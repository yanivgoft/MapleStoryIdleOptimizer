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Inputs" sheetId="2" state="visible" r:id="rId2"/>
    <sheet name="FactorTable" sheetId="3" state="visible" r:id="rId3"/>
    <sheet name="Skills" sheetId="4" state="visible" r:id="rId4"/>
    <sheet name="Artifacts" sheetId="5" state="visible" r:id="rId5"/>
    <sheet name="Calc" sheetId="6" state="visible" r:id="rId6"/>
    <sheet name="Summary" sheetId="7" state="visible" r:id="rId7"/>
    <sheet name="Sensitivity" sheetId="8" state="visible" r:id="rId8"/>
    <sheet name="Equipment Compare" sheetId="9" state="visible" r:id="rId9"/>
    <sheet name="CubeData" sheetId="10" state="visible" r:id="rId10"/>
    <sheet name="ArtifactsInput" sheetId="11" state="visible" r:id="rId11"/>
    <sheet name="PotentialCubes" sheetId="12" state="visible" r:id="rId12"/>
  </sheets>
  <definedNames/>
  <calcPr calcId="124519" fullCalcOnLoad="1"/>
</workbook>
</file>

<file path=xl/styles.xml><?xml version="1.0" encoding="utf-8"?>
<styleSheet xmlns="http://schemas.openxmlformats.org/spreadsheetml/2006/main">
  <numFmts count="2">
    <numFmt numFmtId="164" formatCode="0.00&quot;%&quot;"/>
    <numFmt numFmtId="165" formatCode="+0.00&quot;%&quot;;-0.00&quot;%&quot;;0.00&quot;%&quot;"/>
  </numFmts>
  <fonts count="6">
    <font>
      <name val="Calibri"/>
      <family val="2"/>
      <color theme="1"/>
      <sz val="11"/>
      <scheme val="minor"/>
    </font>
    <font>
      <b val="1"/>
      <sz val="14"/>
    </font>
    <font>
      <b val="1"/>
      <sz val="12"/>
    </font>
    <font>
      <b val="1"/>
      <color rgb="00FFFFFF"/>
    </font>
    <font>
      <b val="1"/>
    </font>
    <font>
      <b val="1"/>
      <sz val="13"/>
    </font>
  </fonts>
  <fills count="5">
    <fill>
      <patternFill/>
    </fill>
    <fill>
      <patternFill patternType="gray125"/>
    </fill>
    <fill>
      <patternFill patternType="solid">
        <fgColor rgb="001F4E78"/>
      </patternFill>
    </fill>
    <fill>
      <patternFill patternType="solid">
        <fgColor rgb="00FFF2CC"/>
      </patternFill>
    </fill>
    <fill>
      <patternFill patternType="solid">
        <fgColor rgb="00D9D9D9"/>
      </patternFill>
    </fill>
  </fills>
  <borders count="1">
    <border>
      <left/>
      <right/>
      <top/>
      <bottom/>
      <diagonal/>
    </border>
  </borders>
  <cellStyleXfs count="1">
    <xf numFmtId="0" fontId="0" fillId="0" borderId="0"/>
  </cellStyleXfs>
  <cellXfs count="1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1" fillId="0" borderId="0" pivotButton="0" quotePrefix="0" xfId="0"/>
    <xf numFmtId="0" fontId="3" fillId="2" borderId="0" applyAlignment="1" pivotButton="0" quotePrefix="0" xfId="0">
      <alignment horizontal="center"/>
    </xf>
    <xf numFmtId="0" fontId="4" fillId="0" borderId="0" pivotButton="0" quotePrefix="0" xfId="0"/>
    <xf numFmtId="0" fontId="0" fillId="3" borderId="0" pivotButton="0" quotePrefix="0" xfId="0"/>
    <xf numFmtId="0" fontId="0" fillId="4" borderId="0" pivotButton="0" quotePrefix="0" xfId="0"/>
    <xf numFmtId="0" fontId="2" fillId="0" borderId="0" pivotButton="0" quotePrefix="0" xfId="0"/>
    <xf numFmtId="0" fontId="5" fillId="0" borderId="0" pivotButton="0" quotePrefix="0" xfId="0"/>
    <xf numFmtId="0" fontId="3" fillId="2" borderId="0" pivotButton="0" quotePrefix="0" xfId="0"/>
    <xf numFmtId="0" fontId="0" fillId="2" borderId="0" pivotButton="0" quotePrefix="0" xfId="0"/>
    <xf numFmtId="164" fontId="0" fillId="0" borderId="0" pivotButton="0" quotePrefix="0" xfId="0"/>
    <xf numFmtId="165"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8"/>
  <sheetViews>
    <sheetView workbookViewId="0">
      <selection activeCell="A1" sqref="A1"/>
    </sheetView>
  </sheetViews>
  <sheetFormatPr baseColWidth="8" defaultRowHeight="15"/>
  <cols>
    <col width="110" customWidth="1" min="1" max="1"/>
  </cols>
  <sheetData>
    <row r="1">
      <c r="A1" s="1" t="inlineStr">
        <is>
          <t>Corsair — DPS Calculator: How to Use This Workbook</t>
        </is>
      </c>
    </row>
    <row r="2">
      <c r="A2" s="2" t="n"/>
    </row>
    <row r="3">
      <c r="A3" s="3" t="inlineStr">
        <is>
          <t>How to use this workbook</t>
        </is>
      </c>
    </row>
    <row r="4">
      <c r="A4" s="2" t="inlineStr">
        <is>
          <t>Only edit the yellow-highlighted cells on the Inputs sheet — every other sheet is computed from those values and will be overwritten if you rebuild the workbook.</t>
        </is>
      </c>
    </row>
    <row r="5">
      <c r="A5" s="2" t="inlineStr">
        <is>
          <t>Summary shows Total DPS, a Per-Skill DPS Breakdown (damage-dealing skills only — buffs/passives that never deal their own damage are omitted), and a Marginal DPS &amp; Stat Value table showing the DPS gained per +1 of each stat.</t>
        </is>
      </c>
    </row>
    <row r="6">
      <c r="A6" s="2" t="inlineStr">
        <is>
          <t>Sensitivity has the full detail behind that marginal-value table — one self-contained block per stat, showing exactly how bumping that stat by +1 changes every downstream number.</t>
        </is>
      </c>
    </row>
    <row r="7">
      <c r="A7" s="2" t="inlineStr">
        <is>
          <t>CubeData/PotentialCubes model your current gear's Potential Cube lines and drive cube-reroll expected-value decisions. For the full standalone Potential Cube EV calculator (exact optimal-stopping math, works from this workbook alone), see tools/potential_cubes_ev.py in the project repo.</t>
        </is>
      </c>
    </row>
    <row r="8">
      <c r="A8" s="2" t="n"/>
    </row>
    <row r="9">
      <c r="A9" s="3" t="inlineStr">
        <is>
          <t>Design decisions &amp; assumptions</t>
        </is>
      </c>
    </row>
    <row r="10">
      <c r="A10" s="2" t="inlineStr">
        <is>
          <t>Data source (2026-10-21 audit): Corsair's numbers come from maplestoryidle.info's GAME CAPTURE (skill text + the game's own tables: ratios, factorIndices, hit/target counts, cooldowns, trigger rules), which beats the wiki (no Req.Level/Cooldown/Mastery data there). The real mastery table is used (Blackboot Bill +50, Scurvy +50, All Aboard +50 and -30% intervals, Siege Bomber +50/Setup, Rapid Fire +70, Brain Scrambler +100, Broadside Bombardment/Setup, Swift Fire Weaken, ...); the earlier 'role-mapped from Buccaneer' masteries are gone. The Broadside bombardment line (1900% x3 on 8 targets) uses factorIndex 12 as a FLAGGED ASSUMPTION (no table ratio).</t>
        </is>
      </c>
    </row>
    <row r="11">
      <c r="A11" s="2" t="inlineStr">
        <is>
          <t>Shadow Heart, Quick Motion (AS component only), Agile Guns, Gun Mastery, Physical Training, Infinity Blast, Fullmetal Jacket, Cross Cut Blast, and Quickdraw's own flat +25% Basic Attack Damage component are always-on passives assumed to already be reflected in your own Inputs stat entries — only their Sensitivity marginal delta is modeled live, matching this project's established convention.</t>
        </is>
      </c>
    </row>
    <row r="12">
      <c r="A12" s="2" t="inlineStr">
        <is>
          <t>Eight-Legs Easton (basic attack) reuses the universal 4th-job-basic-attack constant (baseDamage 2900, factorIndex 21). Quickdraw (Lv125) is modeled: every 3rd cast deals double damage (x(1+1/3) on average) and each 3 casts cut 1.5s from Brain Scrambler or Rapid Fire (assumed split evenly -&gt; both cooldowns are divided by 1 + 0.25*B*, with B* the Easton cast rate solved in closed form). Nautilus Strike and Roll of the Dice are shared verbatim with Buccaneer.</t>
        </is>
      </c>
    </row>
    <row r="13">
      <c r="A13" s="2" t="inlineStr">
        <is>
          <t>Scurvy Summons / All Aboard crews and Siege Bomber / Broadside turrets use the standard ActiveWindow/ICD tick machinery; crew windows lengthen with Buff Duration Increase from Lv104, strike intervals drop 30% at Lv94, and the Siege Bomber / Broadside Setup masteries (+1 setup) let two instances coexist so their windows are no longer capped at the cooldown. Broadside's Lv118 Bombardment replaces the Battleship's 330% ticks with 1900% x3 hits on 8 targets.</t>
        </is>
      </c>
    </row>
    <row r="14">
      <c r="A14" s="2" t="inlineStr">
        <is>
          <t>Majestic Presence procs off three sources (Easton, Brain Scrambler, Rapid Fire) at 25% with a 0.5s internal cooldown: (c*R)/(1+ICD*c*R). Nautilus Strike - Final Attack is the same kind of any-attack proc (30%, 1s ICD). Ahoy Mateys (+250%/+100% FD to the Dual Pistol / Sharpshooter crews) is its own helper row. Swift Fire's Lv54 Weaken (+3% per strike, 3 stacks) feeds the damage-taken bucket.</t>
        </is>
      </c>
    </row>
    <row r="15">
      <c r="A15" s="2" t="inlineStr">
        <is>
          <t>Recoil Shot is explicitly 'not used automatically' — excluded. Outlaw's Code is defensive, not modeled. Jolly Roger (42s cooldown, 18s duration, PATCHED 18% -&gt; 15%) is a duty-cycled buff. Skill Cooldown Decrease applies to every cooldown (skills, buffs and passives alike).</t>
        </is>
      </c>
    </row>
    <row r="16">
      <c r="A16" s="2" t="inlineStr">
        <is>
          <t>Content Type (Inputs) picks what you're fighting — Chapter Boss/Breakthrough/PvP/EXP Dungeon/Equipment Dungeon/Weapon Dungeon/Enhancement Dungeon/Hero Dungeon/World Boss/Chapter Hunt — and Monster Defense and Fixed Fight Duration are both auto-computed from it (plus Chapter/Stage for the chapter- and dungeon-based types); PvP still forces its own fixed 15-second window and uses your own Defense stat as the opponent's Defense estimate. See README.md's 'Content Type' section for the exact formulas.</t>
        </is>
      </c>
    </row>
    <row r="17">
      <c r="A17" s="2" t="inlineStr">
        <is>
          <t>Not modeled (out of scope): all forms of crowd control (Blackboot Bill's stun), Accuracy, Evasion, Defense, movement speed, and Companion Summoning Time.</t>
        </is>
      </c>
    </row>
    <row r="18">
      <c r="A18"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0"/>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55" customWidth="1" min="1" max="1"/>
    <col width="16"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hidden="1" width="13" customWidth="1" min="14" max="14"/>
  </cols>
  <sheetData>
    <row r="1">
      <c r="A1" s="4" t="inlineStr">
        <is>
          <t>Corsair — DPS Calculator Inputs</t>
        </is>
      </c>
      <c r="N1" t="inlineStr">
        <is>
          <t>(none)</t>
        </is>
      </c>
    </row>
    <row r="2">
      <c r="C2" s="5" t="inlineStr">
        <is>
          <t>Chapter Boss</t>
        </is>
      </c>
      <c r="D2" s="5" t="inlineStr">
        <is>
          <t>Breakthrough</t>
        </is>
      </c>
      <c r="E2" s="5" t="inlineStr">
        <is>
          <t>PvP</t>
        </is>
      </c>
      <c r="F2" s="5" t="inlineStr">
        <is>
          <t>EXP Dungeon</t>
        </is>
      </c>
      <c r="G2" s="5" t="inlineStr">
        <is>
          <t>Equipment Dungeon</t>
        </is>
      </c>
      <c r="H2" s="5" t="inlineStr">
        <is>
          <t>Weapon Dungeon</t>
        </is>
      </c>
      <c r="I2" s="5" t="inlineStr">
        <is>
          <t>Enhancement Dungeon</t>
        </is>
      </c>
      <c r="J2" s="5" t="inlineStr">
        <is>
          <t>Hero Dungeon</t>
        </is>
      </c>
      <c r="K2" s="5" t="inlineStr">
        <is>
          <t>World Boss</t>
        </is>
      </c>
      <c r="L2" s="5" t="inlineStr">
        <is>
          <t>Chapter Hunt</t>
        </is>
      </c>
      <c r="N2" t="inlineStr">
        <is>
          <t>Charm of the Undead</t>
        </is>
      </c>
    </row>
    <row r="3">
      <c r="A3" s="6" t="inlineStr">
        <is>
          <t>Character Level</t>
        </is>
      </c>
      <c r="B3" s="7" t="n">
        <v>200</v>
      </c>
      <c r="N3" t="inlineStr">
        <is>
          <t>Pig's Ribbon</t>
        </is>
      </c>
    </row>
    <row r="4">
      <c r="A4" s="6" t="inlineStr">
        <is>
          <t>Content Type</t>
        </is>
      </c>
      <c r="B4" s="7" t="inlineStr">
        <is>
          <t>Chapter Boss</t>
        </is>
      </c>
      <c r="N4" t="inlineStr">
        <is>
          <t>Shamaness Marble</t>
        </is>
      </c>
    </row>
    <row r="5">
      <c r="A5" s="6" t="inlineStr">
        <is>
          <t>Chapter-Stage — 'chapter-substage' (e.g. '28-9') for Breakthrough/Chapter Hunt, just the chapter number for Chapter Boss, or just the stage number for Weapon/Equipment/Enhancement/EXP/Hero Dungeon. Not applicable to World Boss/PvP.</t>
        </is>
      </c>
      <c r="B5" s="8">
        <f>INDEX($C$5:$L$5,MATCH($B$4,$C$2:$L$2,0))</f>
        <v/>
      </c>
      <c r="C5" s="7" t="inlineStr">
        <is>
          <t>28</t>
        </is>
      </c>
      <c r="D5" s="7" t="inlineStr">
        <is>
          <t>28-9</t>
        </is>
      </c>
      <c r="E5" s="8" t="n"/>
      <c r="F5" s="7" t="inlineStr">
        <is>
          <t>80</t>
        </is>
      </c>
      <c r="G5" s="7" t="inlineStr">
        <is>
          <t>80</t>
        </is>
      </c>
      <c r="H5" s="7" t="inlineStr">
        <is>
          <t>80</t>
        </is>
      </c>
      <c r="I5" s="7" t="inlineStr">
        <is>
          <t>80</t>
        </is>
      </c>
      <c r="J5" s="7" t="inlineStr">
        <is>
          <t>80</t>
        </is>
      </c>
      <c r="K5" s="8" t="n"/>
      <c r="L5" s="7" t="inlineStr">
        <is>
          <t>28-9</t>
        </is>
      </c>
      <c r="N5" t="inlineStr">
        <is>
          <t>The Contract of Darkness</t>
        </is>
      </c>
    </row>
    <row r="6">
      <c r="A6" s="6" t="inlineStr">
        <is>
          <t>Flat ATTACK</t>
        </is>
      </c>
      <c r="B6" s="8">
        <f>INDEX($C$6:$L$6,MATCH($B$4,$C$2:$L$2,0))</f>
        <v/>
      </c>
      <c r="C6" s="7" t="n">
        <v>10000</v>
      </c>
      <c r="D6" s="7" t="n">
        <v>10000</v>
      </c>
      <c r="E6" s="7" t="n">
        <v>10000</v>
      </c>
      <c r="F6" s="7" t="n">
        <v>10000</v>
      </c>
      <c r="G6" s="7" t="n">
        <v>10000</v>
      </c>
      <c r="H6" s="7" t="n">
        <v>10000</v>
      </c>
      <c r="I6" s="7" t="n">
        <v>10000</v>
      </c>
      <c r="J6" s="7" t="n">
        <v>10000</v>
      </c>
      <c r="K6" s="7" t="n">
        <v>10000</v>
      </c>
      <c r="L6" s="7" t="n">
        <v>10000</v>
      </c>
      <c r="N6" t="inlineStr">
        <is>
          <t>Rainbow-colored Snail Shell</t>
        </is>
      </c>
    </row>
    <row r="7">
      <c r="A7" s="6" t="inlineStr">
        <is>
          <t>ATTACK %</t>
        </is>
      </c>
      <c r="B7" s="8">
        <f>INDEX($C$7:$L$7,MATCH($B$4,$C$2:$L$2,0))</f>
        <v/>
      </c>
      <c r="C7" s="7" t="n">
        <v>0</v>
      </c>
      <c r="D7" s="7" t="n">
        <v>0</v>
      </c>
      <c r="E7" s="7" t="n">
        <v>0</v>
      </c>
      <c r="F7" s="7" t="n">
        <v>0</v>
      </c>
      <c r="G7" s="7" t="n">
        <v>0</v>
      </c>
      <c r="H7" s="7" t="n">
        <v>0</v>
      </c>
      <c r="I7" s="7" t="n">
        <v>0</v>
      </c>
      <c r="J7" s="7" t="n">
        <v>0</v>
      </c>
      <c r="K7" s="7" t="n">
        <v>0</v>
      </c>
      <c r="L7" s="7" t="n">
        <v>0</v>
      </c>
      <c r="N7" t="inlineStr">
        <is>
          <t>Hexagon Necklace</t>
        </is>
      </c>
    </row>
    <row r="8">
      <c r="A8" s="6" t="inlineStr">
        <is>
          <t>Defense (your own DEF stat; PvP assumes the opponent has the same Defense as you)</t>
        </is>
      </c>
      <c r="B8" s="8">
        <f>INDEX($C$8:$L$8,MATCH($B$4,$C$2:$L$2,0))</f>
        <v/>
      </c>
      <c r="C8" s="7" t="n">
        <v>0</v>
      </c>
      <c r="D8" s="7" t="n">
        <v>0</v>
      </c>
      <c r="E8" s="7" t="n">
        <v>0</v>
      </c>
      <c r="F8" s="7" t="n">
        <v>0</v>
      </c>
      <c r="G8" s="7" t="n">
        <v>0</v>
      </c>
      <c r="H8" s="7" t="n">
        <v>0</v>
      </c>
      <c r="I8" s="7" t="n">
        <v>0</v>
      </c>
      <c r="J8" s="7" t="n">
        <v>0</v>
      </c>
      <c r="K8" s="7" t="n">
        <v>0</v>
      </c>
      <c r="L8" s="7" t="n">
        <v>0</v>
      </c>
      <c r="N8" t="inlineStr">
        <is>
          <t>Arwen's Glass Shoes</t>
        </is>
      </c>
    </row>
    <row r="9">
      <c r="A9" s="6" t="inlineStr">
        <is>
          <t>CRIT_RATE %</t>
        </is>
      </c>
      <c r="B9" s="8">
        <f>INDEX($C$9:$L$9,MATCH($B$4,$C$2:$L$2,0))</f>
        <v/>
      </c>
      <c r="C9" s="7" t="n">
        <v>0</v>
      </c>
      <c r="D9" s="7" t="n">
        <v>0</v>
      </c>
      <c r="E9" s="7" t="n">
        <v>0</v>
      </c>
      <c r="F9" s="7" t="n">
        <v>0</v>
      </c>
      <c r="G9" s="7" t="n">
        <v>0</v>
      </c>
      <c r="H9" s="7" t="n">
        <v>0</v>
      </c>
      <c r="I9" s="7" t="n">
        <v>0</v>
      </c>
      <c r="J9" s="7" t="n">
        <v>0</v>
      </c>
      <c r="K9" s="7" t="n">
        <v>0</v>
      </c>
      <c r="L9" s="7" t="n">
        <v>0</v>
      </c>
      <c r="N9" t="inlineStr">
        <is>
          <t>Mushmom's Cap</t>
        </is>
      </c>
    </row>
    <row r="10">
      <c r="A10" s="6" t="inlineStr">
        <is>
          <t>CRIT_DAMAGE %</t>
        </is>
      </c>
      <c r="B10" s="8">
        <f>INDEX($C$10:$L$10,MATCH($B$4,$C$2:$L$2,0))</f>
        <v/>
      </c>
      <c r="C10" s="7" t="n">
        <v>0</v>
      </c>
      <c r="D10" s="7" t="n">
        <v>0</v>
      </c>
      <c r="E10" s="7" t="n">
        <v>0</v>
      </c>
      <c r="F10" s="7" t="n">
        <v>0</v>
      </c>
      <c r="G10" s="7" t="n">
        <v>0</v>
      </c>
      <c r="H10" s="7" t="n">
        <v>0</v>
      </c>
      <c r="I10" s="7" t="n">
        <v>0</v>
      </c>
      <c r="J10" s="7" t="n">
        <v>0</v>
      </c>
      <c r="K10" s="7" t="n">
        <v>0</v>
      </c>
      <c r="L10" s="7" t="n">
        <v>0</v>
      </c>
      <c r="N10" t="inlineStr">
        <is>
          <t>Clear Spring Water</t>
        </is>
      </c>
    </row>
    <row r="11">
      <c r="A11" s="6" t="inlineStr">
        <is>
          <t>ATTACK_SPEED % (base, excludes Weapon Acceleration)</t>
        </is>
      </c>
      <c r="B11" s="8">
        <f>INDEX($C$11:$L$11,MATCH($B$4,$C$2:$L$2,0))</f>
        <v/>
      </c>
      <c r="C11" s="7" t="n">
        <v>0</v>
      </c>
      <c r="D11" s="7" t="n">
        <v>0</v>
      </c>
      <c r="E11" s="7" t="n">
        <v>0</v>
      </c>
      <c r="F11" s="7" t="n">
        <v>0</v>
      </c>
      <c r="G11" s="7" t="n">
        <v>0</v>
      </c>
      <c r="H11" s="7" t="n">
        <v>0</v>
      </c>
      <c r="I11" s="7" t="n">
        <v>0</v>
      </c>
      <c r="J11" s="7" t="n">
        <v>0</v>
      </c>
      <c r="K11" s="7" t="n">
        <v>0</v>
      </c>
      <c r="L11" s="7" t="n">
        <v>0</v>
      </c>
      <c r="N11" t="inlineStr">
        <is>
          <t>Athena Pierce's Old Gloves</t>
        </is>
      </c>
    </row>
    <row r="12">
      <c r="A12" s="6" t="inlineStr">
        <is>
          <t>Flat DEX</t>
        </is>
      </c>
      <c r="B12" s="8">
        <f>INDEX($C$12:$L$12,MATCH($B$4,$C$2:$L$2,0))</f>
        <v/>
      </c>
      <c r="C12" s="7" t="n">
        <v>0</v>
      </c>
      <c r="D12" s="7" t="n">
        <v>0</v>
      </c>
      <c r="E12" s="7" t="n">
        <v>0</v>
      </c>
      <c r="F12" s="7" t="n">
        <v>0</v>
      </c>
      <c r="G12" s="7" t="n">
        <v>0</v>
      </c>
      <c r="H12" s="7" t="n">
        <v>0</v>
      </c>
      <c r="I12" s="7" t="n">
        <v>0</v>
      </c>
      <c r="J12" s="7" t="n">
        <v>0</v>
      </c>
      <c r="K12" s="7" t="n">
        <v>0</v>
      </c>
      <c r="L12" s="7" t="n">
        <v>0</v>
      </c>
      <c r="N12" t="inlineStr">
        <is>
          <t>Zakum's Stone Piece</t>
        </is>
      </c>
    </row>
    <row r="13">
      <c r="A13" s="6" t="inlineStr">
        <is>
          <t>DEX %</t>
        </is>
      </c>
      <c r="B13" s="8">
        <f>INDEX($C$13:$L$13,MATCH($B$4,$C$2:$L$2,0))</f>
        <v/>
      </c>
      <c r="C13" s="7" t="n">
        <v>0</v>
      </c>
      <c r="D13" s="7" t="n">
        <v>0</v>
      </c>
      <c r="E13" s="7" t="n">
        <v>0</v>
      </c>
      <c r="F13" s="7" t="n">
        <v>0</v>
      </c>
      <c r="G13" s="7" t="n">
        <v>0</v>
      </c>
      <c r="H13" s="7" t="n">
        <v>0</v>
      </c>
      <c r="I13" s="7" t="n">
        <v>0</v>
      </c>
      <c r="J13" s="7" t="n">
        <v>0</v>
      </c>
      <c r="K13" s="7" t="n">
        <v>0</v>
      </c>
      <c r="L13" s="7" t="n">
        <v>0</v>
      </c>
      <c r="N13" t="inlineStr">
        <is>
          <t>Horntail's Scale</t>
        </is>
      </c>
    </row>
    <row r="14">
      <c r="A14" s="6" t="inlineStr">
        <is>
          <t>STR</t>
        </is>
      </c>
      <c r="B14" s="8">
        <f>INDEX($C$14:$L$14,MATCH($B$4,$C$2:$L$2,0))</f>
        <v/>
      </c>
      <c r="C14" s="7" t="n">
        <v>0</v>
      </c>
      <c r="D14" s="7" t="n">
        <v>0</v>
      </c>
      <c r="E14" s="7" t="n">
        <v>0</v>
      </c>
      <c r="F14" s="7" t="n">
        <v>0</v>
      </c>
      <c r="G14" s="7" t="n">
        <v>0</v>
      </c>
      <c r="H14" s="7" t="n">
        <v>0</v>
      </c>
      <c r="I14" s="7" t="n">
        <v>0</v>
      </c>
      <c r="J14" s="7" t="n">
        <v>0</v>
      </c>
      <c r="K14" s="7" t="n">
        <v>0</v>
      </c>
      <c r="L14" s="7" t="n">
        <v>0</v>
      </c>
      <c r="N14" t="inlineStr">
        <is>
          <t>Pink Bean's Giant Rib</t>
        </is>
      </c>
    </row>
    <row r="15">
      <c r="A15" s="6" t="inlineStr">
        <is>
          <t>DAMAGE %</t>
        </is>
      </c>
      <c r="B15" s="8">
        <f>INDEX($C$15:$L$15,MATCH($B$4,$C$2:$L$2,0))</f>
        <v/>
      </c>
      <c r="C15" s="7" t="n">
        <v>0</v>
      </c>
      <c r="D15" s="7" t="n">
        <v>0</v>
      </c>
      <c r="E15" s="7" t="n">
        <v>0</v>
      </c>
      <c r="F15" s="7" t="n">
        <v>0</v>
      </c>
      <c r="G15" s="7" t="n">
        <v>0</v>
      </c>
      <c r="H15" s="7" t="n">
        <v>0</v>
      </c>
      <c r="I15" s="7" t="n">
        <v>0</v>
      </c>
      <c r="J15" s="7" t="n">
        <v>0</v>
      </c>
      <c r="K15" s="7" t="n">
        <v>0</v>
      </c>
      <c r="L15" s="7" t="n">
        <v>0</v>
      </c>
      <c r="N15" t="inlineStr">
        <is>
          <t>Chalice</t>
        </is>
      </c>
    </row>
    <row r="16">
      <c r="A16" s="6" t="inlineStr">
        <is>
          <t>DAMAGE_AMP %</t>
        </is>
      </c>
      <c r="B16" s="8">
        <f>INDEX($C$16:$L$16,MATCH($B$4,$C$2:$L$2,0))</f>
        <v/>
      </c>
      <c r="C16" s="7" t="n">
        <v>0</v>
      </c>
      <c r="D16" s="7" t="n">
        <v>0</v>
      </c>
      <c r="E16" s="7" t="n">
        <v>0</v>
      </c>
      <c r="F16" s="7" t="n">
        <v>0</v>
      </c>
      <c r="G16" s="7" t="n">
        <v>0</v>
      </c>
      <c r="H16" s="7" t="n">
        <v>0</v>
      </c>
      <c r="I16" s="7" t="n">
        <v>0</v>
      </c>
      <c r="J16" s="7" t="n">
        <v>0</v>
      </c>
      <c r="K16" s="7" t="n">
        <v>0</v>
      </c>
      <c r="L16" s="7" t="n">
        <v>0</v>
      </c>
      <c r="N16" t="inlineStr">
        <is>
          <t>Old Music Box</t>
        </is>
      </c>
    </row>
    <row r="17">
      <c r="A17" s="6" t="inlineStr">
        <is>
          <t>BASIC_ATTACK_DAMAGE %</t>
        </is>
      </c>
      <c r="B17" s="8">
        <f>INDEX($C$17:$L$17,MATCH($B$4,$C$2:$L$2,0))</f>
        <v/>
      </c>
      <c r="C17" s="7" t="n">
        <v>0</v>
      </c>
      <c r="D17" s="7" t="n">
        <v>0</v>
      </c>
      <c r="E17" s="7" t="n">
        <v>0</v>
      </c>
      <c r="F17" s="7" t="n">
        <v>0</v>
      </c>
      <c r="G17" s="7" t="n">
        <v>0</v>
      </c>
      <c r="H17" s="7" t="n">
        <v>0</v>
      </c>
      <c r="I17" s="7" t="n">
        <v>0</v>
      </c>
      <c r="J17" s="7" t="n">
        <v>0</v>
      </c>
      <c r="K17" s="7" t="n">
        <v>0</v>
      </c>
      <c r="L17" s="7" t="n">
        <v>0</v>
      </c>
      <c r="N17" t="inlineStr">
        <is>
          <t>Silver Pendant</t>
        </is>
      </c>
    </row>
    <row r="18">
      <c r="A18" s="6" t="inlineStr">
        <is>
          <t>SKILL_DAMAGE %</t>
        </is>
      </c>
      <c r="B18" s="8">
        <f>INDEX($C$18:$L$18,MATCH($B$4,$C$2:$L$2,0))</f>
        <v/>
      </c>
      <c r="C18" s="7" t="n">
        <v>0</v>
      </c>
      <c r="D18" s="7" t="n">
        <v>0</v>
      </c>
      <c r="E18" s="7" t="n">
        <v>0</v>
      </c>
      <c r="F18" s="7" t="n">
        <v>0</v>
      </c>
      <c r="G18" s="7" t="n">
        <v>0</v>
      </c>
      <c r="H18" s="7" t="n">
        <v>0</v>
      </c>
      <c r="I18" s="7" t="n">
        <v>0</v>
      </c>
      <c r="J18" s="7" t="n">
        <v>0</v>
      </c>
      <c r="K18" s="7" t="n">
        <v>0</v>
      </c>
      <c r="L18" s="7" t="n">
        <v>0</v>
      </c>
      <c r="N18" t="inlineStr">
        <is>
          <t>Star Rock</t>
        </is>
      </c>
    </row>
    <row r="19">
      <c r="A19" s="6" t="inlineStr">
        <is>
          <t>DEF_PEN %</t>
        </is>
      </c>
      <c r="B19" s="8">
        <f>INDEX($C$19:$L$19,MATCH($B$4,$C$2:$L$2,0))</f>
        <v/>
      </c>
      <c r="C19" s="7" t="n">
        <v>0</v>
      </c>
      <c r="D19" s="7" t="n">
        <v>0</v>
      </c>
      <c r="E19" s="7" t="n">
        <v>0</v>
      </c>
      <c r="F19" s="7" t="n">
        <v>0</v>
      </c>
      <c r="G19" s="7" t="n">
        <v>0</v>
      </c>
      <c r="H19" s="7" t="n">
        <v>0</v>
      </c>
      <c r="I19" s="7" t="n">
        <v>0</v>
      </c>
      <c r="J19" s="7" t="n">
        <v>0</v>
      </c>
      <c r="K19" s="7" t="n">
        <v>0</v>
      </c>
      <c r="L19" s="7" t="n">
        <v>0</v>
      </c>
      <c r="N19" t="inlineStr">
        <is>
          <t>Book of Ancient</t>
        </is>
      </c>
    </row>
    <row r="20">
      <c r="A20" s="6" t="inlineStr">
        <is>
          <t>BOSS_DAMAGE %</t>
        </is>
      </c>
      <c r="B20" s="8">
        <f>INDEX($C$20:$L$20,MATCH($B$4,$C$2:$L$2,0))</f>
        <v/>
      </c>
      <c r="C20" s="7" t="n">
        <v>0</v>
      </c>
      <c r="D20" s="7" t="n">
        <v>0</v>
      </c>
      <c r="E20" s="7" t="n">
        <v>0</v>
      </c>
      <c r="F20" s="7" t="n">
        <v>0</v>
      </c>
      <c r="G20" s="7" t="n">
        <v>0</v>
      </c>
      <c r="H20" s="7" t="n">
        <v>0</v>
      </c>
      <c r="I20" s="7" t="n">
        <v>0</v>
      </c>
      <c r="J20" s="7" t="n">
        <v>0</v>
      </c>
      <c r="K20" s="7" t="n">
        <v>0</v>
      </c>
      <c r="L20" s="7" t="n">
        <v>0</v>
      </c>
      <c r="N20" t="inlineStr">
        <is>
          <t>Lunar Dew</t>
        </is>
      </c>
    </row>
    <row r="21">
      <c r="A21" s="6" t="inlineStr">
        <is>
          <t>NORMAL_DAMAGE %</t>
        </is>
      </c>
      <c r="B21" s="8">
        <f>INDEX($C$21:$L$21,MATCH($B$4,$C$2:$L$2,0))</f>
        <v/>
      </c>
      <c r="C21" s="7" t="n">
        <v>0</v>
      </c>
      <c r="D21" s="7" t="n">
        <v>0</v>
      </c>
      <c r="E21" s="7" t="n">
        <v>0</v>
      </c>
      <c r="F21" s="7" t="n">
        <v>0</v>
      </c>
      <c r="G21" s="7" t="n">
        <v>0</v>
      </c>
      <c r="H21" s="7" t="n">
        <v>0</v>
      </c>
      <c r="I21" s="7" t="n">
        <v>0</v>
      </c>
      <c r="J21" s="7" t="n">
        <v>0</v>
      </c>
      <c r="K21" s="7" t="n">
        <v>0</v>
      </c>
      <c r="L21" s="7" t="n">
        <v>0</v>
      </c>
      <c r="N21" t="inlineStr">
        <is>
          <t>Fire Flower</t>
        </is>
      </c>
    </row>
    <row r="22">
      <c r="A22" s="6" t="inlineStr">
        <is>
          <t>MIN_DAMAGE %</t>
        </is>
      </c>
      <c r="B22" s="8">
        <f>INDEX($C$22:$L$22,MATCH($B$4,$C$2:$L$2,0))</f>
        <v/>
      </c>
      <c r="C22" s="7" t="n">
        <v>100</v>
      </c>
      <c r="D22" s="7" t="n">
        <v>100</v>
      </c>
      <c r="E22" s="7" t="n">
        <v>100</v>
      </c>
      <c r="F22" s="7" t="n">
        <v>100</v>
      </c>
      <c r="G22" s="7" t="n">
        <v>100</v>
      </c>
      <c r="H22" s="7" t="n">
        <v>100</v>
      </c>
      <c r="I22" s="7" t="n">
        <v>100</v>
      </c>
      <c r="J22" s="7" t="n">
        <v>100</v>
      </c>
      <c r="K22" s="7" t="n">
        <v>100</v>
      </c>
      <c r="L22" s="7" t="n">
        <v>100</v>
      </c>
      <c r="N22" t="inlineStr">
        <is>
          <t>Soul Contract</t>
        </is>
      </c>
    </row>
    <row r="23">
      <c r="A23" s="6" t="inlineStr">
        <is>
          <t>MAX_DAMAGE %</t>
        </is>
      </c>
      <c r="B23" s="8">
        <f>INDEX($C$23:$L$23,MATCH($B$4,$C$2:$L$2,0))</f>
        <v/>
      </c>
      <c r="C23" s="7" t="n">
        <v>100</v>
      </c>
      <c r="D23" s="7" t="n">
        <v>100</v>
      </c>
      <c r="E23" s="7" t="n">
        <v>100</v>
      </c>
      <c r="F23" s="7" t="n">
        <v>100</v>
      </c>
      <c r="G23" s="7" t="n">
        <v>100</v>
      </c>
      <c r="H23" s="7" t="n">
        <v>100</v>
      </c>
      <c r="I23" s="7" t="n">
        <v>100</v>
      </c>
      <c r="J23" s="7" t="n">
        <v>100</v>
      </c>
      <c r="K23" s="7" t="n">
        <v>100</v>
      </c>
      <c r="L23" s="7" t="n">
        <v>100</v>
      </c>
      <c r="N23" t="inlineStr">
        <is>
          <t>Lit Lamp</t>
        </is>
      </c>
    </row>
    <row r="24">
      <c r="A24" s="6" t="inlineStr">
        <is>
          <t>FINAL_DAMAGE % (base)</t>
        </is>
      </c>
      <c r="B24" s="8">
        <f>INDEX($C$24:$L$24,MATCH($B$4,$C$2:$L$2,0))</f>
        <v/>
      </c>
      <c r="C24" s="7" t="n">
        <v>0</v>
      </c>
      <c r="D24" s="7" t="n">
        <v>0</v>
      </c>
      <c r="E24" s="7" t="n">
        <v>0</v>
      </c>
      <c r="F24" s="7" t="n">
        <v>0</v>
      </c>
      <c r="G24" s="7" t="n">
        <v>0</v>
      </c>
      <c r="H24" s="7" t="n">
        <v>0</v>
      </c>
      <c r="I24" s="7" t="n">
        <v>0</v>
      </c>
      <c r="J24" s="7" t="n">
        <v>0</v>
      </c>
      <c r="K24" s="7" t="n">
        <v>0</v>
      </c>
      <c r="L24" s="7" t="n">
        <v>0</v>
      </c>
      <c r="N24" t="inlineStr">
        <is>
          <t>Soul Pouch</t>
        </is>
      </c>
    </row>
    <row r="25">
      <c r="A25" s="6" t="inlineStr">
        <is>
          <t>Skill Level Bonus — 1st Job</t>
        </is>
      </c>
      <c r="B25" s="8">
        <f>INDEX($C$25:$L$25,MATCH($B$4,$C$2:$L$2,0))</f>
        <v/>
      </c>
      <c r="C25" s="7" t="n">
        <v>0</v>
      </c>
      <c r="D25" s="7" t="n">
        <v>0</v>
      </c>
      <c r="E25" s="7" t="n">
        <v>0</v>
      </c>
      <c r="F25" s="7" t="n">
        <v>0</v>
      </c>
      <c r="G25" s="7" t="n">
        <v>0</v>
      </c>
      <c r="H25" s="7" t="n">
        <v>0</v>
      </c>
      <c r="I25" s="7" t="n">
        <v>0</v>
      </c>
      <c r="J25" s="7" t="n">
        <v>0</v>
      </c>
      <c r="K25" s="7" t="n">
        <v>0</v>
      </c>
      <c r="L25" s="7" t="n">
        <v>0</v>
      </c>
      <c r="N25" t="inlineStr">
        <is>
          <t>Ancient Text Piece</t>
        </is>
      </c>
    </row>
    <row r="26">
      <c r="A26" s="6" t="inlineStr">
        <is>
          <t>Skill Level Bonus — 2nd Job</t>
        </is>
      </c>
      <c r="B26" s="8">
        <f>INDEX($C$26:$L$26,MATCH($B$4,$C$2:$L$2,0))</f>
        <v/>
      </c>
      <c r="C26" s="7" t="n">
        <v>0</v>
      </c>
      <c r="D26" s="7" t="n">
        <v>0</v>
      </c>
      <c r="E26" s="7" t="n">
        <v>0</v>
      </c>
      <c r="F26" s="7" t="n">
        <v>0</v>
      </c>
      <c r="G26" s="7" t="n">
        <v>0</v>
      </c>
      <c r="H26" s="7" t="n">
        <v>0</v>
      </c>
      <c r="I26" s="7" t="n">
        <v>0</v>
      </c>
      <c r="J26" s="7" t="n">
        <v>0</v>
      </c>
      <c r="K26" s="7" t="n">
        <v>0</v>
      </c>
      <c r="L26" s="7" t="n">
        <v>0</v>
      </c>
      <c r="N26" t="inlineStr">
        <is>
          <t>Icy Soul Rock</t>
        </is>
      </c>
    </row>
    <row r="27">
      <c r="A27" s="6" t="inlineStr">
        <is>
          <t>Skill Level Bonus — 3rd Job</t>
        </is>
      </c>
      <c r="B27" s="8">
        <f>INDEX($C$27:$L$27,MATCH($B$4,$C$2:$L$2,0))</f>
        <v/>
      </c>
      <c r="C27" s="7" t="n">
        <v>0</v>
      </c>
      <c r="D27" s="7" t="n">
        <v>0</v>
      </c>
      <c r="E27" s="7" t="n">
        <v>0</v>
      </c>
      <c r="F27" s="7" t="n">
        <v>0</v>
      </c>
      <c r="G27" s="7" t="n">
        <v>0</v>
      </c>
      <c r="H27" s="7" t="n">
        <v>0</v>
      </c>
      <c r="I27" s="7" t="n">
        <v>0</v>
      </c>
      <c r="J27" s="7" t="n">
        <v>0</v>
      </c>
      <c r="K27" s="7" t="n">
        <v>0</v>
      </c>
      <c r="L27" s="7" t="n">
        <v>0</v>
      </c>
      <c r="N27" t="inlineStr">
        <is>
          <t>Flaming Lava</t>
        </is>
      </c>
    </row>
    <row r="28">
      <c r="A28" s="6" t="inlineStr">
        <is>
          <t>Skill Level Bonus — 4th Job</t>
        </is>
      </c>
      <c r="B28" s="8">
        <f>INDEX($C$28:$L$28,MATCH($B$4,$C$2:$L$2,0))</f>
        <v/>
      </c>
      <c r="C28" s="7" t="n">
        <v>0</v>
      </c>
      <c r="D28" s="7" t="n">
        <v>0</v>
      </c>
      <c r="E28" s="7" t="n">
        <v>0</v>
      </c>
      <c r="F28" s="7" t="n">
        <v>0</v>
      </c>
      <c r="G28" s="7" t="n">
        <v>0</v>
      </c>
      <c r="H28" s="7" t="n">
        <v>0</v>
      </c>
      <c r="I28" s="7" t="n">
        <v>0</v>
      </c>
      <c r="J28" s="7" t="n">
        <v>0</v>
      </c>
      <c r="K28" s="7" t="n">
        <v>0</v>
      </c>
      <c r="L28" s="7" t="n">
        <v>0</v>
      </c>
      <c r="N28" t="inlineStr">
        <is>
          <t>Sayram's Necklace</t>
        </is>
      </c>
    </row>
    <row r="29">
      <c r="A29" s="6" t="inlineStr">
        <is>
          <t>Skill Level Bonus — All Skills</t>
        </is>
      </c>
      <c r="B29" s="8">
        <f>INDEX($C$29:$L$29,MATCH($B$4,$C$2:$L$2,0))</f>
        <v/>
      </c>
      <c r="C29" s="7" t="n">
        <v>0</v>
      </c>
      <c r="D29" s="7" t="n">
        <v>0</v>
      </c>
      <c r="E29" s="7" t="n">
        <v>0</v>
      </c>
      <c r="F29" s="7" t="n">
        <v>0</v>
      </c>
      <c r="G29" s="7" t="n">
        <v>0</v>
      </c>
      <c r="H29" s="7" t="n">
        <v>0</v>
      </c>
      <c r="I29" s="7" t="n">
        <v>0</v>
      </c>
      <c r="J29" s="7" t="n">
        <v>0</v>
      </c>
      <c r="K29" s="7" t="n">
        <v>0</v>
      </c>
      <c r="L29" s="7" t="n">
        <v>0</v>
      </c>
      <c r="N29" t="inlineStr">
        <is>
          <t>Bottle of Emotion</t>
        </is>
      </c>
    </row>
    <row r="30">
      <c r="N30" t="inlineStr">
        <is>
          <t>Peach Tree Herb Pouch</t>
        </is>
      </c>
    </row>
    <row r="31">
      <c r="A31" s="9" t="inlineStr">
        <is>
          <t>Additional Bonuses</t>
        </is>
      </c>
      <c r="N31" t="inlineStr">
        <is>
          <t>Candle</t>
        </is>
      </c>
    </row>
    <row r="32">
      <c r="A32" s="6" t="inlineStr">
        <is>
          <t>Skill Cooldown Decrease (seconds; applies to every cooldown — skills, buffs and passives)</t>
        </is>
      </c>
      <c r="B32" s="8">
        <f>INDEX($C$32:$L$32,MATCH($B$4,$C$2:$L$2,0))</f>
        <v/>
      </c>
      <c r="C32" s="7" t="n">
        <v>0</v>
      </c>
      <c r="D32" s="7" t="n">
        <v>0</v>
      </c>
      <c r="E32" s="7" t="n">
        <v>0</v>
      </c>
      <c r="F32" s="7" t="n">
        <v>0</v>
      </c>
      <c r="G32" s="7" t="n">
        <v>0</v>
      </c>
      <c r="H32" s="7" t="n">
        <v>0</v>
      </c>
      <c r="I32" s="7" t="n">
        <v>0</v>
      </c>
      <c r="J32" s="7" t="n">
        <v>0</v>
      </c>
      <c r="K32" s="7" t="n">
        <v>0</v>
      </c>
      <c r="L32" s="7" t="n">
        <v>0</v>
      </c>
      <c r="N32" t="inlineStr">
        <is>
          <t>Alliance Badge</t>
        </is>
      </c>
    </row>
    <row r="33">
      <c r="A33" s="6" t="inlineStr">
        <is>
          <t>Basic Attack Target Increase (flat, adds to the 6-target normal-monster base)</t>
        </is>
      </c>
      <c r="B33" s="8">
        <f>INDEX($C$33:$L$33,MATCH($B$4,$C$2:$L$2,0))</f>
        <v/>
      </c>
      <c r="C33" s="7" t="n">
        <v>1</v>
      </c>
      <c r="D33" s="7" t="n">
        <v>1</v>
      </c>
      <c r="E33" s="7" t="n">
        <v>1</v>
      </c>
      <c r="F33" s="7" t="n">
        <v>1</v>
      </c>
      <c r="G33" s="7" t="n">
        <v>1</v>
      </c>
      <c r="H33" s="7" t="n">
        <v>1</v>
      </c>
      <c r="I33" s="7" t="n">
        <v>1</v>
      </c>
      <c r="J33" s="7" t="n">
        <v>1</v>
      </c>
      <c r="K33" s="7" t="n">
        <v>1</v>
      </c>
      <c r="L33" s="7" t="n">
        <v>1</v>
      </c>
      <c r="N33" t="inlineStr">
        <is>
          <t>Horn Flute</t>
        </is>
      </c>
    </row>
    <row r="34">
      <c r="A34" s="6" t="inlineStr">
        <is>
          <t>Buff Duration Increase %</t>
        </is>
      </c>
      <c r="B34" s="8">
        <f>INDEX($C$34:$L$34,MATCH($B$4,$C$2:$L$2,0))</f>
        <v/>
      </c>
      <c r="C34" s="7" t="n">
        <v>0</v>
      </c>
      <c r="D34" s="7" t="n">
        <v>0</v>
      </c>
      <c r="E34" s="7" t="n">
        <v>0</v>
      </c>
      <c r="F34" s="7" t="n">
        <v>0</v>
      </c>
      <c r="G34" s="7" t="n">
        <v>0</v>
      </c>
      <c r="H34" s="7" t="n">
        <v>0</v>
      </c>
      <c r="I34" s="7" t="n">
        <v>0</v>
      </c>
      <c r="J34" s="7" t="n">
        <v>0</v>
      </c>
      <c r="K34" s="7" t="n">
        <v>0</v>
      </c>
      <c r="L34" s="7" t="n">
        <v>0</v>
      </c>
      <c r="N34" t="inlineStr">
        <is>
          <t>Cursed Doll</t>
        </is>
      </c>
    </row>
    <row r="35">
      <c r="A35" s="6" t="inlineStr">
        <is>
          <t>Companion Summoning Time Increase % (companions not modeled — always 0 DPS impact)</t>
        </is>
      </c>
      <c r="B35" s="8">
        <f>INDEX($C$35:$L$35,MATCH($B$4,$C$2:$L$2,0))</f>
        <v/>
      </c>
      <c r="C35" s="7" t="n">
        <v>0</v>
      </c>
      <c r="D35" s="7" t="n">
        <v>0</v>
      </c>
      <c r="E35" s="7" t="n">
        <v>0</v>
      </c>
      <c r="F35" s="7" t="n">
        <v>0</v>
      </c>
      <c r="G35" s="7" t="n">
        <v>0</v>
      </c>
      <c r="H35" s="7" t="n">
        <v>0</v>
      </c>
      <c r="I35" s="7" t="n">
        <v>0</v>
      </c>
      <c r="J35" s="7" t="n">
        <v>0</v>
      </c>
      <c r="K35" s="7" t="n">
        <v>0</v>
      </c>
      <c r="L35" s="7" t="n">
        <v>0</v>
      </c>
      <c r="N35" t="inlineStr">
        <is>
          <t>Reindeer's Spear</t>
        </is>
      </c>
    </row>
    <row r="36">
      <c r="A36" s="6" t="inlineStr">
        <is>
          <t>Boss/Normal Emphasis (Breakthrough/Hero Dungeon only)</t>
        </is>
      </c>
      <c r="B36" s="8">
        <f>INDEX($C$36:$L$36,MATCH($B$4,$C$2:$L$2,0))</f>
        <v/>
      </c>
      <c r="C36" s="8" t="n"/>
      <c r="D36" s="7" t="inlineStr">
        <is>
          <t>A Little More Normal</t>
        </is>
      </c>
      <c r="E36" s="8" t="n"/>
      <c r="F36" s="8" t="n"/>
      <c r="G36" s="8" t="n"/>
      <c r="H36" s="8" t="n"/>
      <c r="I36" s="8" t="n"/>
      <c r="J36" s="7" t="inlineStr">
        <is>
          <t>A Little More Normal</t>
        </is>
      </c>
      <c r="K36" s="8" t="n"/>
      <c r="L36" s="8" t="n"/>
      <c r="N36" t="inlineStr">
        <is>
          <t>Secret Map</t>
        </is>
      </c>
    </row>
    <row r="37">
      <c r="A37" s="6" t="inlineStr">
        <is>
          <t>Max Enemies Actually In Range (normal-monster content only; default 999 = uncapped)</t>
        </is>
      </c>
      <c r="B37" s="8">
        <f>INDEX($C$37:$L$37,MATCH($B$4,$C$2:$L$2,0))</f>
        <v/>
      </c>
      <c r="C37" s="8" t="n"/>
      <c r="D37" s="7" t="n">
        <v>999</v>
      </c>
      <c r="E37" s="8" t="n"/>
      <c r="F37" s="7" t="n">
        <v>999</v>
      </c>
      <c r="G37" s="7" t="n">
        <v>999</v>
      </c>
      <c r="H37" s="8" t="n"/>
      <c r="I37" s="8" t="n"/>
      <c r="J37" s="7" t="n">
        <v>999</v>
      </c>
      <c r="K37" s="8" t="n"/>
      <c r="L37" s="7" t="n">
        <v>999</v>
      </c>
      <c r="N37" t="inlineStr">
        <is>
          <t>Ring of Cycles</t>
        </is>
      </c>
    </row>
    <row r="38" hidden="1">
      <c r="A38" s="6" t="inlineStr">
        <is>
          <t>Monster Type (auto-computed from Content Type) — computed, do not edit</t>
        </is>
      </c>
      <c r="B38" s="8">
        <f>IF(Inputs!$B$4="PvP","pvp",IF(OR(Inputs!$B$4="Breakthrough",Inputs!$B$4="Hero Dungeon"),"breakthrough",IF(OR(Inputs!$B$4="EXP Dungeon",Inputs!$B$4="Equipment Dungeon",Inputs!$B$4="Chapter Hunt"),"normal","boss")))</f>
        <v/>
      </c>
    </row>
    <row r="39" hidden="1">
      <c r="A39" s="6" t="inlineStr">
        <is>
          <t>Chapter (parsed from Chapter-Stage) — computed, do not edit</t>
        </is>
      </c>
      <c r="B39" s="8">
        <f>IFERROR(IF(ISNUMBER(FIND("-",Inputs!$B$5)),VALUE(LEFT(Inputs!$B$5,FIND("-",Inputs!$B$5)-1)),VALUE(Inputs!$B$5)),28)</f>
        <v/>
      </c>
    </row>
    <row r="40" hidden="1">
      <c r="A40" s="6" t="inlineStr">
        <is>
          <t>Stage (parsed from Chapter-Stage) — computed, do not edit</t>
        </is>
      </c>
      <c r="B40" s="8">
        <f>IFERROR(IF(ISNUMBER(FIND("-",Inputs!$B$5)),VALUE(MID(Inputs!$B$5,FIND("-",Inputs!$B$5)+1,50)),VALUE(Inputs!$B$5)),9)</f>
        <v/>
      </c>
    </row>
    <row r="41" hidden="1">
      <c r="A41" s="6" t="inlineStr">
        <is>
          <t>Breakthrough Global Stage Index (helper) — computed, do not edit</t>
        </is>
      </c>
      <c r="B41" s="8">
        <f>IF(Inputs!$B$39=28,Inputs!$B$40-9,Inputs!$B$40+14*MAX(0,MIN(Inputs!$B$39-1,38)-28)+19*MAX(0,Inputs!$B$39-39))</f>
        <v/>
      </c>
    </row>
    <row r="42" hidden="1">
      <c r="A42" s="6" t="inlineStr">
        <is>
          <t>Monster Defense (auto-computed from Content Type) — computed, do not edit</t>
        </is>
      </c>
      <c r="B42" s="8">
        <f>IF(Inputs!$B$4="Chapter Boss",3200+50*(Inputs!$B$39-28),IF(Inputs!$B$4="World Boss",62100,IF(Inputs!$B$4="Weapon Dungeon",Inputs!$B$40*50,IF(Inputs!$B$4="Enhancement Dungeon",950+Inputs!$B$40*50,IF(OR(Inputs!$B$4="EXP Dungeon",Inputs!$B$4="Equipment Dungeon"),250+Inputs!$B$40*50,IF(Inputs!$B$4="Hero Dungeon",650+Inputs!$B$40*50,IF(OR(Inputs!$B$4="Breakthrough",Inputs!$B$4="Chapter Hunt"),4860+20*Inputs!$B$41,Inputs!$B$8)))))))</f>
        <v/>
      </c>
    </row>
    <row r="43" hidden="1">
      <c r="A43" s="6" t="inlineStr">
        <is>
          <t>Fixed Fight Duration (auto-computed from Content Type; 0 = steady-state) — computed, do not edit</t>
        </is>
      </c>
      <c r="B43" s="8">
        <f>IF(Inputs!$B$4="Chapter Hunt",0,IF(Inputs!$B$4="Weapon Dungeon",22,IF(Inputs!$B$4="Equipment Dungeon",40,IF(Inputs!$B$4="Enhancement Dungeon",25,IF(Inputs!$B$4="Hero Dungeon",50,IF(Inputs!$B$4="EXP Dungeon",40,IF(Inputs!$B$4="World Boss",75,IF(Inputs!$B$4="Chapter Boss",70,IF(Inputs!$B$4="Breakthrough",40,0)))))))))</f>
        <v/>
      </c>
    </row>
    <row r="44" hidden="1">
      <c r="A44" s="6" t="inlineStr">
        <is>
          <t>Boss/Normal Weight % (parsed from Boss/Normal Emphasis) — computed, do not edit</t>
        </is>
      </c>
      <c r="B44" s="8">
        <f>IF(Inputs!$B$36="More Normal",70,IF(Inputs!$B$36="A Little More Normal",60,IF(Inputs!$B$36="Equal",50,IF(Inputs!$B$36="A Little More Boss",40,IF(Inputs!$B$36="More Boss",30,60)))))</f>
        <v/>
      </c>
    </row>
    <row r="46">
      <c r="A46" s="9" t="inlineStr">
        <is>
          <t>Equipped Artifacts (up to 4)</t>
        </is>
      </c>
    </row>
    <row r="47">
      <c r="A47" s="6" t="inlineStr">
        <is>
          <t>Slot 1</t>
        </is>
      </c>
      <c r="B47" s="8">
        <f>INDEX($C$47:$L$47,MATCH($B$4,$C$2:$L$2,0))</f>
        <v/>
      </c>
      <c r="C47" s="7" t="inlineStr">
        <is>
          <t>(none)</t>
        </is>
      </c>
      <c r="D47" s="7" t="inlineStr">
        <is>
          <t>(none)</t>
        </is>
      </c>
      <c r="E47" s="7" t="inlineStr">
        <is>
          <t>(none)</t>
        </is>
      </c>
      <c r="F47" s="7" t="inlineStr">
        <is>
          <t>(none)</t>
        </is>
      </c>
      <c r="G47" s="7" t="inlineStr">
        <is>
          <t>(none)</t>
        </is>
      </c>
      <c r="H47" s="7" t="inlineStr">
        <is>
          <t>(none)</t>
        </is>
      </c>
      <c r="I47" s="7" t="inlineStr">
        <is>
          <t>(none)</t>
        </is>
      </c>
      <c r="J47" s="7" t="inlineStr">
        <is>
          <t>(none)</t>
        </is>
      </c>
      <c r="K47" s="7" t="inlineStr">
        <is>
          <t>(none)</t>
        </is>
      </c>
      <c r="L47" s="7" t="inlineStr">
        <is>
          <t>(none)</t>
        </is>
      </c>
    </row>
    <row r="48">
      <c r="A48" s="6" t="inlineStr">
        <is>
          <t>Slot 2</t>
        </is>
      </c>
      <c r="B48" s="8">
        <f>INDEX($C$48:$L$48,MATCH($B$4,$C$2:$L$2,0))</f>
        <v/>
      </c>
      <c r="C48" s="7" t="inlineStr">
        <is>
          <t>(none)</t>
        </is>
      </c>
      <c r="D48" s="7" t="inlineStr">
        <is>
          <t>(none)</t>
        </is>
      </c>
      <c r="E48" s="7" t="inlineStr">
        <is>
          <t>(none)</t>
        </is>
      </c>
      <c r="F48" s="7" t="inlineStr">
        <is>
          <t>(none)</t>
        </is>
      </c>
      <c r="G48" s="7" t="inlineStr">
        <is>
          <t>(none)</t>
        </is>
      </c>
      <c r="H48" s="7" t="inlineStr">
        <is>
          <t>(none)</t>
        </is>
      </c>
      <c r="I48" s="7" t="inlineStr">
        <is>
          <t>(none)</t>
        </is>
      </c>
      <c r="J48" s="7" t="inlineStr">
        <is>
          <t>(none)</t>
        </is>
      </c>
      <c r="K48" s="7" t="inlineStr">
        <is>
          <t>(none)</t>
        </is>
      </c>
      <c r="L48" s="7" t="inlineStr">
        <is>
          <t>(none)</t>
        </is>
      </c>
    </row>
    <row r="49">
      <c r="A49" s="6" t="inlineStr">
        <is>
          <t>Slot 3</t>
        </is>
      </c>
      <c r="B49" s="8">
        <f>INDEX($C$49:$L$49,MATCH($B$4,$C$2:$L$2,0))</f>
        <v/>
      </c>
      <c r="C49" s="7" t="inlineStr">
        <is>
          <t>(none)</t>
        </is>
      </c>
      <c r="D49" s="7" t="inlineStr">
        <is>
          <t>(none)</t>
        </is>
      </c>
      <c r="E49" s="7" t="inlineStr">
        <is>
          <t>(none)</t>
        </is>
      </c>
      <c r="F49" s="7" t="inlineStr">
        <is>
          <t>(none)</t>
        </is>
      </c>
      <c r="G49" s="7" t="inlineStr">
        <is>
          <t>(none)</t>
        </is>
      </c>
      <c r="H49" s="7" t="inlineStr">
        <is>
          <t>(none)</t>
        </is>
      </c>
      <c r="I49" s="7" t="inlineStr">
        <is>
          <t>(none)</t>
        </is>
      </c>
      <c r="J49" s="7" t="inlineStr">
        <is>
          <t>(none)</t>
        </is>
      </c>
      <c r="K49" s="7" t="inlineStr">
        <is>
          <t>(none)</t>
        </is>
      </c>
      <c r="L49" s="7" t="inlineStr">
        <is>
          <t>(none)</t>
        </is>
      </c>
    </row>
    <row r="50">
      <c r="A50" s="6" t="inlineStr">
        <is>
          <t>Slot 4</t>
        </is>
      </c>
      <c r="B50" s="8">
        <f>INDEX($C$50:$L$50,MATCH($B$4,$C$2:$L$2,0))</f>
        <v/>
      </c>
      <c r="C50" s="7" t="inlineStr">
        <is>
          <t>(none)</t>
        </is>
      </c>
      <c r="D50" s="7" t="inlineStr">
        <is>
          <t>(none)</t>
        </is>
      </c>
      <c r="E50" s="7" t="inlineStr">
        <is>
          <t>(none)</t>
        </is>
      </c>
      <c r="F50" s="7" t="inlineStr">
        <is>
          <t>(none)</t>
        </is>
      </c>
      <c r="G50" s="7" t="inlineStr">
        <is>
          <t>(none)</t>
        </is>
      </c>
      <c r="H50" s="7" t="inlineStr">
        <is>
          <t>(none)</t>
        </is>
      </c>
      <c r="I50" s="7" t="inlineStr">
        <is>
          <t>(none)</t>
        </is>
      </c>
      <c r="J50" s="7" t="inlineStr">
        <is>
          <t>(none)</t>
        </is>
      </c>
      <c r="K50" s="7" t="inlineStr">
        <is>
          <t>(none)</t>
        </is>
      </c>
      <c r="L50" s="7" t="inlineStr">
        <is>
          <t>(none)</t>
        </is>
      </c>
    </row>
  </sheetData>
  <dataValidations count="3">
    <dataValidation sqref="B4" showDropDown="0" showInputMessage="0" showErrorMessage="0" allowBlank="0" type="list">
      <formula1>"Chapter Boss,Breakthrough,PvP,EXP Dungeon,Equipment Dungeon,Weapon Dungeon,Enhancement Dungeon,Hero Dungeon,World Boss,Chapter Hunt"</formula1>
    </dataValidation>
    <dataValidation sqref="D36 J36" showDropDown="0" showInputMessage="0" showErrorMessage="0" allowBlank="0" type="list">
      <formula1>"More Normal,A Little More Normal,Equal,A Little More Boss,More Boss"</formula1>
    </dataValidation>
    <dataValidation sqref="C47 C48 C49 C50 D47 D48 D49 D50 E47 E48 E49 E50 F47 F48 F49 F50 G47 G48 G49 G50 H47 H48 H49 H50 I47 I48 I49 I50 J47 J48 J49 J50 K47 K48 K49 K50 L47 L48 L49 L50" showDropDown="0" showInputMessage="0" showErrorMessage="0" allowBlank="0" type="list">
      <formula1>=$N$1:$N$37</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3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s>
  <sheetData>
    <row r="1">
      <c r="A1" s="5" t="inlineStr">
        <is>
          <t>Level</t>
        </is>
      </c>
      <c r="B1" s="5" t="inlineStr">
        <is>
          <t>F0</t>
        </is>
      </c>
      <c r="C1" s="5" t="inlineStr">
        <is>
          <t>F1</t>
        </is>
      </c>
      <c r="D1" s="5" t="inlineStr">
        <is>
          <t>F2</t>
        </is>
      </c>
      <c r="E1" s="5" t="inlineStr">
        <is>
          <t>F3</t>
        </is>
      </c>
      <c r="F1" s="5" t="inlineStr">
        <is>
          <t>F4</t>
        </is>
      </c>
      <c r="G1" s="5" t="inlineStr">
        <is>
          <t>F5</t>
        </is>
      </c>
      <c r="H1" s="5" t="inlineStr">
        <is>
          <t>F6</t>
        </is>
      </c>
      <c r="I1" s="5" t="inlineStr">
        <is>
          <t>F7</t>
        </is>
      </c>
      <c r="J1" s="5" t="inlineStr">
        <is>
          <t>F8</t>
        </is>
      </c>
      <c r="K1" s="5" t="inlineStr">
        <is>
          <t>F9</t>
        </is>
      </c>
      <c r="L1" s="5" t="inlineStr">
        <is>
          <t>F10</t>
        </is>
      </c>
      <c r="M1" s="5" t="inlineStr">
        <is>
          <t>F11</t>
        </is>
      </c>
      <c r="N1" s="5" t="inlineStr">
        <is>
          <t>F12</t>
        </is>
      </c>
      <c r="O1" s="5" t="inlineStr">
        <is>
          <t>F13</t>
        </is>
      </c>
      <c r="P1" s="5" t="inlineStr">
        <is>
          <t>F14</t>
        </is>
      </c>
      <c r="Q1" s="5" t="inlineStr">
        <is>
          <t>F15</t>
        </is>
      </c>
      <c r="R1" s="5" t="inlineStr">
        <is>
          <t>F16</t>
        </is>
      </c>
      <c r="S1" s="5" t="inlineStr">
        <is>
          <t>F17</t>
        </is>
      </c>
      <c r="T1" s="5" t="inlineStr">
        <is>
          <t>F18</t>
        </is>
      </c>
      <c r="U1" s="5" t="inlineStr">
        <is>
          <t>F19</t>
        </is>
      </c>
      <c r="V1" s="5" t="inlineStr">
        <is>
          <t>F20</t>
        </is>
      </c>
      <c r="W1" s="5" t="inlineStr">
        <is>
          <t>F21</t>
        </is>
      </c>
      <c r="X1" s="5" t="inlineStr">
        <is>
          <t>F22</t>
        </is>
      </c>
      <c r="Y1" s="5" t="inlineStr">
        <is>
          <t>F23</t>
        </is>
      </c>
    </row>
    <row r="2">
      <c r="A2" t="n">
        <v>1</v>
      </c>
      <c r="B2" t="n">
        <v>0</v>
      </c>
      <c r="C2" t="n">
        <v>1000</v>
      </c>
      <c r="D2" t="n">
        <v>1000</v>
      </c>
      <c r="E2" t="n">
        <v>1000</v>
      </c>
      <c r="F2" t="n">
        <v>1000</v>
      </c>
      <c r="G2" t="n">
        <v>1000</v>
      </c>
      <c r="H2" t="n">
        <v>1000</v>
      </c>
      <c r="I2" t="n">
        <v>1000</v>
      </c>
      <c r="J2" t="n">
        <v>1000</v>
      </c>
      <c r="K2" t="n">
        <v>1000</v>
      </c>
      <c r="L2" t="n">
        <v>1000</v>
      </c>
      <c r="M2" t="n">
        <v>1000</v>
      </c>
      <c r="N2" t="n">
        <v>1000</v>
      </c>
      <c r="O2" t="n">
        <v>1000</v>
      </c>
      <c r="P2" t="n">
        <v>1000</v>
      </c>
      <c r="Q2" t="n">
        <v>1000</v>
      </c>
      <c r="R2" t="n">
        <v>1000</v>
      </c>
      <c r="S2" t="n">
        <v>1000</v>
      </c>
      <c r="T2" t="n">
        <v>1000</v>
      </c>
      <c r="U2" t="n">
        <v>1000</v>
      </c>
      <c r="V2" t="n">
        <v>1000</v>
      </c>
      <c r="W2" t="n">
        <v>1000</v>
      </c>
      <c r="X2" t="n">
        <v>1000</v>
      </c>
      <c r="Y2" t="n">
        <v>1000</v>
      </c>
    </row>
    <row r="3">
      <c r="A3" t="n">
        <v>2</v>
      </c>
      <c r="B3" t="n">
        <v>0</v>
      </c>
      <c r="C3" t="n">
        <v>1015</v>
      </c>
      <c r="D3" t="n">
        <v>1020</v>
      </c>
      <c r="E3" t="n">
        <v>1030</v>
      </c>
      <c r="F3" t="n">
        <v>1040</v>
      </c>
      <c r="G3" t="n">
        <v>1050</v>
      </c>
      <c r="H3" t="n">
        <v>1060</v>
      </c>
      <c r="I3" t="n">
        <v>1070</v>
      </c>
      <c r="J3" t="n">
        <v>1020</v>
      </c>
      <c r="K3" t="n">
        <v>1020</v>
      </c>
      <c r="L3" t="n">
        <v>1020</v>
      </c>
      <c r="M3" t="n">
        <v>1000</v>
      </c>
      <c r="N3" t="n">
        <v>1010</v>
      </c>
      <c r="O3" t="n">
        <v>1020</v>
      </c>
      <c r="P3" t="n">
        <v>1030</v>
      </c>
      <c r="Q3" t="n">
        <v>1040</v>
      </c>
      <c r="R3" t="n">
        <v>1050</v>
      </c>
      <c r="S3" t="n">
        <v>1060</v>
      </c>
      <c r="T3" t="n">
        <v>1070</v>
      </c>
      <c r="U3" t="n">
        <v>1080</v>
      </c>
      <c r="V3" t="n">
        <v>1010</v>
      </c>
      <c r="W3" t="n">
        <v>1008</v>
      </c>
      <c r="X3" t="n">
        <v>1006</v>
      </c>
      <c r="Y3" t="n">
        <v>1100</v>
      </c>
    </row>
    <row r="4">
      <c r="A4" t="n">
        <v>3</v>
      </c>
      <c r="B4" t="n">
        <v>0</v>
      </c>
      <c r="C4" t="n">
        <v>1031</v>
      </c>
      <c r="D4" t="n">
        <v>1041</v>
      </c>
      <c r="E4" t="n">
        <v>1061</v>
      </c>
      <c r="F4" t="n">
        <v>1082</v>
      </c>
      <c r="G4" t="n">
        <v>1103</v>
      </c>
      <c r="H4" t="n">
        <v>1124</v>
      </c>
      <c r="I4" t="n">
        <v>1145</v>
      </c>
      <c r="J4" t="n">
        <v>1030</v>
      </c>
      <c r="K4" t="n">
        <v>1041</v>
      </c>
      <c r="L4" t="n">
        <v>1030</v>
      </c>
      <c r="M4" t="n">
        <v>1000</v>
      </c>
      <c r="N4" t="n">
        <v>1015</v>
      </c>
      <c r="O4" t="n">
        <v>1030</v>
      </c>
      <c r="P4" t="n">
        <v>1045</v>
      </c>
      <c r="Q4" t="n">
        <v>1060</v>
      </c>
      <c r="R4" t="n">
        <v>1075</v>
      </c>
      <c r="S4" t="n">
        <v>1090</v>
      </c>
      <c r="T4" t="n">
        <v>1105</v>
      </c>
      <c r="U4" t="n">
        <v>1120</v>
      </c>
      <c r="V4" t="n">
        <v>1020</v>
      </c>
      <c r="W4" t="n">
        <v>1012</v>
      </c>
      <c r="X4" t="n">
        <v>1009</v>
      </c>
      <c r="Y4" t="n">
        <v>1150</v>
      </c>
    </row>
    <row r="5">
      <c r="A5" t="n">
        <v>4</v>
      </c>
      <c r="B5" t="n">
        <v>0</v>
      </c>
      <c r="C5" t="n">
        <v>1047</v>
      </c>
      <c r="D5" t="n">
        <v>1062</v>
      </c>
      <c r="E5" t="n">
        <v>1093</v>
      </c>
      <c r="F5" t="n">
        <v>1126</v>
      </c>
      <c r="G5" t="n">
        <v>1159</v>
      </c>
      <c r="H5" t="n">
        <v>1192</v>
      </c>
      <c r="I5" t="n">
        <v>1226</v>
      </c>
      <c r="J5" t="n">
        <v>1040</v>
      </c>
      <c r="K5" t="n">
        <v>1062</v>
      </c>
      <c r="L5" t="n">
        <v>1040</v>
      </c>
      <c r="M5" t="n">
        <v>1000</v>
      </c>
      <c r="N5" t="n">
        <v>1020</v>
      </c>
      <c r="O5" t="n">
        <v>1040</v>
      </c>
      <c r="P5" t="n">
        <v>1060</v>
      </c>
      <c r="Q5" t="n">
        <v>1080</v>
      </c>
      <c r="R5" t="n">
        <v>1100</v>
      </c>
      <c r="S5" t="n">
        <v>1120</v>
      </c>
      <c r="T5" t="n">
        <v>1140</v>
      </c>
      <c r="U5" t="n">
        <v>1160</v>
      </c>
      <c r="V5" t="n">
        <v>1030</v>
      </c>
      <c r="W5" t="n">
        <v>1016</v>
      </c>
      <c r="X5" t="n">
        <v>1012</v>
      </c>
      <c r="Y5" t="n">
        <v>1200</v>
      </c>
    </row>
    <row r="6">
      <c r="A6" t="n">
        <v>5</v>
      </c>
      <c r="B6" t="n">
        <v>0</v>
      </c>
      <c r="C6" t="n">
        <v>1063</v>
      </c>
      <c r="D6" t="n">
        <v>1084</v>
      </c>
      <c r="E6" t="n">
        <v>1126</v>
      </c>
      <c r="F6" t="n">
        <v>1172</v>
      </c>
      <c r="G6" t="n">
        <v>1217</v>
      </c>
      <c r="H6" t="n">
        <v>1264</v>
      </c>
      <c r="I6" t="n">
        <v>1312</v>
      </c>
      <c r="J6" t="n">
        <v>1050</v>
      </c>
      <c r="K6" t="n">
        <v>1084</v>
      </c>
      <c r="L6" t="n">
        <v>1050</v>
      </c>
      <c r="M6" t="n">
        <v>1000</v>
      </c>
      <c r="N6" t="n">
        <v>1025</v>
      </c>
      <c r="O6" t="n">
        <v>1050</v>
      </c>
      <c r="P6" t="n">
        <v>1075</v>
      </c>
      <c r="Q6" t="n">
        <v>1100</v>
      </c>
      <c r="R6" t="n">
        <v>1125</v>
      </c>
      <c r="S6" t="n">
        <v>1150</v>
      </c>
      <c r="T6" t="n">
        <v>1175</v>
      </c>
      <c r="U6" t="n">
        <v>1200</v>
      </c>
      <c r="V6" t="n">
        <v>1040</v>
      </c>
      <c r="W6" t="n">
        <v>1020</v>
      </c>
      <c r="X6" t="n">
        <v>1015</v>
      </c>
      <c r="Y6" t="n">
        <v>1250</v>
      </c>
    </row>
    <row r="7">
      <c r="A7" t="n">
        <v>6</v>
      </c>
      <c r="B7" t="n">
        <v>0</v>
      </c>
      <c r="C7" t="n">
        <v>1079</v>
      </c>
      <c r="D7" t="n">
        <v>1106</v>
      </c>
      <c r="E7" t="n">
        <v>1160</v>
      </c>
      <c r="F7" t="n">
        <v>1219</v>
      </c>
      <c r="G7" t="n">
        <v>1278</v>
      </c>
      <c r="H7" t="n">
        <v>1340</v>
      </c>
      <c r="I7" t="n">
        <v>1404</v>
      </c>
      <c r="J7" t="n">
        <v>1060</v>
      </c>
      <c r="K7" t="n">
        <v>1106</v>
      </c>
      <c r="L7" t="n">
        <v>1060</v>
      </c>
      <c r="M7" t="n">
        <v>1000</v>
      </c>
      <c r="N7" t="n">
        <v>1030</v>
      </c>
      <c r="O7" t="n">
        <v>1060</v>
      </c>
      <c r="P7" t="n">
        <v>1090</v>
      </c>
      <c r="Q7" t="n">
        <v>1120</v>
      </c>
      <c r="R7" t="n">
        <v>1150</v>
      </c>
      <c r="S7" t="n">
        <v>1180</v>
      </c>
      <c r="T7" t="n">
        <v>1210</v>
      </c>
      <c r="U7" t="n">
        <v>1240</v>
      </c>
      <c r="V7" t="n">
        <v>1050</v>
      </c>
      <c r="W7" t="n">
        <v>1024</v>
      </c>
      <c r="X7" t="n">
        <v>1018</v>
      </c>
      <c r="Y7" t="n">
        <v>1300</v>
      </c>
    </row>
    <row r="8">
      <c r="A8" t="n">
        <v>7</v>
      </c>
      <c r="B8" t="n">
        <v>0</v>
      </c>
      <c r="C8" t="n">
        <v>1096</v>
      </c>
      <c r="D8" t="n">
        <v>1129</v>
      </c>
      <c r="E8" t="n">
        <v>1195</v>
      </c>
      <c r="F8" t="n">
        <v>1268</v>
      </c>
      <c r="G8" t="n">
        <v>1342</v>
      </c>
      <c r="H8" t="n">
        <v>1421</v>
      </c>
      <c r="I8" t="n">
        <v>1503</v>
      </c>
      <c r="J8" t="n">
        <v>1070</v>
      </c>
      <c r="K8" t="n">
        <v>1129</v>
      </c>
      <c r="L8" t="n">
        <v>1070</v>
      </c>
      <c r="M8" t="n">
        <v>1000</v>
      </c>
      <c r="N8" t="n">
        <v>1035</v>
      </c>
      <c r="O8" t="n">
        <v>1070</v>
      </c>
      <c r="P8" t="n">
        <v>1105</v>
      </c>
      <c r="Q8" t="n">
        <v>1140</v>
      </c>
      <c r="R8" t="n">
        <v>1175</v>
      </c>
      <c r="S8" t="n">
        <v>1210</v>
      </c>
      <c r="T8" t="n">
        <v>1245</v>
      </c>
      <c r="U8" t="n">
        <v>1280</v>
      </c>
      <c r="V8" t="n">
        <v>1060</v>
      </c>
      <c r="W8" t="n">
        <v>1028</v>
      </c>
      <c r="X8" t="n">
        <v>1021</v>
      </c>
      <c r="Y8" t="n">
        <v>1350</v>
      </c>
    </row>
    <row r="9">
      <c r="A9" t="n">
        <v>8</v>
      </c>
      <c r="B9" t="n">
        <v>0</v>
      </c>
      <c r="C9" t="n">
        <v>1113</v>
      </c>
      <c r="D9" t="n">
        <v>1152</v>
      </c>
      <c r="E9" t="n">
        <v>1231</v>
      </c>
      <c r="F9" t="n">
        <v>1319</v>
      </c>
      <c r="G9" t="n">
        <v>1410</v>
      </c>
      <c r="H9" t="n">
        <v>1507</v>
      </c>
      <c r="I9" t="n">
        <v>1609</v>
      </c>
      <c r="J9" t="n">
        <v>1080</v>
      </c>
      <c r="K9" t="n">
        <v>1152</v>
      </c>
      <c r="L9" t="n">
        <v>1080</v>
      </c>
      <c r="M9" t="n">
        <v>1000</v>
      </c>
      <c r="N9" t="n">
        <v>1040</v>
      </c>
      <c r="O9" t="n">
        <v>1080</v>
      </c>
      <c r="P9" t="n">
        <v>1120</v>
      </c>
      <c r="Q9" t="n">
        <v>1160</v>
      </c>
      <c r="R9" t="n">
        <v>1200</v>
      </c>
      <c r="S9" t="n">
        <v>1240</v>
      </c>
      <c r="T9" t="n">
        <v>1280</v>
      </c>
      <c r="U9" t="n">
        <v>1320</v>
      </c>
      <c r="V9" t="n">
        <v>1070</v>
      </c>
      <c r="W9" t="n">
        <v>1032</v>
      </c>
      <c r="X9" t="n">
        <v>1024</v>
      </c>
      <c r="Y9" t="n">
        <v>1400</v>
      </c>
    </row>
    <row r="10">
      <c r="A10" t="n">
        <v>9</v>
      </c>
      <c r="B10" t="n">
        <v>0</v>
      </c>
      <c r="C10" t="n">
        <v>1130</v>
      </c>
      <c r="D10" t="n">
        <v>1176</v>
      </c>
      <c r="E10" t="n">
        <v>1268</v>
      </c>
      <c r="F10" t="n">
        <v>1372</v>
      </c>
      <c r="G10" t="n">
        <v>1481</v>
      </c>
      <c r="H10" t="n">
        <v>1598</v>
      </c>
      <c r="I10" t="n">
        <v>1722</v>
      </c>
      <c r="J10" t="n">
        <v>1090</v>
      </c>
      <c r="K10" t="n">
        <v>1176</v>
      </c>
      <c r="L10" t="n">
        <v>1090</v>
      </c>
      <c r="M10" t="n">
        <v>1000</v>
      </c>
      <c r="N10" t="n">
        <v>1045</v>
      </c>
      <c r="O10" t="n">
        <v>1090</v>
      </c>
      <c r="P10" t="n">
        <v>1135</v>
      </c>
      <c r="Q10" t="n">
        <v>1180</v>
      </c>
      <c r="R10" t="n">
        <v>1225</v>
      </c>
      <c r="S10" t="n">
        <v>1270</v>
      </c>
      <c r="T10" t="n">
        <v>1315</v>
      </c>
      <c r="U10" t="n">
        <v>1360</v>
      </c>
      <c r="V10" t="n">
        <v>1080</v>
      </c>
      <c r="W10" t="n">
        <v>1036</v>
      </c>
      <c r="X10" t="n">
        <v>1027</v>
      </c>
      <c r="Y10" t="n">
        <v>1450</v>
      </c>
    </row>
    <row r="11">
      <c r="A11" t="n">
        <v>10</v>
      </c>
      <c r="B11" t="n">
        <v>0</v>
      </c>
      <c r="C11" t="n">
        <v>1147</v>
      </c>
      <c r="D11" t="n">
        <v>1200</v>
      </c>
      <c r="E11" t="n">
        <v>1307</v>
      </c>
      <c r="F11" t="n">
        <v>1427</v>
      </c>
      <c r="G11" t="n">
        <v>1556</v>
      </c>
      <c r="H11" t="n">
        <v>1694</v>
      </c>
      <c r="I11" t="n">
        <v>1843</v>
      </c>
      <c r="J11" t="n">
        <v>1100</v>
      </c>
      <c r="K11" t="n">
        <v>1200</v>
      </c>
      <c r="L11" t="n">
        <v>1100</v>
      </c>
      <c r="M11" t="n">
        <v>1000</v>
      </c>
      <c r="N11" t="n">
        <v>1050</v>
      </c>
      <c r="O11" t="n">
        <v>1100</v>
      </c>
      <c r="P11" t="n">
        <v>1150</v>
      </c>
      <c r="Q11" t="n">
        <v>1200</v>
      </c>
      <c r="R11" t="n">
        <v>1250</v>
      </c>
      <c r="S11" t="n">
        <v>1300</v>
      </c>
      <c r="T11" t="n">
        <v>1350</v>
      </c>
      <c r="U11" t="n">
        <v>1400</v>
      </c>
      <c r="V11" t="n">
        <v>1090</v>
      </c>
      <c r="W11" t="n">
        <v>1040</v>
      </c>
      <c r="X11" t="n">
        <v>1030</v>
      </c>
      <c r="Y11" t="n">
        <v>1500</v>
      </c>
    </row>
    <row r="12">
      <c r="A12" t="n">
        <v>11</v>
      </c>
      <c r="B12" t="n">
        <v>0</v>
      </c>
      <c r="C12" t="n">
        <v>1165</v>
      </c>
      <c r="D12" t="n">
        <v>1224</v>
      </c>
      <c r="E12" t="n">
        <v>1347</v>
      </c>
      <c r="F12" t="n">
        <v>1485</v>
      </c>
      <c r="G12" t="n">
        <v>1634</v>
      </c>
      <c r="H12" t="n">
        <v>1796</v>
      </c>
      <c r="I12" t="n">
        <v>1973</v>
      </c>
      <c r="J12" t="n">
        <v>1110</v>
      </c>
      <c r="K12" t="n">
        <v>1224</v>
      </c>
      <c r="L12" t="n">
        <v>1110</v>
      </c>
      <c r="M12" t="n">
        <v>1000</v>
      </c>
      <c r="N12" t="n">
        <v>1055</v>
      </c>
      <c r="O12" t="n">
        <v>1110</v>
      </c>
      <c r="P12" t="n">
        <v>1165</v>
      </c>
      <c r="Q12" t="n">
        <v>1220</v>
      </c>
      <c r="R12" t="n">
        <v>1275</v>
      </c>
      <c r="S12" t="n">
        <v>1330</v>
      </c>
      <c r="T12" t="n">
        <v>1385</v>
      </c>
      <c r="U12" t="n">
        <v>1440</v>
      </c>
      <c r="V12" t="n">
        <v>1100</v>
      </c>
      <c r="W12" t="n">
        <v>1044</v>
      </c>
      <c r="X12" t="n">
        <v>1033</v>
      </c>
      <c r="Y12" t="n">
        <v>1550</v>
      </c>
    </row>
    <row r="13">
      <c r="A13" t="n">
        <v>12</v>
      </c>
      <c r="B13" t="n">
        <v>0</v>
      </c>
      <c r="C13" t="n">
        <v>1183</v>
      </c>
      <c r="D13" t="n">
        <v>1249</v>
      </c>
      <c r="E13" t="n">
        <v>1388</v>
      </c>
      <c r="F13" t="n">
        <v>1545</v>
      </c>
      <c r="G13" t="n">
        <v>1716</v>
      </c>
      <c r="H13" t="n">
        <v>1904</v>
      </c>
      <c r="I13" t="n">
        <v>2112</v>
      </c>
      <c r="J13" t="n">
        <v>1120</v>
      </c>
      <c r="K13" t="n">
        <v>1249</v>
      </c>
      <c r="L13" t="n">
        <v>1120</v>
      </c>
      <c r="M13" t="n">
        <v>1000</v>
      </c>
      <c r="N13" t="n">
        <v>1060</v>
      </c>
      <c r="O13" t="n">
        <v>1120</v>
      </c>
      <c r="P13" t="n">
        <v>1180</v>
      </c>
      <c r="Q13" t="n">
        <v>1240</v>
      </c>
      <c r="R13" t="n">
        <v>1300</v>
      </c>
      <c r="S13" t="n">
        <v>1360</v>
      </c>
      <c r="T13" t="n">
        <v>1420</v>
      </c>
      <c r="U13" t="n">
        <v>1480</v>
      </c>
      <c r="V13" t="n">
        <v>1110</v>
      </c>
      <c r="W13" t="n">
        <v>1048</v>
      </c>
      <c r="X13" t="n">
        <v>1036</v>
      </c>
      <c r="Y13" t="n">
        <v>1600</v>
      </c>
    </row>
    <row r="14">
      <c r="A14" t="n">
        <v>13</v>
      </c>
      <c r="B14" t="n">
        <v>0</v>
      </c>
      <c r="C14" t="n">
        <v>1201</v>
      </c>
      <c r="D14" t="n">
        <v>1274</v>
      </c>
      <c r="E14" t="n">
        <v>1430</v>
      </c>
      <c r="F14" t="n">
        <v>1607</v>
      </c>
      <c r="G14" t="n">
        <v>1802</v>
      </c>
      <c r="H14" t="n">
        <v>2019</v>
      </c>
      <c r="I14" t="n">
        <v>2260</v>
      </c>
      <c r="J14" t="n">
        <v>1130</v>
      </c>
      <c r="K14" t="n">
        <v>1274</v>
      </c>
      <c r="L14" t="n">
        <v>1130</v>
      </c>
      <c r="M14" t="n">
        <v>1000</v>
      </c>
      <c r="N14" t="n">
        <v>1065</v>
      </c>
      <c r="O14" t="n">
        <v>1130</v>
      </c>
      <c r="P14" t="n">
        <v>1195</v>
      </c>
      <c r="Q14" t="n">
        <v>1260</v>
      </c>
      <c r="R14" t="n">
        <v>1325</v>
      </c>
      <c r="S14" t="n">
        <v>1390</v>
      </c>
      <c r="T14" t="n">
        <v>1455</v>
      </c>
      <c r="U14" t="n">
        <v>1520</v>
      </c>
      <c r="V14" t="n">
        <v>1120</v>
      </c>
      <c r="W14" t="n">
        <v>1052</v>
      </c>
      <c r="X14" t="n">
        <v>1039</v>
      </c>
      <c r="Y14" t="n">
        <v>1650</v>
      </c>
    </row>
    <row r="15">
      <c r="A15" t="n">
        <v>14</v>
      </c>
      <c r="B15" t="n">
        <v>0</v>
      </c>
      <c r="C15" t="n">
        <v>1220</v>
      </c>
      <c r="D15" t="n">
        <v>1300</v>
      </c>
      <c r="E15" t="n">
        <v>1473</v>
      </c>
      <c r="F15" t="n">
        <v>1672</v>
      </c>
      <c r="G15" t="n">
        <v>1893</v>
      </c>
      <c r="H15" t="n">
        <v>2141</v>
      </c>
      <c r="I15" t="n">
        <v>2419</v>
      </c>
      <c r="J15" t="n">
        <v>1140</v>
      </c>
      <c r="K15" t="n">
        <v>1300</v>
      </c>
      <c r="L15" t="n">
        <v>1140</v>
      </c>
      <c r="M15" t="n">
        <v>1000</v>
      </c>
      <c r="N15" t="n">
        <v>1070</v>
      </c>
      <c r="O15" t="n">
        <v>1140</v>
      </c>
      <c r="P15" t="n">
        <v>1210</v>
      </c>
      <c r="Q15" t="n">
        <v>1280</v>
      </c>
      <c r="R15" t="n">
        <v>1350</v>
      </c>
      <c r="S15" t="n">
        <v>1420</v>
      </c>
      <c r="T15" t="n">
        <v>1490</v>
      </c>
      <c r="U15" t="n">
        <v>1560</v>
      </c>
      <c r="V15" t="n">
        <v>1130</v>
      </c>
      <c r="W15" t="n">
        <v>1056</v>
      </c>
      <c r="X15" t="n">
        <v>1042</v>
      </c>
      <c r="Y15" t="n">
        <v>1700</v>
      </c>
    </row>
    <row r="16">
      <c r="A16" t="n">
        <v>15</v>
      </c>
      <c r="B16" t="n">
        <v>0</v>
      </c>
      <c r="C16" t="n">
        <v>1239</v>
      </c>
      <c r="D16" t="n">
        <v>1326</v>
      </c>
      <c r="E16" t="n">
        <v>1518</v>
      </c>
      <c r="F16" t="n">
        <v>1739</v>
      </c>
      <c r="G16" t="n">
        <v>1988</v>
      </c>
      <c r="H16" t="n">
        <v>2270</v>
      </c>
      <c r="I16" t="n">
        <v>2589</v>
      </c>
      <c r="J16" t="n">
        <v>1150</v>
      </c>
      <c r="K16" t="n">
        <v>1326</v>
      </c>
      <c r="L16" t="n">
        <v>1150</v>
      </c>
      <c r="M16" t="n">
        <v>1000</v>
      </c>
      <c r="N16" t="n">
        <v>1075</v>
      </c>
      <c r="O16" t="n">
        <v>1150</v>
      </c>
      <c r="P16" t="n">
        <v>1225</v>
      </c>
      <c r="Q16" t="n">
        <v>1300</v>
      </c>
      <c r="R16" t="n">
        <v>1375</v>
      </c>
      <c r="S16" t="n">
        <v>1450</v>
      </c>
      <c r="T16" t="n">
        <v>1525</v>
      </c>
      <c r="U16" t="n">
        <v>1600</v>
      </c>
      <c r="V16" t="n">
        <v>1140</v>
      </c>
      <c r="W16" t="n">
        <v>1060</v>
      </c>
      <c r="X16" t="n">
        <v>1045</v>
      </c>
      <c r="Y16" t="n">
        <v>1750</v>
      </c>
    </row>
    <row r="17">
      <c r="A17" t="n">
        <v>16</v>
      </c>
      <c r="B17" t="n">
        <v>0</v>
      </c>
      <c r="C17" t="n">
        <v>1258</v>
      </c>
      <c r="D17" t="n">
        <v>1353</v>
      </c>
      <c r="E17" t="n">
        <v>1564</v>
      </c>
      <c r="F17" t="n">
        <v>1809</v>
      </c>
      <c r="G17" t="n">
        <v>2088</v>
      </c>
      <c r="H17" t="n">
        <v>2407</v>
      </c>
      <c r="I17" t="n">
        <v>2771</v>
      </c>
      <c r="J17" t="n">
        <v>1160</v>
      </c>
      <c r="K17" t="n">
        <v>1353</v>
      </c>
      <c r="L17" t="n">
        <v>1160</v>
      </c>
      <c r="M17" t="n">
        <v>1000</v>
      </c>
      <c r="N17" t="n">
        <v>1080</v>
      </c>
      <c r="O17" t="n">
        <v>1160</v>
      </c>
      <c r="P17" t="n">
        <v>1240</v>
      </c>
      <c r="Q17" t="n">
        <v>1320</v>
      </c>
      <c r="R17" t="n">
        <v>1400</v>
      </c>
      <c r="S17" t="n">
        <v>1480</v>
      </c>
      <c r="T17" t="n">
        <v>1560</v>
      </c>
      <c r="U17" t="n">
        <v>1640</v>
      </c>
      <c r="V17" t="n">
        <v>1150</v>
      </c>
      <c r="W17" t="n">
        <v>1064</v>
      </c>
      <c r="X17" t="n">
        <v>1048</v>
      </c>
      <c r="Y17" t="n">
        <v>1800</v>
      </c>
    </row>
    <row r="18">
      <c r="A18" t="n">
        <v>17</v>
      </c>
      <c r="B18" t="n">
        <v>0</v>
      </c>
      <c r="C18" t="n">
        <v>1277</v>
      </c>
      <c r="D18" t="n">
        <v>1381</v>
      </c>
      <c r="E18" t="n">
        <v>1611</v>
      </c>
      <c r="F18" t="n">
        <v>1882</v>
      </c>
      <c r="G18" t="n">
        <v>2193</v>
      </c>
      <c r="H18" t="n">
        <v>2552</v>
      </c>
      <c r="I18" t="n">
        <v>2965</v>
      </c>
      <c r="J18" t="n">
        <v>1170</v>
      </c>
      <c r="K18" t="n">
        <v>1381</v>
      </c>
      <c r="L18" t="n">
        <v>1170</v>
      </c>
      <c r="M18" t="n">
        <v>1000</v>
      </c>
      <c r="N18" t="n">
        <v>1085</v>
      </c>
      <c r="O18" t="n">
        <v>1170</v>
      </c>
      <c r="P18" t="n">
        <v>1255</v>
      </c>
      <c r="Q18" t="n">
        <v>1340</v>
      </c>
      <c r="R18" t="n">
        <v>1425</v>
      </c>
      <c r="S18" t="n">
        <v>1510</v>
      </c>
      <c r="T18" t="n">
        <v>1595</v>
      </c>
      <c r="U18" t="n">
        <v>1680</v>
      </c>
      <c r="V18" t="n">
        <v>1160</v>
      </c>
      <c r="W18" t="n">
        <v>1068</v>
      </c>
      <c r="X18" t="n">
        <v>1051</v>
      </c>
      <c r="Y18" t="n">
        <v>1850</v>
      </c>
    </row>
    <row r="19">
      <c r="A19" t="n">
        <v>18</v>
      </c>
      <c r="B19" t="n">
        <v>0</v>
      </c>
      <c r="C19" t="n">
        <v>1297</v>
      </c>
      <c r="D19" t="n">
        <v>1409</v>
      </c>
      <c r="E19" t="n">
        <v>1660</v>
      </c>
      <c r="F19" t="n">
        <v>1958</v>
      </c>
      <c r="G19" t="n">
        <v>2303</v>
      </c>
      <c r="H19" t="n">
        <v>2706</v>
      </c>
      <c r="I19" t="n">
        <v>3173</v>
      </c>
      <c r="J19" t="n">
        <v>1180</v>
      </c>
      <c r="K19" t="n">
        <v>1409</v>
      </c>
      <c r="L19" t="n">
        <v>1180</v>
      </c>
      <c r="M19" t="n">
        <v>1000</v>
      </c>
      <c r="N19" t="n">
        <v>1090</v>
      </c>
      <c r="O19" t="n">
        <v>1180</v>
      </c>
      <c r="P19" t="n">
        <v>1270</v>
      </c>
      <c r="Q19" t="n">
        <v>1360</v>
      </c>
      <c r="R19" t="n">
        <v>1450</v>
      </c>
      <c r="S19" t="n">
        <v>1540</v>
      </c>
      <c r="T19" t="n">
        <v>1630</v>
      </c>
      <c r="U19" t="n">
        <v>1720</v>
      </c>
      <c r="V19" t="n">
        <v>1170</v>
      </c>
      <c r="W19" t="n">
        <v>1072</v>
      </c>
      <c r="X19" t="n">
        <v>1054</v>
      </c>
      <c r="Y19" t="n">
        <v>1900</v>
      </c>
    </row>
    <row r="20">
      <c r="A20" t="n">
        <v>19</v>
      </c>
      <c r="B20" t="n">
        <v>0</v>
      </c>
      <c r="C20" t="n">
        <v>1317</v>
      </c>
      <c r="D20" t="n">
        <v>1438</v>
      </c>
      <c r="E20" t="n">
        <v>1710</v>
      </c>
      <c r="F20" t="n">
        <v>2037</v>
      </c>
      <c r="G20" t="n">
        <v>2419</v>
      </c>
      <c r="H20" t="n">
        <v>2869</v>
      </c>
      <c r="I20" t="n">
        <v>3396</v>
      </c>
      <c r="J20" t="n">
        <v>1190</v>
      </c>
      <c r="K20" t="n">
        <v>1438</v>
      </c>
      <c r="L20" t="n">
        <v>1190</v>
      </c>
      <c r="M20" t="n">
        <v>1000</v>
      </c>
      <c r="N20" t="n">
        <v>1095</v>
      </c>
      <c r="O20" t="n">
        <v>1190</v>
      </c>
      <c r="P20" t="n">
        <v>1285</v>
      </c>
      <c r="Q20" t="n">
        <v>1380</v>
      </c>
      <c r="R20" t="n">
        <v>1475</v>
      </c>
      <c r="S20" t="n">
        <v>1570</v>
      </c>
      <c r="T20" t="n">
        <v>1665</v>
      </c>
      <c r="U20" t="n">
        <v>1760</v>
      </c>
      <c r="V20" t="n">
        <v>1180</v>
      </c>
      <c r="W20" t="n">
        <v>1076</v>
      </c>
      <c r="X20" t="n">
        <v>1057</v>
      </c>
      <c r="Y20" t="n">
        <v>1950</v>
      </c>
    </row>
    <row r="21">
      <c r="A21" t="n">
        <v>20</v>
      </c>
      <c r="B21" t="n">
        <v>0</v>
      </c>
      <c r="C21" t="n">
        <v>1337</v>
      </c>
      <c r="D21" t="n">
        <v>1467</v>
      </c>
      <c r="E21" t="n">
        <v>1762</v>
      </c>
      <c r="F21" t="n">
        <v>2119</v>
      </c>
      <c r="G21" t="n">
        <v>2540</v>
      </c>
      <c r="H21" t="n">
        <v>3042</v>
      </c>
      <c r="I21" t="n">
        <v>3634</v>
      </c>
      <c r="J21" t="n">
        <v>1200</v>
      </c>
      <c r="K21" t="n">
        <v>1467</v>
      </c>
      <c r="L21" t="n">
        <v>1200</v>
      </c>
      <c r="M21" t="n">
        <v>1000</v>
      </c>
      <c r="N21" t="n">
        <v>1100</v>
      </c>
      <c r="O21" t="n">
        <v>1200</v>
      </c>
      <c r="P21" t="n">
        <v>1300</v>
      </c>
      <c r="Q21" t="n">
        <v>1400</v>
      </c>
      <c r="R21" t="n">
        <v>1500</v>
      </c>
      <c r="S21" t="n">
        <v>1600</v>
      </c>
      <c r="T21" t="n">
        <v>1700</v>
      </c>
      <c r="U21" t="n">
        <v>1800</v>
      </c>
      <c r="V21" t="n">
        <v>1190</v>
      </c>
      <c r="W21" t="n">
        <v>1080</v>
      </c>
      <c r="X21" t="n">
        <v>1060</v>
      </c>
      <c r="Y21" t="n">
        <v>2000</v>
      </c>
    </row>
    <row r="22">
      <c r="A22" t="n">
        <v>21</v>
      </c>
      <c r="B22" t="n">
        <v>0</v>
      </c>
      <c r="C22" t="n">
        <v>1358</v>
      </c>
      <c r="D22" t="n">
        <v>1497</v>
      </c>
      <c r="E22" t="n">
        <v>1815</v>
      </c>
      <c r="F22" t="n">
        <v>2204</v>
      </c>
      <c r="G22" t="n">
        <v>2667</v>
      </c>
      <c r="H22" t="n">
        <v>3225</v>
      </c>
      <c r="I22" t="n">
        <v>3889</v>
      </c>
      <c r="J22" t="n">
        <v>1210</v>
      </c>
      <c r="K22" t="n">
        <v>1497</v>
      </c>
      <c r="L22" t="n">
        <v>1210</v>
      </c>
      <c r="M22" t="n">
        <v>1000</v>
      </c>
      <c r="N22" t="n">
        <v>1105</v>
      </c>
      <c r="O22" t="n">
        <v>1210</v>
      </c>
      <c r="P22" t="n">
        <v>1315</v>
      </c>
      <c r="Q22" t="n">
        <v>1420</v>
      </c>
      <c r="R22" t="n">
        <v>1525</v>
      </c>
      <c r="S22" t="n">
        <v>1630</v>
      </c>
      <c r="T22" t="n">
        <v>1735</v>
      </c>
      <c r="U22" t="n">
        <v>1840</v>
      </c>
      <c r="V22" t="n">
        <v>1200</v>
      </c>
      <c r="W22" t="n">
        <v>1084</v>
      </c>
      <c r="X22" t="n">
        <v>1063</v>
      </c>
      <c r="Y22" t="n">
        <v>2050</v>
      </c>
    </row>
    <row r="23">
      <c r="A23" t="n">
        <v>22</v>
      </c>
      <c r="B23" t="n">
        <v>0</v>
      </c>
      <c r="C23" t="n">
        <v>1379</v>
      </c>
      <c r="D23" t="n">
        <v>1527</v>
      </c>
      <c r="E23" t="n">
        <v>1870</v>
      </c>
      <c r="F23" t="n">
        <v>2293</v>
      </c>
      <c r="G23" t="n">
        <v>2801</v>
      </c>
      <c r="H23" t="n">
        <v>3419</v>
      </c>
      <c r="I23" t="n">
        <v>4162</v>
      </c>
      <c r="J23" t="n">
        <v>1220</v>
      </c>
      <c r="K23" t="n">
        <v>1527</v>
      </c>
      <c r="L23" t="n">
        <v>1220</v>
      </c>
      <c r="M23" t="n">
        <v>1000</v>
      </c>
      <c r="N23" t="n">
        <v>1110</v>
      </c>
      <c r="O23" t="n">
        <v>1220</v>
      </c>
      <c r="P23" t="n">
        <v>1330</v>
      </c>
      <c r="Q23" t="n">
        <v>1440</v>
      </c>
      <c r="R23" t="n">
        <v>1550</v>
      </c>
      <c r="S23" t="n">
        <v>1660</v>
      </c>
      <c r="T23" t="n">
        <v>1770</v>
      </c>
      <c r="U23" t="n">
        <v>1880</v>
      </c>
      <c r="V23" t="n">
        <v>1211</v>
      </c>
      <c r="W23" t="n">
        <v>1088</v>
      </c>
      <c r="X23" t="n">
        <v>1066</v>
      </c>
      <c r="Y23" t="n">
        <v>2100</v>
      </c>
    </row>
    <row r="24">
      <c r="A24" t="n">
        <v>23</v>
      </c>
      <c r="B24" t="n">
        <v>0</v>
      </c>
      <c r="C24" t="n">
        <v>1400</v>
      </c>
      <c r="D24" t="n">
        <v>1558</v>
      </c>
      <c r="E24" t="n">
        <v>1927</v>
      </c>
      <c r="F24" t="n">
        <v>2385</v>
      </c>
      <c r="G24" t="n">
        <v>2942</v>
      </c>
      <c r="H24" t="n">
        <v>3625</v>
      </c>
      <c r="I24" t="n">
        <v>4454</v>
      </c>
      <c r="J24" t="n">
        <v>1230</v>
      </c>
      <c r="K24" t="n">
        <v>1558</v>
      </c>
      <c r="L24" t="n">
        <v>1230</v>
      </c>
      <c r="M24" t="n">
        <v>1000</v>
      </c>
      <c r="N24" t="n">
        <v>1115</v>
      </c>
      <c r="O24" t="n">
        <v>1230</v>
      </c>
      <c r="P24" t="n">
        <v>1345</v>
      </c>
      <c r="Q24" t="n">
        <v>1460</v>
      </c>
      <c r="R24" t="n">
        <v>1575</v>
      </c>
      <c r="S24" t="n">
        <v>1690</v>
      </c>
      <c r="T24" t="n">
        <v>1805</v>
      </c>
      <c r="U24" t="n">
        <v>1920</v>
      </c>
      <c r="V24" t="n">
        <v>1222</v>
      </c>
      <c r="W24" t="n">
        <v>1092</v>
      </c>
      <c r="X24" t="n">
        <v>1069</v>
      </c>
      <c r="Y24" t="n">
        <v>2150</v>
      </c>
    </row>
    <row r="25">
      <c r="A25" t="n">
        <v>24</v>
      </c>
      <c r="B25" t="n">
        <v>0</v>
      </c>
      <c r="C25" t="n">
        <v>1421</v>
      </c>
      <c r="D25" t="n">
        <v>1590</v>
      </c>
      <c r="E25" t="n">
        <v>1985</v>
      </c>
      <c r="F25" t="n">
        <v>2481</v>
      </c>
      <c r="G25" t="n">
        <v>3090</v>
      </c>
      <c r="H25" t="n">
        <v>3843</v>
      </c>
      <c r="I25" t="n">
        <v>4766</v>
      </c>
      <c r="J25" t="n">
        <v>1240</v>
      </c>
      <c r="K25" t="n">
        <v>1590</v>
      </c>
      <c r="L25" t="n">
        <v>1240</v>
      </c>
      <c r="M25" t="n">
        <v>1000</v>
      </c>
      <c r="N25" t="n">
        <v>1120</v>
      </c>
      <c r="O25" t="n">
        <v>1240</v>
      </c>
      <c r="P25" t="n">
        <v>1360</v>
      </c>
      <c r="Q25" t="n">
        <v>1480</v>
      </c>
      <c r="R25" t="n">
        <v>1600</v>
      </c>
      <c r="S25" t="n">
        <v>1720</v>
      </c>
      <c r="T25" t="n">
        <v>1840</v>
      </c>
      <c r="U25" t="n">
        <v>1960</v>
      </c>
      <c r="V25" t="n">
        <v>1233</v>
      </c>
      <c r="W25" t="n">
        <v>1096</v>
      </c>
      <c r="X25" t="n">
        <v>1072</v>
      </c>
      <c r="Y25" t="n">
        <v>2200</v>
      </c>
    </row>
    <row r="26">
      <c r="A26" t="n">
        <v>25</v>
      </c>
      <c r="B26" t="n">
        <v>0</v>
      </c>
      <c r="C26" t="n">
        <v>1443</v>
      </c>
      <c r="D26" t="n">
        <v>1622</v>
      </c>
      <c r="E26" t="n">
        <v>2045</v>
      </c>
      <c r="F26" t="n">
        <v>2581</v>
      </c>
      <c r="G26" t="n">
        <v>3245</v>
      </c>
      <c r="H26" t="n">
        <v>4074</v>
      </c>
      <c r="I26" t="n">
        <v>5100</v>
      </c>
      <c r="J26" t="n">
        <v>1250</v>
      </c>
      <c r="K26" t="n">
        <v>1622</v>
      </c>
      <c r="L26" t="n">
        <v>1250</v>
      </c>
      <c r="M26" t="n">
        <v>1000</v>
      </c>
      <c r="N26" t="n">
        <v>1125</v>
      </c>
      <c r="O26" t="n">
        <v>1250</v>
      </c>
      <c r="P26" t="n">
        <v>1375</v>
      </c>
      <c r="Q26" t="n">
        <v>1500</v>
      </c>
      <c r="R26" t="n">
        <v>1625</v>
      </c>
      <c r="S26" t="n">
        <v>1750</v>
      </c>
      <c r="T26" t="n">
        <v>1875</v>
      </c>
      <c r="U26" t="n">
        <v>2000</v>
      </c>
      <c r="V26" t="n">
        <v>1244</v>
      </c>
      <c r="W26" t="n">
        <v>1100</v>
      </c>
      <c r="X26" t="n">
        <v>1075</v>
      </c>
      <c r="Y26" t="n">
        <v>2250</v>
      </c>
    </row>
    <row r="27">
      <c r="A27" t="n">
        <v>26</v>
      </c>
      <c r="B27" t="n">
        <v>0</v>
      </c>
      <c r="C27" t="n">
        <v>1465</v>
      </c>
      <c r="D27" t="n">
        <v>1655</v>
      </c>
      <c r="E27" t="n">
        <v>2107</v>
      </c>
      <c r="F27" t="n">
        <v>2685</v>
      </c>
      <c r="G27" t="n">
        <v>3408</v>
      </c>
      <c r="H27" t="n">
        <v>4319</v>
      </c>
      <c r="I27" t="n">
        <v>5457</v>
      </c>
      <c r="J27" t="n">
        <v>1260</v>
      </c>
      <c r="K27" t="n">
        <v>1655</v>
      </c>
      <c r="L27" t="n">
        <v>1260</v>
      </c>
      <c r="M27" t="n">
        <v>1000</v>
      </c>
      <c r="N27" t="n">
        <v>1130</v>
      </c>
      <c r="O27" t="n">
        <v>1260</v>
      </c>
      <c r="P27" t="n">
        <v>1390</v>
      </c>
      <c r="Q27" t="n">
        <v>1520</v>
      </c>
      <c r="R27" t="n">
        <v>1650</v>
      </c>
      <c r="S27" t="n">
        <v>1780</v>
      </c>
      <c r="T27" t="n">
        <v>1910</v>
      </c>
      <c r="U27" t="n">
        <v>2040</v>
      </c>
      <c r="V27" t="n">
        <v>1255</v>
      </c>
      <c r="W27" t="n">
        <v>1104</v>
      </c>
      <c r="X27" t="n">
        <v>1078</v>
      </c>
      <c r="Y27" t="n">
        <v>2300</v>
      </c>
    </row>
    <row r="28">
      <c r="A28" t="n">
        <v>27</v>
      </c>
      <c r="B28" t="n">
        <v>0</v>
      </c>
      <c r="C28" t="n">
        <v>1487</v>
      </c>
      <c r="D28" t="n">
        <v>1689</v>
      </c>
      <c r="E28" t="n">
        <v>2171</v>
      </c>
      <c r="F28" t="n">
        <v>2793</v>
      </c>
      <c r="G28" t="n">
        <v>3579</v>
      </c>
      <c r="H28" t="n">
        <v>4579</v>
      </c>
      <c r="I28" t="n">
        <v>5839</v>
      </c>
      <c r="J28" t="n">
        <v>1270</v>
      </c>
      <c r="K28" t="n">
        <v>1689</v>
      </c>
      <c r="L28" t="n">
        <v>1270</v>
      </c>
      <c r="M28" t="n">
        <v>1000</v>
      </c>
      <c r="N28" t="n">
        <v>1135</v>
      </c>
      <c r="O28" t="n">
        <v>1270</v>
      </c>
      <c r="P28" t="n">
        <v>1405</v>
      </c>
      <c r="Q28" t="n">
        <v>1540</v>
      </c>
      <c r="R28" t="n">
        <v>1675</v>
      </c>
      <c r="S28" t="n">
        <v>1810</v>
      </c>
      <c r="T28" t="n">
        <v>1945</v>
      </c>
      <c r="U28" t="n">
        <v>2080</v>
      </c>
      <c r="V28" t="n">
        <v>1266</v>
      </c>
      <c r="W28" t="n">
        <v>1108</v>
      </c>
      <c r="X28" t="n">
        <v>1081</v>
      </c>
      <c r="Y28" t="n">
        <v>2350</v>
      </c>
    </row>
    <row r="29">
      <c r="A29" t="n">
        <v>28</v>
      </c>
      <c r="B29" t="n">
        <v>0</v>
      </c>
      <c r="C29" t="n">
        <v>1510</v>
      </c>
      <c r="D29" t="n">
        <v>1723</v>
      </c>
      <c r="E29" t="n">
        <v>2237</v>
      </c>
      <c r="F29" t="n">
        <v>2905</v>
      </c>
      <c r="G29" t="n">
        <v>3758</v>
      </c>
      <c r="H29" t="n">
        <v>4854</v>
      </c>
      <c r="I29" t="n">
        <v>6248</v>
      </c>
      <c r="J29" t="n">
        <v>1280</v>
      </c>
      <c r="K29" t="n">
        <v>1723</v>
      </c>
      <c r="L29" t="n">
        <v>1280</v>
      </c>
      <c r="M29" t="n">
        <v>1000</v>
      </c>
      <c r="N29" t="n">
        <v>1140</v>
      </c>
      <c r="O29" t="n">
        <v>1280</v>
      </c>
      <c r="P29" t="n">
        <v>1420</v>
      </c>
      <c r="Q29" t="n">
        <v>1560</v>
      </c>
      <c r="R29" t="n">
        <v>1700</v>
      </c>
      <c r="S29" t="n">
        <v>1840</v>
      </c>
      <c r="T29" t="n">
        <v>1980</v>
      </c>
      <c r="U29" t="n">
        <v>2120</v>
      </c>
      <c r="V29" t="n">
        <v>1277</v>
      </c>
      <c r="W29" t="n">
        <v>1112</v>
      </c>
      <c r="X29" t="n">
        <v>1084</v>
      </c>
      <c r="Y29" t="n">
        <v>2400</v>
      </c>
    </row>
    <row r="30">
      <c r="A30" t="n">
        <v>29</v>
      </c>
      <c r="B30" t="n">
        <v>0</v>
      </c>
      <c r="C30" t="n">
        <v>1533</v>
      </c>
      <c r="D30" t="n">
        <v>1758</v>
      </c>
      <c r="E30" t="n">
        <v>2305</v>
      </c>
      <c r="F30" t="n">
        <v>3022</v>
      </c>
      <c r="G30" t="n">
        <v>3946</v>
      </c>
      <c r="H30" t="n">
        <v>5146</v>
      </c>
      <c r="I30" t="n">
        <v>6686</v>
      </c>
      <c r="J30" t="n">
        <v>1290</v>
      </c>
      <c r="K30" t="n">
        <v>1758</v>
      </c>
      <c r="L30" t="n">
        <v>1290</v>
      </c>
      <c r="M30" t="n">
        <v>1000</v>
      </c>
      <c r="N30" t="n">
        <v>1145</v>
      </c>
      <c r="O30" t="n">
        <v>1290</v>
      </c>
      <c r="P30" t="n">
        <v>1435</v>
      </c>
      <c r="Q30" t="n">
        <v>1580</v>
      </c>
      <c r="R30" t="n">
        <v>1725</v>
      </c>
      <c r="S30" t="n">
        <v>1870</v>
      </c>
      <c r="T30" t="n">
        <v>2015</v>
      </c>
      <c r="U30" t="n">
        <v>2160</v>
      </c>
      <c r="V30" t="n">
        <v>1288</v>
      </c>
      <c r="W30" t="n">
        <v>1116</v>
      </c>
      <c r="X30" t="n">
        <v>1087</v>
      </c>
      <c r="Y30" t="n">
        <v>2450</v>
      </c>
    </row>
    <row r="31">
      <c r="A31" t="n">
        <v>30</v>
      </c>
      <c r="B31" t="n">
        <v>0</v>
      </c>
      <c r="C31" t="n">
        <v>1556</v>
      </c>
      <c r="D31" t="n">
        <v>1794</v>
      </c>
      <c r="E31" t="n">
        <v>2375</v>
      </c>
      <c r="F31" t="n">
        <v>3143</v>
      </c>
      <c r="G31" t="n">
        <v>4144</v>
      </c>
      <c r="H31" t="n">
        <v>5455</v>
      </c>
      <c r="I31" t="n">
        <v>7155</v>
      </c>
      <c r="J31" t="n">
        <v>1300</v>
      </c>
      <c r="K31" t="n">
        <v>1794</v>
      </c>
      <c r="L31" t="n">
        <v>1300</v>
      </c>
      <c r="M31" t="n">
        <v>1000</v>
      </c>
      <c r="N31" t="n">
        <v>1150</v>
      </c>
      <c r="O31" t="n">
        <v>1300</v>
      </c>
      <c r="P31" t="n">
        <v>1450</v>
      </c>
      <c r="Q31" t="n">
        <v>1600</v>
      </c>
      <c r="R31" t="n">
        <v>1750</v>
      </c>
      <c r="S31" t="n">
        <v>1900</v>
      </c>
      <c r="T31" t="n">
        <v>2050</v>
      </c>
      <c r="U31" t="n">
        <v>2200</v>
      </c>
      <c r="V31" t="n">
        <v>1299</v>
      </c>
      <c r="W31" t="n">
        <v>1120</v>
      </c>
      <c r="X31" t="n">
        <v>1090</v>
      </c>
      <c r="Y31" t="n">
        <v>2500</v>
      </c>
    </row>
    <row r="32">
      <c r="A32" t="n">
        <v>31</v>
      </c>
      <c r="B32" t="n">
        <v>0</v>
      </c>
      <c r="C32" t="n">
        <v>1580</v>
      </c>
      <c r="D32" t="n">
        <v>1830</v>
      </c>
      <c r="E32" t="n">
        <v>2447</v>
      </c>
      <c r="F32" t="n">
        <v>3269</v>
      </c>
      <c r="G32" t="n">
        <v>4352</v>
      </c>
      <c r="H32" t="n">
        <v>5783</v>
      </c>
      <c r="I32" t="n">
        <v>7656</v>
      </c>
      <c r="J32" t="n">
        <v>1310</v>
      </c>
      <c r="K32" t="n">
        <v>1830</v>
      </c>
      <c r="L32" t="n">
        <v>1310</v>
      </c>
      <c r="M32" t="n">
        <v>1000</v>
      </c>
      <c r="N32" t="n">
        <v>1155</v>
      </c>
      <c r="O32" t="n">
        <v>1310</v>
      </c>
      <c r="P32" t="n">
        <v>1465</v>
      </c>
      <c r="Q32" t="n">
        <v>1620</v>
      </c>
      <c r="R32" t="n">
        <v>1775</v>
      </c>
      <c r="S32" t="n">
        <v>1930</v>
      </c>
      <c r="T32" t="n">
        <v>2085</v>
      </c>
      <c r="U32" t="n">
        <v>2240</v>
      </c>
      <c r="V32" t="n">
        <v>1310</v>
      </c>
      <c r="W32" t="n">
        <v>1124</v>
      </c>
      <c r="X32" t="n">
        <v>1093</v>
      </c>
      <c r="Y32" t="n">
        <v>2550</v>
      </c>
    </row>
    <row r="33">
      <c r="A33" t="n">
        <v>32</v>
      </c>
      <c r="B33" t="n">
        <v>0</v>
      </c>
      <c r="C33" t="n">
        <v>1604</v>
      </c>
      <c r="D33" t="n">
        <v>1867</v>
      </c>
      <c r="E33" t="n">
        <v>2521</v>
      </c>
      <c r="F33" t="n">
        <v>3400</v>
      </c>
      <c r="G33" t="n">
        <v>4570</v>
      </c>
      <c r="H33" t="n">
        <v>6130</v>
      </c>
      <c r="I33" t="n">
        <v>8192</v>
      </c>
      <c r="J33" t="n">
        <v>1320</v>
      </c>
      <c r="K33" t="n">
        <v>1867</v>
      </c>
      <c r="L33" t="n">
        <v>1320</v>
      </c>
      <c r="M33" t="n">
        <v>1000</v>
      </c>
      <c r="N33" t="n">
        <v>1160</v>
      </c>
      <c r="O33" t="n">
        <v>1320</v>
      </c>
      <c r="P33" t="n">
        <v>1480</v>
      </c>
      <c r="Q33" t="n">
        <v>1640</v>
      </c>
      <c r="R33" t="n">
        <v>1800</v>
      </c>
      <c r="S33" t="n">
        <v>1960</v>
      </c>
      <c r="T33" t="n">
        <v>2120</v>
      </c>
      <c r="U33" t="n">
        <v>2280</v>
      </c>
      <c r="V33" t="n">
        <v>1321</v>
      </c>
      <c r="W33" t="n">
        <v>1128</v>
      </c>
      <c r="X33" t="n">
        <v>1096</v>
      </c>
      <c r="Y33" t="n">
        <v>2600</v>
      </c>
    </row>
    <row r="34">
      <c r="A34" t="n">
        <v>33</v>
      </c>
      <c r="B34" t="n">
        <v>0</v>
      </c>
      <c r="C34" t="n">
        <v>1629</v>
      </c>
      <c r="D34" t="n">
        <v>1905</v>
      </c>
      <c r="E34" t="n">
        <v>2597</v>
      </c>
      <c r="F34" t="n">
        <v>3536</v>
      </c>
      <c r="G34" t="n">
        <v>4799</v>
      </c>
      <c r="H34" t="n">
        <v>6498</v>
      </c>
      <c r="I34" t="n">
        <v>8766</v>
      </c>
      <c r="J34" t="n">
        <v>1330</v>
      </c>
      <c r="K34" t="n">
        <v>1905</v>
      </c>
      <c r="L34" t="n">
        <v>1330</v>
      </c>
      <c r="M34" t="n">
        <v>1000</v>
      </c>
      <c r="N34" t="n">
        <v>1165</v>
      </c>
      <c r="O34" t="n">
        <v>1330</v>
      </c>
      <c r="P34" t="n">
        <v>1495</v>
      </c>
      <c r="Q34" t="n">
        <v>1660</v>
      </c>
      <c r="R34" t="n">
        <v>1825</v>
      </c>
      <c r="S34" t="n">
        <v>1990</v>
      </c>
      <c r="T34" t="n">
        <v>2155</v>
      </c>
      <c r="U34" t="n">
        <v>2320</v>
      </c>
      <c r="V34" t="n">
        <v>1332</v>
      </c>
      <c r="W34" t="n">
        <v>1132</v>
      </c>
      <c r="X34" t="n">
        <v>1099</v>
      </c>
      <c r="Y34" t="n">
        <v>2650</v>
      </c>
    </row>
    <row r="35">
      <c r="A35" t="n">
        <v>34</v>
      </c>
      <c r="B35" t="n">
        <v>0</v>
      </c>
      <c r="C35" t="n">
        <v>1654</v>
      </c>
      <c r="D35" t="n">
        <v>1944</v>
      </c>
      <c r="E35" t="n">
        <v>2675</v>
      </c>
      <c r="F35" t="n">
        <v>3678</v>
      </c>
      <c r="G35" t="n">
        <v>5039</v>
      </c>
      <c r="H35" t="n">
        <v>6888</v>
      </c>
      <c r="I35" t="n">
        <v>9380</v>
      </c>
      <c r="J35" t="n">
        <v>1340</v>
      </c>
      <c r="K35" t="n">
        <v>1944</v>
      </c>
      <c r="L35" t="n">
        <v>1340</v>
      </c>
      <c r="M35" t="n">
        <v>1000</v>
      </c>
      <c r="N35" t="n">
        <v>1170</v>
      </c>
      <c r="O35" t="n">
        <v>1340</v>
      </c>
      <c r="P35" t="n">
        <v>1510</v>
      </c>
      <c r="Q35" t="n">
        <v>1680</v>
      </c>
      <c r="R35" t="n">
        <v>1850</v>
      </c>
      <c r="S35" t="n">
        <v>2020</v>
      </c>
      <c r="T35" t="n">
        <v>2190</v>
      </c>
      <c r="U35" t="n">
        <v>2360</v>
      </c>
      <c r="V35" t="n">
        <v>1343</v>
      </c>
      <c r="W35" t="n">
        <v>1136</v>
      </c>
      <c r="X35" t="n">
        <v>1102</v>
      </c>
      <c r="Y35" t="n">
        <v>2700</v>
      </c>
    </row>
    <row r="36">
      <c r="A36" t="n">
        <v>35</v>
      </c>
      <c r="B36" t="n">
        <v>0</v>
      </c>
      <c r="C36" t="n">
        <v>1679</v>
      </c>
      <c r="D36" t="n">
        <v>1983</v>
      </c>
      <c r="E36" t="n">
        <v>2756</v>
      </c>
      <c r="F36" t="n">
        <v>3826</v>
      </c>
      <c r="G36" t="n">
        <v>5291</v>
      </c>
      <c r="H36" t="n">
        <v>7302</v>
      </c>
      <c r="I36" t="n">
        <v>10037</v>
      </c>
      <c r="J36" t="n">
        <v>1350</v>
      </c>
      <c r="K36" t="n">
        <v>1983</v>
      </c>
      <c r="L36" t="n">
        <v>1350</v>
      </c>
      <c r="M36" t="n">
        <v>1000</v>
      </c>
      <c r="N36" t="n">
        <v>1175</v>
      </c>
      <c r="O36" t="n">
        <v>1350</v>
      </c>
      <c r="P36" t="n">
        <v>1525</v>
      </c>
      <c r="Q36" t="n">
        <v>1700</v>
      </c>
      <c r="R36" t="n">
        <v>1875</v>
      </c>
      <c r="S36" t="n">
        <v>2050</v>
      </c>
      <c r="T36" t="n">
        <v>2225</v>
      </c>
      <c r="U36" t="n">
        <v>2400</v>
      </c>
      <c r="V36" t="n">
        <v>1354</v>
      </c>
      <c r="W36" t="n">
        <v>1140</v>
      </c>
      <c r="X36" t="n">
        <v>1105</v>
      </c>
      <c r="Y36" t="n">
        <v>2750</v>
      </c>
    </row>
    <row r="37">
      <c r="A37" t="n">
        <v>36</v>
      </c>
      <c r="B37" t="n">
        <v>0</v>
      </c>
      <c r="C37" t="n">
        <v>1705</v>
      </c>
      <c r="D37" t="n">
        <v>2023</v>
      </c>
      <c r="E37" t="n">
        <v>2839</v>
      </c>
      <c r="F37" t="n">
        <v>3980</v>
      </c>
      <c r="G37" t="n">
        <v>5556</v>
      </c>
      <c r="H37" t="n">
        <v>7741</v>
      </c>
      <c r="I37" t="n">
        <v>10740</v>
      </c>
      <c r="J37" t="n">
        <v>1360</v>
      </c>
      <c r="K37" t="n">
        <v>2023</v>
      </c>
      <c r="L37" t="n">
        <v>1360</v>
      </c>
      <c r="M37" t="n">
        <v>1000</v>
      </c>
      <c r="N37" t="n">
        <v>1180</v>
      </c>
      <c r="O37" t="n">
        <v>1360</v>
      </c>
      <c r="P37" t="n">
        <v>1540</v>
      </c>
      <c r="Q37" t="n">
        <v>1720</v>
      </c>
      <c r="R37" t="n">
        <v>1900</v>
      </c>
      <c r="S37" t="n">
        <v>2080</v>
      </c>
      <c r="T37" t="n">
        <v>2260</v>
      </c>
      <c r="U37" t="n">
        <v>2440</v>
      </c>
      <c r="V37" t="n">
        <v>1365</v>
      </c>
      <c r="W37" t="n">
        <v>1144</v>
      </c>
      <c r="X37" t="n">
        <v>1108</v>
      </c>
      <c r="Y37" t="n">
        <v>2800</v>
      </c>
    </row>
    <row r="38">
      <c r="A38" t="n">
        <v>37</v>
      </c>
      <c r="B38" t="n">
        <v>0</v>
      </c>
      <c r="C38" t="n">
        <v>1731</v>
      </c>
      <c r="D38" t="n">
        <v>2064</v>
      </c>
      <c r="E38" t="n">
        <v>2925</v>
      </c>
      <c r="F38" t="n">
        <v>4140</v>
      </c>
      <c r="G38" t="n">
        <v>5834</v>
      </c>
      <c r="H38" t="n">
        <v>8206</v>
      </c>
      <c r="I38" t="n">
        <v>11492</v>
      </c>
      <c r="J38" t="n">
        <v>1370</v>
      </c>
      <c r="K38" t="n">
        <v>2064</v>
      </c>
      <c r="L38" t="n">
        <v>1370</v>
      </c>
      <c r="M38" t="n">
        <v>1000</v>
      </c>
      <c r="N38" t="n">
        <v>1185</v>
      </c>
      <c r="O38" t="n">
        <v>1370</v>
      </c>
      <c r="P38" t="n">
        <v>1555</v>
      </c>
      <c r="Q38" t="n">
        <v>1740</v>
      </c>
      <c r="R38" t="n">
        <v>1925</v>
      </c>
      <c r="S38" t="n">
        <v>2110</v>
      </c>
      <c r="T38" t="n">
        <v>2295</v>
      </c>
      <c r="U38" t="n">
        <v>2480</v>
      </c>
      <c r="V38" t="n">
        <v>1376</v>
      </c>
      <c r="W38" t="n">
        <v>1148</v>
      </c>
      <c r="X38" t="n">
        <v>1111</v>
      </c>
      <c r="Y38" t="n">
        <v>2850</v>
      </c>
    </row>
    <row r="39">
      <c r="A39" t="n">
        <v>38</v>
      </c>
      <c r="B39" t="n">
        <v>0</v>
      </c>
      <c r="C39" t="n">
        <v>1757</v>
      </c>
      <c r="D39" t="n">
        <v>2106</v>
      </c>
      <c r="E39" t="n">
        <v>3013</v>
      </c>
      <c r="F39" t="n">
        <v>4306</v>
      </c>
      <c r="G39" t="n">
        <v>6126</v>
      </c>
      <c r="H39" t="n">
        <v>8699</v>
      </c>
      <c r="I39" t="n">
        <v>12297</v>
      </c>
      <c r="J39" t="n">
        <v>1380</v>
      </c>
      <c r="K39" t="n">
        <v>2106</v>
      </c>
      <c r="L39" t="n">
        <v>1380</v>
      </c>
      <c r="M39" t="n">
        <v>1000</v>
      </c>
      <c r="N39" t="n">
        <v>1190</v>
      </c>
      <c r="O39" t="n">
        <v>1380</v>
      </c>
      <c r="P39" t="n">
        <v>1570</v>
      </c>
      <c r="Q39" t="n">
        <v>1760</v>
      </c>
      <c r="R39" t="n">
        <v>1950</v>
      </c>
      <c r="S39" t="n">
        <v>2140</v>
      </c>
      <c r="T39" t="n">
        <v>2330</v>
      </c>
      <c r="U39" t="n">
        <v>2520</v>
      </c>
      <c r="V39" t="n">
        <v>1387</v>
      </c>
      <c r="W39" t="n">
        <v>1152</v>
      </c>
      <c r="X39" t="n">
        <v>1114</v>
      </c>
      <c r="Y39" t="n">
        <v>2900</v>
      </c>
    </row>
    <row r="40">
      <c r="A40" t="n">
        <v>39</v>
      </c>
      <c r="B40" t="n">
        <v>0</v>
      </c>
      <c r="C40" t="n">
        <v>1784</v>
      </c>
      <c r="D40" t="n">
        <v>2149</v>
      </c>
      <c r="E40" t="n">
        <v>3104</v>
      </c>
      <c r="F40" t="n">
        <v>4479</v>
      </c>
      <c r="G40" t="n">
        <v>6433</v>
      </c>
      <c r="H40" t="n">
        <v>9221</v>
      </c>
      <c r="I40" t="n">
        <v>13158</v>
      </c>
      <c r="J40" t="n">
        <v>1390</v>
      </c>
      <c r="K40" t="n">
        <v>2149</v>
      </c>
      <c r="L40" t="n">
        <v>1390</v>
      </c>
      <c r="M40" t="n">
        <v>1000</v>
      </c>
      <c r="N40" t="n">
        <v>1195</v>
      </c>
      <c r="O40" t="n">
        <v>1390</v>
      </c>
      <c r="P40" t="n">
        <v>1585</v>
      </c>
      <c r="Q40" t="n">
        <v>1780</v>
      </c>
      <c r="R40" t="n">
        <v>1975</v>
      </c>
      <c r="S40" t="n">
        <v>2170</v>
      </c>
      <c r="T40" t="n">
        <v>2365</v>
      </c>
      <c r="U40" t="n">
        <v>2560</v>
      </c>
      <c r="V40" t="n">
        <v>1398</v>
      </c>
      <c r="W40" t="n">
        <v>1156</v>
      </c>
      <c r="X40" t="n">
        <v>1117</v>
      </c>
      <c r="Y40" t="n">
        <v>2950</v>
      </c>
    </row>
    <row r="41">
      <c r="A41" t="n">
        <v>40</v>
      </c>
      <c r="B41" t="n">
        <v>0</v>
      </c>
      <c r="C41" t="n">
        <v>1811</v>
      </c>
      <c r="D41" t="n">
        <v>2192</v>
      </c>
      <c r="E41" t="n">
        <v>3198</v>
      </c>
      <c r="F41" t="n">
        <v>4659</v>
      </c>
      <c r="G41" t="n">
        <v>6755</v>
      </c>
      <c r="H41" t="n">
        <v>9775</v>
      </c>
      <c r="I41" t="n">
        <v>14080</v>
      </c>
      <c r="J41" t="n">
        <v>1400</v>
      </c>
      <c r="K41" t="n">
        <v>2192</v>
      </c>
      <c r="L41" t="n">
        <v>1400</v>
      </c>
      <c r="M41" t="n">
        <v>1000</v>
      </c>
      <c r="N41" t="n">
        <v>1200</v>
      </c>
      <c r="O41" t="n">
        <v>1400</v>
      </c>
      <c r="P41" t="n">
        <v>1600</v>
      </c>
      <c r="Q41" t="n">
        <v>1800</v>
      </c>
      <c r="R41" t="n">
        <v>2000</v>
      </c>
      <c r="S41" t="n">
        <v>2200</v>
      </c>
      <c r="T41" t="n">
        <v>2400</v>
      </c>
      <c r="U41" t="n">
        <v>2600</v>
      </c>
      <c r="V41" t="n">
        <v>1410</v>
      </c>
      <c r="W41" t="n">
        <v>1160</v>
      </c>
      <c r="X41" t="n">
        <v>1120</v>
      </c>
      <c r="Y41" t="n">
        <v>3000</v>
      </c>
    </row>
    <row r="42">
      <c r="A42" t="n">
        <v>41</v>
      </c>
      <c r="B42" t="n">
        <v>0</v>
      </c>
      <c r="C42" t="n">
        <v>1839</v>
      </c>
      <c r="D42" t="n">
        <v>2236</v>
      </c>
      <c r="E42" t="n">
        <v>3294</v>
      </c>
      <c r="F42" t="n">
        <v>4846</v>
      </c>
      <c r="G42" t="n">
        <v>7093</v>
      </c>
      <c r="H42" t="n">
        <v>10362</v>
      </c>
      <c r="I42" t="n">
        <v>15066</v>
      </c>
      <c r="J42" t="n">
        <v>1410</v>
      </c>
      <c r="K42" t="n">
        <v>2236</v>
      </c>
      <c r="L42" t="n">
        <v>1410</v>
      </c>
      <c r="M42" t="n">
        <v>1000</v>
      </c>
      <c r="N42" t="n">
        <v>1205</v>
      </c>
      <c r="O42" t="n">
        <v>1410</v>
      </c>
      <c r="P42" t="n">
        <v>1615</v>
      </c>
      <c r="Q42" t="n">
        <v>1820</v>
      </c>
      <c r="R42" t="n">
        <v>2025</v>
      </c>
      <c r="S42" t="n">
        <v>2230</v>
      </c>
      <c r="T42" t="n">
        <v>2435</v>
      </c>
      <c r="U42" t="n">
        <v>2640</v>
      </c>
      <c r="V42" t="n">
        <v>1422</v>
      </c>
      <c r="W42" t="n">
        <v>1164</v>
      </c>
      <c r="X42" t="n">
        <v>1123</v>
      </c>
      <c r="Y42" t="n">
        <v>3050</v>
      </c>
    </row>
    <row r="43">
      <c r="A43" t="n">
        <v>42</v>
      </c>
      <c r="B43" t="n">
        <v>0</v>
      </c>
      <c r="C43" t="n">
        <v>1867</v>
      </c>
      <c r="D43" t="n">
        <v>2281</v>
      </c>
      <c r="E43" t="n">
        <v>3393</v>
      </c>
      <c r="F43" t="n">
        <v>5040</v>
      </c>
      <c r="G43" t="n">
        <v>7448</v>
      </c>
      <c r="H43" t="n">
        <v>10984</v>
      </c>
      <c r="I43" t="n">
        <v>16121</v>
      </c>
      <c r="J43" t="n">
        <v>1420</v>
      </c>
      <c r="K43" t="n">
        <v>2281</v>
      </c>
      <c r="L43" t="n">
        <v>1420</v>
      </c>
      <c r="M43" t="n">
        <v>1000</v>
      </c>
      <c r="N43" t="n">
        <v>1210</v>
      </c>
      <c r="O43" t="n">
        <v>1420</v>
      </c>
      <c r="P43" t="n">
        <v>1630</v>
      </c>
      <c r="Q43" t="n">
        <v>1840</v>
      </c>
      <c r="R43" t="n">
        <v>2050</v>
      </c>
      <c r="S43" t="n">
        <v>2260</v>
      </c>
      <c r="T43" t="n">
        <v>2470</v>
      </c>
      <c r="U43" t="n">
        <v>2680</v>
      </c>
      <c r="V43" t="n">
        <v>1434</v>
      </c>
      <c r="W43" t="n">
        <v>1168</v>
      </c>
      <c r="X43" t="n">
        <v>1126</v>
      </c>
      <c r="Y43" t="n">
        <v>3100</v>
      </c>
    </row>
    <row r="44">
      <c r="A44" t="n">
        <v>43</v>
      </c>
      <c r="B44" t="n">
        <v>0</v>
      </c>
      <c r="C44" t="n">
        <v>1896</v>
      </c>
      <c r="D44" t="n">
        <v>2327</v>
      </c>
      <c r="E44" t="n">
        <v>3495</v>
      </c>
      <c r="F44" t="n">
        <v>5242</v>
      </c>
      <c r="G44" t="n">
        <v>7821</v>
      </c>
      <c r="H44" t="n">
        <v>11644</v>
      </c>
      <c r="I44" t="n">
        <v>17250</v>
      </c>
      <c r="J44" t="n">
        <v>1430</v>
      </c>
      <c r="K44" t="n">
        <v>2327</v>
      </c>
      <c r="L44" t="n">
        <v>1430</v>
      </c>
      <c r="M44" t="n">
        <v>1000</v>
      </c>
      <c r="N44" t="n">
        <v>1215</v>
      </c>
      <c r="O44" t="n">
        <v>1430</v>
      </c>
      <c r="P44" t="n">
        <v>1645</v>
      </c>
      <c r="Q44" t="n">
        <v>1860</v>
      </c>
      <c r="R44" t="n">
        <v>2075</v>
      </c>
      <c r="S44" t="n">
        <v>2290</v>
      </c>
      <c r="T44" t="n">
        <v>2505</v>
      </c>
      <c r="U44" t="n">
        <v>2720</v>
      </c>
      <c r="V44" t="n">
        <v>1446</v>
      </c>
      <c r="W44" t="n">
        <v>1172</v>
      </c>
      <c r="X44" t="n">
        <v>1129</v>
      </c>
      <c r="Y44" t="n">
        <v>3150</v>
      </c>
    </row>
    <row r="45">
      <c r="A45" t="n">
        <v>44</v>
      </c>
      <c r="B45" t="n">
        <v>0</v>
      </c>
      <c r="C45" t="n">
        <v>1925</v>
      </c>
      <c r="D45" t="n">
        <v>2374</v>
      </c>
      <c r="E45" t="n">
        <v>3600</v>
      </c>
      <c r="F45" t="n">
        <v>5452</v>
      </c>
      <c r="G45" t="n">
        <v>8213</v>
      </c>
      <c r="H45" t="n">
        <v>12343</v>
      </c>
      <c r="I45" t="n">
        <v>18458</v>
      </c>
      <c r="J45" t="n">
        <v>1440</v>
      </c>
      <c r="K45" t="n">
        <v>2374</v>
      </c>
      <c r="L45" t="n">
        <v>1440</v>
      </c>
      <c r="M45" t="n">
        <v>1000</v>
      </c>
      <c r="N45" t="n">
        <v>1220</v>
      </c>
      <c r="O45" t="n">
        <v>1440</v>
      </c>
      <c r="P45" t="n">
        <v>1660</v>
      </c>
      <c r="Q45" t="n">
        <v>1880</v>
      </c>
      <c r="R45" t="n">
        <v>2100</v>
      </c>
      <c r="S45" t="n">
        <v>2320</v>
      </c>
      <c r="T45" t="n">
        <v>2540</v>
      </c>
      <c r="U45" t="n">
        <v>2760</v>
      </c>
      <c r="V45" t="n">
        <v>1458</v>
      </c>
      <c r="W45" t="n">
        <v>1176</v>
      </c>
      <c r="X45" t="n">
        <v>1132</v>
      </c>
      <c r="Y45" t="n">
        <v>3200</v>
      </c>
    </row>
    <row r="46">
      <c r="A46" t="n">
        <v>45</v>
      </c>
      <c r="B46" t="n">
        <v>0</v>
      </c>
      <c r="C46" t="n">
        <v>1954</v>
      </c>
      <c r="D46" t="n">
        <v>2422</v>
      </c>
      <c r="E46" t="n">
        <v>3708</v>
      </c>
      <c r="F46" t="n">
        <v>5671</v>
      </c>
      <c r="G46" t="n">
        <v>8624</v>
      </c>
      <c r="H46" t="n">
        <v>13084</v>
      </c>
      <c r="I46" t="n">
        <v>19751</v>
      </c>
      <c r="J46" t="n">
        <v>1450</v>
      </c>
      <c r="K46" t="n">
        <v>2422</v>
      </c>
      <c r="L46" t="n">
        <v>1450</v>
      </c>
      <c r="M46" t="n">
        <v>1000</v>
      </c>
      <c r="N46" t="n">
        <v>1225</v>
      </c>
      <c r="O46" t="n">
        <v>1450</v>
      </c>
      <c r="P46" t="n">
        <v>1675</v>
      </c>
      <c r="Q46" t="n">
        <v>1900</v>
      </c>
      <c r="R46" t="n">
        <v>2125</v>
      </c>
      <c r="S46" t="n">
        <v>2350</v>
      </c>
      <c r="T46" t="n">
        <v>2575</v>
      </c>
      <c r="U46" t="n">
        <v>2800</v>
      </c>
      <c r="V46" t="n">
        <v>1470</v>
      </c>
      <c r="W46" t="n">
        <v>1180</v>
      </c>
      <c r="X46" t="n">
        <v>1135</v>
      </c>
      <c r="Y46" t="n">
        <v>3250</v>
      </c>
    </row>
    <row r="47">
      <c r="A47" t="n">
        <v>46</v>
      </c>
      <c r="B47" t="n">
        <v>0</v>
      </c>
      <c r="C47" t="n">
        <v>1984</v>
      </c>
      <c r="D47" t="n">
        <v>2471</v>
      </c>
      <c r="E47" t="n">
        <v>3820</v>
      </c>
      <c r="F47" t="n">
        <v>5898</v>
      </c>
      <c r="G47" t="n">
        <v>9056</v>
      </c>
      <c r="H47" t="n">
        <v>13870</v>
      </c>
      <c r="I47" t="n">
        <v>21134</v>
      </c>
      <c r="J47" t="n">
        <v>1460</v>
      </c>
      <c r="K47" t="n">
        <v>2471</v>
      </c>
      <c r="L47" t="n">
        <v>1460</v>
      </c>
      <c r="M47" t="n">
        <v>1000</v>
      </c>
      <c r="N47" t="n">
        <v>1230</v>
      </c>
      <c r="O47" t="n">
        <v>1460</v>
      </c>
      <c r="P47" t="n">
        <v>1690</v>
      </c>
      <c r="Q47" t="n">
        <v>1920</v>
      </c>
      <c r="R47" t="n">
        <v>2150</v>
      </c>
      <c r="S47" t="n">
        <v>2380</v>
      </c>
      <c r="T47" t="n">
        <v>2610</v>
      </c>
      <c r="U47" t="n">
        <v>2840</v>
      </c>
      <c r="V47" t="n">
        <v>1482</v>
      </c>
      <c r="W47" t="n">
        <v>1184</v>
      </c>
      <c r="X47" t="n">
        <v>1138</v>
      </c>
      <c r="Y47" t="n">
        <v>3300</v>
      </c>
    </row>
    <row r="48">
      <c r="A48" t="n">
        <v>47</v>
      </c>
      <c r="B48" t="n">
        <v>0</v>
      </c>
      <c r="C48" t="n">
        <v>2014</v>
      </c>
      <c r="D48" t="n">
        <v>2521</v>
      </c>
      <c r="E48" t="n">
        <v>3935</v>
      </c>
      <c r="F48" t="n">
        <v>6134</v>
      </c>
      <c r="G48" t="n">
        <v>9509</v>
      </c>
      <c r="H48" t="n">
        <v>14703</v>
      </c>
      <c r="I48" t="n">
        <v>22614</v>
      </c>
      <c r="J48" t="n">
        <v>1470</v>
      </c>
      <c r="K48" t="n">
        <v>2521</v>
      </c>
      <c r="L48" t="n">
        <v>1470</v>
      </c>
      <c r="M48" t="n">
        <v>1000</v>
      </c>
      <c r="N48" t="n">
        <v>1235</v>
      </c>
      <c r="O48" t="n">
        <v>1470</v>
      </c>
      <c r="P48" t="n">
        <v>1705</v>
      </c>
      <c r="Q48" t="n">
        <v>1940</v>
      </c>
      <c r="R48" t="n">
        <v>2175</v>
      </c>
      <c r="S48" t="n">
        <v>2410</v>
      </c>
      <c r="T48" t="n">
        <v>2645</v>
      </c>
      <c r="U48" t="n">
        <v>2880</v>
      </c>
      <c r="V48" t="n">
        <v>1494</v>
      </c>
      <c r="W48" t="n">
        <v>1188</v>
      </c>
      <c r="X48" t="n">
        <v>1141</v>
      </c>
      <c r="Y48" t="n">
        <v>3350</v>
      </c>
    </row>
    <row r="49">
      <c r="A49" t="n">
        <v>48</v>
      </c>
      <c r="B49" t="n">
        <v>0</v>
      </c>
      <c r="C49" t="n">
        <v>2045</v>
      </c>
      <c r="D49" t="n">
        <v>2572</v>
      </c>
      <c r="E49" t="n">
        <v>4054</v>
      </c>
      <c r="F49" t="n">
        <v>6380</v>
      </c>
      <c r="G49" t="n">
        <v>9985</v>
      </c>
      <c r="H49" t="n">
        <v>15586</v>
      </c>
      <c r="I49" t="n">
        <v>24197</v>
      </c>
      <c r="J49" t="n">
        <v>1480</v>
      </c>
      <c r="K49" t="n">
        <v>2572</v>
      </c>
      <c r="L49" t="n">
        <v>1480</v>
      </c>
      <c r="M49" t="n">
        <v>1000</v>
      </c>
      <c r="N49" t="n">
        <v>1240</v>
      </c>
      <c r="O49" t="n">
        <v>1480</v>
      </c>
      <c r="P49" t="n">
        <v>1720</v>
      </c>
      <c r="Q49" t="n">
        <v>1960</v>
      </c>
      <c r="R49" t="n">
        <v>2200</v>
      </c>
      <c r="S49" t="n">
        <v>2440</v>
      </c>
      <c r="T49" t="n">
        <v>2680</v>
      </c>
      <c r="U49" t="n">
        <v>2920</v>
      </c>
      <c r="V49" t="n">
        <v>1506</v>
      </c>
      <c r="W49" t="n">
        <v>1192</v>
      </c>
      <c r="X49" t="n">
        <v>1144</v>
      </c>
      <c r="Y49" t="n">
        <v>3400</v>
      </c>
    </row>
    <row r="50">
      <c r="A50" t="n">
        <v>49</v>
      </c>
      <c r="B50" t="n">
        <v>0</v>
      </c>
      <c r="C50" t="n">
        <v>2076</v>
      </c>
      <c r="D50" t="n">
        <v>2624</v>
      </c>
      <c r="E50" t="n">
        <v>4176</v>
      </c>
      <c r="F50" t="n">
        <v>6636</v>
      </c>
      <c r="G50" t="n">
        <v>10485</v>
      </c>
      <c r="H50" t="n">
        <v>16522</v>
      </c>
      <c r="I50" t="n">
        <v>25891</v>
      </c>
      <c r="J50" t="n">
        <v>1490</v>
      </c>
      <c r="K50" t="n">
        <v>2624</v>
      </c>
      <c r="L50" t="n">
        <v>1490</v>
      </c>
      <c r="M50" t="n">
        <v>1000</v>
      </c>
      <c r="N50" t="n">
        <v>1245</v>
      </c>
      <c r="O50" t="n">
        <v>1490</v>
      </c>
      <c r="P50" t="n">
        <v>1735</v>
      </c>
      <c r="Q50" t="n">
        <v>1980</v>
      </c>
      <c r="R50" t="n">
        <v>2225</v>
      </c>
      <c r="S50" t="n">
        <v>2470</v>
      </c>
      <c r="T50" t="n">
        <v>2715</v>
      </c>
      <c r="U50" t="n">
        <v>2960</v>
      </c>
      <c r="V50" t="n">
        <v>1518</v>
      </c>
      <c r="W50" t="n">
        <v>1196</v>
      </c>
      <c r="X50" t="n">
        <v>1147</v>
      </c>
      <c r="Y50" t="n">
        <v>3450</v>
      </c>
    </row>
    <row r="51">
      <c r="A51" t="n">
        <v>50</v>
      </c>
      <c r="B51" t="n">
        <v>0</v>
      </c>
      <c r="C51" t="n">
        <v>2108</v>
      </c>
      <c r="D51" t="n">
        <v>2677</v>
      </c>
      <c r="E51" t="n">
        <v>4302</v>
      </c>
      <c r="F51" t="n">
        <v>6902</v>
      </c>
      <c r="G51" t="n">
        <v>11010</v>
      </c>
      <c r="H51" t="n">
        <v>17514</v>
      </c>
      <c r="I51" t="n">
        <v>27704</v>
      </c>
      <c r="J51" t="n">
        <v>1500</v>
      </c>
      <c r="K51" t="n">
        <v>2677</v>
      </c>
      <c r="L51" t="n">
        <v>1500</v>
      </c>
      <c r="M51" t="n">
        <v>1000</v>
      </c>
      <c r="N51" t="n">
        <v>1250</v>
      </c>
      <c r="O51" t="n">
        <v>1500</v>
      </c>
      <c r="P51" t="n">
        <v>1750</v>
      </c>
      <c r="Q51" t="n">
        <v>2000</v>
      </c>
      <c r="R51" t="n">
        <v>2250</v>
      </c>
      <c r="S51" t="n">
        <v>2500</v>
      </c>
      <c r="T51" t="n">
        <v>2750</v>
      </c>
      <c r="U51" t="n">
        <v>3000</v>
      </c>
      <c r="V51" t="n">
        <v>1530</v>
      </c>
      <c r="W51" t="n">
        <v>1200</v>
      </c>
      <c r="X51" t="n">
        <v>1150</v>
      </c>
      <c r="Y51" t="n">
        <v>3500</v>
      </c>
    </row>
    <row r="52">
      <c r="A52" t="n">
        <v>51</v>
      </c>
      <c r="B52" t="n">
        <v>0</v>
      </c>
      <c r="C52" t="n">
        <v>2140</v>
      </c>
      <c r="D52" t="n">
        <v>2731</v>
      </c>
      <c r="E52" t="n">
        <v>4432</v>
      </c>
      <c r="F52" t="n">
        <v>7179</v>
      </c>
      <c r="G52" t="n">
        <v>11561</v>
      </c>
      <c r="H52" t="n">
        <v>18565</v>
      </c>
      <c r="I52" t="n">
        <v>29644</v>
      </c>
      <c r="J52" t="n">
        <v>1510</v>
      </c>
      <c r="K52" t="n">
        <v>2731</v>
      </c>
      <c r="L52" t="n">
        <v>1510</v>
      </c>
      <c r="M52" t="n">
        <v>1000</v>
      </c>
      <c r="N52" t="n">
        <v>1255</v>
      </c>
      <c r="O52" t="n">
        <v>1510</v>
      </c>
      <c r="P52" t="n">
        <v>1765</v>
      </c>
      <c r="Q52" t="n">
        <v>2020</v>
      </c>
      <c r="R52" t="n">
        <v>2275</v>
      </c>
      <c r="S52" t="n">
        <v>2530</v>
      </c>
      <c r="T52" t="n">
        <v>2785</v>
      </c>
      <c r="U52" t="n">
        <v>3040</v>
      </c>
      <c r="V52" t="n">
        <v>1542</v>
      </c>
      <c r="W52" t="n">
        <v>1204</v>
      </c>
      <c r="X52" t="n">
        <v>1153</v>
      </c>
      <c r="Y52" t="n">
        <v>3550</v>
      </c>
    </row>
    <row r="53">
      <c r="A53" t="n">
        <v>52</v>
      </c>
      <c r="B53" t="n">
        <v>0</v>
      </c>
      <c r="C53" t="n">
        <v>2173</v>
      </c>
      <c r="D53" t="n">
        <v>2786</v>
      </c>
      <c r="E53" t="n">
        <v>4565</v>
      </c>
      <c r="F53" t="n">
        <v>7467</v>
      </c>
      <c r="G53" t="n">
        <v>12140</v>
      </c>
      <c r="H53" t="n">
        <v>19679</v>
      </c>
      <c r="I53" t="n">
        <v>31720</v>
      </c>
      <c r="J53" t="n">
        <v>1520</v>
      </c>
      <c r="K53" t="n">
        <v>2786</v>
      </c>
      <c r="L53" t="n">
        <v>1520</v>
      </c>
      <c r="M53" t="n">
        <v>1000</v>
      </c>
      <c r="N53" t="n">
        <v>1260</v>
      </c>
      <c r="O53" t="n">
        <v>1520</v>
      </c>
      <c r="P53" t="n">
        <v>1780</v>
      </c>
      <c r="Q53" t="n">
        <v>2040</v>
      </c>
      <c r="R53" t="n">
        <v>2300</v>
      </c>
      <c r="S53" t="n">
        <v>2560</v>
      </c>
      <c r="T53" t="n">
        <v>2820</v>
      </c>
      <c r="U53" t="n">
        <v>3080</v>
      </c>
      <c r="V53" t="n">
        <v>1554</v>
      </c>
      <c r="W53" t="n">
        <v>1208</v>
      </c>
      <c r="X53" t="n">
        <v>1156</v>
      </c>
      <c r="Y53" t="n">
        <v>3600</v>
      </c>
    </row>
    <row r="54">
      <c r="A54" t="n">
        <v>53</v>
      </c>
      <c r="B54" t="n">
        <v>0</v>
      </c>
      <c r="C54" t="n">
        <v>2206</v>
      </c>
      <c r="D54" t="n">
        <v>2842</v>
      </c>
      <c r="E54" t="n">
        <v>4702</v>
      </c>
      <c r="F54" t="n">
        <v>7766</v>
      </c>
      <c r="G54" t="n">
        <v>12747</v>
      </c>
      <c r="H54" t="n">
        <v>20860</v>
      </c>
      <c r="I54" t="n">
        <v>33941</v>
      </c>
      <c r="J54" t="n">
        <v>1530</v>
      </c>
      <c r="K54" t="n">
        <v>2842</v>
      </c>
      <c r="L54" t="n">
        <v>1530</v>
      </c>
      <c r="M54" t="n">
        <v>1000</v>
      </c>
      <c r="N54" t="n">
        <v>1265</v>
      </c>
      <c r="O54" t="n">
        <v>1530</v>
      </c>
      <c r="P54" t="n">
        <v>1795</v>
      </c>
      <c r="Q54" t="n">
        <v>2060</v>
      </c>
      <c r="R54" t="n">
        <v>2325</v>
      </c>
      <c r="S54" t="n">
        <v>2590</v>
      </c>
      <c r="T54" t="n">
        <v>2855</v>
      </c>
      <c r="U54" t="n">
        <v>3120</v>
      </c>
      <c r="V54" t="n">
        <v>1566</v>
      </c>
      <c r="W54" t="n">
        <v>1212</v>
      </c>
      <c r="X54" t="n">
        <v>1159</v>
      </c>
      <c r="Y54" t="n">
        <v>3650</v>
      </c>
    </row>
    <row r="55">
      <c r="A55" t="n">
        <v>54</v>
      </c>
      <c r="B55" t="n">
        <v>0</v>
      </c>
      <c r="C55" t="n">
        <v>2240</v>
      </c>
      <c r="D55" t="n">
        <v>2899</v>
      </c>
      <c r="E55" t="n">
        <v>4844</v>
      </c>
      <c r="F55" t="n">
        <v>8077</v>
      </c>
      <c r="G55" t="n">
        <v>13385</v>
      </c>
      <c r="H55" t="n">
        <v>22112</v>
      </c>
      <c r="I55" t="n">
        <v>36317</v>
      </c>
      <c r="J55" t="n">
        <v>1540</v>
      </c>
      <c r="K55" t="n">
        <v>2899</v>
      </c>
      <c r="L55" t="n">
        <v>1540</v>
      </c>
      <c r="M55" t="n">
        <v>1000</v>
      </c>
      <c r="N55" t="n">
        <v>1270</v>
      </c>
      <c r="O55" t="n">
        <v>1540</v>
      </c>
      <c r="P55" t="n">
        <v>1810</v>
      </c>
      <c r="Q55" t="n">
        <v>2080</v>
      </c>
      <c r="R55" t="n">
        <v>2350</v>
      </c>
      <c r="S55" t="n">
        <v>2620</v>
      </c>
      <c r="T55" t="n">
        <v>2890</v>
      </c>
      <c r="U55" t="n">
        <v>3160</v>
      </c>
      <c r="V55" t="n">
        <v>1578</v>
      </c>
      <c r="W55" t="n">
        <v>1216</v>
      </c>
      <c r="X55" t="n">
        <v>1162</v>
      </c>
      <c r="Y55" t="n">
        <v>3700</v>
      </c>
    </row>
    <row r="56">
      <c r="A56" t="n">
        <v>55</v>
      </c>
      <c r="B56" t="n">
        <v>0</v>
      </c>
      <c r="C56" t="n">
        <v>2274</v>
      </c>
      <c r="D56" t="n">
        <v>2957</v>
      </c>
      <c r="E56" t="n">
        <v>4990</v>
      </c>
      <c r="F56" t="n">
        <v>8401</v>
      </c>
      <c r="G56" t="n">
        <v>14055</v>
      </c>
      <c r="H56" t="n">
        <v>23439</v>
      </c>
      <c r="I56" t="n">
        <v>38860</v>
      </c>
      <c r="J56" t="n">
        <v>1550</v>
      </c>
      <c r="K56" t="n">
        <v>2957</v>
      </c>
      <c r="L56" t="n">
        <v>1550</v>
      </c>
      <c r="M56" t="n">
        <v>1000</v>
      </c>
      <c r="N56" t="n">
        <v>1275</v>
      </c>
      <c r="O56" t="n">
        <v>1550</v>
      </c>
      <c r="P56" t="n">
        <v>1825</v>
      </c>
      <c r="Q56" t="n">
        <v>2100</v>
      </c>
      <c r="R56" t="n">
        <v>2375</v>
      </c>
      <c r="S56" t="n">
        <v>2650</v>
      </c>
      <c r="T56" t="n">
        <v>2925</v>
      </c>
      <c r="U56" t="n">
        <v>3200</v>
      </c>
      <c r="V56" t="n">
        <v>1590</v>
      </c>
      <c r="W56" t="n">
        <v>1220</v>
      </c>
      <c r="X56" t="n">
        <v>1165</v>
      </c>
      <c r="Y56" t="n">
        <v>3750</v>
      </c>
    </row>
    <row r="57">
      <c r="A57" t="n">
        <v>56</v>
      </c>
      <c r="B57" t="n">
        <v>0</v>
      </c>
      <c r="C57" t="n">
        <v>2309</v>
      </c>
      <c r="D57" t="n">
        <v>3017</v>
      </c>
      <c r="E57" t="n">
        <v>5140</v>
      </c>
      <c r="F57" t="n">
        <v>8738</v>
      </c>
      <c r="G57" t="n">
        <v>14758</v>
      </c>
      <c r="H57" t="n">
        <v>24846</v>
      </c>
      <c r="I57" t="n">
        <v>41581</v>
      </c>
      <c r="J57" t="n">
        <v>1560</v>
      </c>
      <c r="K57" t="n">
        <v>3017</v>
      </c>
      <c r="L57" t="n">
        <v>1560</v>
      </c>
      <c r="M57" t="n">
        <v>1000</v>
      </c>
      <c r="N57" t="n">
        <v>1280</v>
      </c>
      <c r="O57" t="n">
        <v>1560</v>
      </c>
      <c r="P57" t="n">
        <v>1840</v>
      </c>
      <c r="Q57" t="n">
        <v>2120</v>
      </c>
      <c r="R57" t="n">
        <v>2400</v>
      </c>
      <c r="S57" t="n">
        <v>2680</v>
      </c>
      <c r="T57" t="n">
        <v>2960</v>
      </c>
      <c r="U57" t="n">
        <v>3240</v>
      </c>
      <c r="V57" t="n">
        <v>1602</v>
      </c>
      <c r="W57" t="n">
        <v>1224</v>
      </c>
      <c r="X57" t="n">
        <v>1168</v>
      </c>
      <c r="Y57" t="n">
        <v>3800</v>
      </c>
    </row>
    <row r="58">
      <c r="A58" t="n">
        <v>57</v>
      </c>
      <c r="B58" t="n">
        <v>0</v>
      </c>
      <c r="C58" t="n">
        <v>2344</v>
      </c>
      <c r="D58" t="n">
        <v>3078</v>
      </c>
      <c r="E58" t="n">
        <v>5295</v>
      </c>
      <c r="F58" t="n">
        <v>9088</v>
      </c>
      <c r="G58" t="n">
        <v>15496</v>
      </c>
      <c r="H58" t="n">
        <v>26337</v>
      </c>
      <c r="I58" t="n">
        <v>44492</v>
      </c>
      <c r="J58" t="n">
        <v>1570</v>
      </c>
      <c r="K58" t="n">
        <v>3078</v>
      </c>
      <c r="L58" t="n">
        <v>1570</v>
      </c>
      <c r="M58" t="n">
        <v>1000</v>
      </c>
      <c r="N58" t="n">
        <v>1285</v>
      </c>
      <c r="O58" t="n">
        <v>1570</v>
      </c>
      <c r="P58" t="n">
        <v>1855</v>
      </c>
      <c r="Q58" t="n">
        <v>2140</v>
      </c>
      <c r="R58" t="n">
        <v>2425</v>
      </c>
      <c r="S58" t="n">
        <v>2710</v>
      </c>
      <c r="T58" t="n">
        <v>2995</v>
      </c>
      <c r="U58" t="n">
        <v>3280</v>
      </c>
      <c r="V58" t="n">
        <v>1615</v>
      </c>
      <c r="W58" t="n">
        <v>1228</v>
      </c>
      <c r="X58" t="n">
        <v>1171</v>
      </c>
      <c r="Y58" t="n">
        <v>3850</v>
      </c>
    </row>
    <row r="59">
      <c r="A59" t="n">
        <v>58</v>
      </c>
      <c r="B59" t="n">
        <v>0</v>
      </c>
      <c r="C59" t="n">
        <v>2380</v>
      </c>
      <c r="D59" t="n">
        <v>3140</v>
      </c>
      <c r="E59" t="n">
        <v>5454</v>
      </c>
      <c r="F59" t="n">
        <v>9452</v>
      </c>
      <c r="G59" t="n">
        <v>16271</v>
      </c>
      <c r="H59" t="n">
        <v>27918</v>
      </c>
      <c r="I59" t="n">
        <v>47607</v>
      </c>
      <c r="J59" t="n">
        <v>1580</v>
      </c>
      <c r="K59" t="n">
        <v>3140</v>
      </c>
      <c r="L59" t="n">
        <v>1580</v>
      </c>
      <c r="M59" t="n">
        <v>1000</v>
      </c>
      <c r="N59" t="n">
        <v>1290</v>
      </c>
      <c r="O59" t="n">
        <v>1580</v>
      </c>
      <c r="P59" t="n">
        <v>1870</v>
      </c>
      <c r="Q59" t="n">
        <v>2160</v>
      </c>
      <c r="R59" t="n">
        <v>2450</v>
      </c>
      <c r="S59" t="n">
        <v>2740</v>
      </c>
      <c r="T59" t="n">
        <v>3030</v>
      </c>
      <c r="U59" t="n">
        <v>3320</v>
      </c>
      <c r="V59" t="n">
        <v>1628</v>
      </c>
      <c r="W59" t="n">
        <v>1232</v>
      </c>
      <c r="X59" t="n">
        <v>1174</v>
      </c>
      <c r="Y59" t="n">
        <v>3900</v>
      </c>
    </row>
    <row r="60">
      <c r="A60" t="n">
        <v>59</v>
      </c>
      <c r="B60" t="n">
        <v>0</v>
      </c>
      <c r="C60" t="n">
        <v>2416</v>
      </c>
      <c r="D60" t="n">
        <v>3203</v>
      </c>
      <c r="E60" t="n">
        <v>5618</v>
      </c>
      <c r="F60" t="n">
        <v>9831</v>
      </c>
      <c r="G60" t="n">
        <v>17085</v>
      </c>
      <c r="H60" t="n">
        <v>29594</v>
      </c>
      <c r="I60" t="n">
        <v>50940</v>
      </c>
      <c r="J60" t="n">
        <v>1590</v>
      </c>
      <c r="K60" t="n">
        <v>3203</v>
      </c>
      <c r="L60" t="n">
        <v>1590</v>
      </c>
      <c r="M60" t="n">
        <v>1000</v>
      </c>
      <c r="N60" t="n">
        <v>1295</v>
      </c>
      <c r="O60" t="n">
        <v>1590</v>
      </c>
      <c r="P60" t="n">
        <v>1885</v>
      </c>
      <c r="Q60" t="n">
        <v>2180</v>
      </c>
      <c r="R60" t="n">
        <v>2475</v>
      </c>
      <c r="S60" t="n">
        <v>2770</v>
      </c>
      <c r="T60" t="n">
        <v>3065</v>
      </c>
      <c r="U60" t="n">
        <v>3360</v>
      </c>
      <c r="V60" t="n">
        <v>1641</v>
      </c>
      <c r="W60" t="n">
        <v>1236</v>
      </c>
      <c r="X60" t="n">
        <v>1177</v>
      </c>
      <c r="Y60" t="n">
        <v>3950</v>
      </c>
    </row>
    <row r="61">
      <c r="A61" t="n">
        <v>60</v>
      </c>
      <c r="B61" t="n">
        <v>0</v>
      </c>
      <c r="C61" t="n">
        <v>2453</v>
      </c>
      <c r="D61" t="n">
        <v>3268</v>
      </c>
      <c r="E61" t="n">
        <v>5787</v>
      </c>
      <c r="F61" t="n">
        <v>10225</v>
      </c>
      <c r="G61" t="n">
        <v>17940</v>
      </c>
      <c r="H61" t="n">
        <v>31370</v>
      </c>
      <c r="I61" t="n">
        <v>54506</v>
      </c>
      <c r="J61" t="n">
        <v>1600</v>
      </c>
      <c r="K61" t="n">
        <v>3268</v>
      </c>
      <c r="L61" t="n">
        <v>1600</v>
      </c>
      <c r="M61" t="n">
        <v>1000</v>
      </c>
      <c r="N61" t="n">
        <v>1300</v>
      </c>
      <c r="O61" t="n">
        <v>1600</v>
      </c>
      <c r="P61" t="n">
        <v>1900</v>
      </c>
      <c r="Q61" t="n">
        <v>2200</v>
      </c>
      <c r="R61" t="n">
        <v>2500</v>
      </c>
      <c r="S61" t="n">
        <v>2800</v>
      </c>
      <c r="T61" t="n">
        <v>3100</v>
      </c>
      <c r="U61" t="n">
        <v>3400</v>
      </c>
      <c r="V61" t="n">
        <v>1654</v>
      </c>
      <c r="W61" t="n">
        <v>1240</v>
      </c>
      <c r="X61" t="n">
        <v>1180</v>
      </c>
      <c r="Y61" t="n">
        <v>4000</v>
      </c>
    </row>
    <row r="62">
      <c r="A62" t="n">
        <v>61</v>
      </c>
      <c r="B62" t="n">
        <v>0</v>
      </c>
      <c r="C62" t="n">
        <v>2490</v>
      </c>
      <c r="D62" t="n">
        <v>3334</v>
      </c>
      <c r="E62" t="n">
        <v>5961</v>
      </c>
      <c r="F62" t="n">
        <v>10634</v>
      </c>
      <c r="G62" t="n">
        <v>18837</v>
      </c>
      <c r="H62" t="n">
        <v>33253</v>
      </c>
      <c r="I62" t="n">
        <v>58322</v>
      </c>
      <c r="J62" t="n">
        <v>1610</v>
      </c>
      <c r="K62" t="n">
        <v>3334</v>
      </c>
      <c r="L62" t="n">
        <v>1610</v>
      </c>
      <c r="M62" t="n">
        <v>1000</v>
      </c>
      <c r="N62" t="n">
        <v>1305</v>
      </c>
      <c r="O62" t="n">
        <v>1610</v>
      </c>
      <c r="P62" t="n">
        <v>1915</v>
      </c>
      <c r="Q62" t="n">
        <v>2220</v>
      </c>
      <c r="R62" t="n">
        <v>2525</v>
      </c>
      <c r="S62" t="n">
        <v>2830</v>
      </c>
      <c r="T62" t="n">
        <v>3135</v>
      </c>
      <c r="U62" t="n">
        <v>3440</v>
      </c>
      <c r="V62" t="n">
        <v>1667</v>
      </c>
      <c r="W62" t="n">
        <v>1244</v>
      </c>
      <c r="X62" t="n">
        <v>1183</v>
      </c>
      <c r="Y62" t="n">
        <v>4050</v>
      </c>
    </row>
    <row r="63">
      <c r="A63" t="n">
        <v>62</v>
      </c>
      <c r="B63" t="n">
        <v>0</v>
      </c>
      <c r="C63" t="n">
        <v>2528</v>
      </c>
      <c r="D63" t="n">
        <v>3401</v>
      </c>
      <c r="E63" t="n">
        <v>6140</v>
      </c>
      <c r="F63" t="n">
        <v>11060</v>
      </c>
      <c r="G63" t="n">
        <v>19779</v>
      </c>
      <c r="H63" t="n">
        <v>35249</v>
      </c>
      <c r="I63" t="n">
        <v>62405</v>
      </c>
      <c r="J63" t="n">
        <v>1620</v>
      </c>
      <c r="K63" t="n">
        <v>3401</v>
      </c>
      <c r="L63" t="n">
        <v>1620</v>
      </c>
      <c r="M63" t="n">
        <v>1000</v>
      </c>
      <c r="N63" t="n">
        <v>1310</v>
      </c>
      <c r="O63" t="n">
        <v>1620</v>
      </c>
      <c r="P63" t="n">
        <v>1930</v>
      </c>
      <c r="Q63" t="n">
        <v>2240</v>
      </c>
      <c r="R63" t="n">
        <v>2550</v>
      </c>
      <c r="S63" t="n">
        <v>2860</v>
      </c>
      <c r="T63" t="n">
        <v>3170</v>
      </c>
      <c r="U63" t="n">
        <v>3480</v>
      </c>
      <c r="V63" t="n">
        <v>1680</v>
      </c>
      <c r="W63" t="n">
        <v>1248</v>
      </c>
      <c r="X63" t="n">
        <v>1186</v>
      </c>
      <c r="Y63" t="n">
        <v>4100</v>
      </c>
    </row>
    <row r="64">
      <c r="A64" t="n">
        <v>63</v>
      </c>
      <c r="B64" t="n">
        <v>0</v>
      </c>
      <c r="C64" t="n">
        <v>2566</v>
      </c>
      <c r="D64" t="n">
        <v>3470</v>
      </c>
      <c r="E64" t="n">
        <v>6325</v>
      </c>
      <c r="F64" t="n">
        <v>11503</v>
      </c>
      <c r="G64" t="n">
        <v>20768</v>
      </c>
      <c r="H64" t="n">
        <v>37364</v>
      </c>
      <c r="I64" t="n">
        <v>66774</v>
      </c>
      <c r="J64" t="n">
        <v>1630</v>
      </c>
      <c r="K64" t="n">
        <v>3470</v>
      </c>
      <c r="L64" t="n">
        <v>1630</v>
      </c>
      <c r="M64" t="n">
        <v>1000</v>
      </c>
      <c r="N64" t="n">
        <v>1315</v>
      </c>
      <c r="O64" t="n">
        <v>1630</v>
      </c>
      <c r="P64" t="n">
        <v>1945</v>
      </c>
      <c r="Q64" t="n">
        <v>2260</v>
      </c>
      <c r="R64" t="n">
        <v>2575</v>
      </c>
      <c r="S64" t="n">
        <v>2890</v>
      </c>
      <c r="T64" t="n">
        <v>3205</v>
      </c>
      <c r="U64" t="n">
        <v>3520</v>
      </c>
      <c r="V64" t="n">
        <v>1693</v>
      </c>
      <c r="W64" t="n">
        <v>1252</v>
      </c>
      <c r="X64" t="n">
        <v>1189</v>
      </c>
      <c r="Y64" t="n">
        <v>4150</v>
      </c>
    </row>
    <row r="65">
      <c r="A65" t="n">
        <v>64</v>
      </c>
      <c r="B65" t="n">
        <v>0</v>
      </c>
      <c r="C65" t="n">
        <v>2605</v>
      </c>
      <c r="D65" t="n">
        <v>3540</v>
      </c>
      <c r="E65" t="n">
        <v>6515</v>
      </c>
      <c r="F65" t="n">
        <v>11964</v>
      </c>
      <c r="G65" t="n">
        <v>21807</v>
      </c>
      <c r="H65" t="n">
        <v>39606</v>
      </c>
      <c r="I65" t="n">
        <v>71449</v>
      </c>
      <c r="J65" t="n">
        <v>1640</v>
      </c>
      <c r="K65" t="n">
        <v>3540</v>
      </c>
      <c r="L65" t="n">
        <v>1640</v>
      </c>
      <c r="M65" t="n">
        <v>1000</v>
      </c>
      <c r="N65" t="n">
        <v>1320</v>
      </c>
      <c r="O65" t="n">
        <v>1640</v>
      </c>
      <c r="P65" t="n">
        <v>1960</v>
      </c>
      <c r="Q65" t="n">
        <v>2280</v>
      </c>
      <c r="R65" t="n">
        <v>2600</v>
      </c>
      <c r="S65" t="n">
        <v>2920</v>
      </c>
      <c r="T65" t="n">
        <v>3240</v>
      </c>
      <c r="U65" t="n">
        <v>3560</v>
      </c>
      <c r="V65" t="n">
        <v>1706</v>
      </c>
      <c r="W65" t="n">
        <v>1256</v>
      </c>
      <c r="X65" t="n">
        <v>1192</v>
      </c>
      <c r="Y65" t="n">
        <v>4200</v>
      </c>
    </row>
    <row r="66">
      <c r="A66" t="n">
        <v>65</v>
      </c>
      <c r="B66" t="n">
        <v>0</v>
      </c>
      <c r="C66" t="n">
        <v>2645</v>
      </c>
      <c r="D66" t="n">
        <v>3611</v>
      </c>
      <c r="E66" t="n">
        <v>6711</v>
      </c>
      <c r="F66" t="n">
        <v>12443</v>
      </c>
      <c r="G66" t="n">
        <v>22898</v>
      </c>
      <c r="H66" t="n">
        <v>41983</v>
      </c>
      <c r="I66" t="n">
        <v>76451</v>
      </c>
      <c r="J66" t="n">
        <v>1650</v>
      </c>
      <c r="K66" t="n">
        <v>3611</v>
      </c>
      <c r="L66" t="n">
        <v>1650</v>
      </c>
      <c r="M66" t="n">
        <v>1000</v>
      </c>
      <c r="N66" t="n">
        <v>1325</v>
      </c>
      <c r="O66" t="n">
        <v>1650</v>
      </c>
      <c r="P66" t="n">
        <v>1975</v>
      </c>
      <c r="Q66" t="n">
        <v>2300</v>
      </c>
      <c r="R66" t="n">
        <v>2625</v>
      </c>
      <c r="S66" t="n">
        <v>2950</v>
      </c>
      <c r="T66" t="n">
        <v>3275</v>
      </c>
      <c r="U66" t="n">
        <v>3600</v>
      </c>
      <c r="V66" t="n">
        <v>1719</v>
      </c>
      <c r="W66" t="n">
        <v>1260</v>
      </c>
      <c r="X66" t="n">
        <v>1195</v>
      </c>
      <c r="Y66" t="n">
        <v>4250</v>
      </c>
    </row>
    <row r="67">
      <c r="A67" t="n">
        <v>66</v>
      </c>
      <c r="B67" t="n">
        <v>0</v>
      </c>
      <c r="C67" t="n">
        <v>2685</v>
      </c>
      <c r="D67" t="n">
        <v>3684</v>
      </c>
      <c r="E67" t="n">
        <v>6913</v>
      </c>
      <c r="F67" t="n">
        <v>12941</v>
      </c>
      <c r="G67" t="n">
        <v>24043</v>
      </c>
      <c r="H67" t="n">
        <v>44502</v>
      </c>
      <c r="I67" t="n">
        <v>81803</v>
      </c>
      <c r="J67" t="n">
        <v>1660</v>
      </c>
      <c r="K67" t="n">
        <v>3684</v>
      </c>
      <c r="L67" t="n">
        <v>1660</v>
      </c>
      <c r="M67" t="n">
        <v>1000</v>
      </c>
      <c r="N67" t="n">
        <v>1330</v>
      </c>
      <c r="O67" t="n">
        <v>1660</v>
      </c>
      <c r="P67" t="n">
        <v>1990</v>
      </c>
      <c r="Q67" t="n">
        <v>2320</v>
      </c>
      <c r="R67" t="n">
        <v>2650</v>
      </c>
      <c r="S67" t="n">
        <v>2980</v>
      </c>
      <c r="T67" t="n">
        <v>3310</v>
      </c>
      <c r="U67" t="n">
        <v>3640</v>
      </c>
      <c r="V67" t="n">
        <v>1732</v>
      </c>
      <c r="W67" t="n">
        <v>1264</v>
      </c>
      <c r="X67" t="n">
        <v>1198</v>
      </c>
      <c r="Y67" t="n">
        <v>4300</v>
      </c>
    </row>
    <row r="68">
      <c r="A68" t="n">
        <v>67</v>
      </c>
      <c r="B68" t="n">
        <v>0</v>
      </c>
      <c r="C68" t="n">
        <v>2726</v>
      </c>
      <c r="D68" t="n">
        <v>3758</v>
      </c>
      <c r="E68" t="n">
        <v>7121</v>
      </c>
      <c r="F68" t="n">
        <v>13459</v>
      </c>
      <c r="G68" t="n">
        <v>25246</v>
      </c>
      <c r="H68" t="n">
        <v>47173</v>
      </c>
      <c r="I68" t="n">
        <v>87530</v>
      </c>
      <c r="J68" t="n">
        <v>1670</v>
      </c>
      <c r="K68" t="n">
        <v>3758</v>
      </c>
      <c r="L68" t="n">
        <v>1670</v>
      </c>
      <c r="M68" t="n">
        <v>1000</v>
      </c>
      <c r="N68" t="n">
        <v>1335</v>
      </c>
      <c r="O68" t="n">
        <v>1670</v>
      </c>
      <c r="P68" t="n">
        <v>2005</v>
      </c>
      <c r="Q68" t="n">
        <v>2340</v>
      </c>
      <c r="R68" t="n">
        <v>2675</v>
      </c>
      <c r="S68" t="n">
        <v>3010</v>
      </c>
      <c r="T68" t="n">
        <v>3345</v>
      </c>
      <c r="U68" t="n">
        <v>3680</v>
      </c>
      <c r="V68" t="n">
        <v>1745</v>
      </c>
      <c r="W68" t="n">
        <v>1268</v>
      </c>
      <c r="X68" t="n">
        <v>1201</v>
      </c>
      <c r="Y68" t="n">
        <v>4350</v>
      </c>
    </row>
    <row r="69">
      <c r="A69" t="n">
        <v>68</v>
      </c>
      <c r="B69" t="n">
        <v>0</v>
      </c>
      <c r="C69" t="n">
        <v>2767</v>
      </c>
      <c r="D69" t="n">
        <v>3834</v>
      </c>
      <c r="E69" t="n">
        <v>7335</v>
      </c>
      <c r="F69" t="n">
        <v>13998</v>
      </c>
      <c r="G69" t="n">
        <v>26509</v>
      </c>
      <c r="H69" t="n">
        <v>50004</v>
      </c>
      <c r="I69" t="n">
        <v>93658</v>
      </c>
      <c r="J69" t="n">
        <v>1680</v>
      </c>
      <c r="K69" t="n">
        <v>3834</v>
      </c>
      <c r="L69" t="n">
        <v>1680</v>
      </c>
      <c r="M69" t="n">
        <v>1000</v>
      </c>
      <c r="N69" t="n">
        <v>1340</v>
      </c>
      <c r="O69" t="n">
        <v>1680</v>
      </c>
      <c r="P69" t="n">
        <v>2020</v>
      </c>
      <c r="Q69" t="n">
        <v>2360</v>
      </c>
      <c r="R69" t="n">
        <v>2700</v>
      </c>
      <c r="S69" t="n">
        <v>3040</v>
      </c>
      <c r="T69" t="n">
        <v>3380</v>
      </c>
      <c r="U69" t="n">
        <v>3720</v>
      </c>
      <c r="V69" t="n">
        <v>1758</v>
      </c>
      <c r="W69" t="n">
        <v>1272</v>
      </c>
      <c r="X69" t="n">
        <v>1204</v>
      </c>
      <c r="Y69" t="n">
        <v>4400</v>
      </c>
    </row>
    <row r="70">
      <c r="A70" t="n">
        <v>69</v>
      </c>
      <c r="B70" t="n">
        <v>0</v>
      </c>
      <c r="C70" t="n">
        <v>2809</v>
      </c>
      <c r="D70" t="n">
        <v>3911</v>
      </c>
      <c r="E70" t="n">
        <v>7556</v>
      </c>
      <c r="F70" t="n">
        <v>14558</v>
      </c>
      <c r="G70" t="n">
        <v>27835</v>
      </c>
      <c r="H70" t="n">
        <v>53005</v>
      </c>
      <c r="I70" t="n">
        <v>100215</v>
      </c>
      <c r="J70" t="n">
        <v>1690</v>
      </c>
      <c r="K70" t="n">
        <v>3911</v>
      </c>
      <c r="L70" t="n">
        <v>1690</v>
      </c>
      <c r="M70" t="n">
        <v>1000</v>
      </c>
      <c r="N70" t="n">
        <v>1345</v>
      </c>
      <c r="O70" t="n">
        <v>1690</v>
      </c>
      <c r="P70" t="n">
        <v>2035</v>
      </c>
      <c r="Q70" t="n">
        <v>2380</v>
      </c>
      <c r="R70" t="n">
        <v>2725</v>
      </c>
      <c r="S70" t="n">
        <v>3070</v>
      </c>
      <c r="T70" t="n">
        <v>3415</v>
      </c>
      <c r="U70" t="n">
        <v>3760</v>
      </c>
      <c r="V70" t="n">
        <v>1771</v>
      </c>
      <c r="W70" t="n">
        <v>1276</v>
      </c>
      <c r="X70" t="n">
        <v>1207</v>
      </c>
      <c r="Y70" t="n">
        <v>4450</v>
      </c>
    </row>
    <row r="71">
      <c r="A71" t="n">
        <v>70</v>
      </c>
      <c r="B71" t="n">
        <v>0</v>
      </c>
      <c r="C71" t="n">
        <v>2852</v>
      </c>
      <c r="D71" t="n">
        <v>3990</v>
      </c>
      <c r="E71" t="n">
        <v>7783</v>
      </c>
      <c r="F71" t="n">
        <v>15141</v>
      </c>
      <c r="G71" t="n">
        <v>29227</v>
      </c>
      <c r="H71" t="n">
        <v>56186</v>
      </c>
      <c r="I71" t="n">
        <v>107231</v>
      </c>
      <c r="J71" t="n">
        <v>1700</v>
      </c>
      <c r="K71" t="n">
        <v>3990</v>
      </c>
      <c r="L71" t="n">
        <v>1700</v>
      </c>
      <c r="M71" t="n">
        <v>1000</v>
      </c>
      <c r="N71" t="n">
        <v>1350</v>
      </c>
      <c r="O71" t="n">
        <v>1700</v>
      </c>
      <c r="P71" t="n">
        <v>2050</v>
      </c>
      <c r="Q71" t="n">
        <v>2400</v>
      </c>
      <c r="R71" t="n">
        <v>2750</v>
      </c>
      <c r="S71" t="n">
        <v>3100</v>
      </c>
      <c r="T71" t="n">
        <v>3450</v>
      </c>
      <c r="U71" t="n">
        <v>3800</v>
      </c>
      <c r="V71" t="n">
        <v>1784</v>
      </c>
      <c r="W71" t="n">
        <v>1280</v>
      </c>
      <c r="X71" t="n">
        <v>1210</v>
      </c>
      <c r="Y71" t="n">
        <v>4500</v>
      </c>
    </row>
    <row r="72">
      <c r="A72" t="n">
        <v>71</v>
      </c>
      <c r="B72" t="n">
        <v>0</v>
      </c>
      <c r="C72" t="n">
        <v>2895</v>
      </c>
      <c r="D72" t="n">
        <v>4070</v>
      </c>
      <c r="E72" t="n">
        <v>8017</v>
      </c>
      <c r="F72" t="n">
        <v>15747</v>
      </c>
      <c r="G72" t="n">
        <v>30689</v>
      </c>
      <c r="H72" t="n">
        <v>59558</v>
      </c>
      <c r="I72" t="n">
        <v>114738</v>
      </c>
      <c r="J72" t="n">
        <v>1710</v>
      </c>
      <c r="K72" t="n">
        <v>4070</v>
      </c>
      <c r="L72" t="n">
        <v>1710</v>
      </c>
      <c r="M72" t="n">
        <v>1000</v>
      </c>
      <c r="N72" t="n">
        <v>1355</v>
      </c>
      <c r="O72" t="n">
        <v>1710</v>
      </c>
      <c r="P72" t="n">
        <v>2065</v>
      </c>
      <c r="Q72" t="n">
        <v>2420</v>
      </c>
      <c r="R72" t="n">
        <v>2775</v>
      </c>
      <c r="S72" t="n">
        <v>3130</v>
      </c>
      <c r="T72" t="n">
        <v>3485</v>
      </c>
      <c r="U72" t="n">
        <v>3840</v>
      </c>
      <c r="V72" t="n">
        <v>1797</v>
      </c>
      <c r="W72" t="n">
        <v>1284</v>
      </c>
      <c r="X72" t="n">
        <v>1213</v>
      </c>
      <c r="Y72" t="n">
        <v>4550</v>
      </c>
    </row>
    <row r="73">
      <c r="A73" t="n">
        <v>72</v>
      </c>
      <c r="B73" t="n">
        <v>0</v>
      </c>
      <c r="C73" t="n">
        <v>2939</v>
      </c>
      <c r="D73" t="n">
        <v>4152</v>
      </c>
      <c r="E73" t="n">
        <v>8258</v>
      </c>
      <c r="F73" t="n">
        <v>16377</v>
      </c>
      <c r="G73" t="n">
        <v>32224</v>
      </c>
      <c r="H73" t="n">
        <v>63132</v>
      </c>
      <c r="I73" t="n">
        <v>122770</v>
      </c>
      <c r="J73" t="n">
        <v>1720</v>
      </c>
      <c r="K73" t="n">
        <v>4152</v>
      </c>
      <c r="L73" t="n">
        <v>1720</v>
      </c>
      <c r="M73" t="n">
        <v>1000</v>
      </c>
      <c r="N73" t="n">
        <v>1360</v>
      </c>
      <c r="O73" t="n">
        <v>1720</v>
      </c>
      <c r="P73" t="n">
        <v>2080</v>
      </c>
      <c r="Q73" t="n">
        <v>2440</v>
      </c>
      <c r="R73" t="n">
        <v>2800</v>
      </c>
      <c r="S73" t="n">
        <v>3160</v>
      </c>
      <c r="T73" t="n">
        <v>3520</v>
      </c>
      <c r="U73" t="n">
        <v>3880</v>
      </c>
      <c r="V73" t="n">
        <v>1811</v>
      </c>
      <c r="W73" t="n">
        <v>1288</v>
      </c>
      <c r="X73" t="n">
        <v>1216</v>
      </c>
      <c r="Y73" t="n">
        <v>4600</v>
      </c>
    </row>
    <row r="74">
      <c r="A74" t="n">
        <v>73</v>
      </c>
      <c r="B74" t="n">
        <v>0</v>
      </c>
      <c r="C74" t="n">
        <v>2984</v>
      </c>
      <c r="D74" t="n">
        <v>4236</v>
      </c>
      <c r="E74" t="n">
        <v>8506</v>
      </c>
      <c r="F74" t="n">
        <v>17033</v>
      </c>
      <c r="G74" t="n">
        <v>33836</v>
      </c>
      <c r="H74" t="n">
        <v>66920</v>
      </c>
      <c r="I74" t="n">
        <v>131364</v>
      </c>
      <c r="J74" t="n">
        <v>1730</v>
      </c>
      <c r="K74" t="n">
        <v>4236</v>
      </c>
      <c r="L74" t="n">
        <v>1730</v>
      </c>
      <c r="M74" t="n">
        <v>1000</v>
      </c>
      <c r="N74" t="n">
        <v>1365</v>
      </c>
      <c r="O74" t="n">
        <v>1730</v>
      </c>
      <c r="P74" t="n">
        <v>2095</v>
      </c>
      <c r="Q74" t="n">
        <v>2460</v>
      </c>
      <c r="R74" t="n">
        <v>2825</v>
      </c>
      <c r="S74" t="n">
        <v>3190</v>
      </c>
      <c r="T74" t="n">
        <v>3555</v>
      </c>
      <c r="U74" t="n">
        <v>3920</v>
      </c>
      <c r="V74" t="n">
        <v>1825</v>
      </c>
      <c r="W74" t="n">
        <v>1292</v>
      </c>
      <c r="X74" t="n">
        <v>1219</v>
      </c>
      <c r="Y74" t="n">
        <v>4650</v>
      </c>
    </row>
    <row r="75">
      <c r="A75" t="n">
        <v>74</v>
      </c>
      <c r="B75" t="n">
        <v>0</v>
      </c>
      <c r="C75" t="n">
        <v>3029</v>
      </c>
      <c r="D75" t="n">
        <v>4321</v>
      </c>
      <c r="E75" t="n">
        <v>8762</v>
      </c>
      <c r="F75" t="n">
        <v>17715</v>
      </c>
      <c r="G75" t="n">
        <v>35528</v>
      </c>
      <c r="H75" t="n">
        <v>70936</v>
      </c>
      <c r="I75" t="n">
        <v>140560</v>
      </c>
      <c r="J75" t="n">
        <v>1740</v>
      </c>
      <c r="K75" t="n">
        <v>4321</v>
      </c>
      <c r="L75" t="n">
        <v>1740</v>
      </c>
      <c r="M75" t="n">
        <v>1000</v>
      </c>
      <c r="N75" t="n">
        <v>1370</v>
      </c>
      <c r="O75" t="n">
        <v>1740</v>
      </c>
      <c r="P75" t="n">
        <v>2110</v>
      </c>
      <c r="Q75" t="n">
        <v>2480</v>
      </c>
      <c r="R75" t="n">
        <v>2850</v>
      </c>
      <c r="S75" t="n">
        <v>3220</v>
      </c>
      <c r="T75" t="n">
        <v>3590</v>
      </c>
      <c r="U75" t="n">
        <v>3960</v>
      </c>
      <c r="V75" t="n">
        <v>1839</v>
      </c>
      <c r="W75" t="n">
        <v>1296</v>
      </c>
      <c r="X75" t="n">
        <v>1222</v>
      </c>
      <c r="Y75" t="n">
        <v>4700</v>
      </c>
    </row>
    <row r="76">
      <c r="A76" t="n">
        <v>75</v>
      </c>
      <c r="B76" t="n">
        <v>0</v>
      </c>
      <c r="C76" t="n">
        <v>3075</v>
      </c>
      <c r="D76" t="n">
        <v>4408</v>
      </c>
      <c r="E76" t="n">
        <v>9025</v>
      </c>
      <c r="F76" t="n">
        <v>18424</v>
      </c>
      <c r="G76" t="n">
        <v>37305</v>
      </c>
      <c r="H76" t="n">
        <v>75193</v>
      </c>
      <c r="I76" t="n">
        <v>150400</v>
      </c>
      <c r="J76" t="n">
        <v>1750</v>
      </c>
      <c r="K76" t="n">
        <v>4408</v>
      </c>
      <c r="L76" t="n">
        <v>1750</v>
      </c>
      <c r="M76" t="n">
        <v>1000</v>
      </c>
      <c r="N76" t="n">
        <v>1375</v>
      </c>
      <c r="O76" t="n">
        <v>1750</v>
      </c>
      <c r="P76" t="n">
        <v>2125</v>
      </c>
      <c r="Q76" t="n">
        <v>2500</v>
      </c>
      <c r="R76" t="n">
        <v>2875</v>
      </c>
      <c r="S76" t="n">
        <v>3250</v>
      </c>
      <c r="T76" t="n">
        <v>3625</v>
      </c>
      <c r="U76" t="n">
        <v>4000</v>
      </c>
      <c r="V76" t="n">
        <v>1853</v>
      </c>
      <c r="W76" t="n">
        <v>1300</v>
      </c>
      <c r="X76" t="n">
        <v>1225</v>
      </c>
      <c r="Y76" t="n">
        <v>4750</v>
      </c>
    </row>
    <row r="77">
      <c r="A77" t="n">
        <v>76</v>
      </c>
      <c r="B77" t="n">
        <v>0</v>
      </c>
      <c r="C77" t="n">
        <v>3122</v>
      </c>
      <c r="D77" t="n">
        <v>4497</v>
      </c>
      <c r="E77" t="n">
        <v>9296</v>
      </c>
      <c r="F77" t="n">
        <v>19161</v>
      </c>
      <c r="G77" t="n">
        <v>39171</v>
      </c>
      <c r="H77" t="n">
        <v>79705</v>
      </c>
      <c r="I77" t="n">
        <v>160928</v>
      </c>
      <c r="J77" t="n">
        <v>1760</v>
      </c>
      <c r="K77" t="n">
        <v>4497</v>
      </c>
      <c r="L77" t="n">
        <v>1760</v>
      </c>
      <c r="M77" t="n">
        <v>1000</v>
      </c>
      <c r="N77" t="n">
        <v>1380</v>
      </c>
      <c r="O77" t="n">
        <v>1760</v>
      </c>
      <c r="P77" t="n">
        <v>2140</v>
      </c>
      <c r="Q77" t="n">
        <v>2520</v>
      </c>
      <c r="R77" t="n">
        <v>2900</v>
      </c>
      <c r="S77" t="n">
        <v>3280</v>
      </c>
      <c r="T77" t="n">
        <v>3660</v>
      </c>
      <c r="U77" t="n">
        <v>4040</v>
      </c>
      <c r="V77" t="n">
        <v>1867</v>
      </c>
      <c r="W77" t="n">
        <v>1304</v>
      </c>
      <c r="X77" t="n">
        <v>1228</v>
      </c>
      <c r="Y77" t="n">
        <v>4800</v>
      </c>
    </row>
    <row r="78">
      <c r="A78" t="n">
        <v>77</v>
      </c>
      <c r="B78" t="n">
        <v>0</v>
      </c>
      <c r="C78" t="n">
        <v>3169</v>
      </c>
      <c r="D78" t="n">
        <v>4587</v>
      </c>
      <c r="E78" t="n">
        <v>9575</v>
      </c>
      <c r="F78" t="n">
        <v>19928</v>
      </c>
      <c r="G78" t="n">
        <v>41130</v>
      </c>
      <c r="H78" t="n">
        <v>84488</v>
      </c>
      <c r="I78" t="n">
        <v>172193</v>
      </c>
      <c r="J78" t="n">
        <v>1770</v>
      </c>
      <c r="K78" t="n">
        <v>4587</v>
      </c>
      <c r="L78" t="n">
        <v>1770</v>
      </c>
      <c r="M78" t="n">
        <v>1000</v>
      </c>
      <c r="N78" t="n">
        <v>1385</v>
      </c>
      <c r="O78" t="n">
        <v>1770</v>
      </c>
      <c r="P78" t="n">
        <v>2155</v>
      </c>
      <c r="Q78" t="n">
        <v>2540</v>
      </c>
      <c r="R78" t="n">
        <v>2925</v>
      </c>
      <c r="S78" t="n">
        <v>3310</v>
      </c>
      <c r="T78" t="n">
        <v>3695</v>
      </c>
      <c r="U78" t="n">
        <v>4080</v>
      </c>
      <c r="V78" t="n">
        <v>1881</v>
      </c>
      <c r="W78" t="n">
        <v>1308</v>
      </c>
      <c r="X78" t="n">
        <v>1231</v>
      </c>
      <c r="Y78" t="n">
        <v>4850</v>
      </c>
    </row>
    <row r="79">
      <c r="A79" t="n">
        <v>78</v>
      </c>
      <c r="B79" t="n">
        <v>0</v>
      </c>
      <c r="C79" t="n">
        <v>3217</v>
      </c>
      <c r="D79" t="n">
        <v>4679</v>
      </c>
      <c r="E79" t="n">
        <v>9863</v>
      </c>
      <c r="F79" t="n">
        <v>20726</v>
      </c>
      <c r="G79" t="n">
        <v>43187</v>
      </c>
      <c r="H79" t="n">
        <v>89558</v>
      </c>
      <c r="I79" t="n">
        <v>184247</v>
      </c>
      <c r="J79" t="n">
        <v>1780</v>
      </c>
      <c r="K79" t="n">
        <v>4679</v>
      </c>
      <c r="L79" t="n">
        <v>1780</v>
      </c>
      <c r="M79" t="n">
        <v>1000</v>
      </c>
      <c r="N79" t="n">
        <v>1390</v>
      </c>
      <c r="O79" t="n">
        <v>1780</v>
      </c>
      <c r="P79" t="n">
        <v>2170</v>
      </c>
      <c r="Q79" t="n">
        <v>2560</v>
      </c>
      <c r="R79" t="n">
        <v>2950</v>
      </c>
      <c r="S79" t="n">
        <v>3340</v>
      </c>
      <c r="T79" t="n">
        <v>3730</v>
      </c>
      <c r="U79" t="n">
        <v>4120</v>
      </c>
      <c r="V79" t="n">
        <v>1895</v>
      </c>
      <c r="W79" t="n">
        <v>1312</v>
      </c>
      <c r="X79" t="n">
        <v>1234</v>
      </c>
      <c r="Y79" t="n">
        <v>4900</v>
      </c>
    </row>
    <row r="80">
      <c r="A80" t="n">
        <v>79</v>
      </c>
      <c r="B80" t="n">
        <v>0</v>
      </c>
      <c r="C80" t="n">
        <v>3266</v>
      </c>
      <c r="D80" t="n">
        <v>4773</v>
      </c>
      <c r="E80" t="n">
        <v>10159</v>
      </c>
      <c r="F80" t="n">
        <v>21556</v>
      </c>
      <c r="G80" t="n">
        <v>45347</v>
      </c>
      <c r="H80" t="n">
        <v>94932</v>
      </c>
      <c r="I80" t="n">
        <v>197145</v>
      </c>
      <c r="J80" t="n">
        <v>1790</v>
      </c>
      <c r="K80" t="n">
        <v>4773</v>
      </c>
      <c r="L80" t="n">
        <v>1790</v>
      </c>
      <c r="M80" t="n">
        <v>1000</v>
      </c>
      <c r="N80" t="n">
        <v>1395</v>
      </c>
      <c r="O80" t="n">
        <v>1790</v>
      </c>
      <c r="P80" t="n">
        <v>2185</v>
      </c>
      <c r="Q80" t="n">
        <v>2580</v>
      </c>
      <c r="R80" t="n">
        <v>2975</v>
      </c>
      <c r="S80" t="n">
        <v>3370</v>
      </c>
      <c r="T80" t="n">
        <v>3765</v>
      </c>
      <c r="U80" t="n">
        <v>4160</v>
      </c>
      <c r="V80" t="n">
        <v>1909</v>
      </c>
      <c r="W80" t="n">
        <v>1316</v>
      </c>
      <c r="X80" t="n">
        <v>1237</v>
      </c>
      <c r="Y80" t="n">
        <v>4950</v>
      </c>
    </row>
    <row r="81">
      <c r="A81" t="n">
        <v>80</v>
      </c>
      <c r="B81" t="n">
        <v>0</v>
      </c>
      <c r="C81" t="n">
        <v>3315</v>
      </c>
      <c r="D81" t="n">
        <v>4869</v>
      </c>
      <c r="E81" t="n">
        <v>10464</v>
      </c>
      <c r="F81" t="n">
        <v>22419</v>
      </c>
      <c r="G81" t="n">
        <v>47615</v>
      </c>
      <c r="H81" t="n">
        <v>100628</v>
      </c>
      <c r="I81" t="n">
        <v>210946</v>
      </c>
      <c r="J81" t="n">
        <v>1800</v>
      </c>
      <c r="K81" t="n">
        <v>4869</v>
      </c>
      <c r="L81" t="n">
        <v>1800</v>
      </c>
      <c r="M81" t="n">
        <v>1000</v>
      </c>
      <c r="N81" t="n">
        <v>1400</v>
      </c>
      <c r="O81" t="n">
        <v>1800</v>
      </c>
      <c r="P81" t="n">
        <v>2200</v>
      </c>
      <c r="Q81" t="n">
        <v>2600</v>
      </c>
      <c r="R81" t="n">
        <v>3000</v>
      </c>
      <c r="S81" t="n">
        <v>3400</v>
      </c>
      <c r="T81" t="n">
        <v>3800</v>
      </c>
      <c r="U81" t="n">
        <v>4200</v>
      </c>
      <c r="V81" t="n">
        <v>1923</v>
      </c>
      <c r="W81" t="n">
        <v>1320</v>
      </c>
      <c r="X81" t="n">
        <v>1240</v>
      </c>
      <c r="Y81" t="n">
        <v>5000</v>
      </c>
    </row>
    <row r="82">
      <c r="A82" t="n">
        <v>81</v>
      </c>
      <c r="B82" t="n">
        <v>0</v>
      </c>
      <c r="C82" t="n">
        <v>3365</v>
      </c>
      <c r="D82" t="n">
        <v>4967</v>
      </c>
      <c r="E82" t="n">
        <v>10778</v>
      </c>
      <c r="F82" t="n">
        <v>23316</v>
      </c>
      <c r="G82" t="n">
        <v>49996</v>
      </c>
      <c r="H82" t="n">
        <v>106666</v>
      </c>
      <c r="I82" t="n">
        <v>225713</v>
      </c>
      <c r="J82" t="n">
        <v>1810</v>
      </c>
      <c r="K82" t="n">
        <v>4967</v>
      </c>
      <c r="L82" t="n">
        <v>1810</v>
      </c>
      <c r="M82" t="n">
        <v>1000</v>
      </c>
      <c r="N82" t="n">
        <v>1405</v>
      </c>
      <c r="O82" t="n">
        <v>1810</v>
      </c>
      <c r="P82" t="n">
        <v>2215</v>
      </c>
      <c r="Q82" t="n">
        <v>2620</v>
      </c>
      <c r="R82" t="n">
        <v>3025</v>
      </c>
      <c r="S82" t="n">
        <v>3430</v>
      </c>
      <c r="T82" t="n">
        <v>3835</v>
      </c>
      <c r="U82" t="n">
        <v>4240</v>
      </c>
      <c r="V82" t="n">
        <v>1937</v>
      </c>
      <c r="W82" t="n">
        <v>1324</v>
      </c>
      <c r="X82" t="n">
        <v>1243</v>
      </c>
      <c r="Y82" t="n">
        <v>5050</v>
      </c>
    </row>
    <row r="83">
      <c r="A83" t="n">
        <v>82</v>
      </c>
      <c r="B83" t="n">
        <v>0</v>
      </c>
      <c r="C83" t="n">
        <v>3416</v>
      </c>
      <c r="D83" t="n">
        <v>5067</v>
      </c>
      <c r="E83" t="n">
        <v>11102</v>
      </c>
      <c r="F83" t="n">
        <v>24249</v>
      </c>
      <c r="G83" t="n">
        <v>52496</v>
      </c>
      <c r="H83" t="n">
        <v>113066</v>
      </c>
      <c r="I83" t="n">
        <v>241513</v>
      </c>
      <c r="J83" t="n">
        <v>1820</v>
      </c>
      <c r="K83" t="n">
        <v>5067</v>
      </c>
      <c r="L83" t="n">
        <v>1820</v>
      </c>
      <c r="M83" t="n">
        <v>1000</v>
      </c>
      <c r="N83" t="n">
        <v>1410</v>
      </c>
      <c r="O83" t="n">
        <v>1820</v>
      </c>
      <c r="P83" t="n">
        <v>2230</v>
      </c>
      <c r="Q83" t="n">
        <v>2640</v>
      </c>
      <c r="R83" t="n">
        <v>3050</v>
      </c>
      <c r="S83" t="n">
        <v>3460</v>
      </c>
      <c r="T83" t="n">
        <v>3870</v>
      </c>
      <c r="U83" t="n">
        <v>4280</v>
      </c>
      <c r="V83" t="n">
        <v>1951</v>
      </c>
      <c r="W83" t="n">
        <v>1328</v>
      </c>
      <c r="X83" t="n">
        <v>1246</v>
      </c>
      <c r="Y83" t="n">
        <v>5100</v>
      </c>
    </row>
    <row r="84">
      <c r="A84" t="n">
        <v>83</v>
      </c>
      <c r="B84" t="n">
        <v>0</v>
      </c>
      <c r="C84" t="n">
        <v>3468</v>
      </c>
      <c r="D84" t="n">
        <v>5169</v>
      </c>
      <c r="E84" t="n">
        <v>11436</v>
      </c>
      <c r="F84" t="n">
        <v>25219</v>
      </c>
      <c r="G84" t="n">
        <v>55121</v>
      </c>
      <c r="H84" t="n">
        <v>119850</v>
      </c>
      <c r="I84" t="n">
        <v>258419</v>
      </c>
      <c r="J84" t="n">
        <v>1830</v>
      </c>
      <c r="K84" t="n">
        <v>5169</v>
      </c>
      <c r="L84" t="n">
        <v>1830</v>
      </c>
      <c r="M84" t="n">
        <v>1000</v>
      </c>
      <c r="N84" t="n">
        <v>1415</v>
      </c>
      <c r="O84" t="n">
        <v>1830</v>
      </c>
      <c r="P84" t="n">
        <v>2245</v>
      </c>
      <c r="Q84" t="n">
        <v>2660</v>
      </c>
      <c r="R84" t="n">
        <v>3075</v>
      </c>
      <c r="S84" t="n">
        <v>3490</v>
      </c>
      <c r="T84" t="n">
        <v>3905</v>
      </c>
      <c r="U84" t="n">
        <v>4320</v>
      </c>
      <c r="V84" t="n">
        <v>1965</v>
      </c>
      <c r="W84" t="n">
        <v>1332</v>
      </c>
      <c r="X84" t="n">
        <v>1249</v>
      </c>
      <c r="Y84" t="n">
        <v>5150</v>
      </c>
    </row>
    <row r="85">
      <c r="A85" t="n">
        <v>84</v>
      </c>
      <c r="B85" t="n">
        <v>0</v>
      </c>
      <c r="C85" t="n">
        <v>3521</v>
      </c>
      <c r="D85" t="n">
        <v>5273</v>
      </c>
      <c r="E85" t="n">
        <v>11780</v>
      </c>
      <c r="F85" t="n">
        <v>26228</v>
      </c>
      <c r="G85" t="n">
        <v>57878</v>
      </c>
      <c r="H85" t="n">
        <v>127041</v>
      </c>
      <c r="I85" t="n">
        <v>276509</v>
      </c>
      <c r="J85" t="n">
        <v>1840</v>
      </c>
      <c r="K85" t="n">
        <v>5273</v>
      </c>
      <c r="L85" t="n">
        <v>1840</v>
      </c>
      <c r="M85" t="n">
        <v>1000</v>
      </c>
      <c r="N85" t="n">
        <v>1420</v>
      </c>
      <c r="O85" t="n">
        <v>1840</v>
      </c>
      <c r="P85" t="n">
        <v>2260</v>
      </c>
      <c r="Q85" t="n">
        <v>2680</v>
      </c>
      <c r="R85" t="n">
        <v>3100</v>
      </c>
      <c r="S85" t="n">
        <v>3520</v>
      </c>
      <c r="T85" t="n">
        <v>3940</v>
      </c>
      <c r="U85" t="n">
        <v>4360</v>
      </c>
      <c r="V85" t="n">
        <v>1979</v>
      </c>
      <c r="W85" t="n">
        <v>1336</v>
      </c>
      <c r="X85" t="n">
        <v>1252</v>
      </c>
      <c r="Y85" t="n">
        <v>5200</v>
      </c>
    </row>
    <row r="86">
      <c r="A86" t="n">
        <v>85</v>
      </c>
      <c r="B86" t="n">
        <v>0</v>
      </c>
      <c r="C86" t="n">
        <v>3574</v>
      </c>
      <c r="D86" t="n">
        <v>5379</v>
      </c>
      <c r="E86" t="n">
        <v>12134</v>
      </c>
      <c r="F86" t="n">
        <v>27278</v>
      </c>
      <c r="G86" t="n">
        <v>60772</v>
      </c>
      <c r="H86" t="n">
        <v>134664</v>
      </c>
      <c r="I86" t="n">
        <v>295865</v>
      </c>
      <c r="J86" t="n">
        <v>1850</v>
      </c>
      <c r="K86" t="n">
        <v>5379</v>
      </c>
      <c r="L86" t="n">
        <v>1850</v>
      </c>
      <c r="M86" t="n">
        <v>1000</v>
      </c>
      <c r="N86" t="n">
        <v>1425</v>
      </c>
      <c r="O86" t="n">
        <v>1850</v>
      </c>
      <c r="P86" t="n">
        <v>2275</v>
      </c>
      <c r="Q86" t="n">
        <v>2700</v>
      </c>
      <c r="R86" t="n">
        <v>3125</v>
      </c>
      <c r="S86" t="n">
        <v>3550</v>
      </c>
      <c r="T86" t="n">
        <v>3975</v>
      </c>
      <c r="U86" t="n">
        <v>4400</v>
      </c>
      <c r="V86" t="n">
        <v>1993</v>
      </c>
      <c r="W86" t="n">
        <v>1340</v>
      </c>
      <c r="X86" t="n">
        <v>1255</v>
      </c>
      <c r="Y86" t="n">
        <v>5250</v>
      </c>
    </row>
    <row r="87">
      <c r="A87" t="n">
        <v>86</v>
      </c>
      <c r="B87" t="n">
        <v>0</v>
      </c>
      <c r="C87" t="n">
        <v>3628</v>
      </c>
      <c r="D87" t="n">
        <v>5487</v>
      </c>
      <c r="E87" t="n">
        <v>12499</v>
      </c>
      <c r="F87" t="n">
        <v>28370</v>
      </c>
      <c r="G87" t="n">
        <v>63811</v>
      </c>
      <c r="H87" t="n">
        <v>142744</v>
      </c>
      <c r="I87" t="n">
        <v>316576</v>
      </c>
      <c r="J87" t="n">
        <v>1860</v>
      </c>
      <c r="K87" t="n">
        <v>5487</v>
      </c>
      <c r="L87" t="n">
        <v>1860</v>
      </c>
      <c r="M87" t="n">
        <v>1000</v>
      </c>
      <c r="N87" t="n">
        <v>1430</v>
      </c>
      <c r="O87" t="n">
        <v>1860</v>
      </c>
      <c r="P87" t="n">
        <v>2290</v>
      </c>
      <c r="Q87" t="n">
        <v>2720</v>
      </c>
      <c r="R87" t="n">
        <v>3150</v>
      </c>
      <c r="S87" t="n">
        <v>3580</v>
      </c>
      <c r="T87" t="n">
        <v>4010</v>
      </c>
      <c r="U87" t="n">
        <v>4440</v>
      </c>
      <c r="V87" t="n">
        <v>2007</v>
      </c>
      <c r="W87" t="n">
        <v>1344</v>
      </c>
      <c r="X87" t="n">
        <v>1258</v>
      </c>
      <c r="Y87" t="n">
        <v>5300</v>
      </c>
    </row>
    <row r="88">
      <c r="A88" t="n">
        <v>87</v>
      </c>
      <c r="B88" t="n">
        <v>0</v>
      </c>
      <c r="C88" t="n">
        <v>3683</v>
      </c>
      <c r="D88" t="n">
        <v>5597</v>
      </c>
      <c r="E88" t="n">
        <v>12874</v>
      </c>
      <c r="F88" t="n">
        <v>29505</v>
      </c>
      <c r="G88" t="n">
        <v>67002</v>
      </c>
      <c r="H88" t="n">
        <v>151309</v>
      </c>
      <c r="I88" t="n">
        <v>338737</v>
      </c>
      <c r="J88" t="n">
        <v>1870</v>
      </c>
      <c r="K88" t="n">
        <v>5597</v>
      </c>
      <c r="L88" t="n">
        <v>1870</v>
      </c>
      <c r="M88" t="n">
        <v>1000</v>
      </c>
      <c r="N88" t="n">
        <v>1435</v>
      </c>
      <c r="O88" t="n">
        <v>1870</v>
      </c>
      <c r="P88" t="n">
        <v>2305</v>
      </c>
      <c r="Q88" t="n">
        <v>2740</v>
      </c>
      <c r="R88" t="n">
        <v>3175</v>
      </c>
      <c r="S88" t="n">
        <v>3610</v>
      </c>
      <c r="T88" t="n">
        <v>4045</v>
      </c>
      <c r="U88" t="n">
        <v>4480</v>
      </c>
      <c r="V88" t="n">
        <v>2022</v>
      </c>
      <c r="W88" t="n">
        <v>1348</v>
      </c>
      <c r="X88" t="n">
        <v>1261</v>
      </c>
      <c r="Y88" t="n">
        <v>5350</v>
      </c>
    </row>
    <row r="89">
      <c r="A89" t="n">
        <v>88</v>
      </c>
      <c r="B89" t="n">
        <v>0</v>
      </c>
      <c r="C89" t="n">
        <v>3739</v>
      </c>
      <c r="D89" t="n">
        <v>5709</v>
      </c>
      <c r="E89" t="n">
        <v>13261</v>
      </c>
      <c r="F89" t="n">
        <v>30686</v>
      </c>
      <c r="G89" t="n">
        <v>70353</v>
      </c>
      <c r="H89" t="n">
        <v>160388</v>
      </c>
      <c r="I89" t="n">
        <v>362449</v>
      </c>
      <c r="J89" t="n">
        <v>1880</v>
      </c>
      <c r="K89" t="n">
        <v>5709</v>
      </c>
      <c r="L89" t="n">
        <v>1880</v>
      </c>
      <c r="M89" t="n">
        <v>1000</v>
      </c>
      <c r="N89" t="n">
        <v>1440</v>
      </c>
      <c r="O89" t="n">
        <v>1880</v>
      </c>
      <c r="P89" t="n">
        <v>2320</v>
      </c>
      <c r="Q89" t="n">
        <v>2760</v>
      </c>
      <c r="R89" t="n">
        <v>3200</v>
      </c>
      <c r="S89" t="n">
        <v>3640</v>
      </c>
      <c r="T89" t="n">
        <v>4080</v>
      </c>
      <c r="U89" t="n">
        <v>4520</v>
      </c>
      <c r="V89" t="n">
        <v>2037</v>
      </c>
      <c r="W89" t="n">
        <v>1352</v>
      </c>
      <c r="X89" t="n">
        <v>1264</v>
      </c>
      <c r="Y89" t="n">
        <v>5400</v>
      </c>
    </row>
    <row r="90">
      <c r="A90" t="n">
        <v>89</v>
      </c>
      <c r="B90" t="n">
        <v>0</v>
      </c>
      <c r="C90" t="n">
        <v>3796</v>
      </c>
      <c r="D90" t="n">
        <v>5824</v>
      </c>
      <c r="E90" t="n">
        <v>13659</v>
      </c>
      <c r="F90" t="n">
        <v>31914</v>
      </c>
      <c r="G90" t="n">
        <v>73871</v>
      </c>
      <c r="H90" t="n">
        <v>170012</v>
      </c>
      <c r="I90" t="n">
        <v>387821</v>
      </c>
      <c r="J90" t="n">
        <v>1890</v>
      </c>
      <c r="K90" t="n">
        <v>5824</v>
      </c>
      <c r="L90" t="n">
        <v>1890</v>
      </c>
      <c r="M90" t="n">
        <v>1000</v>
      </c>
      <c r="N90" t="n">
        <v>1445</v>
      </c>
      <c r="O90" t="n">
        <v>1890</v>
      </c>
      <c r="P90" t="n">
        <v>2335</v>
      </c>
      <c r="Q90" t="n">
        <v>2780</v>
      </c>
      <c r="R90" t="n">
        <v>3225</v>
      </c>
      <c r="S90" t="n">
        <v>3670</v>
      </c>
      <c r="T90" t="n">
        <v>4115</v>
      </c>
      <c r="U90" t="n">
        <v>4560</v>
      </c>
      <c r="V90" t="n">
        <v>2052</v>
      </c>
      <c r="W90" t="n">
        <v>1356</v>
      </c>
      <c r="X90" t="n">
        <v>1267</v>
      </c>
      <c r="Y90" t="n">
        <v>5450</v>
      </c>
    </row>
    <row r="91">
      <c r="A91" t="n">
        <v>90</v>
      </c>
      <c r="B91" t="n">
        <v>0</v>
      </c>
      <c r="C91" t="n">
        <v>3853</v>
      </c>
      <c r="D91" t="n">
        <v>5941</v>
      </c>
      <c r="E91" t="n">
        <v>14069</v>
      </c>
      <c r="F91" t="n">
        <v>33191</v>
      </c>
      <c r="G91" t="n">
        <v>77565</v>
      </c>
      <c r="H91" t="n">
        <v>180213</v>
      </c>
      <c r="I91" t="n">
        <v>414969</v>
      </c>
      <c r="J91" t="n">
        <v>1900</v>
      </c>
      <c r="K91" t="n">
        <v>5941</v>
      </c>
      <c r="L91" t="n">
        <v>1900</v>
      </c>
      <c r="M91" t="n">
        <v>1000</v>
      </c>
      <c r="N91" t="n">
        <v>1450</v>
      </c>
      <c r="O91" t="n">
        <v>1900</v>
      </c>
      <c r="P91" t="n">
        <v>2350</v>
      </c>
      <c r="Q91" t="n">
        <v>2800</v>
      </c>
      <c r="R91" t="n">
        <v>3250</v>
      </c>
      <c r="S91" t="n">
        <v>3700</v>
      </c>
      <c r="T91" t="n">
        <v>4150</v>
      </c>
      <c r="U91" t="n">
        <v>4600</v>
      </c>
      <c r="V91" t="n">
        <v>2067</v>
      </c>
      <c r="W91" t="n">
        <v>1360</v>
      </c>
      <c r="X91" t="n">
        <v>1270</v>
      </c>
      <c r="Y91" t="n">
        <v>5500</v>
      </c>
    </row>
    <row r="92">
      <c r="A92" t="n">
        <v>91</v>
      </c>
      <c r="B92" t="n">
        <v>0</v>
      </c>
      <c r="C92" t="n">
        <v>3911</v>
      </c>
      <c r="D92" t="n">
        <v>6060</v>
      </c>
      <c r="E92" t="n">
        <v>14492</v>
      </c>
      <c r="F92" t="n">
        <v>34519</v>
      </c>
      <c r="G92" t="n">
        <v>81444</v>
      </c>
      <c r="H92" t="n">
        <v>191026</v>
      </c>
      <c r="I92" t="n">
        <v>444017</v>
      </c>
      <c r="J92" t="n">
        <v>1910</v>
      </c>
      <c r="K92" t="n">
        <v>6060</v>
      </c>
      <c r="L92" t="n">
        <v>1910</v>
      </c>
      <c r="M92" t="n">
        <v>1000</v>
      </c>
      <c r="N92" t="n">
        <v>1455</v>
      </c>
      <c r="O92" t="n">
        <v>1910</v>
      </c>
      <c r="P92" t="n">
        <v>2365</v>
      </c>
      <c r="Q92" t="n">
        <v>2820</v>
      </c>
      <c r="R92" t="n">
        <v>3275</v>
      </c>
      <c r="S92" t="n">
        <v>3730</v>
      </c>
      <c r="T92" t="n">
        <v>4185</v>
      </c>
      <c r="U92" t="n">
        <v>4640</v>
      </c>
      <c r="V92" t="n">
        <v>2082</v>
      </c>
      <c r="W92" t="n">
        <v>1364</v>
      </c>
      <c r="X92" t="n">
        <v>1273</v>
      </c>
      <c r="Y92" t="n">
        <v>5550</v>
      </c>
    </row>
    <row r="93">
      <c r="A93" t="n">
        <v>92</v>
      </c>
      <c r="B93" t="n">
        <v>0</v>
      </c>
      <c r="C93" t="n">
        <v>3970</v>
      </c>
      <c r="D93" t="n">
        <v>6182</v>
      </c>
      <c r="E93" t="n">
        <v>14927</v>
      </c>
      <c r="F93" t="n">
        <v>35900</v>
      </c>
      <c r="G93" t="n">
        <v>85517</v>
      </c>
      <c r="H93" t="n">
        <v>202488</v>
      </c>
      <c r="I93" t="n">
        <v>475099</v>
      </c>
      <c r="J93" t="n">
        <v>1920</v>
      </c>
      <c r="K93" t="n">
        <v>6182</v>
      </c>
      <c r="L93" t="n">
        <v>1920</v>
      </c>
      <c r="M93" t="n">
        <v>1000</v>
      </c>
      <c r="N93" t="n">
        <v>1460</v>
      </c>
      <c r="O93" t="n">
        <v>1920</v>
      </c>
      <c r="P93" t="n">
        <v>2380</v>
      </c>
      <c r="Q93" t="n">
        <v>2840</v>
      </c>
      <c r="R93" t="n">
        <v>3300</v>
      </c>
      <c r="S93" t="n">
        <v>3760</v>
      </c>
      <c r="T93" t="n">
        <v>4220</v>
      </c>
      <c r="U93" t="n">
        <v>4680</v>
      </c>
      <c r="V93" t="n">
        <v>2097</v>
      </c>
      <c r="W93" t="n">
        <v>1368</v>
      </c>
      <c r="X93" t="n">
        <v>1276</v>
      </c>
      <c r="Y93" t="n">
        <v>5600</v>
      </c>
    </row>
    <row r="94">
      <c r="A94" t="n">
        <v>93</v>
      </c>
      <c r="B94" t="n">
        <v>0</v>
      </c>
      <c r="C94" t="n">
        <v>4030</v>
      </c>
      <c r="D94" t="n">
        <v>6306</v>
      </c>
      <c r="E94" t="n">
        <v>15375</v>
      </c>
      <c r="F94" t="n">
        <v>37336</v>
      </c>
      <c r="G94" t="n">
        <v>89793</v>
      </c>
      <c r="H94" t="n">
        <v>214638</v>
      </c>
      <c r="I94" t="n">
        <v>508356</v>
      </c>
      <c r="J94" t="n">
        <v>1930</v>
      </c>
      <c r="K94" t="n">
        <v>6306</v>
      </c>
      <c r="L94" t="n">
        <v>1930</v>
      </c>
      <c r="M94" t="n">
        <v>1000</v>
      </c>
      <c r="N94" t="n">
        <v>1465</v>
      </c>
      <c r="O94" t="n">
        <v>1930</v>
      </c>
      <c r="P94" t="n">
        <v>2395</v>
      </c>
      <c r="Q94" t="n">
        <v>2860</v>
      </c>
      <c r="R94" t="n">
        <v>3325</v>
      </c>
      <c r="S94" t="n">
        <v>3790</v>
      </c>
      <c r="T94" t="n">
        <v>4255</v>
      </c>
      <c r="U94" t="n">
        <v>4720</v>
      </c>
      <c r="V94" t="n">
        <v>2112</v>
      </c>
      <c r="W94" t="n">
        <v>1372</v>
      </c>
      <c r="X94" t="n">
        <v>1279</v>
      </c>
      <c r="Y94" t="n">
        <v>5650</v>
      </c>
    </row>
    <row r="95">
      <c r="A95" t="n">
        <v>94</v>
      </c>
      <c r="B95" t="n">
        <v>0</v>
      </c>
      <c r="C95" t="n">
        <v>4091</v>
      </c>
      <c r="D95" t="n">
        <v>6433</v>
      </c>
      <c r="E95" t="n">
        <v>15837</v>
      </c>
      <c r="F95" t="n">
        <v>38830</v>
      </c>
      <c r="G95" t="n">
        <v>94283</v>
      </c>
      <c r="H95" t="n">
        <v>227517</v>
      </c>
      <c r="I95" t="n">
        <v>543941</v>
      </c>
      <c r="J95" t="n">
        <v>1940</v>
      </c>
      <c r="K95" t="n">
        <v>6433</v>
      </c>
      <c r="L95" t="n">
        <v>1940</v>
      </c>
      <c r="M95" t="n">
        <v>1000</v>
      </c>
      <c r="N95" t="n">
        <v>1470</v>
      </c>
      <c r="O95" t="n">
        <v>1940</v>
      </c>
      <c r="P95" t="n">
        <v>2410</v>
      </c>
      <c r="Q95" t="n">
        <v>2880</v>
      </c>
      <c r="R95" t="n">
        <v>3350</v>
      </c>
      <c r="S95" t="n">
        <v>3820</v>
      </c>
      <c r="T95" t="n">
        <v>4290</v>
      </c>
      <c r="U95" t="n">
        <v>4760</v>
      </c>
      <c r="V95" t="n">
        <v>2127</v>
      </c>
      <c r="W95" t="n">
        <v>1376</v>
      </c>
      <c r="X95" t="n">
        <v>1282</v>
      </c>
      <c r="Y95" t="n">
        <v>5700</v>
      </c>
    </row>
    <row r="96">
      <c r="A96" t="n">
        <v>95</v>
      </c>
      <c r="B96" t="n">
        <v>0</v>
      </c>
      <c r="C96" t="n">
        <v>4153</v>
      </c>
      <c r="D96" t="n">
        <v>6562</v>
      </c>
      <c r="E96" t="n">
        <v>16313</v>
      </c>
      <c r="F96" t="n">
        <v>40384</v>
      </c>
      <c r="G96" t="n">
        <v>98998</v>
      </c>
      <c r="H96" t="n">
        <v>241169</v>
      </c>
      <c r="I96" t="n">
        <v>582017</v>
      </c>
      <c r="J96" t="n">
        <v>1950</v>
      </c>
      <c r="K96" t="n">
        <v>6562</v>
      </c>
      <c r="L96" t="n">
        <v>1950</v>
      </c>
      <c r="M96" t="n">
        <v>1000</v>
      </c>
      <c r="N96" t="n">
        <v>1475</v>
      </c>
      <c r="O96" t="n">
        <v>1950</v>
      </c>
      <c r="P96" t="n">
        <v>2425</v>
      </c>
      <c r="Q96" t="n">
        <v>2900</v>
      </c>
      <c r="R96" t="n">
        <v>3375</v>
      </c>
      <c r="S96" t="n">
        <v>3850</v>
      </c>
      <c r="T96" t="n">
        <v>4325</v>
      </c>
      <c r="U96" t="n">
        <v>4800</v>
      </c>
      <c r="V96" t="n">
        <v>2142</v>
      </c>
      <c r="W96" t="n">
        <v>1380</v>
      </c>
      <c r="X96" t="n">
        <v>1285</v>
      </c>
      <c r="Y96" t="n">
        <v>5750</v>
      </c>
    </row>
    <row r="97">
      <c r="A97" t="n">
        <v>96</v>
      </c>
      <c r="B97" t="n">
        <v>0</v>
      </c>
      <c r="C97" t="n">
        <v>4216</v>
      </c>
      <c r="D97" t="n">
        <v>6694</v>
      </c>
      <c r="E97" t="n">
        <v>16803</v>
      </c>
      <c r="F97" t="n">
        <v>42000</v>
      </c>
      <c r="G97" t="n">
        <v>103948</v>
      </c>
      <c r="H97" t="n">
        <v>255640</v>
      </c>
      <c r="I97" t="n">
        <v>622759</v>
      </c>
      <c r="J97" t="n">
        <v>1960</v>
      </c>
      <c r="K97" t="n">
        <v>6694</v>
      </c>
      <c r="L97" t="n">
        <v>1960</v>
      </c>
      <c r="M97" t="n">
        <v>1000</v>
      </c>
      <c r="N97" t="n">
        <v>1480</v>
      </c>
      <c r="O97" t="n">
        <v>1960</v>
      </c>
      <c r="P97" t="n">
        <v>2440</v>
      </c>
      <c r="Q97" t="n">
        <v>2920</v>
      </c>
      <c r="R97" t="n">
        <v>3400</v>
      </c>
      <c r="S97" t="n">
        <v>3880</v>
      </c>
      <c r="T97" t="n">
        <v>4360</v>
      </c>
      <c r="U97" t="n">
        <v>4840</v>
      </c>
      <c r="V97" t="n">
        <v>2157</v>
      </c>
      <c r="W97" t="n">
        <v>1384</v>
      </c>
      <c r="X97" t="n">
        <v>1288</v>
      </c>
      <c r="Y97" t="n">
        <v>5800</v>
      </c>
    </row>
    <row r="98">
      <c r="A98" t="n">
        <v>97</v>
      </c>
      <c r="B98" t="n">
        <v>0</v>
      </c>
      <c r="C98" t="n">
        <v>4280</v>
      </c>
      <c r="D98" t="n">
        <v>6828</v>
      </c>
      <c r="E98" t="n">
        <v>17308</v>
      </c>
      <c r="F98" t="n">
        <v>43680</v>
      </c>
      <c r="G98" t="n">
        <v>109146</v>
      </c>
      <c r="H98" t="n">
        <v>270979</v>
      </c>
      <c r="I98" t="n">
        <v>666353</v>
      </c>
      <c r="J98" t="n">
        <v>1970</v>
      </c>
      <c r="K98" t="n">
        <v>6828</v>
      </c>
      <c r="L98" t="n">
        <v>1970</v>
      </c>
      <c r="M98" t="n">
        <v>1000</v>
      </c>
      <c r="N98" t="n">
        <v>1485</v>
      </c>
      <c r="O98" t="n">
        <v>1970</v>
      </c>
      <c r="P98" t="n">
        <v>2455</v>
      </c>
      <c r="Q98" t="n">
        <v>2940</v>
      </c>
      <c r="R98" t="n">
        <v>3425</v>
      </c>
      <c r="S98" t="n">
        <v>3910</v>
      </c>
      <c r="T98" t="n">
        <v>4395</v>
      </c>
      <c r="U98" t="n">
        <v>4880</v>
      </c>
      <c r="V98" t="n">
        <v>2172</v>
      </c>
      <c r="W98" t="n">
        <v>1388</v>
      </c>
      <c r="X98" t="n">
        <v>1291</v>
      </c>
      <c r="Y98" t="n">
        <v>5850</v>
      </c>
    </row>
    <row r="99">
      <c r="A99" t="n">
        <v>98</v>
      </c>
      <c r="B99" t="n">
        <v>0</v>
      </c>
      <c r="C99" t="n">
        <v>4345</v>
      </c>
      <c r="D99" t="n">
        <v>6965</v>
      </c>
      <c r="E99" t="n">
        <v>17828</v>
      </c>
      <c r="F99" t="n">
        <v>45428</v>
      </c>
      <c r="G99" t="n">
        <v>114604</v>
      </c>
      <c r="H99" t="n">
        <v>287238</v>
      </c>
      <c r="I99" t="n">
        <v>712998</v>
      </c>
      <c r="J99" t="n">
        <v>1980</v>
      </c>
      <c r="K99" t="n">
        <v>6965</v>
      </c>
      <c r="L99" t="n">
        <v>1980</v>
      </c>
      <c r="M99" t="n">
        <v>1000</v>
      </c>
      <c r="N99" t="n">
        <v>1490</v>
      </c>
      <c r="O99" t="n">
        <v>1980</v>
      </c>
      <c r="P99" t="n">
        <v>2470</v>
      </c>
      <c r="Q99" t="n">
        <v>2960</v>
      </c>
      <c r="R99" t="n">
        <v>3450</v>
      </c>
      <c r="S99" t="n">
        <v>3940</v>
      </c>
      <c r="T99" t="n">
        <v>4430</v>
      </c>
      <c r="U99" t="n">
        <v>4920</v>
      </c>
      <c r="V99" t="n">
        <v>2187</v>
      </c>
      <c r="W99" t="n">
        <v>1392</v>
      </c>
      <c r="X99" t="n">
        <v>1294</v>
      </c>
      <c r="Y99" t="n">
        <v>5900</v>
      </c>
    </row>
    <row r="100">
      <c r="A100" t="n">
        <v>99</v>
      </c>
      <c r="B100" t="n">
        <v>0</v>
      </c>
      <c r="C100" t="n">
        <v>4411</v>
      </c>
      <c r="D100" t="n">
        <v>7105</v>
      </c>
      <c r="E100" t="n">
        <v>18363</v>
      </c>
      <c r="F100" t="n">
        <v>47246</v>
      </c>
      <c r="G100" t="n">
        <v>120335</v>
      </c>
      <c r="H100" t="n">
        <v>304473</v>
      </c>
      <c r="I100" t="n">
        <v>762908</v>
      </c>
      <c r="J100" t="n">
        <v>1990</v>
      </c>
      <c r="K100" t="n">
        <v>7105</v>
      </c>
      <c r="L100" t="n">
        <v>1990</v>
      </c>
      <c r="M100" t="n">
        <v>1000</v>
      </c>
      <c r="N100" t="n">
        <v>1495</v>
      </c>
      <c r="O100" t="n">
        <v>1990</v>
      </c>
      <c r="P100" t="n">
        <v>2485</v>
      </c>
      <c r="Q100" t="n">
        <v>2980</v>
      </c>
      <c r="R100" t="n">
        <v>3475</v>
      </c>
      <c r="S100" t="n">
        <v>3970</v>
      </c>
      <c r="T100" t="n">
        <v>4465</v>
      </c>
      <c r="U100" t="n">
        <v>4960</v>
      </c>
      <c r="V100" t="n">
        <v>2202</v>
      </c>
      <c r="W100" t="n">
        <v>1396</v>
      </c>
      <c r="X100" t="n">
        <v>1297</v>
      </c>
      <c r="Y100" t="n">
        <v>5950</v>
      </c>
    </row>
    <row r="101">
      <c r="A101" t="n">
        <v>100</v>
      </c>
      <c r="B101" t="n">
        <v>0</v>
      </c>
      <c r="C101" t="n">
        <v>4478</v>
      </c>
      <c r="D101" t="n">
        <v>7248</v>
      </c>
      <c r="E101" t="n">
        <v>18914</v>
      </c>
      <c r="F101" t="n">
        <v>49136</v>
      </c>
      <c r="G101" t="n">
        <v>126352</v>
      </c>
      <c r="H101" t="n">
        <v>322742</v>
      </c>
      <c r="I101" t="n">
        <v>816312</v>
      </c>
      <c r="J101" t="n">
        <v>2000</v>
      </c>
      <c r="K101" t="n">
        <v>7248</v>
      </c>
      <c r="L101" t="n">
        <v>2000</v>
      </c>
      <c r="M101" t="n">
        <v>1000</v>
      </c>
      <c r="N101" t="n">
        <v>1500</v>
      </c>
      <c r="O101" t="n">
        <v>2000</v>
      </c>
      <c r="P101" t="n">
        <v>2500</v>
      </c>
      <c r="Q101" t="n">
        <v>3000</v>
      </c>
      <c r="R101" t="n">
        <v>3500</v>
      </c>
      <c r="S101" t="n">
        <v>4000</v>
      </c>
      <c r="T101" t="n">
        <v>4500</v>
      </c>
      <c r="U101" t="n">
        <v>5000</v>
      </c>
      <c r="V101" t="n">
        <v>2218</v>
      </c>
      <c r="W101" t="n">
        <v>1400</v>
      </c>
      <c r="X101" t="n">
        <v>1300</v>
      </c>
      <c r="Y101" t="n">
        <v>6000</v>
      </c>
    </row>
    <row r="102">
      <c r="A102" t="n">
        <v>101</v>
      </c>
      <c r="B102" t="n">
        <v>0</v>
      </c>
      <c r="C102" t="n">
        <v>4546</v>
      </c>
      <c r="D102" t="n">
        <v>7393</v>
      </c>
      <c r="E102" t="n">
        <v>19482</v>
      </c>
      <c r="F102" t="n">
        <v>51102</v>
      </c>
      <c r="G102" t="n">
        <v>132670</v>
      </c>
      <c r="H102" t="n">
        <v>342107</v>
      </c>
      <c r="I102" t="n">
        <v>873454</v>
      </c>
      <c r="J102" t="n">
        <v>2000</v>
      </c>
      <c r="K102" t="n">
        <v>7321</v>
      </c>
      <c r="L102" t="n">
        <v>2010</v>
      </c>
      <c r="M102" t="n">
        <v>1001</v>
      </c>
      <c r="N102" t="n">
        <v>1505</v>
      </c>
      <c r="O102" t="n">
        <v>2010</v>
      </c>
      <c r="P102" t="n">
        <v>2515</v>
      </c>
      <c r="Q102" t="n">
        <v>3020</v>
      </c>
      <c r="R102" t="n">
        <v>3525</v>
      </c>
      <c r="S102" t="n">
        <v>4030</v>
      </c>
      <c r="T102" t="n">
        <v>4535</v>
      </c>
      <c r="U102" t="n">
        <v>5040</v>
      </c>
      <c r="V102" t="n">
        <v>2234</v>
      </c>
      <c r="W102" t="n">
        <v>1404</v>
      </c>
      <c r="X102" t="n">
        <v>1303</v>
      </c>
      <c r="Y102" t="n">
        <v>6050</v>
      </c>
    </row>
    <row r="103">
      <c r="A103" t="n">
        <v>102</v>
      </c>
      <c r="B103" t="n">
        <v>0</v>
      </c>
      <c r="C103" t="n">
        <v>4615</v>
      </c>
      <c r="D103" t="n">
        <v>7541</v>
      </c>
      <c r="E103" t="n">
        <v>20067</v>
      </c>
      <c r="F103" t="n">
        <v>53147</v>
      </c>
      <c r="G103" t="n">
        <v>139304</v>
      </c>
      <c r="H103" t="n">
        <v>362634</v>
      </c>
      <c r="I103" t="n">
        <v>934596</v>
      </c>
      <c r="J103" t="n">
        <v>2000</v>
      </c>
      <c r="K103" t="n">
        <v>7395</v>
      </c>
      <c r="L103" t="n">
        <v>2020</v>
      </c>
      <c r="M103" t="n">
        <v>1002</v>
      </c>
      <c r="N103" t="n">
        <v>1510</v>
      </c>
      <c r="O103" t="n">
        <v>2020</v>
      </c>
      <c r="P103" t="n">
        <v>2530</v>
      </c>
      <c r="Q103" t="n">
        <v>3040</v>
      </c>
      <c r="R103" t="n">
        <v>3550</v>
      </c>
      <c r="S103" t="n">
        <v>4060</v>
      </c>
      <c r="T103" t="n">
        <v>4570</v>
      </c>
      <c r="U103" t="n">
        <v>5080</v>
      </c>
      <c r="V103" t="n">
        <v>2250</v>
      </c>
      <c r="W103" t="n">
        <v>1408</v>
      </c>
      <c r="X103" t="n">
        <v>1306</v>
      </c>
      <c r="Y103" t="n">
        <v>6100</v>
      </c>
    </row>
    <row r="104">
      <c r="A104" t="n">
        <v>103</v>
      </c>
      <c r="B104" t="n">
        <v>0</v>
      </c>
      <c r="C104" t="n">
        <v>4685</v>
      </c>
      <c r="D104" t="n">
        <v>7692</v>
      </c>
      <c r="E104" t="n">
        <v>20670</v>
      </c>
      <c r="F104" t="n">
        <v>55273</v>
      </c>
      <c r="G104" t="n">
        <v>146270</v>
      </c>
      <c r="H104" t="n">
        <v>384393</v>
      </c>
      <c r="I104" t="n">
        <v>1000018</v>
      </c>
      <c r="J104" t="n">
        <v>2000</v>
      </c>
      <c r="K104" t="n">
        <v>7469</v>
      </c>
      <c r="L104" t="n">
        <v>2030</v>
      </c>
      <c r="M104" t="n">
        <v>1003</v>
      </c>
      <c r="N104" t="n">
        <v>1515</v>
      </c>
      <c r="O104" t="n">
        <v>2030</v>
      </c>
      <c r="P104" t="n">
        <v>2545</v>
      </c>
      <c r="Q104" t="n">
        <v>3060</v>
      </c>
      <c r="R104" t="n">
        <v>3575</v>
      </c>
      <c r="S104" t="n">
        <v>4090</v>
      </c>
      <c r="T104" t="n">
        <v>4605</v>
      </c>
      <c r="U104" t="n">
        <v>5120</v>
      </c>
      <c r="V104" t="n">
        <v>2266</v>
      </c>
      <c r="W104" t="n">
        <v>1412</v>
      </c>
      <c r="X104" t="n">
        <v>1309</v>
      </c>
      <c r="Y104" t="n">
        <v>6150</v>
      </c>
    </row>
    <row r="105">
      <c r="A105" t="n">
        <v>104</v>
      </c>
      <c r="B105" t="n">
        <v>0</v>
      </c>
      <c r="C105" t="n">
        <v>4756</v>
      </c>
      <c r="D105" t="n">
        <v>7846</v>
      </c>
      <c r="E105" t="n">
        <v>21291</v>
      </c>
      <c r="F105" t="n">
        <v>57484</v>
      </c>
      <c r="G105" t="n">
        <v>153584</v>
      </c>
      <c r="H105" t="n">
        <v>407457</v>
      </c>
      <c r="I105" t="n">
        <v>1070020</v>
      </c>
      <c r="J105" t="n">
        <v>2000</v>
      </c>
      <c r="K105" t="n">
        <v>7544</v>
      </c>
      <c r="L105" t="n">
        <v>2040</v>
      </c>
      <c r="M105" t="n">
        <v>1004</v>
      </c>
      <c r="N105" t="n">
        <v>1520</v>
      </c>
      <c r="O105" t="n">
        <v>2040</v>
      </c>
      <c r="P105" t="n">
        <v>2560</v>
      </c>
      <c r="Q105" t="n">
        <v>3080</v>
      </c>
      <c r="R105" t="n">
        <v>3600</v>
      </c>
      <c r="S105" t="n">
        <v>4120</v>
      </c>
      <c r="T105" t="n">
        <v>4640</v>
      </c>
      <c r="U105" t="n">
        <v>5160</v>
      </c>
      <c r="V105" t="n">
        <v>2282</v>
      </c>
      <c r="W105" t="n">
        <v>1416</v>
      </c>
      <c r="X105" t="n">
        <v>1312</v>
      </c>
      <c r="Y105" t="n">
        <v>6200</v>
      </c>
    </row>
    <row r="106">
      <c r="A106" t="n">
        <v>105</v>
      </c>
      <c r="B106" t="n">
        <v>0</v>
      </c>
      <c r="C106" t="n">
        <v>4828</v>
      </c>
      <c r="D106" t="n">
        <v>8003</v>
      </c>
      <c r="E106" t="n">
        <v>21930</v>
      </c>
      <c r="F106" t="n">
        <v>59784</v>
      </c>
      <c r="G106" t="n">
        <v>161264</v>
      </c>
      <c r="H106" t="n">
        <v>431905</v>
      </c>
      <c r="I106" t="n">
        <v>1144922</v>
      </c>
      <c r="J106" t="n">
        <v>2000</v>
      </c>
      <c r="K106" t="n">
        <v>7620</v>
      </c>
      <c r="L106" t="n">
        <v>2050</v>
      </c>
      <c r="M106" t="n">
        <v>1005</v>
      </c>
      <c r="N106" t="n">
        <v>1525</v>
      </c>
      <c r="O106" t="n">
        <v>2050</v>
      </c>
      <c r="P106" t="n">
        <v>2575</v>
      </c>
      <c r="Q106" t="n">
        <v>3100</v>
      </c>
      <c r="R106" t="n">
        <v>3625</v>
      </c>
      <c r="S106" t="n">
        <v>4150</v>
      </c>
      <c r="T106" t="n">
        <v>4675</v>
      </c>
      <c r="U106" t="n">
        <v>5200</v>
      </c>
      <c r="V106" t="n">
        <v>2298</v>
      </c>
      <c r="W106" t="n">
        <v>1420</v>
      </c>
      <c r="X106" t="n">
        <v>1315</v>
      </c>
      <c r="Y106" t="n">
        <v>6250</v>
      </c>
    </row>
    <row r="107">
      <c r="A107" t="n">
        <v>106</v>
      </c>
      <c r="B107" t="n">
        <v>0</v>
      </c>
      <c r="C107" t="n">
        <v>4901</v>
      </c>
      <c r="D107" t="n">
        <v>8164</v>
      </c>
      <c r="E107" t="n">
        <v>22588</v>
      </c>
      <c r="F107" t="n">
        <v>62176</v>
      </c>
      <c r="G107" t="n">
        <v>169328</v>
      </c>
      <c r="H107" t="n">
        <v>457820</v>
      </c>
      <c r="I107" t="n">
        <v>1225067</v>
      </c>
      <c r="J107" t="n">
        <v>2000</v>
      </c>
      <c r="K107" t="n">
        <v>7697</v>
      </c>
      <c r="L107" t="n">
        <v>2060</v>
      </c>
      <c r="M107" t="n">
        <v>1006</v>
      </c>
      <c r="N107" t="n">
        <v>1530</v>
      </c>
      <c r="O107" t="n">
        <v>2060</v>
      </c>
      <c r="P107" t="n">
        <v>2590</v>
      </c>
      <c r="Q107" t="n">
        <v>3120</v>
      </c>
      <c r="R107" t="n">
        <v>3650</v>
      </c>
      <c r="S107" t="n">
        <v>4180</v>
      </c>
      <c r="T107" t="n">
        <v>4710</v>
      </c>
      <c r="U107" t="n">
        <v>5240</v>
      </c>
      <c r="V107" t="n">
        <v>2314</v>
      </c>
      <c r="W107" t="n">
        <v>1424</v>
      </c>
      <c r="X107" t="n">
        <v>1318</v>
      </c>
      <c r="Y107" t="n">
        <v>6300</v>
      </c>
    </row>
    <row r="108">
      <c r="A108" t="n">
        <v>107</v>
      </c>
      <c r="B108" t="n">
        <v>0</v>
      </c>
      <c r="C108" t="n">
        <v>4975</v>
      </c>
      <c r="D108" t="n">
        <v>8328</v>
      </c>
      <c r="E108" t="n">
        <v>23266</v>
      </c>
      <c r="F108" t="n">
        <v>64664</v>
      </c>
      <c r="G108" t="n">
        <v>177795</v>
      </c>
      <c r="H108" t="n">
        <v>485290</v>
      </c>
      <c r="I108" t="n">
        <v>1310822</v>
      </c>
      <c r="J108" t="n">
        <v>2000</v>
      </c>
      <c r="K108" t="n">
        <v>7774</v>
      </c>
      <c r="L108" t="n">
        <v>2070</v>
      </c>
      <c r="M108" t="n">
        <v>1007</v>
      </c>
      <c r="N108" t="n">
        <v>1535</v>
      </c>
      <c r="O108" t="n">
        <v>2070</v>
      </c>
      <c r="P108" t="n">
        <v>2605</v>
      </c>
      <c r="Q108" t="n">
        <v>3140</v>
      </c>
      <c r="R108" t="n">
        <v>3675</v>
      </c>
      <c r="S108" t="n">
        <v>4210</v>
      </c>
      <c r="T108" t="n">
        <v>4745</v>
      </c>
      <c r="U108" t="n">
        <v>5280</v>
      </c>
      <c r="V108" t="n">
        <v>2330</v>
      </c>
      <c r="W108" t="n">
        <v>1428</v>
      </c>
      <c r="X108" t="n">
        <v>1321</v>
      </c>
      <c r="Y108" t="n">
        <v>6350</v>
      </c>
    </row>
    <row r="109">
      <c r="A109" t="n">
        <v>108</v>
      </c>
      <c r="B109" t="n">
        <v>0</v>
      </c>
      <c r="C109" t="n">
        <v>5050</v>
      </c>
      <c r="D109" t="n">
        <v>8495</v>
      </c>
      <c r="E109" t="n">
        <v>23964</v>
      </c>
      <c r="F109" t="n">
        <v>67251</v>
      </c>
      <c r="G109" t="n">
        <v>186685</v>
      </c>
      <c r="H109" t="n">
        <v>514408</v>
      </c>
      <c r="I109" t="n">
        <v>1402580</v>
      </c>
      <c r="J109" t="n">
        <v>2000</v>
      </c>
      <c r="K109" t="n">
        <v>7852</v>
      </c>
      <c r="L109" t="n">
        <v>2080</v>
      </c>
      <c r="M109" t="n">
        <v>1008</v>
      </c>
      <c r="N109" t="n">
        <v>1540</v>
      </c>
      <c r="O109" t="n">
        <v>2080</v>
      </c>
      <c r="P109" t="n">
        <v>2620</v>
      </c>
      <c r="Q109" t="n">
        <v>3160</v>
      </c>
      <c r="R109" t="n">
        <v>3700</v>
      </c>
      <c r="S109" t="n">
        <v>4240</v>
      </c>
      <c r="T109" t="n">
        <v>4780</v>
      </c>
      <c r="U109" t="n">
        <v>5320</v>
      </c>
      <c r="V109" t="n">
        <v>2346</v>
      </c>
      <c r="W109" t="n">
        <v>1432</v>
      </c>
      <c r="X109" t="n">
        <v>1324</v>
      </c>
      <c r="Y109" t="n">
        <v>6400</v>
      </c>
    </row>
    <row r="110">
      <c r="A110" t="n">
        <v>109</v>
      </c>
      <c r="B110" t="n">
        <v>0</v>
      </c>
      <c r="C110" t="n">
        <v>5126</v>
      </c>
      <c r="D110" t="n">
        <v>8665</v>
      </c>
      <c r="E110" t="n">
        <v>24683</v>
      </c>
      <c r="F110" t="n">
        <v>69942</v>
      </c>
      <c r="G110" t="n">
        <v>196020</v>
      </c>
      <c r="H110" t="n">
        <v>545273</v>
      </c>
      <c r="I110" t="n">
        <v>1500761</v>
      </c>
      <c r="J110" t="n">
        <v>2000</v>
      </c>
      <c r="K110" t="n">
        <v>7931</v>
      </c>
      <c r="L110" t="n">
        <v>2090</v>
      </c>
      <c r="M110" t="n">
        <v>1009</v>
      </c>
      <c r="N110" t="n">
        <v>1545</v>
      </c>
      <c r="O110" t="n">
        <v>2090</v>
      </c>
      <c r="P110" t="n">
        <v>2635</v>
      </c>
      <c r="Q110" t="n">
        <v>3180</v>
      </c>
      <c r="R110" t="n">
        <v>3725</v>
      </c>
      <c r="S110" t="n">
        <v>4270</v>
      </c>
      <c r="T110" t="n">
        <v>4815</v>
      </c>
      <c r="U110" t="n">
        <v>5360</v>
      </c>
      <c r="V110" t="n">
        <v>2362</v>
      </c>
      <c r="W110" t="n">
        <v>1436</v>
      </c>
      <c r="X110" t="n">
        <v>1327</v>
      </c>
      <c r="Y110" t="n">
        <v>6450</v>
      </c>
    </row>
    <row r="111">
      <c r="A111" t="n">
        <v>110</v>
      </c>
      <c r="B111" t="n">
        <v>0</v>
      </c>
      <c r="C111" t="n">
        <v>5203</v>
      </c>
      <c r="D111" t="n">
        <v>8839</v>
      </c>
      <c r="E111" t="n">
        <v>25424</v>
      </c>
      <c r="F111" t="n">
        <v>72740</v>
      </c>
      <c r="G111" t="n">
        <v>205821</v>
      </c>
      <c r="H111" t="n">
        <v>577990</v>
      </c>
      <c r="I111" t="n">
        <v>1605815</v>
      </c>
      <c r="J111" t="n">
        <v>2000</v>
      </c>
      <c r="K111" t="n">
        <v>8011</v>
      </c>
      <c r="L111" t="n">
        <v>2100</v>
      </c>
      <c r="M111" t="n">
        <v>1010</v>
      </c>
      <c r="N111" t="n">
        <v>1550</v>
      </c>
      <c r="O111" t="n">
        <v>2100</v>
      </c>
      <c r="P111" t="n">
        <v>2650</v>
      </c>
      <c r="Q111" t="n">
        <v>3200</v>
      </c>
      <c r="R111" t="n">
        <v>3750</v>
      </c>
      <c r="S111" t="n">
        <v>4300</v>
      </c>
      <c r="T111" t="n">
        <v>4850</v>
      </c>
      <c r="U111" t="n">
        <v>5400</v>
      </c>
      <c r="V111" t="n">
        <v>2378</v>
      </c>
      <c r="W111" t="n">
        <v>1440</v>
      </c>
      <c r="X111" t="n">
        <v>1330</v>
      </c>
      <c r="Y111" t="n">
        <v>6500</v>
      </c>
    </row>
    <row r="112">
      <c r="A112" t="n">
        <v>111</v>
      </c>
      <c r="B112" t="n">
        <v>0</v>
      </c>
      <c r="C112" t="n">
        <v>5282</v>
      </c>
      <c r="D112" t="n">
        <v>9016</v>
      </c>
      <c r="E112" t="n">
        <v>26187</v>
      </c>
      <c r="F112" t="n">
        <v>75650</v>
      </c>
      <c r="G112" t="n">
        <v>216113</v>
      </c>
      <c r="H112" t="n">
        <v>612670</v>
      </c>
      <c r="I112" t="n">
        <v>1718223</v>
      </c>
      <c r="J112" t="n">
        <v>2000</v>
      </c>
      <c r="K112" t="n">
        <v>8092</v>
      </c>
      <c r="L112" t="n">
        <v>2110</v>
      </c>
      <c r="M112" t="n">
        <v>1011</v>
      </c>
      <c r="N112" t="n">
        <v>1555</v>
      </c>
      <c r="O112" t="n">
        <v>2110</v>
      </c>
      <c r="P112" t="n">
        <v>2665</v>
      </c>
      <c r="Q112" t="n">
        <v>3220</v>
      </c>
      <c r="R112" t="n">
        <v>3775</v>
      </c>
      <c r="S112" t="n">
        <v>4330</v>
      </c>
      <c r="T112" t="n">
        <v>4885</v>
      </c>
      <c r="U112" t="n">
        <v>5440</v>
      </c>
      <c r="V112" t="n">
        <v>2394</v>
      </c>
      <c r="W112" t="n">
        <v>1444</v>
      </c>
      <c r="X112" t="n">
        <v>1333</v>
      </c>
      <c r="Y112" t="n">
        <v>6550</v>
      </c>
    </row>
    <row r="113">
      <c r="A113" t="n">
        <v>112</v>
      </c>
      <c r="B113" t="n">
        <v>0</v>
      </c>
      <c r="C113" t="n">
        <v>5362</v>
      </c>
      <c r="D113" t="n">
        <v>9197</v>
      </c>
      <c r="E113" t="n">
        <v>26973</v>
      </c>
      <c r="F113" t="n">
        <v>78676</v>
      </c>
      <c r="G113" t="n">
        <v>226919</v>
      </c>
      <c r="H113" t="n">
        <v>649431</v>
      </c>
      <c r="I113" t="n">
        <v>1838499</v>
      </c>
      <c r="J113" t="n">
        <v>2000</v>
      </c>
      <c r="K113" t="n">
        <v>8173</v>
      </c>
      <c r="L113" t="n">
        <v>2120</v>
      </c>
      <c r="M113" t="n">
        <v>1012</v>
      </c>
      <c r="N113" t="n">
        <v>1560</v>
      </c>
      <c r="O113" t="n">
        <v>2120</v>
      </c>
      <c r="P113" t="n">
        <v>2680</v>
      </c>
      <c r="Q113" t="n">
        <v>3240</v>
      </c>
      <c r="R113" t="n">
        <v>3800</v>
      </c>
      <c r="S113" t="n">
        <v>4360</v>
      </c>
      <c r="T113" t="n">
        <v>4920</v>
      </c>
      <c r="U113" t="n">
        <v>5480</v>
      </c>
      <c r="V113" t="n">
        <v>2410</v>
      </c>
      <c r="W113" t="n">
        <v>1448</v>
      </c>
      <c r="X113" t="n">
        <v>1336</v>
      </c>
      <c r="Y113" t="n">
        <v>6600</v>
      </c>
    </row>
    <row r="114">
      <c r="A114" t="n">
        <v>113</v>
      </c>
      <c r="B114" t="n">
        <v>0</v>
      </c>
      <c r="C114" t="n">
        <v>5443</v>
      </c>
      <c r="D114" t="n">
        <v>9381</v>
      </c>
      <c r="E114" t="n">
        <v>27783</v>
      </c>
      <c r="F114" t="n">
        <v>81824</v>
      </c>
      <c r="G114" t="n">
        <v>238265</v>
      </c>
      <c r="H114" t="n">
        <v>688397</v>
      </c>
      <c r="I114" t="n">
        <v>1967194</v>
      </c>
      <c r="J114" t="n">
        <v>2000</v>
      </c>
      <c r="K114" t="n">
        <v>8255</v>
      </c>
      <c r="L114" t="n">
        <v>2130</v>
      </c>
      <c r="M114" t="n">
        <v>1013</v>
      </c>
      <c r="N114" t="n">
        <v>1565</v>
      </c>
      <c r="O114" t="n">
        <v>2130</v>
      </c>
      <c r="P114" t="n">
        <v>2695</v>
      </c>
      <c r="Q114" t="n">
        <v>3260</v>
      </c>
      <c r="R114" t="n">
        <v>3825</v>
      </c>
      <c r="S114" t="n">
        <v>4390</v>
      </c>
      <c r="T114" t="n">
        <v>4955</v>
      </c>
      <c r="U114" t="n">
        <v>5520</v>
      </c>
      <c r="V114" t="n">
        <v>2427</v>
      </c>
      <c r="W114" t="n">
        <v>1452</v>
      </c>
      <c r="X114" t="n">
        <v>1339</v>
      </c>
      <c r="Y114" t="n">
        <v>6650</v>
      </c>
    </row>
    <row r="115">
      <c r="A115" t="n">
        <v>114</v>
      </c>
      <c r="B115" t="n">
        <v>0</v>
      </c>
      <c r="C115" t="n">
        <v>5525</v>
      </c>
      <c r="D115" t="n">
        <v>9569</v>
      </c>
      <c r="E115" t="n">
        <v>28617</v>
      </c>
      <c r="F115" t="n">
        <v>85097</v>
      </c>
      <c r="G115" t="n">
        <v>250179</v>
      </c>
      <c r="H115" t="n">
        <v>729701</v>
      </c>
      <c r="I115" t="n">
        <v>2104898</v>
      </c>
      <c r="J115" t="n">
        <v>2000</v>
      </c>
      <c r="K115" t="n">
        <v>8338</v>
      </c>
      <c r="L115" t="n">
        <v>2140</v>
      </c>
      <c r="M115" t="n">
        <v>1014</v>
      </c>
      <c r="N115" t="n">
        <v>1570</v>
      </c>
      <c r="O115" t="n">
        <v>2140</v>
      </c>
      <c r="P115" t="n">
        <v>2710</v>
      </c>
      <c r="Q115" t="n">
        <v>3280</v>
      </c>
      <c r="R115" t="n">
        <v>3850</v>
      </c>
      <c r="S115" t="n">
        <v>4420</v>
      </c>
      <c r="T115" t="n">
        <v>4990</v>
      </c>
      <c r="U115" t="n">
        <v>5560</v>
      </c>
      <c r="V115" t="n">
        <v>2444</v>
      </c>
      <c r="W115" t="n">
        <v>1456</v>
      </c>
      <c r="X115" t="n">
        <v>1342</v>
      </c>
      <c r="Y115" t="n">
        <v>6700</v>
      </c>
    </row>
    <row r="116">
      <c r="A116" t="n">
        <v>115</v>
      </c>
      <c r="B116" t="n">
        <v>0</v>
      </c>
      <c r="C116" t="n">
        <v>5608</v>
      </c>
      <c r="D116" t="n">
        <v>9761</v>
      </c>
      <c r="E116" t="n">
        <v>29476</v>
      </c>
      <c r="F116" t="n">
        <v>88501</v>
      </c>
      <c r="G116" t="n">
        <v>262688</v>
      </c>
      <c r="H116" t="n">
        <v>773484</v>
      </c>
      <c r="I116" t="n">
        <v>2252241</v>
      </c>
      <c r="J116" t="n">
        <v>2000</v>
      </c>
      <c r="K116" t="n">
        <v>8422</v>
      </c>
      <c r="L116" t="n">
        <v>2150</v>
      </c>
      <c r="M116" t="n">
        <v>1015</v>
      </c>
      <c r="N116" t="n">
        <v>1575</v>
      </c>
      <c r="O116" t="n">
        <v>2150</v>
      </c>
      <c r="P116" t="n">
        <v>2725</v>
      </c>
      <c r="Q116" t="n">
        <v>3300</v>
      </c>
      <c r="R116" t="n">
        <v>3875</v>
      </c>
      <c r="S116" t="n">
        <v>4450</v>
      </c>
      <c r="T116" t="n">
        <v>5025</v>
      </c>
      <c r="U116" t="n">
        <v>5600</v>
      </c>
      <c r="V116" t="n">
        <v>2461</v>
      </c>
      <c r="W116" t="n">
        <v>1460</v>
      </c>
      <c r="X116" t="n">
        <v>1345</v>
      </c>
      <c r="Y116" t="n">
        <v>6750</v>
      </c>
    </row>
    <row r="117">
      <c r="A117" t="n">
        <v>116</v>
      </c>
      <c r="B117" t="n">
        <v>0</v>
      </c>
      <c r="C117" t="n">
        <v>5693</v>
      </c>
      <c r="D117" t="n">
        <v>9957</v>
      </c>
      <c r="E117" t="n">
        <v>30361</v>
      </c>
      <c r="F117" t="n">
        <v>92042</v>
      </c>
      <c r="G117" t="n">
        <v>275823</v>
      </c>
      <c r="H117" t="n">
        <v>819894</v>
      </c>
      <c r="I117" t="n">
        <v>2409898</v>
      </c>
      <c r="J117" t="n">
        <v>2000</v>
      </c>
      <c r="K117" t="n">
        <v>8507</v>
      </c>
      <c r="L117" t="n">
        <v>2160</v>
      </c>
      <c r="M117" t="n">
        <v>1016</v>
      </c>
      <c r="N117" t="n">
        <v>1580</v>
      </c>
      <c r="O117" t="n">
        <v>2160</v>
      </c>
      <c r="P117" t="n">
        <v>2740</v>
      </c>
      <c r="Q117" t="n">
        <v>3320</v>
      </c>
      <c r="R117" t="n">
        <v>3900</v>
      </c>
      <c r="S117" t="n">
        <v>4480</v>
      </c>
      <c r="T117" t="n">
        <v>5060</v>
      </c>
      <c r="U117" t="n">
        <v>5640</v>
      </c>
      <c r="V117" t="n">
        <v>2478</v>
      </c>
      <c r="W117" t="n">
        <v>1464</v>
      </c>
      <c r="X117" t="n">
        <v>1348</v>
      </c>
      <c r="Y117" t="n">
        <v>6800</v>
      </c>
    </row>
    <row r="118">
      <c r="A118" t="n">
        <v>117</v>
      </c>
      <c r="B118" t="n">
        <v>0</v>
      </c>
      <c r="C118" t="n">
        <v>5779</v>
      </c>
      <c r="D118" t="n">
        <v>10157</v>
      </c>
      <c r="E118" t="n">
        <v>31272</v>
      </c>
      <c r="F118" t="n">
        <v>95724</v>
      </c>
      <c r="G118" t="n">
        <v>289615</v>
      </c>
      <c r="H118" t="n">
        <v>869088</v>
      </c>
      <c r="I118" t="n">
        <v>2578591</v>
      </c>
      <c r="J118" t="n">
        <v>2000</v>
      </c>
      <c r="K118" t="n">
        <v>8593</v>
      </c>
      <c r="L118" t="n">
        <v>2170</v>
      </c>
      <c r="M118" t="n">
        <v>1017</v>
      </c>
      <c r="N118" t="n">
        <v>1585</v>
      </c>
      <c r="O118" t="n">
        <v>2170</v>
      </c>
      <c r="P118" t="n">
        <v>2755</v>
      </c>
      <c r="Q118" t="n">
        <v>3340</v>
      </c>
      <c r="R118" t="n">
        <v>3925</v>
      </c>
      <c r="S118" t="n">
        <v>4510</v>
      </c>
      <c r="T118" t="n">
        <v>5095</v>
      </c>
      <c r="U118" t="n">
        <v>5680</v>
      </c>
      <c r="V118" t="n">
        <v>2495</v>
      </c>
      <c r="W118" t="n">
        <v>1468</v>
      </c>
      <c r="X118" t="n">
        <v>1351</v>
      </c>
      <c r="Y118" t="n">
        <v>6850</v>
      </c>
    </row>
    <row r="119">
      <c r="A119" t="n">
        <v>118</v>
      </c>
      <c r="B119" t="n">
        <v>0</v>
      </c>
      <c r="C119" t="n">
        <v>5866</v>
      </c>
      <c r="D119" t="n">
        <v>10361</v>
      </c>
      <c r="E119" t="n">
        <v>32211</v>
      </c>
      <c r="F119" t="n">
        <v>99553</v>
      </c>
      <c r="G119" t="n">
        <v>304096</v>
      </c>
      <c r="H119" t="n">
        <v>921234</v>
      </c>
      <c r="I119" t="n">
        <v>2759093</v>
      </c>
      <c r="J119" t="n">
        <v>2000</v>
      </c>
      <c r="K119" t="n">
        <v>8679</v>
      </c>
      <c r="L119" t="n">
        <v>2180</v>
      </c>
      <c r="M119" t="n">
        <v>1018</v>
      </c>
      <c r="N119" t="n">
        <v>1590</v>
      </c>
      <c r="O119" t="n">
        <v>2180</v>
      </c>
      <c r="P119" t="n">
        <v>2770</v>
      </c>
      <c r="Q119" t="n">
        <v>3360</v>
      </c>
      <c r="R119" t="n">
        <v>3950</v>
      </c>
      <c r="S119" t="n">
        <v>4540</v>
      </c>
      <c r="T119" t="n">
        <v>5130</v>
      </c>
      <c r="U119" t="n">
        <v>5720</v>
      </c>
      <c r="V119" t="n">
        <v>2512</v>
      </c>
      <c r="W119" t="n">
        <v>1472</v>
      </c>
      <c r="X119" t="n">
        <v>1354</v>
      </c>
      <c r="Y119" t="n">
        <v>6900</v>
      </c>
    </row>
    <row r="120">
      <c r="A120" t="n">
        <v>119</v>
      </c>
      <c r="B120" t="n">
        <v>0</v>
      </c>
      <c r="C120" t="n">
        <v>5954</v>
      </c>
      <c r="D120" t="n">
        <v>10569</v>
      </c>
      <c r="E120" t="n">
        <v>33178</v>
      </c>
      <c r="F120" t="n">
        <v>103536</v>
      </c>
      <c r="G120" t="n">
        <v>319301</v>
      </c>
      <c r="H120" t="n">
        <v>976509</v>
      </c>
      <c r="I120" t="n">
        <v>2952230</v>
      </c>
      <c r="J120" t="n">
        <v>2000</v>
      </c>
      <c r="K120" t="n">
        <v>8766</v>
      </c>
      <c r="L120" t="n">
        <v>2190</v>
      </c>
      <c r="M120" t="n">
        <v>1019</v>
      </c>
      <c r="N120" t="n">
        <v>1595</v>
      </c>
      <c r="O120" t="n">
        <v>2190</v>
      </c>
      <c r="P120" t="n">
        <v>2785</v>
      </c>
      <c r="Q120" t="n">
        <v>3380</v>
      </c>
      <c r="R120" t="n">
        <v>3975</v>
      </c>
      <c r="S120" t="n">
        <v>4570</v>
      </c>
      <c r="T120" t="n">
        <v>5165</v>
      </c>
      <c r="U120" t="n">
        <v>5760</v>
      </c>
      <c r="V120" t="n">
        <v>2529</v>
      </c>
      <c r="W120" t="n">
        <v>1476</v>
      </c>
      <c r="X120" t="n">
        <v>1357</v>
      </c>
      <c r="Y120" t="n">
        <v>6950</v>
      </c>
    </row>
    <row r="121">
      <c r="A121" t="n">
        <v>120</v>
      </c>
      <c r="B121" t="n">
        <v>0</v>
      </c>
      <c r="C121" t="n">
        <v>6044</v>
      </c>
      <c r="D121" t="n">
        <v>10781</v>
      </c>
      <c r="E121" t="n">
        <v>34174</v>
      </c>
      <c r="F121" t="n">
        <v>107678</v>
      </c>
      <c r="G121" t="n">
        <v>335267</v>
      </c>
      <c r="H121" t="n">
        <v>1035100</v>
      </c>
      <c r="I121" t="n">
        <v>3158887</v>
      </c>
      <c r="J121" t="n">
        <v>2000</v>
      </c>
      <c r="K121" t="n">
        <v>8854</v>
      </c>
      <c r="L121" t="n">
        <v>2200</v>
      </c>
      <c r="M121" t="n">
        <v>1020</v>
      </c>
      <c r="N121" t="n">
        <v>1600</v>
      </c>
      <c r="O121" t="n">
        <v>2200</v>
      </c>
      <c r="P121" t="n">
        <v>2800</v>
      </c>
      <c r="Q121" t="n">
        <v>3400</v>
      </c>
      <c r="R121" t="n">
        <v>4000</v>
      </c>
      <c r="S121" t="n">
        <v>4600</v>
      </c>
      <c r="T121" t="n">
        <v>5200</v>
      </c>
      <c r="U121" t="n">
        <v>5800</v>
      </c>
      <c r="V121" t="n">
        <v>2546</v>
      </c>
      <c r="W121" t="n">
        <v>1480</v>
      </c>
      <c r="X121" t="n">
        <v>1360</v>
      </c>
      <c r="Y121" t="n">
        <v>7000</v>
      </c>
    </row>
    <row r="122">
      <c r="A122" t="n">
        <v>121</v>
      </c>
      <c r="B122" t="n">
        <v>0</v>
      </c>
      <c r="C122" t="n">
        <v>6135</v>
      </c>
      <c r="D122" t="n">
        <v>10997</v>
      </c>
      <c r="E122" t="n">
        <v>35200</v>
      </c>
      <c r="F122" t="n">
        <v>111986</v>
      </c>
      <c r="G122" t="n">
        <v>352031</v>
      </c>
      <c r="H122" t="n">
        <v>1097206</v>
      </c>
      <c r="I122" t="n">
        <v>3380010</v>
      </c>
      <c r="J122" t="n">
        <v>2000</v>
      </c>
      <c r="K122" t="n">
        <v>8943</v>
      </c>
      <c r="L122" t="n">
        <v>2210</v>
      </c>
      <c r="M122" t="n">
        <v>1021</v>
      </c>
      <c r="N122" t="n">
        <v>1605</v>
      </c>
      <c r="O122" t="n">
        <v>2210</v>
      </c>
      <c r="P122" t="n">
        <v>2815</v>
      </c>
      <c r="Q122" t="n">
        <v>3420</v>
      </c>
      <c r="R122" t="n">
        <v>4025</v>
      </c>
      <c r="S122" t="n">
        <v>4630</v>
      </c>
      <c r="T122" t="n">
        <v>5235</v>
      </c>
      <c r="U122" t="n">
        <v>5840</v>
      </c>
      <c r="V122" t="n">
        <v>2563</v>
      </c>
      <c r="W122" t="n">
        <v>1484</v>
      </c>
      <c r="X122" t="n">
        <v>1363</v>
      </c>
      <c r="Y122" t="n">
        <v>7010</v>
      </c>
    </row>
    <row r="123">
      <c r="A123" t="n">
        <v>122</v>
      </c>
      <c r="B123" t="n">
        <v>0</v>
      </c>
      <c r="C123" t="n">
        <v>6228</v>
      </c>
      <c r="D123" t="n">
        <v>11217</v>
      </c>
      <c r="E123" t="n">
        <v>36256</v>
      </c>
      <c r="F123" t="n">
        <v>116466</v>
      </c>
      <c r="G123" t="n">
        <v>369633</v>
      </c>
      <c r="H123" t="n">
        <v>1163039</v>
      </c>
      <c r="I123" t="n">
        <v>3616611</v>
      </c>
      <c r="J123" t="n">
        <v>2000</v>
      </c>
      <c r="K123" t="n">
        <v>9033</v>
      </c>
      <c r="L123" t="n">
        <v>2220</v>
      </c>
      <c r="M123" t="n">
        <v>1022</v>
      </c>
      <c r="N123" t="n">
        <v>1610</v>
      </c>
      <c r="O123" t="n">
        <v>2220</v>
      </c>
      <c r="P123" t="n">
        <v>2830</v>
      </c>
      <c r="Q123" t="n">
        <v>3440</v>
      </c>
      <c r="R123" t="n">
        <v>4050</v>
      </c>
      <c r="S123" t="n">
        <v>4660</v>
      </c>
      <c r="T123" t="n">
        <v>5270</v>
      </c>
      <c r="U123" t="n">
        <v>5880</v>
      </c>
      <c r="V123" t="n">
        <v>2580</v>
      </c>
      <c r="W123" t="n">
        <v>1488</v>
      </c>
      <c r="X123" t="n">
        <v>1366</v>
      </c>
      <c r="Y123" t="n">
        <v>7020</v>
      </c>
    </row>
    <row r="124">
      <c r="A124" t="n">
        <v>123</v>
      </c>
      <c r="B124" t="n">
        <v>0</v>
      </c>
      <c r="C124" t="n">
        <v>6322</v>
      </c>
      <c r="D124" t="n">
        <v>11442</v>
      </c>
      <c r="E124" t="n">
        <v>37344</v>
      </c>
      <c r="F124" t="n">
        <v>121125</v>
      </c>
      <c r="G124" t="n">
        <v>388115</v>
      </c>
      <c r="H124" t="n">
        <v>1232822</v>
      </c>
      <c r="I124" t="n">
        <v>3869774</v>
      </c>
      <c r="J124" t="n">
        <v>2000</v>
      </c>
      <c r="K124" t="n">
        <v>9124</v>
      </c>
      <c r="L124" t="n">
        <v>2230</v>
      </c>
      <c r="M124" t="n">
        <v>1023</v>
      </c>
      <c r="N124" t="n">
        <v>1615</v>
      </c>
      <c r="O124" t="n">
        <v>2230</v>
      </c>
      <c r="P124" t="n">
        <v>2845</v>
      </c>
      <c r="Q124" t="n">
        <v>3460</v>
      </c>
      <c r="R124" t="n">
        <v>4075</v>
      </c>
      <c r="S124" t="n">
        <v>4690</v>
      </c>
      <c r="T124" t="n">
        <v>5305</v>
      </c>
      <c r="U124" t="n">
        <v>5920</v>
      </c>
      <c r="V124" t="n">
        <v>2597</v>
      </c>
      <c r="W124" t="n">
        <v>1492</v>
      </c>
      <c r="X124" t="n">
        <v>1369</v>
      </c>
      <c r="Y124" t="n">
        <v>7030</v>
      </c>
    </row>
    <row r="125">
      <c r="A125" t="n">
        <v>124</v>
      </c>
      <c r="B125" t="n">
        <v>0</v>
      </c>
      <c r="C125" t="n">
        <v>6417</v>
      </c>
      <c r="D125" t="n">
        <v>11671</v>
      </c>
      <c r="E125" t="n">
        <v>38465</v>
      </c>
      <c r="F125" t="n">
        <v>125970</v>
      </c>
      <c r="G125" t="n">
        <v>407521</v>
      </c>
      <c r="H125" t="n">
        <v>1306792</v>
      </c>
      <c r="I125" t="n">
        <v>4140659</v>
      </c>
      <c r="J125" t="n">
        <v>2000</v>
      </c>
      <c r="K125" t="n">
        <v>9216</v>
      </c>
      <c r="L125" t="n">
        <v>2240</v>
      </c>
      <c r="M125" t="n">
        <v>1024</v>
      </c>
      <c r="N125" t="n">
        <v>1620</v>
      </c>
      <c r="O125" t="n">
        <v>2240</v>
      </c>
      <c r="P125" t="n">
        <v>2860</v>
      </c>
      <c r="Q125" t="n">
        <v>3480</v>
      </c>
      <c r="R125" t="n">
        <v>4100</v>
      </c>
      <c r="S125" t="n">
        <v>4720</v>
      </c>
      <c r="T125" t="n">
        <v>5340</v>
      </c>
      <c r="U125" t="n">
        <v>5960</v>
      </c>
      <c r="V125" t="n">
        <v>2615</v>
      </c>
      <c r="W125" t="n">
        <v>1496</v>
      </c>
      <c r="X125" t="n">
        <v>1372</v>
      </c>
      <c r="Y125" t="n">
        <v>7040</v>
      </c>
    </row>
    <row r="126">
      <c r="A126" t="n">
        <v>125</v>
      </c>
      <c r="B126" t="n">
        <v>0</v>
      </c>
      <c r="C126" t="n">
        <v>6514</v>
      </c>
      <c r="D126" t="n">
        <v>11905</v>
      </c>
      <c r="E126" t="n">
        <v>39619</v>
      </c>
      <c r="F126" t="n">
        <v>131009</v>
      </c>
      <c r="G126" t="n">
        <v>427898</v>
      </c>
      <c r="H126" t="n">
        <v>1385200</v>
      </c>
      <c r="I126" t="n">
        <v>4430506</v>
      </c>
      <c r="J126" t="n">
        <v>2000</v>
      </c>
      <c r="K126" t="n">
        <v>9309</v>
      </c>
      <c r="L126" t="n">
        <v>2250</v>
      </c>
      <c r="M126" t="n">
        <v>1025</v>
      </c>
      <c r="N126" t="n">
        <v>1625</v>
      </c>
      <c r="O126" t="n">
        <v>2250</v>
      </c>
      <c r="P126" t="n">
        <v>2875</v>
      </c>
      <c r="Q126" t="n">
        <v>3500</v>
      </c>
      <c r="R126" t="n">
        <v>4125</v>
      </c>
      <c r="S126" t="n">
        <v>4750</v>
      </c>
      <c r="T126" t="n">
        <v>5375</v>
      </c>
      <c r="U126" t="n">
        <v>6000</v>
      </c>
      <c r="V126" t="n">
        <v>2633</v>
      </c>
      <c r="W126" t="n">
        <v>1500</v>
      </c>
      <c r="X126" t="n">
        <v>1375</v>
      </c>
      <c r="Y126" t="n">
        <v>7050</v>
      </c>
    </row>
    <row r="127">
      <c r="A127" t="n">
        <v>126</v>
      </c>
      <c r="B127" t="n">
        <v>0</v>
      </c>
      <c r="C127" t="n">
        <v>6612</v>
      </c>
      <c r="D127" t="n">
        <v>12144</v>
      </c>
      <c r="E127" t="n">
        <v>40808</v>
      </c>
      <c r="F127" t="n">
        <v>136250</v>
      </c>
      <c r="G127" t="n">
        <v>449293</v>
      </c>
      <c r="H127" t="n">
        <v>1468312</v>
      </c>
      <c r="I127" t="n">
        <v>4740642</v>
      </c>
      <c r="J127" t="n">
        <v>2000</v>
      </c>
      <c r="K127" t="n">
        <v>9403</v>
      </c>
      <c r="L127" t="n">
        <v>2260</v>
      </c>
      <c r="M127" t="n">
        <v>1026</v>
      </c>
      <c r="N127" t="n">
        <v>1630</v>
      </c>
      <c r="O127" t="n">
        <v>2260</v>
      </c>
      <c r="P127" t="n">
        <v>2890</v>
      </c>
      <c r="Q127" t="n">
        <v>3520</v>
      </c>
      <c r="R127" t="n">
        <v>4150</v>
      </c>
      <c r="S127" t="n">
        <v>4780</v>
      </c>
      <c r="T127" t="n">
        <v>5410</v>
      </c>
      <c r="U127" t="n">
        <v>6040</v>
      </c>
      <c r="V127" t="n">
        <v>2651</v>
      </c>
      <c r="W127" t="n">
        <v>1504</v>
      </c>
      <c r="X127" t="n">
        <v>1378</v>
      </c>
      <c r="Y127" t="n">
        <v>7060</v>
      </c>
    </row>
    <row r="128">
      <c r="A128" t="n">
        <v>127</v>
      </c>
      <c r="B128" t="n">
        <v>0</v>
      </c>
      <c r="C128" t="n">
        <v>6712</v>
      </c>
      <c r="D128" t="n">
        <v>12387</v>
      </c>
      <c r="E128" t="n">
        <v>42033</v>
      </c>
      <c r="F128" t="n">
        <v>141700</v>
      </c>
      <c r="G128" t="n">
        <v>471758</v>
      </c>
      <c r="H128" t="n">
        <v>1556411</v>
      </c>
      <c r="I128" t="n">
        <v>5072487</v>
      </c>
      <c r="J128" t="n">
        <v>2000</v>
      </c>
      <c r="K128" t="n">
        <v>9498</v>
      </c>
      <c r="L128" t="n">
        <v>2270</v>
      </c>
      <c r="M128" t="n">
        <v>1027</v>
      </c>
      <c r="N128" t="n">
        <v>1635</v>
      </c>
      <c r="O128" t="n">
        <v>2270</v>
      </c>
      <c r="P128" t="n">
        <v>2905</v>
      </c>
      <c r="Q128" t="n">
        <v>3540</v>
      </c>
      <c r="R128" t="n">
        <v>4175</v>
      </c>
      <c r="S128" t="n">
        <v>4810</v>
      </c>
      <c r="T128" t="n">
        <v>5445</v>
      </c>
      <c r="U128" t="n">
        <v>6080</v>
      </c>
      <c r="V128" t="n">
        <v>2669</v>
      </c>
      <c r="W128" t="n">
        <v>1508</v>
      </c>
      <c r="X128" t="n">
        <v>1381</v>
      </c>
      <c r="Y128" t="n">
        <v>7070</v>
      </c>
    </row>
    <row r="129">
      <c r="A129" t="n">
        <v>128</v>
      </c>
      <c r="B129" t="n">
        <v>0</v>
      </c>
      <c r="C129" t="n">
        <v>6813</v>
      </c>
      <c r="D129" t="n">
        <v>12635</v>
      </c>
      <c r="E129" t="n">
        <v>43294</v>
      </c>
      <c r="F129" t="n">
        <v>147368</v>
      </c>
      <c r="G129" t="n">
        <v>495346</v>
      </c>
      <c r="H129" t="n">
        <v>1649796</v>
      </c>
      <c r="I129" t="n">
        <v>5427562</v>
      </c>
      <c r="J129" t="n">
        <v>2000</v>
      </c>
      <c r="K129" t="n">
        <v>9593</v>
      </c>
      <c r="L129" t="n">
        <v>2280</v>
      </c>
      <c r="M129" t="n">
        <v>1028</v>
      </c>
      <c r="N129" t="n">
        <v>1640</v>
      </c>
      <c r="O129" t="n">
        <v>2280</v>
      </c>
      <c r="P129" t="n">
        <v>2920</v>
      </c>
      <c r="Q129" t="n">
        <v>3560</v>
      </c>
      <c r="R129" t="n">
        <v>4200</v>
      </c>
      <c r="S129" t="n">
        <v>4840</v>
      </c>
      <c r="T129" t="n">
        <v>5480</v>
      </c>
      <c r="U129" t="n">
        <v>6120</v>
      </c>
      <c r="V129" t="n">
        <v>2687</v>
      </c>
      <c r="W129" t="n">
        <v>1512</v>
      </c>
      <c r="X129" t="n">
        <v>1384</v>
      </c>
      <c r="Y129" t="n">
        <v>7080</v>
      </c>
    </row>
    <row r="130">
      <c r="A130" t="n">
        <v>129</v>
      </c>
      <c r="B130" t="n">
        <v>0</v>
      </c>
      <c r="C130" t="n">
        <v>6916</v>
      </c>
      <c r="D130" t="n">
        <v>12888</v>
      </c>
      <c r="E130" t="n">
        <v>44593</v>
      </c>
      <c r="F130" t="n">
        <v>153263</v>
      </c>
      <c r="G130" t="n">
        <v>520114</v>
      </c>
      <c r="H130" t="n">
        <v>1748784</v>
      </c>
      <c r="I130" t="n">
        <v>5807492</v>
      </c>
      <c r="J130" t="n">
        <v>2000</v>
      </c>
      <c r="K130" t="n">
        <v>9689</v>
      </c>
      <c r="L130" t="n">
        <v>2290</v>
      </c>
      <c r="M130" t="n">
        <v>1029</v>
      </c>
      <c r="N130" t="n">
        <v>1645</v>
      </c>
      <c r="O130" t="n">
        <v>2290</v>
      </c>
      <c r="P130" t="n">
        <v>2935</v>
      </c>
      <c r="Q130" t="n">
        <v>3580</v>
      </c>
      <c r="R130" t="n">
        <v>4225</v>
      </c>
      <c r="S130" t="n">
        <v>4870</v>
      </c>
      <c r="T130" t="n">
        <v>5515</v>
      </c>
      <c r="U130" t="n">
        <v>6160</v>
      </c>
      <c r="V130" t="n">
        <v>2705</v>
      </c>
      <c r="W130" t="n">
        <v>1516</v>
      </c>
      <c r="X130" t="n">
        <v>1387</v>
      </c>
      <c r="Y130" t="n">
        <v>7090</v>
      </c>
    </row>
    <row r="131">
      <c r="A131" t="n">
        <v>130</v>
      </c>
      <c r="B131" t="n">
        <v>0</v>
      </c>
      <c r="C131" t="n">
        <v>7020</v>
      </c>
      <c r="D131" t="n">
        <v>13146</v>
      </c>
      <c r="E131" t="n">
        <v>45931</v>
      </c>
      <c r="F131" t="n">
        <v>159394</v>
      </c>
      <c r="G131" t="n">
        <v>546120</v>
      </c>
      <c r="H131" t="n">
        <v>1853712</v>
      </c>
      <c r="I131" t="n">
        <v>6214017</v>
      </c>
      <c r="J131" t="n">
        <v>2000</v>
      </c>
      <c r="K131" t="n">
        <v>9786</v>
      </c>
      <c r="L131" t="n">
        <v>2300</v>
      </c>
      <c r="M131" t="n">
        <v>1030</v>
      </c>
      <c r="N131" t="n">
        <v>1650</v>
      </c>
      <c r="O131" t="n">
        <v>2300</v>
      </c>
      <c r="P131" t="n">
        <v>2950</v>
      </c>
      <c r="Q131" t="n">
        <v>3600</v>
      </c>
      <c r="R131" t="n">
        <v>4250</v>
      </c>
      <c r="S131" t="n">
        <v>4900</v>
      </c>
      <c r="T131" t="n">
        <v>5550</v>
      </c>
      <c r="U131" t="n">
        <v>6200</v>
      </c>
      <c r="V131" t="n">
        <v>2723</v>
      </c>
      <c r="W131" t="n">
        <v>1520</v>
      </c>
      <c r="X131" t="n">
        <v>1390</v>
      </c>
      <c r="Y131" t="n">
        <v>7100</v>
      </c>
    </row>
    <row r="132">
      <c r="A132" t="n">
        <v>131</v>
      </c>
      <c r="B132" t="n">
        <v>0</v>
      </c>
      <c r="C132" t="n">
        <v>7126</v>
      </c>
      <c r="D132" t="n">
        <v>13409</v>
      </c>
      <c r="E132" t="n">
        <v>47309</v>
      </c>
      <c r="F132" t="n">
        <v>165770</v>
      </c>
      <c r="G132" t="n">
        <v>573426</v>
      </c>
      <c r="H132" t="n">
        <v>1964935</v>
      </c>
      <c r="I132" t="n">
        <v>6648999</v>
      </c>
      <c r="J132" t="n">
        <v>2000</v>
      </c>
      <c r="K132" t="n">
        <v>9884</v>
      </c>
      <c r="L132" t="n">
        <v>2310</v>
      </c>
      <c r="M132" t="n">
        <v>1031</v>
      </c>
      <c r="N132" t="n">
        <v>1655</v>
      </c>
      <c r="O132" t="n">
        <v>2310</v>
      </c>
      <c r="P132" t="n">
        <v>2965</v>
      </c>
      <c r="Q132" t="n">
        <v>3620</v>
      </c>
      <c r="R132" t="n">
        <v>4275</v>
      </c>
      <c r="S132" t="n">
        <v>4930</v>
      </c>
      <c r="T132" t="n">
        <v>5585</v>
      </c>
      <c r="U132" t="n">
        <v>6240</v>
      </c>
      <c r="V132" t="n">
        <v>2741</v>
      </c>
      <c r="W132" t="n">
        <v>1524</v>
      </c>
      <c r="X132" t="n">
        <v>1393</v>
      </c>
      <c r="Y132" t="n">
        <v>7110</v>
      </c>
    </row>
    <row r="133">
      <c r="A133" t="n">
        <v>132</v>
      </c>
      <c r="B133" t="n">
        <v>0</v>
      </c>
      <c r="C133" t="n">
        <v>7233</v>
      </c>
      <c r="D133" t="n">
        <v>13678</v>
      </c>
      <c r="E133" t="n">
        <v>48729</v>
      </c>
      <c r="F133" t="n">
        <v>172401</v>
      </c>
      <c r="G133" t="n">
        <v>602098</v>
      </c>
      <c r="H133" t="n">
        <v>2082832</v>
      </c>
      <c r="I133" t="n">
        <v>7114429</v>
      </c>
      <c r="J133" t="n">
        <v>2000</v>
      </c>
      <c r="K133" t="n">
        <v>9983</v>
      </c>
      <c r="L133" t="n">
        <v>2320</v>
      </c>
      <c r="M133" t="n">
        <v>1032</v>
      </c>
      <c r="N133" t="n">
        <v>1660</v>
      </c>
      <c r="O133" t="n">
        <v>2320</v>
      </c>
      <c r="P133" t="n">
        <v>2980</v>
      </c>
      <c r="Q133" t="n">
        <v>3640</v>
      </c>
      <c r="R133" t="n">
        <v>4300</v>
      </c>
      <c r="S133" t="n">
        <v>4960</v>
      </c>
      <c r="T133" t="n">
        <v>5620</v>
      </c>
      <c r="U133" t="n">
        <v>6280</v>
      </c>
      <c r="V133" t="n">
        <v>2759</v>
      </c>
      <c r="W133" t="n">
        <v>1528</v>
      </c>
      <c r="X133" t="n">
        <v>1396</v>
      </c>
      <c r="Y133" t="n">
        <v>7120</v>
      </c>
    </row>
    <row r="134">
      <c r="A134" t="n">
        <v>133</v>
      </c>
      <c r="B134" t="n">
        <v>0</v>
      </c>
      <c r="C134" t="n">
        <v>7342</v>
      </c>
      <c r="D134" t="n">
        <v>13952</v>
      </c>
      <c r="E134" t="n">
        <v>50191</v>
      </c>
      <c r="F134" t="n">
        <v>179298</v>
      </c>
      <c r="G134" t="n">
        <v>632203</v>
      </c>
      <c r="H134" t="n">
        <v>2207802</v>
      </c>
      <c r="I134" t="n">
        <v>7612440</v>
      </c>
      <c r="J134" t="n">
        <v>2000</v>
      </c>
      <c r="K134" t="n">
        <v>10083</v>
      </c>
      <c r="L134" t="n">
        <v>2330</v>
      </c>
      <c r="M134" t="n">
        <v>1033</v>
      </c>
      <c r="N134" t="n">
        <v>1665</v>
      </c>
      <c r="O134" t="n">
        <v>2330</v>
      </c>
      <c r="P134" t="n">
        <v>2995</v>
      </c>
      <c r="Q134" t="n">
        <v>3660</v>
      </c>
      <c r="R134" t="n">
        <v>4325</v>
      </c>
      <c r="S134" t="n">
        <v>4990</v>
      </c>
      <c r="T134" t="n">
        <v>5655</v>
      </c>
      <c r="U134" t="n">
        <v>6320</v>
      </c>
      <c r="V134" t="n">
        <v>2777</v>
      </c>
      <c r="W134" t="n">
        <v>1532</v>
      </c>
      <c r="X134" t="n">
        <v>1399</v>
      </c>
      <c r="Y134" t="n">
        <v>7130</v>
      </c>
    </row>
    <row r="135">
      <c r="A135" t="n">
        <v>134</v>
      </c>
      <c r="B135" t="n">
        <v>0</v>
      </c>
      <c r="C135" t="n">
        <v>7453</v>
      </c>
      <c r="D135" t="n">
        <v>14232</v>
      </c>
      <c r="E135" t="n">
        <v>51697</v>
      </c>
      <c r="F135" t="n">
        <v>186470</v>
      </c>
      <c r="G135" t="n">
        <v>663814</v>
      </c>
      <c r="H135" t="n">
        <v>2340271</v>
      </c>
      <c r="I135" t="n">
        <v>8145311</v>
      </c>
      <c r="J135" t="n">
        <v>2000</v>
      </c>
      <c r="K135" t="n">
        <v>10184</v>
      </c>
      <c r="L135" t="n">
        <v>2340</v>
      </c>
      <c r="M135" t="n">
        <v>1034</v>
      </c>
      <c r="N135" t="n">
        <v>1670</v>
      </c>
      <c r="O135" t="n">
        <v>2340</v>
      </c>
      <c r="P135" t="n">
        <v>3010</v>
      </c>
      <c r="Q135" t="n">
        <v>3680</v>
      </c>
      <c r="R135" t="n">
        <v>4350</v>
      </c>
      <c r="S135" t="n">
        <v>5020</v>
      </c>
      <c r="T135" t="n">
        <v>5690</v>
      </c>
      <c r="U135" t="n">
        <v>6360</v>
      </c>
      <c r="V135" t="n">
        <v>2795</v>
      </c>
      <c r="W135" t="n">
        <v>1536</v>
      </c>
      <c r="X135" t="n">
        <v>1402</v>
      </c>
      <c r="Y135" t="n">
        <v>7140</v>
      </c>
    </row>
    <row r="136">
      <c r="A136" t="n">
        <v>135</v>
      </c>
      <c r="B136" t="n">
        <v>0</v>
      </c>
      <c r="C136" t="n">
        <v>7565</v>
      </c>
      <c r="D136" t="n">
        <v>14517</v>
      </c>
      <c r="E136" t="n">
        <v>53248</v>
      </c>
      <c r="F136" t="n">
        <v>193929</v>
      </c>
      <c r="G136" t="n">
        <v>697005</v>
      </c>
      <c r="H136" t="n">
        <v>2480688</v>
      </c>
      <c r="I136" t="n">
        <v>8715483</v>
      </c>
      <c r="J136" t="n">
        <v>2000</v>
      </c>
      <c r="K136" t="n">
        <v>10286</v>
      </c>
      <c r="L136" t="n">
        <v>2350</v>
      </c>
      <c r="M136" t="n">
        <v>1035</v>
      </c>
      <c r="N136" t="n">
        <v>1675</v>
      </c>
      <c r="O136" t="n">
        <v>2350</v>
      </c>
      <c r="P136" t="n">
        <v>3025</v>
      </c>
      <c r="Q136" t="n">
        <v>3700</v>
      </c>
      <c r="R136" t="n">
        <v>4375</v>
      </c>
      <c r="S136" t="n">
        <v>5050</v>
      </c>
      <c r="T136" t="n">
        <v>5725</v>
      </c>
      <c r="U136" t="n">
        <v>6400</v>
      </c>
      <c r="V136" t="n">
        <v>2813</v>
      </c>
      <c r="W136" t="n">
        <v>1540</v>
      </c>
      <c r="X136" t="n">
        <v>1405</v>
      </c>
      <c r="Y136" t="n">
        <v>7150</v>
      </c>
    </row>
    <row r="137">
      <c r="A137" t="n">
        <v>136</v>
      </c>
      <c r="B137" t="n">
        <v>0</v>
      </c>
      <c r="C137" t="n">
        <v>7679</v>
      </c>
      <c r="D137" t="n">
        <v>14808</v>
      </c>
      <c r="E137" t="n">
        <v>54846</v>
      </c>
      <c r="F137" t="n">
        <v>201687</v>
      </c>
      <c r="G137" t="n">
        <v>731856</v>
      </c>
      <c r="H137" t="n">
        <v>2629530</v>
      </c>
      <c r="I137" t="n">
        <v>9325567</v>
      </c>
      <c r="J137" t="n">
        <v>2000</v>
      </c>
      <c r="K137" t="n">
        <v>10389</v>
      </c>
      <c r="L137" t="n">
        <v>2360</v>
      </c>
      <c r="M137" t="n">
        <v>1036</v>
      </c>
      <c r="N137" t="n">
        <v>1680</v>
      </c>
      <c r="O137" t="n">
        <v>2360</v>
      </c>
      <c r="P137" t="n">
        <v>3040</v>
      </c>
      <c r="Q137" t="n">
        <v>3720</v>
      </c>
      <c r="R137" t="n">
        <v>4400</v>
      </c>
      <c r="S137" t="n">
        <v>5080</v>
      </c>
      <c r="T137" t="n">
        <v>5760</v>
      </c>
      <c r="U137" t="n">
        <v>6440</v>
      </c>
      <c r="V137" t="n">
        <v>2832</v>
      </c>
      <c r="W137" t="n">
        <v>1544</v>
      </c>
      <c r="X137" t="n">
        <v>1408</v>
      </c>
      <c r="Y137" t="n">
        <v>7160</v>
      </c>
    </row>
    <row r="138">
      <c r="A138" t="n">
        <v>137</v>
      </c>
      <c r="B138" t="n">
        <v>0</v>
      </c>
      <c r="C138" t="n">
        <v>7795</v>
      </c>
      <c r="D138" t="n">
        <v>15105</v>
      </c>
      <c r="E138" t="n">
        <v>56492</v>
      </c>
      <c r="F138" t="n">
        <v>209755</v>
      </c>
      <c r="G138" t="n">
        <v>768449</v>
      </c>
      <c r="H138" t="n">
        <v>2787302</v>
      </c>
      <c r="I138" t="n">
        <v>9978357</v>
      </c>
      <c r="J138" t="n">
        <v>2000</v>
      </c>
      <c r="K138" t="n">
        <v>10493</v>
      </c>
      <c r="L138" t="n">
        <v>2370</v>
      </c>
      <c r="M138" t="n">
        <v>1037</v>
      </c>
      <c r="N138" t="n">
        <v>1685</v>
      </c>
      <c r="O138" t="n">
        <v>2370</v>
      </c>
      <c r="P138" t="n">
        <v>3055</v>
      </c>
      <c r="Q138" t="n">
        <v>3740</v>
      </c>
      <c r="R138" t="n">
        <v>4425</v>
      </c>
      <c r="S138" t="n">
        <v>5110</v>
      </c>
      <c r="T138" t="n">
        <v>5795</v>
      </c>
      <c r="U138" t="n">
        <v>6480</v>
      </c>
      <c r="V138" t="n">
        <v>2851</v>
      </c>
      <c r="W138" t="n">
        <v>1548</v>
      </c>
      <c r="X138" t="n">
        <v>1411</v>
      </c>
      <c r="Y138" t="n">
        <v>7170</v>
      </c>
    </row>
    <row r="139">
      <c r="A139" t="n">
        <v>138</v>
      </c>
      <c r="B139" t="n">
        <v>0</v>
      </c>
      <c r="C139" t="n">
        <v>7912</v>
      </c>
      <c r="D139" t="n">
        <v>15408</v>
      </c>
      <c r="E139" t="n">
        <v>58187</v>
      </c>
      <c r="F139" t="n">
        <v>218146</v>
      </c>
      <c r="G139" t="n">
        <v>806872</v>
      </c>
      <c r="H139" t="n">
        <v>2954541</v>
      </c>
      <c r="I139" t="n">
        <v>10676842</v>
      </c>
      <c r="J139" t="n">
        <v>2000</v>
      </c>
      <c r="K139" t="n">
        <v>10598</v>
      </c>
      <c r="L139" t="n">
        <v>2380</v>
      </c>
      <c r="M139" t="n">
        <v>1038</v>
      </c>
      <c r="N139" t="n">
        <v>1690</v>
      </c>
      <c r="O139" t="n">
        <v>2380</v>
      </c>
      <c r="P139" t="n">
        <v>3070</v>
      </c>
      <c r="Q139" t="n">
        <v>3760</v>
      </c>
      <c r="R139" t="n">
        <v>4450</v>
      </c>
      <c r="S139" t="n">
        <v>5140</v>
      </c>
      <c r="T139" t="n">
        <v>5830</v>
      </c>
      <c r="U139" t="n">
        <v>6520</v>
      </c>
      <c r="V139" t="n">
        <v>2870</v>
      </c>
      <c r="W139" t="n">
        <v>1552</v>
      </c>
      <c r="X139" t="n">
        <v>1414</v>
      </c>
      <c r="Y139" t="n">
        <v>7180</v>
      </c>
    </row>
    <row r="140">
      <c r="A140" t="n">
        <v>139</v>
      </c>
      <c r="B140" t="n">
        <v>0</v>
      </c>
      <c r="C140" t="n">
        <v>8031</v>
      </c>
      <c r="D140" t="n">
        <v>15717</v>
      </c>
      <c r="E140" t="n">
        <v>59933</v>
      </c>
      <c r="F140" t="n">
        <v>226872</v>
      </c>
      <c r="G140" t="n">
        <v>847216</v>
      </c>
      <c r="H140" t="n">
        <v>3131814</v>
      </c>
      <c r="I140" t="n">
        <v>11424221</v>
      </c>
      <c r="J140" t="n">
        <v>2000</v>
      </c>
      <c r="K140" t="n">
        <v>10704</v>
      </c>
      <c r="L140" t="n">
        <v>2390</v>
      </c>
      <c r="M140" t="n">
        <v>1039</v>
      </c>
      <c r="N140" t="n">
        <v>1695</v>
      </c>
      <c r="O140" t="n">
        <v>2390</v>
      </c>
      <c r="P140" t="n">
        <v>3085</v>
      </c>
      <c r="Q140" t="n">
        <v>3780</v>
      </c>
      <c r="R140" t="n">
        <v>4475</v>
      </c>
      <c r="S140" t="n">
        <v>5170</v>
      </c>
      <c r="T140" t="n">
        <v>5865</v>
      </c>
      <c r="U140" t="n">
        <v>6560</v>
      </c>
      <c r="V140" t="n">
        <v>2889</v>
      </c>
      <c r="W140" t="n">
        <v>1556</v>
      </c>
      <c r="X140" t="n">
        <v>1417</v>
      </c>
      <c r="Y140" t="n">
        <v>7190</v>
      </c>
    </row>
    <row r="141">
      <c r="A141" t="n">
        <v>140</v>
      </c>
      <c r="B141" t="n">
        <v>0</v>
      </c>
      <c r="C141" t="n">
        <v>8152</v>
      </c>
      <c r="D141" t="n">
        <v>16032</v>
      </c>
      <c r="E141" t="n">
        <v>61731</v>
      </c>
      <c r="F141" t="n">
        <v>235947</v>
      </c>
      <c r="G141" t="n">
        <v>889577</v>
      </c>
      <c r="H141" t="n">
        <v>3319723</v>
      </c>
      <c r="I141" t="n">
        <v>12223917</v>
      </c>
      <c r="J141" t="n">
        <v>2000</v>
      </c>
      <c r="K141" t="n">
        <v>10812</v>
      </c>
      <c r="L141" t="n">
        <v>2400</v>
      </c>
      <c r="M141" t="n">
        <v>1040</v>
      </c>
      <c r="N141" t="n">
        <v>1700</v>
      </c>
      <c r="O141" t="n">
        <v>2400</v>
      </c>
      <c r="P141" t="n">
        <v>3100</v>
      </c>
      <c r="Q141" t="n">
        <v>3800</v>
      </c>
      <c r="R141" t="n">
        <v>4500</v>
      </c>
      <c r="S141" t="n">
        <v>5200</v>
      </c>
      <c r="T141" t="n">
        <v>5900</v>
      </c>
      <c r="U141" t="n">
        <v>6600</v>
      </c>
      <c r="V141" t="n">
        <v>2908</v>
      </c>
      <c r="W141" t="n">
        <v>1560</v>
      </c>
      <c r="X141" t="n">
        <v>1420</v>
      </c>
      <c r="Y141" t="n">
        <v>7200</v>
      </c>
    </row>
    <row r="142">
      <c r="A142" t="n">
        <v>141</v>
      </c>
      <c r="B142" t="n">
        <v>0</v>
      </c>
      <c r="C142" t="n">
        <v>8275</v>
      </c>
      <c r="D142" t="n">
        <v>16353</v>
      </c>
      <c r="E142" t="n">
        <v>63583</v>
      </c>
      <c r="F142" t="n">
        <v>245385</v>
      </c>
      <c r="G142" t="n">
        <v>934056</v>
      </c>
      <c r="H142" t="n">
        <v>3518907</v>
      </c>
      <c r="I142" t="n">
        <v>13079592</v>
      </c>
      <c r="J142" t="n">
        <v>2000</v>
      </c>
      <c r="K142" t="n">
        <v>10921</v>
      </c>
      <c r="L142" t="n">
        <v>2410</v>
      </c>
      <c r="M142" t="n">
        <v>1041</v>
      </c>
      <c r="N142" t="n">
        <v>1705</v>
      </c>
      <c r="O142" t="n">
        <v>2410</v>
      </c>
      <c r="P142" t="n">
        <v>3115</v>
      </c>
      <c r="Q142" t="n">
        <v>3820</v>
      </c>
      <c r="R142" t="n">
        <v>4525</v>
      </c>
      <c r="S142" t="n">
        <v>5230</v>
      </c>
      <c r="T142" t="n">
        <v>5935</v>
      </c>
      <c r="U142" t="n">
        <v>6640</v>
      </c>
      <c r="V142" t="n">
        <v>2927</v>
      </c>
      <c r="W142" t="n">
        <v>1564</v>
      </c>
      <c r="X142" t="n">
        <v>1423</v>
      </c>
      <c r="Y142" t="n">
        <v>7210</v>
      </c>
    </row>
    <row r="143">
      <c r="A143" t="n">
        <v>142</v>
      </c>
      <c r="B143" t="n">
        <v>0</v>
      </c>
      <c r="C143" t="n">
        <v>8400</v>
      </c>
      <c r="D143" t="n">
        <v>16681</v>
      </c>
      <c r="E143" t="n">
        <v>65491</v>
      </c>
      <c r="F143" t="n">
        <v>255201</v>
      </c>
      <c r="G143" t="n">
        <v>980759</v>
      </c>
      <c r="H143" t="n">
        <v>3730042</v>
      </c>
      <c r="I143" t="n">
        <v>13995164</v>
      </c>
      <c r="J143" t="n">
        <v>2000</v>
      </c>
      <c r="K143" t="n">
        <v>11031</v>
      </c>
      <c r="L143" t="n">
        <v>2420</v>
      </c>
      <c r="M143" t="n">
        <v>1042</v>
      </c>
      <c r="N143" t="n">
        <v>1710</v>
      </c>
      <c r="O143" t="n">
        <v>2420</v>
      </c>
      <c r="P143" t="n">
        <v>3130</v>
      </c>
      <c r="Q143" t="n">
        <v>3840</v>
      </c>
      <c r="R143" t="n">
        <v>4550</v>
      </c>
      <c r="S143" t="n">
        <v>5260</v>
      </c>
      <c r="T143" t="n">
        <v>5970</v>
      </c>
      <c r="U143" t="n">
        <v>6680</v>
      </c>
      <c r="V143" t="n">
        <v>2946</v>
      </c>
      <c r="W143" t="n">
        <v>1568</v>
      </c>
      <c r="X143" t="n">
        <v>1426</v>
      </c>
      <c r="Y143" t="n">
        <v>7220</v>
      </c>
    </row>
    <row r="144">
      <c r="A144" t="n">
        <v>143</v>
      </c>
      <c r="B144" t="n">
        <v>0</v>
      </c>
      <c r="C144" t="n">
        <v>8526</v>
      </c>
      <c r="D144" t="n">
        <v>17015</v>
      </c>
      <c r="E144" t="n">
        <v>67456</v>
      </c>
      <c r="F144" t="n">
        <v>265410</v>
      </c>
      <c r="G144" t="n">
        <v>1029797</v>
      </c>
      <c r="H144" t="n">
        <v>3953845</v>
      </c>
      <c r="I144" t="n">
        <v>14974826</v>
      </c>
      <c r="J144" t="n">
        <v>2000</v>
      </c>
      <c r="K144" t="n">
        <v>11142</v>
      </c>
      <c r="L144" t="n">
        <v>2430</v>
      </c>
      <c r="M144" t="n">
        <v>1043</v>
      </c>
      <c r="N144" t="n">
        <v>1715</v>
      </c>
      <c r="O144" t="n">
        <v>2430</v>
      </c>
      <c r="P144" t="n">
        <v>3145</v>
      </c>
      <c r="Q144" t="n">
        <v>3860</v>
      </c>
      <c r="R144" t="n">
        <v>4575</v>
      </c>
      <c r="S144" t="n">
        <v>5290</v>
      </c>
      <c r="T144" t="n">
        <v>6005</v>
      </c>
      <c r="U144" t="n">
        <v>6720</v>
      </c>
      <c r="V144" t="n">
        <v>2965</v>
      </c>
      <c r="W144" t="n">
        <v>1572</v>
      </c>
      <c r="X144" t="n">
        <v>1429</v>
      </c>
      <c r="Y144" t="n">
        <v>7230</v>
      </c>
    </row>
    <row r="145">
      <c r="A145" t="n">
        <v>144</v>
      </c>
      <c r="B145" t="n">
        <v>0</v>
      </c>
      <c r="C145" t="n">
        <v>8654</v>
      </c>
      <c r="D145" t="n">
        <v>17356</v>
      </c>
      <c r="E145" t="n">
        <v>69480</v>
      </c>
      <c r="F145" t="n">
        <v>276027</v>
      </c>
      <c r="G145" t="n">
        <v>1081287</v>
      </c>
      <c r="H145" t="n">
        <v>4191076</v>
      </c>
      <c r="I145" t="n">
        <v>16023064</v>
      </c>
      <c r="J145" t="n">
        <v>2000</v>
      </c>
      <c r="K145" t="n">
        <v>11254</v>
      </c>
      <c r="L145" t="n">
        <v>2440</v>
      </c>
      <c r="M145" t="n">
        <v>1044</v>
      </c>
      <c r="N145" t="n">
        <v>1720</v>
      </c>
      <c r="O145" t="n">
        <v>2440</v>
      </c>
      <c r="P145" t="n">
        <v>3160</v>
      </c>
      <c r="Q145" t="n">
        <v>3880</v>
      </c>
      <c r="R145" t="n">
        <v>4600</v>
      </c>
      <c r="S145" t="n">
        <v>5320</v>
      </c>
      <c r="T145" t="n">
        <v>6040</v>
      </c>
      <c r="U145" t="n">
        <v>6760</v>
      </c>
      <c r="V145" t="n">
        <v>2984</v>
      </c>
      <c r="W145" t="n">
        <v>1576</v>
      </c>
      <c r="X145" t="n">
        <v>1432</v>
      </c>
      <c r="Y145" t="n">
        <v>7240</v>
      </c>
    </row>
    <row r="146">
      <c r="A146" t="n">
        <v>145</v>
      </c>
      <c r="B146" t="n">
        <v>0</v>
      </c>
      <c r="C146" t="n">
        <v>8784</v>
      </c>
      <c r="D146" t="n">
        <v>17704</v>
      </c>
      <c r="E146" t="n">
        <v>71565</v>
      </c>
      <c r="F146" t="n">
        <v>287069</v>
      </c>
      <c r="G146" t="n">
        <v>1135352</v>
      </c>
      <c r="H146" t="n">
        <v>4442541</v>
      </c>
      <c r="I146" t="n">
        <v>17144679</v>
      </c>
      <c r="J146" t="n">
        <v>2000</v>
      </c>
      <c r="K146" t="n">
        <v>11367</v>
      </c>
      <c r="L146" t="n">
        <v>2450</v>
      </c>
      <c r="M146" t="n">
        <v>1045</v>
      </c>
      <c r="N146" t="n">
        <v>1725</v>
      </c>
      <c r="O146" t="n">
        <v>2450</v>
      </c>
      <c r="P146" t="n">
        <v>3175</v>
      </c>
      <c r="Q146" t="n">
        <v>3900</v>
      </c>
      <c r="R146" t="n">
        <v>4625</v>
      </c>
      <c r="S146" t="n">
        <v>5350</v>
      </c>
      <c r="T146" t="n">
        <v>6075</v>
      </c>
      <c r="U146" t="n">
        <v>6800</v>
      </c>
      <c r="V146" t="n">
        <v>3003</v>
      </c>
      <c r="W146" t="n">
        <v>1580</v>
      </c>
      <c r="X146" t="n">
        <v>1435</v>
      </c>
      <c r="Y146" t="n">
        <v>7250</v>
      </c>
    </row>
    <row r="147">
      <c r="A147" t="n">
        <v>146</v>
      </c>
      <c r="B147" t="n">
        <v>0</v>
      </c>
      <c r="C147" t="n">
        <v>8916</v>
      </c>
      <c r="D147" t="n">
        <v>18059</v>
      </c>
      <c r="E147" t="n">
        <v>73712</v>
      </c>
      <c r="F147" t="n">
        <v>298552</v>
      </c>
      <c r="G147" t="n">
        <v>1192120</v>
      </c>
      <c r="H147" t="n">
        <v>4709094</v>
      </c>
      <c r="I147" t="n">
        <v>18344807</v>
      </c>
      <c r="J147" t="n">
        <v>2000</v>
      </c>
      <c r="K147" t="n">
        <v>11481</v>
      </c>
      <c r="L147" t="n">
        <v>2460</v>
      </c>
      <c r="M147" t="n">
        <v>1046</v>
      </c>
      <c r="N147" t="n">
        <v>1730</v>
      </c>
      <c r="O147" t="n">
        <v>2460</v>
      </c>
      <c r="P147" t="n">
        <v>3190</v>
      </c>
      <c r="Q147" t="n">
        <v>3920</v>
      </c>
      <c r="R147" t="n">
        <v>4650</v>
      </c>
      <c r="S147" t="n">
        <v>5380</v>
      </c>
      <c r="T147" t="n">
        <v>6110</v>
      </c>
      <c r="U147" t="n">
        <v>6840</v>
      </c>
      <c r="V147" t="n">
        <v>3023</v>
      </c>
      <c r="W147" t="n">
        <v>1584</v>
      </c>
      <c r="X147" t="n">
        <v>1438</v>
      </c>
      <c r="Y147" t="n">
        <v>7260</v>
      </c>
    </row>
    <row r="148">
      <c r="A148" t="n">
        <v>147</v>
      </c>
      <c r="B148" t="n">
        <v>0</v>
      </c>
      <c r="C148" t="n">
        <v>9050</v>
      </c>
      <c r="D148" t="n">
        <v>18421</v>
      </c>
      <c r="E148" t="n">
        <v>75924</v>
      </c>
      <c r="F148" t="n">
        <v>310495</v>
      </c>
      <c r="G148" t="n">
        <v>1251726</v>
      </c>
      <c r="H148" t="n">
        <v>4991640</v>
      </c>
      <c r="I148" t="n">
        <v>19628944</v>
      </c>
      <c r="J148" t="n">
        <v>2000</v>
      </c>
      <c r="K148" t="n">
        <v>11596</v>
      </c>
      <c r="L148" t="n">
        <v>2470</v>
      </c>
      <c r="M148" t="n">
        <v>1047</v>
      </c>
      <c r="N148" t="n">
        <v>1735</v>
      </c>
      <c r="O148" t="n">
        <v>2470</v>
      </c>
      <c r="P148" t="n">
        <v>3205</v>
      </c>
      <c r="Q148" t="n">
        <v>3940</v>
      </c>
      <c r="R148" t="n">
        <v>4675</v>
      </c>
      <c r="S148" t="n">
        <v>5410</v>
      </c>
      <c r="T148" t="n">
        <v>6145</v>
      </c>
      <c r="U148" t="n">
        <v>6880</v>
      </c>
      <c r="V148" t="n">
        <v>3043</v>
      </c>
      <c r="W148" t="n">
        <v>1588</v>
      </c>
      <c r="X148" t="n">
        <v>1441</v>
      </c>
      <c r="Y148" t="n">
        <v>7270</v>
      </c>
    </row>
    <row r="149">
      <c r="A149" t="n">
        <v>148</v>
      </c>
      <c r="B149" t="n">
        <v>0</v>
      </c>
      <c r="C149" t="n">
        <v>9186</v>
      </c>
      <c r="D149" t="n">
        <v>18790</v>
      </c>
      <c r="E149" t="n">
        <v>78202</v>
      </c>
      <c r="F149" t="n">
        <v>322915</v>
      </c>
      <c r="G149" t="n">
        <v>1314313</v>
      </c>
      <c r="H149" t="n">
        <v>5291139</v>
      </c>
      <c r="I149" t="n">
        <v>21002971</v>
      </c>
      <c r="J149" t="n">
        <v>2000</v>
      </c>
      <c r="K149" t="n">
        <v>11712</v>
      </c>
      <c r="L149" t="n">
        <v>2480</v>
      </c>
      <c r="M149" t="n">
        <v>1048</v>
      </c>
      <c r="N149" t="n">
        <v>1740</v>
      </c>
      <c r="O149" t="n">
        <v>2480</v>
      </c>
      <c r="P149" t="n">
        <v>3220</v>
      </c>
      <c r="Q149" t="n">
        <v>3960</v>
      </c>
      <c r="R149" t="n">
        <v>4700</v>
      </c>
      <c r="S149" t="n">
        <v>5440</v>
      </c>
      <c r="T149" t="n">
        <v>6180</v>
      </c>
      <c r="U149" t="n">
        <v>6920</v>
      </c>
      <c r="V149" t="n">
        <v>3063</v>
      </c>
      <c r="W149" t="n">
        <v>1592</v>
      </c>
      <c r="X149" t="n">
        <v>1444</v>
      </c>
      <c r="Y149" t="n">
        <v>7280</v>
      </c>
    </row>
    <row r="150">
      <c r="A150" t="n">
        <v>149</v>
      </c>
      <c r="B150" t="n">
        <v>0</v>
      </c>
      <c r="C150" t="n">
        <v>9324</v>
      </c>
      <c r="D150" t="n">
        <v>19166</v>
      </c>
      <c r="E150" t="n">
        <v>80549</v>
      </c>
      <c r="F150" t="n">
        <v>335832</v>
      </c>
      <c r="G150" t="n">
        <v>1380029</v>
      </c>
      <c r="H150" t="n">
        <v>5608608</v>
      </c>
      <c r="I150" t="n">
        <v>22473179</v>
      </c>
      <c r="J150" t="n">
        <v>2000</v>
      </c>
      <c r="K150" t="n">
        <v>11830</v>
      </c>
      <c r="L150" t="n">
        <v>2490</v>
      </c>
      <c r="M150" t="n">
        <v>1049</v>
      </c>
      <c r="N150" t="n">
        <v>1745</v>
      </c>
      <c r="O150" t="n">
        <v>2490</v>
      </c>
      <c r="P150" t="n">
        <v>3235</v>
      </c>
      <c r="Q150" t="n">
        <v>3980</v>
      </c>
      <c r="R150" t="n">
        <v>4725</v>
      </c>
      <c r="S150" t="n">
        <v>5470</v>
      </c>
      <c r="T150" t="n">
        <v>6215</v>
      </c>
      <c r="U150" t="n">
        <v>6960</v>
      </c>
      <c r="V150" t="n">
        <v>3083</v>
      </c>
      <c r="W150" t="n">
        <v>1596</v>
      </c>
      <c r="X150" t="n">
        <v>1447</v>
      </c>
      <c r="Y150" t="n">
        <v>7290</v>
      </c>
    </row>
    <row r="151">
      <c r="A151" t="n">
        <v>150</v>
      </c>
      <c r="B151" t="n">
        <v>0</v>
      </c>
      <c r="C151" t="n">
        <v>9464</v>
      </c>
      <c r="D151" t="n">
        <v>19550</v>
      </c>
      <c r="E151" t="n">
        <v>82966</v>
      </c>
      <c r="F151" t="n">
        <v>349266</v>
      </c>
      <c r="G151" t="n">
        <v>1449031</v>
      </c>
      <c r="H151" t="n">
        <v>5945125</v>
      </c>
      <c r="I151" t="n">
        <v>24046302</v>
      </c>
      <c r="J151" t="n">
        <v>2000</v>
      </c>
      <c r="K151" t="n">
        <v>11949</v>
      </c>
      <c r="L151" t="n">
        <v>2500</v>
      </c>
      <c r="M151" t="n">
        <v>1050</v>
      </c>
      <c r="N151" t="n">
        <v>1750</v>
      </c>
      <c r="O151" t="n">
        <v>2500</v>
      </c>
      <c r="P151" t="n">
        <v>3250</v>
      </c>
      <c r="Q151" t="n">
        <v>4000</v>
      </c>
      <c r="R151" t="n">
        <v>4750</v>
      </c>
      <c r="S151" t="n">
        <v>5500</v>
      </c>
      <c r="T151" t="n">
        <v>6250</v>
      </c>
      <c r="U151" t="n">
        <v>7000</v>
      </c>
      <c r="V151" t="n">
        <v>3103</v>
      </c>
      <c r="W151" t="n">
        <v>1600</v>
      </c>
      <c r="X151" t="n">
        <v>1450</v>
      </c>
      <c r="Y151" t="n">
        <v>7300</v>
      </c>
    </row>
    <row r="152">
      <c r="A152" t="n">
        <v>151</v>
      </c>
      <c r="B152" t="n">
        <v>0</v>
      </c>
      <c r="C152" t="n">
        <v>9606</v>
      </c>
      <c r="D152" t="n">
        <v>19941</v>
      </c>
      <c r="E152" t="n">
        <v>85455</v>
      </c>
      <c r="F152" t="n">
        <v>363237</v>
      </c>
      <c r="G152" t="n">
        <v>1521483</v>
      </c>
      <c r="H152" t="n">
        <v>6301833</v>
      </c>
      <c r="I152" t="n">
        <v>25729544</v>
      </c>
      <c r="J152" t="n">
        <v>2000</v>
      </c>
      <c r="K152" t="n">
        <v>12069</v>
      </c>
      <c r="L152" t="n">
        <v>2500</v>
      </c>
      <c r="M152" t="n">
        <v>1051</v>
      </c>
      <c r="N152" t="n">
        <v>1755</v>
      </c>
      <c r="O152" t="n">
        <v>2510</v>
      </c>
      <c r="P152" t="n">
        <v>3265</v>
      </c>
      <c r="Q152" t="n">
        <v>4020</v>
      </c>
      <c r="R152" t="n">
        <v>4775</v>
      </c>
      <c r="S152" t="n">
        <v>5530</v>
      </c>
      <c r="T152" t="n">
        <v>6285</v>
      </c>
      <c r="U152" t="n">
        <v>7040</v>
      </c>
      <c r="V152" t="n">
        <v>3123</v>
      </c>
      <c r="W152" t="n">
        <v>1604</v>
      </c>
      <c r="X152" t="n">
        <v>1453</v>
      </c>
      <c r="Y152" t="n">
        <v>7310</v>
      </c>
    </row>
    <row r="153">
      <c r="A153" t="n">
        <v>152</v>
      </c>
      <c r="B153" t="n">
        <v>0</v>
      </c>
      <c r="C153" t="n">
        <v>9751</v>
      </c>
      <c r="D153" t="n">
        <v>20340</v>
      </c>
      <c r="E153" t="n">
        <v>88019</v>
      </c>
      <c r="F153" t="n">
        <v>377767</v>
      </c>
      <c r="G153" t="n">
        <v>1597558</v>
      </c>
      <c r="H153" t="n">
        <v>6679943</v>
      </c>
      <c r="I153" t="n">
        <v>27530613</v>
      </c>
      <c r="J153" t="n">
        <v>2000</v>
      </c>
      <c r="K153" t="n">
        <v>12190</v>
      </c>
      <c r="L153" t="n">
        <v>2500</v>
      </c>
      <c r="M153" t="n">
        <v>1052</v>
      </c>
      <c r="N153" t="n">
        <v>1760</v>
      </c>
      <c r="O153" t="n">
        <v>2520</v>
      </c>
      <c r="P153" t="n">
        <v>3280</v>
      </c>
      <c r="Q153" t="n">
        <v>4040</v>
      </c>
      <c r="R153" t="n">
        <v>4800</v>
      </c>
      <c r="S153" t="n">
        <v>5560</v>
      </c>
      <c r="T153" t="n">
        <v>6320</v>
      </c>
      <c r="U153" t="n">
        <v>7080</v>
      </c>
      <c r="V153" t="n">
        <v>3143</v>
      </c>
      <c r="W153" t="n">
        <v>1608</v>
      </c>
      <c r="X153" t="n">
        <v>1456</v>
      </c>
      <c r="Y153" t="n">
        <v>7320</v>
      </c>
    </row>
    <row r="154">
      <c r="A154" t="n">
        <v>153</v>
      </c>
      <c r="B154" t="n">
        <v>0</v>
      </c>
      <c r="C154" t="n">
        <v>9898</v>
      </c>
      <c r="D154" t="n">
        <v>20747</v>
      </c>
      <c r="E154" t="n">
        <v>90660</v>
      </c>
      <c r="F154" t="n">
        <v>392878</v>
      </c>
      <c r="G154" t="n">
        <v>1677436</v>
      </c>
      <c r="H154" t="n">
        <v>7080740</v>
      </c>
      <c r="I154" t="n">
        <v>29457756</v>
      </c>
      <c r="J154" t="n">
        <v>2000</v>
      </c>
      <c r="K154" t="n">
        <v>12312</v>
      </c>
      <c r="L154" t="n">
        <v>2500</v>
      </c>
      <c r="M154" t="n">
        <v>1053</v>
      </c>
      <c r="N154" t="n">
        <v>1765</v>
      </c>
      <c r="O154" t="n">
        <v>2530</v>
      </c>
      <c r="P154" t="n">
        <v>3295</v>
      </c>
      <c r="Q154" t="n">
        <v>4060</v>
      </c>
      <c r="R154" t="n">
        <v>4825</v>
      </c>
      <c r="S154" t="n">
        <v>5590</v>
      </c>
      <c r="T154" t="n">
        <v>6355</v>
      </c>
      <c r="U154" t="n">
        <v>7120</v>
      </c>
      <c r="V154" t="n">
        <v>3163</v>
      </c>
      <c r="W154" t="n">
        <v>1612</v>
      </c>
      <c r="X154" t="n">
        <v>1459</v>
      </c>
      <c r="Y154" t="n">
        <v>7330</v>
      </c>
    </row>
    <row r="155">
      <c r="A155" t="n">
        <v>154</v>
      </c>
      <c r="B155" t="n">
        <v>0</v>
      </c>
      <c r="C155" t="n">
        <v>10047</v>
      </c>
      <c r="D155" t="n">
        <v>21162</v>
      </c>
      <c r="E155" t="n">
        <v>93380</v>
      </c>
      <c r="F155" t="n">
        <v>408594</v>
      </c>
      <c r="G155" t="n">
        <v>1761308</v>
      </c>
      <c r="H155" t="n">
        <v>7505585</v>
      </c>
      <c r="I155" t="n">
        <v>31519799</v>
      </c>
      <c r="J155" t="n">
        <v>2000</v>
      </c>
      <c r="K155" t="n">
        <v>12436</v>
      </c>
      <c r="L155" t="n">
        <v>2500</v>
      </c>
      <c r="M155" t="n">
        <v>1054</v>
      </c>
      <c r="N155" t="n">
        <v>1770</v>
      </c>
      <c r="O155" t="n">
        <v>2540</v>
      </c>
      <c r="P155" t="n">
        <v>3310</v>
      </c>
      <c r="Q155" t="n">
        <v>4080</v>
      </c>
      <c r="R155" t="n">
        <v>4850</v>
      </c>
      <c r="S155" t="n">
        <v>5620</v>
      </c>
      <c r="T155" t="n">
        <v>6390</v>
      </c>
      <c r="U155" t="n">
        <v>7160</v>
      </c>
      <c r="V155" t="n">
        <v>3183</v>
      </c>
      <c r="W155" t="n">
        <v>1616</v>
      </c>
      <c r="X155" t="n">
        <v>1462</v>
      </c>
      <c r="Y155" t="n">
        <v>7340</v>
      </c>
    </row>
    <row r="156">
      <c r="A156" t="n">
        <v>155</v>
      </c>
      <c r="B156" t="n">
        <v>0</v>
      </c>
      <c r="C156" t="n">
        <v>10198</v>
      </c>
      <c r="D156" t="n">
        <v>21586</v>
      </c>
      <c r="E156" t="n">
        <v>96182</v>
      </c>
      <c r="F156" t="n">
        <v>424938</v>
      </c>
      <c r="G156" t="n">
        <v>1849374</v>
      </c>
      <c r="H156" t="n">
        <v>7955921</v>
      </c>
      <c r="I156" t="n">
        <v>33726185</v>
      </c>
      <c r="J156" t="n">
        <v>2000</v>
      </c>
      <c r="K156" t="n">
        <v>12561</v>
      </c>
      <c r="L156" t="n">
        <v>2500</v>
      </c>
      <c r="M156" t="n">
        <v>1055</v>
      </c>
      <c r="N156" t="n">
        <v>1775</v>
      </c>
      <c r="O156" t="n">
        <v>2550</v>
      </c>
      <c r="P156" t="n">
        <v>3325</v>
      </c>
      <c r="Q156" t="n">
        <v>4100</v>
      </c>
      <c r="R156" t="n">
        <v>4875</v>
      </c>
      <c r="S156" t="n">
        <v>5650</v>
      </c>
      <c r="T156" t="n">
        <v>6425</v>
      </c>
      <c r="U156" t="n">
        <v>7200</v>
      </c>
      <c r="V156" t="n">
        <v>3203</v>
      </c>
      <c r="W156" t="n">
        <v>1620</v>
      </c>
      <c r="X156" t="n">
        <v>1465</v>
      </c>
      <c r="Y156" t="n">
        <v>7350</v>
      </c>
    </row>
    <row r="157">
      <c r="A157" t="n">
        <v>156</v>
      </c>
      <c r="B157" t="n">
        <v>0</v>
      </c>
      <c r="C157" t="n">
        <v>10351</v>
      </c>
      <c r="D157" t="n">
        <v>22018</v>
      </c>
      <c r="E157" t="n">
        <v>99068</v>
      </c>
      <c r="F157" t="n">
        <v>441936</v>
      </c>
      <c r="G157" t="n">
        <v>1941843</v>
      </c>
      <c r="H157" t="n">
        <v>8433277</v>
      </c>
      <c r="I157" t="n">
        <v>36087018</v>
      </c>
      <c r="J157" t="n">
        <v>2000</v>
      </c>
      <c r="K157" t="n">
        <v>12687</v>
      </c>
      <c r="L157" t="n">
        <v>2500</v>
      </c>
      <c r="M157" t="n">
        <v>1056</v>
      </c>
      <c r="N157" t="n">
        <v>1780</v>
      </c>
      <c r="O157" t="n">
        <v>2560</v>
      </c>
      <c r="P157" t="n">
        <v>3340</v>
      </c>
      <c r="Q157" t="n">
        <v>4120</v>
      </c>
      <c r="R157" t="n">
        <v>4900</v>
      </c>
      <c r="S157" t="n">
        <v>5680</v>
      </c>
      <c r="T157" t="n">
        <v>6460</v>
      </c>
      <c r="U157" t="n">
        <v>7240</v>
      </c>
      <c r="V157" t="n">
        <v>3224</v>
      </c>
      <c r="W157" t="n">
        <v>1624</v>
      </c>
      <c r="X157" t="n">
        <v>1468</v>
      </c>
      <c r="Y157" t="n">
        <v>7360</v>
      </c>
    </row>
    <row r="158">
      <c r="A158" t="n">
        <v>157</v>
      </c>
      <c r="B158" t="n">
        <v>0</v>
      </c>
      <c r="C158" t="n">
        <v>10507</v>
      </c>
      <c r="D158" t="n">
        <v>22459</v>
      </c>
      <c r="E158" t="n">
        <v>102041</v>
      </c>
      <c r="F158" t="n">
        <v>459614</v>
      </c>
      <c r="G158" t="n">
        <v>2038936</v>
      </c>
      <c r="H158" t="n">
        <v>8939274</v>
      </c>
      <c r="I158" t="n">
        <v>38613110</v>
      </c>
      <c r="J158" t="n">
        <v>2000</v>
      </c>
      <c r="K158" t="n">
        <v>12814</v>
      </c>
      <c r="L158" t="n">
        <v>2500</v>
      </c>
      <c r="M158" t="n">
        <v>1057</v>
      </c>
      <c r="N158" t="n">
        <v>1785</v>
      </c>
      <c r="O158" t="n">
        <v>2570</v>
      </c>
      <c r="P158" t="n">
        <v>3355</v>
      </c>
      <c r="Q158" t="n">
        <v>4140</v>
      </c>
      <c r="R158" t="n">
        <v>4925</v>
      </c>
      <c r="S158" t="n">
        <v>5710</v>
      </c>
      <c r="T158" t="n">
        <v>6495</v>
      </c>
      <c r="U158" t="n">
        <v>7280</v>
      </c>
      <c r="V158" t="n">
        <v>3245</v>
      </c>
      <c r="W158" t="n">
        <v>1628</v>
      </c>
      <c r="X158" t="n">
        <v>1471</v>
      </c>
      <c r="Y158" t="n">
        <v>7370</v>
      </c>
    </row>
    <row r="159">
      <c r="A159" t="n">
        <v>158</v>
      </c>
      <c r="B159" t="n">
        <v>0</v>
      </c>
      <c r="C159" t="n">
        <v>10665</v>
      </c>
      <c r="D159" t="n">
        <v>22909</v>
      </c>
      <c r="E159" t="n">
        <v>105103</v>
      </c>
      <c r="F159" t="n">
        <v>477999</v>
      </c>
      <c r="G159" t="n">
        <v>2140883</v>
      </c>
      <c r="H159" t="n">
        <v>9475631</v>
      </c>
      <c r="I159" t="n">
        <v>41316028</v>
      </c>
      <c r="J159" t="n">
        <v>2000</v>
      </c>
      <c r="K159" t="n">
        <v>12943</v>
      </c>
      <c r="L159" t="n">
        <v>2500</v>
      </c>
      <c r="M159" t="n">
        <v>1058</v>
      </c>
      <c r="N159" t="n">
        <v>1790</v>
      </c>
      <c r="O159" t="n">
        <v>2580</v>
      </c>
      <c r="P159" t="n">
        <v>3370</v>
      </c>
      <c r="Q159" t="n">
        <v>4160</v>
      </c>
      <c r="R159" t="n">
        <v>4950</v>
      </c>
      <c r="S159" t="n">
        <v>5740</v>
      </c>
      <c r="T159" t="n">
        <v>6530</v>
      </c>
      <c r="U159" t="n">
        <v>7320</v>
      </c>
      <c r="V159" t="n">
        <v>3266</v>
      </c>
      <c r="W159" t="n">
        <v>1632</v>
      </c>
      <c r="X159" t="n">
        <v>1474</v>
      </c>
      <c r="Y159" t="n">
        <v>7380</v>
      </c>
    </row>
    <row r="160">
      <c r="A160" t="n">
        <v>159</v>
      </c>
      <c r="B160" t="n">
        <v>0</v>
      </c>
      <c r="C160" t="n">
        <v>10825</v>
      </c>
      <c r="D160" t="n">
        <v>23368</v>
      </c>
      <c r="E160" t="n">
        <v>108257</v>
      </c>
      <c r="F160" t="n">
        <v>497119</v>
      </c>
      <c r="G160" t="n">
        <v>2247928</v>
      </c>
      <c r="H160" t="n">
        <v>10044169</v>
      </c>
      <c r="I160" t="n">
        <v>44208150</v>
      </c>
      <c r="J160" t="n">
        <v>2000</v>
      </c>
      <c r="K160" t="n">
        <v>13073</v>
      </c>
      <c r="L160" t="n">
        <v>2500</v>
      </c>
      <c r="M160" t="n">
        <v>1059</v>
      </c>
      <c r="N160" t="n">
        <v>1795</v>
      </c>
      <c r="O160" t="n">
        <v>2590</v>
      </c>
      <c r="P160" t="n">
        <v>3385</v>
      </c>
      <c r="Q160" t="n">
        <v>4180</v>
      </c>
      <c r="R160" t="n">
        <v>4975</v>
      </c>
      <c r="S160" t="n">
        <v>5770</v>
      </c>
      <c r="T160" t="n">
        <v>6565</v>
      </c>
      <c r="U160" t="n">
        <v>7360</v>
      </c>
      <c r="V160" t="n">
        <v>3287</v>
      </c>
      <c r="W160" t="n">
        <v>1636</v>
      </c>
      <c r="X160" t="n">
        <v>1477</v>
      </c>
      <c r="Y160" t="n">
        <v>7390</v>
      </c>
    </row>
    <row r="161">
      <c r="A161" t="n">
        <v>160</v>
      </c>
      <c r="B161" t="n">
        <v>0</v>
      </c>
      <c r="C161" t="n">
        <v>10988</v>
      </c>
      <c r="D161" t="n">
        <v>23836</v>
      </c>
      <c r="E161" t="n">
        <v>111505</v>
      </c>
      <c r="F161" t="n">
        <v>517004</v>
      </c>
      <c r="G161" t="n">
        <v>2360325</v>
      </c>
      <c r="H161" t="n">
        <v>10646820</v>
      </c>
      <c r="I161" t="n">
        <v>47302721</v>
      </c>
      <c r="J161" t="n">
        <v>2000</v>
      </c>
      <c r="K161" t="n">
        <v>13204</v>
      </c>
      <c r="L161" t="n">
        <v>2500</v>
      </c>
      <c r="M161" t="n">
        <v>1060</v>
      </c>
      <c r="N161" t="n">
        <v>1800</v>
      </c>
      <c r="O161" t="n">
        <v>2600</v>
      </c>
      <c r="P161" t="n">
        <v>3400</v>
      </c>
      <c r="Q161" t="n">
        <v>4200</v>
      </c>
      <c r="R161" t="n">
        <v>5000</v>
      </c>
      <c r="S161" t="n">
        <v>5800</v>
      </c>
      <c r="T161" t="n">
        <v>6600</v>
      </c>
      <c r="U161" t="n">
        <v>7400</v>
      </c>
      <c r="V161" t="n">
        <v>3308</v>
      </c>
      <c r="W161" t="n">
        <v>1640</v>
      </c>
      <c r="X161" t="n">
        <v>1480</v>
      </c>
      <c r="Y161" t="n">
        <v>7400</v>
      </c>
    </row>
    <row r="162">
      <c r="A162" t="n">
        <v>161</v>
      </c>
      <c r="B162" t="n">
        <v>0</v>
      </c>
      <c r="C162" t="n">
        <v>11153</v>
      </c>
      <c r="D162" t="n">
        <v>24313</v>
      </c>
      <c r="E162" t="n">
        <v>114851</v>
      </c>
      <c r="F162" t="n">
        <v>537685</v>
      </c>
      <c r="G162" t="n">
        <v>2478342</v>
      </c>
      <c r="H162" t="n">
        <v>11285630</v>
      </c>
      <c r="I162" t="n">
        <v>50613912</v>
      </c>
      <c r="J162" t="n">
        <v>2000</v>
      </c>
      <c r="K162" t="n">
        <v>13337</v>
      </c>
      <c r="L162" t="n">
        <v>2500</v>
      </c>
      <c r="M162" t="n">
        <v>1061</v>
      </c>
      <c r="N162" t="n">
        <v>1805</v>
      </c>
      <c r="O162" t="n">
        <v>2610</v>
      </c>
      <c r="P162" t="n">
        <v>3415</v>
      </c>
      <c r="Q162" t="n">
        <v>4220</v>
      </c>
      <c r="R162" t="n">
        <v>5025</v>
      </c>
      <c r="S162" t="n">
        <v>5830</v>
      </c>
      <c r="T162" t="n">
        <v>6635</v>
      </c>
      <c r="U162" t="n">
        <v>7440</v>
      </c>
      <c r="V162" t="n">
        <v>3329</v>
      </c>
      <c r="W162" t="n">
        <v>1644</v>
      </c>
      <c r="X162" t="n">
        <v>1483</v>
      </c>
      <c r="Y162" t="n">
        <v>7410</v>
      </c>
    </row>
    <row r="163">
      <c r="A163" t="n">
        <v>162</v>
      </c>
      <c r="B163" t="n">
        <v>0</v>
      </c>
      <c r="C163" t="n">
        <v>11321</v>
      </c>
      <c r="D163" t="n">
        <v>24800</v>
      </c>
      <c r="E163" t="n">
        <v>118297</v>
      </c>
      <c r="F163" t="n">
        <v>559193</v>
      </c>
      <c r="G163" t="n">
        <v>2602260</v>
      </c>
      <c r="H163" t="n">
        <v>11962768</v>
      </c>
      <c r="I163" t="n">
        <v>54156886</v>
      </c>
      <c r="J163" t="n">
        <v>2000</v>
      </c>
      <c r="K163" t="n">
        <v>13471</v>
      </c>
      <c r="L163" t="n">
        <v>2500</v>
      </c>
      <c r="M163" t="n">
        <v>1062</v>
      </c>
      <c r="N163" t="n">
        <v>1810</v>
      </c>
      <c r="O163" t="n">
        <v>2620</v>
      </c>
      <c r="P163" t="n">
        <v>3430</v>
      </c>
      <c r="Q163" t="n">
        <v>4240</v>
      </c>
      <c r="R163" t="n">
        <v>5050</v>
      </c>
      <c r="S163" t="n">
        <v>5860</v>
      </c>
      <c r="T163" t="n">
        <v>6670</v>
      </c>
      <c r="U163" t="n">
        <v>7480</v>
      </c>
      <c r="V163" t="n">
        <v>3350</v>
      </c>
      <c r="W163" t="n">
        <v>1648</v>
      </c>
      <c r="X163" t="n">
        <v>1486</v>
      </c>
      <c r="Y163" t="n">
        <v>7420</v>
      </c>
    </row>
    <row r="164">
      <c r="A164" t="n">
        <v>163</v>
      </c>
      <c r="B164" t="n">
        <v>0</v>
      </c>
      <c r="C164" t="n">
        <v>11491</v>
      </c>
      <c r="D164" t="n">
        <v>25296</v>
      </c>
      <c r="E164" t="n">
        <v>121846</v>
      </c>
      <c r="F164" t="n">
        <v>581561</v>
      </c>
      <c r="G164" t="n">
        <v>2732373</v>
      </c>
      <c r="H164" t="n">
        <v>12680535</v>
      </c>
      <c r="I164" t="n">
        <v>57947869</v>
      </c>
      <c r="J164" t="n">
        <v>2000</v>
      </c>
      <c r="K164" t="n">
        <v>13606</v>
      </c>
      <c r="L164" t="n">
        <v>2500</v>
      </c>
      <c r="M164" t="n">
        <v>1063</v>
      </c>
      <c r="N164" t="n">
        <v>1815</v>
      </c>
      <c r="O164" t="n">
        <v>2630</v>
      </c>
      <c r="P164" t="n">
        <v>3445</v>
      </c>
      <c r="Q164" t="n">
        <v>4260</v>
      </c>
      <c r="R164" t="n">
        <v>5075</v>
      </c>
      <c r="S164" t="n">
        <v>5890</v>
      </c>
      <c r="T164" t="n">
        <v>6705</v>
      </c>
      <c r="U164" t="n">
        <v>7520</v>
      </c>
      <c r="V164" t="n">
        <v>3371</v>
      </c>
      <c r="W164" t="n">
        <v>1652</v>
      </c>
      <c r="X164" t="n">
        <v>1489</v>
      </c>
      <c r="Y164" t="n">
        <v>7430</v>
      </c>
    </row>
    <row r="165">
      <c r="A165" t="n">
        <v>164</v>
      </c>
      <c r="B165" t="n">
        <v>0</v>
      </c>
      <c r="C165" t="n">
        <v>11664</v>
      </c>
      <c r="D165" t="n">
        <v>25802</v>
      </c>
      <c r="E165" t="n">
        <v>125502</v>
      </c>
      <c r="F165" t="n">
        <v>604824</v>
      </c>
      <c r="G165" t="n">
        <v>2868992</v>
      </c>
      <c r="H165" t="n">
        <v>13441368</v>
      </c>
      <c r="I165" t="n">
        <v>62004220</v>
      </c>
      <c r="J165" t="n">
        <v>2000</v>
      </c>
      <c r="K165" t="n">
        <v>13743</v>
      </c>
      <c r="L165" t="n">
        <v>2500</v>
      </c>
      <c r="M165" t="n">
        <v>1064</v>
      </c>
      <c r="N165" t="n">
        <v>1820</v>
      </c>
      <c r="O165" t="n">
        <v>2640</v>
      </c>
      <c r="P165" t="n">
        <v>3460</v>
      </c>
      <c r="Q165" t="n">
        <v>4280</v>
      </c>
      <c r="R165" t="n">
        <v>5100</v>
      </c>
      <c r="S165" t="n">
        <v>5920</v>
      </c>
      <c r="T165" t="n">
        <v>6740</v>
      </c>
      <c r="U165" t="n">
        <v>7560</v>
      </c>
      <c r="V165" t="n">
        <v>3392</v>
      </c>
      <c r="W165" t="n">
        <v>1656</v>
      </c>
      <c r="X165" t="n">
        <v>1492</v>
      </c>
      <c r="Y165" t="n">
        <v>7440</v>
      </c>
    </row>
    <row r="166">
      <c r="A166" t="n">
        <v>165</v>
      </c>
      <c r="B166" t="n">
        <v>0</v>
      </c>
      <c r="C166" t="n">
        <v>11839</v>
      </c>
      <c r="D166" t="n">
        <v>26319</v>
      </c>
      <c r="E166" t="n">
        <v>129268</v>
      </c>
      <c r="F166" t="n">
        <v>629017</v>
      </c>
      <c r="G166" t="n">
        <v>3012442</v>
      </c>
      <c r="H166" t="n">
        <v>14247851</v>
      </c>
      <c r="I166" t="n">
        <v>66344516</v>
      </c>
      <c r="J166" t="n">
        <v>2000</v>
      </c>
      <c r="K166" t="n">
        <v>13881</v>
      </c>
      <c r="L166" t="n">
        <v>2500</v>
      </c>
      <c r="M166" t="n">
        <v>1065</v>
      </c>
      <c r="N166" t="n">
        <v>1825</v>
      </c>
      <c r="O166" t="n">
        <v>2650</v>
      </c>
      <c r="P166" t="n">
        <v>3475</v>
      </c>
      <c r="Q166" t="n">
        <v>4300</v>
      </c>
      <c r="R166" t="n">
        <v>5125</v>
      </c>
      <c r="S166" t="n">
        <v>5950</v>
      </c>
      <c r="T166" t="n">
        <v>6775</v>
      </c>
      <c r="U166" t="n">
        <v>7600</v>
      </c>
      <c r="V166" t="n">
        <v>3413</v>
      </c>
      <c r="W166" t="n">
        <v>1660</v>
      </c>
      <c r="X166" t="n">
        <v>1495</v>
      </c>
      <c r="Y166" t="n">
        <v>7450</v>
      </c>
    </row>
    <row r="167">
      <c r="A167" t="n">
        <v>166</v>
      </c>
      <c r="B167" t="n">
        <v>0</v>
      </c>
      <c r="C167" t="n">
        <v>12017</v>
      </c>
      <c r="D167" t="n">
        <v>26846</v>
      </c>
      <c r="E167" t="n">
        <v>133147</v>
      </c>
      <c r="F167" t="n">
        <v>654178</v>
      </c>
      <c r="G167" t="n">
        <v>3163065</v>
      </c>
      <c r="H167" t="n">
        <v>15102723</v>
      </c>
      <c r="I167" t="n">
        <v>70988633</v>
      </c>
      <c r="J167" t="n">
        <v>2000</v>
      </c>
      <c r="K167" t="n">
        <v>14020</v>
      </c>
      <c r="L167" t="n">
        <v>2500</v>
      </c>
      <c r="M167" t="n">
        <v>1066</v>
      </c>
      <c r="N167" t="n">
        <v>1830</v>
      </c>
      <c r="O167" t="n">
        <v>2660</v>
      </c>
      <c r="P167" t="n">
        <v>3490</v>
      </c>
      <c r="Q167" t="n">
        <v>4320</v>
      </c>
      <c r="R167" t="n">
        <v>5150</v>
      </c>
      <c r="S167" t="n">
        <v>5980</v>
      </c>
      <c r="T167" t="n">
        <v>6810</v>
      </c>
      <c r="U167" t="n">
        <v>7640</v>
      </c>
      <c r="V167" t="n">
        <v>3435</v>
      </c>
      <c r="W167" t="n">
        <v>1664</v>
      </c>
      <c r="X167" t="n">
        <v>1498</v>
      </c>
      <c r="Y167" t="n">
        <v>7460</v>
      </c>
    </row>
    <row r="168">
      <c r="A168" t="n">
        <v>167</v>
      </c>
      <c r="B168" t="n">
        <v>0</v>
      </c>
      <c r="C168" t="n">
        <v>12198</v>
      </c>
      <c r="D168" t="n">
        <v>27383</v>
      </c>
      <c r="E168" t="n">
        <v>137142</v>
      </c>
      <c r="F168" t="n">
        <v>680346</v>
      </c>
      <c r="G168" t="n">
        <v>3321219</v>
      </c>
      <c r="H168" t="n">
        <v>16008887</v>
      </c>
      <c r="I168" t="n">
        <v>75957838</v>
      </c>
      <c r="J168" t="n">
        <v>2000</v>
      </c>
      <c r="K168" t="n">
        <v>14161</v>
      </c>
      <c r="L168" t="n">
        <v>2500</v>
      </c>
      <c r="M168" t="n">
        <v>1067</v>
      </c>
      <c r="N168" t="n">
        <v>1835</v>
      </c>
      <c r="O168" t="n">
        <v>2670</v>
      </c>
      <c r="P168" t="n">
        <v>3505</v>
      </c>
      <c r="Q168" t="n">
        <v>4340</v>
      </c>
      <c r="R168" t="n">
        <v>5175</v>
      </c>
      <c r="S168" t="n">
        <v>6010</v>
      </c>
      <c r="T168" t="n">
        <v>6845</v>
      </c>
      <c r="U168" t="n">
        <v>7680</v>
      </c>
      <c r="V168" t="n">
        <v>3457</v>
      </c>
      <c r="W168" t="n">
        <v>1668</v>
      </c>
      <c r="X168" t="n">
        <v>1501</v>
      </c>
      <c r="Y168" t="n">
        <v>7470</v>
      </c>
    </row>
    <row r="169">
      <c r="A169" t="n">
        <v>168</v>
      </c>
      <c r="B169" t="n">
        <v>0</v>
      </c>
      <c r="C169" t="n">
        <v>12381</v>
      </c>
      <c r="D169" t="n">
        <v>27931</v>
      </c>
      <c r="E169" t="n">
        <v>141257</v>
      </c>
      <c r="F169" t="n">
        <v>707560</v>
      </c>
      <c r="G169" t="n">
        <v>3487280</v>
      </c>
      <c r="H169" t="n">
        <v>16969421</v>
      </c>
      <c r="I169" t="n">
        <v>81274887</v>
      </c>
      <c r="J169" t="n">
        <v>2000</v>
      </c>
      <c r="K169" t="n">
        <v>14303</v>
      </c>
      <c r="L169" t="n">
        <v>2500</v>
      </c>
      <c r="M169" t="n">
        <v>1068</v>
      </c>
      <c r="N169" t="n">
        <v>1840</v>
      </c>
      <c r="O169" t="n">
        <v>2680</v>
      </c>
      <c r="P169" t="n">
        <v>3520</v>
      </c>
      <c r="Q169" t="n">
        <v>4360</v>
      </c>
      <c r="R169" t="n">
        <v>5200</v>
      </c>
      <c r="S169" t="n">
        <v>6040</v>
      </c>
      <c r="T169" t="n">
        <v>6880</v>
      </c>
      <c r="U169" t="n">
        <v>7720</v>
      </c>
      <c r="V169" t="n">
        <v>3479</v>
      </c>
      <c r="W169" t="n">
        <v>1672</v>
      </c>
      <c r="X169" t="n">
        <v>1504</v>
      </c>
      <c r="Y169" t="n">
        <v>7480</v>
      </c>
    </row>
    <row r="170">
      <c r="A170" t="n">
        <v>169</v>
      </c>
      <c r="B170" t="n">
        <v>0</v>
      </c>
      <c r="C170" t="n">
        <v>12567</v>
      </c>
      <c r="D170" t="n">
        <v>28490</v>
      </c>
      <c r="E170" t="n">
        <v>145495</v>
      </c>
      <c r="F170" t="n">
        <v>735863</v>
      </c>
      <c r="G170" t="n">
        <v>3661644</v>
      </c>
      <c r="H170" t="n">
        <v>17987587</v>
      </c>
      <c r="I170" t="n">
        <v>86964130</v>
      </c>
      <c r="J170" t="n">
        <v>2000</v>
      </c>
      <c r="K170" t="n">
        <v>14447</v>
      </c>
      <c r="L170" t="n">
        <v>2500</v>
      </c>
      <c r="M170" t="n">
        <v>1069</v>
      </c>
      <c r="N170" t="n">
        <v>1845</v>
      </c>
      <c r="O170" t="n">
        <v>2690</v>
      </c>
      <c r="P170" t="n">
        <v>3535</v>
      </c>
      <c r="Q170" t="n">
        <v>4380</v>
      </c>
      <c r="R170" t="n">
        <v>5225</v>
      </c>
      <c r="S170" t="n">
        <v>6070</v>
      </c>
      <c r="T170" t="n">
        <v>6915</v>
      </c>
      <c r="U170" t="n">
        <v>7760</v>
      </c>
      <c r="V170" t="n">
        <v>3501</v>
      </c>
      <c r="W170" t="n">
        <v>1676</v>
      </c>
      <c r="X170" t="n">
        <v>1507</v>
      </c>
      <c r="Y170" t="n">
        <v>7490</v>
      </c>
    </row>
    <row r="171">
      <c r="A171" t="n">
        <v>170</v>
      </c>
      <c r="B171" t="n">
        <v>0</v>
      </c>
      <c r="C171" t="n">
        <v>12756</v>
      </c>
      <c r="D171" t="n">
        <v>29060</v>
      </c>
      <c r="E171" t="n">
        <v>149860</v>
      </c>
      <c r="F171" t="n">
        <v>765298</v>
      </c>
      <c r="G171" t="n">
        <v>3844727</v>
      </c>
      <c r="H171" t="n">
        <v>19066843</v>
      </c>
      <c r="I171" t="n">
        <v>93051620</v>
      </c>
      <c r="J171" t="n">
        <v>2000</v>
      </c>
      <c r="K171" t="n">
        <v>14592</v>
      </c>
      <c r="L171" t="n">
        <v>2500</v>
      </c>
      <c r="M171" t="n">
        <v>1070</v>
      </c>
      <c r="N171" t="n">
        <v>1850</v>
      </c>
      <c r="O171" t="n">
        <v>2700</v>
      </c>
      <c r="P171" t="n">
        <v>3550</v>
      </c>
      <c r="Q171" t="n">
        <v>4400</v>
      </c>
      <c r="R171" t="n">
        <v>5250</v>
      </c>
      <c r="S171" t="n">
        <v>6100</v>
      </c>
      <c r="T171" t="n">
        <v>6950</v>
      </c>
      <c r="U171" t="n">
        <v>7800</v>
      </c>
      <c r="V171" t="n">
        <v>3523</v>
      </c>
      <c r="W171" t="n">
        <v>1680</v>
      </c>
      <c r="X171" t="n">
        <v>1510</v>
      </c>
      <c r="Y171" t="n">
        <v>7500</v>
      </c>
    </row>
    <row r="172">
      <c r="A172" t="n">
        <v>171</v>
      </c>
      <c r="B172" t="n">
        <v>0</v>
      </c>
      <c r="C172" t="n">
        <v>12948</v>
      </c>
      <c r="D172" t="n">
        <v>29642</v>
      </c>
      <c r="E172" t="n">
        <v>154356</v>
      </c>
      <c r="F172" t="n">
        <v>795910</v>
      </c>
      <c r="G172" t="n">
        <v>4036964</v>
      </c>
      <c r="H172" t="n">
        <v>20210854</v>
      </c>
      <c r="I172" t="n">
        <v>99565234</v>
      </c>
      <c r="J172" t="n">
        <v>2000</v>
      </c>
      <c r="K172" t="n">
        <v>14738</v>
      </c>
      <c r="L172" t="n">
        <v>2500</v>
      </c>
      <c r="M172" t="n">
        <v>1071</v>
      </c>
      <c r="N172" t="n">
        <v>1855</v>
      </c>
      <c r="O172" t="n">
        <v>2710</v>
      </c>
      <c r="P172" t="n">
        <v>3565</v>
      </c>
      <c r="Q172" t="n">
        <v>4420</v>
      </c>
      <c r="R172" t="n">
        <v>5275</v>
      </c>
      <c r="S172" t="n">
        <v>6130</v>
      </c>
      <c r="T172" t="n">
        <v>6985</v>
      </c>
      <c r="U172" t="n">
        <v>7840</v>
      </c>
      <c r="V172" t="n">
        <v>3545</v>
      </c>
      <c r="W172" t="n">
        <v>1684</v>
      </c>
      <c r="X172" t="n">
        <v>1513</v>
      </c>
      <c r="Y172" t="n">
        <v>7510</v>
      </c>
    </row>
    <row r="173">
      <c r="A173" t="n">
        <v>172</v>
      </c>
      <c r="B173" t="n">
        <v>0</v>
      </c>
      <c r="C173" t="n">
        <v>13143</v>
      </c>
      <c r="D173" t="n">
        <v>30235</v>
      </c>
      <c r="E173" t="n">
        <v>158987</v>
      </c>
      <c r="F173" t="n">
        <v>827747</v>
      </c>
      <c r="G173" t="n">
        <v>4238813</v>
      </c>
      <c r="H173" t="n">
        <v>21423506</v>
      </c>
      <c r="I173" t="n">
        <v>106534801</v>
      </c>
      <c r="J173" t="n">
        <v>2000</v>
      </c>
      <c r="K173" t="n">
        <v>14886</v>
      </c>
      <c r="L173" t="n">
        <v>2500</v>
      </c>
      <c r="M173" t="n">
        <v>1072</v>
      </c>
      <c r="N173" t="n">
        <v>1860</v>
      </c>
      <c r="O173" t="n">
        <v>2720</v>
      </c>
      <c r="P173" t="n">
        <v>3580</v>
      </c>
      <c r="Q173" t="n">
        <v>4440</v>
      </c>
      <c r="R173" t="n">
        <v>5300</v>
      </c>
      <c r="S173" t="n">
        <v>6160</v>
      </c>
      <c r="T173" t="n">
        <v>7020</v>
      </c>
      <c r="U173" t="n">
        <v>7880</v>
      </c>
      <c r="V173" t="n">
        <v>3567</v>
      </c>
      <c r="W173" t="n">
        <v>1688</v>
      </c>
      <c r="X173" t="n">
        <v>1516</v>
      </c>
      <c r="Y173" t="n">
        <v>7520</v>
      </c>
    </row>
    <row r="174">
      <c r="A174" t="n">
        <v>173</v>
      </c>
      <c r="B174" t="n">
        <v>0</v>
      </c>
      <c r="C174" t="n">
        <v>13341</v>
      </c>
      <c r="D174" t="n">
        <v>30840</v>
      </c>
      <c r="E174" t="n">
        <v>163757</v>
      </c>
      <c r="F174" t="n">
        <v>860857</v>
      </c>
      <c r="G174" t="n">
        <v>4450754</v>
      </c>
      <c r="H174" t="n">
        <v>22708917</v>
      </c>
      <c r="I174" t="n">
        <v>113992238</v>
      </c>
      <c r="J174" t="n">
        <v>2000</v>
      </c>
      <c r="K174" t="n">
        <v>15035</v>
      </c>
      <c r="L174" t="n">
        <v>2500</v>
      </c>
      <c r="M174" t="n">
        <v>1073</v>
      </c>
      <c r="N174" t="n">
        <v>1865</v>
      </c>
      <c r="O174" t="n">
        <v>2730</v>
      </c>
      <c r="P174" t="n">
        <v>3595</v>
      </c>
      <c r="Q174" t="n">
        <v>4460</v>
      </c>
      <c r="R174" t="n">
        <v>5325</v>
      </c>
      <c r="S174" t="n">
        <v>6190</v>
      </c>
      <c r="T174" t="n">
        <v>7055</v>
      </c>
      <c r="U174" t="n">
        <v>7920</v>
      </c>
      <c r="V174" t="n">
        <v>3589</v>
      </c>
      <c r="W174" t="n">
        <v>1692</v>
      </c>
      <c r="X174" t="n">
        <v>1519</v>
      </c>
      <c r="Y174" t="n">
        <v>7530</v>
      </c>
    </row>
    <row r="175">
      <c r="A175" t="n">
        <v>174</v>
      </c>
      <c r="B175" t="n">
        <v>0</v>
      </c>
      <c r="C175" t="n">
        <v>13542</v>
      </c>
      <c r="D175" t="n">
        <v>31457</v>
      </c>
      <c r="E175" t="n">
        <v>168670</v>
      </c>
      <c r="F175" t="n">
        <v>895292</v>
      </c>
      <c r="G175" t="n">
        <v>4673292</v>
      </c>
      <c r="H175" t="n">
        <v>24071453</v>
      </c>
      <c r="I175" t="n">
        <v>121971695</v>
      </c>
      <c r="J175" t="n">
        <v>2000</v>
      </c>
      <c r="K175" t="n">
        <v>15186</v>
      </c>
      <c r="L175" t="n">
        <v>2500</v>
      </c>
      <c r="M175" t="n">
        <v>1074</v>
      </c>
      <c r="N175" t="n">
        <v>1870</v>
      </c>
      <c r="O175" t="n">
        <v>2740</v>
      </c>
      <c r="P175" t="n">
        <v>3610</v>
      </c>
      <c r="Q175" t="n">
        <v>4480</v>
      </c>
      <c r="R175" t="n">
        <v>5350</v>
      </c>
      <c r="S175" t="n">
        <v>6220</v>
      </c>
      <c r="T175" t="n">
        <v>7090</v>
      </c>
      <c r="U175" t="n">
        <v>7960</v>
      </c>
      <c r="V175" t="n">
        <v>3611</v>
      </c>
      <c r="W175" t="n">
        <v>1696</v>
      </c>
      <c r="X175" t="n">
        <v>1522</v>
      </c>
      <c r="Y175" t="n">
        <v>7540</v>
      </c>
    </row>
    <row r="176">
      <c r="A176" t="n">
        <v>175</v>
      </c>
      <c r="B176" t="n">
        <v>0</v>
      </c>
      <c r="C176" t="n">
        <v>13746</v>
      </c>
      <c r="D176" t="n">
        <v>32087</v>
      </c>
      <c r="E176" t="n">
        <v>173731</v>
      </c>
      <c r="F176" t="n">
        <v>931104</v>
      </c>
      <c r="G176" t="n">
        <v>4906957</v>
      </c>
      <c r="H176" t="n">
        <v>25515741</v>
      </c>
      <c r="I176" t="n">
        <v>130509714</v>
      </c>
      <c r="J176" t="n">
        <v>2000</v>
      </c>
      <c r="K176" t="n">
        <v>15338</v>
      </c>
      <c r="L176" t="n">
        <v>2500</v>
      </c>
      <c r="M176" t="n">
        <v>1075</v>
      </c>
      <c r="N176" t="n">
        <v>1875</v>
      </c>
      <c r="O176" t="n">
        <v>2750</v>
      </c>
      <c r="P176" t="n">
        <v>3625</v>
      </c>
      <c r="Q176" t="n">
        <v>4500</v>
      </c>
      <c r="R176" t="n">
        <v>5375</v>
      </c>
      <c r="S176" t="n">
        <v>6250</v>
      </c>
      <c r="T176" t="n">
        <v>7125</v>
      </c>
      <c r="U176" t="n">
        <v>8000</v>
      </c>
      <c r="V176" t="n">
        <v>3634</v>
      </c>
      <c r="W176" t="n">
        <v>1700</v>
      </c>
      <c r="X176" t="n">
        <v>1525</v>
      </c>
      <c r="Y176" t="n">
        <v>7550</v>
      </c>
    </row>
    <row r="177">
      <c r="A177" t="n">
        <v>176</v>
      </c>
      <c r="B177" t="n">
        <v>0</v>
      </c>
      <c r="C177" t="n">
        <v>13953</v>
      </c>
      <c r="D177" t="n">
        <v>32729</v>
      </c>
      <c r="E177" t="n">
        <v>178943</v>
      </c>
      <c r="F177" t="n">
        <v>968349</v>
      </c>
      <c r="G177" t="n">
        <v>5152305</v>
      </c>
      <c r="H177" t="n">
        <v>27046686</v>
      </c>
      <c r="I177" t="n">
        <v>139645394</v>
      </c>
      <c r="J177" t="n">
        <v>2000</v>
      </c>
      <c r="K177" t="n">
        <v>15492</v>
      </c>
      <c r="L177" t="n">
        <v>2500</v>
      </c>
      <c r="M177" t="n">
        <v>1076</v>
      </c>
      <c r="N177" t="n">
        <v>1880</v>
      </c>
      <c r="O177" t="n">
        <v>2760</v>
      </c>
      <c r="P177" t="n">
        <v>3640</v>
      </c>
      <c r="Q177" t="n">
        <v>4520</v>
      </c>
      <c r="R177" t="n">
        <v>5400</v>
      </c>
      <c r="S177" t="n">
        <v>6280</v>
      </c>
      <c r="T177" t="n">
        <v>7160</v>
      </c>
      <c r="U177" t="n">
        <v>8040</v>
      </c>
      <c r="V177" t="n">
        <v>3657</v>
      </c>
      <c r="W177" t="n">
        <v>1704</v>
      </c>
      <c r="X177" t="n">
        <v>1528</v>
      </c>
      <c r="Y177" t="n">
        <v>7560</v>
      </c>
    </row>
    <row r="178">
      <c r="A178" t="n">
        <v>177</v>
      </c>
      <c r="B178" t="n">
        <v>0</v>
      </c>
      <c r="C178" t="n">
        <v>14163</v>
      </c>
      <c r="D178" t="n">
        <v>33384</v>
      </c>
      <c r="E178" t="n">
        <v>184312</v>
      </c>
      <c r="F178" t="n">
        <v>1007083</v>
      </c>
      <c r="G178" t="n">
        <v>5409921</v>
      </c>
      <c r="H178" t="n">
        <v>28669488</v>
      </c>
      <c r="I178" t="n">
        <v>149420572</v>
      </c>
      <c r="J178" t="n">
        <v>2000</v>
      </c>
      <c r="K178" t="n">
        <v>15647</v>
      </c>
      <c r="L178" t="n">
        <v>2500</v>
      </c>
      <c r="M178" t="n">
        <v>1077</v>
      </c>
      <c r="N178" t="n">
        <v>1885</v>
      </c>
      <c r="O178" t="n">
        <v>2770</v>
      </c>
      <c r="P178" t="n">
        <v>3655</v>
      </c>
      <c r="Q178" t="n">
        <v>4540</v>
      </c>
      <c r="R178" t="n">
        <v>5425</v>
      </c>
      <c r="S178" t="n">
        <v>6310</v>
      </c>
      <c r="T178" t="n">
        <v>7195</v>
      </c>
      <c r="U178" t="n">
        <v>8080</v>
      </c>
      <c r="V178" t="n">
        <v>3680</v>
      </c>
      <c r="W178" t="n">
        <v>1708</v>
      </c>
      <c r="X178" t="n">
        <v>1531</v>
      </c>
      <c r="Y178" t="n">
        <v>7570</v>
      </c>
    </row>
    <row r="179">
      <c r="A179" t="n">
        <v>178</v>
      </c>
      <c r="B179" t="n">
        <v>0</v>
      </c>
      <c r="C179" t="n">
        <v>14376</v>
      </c>
      <c r="D179" t="n">
        <v>34052</v>
      </c>
      <c r="E179" t="n">
        <v>189842</v>
      </c>
      <c r="F179" t="n">
        <v>1047367</v>
      </c>
      <c r="G179" t="n">
        <v>5680418</v>
      </c>
      <c r="H179" t="n">
        <v>30389658</v>
      </c>
      <c r="I179" t="n">
        <v>159880013</v>
      </c>
      <c r="J179" t="n">
        <v>2000</v>
      </c>
      <c r="K179" t="n">
        <v>15804</v>
      </c>
      <c r="L179" t="n">
        <v>2500</v>
      </c>
      <c r="M179" t="n">
        <v>1078</v>
      </c>
      <c r="N179" t="n">
        <v>1890</v>
      </c>
      <c r="O179" t="n">
        <v>2780</v>
      </c>
      <c r="P179" t="n">
        <v>3670</v>
      </c>
      <c r="Q179" t="n">
        <v>4560</v>
      </c>
      <c r="R179" t="n">
        <v>5450</v>
      </c>
      <c r="S179" t="n">
        <v>6340</v>
      </c>
      <c r="T179" t="n">
        <v>7230</v>
      </c>
      <c r="U179" t="n">
        <v>8120</v>
      </c>
      <c r="V179" t="n">
        <v>3703</v>
      </c>
      <c r="W179" t="n">
        <v>1712</v>
      </c>
      <c r="X179" t="n">
        <v>1534</v>
      </c>
      <c r="Y179" t="n">
        <v>7580</v>
      </c>
    </row>
    <row r="180">
      <c r="A180" t="n">
        <v>179</v>
      </c>
      <c r="B180" t="n">
        <v>0</v>
      </c>
      <c r="C180" t="n">
        <v>14592</v>
      </c>
      <c r="D180" t="n">
        <v>34734</v>
      </c>
      <c r="E180" t="n">
        <v>195538</v>
      </c>
      <c r="F180" t="n">
        <v>1089262</v>
      </c>
      <c r="G180" t="n">
        <v>5964439</v>
      </c>
      <c r="H180" t="n">
        <v>32213038</v>
      </c>
      <c r="I180" t="n">
        <v>171071614</v>
      </c>
      <c r="J180" t="n">
        <v>2000</v>
      </c>
      <c r="K180" t="n">
        <v>15963</v>
      </c>
      <c r="L180" t="n">
        <v>2500</v>
      </c>
      <c r="M180" t="n">
        <v>1079</v>
      </c>
      <c r="N180" t="n">
        <v>1895</v>
      </c>
      <c r="O180" t="n">
        <v>2790</v>
      </c>
      <c r="P180" t="n">
        <v>3685</v>
      </c>
      <c r="Q180" t="n">
        <v>4580</v>
      </c>
      <c r="R180" t="n">
        <v>5475</v>
      </c>
      <c r="S180" t="n">
        <v>6370</v>
      </c>
      <c r="T180" t="n">
        <v>7265</v>
      </c>
      <c r="U180" t="n">
        <v>8160</v>
      </c>
      <c r="V180" t="n">
        <v>3726</v>
      </c>
      <c r="W180" t="n">
        <v>1716</v>
      </c>
      <c r="X180" t="n">
        <v>1537</v>
      </c>
      <c r="Y180" t="n">
        <v>7590</v>
      </c>
    </row>
    <row r="181">
      <c r="A181" t="n">
        <v>180</v>
      </c>
      <c r="B181" t="n">
        <v>0</v>
      </c>
      <c r="C181" t="n">
        <v>14811</v>
      </c>
      <c r="D181" t="n">
        <v>35429</v>
      </c>
      <c r="E181" t="n">
        <v>201405</v>
      </c>
      <c r="F181" t="n">
        <v>1132833</v>
      </c>
      <c r="G181" t="n">
        <v>6262661</v>
      </c>
      <c r="H181" t="n">
        <v>34145821</v>
      </c>
      <c r="I181" t="n">
        <v>183046627</v>
      </c>
      <c r="J181" t="n">
        <v>2000</v>
      </c>
      <c r="K181" t="n">
        <v>16123</v>
      </c>
      <c r="L181" t="n">
        <v>2500</v>
      </c>
      <c r="M181" t="n">
        <v>1080</v>
      </c>
      <c r="N181" t="n">
        <v>1900</v>
      </c>
      <c r="O181" t="n">
        <v>2800</v>
      </c>
      <c r="P181" t="n">
        <v>3700</v>
      </c>
      <c r="Q181" t="n">
        <v>4600</v>
      </c>
      <c r="R181" t="n">
        <v>5500</v>
      </c>
      <c r="S181" t="n">
        <v>6400</v>
      </c>
      <c r="T181" t="n">
        <v>7300</v>
      </c>
      <c r="U181" t="n">
        <v>8200</v>
      </c>
      <c r="V181" t="n">
        <v>3749</v>
      </c>
      <c r="W181" t="n">
        <v>1720</v>
      </c>
      <c r="X181" t="n">
        <v>1540</v>
      </c>
      <c r="Y181" t="n">
        <v>7600</v>
      </c>
    </row>
    <row r="182">
      <c r="A182" t="n">
        <v>181</v>
      </c>
      <c r="B182" t="n">
        <v>0</v>
      </c>
      <c r="C182" t="n">
        <v>15034</v>
      </c>
      <c r="D182" t="n">
        <v>36138</v>
      </c>
      <c r="E182" t="n">
        <v>207448</v>
      </c>
      <c r="F182" t="n">
        <v>1178147</v>
      </c>
      <c r="G182" t="n">
        <v>6575795</v>
      </c>
      <c r="H182" t="n">
        <v>36194571</v>
      </c>
      <c r="I182" t="n">
        <v>195859891</v>
      </c>
      <c r="J182" t="n">
        <v>2000</v>
      </c>
      <c r="K182" t="n">
        <v>16285</v>
      </c>
      <c r="L182" t="n">
        <v>2500</v>
      </c>
      <c r="M182" t="n">
        <v>1081</v>
      </c>
      <c r="N182" t="n">
        <v>1905</v>
      </c>
      <c r="O182" t="n">
        <v>2810</v>
      </c>
      <c r="P182" t="n">
        <v>3715</v>
      </c>
      <c r="Q182" t="n">
        <v>4620</v>
      </c>
      <c r="R182" t="n">
        <v>5525</v>
      </c>
      <c r="S182" t="n">
        <v>6430</v>
      </c>
      <c r="T182" t="n">
        <v>7335</v>
      </c>
      <c r="U182" t="n">
        <v>8240</v>
      </c>
      <c r="V182" t="n">
        <v>3772</v>
      </c>
      <c r="W182" t="n">
        <v>1724</v>
      </c>
      <c r="X182" t="n">
        <v>1543</v>
      </c>
      <c r="Y182" t="n">
        <v>7610</v>
      </c>
    </row>
    <row r="183">
      <c r="A183" t="n">
        <v>182</v>
      </c>
      <c r="B183" t="n">
        <v>0</v>
      </c>
      <c r="C183" t="n">
        <v>15260</v>
      </c>
      <c r="D183" t="n">
        <v>36861</v>
      </c>
      <c r="E183" t="n">
        <v>213672</v>
      </c>
      <c r="F183" t="n">
        <v>1225273</v>
      </c>
      <c r="G183" t="n">
        <v>6904585</v>
      </c>
      <c r="H183" t="n">
        <v>38366246</v>
      </c>
      <c r="I183" t="n">
        <v>209570084</v>
      </c>
      <c r="J183" t="n">
        <v>2000</v>
      </c>
      <c r="K183" t="n">
        <v>16448</v>
      </c>
      <c r="L183" t="n">
        <v>2500</v>
      </c>
      <c r="M183" t="n">
        <v>1082</v>
      </c>
      <c r="N183" t="n">
        <v>1910</v>
      </c>
      <c r="O183" t="n">
        <v>2820</v>
      </c>
      <c r="P183" t="n">
        <v>3730</v>
      </c>
      <c r="Q183" t="n">
        <v>4640</v>
      </c>
      <c r="R183" t="n">
        <v>5550</v>
      </c>
      <c r="S183" t="n">
        <v>6460</v>
      </c>
      <c r="T183" t="n">
        <v>7370</v>
      </c>
      <c r="U183" t="n">
        <v>8280</v>
      </c>
      <c r="V183" t="n">
        <v>3795</v>
      </c>
      <c r="W183" t="n">
        <v>1728</v>
      </c>
      <c r="X183" t="n">
        <v>1546</v>
      </c>
      <c r="Y183" t="n">
        <v>7620</v>
      </c>
    </row>
    <row r="184">
      <c r="A184" t="n">
        <v>183</v>
      </c>
      <c r="B184" t="n">
        <v>0</v>
      </c>
      <c r="C184" t="n">
        <v>15489</v>
      </c>
      <c r="D184" t="n">
        <v>37599</v>
      </c>
      <c r="E184" t="n">
        <v>220083</v>
      </c>
      <c r="F184" t="n">
        <v>1274284</v>
      </c>
      <c r="G184" t="n">
        <v>7249815</v>
      </c>
      <c r="H184" t="n">
        <v>40668221</v>
      </c>
      <c r="I184" t="n">
        <v>224239990</v>
      </c>
      <c r="J184" t="n">
        <v>2000</v>
      </c>
      <c r="K184" t="n">
        <v>16613</v>
      </c>
      <c r="L184" t="n">
        <v>2500</v>
      </c>
      <c r="M184" t="n">
        <v>1083</v>
      </c>
      <c r="N184" t="n">
        <v>1915</v>
      </c>
      <c r="O184" t="n">
        <v>2830</v>
      </c>
      <c r="P184" t="n">
        <v>3745</v>
      </c>
      <c r="Q184" t="n">
        <v>4660</v>
      </c>
      <c r="R184" t="n">
        <v>5575</v>
      </c>
      <c r="S184" t="n">
        <v>6490</v>
      </c>
      <c r="T184" t="n">
        <v>7405</v>
      </c>
      <c r="U184" t="n">
        <v>8320</v>
      </c>
      <c r="V184" t="n">
        <v>3818</v>
      </c>
      <c r="W184" t="n">
        <v>1732</v>
      </c>
      <c r="X184" t="n">
        <v>1549</v>
      </c>
      <c r="Y184" t="n">
        <v>7630</v>
      </c>
    </row>
    <row r="185">
      <c r="A185" t="n">
        <v>184</v>
      </c>
      <c r="B185" t="n">
        <v>0</v>
      </c>
      <c r="C185" t="n">
        <v>15722</v>
      </c>
      <c r="D185" t="n">
        <v>38351</v>
      </c>
      <c r="E185" t="n">
        <v>226686</v>
      </c>
      <c r="F185" t="n">
        <v>1325256</v>
      </c>
      <c r="G185" t="n">
        <v>7612306</v>
      </c>
      <c r="H185" t="n">
        <v>43108315</v>
      </c>
      <c r="I185" t="n">
        <v>239936790</v>
      </c>
      <c r="J185" t="n">
        <v>2000</v>
      </c>
      <c r="K185" t="n">
        <v>16780</v>
      </c>
      <c r="L185" t="n">
        <v>2500</v>
      </c>
      <c r="M185" t="n">
        <v>1084</v>
      </c>
      <c r="N185" t="n">
        <v>1920</v>
      </c>
      <c r="O185" t="n">
        <v>2840</v>
      </c>
      <c r="P185" t="n">
        <v>3760</v>
      </c>
      <c r="Q185" t="n">
        <v>4680</v>
      </c>
      <c r="R185" t="n">
        <v>5600</v>
      </c>
      <c r="S185" t="n">
        <v>6520</v>
      </c>
      <c r="T185" t="n">
        <v>7440</v>
      </c>
      <c r="U185" t="n">
        <v>8360</v>
      </c>
      <c r="V185" t="n">
        <v>3842</v>
      </c>
      <c r="W185" t="n">
        <v>1736</v>
      </c>
      <c r="X185" t="n">
        <v>1552</v>
      </c>
      <c r="Y185" t="n">
        <v>7640</v>
      </c>
    </row>
    <row r="186">
      <c r="A186" t="n">
        <v>185</v>
      </c>
      <c r="B186" t="n">
        <v>0</v>
      </c>
      <c r="C186" t="n">
        <v>15958</v>
      </c>
      <c r="D186" t="n">
        <v>39119</v>
      </c>
      <c r="E186" t="n">
        <v>233487</v>
      </c>
      <c r="F186" t="n">
        <v>1378267</v>
      </c>
      <c r="G186" t="n">
        <v>7992922</v>
      </c>
      <c r="H186" t="n">
        <v>45694814</v>
      </c>
      <c r="I186" t="n">
        <v>256732366</v>
      </c>
      <c r="J186" t="n">
        <v>2000</v>
      </c>
      <c r="K186" t="n">
        <v>16948</v>
      </c>
      <c r="L186" t="n">
        <v>2500</v>
      </c>
      <c r="M186" t="n">
        <v>1085</v>
      </c>
      <c r="N186" t="n">
        <v>1925</v>
      </c>
      <c r="O186" t="n">
        <v>2850</v>
      </c>
      <c r="P186" t="n">
        <v>3775</v>
      </c>
      <c r="Q186" t="n">
        <v>4700</v>
      </c>
      <c r="R186" t="n">
        <v>5625</v>
      </c>
      <c r="S186" t="n">
        <v>6550</v>
      </c>
      <c r="T186" t="n">
        <v>7475</v>
      </c>
      <c r="U186" t="n">
        <v>8400</v>
      </c>
      <c r="V186" t="n">
        <v>3866</v>
      </c>
      <c r="W186" t="n">
        <v>1740</v>
      </c>
      <c r="X186" t="n">
        <v>1555</v>
      </c>
      <c r="Y186" t="n">
        <v>7650</v>
      </c>
    </row>
    <row r="187">
      <c r="A187" t="n">
        <v>186</v>
      </c>
      <c r="B187" t="n">
        <v>0</v>
      </c>
      <c r="C187" t="n">
        <v>16198</v>
      </c>
      <c r="D187" t="n">
        <v>39902</v>
      </c>
      <c r="E187" t="n">
        <v>240492</v>
      </c>
      <c r="F187" t="n">
        <v>1433398</v>
      </c>
      <c r="G187" t="n">
        <v>8392569</v>
      </c>
      <c r="H187" t="n">
        <v>48436503</v>
      </c>
      <c r="I187" t="n">
        <v>274703632</v>
      </c>
      <c r="J187" t="n">
        <v>2000</v>
      </c>
      <c r="K187" t="n">
        <v>17118</v>
      </c>
      <c r="L187" t="n">
        <v>2500</v>
      </c>
      <c r="M187" t="n">
        <v>1086</v>
      </c>
      <c r="N187" t="n">
        <v>1930</v>
      </c>
      <c r="O187" t="n">
        <v>2860</v>
      </c>
      <c r="P187" t="n">
        <v>3790</v>
      </c>
      <c r="Q187" t="n">
        <v>4720</v>
      </c>
      <c r="R187" t="n">
        <v>5650</v>
      </c>
      <c r="S187" t="n">
        <v>6580</v>
      </c>
      <c r="T187" t="n">
        <v>7510</v>
      </c>
      <c r="U187" t="n">
        <v>8440</v>
      </c>
      <c r="V187" t="n">
        <v>3890</v>
      </c>
      <c r="W187" t="n">
        <v>1744</v>
      </c>
      <c r="X187" t="n">
        <v>1558</v>
      </c>
      <c r="Y187" t="n">
        <v>7660</v>
      </c>
    </row>
    <row r="188">
      <c r="A188" t="n">
        <v>187</v>
      </c>
      <c r="B188" t="n">
        <v>0</v>
      </c>
      <c r="C188" t="n">
        <v>16441</v>
      </c>
      <c r="D188" t="n">
        <v>40701</v>
      </c>
      <c r="E188" t="n">
        <v>247707</v>
      </c>
      <c r="F188" t="n">
        <v>1490734</v>
      </c>
      <c r="G188" t="n">
        <v>8812198</v>
      </c>
      <c r="H188" t="n">
        <v>51342694</v>
      </c>
      <c r="I188" t="n">
        <v>293932887</v>
      </c>
      <c r="J188" t="n">
        <v>2000</v>
      </c>
      <c r="K188" t="n">
        <v>17290</v>
      </c>
      <c r="L188" t="n">
        <v>2500</v>
      </c>
      <c r="M188" t="n">
        <v>1087</v>
      </c>
      <c r="N188" t="n">
        <v>1935</v>
      </c>
      <c r="O188" t="n">
        <v>2870</v>
      </c>
      <c r="P188" t="n">
        <v>3805</v>
      </c>
      <c r="Q188" t="n">
        <v>4740</v>
      </c>
      <c r="R188" t="n">
        <v>5675</v>
      </c>
      <c r="S188" t="n">
        <v>6610</v>
      </c>
      <c r="T188" t="n">
        <v>7545</v>
      </c>
      <c r="U188" t="n">
        <v>8480</v>
      </c>
      <c r="V188" t="n">
        <v>3914</v>
      </c>
      <c r="W188" t="n">
        <v>1748</v>
      </c>
      <c r="X188" t="n">
        <v>1561</v>
      </c>
      <c r="Y188" t="n">
        <v>7670</v>
      </c>
    </row>
    <row r="189">
      <c r="A189" t="n">
        <v>188</v>
      </c>
      <c r="B189" t="n">
        <v>0</v>
      </c>
      <c r="C189" t="n">
        <v>16688</v>
      </c>
      <c r="D189" t="n">
        <v>41516</v>
      </c>
      <c r="E189" t="n">
        <v>255139</v>
      </c>
      <c r="F189" t="n">
        <v>1550364</v>
      </c>
      <c r="G189" t="n">
        <v>9252808</v>
      </c>
      <c r="H189" t="n">
        <v>54423256</v>
      </c>
      <c r="I189" t="n">
        <v>314508190</v>
      </c>
      <c r="J189" t="n">
        <v>2000</v>
      </c>
      <c r="K189" t="n">
        <v>17463</v>
      </c>
      <c r="L189" t="n">
        <v>2500</v>
      </c>
      <c r="M189" t="n">
        <v>1088</v>
      </c>
      <c r="N189" t="n">
        <v>1940</v>
      </c>
      <c r="O189" t="n">
        <v>2880</v>
      </c>
      <c r="P189" t="n">
        <v>3820</v>
      </c>
      <c r="Q189" t="n">
        <v>4760</v>
      </c>
      <c r="R189" t="n">
        <v>5700</v>
      </c>
      <c r="S189" t="n">
        <v>6640</v>
      </c>
      <c r="T189" t="n">
        <v>7580</v>
      </c>
      <c r="U189" t="n">
        <v>8520</v>
      </c>
      <c r="V189" t="n">
        <v>3938</v>
      </c>
      <c r="W189" t="n">
        <v>1752</v>
      </c>
      <c r="X189" t="n">
        <v>1564</v>
      </c>
      <c r="Y189" t="n">
        <v>7680</v>
      </c>
    </row>
    <row r="190">
      <c r="A190" t="n">
        <v>189</v>
      </c>
      <c r="B190" t="n">
        <v>0</v>
      </c>
      <c r="C190" t="n">
        <v>16939</v>
      </c>
      <c r="D190" t="n">
        <v>42347</v>
      </c>
      <c r="E190" t="n">
        <v>262794</v>
      </c>
      <c r="F190" t="n">
        <v>1612379</v>
      </c>
      <c r="G190" t="n">
        <v>9715449</v>
      </c>
      <c r="H190" t="n">
        <v>57688652</v>
      </c>
      <c r="I190" t="n">
        <v>336523764</v>
      </c>
      <c r="J190" t="n">
        <v>2000</v>
      </c>
      <c r="K190" t="n">
        <v>17638</v>
      </c>
      <c r="L190" t="n">
        <v>2500</v>
      </c>
      <c r="M190" t="n">
        <v>1089</v>
      </c>
      <c r="N190" t="n">
        <v>1945</v>
      </c>
      <c r="O190" t="n">
        <v>2890</v>
      </c>
      <c r="P190" t="n">
        <v>3835</v>
      </c>
      <c r="Q190" t="n">
        <v>4780</v>
      </c>
      <c r="R190" t="n">
        <v>5725</v>
      </c>
      <c r="S190" t="n">
        <v>6670</v>
      </c>
      <c r="T190" t="n">
        <v>7615</v>
      </c>
      <c r="U190" t="n">
        <v>8560</v>
      </c>
      <c r="V190" t="n">
        <v>3962</v>
      </c>
      <c r="W190" t="n">
        <v>1756</v>
      </c>
      <c r="X190" t="n">
        <v>1567</v>
      </c>
      <c r="Y190" t="n">
        <v>7690</v>
      </c>
    </row>
    <row r="191">
      <c r="A191" t="n">
        <v>190</v>
      </c>
      <c r="B191" t="n">
        <v>0</v>
      </c>
      <c r="C191" t="n">
        <v>17194</v>
      </c>
      <c r="D191" t="n">
        <v>43194</v>
      </c>
      <c r="E191" t="n">
        <v>270678</v>
      </c>
      <c r="F191" t="n">
        <v>1676875</v>
      </c>
      <c r="G191" t="n">
        <v>10201222</v>
      </c>
      <c r="H191" t="n">
        <v>61149972</v>
      </c>
      <c r="I191" t="n">
        <v>360080428</v>
      </c>
      <c r="J191" t="n">
        <v>2000</v>
      </c>
      <c r="K191" t="n">
        <v>17815</v>
      </c>
      <c r="L191" t="n">
        <v>2500</v>
      </c>
      <c r="M191" t="n">
        <v>1090</v>
      </c>
      <c r="N191" t="n">
        <v>1950</v>
      </c>
      <c r="O191" t="n">
        <v>2900</v>
      </c>
      <c r="P191" t="n">
        <v>3850</v>
      </c>
      <c r="Q191" t="n">
        <v>4800</v>
      </c>
      <c r="R191" t="n">
        <v>5750</v>
      </c>
      <c r="S191" t="n">
        <v>6700</v>
      </c>
      <c r="T191" t="n">
        <v>7650</v>
      </c>
      <c r="U191" t="n">
        <v>8600</v>
      </c>
      <c r="V191" t="n">
        <v>3986</v>
      </c>
      <c r="W191" t="n">
        <v>1760</v>
      </c>
      <c r="X191" t="n">
        <v>1570</v>
      </c>
      <c r="Y191" t="n">
        <v>7700</v>
      </c>
    </row>
    <row r="192">
      <c r="A192" t="n">
        <v>191</v>
      </c>
      <c r="B192" t="n">
        <v>0</v>
      </c>
      <c r="C192" t="n">
        <v>17452</v>
      </c>
      <c r="D192" t="n">
        <v>44058</v>
      </c>
      <c r="E192" t="n">
        <v>278799</v>
      </c>
      <c r="F192" t="n">
        <v>1743950</v>
      </c>
      <c r="G192" t="n">
        <v>10711284</v>
      </c>
      <c r="H192" t="n">
        <v>64818971</v>
      </c>
      <c r="I192" t="n">
        <v>385286058</v>
      </c>
      <c r="J192" t="n">
        <v>2000</v>
      </c>
      <c r="K192" t="n">
        <v>17994</v>
      </c>
      <c r="L192" t="n">
        <v>2500</v>
      </c>
      <c r="M192" t="n">
        <v>1091</v>
      </c>
      <c r="N192" t="n">
        <v>1955</v>
      </c>
      <c r="O192" t="n">
        <v>2910</v>
      </c>
      <c r="P192" t="n">
        <v>3865</v>
      </c>
      <c r="Q192" t="n">
        <v>4820</v>
      </c>
      <c r="R192" t="n">
        <v>5775</v>
      </c>
      <c r="S192" t="n">
        <v>6730</v>
      </c>
      <c r="T192" t="n">
        <v>7685</v>
      </c>
      <c r="U192" t="n">
        <v>8640</v>
      </c>
      <c r="V192" t="n">
        <v>4010</v>
      </c>
      <c r="W192" t="n">
        <v>1764</v>
      </c>
      <c r="X192" t="n">
        <v>1573</v>
      </c>
      <c r="Y192" t="n">
        <v>7710</v>
      </c>
    </row>
    <row r="193">
      <c r="A193" t="n">
        <v>192</v>
      </c>
      <c r="B193" t="n">
        <v>0</v>
      </c>
      <c r="C193" t="n">
        <v>17714</v>
      </c>
      <c r="D193" t="n">
        <v>44940</v>
      </c>
      <c r="E193" t="n">
        <v>287163</v>
      </c>
      <c r="F193" t="n">
        <v>1813708</v>
      </c>
      <c r="G193" t="n">
        <v>11246849</v>
      </c>
      <c r="H193" t="n">
        <v>68708110</v>
      </c>
      <c r="I193" t="n">
        <v>412256083</v>
      </c>
      <c r="J193" t="n">
        <v>2000</v>
      </c>
      <c r="K193" t="n">
        <v>18174</v>
      </c>
      <c r="L193" t="n">
        <v>2500</v>
      </c>
      <c r="M193" t="n">
        <v>1092</v>
      </c>
      <c r="N193" t="n">
        <v>1960</v>
      </c>
      <c r="O193" t="n">
        <v>2920</v>
      </c>
      <c r="P193" t="n">
        <v>3880</v>
      </c>
      <c r="Q193" t="n">
        <v>4840</v>
      </c>
      <c r="R193" t="n">
        <v>5800</v>
      </c>
      <c r="S193" t="n">
        <v>6760</v>
      </c>
      <c r="T193" t="n">
        <v>7720</v>
      </c>
      <c r="U193" t="n">
        <v>8680</v>
      </c>
      <c r="V193" t="n">
        <v>4035</v>
      </c>
      <c r="W193" t="n">
        <v>1768</v>
      </c>
      <c r="X193" t="n">
        <v>1576</v>
      </c>
      <c r="Y193" t="n">
        <v>7720</v>
      </c>
    </row>
    <row r="194">
      <c r="A194" t="n">
        <v>193</v>
      </c>
      <c r="B194" t="n">
        <v>0</v>
      </c>
      <c r="C194" t="n">
        <v>17980</v>
      </c>
      <c r="D194" t="n">
        <v>45839</v>
      </c>
      <c r="E194" t="n">
        <v>295778</v>
      </c>
      <c r="F194" t="n">
        <v>1886257</v>
      </c>
      <c r="G194" t="n">
        <v>11809192</v>
      </c>
      <c r="H194" t="n">
        <v>72830597</v>
      </c>
      <c r="I194" t="n">
        <v>441114009</v>
      </c>
      <c r="J194" t="n">
        <v>2000</v>
      </c>
      <c r="K194" t="n">
        <v>18356</v>
      </c>
      <c r="L194" t="n">
        <v>2500</v>
      </c>
      <c r="M194" t="n">
        <v>1093</v>
      </c>
      <c r="N194" t="n">
        <v>1965</v>
      </c>
      <c r="O194" t="n">
        <v>2930</v>
      </c>
      <c r="P194" t="n">
        <v>3895</v>
      </c>
      <c r="Q194" t="n">
        <v>4860</v>
      </c>
      <c r="R194" t="n">
        <v>5825</v>
      </c>
      <c r="S194" t="n">
        <v>6790</v>
      </c>
      <c r="T194" t="n">
        <v>7755</v>
      </c>
      <c r="U194" t="n">
        <v>8720</v>
      </c>
      <c r="V194" t="n">
        <v>4060</v>
      </c>
      <c r="W194" t="n">
        <v>1772</v>
      </c>
      <c r="X194" t="n">
        <v>1579</v>
      </c>
      <c r="Y194" t="n">
        <v>7730</v>
      </c>
    </row>
    <row r="195">
      <c r="A195" t="n">
        <v>194</v>
      </c>
      <c r="B195" t="n">
        <v>0</v>
      </c>
      <c r="C195" t="n">
        <v>18250</v>
      </c>
      <c r="D195" t="n">
        <v>46756</v>
      </c>
      <c r="E195" t="n">
        <v>304652</v>
      </c>
      <c r="F195" t="n">
        <v>1961708</v>
      </c>
      <c r="G195" t="n">
        <v>12399652</v>
      </c>
      <c r="H195" t="n">
        <v>77200433</v>
      </c>
      <c r="I195" t="n">
        <v>471991990</v>
      </c>
      <c r="J195" t="n">
        <v>2000</v>
      </c>
      <c r="K195" t="n">
        <v>18540</v>
      </c>
      <c r="L195" t="n">
        <v>2500</v>
      </c>
      <c r="M195" t="n">
        <v>1094</v>
      </c>
      <c r="N195" t="n">
        <v>1970</v>
      </c>
      <c r="O195" t="n">
        <v>2940</v>
      </c>
      <c r="P195" t="n">
        <v>3910</v>
      </c>
      <c r="Q195" t="n">
        <v>4880</v>
      </c>
      <c r="R195" t="n">
        <v>5850</v>
      </c>
      <c r="S195" t="n">
        <v>6820</v>
      </c>
      <c r="T195" t="n">
        <v>7790</v>
      </c>
      <c r="U195" t="n">
        <v>8760</v>
      </c>
      <c r="V195" t="n">
        <v>4085</v>
      </c>
      <c r="W195" t="n">
        <v>1776</v>
      </c>
      <c r="X195" t="n">
        <v>1582</v>
      </c>
      <c r="Y195" t="n">
        <v>7740</v>
      </c>
    </row>
    <row r="196">
      <c r="A196" t="n">
        <v>195</v>
      </c>
      <c r="B196" t="n">
        <v>0</v>
      </c>
      <c r="C196" t="n">
        <v>18524</v>
      </c>
      <c r="D196" t="n">
        <v>47692</v>
      </c>
      <c r="E196" t="n">
        <v>313792</v>
      </c>
      <c r="F196" t="n">
        <v>2040177</v>
      </c>
      <c r="G196" t="n">
        <v>13019635</v>
      </c>
      <c r="H196" t="n">
        <v>81832459</v>
      </c>
      <c r="I196" t="n">
        <v>505031430</v>
      </c>
      <c r="J196" t="n">
        <v>2000</v>
      </c>
      <c r="K196" t="n">
        <v>18726</v>
      </c>
      <c r="L196" t="n">
        <v>2500</v>
      </c>
      <c r="M196" t="n">
        <v>1095</v>
      </c>
      <c r="N196" t="n">
        <v>1975</v>
      </c>
      <c r="O196" t="n">
        <v>2950</v>
      </c>
      <c r="P196" t="n">
        <v>3925</v>
      </c>
      <c r="Q196" t="n">
        <v>4900</v>
      </c>
      <c r="R196" t="n">
        <v>5875</v>
      </c>
      <c r="S196" t="n">
        <v>6850</v>
      </c>
      <c r="T196" t="n">
        <v>7825</v>
      </c>
      <c r="U196" t="n">
        <v>8800</v>
      </c>
      <c r="V196" t="n">
        <v>4110</v>
      </c>
      <c r="W196" t="n">
        <v>1780</v>
      </c>
      <c r="X196" t="n">
        <v>1585</v>
      </c>
      <c r="Y196" t="n">
        <v>7750</v>
      </c>
    </row>
    <row r="197">
      <c r="A197" t="n">
        <v>196</v>
      </c>
      <c r="B197" t="n">
        <v>0</v>
      </c>
      <c r="C197" t="n">
        <v>18802</v>
      </c>
      <c r="D197" t="n">
        <v>48646</v>
      </c>
      <c r="E197" t="n">
        <v>323206</v>
      </c>
      <c r="F197" t="n">
        <v>2121785</v>
      </c>
      <c r="G197" t="n">
        <v>13670617</v>
      </c>
      <c r="H197" t="n">
        <v>86742407</v>
      </c>
      <c r="I197" t="n">
        <v>540383631</v>
      </c>
      <c r="J197" t="n">
        <v>2000</v>
      </c>
      <c r="K197" t="n">
        <v>18914</v>
      </c>
      <c r="L197" t="n">
        <v>2500</v>
      </c>
      <c r="M197" t="n">
        <v>1096</v>
      </c>
      <c r="N197" t="n">
        <v>1980</v>
      </c>
      <c r="O197" t="n">
        <v>2960</v>
      </c>
      <c r="P197" t="n">
        <v>3940</v>
      </c>
      <c r="Q197" t="n">
        <v>4920</v>
      </c>
      <c r="R197" t="n">
        <v>5900</v>
      </c>
      <c r="S197" t="n">
        <v>6880</v>
      </c>
      <c r="T197" t="n">
        <v>7860</v>
      </c>
      <c r="U197" t="n">
        <v>8840</v>
      </c>
      <c r="V197" t="n">
        <v>4135</v>
      </c>
      <c r="W197" t="n">
        <v>1784</v>
      </c>
      <c r="X197" t="n">
        <v>1588</v>
      </c>
      <c r="Y197" t="n">
        <v>7760</v>
      </c>
    </row>
    <row r="198">
      <c r="A198" t="n">
        <v>197</v>
      </c>
      <c r="B198" t="n">
        <v>0</v>
      </c>
      <c r="C198" t="n">
        <v>19085</v>
      </c>
      <c r="D198" t="n">
        <v>49619</v>
      </c>
      <c r="E198" t="n">
        <v>332903</v>
      </c>
      <c r="F198" t="n">
        <v>2206657</v>
      </c>
      <c r="G198" t="n">
        <v>14354148</v>
      </c>
      <c r="H198" t="n">
        <v>91946952</v>
      </c>
      <c r="I198" t="n">
        <v>578210486</v>
      </c>
      <c r="J198" t="n">
        <v>2000</v>
      </c>
      <c r="K198" t="n">
        <v>19104</v>
      </c>
      <c r="L198" t="n">
        <v>2500</v>
      </c>
      <c r="M198" t="n">
        <v>1097</v>
      </c>
      <c r="N198" t="n">
        <v>1985</v>
      </c>
      <c r="O198" t="n">
        <v>2970</v>
      </c>
      <c r="P198" t="n">
        <v>3955</v>
      </c>
      <c r="Q198" t="n">
        <v>4940</v>
      </c>
      <c r="R198" t="n">
        <v>5925</v>
      </c>
      <c r="S198" t="n">
        <v>6910</v>
      </c>
      <c r="T198" t="n">
        <v>7895</v>
      </c>
      <c r="U198" t="n">
        <v>8880</v>
      </c>
      <c r="V198" t="n">
        <v>4160</v>
      </c>
      <c r="W198" t="n">
        <v>1788</v>
      </c>
      <c r="X198" t="n">
        <v>1591</v>
      </c>
      <c r="Y198" t="n">
        <v>7770</v>
      </c>
    </row>
    <row r="199">
      <c r="A199" t="n">
        <v>198</v>
      </c>
      <c r="B199" t="n">
        <v>0</v>
      </c>
      <c r="C199" t="n">
        <v>19372</v>
      </c>
      <c r="D199" t="n">
        <v>50612</v>
      </c>
      <c r="E199" t="n">
        <v>342891</v>
      </c>
      <c r="F199" t="n">
        <v>2294924</v>
      </c>
      <c r="G199" t="n">
        <v>15071856</v>
      </c>
      <c r="H199" t="n">
        <v>97463770</v>
      </c>
      <c r="I199" t="n">
        <v>618685221</v>
      </c>
      <c r="J199" t="n">
        <v>2000</v>
      </c>
      <c r="K199" t="n">
        <v>19296</v>
      </c>
      <c r="L199" t="n">
        <v>2500</v>
      </c>
      <c r="M199" t="n">
        <v>1098</v>
      </c>
      <c r="N199" t="n">
        <v>1990</v>
      </c>
      <c r="O199" t="n">
        <v>2980</v>
      </c>
      <c r="P199" t="n">
        <v>3970</v>
      </c>
      <c r="Q199" t="n">
        <v>4960</v>
      </c>
      <c r="R199" t="n">
        <v>5950</v>
      </c>
      <c r="S199" t="n">
        <v>6940</v>
      </c>
      <c r="T199" t="n">
        <v>7930</v>
      </c>
      <c r="U199" t="n">
        <v>8920</v>
      </c>
      <c r="V199" t="n">
        <v>4185</v>
      </c>
      <c r="W199" t="n">
        <v>1792</v>
      </c>
      <c r="X199" t="n">
        <v>1594</v>
      </c>
      <c r="Y199" t="n">
        <v>7780</v>
      </c>
    </row>
    <row r="200">
      <c r="A200" t="n">
        <v>199</v>
      </c>
      <c r="B200" t="n">
        <v>0</v>
      </c>
      <c r="C200" t="n">
        <v>19663</v>
      </c>
      <c r="D200" t="n">
        <v>51625</v>
      </c>
      <c r="E200" t="n">
        <v>353178</v>
      </c>
      <c r="F200" t="n">
        <v>2386721</v>
      </c>
      <c r="G200" t="n">
        <v>15825449</v>
      </c>
      <c r="H200" t="n">
        <v>103311597</v>
      </c>
      <c r="I200" t="n">
        <v>661993187</v>
      </c>
      <c r="J200" t="n">
        <v>2000</v>
      </c>
      <c r="K200" t="n">
        <v>19489</v>
      </c>
      <c r="L200" t="n">
        <v>2500</v>
      </c>
      <c r="M200" t="n">
        <v>1099</v>
      </c>
      <c r="N200" t="n">
        <v>1995</v>
      </c>
      <c r="O200" t="n">
        <v>2990</v>
      </c>
      <c r="P200" t="n">
        <v>3985</v>
      </c>
      <c r="Q200" t="n">
        <v>4980</v>
      </c>
      <c r="R200" t="n">
        <v>5975</v>
      </c>
      <c r="S200" t="n">
        <v>6970</v>
      </c>
      <c r="T200" t="n">
        <v>7965</v>
      </c>
      <c r="U200" t="n">
        <v>8960</v>
      </c>
      <c r="V200" t="n">
        <v>4210</v>
      </c>
      <c r="W200" t="n">
        <v>1796</v>
      </c>
      <c r="X200" t="n">
        <v>1597</v>
      </c>
      <c r="Y200" t="n">
        <v>7790</v>
      </c>
    </row>
    <row r="201">
      <c r="A201" t="n">
        <v>200</v>
      </c>
      <c r="B201" t="n">
        <v>0</v>
      </c>
      <c r="C201" t="n">
        <v>19958</v>
      </c>
      <c r="D201" t="n">
        <v>52658</v>
      </c>
      <c r="E201" t="n">
        <v>363774</v>
      </c>
      <c r="F201" t="n">
        <v>2482190</v>
      </c>
      <c r="G201" t="n">
        <v>16616722</v>
      </c>
      <c r="H201" t="n">
        <v>109510293</v>
      </c>
      <c r="I201" t="n">
        <v>708332711</v>
      </c>
      <c r="J201" t="n">
        <v>2000</v>
      </c>
      <c r="K201" t="n">
        <v>19684</v>
      </c>
      <c r="L201" t="n">
        <v>2500</v>
      </c>
      <c r="M201" t="n">
        <v>1100</v>
      </c>
      <c r="N201" t="n">
        <v>2000</v>
      </c>
      <c r="O201" t="n">
        <v>3000</v>
      </c>
      <c r="P201" t="n">
        <v>4000</v>
      </c>
      <c r="Q201" t="n">
        <v>5000</v>
      </c>
      <c r="R201" t="n">
        <v>6000</v>
      </c>
      <c r="S201" t="n">
        <v>7000</v>
      </c>
      <c r="T201" t="n">
        <v>8000</v>
      </c>
      <c r="U201" t="n">
        <v>9000</v>
      </c>
      <c r="V201" t="n">
        <v>4236</v>
      </c>
      <c r="W201" t="n">
        <v>1800</v>
      </c>
      <c r="X201" t="n">
        <v>1600</v>
      </c>
      <c r="Y201" t="n">
        <v>7800</v>
      </c>
    </row>
    <row r="202">
      <c r="A202" t="n">
        <v>201</v>
      </c>
      <c r="B202" t="n">
        <v>0</v>
      </c>
      <c r="C202" t="n">
        <v>20258</v>
      </c>
      <c r="D202" t="n">
        <v>53712</v>
      </c>
      <c r="E202" t="n">
        <v>374688</v>
      </c>
      <c r="F202" t="n">
        <v>2581478</v>
      </c>
      <c r="G202" t="n">
        <v>17447559</v>
      </c>
      <c r="H202" t="n">
        <v>116080911</v>
      </c>
      <c r="I202" t="n">
        <v>757916001</v>
      </c>
      <c r="J202" t="n">
        <v>2000</v>
      </c>
      <c r="K202" t="n">
        <v>19881</v>
      </c>
      <c r="L202" t="n">
        <v>2500</v>
      </c>
      <c r="M202" t="n">
        <v>1100</v>
      </c>
      <c r="N202" t="n">
        <v>2005</v>
      </c>
      <c r="O202" t="n">
        <v>3010</v>
      </c>
      <c r="P202" t="n">
        <v>4015</v>
      </c>
      <c r="Q202" t="n">
        <v>5020</v>
      </c>
      <c r="R202" t="n">
        <v>6025</v>
      </c>
      <c r="S202" t="n">
        <v>7030</v>
      </c>
      <c r="T202" t="n">
        <v>8035</v>
      </c>
      <c r="U202" t="n">
        <v>9040</v>
      </c>
      <c r="V202" t="n">
        <v>4262</v>
      </c>
      <c r="W202" t="n">
        <v>1804</v>
      </c>
      <c r="X202" t="n">
        <v>1603</v>
      </c>
      <c r="Y202" t="n">
        <v>7810</v>
      </c>
    </row>
    <row r="203">
      <c r="A203" t="n">
        <v>202</v>
      </c>
      <c r="B203" t="n">
        <v>0</v>
      </c>
      <c r="C203" t="n">
        <v>20562</v>
      </c>
      <c r="D203" t="n">
        <v>54787</v>
      </c>
      <c r="E203" t="n">
        <v>385929</v>
      </c>
      <c r="F203" t="n">
        <v>2684738</v>
      </c>
      <c r="G203" t="n">
        <v>18319937</v>
      </c>
      <c r="H203" t="n">
        <v>123045766</v>
      </c>
      <c r="I203" t="n">
        <v>810970122</v>
      </c>
      <c r="J203" t="n">
        <v>2000</v>
      </c>
      <c r="K203" t="n">
        <v>20080</v>
      </c>
      <c r="L203" t="n">
        <v>2500</v>
      </c>
      <c r="M203" t="n">
        <v>1100</v>
      </c>
      <c r="N203" t="n">
        <v>2010</v>
      </c>
      <c r="O203" t="n">
        <v>3020</v>
      </c>
      <c r="P203" t="n">
        <v>4030</v>
      </c>
      <c r="Q203" t="n">
        <v>5040</v>
      </c>
      <c r="R203" t="n">
        <v>6050</v>
      </c>
      <c r="S203" t="n">
        <v>7060</v>
      </c>
      <c r="T203" t="n">
        <v>8070</v>
      </c>
      <c r="U203" t="n">
        <v>9080</v>
      </c>
      <c r="V203" t="n">
        <v>4288</v>
      </c>
      <c r="W203" t="n">
        <v>1808</v>
      </c>
      <c r="X203" t="n">
        <v>1606</v>
      </c>
      <c r="Y203" t="n">
        <v>7820</v>
      </c>
    </row>
    <row r="204">
      <c r="A204" t="n">
        <v>203</v>
      </c>
      <c r="B204" t="n">
        <v>0</v>
      </c>
      <c r="C204" t="n">
        <v>20871</v>
      </c>
      <c r="D204" t="n">
        <v>55883</v>
      </c>
      <c r="E204" t="n">
        <v>397507</v>
      </c>
      <c r="F204" t="n">
        <v>2792128</v>
      </c>
      <c r="G204" t="n">
        <v>19235934</v>
      </c>
      <c r="H204" t="n">
        <v>130428512</v>
      </c>
      <c r="I204" t="n">
        <v>867738031</v>
      </c>
      <c r="J204" t="n">
        <v>2000</v>
      </c>
      <c r="K204" t="n">
        <v>20281</v>
      </c>
      <c r="L204" t="n">
        <v>2500</v>
      </c>
      <c r="M204" t="n">
        <v>1100</v>
      </c>
      <c r="N204" t="n">
        <v>2015</v>
      </c>
      <c r="O204" t="n">
        <v>3030</v>
      </c>
      <c r="P204" t="n">
        <v>4045</v>
      </c>
      <c r="Q204" t="n">
        <v>5060</v>
      </c>
      <c r="R204" t="n">
        <v>6075</v>
      </c>
      <c r="S204" t="n">
        <v>7090</v>
      </c>
      <c r="T204" t="n">
        <v>8105</v>
      </c>
      <c r="U204" t="n">
        <v>9120</v>
      </c>
      <c r="V204" t="n">
        <v>4314</v>
      </c>
      <c r="W204" t="n">
        <v>1812</v>
      </c>
      <c r="X204" t="n">
        <v>1609</v>
      </c>
      <c r="Y204" t="n">
        <v>7830</v>
      </c>
    </row>
    <row r="205">
      <c r="A205" t="n">
        <v>204</v>
      </c>
      <c r="B205" t="n">
        <v>0</v>
      </c>
      <c r="C205" t="n">
        <v>21185</v>
      </c>
      <c r="D205" t="n">
        <v>57001</v>
      </c>
      <c r="E205" t="n">
        <v>409433</v>
      </c>
      <c r="F205" t="n">
        <v>2903814</v>
      </c>
      <c r="G205" t="n">
        <v>20197731</v>
      </c>
      <c r="H205" t="n">
        <v>138254223</v>
      </c>
      <c r="I205" t="n">
        <v>928479694</v>
      </c>
      <c r="J205" t="n">
        <v>2000</v>
      </c>
      <c r="K205" t="n">
        <v>20484</v>
      </c>
      <c r="L205" t="n">
        <v>2500</v>
      </c>
      <c r="M205" t="n">
        <v>1100</v>
      </c>
      <c r="N205" t="n">
        <v>2020</v>
      </c>
      <c r="O205" t="n">
        <v>3040</v>
      </c>
      <c r="P205" t="n">
        <v>4060</v>
      </c>
      <c r="Q205" t="n">
        <v>5080</v>
      </c>
      <c r="R205" t="n">
        <v>6100</v>
      </c>
      <c r="S205" t="n">
        <v>7120</v>
      </c>
      <c r="T205" t="n">
        <v>8140</v>
      </c>
      <c r="U205" t="n">
        <v>9160</v>
      </c>
      <c r="V205" t="n">
        <v>4340</v>
      </c>
      <c r="W205" t="n">
        <v>1816</v>
      </c>
      <c r="X205" t="n">
        <v>1612</v>
      </c>
      <c r="Y205" t="n">
        <v>7840</v>
      </c>
    </row>
    <row r="206">
      <c r="A206" t="n">
        <v>205</v>
      </c>
      <c r="B206" t="n">
        <v>0</v>
      </c>
      <c r="C206" t="n">
        <v>21503</v>
      </c>
      <c r="D206" t="n">
        <v>58142</v>
      </c>
      <c r="E206" t="n">
        <v>421716</v>
      </c>
      <c r="F206" t="n">
        <v>3019967</v>
      </c>
      <c r="G206" t="n">
        <v>21207618</v>
      </c>
      <c r="H206" t="n">
        <v>146549477</v>
      </c>
      <c r="I206" t="n">
        <v>993473273</v>
      </c>
      <c r="J206" t="n">
        <v>2000</v>
      </c>
      <c r="K206" t="n">
        <v>20689</v>
      </c>
      <c r="L206" t="n">
        <v>2500</v>
      </c>
      <c r="M206" t="n">
        <v>1100</v>
      </c>
      <c r="N206" t="n">
        <v>2025</v>
      </c>
      <c r="O206" t="n">
        <v>3050</v>
      </c>
      <c r="P206" t="n">
        <v>4075</v>
      </c>
      <c r="Q206" t="n">
        <v>5100</v>
      </c>
      <c r="R206" t="n">
        <v>6125</v>
      </c>
      <c r="S206" t="n">
        <v>7150</v>
      </c>
      <c r="T206" t="n">
        <v>8175</v>
      </c>
      <c r="U206" t="n">
        <v>9200</v>
      </c>
      <c r="V206" t="n">
        <v>4366</v>
      </c>
      <c r="W206" t="n">
        <v>1820</v>
      </c>
      <c r="X206" t="n">
        <v>1615</v>
      </c>
      <c r="Y206" t="n">
        <v>7850</v>
      </c>
    </row>
    <row r="207">
      <c r="A207" t="n">
        <v>206</v>
      </c>
      <c r="B207" t="n">
        <v>0</v>
      </c>
      <c r="C207" t="n">
        <v>21826</v>
      </c>
      <c r="D207" t="n">
        <v>59305</v>
      </c>
      <c r="E207" t="n">
        <v>434368</v>
      </c>
      <c r="F207" t="n">
        <v>3140766</v>
      </c>
      <c r="G207" t="n">
        <v>22267999</v>
      </c>
      <c r="H207" t="n">
        <v>155342446</v>
      </c>
      <c r="I207" t="n">
        <v>1063016403</v>
      </c>
      <c r="J207" t="n">
        <v>2000</v>
      </c>
      <c r="K207" t="n">
        <v>20896</v>
      </c>
      <c r="L207" t="n">
        <v>2500</v>
      </c>
      <c r="M207" t="n">
        <v>1100</v>
      </c>
      <c r="N207" t="n">
        <v>2030</v>
      </c>
      <c r="O207" t="n">
        <v>3060</v>
      </c>
      <c r="P207" t="n">
        <v>4090</v>
      </c>
      <c r="Q207" t="n">
        <v>5120</v>
      </c>
      <c r="R207" t="n">
        <v>6150</v>
      </c>
      <c r="S207" t="n">
        <v>7180</v>
      </c>
      <c r="T207" t="n">
        <v>8210</v>
      </c>
      <c r="U207" t="n">
        <v>9240</v>
      </c>
      <c r="V207" t="n">
        <v>4392</v>
      </c>
      <c r="W207" t="n">
        <v>1824</v>
      </c>
      <c r="X207" t="n">
        <v>1618</v>
      </c>
      <c r="Y207" t="n">
        <v>7860</v>
      </c>
    </row>
    <row r="208">
      <c r="A208" t="n">
        <v>207</v>
      </c>
      <c r="B208" t="n">
        <v>0</v>
      </c>
      <c r="C208" t="n">
        <v>22154</v>
      </c>
      <c r="D208" t="n">
        <v>60492</v>
      </c>
      <c r="E208" t="n">
        <v>447400</v>
      </c>
      <c r="F208" t="n">
        <v>3266397</v>
      </c>
      <c r="G208" t="n">
        <v>23381399</v>
      </c>
      <c r="H208" t="n">
        <v>164662993</v>
      </c>
      <c r="I208" t="n">
        <v>1137427552</v>
      </c>
      <c r="J208" t="n">
        <v>2000</v>
      </c>
      <c r="K208" t="n">
        <v>21105</v>
      </c>
      <c r="L208" t="n">
        <v>2500</v>
      </c>
      <c r="M208" t="n">
        <v>1100</v>
      </c>
      <c r="N208" t="n">
        <v>2035</v>
      </c>
      <c r="O208" t="n">
        <v>3070</v>
      </c>
      <c r="P208" t="n">
        <v>4105</v>
      </c>
      <c r="Q208" t="n">
        <v>5140</v>
      </c>
      <c r="R208" t="n">
        <v>6175</v>
      </c>
      <c r="S208" t="n">
        <v>7210</v>
      </c>
      <c r="T208" t="n">
        <v>8245</v>
      </c>
      <c r="U208" t="n">
        <v>9280</v>
      </c>
      <c r="V208" t="n">
        <v>4418</v>
      </c>
      <c r="W208" t="n">
        <v>1828</v>
      </c>
      <c r="X208" t="n">
        <v>1621</v>
      </c>
      <c r="Y208" t="n">
        <v>7870</v>
      </c>
    </row>
    <row r="209">
      <c r="A209" t="n">
        <v>208</v>
      </c>
      <c r="B209" t="n">
        <v>0</v>
      </c>
      <c r="C209" t="n">
        <v>22487</v>
      </c>
      <c r="D209" t="n">
        <v>61702</v>
      </c>
      <c r="E209" t="n">
        <v>460822</v>
      </c>
      <c r="F209" t="n">
        <v>3397053</v>
      </c>
      <c r="G209" t="n">
        <v>24550469</v>
      </c>
      <c r="H209" t="n">
        <v>174542773</v>
      </c>
      <c r="I209" t="n">
        <v>1217047481</v>
      </c>
      <c r="J209" t="n">
        <v>2000</v>
      </c>
      <c r="K209" t="n">
        <v>21317</v>
      </c>
      <c r="L209" t="n">
        <v>2500</v>
      </c>
      <c r="M209" t="n">
        <v>1100</v>
      </c>
      <c r="N209" t="n">
        <v>2040</v>
      </c>
      <c r="O209" t="n">
        <v>3080</v>
      </c>
      <c r="P209" t="n">
        <v>4120</v>
      </c>
      <c r="Q209" t="n">
        <v>5160</v>
      </c>
      <c r="R209" t="n">
        <v>6200</v>
      </c>
      <c r="S209" t="n">
        <v>7240</v>
      </c>
      <c r="T209" t="n">
        <v>8280</v>
      </c>
      <c r="U209" t="n">
        <v>9320</v>
      </c>
      <c r="V209" t="n">
        <v>4445</v>
      </c>
      <c r="W209" t="n">
        <v>1832</v>
      </c>
      <c r="X209" t="n">
        <v>1624</v>
      </c>
      <c r="Y209" t="n">
        <v>7880</v>
      </c>
    </row>
    <row r="210">
      <c r="A210" t="n">
        <v>209</v>
      </c>
      <c r="B210" t="n">
        <v>0</v>
      </c>
      <c r="C210" t="n">
        <v>22825</v>
      </c>
      <c r="D210" t="n">
        <v>62937</v>
      </c>
      <c r="E210" t="n">
        <v>474647</v>
      </c>
      <c r="F210" t="n">
        <v>3532936</v>
      </c>
      <c r="G210" t="n">
        <v>25777993</v>
      </c>
      <c r="H210" t="n">
        <v>185015340</v>
      </c>
      <c r="I210" t="n">
        <v>1302240805</v>
      </c>
      <c r="J210" t="n">
        <v>2000</v>
      </c>
      <c r="K210" t="n">
        <v>21531</v>
      </c>
      <c r="L210" t="n">
        <v>2500</v>
      </c>
      <c r="M210" t="n">
        <v>1100</v>
      </c>
      <c r="N210" t="n">
        <v>2045</v>
      </c>
      <c r="O210" t="n">
        <v>3090</v>
      </c>
      <c r="P210" t="n">
        <v>4135</v>
      </c>
      <c r="Q210" t="n">
        <v>5180</v>
      </c>
      <c r="R210" t="n">
        <v>6225</v>
      </c>
      <c r="S210" t="n">
        <v>7270</v>
      </c>
      <c r="T210" t="n">
        <v>8315</v>
      </c>
      <c r="U210" t="n">
        <v>9360</v>
      </c>
      <c r="V210" t="n">
        <v>4472</v>
      </c>
      <c r="W210" t="n">
        <v>1836</v>
      </c>
      <c r="X210" t="n">
        <v>1627</v>
      </c>
      <c r="Y210" t="n">
        <v>7890</v>
      </c>
    </row>
    <row r="211">
      <c r="A211" t="n">
        <v>210</v>
      </c>
      <c r="B211" t="n">
        <v>0</v>
      </c>
      <c r="C211" t="n">
        <v>23168</v>
      </c>
      <c r="D211" t="n">
        <v>64196</v>
      </c>
      <c r="E211" t="n">
        <v>488887</v>
      </c>
      <c r="F211" t="n">
        <v>3674254</v>
      </c>
      <c r="G211" t="n">
        <v>27066893</v>
      </c>
      <c r="H211" t="n">
        <v>196116261</v>
      </c>
      <c r="I211" t="n">
        <v>1393397662</v>
      </c>
      <c r="J211" t="n">
        <v>2000</v>
      </c>
      <c r="K211" t="n">
        <v>21747</v>
      </c>
      <c r="L211" t="n">
        <v>2500</v>
      </c>
      <c r="M211" t="n">
        <v>1100</v>
      </c>
      <c r="N211" t="n">
        <v>2050</v>
      </c>
      <c r="O211" t="n">
        <v>3100</v>
      </c>
      <c r="P211" t="n">
        <v>4150</v>
      </c>
      <c r="Q211" t="n">
        <v>5200</v>
      </c>
      <c r="R211" t="n">
        <v>6250</v>
      </c>
      <c r="S211" t="n">
        <v>7300</v>
      </c>
      <c r="T211" t="n">
        <v>8350</v>
      </c>
      <c r="U211" t="n">
        <v>9400</v>
      </c>
      <c r="V211" t="n">
        <v>4499</v>
      </c>
      <c r="W211" t="n">
        <v>1840</v>
      </c>
      <c r="X211" t="n">
        <v>1630</v>
      </c>
      <c r="Y211" t="n">
        <v>7900</v>
      </c>
    </row>
    <row r="212">
      <c r="A212" t="n">
        <v>211</v>
      </c>
      <c r="B212" t="n">
        <v>0</v>
      </c>
      <c r="C212" t="n">
        <v>23516</v>
      </c>
      <c r="D212" t="n">
        <v>65480</v>
      </c>
      <c r="E212" t="n">
        <v>503554</v>
      </c>
      <c r="F212" t="n">
        <v>3821225</v>
      </c>
      <c r="G212" t="n">
        <v>28420238</v>
      </c>
      <c r="H212" t="n">
        <v>207883237</v>
      </c>
      <c r="I212" t="n">
        <v>1490935499</v>
      </c>
      <c r="J212" t="n">
        <v>2000</v>
      </c>
      <c r="K212" t="n">
        <v>21965</v>
      </c>
      <c r="L212" t="n">
        <v>2500</v>
      </c>
      <c r="M212" t="n">
        <v>1100</v>
      </c>
      <c r="N212" t="n">
        <v>2055</v>
      </c>
      <c r="O212" t="n">
        <v>3110</v>
      </c>
      <c r="P212" t="n">
        <v>4165</v>
      </c>
      <c r="Q212" t="n">
        <v>5220</v>
      </c>
      <c r="R212" t="n">
        <v>6275</v>
      </c>
      <c r="S212" t="n">
        <v>7330</v>
      </c>
      <c r="T212" t="n">
        <v>8385</v>
      </c>
      <c r="U212" t="n">
        <v>9440</v>
      </c>
      <c r="V212" t="n">
        <v>4526</v>
      </c>
      <c r="W212" t="n">
        <v>1844</v>
      </c>
      <c r="X212" t="n">
        <v>1633</v>
      </c>
      <c r="Y212" t="n">
        <v>7910</v>
      </c>
    </row>
    <row r="213">
      <c r="A213" t="n">
        <v>212</v>
      </c>
      <c r="B213" t="n">
        <v>0</v>
      </c>
      <c r="C213" t="n">
        <v>23869</v>
      </c>
      <c r="D213" t="n">
        <v>66790</v>
      </c>
      <c r="E213" t="n">
        <v>518661</v>
      </c>
      <c r="F213" t="n">
        <v>3974074</v>
      </c>
      <c r="G213" t="n">
        <v>29841250</v>
      </c>
      <c r="H213" t="n">
        <v>220356232</v>
      </c>
      <c r="I213" t="n">
        <v>1595300984</v>
      </c>
      <c r="J213" t="n">
        <v>2000</v>
      </c>
      <c r="K213" t="n">
        <v>22185</v>
      </c>
      <c r="L213" t="n">
        <v>2500</v>
      </c>
      <c r="M213" t="n">
        <v>1100</v>
      </c>
      <c r="N213" t="n">
        <v>2060</v>
      </c>
      <c r="O213" t="n">
        <v>3120</v>
      </c>
      <c r="P213" t="n">
        <v>4180</v>
      </c>
      <c r="Q213" t="n">
        <v>5240</v>
      </c>
      <c r="R213" t="n">
        <v>6300</v>
      </c>
      <c r="S213" t="n">
        <v>7360</v>
      </c>
      <c r="T213" t="n">
        <v>8420</v>
      </c>
      <c r="U213" t="n">
        <v>9480</v>
      </c>
      <c r="V213" t="n">
        <v>4553</v>
      </c>
      <c r="W213" t="n">
        <v>1848</v>
      </c>
      <c r="X213" t="n">
        <v>1636</v>
      </c>
      <c r="Y213" t="n">
        <v>7920</v>
      </c>
    </row>
    <row r="214">
      <c r="A214" t="n">
        <v>213</v>
      </c>
      <c r="B214" t="n">
        <v>0</v>
      </c>
      <c r="C214" t="n">
        <v>24228</v>
      </c>
      <c r="D214" t="n">
        <v>68126</v>
      </c>
      <c r="E214" t="n">
        <v>534221</v>
      </c>
      <c r="F214" t="n">
        <v>4133037</v>
      </c>
      <c r="G214" t="n">
        <v>31333313</v>
      </c>
      <c r="H214" t="n">
        <v>233577606</v>
      </c>
      <c r="I214" t="n">
        <v>1706972053</v>
      </c>
      <c r="J214" t="n">
        <v>2000</v>
      </c>
      <c r="K214" t="n">
        <v>22407</v>
      </c>
      <c r="L214" t="n">
        <v>2500</v>
      </c>
      <c r="M214" t="n">
        <v>1100</v>
      </c>
      <c r="N214" t="n">
        <v>2065</v>
      </c>
      <c r="O214" t="n">
        <v>3130</v>
      </c>
      <c r="P214" t="n">
        <v>4195</v>
      </c>
      <c r="Q214" t="n">
        <v>5260</v>
      </c>
      <c r="R214" t="n">
        <v>6325</v>
      </c>
      <c r="S214" t="n">
        <v>7390</v>
      </c>
      <c r="T214" t="n">
        <v>8455</v>
      </c>
      <c r="U214" t="n">
        <v>9520</v>
      </c>
      <c r="V214" t="n">
        <v>4580</v>
      </c>
      <c r="W214" t="n">
        <v>1852</v>
      </c>
      <c r="X214" t="n">
        <v>1639</v>
      </c>
      <c r="Y214" t="n">
        <v>7930</v>
      </c>
    </row>
    <row r="215">
      <c r="A215" t="n">
        <v>214</v>
      </c>
      <c r="B215" t="n">
        <v>0</v>
      </c>
      <c r="C215" t="n">
        <v>24592</v>
      </c>
      <c r="D215" t="n">
        <v>69489</v>
      </c>
      <c r="E215" t="n">
        <v>550248</v>
      </c>
      <c r="F215" t="n">
        <v>4298359</v>
      </c>
      <c r="G215" t="n">
        <v>32899979</v>
      </c>
      <c r="H215" t="n">
        <v>247592263</v>
      </c>
      <c r="I215" t="n">
        <v>1826460097</v>
      </c>
      <c r="J215" t="n">
        <v>2000</v>
      </c>
      <c r="K215" t="n">
        <v>22632</v>
      </c>
      <c r="L215" t="n">
        <v>2500</v>
      </c>
      <c r="M215" t="n">
        <v>1100</v>
      </c>
      <c r="N215" t="n">
        <v>2070</v>
      </c>
      <c r="O215" t="n">
        <v>3140</v>
      </c>
      <c r="P215" t="n">
        <v>4210</v>
      </c>
      <c r="Q215" t="n">
        <v>5280</v>
      </c>
      <c r="R215" t="n">
        <v>6350</v>
      </c>
      <c r="S215" t="n">
        <v>7420</v>
      </c>
      <c r="T215" t="n">
        <v>8490</v>
      </c>
      <c r="U215" t="n">
        <v>9560</v>
      </c>
      <c r="V215" t="n">
        <v>4607</v>
      </c>
      <c r="W215" t="n">
        <v>1856</v>
      </c>
      <c r="X215" t="n">
        <v>1642</v>
      </c>
      <c r="Y215" t="n">
        <v>7940</v>
      </c>
    </row>
    <row r="216">
      <c r="A216" t="n">
        <v>215</v>
      </c>
      <c r="B216" t="n">
        <v>0</v>
      </c>
      <c r="C216" t="n">
        <v>24961</v>
      </c>
      <c r="D216" t="n">
        <v>70879</v>
      </c>
      <c r="E216" t="n">
        <v>566756</v>
      </c>
      <c r="F216" t="n">
        <v>4470294</v>
      </c>
      <c r="G216" t="n">
        <v>34544978</v>
      </c>
      <c r="H216" t="n">
        <v>262447799</v>
      </c>
      <c r="I216" t="n">
        <v>1954312304</v>
      </c>
      <c r="J216" t="n">
        <v>2000</v>
      </c>
      <c r="K216" t="n">
        <v>22859</v>
      </c>
      <c r="L216" t="n">
        <v>2500</v>
      </c>
      <c r="M216" t="n">
        <v>1100</v>
      </c>
      <c r="N216" t="n">
        <v>2075</v>
      </c>
      <c r="O216" t="n">
        <v>3150</v>
      </c>
      <c r="P216" t="n">
        <v>4225</v>
      </c>
      <c r="Q216" t="n">
        <v>5300</v>
      </c>
      <c r="R216" t="n">
        <v>6375</v>
      </c>
      <c r="S216" t="n">
        <v>7450</v>
      </c>
      <c r="T216" t="n">
        <v>8525</v>
      </c>
      <c r="U216" t="n">
        <v>9600</v>
      </c>
      <c r="V216" t="n">
        <v>4635</v>
      </c>
      <c r="W216" t="n">
        <v>1860</v>
      </c>
      <c r="X216" t="n">
        <v>1645</v>
      </c>
      <c r="Y216" t="n">
        <v>7950</v>
      </c>
    </row>
    <row r="217">
      <c r="A217" t="n">
        <v>216</v>
      </c>
      <c r="B217" t="n">
        <v>0</v>
      </c>
      <c r="C217" t="n">
        <v>25336</v>
      </c>
      <c r="D217" t="n">
        <v>72297</v>
      </c>
      <c r="E217" t="n">
        <v>583759</v>
      </c>
      <c r="F217" t="n">
        <v>4649106</v>
      </c>
      <c r="G217" t="n">
        <v>36272227</v>
      </c>
      <c r="H217" t="n">
        <v>278194667</v>
      </c>
      <c r="I217" t="n">
        <v>2091114166</v>
      </c>
      <c r="J217" t="n">
        <v>2000</v>
      </c>
      <c r="K217" t="n">
        <v>23088</v>
      </c>
      <c r="L217" t="n">
        <v>2500</v>
      </c>
      <c r="M217" t="n">
        <v>1100</v>
      </c>
      <c r="N217" t="n">
        <v>2080</v>
      </c>
      <c r="O217" t="n">
        <v>3160</v>
      </c>
      <c r="P217" t="n">
        <v>4240</v>
      </c>
      <c r="Q217" t="n">
        <v>5320</v>
      </c>
      <c r="R217" t="n">
        <v>6400</v>
      </c>
      <c r="S217" t="n">
        <v>7480</v>
      </c>
      <c r="T217" t="n">
        <v>8560</v>
      </c>
      <c r="U217" t="n">
        <v>9640</v>
      </c>
      <c r="V217" t="n">
        <v>4663</v>
      </c>
      <c r="W217" t="n">
        <v>1864</v>
      </c>
      <c r="X217" t="n">
        <v>1648</v>
      </c>
      <c r="Y217" t="n">
        <v>7960</v>
      </c>
    </row>
    <row r="218">
      <c r="A218" t="n">
        <v>217</v>
      </c>
      <c r="B218" t="n">
        <v>0</v>
      </c>
      <c r="C218" t="n">
        <v>25717</v>
      </c>
      <c r="D218" t="n">
        <v>73743</v>
      </c>
      <c r="E218" t="n">
        <v>601272</v>
      </c>
      <c r="F218" t="n">
        <v>4835071</v>
      </c>
      <c r="G218" t="n">
        <v>38085839</v>
      </c>
      <c r="H218" t="n">
        <v>294886348</v>
      </c>
      <c r="I218" t="n">
        <v>2237492158</v>
      </c>
      <c r="J218" t="n">
        <v>2000</v>
      </c>
      <c r="K218" t="n">
        <v>23319</v>
      </c>
      <c r="L218" t="n">
        <v>2500</v>
      </c>
      <c r="M218" t="n">
        <v>1100</v>
      </c>
      <c r="N218" t="n">
        <v>2085</v>
      </c>
      <c r="O218" t="n">
        <v>3170</v>
      </c>
      <c r="P218" t="n">
        <v>4255</v>
      </c>
      <c r="Q218" t="n">
        <v>5340</v>
      </c>
      <c r="R218" t="n">
        <v>6425</v>
      </c>
      <c r="S218" t="n">
        <v>7510</v>
      </c>
      <c r="T218" t="n">
        <v>8595</v>
      </c>
      <c r="U218" t="n">
        <v>9680</v>
      </c>
      <c r="V218" t="n">
        <v>4691</v>
      </c>
      <c r="W218" t="n">
        <v>1868</v>
      </c>
      <c r="X218" t="n">
        <v>1651</v>
      </c>
      <c r="Y218" t="n">
        <v>7970</v>
      </c>
    </row>
    <row r="219">
      <c r="A219" t="n">
        <v>218</v>
      </c>
      <c r="B219" t="n">
        <v>0</v>
      </c>
      <c r="C219" t="n">
        <v>26103</v>
      </c>
      <c r="D219" t="n">
        <v>75218</v>
      </c>
      <c r="E219" t="n">
        <v>619311</v>
      </c>
      <c r="F219" t="n">
        <v>5028474</v>
      </c>
      <c r="G219" t="n">
        <v>39990131</v>
      </c>
      <c r="H219" t="n">
        <v>312579529</v>
      </c>
      <c r="I219" t="n">
        <v>2394116610</v>
      </c>
      <c r="J219" t="n">
        <v>2000</v>
      </c>
      <c r="K219" t="n">
        <v>23553</v>
      </c>
      <c r="L219" t="n">
        <v>2500</v>
      </c>
      <c r="M219" t="n">
        <v>1100</v>
      </c>
      <c r="N219" t="n">
        <v>2090</v>
      </c>
      <c r="O219" t="n">
        <v>3180</v>
      </c>
      <c r="P219" t="n">
        <v>4270</v>
      </c>
      <c r="Q219" t="n">
        <v>5360</v>
      </c>
      <c r="R219" t="n">
        <v>6450</v>
      </c>
      <c r="S219" t="n">
        <v>7540</v>
      </c>
      <c r="T219" t="n">
        <v>8630</v>
      </c>
      <c r="U219" t="n">
        <v>9720</v>
      </c>
      <c r="V219" t="n">
        <v>4719</v>
      </c>
      <c r="W219" t="n">
        <v>1872</v>
      </c>
      <c r="X219" t="n">
        <v>1654</v>
      </c>
      <c r="Y219" t="n">
        <v>7980</v>
      </c>
    </row>
    <row r="220">
      <c r="A220" t="n">
        <v>219</v>
      </c>
      <c r="B220" t="n">
        <v>0</v>
      </c>
      <c r="C220" t="n">
        <v>26495</v>
      </c>
      <c r="D220" t="n">
        <v>76723</v>
      </c>
      <c r="E220" t="n">
        <v>637891</v>
      </c>
      <c r="F220" t="n">
        <v>5229613</v>
      </c>
      <c r="G220" t="n">
        <v>41989638</v>
      </c>
      <c r="H220" t="n">
        <v>331334301</v>
      </c>
      <c r="I220" t="n">
        <v>2561704773</v>
      </c>
      <c r="J220" t="n">
        <v>2000</v>
      </c>
      <c r="K220" t="n">
        <v>23789</v>
      </c>
      <c r="L220" t="n">
        <v>2500</v>
      </c>
      <c r="M220" t="n">
        <v>1100</v>
      </c>
      <c r="N220" t="n">
        <v>2095</v>
      </c>
      <c r="O220" t="n">
        <v>3190</v>
      </c>
      <c r="P220" t="n">
        <v>4285</v>
      </c>
      <c r="Q220" t="n">
        <v>5380</v>
      </c>
      <c r="R220" t="n">
        <v>6475</v>
      </c>
      <c r="S220" t="n">
        <v>7570</v>
      </c>
      <c r="T220" t="n">
        <v>8665</v>
      </c>
      <c r="U220" t="n">
        <v>9760</v>
      </c>
      <c r="V220" t="n">
        <v>4747</v>
      </c>
      <c r="W220" t="n">
        <v>1876</v>
      </c>
      <c r="X220" t="n">
        <v>1657</v>
      </c>
      <c r="Y220" t="n">
        <v>7990</v>
      </c>
    </row>
    <row r="221">
      <c r="A221" t="n">
        <v>220</v>
      </c>
      <c r="B221" t="n">
        <v>0</v>
      </c>
      <c r="C221" t="n">
        <v>26893</v>
      </c>
      <c r="D221" t="n">
        <v>78258</v>
      </c>
      <c r="E221" t="n">
        <v>657028</v>
      </c>
      <c r="F221" t="n">
        <v>5438798</v>
      </c>
      <c r="G221" t="n">
        <v>44089120</v>
      </c>
      <c r="H221" t="n">
        <v>351214360</v>
      </c>
      <c r="I221" t="n">
        <v>2741024108</v>
      </c>
      <c r="J221" t="n">
        <v>2000</v>
      </c>
      <c r="K221" t="n">
        <v>24027</v>
      </c>
      <c r="L221" t="n">
        <v>2500</v>
      </c>
      <c r="M221" t="n">
        <v>1100</v>
      </c>
      <c r="N221" t="n">
        <v>2100</v>
      </c>
      <c r="O221" t="n">
        <v>3200</v>
      </c>
      <c r="P221" t="n">
        <v>4300</v>
      </c>
      <c r="Q221" t="n">
        <v>5400</v>
      </c>
      <c r="R221" t="n">
        <v>6500</v>
      </c>
      <c r="S221" t="n">
        <v>7600</v>
      </c>
      <c r="T221" t="n">
        <v>8700</v>
      </c>
      <c r="U221" t="n">
        <v>9800</v>
      </c>
      <c r="V221" t="n">
        <v>4775</v>
      </c>
      <c r="W221" t="n">
        <v>1880</v>
      </c>
      <c r="X221" t="n">
        <v>1660</v>
      </c>
      <c r="Y221" t="n">
        <v>8000</v>
      </c>
    </row>
    <row r="222">
      <c r="A222" t="n">
        <v>221</v>
      </c>
      <c r="B222" t="n">
        <v>0</v>
      </c>
      <c r="C222" t="n">
        <v>27297</v>
      </c>
      <c r="D222" t="n">
        <v>79824</v>
      </c>
      <c r="E222" t="n">
        <v>676739</v>
      </c>
      <c r="F222" t="n">
        <v>5656350</v>
      </c>
      <c r="G222" t="n">
        <v>46293576</v>
      </c>
      <c r="H222" t="n">
        <v>372287222</v>
      </c>
      <c r="I222" t="n">
        <v>2932895796</v>
      </c>
      <c r="J222" t="n">
        <v>2000</v>
      </c>
      <c r="K222" t="n">
        <v>24268</v>
      </c>
      <c r="L222" t="n">
        <v>2500</v>
      </c>
      <c r="M222" t="n">
        <v>1100</v>
      </c>
      <c r="N222" t="n">
        <v>2105</v>
      </c>
      <c r="O222" t="n">
        <v>3210</v>
      </c>
      <c r="P222" t="n">
        <v>4315</v>
      </c>
      <c r="Q222" t="n">
        <v>5420</v>
      </c>
      <c r="R222" t="n">
        <v>6525</v>
      </c>
      <c r="S222" t="n">
        <v>7630</v>
      </c>
      <c r="T222" t="n">
        <v>8735</v>
      </c>
      <c r="U222" t="n">
        <v>9840</v>
      </c>
      <c r="V222" t="n">
        <v>4803</v>
      </c>
      <c r="W222" t="n">
        <v>1884</v>
      </c>
      <c r="X222" t="n">
        <v>1663</v>
      </c>
      <c r="Y222" t="n">
        <v>8010</v>
      </c>
    </row>
    <row r="223">
      <c r="A223" t="n">
        <v>222</v>
      </c>
      <c r="B223" t="n">
        <v>0</v>
      </c>
      <c r="C223" t="n">
        <v>27707</v>
      </c>
      <c r="D223" t="n">
        <v>81421</v>
      </c>
      <c r="E223" t="n">
        <v>697042</v>
      </c>
      <c r="F223" t="n">
        <v>5882604</v>
      </c>
      <c r="G223" t="n">
        <v>48608255</v>
      </c>
      <c r="H223" t="n">
        <v>394624456</v>
      </c>
      <c r="I223" t="n">
        <v>3138198502</v>
      </c>
      <c r="J223" t="n">
        <v>2000</v>
      </c>
      <c r="K223" t="n">
        <v>24511</v>
      </c>
      <c r="L223" t="n">
        <v>2500</v>
      </c>
      <c r="M223" t="n">
        <v>1100</v>
      </c>
      <c r="N223" t="n">
        <v>2110</v>
      </c>
      <c r="O223" t="n">
        <v>3220</v>
      </c>
      <c r="P223" t="n">
        <v>4330</v>
      </c>
      <c r="Q223" t="n">
        <v>5440</v>
      </c>
      <c r="R223" t="n">
        <v>6550</v>
      </c>
      <c r="S223" t="n">
        <v>7660</v>
      </c>
      <c r="T223" t="n">
        <v>8770</v>
      </c>
      <c r="U223" t="n">
        <v>9880</v>
      </c>
      <c r="V223" t="n">
        <v>4832</v>
      </c>
      <c r="W223" t="n">
        <v>1888</v>
      </c>
      <c r="X223" t="n">
        <v>1666</v>
      </c>
      <c r="Y223" t="n">
        <v>8020</v>
      </c>
    </row>
    <row r="224">
      <c r="A224" t="n">
        <v>223</v>
      </c>
      <c r="B224" t="n">
        <v>0</v>
      </c>
      <c r="C224" t="n">
        <v>28123</v>
      </c>
      <c r="D224" t="n">
        <v>83050</v>
      </c>
      <c r="E224" t="n">
        <v>717954</v>
      </c>
      <c r="F224" t="n">
        <v>6117909</v>
      </c>
      <c r="G224" t="n">
        <v>51038668</v>
      </c>
      <c r="H224" t="n">
        <v>418301924</v>
      </c>
      <c r="I224" t="n">
        <v>3357872398</v>
      </c>
      <c r="J224" t="n">
        <v>2000</v>
      </c>
      <c r="K224" t="n">
        <v>24757</v>
      </c>
      <c r="L224" t="n">
        <v>2500</v>
      </c>
      <c r="M224" t="n">
        <v>1100</v>
      </c>
      <c r="N224" t="n">
        <v>2115</v>
      </c>
      <c r="O224" t="n">
        <v>3230</v>
      </c>
      <c r="P224" t="n">
        <v>4345</v>
      </c>
      <c r="Q224" t="n">
        <v>5460</v>
      </c>
      <c r="R224" t="n">
        <v>6575</v>
      </c>
      <c r="S224" t="n">
        <v>7690</v>
      </c>
      <c r="T224" t="n">
        <v>8805</v>
      </c>
      <c r="U224" t="n">
        <v>9920</v>
      </c>
      <c r="V224" t="n">
        <v>4861</v>
      </c>
      <c r="W224" t="n">
        <v>1892</v>
      </c>
      <c r="X224" t="n">
        <v>1669</v>
      </c>
      <c r="Y224" t="n">
        <v>8030</v>
      </c>
    </row>
    <row r="225">
      <c r="A225" t="n">
        <v>224</v>
      </c>
      <c r="B225" t="n">
        <v>0</v>
      </c>
      <c r="C225" t="n">
        <v>28545</v>
      </c>
      <c r="D225" t="n">
        <v>84711</v>
      </c>
      <c r="E225" t="n">
        <v>739493</v>
      </c>
      <c r="F225" t="n">
        <v>6362626</v>
      </c>
      <c r="G225" t="n">
        <v>53590602</v>
      </c>
      <c r="H225" t="n">
        <v>443400040</v>
      </c>
      <c r="I225" t="n">
        <v>3592923466</v>
      </c>
      <c r="J225" t="n">
        <v>2000</v>
      </c>
      <c r="K225" t="n">
        <v>25005</v>
      </c>
      <c r="L225" t="n">
        <v>2500</v>
      </c>
      <c r="M225" t="n">
        <v>1100</v>
      </c>
      <c r="N225" t="n">
        <v>2120</v>
      </c>
      <c r="O225" t="n">
        <v>3240</v>
      </c>
      <c r="P225" t="n">
        <v>4360</v>
      </c>
      <c r="Q225" t="n">
        <v>5480</v>
      </c>
      <c r="R225" t="n">
        <v>6600</v>
      </c>
      <c r="S225" t="n">
        <v>7720</v>
      </c>
      <c r="T225" t="n">
        <v>8840</v>
      </c>
      <c r="U225" t="n">
        <v>9960</v>
      </c>
      <c r="V225" t="n">
        <v>4890</v>
      </c>
      <c r="W225" t="n">
        <v>1896</v>
      </c>
      <c r="X225" t="n">
        <v>1672</v>
      </c>
      <c r="Y225" t="n">
        <v>8040</v>
      </c>
    </row>
    <row r="226">
      <c r="A226" t="n">
        <v>225</v>
      </c>
      <c r="B226" t="n">
        <v>0</v>
      </c>
      <c r="C226" t="n">
        <v>28974</v>
      </c>
      <c r="D226" t="n">
        <v>86406</v>
      </c>
      <c r="E226" t="n">
        <v>761678</v>
      </c>
      <c r="F226" t="n">
        <v>6617132</v>
      </c>
      <c r="G226" t="n">
        <v>56270133</v>
      </c>
      <c r="H226" t="n">
        <v>470004043</v>
      </c>
      <c r="I226" t="n">
        <v>3844428109</v>
      </c>
      <c r="J226" t="n">
        <v>2000</v>
      </c>
      <c r="K226" t="n">
        <v>25256</v>
      </c>
      <c r="L226" t="n">
        <v>2500</v>
      </c>
      <c r="M226" t="n">
        <v>1100</v>
      </c>
      <c r="N226" t="n">
        <v>2125</v>
      </c>
      <c r="O226" t="n">
        <v>3250</v>
      </c>
      <c r="P226" t="n">
        <v>4375</v>
      </c>
      <c r="Q226" t="n">
        <v>5500</v>
      </c>
      <c r="R226" t="n">
        <v>6625</v>
      </c>
      <c r="S226" t="n">
        <v>7750</v>
      </c>
      <c r="T226" t="n">
        <v>8875</v>
      </c>
      <c r="U226" t="n">
        <v>10000</v>
      </c>
      <c r="V226" t="n">
        <v>4919</v>
      </c>
      <c r="W226" t="n">
        <v>1900</v>
      </c>
      <c r="X226" t="n">
        <v>1675</v>
      </c>
      <c r="Y226" t="n">
        <v>8050</v>
      </c>
    </row>
    <row r="227">
      <c r="A227" t="n">
        <v>226</v>
      </c>
      <c r="B227" t="n">
        <v>0</v>
      </c>
      <c r="C227" t="n">
        <v>29409</v>
      </c>
      <c r="D227" t="n">
        <v>88135</v>
      </c>
      <c r="E227" t="n">
        <v>784529</v>
      </c>
      <c r="F227" t="n">
        <v>6881818</v>
      </c>
      <c r="G227" t="n">
        <v>59083640</v>
      </c>
      <c r="H227" t="n">
        <v>498204286</v>
      </c>
      <c r="I227" t="n">
        <v>4113538077</v>
      </c>
      <c r="J227" t="n">
        <v>2000</v>
      </c>
      <c r="K227" t="n">
        <v>25509</v>
      </c>
      <c r="L227" t="n">
        <v>2500</v>
      </c>
      <c r="M227" t="n">
        <v>1100</v>
      </c>
      <c r="N227" t="n">
        <v>2130</v>
      </c>
      <c r="O227" t="n">
        <v>3260</v>
      </c>
      <c r="P227" t="n">
        <v>4390</v>
      </c>
      <c r="Q227" t="n">
        <v>5520</v>
      </c>
      <c r="R227" t="n">
        <v>6650</v>
      </c>
      <c r="S227" t="n">
        <v>7780</v>
      </c>
      <c r="T227" t="n">
        <v>8910</v>
      </c>
      <c r="U227" t="n">
        <v>10040</v>
      </c>
      <c r="V227" t="n">
        <v>4948</v>
      </c>
      <c r="W227" t="n">
        <v>1904</v>
      </c>
      <c r="X227" t="n">
        <v>1678</v>
      </c>
      <c r="Y227" t="n">
        <v>8060</v>
      </c>
    </row>
    <row r="228">
      <c r="A228" t="n">
        <v>227</v>
      </c>
      <c r="B228" t="n">
        <v>0</v>
      </c>
      <c r="C228" t="n">
        <v>29851</v>
      </c>
      <c r="D228" t="n">
        <v>89898</v>
      </c>
      <c r="E228" t="n">
        <v>808065</v>
      </c>
      <c r="F228" t="n">
        <v>7157091</v>
      </c>
      <c r="G228" t="n">
        <v>62037822</v>
      </c>
      <c r="H228" t="n">
        <v>528096544</v>
      </c>
      <c r="I228" t="n">
        <v>4401485743</v>
      </c>
      <c r="J228" t="n">
        <v>2000</v>
      </c>
      <c r="K228" t="n">
        <v>25765</v>
      </c>
      <c r="L228" t="n">
        <v>2500</v>
      </c>
      <c r="M228" t="n">
        <v>1100</v>
      </c>
      <c r="N228" t="n">
        <v>2135</v>
      </c>
      <c r="O228" t="n">
        <v>3270</v>
      </c>
      <c r="P228" t="n">
        <v>4405</v>
      </c>
      <c r="Q228" t="n">
        <v>5540</v>
      </c>
      <c r="R228" t="n">
        <v>6675</v>
      </c>
      <c r="S228" t="n">
        <v>7810</v>
      </c>
      <c r="T228" t="n">
        <v>8945</v>
      </c>
      <c r="U228" t="n">
        <v>10080</v>
      </c>
      <c r="V228" t="n">
        <v>4977</v>
      </c>
      <c r="W228" t="n">
        <v>1908</v>
      </c>
      <c r="X228" t="n">
        <v>1681</v>
      </c>
      <c r="Y228" t="n">
        <v>8070</v>
      </c>
    </row>
    <row r="229">
      <c r="A229" t="n">
        <v>228</v>
      </c>
      <c r="B229" t="n">
        <v>0</v>
      </c>
      <c r="C229" t="n">
        <v>30299</v>
      </c>
      <c r="D229" t="n">
        <v>91696</v>
      </c>
      <c r="E229" t="n">
        <v>832307</v>
      </c>
      <c r="F229" t="n">
        <v>7443375</v>
      </c>
      <c r="G229" t="n">
        <v>65139714</v>
      </c>
      <c r="H229" t="n">
        <v>559782337</v>
      </c>
      <c r="I229" t="n">
        <v>4709589746</v>
      </c>
      <c r="J229" t="n">
        <v>2000</v>
      </c>
      <c r="K229" t="n">
        <v>26023</v>
      </c>
      <c r="L229" t="n">
        <v>2500</v>
      </c>
      <c r="M229" t="n">
        <v>1100</v>
      </c>
      <c r="N229" t="n">
        <v>2140</v>
      </c>
      <c r="O229" t="n">
        <v>3280</v>
      </c>
      <c r="P229" t="n">
        <v>4420</v>
      </c>
      <c r="Q229" t="n">
        <v>5560</v>
      </c>
      <c r="R229" t="n">
        <v>6700</v>
      </c>
      <c r="S229" t="n">
        <v>7840</v>
      </c>
      <c r="T229" t="n">
        <v>8980</v>
      </c>
      <c r="U229" t="n">
        <v>10120</v>
      </c>
      <c r="V229" t="n">
        <v>5006</v>
      </c>
      <c r="W229" t="n">
        <v>1912</v>
      </c>
      <c r="X229" t="n">
        <v>1684</v>
      </c>
      <c r="Y229" t="n">
        <v>8080</v>
      </c>
    </row>
    <row r="230">
      <c r="A230" t="n">
        <v>229</v>
      </c>
      <c r="B230" t="n">
        <v>0</v>
      </c>
      <c r="C230" t="n">
        <v>30754</v>
      </c>
      <c r="D230" t="n">
        <v>93530</v>
      </c>
      <c r="E230" t="n">
        <v>857277</v>
      </c>
      <c r="F230" t="n">
        <v>7741110</v>
      </c>
      <c r="G230" t="n">
        <v>68396700</v>
      </c>
      <c r="H230" t="n">
        <v>593369278</v>
      </c>
      <c r="I230" t="n">
        <v>5039261029</v>
      </c>
      <c r="J230" t="n">
        <v>2000</v>
      </c>
      <c r="K230" t="n">
        <v>26284</v>
      </c>
      <c r="L230" t="n">
        <v>2500</v>
      </c>
      <c r="M230" t="n">
        <v>1100</v>
      </c>
      <c r="N230" t="n">
        <v>2145</v>
      </c>
      <c r="O230" t="n">
        <v>3290</v>
      </c>
      <c r="P230" t="n">
        <v>4435</v>
      </c>
      <c r="Q230" t="n">
        <v>5580</v>
      </c>
      <c r="R230" t="n">
        <v>6725</v>
      </c>
      <c r="S230" t="n">
        <v>7870</v>
      </c>
      <c r="T230" t="n">
        <v>9015</v>
      </c>
      <c r="U230" t="n">
        <v>10160</v>
      </c>
      <c r="V230" t="n">
        <v>5036</v>
      </c>
      <c r="W230" t="n">
        <v>1916</v>
      </c>
      <c r="X230" t="n">
        <v>1687</v>
      </c>
      <c r="Y230" t="n">
        <v>8090</v>
      </c>
    </row>
    <row r="231">
      <c r="A231" t="n">
        <v>230</v>
      </c>
      <c r="B231" t="n">
        <v>0</v>
      </c>
      <c r="C231" t="n">
        <v>31216</v>
      </c>
      <c r="D231" t="n">
        <v>95401</v>
      </c>
      <c r="E231" t="n">
        <v>882996</v>
      </c>
      <c r="F231" t="n">
        <v>8050755</v>
      </c>
      <c r="G231" t="n">
        <v>71816535</v>
      </c>
      <c r="H231" t="n">
        <v>628971435</v>
      </c>
      <c r="I231" t="n">
        <v>5392009302</v>
      </c>
      <c r="J231" t="n">
        <v>2000</v>
      </c>
      <c r="K231" t="n">
        <v>26547</v>
      </c>
      <c r="L231" t="n">
        <v>2500</v>
      </c>
      <c r="M231" t="n">
        <v>1100</v>
      </c>
      <c r="N231" t="n">
        <v>2150</v>
      </c>
      <c r="O231" t="n">
        <v>3300</v>
      </c>
      <c r="P231" t="n">
        <v>4450</v>
      </c>
      <c r="Q231" t="n">
        <v>5600</v>
      </c>
      <c r="R231" t="n">
        <v>6750</v>
      </c>
      <c r="S231" t="n">
        <v>7900</v>
      </c>
      <c r="T231" t="n">
        <v>9050</v>
      </c>
      <c r="U231" t="n">
        <v>10200</v>
      </c>
      <c r="V231" t="n">
        <v>5066</v>
      </c>
      <c r="W231" t="n">
        <v>1920</v>
      </c>
      <c r="X231" t="n">
        <v>1690</v>
      </c>
      <c r="Y231" t="n">
        <v>8100</v>
      </c>
    </row>
    <row r="232">
      <c r="A232" t="n">
        <v>231</v>
      </c>
      <c r="B232" t="n">
        <v>0</v>
      </c>
      <c r="C232" t="n">
        <v>31685</v>
      </c>
      <c r="D232" t="n">
        <v>97310</v>
      </c>
      <c r="E232" t="n">
        <v>909486</v>
      </c>
      <c r="F232" t="n">
        <v>8372786</v>
      </c>
      <c r="G232" t="n">
        <v>75407362</v>
      </c>
      <c r="H232" t="n">
        <v>666709722</v>
      </c>
      <c r="I232" t="n">
        <v>5769449954</v>
      </c>
      <c r="J232" t="n">
        <v>2000</v>
      </c>
      <c r="K232" t="n">
        <v>26813</v>
      </c>
      <c r="L232" t="n">
        <v>2500</v>
      </c>
      <c r="M232" t="n">
        <v>1100</v>
      </c>
      <c r="N232" t="n">
        <v>2155</v>
      </c>
      <c r="O232" t="n">
        <v>3310</v>
      </c>
      <c r="P232" t="n">
        <v>4465</v>
      </c>
      <c r="Q232" t="n">
        <v>5620</v>
      </c>
      <c r="R232" t="n">
        <v>6775</v>
      </c>
      <c r="S232" t="n">
        <v>7930</v>
      </c>
      <c r="T232" t="n">
        <v>9085</v>
      </c>
      <c r="U232" t="n">
        <v>10240</v>
      </c>
      <c r="V232" t="n">
        <v>5096</v>
      </c>
      <c r="W232" t="n">
        <v>1924</v>
      </c>
      <c r="X232" t="n">
        <v>1693</v>
      </c>
      <c r="Y232" t="n">
        <v>8110</v>
      </c>
    </row>
    <row r="233">
      <c r="A233" t="n">
        <v>232</v>
      </c>
      <c r="B233" t="n">
        <v>0</v>
      </c>
      <c r="C233" t="n">
        <v>32161</v>
      </c>
      <c r="D233" t="n">
        <v>99257</v>
      </c>
      <c r="E233" t="n">
        <v>936771</v>
      </c>
      <c r="F233" t="n">
        <v>8707698</v>
      </c>
      <c r="G233" t="n">
        <v>79177731</v>
      </c>
      <c r="H233" t="n">
        <v>706712306</v>
      </c>
      <c r="I233" t="n">
        <v>6173311451</v>
      </c>
      <c r="J233" t="n">
        <v>2000</v>
      </c>
      <c r="K233" t="n">
        <v>27082</v>
      </c>
      <c r="L233" t="n">
        <v>2500</v>
      </c>
      <c r="M233" t="n">
        <v>1100</v>
      </c>
      <c r="N233" t="n">
        <v>2160</v>
      </c>
      <c r="O233" t="n">
        <v>3320</v>
      </c>
      <c r="P233" t="n">
        <v>4480</v>
      </c>
      <c r="Q233" t="n">
        <v>5640</v>
      </c>
      <c r="R233" t="n">
        <v>6800</v>
      </c>
      <c r="S233" t="n">
        <v>7960</v>
      </c>
      <c r="T233" t="n">
        <v>9120</v>
      </c>
      <c r="U233" t="n">
        <v>10280</v>
      </c>
      <c r="V233" t="n">
        <v>5126</v>
      </c>
      <c r="W233" t="n">
        <v>1928</v>
      </c>
      <c r="X233" t="n">
        <v>1696</v>
      </c>
      <c r="Y233" t="n">
        <v>8120</v>
      </c>
    </row>
    <row r="234">
      <c r="A234" t="n">
        <v>233</v>
      </c>
      <c r="B234" t="n">
        <v>0</v>
      </c>
      <c r="C234" t="n">
        <v>32644</v>
      </c>
      <c r="D234" t="n">
        <v>101243</v>
      </c>
      <c r="E234" t="n">
        <v>964875</v>
      </c>
      <c r="F234" t="n">
        <v>9056006</v>
      </c>
      <c r="G234" t="n">
        <v>83136618</v>
      </c>
      <c r="H234" t="n">
        <v>749115045</v>
      </c>
      <c r="I234" t="n">
        <v>6605443253</v>
      </c>
      <c r="J234" t="n">
        <v>2000</v>
      </c>
      <c r="K234" t="n">
        <v>27353</v>
      </c>
      <c r="L234" t="n">
        <v>2500</v>
      </c>
      <c r="M234" t="n">
        <v>1100</v>
      </c>
      <c r="N234" t="n">
        <v>2165</v>
      </c>
      <c r="O234" t="n">
        <v>3330</v>
      </c>
      <c r="P234" t="n">
        <v>4495</v>
      </c>
      <c r="Q234" t="n">
        <v>5660</v>
      </c>
      <c r="R234" t="n">
        <v>6825</v>
      </c>
      <c r="S234" t="n">
        <v>7990</v>
      </c>
      <c r="T234" t="n">
        <v>9155</v>
      </c>
      <c r="U234" t="n">
        <v>10320</v>
      </c>
      <c r="V234" t="n">
        <v>5156</v>
      </c>
      <c r="W234" t="n">
        <v>1932</v>
      </c>
      <c r="X234" t="n">
        <v>1699</v>
      </c>
      <c r="Y234" t="n">
        <v>8130</v>
      </c>
    </row>
    <row r="235">
      <c r="A235" t="n">
        <v>234</v>
      </c>
      <c r="B235" t="n">
        <v>0</v>
      </c>
      <c r="C235" t="n">
        <v>33134</v>
      </c>
      <c r="D235" t="n">
        <v>103268</v>
      </c>
      <c r="E235" t="n">
        <v>993822</v>
      </c>
      <c r="F235" t="n">
        <v>9418247</v>
      </c>
      <c r="G235" t="n">
        <v>87293449</v>
      </c>
      <c r="H235" t="n">
        <v>794061948</v>
      </c>
      <c r="I235" t="n">
        <v>7067824281</v>
      </c>
      <c r="J235" t="n">
        <v>2000</v>
      </c>
      <c r="K235" t="n">
        <v>27627</v>
      </c>
      <c r="L235" t="n">
        <v>2500</v>
      </c>
      <c r="M235" t="n">
        <v>1100</v>
      </c>
      <c r="N235" t="n">
        <v>2170</v>
      </c>
      <c r="O235" t="n">
        <v>3340</v>
      </c>
      <c r="P235" t="n">
        <v>4510</v>
      </c>
      <c r="Q235" t="n">
        <v>5680</v>
      </c>
      <c r="R235" t="n">
        <v>6850</v>
      </c>
      <c r="S235" t="n">
        <v>8020</v>
      </c>
      <c r="T235" t="n">
        <v>9190</v>
      </c>
      <c r="U235" t="n">
        <v>10360</v>
      </c>
      <c r="V235" t="n">
        <v>5186</v>
      </c>
      <c r="W235" t="n">
        <v>1936</v>
      </c>
      <c r="X235" t="n">
        <v>1702</v>
      </c>
      <c r="Y235" t="n">
        <v>8140</v>
      </c>
    </row>
    <row r="236">
      <c r="A236" t="n">
        <v>235</v>
      </c>
      <c r="B236" t="n">
        <v>0</v>
      </c>
      <c r="C236" t="n">
        <v>33632</v>
      </c>
      <c r="D236" t="n">
        <v>105334</v>
      </c>
      <c r="E236" t="n">
        <v>1023637</v>
      </c>
      <c r="F236" t="n">
        <v>9794977</v>
      </c>
      <c r="G236" t="n">
        <v>91658122</v>
      </c>
      <c r="H236" t="n">
        <v>841705665</v>
      </c>
      <c r="I236" t="n">
        <v>7562571981</v>
      </c>
      <c r="J236" t="n">
        <v>2000</v>
      </c>
      <c r="K236" t="n">
        <v>27904</v>
      </c>
      <c r="L236" t="n">
        <v>2500</v>
      </c>
      <c r="M236" t="n">
        <v>1100</v>
      </c>
      <c r="N236" t="n">
        <v>2175</v>
      </c>
      <c r="O236" t="n">
        <v>3350</v>
      </c>
      <c r="P236" t="n">
        <v>4525</v>
      </c>
      <c r="Q236" t="n">
        <v>5700</v>
      </c>
      <c r="R236" t="n">
        <v>6875</v>
      </c>
      <c r="S236" t="n">
        <v>8050</v>
      </c>
      <c r="T236" t="n">
        <v>9225</v>
      </c>
      <c r="U236" t="n">
        <v>10400</v>
      </c>
      <c r="V236" t="n">
        <v>5216</v>
      </c>
      <c r="W236" t="n">
        <v>1940</v>
      </c>
      <c r="X236" t="n">
        <v>1705</v>
      </c>
      <c r="Y236" t="n">
        <v>8150</v>
      </c>
    </row>
    <row r="237">
      <c r="A237" t="n">
        <v>236</v>
      </c>
      <c r="B237" t="n">
        <v>0</v>
      </c>
      <c r="C237" t="n">
        <v>34137</v>
      </c>
      <c r="D237" t="n">
        <v>107441</v>
      </c>
      <c r="E237" t="n">
        <v>1054347</v>
      </c>
      <c r="F237" t="n">
        <v>10186777</v>
      </c>
      <c r="G237" t="n">
        <v>96241029</v>
      </c>
      <c r="H237" t="n">
        <v>892208005</v>
      </c>
      <c r="I237" t="n">
        <v>8091952020</v>
      </c>
      <c r="J237" t="n">
        <v>2000</v>
      </c>
      <c r="K237" t="n">
        <v>28184</v>
      </c>
      <c r="L237" t="n">
        <v>2500</v>
      </c>
      <c r="M237" t="n">
        <v>1100</v>
      </c>
      <c r="N237" t="n">
        <v>2180</v>
      </c>
      <c r="O237" t="n">
        <v>3360</v>
      </c>
      <c r="P237" t="n">
        <v>4540</v>
      </c>
      <c r="Q237" t="n">
        <v>5720</v>
      </c>
      <c r="R237" t="n">
        <v>6900</v>
      </c>
      <c r="S237" t="n">
        <v>8080</v>
      </c>
      <c r="T237" t="n">
        <v>9260</v>
      </c>
      <c r="U237" t="n">
        <v>10440</v>
      </c>
      <c r="V237" t="n">
        <v>5247</v>
      </c>
      <c r="W237" t="n">
        <v>1944</v>
      </c>
      <c r="X237" t="n">
        <v>1708</v>
      </c>
      <c r="Y237" t="n">
        <v>8160</v>
      </c>
    </row>
    <row r="238">
      <c r="A238" t="n">
        <v>237</v>
      </c>
      <c r="B238" t="n">
        <v>0</v>
      </c>
      <c r="C238" t="n">
        <v>34650</v>
      </c>
      <c r="D238" t="n">
        <v>109590</v>
      </c>
      <c r="E238" t="n">
        <v>1085978</v>
      </c>
      <c r="F238" t="n">
        <v>10594249</v>
      </c>
      <c r="G238" t="n">
        <v>101053081</v>
      </c>
      <c r="H238" t="n">
        <v>945740486</v>
      </c>
      <c r="I238" t="n">
        <v>8658388662</v>
      </c>
      <c r="J238" t="n">
        <v>2000</v>
      </c>
      <c r="K238" t="n">
        <v>28466</v>
      </c>
      <c r="L238" t="n">
        <v>2500</v>
      </c>
      <c r="M238" t="n">
        <v>1100</v>
      </c>
      <c r="N238" t="n">
        <v>2185</v>
      </c>
      <c r="O238" t="n">
        <v>3370</v>
      </c>
      <c r="P238" t="n">
        <v>4555</v>
      </c>
      <c r="Q238" t="n">
        <v>5740</v>
      </c>
      <c r="R238" t="n">
        <v>6925</v>
      </c>
      <c r="S238" t="n">
        <v>8110</v>
      </c>
      <c r="T238" t="n">
        <v>9295</v>
      </c>
      <c r="U238" t="n">
        <v>10480</v>
      </c>
      <c r="V238" t="n">
        <v>5278</v>
      </c>
      <c r="W238" t="n">
        <v>1948</v>
      </c>
      <c r="X238" t="n">
        <v>1711</v>
      </c>
      <c r="Y238" t="n">
        <v>8170</v>
      </c>
    </row>
    <row r="239">
      <c r="A239" t="n">
        <v>238</v>
      </c>
      <c r="B239" t="n">
        <v>0</v>
      </c>
      <c r="C239" t="n">
        <v>35170</v>
      </c>
      <c r="D239" t="n">
        <v>111782</v>
      </c>
      <c r="E239" t="n">
        <v>1118558</v>
      </c>
      <c r="F239" t="n">
        <v>11018019</v>
      </c>
      <c r="G239" t="n">
        <v>106105736</v>
      </c>
      <c r="H239" t="n">
        <v>1002484916</v>
      </c>
      <c r="I239" t="n">
        <v>9264475869</v>
      </c>
      <c r="J239" t="n">
        <v>2000</v>
      </c>
      <c r="K239" t="n">
        <v>28751</v>
      </c>
      <c r="L239" t="n">
        <v>2500</v>
      </c>
      <c r="M239" t="n">
        <v>1100</v>
      </c>
      <c r="N239" t="n">
        <v>2190</v>
      </c>
      <c r="O239" t="n">
        <v>3380</v>
      </c>
      <c r="P239" t="n">
        <v>4570</v>
      </c>
      <c r="Q239" t="n">
        <v>5760</v>
      </c>
      <c r="R239" t="n">
        <v>6950</v>
      </c>
      <c r="S239" t="n">
        <v>8140</v>
      </c>
      <c r="T239" t="n">
        <v>9330</v>
      </c>
      <c r="U239" t="n">
        <v>10520</v>
      </c>
      <c r="V239" t="n">
        <v>5309</v>
      </c>
      <c r="W239" t="n">
        <v>1952</v>
      </c>
      <c r="X239" t="n">
        <v>1714</v>
      </c>
      <c r="Y239" t="n">
        <v>8180</v>
      </c>
    </row>
    <row r="240">
      <c r="A240" t="n">
        <v>239</v>
      </c>
      <c r="B240" t="n">
        <v>0</v>
      </c>
      <c r="C240" t="n">
        <v>35698</v>
      </c>
      <c r="D240" t="n">
        <v>114018</v>
      </c>
      <c r="E240" t="n">
        <v>1152115</v>
      </c>
      <c r="F240" t="n">
        <v>11458740</v>
      </c>
      <c r="G240" t="n">
        <v>111411023</v>
      </c>
      <c r="H240" t="n">
        <v>1062634011</v>
      </c>
      <c r="I240" t="n">
        <v>9912989180</v>
      </c>
      <c r="J240" t="n">
        <v>2000</v>
      </c>
      <c r="K240" t="n">
        <v>29039</v>
      </c>
      <c r="L240" t="n">
        <v>2500</v>
      </c>
      <c r="M240" t="n">
        <v>1100</v>
      </c>
      <c r="N240" t="n">
        <v>2195</v>
      </c>
      <c r="O240" t="n">
        <v>3390</v>
      </c>
      <c r="P240" t="n">
        <v>4585</v>
      </c>
      <c r="Q240" t="n">
        <v>5780</v>
      </c>
      <c r="R240" t="n">
        <v>6975</v>
      </c>
      <c r="S240" t="n">
        <v>8170</v>
      </c>
      <c r="T240" t="n">
        <v>9365</v>
      </c>
      <c r="U240" t="n">
        <v>10560</v>
      </c>
      <c r="V240" t="n">
        <v>5340</v>
      </c>
      <c r="W240" t="n">
        <v>1956</v>
      </c>
      <c r="X240" t="n">
        <v>1717</v>
      </c>
      <c r="Y240" t="n">
        <v>8190</v>
      </c>
    </row>
    <row r="241">
      <c r="A241" t="n">
        <v>240</v>
      </c>
      <c r="B241" t="n">
        <v>0</v>
      </c>
      <c r="C241" t="n">
        <v>36234</v>
      </c>
      <c r="D241" t="n">
        <v>116299</v>
      </c>
      <c r="E241" t="n">
        <v>1186679</v>
      </c>
      <c r="F241" t="n">
        <v>11917090</v>
      </c>
      <c r="G241" t="n">
        <v>116981575</v>
      </c>
      <c r="H241" t="n">
        <v>1126392052</v>
      </c>
      <c r="I241" t="n">
        <v>10606898423</v>
      </c>
      <c r="J241" t="n">
        <v>2000</v>
      </c>
      <c r="K241" t="n">
        <v>29330</v>
      </c>
      <c r="L241" t="n">
        <v>2500</v>
      </c>
      <c r="M241" t="n">
        <v>1100</v>
      </c>
      <c r="N241" t="n">
        <v>2200</v>
      </c>
      <c r="O241" t="n">
        <v>3400</v>
      </c>
      <c r="P241" t="n">
        <v>4600</v>
      </c>
      <c r="Q241" t="n">
        <v>5800</v>
      </c>
      <c r="R241" t="n">
        <v>7000</v>
      </c>
      <c r="S241" t="n">
        <v>8200</v>
      </c>
      <c r="T241" t="n">
        <v>9400</v>
      </c>
      <c r="U241" t="n">
        <v>10600</v>
      </c>
      <c r="V241" t="n">
        <v>5371</v>
      </c>
      <c r="W241" t="n">
        <v>1960</v>
      </c>
      <c r="X241" t="n">
        <v>1720</v>
      </c>
      <c r="Y241" t="n">
        <v>8200</v>
      </c>
    </row>
    <row r="242">
      <c r="A242" t="n">
        <v>241</v>
      </c>
      <c r="B242" t="n">
        <v>0</v>
      </c>
      <c r="C242" t="n">
        <v>36778</v>
      </c>
      <c r="D242" t="n">
        <v>118625</v>
      </c>
      <c r="E242" t="n">
        <v>1222280</v>
      </c>
      <c r="F242" t="n">
        <v>12393774</v>
      </c>
      <c r="G242" t="n">
        <v>122830654</v>
      </c>
      <c r="H242" t="n">
        <v>1193975576</v>
      </c>
      <c r="I242" t="n">
        <v>11349381313</v>
      </c>
      <c r="J242" t="n">
        <v>2000</v>
      </c>
      <c r="K242" t="n">
        <v>29624</v>
      </c>
      <c r="L242" t="n">
        <v>2500</v>
      </c>
      <c r="M242" t="n">
        <v>1100</v>
      </c>
      <c r="N242" t="n">
        <v>2205</v>
      </c>
      <c r="O242" t="n">
        <v>3410</v>
      </c>
      <c r="P242" t="n">
        <v>4615</v>
      </c>
      <c r="Q242" t="n">
        <v>5820</v>
      </c>
      <c r="R242" t="n">
        <v>7025</v>
      </c>
      <c r="S242" t="n">
        <v>8230</v>
      </c>
      <c r="T242" t="n">
        <v>9435</v>
      </c>
      <c r="U242" t="n">
        <v>10640</v>
      </c>
      <c r="V242" t="n">
        <v>5402</v>
      </c>
      <c r="W242" t="n">
        <v>1964</v>
      </c>
      <c r="X242" t="n">
        <v>1723</v>
      </c>
      <c r="Y242" t="n">
        <v>8210</v>
      </c>
    </row>
    <row r="243">
      <c r="A243" t="n">
        <v>242</v>
      </c>
      <c r="B243" t="n">
        <v>0</v>
      </c>
      <c r="C243" t="n">
        <v>37330</v>
      </c>
      <c r="D243" t="n">
        <v>120998</v>
      </c>
      <c r="E243" t="n">
        <v>1258949</v>
      </c>
      <c r="F243" t="n">
        <v>12889525</v>
      </c>
      <c r="G243" t="n">
        <v>128972187</v>
      </c>
      <c r="H243" t="n">
        <v>1265614111</v>
      </c>
      <c r="I243" t="n">
        <v>12143838005</v>
      </c>
      <c r="J243" t="n">
        <v>2000</v>
      </c>
      <c r="K243" t="n">
        <v>29921</v>
      </c>
      <c r="L243" t="n">
        <v>2500</v>
      </c>
      <c r="M243" t="n">
        <v>1100</v>
      </c>
      <c r="N243" t="n">
        <v>2210</v>
      </c>
      <c r="O243" t="n">
        <v>3420</v>
      </c>
      <c r="P243" t="n">
        <v>4630</v>
      </c>
      <c r="Q243" t="n">
        <v>5840</v>
      </c>
      <c r="R243" t="n">
        <v>7050</v>
      </c>
      <c r="S243" t="n">
        <v>8260</v>
      </c>
      <c r="T243" t="n">
        <v>9470</v>
      </c>
      <c r="U243" t="n">
        <v>10680</v>
      </c>
      <c r="V243" t="n">
        <v>5434</v>
      </c>
      <c r="W243" t="n">
        <v>1968</v>
      </c>
      <c r="X243" t="n">
        <v>1726</v>
      </c>
      <c r="Y243" t="n">
        <v>8220</v>
      </c>
    </row>
    <row r="244">
      <c r="A244" t="n">
        <v>243</v>
      </c>
      <c r="B244" t="n">
        <v>0</v>
      </c>
      <c r="C244" t="n">
        <v>37890</v>
      </c>
      <c r="D244" t="n">
        <v>123418</v>
      </c>
      <c r="E244" t="n">
        <v>1296718</v>
      </c>
      <c r="F244" t="n">
        <v>13405106</v>
      </c>
      <c r="G244" t="n">
        <v>135420797</v>
      </c>
      <c r="H244" t="n">
        <v>1341550958</v>
      </c>
      <c r="I244" t="n">
        <v>12993906666</v>
      </c>
      <c r="J244" t="n">
        <v>2000</v>
      </c>
      <c r="K244" t="n">
        <v>30221</v>
      </c>
      <c r="L244" t="n">
        <v>2500</v>
      </c>
      <c r="M244" t="n">
        <v>1100</v>
      </c>
      <c r="N244" t="n">
        <v>2215</v>
      </c>
      <c r="O244" t="n">
        <v>3430</v>
      </c>
      <c r="P244" t="n">
        <v>4645</v>
      </c>
      <c r="Q244" t="n">
        <v>5860</v>
      </c>
      <c r="R244" t="n">
        <v>7075</v>
      </c>
      <c r="S244" t="n">
        <v>8290</v>
      </c>
      <c r="T244" t="n">
        <v>9505</v>
      </c>
      <c r="U244" t="n">
        <v>10720</v>
      </c>
      <c r="V244" t="n">
        <v>5466</v>
      </c>
      <c r="W244" t="n">
        <v>1972</v>
      </c>
      <c r="X244" t="n">
        <v>1729</v>
      </c>
      <c r="Y244" t="n">
        <v>8230</v>
      </c>
    </row>
    <row r="245">
      <c r="A245" t="n">
        <v>244</v>
      </c>
      <c r="B245" t="n">
        <v>0</v>
      </c>
      <c r="C245" t="n">
        <v>38459</v>
      </c>
      <c r="D245" t="n">
        <v>125887</v>
      </c>
      <c r="E245" t="n">
        <v>1335620</v>
      </c>
      <c r="F245" t="n">
        <v>13941311</v>
      </c>
      <c r="G245" t="n">
        <v>142191837</v>
      </c>
      <c r="H245" t="n">
        <v>1422044016</v>
      </c>
      <c r="I245" t="n">
        <v>13903480133</v>
      </c>
      <c r="J245" t="n">
        <v>2000</v>
      </c>
      <c r="K245" t="n">
        <v>30524</v>
      </c>
      <c r="L245" t="n">
        <v>2500</v>
      </c>
      <c r="M245" t="n">
        <v>1100</v>
      </c>
      <c r="N245" t="n">
        <v>2220</v>
      </c>
      <c r="O245" t="n">
        <v>3440</v>
      </c>
      <c r="P245" t="n">
        <v>4660</v>
      </c>
      <c r="Q245" t="n">
        <v>5880</v>
      </c>
      <c r="R245" t="n">
        <v>7100</v>
      </c>
      <c r="S245" t="n">
        <v>8320</v>
      </c>
      <c r="T245" t="n">
        <v>9540</v>
      </c>
      <c r="U245" t="n">
        <v>10760</v>
      </c>
      <c r="V245" t="n">
        <v>5498</v>
      </c>
      <c r="W245" t="n">
        <v>1976</v>
      </c>
      <c r="X245" t="n">
        <v>1732</v>
      </c>
      <c r="Y245" t="n">
        <v>8240</v>
      </c>
    </row>
    <row r="246">
      <c r="A246" t="n">
        <v>245</v>
      </c>
      <c r="B246" t="n">
        <v>0</v>
      </c>
      <c r="C246" t="n">
        <v>39036</v>
      </c>
      <c r="D246" t="n">
        <v>128405</v>
      </c>
      <c r="E246" t="n">
        <v>1375689</v>
      </c>
      <c r="F246" t="n">
        <v>14498964</v>
      </c>
      <c r="G246" t="n">
        <v>149301429</v>
      </c>
      <c r="H246" t="n">
        <v>1507366657</v>
      </c>
      <c r="I246" t="n">
        <v>14876723743</v>
      </c>
      <c r="J246" t="n">
        <v>2000</v>
      </c>
      <c r="K246" t="n">
        <v>30830</v>
      </c>
      <c r="L246" t="n">
        <v>2500</v>
      </c>
      <c r="M246" t="n">
        <v>1100</v>
      </c>
      <c r="N246" t="n">
        <v>2225</v>
      </c>
      <c r="O246" t="n">
        <v>3450</v>
      </c>
      <c r="P246" t="n">
        <v>4675</v>
      </c>
      <c r="Q246" t="n">
        <v>5900</v>
      </c>
      <c r="R246" t="n">
        <v>7125</v>
      </c>
      <c r="S246" t="n">
        <v>8350</v>
      </c>
      <c r="T246" t="n">
        <v>9575</v>
      </c>
      <c r="U246" t="n">
        <v>10800</v>
      </c>
      <c r="V246" t="n">
        <v>5530</v>
      </c>
      <c r="W246" t="n">
        <v>1980</v>
      </c>
      <c r="X246" t="n">
        <v>1735</v>
      </c>
      <c r="Y246" t="n">
        <v>8250</v>
      </c>
    </row>
    <row r="247">
      <c r="A247" t="n">
        <v>246</v>
      </c>
      <c r="B247" t="n">
        <v>0</v>
      </c>
      <c r="C247" t="n">
        <v>39622</v>
      </c>
      <c r="D247" t="n">
        <v>130974</v>
      </c>
      <c r="E247" t="n">
        <v>1416960</v>
      </c>
      <c r="F247" t="n">
        <v>15078923</v>
      </c>
      <c r="G247" t="n">
        <v>156766501</v>
      </c>
      <c r="H247" t="n">
        <v>1597808657</v>
      </c>
      <c r="I247" t="n">
        <v>15918094406</v>
      </c>
      <c r="J247" t="n">
        <v>2000</v>
      </c>
      <c r="K247" t="n">
        <v>31139</v>
      </c>
      <c r="L247" t="n">
        <v>2500</v>
      </c>
      <c r="M247" t="n">
        <v>1100</v>
      </c>
      <c r="N247" t="n">
        <v>2230</v>
      </c>
      <c r="O247" t="n">
        <v>3460</v>
      </c>
      <c r="P247" t="n">
        <v>4690</v>
      </c>
      <c r="Q247" t="n">
        <v>5920</v>
      </c>
      <c r="R247" t="n">
        <v>7150</v>
      </c>
      <c r="S247" t="n">
        <v>8380</v>
      </c>
      <c r="T247" t="n">
        <v>9610</v>
      </c>
      <c r="U247" t="n">
        <v>10840</v>
      </c>
      <c r="V247" t="n">
        <v>5562</v>
      </c>
      <c r="W247" t="n">
        <v>1984</v>
      </c>
      <c r="X247" t="n">
        <v>1738</v>
      </c>
      <c r="Y247" t="n">
        <v>8260</v>
      </c>
    </row>
    <row r="248">
      <c r="A248" t="n">
        <v>247</v>
      </c>
      <c r="B248" t="n">
        <v>0</v>
      </c>
      <c r="C248" t="n">
        <v>40217</v>
      </c>
      <c r="D248" t="n">
        <v>133594</v>
      </c>
      <c r="E248" t="n">
        <v>1459469</v>
      </c>
      <c r="F248" t="n">
        <v>15682080</v>
      </c>
      <c r="G248" t="n">
        <v>164604827</v>
      </c>
      <c r="H248" t="n">
        <v>1693677177</v>
      </c>
      <c r="I248" t="n">
        <v>17032361015</v>
      </c>
      <c r="J248" t="n">
        <v>2000</v>
      </c>
      <c r="K248" t="n">
        <v>31451</v>
      </c>
      <c r="L248" t="n">
        <v>2500</v>
      </c>
      <c r="M248" t="n">
        <v>1100</v>
      </c>
      <c r="N248" t="n">
        <v>2235</v>
      </c>
      <c r="O248" t="n">
        <v>3470</v>
      </c>
      <c r="P248" t="n">
        <v>4705</v>
      </c>
      <c r="Q248" t="n">
        <v>5940</v>
      </c>
      <c r="R248" t="n">
        <v>7175</v>
      </c>
      <c r="S248" t="n">
        <v>8410</v>
      </c>
      <c r="T248" t="n">
        <v>9645</v>
      </c>
      <c r="U248" t="n">
        <v>10880</v>
      </c>
      <c r="V248" t="n">
        <v>5594</v>
      </c>
      <c r="W248" t="n">
        <v>1988</v>
      </c>
      <c r="X248" t="n">
        <v>1741</v>
      </c>
      <c r="Y248" t="n">
        <v>8270</v>
      </c>
    </row>
    <row r="249">
      <c r="A249" t="n">
        <v>248</v>
      </c>
      <c r="B249" t="n">
        <v>0</v>
      </c>
      <c r="C249" t="n">
        <v>40821</v>
      </c>
      <c r="D249" t="n">
        <v>136266</v>
      </c>
      <c r="E249" t="n">
        <v>1503254</v>
      </c>
      <c r="F249" t="n">
        <v>16309364</v>
      </c>
      <c r="G249" t="n">
        <v>172835069</v>
      </c>
      <c r="H249" t="n">
        <v>1795297808</v>
      </c>
      <c r="I249" t="n">
        <v>18224626287</v>
      </c>
      <c r="J249" t="n">
        <v>2000</v>
      </c>
      <c r="K249" t="n">
        <v>31766</v>
      </c>
      <c r="L249" t="n">
        <v>2500</v>
      </c>
      <c r="M249" t="n">
        <v>1100</v>
      </c>
      <c r="N249" t="n">
        <v>2240</v>
      </c>
      <c r="O249" t="n">
        <v>3480</v>
      </c>
      <c r="P249" t="n">
        <v>4720</v>
      </c>
      <c r="Q249" t="n">
        <v>5960</v>
      </c>
      <c r="R249" t="n">
        <v>7200</v>
      </c>
      <c r="S249" t="n">
        <v>8440</v>
      </c>
      <c r="T249" t="n">
        <v>9680</v>
      </c>
      <c r="U249" t="n">
        <v>10920</v>
      </c>
      <c r="V249" t="n">
        <v>5626</v>
      </c>
      <c r="W249" t="n">
        <v>1992</v>
      </c>
      <c r="X249" t="n">
        <v>1744</v>
      </c>
      <c r="Y249" t="n">
        <v>8280</v>
      </c>
    </row>
    <row r="250">
      <c r="A250" t="n">
        <v>249</v>
      </c>
      <c r="B250" t="n">
        <v>0</v>
      </c>
      <c r="C250" t="n">
        <v>41434</v>
      </c>
      <c r="D250" t="n">
        <v>138992</v>
      </c>
      <c r="E250" t="n">
        <v>1548352</v>
      </c>
      <c r="F250" t="n">
        <v>16961739</v>
      </c>
      <c r="G250" t="n">
        <v>181476823</v>
      </c>
      <c r="H250" t="n">
        <v>1903015677</v>
      </c>
      <c r="I250" t="n">
        <v>19500350128</v>
      </c>
      <c r="J250" t="n">
        <v>2000</v>
      </c>
      <c r="K250" t="n">
        <v>32084</v>
      </c>
      <c r="L250" t="n">
        <v>2500</v>
      </c>
      <c r="M250" t="n">
        <v>1100</v>
      </c>
      <c r="N250" t="n">
        <v>2245</v>
      </c>
      <c r="O250" t="n">
        <v>3490</v>
      </c>
      <c r="P250" t="n">
        <v>4735</v>
      </c>
      <c r="Q250" t="n">
        <v>5980</v>
      </c>
      <c r="R250" t="n">
        <v>7225</v>
      </c>
      <c r="S250" t="n">
        <v>8470</v>
      </c>
      <c r="T250" t="n">
        <v>9715</v>
      </c>
      <c r="U250" t="n">
        <v>10960</v>
      </c>
      <c r="V250" t="n">
        <v>5659</v>
      </c>
      <c r="W250" t="n">
        <v>1996</v>
      </c>
      <c r="X250" t="n">
        <v>1747</v>
      </c>
      <c r="Y250" t="n">
        <v>8290</v>
      </c>
    </row>
    <row r="251">
      <c r="A251" t="n">
        <v>250</v>
      </c>
      <c r="B251" t="n">
        <v>0</v>
      </c>
      <c r="C251" t="n">
        <v>42056</v>
      </c>
      <c r="D251" t="n">
        <v>141772</v>
      </c>
      <c r="E251" t="n">
        <v>1594803</v>
      </c>
      <c r="F251" t="n">
        <v>17640209</v>
      </c>
      <c r="G251" t="n">
        <v>190550665</v>
      </c>
      <c r="H251" t="n">
        <v>2017196618</v>
      </c>
      <c r="I251" t="n">
        <v>20865374637</v>
      </c>
      <c r="J251" t="n">
        <v>2000</v>
      </c>
      <c r="K251" t="n">
        <v>32405</v>
      </c>
      <c r="L251" t="n">
        <v>2500</v>
      </c>
      <c r="M251" t="n">
        <v>1100</v>
      </c>
      <c r="N251" t="n">
        <v>2250</v>
      </c>
      <c r="O251" t="n">
        <v>3500</v>
      </c>
      <c r="P251" t="n">
        <v>4750</v>
      </c>
      <c r="Q251" t="n">
        <v>6000</v>
      </c>
      <c r="R251" t="n">
        <v>7250</v>
      </c>
      <c r="S251" t="n">
        <v>8500</v>
      </c>
      <c r="T251" t="n">
        <v>9750</v>
      </c>
      <c r="U251" t="n">
        <v>11000</v>
      </c>
      <c r="V251" t="n">
        <v>5692</v>
      </c>
      <c r="W251" t="n">
        <v>2000</v>
      </c>
      <c r="X251" t="n">
        <v>1750</v>
      </c>
      <c r="Y251" t="n">
        <v>8300</v>
      </c>
    </row>
    <row r="252">
      <c r="A252" t="n">
        <v>251</v>
      </c>
      <c r="B252" t="n">
        <v>0</v>
      </c>
      <c r="C252" t="n">
        <v>42687</v>
      </c>
      <c r="D252" t="n">
        <v>144608</v>
      </c>
      <c r="E252" t="n">
        <v>1642648</v>
      </c>
      <c r="F252" t="n">
        <v>18345818</v>
      </c>
      <c r="G252" t="n">
        <v>200078199</v>
      </c>
      <c r="H252" t="n">
        <v>2138228416</v>
      </c>
      <c r="I252" t="n">
        <v>22325950862</v>
      </c>
      <c r="J252" t="n">
        <v>2000</v>
      </c>
      <c r="K252" t="n">
        <v>32730</v>
      </c>
      <c r="L252" t="n">
        <v>2500</v>
      </c>
      <c r="M252" t="n">
        <v>1100</v>
      </c>
      <c r="N252" t="n">
        <v>2255</v>
      </c>
      <c r="O252" t="n">
        <v>3510</v>
      </c>
      <c r="P252" t="n">
        <v>4765</v>
      </c>
      <c r="Q252" t="n">
        <v>6020</v>
      </c>
      <c r="R252" t="n">
        <v>7275</v>
      </c>
      <c r="S252" t="n">
        <v>8530</v>
      </c>
      <c r="T252" t="n">
        <v>9785</v>
      </c>
      <c r="U252" t="n">
        <v>11040</v>
      </c>
      <c r="V252" t="n">
        <v>5725</v>
      </c>
      <c r="W252" t="n">
        <v>2004</v>
      </c>
      <c r="X252" t="n">
        <v>1753</v>
      </c>
      <c r="Y252" t="n">
        <v>8310</v>
      </c>
    </row>
    <row r="253">
      <c r="A253" t="n">
        <v>252</v>
      </c>
      <c r="B253" t="n">
        <v>0</v>
      </c>
      <c r="C253" t="n">
        <v>43328</v>
      </c>
      <c r="D253" t="n">
        <v>147501</v>
      </c>
      <c r="E253" t="n">
        <v>1691928</v>
      </c>
      <c r="F253" t="n">
        <v>19079651</v>
      </c>
      <c r="G253" t="n">
        <v>210082109</v>
      </c>
      <c r="H253" t="n">
        <v>2266522121</v>
      </c>
      <c r="I253" t="n">
        <v>23888767423</v>
      </c>
      <c r="J253" t="n">
        <v>2000</v>
      </c>
      <c r="K253" t="n">
        <v>33058</v>
      </c>
      <c r="L253" t="n">
        <v>2500</v>
      </c>
      <c r="M253" t="n">
        <v>1100</v>
      </c>
      <c r="N253" t="n">
        <v>2260</v>
      </c>
      <c r="O253" t="n">
        <v>3520</v>
      </c>
      <c r="P253" t="n">
        <v>4780</v>
      </c>
      <c r="Q253" t="n">
        <v>6040</v>
      </c>
      <c r="R253" t="n">
        <v>7300</v>
      </c>
      <c r="S253" t="n">
        <v>8560</v>
      </c>
      <c r="T253" t="n">
        <v>9820</v>
      </c>
      <c r="U253" t="n">
        <v>11080</v>
      </c>
      <c r="V253" t="n">
        <v>5758</v>
      </c>
      <c r="W253" t="n">
        <v>2008</v>
      </c>
      <c r="X253" t="n">
        <v>1756</v>
      </c>
      <c r="Y253" t="n">
        <v>8320</v>
      </c>
    </row>
    <row r="254">
      <c r="A254" t="n">
        <v>253</v>
      </c>
      <c r="B254" t="n">
        <v>0</v>
      </c>
      <c r="C254" t="n">
        <v>43978</v>
      </c>
      <c r="D254" t="n">
        <v>150452</v>
      </c>
      <c r="E254" t="n">
        <v>1742686</v>
      </c>
      <c r="F254" t="n">
        <v>19842838</v>
      </c>
      <c r="G254" t="n">
        <v>220586215</v>
      </c>
      <c r="H254" t="n">
        <v>2402513449</v>
      </c>
      <c r="I254" t="n">
        <v>25560981143</v>
      </c>
      <c r="J254" t="n">
        <v>2000</v>
      </c>
      <c r="K254" t="n">
        <v>33389</v>
      </c>
      <c r="L254" t="n">
        <v>2500</v>
      </c>
      <c r="M254" t="n">
        <v>1100</v>
      </c>
      <c r="N254" t="n">
        <v>2265</v>
      </c>
      <c r="O254" t="n">
        <v>3530</v>
      </c>
      <c r="P254" t="n">
        <v>4795</v>
      </c>
      <c r="Q254" t="n">
        <v>6060</v>
      </c>
      <c r="R254" t="n">
        <v>7325</v>
      </c>
      <c r="S254" t="n">
        <v>8590</v>
      </c>
      <c r="T254" t="n">
        <v>9855</v>
      </c>
      <c r="U254" t="n">
        <v>11120</v>
      </c>
      <c r="V254" t="n">
        <v>5791</v>
      </c>
      <c r="W254" t="n">
        <v>2012</v>
      </c>
      <c r="X254" t="n">
        <v>1759</v>
      </c>
      <c r="Y254" t="n">
        <v>8330</v>
      </c>
    </row>
    <row r="255">
      <c r="A255" t="n">
        <v>254</v>
      </c>
      <c r="B255" t="n">
        <v>0</v>
      </c>
      <c r="C255" t="n">
        <v>44638</v>
      </c>
      <c r="D255" t="n">
        <v>153462</v>
      </c>
      <c r="E255" t="n">
        <v>1794967</v>
      </c>
      <c r="F255" t="n">
        <v>20636552</v>
      </c>
      <c r="G255" t="n">
        <v>231615526</v>
      </c>
      <c r="H255" t="n">
        <v>2546664256</v>
      </c>
      <c r="I255" t="n">
        <v>27350249824</v>
      </c>
      <c r="J255" t="n">
        <v>2000</v>
      </c>
      <c r="K255" t="n">
        <v>33723</v>
      </c>
      <c r="L255" t="n">
        <v>2500</v>
      </c>
      <c r="M255" t="n">
        <v>1100</v>
      </c>
      <c r="N255" t="n">
        <v>2270</v>
      </c>
      <c r="O255" t="n">
        <v>3540</v>
      </c>
      <c r="P255" t="n">
        <v>4810</v>
      </c>
      <c r="Q255" t="n">
        <v>6080</v>
      </c>
      <c r="R255" t="n">
        <v>7350</v>
      </c>
      <c r="S255" t="n">
        <v>8620</v>
      </c>
      <c r="T255" t="n">
        <v>9890</v>
      </c>
      <c r="U255" t="n">
        <v>11160</v>
      </c>
      <c r="V255" t="n">
        <v>5824</v>
      </c>
      <c r="W255" t="n">
        <v>2016</v>
      </c>
      <c r="X255" t="n">
        <v>1762</v>
      </c>
      <c r="Y255" t="n">
        <v>8340</v>
      </c>
    </row>
    <row r="256">
      <c r="A256" t="n">
        <v>255</v>
      </c>
      <c r="B256" t="n">
        <v>0</v>
      </c>
      <c r="C256" t="n">
        <v>45308</v>
      </c>
      <c r="D256" t="n">
        <v>156532</v>
      </c>
      <c r="E256" t="n">
        <v>1848817</v>
      </c>
      <c r="F256" t="n">
        <v>21462015</v>
      </c>
      <c r="G256" t="n">
        <v>243196303</v>
      </c>
      <c r="H256" t="n">
        <v>2699464112</v>
      </c>
      <c r="I256" t="n">
        <v>29264767312</v>
      </c>
      <c r="J256" t="n">
        <v>2000</v>
      </c>
      <c r="K256" t="n">
        <v>34061</v>
      </c>
      <c r="L256" t="n">
        <v>2500</v>
      </c>
      <c r="M256" t="n">
        <v>1100</v>
      </c>
      <c r="N256" t="n">
        <v>2275</v>
      </c>
      <c r="O256" t="n">
        <v>3550</v>
      </c>
      <c r="P256" t="n">
        <v>4825</v>
      </c>
      <c r="Q256" t="n">
        <v>6100</v>
      </c>
      <c r="R256" t="n">
        <v>7375</v>
      </c>
      <c r="S256" t="n">
        <v>8650</v>
      </c>
      <c r="T256" t="n">
        <v>9925</v>
      </c>
      <c r="U256" t="n">
        <v>11200</v>
      </c>
      <c r="V256" t="n">
        <v>5858</v>
      </c>
      <c r="W256" t="n">
        <v>2020</v>
      </c>
      <c r="X256" t="n">
        <v>1765</v>
      </c>
      <c r="Y256" t="n">
        <v>8350</v>
      </c>
    </row>
    <row r="257">
      <c r="A257" t="n">
        <v>256</v>
      </c>
      <c r="B257" t="n">
        <v>0</v>
      </c>
      <c r="C257" t="n">
        <v>45988</v>
      </c>
      <c r="D257" t="n">
        <v>159663</v>
      </c>
      <c r="E257" t="n">
        <v>1904282</v>
      </c>
      <c r="F257" t="n">
        <v>22320496</v>
      </c>
      <c r="G257" t="n">
        <v>255356119</v>
      </c>
      <c r="H257" t="n">
        <v>2861431959</v>
      </c>
      <c r="I257" t="n">
        <v>31313301024</v>
      </c>
      <c r="J257" t="n">
        <v>2000</v>
      </c>
      <c r="K257" t="n">
        <v>34402</v>
      </c>
      <c r="L257" t="n">
        <v>2500</v>
      </c>
      <c r="M257" t="n">
        <v>1100</v>
      </c>
      <c r="N257" t="n">
        <v>2280</v>
      </c>
      <c r="O257" t="n">
        <v>3560</v>
      </c>
      <c r="P257" t="n">
        <v>4840</v>
      </c>
      <c r="Q257" t="n">
        <v>6120</v>
      </c>
      <c r="R257" t="n">
        <v>7400</v>
      </c>
      <c r="S257" t="n">
        <v>8680</v>
      </c>
      <c r="T257" t="n">
        <v>9960</v>
      </c>
      <c r="U257" t="n">
        <v>11240</v>
      </c>
      <c r="V257" t="n">
        <v>5892</v>
      </c>
      <c r="W257" t="n">
        <v>2024</v>
      </c>
      <c r="X257" t="n">
        <v>1768</v>
      </c>
      <c r="Y257" t="n">
        <v>8360</v>
      </c>
    </row>
    <row r="258">
      <c r="A258" t="n">
        <v>257</v>
      </c>
      <c r="B258" t="n">
        <v>0</v>
      </c>
      <c r="C258" t="n">
        <v>46678</v>
      </c>
      <c r="D258" t="n">
        <v>162857</v>
      </c>
      <c r="E258" t="n">
        <v>1961411</v>
      </c>
      <c r="F258" t="n">
        <v>23213316</v>
      </c>
      <c r="G258" t="n">
        <v>268123925</v>
      </c>
      <c r="H258" t="n">
        <v>3033117877</v>
      </c>
      <c r="I258" t="n">
        <v>33505232096</v>
      </c>
      <c r="J258" t="n">
        <v>2000</v>
      </c>
      <c r="K258" t="n">
        <v>34747</v>
      </c>
      <c r="L258" t="n">
        <v>2500</v>
      </c>
      <c r="M258" t="n">
        <v>1100</v>
      </c>
      <c r="N258" t="n">
        <v>2285</v>
      </c>
      <c r="O258" t="n">
        <v>3570</v>
      </c>
      <c r="P258" t="n">
        <v>4855</v>
      </c>
      <c r="Q258" t="n">
        <v>6140</v>
      </c>
      <c r="R258" t="n">
        <v>7425</v>
      </c>
      <c r="S258" t="n">
        <v>8710</v>
      </c>
      <c r="T258" t="n">
        <v>9995</v>
      </c>
      <c r="U258" t="n">
        <v>11280</v>
      </c>
      <c r="V258" t="n">
        <v>5926</v>
      </c>
      <c r="W258" t="n">
        <v>2028</v>
      </c>
      <c r="X258" t="n">
        <v>1771</v>
      </c>
      <c r="Y258" t="n">
        <v>8370</v>
      </c>
    </row>
    <row r="259">
      <c r="A259" t="n">
        <v>258</v>
      </c>
      <c r="B259" t="n">
        <v>0</v>
      </c>
      <c r="C259" t="n">
        <v>47379</v>
      </c>
      <c r="D259" t="n">
        <v>166115</v>
      </c>
      <c r="E259" t="n">
        <v>2020254</v>
      </c>
      <c r="F259" t="n">
        <v>24141849</v>
      </c>
      <c r="G259" t="n">
        <v>281530122</v>
      </c>
      <c r="H259" t="n">
        <v>3215104950</v>
      </c>
      <c r="I259" t="n">
        <v>35850598343</v>
      </c>
      <c r="J259" t="n">
        <v>2000</v>
      </c>
      <c r="K259" t="n">
        <v>35095</v>
      </c>
      <c r="L259" t="n">
        <v>2500</v>
      </c>
      <c r="M259" t="n">
        <v>1100</v>
      </c>
      <c r="N259" t="n">
        <v>2290</v>
      </c>
      <c r="O259" t="n">
        <v>3580</v>
      </c>
      <c r="P259" t="n">
        <v>4870</v>
      </c>
      <c r="Q259" t="n">
        <v>6160</v>
      </c>
      <c r="R259" t="n">
        <v>7450</v>
      </c>
      <c r="S259" t="n">
        <v>8740</v>
      </c>
      <c r="T259" t="n">
        <v>10030</v>
      </c>
      <c r="U259" t="n">
        <v>11320</v>
      </c>
      <c r="V259" t="n">
        <v>5960</v>
      </c>
      <c r="W259" t="n">
        <v>2032</v>
      </c>
      <c r="X259" t="n">
        <v>1774</v>
      </c>
      <c r="Y259" t="n">
        <v>8380</v>
      </c>
    </row>
    <row r="260">
      <c r="A260" t="n">
        <v>259</v>
      </c>
      <c r="B260" t="n">
        <v>0</v>
      </c>
      <c r="C260" t="n">
        <v>48090</v>
      </c>
      <c r="D260" t="n">
        <v>169438</v>
      </c>
      <c r="E260" t="n">
        <v>2080862</v>
      </c>
      <c r="F260" t="n">
        <v>25107523</v>
      </c>
      <c r="G260" t="n">
        <v>295606629</v>
      </c>
      <c r="H260" t="n">
        <v>3408011247</v>
      </c>
      <c r="I260" t="n">
        <v>38360140228</v>
      </c>
      <c r="J260" t="n">
        <v>2000</v>
      </c>
      <c r="K260" t="n">
        <v>35446</v>
      </c>
      <c r="L260" t="n">
        <v>2500</v>
      </c>
      <c r="M260" t="n">
        <v>1100</v>
      </c>
      <c r="N260" t="n">
        <v>2295</v>
      </c>
      <c r="O260" t="n">
        <v>3590</v>
      </c>
      <c r="P260" t="n">
        <v>4885</v>
      </c>
      <c r="Q260" t="n">
        <v>6180</v>
      </c>
      <c r="R260" t="n">
        <v>7475</v>
      </c>
      <c r="S260" t="n">
        <v>8770</v>
      </c>
      <c r="T260" t="n">
        <v>10065</v>
      </c>
      <c r="U260" t="n">
        <v>11360</v>
      </c>
      <c r="V260" t="n">
        <v>5994</v>
      </c>
      <c r="W260" t="n">
        <v>2036</v>
      </c>
      <c r="X260" t="n">
        <v>1777</v>
      </c>
      <c r="Y260" t="n">
        <v>8390</v>
      </c>
    </row>
    <row r="261">
      <c r="A261" t="n">
        <v>260</v>
      </c>
      <c r="B261" t="n">
        <v>0</v>
      </c>
      <c r="C261" t="n">
        <v>48812</v>
      </c>
      <c r="D261" t="n">
        <v>172827</v>
      </c>
      <c r="E261" t="n">
        <v>2143288</v>
      </c>
      <c r="F261" t="n">
        <v>26111824</v>
      </c>
      <c r="G261" t="n">
        <v>310386961</v>
      </c>
      <c r="H261" t="n">
        <v>3612491922</v>
      </c>
      <c r="I261" t="n">
        <v>41045350044</v>
      </c>
      <c r="J261" t="n">
        <v>2000</v>
      </c>
      <c r="K261" t="n">
        <v>35801</v>
      </c>
      <c r="L261" t="n">
        <v>2500</v>
      </c>
      <c r="M261" t="n">
        <v>1100</v>
      </c>
      <c r="N261" t="n">
        <v>2300</v>
      </c>
      <c r="O261" t="n">
        <v>3600</v>
      </c>
      <c r="P261" t="n">
        <v>4900</v>
      </c>
      <c r="Q261" t="n">
        <v>6200</v>
      </c>
      <c r="R261" t="n">
        <v>7500</v>
      </c>
      <c r="S261" t="n">
        <v>8800</v>
      </c>
      <c r="T261" t="n">
        <v>10100</v>
      </c>
      <c r="U261" t="n">
        <v>11400</v>
      </c>
      <c r="V261" t="n">
        <v>6028</v>
      </c>
      <c r="W261" t="n">
        <v>2040</v>
      </c>
      <c r="X261" t="n">
        <v>1780</v>
      </c>
      <c r="Y261" t="n">
        <v>8400</v>
      </c>
    </row>
    <row r="262">
      <c r="A262" t="n">
        <v>261</v>
      </c>
      <c r="B262" t="n">
        <v>0</v>
      </c>
      <c r="C262" t="n">
        <v>49545</v>
      </c>
      <c r="D262" t="n">
        <v>176284</v>
      </c>
      <c r="E262" t="n">
        <v>2207587</v>
      </c>
      <c r="F262" t="n">
        <v>27156297</v>
      </c>
      <c r="G262" t="n">
        <v>325906310</v>
      </c>
      <c r="H262" t="n">
        <v>3829241438</v>
      </c>
      <c r="I262" t="n">
        <v>43918524548</v>
      </c>
      <c r="J262" t="n">
        <v>2000</v>
      </c>
      <c r="K262" t="n">
        <v>36160</v>
      </c>
      <c r="L262" t="n">
        <v>2500</v>
      </c>
      <c r="M262" t="n">
        <v>1100</v>
      </c>
      <c r="N262" t="n">
        <v>2305</v>
      </c>
      <c r="O262" t="n">
        <v>3610</v>
      </c>
      <c r="P262" t="n">
        <v>4915</v>
      </c>
      <c r="Q262" t="n">
        <v>6220</v>
      </c>
      <c r="R262" t="n">
        <v>7525</v>
      </c>
      <c r="S262" t="n">
        <v>8830</v>
      </c>
      <c r="T262" t="n">
        <v>10135</v>
      </c>
      <c r="U262" t="n">
        <v>11440</v>
      </c>
      <c r="V262" t="n">
        <v>6063</v>
      </c>
      <c r="W262" t="n">
        <v>2044</v>
      </c>
      <c r="X262" t="n">
        <v>1783</v>
      </c>
      <c r="Y262" t="n">
        <v>8410</v>
      </c>
    </row>
    <row r="263">
      <c r="A263" t="n">
        <v>262</v>
      </c>
      <c r="B263" t="n">
        <v>0</v>
      </c>
      <c r="C263" t="n">
        <v>50289</v>
      </c>
      <c r="D263" t="n">
        <v>179810</v>
      </c>
      <c r="E263" t="n">
        <v>2273815</v>
      </c>
      <c r="F263" t="n">
        <v>28242549</v>
      </c>
      <c r="G263" t="n">
        <v>342201626</v>
      </c>
      <c r="H263" t="n">
        <v>4058995925</v>
      </c>
      <c r="I263" t="n">
        <v>46992821267</v>
      </c>
      <c r="J263" t="n">
        <v>2000</v>
      </c>
      <c r="K263" t="n">
        <v>36522</v>
      </c>
      <c r="L263" t="n">
        <v>2500</v>
      </c>
      <c r="M263" t="n">
        <v>1100</v>
      </c>
      <c r="N263" t="n">
        <v>2310</v>
      </c>
      <c r="O263" t="n">
        <v>3620</v>
      </c>
      <c r="P263" t="n">
        <v>4930</v>
      </c>
      <c r="Q263" t="n">
        <v>6240</v>
      </c>
      <c r="R263" t="n">
        <v>7550</v>
      </c>
      <c r="S263" t="n">
        <v>8860</v>
      </c>
      <c r="T263" t="n">
        <v>10170</v>
      </c>
      <c r="U263" t="n">
        <v>11480</v>
      </c>
      <c r="V263" t="n">
        <v>6098</v>
      </c>
      <c r="W263" t="n">
        <v>2048</v>
      </c>
      <c r="X263" t="n">
        <v>1786</v>
      </c>
      <c r="Y263" t="n">
        <v>8420</v>
      </c>
    </row>
    <row r="264">
      <c r="A264" t="n">
        <v>263</v>
      </c>
      <c r="B264" t="n">
        <v>0</v>
      </c>
      <c r="C264" t="n">
        <v>51044</v>
      </c>
      <c r="D264" t="n">
        <v>183407</v>
      </c>
      <c r="E264" t="n">
        <v>2342030</v>
      </c>
      <c r="F264" t="n">
        <v>29372251</v>
      </c>
      <c r="G264" t="n">
        <v>359311708</v>
      </c>
      <c r="H264" t="n">
        <v>4302535681</v>
      </c>
      <c r="I264" t="n">
        <v>50282318756</v>
      </c>
      <c r="J264" t="n">
        <v>2000</v>
      </c>
      <c r="K264" t="n">
        <v>36888</v>
      </c>
      <c r="L264" t="n">
        <v>2500</v>
      </c>
      <c r="M264" t="n">
        <v>1100</v>
      </c>
      <c r="N264" t="n">
        <v>2315</v>
      </c>
      <c r="O264" t="n">
        <v>3630</v>
      </c>
      <c r="P264" t="n">
        <v>4945</v>
      </c>
      <c r="Q264" t="n">
        <v>6260</v>
      </c>
      <c r="R264" t="n">
        <v>7575</v>
      </c>
      <c r="S264" t="n">
        <v>8890</v>
      </c>
      <c r="T264" t="n">
        <v>10205</v>
      </c>
      <c r="U264" t="n">
        <v>11520</v>
      </c>
      <c r="V264" t="n">
        <v>6133</v>
      </c>
      <c r="W264" t="n">
        <v>2052</v>
      </c>
      <c r="X264" t="n">
        <v>1789</v>
      </c>
      <c r="Y264" t="n">
        <v>8430</v>
      </c>
    </row>
    <row r="265">
      <c r="A265" t="n">
        <v>264</v>
      </c>
      <c r="B265" t="n">
        <v>0</v>
      </c>
      <c r="C265" t="n">
        <v>51810</v>
      </c>
      <c r="D265" t="n">
        <v>187076</v>
      </c>
      <c r="E265" t="n">
        <v>2412291</v>
      </c>
      <c r="F265" t="n">
        <v>30547142</v>
      </c>
      <c r="G265" t="n">
        <v>377277294</v>
      </c>
      <c r="H265" t="n">
        <v>4560687822</v>
      </c>
      <c r="I265" t="n">
        <v>53802081069</v>
      </c>
      <c r="J265" t="n">
        <v>2000</v>
      </c>
      <c r="K265" t="n">
        <v>37257</v>
      </c>
      <c r="L265" t="n">
        <v>2500</v>
      </c>
      <c r="M265" t="n">
        <v>1100</v>
      </c>
      <c r="N265" t="n">
        <v>2320</v>
      </c>
      <c r="O265" t="n">
        <v>3640</v>
      </c>
      <c r="P265" t="n">
        <v>4960</v>
      </c>
      <c r="Q265" t="n">
        <v>6280</v>
      </c>
      <c r="R265" t="n">
        <v>7600</v>
      </c>
      <c r="S265" t="n">
        <v>8920</v>
      </c>
      <c r="T265" t="n">
        <v>10240</v>
      </c>
      <c r="U265" t="n">
        <v>11560</v>
      </c>
      <c r="V265" t="n">
        <v>6168</v>
      </c>
      <c r="W265" t="n">
        <v>2056</v>
      </c>
      <c r="X265" t="n">
        <v>1792</v>
      </c>
      <c r="Y265" t="n">
        <v>8440</v>
      </c>
    </row>
    <row r="266">
      <c r="A266" t="n">
        <v>265</v>
      </c>
      <c r="B266" t="n">
        <v>0</v>
      </c>
      <c r="C266" t="n">
        <v>52588</v>
      </c>
      <c r="D266" t="n">
        <v>190818</v>
      </c>
      <c r="E266" t="n">
        <v>2484660</v>
      </c>
      <c r="F266" t="n">
        <v>31769028</v>
      </c>
      <c r="G266" t="n">
        <v>396141159</v>
      </c>
      <c r="H266" t="n">
        <v>4834329092</v>
      </c>
      <c r="I266" t="n">
        <v>57568226744</v>
      </c>
      <c r="J266" t="n">
        <v>2000</v>
      </c>
      <c r="K266" t="n">
        <v>37630</v>
      </c>
      <c r="L266" t="n">
        <v>2500</v>
      </c>
      <c r="M266" t="n">
        <v>1100</v>
      </c>
      <c r="N266" t="n">
        <v>2325</v>
      </c>
      <c r="O266" t="n">
        <v>3650</v>
      </c>
      <c r="P266" t="n">
        <v>4975</v>
      </c>
      <c r="Q266" t="n">
        <v>6300</v>
      </c>
      <c r="R266" t="n">
        <v>7625</v>
      </c>
      <c r="S266" t="n">
        <v>8950</v>
      </c>
      <c r="T266" t="n">
        <v>10275</v>
      </c>
      <c r="U266" t="n">
        <v>11600</v>
      </c>
      <c r="V266" t="n">
        <v>6203</v>
      </c>
      <c r="W266" t="n">
        <v>2060</v>
      </c>
      <c r="X266" t="n">
        <v>1795</v>
      </c>
      <c r="Y266" t="n">
        <v>8450</v>
      </c>
    </row>
    <row r="267">
      <c r="A267" t="n">
        <v>266</v>
      </c>
      <c r="B267" t="n">
        <v>0</v>
      </c>
      <c r="C267" t="n">
        <v>53377</v>
      </c>
      <c r="D267" t="n">
        <v>194635</v>
      </c>
      <c r="E267" t="n">
        <v>2559200</v>
      </c>
      <c r="F267" t="n">
        <v>33039790</v>
      </c>
      <c r="G267" t="n">
        <v>415948217</v>
      </c>
      <c r="H267" t="n">
        <v>5124388838</v>
      </c>
      <c r="I267" t="n">
        <v>61598002617</v>
      </c>
      <c r="J267" t="n">
        <v>2000</v>
      </c>
      <c r="K267" t="n">
        <v>38007</v>
      </c>
      <c r="L267" t="n">
        <v>2500</v>
      </c>
      <c r="M267" t="n">
        <v>1100</v>
      </c>
      <c r="N267" t="n">
        <v>2330</v>
      </c>
      <c r="O267" t="n">
        <v>3660</v>
      </c>
      <c r="P267" t="n">
        <v>4990</v>
      </c>
      <c r="Q267" t="n">
        <v>6320</v>
      </c>
      <c r="R267" t="n">
        <v>7650</v>
      </c>
      <c r="S267" t="n">
        <v>8980</v>
      </c>
      <c r="T267" t="n">
        <v>10310</v>
      </c>
      <c r="U267" t="n">
        <v>11640</v>
      </c>
      <c r="V267" t="n">
        <v>6239</v>
      </c>
      <c r="W267" t="n">
        <v>2064</v>
      </c>
      <c r="X267" t="n">
        <v>1798</v>
      </c>
      <c r="Y267" t="n">
        <v>8460</v>
      </c>
    </row>
    <row r="268">
      <c r="A268" t="n">
        <v>267</v>
      </c>
      <c r="B268" t="n">
        <v>0</v>
      </c>
      <c r="C268" t="n">
        <v>54178</v>
      </c>
      <c r="D268" t="n">
        <v>198528</v>
      </c>
      <c r="E268" t="n">
        <v>2635976</v>
      </c>
      <c r="F268" t="n">
        <v>34361382</v>
      </c>
      <c r="G268" t="n">
        <v>436745628</v>
      </c>
      <c r="H268" t="n">
        <v>5431852169</v>
      </c>
      <c r="I268" t="n">
        <v>65909862801</v>
      </c>
      <c r="J268" t="n">
        <v>2000</v>
      </c>
      <c r="K268" t="n">
        <v>38388</v>
      </c>
      <c r="L268" t="n">
        <v>2500</v>
      </c>
      <c r="M268" t="n">
        <v>1100</v>
      </c>
      <c r="N268" t="n">
        <v>2335</v>
      </c>
      <c r="O268" t="n">
        <v>3670</v>
      </c>
      <c r="P268" t="n">
        <v>5005</v>
      </c>
      <c r="Q268" t="n">
        <v>6340</v>
      </c>
      <c r="R268" t="n">
        <v>7675</v>
      </c>
      <c r="S268" t="n">
        <v>9010</v>
      </c>
      <c r="T268" t="n">
        <v>10345</v>
      </c>
      <c r="U268" t="n">
        <v>11680</v>
      </c>
      <c r="V268" t="n">
        <v>6275</v>
      </c>
      <c r="W268" t="n">
        <v>2068</v>
      </c>
      <c r="X268" t="n">
        <v>1801</v>
      </c>
      <c r="Y268" t="n">
        <v>8470</v>
      </c>
    </row>
    <row r="269">
      <c r="A269" t="n">
        <v>268</v>
      </c>
      <c r="B269" t="n">
        <v>0</v>
      </c>
      <c r="C269" t="n">
        <v>54991</v>
      </c>
      <c r="D269" t="n">
        <v>202499</v>
      </c>
      <c r="E269" t="n">
        <v>2715056</v>
      </c>
      <c r="F269" t="n">
        <v>35735838</v>
      </c>
      <c r="G269" t="n">
        <v>458582910</v>
      </c>
      <c r="H269" t="n">
        <v>5757763300</v>
      </c>
      <c r="I269" t="n">
        <v>70523553198</v>
      </c>
      <c r="J269" t="n">
        <v>2000</v>
      </c>
      <c r="K269" t="n">
        <v>38772</v>
      </c>
      <c r="L269" t="n">
        <v>2500</v>
      </c>
      <c r="M269" t="n">
        <v>1100</v>
      </c>
      <c r="N269" t="n">
        <v>2340</v>
      </c>
      <c r="O269" t="n">
        <v>3680</v>
      </c>
      <c r="P269" t="n">
        <v>5020</v>
      </c>
      <c r="Q269" t="n">
        <v>6360</v>
      </c>
      <c r="R269" t="n">
        <v>7700</v>
      </c>
      <c r="S269" t="n">
        <v>9040</v>
      </c>
      <c r="T269" t="n">
        <v>10380</v>
      </c>
      <c r="U269" t="n">
        <v>11720</v>
      </c>
      <c r="V269" t="n">
        <v>6311</v>
      </c>
      <c r="W269" t="n">
        <v>2072</v>
      </c>
      <c r="X269" t="n">
        <v>1804</v>
      </c>
      <c r="Y269" t="n">
        <v>8480</v>
      </c>
    </row>
    <row r="270">
      <c r="A270" t="n">
        <v>269</v>
      </c>
      <c r="B270" t="n">
        <v>0</v>
      </c>
      <c r="C270" t="n">
        <v>55816</v>
      </c>
      <c r="D270" t="n">
        <v>206549</v>
      </c>
      <c r="E270" t="n">
        <v>2796508</v>
      </c>
      <c r="F270" t="n">
        <v>37165272</v>
      </c>
      <c r="G270" t="n">
        <v>481512056</v>
      </c>
      <c r="H270" t="n">
        <v>6103229098</v>
      </c>
      <c r="I270" t="n">
        <v>75460201922</v>
      </c>
      <c r="J270" t="n">
        <v>2000</v>
      </c>
      <c r="K270" t="n">
        <v>39160</v>
      </c>
      <c r="L270" t="n">
        <v>2500</v>
      </c>
      <c r="M270" t="n">
        <v>1100</v>
      </c>
      <c r="N270" t="n">
        <v>2345</v>
      </c>
      <c r="O270" t="n">
        <v>3690</v>
      </c>
      <c r="P270" t="n">
        <v>5035</v>
      </c>
      <c r="Q270" t="n">
        <v>6380</v>
      </c>
      <c r="R270" t="n">
        <v>7725</v>
      </c>
      <c r="S270" t="n">
        <v>9070</v>
      </c>
      <c r="T270" t="n">
        <v>10415</v>
      </c>
      <c r="U270" t="n">
        <v>11760</v>
      </c>
      <c r="V270" t="n">
        <v>6347</v>
      </c>
      <c r="W270" t="n">
        <v>2076</v>
      </c>
      <c r="X270" t="n">
        <v>1807</v>
      </c>
      <c r="Y270" t="n">
        <v>8490</v>
      </c>
    </row>
    <row r="271">
      <c r="A271" t="n">
        <v>270</v>
      </c>
      <c r="B271" t="n">
        <v>0</v>
      </c>
      <c r="C271" t="n">
        <v>56654</v>
      </c>
      <c r="D271" t="n">
        <v>210680</v>
      </c>
      <c r="E271" t="n">
        <v>2880404</v>
      </c>
      <c r="F271" t="n">
        <v>38651883</v>
      </c>
      <c r="G271" t="n">
        <v>505587659</v>
      </c>
      <c r="H271" t="n">
        <v>6469422844</v>
      </c>
      <c r="I271" t="n">
        <v>80742416057</v>
      </c>
      <c r="J271" t="n">
        <v>2000</v>
      </c>
      <c r="K271" t="n">
        <v>39552</v>
      </c>
      <c r="L271" t="n">
        <v>2500</v>
      </c>
      <c r="M271" t="n">
        <v>1100</v>
      </c>
      <c r="N271" t="n">
        <v>2350</v>
      </c>
      <c r="O271" t="n">
        <v>3700</v>
      </c>
      <c r="P271" t="n">
        <v>5050</v>
      </c>
      <c r="Q271" t="n">
        <v>6400</v>
      </c>
      <c r="R271" t="n">
        <v>7750</v>
      </c>
      <c r="S271" t="n">
        <v>9100</v>
      </c>
      <c r="T271" t="n">
        <v>10450</v>
      </c>
      <c r="U271" t="n">
        <v>11800</v>
      </c>
      <c r="V271" t="n">
        <v>6383</v>
      </c>
      <c r="W271" t="n">
        <v>2080</v>
      </c>
      <c r="X271" t="n">
        <v>1810</v>
      </c>
      <c r="Y271" t="n">
        <v>8500</v>
      </c>
    </row>
    <row r="272">
      <c r="A272" t="n">
        <v>271</v>
      </c>
      <c r="B272" t="n">
        <v>0</v>
      </c>
      <c r="C272" t="n">
        <v>57504</v>
      </c>
      <c r="D272" t="n">
        <v>214894</v>
      </c>
      <c r="E272" t="n">
        <v>2966817</v>
      </c>
      <c r="F272" t="n">
        <v>40197959</v>
      </c>
      <c r="G272" t="n">
        <v>530867042</v>
      </c>
      <c r="H272" t="n">
        <v>6857588215</v>
      </c>
      <c r="I272" t="n">
        <v>86394385181</v>
      </c>
      <c r="J272" t="n">
        <v>2000</v>
      </c>
      <c r="K272" t="n">
        <v>39948</v>
      </c>
      <c r="L272" t="n">
        <v>2500</v>
      </c>
      <c r="M272" t="n">
        <v>1100</v>
      </c>
      <c r="N272" t="n">
        <v>2355</v>
      </c>
      <c r="O272" t="n">
        <v>3710</v>
      </c>
      <c r="P272" t="n">
        <v>5065</v>
      </c>
      <c r="Q272" t="n">
        <v>6420</v>
      </c>
      <c r="R272" t="n">
        <v>7775</v>
      </c>
      <c r="S272" t="n">
        <v>9130</v>
      </c>
      <c r="T272" t="n">
        <v>10485</v>
      </c>
      <c r="U272" t="n">
        <v>11840</v>
      </c>
      <c r="V272" t="n">
        <v>6419</v>
      </c>
      <c r="W272" t="n">
        <v>2084</v>
      </c>
      <c r="X272" t="n">
        <v>1813</v>
      </c>
      <c r="Y272" t="n">
        <v>8510</v>
      </c>
    </row>
    <row r="273">
      <c r="A273" t="n">
        <v>272</v>
      </c>
      <c r="B273" t="n">
        <v>0</v>
      </c>
      <c r="C273" t="n">
        <v>58367</v>
      </c>
      <c r="D273" t="n">
        <v>219192</v>
      </c>
      <c r="E273" t="n">
        <v>3055822</v>
      </c>
      <c r="F273" t="n">
        <v>41805878</v>
      </c>
      <c r="G273" t="n">
        <v>557410395</v>
      </c>
      <c r="H273" t="n">
        <v>7269043508</v>
      </c>
      <c r="I273" t="n">
        <v>92441992144</v>
      </c>
      <c r="J273" t="n">
        <v>2000</v>
      </c>
      <c r="K273" t="n">
        <v>40348</v>
      </c>
      <c r="L273" t="n">
        <v>2500</v>
      </c>
      <c r="M273" t="n">
        <v>1100</v>
      </c>
      <c r="N273" t="n">
        <v>2360</v>
      </c>
      <c r="O273" t="n">
        <v>3720</v>
      </c>
      <c r="P273" t="n">
        <v>5080</v>
      </c>
      <c r="Q273" t="n">
        <v>6440</v>
      </c>
      <c r="R273" t="n">
        <v>7800</v>
      </c>
      <c r="S273" t="n">
        <v>9160</v>
      </c>
      <c r="T273" t="n">
        <v>10520</v>
      </c>
      <c r="U273" t="n">
        <v>11880</v>
      </c>
      <c r="V273" t="n">
        <v>6456</v>
      </c>
      <c r="W273" t="n">
        <v>2088</v>
      </c>
      <c r="X273" t="n">
        <v>1816</v>
      </c>
      <c r="Y273" t="n">
        <v>8520</v>
      </c>
    </row>
    <row r="274">
      <c r="A274" t="n">
        <v>273</v>
      </c>
      <c r="B274" t="n">
        <v>0</v>
      </c>
      <c r="C274" t="n">
        <v>59243</v>
      </c>
      <c r="D274" t="n">
        <v>223576</v>
      </c>
      <c r="E274" t="n">
        <v>3147497</v>
      </c>
      <c r="F274" t="n">
        <v>43478114</v>
      </c>
      <c r="G274" t="n">
        <v>585280915</v>
      </c>
      <c r="H274" t="n">
        <v>7705186119</v>
      </c>
      <c r="I274" t="n">
        <v>98912931595</v>
      </c>
      <c r="J274" t="n">
        <v>2000</v>
      </c>
      <c r="K274" t="n">
        <v>40752</v>
      </c>
      <c r="L274" t="n">
        <v>2500</v>
      </c>
      <c r="M274" t="n">
        <v>1100</v>
      </c>
      <c r="N274" t="n">
        <v>2365</v>
      </c>
      <c r="O274" t="n">
        <v>3730</v>
      </c>
      <c r="P274" t="n">
        <v>5095</v>
      </c>
      <c r="Q274" t="n">
        <v>6460</v>
      </c>
      <c r="R274" t="n">
        <v>7825</v>
      </c>
      <c r="S274" t="n">
        <v>9190</v>
      </c>
      <c r="T274" t="n">
        <v>10555</v>
      </c>
      <c r="U274" t="n">
        <v>11920</v>
      </c>
      <c r="V274" t="n">
        <v>6493</v>
      </c>
      <c r="W274" t="n">
        <v>2092</v>
      </c>
      <c r="X274" t="n">
        <v>1819</v>
      </c>
      <c r="Y274" t="n">
        <v>8530</v>
      </c>
    </row>
    <row r="275">
      <c r="A275" t="n">
        <v>274</v>
      </c>
      <c r="B275" t="n">
        <v>0</v>
      </c>
      <c r="C275" t="n">
        <v>60132</v>
      </c>
      <c r="D275" t="n">
        <v>228048</v>
      </c>
      <c r="E275" t="n">
        <v>3241922</v>
      </c>
      <c r="F275" t="n">
        <v>45217239</v>
      </c>
      <c r="G275" t="n">
        <v>614544961</v>
      </c>
      <c r="H275" t="n">
        <v>8167497287</v>
      </c>
      <c r="I275" t="n">
        <v>105836836807</v>
      </c>
      <c r="J275" t="n">
        <v>2000</v>
      </c>
      <c r="K275" t="n">
        <v>41160</v>
      </c>
      <c r="L275" t="n">
        <v>2500</v>
      </c>
      <c r="M275" t="n">
        <v>1100</v>
      </c>
      <c r="N275" t="n">
        <v>2370</v>
      </c>
      <c r="O275" t="n">
        <v>3740</v>
      </c>
      <c r="P275" t="n">
        <v>5110</v>
      </c>
      <c r="Q275" t="n">
        <v>6480</v>
      </c>
      <c r="R275" t="n">
        <v>7850</v>
      </c>
      <c r="S275" t="n">
        <v>9220</v>
      </c>
      <c r="T275" t="n">
        <v>10590</v>
      </c>
      <c r="U275" t="n">
        <v>11960</v>
      </c>
      <c r="V275" t="n">
        <v>6530</v>
      </c>
      <c r="W275" t="n">
        <v>2096</v>
      </c>
      <c r="X275" t="n">
        <v>1822</v>
      </c>
      <c r="Y275" t="n">
        <v>8540</v>
      </c>
    </row>
    <row r="276">
      <c r="A276" t="n">
        <v>275</v>
      </c>
      <c r="B276" t="n">
        <v>0</v>
      </c>
      <c r="C276" t="n">
        <v>61034</v>
      </c>
      <c r="D276" t="n">
        <v>232609</v>
      </c>
      <c r="E276" t="n">
        <v>3339180</v>
      </c>
      <c r="F276" t="n">
        <v>47025929</v>
      </c>
      <c r="G276" t="n">
        <v>645272210</v>
      </c>
      <c r="H276" t="n">
        <v>8657547125</v>
      </c>
      <c r="I276" t="n">
        <v>113245415384</v>
      </c>
      <c r="J276" t="n">
        <v>2000</v>
      </c>
      <c r="K276" t="n">
        <v>41572</v>
      </c>
      <c r="L276" t="n">
        <v>2500</v>
      </c>
      <c r="M276" t="n">
        <v>1100</v>
      </c>
      <c r="N276" t="n">
        <v>2375</v>
      </c>
      <c r="O276" t="n">
        <v>3750</v>
      </c>
      <c r="P276" t="n">
        <v>5125</v>
      </c>
      <c r="Q276" t="n">
        <v>6500</v>
      </c>
      <c r="R276" t="n">
        <v>7875</v>
      </c>
      <c r="S276" t="n">
        <v>9250</v>
      </c>
      <c r="T276" t="n">
        <v>10625</v>
      </c>
      <c r="U276" t="n">
        <v>12000</v>
      </c>
      <c r="V276" t="n">
        <v>6567</v>
      </c>
      <c r="W276" t="n">
        <v>2100</v>
      </c>
      <c r="X276" t="n">
        <v>1825</v>
      </c>
      <c r="Y276" t="n">
        <v>8550</v>
      </c>
    </row>
    <row r="277">
      <c r="A277" t="n">
        <v>276</v>
      </c>
      <c r="B277" t="n">
        <v>0</v>
      </c>
      <c r="C277" t="n">
        <v>61950</v>
      </c>
      <c r="D277" t="n">
        <v>237262</v>
      </c>
      <c r="E277" t="n">
        <v>3439356</v>
      </c>
      <c r="F277" t="n">
        <v>48906967</v>
      </c>
      <c r="G277" t="n">
        <v>677535821</v>
      </c>
      <c r="H277" t="n">
        <v>9176999953</v>
      </c>
      <c r="I277" t="n">
        <v>121172594461</v>
      </c>
      <c r="J277" t="n">
        <v>2000</v>
      </c>
      <c r="K277" t="n">
        <v>41988</v>
      </c>
      <c r="L277" t="n">
        <v>2500</v>
      </c>
      <c r="M277" t="n">
        <v>1100</v>
      </c>
      <c r="N277" t="n">
        <v>2380</v>
      </c>
      <c r="O277" t="n">
        <v>3760</v>
      </c>
      <c r="P277" t="n">
        <v>5140</v>
      </c>
      <c r="Q277" t="n">
        <v>6520</v>
      </c>
      <c r="R277" t="n">
        <v>7900</v>
      </c>
      <c r="S277" t="n">
        <v>9280</v>
      </c>
      <c r="T277" t="n">
        <v>10660</v>
      </c>
      <c r="U277" t="n">
        <v>12040</v>
      </c>
      <c r="V277" t="n">
        <v>6604</v>
      </c>
      <c r="W277" t="n">
        <v>2104</v>
      </c>
      <c r="X277" t="n">
        <v>1828</v>
      </c>
      <c r="Y277" t="n">
        <v>8560</v>
      </c>
    </row>
    <row r="278">
      <c r="A278" t="n">
        <v>277</v>
      </c>
      <c r="B278" t="n">
        <v>0</v>
      </c>
      <c r="C278" t="n">
        <v>62880</v>
      </c>
      <c r="D278" t="n">
        <v>242008</v>
      </c>
      <c r="E278" t="n">
        <v>3542537</v>
      </c>
      <c r="F278" t="n">
        <v>50863246</v>
      </c>
      <c r="G278" t="n">
        <v>711412613</v>
      </c>
      <c r="H278" t="n">
        <v>9727619951</v>
      </c>
      <c r="I278" t="n">
        <v>129654676074</v>
      </c>
      <c r="J278" t="n">
        <v>2000</v>
      </c>
      <c r="K278" t="n">
        <v>42408</v>
      </c>
      <c r="L278" t="n">
        <v>2500</v>
      </c>
      <c r="M278" t="n">
        <v>1100</v>
      </c>
      <c r="N278" t="n">
        <v>2385</v>
      </c>
      <c r="O278" t="n">
        <v>3770</v>
      </c>
      <c r="P278" t="n">
        <v>5155</v>
      </c>
      <c r="Q278" t="n">
        <v>6540</v>
      </c>
      <c r="R278" t="n">
        <v>7925</v>
      </c>
      <c r="S278" t="n">
        <v>9310</v>
      </c>
      <c r="T278" t="n">
        <v>10695</v>
      </c>
      <c r="U278" t="n">
        <v>12080</v>
      </c>
      <c r="V278" t="n">
        <v>6642</v>
      </c>
      <c r="W278" t="n">
        <v>2108</v>
      </c>
      <c r="X278" t="n">
        <v>1831</v>
      </c>
      <c r="Y278" t="n">
        <v>8570</v>
      </c>
    </row>
    <row r="279">
      <c r="A279" t="n">
        <v>278</v>
      </c>
      <c r="B279" t="n">
        <v>0</v>
      </c>
      <c r="C279" t="n">
        <v>63824</v>
      </c>
      <c r="D279" t="n">
        <v>246849</v>
      </c>
      <c r="E279" t="n">
        <v>3648814</v>
      </c>
      <c r="F279" t="n">
        <v>52897776</v>
      </c>
      <c r="G279" t="n">
        <v>746983244</v>
      </c>
      <c r="H279" t="n">
        <v>10311277149</v>
      </c>
      <c r="I279" t="n">
        <v>138730503400</v>
      </c>
      <c r="J279" t="n">
        <v>2000</v>
      </c>
      <c r="K279" t="n">
        <v>42833</v>
      </c>
      <c r="L279" t="n">
        <v>2500</v>
      </c>
      <c r="M279" t="n">
        <v>1100</v>
      </c>
      <c r="N279" t="n">
        <v>2390</v>
      </c>
      <c r="O279" t="n">
        <v>3780</v>
      </c>
      <c r="P279" t="n">
        <v>5170</v>
      </c>
      <c r="Q279" t="n">
        <v>6560</v>
      </c>
      <c r="R279" t="n">
        <v>7950</v>
      </c>
      <c r="S279" t="n">
        <v>9340</v>
      </c>
      <c r="T279" t="n">
        <v>10730</v>
      </c>
      <c r="U279" t="n">
        <v>12120</v>
      </c>
      <c r="V279" t="n">
        <v>6680</v>
      </c>
      <c r="W279" t="n">
        <v>2112</v>
      </c>
      <c r="X279" t="n">
        <v>1834</v>
      </c>
      <c r="Y279" t="n">
        <v>8580</v>
      </c>
    </row>
    <row r="280">
      <c r="A280" t="n">
        <v>279</v>
      </c>
      <c r="B280" t="n">
        <v>0</v>
      </c>
      <c r="C280" t="n">
        <v>64782</v>
      </c>
      <c r="D280" t="n">
        <v>251786</v>
      </c>
      <c r="E280" t="n">
        <v>3758279</v>
      </c>
      <c r="F280" t="n">
        <v>55013688</v>
      </c>
      <c r="G280" t="n">
        <v>784332407</v>
      </c>
      <c r="H280" t="n">
        <v>10929953778</v>
      </c>
      <c r="I280" t="n">
        <v>148441638638</v>
      </c>
      <c r="J280" t="n">
        <v>2000</v>
      </c>
      <c r="K280" t="n">
        <v>43262</v>
      </c>
      <c r="L280" t="n">
        <v>2500</v>
      </c>
      <c r="M280" t="n">
        <v>1100</v>
      </c>
      <c r="N280" t="n">
        <v>2395</v>
      </c>
      <c r="O280" t="n">
        <v>3790</v>
      </c>
      <c r="P280" t="n">
        <v>5185</v>
      </c>
      <c r="Q280" t="n">
        <v>6580</v>
      </c>
      <c r="R280" t="n">
        <v>7975</v>
      </c>
      <c r="S280" t="n">
        <v>9370</v>
      </c>
      <c r="T280" t="n">
        <v>10765</v>
      </c>
      <c r="U280" t="n">
        <v>12160</v>
      </c>
      <c r="V280" t="n">
        <v>6718</v>
      </c>
      <c r="W280" t="n">
        <v>2116</v>
      </c>
      <c r="X280" t="n">
        <v>1837</v>
      </c>
      <c r="Y280" t="n">
        <v>8590</v>
      </c>
    </row>
    <row r="281">
      <c r="A281" t="n">
        <v>280</v>
      </c>
      <c r="B281" t="n">
        <v>0</v>
      </c>
      <c r="C281" t="n">
        <v>65754</v>
      </c>
      <c r="D281" t="n">
        <v>256822</v>
      </c>
      <c r="E281" t="n">
        <v>3871028</v>
      </c>
      <c r="F281" t="n">
        <v>57214236</v>
      </c>
      <c r="G281" t="n">
        <v>823549028</v>
      </c>
      <c r="H281" t="n">
        <v>11585751005</v>
      </c>
      <c r="I281" t="n">
        <v>158832553343</v>
      </c>
      <c r="J281" t="n">
        <v>2000</v>
      </c>
      <c r="K281" t="n">
        <v>43695</v>
      </c>
      <c r="L281" t="n">
        <v>2500</v>
      </c>
      <c r="M281" t="n">
        <v>1100</v>
      </c>
      <c r="N281" t="n">
        <v>2400</v>
      </c>
      <c r="O281" t="n">
        <v>3800</v>
      </c>
      <c r="P281" t="n">
        <v>5200</v>
      </c>
      <c r="Q281" t="n">
        <v>6600</v>
      </c>
      <c r="R281" t="n">
        <v>8000</v>
      </c>
      <c r="S281" t="n">
        <v>9400</v>
      </c>
      <c r="T281" t="n">
        <v>10800</v>
      </c>
      <c r="U281" t="n">
        <v>12200</v>
      </c>
      <c r="V281" t="n">
        <v>6756</v>
      </c>
      <c r="W281" t="n">
        <v>2120</v>
      </c>
      <c r="X281" t="n">
        <v>1840</v>
      </c>
      <c r="Y281" t="n">
        <v>8600</v>
      </c>
    </row>
    <row r="282">
      <c r="A282" t="n">
        <v>281</v>
      </c>
      <c r="B282" t="n">
        <v>0</v>
      </c>
      <c r="C282" t="n">
        <v>66741</v>
      </c>
      <c r="D282" t="n">
        <v>261959</v>
      </c>
      <c r="E282" t="n">
        <v>3987159</v>
      </c>
      <c r="F282" t="n">
        <v>59502806</v>
      </c>
      <c r="G282" t="n">
        <v>864726480</v>
      </c>
      <c r="H282" t="n">
        <v>12280896066</v>
      </c>
      <c r="I282" t="n">
        <v>169950832078</v>
      </c>
      <c r="J282" t="n">
        <v>2000</v>
      </c>
      <c r="K282" t="n">
        <v>44132</v>
      </c>
      <c r="L282" t="n">
        <v>2500</v>
      </c>
      <c r="M282" t="n">
        <v>1100</v>
      </c>
      <c r="N282" t="n">
        <v>2405</v>
      </c>
      <c r="O282" t="n">
        <v>3810</v>
      </c>
      <c r="P282" t="n">
        <v>5215</v>
      </c>
      <c r="Q282" t="n">
        <v>6620</v>
      </c>
      <c r="R282" t="n">
        <v>8025</v>
      </c>
      <c r="S282" t="n">
        <v>9430</v>
      </c>
      <c r="T282" t="n">
        <v>10835</v>
      </c>
      <c r="U282" t="n">
        <v>12240</v>
      </c>
      <c r="V282" t="n">
        <v>6794</v>
      </c>
      <c r="W282" t="n">
        <v>2124</v>
      </c>
      <c r="X282" t="n">
        <v>1843</v>
      </c>
      <c r="Y282" t="n">
        <v>8610</v>
      </c>
    </row>
    <row r="283">
      <c r="A283" t="n">
        <v>282</v>
      </c>
      <c r="B283" t="n">
        <v>0</v>
      </c>
      <c r="C283" t="n">
        <v>67743</v>
      </c>
      <c r="D283" t="n">
        <v>267199</v>
      </c>
      <c r="E283" t="n">
        <v>4106774</v>
      </c>
      <c r="F283" t="n">
        <v>61882919</v>
      </c>
      <c r="G283" t="n">
        <v>907962804</v>
      </c>
      <c r="H283" t="n">
        <v>13017749830</v>
      </c>
      <c r="I283" t="n">
        <v>181847390324</v>
      </c>
      <c r="J283" t="n">
        <v>2000</v>
      </c>
      <c r="K283" t="n">
        <v>44574</v>
      </c>
      <c r="L283" t="n">
        <v>2500</v>
      </c>
      <c r="M283" t="n">
        <v>1100</v>
      </c>
      <c r="N283" t="n">
        <v>2410</v>
      </c>
      <c r="O283" t="n">
        <v>3820</v>
      </c>
      <c r="P283" t="n">
        <v>5230</v>
      </c>
      <c r="Q283" t="n">
        <v>6640</v>
      </c>
      <c r="R283" t="n">
        <v>8050</v>
      </c>
      <c r="S283" t="n">
        <v>9460</v>
      </c>
      <c r="T283" t="n">
        <v>10870</v>
      </c>
      <c r="U283" t="n">
        <v>12280</v>
      </c>
      <c r="V283" t="n">
        <v>6832</v>
      </c>
      <c r="W283" t="n">
        <v>2128</v>
      </c>
      <c r="X283" t="n">
        <v>1846</v>
      </c>
      <c r="Y283" t="n">
        <v>8620</v>
      </c>
    </row>
    <row r="284">
      <c r="A284" t="n">
        <v>283</v>
      </c>
      <c r="B284" t="n">
        <v>0</v>
      </c>
      <c r="C284" t="n">
        <v>68760</v>
      </c>
      <c r="D284" t="n">
        <v>272543</v>
      </c>
      <c r="E284" t="n">
        <v>4229978</v>
      </c>
      <c r="F284" t="n">
        <v>64358236</v>
      </c>
      <c r="G284" t="n">
        <v>953360945</v>
      </c>
      <c r="H284" t="n">
        <v>13798814820</v>
      </c>
      <c r="I284" t="n">
        <v>194576707647</v>
      </c>
      <c r="J284" t="n">
        <v>2000</v>
      </c>
      <c r="K284" t="n">
        <v>45020</v>
      </c>
      <c r="L284" t="n">
        <v>2500</v>
      </c>
      <c r="M284" t="n">
        <v>1100</v>
      </c>
      <c r="N284" t="n">
        <v>2415</v>
      </c>
      <c r="O284" t="n">
        <v>3830</v>
      </c>
      <c r="P284" t="n">
        <v>5245</v>
      </c>
      <c r="Q284" t="n">
        <v>6660</v>
      </c>
      <c r="R284" t="n">
        <v>8075</v>
      </c>
      <c r="S284" t="n">
        <v>9490</v>
      </c>
      <c r="T284" t="n">
        <v>10905</v>
      </c>
      <c r="U284" t="n">
        <v>12320</v>
      </c>
      <c r="V284" t="n">
        <v>6871</v>
      </c>
      <c r="W284" t="n">
        <v>2132</v>
      </c>
      <c r="X284" t="n">
        <v>1849</v>
      </c>
      <c r="Y284" t="n">
        <v>8630</v>
      </c>
    </row>
    <row r="285">
      <c r="A285" t="n">
        <v>284</v>
      </c>
      <c r="B285" t="n">
        <v>0</v>
      </c>
      <c r="C285" t="n">
        <v>69792</v>
      </c>
      <c r="D285" t="n">
        <v>277994</v>
      </c>
      <c r="E285" t="n">
        <v>4356878</v>
      </c>
      <c r="F285" t="n">
        <v>66932566</v>
      </c>
      <c r="G285" t="n">
        <v>1001028993</v>
      </c>
      <c r="H285" t="n">
        <v>14626743710</v>
      </c>
      <c r="I285" t="n">
        <v>208197077183</v>
      </c>
      <c r="J285" t="n">
        <v>2000</v>
      </c>
      <c r="K285" t="n">
        <v>45471</v>
      </c>
      <c r="L285" t="n">
        <v>2500</v>
      </c>
      <c r="M285" t="n">
        <v>1100</v>
      </c>
      <c r="N285" t="n">
        <v>2420</v>
      </c>
      <c r="O285" t="n">
        <v>3840</v>
      </c>
      <c r="P285" t="n">
        <v>5260</v>
      </c>
      <c r="Q285" t="n">
        <v>6680</v>
      </c>
      <c r="R285" t="n">
        <v>8100</v>
      </c>
      <c r="S285" t="n">
        <v>9520</v>
      </c>
      <c r="T285" t="n">
        <v>10940</v>
      </c>
      <c r="U285" t="n">
        <v>12360</v>
      </c>
      <c r="V285" t="n">
        <v>6910</v>
      </c>
      <c r="W285" t="n">
        <v>2136</v>
      </c>
      <c r="X285" t="n">
        <v>1852</v>
      </c>
      <c r="Y285" t="n">
        <v>8640</v>
      </c>
    </row>
    <row r="286">
      <c r="A286" t="n">
        <v>285</v>
      </c>
      <c r="B286" t="n">
        <v>0</v>
      </c>
      <c r="C286" t="n">
        <v>70839</v>
      </c>
      <c r="D286" t="n">
        <v>283554</v>
      </c>
      <c r="E286" t="n">
        <v>4487585</v>
      </c>
      <c r="F286" t="n">
        <v>69609869</v>
      </c>
      <c r="G286" t="n">
        <v>1051080443</v>
      </c>
      <c r="H286" t="n">
        <v>15504348333</v>
      </c>
      <c r="I286" t="n">
        <v>222770872586</v>
      </c>
      <c r="J286" t="n">
        <v>2000</v>
      </c>
      <c r="K286" t="n">
        <v>45926</v>
      </c>
      <c r="L286" t="n">
        <v>2500</v>
      </c>
      <c r="M286" t="n">
        <v>1100</v>
      </c>
      <c r="N286" t="n">
        <v>2425</v>
      </c>
      <c r="O286" t="n">
        <v>3850</v>
      </c>
      <c r="P286" t="n">
        <v>5275</v>
      </c>
      <c r="Q286" t="n">
        <v>6700</v>
      </c>
      <c r="R286" t="n">
        <v>8125</v>
      </c>
      <c r="S286" t="n">
        <v>9550</v>
      </c>
      <c r="T286" t="n">
        <v>10975</v>
      </c>
      <c r="U286" t="n">
        <v>12400</v>
      </c>
      <c r="V286" t="n">
        <v>6949</v>
      </c>
      <c r="W286" t="n">
        <v>2140</v>
      </c>
      <c r="X286" t="n">
        <v>1855</v>
      </c>
      <c r="Y286" t="n">
        <v>8650</v>
      </c>
    </row>
    <row r="287">
      <c r="A287" t="n">
        <v>286</v>
      </c>
      <c r="B287" t="n">
        <v>0</v>
      </c>
      <c r="C287" t="n">
        <v>71902</v>
      </c>
      <c r="D287" t="n">
        <v>289226</v>
      </c>
      <c r="E287" t="n">
        <v>4622213</v>
      </c>
      <c r="F287" t="n">
        <v>72394264</v>
      </c>
      <c r="G287" t="n">
        <v>1103634466</v>
      </c>
      <c r="H287" t="n">
        <v>16434609233</v>
      </c>
      <c r="I287" t="n">
        <v>238364833668</v>
      </c>
      <c r="J287" t="n">
        <v>2000</v>
      </c>
      <c r="K287" t="n">
        <v>46386</v>
      </c>
      <c r="L287" t="n">
        <v>2500</v>
      </c>
      <c r="M287" t="n">
        <v>1100</v>
      </c>
      <c r="N287" t="n">
        <v>2430</v>
      </c>
      <c r="O287" t="n">
        <v>3860</v>
      </c>
      <c r="P287" t="n">
        <v>5290</v>
      </c>
      <c r="Q287" t="n">
        <v>6720</v>
      </c>
      <c r="R287" t="n">
        <v>8150</v>
      </c>
      <c r="S287" t="n">
        <v>9580</v>
      </c>
      <c r="T287" t="n">
        <v>11010</v>
      </c>
      <c r="U287" t="n">
        <v>12440</v>
      </c>
      <c r="V287" t="n">
        <v>6988</v>
      </c>
      <c r="W287" t="n">
        <v>2144</v>
      </c>
      <c r="X287" t="n">
        <v>1858</v>
      </c>
      <c r="Y287" t="n">
        <v>8660</v>
      </c>
    </row>
    <row r="288">
      <c r="A288" t="n">
        <v>287</v>
      </c>
      <c r="B288" t="n">
        <v>0</v>
      </c>
      <c r="C288" t="n">
        <v>72981</v>
      </c>
      <c r="D288" t="n">
        <v>295011</v>
      </c>
      <c r="E288" t="n">
        <v>4760880</v>
      </c>
      <c r="F288" t="n">
        <v>75290035</v>
      </c>
      <c r="G288" t="n">
        <v>1158816190</v>
      </c>
      <c r="H288" t="n">
        <v>17420685787</v>
      </c>
      <c r="I288" t="n">
        <v>255050372025</v>
      </c>
      <c r="J288" t="n">
        <v>2000</v>
      </c>
      <c r="K288" t="n">
        <v>46850</v>
      </c>
      <c r="L288" t="n">
        <v>2500</v>
      </c>
      <c r="M288" t="n">
        <v>1100</v>
      </c>
      <c r="N288" t="n">
        <v>2435</v>
      </c>
      <c r="O288" t="n">
        <v>3870</v>
      </c>
      <c r="P288" t="n">
        <v>5305</v>
      </c>
      <c r="Q288" t="n">
        <v>6740</v>
      </c>
      <c r="R288" t="n">
        <v>8175</v>
      </c>
      <c r="S288" t="n">
        <v>9610</v>
      </c>
      <c r="T288" t="n">
        <v>11045</v>
      </c>
      <c r="U288" t="n">
        <v>12480</v>
      </c>
      <c r="V288" t="n">
        <v>7027</v>
      </c>
      <c r="W288" t="n">
        <v>2148</v>
      </c>
      <c r="X288" t="n">
        <v>1861</v>
      </c>
      <c r="Y288" t="n">
        <v>8670</v>
      </c>
    </row>
    <row r="289">
      <c r="A289" t="n">
        <v>288</v>
      </c>
      <c r="B289" t="n">
        <v>0</v>
      </c>
      <c r="C289" t="n">
        <v>74076</v>
      </c>
      <c r="D289" t="n">
        <v>300912</v>
      </c>
      <c r="E289" t="n">
        <v>4903707</v>
      </c>
      <c r="F289" t="n">
        <v>78301637</v>
      </c>
      <c r="G289" t="n">
        <v>1216757000</v>
      </c>
      <c r="H289" t="n">
        <v>18465926935</v>
      </c>
      <c r="I289" t="n">
        <v>272903898067</v>
      </c>
      <c r="J289" t="n">
        <v>2000</v>
      </c>
      <c r="K289" t="n">
        <v>47319</v>
      </c>
      <c r="L289" t="n">
        <v>2500</v>
      </c>
      <c r="M289" t="n">
        <v>1100</v>
      </c>
      <c r="N289" t="n">
        <v>2440</v>
      </c>
      <c r="O289" t="n">
        <v>3880</v>
      </c>
      <c r="P289" t="n">
        <v>5320</v>
      </c>
      <c r="Q289" t="n">
        <v>6760</v>
      </c>
      <c r="R289" t="n">
        <v>8200</v>
      </c>
      <c r="S289" t="n">
        <v>9640</v>
      </c>
      <c r="T289" t="n">
        <v>11080</v>
      </c>
      <c r="U289" t="n">
        <v>12520</v>
      </c>
      <c r="V289" t="n">
        <v>7067</v>
      </c>
      <c r="W289" t="n">
        <v>2152</v>
      </c>
      <c r="X289" t="n">
        <v>1864</v>
      </c>
      <c r="Y289" t="n">
        <v>8680</v>
      </c>
    </row>
    <row r="290">
      <c r="A290" t="n">
        <v>289</v>
      </c>
      <c r="B290" t="n">
        <v>0</v>
      </c>
      <c r="C290" t="n">
        <v>75188</v>
      </c>
      <c r="D290" t="n">
        <v>306931</v>
      </c>
      <c r="E290" t="n">
        <v>5050819</v>
      </c>
      <c r="F290" t="n">
        <v>81433703</v>
      </c>
      <c r="G290" t="n">
        <v>1277594850</v>
      </c>
      <c r="H290" t="n">
        <v>19573882552</v>
      </c>
      <c r="I290" t="n">
        <v>292007170932</v>
      </c>
      <c r="J290" t="n">
        <v>2000</v>
      </c>
      <c r="K290" t="n">
        <v>47793</v>
      </c>
      <c r="L290" t="n">
        <v>2500</v>
      </c>
      <c r="M290" t="n">
        <v>1100</v>
      </c>
      <c r="N290" t="n">
        <v>2445</v>
      </c>
      <c r="O290" t="n">
        <v>3890</v>
      </c>
      <c r="P290" t="n">
        <v>5335</v>
      </c>
      <c r="Q290" t="n">
        <v>6780</v>
      </c>
      <c r="R290" t="n">
        <v>8225</v>
      </c>
      <c r="S290" t="n">
        <v>9670</v>
      </c>
      <c r="T290" t="n">
        <v>11115</v>
      </c>
      <c r="U290" t="n">
        <v>12560</v>
      </c>
      <c r="V290" t="n">
        <v>7107</v>
      </c>
      <c r="W290" t="n">
        <v>2156</v>
      </c>
      <c r="X290" t="n">
        <v>1867</v>
      </c>
      <c r="Y290" t="n">
        <v>8690</v>
      </c>
    </row>
    <row r="291">
      <c r="A291" t="n">
        <v>290</v>
      </c>
      <c r="B291" t="n">
        <v>0</v>
      </c>
      <c r="C291" t="n">
        <v>76316</v>
      </c>
      <c r="D291" t="n">
        <v>313070</v>
      </c>
      <c r="E291" t="n">
        <v>5202344</v>
      </c>
      <c r="F291" t="n">
        <v>84691052</v>
      </c>
      <c r="G291" t="n">
        <v>1341474593</v>
      </c>
      <c r="H291" t="n">
        <v>20748315506</v>
      </c>
      <c r="I291" t="n">
        <v>312447672898</v>
      </c>
      <c r="J291" t="n">
        <v>2000</v>
      </c>
      <c r="K291" t="n">
        <v>48271</v>
      </c>
      <c r="L291" t="n">
        <v>2500</v>
      </c>
      <c r="M291" t="n">
        <v>1100</v>
      </c>
      <c r="N291" t="n">
        <v>2450</v>
      </c>
      <c r="O291" t="n">
        <v>3900</v>
      </c>
      <c r="P291" t="n">
        <v>5350</v>
      </c>
      <c r="Q291" t="n">
        <v>6800</v>
      </c>
      <c r="R291" t="n">
        <v>8250</v>
      </c>
      <c r="S291" t="n">
        <v>9700</v>
      </c>
      <c r="T291" t="n">
        <v>11150</v>
      </c>
      <c r="U291" t="n">
        <v>12600</v>
      </c>
      <c r="V291" t="n">
        <v>7147</v>
      </c>
      <c r="W291" t="n">
        <v>2160</v>
      </c>
      <c r="X291" t="n">
        <v>1870</v>
      </c>
      <c r="Y291" t="n">
        <v>8700</v>
      </c>
    </row>
    <row r="292">
      <c r="A292" t="n">
        <v>291</v>
      </c>
      <c r="B292" t="n">
        <v>0</v>
      </c>
      <c r="C292" t="n">
        <v>77461</v>
      </c>
      <c r="D292" t="n">
        <v>319332</v>
      </c>
      <c r="E292" t="n">
        <v>5358415</v>
      </c>
      <c r="F292" t="n">
        <v>88078695</v>
      </c>
      <c r="G292" t="n">
        <v>1408548323</v>
      </c>
      <c r="H292" t="n">
        <v>21993214437</v>
      </c>
      <c r="I292" t="n">
        <v>334319010001</v>
      </c>
      <c r="J292" t="n">
        <v>2000</v>
      </c>
      <c r="K292" t="n">
        <v>48754</v>
      </c>
      <c r="L292" t="n">
        <v>2500</v>
      </c>
      <c r="M292" t="n">
        <v>1100</v>
      </c>
      <c r="N292" t="n">
        <v>2455</v>
      </c>
      <c r="O292" t="n">
        <v>3910</v>
      </c>
      <c r="P292" t="n">
        <v>5365</v>
      </c>
      <c r="Q292" t="n">
        <v>6820</v>
      </c>
      <c r="R292" t="n">
        <v>8275</v>
      </c>
      <c r="S292" t="n">
        <v>9730</v>
      </c>
      <c r="T292" t="n">
        <v>11185</v>
      </c>
      <c r="U292" t="n">
        <v>12640</v>
      </c>
      <c r="V292" t="n">
        <v>7187</v>
      </c>
      <c r="W292" t="n">
        <v>2164</v>
      </c>
      <c r="X292" t="n">
        <v>1873</v>
      </c>
      <c r="Y292" t="n">
        <v>8710</v>
      </c>
    </row>
    <row r="293">
      <c r="A293" t="n">
        <v>292</v>
      </c>
      <c r="B293" t="n">
        <v>0</v>
      </c>
      <c r="C293" t="n">
        <v>78623</v>
      </c>
      <c r="D293" t="n">
        <v>325719</v>
      </c>
      <c r="E293" t="n">
        <v>5519168</v>
      </c>
      <c r="F293" t="n">
        <v>91601843</v>
      </c>
      <c r="G293" t="n">
        <v>1478975740</v>
      </c>
      <c r="H293" t="n">
        <v>23312807304</v>
      </c>
      <c r="I293" t="n">
        <v>357721340702</v>
      </c>
      <c r="J293" t="n">
        <v>2000</v>
      </c>
      <c r="K293" t="n">
        <v>49242</v>
      </c>
      <c r="L293" t="n">
        <v>2500</v>
      </c>
      <c r="M293" t="n">
        <v>1100</v>
      </c>
      <c r="N293" t="n">
        <v>2460</v>
      </c>
      <c r="O293" t="n">
        <v>3920</v>
      </c>
      <c r="P293" t="n">
        <v>5380</v>
      </c>
      <c r="Q293" t="n">
        <v>6840</v>
      </c>
      <c r="R293" t="n">
        <v>8300</v>
      </c>
      <c r="S293" t="n">
        <v>9760</v>
      </c>
      <c r="T293" t="n">
        <v>11220</v>
      </c>
      <c r="U293" t="n">
        <v>12680</v>
      </c>
      <c r="V293" t="n">
        <v>7227</v>
      </c>
      <c r="W293" t="n">
        <v>2168</v>
      </c>
      <c r="X293" t="n">
        <v>1876</v>
      </c>
      <c r="Y293" t="n">
        <v>8720</v>
      </c>
    </row>
    <row r="294">
      <c r="A294" t="n">
        <v>293</v>
      </c>
      <c r="B294" t="n">
        <v>0</v>
      </c>
      <c r="C294" t="n">
        <v>79803</v>
      </c>
      <c r="D294" t="n">
        <v>332234</v>
      </c>
      <c r="E294" t="n">
        <v>5684744</v>
      </c>
      <c r="F294" t="n">
        <v>95265917</v>
      </c>
      <c r="G294" t="n">
        <v>1552924527</v>
      </c>
      <c r="H294" t="n">
        <v>24711575743</v>
      </c>
      <c r="I294" t="n">
        <v>382761834552</v>
      </c>
      <c r="J294" t="n">
        <v>2000</v>
      </c>
      <c r="K294" t="n">
        <v>49735</v>
      </c>
      <c r="L294" t="n">
        <v>2500</v>
      </c>
      <c r="M294" t="n">
        <v>1100</v>
      </c>
      <c r="N294" t="n">
        <v>2465</v>
      </c>
      <c r="O294" t="n">
        <v>3930</v>
      </c>
      <c r="P294" t="n">
        <v>5395</v>
      </c>
      <c r="Q294" t="n">
        <v>6860</v>
      </c>
      <c r="R294" t="n">
        <v>8325</v>
      </c>
      <c r="S294" t="n">
        <v>9790</v>
      </c>
      <c r="T294" t="n">
        <v>11255</v>
      </c>
      <c r="U294" t="n">
        <v>12720</v>
      </c>
      <c r="V294" t="n">
        <v>7268</v>
      </c>
      <c r="W294" t="n">
        <v>2172</v>
      </c>
      <c r="X294" t="n">
        <v>1879</v>
      </c>
      <c r="Y294" t="n">
        <v>8730</v>
      </c>
    </row>
    <row r="295">
      <c r="A295" t="n">
        <v>294</v>
      </c>
      <c r="B295" t="n">
        <v>0</v>
      </c>
      <c r="C295" t="n">
        <v>81001</v>
      </c>
      <c r="D295" t="n">
        <v>338879</v>
      </c>
      <c r="E295" t="n">
        <v>5855287</v>
      </c>
      <c r="F295" t="n">
        <v>99076554</v>
      </c>
      <c r="G295" t="n">
        <v>1630570754</v>
      </c>
      <c r="H295" t="n">
        <v>26194270288</v>
      </c>
      <c r="I295" t="n">
        <v>409555162971</v>
      </c>
      <c r="J295" t="n">
        <v>2000</v>
      </c>
      <c r="K295" t="n">
        <v>50233</v>
      </c>
      <c r="L295" t="n">
        <v>2500</v>
      </c>
      <c r="M295" t="n">
        <v>1100</v>
      </c>
      <c r="N295" t="n">
        <v>2470</v>
      </c>
      <c r="O295" t="n">
        <v>3940</v>
      </c>
      <c r="P295" t="n">
        <v>5410</v>
      </c>
      <c r="Q295" t="n">
        <v>6880</v>
      </c>
      <c r="R295" t="n">
        <v>8350</v>
      </c>
      <c r="S295" t="n">
        <v>9820</v>
      </c>
      <c r="T295" t="n">
        <v>11290</v>
      </c>
      <c r="U295" t="n">
        <v>12760</v>
      </c>
      <c r="V295" t="n">
        <v>7309</v>
      </c>
      <c r="W295" t="n">
        <v>2176</v>
      </c>
      <c r="X295" t="n">
        <v>1882</v>
      </c>
      <c r="Y295" t="n">
        <v>8740</v>
      </c>
    </row>
    <row r="296">
      <c r="A296" t="n">
        <v>295</v>
      </c>
      <c r="B296" t="n">
        <v>0</v>
      </c>
      <c r="C296" t="n">
        <v>82217</v>
      </c>
      <c r="D296" t="n">
        <v>345657</v>
      </c>
      <c r="E296" t="n">
        <v>6030946</v>
      </c>
      <c r="F296" t="n">
        <v>103039617</v>
      </c>
      <c r="G296" t="n">
        <v>1712099292</v>
      </c>
      <c r="H296" t="n">
        <v>27765926506</v>
      </c>
      <c r="I296" t="n">
        <v>438224024379</v>
      </c>
      <c r="J296" t="n">
        <v>2000</v>
      </c>
      <c r="K296" t="n">
        <v>50736</v>
      </c>
      <c r="L296" t="n">
        <v>2500</v>
      </c>
      <c r="M296" t="n">
        <v>1100</v>
      </c>
      <c r="N296" t="n">
        <v>2475</v>
      </c>
      <c r="O296" t="n">
        <v>3950</v>
      </c>
      <c r="P296" t="n">
        <v>5425</v>
      </c>
      <c r="Q296" t="n">
        <v>6900</v>
      </c>
      <c r="R296" t="n">
        <v>8375</v>
      </c>
      <c r="S296" t="n">
        <v>9850</v>
      </c>
      <c r="T296" t="n">
        <v>11325</v>
      </c>
      <c r="U296" t="n">
        <v>12800</v>
      </c>
      <c r="V296" t="n">
        <v>7350</v>
      </c>
      <c r="W296" t="n">
        <v>2180</v>
      </c>
      <c r="X296" t="n">
        <v>1885</v>
      </c>
      <c r="Y296" t="n">
        <v>8750</v>
      </c>
    </row>
    <row r="297">
      <c r="A297" t="n">
        <v>296</v>
      </c>
      <c r="B297" t="n">
        <v>0</v>
      </c>
      <c r="C297" t="n">
        <v>83451</v>
      </c>
      <c r="D297" t="n">
        <v>352571</v>
      </c>
      <c r="E297" t="n">
        <v>6211875</v>
      </c>
      <c r="F297" t="n">
        <v>107161202</v>
      </c>
      <c r="G297" t="n">
        <v>1797704257</v>
      </c>
      <c r="H297" t="n">
        <v>29431882097</v>
      </c>
      <c r="I297" t="n">
        <v>468899706086</v>
      </c>
      <c r="J297" t="n">
        <v>2000</v>
      </c>
      <c r="K297" t="n">
        <v>51244</v>
      </c>
      <c r="L297" t="n">
        <v>2500</v>
      </c>
      <c r="M297" t="n">
        <v>1100</v>
      </c>
      <c r="N297" t="n">
        <v>2480</v>
      </c>
      <c r="O297" t="n">
        <v>3960</v>
      </c>
      <c r="P297" t="n">
        <v>5440</v>
      </c>
      <c r="Q297" t="n">
        <v>6920</v>
      </c>
      <c r="R297" t="n">
        <v>8400</v>
      </c>
      <c r="S297" t="n">
        <v>9880</v>
      </c>
      <c r="T297" t="n">
        <v>11360</v>
      </c>
      <c r="U297" t="n">
        <v>12840</v>
      </c>
      <c r="V297" t="n">
        <v>7391</v>
      </c>
      <c r="W297" t="n">
        <v>2184</v>
      </c>
      <c r="X297" t="n">
        <v>1888</v>
      </c>
      <c r="Y297" t="n">
        <v>8760</v>
      </c>
    </row>
    <row r="298">
      <c r="A298" t="n">
        <v>297</v>
      </c>
      <c r="B298" t="n">
        <v>0</v>
      </c>
      <c r="C298" t="n">
        <v>84703</v>
      </c>
      <c r="D298" t="n">
        <v>359623</v>
      </c>
      <c r="E298" t="n">
        <v>6398232</v>
      </c>
      <c r="F298" t="n">
        <v>111447651</v>
      </c>
      <c r="G298" t="n">
        <v>1887589470</v>
      </c>
      <c r="H298" t="n">
        <v>31197795023</v>
      </c>
      <c r="I298" t="n">
        <v>501722685513</v>
      </c>
      <c r="J298" t="n">
        <v>2000</v>
      </c>
      <c r="K298" t="n">
        <v>51757</v>
      </c>
      <c r="L298" t="n">
        <v>2500</v>
      </c>
      <c r="M298" t="n">
        <v>1100</v>
      </c>
      <c r="N298" t="n">
        <v>2485</v>
      </c>
      <c r="O298" t="n">
        <v>3970</v>
      </c>
      <c r="P298" t="n">
        <v>5455</v>
      </c>
      <c r="Q298" t="n">
        <v>6940</v>
      </c>
      <c r="R298" t="n">
        <v>8425</v>
      </c>
      <c r="S298" t="n">
        <v>9910</v>
      </c>
      <c r="T298" t="n">
        <v>11395</v>
      </c>
      <c r="U298" t="n">
        <v>12880</v>
      </c>
      <c r="V298" t="n">
        <v>7432</v>
      </c>
      <c r="W298" t="n">
        <v>2188</v>
      </c>
      <c r="X298" t="n">
        <v>1891</v>
      </c>
      <c r="Y298" t="n">
        <v>8770</v>
      </c>
    </row>
    <row r="299">
      <c r="A299" t="n">
        <v>298</v>
      </c>
      <c r="B299" t="n">
        <v>0</v>
      </c>
      <c r="C299" t="n">
        <v>85974</v>
      </c>
      <c r="D299" t="n">
        <v>366816</v>
      </c>
      <c r="E299" t="n">
        <v>6590179</v>
      </c>
      <c r="F299" t="n">
        <v>115905558</v>
      </c>
      <c r="G299" t="n">
        <v>1981968944</v>
      </c>
      <c r="H299" t="n">
        <v>33069662725</v>
      </c>
      <c r="I299" t="n">
        <v>536843273499</v>
      </c>
      <c r="J299" t="n">
        <v>2000</v>
      </c>
      <c r="K299" t="n">
        <v>52275</v>
      </c>
      <c r="L299" t="n">
        <v>2500</v>
      </c>
      <c r="M299" t="n">
        <v>1100</v>
      </c>
      <c r="N299" t="n">
        <v>2490</v>
      </c>
      <c r="O299" t="n">
        <v>3980</v>
      </c>
      <c r="P299" t="n">
        <v>5470</v>
      </c>
      <c r="Q299" t="n">
        <v>6960</v>
      </c>
      <c r="R299" t="n">
        <v>8450</v>
      </c>
      <c r="S299" t="n">
        <v>9940</v>
      </c>
      <c r="T299" t="n">
        <v>11430</v>
      </c>
      <c r="U299" t="n">
        <v>12920</v>
      </c>
      <c r="V299" t="n">
        <v>7474</v>
      </c>
      <c r="W299" t="n">
        <v>2192</v>
      </c>
      <c r="X299" t="n">
        <v>1894</v>
      </c>
      <c r="Y299" t="n">
        <v>8780</v>
      </c>
    </row>
    <row r="300">
      <c r="A300" t="n">
        <v>299</v>
      </c>
      <c r="B300" t="n">
        <v>0</v>
      </c>
      <c r="C300" t="n">
        <v>87264</v>
      </c>
      <c r="D300" t="n">
        <v>374153</v>
      </c>
      <c r="E300" t="n">
        <v>6787885</v>
      </c>
      <c r="F300" t="n">
        <v>120541781</v>
      </c>
      <c r="G300" t="n">
        <v>2081067392</v>
      </c>
      <c r="H300" t="n">
        <v>35053842489</v>
      </c>
      <c r="I300" t="n">
        <v>574422302644</v>
      </c>
      <c r="J300" t="n">
        <v>2000</v>
      </c>
      <c r="K300" t="n">
        <v>52798</v>
      </c>
      <c r="L300" t="n">
        <v>2500</v>
      </c>
      <c r="M300" t="n">
        <v>1100</v>
      </c>
      <c r="N300" t="n">
        <v>2495</v>
      </c>
      <c r="O300" t="n">
        <v>3990</v>
      </c>
      <c r="P300" t="n">
        <v>5485</v>
      </c>
      <c r="Q300" t="n">
        <v>6980</v>
      </c>
      <c r="R300" t="n">
        <v>8475</v>
      </c>
      <c r="S300" t="n">
        <v>9970</v>
      </c>
      <c r="T300" t="n">
        <v>11465</v>
      </c>
      <c r="U300" t="n">
        <v>12960</v>
      </c>
      <c r="V300" t="n">
        <v>7516</v>
      </c>
      <c r="W300" t="n">
        <v>2196</v>
      </c>
      <c r="X300" t="n">
        <v>1897</v>
      </c>
      <c r="Y300" t="n">
        <v>8790</v>
      </c>
    </row>
    <row r="301">
      <c r="A301" t="n">
        <v>300</v>
      </c>
      <c r="B301" t="n">
        <v>0</v>
      </c>
      <c r="C301" t="n">
        <v>88573</v>
      </c>
      <c r="D301" t="n">
        <v>381637</v>
      </c>
      <c r="E301" t="n">
        <v>6991522</v>
      </c>
      <c r="F301" t="n">
        <v>125363453</v>
      </c>
      <c r="G301" t="n">
        <v>2185120762</v>
      </c>
      <c r="H301" t="n">
        <v>37157073039</v>
      </c>
      <c r="I301" t="n">
        <v>614631863830</v>
      </c>
      <c r="J301" t="n">
        <v>2000</v>
      </c>
      <c r="K301" t="n">
        <v>53326</v>
      </c>
      <c r="L301" t="n">
        <v>2500</v>
      </c>
      <c r="M301" t="n">
        <v>1100</v>
      </c>
      <c r="N301" t="n">
        <v>2500</v>
      </c>
      <c r="O301" t="n">
        <v>4000</v>
      </c>
      <c r="P301" t="n">
        <v>5500</v>
      </c>
      <c r="Q301" t="n">
        <v>7000</v>
      </c>
      <c r="R301" t="n">
        <v>8500</v>
      </c>
      <c r="S301" t="n">
        <v>10000</v>
      </c>
      <c r="T301" t="n">
        <v>11500</v>
      </c>
      <c r="U301" t="n">
        <v>13000</v>
      </c>
      <c r="V301" t="n">
        <v>7558</v>
      </c>
      <c r="W301" t="n">
        <v>2200</v>
      </c>
      <c r="X301" t="n">
        <v>1900</v>
      </c>
      <c r="Y301" t="n">
        <v>8800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28"/>
  <sheetViews>
    <sheetView workbookViewId="0">
      <pane ySplit="1" topLeftCell="A2" activePane="bottomLeft" state="frozen"/>
      <selection pane="bottomLeft" activeCell="A1" sqref="A1"/>
    </sheetView>
  </sheetViews>
  <sheetFormatPr baseColWidth="8" defaultRowHeight="15"/>
  <cols>
    <col width="30" customWidth="1" min="1" max="1"/>
    <col width="34" customWidth="1" min="2" max="2"/>
    <col width="8" customWidth="1" min="3" max="3"/>
    <col width="11" customWidth="1" min="4" max="4"/>
    <col width="15" customWidth="1" min="5" max="5"/>
    <col width="13" customWidth="1" min="6" max="6"/>
    <col width="11" customWidth="1" min="7" max="7"/>
    <col width="8" customWidth="1" min="8" max="8"/>
    <col width="13" customWidth="1" min="9" max="9"/>
    <col width="11" customWidth="1" min="10" max="10"/>
    <col width="12" customWidth="1" min="11" max="11"/>
    <col width="18" customWidth="1" min="12" max="12"/>
    <col width="11" customWidth="1" min="13" max="13"/>
    <col width="14" customWidth="1" min="14" max="14"/>
    <col width="17" customWidth="1" min="15" max="15"/>
    <col width="16" customWidth="1" min="16" max="16"/>
    <col width="18" customWidth="1" min="17" max="17"/>
    <col width="20" customWidth="1" min="18" max="18"/>
    <col width="18" customWidth="1" min="19" max="19"/>
    <col width="15" customWidth="1" min="20" max="20"/>
    <col width="20" customWidth="1" min="21" max="21"/>
    <col width="20" customWidth="1" min="22" max="22"/>
    <col width="60" customWidth="1" min="23" max="23"/>
  </cols>
  <sheetData>
    <row r="1">
      <c r="A1" s="5" t="inlineStr">
        <is>
          <t>Key</t>
        </is>
      </c>
      <c r="B1" s="5" t="inlineStr">
        <is>
          <t>Name</t>
        </is>
      </c>
      <c r="C1" s="5" t="inlineStr">
        <is>
          <t>JobStep</t>
        </is>
      </c>
      <c r="D1" s="5" t="inlineStr">
        <is>
          <t>Cooldown(s)</t>
        </is>
      </c>
      <c r="E1" s="5" t="inlineStr">
        <is>
          <t>CostsActionSlot</t>
        </is>
      </c>
      <c r="F1" s="5" t="inlineStr">
        <is>
          <t>ActionsPerCast</t>
        </is>
      </c>
      <c r="G1" s="5" t="inlineStr">
        <is>
          <t>HitsPerCast</t>
        </is>
      </c>
      <c r="H1" s="5" t="inlineStr">
        <is>
          <t>ICD(s)</t>
        </is>
      </c>
      <c r="I1" s="5" t="inlineStr">
        <is>
          <t>ActiveWindow(s)</t>
        </is>
      </c>
      <c r="J1" s="5" t="inlineStr">
        <is>
          <t>ProcChance%</t>
        </is>
      </c>
      <c r="K1" s="5" t="inlineStr">
        <is>
          <t>RollsPerCast</t>
        </is>
      </c>
      <c r="L1" s="5" t="inlineStr">
        <is>
          <t>BaseDamage(tenths%)</t>
        </is>
      </c>
      <c r="M1" s="5" t="inlineStr">
        <is>
          <t>FactorIndex</t>
        </is>
      </c>
      <c r="N1" s="5" t="inlineStr">
        <is>
          <t>ScalesWithLevel</t>
        </is>
      </c>
      <c r="O1" s="5" t="inlineStr">
        <is>
          <t>SkillMasteryBonus%</t>
        </is>
      </c>
      <c r="P1" s="5" t="inlineStr">
        <is>
          <t>MasteryBossDamage%</t>
        </is>
      </c>
      <c r="Q1" s="5" t="inlineStr">
        <is>
          <t>MasteryNormalDamage%</t>
        </is>
      </c>
      <c r="R1" s="5" t="inlineStr">
        <is>
          <t>NormalMonsterTargets</t>
        </is>
      </c>
      <c r="S1" s="5" t="inlineStr">
        <is>
          <t>BuffTargetStat</t>
        </is>
      </c>
      <c r="T1" s="5" t="inlineStr">
        <is>
          <t>BuffDuration(s)</t>
        </is>
      </c>
      <c r="U1" s="5" t="inlineStr">
        <is>
          <t>MapleHeroBase(tenths%)</t>
        </is>
      </c>
      <c r="V1" s="5" t="inlineStr">
        <is>
          <t>MapleHeroFactorIndex</t>
        </is>
      </c>
      <c r="W1" s="5" t="inlineStr">
        <is>
          <t>Note</t>
        </is>
      </c>
    </row>
    <row r="2">
      <c r="A2" t="inlineStr">
        <is>
          <t>EIGHT_LEGS_EASTON</t>
        </is>
      </c>
      <c r="B2" t="inlineStr">
        <is>
          <t>Eight-Legs Easton</t>
        </is>
      </c>
      <c r="C2" t="n">
        <v>4</v>
      </c>
      <c r="D2" t="inlineStr"/>
      <c r="E2" t="b">
        <v>0</v>
      </c>
      <c r="F2" t="n">
        <v>1</v>
      </c>
      <c r="G2">
        <f>IF(Inputs!$B$3&gt;=136,6,5)</f>
        <v/>
      </c>
      <c r="H2" t="n">
        <v>0</v>
      </c>
      <c r="I2" t="n">
        <v>0</v>
      </c>
      <c r="J2" t="n">
        <v>100</v>
      </c>
      <c r="K2" t="n">
        <v>1</v>
      </c>
      <c r="L2" t="n">
        <v>2900</v>
      </c>
      <c r="M2" t="n">
        <v>21</v>
      </c>
      <c r="N2" t="b">
        <v>1</v>
      </c>
      <c r="O2">
        <f>SUMPRODUCT((Inputs!$B$3&gt;={102,106,116,120,128,132})*{10,11,12,13,14,15})</f>
        <v/>
      </c>
      <c r="P2">
        <f>SUMPRODUCT((Inputs!$B$3&gt;={111,124})*{10,10})</f>
        <v/>
      </c>
      <c r="Q2" t="n">
        <v>0</v>
      </c>
      <c r="R2">
        <f>6+Inputs!$B$33</f>
        <v/>
      </c>
      <c r="S2" t="inlineStr"/>
      <c r="T2" t="n">
        <v>0</v>
      </c>
      <c r="U2" t="inlineStr"/>
      <c r="V2" t="inlineStr"/>
      <c r="W2" t="inlineStr">
        <is>
          <t>4th-job basic-attack effect (supersedes Double Shot/Rapid Blast/Blunderbuster): 290% damage to 6 target(s) in front 5 time(s). factorIndex 21, baseDamage 2900 tenths% (game table). HitsPerCast=5, 6 once Mastery Lv.136 'Eight-Legs Easton - Strike' unlocks. Damage chain 102/106/116/120/128/132 and Boss Monster Damage chain 111/124 now confirmed from the game capture's real mastery table (an earlier version mapped them from Buccaneer): every tier is its own add-on (user-confirmed 2026-10-21: raw +10/+11/+12/+13/+14/+15 = 75% at max). Quickdraw (Lv125): every 3rd cast deals double damage (game table lists a second 5800% line) =&gt; the DPS formula multiplies by (1 + 1/3) once Quickdraw is unlocked; its cooldown effect on Brain Scrambler / Rapid Fire is in Summary!QD_FACTOR.</t>
        </is>
      </c>
    </row>
    <row r="3">
      <c r="A3" t="inlineStr">
        <is>
          <t>SWIFT_FIRE</t>
        </is>
      </c>
      <c r="B3" t="inlineStr">
        <is>
          <t>Swift Fire</t>
        </is>
      </c>
      <c r="C3" t="n">
        <v>2</v>
      </c>
      <c r="D3" t="n">
        <v>17</v>
      </c>
      <c r="E3" t="b">
        <v>1</v>
      </c>
      <c r="F3" t="n">
        <v>1</v>
      </c>
      <c r="G3" t="n">
        <v>3</v>
      </c>
      <c r="H3" t="n">
        <v>0</v>
      </c>
      <c r="I3" t="n">
        <v>0</v>
      </c>
      <c r="J3" t="n">
        <v>100</v>
      </c>
      <c r="K3" t="n">
        <v>1</v>
      </c>
      <c r="L3" t="n">
        <v>1800</v>
      </c>
      <c r="M3" t="n">
        <v>12</v>
      </c>
      <c r="N3" t="b">
        <v>1</v>
      </c>
      <c r="O3">
        <f>SUMPRODUCT((Inputs!$B$3&gt;={39})*{50})</f>
        <v/>
      </c>
      <c r="P3" t="n">
        <v>0</v>
      </c>
      <c r="Q3" t="n">
        <v>0</v>
      </c>
      <c r="R3" t="n">
        <v>8</v>
      </c>
      <c r="S3" t="inlineStr"/>
      <c r="T3" t="n">
        <v>0</v>
      </c>
      <c r="U3" t="n">
        <v>200</v>
      </c>
      <c r="V3" t="n">
        <v>23</v>
      </c>
      <c r="W3" t="inlineStr">
        <is>
          <t>Game capture: 'Fires three bullets consecutively ahead to attack up to 8 target(s), dealing 180% damage each', 17s cooldown, Lv.33 unlock (was 35). factorIndex 12, baseDamage 1800 tenths%, 3 hits. Mastery Lv.39 'Swift Fire - Damage' +50% (confirmed from the real mastery table; was role-mapped). Mastery Lv.54 'Swift Fire - Weaken': +3% damage taken per strike, max 3 stacks (9%) for 8s, scaled by the 8s/cooldown uptime — now modeled in Summary's monster-damage-taken bucket. Maple Hero target (80% share, ratio 80/20) — see MAPLE_HERO_RATIOS.</t>
        </is>
      </c>
    </row>
    <row r="4">
      <c r="A4" t="inlineStr">
        <is>
          <t>SCURVY_SUMMONS</t>
        </is>
      </c>
      <c r="B4" t="inlineStr">
        <is>
          <t>Scurvy Summons</t>
        </is>
      </c>
      <c r="C4" t="n">
        <v>2</v>
      </c>
      <c r="D4" t="n">
        <v>35</v>
      </c>
      <c r="E4" t="b">
        <v>1</v>
      </c>
      <c r="F4" t="n">
        <v>1</v>
      </c>
      <c r="G4" t="n">
        <v>2</v>
      </c>
      <c r="H4">
        <f>IF(Inputs!$B$3&gt;=94,1.5*0.7,1.5)</f>
        <v/>
      </c>
      <c r="I4">
        <f>IF(Inputs!$B$3&gt;=104,MIN(35,20*(1+Inputs!$B$34/100)),20)</f>
        <v/>
      </c>
      <c r="J4" t="n">
        <v>100</v>
      </c>
      <c r="K4" t="n">
        <v>1</v>
      </c>
      <c r="L4" t="n">
        <v>950</v>
      </c>
      <c r="M4" t="n">
        <v>12</v>
      </c>
      <c r="N4" t="b">
        <v>1</v>
      </c>
      <c r="O4">
        <f>SUMPRODUCT((Inputs!$B$3&gt;={49})*{50})</f>
        <v/>
      </c>
      <c r="P4" t="n">
        <v>0</v>
      </c>
      <c r="Q4" t="n">
        <v>0</v>
      </c>
      <c r="R4" t="n">
        <v>3</v>
      </c>
      <c r="S4" t="inlineStr"/>
      <c r="T4" t="n">
        <v>0</v>
      </c>
      <c r="U4" t="inlineStr"/>
      <c r="V4" t="inlineStr"/>
      <c r="W4" t="inlineStr">
        <is>
          <t>Game capture: 'Summons the Dual Pistol Crew of the Nautilus for 20 sec. The Dual Pistol Crew attacks up to 3 nearby target(s) for 95% damage 2 time(s) every 1.5 sec.' 35s cooldown, Lv.35 unlock (was 40). factorIndex 12, baseDamage 950 tenths%. Masteries (real table, were missing): Lv.49 'Scurvy Summons - Damage' +50% (Dual Pistol Crew damage); Lv.94 'All Aboard - Strike Interval' -30% on BOTH crews (1.5s -&gt; 1.05s); Lv.104 'All Aboard - Persistence': the Buff Duration Increase stat lengthens the crews' 20s duration (ActiveWindow = MIN(35, 20*(1+BDI)), read live by Calc/Sensitivity). Ahoy Mateys: +250% Final Damage (ratio 1.0, see AHOY_MATEYS_RATIOS) and the Lv.122 +20% FD-for-20s proc (Summary).</t>
        </is>
      </c>
    </row>
    <row r="5">
      <c r="A5" t="inlineStr">
        <is>
          <t>ALL_ABOARD</t>
        </is>
      </c>
      <c r="B5" t="inlineStr">
        <is>
          <t>All Aboard</t>
        </is>
      </c>
      <c r="C5" t="n">
        <v>3</v>
      </c>
      <c r="D5">
        <f>Skills!D4</f>
        <v/>
      </c>
      <c r="E5" t="b">
        <v>0</v>
      </c>
      <c r="F5" t="n">
        <v>1</v>
      </c>
      <c r="G5" t="n">
        <v>3</v>
      </c>
      <c r="H5">
        <f>IF(Inputs!$B$3&gt;=94,2*0.7,2)</f>
        <v/>
      </c>
      <c r="I5">
        <f>IF(Inputs!$B$3&gt;=104,MIN(35,20*(1+Inputs!$B$34/100)),20)</f>
        <v/>
      </c>
      <c r="J5" t="n">
        <v>100</v>
      </c>
      <c r="K5" t="n">
        <v>1</v>
      </c>
      <c r="L5" t="n">
        <v>1100</v>
      </c>
      <c r="M5" t="n">
        <v>12</v>
      </c>
      <c r="N5" t="b">
        <v>1</v>
      </c>
      <c r="O5">
        <f>SUMPRODUCT((Inputs!$B$3&gt;={78})*{50})</f>
        <v/>
      </c>
      <c r="P5" t="n">
        <v>0</v>
      </c>
      <c r="Q5" t="n">
        <v>0</v>
      </c>
      <c r="R5" t="n">
        <v>8</v>
      </c>
      <c r="S5" t="inlineStr"/>
      <c r="T5" t="n">
        <v>0</v>
      </c>
      <c r="U5" t="inlineStr"/>
      <c r="V5" t="inlineStr"/>
      <c r="W5" t="inlineStr">
        <is>
          <t>Game capture: 'Summons the Sharpshooter Crew upon using Scurvy Summons. The Sharpshooter Crew fires bullets every 2 sec to deal 110% damage to 8 target(s) near the main target 3 time(s).' A 3rd-job skill (JobStep 3; was 2), Lv.69 unlock (was 45). Cooldown is a LIVE reference to Scurvy Summons' (and inherits its CDR eligibility); window/ICD follow Scurvy Summons' crew rules. Masteries: Lv.78 'All Aboard - Damage' +50% (Sharpshooter Crew), Lv.94 strike interval -30% (2s -&gt; 1.4s), Lv.104 BDI lengthens the crew window. factorIndex 12, baseDamage 1100 tenths%. Ahoy Mateys: +100% Final Damage (ratio 100/250 of the 250 base).</t>
        </is>
      </c>
    </row>
    <row r="6">
      <c r="A6" t="inlineStr">
        <is>
          <t>BLACKBOOT_BILL</t>
        </is>
      </c>
      <c r="B6" t="inlineStr">
        <is>
          <t>Blackboot Bill</t>
        </is>
      </c>
      <c r="C6" t="n">
        <v>3</v>
      </c>
      <c r="D6" t="n">
        <v>23</v>
      </c>
      <c r="E6" t="b">
        <v>1</v>
      </c>
      <c r="F6" t="n">
        <v>1</v>
      </c>
      <c r="G6" t="n">
        <v>4</v>
      </c>
      <c r="H6" t="n">
        <v>0</v>
      </c>
      <c r="I6" t="n">
        <v>0</v>
      </c>
      <c r="J6" t="n">
        <v>100</v>
      </c>
      <c r="K6" t="n">
        <v>1</v>
      </c>
      <c r="L6" t="n">
        <v>1700</v>
      </c>
      <c r="M6" t="n">
        <v>12</v>
      </c>
      <c r="N6" t="b">
        <v>1</v>
      </c>
      <c r="O6">
        <f>SUMPRODUCT((Inputs!$B$3&gt;={73})*{50})</f>
        <v/>
      </c>
      <c r="P6" t="n">
        <v>0</v>
      </c>
      <c r="Q6" t="n">
        <v>0</v>
      </c>
      <c r="R6" t="n">
        <v>9</v>
      </c>
      <c r="S6" t="inlineStr"/>
      <c r="T6" t="n">
        <v>0</v>
      </c>
      <c r="U6" t="n">
        <v>400</v>
      </c>
      <c r="V6" t="n">
        <v>23</v>
      </c>
      <c r="W6" t="inlineStr">
        <is>
          <t>Game capture: 'Fires a giant bullet to deal 170% damage to 9 target(s) in front 4 time(s) and stun them for 2 sec' (stun not modeled), 23s cooldown, Lv.66 unlock (was 63). factorIndex 12, baseDamage 1700 tenths%. Mastery Lv.73 'Blackboot Bill - Damage' is +50% (real table; the earlier +80% was role-mapped from Buccaneer's Corkscrew Blow). Maple Hero target (40% share, ratio 40/20).</t>
        </is>
      </c>
    </row>
    <row r="7">
      <c r="A7" t="inlineStr">
        <is>
          <t>SIEGE_BOMBER</t>
        </is>
      </c>
      <c r="B7" t="inlineStr">
        <is>
          <t>Siege Bomber</t>
        </is>
      </c>
      <c r="C7" t="n">
        <v>3</v>
      </c>
      <c r="D7" t="n">
        <v>22</v>
      </c>
      <c r="E7" t="b">
        <v>1</v>
      </c>
      <c r="F7" t="n">
        <v>1</v>
      </c>
      <c r="G7" t="n">
        <v>1</v>
      </c>
      <c r="H7" t="n">
        <v>1.5</v>
      </c>
      <c r="I7">
        <f>IF(Inputs!$B$3&gt;=68,30,22)</f>
        <v/>
      </c>
      <c r="J7" t="n">
        <v>100</v>
      </c>
      <c r="K7" t="n">
        <v>1</v>
      </c>
      <c r="L7" t="n">
        <v>1900</v>
      </c>
      <c r="M7" t="n">
        <v>12</v>
      </c>
      <c r="N7" t="b">
        <v>1</v>
      </c>
      <c r="O7">
        <f>SUMPRODUCT((Inputs!$B$3&gt;={82})*{50})</f>
        <v/>
      </c>
      <c r="P7" t="n">
        <v>0</v>
      </c>
      <c r="Q7" t="n">
        <v>0</v>
      </c>
      <c r="R7" t="n">
        <v>6</v>
      </c>
      <c r="S7" t="inlineStr"/>
      <c r="T7" t="n">
        <v>0</v>
      </c>
      <c r="U7" t="n">
        <v>100</v>
      </c>
      <c r="V7" t="n">
        <v>23</v>
      </c>
      <c r="W7" t="inlineStr">
        <is>
          <t>Game capture: 'Installs a fixed cannon for 30 sec to deal 190% damage to up to 6 target(s) near the main target every 1.5 sec. Its range is increased by 50% and it can immediately replace itself in auto mode.' 22s cooldown, Lv.63 unlock (was 66). Because the cooldown (22s) is shorter than the 30s duration, with a single setup a recast replaces the still-active cannon, capping the useful window at 22s; Mastery Lv.68 'Siege Bomber - Setup' (+1 max setup count) lets two cannons coexist, so the window becomes the full 30s (ActiveWindow `IF(L&gt;=68,30,22)`). Its other effect (first setup after combat starts gets -15s cooldown) only shifts the first cast and is not modeled. Mastery Lv.82 'Siege Bomber - Damage' +50% (real table). factorIndex 12, baseDamage 1900 tenths%. Maple Hero target (20% share, ratio 1.0).</t>
        </is>
      </c>
    </row>
    <row r="8">
      <c r="A8" t="inlineStr">
        <is>
          <t>BRAIN_SCRAMBLER</t>
        </is>
      </c>
      <c r="B8" t="inlineStr">
        <is>
          <t>Brain Scrambler</t>
        </is>
      </c>
      <c r="C8" t="n">
        <v>4</v>
      </c>
      <c r="D8" t="n">
        <v>18</v>
      </c>
      <c r="E8" t="b">
        <v>1</v>
      </c>
      <c r="F8" t="n">
        <v>1</v>
      </c>
      <c r="G8" t="n">
        <v>2</v>
      </c>
      <c r="H8" t="n">
        <v>0</v>
      </c>
      <c r="I8" t="n">
        <v>0</v>
      </c>
      <c r="J8" t="n">
        <v>100</v>
      </c>
      <c r="K8" t="n">
        <v>1</v>
      </c>
      <c r="L8" t="n">
        <v>29000</v>
      </c>
      <c r="M8" t="n">
        <v>12</v>
      </c>
      <c r="N8" t="b">
        <v>1</v>
      </c>
      <c r="O8">
        <f>SUMPRODUCT((Inputs!$B$3&gt;={108})*{100})</f>
        <v/>
      </c>
      <c r="P8" t="n">
        <v>0</v>
      </c>
      <c r="Q8" t="n">
        <v>0</v>
      </c>
      <c r="R8" t="n">
        <v>1</v>
      </c>
      <c r="S8" t="inlineStr"/>
      <c r="T8" t="n">
        <v>0</v>
      </c>
      <c r="U8" t="inlineStr"/>
      <c r="V8" t="inlineStr"/>
      <c r="W8" t="inlineStr">
        <is>
          <t>Game capture: 'Hits the target's head to deal 2900% damage 2 time(s).' 18s cooldown, Lv.103 unlock (was 100). factorIndex 12, baseDamage 29000 tenths%, single target. Mastery Lv.108 'Brain Scrambler - Damage' +100%. Quickdraw (Lv125) shortens its effective cooldown (Summary!QD_FACTOR). Also a trigger source for Majestic Presence and Nautilus Strike - Final Attack.</t>
        </is>
      </c>
    </row>
    <row r="9">
      <c r="A9" t="inlineStr">
        <is>
          <t>NAUTILUS_STRIKE</t>
        </is>
      </c>
      <c r="B9" t="inlineStr">
        <is>
          <t>Nautilus Strike</t>
        </is>
      </c>
      <c r="C9" t="n">
        <v>4</v>
      </c>
      <c r="D9" t="n">
        <v>33</v>
      </c>
      <c r="E9" t="b">
        <v>1</v>
      </c>
      <c r="F9" t="n">
        <v>1</v>
      </c>
      <c r="G9" t="n">
        <v>5</v>
      </c>
      <c r="H9" t="n">
        <v>0</v>
      </c>
      <c r="I9" t="n">
        <v>0</v>
      </c>
      <c r="J9" t="n">
        <v>100</v>
      </c>
      <c r="K9" t="n">
        <v>1</v>
      </c>
      <c r="L9" t="n">
        <v>19500</v>
      </c>
      <c r="M9" t="n">
        <v>12</v>
      </c>
      <c r="N9" t="b">
        <v>1</v>
      </c>
      <c r="O9">
        <f>SUMPRODUCT((Inputs!$B$3&gt;={126})*{50})</f>
        <v/>
      </c>
      <c r="P9" t="n">
        <v>0</v>
      </c>
      <c r="Q9" t="n">
        <v>0</v>
      </c>
      <c r="R9" t="n">
        <v>15</v>
      </c>
      <c r="S9" t="inlineStr"/>
      <c r="T9" t="n">
        <v>0</v>
      </c>
      <c r="U9" t="inlineStr"/>
      <c r="V9" t="inlineStr"/>
      <c r="W9" t="inlineStr">
        <is>
          <t>Shared verbatim with Buccaneer: 'Orders the Nautilus to attack to deal 1950% damage to 15 nearby target(s) 5 time(s).' 33s cooldown, Lv.105 unlock (was 103). factorIndex 12, baseDamage 19500 tenths%. Mastery Lv.126 'Nautilus Strike - Damage' +50%.</t>
        </is>
      </c>
    </row>
    <row r="10">
      <c r="A10" t="inlineStr">
        <is>
          <t>NAUTILUS_FINAL_ATTACK</t>
        </is>
      </c>
      <c r="B10" t="inlineStr">
        <is>
          <t>Nautilus Strike - Final Attack</t>
        </is>
      </c>
      <c r="C10" t="n">
        <v>4</v>
      </c>
      <c r="D10" t="inlineStr"/>
      <c r="E10" t="b">
        <v>0</v>
      </c>
      <c r="F10" t="n">
        <v>1</v>
      </c>
      <c r="G10" t="n">
        <v>1</v>
      </c>
      <c r="H10" t="n">
        <v>1</v>
      </c>
      <c r="I10" t="n">
        <v>0</v>
      </c>
      <c r="J10" t="n">
        <v>30</v>
      </c>
      <c r="K10" t="n">
        <v>1</v>
      </c>
      <c r="L10" t="n">
        <v>8500</v>
      </c>
      <c r="M10" t="n">
        <v>21</v>
      </c>
      <c r="N10" t="b">
        <v>1</v>
      </c>
      <c r="O10" t="n">
        <v>0</v>
      </c>
      <c r="P10" t="n">
        <v>0</v>
      </c>
      <c r="Q10" t="n">
        <v>0</v>
      </c>
      <c r="R10" t="n">
        <v>1</v>
      </c>
      <c r="S10" t="inlineStr"/>
      <c r="T10" t="n">
        <v>0</v>
      </c>
      <c r="U10" t="inlineStr"/>
      <c r="V10" t="inlineStr"/>
      <c r="W10" t="inlineStr">
        <is>
          <t>Shared verbatim with Buccaneer: Mastery Lv.113 '[Nautilus Strike in Slot] When attacking, deals 850% additional damage with a 30% chance and a 1-sec cooldown.' ANY attack can trigger it, so it is a steady-state proc: rate = (Chance*R)/(1+ICD*Chance*R), R = combined cast rate of Eight-Legs Easton + Swift Fire + Blackboot Bill + Brain Scrambler + Nautilus Strike + Rapid Fire (Summary!NAUTILUS_TRIGGER_RATE); summons/turrets/crews are not counted (ASSUMPTION mirroring FP-Mage's user-confirmed trigger set). No cooldown of its own (ICD(s)=1 is the internal cooldown, RollsPerCast=1). factorIndex 21, baseDamage 8500 tenths% (literal percent).</t>
        </is>
      </c>
    </row>
    <row r="11">
      <c r="A11" t="inlineStr">
        <is>
          <t>RAPID_FIRE</t>
        </is>
      </c>
      <c r="B11" t="inlineStr">
        <is>
          <t>Rapid Fire</t>
        </is>
      </c>
      <c r="C11" t="n">
        <v>4</v>
      </c>
      <c r="D11" t="n">
        <v>17</v>
      </c>
      <c r="E11" t="b">
        <v>1</v>
      </c>
      <c r="F11" t="n">
        <v>1</v>
      </c>
      <c r="G11" t="n">
        <v>7</v>
      </c>
      <c r="H11" t="n">
        <v>0</v>
      </c>
      <c r="I11" t="n">
        <v>0</v>
      </c>
      <c r="J11" t="n">
        <v>100</v>
      </c>
      <c r="K11" t="n">
        <v>1</v>
      </c>
      <c r="L11" t="n">
        <v>18000</v>
      </c>
      <c r="M11" t="n">
        <v>12</v>
      </c>
      <c r="N11" t="b">
        <v>1</v>
      </c>
      <c r="O11">
        <f>SUMPRODUCT((Inputs!$B$3&gt;={130})*{70})</f>
        <v/>
      </c>
      <c r="P11" t="n">
        <v>0</v>
      </c>
      <c r="Q11" t="n">
        <v>0</v>
      </c>
      <c r="R11" t="n">
        <v>9</v>
      </c>
      <c r="S11" t="inlineStr"/>
      <c r="T11" t="n">
        <v>0</v>
      </c>
      <c r="U11" t="inlineStr"/>
      <c r="V11" t="inlineStr"/>
      <c r="W11" t="inlineStr">
        <is>
          <t>Game capture (post-Aug-13): 'Fires bullets at a very high speed 7 time(s) to deal 1800% damage each to up to 9 targets in front', 17s cooldown, Lv.117 unlock (was 107). factorIndex 12, baseDamage 18000 tenths%. Mastery Lv.130 'Rapid Fire - Damage' +70% (real table; was missing). Quickdraw (Lv125) shortens its effective cooldown (Summary!QD_FACTOR). Trigger source for Majestic Presence and Nautilus Strike - Final Attack.</t>
        </is>
      </c>
    </row>
    <row r="12">
      <c r="A12" t="inlineStr">
        <is>
          <t>BROADSIDE_BURST</t>
        </is>
      </c>
      <c r="B12" t="inlineStr">
        <is>
          <t>Broadside (initial burst)</t>
        </is>
      </c>
      <c r="C12" t="n">
        <v>4</v>
      </c>
      <c r="D12" t="n">
        <v>20</v>
      </c>
      <c r="E12" t="b">
        <v>1</v>
      </c>
      <c r="F12" t="n">
        <v>1</v>
      </c>
      <c r="G12" t="n">
        <v>2</v>
      </c>
      <c r="H12" t="n">
        <v>0</v>
      </c>
      <c r="I12" t="n">
        <v>0</v>
      </c>
      <c r="J12" t="n">
        <v>100</v>
      </c>
      <c r="K12" t="n">
        <v>1</v>
      </c>
      <c r="L12" t="n">
        <v>50000</v>
      </c>
      <c r="M12" t="n">
        <v>12</v>
      </c>
      <c r="N12" t="b">
        <v>1</v>
      </c>
      <c r="O12" t="n">
        <v>0</v>
      </c>
      <c r="P12" t="n">
        <v>0</v>
      </c>
      <c r="Q12" t="n">
        <v>0</v>
      </c>
      <c r="R12" t="n">
        <v>10</v>
      </c>
      <c r="S12" t="inlineStr"/>
      <c r="T12" t="n">
        <v>0</v>
      </c>
      <c r="U12" t="inlineStr"/>
      <c r="V12" t="inlineStr"/>
      <c r="W12" t="inlineStr">
        <is>
          <t>Game capture (post-Aug-13): 'Summons the Nautilus's Battleship. The Battleship arrives behind 3 sec later and deals 5000% damage to 10 nearby target(s) 2 time(s). Afterward, it stays for 30 sec and deals 330% damage to target(s) in front of the Battleship every 2 sec. During auto-combat, the Battleship immediately replaces itself even when already deployed.' 20s cooldown, Lv.110 unlock. factorIndex 12, baseDamage 50000 tenths%. The 3s arrival delay is folded into a same-cast hit. No flat damage mastery exists for Broadside (the earlier +100% was a role-mapped phantom); its real masteries are Lv.118 'Bombardment' and Lv.138 'Setup' — both modeled on BROADSIDE_SUSTAINED.</t>
        </is>
      </c>
    </row>
    <row r="13">
      <c r="A13" t="inlineStr">
        <is>
          <t>BROADSIDE_SUSTAINED</t>
        </is>
      </c>
      <c r="B13" t="inlineStr">
        <is>
          <t>Broadside (sustained turret)</t>
        </is>
      </c>
      <c r="C13" t="n">
        <v>4</v>
      </c>
      <c r="D13">
        <f>Skills!D12</f>
        <v/>
      </c>
      <c r="E13" t="b">
        <v>0</v>
      </c>
      <c r="F13" t="n">
        <v>1</v>
      </c>
      <c r="G13">
        <f>IF(Inputs!$B$3&gt;=118,3,1)</f>
        <v/>
      </c>
      <c r="H13" t="n">
        <v>2</v>
      </c>
      <c r="I13">
        <f>IF(Inputs!$B$3&gt;=138,30,20)</f>
        <v/>
      </c>
      <c r="J13" t="n">
        <v>100</v>
      </c>
      <c r="K13" t="n">
        <v>1</v>
      </c>
      <c r="L13">
        <f>IF(Inputs!$B$3&gt;=118,19000,3300)</f>
        <v/>
      </c>
      <c r="M13" t="n">
        <v>12</v>
      </c>
      <c r="N13" t="b">
        <v>1</v>
      </c>
      <c r="O13" t="n">
        <v>0</v>
      </c>
      <c r="P13" t="n">
        <v>0</v>
      </c>
      <c r="Q13" t="n">
        <v>0</v>
      </c>
      <c r="R13">
        <f>IF(Inputs!$B$3&gt;=118,8,5)</f>
        <v/>
      </c>
      <c r="S13" t="inlineStr"/>
      <c r="T13" t="n">
        <v>0</v>
      </c>
      <c r="U13" t="inlineStr"/>
      <c r="V13" t="inlineStr"/>
      <c r="W13" t="inlineStr">
        <is>
          <t>Battleship ticks: 330% damage to 5 target(s) in front of the Battleship every 2s while it stays (a 10x magnitude bug on the wiki, 3300%, was fixed earlier). Mastery Lv.118 'Broadside - Bombardment' (Aug-13 note: 'After: all attacks changed to bombardment'): the Battleship's attacks all become bombardments dealing 1900% to 8 target(s) near the main target 3 time(s) — modeled as BaseDamage 19000 / 3 hits / 8 targets once Lv118 (the 2s tick interval is unchanged); an earlier version ignored this swap, a very large undercount for 118+. Mastery Lv.138 'Broadside - Setup' (+1 max setup count): two Battleships can coexist, so the window is the full 30s instead of being capped at the 20s cooldown by the replacement rule (its first-setup -15s cooldown only shifts the first cast, not modeled). Shares Broadside (burst)'s live cooldown/CDR eligibility. factorIndex 12 (bombardment line has no ratio in the tables — FLAGGED ASSUMPTION).</t>
        </is>
      </c>
    </row>
    <row r="14">
      <c r="A14" t="inlineStr">
        <is>
          <t>MAJESTIC_PRESENCE</t>
        </is>
      </c>
      <c r="B14" t="inlineStr">
        <is>
          <t>Majestic Presence</t>
        </is>
      </c>
      <c r="C14" t="n">
        <v>4</v>
      </c>
      <c r="D14" t="inlineStr"/>
      <c r="E14" t="b">
        <v>0</v>
      </c>
      <c r="F14" t="n">
        <v>1</v>
      </c>
      <c r="G14" t="n">
        <v>1</v>
      </c>
      <c r="H14" t="n">
        <v>0.5</v>
      </c>
      <c r="I14" t="n">
        <v>0</v>
      </c>
      <c r="J14" t="n">
        <v>25</v>
      </c>
      <c r="K14" t="n">
        <v>1</v>
      </c>
      <c r="L14" t="n">
        <v>18000</v>
      </c>
      <c r="M14" t="n">
        <v>21</v>
      </c>
      <c r="N14" t="b">
        <v>1</v>
      </c>
      <c r="O14">
        <f>SUMPRODUCT((Inputs!$B$3&gt;={134})*{50})</f>
        <v/>
      </c>
      <c r="P14" t="n">
        <v>0</v>
      </c>
      <c r="Q14" t="n">
        <v>0</v>
      </c>
      <c r="R14" t="n">
        <v>6</v>
      </c>
      <c r="S14" t="inlineStr"/>
      <c r="T14" t="n">
        <v>0</v>
      </c>
      <c r="U14" t="inlineStr"/>
      <c r="V14" t="inlineStr"/>
      <c r="W14" t="inlineStr">
        <is>
          <t>Game capture: 'When attacking with Basic Attacks, Brain Scrambler, or Rapid Fire, deals 1800% additional damage to up to 6 nearby targets with a 25% chance', 0.5s internal cooldown (game table cooldownMs 500; an earlier version had no cooldown), Lv.120 unlock (was 125). factorIndex 21 (game table; was 12), baseDamage 18000 tenths%. Procs off three independent sources (Easton's cast rate + Brain Scrambler + Rapid Fire hit rates); steady-state proc rate = (c*R)/(1+ICD*c*R) with c=25%, ICD=0.5s. Mastery Lv.134 'Majestic Presence - Damage' +50%. No cooldown of its own in the Skills sense (CostsActionSlot=False); ICD(s) is the proc's internal cooldown and ActiveWindow=0, so EffectiveHits is unused.</t>
        </is>
      </c>
    </row>
    <row r="15">
      <c r="A15" t="inlineStr">
        <is>
          <t>MAPLE_HERO_HELPER</t>
        </is>
      </c>
      <c r="B15" t="inlineStr">
        <is>
          <t>Maple Hero (helper)</t>
        </is>
      </c>
      <c r="C15" t="n">
        <v>4</v>
      </c>
      <c r="D15" t="inlineStr"/>
      <c r="E15" t="b">
        <v>0</v>
      </c>
      <c r="F15" t="n">
        <v>1</v>
      </c>
      <c r="G15" t="n">
        <v>1</v>
      </c>
      <c r="H15" t="n">
        <v>0</v>
      </c>
      <c r="I15" t="n">
        <v>0</v>
      </c>
      <c r="J15" t="n">
        <v>100</v>
      </c>
      <c r="K15" t="n">
        <v>1</v>
      </c>
      <c r="L15" t="n">
        <v>200</v>
      </c>
      <c r="M15" t="n">
        <v>23</v>
      </c>
      <c r="N15" t="b">
        <v>1</v>
      </c>
      <c r="O15" t="n">
        <v>0</v>
      </c>
      <c r="P15" t="n">
        <v>0</v>
      </c>
      <c r="Q15" t="n">
        <v>0</v>
      </c>
      <c r="R15" t="n">
        <v>0</v>
      </c>
      <c r="S15" t="inlineStr"/>
      <c r="T15" t="n">
        <v>0</v>
      </c>
      <c r="U15" t="inlineStr"/>
      <c r="V15" t="inlineStr"/>
      <c r="W15" t="inlineStr">
        <is>
          <t>Shared ratio-feeder row (see MAPLE_HERO_RATIOS) for Siege Bomber/Blackboot Bill/Swift Fire's Final Damage chains: 'Increases Final Damage of the following skills: Siege Bomber 20%, Blackboot Bill 40%, Swift Fire 80%' (game table: ModSkillStat FinalDamage x factorIndex 23). baseDamage 200 tenths% = the 20% Siege Bomber share (ratio 1.0). No independent DPS row (Calc J-N blank; D/E/F read by each target row's K formula).</t>
        </is>
      </c>
    </row>
    <row r="16">
      <c r="A16" t="inlineStr">
        <is>
          <t>AHOY_MATEYS_HELPER</t>
        </is>
      </c>
      <c r="B16" t="inlineStr">
        <is>
          <t>Ahoy Mateys (helper)</t>
        </is>
      </c>
      <c r="C16" t="n">
        <v>4</v>
      </c>
      <c r="D16" t="inlineStr"/>
      <c r="E16" t="b">
        <v>0</v>
      </c>
      <c r="F16" t="n">
        <v>1</v>
      </c>
      <c r="G16" t="n">
        <v>1</v>
      </c>
      <c r="H16" t="n">
        <v>0</v>
      </c>
      <c r="I16" t="n">
        <v>0</v>
      </c>
      <c r="J16" t="n">
        <v>100</v>
      </c>
      <c r="K16" t="n">
        <v>1</v>
      </c>
      <c r="L16" t="n">
        <v>2500</v>
      </c>
      <c r="M16" t="n">
        <v>21</v>
      </c>
      <c r="N16" t="b">
        <v>1</v>
      </c>
      <c r="O16" t="n">
        <v>0</v>
      </c>
      <c r="P16" t="n">
        <v>0</v>
      </c>
      <c r="Q16" t="n">
        <v>0</v>
      </c>
      <c r="R16" t="n">
        <v>0</v>
      </c>
      <c r="S16" t="inlineStr"/>
      <c r="T16" t="n">
        <v>0</v>
      </c>
      <c r="U16" t="inlineStr"/>
      <c r="V16" t="inlineStr"/>
      <c r="W16" t="inlineStr">
        <is>
          <t>Shared ratio-feeder row (see AHOY_MATEYS_RATIOS) for Scurvy Summons / All Aboard: 'Increases Final Damage of Dual Pistol Crew by 250% and Sharpshooter Crew by 100%' — Lv.107 unlock (was 120), factorIndex 21 (game table ModSkillStat, valueLevelFactors [3, 21]; was 22), baseDamage 2500 tenths% = the 250% Dual Pistol Crew share (ratio 1.0; Sharpshooter 100/250). No independent DPS row.</t>
        </is>
      </c>
    </row>
    <row r="17">
      <c r="A17" t="inlineStr">
        <is>
          <t>ROLL_OF_THE_DICE_DICE</t>
        </is>
      </c>
      <c r="B17" t="inlineStr">
        <is>
          <t>Roll of the Dice (dice component)</t>
        </is>
      </c>
      <c r="C17" t="n">
        <v>3</v>
      </c>
      <c r="D17" t="inlineStr"/>
      <c r="E17" t="b">
        <v>0</v>
      </c>
      <c r="F17" t="n">
        <v>1</v>
      </c>
      <c r="G17" t="n">
        <v>1</v>
      </c>
      <c r="H17" t="n">
        <v>0</v>
      </c>
      <c r="I17" t="n">
        <v>0</v>
      </c>
      <c r="J17" t="n">
        <v>100</v>
      </c>
      <c r="K17" t="n">
        <v>1</v>
      </c>
      <c r="L17" t="n">
        <v>25</v>
      </c>
      <c r="M17" t="n">
        <v>22</v>
      </c>
      <c r="N17" t="b">
        <v>1</v>
      </c>
      <c r="O17" t="n">
        <v>0</v>
      </c>
      <c r="P17" t="n">
        <v>0</v>
      </c>
      <c r="Q17" t="n">
        <v>0</v>
      </c>
      <c r="R17" t="n">
        <v>0</v>
      </c>
      <c r="S17" t="inlineStr">
        <is>
          <t>ATTACK</t>
        </is>
      </c>
      <c r="T17" t="n">
        <v>0</v>
      </c>
      <c r="U17" t="inlineStr"/>
      <c r="V17" t="inlineStr"/>
      <c r="W17" t="inlineStr">
        <is>
          <t>Shared verbatim with Buccaneer: 'Increases Attack by 20%. Rolls a six-sided die every 7 sec to increase Attack by 0-5% ... for 5 sec.' Lv.74 unlock (was 66). Only the random dice component is modeled: mean roll exactly 2.5% (baseDamage 25 tenths%), active 5 of every 7 seconds (x5/7 at the use site), factorIndex 22. The flat +20% Attack (and the Lv.90 +5%p mastery) are inside your Inputs!ATTACK_PCT.</t>
        </is>
      </c>
    </row>
    <row r="18">
      <c r="A18" t="inlineStr">
        <is>
          <t>JOLLY_ROGER_FD</t>
        </is>
      </c>
      <c r="B18" t="inlineStr">
        <is>
          <t>Jolly Roger</t>
        </is>
      </c>
      <c r="C18" t="n">
        <v>4</v>
      </c>
      <c r="D18" t="n">
        <v>42</v>
      </c>
      <c r="E18" t="b">
        <v>1</v>
      </c>
      <c r="F18" t="n">
        <v>1</v>
      </c>
      <c r="G18" t="n">
        <v>1</v>
      </c>
      <c r="H18" t="n">
        <v>0</v>
      </c>
      <c r="I18" t="n">
        <v>0</v>
      </c>
      <c r="J18" t="n">
        <v>100</v>
      </c>
      <c r="K18" t="n">
        <v>1</v>
      </c>
      <c r="L18" t="n">
        <v>150</v>
      </c>
      <c r="M18" t="n">
        <v>21</v>
      </c>
      <c r="N18" t="b">
        <v>1</v>
      </c>
      <c r="O18" t="n">
        <v>0</v>
      </c>
      <c r="P18" t="n">
        <v>0</v>
      </c>
      <c r="Q18" t="n">
        <v>0</v>
      </c>
      <c r="R18" t="n">
        <v>0</v>
      </c>
      <c r="S18" t="inlineStr">
        <is>
          <t>FINAL_DAMAGE</t>
        </is>
      </c>
      <c r="T18" t="n">
        <v>18</v>
      </c>
      <c r="U18" t="inlineStr"/>
      <c r="V18" t="inlineStr"/>
      <c r="W18" t="inlineStr">
        <is>
          <t>Active cast (42s cooldown, 18s duration): 'Increases Final Damage by 15% for 18 sec, but decreases Evasion by 5' (Evasion not modeled). PATCHED 18% -&gt; 15%. Lv.115 unlock. factorIndex 21 (game table; was 22), baseDamage 150 tenths%. Duty-cycle averaged by buff_uptime(); feeds R_FD_BONUS.</t>
        </is>
      </c>
    </row>
    <row r="19">
      <c r="A19" t="inlineStr">
        <is>
          <t>SHADOW_HEART</t>
        </is>
      </c>
      <c r="B19" t="inlineStr">
        <is>
          <t>Shadow Heart</t>
        </is>
      </c>
      <c r="C19" t="n">
        <v>1</v>
      </c>
      <c r="D19" t="inlineStr"/>
      <c r="E19" t="b">
        <v>0</v>
      </c>
      <c r="F19" t="n">
        <v>1</v>
      </c>
      <c r="G19" t="n">
        <v>1</v>
      </c>
      <c r="H19" t="n">
        <v>0</v>
      </c>
      <c r="I19" t="n">
        <v>0</v>
      </c>
      <c r="J19" t="n">
        <v>100</v>
      </c>
      <c r="K19" t="n">
        <v>1</v>
      </c>
      <c r="L19" t="n">
        <v>50</v>
      </c>
      <c r="M19" t="n">
        <v>22</v>
      </c>
      <c r="N19" t="b">
        <v>1</v>
      </c>
      <c r="O19" t="n">
        <v>0</v>
      </c>
      <c r="P19" t="n">
        <v>0</v>
      </c>
      <c r="Q19" t="n">
        <v>0</v>
      </c>
      <c r="R19" t="n">
        <v>0</v>
      </c>
      <c r="S19" t="inlineStr">
        <is>
          <t>CRIT_RATE</t>
        </is>
      </c>
      <c r="T19" t="n">
        <v>0</v>
      </c>
      <c r="U19" t="inlineStr"/>
      <c r="V19" t="inlineStr"/>
      <c r="W19" t="inlineStr">
        <is>
          <t>Magic Critical pattern — already baked into Inputs!CRIT_RATE%; feeds the 1st-Job Skill Level Bonus delta. Level-1 value 5% (game table: 50 x f22; the site text's 5.4% was captured at a higher skill level — earlier version stored 54). Lv.10 unlock (was 15).</t>
        </is>
      </c>
    </row>
    <row r="20">
      <c r="A20" t="inlineStr">
        <is>
          <t>QUICK_MOTION</t>
        </is>
      </c>
      <c r="B20" t="inlineStr">
        <is>
          <t>Quick Motion</t>
        </is>
      </c>
      <c r="C20" t="n">
        <v>1</v>
      </c>
      <c r="D20" t="inlineStr"/>
      <c r="E20" t="b">
        <v>0</v>
      </c>
      <c r="F20" t="n">
        <v>1</v>
      </c>
      <c r="G20" t="n">
        <v>1</v>
      </c>
      <c r="H20" t="n">
        <v>0</v>
      </c>
      <c r="I20" t="n">
        <v>0</v>
      </c>
      <c r="J20" t="n">
        <v>100</v>
      </c>
      <c r="K20" t="n">
        <v>1</v>
      </c>
      <c r="L20" t="n">
        <v>60</v>
      </c>
      <c r="M20" t="n">
        <v>22</v>
      </c>
      <c r="N20" t="b">
        <v>1</v>
      </c>
      <c r="O20">
        <f>SUMPRODUCT((Inputs!$B$3&gt;={24})*{5})</f>
        <v/>
      </c>
      <c r="P20" t="n">
        <v>0</v>
      </c>
      <c r="Q20" t="n">
        <v>0</v>
      </c>
      <c r="R20" t="n">
        <v>0</v>
      </c>
      <c r="S20" t="inlineStr">
        <is>
          <t>ATTACK_SPEED</t>
        </is>
      </c>
      <c r="T20" t="n">
        <v>0</v>
      </c>
      <c r="U20" t="inlineStr"/>
      <c r="V20" t="inlineStr"/>
      <c r="W20" t="inlineStr">
        <is>
          <t>Magic Critical pattern — already baked into Inputs!ATTACK_SPEED%; feeds the 1st-Job Skill Level Bonus delta. Level-1 value 6% (game table: 60 x f22; the site text's 6.5% was captured at a higher skill level — earlier version stored 65). Lv.15 unlock (was 10). Mastery Lv.24 'Quick Motion - Speed' +5%p.</t>
        </is>
      </c>
    </row>
    <row r="21">
      <c r="A21" t="inlineStr">
        <is>
          <t>AGILE_GUNS</t>
        </is>
      </c>
      <c r="B21" t="inlineStr">
        <is>
          <t>Agile Guns</t>
        </is>
      </c>
      <c r="C21" t="n">
        <v>2</v>
      </c>
      <c r="D21" t="inlineStr"/>
      <c r="E21" t="b">
        <v>0</v>
      </c>
      <c r="F21" t="n">
        <v>1</v>
      </c>
      <c r="G21" t="n">
        <v>1</v>
      </c>
      <c r="H21" t="n">
        <v>0</v>
      </c>
      <c r="I21" t="n">
        <v>0</v>
      </c>
      <c r="J21" t="n">
        <v>100</v>
      </c>
      <c r="K21" t="n">
        <v>1</v>
      </c>
      <c r="L21" t="n">
        <v>50</v>
      </c>
      <c r="M21" t="n">
        <v>22</v>
      </c>
      <c r="N21" t="b">
        <v>1</v>
      </c>
      <c r="O21">
        <f>SUMPRODUCT((Inputs!$B$3&gt;={44})*{7})</f>
        <v/>
      </c>
      <c r="P21" t="n">
        <v>0</v>
      </c>
      <c r="Q21" t="n">
        <v>0</v>
      </c>
      <c r="R21" t="n">
        <v>0</v>
      </c>
      <c r="S21" t="inlineStr">
        <is>
          <t>ATTACK_SPEED</t>
        </is>
      </c>
      <c r="T21" t="n">
        <v>0</v>
      </c>
      <c r="U21" t="inlineStr"/>
      <c r="V21" t="inlineStr"/>
      <c r="W21" t="inlineStr">
        <is>
          <t>Magic Critical pattern — already baked into Inputs!ATTACK_SPEED%; feeds the 2nd-Job Skill Level Bonus delta. 'Increases Attack Speed by 5%.' Lv.40 unlock (was 33). Mastery Lv.44 'Agile Guns - Speed' +7%p (confirmed real table). factorIndex 22, baseDamage 50 tenths%.</t>
        </is>
      </c>
    </row>
    <row r="22">
      <c r="A22" t="inlineStr">
        <is>
          <t>GUN_MASTERY</t>
        </is>
      </c>
      <c r="B22" t="inlineStr">
        <is>
          <t>Gun Mastery</t>
        </is>
      </c>
      <c r="C22" t="n">
        <v>2</v>
      </c>
      <c r="D22" t="inlineStr"/>
      <c r="E22" t="b">
        <v>0</v>
      </c>
      <c r="F22" t="n">
        <v>1</v>
      </c>
      <c r="G22" t="n">
        <v>1</v>
      </c>
      <c r="H22" t="n">
        <v>0</v>
      </c>
      <c r="I22" t="n">
        <v>0</v>
      </c>
      <c r="J22" t="n">
        <v>100</v>
      </c>
      <c r="K22" t="n">
        <v>1</v>
      </c>
      <c r="L22" t="n">
        <v>150</v>
      </c>
      <c r="M22" t="n">
        <v>22</v>
      </c>
      <c r="N22" t="b">
        <v>1</v>
      </c>
      <c r="O22" t="n">
        <v>0</v>
      </c>
      <c r="P22" t="n">
        <v>0</v>
      </c>
      <c r="Q22" t="n">
        <v>0</v>
      </c>
      <c r="R22" t="n">
        <v>0</v>
      </c>
      <c r="S22" t="inlineStr">
        <is>
          <t>MIN_DAMAGE</t>
        </is>
      </c>
      <c r="T22" t="n">
        <v>0</v>
      </c>
      <c r="U22" t="inlineStr"/>
      <c r="V22" t="inlineStr"/>
      <c r="W22" t="inlineStr">
        <is>
          <t>Magic Critical pattern — already baked into Inputs!MIN_DAMAGE%; feeds the 2nd-Job Skill Level Bonus delta. 'Increases Min Damage Multiplier by 15%.' Lv.43. factorIndex 22, baseDamage 150 tenths%.</t>
        </is>
      </c>
    </row>
    <row r="23">
      <c r="A23" t="inlineStr">
        <is>
          <t>PHYSICAL_TRAINING</t>
        </is>
      </c>
      <c r="B23" t="inlineStr">
        <is>
          <t>Physical Training</t>
        </is>
      </c>
      <c r="C23" t="n">
        <v>2</v>
      </c>
      <c r="D23" t="inlineStr"/>
      <c r="E23" t="b">
        <v>0</v>
      </c>
      <c r="F23" t="n">
        <v>1</v>
      </c>
      <c r="G23" t="n">
        <v>1</v>
      </c>
      <c r="H23" t="n">
        <v>0</v>
      </c>
      <c r="I23" t="n">
        <v>0</v>
      </c>
      <c r="J23" t="n">
        <v>100</v>
      </c>
      <c r="K23" t="n">
        <v>1</v>
      </c>
      <c r="L23" t="n">
        <v>100</v>
      </c>
      <c r="M23" t="n">
        <v>22</v>
      </c>
      <c r="N23" t="b">
        <v>1</v>
      </c>
      <c r="O23" t="n">
        <v>0</v>
      </c>
      <c r="P23" t="n">
        <v>0</v>
      </c>
      <c r="Q23" t="n">
        <v>0</v>
      </c>
      <c r="R23" t="n">
        <v>0</v>
      </c>
      <c r="S23" t="inlineStr">
        <is>
          <t>BASIC_ATTACK_DAMAGE</t>
        </is>
      </c>
      <c r="T23" t="n">
        <v>0</v>
      </c>
      <c r="U23" t="inlineStr"/>
      <c r="V23" t="inlineStr"/>
      <c r="W23" t="inlineStr">
        <is>
          <t>Magic Critical pattern — already baked into Inputs!BASIC_ATTACK_DAMAGE%; feeds the 2nd-Job Skill Level Bonus delta. 'Increases Basic Attack Damage by 10%.' Lv.38. factorIndex 22, baseDamage 100 tenths%.</t>
        </is>
      </c>
    </row>
    <row r="24">
      <c r="A24" t="inlineStr">
        <is>
          <t>INFINITY_BLAST_ATK</t>
        </is>
      </c>
      <c r="B24" t="inlineStr">
        <is>
          <t>Infinity Blast</t>
        </is>
      </c>
      <c r="C24" t="n">
        <v>2</v>
      </c>
      <c r="D24" t="inlineStr"/>
      <c r="E24" t="b">
        <v>0</v>
      </c>
      <c r="F24" t="n">
        <v>1</v>
      </c>
      <c r="G24" t="n">
        <v>1</v>
      </c>
      <c r="H24" t="n">
        <v>0</v>
      </c>
      <c r="I24" t="n">
        <v>0</v>
      </c>
      <c r="J24" t="n">
        <v>100</v>
      </c>
      <c r="K24" t="n">
        <v>1</v>
      </c>
      <c r="L24" t="n">
        <v>120</v>
      </c>
      <c r="M24" t="n">
        <v>22</v>
      </c>
      <c r="N24" t="b">
        <v>1</v>
      </c>
      <c r="O24" t="n">
        <v>0</v>
      </c>
      <c r="P24" t="n">
        <v>0</v>
      </c>
      <c r="Q24" t="n">
        <v>0</v>
      </c>
      <c r="R24" t="n">
        <v>0</v>
      </c>
      <c r="S24" t="inlineStr">
        <is>
          <t>ATTACK</t>
        </is>
      </c>
      <c r="T24" t="n">
        <v>0</v>
      </c>
      <c r="U24" t="inlineStr"/>
      <c r="V24" t="inlineStr"/>
      <c r="W24" t="inlineStr">
        <is>
          <t>Magic Critical pattern — already baked into Inputs!ATTACK_PCT (folds into the attack_mult delta bucket). 'Increases Attack by 12%.' (PATCHED 10% -&gt; 12%). Lv.45 unlock (was 40). factorIndex 22, baseDamage 120 tenths% (game table: f22).</t>
        </is>
      </c>
    </row>
    <row r="25">
      <c r="A25" t="inlineStr">
        <is>
          <t>FULLMETAL_JACKET_CD</t>
        </is>
      </c>
      <c r="B25" t="inlineStr">
        <is>
          <t>Fullmetal Jacket</t>
        </is>
      </c>
      <c r="C25" t="n">
        <v>3</v>
      </c>
      <c r="D25" t="inlineStr"/>
      <c r="E25" t="b">
        <v>0</v>
      </c>
      <c r="F25" t="n">
        <v>1</v>
      </c>
      <c r="G25" t="n">
        <v>1</v>
      </c>
      <c r="H25" t="n">
        <v>0</v>
      </c>
      <c r="I25" t="n">
        <v>0</v>
      </c>
      <c r="J25" t="n">
        <v>100</v>
      </c>
      <c r="K25" t="n">
        <v>1</v>
      </c>
      <c r="L25" t="n">
        <v>100</v>
      </c>
      <c r="M25" t="n">
        <v>22</v>
      </c>
      <c r="N25" t="b">
        <v>1</v>
      </c>
      <c r="O25" t="n">
        <v>0</v>
      </c>
      <c r="P25" t="n">
        <v>0</v>
      </c>
      <c r="Q25" t="n">
        <v>0</v>
      </c>
      <c r="R25" t="n">
        <v>0</v>
      </c>
      <c r="S25" t="inlineStr">
        <is>
          <t>CRIT_DAMAGE</t>
        </is>
      </c>
      <c r="T25" t="n">
        <v>0</v>
      </c>
      <c r="U25" t="inlineStr"/>
      <c r="V25" t="inlineStr"/>
      <c r="W25" t="inlineStr">
        <is>
          <t>Magic Critical pattern — already baked into Inputs!CRIT_DAMAGE%; feeds the 3rd-Job Skill Level Bonus delta. 'Increases Critical Damage by 10%.' Lv.72. factorIndex 22, baseDamage 100 tenths%. Mastery Lv.98 'Fullmetal Jacket - Defense Penetration' (Def Pen = half of this Crit Damage boost) is a character-sheet stat, assumed inside your Inputs!DEF_PEN.</t>
        </is>
      </c>
    </row>
    <row r="26">
      <c r="A26" t="inlineStr">
        <is>
          <t>CROSS_CUT_BLAST_FD</t>
        </is>
      </c>
      <c r="B26" t="inlineStr">
        <is>
          <t>Cross Cut Blast</t>
        </is>
      </c>
      <c r="C26" t="n">
        <v>3</v>
      </c>
      <c r="D26" t="inlineStr"/>
      <c r="E26" t="b">
        <v>0</v>
      </c>
      <c r="F26" t="n">
        <v>1</v>
      </c>
      <c r="G26" t="n">
        <v>1</v>
      </c>
      <c r="H26" t="n">
        <v>0</v>
      </c>
      <c r="I26" t="n">
        <v>0</v>
      </c>
      <c r="J26" t="n">
        <v>100</v>
      </c>
      <c r="K26" t="n">
        <v>1</v>
      </c>
      <c r="L26" t="n">
        <v>120</v>
      </c>
      <c r="M26" t="n">
        <v>22</v>
      </c>
      <c r="N26" t="b">
        <v>1</v>
      </c>
      <c r="O26" t="n">
        <v>0</v>
      </c>
      <c r="P26" t="n">
        <v>0</v>
      </c>
      <c r="Q26" t="n">
        <v>0</v>
      </c>
      <c r="R26" t="n">
        <v>0</v>
      </c>
      <c r="S26" t="inlineStr">
        <is>
          <t>FINAL_DAMAGE</t>
        </is>
      </c>
      <c r="T26" t="n">
        <v>0</v>
      </c>
      <c r="U26" t="inlineStr"/>
      <c r="V26" t="inlineStr"/>
      <c r="W26" t="inlineStr">
        <is>
          <t>Magic Critical pattern — already baked into Inputs!FINAL_DAMAGE%; feeds the 3rd-Job Skill Level Bonus delta. 'Increases Final Damage by 12%.' (PATCHED 10% -&gt; 12%). Lv.75. factorIndex 22, baseDamage 120 tenths%.</t>
        </is>
      </c>
    </row>
    <row r="27">
      <c r="A27" t="inlineStr">
        <is>
          <t>QUICKDRAW_BAD</t>
        </is>
      </c>
      <c r="B27" t="inlineStr">
        <is>
          <t>Quickdraw</t>
        </is>
      </c>
      <c r="C27" t="n">
        <v>4</v>
      </c>
      <c r="D27" t="inlineStr"/>
      <c r="E27" t="b">
        <v>0</v>
      </c>
      <c r="F27" t="n">
        <v>1</v>
      </c>
      <c r="G27" t="n">
        <v>1</v>
      </c>
      <c r="H27" t="n">
        <v>0</v>
      </c>
      <c r="I27" t="n">
        <v>0</v>
      </c>
      <c r="J27" t="n">
        <v>100</v>
      </c>
      <c r="K27" t="n">
        <v>1</v>
      </c>
      <c r="L27" t="n">
        <v>250</v>
      </c>
      <c r="M27" t="n">
        <v>22</v>
      </c>
      <c r="N27" t="b">
        <v>1</v>
      </c>
      <c r="O27" t="n">
        <v>0</v>
      </c>
      <c r="P27" t="n">
        <v>0</v>
      </c>
      <c r="Q27" t="n">
        <v>0</v>
      </c>
      <c r="R27" t="n">
        <v>0</v>
      </c>
      <c r="S27" t="inlineStr">
        <is>
          <t>BASIC_ATTACK_DAMAGE</t>
        </is>
      </c>
      <c r="T27" t="n">
        <v>0</v>
      </c>
      <c r="U27" t="inlineStr"/>
      <c r="V27" t="inlineStr"/>
      <c r="W27" t="inlineStr">
        <is>
          <t>'Increases Basic Attack Damage by 25%. Every time Eight-Legs Easton is used 3 times, doubles the damage and decreases the cooldown of Brain Scrambler or Rapid Fire by 1.5 sec.' Lv.125 unlock (was 117). The flat +25% Basic Attack Damage is Magic-Critical-pattern (baked into Inputs!BASIC_ATTACK_DAMAGE%; feeds the 4th-Job Skill Level Bonus delta). The second effect is now MODELED (user decision 2026-10-21): Easton damage x(1+1/3) on average, and Brain Scrambler / Rapid Fire cooldowns divided by Summary!QD_FACTOR = 1 + 0.25*B* (see the build script's Quickdraw comment: 1.5s cut per 3 Easton casts, split evenly between the two skills — the split is an ASSUMPTION). factorIndex 22, baseDamage 250 tenths%.</t>
        </is>
      </c>
    </row>
    <row r="28">
      <c r="A28" t="inlineStr">
        <is>
          <t>NIMBLE_FEET</t>
        </is>
      </c>
      <c r="B28" t="inlineStr">
        <is>
          <t>Nimble Feet</t>
        </is>
      </c>
      <c r="C28" t="n">
        <v>1</v>
      </c>
      <c r="D28" t="n">
        <v>60</v>
      </c>
      <c r="E28" t="b">
        <v>1</v>
      </c>
      <c r="F28" t="n">
        <v>1</v>
      </c>
      <c r="G28" t="n">
        <v>1</v>
      </c>
      <c r="H28" t="n">
        <v>0</v>
      </c>
      <c r="I28" t="n">
        <v>0</v>
      </c>
      <c r="J28" t="n">
        <v>100</v>
      </c>
      <c r="K28" t="n">
        <v>1</v>
      </c>
      <c r="L28" t="n">
        <v>150</v>
      </c>
      <c r="M28" t="n">
        <v>0</v>
      </c>
      <c r="N28" t="b">
        <v>0</v>
      </c>
      <c r="O28" t="n">
        <v>0</v>
      </c>
      <c r="P28" t="n">
        <v>0</v>
      </c>
      <c r="Q28" t="n">
        <v>0</v>
      </c>
      <c r="R28" t="n">
        <v>1</v>
      </c>
      <c r="S28" t="inlineStr">
        <is>
          <t>ATTACK_SPEED</t>
        </is>
      </c>
      <c r="T28" t="n">
        <v>15</v>
      </c>
      <c r="U28" t="inlineStr"/>
      <c r="V28" t="inlineStr"/>
      <c r="W28" t="inlineStr">
        <is>
          <t>Universal 1st-Job Explorer skill (identical wording on both idle.maplestorywiki.net and maplestoryidle.info — 'Increases Attack Speed by 15% and Speed by 10% for 15 sec', 60s cooldown, reqLevel 5) — was missing from this workbook entirely (a real gap found by cross-class comparison, not a class-design difference: Bowmaster/Dark Knight/FP-Mage/Hero/Marksman/Night Lord/Paladin/Shadower all already have it; Corsair's own Quick Motion is a separate, unrelated flat passive, same as Buccaneer). Flat +15% Attack Speed / +10% Speed for 15s, non-scaling. Speed component not modeled (no Speed stat anywhere in this project). FactorIndex unused placeholder.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81"/>
  <sheetViews>
    <sheetView workbookViewId="0">
      <selection activeCell="A1" sqref="A1"/>
    </sheetView>
  </sheetViews>
  <sheetFormatPr baseColWidth="8" defaultRowHeight="15"/>
  <cols>
    <col width="55" customWidth="1" min="1" max="1"/>
    <col width="16" customWidth="1" min="2" max="2"/>
  </cols>
  <sheetData>
    <row r="1">
      <c r="A1" s="4" t="inlineStr">
        <is>
          <t>Fire/Poison Arch Mage — Artifacts (Equip Effect)</t>
        </is>
      </c>
    </row>
    <row r="3">
      <c r="A3" t="inlineStr">
        <is>
          <t>Book of Ancient — Crit Damage (from Crit Rate, reference only)</t>
        </is>
      </c>
      <c r="B3">
        <f>IF(ArtifactsInput!$M$24,CHOOSE(ArtifactsInput!$N$24+1,30,36,42,48,54,60)/100*(Inputs!$B$9+B5+B29),0)</f>
        <v/>
      </c>
    </row>
    <row r="4">
      <c r="A4" t="inlineStr">
        <is>
          <t>Ring of Cycles — Threshold Crit Rate (excl. self)</t>
        </is>
      </c>
      <c r="B4">
        <f>Inputs!$B$9+B29</f>
        <v/>
      </c>
    </row>
    <row r="5">
      <c r="A5" t="inlineStr">
        <is>
          <t>Ring of Cycles — Crit Rate (if threshold &lt; 100%)</t>
        </is>
      </c>
      <c r="B5">
        <f>IF(AND(Inputs!$B$38&lt;&gt;"pvp",Inputs!$B$43=0),1,IF(IF(Inputs!$B$38="pvp",15,Inputs!$B$43)-(Summary!$B$23)&lt;=0,1,MAX(0,IF(Inputs!$B$38="pvp",15,Inputs!$B$43)-MAX(5,Summary!$B$23))/(IF(Inputs!$B$38="pvp",15,Inputs!$B$43)-(Summary!$B$23))))*IF(AND(ArtifactsInput!$M$42,B4&lt;100),CHOOSE(ArtifactsInput!$N$42+1,30,36,42,48,54,60),0)</f>
        <v/>
      </c>
    </row>
    <row r="6">
      <c r="A6" t="inlineStr">
        <is>
          <t>Ring of Cycles — Skill Damage (if threshold &gt;= 100%)</t>
        </is>
      </c>
      <c r="B6">
        <f>IF(AND(Inputs!$B$38&lt;&gt;"pvp",Inputs!$B$43=0),1,IF(IF(Inputs!$B$38="pvp",15,Inputs!$B$43)-(Summary!$B$23)&lt;=0,1,MAX(0,IF(Inputs!$B$38="pvp",15,Inputs!$B$43)-MAX(5,Summary!$B$23))/(IF(Inputs!$B$38="pvp",15,Inputs!$B$43)-(Summary!$B$23))))*IF(AND(ArtifactsInput!$M$42,B4&gt;=100),CHOOSE(ArtifactsInput!$N$42+1,40,48,56,64,72,80),0)</f>
        <v/>
      </c>
    </row>
    <row r="7">
      <c r="A7" t="inlineStr">
        <is>
          <t>Ring of Cycles — Excess-100% Points (capped at 100)</t>
        </is>
      </c>
      <c r="B7">
        <f>IF(AND(ArtifactsInput!$M$42,B4&gt;=100),MIN(100,B4-100),0)</f>
        <v/>
      </c>
    </row>
    <row r="8">
      <c r="A8" t="inlineStr">
        <is>
          <t>Ring of Cycles — Basic Attack Damage (excess points x per-point)</t>
        </is>
      </c>
      <c r="B8">
        <f>IF(AND(Inputs!$B$38&lt;&gt;"pvp",Inputs!$B$43=0),1,IF(IF(Inputs!$B$38="pvp",15,Inputs!$B$43)-(Summary!$B$23)&lt;=0,1,MAX(0,IF(Inputs!$B$38="pvp",15,Inputs!$B$43)-MAX(5,Summary!$B$23))/(IF(Inputs!$B$38="pvp",15,Inputs!$B$43)-(Summary!$B$23))))*B7*CHOOSE(ArtifactsInput!$N$42+1,0.6,0.72,0.84,0.96,1.08,1.2)</f>
        <v/>
      </c>
    </row>
    <row r="9">
      <c r="A9" t="inlineStr">
        <is>
          <t>Candle — Effective Fight Duration</t>
        </is>
      </c>
      <c r="B9">
        <f>IF(Inputs!$B$38="pvp",15,Inputs!$B$43)</f>
        <v/>
      </c>
    </row>
    <row r="10">
      <c r="A10" t="inlineStr">
        <is>
          <t>Candle — Effective Active (fixed-duration or PvP)</t>
        </is>
      </c>
      <c r="B10">
        <f>IF(Inputs!$B$38="pvp",TRUE,AND(Inputs!$B$38&lt;&gt;"pvp",Inputs!$B$43&gt;0))</f>
        <v/>
      </c>
    </row>
    <row r="11">
      <c r="A11" t="inlineStr">
        <is>
          <t>Candle — Final Damage (100% uptime, patched)</t>
        </is>
      </c>
      <c r="B11">
        <f>IF(AND(ArtifactsInput!$M$36,B10),CHOOSE(ArtifactsInput!$N$36+1,8,9.6,11.2,12.8,14.4,16),0)</f>
        <v/>
      </c>
    </row>
    <row r="12">
      <c r="A12" t="inlineStr">
        <is>
          <t>Candle — Boss Monster Damage (20-40s window / boss-present-time uptime, patched)</t>
        </is>
      </c>
      <c r="B12">
        <f>IF(AND(ArtifactsInput!$M$36,B10),MAX(0,MIN(40,B9)-MAX(20,B41))/(B9-B41)*CHOOSE(ArtifactsInput!$N$36+1,30,36,42,48,54,60),0)</f>
        <v/>
      </c>
    </row>
    <row r="13">
      <c r="A13" t="inlineStr">
        <is>
          <t>Peach Tree Herb Pouch — Proc Rate (per second)</t>
        </is>
      </c>
      <c r="B13">
        <f>0.2*Summary!$B$17</f>
        <v/>
      </c>
    </row>
    <row r="14">
      <c r="A14" t="inlineStr">
        <is>
          <t>Peach Tree Herb Pouch — Uptime (refreshing 5s timer)</t>
        </is>
      </c>
      <c r="B14">
        <f>1-EXP(-B13*5)</f>
        <v/>
      </c>
    </row>
    <row r="15">
      <c r="A15" t="inlineStr">
        <is>
          <t>Peach Tree Herb Pouch — Enemy Damage Taken</t>
        </is>
      </c>
      <c r="B15">
        <f>IF(AND(ArtifactsInput!$M$35,Inputs!$B$4&lt;&gt;"Chapter Hunt"),CHOOSE(ArtifactsInput!$N$35+1,15,18,21,24,27,30)*B14,0)</f>
        <v/>
      </c>
    </row>
    <row r="16">
      <c r="A16" t="inlineStr">
        <is>
          <t>Silver Pendant — Offered Load (rho = lambda x duration)</t>
        </is>
      </c>
      <c r="B16">
        <f>0.15*Summary!$B$17*5</f>
        <v/>
      </c>
    </row>
    <row r="17">
      <c r="A17" t="inlineStr">
        <is>
          <t>Silver Pendant — Erlang Loss Weight (n=0)</t>
        </is>
      </c>
      <c r="B17">
        <f>B16^0/1</f>
        <v/>
      </c>
    </row>
    <row r="18">
      <c r="A18" t="inlineStr">
        <is>
          <t>Silver Pendant — Erlang Loss Weight (n=1)</t>
        </is>
      </c>
      <c r="B18">
        <f>B16^1/1</f>
        <v/>
      </c>
    </row>
    <row r="19">
      <c r="A19" t="inlineStr">
        <is>
          <t>Silver Pendant — Erlang Loss Weight (n=2)</t>
        </is>
      </c>
      <c r="B19">
        <f>B16^2/2</f>
        <v/>
      </c>
    </row>
    <row r="20">
      <c r="A20" t="inlineStr">
        <is>
          <t>Silver Pendant — Erlang Loss Weight (n=3)</t>
        </is>
      </c>
      <c r="B20">
        <f>B16^3/6</f>
        <v/>
      </c>
    </row>
    <row r="21">
      <c r="A21" t="inlineStr">
        <is>
          <t>Silver Pendant — Erlang Loss Weight (n=4)</t>
        </is>
      </c>
      <c r="B21">
        <f>B16^4/24</f>
        <v/>
      </c>
    </row>
    <row r="22">
      <c r="A22" t="inlineStr">
        <is>
          <t>Silver Pendant — Erlang Loss Weight (n=5)</t>
        </is>
      </c>
      <c r="B22">
        <f>B16^5/120</f>
        <v/>
      </c>
    </row>
    <row r="23">
      <c r="A23" t="inlineStr">
        <is>
          <t>Silver Pendant — Average Stacks (Erlang-loss mean)</t>
        </is>
      </c>
      <c r="B23">
        <f>(0*B17+1*B18+2*B19+3*B20+4*B21+5*B22)/(B17+B18+B19+B20+B21+B22)</f>
        <v/>
      </c>
    </row>
    <row r="24">
      <c r="A24" t="inlineStr">
        <is>
          <t>Silver Pendant — Enemy Damage Taken</t>
        </is>
      </c>
      <c r="B24">
        <f>IF(AND(ArtifactsInput!$M$22,Inputs!$B$4&lt;&gt;"Chapter Hunt"),CHOOSE(ArtifactsInput!$N$22+1,10,12,14,16,18,20)*B23,0)</f>
        <v/>
      </c>
    </row>
    <row r="25">
      <c r="A25" t="inlineStr">
        <is>
          <t>Athena Pierce's Old Gloves — Max Damage (from Attack Speed, reference only)</t>
        </is>
      </c>
      <c r="B25">
        <f>IF(ArtifactsInput!$M$15,CHOOSE(ArtifactsInput!$N$15+1,25,30,35,40,45,50)/100*Inputs!$B$11,0)</f>
        <v/>
      </c>
    </row>
    <row r="26">
      <c r="A26" t="inlineStr">
        <is>
          <t>Hexagon Necklace — Average Stacks</t>
        </is>
      </c>
      <c r="B26">
        <f>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f>
        <v/>
      </c>
    </row>
    <row r="27">
      <c r="A27" t="inlineStr">
        <is>
          <t>Hexagon Necklace — Damage %</t>
        </is>
      </c>
      <c r="B27">
        <f>IF(ArtifactsInput!$M$11,CHOOSE(ArtifactsInput!$N$11+1,15,18,21,24,27,30)*B26,0)</f>
        <v/>
      </c>
    </row>
    <row r="28">
      <c r="A28" t="inlineStr">
        <is>
          <t>Rainbow-colored Snail Shell — Uptime (0-15s window)</t>
        </is>
      </c>
      <c r="B28">
        <f>IF(Inputs!$B$38="pvp",MIN(15,15)/15,IF(AND(Inputs!$B$38&lt;&gt;"pvp",Inputs!$B$43&gt;0),MIN(15,Inputs!$B$43)/Inputs!$B$43,0))</f>
        <v/>
      </c>
    </row>
    <row r="29">
      <c r="A29" t="inlineStr">
        <is>
          <t>Rainbow-colored Snail Shell — Crit Rate</t>
        </is>
      </c>
      <c r="B29">
        <f>IF(ArtifactsInput!$M$10,CHOOSE(ArtifactsInput!$N$10+1,15,18,21,24,27,30)*B28,0)</f>
        <v/>
      </c>
    </row>
    <row r="30">
      <c r="A30" t="inlineStr">
        <is>
          <t>Rainbow-colored Snail Shell — Crit Damage</t>
        </is>
      </c>
      <c r="B30">
        <f>IF(ArtifactsInput!$M$10,CHOOSE(ArtifactsInput!$N$10+1,20,24,28,32,36,40)*B28,0)</f>
        <v/>
      </c>
    </row>
    <row r="32">
      <c r="A32" s="6" t="inlineStr">
        <is>
          <t>TOTAL — Artifact Crit Rate Bonus</t>
        </is>
      </c>
      <c r="B32" s="6">
        <f>B5+B29</f>
        <v/>
      </c>
    </row>
    <row r="33">
      <c r="A33" s="6" t="inlineStr">
        <is>
          <t>TOTAL — Artifact Crit Damage Bonus</t>
        </is>
      </c>
      <c r="B33" s="6">
        <f>B30+B47</f>
        <v/>
      </c>
    </row>
    <row r="34">
      <c r="A34" s="6" t="inlineStr">
        <is>
          <t>TOTAL — Artifact Final Damage Bonus (equivalent %, each real source combines MULTIPLICATIVELY — Candle x Flaming Lava x Horn Flute, not summed)</t>
        </is>
      </c>
      <c r="B34" s="6">
        <f>((1+B11/100)*(1+B46/100)*(1+B55/100)-1)*100</f>
        <v/>
      </c>
    </row>
    <row r="35">
      <c r="A35" s="6" t="inlineStr">
        <is>
          <t>TOTAL — Artifact Boss Monster Damage Bonus</t>
        </is>
      </c>
      <c r="B35" s="6">
        <f>B12+B60</f>
        <v/>
      </c>
    </row>
    <row r="36">
      <c r="A36" s="6" t="inlineStr">
        <is>
          <t>TOTAL — Artifact Enemy Damage Taken Bonus</t>
        </is>
      </c>
      <c r="B36" s="6">
        <f>B15+B24</f>
        <v/>
      </c>
    </row>
    <row r="38">
      <c r="A38" s="6" t="inlineStr">
        <is>
          <t>TOTAL — Artifact Damage Bonus (own separate final multiplier, like Magic Guard/Meditation's Average Buff Multiplier — not blended into Inputs!DAMAGE%)</t>
        </is>
      </c>
      <c r="B38" s="6">
        <f>B27</f>
        <v/>
      </c>
    </row>
    <row r="39">
      <c r="A39" s="6" t="inlineStr">
        <is>
          <t>TOTAL — Artifact Skill Damage Bonus</t>
        </is>
      </c>
      <c r="B39" s="6">
        <f>B6</f>
        <v/>
      </c>
    </row>
    <row r="40">
      <c r="A40" s="6" t="inlineStr">
        <is>
          <t>TOTAL — Artifact Basic Attack Damage Bonus</t>
        </is>
      </c>
      <c r="B40" s="6">
        <f>B8</f>
        <v/>
      </c>
    </row>
    <row r="41">
      <c r="A41" t="inlineStr">
        <is>
          <t>Candle — Boss Appear Time (Breakthrough/Hero Dungeon only)</t>
        </is>
      </c>
      <c r="B41">
        <f>IF(Inputs!$B$4="Breakthrough",20,IF(Inputs!$B$4="Hero Dungeon",30,0))</f>
        <v/>
      </c>
    </row>
    <row r="42">
      <c r="A42" t="inlineStr">
        <is>
          <t>Clear Spring Water — Final Damage (reference only, Growth Dungeon types)</t>
        </is>
      </c>
      <c r="B42">
        <f>IF(AND(ArtifactsInput!$M$14,OR(Inputs!$B$4="Weapon Dungeon",Inputs!$B$4="Equipment Dungeon",Inputs!$B$4="Enhancement Dungeon",Inputs!$B$4="EXP Dungeon",Inputs!$B$4="Hero Dungeon")),CHOOSE(ArtifactsInput!$N$14+1,10,12,14,16,18,20),0)</f>
        <v/>
      </c>
    </row>
    <row r="43">
      <c r="A43" t="inlineStr">
        <is>
          <t>Old Music Box — Attack % (content-type uptime assumption)</t>
        </is>
      </c>
      <c r="B43">
        <f>IF(ArtifactsInput!$M$21,CHOOSE(ArtifactsInput!$N$21+1,25,30,35,40,45,50)*(IF(OR(Inputs!$B$4="Chapter Hunt",Inputs!$B$4="Breakthrough",Inputs!$B$4="Weapon Dungeon",Inputs!$B$4="Equipment Dungeon",Inputs!$B$4="Enhancement Dungeon",Inputs!$B$4="EXP Dungeon",Inputs!$B$4="Hero Dungeon"),0,IF(OR(Inputs!$B$4="World Boss",Inputs!$B$4="PvP"),1,IF(Inputs!$B$4="Chapter Boss",60/70,0)))),0)</f>
        <v/>
      </c>
    </row>
    <row r="44">
      <c r="A44" t="inlineStr">
        <is>
          <t>Soul Contract — Skill Cooldown Decrease % (Chapter Hunt only)</t>
        </is>
      </c>
      <c r="B44">
        <f>IF(AND(ArtifactsInput!$M$27,Inputs!$B$4="Chapter Hunt"),CHOOSE(ArtifactsInput!$N$27+1,20,24,28,32,36,40),0)</f>
        <v/>
      </c>
    </row>
    <row r="45">
      <c r="A45" t="inlineStr">
        <is>
          <t>Soul Pouch — Final Damage (reference only, PvP/"Arena")</t>
        </is>
      </c>
      <c r="B45">
        <f>IF(AND(ArtifactsInput!$M$29,Inputs!$B$38="pvp"),CHOOSE(ArtifactsInput!$N$29+1,20,24,28,32,36,40),0)</f>
        <v/>
      </c>
    </row>
    <row r="46">
      <c r="A46" t="inlineStr">
        <is>
          <t>Flaming Lava — Final Damage (always assumes target is debuffed)</t>
        </is>
      </c>
      <c r="B46">
        <f>IF(AND(ArtifactsInput!$M$32,Inputs!$B$4&lt;&gt;"Chapter Hunt"),CHOOSE(ArtifactsInput!$N$32+1,8,9.6,11.2,12.8,14.4,16),0)</f>
        <v/>
      </c>
    </row>
    <row r="47">
      <c r="A47" t="inlineStr">
        <is>
          <t>Icy Soul Rock — Crit Damage (1.5x-averaged, MP not modeled)</t>
        </is>
      </c>
      <c r="B47">
        <f>IF(ArtifactsInput!$M$31,1.5*CHOOSE(ArtifactsInput!$N$31+1,20,24,28,32,36,40),0)</f>
        <v/>
      </c>
    </row>
    <row r="48">
      <c r="A48" t="inlineStr">
        <is>
          <t>Secret Map — Attack %</t>
        </is>
      </c>
      <c r="B48">
        <f>IF(ArtifactsInput!$M$41,CHOOSE(ArtifactsInput!$N$41+1,5,6,7,8,9,10),0)</f>
        <v/>
      </c>
    </row>
    <row r="49">
      <c r="A49" t="inlineStr">
        <is>
          <t>Secret Map — Final Damage (normal-monster branch only)</t>
        </is>
      </c>
      <c r="B49">
        <f>IF(AND(ArtifactsInput!$M$41,Inputs!$B$38&lt;&gt;"pvp"),CHOOSE(ArtifactsInput!$N$41+1,5,6,7,8,9,10)*IF(OR(Inputs!$B$4="Weapon Dungeon",Inputs!$B$4="Equipment Dungeon",Inputs!$B$4="Enhancement Dungeon",Inputs!$B$4="EXP Dungeon",Inputs!$B$4="Hero Dungeon"),3,1),0)</f>
        <v/>
      </c>
    </row>
    <row r="50">
      <c r="A50" t="inlineStr">
        <is>
          <t>Reindeer's Spear — Attack %</t>
        </is>
      </c>
      <c r="B50">
        <f>IF(ArtifactsInput!$M$40,CHOOSE(ArtifactsInput!$N$40+1,5,6,7,8,9,10),0)</f>
        <v/>
      </c>
    </row>
    <row r="51">
      <c r="A51" t="inlineStr">
        <is>
          <t>Reindeer's Spear — Base (1x) Defense Penetration (reference only)</t>
        </is>
      </c>
      <c r="B51">
        <f>IF(ArtifactsInput!$M$40,CHOOSE(ArtifactsInput!$N$40+1,5,6,7,8,9,10),0)</f>
        <v/>
      </c>
    </row>
    <row r="52">
      <c r="A52" s="6" t="inlineStr">
        <is>
          <t>TOTAL — Artifact Attack % Bonus (Old Music Box/Secret Map/Reindeer's Spear/Alliance Badge/Bottle of Emotion/Charm of the Undead — additive into the same bucket as Magic Guard/Meditation's Average Buff Multiplier)</t>
        </is>
      </c>
      <c r="B52" s="6">
        <f>B43+B48+B50+B58+B56+B71</f>
        <v/>
      </c>
    </row>
    <row r="53">
      <c r="A53" s="6" t="inlineStr">
        <is>
          <t>TOTAL — Artifact Final Damage Bonus, NORMAL-MONSTER BRANCH ONLY (Secret Map/Fire Flower/Chalice)</t>
        </is>
      </c>
      <c r="B53" s="6">
        <f>B49+B62+B65</f>
        <v/>
      </c>
    </row>
    <row r="54">
      <c r="A54" t="inlineStr">
        <is>
          <t>Cursed Doll — Final Damage (reference only)</t>
        </is>
      </c>
      <c r="B54">
        <f>IF(ArtifactsInput!$M$39,CHOOSE(ArtifactsInput!$N$39+1,7,8.4,9.8,11.2,12.6,14),0)</f>
        <v/>
      </c>
    </row>
    <row r="55">
      <c r="A55" t="inlineStr">
        <is>
          <t>Horn Flute — Final Damage (character's own portion only)</t>
        </is>
      </c>
      <c r="B55">
        <f>IF(AND(ArtifactsInput!$M$38,Inputs!$B$38&lt;&gt;"pvp",Inputs!$B$43&gt;0),CHOOSE(ArtifactsInput!$N$38+1,10,12,14,16,18,20)*(MIN(30,MAX(0,Inputs!$B$43-7))/Inputs!$B$43)*IF(Inputs!$B$4="Chapter Boss",2,1),0)</f>
        <v/>
      </c>
    </row>
    <row r="56">
      <c r="A56" t="inlineStr">
        <is>
          <t>Bottle of Emotion — Attack %</t>
        </is>
      </c>
      <c r="B56">
        <f>IF(ArtifactsInput!$M$34,CHOOSE(ArtifactsInput!$N$34+1,15,18,21,24,27,30),0)</f>
        <v/>
      </c>
    </row>
    <row r="57">
      <c r="A57" t="inlineStr">
        <is>
          <t>Bottle of Emotion — Final Damage from Attack Speed (reference only)</t>
        </is>
      </c>
      <c r="B57">
        <f>IF(ArtifactsInput!$M$34,MIN(CHOOSE(ArtifactsInput!$N$34+1,10,12,14,16,18,20),MAX(0,(CHOOSE(ArtifactsInput!$N$34+1,0.5,0.6,0.7,0.8,0.9,1)/3)*(Inputs!$B$11-60))),0)</f>
        <v/>
      </c>
    </row>
    <row r="58">
      <c r="A58" t="inlineStr">
        <is>
          <t>Alliance Badge — Attack %</t>
        </is>
      </c>
      <c r="B58">
        <f>IF(ArtifactsInput!$M$37,CHOOSE(ArtifactsInput!$N$37+1,10,12,14,16,18,20),0)</f>
        <v/>
      </c>
    </row>
    <row r="59">
      <c r="A59" t="inlineStr">
        <is>
          <t>Sayram's Necklace — Normal Monster Damage</t>
        </is>
      </c>
      <c r="B59">
        <f>IF(ArtifactsInput!$M$33,CHOOSE(ArtifactsInput!$N$33+1,30,36,42,48,54,60),0)</f>
        <v/>
      </c>
    </row>
    <row r="60">
      <c r="A60" t="inlineStr">
        <is>
          <t>Sayram's Necklace — Boss Monster Damage</t>
        </is>
      </c>
      <c r="B60">
        <f>IF(ArtifactsInput!$M$33,CHOOSE(ArtifactsInput!$N$33+1,10,12,14,16,18,20),0)</f>
        <v/>
      </c>
    </row>
    <row r="61">
      <c r="A61" t="inlineStr">
        <is>
          <t>Lit Lamp — Final Damage (reference only, World Boss)</t>
        </is>
      </c>
      <c r="B61">
        <f>IF(AND(ArtifactsInput!$M$28,Inputs!$B$4="World Boss"),CHOOSE(ArtifactsInput!$N$28+1,20,24,28,32,36,40),0)</f>
        <v/>
      </c>
    </row>
    <row r="62">
      <c r="A62" t="inlineStr">
        <is>
          <t>Fire Flower — Final Damage (normal-monster branch, 10 targets assumed)</t>
        </is>
      </c>
      <c r="B62">
        <f>IF(ArtifactsInput!$M$26,10*CHOOSE(ArtifactsInput!$N$26+1,1,1.2,1.4,1.6,1.8,2),0)</f>
        <v/>
      </c>
    </row>
    <row r="63">
      <c r="A63" t="inlineStr">
        <is>
          <t>Fire Flower — Final Damage (boss/PvP branch, 1 target assumed)</t>
        </is>
      </c>
      <c r="B63">
        <f>IF(ArtifactsInput!$M$26,1*CHOOSE(ArtifactsInput!$N$26+1,1,1.2,1.4,1.6,1.8,2),0)</f>
        <v/>
      </c>
    </row>
    <row r="64">
      <c r="A64" t="inlineStr">
        <is>
          <t>Star Rock — Boss Monster Damage (reference only)</t>
        </is>
      </c>
      <c r="B64">
        <f>IF(ArtifactsInput!$M$23,CHOOSE(ArtifactsInput!$N$23+1,50,60,70,80,90,100),0)</f>
        <v/>
      </c>
    </row>
    <row r="65">
      <c r="A65" t="inlineStr">
        <is>
          <t>Chalice — Final Damage (normal-monster branch)</t>
        </is>
      </c>
      <c r="B65">
        <f>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f>
        <v/>
      </c>
    </row>
    <row r="66">
      <c r="A66" t="inlineStr">
        <is>
          <t>Chalice — Final Damage (boss branch)</t>
        </is>
      </c>
      <c r="B66">
        <f>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f>
        <v/>
      </c>
    </row>
    <row r="69">
      <c r="A69" t="inlineStr">
        <is>
          <t>The Contract of Darkness — Crit Rate (boss branch only)</t>
        </is>
      </c>
      <c r="B69">
        <f>IF(AND(ArtifactsInput!$M$8,Inputs!$B$38&lt;&gt;"pvp"),CHOOSE(ArtifactsInput!$N$8+1,8,9.6,11.2,12.8,14.4,16),0)</f>
        <v/>
      </c>
    </row>
    <row r="70">
      <c r="A70" t="inlineStr">
        <is>
          <t>Shamaness Marble — Buff Duration Increase % (reference only)</t>
        </is>
      </c>
      <c r="B70">
        <f>IF(ArtifactsInput!$M$7,CHOOSE(ArtifactsInput!$N$7+1,6,7.2,8.4,9.6,10.8,12),0)</f>
        <v/>
      </c>
    </row>
    <row r="71">
      <c r="A71" t="inlineStr">
        <is>
          <t>Charm of the Undead — Attack % (periodic uptime)</t>
        </is>
      </c>
      <c r="B71">
        <f>IF(ArtifactsInput!$M$5,CHOOSE(ArtifactsInput!$N$5+1,10,12,14,16,18,20)*(IF(AND(Inputs!$B$38&lt;&gt;"pvp",Inputs!$B$43=0),0.5,(5*INT(MAX(0,IF(Inputs!$B$38="pvp",15,Inputs!$B$43)-10)/10)+MIN((MAX(0,IF(Inputs!$B$38="pvp",15,Inputs!$B$43)-10)-10*INT(MAX(0,IF(Inputs!$B$38="pvp",15,Inputs!$B$43)-10)/10)),5))/IF(Inputs!$B$38="pvp",15,Inputs!$B$43))),0)</f>
        <v/>
      </c>
    </row>
    <row r="72">
      <c r="A72" t="inlineStr">
        <is>
          <t>Ancient Text Piece — always 0 (Guild Conquest not modeled)</t>
        </is>
      </c>
      <c r="B72" t="n">
        <v>0</v>
      </c>
    </row>
    <row r="73">
      <c r="A73" t="inlineStr">
        <is>
          <t>Lunar Dew — always 0 (no attacking effect)</t>
        </is>
      </c>
      <c r="B73" t="n">
        <v>0</v>
      </c>
    </row>
    <row r="74">
      <c r="A74" t="inlineStr">
        <is>
          <t>Pink Bean's Giant Rib — always 0 (raid content not modeled)</t>
        </is>
      </c>
      <c r="B74" t="n">
        <v>0</v>
      </c>
    </row>
    <row r="75">
      <c r="A75" t="inlineStr">
        <is>
          <t>Horntail's Scale — always 0 (raid content not modeled)</t>
        </is>
      </c>
      <c r="B75" t="n">
        <v>0</v>
      </c>
    </row>
    <row r="76">
      <c r="A76" t="inlineStr">
        <is>
          <t>Zakum's Stone Piece — always 0 (raid content not modeled)</t>
        </is>
      </c>
      <c r="B76" t="n">
        <v>0</v>
      </c>
    </row>
    <row r="77">
      <c r="A77" t="inlineStr">
        <is>
          <t>Mushmom's Cap — always 0 (Accuracy-vs-Evasion not modeled)</t>
        </is>
      </c>
      <c r="B77" t="n">
        <v>0</v>
      </c>
    </row>
    <row r="78">
      <c r="A78" t="inlineStr">
        <is>
          <t>Arwen's Glass Shoes — always 0 (companions not modeled)</t>
        </is>
      </c>
      <c r="B78" t="n">
        <v>0</v>
      </c>
    </row>
    <row r="79">
      <c r="A79" t="inlineStr">
        <is>
          <t>Pig's Ribbon — always 0 (no attacking effect)</t>
        </is>
      </c>
      <c r="B79" t="n">
        <v>0</v>
      </c>
    </row>
    <row r="80">
      <c r="A80" s="6" t="inlineStr">
        <is>
          <t>TOTAL — Artifact Normal Monster Damage Bonus</t>
        </is>
      </c>
      <c r="B80" s="6">
        <f>B59</f>
        <v/>
      </c>
    </row>
    <row r="81">
      <c r="A81" s="6" t="inlineStr">
        <is>
          <t>TOTAL — Artifact Final Damage Bonus, BOSS BRANCH ONLY (Fire Flower/Chalice)</t>
        </is>
      </c>
      <c r="B81" s="6">
        <f>B63+B66</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2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34" customWidth="1" min="2" max="2"/>
    <col width="10" customWidth="1" min="3" max="3"/>
    <col width="12" customWidth="1" min="4" max="4"/>
    <col width="9" customWidth="1" min="5" max="5"/>
    <col width="15" customWidth="1" min="6" max="6"/>
    <col width="13" customWidth="1" min="7" max="7"/>
    <col width="14" customWidth="1" min="8" max="8"/>
    <col width="17" customWidth="1" min="9" max="9"/>
    <col width="13" customWidth="1" min="10" max="10"/>
    <col width="15" customWidth="1" min="11" max="11"/>
    <col width="12" customWidth="1" min="12" max="12"/>
    <col width="12" customWidth="1" min="13" max="13"/>
    <col width="17" customWidth="1" min="14" max="14"/>
    <col width="12" customWidth="1" min="15" max="15"/>
    <col width="10" customWidth="1" min="16" max="16"/>
    <col width="12" customWidth="1" min="17" max="17"/>
    <col width="12" customWidth="1" min="18" max="18"/>
    <col width="14" customWidth="1" min="19" max="19"/>
  </cols>
  <sheetData>
    <row r="1">
      <c r="A1" s="5" t="inlineStr">
        <is>
          <t>Key</t>
        </is>
      </c>
      <c r="B1" s="5" t="inlineStr">
        <is>
          <t>Name</t>
        </is>
      </c>
      <c r="C1" s="5" t="inlineStr">
        <is>
          <t>Unlocked</t>
        </is>
      </c>
      <c r="D1" s="5" t="inlineStr">
        <is>
          <t>InputLevel</t>
        </is>
      </c>
      <c r="E1" s="5" t="inlineStr">
        <is>
          <t>Factor</t>
        </is>
      </c>
      <c r="F1" s="5" t="inlineStr">
        <is>
          <t>CoefficientPercent</t>
        </is>
      </c>
      <c r="G1" s="5" t="inlineStr">
        <is>
          <t>EffectiveHits</t>
        </is>
      </c>
      <c r="H1" s="5" t="inlineStr">
        <is>
          <t>ProcProbability</t>
        </is>
      </c>
      <c r="I1" s="5" t="inlineStr">
        <is>
          <t>MapleHeroMultiplier</t>
        </is>
      </c>
      <c r="J1" s="5" t="inlineStr">
        <is>
          <t>BaseDamage</t>
        </is>
      </c>
      <c r="K1" s="5" t="inlineStr">
        <is>
          <t>BaseHitDamage</t>
        </is>
      </c>
      <c r="L1" s="5" t="inlineStr">
        <is>
          <t>NonCritAvg</t>
        </is>
      </c>
      <c r="M1" s="5" t="inlineStr">
        <is>
          <t>CritAvg</t>
        </is>
      </c>
      <c r="N1" s="5" t="inlineStr">
        <is>
          <t>ExpectedDamage(perHit)</t>
        </is>
      </c>
      <c r="O1" s="5" t="inlineStr">
        <is>
          <t>DPS</t>
        </is>
      </c>
      <c r="P1" s="5" t="inlineStr">
        <is>
          <t>% of Total</t>
        </is>
      </c>
      <c r="Q1" s="5" t="inlineStr">
        <is>
          <t>InvCooldown</t>
        </is>
      </c>
      <c r="R1" s="5" t="inlineStr">
        <is>
          <t>CastsInFight</t>
        </is>
      </c>
      <c r="S1" s="5" t="inlineStr">
        <is>
          <t>HitRate(perSec)</t>
        </is>
      </c>
      <c r="T1" t="inlineStr">
        <is>
          <t>BossOnlyDPS</t>
        </is>
      </c>
      <c r="V1" t="inlineStr">
        <is>
          <t>NormalOnlyDPS</t>
        </is>
      </c>
    </row>
    <row r="2">
      <c r="A2">
        <f>Skills!A2</f>
        <v/>
      </c>
      <c r="B2">
        <f>Skills!B2</f>
        <v/>
      </c>
      <c r="C2">
        <f>Inputs!$B$3&gt;=100</f>
        <v/>
      </c>
      <c r="D2" t="inlineStr"/>
      <c r="E2" t="inlineStr"/>
      <c r="F2">
        <f>Summary!$B$10+Skills!O2</f>
        <v/>
      </c>
      <c r="G2">
        <f>Skills!G2*IF(Skills!H2&gt;0,INT(IF(Inputs!$B$38="pvp",MIN(Skills!I2,15),Skills!I2)/Skills!H2+0.000000001),1)</f>
        <v/>
      </c>
      <c r="H2">
        <f>1-(1-Skills!J2/100)^Skills!K2</f>
        <v/>
      </c>
      <c r="I2" t="inlineStr">
        <is>
          <t>1</t>
        </is>
      </c>
      <c r="J2">
        <f>Summary!$B$6*(F2/100)</f>
        <v/>
      </c>
      <c r="K2">
        <f>J2*(1+Summary!$B$7/100)*(1+Inputs!$B$15/100)*(1+Inputs!$B$16/100)*(5000/(6000+Inputs!$B$42*(1-Inputs!$B$19/100)))*(1+(Inputs!$B$24+Summary!$B$21)/100)*(1+Artifacts!$B$34/100)*(1+(IF(Skills!A2="EIGHT_LEGS_EASTON",Inputs!$B$17+Artifacts!$B$40,Inputs!$B$18+Artifacts!$B$39))/100)*(Summary!$B$13*(1+Artifacts!$B$38/100)*I2)</f>
        <v/>
      </c>
      <c r="L2">
        <f>K2*(MIN(Inputs!$B$22,Inputs!$B$23)/100+Inputs!$B$23/100)/2</f>
        <v/>
      </c>
      <c r="M2">
        <f>L2*(1+(Inputs!$B$10+Summary!$B$20+Artifacts!$B$33)/100)</f>
        <v/>
      </c>
      <c r="N2">
        <f>L2*(1-MIN((Inputs!$B$9+Summary!$B$14+Artifacts!$B$32),100)/100)+M2*(MIN((Inputs!$B$9+Summary!$B$14+Artifacts!$B$32),100)/100)</f>
        <v/>
      </c>
      <c r="O2">
        <f>(1-Summary!$B$11)*T2+Summary!$B$11*V2</f>
        <v/>
      </c>
      <c r="P2">
        <f>IF(Summary!$B$3=0,0,O2/Summary!$B$3)</f>
        <v/>
      </c>
      <c r="Q2" t="n">
        <v>0</v>
      </c>
      <c r="R2" t="n">
        <v>0</v>
      </c>
      <c r="S2">
        <f>IFERROR(O2/N2,0)</f>
        <v/>
      </c>
      <c r="T2">
        <f>IF(C2,(Skills!G2*N2*Summary!$B$19*(1+IF(C27=TRUE,1/3,0)))*IF(Inputs!$B$38="pvp",1,1+(Inputs!$B$20+Skills!P2+Summary!$B$15+Artifacts!$B$35)/100)*((((5000/(6000+Inputs!$B$42*(1-(100*(1-(1-Inputs!$B$19/100)*(1-Artifacts!$B$51/100)^IF(Inputs!$B$38="pvp",1,2)))/100)))/(5000/(6000+Inputs!$B$42*(1-Inputs!$B$19/100))))*((L2*(1-MIN(100,(Inputs!$B$9+Summary!$B$14+Artifacts!$B$32)+Artifacts!$B$69)/100)+M2*(MIN(100,(Inputs!$B$9+Summary!$B$14+Artifacts!$B$32)+Artifacts!$B$69)/100))/(L2*(1-MIN(100,(Inputs!$B$9+Summary!$B$14+Artifacts!$B$32))/100)+M2*(MIN(100,(Inputs!$B$9+Summary!$B$14+Artifacts!$B$32))/100)))*(1+Artifacts!$B$81/100))),0)</f>
        <v/>
      </c>
      <c r="V2">
        <f>IF(C2,(Skills!G2*N2*Summary!$B$19*(1+IF(C27=TRUE,1/3,0)))*IF(Inputs!$B$38="pvp",1,(1+(Inputs!$B$21+Skills!Q2+Summary!$B$15+Artifacts!$B$80)/100)*(MIN(Skills!R2,Inputs!$B$37)))*((1+Artifacts!$B$53/100)),0)</f>
        <v/>
      </c>
    </row>
    <row r="3">
      <c r="A3">
        <f>Skills!A3</f>
        <v/>
      </c>
      <c r="B3">
        <f>Skills!B3</f>
        <v/>
      </c>
      <c r="C3">
        <f>Inputs!$B$3&gt;=33</f>
        <v/>
      </c>
      <c r="D3">
        <f>IF(Skills!C3=1,60+Inputs!$B$25+Inputs!$B$29,IF(Skills!C3=2,90+Inputs!$B$26+Inputs!$B$29,IF(Skills!C3=3,120+Inputs!$B$27+Inputs!$B$29,MAX(0,(Inputs!$B$3-100)*3)+Inputs!$B$28+Inputs!$B$29)))</f>
        <v/>
      </c>
      <c r="E3">
        <f>INDEX(FactorTable!$B$2:$Y$301, MATCH(ROUND(MIN(300,MAX(1,D3)),0), FactorTable!$A$2:$A$301,0), Skills!M3+1)</f>
        <v/>
      </c>
      <c r="F3">
        <f>IF(Skills!N3=TRUE,(Skills!L3/10)*(E3/1000),Skills!L3/10)+Skills!O3</f>
        <v/>
      </c>
      <c r="G3">
        <f>Skills!G3*IF(Skills!H3&gt;0,INT(IF(Inputs!$B$38="pvp",MIN(Skills!I3,15),Skills!I3)/Skills!H3+0.000000001),1)</f>
        <v/>
      </c>
      <c r="H3">
        <f>1-(1-Skills!J3/100)^Skills!K3</f>
        <v/>
      </c>
      <c r="I3" t="inlineStr">
        <is>
          <t>1</t>
        </is>
      </c>
      <c r="J3">
        <f>Summary!$B$6*(F3/100)</f>
        <v/>
      </c>
      <c r="K3">
        <f>J3*(1+Summary!$B$7/100)*(1+Inputs!$B$15/100)*(1+Inputs!$B$16/100)*(5000/(6000+Inputs!$B$42*(1-Inputs!$B$19/100)))*(1+(Inputs!$B$24+Summary!$B$21)/100)*(1+Artifacts!$B$34/100)*(1+4.0*IF(C15=TRUE,F15,0)/100)*(1+(IF(Skills!A3="EIGHT_LEGS_EASTON",Inputs!$B$17+Artifacts!$B$40,Inputs!$B$18+Artifacts!$B$39))/100)*(Summary!$B$13*(1+Artifacts!$B$38/100)*I3)</f>
        <v/>
      </c>
      <c r="L3">
        <f>K3*(MIN(Inputs!$B$22,Inputs!$B$23)/100+Inputs!$B$23/100)/2</f>
        <v/>
      </c>
      <c r="M3">
        <f>L3*(1+(Inputs!$B$10+Summary!$B$20+Artifacts!$B$33)/100)</f>
        <v/>
      </c>
      <c r="N3">
        <f>L3*(1-MIN((Inputs!$B$9+Summary!$B$14+Artifacts!$B$32),100)/100)+M3*(MIN((Inputs!$B$9+Summary!$B$14+Artifacts!$B$32),100)/100)</f>
        <v/>
      </c>
      <c r="O3">
        <f>(1-Summary!$B$11)*T3+Summary!$B$11*V3</f>
        <v/>
      </c>
      <c r="P3">
        <f>IF(Summary!$B$3=0,0,O3/Summary!$B$3)</f>
        <v/>
      </c>
      <c r="Q3">
        <f>IFERROR(1/(IF(Inputs!$B$38="pvp",15,MAX(0.1,Skills!D3-IF(TRUE=TRUE,Inputs!$B$32,0)))*(1-IF(AND(ArtifactsInput!$M$27,Inputs!$B$4="Chapter Hunt"),CHOOSE(ArtifactsInput!$N$27+1,20,24,28,32,36,40),0)/100)),0)</f>
        <v/>
      </c>
      <c r="R3">
        <f>IF(AND(Inputs!$B$38&lt;&gt;"pvp",Inputs!$B$43&gt;0),IF(MAX(0,Inputs!$B$43-Summary!$B$23)&lt;=0,0,(INT(MAX(0,Inputs!$B$43-Summary!$B$23)/(IF(Inputs!$B$38="pvp",15,MAX(0.1,Skills!D3-IF(TRUE=TRUE,Inputs!$B$32,0)))*(1-IF(AND(ArtifactsInput!$M$27,Inputs!$B$4="Chapter Hunt"),CHOOSE(ArtifactsInput!$N$27+1,20,24,28,32,36,40),0)/100)))+1)),0)</f>
        <v/>
      </c>
      <c r="S3">
        <f>IFERROR(O3/N3,0)</f>
        <v/>
      </c>
      <c r="T3">
        <f>IF(C3,(H3*N3*IF(AND(Inputs!$B$38&lt;&gt;"pvp",Inputs!$B$43&gt;0),((Skills!G3*((R3-1)*IF(Skills!H3&gt;0,INT(Skills!I3/Skills!H3+0.000000001),1)+IF(Skills!H3&gt;0,INT(MIN(Skills!I3,MAX(0,MAX(0,Inputs!$B$43-Summary!$B$23)-((R3-1)*(IF(Inputs!$B$38="pvp",15,MAX(0.1,Skills!D3-IF(TRUE=TRUE,Inputs!$B$32,0)))*(1-IF(AND(ArtifactsInput!$M$27,Inputs!$B$4="Chapter Hunt"),CHOOSE(ArtifactsInput!$N$27+1,20,24,28,32,36,40),0)/100)))))/Skills!H3+0.000000001),1)))/Inputs!$B$43),G3*Q3))*IF(Inputs!$B$38="pvp",1,1+(Inputs!$B$20+Skills!P3+Summary!$B$15+Artifacts!$B$35)/100)*((((5000/(6000+Inputs!$B$42*(1-(100*(1-(1-Inputs!$B$19/100)*(1-Artifacts!$B$51/100)^IF(Inputs!$B$38="pvp",1,2)))/100)))/(5000/(6000+Inputs!$B$42*(1-Inputs!$B$19/100))))*((L3*(1-MIN(100,(Inputs!$B$9+Summary!$B$14+Artifacts!$B$32)+Artifacts!$B$69)/100)+M3*(MIN(100,(Inputs!$B$9+Summary!$B$14+Artifacts!$B$32)+Artifacts!$B$69)/100))/(L3*(1-MIN(100,(Inputs!$B$9+Summary!$B$14+Artifacts!$B$32))/100)+M3*(MIN(100,(Inputs!$B$9+Summary!$B$14+Artifacts!$B$32))/100)))*(1+Artifacts!$B$81/100))),0)</f>
        <v/>
      </c>
      <c r="V3">
        <f>IF(C3,(H3*N3*IF(AND(Inputs!$B$38&lt;&gt;"pvp",Inputs!$B$43&gt;0),((Skills!G3*((R3-1)*IF(Skills!H3&gt;0,INT(Skills!I3/Skills!H3+0.000000001),1)+IF(Skills!H3&gt;0,INT(MIN(Skills!I3,MAX(0,MAX(0,Inputs!$B$43-Summary!$B$23)-((R3-1)*(IF(Inputs!$B$38="pvp",15,MAX(0.1,Skills!D3-IF(TRUE=TRUE,Inputs!$B$32,0)))*(1-IF(AND(ArtifactsInput!$M$27,Inputs!$B$4="Chapter Hunt"),CHOOSE(ArtifactsInput!$N$27+1,20,24,28,32,36,40),0)/100)))))/Skills!H3+0.000000001),1)))/Inputs!$B$43),G3*Q3))*IF(Inputs!$B$38="pvp",1,(1+(Inputs!$B$21+Skills!Q3+Summary!$B$15+Artifacts!$B$80)/100)*(MIN(Skills!R3,Inputs!$B$37)))*((1+Artifacts!$B$53/100)),0)</f>
        <v/>
      </c>
    </row>
    <row r="4">
      <c r="A4">
        <f>Skills!A4</f>
        <v/>
      </c>
      <c r="B4">
        <f>Skills!B4</f>
        <v/>
      </c>
      <c r="C4">
        <f>Inputs!$B$3&gt;=35</f>
        <v/>
      </c>
      <c r="D4">
        <f>IF(Skills!C4=1,60+Inputs!$B$25+Inputs!$B$29,IF(Skills!C4=2,90+Inputs!$B$26+Inputs!$B$29,IF(Skills!C4=3,120+Inputs!$B$27+Inputs!$B$29,MAX(0,(Inputs!$B$3-100)*3)+Inputs!$B$28+Inputs!$B$29)))</f>
        <v/>
      </c>
      <c r="E4">
        <f>INDEX(FactorTable!$B$2:$Y$301, MATCH(ROUND(MIN(300,MAX(1,D4)),0), FactorTable!$A$2:$A$301,0), Skills!M4+1)</f>
        <v/>
      </c>
      <c r="F4">
        <f>IF(Skills!N4=TRUE,(Skills!L4/10)*(E4/1000),Skills!L4/10)+Skills!O4</f>
        <v/>
      </c>
      <c r="G4">
        <f>Skills!G4*IF(Skills!H4&gt;0,INT(IF(Inputs!$B$38="pvp",MIN(IF(Inputs!$B$3&gt;=104,MIN(35,20*(1+Inputs!$B$34/100)),20),15),IF(Inputs!$B$3&gt;=104,MIN(35,20*(1+Inputs!$B$34/100)),20))/Skills!H4+0.000000001),1)</f>
        <v/>
      </c>
      <c r="H4">
        <f>1-(1-Skills!J4/100)^Skills!K4</f>
        <v/>
      </c>
      <c r="I4" t="inlineStr">
        <is>
          <t>1</t>
        </is>
      </c>
      <c r="J4">
        <f>Summary!$B$6*(F4/100)</f>
        <v/>
      </c>
      <c r="K4">
        <f>J4*(1+Summary!$B$7/100)*(1+Inputs!$B$15/100)*(1+Inputs!$B$16/100)*(5000/(6000+Inputs!$B$42*(1-Inputs!$B$19/100)))*(1+(Inputs!$B$24+Summary!$B$21)/100)*(1+Artifacts!$B$34/100)*(1+1.0*IF(C16=TRUE,F16,0)/100)*(1+(IF(Skills!A4="EIGHT_LEGS_EASTON",Inputs!$B$17+Artifacts!$B$40,Inputs!$B$18+Artifacts!$B$39))/100)*(Summary!$B$13*(1+Artifacts!$B$38/100)*I4)</f>
        <v/>
      </c>
      <c r="L4">
        <f>K4*(MIN(Inputs!$B$22,Inputs!$B$23)/100+Inputs!$B$23/100)/2</f>
        <v/>
      </c>
      <c r="M4">
        <f>L4*(1+(Inputs!$B$10+Summary!$B$20+Artifacts!$B$33)/100)</f>
        <v/>
      </c>
      <c r="N4">
        <f>L4*(1-MIN((Inputs!$B$9+Summary!$B$14+Artifacts!$B$32),100)/100)+M4*(MIN((Inputs!$B$9+Summary!$B$14+Artifacts!$B$32),100)/100)</f>
        <v/>
      </c>
      <c r="O4">
        <f>(1-Summary!$B$11)*T4+Summary!$B$11*V4</f>
        <v/>
      </c>
      <c r="P4">
        <f>IF(Summary!$B$3=0,0,O4/Summary!$B$3)</f>
        <v/>
      </c>
      <c r="Q4">
        <f>IFERROR(1/(IF(Inputs!$B$38="pvp",15,MAX(0.1,Skills!D4-IF(TRUE=TRUE,Inputs!$B$32,0)))*(1-IF(AND(ArtifactsInput!$M$27,Inputs!$B$4="Chapter Hunt"),CHOOSE(ArtifactsInput!$N$27+1,20,24,28,32,36,40),0)/100)),0)</f>
        <v/>
      </c>
      <c r="R4">
        <f>IF(AND(Inputs!$B$38&lt;&gt;"pvp",Inputs!$B$43&gt;0),IF(MAX(0,Inputs!$B$43-Summary!$B$23)&lt;=0,0,(INT(MAX(0,Inputs!$B$43-Summary!$B$23)/(IF(Inputs!$B$38="pvp",15,MAX(0.1,Skills!D4-IF(TRUE=TRUE,Inputs!$B$32,0)))*(1-IF(AND(ArtifactsInput!$M$27,Inputs!$B$4="Chapter Hunt"),CHOOSE(ArtifactsInput!$N$27+1,20,24,28,32,36,40),0)/100)))+1)),0)</f>
        <v/>
      </c>
      <c r="S4">
        <f>IFERROR(O4/N4,0)</f>
        <v/>
      </c>
      <c r="T4">
        <f>IF(C4,(H4*N4*IF(AND(Inputs!$B$38&lt;&gt;"pvp",Inputs!$B$43&gt;0),((Skills!G4*((R4-1)*IF(Skills!H4&gt;0,INT(IF(Inputs!$B$3&gt;=104,MIN(35,20*(1+Inputs!$B$34/100)),20)/Skills!H4+0.000000001),1)+IF(Skills!H4&gt;0,INT(MIN(IF(Inputs!$B$3&gt;=104,MIN(35,20*(1+Inputs!$B$34/100)),20),MAX(0,MAX(0,Inputs!$B$43-Summary!$B$23)-((R4-1)*(IF(Inputs!$B$38="pvp",15,MAX(0.1,Skills!D4-IF(TRUE=TRUE,Inputs!$B$32,0)))*(1-IF(AND(ArtifactsInput!$M$27,Inputs!$B$4="Chapter Hunt"),CHOOSE(ArtifactsInput!$N$27+1,20,24,28,32,36,40),0)/100)))))/Skills!H4+0.000000001),1)))/Inputs!$B$43),G4*Q4))*IF(Inputs!$B$38="pvp",1,1+(Inputs!$B$20+Skills!P4+Summary!$B$15+Artifacts!$B$35)/100)*((((5000/(6000+Inputs!$B$42*(1-(100*(1-(1-Inputs!$B$19/100)*(1-Artifacts!$B$51/100)^IF(Inputs!$B$38="pvp",1,2)))/100)))/(5000/(6000+Inputs!$B$42*(1-Inputs!$B$19/100))))*((L4*(1-MIN(100,(Inputs!$B$9+Summary!$B$14+Artifacts!$B$32)+Artifacts!$B$69)/100)+M4*(MIN(100,(Inputs!$B$9+Summary!$B$14+Artifacts!$B$32)+Artifacts!$B$69)/100))/(L4*(1-MIN(100,(Inputs!$B$9+Summary!$B$14+Artifacts!$B$32))/100)+M4*(MIN(100,(Inputs!$B$9+Summary!$B$14+Artifacts!$B$32))/100)))*(1+Artifacts!$B$81/100))),0)</f>
        <v/>
      </c>
      <c r="V4">
        <f>IF(C4,(H4*N4*IF(AND(Inputs!$B$38&lt;&gt;"pvp",Inputs!$B$43&gt;0),((Skills!G4*((R4-1)*IF(Skills!H4&gt;0,INT(IF(Inputs!$B$3&gt;=104,MIN(35,20*(1+Inputs!$B$34/100)),20)/Skills!H4+0.000000001),1)+IF(Skills!H4&gt;0,INT(MIN(IF(Inputs!$B$3&gt;=104,MIN(35,20*(1+Inputs!$B$34/100)),20),MAX(0,MAX(0,Inputs!$B$43-Summary!$B$23)-((R4-1)*(IF(Inputs!$B$38="pvp",15,MAX(0.1,Skills!D4-IF(TRUE=TRUE,Inputs!$B$32,0)))*(1-IF(AND(ArtifactsInput!$M$27,Inputs!$B$4="Chapter Hunt"),CHOOSE(ArtifactsInput!$N$27+1,20,24,28,32,36,40),0)/100)))))/Skills!H4+0.000000001),1)))/Inputs!$B$43),G4*Q4))*IF(Inputs!$B$38="pvp",1,(1+(Inputs!$B$21+Skills!Q4+Summary!$B$15+Artifacts!$B$80)/100)*(MIN(Skills!R4,Inputs!$B$37)))*((1+Artifacts!$B$53/100)),0)</f>
        <v/>
      </c>
    </row>
    <row r="5">
      <c r="A5">
        <f>Skills!A5</f>
        <v/>
      </c>
      <c r="B5">
        <f>Skills!B5</f>
        <v/>
      </c>
      <c r="C5">
        <f>Inputs!$B$3&gt;=69</f>
        <v/>
      </c>
      <c r="D5">
        <f>IF(Skills!C5=1,60+Inputs!$B$25+Inputs!$B$29,IF(Skills!C5=2,90+Inputs!$B$26+Inputs!$B$29,IF(Skills!C5=3,120+Inputs!$B$27+Inputs!$B$29,MAX(0,(Inputs!$B$3-100)*3)+Inputs!$B$28+Inputs!$B$29)))</f>
        <v/>
      </c>
      <c r="E5">
        <f>INDEX(FactorTable!$B$2:$Y$301, MATCH(ROUND(MIN(300,MAX(1,D5)),0), FactorTable!$A$2:$A$301,0), Skills!M5+1)</f>
        <v/>
      </c>
      <c r="F5">
        <f>IF(Skills!N5=TRUE,(Skills!L5/10)*(E5/1000),Skills!L5/10)+Skills!O5</f>
        <v/>
      </c>
      <c r="G5">
        <f>Skills!G5*IF(Skills!H5&gt;0,INT(IF(Inputs!$B$38="pvp",MIN(IF(Inputs!$B$3&gt;=104,MIN(35,20*(1+Inputs!$B$34/100)),20),15),IF(Inputs!$B$3&gt;=104,MIN(35,20*(1+Inputs!$B$34/100)),20))/Skills!H5+0.000000001),1)</f>
        <v/>
      </c>
      <c r="H5">
        <f>1-(1-Skills!J5/100)^Skills!K5</f>
        <v/>
      </c>
      <c r="I5" t="inlineStr">
        <is>
          <t>1</t>
        </is>
      </c>
      <c r="J5">
        <f>Summary!$B$6*(F5/100)</f>
        <v/>
      </c>
      <c r="K5">
        <f>J5*(1+Summary!$B$7/100)*(1+Inputs!$B$15/100)*(1+Inputs!$B$16/100)*(5000/(6000+Inputs!$B$42*(1-Inputs!$B$19/100)))*(1+(Inputs!$B$24+Summary!$B$21)/100)*(1+Artifacts!$B$34/100)*(1+0.4*IF(C16=TRUE,F16,0)/100)*(1+(IF(Skills!A5="EIGHT_LEGS_EASTON",Inputs!$B$17+Artifacts!$B$40,Inputs!$B$18+Artifacts!$B$39))/100)*(Summary!$B$13*(1+Artifacts!$B$38/100)*I5)</f>
        <v/>
      </c>
      <c r="L5">
        <f>K5*(MIN(Inputs!$B$22,Inputs!$B$23)/100+Inputs!$B$23/100)/2</f>
        <v/>
      </c>
      <c r="M5">
        <f>L5*(1+(Inputs!$B$10+Summary!$B$20+Artifacts!$B$33)/100)</f>
        <v/>
      </c>
      <c r="N5">
        <f>L5*(1-MIN((Inputs!$B$9+Summary!$B$14+Artifacts!$B$32),100)/100)+M5*(MIN((Inputs!$B$9+Summary!$B$14+Artifacts!$B$32),100)/100)</f>
        <v/>
      </c>
      <c r="O5">
        <f>(1-Summary!$B$11)*T5+Summary!$B$11*V5</f>
        <v/>
      </c>
      <c r="P5">
        <f>IF(Summary!$B$3=0,0,O5/Summary!$B$3)</f>
        <v/>
      </c>
      <c r="Q5">
        <f>IFERROR(1/(IF(Inputs!$B$38="pvp",15,MAX(0.1,Skills!D5-IF(TRUE=TRUE,Inputs!$B$32,0)))*(1-IF(AND(ArtifactsInput!$M$27,Inputs!$B$4="Chapter Hunt"),CHOOSE(ArtifactsInput!$N$27+1,20,24,28,32,36,40),0)/100)),0)</f>
        <v/>
      </c>
      <c r="R5">
        <f>IF(AND(Inputs!$B$38&lt;&gt;"pvp",Inputs!$B$43&gt;0),IF(MAX(0,Inputs!$B$43-Summary!$B$23)&lt;=0,0,(INT(MAX(0,Inputs!$B$43-Summary!$B$23)/(IF(Inputs!$B$38="pvp",15,MAX(0.1,Skills!D5-IF(TRUE=TRUE,Inputs!$B$32,0)))*(1-IF(AND(ArtifactsInput!$M$27,Inputs!$B$4="Chapter Hunt"),CHOOSE(ArtifactsInput!$N$27+1,20,24,28,32,36,40),0)/100)))+1)),0)</f>
        <v/>
      </c>
      <c r="S5">
        <f>IFERROR(O5/N5,0)</f>
        <v/>
      </c>
      <c r="T5">
        <f>IF(C5,(H5*N5*IF(AND(Inputs!$B$38&lt;&gt;"pvp",Inputs!$B$43&gt;0),((Skills!G5*((R5-1)*IF(Skills!H5&gt;0,INT(IF(Inputs!$B$3&gt;=104,MIN(35,20*(1+Inputs!$B$34/100)),20)/Skills!H5+0.000000001),1)+IF(Skills!H5&gt;0,INT(MIN(IF(Inputs!$B$3&gt;=104,MIN(35,20*(1+Inputs!$B$34/100)),20),MAX(0,MAX(0,Inputs!$B$43-Summary!$B$23)-((R5-1)*(IF(Inputs!$B$38="pvp",15,MAX(0.1,Skills!D5-IF(TRUE=TRUE,Inputs!$B$32,0)))*(1-IF(AND(ArtifactsInput!$M$27,Inputs!$B$4="Chapter Hunt"),CHOOSE(ArtifactsInput!$N$27+1,20,24,28,32,36,40),0)/100)))))/Skills!H5+0.000000001),1)))/Inputs!$B$43),G5*Q5))*IF(Inputs!$B$38="pvp",1,1+(Inputs!$B$20+Skills!P5+Summary!$B$15+Artifacts!$B$35)/100)*((((5000/(6000+Inputs!$B$42*(1-(100*(1-(1-Inputs!$B$19/100)*(1-Artifacts!$B$51/100)^IF(Inputs!$B$38="pvp",1,2)))/100)))/(5000/(6000+Inputs!$B$42*(1-Inputs!$B$19/100))))*((L5*(1-MIN(100,(Inputs!$B$9+Summary!$B$14+Artifacts!$B$32)+Artifacts!$B$69)/100)+M5*(MIN(100,(Inputs!$B$9+Summary!$B$14+Artifacts!$B$32)+Artifacts!$B$69)/100))/(L5*(1-MIN(100,(Inputs!$B$9+Summary!$B$14+Artifacts!$B$32))/100)+M5*(MIN(100,(Inputs!$B$9+Summary!$B$14+Artifacts!$B$32))/100)))*(1+Artifacts!$B$81/100))),0)</f>
        <v/>
      </c>
      <c r="V5">
        <f>IF(C5,(H5*N5*IF(AND(Inputs!$B$38&lt;&gt;"pvp",Inputs!$B$43&gt;0),((Skills!G5*((R5-1)*IF(Skills!H5&gt;0,INT(IF(Inputs!$B$3&gt;=104,MIN(35,20*(1+Inputs!$B$34/100)),20)/Skills!H5+0.000000001),1)+IF(Skills!H5&gt;0,INT(MIN(IF(Inputs!$B$3&gt;=104,MIN(35,20*(1+Inputs!$B$34/100)),20),MAX(0,MAX(0,Inputs!$B$43-Summary!$B$23)-((R5-1)*(IF(Inputs!$B$38="pvp",15,MAX(0.1,Skills!D5-IF(TRUE=TRUE,Inputs!$B$32,0)))*(1-IF(AND(ArtifactsInput!$M$27,Inputs!$B$4="Chapter Hunt"),CHOOSE(ArtifactsInput!$N$27+1,20,24,28,32,36,40),0)/100)))))/Skills!H5+0.000000001),1)))/Inputs!$B$43),G5*Q5))*IF(Inputs!$B$38="pvp",1,(1+(Inputs!$B$21+Skills!Q5+Summary!$B$15+Artifacts!$B$80)/100)*(MIN(Skills!R5,Inputs!$B$37)))*((1+Artifacts!$B$53/100)),0)</f>
        <v/>
      </c>
    </row>
    <row r="6">
      <c r="A6">
        <f>Skills!A6</f>
        <v/>
      </c>
      <c r="B6">
        <f>Skills!B6</f>
        <v/>
      </c>
      <c r="C6">
        <f>Inputs!$B$3&gt;=66</f>
        <v/>
      </c>
      <c r="D6">
        <f>IF(Skills!C6=1,60+Inputs!$B$25+Inputs!$B$29,IF(Skills!C6=2,90+Inputs!$B$26+Inputs!$B$29,IF(Skills!C6=3,120+Inputs!$B$27+Inputs!$B$29,MAX(0,(Inputs!$B$3-100)*3)+Inputs!$B$28+Inputs!$B$29)))</f>
        <v/>
      </c>
      <c r="E6">
        <f>INDEX(FactorTable!$B$2:$Y$301, MATCH(ROUND(MIN(300,MAX(1,D6)),0), FactorTable!$A$2:$A$301,0), Skills!M6+1)</f>
        <v/>
      </c>
      <c r="F6">
        <f>IF(Skills!N6=TRUE,(Skills!L6/10)*(E6/1000),Skills!L6/10)+Skills!O6</f>
        <v/>
      </c>
      <c r="G6">
        <f>Skills!G6*IF(Skills!H6&gt;0,INT(IF(Inputs!$B$38="pvp",MIN(Skills!I6,15),Skills!I6)/Skills!H6+0.000000001),1)</f>
        <v/>
      </c>
      <c r="H6">
        <f>1-(1-Skills!J6/100)^Skills!K6</f>
        <v/>
      </c>
      <c r="I6" t="inlineStr">
        <is>
          <t>1</t>
        </is>
      </c>
      <c r="J6">
        <f>Summary!$B$6*(F6/100)</f>
        <v/>
      </c>
      <c r="K6">
        <f>J6*(1+Summary!$B$7/100)*(1+Inputs!$B$15/100)*(1+Inputs!$B$16/100)*(5000/(6000+Inputs!$B$42*(1-Inputs!$B$19/100)))*(1+(Inputs!$B$24+Summary!$B$21)/100)*(1+Artifacts!$B$34/100)*(1+2.0*IF(C15=TRUE,F15,0)/100)*(1+(IF(Skills!A6="EIGHT_LEGS_EASTON",Inputs!$B$17+Artifacts!$B$40,Inputs!$B$18+Artifacts!$B$39))/100)*(Summary!$B$13*(1+Artifacts!$B$38/100)*I6)</f>
        <v/>
      </c>
      <c r="L6">
        <f>K6*(MIN(Inputs!$B$22,Inputs!$B$23)/100+Inputs!$B$23/100)/2</f>
        <v/>
      </c>
      <c r="M6">
        <f>L6*(1+(Inputs!$B$10+Summary!$B$20+Artifacts!$B$33)/100)</f>
        <v/>
      </c>
      <c r="N6">
        <f>L6*(1-MIN((Inputs!$B$9+Summary!$B$14+Artifacts!$B$32),100)/100)+M6*(MIN((Inputs!$B$9+Summary!$B$14+Artifacts!$B$32),100)/100)</f>
        <v/>
      </c>
      <c r="O6">
        <f>(1-Summary!$B$11)*T6+Summary!$B$11*V6</f>
        <v/>
      </c>
      <c r="P6">
        <f>IF(Summary!$B$3=0,0,O6/Summary!$B$3)</f>
        <v/>
      </c>
      <c r="Q6">
        <f>IFERROR(1/(IF(Inputs!$B$38="pvp",15,MAX(0.1,Skills!D6-IF(TRUE=TRUE,Inputs!$B$32,0)))*(1-IF(AND(ArtifactsInput!$M$27,Inputs!$B$4="Chapter Hunt"),CHOOSE(ArtifactsInput!$N$27+1,20,24,28,32,36,40),0)/100)),0)</f>
        <v/>
      </c>
      <c r="R6">
        <f>IF(AND(Inputs!$B$38&lt;&gt;"pvp",Inputs!$B$43&gt;0),IF(MAX(0,Inputs!$B$43-Summary!$B$23)&lt;=0,0,(INT(MAX(0,Inputs!$B$43-Summary!$B$23)/(IF(Inputs!$B$38="pvp",15,MAX(0.1,Skills!D6-IF(TRUE=TRUE,Inputs!$B$32,0)))*(1-IF(AND(ArtifactsInput!$M$27,Inputs!$B$4="Chapter Hunt"),CHOOSE(ArtifactsInput!$N$27+1,20,24,28,32,36,40),0)/100)))+1)),0)</f>
        <v/>
      </c>
      <c r="S6">
        <f>IFERROR(O6/N6,0)</f>
        <v/>
      </c>
      <c r="T6">
        <f>IF(C6,(H6*N6*IF(AND(Inputs!$B$38&lt;&gt;"pvp",Inputs!$B$43&gt;0),((Skills!G6*((R6-1)*IF(Skills!H6&gt;0,INT(Skills!I6/Skills!H6+0.000000001),1)+IF(Skills!H6&gt;0,INT(MIN(Skills!I6,MAX(0,MAX(0,Inputs!$B$43-Summary!$B$23)-((R6-1)*(IF(Inputs!$B$38="pvp",15,MAX(0.1,Skills!D6-IF(TRUE=TRUE,Inputs!$B$32,0)))*(1-IF(AND(ArtifactsInput!$M$27,Inputs!$B$4="Chapter Hunt"),CHOOSE(ArtifactsInput!$N$27+1,20,24,28,32,36,40),0)/100)))))/Skills!H6+0.000000001),1)))/Inputs!$B$43),G6*Q6))*IF(Inputs!$B$38="pvp",1,1+(Inputs!$B$20+Skills!P6+Summary!$B$15+Artifacts!$B$35)/100)*((((5000/(6000+Inputs!$B$42*(1-(100*(1-(1-Inputs!$B$19/100)*(1-Artifacts!$B$51/100)^IF(Inputs!$B$38="pvp",1,2)))/100)))/(5000/(6000+Inputs!$B$42*(1-Inputs!$B$19/100))))*((L6*(1-MIN(100,(Inputs!$B$9+Summary!$B$14+Artifacts!$B$32)+Artifacts!$B$69)/100)+M6*(MIN(100,(Inputs!$B$9+Summary!$B$14+Artifacts!$B$32)+Artifacts!$B$69)/100))/(L6*(1-MIN(100,(Inputs!$B$9+Summary!$B$14+Artifacts!$B$32))/100)+M6*(MIN(100,(Inputs!$B$9+Summary!$B$14+Artifacts!$B$32))/100)))*(1+Artifacts!$B$81/100))),0)</f>
        <v/>
      </c>
      <c r="V6">
        <f>IF(C6,(H6*N6*IF(AND(Inputs!$B$38&lt;&gt;"pvp",Inputs!$B$43&gt;0),((Skills!G6*((R6-1)*IF(Skills!H6&gt;0,INT(Skills!I6/Skills!H6+0.000000001),1)+IF(Skills!H6&gt;0,INT(MIN(Skills!I6,MAX(0,MAX(0,Inputs!$B$43-Summary!$B$23)-((R6-1)*(IF(Inputs!$B$38="pvp",15,MAX(0.1,Skills!D6-IF(TRUE=TRUE,Inputs!$B$32,0)))*(1-IF(AND(ArtifactsInput!$M$27,Inputs!$B$4="Chapter Hunt"),CHOOSE(ArtifactsInput!$N$27+1,20,24,28,32,36,40),0)/100)))))/Skills!H6+0.000000001),1)))/Inputs!$B$43),G6*Q6))*IF(Inputs!$B$38="pvp",1,(1+(Inputs!$B$21+Skills!Q6+Summary!$B$15+Artifacts!$B$80)/100)*(MIN(Skills!R6,Inputs!$B$37)))*((1+Artifacts!$B$53/100)),0)</f>
        <v/>
      </c>
    </row>
    <row r="7">
      <c r="A7">
        <f>Skills!A7</f>
        <v/>
      </c>
      <c r="B7">
        <f>Skills!B7</f>
        <v/>
      </c>
      <c r="C7">
        <f>Inputs!$B$3&gt;=63</f>
        <v/>
      </c>
      <c r="D7">
        <f>IF(Skills!C7=1,60+Inputs!$B$25+Inputs!$B$29,IF(Skills!C7=2,90+Inputs!$B$26+Inputs!$B$29,IF(Skills!C7=3,120+Inputs!$B$27+Inputs!$B$29,MAX(0,(Inputs!$B$3-100)*3)+Inputs!$B$28+Inputs!$B$29)))</f>
        <v/>
      </c>
      <c r="E7">
        <f>INDEX(FactorTable!$B$2:$Y$301, MATCH(ROUND(MIN(300,MAX(1,D7)),0), FactorTable!$A$2:$A$301,0), Skills!M7+1)</f>
        <v/>
      </c>
      <c r="F7">
        <f>IF(Skills!N7=TRUE,(Skills!L7/10)*(E7/1000),Skills!L7/10)+Skills!O7</f>
        <v/>
      </c>
      <c r="G7">
        <f>Skills!G7*IF(Skills!H7&gt;0,INT(IF(Inputs!$B$38="pvp",MIN(Skills!I7,15),Skills!I7)/Skills!H7+0.000000001),1)</f>
        <v/>
      </c>
      <c r="H7">
        <f>1-(1-Skills!J7/100)^Skills!K7</f>
        <v/>
      </c>
      <c r="I7" t="inlineStr">
        <is>
          <t>1</t>
        </is>
      </c>
      <c r="J7">
        <f>Summary!$B$6*(F7/100)</f>
        <v/>
      </c>
      <c r="K7">
        <f>J7*(1+Summary!$B$7/100)*(1+Inputs!$B$15/100)*(1+Inputs!$B$16/100)*(5000/(6000+Inputs!$B$42*(1-Inputs!$B$19/100)))*(1+(Inputs!$B$24+Summary!$B$21)/100)*(1+Artifacts!$B$34/100)*(1+1.0*IF(C15=TRUE,F15,0)/100)*(1+(IF(Skills!A7="EIGHT_LEGS_EASTON",Inputs!$B$17+Artifacts!$B$40,Inputs!$B$18+Artifacts!$B$39))/100)*(Summary!$B$13*(1+Artifacts!$B$38/100)*I7)</f>
        <v/>
      </c>
      <c r="L7">
        <f>K7*(MIN(Inputs!$B$22,Inputs!$B$23)/100+Inputs!$B$23/100)/2</f>
        <v/>
      </c>
      <c r="M7">
        <f>L7*(1+(Inputs!$B$10+Summary!$B$20+Artifacts!$B$33)/100)</f>
        <v/>
      </c>
      <c r="N7">
        <f>L7*(1-MIN((Inputs!$B$9+Summary!$B$14+Artifacts!$B$32),100)/100)+M7*(MIN((Inputs!$B$9+Summary!$B$14+Artifacts!$B$32),100)/100)</f>
        <v/>
      </c>
      <c r="O7">
        <f>(1-Summary!$B$11)*T7+Summary!$B$11*V7</f>
        <v/>
      </c>
      <c r="P7">
        <f>IF(Summary!$B$3=0,0,O7/Summary!$B$3)</f>
        <v/>
      </c>
      <c r="Q7">
        <f>IFERROR(1/(IF(Inputs!$B$38="pvp",15,MAX(0.1,Skills!D7-IF(TRUE=TRUE,Inputs!$B$32,0)))*(1-IF(AND(ArtifactsInput!$M$27,Inputs!$B$4="Chapter Hunt"),CHOOSE(ArtifactsInput!$N$27+1,20,24,28,32,36,40),0)/100)),0)</f>
        <v/>
      </c>
      <c r="R7">
        <f>IF(AND(Inputs!$B$38&lt;&gt;"pvp",Inputs!$B$43&gt;0),IF(MAX(0,Inputs!$B$43-Summary!$B$23)&lt;=0,0,(INT(MAX(0,Inputs!$B$43-Summary!$B$23)/(IF(Inputs!$B$38="pvp",15,MAX(0.1,Skills!D7-IF(TRUE=TRUE,Inputs!$B$32,0)))*(1-IF(AND(ArtifactsInput!$M$27,Inputs!$B$4="Chapter Hunt"),CHOOSE(ArtifactsInput!$N$27+1,20,24,28,32,36,40),0)/100)))+1)),0)</f>
        <v/>
      </c>
      <c r="S7">
        <f>IFERROR(O7/N7,0)</f>
        <v/>
      </c>
      <c r="T7">
        <f>IF(C7,(H7*N7*IF(AND(Inputs!$B$38&lt;&gt;"pvp",Inputs!$B$43&gt;0),((Skills!G7*((R7-1)*IF(Skills!H7&gt;0,INT(Skills!I7/Skills!H7+0.000000001),1)+IF(Skills!H7&gt;0,INT(MIN(Skills!I7,MAX(0,MAX(0,Inputs!$B$43-Summary!$B$23)-((R7-1)*(IF(Inputs!$B$38="pvp",15,MAX(0.1,Skills!D7-IF(TRUE=TRUE,Inputs!$B$32,0)))*(1-IF(AND(ArtifactsInput!$M$27,Inputs!$B$4="Chapter Hunt"),CHOOSE(ArtifactsInput!$N$27+1,20,24,28,32,36,40),0)/100)))))/Skills!H7+0.000000001),1)))/Inputs!$B$43),G7*Q7))*IF(Inputs!$B$38="pvp",1,1+(Inputs!$B$20+Skills!P7+Summary!$B$15+Artifacts!$B$35)/100)*((((5000/(6000+Inputs!$B$42*(1-(100*(1-(1-Inputs!$B$19/100)*(1-Artifacts!$B$51/100)^IF(Inputs!$B$38="pvp",1,2)))/100)))/(5000/(6000+Inputs!$B$42*(1-Inputs!$B$19/100))))*((L7*(1-MIN(100,(Inputs!$B$9+Summary!$B$14+Artifacts!$B$32)+Artifacts!$B$69)/100)+M7*(MIN(100,(Inputs!$B$9+Summary!$B$14+Artifacts!$B$32)+Artifacts!$B$69)/100))/(L7*(1-MIN(100,(Inputs!$B$9+Summary!$B$14+Artifacts!$B$32))/100)+M7*(MIN(100,(Inputs!$B$9+Summary!$B$14+Artifacts!$B$32))/100)))*(1+Artifacts!$B$81/100))),0)</f>
        <v/>
      </c>
      <c r="V7">
        <f>IF(C7,(H7*N7*IF(AND(Inputs!$B$38&lt;&gt;"pvp",Inputs!$B$43&gt;0),((Skills!G7*((R7-1)*IF(Skills!H7&gt;0,INT(Skills!I7/Skills!H7+0.000000001),1)+IF(Skills!H7&gt;0,INT(MIN(Skills!I7,MAX(0,MAX(0,Inputs!$B$43-Summary!$B$23)-((R7-1)*(IF(Inputs!$B$38="pvp",15,MAX(0.1,Skills!D7-IF(TRUE=TRUE,Inputs!$B$32,0)))*(1-IF(AND(ArtifactsInput!$M$27,Inputs!$B$4="Chapter Hunt"),CHOOSE(ArtifactsInput!$N$27+1,20,24,28,32,36,40),0)/100)))))/Skills!H7+0.000000001),1)))/Inputs!$B$43),G7*Q7))*IF(Inputs!$B$38="pvp",1,(1+(Inputs!$B$21+Skills!Q7+Summary!$B$15+Artifacts!$B$80)/100)*(MIN(Skills!R7,Inputs!$B$37)))*((1+Artifacts!$B$53/100)),0)</f>
        <v/>
      </c>
    </row>
    <row r="8">
      <c r="A8">
        <f>Skills!A8</f>
        <v/>
      </c>
      <c r="B8">
        <f>Skills!B8</f>
        <v/>
      </c>
      <c r="C8">
        <f>Inputs!$B$3&gt;=103</f>
        <v/>
      </c>
      <c r="D8">
        <f>IF(Skills!C8=1,60+Inputs!$B$25+Inputs!$B$29,IF(Skills!C8=2,90+Inputs!$B$26+Inputs!$B$29,IF(Skills!C8=3,120+Inputs!$B$27+Inputs!$B$29,MAX(0,(Inputs!$B$3-100)*3)+Inputs!$B$28+Inputs!$B$29)))</f>
        <v/>
      </c>
      <c r="E8">
        <f>INDEX(FactorTable!$B$2:$Y$301, MATCH(ROUND(MIN(300,MAX(1,D8)),0), FactorTable!$A$2:$A$301,0), Skills!M8+1)</f>
        <v/>
      </c>
      <c r="F8">
        <f>IF(Skills!N8=TRUE,(Skills!L8/10)*(E8/1000),Skills!L8/10)+Skills!O8</f>
        <v/>
      </c>
      <c r="G8">
        <f>Skills!G8*IF(Skills!H8&gt;0,INT(IF(Inputs!$B$38="pvp",MIN(Skills!I8,15),Skills!I8)/Skills!H8+0.000000001),1)</f>
        <v/>
      </c>
      <c r="H8">
        <f>1-(1-Skills!J8/100)^Skills!K8</f>
        <v/>
      </c>
      <c r="I8" t="inlineStr">
        <is>
          <t>1</t>
        </is>
      </c>
      <c r="J8">
        <f>Summary!$B$6*(F8/100)</f>
        <v/>
      </c>
      <c r="K8">
        <f>J8*(1+Summary!$B$7/100)*(1+Inputs!$B$15/100)*(1+Inputs!$B$16/100)*(5000/(6000+Inputs!$B$42*(1-Inputs!$B$19/100)))*(1+(Inputs!$B$24+Summary!$B$21)/100)*(1+Artifacts!$B$34/100)*(1+(IF(Skills!A8="EIGHT_LEGS_EASTON",Inputs!$B$17+Artifacts!$B$40,Inputs!$B$18+Artifacts!$B$39))/100)*(Summary!$B$13*(1+Artifacts!$B$38/100)*I8)</f>
        <v/>
      </c>
      <c r="L8">
        <f>K8*(MIN(Inputs!$B$22,Inputs!$B$23)/100+Inputs!$B$23/100)/2</f>
        <v/>
      </c>
      <c r="M8">
        <f>L8*(1+(Inputs!$B$10+Summary!$B$20+Artifacts!$B$33)/100)</f>
        <v/>
      </c>
      <c r="N8">
        <f>L8*(1-MIN((Inputs!$B$9+Summary!$B$14+Artifacts!$B$32),100)/100)+M8*(MIN((Inputs!$B$9+Summary!$B$14+Artifacts!$B$32),100)/100)</f>
        <v/>
      </c>
      <c r="O8">
        <f>(1-Summary!$B$11)*T8+Summary!$B$11*V8</f>
        <v/>
      </c>
      <c r="P8">
        <f>IF(Summary!$B$3=0,0,O8/Summary!$B$3)</f>
        <v/>
      </c>
      <c r="Q8">
        <f>IFERROR(1/((IF(Inputs!$B$38="pvp",15,MAX(0.1,Skills!D8-IF(TRUE=TRUE,Inputs!$B$32,0)))*(1-IF(AND(ArtifactsInput!$M$27,Inputs!$B$4="Chapter Hunt"),CHOOSE(ArtifactsInput!$N$27+1,20,24,28,32,36,40),0)/100))/Summary!$B$26),0)</f>
        <v/>
      </c>
      <c r="R8">
        <f>IF(AND(Inputs!$B$38&lt;&gt;"pvp",Inputs!$B$43&gt;0),IF(MAX(0,Inputs!$B$43-Summary!$B$23)&lt;=0,0,(INT(MAX(0,Inputs!$B$43-Summary!$B$23)/((IF(Inputs!$B$38="pvp",15,MAX(0.1,Skills!D8-IF(TRUE=TRUE,Inputs!$B$32,0)))*(1-IF(AND(ArtifactsInput!$M$27,Inputs!$B$4="Chapter Hunt"),CHOOSE(ArtifactsInput!$N$27+1,20,24,28,32,36,40),0)/100))/Summary!$B$26))+1)),0)</f>
        <v/>
      </c>
      <c r="S8">
        <f>IFERROR(O8/N8,0)</f>
        <v/>
      </c>
      <c r="T8">
        <f>IF(C8,(H8*N8*IF(AND(Inputs!$B$38&lt;&gt;"pvp",Inputs!$B$43&gt;0),((Skills!G8*((R8-1)*IF(Skills!H8&gt;0,INT(Skills!I8/Skills!H8+0.000000001),1)+IF(Skills!H8&gt;0,INT(MIN(Skills!I8,MAX(0,MAX(0,Inputs!$B$43-Summary!$B$23)-((R8-1)*((IF(Inputs!$B$38="pvp",15,MAX(0.1,Skills!D8-IF(TRUE=TRUE,Inputs!$B$32,0)))*(1-IF(AND(ArtifactsInput!$M$27,Inputs!$B$4="Chapter Hunt"),CHOOSE(ArtifactsInput!$N$27+1,20,24,28,32,36,40),0)/100))/Summary!$B$26))))/Skills!H8+0.000000001),1)))/Inputs!$B$43),G8*Q8))*IF(Inputs!$B$38="pvp",1,1+(Inputs!$B$20+Skills!P8+Summary!$B$15+Artifacts!$B$35)/100)*((((5000/(6000+Inputs!$B$42*(1-(100*(1-(1-Inputs!$B$19/100)*(1-Artifacts!$B$51/100)^IF(Inputs!$B$38="pvp",1,2)))/100)))/(5000/(6000+Inputs!$B$42*(1-Inputs!$B$19/100))))*((L8*(1-MIN(100,(Inputs!$B$9+Summary!$B$14+Artifacts!$B$32)+Artifacts!$B$69)/100)+M8*(MIN(100,(Inputs!$B$9+Summary!$B$14+Artifacts!$B$32)+Artifacts!$B$69)/100))/(L8*(1-MIN(100,(Inputs!$B$9+Summary!$B$14+Artifacts!$B$32))/100)+M8*(MIN(100,(Inputs!$B$9+Summary!$B$14+Artifacts!$B$32))/100)))*(1+Artifacts!$B$81/100))),0)</f>
        <v/>
      </c>
      <c r="V8">
        <f>IF(C8,(H8*N8*IF(AND(Inputs!$B$38&lt;&gt;"pvp",Inputs!$B$43&gt;0),((Skills!G8*((R8-1)*IF(Skills!H8&gt;0,INT(Skills!I8/Skills!H8+0.000000001),1)+IF(Skills!H8&gt;0,INT(MIN(Skills!I8,MAX(0,MAX(0,Inputs!$B$43-Summary!$B$23)-((R8-1)*((IF(Inputs!$B$38="pvp",15,MAX(0.1,Skills!D8-IF(TRUE=TRUE,Inputs!$B$32,0)))*(1-IF(AND(ArtifactsInput!$M$27,Inputs!$B$4="Chapter Hunt"),CHOOSE(ArtifactsInput!$N$27+1,20,24,28,32,36,40),0)/100))/Summary!$B$26))))/Skills!H8+0.000000001),1)))/Inputs!$B$43),G8*Q8))*IF(Inputs!$B$38="pvp",1,(1+(Inputs!$B$21+Skills!Q8+Summary!$B$15+Artifacts!$B$80)/100)*(MIN(Skills!R8,Inputs!$B$37)))*((1+Artifacts!$B$53/100)),0)</f>
        <v/>
      </c>
    </row>
    <row r="9">
      <c r="A9">
        <f>Skills!A9</f>
        <v/>
      </c>
      <c r="B9">
        <f>Skills!B9</f>
        <v/>
      </c>
      <c r="C9">
        <f>Inputs!$B$3&gt;=105</f>
        <v/>
      </c>
      <c r="D9">
        <f>IF(Skills!C9=1,60+Inputs!$B$25+Inputs!$B$29,IF(Skills!C9=2,90+Inputs!$B$26+Inputs!$B$29,IF(Skills!C9=3,120+Inputs!$B$27+Inputs!$B$29,MAX(0,(Inputs!$B$3-100)*3)+Inputs!$B$28+Inputs!$B$29)))</f>
        <v/>
      </c>
      <c r="E9">
        <f>INDEX(FactorTable!$B$2:$Y$301, MATCH(ROUND(MIN(300,MAX(1,D9)),0), FactorTable!$A$2:$A$301,0), Skills!M9+1)</f>
        <v/>
      </c>
      <c r="F9">
        <f>IF(Skills!N9=TRUE,(Skills!L9/10)*(E9/1000),Skills!L9/10)+Skills!O9</f>
        <v/>
      </c>
      <c r="G9">
        <f>Skills!G9*IF(Skills!H9&gt;0,INT(IF(Inputs!$B$38="pvp",MIN(Skills!I9,15),Skills!I9)/Skills!H9+0.000000001),1)</f>
        <v/>
      </c>
      <c r="H9">
        <f>1-(1-Skills!J9/100)^Skills!K9</f>
        <v/>
      </c>
      <c r="I9" t="inlineStr">
        <is>
          <t>1</t>
        </is>
      </c>
      <c r="J9">
        <f>Summary!$B$6*(F9/100)</f>
        <v/>
      </c>
      <c r="K9">
        <f>J9*(1+Summary!$B$7/100)*(1+Inputs!$B$15/100)*(1+Inputs!$B$16/100)*(5000/(6000+Inputs!$B$42*(1-Inputs!$B$19/100)))*(1+(Inputs!$B$24+Summary!$B$21)/100)*(1+Artifacts!$B$34/100)*(1+(IF(Skills!A9="EIGHT_LEGS_EASTON",Inputs!$B$17+Artifacts!$B$40,Inputs!$B$18+Artifacts!$B$39))/100)*(Summary!$B$13*(1+Artifacts!$B$38/100)*I9)</f>
        <v/>
      </c>
      <c r="L9">
        <f>K9*(MIN(Inputs!$B$22,Inputs!$B$23)/100+Inputs!$B$23/100)/2</f>
        <v/>
      </c>
      <c r="M9">
        <f>L9*(1+(Inputs!$B$10+Summary!$B$20+Artifacts!$B$33)/100)</f>
        <v/>
      </c>
      <c r="N9">
        <f>L9*(1-MIN((Inputs!$B$9+Summary!$B$14+Artifacts!$B$32),100)/100)+M9*(MIN((Inputs!$B$9+Summary!$B$14+Artifacts!$B$32),100)/100)</f>
        <v/>
      </c>
      <c r="O9">
        <f>(1-Summary!$B$11)*T9+Summary!$B$11*V9</f>
        <v/>
      </c>
      <c r="P9">
        <f>IF(Summary!$B$3=0,0,O9/Summary!$B$3)</f>
        <v/>
      </c>
      <c r="Q9">
        <f>IFERROR(1/(IF(Inputs!$B$38="pvp",15,MAX(0.1,Skills!D9-IF(TRUE=TRUE,Inputs!$B$32,0)))*(1-IF(AND(ArtifactsInput!$M$27,Inputs!$B$4="Chapter Hunt"),CHOOSE(ArtifactsInput!$N$27+1,20,24,28,32,36,40),0)/100)),0)</f>
        <v/>
      </c>
      <c r="R9">
        <f>IF(AND(Inputs!$B$38&lt;&gt;"pvp",Inputs!$B$43&gt;0),IF(MAX(0,Inputs!$B$43-Summary!$B$23)&lt;=0,0,(INT(MAX(0,Inputs!$B$43-Summary!$B$23)/(IF(Inputs!$B$38="pvp",15,MAX(0.1,Skills!D9-IF(TRUE=TRUE,Inputs!$B$32,0)))*(1-IF(AND(ArtifactsInput!$M$27,Inputs!$B$4="Chapter Hunt"),CHOOSE(ArtifactsInput!$N$27+1,20,24,28,32,36,40),0)/100)))+1)),0)</f>
        <v/>
      </c>
      <c r="S9">
        <f>IFERROR(O9/N9,0)</f>
        <v/>
      </c>
      <c r="T9">
        <f>IF(C9,(H9*N9*IF(AND(Inputs!$B$38&lt;&gt;"pvp",Inputs!$B$43&gt;0),((Skills!G9*((R9-1)*IF(Skills!H9&gt;0,INT(Skills!I9/Skills!H9+0.000000001),1)+IF(Skills!H9&gt;0,INT(MIN(Skills!I9,MAX(0,MAX(0,Inputs!$B$43-Summary!$B$23)-((R9-1)*(IF(Inputs!$B$38="pvp",15,MAX(0.1,Skills!D9-IF(TRUE=TRUE,Inputs!$B$32,0)))*(1-IF(AND(ArtifactsInput!$M$27,Inputs!$B$4="Chapter Hunt"),CHOOSE(ArtifactsInput!$N$27+1,20,24,28,32,36,40),0)/100)))))/Skills!H9+0.000000001),1)))/Inputs!$B$43),G9*Q9))*IF(Inputs!$B$38="pvp",1,1+(Inputs!$B$20+Skills!P9+Summary!$B$15+Artifacts!$B$35)/100)*((((5000/(6000+Inputs!$B$42*(1-(100*(1-(1-Inputs!$B$19/100)*(1-Artifacts!$B$51/100)^IF(Inputs!$B$38="pvp",1,2)))/100)))/(5000/(6000+Inputs!$B$42*(1-Inputs!$B$19/100))))*((L9*(1-MIN(100,(Inputs!$B$9+Summary!$B$14+Artifacts!$B$32)+Artifacts!$B$69)/100)+M9*(MIN(100,(Inputs!$B$9+Summary!$B$14+Artifacts!$B$32)+Artifacts!$B$69)/100))/(L9*(1-MIN(100,(Inputs!$B$9+Summary!$B$14+Artifacts!$B$32))/100)+M9*(MIN(100,(Inputs!$B$9+Summary!$B$14+Artifacts!$B$32))/100)))*(1+Artifacts!$B$81/100))),0)</f>
        <v/>
      </c>
      <c r="V9">
        <f>IF(C9,(H9*N9*IF(AND(Inputs!$B$38&lt;&gt;"pvp",Inputs!$B$43&gt;0),((Skills!G9*((R9-1)*IF(Skills!H9&gt;0,INT(Skills!I9/Skills!H9+0.000000001),1)+IF(Skills!H9&gt;0,INT(MIN(Skills!I9,MAX(0,MAX(0,Inputs!$B$43-Summary!$B$23)-((R9-1)*(IF(Inputs!$B$38="pvp",15,MAX(0.1,Skills!D9-IF(TRUE=TRUE,Inputs!$B$32,0)))*(1-IF(AND(ArtifactsInput!$M$27,Inputs!$B$4="Chapter Hunt"),CHOOSE(ArtifactsInput!$N$27+1,20,24,28,32,36,40),0)/100)))))/Skills!H9+0.000000001),1)))/Inputs!$B$43),G9*Q9))*IF(Inputs!$B$38="pvp",1,(1+(Inputs!$B$21+Skills!Q9+Summary!$B$15+Artifacts!$B$80)/100)*(MIN(Skills!R9,Inputs!$B$37)))*((1+Artifacts!$B$53/100)),0)</f>
        <v/>
      </c>
    </row>
    <row r="10">
      <c r="A10">
        <f>Skills!A10</f>
        <v/>
      </c>
      <c r="B10">
        <f>Skills!B10</f>
        <v/>
      </c>
      <c r="C10">
        <f>Inputs!$B$3&gt;=113</f>
        <v/>
      </c>
      <c r="D10">
        <f>IF(Skills!C10=1,60+Inputs!$B$25+Inputs!$B$29,IF(Skills!C10=2,90+Inputs!$B$26+Inputs!$B$29,IF(Skills!C10=3,120+Inputs!$B$27+Inputs!$B$29,MAX(0,(Inputs!$B$3-100)*3)+Inputs!$B$28+Inputs!$B$29)))</f>
        <v/>
      </c>
      <c r="E10">
        <f>INDEX(FactorTable!$B$2:$Y$301, MATCH(ROUND(MIN(300,MAX(1,D10)),0), FactorTable!$A$2:$A$301,0), Skills!M10+1)</f>
        <v/>
      </c>
      <c r="F10">
        <f>IF(Skills!N10=TRUE,(Skills!L10/10)*(E10/1000),Skills!L10/10)+Skills!O10</f>
        <v/>
      </c>
      <c r="G10">
        <f>Skills!G10*IF(Skills!H10&gt;0,INT(IF(Inputs!$B$38="pvp",MIN(Skills!I10,15),Skills!I10)/Skills!H10+0.000000001),1)</f>
        <v/>
      </c>
      <c r="H10">
        <f>1-(1-Skills!J10/100)^Skills!K10</f>
        <v/>
      </c>
      <c r="I10" t="inlineStr">
        <is>
          <t>1</t>
        </is>
      </c>
      <c r="J10">
        <f>Summary!$B$6*(F10/100)</f>
        <v/>
      </c>
      <c r="K10">
        <f>J10*(1+Summary!$B$7/100)*(1+Inputs!$B$15/100)*(1+Inputs!$B$16/100)*(5000/(6000+Inputs!$B$42*(1-Inputs!$B$19/100)))*(1+(Inputs!$B$24+Summary!$B$21)/100)*(1+Artifacts!$B$34/100)*(1+(IF(Skills!A10="EIGHT_LEGS_EASTON",Inputs!$B$17+Artifacts!$B$40,Inputs!$B$18+Artifacts!$B$39))/100)*(Summary!$B$13*(1+Artifacts!$B$38/100)*I10)</f>
        <v/>
      </c>
      <c r="L10">
        <f>K10*(MIN(Inputs!$B$22,Inputs!$B$23)/100+Inputs!$B$23/100)/2</f>
        <v/>
      </c>
      <c r="M10">
        <f>L10*(1+(Inputs!$B$10+Summary!$B$20+Artifacts!$B$33)/100)</f>
        <v/>
      </c>
      <c r="N10">
        <f>L10*(1-MIN((Inputs!$B$9+Summary!$B$14+Artifacts!$B$32),100)/100)+M10*(MIN((Inputs!$B$9+Summary!$B$14+Artifacts!$B$32),100)/100)</f>
        <v/>
      </c>
      <c r="O10">
        <f>(1-Summary!$B$11)*T10+Summary!$B$11*V10</f>
        <v/>
      </c>
      <c r="P10">
        <f>IF(Summary!$B$3=0,0,O10/Summary!$B$3)</f>
        <v/>
      </c>
      <c r="Q10" t="n">
        <v>0</v>
      </c>
      <c r="R10" t="n">
        <v>0</v>
      </c>
      <c r="S10">
        <f>IFERROR(O10/N10,0)</f>
        <v/>
      </c>
      <c r="T10">
        <f>IF(C10,((H10*Summary!$B$27)/(1+Skills!H10*H10*Summary!$B$27)*N10)*IF(Inputs!$B$38="pvp",1,1+(Inputs!$B$20+Skills!P10+Summary!$B$15+Artifacts!$B$35)/100)*((((5000/(6000+Inputs!$B$42*(1-(100*(1-(1-Inputs!$B$19/100)*(1-Artifacts!$B$51/100)^IF(Inputs!$B$38="pvp",1,2)))/100)))/(5000/(6000+Inputs!$B$42*(1-Inputs!$B$19/100))))*((L10*(1-MIN(100,(Inputs!$B$9+Summary!$B$14+Artifacts!$B$32)+Artifacts!$B$69)/100)+M10*(MIN(100,(Inputs!$B$9+Summary!$B$14+Artifacts!$B$32)+Artifacts!$B$69)/100))/(L10*(1-MIN(100,(Inputs!$B$9+Summary!$B$14+Artifacts!$B$32))/100)+M10*(MIN(100,(Inputs!$B$9+Summary!$B$14+Artifacts!$B$32))/100)))*(1+Artifacts!$B$81/100))),0)</f>
        <v/>
      </c>
      <c r="V10">
        <f>IF(C10,((H10*Summary!$B$27)/(1+Skills!H10*H10*Summary!$B$27)*N10)*IF(Inputs!$B$38="pvp",1,(1+(Inputs!$B$21+Skills!Q10+Summary!$B$15+Artifacts!$B$80)/100)*(MIN(Skills!R10,Inputs!$B$37)))*((1+Artifacts!$B$53/100)),0)</f>
        <v/>
      </c>
    </row>
    <row r="11">
      <c r="A11">
        <f>Skills!A11</f>
        <v/>
      </c>
      <c r="B11">
        <f>Skills!B11</f>
        <v/>
      </c>
      <c r="C11">
        <f>Inputs!$B$3&gt;=117</f>
        <v/>
      </c>
      <c r="D11">
        <f>IF(Skills!C11=1,60+Inputs!$B$25+Inputs!$B$29,IF(Skills!C11=2,90+Inputs!$B$26+Inputs!$B$29,IF(Skills!C11=3,120+Inputs!$B$27+Inputs!$B$29,MAX(0,(Inputs!$B$3-100)*3)+Inputs!$B$28+Inputs!$B$29)))</f>
        <v/>
      </c>
      <c r="E11">
        <f>INDEX(FactorTable!$B$2:$Y$301, MATCH(ROUND(MIN(300,MAX(1,D11)),0), FactorTable!$A$2:$A$301,0), Skills!M11+1)</f>
        <v/>
      </c>
      <c r="F11">
        <f>IF(Skills!N11=TRUE,(Skills!L11/10)*(E11/1000),Skills!L11/10)+Skills!O11</f>
        <v/>
      </c>
      <c r="G11">
        <f>Skills!G11*IF(Skills!H11&gt;0,INT(IF(Inputs!$B$38="pvp",MIN(Skills!I11,15),Skills!I11)/Skills!H11+0.000000001),1)</f>
        <v/>
      </c>
      <c r="H11">
        <f>1-(1-Skills!J11/100)^Skills!K11</f>
        <v/>
      </c>
      <c r="I11" t="inlineStr">
        <is>
          <t>1</t>
        </is>
      </c>
      <c r="J11">
        <f>Summary!$B$6*(F11/100)</f>
        <v/>
      </c>
      <c r="K11">
        <f>J11*(1+Summary!$B$7/100)*(1+Inputs!$B$15/100)*(1+Inputs!$B$16/100)*(5000/(6000+Inputs!$B$42*(1-Inputs!$B$19/100)))*(1+(Inputs!$B$24+Summary!$B$21)/100)*(1+Artifacts!$B$34/100)*(1+(IF(Skills!A11="EIGHT_LEGS_EASTON",Inputs!$B$17+Artifacts!$B$40,Inputs!$B$18+Artifacts!$B$39))/100)*(Summary!$B$13*(1+Artifacts!$B$38/100)*I11)</f>
        <v/>
      </c>
      <c r="L11">
        <f>K11*(MIN(Inputs!$B$22,Inputs!$B$23)/100+Inputs!$B$23/100)/2</f>
        <v/>
      </c>
      <c r="M11">
        <f>L11*(1+(Inputs!$B$10+Summary!$B$20+Artifacts!$B$33)/100)</f>
        <v/>
      </c>
      <c r="N11">
        <f>L11*(1-MIN((Inputs!$B$9+Summary!$B$14+Artifacts!$B$32),100)/100)+M11*(MIN((Inputs!$B$9+Summary!$B$14+Artifacts!$B$32),100)/100)</f>
        <v/>
      </c>
      <c r="O11">
        <f>(1-Summary!$B$11)*T11+Summary!$B$11*V11</f>
        <v/>
      </c>
      <c r="P11">
        <f>IF(Summary!$B$3=0,0,O11/Summary!$B$3)</f>
        <v/>
      </c>
      <c r="Q11">
        <f>IFERROR(1/((IF(Inputs!$B$38="pvp",15,MAX(0.1,Skills!D11-IF(TRUE=TRUE,Inputs!$B$32,0)))*(1-IF(AND(ArtifactsInput!$M$27,Inputs!$B$4="Chapter Hunt"),CHOOSE(ArtifactsInput!$N$27+1,20,24,28,32,36,40),0)/100))/Summary!$B$26),0)</f>
        <v/>
      </c>
      <c r="R11">
        <f>IF(AND(Inputs!$B$38&lt;&gt;"pvp",Inputs!$B$43&gt;0),IF(MAX(0,Inputs!$B$43-Summary!$B$23)&lt;=0,0,(INT(MAX(0,Inputs!$B$43-Summary!$B$23)/((IF(Inputs!$B$38="pvp",15,MAX(0.1,Skills!D11-IF(TRUE=TRUE,Inputs!$B$32,0)))*(1-IF(AND(ArtifactsInput!$M$27,Inputs!$B$4="Chapter Hunt"),CHOOSE(ArtifactsInput!$N$27+1,20,24,28,32,36,40),0)/100))/Summary!$B$26))+1)),0)</f>
        <v/>
      </c>
      <c r="S11">
        <f>IFERROR(O11/N11,0)</f>
        <v/>
      </c>
      <c r="T11">
        <f>IF(C11,(H11*N11*IF(AND(Inputs!$B$38&lt;&gt;"pvp",Inputs!$B$43&gt;0),((Skills!G11*((R11-1)*IF(Skills!H11&gt;0,INT(Skills!I11/Skills!H11+0.000000001),1)+IF(Skills!H11&gt;0,INT(MIN(Skills!I11,MAX(0,MAX(0,Inputs!$B$43-Summary!$B$23)-((R11-1)*((IF(Inputs!$B$38="pvp",15,MAX(0.1,Skills!D11-IF(TRUE=TRUE,Inputs!$B$32,0)))*(1-IF(AND(ArtifactsInput!$M$27,Inputs!$B$4="Chapter Hunt"),CHOOSE(ArtifactsInput!$N$27+1,20,24,28,32,36,40),0)/100))/Summary!$B$26))))/Skills!H11+0.000000001),1)))/Inputs!$B$43),G11*Q11))*IF(Inputs!$B$38="pvp",1,1+(Inputs!$B$20+Skills!P11+Summary!$B$15+Artifacts!$B$35)/100)*((((5000/(6000+Inputs!$B$42*(1-(100*(1-(1-Inputs!$B$19/100)*(1-Artifacts!$B$51/100)^IF(Inputs!$B$38="pvp",1,2)))/100)))/(5000/(6000+Inputs!$B$42*(1-Inputs!$B$19/100))))*((L11*(1-MIN(100,(Inputs!$B$9+Summary!$B$14+Artifacts!$B$32)+Artifacts!$B$69)/100)+M11*(MIN(100,(Inputs!$B$9+Summary!$B$14+Artifacts!$B$32)+Artifacts!$B$69)/100))/(L11*(1-MIN(100,(Inputs!$B$9+Summary!$B$14+Artifacts!$B$32))/100)+M11*(MIN(100,(Inputs!$B$9+Summary!$B$14+Artifacts!$B$32))/100)))*(1+Artifacts!$B$81/100))),0)</f>
        <v/>
      </c>
      <c r="V11">
        <f>IF(C11,(H11*N11*IF(AND(Inputs!$B$38&lt;&gt;"pvp",Inputs!$B$43&gt;0),((Skills!G11*((R11-1)*IF(Skills!H11&gt;0,INT(Skills!I11/Skills!H11+0.000000001),1)+IF(Skills!H11&gt;0,INT(MIN(Skills!I11,MAX(0,MAX(0,Inputs!$B$43-Summary!$B$23)-((R11-1)*((IF(Inputs!$B$38="pvp",15,MAX(0.1,Skills!D11-IF(TRUE=TRUE,Inputs!$B$32,0)))*(1-IF(AND(ArtifactsInput!$M$27,Inputs!$B$4="Chapter Hunt"),CHOOSE(ArtifactsInput!$N$27+1,20,24,28,32,36,40),0)/100))/Summary!$B$26))))/Skills!H11+0.000000001),1)))/Inputs!$B$43),G11*Q11))*IF(Inputs!$B$38="pvp",1,(1+(Inputs!$B$21+Skills!Q11+Summary!$B$15+Artifacts!$B$80)/100)*(MIN(Skills!R11,Inputs!$B$37)))*((1+Artifacts!$B$53/100)),0)</f>
        <v/>
      </c>
    </row>
    <row r="12">
      <c r="A12">
        <f>Skills!A12</f>
        <v/>
      </c>
      <c r="B12">
        <f>Skills!B12</f>
        <v/>
      </c>
      <c r="C12">
        <f>Inputs!$B$3&gt;=110</f>
        <v/>
      </c>
      <c r="D12">
        <f>IF(Skills!C12=1,60+Inputs!$B$25+Inputs!$B$29,IF(Skills!C12=2,90+Inputs!$B$26+Inputs!$B$29,IF(Skills!C12=3,120+Inputs!$B$27+Inputs!$B$29,MAX(0,(Inputs!$B$3-100)*3)+Inputs!$B$28+Inputs!$B$29)))</f>
        <v/>
      </c>
      <c r="E12">
        <f>INDEX(FactorTable!$B$2:$Y$301, MATCH(ROUND(MIN(300,MAX(1,D12)),0), FactorTable!$A$2:$A$301,0), Skills!M12+1)</f>
        <v/>
      </c>
      <c r="F12">
        <f>IF(Skills!N12=TRUE,(Skills!L12/10)*(E12/1000),Skills!L12/10)+Skills!O12</f>
        <v/>
      </c>
      <c r="G12">
        <f>Skills!G12*IF(Skills!H12&gt;0,INT(IF(Inputs!$B$38="pvp",MIN(Skills!I12,15),Skills!I12)/Skills!H12+0.000000001),1)</f>
        <v/>
      </c>
      <c r="H12">
        <f>1-(1-Skills!J12/100)^Skills!K12</f>
        <v/>
      </c>
      <c r="I12" t="inlineStr">
        <is>
          <t>1</t>
        </is>
      </c>
      <c r="J12">
        <f>Summary!$B$6*(F12/100)</f>
        <v/>
      </c>
      <c r="K12">
        <f>J12*(1+Summary!$B$7/100)*(1+Inputs!$B$15/100)*(1+Inputs!$B$16/100)*(5000/(6000+Inputs!$B$42*(1-Inputs!$B$19/100)))*(1+(Inputs!$B$24+Summary!$B$21)/100)*(1+Artifacts!$B$34/100)*(1+(IF(Skills!A12="EIGHT_LEGS_EASTON",Inputs!$B$17+Artifacts!$B$40,Inputs!$B$18+Artifacts!$B$39))/100)*(Summary!$B$13*(1+Artifacts!$B$38/100)*I12)</f>
        <v/>
      </c>
      <c r="L12">
        <f>K12*(MIN(Inputs!$B$22,Inputs!$B$23)/100+Inputs!$B$23/100)/2</f>
        <v/>
      </c>
      <c r="M12">
        <f>L12*(1+(Inputs!$B$10+Summary!$B$20+Artifacts!$B$33)/100)</f>
        <v/>
      </c>
      <c r="N12">
        <f>L12*(1-MIN((Inputs!$B$9+Summary!$B$14+Artifacts!$B$32),100)/100)+M12*(MIN((Inputs!$B$9+Summary!$B$14+Artifacts!$B$32),100)/100)</f>
        <v/>
      </c>
      <c r="O12">
        <f>(1-Summary!$B$11)*T12+Summary!$B$11*V12</f>
        <v/>
      </c>
      <c r="P12">
        <f>IF(Summary!$B$3=0,0,O12/Summary!$B$3)</f>
        <v/>
      </c>
      <c r="Q12">
        <f>IFERROR(1/(IF(Inputs!$B$38="pvp",15,MAX(0.1,Skills!D12-IF(TRUE=TRUE,Inputs!$B$32,0)))*(1-IF(AND(ArtifactsInput!$M$27,Inputs!$B$4="Chapter Hunt"),CHOOSE(ArtifactsInput!$N$27+1,20,24,28,32,36,40),0)/100)),0)</f>
        <v/>
      </c>
      <c r="R12">
        <f>IF(AND(Inputs!$B$38&lt;&gt;"pvp",Inputs!$B$43&gt;0),IF(MAX(0,Inputs!$B$43-Summary!$B$23)&lt;=0,0,(INT(MAX(0,Inputs!$B$43-Summary!$B$23)/(IF(Inputs!$B$38="pvp",15,MAX(0.1,Skills!D12-IF(TRUE=TRUE,Inputs!$B$32,0)))*(1-IF(AND(ArtifactsInput!$M$27,Inputs!$B$4="Chapter Hunt"),CHOOSE(ArtifactsInput!$N$27+1,20,24,28,32,36,40),0)/100)))+1)),0)</f>
        <v/>
      </c>
      <c r="S12">
        <f>IFERROR(O12/N12,0)</f>
        <v/>
      </c>
      <c r="T12">
        <f>IF(C12,(H12*N12*IF(AND(Inputs!$B$38&lt;&gt;"pvp",Inputs!$B$43&gt;0),((Skills!G12*((R12-1)*IF(Skills!H12&gt;0,INT(Skills!I12/Skills!H12+0.000000001),1)+IF(Skills!H12&gt;0,INT(MIN(Skills!I12,MAX(0,MAX(0,Inputs!$B$43-Summary!$B$23)-((R12-1)*(IF(Inputs!$B$38="pvp",15,MAX(0.1,Skills!D12-IF(TRUE=TRUE,Inputs!$B$32,0)))*(1-IF(AND(ArtifactsInput!$M$27,Inputs!$B$4="Chapter Hunt"),CHOOSE(ArtifactsInput!$N$27+1,20,24,28,32,36,40),0)/100)))))/Skills!H12+0.000000001),1)))/Inputs!$B$43),G12*Q12))*IF(Inputs!$B$38="pvp",1,1+(Inputs!$B$20+Skills!P12+Summary!$B$15+Artifacts!$B$35)/100)*((((5000/(6000+Inputs!$B$42*(1-(100*(1-(1-Inputs!$B$19/100)*(1-Artifacts!$B$51/100)^IF(Inputs!$B$38="pvp",1,2)))/100)))/(5000/(6000+Inputs!$B$42*(1-Inputs!$B$19/100))))*((L12*(1-MIN(100,(Inputs!$B$9+Summary!$B$14+Artifacts!$B$32)+Artifacts!$B$69)/100)+M12*(MIN(100,(Inputs!$B$9+Summary!$B$14+Artifacts!$B$32)+Artifacts!$B$69)/100))/(L12*(1-MIN(100,(Inputs!$B$9+Summary!$B$14+Artifacts!$B$32))/100)+M12*(MIN(100,(Inputs!$B$9+Summary!$B$14+Artifacts!$B$32))/100)))*(1+Artifacts!$B$81/100))),0)</f>
        <v/>
      </c>
      <c r="V12">
        <f>IF(C12,(H12*N12*IF(AND(Inputs!$B$38&lt;&gt;"pvp",Inputs!$B$43&gt;0),((Skills!G12*((R12-1)*IF(Skills!H12&gt;0,INT(Skills!I12/Skills!H12+0.000000001),1)+IF(Skills!H12&gt;0,INT(MIN(Skills!I12,MAX(0,MAX(0,Inputs!$B$43-Summary!$B$23)-((R12-1)*(IF(Inputs!$B$38="pvp",15,MAX(0.1,Skills!D12-IF(TRUE=TRUE,Inputs!$B$32,0)))*(1-IF(AND(ArtifactsInput!$M$27,Inputs!$B$4="Chapter Hunt"),CHOOSE(ArtifactsInput!$N$27+1,20,24,28,32,36,40),0)/100)))))/Skills!H12+0.000000001),1)))/Inputs!$B$43),G12*Q12))*IF(Inputs!$B$38="pvp",1,(1+(Inputs!$B$21+Skills!Q12+Summary!$B$15+Artifacts!$B$80)/100)*(MIN(Skills!R12,Inputs!$B$37)))*((1+Artifacts!$B$53/100)),0)</f>
        <v/>
      </c>
    </row>
    <row r="13">
      <c r="A13">
        <f>Skills!A13</f>
        <v/>
      </c>
      <c r="B13">
        <f>Skills!B13</f>
        <v/>
      </c>
      <c r="C13">
        <f>Inputs!$B$3&gt;=110</f>
        <v/>
      </c>
      <c r="D13">
        <f>IF(Skills!C13=1,60+Inputs!$B$25+Inputs!$B$29,IF(Skills!C13=2,90+Inputs!$B$26+Inputs!$B$29,IF(Skills!C13=3,120+Inputs!$B$27+Inputs!$B$29,MAX(0,(Inputs!$B$3-100)*3)+Inputs!$B$28+Inputs!$B$29)))</f>
        <v/>
      </c>
      <c r="E13">
        <f>INDEX(FactorTable!$B$2:$Y$301, MATCH(ROUND(MIN(300,MAX(1,D13)),0), FactorTable!$A$2:$A$301,0), Skills!M13+1)</f>
        <v/>
      </c>
      <c r="F13">
        <f>IF(Skills!N13=TRUE,(Skills!L13/10)*(E13/1000),Skills!L13/10)+Skills!O13</f>
        <v/>
      </c>
      <c r="G13">
        <f>Skills!G13*IF(Skills!H13&gt;0,INT(IF(Inputs!$B$38="pvp",MIN(Skills!I13,15),Skills!I13)/Skills!H13+0.000000001),1)</f>
        <v/>
      </c>
      <c r="H13">
        <f>1-(1-Skills!J13/100)^Skills!K13</f>
        <v/>
      </c>
      <c r="I13" t="inlineStr">
        <is>
          <t>1</t>
        </is>
      </c>
      <c r="J13">
        <f>Summary!$B$6*(F13/100)</f>
        <v/>
      </c>
      <c r="K13">
        <f>J13*(1+Summary!$B$7/100)*(1+Inputs!$B$15/100)*(1+Inputs!$B$16/100)*(5000/(6000+Inputs!$B$42*(1-Inputs!$B$19/100)))*(1+(Inputs!$B$24+Summary!$B$21)/100)*(1+Artifacts!$B$34/100)*(1+(IF(Skills!A13="EIGHT_LEGS_EASTON",Inputs!$B$17+Artifacts!$B$40,Inputs!$B$18+Artifacts!$B$39))/100)*(Summary!$B$13*(1+Artifacts!$B$38/100)*I13)</f>
        <v/>
      </c>
      <c r="L13">
        <f>K13*(MIN(Inputs!$B$22,Inputs!$B$23)/100+Inputs!$B$23/100)/2</f>
        <v/>
      </c>
      <c r="M13">
        <f>L13*(1+(Inputs!$B$10+Summary!$B$20+Artifacts!$B$33)/100)</f>
        <v/>
      </c>
      <c r="N13">
        <f>L13*(1-MIN((Inputs!$B$9+Summary!$B$14+Artifacts!$B$32),100)/100)+M13*(MIN((Inputs!$B$9+Summary!$B$14+Artifacts!$B$32),100)/100)</f>
        <v/>
      </c>
      <c r="O13">
        <f>(1-Summary!$B$11)*T13+Summary!$B$11*V13</f>
        <v/>
      </c>
      <c r="P13">
        <f>IF(Summary!$B$3=0,0,O13/Summary!$B$3)</f>
        <v/>
      </c>
      <c r="Q13">
        <f>IFERROR(1/(IF(Inputs!$B$38="pvp",15,MAX(0.1,Skills!D13-IF(TRUE=TRUE,Inputs!$B$32,0)))*(1-IF(AND(ArtifactsInput!$M$27,Inputs!$B$4="Chapter Hunt"),CHOOSE(ArtifactsInput!$N$27+1,20,24,28,32,36,40),0)/100)),0)</f>
        <v/>
      </c>
      <c r="R13">
        <f>IF(AND(Inputs!$B$38&lt;&gt;"pvp",Inputs!$B$43&gt;0),IF(MAX(0,Inputs!$B$43-Summary!$B$23)&lt;=0,0,(INT(MAX(0,Inputs!$B$43-Summary!$B$23)/(IF(Inputs!$B$38="pvp",15,MAX(0.1,Skills!D13-IF(TRUE=TRUE,Inputs!$B$32,0)))*(1-IF(AND(ArtifactsInput!$M$27,Inputs!$B$4="Chapter Hunt"),CHOOSE(ArtifactsInput!$N$27+1,20,24,28,32,36,40),0)/100)))+1)),0)</f>
        <v/>
      </c>
      <c r="S13">
        <f>IFERROR(O13/N13,0)</f>
        <v/>
      </c>
      <c r="T13">
        <f>IF(C13,(H13*N13*IF(AND(Inputs!$B$38&lt;&gt;"pvp",Inputs!$B$43&gt;0),((Skills!G13*((R13-1)*IF(Skills!H13&gt;0,INT(Skills!I13/Skills!H13+0.000000001),1)+IF(Skills!H13&gt;0,INT(MIN(Skills!I13,MAX(0,MAX(0,Inputs!$B$43-Summary!$B$23)-((R13-1)*(IF(Inputs!$B$38="pvp",15,MAX(0.1,Skills!D13-IF(TRUE=TRUE,Inputs!$B$32,0)))*(1-IF(AND(ArtifactsInput!$M$27,Inputs!$B$4="Chapter Hunt"),CHOOSE(ArtifactsInput!$N$27+1,20,24,28,32,36,40),0)/100)))))/Skills!H13+0.000000001),1)))/Inputs!$B$43),G13*Q13))*IF(Inputs!$B$38="pvp",1,1+(Inputs!$B$20+Skills!P13+Summary!$B$15+Artifacts!$B$35)/100)*((((5000/(6000+Inputs!$B$42*(1-(100*(1-(1-Inputs!$B$19/100)*(1-Artifacts!$B$51/100)^IF(Inputs!$B$38="pvp",1,2)))/100)))/(5000/(6000+Inputs!$B$42*(1-Inputs!$B$19/100))))*((L13*(1-MIN(100,(Inputs!$B$9+Summary!$B$14+Artifacts!$B$32)+Artifacts!$B$69)/100)+M13*(MIN(100,(Inputs!$B$9+Summary!$B$14+Artifacts!$B$32)+Artifacts!$B$69)/100))/(L13*(1-MIN(100,(Inputs!$B$9+Summary!$B$14+Artifacts!$B$32))/100)+M13*(MIN(100,(Inputs!$B$9+Summary!$B$14+Artifacts!$B$32))/100)))*(1+Artifacts!$B$81/100))),0)</f>
        <v/>
      </c>
      <c r="V13">
        <f>IF(C13,(H13*N13*IF(AND(Inputs!$B$38&lt;&gt;"pvp",Inputs!$B$43&gt;0),((Skills!G13*((R13-1)*IF(Skills!H13&gt;0,INT(Skills!I13/Skills!H13+0.000000001),1)+IF(Skills!H13&gt;0,INT(MIN(Skills!I13,MAX(0,MAX(0,Inputs!$B$43-Summary!$B$23)-((R13-1)*(IF(Inputs!$B$38="pvp",15,MAX(0.1,Skills!D13-IF(TRUE=TRUE,Inputs!$B$32,0)))*(1-IF(AND(ArtifactsInput!$M$27,Inputs!$B$4="Chapter Hunt"),CHOOSE(ArtifactsInput!$N$27+1,20,24,28,32,36,40),0)/100)))))/Skills!H13+0.000000001),1)))/Inputs!$B$43),G13*Q13))*IF(Inputs!$B$38="pvp",1,(1+(Inputs!$B$21+Skills!Q13+Summary!$B$15+Artifacts!$B$80)/100)*(MIN(Skills!R13,Inputs!$B$37)))*((1+Artifacts!$B$53/100)),0)</f>
        <v/>
      </c>
    </row>
    <row r="14">
      <c r="A14">
        <f>Skills!A14</f>
        <v/>
      </c>
      <c r="B14">
        <f>Skills!B14</f>
        <v/>
      </c>
      <c r="C14">
        <f>Inputs!$B$3&gt;=120</f>
        <v/>
      </c>
      <c r="D14">
        <f>IF(Skills!C14=1,60+Inputs!$B$25+Inputs!$B$29,IF(Skills!C14=2,90+Inputs!$B$26+Inputs!$B$29,IF(Skills!C14=3,120+Inputs!$B$27+Inputs!$B$29,MAX(0,(Inputs!$B$3-100)*3)+Inputs!$B$28+Inputs!$B$29)))</f>
        <v/>
      </c>
      <c r="E14">
        <f>INDEX(FactorTable!$B$2:$Y$301, MATCH(ROUND(MIN(300,MAX(1,D14)),0), FactorTable!$A$2:$A$301,0), Skills!M14+1)</f>
        <v/>
      </c>
      <c r="F14">
        <f>IF(Skills!N14=TRUE,(Skills!L14/10)*(E14/1000),Skills!L14/10)+Skills!O14</f>
        <v/>
      </c>
      <c r="G14">
        <f>Skills!G14*IF(Skills!H14&gt;0,INT(IF(Inputs!$B$38="pvp",MIN(Skills!I14,15),Skills!I14)/Skills!H14+0.000000001),1)</f>
        <v/>
      </c>
      <c r="H14">
        <f>1-(1-Skills!J14/100)^Skills!K14</f>
        <v/>
      </c>
      <c r="I14" t="inlineStr">
        <is>
          <t>1</t>
        </is>
      </c>
      <c r="J14">
        <f>Summary!$B$6*(F14/100)</f>
        <v/>
      </c>
      <c r="K14">
        <f>J14*(1+Summary!$B$7/100)*(1+Inputs!$B$15/100)*(1+Inputs!$B$16/100)*(5000/(6000+Inputs!$B$42*(1-Inputs!$B$19/100)))*(1+(Inputs!$B$24+Summary!$B$21)/100)*(1+Artifacts!$B$34/100)*(1+(IF(Skills!A14="EIGHT_LEGS_EASTON",Inputs!$B$17+Artifacts!$B$40,Inputs!$B$18+Artifacts!$B$39))/100)*(Summary!$B$13*(1+Artifacts!$B$38/100)*I14)</f>
        <v/>
      </c>
      <c r="L14">
        <f>K14*(MIN(Inputs!$B$22,Inputs!$B$23)/100+Inputs!$B$23/100)/2</f>
        <v/>
      </c>
      <c r="M14">
        <f>L14*(1+(Inputs!$B$10+Summary!$B$20+Artifacts!$B$33)/100)</f>
        <v/>
      </c>
      <c r="N14">
        <f>L14*(1-MIN((Inputs!$B$9+Summary!$B$14+Artifacts!$B$32),100)/100)+M14*(MIN((Inputs!$B$9+Summary!$B$14+Artifacts!$B$32),100)/100)</f>
        <v/>
      </c>
      <c r="O14">
        <f>(1-Summary!$B$11)*T14+Summary!$B$11*V14</f>
        <v/>
      </c>
      <c r="P14">
        <f>IF(Summary!$B$3=0,0,O14/Summary!$B$3)</f>
        <v/>
      </c>
      <c r="Q14" t="n">
        <v>0</v>
      </c>
      <c r="R14" t="n">
        <v>0</v>
      </c>
      <c r="S14">
        <f>IFERROR(O14/N14,0)</f>
        <v/>
      </c>
      <c r="T14">
        <f>IF(C14,((H14*(Summary!$B$19+IF(AND(Inputs!$B$38&lt;&gt;"pvp",Inputs!$B$43&gt;0),((Skills!G8*((R8-1)*IF(Skills!H8&gt;0,INT(Skills!I8/Skills!H8+0.000000001),1)+IF(Skills!H8&gt;0,INT(MIN(Skills!I8,MAX(0,MAX(0,Inputs!$B$43-Summary!$B$23)-((R8-1)*((IF(Inputs!$B$38="pvp",15,MAX(0.1,Skills!D8-IF(TRUE=TRUE,Inputs!$B$32,0)))*(1-IF(AND(ArtifactsInput!$M$27,Inputs!$B$4="Chapter Hunt"),CHOOSE(ArtifactsInput!$N$27+1,20,24,28,32,36,40),0)/100))/Summary!$B$26))))/Skills!H8+0.000000001),1)))/Inputs!$B$43),G8*Q8)+IF(AND(Inputs!$B$38&lt;&gt;"pvp",Inputs!$B$43&gt;0),((Skills!G11*((R11-1)*IF(Skills!H11&gt;0,INT(Skills!I11/Skills!H11+0.000000001),1)+IF(Skills!H11&gt;0,INT(MIN(Skills!I11,MAX(0,MAX(0,Inputs!$B$43-Summary!$B$23)-((R11-1)*((IF(Inputs!$B$38="pvp",15,MAX(0.1,Skills!D11-IF(TRUE=TRUE,Inputs!$B$32,0)))*(1-IF(AND(ArtifactsInput!$M$27,Inputs!$B$4="Chapter Hunt"),CHOOSE(ArtifactsInput!$N$27+1,20,24,28,32,36,40),0)/100))/Summary!$B$26))))/Skills!H11+0.000000001),1)))/Inputs!$B$43),G11*Q11)))/(1+Skills!H14*H14*(Summary!$B$19+IF(AND(Inputs!$B$38&lt;&gt;"pvp",Inputs!$B$43&gt;0),((Skills!G8*((R8-1)*IF(Skills!H8&gt;0,INT(Skills!I8/Skills!H8+0.000000001),1)+IF(Skills!H8&gt;0,INT(MIN(Skills!I8,MAX(0,MAX(0,Inputs!$B$43-Summary!$B$23)-((R8-1)*((IF(Inputs!$B$38="pvp",15,MAX(0.1,Skills!D8-IF(TRUE=TRUE,Inputs!$B$32,0)))*(1-IF(AND(ArtifactsInput!$M$27,Inputs!$B$4="Chapter Hunt"),CHOOSE(ArtifactsInput!$N$27+1,20,24,28,32,36,40),0)/100))/Summary!$B$26))))/Skills!H8+0.000000001),1)))/Inputs!$B$43),G8*Q8)+IF(AND(Inputs!$B$38&lt;&gt;"pvp",Inputs!$B$43&gt;0),((Skills!G11*((R11-1)*IF(Skills!H11&gt;0,INT(Skills!I11/Skills!H11+0.000000001),1)+IF(Skills!H11&gt;0,INT(MIN(Skills!I11,MAX(0,MAX(0,Inputs!$B$43-Summary!$B$23)-((R11-1)*((IF(Inputs!$B$38="pvp",15,MAX(0.1,Skills!D11-IF(TRUE=TRUE,Inputs!$B$32,0)))*(1-IF(AND(ArtifactsInput!$M$27,Inputs!$B$4="Chapter Hunt"),CHOOSE(ArtifactsInput!$N$27+1,20,24,28,32,36,40),0)/100))/Summary!$B$26))))/Skills!H11+0.000000001),1)))/Inputs!$B$43),G11*Q11)))*N14)*IF(Inputs!$B$38="pvp",1,1+(Inputs!$B$20+Skills!P14+Summary!$B$15+Artifacts!$B$35)/100)*((((5000/(6000+Inputs!$B$42*(1-(100*(1-(1-Inputs!$B$19/100)*(1-Artifacts!$B$51/100)^IF(Inputs!$B$38="pvp",1,2)))/100)))/(5000/(6000+Inputs!$B$42*(1-Inputs!$B$19/100))))*((L14*(1-MIN(100,(Inputs!$B$9+Summary!$B$14+Artifacts!$B$32)+Artifacts!$B$69)/100)+M14*(MIN(100,(Inputs!$B$9+Summary!$B$14+Artifacts!$B$32)+Artifacts!$B$69)/100))/(L14*(1-MIN(100,(Inputs!$B$9+Summary!$B$14+Artifacts!$B$32))/100)+M14*(MIN(100,(Inputs!$B$9+Summary!$B$14+Artifacts!$B$32))/100)))*(1+Artifacts!$B$81/100))),0)</f>
        <v/>
      </c>
      <c r="V14">
        <f>IF(C14,((H14*(Summary!$B$19+IF(AND(Inputs!$B$38&lt;&gt;"pvp",Inputs!$B$43&gt;0),((Skills!G8*((R8-1)*IF(Skills!H8&gt;0,INT(Skills!I8/Skills!H8+0.000000001),1)+IF(Skills!H8&gt;0,INT(MIN(Skills!I8,MAX(0,MAX(0,Inputs!$B$43-Summary!$B$23)-((R8-1)*((IF(Inputs!$B$38="pvp",15,MAX(0.1,Skills!D8-IF(TRUE=TRUE,Inputs!$B$32,0)))*(1-IF(AND(ArtifactsInput!$M$27,Inputs!$B$4="Chapter Hunt"),CHOOSE(ArtifactsInput!$N$27+1,20,24,28,32,36,40),0)/100))/Summary!$B$26))))/Skills!H8+0.000000001),1)))/Inputs!$B$43),G8*Q8)+IF(AND(Inputs!$B$38&lt;&gt;"pvp",Inputs!$B$43&gt;0),((Skills!G11*((R11-1)*IF(Skills!H11&gt;0,INT(Skills!I11/Skills!H11+0.000000001),1)+IF(Skills!H11&gt;0,INT(MIN(Skills!I11,MAX(0,MAX(0,Inputs!$B$43-Summary!$B$23)-((R11-1)*((IF(Inputs!$B$38="pvp",15,MAX(0.1,Skills!D11-IF(TRUE=TRUE,Inputs!$B$32,0)))*(1-IF(AND(ArtifactsInput!$M$27,Inputs!$B$4="Chapter Hunt"),CHOOSE(ArtifactsInput!$N$27+1,20,24,28,32,36,40),0)/100))/Summary!$B$26))))/Skills!H11+0.000000001),1)))/Inputs!$B$43),G11*Q11)))/(1+Skills!H14*H14*(Summary!$B$19+IF(AND(Inputs!$B$38&lt;&gt;"pvp",Inputs!$B$43&gt;0),((Skills!G8*((R8-1)*IF(Skills!H8&gt;0,INT(Skills!I8/Skills!H8+0.000000001),1)+IF(Skills!H8&gt;0,INT(MIN(Skills!I8,MAX(0,MAX(0,Inputs!$B$43-Summary!$B$23)-((R8-1)*((IF(Inputs!$B$38="pvp",15,MAX(0.1,Skills!D8-IF(TRUE=TRUE,Inputs!$B$32,0)))*(1-IF(AND(ArtifactsInput!$M$27,Inputs!$B$4="Chapter Hunt"),CHOOSE(ArtifactsInput!$N$27+1,20,24,28,32,36,40),0)/100))/Summary!$B$26))))/Skills!H8+0.000000001),1)))/Inputs!$B$43),G8*Q8)+IF(AND(Inputs!$B$38&lt;&gt;"pvp",Inputs!$B$43&gt;0),((Skills!G11*((R11-1)*IF(Skills!H11&gt;0,INT(Skills!I11/Skills!H11+0.000000001),1)+IF(Skills!H11&gt;0,INT(MIN(Skills!I11,MAX(0,MAX(0,Inputs!$B$43-Summary!$B$23)-((R11-1)*((IF(Inputs!$B$38="pvp",15,MAX(0.1,Skills!D11-IF(TRUE=TRUE,Inputs!$B$32,0)))*(1-IF(AND(ArtifactsInput!$M$27,Inputs!$B$4="Chapter Hunt"),CHOOSE(ArtifactsInput!$N$27+1,20,24,28,32,36,40),0)/100))/Summary!$B$26))))/Skills!H11+0.000000001),1)))/Inputs!$B$43),G11*Q11)))*N14)*IF(Inputs!$B$38="pvp",1,(1+(Inputs!$B$21+Skills!Q14+Summary!$B$15+Artifacts!$B$80)/100)*(MIN(Skills!R14,Inputs!$B$37)))*((1+Artifacts!$B$53/100)),0)</f>
        <v/>
      </c>
    </row>
    <row r="15">
      <c r="A15">
        <f>Skills!A15</f>
        <v/>
      </c>
      <c r="B15">
        <f>Skills!B15</f>
        <v/>
      </c>
      <c r="C15">
        <f>Inputs!$B$3&gt;=100</f>
        <v/>
      </c>
      <c r="D15">
        <f>IF(Skills!C15=1,60+Inputs!$B$25+Inputs!$B$29,IF(Skills!C15=2,90+Inputs!$B$26+Inputs!$B$29,IF(Skills!C15=3,120+Inputs!$B$27+Inputs!$B$29,MAX(0,(Inputs!$B$3-100)*3)+Inputs!$B$28+Inputs!$B$29)))</f>
        <v/>
      </c>
      <c r="E15">
        <f>INDEX(FactorTable!$B$2:$Y$301, MATCH(ROUND(MIN(300,MAX(1,D15)),0), FactorTable!$A$2:$A$301,0), Skills!M15+1)</f>
        <v/>
      </c>
      <c r="F15">
        <f>IF(Skills!N15=TRUE,(Skills!L15/10)*(E15/1000),Skills!L15/10)+Skills!O15</f>
        <v/>
      </c>
      <c r="G15" t="inlineStr"/>
      <c r="H15" t="inlineStr"/>
      <c r="I15" t="inlineStr">
        <is>
          <t>1</t>
        </is>
      </c>
      <c r="J15" t="inlineStr"/>
      <c r="K15" t="inlineStr"/>
      <c r="L15" t="inlineStr"/>
      <c r="M15" t="inlineStr"/>
      <c r="N15" t="inlineStr"/>
      <c r="O15" t="inlineStr"/>
      <c r="P15" t="inlineStr"/>
      <c r="Q15" t="inlineStr"/>
      <c r="R15" t="inlineStr"/>
      <c r="S15" t="inlineStr"/>
    </row>
    <row r="16">
      <c r="A16">
        <f>Skills!A16</f>
        <v/>
      </c>
      <c r="B16">
        <f>Skills!B16</f>
        <v/>
      </c>
      <c r="C16">
        <f>Inputs!$B$3&gt;=107</f>
        <v/>
      </c>
      <c r="D16">
        <f>IF(Skills!C16=1,60+Inputs!$B$25+Inputs!$B$29,IF(Skills!C16=2,90+Inputs!$B$26+Inputs!$B$29,IF(Skills!C16=3,120+Inputs!$B$27+Inputs!$B$29,MAX(0,(Inputs!$B$3-100)*3)+Inputs!$B$28+Inputs!$B$29)))</f>
        <v/>
      </c>
      <c r="E16">
        <f>INDEX(FactorTable!$B$2:$Y$301, MATCH(ROUND(MIN(300,MAX(1,D16)),0), FactorTable!$A$2:$A$301,0), Skills!M16+1)</f>
        <v/>
      </c>
      <c r="F16">
        <f>IF(Skills!N16=TRUE,(Skills!L16/10)*(E16/1000),Skills!L16/10)+Skills!O16</f>
        <v/>
      </c>
      <c r="G16" t="inlineStr"/>
      <c r="H16" t="inlineStr"/>
      <c r="I16" t="inlineStr">
        <is>
          <t>1</t>
        </is>
      </c>
      <c r="J16" t="inlineStr"/>
      <c r="K16" t="inlineStr"/>
      <c r="L16" t="inlineStr"/>
      <c r="M16" t="inlineStr"/>
      <c r="N16" t="inlineStr"/>
      <c r="O16" t="inlineStr"/>
      <c r="P16" t="inlineStr"/>
      <c r="Q16" t="inlineStr"/>
      <c r="R16" t="inlineStr"/>
      <c r="S16" t="inlineStr"/>
    </row>
    <row r="17">
      <c r="A17">
        <f>Skills!A17</f>
        <v/>
      </c>
      <c r="B17">
        <f>Skills!B17</f>
        <v/>
      </c>
      <c r="C17">
        <f>Inputs!$B$3&gt;=74</f>
        <v/>
      </c>
      <c r="D17">
        <f>IF(Skills!C17=1,60+Inputs!$B$25+Inputs!$B$29,IF(Skills!C17=2,90+Inputs!$B$26+Inputs!$B$29,IF(Skills!C17=3,120+Inputs!$B$27+Inputs!$B$29,MAX(0,(Inputs!$B$3-100)*3)+Inputs!$B$28+Inputs!$B$29)))</f>
        <v/>
      </c>
      <c r="E17">
        <f>INDEX(FactorTable!$B$2:$Y$301, MATCH(ROUND(MIN(300,MAX(1,D17)),0), FactorTable!$A$2:$A$301,0), Skills!M17+1)</f>
        <v/>
      </c>
      <c r="F17">
        <f>IF(Skills!N17=TRUE,(Skills!L17/10)*(E17/1000),Skills!L17/10)+Skills!O17</f>
        <v/>
      </c>
      <c r="G17">
        <f>Skills!G17*IF(Skills!H17&gt;0,INT(IF(Inputs!$B$38="pvp",MIN(Skills!I17,15),Skills!I17)/Skills!H17+0.000000001),1)</f>
        <v/>
      </c>
      <c r="H17">
        <f>1-(1-Skills!J17/100)^Skills!K17</f>
        <v/>
      </c>
      <c r="I17" t="inlineStr">
        <is>
          <t>1</t>
        </is>
      </c>
      <c r="J17" t="inlineStr"/>
      <c r="K17" t="inlineStr"/>
      <c r="L17" t="inlineStr"/>
      <c r="M17" t="inlineStr"/>
      <c r="N17" t="inlineStr"/>
      <c r="O17">
        <f>(1-Summary!$B$11)*T17+Summary!$B$11*V17</f>
        <v/>
      </c>
      <c r="P17">
        <f>IF(Summary!$B$3=0,0,O17/Summary!$B$3)</f>
        <v/>
      </c>
      <c r="Q17" t="n">
        <v>0</v>
      </c>
      <c r="R17" t="n">
        <v>0</v>
      </c>
      <c r="S17">
        <f>IFERROR(O17/N17,0)</f>
        <v/>
      </c>
      <c r="T17" t="n">
        <v>0</v>
      </c>
      <c r="V17" t="n">
        <v>0</v>
      </c>
    </row>
    <row r="18">
      <c r="A18">
        <f>Skills!A18</f>
        <v/>
      </c>
      <c r="B18">
        <f>Skills!B18</f>
        <v/>
      </c>
      <c r="C18">
        <f>Inputs!$B$3&gt;=115</f>
        <v/>
      </c>
      <c r="D18">
        <f>IF(Skills!C18=1,60+Inputs!$B$25+Inputs!$B$29,IF(Skills!C18=2,90+Inputs!$B$26+Inputs!$B$29,IF(Skills!C18=3,120+Inputs!$B$27+Inputs!$B$29,MAX(0,(Inputs!$B$3-100)*3)+Inputs!$B$28+Inputs!$B$29)))</f>
        <v/>
      </c>
      <c r="E18">
        <f>INDEX(FactorTable!$B$2:$Y$301, MATCH(ROUND(MIN(300,MAX(1,D18)),0), FactorTable!$A$2:$A$301,0), Skills!M18+1)</f>
        <v/>
      </c>
      <c r="F18">
        <f>IF(Skills!N18=TRUE,(Skills!L18/10)*(E18/1000),Skills!L18/10)+Skills!O18</f>
        <v/>
      </c>
      <c r="G18">
        <f>Skills!G18*IF(Skills!H18&gt;0,INT(IF(Inputs!$B$38="pvp",MIN(Skills!I18,15),Skills!I18)/Skills!H18+0.000000001),1)</f>
        <v/>
      </c>
      <c r="H18">
        <f>1-(1-Skills!J18/100)^Skills!K18</f>
        <v/>
      </c>
      <c r="I18" t="inlineStr">
        <is>
          <t>1</t>
        </is>
      </c>
      <c r="J18" t="inlineStr"/>
      <c r="K18" t="inlineStr"/>
      <c r="L18" t="inlineStr"/>
      <c r="M18" t="inlineStr"/>
      <c r="N18" t="inlineStr"/>
      <c r="O18">
        <f>(1-Summary!$B$11)*T18+Summary!$B$11*V18</f>
        <v/>
      </c>
      <c r="P18">
        <f>IF(Summary!$B$3=0,0,O18/Summary!$B$3)</f>
        <v/>
      </c>
      <c r="Q18">
        <f>IFERROR(1/(IF(Inputs!$B$38="pvp",15,MAX(0.1,Skills!D18-IF(TRUE=TRUE,Inputs!$B$32,0)))*(1-IF(AND(ArtifactsInput!$M$27,Inputs!$B$4="Chapter Hunt"),CHOOSE(ArtifactsInput!$N$27+1,20,24,28,32,36,40),0)/100)),0)</f>
        <v/>
      </c>
      <c r="R18">
        <f>IF(AND(Inputs!$B$38&lt;&gt;"pvp",Inputs!$B$43&gt;0),IF(Inputs!$B$43&lt;=0,0,(INT(Inputs!$B$43/(IF(Inputs!$B$38="pvp",15,MAX(0.1,Skills!D18-IF(TRUE=TRUE,Inputs!$B$32,0)))*(1-IF(AND(ArtifactsInput!$M$27,Inputs!$B$4="Chapter Hunt"),CHOOSE(ArtifactsInput!$N$27+1,20,24,28,32,36,40),0)/100)))+1)),0)</f>
        <v/>
      </c>
      <c r="S18">
        <f>IFERROR(O18/N18,0)</f>
        <v/>
      </c>
      <c r="T18" t="n">
        <v>0</v>
      </c>
      <c r="V18" t="n">
        <v>0</v>
      </c>
    </row>
    <row r="19">
      <c r="A19">
        <f>Skills!A19</f>
        <v/>
      </c>
      <c r="B19">
        <f>Skills!B19</f>
        <v/>
      </c>
      <c r="C19">
        <f>Inputs!$B$3&gt;=10</f>
        <v/>
      </c>
      <c r="D19">
        <f>IF(Skills!C19=1,60+Inputs!$B$25+Inputs!$B$29,IF(Skills!C19=2,90+Inputs!$B$26+Inputs!$B$29,IF(Skills!C19=3,120+Inputs!$B$27+Inputs!$B$29,MAX(0,(Inputs!$B$3-100)*3)+Inputs!$B$28+Inputs!$B$29)))</f>
        <v/>
      </c>
      <c r="E19">
        <f>INDEX(FactorTable!$B$2:$Y$301, MATCH(ROUND(MIN(300,MAX(1,D19)),0), FactorTable!$A$2:$A$301,0), Skills!M19+1)</f>
        <v/>
      </c>
      <c r="F19">
        <f>IF(Skills!N19=TRUE,(Skills!L19/10)*(E19/1000),Skills!L19/10)+Skills!O19</f>
        <v/>
      </c>
      <c r="G19">
        <f>Skills!G19*IF(Skills!H19&gt;0,INT(IF(Inputs!$B$38="pvp",MIN(Skills!I19,15),Skills!I19)/Skills!H19+0.000000001),1)</f>
        <v/>
      </c>
      <c r="H19">
        <f>1-(1-Skills!J19/100)^Skills!K19</f>
        <v/>
      </c>
      <c r="I19" t="inlineStr">
        <is>
          <t>1</t>
        </is>
      </c>
      <c r="J19" t="inlineStr"/>
      <c r="K19" t="inlineStr"/>
      <c r="L19" t="inlineStr"/>
      <c r="M19" t="inlineStr"/>
      <c r="N19" t="inlineStr"/>
      <c r="O19">
        <f>(1-Summary!$B$11)*T19+Summary!$B$11*V19</f>
        <v/>
      </c>
      <c r="P19">
        <f>IF(Summary!$B$3=0,0,O19/Summary!$B$3)</f>
        <v/>
      </c>
      <c r="Q19" t="n">
        <v>0</v>
      </c>
      <c r="R19" t="n">
        <v>0</v>
      </c>
      <c r="S19">
        <f>IFERROR(O19/N19,0)</f>
        <v/>
      </c>
      <c r="T19" t="n">
        <v>0</v>
      </c>
      <c r="V19" t="n">
        <v>0</v>
      </c>
    </row>
    <row r="20">
      <c r="A20">
        <f>Skills!A20</f>
        <v/>
      </c>
      <c r="B20">
        <f>Skills!B20</f>
        <v/>
      </c>
      <c r="C20">
        <f>Inputs!$B$3&gt;=15</f>
        <v/>
      </c>
      <c r="D20">
        <f>IF(Skills!C20=1,60+Inputs!$B$25+Inputs!$B$29,IF(Skills!C20=2,90+Inputs!$B$26+Inputs!$B$29,IF(Skills!C20=3,120+Inputs!$B$27+Inputs!$B$29,MAX(0,(Inputs!$B$3-100)*3)+Inputs!$B$28+Inputs!$B$29)))</f>
        <v/>
      </c>
      <c r="E20">
        <f>INDEX(FactorTable!$B$2:$Y$301, MATCH(ROUND(MIN(300,MAX(1,D20)),0), FactorTable!$A$2:$A$301,0), Skills!M20+1)</f>
        <v/>
      </c>
      <c r="F20">
        <f>IF(Skills!N20=TRUE,(Skills!L20/10)*(E20/1000),Skills!L20/10)+Skills!O20</f>
        <v/>
      </c>
      <c r="G20">
        <f>Skills!G20*IF(Skills!H20&gt;0,INT(IF(Inputs!$B$38="pvp",MIN(Skills!I20,15),Skills!I20)/Skills!H20+0.000000001),1)</f>
        <v/>
      </c>
      <c r="H20">
        <f>1-(1-Skills!J20/100)^Skills!K20</f>
        <v/>
      </c>
      <c r="I20" t="inlineStr">
        <is>
          <t>1</t>
        </is>
      </c>
      <c r="J20" t="inlineStr"/>
      <c r="K20" t="inlineStr"/>
      <c r="L20" t="inlineStr"/>
      <c r="M20" t="inlineStr"/>
      <c r="N20" t="inlineStr"/>
      <c r="O20">
        <f>(1-Summary!$B$11)*T20+Summary!$B$11*V20</f>
        <v/>
      </c>
      <c r="P20">
        <f>IF(Summary!$B$3=0,0,O20/Summary!$B$3)</f>
        <v/>
      </c>
      <c r="Q20" t="n">
        <v>0</v>
      </c>
      <c r="R20" t="n">
        <v>0</v>
      </c>
      <c r="S20">
        <f>IFERROR(O20/N20,0)</f>
        <v/>
      </c>
      <c r="T20" t="n">
        <v>0</v>
      </c>
      <c r="V20" t="n">
        <v>0</v>
      </c>
    </row>
    <row r="21">
      <c r="A21">
        <f>Skills!A21</f>
        <v/>
      </c>
      <c r="B21">
        <f>Skills!B21</f>
        <v/>
      </c>
      <c r="C21">
        <f>Inputs!$B$3&gt;=40</f>
        <v/>
      </c>
      <c r="D21">
        <f>IF(Skills!C21=1,60+Inputs!$B$25+Inputs!$B$29,IF(Skills!C21=2,90+Inputs!$B$26+Inputs!$B$29,IF(Skills!C21=3,120+Inputs!$B$27+Inputs!$B$29,MAX(0,(Inputs!$B$3-100)*3)+Inputs!$B$28+Inputs!$B$29)))</f>
        <v/>
      </c>
      <c r="E21">
        <f>INDEX(FactorTable!$B$2:$Y$301, MATCH(ROUND(MIN(300,MAX(1,D21)),0), FactorTable!$A$2:$A$301,0), Skills!M21+1)</f>
        <v/>
      </c>
      <c r="F21">
        <f>IF(Skills!N21=TRUE,(Skills!L21/10)*(E21/1000),Skills!L21/10)+Skills!O21</f>
        <v/>
      </c>
      <c r="G21">
        <f>Skills!G21*IF(Skills!H21&gt;0,INT(IF(Inputs!$B$38="pvp",MIN(Skills!I21,15),Skills!I21)/Skills!H21+0.000000001),1)</f>
        <v/>
      </c>
      <c r="H21">
        <f>1-(1-Skills!J21/100)^Skills!K21</f>
        <v/>
      </c>
      <c r="I21" t="inlineStr">
        <is>
          <t>1</t>
        </is>
      </c>
      <c r="J21" t="inlineStr"/>
      <c r="K21" t="inlineStr"/>
      <c r="L21" t="inlineStr"/>
      <c r="M21" t="inlineStr"/>
      <c r="N21" t="inlineStr"/>
      <c r="O21">
        <f>(1-Summary!$B$11)*T21+Summary!$B$11*V21</f>
        <v/>
      </c>
      <c r="P21">
        <f>IF(Summary!$B$3=0,0,O21/Summary!$B$3)</f>
        <v/>
      </c>
      <c r="Q21" t="n">
        <v>0</v>
      </c>
      <c r="R21" t="n">
        <v>0</v>
      </c>
      <c r="S21">
        <f>IFERROR(O21/N21,0)</f>
        <v/>
      </c>
      <c r="T21" t="n">
        <v>0</v>
      </c>
      <c r="V21" t="n">
        <v>0</v>
      </c>
    </row>
    <row r="22">
      <c r="A22">
        <f>Skills!A22</f>
        <v/>
      </c>
      <c r="B22">
        <f>Skills!B22</f>
        <v/>
      </c>
      <c r="C22">
        <f>Inputs!$B$3&gt;=43</f>
        <v/>
      </c>
      <c r="D22">
        <f>IF(Skills!C22=1,60+Inputs!$B$25+Inputs!$B$29,IF(Skills!C22=2,90+Inputs!$B$26+Inputs!$B$29,IF(Skills!C22=3,120+Inputs!$B$27+Inputs!$B$29,MAX(0,(Inputs!$B$3-100)*3)+Inputs!$B$28+Inputs!$B$29)))</f>
        <v/>
      </c>
      <c r="E22">
        <f>INDEX(FactorTable!$B$2:$Y$301, MATCH(ROUND(MIN(300,MAX(1,D22)),0), FactorTable!$A$2:$A$301,0), Skills!M22+1)</f>
        <v/>
      </c>
      <c r="F22">
        <f>IF(Skills!N22=TRUE,(Skills!L22/10)*(E22/1000),Skills!L22/10)+Skills!O22</f>
        <v/>
      </c>
      <c r="G22">
        <f>Skills!G22*IF(Skills!H22&gt;0,INT(IF(Inputs!$B$38="pvp",MIN(Skills!I22,15),Skills!I22)/Skills!H22+0.000000001),1)</f>
        <v/>
      </c>
      <c r="H22">
        <f>1-(1-Skills!J22/100)^Skills!K22</f>
        <v/>
      </c>
      <c r="I22" t="inlineStr">
        <is>
          <t>1</t>
        </is>
      </c>
      <c r="J22" t="inlineStr"/>
      <c r="K22" t="inlineStr"/>
      <c r="L22" t="inlineStr"/>
      <c r="M22" t="inlineStr"/>
      <c r="N22" t="inlineStr"/>
      <c r="O22">
        <f>(1-Summary!$B$11)*T22+Summary!$B$11*V22</f>
        <v/>
      </c>
      <c r="P22">
        <f>IF(Summary!$B$3=0,0,O22/Summary!$B$3)</f>
        <v/>
      </c>
      <c r="Q22" t="n">
        <v>0</v>
      </c>
      <c r="R22" t="n">
        <v>0</v>
      </c>
      <c r="S22">
        <f>IFERROR(O22/N22,0)</f>
        <v/>
      </c>
      <c r="T22" t="n">
        <v>0</v>
      </c>
      <c r="V22" t="n">
        <v>0</v>
      </c>
    </row>
    <row r="23">
      <c r="A23">
        <f>Skills!A23</f>
        <v/>
      </c>
      <c r="B23">
        <f>Skills!B23</f>
        <v/>
      </c>
      <c r="C23">
        <f>Inputs!$B$3&gt;=38</f>
        <v/>
      </c>
      <c r="D23">
        <f>IF(Skills!C23=1,60+Inputs!$B$25+Inputs!$B$29,IF(Skills!C23=2,90+Inputs!$B$26+Inputs!$B$29,IF(Skills!C23=3,120+Inputs!$B$27+Inputs!$B$29,MAX(0,(Inputs!$B$3-100)*3)+Inputs!$B$28+Inputs!$B$29)))</f>
        <v/>
      </c>
      <c r="E23">
        <f>INDEX(FactorTable!$B$2:$Y$301, MATCH(ROUND(MIN(300,MAX(1,D23)),0), FactorTable!$A$2:$A$301,0), Skills!M23+1)</f>
        <v/>
      </c>
      <c r="F23">
        <f>IF(Skills!N23=TRUE,(Skills!L23/10)*(E23/1000),Skills!L23/10)+Skills!O23</f>
        <v/>
      </c>
      <c r="G23">
        <f>Skills!G23*IF(Skills!H23&gt;0,INT(IF(Inputs!$B$38="pvp",MIN(Skills!I23,15),Skills!I23)/Skills!H23+0.000000001),1)</f>
        <v/>
      </c>
      <c r="H23">
        <f>1-(1-Skills!J23/100)^Skills!K23</f>
        <v/>
      </c>
      <c r="I23" t="inlineStr">
        <is>
          <t>1</t>
        </is>
      </c>
      <c r="J23" t="inlineStr"/>
      <c r="K23" t="inlineStr"/>
      <c r="L23" t="inlineStr"/>
      <c r="M23" t="inlineStr"/>
      <c r="N23" t="inlineStr"/>
      <c r="O23">
        <f>(1-Summary!$B$11)*T23+Summary!$B$11*V23</f>
        <v/>
      </c>
      <c r="P23">
        <f>IF(Summary!$B$3=0,0,O23/Summary!$B$3)</f>
        <v/>
      </c>
      <c r="Q23" t="n">
        <v>0</v>
      </c>
      <c r="R23" t="n">
        <v>0</v>
      </c>
      <c r="S23">
        <f>IFERROR(O23/N23,0)</f>
        <v/>
      </c>
      <c r="T23" t="n">
        <v>0</v>
      </c>
      <c r="V23" t="n">
        <v>0</v>
      </c>
    </row>
    <row r="24">
      <c r="A24">
        <f>Skills!A24</f>
        <v/>
      </c>
      <c r="B24">
        <f>Skills!B24</f>
        <v/>
      </c>
      <c r="C24">
        <f>Inputs!$B$3&gt;=45</f>
        <v/>
      </c>
      <c r="D24">
        <f>IF(Skills!C24=1,60+Inputs!$B$25+Inputs!$B$29,IF(Skills!C24=2,90+Inputs!$B$26+Inputs!$B$29,IF(Skills!C24=3,120+Inputs!$B$27+Inputs!$B$29,MAX(0,(Inputs!$B$3-100)*3)+Inputs!$B$28+Inputs!$B$29)))</f>
        <v/>
      </c>
      <c r="E24">
        <f>INDEX(FactorTable!$B$2:$Y$301, MATCH(ROUND(MIN(300,MAX(1,D24)),0), FactorTable!$A$2:$A$301,0), Skills!M24+1)</f>
        <v/>
      </c>
      <c r="F24">
        <f>IF(Skills!N24=TRUE,(Skills!L24/10)*(E24/1000),Skills!L24/10)+Skills!O24</f>
        <v/>
      </c>
      <c r="G24">
        <f>Skills!G24*IF(Skills!H24&gt;0,INT(IF(Inputs!$B$38="pvp",MIN(Skills!I24,15),Skills!I24)/Skills!H24+0.000000001),1)</f>
        <v/>
      </c>
      <c r="H24">
        <f>1-(1-Skills!J24/100)^Skills!K24</f>
        <v/>
      </c>
      <c r="I24" t="inlineStr">
        <is>
          <t>1</t>
        </is>
      </c>
      <c r="J24" t="inlineStr"/>
      <c r="K24" t="inlineStr"/>
      <c r="L24" t="inlineStr"/>
      <c r="M24" t="inlineStr"/>
      <c r="N24" t="inlineStr"/>
      <c r="O24">
        <f>(1-Summary!$B$11)*T24+Summary!$B$11*V24</f>
        <v/>
      </c>
      <c r="P24">
        <f>IF(Summary!$B$3=0,0,O24/Summary!$B$3)</f>
        <v/>
      </c>
      <c r="Q24" t="n">
        <v>0</v>
      </c>
      <c r="R24" t="n">
        <v>0</v>
      </c>
      <c r="S24">
        <f>IFERROR(O24/N24,0)</f>
        <v/>
      </c>
      <c r="T24" t="n">
        <v>0</v>
      </c>
      <c r="V24" t="n">
        <v>0</v>
      </c>
    </row>
    <row r="25">
      <c r="A25">
        <f>Skills!A25</f>
        <v/>
      </c>
      <c r="B25">
        <f>Skills!B25</f>
        <v/>
      </c>
      <c r="C25">
        <f>Inputs!$B$3&gt;=72</f>
        <v/>
      </c>
      <c r="D25">
        <f>IF(Skills!C25=1,60+Inputs!$B$25+Inputs!$B$29,IF(Skills!C25=2,90+Inputs!$B$26+Inputs!$B$29,IF(Skills!C25=3,120+Inputs!$B$27+Inputs!$B$29,MAX(0,(Inputs!$B$3-100)*3)+Inputs!$B$28+Inputs!$B$29)))</f>
        <v/>
      </c>
      <c r="E25">
        <f>INDEX(FactorTable!$B$2:$Y$301, MATCH(ROUND(MIN(300,MAX(1,D25)),0), FactorTable!$A$2:$A$301,0), Skills!M25+1)</f>
        <v/>
      </c>
      <c r="F25">
        <f>IF(Skills!N25=TRUE,(Skills!L25/10)*(E25/1000),Skills!L25/10)+Skills!O25</f>
        <v/>
      </c>
      <c r="G25">
        <f>Skills!G25*IF(Skills!H25&gt;0,INT(IF(Inputs!$B$38="pvp",MIN(Skills!I25,15),Skills!I25)/Skills!H25+0.000000001),1)</f>
        <v/>
      </c>
      <c r="H25">
        <f>1-(1-Skills!J25/100)^Skills!K25</f>
        <v/>
      </c>
      <c r="I25" t="inlineStr">
        <is>
          <t>1</t>
        </is>
      </c>
      <c r="J25" t="inlineStr"/>
      <c r="K25" t="inlineStr"/>
      <c r="L25" t="inlineStr"/>
      <c r="M25" t="inlineStr"/>
      <c r="N25" t="inlineStr"/>
      <c r="O25">
        <f>(1-Summary!$B$11)*T25+Summary!$B$11*V25</f>
        <v/>
      </c>
      <c r="P25">
        <f>IF(Summary!$B$3=0,0,O25/Summary!$B$3)</f>
        <v/>
      </c>
      <c r="Q25" t="n">
        <v>0</v>
      </c>
      <c r="R25" t="n">
        <v>0</v>
      </c>
      <c r="S25">
        <f>IFERROR(O25/N25,0)</f>
        <v/>
      </c>
      <c r="T25" t="n">
        <v>0</v>
      </c>
      <c r="V25" t="n">
        <v>0</v>
      </c>
    </row>
    <row r="26">
      <c r="A26">
        <f>Skills!A26</f>
        <v/>
      </c>
      <c r="B26">
        <f>Skills!B26</f>
        <v/>
      </c>
      <c r="C26">
        <f>Inputs!$B$3&gt;=75</f>
        <v/>
      </c>
      <c r="D26">
        <f>IF(Skills!C26=1,60+Inputs!$B$25+Inputs!$B$29,IF(Skills!C26=2,90+Inputs!$B$26+Inputs!$B$29,IF(Skills!C26=3,120+Inputs!$B$27+Inputs!$B$29,MAX(0,(Inputs!$B$3-100)*3)+Inputs!$B$28+Inputs!$B$29)))</f>
        <v/>
      </c>
      <c r="E26">
        <f>INDEX(FactorTable!$B$2:$Y$301, MATCH(ROUND(MIN(300,MAX(1,D26)),0), FactorTable!$A$2:$A$301,0), Skills!M26+1)</f>
        <v/>
      </c>
      <c r="F26">
        <f>IF(Skills!N26=TRUE,(Skills!L26/10)*(E26/1000),Skills!L26/10)+Skills!O26</f>
        <v/>
      </c>
      <c r="G26">
        <f>Skills!G26*IF(Skills!H26&gt;0,INT(IF(Inputs!$B$38="pvp",MIN(Skills!I26,15),Skills!I26)/Skills!H26+0.000000001),1)</f>
        <v/>
      </c>
      <c r="H26">
        <f>1-(1-Skills!J26/100)^Skills!K26</f>
        <v/>
      </c>
      <c r="I26" t="inlineStr">
        <is>
          <t>1</t>
        </is>
      </c>
      <c r="J26" t="inlineStr"/>
      <c r="K26" t="inlineStr"/>
      <c r="L26" t="inlineStr"/>
      <c r="M26" t="inlineStr"/>
      <c r="N26" t="inlineStr"/>
      <c r="O26">
        <f>(1-Summary!$B$11)*T26+Summary!$B$11*V26</f>
        <v/>
      </c>
      <c r="P26">
        <f>IF(Summary!$B$3=0,0,O26/Summary!$B$3)</f>
        <v/>
      </c>
      <c r="Q26" t="n">
        <v>0</v>
      </c>
      <c r="R26" t="n">
        <v>0</v>
      </c>
      <c r="S26">
        <f>IFERROR(O26/N26,0)</f>
        <v/>
      </c>
      <c r="T26" t="n">
        <v>0</v>
      </c>
      <c r="V26" t="n">
        <v>0</v>
      </c>
    </row>
    <row r="27">
      <c r="A27">
        <f>Skills!A27</f>
        <v/>
      </c>
      <c r="B27">
        <f>Skills!B27</f>
        <v/>
      </c>
      <c r="C27">
        <f>Inputs!$B$3&gt;=125</f>
        <v/>
      </c>
      <c r="D27">
        <f>IF(Skills!C27=1,60+Inputs!$B$25+Inputs!$B$29,IF(Skills!C27=2,90+Inputs!$B$26+Inputs!$B$29,IF(Skills!C27=3,120+Inputs!$B$27+Inputs!$B$29,MAX(0,(Inputs!$B$3-100)*3)+Inputs!$B$28+Inputs!$B$29)))</f>
        <v/>
      </c>
      <c r="E27">
        <f>INDEX(FactorTable!$B$2:$Y$301, MATCH(ROUND(MIN(300,MAX(1,D27)),0), FactorTable!$A$2:$A$301,0), Skills!M27+1)</f>
        <v/>
      </c>
      <c r="F27">
        <f>IF(Skills!N27=TRUE,(Skills!L27/10)*(E27/1000),Skills!L27/10)+Skills!O27</f>
        <v/>
      </c>
      <c r="G27">
        <f>Skills!G27*IF(Skills!H27&gt;0,INT(IF(Inputs!$B$38="pvp",MIN(Skills!I27,15),Skills!I27)/Skills!H27+0.000000001),1)</f>
        <v/>
      </c>
      <c r="H27">
        <f>1-(1-Skills!J27/100)^Skills!K27</f>
        <v/>
      </c>
      <c r="I27" t="inlineStr">
        <is>
          <t>1</t>
        </is>
      </c>
      <c r="J27" t="inlineStr"/>
      <c r="K27" t="inlineStr"/>
      <c r="L27" t="inlineStr"/>
      <c r="M27" t="inlineStr"/>
      <c r="N27" t="inlineStr"/>
      <c r="O27">
        <f>(1-Summary!$B$11)*T27+Summary!$B$11*V27</f>
        <v/>
      </c>
      <c r="P27">
        <f>IF(Summary!$B$3=0,0,O27/Summary!$B$3)</f>
        <v/>
      </c>
      <c r="Q27" t="n">
        <v>0</v>
      </c>
      <c r="R27" t="n">
        <v>0</v>
      </c>
      <c r="S27">
        <f>IFERROR(O27/N27,0)</f>
        <v/>
      </c>
      <c r="T27" t="n">
        <v>0</v>
      </c>
      <c r="V27" t="n">
        <v>0</v>
      </c>
    </row>
    <row r="28">
      <c r="A28">
        <f>Skills!A28</f>
        <v/>
      </c>
      <c r="B28">
        <f>Skills!B28</f>
        <v/>
      </c>
      <c r="C28">
        <f>TRUE</f>
        <v/>
      </c>
      <c r="D28">
        <f>IF(Skills!C28=1,60+Inputs!$B$25+Inputs!$B$29,IF(Skills!C28=2,90+Inputs!$B$26+Inputs!$B$29,IF(Skills!C28=3,120+Inputs!$B$27+Inputs!$B$29,MAX(0,(Inputs!$B$3-100)*3)+Inputs!$B$28+Inputs!$B$29)))</f>
        <v/>
      </c>
      <c r="E28">
        <f>INDEX(FactorTable!$B$2:$Y$301, MATCH(ROUND(MIN(300,MAX(1,D28)),0), FactorTable!$A$2:$A$301,0), Skills!M28+1)</f>
        <v/>
      </c>
      <c r="F28">
        <f>IF(Skills!N28=TRUE,(Skills!L28/10)*(E28/1000),Skills!L28/10)+Skills!O28</f>
        <v/>
      </c>
      <c r="G28">
        <f>Skills!G28*IF(Skills!H28&gt;0,INT(IF(Inputs!$B$38="pvp",MIN(Skills!I28,15),Skills!I28)/Skills!H28+0.000000001),1)</f>
        <v/>
      </c>
      <c r="H28">
        <f>1-(1-Skills!J28/100)^Skills!K28</f>
        <v/>
      </c>
      <c r="I28" t="inlineStr">
        <is>
          <t>1</t>
        </is>
      </c>
      <c r="J28" t="inlineStr"/>
      <c r="K28" t="inlineStr"/>
      <c r="L28" t="inlineStr"/>
      <c r="M28" t="inlineStr"/>
      <c r="N28" t="inlineStr"/>
      <c r="O28">
        <f>(1-Summary!$B$11)*T28+Summary!$B$11*V28</f>
        <v/>
      </c>
      <c r="P28">
        <f>IF(Summary!$B$3=0,0,O28/Summary!$B$3)</f>
        <v/>
      </c>
      <c r="Q28">
        <f>IFERROR(1/(IF(Inputs!$B$38="pvp",15,MAX(0.1,Skills!D28-IF(TRUE=TRUE,Inputs!$B$32,0)))*(1-IF(AND(ArtifactsInput!$M$27,Inputs!$B$4="Chapter Hunt"),CHOOSE(ArtifactsInput!$N$27+1,20,24,28,32,36,40),0)/100)),0)</f>
        <v/>
      </c>
      <c r="R28">
        <f>IF(AND(Inputs!$B$38&lt;&gt;"pvp",Inputs!$B$43&gt;0),IF(Inputs!$B$43&lt;=0,0,(INT(Inputs!$B$43/(IF(Inputs!$B$38="pvp",15,MAX(0.1,Skills!D28-IF(TRUE=TRUE,Inputs!$B$32,0)))*(1-IF(AND(ArtifactsInput!$M$27,Inputs!$B$4="Chapter Hunt"),CHOOSE(ArtifactsInput!$N$27+1,20,24,28,32,36,40),0)/100)))+1)),0)</f>
        <v/>
      </c>
      <c r="S28">
        <f>IFERROR(O28/N28,0)</f>
        <v/>
      </c>
      <c r="T28" t="n">
        <v>0</v>
      </c>
      <c r="V28"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11"/>
  <sheetViews>
    <sheetView workbookViewId="0">
      <selection activeCell="A1" sqref="A1"/>
    </sheetView>
  </sheetViews>
  <sheetFormatPr baseColWidth="8" defaultRowHeight="15"/>
  <cols>
    <col width="65" customWidth="1" min="1" max="1"/>
    <col width="16" customWidth="1" min="2" max="2"/>
    <col width="12" customWidth="1" min="3" max="3"/>
  </cols>
  <sheetData>
    <row r="1">
      <c r="A1" s="4" t="inlineStr">
        <is>
          <t>Corsair — DPS Summary</t>
        </is>
      </c>
    </row>
    <row r="3">
      <c r="A3" s="10" t="inlineStr">
        <is>
          <t>TOTAL DPS</t>
        </is>
      </c>
      <c r="B3" s="10">
        <f>SUM(Calc!O2:O28)</f>
        <v/>
      </c>
    </row>
    <row r="5">
      <c r="A5" s="9" t="inlineStr">
        <is>
          <t>Derived Values (read-only, computed from Inputs)</t>
        </is>
      </c>
    </row>
    <row r="6">
      <c r="A6" t="inlineStr">
        <is>
          <t>ATTACK (= Flat ATTACK x (1+ATTACK%/100))</t>
        </is>
      </c>
      <c r="B6">
        <f>Inputs!$B$6*(1+Inputs!$B$7/100)</f>
        <v/>
      </c>
    </row>
    <row r="7">
      <c r="A7" t="inlineStr">
        <is>
          <t>STAT_DAMAGE % (= 1% of total STR + 0.25% of DEX)</t>
        </is>
      </c>
      <c r="B7">
        <f>(Inputs!$B$12*(1+Inputs!$B$13/100))*0.01+Inputs!$B$14*0.0025</f>
        <v/>
      </c>
    </row>
    <row r="8">
      <c r="A8" t="inlineStr">
        <is>
          <t>Basic Attack (Eight-Legs Easton) Input Level (4th job formula)</t>
        </is>
      </c>
      <c r="B8">
        <f>MAX(0,(Inputs!$B$3-100)*3)+Inputs!$B$28+Inputs!$B$29</f>
        <v/>
      </c>
    </row>
    <row r="9">
      <c r="A9" t="inlineStr">
        <is>
          <t>Basic Attack Factor (factorIndex 21, universal 4th-job basic attack)</t>
        </is>
      </c>
      <c r="B9">
        <f>INDEX(FactorTable!$B$2:$Y$301, MATCH(ROUND(MIN(300,MAX(1,Summary!$B$8)),0), FactorTable!$A$2:$A$301,0), 22)</f>
        <v/>
      </c>
    </row>
    <row r="10">
      <c r="A10" t="inlineStr">
        <is>
          <t>SKILL_COEFFICIENT — Eight-Legs Easton base coefficient % (before bonuses)</t>
        </is>
      </c>
      <c r="B10">
        <f>290*Summary!$B$9/1000</f>
        <v/>
      </c>
    </row>
    <row r="11">
      <c r="A11" t="inlineStr">
        <is>
          <t>Normal-Monster Weight (= 0 for boss, 1 for normal, Breakthrough Normal Weight % for breakthrough, 0 for pvp)</t>
        </is>
      </c>
      <c r="B11">
        <f>IF(Inputs!$B$38="normal",1,IF(Inputs!$B$38="breakthrough",Inputs!$B$44/100,0))</f>
        <v/>
      </c>
    </row>
    <row r="13">
      <c r="A13" t="inlineStr">
        <is>
          <t>Attack%% Bucket Multiplier (Roll of the Dice's dice component only)</t>
        </is>
      </c>
      <c r="B13">
        <f>1+(((Calc!C17=TRUE)*Calc!F17*5/7)+Artifacts!$B$52)/100</f>
        <v/>
      </c>
    </row>
    <row r="14">
      <c r="A14" t="inlineStr">
        <is>
          <t>Global Crit Rate Bonus % (unused — no live Crit-Rate-buff source exists)</t>
        </is>
      </c>
      <c r="B14" t="n">
        <v>0</v>
      </c>
    </row>
    <row r="15">
      <c r="A15" t="inlineStr">
        <is>
          <t>Global Monster Damage-Taken Bonus % (Swift Fire - Weaken + Peach/Silver artifact bonuses)</t>
        </is>
      </c>
      <c r="B15">
        <f>IF(Inputs!$B$3&gt;=54,9*(Calc!C3=TRUE)*MIN(1,8*(1+Inputs!$B$34/100)*Calc!Q3),0)+Artifacts!$B$36</f>
        <v/>
      </c>
    </row>
    <row r="16">
      <c r="A16" t="inlineStr">
        <is>
          <t>Attack Speed Buff Bonus % (Nimble Feet, duty-cycle averaged)</t>
        </is>
      </c>
      <c r="B16">
        <f>((Calc!C28=TRUE)*Calc!F28*IF(AND(Inputs!$B$38&lt;&gt;"pvp",Inputs!$B$43&gt;0),(((Calc!R28-1)*MIN((Skills!T28*(1+Inputs!$B$34/100)),(1/Calc!Q28))+MIN((Skills!T28*(1+Inputs!$B$34/100)),MAX(0,Inputs!$B$43-((Calc!R28-1)*(1/Calc!Q28)))))/Inputs!$B$43),IF(Inputs!$B$38="pvp",MIN((Skills!T28*(1+Inputs!$B$34/100)),15)/15,MIN(1,(Skills!T28*(1+Inputs!$B$34/100))/(1/Calc!Q28)))))</f>
        <v/>
      </c>
    </row>
    <row r="17">
      <c r="A17" t="inlineStr">
        <is>
          <t>Actions Per Second</t>
        </is>
      </c>
      <c r="B17">
        <f>1+MIN(150,150*(1-(1-Inputs!$B$11/150)*(1-B16/150)))/100</f>
        <v/>
      </c>
    </row>
    <row r="18">
      <c r="A18" t="inlineStr">
        <is>
          <t>Skill + Buff Cast Rate (subtracted from Eight-Legs Easton, 1/s)</t>
        </is>
      </c>
      <c r="B18">
        <f>IF(AND(Inputs!$B$38&lt;&gt;"pvp",Inputs!$B$43&gt;0),SUMPRODUCT((Skills!E2:E28=TRUE)*(Calc!C2:C28=TRUE)*Calc!R2:R28*Skills!F2:F28)/Inputs!$B$43,SUMPRODUCT((Skills!E2:E28=TRUE)*(Calc!C2:C28=TRUE)*Calc!Q2:Q28*Skills!F2:F28))</f>
        <v/>
      </c>
    </row>
    <row r="19">
      <c r="A19" t="inlineStr">
        <is>
          <t>Eight-Legs Easton (Basic Attack) Casts Per Second</t>
        </is>
      </c>
      <c r="B19">
        <f>MAX(0,B17-B18)</f>
        <v/>
      </c>
    </row>
    <row r="20">
      <c r="A20" t="inlineStr">
        <is>
          <t>Global Critical Damage Bonus % (unused — no live Crit-Damage-buff source exists)</t>
        </is>
      </c>
      <c r="B20" t="n">
        <v>0</v>
      </c>
    </row>
    <row r="21">
      <c r="A21" t="inlineStr">
        <is>
          <t>Global Final Damage Bonus % (Jolly Roger + Ahoy Mateys - Final Damage proc)</t>
        </is>
      </c>
      <c r="B21">
        <f>((Calc!C18=TRUE)*Calc!F18*IF(AND(Inputs!$B$38&lt;&gt;"pvp",Inputs!$B$43&gt;0),(((Calc!R18-1)*MIN((Skills!T18*(1+Inputs!$B$34/100)),(1/Calc!Q18))+MIN((Skills!T18*(1+Inputs!$B$34/100)),MAX(0,Inputs!$B$43-((Calc!R18-1)*(1/Calc!Q18)))))/Inputs!$B$43),IF(Inputs!$B$38="pvp",MIN((Skills!T18*(1+Inputs!$B$34/100)),15)/15,MIN(1,(Skills!T18*(1+Inputs!$B$34/100))/(1/Calc!Q18)))))+IF(Inputs!$B$3&gt;=122,20*IF(Inputs!$B$38="pvp",MIN((20*(1+Inputs!$B$34/100)),15)/15,MIN(1,(20*(1+Inputs!$B$34/100))/(1/Calc!Q4))),0)</f>
        <v/>
      </c>
    </row>
    <row r="22">
      <c r="A22" t="inlineStr">
        <is>
          <t>Eight-Legs Easton (Basic Attack) DPS</t>
        </is>
      </c>
      <c r="B22">
        <f>Calc!O2</f>
        <v/>
      </c>
    </row>
    <row r="23">
      <c r="A23" t="inlineStr">
        <is>
          <t>Buff-Casting Startup Delay (s, before first damage-skill cast; fixed-duration only)</t>
        </is>
      </c>
      <c r="B23">
        <f>IF(AND(Inputs!$B$38&lt;&gt;"pvp",Inputs!$B$43&gt;0),SUMPRODUCT((Skills!T2:T28&gt;0)*(Skills!E2:E28=TRUE)*(Calc!C2:C28=TRUE))/B17,0)</f>
        <v/>
      </c>
    </row>
    <row r="24">
      <c r="A24" t="inlineStr">
        <is>
          <t>Boss-Only Total DPS (Sensitivity baseline)</t>
        </is>
      </c>
      <c r="B24">
        <f>SUM(Calc!T2:T28)</f>
        <v/>
      </c>
    </row>
    <row r="25">
      <c r="A25" t="inlineStr">
        <is>
          <t>Normal-Only Total DPS (Sensitivity baseline)</t>
        </is>
      </c>
      <c r="B25">
        <f>SUM(Calc!V2:V28)</f>
        <v/>
      </c>
    </row>
    <row r="26">
      <c r="A26" t="inlineStr">
        <is>
          <t>Quickdraw cooldown divisor f = 1 + 0.25*B* applied to Brain Scrambler / Rapid Fire (1 when locked or PvP)</t>
        </is>
      </c>
      <c r="B26">
        <f>IF(AND(Calc!C27=TRUE,Inputs!$B$38&lt;&gt;"pvp"),1+0.25*MAX(0,(B17-(((Calc!C3=TRUE)*Calc!Q3*1)+((Calc!C4=TRUE)*Calc!Q4*1)+((Calc!C6=TRUE)*Calc!Q6*1)+((Calc!C7=TRUE)*Calc!Q7*1)+((Calc!C9=TRUE)*Calc!Q9*1)+((Calc!C12=TRUE)*Calc!Q12*1)+((Calc!C18=TRUE)*Calc!Q18*1)+((Calc!C28=TRUE)*Calc!Q28*1))-((Calc!C8=TRUE)/(IF(Inputs!$B$38="pvp",15,MAX(0.1,Skills!D8-IF(TRUE=TRUE,Inputs!$B$32,0)))*(1-IF(AND(ArtifactsInput!$M$27,Inputs!$B$4="Chapter Hunt"),CHOOSE(ArtifactsInput!$N$27+1,20,24,28,32,36,40),0)/100))+(Calc!C11=TRUE)/(IF(Inputs!$B$38="pvp",15,MAX(0.1,Skills!D11-IF(TRUE=TRUE,Inputs!$B$32,0)))*(1-IF(AND(ArtifactsInput!$M$27,Inputs!$B$4="Chapter Hunt"),CHOOSE(ArtifactsInput!$N$27+1,20,24,28,32,36,40),0)/100))))/(1+0.25*((Calc!C8=TRUE)/(IF(Inputs!$B$38="pvp",15,MAX(0.1,Skills!D8-IF(TRUE=TRUE,Inputs!$B$32,0)))*(1-IF(AND(ArtifactsInput!$M$27,Inputs!$B$4="Chapter Hunt"),CHOOSE(ArtifactsInput!$N$27+1,20,24,28,32,36,40),0)/100))+(Calc!C11=TRUE)/(IF(Inputs!$B$38="pvp",15,MAX(0.1,Skills!D11-IF(TRUE=TRUE,Inputs!$B$32,0)))*(1-IF(AND(ArtifactsInput!$M$27,Inputs!$B$4="Chapter Hunt"),CHOOSE(ArtifactsInput!$N$27+1,20,24,28,32,36,40),0)/100))))),1)</f>
        <v/>
      </c>
    </row>
    <row r="27">
      <c r="A27" t="inlineStr">
        <is>
          <t>Nautilus Strike - Final Attack: triggering attacks' combined cast rate, incl. Eight-Legs Easton (1/s)</t>
        </is>
      </c>
      <c r="B27">
        <f>IF(AND(Inputs!$B$38&lt;&gt;"pvp",Inputs!$B$43&gt;0),(((Calc!C3=TRUE)*Calc!R3)+((Calc!C6=TRUE)*Calc!R6)+((Calc!C8=TRUE)*Calc!R8)+((Calc!C9=TRUE)*Calc!R9)+((Calc!C11=TRUE)*Calc!R11))/Inputs!$B$43,((Calc!C3=TRUE)*Calc!Q3)+((Calc!C6=TRUE)*Calc!Q6)+((Calc!C8=TRUE)*Calc!Q8)+((Calc!C9=TRUE)*Calc!Q9)+((Calc!C11=TRUE)*Calc!Q11))+B19</f>
        <v/>
      </c>
    </row>
    <row r="29">
      <c r="A29" s="9" t="inlineStr">
        <is>
          <t>Per-Skill DPS Breakdown</t>
        </is>
      </c>
    </row>
    <row r="30">
      <c r="A30" s="5" t="inlineStr">
        <is>
          <t>Skill</t>
        </is>
      </c>
      <c r="B30" s="5" t="inlineStr">
        <is>
          <t>DPS</t>
        </is>
      </c>
      <c r="C30" s="5" t="inlineStr">
        <is>
          <t>% of Total</t>
        </is>
      </c>
    </row>
    <row r="31">
      <c r="A31">
        <f>Calc!B2</f>
        <v/>
      </c>
      <c r="B31">
        <f>Calc!O2</f>
        <v/>
      </c>
      <c r="C31">
        <f>Calc!P2*100</f>
        <v/>
      </c>
    </row>
    <row r="32">
      <c r="A32">
        <f>Calc!B3</f>
        <v/>
      </c>
      <c r="B32">
        <f>Calc!O3</f>
        <v/>
      </c>
      <c r="C32">
        <f>Calc!P3*100</f>
        <v/>
      </c>
    </row>
    <row r="33">
      <c r="A33">
        <f>Calc!B4</f>
        <v/>
      </c>
      <c r="B33">
        <f>Calc!O4</f>
        <v/>
      </c>
      <c r="C33">
        <f>Calc!P4*100</f>
        <v/>
      </c>
    </row>
    <row r="34">
      <c r="A34">
        <f>Calc!B5</f>
        <v/>
      </c>
      <c r="B34">
        <f>Calc!O5</f>
        <v/>
      </c>
      <c r="C34">
        <f>Calc!P5*100</f>
        <v/>
      </c>
    </row>
    <row r="35">
      <c r="A35">
        <f>Calc!B6</f>
        <v/>
      </c>
      <c r="B35">
        <f>Calc!O6</f>
        <v/>
      </c>
      <c r="C35">
        <f>Calc!P6*100</f>
        <v/>
      </c>
    </row>
    <row r="36">
      <c r="A36">
        <f>Calc!B7</f>
        <v/>
      </c>
      <c r="B36">
        <f>Calc!O7</f>
        <v/>
      </c>
      <c r="C36">
        <f>Calc!P7*100</f>
        <v/>
      </c>
    </row>
    <row r="37">
      <c r="A37">
        <f>Calc!B8</f>
        <v/>
      </c>
      <c r="B37">
        <f>Calc!O8</f>
        <v/>
      </c>
      <c r="C37">
        <f>Calc!P8*100</f>
        <v/>
      </c>
    </row>
    <row r="38">
      <c r="A38">
        <f>Calc!B9</f>
        <v/>
      </c>
      <c r="B38">
        <f>Calc!O9</f>
        <v/>
      </c>
      <c r="C38">
        <f>Calc!P9*100</f>
        <v/>
      </c>
    </row>
    <row r="39">
      <c r="A39">
        <f>Calc!B10</f>
        <v/>
      </c>
      <c r="B39">
        <f>Calc!O10</f>
        <v/>
      </c>
      <c r="C39">
        <f>Calc!P10*100</f>
        <v/>
      </c>
    </row>
    <row r="40">
      <c r="A40">
        <f>Calc!B11</f>
        <v/>
      </c>
      <c r="B40">
        <f>Calc!O11</f>
        <v/>
      </c>
      <c r="C40">
        <f>Calc!P11*100</f>
        <v/>
      </c>
    </row>
    <row r="41">
      <c r="A41">
        <f>Calc!B12</f>
        <v/>
      </c>
      <c r="B41">
        <f>Calc!O12</f>
        <v/>
      </c>
      <c r="C41">
        <f>Calc!P12*100</f>
        <v/>
      </c>
    </row>
    <row r="42">
      <c r="A42">
        <f>Calc!B13</f>
        <v/>
      </c>
      <c r="B42">
        <f>Calc!O13</f>
        <v/>
      </c>
      <c r="C42">
        <f>Calc!P13*100</f>
        <v/>
      </c>
    </row>
    <row r="43">
      <c r="A43">
        <f>Calc!B14</f>
        <v/>
      </c>
      <c r="B43">
        <f>Calc!O14</f>
        <v/>
      </c>
      <c r="C43">
        <f>Calc!P14*100</f>
        <v/>
      </c>
    </row>
    <row r="44">
      <c r="A44" s="9" t="inlineStr">
        <is>
          <t>Marginal DPS &amp; Stat Value (see Sensitivity for full detail)</t>
        </is>
      </c>
    </row>
    <row r="46">
      <c r="A46" s="5" t="inlineStr">
        <is>
          <t>Stat</t>
        </is>
      </c>
      <c r="B46" s="5" t="inlineStr">
        <is>
          <t>DPS per +1</t>
        </is>
      </c>
      <c r="C46" s="5" t="inlineStr">
        <is>
          <t>Units per +1% DPS</t>
        </is>
      </c>
    </row>
    <row r="47">
      <c r="A47">
        <f>Sensitivity!A5</f>
        <v/>
      </c>
      <c r="B47">
        <f>Sensitivity!H5</f>
        <v/>
      </c>
      <c r="C47">
        <f>Sensitivity!B5</f>
        <v/>
      </c>
    </row>
    <row r="48">
      <c r="A48">
        <f>Sensitivity!A6</f>
        <v/>
      </c>
      <c r="B48">
        <f>Sensitivity!H6</f>
        <v/>
      </c>
      <c r="C48">
        <f>Sensitivity!B6</f>
        <v/>
      </c>
    </row>
    <row r="49">
      <c r="A49">
        <f>Sensitivity!A7</f>
        <v/>
      </c>
      <c r="B49">
        <f>Sensitivity!H7</f>
        <v/>
      </c>
      <c r="C49">
        <f>Sensitivity!B7</f>
        <v/>
      </c>
    </row>
    <row r="50">
      <c r="A50">
        <f>Sensitivity!A8</f>
        <v/>
      </c>
      <c r="B50">
        <f>Sensitivity!H8</f>
        <v/>
      </c>
      <c r="C50">
        <f>Sensitivity!B8</f>
        <v/>
      </c>
    </row>
    <row r="51">
      <c r="A51">
        <f>Sensitivity!A9</f>
        <v/>
      </c>
      <c r="B51">
        <f>Sensitivity!H9</f>
        <v/>
      </c>
      <c r="C51">
        <f>Sensitivity!B9</f>
        <v/>
      </c>
    </row>
    <row r="52">
      <c r="A52">
        <f>Sensitivity!A10</f>
        <v/>
      </c>
      <c r="B52">
        <f>Sensitivity!H10</f>
        <v/>
      </c>
      <c r="C52">
        <f>Sensitivity!B10</f>
        <v/>
      </c>
    </row>
    <row r="53">
      <c r="A53">
        <f>Sensitivity!A11</f>
        <v/>
      </c>
      <c r="B53">
        <f>Sensitivity!H11</f>
        <v/>
      </c>
      <c r="C53">
        <f>Sensitivity!B11</f>
        <v/>
      </c>
    </row>
    <row r="54">
      <c r="A54">
        <f>Sensitivity!A12</f>
        <v/>
      </c>
      <c r="B54">
        <f>Sensitivity!H12</f>
        <v/>
      </c>
      <c r="C54">
        <f>Sensitivity!B12</f>
        <v/>
      </c>
    </row>
    <row r="55">
      <c r="A55">
        <f>Sensitivity!A13</f>
        <v/>
      </c>
      <c r="B55">
        <f>Sensitivity!H13</f>
        <v/>
      </c>
      <c r="C55">
        <f>Sensitivity!B13</f>
        <v/>
      </c>
    </row>
    <row r="56">
      <c r="A56">
        <f>Sensitivity!A14</f>
        <v/>
      </c>
      <c r="B56">
        <f>Sensitivity!H14</f>
        <v/>
      </c>
      <c r="C56">
        <f>Sensitivity!B14</f>
        <v/>
      </c>
    </row>
    <row r="57">
      <c r="A57">
        <f>Sensitivity!A15</f>
        <v/>
      </c>
      <c r="B57">
        <f>Sensitivity!H15</f>
        <v/>
      </c>
      <c r="C57">
        <f>Sensitivity!B15</f>
        <v/>
      </c>
    </row>
    <row r="58">
      <c r="A58">
        <f>Sensitivity!A16</f>
        <v/>
      </c>
      <c r="B58">
        <f>Sensitivity!H16</f>
        <v/>
      </c>
      <c r="C58">
        <f>Sensitivity!B16</f>
        <v/>
      </c>
    </row>
    <row r="59">
      <c r="A59">
        <f>Sensitivity!A17</f>
        <v/>
      </c>
      <c r="B59">
        <f>Sensitivity!H17</f>
        <v/>
      </c>
      <c r="C59">
        <f>Sensitivity!B17</f>
        <v/>
      </c>
    </row>
    <row r="60">
      <c r="A60">
        <f>Sensitivity!A18</f>
        <v/>
      </c>
      <c r="B60">
        <f>Sensitivity!H18</f>
        <v/>
      </c>
      <c r="C60">
        <f>Sensitivity!B18</f>
        <v/>
      </c>
    </row>
    <row r="61">
      <c r="A61">
        <f>Sensitivity!A19</f>
        <v/>
      </c>
      <c r="B61">
        <f>Sensitivity!H19</f>
        <v/>
      </c>
      <c r="C61">
        <f>Sensitivity!B19</f>
        <v/>
      </c>
    </row>
    <row r="62">
      <c r="A62">
        <f>Sensitivity!A20</f>
        <v/>
      </c>
      <c r="B62">
        <f>Sensitivity!H20</f>
        <v/>
      </c>
      <c r="C62">
        <f>Sensitivity!B20</f>
        <v/>
      </c>
    </row>
    <row r="63">
      <c r="A63">
        <f>Sensitivity!A21</f>
        <v/>
      </c>
      <c r="B63">
        <f>Sensitivity!H21</f>
        <v/>
      </c>
      <c r="C63">
        <f>Sensitivity!B21</f>
        <v/>
      </c>
    </row>
    <row r="64">
      <c r="A64">
        <f>Sensitivity!A22</f>
        <v/>
      </c>
      <c r="B64">
        <f>Sensitivity!H22</f>
        <v/>
      </c>
      <c r="C64">
        <f>Sensitivity!B22</f>
        <v/>
      </c>
    </row>
    <row r="65">
      <c r="A65">
        <f>Sensitivity!A23</f>
        <v/>
      </c>
      <c r="B65">
        <f>Sensitivity!H23</f>
        <v/>
      </c>
      <c r="C65">
        <f>Sensitivity!B23</f>
        <v/>
      </c>
    </row>
    <row r="66">
      <c r="A66">
        <f>Sensitivity!A24</f>
        <v/>
      </c>
      <c r="B66">
        <f>Sensitivity!H24</f>
        <v/>
      </c>
      <c r="C66">
        <f>Sensitivity!B24</f>
        <v/>
      </c>
    </row>
    <row r="67">
      <c r="A67">
        <f>Sensitivity!A25</f>
        <v/>
      </c>
      <c r="B67">
        <f>Sensitivity!H25</f>
        <v/>
      </c>
      <c r="C67">
        <f>Sensitivity!B25</f>
        <v/>
      </c>
    </row>
    <row r="68">
      <c r="A68">
        <f>Sensitivity!A26</f>
        <v/>
      </c>
      <c r="B68">
        <f>Sensitivity!H26</f>
        <v/>
      </c>
      <c r="C68">
        <f>Sensitivity!B26</f>
        <v/>
      </c>
    </row>
    <row r="69">
      <c r="A69">
        <f>Sensitivity!A27</f>
        <v/>
      </c>
      <c r="B69">
        <f>Sensitivity!H27</f>
        <v/>
      </c>
      <c r="C69">
        <f>Sensitivity!B27</f>
        <v/>
      </c>
    </row>
    <row r="70">
      <c r="A70">
        <f>Sensitivity!A28</f>
        <v/>
      </c>
      <c r="B70">
        <f>Sensitivity!H28</f>
        <v/>
      </c>
      <c r="C70">
        <f>Sensitivity!B28</f>
        <v/>
      </c>
    </row>
    <row r="71">
      <c r="A71">
        <f>Sensitivity!A29</f>
        <v/>
      </c>
      <c r="B71">
        <f>Sensitivity!H29</f>
        <v/>
      </c>
      <c r="C71">
        <f>Sensitivity!B29</f>
        <v/>
      </c>
    </row>
    <row r="72">
      <c r="A72">
        <f>Sensitivity!A30</f>
        <v/>
      </c>
      <c r="B72">
        <f>Sensitivity!H30</f>
        <v/>
      </c>
      <c r="C72">
        <f>Sensitivity!B30</f>
        <v/>
      </c>
    </row>
    <row r="73">
      <c r="A73" s="9" t="inlineStr">
        <is>
          <t>Artifact Equip-Toggle DPS Gain, best to worst (see Sensitivity for full detail)</t>
        </is>
      </c>
    </row>
    <row r="75">
      <c r="A75" s="5" t="inlineStr">
        <is>
          <t>Artifact</t>
        </is>
      </c>
      <c r="B75" s="5" t="inlineStr">
        <is>
          <t>DPS Gain</t>
        </is>
      </c>
      <c r="C75" s="5" t="inlineStr">
        <is>
          <t>% Gain</t>
        </is>
      </c>
    </row>
    <row r="76">
      <c r="A76">
        <f>Sensitivity!A33</f>
        <v/>
      </c>
      <c r="B76">
        <f>Sensitivity!B33</f>
        <v/>
      </c>
      <c r="C76">
        <f>Sensitivity!C33</f>
        <v/>
      </c>
    </row>
    <row r="77">
      <c r="A77">
        <f>Sensitivity!A34</f>
        <v/>
      </c>
      <c r="B77">
        <f>Sensitivity!B34</f>
        <v/>
      </c>
      <c r="C77">
        <f>Sensitivity!C34</f>
        <v/>
      </c>
    </row>
    <row r="78">
      <c r="A78">
        <f>Sensitivity!A35</f>
        <v/>
      </c>
      <c r="B78">
        <f>Sensitivity!B35</f>
        <v/>
      </c>
      <c r="C78">
        <f>Sensitivity!C35</f>
        <v/>
      </c>
    </row>
    <row r="79">
      <c r="A79">
        <f>Sensitivity!A36</f>
        <v/>
      </c>
      <c r="B79">
        <f>Sensitivity!B36</f>
        <v/>
      </c>
      <c r="C79">
        <f>Sensitivity!C36</f>
        <v/>
      </c>
    </row>
    <row r="80">
      <c r="A80">
        <f>Sensitivity!A37</f>
        <v/>
      </c>
      <c r="B80">
        <f>Sensitivity!B37</f>
        <v/>
      </c>
      <c r="C80">
        <f>Sensitivity!C37</f>
        <v/>
      </c>
    </row>
    <row r="81">
      <c r="A81">
        <f>Sensitivity!A38</f>
        <v/>
      </c>
      <c r="B81">
        <f>Sensitivity!B38</f>
        <v/>
      </c>
      <c r="C81">
        <f>Sensitivity!C38</f>
        <v/>
      </c>
    </row>
    <row r="82">
      <c r="A82">
        <f>Sensitivity!A39</f>
        <v/>
      </c>
      <c r="B82">
        <f>Sensitivity!B39</f>
        <v/>
      </c>
      <c r="C82">
        <f>Sensitivity!C39</f>
        <v/>
      </c>
    </row>
    <row r="83">
      <c r="A83">
        <f>Sensitivity!A40</f>
        <v/>
      </c>
      <c r="B83">
        <f>Sensitivity!B40</f>
        <v/>
      </c>
      <c r="C83">
        <f>Sensitivity!C40</f>
        <v/>
      </c>
    </row>
    <row r="84">
      <c r="A84">
        <f>Sensitivity!A41</f>
        <v/>
      </c>
      <c r="B84">
        <f>Sensitivity!B41</f>
        <v/>
      </c>
      <c r="C84">
        <f>Sensitivity!C41</f>
        <v/>
      </c>
    </row>
    <row r="85">
      <c r="A85">
        <f>Sensitivity!A42</f>
        <v/>
      </c>
      <c r="B85">
        <f>Sensitivity!B42</f>
        <v/>
      </c>
      <c r="C85">
        <f>Sensitivity!C42</f>
        <v/>
      </c>
    </row>
    <row r="86">
      <c r="A86">
        <f>Sensitivity!A43</f>
        <v/>
      </c>
      <c r="B86">
        <f>Sensitivity!B43</f>
        <v/>
      </c>
      <c r="C86">
        <f>Sensitivity!C43</f>
        <v/>
      </c>
    </row>
    <row r="87">
      <c r="A87">
        <f>Sensitivity!A44</f>
        <v/>
      </c>
      <c r="B87">
        <f>Sensitivity!B44</f>
        <v/>
      </c>
      <c r="C87">
        <f>Sensitivity!C44</f>
        <v/>
      </c>
    </row>
    <row r="88">
      <c r="A88">
        <f>Sensitivity!A45</f>
        <v/>
      </c>
      <c r="B88">
        <f>Sensitivity!B45</f>
        <v/>
      </c>
      <c r="C88">
        <f>Sensitivity!C45</f>
        <v/>
      </c>
    </row>
    <row r="89">
      <c r="A89">
        <f>Sensitivity!A46</f>
        <v/>
      </c>
      <c r="B89">
        <f>Sensitivity!B46</f>
        <v/>
      </c>
      <c r="C89">
        <f>Sensitivity!C46</f>
        <v/>
      </c>
    </row>
    <row r="90">
      <c r="A90">
        <f>Sensitivity!A47</f>
        <v/>
      </c>
      <c r="B90">
        <f>Sensitivity!B47</f>
        <v/>
      </c>
      <c r="C90">
        <f>Sensitivity!C47</f>
        <v/>
      </c>
    </row>
    <row r="91">
      <c r="A91">
        <f>Sensitivity!A48</f>
        <v/>
      </c>
      <c r="B91">
        <f>Sensitivity!B48</f>
        <v/>
      </c>
      <c r="C91">
        <f>Sensitivity!C48</f>
        <v/>
      </c>
    </row>
    <row r="92">
      <c r="A92">
        <f>Sensitivity!A49</f>
        <v/>
      </c>
      <c r="B92">
        <f>Sensitivity!B49</f>
        <v/>
      </c>
      <c r="C92">
        <f>Sensitivity!C49</f>
        <v/>
      </c>
    </row>
    <row r="93">
      <c r="A93">
        <f>Sensitivity!A50</f>
        <v/>
      </c>
      <c r="B93">
        <f>Sensitivity!B50</f>
        <v/>
      </c>
      <c r="C93">
        <f>Sensitivity!C50</f>
        <v/>
      </c>
    </row>
    <row r="94">
      <c r="A94">
        <f>Sensitivity!A51</f>
        <v/>
      </c>
      <c r="B94">
        <f>Sensitivity!B51</f>
        <v/>
      </c>
      <c r="C94">
        <f>Sensitivity!C51</f>
        <v/>
      </c>
    </row>
    <row r="95">
      <c r="A95">
        <f>Sensitivity!A52</f>
        <v/>
      </c>
      <c r="B95">
        <f>Sensitivity!B52</f>
        <v/>
      </c>
      <c r="C95">
        <f>Sensitivity!C52</f>
        <v/>
      </c>
    </row>
    <row r="96">
      <c r="A96">
        <f>Sensitivity!A53</f>
        <v/>
      </c>
      <c r="B96">
        <f>Sensitivity!B53</f>
        <v/>
      </c>
      <c r="C96">
        <f>Sensitivity!C53</f>
        <v/>
      </c>
    </row>
    <row r="97">
      <c r="A97">
        <f>Sensitivity!A54</f>
        <v/>
      </c>
      <c r="B97">
        <f>Sensitivity!B54</f>
        <v/>
      </c>
      <c r="C97">
        <f>Sensitivity!C54</f>
        <v/>
      </c>
    </row>
    <row r="98">
      <c r="A98">
        <f>Sensitivity!A55</f>
        <v/>
      </c>
      <c r="B98">
        <f>Sensitivity!B55</f>
        <v/>
      </c>
      <c r="C98">
        <f>Sensitivity!C55</f>
        <v/>
      </c>
    </row>
    <row r="99">
      <c r="A99">
        <f>Sensitivity!A56</f>
        <v/>
      </c>
      <c r="B99">
        <f>Sensitivity!B56</f>
        <v/>
      </c>
      <c r="C99">
        <f>Sensitivity!C56</f>
        <v/>
      </c>
    </row>
    <row r="100">
      <c r="A100">
        <f>Sensitivity!A57</f>
        <v/>
      </c>
      <c r="B100">
        <f>Sensitivity!B57</f>
        <v/>
      </c>
      <c r="C100">
        <f>Sensitivity!C57</f>
        <v/>
      </c>
    </row>
    <row r="101">
      <c r="A101">
        <f>Sensitivity!A58</f>
        <v/>
      </c>
      <c r="B101">
        <f>Sensitivity!B58</f>
        <v/>
      </c>
      <c r="C101">
        <f>Sensitivity!C58</f>
        <v/>
      </c>
    </row>
    <row r="102">
      <c r="A102">
        <f>Sensitivity!A59</f>
        <v/>
      </c>
      <c r="B102">
        <f>Sensitivity!B59</f>
        <v/>
      </c>
      <c r="C102">
        <f>Sensitivity!C59</f>
        <v/>
      </c>
    </row>
    <row r="103">
      <c r="A103">
        <f>Sensitivity!A60</f>
        <v/>
      </c>
      <c r="B103">
        <f>Sensitivity!B60</f>
        <v/>
      </c>
      <c r="C103">
        <f>Sensitivity!C60</f>
        <v/>
      </c>
    </row>
    <row r="104">
      <c r="A104">
        <f>Sensitivity!A61</f>
        <v/>
      </c>
      <c r="B104">
        <f>Sensitivity!B61</f>
        <v/>
      </c>
      <c r="C104">
        <f>Sensitivity!C61</f>
        <v/>
      </c>
    </row>
    <row r="105">
      <c r="A105">
        <f>Sensitivity!A62</f>
        <v/>
      </c>
      <c r="B105">
        <f>Sensitivity!B62</f>
        <v/>
      </c>
      <c r="C105">
        <f>Sensitivity!C62</f>
        <v/>
      </c>
    </row>
    <row r="106">
      <c r="A106">
        <f>Sensitivity!A63</f>
        <v/>
      </c>
      <c r="B106">
        <f>Sensitivity!B63</f>
        <v/>
      </c>
      <c r="C106">
        <f>Sensitivity!C63</f>
        <v/>
      </c>
    </row>
    <row r="107">
      <c r="A107">
        <f>Sensitivity!A64</f>
        <v/>
      </c>
      <c r="B107">
        <f>Sensitivity!B64</f>
        <v/>
      </c>
      <c r="C107">
        <f>Sensitivity!C64</f>
        <v/>
      </c>
    </row>
    <row r="108">
      <c r="A108">
        <f>Sensitivity!A65</f>
        <v/>
      </c>
      <c r="B108">
        <f>Sensitivity!B65</f>
        <v/>
      </c>
      <c r="C108">
        <f>Sensitivity!C65</f>
        <v/>
      </c>
    </row>
    <row r="109">
      <c r="A109">
        <f>Sensitivity!A66</f>
        <v/>
      </c>
      <c r="B109">
        <f>Sensitivity!B66</f>
        <v/>
      </c>
      <c r="C109">
        <f>Sensitivity!C66</f>
        <v/>
      </c>
    </row>
    <row r="110">
      <c r="A110">
        <f>Sensitivity!A67</f>
        <v/>
      </c>
      <c r="B110">
        <f>Sensitivity!B67</f>
        <v/>
      </c>
      <c r="C110">
        <f>Sensitivity!C67</f>
        <v/>
      </c>
    </row>
    <row r="111">
      <c r="A111">
        <f>Sensitivity!A68</f>
        <v/>
      </c>
      <c r="B111">
        <f>Sensitivity!B68</f>
        <v/>
      </c>
      <c r="C111">
        <f>Sensitivity!C68</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E3394"/>
  <sheetViews>
    <sheetView workbookViewId="0">
      <pane ySplit="4" topLeftCell="A5" activePane="bottomLeft" state="frozen"/>
      <selection pane="bottomLeft" activeCell="A1" sqref="A1"/>
    </sheetView>
  </sheetViews>
  <sheetFormatPr baseColWidth="8" defaultRowHeight="15"/>
  <cols>
    <col width="40" customWidth="1" min="1" max="1"/>
    <col width="16" customWidth="1" min="2" max="2"/>
    <col width="8" customWidth="1" min="3" max="3"/>
    <col width="14" customWidth="1" min="4" max="4"/>
    <col width="14" customWidth="1" min="5" max="5"/>
    <col width="16" customWidth="1" min="6" max="6"/>
    <col width="14" customWidth="1" min="7" max="7"/>
    <col width="12" customWidth="1" min="8" max="8"/>
    <col width="10" customWidth="1" min="9" max="9"/>
    <col hidden="1" width="13" customWidth="1" min="27" max="27"/>
    <col hidden="1" width="13" customWidth="1" min="28" max="28"/>
    <col hidden="1" width="13" customWidth="1" min="29" max="29"/>
    <col hidden="1" width="13" customWidth="1" min="30" max="30"/>
    <col hidden="1" width="13" customWidth="1" min="31" max="31"/>
  </cols>
  <sheetData>
    <row r="1">
      <c r="A1" s="4" t="inlineStr">
        <is>
          <t>Marginal DPS per +1 (percentage point / skill level / flat point)</t>
        </is>
      </c>
    </row>
    <row r="2">
      <c r="A2" t="inlineStr">
        <is>
          <t>Attack Speed and Def Pen combine their +1 via the diminishing-returns formula (new = (1-(1-old/factor)*(1-1/factor))*factor), not a flat add.</t>
        </is>
      </c>
    </row>
    <row r="4">
      <c r="A4" s="5" t="inlineStr">
        <is>
          <t>Stat</t>
        </is>
      </c>
      <c r="B4" s="5" t="inlineStr">
        <is>
          <t>Units per +1% DPS</t>
        </is>
      </c>
      <c r="C4" s="5" t="inlineStr">
        <is>
          <t>Type</t>
        </is>
      </c>
      <c r="D4" s="5" t="inlineStr">
        <is>
          <t>Current Value</t>
        </is>
      </c>
      <c r="E4" s="5" t="inlineStr">
        <is>
          <t>New Value</t>
        </is>
      </c>
      <c r="F4" s="5" t="inlineStr">
        <is>
          <t>Baseline Total DPS</t>
        </is>
      </c>
      <c r="G4" s="5" t="inlineStr">
        <is>
          <t>New Total DPS</t>
        </is>
      </c>
      <c r="H4" s="5" t="inlineStr">
        <is>
          <t>DPS Gain</t>
        </is>
      </c>
      <c r="I4" s="5" t="inlineStr">
        <is>
          <t>% Gain</t>
        </is>
      </c>
    </row>
    <row r="5">
      <c r="A5" t="inlineStr">
        <is>
          <t>Flat DEX</t>
        </is>
      </c>
      <c r="B5">
        <f>IFERROR(1/(I5-100),"n/a")</f>
        <v/>
      </c>
      <c r="C5" t="inlineStr">
        <is>
          <t>flat</t>
        </is>
      </c>
      <c r="D5">
        <f>Inputs!$B$12+0</f>
        <v/>
      </c>
      <c r="E5">
        <f>(Inputs!$B$12+1)+0</f>
        <v/>
      </c>
      <c r="F5">
        <f>Summary!$B$3</f>
        <v/>
      </c>
      <c r="G5">
        <f>B112</f>
        <v/>
      </c>
      <c r="H5">
        <f>Summary!$B$3*(((1-Summary!$B$11)*IFERROR(B110/Summary!$B$24,1)+Summary!$B$11*IFERROR(B111/Summary!$B$25,1))-1)</f>
        <v/>
      </c>
      <c r="I5">
        <f>((1-Summary!$B$11)*IFERROR(B110/Summary!$B$24,1)+Summary!$B$11*IFERROR(B111/Summary!$B$25,1))*100</f>
        <v/>
      </c>
    </row>
    <row r="6">
      <c r="A6" t="inlineStr">
        <is>
          <t>DEX %</t>
        </is>
      </c>
      <c r="B6">
        <f>IFERROR(1/(I6-100),"n/a")</f>
        <v/>
      </c>
      <c r="C6" t="inlineStr">
        <is>
          <t>pct</t>
        </is>
      </c>
      <c r="D6">
        <f>Inputs!$B$13+0</f>
        <v/>
      </c>
      <c r="E6">
        <f>(Inputs!$B$13+1)+0</f>
        <v/>
      </c>
      <c r="F6">
        <f>Summary!$B$3</f>
        <v/>
      </c>
      <c r="G6">
        <f>B158</f>
        <v/>
      </c>
      <c r="H6">
        <f>Summary!$B$3*(((1-Summary!$B$11)*IFERROR(B156/Summary!$B$24,1)+Summary!$B$11*IFERROR(B157/Summary!$B$25,1))-1)</f>
        <v/>
      </c>
      <c r="I6">
        <f>((1-Summary!$B$11)*IFERROR(B156/Summary!$B$24,1)+Summary!$B$11*IFERROR(B157/Summary!$B$25,1))*100</f>
        <v/>
      </c>
    </row>
    <row r="7">
      <c r="A7" t="inlineStr">
        <is>
          <t>STR</t>
        </is>
      </c>
      <c r="B7">
        <f>IFERROR(1/(I7-100),"n/a")</f>
        <v/>
      </c>
      <c r="C7" t="inlineStr">
        <is>
          <t>flat</t>
        </is>
      </c>
      <c r="D7">
        <f>Inputs!$B$14+0</f>
        <v/>
      </c>
      <c r="E7">
        <f>(Inputs!$B$14+1)+0</f>
        <v/>
      </c>
      <c r="F7">
        <f>Summary!$B$3</f>
        <v/>
      </c>
      <c r="G7">
        <f>B204</f>
        <v/>
      </c>
      <c r="H7">
        <f>Summary!$B$3*(((1-Summary!$B$11)*IFERROR(B202/Summary!$B$24,1)+Summary!$B$11*IFERROR(B203/Summary!$B$25,1))-1)</f>
        <v/>
      </c>
      <c r="I7">
        <f>((1-Summary!$B$11)*IFERROR(B202/Summary!$B$24,1)+Summary!$B$11*IFERROR(B203/Summary!$B$25,1))*100</f>
        <v/>
      </c>
    </row>
    <row r="8">
      <c r="A8" t="inlineStr">
        <is>
          <t>DAMAGE %</t>
        </is>
      </c>
      <c r="B8">
        <f>IFERROR(1/(I8-100),"n/a")</f>
        <v/>
      </c>
      <c r="C8" t="inlineStr">
        <is>
          <t>pct</t>
        </is>
      </c>
      <c r="D8">
        <f>Inputs!$B$15+0</f>
        <v/>
      </c>
      <c r="E8">
        <f>(Inputs!$B$15+1)+0</f>
        <v/>
      </c>
      <c r="F8">
        <f>Summary!$B$3</f>
        <v/>
      </c>
      <c r="G8">
        <f>B250</f>
        <v/>
      </c>
      <c r="H8">
        <f>Summary!$B$3*(((1-Summary!$B$11)*IFERROR(B248/Summary!$B$24,1)+Summary!$B$11*IFERROR(B249/Summary!$B$25,1))-1)</f>
        <v/>
      </c>
      <c r="I8">
        <f>((1-Summary!$B$11)*IFERROR(B248/Summary!$B$24,1)+Summary!$B$11*IFERROR(B249/Summary!$B$25,1))*100</f>
        <v/>
      </c>
    </row>
    <row r="9">
      <c r="A9" t="inlineStr">
        <is>
          <t>DAMAGE_AMP %</t>
        </is>
      </c>
      <c r="B9">
        <f>IFERROR(1/(I9-100),"n/a")</f>
        <v/>
      </c>
      <c r="C9" t="inlineStr">
        <is>
          <t>pct</t>
        </is>
      </c>
      <c r="D9">
        <f>Inputs!$B$16+0</f>
        <v/>
      </c>
      <c r="E9">
        <f>(Inputs!$B$16+1)+0</f>
        <v/>
      </c>
      <c r="F9">
        <f>Summary!$B$3</f>
        <v/>
      </c>
      <c r="G9">
        <f>B296</f>
        <v/>
      </c>
      <c r="H9">
        <f>Summary!$B$3*(((1-Summary!$B$11)*IFERROR(B294/Summary!$B$24,1)+Summary!$B$11*IFERROR(B295/Summary!$B$25,1))-1)</f>
        <v/>
      </c>
      <c r="I9">
        <f>((1-Summary!$B$11)*IFERROR(B294/Summary!$B$24,1)+Summary!$B$11*IFERROR(B295/Summary!$B$25,1))*100</f>
        <v/>
      </c>
    </row>
    <row r="10">
      <c r="A10" t="inlineStr">
        <is>
          <t>BOSS_DAMAGE %</t>
        </is>
      </c>
      <c r="B10">
        <f>IFERROR(1/(I10-100),"n/a")</f>
        <v/>
      </c>
      <c r="C10" t="inlineStr">
        <is>
          <t>pct</t>
        </is>
      </c>
      <c r="D10">
        <f>Inputs!$B$20+0</f>
        <v/>
      </c>
      <c r="E10">
        <f>(Inputs!$B$20+1)+0</f>
        <v/>
      </c>
      <c r="F10">
        <f>Summary!$B$3</f>
        <v/>
      </c>
      <c r="G10">
        <f>B342</f>
        <v/>
      </c>
      <c r="H10">
        <f>Summary!$B$3*(((1-Summary!$B$11)*IFERROR(B340/Summary!$B$24,1)+Summary!$B$11*IFERROR(B341/Summary!$B$25,1))-1)</f>
        <v/>
      </c>
      <c r="I10">
        <f>((1-Summary!$B$11)*IFERROR(B340/Summary!$B$24,1)+Summary!$B$11*IFERROR(B341/Summary!$B$25,1))*100</f>
        <v/>
      </c>
    </row>
    <row r="11">
      <c r="A11" t="inlineStr">
        <is>
          <t>NORMAL_DAMAGE %</t>
        </is>
      </c>
      <c r="B11">
        <f>IFERROR(1/(I11-100),"n/a")</f>
        <v/>
      </c>
      <c r="C11" t="inlineStr">
        <is>
          <t>pct</t>
        </is>
      </c>
      <c r="D11">
        <f>Inputs!$B$21+0</f>
        <v/>
      </c>
      <c r="E11">
        <f>(Inputs!$B$21+1)+0</f>
        <v/>
      </c>
      <c r="F11">
        <f>Summary!$B$3</f>
        <v/>
      </c>
      <c r="G11">
        <f>B388</f>
        <v/>
      </c>
      <c r="H11">
        <f>Summary!$B$3*(((1-Summary!$B$11)*IFERROR(B386/Summary!$B$24,1)+Summary!$B$11*IFERROR(B387/Summary!$B$25,1))-1)</f>
        <v/>
      </c>
      <c r="I11">
        <f>((1-Summary!$B$11)*IFERROR(B386/Summary!$B$24,1)+Summary!$B$11*IFERROR(B387/Summary!$B$25,1))*100</f>
        <v/>
      </c>
    </row>
    <row r="12">
      <c r="A12" t="inlineStr">
        <is>
          <t>FINAL_DAMAGE % (multiplicative source)</t>
        </is>
      </c>
      <c r="B12">
        <f>IFERROR(1/(I12-100),"n/a")</f>
        <v/>
      </c>
      <c r="C12" t="inlineStr">
        <is>
          <t>mult</t>
        </is>
      </c>
      <c r="D12">
        <f>Inputs!$B$24+Summary!$B$21</f>
        <v/>
      </c>
      <c r="E12">
        <f>((((1+(Inputs!$B$24+Summary!$B$21)/100)*(1.01))-1)*100-(Summary!$B$21))+Summary!$B$21</f>
        <v/>
      </c>
      <c r="F12">
        <f>Summary!$B$3</f>
        <v/>
      </c>
      <c r="G12">
        <f>B434</f>
        <v/>
      </c>
      <c r="H12">
        <f>Summary!$B$3*(((1-Summary!$B$11)*IFERROR(B432/Summary!$B$24,1)+Summary!$B$11*IFERROR(B433/Summary!$B$25,1))-1)</f>
        <v/>
      </c>
      <c r="I12">
        <f>((1-Summary!$B$11)*IFERROR(B432/Summary!$B$24,1)+Summary!$B$11*IFERROR(B433/Summary!$B$25,1))*100</f>
        <v/>
      </c>
    </row>
    <row r="13">
      <c r="A13" t="inlineStr">
        <is>
          <t>MIN_DAMAGE %</t>
        </is>
      </c>
      <c r="B13">
        <f>IFERROR(1/(I13-100),"n/a")</f>
        <v/>
      </c>
      <c r="C13" t="inlineStr">
        <is>
          <t>pct</t>
        </is>
      </c>
      <c r="D13">
        <f>Inputs!$B$22+0</f>
        <v/>
      </c>
      <c r="E13">
        <f>(Inputs!$B$22+1)+0</f>
        <v/>
      </c>
      <c r="F13">
        <f>Summary!$B$3</f>
        <v/>
      </c>
      <c r="G13">
        <f>B480</f>
        <v/>
      </c>
      <c r="H13">
        <f>Summary!$B$3*(((1-Summary!$B$11)*IFERROR(B478/Summary!$B$24,1)+Summary!$B$11*IFERROR(B479/Summary!$B$25,1))-1)</f>
        <v/>
      </c>
      <c r="I13">
        <f>((1-Summary!$B$11)*IFERROR(B478/Summary!$B$24,1)+Summary!$B$11*IFERROR(B479/Summary!$B$25,1))*100</f>
        <v/>
      </c>
    </row>
    <row r="14">
      <c r="A14" t="inlineStr">
        <is>
          <t>MAX_DAMAGE %</t>
        </is>
      </c>
      <c r="B14">
        <f>IFERROR(1/(I14-100),"n/a")</f>
        <v/>
      </c>
      <c r="C14" t="inlineStr">
        <is>
          <t>pct</t>
        </is>
      </c>
      <c r="D14">
        <f>Inputs!$B$23+0</f>
        <v/>
      </c>
      <c r="E14">
        <f>(Inputs!$B$23+1)+0</f>
        <v/>
      </c>
      <c r="F14">
        <f>Summary!$B$3</f>
        <v/>
      </c>
      <c r="G14">
        <f>B526</f>
        <v/>
      </c>
      <c r="H14">
        <f>Summary!$B$3*(((1-Summary!$B$11)*IFERROR(B524/Summary!$B$24,1)+Summary!$B$11*IFERROR(B525/Summary!$B$25,1))-1)</f>
        <v/>
      </c>
      <c r="I14">
        <f>((1-Summary!$B$11)*IFERROR(B524/Summary!$B$24,1)+Summary!$B$11*IFERROR(B525/Summary!$B$25,1))*100</f>
        <v/>
      </c>
    </row>
    <row r="15">
      <c r="A15" t="inlineStr">
        <is>
          <t>CRIT_RATE %</t>
        </is>
      </c>
      <c r="B15">
        <f>IFERROR(1/(I15-100),"n/a")</f>
        <v/>
      </c>
      <c r="C15" t="inlineStr">
        <is>
          <t>pct</t>
        </is>
      </c>
      <c r="D15">
        <f>Inputs!$B$9+0</f>
        <v/>
      </c>
      <c r="E15">
        <f>(Inputs!$B$9+1)+0</f>
        <v/>
      </c>
      <c r="F15">
        <f>Summary!$B$3</f>
        <v/>
      </c>
      <c r="G15">
        <f>B572</f>
        <v/>
      </c>
      <c r="H15">
        <f>Summary!$B$3*(((1-Summary!$B$11)*IFERROR(B570/Summary!$B$24,1)+Summary!$B$11*IFERROR(B571/Summary!$B$25,1))-1)</f>
        <v/>
      </c>
      <c r="I15">
        <f>((1-Summary!$B$11)*IFERROR(B570/Summary!$B$24,1)+Summary!$B$11*IFERROR(B571/Summary!$B$25,1))*100</f>
        <v/>
      </c>
    </row>
    <row r="16">
      <c r="A16" t="inlineStr">
        <is>
          <t>CRIT_DAMAGE %</t>
        </is>
      </c>
      <c r="B16">
        <f>IFERROR(1/(I16-100),"n/a")</f>
        <v/>
      </c>
      <c r="C16" t="inlineStr">
        <is>
          <t>pct</t>
        </is>
      </c>
      <c r="D16">
        <f>Inputs!$B$10+0</f>
        <v/>
      </c>
      <c r="E16">
        <f>(Inputs!$B$10+1)+0</f>
        <v/>
      </c>
      <c r="F16">
        <f>Summary!$B$3</f>
        <v/>
      </c>
      <c r="G16">
        <f>B618</f>
        <v/>
      </c>
      <c r="H16">
        <f>Summary!$B$3*(((1-Summary!$B$11)*IFERROR(B616/Summary!$B$24,1)+Summary!$B$11*IFERROR(B617/Summary!$B$25,1))-1)</f>
        <v/>
      </c>
      <c r="I16">
        <f>((1-Summary!$B$11)*IFERROR(B616/Summary!$B$24,1)+Summary!$B$11*IFERROR(B617/Summary!$B$25,1))*100</f>
        <v/>
      </c>
    </row>
    <row r="17">
      <c r="A17" t="inlineStr">
        <is>
          <t>ATTACK_SPEED % (diminishing returns, factor 150)</t>
        </is>
      </c>
      <c r="B17">
        <f>IFERROR(1/(I17-100),"n/a")</f>
        <v/>
      </c>
      <c r="C17" t="inlineStr">
        <is>
          <t>dr150</t>
        </is>
      </c>
      <c r="D17">
        <f>Inputs!$B$11+0</f>
        <v/>
      </c>
      <c r="E17">
        <f>((1-(1-Inputs!$B$11/150)*(1-1/150))*150)+0</f>
        <v/>
      </c>
      <c r="F17">
        <f>Summary!$B$3</f>
        <v/>
      </c>
      <c r="G17">
        <f>B664</f>
        <v/>
      </c>
      <c r="H17">
        <f>Summary!$B$3*(((1-Summary!$B$11)*IFERROR(B662/Summary!$B$24,1)+Summary!$B$11*IFERROR(B663/Summary!$B$25,1))-1)</f>
        <v/>
      </c>
      <c r="I17">
        <f>((1-Summary!$B$11)*IFERROR(B662/Summary!$B$24,1)+Summary!$B$11*IFERROR(B663/Summary!$B$25,1))*100</f>
        <v/>
      </c>
    </row>
    <row r="18">
      <c r="A18" t="inlineStr">
        <is>
          <t>DEF_PEN % (diminishing returns, factor 100)</t>
        </is>
      </c>
      <c r="B18">
        <f>IFERROR(1/(I18-100),"n/a")</f>
        <v/>
      </c>
      <c r="C18" t="inlineStr">
        <is>
          <t>dr100</t>
        </is>
      </c>
      <c r="D18">
        <f>Inputs!$B$19+0</f>
        <v/>
      </c>
      <c r="E18">
        <f>((1-(1-Inputs!$B$19/100)*(1-1/100))*100)+0</f>
        <v/>
      </c>
      <c r="F18">
        <f>Summary!$B$3</f>
        <v/>
      </c>
      <c r="G18">
        <f>B710</f>
        <v/>
      </c>
      <c r="H18">
        <f>Summary!$B$3*(((1-Summary!$B$11)*IFERROR(B708/Summary!$B$24,1)+Summary!$B$11*IFERROR(B709/Summary!$B$25,1))-1)</f>
        <v/>
      </c>
      <c r="I18">
        <f>((1-Summary!$B$11)*IFERROR(B708/Summary!$B$24,1)+Summary!$B$11*IFERROR(B709/Summary!$B$25,1))*100</f>
        <v/>
      </c>
    </row>
    <row r="19">
      <c r="A19" t="inlineStr">
        <is>
          <t>BASIC_ATTACK_DAMAGE %</t>
        </is>
      </c>
      <c r="B19">
        <f>IFERROR(1/(I19-100),"n/a")</f>
        <v/>
      </c>
      <c r="C19" t="inlineStr">
        <is>
          <t>pct</t>
        </is>
      </c>
      <c r="D19">
        <f>Inputs!$B$17+0</f>
        <v/>
      </c>
      <c r="E19">
        <f>(Inputs!$B$17+1)+0</f>
        <v/>
      </c>
      <c r="F19">
        <f>Summary!$B$3</f>
        <v/>
      </c>
      <c r="G19">
        <f>B756</f>
        <v/>
      </c>
      <c r="H19">
        <f>Summary!$B$3*(((1-Summary!$B$11)*IFERROR(B754/Summary!$B$24,1)+Summary!$B$11*IFERROR(B755/Summary!$B$25,1))-1)</f>
        <v/>
      </c>
      <c r="I19">
        <f>((1-Summary!$B$11)*IFERROR(B754/Summary!$B$24,1)+Summary!$B$11*IFERROR(B755/Summary!$B$25,1))*100</f>
        <v/>
      </c>
    </row>
    <row r="20">
      <c r="A20" t="inlineStr">
        <is>
          <t>SKILL_DAMAGE %</t>
        </is>
      </c>
      <c r="B20">
        <f>IFERROR(1/(I20-100),"n/a")</f>
        <v/>
      </c>
      <c r="C20" t="inlineStr">
        <is>
          <t>pct</t>
        </is>
      </c>
      <c r="D20">
        <f>Inputs!$B$18+0</f>
        <v/>
      </c>
      <c r="E20">
        <f>(Inputs!$B$18+1)+0</f>
        <v/>
      </c>
      <c r="F20">
        <f>Summary!$B$3</f>
        <v/>
      </c>
      <c r="G20">
        <f>B802</f>
        <v/>
      </c>
      <c r="H20">
        <f>Summary!$B$3*(((1-Summary!$B$11)*IFERROR(B800/Summary!$B$24,1)+Summary!$B$11*IFERROR(B801/Summary!$B$25,1))-1)</f>
        <v/>
      </c>
      <c r="I20">
        <f>((1-Summary!$B$11)*IFERROR(B800/Summary!$B$24,1)+Summary!$B$11*IFERROR(B801/Summary!$B$25,1))*100</f>
        <v/>
      </c>
    </row>
    <row r="21">
      <c r="A21" t="inlineStr">
        <is>
          <t>Skill Level Bonus — 1st Job</t>
        </is>
      </c>
      <c r="B21">
        <f>IFERROR(1/(I21-100),"n/a")</f>
        <v/>
      </c>
      <c r="C21" t="inlineStr">
        <is>
          <t>level</t>
        </is>
      </c>
      <c r="D21">
        <f>Inputs!$B$25+0</f>
        <v/>
      </c>
      <c r="E21">
        <f>(Inputs!$B$25+1)+0</f>
        <v/>
      </c>
      <c r="F21">
        <f>Summary!$B$3</f>
        <v/>
      </c>
      <c r="G21">
        <f>B848</f>
        <v/>
      </c>
      <c r="H21">
        <f>Summary!$B$3*(((1-Summary!$B$11)*IFERROR(B846/Summary!$B$24,1)+Summary!$B$11*IFERROR(B847/Summary!$B$25,1))-1)</f>
        <v/>
      </c>
      <c r="I21">
        <f>((1-Summary!$B$11)*IFERROR(B846/Summary!$B$24,1)+Summary!$B$11*IFERROR(B847/Summary!$B$25,1))*100</f>
        <v/>
      </c>
    </row>
    <row r="22">
      <c r="A22" t="inlineStr">
        <is>
          <t>Skill Level Bonus — 2nd Job</t>
        </is>
      </c>
      <c r="B22">
        <f>IFERROR(1/(I22-100),"n/a")</f>
        <v/>
      </c>
      <c r="C22" t="inlineStr">
        <is>
          <t>level</t>
        </is>
      </c>
      <c r="D22">
        <f>Inputs!$B$26+0</f>
        <v/>
      </c>
      <c r="E22">
        <f>(Inputs!$B$26+1)+0</f>
        <v/>
      </c>
      <c r="F22">
        <f>Summary!$B$3</f>
        <v/>
      </c>
      <c r="G22">
        <f>B894</f>
        <v/>
      </c>
      <c r="H22">
        <f>Summary!$B$3*(((1-Summary!$B$11)*IFERROR(B892/Summary!$B$24,1)+Summary!$B$11*IFERROR(B893/Summary!$B$25,1))-1)</f>
        <v/>
      </c>
      <c r="I22">
        <f>((1-Summary!$B$11)*IFERROR(B892/Summary!$B$24,1)+Summary!$B$11*IFERROR(B893/Summary!$B$25,1))*100</f>
        <v/>
      </c>
    </row>
    <row r="23">
      <c r="A23" t="inlineStr">
        <is>
          <t>Skill Level Bonus — 3rd Job</t>
        </is>
      </c>
      <c r="B23">
        <f>IFERROR(1/(I23-100),"n/a")</f>
        <v/>
      </c>
      <c r="C23" t="inlineStr">
        <is>
          <t>level</t>
        </is>
      </c>
      <c r="D23">
        <f>Inputs!$B$27+0</f>
        <v/>
      </c>
      <c r="E23">
        <f>(Inputs!$B$27+1)+0</f>
        <v/>
      </c>
      <c r="F23">
        <f>Summary!$B$3</f>
        <v/>
      </c>
      <c r="G23">
        <f>B940</f>
        <v/>
      </c>
      <c r="H23">
        <f>Summary!$B$3*(((1-Summary!$B$11)*IFERROR(B938/Summary!$B$24,1)+Summary!$B$11*IFERROR(B939/Summary!$B$25,1))-1)</f>
        <v/>
      </c>
      <c r="I23">
        <f>((1-Summary!$B$11)*IFERROR(B938/Summary!$B$24,1)+Summary!$B$11*IFERROR(B939/Summary!$B$25,1))*100</f>
        <v/>
      </c>
    </row>
    <row r="24">
      <c r="A24" t="inlineStr">
        <is>
          <t>Skill Level Bonus — 4th Job</t>
        </is>
      </c>
      <c r="B24">
        <f>IFERROR(1/(I24-100),"n/a")</f>
        <v/>
      </c>
      <c r="C24" t="inlineStr">
        <is>
          <t>level</t>
        </is>
      </c>
      <c r="D24">
        <f>Inputs!$B$28+0</f>
        <v/>
      </c>
      <c r="E24">
        <f>(Inputs!$B$28+1)+0</f>
        <v/>
      </c>
      <c r="F24">
        <f>Summary!$B$3</f>
        <v/>
      </c>
      <c r="G24">
        <f>B986</f>
        <v/>
      </c>
      <c r="H24">
        <f>Summary!$B$3*(((1-Summary!$B$11)*IFERROR(B984/Summary!$B$24,1)+Summary!$B$11*IFERROR(B985/Summary!$B$25,1))-1)</f>
        <v/>
      </c>
      <c r="I24">
        <f>((1-Summary!$B$11)*IFERROR(B984/Summary!$B$24,1)+Summary!$B$11*IFERROR(B985/Summary!$B$25,1))*100</f>
        <v/>
      </c>
    </row>
    <row r="25">
      <c r="A25" t="inlineStr">
        <is>
          <t>Skill Level Bonus — All Skills</t>
        </is>
      </c>
      <c r="B25">
        <f>IFERROR(1/(I25-100),"n/a")</f>
        <v/>
      </c>
      <c r="C25" t="inlineStr">
        <is>
          <t>level</t>
        </is>
      </c>
      <c r="D25">
        <f>Inputs!$B$29+0</f>
        <v/>
      </c>
      <c r="E25">
        <f>(Inputs!$B$29+1)+0</f>
        <v/>
      </c>
      <c r="F25">
        <f>Summary!$B$3</f>
        <v/>
      </c>
      <c r="G25">
        <f>B1032</f>
        <v/>
      </c>
      <c r="H25">
        <f>Summary!$B$3*(((1-Summary!$B$11)*IFERROR(B1030/Summary!$B$24,1)+Summary!$B$11*IFERROR(B1031/Summary!$B$25,1))-1)</f>
        <v/>
      </c>
      <c r="I25">
        <f>((1-Summary!$B$11)*IFERROR(B1030/Summary!$B$24,1)+Summary!$B$11*IFERROR(B1031/Summary!$B$25,1))*100</f>
        <v/>
      </c>
    </row>
    <row r="26">
      <c r="A26" t="inlineStr">
        <is>
          <t>Flat ATTACK</t>
        </is>
      </c>
      <c r="B26">
        <f>IFERROR(1/(I26-100),"n/a")</f>
        <v/>
      </c>
      <c r="C26" t="inlineStr">
        <is>
          <t>flat</t>
        </is>
      </c>
      <c r="D26">
        <f>Inputs!$B$6+0</f>
        <v/>
      </c>
      <c r="E26">
        <f>(Inputs!$B$6+1)+0</f>
        <v/>
      </c>
      <c r="F26">
        <f>Summary!$B$3</f>
        <v/>
      </c>
      <c r="G26">
        <f>B1078</f>
        <v/>
      </c>
      <c r="H26">
        <f>Summary!$B$3*(((1-Summary!$B$11)*IFERROR(B1076/Summary!$B$24,1)+Summary!$B$11*IFERROR(B1077/Summary!$B$25,1))-1)</f>
        <v/>
      </c>
      <c r="I26">
        <f>((1-Summary!$B$11)*IFERROR(B1076/Summary!$B$24,1)+Summary!$B$11*IFERROR(B1077/Summary!$B$25,1))*100</f>
        <v/>
      </c>
    </row>
    <row r="27">
      <c r="A27" t="inlineStr">
        <is>
          <t>ATTACK %</t>
        </is>
      </c>
      <c r="B27">
        <f>IFERROR(1/(I27-100),"n/a")</f>
        <v/>
      </c>
      <c r="C27" t="inlineStr">
        <is>
          <t>pct</t>
        </is>
      </c>
      <c r="D27">
        <f>Inputs!$B$7+0</f>
        <v/>
      </c>
      <c r="E27">
        <f>(Inputs!$B$7+1)+0</f>
        <v/>
      </c>
      <c r="F27">
        <f>Summary!$B$3</f>
        <v/>
      </c>
      <c r="G27">
        <f>B1124</f>
        <v/>
      </c>
      <c r="H27">
        <f>Summary!$B$3*(((1-Summary!$B$11)*IFERROR(B1122/Summary!$B$24,1)+Summary!$B$11*IFERROR(B1123/Summary!$B$25,1))-1)</f>
        <v/>
      </c>
      <c r="I27">
        <f>((1-Summary!$B$11)*IFERROR(B1122/Summary!$B$24,1)+Summary!$B$11*IFERROR(B1123/Summary!$B$25,1))*100</f>
        <v/>
      </c>
    </row>
    <row r="28">
      <c r="A28" t="inlineStr">
        <is>
          <t>Skill Cooldown Decrease (seconds)</t>
        </is>
      </c>
      <c r="B28">
        <f>IFERROR(1/(I28-100),"n/a")</f>
        <v/>
      </c>
      <c r="C28" t="inlineStr">
        <is>
          <t>flat</t>
        </is>
      </c>
      <c r="D28">
        <f>Inputs!$B$32+0</f>
        <v/>
      </c>
      <c r="E28">
        <f>(Inputs!$B$32+1)+0</f>
        <v/>
      </c>
      <c r="F28">
        <f>Summary!$B$3</f>
        <v/>
      </c>
      <c r="G28">
        <f>B1170</f>
        <v/>
      </c>
      <c r="H28">
        <f>Summary!$B$3*(((1-Summary!$B$11)*IFERROR(B1168/Summary!$B$24,1)+Summary!$B$11*IFERROR(B1169/Summary!$B$25,1))-1)</f>
        <v/>
      </c>
      <c r="I28">
        <f>((1-Summary!$B$11)*IFERROR(B1168/Summary!$B$24,1)+Summary!$B$11*IFERROR(B1169/Summary!$B$25,1))*100</f>
        <v/>
      </c>
    </row>
    <row r="29">
      <c r="A29" t="inlineStr">
        <is>
          <t>Basic Attack Target Increase (flat)</t>
        </is>
      </c>
      <c r="B29">
        <f>IFERROR(1/(I29-100),"n/a")</f>
        <v/>
      </c>
      <c r="C29" t="inlineStr">
        <is>
          <t>flat</t>
        </is>
      </c>
      <c r="D29">
        <f>Inputs!$B$33+0</f>
        <v/>
      </c>
      <c r="E29">
        <f>(Inputs!$B$33+1)+0</f>
        <v/>
      </c>
      <c r="F29">
        <f>Summary!$B$3</f>
        <v/>
      </c>
      <c r="G29">
        <f>B1216</f>
        <v/>
      </c>
      <c r="H29">
        <f>Summary!$B$3*(((1-Summary!$B$11)*IFERROR(B1214/Summary!$B$24,1)+Summary!$B$11*IFERROR(B1215/Summary!$B$25,1))-1)</f>
        <v/>
      </c>
      <c r="I29">
        <f>((1-Summary!$B$11)*IFERROR(B1214/Summary!$B$24,1)+Summary!$B$11*IFERROR(B1215/Summary!$B$25,1))*100</f>
        <v/>
      </c>
    </row>
    <row r="30">
      <c r="A30" t="inlineStr">
        <is>
          <t>Buff Duration Increase %</t>
        </is>
      </c>
      <c r="B30">
        <f>IFERROR(1/(I30-100),"n/a")</f>
        <v/>
      </c>
      <c r="C30" t="inlineStr">
        <is>
          <t>pct</t>
        </is>
      </c>
      <c r="D30">
        <f>Inputs!$B$34+0</f>
        <v/>
      </c>
      <c r="E30">
        <f>(Inputs!$B$34+1)+0</f>
        <v/>
      </c>
      <c r="F30">
        <f>Summary!$B$3</f>
        <v/>
      </c>
      <c r="G30">
        <f>B1262</f>
        <v/>
      </c>
      <c r="H30">
        <f>Summary!$B$3*(((1-Summary!$B$11)*IFERROR(B1260/Summary!$B$24,1)+Summary!$B$11*IFERROR(B1261/Summary!$B$25,1))-1)</f>
        <v/>
      </c>
      <c r="I30">
        <f>((1-Summary!$B$11)*IFERROR(B1260/Summary!$B$24,1)+Summary!$B$11*IFERROR(B1261/Summary!$B$25,1))*100</f>
        <v/>
      </c>
    </row>
    <row r="31">
      <c r="A31" s="9" t="inlineStr">
        <is>
          <t>Artifact Equip-Toggle DPS Gain</t>
        </is>
      </c>
    </row>
    <row r="32">
      <c r="A32" s="5" t="inlineStr">
        <is>
          <t>Artifact</t>
        </is>
      </c>
      <c r="B32" s="5" t="inlineStr">
        <is>
          <t>DPS Gain</t>
        </is>
      </c>
      <c r="C32" s="5" t="inlineStr">
        <is>
          <t>% Gain</t>
        </is>
      </c>
    </row>
    <row r="33">
      <c r="A33">
        <f>IF(1&gt;COUNTIF($AD$33:$AD$68,TRUE),"",INDEX($AA$33:$AA$68,MATCH(1,$AE$33:$AE$68,0)))</f>
        <v/>
      </c>
      <c r="B33">
        <f>IF(1&gt;COUNTIF($AD$33:$AD$68,TRUE),"",INDEX($AB$33:$AB$68,MATCH(1,$AE$33:$AE$68,0)))</f>
        <v/>
      </c>
      <c r="C33">
        <f>IF(1&gt;COUNTIF($AD$33:$AD$68,TRUE),"",INDEX($AC$33:$AC$68,MATCH(1,$AE$33:$AE$68,0)))</f>
        <v/>
      </c>
      <c r="AA33" t="inlineStr">
        <is>
          <t>Charm of the Undead (Equip)</t>
        </is>
      </c>
      <c r="AB33">
        <f>(IF(ArtifactsInput!$M$5,-1,1)*Summary!$B$3*(((1-Summary!$B$11)*IFERROR(B1306/Summary!$B$24,1)+Summary!$B$11*IFERROR(B1307/Summary!$B$25,1))-1)+ArtifactsInput!$L$5)</f>
        <v/>
      </c>
      <c r="AC33">
        <f>IF(ArtifactsInput!$M$5,Summary!$B$3/(Summary!$B$3-(IF(ArtifactsInput!$M$5,-1,1)*Summary!$B$3*(((1-Summary!$B$11)*IFERROR(B1306/Summary!$B$24,1)+Summary!$B$11*IFERROR(B1307/Summary!$B$25,1))-1)+ArtifactsInput!$L$5))*100,(Summary!$B$3+(IF(ArtifactsInput!$M$5,-1,1)*Summary!$B$3*(((1-Summary!$B$11)*IFERROR(B1306/Summary!$B$24,1)+Summary!$B$11*IFERROR(B1307/Summary!$B$25,1))-1)+ArtifactsInput!$L$5))/Summary!$B$3*100)</f>
        <v/>
      </c>
      <c r="AD33">
        <f>ArtifactsInput!$B$5&lt;&gt;"Not Unlocked"</f>
        <v/>
      </c>
      <c r="AE33">
        <f>IF(AD33,SUMPRODUCT(($AD$33:$AD$68)*($AC$33:$AC$68&gt;AC33))+COUNTIFS($AD$33:AD33,TRUE,$AC$33:AC33,AC33),"")</f>
        <v/>
      </c>
    </row>
    <row r="34">
      <c r="A34">
        <f>IF(2&gt;COUNTIF($AD$33:$AD$68,TRUE),"",INDEX($AA$33:$AA$68,MATCH(2,$AE$33:$AE$68,0)))</f>
        <v/>
      </c>
      <c r="B34">
        <f>IF(2&gt;COUNTIF($AD$33:$AD$68,TRUE),"",INDEX($AB$33:$AB$68,MATCH(2,$AE$33:$AE$68,0)))</f>
        <v/>
      </c>
      <c r="C34">
        <f>IF(2&gt;COUNTIF($AD$33:$AD$68,TRUE),"",INDEX($AC$33:$AC$68,MATCH(2,$AE$33:$AE$68,0)))</f>
        <v/>
      </c>
      <c r="AA34" t="inlineStr">
        <is>
          <t>Pig's Ribbon (Equip)</t>
        </is>
      </c>
      <c r="AB34">
        <f>(IF(ArtifactsInput!$M$6,-1,1)*Summary!$B$3*(((1-Summary!$B$11)*IFERROR(B1352/Summary!$B$24,1)+Summary!$B$11*IFERROR(B1353/Summary!$B$25,1))-1)+ArtifactsInput!$L$6)</f>
        <v/>
      </c>
      <c r="AC34">
        <f>IF(ArtifactsInput!$M$6,Summary!$B$3/(Summary!$B$3-(IF(ArtifactsInput!$M$6,-1,1)*Summary!$B$3*(((1-Summary!$B$11)*IFERROR(B1352/Summary!$B$24,1)+Summary!$B$11*IFERROR(B1353/Summary!$B$25,1))-1)+ArtifactsInput!$L$6))*100,(Summary!$B$3+(IF(ArtifactsInput!$M$6,-1,1)*Summary!$B$3*(((1-Summary!$B$11)*IFERROR(B1352/Summary!$B$24,1)+Summary!$B$11*IFERROR(B1353/Summary!$B$25,1))-1)+ArtifactsInput!$L$6))/Summary!$B$3*100)</f>
        <v/>
      </c>
      <c r="AD34">
        <f>ArtifactsInput!$B$6&lt;&gt;"Not Unlocked"</f>
        <v/>
      </c>
      <c r="AE34">
        <f>IF(AD34,SUMPRODUCT(($AD$33:$AD$68)*($AC$33:$AC$68&gt;AC34))+COUNTIFS($AD$33:AD34,TRUE,$AC$33:AC34,AC34),"")</f>
        <v/>
      </c>
    </row>
    <row r="35">
      <c r="A35">
        <f>IF(3&gt;COUNTIF($AD$33:$AD$68,TRUE),"",INDEX($AA$33:$AA$68,MATCH(3,$AE$33:$AE$68,0)))</f>
        <v/>
      </c>
      <c r="B35">
        <f>IF(3&gt;COUNTIF($AD$33:$AD$68,TRUE),"",INDEX($AB$33:$AB$68,MATCH(3,$AE$33:$AE$68,0)))</f>
        <v/>
      </c>
      <c r="C35">
        <f>IF(3&gt;COUNTIF($AD$33:$AD$68,TRUE),"",INDEX($AC$33:$AC$68,MATCH(3,$AE$33:$AE$68,0)))</f>
        <v/>
      </c>
      <c r="AA35" t="inlineStr">
        <is>
          <t>Shamaness Marble (Equip)</t>
        </is>
      </c>
      <c r="AB35">
        <f>(IF(ArtifactsInput!$M$7,-1,1)*Summary!$B$3*(((1-Summary!$B$11)*IFERROR(B1398/Summary!$B$24,1)+Summary!$B$11*IFERROR(B1399/Summary!$B$25,1))-1)+ArtifactsInput!$L$7)</f>
        <v/>
      </c>
      <c r="AC35">
        <f>IF(ArtifactsInput!$M$7,Summary!$B$3/(Summary!$B$3-(IF(ArtifactsInput!$M$7,-1,1)*Summary!$B$3*(((1-Summary!$B$11)*IFERROR(B1398/Summary!$B$24,1)+Summary!$B$11*IFERROR(B1399/Summary!$B$25,1))-1)+ArtifactsInput!$L$7))*100,(Summary!$B$3+(IF(ArtifactsInput!$M$7,-1,1)*Summary!$B$3*(((1-Summary!$B$11)*IFERROR(B1398/Summary!$B$24,1)+Summary!$B$11*IFERROR(B1399/Summary!$B$25,1))-1)+ArtifactsInput!$L$7))/Summary!$B$3*100)</f>
        <v/>
      </c>
      <c r="AD35">
        <f>ArtifactsInput!$B$7&lt;&gt;"Not Unlocked"</f>
        <v/>
      </c>
      <c r="AE35">
        <f>IF(AD35,SUMPRODUCT(($AD$33:$AD$68)*($AC$33:$AC$68&gt;AC35))+COUNTIFS($AD$33:AD35,TRUE,$AC$33:AC35,AC35),"")</f>
        <v/>
      </c>
    </row>
    <row r="36">
      <c r="A36">
        <f>IF(4&gt;COUNTIF($AD$33:$AD$68,TRUE),"",INDEX($AA$33:$AA$68,MATCH(4,$AE$33:$AE$68,0)))</f>
        <v/>
      </c>
      <c r="B36">
        <f>IF(4&gt;COUNTIF($AD$33:$AD$68,TRUE),"",INDEX($AB$33:$AB$68,MATCH(4,$AE$33:$AE$68,0)))</f>
        <v/>
      </c>
      <c r="C36">
        <f>IF(4&gt;COUNTIF($AD$33:$AD$68,TRUE),"",INDEX($AC$33:$AC$68,MATCH(4,$AE$33:$AE$68,0)))</f>
        <v/>
      </c>
      <c r="AA36" t="inlineStr">
        <is>
          <t>The Contract of Darkness (Equip)</t>
        </is>
      </c>
      <c r="AB36">
        <f>(IF(ArtifactsInput!$M$8,-1,1)*Summary!$B$3*(((1-Summary!$B$11)*IFERROR(B1444/Summary!$B$24,1)+Summary!$B$11*IFERROR(B1445/Summary!$B$25,1))-1)+ArtifactsInput!$L$8)</f>
        <v/>
      </c>
      <c r="AC36">
        <f>IF(ArtifactsInput!$M$8,Summary!$B$3/(Summary!$B$3-(IF(ArtifactsInput!$M$8,-1,1)*Summary!$B$3*(((1-Summary!$B$11)*IFERROR(B1444/Summary!$B$24,1)+Summary!$B$11*IFERROR(B1445/Summary!$B$25,1))-1)+ArtifactsInput!$L$8))*100,(Summary!$B$3+(IF(ArtifactsInput!$M$8,-1,1)*Summary!$B$3*(((1-Summary!$B$11)*IFERROR(B1444/Summary!$B$24,1)+Summary!$B$11*IFERROR(B1445/Summary!$B$25,1))-1)+ArtifactsInput!$L$8))/Summary!$B$3*100)</f>
        <v/>
      </c>
      <c r="AD36">
        <f>ArtifactsInput!$B$8&lt;&gt;"Not Unlocked"</f>
        <v/>
      </c>
      <c r="AE36">
        <f>IF(AD36,SUMPRODUCT(($AD$33:$AD$68)*($AC$33:$AC$68&gt;AC36))+COUNTIFS($AD$33:AD36,TRUE,$AC$33:AC36,AC36),"")</f>
        <v/>
      </c>
    </row>
    <row r="37">
      <c r="A37">
        <f>IF(5&gt;COUNTIF($AD$33:$AD$68,TRUE),"",INDEX($AA$33:$AA$68,MATCH(5,$AE$33:$AE$68,0)))</f>
        <v/>
      </c>
      <c r="B37">
        <f>IF(5&gt;COUNTIF($AD$33:$AD$68,TRUE),"",INDEX($AB$33:$AB$68,MATCH(5,$AE$33:$AE$68,0)))</f>
        <v/>
      </c>
      <c r="C37">
        <f>IF(5&gt;COUNTIF($AD$33:$AD$68,TRUE),"",INDEX($AC$33:$AC$68,MATCH(5,$AE$33:$AE$68,0)))</f>
        <v/>
      </c>
      <c r="AA37" t="inlineStr">
        <is>
          <t>Rainbow-colored Snail Shell (Equip)</t>
        </is>
      </c>
      <c r="AB37">
        <f>(IF(ArtifactsInput!$M$10,-1,1)*Summary!$B$3*(((1-Summary!$B$11)*IFERROR(B1490/Summary!$B$24,1)+Summary!$B$11*IFERROR(B1491/Summary!$B$25,1))-1)+ArtifactsInput!$L$10)</f>
        <v/>
      </c>
      <c r="AC37">
        <f>IF(ArtifactsInput!$M$10,Summary!$B$3/(Summary!$B$3-(IF(ArtifactsInput!$M$10,-1,1)*Summary!$B$3*(((1-Summary!$B$11)*IFERROR(B1490/Summary!$B$24,1)+Summary!$B$11*IFERROR(B1491/Summary!$B$25,1))-1)+ArtifactsInput!$L$10))*100,(Summary!$B$3+(IF(ArtifactsInput!$M$10,-1,1)*Summary!$B$3*(((1-Summary!$B$11)*IFERROR(B1490/Summary!$B$24,1)+Summary!$B$11*IFERROR(B1491/Summary!$B$25,1))-1)+ArtifactsInput!$L$10))/Summary!$B$3*100)</f>
        <v/>
      </c>
      <c r="AD37">
        <f>ArtifactsInput!$B$10&lt;&gt;"Not Unlocked"</f>
        <v/>
      </c>
      <c r="AE37">
        <f>IF(AD37,SUMPRODUCT(($AD$33:$AD$68)*($AC$33:$AC$68&gt;AC37))+COUNTIFS($AD$33:AD37,TRUE,$AC$33:AC37,AC37),"")</f>
        <v/>
      </c>
    </row>
    <row r="38">
      <c r="A38">
        <f>IF(6&gt;COUNTIF($AD$33:$AD$68,TRUE),"",INDEX($AA$33:$AA$68,MATCH(6,$AE$33:$AE$68,0)))</f>
        <v/>
      </c>
      <c r="B38">
        <f>IF(6&gt;COUNTIF($AD$33:$AD$68,TRUE),"",INDEX($AB$33:$AB$68,MATCH(6,$AE$33:$AE$68,0)))</f>
        <v/>
      </c>
      <c r="C38">
        <f>IF(6&gt;COUNTIF($AD$33:$AD$68,TRUE),"",INDEX($AC$33:$AC$68,MATCH(6,$AE$33:$AE$68,0)))</f>
        <v/>
      </c>
      <c r="AA38" t="inlineStr">
        <is>
          <t>Hexagon Necklace (Equip)</t>
        </is>
      </c>
      <c r="AB38">
        <f>(IF(ArtifactsInput!$M$11,-1,1)*Summary!$B$3*(((1-Summary!$B$11)*IFERROR(B1536/Summary!$B$24,1)+Summary!$B$11*IFERROR(B1537/Summary!$B$25,1))-1)+ArtifactsInput!$L$11)</f>
        <v/>
      </c>
      <c r="AC38">
        <f>IF(ArtifactsInput!$M$11,Summary!$B$3/(Summary!$B$3-(IF(ArtifactsInput!$M$11,-1,1)*Summary!$B$3*(((1-Summary!$B$11)*IFERROR(B1536/Summary!$B$24,1)+Summary!$B$11*IFERROR(B1537/Summary!$B$25,1))-1)+ArtifactsInput!$L$11))*100,(Summary!$B$3+(IF(ArtifactsInput!$M$11,-1,1)*Summary!$B$3*(((1-Summary!$B$11)*IFERROR(B1536/Summary!$B$24,1)+Summary!$B$11*IFERROR(B1537/Summary!$B$25,1))-1)+ArtifactsInput!$L$11))/Summary!$B$3*100)</f>
        <v/>
      </c>
      <c r="AD38">
        <f>ArtifactsInput!$B$11&lt;&gt;"Not Unlocked"</f>
        <v/>
      </c>
      <c r="AE38">
        <f>IF(AD38,SUMPRODUCT(($AD$33:$AD$68)*($AC$33:$AC$68&gt;AC38))+COUNTIFS($AD$33:AD38,TRUE,$AC$33:AC38,AC38),"")</f>
        <v/>
      </c>
    </row>
    <row r="39">
      <c r="A39">
        <f>IF(7&gt;COUNTIF($AD$33:$AD$68,TRUE),"",INDEX($AA$33:$AA$68,MATCH(7,$AE$33:$AE$68,0)))</f>
        <v/>
      </c>
      <c r="B39">
        <f>IF(7&gt;COUNTIF($AD$33:$AD$68,TRUE),"",INDEX($AB$33:$AB$68,MATCH(7,$AE$33:$AE$68,0)))</f>
        <v/>
      </c>
      <c r="C39">
        <f>IF(7&gt;COUNTIF($AD$33:$AD$68,TRUE),"",INDEX($AC$33:$AC$68,MATCH(7,$AE$33:$AE$68,0)))</f>
        <v/>
      </c>
      <c r="AA39" t="inlineStr">
        <is>
          <t>Arwen's Glass Shoes (Equip)</t>
        </is>
      </c>
      <c r="AB39">
        <f>(IF(ArtifactsInput!$M$12,-1,1)*Summary!$B$3*(((1-Summary!$B$11)*IFERROR(B1582/Summary!$B$24,1)+Summary!$B$11*IFERROR(B1583/Summary!$B$25,1))-1)+ArtifactsInput!$L$12)</f>
        <v/>
      </c>
      <c r="AC39">
        <f>IF(ArtifactsInput!$M$12,Summary!$B$3/(Summary!$B$3-(IF(ArtifactsInput!$M$12,-1,1)*Summary!$B$3*(((1-Summary!$B$11)*IFERROR(B1582/Summary!$B$24,1)+Summary!$B$11*IFERROR(B1583/Summary!$B$25,1))-1)+ArtifactsInput!$L$12))*100,(Summary!$B$3+(IF(ArtifactsInput!$M$12,-1,1)*Summary!$B$3*(((1-Summary!$B$11)*IFERROR(B1582/Summary!$B$24,1)+Summary!$B$11*IFERROR(B1583/Summary!$B$25,1))-1)+ArtifactsInput!$L$12))/Summary!$B$3*100)</f>
        <v/>
      </c>
      <c r="AD39">
        <f>ArtifactsInput!$B$12&lt;&gt;"Not Unlocked"</f>
        <v/>
      </c>
      <c r="AE39">
        <f>IF(AD39,SUMPRODUCT(($AD$33:$AD$68)*($AC$33:$AC$68&gt;AC39))+COUNTIFS($AD$33:AD39,TRUE,$AC$33:AC39,AC39),"")</f>
        <v/>
      </c>
    </row>
    <row r="40">
      <c r="A40">
        <f>IF(8&gt;COUNTIF($AD$33:$AD$68,TRUE),"",INDEX($AA$33:$AA$68,MATCH(8,$AE$33:$AE$68,0)))</f>
        <v/>
      </c>
      <c r="B40">
        <f>IF(8&gt;COUNTIF($AD$33:$AD$68,TRUE),"",INDEX($AB$33:$AB$68,MATCH(8,$AE$33:$AE$68,0)))</f>
        <v/>
      </c>
      <c r="C40">
        <f>IF(8&gt;COUNTIF($AD$33:$AD$68,TRUE),"",INDEX($AC$33:$AC$68,MATCH(8,$AE$33:$AE$68,0)))</f>
        <v/>
      </c>
      <c r="AA40" t="inlineStr">
        <is>
          <t>Mushmom's Cap (Equip)</t>
        </is>
      </c>
      <c r="AB40">
        <f>(IF(ArtifactsInput!$M$13,-1,1)*Summary!$B$3*(((1-Summary!$B$11)*IFERROR(B1628/Summary!$B$24,1)+Summary!$B$11*IFERROR(B1629/Summary!$B$25,1))-1)+ArtifactsInput!$L$13)</f>
        <v/>
      </c>
      <c r="AC40">
        <f>IF(ArtifactsInput!$M$13,Summary!$B$3/(Summary!$B$3-(IF(ArtifactsInput!$M$13,-1,1)*Summary!$B$3*(((1-Summary!$B$11)*IFERROR(B1628/Summary!$B$24,1)+Summary!$B$11*IFERROR(B1629/Summary!$B$25,1))-1)+ArtifactsInput!$L$13))*100,(Summary!$B$3+(IF(ArtifactsInput!$M$13,-1,1)*Summary!$B$3*(((1-Summary!$B$11)*IFERROR(B1628/Summary!$B$24,1)+Summary!$B$11*IFERROR(B1629/Summary!$B$25,1))-1)+ArtifactsInput!$L$13))/Summary!$B$3*100)</f>
        <v/>
      </c>
      <c r="AD40">
        <f>ArtifactsInput!$B$13&lt;&gt;"Not Unlocked"</f>
        <v/>
      </c>
      <c r="AE40">
        <f>IF(AD40,SUMPRODUCT(($AD$33:$AD$68)*($AC$33:$AC$68&gt;AC40))+COUNTIFS($AD$33:AD40,TRUE,$AC$33:AC40,AC40),"")</f>
        <v/>
      </c>
    </row>
    <row r="41">
      <c r="A41">
        <f>IF(9&gt;COUNTIF($AD$33:$AD$68,TRUE),"",INDEX($AA$33:$AA$68,MATCH(9,$AE$33:$AE$68,0)))</f>
        <v/>
      </c>
      <c r="B41">
        <f>IF(9&gt;COUNTIF($AD$33:$AD$68,TRUE),"",INDEX($AB$33:$AB$68,MATCH(9,$AE$33:$AE$68,0)))</f>
        <v/>
      </c>
      <c r="C41">
        <f>IF(9&gt;COUNTIF($AD$33:$AD$68,TRUE),"",INDEX($AC$33:$AC$68,MATCH(9,$AE$33:$AE$68,0)))</f>
        <v/>
      </c>
      <c r="AA41" t="inlineStr">
        <is>
          <t>Clear Spring Water (Equip)</t>
        </is>
      </c>
      <c r="AB41">
        <f>(IF(ArtifactsInput!$M$14,-1,1)*Summary!$B$3*(((1-Summary!$B$11)*IFERROR(B1674/Summary!$B$24,1)+Summary!$B$11*IFERROR(B1675/Summary!$B$25,1))-1)+ArtifactsInput!$L$14)</f>
        <v/>
      </c>
      <c r="AC41">
        <f>IF(ArtifactsInput!$M$14,Summary!$B$3/(Summary!$B$3-(IF(ArtifactsInput!$M$14,-1,1)*Summary!$B$3*(((1-Summary!$B$11)*IFERROR(B1674/Summary!$B$24,1)+Summary!$B$11*IFERROR(B1675/Summary!$B$25,1))-1)+ArtifactsInput!$L$14))*100,(Summary!$B$3+(IF(ArtifactsInput!$M$14,-1,1)*Summary!$B$3*(((1-Summary!$B$11)*IFERROR(B1674/Summary!$B$24,1)+Summary!$B$11*IFERROR(B1675/Summary!$B$25,1))-1)+ArtifactsInput!$L$14))/Summary!$B$3*100)</f>
        <v/>
      </c>
      <c r="AD41">
        <f>ArtifactsInput!$B$14&lt;&gt;"Not Unlocked"</f>
        <v/>
      </c>
      <c r="AE41">
        <f>IF(AD41,SUMPRODUCT(($AD$33:$AD$68)*($AC$33:$AC$68&gt;AC41))+COUNTIFS($AD$33:AD41,TRUE,$AC$33:AC41,AC41),"")</f>
        <v/>
      </c>
    </row>
    <row r="42">
      <c r="A42">
        <f>IF(10&gt;COUNTIF($AD$33:$AD$68,TRUE),"",INDEX($AA$33:$AA$68,MATCH(10,$AE$33:$AE$68,0)))</f>
        <v/>
      </c>
      <c r="B42">
        <f>IF(10&gt;COUNTIF($AD$33:$AD$68,TRUE),"",INDEX($AB$33:$AB$68,MATCH(10,$AE$33:$AE$68,0)))</f>
        <v/>
      </c>
      <c r="C42">
        <f>IF(10&gt;COUNTIF($AD$33:$AD$68,TRUE),"",INDEX($AC$33:$AC$68,MATCH(10,$AE$33:$AE$68,0)))</f>
        <v/>
      </c>
      <c r="AA42" t="inlineStr">
        <is>
          <t>Athena Pierce's Old Gloves (Equip)</t>
        </is>
      </c>
      <c r="AB42">
        <f>(IF(ArtifactsInput!$M$15,-1,1)*Summary!$B$3*(((1-Summary!$B$11)*IFERROR(B1720/Summary!$B$24,1)+Summary!$B$11*IFERROR(B1721/Summary!$B$25,1))-1)+ArtifactsInput!$L$15)</f>
        <v/>
      </c>
      <c r="AC42">
        <f>IF(ArtifactsInput!$M$15,Summary!$B$3/(Summary!$B$3-(IF(ArtifactsInput!$M$15,-1,1)*Summary!$B$3*(((1-Summary!$B$11)*IFERROR(B1720/Summary!$B$24,1)+Summary!$B$11*IFERROR(B1721/Summary!$B$25,1))-1)+ArtifactsInput!$L$15))*100,(Summary!$B$3+(IF(ArtifactsInput!$M$15,-1,1)*Summary!$B$3*(((1-Summary!$B$11)*IFERROR(B1720/Summary!$B$24,1)+Summary!$B$11*IFERROR(B1721/Summary!$B$25,1))-1)+ArtifactsInput!$L$15))/Summary!$B$3*100)</f>
        <v/>
      </c>
      <c r="AD42">
        <f>ArtifactsInput!$B$15&lt;&gt;"Not Unlocked"</f>
        <v/>
      </c>
      <c r="AE42">
        <f>IF(AD42,SUMPRODUCT(($AD$33:$AD$68)*($AC$33:$AC$68&gt;AC42))+COUNTIFS($AD$33:AD42,TRUE,$AC$33:AC42,AC42),"")</f>
        <v/>
      </c>
    </row>
    <row r="43">
      <c r="A43">
        <f>IF(11&gt;COUNTIF($AD$33:$AD$68,TRUE),"",INDEX($AA$33:$AA$68,MATCH(11,$AE$33:$AE$68,0)))</f>
        <v/>
      </c>
      <c r="B43">
        <f>IF(11&gt;COUNTIF($AD$33:$AD$68,TRUE),"",INDEX($AB$33:$AB$68,MATCH(11,$AE$33:$AE$68,0)))</f>
        <v/>
      </c>
      <c r="C43">
        <f>IF(11&gt;COUNTIF($AD$33:$AD$68,TRUE),"",INDEX($AC$33:$AC$68,MATCH(11,$AE$33:$AE$68,0)))</f>
        <v/>
      </c>
      <c r="AA43" t="inlineStr">
        <is>
          <t>Zakum's Stone Piece (Equip)</t>
        </is>
      </c>
      <c r="AB43">
        <f>(IF(ArtifactsInput!$M$16,-1,1)*Summary!$B$3*(((1-Summary!$B$11)*IFERROR(B1766/Summary!$B$24,1)+Summary!$B$11*IFERROR(B1767/Summary!$B$25,1))-1)+ArtifactsInput!$L$16)</f>
        <v/>
      </c>
      <c r="AC43">
        <f>IF(ArtifactsInput!$M$16,Summary!$B$3/(Summary!$B$3-(IF(ArtifactsInput!$M$16,-1,1)*Summary!$B$3*(((1-Summary!$B$11)*IFERROR(B1766/Summary!$B$24,1)+Summary!$B$11*IFERROR(B1767/Summary!$B$25,1))-1)+ArtifactsInput!$L$16))*100,(Summary!$B$3+(IF(ArtifactsInput!$M$16,-1,1)*Summary!$B$3*(((1-Summary!$B$11)*IFERROR(B1766/Summary!$B$24,1)+Summary!$B$11*IFERROR(B1767/Summary!$B$25,1))-1)+ArtifactsInput!$L$16))/Summary!$B$3*100)</f>
        <v/>
      </c>
      <c r="AD43">
        <f>ArtifactsInput!$B$16&lt;&gt;"Not Unlocked"</f>
        <v/>
      </c>
      <c r="AE43">
        <f>IF(AD43,SUMPRODUCT(($AD$33:$AD$68)*($AC$33:$AC$68&gt;AC43))+COUNTIFS($AD$33:AD43,TRUE,$AC$33:AC43,AC43),"")</f>
        <v/>
      </c>
    </row>
    <row r="44">
      <c r="A44">
        <f>IF(12&gt;COUNTIF($AD$33:$AD$68,TRUE),"",INDEX($AA$33:$AA$68,MATCH(12,$AE$33:$AE$68,0)))</f>
        <v/>
      </c>
      <c r="B44">
        <f>IF(12&gt;COUNTIF($AD$33:$AD$68,TRUE),"",INDEX($AB$33:$AB$68,MATCH(12,$AE$33:$AE$68,0)))</f>
        <v/>
      </c>
      <c r="C44">
        <f>IF(12&gt;COUNTIF($AD$33:$AD$68,TRUE),"",INDEX($AC$33:$AC$68,MATCH(12,$AE$33:$AE$68,0)))</f>
        <v/>
      </c>
      <c r="AA44" t="inlineStr">
        <is>
          <t>Horntail's Scale (Equip)</t>
        </is>
      </c>
      <c r="AB44">
        <f>(IF(ArtifactsInput!$M$17,-1,1)*Summary!$B$3*(((1-Summary!$B$11)*IFERROR(B1812/Summary!$B$24,1)+Summary!$B$11*IFERROR(B1813/Summary!$B$25,1))-1)+ArtifactsInput!$L$17)</f>
        <v/>
      </c>
      <c r="AC44">
        <f>IF(ArtifactsInput!$M$17,Summary!$B$3/(Summary!$B$3-(IF(ArtifactsInput!$M$17,-1,1)*Summary!$B$3*(((1-Summary!$B$11)*IFERROR(B1812/Summary!$B$24,1)+Summary!$B$11*IFERROR(B1813/Summary!$B$25,1))-1)+ArtifactsInput!$L$17))*100,(Summary!$B$3+(IF(ArtifactsInput!$M$17,-1,1)*Summary!$B$3*(((1-Summary!$B$11)*IFERROR(B1812/Summary!$B$24,1)+Summary!$B$11*IFERROR(B1813/Summary!$B$25,1))-1)+ArtifactsInput!$L$17))/Summary!$B$3*100)</f>
        <v/>
      </c>
      <c r="AD44">
        <f>ArtifactsInput!$B$17&lt;&gt;"Not Unlocked"</f>
        <v/>
      </c>
      <c r="AE44">
        <f>IF(AD44,SUMPRODUCT(($AD$33:$AD$68)*($AC$33:$AC$68&gt;AC44))+COUNTIFS($AD$33:AD44,TRUE,$AC$33:AC44,AC44),"")</f>
        <v/>
      </c>
    </row>
    <row r="45">
      <c r="A45">
        <f>IF(13&gt;COUNTIF($AD$33:$AD$68,TRUE),"",INDEX($AA$33:$AA$68,MATCH(13,$AE$33:$AE$68,0)))</f>
        <v/>
      </c>
      <c r="B45">
        <f>IF(13&gt;COUNTIF($AD$33:$AD$68,TRUE),"",INDEX($AB$33:$AB$68,MATCH(13,$AE$33:$AE$68,0)))</f>
        <v/>
      </c>
      <c r="C45">
        <f>IF(13&gt;COUNTIF($AD$33:$AD$68,TRUE),"",INDEX($AC$33:$AC$68,MATCH(13,$AE$33:$AE$68,0)))</f>
        <v/>
      </c>
      <c r="AA45" t="inlineStr">
        <is>
          <t>Pink Bean's Giant Rib (Equip)</t>
        </is>
      </c>
      <c r="AB45">
        <f>(IF(ArtifactsInput!$M$18,-1,1)*Summary!$B$3*(((1-Summary!$B$11)*IFERROR(B1858/Summary!$B$24,1)+Summary!$B$11*IFERROR(B1859/Summary!$B$25,1))-1)+ArtifactsInput!$L$18)</f>
        <v/>
      </c>
      <c r="AC45">
        <f>IF(ArtifactsInput!$M$18,Summary!$B$3/(Summary!$B$3-(IF(ArtifactsInput!$M$18,-1,1)*Summary!$B$3*(((1-Summary!$B$11)*IFERROR(B1858/Summary!$B$24,1)+Summary!$B$11*IFERROR(B1859/Summary!$B$25,1))-1)+ArtifactsInput!$L$18))*100,(Summary!$B$3+(IF(ArtifactsInput!$M$18,-1,1)*Summary!$B$3*(((1-Summary!$B$11)*IFERROR(B1858/Summary!$B$24,1)+Summary!$B$11*IFERROR(B1859/Summary!$B$25,1))-1)+ArtifactsInput!$L$18))/Summary!$B$3*100)</f>
        <v/>
      </c>
      <c r="AD45">
        <f>ArtifactsInput!$B$18&lt;&gt;"Not Unlocked"</f>
        <v/>
      </c>
      <c r="AE45">
        <f>IF(AD45,SUMPRODUCT(($AD$33:$AD$68)*($AC$33:$AC$68&gt;AC45))+COUNTIFS($AD$33:AD45,TRUE,$AC$33:AC45,AC45),"")</f>
        <v/>
      </c>
    </row>
    <row r="46">
      <c r="A46">
        <f>IF(14&gt;COUNTIF($AD$33:$AD$68,TRUE),"",INDEX($AA$33:$AA$68,MATCH(14,$AE$33:$AE$68,0)))</f>
        <v/>
      </c>
      <c r="B46">
        <f>IF(14&gt;COUNTIF($AD$33:$AD$68,TRUE),"",INDEX($AB$33:$AB$68,MATCH(14,$AE$33:$AE$68,0)))</f>
        <v/>
      </c>
      <c r="C46">
        <f>IF(14&gt;COUNTIF($AD$33:$AD$68,TRUE),"",INDEX($AC$33:$AC$68,MATCH(14,$AE$33:$AE$68,0)))</f>
        <v/>
      </c>
      <c r="AA46" t="inlineStr">
        <is>
          <t>Chalice (Equip)</t>
        </is>
      </c>
      <c r="AB46">
        <f>(IF(ArtifactsInput!$M$20,-1,1)*Summary!$B$3*(((1-Summary!$B$11)*IFERROR(B1904/Summary!$B$24,1)+Summary!$B$11*IFERROR(B1905/Summary!$B$25,1))-1)+ArtifactsInput!$L$20)</f>
        <v/>
      </c>
      <c r="AC46">
        <f>IF(ArtifactsInput!$M$20,Summary!$B$3/(Summary!$B$3-(IF(ArtifactsInput!$M$20,-1,1)*Summary!$B$3*(((1-Summary!$B$11)*IFERROR(B1904/Summary!$B$24,1)+Summary!$B$11*IFERROR(B1905/Summary!$B$25,1))-1)+ArtifactsInput!$L$20))*100,(Summary!$B$3+(IF(ArtifactsInput!$M$20,-1,1)*Summary!$B$3*(((1-Summary!$B$11)*IFERROR(B1904/Summary!$B$24,1)+Summary!$B$11*IFERROR(B1905/Summary!$B$25,1))-1)+ArtifactsInput!$L$20))/Summary!$B$3*100)</f>
        <v/>
      </c>
      <c r="AD46">
        <f>ArtifactsInput!$B$20&lt;&gt;"Not Unlocked"</f>
        <v/>
      </c>
      <c r="AE46">
        <f>IF(AD46,SUMPRODUCT(($AD$33:$AD$68)*($AC$33:$AC$68&gt;AC46))+COUNTIFS($AD$33:AD46,TRUE,$AC$33:AC46,AC46),"")</f>
        <v/>
      </c>
    </row>
    <row r="47">
      <c r="A47">
        <f>IF(15&gt;COUNTIF($AD$33:$AD$68,TRUE),"",INDEX($AA$33:$AA$68,MATCH(15,$AE$33:$AE$68,0)))</f>
        <v/>
      </c>
      <c r="B47">
        <f>IF(15&gt;COUNTIF($AD$33:$AD$68,TRUE),"",INDEX($AB$33:$AB$68,MATCH(15,$AE$33:$AE$68,0)))</f>
        <v/>
      </c>
      <c r="C47">
        <f>IF(15&gt;COUNTIF($AD$33:$AD$68,TRUE),"",INDEX($AC$33:$AC$68,MATCH(15,$AE$33:$AE$68,0)))</f>
        <v/>
      </c>
      <c r="AA47" t="inlineStr">
        <is>
          <t>Old Music Box (Equip)</t>
        </is>
      </c>
      <c r="AB47">
        <f>(IF(ArtifactsInput!$M$21,-1,1)*Summary!$B$3*(((1-Summary!$B$11)*IFERROR(B1950/Summary!$B$24,1)+Summary!$B$11*IFERROR(B1951/Summary!$B$25,1))-1)+ArtifactsInput!$L$21)</f>
        <v/>
      </c>
      <c r="AC47">
        <f>IF(ArtifactsInput!$M$21,Summary!$B$3/(Summary!$B$3-(IF(ArtifactsInput!$M$21,-1,1)*Summary!$B$3*(((1-Summary!$B$11)*IFERROR(B1950/Summary!$B$24,1)+Summary!$B$11*IFERROR(B1951/Summary!$B$25,1))-1)+ArtifactsInput!$L$21))*100,(Summary!$B$3+(IF(ArtifactsInput!$M$21,-1,1)*Summary!$B$3*(((1-Summary!$B$11)*IFERROR(B1950/Summary!$B$24,1)+Summary!$B$11*IFERROR(B1951/Summary!$B$25,1))-1)+ArtifactsInput!$L$21))/Summary!$B$3*100)</f>
        <v/>
      </c>
      <c r="AD47">
        <f>ArtifactsInput!$B$21&lt;&gt;"Not Unlocked"</f>
        <v/>
      </c>
      <c r="AE47">
        <f>IF(AD47,SUMPRODUCT(($AD$33:$AD$68)*($AC$33:$AC$68&gt;AC47))+COUNTIFS($AD$33:AD47,TRUE,$AC$33:AC47,AC47),"")</f>
        <v/>
      </c>
    </row>
    <row r="48">
      <c r="A48">
        <f>IF(16&gt;COUNTIF($AD$33:$AD$68,TRUE),"",INDEX($AA$33:$AA$68,MATCH(16,$AE$33:$AE$68,0)))</f>
        <v/>
      </c>
      <c r="B48">
        <f>IF(16&gt;COUNTIF($AD$33:$AD$68,TRUE),"",INDEX($AB$33:$AB$68,MATCH(16,$AE$33:$AE$68,0)))</f>
        <v/>
      </c>
      <c r="C48">
        <f>IF(16&gt;COUNTIF($AD$33:$AD$68,TRUE),"",INDEX($AC$33:$AC$68,MATCH(16,$AE$33:$AE$68,0)))</f>
        <v/>
      </c>
      <c r="AA48" t="inlineStr">
        <is>
          <t>Silver Pendant (Equip)</t>
        </is>
      </c>
      <c r="AB48">
        <f>(IF(ArtifactsInput!$M$22,-1,1)*Summary!$B$3*(((1-Summary!$B$11)*IFERROR(B1996/Summary!$B$24,1)+Summary!$B$11*IFERROR(B1997/Summary!$B$25,1))-1)+ArtifactsInput!$L$22)</f>
        <v/>
      </c>
      <c r="AC48">
        <f>IF(ArtifactsInput!$M$22,Summary!$B$3/(Summary!$B$3-(IF(ArtifactsInput!$M$22,-1,1)*Summary!$B$3*(((1-Summary!$B$11)*IFERROR(B1996/Summary!$B$24,1)+Summary!$B$11*IFERROR(B1997/Summary!$B$25,1))-1)+ArtifactsInput!$L$22))*100,(Summary!$B$3+(IF(ArtifactsInput!$M$22,-1,1)*Summary!$B$3*(((1-Summary!$B$11)*IFERROR(B1996/Summary!$B$24,1)+Summary!$B$11*IFERROR(B1997/Summary!$B$25,1))-1)+ArtifactsInput!$L$22))/Summary!$B$3*100)</f>
        <v/>
      </c>
      <c r="AD48">
        <f>ArtifactsInput!$B$22&lt;&gt;"Not Unlocked"</f>
        <v/>
      </c>
      <c r="AE48">
        <f>IF(AD48,SUMPRODUCT(($AD$33:$AD$68)*($AC$33:$AC$68&gt;AC48))+COUNTIFS($AD$33:AD48,TRUE,$AC$33:AC48,AC48),"")</f>
        <v/>
      </c>
    </row>
    <row r="49">
      <c r="A49">
        <f>IF(17&gt;COUNTIF($AD$33:$AD$68,TRUE),"",INDEX($AA$33:$AA$68,MATCH(17,$AE$33:$AE$68,0)))</f>
        <v/>
      </c>
      <c r="B49">
        <f>IF(17&gt;COUNTIF($AD$33:$AD$68,TRUE),"",INDEX($AB$33:$AB$68,MATCH(17,$AE$33:$AE$68,0)))</f>
        <v/>
      </c>
      <c r="C49">
        <f>IF(17&gt;COUNTIF($AD$33:$AD$68,TRUE),"",INDEX($AC$33:$AC$68,MATCH(17,$AE$33:$AE$68,0)))</f>
        <v/>
      </c>
      <c r="AA49" t="inlineStr">
        <is>
          <t>Star Rock (Equip)</t>
        </is>
      </c>
      <c r="AB49">
        <f>(IF(ArtifactsInput!$M$23,-1,1)*Summary!$B$3*(((1-Summary!$B$11)*IFERROR(B2042/Summary!$B$24,1)+Summary!$B$11*IFERROR(B2043/Summary!$B$25,1))-1)+ArtifactsInput!$L$23)</f>
        <v/>
      </c>
      <c r="AC49">
        <f>IF(ArtifactsInput!$M$23,Summary!$B$3/(Summary!$B$3-(IF(ArtifactsInput!$M$23,-1,1)*Summary!$B$3*(((1-Summary!$B$11)*IFERROR(B2042/Summary!$B$24,1)+Summary!$B$11*IFERROR(B2043/Summary!$B$25,1))-1)+ArtifactsInput!$L$23))*100,(Summary!$B$3+(IF(ArtifactsInput!$M$23,-1,1)*Summary!$B$3*(((1-Summary!$B$11)*IFERROR(B2042/Summary!$B$24,1)+Summary!$B$11*IFERROR(B2043/Summary!$B$25,1))-1)+ArtifactsInput!$L$23))/Summary!$B$3*100)</f>
        <v/>
      </c>
      <c r="AD49">
        <f>ArtifactsInput!$B$23&lt;&gt;"Not Unlocked"</f>
        <v/>
      </c>
      <c r="AE49">
        <f>IF(AD49,SUMPRODUCT(($AD$33:$AD$68)*($AC$33:$AC$68&gt;AC49))+COUNTIFS($AD$33:AD49,TRUE,$AC$33:AC49,AC49),"")</f>
        <v/>
      </c>
    </row>
    <row r="50">
      <c r="A50">
        <f>IF(18&gt;COUNTIF($AD$33:$AD$68,TRUE),"",INDEX($AA$33:$AA$68,MATCH(18,$AE$33:$AE$68,0)))</f>
        <v/>
      </c>
      <c r="B50">
        <f>IF(18&gt;COUNTIF($AD$33:$AD$68,TRUE),"",INDEX($AB$33:$AB$68,MATCH(18,$AE$33:$AE$68,0)))</f>
        <v/>
      </c>
      <c r="C50">
        <f>IF(18&gt;COUNTIF($AD$33:$AD$68,TRUE),"",INDEX($AC$33:$AC$68,MATCH(18,$AE$33:$AE$68,0)))</f>
        <v/>
      </c>
      <c r="AA50" t="inlineStr">
        <is>
          <t>Book of Ancient (Equip)</t>
        </is>
      </c>
      <c r="AB50">
        <f>(IF(ArtifactsInput!$M$24,-1,1)*Summary!$B$3*(((1-Summary!$B$11)*IFERROR(B2088/Summary!$B$24,1)+Summary!$B$11*IFERROR(B2089/Summary!$B$25,1))-1)+ArtifactsInput!$L$24)</f>
        <v/>
      </c>
      <c r="AC50">
        <f>IF(ArtifactsInput!$M$24,Summary!$B$3/(Summary!$B$3-(IF(ArtifactsInput!$M$24,-1,1)*Summary!$B$3*(((1-Summary!$B$11)*IFERROR(B2088/Summary!$B$24,1)+Summary!$B$11*IFERROR(B2089/Summary!$B$25,1))-1)+ArtifactsInput!$L$24))*100,(Summary!$B$3+(IF(ArtifactsInput!$M$24,-1,1)*Summary!$B$3*(((1-Summary!$B$11)*IFERROR(B2088/Summary!$B$24,1)+Summary!$B$11*IFERROR(B2089/Summary!$B$25,1))-1)+ArtifactsInput!$L$24))/Summary!$B$3*100)</f>
        <v/>
      </c>
      <c r="AD50">
        <f>ArtifactsInput!$B$24&lt;&gt;"Not Unlocked"</f>
        <v/>
      </c>
      <c r="AE50">
        <f>IF(AD50,SUMPRODUCT(($AD$33:$AD$68)*($AC$33:$AC$68&gt;AC50))+COUNTIFS($AD$33:AD50,TRUE,$AC$33:AC50,AC50),"")</f>
        <v/>
      </c>
    </row>
    <row r="51">
      <c r="A51">
        <f>IF(19&gt;COUNTIF($AD$33:$AD$68,TRUE),"",INDEX($AA$33:$AA$68,MATCH(19,$AE$33:$AE$68,0)))</f>
        <v/>
      </c>
      <c r="B51">
        <f>IF(19&gt;COUNTIF($AD$33:$AD$68,TRUE),"",INDEX($AB$33:$AB$68,MATCH(19,$AE$33:$AE$68,0)))</f>
        <v/>
      </c>
      <c r="C51">
        <f>IF(19&gt;COUNTIF($AD$33:$AD$68,TRUE),"",INDEX($AC$33:$AC$68,MATCH(19,$AE$33:$AE$68,0)))</f>
        <v/>
      </c>
      <c r="AA51" t="inlineStr">
        <is>
          <t>Lunar Dew (Equip)</t>
        </is>
      </c>
      <c r="AB51">
        <f>(IF(ArtifactsInput!$M$25,-1,1)*Summary!$B$3*(((1-Summary!$B$11)*IFERROR(B2134/Summary!$B$24,1)+Summary!$B$11*IFERROR(B2135/Summary!$B$25,1))-1)+ArtifactsInput!$L$25)</f>
        <v/>
      </c>
      <c r="AC51">
        <f>IF(ArtifactsInput!$M$25,Summary!$B$3/(Summary!$B$3-(IF(ArtifactsInput!$M$25,-1,1)*Summary!$B$3*(((1-Summary!$B$11)*IFERROR(B2134/Summary!$B$24,1)+Summary!$B$11*IFERROR(B2135/Summary!$B$25,1))-1)+ArtifactsInput!$L$25))*100,(Summary!$B$3+(IF(ArtifactsInput!$M$25,-1,1)*Summary!$B$3*(((1-Summary!$B$11)*IFERROR(B2134/Summary!$B$24,1)+Summary!$B$11*IFERROR(B2135/Summary!$B$25,1))-1)+ArtifactsInput!$L$25))/Summary!$B$3*100)</f>
        <v/>
      </c>
      <c r="AD51">
        <f>ArtifactsInput!$B$25&lt;&gt;"Not Unlocked"</f>
        <v/>
      </c>
      <c r="AE51">
        <f>IF(AD51,SUMPRODUCT(($AD$33:$AD$68)*($AC$33:$AC$68&gt;AC51))+COUNTIFS($AD$33:AD51,TRUE,$AC$33:AC51,AC51),"")</f>
        <v/>
      </c>
    </row>
    <row r="52">
      <c r="A52">
        <f>IF(20&gt;COUNTIF($AD$33:$AD$68,TRUE),"",INDEX($AA$33:$AA$68,MATCH(20,$AE$33:$AE$68,0)))</f>
        <v/>
      </c>
      <c r="B52">
        <f>IF(20&gt;COUNTIF($AD$33:$AD$68,TRUE),"",INDEX($AB$33:$AB$68,MATCH(20,$AE$33:$AE$68,0)))</f>
        <v/>
      </c>
      <c r="C52">
        <f>IF(20&gt;COUNTIF($AD$33:$AD$68,TRUE),"",INDEX($AC$33:$AC$68,MATCH(20,$AE$33:$AE$68,0)))</f>
        <v/>
      </c>
      <c r="AA52" t="inlineStr">
        <is>
          <t>Fire Flower (Equip)</t>
        </is>
      </c>
      <c r="AB52">
        <f>(IF(ArtifactsInput!$M$26,-1,1)*Summary!$B$3*(((1-Summary!$B$11)*IFERROR(B2180/Summary!$B$24,1)+Summary!$B$11*IFERROR(B2181/Summary!$B$25,1))-1)+ArtifactsInput!$L$26)</f>
        <v/>
      </c>
      <c r="AC52">
        <f>IF(ArtifactsInput!$M$26,Summary!$B$3/(Summary!$B$3-(IF(ArtifactsInput!$M$26,-1,1)*Summary!$B$3*(((1-Summary!$B$11)*IFERROR(B2180/Summary!$B$24,1)+Summary!$B$11*IFERROR(B2181/Summary!$B$25,1))-1)+ArtifactsInput!$L$26))*100,(Summary!$B$3+(IF(ArtifactsInput!$M$26,-1,1)*Summary!$B$3*(((1-Summary!$B$11)*IFERROR(B2180/Summary!$B$24,1)+Summary!$B$11*IFERROR(B2181/Summary!$B$25,1))-1)+ArtifactsInput!$L$26))/Summary!$B$3*100)</f>
        <v/>
      </c>
      <c r="AD52">
        <f>ArtifactsInput!$B$26&lt;&gt;"Not Unlocked"</f>
        <v/>
      </c>
      <c r="AE52">
        <f>IF(AD52,SUMPRODUCT(($AD$33:$AD$68)*($AC$33:$AC$68&gt;AC52))+COUNTIFS($AD$33:AD52,TRUE,$AC$33:AC52,AC52),"")</f>
        <v/>
      </c>
    </row>
    <row r="53">
      <c r="A53">
        <f>IF(21&gt;COUNTIF($AD$33:$AD$68,TRUE),"",INDEX($AA$33:$AA$68,MATCH(21,$AE$33:$AE$68,0)))</f>
        <v/>
      </c>
      <c r="B53">
        <f>IF(21&gt;COUNTIF($AD$33:$AD$68,TRUE),"",INDEX($AB$33:$AB$68,MATCH(21,$AE$33:$AE$68,0)))</f>
        <v/>
      </c>
      <c r="C53">
        <f>IF(21&gt;COUNTIF($AD$33:$AD$68,TRUE),"",INDEX($AC$33:$AC$68,MATCH(21,$AE$33:$AE$68,0)))</f>
        <v/>
      </c>
      <c r="AA53" t="inlineStr">
        <is>
          <t>Soul Contract (Equip)</t>
        </is>
      </c>
      <c r="AB53">
        <f>(IF(ArtifactsInput!$M$27,-1,1)*Summary!$B$3*(((1-Summary!$B$11)*IFERROR(B2226/Summary!$B$24,1)+Summary!$B$11*IFERROR(B2227/Summary!$B$25,1))-1)+ArtifactsInput!$L$27)</f>
        <v/>
      </c>
      <c r="AC53">
        <f>IF(ArtifactsInput!$M$27,Summary!$B$3/(Summary!$B$3-(IF(ArtifactsInput!$M$27,-1,1)*Summary!$B$3*(((1-Summary!$B$11)*IFERROR(B2226/Summary!$B$24,1)+Summary!$B$11*IFERROR(B2227/Summary!$B$25,1))-1)+ArtifactsInput!$L$27))*100,(Summary!$B$3+(IF(ArtifactsInput!$M$27,-1,1)*Summary!$B$3*(((1-Summary!$B$11)*IFERROR(B2226/Summary!$B$24,1)+Summary!$B$11*IFERROR(B2227/Summary!$B$25,1))-1)+ArtifactsInput!$L$27))/Summary!$B$3*100)</f>
        <v/>
      </c>
      <c r="AD53">
        <f>ArtifactsInput!$B$27&lt;&gt;"Not Unlocked"</f>
        <v/>
      </c>
      <c r="AE53">
        <f>IF(AD53,SUMPRODUCT(($AD$33:$AD$68)*($AC$33:$AC$68&gt;AC53))+COUNTIFS($AD$33:AD53,TRUE,$AC$33:AC53,AC53),"")</f>
        <v/>
      </c>
    </row>
    <row r="54">
      <c r="A54">
        <f>IF(22&gt;COUNTIF($AD$33:$AD$68,TRUE),"",INDEX($AA$33:$AA$68,MATCH(22,$AE$33:$AE$68,0)))</f>
        <v/>
      </c>
      <c r="B54">
        <f>IF(22&gt;COUNTIF($AD$33:$AD$68,TRUE),"",INDEX($AB$33:$AB$68,MATCH(22,$AE$33:$AE$68,0)))</f>
        <v/>
      </c>
      <c r="C54">
        <f>IF(22&gt;COUNTIF($AD$33:$AD$68,TRUE),"",INDEX($AC$33:$AC$68,MATCH(22,$AE$33:$AE$68,0)))</f>
        <v/>
      </c>
      <c r="AA54" t="inlineStr">
        <is>
          <t>Lit Lamp (Equip)</t>
        </is>
      </c>
      <c r="AB54">
        <f>(IF(ArtifactsInput!$M$28,-1,1)*Summary!$B$3*(((1-Summary!$B$11)*IFERROR(B2272/Summary!$B$24,1)+Summary!$B$11*IFERROR(B2273/Summary!$B$25,1))-1)+ArtifactsInput!$L$28)</f>
        <v/>
      </c>
      <c r="AC54">
        <f>IF(ArtifactsInput!$M$28,Summary!$B$3/(Summary!$B$3-(IF(ArtifactsInput!$M$28,-1,1)*Summary!$B$3*(((1-Summary!$B$11)*IFERROR(B2272/Summary!$B$24,1)+Summary!$B$11*IFERROR(B2273/Summary!$B$25,1))-1)+ArtifactsInput!$L$28))*100,(Summary!$B$3+(IF(ArtifactsInput!$M$28,-1,1)*Summary!$B$3*(((1-Summary!$B$11)*IFERROR(B2272/Summary!$B$24,1)+Summary!$B$11*IFERROR(B2273/Summary!$B$25,1))-1)+ArtifactsInput!$L$28))/Summary!$B$3*100)</f>
        <v/>
      </c>
      <c r="AD54">
        <f>ArtifactsInput!$B$28&lt;&gt;"Not Unlocked"</f>
        <v/>
      </c>
      <c r="AE54">
        <f>IF(AD54,SUMPRODUCT(($AD$33:$AD$68)*($AC$33:$AC$68&gt;AC54))+COUNTIFS($AD$33:AD54,TRUE,$AC$33:AC54,AC54),"")</f>
        <v/>
      </c>
    </row>
    <row r="55">
      <c r="A55">
        <f>IF(23&gt;COUNTIF($AD$33:$AD$68,TRUE),"",INDEX($AA$33:$AA$68,MATCH(23,$AE$33:$AE$68,0)))</f>
        <v/>
      </c>
      <c r="B55">
        <f>IF(23&gt;COUNTIF($AD$33:$AD$68,TRUE),"",INDEX($AB$33:$AB$68,MATCH(23,$AE$33:$AE$68,0)))</f>
        <v/>
      </c>
      <c r="C55">
        <f>IF(23&gt;COUNTIF($AD$33:$AD$68,TRUE),"",INDEX($AC$33:$AC$68,MATCH(23,$AE$33:$AE$68,0)))</f>
        <v/>
      </c>
      <c r="AA55" t="inlineStr">
        <is>
          <t>Soul Pouch (Equip)</t>
        </is>
      </c>
      <c r="AB55">
        <f>(IF(ArtifactsInput!$M$29,-1,1)*Summary!$B$3*(((1-Summary!$B$11)*IFERROR(B2318/Summary!$B$24,1)+Summary!$B$11*IFERROR(B2319/Summary!$B$25,1))-1)+ArtifactsInput!$L$29)</f>
        <v/>
      </c>
      <c r="AC55">
        <f>IF(ArtifactsInput!$M$29,Summary!$B$3/(Summary!$B$3-(IF(ArtifactsInput!$M$29,-1,1)*Summary!$B$3*(((1-Summary!$B$11)*IFERROR(B2318/Summary!$B$24,1)+Summary!$B$11*IFERROR(B2319/Summary!$B$25,1))-1)+ArtifactsInput!$L$29))*100,(Summary!$B$3+(IF(ArtifactsInput!$M$29,-1,1)*Summary!$B$3*(((1-Summary!$B$11)*IFERROR(B2318/Summary!$B$24,1)+Summary!$B$11*IFERROR(B2319/Summary!$B$25,1))-1)+ArtifactsInput!$L$29))/Summary!$B$3*100)</f>
        <v/>
      </c>
      <c r="AD55">
        <f>ArtifactsInput!$B$29&lt;&gt;"Not Unlocked"</f>
        <v/>
      </c>
      <c r="AE55">
        <f>IF(AD55,SUMPRODUCT(($AD$33:$AD$68)*($AC$33:$AC$68&gt;AC55))+COUNTIFS($AD$33:AD55,TRUE,$AC$33:AC55,AC55),"")</f>
        <v/>
      </c>
    </row>
    <row r="56">
      <c r="A56">
        <f>IF(24&gt;COUNTIF($AD$33:$AD$68,TRUE),"",INDEX($AA$33:$AA$68,MATCH(24,$AE$33:$AE$68,0)))</f>
        <v/>
      </c>
      <c r="B56">
        <f>IF(24&gt;COUNTIF($AD$33:$AD$68,TRUE),"",INDEX($AB$33:$AB$68,MATCH(24,$AE$33:$AE$68,0)))</f>
        <v/>
      </c>
      <c r="C56">
        <f>IF(24&gt;COUNTIF($AD$33:$AD$68,TRUE),"",INDEX($AC$33:$AC$68,MATCH(24,$AE$33:$AE$68,0)))</f>
        <v/>
      </c>
      <c r="AA56" t="inlineStr">
        <is>
          <t>Ancient Text Piece (Equip)</t>
        </is>
      </c>
      <c r="AB56">
        <f>(IF(ArtifactsInput!$M$30,-1,1)*Summary!$B$3*(((1-Summary!$B$11)*IFERROR(B2364/Summary!$B$24,1)+Summary!$B$11*IFERROR(B2365/Summary!$B$25,1))-1)+ArtifactsInput!$L$30)</f>
        <v/>
      </c>
      <c r="AC56">
        <f>IF(ArtifactsInput!$M$30,Summary!$B$3/(Summary!$B$3-(IF(ArtifactsInput!$M$30,-1,1)*Summary!$B$3*(((1-Summary!$B$11)*IFERROR(B2364/Summary!$B$24,1)+Summary!$B$11*IFERROR(B2365/Summary!$B$25,1))-1)+ArtifactsInput!$L$30))*100,(Summary!$B$3+(IF(ArtifactsInput!$M$30,-1,1)*Summary!$B$3*(((1-Summary!$B$11)*IFERROR(B2364/Summary!$B$24,1)+Summary!$B$11*IFERROR(B2365/Summary!$B$25,1))-1)+ArtifactsInput!$L$30))/Summary!$B$3*100)</f>
        <v/>
      </c>
      <c r="AD56">
        <f>ArtifactsInput!$B$30&lt;&gt;"Not Unlocked"</f>
        <v/>
      </c>
      <c r="AE56">
        <f>IF(AD56,SUMPRODUCT(($AD$33:$AD$68)*($AC$33:$AC$68&gt;AC56))+COUNTIFS($AD$33:AD56,TRUE,$AC$33:AC56,AC56),"")</f>
        <v/>
      </c>
    </row>
    <row r="57">
      <c r="A57">
        <f>IF(25&gt;COUNTIF($AD$33:$AD$68,TRUE),"",INDEX($AA$33:$AA$68,MATCH(25,$AE$33:$AE$68,0)))</f>
        <v/>
      </c>
      <c r="B57">
        <f>IF(25&gt;COUNTIF($AD$33:$AD$68,TRUE),"",INDEX($AB$33:$AB$68,MATCH(25,$AE$33:$AE$68,0)))</f>
        <v/>
      </c>
      <c r="C57">
        <f>IF(25&gt;COUNTIF($AD$33:$AD$68,TRUE),"",INDEX($AC$33:$AC$68,MATCH(25,$AE$33:$AE$68,0)))</f>
        <v/>
      </c>
      <c r="AA57" t="inlineStr">
        <is>
          <t>Icy Soul Rock (Equip)</t>
        </is>
      </c>
      <c r="AB57">
        <f>(IF(ArtifactsInput!$M$31,-1,1)*Summary!$B$3*(((1-Summary!$B$11)*IFERROR(B2410/Summary!$B$24,1)+Summary!$B$11*IFERROR(B2411/Summary!$B$25,1))-1)+ArtifactsInput!$L$31)</f>
        <v/>
      </c>
      <c r="AC57">
        <f>IF(ArtifactsInput!$M$31,Summary!$B$3/(Summary!$B$3-(IF(ArtifactsInput!$M$31,-1,1)*Summary!$B$3*(((1-Summary!$B$11)*IFERROR(B2410/Summary!$B$24,1)+Summary!$B$11*IFERROR(B2411/Summary!$B$25,1))-1)+ArtifactsInput!$L$31))*100,(Summary!$B$3+(IF(ArtifactsInput!$M$31,-1,1)*Summary!$B$3*(((1-Summary!$B$11)*IFERROR(B2410/Summary!$B$24,1)+Summary!$B$11*IFERROR(B2411/Summary!$B$25,1))-1)+ArtifactsInput!$L$31))/Summary!$B$3*100)</f>
        <v/>
      </c>
      <c r="AD57">
        <f>ArtifactsInput!$B$31&lt;&gt;"Not Unlocked"</f>
        <v/>
      </c>
      <c r="AE57">
        <f>IF(AD57,SUMPRODUCT(($AD$33:$AD$68)*($AC$33:$AC$68&gt;AC57))+COUNTIFS($AD$33:AD57,TRUE,$AC$33:AC57,AC57),"")</f>
        <v/>
      </c>
    </row>
    <row r="58">
      <c r="A58">
        <f>IF(26&gt;COUNTIF($AD$33:$AD$68,TRUE),"",INDEX($AA$33:$AA$68,MATCH(26,$AE$33:$AE$68,0)))</f>
        <v/>
      </c>
      <c r="B58">
        <f>IF(26&gt;COUNTIF($AD$33:$AD$68,TRUE),"",INDEX($AB$33:$AB$68,MATCH(26,$AE$33:$AE$68,0)))</f>
        <v/>
      </c>
      <c r="C58">
        <f>IF(26&gt;COUNTIF($AD$33:$AD$68,TRUE),"",INDEX($AC$33:$AC$68,MATCH(26,$AE$33:$AE$68,0)))</f>
        <v/>
      </c>
      <c r="AA58" t="inlineStr">
        <is>
          <t>Flaming Lava (Equip)</t>
        </is>
      </c>
      <c r="AB58">
        <f>(IF(ArtifactsInput!$M$32,-1,1)*Summary!$B$3*(((1-Summary!$B$11)*IFERROR(B2456/Summary!$B$24,1)+Summary!$B$11*IFERROR(B2457/Summary!$B$25,1))-1)+ArtifactsInput!$L$32)</f>
        <v/>
      </c>
      <c r="AC58">
        <f>IF(ArtifactsInput!$M$32,Summary!$B$3/(Summary!$B$3-(IF(ArtifactsInput!$M$32,-1,1)*Summary!$B$3*(((1-Summary!$B$11)*IFERROR(B2456/Summary!$B$24,1)+Summary!$B$11*IFERROR(B2457/Summary!$B$25,1))-1)+ArtifactsInput!$L$32))*100,(Summary!$B$3+(IF(ArtifactsInput!$M$32,-1,1)*Summary!$B$3*(((1-Summary!$B$11)*IFERROR(B2456/Summary!$B$24,1)+Summary!$B$11*IFERROR(B2457/Summary!$B$25,1))-1)+ArtifactsInput!$L$32))/Summary!$B$3*100)</f>
        <v/>
      </c>
      <c r="AD58">
        <f>ArtifactsInput!$B$32&lt;&gt;"Not Unlocked"</f>
        <v/>
      </c>
      <c r="AE58">
        <f>IF(AD58,SUMPRODUCT(($AD$33:$AD$68)*($AC$33:$AC$68&gt;AC58))+COUNTIFS($AD$33:AD58,TRUE,$AC$33:AC58,AC58),"")</f>
        <v/>
      </c>
    </row>
    <row r="59">
      <c r="A59">
        <f>IF(27&gt;COUNTIF($AD$33:$AD$68,TRUE),"",INDEX($AA$33:$AA$68,MATCH(27,$AE$33:$AE$68,0)))</f>
        <v/>
      </c>
      <c r="B59">
        <f>IF(27&gt;COUNTIF($AD$33:$AD$68,TRUE),"",INDEX($AB$33:$AB$68,MATCH(27,$AE$33:$AE$68,0)))</f>
        <v/>
      </c>
      <c r="C59">
        <f>IF(27&gt;COUNTIF($AD$33:$AD$68,TRUE),"",INDEX($AC$33:$AC$68,MATCH(27,$AE$33:$AE$68,0)))</f>
        <v/>
      </c>
      <c r="AA59" t="inlineStr">
        <is>
          <t>Sayram's Necklace (Equip)</t>
        </is>
      </c>
      <c r="AB59">
        <f>(IF(ArtifactsInput!$M$33,-1,1)*Summary!$B$3*(((1-Summary!$B$11)*IFERROR(B2502/Summary!$B$24,1)+Summary!$B$11*IFERROR(B2503/Summary!$B$25,1))-1)+ArtifactsInput!$L$33)</f>
        <v/>
      </c>
      <c r="AC59">
        <f>IF(ArtifactsInput!$M$33,Summary!$B$3/(Summary!$B$3-(IF(ArtifactsInput!$M$33,-1,1)*Summary!$B$3*(((1-Summary!$B$11)*IFERROR(B2502/Summary!$B$24,1)+Summary!$B$11*IFERROR(B2503/Summary!$B$25,1))-1)+ArtifactsInput!$L$33))*100,(Summary!$B$3+(IF(ArtifactsInput!$M$33,-1,1)*Summary!$B$3*(((1-Summary!$B$11)*IFERROR(B2502/Summary!$B$24,1)+Summary!$B$11*IFERROR(B2503/Summary!$B$25,1))-1)+ArtifactsInput!$L$33))/Summary!$B$3*100)</f>
        <v/>
      </c>
      <c r="AD59">
        <f>ArtifactsInput!$B$33&lt;&gt;"Not Unlocked"</f>
        <v/>
      </c>
      <c r="AE59">
        <f>IF(AD59,SUMPRODUCT(($AD$33:$AD$68)*($AC$33:$AC$68&gt;AC59))+COUNTIFS($AD$33:AD59,TRUE,$AC$33:AC59,AC59),"")</f>
        <v/>
      </c>
    </row>
    <row r="60">
      <c r="A60">
        <f>IF(28&gt;COUNTIF($AD$33:$AD$68,TRUE),"",INDEX($AA$33:$AA$68,MATCH(28,$AE$33:$AE$68,0)))</f>
        <v/>
      </c>
      <c r="B60">
        <f>IF(28&gt;COUNTIF($AD$33:$AD$68,TRUE),"",INDEX($AB$33:$AB$68,MATCH(28,$AE$33:$AE$68,0)))</f>
        <v/>
      </c>
      <c r="C60">
        <f>IF(28&gt;COUNTIF($AD$33:$AD$68,TRUE),"",INDEX($AC$33:$AC$68,MATCH(28,$AE$33:$AE$68,0)))</f>
        <v/>
      </c>
      <c r="AA60" t="inlineStr">
        <is>
          <t>Bottle of Emotion (Equip)</t>
        </is>
      </c>
      <c r="AB60">
        <f>(IF(ArtifactsInput!$M$34,-1,1)*Summary!$B$3*(((1-Summary!$B$11)*IFERROR(B2548/Summary!$B$24,1)+Summary!$B$11*IFERROR(B2549/Summary!$B$25,1))-1)+ArtifactsInput!$L$34)</f>
        <v/>
      </c>
      <c r="AC60">
        <f>IF(ArtifactsInput!$M$34,Summary!$B$3/(Summary!$B$3-(IF(ArtifactsInput!$M$34,-1,1)*Summary!$B$3*(((1-Summary!$B$11)*IFERROR(B2548/Summary!$B$24,1)+Summary!$B$11*IFERROR(B2549/Summary!$B$25,1))-1)+ArtifactsInput!$L$34))*100,(Summary!$B$3+(IF(ArtifactsInput!$M$34,-1,1)*Summary!$B$3*(((1-Summary!$B$11)*IFERROR(B2548/Summary!$B$24,1)+Summary!$B$11*IFERROR(B2549/Summary!$B$25,1))-1)+ArtifactsInput!$L$34))/Summary!$B$3*100)</f>
        <v/>
      </c>
      <c r="AD60">
        <f>ArtifactsInput!$B$34&lt;&gt;"Not Unlocked"</f>
        <v/>
      </c>
      <c r="AE60">
        <f>IF(AD60,SUMPRODUCT(($AD$33:$AD$68)*($AC$33:$AC$68&gt;AC60))+COUNTIFS($AD$33:AD60,TRUE,$AC$33:AC60,AC60),"")</f>
        <v/>
      </c>
    </row>
    <row r="61">
      <c r="A61">
        <f>IF(29&gt;COUNTIF($AD$33:$AD$68,TRUE),"",INDEX($AA$33:$AA$68,MATCH(29,$AE$33:$AE$68,0)))</f>
        <v/>
      </c>
      <c r="B61">
        <f>IF(29&gt;COUNTIF($AD$33:$AD$68,TRUE),"",INDEX($AB$33:$AB$68,MATCH(29,$AE$33:$AE$68,0)))</f>
        <v/>
      </c>
      <c r="C61">
        <f>IF(29&gt;COUNTIF($AD$33:$AD$68,TRUE),"",INDEX($AC$33:$AC$68,MATCH(29,$AE$33:$AE$68,0)))</f>
        <v/>
      </c>
      <c r="AA61" t="inlineStr">
        <is>
          <t>Peach Tree Herb Pouch (Equip)</t>
        </is>
      </c>
      <c r="AB61">
        <f>(IF(ArtifactsInput!$M$35,-1,1)*Summary!$B$3*(((1-Summary!$B$11)*IFERROR(B2594/Summary!$B$24,1)+Summary!$B$11*IFERROR(B2595/Summary!$B$25,1))-1)+ArtifactsInput!$L$35)</f>
        <v/>
      </c>
      <c r="AC61">
        <f>IF(ArtifactsInput!$M$35,Summary!$B$3/(Summary!$B$3-(IF(ArtifactsInput!$M$35,-1,1)*Summary!$B$3*(((1-Summary!$B$11)*IFERROR(B2594/Summary!$B$24,1)+Summary!$B$11*IFERROR(B2595/Summary!$B$25,1))-1)+ArtifactsInput!$L$35))*100,(Summary!$B$3+(IF(ArtifactsInput!$M$35,-1,1)*Summary!$B$3*(((1-Summary!$B$11)*IFERROR(B2594/Summary!$B$24,1)+Summary!$B$11*IFERROR(B2595/Summary!$B$25,1))-1)+ArtifactsInput!$L$35))/Summary!$B$3*100)</f>
        <v/>
      </c>
      <c r="AD61">
        <f>ArtifactsInput!$B$35&lt;&gt;"Not Unlocked"</f>
        <v/>
      </c>
      <c r="AE61">
        <f>IF(AD61,SUMPRODUCT(($AD$33:$AD$68)*($AC$33:$AC$68&gt;AC61))+COUNTIFS($AD$33:AD61,TRUE,$AC$33:AC61,AC61),"")</f>
        <v/>
      </c>
    </row>
    <row r="62">
      <c r="A62">
        <f>IF(30&gt;COUNTIF($AD$33:$AD$68,TRUE),"",INDEX($AA$33:$AA$68,MATCH(30,$AE$33:$AE$68,0)))</f>
        <v/>
      </c>
      <c r="B62">
        <f>IF(30&gt;COUNTIF($AD$33:$AD$68,TRUE),"",INDEX($AB$33:$AB$68,MATCH(30,$AE$33:$AE$68,0)))</f>
        <v/>
      </c>
      <c r="C62">
        <f>IF(30&gt;COUNTIF($AD$33:$AD$68,TRUE),"",INDEX($AC$33:$AC$68,MATCH(30,$AE$33:$AE$68,0)))</f>
        <v/>
      </c>
      <c r="AA62" t="inlineStr">
        <is>
          <t>Candle (Equip)</t>
        </is>
      </c>
      <c r="AB62">
        <f>(IF(ArtifactsInput!$M$36,-1,1)*Summary!$B$3*(((1-Summary!$B$11)*IFERROR(B2640/Summary!$B$24,1)+Summary!$B$11*IFERROR(B2641/Summary!$B$25,1))-1)+ArtifactsInput!$L$36)</f>
        <v/>
      </c>
      <c r="AC62">
        <f>IF(ArtifactsInput!$M$36,Summary!$B$3/(Summary!$B$3-(IF(ArtifactsInput!$M$36,-1,1)*Summary!$B$3*(((1-Summary!$B$11)*IFERROR(B2640/Summary!$B$24,1)+Summary!$B$11*IFERROR(B2641/Summary!$B$25,1))-1)+ArtifactsInput!$L$36))*100,(Summary!$B$3+(IF(ArtifactsInput!$M$36,-1,1)*Summary!$B$3*(((1-Summary!$B$11)*IFERROR(B2640/Summary!$B$24,1)+Summary!$B$11*IFERROR(B2641/Summary!$B$25,1))-1)+ArtifactsInput!$L$36))/Summary!$B$3*100)</f>
        <v/>
      </c>
      <c r="AD62">
        <f>ArtifactsInput!$B$36&lt;&gt;"Not Unlocked"</f>
        <v/>
      </c>
      <c r="AE62">
        <f>IF(AD62,SUMPRODUCT(($AD$33:$AD$68)*($AC$33:$AC$68&gt;AC62))+COUNTIFS($AD$33:AD62,TRUE,$AC$33:AC62,AC62),"")</f>
        <v/>
      </c>
    </row>
    <row r="63">
      <c r="A63">
        <f>IF(31&gt;COUNTIF($AD$33:$AD$68,TRUE),"",INDEX($AA$33:$AA$68,MATCH(31,$AE$33:$AE$68,0)))</f>
        <v/>
      </c>
      <c r="B63">
        <f>IF(31&gt;COUNTIF($AD$33:$AD$68,TRUE),"",INDEX($AB$33:$AB$68,MATCH(31,$AE$33:$AE$68,0)))</f>
        <v/>
      </c>
      <c r="C63">
        <f>IF(31&gt;COUNTIF($AD$33:$AD$68,TRUE),"",INDEX($AC$33:$AC$68,MATCH(31,$AE$33:$AE$68,0)))</f>
        <v/>
      </c>
      <c r="AA63" t="inlineStr">
        <is>
          <t>Alliance Badge (Equip)</t>
        </is>
      </c>
      <c r="AB63">
        <f>(IF(ArtifactsInput!$M$37,-1,1)*Summary!$B$3*(((1-Summary!$B$11)*IFERROR(B2686/Summary!$B$24,1)+Summary!$B$11*IFERROR(B2687/Summary!$B$25,1))-1)+ArtifactsInput!$L$37)</f>
        <v/>
      </c>
      <c r="AC63">
        <f>IF(ArtifactsInput!$M$37,Summary!$B$3/(Summary!$B$3-(IF(ArtifactsInput!$M$37,-1,1)*Summary!$B$3*(((1-Summary!$B$11)*IFERROR(B2686/Summary!$B$24,1)+Summary!$B$11*IFERROR(B2687/Summary!$B$25,1))-1)+ArtifactsInput!$L$37))*100,(Summary!$B$3+(IF(ArtifactsInput!$M$37,-1,1)*Summary!$B$3*(((1-Summary!$B$11)*IFERROR(B2686/Summary!$B$24,1)+Summary!$B$11*IFERROR(B2687/Summary!$B$25,1))-1)+ArtifactsInput!$L$37))/Summary!$B$3*100)</f>
        <v/>
      </c>
      <c r="AD63">
        <f>ArtifactsInput!$B$37&lt;&gt;"Not Unlocked"</f>
        <v/>
      </c>
      <c r="AE63">
        <f>IF(AD63,SUMPRODUCT(($AD$33:$AD$68)*($AC$33:$AC$68&gt;AC63))+COUNTIFS($AD$33:AD63,TRUE,$AC$33:AC63,AC63),"")</f>
        <v/>
      </c>
    </row>
    <row r="64">
      <c r="A64">
        <f>IF(32&gt;COUNTIF($AD$33:$AD$68,TRUE),"",INDEX($AA$33:$AA$68,MATCH(32,$AE$33:$AE$68,0)))</f>
        <v/>
      </c>
      <c r="B64">
        <f>IF(32&gt;COUNTIF($AD$33:$AD$68,TRUE),"",INDEX($AB$33:$AB$68,MATCH(32,$AE$33:$AE$68,0)))</f>
        <v/>
      </c>
      <c r="C64">
        <f>IF(32&gt;COUNTIF($AD$33:$AD$68,TRUE),"",INDEX($AC$33:$AC$68,MATCH(32,$AE$33:$AE$68,0)))</f>
        <v/>
      </c>
      <c r="AA64" t="inlineStr">
        <is>
          <t>Horn Flute (Equip)</t>
        </is>
      </c>
      <c r="AB64">
        <f>(IF(ArtifactsInput!$M$38,-1,1)*Summary!$B$3*(((1-Summary!$B$11)*IFERROR(B2732/Summary!$B$24,1)+Summary!$B$11*IFERROR(B2733/Summary!$B$25,1))-1)+ArtifactsInput!$L$38)</f>
        <v/>
      </c>
      <c r="AC64">
        <f>IF(ArtifactsInput!$M$38,Summary!$B$3/(Summary!$B$3-(IF(ArtifactsInput!$M$38,-1,1)*Summary!$B$3*(((1-Summary!$B$11)*IFERROR(B2732/Summary!$B$24,1)+Summary!$B$11*IFERROR(B2733/Summary!$B$25,1))-1)+ArtifactsInput!$L$38))*100,(Summary!$B$3+(IF(ArtifactsInput!$M$38,-1,1)*Summary!$B$3*(((1-Summary!$B$11)*IFERROR(B2732/Summary!$B$24,1)+Summary!$B$11*IFERROR(B2733/Summary!$B$25,1))-1)+ArtifactsInput!$L$38))/Summary!$B$3*100)</f>
        <v/>
      </c>
      <c r="AD64">
        <f>ArtifactsInput!$B$38&lt;&gt;"Not Unlocked"</f>
        <v/>
      </c>
      <c r="AE64">
        <f>IF(AD64,SUMPRODUCT(($AD$33:$AD$68)*($AC$33:$AC$68&gt;AC64))+COUNTIFS($AD$33:AD64,TRUE,$AC$33:AC64,AC64),"")</f>
        <v/>
      </c>
    </row>
    <row r="65">
      <c r="A65">
        <f>IF(33&gt;COUNTIF($AD$33:$AD$68,TRUE),"",INDEX($AA$33:$AA$68,MATCH(33,$AE$33:$AE$68,0)))</f>
        <v/>
      </c>
      <c r="B65">
        <f>IF(33&gt;COUNTIF($AD$33:$AD$68,TRUE),"",INDEX($AB$33:$AB$68,MATCH(33,$AE$33:$AE$68,0)))</f>
        <v/>
      </c>
      <c r="C65">
        <f>IF(33&gt;COUNTIF($AD$33:$AD$68,TRUE),"",INDEX($AC$33:$AC$68,MATCH(33,$AE$33:$AE$68,0)))</f>
        <v/>
      </c>
      <c r="AA65" t="inlineStr">
        <is>
          <t>Cursed Doll (Equip)</t>
        </is>
      </c>
      <c r="AB65">
        <f>(IF(ArtifactsInput!$M$39,-1,1)*Summary!$B$3*(((1-Summary!$B$11)*IFERROR(B2778/Summary!$B$24,1)+Summary!$B$11*IFERROR(B2779/Summary!$B$25,1))-1)+ArtifactsInput!$L$39)</f>
        <v/>
      </c>
      <c r="AC65">
        <f>IF(ArtifactsInput!$M$39,Summary!$B$3/(Summary!$B$3-(IF(ArtifactsInput!$M$39,-1,1)*Summary!$B$3*(((1-Summary!$B$11)*IFERROR(B2778/Summary!$B$24,1)+Summary!$B$11*IFERROR(B2779/Summary!$B$25,1))-1)+ArtifactsInput!$L$39))*100,(Summary!$B$3+(IF(ArtifactsInput!$M$39,-1,1)*Summary!$B$3*(((1-Summary!$B$11)*IFERROR(B2778/Summary!$B$24,1)+Summary!$B$11*IFERROR(B2779/Summary!$B$25,1))-1)+ArtifactsInput!$L$39))/Summary!$B$3*100)</f>
        <v/>
      </c>
      <c r="AD65">
        <f>ArtifactsInput!$B$39&lt;&gt;"Not Unlocked"</f>
        <v/>
      </c>
      <c r="AE65">
        <f>IF(AD65,SUMPRODUCT(($AD$33:$AD$68)*($AC$33:$AC$68&gt;AC65))+COUNTIFS($AD$33:AD65,TRUE,$AC$33:AC65,AC65),"")</f>
        <v/>
      </c>
    </row>
    <row r="66">
      <c r="A66">
        <f>IF(34&gt;COUNTIF($AD$33:$AD$68,TRUE),"",INDEX($AA$33:$AA$68,MATCH(34,$AE$33:$AE$68,0)))</f>
        <v/>
      </c>
      <c r="B66">
        <f>IF(34&gt;COUNTIF($AD$33:$AD$68,TRUE),"",INDEX($AB$33:$AB$68,MATCH(34,$AE$33:$AE$68,0)))</f>
        <v/>
      </c>
      <c r="C66">
        <f>IF(34&gt;COUNTIF($AD$33:$AD$68,TRUE),"",INDEX($AC$33:$AC$68,MATCH(34,$AE$33:$AE$68,0)))</f>
        <v/>
      </c>
      <c r="AA66" t="inlineStr">
        <is>
          <t>Reindeer's Spear (Equip)</t>
        </is>
      </c>
      <c r="AB66">
        <f>(IF(ArtifactsInput!$M$40,-1,1)*Summary!$B$3*(((1-Summary!$B$11)*IFERROR(B2824/Summary!$B$24,1)+Summary!$B$11*IFERROR(B2825/Summary!$B$25,1))-1)+ArtifactsInput!$L$40)</f>
        <v/>
      </c>
      <c r="AC66">
        <f>IF(ArtifactsInput!$M$40,Summary!$B$3/(Summary!$B$3-(IF(ArtifactsInput!$M$40,-1,1)*Summary!$B$3*(((1-Summary!$B$11)*IFERROR(B2824/Summary!$B$24,1)+Summary!$B$11*IFERROR(B2825/Summary!$B$25,1))-1)+ArtifactsInput!$L$40))*100,(Summary!$B$3+(IF(ArtifactsInput!$M$40,-1,1)*Summary!$B$3*(((1-Summary!$B$11)*IFERROR(B2824/Summary!$B$24,1)+Summary!$B$11*IFERROR(B2825/Summary!$B$25,1))-1)+ArtifactsInput!$L$40))/Summary!$B$3*100)</f>
        <v/>
      </c>
      <c r="AD66">
        <f>ArtifactsInput!$B$40&lt;&gt;"Not Unlocked"</f>
        <v/>
      </c>
      <c r="AE66">
        <f>IF(AD66,SUMPRODUCT(($AD$33:$AD$68)*($AC$33:$AC$68&gt;AC66))+COUNTIFS($AD$33:AD66,TRUE,$AC$33:AC66,AC66),"")</f>
        <v/>
      </c>
    </row>
    <row r="67">
      <c r="A67">
        <f>IF(35&gt;COUNTIF($AD$33:$AD$68,TRUE),"",INDEX($AA$33:$AA$68,MATCH(35,$AE$33:$AE$68,0)))</f>
        <v/>
      </c>
      <c r="B67">
        <f>IF(35&gt;COUNTIF($AD$33:$AD$68,TRUE),"",INDEX($AB$33:$AB$68,MATCH(35,$AE$33:$AE$68,0)))</f>
        <v/>
      </c>
      <c r="C67">
        <f>IF(35&gt;COUNTIF($AD$33:$AD$68,TRUE),"",INDEX($AC$33:$AC$68,MATCH(35,$AE$33:$AE$68,0)))</f>
        <v/>
      </c>
      <c r="AA67" t="inlineStr">
        <is>
          <t>Secret Map (Equip)</t>
        </is>
      </c>
      <c r="AB67">
        <f>(IF(ArtifactsInput!$M$41,-1,1)*Summary!$B$3*(((1-Summary!$B$11)*IFERROR(B2870/Summary!$B$24,1)+Summary!$B$11*IFERROR(B2871/Summary!$B$25,1))-1)+ArtifactsInput!$L$41)</f>
        <v/>
      </c>
      <c r="AC67">
        <f>IF(ArtifactsInput!$M$41,Summary!$B$3/(Summary!$B$3-(IF(ArtifactsInput!$M$41,-1,1)*Summary!$B$3*(((1-Summary!$B$11)*IFERROR(B2870/Summary!$B$24,1)+Summary!$B$11*IFERROR(B2871/Summary!$B$25,1))-1)+ArtifactsInput!$L$41))*100,(Summary!$B$3+(IF(ArtifactsInput!$M$41,-1,1)*Summary!$B$3*(((1-Summary!$B$11)*IFERROR(B2870/Summary!$B$24,1)+Summary!$B$11*IFERROR(B2871/Summary!$B$25,1))-1)+ArtifactsInput!$L$41))/Summary!$B$3*100)</f>
        <v/>
      </c>
      <c r="AD67">
        <f>ArtifactsInput!$B$41&lt;&gt;"Not Unlocked"</f>
        <v/>
      </c>
      <c r="AE67">
        <f>IF(AD67,SUMPRODUCT(($AD$33:$AD$68)*($AC$33:$AC$68&gt;AC67))+COUNTIFS($AD$33:AD67,TRUE,$AC$33:AC67,AC67),"")</f>
        <v/>
      </c>
    </row>
    <row r="68">
      <c r="A68">
        <f>IF(36&gt;COUNTIF($AD$33:$AD$68,TRUE),"",INDEX($AA$33:$AA$68,MATCH(36,$AE$33:$AE$68,0)))</f>
        <v/>
      </c>
      <c r="B68">
        <f>IF(36&gt;COUNTIF($AD$33:$AD$68,TRUE),"",INDEX($AB$33:$AB$68,MATCH(36,$AE$33:$AE$68,0)))</f>
        <v/>
      </c>
      <c r="C68">
        <f>IF(36&gt;COUNTIF($AD$33:$AD$68,TRUE),"",INDEX($AC$33:$AC$68,MATCH(36,$AE$33:$AE$68,0)))</f>
        <v/>
      </c>
      <c r="AA68" t="inlineStr">
        <is>
          <t>Ring of Cycles (Equip)</t>
        </is>
      </c>
      <c r="AB68">
        <f>(IF(ArtifactsInput!$M$42,-1,1)*Summary!$B$3*(((1-Summary!$B$11)*IFERROR(B2916/Summary!$B$24,1)+Summary!$B$11*IFERROR(B2917/Summary!$B$25,1))-1)+ArtifactsInput!$L$42)</f>
        <v/>
      </c>
      <c r="AC68">
        <f>IF(ArtifactsInput!$M$42,Summary!$B$3/(Summary!$B$3-(IF(ArtifactsInput!$M$42,-1,1)*Summary!$B$3*(((1-Summary!$B$11)*IFERROR(B2916/Summary!$B$24,1)+Summary!$B$11*IFERROR(B2917/Summary!$B$25,1))-1)+ArtifactsInput!$L$42))*100,(Summary!$B$3+(IF(ArtifactsInput!$M$42,-1,1)*Summary!$B$3*(((1-Summary!$B$11)*IFERROR(B2916/Summary!$B$24,1)+Summary!$B$11*IFERROR(B2917/Summary!$B$25,1))-1)+ArtifactsInput!$L$42))/Summary!$B$3*100)</f>
        <v/>
      </c>
      <c r="AD68">
        <f>ArtifactsInput!$B$42&lt;&gt;"Not Unlocked"</f>
        <v/>
      </c>
      <c r="AE68">
        <f>IF(AD68,SUMPRODUCT(($AD$33:$AD$68)*($AC$33:$AC$68&gt;AC68))+COUNTIFS($AD$33:AD68,TRUE,$AC$33:AC68,AC68),"")</f>
        <v/>
      </c>
    </row>
    <row r="71">
      <c r="A71" s="6" t="inlineStr">
        <is>
          <t>Stat: Flat DEX</t>
        </is>
      </c>
    </row>
    <row r="72">
      <c r="A72" s="5" t="inlineStr">
        <is>
          <t>Key</t>
        </is>
      </c>
      <c r="B72" s="5" t="inlineStr">
        <is>
          <t>Name</t>
        </is>
      </c>
      <c r="C72" s="5" t="inlineStr">
        <is>
          <t>Unlocked</t>
        </is>
      </c>
      <c r="D72" s="5" t="inlineStr">
        <is>
          <t>InputLevel</t>
        </is>
      </c>
      <c r="E72" s="5" t="inlineStr">
        <is>
          <t>Factor</t>
        </is>
      </c>
      <c r="F72" s="5" t="inlineStr">
        <is>
          <t>CoefficientPercent</t>
        </is>
      </c>
      <c r="G72" s="5" t="inlineStr">
        <is>
          <t>EffectiveHits</t>
        </is>
      </c>
      <c r="H72" s="5" t="inlineStr">
        <is>
          <t>ProcProbability</t>
        </is>
      </c>
      <c r="I72" s="5" t="inlineStr">
        <is>
          <t>MapleHeroMultiplier</t>
        </is>
      </c>
      <c r="J72" s="5" t="inlineStr">
        <is>
          <t>BaseDamage</t>
        </is>
      </c>
      <c r="K72" s="5" t="inlineStr">
        <is>
          <t>BaseHitDamage</t>
        </is>
      </c>
      <c r="L72" s="5" t="inlineStr">
        <is>
          <t>NonCritAvg</t>
        </is>
      </c>
      <c r="M72" s="5" t="inlineStr">
        <is>
          <t>CritAvg</t>
        </is>
      </c>
      <c r="N72" s="5" t="inlineStr">
        <is>
          <t>ExpectedDamage(perHit)</t>
        </is>
      </c>
      <c r="O72" s="5" t="inlineStr">
        <is>
          <t>DPS</t>
        </is>
      </c>
      <c r="P72" s="5" t="inlineStr">
        <is>
          <t>% of Total</t>
        </is>
      </c>
      <c r="Q72" s="5" t="inlineStr">
        <is>
          <t>InvCooldown</t>
        </is>
      </c>
      <c r="R72" s="5" t="inlineStr">
        <is>
          <t>CastsInFight</t>
        </is>
      </c>
      <c r="S72" s="5" t="inlineStr">
        <is>
          <t>HitRate(perSec)</t>
        </is>
      </c>
      <c r="U72" t="inlineStr">
        <is>
          <t>helpers</t>
        </is>
      </c>
    </row>
    <row r="73">
      <c r="A73">
        <f>Skills!A2</f>
        <v/>
      </c>
      <c r="B73">
        <f>Skills!B2</f>
        <v/>
      </c>
      <c r="C73">
        <f>Inputs!$B$3&gt;=100</f>
        <v/>
      </c>
      <c r="D73" t="inlineStr"/>
      <c r="E73" t="inlineStr"/>
      <c r="F73">
        <f>U75+Skills!O2</f>
        <v/>
      </c>
      <c r="G73">
        <f>Skills!G2*IF(Skills!H2&gt;0,INT(IF(Inputs!$B$38="pvp",MIN(Skills!I2,15),Skills!I2)/Skills!H2+0.000000001),1)</f>
        <v/>
      </c>
      <c r="H73">
        <f>1-(1-Skills!J2/100)^Skills!K2</f>
        <v/>
      </c>
      <c r="I73" t="inlineStr">
        <is>
          <t>1</t>
        </is>
      </c>
      <c r="J73">
        <f>((Inputs!$B$6*(1+Inputs!$B$7/100))+((((Inputs!$B$12+1)*(1+Inputs!$B$13/100))-(Inputs!$B$12*(1+Inputs!$B$13/100)))+0.25*(Inputs!$B$14-Inputs!$B$14))*(1+Inputs!$B$7/100))*(F73/100)</f>
        <v/>
      </c>
      <c r="K73">
        <f>J73*(1+(((Inputs!$B$12+1)*(1+Inputs!$B$13/100))*0.01+Inputs!$B$14*0.0025)/100)*(1+Inputs!$B$15/100)*(1+Inputs!$B$16/100)*(5000/(6000+Inputs!$B$42*(1-(100*(1-(1-(Inputs!$B$19+0)/100)*(1-CHOOSE(ArtifactsInput!$N$40+1,5,6,7,8,9,10)/100)^(ArtifactsInput!$M$40-ArtifactsInput!$M$40)))/100)))*(1+(Inputs!$B$24+((C97=TRUE)*(F97-Calc!F26))+B108)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IGHT_LEGS_EASTON",Inputs!$B$17+((C94=TRUE)*(F94-Calc!F23))+((C98=TRUE)*(F98-Calc!F27))+((IF(AND(Inputs!$B$38&lt;&gt;"pvp",Inputs!$B$43=0),1,IF(IF(Inputs!$B$38="pvp",15,Inputs!$B$43)-(B109)&lt;=0,1,MAX(0,IF(Inputs!$B$38="pvp",15,Inputs!$B$43)-MAX(5,B109))/(IF(Inputs!$B$38="pvp",15,Inputs!$B$43)-(B109))))*(IF(AND(ArtifactsInput!$M$42,((Inputs!$B$9+((C90=TRUE)*(F90-Calc!F19))+B102+(ArtifactsInput!$M$24-ArtifactsInput!$M$24)*CHOOSE(ArtifactsInput!$N$24+1,10,12,14,16,18,20)+IF(ArtifactsInput!$M$10,CHOOSE(ArtifactsInput!$N$10+1,15,18,21,24,27,30)*(IF(Inputs!$B$38="pvp",MIN(15,15)/15,IF(AND(Inputs!$B$38&lt;&gt;"pvp",Inputs!$B$43&gt;0),MIN(15,Inputs!$B$43)/(Inputs!$B$43),0))),0)))&gt;=100),MIN(100,((Inputs!$B$9+((C90=TRUE)*(F90-Calc!F19))+B102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109)&lt;=0,1,MAX(0,IF(Inputs!$B$38="pvp",15,Inputs!$B$43)-MAX(5,B109))/(IF(Inputs!$B$38="pvp",15,Inputs!$B$43)-(B109))))*IF(AND(ArtifactsInput!$M$42,((Inputs!$B$9+((C90=TRUE)*(F90-Calc!F19))+B102+(ArtifactsInput!$M$24-ArtifactsInput!$M$24)*CHOOSE(ArtifactsInput!$N$24+1,10,12,14,16,18,20)+IF(ArtifactsInput!$M$10,CHOOSE(ArtifactsInput!$N$10+1,15,18,21,24,27,30)*(IF(Inputs!$B$38="pvp",MIN(15,15)/15,IF(AND(Inputs!$B$38&lt;&gt;"pvp",Inputs!$B$43&gt;0),MIN(15,Inputs!$B$43)/(Inputs!$B$43),0))),0)))&gt;=100),CHOOSE(ArtifactsInput!$N$42+1,40,48,56,64,72,80),0))))/100)*((1+(((C88=TRUE)*F88*5/7)+((C95=TRUE)*(F95-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73)</f>
        <v/>
      </c>
      <c r="L73">
        <f>K73*(MIN(Inputs!$B$22+((C93=TRUE)*(F93-Calc!F22)),(Inputs!$B$23+0+(IF(ArtifactsInput!$M$15,CHOOSE(ArtifactsInput!$N$15+1,25,30,35,40,45,50)/100*(Inputs!$B$11-Inputs!$B$11),0))))/100+(Inputs!$B$23+0+(IF(ArtifactsInput!$M$15,CHOOSE(ArtifactsInput!$N$15+1,25,30,35,40,45,50)/100*(Inputs!$B$11-Inputs!$B$11),0)))/100)/2</f>
        <v/>
      </c>
      <c r="M73">
        <f>L73*(1+(Inputs!$B$10+((C96=TRUE)*(F96-Calc!F25))+B107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3">
        <f>L73*(1-MIN((Inputs!$B$9+((C90=TRUE)*(F90-Calc!F19))+B102+(ArtifactsInput!$M$24-ArtifactsInput!$M$24)*CHOOSE(ArtifactsInput!$N$24+1,10,12,14,16,18,20)+(IF(AND(Inputs!$B$38&lt;&gt;"pvp",Inputs!$B$43=0),1,IF(IF(Inputs!$B$38="pvp",15,Inputs!$B$43)-(B109)&lt;=0,1,MAX(0,IF(Inputs!$B$38="pvp",15,Inputs!$B$43)-MAX(5,B109))/(IF(Inputs!$B$38="pvp",15,Inputs!$B$43)-(B109))))*IF(AND(ArtifactsInput!$M$42,((Inputs!$B$9+((C90=TRUE)*(F90-Calc!F19))+B102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73*(MIN((Inputs!$B$9+((C90=TRUE)*(F90-Calc!F19))+B102+(ArtifactsInput!$M$24-ArtifactsInput!$M$24)*CHOOSE(ArtifactsInput!$N$24+1,10,12,14,16,18,20)+(IF(AND(Inputs!$B$38&lt;&gt;"pvp",Inputs!$B$43=0),1,IF(IF(Inputs!$B$38="pvp",15,Inputs!$B$43)-(B109)&lt;=0,1,MAX(0,IF(Inputs!$B$38="pvp",15,Inputs!$B$43)-MAX(5,B109))/(IF(Inputs!$B$38="pvp",15,Inputs!$B$43)-(B109))))*IF(AND(ArtifactsInput!$M$42,((Inputs!$B$9+((C90=TRUE)*(F90-Calc!F19))+B102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3">
        <f>(1-Summary!$B$11)*T73+Summary!$B$11*V73</f>
        <v/>
      </c>
      <c r="P73">
        <f>IF(B112=0,0,O73/B112)</f>
        <v/>
      </c>
      <c r="Q73" t="n">
        <v>0</v>
      </c>
      <c r="R73" t="n">
        <v>0</v>
      </c>
      <c r="S73">
        <f>IFERROR(O73/N73,0)</f>
        <v/>
      </c>
      <c r="T73">
        <f>IF(C73,(Skills!G2*N73*B106*(1+IF(C98=TRUE,1/3,0)))*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Hunt"),CHOOSE(ArtifactsInput!$N$35+1,15,18,21,24,27,30)*(1-EXP(-(0.2*B104)*5)),0)+IF(AND(ArtifactsInput!$M$22,Inputs!$B$4&lt;&gt;"Chapter Hunt"),CHOOSE(ArtifactsInput!$N$22+1,10,12,14,16,18,20)*((0*(((0.15*B104*5))^0/1)+1*(((0.15*B104*5))^1/1)+2*(((0.15*B104*5))^2/2)+3*(((0.15*B104*5))^3/6)+4*(((0.15*B104*5))^4/24)+5*(((0.15*B104*5))^5/120))/((((0.15*B104*5))^0/1)+(((0.15*B104*5))^1/1)+(((0.15*B104*5))^2/2)+(((0.15*B104*5))^3/6)+(((0.15*B104*5))^4/24)+(((0.15*B104*5))^5/120))),0))+IF(Inputs!$B$3&gt;=54,9*(C74=TRUE)*MIN(1,8*(1+Inputs!$B$34/100)*Q74)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73*(1-MIN(100,(Inputs!$B$9+((C90=TRUE)*(F90-Calc!F19))+B102+(ArtifactsInput!$M$24-ArtifactsInput!$M$24)*CHOOSE(ArtifactsInput!$N$24+1,10,12,14,16,18,20)+(IF(AND(Inputs!$B$38&lt;&gt;"pvp",Inputs!$B$43=0),1,IF(IF(Inputs!$B$38="pvp",15,Inputs!$B$43)-(B109)&lt;=0,1,MAX(0,IF(Inputs!$B$38="pvp",15,Inputs!$B$43)-MAX(5,B109))/(IF(Inputs!$B$38="pvp",15,Inputs!$B$43)-(B109))))*IF(AND(ArtifactsInput!$M$42,((Inputs!$B$9+((C90=TRUE)*(F90-Calc!F19))+B102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73*(MIN(100,(Inputs!$B$9+((C90=TRUE)*(F90-Calc!F19))+B102+(ArtifactsInput!$M$24-ArtifactsInput!$M$24)*CHOOSE(ArtifactsInput!$N$24+1,10,12,14,16,18,20)+(IF(AND(Inputs!$B$38&lt;&gt;"pvp",Inputs!$B$43=0),1,IF(IF(Inputs!$B$38="pvp",15,Inputs!$B$43)-(B109)&lt;=0,1,MAX(0,IF(Inputs!$B$38="pvp",15,Inputs!$B$43)-MAX(5,B109))/(IF(Inputs!$B$38="pvp",15,Inputs!$B$43)-(B109))))*IF(AND(ArtifactsInput!$M$42,((Inputs!$B$9+((C90=TRUE)*(F90-Calc!F19))+B102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73*(1-MIN(100,(Inputs!$B$9+((C90=TRUE)*(F90-Calc!F19))+B102+(ArtifactsInput!$M$24-ArtifactsInput!$M$24)*CHOOSE(ArtifactsInput!$N$24+1,10,12,14,16,18,20)+(IF(AND(Inputs!$B$38&lt;&gt;"pvp",Inputs!$B$43=0),1,IF(IF(Inputs!$B$38="pvp",15,Inputs!$B$43)-(B109)&lt;=0,1,MAX(0,IF(Inputs!$B$38="pvp",15,Inputs!$B$43)-MAX(5,B109))/(IF(Inputs!$B$38="pvp",15,Inputs!$B$43)-(B109))))*IF(AND(ArtifactsInput!$M$42,((Inputs!$B$9+((C90=TRUE)*(F90-Calc!F19))+B102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73*(MIN(100,(Inputs!$B$9+((C90=TRUE)*(F90-Calc!F19))+B102+(ArtifactsInput!$M$24-ArtifactsInput!$M$24)*CHOOSE(ArtifactsInput!$N$24+1,10,12,14,16,18,20)+(IF(AND(Inputs!$B$38&lt;&gt;"pvp",Inputs!$B$43=0),1,IF(IF(Inputs!$B$38="pvp",15,Inputs!$B$43)-(B109)&lt;=0,1,MAX(0,IF(Inputs!$B$38="pvp",15,Inputs!$B$43)-MAX(5,B109))/(IF(Inputs!$B$38="pvp",15,Inputs!$B$43)-(B109))))*IF(AND(ArtifactsInput!$M$42,((Inputs!$B$9+((C90=TRUE)*(F90-Calc!F19))+B102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73">
        <f>MAX(0,(Inputs!$B$3-100)*3)+Inputs!$B$28+Inputs!$B$29</f>
        <v/>
      </c>
      <c r="V73">
        <f>IF(C73,(Skills!G2*N73*B106*(1+IF(C98=TRUE,1/3,0)))*IF(Inputs!$B$38="pvp",1,(1+(Inputs!$B$21+Skills!Q2+(IF(ArtifactsInput!$M$33,CHOOSE(ArtifactsInput!$N$33+1,30,36,42,48,54,60),0))+(IF(AND(ArtifactsInput!$M$35,Inputs!$B$4&lt;&gt;"Chapter Hunt"),CHOOSE(ArtifactsInput!$N$35+1,15,18,21,24,27,30)*(1-EXP(-(0.2*B104)*5)),0)+IF(AND(ArtifactsInput!$M$22,Inputs!$B$4&lt;&gt;"Chapter Hunt"),CHOOSE(ArtifactsInput!$N$22+1,10,12,14,16,18,20)*((0*(((0.15*B104*5))^0/1)+1*(((0.15*B104*5))^1/1)+2*(((0.15*B104*5))^2/2)+3*(((0.15*B104*5))^3/6)+4*(((0.15*B104*5))^4/24)+5*(((0.15*B104*5))^5/120))/((((0.15*B104*5))^0/1)+(((0.15*B104*5))^1/1)+(((0.15*B104*5))^2/2)+(((0.15*B104*5))^3/6)+(((0.15*B104*5))^4/24)+(((0.15*B104*5))^5/120))),0))+IF(Inputs!$B$3&gt;=54,9*(C74=TRUE)*MIN(1,8*(1+Inputs!$B$34/100)*Q74),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4">
      <c r="A74">
        <f>Skills!A3</f>
        <v/>
      </c>
      <c r="B74">
        <f>Skills!B3</f>
        <v/>
      </c>
      <c r="C74">
        <f>Inputs!$B$3&gt;=33</f>
        <v/>
      </c>
      <c r="D74">
        <f>IF(Skills!C3=1,60+Inputs!$B$25+Inputs!$B$29,IF(Skills!C3=2,90+Inputs!$B$26+Inputs!$B$29,IF(Skills!C3=3,120+Inputs!$B$27+Inputs!$B$29,MAX(0,(Inputs!$B$3-100)*3)+Inputs!$B$28+Inputs!$B$29)))</f>
        <v/>
      </c>
      <c r="E74">
        <f>INDEX(FactorTable!$B$2:$Y$301, MATCH(ROUND(MIN(300,MAX(1,D74)),0), FactorTable!$A$2:$A$301,0), Skills!M3+1)</f>
        <v/>
      </c>
      <c r="F74">
        <f>IF(Skills!N3=TRUE,(Skills!L3/10)*(E74/1000),Skills!L3/10)+Skills!O3</f>
        <v/>
      </c>
      <c r="G74">
        <f>Skills!G3*IF(Skills!H3&gt;0,INT(IF(Inputs!$B$38="pvp",MIN(Skills!I3,15),Skills!I3)/Skills!H3+0.000000001),1)</f>
        <v/>
      </c>
      <c r="H74">
        <f>1-(1-Skills!J3/100)^Skills!K3</f>
        <v/>
      </c>
      <c r="I74" t="inlineStr">
        <is>
          <t>1</t>
        </is>
      </c>
      <c r="J74">
        <f>((Inputs!$B$6*(1+Inputs!$B$7/100))+((((Inputs!$B$12+1)*(1+Inputs!$B$13/100))-(Inputs!$B$12*(1+Inputs!$B$13/100)))+0.25*(Inputs!$B$14-Inputs!$B$14))*(1+Inputs!$B$7/100))*(F74/100)</f>
        <v/>
      </c>
      <c r="K74">
        <f>J74*(1+(((Inputs!$B$12+1)*(1+Inputs!$B$13/100))*0.01+Inputs!$B$14*0.0025)/100)*(1+Inputs!$B$15/100)*(1+Inputs!$B$16/100)*(5000/(6000+Inputs!$B$42*(1-(100*(1-(1-(Inputs!$B$19+0)/100)*(1-CHOOSE(ArtifactsInput!$N$40+1,5,6,7,8,9,10)/100)^(ArtifactsInput!$M$40-ArtifactsInput!$M$40)))/100)))*(1+(Inputs!$B$24+((C97=TRUE)*(F97-Calc!F26))+B108)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86=TRUE,F86,0)/100)*(1+(IF(Skills!A3="EIGHT_LEGS_EASTON",Inputs!$B$17+((C94=TRUE)*(F94-Calc!F23))+((C98=TRUE)*(F98-Calc!F27))+((IF(AND(Inputs!$B$38&lt;&gt;"pvp",Inputs!$B$43=0),1,IF(IF(Inputs!$B$38="pvp",15,Inputs!$B$43)-(B109)&lt;=0,1,MAX(0,IF(Inputs!$B$38="pvp",15,Inputs!$B$43)-MAX(5,B109))/(IF(Inputs!$B$38="pvp",15,Inputs!$B$43)-(B109))))*(IF(AND(ArtifactsInput!$M$42,((Inputs!$B$9+((C90=TRUE)*(F90-Calc!F19))+B102+(ArtifactsInput!$M$24-ArtifactsInput!$M$24)*CHOOSE(ArtifactsInput!$N$24+1,10,12,14,16,18,20)+IF(ArtifactsInput!$M$10,CHOOSE(ArtifactsInput!$N$10+1,15,18,21,24,27,30)*(IF(Inputs!$B$38="pvp",MIN(15,15)/15,IF(AND(Inputs!$B$38&lt;&gt;"pvp",Inputs!$B$43&gt;0),MIN(15,Inputs!$B$43)/(Inputs!$B$43),0))),0)))&gt;=100),MIN(100,((Inputs!$B$9+((C90=TRUE)*(F90-Calc!F19))+B102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109)&lt;=0,1,MAX(0,IF(Inputs!$B$38="pvp",15,Inputs!$B$43)-MAX(5,B109))/(IF(Inputs!$B$38="pvp",15,Inputs!$B$43)-(B109))))*IF(AND(ArtifactsInput!$M$42,((Inputs!$B$9+((C90=TRUE)*(F90-Calc!F19))+B102+(ArtifactsInput!$M$24-ArtifactsInput!$M$24)*CHOOSE(ArtifactsInput!$N$24+1,10,12,14,16,18,20)+IF(ArtifactsInput!$M$10,CHOOSE(ArtifactsInput!$N$10+1,15,18,21,24,27,30)*(IF(Inputs!$B$38="pvp",MIN(15,15)/15,IF(AND(Inputs!$B$38&lt;&gt;"pvp",Inputs!$B$43&gt;0),MIN(15,Inputs!$B$43)/(Inputs!$B$43),0))),0)))&gt;=100),CHOOSE(ArtifactsInput!$N$42+1,40,48,56,64,72,80),0))))/100)*((1+(((C88=TRUE)*F88*5/7)+((C95=TRUE)*(F95-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74)</f>
        <v/>
      </c>
      <c r="L74">
        <f>K74*(MIN(Inputs!$B$22+((C93=TRUE)*(F93-Calc!F22)),(Inputs!$B$23+0+(IF(ArtifactsInput!$M$15,CHOOSE(ArtifactsInput!$N$15+1,25,30,35,40,45,50)/100*(Inputs!$B$11-Inputs!$B$11),0))))/100+(Inputs!$B$23+0+(IF(ArtifactsInput!$M$15,CHOOSE(ArtifactsInput!$N$15+1,25,30,35,40,45,50)/100*(Inputs!$B$11-Inputs!$B$11),0)))/100)/2</f>
        <v/>
      </c>
      <c r="M74">
        <f>L74*(1+(Inputs!$B$10+((C96=TRUE)*(F96-Calc!F25))+B107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4">
        <f>L74*(1-MIN((Inputs!$B$9+((C90=TRUE)*(F90-Calc!F19))+B102+(ArtifactsInput!$M$24-ArtifactsInput!$M$24)*CHOOSE(ArtifactsInput!$N$24+1,10,12,14,16,18,20)+(IF(AND(Inputs!$B$38&lt;&gt;"pvp",Inputs!$B$43=0),1,IF(IF(Inputs!$B$38="pvp",15,Inputs!$B$43)-(B109)&lt;=0,1,MAX(0,IF(Inputs!$B$38="pvp",15,Inputs!$B$43)-MAX(5,B109))/(IF(Inputs!$B$38="pvp",15,Inputs!$B$43)-(B109))))*IF(AND(ArtifactsInput!$M$42,((Inputs!$B$9+((C90=TRUE)*(F90-Calc!F19))+B102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74*(MIN((Inputs!$B$9+((C90=TRUE)*(F90-Calc!F19))+B102+(ArtifactsInput!$M$24-ArtifactsInput!$M$24)*CHOOSE(ArtifactsInput!$N$24+1,10,12,14,16,18,20)+(IF(AND(Inputs!$B$38&lt;&gt;"pvp",Inputs!$B$43=0),1,IF(IF(Inputs!$B$38="pvp",15,Inputs!$B$43)-(B109)&lt;=0,1,MAX(0,IF(Inputs!$B$38="pvp",15,Inputs!$B$43)-MAX(5,B109))/(IF(Inputs!$B$38="pvp",15,Inputs!$B$43)-(B109))))*IF(AND(ArtifactsInput!$M$42,((Inputs!$B$9+((C90=TRUE)*(F90-Calc!F19))+B102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4">
        <f>(1-Summary!$B$11)*T74+Summary!$B$11*V74</f>
        <v/>
      </c>
      <c r="P74">
        <f>IF(B112=0,0,O74/B112)</f>
        <v/>
      </c>
      <c r="Q74">
        <f>IFERROR(1/(IF(Inputs!$B$38="pvp",15,MAX(0.1,Skills!D3-IF(TRUE=TRUE,Inputs!$B$32,0)))*(1-IF(AND(ArtifactsInput!$M$27,Inputs!$B$4="Chapter Hunt"),CHOOSE(ArtifactsInput!$N$27+1,20,24,28,32,36,40),0)/100)),0)</f>
        <v/>
      </c>
      <c r="R74">
        <f>IF(AND(Inputs!$B$38&lt;&gt;"pvp",Inputs!$B$43&gt;0),IF(MAX(0,Inputs!$B$43-B109)&lt;=0,0,(INT(MAX(0,Inputs!$B$43-B109)/(IF(Inputs!$B$38="pvp",15,MAX(0.1,Skills!D3-IF(TRUE=TRUE,Inputs!$B$32,0)))*(1-IF(AND(ArtifactsInput!$M$27,Inputs!$B$4="Chapter Hunt"),CHOOSE(ArtifactsInput!$N$27+1,20,24,28,32,36,40),0)/100)))+1)),0)</f>
        <v/>
      </c>
      <c r="S74">
        <f>IFERROR(O74/N74,0)</f>
        <v/>
      </c>
      <c r="T74">
        <f>IF(C74,(H74*N74*IF(AND(Inputs!$B$38&lt;&gt;"pvp",Inputs!$B$43&gt;0),((Skills!G3*((R74-1)*IF(Skills!H3&gt;0,INT(Skills!I3/Skills!H3+0.000000001),1)+IF(Skills!H3&gt;0,INT(MIN(Skills!I3,MAX(0,MAX(0,Inputs!$B$43-B109)-((R74-1)*(IF(Inputs!$B$38="pvp",15,MAX(0.1,Skills!D3-IF(TRUE=TRUE,Inputs!$B$32,0)))*(1-IF(AND(ArtifactsInput!$M$27,Inputs!$B$4="Chapter Hunt"),CHOOSE(ArtifactsInput!$N$27+1,20,24,28,32,36,40),0)/100)))))/Skills!H3+0.000000001),1)))/Inputs!$B$43),G74*Q74))*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Hunt"),CHOOSE(ArtifactsInput!$N$35+1,15,18,21,24,27,30)*(1-EXP(-(0.2*B104)*5)),0)+IF(AND(ArtifactsInput!$M$22,Inputs!$B$4&lt;&gt;"Chapter Hunt"),CHOOSE(ArtifactsInput!$N$22+1,10,12,14,16,18,20)*((0*(((0.15*B104*5))^0/1)+1*(((0.15*B104*5))^1/1)+2*(((0.15*B104*5))^2/2)+3*(((0.15*B104*5))^3/6)+4*(((0.15*B104*5))^4/24)+5*(((0.15*B104*5))^5/120))/((((0.15*B104*5))^0/1)+(((0.15*B104*5))^1/1)+(((0.15*B104*5))^2/2)+(((0.15*B104*5))^3/6)+(((0.15*B104*5))^4/24)+(((0.15*B104*5))^5/120))),0))+IF(Inputs!$B$3&gt;=54,9*(C74=TRUE)*MIN(1,8*(1+Inputs!$B$34/100)*Q74)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74*(1-MIN(100,(Inputs!$B$9+((C90=TRUE)*(F90-Calc!F19))+B102+(ArtifactsInput!$M$24-ArtifactsInput!$M$24)*CHOOSE(ArtifactsInput!$N$24+1,10,12,14,16,18,20)+(IF(AND(Inputs!$B$38&lt;&gt;"pvp",Inputs!$B$43=0),1,IF(IF(Inputs!$B$38="pvp",15,Inputs!$B$43)-(B109)&lt;=0,1,MAX(0,IF(Inputs!$B$38="pvp",15,Inputs!$B$43)-MAX(5,B109))/(IF(Inputs!$B$38="pvp",15,Inputs!$B$43)-(B109))))*IF(AND(ArtifactsInput!$M$42,((Inputs!$B$9+((C90=TRUE)*(F90-Calc!F19))+B102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74*(MIN(100,(Inputs!$B$9+((C90=TRUE)*(F90-Calc!F19))+B102+(ArtifactsInput!$M$24-ArtifactsInput!$M$24)*CHOOSE(ArtifactsInput!$N$24+1,10,12,14,16,18,20)+(IF(AND(Inputs!$B$38&lt;&gt;"pvp",Inputs!$B$43=0),1,IF(IF(Inputs!$B$38="pvp",15,Inputs!$B$43)-(B109)&lt;=0,1,MAX(0,IF(Inputs!$B$38="pvp",15,Inputs!$B$43)-MAX(5,B109))/(IF(Inputs!$B$38="pvp",15,Inputs!$B$43)-(B109))))*IF(AND(ArtifactsInput!$M$42,((Inputs!$B$9+((C90=TRUE)*(F90-Calc!F19))+B102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74*(1-MIN(100,(Inputs!$B$9+((C90=TRUE)*(F90-Calc!F19))+B102+(ArtifactsInput!$M$24-ArtifactsInput!$M$24)*CHOOSE(ArtifactsInput!$N$24+1,10,12,14,16,18,20)+(IF(AND(Inputs!$B$38&lt;&gt;"pvp",Inputs!$B$43=0),1,IF(IF(Inputs!$B$38="pvp",15,Inputs!$B$43)-(B109)&lt;=0,1,MAX(0,IF(Inputs!$B$38="pvp",15,Inputs!$B$43)-MAX(5,B109))/(IF(Inputs!$B$38="pvp",15,Inputs!$B$43)-(B109))))*IF(AND(ArtifactsInput!$M$42,((Inputs!$B$9+((C90=TRUE)*(F90-Calc!F19))+B102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74*(MIN(100,(Inputs!$B$9+((C90=TRUE)*(F90-Calc!F19))+B102+(ArtifactsInput!$M$24-ArtifactsInput!$M$24)*CHOOSE(ArtifactsInput!$N$24+1,10,12,14,16,18,20)+(IF(AND(Inputs!$B$38&lt;&gt;"pvp",Inputs!$B$43=0),1,IF(IF(Inputs!$B$38="pvp",15,Inputs!$B$43)-(B109)&lt;=0,1,MAX(0,IF(Inputs!$B$38="pvp",15,Inputs!$B$43)-MAX(5,B109))/(IF(Inputs!$B$38="pvp",15,Inputs!$B$43)-(B109))))*IF(AND(ArtifactsInput!$M$42,((Inputs!$B$9+((C90=TRUE)*(F90-Calc!F19))+B102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74">
        <f>INDEX(FactorTable!$B$2:$Y$301, MATCH(ROUND(MIN(300,MAX(1,U73)),0), FactorTable!$A$2:$A$301,0), 22)</f>
        <v/>
      </c>
      <c r="V74">
        <f>IF(C74,(H74*N74*IF(AND(Inputs!$B$38&lt;&gt;"pvp",Inputs!$B$43&gt;0),((Skills!G3*((R74-1)*IF(Skills!H3&gt;0,INT(Skills!I3/Skills!H3+0.000000001),1)+IF(Skills!H3&gt;0,INT(MIN(Skills!I3,MAX(0,MAX(0,Inputs!$B$43-B109)-((R74-1)*(IF(Inputs!$B$38="pvp",15,MAX(0.1,Skills!D3-IF(TRUE=TRUE,Inputs!$B$32,0)))*(1-IF(AND(ArtifactsInput!$M$27,Inputs!$B$4="Chapter Hunt"),CHOOSE(ArtifactsInput!$N$27+1,20,24,28,32,36,40),0)/100)))))/Skills!H3+0.000000001),1)))/Inputs!$B$43),G74*Q74))*IF(Inputs!$B$38="pvp",1,(1+(Inputs!$B$21+Skills!Q3+(IF(ArtifactsInput!$M$33,CHOOSE(ArtifactsInput!$N$33+1,30,36,42,48,54,60),0))+(IF(AND(ArtifactsInput!$M$35,Inputs!$B$4&lt;&gt;"Chapter Hunt"),CHOOSE(ArtifactsInput!$N$35+1,15,18,21,24,27,30)*(1-EXP(-(0.2*B104)*5)),0)+IF(AND(ArtifactsInput!$M$22,Inputs!$B$4&lt;&gt;"Chapter Hunt"),CHOOSE(ArtifactsInput!$N$22+1,10,12,14,16,18,20)*((0*(((0.15*B104*5))^0/1)+1*(((0.15*B104*5))^1/1)+2*(((0.15*B104*5))^2/2)+3*(((0.15*B104*5))^3/6)+4*(((0.15*B104*5))^4/24)+5*(((0.15*B104*5))^5/120))/((((0.15*B104*5))^0/1)+(((0.15*B104*5))^1/1)+(((0.15*B104*5))^2/2)+(((0.15*B104*5))^3/6)+(((0.15*B104*5))^4/24)+(((0.15*B104*5))^5/120))),0))+IF(Inputs!$B$3&gt;=54,9*(C74=TRUE)*MIN(1,8*(1+Inputs!$B$34/100)*Q74),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5">
      <c r="A75">
        <f>Skills!A4</f>
        <v/>
      </c>
      <c r="B75">
        <f>Skills!B4</f>
        <v/>
      </c>
      <c r="C75">
        <f>Inputs!$B$3&gt;=35</f>
        <v/>
      </c>
      <c r="D75">
        <f>IF(Skills!C4=1,60+Inputs!$B$25+Inputs!$B$29,IF(Skills!C4=2,90+Inputs!$B$26+Inputs!$B$29,IF(Skills!C4=3,120+Inputs!$B$27+Inputs!$B$29,MAX(0,(Inputs!$B$3-100)*3)+Inputs!$B$28+Inputs!$B$29)))</f>
        <v/>
      </c>
      <c r="E75">
        <f>INDEX(FactorTable!$B$2:$Y$301, MATCH(ROUND(MIN(300,MAX(1,D75)),0), FactorTable!$A$2:$A$301,0), Skills!M4+1)</f>
        <v/>
      </c>
      <c r="F75">
        <f>IF(Skills!N4=TRUE,(Skills!L4/10)*(E75/1000),Skills!L4/10)+Skills!O4</f>
        <v/>
      </c>
      <c r="G75">
        <f>Skills!G4*IF(Skills!H4&gt;0,INT(IF(Inputs!$B$38="pvp",MIN(IF(Inputs!$B$3&gt;=104,MIN(35,20*(1+Inputs!$B$34/100)),20),15),IF(Inputs!$B$3&gt;=104,MIN(35,20*(1+Inputs!$B$34/100)),20))/Skills!H4+0.000000001),1)</f>
        <v/>
      </c>
      <c r="H75">
        <f>1-(1-Skills!J4/100)^Skills!K4</f>
        <v/>
      </c>
      <c r="I75" t="inlineStr">
        <is>
          <t>1</t>
        </is>
      </c>
      <c r="J75">
        <f>((Inputs!$B$6*(1+Inputs!$B$7/100))+((((Inputs!$B$12+1)*(1+Inputs!$B$13/100))-(Inputs!$B$12*(1+Inputs!$B$13/100)))+0.25*(Inputs!$B$14-Inputs!$B$14))*(1+Inputs!$B$7/100))*(F75/100)</f>
        <v/>
      </c>
      <c r="K75">
        <f>J75*(1+(((Inputs!$B$12+1)*(1+Inputs!$B$13/100))*0.01+Inputs!$B$14*0.0025)/100)*(1+Inputs!$B$15/100)*(1+Inputs!$B$16/100)*(5000/(6000+Inputs!$B$42*(1-(100*(1-(1-(Inputs!$B$19+0)/100)*(1-CHOOSE(ArtifactsInput!$N$40+1,5,6,7,8,9,10)/100)^(ArtifactsInput!$M$40-ArtifactsInput!$M$40)))/100)))*(1+(Inputs!$B$24+((C97=TRUE)*(F97-Calc!F26))+B108)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87=TRUE,F87,0)/100)*(1+(IF(Skills!A4="EIGHT_LEGS_EASTON",Inputs!$B$17+((C94=TRUE)*(F94-Calc!F23))+((C98=TRUE)*(F98-Calc!F27))+((IF(AND(Inputs!$B$38&lt;&gt;"pvp",Inputs!$B$43=0),1,IF(IF(Inputs!$B$38="pvp",15,Inputs!$B$43)-(B109)&lt;=0,1,MAX(0,IF(Inputs!$B$38="pvp",15,Inputs!$B$43)-MAX(5,B109))/(IF(Inputs!$B$38="pvp",15,Inputs!$B$43)-(B109))))*(IF(AND(ArtifactsInput!$M$42,((Inputs!$B$9+((C90=TRUE)*(F90-Calc!F19))+B102+(ArtifactsInput!$M$24-ArtifactsInput!$M$24)*CHOOSE(ArtifactsInput!$N$24+1,10,12,14,16,18,20)+IF(ArtifactsInput!$M$10,CHOOSE(ArtifactsInput!$N$10+1,15,18,21,24,27,30)*(IF(Inputs!$B$38="pvp",MIN(15,15)/15,IF(AND(Inputs!$B$38&lt;&gt;"pvp",Inputs!$B$43&gt;0),MIN(15,Inputs!$B$43)/(Inputs!$B$43),0))),0)))&gt;=100),MIN(100,((Inputs!$B$9+((C90=TRUE)*(F90-Calc!F19))+B102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109)&lt;=0,1,MAX(0,IF(Inputs!$B$38="pvp",15,Inputs!$B$43)-MAX(5,B109))/(IF(Inputs!$B$38="pvp",15,Inputs!$B$43)-(B109))))*IF(AND(ArtifactsInput!$M$42,((Inputs!$B$9+((C90=TRUE)*(F90-Calc!F19))+B102+(ArtifactsInput!$M$24-ArtifactsInput!$M$24)*CHOOSE(ArtifactsInput!$N$24+1,10,12,14,16,18,20)+IF(ArtifactsInput!$M$10,CHOOSE(ArtifactsInput!$N$10+1,15,18,21,24,27,30)*(IF(Inputs!$B$38="pvp",MIN(15,15)/15,IF(AND(Inputs!$B$38&lt;&gt;"pvp",Inputs!$B$43&gt;0),MIN(15,Inputs!$B$43)/(Inputs!$B$43),0))),0)))&gt;=100),CHOOSE(ArtifactsInput!$N$42+1,40,48,56,64,72,80),0))))/100)*((1+(((C88=TRUE)*F88*5/7)+((C95=TRUE)*(F95-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75)</f>
        <v/>
      </c>
      <c r="L75">
        <f>K75*(MIN(Inputs!$B$22+((C93=TRUE)*(F93-Calc!F22)),(Inputs!$B$23+0+(IF(ArtifactsInput!$M$15,CHOOSE(ArtifactsInput!$N$15+1,25,30,35,40,45,50)/100*(Inputs!$B$11-Inputs!$B$11),0))))/100+(Inputs!$B$23+0+(IF(ArtifactsInput!$M$15,CHOOSE(ArtifactsInput!$N$15+1,25,30,35,40,45,50)/100*(Inputs!$B$11-Inputs!$B$11),0)))/100)/2</f>
        <v/>
      </c>
      <c r="M75">
        <f>L75*(1+(Inputs!$B$10+((C96=TRUE)*(F96-Calc!F25))+B107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5">
        <f>L75*(1-MIN((Inputs!$B$9+((C90=TRUE)*(F90-Calc!F19))+B102+(ArtifactsInput!$M$24-ArtifactsInput!$M$24)*CHOOSE(ArtifactsInput!$N$24+1,10,12,14,16,18,20)+(IF(AND(Inputs!$B$38&lt;&gt;"pvp",Inputs!$B$43=0),1,IF(IF(Inputs!$B$38="pvp",15,Inputs!$B$43)-(B109)&lt;=0,1,MAX(0,IF(Inputs!$B$38="pvp",15,Inputs!$B$43)-MAX(5,B109))/(IF(Inputs!$B$38="pvp",15,Inputs!$B$43)-(B109))))*IF(AND(ArtifactsInput!$M$42,((Inputs!$B$9+((C90=TRUE)*(F90-Calc!F19))+B102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75*(MIN((Inputs!$B$9+((C90=TRUE)*(F90-Calc!F19))+B102+(ArtifactsInput!$M$24-ArtifactsInput!$M$24)*CHOOSE(ArtifactsInput!$N$24+1,10,12,14,16,18,20)+(IF(AND(Inputs!$B$38&lt;&gt;"pvp",Inputs!$B$43=0),1,IF(IF(Inputs!$B$38="pvp",15,Inputs!$B$43)-(B109)&lt;=0,1,MAX(0,IF(Inputs!$B$38="pvp",15,Inputs!$B$43)-MAX(5,B109))/(IF(Inputs!$B$38="pvp",15,Inputs!$B$43)-(B109))))*IF(AND(ArtifactsInput!$M$42,((Inputs!$B$9+((C90=TRUE)*(F90-Calc!F19))+B102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5">
        <f>(1-Summary!$B$11)*T75+Summary!$B$11*V75</f>
        <v/>
      </c>
      <c r="P75">
        <f>IF(B112=0,0,O75/B112)</f>
        <v/>
      </c>
      <c r="Q75">
        <f>IFERROR(1/(IF(Inputs!$B$38="pvp",15,MAX(0.1,Skills!D4-IF(TRUE=TRUE,Inputs!$B$32,0)))*(1-IF(AND(ArtifactsInput!$M$27,Inputs!$B$4="Chapter Hunt"),CHOOSE(ArtifactsInput!$N$27+1,20,24,28,32,36,40),0)/100)),0)</f>
        <v/>
      </c>
      <c r="R75">
        <f>IF(AND(Inputs!$B$38&lt;&gt;"pvp",Inputs!$B$43&gt;0),IF(MAX(0,Inputs!$B$43-B109)&lt;=0,0,(INT(MAX(0,Inputs!$B$43-B109)/(IF(Inputs!$B$38="pvp",15,MAX(0.1,Skills!D4-IF(TRUE=TRUE,Inputs!$B$32,0)))*(1-IF(AND(ArtifactsInput!$M$27,Inputs!$B$4="Chapter Hunt"),CHOOSE(ArtifactsInput!$N$27+1,20,24,28,32,36,40),0)/100)))+1)),0)</f>
        <v/>
      </c>
      <c r="S75">
        <f>IFERROR(O75/N75,0)</f>
        <v/>
      </c>
      <c r="T75">
        <f>IF(C75,(H75*N75*IF(AND(Inputs!$B$38&lt;&gt;"pvp",Inputs!$B$43&gt;0),((Skills!G4*((R75-1)*IF(Skills!H4&gt;0,INT(IF(Inputs!$B$3&gt;=104,MIN(35,20*(1+Inputs!$B$34/100)),20)/Skills!H4+0.000000001),1)+IF(Skills!H4&gt;0,INT(MIN(IF(Inputs!$B$3&gt;=104,MIN(35,20*(1+Inputs!$B$34/100)),20),MAX(0,MAX(0,Inputs!$B$43-B109)-((R75-1)*(IF(Inputs!$B$38="pvp",15,MAX(0.1,Skills!D4-IF(TRUE=TRUE,Inputs!$B$32,0)))*(1-IF(AND(ArtifactsInput!$M$27,Inputs!$B$4="Chapter Hunt"),CHOOSE(ArtifactsInput!$N$27+1,20,24,28,32,36,40),0)/100)))))/Skills!H4+0.000000001),1)))/Inputs!$B$43),G75*Q75))*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Hunt"),CHOOSE(ArtifactsInput!$N$35+1,15,18,21,24,27,30)*(1-EXP(-(0.2*B104)*5)),0)+IF(AND(ArtifactsInput!$M$22,Inputs!$B$4&lt;&gt;"Chapter Hunt"),CHOOSE(ArtifactsInput!$N$22+1,10,12,14,16,18,20)*((0*(((0.15*B104*5))^0/1)+1*(((0.15*B104*5))^1/1)+2*(((0.15*B104*5))^2/2)+3*(((0.15*B104*5))^3/6)+4*(((0.15*B104*5))^4/24)+5*(((0.15*B104*5))^5/120))/((((0.15*B104*5))^0/1)+(((0.15*B104*5))^1/1)+(((0.15*B104*5))^2/2)+(((0.15*B104*5))^3/6)+(((0.15*B104*5))^4/24)+(((0.15*B104*5))^5/120))),0))+IF(Inputs!$B$3&gt;=54,9*(C74=TRUE)*MIN(1,8*(1+Inputs!$B$34/100)*Q74)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75*(1-MIN(100,(Inputs!$B$9+((C90=TRUE)*(F90-Calc!F19))+B102+(ArtifactsInput!$M$24-ArtifactsInput!$M$24)*CHOOSE(ArtifactsInput!$N$24+1,10,12,14,16,18,20)+(IF(AND(Inputs!$B$38&lt;&gt;"pvp",Inputs!$B$43=0),1,IF(IF(Inputs!$B$38="pvp",15,Inputs!$B$43)-(B109)&lt;=0,1,MAX(0,IF(Inputs!$B$38="pvp",15,Inputs!$B$43)-MAX(5,B109))/(IF(Inputs!$B$38="pvp",15,Inputs!$B$43)-(B109))))*IF(AND(ArtifactsInput!$M$42,((Inputs!$B$9+((C90=TRUE)*(F90-Calc!F19))+B102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75*(MIN(100,(Inputs!$B$9+((C90=TRUE)*(F90-Calc!F19))+B102+(ArtifactsInput!$M$24-ArtifactsInput!$M$24)*CHOOSE(ArtifactsInput!$N$24+1,10,12,14,16,18,20)+(IF(AND(Inputs!$B$38&lt;&gt;"pvp",Inputs!$B$43=0),1,IF(IF(Inputs!$B$38="pvp",15,Inputs!$B$43)-(B109)&lt;=0,1,MAX(0,IF(Inputs!$B$38="pvp",15,Inputs!$B$43)-MAX(5,B109))/(IF(Inputs!$B$38="pvp",15,Inputs!$B$43)-(B109))))*IF(AND(ArtifactsInput!$M$42,((Inputs!$B$9+((C90=TRUE)*(F90-Calc!F19))+B102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75*(1-MIN(100,(Inputs!$B$9+((C90=TRUE)*(F90-Calc!F19))+B102+(ArtifactsInput!$M$24-ArtifactsInput!$M$24)*CHOOSE(ArtifactsInput!$N$24+1,10,12,14,16,18,20)+(IF(AND(Inputs!$B$38&lt;&gt;"pvp",Inputs!$B$43=0),1,IF(IF(Inputs!$B$38="pvp",15,Inputs!$B$43)-(B109)&lt;=0,1,MAX(0,IF(Inputs!$B$38="pvp",15,Inputs!$B$43)-MAX(5,B109))/(IF(Inputs!$B$38="pvp",15,Inputs!$B$43)-(B109))))*IF(AND(ArtifactsInput!$M$42,((Inputs!$B$9+((C90=TRUE)*(F90-Calc!F19))+B102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75*(MIN(100,(Inputs!$B$9+((C90=TRUE)*(F90-Calc!F19))+B102+(ArtifactsInput!$M$24-ArtifactsInput!$M$24)*CHOOSE(ArtifactsInput!$N$24+1,10,12,14,16,18,20)+(IF(AND(Inputs!$B$38&lt;&gt;"pvp",Inputs!$B$43=0),1,IF(IF(Inputs!$B$38="pvp",15,Inputs!$B$43)-(B109)&lt;=0,1,MAX(0,IF(Inputs!$B$38="pvp",15,Inputs!$B$43)-MAX(5,B109))/(IF(Inputs!$B$38="pvp",15,Inputs!$B$43)-(B109))))*IF(AND(ArtifactsInput!$M$42,((Inputs!$B$9+((C90=TRUE)*(F90-Calc!F19))+B102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75">
        <f>290*U74/1000</f>
        <v/>
      </c>
      <c r="V75">
        <f>IF(C75,(H75*N75*IF(AND(Inputs!$B$38&lt;&gt;"pvp",Inputs!$B$43&gt;0),((Skills!G4*((R75-1)*IF(Skills!H4&gt;0,INT(IF(Inputs!$B$3&gt;=104,MIN(35,20*(1+Inputs!$B$34/100)),20)/Skills!H4+0.000000001),1)+IF(Skills!H4&gt;0,INT(MIN(IF(Inputs!$B$3&gt;=104,MIN(35,20*(1+Inputs!$B$34/100)),20),MAX(0,MAX(0,Inputs!$B$43-B109)-((R75-1)*(IF(Inputs!$B$38="pvp",15,MAX(0.1,Skills!D4-IF(TRUE=TRUE,Inputs!$B$32,0)))*(1-IF(AND(ArtifactsInput!$M$27,Inputs!$B$4="Chapter Hunt"),CHOOSE(ArtifactsInput!$N$27+1,20,24,28,32,36,40),0)/100)))))/Skills!H4+0.000000001),1)))/Inputs!$B$43),G75*Q75))*IF(Inputs!$B$38="pvp",1,(1+(Inputs!$B$21+Skills!Q4+(IF(ArtifactsInput!$M$33,CHOOSE(ArtifactsInput!$N$33+1,30,36,42,48,54,60),0))+(IF(AND(ArtifactsInput!$M$35,Inputs!$B$4&lt;&gt;"Chapter Hunt"),CHOOSE(ArtifactsInput!$N$35+1,15,18,21,24,27,30)*(1-EXP(-(0.2*B104)*5)),0)+IF(AND(ArtifactsInput!$M$22,Inputs!$B$4&lt;&gt;"Chapter Hunt"),CHOOSE(ArtifactsInput!$N$22+1,10,12,14,16,18,20)*((0*(((0.15*B104*5))^0/1)+1*(((0.15*B104*5))^1/1)+2*(((0.15*B104*5))^2/2)+3*(((0.15*B104*5))^3/6)+4*(((0.15*B104*5))^4/24)+5*(((0.15*B104*5))^5/120))/((((0.15*B104*5))^0/1)+(((0.15*B104*5))^1/1)+(((0.15*B104*5))^2/2)+(((0.15*B104*5))^3/6)+(((0.15*B104*5))^4/24)+(((0.15*B104*5))^5/120))),0))+IF(Inputs!$B$3&gt;=54,9*(C74=TRUE)*MIN(1,8*(1+Inputs!$B$34/100)*Q74),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6">
      <c r="A76">
        <f>Skills!A5</f>
        <v/>
      </c>
      <c r="B76">
        <f>Skills!B5</f>
        <v/>
      </c>
      <c r="C76">
        <f>Inputs!$B$3&gt;=69</f>
        <v/>
      </c>
      <c r="D76">
        <f>IF(Skills!C5=1,60+Inputs!$B$25+Inputs!$B$29,IF(Skills!C5=2,90+Inputs!$B$26+Inputs!$B$29,IF(Skills!C5=3,120+Inputs!$B$27+Inputs!$B$29,MAX(0,(Inputs!$B$3-100)*3)+Inputs!$B$28+Inputs!$B$29)))</f>
        <v/>
      </c>
      <c r="E76">
        <f>INDEX(FactorTable!$B$2:$Y$301, MATCH(ROUND(MIN(300,MAX(1,D76)),0), FactorTable!$A$2:$A$301,0), Skills!M5+1)</f>
        <v/>
      </c>
      <c r="F76">
        <f>IF(Skills!N5=TRUE,(Skills!L5/10)*(E76/1000),Skills!L5/10)+Skills!O5</f>
        <v/>
      </c>
      <c r="G76">
        <f>Skills!G5*IF(Skills!H5&gt;0,INT(IF(Inputs!$B$38="pvp",MIN(IF(Inputs!$B$3&gt;=104,MIN(35,20*(1+Inputs!$B$34/100)),20),15),IF(Inputs!$B$3&gt;=104,MIN(35,20*(1+Inputs!$B$34/100)),20))/Skills!H5+0.000000001),1)</f>
        <v/>
      </c>
      <c r="H76">
        <f>1-(1-Skills!J5/100)^Skills!K5</f>
        <v/>
      </c>
      <c r="I76" t="inlineStr">
        <is>
          <t>1</t>
        </is>
      </c>
      <c r="J76">
        <f>((Inputs!$B$6*(1+Inputs!$B$7/100))+((((Inputs!$B$12+1)*(1+Inputs!$B$13/100))-(Inputs!$B$12*(1+Inputs!$B$13/100)))+0.25*(Inputs!$B$14-Inputs!$B$14))*(1+Inputs!$B$7/100))*(F76/100)</f>
        <v/>
      </c>
      <c r="K76">
        <f>J76*(1+(((Inputs!$B$12+1)*(1+Inputs!$B$13/100))*0.01+Inputs!$B$14*0.0025)/100)*(1+Inputs!$B$15/100)*(1+Inputs!$B$16/100)*(5000/(6000+Inputs!$B$42*(1-(100*(1-(1-(Inputs!$B$19+0)/100)*(1-CHOOSE(ArtifactsInput!$N$40+1,5,6,7,8,9,10)/100)^(ArtifactsInput!$M$40-ArtifactsInput!$M$40)))/100)))*(1+(Inputs!$B$24+((C97=TRUE)*(F97-Calc!F26))+B108)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+0.4*IF(C87=TRUE,F87,0)/100)*(1+(IF(Skills!A5="EIGHT_LEGS_EASTON",Inputs!$B$17+((C94=TRUE)*(F94-Calc!F23))+((C98=TRUE)*(F98-Calc!F27))+((IF(AND(Inputs!$B$38&lt;&gt;"pvp",Inputs!$B$43=0),1,IF(IF(Inputs!$B$38="pvp",15,Inputs!$B$43)-(B109)&lt;=0,1,MAX(0,IF(Inputs!$B$38="pvp",15,Inputs!$B$43)-MAX(5,B109))/(IF(Inputs!$B$38="pvp",15,Inputs!$B$43)-(B109))))*(IF(AND(ArtifactsInput!$M$42,((Inputs!$B$9+((C90=TRUE)*(F90-Calc!F19))+B102+(ArtifactsInput!$M$24-ArtifactsInput!$M$24)*CHOOSE(ArtifactsInput!$N$24+1,10,12,14,16,18,20)+IF(ArtifactsInput!$M$10,CHOOSE(ArtifactsInput!$N$10+1,15,18,21,24,27,30)*(IF(Inputs!$B$38="pvp",MIN(15,15)/15,IF(AND(Inputs!$B$38&lt;&gt;"pvp",Inputs!$B$43&gt;0),MIN(15,Inputs!$B$43)/(Inputs!$B$43),0))),0)))&gt;=100),MIN(100,((Inputs!$B$9+((C90=TRUE)*(F90-Calc!F19))+B102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109)&lt;=0,1,MAX(0,IF(Inputs!$B$38="pvp",15,Inputs!$B$43)-MAX(5,B109))/(IF(Inputs!$B$38="pvp",15,Inputs!$B$43)-(B109))))*IF(AND(ArtifactsInput!$M$42,((Inputs!$B$9+((C90=TRUE)*(F90-Calc!F19))+B102+(ArtifactsInput!$M$24-ArtifactsInput!$M$24)*CHOOSE(ArtifactsInput!$N$24+1,10,12,14,16,18,20)+IF(ArtifactsInput!$M$10,CHOOSE(ArtifactsInput!$N$10+1,15,18,21,24,27,30)*(IF(Inputs!$B$38="pvp",MIN(15,15)/15,IF(AND(Inputs!$B$38&lt;&gt;"pvp",Inputs!$B$43&gt;0),MIN(15,Inputs!$B$43)/(Inputs!$B$43),0))),0)))&gt;=100),CHOOSE(ArtifactsInput!$N$42+1,40,48,56,64,72,80),0))))/100)*((1+(((C88=TRUE)*F88*5/7)+((C95=TRUE)*(F95-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76)</f>
        <v/>
      </c>
      <c r="L76">
        <f>K76*(MIN(Inputs!$B$22+((C93=TRUE)*(F93-Calc!F22)),(Inputs!$B$23+0+(IF(ArtifactsInput!$M$15,CHOOSE(ArtifactsInput!$N$15+1,25,30,35,40,45,50)/100*(Inputs!$B$11-Inputs!$B$11),0))))/100+(Inputs!$B$23+0+(IF(ArtifactsInput!$M$15,CHOOSE(ArtifactsInput!$N$15+1,25,30,35,40,45,50)/100*(Inputs!$B$11-Inputs!$B$11),0)))/100)/2</f>
        <v/>
      </c>
      <c r="M76">
        <f>L76*(1+(Inputs!$B$10+((C96=TRUE)*(F96-Calc!F25))+B107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6">
        <f>L76*(1-MIN((Inputs!$B$9+((C90=TRUE)*(F90-Calc!F19))+B102+(ArtifactsInput!$M$24-ArtifactsInput!$M$24)*CHOOSE(ArtifactsInput!$N$24+1,10,12,14,16,18,20)+(IF(AND(Inputs!$B$38&lt;&gt;"pvp",Inputs!$B$43=0),1,IF(IF(Inputs!$B$38="pvp",15,Inputs!$B$43)-(B109)&lt;=0,1,MAX(0,IF(Inputs!$B$38="pvp",15,Inputs!$B$43)-MAX(5,B109))/(IF(Inputs!$B$38="pvp",15,Inputs!$B$43)-(B109))))*IF(AND(ArtifactsInput!$M$42,((Inputs!$B$9+((C90=TRUE)*(F90-Calc!F19))+B102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76*(MIN((Inputs!$B$9+((C90=TRUE)*(F90-Calc!F19))+B102+(ArtifactsInput!$M$24-ArtifactsInput!$M$24)*CHOOSE(ArtifactsInput!$N$24+1,10,12,14,16,18,20)+(IF(AND(Inputs!$B$38&lt;&gt;"pvp",Inputs!$B$43=0),1,IF(IF(Inputs!$B$38="pvp",15,Inputs!$B$43)-(B109)&lt;=0,1,MAX(0,IF(Inputs!$B$38="pvp",15,Inputs!$B$43)-MAX(5,B109))/(IF(Inputs!$B$38="pvp",15,Inputs!$B$43)-(B109))))*IF(AND(ArtifactsInput!$M$42,((Inputs!$B$9+((C90=TRUE)*(F90-Calc!F19))+B102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6">
        <f>(1-Summary!$B$11)*T76+Summary!$B$11*V76</f>
        <v/>
      </c>
      <c r="P76">
        <f>IF(B112=0,0,O76/B112)</f>
        <v/>
      </c>
      <c r="Q76">
        <f>IFERROR(1/(IF(Inputs!$B$38="pvp",15,MAX(0.1,Skills!D5-IF(TRUE=TRUE,Inputs!$B$32,0)))*(1-IF(AND(ArtifactsInput!$M$27,Inputs!$B$4="Chapter Hunt"),CHOOSE(ArtifactsInput!$N$27+1,20,24,28,32,36,40),0)/100)),0)</f>
        <v/>
      </c>
      <c r="R76">
        <f>IF(AND(Inputs!$B$38&lt;&gt;"pvp",Inputs!$B$43&gt;0),IF(MAX(0,Inputs!$B$43-B109)&lt;=0,0,(INT(MAX(0,Inputs!$B$43-B109)/(IF(Inputs!$B$38="pvp",15,MAX(0.1,Skills!D5-IF(TRUE=TRUE,Inputs!$B$32,0)))*(1-IF(AND(ArtifactsInput!$M$27,Inputs!$B$4="Chapter Hunt"),CHOOSE(ArtifactsInput!$N$27+1,20,24,28,32,36,40),0)/100)))+1)),0)</f>
        <v/>
      </c>
      <c r="S76">
        <f>IFERROR(O76/N76,0)</f>
        <v/>
      </c>
      <c r="T76">
        <f>IF(C76,(H76*N76*IF(AND(Inputs!$B$38&lt;&gt;"pvp",Inputs!$B$43&gt;0),((Skills!G5*((R76-1)*IF(Skills!H5&gt;0,INT(IF(Inputs!$B$3&gt;=104,MIN(35,20*(1+Inputs!$B$34/100)),20)/Skills!H5+0.000000001),1)+IF(Skills!H5&gt;0,INT(MIN(IF(Inputs!$B$3&gt;=104,MIN(35,20*(1+Inputs!$B$34/100)),20),MAX(0,MAX(0,Inputs!$B$43-B109)-((R76-1)*(IF(Inputs!$B$38="pvp",15,MAX(0.1,Skills!D5-IF(TRUE=TRUE,Inputs!$B$32,0)))*(1-IF(AND(ArtifactsInput!$M$27,Inputs!$B$4="Chapter Hunt"),CHOOSE(ArtifactsInput!$N$27+1,20,24,28,32,36,40),0)/100)))))/Skills!H5+0.000000001),1)))/Inputs!$B$43),G76*Q76))*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Hunt"),CHOOSE(ArtifactsInput!$N$35+1,15,18,21,24,27,30)*(1-EXP(-(0.2*B104)*5)),0)+IF(AND(ArtifactsInput!$M$22,Inputs!$B$4&lt;&gt;"Chapter Hunt"),CHOOSE(ArtifactsInput!$N$22+1,10,12,14,16,18,20)*((0*(((0.15*B104*5))^0/1)+1*(((0.15*B104*5))^1/1)+2*(((0.15*B104*5))^2/2)+3*(((0.15*B104*5))^3/6)+4*(((0.15*B104*5))^4/24)+5*(((0.15*B104*5))^5/120))/((((0.15*B104*5))^0/1)+(((0.15*B104*5))^1/1)+(((0.15*B104*5))^2/2)+(((0.15*B104*5))^3/6)+(((0.15*B104*5))^4/24)+(((0.15*B104*5))^5/120))),0))+IF(Inputs!$B$3&gt;=54,9*(C74=TRUE)*MIN(1,8*(1+Inputs!$B$34/100)*Q74)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76*(1-MIN(100,(Inputs!$B$9+((C90=TRUE)*(F90-Calc!F19))+B102+(ArtifactsInput!$M$24-ArtifactsInput!$M$24)*CHOOSE(ArtifactsInput!$N$24+1,10,12,14,16,18,20)+(IF(AND(Inputs!$B$38&lt;&gt;"pvp",Inputs!$B$43=0),1,IF(IF(Inputs!$B$38="pvp",15,Inputs!$B$43)-(B109)&lt;=0,1,MAX(0,IF(Inputs!$B$38="pvp",15,Inputs!$B$43)-MAX(5,B109))/(IF(Inputs!$B$38="pvp",15,Inputs!$B$43)-(B109))))*IF(AND(ArtifactsInput!$M$42,((Inputs!$B$9+((C90=TRUE)*(F90-Calc!F19))+B102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76*(MIN(100,(Inputs!$B$9+((C90=TRUE)*(F90-Calc!F19))+B102+(ArtifactsInput!$M$24-ArtifactsInput!$M$24)*CHOOSE(ArtifactsInput!$N$24+1,10,12,14,16,18,20)+(IF(AND(Inputs!$B$38&lt;&gt;"pvp",Inputs!$B$43=0),1,IF(IF(Inputs!$B$38="pvp",15,Inputs!$B$43)-(B109)&lt;=0,1,MAX(0,IF(Inputs!$B$38="pvp",15,Inputs!$B$43)-MAX(5,B109))/(IF(Inputs!$B$38="pvp",15,Inputs!$B$43)-(B109))))*IF(AND(ArtifactsInput!$M$42,((Inputs!$B$9+((C90=TRUE)*(F90-Calc!F19))+B102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76*(1-MIN(100,(Inputs!$B$9+((C90=TRUE)*(F90-Calc!F19))+B102+(ArtifactsInput!$M$24-ArtifactsInput!$M$24)*CHOOSE(ArtifactsInput!$N$24+1,10,12,14,16,18,20)+(IF(AND(Inputs!$B$38&lt;&gt;"pvp",Inputs!$B$43=0),1,IF(IF(Inputs!$B$38="pvp",15,Inputs!$B$43)-(B109)&lt;=0,1,MAX(0,IF(Inputs!$B$38="pvp",15,Inputs!$B$43)-MAX(5,B109))/(IF(Inputs!$B$38="pvp",15,Inputs!$B$43)-(B109))))*IF(AND(ArtifactsInput!$M$42,((Inputs!$B$9+((C90=TRUE)*(F90-Calc!F19))+B102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76*(MIN(100,(Inputs!$B$9+((C90=TRUE)*(F90-Calc!F19))+B102+(ArtifactsInput!$M$24-ArtifactsInput!$M$24)*CHOOSE(ArtifactsInput!$N$24+1,10,12,14,16,18,20)+(IF(AND(Inputs!$B$38&lt;&gt;"pvp",Inputs!$B$43=0),1,IF(IF(Inputs!$B$38="pvp",15,Inputs!$B$43)-(B109)&lt;=0,1,MAX(0,IF(Inputs!$B$38="pvp",15,Inputs!$B$43)-MAX(5,B109))/(IF(Inputs!$B$38="pvp",15,Inputs!$B$43)-(B109))))*IF(AND(ArtifactsInput!$M$42,((Inputs!$B$9+((C90=TRUE)*(F90-Calc!F19))+B102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6">
        <f>IF(C76,(H76*N76*IF(AND(Inputs!$B$38&lt;&gt;"pvp",Inputs!$B$43&gt;0),((Skills!G5*((R76-1)*IF(Skills!H5&gt;0,INT(IF(Inputs!$B$3&gt;=104,MIN(35,20*(1+Inputs!$B$34/100)),20)/Skills!H5+0.000000001),1)+IF(Skills!H5&gt;0,INT(MIN(IF(Inputs!$B$3&gt;=104,MIN(35,20*(1+Inputs!$B$34/100)),20),MAX(0,MAX(0,Inputs!$B$43-B109)-((R76-1)*(IF(Inputs!$B$38="pvp",15,MAX(0.1,Skills!D5-IF(TRUE=TRUE,Inputs!$B$32,0)))*(1-IF(AND(ArtifactsInput!$M$27,Inputs!$B$4="Chapter Hunt"),CHOOSE(ArtifactsInput!$N$27+1,20,24,28,32,36,40),0)/100)))))/Skills!H5+0.000000001),1)))/Inputs!$B$43),G76*Q76))*IF(Inputs!$B$38="pvp",1,(1+(Inputs!$B$21+Skills!Q5+(IF(ArtifactsInput!$M$33,CHOOSE(ArtifactsInput!$N$33+1,30,36,42,48,54,60),0))+(IF(AND(ArtifactsInput!$M$35,Inputs!$B$4&lt;&gt;"Chapter Hunt"),CHOOSE(ArtifactsInput!$N$35+1,15,18,21,24,27,30)*(1-EXP(-(0.2*B104)*5)),0)+IF(AND(ArtifactsInput!$M$22,Inputs!$B$4&lt;&gt;"Chapter Hunt"),CHOOSE(ArtifactsInput!$N$22+1,10,12,14,16,18,20)*((0*(((0.15*B104*5))^0/1)+1*(((0.15*B104*5))^1/1)+2*(((0.15*B104*5))^2/2)+3*(((0.15*B104*5))^3/6)+4*(((0.15*B104*5))^4/24)+5*(((0.15*B104*5))^5/120))/((((0.15*B104*5))^0/1)+(((0.15*B104*5))^1/1)+(((0.15*B104*5))^2/2)+(((0.15*B104*5))^3/6)+(((0.15*B104*5))^4/24)+(((0.15*B104*5))^5/120))),0))+IF(Inputs!$B$3&gt;=54,9*(C74=TRUE)*MIN(1,8*(1+Inputs!$B$34/100)*Q74),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7">
      <c r="A77">
        <f>Skills!A6</f>
        <v/>
      </c>
      <c r="B77">
        <f>Skills!B6</f>
        <v/>
      </c>
      <c r="C77">
        <f>Inputs!$B$3&gt;=66</f>
        <v/>
      </c>
      <c r="D77">
        <f>IF(Skills!C6=1,60+Inputs!$B$25+Inputs!$B$29,IF(Skills!C6=2,90+Inputs!$B$26+Inputs!$B$29,IF(Skills!C6=3,120+Inputs!$B$27+Inputs!$B$29,MAX(0,(Inputs!$B$3-100)*3)+Inputs!$B$28+Inputs!$B$29)))</f>
        <v/>
      </c>
      <c r="E77">
        <f>INDEX(FactorTable!$B$2:$Y$301, MATCH(ROUND(MIN(300,MAX(1,D77)),0), FactorTable!$A$2:$A$301,0), Skills!M6+1)</f>
        <v/>
      </c>
      <c r="F77">
        <f>IF(Skills!N6=TRUE,(Skills!L6/10)*(E77/1000),Skills!L6/10)+Skills!O6</f>
        <v/>
      </c>
      <c r="G77">
        <f>Skills!G6*IF(Skills!H6&gt;0,INT(IF(Inputs!$B$38="pvp",MIN(Skills!I6,15),Skills!I6)/Skills!H6+0.000000001),1)</f>
        <v/>
      </c>
      <c r="H77">
        <f>1-(1-Skills!J6/100)^Skills!K6</f>
        <v/>
      </c>
      <c r="I77" t="inlineStr">
        <is>
          <t>1</t>
        </is>
      </c>
      <c r="J77">
        <f>((Inputs!$B$6*(1+Inputs!$B$7/100))+((((Inputs!$B$12+1)*(1+Inputs!$B$13/100))-(Inputs!$B$12*(1+Inputs!$B$13/100)))+0.25*(Inputs!$B$14-Inputs!$B$14))*(1+Inputs!$B$7/100))*(F77/100)</f>
        <v/>
      </c>
      <c r="K77">
        <f>J77*(1+(((Inputs!$B$12+1)*(1+Inputs!$B$13/100))*0.01+Inputs!$B$14*0.0025)/100)*(1+Inputs!$B$15/100)*(1+Inputs!$B$16/100)*(5000/(6000+Inputs!$B$42*(1-(100*(1-(1-(Inputs!$B$19+0)/100)*(1-CHOOSE(ArtifactsInput!$N$40+1,5,6,7,8,9,10)/100)^(ArtifactsInput!$M$40-ArtifactsInput!$M$40)))/100)))*(1+(Inputs!$B$24+((C97=TRUE)*(F97-Calc!F26))+B108)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+2.0*IF(C86=TRUE,F86,0)/100)*(1+(IF(Skills!A6="EIGHT_LEGS_EASTON",Inputs!$B$17+((C94=TRUE)*(F94-Calc!F23))+((C98=TRUE)*(F98-Calc!F27))+((IF(AND(Inputs!$B$38&lt;&gt;"pvp",Inputs!$B$43=0),1,IF(IF(Inputs!$B$38="pvp",15,Inputs!$B$43)-(B109)&lt;=0,1,MAX(0,IF(Inputs!$B$38="pvp",15,Inputs!$B$43)-MAX(5,B109))/(IF(Inputs!$B$38="pvp",15,Inputs!$B$43)-(B109))))*(IF(AND(ArtifactsInput!$M$42,((Inputs!$B$9+((C90=TRUE)*(F90-Calc!F19))+B102+(ArtifactsInput!$M$24-ArtifactsInput!$M$24)*CHOOSE(ArtifactsInput!$N$24+1,10,12,14,16,18,20)+IF(ArtifactsInput!$M$10,CHOOSE(ArtifactsInput!$N$10+1,15,18,21,24,27,30)*(IF(Inputs!$B$38="pvp",MIN(15,15)/15,IF(AND(Inputs!$B$38&lt;&gt;"pvp",Inputs!$B$43&gt;0),MIN(15,Inputs!$B$43)/(Inputs!$B$43),0))),0)))&gt;=100),MIN(100,((Inputs!$B$9+((C90=TRUE)*(F90-Calc!F19))+B102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109)&lt;=0,1,MAX(0,IF(Inputs!$B$38="pvp",15,Inputs!$B$43)-MAX(5,B109))/(IF(Inputs!$B$38="pvp",15,Inputs!$B$43)-(B109))))*IF(AND(ArtifactsInput!$M$42,((Inputs!$B$9+((C90=TRUE)*(F90-Calc!F19))+B102+(ArtifactsInput!$M$24-ArtifactsInput!$M$24)*CHOOSE(ArtifactsInput!$N$24+1,10,12,14,16,18,20)+IF(ArtifactsInput!$M$10,CHOOSE(ArtifactsInput!$N$10+1,15,18,21,24,27,30)*(IF(Inputs!$B$38="pvp",MIN(15,15)/15,IF(AND(Inputs!$B$38&lt;&gt;"pvp",Inputs!$B$43&gt;0),MIN(15,Inputs!$B$43)/(Inputs!$B$43),0))),0)))&gt;=100),CHOOSE(ArtifactsInput!$N$42+1,40,48,56,64,72,80),0))))/100)*((1+(((C88=TRUE)*F88*5/7)+((C95=TRUE)*(F95-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77)</f>
        <v/>
      </c>
      <c r="L77">
        <f>K77*(MIN(Inputs!$B$22+((C93=TRUE)*(F93-Calc!F22)),(Inputs!$B$23+0+(IF(ArtifactsInput!$M$15,CHOOSE(ArtifactsInput!$N$15+1,25,30,35,40,45,50)/100*(Inputs!$B$11-Inputs!$B$11),0))))/100+(Inputs!$B$23+0+(IF(ArtifactsInput!$M$15,CHOOSE(ArtifactsInput!$N$15+1,25,30,35,40,45,50)/100*(Inputs!$B$11-Inputs!$B$11),0)))/100)/2</f>
        <v/>
      </c>
      <c r="M77">
        <f>L77*(1+(Inputs!$B$10+((C96=TRUE)*(F96-Calc!F25))+B107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7">
        <f>L77*(1-MIN((Inputs!$B$9+((C90=TRUE)*(F90-Calc!F19))+B102+(ArtifactsInput!$M$24-ArtifactsInput!$M$24)*CHOOSE(ArtifactsInput!$N$24+1,10,12,14,16,18,20)+(IF(AND(Inputs!$B$38&lt;&gt;"pvp",Inputs!$B$43=0),1,IF(IF(Inputs!$B$38="pvp",15,Inputs!$B$43)-(B109)&lt;=0,1,MAX(0,IF(Inputs!$B$38="pvp",15,Inputs!$B$43)-MAX(5,B109))/(IF(Inputs!$B$38="pvp",15,Inputs!$B$43)-(B109))))*IF(AND(ArtifactsInput!$M$42,((Inputs!$B$9+((C90=TRUE)*(F90-Calc!F19))+B102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77*(MIN((Inputs!$B$9+((C90=TRUE)*(F90-Calc!F19))+B102+(ArtifactsInput!$M$24-ArtifactsInput!$M$24)*CHOOSE(ArtifactsInput!$N$24+1,10,12,14,16,18,20)+(IF(AND(Inputs!$B$38&lt;&gt;"pvp",Inputs!$B$43=0),1,IF(IF(Inputs!$B$38="pvp",15,Inputs!$B$43)-(B109)&lt;=0,1,MAX(0,IF(Inputs!$B$38="pvp",15,Inputs!$B$43)-MAX(5,B109))/(IF(Inputs!$B$38="pvp",15,Inputs!$B$43)-(B109))))*IF(AND(ArtifactsInput!$M$42,((Inputs!$B$9+((C90=TRUE)*(F90-Calc!F19))+B102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7">
        <f>(1-Summary!$B$11)*T77+Summary!$B$11*V77</f>
        <v/>
      </c>
      <c r="P77">
        <f>IF(B112=0,0,O77/B112)</f>
        <v/>
      </c>
      <c r="Q77">
        <f>IFERROR(1/(IF(Inputs!$B$38="pvp",15,MAX(0.1,Skills!D6-IF(TRUE=TRUE,Inputs!$B$32,0)))*(1-IF(AND(ArtifactsInput!$M$27,Inputs!$B$4="Chapter Hunt"),CHOOSE(ArtifactsInput!$N$27+1,20,24,28,32,36,40),0)/100)),0)</f>
        <v/>
      </c>
      <c r="R77">
        <f>IF(AND(Inputs!$B$38&lt;&gt;"pvp",Inputs!$B$43&gt;0),IF(MAX(0,Inputs!$B$43-B109)&lt;=0,0,(INT(MAX(0,Inputs!$B$43-B109)/(IF(Inputs!$B$38="pvp",15,MAX(0.1,Skills!D6-IF(TRUE=TRUE,Inputs!$B$32,0)))*(1-IF(AND(ArtifactsInput!$M$27,Inputs!$B$4="Chapter Hunt"),CHOOSE(ArtifactsInput!$N$27+1,20,24,28,32,36,40),0)/100)))+1)),0)</f>
        <v/>
      </c>
      <c r="S77">
        <f>IFERROR(O77/N77,0)</f>
        <v/>
      </c>
      <c r="T77">
        <f>IF(C77,(H77*N77*IF(AND(Inputs!$B$38&lt;&gt;"pvp",Inputs!$B$43&gt;0),((Skills!G6*((R77-1)*IF(Skills!H6&gt;0,INT(Skills!I6/Skills!H6+0.000000001),1)+IF(Skills!H6&gt;0,INT(MIN(Skills!I6,MAX(0,MAX(0,Inputs!$B$43-B109)-((R77-1)*(IF(Inputs!$B$38="pvp",15,MAX(0.1,Skills!D6-IF(TRUE=TRUE,Inputs!$B$32,0)))*(1-IF(AND(ArtifactsInput!$M$27,Inputs!$B$4="Chapter Hunt"),CHOOSE(ArtifactsInput!$N$27+1,20,24,28,32,36,40),0)/100)))))/Skills!H6+0.000000001),1)))/Inputs!$B$43),G77*Q77)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Hunt"),CHOOSE(ArtifactsInput!$N$35+1,15,18,21,24,27,30)*(1-EXP(-(0.2*B104)*5)),0)+IF(AND(ArtifactsInput!$M$22,Inputs!$B$4&lt;&gt;"Chapter Hunt"),CHOOSE(ArtifactsInput!$N$22+1,10,12,14,16,18,20)*((0*(((0.15*B104*5))^0/1)+1*(((0.15*B104*5))^1/1)+2*(((0.15*B104*5))^2/2)+3*(((0.15*B104*5))^3/6)+4*(((0.15*B104*5))^4/24)+5*(((0.15*B104*5))^5/120))/((((0.15*B104*5))^0/1)+(((0.15*B104*5))^1/1)+(((0.15*B104*5))^2/2)+(((0.15*B104*5))^3/6)+(((0.15*B104*5))^4/24)+(((0.15*B104*5))^5/120))),0))+IF(Inputs!$B$3&gt;=54,9*(C74=TRUE)*MIN(1,8*(1+Inputs!$B$34/100)*Q74)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77*(1-MIN(100,(Inputs!$B$9+((C90=TRUE)*(F90-Calc!F19))+B102+(ArtifactsInput!$M$24-ArtifactsInput!$M$24)*CHOOSE(ArtifactsInput!$N$24+1,10,12,14,16,18,20)+(IF(AND(Inputs!$B$38&lt;&gt;"pvp",Inputs!$B$43=0),1,IF(IF(Inputs!$B$38="pvp",15,Inputs!$B$43)-(B109)&lt;=0,1,MAX(0,IF(Inputs!$B$38="pvp",15,Inputs!$B$43)-MAX(5,B109))/(IF(Inputs!$B$38="pvp",15,Inputs!$B$43)-(B109))))*IF(AND(ArtifactsInput!$M$42,((Inputs!$B$9+((C90=TRUE)*(F90-Calc!F19))+B102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77*(MIN(100,(Inputs!$B$9+((C90=TRUE)*(F90-Calc!F19))+B102+(ArtifactsInput!$M$24-ArtifactsInput!$M$24)*CHOOSE(ArtifactsInput!$N$24+1,10,12,14,16,18,20)+(IF(AND(Inputs!$B$38&lt;&gt;"pvp",Inputs!$B$43=0),1,IF(IF(Inputs!$B$38="pvp",15,Inputs!$B$43)-(B109)&lt;=0,1,MAX(0,IF(Inputs!$B$38="pvp",15,Inputs!$B$43)-MAX(5,B109))/(IF(Inputs!$B$38="pvp",15,Inputs!$B$43)-(B109))))*IF(AND(ArtifactsInput!$M$42,((Inputs!$B$9+((C90=TRUE)*(F90-Calc!F19))+B102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77*(1-MIN(100,(Inputs!$B$9+((C90=TRUE)*(F90-Calc!F19))+B102+(ArtifactsInput!$M$24-ArtifactsInput!$M$24)*CHOOSE(ArtifactsInput!$N$24+1,10,12,14,16,18,20)+(IF(AND(Inputs!$B$38&lt;&gt;"pvp",Inputs!$B$43=0),1,IF(IF(Inputs!$B$38="pvp",15,Inputs!$B$43)-(B109)&lt;=0,1,MAX(0,IF(Inputs!$B$38="pvp",15,Inputs!$B$43)-MAX(5,B109))/(IF(Inputs!$B$38="pvp",15,Inputs!$B$43)-(B109))))*IF(AND(ArtifactsInput!$M$42,((Inputs!$B$9+((C90=TRUE)*(F90-Calc!F19))+B102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77*(MIN(100,(Inputs!$B$9+((C90=TRUE)*(F90-Calc!F19))+B102+(ArtifactsInput!$M$24-ArtifactsInput!$M$24)*CHOOSE(ArtifactsInput!$N$24+1,10,12,14,16,18,20)+(IF(AND(Inputs!$B$38&lt;&gt;"pvp",Inputs!$B$43=0),1,IF(IF(Inputs!$B$38="pvp",15,Inputs!$B$43)-(B109)&lt;=0,1,MAX(0,IF(Inputs!$B$38="pvp",15,Inputs!$B$43)-MAX(5,B109))/(IF(Inputs!$B$38="pvp",15,Inputs!$B$43)-(B109))))*IF(AND(ArtifactsInput!$M$42,((Inputs!$B$9+((C90=TRUE)*(F90-Calc!F19))+B102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7">
        <f>IF(C77,(H77*N77*IF(AND(Inputs!$B$38&lt;&gt;"pvp",Inputs!$B$43&gt;0),((Skills!G6*((R77-1)*IF(Skills!H6&gt;0,INT(Skills!I6/Skills!H6+0.000000001),1)+IF(Skills!H6&gt;0,INT(MIN(Skills!I6,MAX(0,MAX(0,Inputs!$B$43-B109)-((R77-1)*(IF(Inputs!$B$38="pvp",15,MAX(0.1,Skills!D6-IF(TRUE=TRUE,Inputs!$B$32,0)))*(1-IF(AND(ArtifactsInput!$M$27,Inputs!$B$4="Chapter Hunt"),CHOOSE(ArtifactsInput!$N$27+1,20,24,28,32,36,40),0)/100)))))/Skills!H6+0.000000001),1)))/Inputs!$B$43),G77*Q77))*IF(Inputs!$B$38="pvp",1,(1+(Inputs!$B$21+Skills!Q6+(IF(ArtifactsInput!$M$33,CHOOSE(ArtifactsInput!$N$33+1,30,36,42,48,54,60),0))+(IF(AND(ArtifactsInput!$M$35,Inputs!$B$4&lt;&gt;"Chapter Hunt"),CHOOSE(ArtifactsInput!$N$35+1,15,18,21,24,27,30)*(1-EXP(-(0.2*B104)*5)),0)+IF(AND(ArtifactsInput!$M$22,Inputs!$B$4&lt;&gt;"Chapter Hunt"),CHOOSE(ArtifactsInput!$N$22+1,10,12,14,16,18,20)*((0*(((0.15*B104*5))^0/1)+1*(((0.15*B104*5))^1/1)+2*(((0.15*B104*5))^2/2)+3*(((0.15*B104*5))^3/6)+4*(((0.15*B104*5))^4/24)+5*(((0.15*B104*5))^5/120))/((((0.15*B104*5))^0/1)+(((0.15*B104*5))^1/1)+(((0.15*B104*5))^2/2)+(((0.15*B104*5))^3/6)+(((0.15*B104*5))^4/24)+(((0.15*B104*5))^5/120))),0))+IF(Inputs!$B$3&gt;=54,9*(C74=TRUE)*MIN(1,8*(1+Inputs!$B$34/100)*Q74),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8">
      <c r="A78">
        <f>Skills!A7</f>
        <v/>
      </c>
      <c r="B78">
        <f>Skills!B7</f>
        <v/>
      </c>
      <c r="C78">
        <f>Inputs!$B$3&gt;=63</f>
        <v/>
      </c>
      <c r="D78">
        <f>IF(Skills!C7=1,60+Inputs!$B$25+Inputs!$B$29,IF(Skills!C7=2,90+Inputs!$B$26+Inputs!$B$29,IF(Skills!C7=3,120+Inputs!$B$27+Inputs!$B$29,MAX(0,(Inputs!$B$3-100)*3)+Inputs!$B$28+Inputs!$B$29)))</f>
        <v/>
      </c>
      <c r="E78">
        <f>INDEX(FactorTable!$B$2:$Y$301, MATCH(ROUND(MIN(300,MAX(1,D78)),0), FactorTable!$A$2:$A$301,0), Skills!M7+1)</f>
        <v/>
      </c>
      <c r="F78">
        <f>IF(Skills!N7=TRUE,(Skills!L7/10)*(E78/1000),Skills!L7/10)+Skills!O7</f>
        <v/>
      </c>
      <c r="G78">
        <f>Skills!G7*IF(Skills!H7&gt;0,INT(IF(Inputs!$B$38="pvp",MIN(Skills!I7,15),Skills!I7)/Skills!H7+0.000000001),1)</f>
        <v/>
      </c>
      <c r="H78">
        <f>1-(1-Skills!J7/100)^Skills!K7</f>
        <v/>
      </c>
      <c r="I78" t="inlineStr">
        <is>
          <t>1</t>
        </is>
      </c>
      <c r="J78">
        <f>((Inputs!$B$6*(1+Inputs!$B$7/100))+((((Inputs!$B$12+1)*(1+Inputs!$B$13/100))-(Inputs!$B$12*(1+Inputs!$B$13/100)))+0.25*(Inputs!$B$14-Inputs!$B$14))*(1+Inputs!$B$7/100))*(F78/100)</f>
        <v/>
      </c>
      <c r="K78">
        <f>J78*(1+(((Inputs!$B$12+1)*(1+Inputs!$B$13/100))*0.01+Inputs!$B$14*0.0025)/100)*(1+Inputs!$B$15/100)*(1+Inputs!$B$16/100)*(5000/(6000+Inputs!$B$42*(1-(100*(1-(1-(Inputs!$B$19+0)/100)*(1-CHOOSE(ArtifactsInput!$N$40+1,5,6,7,8,9,10)/100)^(ArtifactsInput!$M$40-ArtifactsInput!$M$40)))/100)))*(1+(Inputs!$B$24+((C97=TRUE)*(F97-Calc!F26))+B108)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86=TRUE,F86,0)/100)*(1+(IF(Skills!A7="EIGHT_LEGS_EASTON",Inputs!$B$17+((C94=TRUE)*(F94-Calc!F23))+((C98=TRUE)*(F98-Calc!F27))+((IF(AND(Inputs!$B$38&lt;&gt;"pvp",Inputs!$B$43=0),1,IF(IF(Inputs!$B$38="pvp",15,Inputs!$B$43)-(B109)&lt;=0,1,MAX(0,IF(Inputs!$B$38="pvp",15,Inputs!$B$43)-MAX(5,B109))/(IF(Inputs!$B$38="pvp",15,Inputs!$B$43)-(B109))))*(IF(AND(ArtifactsInput!$M$42,((Inputs!$B$9+((C90=TRUE)*(F90-Calc!F19))+B102+(ArtifactsInput!$M$24-ArtifactsInput!$M$24)*CHOOSE(ArtifactsInput!$N$24+1,10,12,14,16,18,20)+IF(ArtifactsInput!$M$10,CHOOSE(ArtifactsInput!$N$10+1,15,18,21,24,27,30)*(IF(Inputs!$B$38="pvp",MIN(15,15)/15,IF(AND(Inputs!$B$38&lt;&gt;"pvp",Inputs!$B$43&gt;0),MIN(15,Inputs!$B$43)/(Inputs!$B$43),0))),0)))&gt;=100),MIN(100,((Inputs!$B$9+((C90=TRUE)*(F90-Calc!F19))+B102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109)&lt;=0,1,MAX(0,IF(Inputs!$B$38="pvp",15,Inputs!$B$43)-MAX(5,B109))/(IF(Inputs!$B$38="pvp",15,Inputs!$B$43)-(B109))))*IF(AND(ArtifactsInput!$M$42,((Inputs!$B$9+((C90=TRUE)*(F90-Calc!F19))+B102+(ArtifactsInput!$M$24-ArtifactsInput!$M$24)*CHOOSE(ArtifactsInput!$N$24+1,10,12,14,16,18,20)+IF(ArtifactsInput!$M$10,CHOOSE(ArtifactsInput!$N$10+1,15,18,21,24,27,30)*(IF(Inputs!$B$38="pvp",MIN(15,15)/15,IF(AND(Inputs!$B$38&lt;&gt;"pvp",Inputs!$B$43&gt;0),MIN(15,Inputs!$B$43)/(Inputs!$B$43),0))),0)))&gt;=100),CHOOSE(ArtifactsInput!$N$42+1,40,48,56,64,72,80),0))))/100)*((1+(((C88=TRUE)*F88*5/7)+((C95=TRUE)*(F95-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78)</f>
        <v/>
      </c>
      <c r="L78">
        <f>K78*(MIN(Inputs!$B$22+((C93=TRUE)*(F93-Calc!F22)),(Inputs!$B$23+0+(IF(ArtifactsInput!$M$15,CHOOSE(ArtifactsInput!$N$15+1,25,30,35,40,45,50)/100*(Inputs!$B$11-Inputs!$B$11),0))))/100+(Inputs!$B$23+0+(IF(ArtifactsInput!$M$15,CHOOSE(ArtifactsInput!$N$15+1,25,30,35,40,45,50)/100*(Inputs!$B$11-Inputs!$B$11),0)))/100)/2</f>
        <v/>
      </c>
      <c r="M78">
        <f>L78*(1+(Inputs!$B$10+((C96=TRUE)*(F96-Calc!F25))+B107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8">
        <f>L78*(1-MIN((Inputs!$B$9+((C90=TRUE)*(F90-Calc!F19))+B102+(ArtifactsInput!$M$24-ArtifactsInput!$M$24)*CHOOSE(ArtifactsInput!$N$24+1,10,12,14,16,18,20)+(IF(AND(Inputs!$B$38&lt;&gt;"pvp",Inputs!$B$43=0),1,IF(IF(Inputs!$B$38="pvp",15,Inputs!$B$43)-(B109)&lt;=0,1,MAX(0,IF(Inputs!$B$38="pvp",15,Inputs!$B$43)-MAX(5,B109))/(IF(Inputs!$B$38="pvp",15,Inputs!$B$43)-(B109))))*IF(AND(ArtifactsInput!$M$42,((Inputs!$B$9+((C90=TRUE)*(F90-Calc!F19))+B102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78*(MIN((Inputs!$B$9+((C90=TRUE)*(F90-Calc!F19))+B102+(ArtifactsInput!$M$24-ArtifactsInput!$M$24)*CHOOSE(ArtifactsInput!$N$24+1,10,12,14,16,18,20)+(IF(AND(Inputs!$B$38&lt;&gt;"pvp",Inputs!$B$43=0),1,IF(IF(Inputs!$B$38="pvp",15,Inputs!$B$43)-(B109)&lt;=0,1,MAX(0,IF(Inputs!$B$38="pvp",15,Inputs!$B$43)-MAX(5,B109))/(IF(Inputs!$B$38="pvp",15,Inputs!$B$43)-(B109))))*IF(AND(ArtifactsInput!$M$42,((Inputs!$B$9+((C90=TRUE)*(F90-Calc!F19))+B102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8">
        <f>(1-Summary!$B$11)*T78+Summary!$B$11*V78</f>
        <v/>
      </c>
      <c r="P78">
        <f>IF(B112=0,0,O78/B112)</f>
        <v/>
      </c>
      <c r="Q78">
        <f>IFERROR(1/(IF(Inputs!$B$38="pvp",15,MAX(0.1,Skills!D7-IF(TRUE=TRUE,Inputs!$B$32,0)))*(1-IF(AND(ArtifactsInput!$M$27,Inputs!$B$4="Chapter Hunt"),CHOOSE(ArtifactsInput!$N$27+1,20,24,28,32,36,40),0)/100)),0)</f>
        <v/>
      </c>
      <c r="R78">
        <f>IF(AND(Inputs!$B$38&lt;&gt;"pvp",Inputs!$B$43&gt;0),IF(MAX(0,Inputs!$B$43-B109)&lt;=0,0,(INT(MAX(0,Inputs!$B$43-B109)/(IF(Inputs!$B$38="pvp",15,MAX(0.1,Skills!D7-IF(TRUE=TRUE,Inputs!$B$32,0)))*(1-IF(AND(ArtifactsInput!$M$27,Inputs!$B$4="Chapter Hunt"),CHOOSE(ArtifactsInput!$N$27+1,20,24,28,32,36,40),0)/100)))+1)),0)</f>
        <v/>
      </c>
      <c r="S78">
        <f>IFERROR(O78/N78,0)</f>
        <v/>
      </c>
      <c r="T78">
        <f>IF(C78,(H78*N78*IF(AND(Inputs!$B$38&lt;&gt;"pvp",Inputs!$B$43&gt;0),((Skills!G7*((R78-1)*IF(Skills!H7&gt;0,INT(Skills!I7/Skills!H7+0.000000001),1)+IF(Skills!H7&gt;0,INT(MIN(Skills!I7,MAX(0,MAX(0,Inputs!$B$43-B109)-((R78-1)*(IF(Inputs!$B$38="pvp",15,MAX(0.1,Skills!D7-IF(TRUE=TRUE,Inputs!$B$32,0)))*(1-IF(AND(ArtifactsInput!$M$27,Inputs!$B$4="Chapter Hunt"),CHOOSE(ArtifactsInput!$N$27+1,20,24,28,32,36,40),0)/100)))))/Skills!H7+0.000000001),1)))/Inputs!$B$43),G78*Q78)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Hunt"),CHOOSE(ArtifactsInput!$N$35+1,15,18,21,24,27,30)*(1-EXP(-(0.2*B104)*5)),0)+IF(AND(ArtifactsInput!$M$22,Inputs!$B$4&lt;&gt;"Chapter Hunt"),CHOOSE(ArtifactsInput!$N$22+1,10,12,14,16,18,20)*((0*(((0.15*B104*5))^0/1)+1*(((0.15*B104*5))^1/1)+2*(((0.15*B104*5))^2/2)+3*(((0.15*B104*5))^3/6)+4*(((0.15*B104*5))^4/24)+5*(((0.15*B104*5))^5/120))/((((0.15*B104*5))^0/1)+(((0.15*B104*5))^1/1)+(((0.15*B104*5))^2/2)+(((0.15*B104*5))^3/6)+(((0.15*B104*5))^4/24)+(((0.15*B104*5))^5/120))),0))+IF(Inputs!$B$3&gt;=54,9*(C74=TRUE)*MIN(1,8*(1+Inputs!$B$34/100)*Q74)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78*(1-MIN(100,(Inputs!$B$9+((C90=TRUE)*(F90-Calc!F19))+B102+(ArtifactsInput!$M$24-ArtifactsInput!$M$24)*CHOOSE(ArtifactsInput!$N$24+1,10,12,14,16,18,20)+(IF(AND(Inputs!$B$38&lt;&gt;"pvp",Inputs!$B$43=0),1,IF(IF(Inputs!$B$38="pvp",15,Inputs!$B$43)-(B109)&lt;=0,1,MAX(0,IF(Inputs!$B$38="pvp",15,Inputs!$B$43)-MAX(5,B109))/(IF(Inputs!$B$38="pvp",15,Inputs!$B$43)-(B109))))*IF(AND(ArtifactsInput!$M$42,((Inputs!$B$9+((C90=TRUE)*(F90-Calc!F19))+B102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78*(MIN(100,(Inputs!$B$9+((C90=TRUE)*(F90-Calc!F19))+B102+(ArtifactsInput!$M$24-ArtifactsInput!$M$24)*CHOOSE(ArtifactsInput!$N$24+1,10,12,14,16,18,20)+(IF(AND(Inputs!$B$38&lt;&gt;"pvp",Inputs!$B$43=0),1,IF(IF(Inputs!$B$38="pvp",15,Inputs!$B$43)-(B109)&lt;=0,1,MAX(0,IF(Inputs!$B$38="pvp",15,Inputs!$B$43)-MAX(5,B109))/(IF(Inputs!$B$38="pvp",15,Inputs!$B$43)-(B109))))*IF(AND(ArtifactsInput!$M$42,((Inputs!$B$9+((C90=TRUE)*(F90-Calc!F19))+B102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78*(1-MIN(100,(Inputs!$B$9+((C90=TRUE)*(F90-Calc!F19))+B102+(ArtifactsInput!$M$24-ArtifactsInput!$M$24)*CHOOSE(ArtifactsInput!$N$24+1,10,12,14,16,18,20)+(IF(AND(Inputs!$B$38&lt;&gt;"pvp",Inputs!$B$43=0),1,IF(IF(Inputs!$B$38="pvp",15,Inputs!$B$43)-(B109)&lt;=0,1,MAX(0,IF(Inputs!$B$38="pvp",15,Inputs!$B$43)-MAX(5,B109))/(IF(Inputs!$B$38="pvp",15,Inputs!$B$43)-(B109))))*IF(AND(ArtifactsInput!$M$42,((Inputs!$B$9+((C90=TRUE)*(F90-Calc!F19))+B102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78*(MIN(100,(Inputs!$B$9+((C90=TRUE)*(F90-Calc!F19))+B102+(ArtifactsInput!$M$24-ArtifactsInput!$M$24)*CHOOSE(ArtifactsInput!$N$24+1,10,12,14,16,18,20)+(IF(AND(Inputs!$B$38&lt;&gt;"pvp",Inputs!$B$43=0),1,IF(IF(Inputs!$B$38="pvp",15,Inputs!$B$43)-(B109)&lt;=0,1,MAX(0,IF(Inputs!$B$38="pvp",15,Inputs!$B$43)-MAX(5,B109))/(IF(Inputs!$B$38="pvp",15,Inputs!$B$43)-(B109))))*IF(AND(ArtifactsInput!$M$42,((Inputs!$B$9+((C90=TRUE)*(F90-Calc!F19))+B102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8">
        <f>IF(C78,(H78*N78*IF(AND(Inputs!$B$38&lt;&gt;"pvp",Inputs!$B$43&gt;0),((Skills!G7*((R78-1)*IF(Skills!H7&gt;0,INT(Skills!I7/Skills!H7+0.000000001),1)+IF(Skills!H7&gt;0,INT(MIN(Skills!I7,MAX(0,MAX(0,Inputs!$B$43-B109)-((R78-1)*(IF(Inputs!$B$38="pvp",15,MAX(0.1,Skills!D7-IF(TRUE=TRUE,Inputs!$B$32,0)))*(1-IF(AND(ArtifactsInput!$M$27,Inputs!$B$4="Chapter Hunt"),CHOOSE(ArtifactsInput!$N$27+1,20,24,28,32,36,40),0)/100)))))/Skills!H7+0.000000001),1)))/Inputs!$B$43),G78*Q78))*IF(Inputs!$B$38="pvp",1,(1+(Inputs!$B$21+Skills!Q7+(IF(ArtifactsInput!$M$33,CHOOSE(ArtifactsInput!$N$33+1,30,36,42,48,54,60),0))+(IF(AND(ArtifactsInput!$M$35,Inputs!$B$4&lt;&gt;"Chapter Hunt"),CHOOSE(ArtifactsInput!$N$35+1,15,18,21,24,27,30)*(1-EXP(-(0.2*B104)*5)),0)+IF(AND(ArtifactsInput!$M$22,Inputs!$B$4&lt;&gt;"Chapter Hunt"),CHOOSE(ArtifactsInput!$N$22+1,10,12,14,16,18,20)*((0*(((0.15*B104*5))^0/1)+1*(((0.15*B104*5))^1/1)+2*(((0.15*B104*5))^2/2)+3*(((0.15*B104*5))^3/6)+4*(((0.15*B104*5))^4/24)+5*(((0.15*B104*5))^5/120))/((((0.15*B104*5))^0/1)+(((0.15*B104*5))^1/1)+(((0.15*B104*5))^2/2)+(((0.15*B104*5))^3/6)+(((0.15*B104*5))^4/24)+(((0.15*B104*5))^5/120))),0))+IF(Inputs!$B$3&gt;=54,9*(C74=TRUE)*MIN(1,8*(1+Inputs!$B$34/100)*Q74),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9">
      <c r="A79">
        <f>Skills!A8</f>
        <v/>
      </c>
      <c r="B79">
        <f>Skills!B8</f>
        <v/>
      </c>
      <c r="C79">
        <f>Inputs!$B$3&gt;=103</f>
        <v/>
      </c>
      <c r="D79">
        <f>IF(Skills!C8=1,60+Inputs!$B$25+Inputs!$B$29,IF(Skills!C8=2,90+Inputs!$B$26+Inputs!$B$29,IF(Skills!C8=3,120+Inputs!$B$27+Inputs!$B$29,MAX(0,(Inputs!$B$3-100)*3)+Inputs!$B$28+Inputs!$B$29)))</f>
        <v/>
      </c>
      <c r="E79">
        <f>INDEX(FactorTable!$B$2:$Y$301, MATCH(ROUND(MIN(300,MAX(1,D79)),0), FactorTable!$A$2:$A$301,0), Skills!M8+1)</f>
        <v/>
      </c>
      <c r="F79">
        <f>IF(Skills!N8=TRUE,(Skills!L8/10)*(E79/1000),Skills!L8/10)+Skills!O8</f>
        <v/>
      </c>
      <c r="G79">
        <f>Skills!G8*IF(Skills!H8&gt;0,INT(IF(Inputs!$B$38="pvp",MIN(Skills!I8,15),Skills!I8)/Skills!H8+0.000000001),1)</f>
        <v/>
      </c>
      <c r="H79">
        <f>1-(1-Skills!J8/100)^Skills!K8</f>
        <v/>
      </c>
      <c r="I79" t="inlineStr">
        <is>
          <t>1</t>
        </is>
      </c>
      <c r="J79">
        <f>((Inputs!$B$6*(1+Inputs!$B$7/100))+((((Inputs!$B$12+1)*(1+Inputs!$B$13/100))-(Inputs!$B$12*(1+Inputs!$B$13/100)))+0.25*(Inputs!$B$14-Inputs!$B$14))*(1+Inputs!$B$7/100))*(F79/100)</f>
        <v/>
      </c>
      <c r="K79">
        <f>J79*(1+(((Inputs!$B$12+1)*(1+Inputs!$B$13/100))*0.01+Inputs!$B$14*0.0025)/100)*(1+Inputs!$B$15/100)*(1+Inputs!$B$16/100)*(5000/(6000+Inputs!$B$42*(1-(100*(1-(1-(Inputs!$B$19+0)/100)*(1-CHOOSE(ArtifactsInput!$N$40+1,5,6,7,8,9,10)/100)^(ArtifactsInput!$M$40-ArtifactsInput!$M$40)))/100)))*(1+(Inputs!$B$24+((C97=TRUE)*(F97-Calc!F26))+B108)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IGHT_LEGS_EASTON",Inputs!$B$17+((C94=TRUE)*(F94-Calc!F23))+((C98=TRUE)*(F98-Calc!F27))+((IF(AND(Inputs!$B$38&lt;&gt;"pvp",Inputs!$B$43=0),1,IF(IF(Inputs!$B$38="pvp",15,Inputs!$B$43)-(B109)&lt;=0,1,MAX(0,IF(Inputs!$B$38="pvp",15,Inputs!$B$43)-MAX(5,B109))/(IF(Inputs!$B$38="pvp",15,Inputs!$B$43)-(B109))))*(IF(AND(ArtifactsInput!$M$42,((Inputs!$B$9+((C90=TRUE)*(F90-Calc!F19))+B102+(ArtifactsInput!$M$24-ArtifactsInput!$M$24)*CHOOSE(ArtifactsInput!$N$24+1,10,12,14,16,18,20)+IF(ArtifactsInput!$M$10,CHOOSE(ArtifactsInput!$N$10+1,15,18,21,24,27,30)*(IF(Inputs!$B$38="pvp",MIN(15,15)/15,IF(AND(Inputs!$B$38&lt;&gt;"pvp",Inputs!$B$43&gt;0),MIN(15,Inputs!$B$43)/(Inputs!$B$43),0))),0)))&gt;=100),MIN(100,((Inputs!$B$9+((C90=TRUE)*(F90-Calc!F19))+B102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109)&lt;=0,1,MAX(0,IF(Inputs!$B$38="pvp",15,Inputs!$B$43)-MAX(5,B109))/(IF(Inputs!$B$38="pvp",15,Inputs!$B$43)-(B109))))*IF(AND(ArtifactsInput!$M$42,((Inputs!$B$9+((C90=TRUE)*(F90-Calc!F19))+B102+(ArtifactsInput!$M$24-ArtifactsInput!$M$24)*CHOOSE(ArtifactsInput!$N$24+1,10,12,14,16,18,20)+IF(ArtifactsInput!$M$10,CHOOSE(ArtifactsInput!$N$10+1,15,18,21,24,27,30)*(IF(Inputs!$B$38="pvp",MIN(15,15)/15,IF(AND(Inputs!$B$38&lt;&gt;"pvp",Inputs!$B$43&gt;0),MIN(15,Inputs!$B$43)/(Inputs!$B$43),0))),0)))&gt;=100),CHOOSE(ArtifactsInput!$N$42+1,40,48,56,64,72,80),0))))/100)*((1+(((C88=TRUE)*F88*5/7)+((C95=TRUE)*(F95-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79)</f>
        <v/>
      </c>
      <c r="L79">
        <f>K79*(MIN(Inputs!$B$22+((C93=TRUE)*(F93-Calc!F22)),(Inputs!$B$23+0+(IF(ArtifactsInput!$M$15,CHOOSE(ArtifactsInput!$N$15+1,25,30,35,40,45,50)/100*(Inputs!$B$11-Inputs!$B$11),0))))/100+(Inputs!$B$23+0+(IF(ArtifactsInput!$M$15,CHOOSE(ArtifactsInput!$N$15+1,25,30,35,40,45,50)/100*(Inputs!$B$11-Inputs!$B$11),0)))/100)/2</f>
        <v/>
      </c>
      <c r="M79">
        <f>L79*(1+(Inputs!$B$10+((C96=TRUE)*(F96-Calc!F25))+B107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9">
        <f>L79*(1-MIN((Inputs!$B$9+((C90=TRUE)*(F90-Calc!F19))+B102+(ArtifactsInput!$M$24-ArtifactsInput!$M$24)*CHOOSE(ArtifactsInput!$N$24+1,10,12,14,16,18,20)+(IF(AND(Inputs!$B$38&lt;&gt;"pvp",Inputs!$B$43=0),1,IF(IF(Inputs!$B$38="pvp",15,Inputs!$B$43)-(B109)&lt;=0,1,MAX(0,IF(Inputs!$B$38="pvp",15,Inputs!$B$43)-MAX(5,B109))/(IF(Inputs!$B$38="pvp",15,Inputs!$B$43)-(B109))))*IF(AND(ArtifactsInput!$M$42,((Inputs!$B$9+((C90=TRUE)*(F90-Calc!F19))+B102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79*(MIN((Inputs!$B$9+((C90=TRUE)*(F90-Calc!F19))+B102+(ArtifactsInput!$M$24-ArtifactsInput!$M$24)*CHOOSE(ArtifactsInput!$N$24+1,10,12,14,16,18,20)+(IF(AND(Inputs!$B$38&lt;&gt;"pvp",Inputs!$B$43=0),1,IF(IF(Inputs!$B$38="pvp",15,Inputs!$B$43)-(B109)&lt;=0,1,MAX(0,IF(Inputs!$B$38="pvp",15,Inputs!$B$43)-MAX(5,B109))/(IF(Inputs!$B$38="pvp",15,Inputs!$B$43)-(B109))))*IF(AND(ArtifactsInput!$M$42,((Inputs!$B$9+((C90=TRUE)*(F90-Calc!F19))+B102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9">
        <f>(1-Summary!$B$11)*T79+Summary!$B$11*V79</f>
        <v/>
      </c>
      <c r="P79">
        <f>IF(B112=0,0,O79/B112)</f>
        <v/>
      </c>
      <c r="Q79">
        <f>IFERROR(1/((IF(Inputs!$B$38="pvp",15,MAX(0.1,Skills!D8-IF(TRUE=TRUE,Inputs!$B$32,0)))*(1-IF(AND(ArtifactsInput!$M$27,Inputs!$B$4="Chapter Hunt"),CHOOSE(ArtifactsInput!$N$27+1,20,24,28,32,36,40),0)/100))/B113),0)</f>
        <v/>
      </c>
      <c r="R79">
        <f>IF(AND(Inputs!$B$38&lt;&gt;"pvp",Inputs!$B$43&gt;0),IF(MAX(0,Inputs!$B$43-B109)&lt;=0,0,(INT(MAX(0,Inputs!$B$43-B109)/((IF(Inputs!$B$38="pvp",15,MAX(0.1,Skills!D8-IF(TRUE=TRUE,Inputs!$B$32,0)))*(1-IF(AND(ArtifactsInput!$M$27,Inputs!$B$4="Chapter Hunt"),CHOOSE(ArtifactsInput!$N$27+1,20,24,28,32,36,40),0)/100))/B113))+1)),0)</f>
        <v/>
      </c>
      <c r="S79">
        <f>IFERROR(O79/N79,0)</f>
        <v/>
      </c>
      <c r="T79">
        <f>IF(C79,(H79*N79*IF(AND(Inputs!$B$38&lt;&gt;"pvp",Inputs!$B$43&gt;0),((Skills!G8*((R79-1)*IF(Skills!H8&gt;0,INT(Skills!I8/Skills!H8+0.000000001),1)+IF(Skills!H8&gt;0,INT(MIN(Skills!I8,MAX(0,MAX(0,Inputs!$B$43-B109)-((R79-1)*((IF(Inputs!$B$38="pvp",15,MAX(0.1,Skills!D8-IF(TRUE=TRUE,Inputs!$B$32,0)))*(1-IF(AND(ArtifactsInput!$M$27,Inputs!$B$4="Chapter Hunt"),CHOOSE(ArtifactsInput!$N$27+1,20,24,28,32,36,40),0)/100))/B113))))/Skills!H8+0.000000001),1)))/Inputs!$B$43),G79*Q79))*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Hunt"),CHOOSE(ArtifactsInput!$N$35+1,15,18,21,24,27,30)*(1-EXP(-(0.2*B104)*5)),0)+IF(AND(ArtifactsInput!$M$22,Inputs!$B$4&lt;&gt;"Chapter Hunt"),CHOOSE(ArtifactsInput!$N$22+1,10,12,14,16,18,20)*((0*(((0.15*B104*5))^0/1)+1*(((0.15*B104*5))^1/1)+2*(((0.15*B104*5))^2/2)+3*(((0.15*B104*5))^3/6)+4*(((0.15*B104*5))^4/24)+5*(((0.15*B104*5))^5/120))/((((0.15*B104*5))^0/1)+(((0.15*B104*5))^1/1)+(((0.15*B104*5))^2/2)+(((0.15*B104*5))^3/6)+(((0.15*B104*5))^4/24)+(((0.15*B104*5))^5/120))),0))+IF(Inputs!$B$3&gt;=54,9*(C74=TRUE)*MIN(1,8*(1+Inputs!$B$34/100)*Q74)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79*(1-MIN(100,(Inputs!$B$9+((C90=TRUE)*(F90-Calc!F19))+B102+(ArtifactsInput!$M$24-ArtifactsInput!$M$24)*CHOOSE(ArtifactsInput!$N$24+1,10,12,14,16,18,20)+(IF(AND(Inputs!$B$38&lt;&gt;"pvp",Inputs!$B$43=0),1,IF(IF(Inputs!$B$38="pvp",15,Inputs!$B$43)-(B109)&lt;=0,1,MAX(0,IF(Inputs!$B$38="pvp",15,Inputs!$B$43)-MAX(5,B109))/(IF(Inputs!$B$38="pvp",15,Inputs!$B$43)-(B109))))*IF(AND(ArtifactsInput!$M$42,((Inputs!$B$9+((C90=TRUE)*(F90-Calc!F19))+B102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79*(MIN(100,(Inputs!$B$9+((C90=TRUE)*(F90-Calc!F19))+B102+(ArtifactsInput!$M$24-ArtifactsInput!$M$24)*CHOOSE(ArtifactsInput!$N$24+1,10,12,14,16,18,20)+(IF(AND(Inputs!$B$38&lt;&gt;"pvp",Inputs!$B$43=0),1,IF(IF(Inputs!$B$38="pvp",15,Inputs!$B$43)-(B109)&lt;=0,1,MAX(0,IF(Inputs!$B$38="pvp",15,Inputs!$B$43)-MAX(5,B109))/(IF(Inputs!$B$38="pvp",15,Inputs!$B$43)-(B109))))*IF(AND(ArtifactsInput!$M$42,((Inputs!$B$9+((C90=TRUE)*(F90-Calc!F19))+B102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79*(1-MIN(100,(Inputs!$B$9+((C90=TRUE)*(F90-Calc!F19))+B102+(ArtifactsInput!$M$24-ArtifactsInput!$M$24)*CHOOSE(ArtifactsInput!$N$24+1,10,12,14,16,18,20)+(IF(AND(Inputs!$B$38&lt;&gt;"pvp",Inputs!$B$43=0),1,IF(IF(Inputs!$B$38="pvp",15,Inputs!$B$43)-(B109)&lt;=0,1,MAX(0,IF(Inputs!$B$38="pvp",15,Inputs!$B$43)-MAX(5,B109))/(IF(Inputs!$B$38="pvp",15,Inputs!$B$43)-(B109))))*IF(AND(ArtifactsInput!$M$42,((Inputs!$B$9+((C90=TRUE)*(F90-Calc!F19))+B102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79*(MIN(100,(Inputs!$B$9+((C90=TRUE)*(F90-Calc!F19))+B102+(ArtifactsInput!$M$24-ArtifactsInput!$M$24)*CHOOSE(ArtifactsInput!$N$24+1,10,12,14,16,18,20)+(IF(AND(Inputs!$B$38&lt;&gt;"pvp",Inputs!$B$43=0),1,IF(IF(Inputs!$B$38="pvp",15,Inputs!$B$43)-(B109)&lt;=0,1,MAX(0,IF(Inputs!$B$38="pvp",15,Inputs!$B$43)-MAX(5,B109))/(IF(Inputs!$B$38="pvp",15,Inputs!$B$43)-(B109))))*IF(AND(ArtifactsInput!$M$42,((Inputs!$B$9+((C90=TRUE)*(F90-Calc!F19))+B102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9">
        <f>IF(C79,(H79*N79*IF(AND(Inputs!$B$38&lt;&gt;"pvp",Inputs!$B$43&gt;0),((Skills!G8*((R79-1)*IF(Skills!H8&gt;0,INT(Skills!I8/Skills!H8+0.000000001),1)+IF(Skills!H8&gt;0,INT(MIN(Skills!I8,MAX(0,MAX(0,Inputs!$B$43-B109)-((R79-1)*((IF(Inputs!$B$38="pvp",15,MAX(0.1,Skills!D8-IF(TRUE=TRUE,Inputs!$B$32,0)))*(1-IF(AND(ArtifactsInput!$M$27,Inputs!$B$4="Chapter Hunt"),CHOOSE(ArtifactsInput!$N$27+1,20,24,28,32,36,40),0)/100))/B113))))/Skills!H8+0.000000001),1)))/Inputs!$B$43),G79*Q79))*IF(Inputs!$B$38="pvp",1,(1+(Inputs!$B$21+Skills!Q8+(IF(ArtifactsInput!$M$33,CHOOSE(ArtifactsInput!$N$33+1,30,36,42,48,54,60),0))+(IF(AND(ArtifactsInput!$M$35,Inputs!$B$4&lt;&gt;"Chapter Hunt"),CHOOSE(ArtifactsInput!$N$35+1,15,18,21,24,27,30)*(1-EXP(-(0.2*B104)*5)),0)+IF(AND(ArtifactsInput!$M$22,Inputs!$B$4&lt;&gt;"Chapter Hunt"),CHOOSE(ArtifactsInput!$N$22+1,10,12,14,16,18,20)*((0*(((0.15*B104*5))^0/1)+1*(((0.15*B104*5))^1/1)+2*(((0.15*B104*5))^2/2)+3*(((0.15*B104*5))^3/6)+4*(((0.15*B104*5))^4/24)+5*(((0.15*B104*5))^5/120))/((((0.15*B104*5))^0/1)+(((0.15*B104*5))^1/1)+(((0.15*B104*5))^2/2)+(((0.15*B104*5))^3/6)+(((0.15*B104*5))^4/24)+(((0.15*B104*5))^5/120))),0))+IF(Inputs!$B$3&gt;=54,9*(C74=TRUE)*MIN(1,8*(1+Inputs!$B$34/100)*Q74),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0">
      <c r="A80">
        <f>Skills!A9</f>
        <v/>
      </c>
      <c r="B80">
        <f>Skills!B9</f>
        <v/>
      </c>
      <c r="C80">
        <f>Inputs!$B$3&gt;=105</f>
        <v/>
      </c>
      <c r="D80">
        <f>IF(Skills!C9=1,60+Inputs!$B$25+Inputs!$B$29,IF(Skills!C9=2,90+Inputs!$B$26+Inputs!$B$29,IF(Skills!C9=3,120+Inputs!$B$27+Inputs!$B$29,MAX(0,(Inputs!$B$3-100)*3)+Inputs!$B$28+Inputs!$B$29)))</f>
        <v/>
      </c>
      <c r="E80">
        <f>INDEX(FactorTable!$B$2:$Y$301, MATCH(ROUND(MIN(300,MAX(1,D80)),0), FactorTable!$A$2:$A$301,0), Skills!M9+1)</f>
        <v/>
      </c>
      <c r="F80">
        <f>IF(Skills!N9=TRUE,(Skills!L9/10)*(E80/1000),Skills!L9/10)+Skills!O9</f>
        <v/>
      </c>
      <c r="G80">
        <f>Skills!G9*IF(Skills!H9&gt;0,INT(IF(Inputs!$B$38="pvp",MIN(Skills!I9,15),Skills!I9)/Skills!H9+0.000000001),1)</f>
        <v/>
      </c>
      <c r="H80">
        <f>1-(1-Skills!J9/100)^Skills!K9</f>
        <v/>
      </c>
      <c r="I80" t="inlineStr">
        <is>
          <t>1</t>
        </is>
      </c>
      <c r="J80">
        <f>((Inputs!$B$6*(1+Inputs!$B$7/100))+((((Inputs!$B$12+1)*(1+Inputs!$B$13/100))-(Inputs!$B$12*(1+Inputs!$B$13/100)))+0.25*(Inputs!$B$14-Inputs!$B$14))*(1+Inputs!$B$7/100))*(F80/100)</f>
        <v/>
      </c>
      <c r="K80">
        <f>J80*(1+(((Inputs!$B$12+1)*(1+Inputs!$B$13/100))*0.01+Inputs!$B$14*0.0025)/100)*(1+Inputs!$B$15/100)*(1+Inputs!$B$16/100)*(5000/(6000+Inputs!$B$42*(1-(100*(1-(1-(Inputs!$B$19+0)/100)*(1-CHOOSE(ArtifactsInput!$N$40+1,5,6,7,8,9,10)/100)^(ArtifactsInput!$M$40-ArtifactsInput!$M$40)))/100)))*(1+(Inputs!$B$24+((C97=TRUE)*(F97-Calc!F26))+B108)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IGHT_LEGS_EASTON",Inputs!$B$17+((C94=TRUE)*(F94-Calc!F23))+((C98=TRUE)*(F98-Calc!F27))+((IF(AND(Inputs!$B$38&lt;&gt;"pvp",Inputs!$B$43=0),1,IF(IF(Inputs!$B$38="pvp",15,Inputs!$B$43)-(B109)&lt;=0,1,MAX(0,IF(Inputs!$B$38="pvp",15,Inputs!$B$43)-MAX(5,B109))/(IF(Inputs!$B$38="pvp",15,Inputs!$B$43)-(B109))))*(IF(AND(ArtifactsInput!$M$42,((Inputs!$B$9+((C90=TRUE)*(F90-Calc!F19))+B102+(ArtifactsInput!$M$24-ArtifactsInput!$M$24)*CHOOSE(ArtifactsInput!$N$24+1,10,12,14,16,18,20)+IF(ArtifactsInput!$M$10,CHOOSE(ArtifactsInput!$N$10+1,15,18,21,24,27,30)*(IF(Inputs!$B$38="pvp",MIN(15,15)/15,IF(AND(Inputs!$B$38&lt;&gt;"pvp",Inputs!$B$43&gt;0),MIN(15,Inputs!$B$43)/(Inputs!$B$43),0))),0)))&gt;=100),MIN(100,((Inputs!$B$9+((C90=TRUE)*(F90-Calc!F19))+B102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109)&lt;=0,1,MAX(0,IF(Inputs!$B$38="pvp",15,Inputs!$B$43)-MAX(5,B109))/(IF(Inputs!$B$38="pvp",15,Inputs!$B$43)-(B109))))*IF(AND(ArtifactsInput!$M$42,((Inputs!$B$9+((C90=TRUE)*(F90-Calc!F19))+B102+(ArtifactsInput!$M$24-ArtifactsInput!$M$24)*CHOOSE(ArtifactsInput!$N$24+1,10,12,14,16,18,20)+IF(ArtifactsInput!$M$10,CHOOSE(ArtifactsInput!$N$10+1,15,18,21,24,27,30)*(IF(Inputs!$B$38="pvp",MIN(15,15)/15,IF(AND(Inputs!$B$38&lt;&gt;"pvp",Inputs!$B$43&gt;0),MIN(15,Inputs!$B$43)/(Inputs!$B$43),0))),0)))&gt;=100),CHOOSE(ArtifactsInput!$N$42+1,40,48,56,64,72,80),0))))/100)*((1+(((C88=TRUE)*F88*5/7)+((C95=TRUE)*(F95-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80)</f>
        <v/>
      </c>
      <c r="L80">
        <f>K80*(MIN(Inputs!$B$22+((C93=TRUE)*(F93-Calc!F22)),(Inputs!$B$23+0+(IF(ArtifactsInput!$M$15,CHOOSE(ArtifactsInput!$N$15+1,25,30,35,40,45,50)/100*(Inputs!$B$11-Inputs!$B$11),0))))/100+(Inputs!$B$23+0+(IF(ArtifactsInput!$M$15,CHOOSE(ArtifactsInput!$N$15+1,25,30,35,40,45,50)/100*(Inputs!$B$11-Inputs!$B$11),0)))/100)/2</f>
        <v/>
      </c>
      <c r="M80">
        <f>L80*(1+(Inputs!$B$10+((C96=TRUE)*(F96-Calc!F25))+B107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0">
        <f>L80*(1-MIN((Inputs!$B$9+((C90=TRUE)*(F90-Calc!F19))+B102+(ArtifactsInput!$M$24-ArtifactsInput!$M$24)*CHOOSE(ArtifactsInput!$N$24+1,10,12,14,16,18,20)+(IF(AND(Inputs!$B$38&lt;&gt;"pvp",Inputs!$B$43=0),1,IF(IF(Inputs!$B$38="pvp",15,Inputs!$B$43)-(B109)&lt;=0,1,MAX(0,IF(Inputs!$B$38="pvp",15,Inputs!$B$43)-MAX(5,B109))/(IF(Inputs!$B$38="pvp",15,Inputs!$B$43)-(B109))))*IF(AND(ArtifactsInput!$M$42,((Inputs!$B$9+((C90=TRUE)*(F90-Calc!F19))+B102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80*(MIN((Inputs!$B$9+((C90=TRUE)*(F90-Calc!F19))+B102+(ArtifactsInput!$M$24-ArtifactsInput!$M$24)*CHOOSE(ArtifactsInput!$N$24+1,10,12,14,16,18,20)+(IF(AND(Inputs!$B$38&lt;&gt;"pvp",Inputs!$B$43=0),1,IF(IF(Inputs!$B$38="pvp",15,Inputs!$B$43)-(B109)&lt;=0,1,MAX(0,IF(Inputs!$B$38="pvp",15,Inputs!$B$43)-MAX(5,B109))/(IF(Inputs!$B$38="pvp",15,Inputs!$B$43)-(B109))))*IF(AND(ArtifactsInput!$M$42,((Inputs!$B$9+((C90=TRUE)*(F90-Calc!F19))+B102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0">
        <f>(1-Summary!$B$11)*T80+Summary!$B$11*V80</f>
        <v/>
      </c>
      <c r="P80">
        <f>IF(B112=0,0,O80/B112)</f>
        <v/>
      </c>
      <c r="Q80">
        <f>IFERROR(1/(IF(Inputs!$B$38="pvp",15,MAX(0.1,Skills!D9-IF(TRUE=TRUE,Inputs!$B$32,0)))*(1-IF(AND(ArtifactsInput!$M$27,Inputs!$B$4="Chapter Hunt"),CHOOSE(ArtifactsInput!$N$27+1,20,24,28,32,36,40),0)/100)),0)</f>
        <v/>
      </c>
      <c r="R80">
        <f>IF(AND(Inputs!$B$38&lt;&gt;"pvp",Inputs!$B$43&gt;0),IF(MAX(0,Inputs!$B$43-B109)&lt;=0,0,(INT(MAX(0,Inputs!$B$43-B109)/(IF(Inputs!$B$38="pvp",15,MAX(0.1,Skills!D9-IF(TRUE=TRUE,Inputs!$B$32,0)))*(1-IF(AND(ArtifactsInput!$M$27,Inputs!$B$4="Chapter Hunt"),CHOOSE(ArtifactsInput!$N$27+1,20,24,28,32,36,40),0)/100)))+1)),0)</f>
        <v/>
      </c>
      <c r="S80">
        <f>IFERROR(O80/N80,0)</f>
        <v/>
      </c>
      <c r="T80">
        <f>IF(C80,(H80*N80*IF(AND(Inputs!$B$38&lt;&gt;"pvp",Inputs!$B$43&gt;0),((Skills!G9*((R80-1)*IF(Skills!H9&gt;0,INT(Skills!I9/Skills!H9+0.000000001),1)+IF(Skills!H9&gt;0,INT(MIN(Skills!I9,MAX(0,MAX(0,Inputs!$B$43-B109)-((R80-1)*(IF(Inputs!$B$38="pvp",15,MAX(0.1,Skills!D9-IF(TRUE=TRUE,Inputs!$B$32,0)))*(1-IF(AND(ArtifactsInput!$M$27,Inputs!$B$4="Chapter Hunt"),CHOOSE(ArtifactsInput!$N$27+1,20,24,28,32,36,40),0)/100)))))/Skills!H9+0.000000001),1)))/Inputs!$B$43),G80*Q80)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Hunt"),CHOOSE(ArtifactsInput!$N$35+1,15,18,21,24,27,30)*(1-EXP(-(0.2*B104)*5)),0)+IF(AND(ArtifactsInput!$M$22,Inputs!$B$4&lt;&gt;"Chapter Hunt"),CHOOSE(ArtifactsInput!$N$22+1,10,12,14,16,18,20)*((0*(((0.15*B104*5))^0/1)+1*(((0.15*B104*5))^1/1)+2*(((0.15*B104*5))^2/2)+3*(((0.15*B104*5))^3/6)+4*(((0.15*B104*5))^4/24)+5*(((0.15*B104*5))^5/120))/((((0.15*B104*5))^0/1)+(((0.15*B104*5))^1/1)+(((0.15*B104*5))^2/2)+(((0.15*B104*5))^3/6)+(((0.15*B104*5))^4/24)+(((0.15*B104*5))^5/120))),0))+IF(Inputs!$B$3&gt;=54,9*(C74=TRUE)*MIN(1,8*(1+Inputs!$B$34/100)*Q74)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80*(1-MIN(100,(Inputs!$B$9+((C90=TRUE)*(F90-Calc!F19))+B102+(ArtifactsInput!$M$24-ArtifactsInput!$M$24)*CHOOSE(ArtifactsInput!$N$24+1,10,12,14,16,18,20)+(IF(AND(Inputs!$B$38&lt;&gt;"pvp",Inputs!$B$43=0),1,IF(IF(Inputs!$B$38="pvp",15,Inputs!$B$43)-(B109)&lt;=0,1,MAX(0,IF(Inputs!$B$38="pvp",15,Inputs!$B$43)-MAX(5,B109))/(IF(Inputs!$B$38="pvp",15,Inputs!$B$43)-(B109))))*IF(AND(ArtifactsInput!$M$42,((Inputs!$B$9+((C90=TRUE)*(F90-Calc!F19))+B102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80*(MIN(100,(Inputs!$B$9+((C90=TRUE)*(F90-Calc!F19))+B102+(ArtifactsInput!$M$24-ArtifactsInput!$M$24)*CHOOSE(ArtifactsInput!$N$24+1,10,12,14,16,18,20)+(IF(AND(Inputs!$B$38&lt;&gt;"pvp",Inputs!$B$43=0),1,IF(IF(Inputs!$B$38="pvp",15,Inputs!$B$43)-(B109)&lt;=0,1,MAX(0,IF(Inputs!$B$38="pvp",15,Inputs!$B$43)-MAX(5,B109))/(IF(Inputs!$B$38="pvp",15,Inputs!$B$43)-(B109))))*IF(AND(ArtifactsInput!$M$42,((Inputs!$B$9+((C90=TRUE)*(F90-Calc!F19))+B102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80*(1-MIN(100,(Inputs!$B$9+((C90=TRUE)*(F90-Calc!F19))+B102+(ArtifactsInput!$M$24-ArtifactsInput!$M$24)*CHOOSE(ArtifactsInput!$N$24+1,10,12,14,16,18,20)+(IF(AND(Inputs!$B$38&lt;&gt;"pvp",Inputs!$B$43=0),1,IF(IF(Inputs!$B$38="pvp",15,Inputs!$B$43)-(B109)&lt;=0,1,MAX(0,IF(Inputs!$B$38="pvp",15,Inputs!$B$43)-MAX(5,B109))/(IF(Inputs!$B$38="pvp",15,Inputs!$B$43)-(B109))))*IF(AND(ArtifactsInput!$M$42,((Inputs!$B$9+((C90=TRUE)*(F90-Calc!F19))+B102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80*(MIN(100,(Inputs!$B$9+((C90=TRUE)*(F90-Calc!F19))+B102+(ArtifactsInput!$M$24-ArtifactsInput!$M$24)*CHOOSE(ArtifactsInput!$N$24+1,10,12,14,16,18,20)+(IF(AND(Inputs!$B$38&lt;&gt;"pvp",Inputs!$B$43=0),1,IF(IF(Inputs!$B$38="pvp",15,Inputs!$B$43)-(B109)&lt;=0,1,MAX(0,IF(Inputs!$B$38="pvp",15,Inputs!$B$43)-MAX(5,B109))/(IF(Inputs!$B$38="pvp",15,Inputs!$B$43)-(B109))))*IF(AND(ArtifactsInput!$M$42,((Inputs!$B$9+((C90=TRUE)*(F90-Calc!F19))+B102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80">
        <f>IF(C80,(H80*N80*IF(AND(Inputs!$B$38&lt;&gt;"pvp",Inputs!$B$43&gt;0),((Skills!G9*((R80-1)*IF(Skills!H9&gt;0,INT(Skills!I9/Skills!H9+0.000000001),1)+IF(Skills!H9&gt;0,INT(MIN(Skills!I9,MAX(0,MAX(0,Inputs!$B$43-B109)-((R80-1)*(IF(Inputs!$B$38="pvp",15,MAX(0.1,Skills!D9-IF(TRUE=TRUE,Inputs!$B$32,0)))*(1-IF(AND(ArtifactsInput!$M$27,Inputs!$B$4="Chapter Hunt"),CHOOSE(ArtifactsInput!$N$27+1,20,24,28,32,36,40),0)/100)))))/Skills!H9+0.000000001),1)))/Inputs!$B$43),G80*Q80))*IF(Inputs!$B$38="pvp",1,(1+(Inputs!$B$21+Skills!Q9+(IF(ArtifactsInput!$M$33,CHOOSE(ArtifactsInput!$N$33+1,30,36,42,48,54,60),0))+(IF(AND(ArtifactsInput!$M$35,Inputs!$B$4&lt;&gt;"Chapter Hunt"),CHOOSE(ArtifactsInput!$N$35+1,15,18,21,24,27,30)*(1-EXP(-(0.2*B104)*5)),0)+IF(AND(ArtifactsInput!$M$22,Inputs!$B$4&lt;&gt;"Chapter Hunt"),CHOOSE(ArtifactsInput!$N$22+1,10,12,14,16,18,20)*((0*(((0.15*B104*5))^0/1)+1*(((0.15*B104*5))^1/1)+2*(((0.15*B104*5))^2/2)+3*(((0.15*B104*5))^3/6)+4*(((0.15*B104*5))^4/24)+5*(((0.15*B104*5))^5/120))/((((0.15*B104*5))^0/1)+(((0.15*B104*5))^1/1)+(((0.15*B104*5))^2/2)+(((0.15*B104*5))^3/6)+(((0.15*B104*5))^4/24)+(((0.15*B104*5))^5/120))),0))+IF(Inputs!$B$3&gt;=54,9*(C74=TRUE)*MIN(1,8*(1+Inputs!$B$34/100)*Q74),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1">
      <c r="A81">
        <f>Skills!A10</f>
        <v/>
      </c>
      <c r="B81">
        <f>Skills!B10</f>
        <v/>
      </c>
      <c r="C81">
        <f>Inputs!$B$3&gt;=113</f>
        <v/>
      </c>
      <c r="D81">
        <f>IF(Skills!C10=1,60+Inputs!$B$25+Inputs!$B$29,IF(Skills!C10=2,90+Inputs!$B$26+Inputs!$B$29,IF(Skills!C10=3,120+Inputs!$B$27+Inputs!$B$29,MAX(0,(Inputs!$B$3-100)*3)+Inputs!$B$28+Inputs!$B$29)))</f>
        <v/>
      </c>
      <c r="E81">
        <f>INDEX(FactorTable!$B$2:$Y$301, MATCH(ROUND(MIN(300,MAX(1,D81)),0), FactorTable!$A$2:$A$301,0), Skills!M10+1)</f>
        <v/>
      </c>
      <c r="F81">
        <f>IF(Skills!N10=TRUE,(Skills!L10/10)*(E81/1000),Skills!L10/10)+Skills!O10</f>
        <v/>
      </c>
      <c r="G81">
        <f>Skills!G10*IF(Skills!H10&gt;0,INT(IF(Inputs!$B$38="pvp",MIN(Skills!I10,15),Skills!I10)/Skills!H10+0.000000001),1)</f>
        <v/>
      </c>
      <c r="H81">
        <f>1-(1-Skills!J10/100)^Skills!K10</f>
        <v/>
      </c>
      <c r="I81" t="inlineStr">
        <is>
          <t>1</t>
        </is>
      </c>
      <c r="J81">
        <f>((Inputs!$B$6*(1+Inputs!$B$7/100))+((((Inputs!$B$12+1)*(1+Inputs!$B$13/100))-(Inputs!$B$12*(1+Inputs!$B$13/100)))+0.25*(Inputs!$B$14-Inputs!$B$14))*(1+Inputs!$B$7/100))*(F81/100)</f>
        <v/>
      </c>
      <c r="K81">
        <f>J81*(1+(((Inputs!$B$12+1)*(1+Inputs!$B$13/100))*0.01+Inputs!$B$14*0.0025)/100)*(1+Inputs!$B$15/100)*(1+Inputs!$B$16/100)*(5000/(6000+Inputs!$B$42*(1-(100*(1-(1-(Inputs!$B$19+0)/100)*(1-CHOOSE(ArtifactsInput!$N$40+1,5,6,7,8,9,10)/100)^(ArtifactsInput!$M$40-ArtifactsInput!$M$40)))/100)))*(1+(Inputs!$B$24+((C97=TRUE)*(F97-Calc!F26))+B108)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IGHT_LEGS_EASTON",Inputs!$B$17+((C94=TRUE)*(F94-Calc!F23))+((C98=TRUE)*(F98-Calc!F27))+((IF(AND(Inputs!$B$38&lt;&gt;"pvp",Inputs!$B$43=0),1,IF(IF(Inputs!$B$38="pvp",15,Inputs!$B$43)-(B109)&lt;=0,1,MAX(0,IF(Inputs!$B$38="pvp",15,Inputs!$B$43)-MAX(5,B109))/(IF(Inputs!$B$38="pvp",15,Inputs!$B$43)-(B109))))*(IF(AND(ArtifactsInput!$M$42,((Inputs!$B$9+((C90=TRUE)*(F90-Calc!F19))+B102+(ArtifactsInput!$M$24-ArtifactsInput!$M$24)*CHOOSE(ArtifactsInput!$N$24+1,10,12,14,16,18,20)+IF(ArtifactsInput!$M$10,CHOOSE(ArtifactsInput!$N$10+1,15,18,21,24,27,30)*(IF(Inputs!$B$38="pvp",MIN(15,15)/15,IF(AND(Inputs!$B$38&lt;&gt;"pvp",Inputs!$B$43&gt;0),MIN(15,Inputs!$B$43)/(Inputs!$B$43),0))),0)))&gt;=100),MIN(100,((Inputs!$B$9+((C90=TRUE)*(F90-Calc!F19))+B102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109)&lt;=0,1,MAX(0,IF(Inputs!$B$38="pvp",15,Inputs!$B$43)-MAX(5,B109))/(IF(Inputs!$B$38="pvp",15,Inputs!$B$43)-(B109))))*IF(AND(ArtifactsInput!$M$42,((Inputs!$B$9+((C90=TRUE)*(F90-Calc!F19))+B102+(ArtifactsInput!$M$24-ArtifactsInput!$M$24)*CHOOSE(ArtifactsInput!$N$24+1,10,12,14,16,18,20)+IF(ArtifactsInput!$M$10,CHOOSE(ArtifactsInput!$N$10+1,15,18,21,24,27,30)*(IF(Inputs!$B$38="pvp",MIN(15,15)/15,IF(AND(Inputs!$B$38&lt;&gt;"pvp",Inputs!$B$43&gt;0),MIN(15,Inputs!$B$43)/(Inputs!$B$43),0))),0)))&gt;=100),CHOOSE(ArtifactsInput!$N$42+1,40,48,56,64,72,80),0))))/100)*((1+(((C88=TRUE)*F88*5/7)+((C95=TRUE)*(F95-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81)</f>
        <v/>
      </c>
      <c r="L81">
        <f>K81*(MIN(Inputs!$B$22+((C93=TRUE)*(F93-Calc!F22)),(Inputs!$B$23+0+(IF(ArtifactsInput!$M$15,CHOOSE(ArtifactsInput!$N$15+1,25,30,35,40,45,50)/100*(Inputs!$B$11-Inputs!$B$11),0))))/100+(Inputs!$B$23+0+(IF(ArtifactsInput!$M$15,CHOOSE(ArtifactsInput!$N$15+1,25,30,35,40,45,50)/100*(Inputs!$B$11-Inputs!$B$11),0)))/100)/2</f>
        <v/>
      </c>
      <c r="M81">
        <f>L81*(1+(Inputs!$B$10+((C96=TRUE)*(F96-Calc!F25))+B107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1">
        <f>L81*(1-MIN((Inputs!$B$9+((C90=TRUE)*(F90-Calc!F19))+B102+(ArtifactsInput!$M$24-ArtifactsInput!$M$24)*CHOOSE(ArtifactsInput!$N$24+1,10,12,14,16,18,20)+(IF(AND(Inputs!$B$38&lt;&gt;"pvp",Inputs!$B$43=0),1,IF(IF(Inputs!$B$38="pvp",15,Inputs!$B$43)-(B109)&lt;=0,1,MAX(0,IF(Inputs!$B$38="pvp",15,Inputs!$B$43)-MAX(5,B109))/(IF(Inputs!$B$38="pvp",15,Inputs!$B$43)-(B109))))*IF(AND(ArtifactsInput!$M$42,((Inputs!$B$9+((C90=TRUE)*(F90-Calc!F19))+B102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81*(MIN((Inputs!$B$9+((C90=TRUE)*(F90-Calc!F19))+B102+(ArtifactsInput!$M$24-ArtifactsInput!$M$24)*CHOOSE(ArtifactsInput!$N$24+1,10,12,14,16,18,20)+(IF(AND(Inputs!$B$38&lt;&gt;"pvp",Inputs!$B$43=0),1,IF(IF(Inputs!$B$38="pvp",15,Inputs!$B$43)-(B109)&lt;=0,1,MAX(0,IF(Inputs!$B$38="pvp",15,Inputs!$B$43)-MAX(5,B109))/(IF(Inputs!$B$38="pvp",15,Inputs!$B$43)-(B109))))*IF(AND(ArtifactsInput!$M$42,((Inputs!$B$9+((C90=TRUE)*(F90-Calc!F19))+B102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1">
        <f>(1-Summary!$B$11)*T81+Summary!$B$11*V81</f>
        <v/>
      </c>
      <c r="P81">
        <f>IF(B112=0,0,O81/B112)</f>
        <v/>
      </c>
      <c r="Q81" t="n">
        <v>0</v>
      </c>
      <c r="R81" t="n">
        <v>0</v>
      </c>
      <c r="S81">
        <f>IFERROR(O81/N81,0)</f>
        <v/>
      </c>
      <c r="T81">
        <f>IF(C81,((H81*B114)/(1+Skills!H10*H81*B114)*N81)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Hunt"),CHOOSE(ArtifactsInput!$N$35+1,15,18,21,24,27,30)*(1-EXP(-(0.2*B104)*5)),0)+IF(AND(ArtifactsInput!$M$22,Inputs!$B$4&lt;&gt;"Chapter Hunt"),CHOOSE(ArtifactsInput!$N$22+1,10,12,14,16,18,20)*((0*(((0.15*B104*5))^0/1)+1*(((0.15*B104*5))^1/1)+2*(((0.15*B104*5))^2/2)+3*(((0.15*B104*5))^3/6)+4*(((0.15*B104*5))^4/24)+5*(((0.15*B104*5))^5/120))/((((0.15*B104*5))^0/1)+(((0.15*B104*5))^1/1)+(((0.15*B104*5))^2/2)+(((0.15*B104*5))^3/6)+(((0.15*B104*5))^4/24)+(((0.15*B104*5))^5/120))),0))+IF(Inputs!$B$3&gt;=54,9*(C74=TRUE)*MIN(1,8*(1+Inputs!$B$34/100)*Q74)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81*(1-MIN(100,(Inputs!$B$9+((C90=TRUE)*(F90-Calc!F19))+B102+(ArtifactsInput!$M$24-ArtifactsInput!$M$24)*CHOOSE(ArtifactsInput!$N$24+1,10,12,14,16,18,20)+(IF(AND(Inputs!$B$38&lt;&gt;"pvp",Inputs!$B$43=0),1,IF(IF(Inputs!$B$38="pvp",15,Inputs!$B$43)-(B109)&lt;=0,1,MAX(0,IF(Inputs!$B$38="pvp",15,Inputs!$B$43)-MAX(5,B109))/(IF(Inputs!$B$38="pvp",15,Inputs!$B$43)-(B109))))*IF(AND(ArtifactsInput!$M$42,((Inputs!$B$9+((C90=TRUE)*(F90-Calc!F19))+B102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81*(MIN(100,(Inputs!$B$9+((C90=TRUE)*(F90-Calc!F19))+B102+(ArtifactsInput!$M$24-ArtifactsInput!$M$24)*CHOOSE(ArtifactsInput!$N$24+1,10,12,14,16,18,20)+(IF(AND(Inputs!$B$38&lt;&gt;"pvp",Inputs!$B$43=0),1,IF(IF(Inputs!$B$38="pvp",15,Inputs!$B$43)-(B109)&lt;=0,1,MAX(0,IF(Inputs!$B$38="pvp",15,Inputs!$B$43)-MAX(5,B109))/(IF(Inputs!$B$38="pvp",15,Inputs!$B$43)-(B109))))*IF(AND(ArtifactsInput!$M$42,((Inputs!$B$9+((C90=TRUE)*(F90-Calc!F19))+B102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81*(1-MIN(100,(Inputs!$B$9+((C90=TRUE)*(F90-Calc!F19))+B102+(ArtifactsInput!$M$24-ArtifactsInput!$M$24)*CHOOSE(ArtifactsInput!$N$24+1,10,12,14,16,18,20)+(IF(AND(Inputs!$B$38&lt;&gt;"pvp",Inputs!$B$43=0),1,IF(IF(Inputs!$B$38="pvp",15,Inputs!$B$43)-(B109)&lt;=0,1,MAX(0,IF(Inputs!$B$38="pvp",15,Inputs!$B$43)-MAX(5,B109))/(IF(Inputs!$B$38="pvp",15,Inputs!$B$43)-(B109))))*IF(AND(ArtifactsInput!$M$42,((Inputs!$B$9+((C90=TRUE)*(F90-Calc!F19))+B102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81*(MIN(100,(Inputs!$B$9+((C90=TRUE)*(F90-Calc!F19))+B102+(ArtifactsInput!$M$24-ArtifactsInput!$M$24)*CHOOSE(ArtifactsInput!$N$24+1,10,12,14,16,18,20)+(IF(AND(Inputs!$B$38&lt;&gt;"pvp",Inputs!$B$43=0),1,IF(IF(Inputs!$B$38="pvp",15,Inputs!$B$43)-(B109)&lt;=0,1,MAX(0,IF(Inputs!$B$38="pvp",15,Inputs!$B$43)-MAX(5,B109))/(IF(Inputs!$B$38="pvp",15,Inputs!$B$43)-(B109))))*IF(AND(ArtifactsInput!$M$42,((Inputs!$B$9+((C90=TRUE)*(F90-Calc!F19))+B102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81">
        <f>IF(C81,((H81*B114)/(1+Skills!H10*H81*B114)*N81)*IF(Inputs!$B$38="pvp",1,(1+(Inputs!$B$21+Skills!Q10+(IF(ArtifactsInput!$M$33,CHOOSE(ArtifactsInput!$N$33+1,30,36,42,48,54,60),0))+(IF(AND(ArtifactsInput!$M$35,Inputs!$B$4&lt;&gt;"Chapter Hunt"),CHOOSE(ArtifactsInput!$N$35+1,15,18,21,24,27,30)*(1-EXP(-(0.2*B104)*5)),0)+IF(AND(ArtifactsInput!$M$22,Inputs!$B$4&lt;&gt;"Chapter Hunt"),CHOOSE(ArtifactsInput!$N$22+1,10,12,14,16,18,20)*((0*(((0.15*B104*5))^0/1)+1*(((0.15*B104*5))^1/1)+2*(((0.15*B104*5))^2/2)+3*(((0.15*B104*5))^3/6)+4*(((0.15*B104*5))^4/24)+5*(((0.15*B104*5))^5/120))/((((0.15*B104*5))^0/1)+(((0.15*B104*5))^1/1)+(((0.15*B104*5))^2/2)+(((0.15*B104*5))^3/6)+(((0.15*B104*5))^4/24)+(((0.15*B104*5))^5/120))),0))+IF(Inputs!$B$3&gt;=54,9*(C74=TRUE)*MIN(1,8*(1+Inputs!$B$34/100)*Q74),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2">
      <c r="A82">
        <f>Skills!A11</f>
        <v/>
      </c>
      <c r="B82">
        <f>Skills!B11</f>
        <v/>
      </c>
      <c r="C82">
        <f>Inputs!$B$3&gt;=117</f>
        <v/>
      </c>
      <c r="D82">
        <f>IF(Skills!C11=1,60+Inputs!$B$25+Inputs!$B$29,IF(Skills!C11=2,90+Inputs!$B$26+Inputs!$B$29,IF(Skills!C11=3,120+Inputs!$B$27+Inputs!$B$29,MAX(0,(Inputs!$B$3-100)*3)+Inputs!$B$28+Inputs!$B$29)))</f>
        <v/>
      </c>
      <c r="E82">
        <f>INDEX(FactorTable!$B$2:$Y$301, MATCH(ROUND(MIN(300,MAX(1,D82)),0), FactorTable!$A$2:$A$301,0), Skills!M11+1)</f>
        <v/>
      </c>
      <c r="F82">
        <f>IF(Skills!N11=TRUE,(Skills!L11/10)*(E82/1000),Skills!L11/10)+Skills!O11</f>
        <v/>
      </c>
      <c r="G82">
        <f>Skills!G11*IF(Skills!H11&gt;0,INT(IF(Inputs!$B$38="pvp",MIN(Skills!I11,15),Skills!I11)/Skills!H11+0.000000001),1)</f>
        <v/>
      </c>
      <c r="H82">
        <f>1-(1-Skills!J11/100)^Skills!K11</f>
        <v/>
      </c>
      <c r="I82" t="inlineStr">
        <is>
          <t>1</t>
        </is>
      </c>
      <c r="J82">
        <f>((Inputs!$B$6*(1+Inputs!$B$7/100))+((((Inputs!$B$12+1)*(1+Inputs!$B$13/100))-(Inputs!$B$12*(1+Inputs!$B$13/100)))+0.25*(Inputs!$B$14-Inputs!$B$14))*(1+Inputs!$B$7/100))*(F82/100)</f>
        <v/>
      </c>
      <c r="K82">
        <f>J82*(1+(((Inputs!$B$12+1)*(1+Inputs!$B$13/100))*0.01+Inputs!$B$14*0.0025)/100)*(1+Inputs!$B$15/100)*(1+Inputs!$B$16/100)*(5000/(6000+Inputs!$B$42*(1-(100*(1-(1-(Inputs!$B$19+0)/100)*(1-CHOOSE(ArtifactsInput!$N$40+1,5,6,7,8,9,10)/100)^(ArtifactsInput!$M$40-ArtifactsInput!$M$40)))/100)))*(1+(Inputs!$B$24+((C97=TRUE)*(F97-Calc!F26))+B108)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IGHT_LEGS_EASTON",Inputs!$B$17+((C94=TRUE)*(F94-Calc!F23))+((C98=TRUE)*(F98-Calc!F27))+((IF(AND(Inputs!$B$38&lt;&gt;"pvp",Inputs!$B$43=0),1,IF(IF(Inputs!$B$38="pvp",15,Inputs!$B$43)-(B109)&lt;=0,1,MAX(0,IF(Inputs!$B$38="pvp",15,Inputs!$B$43)-MAX(5,B109))/(IF(Inputs!$B$38="pvp",15,Inputs!$B$43)-(B109))))*(IF(AND(ArtifactsInput!$M$42,((Inputs!$B$9+((C90=TRUE)*(F90-Calc!F19))+B102+(ArtifactsInput!$M$24-ArtifactsInput!$M$24)*CHOOSE(ArtifactsInput!$N$24+1,10,12,14,16,18,20)+IF(ArtifactsInput!$M$10,CHOOSE(ArtifactsInput!$N$10+1,15,18,21,24,27,30)*(IF(Inputs!$B$38="pvp",MIN(15,15)/15,IF(AND(Inputs!$B$38&lt;&gt;"pvp",Inputs!$B$43&gt;0),MIN(15,Inputs!$B$43)/(Inputs!$B$43),0))),0)))&gt;=100),MIN(100,((Inputs!$B$9+((C90=TRUE)*(F90-Calc!F19))+B102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109)&lt;=0,1,MAX(0,IF(Inputs!$B$38="pvp",15,Inputs!$B$43)-MAX(5,B109))/(IF(Inputs!$B$38="pvp",15,Inputs!$B$43)-(B109))))*IF(AND(ArtifactsInput!$M$42,((Inputs!$B$9+((C90=TRUE)*(F90-Calc!F19))+B102+(ArtifactsInput!$M$24-ArtifactsInput!$M$24)*CHOOSE(ArtifactsInput!$N$24+1,10,12,14,16,18,20)+IF(ArtifactsInput!$M$10,CHOOSE(ArtifactsInput!$N$10+1,15,18,21,24,27,30)*(IF(Inputs!$B$38="pvp",MIN(15,15)/15,IF(AND(Inputs!$B$38&lt;&gt;"pvp",Inputs!$B$43&gt;0),MIN(15,Inputs!$B$43)/(Inputs!$B$43),0))),0)))&gt;=100),CHOOSE(ArtifactsInput!$N$42+1,40,48,56,64,72,80),0))))/100)*((1+(((C88=TRUE)*F88*5/7)+((C95=TRUE)*(F95-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82)</f>
        <v/>
      </c>
      <c r="L82">
        <f>K82*(MIN(Inputs!$B$22+((C93=TRUE)*(F93-Calc!F22)),(Inputs!$B$23+0+(IF(ArtifactsInput!$M$15,CHOOSE(ArtifactsInput!$N$15+1,25,30,35,40,45,50)/100*(Inputs!$B$11-Inputs!$B$11),0))))/100+(Inputs!$B$23+0+(IF(ArtifactsInput!$M$15,CHOOSE(ArtifactsInput!$N$15+1,25,30,35,40,45,50)/100*(Inputs!$B$11-Inputs!$B$11),0)))/100)/2</f>
        <v/>
      </c>
      <c r="M82">
        <f>L82*(1+(Inputs!$B$10+((C96=TRUE)*(F96-Calc!F25))+B107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2">
        <f>L82*(1-MIN((Inputs!$B$9+((C90=TRUE)*(F90-Calc!F19))+B102+(ArtifactsInput!$M$24-ArtifactsInput!$M$24)*CHOOSE(ArtifactsInput!$N$24+1,10,12,14,16,18,20)+(IF(AND(Inputs!$B$38&lt;&gt;"pvp",Inputs!$B$43=0),1,IF(IF(Inputs!$B$38="pvp",15,Inputs!$B$43)-(B109)&lt;=0,1,MAX(0,IF(Inputs!$B$38="pvp",15,Inputs!$B$43)-MAX(5,B109))/(IF(Inputs!$B$38="pvp",15,Inputs!$B$43)-(B109))))*IF(AND(ArtifactsInput!$M$42,((Inputs!$B$9+((C90=TRUE)*(F90-Calc!F19))+B102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82*(MIN((Inputs!$B$9+((C90=TRUE)*(F90-Calc!F19))+B102+(ArtifactsInput!$M$24-ArtifactsInput!$M$24)*CHOOSE(ArtifactsInput!$N$24+1,10,12,14,16,18,20)+(IF(AND(Inputs!$B$38&lt;&gt;"pvp",Inputs!$B$43=0),1,IF(IF(Inputs!$B$38="pvp",15,Inputs!$B$43)-(B109)&lt;=0,1,MAX(0,IF(Inputs!$B$38="pvp",15,Inputs!$B$43)-MAX(5,B109))/(IF(Inputs!$B$38="pvp",15,Inputs!$B$43)-(B109))))*IF(AND(ArtifactsInput!$M$42,((Inputs!$B$9+((C90=TRUE)*(F90-Calc!F19))+B102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2">
        <f>(1-Summary!$B$11)*T82+Summary!$B$11*V82</f>
        <v/>
      </c>
      <c r="P82">
        <f>IF(B112=0,0,O82/B112)</f>
        <v/>
      </c>
      <c r="Q82">
        <f>IFERROR(1/((IF(Inputs!$B$38="pvp",15,MAX(0.1,Skills!D11-IF(TRUE=TRUE,Inputs!$B$32,0)))*(1-IF(AND(ArtifactsInput!$M$27,Inputs!$B$4="Chapter Hunt"),CHOOSE(ArtifactsInput!$N$27+1,20,24,28,32,36,40),0)/100))/B113),0)</f>
        <v/>
      </c>
      <c r="R82">
        <f>IF(AND(Inputs!$B$38&lt;&gt;"pvp",Inputs!$B$43&gt;0),IF(MAX(0,Inputs!$B$43-B109)&lt;=0,0,(INT(MAX(0,Inputs!$B$43-B109)/((IF(Inputs!$B$38="pvp",15,MAX(0.1,Skills!D11-IF(TRUE=TRUE,Inputs!$B$32,0)))*(1-IF(AND(ArtifactsInput!$M$27,Inputs!$B$4="Chapter Hunt"),CHOOSE(ArtifactsInput!$N$27+1,20,24,28,32,36,40),0)/100))/B113))+1)),0)</f>
        <v/>
      </c>
      <c r="S82">
        <f>IFERROR(O82/N82,0)</f>
        <v/>
      </c>
      <c r="T82">
        <f>IF(C82,(H82*N82*IF(AND(Inputs!$B$38&lt;&gt;"pvp",Inputs!$B$43&gt;0),((Skills!G11*((R82-1)*IF(Skills!H11&gt;0,INT(Skills!I11/Skills!H11+0.000000001),1)+IF(Skills!H11&gt;0,INT(MIN(Skills!I11,MAX(0,MAX(0,Inputs!$B$43-B109)-((R82-1)*((IF(Inputs!$B$38="pvp",15,MAX(0.1,Skills!D11-IF(TRUE=TRUE,Inputs!$B$32,0)))*(1-IF(AND(ArtifactsInput!$M$27,Inputs!$B$4="Chapter Hunt"),CHOOSE(ArtifactsInput!$N$27+1,20,24,28,32,36,40),0)/100))/B113))))/Skills!H11+0.000000001),1)))/Inputs!$B$43),G82*Q82)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Hunt"),CHOOSE(ArtifactsInput!$N$35+1,15,18,21,24,27,30)*(1-EXP(-(0.2*B104)*5)),0)+IF(AND(ArtifactsInput!$M$22,Inputs!$B$4&lt;&gt;"Chapter Hunt"),CHOOSE(ArtifactsInput!$N$22+1,10,12,14,16,18,20)*((0*(((0.15*B104*5))^0/1)+1*(((0.15*B104*5))^1/1)+2*(((0.15*B104*5))^2/2)+3*(((0.15*B104*5))^3/6)+4*(((0.15*B104*5))^4/24)+5*(((0.15*B104*5))^5/120))/((((0.15*B104*5))^0/1)+(((0.15*B104*5))^1/1)+(((0.15*B104*5))^2/2)+(((0.15*B104*5))^3/6)+(((0.15*B104*5))^4/24)+(((0.15*B104*5))^5/120))),0))+IF(Inputs!$B$3&gt;=54,9*(C74=TRUE)*MIN(1,8*(1+Inputs!$B$34/100)*Q74)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82*(1-MIN(100,(Inputs!$B$9+((C90=TRUE)*(F90-Calc!F19))+B102+(ArtifactsInput!$M$24-ArtifactsInput!$M$24)*CHOOSE(ArtifactsInput!$N$24+1,10,12,14,16,18,20)+(IF(AND(Inputs!$B$38&lt;&gt;"pvp",Inputs!$B$43=0),1,IF(IF(Inputs!$B$38="pvp",15,Inputs!$B$43)-(B109)&lt;=0,1,MAX(0,IF(Inputs!$B$38="pvp",15,Inputs!$B$43)-MAX(5,B109))/(IF(Inputs!$B$38="pvp",15,Inputs!$B$43)-(B109))))*IF(AND(ArtifactsInput!$M$42,((Inputs!$B$9+((C90=TRUE)*(F90-Calc!F19))+B102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82*(MIN(100,(Inputs!$B$9+((C90=TRUE)*(F90-Calc!F19))+B102+(ArtifactsInput!$M$24-ArtifactsInput!$M$24)*CHOOSE(ArtifactsInput!$N$24+1,10,12,14,16,18,20)+(IF(AND(Inputs!$B$38&lt;&gt;"pvp",Inputs!$B$43=0),1,IF(IF(Inputs!$B$38="pvp",15,Inputs!$B$43)-(B109)&lt;=0,1,MAX(0,IF(Inputs!$B$38="pvp",15,Inputs!$B$43)-MAX(5,B109))/(IF(Inputs!$B$38="pvp",15,Inputs!$B$43)-(B109))))*IF(AND(ArtifactsInput!$M$42,((Inputs!$B$9+((C90=TRUE)*(F90-Calc!F19))+B102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82*(1-MIN(100,(Inputs!$B$9+((C90=TRUE)*(F90-Calc!F19))+B102+(ArtifactsInput!$M$24-ArtifactsInput!$M$24)*CHOOSE(ArtifactsInput!$N$24+1,10,12,14,16,18,20)+(IF(AND(Inputs!$B$38&lt;&gt;"pvp",Inputs!$B$43=0),1,IF(IF(Inputs!$B$38="pvp",15,Inputs!$B$43)-(B109)&lt;=0,1,MAX(0,IF(Inputs!$B$38="pvp",15,Inputs!$B$43)-MAX(5,B109))/(IF(Inputs!$B$38="pvp",15,Inputs!$B$43)-(B109))))*IF(AND(ArtifactsInput!$M$42,((Inputs!$B$9+((C90=TRUE)*(F90-Calc!F19))+B102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82*(MIN(100,(Inputs!$B$9+((C90=TRUE)*(F90-Calc!F19))+B102+(ArtifactsInput!$M$24-ArtifactsInput!$M$24)*CHOOSE(ArtifactsInput!$N$24+1,10,12,14,16,18,20)+(IF(AND(Inputs!$B$38&lt;&gt;"pvp",Inputs!$B$43=0),1,IF(IF(Inputs!$B$38="pvp",15,Inputs!$B$43)-(B109)&lt;=0,1,MAX(0,IF(Inputs!$B$38="pvp",15,Inputs!$B$43)-MAX(5,B109))/(IF(Inputs!$B$38="pvp",15,Inputs!$B$43)-(B109))))*IF(AND(ArtifactsInput!$M$42,((Inputs!$B$9+((C90=TRUE)*(F90-Calc!F19))+B102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82">
        <f>IF(C82,(H82*N82*IF(AND(Inputs!$B$38&lt;&gt;"pvp",Inputs!$B$43&gt;0),((Skills!G11*((R82-1)*IF(Skills!H11&gt;0,INT(Skills!I11/Skills!H11+0.000000001),1)+IF(Skills!H11&gt;0,INT(MIN(Skills!I11,MAX(0,MAX(0,Inputs!$B$43-B109)-((R82-1)*((IF(Inputs!$B$38="pvp",15,MAX(0.1,Skills!D11-IF(TRUE=TRUE,Inputs!$B$32,0)))*(1-IF(AND(ArtifactsInput!$M$27,Inputs!$B$4="Chapter Hunt"),CHOOSE(ArtifactsInput!$N$27+1,20,24,28,32,36,40),0)/100))/B113))))/Skills!H11+0.000000001),1)))/Inputs!$B$43),G82*Q82))*IF(Inputs!$B$38="pvp",1,(1+(Inputs!$B$21+Skills!Q11+(IF(ArtifactsInput!$M$33,CHOOSE(ArtifactsInput!$N$33+1,30,36,42,48,54,60),0))+(IF(AND(ArtifactsInput!$M$35,Inputs!$B$4&lt;&gt;"Chapter Hunt"),CHOOSE(ArtifactsInput!$N$35+1,15,18,21,24,27,30)*(1-EXP(-(0.2*B104)*5)),0)+IF(AND(ArtifactsInput!$M$22,Inputs!$B$4&lt;&gt;"Chapter Hunt"),CHOOSE(ArtifactsInput!$N$22+1,10,12,14,16,18,20)*((0*(((0.15*B104*5))^0/1)+1*(((0.15*B104*5))^1/1)+2*(((0.15*B104*5))^2/2)+3*(((0.15*B104*5))^3/6)+4*(((0.15*B104*5))^4/24)+5*(((0.15*B104*5))^5/120))/((((0.15*B104*5))^0/1)+(((0.15*B104*5))^1/1)+(((0.15*B104*5))^2/2)+(((0.15*B104*5))^3/6)+(((0.15*B104*5))^4/24)+(((0.15*B104*5))^5/120))),0))+IF(Inputs!$B$3&gt;=54,9*(C74=TRUE)*MIN(1,8*(1+Inputs!$B$34/100)*Q74),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3">
      <c r="A83">
        <f>Skills!A12</f>
        <v/>
      </c>
      <c r="B83">
        <f>Skills!B12</f>
        <v/>
      </c>
      <c r="C83">
        <f>Inputs!$B$3&gt;=110</f>
        <v/>
      </c>
      <c r="D83">
        <f>IF(Skills!C12=1,60+Inputs!$B$25+Inputs!$B$29,IF(Skills!C12=2,90+Inputs!$B$26+Inputs!$B$29,IF(Skills!C12=3,120+Inputs!$B$27+Inputs!$B$29,MAX(0,(Inputs!$B$3-100)*3)+Inputs!$B$28+Inputs!$B$29)))</f>
        <v/>
      </c>
      <c r="E83">
        <f>INDEX(FactorTable!$B$2:$Y$301, MATCH(ROUND(MIN(300,MAX(1,D83)),0), FactorTable!$A$2:$A$301,0), Skills!M12+1)</f>
        <v/>
      </c>
      <c r="F83">
        <f>IF(Skills!N12=TRUE,(Skills!L12/10)*(E83/1000),Skills!L12/10)+Skills!O12</f>
        <v/>
      </c>
      <c r="G83">
        <f>Skills!G12*IF(Skills!H12&gt;0,INT(IF(Inputs!$B$38="pvp",MIN(Skills!I12,15),Skills!I12)/Skills!H12+0.000000001),1)</f>
        <v/>
      </c>
      <c r="H83">
        <f>1-(1-Skills!J12/100)^Skills!K12</f>
        <v/>
      </c>
      <c r="I83" t="inlineStr">
        <is>
          <t>1</t>
        </is>
      </c>
      <c r="J83">
        <f>((Inputs!$B$6*(1+Inputs!$B$7/100))+((((Inputs!$B$12+1)*(1+Inputs!$B$13/100))-(Inputs!$B$12*(1+Inputs!$B$13/100)))+0.25*(Inputs!$B$14-Inputs!$B$14))*(1+Inputs!$B$7/100))*(F83/100)</f>
        <v/>
      </c>
      <c r="K83">
        <f>J83*(1+(((Inputs!$B$12+1)*(1+Inputs!$B$13/100))*0.01+Inputs!$B$14*0.0025)/100)*(1+Inputs!$B$15/100)*(1+Inputs!$B$16/100)*(5000/(6000+Inputs!$B$42*(1-(100*(1-(1-(Inputs!$B$19+0)/100)*(1-CHOOSE(ArtifactsInput!$N$40+1,5,6,7,8,9,10)/100)^(ArtifactsInput!$M$40-ArtifactsInput!$M$40)))/100)))*(1+(Inputs!$B$24+((C97=TRUE)*(F97-Calc!F26))+B108)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EIGHT_LEGS_EASTON",Inputs!$B$17+((C94=TRUE)*(F94-Calc!F23))+((C98=TRUE)*(F98-Calc!F27))+((IF(AND(Inputs!$B$38&lt;&gt;"pvp",Inputs!$B$43=0),1,IF(IF(Inputs!$B$38="pvp",15,Inputs!$B$43)-(B109)&lt;=0,1,MAX(0,IF(Inputs!$B$38="pvp",15,Inputs!$B$43)-MAX(5,B109))/(IF(Inputs!$B$38="pvp",15,Inputs!$B$43)-(B109))))*(IF(AND(ArtifactsInput!$M$42,((Inputs!$B$9+((C90=TRUE)*(F90-Calc!F19))+B102+(ArtifactsInput!$M$24-ArtifactsInput!$M$24)*CHOOSE(ArtifactsInput!$N$24+1,10,12,14,16,18,20)+IF(ArtifactsInput!$M$10,CHOOSE(ArtifactsInput!$N$10+1,15,18,21,24,27,30)*(IF(Inputs!$B$38="pvp",MIN(15,15)/15,IF(AND(Inputs!$B$38&lt;&gt;"pvp",Inputs!$B$43&gt;0),MIN(15,Inputs!$B$43)/(Inputs!$B$43),0))),0)))&gt;=100),MIN(100,((Inputs!$B$9+((C90=TRUE)*(F90-Calc!F19))+B102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109)&lt;=0,1,MAX(0,IF(Inputs!$B$38="pvp",15,Inputs!$B$43)-MAX(5,B109))/(IF(Inputs!$B$38="pvp",15,Inputs!$B$43)-(B109))))*IF(AND(ArtifactsInput!$M$42,((Inputs!$B$9+((C90=TRUE)*(F90-Calc!F19))+B102+(ArtifactsInput!$M$24-ArtifactsInput!$M$24)*CHOOSE(ArtifactsInput!$N$24+1,10,12,14,16,18,20)+IF(ArtifactsInput!$M$10,CHOOSE(ArtifactsInput!$N$10+1,15,18,21,24,27,30)*(IF(Inputs!$B$38="pvp",MIN(15,15)/15,IF(AND(Inputs!$B$38&lt;&gt;"pvp",Inputs!$B$43&gt;0),MIN(15,Inputs!$B$43)/(Inputs!$B$43),0))),0)))&gt;=100),CHOOSE(ArtifactsInput!$N$42+1,40,48,56,64,72,80),0))))/100)*((1+(((C88=TRUE)*F88*5/7)+((C95=TRUE)*(F95-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83)</f>
        <v/>
      </c>
      <c r="L83">
        <f>K83*(MIN(Inputs!$B$22+((C93=TRUE)*(F93-Calc!F22)),(Inputs!$B$23+0+(IF(ArtifactsInput!$M$15,CHOOSE(ArtifactsInput!$N$15+1,25,30,35,40,45,50)/100*(Inputs!$B$11-Inputs!$B$11),0))))/100+(Inputs!$B$23+0+(IF(ArtifactsInput!$M$15,CHOOSE(ArtifactsInput!$N$15+1,25,30,35,40,45,50)/100*(Inputs!$B$11-Inputs!$B$11),0)))/100)/2</f>
        <v/>
      </c>
      <c r="M83">
        <f>L83*(1+(Inputs!$B$10+((C96=TRUE)*(F96-Calc!F25))+B107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3">
        <f>L83*(1-MIN((Inputs!$B$9+((C90=TRUE)*(F90-Calc!F19))+B102+(ArtifactsInput!$M$24-ArtifactsInput!$M$24)*CHOOSE(ArtifactsInput!$N$24+1,10,12,14,16,18,20)+(IF(AND(Inputs!$B$38&lt;&gt;"pvp",Inputs!$B$43=0),1,IF(IF(Inputs!$B$38="pvp",15,Inputs!$B$43)-(B109)&lt;=0,1,MAX(0,IF(Inputs!$B$38="pvp",15,Inputs!$B$43)-MAX(5,B109))/(IF(Inputs!$B$38="pvp",15,Inputs!$B$43)-(B109))))*IF(AND(ArtifactsInput!$M$42,((Inputs!$B$9+((C90=TRUE)*(F90-Calc!F19))+B102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83*(MIN((Inputs!$B$9+((C90=TRUE)*(F90-Calc!F19))+B102+(ArtifactsInput!$M$24-ArtifactsInput!$M$24)*CHOOSE(ArtifactsInput!$N$24+1,10,12,14,16,18,20)+(IF(AND(Inputs!$B$38&lt;&gt;"pvp",Inputs!$B$43=0),1,IF(IF(Inputs!$B$38="pvp",15,Inputs!$B$43)-(B109)&lt;=0,1,MAX(0,IF(Inputs!$B$38="pvp",15,Inputs!$B$43)-MAX(5,B109))/(IF(Inputs!$B$38="pvp",15,Inputs!$B$43)-(B109))))*IF(AND(ArtifactsInput!$M$42,((Inputs!$B$9+((C90=TRUE)*(F90-Calc!F19))+B102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3">
        <f>(1-Summary!$B$11)*T83+Summary!$B$11*V83</f>
        <v/>
      </c>
      <c r="P83">
        <f>IF(B112=0,0,O83/B112)</f>
        <v/>
      </c>
      <c r="Q83">
        <f>IFERROR(1/(IF(Inputs!$B$38="pvp",15,MAX(0.1,Skills!D12-IF(TRUE=TRUE,Inputs!$B$32,0)))*(1-IF(AND(ArtifactsInput!$M$27,Inputs!$B$4="Chapter Hunt"),CHOOSE(ArtifactsInput!$N$27+1,20,24,28,32,36,40),0)/100)),0)</f>
        <v/>
      </c>
      <c r="R83">
        <f>IF(AND(Inputs!$B$38&lt;&gt;"pvp",Inputs!$B$43&gt;0),IF(MAX(0,Inputs!$B$43-B109)&lt;=0,0,(INT(MAX(0,Inputs!$B$43-B109)/(IF(Inputs!$B$38="pvp",15,MAX(0.1,Skills!D12-IF(TRUE=TRUE,Inputs!$B$32,0)))*(1-IF(AND(ArtifactsInput!$M$27,Inputs!$B$4="Chapter Hunt"),CHOOSE(ArtifactsInput!$N$27+1,20,24,28,32,36,40),0)/100)))+1)),0)</f>
        <v/>
      </c>
      <c r="S83">
        <f>IFERROR(O83/N83,0)</f>
        <v/>
      </c>
      <c r="T83">
        <f>IF(C83,(H83*N83*IF(AND(Inputs!$B$38&lt;&gt;"pvp",Inputs!$B$43&gt;0),((Skills!G12*((R83-1)*IF(Skills!H12&gt;0,INT(Skills!I12/Skills!H12+0.000000001),1)+IF(Skills!H12&gt;0,INT(MIN(Skills!I12,MAX(0,MAX(0,Inputs!$B$43-B109)-((R83-1)*(IF(Inputs!$B$38="pvp",15,MAX(0.1,Skills!D12-IF(TRUE=TRUE,Inputs!$B$32,0)))*(1-IF(AND(ArtifactsInput!$M$27,Inputs!$B$4="Chapter Hunt"),CHOOSE(ArtifactsInput!$N$27+1,20,24,28,32,36,40),0)/100)))))/Skills!H12+0.000000001),1)))/Inputs!$B$43),G83*Q83))*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Hunt"),CHOOSE(ArtifactsInput!$N$35+1,15,18,21,24,27,30)*(1-EXP(-(0.2*B104)*5)),0)+IF(AND(ArtifactsInput!$M$22,Inputs!$B$4&lt;&gt;"Chapter Hunt"),CHOOSE(ArtifactsInput!$N$22+1,10,12,14,16,18,20)*((0*(((0.15*B104*5))^0/1)+1*(((0.15*B104*5))^1/1)+2*(((0.15*B104*5))^2/2)+3*(((0.15*B104*5))^3/6)+4*(((0.15*B104*5))^4/24)+5*(((0.15*B104*5))^5/120))/((((0.15*B104*5))^0/1)+(((0.15*B104*5))^1/1)+(((0.15*B104*5))^2/2)+(((0.15*B104*5))^3/6)+(((0.15*B104*5))^4/24)+(((0.15*B104*5))^5/120))),0))+IF(Inputs!$B$3&gt;=54,9*(C74=TRUE)*MIN(1,8*(1+Inputs!$B$34/100)*Q74)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83*(1-MIN(100,(Inputs!$B$9+((C90=TRUE)*(F90-Calc!F19))+B102+(ArtifactsInput!$M$24-ArtifactsInput!$M$24)*CHOOSE(ArtifactsInput!$N$24+1,10,12,14,16,18,20)+(IF(AND(Inputs!$B$38&lt;&gt;"pvp",Inputs!$B$43=0),1,IF(IF(Inputs!$B$38="pvp",15,Inputs!$B$43)-(B109)&lt;=0,1,MAX(0,IF(Inputs!$B$38="pvp",15,Inputs!$B$43)-MAX(5,B109))/(IF(Inputs!$B$38="pvp",15,Inputs!$B$43)-(B109))))*IF(AND(ArtifactsInput!$M$42,((Inputs!$B$9+((C90=TRUE)*(F90-Calc!F19))+B102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83*(MIN(100,(Inputs!$B$9+((C90=TRUE)*(F90-Calc!F19))+B102+(ArtifactsInput!$M$24-ArtifactsInput!$M$24)*CHOOSE(ArtifactsInput!$N$24+1,10,12,14,16,18,20)+(IF(AND(Inputs!$B$38&lt;&gt;"pvp",Inputs!$B$43=0),1,IF(IF(Inputs!$B$38="pvp",15,Inputs!$B$43)-(B109)&lt;=0,1,MAX(0,IF(Inputs!$B$38="pvp",15,Inputs!$B$43)-MAX(5,B109))/(IF(Inputs!$B$38="pvp",15,Inputs!$B$43)-(B109))))*IF(AND(ArtifactsInput!$M$42,((Inputs!$B$9+((C90=TRUE)*(F90-Calc!F19))+B102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83*(1-MIN(100,(Inputs!$B$9+((C90=TRUE)*(F90-Calc!F19))+B102+(ArtifactsInput!$M$24-ArtifactsInput!$M$24)*CHOOSE(ArtifactsInput!$N$24+1,10,12,14,16,18,20)+(IF(AND(Inputs!$B$38&lt;&gt;"pvp",Inputs!$B$43=0),1,IF(IF(Inputs!$B$38="pvp",15,Inputs!$B$43)-(B109)&lt;=0,1,MAX(0,IF(Inputs!$B$38="pvp",15,Inputs!$B$43)-MAX(5,B109))/(IF(Inputs!$B$38="pvp",15,Inputs!$B$43)-(B109))))*IF(AND(ArtifactsInput!$M$42,((Inputs!$B$9+((C90=TRUE)*(F90-Calc!F19))+B102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83*(MIN(100,(Inputs!$B$9+((C90=TRUE)*(F90-Calc!F19))+B102+(ArtifactsInput!$M$24-ArtifactsInput!$M$24)*CHOOSE(ArtifactsInput!$N$24+1,10,12,14,16,18,20)+(IF(AND(Inputs!$B$38&lt;&gt;"pvp",Inputs!$B$43=0),1,IF(IF(Inputs!$B$38="pvp",15,Inputs!$B$43)-(B109)&lt;=0,1,MAX(0,IF(Inputs!$B$38="pvp",15,Inputs!$B$43)-MAX(5,B109))/(IF(Inputs!$B$38="pvp",15,Inputs!$B$43)-(B109))))*IF(AND(ArtifactsInput!$M$42,((Inputs!$B$9+((C90=TRUE)*(F90-Calc!F19))+B102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83">
        <f>IF(C83,(H83*N83*IF(AND(Inputs!$B$38&lt;&gt;"pvp",Inputs!$B$43&gt;0),((Skills!G12*((R83-1)*IF(Skills!H12&gt;0,INT(Skills!I12/Skills!H12+0.000000001),1)+IF(Skills!H12&gt;0,INT(MIN(Skills!I12,MAX(0,MAX(0,Inputs!$B$43-B109)-((R83-1)*(IF(Inputs!$B$38="pvp",15,MAX(0.1,Skills!D12-IF(TRUE=TRUE,Inputs!$B$32,0)))*(1-IF(AND(ArtifactsInput!$M$27,Inputs!$B$4="Chapter Hunt"),CHOOSE(ArtifactsInput!$N$27+1,20,24,28,32,36,40),0)/100)))))/Skills!H12+0.000000001),1)))/Inputs!$B$43),G83*Q83))*IF(Inputs!$B$38="pvp",1,(1+(Inputs!$B$21+Skills!Q12+(IF(ArtifactsInput!$M$33,CHOOSE(ArtifactsInput!$N$33+1,30,36,42,48,54,60),0))+(IF(AND(ArtifactsInput!$M$35,Inputs!$B$4&lt;&gt;"Chapter Hunt"),CHOOSE(ArtifactsInput!$N$35+1,15,18,21,24,27,30)*(1-EXP(-(0.2*B104)*5)),0)+IF(AND(ArtifactsInput!$M$22,Inputs!$B$4&lt;&gt;"Chapter Hunt"),CHOOSE(ArtifactsInput!$N$22+1,10,12,14,16,18,20)*((0*(((0.15*B104*5))^0/1)+1*(((0.15*B104*5))^1/1)+2*(((0.15*B104*5))^2/2)+3*(((0.15*B104*5))^3/6)+4*(((0.15*B104*5))^4/24)+5*(((0.15*B104*5))^5/120))/((((0.15*B104*5))^0/1)+(((0.15*B104*5))^1/1)+(((0.15*B104*5))^2/2)+(((0.15*B104*5))^3/6)+(((0.15*B104*5))^4/24)+(((0.15*B104*5))^5/120))),0))+IF(Inputs!$B$3&gt;=54,9*(C74=TRUE)*MIN(1,8*(1+Inputs!$B$34/100)*Q74),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4">
      <c r="A84">
        <f>Skills!A13</f>
        <v/>
      </c>
      <c r="B84">
        <f>Skills!B13</f>
        <v/>
      </c>
      <c r="C84">
        <f>Inputs!$B$3&gt;=110</f>
        <v/>
      </c>
      <c r="D84">
        <f>IF(Skills!C13=1,60+Inputs!$B$25+Inputs!$B$29,IF(Skills!C13=2,90+Inputs!$B$26+Inputs!$B$29,IF(Skills!C13=3,120+Inputs!$B$27+Inputs!$B$29,MAX(0,(Inputs!$B$3-100)*3)+Inputs!$B$28+Inputs!$B$29)))</f>
        <v/>
      </c>
      <c r="E84">
        <f>INDEX(FactorTable!$B$2:$Y$301, MATCH(ROUND(MIN(300,MAX(1,D84)),0), FactorTable!$A$2:$A$301,0), Skills!M13+1)</f>
        <v/>
      </c>
      <c r="F84">
        <f>IF(Skills!N13=TRUE,(Skills!L13/10)*(E84/1000),Skills!L13/10)+Skills!O13</f>
        <v/>
      </c>
      <c r="G84">
        <f>Skills!G13*IF(Skills!H13&gt;0,INT(IF(Inputs!$B$38="pvp",MIN(Skills!I13,15),Skills!I13)/Skills!H13+0.000000001),1)</f>
        <v/>
      </c>
      <c r="H84">
        <f>1-(1-Skills!J13/100)^Skills!K13</f>
        <v/>
      </c>
      <c r="I84" t="inlineStr">
        <is>
          <t>1</t>
        </is>
      </c>
      <c r="J84">
        <f>((Inputs!$B$6*(1+Inputs!$B$7/100))+((((Inputs!$B$12+1)*(1+Inputs!$B$13/100))-(Inputs!$B$12*(1+Inputs!$B$13/100)))+0.25*(Inputs!$B$14-Inputs!$B$14))*(1+Inputs!$B$7/100))*(F84/100)</f>
        <v/>
      </c>
      <c r="K84">
        <f>J84*(1+(((Inputs!$B$12+1)*(1+Inputs!$B$13/100))*0.01+Inputs!$B$14*0.0025)/100)*(1+Inputs!$B$15/100)*(1+Inputs!$B$16/100)*(5000/(6000+Inputs!$B$42*(1-(100*(1-(1-(Inputs!$B$19+0)/100)*(1-CHOOSE(ArtifactsInput!$N$40+1,5,6,7,8,9,10)/100)^(ArtifactsInput!$M$40-ArtifactsInput!$M$40)))/100)))*(1+(Inputs!$B$24+((C97=TRUE)*(F97-Calc!F26))+B108)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EIGHT_LEGS_EASTON",Inputs!$B$17+((C94=TRUE)*(F94-Calc!F23))+((C98=TRUE)*(F98-Calc!F27))+((IF(AND(Inputs!$B$38&lt;&gt;"pvp",Inputs!$B$43=0),1,IF(IF(Inputs!$B$38="pvp",15,Inputs!$B$43)-(B109)&lt;=0,1,MAX(0,IF(Inputs!$B$38="pvp",15,Inputs!$B$43)-MAX(5,B109))/(IF(Inputs!$B$38="pvp",15,Inputs!$B$43)-(B109))))*(IF(AND(ArtifactsInput!$M$42,((Inputs!$B$9+((C90=TRUE)*(F90-Calc!F19))+B102+(ArtifactsInput!$M$24-ArtifactsInput!$M$24)*CHOOSE(ArtifactsInput!$N$24+1,10,12,14,16,18,20)+IF(ArtifactsInput!$M$10,CHOOSE(ArtifactsInput!$N$10+1,15,18,21,24,27,30)*(IF(Inputs!$B$38="pvp",MIN(15,15)/15,IF(AND(Inputs!$B$38&lt;&gt;"pvp",Inputs!$B$43&gt;0),MIN(15,Inputs!$B$43)/(Inputs!$B$43),0))),0)))&gt;=100),MIN(100,((Inputs!$B$9+((C90=TRUE)*(F90-Calc!F19))+B102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109)&lt;=0,1,MAX(0,IF(Inputs!$B$38="pvp",15,Inputs!$B$43)-MAX(5,B109))/(IF(Inputs!$B$38="pvp",15,Inputs!$B$43)-(B109))))*IF(AND(ArtifactsInput!$M$42,((Inputs!$B$9+((C90=TRUE)*(F90-Calc!F19))+B102+(ArtifactsInput!$M$24-ArtifactsInput!$M$24)*CHOOSE(ArtifactsInput!$N$24+1,10,12,14,16,18,20)+IF(ArtifactsInput!$M$10,CHOOSE(ArtifactsInput!$N$10+1,15,18,21,24,27,30)*(IF(Inputs!$B$38="pvp",MIN(15,15)/15,IF(AND(Inputs!$B$38&lt;&gt;"pvp",Inputs!$B$43&gt;0),MIN(15,Inputs!$B$43)/(Inputs!$B$43),0))),0)))&gt;=100),CHOOSE(ArtifactsInput!$N$42+1,40,48,56,64,72,80),0))))/100)*((1+(((C88=TRUE)*F88*5/7)+((C95=TRUE)*(F95-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84)</f>
        <v/>
      </c>
      <c r="L84">
        <f>K84*(MIN(Inputs!$B$22+((C93=TRUE)*(F93-Calc!F22)),(Inputs!$B$23+0+(IF(ArtifactsInput!$M$15,CHOOSE(ArtifactsInput!$N$15+1,25,30,35,40,45,50)/100*(Inputs!$B$11-Inputs!$B$11),0))))/100+(Inputs!$B$23+0+(IF(ArtifactsInput!$M$15,CHOOSE(ArtifactsInput!$N$15+1,25,30,35,40,45,50)/100*(Inputs!$B$11-Inputs!$B$11),0)))/100)/2</f>
        <v/>
      </c>
      <c r="M84">
        <f>L84*(1+(Inputs!$B$10+((C96=TRUE)*(F96-Calc!F25))+B107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4">
        <f>L84*(1-MIN((Inputs!$B$9+((C90=TRUE)*(F90-Calc!F19))+B102+(ArtifactsInput!$M$24-ArtifactsInput!$M$24)*CHOOSE(ArtifactsInput!$N$24+1,10,12,14,16,18,20)+(IF(AND(Inputs!$B$38&lt;&gt;"pvp",Inputs!$B$43=0),1,IF(IF(Inputs!$B$38="pvp",15,Inputs!$B$43)-(B109)&lt;=0,1,MAX(0,IF(Inputs!$B$38="pvp",15,Inputs!$B$43)-MAX(5,B109))/(IF(Inputs!$B$38="pvp",15,Inputs!$B$43)-(B109))))*IF(AND(ArtifactsInput!$M$42,((Inputs!$B$9+((C90=TRUE)*(F90-Calc!F19))+B102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84*(MIN((Inputs!$B$9+((C90=TRUE)*(F90-Calc!F19))+B102+(ArtifactsInput!$M$24-ArtifactsInput!$M$24)*CHOOSE(ArtifactsInput!$N$24+1,10,12,14,16,18,20)+(IF(AND(Inputs!$B$38&lt;&gt;"pvp",Inputs!$B$43=0),1,IF(IF(Inputs!$B$38="pvp",15,Inputs!$B$43)-(B109)&lt;=0,1,MAX(0,IF(Inputs!$B$38="pvp",15,Inputs!$B$43)-MAX(5,B109))/(IF(Inputs!$B$38="pvp",15,Inputs!$B$43)-(B109))))*IF(AND(ArtifactsInput!$M$42,((Inputs!$B$9+((C90=TRUE)*(F90-Calc!F19))+B102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4">
        <f>(1-Summary!$B$11)*T84+Summary!$B$11*V84</f>
        <v/>
      </c>
      <c r="P84">
        <f>IF(B112=0,0,O84/B112)</f>
        <v/>
      </c>
      <c r="Q84">
        <f>IFERROR(1/(IF(Inputs!$B$38="pvp",15,MAX(0.1,Skills!D13-IF(TRUE=TRUE,Inputs!$B$32,0)))*(1-IF(AND(ArtifactsInput!$M$27,Inputs!$B$4="Chapter Hunt"),CHOOSE(ArtifactsInput!$N$27+1,20,24,28,32,36,40),0)/100)),0)</f>
        <v/>
      </c>
      <c r="R84">
        <f>IF(AND(Inputs!$B$38&lt;&gt;"pvp",Inputs!$B$43&gt;0),IF(MAX(0,Inputs!$B$43-B109)&lt;=0,0,(INT(MAX(0,Inputs!$B$43-B109)/(IF(Inputs!$B$38="pvp",15,MAX(0.1,Skills!D13-IF(TRUE=TRUE,Inputs!$B$32,0)))*(1-IF(AND(ArtifactsInput!$M$27,Inputs!$B$4="Chapter Hunt"),CHOOSE(ArtifactsInput!$N$27+1,20,24,28,32,36,40),0)/100)))+1)),0)</f>
        <v/>
      </c>
      <c r="S84">
        <f>IFERROR(O84/N84,0)</f>
        <v/>
      </c>
      <c r="T84">
        <f>IF(C84,(H84*N84*IF(AND(Inputs!$B$38&lt;&gt;"pvp",Inputs!$B$43&gt;0),((Skills!G13*((R84-1)*IF(Skills!H13&gt;0,INT(Skills!I13/Skills!H13+0.000000001),1)+IF(Skills!H13&gt;0,INT(MIN(Skills!I13,MAX(0,MAX(0,Inputs!$B$43-B109)-((R84-1)*(IF(Inputs!$B$38="pvp",15,MAX(0.1,Skills!D13-IF(TRUE=TRUE,Inputs!$B$32,0)))*(1-IF(AND(ArtifactsInput!$M$27,Inputs!$B$4="Chapter Hunt"),CHOOSE(ArtifactsInput!$N$27+1,20,24,28,32,36,40),0)/100)))))/Skills!H13+0.000000001),1)))/Inputs!$B$43),G84*Q84))*IF(Inputs!$B$38="pvp",1,1+(Inputs!$B$20+0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Hunt"),CHOOSE(ArtifactsInput!$N$35+1,15,18,21,24,27,30)*(1-EXP(-(0.2*B104)*5)),0)+IF(AND(ArtifactsInput!$M$22,Inputs!$B$4&lt;&gt;"Chapter Hunt"),CHOOSE(ArtifactsInput!$N$22+1,10,12,14,16,18,20)*((0*(((0.15*B104*5))^0/1)+1*(((0.15*B104*5))^1/1)+2*(((0.15*B104*5))^2/2)+3*(((0.15*B104*5))^3/6)+4*(((0.15*B104*5))^4/24)+5*(((0.15*B104*5))^5/120))/((((0.15*B104*5))^0/1)+(((0.15*B104*5))^1/1)+(((0.15*B104*5))^2/2)+(((0.15*B104*5))^3/6)+(((0.15*B104*5))^4/24)+(((0.15*B104*5))^5/120))),0))+IF(Inputs!$B$3&gt;=54,9*(C74=TRUE)*MIN(1,8*(1+Inputs!$B$34/100)*Q74)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84*(1-MIN(100,(Inputs!$B$9+((C90=TRUE)*(F90-Calc!F19))+B102+(ArtifactsInput!$M$24-ArtifactsInput!$M$24)*CHOOSE(ArtifactsInput!$N$24+1,10,12,14,16,18,20)+(IF(AND(Inputs!$B$38&lt;&gt;"pvp",Inputs!$B$43=0),1,IF(IF(Inputs!$B$38="pvp",15,Inputs!$B$43)-(B109)&lt;=0,1,MAX(0,IF(Inputs!$B$38="pvp",15,Inputs!$B$43)-MAX(5,B109))/(IF(Inputs!$B$38="pvp",15,Inputs!$B$43)-(B109))))*IF(AND(ArtifactsInput!$M$42,((Inputs!$B$9+((C90=TRUE)*(F90-Calc!F19))+B102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84*(MIN(100,(Inputs!$B$9+((C90=TRUE)*(F90-Calc!F19))+B102+(ArtifactsInput!$M$24-ArtifactsInput!$M$24)*CHOOSE(ArtifactsInput!$N$24+1,10,12,14,16,18,20)+(IF(AND(Inputs!$B$38&lt;&gt;"pvp",Inputs!$B$43=0),1,IF(IF(Inputs!$B$38="pvp",15,Inputs!$B$43)-(B109)&lt;=0,1,MAX(0,IF(Inputs!$B$38="pvp",15,Inputs!$B$43)-MAX(5,B109))/(IF(Inputs!$B$38="pvp",15,Inputs!$B$43)-(B109))))*IF(AND(ArtifactsInput!$M$42,((Inputs!$B$9+((C90=TRUE)*(F90-Calc!F19))+B102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84*(1-MIN(100,(Inputs!$B$9+((C90=TRUE)*(F90-Calc!F19))+B102+(ArtifactsInput!$M$24-ArtifactsInput!$M$24)*CHOOSE(ArtifactsInput!$N$24+1,10,12,14,16,18,20)+(IF(AND(Inputs!$B$38&lt;&gt;"pvp",Inputs!$B$43=0),1,IF(IF(Inputs!$B$38="pvp",15,Inputs!$B$43)-(B109)&lt;=0,1,MAX(0,IF(Inputs!$B$38="pvp",15,Inputs!$B$43)-MAX(5,B109))/(IF(Inputs!$B$38="pvp",15,Inputs!$B$43)-(B109))))*IF(AND(ArtifactsInput!$M$42,((Inputs!$B$9+((C90=TRUE)*(F90-Calc!F19))+B102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84*(MIN(100,(Inputs!$B$9+((C90=TRUE)*(F90-Calc!F19))+B102+(ArtifactsInput!$M$24-ArtifactsInput!$M$24)*CHOOSE(ArtifactsInput!$N$24+1,10,12,14,16,18,20)+(IF(AND(Inputs!$B$38&lt;&gt;"pvp",Inputs!$B$43=0),1,IF(IF(Inputs!$B$38="pvp",15,Inputs!$B$43)-(B109)&lt;=0,1,MAX(0,IF(Inputs!$B$38="pvp",15,Inputs!$B$43)-MAX(5,B109))/(IF(Inputs!$B$38="pvp",15,Inputs!$B$43)-(B109))))*IF(AND(ArtifactsInput!$M$42,((Inputs!$B$9+((C90=TRUE)*(F90-Calc!F19))+B102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84">
        <f>IF(C84,(H84*N84*IF(AND(Inputs!$B$38&lt;&gt;"pvp",Inputs!$B$43&gt;0),((Skills!G13*((R84-1)*IF(Skills!H13&gt;0,INT(Skills!I13/Skills!H13+0.000000001),1)+IF(Skills!H13&gt;0,INT(MIN(Skills!I13,MAX(0,MAX(0,Inputs!$B$43-B109)-((R84-1)*(IF(Inputs!$B$38="pvp",15,MAX(0.1,Skills!D13-IF(TRUE=TRUE,Inputs!$B$32,0)))*(1-IF(AND(ArtifactsInput!$M$27,Inputs!$B$4="Chapter Hunt"),CHOOSE(ArtifactsInput!$N$27+1,20,24,28,32,36,40),0)/100)))))/Skills!H13+0.000000001),1)))/Inputs!$B$43),G84*Q84))*IF(Inputs!$B$38="pvp",1,(1+(Inputs!$B$21+Skills!Q13+(IF(ArtifactsInput!$M$33,CHOOSE(ArtifactsInput!$N$33+1,30,36,42,48,54,60),0))+(IF(AND(ArtifactsInput!$M$35,Inputs!$B$4&lt;&gt;"Chapter Hunt"),CHOOSE(ArtifactsInput!$N$35+1,15,18,21,24,27,30)*(1-EXP(-(0.2*B104)*5)),0)+IF(AND(ArtifactsInput!$M$22,Inputs!$B$4&lt;&gt;"Chapter Hunt"),CHOOSE(ArtifactsInput!$N$22+1,10,12,14,16,18,20)*((0*(((0.15*B104*5))^0/1)+1*(((0.15*B104*5))^1/1)+2*(((0.15*B104*5))^2/2)+3*(((0.15*B104*5))^3/6)+4*(((0.15*B104*5))^4/24)+5*(((0.15*B104*5))^5/120))/((((0.15*B104*5))^0/1)+(((0.15*B104*5))^1/1)+(((0.15*B104*5))^2/2)+(((0.15*B104*5))^3/6)+(((0.15*B104*5))^4/24)+(((0.15*B104*5))^5/120))),0))+IF(Inputs!$B$3&gt;=54,9*(C74=TRUE)*MIN(1,8*(1+Inputs!$B$34/100)*Q74),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5">
      <c r="A85">
        <f>Skills!A14</f>
        <v/>
      </c>
      <c r="B85">
        <f>Skills!B14</f>
        <v/>
      </c>
      <c r="C85">
        <f>Inputs!$B$3&gt;=120</f>
        <v/>
      </c>
      <c r="D85">
        <f>IF(Skills!C14=1,60+Inputs!$B$25+Inputs!$B$29,IF(Skills!C14=2,90+Inputs!$B$26+Inputs!$B$29,IF(Skills!C14=3,120+Inputs!$B$27+Inputs!$B$29,MAX(0,(Inputs!$B$3-100)*3)+Inputs!$B$28+Inputs!$B$29)))</f>
        <v/>
      </c>
      <c r="E85">
        <f>INDEX(FactorTable!$B$2:$Y$301, MATCH(ROUND(MIN(300,MAX(1,D85)),0), FactorTable!$A$2:$A$301,0), Skills!M14+1)</f>
        <v/>
      </c>
      <c r="F85">
        <f>IF(Skills!N14=TRUE,(Skills!L14/10)*(E85/1000),Skills!L14/10)+Skills!O14</f>
        <v/>
      </c>
      <c r="G85">
        <f>Skills!G14*IF(Skills!H14&gt;0,INT(IF(Inputs!$B$38="pvp",MIN(Skills!I14,15),Skills!I14)/Skills!H14+0.000000001),1)</f>
        <v/>
      </c>
      <c r="H85">
        <f>1-(1-Skills!J14/100)^Skills!K14</f>
        <v/>
      </c>
      <c r="I85" t="inlineStr">
        <is>
          <t>1</t>
        </is>
      </c>
      <c r="J85">
        <f>((Inputs!$B$6*(1+Inputs!$B$7/100))+((((Inputs!$B$12+1)*(1+Inputs!$B$13/100))-(Inputs!$B$12*(1+Inputs!$B$13/100)))+0.25*(Inputs!$B$14-Inputs!$B$14))*(1+Inputs!$B$7/100))*(F85/100)</f>
        <v/>
      </c>
      <c r="K85">
        <f>J85*(1+(((Inputs!$B$12+1)*(1+Inputs!$B$13/100))*0.01+Inputs!$B$14*0.0025)/100)*(1+Inputs!$B$15/100)*(1+Inputs!$B$16/100)*(5000/(6000+Inputs!$B$42*(1-(100*(1-(1-(Inputs!$B$19+0)/100)*(1-CHOOSE(ArtifactsInput!$N$40+1,5,6,7,8,9,10)/100)^(ArtifactsInput!$M$40-ArtifactsInput!$M$40)))/100)))*(1+(Inputs!$B$24+((C97=TRUE)*(F97-Calc!F26))+B108)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EIGHT_LEGS_EASTON",Inputs!$B$17+((C94=TRUE)*(F94-Calc!F23))+((C98=TRUE)*(F98-Calc!F27))+((IF(AND(Inputs!$B$38&lt;&gt;"pvp",Inputs!$B$43=0),1,IF(IF(Inputs!$B$38="pvp",15,Inputs!$B$43)-(B109)&lt;=0,1,MAX(0,IF(Inputs!$B$38="pvp",15,Inputs!$B$43)-MAX(5,B109))/(IF(Inputs!$B$38="pvp",15,Inputs!$B$43)-(B109))))*(IF(AND(ArtifactsInput!$M$42,((Inputs!$B$9+((C90=TRUE)*(F90-Calc!F19))+B102+(ArtifactsInput!$M$24-ArtifactsInput!$M$24)*CHOOSE(ArtifactsInput!$N$24+1,10,12,14,16,18,20)+IF(ArtifactsInput!$M$10,CHOOSE(ArtifactsInput!$N$10+1,15,18,21,24,27,30)*(IF(Inputs!$B$38="pvp",MIN(15,15)/15,IF(AND(Inputs!$B$38&lt;&gt;"pvp",Inputs!$B$43&gt;0),MIN(15,Inputs!$B$43)/(Inputs!$B$43),0))),0)))&gt;=100),MIN(100,((Inputs!$B$9+((C90=TRUE)*(F90-Calc!F19))+B102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109)&lt;=0,1,MAX(0,IF(Inputs!$B$38="pvp",15,Inputs!$B$43)-MAX(5,B109))/(IF(Inputs!$B$38="pvp",15,Inputs!$B$43)-(B109))))*IF(AND(ArtifactsInput!$M$42,((Inputs!$B$9+((C90=TRUE)*(F90-Calc!F19))+B102+(ArtifactsInput!$M$24-ArtifactsInput!$M$24)*CHOOSE(ArtifactsInput!$N$24+1,10,12,14,16,18,20)+IF(ArtifactsInput!$M$10,CHOOSE(ArtifactsInput!$N$10+1,15,18,21,24,27,30)*(IF(Inputs!$B$38="pvp",MIN(15,15)/15,IF(AND(Inputs!$B$38&lt;&gt;"pvp",Inputs!$B$43&gt;0),MIN(15,Inputs!$B$43)/(Inputs!$B$43),0))),0)))&gt;=100),CHOOSE(ArtifactsInput!$N$42+1,40,48,56,64,72,80),0))))/100)*((1+(((C88=TRUE)*F88*5/7)+((C95=TRUE)*(F95-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85)</f>
        <v/>
      </c>
      <c r="L85">
        <f>K85*(MIN(Inputs!$B$22+((C93=TRUE)*(F93-Calc!F22)),(Inputs!$B$23+0+(IF(ArtifactsInput!$M$15,CHOOSE(ArtifactsInput!$N$15+1,25,30,35,40,45,50)/100*(Inputs!$B$11-Inputs!$B$11),0))))/100+(Inputs!$B$23+0+(IF(ArtifactsInput!$M$15,CHOOSE(ArtifactsInput!$N$15+1,25,30,35,40,45,50)/100*(Inputs!$B$11-Inputs!$B$11),0)))/100)/2</f>
        <v/>
      </c>
      <c r="M85">
        <f>L85*(1+(Inputs!$B$10+((C96=TRUE)*(F96-Calc!F25))+B107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5">
        <f>L85*(1-MIN((Inputs!$B$9+((C90=TRUE)*(F90-Calc!F19))+B102+(ArtifactsInput!$M$24-ArtifactsInput!$M$24)*CHOOSE(ArtifactsInput!$N$24+1,10,12,14,16,18,20)+(IF(AND(Inputs!$B$38&lt;&gt;"pvp",Inputs!$B$43=0),1,IF(IF(Inputs!$B$38="pvp",15,Inputs!$B$43)-(B109)&lt;=0,1,MAX(0,IF(Inputs!$B$38="pvp",15,Inputs!$B$43)-MAX(5,B109))/(IF(Inputs!$B$38="pvp",15,Inputs!$B$43)-(B109))))*IF(AND(ArtifactsInput!$M$42,((Inputs!$B$9+((C90=TRUE)*(F90-Calc!F19))+B102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85*(MIN((Inputs!$B$9+((C90=TRUE)*(F90-Calc!F19))+B102+(ArtifactsInput!$M$24-ArtifactsInput!$M$24)*CHOOSE(ArtifactsInput!$N$24+1,10,12,14,16,18,20)+(IF(AND(Inputs!$B$38&lt;&gt;"pvp",Inputs!$B$43=0),1,IF(IF(Inputs!$B$38="pvp",15,Inputs!$B$43)-(B109)&lt;=0,1,MAX(0,IF(Inputs!$B$38="pvp",15,Inputs!$B$43)-MAX(5,B109))/(IF(Inputs!$B$38="pvp",15,Inputs!$B$43)-(B109))))*IF(AND(ArtifactsInput!$M$42,((Inputs!$B$9+((C90=TRUE)*(F90-Calc!F19))+B102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5">
        <f>(1-Summary!$B$11)*T85+Summary!$B$11*V85</f>
        <v/>
      </c>
      <c r="P85">
        <f>IF(B112=0,0,O85/B112)</f>
        <v/>
      </c>
      <c r="Q85" t="n">
        <v>0</v>
      </c>
      <c r="R85" t="n">
        <v>0</v>
      </c>
      <c r="S85">
        <f>IFERROR(O85/N85,0)</f>
        <v/>
      </c>
      <c r="T85">
        <f>IF(C85,((H85*(B106+IF(AND(Inputs!$B$38&lt;&gt;"pvp",Inputs!$B$43&gt;0),((Skills!G8*((R79-1)*IF(Skills!H8&gt;0,INT(Skills!I8/Skills!H8+0.000000001),1)+IF(Skills!H8&gt;0,INT(MIN(Skills!I8,MAX(0,MAX(0,Inputs!$B$43-B109)-((R79-1)*((IF(Inputs!$B$38="pvp",15,MAX(0.1,Skills!D8-IF(TRUE=TRUE,Inputs!$B$32,0)))*(1-IF(AND(ArtifactsInput!$M$27,Inputs!$B$4="Chapter Hunt"),CHOOSE(ArtifactsInput!$N$27+1,20,24,28,32,36,40),0)/100))/B113))))/Skills!H8+0.000000001),1)))/Inputs!$B$43),G79*Q79)+IF(AND(Inputs!$B$38&lt;&gt;"pvp",Inputs!$B$43&gt;0),((Skills!G11*((R82-1)*IF(Skills!H11&gt;0,INT(Skills!I11/Skills!H11+0.000000001),1)+IF(Skills!H11&gt;0,INT(MIN(Skills!I11,MAX(0,MAX(0,Inputs!$B$43-B109)-((R82-1)*((IF(Inputs!$B$38="pvp",15,MAX(0.1,Skills!D11-IF(TRUE=TRUE,Inputs!$B$32,0)))*(1-IF(AND(ArtifactsInput!$M$27,Inputs!$B$4="Chapter Hunt"),CHOOSE(ArtifactsInput!$N$27+1,20,24,28,32,36,40),0)/100))/B113))))/Skills!H11+0.000000001),1)))/Inputs!$B$43),G82*Q82)))/(1+Skills!H14*H85*(B106+IF(AND(Inputs!$B$38&lt;&gt;"pvp",Inputs!$B$43&gt;0),((Skills!G8*((R79-1)*IF(Skills!H8&gt;0,INT(Skills!I8/Skills!H8+0.000000001),1)+IF(Skills!H8&gt;0,INT(MIN(Skills!I8,MAX(0,MAX(0,Inputs!$B$43-B109)-((R79-1)*((IF(Inputs!$B$38="pvp",15,MAX(0.1,Skills!D8-IF(TRUE=TRUE,Inputs!$B$32,0)))*(1-IF(AND(ArtifactsInput!$M$27,Inputs!$B$4="Chapter Hunt"),CHOOSE(ArtifactsInput!$N$27+1,20,24,28,32,36,40),0)/100))/B113))))/Skills!H8+0.000000001),1)))/Inputs!$B$43),G79*Q79)+IF(AND(Inputs!$B$38&lt;&gt;"pvp",Inputs!$B$43&gt;0),((Skills!G11*((R82-1)*IF(Skills!H11&gt;0,INT(Skills!I11/Skills!H11+0.000000001),1)+IF(Skills!H11&gt;0,INT(MIN(Skills!I11,MAX(0,MAX(0,Inputs!$B$43-B109)-((R82-1)*((IF(Inputs!$B$38="pvp",15,MAX(0.1,Skills!D11-IF(TRUE=TRUE,Inputs!$B$32,0)))*(1-IF(AND(ArtifactsInput!$M$27,Inputs!$B$4="Chapter Hunt"),CHOOSE(ArtifactsInput!$N$27+1,20,24,28,32,36,40),0)/100))/B113))))/Skills!H11+0.000000001),1)))/Inputs!$B$43),G82*Q82)))*N85)*IF(Inputs!$B$38="pvp",1,1+(Inputs!$B$20+0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Hunt"),CHOOSE(ArtifactsInput!$N$35+1,15,18,21,24,27,30)*(1-EXP(-(0.2*B104)*5)),0)+IF(AND(ArtifactsInput!$M$22,Inputs!$B$4&lt;&gt;"Chapter Hunt"),CHOOSE(ArtifactsInput!$N$22+1,10,12,14,16,18,20)*((0*(((0.15*B104*5))^0/1)+1*(((0.15*B104*5))^1/1)+2*(((0.15*B104*5))^2/2)+3*(((0.15*B104*5))^3/6)+4*(((0.15*B104*5))^4/24)+5*(((0.15*B104*5))^5/120))/((((0.15*B104*5))^0/1)+(((0.15*B104*5))^1/1)+(((0.15*B104*5))^2/2)+(((0.15*B104*5))^3/6)+(((0.15*B104*5))^4/24)+(((0.15*B104*5))^5/120))),0))+IF(Inputs!$B$3&gt;=54,9*(C74=TRUE)*MIN(1,8*(1+Inputs!$B$34/100)*Q74)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85*(1-MIN(100,(Inputs!$B$9+((C90=TRUE)*(F90-Calc!F19))+B102+(ArtifactsInput!$M$24-ArtifactsInput!$M$24)*CHOOSE(ArtifactsInput!$N$24+1,10,12,14,16,18,20)+(IF(AND(Inputs!$B$38&lt;&gt;"pvp",Inputs!$B$43=0),1,IF(IF(Inputs!$B$38="pvp",15,Inputs!$B$43)-(B109)&lt;=0,1,MAX(0,IF(Inputs!$B$38="pvp",15,Inputs!$B$43)-MAX(5,B109))/(IF(Inputs!$B$38="pvp",15,Inputs!$B$43)-(B109))))*IF(AND(ArtifactsInput!$M$42,((Inputs!$B$9+((C90=TRUE)*(F90-Calc!F19))+B102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85*(MIN(100,(Inputs!$B$9+((C90=TRUE)*(F90-Calc!F19))+B102+(ArtifactsInput!$M$24-ArtifactsInput!$M$24)*CHOOSE(ArtifactsInput!$N$24+1,10,12,14,16,18,20)+(IF(AND(Inputs!$B$38&lt;&gt;"pvp",Inputs!$B$43=0),1,IF(IF(Inputs!$B$38="pvp",15,Inputs!$B$43)-(B109)&lt;=0,1,MAX(0,IF(Inputs!$B$38="pvp",15,Inputs!$B$43)-MAX(5,B109))/(IF(Inputs!$B$38="pvp",15,Inputs!$B$43)-(B109))))*IF(AND(ArtifactsInput!$M$42,((Inputs!$B$9+((C90=TRUE)*(F90-Calc!F19))+B102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85*(1-MIN(100,(Inputs!$B$9+((C90=TRUE)*(F90-Calc!F19))+B102+(ArtifactsInput!$M$24-ArtifactsInput!$M$24)*CHOOSE(ArtifactsInput!$N$24+1,10,12,14,16,18,20)+(IF(AND(Inputs!$B$38&lt;&gt;"pvp",Inputs!$B$43=0),1,IF(IF(Inputs!$B$38="pvp",15,Inputs!$B$43)-(B109)&lt;=0,1,MAX(0,IF(Inputs!$B$38="pvp",15,Inputs!$B$43)-MAX(5,B109))/(IF(Inputs!$B$38="pvp",15,Inputs!$B$43)-(B109))))*IF(AND(ArtifactsInput!$M$42,((Inputs!$B$9+((C90=TRUE)*(F90-Calc!F19))+B102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85*(MIN(100,(Inputs!$B$9+((C90=TRUE)*(F90-Calc!F19))+B102+(ArtifactsInput!$M$24-ArtifactsInput!$M$24)*CHOOSE(ArtifactsInput!$N$24+1,10,12,14,16,18,20)+(IF(AND(Inputs!$B$38&lt;&gt;"pvp",Inputs!$B$43=0),1,IF(IF(Inputs!$B$38="pvp",15,Inputs!$B$43)-(B109)&lt;=0,1,MAX(0,IF(Inputs!$B$38="pvp",15,Inputs!$B$43)-MAX(5,B109))/(IF(Inputs!$B$38="pvp",15,Inputs!$B$43)-(B109))))*IF(AND(ArtifactsInput!$M$42,((Inputs!$B$9+((C90=TRUE)*(F90-Calc!F19))+B102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85">
        <f>IF(C85,((H85*(B106+IF(AND(Inputs!$B$38&lt;&gt;"pvp",Inputs!$B$43&gt;0),((Skills!G8*((R79-1)*IF(Skills!H8&gt;0,INT(Skills!I8/Skills!H8+0.000000001),1)+IF(Skills!H8&gt;0,INT(MIN(Skills!I8,MAX(0,MAX(0,Inputs!$B$43-B109)-((R79-1)*((IF(Inputs!$B$38="pvp",15,MAX(0.1,Skills!D8-IF(TRUE=TRUE,Inputs!$B$32,0)))*(1-IF(AND(ArtifactsInput!$M$27,Inputs!$B$4="Chapter Hunt"),CHOOSE(ArtifactsInput!$N$27+1,20,24,28,32,36,40),0)/100))/B113))))/Skills!H8+0.000000001),1)))/Inputs!$B$43),G79*Q79)+IF(AND(Inputs!$B$38&lt;&gt;"pvp",Inputs!$B$43&gt;0),((Skills!G11*((R82-1)*IF(Skills!H11&gt;0,INT(Skills!I11/Skills!H11+0.000000001),1)+IF(Skills!H11&gt;0,INT(MIN(Skills!I11,MAX(0,MAX(0,Inputs!$B$43-B109)-((R82-1)*((IF(Inputs!$B$38="pvp",15,MAX(0.1,Skills!D11-IF(TRUE=TRUE,Inputs!$B$32,0)))*(1-IF(AND(ArtifactsInput!$M$27,Inputs!$B$4="Chapter Hunt"),CHOOSE(ArtifactsInput!$N$27+1,20,24,28,32,36,40),0)/100))/B113))))/Skills!H11+0.000000001),1)))/Inputs!$B$43),G82*Q82)))/(1+Skills!H14*H85*(B106+IF(AND(Inputs!$B$38&lt;&gt;"pvp",Inputs!$B$43&gt;0),((Skills!G8*((R79-1)*IF(Skills!H8&gt;0,INT(Skills!I8/Skills!H8+0.000000001),1)+IF(Skills!H8&gt;0,INT(MIN(Skills!I8,MAX(0,MAX(0,Inputs!$B$43-B109)-((R79-1)*((IF(Inputs!$B$38="pvp",15,MAX(0.1,Skills!D8-IF(TRUE=TRUE,Inputs!$B$32,0)))*(1-IF(AND(ArtifactsInput!$M$27,Inputs!$B$4="Chapter Hunt"),CHOOSE(ArtifactsInput!$N$27+1,20,24,28,32,36,40),0)/100))/B113))))/Skills!H8+0.000000001),1)))/Inputs!$B$43),G79*Q79)+IF(AND(Inputs!$B$38&lt;&gt;"pvp",Inputs!$B$43&gt;0),((Skills!G11*((R82-1)*IF(Skills!H11&gt;0,INT(Skills!I11/Skills!H11+0.000000001),1)+IF(Skills!H11&gt;0,INT(MIN(Skills!I11,MAX(0,MAX(0,Inputs!$B$43-B109)-((R82-1)*((IF(Inputs!$B$38="pvp",15,MAX(0.1,Skills!D11-IF(TRUE=TRUE,Inputs!$B$32,0)))*(1-IF(AND(ArtifactsInput!$M$27,Inputs!$B$4="Chapter Hunt"),CHOOSE(ArtifactsInput!$N$27+1,20,24,28,32,36,40),0)/100))/B113))))/Skills!H11+0.000000001),1)))/Inputs!$B$43),G82*Q82)))*N85)*IF(Inputs!$B$38="pvp",1,(1+(Inputs!$B$21+Skills!Q14+(IF(ArtifactsInput!$M$33,CHOOSE(ArtifactsInput!$N$33+1,30,36,42,48,54,60),0))+(IF(AND(ArtifactsInput!$M$35,Inputs!$B$4&lt;&gt;"Chapter Hunt"),CHOOSE(ArtifactsInput!$N$35+1,15,18,21,24,27,30)*(1-EXP(-(0.2*B104)*5)),0)+IF(AND(ArtifactsInput!$M$22,Inputs!$B$4&lt;&gt;"Chapter Hunt"),CHOOSE(ArtifactsInput!$N$22+1,10,12,14,16,18,20)*((0*(((0.15*B104*5))^0/1)+1*(((0.15*B104*5))^1/1)+2*(((0.15*B104*5))^2/2)+3*(((0.15*B104*5))^3/6)+4*(((0.15*B104*5))^4/24)+5*(((0.15*B104*5))^5/120))/((((0.15*B104*5))^0/1)+(((0.15*B104*5))^1/1)+(((0.15*B104*5))^2/2)+(((0.15*B104*5))^3/6)+(((0.15*B104*5))^4/24)+(((0.15*B104*5))^5/120))),0))+IF(Inputs!$B$3&gt;=54,9*(C74=TRUE)*MIN(1,8*(1+Inputs!$B$34/100)*Q74),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6">
      <c r="A86">
        <f>Skills!A15</f>
        <v/>
      </c>
      <c r="B86">
        <f>Skills!B15</f>
        <v/>
      </c>
      <c r="C86">
        <f>Inputs!$B$3&gt;=100</f>
        <v/>
      </c>
      <c r="D86">
        <f>IF(Skills!C15=1,60+Inputs!$B$25+Inputs!$B$29,IF(Skills!C15=2,90+Inputs!$B$26+Inputs!$B$29,IF(Skills!C15=3,120+Inputs!$B$27+Inputs!$B$29,MAX(0,(Inputs!$B$3-100)*3)+Inputs!$B$28+Inputs!$B$29)))</f>
        <v/>
      </c>
      <c r="E86">
        <f>INDEX(FactorTable!$B$2:$Y$301, MATCH(ROUND(MIN(300,MAX(1,D86)),0), FactorTable!$A$2:$A$301,0), Skills!M15+1)</f>
        <v/>
      </c>
      <c r="F86">
        <f>IF(Skills!N15=TRUE,(Skills!L15/10)*(E86/1000),Skills!L15/10)+Skills!O15</f>
        <v/>
      </c>
      <c r="G86" t="inlineStr"/>
      <c r="H86" t="inlineStr"/>
      <c r="I86" t="inlineStr">
        <is>
          <t>1</t>
        </is>
      </c>
      <c r="J86" t="inlineStr"/>
      <c r="K86" t="inlineStr"/>
      <c r="L86" t="inlineStr"/>
      <c r="M86" t="inlineStr"/>
      <c r="N86" t="inlineStr"/>
      <c r="O86" t="inlineStr"/>
      <c r="P86" t="inlineStr"/>
      <c r="Q86" t="inlineStr"/>
      <c r="R86" t="inlineStr"/>
      <c r="S86" t="inlineStr"/>
    </row>
    <row r="87">
      <c r="A87">
        <f>Skills!A16</f>
        <v/>
      </c>
      <c r="B87">
        <f>Skills!B16</f>
        <v/>
      </c>
      <c r="C87">
        <f>Inputs!$B$3&gt;=107</f>
        <v/>
      </c>
      <c r="D87">
        <f>IF(Skills!C16=1,60+Inputs!$B$25+Inputs!$B$29,IF(Skills!C16=2,90+Inputs!$B$26+Inputs!$B$29,IF(Skills!C16=3,120+Inputs!$B$27+Inputs!$B$29,MAX(0,(Inputs!$B$3-100)*3)+Inputs!$B$28+Inputs!$B$29)))</f>
        <v/>
      </c>
      <c r="E87">
        <f>INDEX(FactorTable!$B$2:$Y$301, MATCH(ROUND(MIN(300,MAX(1,D87)),0), FactorTable!$A$2:$A$301,0), Skills!M16+1)</f>
        <v/>
      </c>
      <c r="F87">
        <f>IF(Skills!N16=TRUE,(Skills!L16/10)*(E87/1000),Skills!L16/10)+Skills!O16</f>
        <v/>
      </c>
      <c r="G87" t="inlineStr"/>
      <c r="H87" t="inlineStr"/>
      <c r="I87" t="inlineStr">
        <is>
          <t>1</t>
        </is>
      </c>
      <c r="J87" t="inlineStr"/>
      <c r="K87" t="inlineStr"/>
      <c r="L87" t="inlineStr"/>
      <c r="M87" t="inlineStr"/>
      <c r="N87" t="inlineStr"/>
      <c r="O87" t="inlineStr"/>
      <c r="P87" t="inlineStr"/>
      <c r="Q87" t="inlineStr"/>
      <c r="R87" t="inlineStr"/>
      <c r="S87" t="inlineStr"/>
    </row>
    <row r="88">
      <c r="A88">
        <f>Skills!A17</f>
        <v/>
      </c>
      <c r="B88">
        <f>Skills!B17</f>
        <v/>
      </c>
      <c r="C88">
        <f>Inputs!$B$3&gt;=74</f>
        <v/>
      </c>
      <c r="D88">
        <f>IF(Skills!C17=1,60+Inputs!$B$25+Inputs!$B$29,IF(Skills!C17=2,90+Inputs!$B$26+Inputs!$B$29,IF(Skills!C17=3,120+Inputs!$B$27+Inputs!$B$29,MAX(0,(Inputs!$B$3-100)*3)+Inputs!$B$28+Inputs!$B$29)))</f>
        <v/>
      </c>
      <c r="E88">
        <f>INDEX(FactorTable!$B$2:$Y$301, MATCH(ROUND(MIN(300,MAX(1,D88)),0), FactorTable!$A$2:$A$301,0), Skills!M17+1)</f>
        <v/>
      </c>
      <c r="F88">
        <f>IF(Skills!N17=TRUE,(Skills!L17/10)*(E88/1000),Skills!L17/10)+Skills!O17</f>
        <v/>
      </c>
      <c r="G88">
        <f>Skills!G17*IF(Skills!H17&gt;0,INT(IF(Inputs!$B$38="pvp",MIN(Skills!I17,15),Skills!I17)/Skills!H17+0.000000001),1)</f>
        <v/>
      </c>
      <c r="H88">
        <f>1-(1-Skills!J17/100)^Skills!K17</f>
        <v/>
      </c>
      <c r="I88" t="inlineStr">
        <is>
          <t>1</t>
        </is>
      </c>
      <c r="J88" t="inlineStr"/>
      <c r="K88" t="inlineStr"/>
      <c r="L88" t="inlineStr"/>
      <c r="M88" t="inlineStr"/>
      <c r="N88" t="inlineStr"/>
      <c r="O88">
        <f>(1-Summary!$B$11)*T88+Summary!$B$11*V88</f>
        <v/>
      </c>
      <c r="P88">
        <f>IF(B112=0,0,O88/B112)</f>
        <v/>
      </c>
      <c r="Q88" t="n">
        <v>0</v>
      </c>
      <c r="R88" t="n">
        <v>0</v>
      </c>
      <c r="S88">
        <f>IFERROR(O88/N88,0)</f>
        <v/>
      </c>
      <c r="T88" t="n">
        <v>0</v>
      </c>
      <c r="V88" t="n">
        <v>0</v>
      </c>
    </row>
    <row r="89">
      <c r="A89">
        <f>Skills!A18</f>
        <v/>
      </c>
      <c r="B89">
        <f>Skills!B18</f>
        <v/>
      </c>
      <c r="C89">
        <f>Inputs!$B$3&gt;=115</f>
        <v/>
      </c>
      <c r="D89">
        <f>IF(Skills!C18=1,60+Inputs!$B$25+Inputs!$B$29,IF(Skills!C18=2,90+Inputs!$B$26+Inputs!$B$29,IF(Skills!C18=3,120+Inputs!$B$27+Inputs!$B$29,MAX(0,(Inputs!$B$3-100)*3)+Inputs!$B$28+Inputs!$B$29)))</f>
        <v/>
      </c>
      <c r="E89">
        <f>INDEX(FactorTable!$B$2:$Y$301, MATCH(ROUND(MIN(300,MAX(1,D89)),0), FactorTable!$A$2:$A$301,0), Skills!M18+1)</f>
        <v/>
      </c>
      <c r="F89">
        <f>IF(Skills!N18=TRUE,(Skills!L18/10)*(E89/1000),Skills!L18/10)+Skills!O18</f>
        <v/>
      </c>
      <c r="G89">
        <f>Skills!G18*IF(Skills!H18&gt;0,INT(IF(Inputs!$B$38="pvp",MIN(Skills!I18,15),Skills!I18)/Skills!H18+0.000000001),1)</f>
        <v/>
      </c>
      <c r="H89">
        <f>1-(1-Skills!J18/100)^Skills!K18</f>
        <v/>
      </c>
      <c r="I89" t="inlineStr">
        <is>
          <t>1</t>
        </is>
      </c>
      <c r="J89" t="inlineStr"/>
      <c r="K89" t="inlineStr"/>
      <c r="L89" t="inlineStr"/>
      <c r="M89" t="inlineStr"/>
      <c r="N89" t="inlineStr"/>
      <c r="O89">
        <f>(1-Summary!$B$11)*T89+Summary!$B$11*V89</f>
        <v/>
      </c>
      <c r="P89">
        <f>IF(B112=0,0,O89/B112)</f>
        <v/>
      </c>
      <c r="Q89">
        <f>IFERROR(1/(IF(Inputs!$B$38="pvp",15,MAX(0.1,Skills!D18-IF(TRUE=TRUE,Inputs!$B$32,0)))*(1-IF(AND(ArtifactsInput!$M$27,Inputs!$B$4="Chapter Hunt"),CHOOSE(ArtifactsInput!$N$27+1,20,24,28,32,36,40),0)/100)),0)</f>
        <v/>
      </c>
      <c r="R89">
        <f>IF(AND(Inputs!$B$38&lt;&gt;"pvp",Inputs!$B$43&gt;0),IF(Inputs!$B$43&lt;=0,0,(INT(Inputs!$B$43/(IF(Inputs!$B$38="pvp",15,MAX(0.1,Skills!D18-IF(TRUE=TRUE,Inputs!$B$32,0)))*(1-IF(AND(ArtifactsInput!$M$27,Inputs!$B$4="Chapter Hunt"),CHOOSE(ArtifactsInput!$N$27+1,20,24,28,32,36,40),0)/100)))+1)),0)</f>
        <v/>
      </c>
      <c r="S89">
        <f>IFERROR(O89/N89,0)</f>
        <v/>
      </c>
      <c r="T89" t="n">
        <v>0</v>
      </c>
      <c r="V89" t="n">
        <v>0</v>
      </c>
    </row>
    <row r="90">
      <c r="A90">
        <f>Skills!A19</f>
        <v/>
      </c>
      <c r="B90">
        <f>Skills!B19</f>
        <v/>
      </c>
      <c r="C90">
        <f>Inputs!$B$3&gt;=10</f>
        <v/>
      </c>
      <c r="D90">
        <f>IF(Skills!C19=1,60+Inputs!$B$25+Inputs!$B$29,IF(Skills!C19=2,90+Inputs!$B$26+Inputs!$B$29,IF(Skills!C19=3,120+Inputs!$B$27+Inputs!$B$29,MAX(0,(Inputs!$B$3-100)*3)+Inputs!$B$28+Inputs!$B$29)))</f>
        <v/>
      </c>
      <c r="E90">
        <f>INDEX(FactorTable!$B$2:$Y$301, MATCH(ROUND(MIN(300,MAX(1,D90)),0), FactorTable!$A$2:$A$301,0), Skills!M19+1)</f>
        <v/>
      </c>
      <c r="F90">
        <f>IF(Skills!N19=TRUE,(Skills!L19/10)*(E90/1000),Skills!L19/10)+Skills!O19</f>
        <v/>
      </c>
      <c r="G90">
        <f>Skills!G19*IF(Skills!H19&gt;0,INT(IF(Inputs!$B$38="pvp",MIN(Skills!I19,15),Skills!I19)/Skills!H19+0.000000001),1)</f>
        <v/>
      </c>
      <c r="H90">
        <f>1-(1-Skills!J19/100)^Skills!K19</f>
        <v/>
      </c>
      <c r="I90" t="inlineStr">
        <is>
          <t>1</t>
        </is>
      </c>
      <c r="J90" t="inlineStr"/>
      <c r="K90" t="inlineStr"/>
      <c r="L90" t="inlineStr"/>
      <c r="M90" t="inlineStr"/>
      <c r="N90" t="inlineStr"/>
      <c r="O90">
        <f>(1-Summary!$B$11)*T90+Summary!$B$11*V90</f>
        <v/>
      </c>
      <c r="P90">
        <f>IF(B112=0,0,O90/B112)</f>
        <v/>
      </c>
      <c r="Q90" t="n">
        <v>0</v>
      </c>
      <c r="R90" t="n">
        <v>0</v>
      </c>
      <c r="S90">
        <f>IFERROR(O90/N90,0)</f>
        <v/>
      </c>
      <c r="T90" t="n">
        <v>0</v>
      </c>
      <c r="V90" t="n">
        <v>0</v>
      </c>
    </row>
    <row r="91">
      <c r="A91">
        <f>Skills!A20</f>
        <v/>
      </c>
      <c r="B91">
        <f>Skills!B20</f>
        <v/>
      </c>
      <c r="C91">
        <f>Inputs!$B$3&gt;=15</f>
        <v/>
      </c>
      <c r="D91">
        <f>IF(Skills!C20=1,60+Inputs!$B$25+Inputs!$B$29,IF(Skills!C20=2,90+Inputs!$B$26+Inputs!$B$29,IF(Skills!C20=3,120+Inputs!$B$27+Inputs!$B$29,MAX(0,(Inputs!$B$3-100)*3)+Inputs!$B$28+Inputs!$B$29)))</f>
        <v/>
      </c>
      <c r="E91">
        <f>INDEX(FactorTable!$B$2:$Y$301, MATCH(ROUND(MIN(300,MAX(1,D91)),0), FactorTable!$A$2:$A$301,0), Skills!M20+1)</f>
        <v/>
      </c>
      <c r="F91">
        <f>IF(Skills!N20=TRUE,(Skills!L20/10)*(E91/1000),Skills!L20/10)+Skills!O20</f>
        <v/>
      </c>
      <c r="G91">
        <f>Skills!G20*IF(Skills!H20&gt;0,INT(IF(Inputs!$B$38="pvp",MIN(Skills!I20,15),Skills!I20)/Skills!H20+0.000000001),1)</f>
        <v/>
      </c>
      <c r="H91">
        <f>1-(1-Skills!J20/100)^Skills!K20</f>
        <v/>
      </c>
      <c r="I91" t="inlineStr">
        <is>
          <t>1</t>
        </is>
      </c>
      <c r="J91" t="inlineStr"/>
      <c r="K91" t="inlineStr"/>
      <c r="L91" t="inlineStr"/>
      <c r="M91" t="inlineStr"/>
      <c r="N91" t="inlineStr"/>
      <c r="O91">
        <f>(1-Summary!$B$11)*T91+Summary!$B$11*V91</f>
        <v/>
      </c>
      <c r="P91">
        <f>IF(B112=0,0,O91/B112)</f>
        <v/>
      </c>
      <c r="Q91" t="n">
        <v>0</v>
      </c>
      <c r="R91" t="n">
        <v>0</v>
      </c>
      <c r="S91">
        <f>IFERROR(O91/N91,0)</f>
        <v/>
      </c>
      <c r="T91" t="n">
        <v>0</v>
      </c>
      <c r="V91" t="n">
        <v>0</v>
      </c>
    </row>
    <row r="92">
      <c r="A92">
        <f>Skills!A21</f>
        <v/>
      </c>
      <c r="B92">
        <f>Skills!B21</f>
        <v/>
      </c>
      <c r="C92">
        <f>Inputs!$B$3&gt;=40</f>
        <v/>
      </c>
      <c r="D92">
        <f>IF(Skills!C21=1,60+Inputs!$B$25+Inputs!$B$29,IF(Skills!C21=2,90+Inputs!$B$26+Inputs!$B$29,IF(Skills!C21=3,120+Inputs!$B$27+Inputs!$B$29,MAX(0,(Inputs!$B$3-100)*3)+Inputs!$B$28+Inputs!$B$29)))</f>
        <v/>
      </c>
      <c r="E92">
        <f>INDEX(FactorTable!$B$2:$Y$301, MATCH(ROUND(MIN(300,MAX(1,D92)),0), FactorTable!$A$2:$A$301,0), Skills!M21+1)</f>
        <v/>
      </c>
      <c r="F92">
        <f>IF(Skills!N21=TRUE,(Skills!L21/10)*(E92/1000),Skills!L21/10)+Skills!O21</f>
        <v/>
      </c>
      <c r="G92">
        <f>Skills!G21*IF(Skills!H21&gt;0,INT(IF(Inputs!$B$38="pvp",MIN(Skills!I21,15),Skills!I21)/Skills!H21+0.000000001),1)</f>
        <v/>
      </c>
      <c r="H92">
        <f>1-(1-Skills!J21/100)^Skills!K21</f>
        <v/>
      </c>
      <c r="I92" t="inlineStr">
        <is>
          <t>1</t>
        </is>
      </c>
      <c r="J92" t="inlineStr"/>
      <c r="K92" t="inlineStr"/>
      <c r="L92" t="inlineStr"/>
      <c r="M92" t="inlineStr"/>
      <c r="N92" t="inlineStr"/>
      <c r="O92">
        <f>(1-Summary!$B$11)*T92+Summary!$B$11*V92</f>
        <v/>
      </c>
      <c r="P92">
        <f>IF(B112=0,0,O92/B112)</f>
        <v/>
      </c>
      <c r="Q92" t="n">
        <v>0</v>
      </c>
      <c r="R92" t="n">
        <v>0</v>
      </c>
      <c r="S92">
        <f>IFERROR(O92/N92,0)</f>
        <v/>
      </c>
      <c r="T92" t="n">
        <v>0</v>
      </c>
      <c r="V92" t="n">
        <v>0</v>
      </c>
    </row>
    <row r="93">
      <c r="A93">
        <f>Skills!A22</f>
        <v/>
      </c>
      <c r="B93">
        <f>Skills!B22</f>
        <v/>
      </c>
      <c r="C93">
        <f>Inputs!$B$3&gt;=43</f>
        <v/>
      </c>
      <c r="D93">
        <f>IF(Skills!C22=1,60+Inputs!$B$25+Inputs!$B$29,IF(Skills!C22=2,90+Inputs!$B$26+Inputs!$B$29,IF(Skills!C22=3,120+Inputs!$B$27+Inputs!$B$29,MAX(0,(Inputs!$B$3-100)*3)+Inputs!$B$28+Inputs!$B$29)))</f>
        <v/>
      </c>
      <c r="E93">
        <f>INDEX(FactorTable!$B$2:$Y$301, MATCH(ROUND(MIN(300,MAX(1,D93)),0), FactorTable!$A$2:$A$301,0), Skills!M22+1)</f>
        <v/>
      </c>
      <c r="F93">
        <f>IF(Skills!N22=TRUE,(Skills!L22/10)*(E93/1000),Skills!L22/10)+Skills!O22</f>
        <v/>
      </c>
      <c r="G93">
        <f>Skills!G22*IF(Skills!H22&gt;0,INT(IF(Inputs!$B$38="pvp",MIN(Skills!I22,15),Skills!I22)/Skills!H22+0.000000001),1)</f>
        <v/>
      </c>
      <c r="H93">
        <f>1-(1-Skills!J22/100)^Skills!K22</f>
        <v/>
      </c>
      <c r="I93" t="inlineStr">
        <is>
          <t>1</t>
        </is>
      </c>
      <c r="J93" t="inlineStr"/>
      <c r="K93" t="inlineStr"/>
      <c r="L93" t="inlineStr"/>
      <c r="M93" t="inlineStr"/>
      <c r="N93" t="inlineStr"/>
      <c r="O93">
        <f>(1-Summary!$B$11)*T93+Summary!$B$11*V93</f>
        <v/>
      </c>
      <c r="P93">
        <f>IF(B112=0,0,O93/B112)</f>
        <v/>
      </c>
      <c r="Q93" t="n">
        <v>0</v>
      </c>
      <c r="R93" t="n">
        <v>0</v>
      </c>
      <c r="S93">
        <f>IFERROR(O93/N93,0)</f>
        <v/>
      </c>
      <c r="T93" t="n">
        <v>0</v>
      </c>
      <c r="V93" t="n">
        <v>0</v>
      </c>
    </row>
    <row r="94">
      <c r="A94">
        <f>Skills!A23</f>
        <v/>
      </c>
      <c r="B94">
        <f>Skills!B23</f>
        <v/>
      </c>
      <c r="C94">
        <f>Inputs!$B$3&gt;=38</f>
        <v/>
      </c>
      <c r="D94">
        <f>IF(Skills!C23=1,60+Inputs!$B$25+Inputs!$B$29,IF(Skills!C23=2,90+Inputs!$B$26+Inputs!$B$29,IF(Skills!C23=3,120+Inputs!$B$27+Inputs!$B$29,MAX(0,(Inputs!$B$3-100)*3)+Inputs!$B$28+Inputs!$B$29)))</f>
        <v/>
      </c>
      <c r="E94">
        <f>INDEX(FactorTable!$B$2:$Y$301, MATCH(ROUND(MIN(300,MAX(1,D94)),0), FactorTable!$A$2:$A$301,0), Skills!M23+1)</f>
        <v/>
      </c>
      <c r="F94">
        <f>IF(Skills!N23=TRUE,(Skills!L23/10)*(E94/1000),Skills!L23/10)+Skills!O23</f>
        <v/>
      </c>
      <c r="G94">
        <f>Skills!G23*IF(Skills!H23&gt;0,INT(IF(Inputs!$B$38="pvp",MIN(Skills!I23,15),Skills!I23)/Skills!H23+0.000000001),1)</f>
        <v/>
      </c>
      <c r="H94">
        <f>1-(1-Skills!J23/100)^Skills!K23</f>
        <v/>
      </c>
      <c r="I94" t="inlineStr">
        <is>
          <t>1</t>
        </is>
      </c>
      <c r="J94" t="inlineStr"/>
      <c r="K94" t="inlineStr"/>
      <c r="L94" t="inlineStr"/>
      <c r="M94" t="inlineStr"/>
      <c r="N94" t="inlineStr"/>
      <c r="O94">
        <f>(1-Summary!$B$11)*T94+Summary!$B$11*V94</f>
        <v/>
      </c>
      <c r="P94">
        <f>IF(B112=0,0,O94/B112)</f>
        <v/>
      </c>
      <c r="Q94" t="n">
        <v>0</v>
      </c>
      <c r="R94" t="n">
        <v>0</v>
      </c>
      <c r="S94">
        <f>IFERROR(O94/N94,0)</f>
        <v/>
      </c>
      <c r="T94" t="n">
        <v>0</v>
      </c>
      <c r="V94" t="n">
        <v>0</v>
      </c>
    </row>
    <row r="95">
      <c r="A95">
        <f>Skills!A24</f>
        <v/>
      </c>
      <c r="B95">
        <f>Skills!B24</f>
        <v/>
      </c>
      <c r="C95">
        <f>Inputs!$B$3&gt;=45</f>
        <v/>
      </c>
      <c r="D95">
        <f>IF(Skills!C24=1,60+Inputs!$B$25+Inputs!$B$29,IF(Skills!C24=2,90+Inputs!$B$26+Inputs!$B$29,IF(Skills!C24=3,120+Inputs!$B$27+Inputs!$B$29,MAX(0,(Inputs!$B$3-100)*3)+Inputs!$B$28+Inputs!$B$29)))</f>
        <v/>
      </c>
      <c r="E95">
        <f>INDEX(FactorTable!$B$2:$Y$301, MATCH(ROUND(MIN(300,MAX(1,D95)),0), FactorTable!$A$2:$A$301,0), Skills!M24+1)</f>
        <v/>
      </c>
      <c r="F95">
        <f>IF(Skills!N24=TRUE,(Skills!L24/10)*(E95/1000),Skills!L24/10)+Skills!O24</f>
        <v/>
      </c>
      <c r="G95">
        <f>Skills!G24*IF(Skills!H24&gt;0,INT(IF(Inputs!$B$38="pvp",MIN(Skills!I24,15),Skills!I24)/Skills!H24+0.000000001),1)</f>
        <v/>
      </c>
      <c r="H95">
        <f>1-(1-Skills!J24/100)^Skills!K24</f>
        <v/>
      </c>
      <c r="I95" t="inlineStr">
        <is>
          <t>1</t>
        </is>
      </c>
      <c r="J95" t="inlineStr"/>
      <c r="K95" t="inlineStr"/>
      <c r="L95" t="inlineStr"/>
      <c r="M95" t="inlineStr"/>
      <c r="N95" t="inlineStr"/>
      <c r="O95">
        <f>(1-Summary!$B$11)*T95+Summary!$B$11*V95</f>
        <v/>
      </c>
      <c r="P95">
        <f>IF(B112=0,0,O95/B112)</f>
        <v/>
      </c>
      <c r="Q95" t="n">
        <v>0</v>
      </c>
      <c r="R95" t="n">
        <v>0</v>
      </c>
      <c r="S95">
        <f>IFERROR(O95/N95,0)</f>
        <v/>
      </c>
      <c r="T95" t="n">
        <v>0</v>
      </c>
      <c r="V95" t="n">
        <v>0</v>
      </c>
    </row>
    <row r="96">
      <c r="A96">
        <f>Skills!A25</f>
        <v/>
      </c>
      <c r="B96">
        <f>Skills!B25</f>
        <v/>
      </c>
      <c r="C96">
        <f>Inputs!$B$3&gt;=72</f>
        <v/>
      </c>
      <c r="D96">
        <f>IF(Skills!C25=1,60+Inputs!$B$25+Inputs!$B$29,IF(Skills!C25=2,90+Inputs!$B$26+Inputs!$B$29,IF(Skills!C25=3,120+Inputs!$B$27+Inputs!$B$29,MAX(0,(Inputs!$B$3-100)*3)+Inputs!$B$28+Inputs!$B$29)))</f>
        <v/>
      </c>
      <c r="E96">
        <f>INDEX(FactorTable!$B$2:$Y$301, MATCH(ROUND(MIN(300,MAX(1,D96)),0), FactorTable!$A$2:$A$301,0), Skills!M25+1)</f>
        <v/>
      </c>
      <c r="F96">
        <f>IF(Skills!N25=TRUE,(Skills!L25/10)*(E96/1000),Skills!L25/10)+Skills!O25</f>
        <v/>
      </c>
      <c r="G96">
        <f>Skills!G25*IF(Skills!H25&gt;0,INT(IF(Inputs!$B$38="pvp",MIN(Skills!I25,15),Skills!I25)/Skills!H25+0.000000001),1)</f>
        <v/>
      </c>
      <c r="H96">
        <f>1-(1-Skills!J25/100)^Skills!K25</f>
        <v/>
      </c>
      <c r="I96" t="inlineStr">
        <is>
          <t>1</t>
        </is>
      </c>
      <c r="J96" t="inlineStr"/>
      <c r="K96" t="inlineStr"/>
      <c r="L96" t="inlineStr"/>
      <c r="M96" t="inlineStr"/>
      <c r="N96" t="inlineStr"/>
      <c r="O96">
        <f>(1-Summary!$B$11)*T96+Summary!$B$11*V96</f>
        <v/>
      </c>
      <c r="P96">
        <f>IF(B112=0,0,O96/B112)</f>
        <v/>
      </c>
      <c r="Q96" t="n">
        <v>0</v>
      </c>
      <c r="R96" t="n">
        <v>0</v>
      </c>
      <c r="S96">
        <f>IFERROR(O96/N96,0)</f>
        <v/>
      </c>
      <c r="T96" t="n">
        <v>0</v>
      </c>
      <c r="V96" t="n">
        <v>0</v>
      </c>
    </row>
    <row r="97">
      <c r="A97">
        <f>Skills!A26</f>
        <v/>
      </c>
      <c r="B97">
        <f>Skills!B26</f>
        <v/>
      </c>
      <c r="C97">
        <f>Inputs!$B$3&gt;=75</f>
        <v/>
      </c>
      <c r="D97">
        <f>IF(Skills!C26=1,60+Inputs!$B$25+Inputs!$B$29,IF(Skills!C26=2,90+Inputs!$B$26+Inputs!$B$29,IF(Skills!C26=3,120+Inputs!$B$27+Inputs!$B$29,MAX(0,(Inputs!$B$3-100)*3)+Inputs!$B$28+Inputs!$B$29)))</f>
        <v/>
      </c>
      <c r="E97">
        <f>INDEX(FactorTable!$B$2:$Y$301, MATCH(ROUND(MIN(300,MAX(1,D97)),0), FactorTable!$A$2:$A$301,0), Skills!M26+1)</f>
        <v/>
      </c>
      <c r="F97">
        <f>IF(Skills!N26=TRUE,(Skills!L26/10)*(E97/1000),Skills!L26/10)+Skills!O26</f>
        <v/>
      </c>
      <c r="G97">
        <f>Skills!G26*IF(Skills!H26&gt;0,INT(IF(Inputs!$B$38="pvp",MIN(Skills!I26,15),Skills!I26)/Skills!H26+0.000000001),1)</f>
        <v/>
      </c>
      <c r="H97">
        <f>1-(1-Skills!J26/100)^Skills!K26</f>
        <v/>
      </c>
      <c r="I97" t="inlineStr">
        <is>
          <t>1</t>
        </is>
      </c>
      <c r="J97" t="inlineStr"/>
      <c r="K97" t="inlineStr"/>
      <c r="L97" t="inlineStr"/>
      <c r="M97" t="inlineStr"/>
      <c r="N97" t="inlineStr"/>
      <c r="O97">
        <f>(1-Summary!$B$11)*T97+Summary!$B$11*V97</f>
        <v/>
      </c>
      <c r="P97">
        <f>IF(B112=0,0,O97/B112)</f>
        <v/>
      </c>
      <c r="Q97" t="n">
        <v>0</v>
      </c>
      <c r="R97" t="n">
        <v>0</v>
      </c>
      <c r="S97">
        <f>IFERROR(O97/N97,0)</f>
        <v/>
      </c>
      <c r="T97" t="n">
        <v>0</v>
      </c>
      <c r="V97" t="n">
        <v>0</v>
      </c>
    </row>
    <row r="98">
      <c r="A98">
        <f>Skills!A27</f>
        <v/>
      </c>
      <c r="B98">
        <f>Skills!B27</f>
        <v/>
      </c>
      <c r="C98">
        <f>Inputs!$B$3&gt;=125</f>
        <v/>
      </c>
      <c r="D98">
        <f>IF(Skills!C27=1,60+Inputs!$B$25+Inputs!$B$29,IF(Skills!C27=2,90+Inputs!$B$26+Inputs!$B$29,IF(Skills!C27=3,120+Inputs!$B$27+Inputs!$B$29,MAX(0,(Inputs!$B$3-100)*3)+Inputs!$B$28+Inputs!$B$29)))</f>
        <v/>
      </c>
      <c r="E98">
        <f>INDEX(FactorTable!$B$2:$Y$301, MATCH(ROUND(MIN(300,MAX(1,D98)),0), FactorTable!$A$2:$A$301,0), Skills!M27+1)</f>
        <v/>
      </c>
      <c r="F98">
        <f>IF(Skills!N27=TRUE,(Skills!L27/10)*(E98/1000),Skills!L27/10)+Skills!O27</f>
        <v/>
      </c>
      <c r="G98">
        <f>Skills!G27*IF(Skills!H27&gt;0,INT(IF(Inputs!$B$38="pvp",MIN(Skills!I27,15),Skills!I27)/Skills!H27+0.000000001),1)</f>
        <v/>
      </c>
      <c r="H98">
        <f>1-(1-Skills!J27/100)^Skills!K27</f>
        <v/>
      </c>
      <c r="I98" t="inlineStr">
        <is>
          <t>1</t>
        </is>
      </c>
      <c r="J98" t="inlineStr"/>
      <c r="K98" t="inlineStr"/>
      <c r="L98" t="inlineStr"/>
      <c r="M98" t="inlineStr"/>
      <c r="N98" t="inlineStr"/>
      <c r="O98">
        <f>(1-Summary!$B$11)*T98+Summary!$B$11*V98</f>
        <v/>
      </c>
      <c r="P98">
        <f>IF(B112=0,0,O98/B112)</f>
        <v/>
      </c>
      <c r="Q98" t="n">
        <v>0</v>
      </c>
      <c r="R98" t="n">
        <v>0</v>
      </c>
      <c r="S98">
        <f>IFERROR(O98/N98,0)</f>
        <v/>
      </c>
      <c r="T98" t="n">
        <v>0</v>
      </c>
      <c r="V98" t="n">
        <v>0</v>
      </c>
    </row>
    <row r="99">
      <c r="A99">
        <f>Skills!A28</f>
        <v/>
      </c>
      <c r="B99">
        <f>Skills!B28</f>
        <v/>
      </c>
      <c r="C99">
        <f>TRUE</f>
        <v/>
      </c>
      <c r="D99">
        <f>IF(Skills!C28=1,60+Inputs!$B$25+Inputs!$B$29,IF(Skills!C28=2,90+Inputs!$B$26+Inputs!$B$29,IF(Skills!C28=3,120+Inputs!$B$27+Inputs!$B$29,MAX(0,(Inputs!$B$3-100)*3)+Inputs!$B$28+Inputs!$B$29)))</f>
        <v/>
      </c>
      <c r="E99">
        <f>INDEX(FactorTable!$B$2:$Y$301, MATCH(ROUND(MIN(300,MAX(1,D99)),0), FactorTable!$A$2:$A$301,0), Skills!M28+1)</f>
        <v/>
      </c>
      <c r="F99">
        <f>IF(Skills!N28=TRUE,(Skills!L28/10)*(E99/1000),Skills!L28/10)+Skills!O28</f>
        <v/>
      </c>
      <c r="G99">
        <f>Skills!G28*IF(Skills!H28&gt;0,INT(IF(Inputs!$B$38="pvp",MIN(Skills!I28,15),Skills!I28)/Skills!H28+0.000000001),1)</f>
        <v/>
      </c>
      <c r="H99">
        <f>1-(1-Skills!J28/100)^Skills!K28</f>
        <v/>
      </c>
      <c r="I99" t="inlineStr">
        <is>
          <t>1</t>
        </is>
      </c>
      <c r="J99" t="inlineStr"/>
      <c r="K99" t="inlineStr"/>
      <c r="L99" t="inlineStr"/>
      <c r="M99" t="inlineStr"/>
      <c r="N99" t="inlineStr"/>
      <c r="O99">
        <f>(1-Summary!$B$11)*T99+Summary!$B$11*V99</f>
        <v/>
      </c>
      <c r="P99">
        <f>IF(B112=0,0,O99/B112)</f>
        <v/>
      </c>
      <c r="Q99">
        <f>IFERROR(1/(IF(Inputs!$B$38="pvp",15,MAX(0.1,Skills!D28-IF(TRUE=TRUE,Inputs!$B$32,0)))*(1-IF(AND(ArtifactsInput!$M$27,Inputs!$B$4="Chapter Hunt"),CHOOSE(ArtifactsInput!$N$27+1,20,24,28,32,36,40),0)/100)),0)</f>
        <v/>
      </c>
      <c r="R99">
        <f>IF(AND(Inputs!$B$38&lt;&gt;"pvp",Inputs!$B$43&gt;0),IF(Inputs!$B$43&lt;=0,0,(INT(Inputs!$B$43/(IF(Inputs!$B$38="pvp",15,MAX(0.1,Skills!D28-IF(TRUE=TRUE,Inputs!$B$32,0)))*(1-IF(AND(ArtifactsInput!$M$27,Inputs!$B$4="Chapter Hunt"),CHOOSE(ArtifactsInput!$N$27+1,20,24,28,32,36,40),0)/100)))+1)),0)</f>
        <v/>
      </c>
      <c r="S99">
        <f>IFERROR(O99/N99,0)</f>
        <v/>
      </c>
      <c r="T99" t="n">
        <v>0</v>
      </c>
      <c r="V99" t="n">
        <v>0</v>
      </c>
    </row>
    <row r="101">
      <c r="A101" t="inlineStr">
        <is>
          <t>Attack% Bucket Multiplier</t>
        </is>
      </c>
      <c r="B101">
        <f>(1+(((C88=TRUE)*F88*5/7)+((C95=TRUE)*(F95-Calc!F24))+(IF(ArtifactsInput!$M$21,CHOOSE(ArtifactsInput!$N$21+1,25,30,35,40,45,50)*(IF(OR(Inputs!$B$4="Chapter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02">
      <c r="A102" t="inlineStr">
        <is>
          <t>Global Crit Rate Bonus %</t>
        </is>
      </c>
      <c r="B102" t="n">
        <v>0</v>
      </c>
    </row>
    <row r="103">
      <c r="A103" t="inlineStr">
        <is>
          <t>Attack Speed Buff Bonus % (Nimble Feet, duty-cycle averaged)</t>
        </is>
      </c>
      <c r="B103">
        <f>((C99=TRUE)*F99*IF(AND(Inputs!$B$38&lt;&gt;"pvp",Inputs!$B$43&gt;0),(((R99-1)*MIN((Skills!T28*(1+Inputs!$B$34/100)),(1/Q99))+MIN((Skills!T28*(1+Inputs!$B$34/100)),MAX(0,Inputs!$B$43-((R99-1)*(1/Q99)))))/Inputs!$B$43),IF(Inputs!$B$38="pvp",MIN((Skills!T28*(1+Inputs!$B$34/100)),15)/15,MIN(1,(Skills!T28*(1+Inputs!$B$34/100))/(1/Q99)))))</f>
        <v/>
      </c>
    </row>
    <row r="104">
      <c r="A104" t="inlineStr">
        <is>
          <t>Actions Per Second</t>
        </is>
      </c>
      <c r="B104">
        <f>1+MIN(150,150*(1-(1-(Inputs!$B$11+((C91=TRUE)*(F91-Calc!F20))+((C92=TRUE)*(F92-Calc!F21)))/150)*(1-B103/150)))/100</f>
        <v/>
      </c>
    </row>
    <row r="105">
      <c r="A105" t="inlineStr">
        <is>
          <t>Skill + Buff Cast Rate</t>
        </is>
      </c>
      <c r="B105">
        <f>IF(AND(Inputs!$B$38&lt;&gt;"pvp",Inputs!$B$43&gt;0),SUMPRODUCT((Skills!E2:E28=TRUE)*(C73:C99=TRUE)*R73:R99*Skills!F2:F28)/Inputs!$B$43,SUMPRODUCT((Skills!E2:E28=TRUE)*(C73:C99=TRUE)*Q73:Q99*Skills!F2:F28))</f>
        <v/>
      </c>
    </row>
    <row r="106">
      <c r="A106" t="inlineStr">
        <is>
          <t>Eight-Legs Easton Casts Per Second</t>
        </is>
      </c>
      <c r="B106">
        <f>MAX(0,B104-B105)</f>
        <v/>
      </c>
    </row>
    <row r="107">
      <c r="A107" t="inlineStr">
        <is>
          <t>Global Critical Damage Bonus % (unused)</t>
        </is>
      </c>
      <c r="B107" t="n">
        <v>0</v>
      </c>
    </row>
    <row r="108">
      <c r="A108" t="inlineStr">
        <is>
          <t>Global Final Damage Bonus % (Jolly Roger + Ahoy Mateys - Final Damage proc)</t>
        </is>
      </c>
      <c r="B108">
        <f>((C89=TRUE)*F89*IF(AND(Inputs!$B$38&lt;&gt;"pvp",Inputs!$B$43&gt;0),(((R89-1)*MIN((Skills!T18*(1+Inputs!$B$34/100)),(1/Q89))+MIN((Skills!T18*(1+Inputs!$B$34/100)),MAX(0,Inputs!$B$43-((R89-1)*(1/Q89)))))/Inputs!$B$43),IF(Inputs!$B$38="pvp",MIN((Skills!T18*(1+Inputs!$B$34/100)),15)/15,MIN(1,(Skills!T18*(1+Inputs!$B$34/100))/(1/Q89)))))+IF(Inputs!$B$3&gt;=122,20*IF(Inputs!$B$38="pvp",MIN((20*(1+Inputs!$B$34/100)),15)/15,MIN(1,(20*(1+Inputs!$B$34/100))/(1/Q75))),0)</f>
        <v/>
      </c>
    </row>
    <row r="109">
      <c r="A109" t="inlineStr">
        <is>
          <t>Buff-Casting Startup Delay (s, fixed-duration only)</t>
        </is>
      </c>
      <c r="B109">
        <f>IF(AND(Inputs!$B$38&lt;&gt;"pvp",Inputs!$B$43&gt;0),SUMPRODUCT((Skills!T2:T28&gt;0)*(Skills!E2:E28=TRUE)*(C73:C99=TRUE))/B104,0)</f>
        <v/>
      </c>
    </row>
    <row r="110">
      <c r="A110" t="inlineStr">
        <is>
          <t>Boss-Only Total DPS (this block's swept value)</t>
        </is>
      </c>
      <c r="B110">
        <f>SUM(T73:T99)</f>
        <v/>
      </c>
    </row>
    <row r="111">
      <c r="A111" t="inlineStr">
        <is>
          <t>Normal-Only Total DPS (this block's swept value)</t>
        </is>
      </c>
      <c r="B111">
        <f>SUM(V73:V99)</f>
        <v/>
      </c>
    </row>
    <row r="112">
      <c r="A112" s="6" t="inlineStr">
        <is>
          <t>TOTAL DPS</t>
        </is>
      </c>
      <c r="B112" s="6">
        <f>SUM(O73:O99)</f>
        <v/>
      </c>
    </row>
    <row r="113">
      <c r="A113" t="inlineStr">
        <is>
          <t>Quickdraw cooldown divisor (this block's own APS / Q)</t>
        </is>
      </c>
      <c r="B113">
        <f>IF(AND(C98=TRUE,Inputs!$B$38&lt;&gt;"pvp"),1+0.25*MAX(0,(B104-(((C74=TRUE)*Q74*1)+((C75=TRUE)*Q75*1)+((C77=TRUE)*Q77*1)+((C78=TRUE)*Q78*1)+((C80=TRUE)*Q80*1)+((C83=TRUE)*Q83*1)+((C89=TRUE)*Q89*1)+((C99=TRUE)*Q99*1))-((C79=TRUE)/(IF(Inputs!$B$38="pvp",15,MAX(0.1,Skills!D8-IF(TRUE=TRUE,Inputs!$B$32,0)))*(1-IF(AND(ArtifactsInput!$M$27,Inputs!$B$4="Chapter Hunt"),CHOOSE(ArtifactsInput!$N$27+1,20,24,28,32,36,40),0)/100))+(C82=TRUE)/(IF(Inputs!$B$38="pvp",15,MAX(0.1,Skills!D11-IF(TRUE=TRUE,Inputs!$B$32,0)))*(1-IF(AND(ArtifactsInput!$M$27,Inputs!$B$4="Chapter Hunt"),CHOOSE(ArtifactsInput!$N$27+1,20,24,28,32,36,40),0)/100))))/(1+0.25*((C79=TRUE)/(IF(Inputs!$B$38="pvp",15,MAX(0.1,Skills!D8-IF(TRUE=TRUE,Inputs!$B$32,0)))*(1-IF(AND(ArtifactsInput!$M$27,Inputs!$B$4="Chapter Hunt"),CHOOSE(ArtifactsInput!$N$27+1,20,24,28,32,36,40),0)/100))+(C82=TRUE)/(IF(Inputs!$B$38="pvp",15,MAX(0.1,Skills!D11-IF(TRUE=TRUE,Inputs!$B$32,0)))*(1-IF(AND(ArtifactsInput!$M$27,Inputs!$B$4="Chapter Hunt"),CHOOSE(ArtifactsInput!$N$27+1,20,24,28,32,36,40),0)/100))))),1)</f>
        <v/>
      </c>
    </row>
    <row r="114">
      <c r="A114" t="inlineStr">
        <is>
          <t>Nautilus Strike - Final Attack trigger rate (this block's own Q/R)</t>
        </is>
      </c>
      <c r="B114">
        <f>IF(AND(Inputs!$B$38&lt;&gt;"pvp",Inputs!$B$43&gt;0),(((C74=TRUE)*R74)+((C77=TRUE)*R77)+((C79=TRUE)*R79)+((C80=TRUE)*R80)+((C82=TRUE)*R82))/Inputs!$B$43,((C74=TRUE)*Q74)+((C77=TRUE)*Q77)+((C79=TRUE)*Q79)+((C80=TRUE)*Q80)+((C82=TRUE)*Q82))+B106</f>
        <v/>
      </c>
    </row>
    <row r="117">
      <c r="A117" s="6" t="inlineStr">
        <is>
          <t>Stat: DEX %</t>
        </is>
      </c>
    </row>
    <row r="118">
      <c r="A118" s="5" t="inlineStr">
        <is>
          <t>Key</t>
        </is>
      </c>
      <c r="B118" s="5" t="inlineStr">
        <is>
          <t>Name</t>
        </is>
      </c>
      <c r="C118" s="5" t="inlineStr">
        <is>
          <t>Unlocked</t>
        </is>
      </c>
      <c r="D118" s="5" t="inlineStr">
        <is>
          <t>InputLevel</t>
        </is>
      </c>
      <c r="E118" s="5" t="inlineStr">
        <is>
          <t>Factor</t>
        </is>
      </c>
      <c r="F118" s="5" t="inlineStr">
        <is>
          <t>CoefficientPercent</t>
        </is>
      </c>
      <c r="G118" s="5" t="inlineStr">
        <is>
          <t>EffectiveHits</t>
        </is>
      </c>
      <c r="H118" s="5" t="inlineStr">
        <is>
          <t>ProcProbability</t>
        </is>
      </c>
      <c r="I118" s="5" t="inlineStr">
        <is>
          <t>MapleHeroMultiplier</t>
        </is>
      </c>
      <c r="J118" s="5" t="inlineStr">
        <is>
          <t>BaseDamage</t>
        </is>
      </c>
      <c r="K118" s="5" t="inlineStr">
        <is>
          <t>BaseHitDamage</t>
        </is>
      </c>
      <c r="L118" s="5" t="inlineStr">
        <is>
          <t>NonCritAvg</t>
        </is>
      </c>
      <c r="M118" s="5" t="inlineStr">
        <is>
          <t>CritAvg</t>
        </is>
      </c>
      <c r="N118" s="5" t="inlineStr">
        <is>
          <t>ExpectedDamage(perHit)</t>
        </is>
      </c>
      <c r="O118" s="5" t="inlineStr">
        <is>
          <t>DPS</t>
        </is>
      </c>
      <c r="P118" s="5" t="inlineStr">
        <is>
          <t>% of Total</t>
        </is>
      </c>
      <c r="Q118" s="5" t="inlineStr">
        <is>
          <t>InvCooldown</t>
        </is>
      </c>
      <c r="R118" s="5" t="inlineStr">
        <is>
          <t>CastsInFight</t>
        </is>
      </c>
      <c r="S118" s="5" t="inlineStr">
        <is>
          <t>HitRate(perSec)</t>
        </is>
      </c>
      <c r="U118" t="inlineStr">
        <is>
          <t>helpers</t>
        </is>
      </c>
    </row>
    <row r="119">
      <c r="A119">
        <f>Skills!A2</f>
        <v/>
      </c>
      <c r="B119">
        <f>Skills!B2</f>
        <v/>
      </c>
      <c r="C119">
        <f>Inputs!$B$3&gt;=100</f>
        <v/>
      </c>
      <c r="D119" t="inlineStr"/>
      <c r="E119" t="inlineStr"/>
      <c r="F119">
        <f>U121+Skills!O2</f>
        <v/>
      </c>
      <c r="G119">
        <f>Skills!G2*IF(Skills!H2&gt;0,INT(IF(Inputs!$B$38="pvp",MIN(Skills!I2,15),Skills!I2)/Skills!H2+0.000000001),1)</f>
        <v/>
      </c>
      <c r="H119">
        <f>1-(1-Skills!J2/100)^Skills!K2</f>
        <v/>
      </c>
      <c r="I119" t="inlineStr">
        <is>
          <t>1</t>
        </is>
      </c>
      <c r="J119">
        <f>((Inputs!$B$6*(1+Inputs!$B$7/100))+(((Inputs!$B$12*(1+(Inputs!$B$13+1)/100))-(Inputs!$B$12*(1+Inputs!$B$13/100)))+0.25*(Inputs!$B$14-Inputs!$B$14))*(1+Inputs!$B$7/100))*(F119/100)</f>
        <v/>
      </c>
      <c r="K119">
        <f>J119*(1+((Inputs!$B$12*(1+(Inputs!$B$13+1)/100))*0.01+Inputs!$B$14*0.0025)/100)*(1+Inputs!$B$15/100)*(1+Inputs!$B$16/100)*(5000/(6000+Inputs!$B$42*(1-(100*(1-(1-(Inputs!$B$19+0)/100)*(1-CHOOSE(ArtifactsInput!$N$40+1,5,6,7,8,9,10)/100)^(ArtifactsInput!$M$40-ArtifactsInput!$M$40)))/100)))*(1+(Inputs!$B$24+((C143=TRUE)*(F143-Calc!F26))+B154)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IGHT_LEGS_EASTON",Inputs!$B$17+((C140=TRUE)*(F140-Calc!F23))+((C144=TRUE)*(F144-Calc!F27))+((IF(AND(Inputs!$B$38&lt;&gt;"pvp",Inputs!$B$43=0),1,IF(IF(Inputs!$B$38="pvp",15,Inputs!$B$43)-(B155)&lt;=0,1,MAX(0,IF(Inputs!$B$38="pvp",15,Inputs!$B$43)-MAX(5,B155))/(IF(Inputs!$B$38="pvp",15,Inputs!$B$43)-(B155))))*(IF(AND(ArtifactsInput!$M$42,((Inputs!$B$9+((C136=TRUE)*(F136-Calc!F19))+B148+(ArtifactsInput!$M$24-ArtifactsInput!$M$24)*CHOOSE(ArtifactsInput!$N$24+1,10,12,14,16,18,20)+IF(ArtifactsInput!$M$10,CHOOSE(ArtifactsInput!$N$10+1,15,18,21,24,27,30)*(IF(Inputs!$B$38="pvp",MIN(15,15)/15,IF(AND(Inputs!$B$38&lt;&gt;"pvp",Inputs!$B$43&gt;0),MIN(15,Inputs!$B$43)/(Inputs!$B$43),0))),0)))&gt;=100),MIN(100,((Inputs!$B$9+((C136=TRUE)*(F136-Calc!F19))+B148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155)&lt;=0,1,MAX(0,IF(Inputs!$B$38="pvp",15,Inputs!$B$43)-MAX(5,B155))/(IF(Inputs!$B$38="pvp",15,Inputs!$B$43)-(B155))))*IF(AND(ArtifactsInput!$M$42,((Inputs!$B$9+((C136=TRUE)*(F136-Calc!F19))+B148+(ArtifactsInput!$M$24-ArtifactsInput!$M$24)*CHOOSE(ArtifactsInput!$N$24+1,10,12,14,16,18,20)+IF(ArtifactsInput!$M$10,CHOOSE(ArtifactsInput!$N$10+1,15,18,21,24,27,30)*(IF(Inputs!$B$38="pvp",MIN(15,15)/15,IF(AND(Inputs!$B$38&lt;&gt;"pvp",Inputs!$B$43&gt;0),MIN(15,Inputs!$B$43)/(Inputs!$B$43),0))),0)))&gt;=100),CHOOSE(ArtifactsInput!$N$42+1,40,48,56,64,72,80),0))))/100)*((1+(((C134=TRUE)*F134*5/7)+((C141=TRUE)*(F141-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119)</f>
        <v/>
      </c>
      <c r="L119">
        <f>K119*(MIN(Inputs!$B$22+((C139=TRUE)*(F139-Calc!F22)),(Inputs!$B$23+0+(IF(ArtifactsInput!$M$15,CHOOSE(ArtifactsInput!$N$15+1,25,30,35,40,45,50)/100*(Inputs!$B$11-Inputs!$B$11),0))))/100+(Inputs!$B$23+0+(IF(ArtifactsInput!$M$15,CHOOSE(ArtifactsInput!$N$15+1,25,30,35,40,45,50)/100*(Inputs!$B$11-Inputs!$B$11),0)))/100)/2</f>
        <v/>
      </c>
      <c r="M119">
        <f>L119*(1+(Inputs!$B$10+((C142=TRUE)*(F142-Calc!F25))+B153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9">
        <f>L119*(1-MIN((Inputs!$B$9+((C136=TRUE)*(F136-Calc!F19))+B148+(ArtifactsInput!$M$24-ArtifactsInput!$M$24)*CHOOSE(ArtifactsInput!$N$24+1,10,12,14,16,18,20)+(IF(AND(Inputs!$B$38&lt;&gt;"pvp",Inputs!$B$43=0),1,IF(IF(Inputs!$B$38="pvp",15,Inputs!$B$43)-(B155)&lt;=0,1,MAX(0,IF(Inputs!$B$38="pvp",15,Inputs!$B$43)-MAX(5,B155))/(IF(Inputs!$B$38="pvp",15,Inputs!$B$43)-(B155))))*IF(AND(ArtifactsInput!$M$42,((Inputs!$B$9+((C136=TRUE)*(F136-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119*(MIN((Inputs!$B$9+((C136=TRUE)*(F136-Calc!F19))+B148+(ArtifactsInput!$M$24-ArtifactsInput!$M$24)*CHOOSE(ArtifactsInput!$N$24+1,10,12,14,16,18,20)+(IF(AND(Inputs!$B$38&lt;&gt;"pvp",Inputs!$B$43=0),1,IF(IF(Inputs!$B$38="pvp",15,Inputs!$B$43)-(B155)&lt;=0,1,MAX(0,IF(Inputs!$B$38="pvp",15,Inputs!$B$43)-MAX(5,B155))/(IF(Inputs!$B$38="pvp",15,Inputs!$B$43)-(B155))))*IF(AND(ArtifactsInput!$M$42,((Inputs!$B$9+((C136=TRUE)*(F136-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9">
        <f>(1-Summary!$B$11)*T119+Summary!$B$11*V119</f>
        <v/>
      </c>
      <c r="P119">
        <f>IF(B158=0,0,O119/B158)</f>
        <v/>
      </c>
      <c r="Q119" t="n">
        <v>0</v>
      </c>
      <c r="R119" t="n">
        <v>0</v>
      </c>
      <c r="S119">
        <f>IFERROR(O119/N119,0)</f>
        <v/>
      </c>
      <c r="T119">
        <f>IF(C119,(Skills!G2*N119*B152*(1+IF(C144=TRUE,1/3,0)))*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Hunt"),CHOOSE(ArtifactsInput!$N$35+1,15,18,21,24,27,30)*(1-EXP(-(0.2*B150)*5)),0)+IF(AND(ArtifactsInput!$M$22,Inputs!$B$4&lt;&gt;"Chapter Hunt"),CHOOSE(ArtifactsInput!$N$22+1,10,12,14,16,18,20)*((0*(((0.15*B150*5))^0/1)+1*(((0.15*B150*5))^1/1)+2*(((0.15*B150*5))^2/2)+3*(((0.15*B150*5))^3/6)+4*(((0.15*B150*5))^4/24)+5*(((0.15*B150*5))^5/120))/((((0.15*B150*5))^0/1)+(((0.15*B150*5))^1/1)+(((0.15*B150*5))^2/2)+(((0.15*B150*5))^3/6)+(((0.15*B150*5))^4/24)+(((0.15*B150*5))^5/120))),0))+IF(Inputs!$B$3&gt;=54,9*(C120=TRUE)*MIN(1,8*(1+Inputs!$B$34/100)*Q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119*(1-MIN(100,(Inputs!$B$9+((C136=TRUE)*(F136-Calc!F19))+B148+(ArtifactsInput!$M$24-ArtifactsInput!$M$24)*CHOOSE(ArtifactsInput!$N$24+1,10,12,14,16,18,20)+(IF(AND(Inputs!$B$38&lt;&gt;"pvp",Inputs!$B$43=0),1,IF(IF(Inputs!$B$38="pvp",15,Inputs!$B$43)-(B155)&lt;=0,1,MAX(0,IF(Inputs!$B$38="pvp",15,Inputs!$B$43)-MAX(5,B155))/(IF(Inputs!$B$38="pvp",15,Inputs!$B$43)-(B155))))*IF(AND(ArtifactsInput!$M$42,((Inputs!$B$9+((C136=TRUE)*(F136-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119*(MIN(100,(Inputs!$B$9+((C136=TRUE)*(F136-Calc!F19))+B148+(ArtifactsInput!$M$24-ArtifactsInput!$M$24)*CHOOSE(ArtifactsInput!$N$24+1,10,12,14,16,18,20)+(IF(AND(Inputs!$B$38&lt;&gt;"pvp",Inputs!$B$43=0),1,IF(IF(Inputs!$B$38="pvp",15,Inputs!$B$43)-(B155)&lt;=0,1,MAX(0,IF(Inputs!$B$38="pvp",15,Inputs!$B$43)-MAX(5,B155))/(IF(Inputs!$B$38="pvp",15,Inputs!$B$43)-(B155))))*IF(AND(ArtifactsInput!$M$42,((Inputs!$B$9+((C136=TRUE)*(F136-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119*(1-MIN(100,(Inputs!$B$9+((C136=TRUE)*(F136-Calc!F19))+B148+(ArtifactsInput!$M$24-ArtifactsInput!$M$24)*CHOOSE(ArtifactsInput!$N$24+1,10,12,14,16,18,20)+(IF(AND(Inputs!$B$38&lt;&gt;"pvp",Inputs!$B$43=0),1,IF(IF(Inputs!$B$38="pvp",15,Inputs!$B$43)-(B155)&lt;=0,1,MAX(0,IF(Inputs!$B$38="pvp",15,Inputs!$B$43)-MAX(5,B155))/(IF(Inputs!$B$38="pvp",15,Inputs!$B$43)-(B155))))*IF(AND(ArtifactsInput!$M$42,((Inputs!$B$9+((C136=TRUE)*(F136-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119*(MIN(100,(Inputs!$B$9+((C136=TRUE)*(F136-Calc!F19))+B148+(ArtifactsInput!$M$24-ArtifactsInput!$M$24)*CHOOSE(ArtifactsInput!$N$24+1,10,12,14,16,18,20)+(IF(AND(Inputs!$B$38&lt;&gt;"pvp",Inputs!$B$43=0),1,IF(IF(Inputs!$B$38="pvp",15,Inputs!$B$43)-(B155)&lt;=0,1,MAX(0,IF(Inputs!$B$38="pvp",15,Inputs!$B$43)-MAX(5,B155))/(IF(Inputs!$B$38="pvp",15,Inputs!$B$43)-(B155))))*IF(AND(ArtifactsInput!$M$42,((Inputs!$B$9+((C136=TRUE)*(F136-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19">
        <f>MAX(0,(Inputs!$B$3-100)*3)+Inputs!$B$28+Inputs!$B$29</f>
        <v/>
      </c>
      <c r="V119">
        <f>IF(C119,(Skills!G2*N119*B152*(1+IF(C144=TRUE,1/3,0)))*IF(Inputs!$B$38="pvp",1,(1+(Inputs!$B$21+Skills!Q2+(IF(ArtifactsInput!$M$33,CHOOSE(ArtifactsInput!$N$33+1,30,36,42,48,54,60),0))+(IF(AND(ArtifactsInput!$M$35,Inputs!$B$4&lt;&gt;"Chapter Hunt"),CHOOSE(ArtifactsInput!$N$35+1,15,18,21,24,27,30)*(1-EXP(-(0.2*B150)*5)),0)+IF(AND(ArtifactsInput!$M$22,Inputs!$B$4&lt;&gt;"Chapter Hunt"),CHOOSE(ArtifactsInput!$N$22+1,10,12,14,16,18,20)*((0*(((0.15*B150*5))^0/1)+1*(((0.15*B150*5))^1/1)+2*(((0.15*B150*5))^2/2)+3*(((0.15*B150*5))^3/6)+4*(((0.15*B150*5))^4/24)+5*(((0.15*B150*5))^5/120))/((((0.15*B150*5))^0/1)+(((0.15*B150*5))^1/1)+(((0.15*B150*5))^2/2)+(((0.15*B150*5))^3/6)+(((0.15*B150*5))^4/24)+(((0.15*B150*5))^5/120))),0))+IF(Inputs!$B$3&gt;=54,9*(C120=TRUE)*MIN(1,8*(1+Inputs!$B$34/100)*Q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0">
      <c r="A120">
        <f>Skills!A3</f>
        <v/>
      </c>
      <c r="B120">
        <f>Skills!B3</f>
        <v/>
      </c>
      <c r="C120">
        <f>Inputs!$B$3&gt;=33</f>
        <v/>
      </c>
      <c r="D120">
        <f>IF(Skills!C3=1,60+Inputs!$B$25+Inputs!$B$29,IF(Skills!C3=2,90+Inputs!$B$26+Inputs!$B$29,IF(Skills!C3=3,120+Inputs!$B$27+Inputs!$B$29,MAX(0,(Inputs!$B$3-100)*3)+Inputs!$B$28+Inputs!$B$29)))</f>
        <v/>
      </c>
      <c r="E120">
        <f>INDEX(FactorTable!$B$2:$Y$301, MATCH(ROUND(MIN(300,MAX(1,D120)),0), FactorTable!$A$2:$A$301,0), Skills!M3+1)</f>
        <v/>
      </c>
      <c r="F120">
        <f>IF(Skills!N3=TRUE,(Skills!L3/10)*(E120/1000),Skills!L3/10)+Skills!O3</f>
        <v/>
      </c>
      <c r="G120">
        <f>Skills!G3*IF(Skills!H3&gt;0,INT(IF(Inputs!$B$38="pvp",MIN(Skills!I3,15),Skills!I3)/Skills!H3+0.000000001),1)</f>
        <v/>
      </c>
      <c r="H120">
        <f>1-(1-Skills!J3/100)^Skills!K3</f>
        <v/>
      </c>
      <c r="I120" t="inlineStr">
        <is>
          <t>1</t>
        </is>
      </c>
      <c r="J120">
        <f>((Inputs!$B$6*(1+Inputs!$B$7/100))+(((Inputs!$B$12*(1+(Inputs!$B$13+1)/100))-(Inputs!$B$12*(1+Inputs!$B$13/100)))+0.25*(Inputs!$B$14-Inputs!$B$14))*(1+Inputs!$B$7/100))*(F120/100)</f>
        <v/>
      </c>
      <c r="K120">
        <f>J120*(1+((Inputs!$B$12*(1+(Inputs!$B$13+1)/100))*0.01+Inputs!$B$14*0.0025)/100)*(1+Inputs!$B$15/100)*(1+Inputs!$B$16/100)*(5000/(6000+Inputs!$B$42*(1-(100*(1-(1-(Inputs!$B$19+0)/100)*(1-CHOOSE(ArtifactsInput!$N$40+1,5,6,7,8,9,10)/100)^(ArtifactsInput!$M$40-ArtifactsInput!$M$40)))/100)))*(1+(Inputs!$B$24+((C143=TRUE)*(F143-Calc!F26))+B154)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132=TRUE,F132,0)/100)*(1+(IF(Skills!A3="EIGHT_LEGS_EASTON",Inputs!$B$17+((C140=TRUE)*(F140-Calc!F23))+((C144=TRUE)*(F144-Calc!F27))+((IF(AND(Inputs!$B$38&lt;&gt;"pvp",Inputs!$B$43=0),1,IF(IF(Inputs!$B$38="pvp",15,Inputs!$B$43)-(B155)&lt;=0,1,MAX(0,IF(Inputs!$B$38="pvp",15,Inputs!$B$43)-MAX(5,B155))/(IF(Inputs!$B$38="pvp",15,Inputs!$B$43)-(B155))))*(IF(AND(ArtifactsInput!$M$42,((Inputs!$B$9+((C136=TRUE)*(F136-Calc!F19))+B148+(ArtifactsInput!$M$24-ArtifactsInput!$M$24)*CHOOSE(ArtifactsInput!$N$24+1,10,12,14,16,18,20)+IF(ArtifactsInput!$M$10,CHOOSE(ArtifactsInput!$N$10+1,15,18,21,24,27,30)*(IF(Inputs!$B$38="pvp",MIN(15,15)/15,IF(AND(Inputs!$B$38&lt;&gt;"pvp",Inputs!$B$43&gt;0),MIN(15,Inputs!$B$43)/(Inputs!$B$43),0))),0)))&gt;=100),MIN(100,((Inputs!$B$9+((C136=TRUE)*(F136-Calc!F19))+B148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155)&lt;=0,1,MAX(0,IF(Inputs!$B$38="pvp",15,Inputs!$B$43)-MAX(5,B155))/(IF(Inputs!$B$38="pvp",15,Inputs!$B$43)-(B155))))*IF(AND(ArtifactsInput!$M$42,((Inputs!$B$9+((C136=TRUE)*(F136-Calc!F19))+B148+(ArtifactsInput!$M$24-ArtifactsInput!$M$24)*CHOOSE(ArtifactsInput!$N$24+1,10,12,14,16,18,20)+IF(ArtifactsInput!$M$10,CHOOSE(ArtifactsInput!$N$10+1,15,18,21,24,27,30)*(IF(Inputs!$B$38="pvp",MIN(15,15)/15,IF(AND(Inputs!$B$38&lt;&gt;"pvp",Inputs!$B$43&gt;0),MIN(15,Inputs!$B$43)/(Inputs!$B$43),0))),0)))&gt;=100),CHOOSE(ArtifactsInput!$N$42+1,40,48,56,64,72,80),0))))/100)*((1+(((C134=TRUE)*F134*5/7)+((C141=TRUE)*(F141-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120)</f>
        <v/>
      </c>
      <c r="L120">
        <f>K120*(MIN(Inputs!$B$22+((C139=TRUE)*(F139-Calc!F22)),(Inputs!$B$23+0+(IF(ArtifactsInput!$M$15,CHOOSE(ArtifactsInput!$N$15+1,25,30,35,40,45,50)/100*(Inputs!$B$11-Inputs!$B$11),0))))/100+(Inputs!$B$23+0+(IF(ArtifactsInput!$M$15,CHOOSE(ArtifactsInput!$N$15+1,25,30,35,40,45,50)/100*(Inputs!$B$11-Inputs!$B$11),0)))/100)/2</f>
        <v/>
      </c>
      <c r="M120">
        <f>L120*(1+(Inputs!$B$10+((C142=TRUE)*(F142-Calc!F25))+B153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0">
        <f>L120*(1-MIN((Inputs!$B$9+((C136=TRUE)*(F136-Calc!F19))+B148+(ArtifactsInput!$M$24-ArtifactsInput!$M$24)*CHOOSE(ArtifactsInput!$N$24+1,10,12,14,16,18,20)+(IF(AND(Inputs!$B$38&lt;&gt;"pvp",Inputs!$B$43=0),1,IF(IF(Inputs!$B$38="pvp",15,Inputs!$B$43)-(B155)&lt;=0,1,MAX(0,IF(Inputs!$B$38="pvp",15,Inputs!$B$43)-MAX(5,B155))/(IF(Inputs!$B$38="pvp",15,Inputs!$B$43)-(B155))))*IF(AND(ArtifactsInput!$M$42,((Inputs!$B$9+((C136=TRUE)*(F136-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120*(MIN((Inputs!$B$9+((C136=TRUE)*(F136-Calc!F19))+B148+(ArtifactsInput!$M$24-ArtifactsInput!$M$24)*CHOOSE(ArtifactsInput!$N$24+1,10,12,14,16,18,20)+(IF(AND(Inputs!$B$38&lt;&gt;"pvp",Inputs!$B$43=0),1,IF(IF(Inputs!$B$38="pvp",15,Inputs!$B$43)-(B155)&lt;=0,1,MAX(0,IF(Inputs!$B$38="pvp",15,Inputs!$B$43)-MAX(5,B155))/(IF(Inputs!$B$38="pvp",15,Inputs!$B$43)-(B155))))*IF(AND(ArtifactsInput!$M$42,((Inputs!$B$9+((C136=TRUE)*(F136-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0">
        <f>(1-Summary!$B$11)*T120+Summary!$B$11*V120</f>
        <v/>
      </c>
      <c r="P120">
        <f>IF(B158=0,0,O120/B158)</f>
        <v/>
      </c>
      <c r="Q120">
        <f>IFERROR(1/(IF(Inputs!$B$38="pvp",15,MAX(0.1,Skills!D3-IF(TRUE=TRUE,Inputs!$B$32,0)))*(1-IF(AND(ArtifactsInput!$M$27,Inputs!$B$4="Chapter Hunt"),CHOOSE(ArtifactsInput!$N$27+1,20,24,28,32,36,40),0)/100)),0)</f>
        <v/>
      </c>
      <c r="R120">
        <f>IF(AND(Inputs!$B$38&lt;&gt;"pvp",Inputs!$B$43&gt;0),IF(MAX(0,Inputs!$B$43-B155)&lt;=0,0,(INT(MAX(0,Inputs!$B$43-B155)/(IF(Inputs!$B$38="pvp",15,MAX(0.1,Skills!D3-IF(TRUE=TRUE,Inputs!$B$32,0)))*(1-IF(AND(ArtifactsInput!$M$27,Inputs!$B$4="Chapter Hunt"),CHOOSE(ArtifactsInput!$N$27+1,20,24,28,32,36,40),0)/100)))+1)),0)</f>
        <v/>
      </c>
      <c r="S120">
        <f>IFERROR(O120/N120,0)</f>
        <v/>
      </c>
      <c r="T120">
        <f>IF(C120,(H120*N120*IF(AND(Inputs!$B$38&lt;&gt;"pvp",Inputs!$B$43&gt;0),((Skills!G3*((R120-1)*IF(Skills!H3&gt;0,INT(Skills!I3/Skills!H3+0.000000001),1)+IF(Skills!H3&gt;0,INT(MIN(Skills!I3,MAX(0,MAX(0,Inputs!$B$43-B155)-((R120-1)*(IF(Inputs!$B$38="pvp",15,MAX(0.1,Skills!D3-IF(TRUE=TRUE,Inputs!$B$32,0)))*(1-IF(AND(ArtifactsInput!$M$27,Inputs!$B$4="Chapter Hunt"),CHOOSE(ArtifactsInput!$N$27+1,20,24,28,32,36,40),0)/100)))))/Skills!H3+0.000000001),1)))/Inputs!$B$43),G120*Q120))*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Hunt"),CHOOSE(ArtifactsInput!$N$35+1,15,18,21,24,27,30)*(1-EXP(-(0.2*B150)*5)),0)+IF(AND(ArtifactsInput!$M$22,Inputs!$B$4&lt;&gt;"Chapter Hunt"),CHOOSE(ArtifactsInput!$N$22+1,10,12,14,16,18,20)*((0*(((0.15*B150*5))^0/1)+1*(((0.15*B150*5))^1/1)+2*(((0.15*B150*5))^2/2)+3*(((0.15*B150*5))^3/6)+4*(((0.15*B150*5))^4/24)+5*(((0.15*B150*5))^5/120))/((((0.15*B150*5))^0/1)+(((0.15*B150*5))^1/1)+(((0.15*B150*5))^2/2)+(((0.15*B150*5))^3/6)+(((0.15*B150*5))^4/24)+(((0.15*B150*5))^5/120))),0))+IF(Inputs!$B$3&gt;=54,9*(C120=TRUE)*MIN(1,8*(1+Inputs!$B$34/100)*Q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120*(1-MIN(100,(Inputs!$B$9+((C136=TRUE)*(F136-Calc!F19))+B148+(ArtifactsInput!$M$24-ArtifactsInput!$M$24)*CHOOSE(ArtifactsInput!$N$24+1,10,12,14,16,18,20)+(IF(AND(Inputs!$B$38&lt;&gt;"pvp",Inputs!$B$43=0),1,IF(IF(Inputs!$B$38="pvp",15,Inputs!$B$43)-(B155)&lt;=0,1,MAX(0,IF(Inputs!$B$38="pvp",15,Inputs!$B$43)-MAX(5,B155))/(IF(Inputs!$B$38="pvp",15,Inputs!$B$43)-(B155))))*IF(AND(ArtifactsInput!$M$42,((Inputs!$B$9+((C136=TRUE)*(F136-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120*(MIN(100,(Inputs!$B$9+((C136=TRUE)*(F136-Calc!F19))+B148+(ArtifactsInput!$M$24-ArtifactsInput!$M$24)*CHOOSE(ArtifactsInput!$N$24+1,10,12,14,16,18,20)+(IF(AND(Inputs!$B$38&lt;&gt;"pvp",Inputs!$B$43=0),1,IF(IF(Inputs!$B$38="pvp",15,Inputs!$B$43)-(B155)&lt;=0,1,MAX(0,IF(Inputs!$B$38="pvp",15,Inputs!$B$43)-MAX(5,B155))/(IF(Inputs!$B$38="pvp",15,Inputs!$B$43)-(B155))))*IF(AND(ArtifactsInput!$M$42,((Inputs!$B$9+((C136=TRUE)*(F136-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120*(1-MIN(100,(Inputs!$B$9+((C136=TRUE)*(F136-Calc!F19))+B148+(ArtifactsInput!$M$24-ArtifactsInput!$M$24)*CHOOSE(ArtifactsInput!$N$24+1,10,12,14,16,18,20)+(IF(AND(Inputs!$B$38&lt;&gt;"pvp",Inputs!$B$43=0),1,IF(IF(Inputs!$B$38="pvp",15,Inputs!$B$43)-(B155)&lt;=0,1,MAX(0,IF(Inputs!$B$38="pvp",15,Inputs!$B$43)-MAX(5,B155))/(IF(Inputs!$B$38="pvp",15,Inputs!$B$43)-(B155))))*IF(AND(ArtifactsInput!$M$42,((Inputs!$B$9+((C136=TRUE)*(F136-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120*(MIN(100,(Inputs!$B$9+((C136=TRUE)*(F136-Calc!F19))+B148+(ArtifactsInput!$M$24-ArtifactsInput!$M$24)*CHOOSE(ArtifactsInput!$N$24+1,10,12,14,16,18,20)+(IF(AND(Inputs!$B$38&lt;&gt;"pvp",Inputs!$B$43=0),1,IF(IF(Inputs!$B$38="pvp",15,Inputs!$B$43)-(B155)&lt;=0,1,MAX(0,IF(Inputs!$B$38="pvp",15,Inputs!$B$43)-MAX(5,B155))/(IF(Inputs!$B$38="pvp",15,Inputs!$B$43)-(B155))))*IF(AND(ArtifactsInput!$M$42,((Inputs!$B$9+((C136=TRUE)*(F136-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20">
        <f>INDEX(FactorTable!$B$2:$Y$301, MATCH(ROUND(MIN(300,MAX(1,U119)),0), FactorTable!$A$2:$A$301,0), 22)</f>
        <v/>
      </c>
      <c r="V120">
        <f>IF(C120,(H120*N120*IF(AND(Inputs!$B$38&lt;&gt;"pvp",Inputs!$B$43&gt;0),((Skills!G3*((R120-1)*IF(Skills!H3&gt;0,INT(Skills!I3/Skills!H3+0.000000001),1)+IF(Skills!H3&gt;0,INT(MIN(Skills!I3,MAX(0,MAX(0,Inputs!$B$43-B155)-((R120-1)*(IF(Inputs!$B$38="pvp",15,MAX(0.1,Skills!D3-IF(TRUE=TRUE,Inputs!$B$32,0)))*(1-IF(AND(ArtifactsInput!$M$27,Inputs!$B$4="Chapter Hunt"),CHOOSE(ArtifactsInput!$N$27+1,20,24,28,32,36,40),0)/100)))))/Skills!H3+0.000000001),1)))/Inputs!$B$43),G120*Q120))*IF(Inputs!$B$38="pvp",1,(1+(Inputs!$B$21+Skills!Q3+(IF(ArtifactsInput!$M$33,CHOOSE(ArtifactsInput!$N$33+1,30,36,42,48,54,60),0))+(IF(AND(ArtifactsInput!$M$35,Inputs!$B$4&lt;&gt;"Chapter Hunt"),CHOOSE(ArtifactsInput!$N$35+1,15,18,21,24,27,30)*(1-EXP(-(0.2*B150)*5)),0)+IF(AND(ArtifactsInput!$M$22,Inputs!$B$4&lt;&gt;"Chapter Hunt"),CHOOSE(ArtifactsInput!$N$22+1,10,12,14,16,18,20)*((0*(((0.15*B150*5))^0/1)+1*(((0.15*B150*5))^1/1)+2*(((0.15*B150*5))^2/2)+3*(((0.15*B150*5))^3/6)+4*(((0.15*B150*5))^4/24)+5*(((0.15*B150*5))^5/120))/((((0.15*B150*5))^0/1)+(((0.15*B150*5))^1/1)+(((0.15*B150*5))^2/2)+(((0.15*B150*5))^3/6)+(((0.15*B150*5))^4/24)+(((0.15*B150*5))^5/120))),0))+IF(Inputs!$B$3&gt;=54,9*(C120=TRUE)*MIN(1,8*(1+Inputs!$B$34/100)*Q120)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1">
      <c r="A121">
        <f>Skills!A4</f>
        <v/>
      </c>
      <c r="B121">
        <f>Skills!B4</f>
        <v/>
      </c>
      <c r="C121">
        <f>Inputs!$B$3&gt;=35</f>
        <v/>
      </c>
      <c r="D121">
        <f>IF(Skills!C4=1,60+Inputs!$B$25+Inputs!$B$29,IF(Skills!C4=2,90+Inputs!$B$26+Inputs!$B$29,IF(Skills!C4=3,120+Inputs!$B$27+Inputs!$B$29,MAX(0,(Inputs!$B$3-100)*3)+Inputs!$B$28+Inputs!$B$29)))</f>
        <v/>
      </c>
      <c r="E121">
        <f>INDEX(FactorTable!$B$2:$Y$301, MATCH(ROUND(MIN(300,MAX(1,D121)),0), FactorTable!$A$2:$A$301,0), Skills!M4+1)</f>
        <v/>
      </c>
      <c r="F121">
        <f>IF(Skills!N4=TRUE,(Skills!L4/10)*(E121/1000),Skills!L4/10)+Skills!O4</f>
        <v/>
      </c>
      <c r="G121">
        <f>Skills!G4*IF(Skills!H4&gt;0,INT(IF(Inputs!$B$38="pvp",MIN(IF(Inputs!$B$3&gt;=104,MIN(35,20*(1+Inputs!$B$34/100)),20),15),IF(Inputs!$B$3&gt;=104,MIN(35,20*(1+Inputs!$B$34/100)),20))/Skills!H4+0.000000001),1)</f>
        <v/>
      </c>
      <c r="H121">
        <f>1-(1-Skills!J4/100)^Skills!K4</f>
        <v/>
      </c>
      <c r="I121" t="inlineStr">
        <is>
          <t>1</t>
        </is>
      </c>
      <c r="J121">
        <f>((Inputs!$B$6*(1+Inputs!$B$7/100))+(((Inputs!$B$12*(1+(Inputs!$B$13+1)/100))-(Inputs!$B$12*(1+Inputs!$B$13/100)))+0.25*(Inputs!$B$14-Inputs!$B$14))*(1+Inputs!$B$7/100))*(F121/100)</f>
        <v/>
      </c>
      <c r="K121">
        <f>J121*(1+((Inputs!$B$12*(1+(Inputs!$B$13+1)/100))*0.01+Inputs!$B$14*0.0025)/100)*(1+Inputs!$B$15/100)*(1+Inputs!$B$16/100)*(5000/(6000+Inputs!$B$42*(1-(100*(1-(1-(Inputs!$B$19+0)/100)*(1-CHOOSE(ArtifactsInput!$N$40+1,5,6,7,8,9,10)/100)^(ArtifactsInput!$M$40-ArtifactsInput!$M$40)))/100)))*(1+(Inputs!$B$24+((C143=TRUE)*(F143-Calc!F26))+B154)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133=TRUE,F133,0)/100)*(1+(IF(Skills!A4="EIGHT_LEGS_EASTON",Inputs!$B$17+((C140=TRUE)*(F140-Calc!F23))+((C144=TRUE)*(F144-Calc!F27))+((IF(AND(Inputs!$B$38&lt;&gt;"pvp",Inputs!$B$43=0),1,IF(IF(Inputs!$B$38="pvp",15,Inputs!$B$43)-(B155)&lt;=0,1,MAX(0,IF(Inputs!$B$38="pvp",15,Inputs!$B$43)-MAX(5,B155))/(IF(Inputs!$B$38="pvp",15,Inputs!$B$43)-(B155))))*(IF(AND(ArtifactsInput!$M$42,((Inputs!$B$9+((C136=TRUE)*(F136-Calc!F19))+B148+(ArtifactsInput!$M$24-ArtifactsInput!$M$24)*CHOOSE(ArtifactsInput!$N$24+1,10,12,14,16,18,20)+IF(ArtifactsInput!$M$10,CHOOSE(ArtifactsInput!$N$10+1,15,18,21,24,27,30)*(IF(Inputs!$B$38="pvp",MIN(15,15)/15,IF(AND(Inputs!$B$38&lt;&gt;"pvp",Inputs!$B$43&gt;0),MIN(15,Inputs!$B$43)/(Inputs!$B$43),0))),0)))&gt;=100),MIN(100,((Inputs!$B$9+((C136=TRUE)*(F136-Calc!F19))+B148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155)&lt;=0,1,MAX(0,IF(Inputs!$B$38="pvp",15,Inputs!$B$43)-MAX(5,B155))/(IF(Inputs!$B$38="pvp",15,Inputs!$B$43)-(B155))))*IF(AND(ArtifactsInput!$M$42,((Inputs!$B$9+((C136=TRUE)*(F136-Calc!F19))+B148+(ArtifactsInput!$M$24-ArtifactsInput!$M$24)*CHOOSE(ArtifactsInput!$N$24+1,10,12,14,16,18,20)+IF(ArtifactsInput!$M$10,CHOOSE(ArtifactsInput!$N$10+1,15,18,21,24,27,30)*(IF(Inputs!$B$38="pvp",MIN(15,15)/15,IF(AND(Inputs!$B$38&lt;&gt;"pvp",Inputs!$B$43&gt;0),MIN(15,Inputs!$B$43)/(Inputs!$B$43),0))),0)))&gt;=100),CHOOSE(ArtifactsInput!$N$42+1,40,48,56,64,72,80),0))))/100)*((1+(((C134=TRUE)*F134*5/7)+((C141=TRUE)*(F141-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121)</f>
        <v/>
      </c>
      <c r="L121">
        <f>K121*(MIN(Inputs!$B$22+((C139=TRUE)*(F139-Calc!F22)),(Inputs!$B$23+0+(IF(ArtifactsInput!$M$15,CHOOSE(ArtifactsInput!$N$15+1,25,30,35,40,45,50)/100*(Inputs!$B$11-Inputs!$B$11),0))))/100+(Inputs!$B$23+0+(IF(ArtifactsInput!$M$15,CHOOSE(ArtifactsInput!$N$15+1,25,30,35,40,45,50)/100*(Inputs!$B$11-Inputs!$B$11),0)))/100)/2</f>
        <v/>
      </c>
      <c r="M121">
        <f>L121*(1+(Inputs!$B$10+((C142=TRUE)*(F142-Calc!F25))+B153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1">
        <f>L121*(1-MIN((Inputs!$B$9+((C136=TRUE)*(F136-Calc!F19))+B148+(ArtifactsInput!$M$24-ArtifactsInput!$M$24)*CHOOSE(ArtifactsInput!$N$24+1,10,12,14,16,18,20)+(IF(AND(Inputs!$B$38&lt;&gt;"pvp",Inputs!$B$43=0),1,IF(IF(Inputs!$B$38="pvp",15,Inputs!$B$43)-(B155)&lt;=0,1,MAX(0,IF(Inputs!$B$38="pvp",15,Inputs!$B$43)-MAX(5,B155))/(IF(Inputs!$B$38="pvp",15,Inputs!$B$43)-(B155))))*IF(AND(ArtifactsInput!$M$42,((Inputs!$B$9+((C136=TRUE)*(F136-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121*(MIN((Inputs!$B$9+((C136=TRUE)*(F136-Calc!F19))+B148+(ArtifactsInput!$M$24-ArtifactsInput!$M$24)*CHOOSE(ArtifactsInput!$N$24+1,10,12,14,16,18,20)+(IF(AND(Inputs!$B$38&lt;&gt;"pvp",Inputs!$B$43=0),1,IF(IF(Inputs!$B$38="pvp",15,Inputs!$B$43)-(B155)&lt;=0,1,MAX(0,IF(Inputs!$B$38="pvp",15,Inputs!$B$43)-MAX(5,B155))/(IF(Inputs!$B$38="pvp",15,Inputs!$B$43)-(B155))))*IF(AND(ArtifactsInput!$M$42,((Inputs!$B$9+((C136=TRUE)*(F136-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1">
        <f>(1-Summary!$B$11)*T121+Summary!$B$11*V121</f>
        <v/>
      </c>
      <c r="P121">
        <f>IF(B158=0,0,O121/B158)</f>
        <v/>
      </c>
      <c r="Q121">
        <f>IFERROR(1/(IF(Inputs!$B$38="pvp",15,MAX(0.1,Skills!D4-IF(TRUE=TRUE,Inputs!$B$32,0)))*(1-IF(AND(ArtifactsInput!$M$27,Inputs!$B$4="Chapter Hunt"),CHOOSE(ArtifactsInput!$N$27+1,20,24,28,32,36,40),0)/100)),0)</f>
        <v/>
      </c>
      <c r="R121">
        <f>IF(AND(Inputs!$B$38&lt;&gt;"pvp",Inputs!$B$43&gt;0),IF(MAX(0,Inputs!$B$43-B155)&lt;=0,0,(INT(MAX(0,Inputs!$B$43-B155)/(IF(Inputs!$B$38="pvp",15,MAX(0.1,Skills!D4-IF(TRUE=TRUE,Inputs!$B$32,0)))*(1-IF(AND(ArtifactsInput!$M$27,Inputs!$B$4="Chapter Hunt"),CHOOSE(ArtifactsInput!$N$27+1,20,24,28,32,36,40),0)/100)))+1)),0)</f>
        <v/>
      </c>
      <c r="S121">
        <f>IFERROR(O121/N121,0)</f>
        <v/>
      </c>
      <c r="T121">
        <f>IF(C121,(H121*N121*IF(AND(Inputs!$B$38&lt;&gt;"pvp",Inputs!$B$43&gt;0),((Skills!G4*((R121-1)*IF(Skills!H4&gt;0,INT(IF(Inputs!$B$3&gt;=104,MIN(35,20*(1+Inputs!$B$34/100)),20)/Skills!H4+0.000000001),1)+IF(Skills!H4&gt;0,INT(MIN(IF(Inputs!$B$3&gt;=104,MIN(35,20*(1+Inputs!$B$34/100)),20),MAX(0,MAX(0,Inputs!$B$43-B155)-((R121-1)*(IF(Inputs!$B$38="pvp",15,MAX(0.1,Skills!D4-IF(TRUE=TRUE,Inputs!$B$32,0)))*(1-IF(AND(ArtifactsInput!$M$27,Inputs!$B$4="Chapter Hunt"),CHOOSE(ArtifactsInput!$N$27+1,20,24,28,32,36,40),0)/100)))))/Skills!H4+0.000000001),1)))/Inputs!$B$43),G121*Q121))*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Hunt"),CHOOSE(ArtifactsInput!$N$35+1,15,18,21,24,27,30)*(1-EXP(-(0.2*B150)*5)),0)+IF(AND(ArtifactsInput!$M$22,Inputs!$B$4&lt;&gt;"Chapter Hunt"),CHOOSE(ArtifactsInput!$N$22+1,10,12,14,16,18,20)*((0*(((0.15*B150*5))^0/1)+1*(((0.15*B150*5))^1/1)+2*(((0.15*B150*5))^2/2)+3*(((0.15*B150*5))^3/6)+4*(((0.15*B150*5))^4/24)+5*(((0.15*B150*5))^5/120))/((((0.15*B150*5))^0/1)+(((0.15*B150*5))^1/1)+(((0.15*B150*5))^2/2)+(((0.15*B150*5))^3/6)+(((0.15*B150*5))^4/24)+(((0.15*B150*5))^5/120))),0))+IF(Inputs!$B$3&gt;=54,9*(C120=TRUE)*MIN(1,8*(1+Inputs!$B$34/100)*Q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121*(1-MIN(100,(Inputs!$B$9+((C136=TRUE)*(F136-Calc!F19))+B148+(ArtifactsInput!$M$24-ArtifactsInput!$M$24)*CHOOSE(ArtifactsInput!$N$24+1,10,12,14,16,18,20)+(IF(AND(Inputs!$B$38&lt;&gt;"pvp",Inputs!$B$43=0),1,IF(IF(Inputs!$B$38="pvp",15,Inputs!$B$43)-(B155)&lt;=0,1,MAX(0,IF(Inputs!$B$38="pvp",15,Inputs!$B$43)-MAX(5,B155))/(IF(Inputs!$B$38="pvp",15,Inputs!$B$43)-(B155))))*IF(AND(ArtifactsInput!$M$42,((Inputs!$B$9+((C136=TRUE)*(F136-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121*(MIN(100,(Inputs!$B$9+((C136=TRUE)*(F136-Calc!F19))+B148+(ArtifactsInput!$M$24-ArtifactsInput!$M$24)*CHOOSE(ArtifactsInput!$N$24+1,10,12,14,16,18,20)+(IF(AND(Inputs!$B$38&lt;&gt;"pvp",Inputs!$B$43=0),1,IF(IF(Inputs!$B$38="pvp",15,Inputs!$B$43)-(B155)&lt;=0,1,MAX(0,IF(Inputs!$B$38="pvp",15,Inputs!$B$43)-MAX(5,B155))/(IF(Inputs!$B$38="pvp",15,Inputs!$B$43)-(B155))))*IF(AND(ArtifactsInput!$M$42,((Inputs!$B$9+((C136=TRUE)*(F136-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121*(1-MIN(100,(Inputs!$B$9+((C136=TRUE)*(F136-Calc!F19))+B148+(ArtifactsInput!$M$24-ArtifactsInput!$M$24)*CHOOSE(ArtifactsInput!$N$24+1,10,12,14,16,18,20)+(IF(AND(Inputs!$B$38&lt;&gt;"pvp",Inputs!$B$43=0),1,IF(IF(Inputs!$B$38="pvp",15,Inputs!$B$43)-(B155)&lt;=0,1,MAX(0,IF(Inputs!$B$38="pvp",15,Inputs!$B$43)-MAX(5,B155))/(IF(Inputs!$B$38="pvp",15,Inputs!$B$43)-(B155))))*IF(AND(ArtifactsInput!$M$42,((Inputs!$B$9+((C136=TRUE)*(F136-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121*(MIN(100,(Inputs!$B$9+((C136=TRUE)*(F136-Calc!F19))+B148+(ArtifactsInput!$M$24-ArtifactsInput!$M$24)*CHOOSE(ArtifactsInput!$N$24+1,10,12,14,16,18,20)+(IF(AND(Inputs!$B$38&lt;&gt;"pvp",Inputs!$B$43=0),1,IF(IF(Inputs!$B$38="pvp",15,Inputs!$B$43)-(B155)&lt;=0,1,MAX(0,IF(Inputs!$B$38="pvp",15,Inputs!$B$43)-MAX(5,B155))/(IF(Inputs!$B$38="pvp",15,Inputs!$B$43)-(B155))))*IF(AND(ArtifactsInput!$M$42,((Inputs!$B$9+((C136=TRUE)*(F136-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21">
        <f>290*U120/1000</f>
        <v/>
      </c>
      <c r="V121">
        <f>IF(C121,(H121*N121*IF(AND(Inputs!$B$38&lt;&gt;"pvp",Inputs!$B$43&gt;0),((Skills!G4*((R121-1)*IF(Skills!H4&gt;0,INT(IF(Inputs!$B$3&gt;=104,MIN(35,20*(1+Inputs!$B$34/100)),20)/Skills!H4+0.000000001),1)+IF(Skills!H4&gt;0,INT(MIN(IF(Inputs!$B$3&gt;=104,MIN(35,20*(1+Inputs!$B$34/100)),20),MAX(0,MAX(0,Inputs!$B$43-B155)-((R121-1)*(IF(Inputs!$B$38="pvp",15,MAX(0.1,Skills!D4-IF(TRUE=TRUE,Inputs!$B$32,0)))*(1-IF(AND(ArtifactsInput!$M$27,Inputs!$B$4="Chapter Hunt"),CHOOSE(ArtifactsInput!$N$27+1,20,24,28,32,36,40),0)/100)))))/Skills!H4+0.000000001),1)))/Inputs!$B$43),G121*Q121))*IF(Inputs!$B$38="pvp",1,(1+(Inputs!$B$21+Skills!Q4+(IF(ArtifactsInput!$M$33,CHOOSE(ArtifactsInput!$N$33+1,30,36,42,48,54,60),0))+(IF(AND(ArtifactsInput!$M$35,Inputs!$B$4&lt;&gt;"Chapter Hunt"),CHOOSE(ArtifactsInput!$N$35+1,15,18,21,24,27,30)*(1-EXP(-(0.2*B150)*5)),0)+IF(AND(ArtifactsInput!$M$22,Inputs!$B$4&lt;&gt;"Chapter Hunt"),CHOOSE(ArtifactsInput!$N$22+1,10,12,14,16,18,20)*((0*(((0.15*B150*5))^0/1)+1*(((0.15*B150*5))^1/1)+2*(((0.15*B150*5))^2/2)+3*(((0.15*B150*5))^3/6)+4*(((0.15*B150*5))^4/24)+5*(((0.15*B150*5))^5/120))/((((0.15*B150*5))^0/1)+(((0.15*B150*5))^1/1)+(((0.15*B150*5))^2/2)+(((0.15*B150*5))^3/6)+(((0.15*B150*5))^4/24)+(((0.15*B150*5))^5/120))),0))+IF(Inputs!$B$3&gt;=54,9*(C120=TRUE)*MIN(1,8*(1+Inputs!$B$34/100)*Q120),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2">
      <c r="A122">
        <f>Skills!A5</f>
        <v/>
      </c>
      <c r="B122">
        <f>Skills!B5</f>
        <v/>
      </c>
      <c r="C122">
        <f>Inputs!$B$3&gt;=69</f>
        <v/>
      </c>
      <c r="D122">
        <f>IF(Skills!C5=1,60+Inputs!$B$25+Inputs!$B$29,IF(Skills!C5=2,90+Inputs!$B$26+Inputs!$B$29,IF(Skills!C5=3,120+Inputs!$B$27+Inputs!$B$29,MAX(0,(Inputs!$B$3-100)*3)+Inputs!$B$28+Inputs!$B$29)))</f>
        <v/>
      </c>
      <c r="E122">
        <f>INDEX(FactorTable!$B$2:$Y$301, MATCH(ROUND(MIN(300,MAX(1,D122)),0), FactorTable!$A$2:$A$301,0), Skills!M5+1)</f>
        <v/>
      </c>
      <c r="F122">
        <f>IF(Skills!N5=TRUE,(Skills!L5/10)*(E122/1000),Skills!L5/10)+Skills!O5</f>
        <v/>
      </c>
      <c r="G122">
        <f>Skills!G5*IF(Skills!H5&gt;0,INT(IF(Inputs!$B$38="pvp",MIN(IF(Inputs!$B$3&gt;=104,MIN(35,20*(1+Inputs!$B$34/100)),20),15),IF(Inputs!$B$3&gt;=104,MIN(35,20*(1+Inputs!$B$34/100)),20))/Skills!H5+0.000000001),1)</f>
        <v/>
      </c>
      <c r="H122">
        <f>1-(1-Skills!J5/100)^Skills!K5</f>
        <v/>
      </c>
      <c r="I122" t="inlineStr">
        <is>
          <t>1</t>
        </is>
      </c>
      <c r="J122">
        <f>((Inputs!$B$6*(1+Inputs!$B$7/100))+(((Inputs!$B$12*(1+(Inputs!$B$13+1)/100))-(Inputs!$B$12*(1+Inputs!$B$13/100)))+0.25*(Inputs!$B$14-Inputs!$B$14))*(1+Inputs!$B$7/100))*(F122/100)</f>
        <v/>
      </c>
      <c r="K122">
        <f>J122*(1+((Inputs!$B$12*(1+(Inputs!$B$13+1)/100))*0.01+Inputs!$B$14*0.0025)/100)*(1+Inputs!$B$15/100)*(1+Inputs!$B$16/100)*(5000/(6000+Inputs!$B$42*(1-(100*(1-(1-(Inputs!$B$19+0)/100)*(1-CHOOSE(ArtifactsInput!$N$40+1,5,6,7,8,9,10)/100)^(ArtifactsInput!$M$40-ArtifactsInput!$M$40)))/100)))*(1+(Inputs!$B$24+((C143=TRUE)*(F143-Calc!F26))+B154)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+0.4*IF(C133=TRUE,F133,0)/100)*(1+(IF(Skills!A5="EIGHT_LEGS_EASTON",Inputs!$B$17+((C140=TRUE)*(F140-Calc!F23))+((C144=TRUE)*(F144-Calc!F27))+((IF(AND(Inputs!$B$38&lt;&gt;"pvp",Inputs!$B$43=0),1,IF(IF(Inputs!$B$38="pvp",15,Inputs!$B$43)-(B155)&lt;=0,1,MAX(0,IF(Inputs!$B$38="pvp",15,Inputs!$B$43)-MAX(5,B155))/(IF(Inputs!$B$38="pvp",15,Inputs!$B$43)-(B155))))*(IF(AND(ArtifactsInput!$M$42,((Inputs!$B$9+((C136=TRUE)*(F136-Calc!F19))+B148+(ArtifactsInput!$M$24-ArtifactsInput!$M$24)*CHOOSE(ArtifactsInput!$N$24+1,10,12,14,16,18,20)+IF(ArtifactsInput!$M$10,CHOOSE(ArtifactsInput!$N$10+1,15,18,21,24,27,30)*(IF(Inputs!$B$38="pvp",MIN(15,15)/15,IF(AND(Inputs!$B$38&lt;&gt;"pvp",Inputs!$B$43&gt;0),MIN(15,Inputs!$B$43)/(Inputs!$B$43),0))),0)))&gt;=100),MIN(100,((Inputs!$B$9+((C136=TRUE)*(F136-Calc!F19))+B148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155)&lt;=0,1,MAX(0,IF(Inputs!$B$38="pvp",15,Inputs!$B$43)-MAX(5,B155))/(IF(Inputs!$B$38="pvp",15,Inputs!$B$43)-(B155))))*IF(AND(ArtifactsInput!$M$42,((Inputs!$B$9+((C136=TRUE)*(F136-Calc!F19))+B148+(ArtifactsInput!$M$24-ArtifactsInput!$M$24)*CHOOSE(ArtifactsInput!$N$24+1,10,12,14,16,18,20)+IF(ArtifactsInput!$M$10,CHOOSE(ArtifactsInput!$N$10+1,15,18,21,24,27,30)*(IF(Inputs!$B$38="pvp",MIN(15,15)/15,IF(AND(Inputs!$B$38&lt;&gt;"pvp",Inputs!$B$43&gt;0),MIN(15,Inputs!$B$43)/(Inputs!$B$43),0))),0)))&gt;=100),CHOOSE(ArtifactsInput!$N$42+1,40,48,56,64,72,80),0))))/100)*((1+(((C134=TRUE)*F134*5/7)+((C141=TRUE)*(F141-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122)</f>
        <v/>
      </c>
      <c r="L122">
        <f>K122*(MIN(Inputs!$B$22+((C139=TRUE)*(F139-Calc!F22)),(Inputs!$B$23+0+(IF(ArtifactsInput!$M$15,CHOOSE(ArtifactsInput!$N$15+1,25,30,35,40,45,50)/100*(Inputs!$B$11-Inputs!$B$11),0))))/100+(Inputs!$B$23+0+(IF(ArtifactsInput!$M$15,CHOOSE(ArtifactsInput!$N$15+1,25,30,35,40,45,50)/100*(Inputs!$B$11-Inputs!$B$11),0)))/100)/2</f>
        <v/>
      </c>
      <c r="M122">
        <f>L122*(1+(Inputs!$B$10+((C142=TRUE)*(F142-Calc!F25))+B153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2">
        <f>L122*(1-MIN((Inputs!$B$9+((C136=TRUE)*(F136-Calc!F19))+B148+(ArtifactsInput!$M$24-ArtifactsInput!$M$24)*CHOOSE(ArtifactsInput!$N$24+1,10,12,14,16,18,20)+(IF(AND(Inputs!$B$38&lt;&gt;"pvp",Inputs!$B$43=0),1,IF(IF(Inputs!$B$38="pvp",15,Inputs!$B$43)-(B155)&lt;=0,1,MAX(0,IF(Inputs!$B$38="pvp",15,Inputs!$B$43)-MAX(5,B155))/(IF(Inputs!$B$38="pvp",15,Inputs!$B$43)-(B155))))*IF(AND(ArtifactsInput!$M$42,((Inputs!$B$9+((C136=TRUE)*(F136-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122*(MIN((Inputs!$B$9+((C136=TRUE)*(F136-Calc!F19))+B148+(ArtifactsInput!$M$24-ArtifactsInput!$M$24)*CHOOSE(ArtifactsInput!$N$24+1,10,12,14,16,18,20)+(IF(AND(Inputs!$B$38&lt;&gt;"pvp",Inputs!$B$43=0),1,IF(IF(Inputs!$B$38="pvp",15,Inputs!$B$43)-(B155)&lt;=0,1,MAX(0,IF(Inputs!$B$38="pvp",15,Inputs!$B$43)-MAX(5,B155))/(IF(Inputs!$B$38="pvp",15,Inputs!$B$43)-(B155))))*IF(AND(ArtifactsInput!$M$42,((Inputs!$B$9+((C136=TRUE)*(F136-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2">
        <f>(1-Summary!$B$11)*T122+Summary!$B$11*V122</f>
        <v/>
      </c>
      <c r="P122">
        <f>IF(B158=0,0,O122/B158)</f>
        <v/>
      </c>
      <c r="Q122">
        <f>IFERROR(1/(IF(Inputs!$B$38="pvp",15,MAX(0.1,Skills!D5-IF(TRUE=TRUE,Inputs!$B$32,0)))*(1-IF(AND(ArtifactsInput!$M$27,Inputs!$B$4="Chapter Hunt"),CHOOSE(ArtifactsInput!$N$27+1,20,24,28,32,36,40),0)/100)),0)</f>
        <v/>
      </c>
      <c r="R122">
        <f>IF(AND(Inputs!$B$38&lt;&gt;"pvp",Inputs!$B$43&gt;0),IF(MAX(0,Inputs!$B$43-B155)&lt;=0,0,(INT(MAX(0,Inputs!$B$43-B155)/(IF(Inputs!$B$38="pvp",15,MAX(0.1,Skills!D5-IF(TRUE=TRUE,Inputs!$B$32,0)))*(1-IF(AND(ArtifactsInput!$M$27,Inputs!$B$4="Chapter Hunt"),CHOOSE(ArtifactsInput!$N$27+1,20,24,28,32,36,40),0)/100)))+1)),0)</f>
        <v/>
      </c>
      <c r="S122">
        <f>IFERROR(O122/N122,0)</f>
        <v/>
      </c>
      <c r="T122">
        <f>IF(C122,(H122*N122*IF(AND(Inputs!$B$38&lt;&gt;"pvp",Inputs!$B$43&gt;0),((Skills!G5*((R122-1)*IF(Skills!H5&gt;0,INT(IF(Inputs!$B$3&gt;=104,MIN(35,20*(1+Inputs!$B$34/100)),20)/Skills!H5+0.000000001),1)+IF(Skills!H5&gt;0,INT(MIN(IF(Inputs!$B$3&gt;=104,MIN(35,20*(1+Inputs!$B$34/100)),20),MAX(0,MAX(0,Inputs!$B$43-B155)-((R122-1)*(IF(Inputs!$B$38="pvp",15,MAX(0.1,Skills!D5-IF(TRUE=TRUE,Inputs!$B$32,0)))*(1-IF(AND(ArtifactsInput!$M$27,Inputs!$B$4="Chapter Hunt"),CHOOSE(ArtifactsInput!$N$27+1,20,24,28,32,36,40),0)/100)))))/Skills!H5+0.000000001),1)))/Inputs!$B$43),G122*Q122))*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Hunt"),CHOOSE(ArtifactsInput!$N$35+1,15,18,21,24,27,30)*(1-EXP(-(0.2*B150)*5)),0)+IF(AND(ArtifactsInput!$M$22,Inputs!$B$4&lt;&gt;"Chapter Hunt"),CHOOSE(ArtifactsInput!$N$22+1,10,12,14,16,18,20)*((0*(((0.15*B150*5))^0/1)+1*(((0.15*B150*5))^1/1)+2*(((0.15*B150*5))^2/2)+3*(((0.15*B150*5))^3/6)+4*(((0.15*B150*5))^4/24)+5*(((0.15*B150*5))^5/120))/((((0.15*B150*5))^0/1)+(((0.15*B150*5))^1/1)+(((0.15*B150*5))^2/2)+(((0.15*B150*5))^3/6)+(((0.15*B150*5))^4/24)+(((0.15*B150*5))^5/120))),0))+IF(Inputs!$B$3&gt;=54,9*(C120=TRUE)*MIN(1,8*(1+Inputs!$B$34/100)*Q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122*(1-MIN(100,(Inputs!$B$9+((C136=TRUE)*(F136-Calc!F19))+B148+(ArtifactsInput!$M$24-ArtifactsInput!$M$24)*CHOOSE(ArtifactsInput!$N$24+1,10,12,14,16,18,20)+(IF(AND(Inputs!$B$38&lt;&gt;"pvp",Inputs!$B$43=0),1,IF(IF(Inputs!$B$38="pvp",15,Inputs!$B$43)-(B155)&lt;=0,1,MAX(0,IF(Inputs!$B$38="pvp",15,Inputs!$B$43)-MAX(5,B155))/(IF(Inputs!$B$38="pvp",15,Inputs!$B$43)-(B155))))*IF(AND(ArtifactsInput!$M$42,((Inputs!$B$9+((C136=TRUE)*(F136-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122*(MIN(100,(Inputs!$B$9+((C136=TRUE)*(F136-Calc!F19))+B148+(ArtifactsInput!$M$24-ArtifactsInput!$M$24)*CHOOSE(ArtifactsInput!$N$24+1,10,12,14,16,18,20)+(IF(AND(Inputs!$B$38&lt;&gt;"pvp",Inputs!$B$43=0),1,IF(IF(Inputs!$B$38="pvp",15,Inputs!$B$43)-(B155)&lt;=0,1,MAX(0,IF(Inputs!$B$38="pvp",15,Inputs!$B$43)-MAX(5,B155))/(IF(Inputs!$B$38="pvp",15,Inputs!$B$43)-(B155))))*IF(AND(ArtifactsInput!$M$42,((Inputs!$B$9+((C136=TRUE)*(F136-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122*(1-MIN(100,(Inputs!$B$9+((C136=TRUE)*(F136-Calc!F19))+B148+(ArtifactsInput!$M$24-ArtifactsInput!$M$24)*CHOOSE(ArtifactsInput!$N$24+1,10,12,14,16,18,20)+(IF(AND(Inputs!$B$38&lt;&gt;"pvp",Inputs!$B$43=0),1,IF(IF(Inputs!$B$38="pvp",15,Inputs!$B$43)-(B155)&lt;=0,1,MAX(0,IF(Inputs!$B$38="pvp",15,Inputs!$B$43)-MAX(5,B155))/(IF(Inputs!$B$38="pvp",15,Inputs!$B$43)-(B155))))*IF(AND(ArtifactsInput!$M$42,((Inputs!$B$9+((C136=TRUE)*(F136-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122*(MIN(100,(Inputs!$B$9+((C136=TRUE)*(F136-Calc!F19))+B148+(ArtifactsInput!$M$24-ArtifactsInput!$M$24)*CHOOSE(ArtifactsInput!$N$24+1,10,12,14,16,18,20)+(IF(AND(Inputs!$B$38&lt;&gt;"pvp",Inputs!$B$43=0),1,IF(IF(Inputs!$B$38="pvp",15,Inputs!$B$43)-(B155)&lt;=0,1,MAX(0,IF(Inputs!$B$38="pvp",15,Inputs!$B$43)-MAX(5,B155))/(IF(Inputs!$B$38="pvp",15,Inputs!$B$43)-(B155))))*IF(AND(ArtifactsInput!$M$42,((Inputs!$B$9+((C136=TRUE)*(F136-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2">
        <f>IF(C122,(H122*N122*IF(AND(Inputs!$B$38&lt;&gt;"pvp",Inputs!$B$43&gt;0),((Skills!G5*((R122-1)*IF(Skills!H5&gt;0,INT(IF(Inputs!$B$3&gt;=104,MIN(35,20*(1+Inputs!$B$34/100)),20)/Skills!H5+0.000000001),1)+IF(Skills!H5&gt;0,INT(MIN(IF(Inputs!$B$3&gt;=104,MIN(35,20*(1+Inputs!$B$34/100)),20),MAX(0,MAX(0,Inputs!$B$43-B155)-((R122-1)*(IF(Inputs!$B$38="pvp",15,MAX(0.1,Skills!D5-IF(TRUE=TRUE,Inputs!$B$32,0)))*(1-IF(AND(ArtifactsInput!$M$27,Inputs!$B$4="Chapter Hunt"),CHOOSE(ArtifactsInput!$N$27+1,20,24,28,32,36,40),0)/100)))))/Skills!H5+0.000000001),1)))/Inputs!$B$43),G122*Q122))*IF(Inputs!$B$38="pvp",1,(1+(Inputs!$B$21+Skills!Q5+(IF(ArtifactsInput!$M$33,CHOOSE(ArtifactsInput!$N$33+1,30,36,42,48,54,60),0))+(IF(AND(ArtifactsInput!$M$35,Inputs!$B$4&lt;&gt;"Chapter Hunt"),CHOOSE(ArtifactsInput!$N$35+1,15,18,21,24,27,30)*(1-EXP(-(0.2*B150)*5)),0)+IF(AND(ArtifactsInput!$M$22,Inputs!$B$4&lt;&gt;"Chapter Hunt"),CHOOSE(ArtifactsInput!$N$22+1,10,12,14,16,18,20)*((0*(((0.15*B150*5))^0/1)+1*(((0.15*B150*5))^1/1)+2*(((0.15*B150*5))^2/2)+3*(((0.15*B150*5))^3/6)+4*(((0.15*B150*5))^4/24)+5*(((0.15*B150*5))^5/120))/((((0.15*B150*5))^0/1)+(((0.15*B150*5))^1/1)+(((0.15*B150*5))^2/2)+(((0.15*B150*5))^3/6)+(((0.15*B150*5))^4/24)+(((0.15*B150*5))^5/120))),0))+IF(Inputs!$B$3&gt;=54,9*(C120=TRUE)*MIN(1,8*(1+Inputs!$B$34/100)*Q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3">
      <c r="A123">
        <f>Skills!A6</f>
        <v/>
      </c>
      <c r="B123">
        <f>Skills!B6</f>
        <v/>
      </c>
      <c r="C123">
        <f>Inputs!$B$3&gt;=66</f>
        <v/>
      </c>
      <c r="D123">
        <f>IF(Skills!C6=1,60+Inputs!$B$25+Inputs!$B$29,IF(Skills!C6=2,90+Inputs!$B$26+Inputs!$B$29,IF(Skills!C6=3,120+Inputs!$B$27+Inputs!$B$29,MAX(0,(Inputs!$B$3-100)*3)+Inputs!$B$28+Inputs!$B$29)))</f>
        <v/>
      </c>
      <c r="E123">
        <f>INDEX(FactorTable!$B$2:$Y$301, MATCH(ROUND(MIN(300,MAX(1,D123)),0), FactorTable!$A$2:$A$301,0), Skills!M6+1)</f>
        <v/>
      </c>
      <c r="F123">
        <f>IF(Skills!N6=TRUE,(Skills!L6/10)*(E123/1000),Skills!L6/10)+Skills!O6</f>
        <v/>
      </c>
      <c r="G123">
        <f>Skills!G6*IF(Skills!H6&gt;0,INT(IF(Inputs!$B$38="pvp",MIN(Skills!I6,15),Skills!I6)/Skills!H6+0.000000001),1)</f>
        <v/>
      </c>
      <c r="H123">
        <f>1-(1-Skills!J6/100)^Skills!K6</f>
        <v/>
      </c>
      <c r="I123" t="inlineStr">
        <is>
          <t>1</t>
        </is>
      </c>
      <c r="J123">
        <f>((Inputs!$B$6*(1+Inputs!$B$7/100))+(((Inputs!$B$12*(1+(Inputs!$B$13+1)/100))-(Inputs!$B$12*(1+Inputs!$B$13/100)))+0.25*(Inputs!$B$14-Inputs!$B$14))*(1+Inputs!$B$7/100))*(F123/100)</f>
        <v/>
      </c>
      <c r="K123">
        <f>J123*(1+((Inputs!$B$12*(1+(Inputs!$B$13+1)/100))*0.01+Inputs!$B$14*0.0025)/100)*(1+Inputs!$B$15/100)*(1+Inputs!$B$16/100)*(5000/(6000+Inputs!$B$42*(1-(100*(1-(1-(Inputs!$B$19+0)/100)*(1-CHOOSE(ArtifactsInput!$N$40+1,5,6,7,8,9,10)/100)^(ArtifactsInput!$M$40-ArtifactsInput!$M$40)))/100)))*(1+(Inputs!$B$24+((C143=TRUE)*(F143-Calc!F26))+B154)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+2.0*IF(C132=TRUE,F132,0)/100)*(1+(IF(Skills!A6="EIGHT_LEGS_EASTON",Inputs!$B$17+((C140=TRUE)*(F140-Calc!F23))+((C144=TRUE)*(F144-Calc!F27))+((IF(AND(Inputs!$B$38&lt;&gt;"pvp",Inputs!$B$43=0),1,IF(IF(Inputs!$B$38="pvp",15,Inputs!$B$43)-(B155)&lt;=0,1,MAX(0,IF(Inputs!$B$38="pvp",15,Inputs!$B$43)-MAX(5,B155))/(IF(Inputs!$B$38="pvp",15,Inputs!$B$43)-(B155))))*(IF(AND(ArtifactsInput!$M$42,((Inputs!$B$9+((C136=TRUE)*(F136-Calc!F19))+B148+(ArtifactsInput!$M$24-ArtifactsInput!$M$24)*CHOOSE(ArtifactsInput!$N$24+1,10,12,14,16,18,20)+IF(ArtifactsInput!$M$10,CHOOSE(ArtifactsInput!$N$10+1,15,18,21,24,27,30)*(IF(Inputs!$B$38="pvp",MIN(15,15)/15,IF(AND(Inputs!$B$38&lt;&gt;"pvp",Inputs!$B$43&gt;0),MIN(15,Inputs!$B$43)/(Inputs!$B$43),0))),0)))&gt;=100),MIN(100,((Inputs!$B$9+((C136=TRUE)*(F136-Calc!F19))+B148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155)&lt;=0,1,MAX(0,IF(Inputs!$B$38="pvp",15,Inputs!$B$43)-MAX(5,B155))/(IF(Inputs!$B$38="pvp",15,Inputs!$B$43)-(B155))))*IF(AND(ArtifactsInput!$M$42,((Inputs!$B$9+((C136=TRUE)*(F136-Calc!F19))+B148+(ArtifactsInput!$M$24-ArtifactsInput!$M$24)*CHOOSE(ArtifactsInput!$N$24+1,10,12,14,16,18,20)+IF(ArtifactsInput!$M$10,CHOOSE(ArtifactsInput!$N$10+1,15,18,21,24,27,30)*(IF(Inputs!$B$38="pvp",MIN(15,15)/15,IF(AND(Inputs!$B$38&lt;&gt;"pvp",Inputs!$B$43&gt;0),MIN(15,Inputs!$B$43)/(Inputs!$B$43),0))),0)))&gt;=100),CHOOSE(ArtifactsInput!$N$42+1,40,48,56,64,72,80),0))))/100)*((1+(((C134=TRUE)*F134*5/7)+((C141=TRUE)*(F141-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123)</f>
        <v/>
      </c>
      <c r="L123">
        <f>K123*(MIN(Inputs!$B$22+((C139=TRUE)*(F139-Calc!F22)),(Inputs!$B$23+0+(IF(ArtifactsInput!$M$15,CHOOSE(ArtifactsInput!$N$15+1,25,30,35,40,45,50)/100*(Inputs!$B$11-Inputs!$B$11),0))))/100+(Inputs!$B$23+0+(IF(ArtifactsInput!$M$15,CHOOSE(ArtifactsInput!$N$15+1,25,30,35,40,45,50)/100*(Inputs!$B$11-Inputs!$B$11),0)))/100)/2</f>
        <v/>
      </c>
      <c r="M123">
        <f>L123*(1+(Inputs!$B$10+((C142=TRUE)*(F142-Calc!F25))+B153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3">
        <f>L123*(1-MIN((Inputs!$B$9+((C136=TRUE)*(F136-Calc!F19))+B148+(ArtifactsInput!$M$24-ArtifactsInput!$M$24)*CHOOSE(ArtifactsInput!$N$24+1,10,12,14,16,18,20)+(IF(AND(Inputs!$B$38&lt;&gt;"pvp",Inputs!$B$43=0),1,IF(IF(Inputs!$B$38="pvp",15,Inputs!$B$43)-(B155)&lt;=0,1,MAX(0,IF(Inputs!$B$38="pvp",15,Inputs!$B$43)-MAX(5,B155))/(IF(Inputs!$B$38="pvp",15,Inputs!$B$43)-(B155))))*IF(AND(ArtifactsInput!$M$42,((Inputs!$B$9+((C136=TRUE)*(F136-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123*(MIN((Inputs!$B$9+((C136=TRUE)*(F136-Calc!F19))+B148+(ArtifactsInput!$M$24-ArtifactsInput!$M$24)*CHOOSE(ArtifactsInput!$N$24+1,10,12,14,16,18,20)+(IF(AND(Inputs!$B$38&lt;&gt;"pvp",Inputs!$B$43=0),1,IF(IF(Inputs!$B$38="pvp",15,Inputs!$B$43)-(B155)&lt;=0,1,MAX(0,IF(Inputs!$B$38="pvp",15,Inputs!$B$43)-MAX(5,B155))/(IF(Inputs!$B$38="pvp",15,Inputs!$B$43)-(B155))))*IF(AND(ArtifactsInput!$M$42,((Inputs!$B$9+((C136=TRUE)*(F136-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3">
        <f>(1-Summary!$B$11)*T123+Summary!$B$11*V123</f>
        <v/>
      </c>
      <c r="P123">
        <f>IF(B158=0,0,O123/B158)</f>
        <v/>
      </c>
      <c r="Q123">
        <f>IFERROR(1/(IF(Inputs!$B$38="pvp",15,MAX(0.1,Skills!D6-IF(TRUE=TRUE,Inputs!$B$32,0)))*(1-IF(AND(ArtifactsInput!$M$27,Inputs!$B$4="Chapter Hunt"),CHOOSE(ArtifactsInput!$N$27+1,20,24,28,32,36,40),0)/100)),0)</f>
        <v/>
      </c>
      <c r="R123">
        <f>IF(AND(Inputs!$B$38&lt;&gt;"pvp",Inputs!$B$43&gt;0),IF(MAX(0,Inputs!$B$43-B155)&lt;=0,0,(INT(MAX(0,Inputs!$B$43-B155)/(IF(Inputs!$B$38="pvp",15,MAX(0.1,Skills!D6-IF(TRUE=TRUE,Inputs!$B$32,0)))*(1-IF(AND(ArtifactsInput!$M$27,Inputs!$B$4="Chapter Hunt"),CHOOSE(ArtifactsInput!$N$27+1,20,24,28,32,36,40),0)/100)))+1)),0)</f>
        <v/>
      </c>
      <c r="S123">
        <f>IFERROR(O123/N123,0)</f>
        <v/>
      </c>
      <c r="T123">
        <f>IF(C123,(H123*N123*IF(AND(Inputs!$B$38&lt;&gt;"pvp",Inputs!$B$43&gt;0),((Skills!G6*((R123-1)*IF(Skills!H6&gt;0,INT(Skills!I6/Skills!H6+0.000000001),1)+IF(Skills!H6&gt;0,INT(MIN(Skills!I6,MAX(0,MAX(0,Inputs!$B$43-B155)-((R123-1)*(IF(Inputs!$B$38="pvp",15,MAX(0.1,Skills!D6-IF(TRUE=TRUE,Inputs!$B$32,0)))*(1-IF(AND(ArtifactsInput!$M$27,Inputs!$B$4="Chapter Hunt"),CHOOSE(ArtifactsInput!$N$27+1,20,24,28,32,36,40),0)/100)))))/Skills!H6+0.000000001),1)))/Inputs!$B$43),G123*Q123))*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Hunt"),CHOOSE(ArtifactsInput!$N$35+1,15,18,21,24,27,30)*(1-EXP(-(0.2*B150)*5)),0)+IF(AND(ArtifactsInput!$M$22,Inputs!$B$4&lt;&gt;"Chapter Hunt"),CHOOSE(ArtifactsInput!$N$22+1,10,12,14,16,18,20)*((0*(((0.15*B150*5))^0/1)+1*(((0.15*B150*5))^1/1)+2*(((0.15*B150*5))^2/2)+3*(((0.15*B150*5))^3/6)+4*(((0.15*B150*5))^4/24)+5*(((0.15*B150*5))^5/120))/((((0.15*B150*5))^0/1)+(((0.15*B150*5))^1/1)+(((0.15*B150*5))^2/2)+(((0.15*B150*5))^3/6)+(((0.15*B150*5))^4/24)+(((0.15*B150*5))^5/120))),0))+IF(Inputs!$B$3&gt;=54,9*(C120=TRUE)*MIN(1,8*(1+Inputs!$B$34/100)*Q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123*(1-MIN(100,(Inputs!$B$9+((C136=TRUE)*(F136-Calc!F19))+B148+(ArtifactsInput!$M$24-ArtifactsInput!$M$24)*CHOOSE(ArtifactsInput!$N$24+1,10,12,14,16,18,20)+(IF(AND(Inputs!$B$38&lt;&gt;"pvp",Inputs!$B$43=0),1,IF(IF(Inputs!$B$38="pvp",15,Inputs!$B$43)-(B155)&lt;=0,1,MAX(0,IF(Inputs!$B$38="pvp",15,Inputs!$B$43)-MAX(5,B155))/(IF(Inputs!$B$38="pvp",15,Inputs!$B$43)-(B155))))*IF(AND(ArtifactsInput!$M$42,((Inputs!$B$9+((C136=TRUE)*(F136-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123*(MIN(100,(Inputs!$B$9+((C136=TRUE)*(F136-Calc!F19))+B148+(ArtifactsInput!$M$24-ArtifactsInput!$M$24)*CHOOSE(ArtifactsInput!$N$24+1,10,12,14,16,18,20)+(IF(AND(Inputs!$B$38&lt;&gt;"pvp",Inputs!$B$43=0),1,IF(IF(Inputs!$B$38="pvp",15,Inputs!$B$43)-(B155)&lt;=0,1,MAX(0,IF(Inputs!$B$38="pvp",15,Inputs!$B$43)-MAX(5,B155))/(IF(Inputs!$B$38="pvp",15,Inputs!$B$43)-(B155))))*IF(AND(ArtifactsInput!$M$42,((Inputs!$B$9+((C136=TRUE)*(F136-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123*(1-MIN(100,(Inputs!$B$9+((C136=TRUE)*(F136-Calc!F19))+B148+(ArtifactsInput!$M$24-ArtifactsInput!$M$24)*CHOOSE(ArtifactsInput!$N$24+1,10,12,14,16,18,20)+(IF(AND(Inputs!$B$38&lt;&gt;"pvp",Inputs!$B$43=0),1,IF(IF(Inputs!$B$38="pvp",15,Inputs!$B$43)-(B155)&lt;=0,1,MAX(0,IF(Inputs!$B$38="pvp",15,Inputs!$B$43)-MAX(5,B155))/(IF(Inputs!$B$38="pvp",15,Inputs!$B$43)-(B155))))*IF(AND(ArtifactsInput!$M$42,((Inputs!$B$9+((C136=TRUE)*(F136-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123*(MIN(100,(Inputs!$B$9+((C136=TRUE)*(F136-Calc!F19))+B148+(ArtifactsInput!$M$24-ArtifactsInput!$M$24)*CHOOSE(ArtifactsInput!$N$24+1,10,12,14,16,18,20)+(IF(AND(Inputs!$B$38&lt;&gt;"pvp",Inputs!$B$43=0),1,IF(IF(Inputs!$B$38="pvp",15,Inputs!$B$43)-(B155)&lt;=0,1,MAX(0,IF(Inputs!$B$38="pvp",15,Inputs!$B$43)-MAX(5,B155))/(IF(Inputs!$B$38="pvp",15,Inputs!$B$43)-(B155))))*IF(AND(ArtifactsInput!$M$42,((Inputs!$B$9+((C136=TRUE)*(F136-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3">
        <f>IF(C123,(H123*N123*IF(AND(Inputs!$B$38&lt;&gt;"pvp",Inputs!$B$43&gt;0),((Skills!G6*((R123-1)*IF(Skills!H6&gt;0,INT(Skills!I6/Skills!H6+0.000000001),1)+IF(Skills!H6&gt;0,INT(MIN(Skills!I6,MAX(0,MAX(0,Inputs!$B$43-B155)-((R123-1)*(IF(Inputs!$B$38="pvp",15,MAX(0.1,Skills!D6-IF(TRUE=TRUE,Inputs!$B$32,0)))*(1-IF(AND(ArtifactsInput!$M$27,Inputs!$B$4="Chapter Hunt"),CHOOSE(ArtifactsInput!$N$27+1,20,24,28,32,36,40),0)/100)))))/Skills!H6+0.000000001),1)))/Inputs!$B$43),G123*Q123))*IF(Inputs!$B$38="pvp",1,(1+(Inputs!$B$21+Skills!Q6+(IF(ArtifactsInput!$M$33,CHOOSE(ArtifactsInput!$N$33+1,30,36,42,48,54,60),0))+(IF(AND(ArtifactsInput!$M$35,Inputs!$B$4&lt;&gt;"Chapter Hunt"),CHOOSE(ArtifactsInput!$N$35+1,15,18,21,24,27,30)*(1-EXP(-(0.2*B150)*5)),0)+IF(AND(ArtifactsInput!$M$22,Inputs!$B$4&lt;&gt;"Chapter Hunt"),CHOOSE(ArtifactsInput!$N$22+1,10,12,14,16,18,20)*((0*(((0.15*B150*5))^0/1)+1*(((0.15*B150*5))^1/1)+2*(((0.15*B150*5))^2/2)+3*(((0.15*B150*5))^3/6)+4*(((0.15*B150*5))^4/24)+5*(((0.15*B150*5))^5/120))/((((0.15*B150*5))^0/1)+(((0.15*B150*5))^1/1)+(((0.15*B150*5))^2/2)+(((0.15*B150*5))^3/6)+(((0.15*B150*5))^4/24)+(((0.15*B150*5))^5/120))),0))+IF(Inputs!$B$3&gt;=54,9*(C120=TRUE)*MIN(1,8*(1+Inputs!$B$34/100)*Q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4">
      <c r="A124">
        <f>Skills!A7</f>
        <v/>
      </c>
      <c r="B124">
        <f>Skills!B7</f>
        <v/>
      </c>
      <c r="C124">
        <f>Inputs!$B$3&gt;=63</f>
        <v/>
      </c>
      <c r="D124">
        <f>IF(Skills!C7=1,60+Inputs!$B$25+Inputs!$B$29,IF(Skills!C7=2,90+Inputs!$B$26+Inputs!$B$29,IF(Skills!C7=3,120+Inputs!$B$27+Inputs!$B$29,MAX(0,(Inputs!$B$3-100)*3)+Inputs!$B$28+Inputs!$B$29)))</f>
        <v/>
      </c>
      <c r="E124">
        <f>INDEX(FactorTable!$B$2:$Y$301, MATCH(ROUND(MIN(300,MAX(1,D124)),0), FactorTable!$A$2:$A$301,0), Skills!M7+1)</f>
        <v/>
      </c>
      <c r="F124">
        <f>IF(Skills!N7=TRUE,(Skills!L7/10)*(E124/1000),Skills!L7/10)+Skills!O7</f>
        <v/>
      </c>
      <c r="G124">
        <f>Skills!G7*IF(Skills!H7&gt;0,INT(IF(Inputs!$B$38="pvp",MIN(Skills!I7,15),Skills!I7)/Skills!H7+0.000000001),1)</f>
        <v/>
      </c>
      <c r="H124">
        <f>1-(1-Skills!J7/100)^Skills!K7</f>
        <v/>
      </c>
      <c r="I124" t="inlineStr">
        <is>
          <t>1</t>
        </is>
      </c>
      <c r="J124">
        <f>((Inputs!$B$6*(1+Inputs!$B$7/100))+(((Inputs!$B$12*(1+(Inputs!$B$13+1)/100))-(Inputs!$B$12*(1+Inputs!$B$13/100)))+0.25*(Inputs!$B$14-Inputs!$B$14))*(1+Inputs!$B$7/100))*(F124/100)</f>
        <v/>
      </c>
      <c r="K124">
        <f>J124*(1+((Inputs!$B$12*(1+(Inputs!$B$13+1)/100))*0.01+Inputs!$B$14*0.0025)/100)*(1+Inputs!$B$15/100)*(1+Inputs!$B$16/100)*(5000/(6000+Inputs!$B$42*(1-(100*(1-(1-(Inputs!$B$19+0)/100)*(1-CHOOSE(ArtifactsInput!$N$40+1,5,6,7,8,9,10)/100)^(ArtifactsInput!$M$40-ArtifactsInput!$M$40)))/100)))*(1+(Inputs!$B$24+((C143=TRUE)*(F143-Calc!F26))+B154)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132=TRUE,F132,0)/100)*(1+(IF(Skills!A7="EIGHT_LEGS_EASTON",Inputs!$B$17+((C140=TRUE)*(F140-Calc!F23))+((C144=TRUE)*(F144-Calc!F27))+((IF(AND(Inputs!$B$38&lt;&gt;"pvp",Inputs!$B$43=0),1,IF(IF(Inputs!$B$38="pvp",15,Inputs!$B$43)-(B155)&lt;=0,1,MAX(0,IF(Inputs!$B$38="pvp",15,Inputs!$B$43)-MAX(5,B155))/(IF(Inputs!$B$38="pvp",15,Inputs!$B$43)-(B155))))*(IF(AND(ArtifactsInput!$M$42,((Inputs!$B$9+((C136=TRUE)*(F136-Calc!F19))+B148+(ArtifactsInput!$M$24-ArtifactsInput!$M$24)*CHOOSE(ArtifactsInput!$N$24+1,10,12,14,16,18,20)+IF(ArtifactsInput!$M$10,CHOOSE(ArtifactsInput!$N$10+1,15,18,21,24,27,30)*(IF(Inputs!$B$38="pvp",MIN(15,15)/15,IF(AND(Inputs!$B$38&lt;&gt;"pvp",Inputs!$B$43&gt;0),MIN(15,Inputs!$B$43)/(Inputs!$B$43),0))),0)))&gt;=100),MIN(100,((Inputs!$B$9+((C136=TRUE)*(F136-Calc!F19))+B148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155)&lt;=0,1,MAX(0,IF(Inputs!$B$38="pvp",15,Inputs!$B$43)-MAX(5,B155))/(IF(Inputs!$B$38="pvp",15,Inputs!$B$43)-(B155))))*IF(AND(ArtifactsInput!$M$42,((Inputs!$B$9+((C136=TRUE)*(F136-Calc!F19))+B148+(ArtifactsInput!$M$24-ArtifactsInput!$M$24)*CHOOSE(ArtifactsInput!$N$24+1,10,12,14,16,18,20)+IF(ArtifactsInput!$M$10,CHOOSE(ArtifactsInput!$N$10+1,15,18,21,24,27,30)*(IF(Inputs!$B$38="pvp",MIN(15,15)/15,IF(AND(Inputs!$B$38&lt;&gt;"pvp",Inputs!$B$43&gt;0),MIN(15,Inputs!$B$43)/(Inputs!$B$43),0))),0)))&gt;=100),CHOOSE(ArtifactsInput!$N$42+1,40,48,56,64,72,80),0))))/100)*((1+(((C134=TRUE)*F134*5/7)+((C141=TRUE)*(F141-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124)</f>
        <v/>
      </c>
      <c r="L124">
        <f>K124*(MIN(Inputs!$B$22+((C139=TRUE)*(F139-Calc!F22)),(Inputs!$B$23+0+(IF(ArtifactsInput!$M$15,CHOOSE(ArtifactsInput!$N$15+1,25,30,35,40,45,50)/100*(Inputs!$B$11-Inputs!$B$11),0))))/100+(Inputs!$B$23+0+(IF(ArtifactsInput!$M$15,CHOOSE(ArtifactsInput!$N$15+1,25,30,35,40,45,50)/100*(Inputs!$B$11-Inputs!$B$11),0)))/100)/2</f>
        <v/>
      </c>
      <c r="M124">
        <f>L124*(1+(Inputs!$B$10+((C142=TRUE)*(F142-Calc!F25))+B153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4">
        <f>L124*(1-MIN((Inputs!$B$9+((C136=TRUE)*(F136-Calc!F19))+B148+(ArtifactsInput!$M$24-ArtifactsInput!$M$24)*CHOOSE(ArtifactsInput!$N$24+1,10,12,14,16,18,20)+(IF(AND(Inputs!$B$38&lt;&gt;"pvp",Inputs!$B$43=0),1,IF(IF(Inputs!$B$38="pvp",15,Inputs!$B$43)-(B155)&lt;=0,1,MAX(0,IF(Inputs!$B$38="pvp",15,Inputs!$B$43)-MAX(5,B155))/(IF(Inputs!$B$38="pvp",15,Inputs!$B$43)-(B155))))*IF(AND(ArtifactsInput!$M$42,((Inputs!$B$9+((C136=TRUE)*(F136-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124*(MIN((Inputs!$B$9+((C136=TRUE)*(F136-Calc!F19))+B148+(ArtifactsInput!$M$24-ArtifactsInput!$M$24)*CHOOSE(ArtifactsInput!$N$24+1,10,12,14,16,18,20)+(IF(AND(Inputs!$B$38&lt;&gt;"pvp",Inputs!$B$43=0),1,IF(IF(Inputs!$B$38="pvp",15,Inputs!$B$43)-(B155)&lt;=0,1,MAX(0,IF(Inputs!$B$38="pvp",15,Inputs!$B$43)-MAX(5,B155))/(IF(Inputs!$B$38="pvp",15,Inputs!$B$43)-(B155))))*IF(AND(ArtifactsInput!$M$42,((Inputs!$B$9+((C136=TRUE)*(F136-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4">
        <f>(1-Summary!$B$11)*T124+Summary!$B$11*V124</f>
        <v/>
      </c>
      <c r="P124">
        <f>IF(B158=0,0,O124/B158)</f>
        <v/>
      </c>
      <c r="Q124">
        <f>IFERROR(1/(IF(Inputs!$B$38="pvp",15,MAX(0.1,Skills!D7-IF(TRUE=TRUE,Inputs!$B$32,0)))*(1-IF(AND(ArtifactsInput!$M$27,Inputs!$B$4="Chapter Hunt"),CHOOSE(ArtifactsInput!$N$27+1,20,24,28,32,36,40),0)/100)),0)</f>
        <v/>
      </c>
      <c r="R124">
        <f>IF(AND(Inputs!$B$38&lt;&gt;"pvp",Inputs!$B$43&gt;0),IF(MAX(0,Inputs!$B$43-B155)&lt;=0,0,(INT(MAX(0,Inputs!$B$43-B155)/(IF(Inputs!$B$38="pvp",15,MAX(0.1,Skills!D7-IF(TRUE=TRUE,Inputs!$B$32,0)))*(1-IF(AND(ArtifactsInput!$M$27,Inputs!$B$4="Chapter Hunt"),CHOOSE(ArtifactsInput!$N$27+1,20,24,28,32,36,40),0)/100)))+1)),0)</f>
        <v/>
      </c>
      <c r="S124">
        <f>IFERROR(O124/N124,0)</f>
        <v/>
      </c>
      <c r="T124">
        <f>IF(C124,(H124*N124*IF(AND(Inputs!$B$38&lt;&gt;"pvp",Inputs!$B$43&gt;0),((Skills!G7*((R124-1)*IF(Skills!H7&gt;0,INT(Skills!I7/Skills!H7+0.000000001),1)+IF(Skills!H7&gt;0,INT(MIN(Skills!I7,MAX(0,MAX(0,Inputs!$B$43-B155)-((R124-1)*(IF(Inputs!$B$38="pvp",15,MAX(0.1,Skills!D7-IF(TRUE=TRUE,Inputs!$B$32,0)))*(1-IF(AND(ArtifactsInput!$M$27,Inputs!$B$4="Chapter Hunt"),CHOOSE(ArtifactsInput!$N$27+1,20,24,28,32,36,40),0)/100)))))/Skills!H7+0.000000001),1)))/Inputs!$B$43),G124*Q124))*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Hunt"),CHOOSE(ArtifactsInput!$N$35+1,15,18,21,24,27,30)*(1-EXP(-(0.2*B150)*5)),0)+IF(AND(ArtifactsInput!$M$22,Inputs!$B$4&lt;&gt;"Chapter Hunt"),CHOOSE(ArtifactsInput!$N$22+1,10,12,14,16,18,20)*((0*(((0.15*B150*5))^0/1)+1*(((0.15*B150*5))^1/1)+2*(((0.15*B150*5))^2/2)+3*(((0.15*B150*5))^3/6)+4*(((0.15*B150*5))^4/24)+5*(((0.15*B150*5))^5/120))/((((0.15*B150*5))^0/1)+(((0.15*B150*5))^1/1)+(((0.15*B150*5))^2/2)+(((0.15*B150*5))^3/6)+(((0.15*B150*5))^4/24)+(((0.15*B150*5))^5/120))),0))+IF(Inputs!$B$3&gt;=54,9*(C120=TRUE)*MIN(1,8*(1+Inputs!$B$34/100)*Q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124*(1-MIN(100,(Inputs!$B$9+((C136=TRUE)*(F136-Calc!F19))+B148+(ArtifactsInput!$M$24-ArtifactsInput!$M$24)*CHOOSE(ArtifactsInput!$N$24+1,10,12,14,16,18,20)+(IF(AND(Inputs!$B$38&lt;&gt;"pvp",Inputs!$B$43=0),1,IF(IF(Inputs!$B$38="pvp",15,Inputs!$B$43)-(B155)&lt;=0,1,MAX(0,IF(Inputs!$B$38="pvp",15,Inputs!$B$43)-MAX(5,B155))/(IF(Inputs!$B$38="pvp",15,Inputs!$B$43)-(B155))))*IF(AND(ArtifactsInput!$M$42,((Inputs!$B$9+((C136=TRUE)*(F136-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124*(MIN(100,(Inputs!$B$9+((C136=TRUE)*(F136-Calc!F19))+B148+(ArtifactsInput!$M$24-ArtifactsInput!$M$24)*CHOOSE(ArtifactsInput!$N$24+1,10,12,14,16,18,20)+(IF(AND(Inputs!$B$38&lt;&gt;"pvp",Inputs!$B$43=0),1,IF(IF(Inputs!$B$38="pvp",15,Inputs!$B$43)-(B155)&lt;=0,1,MAX(0,IF(Inputs!$B$38="pvp",15,Inputs!$B$43)-MAX(5,B155))/(IF(Inputs!$B$38="pvp",15,Inputs!$B$43)-(B155))))*IF(AND(ArtifactsInput!$M$42,((Inputs!$B$9+((C136=TRUE)*(F136-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124*(1-MIN(100,(Inputs!$B$9+((C136=TRUE)*(F136-Calc!F19))+B148+(ArtifactsInput!$M$24-ArtifactsInput!$M$24)*CHOOSE(ArtifactsInput!$N$24+1,10,12,14,16,18,20)+(IF(AND(Inputs!$B$38&lt;&gt;"pvp",Inputs!$B$43=0),1,IF(IF(Inputs!$B$38="pvp",15,Inputs!$B$43)-(B155)&lt;=0,1,MAX(0,IF(Inputs!$B$38="pvp",15,Inputs!$B$43)-MAX(5,B155))/(IF(Inputs!$B$38="pvp",15,Inputs!$B$43)-(B155))))*IF(AND(ArtifactsInput!$M$42,((Inputs!$B$9+((C136=TRUE)*(F136-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124*(MIN(100,(Inputs!$B$9+((C136=TRUE)*(F136-Calc!F19))+B148+(ArtifactsInput!$M$24-ArtifactsInput!$M$24)*CHOOSE(ArtifactsInput!$N$24+1,10,12,14,16,18,20)+(IF(AND(Inputs!$B$38&lt;&gt;"pvp",Inputs!$B$43=0),1,IF(IF(Inputs!$B$38="pvp",15,Inputs!$B$43)-(B155)&lt;=0,1,MAX(0,IF(Inputs!$B$38="pvp",15,Inputs!$B$43)-MAX(5,B155))/(IF(Inputs!$B$38="pvp",15,Inputs!$B$43)-(B155))))*IF(AND(ArtifactsInput!$M$42,((Inputs!$B$9+((C136=TRUE)*(F136-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4">
        <f>IF(C124,(H124*N124*IF(AND(Inputs!$B$38&lt;&gt;"pvp",Inputs!$B$43&gt;0),((Skills!G7*((R124-1)*IF(Skills!H7&gt;0,INT(Skills!I7/Skills!H7+0.000000001),1)+IF(Skills!H7&gt;0,INT(MIN(Skills!I7,MAX(0,MAX(0,Inputs!$B$43-B155)-((R124-1)*(IF(Inputs!$B$38="pvp",15,MAX(0.1,Skills!D7-IF(TRUE=TRUE,Inputs!$B$32,0)))*(1-IF(AND(ArtifactsInput!$M$27,Inputs!$B$4="Chapter Hunt"),CHOOSE(ArtifactsInput!$N$27+1,20,24,28,32,36,40),0)/100)))))/Skills!H7+0.000000001),1)))/Inputs!$B$43),G124*Q124))*IF(Inputs!$B$38="pvp",1,(1+(Inputs!$B$21+Skills!Q7+(IF(ArtifactsInput!$M$33,CHOOSE(ArtifactsInput!$N$33+1,30,36,42,48,54,60),0))+(IF(AND(ArtifactsInput!$M$35,Inputs!$B$4&lt;&gt;"Chapter Hunt"),CHOOSE(ArtifactsInput!$N$35+1,15,18,21,24,27,30)*(1-EXP(-(0.2*B150)*5)),0)+IF(AND(ArtifactsInput!$M$22,Inputs!$B$4&lt;&gt;"Chapter Hunt"),CHOOSE(ArtifactsInput!$N$22+1,10,12,14,16,18,20)*((0*(((0.15*B150*5))^0/1)+1*(((0.15*B150*5))^1/1)+2*(((0.15*B150*5))^2/2)+3*(((0.15*B150*5))^3/6)+4*(((0.15*B150*5))^4/24)+5*(((0.15*B150*5))^5/120))/((((0.15*B150*5))^0/1)+(((0.15*B150*5))^1/1)+(((0.15*B150*5))^2/2)+(((0.15*B150*5))^3/6)+(((0.15*B150*5))^4/24)+(((0.15*B150*5))^5/120))),0))+IF(Inputs!$B$3&gt;=54,9*(C120=TRUE)*MIN(1,8*(1+Inputs!$B$34/100)*Q120)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5">
      <c r="A125">
        <f>Skills!A8</f>
        <v/>
      </c>
      <c r="B125">
        <f>Skills!B8</f>
        <v/>
      </c>
      <c r="C125">
        <f>Inputs!$B$3&gt;=103</f>
        <v/>
      </c>
      <c r="D125">
        <f>IF(Skills!C8=1,60+Inputs!$B$25+Inputs!$B$29,IF(Skills!C8=2,90+Inputs!$B$26+Inputs!$B$29,IF(Skills!C8=3,120+Inputs!$B$27+Inputs!$B$29,MAX(0,(Inputs!$B$3-100)*3)+Inputs!$B$28+Inputs!$B$29)))</f>
        <v/>
      </c>
      <c r="E125">
        <f>INDEX(FactorTable!$B$2:$Y$301, MATCH(ROUND(MIN(300,MAX(1,D125)),0), FactorTable!$A$2:$A$301,0), Skills!M8+1)</f>
        <v/>
      </c>
      <c r="F125">
        <f>IF(Skills!N8=TRUE,(Skills!L8/10)*(E125/1000),Skills!L8/10)+Skills!O8</f>
        <v/>
      </c>
      <c r="G125">
        <f>Skills!G8*IF(Skills!H8&gt;0,INT(IF(Inputs!$B$38="pvp",MIN(Skills!I8,15),Skills!I8)/Skills!H8+0.000000001),1)</f>
        <v/>
      </c>
      <c r="H125">
        <f>1-(1-Skills!J8/100)^Skills!K8</f>
        <v/>
      </c>
      <c r="I125" t="inlineStr">
        <is>
          <t>1</t>
        </is>
      </c>
      <c r="J125">
        <f>((Inputs!$B$6*(1+Inputs!$B$7/100))+(((Inputs!$B$12*(1+(Inputs!$B$13+1)/100))-(Inputs!$B$12*(1+Inputs!$B$13/100)))+0.25*(Inputs!$B$14-Inputs!$B$14))*(1+Inputs!$B$7/100))*(F125/100)</f>
        <v/>
      </c>
      <c r="K125">
        <f>J125*(1+((Inputs!$B$12*(1+(Inputs!$B$13+1)/100))*0.01+Inputs!$B$14*0.0025)/100)*(1+Inputs!$B$15/100)*(1+Inputs!$B$16/100)*(5000/(6000+Inputs!$B$42*(1-(100*(1-(1-(Inputs!$B$19+0)/100)*(1-CHOOSE(ArtifactsInput!$N$40+1,5,6,7,8,9,10)/100)^(ArtifactsInput!$M$40-ArtifactsInput!$M$40)))/100)))*(1+(Inputs!$B$24+((C143=TRUE)*(F143-Calc!F26))+B154)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IGHT_LEGS_EASTON",Inputs!$B$17+((C140=TRUE)*(F140-Calc!F23))+((C144=TRUE)*(F144-Calc!F27))+((IF(AND(Inputs!$B$38&lt;&gt;"pvp",Inputs!$B$43=0),1,IF(IF(Inputs!$B$38="pvp",15,Inputs!$B$43)-(B155)&lt;=0,1,MAX(0,IF(Inputs!$B$38="pvp",15,Inputs!$B$43)-MAX(5,B155))/(IF(Inputs!$B$38="pvp",15,Inputs!$B$43)-(B155))))*(IF(AND(ArtifactsInput!$M$42,((Inputs!$B$9+((C136=TRUE)*(F136-Calc!F19))+B148+(ArtifactsInput!$M$24-ArtifactsInput!$M$24)*CHOOSE(ArtifactsInput!$N$24+1,10,12,14,16,18,20)+IF(ArtifactsInput!$M$10,CHOOSE(ArtifactsInput!$N$10+1,15,18,21,24,27,30)*(IF(Inputs!$B$38="pvp",MIN(15,15)/15,IF(AND(Inputs!$B$38&lt;&gt;"pvp",Inputs!$B$43&gt;0),MIN(15,Inputs!$B$43)/(Inputs!$B$43),0))),0)))&gt;=100),MIN(100,((Inputs!$B$9+((C136=TRUE)*(F136-Calc!F19))+B148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155)&lt;=0,1,MAX(0,IF(Inputs!$B$38="pvp",15,Inputs!$B$43)-MAX(5,B155))/(IF(Inputs!$B$38="pvp",15,Inputs!$B$43)-(B155))))*IF(AND(ArtifactsInput!$M$42,((Inputs!$B$9+((C136=TRUE)*(F136-Calc!F19))+B148+(ArtifactsInput!$M$24-ArtifactsInput!$M$24)*CHOOSE(ArtifactsInput!$N$24+1,10,12,14,16,18,20)+IF(ArtifactsInput!$M$10,CHOOSE(ArtifactsInput!$N$10+1,15,18,21,24,27,30)*(IF(Inputs!$B$38="pvp",MIN(15,15)/15,IF(AND(Inputs!$B$38&lt;&gt;"pvp",Inputs!$B$43&gt;0),MIN(15,Inputs!$B$43)/(Inputs!$B$43),0))),0)))&gt;=100),CHOOSE(ArtifactsInput!$N$42+1,40,48,56,64,72,80),0))))/100)*((1+(((C134=TRUE)*F134*5/7)+((C141=TRUE)*(F141-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125)</f>
        <v/>
      </c>
      <c r="L125">
        <f>K125*(MIN(Inputs!$B$22+((C139=TRUE)*(F139-Calc!F22)),(Inputs!$B$23+0+(IF(ArtifactsInput!$M$15,CHOOSE(ArtifactsInput!$N$15+1,25,30,35,40,45,50)/100*(Inputs!$B$11-Inputs!$B$11),0))))/100+(Inputs!$B$23+0+(IF(ArtifactsInput!$M$15,CHOOSE(ArtifactsInput!$N$15+1,25,30,35,40,45,50)/100*(Inputs!$B$11-Inputs!$B$11),0)))/100)/2</f>
        <v/>
      </c>
      <c r="M125">
        <f>L125*(1+(Inputs!$B$10+((C142=TRUE)*(F142-Calc!F25))+B153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5">
        <f>L125*(1-MIN((Inputs!$B$9+((C136=TRUE)*(F136-Calc!F19))+B148+(ArtifactsInput!$M$24-ArtifactsInput!$M$24)*CHOOSE(ArtifactsInput!$N$24+1,10,12,14,16,18,20)+(IF(AND(Inputs!$B$38&lt;&gt;"pvp",Inputs!$B$43=0),1,IF(IF(Inputs!$B$38="pvp",15,Inputs!$B$43)-(B155)&lt;=0,1,MAX(0,IF(Inputs!$B$38="pvp",15,Inputs!$B$43)-MAX(5,B155))/(IF(Inputs!$B$38="pvp",15,Inputs!$B$43)-(B155))))*IF(AND(ArtifactsInput!$M$42,((Inputs!$B$9+((C136=TRUE)*(F136-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125*(MIN((Inputs!$B$9+((C136=TRUE)*(F136-Calc!F19))+B148+(ArtifactsInput!$M$24-ArtifactsInput!$M$24)*CHOOSE(ArtifactsInput!$N$24+1,10,12,14,16,18,20)+(IF(AND(Inputs!$B$38&lt;&gt;"pvp",Inputs!$B$43=0),1,IF(IF(Inputs!$B$38="pvp",15,Inputs!$B$43)-(B155)&lt;=0,1,MAX(0,IF(Inputs!$B$38="pvp",15,Inputs!$B$43)-MAX(5,B155))/(IF(Inputs!$B$38="pvp",15,Inputs!$B$43)-(B155))))*IF(AND(ArtifactsInput!$M$42,((Inputs!$B$9+((C136=TRUE)*(F136-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5">
        <f>(1-Summary!$B$11)*T125+Summary!$B$11*V125</f>
        <v/>
      </c>
      <c r="P125">
        <f>IF(B158=0,0,O125/B158)</f>
        <v/>
      </c>
      <c r="Q125">
        <f>IFERROR(1/((IF(Inputs!$B$38="pvp",15,MAX(0.1,Skills!D8-IF(TRUE=TRUE,Inputs!$B$32,0)))*(1-IF(AND(ArtifactsInput!$M$27,Inputs!$B$4="Chapter Hunt"),CHOOSE(ArtifactsInput!$N$27+1,20,24,28,32,36,40),0)/100))/B159),0)</f>
        <v/>
      </c>
      <c r="R125">
        <f>IF(AND(Inputs!$B$38&lt;&gt;"pvp",Inputs!$B$43&gt;0),IF(MAX(0,Inputs!$B$43-B155)&lt;=0,0,(INT(MAX(0,Inputs!$B$43-B155)/((IF(Inputs!$B$38="pvp",15,MAX(0.1,Skills!D8-IF(TRUE=TRUE,Inputs!$B$32,0)))*(1-IF(AND(ArtifactsInput!$M$27,Inputs!$B$4="Chapter Hunt"),CHOOSE(ArtifactsInput!$N$27+1,20,24,28,32,36,40),0)/100))/B159))+1)),0)</f>
        <v/>
      </c>
      <c r="S125">
        <f>IFERROR(O125/N125,0)</f>
        <v/>
      </c>
      <c r="T125">
        <f>IF(C125,(H125*N125*IF(AND(Inputs!$B$38&lt;&gt;"pvp",Inputs!$B$43&gt;0),((Skills!G8*((R125-1)*IF(Skills!H8&gt;0,INT(Skills!I8/Skills!H8+0.000000001),1)+IF(Skills!H8&gt;0,INT(MIN(Skills!I8,MAX(0,MAX(0,Inputs!$B$43-B155)-((R125-1)*((IF(Inputs!$B$38="pvp",15,MAX(0.1,Skills!D8-IF(TRUE=TRUE,Inputs!$B$32,0)))*(1-IF(AND(ArtifactsInput!$M$27,Inputs!$B$4="Chapter Hunt"),CHOOSE(ArtifactsInput!$N$27+1,20,24,28,32,36,40),0)/100))/B159))))/Skills!H8+0.000000001),1)))/Inputs!$B$43),G125*Q125))*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Hunt"),CHOOSE(ArtifactsInput!$N$35+1,15,18,21,24,27,30)*(1-EXP(-(0.2*B150)*5)),0)+IF(AND(ArtifactsInput!$M$22,Inputs!$B$4&lt;&gt;"Chapter Hunt"),CHOOSE(ArtifactsInput!$N$22+1,10,12,14,16,18,20)*((0*(((0.15*B150*5))^0/1)+1*(((0.15*B150*5))^1/1)+2*(((0.15*B150*5))^2/2)+3*(((0.15*B150*5))^3/6)+4*(((0.15*B150*5))^4/24)+5*(((0.15*B150*5))^5/120))/((((0.15*B150*5))^0/1)+(((0.15*B150*5))^1/1)+(((0.15*B150*5))^2/2)+(((0.15*B150*5))^3/6)+(((0.15*B150*5))^4/24)+(((0.15*B150*5))^5/120))),0))+IF(Inputs!$B$3&gt;=54,9*(C120=TRUE)*MIN(1,8*(1+Inputs!$B$34/100)*Q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125*(1-MIN(100,(Inputs!$B$9+((C136=TRUE)*(F136-Calc!F19))+B148+(ArtifactsInput!$M$24-ArtifactsInput!$M$24)*CHOOSE(ArtifactsInput!$N$24+1,10,12,14,16,18,20)+(IF(AND(Inputs!$B$38&lt;&gt;"pvp",Inputs!$B$43=0),1,IF(IF(Inputs!$B$38="pvp",15,Inputs!$B$43)-(B155)&lt;=0,1,MAX(0,IF(Inputs!$B$38="pvp",15,Inputs!$B$43)-MAX(5,B155))/(IF(Inputs!$B$38="pvp",15,Inputs!$B$43)-(B155))))*IF(AND(ArtifactsInput!$M$42,((Inputs!$B$9+((C136=TRUE)*(F136-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125*(MIN(100,(Inputs!$B$9+((C136=TRUE)*(F136-Calc!F19))+B148+(ArtifactsInput!$M$24-ArtifactsInput!$M$24)*CHOOSE(ArtifactsInput!$N$24+1,10,12,14,16,18,20)+(IF(AND(Inputs!$B$38&lt;&gt;"pvp",Inputs!$B$43=0),1,IF(IF(Inputs!$B$38="pvp",15,Inputs!$B$43)-(B155)&lt;=0,1,MAX(0,IF(Inputs!$B$38="pvp",15,Inputs!$B$43)-MAX(5,B155))/(IF(Inputs!$B$38="pvp",15,Inputs!$B$43)-(B155))))*IF(AND(ArtifactsInput!$M$42,((Inputs!$B$9+((C136=TRUE)*(F136-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125*(1-MIN(100,(Inputs!$B$9+((C136=TRUE)*(F136-Calc!F19))+B148+(ArtifactsInput!$M$24-ArtifactsInput!$M$24)*CHOOSE(ArtifactsInput!$N$24+1,10,12,14,16,18,20)+(IF(AND(Inputs!$B$38&lt;&gt;"pvp",Inputs!$B$43=0),1,IF(IF(Inputs!$B$38="pvp",15,Inputs!$B$43)-(B155)&lt;=0,1,MAX(0,IF(Inputs!$B$38="pvp",15,Inputs!$B$43)-MAX(5,B155))/(IF(Inputs!$B$38="pvp",15,Inputs!$B$43)-(B155))))*IF(AND(ArtifactsInput!$M$42,((Inputs!$B$9+((C136=TRUE)*(F136-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125*(MIN(100,(Inputs!$B$9+((C136=TRUE)*(F136-Calc!F19))+B148+(ArtifactsInput!$M$24-ArtifactsInput!$M$24)*CHOOSE(ArtifactsInput!$N$24+1,10,12,14,16,18,20)+(IF(AND(Inputs!$B$38&lt;&gt;"pvp",Inputs!$B$43=0),1,IF(IF(Inputs!$B$38="pvp",15,Inputs!$B$43)-(B155)&lt;=0,1,MAX(0,IF(Inputs!$B$38="pvp",15,Inputs!$B$43)-MAX(5,B155))/(IF(Inputs!$B$38="pvp",15,Inputs!$B$43)-(B155))))*IF(AND(ArtifactsInput!$M$42,((Inputs!$B$9+((C136=TRUE)*(F136-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5">
        <f>IF(C125,(H125*N125*IF(AND(Inputs!$B$38&lt;&gt;"pvp",Inputs!$B$43&gt;0),((Skills!G8*((R125-1)*IF(Skills!H8&gt;0,INT(Skills!I8/Skills!H8+0.000000001),1)+IF(Skills!H8&gt;0,INT(MIN(Skills!I8,MAX(0,MAX(0,Inputs!$B$43-B155)-((R125-1)*((IF(Inputs!$B$38="pvp",15,MAX(0.1,Skills!D8-IF(TRUE=TRUE,Inputs!$B$32,0)))*(1-IF(AND(ArtifactsInput!$M$27,Inputs!$B$4="Chapter Hunt"),CHOOSE(ArtifactsInput!$N$27+1,20,24,28,32,36,40),0)/100))/B159))))/Skills!H8+0.000000001),1)))/Inputs!$B$43),G125*Q125))*IF(Inputs!$B$38="pvp",1,(1+(Inputs!$B$21+Skills!Q8+(IF(ArtifactsInput!$M$33,CHOOSE(ArtifactsInput!$N$33+1,30,36,42,48,54,60),0))+(IF(AND(ArtifactsInput!$M$35,Inputs!$B$4&lt;&gt;"Chapter Hunt"),CHOOSE(ArtifactsInput!$N$35+1,15,18,21,24,27,30)*(1-EXP(-(0.2*B150)*5)),0)+IF(AND(ArtifactsInput!$M$22,Inputs!$B$4&lt;&gt;"Chapter Hunt"),CHOOSE(ArtifactsInput!$N$22+1,10,12,14,16,18,20)*((0*(((0.15*B150*5))^0/1)+1*(((0.15*B150*5))^1/1)+2*(((0.15*B150*5))^2/2)+3*(((0.15*B150*5))^3/6)+4*(((0.15*B150*5))^4/24)+5*(((0.15*B150*5))^5/120))/((((0.15*B150*5))^0/1)+(((0.15*B150*5))^1/1)+(((0.15*B150*5))^2/2)+(((0.15*B150*5))^3/6)+(((0.15*B150*5))^4/24)+(((0.15*B150*5))^5/120))),0))+IF(Inputs!$B$3&gt;=54,9*(C120=TRUE)*MIN(1,8*(1+Inputs!$B$34/100)*Q120)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6">
      <c r="A126">
        <f>Skills!A9</f>
        <v/>
      </c>
      <c r="B126">
        <f>Skills!B9</f>
        <v/>
      </c>
      <c r="C126">
        <f>Inputs!$B$3&gt;=105</f>
        <v/>
      </c>
      <c r="D126">
        <f>IF(Skills!C9=1,60+Inputs!$B$25+Inputs!$B$29,IF(Skills!C9=2,90+Inputs!$B$26+Inputs!$B$29,IF(Skills!C9=3,120+Inputs!$B$27+Inputs!$B$29,MAX(0,(Inputs!$B$3-100)*3)+Inputs!$B$28+Inputs!$B$29)))</f>
        <v/>
      </c>
      <c r="E126">
        <f>INDEX(FactorTable!$B$2:$Y$301, MATCH(ROUND(MIN(300,MAX(1,D126)),0), FactorTable!$A$2:$A$301,0), Skills!M9+1)</f>
        <v/>
      </c>
      <c r="F126">
        <f>IF(Skills!N9=TRUE,(Skills!L9/10)*(E126/1000),Skills!L9/10)+Skills!O9</f>
        <v/>
      </c>
      <c r="G126">
        <f>Skills!G9*IF(Skills!H9&gt;0,INT(IF(Inputs!$B$38="pvp",MIN(Skills!I9,15),Skills!I9)/Skills!H9+0.000000001),1)</f>
        <v/>
      </c>
      <c r="H126">
        <f>1-(1-Skills!J9/100)^Skills!K9</f>
        <v/>
      </c>
      <c r="I126" t="inlineStr">
        <is>
          <t>1</t>
        </is>
      </c>
      <c r="J126">
        <f>((Inputs!$B$6*(1+Inputs!$B$7/100))+(((Inputs!$B$12*(1+(Inputs!$B$13+1)/100))-(Inputs!$B$12*(1+Inputs!$B$13/100)))+0.25*(Inputs!$B$14-Inputs!$B$14))*(1+Inputs!$B$7/100))*(F126/100)</f>
        <v/>
      </c>
      <c r="K126">
        <f>J126*(1+((Inputs!$B$12*(1+(Inputs!$B$13+1)/100))*0.01+Inputs!$B$14*0.0025)/100)*(1+Inputs!$B$15/100)*(1+Inputs!$B$16/100)*(5000/(6000+Inputs!$B$42*(1-(100*(1-(1-(Inputs!$B$19+0)/100)*(1-CHOOSE(ArtifactsInput!$N$40+1,5,6,7,8,9,10)/100)^(ArtifactsInput!$M$40-ArtifactsInput!$M$40)))/100)))*(1+(Inputs!$B$24+((C143=TRUE)*(F143-Calc!F26))+B154)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IGHT_LEGS_EASTON",Inputs!$B$17+((C140=TRUE)*(F140-Calc!F23))+((C144=TRUE)*(F144-Calc!F27))+((IF(AND(Inputs!$B$38&lt;&gt;"pvp",Inputs!$B$43=0),1,IF(IF(Inputs!$B$38="pvp",15,Inputs!$B$43)-(B155)&lt;=0,1,MAX(0,IF(Inputs!$B$38="pvp",15,Inputs!$B$43)-MAX(5,B155))/(IF(Inputs!$B$38="pvp",15,Inputs!$B$43)-(B155))))*(IF(AND(ArtifactsInput!$M$42,((Inputs!$B$9+((C136=TRUE)*(F136-Calc!F19))+B148+(ArtifactsInput!$M$24-ArtifactsInput!$M$24)*CHOOSE(ArtifactsInput!$N$24+1,10,12,14,16,18,20)+IF(ArtifactsInput!$M$10,CHOOSE(ArtifactsInput!$N$10+1,15,18,21,24,27,30)*(IF(Inputs!$B$38="pvp",MIN(15,15)/15,IF(AND(Inputs!$B$38&lt;&gt;"pvp",Inputs!$B$43&gt;0),MIN(15,Inputs!$B$43)/(Inputs!$B$43),0))),0)))&gt;=100),MIN(100,((Inputs!$B$9+((C136=TRUE)*(F136-Calc!F19))+B148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155)&lt;=0,1,MAX(0,IF(Inputs!$B$38="pvp",15,Inputs!$B$43)-MAX(5,B155))/(IF(Inputs!$B$38="pvp",15,Inputs!$B$43)-(B155))))*IF(AND(ArtifactsInput!$M$42,((Inputs!$B$9+((C136=TRUE)*(F136-Calc!F19))+B148+(ArtifactsInput!$M$24-ArtifactsInput!$M$24)*CHOOSE(ArtifactsInput!$N$24+1,10,12,14,16,18,20)+IF(ArtifactsInput!$M$10,CHOOSE(ArtifactsInput!$N$10+1,15,18,21,24,27,30)*(IF(Inputs!$B$38="pvp",MIN(15,15)/15,IF(AND(Inputs!$B$38&lt;&gt;"pvp",Inputs!$B$43&gt;0),MIN(15,Inputs!$B$43)/(Inputs!$B$43),0))),0)))&gt;=100),CHOOSE(ArtifactsInput!$N$42+1,40,48,56,64,72,80),0))))/100)*((1+(((C134=TRUE)*F134*5/7)+((C141=TRUE)*(F141-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126)</f>
        <v/>
      </c>
      <c r="L126">
        <f>K126*(MIN(Inputs!$B$22+((C139=TRUE)*(F139-Calc!F22)),(Inputs!$B$23+0+(IF(ArtifactsInput!$M$15,CHOOSE(ArtifactsInput!$N$15+1,25,30,35,40,45,50)/100*(Inputs!$B$11-Inputs!$B$11),0))))/100+(Inputs!$B$23+0+(IF(ArtifactsInput!$M$15,CHOOSE(ArtifactsInput!$N$15+1,25,30,35,40,45,50)/100*(Inputs!$B$11-Inputs!$B$11),0)))/100)/2</f>
        <v/>
      </c>
      <c r="M126">
        <f>L126*(1+(Inputs!$B$10+((C142=TRUE)*(F142-Calc!F25))+B153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6">
        <f>L126*(1-MIN((Inputs!$B$9+((C136=TRUE)*(F136-Calc!F19))+B148+(ArtifactsInput!$M$24-ArtifactsInput!$M$24)*CHOOSE(ArtifactsInput!$N$24+1,10,12,14,16,18,20)+(IF(AND(Inputs!$B$38&lt;&gt;"pvp",Inputs!$B$43=0),1,IF(IF(Inputs!$B$38="pvp",15,Inputs!$B$43)-(B155)&lt;=0,1,MAX(0,IF(Inputs!$B$38="pvp",15,Inputs!$B$43)-MAX(5,B155))/(IF(Inputs!$B$38="pvp",15,Inputs!$B$43)-(B155))))*IF(AND(ArtifactsInput!$M$42,((Inputs!$B$9+((C136=TRUE)*(F136-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126*(MIN((Inputs!$B$9+((C136=TRUE)*(F136-Calc!F19))+B148+(ArtifactsInput!$M$24-ArtifactsInput!$M$24)*CHOOSE(ArtifactsInput!$N$24+1,10,12,14,16,18,20)+(IF(AND(Inputs!$B$38&lt;&gt;"pvp",Inputs!$B$43=0),1,IF(IF(Inputs!$B$38="pvp",15,Inputs!$B$43)-(B155)&lt;=0,1,MAX(0,IF(Inputs!$B$38="pvp",15,Inputs!$B$43)-MAX(5,B155))/(IF(Inputs!$B$38="pvp",15,Inputs!$B$43)-(B155))))*IF(AND(ArtifactsInput!$M$42,((Inputs!$B$9+((C136=TRUE)*(F136-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6">
        <f>(1-Summary!$B$11)*T126+Summary!$B$11*V126</f>
        <v/>
      </c>
      <c r="P126">
        <f>IF(B158=0,0,O126/B158)</f>
        <v/>
      </c>
      <c r="Q126">
        <f>IFERROR(1/(IF(Inputs!$B$38="pvp",15,MAX(0.1,Skills!D9-IF(TRUE=TRUE,Inputs!$B$32,0)))*(1-IF(AND(ArtifactsInput!$M$27,Inputs!$B$4="Chapter Hunt"),CHOOSE(ArtifactsInput!$N$27+1,20,24,28,32,36,40),0)/100)),0)</f>
        <v/>
      </c>
      <c r="R126">
        <f>IF(AND(Inputs!$B$38&lt;&gt;"pvp",Inputs!$B$43&gt;0),IF(MAX(0,Inputs!$B$43-B155)&lt;=0,0,(INT(MAX(0,Inputs!$B$43-B155)/(IF(Inputs!$B$38="pvp",15,MAX(0.1,Skills!D9-IF(TRUE=TRUE,Inputs!$B$32,0)))*(1-IF(AND(ArtifactsInput!$M$27,Inputs!$B$4="Chapter Hunt"),CHOOSE(ArtifactsInput!$N$27+1,20,24,28,32,36,40),0)/100)))+1)),0)</f>
        <v/>
      </c>
      <c r="S126">
        <f>IFERROR(O126/N126,0)</f>
        <v/>
      </c>
      <c r="T126">
        <f>IF(C126,(H126*N126*IF(AND(Inputs!$B$38&lt;&gt;"pvp",Inputs!$B$43&gt;0),((Skills!G9*((R126-1)*IF(Skills!H9&gt;0,INT(Skills!I9/Skills!H9+0.000000001),1)+IF(Skills!H9&gt;0,INT(MIN(Skills!I9,MAX(0,MAX(0,Inputs!$B$43-B155)-((R126-1)*(IF(Inputs!$B$38="pvp",15,MAX(0.1,Skills!D9-IF(TRUE=TRUE,Inputs!$B$32,0)))*(1-IF(AND(ArtifactsInput!$M$27,Inputs!$B$4="Chapter Hunt"),CHOOSE(ArtifactsInput!$N$27+1,20,24,28,32,36,40),0)/100)))))/Skills!H9+0.000000001),1)))/Inputs!$B$43),G126*Q126))*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Hunt"),CHOOSE(ArtifactsInput!$N$35+1,15,18,21,24,27,30)*(1-EXP(-(0.2*B150)*5)),0)+IF(AND(ArtifactsInput!$M$22,Inputs!$B$4&lt;&gt;"Chapter Hunt"),CHOOSE(ArtifactsInput!$N$22+1,10,12,14,16,18,20)*((0*(((0.15*B150*5))^0/1)+1*(((0.15*B150*5))^1/1)+2*(((0.15*B150*5))^2/2)+3*(((0.15*B150*5))^3/6)+4*(((0.15*B150*5))^4/24)+5*(((0.15*B150*5))^5/120))/((((0.15*B150*5))^0/1)+(((0.15*B150*5))^1/1)+(((0.15*B150*5))^2/2)+(((0.15*B150*5))^3/6)+(((0.15*B150*5))^4/24)+(((0.15*B150*5))^5/120))),0))+IF(Inputs!$B$3&gt;=54,9*(C120=TRUE)*MIN(1,8*(1+Inputs!$B$34/100)*Q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126*(1-MIN(100,(Inputs!$B$9+((C136=TRUE)*(F136-Calc!F19))+B148+(ArtifactsInput!$M$24-ArtifactsInput!$M$24)*CHOOSE(ArtifactsInput!$N$24+1,10,12,14,16,18,20)+(IF(AND(Inputs!$B$38&lt;&gt;"pvp",Inputs!$B$43=0),1,IF(IF(Inputs!$B$38="pvp",15,Inputs!$B$43)-(B155)&lt;=0,1,MAX(0,IF(Inputs!$B$38="pvp",15,Inputs!$B$43)-MAX(5,B155))/(IF(Inputs!$B$38="pvp",15,Inputs!$B$43)-(B155))))*IF(AND(ArtifactsInput!$M$42,((Inputs!$B$9+((C136=TRUE)*(F136-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126*(MIN(100,(Inputs!$B$9+((C136=TRUE)*(F136-Calc!F19))+B148+(ArtifactsInput!$M$24-ArtifactsInput!$M$24)*CHOOSE(ArtifactsInput!$N$24+1,10,12,14,16,18,20)+(IF(AND(Inputs!$B$38&lt;&gt;"pvp",Inputs!$B$43=0),1,IF(IF(Inputs!$B$38="pvp",15,Inputs!$B$43)-(B155)&lt;=0,1,MAX(0,IF(Inputs!$B$38="pvp",15,Inputs!$B$43)-MAX(5,B155))/(IF(Inputs!$B$38="pvp",15,Inputs!$B$43)-(B155))))*IF(AND(ArtifactsInput!$M$42,((Inputs!$B$9+((C136=TRUE)*(F136-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126*(1-MIN(100,(Inputs!$B$9+((C136=TRUE)*(F136-Calc!F19))+B148+(ArtifactsInput!$M$24-ArtifactsInput!$M$24)*CHOOSE(ArtifactsInput!$N$24+1,10,12,14,16,18,20)+(IF(AND(Inputs!$B$38&lt;&gt;"pvp",Inputs!$B$43=0),1,IF(IF(Inputs!$B$38="pvp",15,Inputs!$B$43)-(B155)&lt;=0,1,MAX(0,IF(Inputs!$B$38="pvp",15,Inputs!$B$43)-MAX(5,B155))/(IF(Inputs!$B$38="pvp",15,Inputs!$B$43)-(B155))))*IF(AND(ArtifactsInput!$M$42,((Inputs!$B$9+((C136=TRUE)*(F136-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126*(MIN(100,(Inputs!$B$9+((C136=TRUE)*(F136-Calc!F19))+B148+(ArtifactsInput!$M$24-ArtifactsInput!$M$24)*CHOOSE(ArtifactsInput!$N$24+1,10,12,14,16,18,20)+(IF(AND(Inputs!$B$38&lt;&gt;"pvp",Inputs!$B$43=0),1,IF(IF(Inputs!$B$38="pvp",15,Inputs!$B$43)-(B155)&lt;=0,1,MAX(0,IF(Inputs!$B$38="pvp",15,Inputs!$B$43)-MAX(5,B155))/(IF(Inputs!$B$38="pvp",15,Inputs!$B$43)-(B155))))*IF(AND(ArtifactsInput!$M$42,((Inputs!$B$9+((C136=TRUE)*(F136-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6">
        <f>IF(C126,(H126*N126*IF(AND(Inputs!$B$38&lt;&gt;"pvp",Inputs!$B$43&gt;0),((Skills!G9*((R126-1)*IF(Skills!H9&gt;0,INT(Skills!I9/Skills!H9+0.000000001),1)+IF(Skills!H9&gt;0,INT(MIN(Skills!I9,MAX(0,MAX(0,Inputs!$B$43-B155)-((R126-1)*(IF(Inputs!$B$38="pvp",15,MAX(0.1,Skills!D9-IF(TRUE=TRUE,Inputs!$B$32,0)))*(1-IF(AND(ArtifactsInput!$M$27,Inputs!$B$4="Chapter Hunt"),CHOOSE(ArtifactsInput!$N$27+1,20,24,28,32,36,40),0)/100)))))/Skills!H9+0.000000001),1)))/Inputs!$B$43),G126*Q126))*IF(Inputs!$B$38="pvp",1,(1+(Inputs!$B$21+Skills!Q9+(IF(ArtifactsInput!$M$33,CHOOSE(ArtifactsInput!$N$33+1,30,36,42,48,54,60),0))+(IF(AND(ArtifactsInput!$M$35,Inputs!$B$4&lt;&gt;"Chapter Hunt"),CHOOSE(ArtifactsInput!$N$35+1,15,18,21,24,27,30)*(1-EXP(-(0.2*B150)*5)),0)+IF(AND(ArtifactsInput!$M$22,Inputs!$B$4&lt;&gt;"Chapter Hunt"),CHOOSE(ArtifactsInput!$N$22+1,10,12,14,16,18,20)*((0*(((0.15*B150*5))^0/1)+1*(((0.15*B150*5))^1/1)+2*(((0.15*B150*5))^2/2)+3*(((0.15*B150*5))^3/6)+4*(((0.15*B150*5))^4/24)+5*(((0.15*B150*5))^5/120))/((((0.15*B150*5))^0/1)+(((0.15*B150*5))^1/1)+(((0.15*B150*5))^2/2)+(((0.15*B150*5))^3/6)+(((0.15*B150*5))^4/24)+(((0.15*B150*5))^5/120))),0))+IF(Inputs!$B$3&gt;=54,9*(C120=TRUE)*MIN(1,8*(1+Inputs!$B$34/100)*Q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7">
      <c r="A127">
        <f>Skills!A10</f>
        <v/>
      </c>
      <c r="B127">
        <f>Skills!B10</f>
        <v/>
      </c>
      <c r="C127">
        <f>Inputs!$B$3&gt;=113</f>
        <v/>
      </c>
      <c r="D127">
        <f>IF(Skills!C10=1,60+Inputs!$B$25+Inputs!$B$29,IF(Skills!C10=2,90+Inputs!$B$26+Inputs!$B$29,IF(Skills!C10=3,120+Inputs!$B$27+Inputs!$B$29,MAX(0,(Inputs!$B$3-100)*3)+Inputs!$B$28+Inputs!$B$29)))</f>
        <v/>
      </c>
      <c r="E127">
        <f>INDEX(FactorTable!$B$2:$Y$301, MATCH(ROUND(MIN(300,MAX(1,D127)),0), FactorTable!$A$2:$A$301,0), Skills!M10+1)</f>
        <v/>
      </c>
      <c r="F127">
        <f>IF(Skills!N10=TRUE,(Skills!L10/10)*(E127/1000),Skills!L10/10)+Skills!O10</f>
        <v/>
      </c>
      <c r="G127">
        <f>Skills!G10*IF(Skills!H10&gt;0,INT(IF(Inputs!$B$38="pvp",MIN(Skills!I10,15),Skills!I10)/Skills!H10+0.000000001),1)</f>
        <v/>
      </c>
      <c r="H127">
        <f>1-(1-Skills!J10/100)^Skills!K10</f>
        <v/>
      </c>
      <c r="I127" t="inlineStr">
        <is>
          <t>1</t>
        </is>
      </c>
      <c r="J127">
        <f>((Inputs!$B$6*(1+Inputs!$B$7/100))+(((Inputs!$B$12*(1+(Inputs!$B$13+1)/100))-(Inputs!$B$12*(1+Inputs!$B$13/100)))+0.25*(Inputs!$B$14-Inputs!$B$14))*(1+Inputs!$B$7/100))*(F127/100)</f>
        <v/>
      </c>
      <c r="K127">
        <f>J127*(1+((Inputs!$B$12*(1+(Inputs!$B$13+1)/100))*0.01+Inputs!$B$14*0.0025)/100)*(1+Inputs!$B$15/100)*(1+Inputs!$B$16/100)*(5000/(6000+Inputs!$B$42*(1-(100*(1-(1-(Inputs!$B$19+0)/100)*(1-CHOOSE(ArtifactsInput!$N$40+1,5,6,7,8,9,10)/100)^(ArtifactsInput!$M$40-ArtifactsInput!$M$40)))/100)))*(1+(Inputs!$B$24+((C143=TRUE)*(F143-Calc!F26))+B154)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IGHT_LEGS_EASTON",Inputs!$B$17+((C140=TRUE)*(F140-Calc!F23))+((C144=TRUE)*(F144-Calc!F27))+((IF(AND(Inputs!$B$38&lt;&gt;"pvp",Inputs!$B$43=0),1,IF(IF(Inputs!$B$38="pvp",15,Inputs!$B$43)-(B155)&lt;=0,1,MAX(0,IF(Inputs!$B$38="pvp",15,Inputs!$B$43)-MAX(5,B155))/(IF(Inputs!$B$38="pvp",15,Inputs!$B$43)-(B155))))*(IF(AND(ArtifactsInput!$M$42,((Inputs!$B$9+((C136=TRUE)*(F136-Calc!F19))+B148+(ArtifactsInput!$M$24-ArtifactsInput!$M$24)*CHOOSE(ArtifactsInput!$N$24+1,10,12,14,16,18,20)+IF(ArtifactsInput!$M$10,CHOOSE(ArtifactsInput!$N$10+1,15,18,21,24,27,30)*(IF(Inputs!$B$38="pvp",MIN(15,15)/15,IF(AND(Inputs!$B$38&lt;&gt;"pvp",Inputs!$B$43&gt;0),MIN(15,Inputs!$B$43)/(Inputs!$B$43),0))),0)))&gt;=100),MIN(100,((Inputs!$B$9+((C136=TRUE)*(F136-Calc!F19))+B148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155)&lt;=0,1,MAX(0,IF(Inputs!$B$38="pvp",15,Inputs!$B$43)-MAX(5,B155))/(IF(Inputs!$B$38="pvp",15,Inputs!$B$43)-(B155))))*IF(AND(ArtifactsInput!$M$42,((Inputs!$B$9+((C136=TRUE)*(F136-Calc!F19))+B148+(ArtifactsInput!$M$24-ArtifactsInput!$M$24)*CHOOSE(ArtifactsInput!$N$24+1,10,12,14,16,18,20)+IF(ArtifactsInput!$M$10,CHOOSE(ArtifactsInput!$N$10+1,15,18,21,24,27,30)*(IF(Inputs!$B$38="pvp",MIN(15,15)/15,IF(AND(Inputs!$B$38&lt;&gt;"pvp",Inputs!$B$43&gt;0),MIN(15,Inputs!$B$43)/(Inputs!$B$43),0))),0)))&gt;=100),CHOOSE(ArtifactsInput!$N$42+1,40,48,56,64,72,80),0))))/100)*((1+(((C134=TRUE)*F134*5/7)+((C141=TRUE)*(F141-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127)</f>
        <v/>
      </c>
      <c r="L127">
        <f>K127*(MIN(Inputs!$B$22+((C139=TRUE)*(F139-Calc!F22)),(Inputs!$B$23+0+(IF(ArtifactsInput!$M$15,CHOOSE(ArtifactsInput!$N$15+1,25,30,35,40,45,50)/100*(Inputs!$B$11-Inputs!$B$11),0))))/100+(Inputs!$B$23+0+(IF(ArtifactsInput!$M$15,CHOOSE(ArtifactsInput!$N$15+1,25,30,35,40,45,50)/100*(Inputs!$B$11-Inputs!$B$11),0)))/100)/2</f>
        <v/>
      </c>
      <c r="M127">
        <f>L127*(1+(Inputs!$B$10+((C142=TRUE)*(F142-Calc!F25))+B153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7">
        <f>L127*(1-MIN((Inputs!$B$9+((C136=TRUE)*(F136-Calc!F19))+B148+(ArtifactsInput!$M$24-ArtifactsInput!$M$24)*CHOOSE(ArtifactsInput!$N$24+1,10,12,14,16,18,20)+(IF(AND(Inputs!$B$38&lt;&gt;"pvp",Inputs!$B$43=0),1,IF(IF(Inputs!$B$38="pvp",15,Inputs!$B$43)-(B155)&lt;=0,1,MAX(0,IF(Inputs!$B$38="pvp",15,Inputs!$B$43)-MAX(5,B155))/(IF(Inputs!$B$38="pvp",15,Inputs!$B$43)-(B155))))*IF(AND(ArtifactsInput!$M$42,((Inputs!$B$9+((C136=TRUE)*(F136-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127*(MIN((Inputs!$B$9+((C136=TRUE)*(F136-Calc!F19))+B148+(ArtifactsInput!$M$24-ArtifactsInput!$M$24)*CHOOSE(ArtifactsInput!$N$24+1,10,12,14,16,18,20)+(IF(AND(Inputs!$B$38&lt;&gt;"pvp",Inputs!$B$43=0),1,IF(IF(Inputs!$B$38="pvp",15,Inputs!$B$43)-(B155)&lt;=0,1,MAX(0,IF(Inputs!$B$38="pvp",15,Inputs!$B$43)-MAX(5,B155))/(IF(Inputs!$B$38="pvp",15,Inputs!$B$43)-(B155))))*IF(AND(ArtifactsInput!$M$42,((Inputs!$B$9+((C136=TRUE)*(F136-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7">
        <f>(1-Summary!$B$11)*T127+Summary!$B$11*V127</f>
        <v/>
      </c>
      <c r="P127">
        <f>IF(B158=0,0,O127/B158)</f>
        <v/>
      </c>
      <c r="Q127" t="n">
        <v>0</v>
      </c>
      <c r="R127" t="n">
        <v>0</v>
      </c>
      <c r="S127">
        <f>IFERROR(O127/N127,0)</f>
        <v/>
      </c>
      <c r="T127">
        <f>IF(C127,((H127*B160)/(1+Skills!H10*H127*B160)*N127)*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Hunt"),CHOOSE(ArtifactsInput!$N$35+1,15,18,21,24,27,30)*(1-EXP(-(0.2*B150)*5)),0)+IF(AND(ArtifactsInput!$M$22,Inputs!$B$4&lt;&gt;"Chapter Hunt"),CHOOSE(ArtifactsInput!$N$22+1,10,12,14,16,18,20)*((0*(((0.15*B150*5))^0/1)+1*(((0.15*B150*5))^1/1)+2*(((0.15*B150*5))^2/2)+3*(((0.15*B150*5))^3/6)+4*(((0.15*B150*5))^4/24)+5*(((0.15*B150*5))^5/120))/((((0.15*B150*5))^0/1)+(((0.15*B150*5))^1/1)+(((0.15*B150*5))^2/2)+(((0.15*B150*5))^3/6)+(((0.15*B150*5))^4/24)+(((0.15*B150*5))^5/120))),0))+IF(Inputs!$B$3&gt;=54,9*(C120=TRUE)*MIN(1,8*(1+Inputs!$B$34/100)*Q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127*(1-MIN(100,(Inputs!$B$9+((C136=TRUE)*(F136-Calc!F19))+B148+(ArtifactsInput!$M$24-ArtifactsInput!$M$24)*CHOOSE(ArtifactsInput!$N$24+1,10,12,14,16,18,20)+(IF(AND(Inputs!$B$38&lt;&gt;"pvp",Inputs!$B$43=0),1,IF(IF(Inputs!$B$38="pvp",15,Inputs!$B$43)-(B155)&lt;=0,1,MAX(0,IF(Inputs!$B$38="pvp",15,Inputs!$B$43)-MAX(5,B155))/(IF(Inputs!$B$38="pvp",15,Inputs!$B$43)-(B155))))*IF(AND(ArtifactsInput!$M$42,((Inputs!$B$9+((C136=TRUE)*(F136-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127*(MIN(100,(Inputs!$B$9+((C136=TRUE)*(F136-Calc!F19))+B148+(ArtifactsInput!$M$24-ArtifactsInput!$M$24)*CHOOSE(ArtifactsInput!$N$24+1,10,12,14,16,18,20)+(IF(AND(Inputs!$B$38&lt;&gt;"pvp",Inputs!$B$43=0),1,IF(IF(Inputs!$B$38="pvp",15,Inputs!$B$43)-(B155)&lt;=0,1,MAX(0,IF(Inputs!$B$38="pvp",15,Inputs!$B$43)-MAX(5,B155))/(IF(Inputs!$B$38="pvp",15,Inputs!$B$43)-(B155))))*IF(AND(ArtifactsInput!$M$42,((Inputs!$B$9+((C136=TRUE)*(F136-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127*(1-MIN(100,(Inputs!$B$9+((C136=TRUE)*(F136-Calc!F19))+B148+(ArtifactsInput!$M$24-ArtifactsInput!$M$24)*CHOOSE(ArtifactsInput!$N$24+1,10,12,14,16,18,20)+(IF(AND(Inputs!$B$38&lt;&gt;"pvp",Inputs!$B$43=0),1,IF(IF(Inputs!$B$38="pvp",15,Inputs!$B$43)-(B155)&lt;=0,1,MAX(0,IF(Inputs!$B$38="pvp",15,Inputs!$B$43)-MAX(5,B155))/(IF(Inputs!$B$38="pvp",15,Inputs!$B$43)-(B155))))*IF(AND(ArtifactsInput!$M$42,((Inputs!$B$9+((C136=TRUE)*(F136-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127*(MIN(100,(Inputs!$B$9+((C136=TRUE)*(F136-Calc!F19))+B148+(ArtifactsInput!$M$24-ArtifactsInput!$M$24)*CHOOSE(ArtifactsInput!$N$24+1,10,12,14,16,18,20)+(IF(AND(Inputs!$B$38&lt;&gt;"pvp",Inputs!$B$43=0),1,IF(IF(Inputs!$B$38="pvp",15,Inputs!$B$43)-(B155)&lt;=0,1,MAX(0,IF(Inputs!$B$38="pvp",15,Inputs!$B$43)-MAX(5,B155))/(IF(Inputs!$B$38="pvp",15,Inputs!$B$43)-(B155))))*IF(AND(ArtifactsInput!$M$42,((Inputs!$B$9+((C136=TRUE)*(F136-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7">
        <f>IF(C127,((H127*B160)/(1+Skills!H10*H127*B160)*N127)*IF(Inputs!$B$38="pvp",1,(1+(Inputs!$B$21+Skills!Q10+(IF(ArtifactsInput!$M$33,CHOOSE(ArtifactsInput!$N$33+1,30,36,42,48,54,60),0))+(IF(AND(ArtifactsInput!$M$35,Inputs!$B$4&lt;&gt;"Chapter Hunt"),CHOOSE(ArtifactsInput!$N$35+1,15,18,21,24,27,30)*(1-EXP(-(0.2*B150)*5)),0)+IF(AND(ArtifactsInput!$M$22,Inputs!$B$4&lt;&gt;"Chapter Hunt"),CHOOSE(ArtifactsInput!$N$22+1,10,12,14,16,18,20)*((0*(((0.15*B150*5))^0/1)+1*(((0.15*B150*5))^1/1)+2*(((0.15*B150*5))^2/2)+3*(((0.15*B150*5))^3/6)+4*(((0.15*B150*5))^4/24)+5*(((0.15*B150*5))^5/120))/((((0.15*B150*5))^0/1)+(((0.15*B150*5))^1/1)+(((0.15*B150*5))^2/2)+(((0.15*B150*5))^3/6)+(((0.15*B150*5))^4/24)+(((0.15*B150*5))^5/120))),0))+IF(Inputs!$B$3&gt;=54,9*(C120=TRUE)*MIN(1,8*(1+Inputs!$B$34/100)*Q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8">
      <c r="A128">
        <f>Skills!A11</f>
        <v/>
      </c>
      <c r="B128">
        <f>Skills!B11</f>
        <v/>
      </c>
      <c r="C128">
        <f>Inputs!$B$3&gt;=117</f>
        <v/>
      </c>
      <c r="D128">
        <f>IF(Skills!C11=1,60+Inputs!$B$25+Inputs!$B$29,IF(Skills!C11=2,90+Inputs!$B$26+Inputs!$B$29,IF(Skills!C11=3,120+Inputs!$B$27+Inputs!$B$29,MAX(0,(Inputs!$B$3-100)*3)+Inputs!$B$28+Inputs!$B$29)))</f>
        <v/>
      </c>
      <c r="E128">
        <f>INDEX(FactorTable!$B$2:$Y$301, MATCH(ROUND(MIN(300,MAX(1,D128)),0), FactorTable!$A$2:$A$301,0), Skills!M11+1)</f>
        <v/>
      </c>
      <c r="F128">
        <f>IF(Skills!N11=TRUE,(Skills!L11/10)*(E128/1000),Skills!L11/10)+Skills!O11</f>
        <v/>
      </c>
      <c r="G128">
        <f>Skills!G11*IF(Skills!H11&gt;0,INT(IF(Inputs!$B$38="pvp",MIN(Skills!I11,15),Skills!I11)/Skills!H11+0.000000001),1)</f>
        <v/>
      </c>
      <c r="H128">
        <f>1-(1-Skills!J11/100)^Skills!K11</f>
        <v/>
      </c>
      <c r="I128" t="inlineStr">
        <is>
          <t>1</t>
        </is>
      </c>
      <c r="J128">
        <f>((Inputs!$B$6*(1+Inputs!$B$7/100))+(((Inputs!$B$12*(1+(Inputs!$B$13+1)/100))-(Inputs!$B$12*(1+Inputs!$B$13/100)))+0.25*(Inputs!$B$14-Inputs!$B$14))*(1+Inputs!$B$7/100))*(F128/100)</f>
        <v/>
      </c>
      <c r="K128">
        <f>J128*(1+((Inputs!$B$12*(1+(Inputs!$B$13+1)/100))*0.01+Inputs!$B$14*0.0025)/100)*(1+Inputs!$B$15/100)*(1+Inputs!$B$16/100)*(5000/(6000+Inputs!$B$42*(1-(100*(1-(1-(Inputs!$B$19+0)/100)*(1-CHOOSE(ArtifactsInput!$N$40+1,5,6,7,8,9,10)/100)^(ArtifactsInput!$M$40-ArtifactsInput!$M$40)))/100)))*(1+(Inputs!$B$24+((C143=TRUE)*(F143-Calc!F26))+B154)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IGHT_LEGS_EASTON",Inputs!$B$17+((C140=TRUE)*(F140-Calc!F23))+((C144=TRUE)*(F144-Calc!F27))+((IF(AND(Inputs!$B$38&lt;&gt;"pvp",Inputs!$B$43=0),1,IF(IF(Inputs!$B$38="pvp",15,Inputs!$B$43)-(B155)&lt;=0,1,MAX(0,IF(Inputs!$B$38="pvp",15,Inputs!$B$43)-MAX(5,B155))/(IF(Inputs!$B$38="pvp",15,Inputs!$B$43)-(B155))))*(IF(AND(ArtifactsInput!$M$42,((Inputs!$B$9+((C136=TRUE)*(F136-Calc!F19))+B148+(ArtifactsInput!$M$24-ArtifactsInput!$M$24)*CHOOSE(ArtifactsInput!$N$24+1,10,12,14,16,18,20)+IF(ArtifactsInput!$M$10,CHOOSE(ArtifactsInput!$N$10+1,15,18,21,24,27,30)*(IF(Inputs!$B$38="pvp",MIN(15,15)/15,IF(AND(Inputs!$B$38&lt;&gt;"pvp",Inputs!$B$43&gt;0),MIN(15,Inputs!$B$43)/(Inputs!$B$43),0))),0)))&gt;=100),MIN(100,((Inputs!$B$9+((C136=TRUE)*(F136-Calc!F19))+B148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155)&lt;=0,1,MAX(0,IF(Inputs!$B$38="pvp",15,Inputs!$B$43)-MAX(5,B155))/(IF(Inputs!$B$38="pvp",15,Inputs!$B$43)-(B155))))*IF(AND(ArtifactsInput!$M$42,((Inputs!$B$9+((C136=TRUE)*(F136-Calc!F19))+B148+(ArtifactsInput!$M$24-ArtifactsInput!$M$24)*CHOOSE(ArtifactsInput!$N$24+1,10,12,14,16,18,20)+IF(ArtifactsInput!$M$10,CHOOSE(ArtifactsInput!$N$10+1,15,18,21,24,27,30)*(IF(Inputs!$B$38="pvp",MIN(15,15)/15,IF(AND(Inputs!$B$38&lt;&gt;"pvp",Inputs!$B$43&gt;0),MIN(15,Inputs!$B$43)/(Inputs!$B$43),0))),0)))&gt;=100),CHOOSE(ArtifactsInput!$N$42+1,40,48,56,64,72,80),0))))/100)*((1+(((C134=TRUE)*F134*5/7)+((C141=TRUE)*(F141-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128)</f>
        <v/>
      </c>
      <c r="L128">
        <f>K128*(MIN(Inputs!$B$22+((C139=TRUE)*(F139-Calc!F22)),(Inputs!$B$23+0+(IF(ArtifactsInput!$M$15,CHOOSE(ArtifactsInput!$N$15+1,25,30,35,40,45,50)/100*(Inputs!$B$11-Inputs!$B$11),0))))/100+(Inputs!$B$23+0+(IF(ArtifactsInput!$M$15,CHOOSE(ArtifactsInput!$N$15+1,25,30,35,40,45,50)/100*(Inputs!$B$11-Inputs!$B$11),0)))/100)/2</f>
        <v/>
      </c>
      <c r="M128">
        <f>L128*(1+(Inputs!$B$10+((C142=TRUE)*(F142-Calc!F25))+B153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8">
        <f>L128*(1-MIN((Inputs!$B$9+((C136=TRUE)*(F136-Calc!F19))+B148+(ArtifactsInput!$M$24-ArtifactsInput!$M$24)*CHOOSE(ArtifactsInput!$N$24+1,10,12,14,16,18,20)+(IF(AND(Inputs!$B$38&lt;&gt;"pvp",Inputs!$B$43=0),1,IF(IF(Inputs!$B$38="pvp",15,Inputs!$B$43)-(B155)&lt;=0,1,MAX(0,IF(Inputs!$B$38="pvp",15,Inputs!$B$43)-MAX(5,B155))/(IF(Inputs!$B$38="pvp",15,Inputs!$B$43)-(B155))))*IF(AND(ArtifactsInput!$M$42,((Inputs!$B$9+((C136=TRUE)*(F136-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128*(MIN((Inputs!$B$9+((C136=TRUE)*(F136-Calc!F19))+B148+(ArtifactsInput!$M$24-ArtifactsInput!$M$24)*CHOOSE(ArtifactsInput!$N$24+1,10,12,14,16,18,20)+(IF(AND(Inputs!$B$38&lt;&gt;"pvp",Inputs!$B$43=0),1,IF(IF(Inputs!$B$38="pvp",15,Inputs!$B$43)-(B155)&lt;=0,1,MAX(0,IF(Inputs!$B$38="pvp",15,Inputs!$B$43)-MAX(5,B155))/(IF(Inputs!$B$38="pvp",15,Inputs!$B$43)-(B155))))*IF(AND(ArtifactsInput!$M$42,((Inputs!$B$9+((C136=TRUE)*(F136-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8">
        <f>(1-Summary!$B$11)*T128+Summary!$B$11*V128</f>
        <v/>
      </c>
      <c r="P128">
        <f>IF(B158=0,0,O128/B158)</f>
        <v/>
      </c>
      <c r="Q128">
        <f>IFERROR(1/((IF(Inputs!$B$38="pvp",15,MAX(0.1,Skills!D11-IF(TRUE=TRUE,Inputs!$B$32,0)))*(1-IF(AND(ArtifactsInput!$M$27,Inputs!$B$4="Chapter Hunt"),CHOOSE(ArtifactsInput!$N$27+1,20,24,28,32,36,40),0)/100))/B159),0)</f>
        <v/>
      </c>
      <c r="R128">
        <f>IF(AND(Inputs!$B$38&lt;&gt;"pvp",Inputs!$B$43&gt;0),IF(MAX(0,Inputs!$B$43-B155)&lt;=0,0,(INT(MAX(0,Inputs!$B$43-B155)/((IF(Inputs!$B$38="pvp",15,MAX(0.1,Skills!D11-IF(TRUE=TRUE,Inputs!$B$32,0)))*(1-IF(AND(ArtifactsInput!$M$27,Inputs!$B$4="Chapter Hunt"),CHOOSE(ArtifactsInput!$N$27+1,20,24,28,32,36,40),0)/100))/B159))+1)),0)</f>
        <v/>
      </c>
      <c r="S128">
        <f>IFERROR(O128/N128,0)</f>
        <v/>
      </c>
      <c r="T128">
        <f>IF(C128,(H128*N128*IF(AND(Inputs!$B$38&lt;&gt;"pvp",Inputs!$B$43&gt;0),((Skills!G11*((R128-1)*IF(Skills!H11&gt;0,INT(Skills!I11/Skills!H11+0.000000001),1)+IF(Skills!H11&gt;0,INT(MIN(Skills!I11,MAX(0,MAX(0,Inputs!$B$43-B155)-((R128-1)*((IF(Inputs!$B$38="pvp",15,MAX(0.1,Skills!D11-IF(TRUE=TRUE,Inputs!$B$32,0)))*(1-IF(AND(ArtifactsInput!$M$27,Inputs!$B$4="Chapter Hunt"),CHOOSE(ArtifactsInput!$N$27+1,20,24,28,32,36,40),0)/100))/B159))))/Skills!H11+0.000000001),1)))/Inputs!$B$43),G128*Q128))*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Hunt"),CHOOSE(ArtifactsInput!$N$35+1,15,18,21,24,27,30)*(1-EXP(-(0.2*B150)*5)),0)+IF(AND(ArtifactsInput!$M$22,Inputs!$B$4&lt;&gt;"Chapter Hunt"),CHOOSE(ArtifactsInput!$N$22+1,10,12,14,16,18,20)*((0*(((0.15*B150*5))^0/1)+1*(((0.15*B150*5))^1/1)+2*(((0.15*B150*5))^2/2)+3*(((0.15*B150*5))^3/6)+4*(((0.15*B150*5))^4/24)+5*(((0.15*B150*5))^5/120))/((((0.15*B150*5))^0/1)+(((0.15*B150*5))^1/1)+(((0.15*B150*5))^2/2)+(((0.15*B150*5))^3/6)+(((0.15*B150*5))^4/24)+(((0.15*B150*5))^5/120))),0))+IF(Inputs!$B$3&gt;=54,9*(C120=TRUE)*MIN(1,8*(1+Inputs!$B$34/100)*Q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128*(1-MIN(100,(Inputs!$B$9+((C136=TRUE)*(F136-Calc!F19))+B148+(ArtifactsInput!$M$24-ArtifactsInput!$M$24)*CHOOSE(ArtifactsInput!$N$24+1,10,12,14,16,18,20)+(IF(AND(Inputs!$B$38&lt;&gt;"pvp",Inputs!$B$43=0),1,IF(IF(Inputs!$B$38="pvp",15,Inputs!$B$43)-(B155)&lt;=0,1,MAX(0,IF(Inputs!$B$38="pvp",15,Inputs!$B$43)-MAX(5,B155))/(IF(Inputs!$B$38="pvp",15,Inputs!$B$43)-(B155))))*IF(AND(ArtifactsInput!$M$42,((Inputs!$B$9+((C136=TRUE)*(F136-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128*(MIN(100,(Inputs!$B$9+((C136=TRUE)*(F136-Calc!F19))+B148+(ArtifactsInput!$M$24-ArtifactsInput!$M$24)*CHOOSE(ArtifactsInput!$N$24+1,10,12,14,16,18,20)+(IF(AND(Inputs!$B$38&lt;&gt;"pvp",Inputs!$B$43=0),1,IF(IF(Inputs!$B$38="pvp",15,Inputs!$B$43)-(B155)&lt;=0,1,MAX(0,IF(Inputs!$B$38="pvp",15,Inputs!$B$43)-MAX(5,B155))/(IF(Inputs!$B$38="pvp",15,Inputs!$B$43)-(B155))))*IF(AND(ArtifactsInput!$M$42,((Inputs!$B$9+((C136=TRUE)*(F136-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128*(1-MIN(100,(Inputs!$B$9+((C136=TRUE)*(F136-Calc!F19))+B148+(ArtifactsInput!$M$24-ArtifactsInput!$M$24)*CHOOSE(ArtifactsInput!$N$24+1,10,12,14,16,18,20)+(IF(AND(Inputs!$B$38&lt;&gt;"pvp",Inputs!$B$43=0),1,IF(IF(Inputs!$B$38="pvp",15,Inputs!$B$43)-(B155)&lt;=0,1,MAX(0,IF(Inputs!$B$38="pvp",15,Inputs!$B$43)-MAX(5,B155))/(IF(Inputs!$B$38="pvp",15,Inputs!$B$43)-(B155))))*IF(AND(ArtifactsInput!$M$42,((Inputs!$B$9+((C136=TRUE)*(F136-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128*(MIN(100,(Inputs!$B$9+((C136=TRUE)*(F136-Calc!F19))+B148+(ArtifactsInput!$M$24-ArtifactsInput!$M$24)*CHOOSE(ArtifactsInput!$N$24+1,10,12,14,16,18,20)+(IF(AND(Inputs!$B$38&lt;&gt;"pvp",Inputs!$B$43=0),1,IF(IF(Inputs!$B$38="pvp",15,Inputs!$B$43)-(B155)&lt;=0,1,MAX(0,IF(Inputs!$B$38="pvp",15,Inputs!$B$43)-MAX(5,B155))/(IF(Inputs!$B$38="pvp",15,Inputs!$B$43)-(B155))))*IF(AND(ArtifactsInput!$M$42,((Inputs!$B$9+((C136=TRUE)*(F136-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8">
        <f>IF(C128,(H128*N128*IF(AND(Inputs!$B$38&lt;&gt;"pvp",Inputs!$B$43&gt;0),((Skills!G11*((R128-1)*IF(Skills!H11&gt;0,INT(Skills!I11/Skills!H11+0.000000001),1)+IF(Skills!H11&gt;0,INT(MIN(Skills!I11,MAX(0,MAX(0,Inputs!$B$43-B155)-((R128-1)*((IF(Inputs!$B$38="pvp",15,MAX(0.1,Skills!D11-IF(TRUE=TRUE,Inputs!$B$32,0)))*(1-IF(AND(ArtifactsInput!$M$27,Inputs!$B$4="Chapter Hunt"),CHOOSE(ArtifactsInput!$N$27+1,20,24,28,32,36,40),0)/100))/B159))))/Skills!H11+0.000000001),1)))/Inputs!$B$43),G128*Q128))*IF(Inputs!$B$38="pvp",1,(1+(Inputs!$B$21+Skills!Q11+(IF(ArtifactsInput!$M$33,CHOOSE(ArtifactsInput!$N$33+1,30,36,42,48,54,60),0))+(IF(AND(ArtifactsInput!$M$35,Inputs!$B$4&lt;&gt;"Chapter Hunt"),CHOOSE(ArtifactsInput!$N$35+1,15,18,21,24,27,30)*(1-EXP(-(0.2*B150)*5)),0)+IF(AND(ArtifactsInput!$M$22,Inputs!$B$4&lt;&gt;"Chapter Hunt"),CHOOSE(ArtifactsInput!$N$22+1,10,12,14,16,18,20)*((0*(((0.15*B150*5))^0/1)+1*(((0.15*B150*5))^1/1)+2*(((0.15*B150*5))^2/2)+3*(((0.15*B150*5))^3/6)+4*(((0.15*B150*5))^4/24)+5*(((0.15*B150*5))^5/120))/((((0.15*B150*5))^0/1)+(((0.15*B150*5))^1/1)+(((0.15*B150*5))^2/2)+(((0.15*B150*5))^3/6)+(((0.15*B150*5))^4/24)+(((0.15*B150*5))^5/120))),0))+IF(Inputs!$B$3&gt;=54,9*(C120=TRUE)*MIN(1,8*(1+Inputs!$B$34/100)*Q120)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9">
      <c r="A129">
        <f>Skills!A12</f>
        <v/>
      </c>
      <c r="B129">
        <f>Skills!B12</f>
        <v/>
      </c>
      <c r="C129">
        <f>Inputs!$B$3&gt;=110</f>
        <v/>
      </c>
      <c r="D129">
        <f>IF(Skills!C12=1,60+Inputs!$B$25+Inputs!$B$29,IF(Skills!C12=2,90+Inputs!$B$26+Inputs!$B$29,IF(Skills!C12=3,120+Inputs!$B$27+Inputs!$B$29,MAX(0,(Inputs!$B$3-100)*3)+Inputs!$B$28+Inputs!$B$29)))</f>
        <v/>
      </c>
      <c r="E129">
        <f>INDEX(FactorTable!$B$2:$Y$301, MATCH(ROUND(MIN(300,MAX(1,D129)),0), FactorTable!$A$2:$A$301,0), Skills!M12+1)</f>
        <v/>
      </c>
      <c r="F129">
        <f>IF(Skills!N12=TRUE,(Skills!L12/10)*(E129/1000),Skills!L12/10)+Skills!O12</f>
        <v/>
      </c>
      <c r="G129">
        <f>Skills!G12*IF(Skills!H12&gt;0,INT(IF(Inputs!$B$38="pvp",MIN(Skills!I12,15),Skills!I12)/Skills!H12+0.000000001),1)</f>
        <v/>
      </c>
      <c r="H129">
        <f>1-(1-Skills!J12/100)^Skills!K12</f>
        <v/>
      </c>
      <c r="I129" t="inlineStr">
        <is>
          <t>1</t>
        </is>
      </c>
      <c r="J129">
        <f>((Inputs!$B$6*(1+Inputs!$B$7/100))+(((Inputs!$B$12*(1+(Inputs!$B$13+1)/100))-(Inputs!$B$12*(1+Inputs!$B$13/100)))+0.25*(Inputs!$B$14-Inputs!$B$14))*(1+Inputs!$B$7/100))*(F129/100)</f>
        <v/>
      </c>
      <c r="K129">
        <f>J129*(1+((Inputs!$B$12*(1+(Inputs!$B$13+1)/100))*0.01+Inputs!$B$14*0.0025)/100)*(1+Inputs!$B$15/100)*(1+Inputs!$B$16/100)*(5000/(6000+Inputs!$B$42*(1-(100*(1-(1-(Inputs!$B$19+0)/100)*(1-CHOOSE(ArtifactsInput!$N$40+1,5,6,7,8,9,10)/100)^(ArtifactsInput!$M$40-ArtifactsInput!$M$40)))/100)))*(1+(Inputs!$B$24+((C143=TRUE)*(F143-Calc!F26))+B154)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EIGHT_LEGS_EASTON",Inputs!$B$17+((C140=TRUE)*(F140-Calc!F23))+((C144=TRUE)*(F144-Calc!F27))+((IF(AND(Inputs!$B$38&lt;&gt;"pvp",Inputs!$B$43=0),1,IF(IF(Inputs!$B$38="pvp",15,Inputs!$B$43)-(B155)&lt;=0,1,MAX(0,IF(Inputs!$B$38="pvp",15,Inputs!$B$43)-MAX(5,B155))/(IF(Inputs!$B$38="pvp",15,Inputs!$B$43)-(B155))))*(IF(AND(ArtifactsInput!$M$42,((Inputs!$B$9+((C136=TRUE)*(F136-Calc!F19))+B148+(ArtifactsInput!$M$24-ArtifactsInput!$M$24)*CHOOSE(ArtifactsInput!$N$24+1,10,12,14,16,18,20)+IF(ArtifactsInput!$M$10,CHOOSE(ArtifactsInput!$N$10+1,15,18,21,24,27,30)*(IF(Inputs!$B$38="pvp",MIN(15,15)/15,IF(AND(Inputs!$B$38&lt;&gt;"pvp",Inputs!$B$43&gt;0),MIN(15,Inputs!$B$43)/(Inputs!$B$43),0))),0)))&gt;=100),MIN(100,((Inputs!$B$9+((C136=TRUE)*(F136-Calc!F19))+B148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155)&lt;=0,1,MAX(0,IF(Inputs!$B$38="pvp",15,Inputs!$B$43)-MAX(5,B155))/(IF(Inputs!$B$38="pvp",15,Inputs!$B$43)-(B155))))*IF(AND(ArtifactsInput!$M$42,((Inputs!$B$9+((C136=TRUE)*(F136-Calc!F19))+B148+(ArtifactsInput!$M$24-ArtifactsInput!$M$24)*CHOOSE(ArtifactsInput!$N$24+1,10,12,14,16,18,20)+IF(ArtifactsInput!$M$10,CHOOSE(ArtifactsInput!$N$10+1,15,18,21,24,27,30)*(IF(Inputs!$B$38="pvp",MIN(15,15)/15,IF(AND(Inputs!$B$38&lt;&gt;"pvp",Inputs!$B$43&gt;0),MIN(15,Inputs!$B$43)/(Inputs!$B$43),0))),0)))&gt;=100),CHOOSE(ArtifactsInput!$N$42+1,40,48,56,64,72,80),0))))/100)*((1+(((C134=TRUE)*F134*5/7)+((C141=TRUE)*(F141-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129)</f>
        <v/>
      </c>
      <c r="L129">
        <f>K129*(MIN(Inputs!$B$22+((C139=TRUE)*(F139-Calc!F22)),(Inputs!$B$23+0+(IF(ArtifactsInput!$M$15,CHOOSE(ArtifactsInput!$N$15+1,25,30,35,40,45,50)/100*(Inputs!$B$11-Inputs!$B$11),0))))/100+(Inputs!$B$23+0+(IF(ArtifactsInput!$M$15,CHOOSE(ArtifactsInput!$N$15+1,25,30,35,40,45,50)/100*(Inputs!$B$11-Inputs!$B$11),0)))/100)/2</f>
        <v/>
      </c>
      <c r="M129">
        <f>L129*(1+(Inputs!$B$10+((C142=TRUE)*(F142-Calc!F25))+B153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9">
        <f>L129*(1-MIN((Inputs!$B$9+((C136=TRUE)*(F136-Calc!F19))+B148+(ArtifactsInput!$M$24-ArtifactsInput!$M$24)*CHOOSE(ArtifactsInput!$N$24+1,10,12,14,16,18,20)+(IF(AND(Inputs!$B$38&lt;&gt;"pvp",Inputs!$B$43=0),1,IF(IF(Inputs!$B$38="pvp",15,Inputs!$B$43)-(B155)&lt;=0,1,MAX(0,IF(Inputs!$B$38="pvp",15,Inputs!$B$43)-MAX(5,B155))/(IF(Inputs!$B$38="pvp",15,Inputs!$B$43)-(B155))))*IF(AND(ArtifactsInput!$M$42,((Inputs!$B$9+((C136=TRUE)*(F136-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129*(MIN((Inputs!$B$9+((C136=TRUE)*(F136-Calc!F19))+B148+(ArtifactsInput!$M$24-ArtifactsInput!$M$24)*CHOOSE(ArtifactsInput!$N$24+1,10,12,14,16,18,20)+(IF(AND(Inputs!$B$38&lt;&gt;"pvp",Inputs!$B$43=0),1,IF(IF(Inputs!$B$38="pvp",15,Inputs!$B$43)-(B155)&lt;=0,1,MAX(0,IF(Inputs!$B$38="pvp",15,Inputs!$B$43)-MAX(5,B155))/(IF(Inputs!$B$38="pvp",15,Inputs!$B$43)-(B155))))*IF(AND(ArtifactsInput!$M$42,((Inputs!$B$9+((C136=TRUE)*(F136-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9">
        <f>(1-Summary!$B$11)*T129+Summary!$B$11*V129</f>
        <v/>
      </c>
      <c r="P129">
        <f>IF(B158=0,0,O129/B158)</f>
        <v/>
      </c>
      <c r="Q129">
        <f>IFERROR(1/(IF(Inputs!$B$38="pvp",15,MAX(0.1,Skills!D12-IF(TRUE=TRUE,Inputs!$B$32,0)))*(1-IF(AND(ArtifactsInput!$M$27,Inputs!$B$4="Chapter Hunt"),CHOOSE(ArtifactsInput!$N$27+1,20,24,28,32,36,40),0)/100)),0)</f>
        <v/>
      </c>
      <c r="R129">
        <f>IF(AND(Inputs!$B$38&lt;&gt;"pvp",Inputs!$B$43&gt;0),IF(MAX(0,Inputs!$B$43-B155)&lt;=0,0,(INT(MAX(0,Inputs!$B$43-B155)/(IF(Inputs!$B$38="pvp",15,MAX(0.1,Skills!D12-IF(TRUE=TRUE,Inputs!$B$32,0)))*(1-IF(AND(ArtifactsInput!$M$27,Inputs!$B$4="Chapter Hunt"),CHOOSE(ArtifactsInput!$N$27+1,20,24,28,32,36,40),0)/100)))+1)),0)</f>
        <v/>
      </c>
      <c r="S129">
        <f>IFERROR(O129/N129,0)</f>
        <v/>
      </c>
      <c r="T129">
        <f>IF(C129,(H129*N129*IF(AND(Inputs!$B$38&lt;&gt;"pvp",Inputs!$B$43&gt;0),((Skills!G12*((R129-1)*IF(Skills!H12&gt;0,INT(Skills!I12/Skills!H12+0.000000001),1)+IF(Skills!H12&gt;0,INT(MIN(Skills!I12,MAX(0,MAX(0,Inputs!$B$43-B155)-((R129-1)*(IF(Inputs!$B$38="pvp",15,MAX(0.1,Skills!D12-IF(TRUE=TRUE,Inputs!$B$32,0)))*(1-IF(AND(ArtifactsInput!$M$27,Inputs!$B$4="Chapter Hunt"),CHOOSE(ArtifactsInput!$N$27+1,20,24,28,32,36,40),0)/100)))))/Skills!H12+0.000000001),1)))/Inputs!$B$43),G129*Q129))*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Hunt"),CHOOSE(ArtifactsInput!$N$35+1,15,18,21,24,27,30)*(1-EXP(-(0.2*B150)*5)),0)+IF(AND(ArtifactsInput!$M$22,Inputs!$B$4&lt;&gt;"Chapter Hunt"),CHOOSE(ArtifactsInput!$N$22+1,10,12,14,16,18,20)*((0*(((0.15*B150*5))^0/1)+1*(((0.15*B150*5))^1/1)+2*(((0.15*B150*5))^2/2)+3*(((0.15*B150*5))^3/6)+4*(((0.15*B150*5))^4/24)+5*(((0.15*B150*5))^5/120))/((((0.15*B150*5))^0/1)+(((0.15*B150*5))^1/1)+(((0.15*B150*5))^2/2)+(((0.15*B150*5))^3/6)+(((0.15*B150*5))^4/24)+(((0.15*B150*5))^5/120))),0))+IF(Inputs!$B$3&gt;=54,9*(C120=TRUE)*MIN(1,8*(1+Inputs!$B$34/100)*Q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129*(1-MIN(100,(Inputs!$B$9+((C136=TRUE)*(F136-Calc!F19))+B148+(ArtifactsInput!$M$24-ArtifactsInput!$M$24)*CHOOSE(ArtifactsInput!$N$24+1,10,12,14,16,18,20)+(IF(AND(Inputs!$B$38&lt;&gt;"pvp",Inputs!$B$43=0),1,IF(IF(Inputs!$B$38="pvp",15,Inputs!$B$43)-(B155)&lt;=0,1,MAX(0,IF(Inputs!$B$38="pvp",15,Inputs!$B$43)-MAX(5,B155))/(IF(Inputs!$B$38="pvp",15,Inputs!$B$43)-(B155))))*IF(AND(ArtifactsInput!$M$42,((Inputs!$B$9+((C136=TRUE)*(F136-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129*(MIN(100,(Inputs!$B$9+((C136=TRUE)*(F136-Calc!F19))+B148+(ArtifactsInput!$M$24-ArtifactsInput!$M$24)*CHOOSE(ArtifactsInput!$N$24+1,10,12,14,16,18,20)+(IF(AND(Inputs!$B$38&lt;&gt;"pvp",Inputs!$B$43=0),1,IF(IF(Inputs!$B$38="pvp",15,Inputs!$B$43)-(B155)&lt;=0,1,MAX(0,IF(Inputs!$B$38="pvp",15,Inputs!$B$43)-MAX(5,B155))/(IF(Inputs!$B$38="pvp",15,Inputs!$B$43)-(B155))))*IF(AND(ArtifactsInput!$M$42,((Inputs!$B$9+((C136=TRUE)*(F136-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129*(1-MIN(100,(Inputs!$B$9+((C136=TRUE)*(F136-Calc!F19))+B148+(ArtifactsInput!$M$24-ArtifactsInput!$M$24)*CHOOSE(ArtifactsInput!$N$24+1,10,12,14,16,18,20)+(IF(AND(Inputs!$B$38&lt;&gt;"pvp",Inputs!$B$43=0),1,IF(IF(Inputs!$B$38="pvp",15,Inputs!$B$43)-(B155)&lt;=0,1,MAX(0,IF(Inputs!$B$38="pvp",15,Inputs!$B$43)-MAX(5,B155))/(IF(Inputs!$B$38="pvp",15,Inputs!$B$43)-(B155))))*IF(AND(ArtifactsInput!$M$42,((Inputs!$B$9+((C136=TRUE)*(F136-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129*(MIN(100,(Inputs!$B$9+((C136=TRUE)*(F136-Calc!F19))+B148+(ArtifactsInput!$M$24-ArtifactsInput!$M$24)*CHOOSE(ArtifactsInput!$N$24+1,10,12,14,16,18,20)+(IF(AND(Inputs!$B$38&lt;&gt;"pvp",Inputs!$B$43=0),1,IF(IF(Inputs!$B$38="pvp",15,Inputs!$B$43)-(B155)&lt;=0,1,MAX(0,IF(Inputs!$B$38="pvp",15,Inputs!$B$43)-MAX(5,B155))/(IF(Inputs!$B$38="pvp",15,Inputs!$B$43)-(B155))))*IF(AND(ArtifactsInput!$M$42,((Inputs!$B$9+((C136=TRUE)*(F136-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9">
        <f>IF(C129,(H129*N129*IF(AND(Inputs!$B$38&lt;&gt;"pvp",Inputs!$B$43&gt;0),((Skills!G12*((R129-1)*IF(Skills!H12&gt;0,INT(Skills!I12/Skills!H12+0.000000001),1)+IF(Skills!H12&gt;0,INT(MIN(Skills!I12,MAX(0,MAX(0,Inputs!$B$43-B155)-((R129-1)*(IF(Inputs!$B$38="pvp",15,MAX(0.1,Skills!D12-IF(TRUE=TRUE,Inputs!$B$32,0)))*(1-IF(AND(ArtifactsInput!$M$27,Inputs!$B$4="Chapter Hunt"),CHOOSE(ArtifactsInput!$N$27+1,20,24,28,32,36,40),0)/100)))))/Skills!H12+0.000000001),1)))/Inputs!$B$43),G129*Q129))*IF(Inputs!$B$38="pvp",1,(1+(Inputs!$B$21+Skills!Q12+(IF(ArtifactsInput!$M$33,CHOOSE(ArtifactsInput!$N$33+1,30,36,42,48,54,60),0))+(IF(AND(ArtifactsInput!$M$35,Inputs!$B$4&lt;&gt;"Chapter Hunt"),CHOOSE(ArtifactsInput!$N$35+1,15,18,21,24,27,30)*(1-EXP(-(0.2*B150)*5)),0)+IF(AND(ArtifactsInput!$M$22,Inputs!$B$4&lt;&gt;"Chapter Hunt"),CHOOSE(ArtifactsInput!$N$22+1,10,12,14,16,18,20)*((0*(((0.15*B150*5))^0/1)+1*(((0.15*B150*5))^1/1)+2*(((0.15*B150*5))^2/2)+3*(((0.15*B150*5))^3/6)+4*(((0.15*B150*5))^4/24)+5*(((0.15*B150*5))^5/120))/((((0.15*B150*5))^0/1)+(((0.15*B150*5))^1/1)+(((0.15*B150*5))^2/2)+(((0.15*B150*5))^3/6)+(((0.15*B150*5))^4/24)+(((0.15*B150*5))^5/120))),0))+IF(Inputs!$B$3&gt;=54,9*(C120=TRUE)*MIN(1,8*(1+Inputs!$B$34/100)*Q120),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0">
      <c r="A130">
        <f>Skills!A13</f>
        <v/>
      </c>
      <c r="B130">
        <f>Skills!B13</f>
        <v/>
      </c>
      <c r="C130">
        <f>Inputs!$B$3&gt;=110</f>
        <v/>
      </c>
      <c r="D130">
        <f>IF(Skills!C13=1,60+Inputs!$B$25+Inputs!$B$29,IF(Skills!C13=2,90+Inputs!$B$26+Inputs!$B$29,IF(Skills!C13=3,120+Inputs!$B$27+Inputs!$B$29,MAX(0,(Inputs!$B$3-100)*3)+Inputs!$B$28+Inputs!$B$29)))</f>
        <v/>
      </c>
      <c r="E130">
        <f>INDEX(FactorTable!$B$2:$Y$301, MATCH(ROUND(MIN(300,MAX(1,D130)),0), FactorTable!$A$2:$A$301,0), Skills!M13+1)</f>
        <v/>
      </c>
      <c r="F130">
        <f>IF(Skills!N13=TRUE,(Skills!L13/10)*(E130/1000),Skills!L13/10)+Skills!O13</f>
        <v/>
      </c>
      <c r="G130">
        <f>Skills!G13*IF(Skills!H13&gt;0,INT(IF(Inputs!$B$38="pvp",MIN(Skills!I13,15),Skills!I13)/Skills!H13+0.000000001),1)</f>
        <v/>
      </c>
      <c r="H130">
        <f>1-(1-Skills!J13/100)^Skills!K13</f>
        <v/>
      </c>
      <c r="I130" t="inlineStr">
        <is>
          <t>1</t>
        </is>
      </c>
      <c r="J130">
        <f>((Inputs!$B$6*(1+Inputs!$B$7/100))+(((Inputs!$B$12*(1+(Inputs!$B$13+1)/100))-(Inputs!$B$12*(1+Inputs!$B$13/100)))+0.25*(Inputs!$B$14-Inputs!$B$14))*(1+Inputs!$B$7/100))*(F130/100)</f>
        <v/>
      </c>
      <c r="K130">
        <f>J130*(1+((Inputs!$B$12*(1+(Inputs!$B$13+1)/100))*0.01+Inputs!$B$14*0.0025)/100)*(1+Inputs!$B$15/100)*(1+Inputs!$B$16/100)*(5000/(6000+Inputs!$B$42*(1-(100*(1-(1-(Inputs!$B$19+0)/100)*(1-CHOOSE(ArtifactsInput!$N$40+1,5,6,7,8,9,10)/100)^(ArtifactsInput!$M$40-ArtifactsInput!$M$40)))/100)))*(1+(Inputs!$B$24+((C143=TRUE)*(F143-Calc!F26))+B154)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EIGHT_LEGS_EASTON",Inputs!$B$17+((C140=TRUE)*(F140-Calc!F23))+((C144=TRUE)*(F144-Calc!F27))+((IF(AND(Inputs!$B$38&lt;&gt;"pvp",Inputs!$B$43=0),1,IF(IF(Inputs!$B$38="pvp",15,Inputs!$B$43)-(B155)&lt;=0,1,MAX(0,IF(Inputs!$B$38="pvp",15,Inputs!$B$43)-MAX(5,B155))/(IF(Inputs!$B$38="pvp",15,Inputs!$B$43)-(B155))))*(IF(AND(ArtifactsInput!$M$42,((Inputs!$B$9+((C136=TRUE)*(F136-Calc!F19))+B148+(ArtifactsInput!$M$24-ArtifactsInput!$M$24)*CHOOSE(ArtifactsInput!$N$24+1,10,12,14,16,18,20)+IF(ArtifactsInput!$M$10,CHOOSE(ArtifactsInput!$N$10+1,15,18,21,24,27,30)*(IF(Inputs!$B$38="pvp",MIN(15,15)/15,IF(AND(Inputs!$B$38&lt;&gt;"pvp",Inputs!$B$43&gt;0),MIN(15,Inputs!$B$43)/(Inputs!$B$43),0))),0)))&gt;=100),MIN(100,((Inputs!$B$9+((C136=TRUE)*(F136-Calc!F19))+B148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155)&lt;=0,1,MAX(0,IF(Inputs!$B$38="pvp",15,Inputs!$B$43)-MAX(5,B155))/(IF(Inputs!$B$38="pvp",15,Inputs!$B$43)-(B155))))*IF(AND(ArtifactsInput!$M$42,((Inputs!$B$9+((C136=TRUE)*(F136-Calc!F19))+B148+(ArtifactsInput!$M$24-ArtifactsInput!$M$24)*CHOOSE(ArtifactsInput!$N$24+1,10,12,14,16,18,20)+IF(ArtifactsInput!$M$10,CHOOSE(ArtifactsInput!$N$10+1,15,18,21,24,27,30)*(IF(Inputs!$B$38="pvp",MIN(15,15)/15,IF(AND(Inputs!$B$38&lt;&gt;"pvp",Inputs!$B$43&gt;0),MIN(15,Inputs!$B$43)/(Inputs!$B$43),0))),0)))&gt;=100),CHOOSE(ArtifactsInput!$N$42+1,40,48,56,64,72,80),0))))/100)*((1+(((C134=TRUE)*F134*5/7)+((C141=TRUE)*(F141-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130)</f>
        <v/>
      </c>
      <c r="L130">
        <f>K130*(MIN(Inputs!$B$22+((C139=TRUE)*(F139-Calc!F22)),(Inputs!$B$23+0+(IF(ArtifactsInput!$M$15,CHOOSE(ArtifactsInput!$N$15+1,25,30,35,40,45,50)/100*(Inputs!$B$11-Inputs!$B$11),0))))/100+(Inputs!$B$23+0+(IF(ArtifactsInput!$M$15,CHOOSE(ArtifactsInput!$N$15+1,25,30,35,40,45,50)/100*(Inputs!$B$11-Inputs!$B$11),0)))/100)/2</f>
        <v/>
      </c>
      <c r="M130">
        <f>L130*(1+(Inputs!$B$10+((C142=TRUE)*(F142-Calc!F25))+B153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0">
        <f>L130*(1-MIN((Inputs!$B$9+((C136=TRUE)*(F136-Calc!F19))+B148+(ArtifactsInput!$M$24-ArtifactsInput!$M$24)*CHOOSE(ArtifactsInput!$N$24+1,10,12,14,16,18,20)+(IF(AND(Inputs!$B$38&lt;&gt;"pvp",Inputs!$B$43=0),1,IF(IF(Inputs!$B$38="pvp",15,Inputs!$B$43)-(B155)&lt;=0,1,MAX(0,IF(Inputs!$B$38="pvp",15,Inputs!$B$43)-MAX(5,B155))/(IF(Inputs!$B$38="pvp",15,Inputs!$B$43)-(B155))))*IF(AND(ArtifactsInput!$M$42,((Inputs!$B$9+((C136=TRUE)*(F136-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130*(MIN((Inputs!$B$9+((C136=TRUE)*(F136-Calc!F19))+B148+(ArtifactsInput!$M$24-ArtifactsInput!$M$24)*CHOOSE(ArtifactsInput!$N$24+1,10,12,14,16,18,20)+(IF(AND(Inputs!$B$38&lt;&gt;"pvp",Inputs!$B$43=0),1,IF(IF(Inputs!$B$38="pvp",15,Inputs!$B$43)-(B155)&lt;=0,1,MAX(0,IF(Inputs!$B$38="pvp",15,Inputs!$B$43)-MAX(5,B155))/(IF(Inputs!$B$38="pvp",15,Inputs!$B$43)-(B155))))*IF(AND(ArtifactsInput!$M$42,((Inputs!$B$9+((C136=TRUE)*(F136-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0">
        <f>(1-Summary!$B$11)*T130+Summary!$B$11*V130</f>
        <v/>
      </c>
      <c r="P130">
        <f>IF(B158=0,0,O130/B158)</f>
        <v/>
      </c>
      <c r="Q130">
        <f>IFERROR(1/(IF(Inputs!$B$38="pvp",15,MAX(0.1,Skills!D13-IF(TRUE=TRUE,Inputs!$B$32,0)))*(1-IF(AND(ArtifactsInput!$M$27,Inputs!$B$4="Chapter Hunt"),CHOOSE(ArtifactsInput!$N$27+1,20,24,28,32,36,40),0)/100)),0)</f>
        <v/>
      </c>
      <c r="R130">
        <f>IF(AND(Inputs!$B$38&lt;&gt;"pvp",Inputs!$B$43&gt;0),IF(MAX(0,Inputs!$B$43-B155)&lt;=0,0,(INT(MAX(0,Inputs!$B$43-B155)/(IF(Inputs!$B$38="pvp",15,MAX(0.1,Skills!D13-IF(TRUE=TRUE,Inputs!$B$32,0)))*(1-IF(AND(ArtifactsInput!$M$27,Inputs!$B$4="Chapter Hunt"),CHOOSE(ArtifactsInput!$N$27+1,20,24,28,32,36,40),0)/100)))+1)),0)</f>
        <v/>
      </c>
      <c r="S130">
        <f>IFERROR(O130/N130,0)</f>
        <v/>
      </c>
      <c r="T130">
        <f>IF(C130,(H130*N130*IF(AND(Inputs!$B$38&lt;&gt;"pvp",Inputs!$B$43&gt;0),((Skills!G13*((R130-1)*IF(Skills!H13&gt;0,INT(Skills!I13/Skills!H13+0.000000001),1)+IF(Skills!H13&gt;0,INT(MIN(Skills!I13,MAX(0,MAX(0,Inputs!$B$43-B155)-((R130-1)*(IF(Inputs!$B$38="pvp",15,MAX(0.1,Skills!D13-IF(TRUE=TRUE,Inputs!$B$32,0)))*(1-IF(AND(ArtifactsInput!$M$27,Inputs!$B$4="Chapter Hunt"),CHOOSE(ArtifactsInput!$N$27+1,20,24,28,32,36,40),0)/100)))))/Skills!H13+0.000000001),1)))/Inputs!$B$43),G130*Q130))*IF(Inputs!$B$38="pvp",1,1+(Inputs!$B$20+0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Hunt"),CHOOSE(ArtifactsInput!$N$35+1,15,18,21,24,27,30)*(1-EXP(-(0.2*B150)*5)),0)+IF(AND(ArtifactsInput!$M$22,Inputs!$B$4&lt;&gt;"Chapter Hunt"),CHOOSE(ArtifactsInput!$N$22+1,10,12,14,16,18,20)*((0*(((0.15*B150*5))^0/1)+1*(((0.15*B150*5))^1/1)+2*(((0.15*B150*5))^2/2)+3*(((0.15*B150*5))^3/6)+4*(((0.15*B150*5))^4/24)+5*(((0.15*B150*5))^5/120))/((((0.15*B150*5))^0/1)+(((0.15*B150*5))^1/1)+(((0.15*B150*5))^2/2)+(((0.15*B150*5))^3/6)+(((0.15*B150*5))^4/24)+(((0.15*B150*5))^5/120))),0))+IF(Inputs!$B$3&gt;=54,9*(C120=TRUE)*MIN(1,8*(1+Inputs!$B$34/100)*Q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130*(1-MIN(100,(Inputs!$B$9+((C136=TRUE)*(F136-Calc!F19))+B148+(ArtifactsInput!$M$24-ArtifactsInput!$M$24)*CHOOSE(ArtifactsInput!$N$24+1,10,12,14,16,18,20)+(IF(AND(Inputs!$B$38&lt;&gt;"pvp",Inputs!$B$43=0),1,IF(IF(Inputs!$B$38="pvp",15,Inputs!$B$43)-(B155)&lt;=0,1,MAX(0,IF(Inputs!$B$38="pvp",15,Inputs!$B$43)-MAX(5,B155))/(IF(Inputs!$B$38="pvp",15,Inputs!$B$43)-(B155))))*IF(AND(ArtifactsInput!$M$42,((Inputs!$B$9+((C136=TRUE)*(F136-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130*(MIN(100,(Inputs!$B$9+((C136=TRUE)*(F136-Calc!F19))+B148+(ArtifactsInput!$M$24-ArtifactsInput!$M$24)*CHOOSE(ArtifactsInput!$N$24+1,10,12,14,16,18,20)+(IF(AND(Inputs!$B$38&lt;&gt;"pvp",Inputs!$B$43=0),1,IF(IF(Inputs!$B$38="pvp",15,Inputs!$B$43)-(B155)&lt;=0,1,MAX(0,IF(Inputs!$B$38="pvp",15,Inputs!$B$43)-MAX(5,B155))/(IF(Inputs!$B$38="pvp",15,Inputs!$B$43)-(B155))))*IF(AND(ArtifactsInput!$M$42,((Inputs!$B$9+((C136=TRUE)*(F136-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130*(1-MIN(100,(Inputs!$B$9+((C136=TRUE)*(F136-Calc!F19))+B148+(ArtifactsInput!$M$24-ArtifactsInput!$M$24)*CHOOSE(ArtifactsInput!$N$24+1,10,12,14,16,18,20)+(IF(AND(Inputs!$B$38&lt;&gt;"pvp",Inputs!$B$43=0),1,IF(IF(Inputs!$B$38="pvp",15,Inputs!$B$43)-(B155)&lt;=0,1,MAX(0,IF(Inputs!$B$38="pvp",15,Inputs!$B$43)-MAX(5,B155))/(IF(Inputs!$B$38="pvp",15,Inputs!$B$43)-(B155))))*IF(AND(ArtifactsInput!$M$42,((Inputs!$B$9+((C136=TRUE)*(F136-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130*(MIN(100,(Inputs!$B$9+((C136=TRUE)*(F136-Calc!F19))+B148+(ArtifactsInput!$M$24-ArtifactsInput!$M$24)*CHOOSE(ArtifactsInput!$N$24+1,10,12,14,16,18,20)+(IF(AND(Inputs!$B$38&lt;&gt;"pvp",Inputs!$B$43=0),1,IF(IF(Inputs!$B$38="pvp",15,Inputs!$B$43)-(B155)&lt;=0,1,MAX(0,IF(Inputs!$B$38="pvp",15,Inputs!$B$43)-MAX(5,B155))/(IF(Inputs!$B$38="pvp",15,Inputs!$B$43)-(B155))))*IF(AND(ArtifactsInput!$M$42,((Inputs!$B$9+((C136=TRUE)*(F136-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30">
        <f>IF(C130,(H130*N130*IF(AND(Inputs!$B$38&lt;&gt;"pvp",Inputs!$B$43&gt;0),((Skills!G13*((R130-1)*IF(Skills!H13&gt;0,INT(Skills!I13/Skills!H13+0.000000001),1)+IF(Skills!H13&gt;0,INT(MIN(Skills!I13,MAX(0,MAX(0,Inputs!$B$43-B155)-((R130-1)*(IF(Inputs!$B$38="pvp",15,MAX(0.1,Skills!D13-IF(TRUE=TRUE,Inputs!$B$32,0)))*(1-IF(AND(ArtifactsInput!$M$27,Inputs!$B$4="Chapter Hunt"),CHOOSE(ArtifactsInput!$N$27+1,20,24,28,32,36,40),0)/100)))))/Skills!H13+0.000000001),1)))/Inputs!$B$43),G130*Q130))*IF(Inputs!$B$38="pvp",1,(1+(Inputs!$B$21+Skills!Q13+(IF(ArtifactsInput!$M$33,CHOOSE(ArtifactsInput!$N$33+1,30,36,42,48,54,60),0))+(IF(AND(ArtifactsInput!$M$35,Inputs!$B$4&lt;&gt;"Chapter Hunt"),CHOOSE(ArtifactsInput!$N$35+1,15,18,21,24,27,30)*(1-EXP(-(0.2*B150)*5)),0)+IF(AND(ArtifactsInput!$M$22,Inputs!$B$4&lt;&gt;"Chapter Hunt"),CHOOSE(ArtifactsInput!$N$22+1,10,12,14,16,18,20)*((0*(((0.15*B150*5))^0/1)+1*(((0.15*B150*5))^1/1)+2*(((0.15*B150*5))^2/2)+3*(((0.15*B150*5))^3/6)+4*(((0.15*B150*5))^4/24)+5*(((0.15*B150*5))^5/120))/((((0.15*B150*5))^0/1)+(((0.15*B150*5))^1/1)+(((0.15*B150*5))^2/2)+(((0.15*B150*5))^3/6)+(((0.15*B150*5))^4/24)+(((0.15*B150*5))^5/120))),0))+IF(Inputs!$B$3&gt;=54,9*(C120=TRUE)*MIN(1,8*(1+Inputs!$B$34/100)*Q120),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1">
      <c r="A131">
        <f>Skills!A14</f>
        <v/>
      </c>
      <c r="B131">
        <f>Skills!B14</f>
        <v/>
      </c>
      <c r="C131">
        <f>Inputs!$B$3&gt;=120</f>
        <v/>
      </c>
      <c r="D131">
        <f>IF(Skills!C14=1,60+Inputs!$B$25+Inputs!$B$29,IF(Skills!C14=2,90+Inputs!$B$26+Inputs!$B$29,IF(Skills!C14=3,120+Inputs!$B$27+Inputs!$B$29,MAX(0,(Inputs!$B$3-100)*3)+Inputs!$B$28+Inputs!$B$29)))</f>
        <v/>
      </c>
      <c r="E131">
        <f>INDEX(FactorTable!$B$2:$Y$301, MATCH(ROUND(MIN(300,MAX(1,D131)),0), FactorTable!$A$2:$A$301,0), Skills!M14+1)</f>
        <v/>
      </c>
      <c r="F131">
        <f>IF(Skills!N14=TRUE,(Skills!L14/10)*(E131/1000),Skills!L14/10)+Skills!O14</f>
        <v/>
      </c>
      <c r="G131">
        <f>Skills!G14*IF(Skills!H14&gt;0,INT(IF(Inputs!$B$38="pvp",MIN(Skills!I14,15),Skills!I14)/Skills!H14+0.000000001),1)</f>
        <v/>
      </c>
      <c r="H131">
        <f>1-(1-Skills!J14/100)^Skills!K14</f>
        <v/>
      </c>
      <c r="I131" t="inlineStr">
        <is>
          <t>1</t>
        </is>
      </c>
      <c r="J131">
        <f>((Inputs!$B$6*(1+Inputs!$B$7/100))+(((Inputs!$B$12*(1+(Inputs!$B$13+1)/100))-(Inputs!$B$12*(1+Inputs!$B$13/100)))+0.25*(Inputs!$B$14-Inputs!$B$14))*(1+Inputs!$B$7/100))*(F131/100)</f>
        <v/>
      </c>
      <c r="K131">
        <f>J131*(1+((Inputs!$B$12*(1+(Inputs!$B$13+1)/100))*0.01+Inputs!$B$14*0.0025)/100)*(1+Inputs!$B$15/100)*(1+Inputs!$B$16/100)*(5000/(6000+Inputs!$B$42*(1-(100*(1-(1-(Inputs!$B$19+0)/100)*(1-CHOOSE(ArtifactsInput!$N$40+1,5,6,7,8,9,10)/100)^(ArtifactsInput!$M$40-ArtifactsInput!$M$40)))/100)))*(1+(Inputs!$B$24+((C143=TRUE)*(F143-Calc!F26))+B154)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EIGHT_LEGS_EASTON",Inputs!$B$17+((C140=TRUE)*(F140-Calc!F23))+((C144=TRUE)*(F144-Calc!F27))+((IF(AND(Inputs!$B$38&lt;&gt;"pvp",Inputs!$B$43=0),1,IF(IF(Inputs!$B$38="pvp",15,Inputs!$B$43)-(B155)&lt;=0,1,MAX(0,IF(Inputs!$B$38="pvp",15,Inputs!$B$43)-MAX(5,B155))/(IF(Inputs!$B$38="pvp",15,Inputs!$B$43)-(B155))))*(IF(AND(ArtifactsInput!$M$42,((Inputs!$B$9+((C136=TRUE)*(F136-Calc!F19))+B148+(ArtifactsInput!$M$24-ArtifactsInput!$M$24)*CHOOSE(ArtifactsInput!$N$24+1,10,12,14,16,18,20)+IF(ArtifactsInput!$M$10,CHOOSE(ArtifactsInput!$N$10+1,15,18,21,24,27,30)*(IF(Inputs!$B$38="pvp",MIN(15,15)/15,IF(AND(Inputs!$B$38&lt;&gt;"pvp",Inputs!$B$43&gt;0),MIN(15,Inputs!$B$43)/(Inputs!$B$43),0))),0)))&gt;=100),MIN(100,((Inputs!$B$9+((C136=TRUE)*(F136-Calc!F19))+B148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155)&lt;=0,1,MAX(0,IF(Inputs!$B$38="pvp",15,Inputs!$B$43)-MAX(5,B155))/(IF(Inputs!$B$38="pvp",15,Inputs!$B$43)-(B155))))*IF(AND(ArtifactsInput!$M$42,((Inputs!$B$9+((C136=TRUE)*(F136-Calc!F19))+B148+(ArtifactsInput!$M$24-ArtifactsInput!$M$24)*CHOOSE(ArtifactsInput!$N$24+1,10,12,14,16,18,20)+IF(ArtifactsInput!$M$10,CHOOSE(ArtifactsInput!$N$10+1,15,18,21,24,27,30)*(IF(Inputs!$B$38="pvp",MIN(15,15)/15,IF(AND(Inputs!$B$38&lt;&gt;"pvp",Inputs!$B$43&gt;0),MIN(15,Inputs!$B$43)/(Inputs!$B$43),0))),0)))&gt;=100),CHOOSE(ArtifactsInput!$N$42+1,40,48,56,64,72,80),0))))/100)*((1+(((C134=TRUE)*F134*5/7)+((C141=TRUE)*(F141-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131)</f>
        <v/>
      </c>
      <c r="L131">
        <f>K131*(MIN(Inputs!$B$22+((C139=TRUE)*(F139-Calc!F22)),(Inputs!$B$23+0+(IF(ArtifactsInput!$M$15,CHOOSE(ArtifactsInput!$N$15+1,25,30,35,40,45,50)/100*(Inputs!$B$11-Inputs!$B$11),0))))/100+(Inputs!$B$23+0+(IF(ArtifactsInput!$M$15,CHOOSE(ArtifactsInput!$N$15+1,25,30,35,40,45,50)/100*(Inputs!$B$11-Inputs!$B$11),0)))/100)/2</f>
        <v/>
      </c>
      <c r="M131">
        <f>L131*(1+(Inputs!$B$10+((C142=TRUE)*(F142-Calc!F25))+B153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1">
        <f>L131*(1-MIN((Inputs!$B$9+((C136=TRUE)*(F136-Calc!F19))+B148+(ArtifactsInput!$M$24-ArtifactsInput!$M$24)*CHOOSE(ArtifactsInput!$N$24+1,10,12,14,16,18,20)+(IF(AND(Inputs!$B$38&lt;&gt;"pvp",Inputs!$B$43=0),1,IF(IF(Inputs!$B$38="pvp",15,Inputs!$B$43)-(B155)&lt;=0,1,MAX(0,IF(Inputs!$B$38="pvp",15,Inputs!$B$43)-MAX(5,B155))/(IF(Inputs!$B$38="pvp",15,Inputs!$B$43)-(B155))))*IF(AND(ArtifactsInput!$M$42,((Inputs!$B$9+((C136=TRUE)*(F136-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131*(MIN((Inputs!$B$9+((C136=TRUE)*(F136-Calc!F19))+B148+(ArtifactsInput!$M$24-ArtifactsInput!$M$24)*CHOOSE(ArtifactsInput!$N$24+1,10,12,14,16,18,20)+(IF(AND(Inputs!$B$38&lt;&gt;"pvp",Inputs!$B$43=0),1,IF(IF(Inputs!$B$38="pvp",15,Inputs!$B$43)-(B155)&lt;=0,1,MAX(0,IF(Inputs!$B$38="pvp",15,Inputs!$B$43)-MAX(5,B155))/(IF(Inputs!$B$38="pvp",15,Inputs!$B$43)-(B155))))*IF(AND(ArtifactsInput!$M$42,((Inputs!$B$9+((C136=TRUE)*(F136-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1">
        <f>(1-Summary!$B$11)*T131+Summary!$B$11*V131</f>
        <v/>
      </c>
      <c r="P131">
        <f>IF(B158=0,0,O131/B158)</f>
        <v/>
      </c>
      <c r="Q131" t="n">
        <v>0</v>
      </c>
      <c r="R131" t="n">
        <v>0</v>
      </c>
      <c r="S131">
        <f>IFERROR(O131/N131,0)</f>
        <v/>
      </c>
      <c r="T131">
        <f>IF(C131,((H131*(B152+IF(AND(Inputs!$B$38&lt;&gt;"pvp",Inputs!$B$43&gt;0),((Skills!G8*((R125-1)*IF(Skills!H8&gt;0,INT(Skills!I8/Skills!H8+0.000000001),1)+IF(Skills!H8&gt;0,INT(MIN(Skills!I8,MAX(0,MAX(0,Inputs!$B$43-B155)-((R125-1)*((IF(Inputs!$B$38="pvp",15,MAX(0.1,Skills!D8-IF(TRUE=TRUE,Inputs!$B$32,0)))*(1-IF(AND(ArtifactsInput!$M$27,Inputs!$B$4="Chapter Hunt"),CHOOSE(ArtifactsInput!$N$27+1,20,24,28,32,36,40),0)/100))/B159))))/Skills!H8+0.000000001),1)))/Inputs!$B$43),G125*Q125)+IF(AND(Inputs!$B$38&lt;&gt;"pvp",Inputs!$B$43&gt;0),((Skills!G11*((R128-1)*IF(Skills!H11&gt;0,INT(Skills!I11/Skills!H11+0.000000001),1)+IF(Skills!H11&gt;0,INT(MIN(Skills!I11,MAX(0,MAX(0,Inputs!$B$43-B155)-((R128-1)*((IF(Inputs!$B$38="pvp",15,MAX(0.1,Skills!D11-IF(TRUE=TRUE,Inputs!$B$32,0)))*(1-IF(AND(ArtifactsInput!$M$27,Inputs!$B$4="Chapter Hunt"),CHOOSE(ArtifactsInput!$N$27+1,20,24,28,32,36,40),0)/100))/B159))))/Skills!H11+0.000000001),1)))/Inputs!$B$43),G128*Q128)))/(1+Skills!H14*H131*(B152+IF(AND(Inputs!$B$38&lt;&gt;"pvp",Inputs!$B$43&gt;0),((Skills!G8*((R125-1)*IF(Skills!H8&gt;0,INT(Skills!I8/Skills!H8+0.000000001),1)+IF(Skills!H8&gt;0,INT(MIN(Skills!I8,MAX(0,MAX(0,Inputs!$B$43-B155)-((R125-1)*((IF(Inputs!$B$38="pvp",15,MAX(0.1,Skills!D8-IF(TRUE=TRUE,Inputs!$B$32,0)))*(1-IF(AND(ArtifactsInput!$M$27,Inputs!$B$4="Chapter Hunt"),CHOOSE(ArtifactsInput!$N$27+1,20,24,28,32,36,40),0)/100))/B159))))/Skills!H8+0.000000001),1)))/Inputs!$B$43),G125*Q125)+IF(AND(Inputs!$B$38&lt;&gt;"pvp",Inputs!$B$43&gt;0),((Skills!G11*((R128-1)*IF(Skills!H11&gt;0,INT(Skills!I11/Skills!H11+0.000000001),1)+IF(Skills!H11&gt;0,INT(MIN(Skills!I11,MAX(0,MAX(0,Inputs!$B$43-B155)-((R128-1)*((IF(Inputs!$B$38="pvp",15,MAX(0.1,Skills!D11-IF(TRUE=TRUE,Inputs!$B$32,0)))*(1-IF(AND(ArtifactsInput!$M$27,Inputs!$B$4="Chapter Hunt"),CHOOSE(ArtifactsInput!$N$27+1,20,24,28,32,36,40),0)/100))/B159))))/Skills!H11+0.000000001),1)))/Inputs!$B$43),G128*Q128)))*N131)*IF(Inputs!$B$38="pvp",1,1+(Inputs!$B$20+0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Hunt"),CHOOSE(ArtifactsInput!$N$35+1,15,18,21,24,27,30)*(1-EXP(-(0.2*B150)*5)),0)+IF(AND(ArtifactsInput!$M$22,Inputs!$B$4&lt;&gt;"Chapter Hunt"),CHOOSE(ArtifactsInput!$N$22+1,10,12,14,16,18,20)*((0*(((0.15*B150*5))^0/1)+1*(((0.15*B150*5))^1/1)+2*(((0.15*B150*5))^2/2)+3*(((0.15*B150*5))^3/6)+4*(((0.15*B150*5))^4/24)+5*(((0.15*B150*5))^5/120))/((((0.15*B150*5))^0/1)+(((0.15*B150*5))^1/1)+(((0.15*B150*5))^2/2)+(((0.15*B150*5))^3/6)+(((0.15*B150*5))^4/24)+(((0.15*B150*5))^5/120))),0))+IF(Inputs!$B$3&gt;=54,9*(C120=TRUE)*MIN(1,8*(1+Inputs!$B$34/100)*Q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131*(1-MIN(100,(Inputs!$B$9+((C136=TRUE)*(F136-Calc!F19))+B148+(ArtifactsInput!$M$24-ArtifactsInput!$M$24)*CHOOSE(ArtifactsInput!$N$24+1,10,12,14,16,18,20)+(IF(AND(Inputs!$B$38&lt;&gt;"pvp",Inputs!$B$43=0),1,IF(IF(Inputs!$B$38="pvp",15,Inputs!$B$43)-(B155)&lt;=0,1,MAX(0,IF(Inputs!$B$38="pvp",15,Inputs!$B$43)-MAX(5,B155))/(IF(Inputs!$B$38="pvp",15,Inputs!$B$43)-(B155))))*IF(AND(ArtifactsInput!$M$42,((Inputs!$B$9+((C136=TRUE)*(F136-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131*(MIN(100,(Inputs!$B$9+((C136=TRUE)*(F136-Calc!F19))+B148+(ArtifactsInput!$M$24-ArtifactsInput!$M$24)*CHOOSE(ArtifactsInput!$N$24+1,10,12,14,16,18,20)+(IF(AND(Inputs!$B$38&lt;&gt;"pvp",Inputs!$B$43=0),1,IF(IF(Inputs!$B$38="pvp",15,Inputs!$B$43)-(B155)&lt;=0,1,MAX(0,IF(Inputs!$B$38="pvp",15,Inputs!$B$43)-MAX(5,B155))/(IF(Inputs!$B$38="pvp",15,Inputs!$B$43)-(B155))))*IF(AND(ArtifactsInput!$M$42,((Inputs!$B$9+((C136=TRUE)*(F136-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131*(1-MIN(100,(Inputs!$B$9+((C136=TRUE)*(F136-Calc!F19))+B148+(ArtifactsInput!$M$24-ArtifactsInput!$M$24)*CHOOSE(ArtifactsInput!$N$24+1,10,12,14,16,18,20)+(IF(AND(Inputs!$B$38&lt;&gt;"pvp",Inputs!$B$43=0),1,IF(IF(Inputs!$B$38="pvp",15,Inputs!$B$43)-(B155)&lt;=0,1,MAX(0,IF(Inputs!$B$38="pvp",15,Inputs!$B$43)-MAX(5,B155))/(IF(Inputs!$B$38="pvp",15,Inputs!$B$43)-(B155))))*IF(AND(ArtifactsInput!$M$42,((Inputs!$B$9+((C136=TRUE)*(F136-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131*(MIN(100,(Inputs!$B$9+((C136=TRUE)*(F136-Calc!F19))+B148+(ArtifactsInput!$M$24-ArtifactsInput!$M$24)*CHOOSE(ArtifactsInput!$N$24+1,10,12,14,16,18,20)+(IF(AND(Inputs!$B$38&lt;&gt;"pvp",Inputs!$B$43=0),1,IF(IF(Inputs!$B$38="pvp",15,Inputs!$B$43)-(B155)&lt;=0,1,MAX(0,IF(Inputs!$B$38="pvp",15,Inputs!$B$43)-MAX(5,B155))/(IF(Inputs!$B$38="pvp",15,Inputs!$B$43)-(B155))))*IF(AND(ArtifactsInput!$M$42,((Inputs!$B$9+((C136=TRUE)*(F136-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31">
        <f>IF(C131,((H131*(B152+IF(AND(Inputs!$B$38&lt;&gt;"pvp",Inputs!$B$43&gt;0),((Skills!G8*((R125-1)*IF(Skills!H8&gt;0,INT(Skills!I8/Skills!H8+0.000000001),1)+IF(Skills!H8&gt;0,INT(MIN(Skills!I8,MAX(0,MAX(0,Inputs!$B$43-B155)-((R125-1)*((IF(Inputs!$B$38="pvp",15,MAX(0.1,Skills!D8-IF(TRUE=TRUE,Inputs!$B$32,0)))*(1-IF(AND(ArtifactsInput!$M$27,Inputs!$B$4="Chapter Hunt"),CHOOSE(ArtifactsInput!$N$27+1,20,24,28,32,36,40),0)/100))/B159))))/Skills!H8+0.000000001),1)))/Inputs!$B$43),G125*Q125)+IF(AND(Inputs!$B$38&lt;&gt;"pvp",Inputs!$B$43&gt;0),((Skills!G11*((R128-1)*IF(Skills!H11&gt;0,INT(Skills!I11/Skills!H11+0.000000001),1)+IF(Skills!H11&gt;0,INT(MIN(Skills!I11,MAX(0,MAX(0,Inputs!$B$43-B155)-((R128-1)*((IF(Inputs!$B$38="pvp",15,MAX(0.1,Skills!D11-IF(TRUE=TRUE,Inputs!$B$32,0)))*(1-IF(AND(ArtifactsInput!$M$27,Inputs!$B$4="Chapter Hunt"),CHOOSE(ArtifactsInput!$N$27+1,20,24,28,32,36,40),0)/100))/B159))))/Skills!H11+0.000000001),1)))/Inputs!$B$43),G128*Q128)))/(1+Skills!H14*H131*(B152+IF(AND(Inputs!$B$38&lt;&gt;"pvp",Inputs!$B$43&gt;0),((Skills!G8*((R125-1)*IF(Skills!H8&gt;0,INT(Skills!I8/Skills!H8+0.000000001),1)+IF(Skills!H8&gt;0,INT(MIN(Skills!I8,MAX(0,MAX(0,Inputs!$B$43-B155)-((R125-1)*((IF(Inputs!$B$38="pvp",15,MAX(0.1,Skills!D8-IF(TRUE=TRUE,Inputs!$B$32,0)))*(1-IF(AND(ArtifactsInput!$M$27,Inputs!$B$4="Chapter Hunt"),CHOOSE(ArtifactsInput!$N$27+1,20,24,28,32,36,40),0)/100))/B159))))/Skills!H8+0.000000001),1)))/Inputs!$B$43),G125*Q125)+IF(AND(Inputs!$B$38&lt;&gt;"pvp",Inputs!$B$43&gt;0),((Skills!G11*((R128-1)*IF(Skills!H11&gt;0,INT(Skills!I11/Skills!H11+0.000000001),1)+IF(Skills!H11&gt;0,INT(MIN(Skills!I11,MAX(0,MAX(0,Inputs!$B$43-B155)-((R128-1)*((IF(Inputs!$B$38="pvp",15,MAX(0.1,Skills!D11-IF(TRUE=TRUE,Inputs!$B$32,0)))*(1-IF(AND(ArtifactsInput!$M$27,Inputs!$B$4="Chapter Hunt"),CHOOSE(ArtifactsInput!$N$27+1,20,24,28,32,36,40),0)/100))/B159))))/Skills!H11+0.000000001),1)))/Inputs!$B$43),G128*Q128)))*N131)*IF(Inputs!$B$38="pvp",1,(1+(Inputs!$B$21+Skills!Q14+(IF(ArtifactsInput!$M$33,CHOOSE(ArtifactsInput!$N$33+1,30,36,42,48,54,60),0))+(IF(AND(ArtifactsInput!$M$35,Inputs!$B$4&lt;&gt;"Chapter Hunt"),CHOOSE(ArtifactsInput!$N$35+1,15,18,21,24,27,30)*(1-EXP(-(0.2*B150)*5)),0)+IF(AND(ArtifactsInput!$M$22,Inputs!$B$4&lt;&gt;"Chapter Hunt"),CHOOSE(ArtifactsInput!$N$22+1,10,12,14,16,18,20)*((0*(((0.15*B150*5))^0/1)+1*(((0.15*B150*5))^1/1)+2*(((0.15*B150*5))^2/2)+3*(((0.15*B150*5))^3/6)+4*(((0.15*B150*5))^4/24)+5*(((0.15*B150*5))^5/120))/((((0.15*B150*5))^0/1)+(((0.15*B150*5))^1/1)+(((0.15*B150*5))^2/2)+(((0.15*B150*5))^3/6)+(((0.15*B150*5))^4/24)+(((0.15*B150*5))^5/120))),0))+IF(Inputs!$B$3&gt;=54,9*(C120=TRUE)*MIN(1,8*(1+Inputs!$B$34/100)*Q120),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2">
      <c r="A132">
        <f>Skills!A15</f>
        <v/>
      </c>
      <c r="B132">
        <f>Skills!B15</f>
        <v/>
      </c>
      <c r="C132">
        <f>Inputs!$B$3&gt;=100</f>
        <v/>
      </c>
      <c r="D132">
        <f>IF(Skills!C15=1,60+Inputs!$B$25+Inputs!$B$29,IF(Skills!C15=2,90+Inputs!$B$26+Inputs!$B$29,IF(Skills!C15=3,120+Inputs!$B$27+Inputs!$B$29,MAX(0,(Inputs!$B$3-100)*3)+Inputs!$B$28+Inputs!$B$29)))</f>
        <v/>
      </c>
      <c r="E132">
        <f>INDEX(FactorTable!$B$2:$Y$301, MATCH(ROUND(MIN(300,MAX(1,D132)),0), FactorTable!$A$2:$A$301,0), Skills!M15+1)</f>
        <v/>
      </c>
      <c r="F132">
        <f>IF(Skills!N15=TRUE,(Skills!L15/10)*(E132/1000),Skills!L15/10)+Skills!O15</f>
        <v/>
      </c>
      <c r="G132" t="inlineStr"/>
      <c r="H132" t="inlineStr"/>
      <c r="I132" t="inlineStr">
        <is>
          <t>1</t>
        </is>
      </c>
      <c r="J132" t="inlineStr"/>
      <c r="K132" t="inlineStr"/>
      <c r="L132" t="inlineStr"/>
      <c r="M132" t="inlineStr"/>
      <c r="N132" t="inlineStr"/>
      <c r="O132" t="inlineStr"/>
      <c r="P132" t="inlineStr"/>
      <c r="Q132" t="inlineStr"/>
      <c r="R132" t="inlineStr"/>
      <c r="S132" t="inlineStr"/>
    </row>
    <row r="133">
      <c r="A133">
        <f>Skills!A16</f>
        <v/>
      </c>
      <c r="B133">
        <f>Skills!B16</f>
        <v/>
      </c>
      <c r="C133">
        <f>Inputs!$B$3&gt;=107</f>
        <v/>
      </c>
      <c r="D133">
        <f>IF(Skills!C16=1,60+Inputs!$B$25+Inputs!$B$29,IF(Skills!C16=2,90+Inputs!$B$26+Inputs!$B$29,IF(Skills!C16=3,120+Inputs!$B$27+Inputs!$B$29,MAX(0,(Inputs!$B$3-100)*3)+Inputs!$B$28+Inputs!$B$29)))</f>
        <v/>
      </c>
      <c r="E133">
        <f>INDEX(FactorTable!$B$2:$Y$301, MATCH(ROUND(MIN(300,MAX(1,D133)),0), FactorTable!$A$2:$A$301,0), Skills!M16+1)</f>
        <v/>
      </c>
      <c r="F133">
        <f>IF(Skills!N16=TRUE,(Skills!L16/10)*(E133/1000),Skills!L16/10)+Skills!O16</f>
        <v/>
      </c>
      <c r="G133" t="inlineStr"/>
      <c r="H133" t="inlineStr"/>
      <c r="I133" t="inlineStr">
        <is>
          <t>1</t>
        </is>
      </c>
      <c r="J133" t="inlineStr"/>
      <c r="K133" t="inlineStr"/>
      <c r="L133" t="inlineStr"/>
      <c r="M133" t="inlineStr"/>
      <c r="N133" t="inlineStr"/>
      <c r="O133" t="inlineStr"/>
      <c r="P133" t="inlineStr"/>
      <c r="Q133" t="inlineStr"/>
      <c r="R133" t="inlineStr"/>
      <c r="S133" t="inlineStr"/>
    </row>
    <row r="134">
      <c r="A134">
        <f>Skills!A17</f>
        <v/>
      </c>
      <c r="B134">
        <f>Skills!B17</f>
        <v/>
      </c>
      <c r="C134">
        <f>Inputs!$B$3&gt;=74</f>
        <v/>
      </c>
      <c r="D134">
        <f>IF(Skills!C17=1,60+Inputs!$B$25+Inputs!$B$29,IF(Skills!C17=2,90+Inputs!$B$26+Inputs!$B$29,IF(Skills!C17=3,120+Inputs!$B$27+Inputs!$B$29,MAX(0,(Inputs!$B$3-100)*3)+Inputs!$B$28+Inputs!$B$29)))</f>
        <v/>
      </c>
      <c r="E134">
        <f>INDEX(FactorTable!$B$2:$Y$301, MATCH(ROUND(MIN(300,MAX(1,D134)),0), FactorTable!$A$2:$A$301,0), Skills!M17+1)</f>
        <v/>
      </c>
      <c r="F134">
        <f>IF(Skills!N17=TRUE,(Skills!L17/10)*(E134/1000),Skills!L17/10)+Skills!O17</f>
        <v/>
      </c>
      <c r="G134">
        <f>Skills!G17*IF(Skills!H17&gt;0,INT(IF(Inputs!$B$38="pvp",MIN(Skills!I17,15),Skills!I17)/Skills!H17+0.000000001),1)</f>
        <v/>
      </c>
      <c r="H134">
        <f>1-(1-Skills!J17/100)^Skills!K17</f>
        <v/>
      </c>
      <c r="I134" t="inlineStr">
        <is>
          <t>1</t>
        </is>
      </c>
      <c r="J134" t="inlineStr"/>
      <c r="K134" t="inlineStr"/>
      <c r="L134" t="inlineStr"/>
      <c r="M134" t="inlineStr"/>
      <c r="N134" t="inlineStr"/>
      <c r="O134">
        <f>(1-Summary!$B$11)*T134+Summary!$B$11*V134</f>
        <v/>
      </c>
      <c r="P134">
        <f>IF(B158=0,0,O134/B158)</f>
        <v/>
      </c>
      <c r="Q134" t="n">
        <v>0</v>
      </c>
      <c r="R134" t="n">
        <v>0</v>
      </c>
      <c r="S134">
        <f>IFERROR(O134/N134,0)</f>
        <v/>
      </c>
      <c r="T134" t="n">
        <v>0</v>
      </c>
      <c r="V134" t="n">
        <v>0</v>
      </c>
    </row>
    <row r="135">
      <c r="A135">
        <f>Skills!A18</f>
        <v/>
      </c>
      <c r="B135">
        <f>Skills!B18</f>
        <v/>
      </c>
      <c r="C135">
        <f>Inputs!$B$3&gt;=115</f>
        <v/>
      </c>
      <c r="D135">
        <f>IF(Skills!C18=1,60+Inputs!$B$25+Inputs!$B$29,IF(Skills!C18=2,90+Inputs!$B$26+Inputs!$B$29,IF(Skills!C18=3,120+Inputs!$B$27+Inputs!$B$29,MAX(0,(Inputs!$B$3-100)*3)+Inputs!$B$28+Inputs!$B$29)))</f>
        <v/>
      </c>
      <c r="E135">
        <f>INDEX(FactorTable!$B$2:$Y$301, MATCH(ROUND(MIN(300,MAX(1,D135)),0), FactorTable!$A$2:$A$301,0), Skills!M18+1)</f>
        <v/>
      </c>
      <c r="F135">
        <f>IF(Skills!N18=TRUE,(Skills!L18/10)*(E135/1000),Skills!L18/10)+Skills!O18</f>
        <v/>
      </c>
      <c r="G135">
        <f>Skills!G18*IF(Skills!H18&gt;0,INT(IF(Inputs!$B$38="pvp",MIN(Skills!I18,15),Skills!I18)/Skills!H18+0.000000001),1)</f>
        <v/>
      </c>
      <c r="H135">
        <f>1-(1-Skills!J18/100)^Skills!K18</f>
        <v/>
      </c>
      <c r="I135" t="inlineStr">
        <is>
          <t>1</t>
        </is>
      </c>
      <c r="J135" t="inlineStr"/>
      <c r="K135" t="inlineStr"/>
      <c r="L135" t="inlineStr"/>
      <c r="M135" t="inlineStr"/>
      <c r="N135" t="inlineStr"/>
      <c r="O135">
        <f>(1-Summary!$B$11)*T135+Summary!$B$11*V135</f>
        <v/>
      </c>
      <c r="P135">
        <f>IF(B158=0,0,O135/B158)</f>
        <v/>
      </c>
      <c r="Q135">
        <f>IFERROR(1/(IF(Inputs!$B$38="pvp",15,MAX(0.1,Skills!D18-IF(TRUE=TRUE,Inputs!$B$32,0)))*(1-IF(AND(ArtifactsInput!$M$27,Inputs!$B$4="Chapter Hunt"),CHOOSE(ArtifactsInput!$N$27+1,20,24,28,32,36,40),0)/100)),0)</f>
        <v/>
      </c>
      <c r="R135">
        <f>IF(AND(Inputs!$B$38&lt;&gt;"pvp",Inputs!$B$43&gt;0),IF(Inputs!$B$43&lt;=0,0,(INT(Inputs!$B$43/(IF(Inputs!$B$38="pvp",15,MAX(0.1,Skills!D18-IF(TRUE=TRUE,Inputs!$B$32,0)))*(1-IF(AND(ArtifactsInput!$M$27,Inputs!$B$4="Chapter Hunt"),CHOOSE(ArtifactsInput!$N$27+1,20,24,28,32,36,40),0)/100)))+1)),0)</f>
        <v/>
      </c>
      <c r="S135">
        <f>IFERROR(O135/N135,0)</f>
        <v/>
      </c>
      <c r="T135" t="n">
        <v>0</v>
      </c>
      <c r="V135" t="n">
        <v>0</v>
      </c>
    </row>
    <row r="136">
      <c r="A136">
        <f>Skills!A19</f>
        <v/>
      </c>
      <c r="B136">
        <f>Skills!B19</f>
        <v/>
      </c>
      <c r="C136">
        <f>Inputs!$B$3&gt;=10</f>
        <v/>
      </c>
      <c r="D136">
        <f>IF(Skills!C19=1,60+Inputs!$B$25+Inputs!$B$29,IF(Skills!C19=2,90+Inputs!$B$26+Inputs!$B$29,IF(Skills!C19=3,120+Inputs!$B$27+Inputs!$B$29,MAX(0,(Inputs!$B$3-100)*3)+Inputs!$B$28+Inputs!$B$29)))</f>
        <v/>
      </c>
      <c r="E136">
        <f>INDEX(FactorTable!$B$2:$Y$301, MATCH(ROUND(MIN(300,MAX(1,D136)),0), FactorTable!$A$2:$A$301,0), Skills!M19+1)</f>
        <v/>
      </c>
      <c r="F136">
        <f>IF(Skills!N19=TRUE,(Skills!L19/10)*(E136/1000),Skills!L19/10)+Skills!O19</f>
        <v/>
      </c>
      <c r="G136">
        <f>Skills!G19*IF(Skills!H19&gt;0,INT(IF(Inputs!$B$38="pvp",MIN(Skills!I19,15),Skills!I19)/Skills!H19+0.000000001),1)</f>
        <v/>
      </c>
      <c r="H136">
        <f>1-(1-Skills!J19/100)^Skills!K19</f>
        <v/>
      </c>
      <c r="I136" t="inlineStr">
        <is>
          <t>1</t>
        </is>
      </c>
      <c r="J136" t="inlineStr"/>
      <c r="K136" t="inlineStr"/>
      <c r="L136" t="inlineStr"/>
      <c r="M136" t="inlineStr"/>
      <c r="N136" t="inlineStr"/>
      <c r="O136">
        <f>(1-Summary!$B$11)*T136+Summary!$B$11*V136</f>
        <v/>
      </c>
      <c r="P136">
        <f>IF(B158=0,0,O136/B158)</f>
        <v/>
      </c>
      <c r="Q136" t="n">
        <v>0</v>
      </c>
      <c r="R136" t="n">
        <v>0</v>
      </c>
      <c r="S136">
        <f>IFERROR(O136/N136,0)</f>
        <v/>
      </c>
      <c r="T136" t="n">
        <v>0</v>
      </c>
      <c r="V136" t="n">
        <v>0</v>
      </c>
    </row>
    <row r="137">
      <c r="A137">
        <f>Skills!A20</f>
        <v/>
      </c>
      <c r="B137">
        <f>Skills!B20</f>
        <v/>
      </c>
      <c r="C137">
        <f>Inputs!$B$3&gt;=15</f>
        <v/>
      </c>
      <c r="D137">
        <f>IF(Skills!C20=1,60+Inputs!$B$25+Inputs!$B$29,IF(Skills!C20=2,90+Inputs!$B$26+Inputs!$B$29,IF(Skills!C20=3,120+Inputs!$B$27+Inputs!$B$29,MAX(0,(Inputs!$B$3-100)*3)+Inputs!$B$28+Inputs!$B$29)))</f>
        <v/>
      </c>
      <c r="E137">
        <f>INDEX(FactorTable!$B$2:$Y$301, MATCH(ROUND(MIN(300,MAX(1,D137)),0), FactorTable!$A$2:$A$301,0), Skills!M20+1)</f>
        <v/>
      </c>
      <c r="F137">
        <f>IF(Skills!N20=TRUE,(Skills!L20/10)*(E137/1000),Skills!L20/10)+Skills!O20</f>
        <v/>
      </c>
      <c r="G137">
        <f>Skills!G20*IF(Skills!H20&gt;0,INT(IF(Inputs!$B$38="pvp",MIN(Skills!I20,15),Skills!I20)/Skills!H20+0.000000001),1)</f>
        <v/>
      </c>
      <c r="H137">
        <f>1-(1-Skills!J20/100)^Skills!K20</f>
        <v/>
      </c>
      <c r="I137" t="inlineStr">
        <is>
          <t>1</t>
        </is>
      </c>
      <c r="J137" t="inlineStr"/>
      <c r="K137" t="inlineStr"/>
      <c r="L137" t="inlineStr"/>
      <c r="M137" t="inlineStr"/>
      <c r="N137" t="inlineStr"/>
      <c r="O137">
        <f>(1-Summary!$B$11)*T137+Summary!$B$11*V137</f>
        <v/>
      </c>
      <c r="P137">
        <f>IF(B158=0,0,O137/B158)</f>
        <v/>
      </c>
      <c r="Q137" t="n">
        <v>0</v>
      </c>
      <c r="R137" t="n">
        <v>0</v>
      </c>
      <c r="S137">
        <f>IFERROR(O137/N137,0)</f>
        <v/>
      </c>
      <c r="T137" t="n">
        <v>0</v>
      </c>
      <c r="V137" t="n">
        <v>0</v>
      </c>
    </row>
    <row r="138">
      <c r="A138">
        <f>Skills!A21</f>
        <v/>
      </c>
      <c r="B138">
        <f>Skills!B21</f>
        <v/>
      </c>
      <c r="C138">
        <f>Inputs!$B$3&gt;=40</f>
        <v/>
      </c>
      <c r="D138">
        <f>IF(Skills!C21=1,60+Inputs!$B$25+Inputs!$B$29,IF(Skills!C21=2,90+Inputs!$B$26+Inputs!$B$29,IF(Skills!C21=3,120+Inputs!$B$27+Inputs!$B$29,MAX(0,(Inputs!$B$3-100)*3)+Inputs!$B$28+Inputs!$B$29)))</f>
        <v/>
      </c>
      <c r="E138">
        <f>INDEX(FactorTable!$B$2:$Y$301, MATCH(ROUND(MIN(300,MAX(1,D138)),0), FactorTable!$A$2:$A$301,0), Skills!M21+1)</f>
        <v/>
      </c>
      <c r="F138">
        <f>IF(Skills!N21=TRUE,(Skills!L21/10)*(E138/1000),Skills!L21/10)+Skills!O21</f>
        <v/>
      </c>
      <c r="G138">
        <f>Skills!G21*IF(Skills!H21&gt;0,INT(IF(Inputs!$B$38="pvp",MIN(Skills!I21,15),Skills!I21)/Skills!H21+0.000000001),1)</f>
        <v/>
      </c>
      <c r="H138">
        <f>1-(1-Skills!J21/100)^Skills!K21</f>
        <v/>
      </c>
      <c r="I138" t="inlineStr">
        <is>
          <t>1</t>
        </is>
      </c>
      <c r="J138" t="inlineStr"/>
      <c r="K138" t="inlineStr"/>
      <c r="L138" t="inlineStr"/>
      <c r="M138" t="inlineStr"/>
      <c r="N138" t="inlineStr"/>
      <c r="O138">
        <f>(1-Summary!$B$11)*T138+Summary!$B$11*V138</f>
        <v/>
      </c>
      <c r="P138">
        <f>IF(B158=0,0,O138/B158)</f>
        <v/>
      </c>
      <c r="Q138" t="n">
        <v>0</v>
      </c>
      <c r="R138" t="n">
        <v>0</v>
      </c>
      <c r="S138">
        <f>IFERROR(O138/N138,0)</f>
        <v/>
      </c>
      <c r="T138" t="n">
        <v>0</v>
      </c>
      <c r="V138" t="n">
        <v>0</v>
      </c>
    </row>
    <row r="139">
      <c r="A139">
        <f>Skills!A22</f>
        <v/>
      </c>
      <c r="B139">
        <f>Skills!B22</f>
        <v/>
      </c>
      <c r="C139">
        <f>Inputs!$B$3&gt;=43</f>
        <v/>
      </c>
      <c r="D139">
        <f>IF(Skills!C22=1,60+Inputs!$B$25+Inputs!$B$29,IF(Skills!C22=2,90+Inputs!$B$26+Inputs!$B$29,IF(Skills!C22=3,120+Inputs!$B$27+Inputs!$B$29,MAX(0,(Inputs!$B$3-100)*3)+Inputs!$B$28+Inputs!$B$29)))</f>
        <v/>
      </c>
      <c r="E139">
        <f>INDEX(FactorTable!$B$2:$Y$301, MATCH(ROUND(MIN(300,MAX(1,D139)),0), FactorTable!$A$2:$A$301,0), Skills!M22+1)</f>
        <v/>
      </c>
      <c r="F139">
        <f>IF(Skills!N22=TRUE,(Skills!L22/10)*(E139/1000),Skills!L22/10)+Skills!O22</f>
        <v/>
      </c>
      <c r="G139">
        <f>Skills!G22*IF(Skills!H22&gt;0,INT(IF(Inputs!$B$38="pvp",MIN(Skills!I22,15),Skills!I22)/Skills!H22+0.000000001),1)</f>
        <v/>
      </c>
      <c r="H139">
        <f>1-(1-Skills!J22/100)^Skills!K22</f>
        <v/>
      </c>
      <c r="I139" t="inlineStr">
        <is>
          <t>1</t>
        </is>
      </c>
      <c r="J139" t="inlineStr"/>
      <c r="K139" t="inlineStr"/>
      <c r="L139" t="inlineStr"/>
      <c r="M139" t="inlineStr"/>
      <c r="N139" t="inlineStr"/>
      <c r="O139">
        <f>(1-Summary!$B$11)*T139+Summary!$B$11*V139</f>
        <v/>
      </c>
      <c r="P139">
        <f>IF(B158=0,0,O139/B158)</f>
        <v/>
      </c>
      <c r="Q139" t="n">
        <v>0</v>
      </c>
      <c r="R139" t="n">
        <v>0</v>
      </c>
      <c r="S139">
        <f>IFERROR(O139/N139,0)</f>
        <v/>
      </c>
      <c r="T139" t="n">
        <v>0</v>
      </c>
      <c r="V139" t="n">
        <v>0</v>
      </c>
    </row>
    <row r="140">
      <c r="A140">
        <f>Skills!A23</f>
        <v/>
      </c>
      <c r="B140">
        <f>Skills!B23</f>
        <v/>
      </c>
      <c r="C140">
        <f>Inputs!$B$3&gt;=38</f>
        <v/>
      </c>
      <c r="D140">
        <f>IF(Skills!C23=1,60+Inputs!$B$25+Inputs!$B$29,IF(Skills!C23=2,90+Inputs!$B$26+Inputs!$B$29,IF(Skills!C23=3,120+Inputs!$B$27+Inputs!$B$29,MAX(0,(Inputs!$B$3-100)*3)+Inputs!$B$28+Inputs!$B$29)))</f>
        <v/>
      </c>
      <c r="E140">
        <f>INDEX(FactorTable!$B$2:$Y$301, MATCH(ROUND(MIN(300,MAX(1,D140)),0), FactorTable!$A$2:$A$301,0), Skills!M23+1)</f>
        <v/>
      </c>
      <c r="F140">
        <f>IF(Skills!N23=TRUE,(Skills!L23/10)*(E140/1000),Skills!L23/10)+Skills!O23</f>
        <v/>
      </c>
      <c r="G140">
        <f>Skills!G23*IF(Skills!H23&gt;0,INT(IF(Inputs!$B$38="pvp",MIN(Skills!I23,15),Skills!I23)/Skills!H23+0.000000001),1)</f>
        <v/>
      </c>
      <c r="H140">
        <f>1-(1-Skills!J23/100)^Skills!K23</f>
        <v/>
      </c>
      <c r="I140" t="inlineStr">
        <is>
          <t>1</t>
        </is>
      </c>
      <c r="J140" t="inlineStr"/>
      <c r="K140" t="inlineStr"/>
      <c r="L140" t="inlineStr"/>
      <c r="M140" t="inlineStr"/>
      <c r="N140" t="inlineStr"/>
      <c r="O140">
        <f>(1-Summary!$B$11)*T140+Summary!$B$11*V140</f>
        <v/>
      </c>
      <c r="P140">
        <f>IF(B158=0,0,O140/B158)</f>
        <v/>
      </c>
      <c r="Q140" t="n">
        <v>0</v>
      </c>
      <c r="R140" t="n">
        <v>0</v>
      </c>
      <c r="S140">
        <f>IFERROR(O140/N140,0)</f>
        <v/>
      </c>
      <c r="T140" t="n">
        <v>0</v>
      </c>
      <c r="V140" t="n">
        <v>0</v>
      </c>
    </row>
    <row r="141">
      <c r="A141">
        <f>Skills!A24</f>
        <v/>
      </c>
      <c r="B141">
        <f>Skills!B24</f>
        <v/>
      </c>
      <c r="C141">
        <f>Inputs!$B$3&gt;=45</f>
        <v/>
      </c>
      <c r="D141">
        <f>IF(Skills!C24=1,60+Inputs!$B$25+Inputs!$B$29,IF(Skills!C24=2,90+Inputs!$B$26+Inputs!$B$29,IF(Skills!C24=3,120+Inputs!$B$27+Inputs!$B$29,MAX(0,(Inputs!$B$3-100)*3)+Inputs!$B$28+Inputs!$B$29)))</f>
        <v/>
      </c>
      <c r="E141">
        <f>INDEX(FactorTable!$B$2:$Y$301, MATCH(ROUND(MIN(300,MAX(1,D141)),0), FactorTable!$A$2:$A$301,0), Skills!M24+1)</f>
        <v/>
      </c>
      <c r="F141">
        <f>IF(Skills!N24=TRUE,(Skills!L24/10)*(E141/1000),Skills!L24/10)+Skills!O24</f>
        <v/>
      </c>
      <c r="G141">
        <f>Skills!G24*IF(Skills!H24&gt;0,INT(IF(Inputs!$B$38="pvp",MIN(Skills!I24,15),Skills!I24)/Skills!H24+0.000000001),1)</f>
        <v/>
      </c>
      <c r="H141">
        <f>1-(1-Skills!J24/100)^Skills!K24</f>
        <v/>
      </c>
      <c r="I141" t="inlineStr">
        <is>
          <t>1</t>
        </is>
      </c>
      <c r="J141" t="inlineStr"/>
      <c r="K141" t="inlineStr"/>
      <c r="L141" t="inlineStr"/>
      <c r="M141" t="inlineStr"/>
      <c r="N141" t="inlineStr"/>
      <c r="O141">
        <f>(1-Summary!$B$11)*T141+Summary!$B$11*V141</f>
        <v/>
      </c>
      <c r="P141">
        <f>IF(B158=0,0,O141/B158)</f>
        <v/>
      </c>
      <c r="Q141" t="n">
        <v>0</v>
      </c>
      <c r="R141" t="n">
        <v>0</v>
      </c>
      <c r="S141">
        <f>IFERROR(O141/N141,0)</f>
        <v/>
      </c>
      <c r="T141" t="n">
        <v>0</v>
      </c>
      <c r="V141" t="n">
        <v>0</v>
      </c>
    </row>
    <row r="142">
      <c r="A142">
        <f>Skills!A25</f>
        <v/>
      </c>
      <c r="B142">
        <f>Skills!B25</f>
        <v/>
      </c>
      <c r="C142">
        <f>Inputs!$B$3&gt;=72</f>
        <v/>
      </c>
      <c r="D142">
        <f>IF(Skills!C25=1,60+Inputs!$B$25+Inputs!$B$29,IF(Skills!C25=2,90+Inputs!$B$26+Inputs!$B$29,IF(Skills!C25=3,120+Inputs!$B$27+Inputs!$B$29,MAX(0,(Inputs!$B$3-100)*3)+Inputs!$B$28+Inputs!$B$29)))</f>
        <v/>
      </c>
      <c r="E142">
        <f>INDEX(FactorTable!$B$2:$Y$301, MATCH(ROUND(MIN(300,MAX(1,D142)),0), FactorTable!$A$2:$A$301,0), Skills!M25+1)</f>
        <v/>
      </c>
      <c r="F142">
        <f>IF(Skills!N25=TRUE,(Skills!L25/10)*(E142/1000),Skills!L25/10)+Skills!O25</f>
        <v/>
      </c>
      <c r="G142">
        <f>Skills!G25*IF(Skills!H25&gt;0,INT(IF(Inputs!$B$38="pvp",MIN(Skills!I25,15),Skills!I25)/Skills!H25+0.000000001),1)</f>
        <v/>
      </c>
      <c r="H142">
        <f>1-(1-Skills!J25/100)^Skills!K25</f>
        <v/>
      </c>
      <c r="I142" t="inlineStr">
        <is>
          <t>1</t>
        </is>
      </c>
      <c r="J142" t="inlineStr"/>
      <c r="K142" t="inlineStr"/>
      <c r="L142" t="inlineStr"/>
      <c r="M142" t="inlineStr"/>
      <c r="N142" t="inlineStr"/>
      <c r="O142">
        <f>(1-Summary!$B$11)*T142+Summary!$B$11*V142</f>
        <v/>
      </c>
      <c r="P142">
        <f>IF(B158=0,0,O142/B158)</f>
        <v/>
      </c>
      <c r="Q142" t="n">
        <v>0</v>
      </c>
      <c r="R142" t="n">
        <v>0</v>
      </c>
      <c r="S142">
        <f>IFERROR(O142/N142,0)</f>
        <v/>
      </c>
      <c r="T142" t="n">
        <v>0</v>
      </c>
      <c r="V142" t="n">
        <v>0</v>
      </c>
    </row>
    <row r="143">
      <c r="A143">
        <f>Skills!A26</f>
        <v/>
      </c>
      <c r="B143">
        <f>Skills!B26</f>
        <v/>
      </c>
      <c r="C143">
        <f>Inputs!$B$3&gt;=75</f>
        <v/>
      </c>
      <c r="D143">
        <f>IF(Skills!C26=1,60+Inputs!$B$25+Inputs!$B$29,IF(Skills!C26=2,90+Inputs!$B$26+Inputs!$B$29,IF(Skills!C26=3,120+Inputs!$B$27+Inputs!$B$29,MAX(0,(Inputs!$B$3-100)*3)+Inputs!$B$28+Inputs!$B$29)))</f>
        <v/>
      </c>
      <c r="E143">
        <f>INDEX(FactorTable!$B$2:$Y$301, MATCH(ROUND(MIN(300,MAX(1,D143)),0), FactorTable!$A$2:$A$301,0), Skills!M26+1)</f>
        <v/>
      </c>
      <c r="F143">
        <f>IF(Skills!N26=TRUE,(Skills!L26/10)*(E143/1000),Skills!L26/10)+Skills!O26</f>
        <v/>
      </c>
      <c r="G143">
        <f>Skills!G26*IF(Skills!H26&gt;0,INT(IF(Inputs!$B$38="pvp",MIN(Skills!I26,15),Skills!I26)/Skills!H26+0.000000001),1)</f>
        <v/>
      </c>
      <c r="H143">
        <f>1-(1-Skills!J26/100)^Skills!K26</f>
        <v/>
      </c>
      <c r="I143" t="inlineStr">
        <is>
          <t>1</t>
        </is>
      </c>
      <c r="J143" t="inlineStr"/>
      <c r="K143" t="inlineStr"/>
      <c r="L143" t="inlineStr"/>
      <c r="M143" t="inlineStr"/>
      <c r="N143" t="inlineStr"/>
      <c r="O143">
        <f>(1-Summary!$B$11)*T143+Summary!$B$11*V143</f>
        <v/>
      </c>
      <c r="P143">
        <f>IF(B158=0,0,O143/B158)</f>
        <v/>
      </c>
      <c r="Q143" t="n">
        <v>0</v>
      </c>
      <c r="R143" t="n">
        <v>0</v>
      </c>
      <c r="S143">
        <f>IFERROR(O143/N143,0)</f>
        <v/>
      </c>
      <c r="T143" t="n">
        <v>0</v>
      </c>
      <c r="V143" t="n">
        <v>0</v>
      </c>
    </row>
    <row r="144">
      <c r="A144">
        <f>Skills!A27</f>
        <v/>
      </c>
      <c r="B144">
        <f>Skills!B27</f>
        <v/>
      </c>
      <c r="C144">
        <f>Inputs!$B$3&gt;=125</f>
        <v/>
      </c>
      <c r="D144">
        <f>IF(Skills!C27=1,60+Inputs!$B$25+Inputs!$B$29,IF(Skills!C27=2,90+Inputs!$B$26+Inputs!$B$29,IF(Skills!C27=3,120+Inputs!$B$27+Inputs!$B$29,MAX(0,(Inputs!$B$3-100)*3)+Inputs!$B$28+Inputs!$B$29)))</f>
        <v/>
      </c>
      <c r="E144">
        <f>INDEX(FactorTable!$B$2:$Y$301, MATCH(ROUND(MIN(300,MAX(1,D144)),0), FactorTable!$A$2:$A$301,0), Skills!M27+1)</f>
        <v/>
      </c>
      <c r="F144">
        <f>IF(Skills!N27=TRUE,(Skills!L27/10)*(E144/1000),Skills!L27/10)+Skills!O27</f>
        <v/>
      </c>
      <c r="G144">
        <f>Skills!G27*IF(Skills!H27&gt;0,INT(IF(Inputs!$B$38="pvp",MIN(Skills!I27,15),Skills!I27)/Skills!H27+0.000000001),1)</f>
        <v/>
      </c>
      <c r="H144">
        <f>1-(1-Skills!J27/100)^Skills!K27</f>
        <v/>
      </c>
      <c r="I144" t="inlineStr">
        <is>
          <t>1</t>
        </is>
      </c>
      <c r="J144" t="inlineStr"/>
      <c r="K144" t="inlineStr"/>
      <c r="L144" t="inlineStr"/>
      <c r="M144" t="inlineStr"/>
      <c r="N144" t="inlineStr"/>
      <c r="O144">
        <f>(1-Summary!$B$11)*T144+Summary!$B$11*V144</f>
        <v/>
      </c>
      <c r="P144">
        <f>IF(B158=0,0,O144/B158)</f>
        <v/>
      </c>
      <c r="Q144" t="n">
        <v>0</v>
      </c>
      <c r="R144" t="n">
        <v>0</v>
      </c>
      <c r="S144">
        <f>IFERROR(O144/N144,0)</f>
        <v/>
      </c>
      <c r="T144" t="n">
        <v>0</v>
      </c>
      <c r="V144" t="n">
        <v>0</v>
      </c>
    </row>
    <row r="145">
      <c r="A145">
        <f>Skills!A28</f>
        <v/>
      </c>
      <c r="B145">
        <f>Skills!B28</f>
        <v/>
      </c>
      <c r="C145">
        <f>TRUE</f>
        <v/>
      </c>
      <c r="D145">
        <f>IF(Skills!C28=1,60+Inputs!$B$25+Inputs!$B$29,IF(Skills!C28=2,90+Inputs!$B$26+Inputs!$B$29,IF(Skills!C28=3,120+Inputs!$B$27+Inputs!$B$29,MAX(0,(Inputs!$B$3-100)*3)+Inputs!$B$28+Inputs!$B$29)))</f>
        <v/>
      </c>
      <c r="E145">
        <f>INDEX(FactorTable!$B$2:$Y$301, MATCH(ROUND(MIN(300,MAX(1,D145)),0), FactorTable!$A$2:$A$301,0), Skills!M28+1)</f>
        <v/>
      </c>
      <c r="F145">
        <f>IF(Skills!N28=TRUE,(Skills!L28/10)*(E145/1000),Skills!L28/10)+Skills!O28</f>
        <v/>
      </c>
      <c r="G145">
        <f>Skills!G28*IF(Skills!H28&gt;0,INT(IF(Inputs!$B$38="pvp",MIN(Skills!I28,15),Skills!I28)/Skills!H28+0.000000001),1)</f>
        <v/>
      </c>
      <c r="H145">
        <f>1-(1-Skills!J28/100)^Skills!K28</f>
        <v/>
      </c>
      <c r="I145" t="inlineStr">
        <is>
          <t>1</t>
        </is>
      </c>
      <c r="J145" t="inlineStr"/>
      <c r="K145" t="inlineStr"/>
      <c r="L145" t="inlineStr"/>
      <c r="M145" t="inlineStr"/>
      <c r="N145" t="inlineStr"/>
      <c r="O145">
        <f>(1-Summary!$B$11)*T145+Summary!$B$11*V145</f>
        <v/>
      </c>
      <c r="P145">
        <f>IF(B158=0,0,O145/B158)</f>
        <v/>
      </c>
      <c r="Q145">
        <f>IFERROR(1/(IF(Inputs!$B$38="pvp",15,MAX(0.1,Skills!D28-IF(TRUE=TRUE,Inputs!$B$32,0)))*(1-IF(AND(ArtifactsInput!$M$27,Inputs!$B$4="Chapter Hunt"),CHOOSE(ArtifactsInput!$N$27+1,20,24,28,32,36,40),0)/100)),0)</f>
        <v/>
      </c>
      <c r="R145">
        <f>IF(AND(Inputs!$B$38&lt;&gt;"pvp",Inputs!$B$43&gt;0),IF(Inputs!$B$43&lt;=0,0,(INT(Inputs!$B$43/(IF(Inputs!$B$38="pvp",15,MAX(0.1,Skills!D28-IF(TRUE=TRUE,Inputs!$B$32,0)))*(1-IF(AND(ArtifactsInput!$M$27,Inputs!$B$4="Chapter Hunt"),CHOOSE(ArtifactsInput!$N$27+1,20,24,28,32,36,40),0)/100)))+1)),0)</f>
        <v/>
      </c>
      <c r="S145">
        <f>IFERROR(O145/N145,0)</f>
        <v/>
      </c>
      <c r="T145" t="n">
        <v>0</v>
      </c>
      <c r="V145" t="n">
        <v>0</v>
      </c>
    </row>
    <row r="147">
      <c r="A147" t="inlineStr">
        <is>
          <t>Attack% Bucket Multiplier</t>
        </is>
      </c>
      <c r="B147">
        <f>(1+(((C134=TRUE)*F134*5/7)+((C141=TRUE)*(F141-Calc!F24))+(IF(ArtifactsInput!$M$21,CHOOSE(ArtifactsInput!$N$21+1,25,30,35,40,45,50)*(IF(OR(Inputs!$B$4="Chapter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48">
      <c r="A148" t="inlineStr">
        <is>
          <t>Global Crit Rate Bonus %</t>
        </is>
      </c>
      <c r="B148" t="n">
        <v>0</v>
      </c>
    </row>
    <row r="149">
      <c r="A149" t="inlineStr">
        <is>
          <t>Attack Speed Buff Bonus % (Nimble Feet, duty-cycle averaged)</t>
        </is>
      </c>
      <c r="B149">
        <f>((C145=TRUE)*F145*IF(AND(Inputs!$B$38&lt;&gt;"pvp",Inputs!$B$43&gt;0),(((R145-1)*MIN((Skills!T28*(1+Inputs!$B$34/100)),(1/Q145))+MIN((Skills!T28*(1+Inputs!$B$34/100)),MAX(0,Inputs!$B$43-((R145-1)*(1/Q145)))))/Inputs!$B$43),IF(Inputs!$B$38="pvp",MIN((Skills!T28*(1+Inputs!$B$34/100)),15)/15,MIN(1,(Skills!T28*(1+Inputs!$B$34/100))/(1/Q145)))))</f>
        <v/>
      </c>
    </row>
    <row r="150">
      <c r="A150" t="inlineStr">
        <is>
          <t>Actions Per Second</t>
        </is>
      </c>
      <c r="B150">
        <f>1+MIN(150,150*(1-(1-(Inputs!$B$11+((C137=TRUE)*(F137-Calc!F20))+((C138=TRUE)*(F138-Calc!F21)))/150)*(1-B149/150)))/100</f>
        <v/>
      </c>
    </row>
    <row r="151">
      <c r="A151" t="inlineStr">
        <is>
          <t>Skill + Buff Cast Rate</t>
        </is>
      </c>
      <c r="B151">
        <f>IF(AND(Inputs!$B$38&lt;&gt;"pvp",Inputs!$B$43&gt;0),SUMPRODUCT((Skills!E2:E28=TRUE)*(C119:C145=TRUE)*R119:R145*Skills!F2:F28)/Inputs!$B$43,SUMPRODUCT((Skills!E2:E28=TRUE)*(C119:C145=TRUE)*Q119:Q145*Skills!F2:F28))</f>
        <v/>
      </c>
    </row>
    <row r="152">
      <c r="A152" t="inlineStr">
        <is>
          <t>Eight-Legs Easton Casts Per Second</t>
        </is>
      </c>
      <c r="B152">
        <f>MAX(0,B150-B151)</f>
        <v/>
      </c>
    </row>
    <row r="153">
      <c r="A153" t="inlineStr">
        <is>
          <t>Global Critical Damage Bonus % (unused)</t>
        </is>
      </c>
      <c r="B153" t="n">
        <v>0</v>
      </c>
    </row>
    <row r="154">
      <c r="A154" t="inlineStr">
        <is>
          <t>Global Final Damage Bonus % (Jolly Roger + Ahoy Mateys - Final Damage proc)</t>
        </is>
      </c>
      <c r="B154">
        <f>((C135=TRUE)*F135*IF(AND(Inputs!$B$38&lt;&gt;"pvp",Inputs!$B$43&gt;0),(((R135-1)*MIN((Skills!T18*(1+Inputs!$B$34/100)),(1/Q135))+MIN((Skills!T18*(1+Inputs!$B$34/100)),MAX(0,Inputs!$B$43-((R135-1)*(1/Q135)))))/Inputs!$B$43),IF(Inputs!$B$38="pvp",MIN((Skills!T18*(1+Inputs!$B$34/100)),15)/15,MIN(1,(Skills!T18*(1+Inputs!$B$34/100))/(1/Q135)))))+IF(Inputs!$B$3&gt;=122,20*IF(Inputs!$B$38="pvp",MIN((20*(1+Inputs!$B$34/100)),15)/15,MIN(1,(20*(1+Inputs!$B$34/100))/(1/Q121))),0)</f>
        <v/>
      </c>
    </row>
    <row r="155">
      <c r="A155" t="inlineStr">
        <is>
          <t>Buff-Casting Startup Delay (s, fixed-duration only)</t>
        </is>
      </c>
      <c r="B155">
        <f>IF(AND(Inputs!$B$38&lt;&gt;"pvp",Inputs!$B$43&gt;0),SUMPRODUCT((Skills!T2:T28&gt;0)*(Skills!E2:E28=TRUE)*(C119:C145=TRUE))/B150,0)</f>
        <v/>
      </c>
    </row>
    <row r="156">
      <c r="A156" t="inlineStr">
        <is>
          <t>Boss-Only Total DPS (this block's swept value)</t>
        </is>
      </c>
      <c r="B156">
        <f>SUM(T119:T145)</f>
        <v/>
      </c>
    </row>
    <row r="157">
      <c r="A157" t="inlineStr">
        <is>
          <t>Normal-Only Total DPS (this block's swept value)</t>
        </is>
      </c>
      <c r="B157">
        <f>SUM(V119:V145)</f>
        <v/>
      </c>
    </row>
    <row r="158">
      <c r="A158" s="6" t="inlineStr">
        <is>
          <t>TOTAL DPS</t>
        </is>
      </c>
      <c r="B158" s="6">
        <f>SUM(O119:O145)</f>
        <v/>
      </c>
    </row>
    <row r="159">
      <c r="A159" t="inlineStr">
        <is>
          <t>Quickdraw cooldown divisor (this block's own APS / Q)</t>
        </is>
      </c>
      <c r="B159">
        <f>IF(AND(C144=TRUE,Inputs!$B$38&lt;&gt;"pvp"),1+0.25*MAX(0,(B150-(((C120=TRUE)*Q120*1)+((C121=TRUE)*Q121*1)+((C123=TRUE)*Q123*1)+((C124=TRUE)*Q124*1)+((C126=TRUE)*Q126*1)+((C129=TRUE)*Q129*1)+((C135=TRUE)*Q135*1)+((C145=TRUE)*Q145*1))-((C125=TRUE)/(IF(Inputs!$B$38="pvp",15,MAX(0.1,Skills!D8-IF(TRUE=TRUE,Inputs!$B$32,0)))*(1-IF(AND(ArtifactsInput!$M$27,Inputs!$B$4="Chapter Hunt"),CHOOSE(ArtifactsInput!$N$27+1,20,24,28,32,36,40),0)/100))+(C128=TRUE)/(IF(Inputs!$B$38="pvp",15,MAX(0.1,Skills!D11-IF(TRUE=TRUE,Inputs!$B$32,0)))*(1-IF(AND(ArtifactsInput!$M$27,Inputs!$B$4="Chapter Hunt"),CHOOSE(ArtifactsInput!$N$27+1,20,24,28,32,36,40),0)/100))))/(1+0.25*((C125=TRUE)/(IF(Inputs!$B$38="pvp",15,MAX(0.1,Skills!D8-IF(TRUE=TRUE,Inputs!$B$32,0)))*(1-IF(AND(ArtifactsInput!$M$27,Inputs!$B$4="Chapter Hunt"),CHOOSE(ArtifactsInput!$N$27+1,20,24,28,32,36,40),0)/100))+(C128=TRUE)/(IF(Inputs!$B$38="pvp",15,MAX(0.1,Skills!D11-IF(TRUE=TRUE,Inputs!$B$32,0)))*(1-IF(AND(ArtifactsInput!$M$27,Inputs!$B$4="Chapter Hunt"),CHOOSE(ArtifactsInput!$N$27+1,20,24,28,32,36,40),0)/100))))),1)</f>
        <v/>
      </c>
    </row>
    <row r="160">
      <c r="A160" t="inlineStr">
        <is>
          <t>Nautilus Strike - Final Attack trigger rate (this block's own Q/R)</t>
        </is>
      </c>
      <c r="B160">
        <f>IF(AND(Inputs!$B$38&lt;&gt;"pvp",Inputs!$B$43&gt;0),(((C120=TRUE)*R120)+((C123=TRUE)*R123)+((C125=TRUE)*R125)+((C126=TRUE)*R126)+((C128=TRUE)*R128))/Inputs!$B$43,((C120=TRUE)*Q120)+((C123=TRUE)*Q123)+((C125=TRUE)*Q125)+((C126=TRUE)*Q126)+((C128=TRUE)*Q128))+B152</f>
        <v/>
      </c>
    </row>
    <row r="163">
      <c r="A163" s="6" t="inlineStr">
        <is>
          <t>Stat: STR</t>
        </is>
      </c>
    </row>
    <row r="164">
      <c r="A164" s="5" t="inlineStr">
        <is>
          <t>Key</t>
        </is>
      </c>
      <c r="B164" s="5" t="inlineStr">
        <is>
          <t>Name</t>
        </is>
      </c>
      <c r="C164" s="5" t="inlineStr">
        <is>
          <t>Unlocked</t>
        </is>
      </c>
      <c r="D164" s="5" t="inlineStr">
        <is>
          <t>InputLevel</t>
        </is>
      </c>
      <c r="E164" s="5" t="inlineStr">
        <is>
          <t>Factor</t>
        </is>
      </c>
      <c r="F164" s="5" t="inlineStr">
        <is>
          <t>CoefficientPercent</t>
        </is>
      </c>
      <c r="G164" s="5" t="inlineStr">
        <is>
          <t>EffectiveHits</t>
        </is>
      </c>
      <c r="H164" s="5" t="inlineStr">
        <is>
          <t>ProcProbability</t>
        </is>
      </c>
      <c r="I164" s="5" t="inlineStr">
        <is>
          <t>MapleHeroMultiplier</t>
        </is>
      </c>
      <c r="J164" s="5" t="inlineStr">
        <is>
          <t>BaseDamage</t>
        </is>
      </c>
      <c r="K164" s="5" t="inlineStr">
        <is>
          <t>BaseHitDamage</t>
        </is>
      </c>
      <c r="L164" s="5" t="inlineStr">
        <is>
          <t>NonCritAvg</t>
        </is>
      </c>
      <c r="M164" s="5" t="inlineStr">
        <is>
          <t>CritAvg</t>
        </is>
      </c>
      <c r="N164" s="5" t="inlineStr">
        <is>
          <t>ExpectedDamage(perHit)</t>
        </is>
      </c>
      <c r="O164" s="5" t="inlineStr">
        <is>
          <t>DPS</t>
        </is>
      </c>
      <c r="P164" s="5" t="inlineStr">
        <is>
          <t>% of Total</t>
        </is>
      </c>
      <c r="Q164" s="5" t="inlineStr">
        <is>
          <t>InvCooldown</t>
        </is>
      </c>
      <c r="R164" s="5" t="inlineStr">
        <is>
          <t>CastsInFight</t>
        </is>
      </c>
      <c r="S164" s="5" t="inlineStr">
        <is>
          <t>HitRate(perSec)</t>
        </is>
      </c>
      <c r="U164" t="inlineStr">
        <is>
          <t>helpers</t>
        </is>
      </c>
    </row>
    <row r="165">
      <c r="A165">
        <f>Skills!A2</f>
        <v/>
      </c>
      <c r="B165">
        <f>Skills!B2</f>
        <v/>
      </c>
      <c r="C165">
        <f>Inputs!$B$3&gt;=100</f>
        <v/>
      </c>
      <c r="D165" t="inlineStr"/>
      <c r="E165" t="inlineStr"/>
      <c r="F165">
        <f>U167+Skills!O2</f>
        <v/>
      </c>
      <c r="G165">
        <f>Skills!G2*IF(Skills!H2&gt;0,INT(IF(Inputs!$B$38="pvp",MIN(Skills!I2,15),Skills!I2)/Skills!H2+0.000000001),1)</f>
        <v/>
      </c>
      <c r="H165">
        <f>1-(1-Skills!J2/100)^Skills!K2</f>
        <v/>
      </c>
      <c r="I165" t="inlineStr">
        <is>
          <t>1</t>
        </is>
      </c>
      <c r="J165">
        <f>((Inputs!$B$6*(1+Inputs!$B$7/100))+(((Inputs!$B$12*(1+Inputs!$B$13/100))-(Inputs!$B$12*(1+Inputs!$B$13/100)))+0.25*((Inputs!$B$14+1)-Inputs!$B$14))*(1+Inputs!$B$7/100))*(F165/100)</f>
        <v/>
      </c>
      <c r="K165">
        <f>J165*(1+((Inputs!$B$12*(1+Inputs!$B$13/100))*0.01+(Inputs!$B$14+1)*0.0025)/100)*(1+Inputs!$B$15/100)*(1+Inputs!$B$16/100)*(5000/(6000+Inputs!$B$42*(1-(100*(1-(1-(Inputs!$B$19+0)/100)*(1-CHOOSE(ArtifactsInput!$N$40+1,5,6,7,8,9,10)/100)^(ArtifactsInput!$M$40-ArtifactsInput!$M$40)))/100)))*(1+(Inputs!$B$24+((C189=TRUE)*(F189-Calc!F26))+B200)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IGHT_LEGS_EASTON",Inputs!$B$17+((C186=TRUE)*(F186-Calc!F23))+((C190=TRUE)*(F190-Calc!F27))+((IF(AND(Inputs!$B$38&lt;&gt;"pvp",Inputs!$B$43=0),1,IF(IF(Inputs!$B$38="pvp",15,Inputs!$B$43)-(B201)&lt;=0,1,MAX(0,IF(Inputs!$B$38="pvp",15,Inputs!$B$43)-MAX(5,B201))/(IF(Inputs!$B$38="pvp",15,Inputs!$B$43)-(B201))))*(IF(AND(ArtifactsInput!$M$42,((Inputs!$B$9+((C182=TRUE)*(F182-Calc!F19))+B194+(ArtifactsInput!$M$24-ArtifactsInput!$M$24)*CHOOSE(ArtifactsInput!$N$24+1,10,12,14,16,18,20)+IF(ArtifactsInput!$M$10,CHOOSE(ArtifactsInput!$N$10+1,15,18,21,24,27,30)*(IF(Inputs!$B$38="pvp",MIN(15,15)/15,IF(AND(Inputs!$B$38&lt;&gt;"pvp",Inputs!$B$43&gt;0),MIN(15,Inputs!$B$43)/(Inputs!$B$43),0))),0)))&gt;=100),MIN(100,((Inputs!$B$9+((C182=TRUE)*(F182-Calc!F19))+B194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201)&lt;=0,1,MAX(0,IF(Inputs!$B$38="pvp",15,Inputs!$B$43)-MAX(5,B201))/(IF(Inputs!$B$38="pvp",15,Inputs!$B$43)-(B201))))*IF(AND(ArtifactsInput!$M$42,((Inputs!$B$9+((C182=TRUE)*(F182-Calc!F19))+B194+(ArtifactsInput!$M$24-ArtifactsInput!$M$24)*CHOOSE(ArtifactsInput!$N$24+1,10,12,14,16,18,20)+IF(ArtifactsInput!$M$10,CHOOSE(ArtifactsInput!$N$10+1,15,18,21,24,27,30)*(IF(Inputs!$B$38="pvp",MIN(15,15)/15,IF(AND(Inputs!$B$38&lt;&gt;"pvp",Inputs!$B$43&gt;0),MIN(15,Inputs!$B$43)/(Inputs!$B$43),0))),0)))&gt;=100),CHOOSE(ArtifactsInput!$N$42+1,40,48,56,64,72,80),0))))/100)*((1+(((C180=TRUE)*F180*5/7)+((C187=TRUE)*(F187-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165)</f>
        <v/>
      </c>
      <c r="L165">
        <f>K165*(MIN(Inputs!$B$22+((C185=TRUE)*(F185-Calc!F22)),(Inputs!$B$23+0+(IF(ArtifactsInput!$M$15,CHOOSE(ArtifactsInput!$N$15+1,25,30,35,40,45,50)/100*(Inputs!$B$11-Inputs!$B$11),0))))/100+(Inputs!$B$23+0+(IF(ArtifactsInput!$M$15,CHOOSE(ArtifactsInput!$N$15+1,25,30,35,40,45,50)/100*(Inputs!$B$11-Inputs!$B$11),0)))/100)/2</f>
        <v/>
      </c>
      <c r="M165">
        <f>L165*(1+(Inputs!$B$10+((C188=TRUE)*(F188-Calc!F25))+B199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5">
        <f>L165*(1-MIN((Inputs!$B$9+((C182=TRUE)*(F182-Calc!F19))+B194+(ArtifactsInput!$M$24-ArtifactsInput!$M$24)*CHOOSE(ArtifactsInput!$N$24+1,10,12,14,16,18,20)+(IF(AND(Inputs!$B$38&lt;&gt;"pvp",Inputs!$B$43=0),1,IF(IF(Inputs!$B$38="pvp",15,Inputs!$B$43)-(B201)&lt;=0,1,MAX(0,IF(Inputs!$B$38="pvp",15,Inputs!$B$43)-MAX(5,B201))/(IF(Inputs!$B$38="pvp",15,Inputs!$B$43)-(B201))))*IF(AND(ArtifactsInput!$M$42,((Inputs!$B$9+((C182=TRUE)*(F182-Calc!F19))+B194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165*(MIN((Inputs!$B$9+((C182=TRUE)*(F182-Calc!F19))+B194+(ArtifactsInput!$M$24-ArtifactsInput!$M$24)*CHOOSE(ArtifactsInput!$N$24+1,10,12,14,16,18,20)+(IF(AND(Inputs!$B$38&lt;&gt;"pvp",Inputs!$B$43=0),1,IF(IF(Inputs!$B$38="pvp",15,Inputs!$B$43)-(B201)&lt;=0,1,MAX(0,IF(Inputs!$B$38="pvp",15,Inputs!$B$43)-MAX(5,B201))/(IF(Inputs!$B$38="pvp",15,Inputs!$B$43)-(B201))))*IF(AND(ArtifactsInput!$M$42,((Inputs!$B$9+((C182=TRUE)*(F182-Calc!F19))+B194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5">
        <f>(1-Summary!$B$11)*T165+Summary!$B$11*V165</f>
        <v/>
      </c>
      <c r="P165">
        <f>IF(B204=0,0,O165/B204)</f>
        <v/>
      </c>
      <c r="Q165" t="n">
        <v>0</v>
      </c>
      <c r="R165" t="n">
        <v>0</v>
      </c>
      <c r="S165">
        <f>IFERROR(O165/N165,0)</f>
        <v/>
      </c>
      <c r="T165">
        <f>IF(C165,(Skills!G2*N165*B198*(1+IF(C190=TRUE,1/3,0)))*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Hunt"),CHOOSE(ArtifactsInput!$N$35+1,15,18,21,24,27,30)*(1-EXP(-(0.2*B196)*5)),0)+IF(AND(ArtifactsInput!$M$22,Inputs!$B$4&lt;&gt;"Chapter Hunt"),CHOOSE(ArtifactsInput!$N$22+1,10,12,14,16,18,20)*((0*(((0.15*B196*5))^0/1)+1*(((0.15*B196*5))^1/1)+2*(((0.15*B196*5))^2/2)+3*(((0.15*B196*5))^3/6)+4*(((0.15*B196*5))^4/24)+5*(((0.15*B196*5))^5/120))/((((0.15*B196*5))^0/1)+(((0.15*B196*5))^1/1)+(((0.15*B196*5))^2/2)+(((0.15*B196*5))^3/6)+(((0.15*B196*5))^4/24)+(((0.15*B196*5))^5/120))),0))+IF(Inputs!$B$3&gt;=54,9*(C166=TRUE)*MIN(1,8*(1+Inputs!$B$34/100)*Q166)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165*(1-MIN(100,(Inputs!$B$9+((C182=TRUE)*(F182-Calc!F19))+B194+(ArtifactsInput!$M$24-ArtifactsInput!$M$24)*CHOOSE(ArtifactsInput!$N$24+1,10,12,14,16,18,20)+(IF(AND(Inputs!$B$38&lt;&gt;"pvp",Inputs!$B$43=0),1,IF(IF(Inputs!$B$38="pvp",15,Inputs!$B$43)-(B201)&lt;=0,1,MAX(0,IF(Inputs!$B$38="pvp",15,Inputs!$B$43)-MAX(5,B201))/(IF(Inputs!$B$38="pvp",15,Inputs!$B$43)-(B201))))*IF(AND(ArtifactsInput!$M$42,((Inputs!$B$9+((C182=TRUE)*(F182-Calc!F19))+B194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165*(MIN(100,(Inputs!$B$9+((C182=TRUE)*(F182-Calc!F19))+B194+(ArtifactsInput!$M$24-ArtifactsInput!$M$24)*CHOOSE(ArtifactsInput!$N$24+1,10,12,14,16,18,20)+(IF(AND(Inputs!$B$38&lt;&gt;"pvp",Inputs!$B$43=0),1,IF(IF(Inputs!$B$38="pvp",15,Inputs!$B$43)-(B201)&lt;=0,1,MAX(0,IF(Inputs!$B$38="pvp",15,Inputs!$B$43)-MAX(5,B201))/(IF(Inputs!$B$38="pvp",15,Inputs!$B$43)-(B201))))*IF(AND(ArtifactsInput!$M$42,((Inputs!$B$9+((C182=TRUE)*(F182-Calc!F19))+B194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165*(1-MIN(100,(Inputs!$B$9+((C182=TRUE)*(F182-Calc!F19))+B194+(ArtifactsInput!$M$24-ArtifactsInput!$M$24)*CHOOSE(ArtifactsInput!$N$24+1,10,12,14,16,18,20)+(IF(AND(Inputs!$B$38&lt;&gt;"pvp",Inputs!$B$43=0),1,IF(IF(Inputs!$B$38="pvp",15,Inputs!$B$43)-(B201)&lt;=0,1,MAX(0,IF(Inputs!$B$38="pvp",15,Inputs!$B$43)-MAX(5,B201))/(IF(Inputs!$B$38="pvp",15,Inputs!$B$43)-(B201))))*IF(AND(ArtifactsInput!$M$42,((Inputs!$B$9+((C182=TRUE)*(F182-Calc!F19))+B194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165*(MIN(100,(Inputs!$B$9+((C182=TRUE)*(F182-Calc!F19))+B194+(ArtifactsInput!$M$24-ArtifactsInput!$M$24)*CHOOSE(ArtifactsInput!$N$24+1,10,12,14,16,18,20)+(IF(AND(Inputs!$B$38&lt;&gt;"pvp",Inputs!$B$43=0),1,IF(IF(Inputs!$B$38="pvp",15,Inputs!$B$43)-(B201)&lt;=0,1,MAX(0,IF(Inputs!$B$38="pvp",15,Inputs!$B$43)-MAX(5,B201))/(IF(Inputs!$B$38="pvp",15,Inputs!$B$43)-(B201))))*IF(AND(ArtifactsInput!$M$42,((Inputs!$B$9+((C182=TRUE)*(F182-Calc!F19))+B194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65">
        <f>MAX(0,(Inputs!$B$3-100)*3)+Inputs!$B$28+Inputs!$B$29</f>
        <v/>
      </c>
      <c r="V165">
        <f>IF(C165,(Skills!G2*N165*B198*(1+IF(C190=TRUE,1/3,0)))*IF(Inputs!$B$38="pvp",1,(1+(Inputs!$B$21+Skills!Q2+(IF(ArtifactsInput!$M$33,CHOOSE(ArtifactsInput!$N$33+1,30,36,42,48,54,60),0))+(IF(AND(ArtifactsInput!$M$35,Inputs!$B$4&lt;&gt;"Chapter Hunt"),CHOOSE(ArtifactsInput!$N$35+1,15,18,21,24,27,30)*(1-EXP(-(0.2*B196)*5)),0)+IF(AND(ArtifactsInput!$M$22,Inputs!$B$4&lt;&gt;"Chapter Hunt"),CHOOSE(ArtifactsInput!$N$22+1,10,12,14,16,18,20)*((0*(((0.15*B196*5))^0/1)+1*(((0.15*B196*5))^1/1)+2*(((0.15*B196*5))^2/2)+3*(((0.15*B196*5))^3/6)+4*(((0.15*B196*5))^4/24)+5*(((0.15*B196*5))^5/120))/((((0.15*B196*5))^0/1)+(((0.15*B196*5))^1/1)+(((0.15*B196*5))^2/2)+(((0.15*B196*5))^3/6)+(((0.15*B196*5))^4/24)+(((0.15*B196*5))^5/120))),0))+IF(Inputs!$B$3&gt;=54,9*(C166=TRUE)*MIN(1,8*(1+Inputs!$B$34/100)*Q166),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6">
      <c r="A166">
        <f>Skills!A3</f>
        <v/>
      </c>
      <c r="B166">
        <f>Skills!B3</f>
        <v/>
      </c>
      <c r="C166">
        <f>Inputs!$B$3&gt;=33</f>
        <v/>
      </c>
      <c r="D166">
        <f>IF(Skills!C3=1,60+Inputs!$B$25+Inputs!$B$29,IF(Skills!C3=2,90+Inputs!$B$26+Inputs!$B$29,IF(Skills!C3=3,120+Inputs!$B$27+Inputs!$B$29,MAX(0,(Inputs!$B$3-100)*3)+Inputs!$B$28+Inputs!$B$29)))</f>
        <v/>
      </c>
      <c r="E166">
        <f>INDEX(FactorTable!$B$2:$Y$301, MATCH(ROUND(MIN(300,MAX(1,D166)),0), FactorTable!$A$2:$A$301,0), Skills!M3+1)</f>
        <v/>
      </c>
      <c r="F166">
        <f>IF(Skills!N3=TRUE,(Skills!L3/10)*(E166/1000),Skills!L3/10)+Skills!O3</f>
        <v/>
      </c>
      <c r="G166">
        <f>Skills!G3*IF(Skills!H3&gt;0,INT(IF(Inputs!$B$38="pvp",MIN(Skills!I3,15),Skills!I3)/Skills!H3+0.000000001),1)</f>
        <v/>
      </c>
      <c r="H166">
        <f>1-(1-Skills!J3/100)^Skills!K3</f>
        <v/>
      </c>
      <c r="I166" t="inlineStr">
        <is>
          <t>1</t>
        </is>
      </c>
      <c r="J166">
        <f>((Inputs!$B$6*(1+Inputs!$B$7/100))+(((Inputs!$B$12*(1+Inputs!$B$13/100))-(Inputs!$B$12*(1+Inputs!$B$13/100)))+0.25*((Inputs!$B$14+1)-Inputs!$B$14))*(1+Inputs!$B$7/100))*(F166/100)</f>
        <v/>
      </c>
      <c r="K166">
        <f>J166*(1+((Inputs!$B$12*(1+Inputs!$B$13/100))*0.01+(Inputs!$B$14+1)*0.0025)/100)*(1+Inputs!$B$15/100)*(1+Inputs!$B$16/100)*(5000/(6000+Inputs!$B$42*(1-(100*(1-(1-(Inputs!$B$19+0)/100)*(1-CHOOSE(ArtifactsInput!$N$40+1,5,6,7,8,9,10)/100)^(ArtifactsInput!$M$40-ArtifactsInput!$M$40)))/100)))*(1+(Inputs!$B$24+((C189=TRUE)*(F189-Calc!F26))+B200)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178=TRUE,F178,0)/100)*(1+(IF(Skills!A3="EIGHT_LEGS_EASTON",Inputs!$B$17+((C186=TRUE)*(F186-Calc!F23))+((C190=TRUE)*(F190-Calc!F27))+((IF(AND(Inputs!$B$38&lt;&gt;"pvp",Inputs!$B$43=0),1,IF(IF(Inputs!$B$38="pvp",15,Inputs!$B$43)-(B201)&lt;=0,1,MAX(0,IF(Inputs!$B$38="pvp",15,Inputs!$B$43)-MAX(5,B201))/(IF(Inputs!$B$38="pvp",15,Inputs!$B$43)-(B201))))*(IF(AND(ArtifactsInput!$M$42,((Inputs!$B$9+((C182=TRUE)*(F182-Calc!F19))+B194+(ArtifactsInput!$M$24-ArtifactsInput!$M$24)*CHOOSE(ArtifactsInput!$N$24+1,10,12,14,16,18,20)+IF(ArtifactsInput!$M$10,CHOOSE(ArtifactsInput!$N$10+1,15,18,21,24,27,30)*(IF(Inputs!$B$38="pvp",MIN(15,15)/15,IF(AND(Inputs!$B$38&lt;&gt;"pvp",Inputs!$B$43&gt;0),MIN(15,Inputs!$B$43)/(Inputs!$B$43),0))),0)))&gt;=100),MIN(100,((Inputs!$B$9+((C182=TRUE)*(F182-Calc!F19))+B194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201)&lt;=0,1,MAX(0,IF(Inputs!$B$38="pvp",15,Inputs!$B$43)-MAX(5,B201))/(IF(Inputs!$B$38="pvp",15,Inputs!$B$43)-(B201))))*IF(AND(ArtifactsInput!$M$42,((Inputs!$B$9+((C182=TRUE)*(F182-Calc!F19))+B194+(ArtifactsInput!$M$24-ArtifactsInput!$M$24)*CHOOSE(ArtifactsInput!$N$24+1,10,12,14,16,18,20)+IF(ArtifactsInput!$M$10,CHOOSE(ArtifactsInput!$N$10+1,15,18,21,24,27,30)*(IF(Inputs!$B$38="pvp",MIN(15,15)/15,IF(AND(Inputs!$B$38&lt;&gt;"pvp",Inputs!$B$43&gt;0),MIN(15,Inputs!$B$43)/(Inputs!$B$43),0))),0)))&gt;=100),CHOOSE(ArtifactsInput!$N$42+1,40,48,56,64,72,80),0))))/100)*((1+(((C180=TRUE)*F180*5/7)+((C187=TRUE)*(F187-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166)</f>
        <v/>
      </c>
      <c r="L166">
        <f>K166*(MIN(Inputs!$B$22+((C185=TRUE)*(F185-Calc!F22)),(Inputs!$B$23+0+(IF(ArtifactsInput!$M$15,CHOOSE(ArtifactsInput!$N$15+1,25,30,35,40,45,50)/100*(Inputs!$B$11-Inputs!$B$11),0))))/100+(Inputs!$B$23+0+(IF(ArtifactsInput!$M$15,CHOOSE(ArtifactsInput!$N$15+1,25,30,35,40,45,50)/100*(Inputs!$B$11-Inputs!$B$11),0)))/100)/2</f>
        <v/>
      </c>
      <c r="M166">
        <f>L166*(1+(Inputs!$B$10+((C188=TRUE)*(F188-Calc!F25))+B199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6">
        <f>L166*(1-MIN((Inputs!$B$9+((C182=TRUE)*(F182-Calc!F19))+B194+(ArtifactsInput!$M$24-ArtifactsInput!$M$24)*CHOOSE(ArtifactsInput!$N$24+1,10,12,14,16,18,20)+(IF(AND(Inputs!$B$38&lt;&gt;"pvp",Inputs!$B$43=0),1,IF(IF(Inputs!$B$38="pvp",15,Inputs!$B$43)-(B201)&lt;=0,1,MAX(0,IF(Inputs!$B$38="pvp",15,Inputs!$B$43)-MAX(5,B201))/(IF(Inputs!$B$38="pvp",15,Inputs!$B$43)-(B201))))*IF(AND(ArtifactsInput!$M$42,((Inputs!$B$9+((C182=TRUE)*(F182-Calc!F19))+B194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166*(MIN((Inputs!$B$9+((C182=TRUE)*(F182-Calc!F19))+B194+(ArtifactsInput!$M$24-ArtifactsInput!$M$24)*CHOOSE(ArtifactsInput!$N$24+1,10,12,14,16,18,20)+(IF(AND(Inputs!$B$38&lt;&gt;"pvp",Inputs!$B$43=0),1,IF(IF(Inputs!$B$38="pvp",15,Inputs!$B$43)-(B201)&lt;=0,1,MAX(0,IF(Inputs!$B$38="pvp",15,Inputs!$B$43)-MAX(5,B201))/(IF(Inputs!$B$38="pvp",15,Inputs!$B$43)-(B201))))*IF(AND(ArtifactsInput!$M$42,((Inputs!$B$9+((C182=TRUE)*(F182-Calc!F19))+B194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6">
        <f>(1-Summary!$B$11)*T166+Summary!$B$11*V166</f>
        <v/>
      </c>
      <c r="P166">
        <f>IF(B204=0,0,O166/B204)</f>
        <v/>
      </c>
      <c r="Q166">
        <f>IFERROR(1/(IF(Inputs!$B$38="pvp",15,MAX(0.1,Skills!D3-IF(TRUE=TRUE,Inputs!$B$32,0)))*(1-IF(AND(ArtifactsInput!$M$27,Inputs!$B$4="Chapter Hunt"),CHOOSE(ArtifactsInput!$N$27+1,20,24,28,32,36,40),0)/100)),0)</f>
        <v/>
      </c>
      <c r="R166">
        <f>IF(AND(Inputs!$B$38&lt;&gt;"pvp",Inputs!$B$43&gt;0),IF(MAX(0,Inputs!$B$43-B201)&lt;=0,0,(INT(MAX(0,Inputs!$B$43-B201)/(IF(Inputs!$B$38="pvp",15,MAX(0.1,Skills!D3-IF(TRUE=TRUE,Inputs!$B$32,0)))*(1-IF(AND(ArtifactsInput!$M$27,Inputs!$B$4="Chapter Hunt"),CHOOSE(ArtifactsInput!$N$27+1,20,24,28,32,36,40),0)/100)))+1)),0)</f>
        <v/>
      </c>
      <c r="S166">
        <f>IFERROR(O166/N166,0)</f>
        <v/>
      </c>
      <c r="T166">
        <f>IF(C166,(H166*N166*IF(AND(Inputs!$B$38&lt;&gt;"pvp",Inputs!$B$43&gt;0),((Skills!G3*((R166-1)*IF(Skills!H3&gt;0,INT(Skills!I3/Skills!H3+0.000000001),1)+IF(Skills!H3&gt;0,INT(MIN(Skills!I3,MAX(0,MAX(0,Inputs!$B$43-B201)-((R166-1)*(IF(Inputs!$B$38="pvp",15,MAX(0.1,Skills!D3-IF(TRUE=TRUE,Inputs!$B$32,0)))*(1-IF(AND(ArtifactsInput!$M$27,Inputs!$B$4="Chapter Hunt"),CHOOSE(ArtifactsInput!$N$27+1,20,24,28,32,36,40),0)/100)))))/Skills!H3+0.000000001),1)))/Inputs!$B$43),G166*Q166))*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Hunt"),CHOOSE(ArtifactsInput!$N$35+1,15,18,21,24,27,30)*(1-EXP(-(0.2*B196)*5)),0)+IF(AND(ArtifactsInput!$M$22,Inputs!$B$4&lt;&gt;"Chapter Hunt"),CHOOSE(ArtifactsInput!$N$22+1,10,12,14,16,18,20)*((0*(((0.15*B196*5))^0/1)+1*(((0.15*B196*5))^1/1)+2*(((0.15*B196*5))^2/2)+3*(((0.15*B196*5))^3/6)+4*(((0.15*B196*5))^4/24)+5*(((0.15*B196*5))^5/120))/((((0.15*B196*5))^0/1)+(((0.15*B196*5))^1/1)+(((0.15*B196*5))^2/2)+(((0.15*B196*5))^3/6)+(((0.15*B196*5))^4/24)+(((0.15*B196*5))^5/120))),0))+IF(Inputs!$B$3&gt;=54,9*(C166=TRUE)*MIN(1,8*(1+Inputs!$B$34/100)*Q166)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166*(1-MIN(100,(Inputs!$B$9+((C182=TRUE)*(F182-Calc!F19))+B194+(ArtifactsInput!$M$24-ArtifactsInput!$M$24)*CHOOSE(ArtifactsInput!$N$24+1,10,12,14,16,18,20)+(IF(AND(Inputs!$B$38&lt;&gt;"pvp",Inputs!$B$43=0),1,IF(IF(Inputs!$B$38="pvp",15,Inputs!$B$43)-(B201)&lt;=0,1,MAX(0,IF(Inputs!$B$38="pvp",15,Inputs!$B$43)-MAX(5,B201))/(IF(Inputs!$B$38="pvp",15,Inputs!$B$43)-(B201))))*IF(AND(ArtifactsInput!$M$42,((Inputs!$B$9+((C182=TRUE)*(F182-Calc!F19))+B194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166*(MIN(100,(Inputs!$B$9+((C182=TRUE)*(F182-Calc!F19))+B194+(ArtifactsInput!$M$24-ArtifactsInput!$M$24)*CHOOSE(ArtifactsInput!$N$24+1,10,12,14,16,18,20)+(IF(AND(Inputs!$B$38&lt;&gt;"pvp",Inputs!$B$43=0),1,IF(IF(Inputs!$B$38="pvp",15,Inputs!$B$43)-(B201)&lt;=0,1,MAX(0,IF(Inputs!$B$38="pvp",15,Inputs!$B$43)-MAX(5,B201))/(IF(Inputs!$B$38="pvp",15,Inputs!$B$43)-(B201))))*IF(AND(ArtifactsInput!$M$42,((Inputs!$B$9+((C182=TRUE)*(F182-Calc!F19))+B194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166*(1-MIN(100,(Inputs!$B$9+((C182=TRUE)*(F182-Calc!F19))+B194+(ArtifactsInput!$M$24-ArtifactsInput!$M$24)*CHOOSE(ArtifactsInput!$N$24+1,10,12,14,16,18,20)+(IF(AND(Inputs!$B$38&lt;&gt;"pvp",Inputs!$B$43=0),1,IF(IF(Inputs!$B$38="pvp",15,Inputs!$B$43)-(B201)&lt;=0,1,MAX(0,IF(Inputs!$B$38="pvp",15,Inputs!$B$43)-MAX(5,B201))/(IF(Inputs!$B$38="pvp",15,Inputs!$B$43)-(B201))))*IF(AND(ArtifactsInput!$M$42,((Inputs!$B$9+((C182=TRUE)*(F182-Calc!F19))+B194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166*(MIN(100,(Inputs!$B$9+((C182=TRUE)*(F182-Calc!F19))+B194+(ArtifactsInput!$M$24-ArtifactsInput!$M$24)*CHOOSE(ArtifactsInput!$N$24+1,10,12,14,16,18,20)+(IF(AND(Inputs!$B$38&lt;&gt;"pvp",Inputs!$B$43=0),1,IF(IF(Inputs!$B$38="pvp",15,Inputs!$B$43)-(B201)&lt;=0,1,MAX(0,IF(Inputs!$B$38="pvp",15,Inputs!$B$43)-MAX(5,B201))/(IF(Inputs!$B$38="pvp",15,Inputs!$B$43)-(B201))))*IF(AND(ArtifactsInput!$M$42,((Inputs!$B$9+((C182=TRUE)*(F182-Calc!F19))+B194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66">
        <f>INDEX(FactorTable!$B$2:$Y$301, MATCH(ROUND(MIN(300,MAX(1,U165)),0), FactorTable!$A$2:$A$301,0), 22)</f>
        <v/>
      </c>
      <c r="V166">
        <f>IF(C166,(H166*N166*IF(AND(Inputs!$B$38&lt;&gt;"pvp",Inputs!$B$43&gt;0),((Skills!G3*((R166-1)*IF(Skills!H3&gt;0,INT(Skills!I3/Skills!H3+0.000000001),1)+IF(Skills!H3&gt;0,INT(MIN(Skills!I3,MAX(0,MAX(0,Inputs!$B$43-B201)-((R166-1)*(IF(Inputs!$B$38="pvp",15,MAX(0.1,Skills!D3-IF(TRUE=TRUE,Inputs!$B$32,0)))*(1-IF(AND(ArtifactsInput!$M$27,Inputs!$B$4="Chapter Hunt"),CHOOSE(ArtifactsInput!$N$27+1,20,24,28,32,36,40),0)/100)))))/Skills!H3+0.000000001),1)))/Inputs!$B$43),G166*Q166))*IF(Inputs!$B$38="pvp",1,(1+(Inputs!$B$21+Skills!Q3+(IF(ArtifactsInput!$M$33,CHOOSE(ArtifactsInput!$N$33+1,30,36,42,48,54,60),0))+(IF(AND(ArtifactsInput!$M$35,Inputs!$B$4&lt;&gt;"Chapter Hunt"),CHOOSE(ArtifactsInput!$N$35+1,15,18,21,24,27,30)*(1-EXP(-(0.2*B196)*5)),0)+IF(AND(ArtifactsInput!$M$22,Inputs!$B$4&lt;&gt;"Chapter Hunt"),CHOOSE(ArtifactsInput!$N$22+1,10,12,14,16,18,20)*((0*(((0.15*B196*5))^0/1)+1*(((0.15*B196*5))^1/1)+2*(((0.15*B196*5))^2/2)+3*(((0.15*B196*5))^3/6)+4*(((0.15*B196*5))^4/24)+5*(((0.15*B196*5))^5/120))/((((0.15*B196*5))^0/1)+(((0.15*B196*5))^1/1)+(((0.15*B196*5))^2/2)+(((0.15*B196*5))^3/6)+(((0.15*B196*5))^4/24)+(((0.15*B196*5))^5/120))),0))+IF(Inputs!$B$3&gt;=54,9*(C166=TRUE)*MIN(1,8*(1+Inputs!$B$34/100)*Q166),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7">
      <c r="A167">
        <f>Skills!A4</f>
        <v/>
      </c>
      <c r="B167">
        <f>Skills!B4</f>
        <v/>
      </c>
      <c r="C167">
        <f>Inputs!$B$3&gt;=35</f>
        <v/>
      </c>
      <c r="D167">
        <f>IF(Skills!C4=1,60+Inputs!$B$25+Inputs!$B$29,IF(Skills!C4=2,90+Inputs!$B$26+Inputs!$B$29,IF(Skills!C4=3,120+Inputs!$B$27+Inputs!$B$29,MAX(0,(Inputs!$B$3-100)*3)+Inputs!$B$28+Inputs!$B$29)))</f>
        <v/>
      </c>
      <c r="E167">
        <f>INDEX(FactorTable!$B$2:$Y$301, MATCH(ROUND(MIN(300,MAX(1,D167)),0), FactorTable!$A$2:$A$301,0), Skills!M4+1)</f>
        <v/>
      </c>
      <c r="F167">
        <f>IF(Skills!N4=TRUE,(Skills!L4/10)*(E167/1000),Skills!L4/10)+Skills!O4</f>
        <v/>
      </c>
      <c r="G167">
        <f>Skills!G4*IF(Skills!H4&gt;0,INT(IF(Inputs!$B$38="pvp",MIN(IF(Inputs!$B$3&gt;=104,MIN(35,20*(1+Inputs!$B$34/100)),20),15),IF(Inputs!$B$3&gt;=104,MIN(35,20*(1+Inputs!$B$34/100)),20))/Skills!H4+0.000000001),1)</f>
        <v/>
      </c>
      <c r="H167">
        <f>1-(1-Skills!J4/100)^Skills!K4</f>
        <v/>
      </c>
      <c r="I167" t="inlineStr">
        <is>
          <t>1</t>
        </is>
      </c>
      <c r="J167">
        <f>((Inputs!$B$6*(1+Inputs!$B$7/100))+(((Inputs!$B$12*(1+Inputs!$B$13/100))-(Inputs!$B$12*(1+Inputs!$B$13/100)))+0.25*((Inputs!$B$14+1)-Inputs!$B$14))*(1+Inputs!$B$7/100))*(F167/100)</f>
        <v/>
      </c>
      <c r="K167">
        <f>J167*(1+((Inputs!$B$12*(1+Inputs!$B$13/100))*0.01+(Inputs!$B$14+1)*0.0025)/100)*(1+Inputs!$B$15/100)*(1+Inputs!$B$16/100)*(5000/(6000+Inputs!$B$42*(1-(100*(1-(1-(Inputs!$B$19+0)/100)*(1-CHOOSE(ArtifactsInput!$N$40+1,5,6,7,8,9,10)/100)^(ArtifactsInput!$M$40-ArtifactsInput!$M$40)))/100)))*(1+(Inputs!$B$24+((C189=TRUE)*(F189-Calc!F26))+B200)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179=TRUE,F179,0)/100)*(1+(IF(Skills!A4="EIGHT_LEGS_EASTON",Inputs!$B$17+((C186=TRUE)*(F186-Calc!F23))+((C190=TRUE)*(F190-Calc!F27))+((IF(AND(Inputs!$B$38&lt;&gt;"pvp",Inputs!$B$43=0),1,IF(IF(Inputs!$B$38="pvp",15,Inputs!$B$43)-(B201)&lt;=0,1,MAX(0,IF(Inputs!$B$38="pvp",15,Inputs!$B$43)-MAX(5,B201))/(IF(Inputs!$B$38="pvp",15,Inputs!$B$43)-(B201))))*(IF(AND(ArtifactsInput!$M$42,((Inputs!$B$9+((C182=TRUE)*(F182-Calc!F19))+B194+(ArtifactsInput!$M$24-ArtifactsInput!$M$24)*CHOOSE(ArtifactsInput!$N$24+1,10,12,14,16,18,20)+IF(ArtifactsInput!$M$10,CHOOSE(ArtifactsInput!$N$10+1,15,18,21,24,27,30)*(IF(Inputs!$B$38="pvp",MIN(15,15)/15,IF(AND(Inputs!$B$38&lt;&gt;"pvp",Inputs!$B$43&gt;0),MIN(15,Inputs!$B$43)/(Inputs!$B$43),0))),0)))&gt;=100),MIN(100,((Inputs!$B$9+((C182=TRUE)*(F182-Calc!F19))+B194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201)&lt;=0,1,MAX(0,IF(Inputs!$B$38="pvp",15,Inputs!$B$43)-MAX(5,B201))/(IF(Inputs!$B$38="pvp",15,Inputs!$B$43)-(B201))))*IF(AND(ArtifactsInput!$M$42,((Inputs!$B$9+((C182=TRUE)*(F182-Calc!F19))+B194+(ArtifactsInput!$M$24-ArtifactsInput!$M$24)*CHOOSE(ArtifactsInput!$N$24+1,10,12,14,16,18,20)+IF(ArtifactsInput!$M$10,CHOOSE(ArtifactsInput!$N$10+1,15,18,21,24,27,30)*(IF(Inputs!$B$38="pvp",MIN(15,15)/15,IF(AND(Inputs!$B$38&lt;&gt;"pvp",Inputs!$B$43&gt;0),MIN(15,Inputs!$B$43)/(Inputs!$B$43),0))),0)))&gt;=100),CHOOSE(ArtifactsInput!$N$42+1,40,48,56,64,72,80),0))))/100)*((1+(((C180=TRUE)*F180*5/7)+((C187=TRUE)*(F187-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167)</f>
        <v/>
      </c>
      <c r="L167">
        <f>K167*(MIN(Inputs!$B$22+((C185=TRUE)*(F185-Calc!F22)),(Inputs!$B$23+0+(IF(ArtifactsInput!$M$15,CHOOSE(ArtifactsInput!$N$15+1,25,30,35,40,45,50)/100*(Inputs!$B$11-Inputs!$B$11),0))))/100+(Inputs!$B$23+0+(IF(ArtifactsInput!$M$15,CHOOSE(ArtifactsInput!$N$15+1,25,30,35,40,45,50)/100*(Inputs!$B$11-Inputs!$B$11),0)))/100)/2</f>
        <v/>
      </c>
      <c r="M167">
        <f>L167*(1+(Inputs!$B$10+((C188=TRUE)*(F188-Calc!F25))+B199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7">
        <f>L167*(1-MIN((Inputs!$B$9+((C182=TRUE)*(F182-Calc!F19))+B194+(ArtifactsInput!$M$24-ArtifactsInput!$M$24)*CHOOSE(ArtifactsInput!$N$24+1,10,12,14,16,18,20)+(IF(AND(Inputs!$B$38&lt;&gt;"pvp",Inputs!$B$43=0),1,IF(IF(Inputs!$B$38="pvp",15,Inputs!$B$43)-(B201)&lt;=0,1,MAX(0,IF(Inputs!$B$38="pvp",15,Inputs!$B$43)-MAX(5,B201))/(IF(Inputs!$B$38="pvp",15,Inputs!$B$43)-(B201))))*IF(AND(ArtifactsInput!$M$42,((Inputs!$B$9+((C182=TRUE)*(F182-Calc!F19))+B194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167*(MIN((Inputs!$B$9+((C182=TRUE)*(F182-Calc!F19))+B194+(ArtifactsInput!$M$24-ArtifactsInput!$M$24)*CHOOSE(ArtifactsInput!$N$24+1,10,12,14,16,18,20)+(IF(AND(Inputs!$B$38&lt;&gt;"pvp",Inputs!$B$43=0),1,IF(IF(Inputs!$B$38="pvp",15,Inputs!$B$43)-(B201)&lt;=0,1,MAX(0,IF(Inputs!$B$38="pvp",15,Inputs!$B$43)-MAX(5,B201))/(IF(Inputs!$B$38="pvp",15,Inputs!$B$43)-(B201))))*IF(AND(ArtifactsInput!$M$42,((Inputs!$B$9+((C182=TRUE)*(F182-Calc!F19))+B194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7">
        <f>(1-Summary!$B$11)*T167+Summary!$B$11*V167</f>
        <v/>
      </c>
      <c r="P167">
        <f>IF(B204=0,0,O167/B204)</f>
        <v/>
      </c>
      <c r="Q167">
        <f>IFERROR(1/(IF(Inputs!$B$38="pvp",15,MAX(0.1,Skills!D4-IF(TRUE=TRUE,Inputs!$B$32,0)))*(1-IF(AND(ArtifactsInput!$M$27,Inputs!$B$4="Chapter Hunt"),CHOOSE(ArtifactsInput!$N$27+1,20,24,28,32,36,40),0)/100)),0)</f>
        <v/>
      </c>
      <c r="R167">
        <f>IF(AND(Inputs!$B$38&lt;&gt;"pvp",Inputs!$B$43&gt;0),IF(MAX(0,Inputs!$B$43-B201)&lt;=0,0,(INT(MAX(0,Inputs!$B$43-B201)/(IF(Inputs!$B$38="pvp",15,MAX(0.1,Skills!D4-IF(TRUE=TRUE,Inputs!$B$32,0)))*(1-IF(AND(ArtifactsInput!$M$27,Inputs!$B$4="Chapter Hunt"),CHOOSE(ArtifactsInput!$N$27+1,20,24,28,32,36,40),0)/100)))+1)),0)</f>
        <v/>
      </c>
      <c r="S167">
        <f>IFERROR(O167/N167,0)</f>
        <v/>
      </c>
      <c r="T167">
        <f>IF(C167,(H167*N167*IF(AND(Inputs!$B$38&lt;&gt;"pvp",Inputs!$B$43&gt;0),((Skills!G4*((R167-1)*IF(Skills!H4&gt;0,INT(IF(Inputs!$B$3&gt;=104,MIN(35,20*(1+Inputs!$B$34/100)),20)/Skills!H4+0.000000001),1)+IF(Skills!H4&gt;0,INT(MIN(IF(Inputs!$B$3&gt;=104,MIN(35,20*(1+Inputs!$B$34/100)),20),MAX(0,MAX(0,Inputs!$B$43-B201)-((R167-1)*(IF(Inputs!$B$38="pvp",15,MAX(0.1,Skills!D4-IF(TRUE=TRUE,Inputs!$B$32,0)))*(1-IF(AND(ArtifactsInput!$M$27,Inputs!$B$4="Chapter Hunt"),CHOOSE(ArtifactsInput!$N$27+1,20,24,28,32,36,40),0)/100)))))/Skills!H4+0.000000001),1)))/Inputs!$B$43),G167*Q167))*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Hunt"),CHOOSE(ArtifactsInput!$N$35+1,15,18,21,24,27,30)*(1-EXP(-(0.2*B196)*5)),0)+IF(AND(ArtifactsInput!$M$22,Inputs!$B$4&lt;&gt;"Chapter Hunt"),CHOOSE(ArtifactsInput!$N$22+1,10,12,14,16,18,20)*((0*(((0.15*B196*5))^0/1)+1*(((0.15*B196*5))^1/1)+2*(((0.15*B196*5))^2/2)+3*(((0.15*B196*5))^3/6)+4*(((0.15*B196*5))^4/24)+5*(((0.15*B196*5))^5/120))/((((0.15*B196*5))^0/1)+(((0.15*B196*5))^1/1)+(((0.15*B196*5))^2/2)+(((0.15*B196*5))^3/6)+(((0.15*B196*5))^4/24)+(((0.15*B196*5))^5/120))),0))+IF(Inputs!$B$3&gt;=54,9*(C166=TRUE)*MIN(1,8*(1+Inputs!$B$34/100)*Q166)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167*(1-MIN(100,(Inputs!$B$9+((C182=TRUE)*(F182-Calc!F19))+B194+(ArtifactsInput!$M$24-ArtifactsInput!$M$24)*CHOOSE(ArtifactsInput!$N$24+1,10,12,14,16,18,20)+(IF(AND(Inputs!$B$38&lt;&gt;"pvp",Inputs!$B$43=0),1,IF(IF(Inputs!$B$38="pvp",15,Inputs!$B$43)-(B201)&lt;=0,1,MAX(0,IF(Inputs!$B$38="pvp",15,Inputs!$B$43)-MAX(5,B201))/(IF(Inputs!$B$38="pvp",15,Inputs!$B$43)-(B201))))*IF(AND(ArtifactsInput!$M$42,((Inputs!$B$9+((C182=TRUE)*(F182-Calc!F19))+B194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167*(MIN(100,(Inputs!$B$9+((C182=TRUE)*(F182-Calc!F19))+B194+(ArtifactsInput!$M$24-ArtifactsInput!$M$24)*CHOOSE(ArtifactsInput!$N$24+1,10,12,14,16,18,20)+(IF(AND(Inputs!$B$38&lt;&gt;"pvp",Inputs!$B$43=0),1,IF(IF(Inputs!$B$38="pvp",15,Inputs!$B$43)-(B201)&lt;=0,1,MAX(0,IF(Inputs!$B$38="pvp",15,Inputs!$B$43)-MAX(5,B201))/(IF(Inputs!$B$38="pvp",15,Inputs!$B$43)-(B201))))*IF(AND(ArtifactsInput!$M$42,((Inputs!$B$9+((C182=TRUE)*(F182-Calc!F19))+B194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167*(1-MIN(100,(Inputs!$B$9+((C182=TRUE)*(F182-Calc!F19))+B194+(ArtifactsInput!$M$24-ArtifactsInput!$M$24)*CHOOSE(ArtifactsInput!$N$24+1,10,12,14,16,18,20)+(IF(AND(Inputs!$B$38&lt;&gt;"pvp",Inputs!$B$43=0),1,IF(IF(Inputs!$B$38="pvp",15,Inputs!$B$43)-(B201)&lt;=0,1,MAX(0,IF(Inputs!$B$38="pvp",15,Inputs!$B$43)-MAX(5,B201))/(IF(Inputs!$B$38="pvp",15,Inputs!$B$43)-(B201))))*IF(AND(ArtifactsInput!$M$42,((Inputs!$B$9+((C182=TRUE)*(F182-Calc!F19))+B194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167*(MIN(100,(Inputs!$B$9+((C182=TRUE)*(F182-Calc!F19))+B194+(ArtifactsInput!$M$24-ArtifactsInput!$M$24)*CHOOSE(ArtifactsInput!$N$24+1,10,12,14,16,18,20)+(IF(AND(Inputs!$B$38&lt;&gt;"pvp",Inputs!$B$43=0),1,IF(IF(Inputs!$B$38="pvp",15,Inputs!$B$43)-(B201)&lt;=0,1,MAX(0,IF(Inputs!$B$38="pvp",15,Inputs!$B$43)-MAX(5,B201))/(IF(Inputs!$B$38="pvp",15,Inputs!$B$43)-(B201))))*IF(AND(ArtifactsInput!$M$42,((Inputs!$B$9+((C182=TRUE)*(F182-Calc!F19))+B194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67">
        <f>290*U166/1000</f>
        <v/>
      </c>
      <c r="V167">
        <f>IF(C167,(H167*N167*IF(AND(Inputs!$B$38&lt;&gt;"pvp",Inputs!$B$43&gt;0),((Skills!G4*((R167-1)*IF(Skills!H4&gt;0,INT(IF(Inputs!$B$3&gt;=104,MIN(35,20*(1+Inputs!$B$34/100)),20)/Skills!H4+0.000000001),1)+IF(Skills!H4&gt;0,INT(MIN(IF(Inputs!$B$3&gt;=104,MIN(35,20*(1+Inputs!$B$34/100)),20),MAX(0,MAX(0,Inputs!$B$43-B201)-((R167-1)*(IF(Inputs!$B$38="pvp",15,MAX(0.1,Skills!D4-IF(TRUE=TRUE,Inputs!$B$32,0)))*(1-IF(AND(ArtifactsInput!$M$27,Inputs!$B$4="Chapter Hunt"),CHOOSE(ArtifactsInput!$N$27+1,20,24,28,32,36,40),0)/100)))))/Skills!H4+0.000000001),1)))/Inputs!$B$43),G167*Q167))*IF(Inputs!$B$38="pvp",1,(1+(Inputs!$B$21+Skills!Q4+(IF(ArtifactsInput!$M$33,CHOOSE(ArtifactsInput!$N$33+1,30,36,42,48,54,60),0))+(IF(AND(ArtifactsInput!$M$35,Inputs!$B$4&lt;&gt;"Chapter Hunt"),CHOOSE(ArtifactsInput!$N$35+1,15,18,21,24,27,30)*(1-EXP(-(0.2*B196)*5)),0)+IF(AND(ArtifactsInput!$M$22,Inputs!$B$4&lt;&gt;"Chapter Hunt"),CHOOSE(ArtifactsInput!$N$22+1,10,12,14,16,18,20)*((0*(((0.15*B196*5))^0/1)+1*(((0.15*B196*5))^1/1)+2*(((0.15*B196*5))^2/2)+3*(((0.15*B196*5))^3/6)+4*(((0.15*B196*5))^4/24)+5*(((0.15*B196*5))^5/120))/((((0.15*B196*5))^0/1)+(((0.15*B196*5))^1/1)+(((0.15*B196*5))^2/2)+(((0.15*B196*5))^3/6)+(((0.15*B196*5))^4/24)+(((0.15*B196*5))^5/120))),0))+IF(Inputs!$B$3&gt;=54,9*(C166=TRUE)*MIN(1,8*(1+Inputs!$B$34/100)*Q166),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8">
      <c r="A168">
        <f>Skills!A5</f>
        <v/>
      </c>
      <c r="B168">
        <f>Skills!B5</f>
        <v/>
      </c>
      <c r="C168">
        <f>Inputs!$B$3&gt;=69</f>
        <v/>
      </c>
      <c r="D168">
        <f>IF(Skills!C5=1,60+Inputs!$B$25+Inputs!$B$29,IF(Skills!C5=2,90+Inputs!$B$26+Inputs!$B$29,IF(Skills!C5=3,120+Inputs!$B$27+Inputs!$B$29,MAX(0,(Inputs!$B$3-100)*3)+Inputs!$B$28+Inputs!$B$29)))</f>
        <v/>
      </c>
      <c r="E168">
        <f>INDEX(FactorTable!$B$2:$Y$301, MATCH(ROUND(MIN(300,MAX(1,D168)),0), FactorTable!$A$2:$A$301,0), Skills!M5+1)</f>
        <v/>
      </c>
      <c r="F168">
        <f>IF(Skills!N5=TRUE,(Skills!L5/10)*(E168/1000),Skills!L5/10)+Skills!O5</f>
        <v/>
      </c>
      <c r="G168">
        <f>Skills!G5*IF(Skills!H5&gt;0,INT(IF(Inputs!$B$38="pvp",MIN(IF(Inputs!$B$3&gt;=104,MIN(35,20*(1+Inputs!$B$34/100)),20),15),IF(Inputs!$B$3&gt;=104,MIN(35,20*(1+Inputs!$B$34/100)),20))/Skills!H5+0.000000001),1)</f>
        <v/>
      </c>
      <c r="H168">
        <f>1-(1-Skills!J5/100)^Skills!K5</f>
        <v/>
      </c>
      <c r="I168" t="inlineStr">
        <is>
          <t>1</t>
        </is>
      </c>
      <c r="J168">
        <f>((Inputs!$B$6*(1+Inputs!$B$7/100))+(((Inputs!$B$12*(1+Inputs!$B$13/100))-(Inputs!$B$12*(1+Inputs!$B$13/100)))+0.25*((Inputs!$B$14+1)-Inputs!$B$14))*(1+Inputs!$B$7/100))*(F168/100)</f>
        <v/>
      </c>
      <c r="K168">
        <f>J168*(1+((Inputs!$B$12*(1+Inputs!$B$13/100))*0.01+(Inputs!$B$14+1)*0.0025)/100)*(1+Inputs!$B$15/100)*(1+Inputs!$B$16/100)*(5000/(6000+Inputs!$B$42*(1-(100*(1-(1-(Inputs!$B$19+0)/100)*(1-CHOOSE(ArtifactsInput!$N$40+1,5,6,7,8,9,10)/100)^(ArtifactsInput!$M$40-ArtifactsInput!$M$40)))/100)))*(1+(Inputs!$B$24+((C189=TRUE)*(F189-Calc!F26))+B200)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+0.4*IF(C179=TRUE,F179,0)/100)*(1+(IF(Skills!A5="EIGHT_LEGS_EASTON",Inputs!$B$17+((C186=TRUE)*(F186-Calc!F23))+((C190=TRUE)*(F190-Calc!F27))+((IF(AND(Inputs!$B$38&lt;&gt;"pvp",Inputs!$B$43=0),1,IF(IF(Inputs!$B$38="pvp",15,Inputs!$B$43)-(B201)&lt;=0,1,MAX(0,IF(Inputs!$B$38="pvp",15,Inputs!$B$43)-MAX(5,B201))/(IF(Inputs!$B$38="pvp",15,Inputs!$B$43)-(B201))))*(IF(AND(ArtifactsInput!$M$42,((Inputs!$B$9+((C182=TRUE)*(F182-Calc!F19))+B194+(ArtifactsInput!$M$24-ArtifactsInput!$M$24)*CHOOSE(ArtifactsInput!$N$24+1,10,12,14,16,18,20)+IF(ArtifactsInput!$M$10,CHOOSE(ArtifactsInput!$N$10+1,15,18,21,24,27,30)*(IF(Inputs!$B$38="pvp",MIN(15,15)/15,IF(AND(Inputs!$B$38&lt;&gt;"pvp",Inputs!$B$43&gt;0),MIN(15,Inputs!$B$43)/(Inputs!$B$43),0))),0)))&gt;=100),MIN(100,((Inputs!$B$9+((C182=TRUE)*(F182-Calc!F19))+B194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201)&lt;=0,1,MAX(0,IF(Inputs!$B$38="pvp",15,Inputs!$B$43)-MAX(5,B201))/(IF(Inputs!$B$38="pvp",15,Inputs!$B$43)-(B201))))*IF(AND(ArtifactsInput!$M$42,((Inputs!$B$9+((C182=TRUE)*(F182-Calc!F19))+B194+(ArtifactsInput!$M$24-ArtifactsInput!$M$24)*CHOOSE(ArtifactsInput!$N$24+1,10,12,14,16,18,20)+IF(ArtifactsInput!$M$10,CHOOSE(ArtifactsInput!$N$10+1,15,18,21,24,27,30)*(IF(Inputs!$B$38="pvp",MIN(15,15)/15,IF(AND(Inputs!$B$38&lt;&gt;"pvp",Inputs!$B$43&gt;0),MIN(15,Inputs!$B$43)/(Inputs!$B$43),0))),0)))&gt;=100),CHOOSE(ArtifactsInput!$N$42+1,40,48,56,64,72,80),0))))/100)*((1+(((C180=TRUE)*F180*5/7)+((C187=TRUE)*(F187-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168)</f>
        <v/>
      </c>
      <c r="L168">
        <f>K168*(MIN(Inputs!$B$22+((C185=TRUE)*(F185-Calc!F22)),(Inputs!$B$23+0+(IF(ArtifactsInput!$M$15,CHOOSE(ArtifactsInput!$N$15+1,25,30,35,40,45,50)/100*(Inputs!$B$11-Inputs!$B$11),0))))/100+(Inputs!$B$23+0+(IF(ArtifactsInput!$M$15,CHOOSE(ArtifactsInput!$N$15+1,25,30,35,40,45,50)/100*(Inputs!$B$11-Inputs!$B$11),0)))/100)/2</f>
        <v/>
      </c>
      <c r="M168">
        <f>L168*(1+(Inputs!$B$10+((C188=TRUE)*(F188-Calc!F25))+B199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8">
        <f>L168*(1-MIN((Inputs!$B$9+((C182=TRUE)*(F182-Calc!F19))+B194+(ArtifactsInput!$M$24-ArtifactsInput!$M$24)*CHOOSE(ArtifactsInput!$N$24+1,10,12,14,16,18,20)+(IF(AND(Inputs!$B$38&lt;&gt;"pvp",Inputs!$B$43=0),1,IF(IF(Inputs!$B$38="pvp",15,Inputs!$B$43)-(B201)&lt;=0,1,MAX(0,IF(Inputs!$B$38="pvp",15,Inputs!$B$43)-MAX(5,B201))/(IF(Inputs!$B$38="pvp",15,Inputs!$B$43)-(B201))))*IF(AND(ArtifactsInput!$M$42,((Inputs!$B$9+((C182=TRUE)*(F182-Calc!F19))+B194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168*(MIN((Inputs!$B$9+((C182=TRUE)*(F182-Calc!F19))+B194+(ArtifactsInput!$M$24-ArtifactsInput!$M$24)*CHOOSE(ArtifactsInput!$N$24+1,10,12,14,16,18,20)+(IF(AND(Inputs!$B$38&lt;&gt;"pvp",Inputs!$B$43=0),1,IF(IF(Inputs!$B$38="pvp",15,Inputs!$B$43)-(B201)&lt;=0,1,MAX(0,IF(Inputs!$B$38="pvp",15,Inputs!$B$43)-MAX(5,B201))/(IF(Inputs!$B$38="pvp",15,Inputs!$B$43)-(B201))))*IF(AND(ArtifactsInput!$M$42,((Inputs!$B$9+((C182=TRUE)*(F182-Calc!F19))+B194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8">
        <f>(1-Summary!$B$11)*T168+Summary!$B$11*V168</f>
        <v/>
      </c>
      <c r="P168">
        <f>IF(B204=0,0,O168/B204)</f>
        <v/>
      </c>
      <c r="Q168">
        <f>IFERROR(1/(IF(Inputs!$B$38="pvp",15,MAX(0.1,Skills!D5-IF(TRUE=TRUE,Inputs!$B$32,0)))*(1-IF(AND(ArtifactsInput!$M$27,Inputs!$B$4="Chapter Hunt"),CHOOSE(ArtifactsInput!$N$27+1,20,24,28,32,36,40),0)/100)),0)</f>
        <v/>
      </c>
      <c r="R168">
        <f>IF(AND(Inputs!$B$38&lt;&gt;"pvp",Inputs!$B$43&gt;0),IF(MAX(0,Inputs!$B$43-B201)&lt;=0,0,(INT(MAX(0,Inputs!$B$43-B201)/(IF(Inputs!$B$38="pvp",15,MAX(0.1,Skills!D5-IF(TRUE=TRUE,Inputs!$B$32,0)))*(1-IF(AND(ArtifactsInput!$M$27,Inputs!$B$4="Chapter Hunt"),CHOOSE(ArtifactsInput!$N$27+1,20,24,28,32,36,40),0)/100)))+1)),0)</f>
        <v/>
      </c>
      <c r="S168">
        <f>IFERROR(O168/N168,0)</f>
        <v/>
      </c>
      <c r="T168">
        <f>IF(C168,(H168*N168*IF(AND(Inputs!$B$38&lt;&gt;"pvp",Inputs!$B$43&gt;0),((Skills!G5*((R168-1)*IF(Skills!H5&gt;0,INT(IF(Inputs!$B$3&gt;=104,MIN(35,20*(1+Inputs!$B$34/100)),20)/Skills!H5+0.000000001),1)+IF(Skills!H5&gt;0,INT(MIN(IF(Inputs!$B$3&gt;=104,MIN(35,20*(1+Inputs!$B$34/100)),20),MAX(0,MAX(0,Inputs!$B$43-B201)-((R168-1)*(IF(Inputs!$B$38="pvp",15,MAX(0.1,Skills!D5-IF(TRUE=TRUE,Inputs!$B$32,0)))*(1-IF(AND(ArtifactsInput!$M$27,Inputs!$B$4="Chapter Hunt"),CHOOSE(ArtifactsInput!$N$27+1,20,24,28,32,36,40),0)/100)))))/Skills!H5+0.000000001),1)))/Inputs!$B$43),G168*Q168))*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Hunt"),CHOOSE(ArtifactsInput!$N$35+1,15,18,21,24,27,30)*(1-EXP(-(0.2*B196)*5)),0)+IF(AND(ArtifactsInput!$M$22,Inputs!$B$4&lt;&gt;"Chapter Hunt"),CHOOSE(ArtifactsInput!$N$22+1,10,12,14,16,18,20)*((0*(((0.15*B196*5))^0/1)+1*(((0.15*B196*5))^1/1)+2*(((0.15*B196*5))^2/2)+3*(((0.15*B196*5))^3/6)+4*(((0.15*B196*5))^4/24)+5*(((0.15*B196*5))^5/120))/((((0.15*B196*5))^0/1)+(((0.15*B196*5))^1/1)+(((0.15*B196*5))^2/2)+(((0.15*B196*5))^3/6)+(((0.15*B196*5))^4/24)+(((0.15*B196*5))^5/120))),0))+IF(Inputs!$B$3&gt;=54,9*(C166=TRUE)*MIN(1,8*(1+Inputs!$B$34/100)*Q166)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168*(1-MIN(100,(Inputs!$B$9+((C182=TRUE)*(F182-Calc!F19))+B194+(ArtifactsInput!$M$24-ArtifactsInput!$M$24)*CHOOSE(ArtifactsInput!$N$24+1,10,12,14,16,18,20)+(IF(AND(Inputs!$B$38&lt;&gt;"pvp",Inputs!$B$43=0),1,IF(IF(Inputs!$B$38="pvp",15,Inputs!$B$43)-(B201)&lt;=0,1,MAX(0,IF(Inputs!$B$38="pvp",15,Inputs!$B$43)-MAX(5,B201))/(IF(Inputs!$B$38="pvp",15,Inputs!$B$43)-(B201))))*IF(AND(ArtifactsInput!$M$42,((Inputs!$B$9+((C182=TRUE)*(F182-Calc!F19))+B194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168*(MIN(100,(Inputs!$B$9+((C182=TRUE)*(F182-Calc!F19))+B194+(ArtifactsInput!$M$24-ArtifactsInput!$M$24)*CHOOSE(ArtifactsInput!$N$24+1,10,12,14,16,18,20)+(IF(AND(Inputs!$B$38&lt;&gt;"pvp",Inputs!$B$43=0),1,IF(IF(Inputs!$B$38="pvp",15,Inputs!$B$43)-(B201)&lt;=0,1,MAX(0,IF(Inputs!$B$38="pvp",15,Inputs!$B$43)-MAX(5,B201))/(IF(Inputs!$B$38="pvp",15,Inputs!$B$43)-(B201))))*IF(AND(ArtifactsInput!$M$42,((Inputs!$B$9+((C182=TRUE)*(F182-Calc!F19))+B194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168*(1-MIN(100,(Inputs!$B$9+((C182=TRUE)*(F182-Calc!F19))+B194+(ArtifactsInput!$M$24-ArtifactsInput!$M$24)*CHOOSE(ArtifactsInput!$N$24+1,10,12,14,16,18,20)+(IF(AND(Inputs!$B$38&lt;&gt;"pvp",Inputs!$B$43=0),1,IF(IF(Inputs!$B$38="pvp",15,Inputs!$B$43)-(B201)&lt;=0,1,MAX(0,IF(Inputs!$B$38="pvp",15,Inputs!$B$43)-MAX(5,B201))/(IF(Inputs!$B$38="pvp",15,Inputs!$B$43)-(B201))))*IF(AND(ArtifactsInput!$M$42,((Inputs!$B$9+((C182=TRUE)*(F182-Calc!F19))+B194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168*(MIN(100,(Inputs!$B$9+((C182=TRUE)*(F182-Calc!F19))+B194+(ArtifactsInput!$M$24-ArtifactsInput!$M$24)*CHOOSE(ArtifactsInput!$N$24+1,10,12,14,16,18,20)+(IF(AND(Inputs!$B$38&lt;&gt;"pvp",Inputs!$B$43=0),1,IF(IF(Inputs!$B$38="pvp",15,Inputs!$B$43)-(B201)&lt;=0,1,MAX(0,IF(Inputs!$B$38="pvp",15,Inputs!$B$43)-MAX(5,B201))/(IF(Inputs!$B$38="pvp",15,Inputs!$B$43)-(B201))))*IF(AND(ArtifactsInput!$M$42,((Inputs!$B$9+((C182=TRUE)*(F182-Calc!F19))+B194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68">
        <f>IF(C168,(H168*N168*IF(AND(Inputs!$B$38&lt;&gt;"pvp",Inputs!$B$43&gt;0),((Skills!G5*((R168-1)*IF(Skills!H5&gt;0,INT(IF(Inputs!$B$3&gt;=104,MIN(35,20*(1+Inputs!$B$34/100)),20)/Skills!H5+0.000000001),1)+IF(Skills!H5&gt;0,INT(MIN(IF(Inputs!$B$3&gt;=104,MIN(35,20*(1+Inputs!$B$34/100)),20),MAX(0,MAX(0,Inputs!$B$43-B201)-((R168-1)*(IF(Inputs!$B$38="pvp",15,MAX(0.1,Skills!D5-IF(TRUE=TRUE,Inputs!$B$32,0)))*(1-IF(AND(ArtifactsInput!$M$27,Inputs!$B$4="Chapter Hunt"),CHOOSE(ArtifactsInput!$N$27+1,20,24,28,32,36,40),0)/100)))))/Skills!H5+0.000000001),1)))/Inputs!$B$43),G168*Q168))*IF(Inputs!$B$38="pvp",1,(1+(Inputs!$B$21+Skills!Q5+(IF(ArtifactsInput!$M$33,CHOOSE(ArtifactsInput!$N$33+1,30,36,42,48,54,60),0))+(IF(AND(ArtifactsInput!$M$35,Inputs!$B$4&lt;&gt;"Chapter Hunt"),CHOOSE(ArtifactsInput!$N$35+1,15,18,21,24,27,30)*(1-EXP(-(0.2*B196)*5)),0)+IF(AND(ArtifactsInput!$M$22,Inputs!$B$4&lt;&gt;"Chapter Hunt"),CHOOSE(ArtifactsInput!$N$22+1,10,12,14,16,18,20)*((0*(((0.15*B196*5))^0/1)+1*(((0.15*B196*5))^1/1)+2*(((0.15*B196*5))^2/2)+3*(((0.15*B196*5))^3/6)+4*(((0.15*B196*5))^4/24)+5*(((0.15*B196*5))^5/120))/((((0.15*B196*5))^0/1)+(((0.15*B196*5))^1/1)+(((0.15*B196*5))^2/2)+(((0.15*B196*5))^3/6)+(((0.15*B196*5))^4/24)+(((0.15*B196*5))^5/120))),0))+IF(Inputs!$B$3&gt;=54,9*(C166=TRUE)*MIN(1,8*(1+Inputs!$B$34/100)*Q166),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9">
      <c r="A169">
        <f>Skills!A6</f>
        <v/>
      </c>
      <c r="B169">
        <f>Skills!B6</f>
        <v/>
      </c>
      <c r="C169">
        <f>Inputs!$B$3&gt;=66</f>
        <v/>
      </c>
      <c r="D169">
        <f>IF(Skills!C6=1,60+Inputs!$B$25+Inputs!$B$29,IF(Skills!C6=2,90+Inputs!$B$26+Inputs!$B$29,IF(Skills!C6=3,120+Inputs!$B$27+Inputs!$B$29,MAX(0,(Inputs!$B$3-100)*3)+Inputs!$B$28+Inputs!$B$29)))</f>
        <v/>
      </c>
      <c r="E169">
        <f>INDEX(FactorTable!$B$2:$Y$301, MATCH(ROUND(MIN(300,MAX(1,D169)),0), FactorTable!$A$2:$A$301,0), Skills!M6+1)</f>
        <v/>
      </c>
      <c r="F169">
        <f>IF(Skills!N6=TRUE,(Skills!L6/10)*(E169/1000),Skills!L6/10)+Skills!O6</f>
        <v/>
      </c>
      <c r="G169">
        <f>Skills!G6*IF(Skills!H6&gt;0,INT(IF(Inputs!$B$38="pvp",MIN(Skills!I6,15),Skills!I6)/Skills!H6+0.000000001),1)</f>
        <v/>
      </c>
      <c r="H169">
        <f>1-(1-Skills!J6/100)^Skills!K6</f>
        <v/>
      </c>
      <c r="I169" t="inlineStr">
        <is>
          <t>1</t>
        </is>
      </c>
      <c r="J169">
        <f>((Inputs!$B$6*(1+Inputs!$B$7/100))+(((Inputs!$B$12*(1+Inputs!$B$13/100))-(Inputs!$B$12*(1+Inputs!$B$13/100)))+0.25*((Inputs!$B$14+1)-Inputs!$B$14))*(1+Inputs!$B$7/100))*(F169/100)</f>
        <v/>
      </c>
      <c r="K169">
        <f>J169*(1+((Inputs!$B$12*(1+Inputs!$B$13/100))*0.01+(Inputs!$B$14+1)*0.0025)/100)*(1+Inputs!$B$15/100)*(1+Inputs!$B$16/100)*(5000/(6000+Inputs!$B$42*(1-(100*(1-(1-(Inputs!$B$19+0)/100)*(1-CHOOSE(ArtifactsInput!$N$40+1,5,6,7,8,9,10)/100)^(ArtifactsInput!$M$40-ArtifactsInput!$M$40)))/100)))*(1+(Inputs!$B$24+((C189=TRUE)*(F189-Calc!F26))+B200)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+2.0*IF(C178=TRUE,F178,0)/100)*(1+(IF(Skills!A6="EIGHT_LEGS_EASTON",Inputs!$B$17+((C186=TRUE)*(F186-Calc!F23))+((C190=TRUE)*(F190-Calc!F27))+((IF(AND(Inputs!$B$38&lt;&gt;"pvp",Inputs!$B$43=0),1,IF(IF(Inputs!$B$38="pvp",15,Inputs!$B$43)-(B201)&lt;=0,1,MAX(0,IF(Inputs!$B$38="pvp",15,Inputs!$B$43)-MAX(5,B201))/(IF(Inputs!$B$38="pvp",15,Inputs!$B$43)-(B201))))*(IF(AND(ArtifactsInput!$M$42,((Inputs!$B$9+((C182=TRUE)*(F182-Calc!F19))+B194+(ArtifactsInput!$M$24-ArtifactsInput!$M$24)*CHOOSE(ArtifactsInput!$N$24+1,10,12,14,16,18,20)+IF(ArtifactsInput!$M$10,CHOOSE(ArtifactsInput!$N$10+1,15,18,21,24,27,30)*(IF(Inputs!$B$38="pvp",MIN(15,15)/15,IF(AND(Inputs!$B$38&lt;&gt;"pvp",Inputs!$B$43&gt;0),MIN(15,Inputs!$B$43)/(Inputs!$B$43),0))),0)))&gt;=100),MIN(100,((Inputs!$B$9+((C182=TRUE)*(F182-Calc!F19))+B194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201)&lt;=0,1,MAX(0,IF(Inputs!$B$38="pvp",15,Inputs!$B$43)-MAX(5,B201))/(IF(Inputs!$B$38="pvp",15,Inputs!$B$43)-(B201))))*IF(AND(ArtifactsInput!$M$42,((Inputs!$B$9+((C182=TRUE)*(F182-Calc!F19))+B194+(ArtifactsInput!$M$24-ArtifactsInput!$M$24)*CHOOSE(ArtifactsInput!$N$24+1,10,12,14,16,18,20)+IF(ArtifactsInput!$M$10,CHOOSE(ArtifactsInput!$N$10+1,15,18,21,24,27,30)*(IF(Inputs!$B$38="pvp",MIN(15,15)/15,IF(AND(Inputs!$B$38&lt;&gt;"pvp",Inputs!$B$43&gt;0),MIN(15,Inputs!$B$43)/(Inputs!$B$43),0))),0)))&gt;=100),CHOOSE(ArtifactsInput!$N$42+1,40,48,56,64,72,80),0))))/100)*((1+(((C180=TRUE)*F180*5/7)+((C187=TRUE)*(F187-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169)</f>
        <v/>
      </c>
      <c r="L169">
        <f>K169*(MIN(Inputs!$B$22+((C185=TRUE)*(F185-Calc!F22)),(Inputs!$B$23+0+(IF(ArtifactsInput!$M$15,CHOOSE(ArtifactsInput!$N$15+1,25,30,35,40,45,50)/100*(Inputs!$B$11-Inputs!$B$11),0))))/100+(Inputs!$B$23+0+(IF(ArtifactsInput!$M$15,CHOOSE(ArtifactsInput!$N$15+1,25,30,35,40,45,50)/100*(Inputs!$B$11-Inputs!$B$11),0)))/100)/2</f>
        <v/>
      </c>
      <c r="M169">
        <f>L169*(1+(Inputs!$B$10+((C188=TRUE)*(F188-Calc!F25))+B199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9">
        <f>L169*(1-MIN((Inputs!$B$9+((C182=TRUE)*(F182-Calc!F19))+B194+(ArtifactsInput!$M$24-ArtifactsInput!$M$24)*CHOOSE(ArtifactsInput!$N$24+1,10,12,14,16,18,20)+(IF(AND(Inputs!$B$38&lt;&gt;"pvp",Inputs!$B$43=0),1,IF(IF(Inputs!$B$38="pvp",15,Inputs!$B$43)-(B201)&lt;=0,1,MAX(0,IF(Inputs!$B$38="pvp",15,Inputs!$B$43)-MAX(5,B201))/(IF(Inputs!$B$38="pvp",15,Inputs!$B$43)-(B201))))*IF(AND(ArtifactsInput!$M$42,((Inputs!$B$9+((C182=TRUE)*(F182-Calc!F19))+B194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169*(MIN((Inputs!$B$9+((C182=TRUE)*(F182-Calc!F19))+B194+(ArtifactsInput!$M$24-ArtifactsInput!$M$24)*CHOOSE(ArtifactsInput!$N$24+1,10,12,14,16,18,20)+(IF(AND(Inputs!$B$38&lt;&gt;"pvp",Inputs!$B$43=0),1,IF(IF(Inputs!$B$38="pvp",15,Inputs!$B$43)-(B201)&lt;=0,1,MAX(0,IF(Inputs!$B$38="pvp",15,Inputs!$B$43)-MAX(5,B201))/(IF(Inputs!$B$38="pvp",15,Inputs!$B$43)-(B201))))*IF(AND(ArtifactsInput!$M$42,((Inputs!$B$9+((C182=TRUE)*(F182-Calc!F19))+B194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9">
        <f>(1-Summary!$B$11)*T169+Summary!$B$11*V169</f>
        <v/>
      </c>
      <c r="P169">
        <f>IF(B204=0,0,O169/B204)</f>
        <v/>
      </c>
      <c r="Q169">
        <f>IFERROR(1/(IF(Inputs!$B$38="pvp",15,MAX(0.1,Skills!D6-IF(TRUE=TRUE,Inputs!$B$32,0)))*(1-IF(AND(ArtifactsInput!$M$27,Inputs!$B$4="Chapter Hunt"),CHOOSE(ArtifactsInput!$N$27+1,20,24,28,32,36,40),0)/100)),0)</f>
        <v/>
      </c>
      <c r="R169">
        <f>IF(AND(Inputs!$B$38&lt;&gt;"pvp",Inputs!$B$43&gt;0),IF(MAX(0,Inputs!$B$43-B201)&lt;=0,0,(INT(MAX(0,Inputs!$B$43-B201)/(IF(Inputs!$B$38="pvp",15,MAX(0.1,Skills!D6-IF(TRUE=TRUE,Inputs!$B$32,0)))*(1-IF(AND(ArtifactsInput!$M$27,Inputs!$B$4="Chapter Hunt"),CHOOSE(ArtifactsInput!$N$27+1,20,24,28,32,36,40),0)/100)))+1)),0)</f>
        <v/>
      </c>
      <c r="S169">
        <f>IFERROR(O169/N169,0)</f>
        <v/>
      </c>
      <c r="T169">
        <f>IF(C169,(H169*N169*IF(AND(Inputs!$B$38&lt;&gt;"pvp",Inputs!$B$43&gt;0),((Skills!G6*((R169-1)*IF(Skills!H6&gt;0,INT(Skills!I6/Skills!H6+0.000000001),1)+IF(Skills!H6&gt;0,INT(MIN(Skills!I6,MAX(0,MAX(0,Inputs!$B$43-B201)-((R169-1)*(IF(Inputs!$B$38="pvp",15,MAX(0.1,Skills!D6-IF(TRUE=TRUE,Inputs!$B$32,0)))*(1-IF(AND(ArtifactsInput!$M$27,Inputs!$B$4="Chapter Hunt"),CHOOSE(ArtifactsInput!$N$27+1,20,24,28,32,36,40),0)/100)))))/Skills!H6+0.000000001),1)))/Inputs!$B$43),G169*Q169))*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Hunt"),CHOOSE(ArtifactsInput!$N$35+1,15,18,21,24,27,30)*(1-EXP(-(0.2*B196)*5)),0)+IF(AND(ArtifactsInput!$M$22,Inputs!$B$4&lt;&gt;"Chapter Hunt"),CHOOSE(ArtifactsInput!$N$22+1,10,12,14,16,18,20)*((0*(((0.15*B196*5))^0/1)+1*(((0.15*B196*5))^1/1)+2*(((0.15*B196*5))^2/2)+3*(((0.15*B196*5))^3/6)+4*(((0.15*B196*5))^4/24)+5*(((0.15*B196*5))^5/120))/((((0.15*B196*5))^0/1)+(((0.15*B196*5))^1/1)+(((0.15*B196*5))^2/2)+(((0.15*B196*5))^3/6)+(((0.15*B196*5))^4/24)+(((0.15*B196*5))^5/120))),0))+IF(Inputs!$B$3&gt;=54,9*(C166=TRUE)*MIN(1,8*(1+Inputs!$B$34/100)*Q166)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169*(1-MIN(100,(Inputs!$B$9+((C182=TRUE)*(F182-Calc!F19))+B194+(ArtifactsInput!$M$24-ArtifactsInput!$M$24)*CHOOSE(ArtifactsInput!$N$24+1,10,12,14,16,18,20)+(IF(AND(Inputs!$B$38&lt;&gt;"pvp",Inputs!$B$43=0),1,IF(IF(Inputs!$B$38="pvp",15,Inputs!$B$43)-(B201)&lt;=0,1,MAX(0,IF(Inputs!$B$38="pvp",15,Inputs!$B$43)-MAX(5,B201))/(IF(Inputs!$B$38="pvp",15,Inputs!$B$43)-(B201))))*IF(AND(ArtifactsInput!$M$42,((Inputs!$B$9+((C182=TRUE)*(F182-Calc!F19))+B194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169*(MIN(100,(Inputs!$B$9+((C182=TRUE)*(F182-Calc!F19))+B194+(ArtifactsInput!$M$24-ArtifactsInput!$M$24)*CHOOSE(ArtifactsInput!$N$24+1,10,12,14,16,18,20)+(IF(AND(Inputs!$B$38&lt;&gt;"pvp",Inputs!$B$43=0),1,IF(IF(Inputs!$B$38="pvp",15,Inputs!$B$43)-(B201)&lt;=0,1,MAX(0,IF(Inputs!$B$38="pvp",15,Inputs!$B$43)-MAX(5,B201))/(IF(Inputs!$B$38="pvp",15,Inputs!$B$43)-(B201))))*IF(AND(ArtifactsInput!$M$42,((Inputs!$B$9+((C182=TRUE)*(F182-Calc!F19))+B194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169*(1-MIN(100,(Inputs!$B$9+((C182=TRUE)*(F182-Calc!F19))+B194+(ArtifactsInput!$M$24-ArtifactsInput!$M$24)*CHOOSE(ArtifactsInput!$N$24+1,10,12,14,16,18,20)+(IF(AND(Inputs!$B$38&lt;&gt;"pvp",Inputs!$B$43=0),1,IF(IF(Inputs!$B$38="pvp",15,Inputs!$B$43)-(B201)&lt;=0,1,MAX(0,IF(Inputs!$B$38="pvp",15,Inputs!$B$43)-MAX(5,B201))/(IF(Inputs!$B$38="pvp",15,Inputs!$B$43)-(B201))))*IF(AND(ArtifactsInput!$M$42,((Inputs!$B$9+((C182=TRUE)*(F182-Calc!F19))+B194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169*(MIN(100,(Inputs!$B$9+((C182=TRUE)*(F182-Calc!F19))+B194+(ArtifactsInput!$M$24-ArtifactsInput!$M$24)*CHOOSE(ArtifactsInput!$N$24+1,10,12,14,16,18,20)+(IF(AND(Inputs!$B$38&lt;&gt;"pvp",Inputs!$B$43=0),1,IF(IF(Inputs!$B$38="pvp",15,Inputs!$B$43)-(B201)&lt;=0,1,MAX(0,IF(Inputs!$B$38="pvp",15,Inputs!$B$43)-MAX(5,B201))/(IF(Inputs!$B$38="pvp",15,Inputs!$B$43)-(B201))))*IF(AND(ArtifactsInput!$M$42,((Inputs!$B$9+((C182=TRUE)*(F182-Calc!F19))+B194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69">
        <f>IF(C169,(H169*N169*IF(AND(Inputs!$B$38&lt;&gt;"pvp",Inputs!$B$43&gt;0),((Skills!G6*((R169-1)*IF(Skills!H6&gt;0,INT(Skills!I6/Skills!H6+0.000000001),1)+IF(Skills!H6&gt;0,INT(MIN(Skills!I6,MAX(0,MAX(0,Inputs!$B$43-B201)-((R169-1)*(IF(Inputs!$B$38="pvp",15,MAX(0.1,Skills!D6-IF(TRUE=TRUE,Inputs!$B$32,0)))*(1-IF(AND(ArtifactsInput!$M$27,Inputs!$B$4="Chapter Hunt"),CHOOSE(ArtifactsInput!$N$27+1,20,24,28,32,36,40),0)/100)))))/Skills!H6+0.000000001),1)))/Inputs!$B$43),G169*Q169))*IF(Inputs!$B$38="pvp",1,(1+(Inputs!$B$21+Skills!Q6+(IF(ArtifactsInput!$M$33,CHOOSE(ArtifactsInput!$N$33+1,30,36,42,48,54,60),0))+(IF(AND(ArtifactsInput!$M$35,Inputs!$B$4&lt;&gt;"Chapter Hunt"),CHOOSE(ArtifactsInput!$N$35+1,15,18,21,24,27,30)*(1-EXP(-(0.2*B196)*5)),0)+IF(AND(ArtifactsInput!$M$22,Inputs!$B$4&lt;&gt;"Chapter Hunt"),CHOOSE(ArtifactsInput!$N$22+1,10,12,14,16,18,20)*((0*(((0.15*B196*5))^0/1)+1*(((0.15*B196*5))^1/1)+2*(((0.15*B196*5))^2/2)+3*(((0.15*B196*5))^3/6)+4*(((0.15*B196*5))^4/24)+5*(((0.15*B196*5))^5/120))/((((0.15*B196*5))^0/1)+(((0.15*B196*5))^1/1)+(((0.15*B196*5))^2/2)+(((0.15*B196*5))^3/6)+(((0.15*B196*5))^4/24)+(((0.15*B196*5))^5/120))),0))+IF(Inputs!$B$3&gt;=54,9*(C166=TRUE)*MIN(1,8*(1+Inputs!$B$34/100)*Q166),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0">
      <c r="A170">
        <f>Skills!A7</f>
        <v/>
      </c>
      <c r="B170">
        <f>Skills!B7</f>
        <v/>
      </c>
      <c r="C170">
        <f>Inputs!$B$3&gt;=63</f>
        <v/>
      </c>
      <c r="D170">
        <f>IF(Skills!C7=1,60+Inputs!$B$25+Inputs!$B$29,IF(Skills!C7=2,90+Inputs!$B$26+Inputs!$B$29,IF(Skills!C7=3,120+Inputs!$B$27+Inputs!$B$29,MAX(0,(Inputs!$B$3-100)*3)+Inputs!$B$28+Inputs!$B$29)))</f>
        <v/>
      </c>
      <c r="E170">
        <f>INDEX(FactorTable!$B$2:$Y$301, MATCH(ROUND(MIN(300,MAX(1,D170)),0), FactorTable!$A$2:$A$301,0), Skills!M7+1)</f>
        <v/>
      </c>
      <c r="F170">
        <f>IF(Skills!N7=TRUE,(Skills!L7/10)*(E170/1000),Skills!L7/10)+Skills!O7</f>
        <v/>
      </c>
      <c r="G170">
        <f>Skills!G7*IF(Skills!H7&gt;0,INT(IF(Inputs!$B$38="pvp",MIN(Skills!I7,15),Skills!I7)/Skills!H7+0.000000001),1)</f>
        <v/>
      </c>
      <c r="H170">
        <f>1-(1-Skills!J7/100)^Skills!K7</f>
        <v/>
      </c>
      <c r="I170" t="inlineStr">
        <is>
          <t>1</t>
        </is>
      </c>
      <c r="J170">
        <f>((Inputs!$B$6*(1+Inputs!$B$7/100))+(((Inputs!$B$12*(1+Inputs!$B$13/100))-(Inputs!$B$12*(1+Inputs!$B$13/100)))+0.25*((Inputs!$B$14+1)-Inputs!$B$14))*(1+Inputs!$B$7/100))*(F170/100)</f>
        <v/>
      </c>
      <c r="K170">
        <f>J170*(1+((Inputs!$B$12*(1+Inputs!$B$13/100))*0.01+(Inputs!$B$14+1)*0.0025)/100)*(1+Inputs!$B$15/100)*(1+Inputs!$B$16/100)*(5000/(6000+Inputs!$B$42*(1-(100*(1-(1-(Inputs!$B$19+0)/100)*(1-CHOOSE(ArtifactsInput!$N$40+1,5,6,7,8,9,10)/100)^(ArtifactsInput!$M$40-ArtifactsInput!$M$40)))/100)))*(1+(Inputs!$B$24+((C189=TRUE)*(F189-Calc!F26))+B200)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178=TRUE,F178,0)/100)*(1+(IF(Skills!A7="EIGHT_LEGS_EASTON",Inputs!$B$17+((C186=TRUE)*(F186-Calc!F23))+((C190=TRUE)*(F190-Calc!F27))+((IF(AND(Inputs!$B$38&lt;&gt;"pvp",Inputs!$B$43=0),1,IF(IF(Inputs!$B$38="pvp",15,Inputs!$B$43)-(B201)&lt;=0,1,MAX(0,IF(Inputs!$B$38="pvp",15,Inputs!$B$43)-MAX(5,B201))/(IF(Inputs!$B$38="pvp",15,Inputs!$B$43)-(B201))))*(IF(AND(ArtifactsInput!$M$42,((Inputs!$B$9+((C182=TRUE)*(F182-Calc!F19))+B194+(ArtifactsInput!$M$24-ArtifactsInput!$M$24)*CHOOSE(ArtifactsInput!$N$24+1,10,12,14,16,18,20)+IF(ArtifactsInput!$M$10,CHOOSE(ArtifactsInput!$N$10+1,15,18,21,24,27,30)*(IF(Inputs!$B$38="pvp",MIN(15,15)/15,IF(AND(Inputs!$B$38&lt;&gt;"pvp",Inputs!$B$43&gt;0),MIN(15,Inputs!$B$43)/(Inputs!$B$43),0))),0)))&gt;=100),MIN(100,((Inputs!$B$9+((C182=TRUE)*(F182-Calc!F19))+B194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201)&lt;=0,1,MAX(0,IF(Inputs!$B$38="pvp",15,Inputs!$B$43)-MAX(5,B201))/(IF(Inputs!$B$38="pvp",15,Inputs!$B$43)-(B201))))*IF(AND(ArtifactsInput!$M$42,((Inputs!$B$9+((C182=TRUE)*(F182-Calc!F19))+B194+(ArtifactsInput!$M$24-ArtifactsInput!$M$24)*CHOOSE(ArtifactsInput!$N$24+1,10,12,14,16,18,20)+IF(ArtifactsInput!$M$10,CHOOSE(ArtifactsInput!$N$10+1,15,18,21,24,27,30)*(IF(Inputs!$B$38="pvp",MIN(15,15)/15,IF(AND(Inputs!$B$38&lt;&gt;"pvp",Inputs!$B$43&gt;0),MIN(15,Inputs!$B$43)/(Inputs!$B$43),0))),0)))&gt;=100),CHOOSE(ArtifactsInput!$N$42+1,40,48,56,64,72,80),0))))/100)*((1+(((C180=TRUE)*F180*5/7)+((C187=TRUE)*(F187-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170)</f>
        <v/>
      </c>
      <c r="L170">
        <f>K170*(MIN(Inputs!$B$22+((C185=TRUE)*(F185-Calc!F22)),(Inputs!$B$23+0+(IF(ArtifactsInput!$M$15,CHOOSE(ArtifactsInput!$N$15+1,25,30,35,40,45,50)/100*(Inputs!$B$11-Inputs!$B$11),0))))/100+(Inputs!$B$23+0+(IF(ArtifactsInput!$M$15,CHOOSE(ArtifactsInput!$N$15+1,25,30,35,40,45,50)/100*(Inputs!$B$11-Inputs!$B$11),0)))/100)/2</f>
        <v/>
      </c>
      <c r="M170">
        <f>L170*(1+(Inputs!$B$10+((C188=TRUE)*(F188-Calc!F25))+B199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0">
        <f>L170*(1-MIN((Inputs!$B$9+((C182=TRUE)*(F182-Calc!F19))+B194+(ArtifactsInput!$M$24-ArtifactsInput!$M$24)*CHOOSE(ArtifactsInput!$N$24+1,10,12,14,16,18,20)+(IF(AND(Inputs!$B$38&lt;&gt;"pvp",Inputs!$B$43=0),1,IF(IF(Inputs!$B$38="pvp",15,Inputs!$B$43)-(B201)&lt;=0,1,MAX(0,IF(Inputs!$B$38="pvp",15,Inputs!$B$43)-MAX(5,B201))/(IF(Inputs!$B$38="pvp",15,Inputs!$B$43)-(B201))))*IF(AND(ArtifactsInput!$M$42,((Inputs!$B$9+((C182=TRUE)*(F182-Calc!F19))+B194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170*(MIN((Inputs!$B$9+((C182=TRUE)*(F182-Calc!F19))+B194+(ArtifactsInput!$M$24-ArtifactsInput!$M$24)*CHOOSE(ArtifactsInput!$N$24+1,10,12,14,16,18,20)+(IF(AND(Inputs!$B$38&lt;&gt;"pvp",Inputs!$B$43=0),1,IF(IF(Inputs!$B$38="pvp",15,Inputs!$B$43)-(B201)&lt;=0,1,MAX(0,IF(Inputs!$B$38="pvp",15,Inputs!$B$43)-MAX(5,B201))/(IF(Inputs!$B$38="pvp",15,Inputs!$B$43)-(B201))))*IF(AND(ArtifactsInput!$M$42,((Inputs!$B$9+((C182=TRUE)*(F182-Calc!F19))+B194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0">
        <f>(1-Summary!$B$11)*T170+Summary!$B$11*V170</f>
        <v/>
      </c>
      <c r="P170">
        <f>IF(B204=0,0,O170/B204)</f>
        <v/>
      </c>
      <c r="Q170">
        <f>IFERROR(1/(IF(Inputs!$B$38="pvp",15,MAX(0.1,Skills!D7-IF(TRUE=TRUE,Inputs!$B$32,0)))*(1-IF(AND(ArtifactsInput!$M$27,Inputs!$B$4="Chapter Hunt"),CHOOSE(ArtifactsInput!$N$27+1,20,24,28,32,36,40),0)/100)),0)</f>
        <v/>
      </c>
      <c r="R170">
        <f>IF(AND(Inputs!$B$38&lt;&gt;"pvp",Inputs!$B$43&gt;0),IF(MAX(0,Inputs!$B$43-B201)&lt;=0,0,(INT(MAX(0,Inputs!$B$43-B201)/(IF(Inputs!$B$38="pvp",15,MAX(0.1,Skills!D7-IF(TRUE=TRUE,Inputs!$B$32,0)))*(1-IF(AND(ArtifactsInput!$M$27,Inputs!$B$4="Chapter Hunt"),CHOOSE(ArtifactsInput!$N$27+1,20,24,28,32,36,40),0)/100)))+1)),0)</f>
        <v/>
      </c>
      <c r="S170">
        <f>IFERROR(O170/N170,0)</f>
        <v/>
      </c>
      <c r="T170">
        <f>IF(C170,(H170*N170*IF(AND(Inputs!$B$38&lt;&gt;"pvp",Inputs!$B$43&gt;0),((Skills!G7*((R170-1)*IF(Skills!H7&gt;0,INT(Skills!I7/Skills!H7+0.000000001),1)+IF(Skills!H7&gt;0,INT(MIN(Skills!I7,MAX(0,MAX(0,Inputs!$B$43-B201)-((R170-1)*(IF(Inputs!$B$38="pvp",15,MAX(0.1,Skills!D7-IF(TRUE=TRUE,Inputs!$B$32,0)))*(1-IF(AND(ArtifactsInput!$M$27,Inputs!$B$4="Chapter Hunt"),CHOOSE(ArtifactsInput!$N$27+1,20,24,28,32,36,40),0)/100)))))/Skills!H7+0.000000001),1)))/Inputs!$B$43),G170*Q170))*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Hunt"),CHOOSE(ArtifactsInput!$N$35+1,15,18,21,24,27,30)*(1-EXP(-(0.2*B196)*5)),0)+IF(AND(ArtifactsInput!$M$22,Inputs!$B$4&lt;&gt;"Chapter Hunt"),CHOOSE(ArtifactsInput!$N$22+1,10,12,14,16,18,20)*((0*(((0.15*B196*5))^0/1)+1*(((0.15*B196*5))^1/1)+2*(((0.15*B196*5))^2/2)+3*(((0.15*B196*5))^3/6)+4*(((0.15*B196*5))^4/24)+5*(((0.15*B196*5))^5/120))/((((0.15*B196*5))^0/1)+(((0.15*B196*5))^1/1)+(((0.15*B196*5))^2/2)+(((0.15*B196*5))^3/6)+(((0.15*B196*5))^4/24)+(((0.15*B196*5))^5/120))),0))+IF(Inputs!$B$3&gt;=54,9*(C166=TRUE)*MIN(1,8*(1+Inputs!$B$34/100)*Q166)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170*(1-MIN(100,(Inputs!$B$9+((C182=TRUE)*(F182-Calc!F19))+B194+(ArtifactsInput!$M$24-ArtifactsInput!$M$24)*CHOOSE(ArtifactsInput!$N$24+1,10,12,14,16,18,20)+(IF(AND(Inputs!$B$38&lt;&gt;"pvp",Inputs!$B$43=0),1,IF(IF(Inputs!$B$38="pvp",15,Inputs!$B$43)-(B201)&lt;=0,1,MAX(0,IF(Inputs!$B$38="pvp",15,Inputs!$B$43)-MAX(5,B201))/(IF(Inputs!$B$38="pvp",15,Inputs!$B$43)-(B201))))*IF(AND(ArtifactsInput!$M$42,((Inputs!$B$9+((C182=TRUE)*(F182-Calc!F19))+B194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170*(MIN(100,(Inputs!$B$9+((C182=TRUE)*(F182-Calc!F19))+B194+(ArtifactsInput!$M$24-ArtifactsInput!$M$24)*CHOOSE(ArtifactsInput!$N$24+1,10,12,14,16,18,20)+(IF(AND(Inputs!$B$38&lt;&gt;"pvp",Inputs!$B$43=0),1,IF(IF(Inputs!$B$38="pvp",15,Inputs!$B$43)-(B201)&lt;=0,1,MAX(0,IF(Inputs!$B$38="pvp",15,Inputs!$B$43)-MAX(5,B201))/(IF(Inputs!$B$38="pvp",15,Inputs!$B$43)-(B201))))*IF(AND(ArtifactsInput!$M$42,((Inputs!$B$9+((C182=TRUE)*(F182-Calc!F19))+B194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170*(1-MIN(100,(Inputs!$B$9+((C182=TRUE)*(F182-Calc!F19))+B194+(ArtifactsInput!$M$24-ArtifactsInput!$M$24)*CHOOSE(ArtifactsInput!$N$24+1,10,12,14,16,18,20)+(IF(AND(Inputs!$B$38&lt;&gt;"pvp",Inputs!$B$43=0),1,IF(IF(Inputs!$B$38="pvp",15,Inputs!$B$43)-(B201)&lt;=0,1,MAX(0,IF(Inputs!$B$38="pvp",15,Inputs!$B$43)-MAX(5,B201))/(IF(Inputs!$B$38="pvp",15,Inputs!$B$43)-(B201))))*IF(AND(ArtifactsInput!$M$42,((Inputs!$B$9+((C182=TRUE)*(F182-Calc!F19))+B194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170*(MIN(100,(Inputs!$B$9+((C182=TRUE)*(F182-Calc!F19))+B194+(ArtifactsInput!$M$24-ArtifactsInput!$M$24)*CHOOSE(ArtifactsInput!$N$24+1,10,12,14,16,18,20)+(IF(AND(Inputs!$B$38&lt;&gt;"pvp",Inputs!$B$43=0),1,IF(IF(Inputs!$B$38="pvp",15,Inputs!$B$43)-(B201)&lt;=0,1,MAX(0,IF(Inputs!$B$38="pvp",15,Inputs!$B$43)-MAX(5,B201))/(IF(Inputs!$B$38="pvp",15,Inputs!$B$43)-(B201))))*IF(AND(ArtifactsInput!$M$42,((Inputs!$B$9+((C182=TRUE)*(F182-Calc!F19))+B194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70">
        <f>IF(C170,(H170*N170*IF(AND(Inputs!$B$38&lt;&gt;"pvp",Inputs!$B$43&gt;0),((Skills!G7*((R170-1)*IF(Skills!H7&gt;0,INT(Skills!I7/Skills!H7+0.000000001),1)+IF(Skills!H7&gt;0,INT(MIN(Skills!I7,MAX(0,MAX(0,Inputs!$B$43-B201)-((R170-1)*(IF(Inputs!$B$38="pvp",15,MAX(0.1,Skills!D7-IF(TRUE=TRUE,Inputs!$B$32,0)))*(1-IF(AND(ArtifactsInput!$M$27,Inputs!$B$4="Chapter Hunt"),CHOOSE(ArtifactsInput!$N$27+1,20,24,28,32,36,40),0)/100)))))/Skills!H7+0.000000001),1)))/Inputs!$B$43),G170*Q170))*IF(Inputs!$B$38="pvp",1,(1+(Inputs!$B$21+Skills!Q7+(IF(ArtifactsInput!$M$33,CHOOSE(ArtifactsInput!$N$33+1,30,36,42,48,54,60),0))+(IF(AND(ArtifactsInput!$M$35,Inputs!$B$4&lt;&gt;"Chapter Hunt"),CHOOSE(ArtifactsInput!$N$35+1,15,18,21,24,27,30)*(1-EXP(-(0.2*B196)*5)),0)+IF(AND(ArtifactsInput!$M$22,Inputs!$B$4&lt;&gt;"Chapter Hunt"),CHOOSE(ArtifactsInput!$N$22+1,10,12,14,16,18,20)*((0*(((0.15*B196*5))^0/1)+1*(((0.15*B196*5))^1/1)+2*(((0.15*B196*5))^2/2)+3*(((0.15*B196*5))^3/6)+4*(((0.15*B196*5))^4/24)+5*(((0.15*B196*5))^5/120))/((((0.15*B196*5))^0/1)+(((0.15*B196*5))^1/1)+(((0.15*B196*5))^2/2)+(((0.15*B196*5))^3/6)+(((0.15*B196*5))^4/24)+(((0.15*B196*5))^5/120))),0))+IF(Inputs!$B$3&gt;=54,9*(C166=TRUE)*MIN(1,8*(1+Inputs!$B$34/100)*Q166),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1">
      <c r="A171">
        <f>Skills!A8</f>
        <v/>
      </c>
      <c r="B171">
        <f>Skills!B8</f>
        <v/>
      </c>
      <c r="C171">
        <f>Inputs!$B$3&gt;=103</f>
        <v/>
      </c>
      <c r="D171">
        <f>IF(Skills!C8=1,60+Inputs!$B$25+Inputs!$B$29,IF(Skills!C8=2,90+Inputs!$B$26+Inputs!$B$29,IF(Skills!C8=3,120+Inputs!$B$27+Inputs!$B$29,MAX(0,(Inputs!$B$3-100)*3)+Inputs!$B$28+Inputs!$B$29)))</f>
        <v/>
      </c>
      <c r="E171">
        <f>INDEX(FactorTable!$B$2:$Y$301, MATCH(ROUND(MIN(300,MAX(1,D171)),0), FactorTable!$A$2:$A$301,0), Skills!M8+1)</f>
        <v/>
      </c>
      <c r="F171">
        <f>IF(Skills!N8=TRUE,(Skills!L8/10)*(E171/1000),Skills!L8/10)+Skills!O8</f>
        <v/>
      </c>
      <c r="G171">
        <f>Skills!G8*IF(Skills!H8&gt;0,INT(IF(Inputs!$B$38="pvp",MIN(Skills!I8,15),Skills!I8)/Skills!H8+0.000000001),1)</f>
        <v/>
      </c>
      <c r="H171">
        <f>1-(1-Skills!J8/100)^Skills!K8</f>
        <v/>
      </c>
      <c r="I171" t="inlineStr">
        <is>
          <t>1</t>
        </is>
      </c>
      <c r="J171">
        <f>((Inputs!$B$6*(1+Inputs!$B$7/100))+(((Inputs!$B$12*(1+Inputs!$B$13/100))-(Inputs!$B$12*(1+Inputs!$B$13/100)))+0.25*((Inputs!$B$14+1)-Inputs!$B$14))*(1+Inputs!$B$7/100))*(F171/100)</f>
        <v/>
      </c>
      <c r="K171">
        <f>J171*(1+((Inputs!$B$12*(1+Inputs!$B$13/100))*0.01+(Inputs!$B$14+1)*0.0025)/100)*(1+Inputs!$B$15/100)*(1+Inputs!$B$16/100)*(5000/(6000+Inputs!$B$42*(1-(100*(1-(1-(Inputs!$B$19+0)/100)*(1-CHOOSE(ArtifactsInput!$N$40+1,5,6,7,8,9,10)/100)^(ArtifactsInput!$M$40-ArtifactsInput!$M$40)))/100)))*(1+(Inputs!$B$24+((C189=TRUE)*(F189-Calc!F26))+B200)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IGHT_LEGS_EASTON",Inputs!$B$17+((C186=TRUE)*(F186-Calc!F23))+((C190=TRUE)*(F190-Calc!F27))+((IF(AND(Inputs!$B$38&lt;&gt;"pvp",Inputs!$B$43=0),1,IF(IF(Inputs!$B$38="pvp",15,Inputs!$B$43)-(B201)&lt;=0,1,MAX(0,IF(Inputs!$B$38="pvp",15,Inputs!$B$43)-MAX(5,B201))/(IF(Inputs!$B$38="pvp",15,Inputs!$B$43)-(B201))))*(IF(AND(ArtifactsInput!$M$42,((Inputs!$B$9+((C182=TRUE)*(F182-Calc!F19))+B194+(ArtifactsInput!$M$24-ArtifactsInput!$M$24)*CHOOSE(ArtifactsInput!$N$24+1,10,12,14,16,18,20)+IF(ArtifactsInput!$M$10,CHOOSE(ArtifactsInput!$N$10+1,15,18,21,24,27,30)*(IF(Inputs!$B$38="pvp",MIN(15,15)/15,IF(AND(Inputs!$B$38&lt;&gt;"pvp",Inputs!$B$43&gt;0),MIN(15,Inputs!$B$43)/(Inputs!$B$43),0))),0)))&gt;=100),MIN(100,((Inputs!$B$9+((C182=TRUE)*(F182-Calc!F19))+B194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201)&lt;=0,1,MAX(0,IF(Inputs!$B$38="pvp",15,Inputs!$B$43)-MAX(5,B201))/(IF(Inputs!$B$38="pvp",15,Inputs!$B$43)-(B201))))*IF(AND(ArtifactsInput!$M$42,((Inputs!$B$9+((C182=TRUE)*(F182-Calc!F19))+B194+(ArtifactsInput!$M$24-ArtifactsInput!$M$24)*CHOOSE(ArtifactsInput!$N$24+1,10,12,14,16,18,20)+IF(ArtifactsInput!$M$10,CHOOSE(ArtifactsInput!$N$10+1,15,18,21,24,27,30)*(IF(Inputs!$B$38="pvp",MIN(15,15)/15,IF(AND(Inputs!$B$38&lt;&gt;"pvp",Inputs!$B$43&gt;0),MIN(15,Inputs!$B$43)/(Inputs!$B$43),0))),0)))&gt;=100),CHOOSE(ArtifactsInput!$N$42+1,40,48,56,64,72,80),0))))/100)*((1+(((C180=TRUE)*F180*5/7)+((C187=TRUE)*(F187-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171)</f>
        <v/>
      </c>
      <c r="L171">
        <f>K171*(MIN(Inputs!$B$22+((C185=TRUE)*(F185-Calc!F22)),(Inputs!$B$23+0+(IF(ArtifactsInput!$M$15,CHOOSE(ArtifactsInput!$N$15+1,25,30,35,40,45,50)/100*(Inputs!$B$11-Inputs!$B$11),0))))/100+(Inputs!$B$23+0+(IF(ArtifactsInput!$M$15,CHOOSE(ArtifactsInput!$N$15+1,25,30,35,40,45,50)/100*(Inputs!$B$11-Inputs!$B$11),0)))/100)/2</f>
        <v/>
      </c>
      <c r="M171">
        <f>L171*(1+(Inputs!$B$10+((C188=TRUE)*(F188-Calc!F25))+B199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1">
        <f>L171*(1-MIN((Inputs!$B$9+((C182=TRUE)*(F182-Calc!F19))+B194+(ArtifactsInput!$M$24-ArtifactsInput!$M$24)*CHOOSE(ArtifactsInput!$N$24+1,10,12,14,16,18,20)+(IF(AND(Inputs!$B$38&lt;&gt;"pvp",Inputs!$B$43=0),1,IF(IF(Inputs!$B$38="pvp",15,Inputs!$B$43)-(B201)&lt;=0,1,MAX(0,IF(Inputs!$B$38="pvp",15,Inputs!$B$43)-MAX(5,B201))/(IF(Inputs!$B$38="pvp",15,Inputs!$B$43)-(B201))))*IF(AND(ArtifactsInput!$M$42,((Inputs!$B$9+((C182=TRUE)*(F182-Calc!F19))+B194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171*(MIN((Inputs!$B$9+((C182=TRUE)*(F182-Calc!F19))+B194+(ArtifactsInput!$M$24-ArtifactsInput!$M$24)*CHOOSE(ArtifactsInput!$N$24+1,10,12,14,16,18,20)+(IF(AND(Inputs!$B$38&lt;&gt;"pvp",Inputs!$B$43=0),1,IF(IF(Inputs!$B$38="pvp",15,Inputs!$B$43)-(B201)&lt;=0,1,MAX(0,IF(Inputs!$B$38="pvp",15,Inputs!$B$43)-MAX(5,B201))/(IF(Inputs!$B$38="pvp",15,Inputs!$B$43)-(B201))))*IF(AND(ArtifactsInput!$M$42,((Inputs!$B$9+((C182=TRUE)*(F182-Calc!F19))+B194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1">
        <f>(1-Summary!$B$11)*T171+Summary!$B$11*V171</f>
        <v/>
      </c>
      <c r="P171">
        <f>IF(B204=0,0,O171/B204)</f>
        <v/>
      </c>
      <c r="Q171">
        <f>IFERROR(1/((IF(Inputs!$B$38="pvp",15,MAX(0.1,Skills!D8-IF(TRUE=TRUE,Inputs!$B$32,0)))*(1-IF(AND(ArtifactsInput!$M$27,Inputs!$B$4="Chapter Hunt"),CHOOSE(ArtifactsInput!$N$27+1,20,24,28,32,36,40),0)/100))/B205),0)</f>
        <v/>
      </c>
      <c r="R171">
        <f>IF(AND(Inputs!$B$38&lt;&gt;"pvp",Inputs!$B$43&gt;0),IF(MAX(0,Inputs!$B$43-B201)&lt;=0,0,(INT(MAX(0,Inputs!$B$43-B201)/((IF(Inputs!$B$38="pvp",15,MAX(0.1,Skills!D8-IF(TRUE=TRUE,Inputs!$B$32,0)))*(1-IF(AND(ArtifactsInput!$M$27,Inputs!$B$4="Chapter Hunt"),CHOOSE(ArtifactsInput!$N$27+1,20,24,28,32,36,40),0)/100))/B205))+1)),0)</f>
        <v/>
      </c>
      <c r="S171">
        <f>IFERROR(O171/N171,0)</f>
        <v/>
      </c>
      <c r="T171">
        <f>IF(C171,(H171*N171*IF(AND(Inputs!$B$38&lt;&gt;"pvp",Inputs!$B$43&gt;0),((Skills!G8*((R171-1)*IF(Skills!H8&gt;0,INT(Skills!I8/Skills!H8+0.000000001),1)+IF(Skills!H8&gt;0,INT(MIN(Skills!I8,MAX(0,MAX(0,Inputs!$B$43-B201)-((R171-1)*((IF(Inputs!$B$38="pvp",15,MAX(0.1,Skills!D8-IF(TRUE=TRUE,Inputs!$B$32,0)))*(1-IF(AND(ArtifactsInput!$M$27,Inputs!$B$4="Chapter Hunt"),CHOOSE(ArtifactsInput!$N$27+1,20,24,28,32,36,40),0)/100))/B205))))/Skills!H8+0.000000001),1)))/Inputs!$B$43),G171*Q171))*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Hunt"),CHOOSE(ArtifactsInput!$N$35+1,15,18,21,24,27,30)*(1-EXP(-(0.2*B196)*5)),0)+IF(AND(ArtifactsInput!$M$22,Inputs!$B$4&lt;&gt;"Chapter Hunt"),CHOOSE(ArtifactsInput!$N$22+1,10,12,14,16,18,20)*((0*(((0.15*B196*5))^0/1)+1*(((0.15*B196*5))^1/1)+2*(((0.15*B196*5))^2/2)+3*(((0.15*B196*5))^3/6)+4*(((0.15*B196*5))^4/24)+5*(((0.15*B196*5))^5/120))/((((0.15*B196*5))^0/1)+(((0.15*B196*5))^1/1)+(((0.15*B196*5))^2/2)+(((0.15*B196*5))^3/6)+(((0.15*B196*5))^4/24)+(((0.15*B196*5))^5/120))),0))+IF(Inputs!$B$3&gt;=54,9*(C166=TRUE)*MIN(1,8*(1+Inputs!$B$34/100)*Q166)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171*(1-MIN(100,(Inputs!$B$9+((C182=TRUE)*(F182-Calc!F19))+B194+(ArtifactsInput!$M$24-ArtifactsInput!$M$24)*CHOOSE(ArtifactsInput!$N$24+1,10,12,14,16,18,20)+(IF(AND(Inputs!$B$38&lt;&gt;"pvp",Inputs!$B$43=0),1,IF(IF(Inputs!$B$38="pvp",15,Inputs!$B$43)-(B201)&lt;=0,1,MAX(0,IF(Inputs!$B$38="pvp",15,Inputs!$B$43)-MAX(5,B201))/(IF(Inputs!$B$38="pvp",15,Inputs!$B$43)-(B201))))*IF(AND(ArtifactsInput!$M$42,((Inputs!$B$9+((C182=TRUE)*(F182-Calc!F19))+B194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171*(MIN(100,(Inputs!$B$9+((C182=TRUE)*(F182-Calc!F19))+B194+(ArtifactsInput!$M$24-ArtifactsInput!$M$24)*CHOOSE(ArtifactsInput!$N$24+1,10,12,14,16,18,20)+(IF(AND(Inputs!$B$38&lt;&gt;"pvp",Inputs!$B$43=0),1,IF(IF(Inputs!$B$38="pvp",15,Inputs!$B$43)-(B201)&lt;=0,1,MAX(0,IF(Inputs!$B$38="pvp",15,Inputs!$B$43)-MAX(5,B201))/(IF(Inputs!$B$38="pvp",15,Inputs!$B$43)-(B201))))*IF(AND(ArtifactsInput!$M$42,((Inputs!$B$9+((C182=TRUE)*(F182-Calc!F19))+B194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171*(1-MIN(100,(Inputs!$B$9+((C182=TRUE)*(F182-Calc!F19))+B194+(ArtifactsInput!$M$24-ArtifactsInput!$M$24)*CHOOSE(ArtifactsInput!$N$24+1,10,12,14,16,18,20)+(IF(AND(Inputs!$B$38&lt;&gt;"pvp",Inputs!$B$43=0),1,IF(IF(Inputs!$B$38="pvp",15,Inputs!$B$43)-(B201)&lt;=0,1,MAX(0,IF(Inputs!$B$38="pvp",15,Inputs!$B$43)-MAX(5,B201))/(IF(Inputs!$B$38="pvp",15,Inputs!$B$43)-(B201))))*IF(AND(ArtifactsInput!$M$42,((Inputs!$B$9+((C182=TRUE)*(F182-Calc!F19))+B194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171*(MIN(100,(Inputs!$B$9+((C182=TRUE)*(F182-Calc!F19))+B194+(ArtifactsInput!$M$24-ArtifactsInput!$M$24)*CHOOSE(ArtifactsInput!$N$24+1,10,12,14,16,18,20)+(IF(AND(Inputs!$B$38&lt;&gt;"pvp",Inputs!$B$43=0),1,IF(IF(Inputs!$B$38="pvp",15,Inputs!$B$43)-(B201)&lt;=0,1,MAX(0,IF(Inputs!$B$38="pvp",15,Inputs!$B$43)-MAX(5,B201))/(IF(Inputs!$B$38="pvp",15,Inputs!$B$43)-(B201))))*IF(AND(ArtifactsInput!$M$42,((Inputs!$B$9+((C182=TRUE)*(F182-Calc!F19))+B194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71">
        <f>IF(C171,(H171*N171*IF(AND(Inputs!$B$38&lt;&gt;"pvp",Inputs!$B$43&gt;0),((Skills!G8*((R171-1)*IF(Skills!H8&gt;0,INT(Skills!I8/Skills!H8+0.000000001),1)+IF(Skills!H8&gt;0,INT(MIN(Skills!I8,MAX(0,MAX(0,Inputs!$B$43-B201)-((R171-1)*((IF(Inputs!$B$38="pvp",15,MAX(0.1,Skills!D8-IF(TRUE=TRUE,Inputs!$B$32,0)))*(1-IF(AND(ArtifactsInput!$M$27,Inputs!$B$4="Chapter Hunt"),CHOOSE(ArtifactsInput!$N$27+1,20,24,28,32,36,40),0)/100))/B205))))/Skills!H8+0.000000001),1)))/Inputs!$B$43),G171*Q171))*IF(Inputs!$B$38="pvp",1,(1+(Inputs!$B$21+Skills!Q8+(IF(ArtifactsInput!$M$33,CHOOSE(ArtifactsInput!$N$33+1,30,36,42,48,54,60),0))+(IF(AND(ArtifactsInput!$M$35,Inputs!$B$4&lt;&gt;"Chapter Hunt"),CHOOSE(ArtifactsInput!$N$35+1,15,18,21,24,27,30)*(1-EXP(-(0.2*B196)*5)),0)+IF(AND(ArtifactsInput!$M$22,Inputs!$B$4&lt;&gt;"Chapter Hunt"),CHOOSE(ArtifactsInput!$N$22+1,10,12,14,16,18,20)*((0*(((0.15*B196*5))^0/1)+1*(((0.15*B196*5))^1/1)+2*(((0.15*B196*5))^2/2)+3*(((0.15*B196*5))^3/6)+4*(((0.15*B196*5))^4/24)+5*(((0.15*B196*5))^5/120))/((((0.15*B196*5))^0/1)+(((0.15*B196*5))^1/1)+(((0.15*B196*5))^2/2)+(((0.15*B196*5))^3/6)+(((0.15*B196*5))^4/24)+(((0.15*B196*5))^5/120))),0))+IF(Inputs!$B$3&gt;=54,9*(C166=TRUE)*MIN(1,8*(1+Inputs!$B$34/100)*Q166),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2">
      <c r="A172">
        <f>Skills!A9</f>
        <v/>
      </c>
      <c r="B172">
        <f>Skills!B9</f>
        <v/>
      </c>
      <c r="C172">
        <f>Inputs!$B$3&gt;=105</f>
        <v/>
      </c>
      <c r="D172">
        <f>IF(Skills!C9=1,60+Inputs!$B$25+Inputs!$B$29,IF(Skills!C9=2,90+Inputs!$B$26+Inputs!$B$29,IF(Skills!C9=3,120+Inputs!$B$27+Inputs!$B$29,MAX(0,(Inputs!$B$3-100)*3)+Inputs!$B$28+Inputs!$B$29)))</f>
        <v/>
      </c>
      <c r="E172">
        <f>INDEX(FactorTable!$B$2:$Y$301, MATCH(ROUND(MIN(300,MAX(1,D172)),0), FactorTable!$A$2:$A$301,0), Skills!M9+1)</f>
        <v/>
      </c>
      <c r="F172">
        <f>IF(Skills!N9=TRUE,(Skills!L9/10)*(E172/1000),Skills!L9/10)+Skills!O9</f>
        <v/>
      </c>
      <c r="G172">
        <f>Skills!G9*IF(Skills!H9&gt;0,INT(IF(Inputs!$B$38="pvp",MIN(Skills!I9,15),Skills!I9)/Skills!H9+0.000000001),1)</f>
        <v/>
      </c>
      <c r="H172">
        <f>1-(1-Skills!J9/100)^Skills!K9</f>
        <v/>
      </c>
      <c r="I172" t="inlineStr">
        <is>
          <t>1</t>
        </is>
      </c>
      <c r="J172">
        <f>((Inputs!$B$6*(1+Inputs!$B$7/100))+(((Inputs!$B$12*(1+Inputs!$B$13/100))-(Inputs!$B$12*(1+Inputs!$B$13/100)))+0.25*((Inputs!$B$14+1)-Inputs!$B$14))*(1+Inputs!$B$7/100))*(F172/100)</f>
        <v/>
      </c>
      <c r="K172">
        <f>J172*(1+((Inputs!$B$12*(1+Inputs!$B$13/100))*0.01+(Inputs!$B$14+1)*0.0025)/100)*(1+Inputs!$B$15/100)*(1+Inputs!$B$16/100)*(5000/(6000+Inputs!$B$42*(1-(100*(1-(1-(Inputs!$B$19+0)/100)*(1-CHOOSE(ArtifactsInput!$N$40+1,5,6,7,8,9,10)/100)^(ArtifactsInput!$M$40-ArtifactsInput!$M$40)))/100)))*(1+(Inputs!$B$24+((C189=TRUE)*(F189-Calc!F26))+B200)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IGHT_LEGS_EASTON",Inputs!$B$17+((C186=TRUE)*(F186-Calc!F23))+((C190=TRUE)*(F190-Calc!F27))+((IF(AND(Inputs!$B$38&lt;&gt;"pvp",Inputs!$B$43=0),1,IF(IF(Inputs!$B$38="pvp",15,Inputs!$B$43)-(B201)&lt;=0,1,MAX(0,IF(Inputs!$B$38="pvp",15,Inputs!$B$43)-MAX(5,B201))/(IF(Inputs!$B$38="pvp",15,Inputs!$B$43)-(B201))))*(IF(AND(ArtifactsInput!$M$42,((Inputs!$B$9+((C182=TRUE)*(F182-Calc!F19))+B194+(ArtifactsInput!$M$24-ArtifactsInput!$M$24)*CHOOSE(ArtifactsInput!$N$24+1,10,12,14,16,18,20)+IF(ArtifactsInput!$M$10,CHOOSE(ArtifactsInput!$N$10+1,15,18,21,24,27,30)*(IF(Inputs!$B$38="pvp",MIN(15,15)/15,IF(AND(Inputs!$B$38&lt;&gt;"pvp",Inputs!$B$43&gt;0),MIN(15,Inputs!$B$43)/(Inputs!$B$43),0))),0)))&gt;=100),MIN(100,((Inputs!$B$9+((C182=TRUE)*(F182-Calc!F19))+B194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201)&lt;=0,1,MAX(0,IF(Inputs!$B$38="pvp",15,Inputs!$B$43)-MAX(5,B201))/(IF(Inputs!$B$38="pvp",15,Inputs!$B$43)-(B201))))*IF(AND(ArtifactsInput!$M$42,((Inputs!$B$9+((C182=TRUE)*(F182-Calc!F19))+B194+(ArtifactsInput!$M$24-ArtifactsInput!$M$24)*CHOOSE(ArtifactsInput!$N$24+1,10,12,14,16,18,20)+IF(ArtifactsInput!$M$10,CHOOSE(ArtifactsInput!$N$10+1,15,18,21,24,27,30)*(IF(Inputs!$B$38="pvp",MIN(15,15)/15,IF(AND(Inputs!$B$38&lt;&gt;"pvp",Inputs!$B$43&gt;0),MIN(15,Inputs!$B$43)/(Inputs!$B$43),0))),0)))&gt;=100),CHOOSE(ArtifactsInput!$N$42+1,40,48,56,64,72,80),0))))/100)*((1+(((C180=TRUE)*F180*5/7)+((C187=TRUE)*(F187-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172)</f>
        <v/>
      </c>
      <c r="L172">
        <f>K172*(MIN(Inputs!$B$22+((C185=TRUE)*(F185-Calc!F22)),(Inputs!$B$23+0+(IF(ArtifactsInput!$M$15,CHOOSE(ArtifactsInput!$N$15+1,25,30,35,40,45,50)/100*(Inputs!$B$11-Inputs!$B$11),0))))/100+(Inputs!$B$23+0+(IF(ArtifactsInput!$M$15,CHOOSE(ArtifactsInput!$N$15+1,25,30,35,40,45,50)/100*(Inputs!$B$11-Inputs!$B$11),0)))/100)/2</f>
        <v/>
      </c>
      <c r="M172">
        <f>L172*(1+(Inputs!$B$10+((C188=TRUE)*(F188-Calc!F25))+B199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2">
        <f>L172*(1-MIN((Inputs!$B$9+((C182=TRUE)*(F182-Calc!F19))+B194+(ArtifactsInput!$M$24-ArtifactsInput!$M$24)*CHOOSE(ArtifactsInput!$N$24+1,10,12,14,16,18,20)+(IF(AND(Inputs!$B$38&lt;&gt;"pvp",Inputs!$B$43=0),1,IF(IF(Inputs!$B$38="pvp",15,Inputs!$B$43)-(B201)&lt;=0,1,MAX(0,IF(Inputs!$B$38="pvp",15,Inputs!$B$43)-MAX(5,B201))/(IF(Inputs!$B$38="pvp",15,Inputs!$B$43)-(B201))))*IF(AND(ArtifactsInput!$M$42,((Inputs!$B$9+((C182=TRUE)*(F182-Calc!F19))+B194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172*(MIN((Inputs!$B$9+((C182=TRUE)*(F182-Calc!F19))+B194+(ArtifactsInput!$M$24-ArtifactsInput!$M$24)*CHOOSE(ArtifactsInput!$N$24+1,10,12,14,16,18,20)+(IF(AND(Inputs!$B$38&lt;&gt;"pvp",Inputs!$B$43=0),1,IF(IF(Inputs!$B$38="pvp",15,Inputs!$B$43)-(B201)&lt;=0,1,MAX(0,IF(Inputs!$B$38="pvp",15,Inputs!$B$43)-MAX(5,B201))/(IF(Inputs!$B$38="pvp",15,Inputs!$B$43)-(B201))))*IF(AND(ArtifactsInput!$M$42,((Inputs!$B$9+((C182=TRUE)*(F182-Calc!F19))+B194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2">
        <f>(1-Summary!$B$11)*T172+Summary!$B$11*V172</f>
        <v/>
      </c>
      <c r="P172">
        <f>IF(B204=0,0,O172/B204)</f>
        <v/>
      </c>
      <c r="Q172">
        <f>IFERROR(1/(IF(Inputs!$B$38="pvp",15,MAX(0.1,Skills!D9-IF(TRUE=TRUE,Inputs!$B$32,0)))*(1-IF(AND(ArtifactsInput!$M$27,Inputs!$B$4="Chapter Hunt"),CHOOSE(ArtifactsInput!$N$27+1,20,24,28,32,36,40),0)/100)),0)</f>
        <v/>
      </c>
      <c r="R172">
        <f>IF(AND(Inputs!$B$38&lt;&gt;"pvp",Inputs!$B$43&gt;0),IF(MAX(0,Inputs!$B$43-B201)&lt;=0,0,(INT(MAX(0,Inputs!$B$43-B201)/(IF(Inputs!$B$38="pvp",15,MAX(0.1,Skills!D9-IF(TRUE=TRUE,Inputs!$B$32,0)))*(1-IF(AND(ArtifactsInput!$M$27,Inputs!$B$4="Chapter Hunt"),CHOOSE(ArtifactsInput!$N$27+1,20,24,28,32,36,40),0)/100)))+1)),0)</f>
        <v/>
      </c>
      <c r="S172">
        <f>IFERROR(O172/N172,0)</f>
        <v/>
      </c>
      <c r="T172">
        <f>IF(C172,(H172*N172*IF(AND(Inputs!$B$38&lt;&gt;"pvp",Inputs!$B$43&gt;0),((Skills!G9*((R172-1)*IF(Skills!H9&gt;0,INT(Skills!I9/Skills!H9+0.000000001),1)+IF(Skills!H9&gt;0,INT(MIN(Skills!I9,MAX(0,MAX(0,Inputs!$B$43-B201)-((R172-1)*(IF(Inputs!$B$38="pvp",15,MAX(0.1,Skills!D9-IF(TRUE=TRUE,Inputs!$B$32,0)))*(1-IF(AND(ArtifactsInput!$M$27,Inputs!$B$4="Chapter Hunt"),CHOOSE(ArtifactsInput!$N$27+1,20,24,28,32,36,40),0)/100)))))/Skills!H9+0.000000001),1)))/Inputs!$B$43),G172*Q172))*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Hunt"),CHOOSE(ArtifactsInput!$N$35+1,15,18,21,24,27,30)*(1-EXP(-(0.2*B196)*5)),0)+IF(AND(ArtifactsInput!$M$22,Inputs!$B$4&lt;&gt;"Chapter Hunt"),CHOOSE(ArtifactsInput!$N$22+1,10,12,14,16,18,20)*((0*(((0.15*B196*5))^0/1)+1*(((0.15*B196*5))^1/1)+2*(((0.15*B196*5))^2/2)+3*(((0.15*B196*5))^3/6)+4*(((0.15*B196*5))^4/24)+5*(((0.15*B196*5))^5/120))/((((0.15*B196*5))^0/1)+(((0.15*B196*5))^1/1)+(((0.15*B196*5))^2/2)+(((0.15*B196*5))^3/6)+(((0.15*B196*5))^4/24)+(((0.15*B196*5))^5/120))),0))+IF(Inputs!$B$3&gt;=54,9*(C166=TRUE)*MIN(1,8*(1+Inputs!$B$34/100)*Q166)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172*(1-MIN(100,(Inputs!$B$9+((C182=TRUE)*(F182-Calc!F19))+B194+(ArtifactsInput!$M$24-ArtifactsInput!$M$24)*CHOOSE(ArtifactsInput!$N$24+1,10,12,14,16,18,20)+(IF(AND(Inputs!$B$38&lt;&gt;"pvp",Inputs!$B$43=0),1,IF(IF(Inputs!$B$38="pvp",15,Inputs!$B$43)-(B201)&lt;=0,1,MAX(0,IF(Inputs!$B$38="pvp",15,Inputs!$B$43)-MAX(5,B201))/(IF(Inputs!$B$38="pvp",15,Inputs!$B$43)-(B201))))*IF(AND(ArtifactsInput!$M$42,((Inputs!$B$9+((C182=TRUE)*(F182-Calc!F19))+B194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172*(MIN(100,(Inputs!$B$9+((C182=TRUE)*(F182-Calc!F19))+B194+(ArtifactsInput!$M$24-ArtifactsInput!$M$24)*CHOOSE(ArtifactsInput!$N$24+1,10,12,14,16,18,20)+(IF(AND(Inputs!$B$38&lt;&gt;"pvp",Inputs!$B$43=0),1,IF(IF(Inputs!$B$38="pvp",15,Inputs!$B$43)-(B201)&lt;=0,1,MAX(0,IF(Inputs!$B$38="pvp",15,Inputs!$B$43)-MAX(5,B201))/(IF(Inputs!$B$38="pvp",15,Inputs!$B$43)-(B201))))*IF(AND(ArtifactsInput!$M$42,((Inputs!$B$9+((C182=TRUE)*(F182-Calc!F19))+B194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172*(1-MIN(100,(Inputs!$B$9+((C182=TRUE)*(F182-Calc!F19))+B194+(ArtifactsInput!$M$24-ArtifactsInput!$M$24)*CHOOSE(ArtifactsInput!$N$24+1,10,12,14,16,18,20)+(IF(AND(Inputs!$B$38&lt;&gt;"pvp",Inputs!$B$43=0),1,IF(IF(Inputs!$B$38="pvp",15,Inputs!$B$43)-(B201)&lt;=0,1,MAX(0,IF(Inputs!$B$38="pvp",15,Inputs!$B$43)-MAX(5,B201))/(IF(Inputs!$B$38="pvp",15,Inputs!$B$43)-(B201))))*IF(AND(ArtifactsInput!$M$42,((Inputs!$B$9+((C182=TRUE)*(F182-Calc!F19))+B194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172*(MIN(100,(Inputs!$B$9+((C182=TRUE)*(F182-Calc!F19))+B194+(ArtifactsInput!$M$24-ArtifactsInput!$M$24)*CHOOSE(ArtifactsInput!$N$24+1,10,12,14,16,18,20)+(IF(AND(Inputs!$B$38&lt;&gt;"pvp",Inputs!$B$43=0),1,IF(IF(Inputs!$B$38="pvp",15,Inputs!$B$43)-(B201)&lt;=0,1,MAX(0,IF(Inputs!$B$38="pvp",15,Inputs!$B$43)-MAX(5,B201))/(IF(Inputs!$B$38="pvp",15,Inputs!$B$43)-(B201))))*IF(AND(ArtifactsInput!$M$42,((Inputs!$B$9+((C182=TRUE)*(F182-Calc!F19))+B194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72">
        <f>IF(C172,(H172*N172*IF(AND(Inputs!$B$38&lt;&gt;"pvp",Inputs!$B$43&gt;0),((Skills!G9*((R172-1)*IF(Skills!H9&gt;0,INT(Skills!I9/Skills!H9+0.000000001),1)+IF(Skills!H9&gt;0,INT(MIN(Skills!I9,MAX(0,MAX(0,Inputs!$B$43-B201)-((R172-1)*(IF(Inputs!$B$38="pvp",15,MAX(0.1,Skills!D9-IF(TRUE=TRUE,Inputs!$B$32,0)))*(1-IF(AND(ArtifactsInput!$M$27,Inputs!$B$4="Chapter Hunt"),CHOOSE(ArtifactsInput!$N$27+1,20,24,28,32,36,40),0)/100)))))/Skills!H9+0.000000001),1)))/Inputs!$B$43),G172*Q172))*IF(Inputs!$B$38="pvp",1,(1+(Inputs!$B$21+Skills!Q9+(IF(ArtifactsInput!$M$33,CHOOSE(ArtifactsInput!$N$33+1,30,36,42,48,54,60),0))+(IF(AND(ArtifactsInput!$M$35,Inputs!$B$4&lt;&gt;"Chapter Hunt"),CHOOSE(ArtifactsInput!$N$35+1,15,18,21,24,27,30)*(1-EXP(-(0.2*B196)*5)),0)+IF(AND(ArtifactsInput!$M$22,Inputs!$B$4&lt;&gt;"Chapter Hunt"),CHOOSE(ArtifactsInput!$N$22+1,10,12,14,16,18,20)*((0*(((0.15*B196*5))^0/1)+1*(((0.15*B196*5))^1/1)+2*(((0.15*B196*5))^2/2)+3*(((0.15*B196*5))^3/6)+4*(((0.15*B196*5))^4/24)+5*(((0.15*B196*5))^5/120))/((((0.15*B196*5))^0/1)+(((0.15*B196*5))^1/1)+(((0.15*B196*5))^2/2)+(((0.15*B196*5))^3/6)+(((0.15*B196*5))^4/24)+(((0.15*B196*5))^5/120))),0))+IF(Inputs!$B$3&gt;=54,9*(C166=TRUE)*MIN(1,8*(1+Inputs!$B$34/100)*Q166),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3">
      <c r="A173">
        <f>Skills!A10</f>
        <v/>
      </c>
      <c r="B173">
        <f>Skills!B10</f>
        <v/>
      </c>
      <c r="C173">
        <f>Inputs!$B$3&gt;=113</f>
        <v/>
      </c>
      <c r="D173">
        <f>IF(Skills!C10=1,60+Inputs!$B$25+Inputs!$B$29,IF(Skills!C10=2,90+Inputs!$B$26+Inputs!$B$29,IF(Skills!C10=3,120+Inputs!$B$27+Inputs!$B$29,MAX(0,(Inputs!$B$3-100)*3)+Inputs!$B$28+Inputs!$B$29)))</f>
        <v/>
      </c>
      <c r="E173">
        <f>INDEX(FactorTable!$B$2:$Y$301, MATCH(ROUND(MIN(300,MAX(1,D173)),0), FactorTable!$A$2:$A$301,0), Skills!M10+1)</f>
        <v/>
      </c>
      <c r="F173">
        <f>IF(Skills!N10=TRUE,(Skills!L10/10)*(E173/1000),Skills!L10/10)+Skills!O10</f>
        <v/>
      </c>
      <c r="G173">
        <f>Skills!G10*IF(Skills!H10&gt;0,INT(IF(Inputs!$B$38="pvp",MIN(Skills!I10,15),Skills!I10)/Skills!H10+0.000000001),1)</f>
        <v/>
      </c>
      <c r="H173">
        <f>1-(1-Skills!J10/100)^Skills!K10</f>
        <v/>
      </c>
      <c r="I173" t="inlineStr">
        <is>
          <t>1</t>
        </is>
      </c>
      <c r="J173">
        <f>((Inputs!$B$6*(1+Inputs!$B$7/100))+(((Inputs!$B$12*(1+Inputs!$B$13/100))-(Inputs!$B$12*(1+Inputs!$B$13/100)))+0.25*((Inputs!$B$14+1)-Inputs!$B$14))*(1+Inputs!$B$7/100))*(F173/100)</f>
        <v/>
      </c>
      <c r="K173">
        <f>J173*(1+((Inputs!$B$12*(1+Inputs!$B$13/100))*0.01+(Inputs!$B$14+1)*0.0025)/100)*(1+Inputs!$B$15/100)*(1+Inputs!$B$16/100)*(5000/(6000+Inputs!$B$42*(1-(100*(1-(1-(Inputs!$B$19+0)/100)*(1-CHOOSE(ArtifactsInput!$N$40+1,5,6,7,8,9,10)/100)^(ArtifactsInput!$M$40-ArtifactsInput!$M$40)))/100)))*(1+(Inputs!$B$24+((C189=TRUE)*(F189-Calc!F26))+B200)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IGHT_LEGS_EASTON",Inputs!$B$17+((C186=TRUE)*(F186-Calc!F23))+((C190=TRUE)*(F190-Calc!F27))+((IF(AND(Inputs!$B$38&lt;&gt;"pvp",Inputs!$B$43=0),1,IF(IF(Inputs!$B$38="pvp",15,Inputs!$B$43)-(B201)&lt;=0,1,MAX(0,IF(Inputs!$B$38="pvp",15,Inputs!$B$43)-MAX(5,B201))/(IF(Inputs!$B$38="pvp",15,Inputs!$B$43)-(B201))))*(IF(AND(ArtifactsInput!$M$42,((Inputs!$B$9+((C182=TRUE)*(F182-Calc!F19))+B194+(ArtifactsInput!$M$24-ArtifactsInput!$M$24)*CHOOSE(ArtifactsInput!$N$24+1,10,12,14,16,18,20)+IF(ArtifactsInput!$M$10,CHOOSE(ArtifactsInput!$N$10+1,15,18,21,24,27,30)*(IF(Inputs!$B$38="pvp",MIN(15,15)/15,IF(AND(Inputs!$B$38&lt;&gt;"pvp",Inputs!$B$43&gt;0),MIN(15,Inputs!$B$43)/(Inputs!$B$43),0))),0)))&gt;=100),MIN(100,((Inputs!$B$9+((C182=TRUE)*(F182-Calc!F19))+B194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201)&lt;=0,1,MAX(0,IF(Inputs!$B$38="pvp",15,Inputs!$B$43)-MAX(5,B201))/(IF(Inputs!$B$38="pvp",15,Inputs!$B$43)-(B201))))*IF(AND(ArtifactsInput!$M$42,((Inputs!$B$9+((C182=TRUE)*(F182-Calc!F19))+B194+(ArtifactsInput!$M$24-ArtifactsInput!$M$24)*CHOOSE(ArtifactsInput!$N$24+1,10,12,14,16,18,20)+IF(ArtifactsInput!$M$10,CHOOSE(ArtifactsInput!$N$10+1,15,18,21,24,27,30)*(IF(Inputs!$B$38="pvp",MIN(15,15)/15,IF(AND(Inputs!$B$38&lt;&gt;"pvp",Inputs!$B$43&gt;0),MIN(15,Inputs!$B$43)/(Inputs!$B$43),0))),0)))&gt;=100),CHOOSE(ArtifactsInput!$N$42+1,40,48,56,64,72,80),0))))/100)*((1+(((C180=TRUE)*F180*5/7)+((C187=TRUE)*(F187-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173)</f>
        <v/>
      </c>
      <c r="L173">
        <f>K173*(MIN(Inputs!$B$22+((C185=TRUE)*(F185-Calc!F22)),(Inputs!$B$23+0+(IF(ArtifactsInput!$M$15,CHOOSE(ArtifactsInput!$N$15+1,25,30,35,40,45,50)/100*(Inputs!$B$11-Inputs!$B$11),0))))/100+(Inputs!$B$23+0+(IF(ArtifactsInput!$M$15,CHOOSE(ArtifactsInput!$N$15+1,25,30,35,40,45,50)/100*(Inputs!$B$11-Inputs!$B$11),0)))/100)/2</f>
        <v/>
      </c>
      <c r="M173">
        <f>L173*(1+(Inputs!$B$10+((C188=TRUE)*(F188-Calc!F25))+B199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3">
        <f>L173*(1-MIN((Inputs!$B$9+((C182=TRUE)*(F182-Calc!F19))+B194+(ArtifactsInput!$M$24-ArtifactsInput!$M$24)*CHOOSE(ArtifactsInput!$N$24+1,10,12,14,16,18,20)+(IF(AND(Inputs!$B$38&lt;&gt;"pvp",Inputs!$B$43=0),1,IF(IF(Inputs!$B$38="pvp",15,Inputs!$B$43)-(B201)&lt;=0,1,MAX(0,IF(Inputs!$B$38="pvp",15,Inputs!$B$43)-MAX(5,B201))/(IF(Inputs!$B$38="pvp",15,Inputs!$B$43)-(B201))))*IF(AND(ArtifactsInput!$M$42,((Inputs!$B$9+((C182=TRUE)*(F182-Calc!F19))+B194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173*(MIN((Inputs!$B$9+((C182=TRUE)*(F182-Calc!F19))+B194+(ArtifactsInput!$M$24-ArtifactsInput!$M$24)*CHOOSE(ArtifactsInput!$N$24+1,10,12,14,16,18,20)+(IF(AND(Inputs!$B$38&lt;&gt;"pvp",Inputs!$B$43=0),1,IF(IF(Inputs!$B$38="pvp",15,Inputs!$B$43)-(B201)&lt;=0,1,MAX(0,IF(Inputs!$B$38="pvp",15,Inputs!$B$43)-MAX(5,B201))/(IF(Inputs!$B$38="pvp",15,Inputs!$B$43)-(B201))))*IF(AND(ArtifactsInput!$M$42,((Inputs!$B$9+((C182=TRUE)*(F182-Calc!F19))+B194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3">
        <f>(1-Summary!$B$11)*T173+Summary!$B$11*V173</f>
        <v/>
      </c>
      <c r="P173">
        <f>IF(B204=0,0,O173/B204)</f>
        <v/>
      </c>
      <c r="Q173" t="n">
        <v>0</v>
      </c>
      <c r="R173" t="n">
        <v>0</v>
      </c>
      <c r="S173">
        <f>IFERROR(O173/N173,0)</f>
        <v/>
      </c>
      <c r="T173">
        <f>IF(C173,((H173*B206)/(1+Skills!H10*H173*B206)*N173)*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Hunt"),CHOOSE(ArtifactsInput!$N$35+1,15,18,21,24,27,30)*(1-EXP(-(0.2*B196)*5)),0)+IF(AND(ArtifactsInput!$M$22,Inputs!$B$4&lt;&gt;"Chapter Hunt"),CHOOSE(ArtifactsInput!$N$22+1,10,12,14,16,18,20)*((0*(((0.15*B196*5))^0/1)+1*(((0.15*B196*5))^1/1)+2*(((0.15*B196*5))^2/2)+3*(((0.15*B196*5))^3/6)+4*(((0.15*B196*5))^4/24)+5*(((0.15*B196*5))^5/120))/((((0.15*B196*5))^0/1)+(((0.15*B196*5))^1/1)+(((0.15*B196*5))^2/2)+(((0.15*B196*5))^3/6)+(((0.15*B196*5))^4/24)+(((0.15*B196*5))^5/120))),0))+IF(Inputs!$B$3&gt;=54,9*(C166=TRUE)*MIN(1,8*(1+Inputs!$B$34/100)*Q166)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173*(1-MIN(100,(Inputs!$B$9+((C182=TRUE)*(F182-Calc!F19))+B194+(ArtifactsInput!$M$24-ArtifactsInput!$M$24)*CHOOSE(ArtifactsInput!$N$24+1,10,12,14,16,18,20)+(IF(AND(Inputs!$B$38&lt;&gt;"pvp",Inputs!$B$43=0),1,IF(IF(Inputs!$B$38="pvp",15,Inputs!$B$43)-(B201)&lt;=0,1,MAX(0,IF(Inputs!$B$38="pvp",15,Inputs!$B$43)-MAX(5,B201))/(IF(Inputs!$B$38="pvp",15,Inputs!$B$43)-(B201))))*IF(AND(ArtifactsInput!$M$42,((Inputs!$B$9+((C182=TRUE)*(F182-Calc!F19))+B194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173*(MIN(100,(Inputs!$B$9+((C182=TRUE)*(F182-Calc!F19))+B194+(ArtifactsInput!$M$24-ArtifactsInput!$M$24)*CHOOSE(ArtifactsInput!$N$24+1,10,12,14,16,18,20)+(IF(AND(Inputs!$B$38&lt;&gt;"pvp",Inputs!$B$43=0),1,IF(IF(Inputs!$B$38="pvp",15,Inputs!$B$43)-(B201)&lt;=0,1,MAX(0,IF(Inputs!$B$38="pvp",15,Inputs!$B$43)-MAX(5,B201))/(IF(Inputs!$B$38="pvp",15,Inputs!$B$43)-(B201))))*IF(AND(ArtifactsInput!$M$42,((Inputs!$B$9+((C182=TRUE)*(F182-Calc!F19))+B194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173*(1-MIN(100,(Inputs!$B$9+((C182=TRUE)*(F182-Calc!F19))+B194+(ArtifactsInput!$M$24-ArtifactsInput!$M$24)*CHOOSE(ArtifactsInput!$N$24+1,10,12,14,16,18,20)+(IF(AND(Inputs!$B$38&lt;&gt;"pvp",Inputs!$B$43=0),1,IF(IF(Inputs!$B$38="pvp",15,Inputs!$B$43)-(B201)&lt;=0,1,MAX(0,IF(Inputs!$B$38="pvp",15,Inputs!$B$43)-MAX(5,B201))/(IF(Inputs!$B$38="pvp",15,Inputs!$B$43)-(B201))))*IF(AND(ArtifactsInput!$M$42,((Inputs!$B$9+((C182=TRUE)*(F182-Calc!F19))+B194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173*(MIN(100,(Inputs!$B$9+((C182=TRUE)*(F182-Calc!F19))+B194+(ArtifactsInput!$M$24-ArtifactsInput!$M$24)*CHOOSE(ArtifactsInput!$N$24+1,10,12,14,16,18,20)+(IF(AND(Inputs!$B$38&lt;&gt;"pvp",Inputs!$B$43=0),1,IF(IF(Inputs!$B$38="pvp",15,Inputs!$B$43)-(B201)&lt;=0,1,MAX(0,IF(Inputs!$B$38="pvp",15,Inputs!$B$43)-MAX(5,B201))/(IF(Inputs!$B$38="pvp",15,Inputs!$B$43)-(B201))))*IF(AND(ArtifactsInput!$M$42,((Inputs!$B$9+((C182=TRUE)*(F182-Calc!F19))+B194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73">
        <f>IF(C173,((H173*B206)/(1+Skills!H10*H173*B206)*N173)*IF(Inputs!$B$38="pvp",1,(1+(Inputs!$B$21+Skills!Q10+(IF(ArtifactsInput!$M$33,CHOOSE(ArtifactsInput!$N$33+1,30,36,42,48,54,60),0))+(IF(AND(ArtifactsInput!$M$35,Inputs!$B$4&lt;&gt;"Chapter Hunt"),CHOOSE(ArtifactsInput!$N$35+1,15,18,21,24,27,30)*(1-EXP(-(0.2*B196)*5)),0)+IF(AND(ArtifactsInput!$M$22,Inputs!$B$4&lt;&gt;"Chapter Hunt"),CHOOSE(ArtifactsInput!$N$22+1,10,12,14,16,18,20)*((0*(((0.15*B196*5))^0/1)+1*(((0.15*B196*5))^1/1)+2*(((0.15*B196*5))^2/2)+3*(((0.15*B196*5))^3/6)+4*(((0.15*B196*5))^4/24)+5*(((0.15*B196*5))^5/120))/((((0.15*B196*5))^0/1)+(((0.15*B196*5))^1/1)+(((0.15*B196*5))^2/2)+(((0.15*B196*5))^3/6)+(((0.15*B196*5))^4/24)+(((0.15*B196*5))^5/120))),0))+IF(Inputs!$B$3&gt;=54,9*(C166=TRUE)*MIN(1,8*(1+Inputs!$B$34/100)*Q166),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4">
      <c r="A174">
        <f>Skills!A11</f>
        <v/>
      </c>
      <c r="B174">
        <f>Skills!B11</f>
        <v/>
      </c>
      <c r="C174">
        <f>Inputs!$B$3&gt;=117</f>
        <v/>
      </c>
      <c r="D174">
        <f>IF(Skills!C11=1,60+Inputs!$B$25+Inputs!$B$29,IF(Skills!C11=2,90+Inputs!$B$26+Inputs!$B$29,IF(Skills!C11=3,120+Inputs!$B$27+Inputs!$B$29,MAX(0,(Inputs!$B$3-100)*3)+Inputs!$B$28+Inputs!$B$29)))</f>
        <v/>
      </c>
      <c r="E174">
        <f>INDEX(FactorTable!$B$2:$Y$301, MATCH(ROUND(MIN(300,MAX(1,D174)),0), FactorTable!$A$2:$A$301,0), Skills!M11+1)</f>
        <v/>
      </c>
      <c r="F174">
        <f>IF(Skills!N11=TRUE,(Skills!L11/10)*(E174/1000),Skills!L11/10)+Skills!O11</f>
        <v/>
      </c>
      <c r="G174">
        <f>Skills!G11*IF(Skills!H11&gt;0,INT(IF(Inputs!$B$38="pvp",MIN(Skills!I11,15),Skills!I11)/Skills!H11+0.000000001),1)</f>
        <v/>
      </c>
      <c r="H174">
        <f>1-(1-Skills!J11/100)^Skills!K11</f>
        <v/>
      </c>
      <c r="I174" t="inlineStr">
        <is>
          <t>1</t>
        </is>
      </c>
      <c r="J174">
        <f>((Inputs!$B$6*(1+Inputs!$B$7/100))+(((Inputs!$B$12*(1+Inputs!$B$13/100))-(Inputs!$B$12*(1+Inputs!$B$13/100)))+0.25*((Inputs!$B$14+1)-Inputs!$B$14))*(1+Inputs!$B$7/100))*(F174/100)</f>
        <v/>
      </c>
      <c r="K174">
        <f>J174*(1+((Inputs!$B$12*(1+Inputs!$B$13/100))*0.01+(Inputs!$B$14+1)*0.0025)/100)*(1+Inputs!$B$15/100)*(1+Inputs!$B$16/100)*(5000/(6000+Inputs!$B$42*(1-(100*(1-(1-(Inputs!$B$19+0)/100)*(1-CHOOSE(ArtifactsInput!$N$40+1,5,6,7,8,9,10)/100)^(ArtifactsInput!$M$40-ArtifactsInput!$M$40)))/100)))*(1+(Inputs!$B$24+((C189=TRUE)*(F189-Calc!F26))+B200)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IGHT_LEGS_EASTON",Inputs!$B$17+((C186=TRUE)*(F186-Calc!F23))+((C190=TRUE)*(F190-Calc!F27))+((IF(AND(Inputs!$B$38&lt;&gt;"pvp",Inputs!$B$43=0),1,IF(IF(Inputs!$B$38="pvp",15,Inputs!$B$43)-(B201)&lt;=0,1,MAX(0,IF(Inputs!$B$38="pvp",15,Inputs!$B$43)-MAX(5,B201))/(IF(Inputs!$B$38="pvp",15,Inputs!$B$43)-(B201))))*(IF(AND(ArtifactsInput!$M$42,((Inputs!$B$9+((C182=TRUE)*(F182-Calc!F19))+B194+(ArtifactsInput!$M$24-ArtifactsInput!$M$24)*CHOOSE(ArtifactsInput!$N$24+1,10,12,14,16,18,20)+IF(ArtifactsInput!$M$10,CHOOSE(ArtifactsInput!$N$10+1,15,18,21,24,27,30)*(IF(Inputs!$B$38="pvp",MIN(15,15)/15,IF(AND(Inputs!$B$38&lt;&gt;"pvp",Inputs!$B$43&gt;0),MIN(15,Inputs!$B$43)/(Inputs!$B$43),0))),0)))&gt;=100),MIN(100,((Inputs!$B$9+((C182=TRUE)*(F182-Calc!F19))+B194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201)&lt;=0,1,MAX(0,IF(Inputs!$B$38="pvp",15,Inputs!$B$43)-MAX(5,B201))/(IF(Inputs!$B$38="pvp",15,Inputs!$B$43)-(B201))))*IF(AND(ArtifactsInput!$M$42,((Inputs!$B$9+((C182=TRUE)*(F182-Calc!F19))+B194+(ArtifactsInput!$M$24-ArtifactsInput!$M$24)*CHOOSE(ArtifactsInput!$N$24+1,10,12,14,16,18,20)+IF(ArtifactsInput!$M$10,CHOOSE(ArtifactsInput!$N$10+1,15,18,21,24,27,30)*(IF(Inputs!$B$38="pvp",MIN(15,15)/15,IF(AND(Inputs!$B$38&lt;&gt;"pvp",Inputs!$B$43&gt;0),MIN(15,Inputs!$B$43)/(Inputs!$B$43),0))),0)))&gt;=100),CHOOSE(ArtifactsInput!$N$42+1,40,48,56,64,72,80),0))))/100)*((1+(((C180=TRUE)*F180*5/7)+((C187=TRUE)*(F187-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174)</f>
        <v/>
      </c>
      <c r="L174">
        <f>K174*(MIN(Inputs!$B$22+((C185=TRUE)*(F185-Calc!F22)),(Inputs!$B$23+0+(IF(ArtifactsInput!$M$15,CHOOSE(ArtifactsInput!$N$15+1,25,30,35,40,45,50)/100*(Inputs!$B$11-Inputs!$B$11),0))))/100+(Inputs!$B$23+0+(IF(ArtifactsInput!$M$15,CHOOSE(ArtifactsInput!$N$15+1,25,30,35,40,45,50)/100*(Inputs!$B$11-Inputs!$B$11),0)))/100)/2</f>
        <v/>
      </c>
      <c r="M174">
        <f>L174*(1+(Inputs!$B$10+((C188=TRUE)*(F188-Calc!F25))+B199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4">
        <f>L174*(1-MIN((Inputs!$B$9+((C182=TRUE)*(F182-Calc!F19))+B194+(ArtifactsInput!$M$24-ArtifactsInput!$M$24)*CHOOSE(ArtifactsInput!$N$24+1,10,12,14,16,18,20)+(IF(AND(Inputs!$B$38&lt;&gt;"pvp",Inputs!$B$43=0),1,IF(IF(Inputs!$B$38="pvp",15,Inputs!$B$43)-(B201)&lt;=0,1,MAX(0,IF(Inputs!$B$38="pvp",15,Inputs!$B$43)-MAX(5,B201))/(IF(Inputs!$B$38="pvp",15,Inputs!$B$43)-(B201))))*IF(AND(ArtifactsInput!$M$42,((Inputs!$B$9+((C182=TRUE)*(F182-Calc!F19))+B194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174*(MIN((Inputs!$B$9+((C182=TRUE)*(F182-Calc!F19))+B194+(ArtifactsInput!$M$24-ArtifactsInput!$M$24)*CHOOSE(ArtifactsInput!$N$24+1,10,12,14,16,18,20)+(IF(AND(Inputs!$B$38&lt;&gt;"pvp",Inputs!$B$43=0),1,IF(IF(Inputs!$B$38="pvp",15,Inputs!$B$43)-(B201)&lt;=0,1,MAX(0,IF(Inputs!$B$38="pvp",15,Inputs!$B$43)-MAX(5,B201))/(IF(Inputs!$B$38="pvp",15,Inputs!$B$43)-(B201))))*IF(AND(ArtifactsInput!$M$42,((Inputs!$B$9+((C182=TRUE)*(F182-Calc!F19))+B194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4">
        <f>(1-Summary!$B$11)*T174+Summary!$B$11*V174</f>
        <v/>
      </c>
      <c r="P174">
        <f>IF(B204=0,0,O174/B204)</f>
        <v/>
      </c>
      <c r="Q174">
        <f>IFERROR(1/((IF(Inputs!$B$38="pvp",15,MAX(0.1,Skills!D11-IF(TRUE=TRUE,Inputs!$B$32,0)))*(1-IF(AND(ArtifactsInput!$M$27,Inputs!$B$4="Chapter Hunt"),CHOOSE(ArtifactsInput!$N$27+1,20,24,28,32,36,40),0)/100))/B205),0)</f>
        <v/>
      </c>
      <c r="R174">
        <f>IF(AND(Inputs!$B$38&lt;&gt;"pvp",Inputs!$B$43&gt;0),IF(MAX(0,Inputs!$B$43-B201)&lt;=0,0,(INT(MAX(0,Inputs!$B$43-B201)/((IF(Inputs!$B$38="pvp",15,MAX(0.1,Skills!D11-IF(TRUE=TRUE,Inputs!$B$32,0)))*(1-IF(AND(ArtifactsInput!$M$27,Inputs!$B$4="Chapter Hunt"),CHOOSE(ArtifactsInput!$N$27+1,20,24,28,32,36,40),0)/100))/B205))+1)),0)</f>
        <v/>
      </c>
      <c r="S174">
        <f>IFERROR(O174/N174,0)</f>
        <v/>
      </c>
      <c r="T174">
        <f>IF(C174,(H174*N174*IF(AND(Inputs!$B$38&lt;&gt;"pvp",Inputs!$B$43&gt;0),((Skills!G11*((R174-1)*IF(Skills!H11&gt;0,INT(Skills!I11/Skills!H11+0.000000001),1)+IF(Skills!H11&gt;0,INT(MIN(Skills!I11,MAX(0,MAX(0,Inputs!$B$43-B201)-((R174-1)*((IF(Inputs!$B$38="pvp",15,MAX(0.1,Skills!D11-IF(TRUE=TRUE,Inputs!$B$32,0)))*(1-IF(AND(ArtifactsInput!$M$27,Inputs!$B$4="Chapter Hunt"),CHOOSE(ArtifactsInput!$N$27+1,20,24,28,32,36,40),0)/100))/B205))))/Skills!H11+0.000000001),1)))/Inputs!$B$43),G174*Q174))*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Hunt"),CHOOSE(ArtifactsInput!$N$35+1,15,18,21,24,27,30)*(1-EXP(-(0.2*B196)*5)),0)+IF(AND(ArtifactsInput!$M$22,Inputs!$B$4&lt;&gt;"Chapter Hunt"),CHOOSE(ArtifactsInput!$N$22+1,10,12,14,16,18,20)*((0*(((0.15*B196*5))^0/1)+1*(((0.15*B196*5))^1/1)+2*(((0.15*B196*5))^2/2)+3*(((0.15*B196*5))^3/6)+4*(((0.15*B196*5))^4/24)+5*(((0.15*B196*5))^5/120))/((((0.15*B196*5))^0/1)+(((0.15*B196*5))^1/1)+(((0.15*B196*5))^2/2)+(((0.15*B196*5))^3/6)+(((0.15*B196*5))^4/24)+(((0.15*B196*5))^5/120))),0))+IF(Inputs!$B$3&gt;=54,9*(C166=TRUE)*MIN(1,8*(1+Inputs!$B$34/100)*Q166)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174*(1-MIN(100,(Inputs!$B$9+((C182=TRUE)*(F182-Calc!F19))+B194+(ArtifactsInput!$M$24-ArtifactsInput!$M$24)*CHOOSE(ArtifactsInput!$N$24+1,10,12,14,16,18,20)+(IF(AND(Inputs!$B$38&lt;&gt;"pvp",Inputs!$B$43=0),1,IF(IF(Inputs!$B$38="pvp",15,Inputs!$B$43)-(B201)&lt;=0,1,MAX(0,IF(Inputs!$B$38="pvp",15,Inputs!$B$43)-MAX(5,B201))/(IF(Inputs!$B$38="pvp",15,Inputs!$B$43)-(B201))))*IF(AND(ArtifactsInput!$M$42,((Inputs!$B$9+((C182=TRUE)*(F182-Calc!F19))+B194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174*(MIN(100,(Inputs!$B$9+((C182=TRUE)*(F182-Calc!F19))+B194+(ArtifactsInput!$M$24-ArtifactsInput!$M$24)*CHOOSE(ArtifactsInput!$N$24+1,10,12,14,16,18,20)+(IF(AND(Inputs!$B$38&lt;&gt;"pvp",Inputs!$B$43=0),1,IF(IF(Inputs!$B$38="pvp",15,Inputs!$B$43)-(B201)&lt;=0,1,MAX(0,IF(Inputs!$B$38="pvp",15,Inputs!$B$43)-MAX(5,B201))/(IF(Inputs!$B$38="pvp",15,Inputs!$B$43)-(B201))))*IF(AND(ArtifactsInput!$M$42,((Inputs!$B$9+((C182=TRUE)*(F182-Calc!F19))+B194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174*(1-MIN(100,(Inputs!$B$9+((C182=TRUE)*(F182-Calc!F19))+B194+(ArtifactsInput!$M$24-ArtifactsInput!$M$24)*CHOOSE(ArtifactsInput!$N$24+1,10,12,14,16,18,20)+(IF(AND(Inputs!$B$38&lt;&gt;"pvp",Inputs!$B$43=0),1,IF(IF(Inputs!$B$38="pvp",15,Inputs!$B$43)-(B201)&lt;=0,1,MAX(0,IF(Inputs!$B$38="pvp",15,Inputs!$B$43)-MAX(5,B201))/(IF(Inputs!$B$38="pvp",15,Inputs!$B$43)-(B201))))*IF(AND(ArtifactsInput!$M$42,((Inputs!$B$9+((C182=TRUE)*(F182-Calc!F19))+B194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174*(MIN(100,(Inputs!$B$9+((C182=TRUE)*(F182-Calc!F19))+B194+(ArtifactsInput!$M$24-ArtifactsInput!$M$24)*CHOOSE(ArtifactsInput!$N$24+1,10,12,14,16,18,20)+(IF(AND(Inputs!$B$38&lt;&gt;"pvp",Inputs!$B$43=0),1,IF(IF(Inputs!$B$38="pvp",15,Inputs!$B$43)-(B201)&lt;=0,1,MAX(0,IF(Inputs!$B$38="pvp",15,Inputs!$B$43)-MAX(5,B201))/(IF(Inputs!$B$38="pvp",15,Inputs!$B$43)-(B201))))*IF(AND(ArtifactsInput!$M$42,((Inputs!$B$9+((C182=TRUE)*(F182-Calc!F19))+B194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74">
        <f>IF(C174,(H174*N174*IF(AND(Inputs!$B$38&lt;&gt;"pvp",Inputs!$B$43&gt;0),((Skills!G11*((R174-1)*IF(Skills!H11&gt;0,INT(Skills!I11/Skills!H11+0.000000001),1)+IF(Skills!H11&gt;0,INT(MIN(Skills!I11,MAX(0,MAX(0,Inputs!$B$43-B201)-((R174-1)*((IF(Inputs!$B$38="pvp",15,MAX(0.1,Skills!D11-IF(TRUE=TRUE,Inputs!$B$32,0)))*(1-IF(AND(ArtifactsInput!$M$27,Inputs!$B$4="Chapter Hunt"),CHOOSE(ArtifactsInput!$N$27+1,20,24,28,32,36,40),0)/100))/B205))))/Skills!H11+0.000000001),1)))/Inputs!$B$43),G174*Q174))*IF(Inputs!$B$38="pvp",1,(1+(Inputs!$B$21+Skills!Q11+(IF(ArtifactsInput!$M$33,CHOOSE(ArtifactsInput!$N$33+1,30,36,42,48,54,60),0))+(IF(AND(ArtifactsInput!$M$35,Inputs!$B$4&lt;&gt;"Chapter Hunt"),CHOOSE(ArtifactsInput!$N$35+1,15,18,21,24,27,30)*(1-EXP(-(0.2*B196)*5)),0)+IF(AND(ArtifactsInput!$M$22,Inputs!$B$4&lt;&gt;"Chapter Hunt"),CHOOSE(ArtifactsInput!$N$22+1,10,12,14,16,18,20)*((0*(((0.15*B196*5))^0/1)+1*(((0.15*B196*5))^1/1)+2*(((0.15*B196*5))^2/2)+3*(((0.15*B196*5))^3/6)+4*(((0.15*B196*5))^4/24)+5*(((0.15*B196*5))^5/120))/((((0.15*B196*5))^0/1)+(((0.15*B196*5))^1/1)+(((0.15*B196*5))^2/2)+(((0.15*B196*5))^3/6)+(((0.15*B196*5))^4/24)+(((0.15*B196*5))^5/120))),0))+IF(Inputs!$B$3&gt;=54,9*(C166=TRUE)*MIN(1,8*(1+Inputs!$B$34/100)*Q166),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5">
      <c r="A175">
        <f>Skills!A12</f>
        <v/>
      </c>
      <c r="B175">
        <f>Skills!B12</f>
        <v/>
      </c>
      <c r="C175">
        <f>Inputs!$B$3&gt;=110</f>
        <v/>
      </c>
      <c r="D175">
        <f>IF(Skills!C12=1,60+Inputs!$B$25+Inputs!$B$29,IF(Skills!C12=2,90+Inputs!$B$26+Inputs!$B$29,IF(Skills!C12=3,120+Inputs!$B$27+Inputs!$B$29,MAX(0,(Inputs!$B$3-100)*3)+Inputs!$B$28+Inputs!$B$29)))</f>
        <v/>
      </c>
      <c r="E175">
        <f>INDEX(FactorTable!$B$2:$Y$301, MATCH(ROUND(MIN(300,MAX(1,D175)),0), FactorTable!$A$2:$A$301,0), Skills!M12+1)</f>
        <v/>
      </c>
      <c r="F175">
        <f>IF(Skills!N12=TRUE,(Skills!L12/10)*(E175/1000),Skills!L12/10)+Skills!O12</f>
        <v/>
      </c>
      <c r="G175">
        <f>Skills!G12*IF(Skills!H12&gt;0,INT(IF(Inputs!$B$38="pvp",MIN(Skills!I12,15),Skills!I12)/Skills!H12+0.000000001),1)</f>
        <v/>
      </c>
      <c r="H175">
        <f>1-(1-Skills!J12/100)^Skills!K12</f>
        <v/>
      </c>
      <c r="I175" t="inlineStr">
        <is>
          <t>1</t>
        </is>
      </c>
      <c r="J175">
        <f>((Inputs!$B$6*(1+Inputs!$B$7/100))+(((Inputs!$B$12*(1+Inputs!$B$13/100))-(Inputs!$B$12*(1+Inputs!$B$13/100)))+0.25*((Inputs!$B$14+1)-Inputs!$B$14))*(1+Inputs!$B$7/100))*(F175/100)</f>
        <v/>
      </c>
      <c r="K175">
        <f>J175*(1+((Inputs!$B$12*(1+Inputs!$B$13/100))*0.01+(Inputs!$B$14+1)*0.0025)/100)*(1+Inputs!$B$15/100)*(1+Inputs!$B$16/100)*(5000/(6000+Inputs!$B$42*(1-(100*(1-(1-(Inputs!$B$19+0)/100)*(1-CHOOSE(ArtifactsInput!$N$40+1,5,6,7,8,9,10)/100)^(ArtifactsInput!$M$40-ArtifactsInput!$M$40)))/100)))*(1+(Inputs!$B$24+((C189=TRUE)*(F189-Calc!F26))+B200)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EIGHT_LEGS_EASTON",Inputs!$B$17+((C186=TRUE)*(F186-Calc!F23))+((C190=TRUE)*(F190-Calc!F27))+((IF(AND(Inputs!$B$38&lt;&gt;"pvp",Inputs!$B$43=0),1,IF(IF(Inputs!$B$38="pvp",15,Inputs!$B$43)-(B201)&lt;=0,1,MAX(0,IF(Inputs!$B$38="pvp",15,Inputs!$B$43)-MAX(5,B201))/(IF(Inputs!$B$38="pvp",15,Inputs!$B$43)-(B201))))*(IF(AND(ArtifactsInput!$M$42,((Inputs!$B$9+((C182=TRUE)*(F182-Calc!F19))+B194+(ArtifactsInput!$M$24-ArtifactsInput!$M$24)*CHOOSE(ArtifactsInput!$N$24+1,10,12,14,16,18,20)+IF(ArtifactsInput!$M$10,CHOOSE(ArtifactsInput!$N$10+1,15,18,21,24,27,30)*(IF(Inputs!$B$38="pvp",MIN(15,15)/15,IF(AND(Inputs!$B$38&lt;&gt;"pvp",Inputs!$B$43&gt;0),MIN(15,Inputs!$B$43)/(Inputs!$B$43),0))),0)))&gt;=100),MIN(100,((Inputs!$B$9+((C182=TRUE)*(F182-Calc!F19))+B194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201)&lt;=0,1,MAX(0,IF(Inputs!$B$38="pvp",15,Inputs!$B$43)-MAX(5,B201))/(IF(Inputs!$B$38="pvp",15,Inputs!$B$43)-(B201))))*IF(AND(ArtifactsInput!$M$42,((Inputs!$B$9+((C182=TRUE)*(F182-Calc!F19))+B194+(ArtifactsInput!$M$24-ArtifactsInput!$M$24)*CHOOSE(ArtifactsInput!$N$24+1,10,12,14,16,18,20)+IF(ArtifactsInput!$M$10,CHOOSE(ArtifactsInput!$N$10+1,15,18,21,24,27,30)*(IF(Inputs!$B$38="pvp",MIN(15,15)/15,IF(AND(Inputs!$B$38&lt;&gt;"pvp",Inputs!$B$43&gt;0),MIN(15,Inputs!$B$43)/(Inputs!$B$43),0))),0)))&gt;=100),CHOOSE(ArtifactsInput!$N$42+1,40,48,56,64,72,80),0))))/100)*((1+(((C180=TRUE)*F180*5/7)+((C187=TRUE)*(F187-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175)</f>
        <v/>
      </c>
      <c r="L175">
        <f>K175*(MIN(Inputs!$B$22+((C185=TRUE)*(F185-Calc!F22)),(Inputs!$B$23+0+(IF(ArtifactsInput!$M$15,CHOOSE(ArtifactsInput!$N$15+1,25,30,35,40,45,50)/100*(Inputs!$B$11-Inputs!$B$11),0))))/100+(Inputs!$B$23+0+(IF(ArtifactsInput!$M$15,CHOOSE(ArtifactsInput!$N$15+1,25,30,35,40,45,50)/100*(Inputs!$B$11-Inputs!$B$11),0)))/100)/2</f>
        <v/>
      </c>
      <c r="M175">
        <f>L175*(1+(Inputs!$B$10+((C188=TRUE)*(F188-Calc!F25))+B199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5">
        <f>L175*(1-MIN((Inputs!$B$9+((C182=TRUE)*(F182-Calc!F19))+B194+(ArtifactsInput!$M$24-ArtifactsInput!$M$24)*CHOOSE(ArtifactsInput!$N$24+1,10,12,14,16,18,20)+(IF(AND(Inputs!$B$38&lt;&gt;"pvp",Inputs!$B$43=0),1,IF(IF(Inputs!$B$38="pvp",15,Inputs!$B$43)-(B201)&lt;=0,1,MAX(0,IF(Inputs!$B$38="pvp",15,Inputs!$B$43)-MAX(5,B201))/(IF(Inputs!$B$38="pvp",15,Inputs!$B$43)-(B201))))*IF(AND(ArtifactsInput!$M$42,((Inputs!$B$9+((C182=TRUE)*(F182-Calc!F19))+B194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175*(MIN((Inputs!$B$9+((C182=TRUE)*(F182-Calc!F19))+B194+(ArtifactsInput!$M$24-ArtifactsInput!$M$24)*CHOOSE(ArtifactsInput!$N$24+1,10,12,14,16,18,20)+(IF(AND(Inputs!$B$38&lt;&gt;"pvp",Inputs!$B$43=0),1,IF(IF(Inputs!$B$38="pvp",15,Inputs!$B$43)-(B201)&lt;=0,1,MAX(0,IF(Inputs!$B$38="pvp",15,Inputs!$B$43)-MAX(5,B201))/(IF(Inputs!$B$38="pvp",15,Inputs!$B$43)-(B201))))*IF(AND(ArtifactsInput!$M$42,((Inputs!$B$9+((C182=TRUE)*(F182-Calc!F19))+B194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5">
        <f>(1-Summary!$B$11)*T175+Summary!$B$11*V175</f>
        <v/>
      </c>
      <c r="P175">
        <f>IF(B204=0,0,O175/B204)</f>
        <v/>
      </c>
      <c r="Q175">
        <f>IFERROR(1/(IF(Inputs!$B$38="pvp",15,MAX(0.1,Skills!D12-IF(TRUE=TRUE,Inputs!$B$32,0)))*(1-IF(AND(ArtifactsInput!$M$27,Inputs!$B$4="Chapter Hunt"),CHOOSE(ArtifactsInput!$N$27+1,20,24,28,32,36,40),0)/100)),0)</f>
        <v/>
      </c>
      <c r="R175">
        <f>IF(AND(Inputs!$B$38&lt;&gt;"pvp",Inputs!$B$43&gt;0),IF(MAX(0,Inputs!$B$43-B201)&lt;=0,0,(INT(MAX(0,Inputs!$B$43-B201)/(IF(Inputs!$B$38="pvp",15,MAX(0.1,Skills!D12-IF(TRUE=TRUE,Inputs!$B$32,0)))*(1-IF(AND(ArtifactsInput!$M$27,Inputs!$B$4="Chapter Hunt"),CHOOSE(ArtifactsInput!$N$27+1,20,24,28,32,36,40),0)/100)))+1)),0)</f>
        <v/>
      </c>
      <c r="S175">
        <f>IFERROR(O175/N175,0)</f>
        <v/>
      </c>
      <c r="T175">
        <f>IF(C175,(H175*N175*IF(AND(Inputs!$B$38&lt;&gt;"pvp",Inputs!$B$43&gt;0),((Skills!G12*((R175-1)*IF(Skills!H12&gt;0,INT(Skills!I12/Skills!H12+0.000000001),1)+IF(Skills!H12&gt;0,INT(MIN(Skills!I12,MAX(0,MAX(0,Inputs!$B$43-B201)-((R175-1)*(IF(Inputs!$B$38="pvp",15,MAX(0.1,Skills!D12-IF(TRUE=TRUE,Inputs!$B$32,0)))*(1-IF(AND(ArtifactsInput!$M$27,Inputs!$B$4="Chapter Hunt"),CHOOSE(ArtifactsInput!$N$27+1,20,24,28,32,36,40),0)/100)))))/Skills!H12+0.000000001),1)))/Inputs!$B$43),G175*Q175))*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Hunt"),CHOOSE(ArtifactsInput!$N$35+1,15,18,21,24,27,30)*(1-EXP(-(0.2*B196)*5)),0)+IF(AND(ArtifactsInput!$M$22,Inputs!$B$4&lt;&gt;"Chapter Hunt"),CHOOSE(ArtifactsInput!$N$22+1,10,12,14,16,18,20)*((0*(((0.15*B196*5))^0/1)+1*(((0.15*B196*5))^1/1)+2*(((0.15*B196*5))^2/2)+3*(((0.15*B196*5))^3/6)+4*(((0.15*B196*5))^4/24)+5*(((0.15*B196*5))^5/120))/((((0.15*B196*5))^0/1)+(((0.15*B196*5))^1/1)+(((0.15*B196*5))^2/2)+(((0.15*B196*5))^3/6)+(((0.15*B196*5))^4/24)+(((0.15*B196*5))^5/120))),0))+IF(Inputs!$B$3&gt;=54,9*(C166=TRUE)*MIN(1,8*(1+Inputs!$B$34/100)*Q166)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175*(1-MIN(100,(Inputs!$B$9+((C182=TRUE)*(F182-Calc!F19))+B194+(ArtifactsInput!$M$24-ArtifactsInput!$M$24)*CHOOSE(ArtifactsInput!$N$24+1,10,12,14,16,18,20)+(IF(AND(Inputs!$B$38&lt;&gt;"pvp",Inputs!$B$43=0),1,IF(IF(Inputs!$B$38="pvp",15,Inputs!$B$43)-(B201)&lt;=0,1,MAX(0,IF(Inputs!$B$38="pvp",15,Inputs!$B$43)-MAX(5,B201))/(IF(Inputs!$B$38="pvp",15,Inputs!$B$43)-(B201))))*IF(AND(ArtifactsInput!$M$42,((Inputs!$B$9+((C182=TRUE)*(F182-Calc!F19))+B194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175*(MIN(100,(Inputs!$B$9+((C182=TRUE)*(F182-Calc!F19))+B194+(ArtifactsInput!$M$24-ArtifactsInput!$M$24)*CHOOSE(ArtifactsInput!$N$24+1,10,12,14,16,18,20)+(IF(AND(Inputs!$B$38&lt;&gt;"pvp",Inputs!$B$43=0),1,IF(IF(Inputs!$B$38="pvp",15,Inputs!$B$43)-(B201)&lt;=0,1,MAX(0,IF(Inputs!$B$38="pvp",15,Inputs!$B$43)-MAX(5,B201))/(IF(Inputs!$B$38="pvp",15,Inputs!$B$43)-(B201))))*IF(AND(ArtifactsInput!$M$42,((Inputs!$B$9+((C182=TRUE)*(F182-Calc!F19))+B194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175*(1-MIN(100,(Inputs!$B$9+((C182=TRUE)*(F182-Calc!F19))+B194+(ArtifactsInput!$M$24-ArtifactsInput!$M$24)*CHOOSE(ArtifactsInput!$N$24+1,10,12,14,16,18,20)+(IF(AND(Inputs!$B$38&lt;&gt;"pvp",Inputs!$B$43=0),1,IF(IF(Inputs!$B$38="pvp",15,Inputs!$B$43)-(B201)&lt;=0,1,MAX(0,IF(Inputs!$B$38="pvp",15,Inputs!$B$43)-MAX(5,B201))/(IF(Inputs!$B$38="pvp",15,Inputs!$B$43)-(B201))))*IF(AND(ArtifactsInput!$M$42,((Inputs!$B$9+((C182=TRUE)*(F182-Calc!F19))+B194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175*(MIN(100,(Inputs!$B$9+((C182=TRUE)*(F182-Calc!F19))+B194+(ArtifactsInput!$M$24-ArtifactsInput!$M$24)*CHOOSE(ArtifactsInput!$N$24+1,10,12,14,16,18,20)+(IF(AND(Inputs!$B$38&lt;&gt;"pvp",Inputs!$B$43=0),1,IF(IF(Inputs!$B$38="pvp",15,Inputs!$B$43)-(B201)&lt;=0,1,MAX(0,IF(Inputs!$B$38="pvp",15,Inputs!$B$43)-MAX(5,B201))/(IF(Inputs!$B$38="pvp",15,Inputs!$B$43)-(B201))))*IF(AND(ArtifactsInput!$M$42,((Inputs!$B$9+((C182=TRUE)*(F182-Calc!F19))+B194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75">
        <f>IF(C175,(H175*N175*IF(AND(Inputs!$B$38&lt;&gt;"pvp",Inputs!$B$43&gt;0),((Skills!G12*((R175-1)*IF(Skills!H12&gt;0,INT(Skills!I12/Skills!H12+0.000000001),1)+IF(Skills!H12&gt;0,INT(MIN(Skills!I12,MAX(0,MAX(0,Inputs!$B$43-B201)-((R175-1)*(IF(Inputs!$B$38="pvp",15,MAX(0.1,Skills!D12-IF(TRUE=TRUE,Inputs!$B$32,0)))*(1-IF(AND(ArtifactsInput!$M$27,Inputs!$B$4="Chapter Hunt"),CHOOSE(ArtifactsInput!$N$27+1,20,24,28,32,36,40),0)/100)))))/Skills!H12+0.000000001),1)))/Inputs!$B$43),G175*Q175))*IF(Inputs!$B$38="pvp",1,(1+(Inputs!$B$21+Skills!Q12+(IF(ArtifactsInput!$M$33,CHOOSE(ArtifactsInput!$N$33+1,30,36,42,48,54,60),0))+(IF(AND(ArtifactsInput!$M$35,Inputs!$B$4&lt;&gt;"Chapter Hunt"),CHOOSE(ArtifactsInput!$N$35+1,15,18,21,24,27,30)*(1-EXP(-(0.2*B196)*5)),0)+IF(AND(ArtifactsInput!$M$22,Inputs!$B$4&lt;&gt;"Chapter Hunt"),CHOOSE(ArtifactsInput!$N$22+1,10,12,14,16,18,20)*((0*(((0.15*B196*5))^0/1)+1*(((0.15*B196*5))^1/1)+2*(((0.15*B196*5))^2/2)+3*(((0.15*B196*5))^3/6)+4*(((0.15*B196*5))^4/24)+5*(((0.15*B196*5))^5/120))/((((0.15*B196*5))^0/1)+(((0.15*B196*5))^1/1)+(((0.15*B196*5))^2/2)+(((0.15*B196*5))^3/6)+(((0.15*B196*5))^4/24)+(((0.15*B196*5))^5/120))),0))+IF(Inputs!$B$3&gt;=54,9*(C166=TRUE)*MIN(1,8*(1+Inputs!$B$34/100)*Q166),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6">
      <c r="A176">
        <f>Skills!A13</f>
        <v/>
      </c>
      <c r="B176">
        <f>Skills!B13</f>
        <v/>
      </c>
      <c r="C176">
        <f>Inputs!$B$3&gt;=110</f>
        <v/>
      </c>
      <c r="D176">
        <f>IF(Skills!C13=1,60+Inputs!$B$25+Inputs!$B$29,IF(Skills!C13=2,90+Inputs!$B$26+Inputs!$B$29,IF(Skills!C13=3,120+Inputs!$B$27+Inputs!$B$29,MAX(0,(Inputs!$B$3-100)*3)+Inputs!$B$28+Inputs!$B$29)))</f>
        <v/>
      </c>
      <c r="E176">
        <f>INDEX(FactorTable!$B$2:$Y$301, MATCH(ROUND(MIN(300,MAX(1,D176)),0), FactorTable!$A$2:$A$301,0), Skills!M13+1)</f>
        <v/>
      </c>
      <c r="F176">
        <f>IF(Skills!N13=TRUE,(Skills!L13/10)*(E176/1000),Skills!L13/10)+Skills!O13</f>
        <v/>
      </c>
      <c r="G176">
        <f>Skills!G13*IF(Skills!H13&gt;0,INT(IF(Inputs!$B$38="pvp",MIN(Skills!I13,15),Skills!I13)/Skills!H13+0.000000001),1)</f>
        <v/>
      </c>
      <c r="H176">
        <f>1-(1-Skills!J13/100)^Skills!K13</f>
        <v/>
      </c>
      <c r="I176" t="inlineStr">
        <is>
          <t>1</t>
        </is>
      </c>
      <c r="J176">
        <f>((Inputs!$B$6*(1+Inputs!$B$7/100))+(((Inputs!$B$12*(1+Inputs!$B$13/100))-(Inputs!$B$12*(1+Inputs!$B$13/100)))+0.25*((Inputs!$B$14+1)-Inputs!$B$14))*(1+Inputs!$B$7/100))*(F176/100)</f>
        <v/>
      </c>
      <c r="K176">
        <f>J176*(1+((Inputs!$B$12*(1+Inputs!$B$13/100))*0.01+(Inputs!$B$14+1)*0.0025)/100)*(1+Inputs!$B$15/100)*(1+Inputs!$B$16/100)*(5000/(6000+Inputs!$B$42*(1-(100*(1-(1-(Inputs!$B$19+0)/100)*(1-CHOOSE(ArtifactsInput!$N$40+1,5,6,7,8,9,10)/100)^(ArtifactsInput!$M$40-ArtifactsInput!$M$40)))/100)))*(1+(Inputs!$B$24+((C189=TRUE)*(F189-Calc!F26))+B200)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EIGHT_LEGS_EASTON",Inputs!$B$17+((C186=TRUE)*(F186-Calc!F23))+((C190=TRUE)*(F190-Calc!F27))+((IF(AND(Inputs!$B$38&lt;&gt;"pvp",Inputs!$B$43=0),1,IF(IF(Inputs!$B$38="pvp",15,Inputs!$B$43)-(B201)&lt;=0,1,MAX(0,IF(Inputs!$B$38="pvp",15,Inputs!$B$43)-MAX(5,B201))/(IF(Inputs!$B$38="pvp",15,Inputs!$B$43)-(B201))))*(IF(AND(ArtifactsInput!$M$42,((Inputs!$B$9+((C182=TRUE)*(F182-Calc!F19))+B194+(ArtifactsInput!$M$24-ArtifactsInput!$M$24)*CHOOSE(ArtifactsInput!$N$24+1,10,12,14,16,18,20)+IF(ArtifactsInput!$M$10,CHOOSE(ArtifactsInput!$N$10+1,15,18,21,24,27,30)*(IF(Inputs!$B$38="pvp",MIN(15,15)/15,IF(AND(Inputs!$B$38&lt;&gt;"pvp",Inputs!$B$43&gt;0),MIN(15,Inputs!$B$43)/(Inputs!$B$43),0))),0)))&gt;=100),MIN(100,((Inputs!$B$9+((C182=TRUE)*(F182-Calc!F19))+B194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201)&lt;=0,1,MAX(0,IF(Inputs!$B$38="pvp",15,Inputs!$B$43)-MAX(5,B201))/(IF(Inputs!$B$38="pvp",15,Inputs!$B$43)-(B201))))*IF(AND(ArtifactsInput!$M$42,((Inputs!$B$9+((C182=TRUE)*(F182-Calc!F19))+B194+(ArtifactsInput!$M$24-ArtifactsInput!$M$24)*CHOOSE(ArtifactsInput!$N$24+1,10,12,14,16,18,20)+IF(ArtifactsInput!$M$10,CHOOSE(ArtifactsInput!$N$10+1,15,18,21,24,27,30)*(IF(Inputs!$B$38="pvp",MIN(15,15)/15,IF(AND(Inputs!$B$38&lt;&gt;"pvp",Inputs!$B$43&gt;0),MIN(15,Inputs!$B$43)/(Inputs!$B$43),0))),0)))&gt;=100),CHOOSE(ArtifactsInput!$N$42+1,40,48,56,64,72,80),0))))/100)*((1+(((C180=TRUE)*F180*5/7)+((C187=TRUE)*(F187-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176)</f>
        <v/>
      </c>
      <c r="L176">
        <f>K176*(MIN(Inputs!$B$22+((C185=TRUE)*(F185-Calc!F22)),(Inputs!$B$23+0+(IF(ArtifactsInput!$M$15,CHOOSE(ArtifactsInput!$N$15+1,25,30,35,40,45,50)/100*(Inputs!$B$11-Inputs!$B$11),0))))/100+(Inputs!$B$23+0+(IF(ArtifactsInput!$M$15,CHOOSE(ArtifactsInput!$N$15+1,25,30,35,40,45,50)/100*(Inputs!$B$11-Inputs!$B$11),0)))/100)/2</f>
        <v/>
      </c>
      <c r="M176">
        <f>L176*(1+(Inputs!$B$10+((C188=TRUE)*(F188-Calc!F25))+B199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6">
        <f>L176*(1-MIN((Inputs!$B$9+((C182=TRUE)*(F182-Calc!F19))+B194+(ArtifactsInput!$M$24-ArtifactsInput!$M$24)*CHOOSE(ArtifactsInput!$N$24+1,10,12,14,16,18,20)+(IF(AND(Inputs!$B$38&lt;&gt;"pvp",Inputs!$B$43=0),1,IF(IF(Inputs!$B$38="pvp",15,Inputs!$B$43)-(B201)&lt;=0,1,MAX(0,IF(Inputs!$B$38="pvp",15,Inputs!$B$43)-MAX(5,B201))/(IF(Inputs!$B$38="pvp",15,Inputs!$B$43)-(B201))))*IF(AND(ArtifactsInput!$M$42,((Inputs!$B$9+((C182=TRUE)*(F182-Calc!F19))+B194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176*(MIN((Inputs!$B$9+((C182=TRUE)*(F182-Calc!F19))+B194+(ArtifactsInput!$M$24-ArtifactsInput!$M$24)*CHOOSE(ArtifactsInput!$N$24+1,10,12,14,16,18,20)+(IF(AND(Inputs!$B$38&lt;&gt;"pvp",Inputs!$B$43=0),1,IF(IF(Inputs!$B$38="pvp",15,Inputs!$B$43)-(B201)&lt;=0,1,MAX(0,IF(Inputs!$B$38="pvp",15,Inputs!$B$43)-MAX(5,B201))/(IF(Inputs!$B$38="pvp",15,Inputs!$B$43)-(B201))))*IF(AND(ArtifactsInput!$M$42,((Inputs!$B$9+((C182=TRUE)*(F182-Calc!F19))+B194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6">
        <f>(1-Summary!$B$11)*T176+Summary!$B$11*V176</f>
        <v/>
      </c>
      <c r="P176">
        <f>IF(B204=0,0,O176/B204)</f>
        <v/>
      </c>
      <c r="Q176">
        <f>IFERROR(1/(IF(Inputs!$B$38="pvp",15,MAX(0.1,Skills!D13-IF(TRUE=TRUE,Inputs!$B$32,0)))*(1-IF(AND(ArtifactsInput!$M$27,Inputs!$B$4="Chapter Hunt"),CHOOSE(ArtifactsInput!$N$27+1,20,24,28,32,36,40),0)/100)),0)</f>
        <v/>
      </c>
      <c r="R176">
        <f>IF(AND(Inputs!$B$38&lt;&gt;"pvp",Inputs!$B$43&gt;0),IF(MAX(0,Inputs!$B$43-B201)&lt;=0,0,(INT(MAX(0,Inputs!$B$43-B201)/(IF(Inputs!$B$38="pvp",15,MAX(0.1,Skills!D13-IF(TRUE=TRUE,Inputs!$B$32,0)))*(1-IF(AND(ArtifactsInput!$M$27,Inputs!$B$4="Chapter Hunt"),CHOOSE(ArtifactsInput!$N$27+1,20,24,28,32,36,40),0)/100)))+1)),0)</f>
        <v/>
      </c>
      <c r="S176">
        <f>IFERROR(O176/N176,0)</f>
        <v/>
      </c>
      <c r="T176">
        <f>IF(C176,(H176*N176*IF(AND(Inputs!$B$38&lt;&gt;"pvp",Inputs!$B$43&gt;0),((Skills!G13*((R176-1)*IF(Skills!H13&gt;0,INT(Skills!I13/Skills!H13+0.000000001),1)+IF(Skills!H13&gt;0,INT(MIN(Skills!I13,MAX(0,MAX(0,Inputs!$B$43-B201)-((R176-1)*(IF(Inputs!$B$38="pvp",15,MAX(0.1,Skills!D13-IF(TRUE=TRUE,Inputs!$B$32,0)))*(1-IF(AND(ArtifactsInput!$M$27,Inputs!$B$4="Chapter Hunt"),CHOOSE(ArtifactsInput!$N$27+1,20,24,28,32,36,40),0)/100)))))/Skills!H13+0.000000001),1)))/Inputs!$B$43),G176*Q176))*IF(Inputs!$B$38="pvp",1,1+(Inputs!$B$20+0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Hunt"),CHOOSE(ArtifactsInput!$N$35+1,15,18,21,24,27,30)*(1-EXP(-(0.2*B196)*5)),0)+IF(AND(ArtifactsInput!$M$22,Inputs!$B$4&lt;&gt;"Chapter Hunt"),CHOOSE(ArtifactsInput!$N$22+1,10,12,14,16,18,20)*((0*(((0.15*B196*5))^0/1)+1*(((0.15*B196*5))^1/1)+2*(((0.15*B196*5))^2/2)+3*(((0.15*B196*5))^3/6)+4*(((0.15*B196*5))^4/24)+5*(((0.15*B196*5))^5/120))/((((0.15*B196*5))^0/1)+(((0.15*B196*5))^1/1)+(((0.15*B196*5))^2/2)+(((0.15*B196*5))^3/6)+(((0.15*B196*5))^4/24)+(((0.15*B196*5))^5/120))),0))+IF(Inputs!$B$3&gt;=54,9*(C166=TRUE)*MIN(1,8*(1+Inputs!$B$34/100)*Q166)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176*(1-MIN(100,(Inputs!$B$9+((C182=TRUE)*(F182-Calc!F19))+B194+(ArtifactsInput!$M$24-ArtifactsInput!$M$24)*CHOOSE(ArtifactsInput!$N$24+1,10,12,14,16,18,20)+(IF(AND(Inputs!$B$38&lt;&gt;"pvp",Inputs!$B$43=0),1,IF(IF(Inputs!$B$38="pvp",15,Inputs!$B$43)-(B201)&lt;=0,1,MAX(0,IF(Inputs!$B$38="pvp",15,Inputs!$B$43)-MAX(5,B201))/(IF(Inputs!$B$38="pvp",15,Inputs!$B$43)-(B201))))*IF(AND(ArtifactsInput!$M$42,((Inputs!$B$9+((C182=TRUE)*(F182-Calc!F19))+B194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176*(MIN(100,(Inputs!$B$9+((C182=TRUE)*(F182-Calc!F19))+B194+(ArtifactsInput!$M$24-ArtifactsInput!$M$24)*CHOOSE(ArtifactsInput!$N$24+1,10,12,14,16,18,20)+(IF(AND(Inputs!$B$38&lt;&gt;"pvp",Inputs!$B$43=0),1,IF(IF(Inputs!$B$38="pvp",15,Inputs!$B$43)-(B201)&lt;=0,1,MAX(0,IF(Inputs!$B$38="pvp",15,Inputs!$B$43)-MAX(5,B201))/(IF(Inputs!$B$38="pvp",15,Inputs!$B$43)-(B201))))*IF(AND(ArtifactsInput!$M$42,((Inputs!$B$9+((C182=TRUE)*(F182-Calc!F19))+B194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176*(1-MIN(100,(Inputs!$B$9+((C182=TRUE)*(F182-Calc!F19))+B194+(ArtifactsInput!$M$24-ArtifactsInput!$M$24)*CHOOSE(ArtifactsInput!$N$24+1,10,12,14,16,18,20)+(IF(AND(Inputs!$B$38&lt;&gt;"pvp",Inputs!$B$43=0),1,IF(IF(Inputs!$B$38="pvp",15,Inputs!$B$43)-(B201)&lt;=0,1,MAX(0,IF(Inputs!$B$38="pvp",15,Inputs!$B$43)-MAX(5,B201))/(IF(Inputs!$B$38="pvp",15,Inputs!$B$43)-(B201))))*IF(AND(ArtifactsInput!$M$42,((Inputs!$B$9+((C182=TRUE)*(F182-Calc!F19))+B194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176*(MIN(100,(Inputs!$B$9+((C182=TRUE)*(F182-Calc!F19))+B194+(ArtifactsInput!$M$24-ArtifactsInput!$M$24)*CHOOSE(ArtifactsInput!$N$24+1,10,12,14,16,18,20)+(IF(AND(Inputs!$B$38&lt;&gt;"pvp",Inputs!$B$43=0),1,IF(IF(Inputs!$B$38="pvp",15,Inputs!$B$43)-(B201)&lt;=0,1,MAX(0,IF(Inputs!$B$38="pvp",15,Inputs!$B$43)-MAX(5,B201))/(IF(Inputs!$B$38="pvp",15,Inputs!$B$43)-(B201))))*IF(AND(ArtifactsInput!$M$42,((Inputs!$B$9+((C182=TRUE)*(F182-Calc!F19))+B194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76">
        <f>IF(C176,(H176*N176*IF(AND(Inputs!$B$38&lt;&gt;"pvp",Inputs!$B$43&gt;0),((Skills!G13*((R176-1)*IF(Skills!H13&gt;0,INT(Skills!I13/Skills!H13+0.000000001),1)+IF(Skills!H13&gt;0,INT(MIN(Skills!I13,MAX(0,MAX(0,Inputs!$B$43-B201)-((R176-1)*(IF(Inputs!$B$38="pvp",15,MAX(0.1,Skills!D13-IF(TRUE=TRUE,Inputs!$B$32,0)))*(1-IF(AND(ArtifactsInput!$M$27,Inputs!$B$4="Chapter Hunt"),CHOOSE(ArtifactsInput!$N$27+1,20,24,28,32,36,40),0)/100)))))/Skills!H13+0.000000001),1)))/Inputs!$B$43),G176*Q176))*IF(Inputs!$B$38="pvp",1,(1+(Inputs!$B$21+Skills!Q13+(IF(ArtifactsInput!$M$33,CHOOSE(ArtifactsInput!$N$33+1,30,36,42,48,54,60),0))+(IF(AND(ArtifactsInput!$M$35,Inputs!$B$4&lt;&gt;"Chapter Hunt"),CHOOSE(ArtifactsInput!$N$35+1,15,18,21,24,27,30)*(1-EXP(-(0.2*B196)*5)),0)+IF(AND(ArtifactsInput!$M$22,Inputs!$B$4&lt;&gt;"Chapter Hunt"),CHOOSE(ArtifactsInput!$N$22+1,10,12,14,16,18,20)*((0*(((0.15*B196*5))^0/1)+1*(((0.15*B196*5))^1/1)+2*(((0.15*B196*5))^2/2)+3*(((0.15*B196*5))^3/6)+4*(((0.15*B196*5))^4/24)+5*(((0.15*B196*5))^5/120))/((((0.15*B196*5))^0/1)+(((0.15*B196*5))^1/1)+(((0.15*B196*5))^2/2)+(((0.15*B196*5))^3/6)+(((0.15*B196*5))^4/24)+(((0.15*B196*5))^5/120))),0))+IF(Inputs!$B$3&gt;=54,9*(C166=TRUE)*MIN(1,8*(1+Inputs!$B$34/100)*Q166),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7">
      <c r="A177">
        <f>Skills!A14</f>
        <v/>
      </c>
      <c r="B177">
        <f>Skills!B14</f>
        <v/>
      </c>
      <c r="C177">
        <f>Inputs!$B$3&gt;=120</f>
        <v/>
      </c>
      <c r="D177">
        <f>IF(Skills!C14=1,60+Inputs!$B$25+Inputs!$B$29,IF(Skills!C14=2,90+Inputs!$B$26+Inputs!$B$29,IF(Skills!C14=3,120+Inputs!$B$27+Inputs!$B$29,MAX(0,(Inputs!$B$3-100)*3)+Inputs!$B$28+Inputs!$B$29)))</f>
        <v/>
      </c>
      <c r="E177">
        <f>INDEX(FactorTable!$B$2:$Y$301, MATCH(ROUND(MIN(300,MAX(1,D177)),0), FactorTable!$A$2:$A$301,0), Skills!M14+1)</f>
        <v/>
      </c>
      <c r="F177">
        <f>IF(Skills!N14=TRUE,(Skills!L14/10)*(E177/1000),Skills!L14/10)+Skills!O14</f>
        <v/>
      </c>
      <c r="G177">
        <f>Skills!G14*IF(Skills!H14&gt;0,INT(IF(Inputs!$B$38="pvp",MIN(Skills!I14,15),Skills!I14)/Skills!H14+0.000000001),1)</f>
        <v/>
      </c>
      <c r="H177">
        <f>1-(1-Skills!J14/100)^Skills!K14</f>
        <v/>
      </c>
      <c r="I177" t="inlineStr">
        <is>
          <t>1</t>
        </is>
      </c>
      <c r="J177">
        <f>((Inputs!$B$6*(1+Inputs!$B$7/100))+(((Inputs!$B$12*(1+Inputs!$B$13/100))-(Inputs!$B$12*(1+Inputs!$B$13/100)))+0.25*((Inputs!$B$14+1)-Inputs!$B$14))*(1+Inputs!$B$7/100))*(F177/100)</f>
        <v/>
      </c>
      <c r="K177">
        <f>J177*(1+((Inputs!$B$12*(1+Inputs!$B$13/100))*0.01+(Inputs!$B$14+1)*0.0025)/100)*(1+Inputs!$B$15/100)*(1+Inputs!$B$16/100)*(5000/(6000+Inputs!$B$42*(1-(100*(1-(1-(Inputs!$B$19+0)/100)*(1-CHOOSE(ArtifactsInput!$N$40+1,5,6,7,8,9,10)/100)^(ArtifactsInput!$M$40-ArtifactsInput!$M$40)))/100)))*(1+(Inputs!$B$24+((C189=TRUE)*(F189-Calc!F26))+B200)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EIGHT_LEGS_EASTON",Inputs!$B$17+((C186=TRUE)*(F186-Calc!F23))+((C190=TRUE)*(F190-Calc!F27))+((IF(AND(Inputs!$B$38&lt;&gt;"pvp",Inputs!$B$43=0),1,IF(IF(Inputs!$B$38="pvp",15,Inputs!$B$43)-(B201)&lt;=0,1,MAX(0,IF(Inputs!$B$38="pvp",15,Inputs!$B$43)-MAX(5,B201))/(IF(Inputs!$B$38="pvp",15,Inputs!$B$43)-(B201))))*(IF(AND(ArtifactsInput!$M$42,((Inputs!$B$9+((C182=TRUE)*(F182-Calc!F19))+B194+(ArtifactsInput!$M$24-ArtifactsInput!$M$24)*CHOOSE(ArtifactsInput!$N$24+1,10,12,14,16,18,20)+IF(ArtifactsInput!$M$10,CHOOSE(ArtifactsInput!$N$10+1,15,18,21,24,27,30)*(IF(Inputs!$B$38="pvp",MIN(15,15)/15,IF(AND(Inputs!$B$38&lt;&gt;"pvp",Inputs!$B$43&gt;0),MIN(15,Inputs!$B$43)/(Inputs!$B$43),0))),0)))&gt;=100),MIN(100,((Inputs!$B$9+((C182=TRUE)*(F182-Calc!F19))+B194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201)&lt;=0,1,MAX(0,IF(Inputs!$B$38="pvp",15,Inputs!$B$43)-MAX(5,B201))/(IF(Inputs!$B$38="pvp",15,Inputs!$B$43)-(B201))))*IF(AND(ArtifactsInput!$M$42,((Inputs!$B$9+((C182=TRUE)*(F182-Calc!F19))+B194+(ArtifactsInput!$M$24-ArtifactsInput!$M$24)*CHOOSE(ArtifactsInput!$N$24+1,10,12,14,16,18,20)+IF(ArtifactsInput!$M$10,CHOOSE(ArtifactsInput!$N$10+1,15,18,21,24,27,30)*(IF(Inputs!$B$38="pvp",MIN(15,15)/15,IF(AND(Inputs!$B$38&lt;&gt;"pvp",Inputs!$B$43&gt;0),MIN(15,Inputs!$B$43)/(Inputs!$B$43),0))),0)))&gt;=100),CHOOSE(ArtifactsInput!$N$42+1,40,48,56,64,72,80),0))))/100)*((1+(((C180=TRUE)*F180*5/7)+((C187=TRUE)*(F187-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177)</f>
        <v/>
      </c>
      <c r="L177">
        <f>K177*(MIN(Inputs!$B$22+((C185=TRUE)*(F185-Calc!F22)),(Inputs!$B$23+0+(IF(ArtifactsInput!$M$15,CHOOSE(ArtifactsInput!$N$15+1,25,30,35,40,45,50)/100*(Inputs!$B$11-Inputs!$B$11),0))))/100+(Inputs!$B$23+0+(IF(ArtifactsInput!$M$15,CHOOSE(ArtifactsInput!$N$15+1,25,30,35,40,45,50)/100*(Inputs!$B$11-Inputs!$B$11),0)))/100)/2</f>
        <v/>
      </c>
      <c r="M177">
        <f>L177*(1+(Inputs!$B$10+((C188=TRUE)*(F188-Calc!F25))+B199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7">
        <f>L177*(1-MIN((Inputs!$B$9+((C182=TRUE)*(F182-Calc!F19))+B194+(ArtifactsInput!$M$24-ArtifactsInput!$M$24)*CHOOSE(ArtifactsInput!$N$24+1,10,12,14,16,18,20)+(IF(AND(Inputs!$B$38&lt;&gt;"pvp",Inputs!$B$43=0),1,IF(IF(Inputs!$B$38="pvp",15,Inputs!$B$43)-(B201)&lt;=0,1,MAX(0,IF(Inputs!$B$38="pvp",15,Inputs!$B$43)-MAX(5,B201))/(IF(Inputs!$B$38="pvp",15,Inputs!$B$43)-(B201))))*IF(AND(ArtifactsInput!$M$42,((Inputs!$B$9+((C182=TRUE)*(F182-Calc!F19))+B194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177*(MIN((Inputs!$B$9+((C182=TRUE)*(F182-Calc!F19))+B194+(ArtifactsInput!$M$24-ArtifactsInput!$M$24)*CHOOSE(ArtifactsInput!$N$24+1,10,12,14,16,18,20)+(IF(AND(Inputs!$B$38&lt;&gt;"pvp",Inputs!$B$43=0),1,IF(IF(Inputs!$B$38="pvp",15,Inputs!$B$43)-(B201)&lt;=0,1,MAX(0,IF(Inputs!$B$38="pvp",15,Inputs!$B$43)-MAX(5,B201))/(IF(Inputs!$B$38="pvp",15,Inputs!$B$43)-(B201))))*IF(AND(ArtifactsInput!$M$42,((Inputs!$B$9+((C182=TRUE)*(F182-Calc!F19))+B194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7">
        <f>(1-Summary!$B$11)*T177+Summary!$B$11*V177</f>
        <v/>
      </c>
      <c r="P177">
        <f>IF(B204=0,0,O177/B204)</f>
        <v/>
      </c>
      <c r="Q177" t="n">
        <v>0</v>
      </c>
      <c r="R177" t="n">
        <v>0</v>
      </c>
      <c r="S177">
        <f>IFERROR(O177/N177,0)</f>
        <v/>
      </c>
      <c r="T177">
        <f>IF(C177,((H177*(B198+IF(AND(Inputs!$B$38&lt;&gt;"pvp",Inputs!$B$43&gt;0),((Skills!G8*((R171-1)*IF(Skills!H8&gt;0,INT(Skills!I8/Skills!H8+0.000000001),1)+IF(Skills!H8&gt;0,INT(MIN(Skills!I8,MAX(0,MAX(0,Inputs!$B$43-B201)-((R171-1)*((IF(Inputs!$B$38="pvp",15,MAX(0.1,Skills!D8-IF(TRUE=TRUE,Inputs!$B$32,0)))*(1-IF(AND(ArtifactsInput!$M$27,Inputs!$B$4="Chapter Hunt"),CHOOSE(ArtifactsInput!$N$27+1,20,24,28,32,36,40),0)/100))/B205))))/Skills!H8+0.000000001),1)))/Inputs!$B$43),G171*Q171)+IF(AND(Inputs!$B$38&lt;&gt;"pvp",Inputs!$B$43&gt;0),((Skills!G11*((R174-1)*IF(Skills!H11&gt;0,INT(Skills!I11/Skills!H11+0.000000001),1)+IF(Skills!H11&gt;0,INT(MIN(Skills!I11,MAX(0,MAX(0,Inputs!$B$43-B201)-((R174-1)*((IF(Inputs!$B$38="pvp",15,MAX(0.1,Skills!D11-IF(TRUE=TRUE,Inputs!$B$32,0)))*(1-IF(AND(ArtifactsInput!$M$27,Inputs!$B$4="Chapter Hunt"),CHOOSE(ArtifactsInput!$N$27+1,20,24,28,32,36,40),0)/100))/B205))))/Skills!H11+0.000000001),1)))/Inputs!$B$43),G174*Q174)))/(1+Skills!H14*H177*(B198+IF(AND(Inputs!$B$38&lt;&gt;"pvp",Inputs!$B$43&gt;0),((Skills!G8*((R171-1)*IF(Skills!H8&gt;0,INT(Skills!I8/Skills!H8+0.000000001),1)+IF(Skills!H8&gt;0,INT(MIN(Skills!I8,MAX(0,MAX(0,Inputs!$B$43-B201)-((R171-1)*((IF(Inputs!$B$38="pvp",15,MAX(0.1,Skills!D8-IF(TRUE=TRUE,Inputs!$B$32,0)))*(1-IF(AND(ArtifactsInput!$M$27,Inputs!$B$4="Chapter Hunt"),CHOOSE(ArtifactsInput!$N$27+1,20,24,28,32,36,40),0)/100))/B205))))/Skills!H8+0.000000001),1)))/Inputs!$B$43),G171*Q171)+IF(AND(Inputs!$B$38&lt;&gt;"pvp",Inputs!$B$43&gt;0),((Skills!G11*((R174-1)*IF(Skills!H11&gt;0,INT(Skills!I11/Skills!H11+0.000000001),1)+IF(Skills!H11&gt;0,INT(MIN(Skills!I11,MAX(0,MAX(0,Inputs!$B$43-B201)-((R174-1)*((IF(Inputs!$B$38="pvp",15,MAX(0.1,Skills!D11-IF(TRUE=TRUE,Inputs!$B$32,0)))*(1-IF(AND(ArtifactsInput!$M$27,Inputs!$B$4="Chapter Hunt"),CHOOSE(ArtifactsInput!$N$27+1,20,24,28,32,36,40),0)/100))/B205))))/Skills!H11+0.000000001),1)))/Inputs!$B$43),G174*Q174)))*N177)*IF(Inputs!$B$38="pvp",1,1+(Inputs!$B$20+0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Hunt"),CHOOSE(ArtifactsInput!$N$35+1,15,18,21,24,27,30)*(1-EXP(-(0.2*B196)*5)),0)+IF(AND(ArtifactsInput!$M$22,Inputs!$B$4&lt;&gt;"Chapter Hunt"),CHOOSE(ArtifactsInput!$N$22+1,10,12,14,16,18,20)*((0*(((0.15*B196*5))^0/1)+1*(((0.15*B196*5))^1/1)+2*(((0.15*B196*5))^2/2)+3*(((0.15*B196*5))^3/6)+4*(((0.15*B196*5))^4/24)+5*(((0.15*B196*5))^5/120))/((((0.15*B196*5))^0/1)+(((0.15*B196*5))^1/1)+(((0.15*B196*5))^2/2)+(((0.15*B196*5))^3/6)+(((0.15*B196*5))^4/24)+(((0.15*B196*5))^5/120))),0))+IF(Inputs!$B$3&gt;=54,9*(C166=TRUE)*MIN(1,8*(1+Inputs!$B$34/100)*Q166)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177*(1-MIN(100,(Inputs!$B$9+((C182=TRUE)*(F182-Calc!F19))+B194+(ArtifactsInput!$M$24-ArtifactsInput!$M$24)*CHOOSE(ArtifactsInput!$N$24+1,10,12,14,16,18,20)+(IF(AND(Inputs!$B$38&lt;&gt;"pvp",Inputs!$B$43=0),1,IF(IF(Inputs!$B$38="pvp",15,Inputs!$B$43)-(B201)&lt;=0,1,MAX(0,IF(Inputs!$B$38="pvp",15,Inputs!$B$43)-MAX(5,B201))/(IF(Inputs!$B$38="pvp",15,Inputs!$B$43)-(B201))))*IF(AND(ArtifactsInput!$M$42,((Inputs!$B$9+((C182=TRUE)*(F182-Calc!F19))+B194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177*(MIN(100,(Inputs!$B$9+((C182=TRUE)*(F182-Calc!F19))+B194+(ArtifactsInput!$M$24-ArtifactsInput!$M$24)*CHOOSE(ArtifactsInput!$N$24+1,10,12,14,16,18,20)+(IF(AND(Inputs!$B$38&lt;&gt;"pvp",Inputs!$B$43=0),1,IF(IF(Inputs!$B$38="pvp",15,Inputs!$B$43)-(B201)&lt;=0,1,MAX(0,IF(Inputs!$B$38="pvp",15,Inputs!$B$43)-MAX(5,B201))/(IF(Inputs!$B$38="pvp",15,Inputs!$B$43)-(B201))))*IF(AND(ArtifactsInput!$M$42,((Inputs!$B$9+((C182=TRUE)*(F182-Calc!F19))+B194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177*(1-MIN(100,(Inputs!$B$9+((C182=TRUE)*(F182-Calc!F19))+B194+(ArtifactsInput!$M$24-ArtifactsInput!$M$24)*CHOOSE(ArtifactsInput!$N$24+1,10,12,14,16,18,20)+(IF(AND(Inputs!$B$38&lt;&gt;"pvp",Inputs!$B$43=0),1,IF(IF(Inputs!$B$38="pvp",15,Inputs!$B$43)-(B201)&lt;=0,1,MAX(0,IF(Inputs!$B$38="pvp",15,Inputs!$B$43)-MAX(5,B201))/(IF(Inputs!$B$38="pvp",15,Inputs!$B$43)-(B201))))*IF(AND(ArtifactsInput!$M$42,((Inputs!$B$9+((C182=TRUE)*(F182-Calc!F19))+B194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177*(MIN(100,(Inputs!$B$9+((C182=TRUE)*(F182-Calc!F19))+B194+(ArtifactsInput!$M$24-ArtifactsInput!$M$24)*CHOOSE(ArtifactsInput!$N$24+1,10,12,14,16,18,20)+(IF(AND(Inputs!$B$38&lt;&gt;"pvp",Inputs!$B$43=0),1,IF(IF(Inputs!$B$38="pvp",15,Inputs!$B$43)-(B201)&lt;=0,1,MAX(0,IF(Inputs!$B$38="pvp",15,Inputs!$B$43)-MAX(5,B201))/(IF(Inputs!$B$38="pvp",15,Inputs!$B$43)-(B201))))*IF(AND(ArtifactsInput!$M$42,((Inputs!$B$9+((C182=TRUE)*(F182-Calc!F19))+B194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77">
        <f>IF(C177,((H177*(B198+IF(AND(Inputs!$B$38&lt;&gt;"pvp",Inputs!$B$43&gt;0),((Skills!G8*((R171-1)*IF(Skills!H8&gt;0,INT(Skills!I8/Skills!H8+0.000000001),1)+IF(Skills!H8&gt;0,INT(MIN(Skills!I8,MAX(0,MAX(0,Inputs!$B$43-B201)-((R171-1)*((IF(Inputs!$B$38="pvp",15,MAX(0.1,Skills!D8-IF(TRUE=TRUE,Inputs!$B$32,0)))*(1-IF(AND(ArtifactsInput!$M$27,Inputs!$B$4="Chapter Hunt"),CHOOSE(ArtifactsInput!$N$27+1,20,24,28,32,36,40),0)/100))/B205))))/Skills!H8+0.000000001),1)))/Inputs!$B$43),G171*Q171)+IF(AND(Inputs!$B$38&lt;&gt;"pvp",Inputs!$B$43&gt;0),((Skills!G11*((R174-1)*IF(Skills!H11&gt;0,INT(Skills!I11/Skills!H11+0.000000001),1)+IF(Skills!H11&gt;0,INT(MIN(Skills!I11,MAX(0,MAX(0,Inputs!$B$43-B201)-((R174-1)*((IF(Inputs!$B$38="pvp",15,MAX(0.1,Skills!D11-IF(TRUE=TRUE,Inputs!$B$32,0)))*(1-IF(AND(ArtifactsInput!$M$27,Inputs!$B$4="Chapter Hunt"),CHOOSE(ArtifactsInput!$N$27+1,20,24,28,32,36,40),0)/100))/B205))))/Skills!H11+0.000000001),1)))/Inputs!$B$43),G174*Q174)))/(1+Skills!H14*H177*(B198+IF(AND(Inputs!$B$38&lt;&gt;"pvp",Inputs!$B$43&gt;0),((Skills!G8*((R171-1)*IF(Skills!H8&gt;0,INT(Skills!I8/Skills!H8+0.000000001),1)+IF(Skills!H8&gt;0,INT(MIN(Skills!I8,MAX(0,MAX(0,Inputs!$B$43-B201)-((R171-1)*((IF(Inputs!$B$38="pvp",15,MAX(0.1,Skills!D8-IF(TRUE=TRUE,Inputs!$B$32,0)))*(1-IF(AND(ArtifactsInput!$M$27,Inputs!$B$4="Chapter Hunt"),CHOOSE(ArtifactsInput!$N$27+1,20,24,28,32,36,40),0)/100))/B205))))/Skills!H8+0.000000001),1)))/Inputs!$B$43),G171*Q171)+IF(AND(Inputs!$B$38&lt;&gt;"pvp",Inputs!$B$43&gt;0),((Skills!G11*((R174-1)*IF(Skills!H11&gt;0,INT(Skills!I11/Skills!H11+0.000000001),1)+IF(Skills!H11&gt;0,INT(MIN(Skills!I11,MAX(0,MAX(0,Inputs!$B$43-B201)-((R174-1)*((IF(Inputs!$B$38="pvp",15,MAX(0.1,Skills!D11-IF(TRUE=TRUE,Inputs!$B$32,0)))*(1-IF(AND(ArtifactsInput!$M$27,Inputs!$B$4="Chapter Hunt"),CHOOSE(ArtifactsInput!$N$27+1,20,24,28,32,36,40),0)/100))/B205))))/Skills!H11+0.000000001),1)))/Inputs!$B$43),G174*Q174)))*N177)*IF(Inputs!$B$38="pvp",1,(1+(Inputs!$B$21+Skills!Q14+(IF(ArtifactsInput!$M$33,CHOOSE(ArtifactsInput!$N$33+1,30,36,42,48,54,60),0))+(IF(AND(ArtifactsInput!$M$35,Inputs!$B$4&lt;&gt;"Chapter Hunt"),CHOOSE(ArtifactsInput!$N$35+1,15,18,21,24,27,30)*(1-EXP(-(0.2*B196)*5)),0)+IF(AND(ArtifactsInput!$M$22,Inputs!$B$4&lt;&gt;"Chapter Hunt"),CHOOSE(ArtifactsInput!$N$22+1,10,12,14,16,18,20)*((0*(((0.15*B196*5))^0/1)+1*(((0.15*B196*5))^1/1)+2*(((0.15*B196*5))^2/2)+3*(((0.15*B196*5))^3/6)+4*(((0.15*B196*5))^4/24)+5*(((0.15*B196*5))^5/120))/((((0.15*B196*5))^0/1)+(((0.15*B196*5))^1/1)+(((0.15*B196*5))^2/2)+(((0.15*B196*5))^3/6)+(((0.15*B196*5))^4/24)+(((0.15*B196*5))^5/120))),0))+IF(Inputs!$B$3&gt;=54,9*(C166=TRUE)*MIN(1,8*(1+Inputs!$B$34/100)*Q166),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8">
      <c r="A178">
        <f>Skills!A15</f>
        <v/>
      </c>
      <c r="B178">
        <f>Skills!B15</f>
        <v/>
      </c>
      <c r="C178">
        <f>Inputs!$B$3&gt;=100</f>
        <v/>
      </c>
      <c r="D178">
        <f>IF(Skills!C15=1,60+Inputs!$B$25+Inputs!$B$29,IF(Skills!C15=2,90+Inputs!$B$26+Inputs!$B$29,IF(Skills!C15=3,120+Inputs!$B$27+Inputs!$B$29,MAX(0,(Inputs!$B$3-100)*3)+Inputs!$B$28+Inputs!$B$29)))</f>
        <v/>
      </c>
      <c r="E178">
        <f>INDEX(FactorTable!$B$2:$Y$301, MATCH(ROUND(MIN(300,MAX(1,D178)),0), FactorTable!$A$2:$A$301,0), Skills!M15+1)</f>
        <v/>
      </c>
      <c r="F178">
        <f>IF(Skills!N15=TRUE,(Skills!L15/10)*(E178/1000),Skills!L15/10)+Skills!O15</f>
        <v/>
      </c>
      <c r="G178" t="inlineStr"/>
      <c r="H178" t="inlineStr"/>
      <c r="I178" t="inlineStr">
        <is>
          <t>1</t>
        </is>
      </c>
      <c r="J178" t="inlineStr"/>
      <c r="K178" t="inlineStr"/>
      <c r="L178" t="inlineStr"/>
      <c r="M178" t="inlineStr"/>
      <c r="N178" t="inlineStr"/>
      <c r="O178" t="inlineStr"/>
      <c r="P178" t="inlineStr"/>
      <c r="Q178" t="inlineStr"/>
      <c r="R178" t="inlineStr"/>
      <c r="S178" t="inlineStr"/>
    </row>
    <row r="179">
      <c r="A179">
        <f>Skills!A16</f>
        <v/>
      </c>
      <c r="B179">
        <f>Skills!B16</f>
        <v/>
      </c>
      <c r="C179">
        <f>Inputs!$B$3&gt;=107</f>
        <v/>
      </c>
      <c r="D179">
        <f>IF(Skills!C16=1,60+Inputs!$B$25+Inputs!$B$29,IF(Skills!C16=2,90+Inputs!$B$26+Inputs!$B$29,IF(Skills!C16=3,120+Inputs!$B$27+Inputs!$B$29,MAX(0,(Inputs!$B$3-100)*3)+Inputs!$B$28+Inputs!$B$29)))</f>
        <v/>
      </c>
      <c r="E179">
        <f>INDEX(FactorTable!$B$2:$Y$301, MATCH(ROUND(MIN(300,MAX(1,D179)),0), FactorTable!$A$2:$A$301,0), Skills!M16+1)</f>
        <v/>
      </c>
      <c r="F179">
        <f>IF(Skills!N16=TRUE,(Skills!L16/10)*(E179/1000),Skills!L16/10)+Skills!O16</f>
        <v/>
      </c>
      <c r="G179" t="inlineStr"/>
      <c r="H179" t="inlineStr"/>
      <c r="I179" t="inlineStr">
        <is>
          <t>1</t>
        </is>
      </c>
      <c r="J179" t="inlineStr"/>
      <c r="K179" t="inlineStr"/>
      <c r="L179" t="inlineStr"/>
      <c r="M179" t="inlineStr"/>
      <c r="N179" t="inlineStr"/>
      <c r="O179" t="inlineStr"/>
      <c r="P179" t="inlineStr"/>
      <c r="Q179" t="inlineStr"/>
      <c r="R179" t="inlineStr"/>
      <c r="S179" t="inlineStr"/>
    </row>
    <row r="180">
      <c r="A180">
        <f>Skills!A17</f>
        <v/>
      </c>
      <c r="B180">
        <f>Skills!B17</f>
        <v/>
      </c>
      <c r="C180">
        <f>Inputs!$B$3&gt;=74</f>
        <v/>
      </c>
      <c r="D180">
        <f>IF(Skills!C17=1,60+Inputs!$B$25+Inputs!$B$29,IF(Skills!C17=2,90+Inputs!$B$26+Inputs!$B$29,IF(Skills!C17=3,120+Inputs!$B$27+Inputs!$B$29,MAX(0,(Inputs!$B$3-100)*3)+Inputs!$B$28+Inputs!$B$29)))</f>
        <v/>
      </c>
      <c r="E180">
        <f>INDEX(FactorTable!$B$2:$Y$301, MATCH(ROUND(MIN(300,MAX(1,D180)),0), FactorTable!$A$2:$A$301,0), Skills!M17+1)</f>
        <v/>
      </c>
      <c r="F180">
        <f>IF(Skills!N17=TRUE,(Skills!L17/10)*(E180/1000),Skills!L17/10)+Skills!O17</f>
        <v/>
      </c>
      <c r="G180">
        <f>Skills!G17*IF(Skills!H17&gt;0,INT(IF(Inputs!$B$38="pvp",MIN(Skills!I17,15),Skills!I17)/Skills!H17+0.000000001),1)</f>
        <v/>
      </c>
      <c r="H180">
        <f>1-(1-Skills!J17/100)^Skills!K17</f>
        <v/>
      </c>
      <c r="I180" t="inlineStr">
        <is>
          <t>1</t>
        </is>
      </c>
      <c r="J180" t="inlineStr"/>
      <c r="K180" t="inlineStr"/>
      <c r="L180" t="inlineStr"/>
      <c r="M180" t="inlineStr"/>
      <c r="N180" t="inlineStr"/>
      <c r="O180">
        <f>(1-Summary!$B$11)*T180+Summary!$B$11*V180</f>
        <v/>
      </c>
      <c r="P180">
        <f>IF(B204=0,0,O180/B204)</f>
        <v/>
      </c>
      <c r="Q180" t="n">
        <v>0</v>
      </c>
      <c r="R180" t="n">
        <v>0</v>
      </c>
      <c r="S180">
        <f>IFERROR(O180/N180,0)</f>
        <v/>
      </c>
      <c r="T180" t="n">
        <v>0</v>
      </c>
      <c r="V180" t="n">
        <v>0</v>
      </c>
    </row>
    <row r="181">
      <c r="A181">
        <f>Skills!A18</f>
        <v/>
      </c>
      <c r="B181">
        <f>Skills!B18</f>
        <v/>
      </c>
      <c r="C181">
        <f>Inputs!$B$3&gt;=115</f>
        <v/>
      </c>
      <c r="D181">
        <f>IF(Skills!C18=1,60+Inputs!$B$25+Inputs!$B$29,IF(Skills!C18=2,90+Inputs!$B$26+Inputs!$B$29,IF(Skills!C18=3,120+Inputs!$B$27+Inputs!$B$29,MAX(0,(Inputs!$B$3-100)*3)+Inputs!$B$28+Inputs!$B$29)))</f>
        <v/>
      </c>
      <c r="E181">
        <f>INDEX(FactorTable!$B$2:$Y$301, MATCH(ROUND(MIN(300,MAX(1,D181)),0), FactorTable!$A$2:$A$301,0), Skills!M18+1)</f>
        <v/>
      </c>
      <c r="F181">
        <f>IF(Skills!N18=TRUE,(Skills!L18/10)*(E181/1000),Skills!L18/10)+Skills!O18</f>
        <v/>
      </c>
      <c r="G181">
        <f>Skills!G18*IF(Skills!H18&gt;0,INT(IF(Inputs!$B$38="pvp",MIN(Skills!I18,15),Skills!I18)/Skills!H18+0.000000001),1)</f>
        <v/>
      </c>
      <c r="H181">
        <f>1-(1-Skills!J18/100)^Skills!K18</f>
        <v/>
      </c>
      <c r="I181" t="inlineStr">
        <is>
          <t>1</t>
        </is>
      </c>
      <c r="J181" t="inlineStr"/>
      <c r="K181" t="inlineStr"/>
      <c r="L181" t="inlineStr"/>
      <c r="M181" t="inlineStr"/>
      <c r="N181" t="inlineStr"/>
      <c r="O181">
        <f>(1-Summary!$B$11)*T181+Summary!$B$11*V181</f>
        <v/>
      </c>
      <c r="P181">
        <f>IF(B204=0,0,O181/B204)</f>
        <v/>
      </c>
      <c r="Q181">
        <f>IFERROR(1/(IF(Inputs!$B$38="pvp",15,MAX(0.1,Skills!D18-IF(TRUE=TRUE,Inputs!$B$32,0)))*(1-IF(AND(ArtifactsInput!$M$27,Inputs!$B$4="Chapter Hunt"),CHOOSE(ArtifactsInput!$N$27+1,20,24,28,32,36,40),0)/100)),0)</f>
        <v/>
      </c>
      <c r="R181">
        <f>IF(AND(Inputs!$B$38&lt;&gt;"pvp",Inputs!$B$43&gt;0),IF(Inputs!$B$43&lt;=0,0,(INT(Inputs!$B$43/(IF(Inputs!$B$38="pvp",15,MAX(0.1,Skills!D18-IF(TRUE=TRUE,Inputs!$B$32,0)))*(1-IF(AND(ArtifactsInput!$M$27,Inputs!$B$4="Chapter Hunt"),CHOOSE(ArtifactsInput!$N$27+1,20,24,28,32,36,40),0)/100)))+1)),0)</f>
        <v/>
      </c>
      <c r="S181">
        <f>IFERROR(O181/N181,0)</f>
        <v/>
      </c>
      <c r="T181" t="n">
        <v>0</v>
      </c>
      <c r="V181" t="n">
        <v>0</v>
      </c>
    </row>
    <row r="182">
      <c r="A182">
        <f>Skills!A19</f>
        <v/>
      </c>
      <c r="B182">
        <f>Skills!B19</f>
        <v/>
      </c>
      <c r="C182">
        <f>Inputs!$B$3&gt;=10</f>
        <v/>
      </c>
      <c r="D182">
        <f>IF(Skills!C19=1,60+Inputs!$B$25+Inputs!$B$29,IF(Skills!C19=2,90+Inputs!$B$26+Inputs!$B$29,IF(Skills!C19=3,120+Inputs!$B$27+Inputs!$B$29,MAX(0,(Inputs!$B$3-100)*3)+Inputs!$B$28+Inputs!$B$29)))</f>
        <v/>
      </c>
      <c r="E182">
        <f>INDEX(FactorTable!$B$2:$Y$301, MATCH(ROUND(MIN(300,MAX(1,D182)),0), FactorTable!$A$2:$A$301,0), Skills!M19+1)</f>
        <v/>
      </c>
      <c r="F182">
        <f>IF(Skills!N19=TRUE,(Skills!L19/10)*(E182/1000),Skills!L19/10)+Skills!O19</f>
        <v/>
      </c>
      <c r="G182">
        <f>Skills!G19*IF(Skills!H19&gt;0,INT(IF(Inputs!$B$38="pvp",MIN(Skills!I19,15),Skills!I19)/Skills!H19+0.000000001),1)</f>
        <v/>
      </c>
      <c r="H182">
        <f>1-(1-Skills!J19/100)^Skills!K19</f>
        <v/>
      </c>
      <c r="I182" t="inlineStr">
        <is>
          <t>1</t>
        </is>
      </c>
      <c r="J182" t="inlineStr"/>
      <c r="K182" t="inlineStr"/>
      <c r="L182" t="inlineStr"/>
      <c r="M182" t="inlineStr"/>
      <c r="N182" t="inlineStr"/>
      <c r="O182">
        <f>(1-Summary!$B$11)*T182+Summary!$B$11*V182</f>
        <v/>
      </c>
      <c r="P182">
        <f>IF(B204=0,0,O182/B204)</f>
        <v/>
      </c>
      <c r="Q182" t="n">
        <v>0</v>
      </c>
      <c r="R182" t="n">
        <v>0</v>
      </c>
      <c r="S182">
        <f>IFERROR(O182/N182,0)</f>
        <v/>
      </c>
      <c r="T182" t="n">
        <v>0</v>
      </c>
      <c r="V182" t="n">
        <v>0</v>
      </c>
    </row>
    <row r="183">
      <c r="A183">
        <f>Skills!A20</f>
        <v/>
      </c>
      <c r="B183">
        <f>Skills!B20</f>
        <v/>
      </c>
      <c r="C183">
        <f>Inputs!$B$3&gt;=15</f>
        <v/>
      </c>
      <c r="D183">
        <f>IF(Skills!C20=1,60+Inputs!$B$25+Inputs!$B$29,IF(Skills!C20=2,90+Inputs!$B$26+Inputs!$B$29,IF(Skills!C20=3,120+Inputs!$B$27+Inputs!$B$29,MAX(0,(Inputs!$B$3-100)*3)+Inputs!$B$28+Inputs!$B$29)))</f>
        <v/>
      </c>
      <c r="E183">
        <f>INDEX(FactorTable!$B$2:$Y$301, MATCH(ROUND(MIN(300,MAX(1,D183)),0), FactorTable!$A$2:$A$301,0), Skills!M20+1)</f>
        <v/>
      </c>
      <c r="F183">
        <f>IF(Skills!N20=TRUE,(Skills!L20/10)*(E183/1000),Skills!L20/10)+Skills!O20</f>
        <v/>
      </c>
      <c r="G183">
        <f>Skills!G20*IF(Skills!H20&gt;0,INT(IF(Inputs!$B$38="pvp",MIN(Skills!I20,15),Skills!I20)/Skills!H20+0.000000001),1)</f>
        <v/>
      </c>
      <c r="H183">
        <f>1-(1-Skills!J20/100)^Skills!K20</f>
        <v/>
      </c>
      <c r="I183" t="inlineStr">
        <is>
          <t>1</t>
        </is>
      </c>
      <c r="J183" t="inlineStr"/>
      <c r="K183" t="inlineStr"/>
      <c r="L183" t="inlineStr"/>
      <c r="M183" t="inlineStr"/>
      <c r="N183" t="inlineStr"/>
      <c r="O183">
        <f>(1-Summary!$B$11)*T183+Summary!$B$11*V183</f>
        <v/>
      </c>
      <c r="P183">
        <f>IF(B204=0,0,O183/B204)</f>
        <v/>
      </c>
      <c r="Q183" t="n">
        <v>0</v>
      </c>
      <c r="R183" t="n">
        <v>0</v>
      </c>
      <c r="S183">
        <f>IFERROR(O183/N183,0)</f>
        <v/>
      </c>
      <c r="T183" t="n">
        <v>0</v>
      </c>
      <c r="V183" t="n">
        <v>0</v>
      </c>
    </row>
    <row r="184">
      <c r="A184">
        <f>Skills!A21</f>
        <v/>
      </c>
      <c r="B184">
        <f>Skills!B21</f>
        <v/>
      </c>
      <c r="C184">
        <f>Inputs!$B$3&gt;=40</f>
        <v/>
      </c>
      <c r="D184">
        <f>IF(Skills!C21=1,60+Inputs!$B$25+Inputs!$B$29,IF(Skills!C21=2,90+Inputs!$B$26+Inputs!$B$29,IF(Skills!C21=3,120+Inputs!$B$27+Inputs!$B$29,MAX(0,(Inputs!$B$3-100)*3)+Inputs!$B$28+Inputs!$B$29)))</f>
        <v/>
      </c>
      <c r="E184">
        <f>INDEX(FactorTable!$B$2:$Y$301, MATCH(ROUND(MIN(300,MAX(1,D184)),0), FactorTable!$A$2:$A$301,0), Skills!M21+1)</f>
        <v/>
      </c>
      <c r="F184">
        <f>IF(Skills!N21=TRUE,(Skills!L21/10)*(E184/1000),Skills!L21/10)+Skills!O21</f>
        <v/>
      </c>
      <c r="G184">
        <f>Skills!G21*IF(Skills!H21&gt;0,INT(IF(Inputs!$B$38="pvp",MIN(Skills!I21,15),Skills!I21)/Skills!H21+0.000000001),1)</f>
        <v/>
      </c>
      <c r="H184">
        <f>1-(1-Skills!J21/100)^Skills!K21</f>
        <v/>
      </c>
      <c r="I184" t="inlineStr">
        <is>
          <t>1</t>
        </is>
      </c>
      <c r="J184" t="inlineStr"/>
      <c r="K184" t="inlineStr"/>
      <c r="L184" t="inlineStr"/>
      <c r="M184" t="inlineStr"/>
      <c r="N184" t="inlineStr"/>
      <c r="O184">
        <f>(1-Summary!$B$11)*T184+Summary!$B$11*V184</f>
        <v/>
      </c>
      <c r="P184">
        <f>IF(B204=0,0,O184/B204)</f>
        <v/>
      </c>
      <c r="Q184" t="n">
        <v>0</v>
      </c>
      <c r="R184" t="n">
        <v>0</v>
      </c>
      <c r="S184">
        <f>IFERROR(O184/N184,0)</f>
        <v/>
      </c>
      <c r="T184" t="n">
        <v>0</v>
      </c>
      <c r="V184" t="n">
        <v>0</v>
      </c>
    </row>
    <row r="185">
      <c r="A185">
        <f>Skills!A22</f>
        <v/>
      </c>
      <c r="B185">
        <f>Skills!B22</f>
        <v/>
      </c>
      <c r="C185">
        <f>Inputs!$B$3&gt;=43</f>
        <v/>
      </c>
      <c r="D185">
        <f>IF(Skills!C22=1,60+Inputs!$B$25+Inputs!$B$29,IF(Skills!C22=2,90+Inputs!$B$26+Inputs!$B$29,IF(Skills!C22=3,120+Inputs!$B$27+Inputs!$B$29,MAX(0,(Inputs!$B$3-100)*3)+Inputs!$B$28+Inputs!$B$29)))</f>
        <v/>
      </c>
      <c r="E185">
        <f>INDEX(FactorTable!$B$2:$Y$301, MATCH(ROUND(MIN(300,MAX(1,D185)),0), FactorTable!$A$2:$A$301,0), Skills!M22+1)</f>
        <v/>
      </c>
      <c r="F185">
        <f>IF(Skills!N22=TRUE,(Skills!L22/10)*(E185/1000),Skills!L22/10)+Skills!O22</f>
        <v/>
      </c>
      <c r="G185">
        <f>Skills!G22*IF(Skills!H22&gt;0,INT(IF(Inputs!$B$38="pvp",MIN(Skills!I22,15),Skills!I22)/Skills!H22+0.000000001),1)</f>
        <v/>
      </c>
      <c r="H185">
        <f>1-(1-Skills!J22/100)^Skills!K22</f>
        <v/>
      </c>
      <c r="I185" t="inlineStr">
        <is>
          <t>1</t>
        </is>
      </c>
      <c r="J185" t="inlineStr"/>
      <c r="K185" t="inlineStr"/>
      <c r="L185" t="inlineStr"/>
      <c r="M185" t="inlineStr"/>
      <c r="N185" t="inlineStr"/>
      <c r="O185">
        <f>(1-Summary!$B$11)*T185+Summary!$B$11*V185</f>
        <v/>
      </c>
      <c r="P185">
        <f>IF(B204=0,0,O185/B204)</f>
        <v/>
      </c>
      <c r="Q185" t="n">
        <v>0</v>
      </c>
      <c r="R185" t="n">
        <v>0</v>
      </c>
      <c r="S185">
        <f>IFERROR(O185/N185,0)</f>
        <v/>
      </c>
      <c r="T185" t="n">
        <v>0</v>
      </c>
      <c r="V185" t="n">
        <v>0</v>
      </c>
    </row>
    <row r="186">
      <c r="A186">
        <f>Skills!A23</f>
        <v/>
      </c>
      <c r="B186">
        <f>Skills!B23</f>
        <v/>
      </c>
      <c r="C186">
        <f>Inputs!$B$3&gt;=38</f>
        <v/>
      </c>
      <c r="D186">
        <f>IF(Skills!C23=1,60+Inputs!$B$25+Inputs!$B$29,IF(Skills!C23=2,90+Inputs!$B$26+Inputs!$B$29,IF(Skills!C23=3,120+Inputs!$B$27+Inputs!$B$29,MAX(0,(Inputs!$B$3-100)*3)+Inputs!$B$28+Inputs!$B$29)))</f>
        <v/>
      </c>
      <c r="E186">
        <f>INDEX(FactorTable!$B$2:$Y$301, MATCH(ROUND(MIN(300,MAX(1,D186)),0), FactorTable!$A$2:$A$301,0), Skills!M23+1)</f>
        <v/>
      </c>
      <c r="F186">
        <f>IF(Skills!N23=TRUE,(Skills!L23/10)*(E186/1000),Skills!L23/10)+Skills!O23</f>
        <v/>
      </c>
      <c r="G186">
        <f>Skills!G23*IF(Skills!H23&gt;0,INT(IF(Inputs!$B$38="pvp",MIN(Skills!I23,15),Skills!I23)/Skills!H23+0.000000001),1)</f>
        <v/>
      </c>
      <c r="H186">
        <f>1-(1-Skills!J23/100)^Skills!K23</f>
        <v/>
      </c>
      <c r="I186" t="inlineStr">
        <is>
          <t>1</t>
        </is>
      </c>
      <c r="J186" t="inlineStr"/>
      <c r="K186" t="inlineStr"/>
      <c r="L186" t="inlineStr"/>
      <c r="M186" t="inlineStr"/>
      <c r="N186" t="inlineStr"/>
      <c r="O186">
        <f>(1-Summary!$B$11)*T186+Summary!$B$11*V186</f>
        <v/>
      </c>
      <c r="P186">
        <f>IF(B204=0,0,O186/B204)</f>
        <v/>
      </c>
      <c r="Q186" t="n">
        <v>0</v>
      </c>
      <c r="R186" t="n">
        <v>0</v>
      </c>
      <c r="S186">
        <f>IFERROR(O186/N186,0)</f>
        <v/>
      </c>
      <c r="T186" t="n">
        <v>0</v>
      </c>
      <c r="V186" t="n">
        <v>0</v>
      </c>
    </row>
    <row r="187">
      <c r="A187">
        <f>Skills!A24</f>
        <v/>
      </c>
      <c r="B187">
        <f>Skills!B24</f>
        <v/>
      </c>
      <c r="C187">
        <f>Inputs!$B$3&gt;=45</f>
        <v/>
      </c>
      <c r="D187">
        <f>IF(Skills!C24=1,60+Inputs!$B$25+Inputs!$B$29,IF(Skills!C24=2,90+Inputs!$B$26+Inputs!$B$29,IF(Skills!C24=3,120+Inputs!$B$27+Inputs!$B$29,MAX(0,(Inputs!$B$3-100)*3)+Inputs!$B$28+Inputs!$B$29)))</f>
        <v/>
      </c>
      <c r="E187">
        <f>INDEX(FactorTable!$B$2:$Y$301, MATCH(ROUND(MIN(300,MAX(1,D187)),0), FactorTable!$A$2:$A$301,0), Skills!M24+1)</f>
        <v/>
      </c>
      <c r="F187">
        <f>IF(Skills!N24=TRUE,(Skills!L24/10)*(E187/1000),Skills!L24/10)+Skills!O24</f>
        <v/>
      </c>
      <c r="G187">
        <f>Skills!G24*IF(Skills!H24&gt;0,INT(IF(Inputs!$B$38="pvp",MIN(Skills!I24,15),Skills!I24)/Skills!H24+0.000000001),1)</f>
        <v/>
      </c>
      <c r="H187">
        <f>1-(1-Skills!J24/100)^Skills!K24</f>
        <v/>
      </c>
      <c r="I187" t="inlineStr">
        <is>
          <t>1</t>
        </is>
      </c>
      <c r="J187" t="inlineStr"/>
      <c r="K187" t="inlineStr"/>
      <c r="L187" t="inlineStr"/>
      <c r="M187" t="inlineStr"/>
      <c r="N187" t="inlineStr"/>
      <c r="O187">
        <f>(1-Summary!$B$11)*T187+Summary!$B$11*V187</f>
        <v/>
      </c>
      <c r="P187">
        <f>IF(B204=0,0,O187/B204)</f>
        <v/>
      </c>
      <c r="Q187" t="n">
        <v>0</v>
      </c>
      <c r="R187" t="n">
        <v>0</v>
      </c>
      <c r="S187">
        <f>IFERROR(O187/N187,0)</f>
        <v/>
      </c>
      <c r="T187" t="n">
        <v>0</v>
      </c>
      <c r="V187" t="n">
        <v>0</v>
      </c>
    </row>
    <row r="188">
      <c r="A188">
        <f>Skills!A25</f>
        <v/>
      </c>
      <c r="B188">
        <f>Skills!B25</f>
        <v/>
      </c>
      <c r="C188">
        <f>Inputs!$B$3&gt;=72</f>
        <v/>
      </c>
      <c r="D188">
        <f>IF(Skills!C25=1,60+Inputs!$B$25+Inputs!$B$29,IF(Skills!C25=2,90+Inputs!$B$26+Inputs!$B$29,IF(Skills!C25=3,120+Inputs!$B$27+Inputs!$B$29,MAX(0,(Inputs!$B$3-100)*3)+Inputs!$B$28+Inputs!$B$29)))</f>
        <v/>
      </c>
      <c r="E188">
        <f>INDEX(FactorTable!$B$2:$Y$301, MATCH(ROUND(MIN(300,MAX(1,D188)),0), FactorTable!$A$2:$A$301,0), Skills!M25+1)</f>
        <v/>
      </c>
      <c r="F188">
        <f>IF(Skills!N25=TRUE,(Skills!L25/10)*(E188/1000),Skills!L25/10)+Skills!O25</f>
        <v/>
      </c>
      <c r="G188">
        <f>Skills!G25*IF(Skills!H25&gt;0,INT(IF(Inputs!$B$38="pvp",MIN(Skills!I25,15),Skills!I25)/Skills!H25+0.000000001),1)</f>
        <v/>
      </c>
      <c r="H188">
        <f>1-(1-Skills!J25/100)^Skills!K25</f>
        <v/>
      </c>
      <c r="I188" t="inlineStr">
        <is>
          <t>1</t>
        </is>
      </c>
      <c r="J188" t="inlineStr"/>
      <c r="K188" t="inlineStr"/>
      <c r="L188" t="inlineStr"/>
      <c r="M188" t="inlineStr"/>
      <c r="N188" t="inlineStr"/>
      <c r="O188">
        <f>(1-Summary!$B$11)*T188+Summary!$B$11*V188</f>
        <v/>
      </c>
      <c r="P188">
        <f>IF(B204=0,0,O188/B204)</f>
        <v/>
      </c>
      <c r="Q188" t="n">
        <v>0</v>
      </c>
      <c r="R188" t="n">
        <v>0</v>
      </c>
      <c r="S188">
        <f>IFERROR(O188/N188,0)</f>
        <v/>
      </c>
      <c r="T188" t="n">
        <v>0</v>
      </c>
      <c r="V188" t="n">
        <v>0</v>
      </c>
    </row>
    <row r="189">
      <c r="A189">
        <f>Skills!A26</f>
        <v/>
      </c>
      <c r="B189">
        <f>Skills!B26</f>
        <v/>
      </c>
      <c r="C189">
        <f>Inputs!$B$3&gt;=75</f>
        <v/>
      </c>
      <c r="D189">
        <f>IF(Skills!C26=1,60+Inputs!$B$25+Inputs!$B$29,IF(Skills!C26=2,90+Inputs!$B$26+Inputs!$B$29,IF(Skills!C26=3,120+Inputs!$B$27+Inputs!$B$29,MAX(0,(Inputs!$B$3-100)*3)+Inputs!$B$28+Inputs!$B$29)))</f>
        <v/>
      </c>
      <c r="E189">
        <f>INDEX(FactorTable!$B$2:$Y$301, MATCH(ROUND(MIN(300,MAX(1,D189)),0), FactorTable!$A$2:$A$301,0), Skills!M26+1)</f>
        <v/>
      </c>
      <c r="F189">
        <f>IF(Skills!N26=TRUE,(Skills!L26/10)*(E189/1000),Skills!L26/10)+Skills!O26</f>
        <v/>
      </c>
      <c r="G189">
        <f>Skills!G26*IF(Skills!H26&gt;0,INT(IF(Inputs!$B$38="pvp",MIN(Skills!I26,15),Skills!I26)/Skills!H26+0.000000001),1)</f>
        <v/>
      </c>
      <c r="H189">
        <f>1-(1-Skills!J26/100)^Skills!K26</f>
        <v/>
      </c>
      <c r="I189" t="inlineStr">
        <is>
          <t>1</t>
        </is>
      </c>
      <c r="J189" t="inlineStr"/>
      <c r="K189" t="inlineStr"/>
      <c r="L189" t="inlineStr"/>
      <c r="M189" t="inlineStr"/>
      <c r="N189" t="inlineStr"/>
      <c r="O189">
        <f>(1-Summary!$B$11)*T189+Summary!$B$11*V189</f>
        <v/>
      </c>
      <c r="P189">
        <f>IF(B204=0,0,O189/B204)</f>
        <v/>
      </c>
      <c r="Q189" t="n">
        <v>0</v>
      </c>
      <c r="R189" t="n">
        <v>0</v>
      </c>
      <c r="S189">
        <f>IFERROR(O189/N189,0)</f>
        <v/>
      </c>
      <c r="T189" t="n">
        <v>0</v>
      </c>
      <c r="V189" t="n">
        <v>0</v>
      </c>
    </row>
    <row r="190">
      <c r="A190">
        <f>Skills!A27</f>
        <v/>
      </c>
      <c r="B190">
        <f>Skills!B27</f>
        <v/>
      </c>
      <c r="C190">
        <f>Inputs!$B$3&gt;=125</f>
        <v/>
      </c>
      <c r="D190">
        <f>IF(Skills!C27=1,60+Inputs!$B$25+Inputs!$B$29,IF(Skills!C27=2,90+Inputs!$B$26+Inputs!$B$29,IF(Skills!C27=3,120+Inputs!$B$27+Inputs!$B$29,MAX(0,(Inputs!$B$3-100)*3)+Inputs!$B$28+Inputs!$B$29)))</f>
        <v/>
      </c>
      <c r="E190">
        <f>INDEX(FactorTable!$B$2:$Y$301, MATCH(ROUND(MIN(300,MAX(1,D190)),0), FactorTable!$A$2:$A$301,0), Skills!M27+1)</f>
        <v/>
      </c>
      <c r="F190">
        <f>IF(Skills!N27=TRUE,(Skills!L27/10)*(E190/1000),Skills!L27/10)+Skills!O27</f>
        <v/>
      </c>
      <c r="G190">
        <f>Skills!G27*IF(Skills!H27&gt;0,INT(IF(Inputs!$B$38="pvp",MIN(Skills!I27,15),Skills!I27)/Skills!H27+0.000000001),1)</f>
        <v/>
      </c>
      <c r="H190">
        <f>1-(1-Skills!J27/100)^Skills!K27</f>
        <v/>
      </c>
      <c r="I190" t="inlineStr">
        <is>
          <t>1</t>
        </is>
      </c>
      <c r="J190" t="inlineStr"/>
      <c r="K190" t="inlineStr"/>
      <c r="L190" t="inlineStr"/>
      <c r="M190" t="inlineStr"/>
      <c r="N190" t="inlineStr"/>
      <c r="O190">
        <f>(1-Summary!$B$11)*T190+Summary!$B$11*V190</f>
        <v/>
      </c>
      <c r="P190">
        <f>IF(B204=0,0,O190/B204)</f>
        <v/>
      </c>
      <c r="Q190" t="n">
        <v>0</v>
      </c>
      <c r="R190" t="n">
        <v>0</v>
      </c>
      <c r="S190">
        <f>IFERROR(O190/N190,0)</f>
        <v/>
      </c>
      <c r="T190" t="n">
        <v>0</v>
      </c>
      <c r="V190" t="n">
        <v>0</v>
      </c>
    </row>
    <row r="191">
      <c r="A191">
        <f>Skills!A28</f>
        <v/>
      </c>
      <c r="B191">
        <f>Skills!B28</f>
        <v/>
      </c>
      <c r="C191">
        <f>TRUE</f>
        <v/>
      </c>
      <c r="D191">
        <f>IF(Skills!C28=1,60+Inputs!$B$25+Inputs!$B$29,IF(Skills!C28=2,90+Inputs!$B$26+Inputs!$B$29,IF(Skills!C28=3,120+Inputs!$B$27+Inputs!$B$29,MAX(0,(Inputs!$B$3-100)*3)+Inputs!$B$28+Inputs!$B$29)))</f>
        <v/>
      </c>
      <c r="E191">
        <f>INDEX(FactorTable!$B$2:$Y$301, MATCH(ROUND(MIN(300,MAX(1,D191)),0), FactorTable!$A$2:$A$301,0), Skills!M28+1)</f>
        <v/>
      </c>
      <c r="F191">
        <f>IF(Skills!N28=TRUE,(Skills!L28/10)*(E191/1000),Skills!L28/10)+Skills!O28</f>
        <v/>
      </c>
      <c r="G191">
        <f>Skills!G28*IF(Skills!H28&gt;0,INT(IF(Inputs!$B$38="pvp",MIN(Skills!I28,15),Skills!I28)/Skills!H28+0.000000001),1)</f>
        <v/>
      </c>
      <c r="H191">
        <f>1-(1-Skills!J28/100)^Skills!K28</f>
        <v/>
      </c>
      <c r="I191" t="inlineStr">
        <is>
          <t>1</t>
        </is>
      </c>
      <c r="J191" t="inlineStr"/>
      <c r="K191" t="inlineStr"/>
      <c r="L191" t="inlineStr"/>
      <c r="M191" t="inlineStr"/>
      <c r="N191" t="inlineStr"/>
      <c r="O191">
        <f>(1-Summary!$B$11)*T191+Summary!$B$11*V191</f>
        <v/>
      </c>
      <c r="P191">
        <f>IF(B204=0,0,O191/B204)</f>
        <v/>
      </c>
      <c r="Q191">
        <f>IFERROR(1/(IF(Inputs!$B$38="pvp",15,MAX(0.1,Skills!D28-IF(TRUE=TRUE,Inputs!$B$32,0)))*(1-IF(AND(ArtifactsInput!$M$27,Inputs!$B$4="Chapter Hunt"),CHOOSE(ArtifactsInput!$N$27+1,20,24,28,32,36,40),0)/100)),0)</f>
        <v/>
      </c>
      <c r="R191">
        <f>IF(AND(Inputs!$B$38&lt;&gt;"pvp",Inputs!$B$43&gt;0),IF(Inputs!$B$43&lt;=0,0,(INT(Inputs!$B$43/(IF(Inputs!$B$38="pvp",15,MAX(0.1,Skills!D28-IF(TRUE=TRUE,Inputs!$B$32,0)))*(1-IF(AND(ArtifactsInput!$M$27,Inputs!$B$4="Chapter Hunt"),CHOOSE(ArtifactsInput!$N$27+1,20,24,28,32,36,40),0)/100)))+1)),0)</f>
        <v/>
      </c>
      <c r="S191">
        <f>IFERROR(O191/N191,0)</f>
        <v/>
      </c>
      <c r="T191" t="n">
        <v>0</v>
      </c>
      <c r="V191" t="n">
        <v>0</v>
      </c>
    </row>
    <row r="193">
      <c r="A193" t="inlineStr">
        <is>
          <t>Attack% Bucket Multiplier</t>
        </is>
      </c>
      <c r="B193">
        <f>(1+(((C180=TRUE)*F180*5/7)+((C187=TRUE)*(F187-Calc!F24))+(IF(ArtifactsInput!$M$21,CHOOSE(ArtifactsInput!$N$21+1,25,30,35,40,45,50)*(IF(OR(Inputs!$B$4="Chapter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94">
      <c r="A194" t="inlineStr">
        <is>
          <t>Global Crit Rate Bonus %</t>
        </is>
      </c>
      <c r="B194" t="n">
        <v>0</v>
      </c>
    </row>
    <row r="195">
      <c r="A195" t="inlineStr">
        <is>
          <t>Attack Speed Buff Bonus % (Nimble Feet, duty-cycle averaged)</t>
        </is>
      </c>
      <c r="B195">
        <f>((C191=TRUE)*F191*IF(AND(Inputs!$B$38&lt;&gt;"pvp",Inputs!$B$43&gt;0),(((R191-1)*MIN((Skills!T28*(1+Inputs!$B$34/100)),(1/Q191))+MIN((Skills!T28*(1+Inputs!$B$34/100)),MAX(0,Inputs!$B$43-((R191-1)*(1/Q191)))))/Inputs!$B$43),IF(Inputs!$B$38="pvp",MIN((Skills!T28*(1+Inputs!$B$34/100)),15)/15,MIN(1,(Skills!T28*(1+Inputs!$B$34/100))/(1/Q191)))))</f>
        <v/>
      </c>
    </row>
    <row r="196">
      <c r="A196" t="inlineStr">
        <is>
          <t>Actions Per Second</t>
        </is>
      </c>
      <c r="B196">
        <f>1+MIN(150,150*(1-(1-(Inputs!$B$11+((C183=TRUE)*(F183-Calc!F20))+((C184=TRUE)*(F184-Calc!F21)))/150)*(1-B195/150)))/100</f>
        <v/>
      </c>
    </row>
    <row r="197">
      <c r="A197" t="inlineStr">
        <is>
          <t>Skill + Buff Cast Rate</t>
        </is>
      </c>
      <c r="B197">
        <f>IF(AND(Inputs!$B$38&lt;&gt;"pvp",Inputs!$B$43&gt;0),SUMPRODUCT((Skills!E2:E28=TRUE)*(C165:C191=TRUE)*R165:R191*Skills!F2:F28)/Inputs!$B$43,SUMPRODUCT((Skills!E2:E28=TRUE)*(C165:C191=TRUE)*Q165:Q191*Skills!F2:F28))</f>
        <v/>
      </c>
    </row>
    <row r="198">
      <c r="A198" t="inlineStr">
        <is>
          <t>Eight-Legs Easton Casts Per Second</t>
        </is>
      </c>
      <c r="B198">
        <f>MAX(0,B196-B197)</f>
        <v/>
      </c>
    </row>
    <row r="199">
      <c r="A199" t="inlineStr">
        <is>
          <t>Global Critical Damage Bonus % (unused)</t>
        </is>
      </c>
      <c r="B199" t="n">
        <v>0</v>
      </c>
    </row>
    <row r="200">
      <c r="A200" t="inlineStr">
        <is>
          <t>Global Final Damage Bonus % (Jolly Roger + Ahoy Mateys - Final Damage proc)</t>
        </is>
      </c>
      <c r="B200">
        <f>((C181=TRUE)*F181*IF(AND(Inputs!$B$38&lt;&gt;"pvp",Inputs!$B$43&gt;0),(((R181-1)*MIN((Skills!T18*(1+Inputs!$B$34/100)),(1/Q181))+MIN((Skills!T18*(1+Inputs!$B$34/100)),MAX(0,Inputs!$B$43-((R181-1)*(1/Q181)))))/Inputs!$B$43),IF(Inputs!$B$38="pvp",MIN((Skills!T18*(1+Inputs!$B$34/100)),15)/15,MIN(1,(Skills!T18*(1+Inputs!$B$34/100))/(1/Q181)))))+IF(Inputs!$B$3&gt;=122,20*IF(Inputs!$B$38="pvp",MIN((20*(1+Inputs!$B$34/100)),15)/15,MIN(1,(20*(1+Inputs!$B$34/100))/(1/Q167))),0)</f>
        <v/>
      </c>
    </row>
    <row r="201">
      <c r="A201" t="inlineStr">
        <is>
          <t>Buff-Casting Startup Delay (s, fixed-duration only)</t>
        </is>
      </c>
      <c r="B201">
        <f>IF(AND(Inputs!$B$38&lt;&gt;"pvp",Inputs!$B$43&gt;0),SUMPRODUCT((Skills!T2:T28&gt;0)*(Skills!E2:E28=TRUE)*(C165:C191=TRUE))/B196,0)</f>
        <v/>
      </c>
    </row>
    <row r="202">
      <c r="A202" t="inlineStr">
        <is>
          <t>Boss-Only Total DPS (this block's swept value)</t>
        </is>
      </c>
      <c r="B202">
        <f>SUM(T165:T191)</f>
        <v/>
      </c>
    </row>
    <row r="203">
      <c r="A203" t="inlineStr">
        <is>
          <t>Normal-Only Total DPS (this block's swept value)</t>
        </is>
      </c>
      <c r="B203">
        <f>SUM(V165:V191)</f>
        <v/>
      </c>
    </row>
    <row r="204">
      <c r="A204" s="6" t="inlineStr">
        <is>
          <t>TOTAL DPS</t>
        </is>
      </c>
      <c r="B204" s="6">
        <f>SUM(O165:O191)</f>
        <v/>
      </c>
    </row>
    <row r="205">
      <c r="A205" t="inlineStr">
        <is>
          <t>Quickdraw cooldown divisor (this block's own APS / Q)</t>
        </is>
      </c>
      <c r="B205">
        <f>IF(AND(C190=TRUE,Inputs!$B$38&lt;&gt;"pvp"),1+0.25*MAX(0,(B196-(((C166=TRUE)*Q166*1)+((C167=TRUE)*Q167*1)+((C169=TRUE)*Q169*1)+((C170=TRUE)*Q170*1)+((C172=TRUE)*Q172*1)+((C175=TRUE)*Q175*1)+((C181=TRUE)*Q181*1)+((C191=TRUE)*Q191*1))-((C171=TRUE)/(IF(Inputs!$B$38="pvp",15,MAX(0.1,Skills!D8-IF(TRUE=TRUE,Inputs!$B$32,0)))*(1-IF(AND(ArtifactsInput!$M$27,Inputs!$B$4="Chapter Hunt"),CHOOSE(ArtifactsInput!$N$27+1,20,24,28,32,36,40),0)/100))+(C174=TRUE)/(IF(Inputs!$B$38="pvp",15,MAX(0.1,Skills!D11-IF(TRUE=TRUE,Inputs!$B$32,0)))*(1-IF(AND(ArtifactsInput!$M$27,Inputs!$B$4="Chapter Hunt"),CHOOSE(ArtifactsInput!$N$27+1,20,24,28,32,36,40),0)/100))))/(1+0.25*((C171=TRUE)/(IF(Inputs!$B$38="pvp",15,MAX(0.1,Skills!D8-IF(TRUE=TRUE,Inputs!$B$32,0)))*(1-IF(AND(ArtifactsInput!$M$27,Inputs!$B$4="Chapter Hunt"),CHOOSE(ArtifactsInput!$N$27+1,20,24,28,32,36,40),0)/100))+(C174=TRUE)/(IF(Inputs!$B$38="pvp",15,MAX(0.1,Skills!D11-IF(TRUE=TRUE,Inputs!$B$32,0)))*(1-IF(AND(ArtifactsInput!$M$27,Inputs!$B$4="Chapter Hunt"),CHOOSE(ArtifactsInput!$N$27+1,20,24,28,32,36,40),0)/100))))),1)</f>
        <v/>
      </c>
    </row>
    <row r="206">
      <c r="A206" t="inlineStr">
        <is>
          <t>Nautilus Strike - Final Attack trigger rate (this block's own Q/R)</t>
        </is>
      </c>
      <c r="B206">
        <f>IF(AND(Inputs!$B$38&lt;&gt;"pvp",Inputs!$B$43&gt;0),(((C166=TRUE)*R166)+((C169=TRUE)*R169)+((C171=TRUE)*R171)+((C172=TRUE)*R172)+((C174=TRUE)*R174))/Inputs!$B$43,((C166=TRUE)*Q166)+((C169=TRUE)*Q169)+((C171=TRUE)*Q171)+((C172=TRUE)*Q172)+((C174=TRUE)*Q174))+B198</f>
        <v/>
      </c>
    </row>
    <row r="209">
      <c r="A209" s="6" t="inlineStr">
        <is>
          <t>Stat: DAMAGE %</t>
        </is>
      </c>
    </row>
    <row r="210">
      <c r="A210" s="5" t="inlineStr">
        <is>
          <t>Key</t>
        </is>
      </c>
      <c r="B210" s="5" t="inlineStr">
        <is>
          <t>Name</t>
        </is>
      </c>
      <c r="C210" s="5" t="inlineStr">
        <is>
          <t>Unlocked</t>
        </is>
      </c>
      <c r="D210" s="5" t="inlineStr">
        <is>
          <t>InputLevel</t>
        </is>
      </c>
      <c r="E210" s="5" t="inlineStr">
        <is>
          <t>Factor</t>
        </is>
      </c>
      <c r="F210" s="5" t="inlineStr">
        <is>
          <t>CoefficientPercent</t>
        </is>
      </c>
      <c r="G210" s="5" t="inlineStr">
        <is>
          <t>EffectiveHits</t>
        </is>
      </c>
      <c r="H210" s="5" t="inlineStr">
        <is>
          <t>ProcProbability</t>
        </is>
      </c>
      <c r="I210" s="5" t="inlineStr">
        <is>
          <t>MapleHeroMultiplier</t>
        </is>
      </c>
      <c r="J210" s="5" t="inlineStr">
        <is>
          <t>BaseDamage</t>
        </is>
      </c>
      <c r="K210" s="5" t="inlineStr">
        <is>
          <t>BaseHitDamage</t>
        </is>
      </c>
      <c r="L210" s="5" t="inlineStr">
        <is>
          <t>NonCritAvg</t>
        </is>
      </c>
      <c r="M210" s="5" t="inlineStr">
        <is>
          <t>CritAvg</t>
        </is>
      </c>
      <c r="N210" s="5" t="inlineStr">
        <is>
          <t>ExpectedDamage(perHit)</t>
        </is>
      </c>
      <c r="O210" s="5" t="inlineStr">
        <is>
          <t>DPS</t>
        </is>
      </c>
      <c r="P210" s="5" t="inlineStr">
        <is>
          <t>% of Total</t>
        </is>
      </c>
      <c r="Q210" s="5" t="inlineStr">
        <is>
          <t>InvCooldown</t>
        </is>
      </c>
      <c r="R210" s="5" t="inlineStr">
        <is>
          <t>CastsInFight</t>
        </is>
      </c>
      <c r="S210" s="5" t="inlineStr">
        <is>
          <t>HitRate(perSec)</t>
        </is>
      </c>
      <c r="U210" t="inlineStr">
        <is>
          <t>helpers</t>
        </is>
      </c>
    </row>
    <row r="211">
      <c r="A211">
        <f>Skills!A2</f>
        <v/>
      </c>
      <c r="B211">
        <f>Skills!B2</f>
        <v/>
      </c>
      <c r="C211">
        <f>Inputs!$B$3&gt;=100</f>
        <v/>
      </c>
      <c r="D211" t="inlineStr"/>
      <c r="E211" t="inlineStr"/>
      <c r="F211">
        <f>U213+Skills!O2</f>
        <v/>
      </c>
      <c r="G211">
        <f>Skills!G2*IF(Skills!H2&gt;0,INT(IF(Inputs!$B$38="pvp",MIN(Skills!I2,15),Skills!I2)/Skills!H2+0.000000001),1)</f>
        <v/>
      </c>
      <c r="H211">
        <f>1-(1-Skills!J2/100)^Skills!K2</f>
        <v/>
      </c>
      <c r="I211" t="inlineStr">
        <is>
          <t>1</t>
        </is>
      </c>
      <c r="J211">
        <f>((Inputs!$B$6*(1+Inputs!$B$7/100))+(((Inputs!$B$12*(1+Inputs!$B$13/100))-(Inputs!$B$12*(1+Inputs!$B$13/100)))+0.25*(Inputs!$B$14-Inputs!$B$14))*(1+Inputs!$B$7/100))*(F211/100)</f>
        <v/>
      </c>
      <c r="K211">
        <f>J211*(1+((Inputs!$B$12*(1+Inputs!$B$13/100))*0.01+Inputs!$B$14*0.0025)/100)*(1+(Inputs!$B$15+1)/100)*(1+Inputs!$B$16/100)*(5000/(6000+Inputs!$B$42*(1-(100*(1-(1-(Inputs!$B$19+0)/100)*(1-CHOOSE(ArtifactsInput!$N$40+1,5,6,7,8,9,10)/100)^(ArtifactsInput!$M$40-ArtifactsInput!$M$40)))/100)))*(1+(Inputs!$B$24+((C235=TRUE)*(F235-Calc!F26))+B246)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IGHT_LEGS_EASTON",Inputs!$B$17+((C232=TRUE)*(F232-Calc!F23))+((C236=TRUE)*(F236-Calc!F27))+((IF(AND(Inputs!$B$38&lt;&gt;"pvp",Inputs!$B$43=0),1,IF(IF(Inputs!$B$38="pvp",15,Inputs!$B$43)-(B247)&lt;=0,1,MAX(0,IF(Inputs!$B$38="pvp",15,Inputs!$B$43)-MAX(5,B247))/(IF(Inputs!$B$38="pvp",15,Inputs!$B$43)-(B247))))*(IF(AND(ArtifactsInput!$M$42,((Inputs!$B$9+((C228=TRUE)*(F228-Calc!F19))+B240+(ArtifactsInput!$M$24-ArtifactsInput!$M$24)*CHOOSE(ArtifactsInput!$N$24+1,10,12,14,16,18,20)+IF(ArtifactsInput!$M$10,CHOOSE(ArtifactsInput!$N$10+1,15,18,21,24,27,30)*(IF(Inputs!$B$38="pvp",MIN(15,15)/15,IF(AND(Inputs!$B$38&lt;&gt;"pvp",Inputs!$B$43&gt;0),MIN(15,Inputs!$B$43)/(Inputs!$B$43),0))),0)))&gt;=100),MIN(100,((Inputs!$B$9+((C228=TRUE)*(F228-Calc!F19))+B240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247)&lt;=0,1,MAX(0,IF(Inputs!$B$38="pvp",15,Inputs!$B$43)-MAX(5,B247))/(IF(Inputs!$B$38="pvp",15,Inputs!$B$43)-(B247))))*IF(AND(ArtifactsInput!$M$42,((Inputs!$B$9+((C228=TRUE)*(F228-Calc!F19))+B240+(ArtifactsInput!$M$24-ArtifactsInput!$M$24)*CHOOSE(ArtifactsInput!$N$24+1,10,12,14,16,18,20)+IF(ArtifactsInput!$M$10,CHOOSE(ArtifactsInput!$N$10+1,15,18,21,24,27,30)*(IF(Inputs!$B$38="pvp",MIN(15,15)/15,IF(AND(Inputs!$B$38&lt;&gt;"pvp",Inputs!$B$43&gt;0),MIN(15,Inputs!$B$43)/(Inputs!$B$43),0))),0)))&gt;=100),CHOOSE(ArtifactsInput!$N$42+1,40,48,56,64,72,80),0))))/100)*((1+(((C226=TRUE)*F226*5/7)+((C233=TRUE)*(F233-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211)</f>
        <v/>
      </c>
      <c r="L211">
        <f>K211*(MIN(Inputs!$B$22+((C231=TRUE)*(F231-Calc!F22)),(Inputs!$B$23+0+(IF(ArtifactsInput!$M$15,CHOOSE(ArtifactsInput!$N$15+1,25,30,35,40,45,50)/100*(Inputs!$B$11-Inputs!$B$11),0))))/100+(Inputs!$B$23+0+(IF(ArtifactsInput!$M$15,CHOOSE(ArtifactsInput!$N$15+1,25,30,35,40,45,50)/100*(Inputs!$B$11-Inputs!$B$11),0)))/100)/2</f>
        <v/>
      </c>
      <c r="M211">
        <f>L211*(1+(Inputs!$B$10+((C234=TRUE)*(F234-Calc!F25))+B245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1">
        <f>L211*(1-MIN((Inputs!$B$9+((C228=TRUE)*(F228-Calc!F19))+B240+(ArtifactsInput!$M$24-ArtifactsInput!$M$24)*CHOOSE(ArtifactsInput!$N$24+1,10,12,14,16,18,20)+(IF(AND(Inputs!$B$38&lt;&gt;"pvp",Inputs!$B$43=0),1,IF(IF(Inputs!$B$38="pvp",15,Inputs!$B$43)-(B247)&lt;=0,1,MAX(0,IF(Inputs!$B$38="pvp",15,Inputs!$B$43)-MAX(5,B247))/(IF(Inputs!$B$38="pvp",15,Inputs!$B$43)-(B247))))*IF(AND(ArtifactsInput!$M$42,((Inputs!$B$9+((C228=TRUE)*(F228-Calc!F19))+B240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211*(MIN((Inputs!$B$9+((C228=TRUE)*(F228-Calc!F19))+B240+(ArtifactsInput!$M$24-ArtifactsInput!$M$24)*CHOOSE(ArtifactsInput!$N$24+1,10,12,14,16,18,20)+(IF(AND(Inputs!$B$38&lt;&gt;"pvp",Inputs!$B$43=0),1,IF(IF(Inputs!$B$38="pvp",15,Inputs!$B$43)-(B247)&lt;=0,1,MAX(0,IF(Inputs!$B$38="pvp",15,Inputs!$B$43)-MAX(5,B247))/(IF(Inputs!$B$38="pvp",15,Inputs!$B$43)-(B247))))*IF(AND(ArtifactsInput!$M$42,((Inputs!$B$9+((C228=TRUE)*(F228-Calc!F19))+B240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1">
        <f>(1-Summary!$B$11)*T211+Summary!$B$11*V211</f>
        <v/>
      </c>
      <c r="P211">
        <f>IF(B250=0,0,O211/B250)</f>
        <v/>
      </c>
      <c r="Q211" t="n">
        <v>0</v>
      </c>
      <c r="R211" t="n">
        <v>0</v>
      </c>
      <c r="S211">
        <f>IFERROR(O211/N211,0)</f>
        <v/>
      </c>
      <c r="T211">
        <f>IF(C211,(Skills!G2*N211*B244*(1+IF(C236=TRUE,1/3,0)))*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Hunt"),CHOOSE(ArtifactsInput!$N$35+1,15,18,21,24,27,30)*(1-EXP(-(0.2*B242)*5)),0)+IF(AND(ArtifactsInput!$M$22,Inputs!$B$4&lt;&gt;"Chapter Hunt"),CHOOSE(ArtifactsInput!$N$22+1,10,12,14,16,18,20)*((0*(((0.15*B242*5))^0/1)+1*(((0.15*B242*5))^1/1)+2*(((0.15*B242*5))^2/2)+3*(((0.15*B242*5))^3/6)+4*(((0.15*B242*5))^4/24)+5*(((0.15*B242*5))^5/120))/((((0.15*B242*5))^0/1)+(((0.15*B242*5))^1/1)+(((0.15*B242*5))^2/2)+(((0.15*B242*5))^3/6)+(((0.15*B242*5))^4/24)+(((0.15*B242*5))^5/120))),0))+IF(Inputs!$B$3&gt;=54,9*(C212=TRUE)*MIN(1,8*(1+Inputs!$B$34/100)*Q212)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211*(1-MIN(100,(Inputs!$B$9+((C228=TRUE)*(F228-Calc!F19))+B240+(ArtifactsInput!$M$24-ArtifactsInput!$M$24)*CHOOSE(ArtifactsInput!$N$24+1,10,12,14,16,18,20)+(IF(AND(Inputs!$B$38&lt;&gt;"pvp",Inputs!$B$43=0),1,IF(IF(Inputs!$B$38="pvp",15,Inputs!$B$43)-(B247)&lt;=0,1,MAX(0,IF(Inputs!$B$38="pvp",15,Inputs!$B$43)-MAX(5,B247))/(IF(Inputs!$B$38="pvp",15,Inputs!$B$43)-(B247))))*IF(AND(ArtifactsInput!$M$42,((Inputs!$B$9+((C228=TRUE)*(F228-Calc!F19))+B240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211*(MIN(100,(Inputs!$B$9+((C228=TRUE)*(F228-Calc!F19))+B240+(ArtifactsInput!$M$24-ArtifactsInput!$M$24)*CHOOSE(ArtifactsInput!$N$24+1,10,12,14,16,18,20)+(IF(AND(Inputs!$B$38&lt;&gt;"pvp",Inputs!$B$43=0),1,IF(IF(Inputs!$B$38="pvp",15,Inputs!$B$43)-(B247)&lt;=0,1,MAX(0,IF(Inputs!$B$38="pvp",15,Inputs!$B$43)-MAX(5,B247))/(IF(Inputs!$B$38="pvp",15,Inputs!$B$43)-(B247))))*IF(AND(ArtifactsInput!$M$42,((Inputs!$B$9+((C228=TRUE)*(F228-Calc!F19))+B240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211*(1-MIN(100,(Inputs!$B$9+((C228=TRUE)*(F228-Calc!F19))+B240+(ArtifactsInput!$M$24-ArtifactsInput!$M$24)*CHOOSE(ArtifactsInput!$N$24+1,10,12,14,16,18,20)+(IF(AND(Inputs!$B$38&lt;&gt;"pvp",Inputs!$B$43=0),1,IF(IF(Inputs!$B$38="pvp",15,Inputs!$B$43)-(B247)&lt;=0,1,MAX(0,IF(Inputs!$B$38="pvp",15,Inputs!$B$43)-MAX(5,B247))/(IF(Inputs!$B$38="pvp",15,Inputs!$B$43)-(B247))))*IF(AND(ArtifactsInput!$M$42,((Inputs!$B$9+((C228=TRUE)*(F228-Calc!F19))+B240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211*(MIN(100,(Inputs!$B$9+((C228=TRUE)*(F228-Calc!F19))+B240+(ArtifactsInput!$M$24-ArtifactsInput!$M$24)*CHOOSE(ArtifactsInput!$N$24+1,10,12,14,16,18,20)+(IF(AND(Inputs!$B$38&lt;&gt;"pvp",Inputs!$B$43=0),1,IF(IF(Inputs!$B$38="pvp",15,Inputs!$B$43)-(B247)&lt;=0,1,MAX(0,IF(Inputs!$B$38="pvp",15,Inputs!$B$43)-MAX(5,B247))/(IF(Inputs!$B$38="pvp",15,Inputs!$B$43)-(B247))))*IF(AND(ArtifactsInput!$M$42,((Inputs!$B$9+((C228=TRUE)*(F228-Calc!F19))+B240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11">
        <f>MAX(0,(Inputs!$B$3-100)*3)+Inputs!$B$28+Inputs!$B$29</f>
        <v/>
      </c>
      <c r="V211">
        <f>IF(C211,(Skills!G2*N211*B244*(1+IF(C236=TRUE,1/3,0)))*IF(Inputs!$B$38="pvp",1,(1+(Inputs!$B$21+Skills!Q2+(IF(ArtifactsInput!$M$33,CHOOSE(ArtifactsInput!$N$33+1,30,36,42,48,54,60),0))+(IF(AND(ArtifactsInput!$M$35,Inputs!$B$4&lt;&gt;"Chapter Hunt"),CHOOSE(ArtifactsInput!$N$35+1,15,18,21,24,27,30)*(1-EXP(-(0.2*B242)*5)),0)+IF(AND(ArtifactsInput!$M$22,Inputs!$B$4&lt;&gt;"Chapter Hunt"),CHOOSE(ArtifactsInput!$N$22+1,10,12,14,16,18,20)*((0*(((0.15*B242*5))^0/1)+1*(((0.15*B242*5))^1/1)+2*(((0.15*B242*5))^2/2)+3*(((0.15*B242*5))^3/6)+4*(((0.15*B242*5))^4/24)+5*(((0.15*B242*5))^5/120))/((((0.15*B242*5))^0/1)+(((0.15*B242*5))^1/1)+(((0.15*B242*5))^2/2)+(((0.15*B242*5))^3/6)+(((0.15*B242*5))^4/24)+(((0.15*B242*5))^5/120))),0))+IF(Inputs!$B$3&gt;=54,9*(C212=TRUE)*MIN(1,8*(1+Inputs!$B$34/100)*Q212),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2">
      <c r="A212">
        <f>Skills!A3</f>
        <v/>
      </c>
      <c r="B212">
        <f>Skills!B3</f>
        <v/>
      </c>
      <c r="C212">
        <f>Inputs!$B$3&gt;=33</f>
        <v/>
      </c>
      <c r="D212">
        <f>IF(Skills!C3=1,60+Inputs!$B$25+Inputs!$B$29,IF(Skills!C3=2,90+Inputs!$B$26+Inputs!$B$29,IF(Skills!C3=3,120+Inputs!$B$27+Inputs!$B$29,MAX(0,(Inputs!$B$3-100)*3)+Inputs!$B$28+Inputs!$B$29)))</f>
        <v/>
      </c>
      <c r="E212">
        <f>INDEX(FactorTable!$B$2:$Y$301, MATCH(ROUND(MIN(300,MAX(1,D212)),0), FactorTable!$A$2:$A$301,0), Skills!M3+1)</f>
        <v/>
      </c>
      <c r="F212">
        <f>IF(Skills!N3=TRUE,(Skills!L3/10)*(E212/1000),Skills!L3/10)+Skills!O3</f>
        <v/>
      </c>
      <c r="G212">
        <f>Skills!G3*IF(Skills!H3&gt;0,INT(IF(Inputs!$B$38="pvp",MIN(Skills!I3,15),Skills!I3)/Skills!H3+0.000000001),1)</f>
        <v/>
      </c>
      <c r="H212">
        <f>1-(1-Skills!J3/100)^Skills!K3</f>
        <v/>
      </c>
      <c r="I212" t="inlineStr">
        <is>
          <t>1</t>
        </is>
      </c>
      <c r="J212">
        <f>((Inputs!$B$6*(1+Inputs!$B$7/100))+(((Inputs!$B$12*(1+Inputs!$B$13/100))-(Inputs!$B$12*(1+Inputs!$B$13/100)))+0.25*(Inputs!$B$14-Inputs!$B$14))*(1+Inputs!$B$7/100))*(F212/100)</f>
        <v/>
      </c>
      <c r="K212">
        <f>J212*(1+((Inputs!$B$12*(1+Inputs!$B$13/100))*0.01+Inputs!$B$14*0.0025)/100)*(1+(Inputs!$B$15+1)/100)*(1+Inputs!$B$16/100)*(5000/(6000+Inputs!$B$42*(1-(100*(1-(1-(Inputs!$B$19+0)/100)*(1-CHOOSE(ArtifactsInput!$N$40+1,5,6,7,8,9,10)/100)^(ArtifactsInput!$M$40-ArtifactsInput!$M$40)))/100)))*(1+(Inputs!$B$24+((C235=TRUE)*(F235-Calc!F26))+B246)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224=TRUE,F224,0)/100)*(1+(IF(Skills!A3="EIGHT_LEGS_EASTON",Inputs!$B$17+((C232=TRUE)*(F232-Calc!F23))+((C236=TRUE)*(F236-Calc!F27))+((IF(AND(Inputs!$B$38&lt;&gt;"pvp",Inputs!$B$43=0),1,IF(IF(Inputs!$B$38="pvp",15,Inputs!$B$43)-(B247)&lt;=0,1,MAX(0,IF(Inputs!$B$38="pvp",15,Inputs!$B$43)-MAX(5,B247))/(IF(Inputs!$B$38="pvp",15,Inputs!$B$43)-(B247))))*(IF(AND(ArtifactsInput!$M$42,((Inputs!$B$9+((C228=TRUE)*(F228-Calc!F19))+B240+(ArtifactsInput!$M$24-ArtifactsInput!$M$24)*CHOOSE(ArtifactsInput!$N$24+1,10,12,14,16,18,20)+IF(ArtifactsInput!$M$10,CHOOSE(ArtifactsInput!$N$10+1,15,18,21,24,27,30)*(IF(Inputs!$B$38="pvp",MIN(15,15)/15,IF(AND(Inputs!$B$38&lt;&gt;"pvp",Inputs!$B$43&gt;0),MIN(15,Inputs!$B$43)/(Inputs!$B$43),0))),0)))&gt;=100),MIN(100,((Inputs!$B$9+((C228=TRUE)*(F228-Calc!F19))+B240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247)&lt;=0,1,MAX(0,IF(Inputs!$B$38="pvp",15,Inputs!$B$43)-MAX(5,B247))/(IF(Inputs!$B$38="pvp",15,Inputs!$B$43)-(B247))))*IF(AND(ArtifactsInput!$M$42,((Inputs!$B$9+((C228=TRUE)*(F228-Calc!F19))+B240+(ArtifactsInput!$M$24-ArtifactsInput!$M$24)*CHOOSE(ArtifactsInput!$N$24+1,10,12,14,16,18,20)+IF(ArtifactsInput!$M$10,CHOOSE(ArtifactsInput!$N$10+1,15,18,21,24,27,30)*(IF(Inputs!$B$38="pvp",MIN(15,15)/15,IF(AND(Inputs!$B$38&lt;&gt;"pvp",Inputs!$B$43&gt;0),MIN(15,Inputs!$B$43)/(Inputs!$B$43),0))),0)))&gt;=100),CHOOSE(ArtifactsInput!$N$42+1,40,48,56,64,72,80),0))))/100)*((1+(((C226=TRUE)*F226*5/7)+((C233=TRUE)*(F233-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212)</f>
        <v/>
      </c>
      <c r="L212">
        <f>K212*(MIN(Inputs!$B$22+((C231=TRUE)*(F231-Calc!F22)),(Inputs!$B$23+0+(IF(ArtifactsInput!$M$15,CHOOSE(ArtifactsInput!$N$15+1,25,30,35,40,45,50)/100*(Inputs!$B$11-Inputs!$B$11),0))))/100+(Inputs!$B$23+0+(IF(ArtifactsInput!$M$15,CHOOSE(ArtifactsInput!$N$15+1,25,30,35,40,45,50)/100*(Inputs!$B$11-Inputs!$B$11),0)))/100)/2</f>
        <v/>
      </c>
      <c r="M212">
        <f>L212*(1+(Inputs!$B$10+((C234=TRUE)*(F234-Calc!F25))+B245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2">
        <f>L212*(1-MIN((Inputs!$B$9+((C228=TRUE)*(F228-Calc!F19))+B240+(ArtifactsInput!$M$24-ArtifactsInput!$M$24)*CHOOSE(ArtifactsInput!$N$24+1,10,12,14,16,18,20)+(IF(AND(Inputs!$B$38&lt;&gt;"pvp",Inputs!$B$43=0),1,IF(IF(Inputs!$B$38="pvp",15,Inputs!$B$43)-(B247)&lt;=0,1,MAX(0,IF(Inputs!$B$38="pvp",15,Inputs!$B$43)-MAX(5,B247))/(IF(Inputs!$B$38="pvp",15,Inputs!$B$43)-(B247))))*IF(AND(ArtifactsInput!$M$42,((Inputs!$B$9+((C228=TRUE)*(F228-Calc!F19))+B240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212*(MIN((Inputs!$B$9+((C228=TRUE)*(F228-Calc!F19))+B240+(ArtifactsInput!$M$24-ArtifactsInput!$M$24)*CHOOSE(ArtifactsInput!$N$24+1,10,12,14,16,18,20)+(IF(AND(Inputs!$B$38&lt;&gt;"pvp",Inputs!$B$43=0),1,IF(IF(Inputs!$B$38="pvp",15,Inputs!$B$43)-(B247)&lt;=0,1,MAX(0,IF(Inputs!$B$38="pvp",15,Inputs!$B$43)-MAX(5,B247))/(IF(Inputs!$B$38="pvp",15,Inputs!$B$43)-(B247))))*IF(AND(ArtifactsInput!$M$42,((Inputs!$B$9+((C228=TRUE)*(F228-Calc!F19))+B240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2">
        <f>(1-Summary!$B$11)*T212+Summary!$B$11*V212</f>
        <v/>
      </c>
      <c r="P212">
        <f>IF(B250=0,0,O212/B250)</f>
        <v/>
      </c>
      <c r="Q212">
        <f>IFERROR(1/(IF(Inputs!$B$38="pvp",15,MAX(0.1,Skills!D3-IF(TRUE=TRUE,Inputs!$B$32,0)))*(1-IF(AND(ArtifactsInput!$M$27,Inputs!$B$4="Chapter Hunt"),CHOOSE(ArtifactsInput!$N$27+1,20,24,28,32,36,40),0)/100)),0)</f>
        <v/>
      </c>
      <c r="R212">
        <f>IF(AND(Inputs!$B$38&lt;&gt;"pvp",Inputs!$B$43&gt;0),IF(MAX(0,Inputs!$B$43-B247)&lt;=0,0,(INT(MAX(0,Inputs!$B$43-B247)/(IF(Inputs!$B$38="pvp",15,MAX(0.1,Skills!D3-IF(TRUE=TRUE,Inputs!$B$32,0)))*(1-IF(AND(ArtifactsInput!$M$27,Inputs!$B$4="Chapter Hunt"),CHOOSE(ArtifactsInput!$N$27+1,20,24,28,32,36,40),0)/100)))+1)),0)</f>
        <v/>
      </c>
      <c r="S212">
        <f>IFERROR(O212/N212,0)</f>
        <v/>
      </c>
      <c r="T212">
        <f>IF(C212,(H212*N212*IF(AND(Inputs!$B$38&lt;&gt;"pvp",Inputs!$B$43&gt;0),((Skills!G3*((R212-1)*IF(Skills!H3&gt;0,INT(Skills!I3/Skills!H3+0.000000001),1)+IF(Skills!H3&gt;0,INT(MIN(Skills!I3,MAX(0,MAX(0,Inputs!$B$43-B247)-((R212-1)*(IF(Inputs!$B$38="pvp",15,MAX(0.1,Skills!D3-IF(TRUE=TRUE,Inputs!$B$32,0)))*(1-IF(AND(ArtifactsInput!$M$27,Inputs!$B$4="Chapter Hunt"),CHOOSE(ArtifactsInput!$N$27+1,20,24,28,32,36,40),0)/100)))))/Skills!H3+0.000000001),1)))/Inputs!$B$43),G212*Q212))*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Hunt"),CHOOSE(ArtifactsInput!$N$35+1,15,18,21,24,27,30)*(1-EXP(-(0.2*B242)*5)),0)+IF(AND(ArtifactsInput!$M$22,Inputs!$B$4&lt;&gt;"Chapter Hunt"),CHOOSE(ArtifactsInput!$N$22+1,10,12,14,16,18,20)*((0*(((0.15*B242*5))^0/1)+1*(((0.15*B242*5))^1/1)+2*(((0.15*B242*5))^2/2)+3*(((0.15*B242*5))^3/6)+4*(((0.15*B242*5))^4/24)+5*(((0.15*B242*5))^5/120))/((((0.15*B242*5))^0/1)+(((0.15*B242*5))^1/1)+(((0.15*B242*5))^2/2)+(((0.15*B242*5))^3/6)+(((0.15*B242*5))^4/24)+(((0.15*B242*5))^5/120))),0))+IF(Inputs!$B$3&gt;=54,9*(C212=TRUE)*MIN(1,8*(1+Inputs!$B$34/100)*Q212)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212*(1-MIN(100,(Inputs!$B$9+((C228=TRUE)*(F228-Calc!F19))+B240+(ArtifactsInput!$M$24-ArtifactsInput!$M$24)*CHOOSE(ArtifactsInput!$N$24+1,10,12,14,16,18,20)+(IF(AND(Inputs!$B$38&lt;&gt;"pvp",Inputs!$B$43=0),1,IF(IF(Inputs!$B$38="pvp",15,Inputs!$B$43)-(B247)&lt;=0,1,MAX(0,IF(Inputs!$B$38="pvp",15,Inputs!$B$43)-MAX(5,B247))/(IF(Inputs!$B$38="pvp",15,Inputs!$B$43)-(B247))))*IF(AND(ArtifactsInput!$M$42,((Inputs!$B$9+((C228=TRUE)*(F228-Calc!F19))+B240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212*(MIN(100,(Inputs!$B$9+((C228=TRUE)*(F228-Calc!F19))+B240+(ArtifactsInput!$M$24-ArtifactsInput!$M$24)*CHOOSE(ArtifactsInput!$N$24+1,10,12,14,16,18,20)+(IF(AND(Inputs!$B$38&lt;&gt;"pvp",Inputs!$B$43=0),1,IF(IF(Inputs!$B$38="pvp",15,Inputs!$B$43)-(B247)&lt;=0,1,MAX(0,IF(Inputs!$B$38="pvp",15,Inputs!$B$43)-MAX(5,B247))/(IF(Inputs!$B$38="pvp",15,Inputs!$B$43)-(B247))))*IF(AND(ArtifactsInput!$M$42,((Inputs!$B$9+((C228=TRUE)*(F228-Calc!F19))+B240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212*(1-MIN(100,(Inputs!$B$9+((C228=TRUE)*(F228-Calc!F19))+B240+(ArtifactsInput!$M$24-ArtifactsInput!$M$24)*CHOOSE(ArtifactsInput!$N$24+1,10,12,14,16,18,20)+(IF(AND(Inputs!$B$38&lt;&gt;"pvp",Inputs!$B$43=0),1,IF(IF(Inputs!$B$38="pvp",15,Inputs!$B$43)-(B247)&lt;=0,1,MAX(0,IF(Inputs!$B$38="pvp",15,Inputs!$B$43)-MAX(5,B247))/(IF(Inputs!$B$38="pvp",15,Inputs!$B$43)-(B247))))*IF(AND(ArtifactsInput!$M$42,((Inputs!$B$9+((C228=TRUE)*(F228-Calc!F19))+B240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212*(MIN(100,(Inputs!$B$9+((C228=TRUE)*(F228-Calc!F19))+B240+(ArtifactsInput!$M$24-ArtifactsInput!$M$24)*CHOOSE(ArtifactsInput!$N$24+1,10,12,14,16,18,20)+(IF(AND(Inputs!$B$38&lt;&gt;"pvp",Inputs!$B$43=0),1,IF(IF(Inputs!$B$38="pvp",15,Inputs!$B$43)-(B247)&lt;=0,1,MAX(0,IF(Inputs!$B$38="pvp",15,Inputs!$B$43)-MAX(5,B247))/(IF(Inputs!$B$38="pvp",15,Inputs!$B$43)-(B247))))*IF(AND(ArtifactsInput!$M$42,((Inputs!$B$9+((C228=TRUE)*(F228-Calc!F19))+B240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12">
        <f>INDEX(FactorTable!$B$2:$Y$301, MATCH(ROUND(MIN(300,MAX(1,U211)),0), FactorTable!$A$2:$A$301,0), 22)</f>
        <v/>
      </c>
      <c r="V212">
        <f>IF(C212,(H212*N212*IF(AND(Inputs!$B$38&lt;&gt;"pvp",Inputs!$B$43&gt;0),((Skills!G3*((R212-1)*IF(Skills!H3&gt;0,INT(Skills!I3/Skills!H3+0.000000001),1)+IF(Skills!H3&gt;0,INT(MIN(Skills!I3,MAX(0,MAX(0,Inputs!$B$43-B247)-((R212-1)*(IF(Inputs!$B$38="pvp",15,MAX(0.1,Skills!D3-IF(TRUE=TRUE,Inputs!$B$32,0)))*(1-IF(AND(ArtifactsInput!$M$27,Inputs!$B$4="Chapter Hunt"),CHOOSE(ArtifactsInput!$N$27+1,20,24,28,32,36,40),0)/100)))))/Skills!H3+0.000000001),1)))/Inputs!$B$43),G212*Q212))*IF(Inputs!$B$38="pvp",1,(1+(Inputs!$B$21+Skills!Q3+(IF(ArtifactsInput!$M$33,CHOOSE(ArtifactsInput!$N$33+1,30,36,42,48,54,60),0))+(IF(AND(ArtifactsInput!$M$35,Inputs!$B$4&lt;&gt;"Chapter Hunt"),CHOOSE(ArtifactsInput!$N$35+1,15,18,21,24,27,30)*(1-EXP(-(0.2*B242)*5)),0)+IF(AND(ArtifactsInput!$M$22,Inputs!$B$4&lt;&gt;"Chapter Hunt"),CHOOSE(ArtifactsInput!$N$22+1,10,12,14,16,18,20)*((0*(((0.15*B242*5))^0/1)+1*(((0.15*B242*5))^1/1)+2*(((0.15*B242*5))^2/2)+3*(((0.15*B242*5))^3/6)+4*(((0.15*B242*5))^4/24)+5*(((0.15*B242*5))^5/120))/((((0.15*B242*5))^0/1)+(((0.15*B242*5))^1/1)+(((0.15*B242*5))^2/2)+(((0.15*B242*5))^3/6)+(((0.15*B242*5))^4/24)+(((0.15*B242*5))^5/120))),0))+IF(Inputs!$B$3&gt;=54,9*(C212=TRUE)*MIN(1,8*(1+Inputs!$B$34/100)*Q212),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3">
      <c r="A213">
        <f>Skills!A4</f>
        <v/>
      </c>
      <c r="B213">
        <f>Skills!B4</f>
        <v/>
      </c>
      <c r="C213">
        <f>Inputs!$B$3&gt;=35</f>
        <v/>
      </c>
      <c r="D213">
        <f>IF(Skills!C4=1,60+Inputs!$B$25+Inputs!$B$29,IF(Skills!C4=2,90+Inputs!$B$26+Inputs!$B$29,IF(Skills!C4=3,120+Inputs!$B$27+Inputs!$B$29,MAX(0,(Inputs!$B$3-100)*3)+Inputs!$B$28+Inputs!$B$29)))</f>
        <v/>
      </c>
      <c r="E213">
        <f>INDEX(FactorTable!$B$2:$Y$301, MATCH(ROUND(MIN(300,MAX(1,D213)),0), FactorTable!$A$2:$A$301,0), Skills!M4+1)</f>
        <v/>
      </c>
      <c r="F213">
        <f>IF(Skills!N4=TRUE,(Skills!L4/10)*(E213/1000),Skills!L4/10)+Skills!O4</f>
        <v/>
      </c>
      <c r="G213">
        <f>Skills!G4*IF(Skills!H4&gt;0,INT(IF(Inputs!$B$38="pvp",MIN(IF(Inputs!$B$3&gt;=104,MIN(35,20*(1+Inputs!$B$34/100)),20),15),IF(Inputs!$B$3&gt;=104,MIN(35,20*(1+Inputs!$B$34/100)),20))/Skills!H4+0.000000001),1)</f>
        <v/>
      </c>
      <c r="H213">
        <f>1-(1-Skills!J4/100)^Skills!K4</f>
        <v/>
      </c>
      <c r="I213" t="inlineStr">
        <is>
          <t>1</t>
        </is>
      </c>
      <c r="J213">
        <f>((Inputs!$B$6*(1+Inputs!$B$7/100))+(((Inputs!$B$12*(1+Inputs!$B$13/100))-(Inputs!$B$12*(1+Inputs!$B$13/100)))+0.25*(Inputs!$B$14-Inputs!$B$14))*(1+Inputs!$B$7/100))*(F213/100)</f>
        <v/>
      </c>
      <c r="K213">
        <f>J213*(1+((Inputs!$B$12*(1+Inputs!$B$13/100))*0.01+Inputs!$B$14*0.0025)/100)*(1+(Inputs!$B$15+1)/100)*(1+Inputs!$B$16/100)*(5000/(6000+Inputs!$B$42*(1-(100*(1-(1-(Inputs!$B$19+0)/100)*(1-CHOOSE(ArtifactsInput!$N$40+1,5,6,7,8,9,10)/100)^(ArtifactsInput!$M$40-ArtifactsInput!$M$40)))/100)))*(1+(Inputs!$B$24+((C235=TRUE)*(F235-Calc!F26))+B246)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225=TRUE,F225,0)/100)*(1+(IF(Skills!A4="EIGHT_LEGS_EASTON",Inputs!$B$17+((C232=TRUE)*(F232-Calc!F23))+((C236=TRUE)*(F236-Calc!F27))+((IF(AND(Inputs!$B$38&lt;&gt;"pvp",Inputs!$B$43=0),1,IF(IF(Inputs!$B$38="pvp",15,Inputs!$B$43)-(B247)&lt;=0,1,MAX(0,IF(Inputs!$B$38="pvp",15,Inputs!$B$43)-MAX(5,B247))/(IF(Inputs!$B$38="pvp",15,Inputs!$B$43)-(B247))))*(IF(AND(ArtifactsInput!$M$42,((Inputs!$B$9+((C228=TRUE)*(F228-Calc!F19))+B240+(ArtifactsInput!$M$24-ArtifactsInput!$M$24)*CHOOSE(ArtifactsInput!$N$24+1,10,12,14,16,18,20)+IF(ArtifactsInput!$M$10,CHOOSE(ArtifactsInput!$N$10+1,15,18,21,24,27,30)*(IF(Inputs!$B$38="pvp",MIN(15,15)/15,IF(AND(Inputs!$B$38&lt;&gt;"pvp",Inputs!$B$43&gt;0),MIN(15,Inputs!$B$43)/(Inputs!$B$43),0))),0)))&gt;=100),MIN(100,((Inputs!$B$9+((C228=TRUE)*(F228-Calc!F19))+B240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247)&lt;=0,1,MAX(0,IF(Inputs!$B$38="pvp",15,Inputs!$B$43)-MAX(5,B247))/(IF(Inputs!$B$38="pvp",15,Inputs!$B$43)-(B247))))*IF(AND(ArtifactsInput!$M$42,((Inputs!$B$9+((C228=TRUE)*(F228-Calc!F19))+B240+(ArtifactsInput!$M$24-ArtifactsInput!$M$24)*CHOOSE(ArtifactsInput!$N$24+1,10,12,14,16,18,20)+IF(ArtifactsInput!$M$10,CHOOSE(ArtifactsInput!$N$10+1,15,18,21,24,27,30)*(IF(Inputs!$B$38="pvp",MIN(15,15)/15,IF(AND(Inputs!$B$38&lt;&gt;"pvp",Inputs!$B$43&gt;0),MIN(15,Inputs!$B$43)/(Inputs!$B$43),0))),0)))&gt;=100),CHOOSE(ArtifactsInput!$N$42+1,40,48,56,64,72,80),0))))/100)*((1+(((C226=TRUE)*F226*5/7)+((C233=TRUE)*(F233-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213)</f>
        <v/>
      </c>
      <c r="L213">
        <f>K213*(MIN(Inputs!$B$22+((C231=TRUE)*(F231-Calc!F22)),(Inputs!$B$23+0+(IF(ArtifactsInput!$M$15,CHOOSE(ArtifactsInput!$N$15+1,25,30,35,40,45,50)/100*(Inputs!$B$11-Inputs!$B$11),0))))/100+(Inputs!$B$23+0+(IF(ArtifactsInput!$M$15,CHOOSE(ArtifactsInput!$N$15+1,25,30,35,40,45,50)/100*(Inputs!$B$11-Inputs!$B$11),0)))/100)/2</f>
        <v/>
      </c>
      <c r="M213">
        <f>L213*(1+(Inputs!$B$10+((C234=TRUE)*(F234-Calc!F25))+B245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3">
        <f>L213*(1-MIN((Inputs!$B$9+((C228=TRUE)*(F228-Calc!F19))+B240+(ArtifactsInput!$M$24-ArtifactsInput!$M$24)*CHOOSE(ArtifactsInput!$N$24+1,10,12,14,16,18,20)+(IF(AND(Inputs!$B$38&lt;&gt;"pvp",Inputs!$B$43=0),1,IF(IF(Inputs!$B$38="pvp",15,Inputs!$B$43)-(B247)&lt;=0,1,MAX(0,IF(Inputs!$B$38="pvp",15,Inputs!$B$43)-MAX(5,B247))/(IF(Inputs!$B$38="pvp",15,Inputs!$B$43)-(B247))))*IF(AND(ArtifactsInput!$M$42,((Inputs!$B$9+((C228=TRUE)*(F228-Calc!F19))+B240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213*(MIN((Inputs!$B$9+((C228=TRUE)*(F228-Calc!F19))+B240+(ArtifactsInput!$M$24-ArtifactsInput!$M$24)*CHOOSE(ArtifactsInput!$N$24+1,10,12,14,16,18,20)+(IF(AND(Inputs!$B$38&lt;&gt;"pvp",Inputs!$B$43=0),1,IF(IF(Inputs!$B$38="pvp",15,Inputs!$B$43)-(B247)&lt;=0,1,MAX(0,IF(Inputs!$B$38="pvp",15,Inputs!$B$43)-MAX(5,B247))/(IF(Inputs!$B$38="pvp",15,Inputs!$B$43)-(B247))))*IF(AND(ArtifactsInput!$M$42,((Inputs!$B$9+((C228=TRUE)*(F228-Calc!F19))+B240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3">
        <f>(1-Summary!$B$11)*T213+Summary!$B$11*V213</f>
        <v/>
      </c>
      <c r="P213">
        <f>IF(B250=0,0,O213/B250)</f>
        <v/>
      </c>
      <c r="Q213">
        <f>IFERROR(1/(IF(Inputs!$B$38="pvp",15,MAX(0.1,Skills!D4-IF(TRUE=TRUE,Inputs!$B$32,0)))*(1-IF(AND(ArtifactsInput!$M$27,Inputs!$B$4="Chapter Hunt"),CHOOSE(ArtifactsInput!$N$27+1,20,24,28,32,36,40),0)/100)),0)</f>
        <v/>
      </c>
      <c r="R213">
        <f>IF(AND(Inputs!$B$38&lt;&gt;"pvp",Inputs!$B$43&gt;0),IF(MAX(0,Inputs!$B$43-B247)&lt;=0,0,(INT(MAX(0,Inputs!$B$43-B247)/(IF(Inputs!$B$38="pvp",15,MAX(0.1,Skills!D4-IF(TRUE=TRUE,Inputs!$B$32,0)))*(1-IF(AND(ArtifactsInput!$M$27,Inputs!$B$4="Chapter Hunt"),CHOOSE(ArtifactsInput!$N$27+1,20,24,28,32,36,40),0)/100)))+1)),0)</f>
        <v/>
      </c>
      <c r="S213">
        <f>IFERROR(O213/N213,0)</f>
        <v/>
      </c>
      <c r="T213">
        <f>IF(C213,(H213*N213*IF(AND(Inputs!$B$38&lt;&gt;"pvp",Inputs!$B$43&gt;0),((Skills!G4*((R213-1)*IF(Skills!H4&gt;0,INT(IF(Inputs!$B$3&gt;=104,MIN(35,20*(1+Inputs!$B$34/100)),20)/Skills!H4+0.000000001),1)+IF(Skills!H4&gt;0,INT(MIN(IF(Inputs!$B$3&gt;=104,MIN(35,20*(1+Inputs!$B$34/100)),20),MAX(0,MAX(0,Inputs!$B$43-B247)-((R213-1)*(IF(Inputs!$B$38="pvp",15,MAX(0.1,Skills!D4-IF(TRUE=TRUE,Inputs!$B$32,0)))*(1-IF(AND(ArtifactsInput!$M$27,Inputs!$B$4="Chapter Hunt"),CHOOSE(ArtifactsInput!$N$27+1,20,24,28,32,36,40),0)/100)))))/Skills!H4+0.000000001),1)))/Inputs!$B$43),G213*Q213))*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Hunt"),CHOOSE(ArtifactsInput!$N$35+1,15,18,21,24,27,30)*(1-EXP(-(0.2*B242)*5)),0)+IF(AND(ArtifactsInput!$M$22,Inputs!$B$4&lt;&gt;"Chapter Hunt"),CHOOSE(ArtifactsInput!$N$22+1,10,12,14,16,18,20)*((0*(((0.15*B242*5))^0/1)+1*(((0.15*B242*5))^1/1)+2*(((0.15*B242*5))^2/2)+3*(((0.15*B242*5))^3/6)+4*(((0.15*B242*5))^4/24)+5*(((0.15*B242*5))^5/120))/((((0.15*B242*5))^0/1)+(((0.15*B242*5))^1/1)+(((0.15*B242*5))^2/2)+(((0.15*B242*5))^3/6)+(((0.15*B242*5))^4/24)+(((0.15*B242*5))^5/120))),0))+IF(Inputs!$B$3&gt;=54,9*(C212=TRUE)*MIN(1,8*(1+Inputs!$B$34/100)*Q212)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213*(1-MIN(100,(Inputs!$B$9+((C228=TRUE)*(F228-Calc!F19))+B240+(ArtifactsInput!$M$24-ArtifactsInput!$M$24)*CHOOSE(ArtifactsInput!$N$24+1,10,12,14,16,18,20)+(IF(AND(Inputs!$B$38&lt;&gt;"pvp",Inputs!$B$43=0),1,IF(IF(Inputs!$B$38="pvp",15,Inputs!$B$43)-(B247)&lt;=0,1,MAX(0,IF(Inputs!$B$38="pvp",15,Inputs!$B$43)-MAX(5,B247))/(IF(Inputs!$B$38="pvp",15,Inputs!$B$43)-(B247))))*IF(AND(ArtifactsInput!$M$42,((Inputs!$B$9+((C228=TRUE)*(F228-Calc!F19))+B240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213*(MIN(100,(Inputs!$B$9+((C228=TRUE)*(F228-Calc!F19))+B240+(ArtifactsInput!$M$24-ArtifactsInput!$M$24)*CHOOSE(ArtifactsInput!$N$24+1,10,12,14,16,18,20)+(IF(AND(Inputs!$B$38&lt;&gt;"pvp",Inputs!$B$43=0),1,IF(IF(Inputs!$B$38="pvp",15,Inputs!$B$43)-(B247)&lt;=0,1,MAX(0,IF(Inputs!$B$38="pvp",15,Inputs!$B$43)-MAX(5,B247))/(IF(Inputs!$B$38="pvp",15,Inputs!$B$43)-(B247))))*IF(AND(ArtifactsInput!$M$42,((Inputs!$B$9+((C228=TRUE)*(F228-Calc!F19))+B240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213*(1-MIN(100,(Inputs!$B$9+((C228=TRUE)*(F228-Calc!F19))+B240+(ArtifactsInput!$M$24-ArtifactsInput!$M$24)*CHOOSE(ArtifactsInput!$N$24+1,10,12,14,16,18,20)+(IF(AND(Inputs!$B$38&lt;&gt;"pvp",Inputs!$B$43=0),1,IF(IF(Inputs!$B$38="pvp",15,Inputs!$B$43)-(B247)&lt;=0,1,MAX(0,IF(Inputs!$B$38="pvp",15,Inputs!$B$43)-MAX(5,B247))/(IF(Inputs!$B$38="pvp",15,Inputs!$B$43)-(B247))))*IF(AND(ArtifactsInput!$M$42,((Inputs!$B$9+((C228=TRUE)*(F228-Calc!F19))+B240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213*(MIN(100,(Inputs!$B$9+((C228=TRUE)*(F228-Calc!F19))+B240+(ArtifactsInput!$M$24-ArtifactsInput!$M$24)*CHOOSE(ArtifactsInput!$N$24+1,10,12,14,16,18,20)+(IF(AND(Inputs!$B$38&lt;&gt;"pvp",Inputs!$B$43=0),1,IF(IF(Inputs!$B$38="pvp",15,Inputs!$B$43)-(B247)&lt;=0,1,MAX(0,IF(Inputs!$B$38="pvp",15,Inputs!$B$43)-MAX(5,B247))/(IF(Inputs!$B$38="pvp",15,Inputs!$B$43)-(B247))))*IF(AND(ArtifactsInput!$M$42,((Inputs!$B$9+((C228=TRUE)*(F228-Calc!F19))+B240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13">
        <f>290*U212/1000</f>
        <v/>
      </c>
      <c r="V213">
        <f>IF(C213,(H213*N213*IF(AND(Inputs!$B$38&lt;&gt;"pvp",Inputs!$B$43&gt;0),((Skills!G4*((R213-1)*IF(Skills!H4&gt;0,INT(IF(Inputs!$B$3&gt;=104,MIN(35,20*(1+Inputs!$B$34/100)),20)/Skills!H4+0.000000001),1)+IF(Skills!H4&gt;0,INT(MIN(IF(Inputs!$B$3&gt;=104,MIN(35,20*(1+Inputs!$B$34/100)),20),MAX(0,MAX(0,Inputs!$B$43-B247)-((R213-1)*(IF(Inputs!$B$38="pvp",15,MAX(0.1,Skills!D4-IF(TRUE=TRUE,Inputs!$B$32,0)))*(1-IF(AND(ArtifactsInput!$M$27,Inputs!$B$4="Chapter Hunt"),CHOOSE(ArtifactsInput!$N$27+1,20,24,28,32,36,40),0)/100)))))/Skills!H4+0.000000001),1)))/Inputs!$B$43),G213*Q213))*IF(Inputs!$B$38="pvp",1,(1+(Inputs!$B$21+Skills!Q4+(IF(ArtifactsInput!$M$33,CHOOSE(ArtifactsInput!$N$33+1,30,36,42,48,54,60),0))+(IF(AND(ArtifactsInput!$M$35,Inputs!$B$4&lt;&gt;"Chapter Hunt"),CHOOSE(ArtifactsInput!$N$35+1,15,18,21,24,27,30)*(1-EXP(-(0.2*B242)*5)),0)+IF(AND(ArtifactsInput!$M$22,Inputs!$B$4&lt;&gt;"Chapter Hunt"),CHOOSE(ArtifactsInput!$N$22+1,10,12,14,16,18,20)*((0*(((0.15*B242*5))^0/1)+1*(((0.15*B242*5))^1/1)+2*(((0.15*B242*5))^2/2)+3*(((0.15*B242*5))^3/6)+4*(((0.15*B242*5))^4/24)+5*(((0.15*B242*5))^5/120))/((((0.15*B242*5))^0/1)+(((0.15*B242*5))^1/1)+(((0.15*B242*5))^2/2)+(((0.15*B242*5))^3/6)+(((0.15*B242*5))^4/24)+(((0.15*B242*5))^5/120))),0))+IF(Inputs!$B$3&gt;=54,9*(C212=TRUE)*MIN(1,8*(1+Inputs!$B$34/100)*Q212),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4">
      <c r="A214">
        <f>Skills!A5</f>
        <v/>
      </c>
      <c r="B214">
        <f>Skills!B5</f>
        <v/>
      </c>
      <c r="C214">
        <f>Inputs!$B$3&gt;=69</f>
        <v/>
      </c>
      <c r="D214">
        <f>IF(Skills!C5=1,60+Inputs!$B$25+Inputs!$B$29,IF(Skills!C5=2,90+Inputs!$B$26+Inputs!$B$29,IF(Skills!C5=3,120+Inputs!$B$27+Inputs!$B$29,MAX(0,(Inputs!$B$3-100)*3)+Inputs!$B$28+Inputs!$B$29)))</f>
        <v/>
      </c>
      <c r="E214">
        <f>INDEX(FactorTable!$B$2:$Y$301, MATCH(ROUND(MIN(300,MAX(1,D214)),0), FactorTable!$A$2:$A$301,0), Skills!M5+1)</f>
        <v/>
      </c>
      <c r="F214">
        <f>IF(Skills!N5=TRUE,(Skills!L5/10)*(E214/1000),Skills!L5/10)+Skills!O5</f>
        <v/>
      </c>
      <c r="G214">
        <f>Skills!G5*IF(Skills!H5&gt;0,INT(IF(Inputs!$B$38="pvp",MIN(IF(Inputs!$B$3&gt;=104,MIN(35,20*(1+Inputs!$B$34/100)),20),15),IF(Inputs!$B$3&gt;=104,MIN(35,20*(1+Inputs!$B$34/100)),20))/Skills!H5+0.000000001),1)</f>
        <v/>
      </c>
      <c r="H214">
        <f>1-(1-Skills!J5/100)^Skills!K5</f>
        <v/>
      </c>
      <c r="I214" t="inlineStr">
        <is>
          <t>1</t>
        </is>
      </c>
      <c r="J214">
        <f>((Inputs!$B$6*(1+Inputs!$B$7/100))+(((Inputs!$B$12*(1+Inputs!$B$13/100))-(Inputs!$B$12*(1+Inputs!$B$13/100)))+0.25*(Inputs!$B$14-Inputs!$B$14))*(1+Inputs!$B$7/100))*(F214/100)</f>
        <v/>
      </c>
      <c r="K214">
        <f>J214*(1+((Inputs!$B$12*(1+Inputs!$B$13/100))*0.01+Inputs!$B$14*0.0025)/100)*(1+(Inputs!$B$15+1)/100)*(1+Inputs!$B$16/100)*(5000/(6000+Inputs!$B$42*(1-(100*(1-(1-(Inputs!$B$19+0)/100)*(1-CHOOSE(ArtifactsInput!$N$40+1,5,6,7,8,9,10)/100)^(ArtifactsInput!$M$40-ArtifactsInput!$M$40)))/100)))*(1+(Inputs!$B$24+((C235=TRUE)*(F235-Calc!F26))+B246)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+0.4*IF(C225=TRUE,F225,0)/100)*(1+(IF(Skills!A5="EIGHT_LEGS_EASTON",Inputs!$B$17+((C232=TRUE)*(F232-Calc!F23))+((C236=TRUE)*(F236-Calc!F27))+((IF(AND(Inputs!$B$38&lt;&gt;"pvp",Inputs!$B$43=0),1,IF(IF(Inputs!$B$38="pvp",15,Inputs!$B$43)-(B247)&lt;=0,1,MAX(0,IF(Inputs!$B$38="pvp",15,Inputs!$B$43)-MAX(5,B247))/(IF(Inputs!$B$38="pvp",15,Inputs!$B$43)-(B247))))*(IF(AND(ArtifactsInput!$M$42,((Inputs!$B$9+((C228=TRUE)*(F228-Calc!F19))+B240+(ArtifactsInput!$M$24-ArtifactsInput!$M$24)*CHOOSE(ArtifactsInput!$N$24+1,10,12,14,16,18,20)+IF(ArtifactsInput!$M$10,CHOOSE(ArtifactsInput!$N$10+1,15,18,21,24,27,30)*(IF(Inputs!$B$38="pvp",MIN(15,15)/15,IF(AND(Inputs!$B$38&lt;&gt;"pvp",Inputs!$B$43&gt;0),MIN(15,Inputs!$B$43)/(Inputs!$B$43),0))),0)))&gt;=100),MIN(100,((Inputs!$B$9+((C228=TRUE)*(F228-Calc!F19))+B240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247)&lt;=0,1,MAX(0,IF(Inputs!$B$38="pvp",15,Inputs!$B$43)-MAX(5,B247))/(IF(Inputs!$B$38="pvp",15,Inputs!$B$43)-(B247))))*IF(AND(ArtifactsInput!$M$42,((Inputs!$B$9+((C228=TRUE)*(F228-Calc!F19))+B240+(ArtifactsInput!$M$24-ArtifactsInput!$M$24)*CHOOSE(ArtifactsInput!$N$24+1,10,12,14,16,18,20)+IF(ArtifactsInput!$M$10,CHOOSE(ArtifactsInput!$N$10+1,15,18,21,24,27,30)*(IF(Inputs!$B$38="pvp",MIN(15,15)/15,IF(AND(Inputs!$B$38&lt;&gt;"pvp",Inputs!$B$43&gt;0),MIN(15,Inputs!$B$43)/(Inputs!$B$43),0))),0)))&gt;=100),CHOOSE(ArtifactsInput!$N$42+1,40,48,56,64,72,80),0))))/100)*((1+(((C226=TRUE)*F226*5/7)+((C233=TRUE)*(F233-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214)</f>
        <v/>
      </c>
      <c r="L214">
        <f>K214*(MIN(Inputs!$B$22+((C231=TRUE)*(F231-Calc!F22)),(Inputs!$B$23+0+(IF(ArtifactsInput!$M$15,CHOOSE(ArtifactsInput!$N$15+1,25,30,35,40,45,50)/100*(Inputs!$B$11-Inputs!$B$11),0))))/100+(Inputs!$B$23+0+(IF(ArtifactsInput!$M$15,CHOOSE(ArtifactsInput!$N$15+1,25,30,35,40,45,50)/100*(Inputs!$B$11-Inputs!$B$11),0)))/100)/2</f>
        <v/>
      </c>
      <c r="M214">
        <f>L214*(1+(Inputs!$B$10+((C234=TRUE)*(F234-Calc!F25))+B245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4">
        <f>L214*(1-MIN((Inputs!$B$9+((C228=TRUE)*(F228-Calc!F19))+B240+(ArtifactsInput!$M$24-ArtifactsInput!$M$24)*CHOOSE(ArtifactsInput!$N$24+1,10,12,14,16,18,20)+(IF(AND(Inputs!$B$38&lt;&gt;"pvp",Inputs!$B$43=0),1,IF(IF(Inputs!$B$38="pvp",15,Inputs!$B$43)-(B247)&lt;=0,1,MAX(0,IF(Inputs!$B$38="pvp",15,Inputs!$B$43)-MAX(5,B247))/(IF(Inputs!$B$38="pvp",15,Inputs!$B$43)-(B247))))*IF(AND(ArtifactsInput!$M$42,((Inputs!$B$9+((C228=TRUE)*(F228-Calc!F19))+B240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214*(MIN((Inputs!$B$9+((C228=TRUE)*(F228-Calc!F19))+B240+(ArtifactsInput!$M$24-ArtifactsInput!$M$24)*CHOOSE(ArtifactsInput!$N$24+1,10,12,14,16,18,20)+(IF(AND(Inputs!$B$38&lt;&gt;"pvp",Inputs!$B$43=0),1,IF(IF(Inputs!$B$38="pvp",15,Inputs!$B$43)-(B247)&lt;=0,1,MAX(0,IF(Inputs!$B$38="pvp",15,Inputs!$B$43)-MAX(5,B247))/(IF(Inputs!$B$38="pvp",15,Inputs!$B$43)-(B247))))*IF(AND(ArtifactsInput!$M$42,((Inputs!$B$9+((C228=TRUE)*(F228-Calc!F19))+B240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4">
        <f>(1-Summary!$B$11)*T214+Summary!$B$11*V214</f>
        <v/>
      </c>
      <c r="P214">
        <f>IF(B250=0,0,O214/B250)</f>
        <v/>
      </c>
      <c r="Q214">
        <f>IFERROR(1/(IF(Inputs!$B$38="pvp",15,MAX(0.1,Skills!D5-IF(TRUE=TRUE,Inputs!$B$32,0)))*(1-IF(AND(ArtifactsInput!$M$27,Inputs!$B$4="Chapter Hunt"),CHOOSE(ArtifactsInput!$N$27+1,20,24,28,32,36,40),0)/100)),0)</f>
        <v/>
      </c>
      <c r="R214">
        <f>IF(AND(Inputs!$B$38&lt;&gt;"pvp",Inputs!$B$43&gt;0),IF(MAX(0,Inputs!$B$43-B247)&lt;=0,0,(INT(MAX(0,Inputs!$B$43-B247)/(IF(Inputs!$B$38="pvp",15,MAX(0.1,Skills!D5-IF(TRUE=TRUE,Inputs!$B$32,0)))*(1-IF(AND(ArtifactsInput!$M$27,Inputs!$B$4="Chapter Hunt"),CHOOSE(ArtifactsInput!$N$27+1,20,24,28,32,36,40),0)/100)))+1)),0)</f>
        <v/>
      </c>
      <c r="S214">
        <f>IFERROR(O214/N214,0)</f>
        <v/>
      </c>
      <c r="T214">
        <f>IF(C214,(H214*N214*IF(AND(Inputs!$B$38&lt;&gt;"pvp",Inputs!$B$43&gt;0),((Skills!G5*((R214-1)*IF(Skills!H5&gt;0,INT(IF(Inputs!$B$3&gt;=104,MIN(35,20*(1+Inputs!$B$34/100)),20)/Skills!H5+0.000000001),1)+IF(Skills!H5&gt;0,INT(MIN(IF(Inputs!$B$3&gt;=104,MIN(35,20*(1+Inputs!$B$34/100)),20),MAX(0,MAX(0,Inputs!$B$43-B247)-((R214-1)*(IF(Inputs!$B$38="pvp",15,MAX(0.1,Skills!D5-IF(TRUE=TRUE,Inputs!$B$32,0)))*(1-IF(AND(ArtifactsInput!$M$27,Inputs!$B$4="Chapter Hunt"),CHOOSE(ArtifactsInput!$N$27+1,20,24,28,32,36,40),0)/100)))))/Skills!H5+0.000000001),1)))/Inputs!$B$43),G214*Q214))*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Hunt"),CHOOSE(ArtifactsInput!$N$35+1,15,18,21,24,27,30)*(1-EXP(-(0.2*B242)*5)),0)+IF(AND(ArtifactsInput!$M$22,Inputs!$B$4&lt;&gt;"Chapter Hunt"),CHOOSE(ArtifactsInput!$N$22+1,10,12,14,16,18,20)*((0*(((0.15*B242*5))^0/1)+1*(((0.15*B242*5))^1/1)+2*(((0.15*B242*5))^2/2)+3*(((0.15*B242*5))^3/6)+4*(((0.15*B242*5))^4/24)+5*(((0.15*B242*5))^5/120))/((((0.15*B242*5))^0/1)+(((0.15*B242*5))^1/1)+(((0.15*B242*5))^2/2)+(((0.15*B242*5))^3/6)+(((0.15*B242*5))^4/24)+(((0.15*B242*5))^5/120))),0))+IF(Inputs!$B$3&gt;=54,9*(C212=TRUE)*MIN(1,8*(1+Inputs!$B$34/100)*Q212)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214*(1-MIN(100,(Inputs!$B$9+((C228=TRUE)*(F228-Calc!F19))+B240+(ArtifactsInput!$M$24-ArtifactsInput!$M$24)*CHOOSE(ArtifactsInput!$N$24+1,10,12,14,16,18,20)+(IF(AND(Inputs!$B$38&lt;&gt;"pvp",Inputs!$B$43=0),1,IF(IF(Inputs!$B$38="pvp",15,Inputs!$B$43)-(B247)&lt;=0,1,MAX(0,IF(Inputs!$B$38="pvp",15,Inputs!$B$43)-MAX(5,B247))/(IF(Inputs!$B$38="pvp",15,Inputs!$B$43)-(B247))))*IF(AND(ArtifactsInput!$M$42,((Inputs!$B$9+((C228=TRUE)*(F228-Calc!F19))+B240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214*(MIN(100,(Inputs!$B$9+((C228=TRUE)*(F228-Calc!F19))+B240+(ArtifactsInput!$M$24-ArtifactsInput!$M$24)*CHOOSE(ArtifactsInput!$N$24+1,10,12,14,16,18,20)+(IF(AND(Inputs!$B$38&lt;&gt;"pvp",Inputs!$B$43=0),1,IF(IF(Inputs!$B$38="pvp",15,Inputs!$B$43)-(B247)&lt;=0,1,MAX(0,IF(Inputs!$B$38="pvp",15,Inputs!$B$43)-MAX(5,B247))/(IF(Inputs!$B$38="pvp",15,Inputs!$B$43)-(B247))))*IF(AND(ArtifactsInput!$M$42,((Inputs!$B$9+((C228=TRUE)*(F228-Calc!F19))+B240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214*(1-MIN(100,(Inputs!$B$9+((C228=TRUE)*(F228-Calc!F19))+B240+(ArtifactsInput!$M$24-ArtifactsInput!$M$24)*CHOOSE(ArtifactsInput!$N$24+1,10,12,14,16,18,20)+(IF(AND(Inputs!$B$38&lt;&gt;"pvp",Inputs!$B$43=0),1,IF(IF(Inputs!$B$38="pvp",15,Inputs!$B$43)-(B247)&lt;=0,1,MAX(0,IF(Inputs!$B$38="pvp",15,Inputs!$B$43)-MAX(5,B247))/(IF(Inputs!$B$38="pvp",15,Inputs!$B$43)-(B247))))*IF(AND(ArtifactsInput!$M$42,((Inputs!$B$9+((C228=TRUE)*(F228-Calc!F19))+B240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214*(MIN(100,(Inputs!$B$9+((C228=TRUE)*(F228-Calc!F19))+B240+(ArtifactsInput!$M$24-ArtifactsInput!$M$24)*CHOOSE(ArtifactsInput!$N$24+1,10,12,14,16,18,20)+(IF(AND(Inputs!$B$38&lt;&gt;"pvp",Inputs!$B$43=0),1,IF(IF(Inputs!$B$38="pvp",15,Inputs!$B$43)-(B247)&lt;=0,1,MAX(0,IF(Inputs!$B$38="pvp",15,Inputs!$B$43)-MAX(5,B247))/(IF(Inputs!$B$38="pvp",15,Inputs!$B$43)-(B247))))*IF(AND(ArtifactsInput!$M$42,((Inputs!$B$9+((C228=TRUE)*(F228-Calc!F19))+B240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4">
        <f>IF(C214,(H214*N214*IF(AND(Inputs!$B$38&lt;&gt;"pvp",Inputs!$B$43&gt;0),((Skills!G5*((R214-1)*IF(Skills!H5&gt;0,INT(IF(Inputs!$B$3&gt;=104,MIN(35,20*(1+Inputs!$B$34/100)),20)/Skills!H5+0.000000001),1)+IF(Skills!H5&gt;0,INT(MIN(IF(Inputs!$B$3&gt;=104,MIN(35,20*(1+Inputs!$B$34/100)),20),MAX(0,MAX(0,Inputs!$B$43-B247)-((R214-1)*(IF(Inputs!$B$38="pvp",15,MAX(0.1,Skills!D5-IF(TRUE=TRUE,Inputs!$B$32,0)))*(1-IF(AND(ArtifactsInput!$M$27,Inputs!$B$4="Chapter Hunt"),CHOOSE(ArtifactsInput!$N$27+1,20,24,28,32,36,40),0)/100)))))/Skills!H5+0.000000001),1)))/Inputs!$B$43),G214*Q214))*IF(Inputs!$B$38="pvp",1,(1+(Inputs!$B$21+Skills!Q5+(IF(ArtifactsInput!$M$33,CHOOSE(ArtifactsInput!$N$33+1,30,36,42,48,54,60),0))+(IF(AND(ArtifactsInput!$M$35,Inputs!$B$4&lt;&gt;"Chapter Hunt"),CHOOSE(ArtifactsInput!$N$35+1,15,18,21,24,27,30)*(1-EXP(-(0.2*B242)*5)),0)+IF(AND(ArtifactsInput!$M$22,Inputs!$B$4&lt;&gt;"Chapter Hunt"),CHOOSE(ArtifactsInput!$N$22+1,10,12,14,16,18,20)*((0*(((0.15*B242*5))^0/1)+1*(((0.15*B242*5))^1/1)+2*(((0.15*B242*5))^2/2)+3*(((0.15*B242*5))^3/6)+4*(((0.15*B242*5))^4/24)+5*(((0.15*B242*5))^5/120))/((((0.15*B242*5))^0/1)+(((0.15*B242*5))^1/1)+(((0.15*B242*5))^2/2)+(((0.15*B242*5))^3/6)+(((0.15*B242*5))^4/24)+(((0.15*B242*5))^5/120))),0))+IF(Inputs!$B$3&gt;=54,9*(C212=TRUE)*MIN(1,8*(1+Inputs!$B$34/100)*Q212),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5">
      <c r="A215">
        <f>Skills!A6</f>
        <v/>
      </c>
      <c r="B215">
        <f>Skills!B6</f>
        <v/>
      </c>
      <c r="C215">
        <f>Inputs!$B$3&gt;=66</f>
        <v/>
      </c>
      <c r="D215">
        <f>IF(Skills!C6=1,60+Inputs!$B$25+Inputs!$B$29,IF(Skills!C6=2,90+Inputs!$B$26+Inputs!$B$29,IF(Skills!C6=3,120+Inputs!$B$27+Inputs!$B$29,MAX(0,(Inputs!$B$3-100)*3)+Inputs!$B$28+Inputs!$B$29)))</f>
        <v/>
      </c>
      <c r="E215">
        <f>INDEX(FactorTable!$B$2:$Y$301, MATCH(ROUND(MIN(300,MAX(1,D215)),0), FactorTable!$A$2:$A$301,0), Skills!M6+1)</f>
        <v/>
      </c>
      <c r="F215">
        <f>IF(Skills!N6=TRUE,(Skills!L6/10)*(E215/1000),Skills!L6/10)+Skills!O6</f>
        <v/>
      </c>
      <c r="G215">
        <f>Skills!G6*IF(Skills!H6&gt;0,INT(IF(Inputs!$B$38="pvp",MIN(Skills!I6,15),Skills!I6)/Skills!H6+0.000000001),1)</f>
        <v/>
      </c>
      <c r="H215">
        <f>1-(1-Skills!J6/100)^Skills!K6</f>
        <v/>
      </c>
      <c r="I215" t="inlineStr">
        <is>
          <t>1</t>
        </is>
      </c>
      <c r="J215">
        <f>((Inputs!$B$6*(1+Inputs!$B$7/100))+(((Inputs!$B$12*(1+Inputs!$B$13/100))-(Inputs!$B$12*(1+Inputs!$B$13/100)))+0.25*(Inputs!$B$14-Inputs!$B$14))*(1+Inputs!$B$7/100))*(F215/100)</f>
        <v/>
      </c>
      <c r="K215">
        <f>J215*(1+((Inputs!$B$12*(1+Inputs!$B$13/100))*0.01+Inputs!$B$14*0.0025)/100)*(1+(Inputs!$B$15+1)/100)*(1+Inputs!$B$16/100)*(5000/(6000+Inputs!$B$42*(1-(100*(1-(1-(Inputs!$B$19+0)/100)*(1-CHOOSE(ArtifactsInput!$N$40+1,5,6,7,8,9,10)/100)^(ArtifactsInput!$M$40-ArtifactsInput!$M$40)))/100)))*(1+(Inputs!$B$24+((C235=TRUE)*(F235-Calc!F26))+B246)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+2.0*IF(C224=TRUE,F224,0)/100)*(1+(IF(Skills!A6="EIGHT_LEGS_EASTON",Inputs!$B$17+((C232=TRUE)*(F232-Calc!F23))+((C236=TRUE)*(F236-Calc!F27))+((IF(AND(Inputs!$B$38&lt;&gt;"pvp",Inputs!$B$43=0),1,IF(IF(Inputs!$B$38="pvp",15,Inputs!$B$43)-(B247)&lt;=0,1,MAX(0,IF(Inputs!$B$38="pvp",15,Inputs!$B$43)-MAX(5,B247))/(IF(Inputs!$B$38="pvp",15,Inputs!$B$43)-(B247))))*(IF(AND(ArtifactsInput!$M$42,((Inputs!$B$9+((C228=TRUE)*(F228-Calc!F19))+B240+(ArtifactsInput!$M$24-ArtifactsInput!$M$24)*CHOOSE(ArtifactsInput!$N$24+1,10,12,14,16,18,20)+IF(ArtifactsInput!$M$10,CHOOSE(ArtifactsInput!$N$10+1,15,18,21,24,27,30)*(IF(Inputs!$B$38="pvp",MIN(15,15)/15,IF(AND(Inputs!$B$38&lt;&gt;"pvp",Inputs!$B$43&gt;0),MIN(15,Inputs!$B$43)/(Inputs!$B$43),0))),0)))&gt;=100),MIN(100,((Inputs!$B$9+((C228=TRUE)*(F228-Calc!F19))+B240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247)&lt;=0,1,MAX(0,IF(Inputs!$B$38="pvp",15,Inputs!$B$43)-MAX(5,B247))/(IF(Inputs!$B$38="pvp",15,Inputs!$B$43)-(B247))))*IF(AND(ArtifactsInput!$M$42,((Inputs!$B$9+((C228=TRUE)*(F228-Calc!F19))+B240+(ArtifactsInput!$M$24-ArtifactsInput!$M$24)*CHOOSE(ArtifactsInput!$N$24+1,10,12,14,16,18,20)+IF(ArtifactsInput!$M$10,CHOOSE(ArtifactsInput!$N$10+1,15,18,21,24,27,30)*(IF(Inputs!$B$38="pvp",MIN(15,15)/15,IF(AND(Inputs!$B$38&lt;&gt;"pvp",Inputs!$B$43&gt;0),MIN(15,Inputs!$B$43)/(Inputs!$B$43),0))),0)))&gt;=100),CHOOSE(ArtifactsInput!$N$42+1,40,48,56,64,72,80),0))))/100)*((1+(((C226=TRUE)*F226*5/7)+((C233=TRUE)*(F233-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215)</f>
        <v/>
      </c>
      <c r="L215">
        <f>K215*(MIN(Inputs!$B$22+((C231=TRUE)*(F231-Calc!F22)),(Inputs!$B$23+0+(IF(ArtifactsInput!$M$15,CHOOSE(ArtifactsInput!$N$15+1,25,30,35,40,45,50)/100*(Inputs!$B$11-Inputs!$B$11),0))))/100+(Inputs!$B$23+0+(IF(ArtifactsInput!$M$15,CHOOSE(ArtifactsInput!$N$15+1,25,30,35,40,45,50)/100*(Inputs!$B$11-Inputs!$B$11),0)))/100)/2</f>
        <v/>
      </c>
      <c r="M215">
        <f>L215*(1+(Inputs!$B$10+((C234=TRUE)*(F234-Calc!F25))+B245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5">
        <f>L215*(1-MIN((Inputs!$B$9+((C228=TRUE)*(F228-Calc!F19))+B240+(ArtifactsInput!$M$24-ArtifactsInput!$M$24)*CHOOSE(ArtifactsInput!$N$24+1,10,12,14,16,18,20)+(IF(AND(Inputs!$B$38&lt;&gt;"pvp",Inputs!$B$43=0),1,IF(IF(Inputs!$B$38="pvp",15,Inputs!$B$43)-(B247)&lt;=0,1,MAX(0,IF(Inputs!$B$38="pvp",15,Inputs!$B$43)-MAX(5,B247))/(IF(Inputs!$B$38="pvp",15,Inputs!$B$43)-(B247))))*IF(AND(ArtifactsInput!$M$42,((Inputs!$B$9+((C228=TRUE)*(F228-Calc!F19))+B240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215*(MIN((Inputs!$B$9+((C228=TRUE)*(F228-Calc!F19))+B240+(ArtifactsInput!$M$24-ArtifactsInput!$M$24)*CHOOSE(ArtifactsInput!$N$24+1,10,12,14,16,18,20)+(IF(AND(Inputs!$B$38&lt;&gt;"pvp",Inputs!$B$43=0),1,IF(IF(Inputs!$B$38="pvp",15,Inputs!$B$43)-(B247)&lt;=0,1,MAX(0,IF(Inputs!$B$38="pvp",15,Inputs!$B$43)-MAX(5,B247))/(IF(Inputs!$B$38="pvp",15,Inputs!$B$43)-(B247))))*IF(AND(ArtifactsInput!$M$42,((Inputs!$B$9+((C228=TRUE)*(F228-Calc!F19))+B240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5">
        <f>(1-Summary!$B$11)*T215+Summary!$B$11*V215</f>
        <v/>
      </c>
      <c r="P215">
        <f>IF(B250=0,0,O215/B250)</f>
        <v/>
      </c>
      <c r="Q215">
        <f>IFERROR(1/(IF(Inputs!$B$38="pvp",15,MAX(0.1,Skills!D6-IF(TRUE=TRUE,Inputs!$B$32,0)))*(1-IF(AND(ArtifactsInput!$M$27,Inputs!$B$4="Chapter Hunt"),CHOOSE(ArtifactsInput!$N$27+1,20,24,28,32,36,40),0)/100)),0)</f>
        <v/>
      </c>
      <c r="R215">
        <f>IF(AND(Inputs!$B$38&lt;&gt;"pvp",Inputs!$B$43&gt;0),IF(MAX(0,Inputs!$B$43-B247)&lt;=0,0,(INT(MAX(0,Inputs!$B$43-B247)/(IF(Inputs!$B$38="pvp",15,MAX(0.1,Skills!D6-IF(TRUE=TRUE,Inputs!$B$32,0)))*(1-IF(AND(ArtifactsInput!$M$27,Inputs!$B$4="Chapter Hunt"),CHOOSE(ArtifactsInput!$N$27+1,20,24,28,32,36,40),0)/100)))+1)),0)</f>
        <v/>
      </c>
      <c r="S215">
        <f>IFERROR(O215/N215,0)</f>
        <v/>
      </c>
      <c r="T215">
        <f>IF(C215,(H215*N215*IF(AND(Inputs!$B$38&lt;&gt;"pvp",Inputs!$B$43&gt;0),((Skills!G6*((R215-1)*IF(Skills!H6&gt;0,INT(Skills!I6/Skills!H6+0.000000001),1)+IF(Skills!H6&gt;0,INT(MIN(Skills!I6,MAX(0,MAX(0,Inputs!$B$43-B247)-((R215-1)*(IF(Inputs!$B$38="pvp",15,MAX(0.1,Skills!D6-IF(TRUE=TRUE,Inputs!$B$32,0)))*(1-IF(AND(ArtifactsInput!$M$27,Inputs!$B$4="Chapter Hunt"),CHOOSE(ArtifactsInput!$N$27+1,20,24,28,32,36,40),0)/100)))))/Skills!H6+0.000000001),1)))/Inputs!$B$43),G215*Q215))*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Hunt"),CHOOSE(ArtifactsInput!$N$35+1,15,18,21,24,27,30)*(1-EXP(-(0.2*B242)*5)),0)+IF(AND(ArtifactsInput!$M$22,Inputs!$B$4&lt;&gt;"Chapter Hunt"),CHOOSE(ArtifactsInput!$N$22+1,10,12,14,16,18,20)*((0*(((0.15*B242*5))^0/1)+1*(((0.15*B242*5))^1/1)+2*(((0.15*B242*5))^2/2)+3*(((0.15*B242*5))^3/6)+4*(((0.15*B242*5))^4/24)+5*(((0.15*B242*5))^5/120))/((((0.15*B242*5))^0/1)+(((0.15*B242*5))^1/1)+(((0.15*B242*5))^2/2)+(((0.15*B242*5))^3/6)+(((0.15*B242*5))^4/24)+(((0.15*B242*5))^5/120))),0))+IF(Inputs!$B$3&gt;=54,9*(C212=TRUE)*MIN(1,8*(1+Inputs!$B$34/100)*Q212)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215*(1-MIN(100,(Inputs!$B$9+((C228=TRUE)*(F228-Calc!F19))+B240+(ArtifactsInput!$M$24-ArtifactsInput!$M$24)*CHOOSE(ArtifactsInput!$N$24+1,10,12,14,16,18,20)+(IF(AND(Inputs!$B$38&lt;&gt;"pvp",Inputs!$B$43=0),1,IF(IF(Inputs!$B$38="pvp",15,Inputs!$B$43)-(B247)&lt;=0,1,MAX(0,IF(Inputs!$B$38="pvp",15,Inputs!$B$43)-MAX(5,B247))/(IF(Inputs!$B$38="pvp",15,Inputs!$B$43)-(B247))))*IF(AND(ArtifactsInput!$M$42,((Inputs!$B$9+((C228=TRUE)*(F228-Calc!F19))+B240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215*(MIN(100,(Inputs!$B$9+((C228=TRUE)*(F228-Calc!F19))+B240+(ArtifactsInput!$M$24-ArtifactsInput!$M$24)*CHOOSE(ArtifactsInput!$N$24+1,10,12,14,16,18,20)+(IF(AND(Inputs!$B$38&lt;&gt;"pvp",Inputs!$B$43=0),1,IF(IF(Inputs!$B$38="pvp",15,Inputs!$B$43)-(B247)&lt;=0,1,MAX(0,IF(Inputs!$B$38="pvp",15,Inputs!$B$43)-MAX(5,B247))/(IF(Inputs!$B$38="pvp",15,Inputs!$B$43)-(B247))))*IF(AND(ArtifactsInput!$M$42,((Inputs!$B$9+((C228=TRUE)*(F228-Calc!F19))+B240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215*(1-MIN(100,(Inputs!$B$9+((C228=TRUE)*(F228-Calc!F19))+B240+(ArtifactsInput!$M$24-ArtifactsInput!$M$24)*CHOOSE(ArtifactsInput!$N$24+1,10,12,14,16,18,20)+(IF(AND(Inputs!$B$38&lt;&gt;"pvp",Inputs!$B$43=0),1,IF(IF(Inputs!$B$38="pvp",15,Inputs!$B$43)-(B247)&lt;=0,1,MAX(0,IF(Inputs!$B$38="pvp",15,Inputs!$B$43)-MAX(5,B247))/(IF(Inputs!$B$38="pvp",15,Inputs!$B$43)-(B247))))*IF(AND(ArtifactsInput!$M$42,((Inputs!$B$9+((C228=TRUE)*(F228-Calc!F19))+B240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215*(MIN(100,(Inputs!$B$9+((C228=TRUE)*(F228-Calc!F19))+B240+(ArtifactsInput!$M$24-ArtifactsInput!$M$24)*CHOOSE(ArtifactsInput!$N$24+1,10,12,14,16,18,20)+(IF(AND(Inputs!$B$38&lt;&gt;"pvp",Inputs!$B$43=0),1,IF(IF(Inputs!$B$38="pvp",15,Inputs!$B$43)-(B247)&lt;=0,1,MAX(0,IF(Inputs!$B$38="pvp",15,Inputs!$B$43)-MAX(5,B247))/(IF(Inputs!$B$38="pvp",15,Inputs!$B$43)-(B247))))*IF(AND(ArtifactsInput!$M$42,((Inputs!$B$9+((C228=TRUE)*(F228-Calc!F19))+B240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5">
        <f>IF(C215,(H215*N215*IF(AND(Inputs!$B$38&lt;&gt;"pvp",Inputs!$B$43&gt;0),((Skills!G6*((R215-1)*IF(Skills!H6&gt;0,INT(Skills!I6/Skills!H6+0.000000001),1)+IF(Skills!H6&gt;0,INT(MIN(Skills!I6,MAX(0,MAX(0,Inputs!$B$43-B247)-((R215-1)*(IF(Inputs!$B$38="pvp",15,MAX(0.1,Skills!D6-IF(TRUE=TRUE,Inputs!$B$32,0)))*(1-IF(AND(ArtifactsInput!$M$27,Inputs!$B$4="Chapter Hunt"),CHOOSE(ArtifactsInput!$N$27+1,20,24,28,32,36,40),0)/100)))))/Skills!H6+0.000000001),1)))/Inputs!$B$43),G215*Q215))*IF(Inputs!$B$38="pvp",1,(1+(Inputs!$B$21+Skills!Q6+(IF(ArtifactsInput!$M$33,CHOOSE(ArtifactsInput!$N$33+1,30,36,42,48,54,60),0))+(IF(AND(ArtifactsInput!$M$35,Inputs!$B$4&lt;&gt;"Chapter Hunt"),CHOOSE(ArtifactsInput!$N$35+1,15,18,21,24,27,30)*(1-EXP(-(0.2*B242)*5)),0)+IF(AND(ArtifactsInput!$M$22,Inputs!$B$4&lt;&gt;"Chapter Hunt"),CHOOSE(ArtifactsInput!$N$22+1,10,12,14,16,18,20)*((0*(((0.15*B242*5))^0/1)+1*(((0.15*B242*5))^1/1)+2*(((0.15*B242*5))^2/2)+3*(((0.15*B242*5))^3/6)+4*(((0.15*B242*5))^4/24)+5*(((0.15*B242*5))^5/120))/((((0.15*B242*5))^0/1)+(((0.15*B242*5))^1/1)+(((0.15*B242*5))^2/2)+(((0.15*B242*5))^3/6)+(((0.15*B242*5))^4/24)+(((0.15*B242*5))^5/120))),0))+IF(Inputs!$B$3&gt;=54,9*(C212=TRUE)*MIN(1,8*(1+Inputs!$B$34/100)*Q212),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6">
      <c r="A216">
        <f>Skills!A7</f>
        <v/>
      </c>
      <c r="B216">
        <f>Skills!B7</f>
        <v/>
      </c>
      <c r="C216">
        <f>Inputs!$B$3&gt;=63</f>
        <v/>
      </c>
      <c r="D216">
        <f>IF(Skills!C7=1,60+Inputs!$B$25+Inputs!$B$29,IF(Skills!C7=2,90+Inputs!$B$26+Inputs!$B$29,IF(Skills!C7=3,120+Inputs!$B$27+Inputs!$B$29,MAX(0,(Inputs!$B$3-100)*3)+Inputs!$B$28+Inputs!$B$29)))</f>
        <v/>
      </c>
      <c r="E216">
        <f>INDEX(FactorTable!$B$2:$Y$301, MATCH(ROUND(MIN(300,MAX(1,D216)),0), FactorTable!$A$2:$A$301,0), Skills!M7+1)</f>
        <v/>
      </c>
      <c r="F216">
        <f>IF(Skills!N7=TRUE,(Skills!L7/10)*(E216/1000),Skills!L7/10)+Skills!O7</f>
        <v/>
      </c>
      <c r="G216">
        <f>Skills!G7*IF(Skills!H7&gt;0,INT(IF(Inputs!$B$38="pvp",MIN(Skills!I7,15),Skills!I7)/Skills!H7+0.000000001),1)</f>
        <v/>
      </c>
      <c r="H216">
        <f>1-(1-Skills!J7/100)^Skills!K7</f>
        <v/>
      </c>
      <c r="I216" t="inlineStr">
        <is>
          <t>1</t>
        </is>
      </c>
      <c r="J216">
        <f>((Inputs!$B$6*(1+Inputs!$B$7/100))+(((Inputs!$B$12*(1+Inputs!$B$13/100))-(Inputs!$B$12*(1+Inputs!$B$13/100)))+0.25*(Inputs!$B$14-Inputs!$B$14))*(1+Inputs!$B$7/100))*(F216/100)</f>
        <v/>
      </c>
      <c r="K216">
        <f>J216*(1+((Inputs!$B$12*(1+Inputs!$B$13/100))*0.01+Inputs!$B$14*0.0025)/100)*(1+(Inputs!$B$15+1)/100)*(1+Inputs!$B$16/100)*(5000/(6000+Inputs!$B$42*(1-(100*(1-(1-(Inputs!$B$19+0)/100)*(1-CHOOSE(ArtifactsInput!$N$40+1,5,6,7,8,9,10)/100)^(ArtifactsInput!$M$40-ArtifactsInput!$M$40)))/100)))*(1+(Inputs!$B$24+((C235=TRUE)*(F235-Calc!F26))+B246)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224=TRUE,F224,0)/100)*(1+(IF(Skills!A7="EIGHT_LEGS_EASTON",Inputs!$B$17+((C232=TRUE)*(F232-Calc!F23))+((C236=TRUE)*(F236-Calc!F27))+((IF(AND(Inputs!$B$38&lt;&gt;"pvp",Inputs!$B$43=0),1,IF(IF(Inputs!$B$38="pvp",15,Inputs!$B$43)-(B247)&lt;=0,1,MAX(0,IF(Inputs!$B$38="pvp",15,Inputs!$B$43)-MAX(5,B247))/(IF(Inputs!$B$38="pvp",15,Inputs!$B$43)-(B247))))*(IF(AND(ArtifactsInput!$M$42,((Inputs!$B$9+((C228=TRUE)*(F228-Calc!F19))+B240+(ArtifactsInput!$M$24-ArtifactsInput!$M$24)*CHOOSE(ArtifactsInput!$N$24+1,10,12,14,16,18,20)+IF(ArtifactsInput!$M$10,CHOOSE(ArtifactsInput!$N$10+1,15,18,21,24,27,30)*(IF(Inputs!$B$38="pvp",MIN(15,15)/15,IF(AND(Inputs!$B$38&lt;&gt;"pvp",Inputs!$B$43&gt;0),MIN(15,Inputs!$B$43)/(Inputs!$B$43),0))),0)))&gt;=100),MIN(100,((Inputs!$B$9+((C228=TRUE)*(F228-Calc!F19))+B240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247)&lt;=0,1,MAX(0,IF(Inputs!$B$38="pvp",15,Inputs!$B$43)-MAX(5,B247))/(IF(Inputs!$B$38="pvp",15,Inputs!$B$43)-(B247))))*IF(AND(ArtifactsInput!$M$42,((Inputs!$B$9+((C228=TRUE)*(F228-Calc!F19))+B240+(ArtifactsInput!$M$24-ArtifactsInput!$M$24)*CHOOSE(ArtifactsInput!$N$24+1,10,12,14,16,18,20)+IF(ArtifactsInput!$M$10,CHOOSE(ArtifactsInput!$N$10+1,15,18,21,24,27,30)*(IF(Inputs!$B$38="pvp",MIN(15,15)/15,IF(AND(Inputs!$B$38&lt;&gt;"pvp",Inputs!$B$43&gt;0),MIN(15,Inputs!$B$43)/(Inputs!$B$43),0))),0)))&gt;=100),CHOOSE(ArtifactsInput!$N$42+1,40,48,56,64,72,80),0))))/100)*((1+(((C226=TRUE)*F226*5/7)+((C233=TRUE)*(F233-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216)</f>
        <v/>
      </c>
      <c r="L216">
        <f>K216*(MIN(Inputs!$B$22+((C231=TRUE)*(F231-Calc!F22)),(Inputs!$B$23+0+(IF(ArtifactsInput!$M$15,CHOOSE(ArtifactsInput!$N$15+1,25,30,35,40,45,50)/100*(Inputs!$B$11-Inputs!$B$11),0))))/100+(Inputs!$B$23+0+(IF(ArtifactsInput!$M$15,CHOOSE(ArtifactsInput!$N$15+1,25,30,35,40,45,50)/100*(Inputs!$B$11-Inputs!$B$11),0)))/100)/2</f>
        <v/>
      </c>
      <c r="M216">
        <f>L216*(1+(Inputs!$B$10+((C234=TRUE)*(F234-Calc!F25))+B245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6">
        <f>L216*(1-MIN((Inputs!$B$9+((C228=TRUE)*(F228-Calc!F19))+B240+(ArtifactsInput!$M$24-ArtifactsInput!$M$24)*CHOOSE(ArtifactsInput!$N$24+1,10,12,14,16,18,20)+(IF(AND(Inputs!$B$38&lt;&gt;"pvp",Inputs!$B$43=0),1,IF(IF(Inputs!$B$38="pvp",15,Inputs!$B$43)-(B247)&lt;=0,1,MAX(0,IF(Inputs!$B$38="pvp",15,Inputs!$B$43)-MAX(5,B247))/(IF(Inputs!$B$38="pvp",15,Inputs!$B$43)-(B247))))*IF(AND(ArtifactsInput!$M$42,((Inputs!$B$9+((C228=TRUE)*(F228-Calc!F19))+B240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216*(MIN((Inputs!$B$9+((C228=TRUE)*(F228-Calc!F19))+B240+(ArtifactsInput!$M$24-ArtifactsInput!$M$24)*CHOOSE(ArtifactsInput!$N$24+1,10,12,14,16,18,20)+(IF(AND(Inputs!$B$38&lt;&gt;"pvp",Inputs!$B$43=0),1,IF(IF(Inputs!$B$38="pvp",15,Inputs!$B$43)-(B247)&lt;=0,1,MAX(0,IF(Inputs!$B$38="pvp",15,Inputs!$B$43)-MAX(5,B247))/(IF(Inputs!$B$38="pvp",15,Inputs!$B$43)-(B247))))*IF(AND(ArtifactsInput!$M$42,((Inputs!$B$9+((C228=TRUE)*(F228-Calc!F19))+B240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6">
        <f>(1-Summary!$B$11)*T216+Summary!$B$11*V216</f>
        <v/>
      </c>
      <c r="P216">
        <f>IF(B250=0,0,O216/B250)</f>
        <v/>
      </c>
      <c r="Q216">
        <f>IFERROR(1/(IF(Inputs!$B$38="pvp",15,MAX(0.1,Skills!D7-IF(TRUE=TRUE,Inputs!$B$32,0)))*(1-IF(AND(ArtifactsInput!$M$27,Inputs!$B$4="Chapter Hunt"),CHOOSE(ArtifactsInput!$N$27+1,20,24,28,32,36,40),0)/100)),0)</f>
        <v/>
      </c>
      <c r="R216">
        <f>IF(AND(Inputs!$B$38&lt;&gt;"pvp",Inputs!$B$43&gt;0),IF(MAX(0,Inputs!$B$43-B247)&lt;=0,0,(INT(MAX(0,Inputs!$B$43-B247)/(IF(Inputs!$B$38="pvp",15,MAX(0.1,Skills!D7-IF(TRUE=TRUE,Inputs!$B$32,0)))*(1-IF(AND(ArtifactsInput!$M$27,Inputs!$B$4="Chapter Hunt"),CHOOSE(ArtifactsInput!$N$27+1,20,24,28,32,36,40),0)/100)))+1)),0)</f>
        <v/>
      </c>
      <c r="S216">
        <f>IFERROR(O216/N216,0)</f>
        <v/>
      </c>
      <c r="T216">
        <f>IF(C216,(H216*N216*IF(AND(Inputs!$B$38&lt;&gt;"pvp",Inputs!$B$43&gt;0),((Skills!G7*((R216-1)*IF(Skills!H7&gt;0,INT(Skills!I7/Skills!H7+0.000000001),1)+IF(Skills!H7&gt;0,INT(MIN(Skills!I7,MAX(0,MAX(0,Inputs!$B$43-B247)-((R216-1)*(IF(Inputs!$B$38="pvp",15,MAX(0.1,Skills!D7-IF(TRUE=TRUE,Inputs!$B$32,0)))*(1-IF(AND(ArtifactsInput!$M$27,Inputs!$B$4="Chapter Hunt"),CHOOSE(ArtifactsInput!$N$27+1,20,24,28,32,36,40),0)/100)))))/Skills!H7+0.000000001),1)))/Inputs!$B$43),G216*Q216))*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Hunt"),CHOOSE(ArtifactsInput!$N$35+1,15,18,21,24,27,30)*(1-EXP(-(0.2*B242)*5)),0)+IF(AND(ArtifactsInput!$M$22,Inputs!$B$4&lt;&gt;"Chapter Hunt"),CHOOSE(ArtifactsInput!$N$22+1,10,12,14,16,18,20)*((0*(((0.15*B242*5))^0/1)+1*(((0.15*B242*5))^1/1)+2*(((0.15*B242*5))^2/2)+3*(((0.15*B242*5))^3/6)+4*(((0.15*B242*5))^4/24)+5*(((0.15*B242*5))^5/120))/((((0.15*B242*5))^0/1)+(((0.15*B242*5))^1/1)+(((0.15*B242*5))^2/2)+(((0.15*B242*5))^3/6)+(((0.15*B242*5))^4/24)+(((0.15*B242*5))^5/120))),0))+IF(Inputs!$B$3&gt;=54,9*(C212=TRUE)*MIN(1,8*(1+Inputs!$B$34/100)*Q212)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216*(1-MIN(100,(Inputs!$B$9+((C228=TRUE)*(F228-Calc!F19))+B240+(ArtifactsInput!$M$24-ArtifactsInput!$M$24)*CHOOSE(ArtifactsInput!$N$24+1,10,12,14,16,18,20)+(IF(AND(Inputs!$B$38&lt;&gt;"pvp",Inputs!$B$43=0),1,IF(IF(Inputs!$B$38="pvp",15,Inputs!$B$43)-(B247)&lt;=0,1,MAX(0,IF(Inputs!$B$38="pvp",15,Inputs!$B$43)-MAX(5,B247))/(IF(Inputs!$B$38="pvp",15,Inputs!$B$43)-(B247))))*IF(AND(ArtifactsInput!$M$42,((Inputs!$B$9+((C228=TRUE)*(F228-Calc!F19))+B240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216*(MIN(100,(Inputs!$B$9+((C228=TRUE)*(F228-Calc!F19))+B240+(ArtifactsInput!$M$24-ArtifactsInput!$M$24)*CHOOSE(ArtifactsInput!$N$24+1,10,12,14,16,18,20)+(IF(AND(Inputs!$B$38&lt;&gt;"pvp",Inputs!$B$43=0),1,IF(IF(Inputs!$B$38="pvp",15,Inputs!$B$43)-(B247)&lt;=0,1,MAX(0,IF(Inputs!$B$38="pvp",15,Inputs!$B$43)-MAX(5,B247))/(IF(Inputs!$B$38="pvp",15,Inputs!$B$43)-(B247))))*IF(AND(ArtifactsInput!$M$42,((Inputs!$B$9+((C228=TRUE)*(F228-Calc!F19))+B240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216*(1-MIN(100,(Inputs!$B$9+((C228=TRUE)*(F228-Calc!F19))+B240+(ArtifactsInput!$M$24-ArtifactsInput!$M$24)*CHOOSE(ArtifactsInput!$N$24+1,10,12,14,16,18,20)+(IF(AND(Inputs!$B$38&lt;&gt;"pvp",Inputs!$B$43=0),1,IF(IF(Inputs!$B$38="pvp",15,Inputs!$B$43)-(B247)&lt;=0,1,MAX(0,IF(Inputs!$B$38="pvp",15,Inputs!$B$43)-MAX(5,B247))/(IF(Inputs!$B$38="pvp",15,Inputs!$B$43)-(B247))))*IF(AND(ArtifactsInput!$M$42,((Inputs!$B$9+((C228=TRUE)*(F228-Calc!F19))+B240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216*(MIN(100,(Inputs!$B$9+((C228=TRUE)*(F228-Calc!F19))+B240+(ArtifactsInput!$M$24-ArtifactsInput!$M$24)*CHOOSE(ArtifactsInput!$N$24+1,10,12,14,16,18,20)+(IF(AND(Inputs!$B$38&lt;&gt;"pvp",Inputs!$B$43=0),1,IF(IF(Inputs!$B$38="pvp",15,Inputs!$B$43)-(B247)&lt;=0,1,MAX(0,IF(Inputs!$B$38="pvp",15,Inputs!$B$43)-MAX(5,B247))/(IF(Inputs!$B$38="pvp",15,Inputs!$B$43)-(B247))))*IF(AND(ArtifactsInput!$M$42,((Inputs!$B$9+((C228=TRUE)*(F228-Calc!F19))+B240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6">
        <f>IF(C216,(H216*N216*IF(AND(Inputs!$B$38&lt;&gt;"pvp",Inputs!$B$43&gt;0),((Skills!G7*((R216-1)*IF(Skills!H7&gt;0,INT(Skills!I7/Skills!H7+0.000000001),1)+IF(Skills!H7&gt;0,INT(MIN(Skills!I7,MAX(0,MAX(0,Inputs!$B$43-B247)-((R216-1)*(IF(Inputs!$B$38="pvp",15,MAX(0.1,Skills!D7-IF(TRUE=TRUE,Inputs!$B$32,0)))*(1-IF(AND(ArtifactsInput!$M$27,Inputs!$B$4="Chapter Hunt"),CHOOSE(ArtifactsInput!$N$27+1,20,24,28,32,36,40),0)/100)))))/Skills!H7+0.000000001),1)))/Inputs!$B$43),G216*Q216))*IF(Inputs!$B$38="pvp",1,(1+(Inputs!$B$21+Skills!Q7+(IF(ArtifactsInput!$M$33,CHOOSE(ArtifactsInput!$N$33+1,30,36,42,48,54,60),0))+(IF(AND(ArtifactsInput!$M$35,Inputs!$B$4&lt;&gt;"Chapter Hunt"),CHOOSE(ArtifactsInput!$N$35+1,15,18,21,24,27,30)*(1-EXP(-(0.2*B242)*5)),0)+IF(AND(ArtifactsInput!$M$22,Inputs!$B$4&lt;&gt;"Chapter Hunt"),CHOOSE(ArtifactsInput!$N$22+1,10,12,14,16,18,20)*((0*(((0.15*B242*5))^0/1)+1*(((0.15*B242*5))^1/1)+2*(((0.15*B242*5))^2/2)+3*(((0.15*B242*5))^3/6)+4*(((0.15*B242*5))^4/24)+5*(((0.15*B242*5))^5/120))/((((0.15*B242*5))^0/1)+(((0.15*B242*5))^1/1)+(((0.15*B242*5))^2/2)+(((0.15*B242*5))^3/6)+(((0.15*B242*5))^4/24)+(((0.15*B242*5))^5/120))),0))+IF(Inputs!$B$3&gt;=54,9*(C212=TRUE)*MIN(1,8*(1+Inputs!$B$34/100)*Q212),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7">
      <c r="A217">
        <f>Skills!A8</f>
        <v/>
      </c>
      <c r="B217">
        <f>Skills!B8</f>
        <v/>
      </c>
      <c r="C217">
        <f>Inputs!$B$3&gt;=103</f>
        <v/>
      </c>
      <c r="D217">
        <f>IF(Skills!C8=1,60+Inputs!$B$25+Inputs!$B$29,IF(Skills!C8=2,90+Inputs!$B$26+Inputs!$B$29,IF(Skills!C8=3,120+Inputs!$B$27+Inputs!$B$29,MAX(0,(Inputs!$B$3-100)*3)+Inputs!$B$28+Inputs!$B$29)))</f>
        <v/>
      </c>
      <c r="E217">
        <f>INDEX(FactorTable!$B$2:$Y$301, MATCH(ROUND(MIN(300,MAX(1,D217)),0), FactorTable!$A$2:$A$301,0), Skills!M8+1)</f>
        <v/>
      </c>
      <c r="F217">
        <f>IF(Skills!N8=TRUE,(Skills!L8/10)*(E217/1000),Skills!L8/10)+Skills!O8</f>
        <v/>
      </c>
      <c r="G217">
        <f>Skills!G8*IF(Skills!H8&gt;0,INT(IF(Inputs!$B$38="pvp",MIN(Skills!I8,15),Skills!I8)/Skills!H8+0.000000001),1)</f>
        <v/>
      </c>
      <c r="H217">
        <f>1-(1-Skills!J8/100)^Skills!K8</f>
        <v/>
      </c>
      <c r="I217" t="inlineStr">
        <is>
          <t>1</t>
        </is>
      </c>
      <c r="J217">
        <f>((Inputs!$B$6*(1+Inputs!$B$7/100))+(((Inputs!$B$12*(1+Inputs!$B$13/100))-(Inputs!$B$12*(1+Inputs!$B$13/100)))+0.25*(Inputs!$B$14-Inputs!$B$14))*(1+Inputs!$B$7/100))*(F217/100)</f>
        <v/>
      </c>
      <c r="K217">
        <f>J217*(1+((Inputs!$B$12*(1+Inputs!$B$13/100))*0.01+Inputs!$B$14*0.0025)/100)*(1+(Inputs!$B$15+1)/100)*(1+Inputs!$B$16/100)*(5000/(6000+Inputs!$B$42*(1-(100*(1-(1-(Inputs!$B$19+0)/100)*(1-CHOOSE(ArtifactsInput!$N$40+1,5,6,7,8,9,10)/100)^(ArtifactsInput!$M$40-ArtifactsInput!$M$40)))/100)))*(1+(Inputs!$B$24+((C235=TRUE)*(F235-Calc!F26))+B246)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IGHT_LEGS_EASTON",Inputs!$B$17+((C232=TRUE)*(F232-Calc!F23))+((C236=TRUE)*(F236-Calc!F27))+((IF(AND(Inputs!$B$38&lt;&gt;"pvp",Inputs!$B$43=0),1,IF(IF(Inputs!$B$38="pvp",15,Inputs!$B$43)-(B247)&lt;=0,1,MAX(0,IF(Inputs!$B$38="pvp",15,Inputs!$B$43)-MAX(5,B247))/(IF(Inputs!$B$38="pvp",15,Inputs!$B$43)-(B247))))*(IF(AND(ArtifactsInput!$M$42,((Inputs!$B$9+((C228=TRUE)*(F228-Calc!F19))+B240+(ArtifactsInput!$M$24-ArtifactsInput!$M$24)*CHOOSE(ArtifactsInput!$N$24+1,10,12,14,16,18,20)+IF(ArtifactsInput!$M$10,CHOOSE(ArtifactsInput!$N$10+1,15,18,21,24,27,30)*(IF(Inputs!$B$38="pvp",MIN(15,15)/15,IF(AND(Inputs!$B$38&lt;&gt;"pvp",Inputs!$B$43&gt;0),MIN(15,Inputs!$B$43)/(Inputs!$B$43),0))),0)))&gt;=100),MIN(100,((Inputs!$B$9+((C228=TRUE)*(F228-Calc!F19))+B240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247)&lt;=0,1,MAX(0,IF(Inputs!$B$38="pvp",15,Inputs!$B$43)-MAX(5,B247))/(IF(Inputs!$B$38="pvp",15,Inputs!$B$43)-(B247))))*IF(AND(ArtifactsInput!$M$42,((Inputs!$B$9+((C228=TRUE)*(F228-Calc!F19))+B240+(ArtifactsInput!$M$24-ArtifactsInput!$M$24)*CHOOSE(ArtifactsInput!$N$24+1,10,12,14,16,18,20)+IF(ArtifactsInput!$M$10,CHOOSE(ArtifactsInput!$N$10+1,15,18,21,24,27,30)*(IF(Inputs!$B$38="pvp",MIN(15,15)/15,IF(AND(Inputs!$B$38&lt;&gt;"pvp",Inputs!$B$43&gt;0),MIN(15,Inputs!$B$43)/(Inputs!$B$43),0))),0)))&gt;=100),CHOOSE(ArtifactsInput!$N$42+1,40,48,56,64,72,80),0))))/100)*((1+(((C226=TRUE)*F226*5/7)+((C233=TRUE)*(F233-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217)</f>
        <v/>
      </c>
      <c r="L217">
        <f>K217*(MIN(Inputs!$B$22+((C231=TRUE)*(F231-Calc!F22)),(Inputs!$B$23+0+(IF(ArtifactsInput!$M$15,CHOOSE(ArtifactsInput!$N$15+1,25,30,35,40,45,50)/100*(Inputs!$B$11-Inputs!$B$11),0))))/100+(Inputs!$B$23+0+(IF(ArtifactsInput!$M$15,CHOOSE(ArtifactsInput!$N$15+1,25,30,35,40,45,50)/100*(Inputs!$B$11-Inputs!$B$11),0)))/100)/2</f>
        <v/>
      </c>
      <c r="M217">
        <f>L217*(1+(Inputs!$B$10+((C234=TRUE)*(F234-Calc!F25))+B245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7">
        <f>L217*(1-MIN((Inputs!$B$9+((C228=TRUE)*(F228-Calc!F19))+B240+(ArtifactsInput!$M$24-ArtifactsInput!$M$24)*CHOOSE(ArtifactsInput!$N$24+1,10,12,14,16,18,20)+(IF(AND(Inputs!$B$38&lt;&gt;"pvp",Inputs!$B$43=0),1,IF(IF(Inputs!$B$38="pvp",15,Inputs!$B$43)-(B247)&lt;=0,1,MAX(0,IF(Inputs!$B$38="pvp",15,Inputs!$B$43)-MAX(5,B247))/(IF(Inputs!$B$38="pvp",15,Inputs!$B$43)-(B247))))*IF(AND(ArtifactsInput!$M$42,((Inputs!$B$9+((C228=TRUE)*(F228-Calc!F19))+B240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217*(MIN((Inputs!$B$9+((C228=TRUE)*(F228-Calc!F19))+B240+(ArtifactsInput!$M$24-ArtifactsInput!$M$24)*CHOOSE(ArtifactsInput!$N$24+1,10,12,14,16,18,20)+(IF(AND(Inputs!$B$38&lt;&gt;"pvp",Inputs!$B$43=0),1,IF(IF(Inputs!$B$38="pvp",15,Inputs!$B$43)-(B247)&lt;=0,1,MAX(0,IF(Inputs!$B$38="pvp",15,Inputs!$B$43)-MAX(5,B247))/(IF(Inputs!$B$38="pvp",15,Inputs!$B$43)-(B247))))*IF(AND(ArtifactsInput!$M$42,((Inputs!$B$9+((C228=TRUE)*(F228-Calc!F19))+B240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7">
        <f>(1-Summary!$B$11)*T217+Summary!$B$11*V217</f>
        <v/>
      </c>
      <c r="P217">
        <f>IF(B250=0,0,O217/B250)</f>
        <v/>
      </c>
      <c r="Q217">
        <f>IFERROR(1/((IF(Inputs!$B$38="pvp",15,MAX(0.1,Skills!D8-IF(TRUE=TRUE,Inputs!$B$32,0)))*(1-IF(AND(ArtifactsInput!$M$27,Inputs!$B$4="Chapter Hunt"),CHOOSE(ArtifactsInput!$N$27+1,20,24,28,32,36,40),0)/100))/B251),0)</f>
        <v/>
      </c>
      <c r="R217">
        <f>IF(AND(Inputs!$B$38&lt;&gt;"pvp",Inputs!$B$43&gt;0),IF(MAX(0,Inputs!$B$43-B247)&lt;=0,0,(INT(MAX(0,Inputs!$B$43-B247)/((IF(Inputs!$B$38="pvp",15,MAX(0.1,Skills!D8-IF(TRUE=TRUE,Inputs!$B$32,0)))*(1-IF(AND(ArtifactsInput!$M$27,Inputs!$B$4="Chapter Hunt"),CHOOSE(ArtifactsInput!$N$27+1,20,24,28,32,36,40),0)/100))/B251))+1)),0)</f>
        <v/>
      </c>
      <c r="S217">
        <f>IFERROR(O217/N217,0)</f>
        <v/>
      </c>
      <c r="T217">
        <f>IF(C217,(H217*N217*IF(AND(Inputs!$B$38&lt;&gt;"pvp",Inputs!$B$43&gt;0),((Skills!G8*((R217-1)*IF(Skills!H8&gt;0,INT(Skills!I8/Skills!H8+0.000000001),1)+IF(Skills!H8&gt;0,INT(MIN(Skills!I8,MAX(0,MAX(0,Inputs!$B$43-B247)-((R217-1)*((IF(Inputs!$B$38="pvp",15,MAX(0.1,Skills!D8-IF(TRUE=TRUE,Inputs!$B$32,0)))*(1-IF(AND(ArtifactsInput!$M$27,Inputs!$B$4="Chapter Hunt"),CHOOSE(ArtifactsInput!$N$27+1,20,24,28,32,36,40),0)/100))/B251))))/Skills!H8+0.000000001),1)))/Inputs!$B$43),G217*Q217))*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Hunt"),CHOOSE(ArtifactsInput!$N$35+1,15,18,21,24,27,30)*(1-EXP(-(0.2*B242)*5)),0)+IF(AND(ArtifactsInput!$M$22,Inputs!$B$4&lt;&gt;"Chapter Hunt"),CHOOSE(ArtifactsInput!$N$22+1,10,12,14,16,18,20)*((0*(((0.15*B242*5))^0/1)+1*(((0.15*B242*5))^1/1)+2*(((0.15*B242*5))^2/2)+3*(((0.15*B242*5))^3/6)+4*(((0.15*B242*5))^4/24)+5*(((0.15*B242*5))^5/120))/((((0.15*B242*5))^0/1)+(((0.15*B242*5))^1/1)+(((0.15*B242*5))^2/2)+(((0.15*B242*5))^3/6)+(((0.15*B242*5))^4/24)+(((0.15*B242*5))^5/120))),0))+IF(Inputs!$B$3&gt;=54,9*(C212=TRUE)*MIN(1,8*(1+Inputs!$B$34/100)*Q212)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217*(1-MIN(100,(Inputs!$B$9+((C228=TRUE)*(F228-Calc!F19))+B240+(ArtifactsInput!$M$24-ArtifactsInput!$M$24)*CHOOSE(ArtifactsInput!$N$24+1,10,12,14,16,18,20)+(IF(AND(Inputs!$B$38&lt;&gt;"pvp",Inputs!$B$43=0),1,IF(IF(Inputs!$B$38="pvp",15,Inputs!$B$43)-(B247)&lt;=0,1,MAX(0,IF(Inputs!$B$38="pvp",15,Inputs!$B$43)-MAX(5,B247))/(IF(Inputs!$B$38="pvp",15,Inputs!$B$43)-(B247))))*IF(AND(ArtifactsInput!$M$42,((Inputs!$B$9+((C228=TRUE)*(F228-Calc!F19))+B240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217*(MIN(100,(Inputs!$B$9+((C228=TRUE)*(F228-Calc!F19))+B240+(ArtifactsInput!$M$24-ArtifactsInput!$M$24)*CHOOSE(ArtifactsInput!$N$24+1,10,12,14,16,18,20)+(IF(AND(Inputs!$B$38&lt;&gt;"pvp",Inputs!$B$43=0),1,IF(IF(Inputs!$B$38="pvp",15,Inputs!$B$43)-(B247)&lt;=0,1,MAX(0,IF(Inputs!$B$38="pvp",15,Inputs!$B$43)-MAX(5,B247))/(IF(Inputs!$B$38="pvp",15,Inputs!$B$43)-(B247))))*IF(AND(ArtifactsInput!$M$42,((Inputs!$B$9+((C228=TRUE)*(F228-Calc!F19))+B240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217*(1-MIN(100,(Inputs!$B$9+((C228=TRUE)*(F228-Calc!F19))+B240+(ArtifactsInput!$M$24-ArtifactsInput!$M$24)*CHOOSE(ArtifactsInput!$N$24+1,10,12,14,16,18,20)+(IF(AND(Inputs!$B$38&lt;&gt;"pvp",Inputs!$B$43=0),1,IF(IF(Inputs!$B$38="pvp",15,Inputs!$B$43)-(B247)&lt;=0,1,MAX(0,IF(Inputs!$B$38="pvp",15,Inputs!$B$43)-MAX(5,B247))/(IF(Inputs!$B$38="pvp",15,Inputs!$B$43)-(B247))))*IF(AND(ArtifactsInput!$M$42,((Inputs!$B$9+((C228=TRUE)*(F228-Calc!F19))+B240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217*(MIN(100,(Inputs!$B$9+((C228=TRUE)*(F228-Calc!F19))+B240+(ArtifactsInput!$M$24-ArtifactsInput!$M$24)*CHOOSE(ArtifactsInput!$N$24+1,10,12,14,16,18,20)+(IF(AND(Inputs!$B$38&lt;&gt;"pvp",Inputs!$B$43=0),1,IF(IF(Inputs!$B$38="pvp",15,Inputs!$B$43)-(B247)&lt;=0,1,MAX(0,IF(Inputs!$B$38="pvp",15,Inputs!$B$43)-MAX(5,B247))/(IF(Inputs!$B$38="pvp",15,Inputs!$B$43)-(B247))))*IF(AND(ArtifactsInput!$M$42,((Inputs!$B$9+((C228=TRUE)*(F228-Calc!F19))+B240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7">
        <f>IF(C217,(H217*N217*IF(AND(Inputs!$B$38&lt;&gt;"pvp",Inputs!$B$43&gt;0),((Skills!G8*((R217-1)*IF(Skills!H8&gt;0,INT(Skills!I8/Skills!H8+0.000000001),1)+IF(Skills!H8&gt;0,INT(MIN(Skills!I8,MAX(0,MAX(0,Inputs!$B$43-B247)-((R217-1)*((IF(Inputs!$B$38="pvp",15,MAX(0.1,Skills!D8-IF(TRUE=TRUE,Inputs!$B$32,0)))*(1-IF(AND(ArtifactsInput!$M$27,Inputs!$B$4="Chapter Hunt"),CHOOSE(ArtifactsInput!$N$27+1,20,24,28,32,36,40),0)/100))/B251))))/Skills!H8+0.000000001),1)))/Inputs!$B$43),G217*Q217))*IF(Inputs!$B$38="pvp",1,(1+(Inputs!$B$21+Skills!Q8+(IF(ArtifactsInput!$M$33,CHOOSE(ArtifactsInput!$N$33+1,30,36,42,48,54,60),0))+(IF(AND(ArtifactsInput!$M$35,Inputs!$B$4&lt;&gt;"Chapter Hunt"),CHOOSE(ArtifactsInput!$N$35+1,15,18,21,24,27,30)*(1-EXP(-(0.2*B242)*5)),0)+IF(AND(ArtifactsInput!$M$22,Inputs!$B$4&lt;&gt;"Chapter Hunt"),CHOOSE(ArtifactsInput!$N$22+1,10,12,14,16,18,20)*((0*(((0.15*B242*5))^0/1)+1*(((0.15*B242*5))^1/1)+2*(((0.15*B242*5))^2/2)+3*(((0.15*B242*5))^3/6)+4*(((0.15*B242*5))^4/24)+5*(((0.15*B242*5))^5/120))/((((0.15*B242*5))^0/1)+(((0.15*B242*5))^1/1)+(((0.15*B242*5))^2/2)+(((0.15*B242*5))^3/6)+(((0.15*B242*5))^4/24)+(((0.15*B242*5))^5/120))),0))+IF(Inputs!$B$3&gt;=54,9*(C212=TRUE)*MIN(1,8*(1+Inputs!$B$34/100)*Q212),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8">
      <c r="A218">
        <f>Skills!A9</f>
        <v/>
      </c>
      <c r="B218">
        <f>Skills!B9</f>
        <v/>
      </c>
      <c r="C218">
        <f>Inputs!$B$3&gt;=105</f>
        <v/>
      </c>
      <c r="D218">
        <f>IF(Skills!C9=1,60+Inputs!$B$25+Inputs!$B$29,IF(Skills!C9=2,90+Inputs!$B$26+Inputs!$B$29,IF(Skills!C9=3,120+Inputs!$B$27+Inputs!$B$29,MAX(0,(Inputs!$B$3-100)*3)+Inputs!$B$28+Inputs!$B$29)))</f>
        <v/>
      </c>
      <c r="E218">
        <f>INDEX(FactorTable!$B$2:$Y$301, MATCH(ROUND(MIN(300,MAX(1,D218)),0), FactorTable!$A$2:$A$301,0), Skills!M9+1)</f>
        <v/>
      </c>
      <c r="F218">
        <f>IF(Skills!N9=TRUE,(Skills!L9/10)*(E218/1000),Skills!L9/10)+Skills!O9</f>
        <v/>
      </c>
      <c r="G218">
        <f>Skills!G9*IF(Skills!H9&gt;0,INT(IF(Inputs!$B$38="pvp",MIN(Skills!I9,15),Skills!I9)/Skills!H9+0.000000001),1)</f>
        <v/>
      </c>
      <c r="H218">
        <f>1-(1-Skills!J9/100)^Skills!K9</f>
        <v/>
      </c>
      <c r="I218" t="inlineStr">
        <is>
          <t>1</t>
        </is>
      </c>
      <c r="J218">
        <f>((Inputs!$B$6*(1+Inputs!$B$7/100))+(((Inputs!$B$12*(1+Inputs!$B$13/100))-(Inputs!$B$12*(1+Inputs!$B$13/100)))+0.25*(Inputs!$B$14-Inputs!$B$14))*(1+Inputs!$B$7/100))*(F218/100)</f>
        <v/>
      </c>
      <c r="K218">
        <f>J218*(1+((Inputs!$B$12*(1+Inputs!$B$13/100))*0.01+Inputs!$B$14*0.0025)/100)*(1+(Inputs!$B$15+1)/100)*(1+Inputs!$B$16/100)*(5000/(6000+Inputs!$B$42*(1-(100*(1-(1-(Inputs!$B$19+0)/100)*(1-CHOOSE(ArtifactsInput!$N$40+1,5,6,7,8,9,10)/100)^(ArtifactsInput!$M$40-ArtifactsInput!$M$40)))/100)))*(1+(Inputs!$B$24+((C235=TRUE)*(F235-Calc!F26))+B246)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IGHT_LEGS_EASTON",Inputs!$B$17+((C232=TRUE)*(F232-Calc!F23))+((C236=TRUE)*(F236-Calc!F27))+((IF(AND(Inputs!$B$38&lt;&gt;"pvp",Inputs!$B$43=0),1,IF(IF(Inputs!$B$38="pvp",15,Inputs!$B$43)-(B247)&lt;=0,1,MAX(0,IF(Inputs!$B$38="pvp",15,Inputs!$B$43)-MAX(5,B247))/(IF(Inputs!$B$38="pvp",15,Inputs!$B$43)-(B247))))*(IF(AND(ArtifactsInput!$M$42,((Inputs!$B$9+((C228=TRUE)*(F228-Calc!F19))+B240+(ArtifactsInput!$M$24-ArtifactsInput!$M$24)*CHOOSE(ArtifactsInput!$N$24+1,10,12,14,16,18,20)+IF(ArtifactsInput!$M$10,CHOOSE(ArtifactsInput!$N$10+1,15,18,21,24,27,30)*(IF(Inputs!$B$38="pvp",MIN(15,15)/15,IF(AND(Inputs!$B$38&lt;&gt;"pvp",Inputs!$B$43&gt;0),MIN(15,Inputs!$B$43)/(Inputs!$B$43),0))),0)))&gt;=100),MIN(100,((Inputs!$B$9+((C228=TRUE)*(F228-Calc!F19))+B240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247)&lt;=0,1,MAX(0,IF(Inputs!$B$38="pvp",15,Inputs!$B$43)-MAX(5,B247))/(IF(Inputs!$B$38="pvp",15,Inputs!$B$43)-(B247))))*IF(AND(ArtifactsInput!$M$42,((Inputs!$B$9+((C228=TRUE)*(F228-Calc!F19))+B240+(ArtifactsInput!$M$24-ArtifactsInput!$M$24)*CHOOSE(ArtifactsInput!$N$24+1,10,12,14,16,18,20)+IF(ArtifactsInput!$M$10,CHOOSE(ArtifactsInput!$N$10+1,15,18,21,24,27,30)*(IF(Inputs!$B$38="pvp",MIN(15,15)/15,IF(AND(Inputs!$B$38&lt;&gt;"pvp",Inputs!$B$43&gt;0),MIN(15,Inputs!$B$43)/(Inputs!$B$43),0))),0)))&gt;=100),CHOOSE(ArtifactsInput!$N$42+1,40,48,56,64,72,80),0))))/100)*((1+(((C226=TRUE)*F226*5/7)+((C233=TRUE)*(F233-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218)</f>
        <v/>
      </c>
      <c r="L218">
        <f>K218*(MIN(Inputs!$B$22+((C231=TRUE)*(F231-Calc!F22)),(Inputs!$B$23+0+(IF(ArtifactsInput!$M$15,CHOOSE(ArtifactsInput!$N$15+1,25,30,35,40,45,50)/100*(Inputs!$B$11-Inputs!$B$11),0))))/100+(Inputs!$B$23+0+(IF(ArtifactsInput!$M$15,CHOOSE(ArtifactsInput!$N$15+1,25,30,35,40,45,50)/100*(Inputs!$B$11-Inputs!$B$11),0)))/100)/2</f>
        <v/>
      </c>
      <c r="M218">
        <f>L218*(1+(Inputs!$B$10+((C234=TRUE)*(F234-Calc!F25))+B245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8">
        <f>L218*(1-MIN((Inputs!$B$9+((C228=TRUE)*(F228-Calc!F19))+B240+(ArtifactsInput!$M$24-ArtifactsInput!$M$24)*CHOOSE(ArtifactsInput!$N$24+1,10,12,14,16,18,20)+(IF(AND(Inputs!$B$38&lt;&gt;"pvp",Inputs!$B$43=0),1,IF(IF(Inputs!$B$38="pvp",15,Inputs!$B$43)-(B247)&lt;=0,1,MAX(0,IF(Inputs!$B$38="pvp",15,Inputs!$B$43)-MAX(5,B247))/(IF(Inputs!$B$38="pvp",15,Inputs!$B$43)-(B247))))*IF(AND(ArtifactsInput!$M$42,((Inputs!$B$9+((C228=TRUE)*(F228-Calc!F19))+B240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218*(MIN((Inputs!$B$9+((C228=TRUE)*(F228-Calc!F19))+B240+(ArtifactsInput!$M$24-ArtifactsInput!$M$24)*CHOOSE(ArtifactsInput!$N$24+1,10,12,14,16,18,20)+(IF(AND(Inputs!$B$38&lt;&gt;"pvp",Inputs!$B$43=0),1,IF(IF(Inputs!$B$38="pvp",15,Inputs!$B$43)-(B247)&lt;=0,1,MAX(0,IF(Inputs!$B$38="pvp",15,Inputs!$B$43)-MAX(5,B247))/(IF(Inputs!$B$38="pvp",15,Inputs!$B$43)-(B247))))*IF(AND(ArtifactsInput!$M$42,((Inputs!$B$9+((C228=TRUE)*(F228-Calc!F19))+B240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8">
        <f>(1-Summary!$B$11)*T218+Summary!$B$11*V218</f>
        <v/>
      </c>
      <c r="P218">
        <f>IF(B250=0,0,O218/B250)</f>
        <v/>
      </c>
      <c r="Q218">
        <f>IFERROR(1/(IF(Inputs!$B$38="pvp",15,MAX(0.1,Skills!D9-IF(TRUE=TRUE,Inputs!$B$32,0)))*(1-IF(AND(ArtifactsInput!$M$27,Inputs!$B$4="Chapter Hunt"),CHOOSE(ArtifactsInput!$N$27+1,20,24,28,32,36,40),0)/100)),0)</f>
        <v/>
      </c>
      <c r="R218">
        <f>IF(AND(Inputs!$B$38&lt;&gt;"pvp",Inputs!$B$43&gt;0),IF(MAX(0,Inputs!$B$43-B247)&lt;=0,0,(INT(MAX(0,Inputs!$B$43-B247)/(IF(Inputs!$B$38="pvp",15,MAX(0.1,Skills!D9-IF(TRUE=TRUE,Inputs!$B$32,0)))*(1-IF(AND(ArtifactsInput!$M$27,Inputs!$B$4="Chapter Hunt"),CHOOSE(ArtifactsInput!$N$27+1,20,24,28,32,36,40),0)/100)))+1)),0)</f>
        <v/>
      </c>
      <c r="S218">
        <f>IFERROR(O218/N218,0)</f>
        <v/>
      </c>
      <c r="T218">
        <f>IF(C218,(H218*N218*IF(AND(Inputs!$B$38&lt;&gt;"pvp",Inputs!$B$43&gt;0),((Skills!G9*((R218-1)*IF(Skills!H9&gt;0,INT(Skills!I9/Skills!H9+0.000000001),1)+IF(Skills!H9&gt;0,INT(MIN(Skills!I9,MAX(0,MAX(0,Inputs!$B$43-B247)-((R218-1)*(IF(Inputs!$B$38="pvp",15,MAX(0.1,Skills!D9-IF(TRUE=TRUE,Inputs!$B$32,0)))*(1-IF(AND(ArtifactsInput!$M$27,Inputs!$B$4="Chapter Hunt"),CHOOSE(ArtifactsInput!$N$27+1,20,24,28,32,36,40),0)/100)))))/Skills!H9+0.000000001),1)))/Inputs!$B$43),G218*Q218))*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Hunt"),CHOOSE(ArtifactsInput!$N$35+1,15,18,21,24,27,30)*(1-EXP(-(0.2*B242)*5)),0)+IF(AND(ArtifactsInput!$M$22,Inputs!$B$4&lt;&gt;"Chapter Hunt"),CHOOSE(ArtifactsInput!$N$22+1,10,12,14,16,18,20)*((0*(((0.15*B242*5))^0/1)+1*(((0.15*B242*5))^1/1)+2*(((0.15*B242*5))^2/2)+3*(((0.15*B242*5))^3/6)+4*(((0.15*B242*5))^4/24)+5*(((0.15*B242*5))^5/120))/((((0.15*B242*5))^0/1)+(((0.15*B242*5))^1/1)+(((0.15*B242*5))^2/2)+(((0.15*B242*5))^3/6)+(((0.15*B242*5))^4/24)+(((0.15*B242*5))^5/120))),0))+IF(Inputs!$B$3&gt;=54,9*(C212=TRUE)*MIN(1,8*(1+Inputs!$B$34/100)*Q212)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218*(1-MIN(100,(Inputs!$B$9+((C228=TRUE)*(F228-Calc!F19))+B240+(ArtifactsInput!$M$24-ArtifactsInput!$M$24)*CHOOSE(ArtifactsInput!$N$24+1,10,12,14,16,18,20)+(IF(AND(Inputs!$B$38&lt;&gt;"pvp",Inputs!$B$43=0),1,IF(IF(Inputs!$B$38="pvp",15,Inputs!$B$43)-(B247)&lt;=0,1,MAX(0,IF(Inputs!$B$38="pvp",15,Inputs!$B$43)-MAX(5,B247))/(IF(Inputs!$B$38="pvp",15,Inputs!$B$43)-(B247))))*IF(AND(ArtifactsInput!$M$42,((Inputs!$B$9+((C228=TRUE)*(F228-Calc!F19))+B240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218*(MIN(100,(Inputs!$B$9+((C228=TRUE)*(F228-Calc!F19))+B240+(ArtifactsInput!$M$24-ArtifactsInput!$M$24)*CHOOSE(ArtifactsInput!$N$24+1,10,12,14,16,18,20)+(IF(AND(Inputs!$B$38&lt;&gt;"pvp",Inputs!$B$43=0),1,IF(IF(Inputs!$B$38="pvp",15,Inputs!$B$43)-(B247)&lt;=0,1,MAX(0,IF(Inputs!$B$38="pvp",15,Inputs!$B$43)-MAX(5,B247))/(IF(Inputs!$B$38="pvp",15,Inputs!$B$43)-(B247))))*IF(AND(ArtifactsInput!$M$42,((Inputs!$B$9+((C228=TRUE)*(F228-Calc!F19))+B240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218*(1-MIN(100,(Inputs!$B$9+((C228=TRUE)*(F228-Calc!F19))+B240+(ArtifactsInput!$M$24-ArtifactsInput!$M$24)*CHOOSE(ArtifactsInput!$N$24+1,10,12,14,16,18,20)+(IF(AND(Inputs!$B$38&lt;&gt;"pvp",Inputs!$B$43=0),1,IF(IF(Inputs!$B$38="pvp",15,Inputs!$B$43)-(B247)&lt;=0,1,MAX(0,IF(Inputs!$B$38="pvp",15,Inputs!$B$43)-MAX(5,B247))/(IF(Inputs!$B$38="pvp",15,Inputs!$B$43)-(B247))))*IF(AND(ArtifactsInput!$M$42,((Inputs!$B$9+((C228=TRUE)*(F228-Calc!F19))+B240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218*(MIN(100,(Inputs!$B$9+((C228=TRUE)*(F228-Calc!F19))+B240+(ArtifactsInput!$M$24-ArtifactsInput!$M$24)*CHOOSE(ArtifactsInput!$N$24+1,10,12,14,16,18,20)+(IF(AND(Inputs!$B$38&lt;&gt;"pvp",Inputs!$B$43=0),1,IF(IF(Inputs!$B$38="pvp",15,Inputs!$B$43)-(B247)&lt;=0,1,MAX(0,IF(Inputs!$B$38="pvp",15,Inputs!$B$43)-MAX(5,B247))/(IF(Inputs!$B$38="pvp",15,Inputs!$B$43)-(B247))))*IF(AND(ArtifactsInput!$M$42,((Inputs!$B$9+((C228=TRUE)*(F228-Calc!F19))+B240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8">
        <f>IF(C218,(H218*N218*IF(AND(Inputs!$B$38&lt;&gt;"pvp",Inputs!$B$43&gt;0),((Skills!G9*((R218-1)*IF(Skills!H9&gt;0,INT(Skills!I9/Skills!H9+0.000000001),1)+IF(Skills!H9&gt;0,INT(MIN(Skills!I9,MAX(0,MAX(0,Inputs!$B$43-B247)-((R218-1)*(IF(Inputs!$B$38="pvp",15,MAX(0.1,Skills!D9-IF(TRUE=TRUE,Inputs!$B$32,0)))*(1-IF(AND(ArtifactsInput!$M$27,Inputs!$B$4="Chapter Hunt"),CHOOSE(ArtifactsInput!$N$27+1,20,24,28,32,36,40),0)/100)))))/Skills!H9+0.000000001),1)))/Inputs!$B$43),G218*Q218))*IF(Inputs!$B$38="pvp",1,(1+(Inputs!$B$21+Skills!Q9+(IF(ArtifactsInput!$M$33,CHOOSE(ArtifactsInput!$N$33+1,30,36,42,48,54,60),0))+(IF(AND(ArtifactsInput!$M$35,Inputs!$B$4&lt;&gt;"Chapter Hunt"),CHOOSE(ArtifactsInput!$N$35+1,15,18,21,24,27,30)*(1-EXP(-(0.2*B242)*5)),0)+IF(AND(ArtifactsInput!$M$22,Inputs!$B$4&lt;&gt;"Chapter Hunt"),CHOOSE(ArtifactsInput!$N$22+1,10,12,14,16,18,20)*((0*(((0.15*B242*5))^0/1)+1*(((0.15*B242*5))^1/1)+2*(((0.15*B242*5))^2/2)+3*(((0.15*B242*5))^3/6)+4*(((0.15*B242*5))^4/24)+5*(((0.15*B242*5))^5/120))/((((0.15*B242*5))^0/1)+(((0.15*B242*5))^1/1)+(((0.15*B242*5))^2/2)+(((0.15*B242*5))^3/6)+(((0.15*B242*5))^4/24)+(((0.15*B242*5))^5/120))),0))+IF(Inputs!$B$3&gt;=54,9*(C212=TRUE)*MIN(1,8*(1+Inputs!$B$34/100)*Q212),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9">
      <c r="A219">
        <f>Skills!A10</f>
        <v/>
      </c>
      <c r="B219">
        <f>Skills!B10</f>
        <v/>
      </c>
      <c r="C219">
        <f>Inputs!$B$3&gt;=113</f>
        <v/>
      </c>
      <c r="D219">
        <f>IF(Skills!C10=1,60+Inputs!$B$25+Inputs!$B$29,IF(Skills!C10=2,90+Inputs!$B$26+Inputs!$B$29,IF(Skills!C10=3,120+Inputs!$B$27+Inputs!$B$29,MAX(0,(Inputs!$B$3-100)*3)+Inputs!$B$28+Inputs!$B$29)))</f>
        <v/>
      </c>
      <c r="E219">
        <f>INDEX(FactorTable!$B$2:$Y$301, MATCH(ROUND(MIN(300,MAX(1,D219)),0), FactorTable!$A$2:$A$301,0), Skills!M10+1)</f>
        <v/>
      </c>
      <c r="F219">
        <f>IF(Skills!N10=TRUE,(Skills!L10/10)*(E219/1000),Skills!L10/10)+Skills!O10</f>
        <v/>
      </c>
      <c r="G219">
        <f>Skills!G10*IF(Skills!H10&gt;0,INT(IF(Inputs!$B$38="pvp",MIN(Skills!I10,15),Skills!I10)/Skills!H10+0.000000001),1)</f>
        <v/>
      </c>
      <c r="H219">
        <f>1-(1-Skills!J10/100)^Skills!K10</f>
        <v/>
      </c>
      <c r="I219" t="inlineStr">
        <is>
          <t>1</t>
        </is>
      </c>
      <c r="J219">
        <f>((Inputs!$B$6*(1+Inputs!$B$7/100))+(((Inputs!$B$12*(1+Inputs!$B$13/100))-(Inputs!$B$12*(1+Inputs!$B$13/100)))+0.25*(Inputs!$B$14-Inputs!$B$14))*(1+Inputs!$B$7/100))*(F219/100)</f>
        <v/>
      </c>
      <c r="K219">
        <f>J219*(1+((Inputs!$B$12*(1+Inputs!$B$13/100))*0.01+Inputs!$B$14*0.0025)/100)*(1+(Inputs!$B$15+1)/100)*(1+Inputs!$B$16/100)*(5000/(6000+Inputs!$B$42*(1-(100*(1-(1-(Inputs!$B$19+0)/100)*(1-CHOOSE(ArtifactsInput!$N$40+1,5,6,7,8,9,10)/100)^(ArtifactsInput!$M$40-ArtifactsInput!$M$40)))/100)))*(1+(Inputs!$B$24+((C235=TRUE)*(F235-Calc!F26))+B246)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IGHT_LEGS_EASTON",Inputs!$B$17+((C232=TRUE)*(F232-Calc!F23))+((C236=TRUE)*(F236-Calc!F27))+((IF(AND(Inputs!$B$38&lt;&gt;"pvp",Inputs!$B$43=0),1,IF(IF(Inputs!$B$38="pvp",15,Inputs!$B$43)-(B247)&lt;=0,1,MAX(0,IF(Inputs!$B$38="pvp",15,Inputs!$B$43)-MAX(5,B247))/(IF(Inputs!$B$38="pvp",15,Inputs!$B$43)-(B247))))*(IF(AND(ArtifactsInput!$M$42,((Inputs!$B$9+((C228=TRUE)*(F228-Calc!F19))+B240+(ArtifactsInput!$M$24-ArtifactsInput!$M$24)*CHOOSE(ArtifactsInput!$N$24+1,10,12,14,16,18,20)+IF(ArtifactsInput!$M$10,CHOOSE(ArtifactsInput!$N$10+1,15,18,21,24,27,30)*(IF(Inputs!$B$38="pvp",MIN(15,15)/15,IF(AND(Inputs!$B$38&lt;&gt;"pvp",Inputs!$B$43&gt;0),MIN(15,Inputs!$B$43)/(Inputs!$B$43),0))),0)))&gt;=100),MIN(100,((Inputs!$B$9+((C228=TRUE)*(F228-Calc!F19))+B240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247)&lt;=0,1,MAX(0,IF(Inputs!$B$38="pvp",15,Inputs!$B$43)-MAX(5,B247))/(IF(Inputs!$B$38="pvp",15,Inputs!$B$43)-(B247))))*IF(AND(ArtifactsInput!$M$42,((Inputs!$B$9+((C228=TRUE)*(F228-Calc!F19))+B240+(ArtifactsInput!$M$24-ArtifactsInput!$M$24)*CHOOSE(ArtifactsInput!$N$24+1,10,12,14,16,18,20)+IF(ArtifactsInput!$M$10,CHOOSE(ArtifactsInput!$N$10+1,15,18,21,24,27,30)*(IF(Inputs!$B$38="pvp",MIN(15,15)/15,IF(AND(Inputs!$B$38&lt;&gt;"pvp",Inputs!$B$43&gt;0),MIN(15,Inputs!$B$43)/(Inputs!$B$43),0))),0)))&gt;=100),CHOOSE(ArtifactsInput!$N$42+1,40,48,56,64,72,80),0))))/100)*((1+(((C226=TRUE)*F226*5/7)+((C233=TRUE)*(F233-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219)</f>
        <v/>
      </c>
      <c r="L219">
        <f>K219*(MIN(Inputs!$B$22+((C231=TRUE)*(F231-Calc!F22)),(Inputs!$B$23+0+(IF(ArtifactsInput!$M$15,CHOOSE(ArtifactsInput!$N$15+1,25,30,35,40,45,50)/100*(Inputs!$B$11-Inputs!$B$11),0))))/100+(Inputs!$B$23+0+(IF(ArtifactsInput!$M$15,CHOOSE(ArtifactsInput!$N$15+1,25,30,35,40,45,50)/100*(Inputs!$B$11-Inputs!$B$11),0)))/100)/2</f>
        <v/>
      </c>
      <c r="M219">
        <f>L219*(1+(Inputs!$B$10+((C234=TRUE)*(F234-Calc!F25))+B245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9">
        <f>L219*(1-MIN((Inputs!$B$9+((C228=TRUE)*(F228-Calc!F19))+B240+(ArtifactsInput!$M$24-ArtifactsInput!$M$24)*CHOOSE(ArtifactsInput!$N$24+1,10,12,14,16,18,20)+(IF(AND(Inputs!$B$38&lt;&gt;"pvp",Inputs!$B$43=0),1,IF(IF(Inputs!$B$38="pvp",15,Inputs!$B$43)-(B247)&lt;=0,1,MAX(0,IF(Inputs!$B$38="pvp",15,Inputs!$B$43)-MAX(5,B247))/(IF(Inputs!$B$38="pvp",15,Inputs!$B$43)-(B247))))*IF(AND(ArtifactsInput!$M$42,((Inputs!$B$9+((C228=TRUE)*(F228-Calc!F19))+B240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219*(MIN((Inputs!$B$9+((C228=TRUE)*(F228-Calc!F19))+B240+(ArtifactsInput!$M$24-ArtifactsInput!$M$24)*CHOOSE(ArtifactsInput!$N$24+1,10,12,14,16,18,20)+(IF(AND(Inputs!$B$38&lt;&gt;"pvp",Inputs!$B$43=0),1,IF(IF(Inputs!$B$38="pvp",15,Inputs!$B$43)-(B247)&lt;=0,1,MAX(0,IF(Inputs!$B$38="pvp",15,Inputs!$B$43)-MAX(5,B247))/(IF(Inputs!$B$38="pvp",15,Inputs!$B$43)-(B247))))*IF(AND(ArtifactsInput!$M$42,((Inputs!$B$9+((C228=TRUE)*(F228-Calc!F19))+B240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9">
        <f>(1-Summary!$B$11)*T219+Summary!$B$11*V219</f>
        <v/>
      </c>
      <c r="P219">
        <f>IF(B250=0,0,O219/B250)</f>
        <v/>
      </c>
      <c r="Q219" t="n">
        <v>0</v>
      </c>
      <c r="R219" t="n">
        <v>0</v>
      </c>
      <c r="S219">
        <f>IFERROR(O219/N219,0)</f>
        <v/>
      </c>
      <c r="T219">
        <f>IF(C219,((H219*B252)/(1+Skills!H10*H219*B252)*N219)*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Hunt"),CHOOSE(ArtifactsInput!$N$35+1,15,18,21,24,27,30)*(1-EXP(-(0.2*B242)*5)),0)+IF(AND(ArtifactsInput!$M$22,Inputs!$B$4&lt;&gt;"Chapter Hunt"),CHOOSE(ArtifactsInput!$N$22+1,10,12,14,16,18,20)*((0*(((0.15*B242*5))^0/1)+1*(((0.15*B242*5))^1/1)+2*(((0.15*B242*5))^2/2)+3*(((0.15*B242*5))^3/6)+4*(((0.15*B242*5))^4/24)+5*(((0.15*B242*5))^5/120))/((((0.15*B242*5))^0/1)+(((0.15*B242*5))^1/1)+(((0.15*B242*5))^2/2)+(((0.15*B242*5))^3/6)+(((0.15*B242*5))^4/24)+(((0.15*B242*5))^5/120))),0))+IF(Inputs!$B$3&gt;=54,9*(C212=TRUE)*MIN(1,8*(1+Inputs!$B$34/100)*Q212)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219*(1-MIN(100,(Inputs!$B$9+((C228=TRUE)*(F228-Calc!F19))+B240+(ArtifactsInput!$M$24-ArtifactsInput!$M$24)*CHOOSE(ArtifactsInput!$N$24+1,10,12,14,16,18,20)+(IF(AND(Inputs!$B$38&lt;&gt;"pvp",Inputs!$B$43=0),1,IF(IF(Inputs!$B$38="pvp",15,Inputs!$B$43)-(B247)&lt;=0,1,MAX(0,IF(Inputs!$B$38="pvp",15,Inputs!$B$43)-MAX(5,B247))/(IF(Inputs!$B$38="pvp",15,Inputs!$B$43)-(B247))))*IF(AND(ArtifactsInput!$M$42,((Inputs!$B$9+((C228=TRUE)*(F228-Calc!F19))+B240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219*(MIN(100,(Inputs!$B$9+((C228=TRUE)*(F228-Calc!F19))+B240+(ArtifactsInput!$M$24-ArtifactsInput!$M$24)*CHOOSE(ArtifactsInput!$N$24+1,10,12,14,16,18,20)+(IF(AND(Inputs!$B$38&lt;&gt;"pvp",Inputs!$B$43=0),1,IF(IF(Inputs!$B$38="pvp",15,Inputs!$B$43)-(B247)&lt;=0,1,MAX(0,IF(Inputs!$B$38="pvp",15,Inputs!$B$43)-MAX(5,B247))/(IF(Inputs!$B$38="pvp",15,Inputs!$B$43)-(B247))))*IF(AND(ArtifactsInput!$M$42,((Inputs!$B$9+((C228=TRUE)*(F228-Calc!F19))+B240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219*(1-MIN(100,(Inputs!$B$9+((C228=TRUE)*(F228-Calc!F19))+B240+(ArtifactsInput!$M$24-ArtifactsInput!$M$24)*CHOOSE(ArtifactsInput!$N$24+1,10,12,14,16,18,20)+(IF(AND(Inputs!$B$38&lt;&gt;"pvp",Inputs!$B$43=0),1,IF(IF(Inputs!$B$38="pvp",15,Inputs!$B$43)-(B247)&lt;=0,1,MAX(0,IF(Inputs!$B$38="pvp",15,Inputs!$B$43)-MAX(5,B247))/(IF(Inputs!$B$38="pvp",15,Inputs!$B$43)-(B247))))*IF(AND(ArtifactsInput!$M$42,((Inputs!$B$9+((C228=TRUE)*(F228-Calc!F19))+B240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219*(MIN(100,(Inputs!$B$9+((C228=TRUE)*(F228-Calc!F19))+B240+(ArtifactsInput!$M$24-ArtifactsInput!$M$24)*CHOOSE(ArtifactsInput!$N$24+1,10,12,14,16,18,20)+(IF(AND(Inputs!$B$38&lt;&gt;"pvp",Inputs!$B$43=0),1,IF(IF(Inputs!$B$38="pvp",15,Inputs!$B$43)-(B247)&lt;=0,1,MAX(0,IF(Inputs!$B$38="pvp",15,Inputs!$B$43)-MAX(5,B247))/(IF(Inputs!$B$38="pvp",15,Inputs!$B$43)-(B247))))*IF(AND(ArtifactsInput!$M$42,((Inputs!$B$9+((C228=TRUE)*(F228-Calc!F19))+B240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9">
        <f>IF(C219,((H219*B252)/(1+Skills!H10*H219*B252)*N219)*IF(Inputs!$B$38="pvp",1,(1+(Inputs!$B$21+Skills!Q10+(IF(ArtifactsInput!$M$33,CHOOSE(ArtifactsInput!$N$33+1,30,36,42,48,54,60),0))+(IF(AND(ArtifactsInput!$M$35,Inputs!$B$4&lt;&gt;"Chapter Hunt"),CHOOSE(ArtifactsInput!$N$35+1,15,18,21,24,27,30)*(1-EXP(-(0.2*B242)*5)),0)+IF(AND(ArtifactsInput!$M$22,Inputs!$B$4&lt;&gt;"Chapter Hunt"),CHOOSE(ArtifactsInput!$N$22+1,10,12,14,16,18,20)*((0*(((0.15*B242*5))^0/1)+1*(((0.15*B242*5))^1/1)+2*(((0.15*B242*5))^2/2)+3*(((0.15*B242*5))^3/6)+4*(((0.15*B242*5))^4/24)+5*(((0.15*B242*5))^5/120))/((((0.15*B242*5))^0/1)+(((0.15*B242*5))^1/1)+(((0.15*B242*5))^2/2)+(((0.15*B242*5))^3/6)+(((0.15*B242*5))^4/24)+(((0.15*B242*5))^5/120))),0))+IF(Inputs!$B$3&gt;=54,9*(C212=TRUE)*MIN(1,8*(1+Inputs!$B$34/100)*Q212),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0">
      <c r="A220">
        <f>Skills!A11</f>
        <v/>
      </c>
      <c r="B220">
        <f>Skills!B11</f>
        <v/>
      </c>
      <c r="C220">
        <f>Inputs!$B$3&gt;=117</f>
        <v/>
      </c>
      <c r="D220">
        <f>IF(Skills!C11=1,60+Inputs!$B$25+Inputs!$B$29,IF(Skills!C11=2,90+Inputs!$B$26+Inputs!$B$29,IF(Skills!C11=3,120+Inputs!$B$27+Inputs!$B$29,MAX(0,(Inputs!$B$3-100)*3)+Inputs!$B$28+Inputs!$B$29)))</f>
        <v/>
      </c>
      <c r="E220">
        <f>INDEX(FactorTable!$B$2:$Y$301, MATCH(ROUND(MIN(300,MAX(1,D220)),0), FactorTable!$A$2:$A$301,0), Skills!M11+1)</f>
        <v/>
      </c>
      <c r="F220">
        <f>IF(Skills!N11=TRUE,(Skills!L11/10)*(E220/1000),Skills!L11/10)+Skills!O11</f>
        <v/>
      </c>
      <c r="G220">
        <f>Skills!G11*IF(Skills!H11&gt;0,INT(IF(Inputs!$B$38="pvp",MIN(Skills!I11,15),Skills!I11)/Skills!H11+0.000000001),1)</f>
        <v/>
      </c>
      <c r="H220">
        <f>1-(1-Skills!J11/100)^Skills!K11</f>
        <v/>
      </c>
      <c r="I220" t="inlineStr">
        <is>
          <t>1</t>
        </is>
      </c>
      <c r="J220">
        <f>((Inputs!$B$6*(1+Inputs!$B$7/100))+(((Inputs!$B$12*(1+Inputs!$B$13/100))-(Inputs!$B$12*(1+Inputs!$B$13/100)))+0.25*(Inputs!$B$14-Inputs!$B$14))*(1+Inputs!$B$7/100))*(F220/100)</f>
        <v/>
      </c>
      <c r="K220">
        <f>J220*(1+((Inputs!$B$12*(1+Inputs!$B$13/100))*0.01+Inputs!$B$14*0.0025)/100)*(1+(Inputs!$B$15+1)/100)*(1+Inputs!$B$16/100)*(5000/(6000+Inputs!$B$42*(1-(100*(1-(1-(Inputs!$B$19+0)/100)*(1-CHOOSE(ArtifactsInput!$N$40+1,5,6,7,8,9,10)/100)^(ArtifactsInput!$M$40-ArtifactsInput!$M$40)))/100)))*(1+(Inputs!$B$24+((C235=TRUE)*(F235-Calc!F26))+B246)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IGHT_LEGS_EASTON",Inputs!$B$17+((C232=TRUE)*(F232-Calc!F23))+((C236=TRUE)*(F236-Calc!F27))+((IF(AND(Inputs!$B$38&lt;&gt;"pvp",Inputs!$B$43=0),1,IF(IF(Inputs!$B$38="pvp",15,Inputs!$B$43)-(B247)&lt;=0,1,MAX(0,IF(Inputs!$B$38="pvp",15,Inputs!$B$43)-MAX(5,B247))/(IF(Inputs!$B$38="pvp",15,Inputs!$B$43)-(B247))))*(IF(AND(ArtifactsInput!$M$42,((Inputs!$B$9+((C228=TRUE)*(F228-Calc!F19))+B240+(ArtifactsInput!$M$24-ArtifactsInput!$M$24)*CHOOSE(ArtifactsInput!$N$24+1,10,12,14,16,18,20)+IF(ArtifactsInput!$M$10,CHOOSE(ArtifactsInput!$N$10+1,15,18,21,24,27,30)*(IF(Inputs!$B$38="pvp",MIN(15,15)/15,IF(AND(Inputs!$B$38&lt;&gt;"pvp",Inputs!$B$43&gt;0),MIN(15,Inputs!$B$43)/(Inputs!$B$43),0))),0)))&gt;=100),MIN(100,((Inputs!$B$9+((C228=TRUE)*(F228-Calc!F19))+B240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247)&lt;=0,1,MAX(0,IF(Inputs!$B$38="pvp",15,Inputs!$B$43)-MAX(5,B247))/(IF(Inputs!$B$38="pvp",15,Inputs!$B$43)-(B247))))*IF(AND(ArtifactsInput!$M$42,((Inputs!$B$9+((C228=TRUE)*(F228-Calc!F19))+B240+(ArtifactsInput!$M$24-ArtifactsInput!$M$24)*CHOOSE(ArtifactsInput!$N$24+1,10,12,14,16,18,20)+IF(ArtifactsInput!$M$10,CHOOSE(ArtifactsInput!$N$10+1,15,18,21,24,27,30)*(IF(Inputs!$B$38="pvp",MIN(15,15)/15,IF(AND(Inputs!$B$38&lt;&gt;"pvp",Inputs!$B$43&gt;0),MIN(15,Inputs!$B$43)/(Inputs!$B$43),0))),0)))&gt;=100),CHOOSE(ArtifactsInput!$N$42+1,40,48,56,64,72,80),0))))/100)*((1+(((C226=TRUE)*F226*5/7)+((C233=TRUE)*(F233-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220)</f>
        <v/>
      </c>
      <c r="L220">
        <f>K220*(MIN(Inputs!$B$22+((C231=TRUE)*(F231-Calc!F22)),(Inputs!$B$23+0+(IF(ArtifactsInput!$M$15,CHOOSE(ArtifactsInput!$N$15+1,25,30,35,40,45,50)/100*(Inputs!$B$11-Inputs!$B$11),0))))/100+(Inputs!$B$23+0+(IF(ArtifactsInput!$M$15,CHOOSE(ArtifactsInput!$N$15+1,25,30,35,40,45,50)/100*(Inputs!$B$11-Inputs!$B$11),0)))/100)/2</f>
        <v/>
      </c>
      <c r="M220">
        <f>L220*(1+(Inputs!$B$10+((C234=TRUE)*(F234-Calc!F25))+B245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0">
        <f>L220*(1-MIN((Inputs!$B$9+((C228=TRUE)*(F228-Calc!F19))+B240+(ArtifactsInput!$M$24-ArtifactsInput!$M$24)*CHOOSE(ArtifactsInput!$N$24+1,10,12,14,16,18,20)+(IF(AND(Inputs!$B$38&lt;&gt;"pvp",Inputs!$B$43=0),1,IF(IF(Inputs!$B$38="pvp",15,Inputs!$B$43)-(B247)&lt;=0,1,MAX(0,IF(Inputs!$B$38="pvp",15,Inputs!$B$43)-MAX(5,B247))/(IF(Inputs!$B$38="pvp",15,Inputs!$B$43)-(B247))))*IF(AND(ArtifactsInput!$M$42,((Inputs!$B$9+((C228=TRUE)*(F228-Calc!F19))+B240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220*(MIN((Inputs!$B$9+((C228=TRUE)*(F228-Calc!F19))+B240+(ArtifactsInput!$M$24-ArtifactsInput!$M$24)*CHOOSE(ArtifactsInput!$N$24+1,10,12,14,16,18,20)+(IF(AND(Inputs!$B$38&lt;&gt;"pvp",Inputs!$B$43=0),1,IF(IF(Inputs!$B$38="pvp",15,Inputs!$B$43)-(B247)&lt;=0,1,MAX(0,IF(Inputs!$B$38="pvp",15,Inputs!$B$43)-MAX(5,B247))/(IF(Inputs!$B$38="pvp",15,Inputs!$B$43)-(B247))))*IF(AND(ArtifactsInput!$M$42,((Inputs!$B$9+((C228=TRUE)*(F228-Calc!F19))+B240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0">
        <f>(1-Summary!$B$11)*T220+Summary!$B$11*V220</f>
        <v/>
      </c>
      <c r="P220">
        <f>IF(B250=0,0,O220/B250)</f>
        <v/>
      </c>
      <c r="Q220">
        <f>IFERROR(1/((IF(Inputs!$B$38="pvp",15,MAX(0.1,Skills!D11-IF(TRUE=TRUE,Inputs!$B$32,0)))*(1-IF(AND(ArtifactsInput!$M$27,Inputs!$B$4="Chapter Hunt"),CHOOSE(ArtifactsInput!$N$27+1,20,24,28,32,36,40),0)/100))/B251),0)</f>
        <v/>
      </c>
      <c r="R220">
        <f>IF(AND(Inputs!$B$38&lt;&gt;"pvp",Inputs!$B$43&gt;0),IF(MAX(0,Inputs!$B$43-B247)&lt;=0,0,(INT(MAX(0,Inputs!$B$43-B247)/((IF(Inputs!$B$38="pvp",15,MAX(0.1,Skills!D11-IF(TRUE=TRUE,Inputs!$B$32,0)))*(1-IF(AND(ArtifactsInput!$M$27,Inputs!$B$4="Chapter Hunt"),CHOOSE(ArtifactsInput!$N$27+1,20,24,28,32,36,40),0)/100))/B251))+1)),0)</f>
        <v/>
      </c>
      <c r="S220">
        <f>IFERROR(O220/N220,0)</f>
        <v/>
      </c>
      <c r="T220">
        <f>IF(C220,(H220*N220*IF(AND(Inputs!$B$38&lt;&gt;"pvp",Inputs!$B$43&gt;0),((Skills!G11*((R220-1)*IF(Skills!H11&gt;0,INT(Skills!I11/Skills!H11+0.000000001),1)+IF(Skills!H11&gt;0,INT(MIN(Skills!I11,MAX(0,MAX(0,Inputs!$B$43-B247)-((R220-1)*((IF(Inputs!$B$38="pvp",15,MAX(0.1,Skills!D11-IF(TRUE=TRUE,Inputs!$B$32,0)))*(1-IF(AND(ArtifactsInput!$M$27,Inputs!$B$4="Chapter Hunt"),CHOOSE(ArtifactsInput!$N$27+1,20,24,28,32,36,40),0)/100))/B251))))/Skills!H11+0.000000001),1)))/Inputs!$B$43),G220*Q220))*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Hunt"),CHOOSE(ArtifactsInput!$N$35+1,15,18,21,24,27,30)*(1-EXP(-(0.2*B242)*5)),0)+IF(AND(ArtifactsInput!$M$22,Inputs!$B$4&lt;&gt;"Chapter Hunt"),CHOOSE(ArtifactsInput!$N$22+1,10,12,14,16,18,20)*((0*(((0.15*B242*5))^0/1)+1*(((0.15*B242*5))^1/1)+2*(((0.15*B242*5))^2/2)+3*(((0.15*B242*5))^3/6)+4*(((0.15*B242*5))^4/24)+5*(((0.15*B242*5))^5/120))/((((0.15*B242*5))^0/1)+(((0.15*B242*5))^1/1)+(((0.15*B242*5))^2/2)+(((0.15*B242*5))^3/6)+(((0.15*B242*5))^4/24)+(((0.15*B242*5))^5/120))),0))+IF(Inputs!$B$3&gt;=54,9*(C212=TRUE)*MIN(1,8*(1+Inputs!$B$34/100)*Q212)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220*(1-MIN(100,(Inputs!$B$9+((C228=TRUE)*(F228-Calc!F19))+B240+(ArtifactsInput!$M$24-ArtifactsInput!$M$24)*CHOOSE(ArtifactsInput!$N$24+1,10,12,14,16,18,20)+(IF(AND(Inputs!$B$38&lt;&gt;"pvp",Inputs!$B$43=0),1,IF(IF(Inputs!$B$38="pvp",15,Inputs!$B$43)-(B247)&lt;=0,1,MAX(0,IF(Inputs!$B$38="pvp",15,Inputs!$B$43)-MAX(5,B247))/(IF(Inputs!$B$38="pvp",15,Inputs!$B$43)-(B247))))*IF(AND(ArtifactsInput!$M$42,((Inputs!$B$9+((C228=TRUE)*(F228-Calc!F19))+B240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220*(MIN(100,(Inputs!$B$9+((C228=TRUE)*(F228-Calc!F19))+B240+(ArtifactsInput!$M$24-ArtifactsInput!$M$24)*CHOOSE(ArtifactsInput!$N$24+1,10,12,14,16,18,20)+(IF(AND(Inputs!$B$38&lt;&gt;"pvp",Inputs!$B$43=0),1,IF(IF(Inputs!$B$38="pvp",15,Inputs!$B$43)-(B247)&lt;=0,1,MAX(0,IF(Inputs!$B$38="pvp",15,Inputs!$B$43)-MAX(5,B247))/(IF(Inputs!$B$38="pvp",15,Inputs!$B$43)-(B247))))*IF(AND(ArtifactsInput!$M$42,((Inputs!$B$9+((C228=TRUE)*(F228-Calc!F19))+B240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220*(1-MIN(100,(Inputs!$B$9+((C228=TRUE)*(F228-Calc!F19))+B240+(ArtifactsInput!$M$24-ArtifactsInput!$M$24)*CHOOSE(ArtifactsInput!$N$24+1,10,12,14,16,18,20)+(IF(AND(Inputs!$B$38&lt;&gt;"pvp",Inputs!$B$43=0),1,IF(IF(Inputs!$B$38="pvp",15,Inputs!$B$43)-(B247)&lt;=0,1,MAX(0,IF(Inputs!$B$38="pvp",15,Inputs!$B$43)-MAX(5,B247))/(IF(Inputs!$B$38="pvp",15,Inputs!$B$43)-(B247))))*IF(AND(ArtifactsInput!$M$42,((Inputs!$B$9+((C228=TRUE)*(F228-Calc!F19))+B240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220*(MIN(100,(Inputs!$B$9+((C228=TRUE)*(F228-Calc!F19))+B240+(ArtifactsInput!$M$24-ArtifactsInput!$M$24)*CHOOSE(ArtifactsInput!$N$24+1,10,12,14,16,18,20)+(IF(AND(Inputs!$B$38&lt;&gt;"pvp",Inputs!$B$43=0),1,IF(IF(Inputs!$B$38="pvp",15,Inputs!$B$43)-(B247)&lt;=0,1,MAX(0,IF(Inputs!$B$38="pvp",15,Inputs!$B$43)-MAX(5,B247))/(IF(Inputs!$B$38="pvp",15,Inputs!$B$43)-(B247))))*IF(AND(ArtifactsInput!$M$42,((Inputs!$B$9+((C228=TRUE)*(F228-Calc!F19))+B240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20">
        <f>IF(C220,(H220*N220*IF(AND(Inputs!$B$38&lt;&gt;"pvp",Inputs!$B$43&gt;0),((Skills!G11*((R220-1)*IF(Skills!H11&gt;0,INT(Skills!I11/Skills!H11+0.000000001),1)+IF(Skills!H11&gt;0,INT(MIN(Skills!I11,MAX(0,MAX(0,Inputs!$B$43-B247)-((R220-1)*((IF(Inputs!$B$38="pvp",15,MAX(0.1,Skills!D11-IF(TRUE=TRUE,Inputs!$B$32,0)))*(1-IF(AND(ArtifactsInput!$M$27,Inputs!$B$4="Chapter Hunt"),CHOOSE(ArtifactsInput!$N$27+1,20,24,28,32,36,40),0)/100))/B251))))/Skills!H11+0.000000001),1)))/Inputs!$B$43),G220*Q220))*IF(Inputs!$B$38="pvp",1,(1+(Inputs!$B$21+Skills!Q11+(IF(ArtifactsInput!$M$33,CHOOSE(ArtifactsInput!$N$33+1,30,36,42,48,54,60),0))+(IF(AND(ArtifactsInput!$M$35,Inputs!$B$4&lt;&gt;"Chapter Hunt"),CHOOSE(ArtifactsInput!$N$35+1,15,18,21,24,27,30)*(1-EXP(-(0.2*B242)*5)),0)+IF(AND(ArtifactsInput!$M$22,Inputs!$B$4&lt;&gt;"Chapter Hunt"),CHOOSE(ArtifactsInput!$N$22+1,10,12,14,16,18,20)*((0*(((0.15*B242*5))^0/1)+1*(((0.15*B242*5))^1/1)+2*(((0.15*B242*5))^2/2)+3*(((0.15*B242*5))^3/6)+4*(((0.15*B242*5))^4/24)+5*(((0.15*B242*5))^5/120))/((((0.15*B242*5))^0/1)+(((0.15*B242*5))^1/1)+(((0.15*B242*5))^2/2)+(((0.15*B242*5))^3/6)+(((0.15*B242*5))^4/24)+(((0.15*B242*5))^5/120))),0))+IF(Inputs!$B$3&gt;=54,9*(C212=TRUE)*MIN(1,8*(1+Inputs!$B$34/100)*Q212),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1">
      <c r="A221">
        <f>Skills!A12</f>
        <v/>
      </c>
      <c r="B221">
        <f>Skills!B12</f>
        <v/>
      </c>
      <c r="C221">
        <f>Inputs!$B$3&gt;=110</f>
        <v/>
      </c>
      <c r="D221">
        <f>IF(Skills!C12=1,60+Inputs!$B$25+Inputs!$B$29,IF(Skills!C12=2,90+Inputs!$B$26+Inputs!$B$29,IF(Skills!C12=3,120+Inputs!$B$27+Inputs!$B$29,MAX(0,(Inputs!$B$3-100)*3)+Inputs!$B$28+Inputs!$B$29)))</f>
        <v/>
      </c>
      <c r="E221">
        <f>INDEX(FactorTable!$B$2:$Y$301, MATCH(ROUND(MIN(300,MAX(1,D221)),0), FactorTable!$A$2:$A$301,0), Skills!M12+1)</f>
        <v/>
      </c>
      <c r="F221">
        <f>IF(Skills!N12=TRUE,(Skills!L12/10)*(E221/1000),Skills!L12/10)+Skills!O12</f>
        <v/>
      </c>
      <c r="G221">
        <f>Skills!G12*IF(Skills!H12&gt;0,INT(IF(Inputs!$B$38="pvp",MIN(Skills!I12,15),Skills!I12)/Skills!H12+0.000000001),1)</f>
        <v/>
      </c>
      <c r="H221">
        <f>1-(1-Skills!J12/100)^Skills!K12</f>
        <v/>
      </c>
      <c r="I221" t="inlineStr">
        <is>
          <t>1</t>
        </is>
      </c>
      <c r="J221">
        <f>((Inputs!$B$6*(1+Inputs!$B$7/100))+(((Inputs!$B$12*(1+Inputs!$B$13/100))-(Inputs!$B$12*(1+Inputs!$B$13/100)))+0.25*(Inputs!$B$14-Inputs!$B$14))*(1+Inputs!$B$7/100))*(F221/100)</f>
        <v/>
      </c>
      <c r="K221">
        <f>J221*(1+((Inputs!$B$12*(1+Inputs!$B$13/100))*0.01+Inputs!$B$14*0.0025)/100)*(1+(Inputs!$B$15+1)/100)*(1+Inputs!$B$16/100)*(5000/(6000+Inputs!$B$42*(1-(100*(1-(1-(Inputs!$B$19+0)/100)*(1-CHOOSE(ArtifactsInput!$N$40+1,5,6,7,8,9,10)/100)^(ArtifactsInput!$M$40-ArtifactsInput!$M$40)))/100)))*(1+(Inputs!$B$24+((C235=TRUE)*(F235-Calc!F26))+B246)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EIGHT_LEGS_EASTON",Inputs!$B$17+((C232=TRUE)*(F232-Calc!F23))+((C236=TRUE)*(F236-Calc!F27))+((IF(AND(Inputs!$B$38&lt;&gt;"pvp",Inputs!$B$43=0),1,IF(IF(Inputs!$B$38="pvp",15,Inputs!$B$43)-(B247)&lt;=0,1,MAX(0,IF(Inputs!$B$38="pvp",15,Inputs!$B$43)-MAX(5,B247))/(IF(Inputs!$B$38="pvp",15,Inputs!$B$43)-(B247))))*(IF(AND(ArtifactsInput!$M$42,((Inputs!$B$9+((C228=TRUE)*(F228-Calc!F19))+B240+(ArtifactsInput!$M$24-ArtifactsInput!$M$24)*CHOOSE(ArtifactsInput!$N$24+1,10,12,14,16,18,20)+IF(ArtifactsInput!$M$10,CHOOSE(ArtifactsInput!$N$10+1,15,18,21,24,27,30)*(IF(Inputs!$B$38="pvp",MIN(15,15)/15,IF(AND(Inputs!$B$38&lt;&gt;"pvp",Inputs!$B$43&gt;0),MIN(15,Inputs!$B$43)/(Inputs!$B$43),0))),0)))&gt;=100),MIN(100,((Inputs!$B$9+((C228=TRUE)*(F228-Calc!F19))+B240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247)&lt;=0,1,MAX(0,IF(Inputs!$B$38="pvp",15,Inputs!$B$43)-MAX(5,B247))/(IF(Inputs!$B$38="pvp",15,Inputs!$B$43)-(B247))))*IF(AND(ArtifactsInput!$M$42,((Inputs!$B$9+((C228=TRUE)*(F228-Calc!F19))+B240+(ArtifactsInput!$M$24-ArtifactsInput!$M$24)*CHOOSE(ArtifactsInput!$N$24+1,10,12,14,16,18,20)+IF(ArtifactsInput!$M$10,CHOOSE(ArtifactsInput!$N$10+1,15,18,21,24,27,30)*(IF(Inputs!$B$38="pvp",MIN(15,15)/15,IF(AND(Inputs!$B$38&lt;&gt;"pvp",Inputs!$B$43&gt;0),MIN(15,Inputs!$B$43)/(Inputs!$B$43),0))),0)))&gt;=100),CHOOSE(ArtifactsInput!$N$42+1,40,48,56,64,72,80),0))))/100)*((1+(((C226=TRUE)*F226*5/7)+((C233=TRUE)*(F233-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221)</f>
        <v/>
      </c>
      <c r="L221">
        <f>K221*(MIN(Inputs!$B$22+((C231=TRUE)*(F231-Calc!F22)),(Inputs!$B$23+0+(IF(ArtifactsInput!$M$15,CHOOSE(ArtifactsInput!$N$15+1,25,30,35,40,45,50)/100*(Inputs!$B$11-Inputs!$B$11),0))))/100+(Inputs!$B$23+0+(IF(ArtifactsInput!$M$15,CHOOSE(ArtifactsInput!$N$15+1,25,30,35,40,45,50)/100*(Inputs!$B$11-Inputs!$B$11),0)))/100)/2</f>
        <v/>
      </c>
      <c r="M221">
        <f>L221*(1+(Inputs!$B$10+((C234=TRUE)*(F234-Calc!F25))+B245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1">
        <f>L221*(1-MIN((Inputs!$B$9+((C228=TRUE)*(F228-Calc!F19))+B240+(ArtifactsInput!$M$24-ArtifactsInput!$M$24)*CHOOSE(ArtifactsInput!$N$24+1,10,12,14,16,18,20)+(IF(AND(Inputs!$B$38&lt;&gt;"pvp",Inputs!$B$43=0),1,IF(IF(Inputs!$B$38="pvp",15,Inputs!$B$43)-(B247)&lt;=0,1,MAX(0,IF(Inputs!$B$38="pvp",15,Inputs!$B$43)-MAX(5,B247))/(IF(Inputs!$B$38="pvp",15,Inputs!$B$43)-(B247))))*IF(AND(ArtifactsInput!$M$42,((Inputs!$B$9+((C228=TRUE)*(F228-Calc!F19))+B240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221*(MIN((Inputs!$B$9+((C228=TRUE)*(F228-Calc!F19))+B240+(ArtifactsInput!$M$24-ArtifactsInput!$M$24)*CHOOSE(ArtifactsInput!$N$24+1,10,12,14,16,18,20)+(IF(AND(Inputs!$B$38&lt;&gt;"pvp",Inputs!$B$43=0),1,IF(IF(Inputs!$B$38="pvp",15,Inputs!$B$43)-(B247)&lt;=0,1,MAX(0,IF(Inputs!$B$38="pvp",15,Inputs!$B$43)-MAX(5,B247))/(IF(Inputs!$B$38="pvp",15,Inputs!$B$43)-(B247))))*IF(AND(ArtifactsInput!$M$42,((Inputs!$B$9+((C228=TRUE)*(F228-Calc!F19))+B240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1">
        <f>(1-Summary!$B$11)*T221+Summary!$B$11*V221</f>
        <v/>
      </c>
      <c r="P221">
        <f>IF(B250=0,0,O221/B250)</f>
        <v/>
      </c>
      <c r="Q221">
        <f>IFERROR(1/(IF(Inputs!$B$38="pvp",15,MAX(0.1,Skills!D12-IF(TRUE=TRUE,Inputs!$B$32,0)))*(1-IF(AND(ArtifactsInput!$M$27,Inputs!$B$4="Chapter Hunt"),CHOOSE(ArtifactsInput!$N$27+1,20,24,28,32,36,40),0)/100)),0)</f>
        <v/>
      </c>
      <c r="R221">
        <f>IF(AND(Inputs!$B$38&lt;&gt;"pvp",Inputs!$B$43&gt;0),IF(MAX(0,Inputs!$B$43-B247)&lt;=0,0,(INT(MAX(0,Inputs!$B$43-B247)/(IF(Inputs!$B$38="pvp",15,MAX(0.1,Skills!D12-IF(TRUE=TRUE,Inputs!$B$32,0)))*(1-IF(AND(ArtifactsInput!$M$27,Inputs!$B$4="Chapter Hunt"),CHOOSE(ArtifactsInput!$N$27+1,20,24,28,32,36,40),0)/100)))+1)),0)</f>
        <v/>
      </c>
      <c r="S221">
        <f>IFERROR(O221/N221,0)</f>
        <v/>
      </c>
      <c r="T221">
        <f>IF(C221,(H221*N221*IF(AND(Inputs!$B$38&lt;&gt;"pvp",Inputs!$B$43&gt;0),((Skills!G12*((R221-1)*IF(Skills!H12&gt;0,INT(Skills!I12/Skills!H12+0.000000001),1)+IF(Skills!H12&gt;0,INT(MIN(Skills!I12,MAX(0,MAX(0,Inputs!$B$43-B247)-((R221-1)*(IF(Inputs!$B$38="pvp",15,MAX(0.1,Skills!D12-IF(TRUE=TRUE,Inputs!$B$32,0)))*(1-IF(AND(ArtifactsInput!$M$27,Inputs!$B$4="Chapter Hunt"),CHOOSE(ArtifactsInput!$N$27+1,20,24,28,32,36,40),0)/100)))))/Skills!H12+0.000000001),1)))/Inputs!$B$43),G221*Q221))*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Hunt"),CHOOSE(ArtifactsInput!$N$35+1,15,18,21,24,27,30)*(1-EXP(-(0.2*B242)*5)),0)+IF(AND(ArtifactsInput!$M$22,Inputs!$B$4&lt;&gt;"Chapter Hunt"),CHOOSE(ArtifactsInput!$N$22+1,10,12,14,16,18,20)*((0*(((0.15*B242*5))^0/1)+1*(((0.15*B242*5))^1/1)+2*(((0.15*B242*5))^2/2)+3*(((0.15*B242*5))^3/6)+4*(((0.15*B242*5))^4/24)+5*(((0.15*B242*5))^5/120))/((((0.15*B242*5))^0/1)+(((0.15*B242*5))^1/1)+(((0.15*B242*5))^2/2)+(((0.15*B242*5))^3/6)+(((0.15*B242*5))^4/24)+(((0.15*B242*5))^5/120))),0))+IF(Inputs!$B$3&gt;=54,9*(C212=TRUE)*MIN(1,8*(1+Inputs!$B$34/100)*Q212)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221*(1-MIN(100,(Inputs!$B$9+((C228=TRUE)*(F228-Calc!F19))+B240+(ArtifactsInput!$M$24-ArtifactsInput!$M$24)*CHOOSE(ArtifactsInput!$N$24+1,10,12,14,16,18,20)+(IF(AND(Inputs!$B$38&lt;&gt;"pvp",Inputs!$B$43=0),1,IF(IF(Inputs!$B$38="pvp",15,Inputs!$B$43)-(B247)&lt;=0,1,MAX(0,IF(Inputs!$B$38="pvp",15,Inputs!$B$43)-MAX(5,B247))/(IF(Inputs!$B$38="pvp",15,Inputs!$B$43)-(B247))))*IF(AND(ArtifactsInput!$M$42,((Inputs!$B$9+((C228=TRUE)*(F228-Calc!F19))+B240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221*(MIN(100,(Inputs!$B$9+((C228=TRUE)*(F228-Calc!F19))+B240+(ArtifactsInput!$M$24-ArtifactsInput!$M$24)*CHOOSE(ArtifactsInput!$N$24+1,10,12,14,16,18,20)+(IF(AND(Inputs!$B$38&lt;&gt;"pvp",Inputs!$B$43=0),1,IF(IF(Inputs!$B$38="pvp",15,Inputs!$B$43)-(B247)&lt;=0,1,MAX(0,IF(Inputs!$B$38="pvp",15,Inputs!$B$43)-MAX(5,B247))/(IF(Inputs!$B$38="pvp",15,Inputs!$B$43)-(B247))))*IF(AND(ArtifactsInput!$M$42,((Inputs!$B$9+((C228=TRUE)*(F228-Calc!F19))+B240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221*(1-MIN(100,(Inputs!$B$9+((C228=TRUE)*(F228-Calc!F19))+B240+(ArtifactsInput!$M$24-ArtifactsInput!$M$24)*CHOOSE(ArtifactsInput!$N$24+1,10,12,14,16,18,20)+(IF(AND(Inputs!$B$38&lt;&gt;"pvp",Inputs!$B$43=0),1,IF(IF(Inputs!$B$38="pvp",15,Inputs!$B$43)-(B247)&lt;=0,1,MAX(0,IF(Inputs!$B$38="pvp",15,Inputs!$B$43)-MAX(5,B247))/(IF(Inputs!$B$38="pvp",15,Inputs!$B$43)-(B247))))*IF(AND(ArtifactsInput!$M$42,((Inputs!$B$9+((C228=TRUE)*(F228-Calc!F19))+B240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221*(MIN(100,(Inputs!$B$9+((C228=TRUE)*(F228-Calc!F19))+B240+(ArtifactsInput!$M$24-ArtifactsInput!$M$24)*CHOOSE(ArtifactsInput!$N$24+1,10,12,14,16,18,20)+(IF(AND(Inputs!$B$38&lt;&gt;"pvp",Inputs!$B$43=0),1,IF(IF(Inputs!$B$38="pvp",15,Inputs!$B$43)-(B247)&lt;=0,1,MAX(0,IF(Inputs!$B$38="pvp",15,Inputs!$B$43)-MAX(5,B247))/(IF(Inputs!$B$38="pvp",15,Inputs!$B$43)-(B247))))*IF(AND(ArtifactsInput!$M$42,((Inputs!$B$9+((C228=TRUE)*(F228-Calc!F19))+B240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21">
        <f>IF(C221,(H221*N221*IF(AND(Inputs!$B$38&lt;&gt;"pvp",Inputs!$B$43&gt;0),((Skills!G12*((R221-1)*IF(Skills!H12&gt;0,INT(Skills!I12/Skills!H12+0.000000001),1)+IF(Skills!H12&gt;0,INT(MIN(Skills!I12,MAX(0,MAX(0,Inputs!$B$43-B247)-((R221-1)*(IF(Inputs!$B$38="pvp",15,MAX(0.1,Skills!D12-IF(TRUE=TRUE,Inputs!$B$32,0)))*(1-IF(AND(ArtifactsInput!$M$27,Inputs!$B$4="Chapter Hunt"),CHOOSE(ArtifactsInput!$N$27+1,20,24,28,32,36,40),0)/100)))))/Skills!H12+0.000000001),1)))/Inputs!$B$43),G221*Q221))*IF(Inputs!$B$38="pvp",1,(1+(Inputs!$B$21+Skills!Q12+(IF(ArtifactsInput!$M$33,CHOOSE(ArtifactsInput!$N$33+1,30,36,42,48,54,60),0))+(IF(AND(ArtifactsInput!$M$35,Inputs!$B$4&lt;&gt;"Chapter Hunt"),CHOOSE(ArtifactsInput!$N$35+1,15,18,21,24,27,30)*(1-EXP(-(0.2*B242)*5)),0)+IF(AND(ArtifactsInput!$M$22,Inputs!$B$4&lt;&gt;"Chapter Hunt"),CHOOSE(ArtifactsInput!$N$22+1,10,12,14,16,18,20)*((0*(((0.15*B242*5))^0/1)+1*(((0.15*B242*5))^1/1)+2*(((0.15*B242*5))^2/2)+3*(((0.15*B242*5))^3/6)+4*(((0.15*B242*5))^4/24)+5*(((0.15*B242*5))^5/120))/((((0.15*B242*5))^0/1)+(((0.15*B242*5))^1/1)+(((0.15*B242*5))^2/2)+(((0.15*B242*5))^3/6)+(((0.15*B242*5))^4/24)+(((0.15*B242*5))^5/120))),0))+IF(Inputs!$B$3&gt;=54,9*(C212=TRUE)*MIN(1,8*(1+Inputs!$B$34/100)*Q212),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2">
      <c r="A222">
        <f>Skills!A13</f>
        <v/>
      </c>
      <c r="B222">
        <f>Skills!B13</f>
        <v/>
      </c>
      <c r="C222">
        <f>Inputs!$B$3&gt;=110</f>
        <v/>
      </c>
      <c r="D222">
        <f>IF(Skills!C13=1,60+Inputs!$B$25+Inputs!$B$29,IF(Skills!C13=2,90+Inputs!$B$26+Inputs!$B$29,IF(Skills!C13=3,120+Inputs!$B$27+Inputs!$B$29,MAX(0,(Inputs!$B$3-100)*3)+Inputs!$B$28+Inputs!$B$29)))</f>
        <v/>
      </c>
      <c r="E222">
        <f>INDEX(FactorTable!$B$2:$Y$301, MATCH(ROUND(MIN(300,MAX(1,D222)),0), FactorTable!$A$2:$A$301,0), Skills!M13+1)</f>
        <v/>
      </c>
      <c r="F222">
        <f>IF(Skills!N13=TRUE,(Skills!L13/10)*(E222/1000),Skills!L13/10)+Skills!O13</f>
        <v/>
      </c>
      <c r="G222">
        <f>Skills!G13*IF(Skills!H13&gt;0,INT(IF(Inputs!$B$38="pvp",MIN(Skills!I13,15),Skills!I13)/Skills!H13+0.000000001),1)</f>
        <v/>
      </c>
      <c r="H222">
        <f>1-(1-Skills!J13/100)^Skills!K13</f>
        <v/>
      </c>
      <c r="I222" t="inlineStr">
        <is>
          <t>1</t>
        </is>
      </c>
      <c r="J222">
        <f>((Inputs!$B$6*(1+Inputs!$B$7/100))+(((Inputs!$B$12*(1+Inputs!$B$13/100))-(Inputs!$B$12*(1+Inputs!$B$13/100)))+0.25*(Inputs!$B$14-Inputs!$B$14))*(1+Inputs!$B$7/100))*(F222/100)</f>
        <v/>
      </c>
      <c r="K222">
        <f>J222*(1+((Inputs!$B$12*(1+Inputs!$B$13/100))*0.01+Inputs!$B$14*0.0025)/100)*(1+(Inputs!$B$15+1)/100)*(1+Inputs!$B$16/100)*(5000/(6000+Inputs!$B$42*(1-(100*(1-(1-(Inputs!$B$19+0)/100)*(1-CHOOSE(ArtifactsInput!$N$40+1,5,6,7,8,9,10)/100)^(ArtifactsInput!$M$40-ArtifactsInput!$M$40)))/100)))*(1+(Inputs!$B$24+((C235=TRUE)*(F235-Calc!F26))+B246)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EIGHT_LEGS_EASTON",Inputs!$B$17+((C232=TRUE)*(F232-Calc!F23))+((C236=TRUE)*(F236-Calc!F27))+((IF(AND(Inputs!$B$38&lt;&gt;"pvp",Inputs!$B$43=0),1,IF(IF(Inputs!$B$38="pvp",15,Inputs!$B$43)-(B247)&lt;=0,1,MAX(0,IF(Inputs!$B$38="pvp",15,Inputs!$B$43)-MAX(5,B247))/(IF(Inputs!$B$38="pvp",15,Inputs!$B$43)-(B247))))*(IF(AND(ArtifactsInput!$M$42,((Inputs!$B$9+((C228=TRUE)*(F228-Calc!F19))+B240+(ArtifactsInput!$M$24-ArtifactsInput!$M$24)*CHOOSE(ArtifactsInput!$N$24+1,10,12,14,16,18,20)+IF(ArtifactsInput!$M$10,CHOOSE(ArtifactsInput!$N$10+1,15,18,21,24,27,30)*(IF(Inputs!$B$38="pvp",MIN(15,15)/15,IF(AND(Inputs!$B$38&lt;&gt;"pvp",Inputs!$B$43&gt;0),MIN(15,Inputs!$B$43)/(Inputs!$B$43),0))),0)))&gt;=100),MIN(100,((Inputs!$B$9+((C228=TRUE)*(F228-Calc!F19))+B240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247)&lt;=0,1,MAX(0,IF(Inputs!$B$38="pvp",15,Inputs!$B$43)-MAX(5,B247))/(IF(Inputs!$B$38="pvp",15,Inputs!$B$43)-(B247))))*IF(AND(ArtifactsInput!$M$42,((Inputs!$B$9+((C228=TRUE)*(F228-Calc!F19))+B240+(ArtifactsInput!$M$24-ArtifactsInput!$M$24)*CHOOSE(ArtifactsInput!$N$24+1,10,12,14,16,18,20)+IF(ArtifactsInput!$M$10,CHOOSE(ArtifactsInput!$N$10+1,15,18,21,24,27,30)*(IF(Inputs!$B$38="pvp",MIN(15,15)/15,IF(AND(Inputs!$B$38&lt;&gt;"pvp",Inputs!$B$43&gt;0),MIN(15,Inputs!$B$43)/(Inputs!$B$43),0))),0)))&gt;=100),CHOOSE(ArtifactsInput!$N$42+1,40,48,56,64,72,80),0))))/100)*((1+(((C226=TRUE)*F226*5/7)+((C233=TRUE)*(F233-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222)</f>
        <v/>
      </c>
      <c r="L222">
        <f>K222*(MIN(Inputs!$B$22+((C231=TRUE)*(F231-Calc!F22)),(Inputs!$B$23+0+(IF(ArtifactsInput!$M$15,CHOOSE(ArtifactsInput!$N$15+1,25,30,35,40,45,50)/100*(Inputs!$B$11-Inputs!$B$11),0))))/100+(Inputs!$B$23+0+(IF(ArtifactsInput!$M$15,CHOOSE(ArtifactsInput!$N$15+1,25,30,35,40,45,50)/100*(Inputs!$B$11-Inputs!$B$11),0)))/100)/2</f>
        <v/>
      </c>
      <c r="M222">
        <f>L222*(1+(Inputs!$B$10+((C234=TRUE)*(F234-Calc!F25))+B245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2">
        <f>L222*(1-MIN((Inputs!$B$9+((C228=TRUE)*(F228-Calc!F19))+B240+(ArtifactsInput!$M$24-ArtifactsInput!$M$24)*CHOOSE(ArtifactsInput!$N$24+1,10,12,14,16,18,20)+(IF(AND(Inputs!$B$38&lt;&gt;"pvp",Inputs!$B$43=0),1,IF(IF(Inputs!$B$38="pvp",15,Inputs!$B$43)-(B247)&lt;=0,1,MAX(0,IF(Inputs!$B$38="pvp",15,Inputs!$B$43)-MAX(5,B247))/(IF(Inputs!$B$38="pvp",15,Inputs!$B$43)-(B247))))*IF(AND(ArtifactsInput!$M$42,((Inputs!$B$9+((C228=TRUE)*(F228-Calc!F19))+B240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222*(MIN((Inputs!$B$9+((C228=TRUE)*(F228-Calc!F19))+B240+(ArtifactsInput!$M$24-ArtifactsInput!$M$24)*CHOOSE(ArtifactsInput!$N$24+1,10,12,14,16,18,20)+(IF(AND(Inputs!$B$38&lt;&gt;"pvp",Inputs!$B$43=0),1,IF(IF(Inputs!$B$38="pvp",15,Inputs!$B$43)-(B247)&lt;=0,1,MAX(0,IF(Inputs!$B$38="pvp",15,Inputs!$B$43)-MAX(5,B247))/(IF(Inputs!$B$38="pvp",15,Inputs!$B$43)-(B247))))*IF(AND(ArtifactsInput!$M$42,((Inputs!$B$9+((C228=TRUE)*(F228-Calc!F19))+B240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2">
        <f>(1-Summary!$B$11)*T222+Summary!$B$11*V222</f>
        <v/>
      </c>
      <c r="P222">
        <f>IF(B250=0,0,O222/B250)</f>
        <v/>
      </c>
      <c r="Q222">
        <f>IFERROR(1/(IF(Inputs!$B$38="pvp",15,MAX(0.1,Skills!D13-IF(TRUE=TRUE,Inputs!$B$32,0)))*(1-IF(AND(ArtifactsInput!$M$27,Inputs!$B$4="Chapter Hunt"),CHOOSE(ArtifactsInput!$N$27+1,20,24,28,32,36,40),0)/100)),0)</f>
        <v/>
      </c>
      <c r="R222">
        <f>IF(AND(Inputs!$B$38&lt;&gt;"pvp",Inputs!$B$43&gt;0),IF(MAX(0,Inputs!$B$43-B247)&lt;=0,0,(INT(MAX(0,Inputs!$B$43-B247)/(IF(Inputs!$B$38="pvp",15,MAX(0.1,Skills!D13-IF(TRUE=TRUE,Inputs!$B$32,0)))*(1-IF(AND(ArtifactsInput!$M$27,Inputs!$B$4="Chapter Hunt"),CHOOSE(ArtifactsInput!$N$27+1,20,24,28,32,36,40),0)/100)))+1)),0)</f>
        <v/>
      </c>
      <c r="S222">
        <f>IFERROR(O222/N222,0)</f>
        <v/>
      </c>
      <c r="T222">
        <f>IF(C222,(H222*N222*IF(AND(Inputs!$B$38&lt;&gt;"pvp",Inputs!$B$43&gt;0),((Skills!G13*((R222-1)*IF(Skills!H13&gt;0,INT(Skills!I13/Skills!H13+0.000000001),1)+IF(Skills!H13&gt;0,INT(MIN(Skills!I13,MAX(0,MAX(0,Inputs!$B$43-B247)-((R222-1)*(IF(Inputs!$B$38="pvp",15,MAX(0.1,Skills!D13-IF(TRUE=TRUE,Inputs!$B$32,0)))*(1-IF(AND(ArtifactsInput!$M$27,Inputs!$B$4="Chapter Hunt"),CHOOSE(ArtifactsInput!$N$27+1,20,24,28,32,36,40),0)/100)))))/Skills!H13+0.000000001),1)))/Inputs!$B$43),G222*Q222))*IF(Inputs!$B$38="pvp",1,1+(Inputs!$B$20+0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Hunt"),CHOOSE(ArtifactsInput!$N$35+1,15,18,21,24,27,30)*(1-EXP(-(0.2*B242)*5)),0)+IF(AND(ArtifactsInput!$M$22,Inputs!$B$4&lt;&gt;"Chapter Hunt"),CHOOSE(ArtifactsInput!$N$22+1,10,12,14,16,18,20)*((0*(((0.15*B242*5))^0/1)+1*(((0.15*B242*5))^1/1)+2*(((0.15*B242*5))^2/2)+3*(((0.15*B242*5))^3/6)+4*(((0.15*B242*5))^4/24)+5*(((0.15*B242*5))^5/120))/((((0.15*B242*5))^0/1)+(((0.15*B242*5))^1/1)+(((0.15*B242*5))^2/2)+(((0.15*B242*5))^3/6)+(((0.15*B242*5))^4/24)+(((0.15*B242*5))^5/120))),0))+IF(Inputs!$B$3&gt;=54,9*(C212=TRUE)*MIN(1,8*(1+Inputs!$B$34/100)*Q212)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222*(1-MIN(100,(Inputs!$B$9+((C228=TRUE)*(F228-Calc!F19))+B240+(ArtifactsInput!$M$24-ArtifactsInput!$M$24)*CHOOSE(ArtifactsInput!$N$24+1,10,12,14,16,18,20)+(IF(AND(Inputs!$B$38&lt;&gt;"pvp",Inputs!$B$43=0),1,IF(IF(Inputs!$B$38="pvp",15,Inputs!$B$43)-(B247)&lt;=0,1,MAX(0,IF(Inputs!$B$38="pvp",15,Inputs!$B$43)-MAX(5,B247))/(IF(Inputs!$B$38="pvp",15,Inputs!$B$43)-(B247))))*IF(AND(ArtifactsInput!$M$42,((Inputs!$B$9+((C228=TRUE)*(F228-Calc!F19))+B240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222*(MIN(100,(Inputs!$B$9+((C228=TRUE)*(F228-Calc!F19))+B240+(ArtifactsInput!$M$24-ArtifactsInput!$M$24)*CHOOSE(ArtifactsInput!$N$24+1,10,12,14,16,18,20)+(IF(AND(Inputs!$B$38&lt;&gt;"pvp",Inputs!$B$43=0),1,IF(IF(Inputs!$B$38="pvp",15,Inputs!$B$43)-(B247)&lt;=0,1,MAX(0,IF(Inputs!$B$38="pvp",15,Inputs!$B$43)-MAX(5,B247))/(IF(Inputs!$B$38="pvp",15,Inputs!$B$43)-(B247))))*IF(AND(ArtifactsInput!$M$42,((Inputs!$B$9+((C228=TRUE)*(F228-Calc!F19))+B240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222*(1-MIN(100,(Inputs!$B$9+((C228=TRUE)*(F228-Calc!F19))+B240+(ArtifactsInput!$M$24-ArtifactsInput!$M$24)*CHOOSE(ArtifactsInput!$N$24+1,10,12,14,16,18,20)+(IF(AND(Inputs!$B$38&lt;&gt;"pvp",Inputs!$B$43=0),1,IF(IF(Inputs!$B$38="pvp",15,Inputs!$B$43)-(B247)&lt;=0,1,MAX(0,IF(Inputs!$B$38="pvp",15,Inputs!$B$43)-MAX(5,B247))/(IF(Inputs!$B$38="pvp",15,Inputs!$B$43)-(B247))))*IF(AND(ArtifactsInput!$M$42,((Inputs!$B$9+((C228=TRUE)*(F228-Calc!F19))+B240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222*(MIN(100,(Inputs!$B$9+((C228=TRUE)*(F228-Calc!F19))+B240+(ArtifactsInput!$M$24-ArtifactsInput!$M$24)*CHOOSE(ArtifactsInput!$N$24+1,10,12,14,16,18,20)+(IF(AND(Inputs!$B$38&lt;&gt;"pvp",Inputs!$B$43=0),1,IF(IF(Inputs!$B$38="pvp",15,Inputs!$B$43)-(B247)&lt;=0,1,MAX(0,IF(Inputs!$B$38="pvp",15,Inputs!$B$43)-MAX(5,B247))/(IF(Inputs!$B$38="pvp",15,Inputs!$B$43)-(B247))))*IF(AND(ArtifactsInput!$M$42,((Inputs!$B$9+((C228=TRUE)*(F228-Calc!F19))+B240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22">
        <f>IF(C222,(H222*N222*IF(AND(Inputs!$B$38&lt;&gt;"pvp",Inputs!$B$43&gt;0),((Skills!G13*((R222-1)*IF(Skills!H13&gt;0,INT(Skills!I13/Skills!H13+0.000000001),1)+IF(Skills!H13&gt;0,INT(MIN(Skills!I13,MAX(0,MAX(0,Inputs!$B$43-B247)-((R222-1)*(IF(Inputs!$B$38="pvp",15,MAX(0.1,Skills!D13-IF(TRUE=TRUE,Inputs!$B$32,0)))*(1-IF(AND(ArtifactsInput!$M$27,Inputs!$B$4="Chapter Hunt"),CHOOSE(ArtifactsInput!$N$27+1,20,24,28,32,36,40),0)/100)))))/Skills!H13+0.000000001),1)))/Inputs!$B$43),G222*Q222))*IF(Inputs!$B$38="pvp",1,(1+(Inputs!$B$21+Skills!Q13+(IF(ArtifactsInput!$M$33,CHOOSE(ArtifactsInput!$N$33+1,30,36,42,48,54,60),0))+(IF(AND(ArtifactsInput!$M$35,Inputs!$B$4&lt;&gt;"Chapter Hunt"),CHOOSE(ArtifactsInput!$N$35+1,15,18,21,24,27,30)*(1-EXP(-(0.2*B242)*5)),0)+IF(AND(ArtifactsInput!$M$22,Inputs!$B$4&lt;&gt;"Chapter Hunt"),CHOOSE(ArtifactsInput!$N$22+1,10,12,14,16,18,20)*((0*(((0.15*B242*5))^0/1)+1*(((0.15*B242*5))^1/1)+2*(((0.15*B242*5))^2/2)+3*(((0.15*B242*5))^3/6)+4*(((0.15*B242*5))^4/24)+5*(((0.15*B242*5))^5/120))/((((0.15*B242*5))^0/1)+(((0.15*B242*5))^1/1)+(((0.15*B242*5))^2/2)+(((0.15*B242*5))^3/6)+(((0.15*B242*5))^4/24)+(((0.15*B242*5))^5/120))),0))+IF(Inputs!$B$3&gt;=54,9*(C212=TRUE)*MIN(1,8*(1+Inputs!$B$34/100)*Q212),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3">
      <c r="A223">
        <f>Skills!A14</f>
        <v/>
      </c>
      <c r="B223">
        <f>Skills!B14</f>
        <v/>
      </c>
      <c r="C223">
        <f>Inputs!$B$3&gt;=120</f>
        <v/>
      </c>
      <c r="D223">
        <f>IF(Skills!C14=1,60+Inputs!$B$25+Inputs!$B$29,IF(Skills!C14=2,90+Inputs!$B$26+Inputs!$B$29,IF(Skills!C14=3,120+Inputs!$B$27+Inputs!$B$29,MAX(0,(Inputs!$B$3-100)*3)+Inputs!$B$28+Inputs!$B$29)))</f>
        <v/>
      </c>
      <c r="E223">
        <f>INDEX(FactorTable!$B$2:$Y$301, MATCH(ROUND(MIN(300,MAX(1,D223)),0), FactorTable!$A$2:$A$301,0), Skills!M14+1)</f>
        <v/>
      </c>
      <c r="F223">
        <f>IF(Skills!N14=TRUE,(Skills!L14/10)*(E223/1000),Skills!L14/10)+Skills!O14</f>
        <v/>
      </c>
      <c r="G223">
        <f>Skills!G14*IF(Skills!H14&gt;0,INT(IF(Inputs!$B$38="pvp",MIN(Skills!I14,15),Skills!I14)/Skills!H14+0.000000001),1)</f>
        <v/>
      </c>
      <c r="H223">
        <f>1-(1-Skills!J14/100)^Skills!K14</f>
        <v/>
      </c>
      <c r="I223" t="inlineStr">
        <is>
          <t>1</t>
        </is>
      </c>
      <c r="J223">
        <f>((Inputs!$B$6*(1+Inputs!$B$7/100))+(((Inputs!$B$12*(1+Inputs!$B$13/100))-(Inputs!$B$12*(1+Inputs!$B$13/100)))+0.25*(Inputs!$B$14-Inputs!$B$14))*(1+Inputs!$B$7/100))*(F223/100)</f>
        <v/>
      </c>
      <c r="K223">
        <f>J223*(1+((Inputs!$B$12*(1+Inputs!$B$13/100))*0.01+Inputs!$B$14*0.0025)/100)*(1+(Inputs!$B$15+1)/100)*(1+Inputs!$B$16/100)*(5000/(6000+Inputs!$B$42*(1-(100*(1-(1-(Inputs!$B$19+0)/100)*(1-CHOOSE(ArtifactsInput!$N$40+1,5,6,7,8,9,10)/100)^(ArtifactsInput!$M$40-ArtifactsInput!$M$40)))/100)))*(1+(Inputs!$B$24+((C235=TRUE)*(F235-Calc!F26))+B246)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EIGHT_LEGS_EASTON",Inputs!$B$17+((C232=TRUE)*(F232-Calc!F23))+((C236=TRUE)*(F236-Calc!F27))+((IF(AND(Inputs!$B$38&lt;&gt;"pvp",Inputs!$B$43=0),1,IF(IF(Inputs!$B$38="pvp",15,Inputs!$B$43)-(B247)&lt;=0,1,MAX(0,IF(Inputs!$B$38="pvp",15,Inputs!$B$43)-MAX(5,B247))/(IF(Inputs!$B$38="pvp",15,Inputs!$B$43)-(B247))))*(IF(AND(ArtifactsInput!$M$42,((Inputs!$B$9+((C228=TRUE)*(F228-Calc!F19))+B240+(ArtifactsInput!$M$24-ArtifactsInput!$M$24)*CHOOSE(ArtifactsInput!$N$24+1,10,12,14,16,18,20)+IF(ArtifactsInput!$M$10,CHOOSE(ArtifactsInput!$N$10+1,15,18,21,24,27,30)*(IF(Inputs!$B$38="pvp",MIN(15,15)/15,IF(AND(Inputs!$B$38&lt;&gt;"pvp",Inputs!$B$43&gt;0),MIN(15,Inputs!$B$43)/(Inputs!$B$43),0))),0)))&gt;=100),MIN(100,((Inputs!$B$9+((C228=TRUE)*(F228-Calc!F19))+B240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247)&lt;=0,1,MAX(0,IF(Inputs!$B$38="pvp",15,Inputs!$B$43)-MAX(5,B247))/(IF(Inputs!$B$38="pvp",15,Inputs!$B$43)-(B247))))*IF(AND(ArtifactsInput!$M$42,((Inputs!$B$9+((C228=TRUE)*(F228-Calc!F19))+B240+(ArtifactsInput!$M$24-ArtifactsInput!$M$24)*CHOOSE(ArtifactsInput!$N$24+1,10,12,14,16,18,20)+IF(ArtifactsInput!$M$10,CHOOSE(ArtifactsInput!$N$10+1,15,18,21,24,27,30)*(IF(Inputs!$B$38="pvp",MIN(15,15)/15,IF(AND(Inputs!$B$38&lt;&gt;"pvp",Inputs!$B$43&gt;0),MIN(15,Inputs!$B$43)/(Inputs!$B$43),0))),0)))&gt;=100),CHOOSE(ArtifactsInput!$N$42+1,40,48,56,64,72,80),0))))/100)*((1+(((C226=TRUE)*F226*5/7)+((C233=TRUE)*(F233-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223)</f>
        <v/>
      </c>
      <c r="L223">
        <f>K223*(MIN(Inputs!$B$22+((C231=TRUE)*(F231-Calc!F22)),(Inputs!$B$23+0+(IF(ArtifactsInput!$M$15,CHOOSE(ArtifactsInput!$N$15+1,25,30,35,40,45,50)/100*(Inputs!$B$11-Inputs!$B$11),0))))/100+(Inputs!$B$23+0+(IF(ArtifactsInput!$M$15,CHOOSE(ArtifactsInput!$N$15+1,25,30,35,40,45,50)/100*(Inputs!$B$11-Inputs!$B$11),0)))/100)/2</f>
        <v/>
      </c>
      <c r="M223">
        <f>L223*(1+(Inputs!$B$10+((C234=TRUE)*(F234-Calc!F25))+B245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3">
        <f>L223*(1-MIN((Inputs!$B$9+((C228=TRUE)*(F228-Calc!F19))+B240+(ArtifactsInput!$M$24-ArtifactsInput!$M$24)*CHOOSE(ArtifactsInput!$N$24+1,10,12,14,16,18,20)+(IF(AND(Inputs!$B$38&lt;&gt;"pvp",Inputs!$B$43=0),1,IF(IF(Inputs!$B$38="pvp",15,Inputs!$B$43)-(B247)&lt;=0,1,MAX(0,IF(Inputs!$B$38="pvp",15,Inputs!$B$43)-MAX(5,B247))/(IF(Inputs!$B$38="pvp",15,Inputs!$B$43)-(B247))))*IF(AND(ArtifactsInput!$M$42,((Inputs!$B$9+((C228=TRUE)*(F228-Calc!F19))+B240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223*(MIN((Inputs!$B$9+((C228=TRUE)*(F228-Calc!F19))+B240+(ArtifactsInput!$M$24-ArtifactsInput!$M$24)*CHOOSE(ArtifactsInput!$N$24+1,10,12,14,16,18,20)+(IF(AND(Inputs!$B$38&lt;&gt;"pvp",Inputs!$B$43=0),1,IF(IF(Inputs!$B$38="pvp",15,Inputs!$B$43)-(B247)&lt;=0,1,MAX(0,IF(Inputs!$B$38="pvp",15,Inputs!$B$43)-MAX(5,B247))/(IF(Inputs!$B$38="pvp",15,Inputs!$B$43)-(B247))))*IF(AND(ArtifactsInput!$M$42,((Inputs!$B$9+((C228=TRUE)*(F228-Calc!F19))+B240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3">
        <f>(1-Summary!$B$11)*T223+Summary!$B$11*V223</f>
        <v/>
      </c>
      <c r="P223">
        <f>IF(B250=0,0,O223/B250)</f>
        <v/>
      </c>
      <c r="Q223" t="n">
        <v>0</v>
      </c>
      <c r="R223" t="n">
        <v>0</v>
      </c>
      <c r="S223">
        <f>IFERROR(O223/N223,0)</f>
        <v/>
      </c>
      <c r="T223">
        <f>IF(C223,((H223*(B244+IF(AND(Inputs!$B$38&lt;&gt;"pvp",Inputs!$B$43&gt;0),((Skills!G8*((R217-1)*IF(Skills!H8&gt;0,INT(Skills!I8/Skills!H8+0.000000001),1)+IF(Skills!H8&gt;0,INT(MIN(Skills!I8,MAX(0,MAX(0,Inputs!$B$43-B247)-((R217-1)*((IF(Inputs!$B$38="pvp",15,MAX(0.1,Skills!D8-IF(TRUE=TRUE,Inputs!$B$32,0)))*(1-IF(AND(ArtifactsInput!$M$27,Inputs!$B$4="Chapter Hunt"),CHOOSE(ArtifactsInput!$N$27+1,20,24,28,32,36,40),0)/100))/B251))))/Skills!H8+0.000000001),1)))/Inputs!$B$43),G217*Q217)+IF(AND(Inputs!$B$38&lt;&gt;"pvp",Inputs!$B$43&gt;0),((Skills!G11*((R220-1)*IF(Skills!H11&gt;0,INT(Skills!I11/Skills!H11+0.000000001),1)+IF(Skills!H11&gt;0,INT(MIN(Skills!I11,MAX(0,MAX(0,Inputs!$B$43-B247)-((R220-1)*((IF(Inputs!$B$38="pvp",15,MAX(0.1,Skills!D11-IF(TRUE=TRUE,Inputs!$B$32,0)))*(1-IF(AND(ArtifactsInput!$M$27,Inputs!$B$4="Chapter Hunt"),CHOOSE(ArtifactsInput!$N$27+1,20,24,28,32,36,40),0)/100))/B251))))/Skills!H11+0.000000001),1)))/Inputs!$B$43),G220*Q220)))/(1+Skills!H14*H223*(B244+IF(AND(Inputs!$B$38&lt;&gt;"pvp",Inputs!$B$43&gt;0),((Skills!G8*((R217-1)*IF(Skills!H8&gt;0,INT(Skills!I8/Skills!H8+0.000000001),1)+IF(Skills!H8&gt;0,INT(MIN(Skills!I8,MAX(0,MAX(0,Inputs!$B$43-B247)-((R217-1)*((IF(Inputs!$B$38="pvp",15,MAX(0.1,Skills!D8-IF(TRUE=TRUE,Inputs!$B$32,0)))*(1-IF(AND(ArtifactsInput!$M$27,Inputs!$B$4="Chapter Hunt"),CHOOSE(ArtifactsInput!$N$27+1,20,24,28,32,36,40),0)/100))/B251))))/Skills!H8+0.000000001),1)))/Inputs!$B$43),G217*Q217)+IF(AND(Inputs!$B$38&lt;&gt;"pvp",Inputs!$B$43&gt;0),((Skills!G11*((R220-1)*IF(Skills!H11&gt;0,INT(Skills!I11/Skills!H11+0.000000001),1)+IF(Skills!H11&gt;0,INT(MIN(Skills!I11,MAX(0,MAX(0,Inputs!$B$43-B247)-((R220-1)*((IF(Inputs!$B$38="pvp",15,MAX(0.1,Skills!D11-IF(TRUE=TRUE,Inputs!$B$32,0)))*(1-IF(AND(ArtifactsInput!$M$27,Inputs!$B$4="Chapter Hunt"),CHOOSE(ArtifactsInput!$N$27+1,20,24,28,32,36,40),0)/100))/B251))))/Skills!H11+0.000000001),1)))/Inputs!$B$43),G220*Q220)))*N223)*IF(Inputs!$B$38="pvp",1,1+(Inputs!$B$20+0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Hunt"),CHOOSE(ArtifactsInput!$N$35+1,15,18,21,24,27,30)*(1-EXP(-(0.2*B242)*5)),0)+IF(AND(ArtifactsInput!$M$22,Inputs!$B$4&lt;&gt;"Chapter Hunt"),CHOOSE(ArtifactsInput!$N$22+1,10,12,14,16,18,20)*((0*(((0.15*B242*5))^0/1)+1*(((0.15*B242*5))^1/1)+2*(((0.15*B242*5))^2/2)+3*(((0.15*B242*5))^3/6)+4*(((0.15*B242*5))^4/24)+5*(((0.15*B242*5))^5/120))/((((0.15*B242*5))^0/1)+(((0.15*B242*5))^1/1)+(((0.15*B242*5))^2/2)+(((0.15*B242*5))^3/6)+(((0.15*B242*5))^4/24)+(((0.15*B242*5))^5/120))),0))+IF(Inputs!$B$3&gt;=54,9*(C212=TRUE)*MIN(1,8*(1+Inputs!$B$34/100)*Q212)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223*(1-MIN(100,(Inputs!$B$9+((C228=TRUE)*(F228-Calc!F19))+B240+(ArtifactsInput!$M$24-ArtifactsInput!$M$24)*CHOOSE(ArtifactsInput!$N$24+1,10,12,14,16,18,20)+(IF(AND(Inputs!$B$38&lt;&gt;"pvp",Inputs!$B$43=0),1,IF(IF(Inputs!$B$38="pvp",15,Inputs!$B$43)-(B247)&lt;=0,1,MAX(0,IF(Inputs!$B$38="pvp",15,Inputs!$B$43)-MAX(5,B247))/(IF(Inputs!$B$38="pvp",15,Inputs!$B$43)-(B247))))*IF(AND(ArtifactsInput!$M$42,((Inputs!$B$9+((C228=TRUE)*(F228-Calc!F19))+B240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223*(MIN(100,(Inputs!$B$9+((C228=TRUE)*(F228-Calc!F19))+B240+(ArtifactsInput!$M$24-ArtifactsInput!$M$24)*CHOOSE(ArtifactsInput!$N$24+1,10,12,14,16,18,20)+(IF(AND(Inputs!$B$38&lt;&gt;"pvp",Inputs!$B$43=0),1,IF(IF(Inputs!$B$38="pvp",15,Inputs!$B$43)-(B247)&lt;=0,1,MAX(0,IF(Inputs!$B$38="pvp",15,Inputs!$B$43)-MAX(5,B247))/(IF(Inputs!$B$38="pvp",15,Inputs!$B$43)-(B247))))*IF(AND(ArtifactsInput!$M$42,((Inputs!$B$9+((C228=TRUE)*(F228-Calc!F19))+B240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223*(1-MIN(100,(Inputs!$B$9+((C228=TRUE)*(F228-Calc!F19))+B240+(ArtifactsInput!$M$24-ArtifactsInput!$M$24)*CHOOSE(ArtifactsInput!$N$24+1,10,12,14,16,18,20)+(IF(AND(Inputs!$B$38&lt;&gt;"pvp",Inputs!$B$43=0),1,IF(IF(Inputs!$B$38="pvp",15,Inputs!$B$43)-(B247)&lt;=0,1,MAX(0,IF(Inputs!$B$38="pvp",15,Inputs!$B$43)-MAX(5,B247))/(IF(Inputs!$B$38="pvp",15,Inputs!$B$43)-(B247))))*IF(AND(ArtifactsInput!$M$42,((Inputs!$B$9+((C228=TRUE)*(F228-Calc!F19))+B240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223*(MIN(100,(Inputs!$B$9+((C228=TRUE)*(F228-Calc!F19))+B240+(ArtifactsInput!$M$24-ArtifactsInput!$M$24)*CHOOSE(ArtifactsInput!$N$24+1,10,12,14,16,18,20)+(IF(AND(Inputs!$B$38&lt;&gt;"pvp",Inputs!$B$43=0),1,IF(IF(Inputs!$B$38="pvp",15,Inputs!$B$43)-(B247)&lt;=0,1,MAX(0,IF(Inputs!$B$38="pvp",15,Inputs!$B$43)-MAX(5,B247))/(IF(Inputs!$B$38="pvp",15,Inputs!$B$43)-(B247))))*IF(AND(ArtifactsInput!$M$42,((Inputs!$B$9+((C228=TRUE)*(F228-Calc!F19))+B240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23">
        <f>IF(C223,((H223*(B244+IF(AND(Inputs!$B$38&lt;&gt;"pvp",Inputs!$B$43&gt;0),((Skills!G8*((R217-1)*IF(Skills!H8&gt;0,INT(Skills!I8/Skills!H8+0.000000001),1)+IF(Skills!H8&gt;0,INT(MIN(Skills!I8,MAX(0,MAX(0,Inputs!$B$43-B247)-((R217-1)*((IF(Inputs!$B$38="pvp",15,MAX(0.1,Skills!D8-IF(TRUE=TRUE,Inputs!$B$32,0)))*(1-IF(AND(ArtifactsInput!$M$27,Inputs!$B$4="Chapter Hunt"),CHOOSE(ArtifactsInput!$N$27+1,20,24,28,32,36,40),0)/100))/B251))))/Skills!H8+0.000000001),1)))/Inputs!$B$43),G217*Q217)+IF(AND(Inputs!$B$38&lt;&gt;"pvp",Inputs!$B$43&gt;0),((Skills!G11*((R220-1)*IF(Skills!H11&gt;0,INT(Skills!I11/Skills!H11+0.000000001),1)+IF(Skills!H11&gt;0,INT(MIN(Skills!I11,MAX(0,MAX(0,Inputs!$B$43-B247)-((R220-1)*((IF(Inputs!$B$38="pvp",15,MAX(0.1,Skills!D11-IF(TRUE=TRUE,Inputs!$B$32,0)))*(1-IF(AND(ArtifactsInput!$M$27,Inputs!$B$4="Chapter Hunt"),CHOOSE(ArtifactsInput!$N$27+1,20,24,28,32,36,40),0)/100))/B251))))/Skills!H11+0.000000001),1)))/Inputs!$B$43),G220*Q220)))/(1+Skills!H14*H223*(B244+IF(AND(Inputs!$B$38&lt;&gt;"pvp",Inputs!$B$43&gt;0),((Skills!G8*((R217-1)*IF(Skills!H8&gt;0,INT(Skills!I8/Skills!H8+0.000000001),1)+IF(Skills!H8&gt;0,INT(MIN(Skills!I8,MAX(0,MAX(0,Inputs!$B$43-B247)-((R217-1)*((IF(Inputs!$B$38="pvp",15,MAX(0.1,Skills!D8-IF(TRUE=TRUE,Inputs!$B$32,0)))*(1-IF(AND(ArtifactsInput!$M$27,Inputs!$B$4="Chapter Hunt"),CHOOSE(ArtifactsInput!$N$27+1,20,24,28,32,36,40),0)/100))/B251))))/Skills!H8+0.000000001),1)))/Inputs!$B$43),G217*Q217)+IF(AND(Inputs!$B$38&lt;&gt;"pvp",Inputs!$B$43&gt;0),((Skills!G11*((R220-1)*IF(Skills!H11&gt;0,INT(Skills!I11/Skills!H11+0.000000001),1)+IF(Skills!H11&gt;0,INT(MIN(Skills!I11,MAX(0,MAX(0,Inputs!$B$43-B247)-((R220-1)*((IF(Inputs!$B$38="pvp",15,MAX(0.1,Skills!D11-IF(TRUE=TRUE,Inputs!$B$32,0)))*(1-IF(AND(ArtifactsInput!$M$27,Inputs!$B$4="Chapter Hunt"),CHOOSE(ArtifactsInput!$N$27+1,20,24,28,32,36,40),0)/100))/B251))))/Skills!H11+0.000000001),1)))/Inputs!$B$43),G220*Q220)))*N223)*IF(Inputs!$B$38="pvp",1,(1+(Inputs!$B$21+Skills!Q14+(IF(ArtifactsInput!$M$33,CHOOSE(ArtifactsInput!$N$33+1,30,36,42,48,54,60),0))+(IF(AND(ArtifactsInput!$M$35,Inputs!$B$4&lt;&gt;"Chapter Hunt"),CHOOSE(ArtifactsInput!$N$35+1,15,18,21,24,27,30)*(1-EXP(-(0.2*B242)*5)),0)+IF(AND(ArtifactsInput!$M$22,Inputs!$B$4&lt;&gt;"Chapter Hunt"),CHOOSE(ArtifactsInput!$N$22+1,10,12,14,16,18,20)*((0*(((0.15*B242*5))^0/1)+1*(((0.15*B242*5))^1/1)+2*(((0.15*B242*5))^2/2)+3*(((0.15*B242*5))^3/6)+4*(((0.15*B242*5))^4/24)+5*(((0.15*B242*5))^5/120))/((((0.15*B242*5))^0/1)+(((0.15*B242*5))^1/1)+(((0.15*B242*5))^2/2)+(((0.15*B242*5))^3/6)+(((0.15*B242*5))^4/24)+(((0.15*B242*5))^5/120))),0))+IF(Inputs!$B$3&gt;=54,9*(C212=TRUE)*MIN(1,8*(1+Inputs!$B$34/100)*Q212),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4">
      <c r="A224">
        <f>Skills!A15</f>
        <v/>
      </c>
      <c r="B224">
        <f>Skills!B15</f>
        <v/>
      </c>
      <c r="C224">
        <f>Inputs!$B$3&gt;=100</f>
        <v/>
      </c>
      <c r="D224">
        <f>IF(Skills!C15=1,60+Inputs!$B$25+Inputs!$B$29,IF(Skills!C15=2,90+Inputs!$B$26+Inputs!$B$29,IF(Skills!C15=3,120+Inputs!$B$27+Inputs!$B$29,MAX(0,(Inputs!$B$3-100)*3)+Inputs!$B$28+Inputs!$B$29)))</f>
        <v/>
      </c>
      <c r="E224">
        <f>INDEX(FactorTable!$B$2:$Y$301, MATCH(ROUND(MIN(300,MAX(1,D224)),0), FactorTable!$A$2:$A$301,0), Skills!M15+1)</f>
        <v/>
      </c>
      <c r="F224">
        <f>IF(Skills!N15=TRUE,(Skills!L15/10)*(E224/1000),Skills!L15/10)+Skills!O15</f>
        <v/>
      </c>
      <c r="G224" t="inlineStr"/>
      <c r="H224" t="inlineStr"/>
      <c r="I224" t="inlineStr">
        <is>
          <t>1</t>
        </is>
      </c>
      <c r="J224" t="inlineStr"/>
      <c r="K224" t="inlineStr"/>
      <c r="L224" t="inlineStr"/>
      <c r="M224" t="inlineStr"/>
      <c r="N224" t="inlineStr"/>
      <c r="O224" t="inlineStr"/>
      <c r="P224" t="inlineStr"/>
      <c r="Q224" t="inlineStr"/>
      <c r="R224" t="inlineStr"/>
      <c r="S224" t="inlineStr"/>
    </row>
    <row r="225">
      <c r="A225">
        <f>Skills!A16</f>
        <v/>
      </c>
      <c r="B225">
        <f>Skills!B16</f>
        <v/>
      </c>
      <c r="C225">
        <f>Inputs!$B$3&gt;=107</f>
        <v/>
      </c>
      <c r="D225">
        <f>IF(Skills!C16=1,60+Inputs!$B$25+Inputs!$B$29,IF(Skills!C16=2,90+Inputs!$B$26+Inputs!$B$29,IF(Skills!C16=3,120+Inputs!$B$27+Inputs!$B$29,MAX(0,(Inputs!$B$3-100)*3)+Inputs!$B$28+Inputs!$B$29)))</f>
        <v/>
      </c>
      <c r="E225">
        <f>INDEX(FactorTable!$B$2:$Y$301, MATCH(ROUND(MIN(300,MAX(1,D225)),0), FactorTable!$A$2:$A$301,0), Skills!M16+1)</f>
        <v/>
      </c>
      <c r="F225">
        <f>IF(Skills!N16=TRUE,(Skills!L16/10)*(E225/1000),Skills!L16/10)+Skills!O16</f>
        <v/>
      </c>
      <c r="G225" t="inlineStr"/>
      <c r="H225" t="inlineStr"/>
      <c r="I225" t="inlineStr">
        <is>
          <t>1</t>
        </is>
      </c>
      <c r="J225" t="inlineStr"/>
      <c r="K225" t="inlineStr"/>
      <c r="L225" t="inlineStr"/>
      <c r="M225" t="inlineStr"/>
      <c r="N225" t="inlineStr"/>
      <c r="O225" t="inlineStr"/>
      <c r="P225" t="inlineStr"/>
      <c r="Q225" t="inlineStr"/>
      <c r="R225" t="inlineStr"/>
      <c r="S225" t="inlineStr"/>
    </row>
    <row r="226">
      <c r="A226">
        <f>Skills!A17</f>
        <v/>
      </c>
      <c r="B226">
        <f>Skills!B17</f>
        <v/>
      </c>
      <c r="C226">
        <f>Inputs!$B$3&gt;=74</f>
        <v/>
      </c>
      <c r="D226">
        <f>IF(Skills!C17=1,60+Inputs!$B$25+Inputs!$B$29,IF(Skills!C17=2,90+Inputs!$B$26+Inputs!$B$29,IF(Skills!C17=3,120+Inputs!$B$27+Inputs!$B$29,MAX(0,(Inputs!$B$3-100)*3)+Inputs!$B$28+Inputs!$B$29)))</f>
        <v/>
      </c>
      <c r="E226">
        <f>INDEX(FactorTable!$B$2:$Y$301, MATCH(ROUND(MIN(300,MAX(1,D226)),0), FactorTable!$A$2:$A$301,0), Skills!M17+1)</f>
        <v/>
      </c>
      <c r="F226">
        <f>IF(Skills!N17=TRUE,(Skills!L17/10)*(E226/1000),Skills!L17/10)+Skills!O17</f>
        <v/>
      </c>
      <c r="G226">
        <f>Skills!G17*IF(Skills!H17&gt;0,INT(IF(Inputs!$B$38="pvp",MIN(Skills!I17,15),Skills!I17)/Skills!H17+0.000000001),1)</f>
        <v/>
      </c>
      <c r="H226">
        <f>1-(1-Skills!J17/100)^Skills!K17</f>
        <v/>
      </c>
      <c r="I226" t="inlineStr">
        <is>
          <t>1</t>
        </is>
      </c>
      <c r="J226" t="inlineStr"/>
      <c r="K226" t="inlineStr"/>
      <c r="L226" t="inlineStr"/>
      <c r="M226" t="inlineStr"/>
      <c r="N226" t="inlineStr"/>
      <c r="O226">
        <f>(1-Summary!$B$11)*T226+Summary!$B$11*V226</f>
        <v/>
      </c>
      <c r="P226">
        <f>IF(B250=0,0,O226/B250)</f>
        <v/>
      </c>
      <c r="Q226" t="n">
        <v>0</v>
      </c>
      <c r="R226" t="n">
        <v>0</v>
      </c>
      <c r="S226">
        <f>IFERROR(O226/N226,0)</f>
        <v/>
      </c>
      <c r="T226" t="n">
        <v>0</v>
      </c>
      <c r="V226" t="n">
        <v>0</v>
      </c>
    </row>
    <row r="227">
      <c r="A227">
        <f>Skills!A18</f>
        <v/>
      </c>
      <c r="B227">
        <f>Skills!B18</f>
        <v/>
      </c>
      <c r="C227">
        <f>Inputs!$B$3&gt;=115</f>
        <v/>
      </c>
      <c r="D227">
        <f>IF(Skills!C18=1,60+Inputs!$B$25+Inputs!$B$29,IF(Skills!C18=2,90+Inputs!$B$26+Inputs!$B$29,IF(Skills!C18=3,120+Inputs!$B$27+Inputs!$B$29,MAX(0,(Inputs!$B$3-100)*3)+Inputs!$B$28+Inputs!$B$29)))</f>
        <v/>
      </c>
      <c r="E227">
        <f>INDEX(FactorTable!$B$2:$Y$301, MATCH(ROUND(MIN(300,MAX(1,D227)),0), FactorTable!$A$2:$A$301,0), Skills!M18+1)</f>
        <v/>
      </c>
      <c r="F227">
        <f>IF(Skills!N18=TRUE,(Skills!L18/10)*(E227/1000),Skills!L18/10)+Skills!O18</f>
        <v/>
      </c>
      <c r="G227">
        <f>Skills!G18*IF(Skills!H18&gt;0,INT(IF(Inputs!$B$38="pvp",MIN(Skills!I18,15),Skills!I18)/Skills!H18+0.000000001),1)</f>
        <v/>
      </c>
      <c r="H227">
        <f>1-(1-Skills!J18/100)^Skills!K18</f>
        <v/>
      </c>
      <c r="I227" t="inlineStr">
        <is>
          <t>1</t>
        </is>
      </c>
      <c r="J227" t="inlineStr"/>
      <c r="K227" t="inlineStr"/>
      <c r="L227" t="inlineStr"/>
      <c r="M227" t="inlineStr"/>
      <c r="N227" t="inlineStr"/>
      <c r="O227">
        <f>(1-Summary!$B$11)*T227+Summary!$B$11*V227</f>
        <v/>
      </c>
      <c r="P227">
        <f>IF(B250=0,0,O227/B250)</f>
        <v/>
      </c>
      <c r="Q227">
        <f>IFERROR(1/(IF(Inputs!$B$38="pvp",15,MAX(0.1,Skills!D18-IF(TRUE=TRUE,Inputs!$B$32,0)))*(1-IF(AND(ArtifactsInput!$M$27,Inputs!$B$4="Chapter Hunt"),CHOOSE(ArtifactsInput!$N$27+1,20,24,28,32,36,40),0)/100)),0)</f>
        <v/>
      </c>
      <c r="R227">
        <f>IF(AND(Inputs!$B$38&lt;&gt;"pvp",Inputs!$B$43&gt;0),IF(Inputs!$B$43&lt;=0,0,(INT(Inputs!$B$43/(IF(Inputs!$B$38="pvp",15,MAX(0.1,Skills!D18-IF(TRUE=TRUE,Inputs!$B$32,0)))*(1-IF(AND(ArtifactsInput!$M$27,Inputs!$B$4="Chapter Hunt"),CHOOSE(ArtifactsInput!$N$27+1,20,24,28,32,36,40),0)/100)))+1)),0)</f>
        <v/>
      </c>
      <c r="S227">
        <f>IFERROR(O227/N227,0)</f>
        <v/>
      </c>
      <c r="T227" t="n">
        <v>0</v>
      </c>
      <c r="V227" t="n">
        <v>0</v>
      </c>
    </row>
    <row r="228">
      <c r="A228">
        <f>Skills!A19</f>
        <v/>
      </c>
      <c r="B228">
        <f>Skills!B19</f>
        <v/>
      </c>
      <c r="C228">
        <f>Inputs!$B$3&gt;=10</f>
        <v/>
      </c>
      <c r="D228">
        <f>IF(Skills!C19=1,60+Inputs!$B$25+Inputs!$B$29,IF(Skills!C19=2,90+Inputs!$B$26+Inputs!$B$29,IF(Skills!C19=3,120+Inputs!$B$27+Inputs!$B$29,MAX(0,(Inputs!$B$3-100)*3)+Inputs!$B$28+Inputs!$B$29)))</f>
        <v/>
      </c>
      <c r="E228">
        <f>INDEX(FactorTable!$B$2:$Y$301, MATCH(ROUND(MIN(300,MAX(1,D228)),0), FactorTable!$A$2:$A$301,0), Skills!M19+1)</f>
        <v/>
      </c>
      <c r="F228">
        <f>IF(Skills!N19=TRUE,(Skills!L19/10)*(E228/1000),Skills!L19/10)+Skills!O19</f>
        <v/>
      </c>
      <c r="G228">
        <f>Skills!G19*IF(Skills!H19&gt;0,INT(IF(Inputs!$B$38="pvp",MIN(Skills!I19,15),Skills!I19)/Skills!H19+0.000000001),1)</f>
        <v/>
      </c>
      <c r="H228">
        <f>1-(1-Skills!J19/100)^Skills!K19</f>
        <v/>
      </c>
      <c r="I228" t="inlineStr">
        <is>
          <t>1</t>
        </is>
      </c>
      <c r="J228" t="inlineStr"/>
      <c r="K228" t="inlineStr"/>
      <c r="L228" t="inlineStr"/>
      <c r="M228" t="inlineStr"/>
      <c r="N228" t="inlineStr"/>
      <c r="O228">
        <f>(1-Summary!$B$11)*T228+Summary!$B$11*V228</f>
        <v/>
      </c>
      <c r="P228">
        <f>IF(B250=0,0,O228/B250)</f>
        <v/>
      </c>
      <c r="Q228" t="n">
        <v>0</v>
      </c>
      <c r="R228" t="n">
        <v>0</v>
      </c>
      <c r="S228">
        <f>IFERROR(O228/N228,0)</f>
        <v/>
      </c>
      <c r="T228" t="n">
        <v>0</v>
      </c>
      <c r="V228" t="n">
        <v>0</v>
      </c>
    </row>
    <row r="229">
      <c r="A229">
        <f>Skills!A20</f>
        <v/>
      </c>
      <c r="B229">
        <f>Skills!B20</f>
        <v/>
      </c>
      <c r="C229">
        <f>Inputs!$B$3&gt;=15</f>
        <v/>
      </c>
      <c r="D229">
        <f>IF(Skills!C20=1,60+Inputs!$B$25+Inputs!$B$29,IF(Skills!C20=2,90+Inputs!$B$26+Inputs!$B$29,IF(Skills!C20=3,120+Inputs!$B$27+Inputs!$B$29,MAX(0,(Inputs!$B$3-100)*3)+Inputs!$B$28+Inputs!$B$29)))</f>
        <v/>
      </c>
      <c r="E229">
        <f>INDEX(FactorTable!$B$2:$Y$301, MATCH(ROUND(MIN(300,MAX(1,D229)),0), FactorTable!$A$2:$A$301,0), Skills!M20+1)</f>
        <v/>
      </c>
      <c r="F229">
        <f>IF(Skills!N20=TRUE,(Skills!L20/10)*(E229/1000),Skills!L20/10)+Skills!O20</f>
        <v/>
      </c>
      <c r="G229">
        <f>Skills!G20*IF(Skills!H20&gt;0,INT(IF(Inputs!$B$38="pvp",MIN(Skills!I20,15),Skills!I20)/Skills!H20+0.000000001),1)</f>
        <v/>
      </c>
      <c r="H229">
        <f>1-(1-Skills!J20/100)^Skills!K20</f>
        <v/>
      </c>
      <c r="I229" t="inlineStr">
        <is>
          <t>1</t>
        </is>
      </c>
      <c r="J229" t="inlineStr"/>
      <c r="K229" t="inlineStr"/>
      <c r="L229" t="inlineStr"/>
      <c r="M229" t="inlineStr"/>
      <c r="N229" t="inlineStr"/>
      <c r="O229">
        <f>(1-Summary!$B$11)*T229+Summary!$B$11*V229</f>
        <v/>
      </c>
      <c r="P229">
        <f>IF(B250=0,0,O229/B250)</f>
        <v/>
      </c>
      <c r="Q229" t="n">
        <v>0</v>
      </c>
      <c r="R229" t="n">
        <v>0</v>
      </c>
      <c r="S229">
        <f>IFERROR(O229/N229,0)</f>
        <v/>
      </c>
      <c r="T229" t="n">
        <v>0</v>
      </c>
      <c r="V229" t="n">
        <v>0</v>
      </c>
    </row>
    <row r="230">
      <c r="A230">
        <f>Skills!A21</f>
        <v/>
      </c>
      <c r="B230">
        <f>Skills!B21</f>
        <v/>
      </c>
      <c r="C230">
        <f>Inputs!$B$3&gt;=40</f>
        <v/>
      </c>
      <c r="D230">
        <f>IF(Skills!C21=1,60+Inputs!$B$25+Inputs!$B$29,IF(Skills!C21=2,90+Inputs!$B$26+Inputs!$B$29,IF(Skills!C21=3,120+Inputs!$B$27+Inputs!$B$29,MAX(0,(Inputs!$B$3-100)*3)+Inputs!$B$28+Inputs!$B$29)))</f>
        <v/>
      </c>
      <c r="E230">
        <f>INDEX(FactorTable!$B$2:$Y$301, MATCH(ROUND(MIN(300,MAX(1,D230)),0), FactorTable!$A$2:$A$301,0), Skills!M21+1)</f>
        <v/>
      </c>
      <c r="F230">
        <f>IF(Skills!N21=TRUE,(Skills!L21/10)*(E230/1000),Skills!L21/10)+Skills!O21</f>
        <v/>
      </c>
      <c r="G230">
        <f>Skills!G21*IF(Skills!H21&gt;0,INT(IF(Inputs!$B$38="pvp",MIN(Skills!I21,15),Skills!I21)/Skills!H21+0.000000001),1)</f>
        <v/>
      </c>
      <c r="H230">
        <f>1-(1-Skills!J21/100)^Skills!K21</f>
        <v/>
      </c>
      <c r="I230" t="inlineStr">
        <is>
          <t>1</t>
        </is>
      </c>
      <c r="J230" t="inlineStr"/>
      <c r="K230" t="inlineStr"/>
      <c r="L230" t="inlineStr"/>
      <c r="M230" t="inlineStr"/>
      <c r="N230" t="inlineStr"/>
      <c r="O230">
        <f>(1-Summary!$B$11)*T230+Summary!$B$11*V230</f>
        <v/>
      </c>
      <c r="P230">
        <f>IF(B250=0,0,O230/B250)</f>
        <v/>
      </c>
      <c r="Q230" t="n">
        <v>0</v>
      </c>
      <c r="R230" t="n">
        <v>0</v>
      </c>
      <c r="S230">
        <f>IFERROR(O230/N230,0)</f>
        <v/>
      </c>
      <c r="T230" t="n">
        <v>0</v>
      </c>
      <c r="V230" t="n">
        <v>0</v>
      </c>
    </row>
    <row r="231">
      <c r="A231">
        <f>Skills!A22</f>
        <v/>
      </c>
      <c r="B231">
        <f>Skills!B22</f>
        <v/>
      </c>
      <c r="C231">
        <f>Inputs!$B$3&gt;=43</f>
        <v/>
      </c>
      <c r="D231">
        <f>IF(Skills!C22=1,60+Inputs!$B$25+Inputs!$B$29,IF(Skills!C22=2,90+Inputs!$B$26+Inputs!$B$29,IF(Skills!C22=3,120+Inputs!$B$27+Inputs!$B$29,MAX(0,(Inputs!$B$3-100)*3)+Inputs!$B$28+Inputs!$B$29)))</f>
        <v/>
      </c>
      <c r="E231">
        <f>INDEX(FactorTable!$B$2:$Y$301, MATCH(ROUND(MIN(300,MAX(1,D231)),0), FactorTable!$A$2:$A$301,0), Skills!M22+1)</f>
        <v/>
      </c>
      <c r="F231">
        <f>IF(Skills!N22=TRUE,(Skills!L22/10)*(E231/1000),Skills!L22/10)+Skills!O22</f>
        <v/>
      </c>
      <c r="G231">
        <f>Skills!G22*IF(Skills!H22&gt;0,INT(IF(Inputs!$B$38="pvp",MIN(Skills!I22,15),Skills!I22)/Skills!H22+0.000000001),1)</f>
        <v/>
      </c>
      <c r="H231">
        <f>1-(1-Skills!J22/100)^Skills!K22</f>
        <v/>
      </c>
      <c r="I231" t="inlineStr">
        <is>
          <t>1</t>
        </is>
      </c>
      <c r="J231" t="inlineStr"/>
      <c r="K231" t="inlineStr"/>
      <c r="L231" t="inlineStr"/>
      <c r="M231" t="inlineStr"/>
      <c r="N231" t="inlineStr"/>
      <c r="O231">
        <f>(1-Summary!$B$11)*T231+Summary!$B$11*V231</f>
        <v/>
      </c>
      <c r="P231">
        <f>IF(B250=0,0,O231/B250)</f>
        <v/>
      </c>
      <c r="Q231" t="n">
        <v>0</v>
      </c>
      <c r="R231" t="n">
        <v>0</v>
      </c>
      <c r="S231">
        <f>IFERROR(O231/N231,0)</f>
        <v/>
      </c>
      <c r="T231" t="n">
        <v>0</v>
      </c>
      <c r="V231" t="n">
        <v>0</v>
      </c>
    </row>
    <row r="232">
      <c r="A232">
        <f>Skills!A23</f>
        <v/>
      </c>
      <c r="B232">
        <f>Skills!B23</f>
        <v/>
      </c>
      <c r="C232">
        <f>Inputs!$B$3&gt;=38</f>
        <v/>
      </c>
      <c r="D232">
        <f>IF(Skills!C23=1,60+Inputs!$B$25+Inputs!$B$29,IF(Skills!C23=2,90+Inputs!$B$26+Inputs!$B$29,IF(Skills!C23=3,120+Inputs!$B$27+Inputs!$B$29,MAX(0,(Inputs!$B$3-100)*3)+Inputs!$B$28+Inputs!$B$29)))</f>
        <v/>
      </c>
      <c r="E232">
        <f>INDEX(FactorTable!$B$2:$Y$301, MATCH(ROUND(MIN(300,MAX(1,D232)),0), FactorTable!$A$2:$A$301,0), Skills!M23+1)</f>
        <v/>
      </c>
      <c r="F232">
        <f>IF(Skills!N23=TRUE,(Skills!L23/10)*(E232/1000),Skills!L23/10)+Skills!O23</f>
        <v/>
      </c>
      <c r="G232">
        <f>Skills!G23*IF(Skills!H23&gt;0,INT(IF(Inputs!$B$38="pvp",MIN(Skills!I23,15),Skills!I23)/Skills!H23+0.000000001),1)</f>
        <v/>
      </c>
      <c r="H232">
        <f>1-(1-Skills!J23/100)^Skills!K23</f>
        <v/>
      </c>
      <c r="I232" t="inlineStr">
        <is>
          <t>1</t>
        </is>
      </c>
      <c r="J232" t="inlineStr"/>
      <c r="K232" t="inlineStr"/>
      <c r="L232" t="inlineStr"/>
      <c r="M232" t="inlineStr"/>
      <c r="N232" t="inlineStr"/>
      <c r="O232">
        <f>(1-Summary!$B$11)*T232+Summary!$B$11*V232</f>
        <v/>
      </c>
      <c r="P232">
        <f>IF(B250=0,0,O232/B250)</f>
        <v/>
      </c>
      <c r="Q232" t="n">
        <v>0</v>
      </c>
      <c r="R232" t="n">
        <v>0</v>
      </c>
      <c r="S232">
        <f>IFERROR(O232/N232,0)</f>
        <v/>
      </c>
      <c r="T232" t="n">
        <v>0</v>
      </c>
      <c r="V232" t="n">
        <v>0</v>
      </c>
    </row>
    <row r="233">
      <c r="A233">
        <f>Skills!A24</f>
        <v/>
      </c>
      <c r="B233">
        <f>Skills!B24</f>
        <v/>
      </c>
      <c r="C233">
        <f>Inputs!$B$3&gt;=45</f>
        <v/>
      </c>
      <c r="D233">
        <f>IF(Skills!C24=1,60+Inputs!$B$25+Inputs!$B$29,IF(Skills!C24=2,90+Inputs!$B$26+Inputs!$B$29,IF(Skills!C24=3,120+Inputs!$B$27+Inputs!$B$29,MAX(0,(Inputs!$B$3-100)*3)+Inputs!$B$28+Inputs!$B$29)))</f>
        <v/>
      </c>
      <c r="E233">
        <f>INDEX(FactorTable!$B$2:$Y$301, MATCH(ROUND(MIN(300,MAX(1,D233)),0), FactorTable!$A$2:$A$301,0), Skills!M24+1)</f>
        <v/>
      </c>
      <c r="F233">
        <f>IF(Skills!N24=TRUE,(Skills!L24/10)*(E233/1000),Skills!L24/10)+Skills!O24</f>
        <v/>
      </c>
      <c r="G233">
        <f>Skills!G24*IF(Skills!H24&gt;0,INT(IF(Inputs!$B$38="pvp",MIN(Skills!I24,15),Skills!I24)/Skills!H24+0.000000001),1)</f>
        <v/>
      </c>
      <c r="H233">
        <f>1-(1-Skills!J24/100)^Skills!K24</f>
        <v/>
      </c>
      <c r="I233" t="inlineStr">
        <is>
          <t>1</t>
        </is>
      </c>
      <c r="J233" t="inlineStr"/>
      <c r="K233" t="inlineStr"/>
      <c r="L233" t="inlineStr"/>
      <c r="M233" t="inlineStr"/>
      <c r="N233" t="inlineStr"/>
      <c r="O233">
        <f>(1-Summary!$B$11)*T233+Summary!$B$11*V233</f>
        <v/>
      </c>
      <c r="P233">
        <f>IF(B250=0,0,O233/B250)</f>
        <v/>
      </c>
      <c r="Q233" t="n">
        <v>0</v>
      </c>
      <c r="R233" t="n">
        <v>0</v>
      </c>
      <c r="S233">
        <f>IFERROR(O233/N233,0)</f>
        <v/>
      </c>
      <c r="T233" t="n">
        <v>0</v>
      </c>
      <c r="V233" t="n">
        <v>0</v>
      </c>
    </row>
    <row r="234">
      <c r="A234">
        <f>Skills!A25</f>
        <v/>
      </c>
      <c r="B234">
        <f>Skills!B25</f>
        <v/>
      </c>
      <c r="C234">
        <f>Inputs!$B$3&gt;=72</f>
        <v/>
      </c>
      <c r="D234">
        <f>IF(Skills!C25=1,60+Inputs!$B$25+Inputs!$B$29,IF(Skills!C25=2,90+Inputs!$B$26+Inputs!$B$29,IF(Skills!C25=3,120+Inputs!$B$27+Inputs!$B$29,MAX(0,(Inputs!$B$3-100)*3)+Inputs!$B$28+Inputs!$B$29)))</f>
        <v/>
      </c>
      <c r="E234">
        <f>INDEX(FactorTable!$B$2:$Y$301, MATCH(ROUND(MIN(300,MAX(1,D234)),0), FactorTable!$A$2:$A$301,0), Skills!M25+1)</f>
        <v/>
      </c>
      <c r="F234">
        <f>IF(Skills!N25=TRUE,(Skills!L25/10)*(E234/1000),Skills!L25/10)+Skills!O25</f>
        <v/>
      </c>
      <c r="G234">
        <f>Skills!G25*IF(Skills!H25&gt;0,INT(IF(Inputs!$B$38="pvp",MIN(Skills!I25,15),Skills!I25)/Skills!H25+0.000000001),1)</f>
        <v/>
      </c>
      <c r="H234">
        <f>1-(1-Skills!J25/100)^Skills!K25</f>
        <v/>
      </c>
      <c r="I234" t="inlineStr">
        <is>
          <t>1</t>
        </is>
      </c>
      <c r="J234" t="inlineStr"/>
      <c r="K234" t="inlineStr"/>
      <c r="L234" t="inlineStr"/>
      <c r="M234" t="inlineStr"/>
      <c r="N234" t="inlineStr"/>
      <c r="O234">
        <f>(1-Summary!$B$11)*T234+Summary!$B$11*V234</f>
        <v/>
      </c>
      <c r="P234">
        <f>IF(B250=0,0,O234/B250)</f>
        <v/>
      </c>
      <c r="Q234" t="n">
        <v>0</v>
      </c>
      <c r="R234" t="n">
        <v>0</v>
      </c>
      <c r="S234">
        <f>IFERROR(O234/N234,0)</f>
        <v/>
      </c>
      <c r="T234" t="n">
        <v>0</v>
      </c>
      <c r="V234" t="n">
        <v>0</v>
      </c>
    </row>
    <row r="235">
      <c r="A235">
        <f>Skills!A26</f>
        <v/>
      </c>
      <c r="B235">
        <f>Skills!B26</f>
        <v/>
      </c>
      <c r="C235">
        <f>Inputs!$B$3&gt;=75</f>
        <v/>
      </c>
      <c r="D235">
        <f>IF(Skills!C26=1,60+Inputs!$B$25+Inputs!$B$29,IF(Skills!C26=2,90+Inputs!$B$26+Inputs!$B$29,IF(Skills!C26=3,120+Inputs!$B$27+Inputs!$B$29,MAX(0,(Inputs!$B$3-100)*3)+Inputs!$B$28+Inputs!$B$29)))</f>
        <v/>
      </c>
      <c r="E235">
        <f>INDEX(FactorTable!$B$2:$Y$301, MATCH(ROUND(MIN(300,MAX(1,D235)),0), FactorTable!$A$2:$A$301,0), Skills!M26+1)</f>
        <v/>
      </c>
      <c r="F235">
        <f>IF(Skills!N26=TRUE,(Skills!L26/10)*(E235/1000),Skills!L26/10)+Skills!O26</f>
        <v/>
      </c>
      <c r="G235">
        <f>Skills!G26*IF(Skills!H26&gt;0,INT(IF(Inputs!$B$38="pvp",MIN(Skills!I26,15),Skills!I26)/Skills!H26+0.000000001),1)</f>
        <v/>
      </c>
      <c r="H235">
        <f>1-(1-Skills!J26/100)^Skills!K26</f>
        <v/>
      </c>
      <c r="I235" t="inlineStr">
        <is>
          <t>1</t>
        </is>
      </c>
      <c r="J235" t="inlineStr"/>
      <c r="K235" t="inlineStr"/>
      <c r="L235" t="inlineStr"/>
      <c r="M235" t="inlineStr"/>
      <c r="N235" t="inlineStr"/>
      <c r="O235">
        <f>(1-Summary!$B$11)*T235+Summary!$B$11*V235</f>
        <v/>
      </c>
      <c r="P235">
        <f>IF(B250=0,0,O235/B250)</f>
        <v/>
      </c>
      <c r="Q235" t="n">
        <v>0</v>
      </c>
      <c r="R235" t="n">
        <v>0</v>
      </c>
      <c r="S235">
        <f>IFERROR(O235/N235,0)</f>
        <v/>
      </c>
      <c r="T235" t="n">
        <v>0</v>
      </c>
      <c r="V235" t="n">
        <v>0</v>
      </c>
    </row>
    <row r="236">
      <c r="A236">
        <f>Skills!A27</f>
        <v/>
      </c>
      <c r="B236">
        <f>Skills!B27</f>
        <v/>
      </c>
      <c r="C236">
        <f>Inputs!$B$3&gt;=125</f>
        <v/>
      </c>
      <c r="D236">
        <f>IF(Skills!C27=1,60+Inputs!$B$25+Inputs!$B$29,IF(Skills!C27=2,90+Inputs!$B$26+Inputs!$B$29,IF(Skills!C27=3,120+Inputs!$B$27+Inputs!$B$29,MAX(0,(Inputs!$B$3-100)*3)+Inputs!$B$28+Inputs!$B$29)))</f>
        <v/>
      </c>
      <c r="E236">
        <f>INDEX(FactorTable!$B$2:$Y$301, MATCH(ROUND(MIN(300,MAX(1,D236)),0), FactorTable!$A$2:$A$301,0), Skills!M27+1)</f>
        <v/>
      </c>
      <c r="F236">
        <f>IF(Skills!N27=TRUE,(Skills!L27/10)*(E236/1000),Skills!L27/10)+Skills!O27</f>
        <v/>
      </c>
      <c r="G236">
        <f>Skills!G27*IF(Skills!H27&gt;0,INT(IF(Inputs!$B$38="pvp",MIN(Skills!I27,15),Skills!I27)/Skills!H27+0.000000001),1)</f>
        <v/>
      </c>
      <c r="H236">
        <f>1-(1-Skills!J27/100)^Skills!K27</f>
        <v/>
      </c>
      <c r="I236" t="inlineStr">
        <is>
          <t>1</t>
        </is>
      </c>
      <c r="J236" t="inlineStr"/>
      <c r="K236" t="inlineStr"/>
      <c r="L236" t="inlineStr"/>
      <c r="M236" t="inlineStr"/>
      <c r="N236" t="inlineStr"/>
      <c r="O236">
        <f>(1-Summary!$B$11)*T236+Summary!$B$11*V236</f>
        <v/>
      </c>
      <c r="P236">
        <f>IF(B250=0,0,O236/B250)</f>
        <v/>
      </c>
      <c r="Q236" t="n">
        <v>0</v>
      </c>
      <c r="R236" t="n">
        <v>0</v>
      </c>
      <c r="S236">
        <f>IFERROR(O236/N236,0)</f>
        <v/>
      </c>
      <c r="T236" t="n">
        <v>0</v>
      </c>
      <c r="V236" t="n">
        <v>0</v>
      </c>
    </row>
    <row r="237">
      <c r="A237">
        <f>Skills!A28</f>
        <v/>
      </c>
      <c r="B237">
        <f>Skills!B28</f>
        <v/>
      </c>
      <c r="C237">
        <f>TRUE</f>
        <v/>
      </c>
      <c r="D237">
        <f>IF(Skills!C28=1,60+Inputs!$B$25+Inputs!$B$29,IF(Skills!C28=2,90+Inputs!$B$26+Inputs!$B$29,IF(Skills!C28=3,120+Inputs!$B$27+Inputs!$B$29,MAX(0,(Inputs!$B$3-100)*3)+Inputs!$B$28+Inputs!$B$29)))</f>
        <v/>
      </c>
      <c r="E237">
        <f>INDEX(FactorTable!$B$2:$Y$301, MATCH(ROUND(MIN(300,MAX(1,D237)),0), FactorTable!$A$2:$A$301,0), Skills!M28+1)</f>
        <v/>
      </c>
      <c r="F237">
        <f>IF(Skills!N28=TRUE,(Skills!L28/10)*(E237/1000),Skills!L28/10)+Skills!O28</f>
        <v/>
      </c>
      <c r="G237">
        <f>Skills!G28*IF(Skills!H28&gt;0,INT(IF(Inputs!$B$38="pvp",MIN(Skills!I28,15),Skills!I28)/Skills!H28+0.000000001),1)</f>
        <v/>
      </c>
      <c r="H237">
        <f>1-(1-Skills!J28/100)^Skills!K28</f>
        <v/>
      </c>
      <c r="I237" t="inlineStr">
        <is>
          <t>1</t>
        </is>
      </c>
      <c r="J237" t="inlineStr"/>
      <c r="K237" t="inlineStr"/>
      <c r="L237" t="inlineStr"/>
      <c r="M237" t="inlineStr"/>
      <c r="N237" t="inlineStr"/>
      <c r="O237">
        <f>(1-Summary!$B$11)*T237+Summary!$B$11*V237</f>
        <v/>
      </c>
      <c r="P237">
        <f>IF(B250=0,0,O237/B250)</f>
        <v/>
      </c>
      <c r="Q237">
        <f>IFERROR(1/(IF(Inputs!$B$38="pvp",15,MAX(0.1,Skills!D28-IF(TRUE=TRUE,Inputs!$B$32,0)))*(1-IF(AND(ArtifactsInput!$M$27,Inputs!$B$4="Chapter Hunt"),CHOOSE(ArtifactsInput!$N$27+1,20,24,28,32,36,40),0)/100)),0)</f>
        <v/>
      </c>
      <c r="R237">
        <f>IF(AND(Inputs!$B$38&lt;&gt;"pvp",Inputs!$B$43&gt;0),IF(Inputs!$B$43&lt;=0,0,(INT(Inputs!$B$43/(IF(Inputs!$B$38="pvp",15,MAX(0.1,Skills!D28-IF(TRUE=TRUE,Inputs!$B$32,0)))*(1-IF(AND(ArtifactsInput!$M$27,Inputs!$B$4="Chapter Hunt"),CHOOSE(ArtifactsInput!$N$27+1,20,24,28,32,36,40),0)/100)))+1)),0)</f>
        <v/>
      </c>
      <c r="S237">
        <f>IFERROR(O237/N237,0)</f>
        <v/>
      </c>
      <c r="T237" t="n">
        <v>0</v>
      </c>
      <c r="V237" t="n">
        <v>0</v>
      </c>
    </row>
    <row r="239">
      <c r="A239" t="inlineStr">
        <is>
          <t>Attack% Bucket Multiplier</t>
        </is>
      </c>
      <c r="B239">
        <f>(1+(((C226=TRUE)*F226*5/7)+((C233=TRUE)*(F233-Calc!F24))+(IF(ArtifactsInput!$M$21,CHOOSE(ArtifactsInput!$N$21+1,25,30,35,40,45,50)*(IF(OR(Inputs!$B$4="Chapter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40">
      <c r="A240" t="inlineStr">
        <is>
          <t>Global Crit Rate Bonus %</t>
        </is>
      </c>
      <c r="B240" t="n">
        <v>0</v>
      </c>
    </row>
    <row r="241">
      <c r="A241" t="inlineStr">
        <is>
          <t>Attack Speed Buff Bonus % (Nimble Feet, duty-cycle averaged)</t>
        </is>
      </c>
      <c r="B241">
        <f>((C237=TRUE)*F237*IF(AND(Inputs!$B$38&lt;&gt;"pvp",Inputs!$B$43&gt;0),(((R237-1)*MIN((Skills!T28*(1+Inputs!$B$34/100)),(1/Q237))+MIN((Skills!T28*(1+Inputs!$B$34/100)),MAX(0,Inputs!$B$43-((R237-1)*(1/Q237)))))/Inputs!$B$43),IF(Inputs!$B$38="pvp",MIN((Skills!T28*(1+Inputs!$B$34/100)),15)/15,MIN(1,(Skills!T28*(1+Inputs!$B$34/100))/(1/Q237)))))</f>
        <v/>
      </c>
    </row>
    <row r="242">
      <c r="A242" t="inlineStr">
        <is>
          <t>Actions Per Second</t>
        </is>
      </c>
      <c r="B242">
        <f>1+MIN(150,150*(1-(1-(Inputs!$B$11+((C229=TRUE)*(F229-Calc!F20))+((C230=TRUE)*(F230-Calc!F21)))/150)*(1-B241/150)))/100</f>
        <v/>
      </c>
    </row>
    <row r="243">
      <c r="A243" t="inlineStr">
        <is>
          <t>Skill + Buff Cast Rate</t>
        </is>
      </c>
      <c r="B243">
        <f>IF(AND(Inputs!$B$38&lt;&gt;"pvp",Inputs!$B$43&gt;0),SUMPRODUCT((Skills!E2:E28=TRUE)*(C211:C237=TRUE)*R211:R237*Skills!F2:F28)/Inputs!$B$43,SUMPRODUCT((Skills!E2:E28=TRUE)*(C211:C237=TRUE)*Q211:Q237*Skills!F2:F28))</f>
        <v/>
      </c>
    </row>
    <row r="244">
      <c r="A244" t="inlineStr">
        <is>
          <t>Eight-Legs Easton Casts Per Second</t>
        </is>
      </c>
      <c r="B244">
        <f>MAX(0,B242-B243)</f>
        <v/>
      </c>
    </row>
    <row r="245">
      <c r="A245" t="inlineStr">
        <is>
          <t>Global Critical Damage Bonus % (unused)</t>
        </is>
      </c>
      <c r="B245" t="n">
        <v>0</v>
      </c>
    </row>
    <row r="246">
      <c r="A246" t="inlineStr">
        <is>
          <t>Global Final Damage Bonus % (Jolly Roger + Ahoy Mateys - Final Damage proc)</t>
        </is>
      </c>
      <c r="B246">
        <f>((C227=TRUE)*F227*IF(AND(Inputs!$B$38&lt;&gt;"pvp",Inputs!$B$43&gt;0),(((R227-1)*MIN((Skills!T18*(1+Inputs!$B$34/100)),(1/Q227))+MIN((Skills!T18*(1+Inputs!$B$34/100)),MAX(0,Inputs!$B$43-((R227-1)*(1/Q227)))))/Inputs!$B$43),IF(Inputs!$B$38="pvp",MIN((Skills!T18*(1+Inputs!$B$34/100)),15)/15,MIN(1,(Skills!T18*(1+Inputs!$B$34/100))/(1/Q227)))))+IF(Inputs!$B$3&gt;=122,20*IF(Inputs!$B$38="pvp",MIN((20*(1+Inputs!$B$34/100)),15)/15,MIN(1,(20*(1+Inputs!$B$34/100))/(1/Q213))),0)</f>
        <v/>
      </c>
    </row>
    <row r="247">
      <c r="A247" t="inlineStr">
        <is>
          <t>Buff-Casting Startup Delay (s, fixed-duration only)</t>
        </is>
      </c>
      <c r="B247">
        <f>IF(AND(Inputs!$B$38&lt;&gt;"pvp",Inputs!$B$43&gt;0),SUMPRODUCT((Skills!T2:T28&gt;0)*(Skills!E2:E28=TRUE)*(C211:C237=TRUE))/B242,0)</f>
        <v/>
      </c>
    </row>
    <row r="248">
      <c r="A248" t="inlineStr">
        <is>
          <t>Boss-Only Total DPS (this block's swept value)</t>
        </is>
      </c>
      <c r="B248">
        <f>SUM(T211:T237)</f>
        <v/>
      </c>
    </row>
    <row r="249">
      <c r="A249" t="inlineStr">
        <is>
          <t>Normal-Only Total DPS (this block's swept value)</t>
        </is>
      </c>
      <c r="B249">
        <f>SUM(V211:V237)</f>
        <v/>
      </c>
    </row>
    <row r="250">
      <c r="A250" s="6" t="inlineStr">
        <is>
          <t>TOTAL DPS</t>
        </is>
      </c>
      <c r="B250" s="6">
        <f>SUM(O211:O237)</f>
        <v/>
      </c>
    </row>
    <row r="251">
      <c r="A251" t="inlineStr">
        <is>
          <t>Quickdraw cooldown divisor (this block's own APS / Q)</t>
        </is>
      </c>
      <c r="B251">
        <f>IF(AND(C236=TRUE,Inputs!$B$38&lt;&gt;"pvp"),1+0.25*MAX(0,(B242-(((C212=TRUE)*Q212*1)+((C213=TRUE)*Q213*1)+((C215=TRUE)*Q215*1)+((C216=TRUE)*Q216*1)+((C218=TRUE)*Q218*1)+((C221=TRUE)*Q221*1)+((C227=TRUE)*Q227*1)+((C237=TRUE)*Q237*1))-((C217=TRUE)/(IF(Inputs!$B$38="pvp",15,MAX(0.1,Skills!D8-IF(TRUE=TRUE,Inputs!$B$32,0)))*(1-IF(AND(ArtifactsInput!$M$27,Inputs!$B$4="Chapter Hunt"),CHOOSE(ArtifactsInput!$N$27+1,20,24,28,32,36,40),0)/100))+(C220=TRUE)/(IF(Inputs!$B$38="pvp",15,MAX(0.1,Skills!D11-IF(TRUE=TRUE,Inputs!$B$32,0)))*(1-IF(AND(ArtifactsInput!$M$27,Inputs!$B$4="Chapter Hunt"),CHOOSE(ArtifactsInput!$N$27+1,20,24,28,32,36,40),0)/100))))/(1+0.25*((C217=TRUE)/(IF(Inputs!$B$38="pvp",15,MAX(0.1,Skills!D8-IF(TRUE=TRUE,Inputs!$B$32,0)))*(1-IF(AND(ArtifactsInput!$M$27,Inputs!$B$4="Chapter Hunt"),CHOOSE(ArtifactsInput!$N$27+1,20,24,28,32,36,40),0)/100))+(C220=TRUE)/(IF(Inputs!$B$38="pvp",15,MAX(0.1,Skills!D11-IF(TRUE=TRUE,Inputs!$B$32,0)))*(1-IF(AND(ArtifactsInput!$M$27,Inputs!$B$4="Chapter Hunt"),CHOOSE(ArtifactsInput!$N$27+1,20,24,28,32,36,40),0)/100))))),1)</f>
        <v/>
      </c>
    </row>
    <row r="252">
      <c r="A252" t="inlineStr">
        <is>
          <t>Nautilus Strike - Final Attack trigger rate (this block's own Q/R)</t>
        </is>
      </c>
      <c r="B252">
        <f>IF(AND(Inputs!$B$38&lt;&gt;"pvp",Inputs!$B$43&gt;0),(((C212=TRUE)*R212)+((C215=TRUE)*R215)+((C217=TRUE)*R217)+((C218=TRUE)*R218)+((C220=TRUE)*R220))/Inputs!$B$43,((C212=TRUE)*Q212)+((C215=TRUE)*Q215)+((C217=TRUE)*Q217)+((C218=TRUE)*Q218)+((C220=TRUE)*Q220))+B244</f>
        <v/>
      </c>
    </row>
    <row r="255">
      <c r="A255" s="6" t="inlineStr">
        <is>
          <t>Stat: DAMAGE_AMP %</t>
        </is>
      </c>
    </row>
    <row r="256">
      <c r="A256" s="5" t="inlineStr">
        <is>
          <t>Key</t>
        </is>
      </c>
      <c r="B256" s="5" t="inlineStr">
        <is>
          <t>Name</t>
        </is>
      </c>
      <c r="C256" s="5" t="inlineStr">
        <is>
          <t>Unlocked</t>
        </is>
      </c>
      <c r="D256" s="5" t="inlineStr">
        <is>
          <t>InputLevel</t>
        </is>
      </c>
      <c r="E256" s="5" t="inlineStr">
        <is>
          <t>Factor</t>
        </is>
      </c>
      <c r="F256" s="5" t="inlineStr">
        <is>
          <t>CoefficientPercent</t>
        </is>
      </c>
      <c r="G256" s="5" t="inlineStr">
        <is>
          <t>EffectiveHits</t>
        </is>
      </c>
      <c r="H256" s="5" t="inlineStr">
        <is>
          <t>ProcProbability</t>
        </is>
      </c>
      <c r="I256" s="5" t="inlineStr">
        <is>
          <t>MapleHeroMultiplier</t>
        </is>
      </c>
      <c r="J256" s="5" t="inlineStr">
        <is>
          <t>BaseDamage</t>
        </is>
      </c>
      <c r="K256" s="5" t="inlineStr">
        <is>
          <t>BaseHitDamage</t>
        </is>
      </c>
      <c r="L256" s="5" t="inlineStr">
        <is>
          <t>NonCritAvg</t>
        </is>
      </c>
      <c r="M256" s="5" t="inlineStr">
        <is>
          <t>CritAvg</t>
        </is>
      </c>
      <c r="N256" s="5" t="inlineStr">
        <is>
          <t>ExpectedDamage(perHit)</t>
        </is>
      </c>
      <c r="O256" s="5" t="inlineStr">
        <is>
          <t>DPS</t>
        </is>
      </c>
      <c r="P256" s="5" t="inlineStr">
        <is>
          <t>% of Total</t>
        </is>
      </c>
      <c r="Q256" s="5" t="inlineStr">
        <is>
          <t>InvCooldown</t>
        </is>
      </c>
      <c r="R256" s="5" t="inlineStr">
        <is>
          <t>CastsInFight</t>
        </is>
      </c>
      <c r="S256" s="5" t="inlineStr">
        <is>
          <t>HitRate(perSec)</t>
        </is>
      </c>
      <c r="U256" t="inlineStr">
        <is>
          <t>helpers</t>
        </is>
      </c>
    </row>
    <row r="257">
      <c r="A257">
        <f>Skills!A2</f>
        <v/>
      </c>
      <c r="B257">
        <f>Skills!B2</f>
        <v/>
      </c>
      <c r="C257">
        <f>Inputs!$B$3&gt;=100</f>
        <v/>
      </c>
      <c r="D257" t="inlineStr"/>
      <c r="E257" t="inlineStr"/>
      <c r="F257">
        <f>U259+Skills!O2</f>
        <v/>
      </c>
      <c r="G257">
        <f>Skills!G2*IF(Skills!H2&gt;0,INT(IF(Inputs!$B$38="pvp",MIN(Skills!I2,15),Skills!I2)/Skills!H2+0.000000001),1)</f>
        <v/>
      </c>
      <c r="H257">
        <f>1-(1-Skills!J2/100)^Skills!K2</f>
        <v/>
      </c>
      <c r="I257" t="inlineStr">
        <is>
          <t>1</t>
        </is>
      </c>
      <c r="J257">
        <f>((Inputs!$B$6*(1+Inputs!$B$7/100))+(((Inputs!$B$12*(1+Inputs!$B$13/100))-(Inputs!$B$12*(1+Inputs!$B$13/100)))+0.25*(Inputs!$B$14-Inputs!$B$14))*(1+Inputs!$B$7/100))*(F257/100)</f>
        <v/>
      </c>
      <c r="K257">
        <f>J257*(1+((Inputs!$B$12*(1+Inputs!$B$13/100))*0.01+Inputs!$B$14*0.0025)/100)*(1+Inputs!$B$15/100)*(1+(Inputs!$B$16+1)/100)*(5000/(6000+Inputs!$B$42*(1-(100*(1-(1-(Inputs!$B$19+0)/100)*(1-CHOOSE(ArtifactsInput!$N$40+1,5,6,7,8,9,10)/100)^(ArtifactsInput!$M$40-ArtifactsInput!$M$40)))/100)))*(1+(Inputs!$B$24+((C281=TRUE)*(F281-Calc!F26))+B292)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IGHT_LEGS_EASTON",Inputs!$B$17+((C278=TRUE)*(F278-Calc!F23))+((C282=TRUE)*(F282-Calc!F27))+((IF(AND(Inputs!$B$38&lt;&gt;"pvp",Inputs!$B$43=0),1,IF(IF(Inputs!$B$38="pvp",15,Inputs!$B$43)-(B293)&lt;=0,1,MAX(0,IF(Inputs!$B$38="pvp",15,Inputs!$B$43)-MAX(5,B293))/(IF(Inputs!$B$38="pvp",15,Inputs!$B$43)-(B293))))*(IF(AND(ArtifactsInput!$M$42,((Inputs!$B$9+((C274=TRUE)*(F274-Calc!F19))+B286+(ArtifactsInput!$M$24-ArtifactsInput!$M$24)*CHOOSE(ArtifactsInput!$N$24+1,10,12,14,16,18,20)+IF(ArtifactsInput!$M$10,CHOOSE(ArtifactsInput!$N$10+1,15,18,21,24,27,30)*(IF(Inputs!$B$38="pvp",MIN(15,15)/15,IF(AND(Inputs!$B$38&lt;&gt;"pvp",Inputs!$B$43&gt;0),MIN(15,Inputs!$B$43)/(Inputs!$B$43),0))),0)))&gt;=100),MIN(100,((Inputs!$B$9+((C274=TRUE)*(F274-Calc!F19))+B286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293)&lt;=0,1,MAX(0,IF(Inputs!$B$38="pvp",15,Inputs!$B$43)-MAX(5,B293))/(IF(Inputs!$B$38="pvp",15,Inputs!$B$43)-(B293))))*IF(AND(ArtifactsInput!$M$42,((Inputs!$B$9+((C274=TRUE)*(F274-Calc!F19))+B286+(ArtifactsInput!$M$24-ArtifactsInput!$M$24)*CHOOSE(ArtifactsInput!$N$24+1,10,12,14,16,18,20)+IF(ArtifactsInput!$M$10,CHOOSE(ArtifactsInput!$N$10+1,15,18,21,24,27,30)*(IF(Inputs!$B$38="pvp",MIN(15,15)/15,IF(AND(Inputs!$B$38&lt;&gt;"pvp",Inputs!$B$43&gt;0),MIN(15,Inputs!$B$43)/(Inputs!$B$43),0))),0)))&gt;=100),CHOOSE(ArtifactsInput!$N$42+1,40,48,56,64,72,80),0))))/100)*((1+(((C272=TRUE)*F272*5/7)+((C279=TRUE)*(F279-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257)</f>
        <v/>
      </c>
      <c r="L257">
        <f>K257*(MIN(Inputs!$B$22+((C277=TRUE)*(F277-Calc!F22)),(Inputs!$B$23+0+(IF(ArtifactsInput!$M$15,CHOOSE(ArtifactsInput!$N$15+1,25,30,35,40,45,50)/100*(Inputs!$B$11-Inputs!$B$11),0))))/100+(Inputs!$B$23+0+(IF(ArtifactsInput!$M$15,CHOOSE(ArtifactsInput!$N$15+1,25,30,35,40,45,50)/100*(Inputs!$B$11-Inputs!$B$11),0)))/100)/2</f>
        <v/>
      </c>
      <c r="M257">
        <f>L257*(1+(Inputs!$B$10+((C280=TRUE)*(F280-Calc!F25))+B291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7">
        <f>L257*(1-MIN((Inputs!$B$9+((C274=TRUE)*(F274-Calc!F19))+B286+(ArtifactsInput!$M$24-ArtifactsInput!$M$24)*CHOOSE(ArtifactsInput!$N$24+1,10,12,14,16,18,20)+(IF(AND(Inputs!$B$38&lt;&gt;"pvp",Inputs!$B$43=0),1,IF(IF(Inputs!$B$38="pvp",15,Inputs!$B$43)-(B293)&lt;=0,1,MAX(0,IF(Inputs!$B$38="pvp",15,Inputs!$B$43)-MAX(5,B293))/(IF(Inputs!$B$38="pvp",15,Inputs!$B$43)-(B293))))*IF(AND(ArtifactsInput!$M$42,((Inputs!$B$9+((C274=TRUE)*(F274-Calc!F19))+B286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257*(MIN((Inputs!$B$9+((C274=TRUE)*(F274-Calc!F19))+B286+(ArtifactsInput!$M$24-ArtifactsInput!$M$24)*CHOOSE(ArtifactsInput!$N$24+1,10,12,14,16,18,20)+(IF(AND(Inputs!$B$38&lt;&gt;"pvp",Inputs!$B$43=0),1,IF(IF(Inputs!$B$38="pvp",15,Inputs!$B$43)-(B293)&lt;=0,1,MAX(0,IF(Inputs!$B$38="pvp",15,Inputs!$B$43)-MAX(5,B293))/(IF(Inputs!$B$38="pvp",15,Inputs!$B$43)-(B293))))*IF(AND(ArtifactsInput!$M$42,((Inputs!$B$9+((C274=TRUE)*(F274-Calc!F19))+B286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7">
        <f>(1-Summary!$B$11)*T257+Summary!$B$11*V257</f>
        <v/>
      </c>
      <c r="P257">
        <f>IF(B296=0,0,O257/B296)</f>
        <v/>
      </c>
      <c r="Q257" t="n">
        <v>0</v>
      </c>
      <c r="R257" t="n">
        <v>0</v>
      </c>
      <c r="S257">
        <f>IFERROR(O257/N257,0)</f>
        <v/>
      </c>
      <c r="T257">
        <f>IF(C257,(Skills!G2*N257*B290*(1+IF(C282=TRUE,1/3,0)))*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Hunt"),CHOOSE(ArtifactsInput!$N$35+1,15,18,21,24,27,30)*(1-EXP(-(0.2*B288)*5)),0)+IF(AND(ArtifactsInput!$M$22,Inputs!$B$4&lt;&gt;"Chapter Hunt"),CHOOSE(ArtifactsInput!$N$22+1,10,12,14,16,18,20)*((0*(((0.15*B288*5))^0/1)+1*(((0.15*B288*5))^1/1)+2*(((0.15*B288*5))^2/2)+3*(((0.15*B288*5))^3/6)+4*(((0.15*B288*5))^4/24)+5*(((0.15*B288*5))^5/120))/((((0.15*B288*5))^0/1)+(((0.15*B288*5))^1/1)+(((0.15*B288*5))^2/2)+(((0.15*B288*5))^3/6)+(((0.15*B288*5))^4/24)+(((0.15*B288*5))^5/120))),0))+IF(Inputs!$B$3&gt;=54,9*(C258=TRUE)*MIN(1,8*(1+Inputs!$B$34/100)*Q258)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257*(1-MIN(100,(Inputs!$B$9+((C274=TRUE)*(F274-Calc!F19))+B286+(ArtifactsInput!$M$24-ArtifactsInput!$M$24)*CHOOSE(ArtifactsInput!$N$24+1,10,12,14,16,18,20)+(IF(AND(Inputs!$B$38&lt;&gt;"pvp",Inputs!$B$43=0),1,IF(IF(Inputs!$B$38="pvp",15,Inputs!$B$43)-(B293)&lt;=0,1,MAX(0,IF(Inputs!$B$38="pvp",15,Inputs!$B$43)-MAX(5,B293))/(IF(Inputs!$B$38="pvp",15,Inputs!$B$43)-(B293))))*IF(AND(ArtifactsInput!$M$42,((Inputs!$B$9+((C274=TRUE)*(F274-Calc!F19))+B286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257*(MIN(100,(Inputs!$B$9+((C274=TRUE)*(F274-Calc!F19))+B286+(ArtifactsInput!$M$24-ArtifactsInput!$M$24)*CHOOSE(ArtifactsInput!$N$24+1,10,12,14,16,18,20)+(IF(AND(Inputs!$B$38&lt;&gt;"pvp",Inputs!$B$43=0),1,IF(IF(Inputs!$B$38="pvp",15,Inputs!$B$43)-(B293)&lt;=0,1,MAX(0,IF(Inputs!$B$38="pvp",15,Inputs!$B$43)-MAX(5,B293))/(IF(Inputs!$B$38="pvp",15,Inputs!$B$43)-(B293))))*IF(AND(ArtifactsInput!$M$42,((Inputs!$B$9+((C274=TRUE)*(F274-Calc!F19))+B286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257*(1-MIN(100,(Inputs!$B$9+((C274=TRUE)*(F274-Calc!F19))+B286+(ArtifactsInput!$M$24-ArtifactsInput!$M$24)*CHOOSE(ArtifactsInput!$N$24+1,10,12,14,16,18,20)+(IF(AND(Inputs!$B$38&lt;&gt;"pvp",Inputs!$B$43=0),1,IF(IF(Inputs!$B$38="pvp",15,Inputs!$B$43)-(B293)&lt;=0,1,MAX(0,IF(Inputs!$B$38="pvp",15,Inputs!$B$43)-MAX(5,B293))/(IF(Inputs!$B$38="pvp",15,Inputs!$B$43)-(B293))))*IF(AND(ArtifactsInput!$M$42,((Inputs!$B$9+((C274=TRUE)*(F274-Calc!F19))+B286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257*(MIN(100,(Inputs!$B$9+((C274=TRUE)*(F274-Calc!F19))+B286+(ArtifactsInput!$M$24-ArtifactsInput!$M$24)*CHOOSE(ArtifactsInput!$N$24+1,10,12,14,16,18,20)+(IF(AND(Inputs!$B$38&lt;&gt;"pvp",Inputs!$B$43=0),1,IF(IF(Inputs!$B$38="pvp",15,Inputs!$B$43)-(B293)&lt;=0,1,MAX(0,IF(Inputs!$B$38="pvp",15,Inputs!$B$43)-MAX(5,B293))/(IF(Inputs!$B$38="pvp",15,Inputs!$B$43)-(B293))))*IF(AND(ArtifactsInput!$M$42,((Inputs!$B$9+((C274=TRUE)*(F274-Calc!F19))+B286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57">
        <f>MAX(0,(Inputs!$B$3-100)*3)+Inputs!$B$28+Inputs!$B$29</f>
        <v/>
      </c>
      <c r="V257">
        <f>IF(C257,(Skills!G2*N257*B290*(1+IF(C282=TRUE,1/3,0)))*IF(Inputs!$B$38="pvp",1,(1+(Inputs!$B$21+Skills!Q2+(IF(ArtifactsInput!$M$33,CHOOSE(ArtifactsInput!$N$33+1,30,36,42,48,54,60),0))+(IF(AND(ArtifactsInput!$M$35,Inputs!$B$4&lt;&gt;"Chapter Hunt"),CHOOSE(ArtifactsInput!$N$35+1,15,18,21,24,27,30)*(1-EXP(-(0.2*B288)*5)),0)+IF(AND(ArtifactsInput!$M$22,Inputs!$B$4&lt;&gt;"Chapter Hunt"),CHOOSE(ArtifactsInput!$N$22+1,10,12,14,16,18,20)*((0*(((0.15*B288*5))^0/1)+1*(((0.15*B288*5))^1/1)+2*(((0.15*B288*5))^2/2)+3*(((0.15*B288*5))^3/6)+4*(((0.15*B288*5))^4/24)+5*(((0.15*B288*5))^5/120))/((((0.15*B288*5))^0/1)+(((0.15*B288*5))^1/1)+(((0.15*B288*5))^2/2)+(((0.15*B288*5))^3/6)+(((0.15*B288*5))^4/24)+(((0.15*B288*5))^5/120))),0))+IF(Inputs!$B$3&gt;=54,9*(C258=TRUE)*MIN(1,8*(1+Inputs!$B$34/100)*Q258),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8">
      <c r="A258">
        <f>Skills!A3</f>
        <v/>
      </c>
      <c r="B258">
        <f>Skills!B3</f>
        <v/>
      </c>
      <c r="C258">
        <f>Inputs!$B$3&gt;=33</f>
        <v/>
      </c>
      <c r="D258">
        <f>IF(Skills!C3=1,60+Inputs!$B$25+Inputs!$B$29,IF(Skills!C3=2,90+Inputs!$B$26+Inputs!$B$29,IF(Skills!C3=3,120+Inputs!$B$27+Inputs!$B$29,MAX(0,(Inputs!$B$3-100)*3)+Inputs!$B$28+Inputs!$B$29)))</f>
        <v/>
      </c>
      <c r="E258">
        <f>INDEX(FactorTable!$B$2:$Y$301, MATCH(ROUND(MIN(300,MAX(1,D258)),0), FactorTable!$A$2:$A$301,0), Skills!M3+1)</f>
        <v/>
      </c>
      <c r="F258">
        <f>IF(Skills!N3=TRUE,(Skills!L3/10)*(E258/1000),Skills!L3/10)+Skills!O3</f>
        <v/>
      </c>
      <c r="G258">
        <f>Skills!G3*IF(Skills!H3&gt;0,INT(IF(Inputs!$B$38="pvp",MIN(Skills!I3,15),Skills!I3)/Skills!H3+0.000000001),1)</f>
        <v/>
      </c>
      <c r="H258">
        <f>1-(1-Skills!J3/100)^Skills!K3</f>
        <v/>
      </c>
      <c r="I258" t="inlineStr">
        <is>
          <t>1</t>
        </is>
      </c>
      <c r="J258">
        <f>((Inputs!$B$6*(1+Inputs!$B$7/100))+(((Inputs!$B$12*(1+Inputs!$B$13/100))-(Inputs!$B$12*(1+Inputs!$B$13/100)))+0.25*(Inputs!$B$14-Inputs!$B$14))*(1+Inputs!$B$7/100))*(F258/100)</f>
        <v/>
      </c>
      <c r="K258">
        <f>J258*(1+((Inputs!$B$12*(1+Inputs!$B$13/100))*0.01+Inputs!$B$14*0.0025)/100)*(1+Inputs!$B$15/100)*(1+(Inputs!$B$16+1)/100)*(5000/(6000+Inputs!$B$42*(1-(100*(1-(1-(Inputs!$B$19+0)/100)*(1-CHOOSE(ArtifactsInput!$N$40+1,5,6,7,8,9,10)/100)^(ArtifactsInput!$M$40-ArtifactsInput!$M$40)))/100)))*(1+(Inputs!$B$24+((C281=TRUE)*(F281-Calc!F26))+B292)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270=TRUE,F270,0)/100)*(1+(IF(Skills!A3="EIGHT_LEGS_EASTON",Inputs!$B$17+((C278=TRUE)*(F278-Calc!F23))+((C282=TRUE)*(F282-Calc!F27))+((IF(AND(Inputs!$B$38&lt;&gt;"pvp",Inputs!$B$43=0),1,IF(IF(Inputs!$B$38="pvp",15,Inputs!$B$43)-(B293)&lt;=0,1,MAX(0,IF(Inputs!$B$38="pvp",15,Inputs!$B$43)-MAX(5,B293))/(IF(Inputs!$B$38="pvp",15,Inputs!$B$43)-(B293))))*(IF(AND(ArtifactsInput!$M$42,((Inputs!$B$9+((C274=TRUE)*(F274-Calc!F19))+B286+(ArtifactsInput!$M$24-ArtifactsInput!$M$24)*CHOOSE(ArtifactsInput!$N$24+1,10,12,14,16,18,20)+IF(ArtifactsInput!$M$10,CHOOSE(ArtifactsInput!$N$10+1,15,18,21,24,27,30)*(IF(Inputs!$B$38="pvp",MIN(15,15)/15,IF(AND(Inputs!$B$38&lt;&gt;"pvp",Inputs!$B$43&gt;0),MIN(15,Inputs!$B$43)/(Inputs!$B$43),0))),0)))&gt;=100),MIN(100,((Inputs!$B$9+((C274=TRUE)*(F274-Calc!F19))+B286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293)&lt;=0,1,MAX(0,IF(Inputs!$B$38="pvp",15,Inputs!$B$43)-MAX(5,B293))/(IF(Inputs!$B$38="pvp",15,Inputs!$B$43)-(B293))))*IF(AND(ArtifactsInput!$M$42,((Inputs!$B$9+((C274=TRUE)*(F274-Calc!F19))+B286+(ArtifactsInput!$M$24-ArtifactsInput!$M$24)*CHOOSE(ArtifactsInput!$N$24+1,10,12,14,16,18,20)+IF(ArtifactsInput!$M$10,CHOOSE(ArtifactsInput!$N$10+1,15,18,21,24,27,30)*(IF(Inputs!$B$38="pvp",MIN(15,15)/15,IF(AND(Inputs!$B$38&lt;&gt;"pvp",Inputs!$B$43&gt;0),MIN(15,Inputs!$B$43)/(Inputs!$B$43),0))),0)))&gt;=100),CHOOSE(ArtifactsInput!$N$42+1,40,48,56,64,72,80),0))))/100)*((1+(((C272=TRUE)*F272*5/7)+((C279=TRUE)*(F279-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258)</f>
        <v/>
      </c>
      <c r="L258">
        <f>K258*(MIN(Inputs!$B$22+((C277=TRUE)*(F277-Calc!F22)),(Inputs!$B$23+0+(IF(ArtifactsInput!$M$15,CHOOSE(ArtifactsInput!$N$15+1,25,30,35,40,45,50)/100*(Inputs!$B$11-Inputs!$B$11),0))))/100+(Inputs!$B$23+0+(IF(ArtifactsInput!$M$15,CHOOSE(ArtifactsInput!$N$15+1,25,30,35,40,45,50)/100*(Inputs!$B$11-Inputs!$B$11),0)))/100)/2</f>
        <v/>
      </c>
      <c r="M258">
        <f>L258*(1+(Inputs!$B$10+((C280=TRUE)*(F280-Calc!F25))+B291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8">
        <f>L258*(1-MIN((Inputs!$B$9+((C274=TRUE)*(F274-Calc!F19))+B286+(ArtifactsInput!$M$24-ArtifactsInput!$M$24)*CHOOSE(ArtifactsInput!$N$24+1,10,12,14,16,18,20)+(IF(AND(Inputs!$B$38&lt;&gt;"pvp",Inputs!$B$43=0),1,IF(IF(Inputs!$B$38="pvp",15,Inputs!$B$43)-(B293)&lt;=0,1,MAX(0,IF(Inputs!$B$38="pvp",15,Inputs!$B$43)-MAX(5,B293))/(IF(Inputs!$B$38="pvp",15,Inputs!$B$43)-(B293))))*IF(AND(ArtifactsInput!$M$42,((Inputs!$B$9+((C274=TRUE)*(F274-Calc!F19))+B286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258*(MIN((Inputs!$B$9+((C274=TRUE)*(F274-Calc!F19))+B286+(ArtifactsInput!$M$24-ArtifactsInput!$M$24)*CHOOSE(ArtifactsInput!$N$24+1,10,12,14,16,18,20)+(IF(AND(Inputs!$B$38&lt;&gt;"pvp",Inputs!$B$43=0),1,IF(IF(Inputs!$B$38="pvp",15,Inputs!$B$43)-(B293)&lt;=0,1,MAX(0,IF(Inputs!$B$38="pvp",15,Inputs!$B$43)-MAX(5,B293))/(IF(Inputs!$B$38="pvp",15,Inputs!$B$43)-(B293))))*IF(AND(ArtifactsInput!$M$42,((Inputs!$B$9+((C274=TRUE)*(F274-Calc!F19))+B286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8">
        <f>(1-Summary!$B$11)*T258+Summary!$B$11*V258</f>
        <v/>
      </c>
      <c r="P258">
        <f>IF(B296=0,0,O258/B296)</f>
        <v/>
      </c>
      <c r="Q258">
        <f>IFERROR(1/(IF(Inputs!$B$38="pvp",15,MAX(0.1,Skills!D3-IF(TRUE=TRUE,Inputs!$B$32,0)))*(1-IF(AND(ArtifactsInput!$M$27,Inputs!$B$4="Chapter Hunt"),CHOOSE(ArtifactsInput!$N$27+1,20,24,28,32,36,40),0)/100)),0)</f>
        <v/>
      </c>
      <c r="R258">
        <f>IF(AND(Inputs!$B$38&lt;&gt;"pvp",Inputs!$B$43&gt;0),IF(MAX(0,Inputs!$B$43-B293)&lt;=0,0,(INT(MAX(0,Inputs!$B$43-B293)/(IF(Inputs!$B$38="pvp",15,MAX(0.1,Skills!D3-IF(TRUE=TRUE,Inputs!$B$32,0)))*(1-IF(AND(ArtifactsInput!$M$27,Inputs!$B$4="Chapter Hunt"),CHOOSE(ArtifactsInput!$N$27+1,20,24,28,32,36,40),0)/100)))+1)),0)</f>
        <v/>
      </c>
      <c r="S258">
        <f>IFERROR(O258/N258,0)</f>
        <v/>
      </c>
      <c r="T258">
        <f>IF(C258,(H258*N258*IF(AND(Inputs!$B$38&lt;&gt;"pvp",Inputs!$B$43&gt;0),((Skills!G3*((R258-1)*IF(Skills!H3&gt;0,INT(Skills!I3/Skills!H3+0.000000001),1)+IF(Skills!H3&gt;0,INT(MIN(Skills!I3,MAX(0,MAX(0,Inputs!$B$43-B293)-((R258-1)*(IF(Inputs!$B$38="pvp",15,MAX(0.1,Skills!D3-IF(TRUE=TRUE,Inputs!$B$32,0)))*(1-IF(AND(ArtifactsInput!$M$27,Inputs!$B$4="Chapter Hunt"),CHOOSE(ArtifactsInput!$N$27+1,20,24,28,32,36,40),0)/100)))))/Skills!H3+0.000000001),1)))/Inputs!$B$43),G258*Q258))*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Hunt"),CHOOSE(ArtifactsInput!$N$35+1,15,18,21,24,27,30)*(1-EXP(-(0.2*B288)*5)),0)+IF(AND(ArtifactsInput!$M$22,Inputs!$B$4&lt;&gt;"Chapter Hunt"),CHOOSE(ArtifactsInput!$N$22+1,10,12,14,16,18,20)*((0*(((0.15*B288*5))^0/1)+1*(((0.15*B288*5))^1/1)+2*(((0.15*B288*5))^2/2)+3*(((0.15*B288*5))^3/6)+4*(((0.15*B288*5))^4/24)+5*(((0.15*B288*5))^5/120))/((((0.15*B288*5))^0/1)+(((0.15*B288*5))^1/1)+(((0.15*B288*5))^2/2)+(((0.15*B288*5))^3/6)+(((0.15*B288*5))^4/24)+(((0.15*B288*5))^5/120))),0))+IF(Inputs!$B$3&gt;=54,9*(C258=TRUE)*MIN(1,8*(1+Inputs!$B$34/100)*Q258)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258*(1-MIN(100,(Inputs!$B$9+((C274=TRUE)*(F274-Calc!F19))+B286+(ArtifactsInput!$M$24-ArtifactsInput!$M$24)*CHOOSE(ArtifactsInput!$N$24+1,10,12,14,16,18,20)+(IF(AND(Inputs!$B$38&lt;&gt;"pvp",Inputs!$B$43=0),1,IF(IF(Inputs!$B$38="pvp",15,Inputs!$B$43)-(B293)&lt;=0,1,MAX(0,IF(Inputs!$B$38="pvp",15,Inputs!$B$43)-MAX(5,B293))/(IF(Inputs!$B$38="pvp",15,Inputs!$B$43)-(B293))))*IF(AND(ArtifactsInput!$M$42,((Inputs!$B$9+((C274=TRUE)*(F274-Calc!F19))+B286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258*(MIN(100,(Inputs!$B$9+((C274=TRUE)*(F274-Calc!F19))+B286+(ArtifactsInput!$M$24-ArtifactsInput!$M$24)*CHOOSE(ArtifactsInput!$N$24+1,10,12,14,16,18,20)+(IF(AND(Inputs!$B$38&lt;&gt;"pvp",Inputs!$B$43=0),1,IF(IF(Inputs!$B$38="pvp",15,Inputs!$B$43)-(B293)&lt;=0,1,MAX(0,IF(Inputs!$B$38="pvp",15,Inputs!$B$43)-MAX(5,B293))/(IF(Inputs!$B$38="pvp",15,Inputs!$B$43)-(B293))))*IF(AND(ArtifactsInput!$M$42,((Inputs!$B$9+((C274=TRUE)*(F274-Calc!F19))+B286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258*(1-MIN(100,(Inputs!$B$9+((C274=TRUE)*(F274-Calc!F19))+B286+(ArtifactsInput!$M$24-ArtifactsInput!$M$24)*CHOOSE(ArtifactsInput!$N$24+1,10,12,14,16,18,20)+(IF(AND(Inputs!$B$38&lt;&gt;"pvp",Inputs!$B$43=0),1,IF(IF(Inputs!$B$38="pvp",15,Inputs!$B$43)-(B293)&lt;=0,1,MAX(0,IF(Inputs!$B$38="pvp",15,Inputs!$B$43)-MAX(5,B293))/(IF(Inputs!$B$38="pvp",15,Inputs!$B$43)-(B293))))*IF(AND(ArtifactsInput!$M$42,((Inputs!$B$9+((C274=TRUE)*(F274-Calc!F19))+B286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258*(MIN(100,(Inputs!$B$9+((C274=TRUE)*(F274-Calc!F19))+B286+(ArtifactsInput!$M$24-ArtifactsInput!$M$24)*CHOOSE(ArtifactsInput!$N$24+1,10,12,14,16,18,20)+(IF(AND(Inputs!$B$38&lt;&gt;"pvp",Inputs!$B$43=0),1,IF(IF(Inputs!$B$38="pvp",15,Inputs!$B$43)-(B293)&lt;=0,1,MAX(0,IF(Inputs!$B$38="pvp",15,Inputs!$B$43)-MAX(5,B293))/(IF(Inputs!$B$38="pvp",15,Inputs!$B$43)-(B293))))*IF(AND(ArtifactsInput!$M$42,((Inputs!$B$9+((C274=TRUE)*(F274-Calc!F19))+B286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58">
        <f>INDEX(FactorTable!$B$2:$Y$301, MATCH(ROUND(MIN(300,MAX(1,U257)),0), FactorTable!$A$2:$A$301,0), 22)</f>
        <v/>
      </c>
      <c r="V258">
        <f>IF(C258,(H258*N258*IF(AND(Inputs!$B$38&lt;&gt;"pvp",Inputs!$B$43&gt;0),((Skills!G3*((R258-1)*IF(Skills!H3&gt;0,INT(Skills!I3/Skills!H3+0.000000001),1)+IF(Skills!H3&gt;0,INT(MIN(Skills!I3,MAX(0,MAX(0,Inputs!$B$43-B293)-((R258-1)*(IF(Inputs!$B$38="pvp",15,MAX(0.1,Skills!D3-IF(TRUE=TRUE,Inputs!$B$32,0)))*(1-IF(AND(ArtifactsInput!$M$27,Inputs!$B$4="Chapter Hunt"),CHOOSE(ArtifactsInput!$N$27+1,20,24,28,32,36,40),0)/100)))))/Skills!H3+0.000000001),1)))/Inputs!$B$43),G258*Q258))*IF(Inputs!$B$38="pvp",1,(1+(Inputs!$B$21+Skills!Q3+(IF(ArtifactsInput!$M$33,CHOOSE(ArtifactsInput!$N$33+1,30,36,42,48,54,60),0))+(IF(AND(ArtifactsInput!$M$35,Inputs!$B$4&lt;&gt;"Chapter Hunt"),CHOOSE(ArtifactsInput!$N$35+1,15,18,21,24,27,30)*(1-EXP(-(0.2*B288)*5)),0)+IF(AND(ArtifactsInput!$M$22,Inputs!$B$4&lt;&gt;"Chapter Hunt"),CHOOSE(ArtifactsInput!$N$22+1,10,12,14,16,18,20)*((0*(((0.15*B288*5))^0/1)+1*(((0.15*B288*5))^1/1)+2*(((0.15*B288*5))^2/2)+3*(((0.15*B288*5))^3/6)+4*(((0.15*B288*5))^4/24)+5*(((0.15*B288*5))^5/120))/((((0.15*B288*5))^0/1)+(((0.15*B288*5))^1/1)+(((0.15*B288*5))^2/2)+(((0.15*B288*5))^3/6)+(((0.15*B288*5))^4/24)+(((0.15*B288*5))^5/120))),0))+IF(Inputs!$B$3&gt;=54,9*(C258=TRUE)*MIN(1,8*(1+Inputs!$B$34/100)*Q258),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9">
      <c r="A259">
        <f>Skills!A4</f>
        <v/>
      </c>
      <c r="B259">
        <f>Skills!B4</f>
        <v/>
      </c>
      <c r="C259">
        <f>Inputs!$B$3&gt;=35</f>
        <v/>
      </c>
      <c r="D259">
        <f>IF(Skills!C4=1,60+Inputs!$B$25+Inputs!$B$29,IF(Skills!C4=2,90+Inputs!$B$26+Inputs!$B$29,IF(Skills!C4=3,120+Inputs!$B$27+Inputs!$B$29,MAX(0,(Inputs!$B$3-100)*3)+Inputs!$B$28+Inputs!$B$29)))</f>
        <v/>
      </c>
      <c r="E259">
        <f>INDEX(FactorTable!$B$2:$Y$301, MATCH(ROUND(MIN(300,MAX(1,D259)),0), FactorTable!$A$2:$A$301,0), Skills!M4+1)</f>
        <v/>
      </c>
      <c r="F259">
        <f>IF(Skills!N4=TRUE,(Skills!L4/10)*(E259/1000),Skills!L4/10)+Skills!O4</f>
        <v/>
      </c>
      <c r="G259">
        <f>Skills!G4*IF(Skills!H4&gt;0,INT(IF(Inputs!$B$38="pvp",MIN(IF(Inputs!$B$3&gt;=104,MIN(35,20*(1+Inputs!$B$34/100)),20),15),IF(Inputs!$B$3&gt;=104,MIN(35,20*(1+Inputs!$B$34/100)),20))/Skills!H4+0.000000001),1)</f>
        <v/>
      </c>
      <c r="H259">
        <f>1-(1-Skills!J4/100)^Skills!K4</f>
        <v/>
      </c>
      <c r="I259" t="inlineStr">
        <is>
          <t>1</t>
        </is>
      </c>
      <c r="J259">
        <f>((Inputs!$B$6*(1+Inputs!$B$7/100))+(((Inputs!$B$12*(1+Inputs!$B$13/100))-(Inputs!$B$12*(1+Inputs!$B$13/100)))+0.25*(Inputs!$B$14-Inputs!$B$14))*(1+Inputs!$B$7/100))*(F259/100)</f>
        <v/>
      </c>
      <c r="K259">
        <f>J259*(1+((Inputs!$B$12*(1+Inputs!$B$13/100))*0.01+Inputs!$B$14*0.0025)/100)*(1+Inputs!$B$15/100)*(1+(Inputs!$B$16+1)/100)*(5000/(6000+Inputs!$B$42*(1-(100*(1-(1-(Inputs!$B$19+0)/100)*(1-CHOOSE(ArtifactsInput!$N$40+1,5,6,7,8,9,10)/100)^(ArtifactsInput!$M$40-ArtifactsInput!$M$40)))/100)))*(1+(Inputs!$B$24+((C281=TRUE)*(F281-Calc!F26))+B292)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271=TRUE,F271,0)/100)*(1+(IF(Skills!A4="EIGHT_LEGS_EASTON",Inputs!$B$17+((C278=TRUE)*(F278-Calc!F23))+((C282=TRUE)*(F282-Calc!F27))+((IF(AND(Inputs!$B$38&lt;&gt;"pvp",Inputs!$B$43=0),1,IF(IF(Inputs!$B$38="pvp",15,Inputs!$B$43)-(B293)&lt;=0,1,MAX(0,IF(Inputs!$B$38="pvp",15,Inputs!$B$43)-MAX(5,B293))/(IF(Inputs!$B$38="pvp",15,Inputs!$B$43)-(B293))))*(IF(AND(ArtifactsInput!$M$42,((Inputs!$B$9+((C274=TRUE)*(F274-Calc!F19))+B286+(ArtifactsInput!$M$24-ArtifactsInput!$M$24)*CHOOSE(ArtifactsInput!$N$24+1,10,12,14,16,18,20)+IF(ArtifactsInput!$M$10,CHOOSE(ArtifactsInput!$N$10+1,15,18,21,24,27,30)*(IF(Inputs!$B$38="pvp",MIN(15,15)/15,IF(AND(Inputs!$B$38&lt;&gt;"pvp",Inputs!$B$43&gt;0),MIN(15,Inputs!$B$43)/(Inputs!$B$43),0))),0)))&gt;=100),MIN(100,((Inputs!$B$9+((C274=TRUE)*(F274-Calc!F19))+B286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293)&lt;=0,1,MAX(0,IF(Inputs!$B$38="pvp",15,Inputs!$B$43)-MAX(5,B293))/(IF(Inputs!$B$38="pvp",15,Inputs!$B$43)-(B293))))*IF(AND(ArtifactsInput!$M$42,((Inputs!$B$9+((C274=TRUE)*(F274-Calc!F19))+B286+(ArtifactsInput!$M$24-ArtifactsInput!$M$24)*CHOOSE(ArtifactsInput!$N$24+1,10,12,14,16,18,20)+IF(ArtifactsInput!$M$10,CHOOSE(ArtifactsInput!$N$10+1,15,18,21,24,27,30)*(IF(Inputs!$B$38="pvp",MIN(15,15)/15,IF(AND(Inputs!$B$38&lt;&gt;"pvp",Inputs!$B$43&gt;0),MIN(15,Inputs!$B$43)/(Inputs!$B$43),0))),0)))&gt;=100),CHOOSE(ArtifactsInput!$N$42+1,40,48,56,64,72,80),0))))/100)*((1+(((C272=TRUE)*F272*5/7)+((C279=TRUE)*(F279-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259)</f>
        <v/>
      </c>
      <c r="L259">
        <f>K259*(MIN(Inputs!$B$22+((C277=TRUE)*(F277-Calc!F22)),(Inputs!$B$23+0+(IF(ArtifactsInput!$M$15,CHOOSE(ArtifactsInput!$N$15+1,25,30,35,40,45,50)/100*(Inputs!$B$11-Inputs!$B$11),0))))/100+(Inputs!$B$23+0+(IF(ArtifactsInput!$M$15,CHOOSE(ArtifactsInput!$N$15+1,25,30,35,40,45,50)/100*(Inputs!$B$11-Inputs!$B$11),0)))/100)/2</f>
        <v/>
      </c>
      <c r="M259">
        <f>L259*(1+(Inputs!$B$10+((C280=TRUE)*(F280-Calc!F25))+B291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9">
        <f>L259*(1-MIN((Inputs!$B$9+((C274=TRUE)*(F274-Calc!F19))+B286+(ArtifactsInput!$M$24-ArtifactsInput!$M$24)*CHOOSE(ArtifactsInput!$N$24+1,10,12,14,16,18,20)+(IF(AND(Inputs!$B$38&lt;&gt;"pvp",Inputs!$B$43=0),1,IF(IF(Inputs!$B$38="pvp",15,Inputs!$B$43)-(B293)&lt;=0,1,MAX(0,IF(Inputs!$B$38="pvp",15,Inputs!$B$43)-MAX(5,B293))/(IF(Inputs!$B$38="pvp",15,Inputs!$B$43)-(B293))))*IF(AND(ArtifactsInput!$M$42,((Inputs!$B$9+((C274=TRUE)*(F274-Calc!F19))+B286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259*(MIN((Inputs!$B$9+((C274=TRUE)*(F274-Calc!F19))+B286+(ArtifactsInput!$M$24-ArtifactsInput!$M$24)*CHOOSE(ArtifactsInput!$N$24+1,10,12,14,16,18,20)+(IF(AND(Inputs!$B$38&lt;&gt;"pvp",Inputs!$B$43=0),1,IF(IF(Inputs!$B$38="pvp",15,Inputs!$B$43)-(B293)&lt;=0,1,MAX(0,IF(Inputs!$B$38="pvp",15,Inputs!$B$43)-MAX(5,B293))/(IF(Inputs!$B$38="pvp",15,Inputs!$B$43)-(B293))))*IF(AND(ArtifactsInput!$M$42,((Inputs!$B$9+((C274=TRUE)*(F274-Calc!F19))+B286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9">
        <f>(1-Summary!$B$11)*T259+Summary!$B$11*V259</f>
        <v/>
      </c>
      <c r="P259">
        <f>IF(B296=0,0,O259/B296)</f>
        <v/>
      </c>
      <c r="Q259">
        <f>IFERROR(1/(IF(Inputs!$B$38="pvp",15,MAX(0.1,Skills!D4-IF(TRUE=TRUE,Inputs!$B$32,0)))*(1-IF(AND(ArtifactsInput!$M$27,Inputs!$B$4="Chapter Hunt"),CHOOSE(ArtifactsInput!$N$27+1,20,24,28,32,36,40),0)/100)),0)</f>
        <v/>
      </c>
      <c r="R259">
        <f>IF(AND(Inputs!$B$38&lt;&gt;"pvp",Inputs!$B$43&gt;0),IF(MAX(0,Inputs!$B$43-B293)&lt;=0,0,(INT(MAX(0,Inputs!$B$43-B293)/(IF(Inputs!$B$38="pvp",15,MAX(0.1,Skills!D4-IF(TRUE=TRUE,Inputs!$B$32,0)))*(1-IF(AND(ArtifactsInput!$M$27,Inputs!$B$4="Chapter Hunt"),CHOOSE(ArtifactsInput!$N$27+1,20,24,28,32,36,40),0)/100)))+1)),0)</f>
        <v/>
      </c>
      <c r="S259">
        <f>IFERROR(O259/N259,0)</f>
        <v/>
      </c>
      <c r="T259">
        <f>IF(C259,(H259*N259*IF(AND(Inputs!$B$38&lt;&gt;"pvp",Inputs!$B$43&gt;0),((Skills!G4*((R259-1)*IF(Skills!H4&gt;0,INT(IF(Inputs!$B$3&gt;=104,MIN(35,20*(1+Inputs!$B$34/100)),20)/Skills!H4+0.000000001),1)+IF(Skills!H4&gt;0,INT(MIN(IF(Inputs!$B$3&gt;=104,MIN(35,20*(1+Inputs!$B$34/100)),20),MAX(0,MAX(0,Inputs!$B$43-B293)-((R259-1)*(IF(Inputs!$B$38="pvp",15,MAX(0.1,Skills!D4-IF(TRUE=TRUE,Inputs!$B$32,0)))*(1-IF(AND(ArtifactsInput!$M$27,Inputs!$B$4="Chapter Hunt"),CHOOSE(ArtifactsInput!$N$27+1,20,24,28,32,36,40),0)/100)))))/Skills!H4+0.000000001),1)))/Inputs!$B$43),G259*Q259))*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Hunt"),CHOOSE(ArtifactsInput!$N$35+1,15,18,21,24,27,30)*(1-EXP(-(0.2*B288)*5)),0)+IF(AND(ArtifactsInput!$M$22,Inputs!$B$4&lt;&gt;"Chapter Hunt"),CHOOSE(ArtifactsInput!$N$22+1,10,12,14,16,18,20)*((0*(((0.15*B288*5))^0/1)+1*(((0.15*B288*5))^1/1)+2*(((0.15*B288*5))^2/2)+3*(((0.15*B288*5))^3/6)+4*(((0.15*B288*5))^4/24)+5*(((0.15*B288*5))^5/120))/((((0.15*B288*5))^0/1)+(((0.15*B288*5))^1/1)+(((0.15*B288*5))^2/2)+(((0.15*B288*5))^3/6)+(((0.15*B288*5))^4/24)+(((0.15*B288*5))^5/120))),0))+IF(Inputs!$B$3&gt;=54,9*(C258=TRUE)*MIN(1,8*(1+Inputs!$B$34/100)*Q258)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259*(1-MIN(100,(Inputs!$B$9+((C274=TRUE)*(F274-Calc!F19))+B286+(ArtifactsInput!$M$24-ArtifactsInput!$M$24)*CHOOSE(ArtifactsInput!$N$24+1,10,12,14,16,18,20)+(IF(AND(Inputs!$B$38&lt;&gt;"pvp",Inputs!$B$43=0),1,IF(IF(Inputs!$B$38="pvp",15,Inputs!$B$43)-(B293)&lt;=0,1,MAX(0,IF(Inputs!$B$38="pvp",15,Inputs!$B$43)-MAX(5,B293))/(IF(Inputs!$B$38="pvp",15,Inputs!$B$43)-(B293))))*IF(AND(ArtifactsInput!$M$42,((Inputs!$B$9+((C274=TRUE)*(F274-Calc!F19))+B286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259*(MIN(100,(Inputs!$B$9+((C274=TRUE)*(F274-Calc!F19))+B286+(ArtifactsInput!$M$24-ArtifactsInput!$M$24)*CHOOSE(ArtifactsInput!$N$24+1,10,12,14,16,18,20)+(IF(AND(Inputs!$B$38&lt;&gt;"pvp",Inputs!$B$43=0),1,IF(IF(Inputs!$B$38="pvp",15,Inputs!$B$43)-(B293)&lt;=0,1,MAX(0,IF(Inputs!$B$38="pvp",15,Inputs!$B$43)-MAX(5,B293))/(IF(Inputs!$B$38="pvp",15,Inputs!$B$43)-(B293))))*IF(AND(ArtifactsInput!$M$42,((Inputs!$B$9+((C274=TRUE)*(F274-Calc!F19))+B286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259*(1-MIN(100,(Inputs!$B$9+((C274=TRUE)*(F274-Calc!F19))+B286+(ArtifactsInput!$M$24-ArtifactsInput!$M$24)*CHOOSE(ArtifactsInput!$N$24+1,10,12,14,16,18,20)+(IF(AND(Inputs!$B$38&lt;&gt;"pvp",Inputs!$B$43=0),1,IF(IF(Inputs!$B$38="pvp",15,Inputs!$B$43)-(B293)&lt;=0,1,MAX(0,IF(Inputs!$B$38="pvp",15,Inputs!$B$43)-MAX(5,B293))/(IF(Inputs!$B$38="pvp",15,Inputs!$B$43)-(B293))))*IF(AND(ArtifactsInput!$M$42,((Inputs!$B$9+((C274=TRUE)*(F274-Calc!F19))+B286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259*(MIN(100,(Inputs!$B$9+((C274=TRUE)*(F274-Calc!F19))+B286+(ArtifactsInput!$M$24-ArtifactsInput!$M$24)*CHOOSE(ArtifactsInput!$N$24+1,10,12,14,16,18,20)+(IF(AND(Inputs!$B$38&lt;&gt;"pvp",Inputs!$B$43=0),1,IF(IF(Inputs!$B$38="pvp",15,Inputs!$B$43)-(B293)&lt;=0,1,MAX(0,IF(Inputs!$B$38="pvp",15,Inputs!$B$43)-MAX(5,B293))/(IF(Inputs!$B$38="pvp",15,Inputs!$B$43)-(B293))))*IF(AND(ArtifactsInput!$M$42,((Inputs!$B$9+((C274=TRUE)*(F274-Calc!F19))+B286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59">
        <f>290*U258/1000</f>
        <v/>
      </c>
      <c r="V259">
        <f>IF(C259,(H259*N259*IF(AND(Inputs!$B$38&lt;&gt;"pvp",Inputs!$B$43&gt;0),((Skills!G4*((R259-1)*IF(Skills!H4&gt;0,INT(IF(Inputs!$B$3&gt;=104,MIN(35,20*(1+Inputs!$B$34/100)),20)/Skills!H4+0.000000001),1)+IF(Skills!H4&gt;0,INT(MIN(IF(Inputs!$B$3&gt;=104,MIN(35,20*(1+Inputs!$B$34/100)),20),MAX(0,MAX(0,Inputs!$B$43-B293)-((R259-1)*(IF(Inputs!$B$38="pvp",15,MAX(0.1,Skills!D4-IF(TRUE=TRUE,Inputs!$B$32,0)))*(1-IF(AND(ArtifactsInput!$M$27,Inputs!$B$4="Chapter Hunt"),CHOOSE(ArtifactsInput!$N$27+1,20,24,28,32,36,40),0)/100)))))/Skills!H4+0.000000001),1)))/Inputs!$B$43),G259*Q259))*IF(Inputs!$B$38="pvp",1,(1+(Inputs!$B$21+Skills!Q4+(IF(ArtifactsInput!$M$33,CHOOSE(ArtifactsInput!$N$33+1,30,36,42,48,54,60),0))+(IF(AND(ArtifactsInput!$M$35,Inputs!$B$4&lt;&gt;"Chapter Hunt"),CHOOSE(ArtifactsInput!$N$35+1,15,18,21,24,27,30)*(1-EXP(-(0.2*B288)*5)),0)+IF(AND(ArtifactsInput!$M$22,Inputs!$B$4&lt;&gt;"Chapter Hunt"),CHOOSE(ArtifactsInput!$N$22+1,10,12,14,16,18,20)*((0*(((0.15*B288*5))^0/1)+1*(((0.15*B288*5))^1/1)+2*(((0.15*B288*5))^2/2)+3*(((0.15*B288*5))^3/6)+4*(((0.15*B288*5))^4/24)+5*(((0.15*B288*5))^5/120))/((((0.15*B288*5))^0/1)+(((0.15*B288*5))^1/1)+(((0.15*B288*5))^2/2)+(((0.15*B288*5))^3/6)+(((0.15*B288*5))^4/24)+(((0.15*B288*5))^5/120))),0))+IF(Inputs!$B$3&gt;=54,9*(C258=TRUE)*MIN(1,8*(1+Inputs!$B$34/100)*Q258),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0">
      <c r="A260">
        <f>Skills!A5</f>
        <v/>
      </c>
      <c r="B260">
        <f>Skills!B5</f>
        <v/>
      </c>
      <c r="C260">
        <f>Inputs!$B$3&gt;=69</f>
        <v/>
      </c>
      <c r="D260">
        <f>IF(Skills!C5=1,60+Inputs!$B$25+Inputs!$B$29,IF(Skills!C5=2,90+Inputs!$B$26+Inputs!$B$29,IF(Skills!C5=3,120+Inputs!$B$27+Inputs!$B$29,MAX(0,(Inputs!$B$3-100)*3)+Inputs!$B$28+Inputs!$B$29)))</f>
        <v/>
      </c>
      <c r="E260">
        <f>INDEX(FactorTable!$B$2:$Y$301, MATCH(ROUND(MIN(300,MAX(1,D260)),0), FactorTable!$A$2:$A$301,0), Skills!M5+1)</f>
        <v/>
      </c>
      <c r="F260">
        <f>IF(Skills!N5=TRUE,(Skills!L5/10)*(E260/1000),Skills!L5/10)+Skills!O5</f>
        <v/>
      </c>
      <c r="G260">
        <f>Skills!G5*IF(Skills!H5&gt;0,INT(IF(Inputs!$B$38="pvp",MIN(IF(Inputs!$B$3&gt;=104,MIN(35,20*(1+Inputs!$B$34/100)),20),15),IF(Inputs!$B$3&gt;=104,MIN(35,20*(1+Inputs!$B$34/100)),20))/Skills!H5+0.000000001),1)</f>
        <v/>
      </c>
      <c r="H260">
        <f>1-(1-Skills!J5/100)^Skills!K5</f>
        <v/>
      </c>
      <c r="I260" t="inlineStr">
        <is>
          <t>1</t>
        </is>
      </c>
      <c r="J260">
        <f>((Inputs!$B$6*(1+Inputs!$B$7/100))+(((Inputs!$B$12*(1+Inputs!$B$13/100))-(Inputs!$B$12*(1+Inputs!$B$13/100)))+0.25*(Inputs!$B$14-Inputs!$B$14))*(1+Inputs!$B$7/100))*(F260/100)</f>
        <v/>
      </c>
      <c r="K260">
        <f>J260*(1+((Inputs!$B$12*(1+Inputs!$B$13/100))*0.01+Inputs!$B$14*0.0025)/100)*(1+Inputs!$B$15/100)*(1+(Inputs!$B$16+1)/100)*(5000/(6000+Inputs!$B$42*(1-(100*(1-(1-(Inputs!$B$19+0)/100)*(1-CHOOSE(ArtifactsInput!$N$40+1,5,6,7,8,9,10)/100)^(ArtifactsInput!$M$40-ArtifactsInput!$M$40)))/100)))*(1+(Inputs!$B$24+((C281=TRUE)*(F281-Calc!F26))+B292)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+0.4*IF(C271=TRUE,F271,0)/100)*(1+(IF(Skills!A5="EIGHT_LEGS_EASTON",Inputs!$B$17+((C278=TRUE)*(F278-Calc!F23))+((C282=TRUE)*(F282-Calc!F27))+((IF(AND(Inputs!$B$38&lt;&gt;"pvp",Inputs!$B$43=0),1,IF(IF(Inputs!$B$38="pvp",15,Inputs!$B$43)-(B293)&lt;=0,1,MAX(0,IF(Inputs!$B$38="pvp",15,Inputs!$B$43)-MAX(5,B293))/(IF(Inputs!$B$38="pvp",15,Inputs!$B$43)-(B293))))*(IF(AND(ArtifactsInput!$M$42,((Inputs!$B$9+((C274=TRUE)*(F274-Calc!F19))+B286+(ArtifactsInput!$M$24-ArtifactsInput!$M$24)*CHOOSE(ArtifactsInput!$N$24+1,10,12,14,16,18,20)+IF(ArtifactsInput!$M$10,CHOOSE(ArtifactsInput!$N$10+1,15,18,21,24,27,30)*(IF(Inputs!$B$38="pvp",MIN(15,15)/15,IF(AND(Inputs!$B$38&lt;&gt;"pvp",Inputs!$B$43&gt;0),MIN(15,Inputs!$B$43)/(Inputs!$B$43),0))),0)))&gt;=100),MIN(100,((Inputs!$B$9+((C274=TRUE)*(F274-Calc!F19))+B286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293)&lt;=0,1,MAX(0,IF(Inputs!$B$38="pvp",15,Inputs!$B$43)-MAX(5,B293))/(IF(Inputs!$B$38="pvp",15,Inputs!$B$43)-(B293))))*IF(AND(ArtifactsInput!$M$42,((Inputs!$B$9+((C274=TRUE)*(F274-Calc!F19))+B286+(ArtifactsInput!$M$24-ArtifactsInput!$M$24)*CHOOSE(ArtifactsInput!$N$24+1,10,12,14,16,18,20)+IF(ArtifactsInput!$M$10,CHOOSE(ArtifactsInput!$N$10+1,15,18,21,24,27,30)*(IF(Inputs!$B$38="pvp",MIN(15,15)/15,IF(AND(Inputs!$B$38&lt;&gt;"pvp",Inputs!$B$43&gt;0),MIN(15,Inputs!$B$43)/(Inputs!$B$43),0))),0)))&gt;=100),CHOOSE(ArtifactsInput!$N$42+1,40,48,56,64,72,80),0))))/100)*((1+(((C272=TRUE)*F272*5/7)+((C279=TRUE)*(F279-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260)</f>
        <v/>
      </c>
      <c r="L260">
        <f>K260*(MIN(Inputs!$B$22+((C277=TRUE)*(F277-Calc!F22)),(Inputs!$B$23+0+(IF(ArtifactsInput!$M$15,CHOOSE(ArtifactsInput!$N$15+1,25,30,35,40,45,50)/100*(Inputs!$B$11-Inputs!$B$11),0))))/100+(Inputs!$B$23+0+(IF(ArtifactsInput!$M$15,CHOOSE(ArtifactsInput!$N$15+1,25,30,35,40,45,50)/100*(Inputs!$B$11-Inputs!$B$11),0)))/100)/2</f>
        <v/>
      </c>
      <c r="M260">
        <f>L260*(1+(Inputs!$B$10+((C280=TRUE)*(F280-Calc!F25))+B291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0">
        <f>L260*(1-MIN((Inputs!$B$9+((C274=TRUE)*(F274-Calc!F19))+B286+(ArtifactsInput!$M$24-ArtifactsInput!$M$24)*CHOOSE(ArtifactsInput!$N$24+1,10,12,14,16,18,20)+(IF(AND(Inputs!$B$38&lt;&gt;"pvp",Inputs!$B$43=0),1,IF(IF(Inputs!$B$38="pvp",15,Inputs!$B$43)-(B293)&lt;=0,1,MAX(0,IF(Inputs!$B$38="pvp",15,Inputs!$B$43)-MAX(5,B293))/(IF(Inputs!$B$38="pvp",15,Inputs!$B$43)-(B293))))*IF(AND(ArtifactsInput!$M$42,((Inputs!$B$9+((C274=TRUE)*(F274-Calc!F19))+B286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260*(MIN((Inputs!$B$9+((C274=TRUE)*(F274-Calc!F19))+B286+(ArtifactsInput!$M$24-ArtifactsInput!$M$24)*CHOOSE(ArtifactsInput!$N$24+1,10,12,14,16,18,20)+(IF(AND(Inputs!$B$38&lt;&gt;"pvp",Inputs!$B$43=0),1,IF(IF(Inputs!$B$38="pvp",15,Inputs!$B$43)-(B293)&lt;=0,1,MAX(0,IF(Inputs!$B$38="pvp",15,Inputs!$B$43)-MAX(5,B293))/(IF(Inputs!$B$38="pvp",15,Inputs!$B$43)-(B293))))*IF(AND(ArtifactsInput!$M$42,((Inputs!$B$9+((C274=TRUE)*(F274-Calc!F19))+B286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0">
        <f>(1-Summary!$B$11)*T260+Summary!$B$11*V260</f>
        <v/>
      </c>
      <c r="P260">
        <f>IF(B296=0,0,O260/B296)</f>
        <v/>
      </c>
      <c r="Q260">
        <f>IFERROR(1/(IF(Inputs!$B$38="pvp",15,MAX(0.1,Skills!D5-IF(TRUE=TRUE,Inputs!$B$32,0)))*(1-IF(AND(ArtifactsInput!$M$27,Inputs!$B$4="Chapter Hunt"),CHOOSE(ArtifactsInput!$N$27+1,20,24,28,32,36,40),0)/100)),0)</f>
        <v/>
      </c>
      <c r="R260">
        <f>IF(AND(Inputs!$B$38&lt;&gt;"pvp",Inputs!$B$43&gt;0),IF(MAX(0,Inputs!$B$43-B293)&lt;=0,0,(INT(MAX(0,Inputs!$B$43-B293)/(IF(Inputs!$B$38="pvp",15,MAX(0.1,Skills!D5-IF(TRUE=TRUE,Inputs!$B$32,0)))*(1-IF(AND(ArtifactsInput!$M$27,Inputs!$B$4="Chapter Hunt"),CHOOSE(ArtifactsInput!$N$27+1,20,24,28,32,36,40),0)/100)))+1)),0)</f>
        <v/>
      </c>
      <c r="S260">
        <f>IFERROR(O260/N260,0)</f>
        <v/>
      </c>
      <c r="T260">
        <f>IF(C260,(H260*N260*IF(AND(Inputs!$B$38&lt;&gt;"pvp",Inputs!$B$43&gt;0),((Skills!G5*((R260-1)*IF(Skills!H5&gt;0,INT(IF(Inputs!$B$3&gt;=104,MIN(35,20*(1+Inputs!$B$34/100)),20)/Skills!H5+0.000000001),1)+IF(Skills!H5&gt;0,INT(MIN(IF(Inputs!$B$3&gt;=104,MIN(35,20*(1+Inputs!$B$34/100)),20),MAX(0,MAX(0,Inputs!$B$43-B293)-((R260-1)*(IF(Inputs!$B$38="pvp",15,MAX(0.1,Skills!D5-IF(TRUE=TRUE,Inputs!$B$32,0)))*(1-IF(AND(ArtifactsInput!$M$27,Inputs!$B$4="Chapter Hunt"),CHOOSE(ArtifactsInput!$N$27+1,20,24,28,32,36,40),0)/100)))))/Skills!H5+0.000000001),1)))/Inputs!$B$43),G260*Q260))*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Hunt"),CHOOSE(ArtifactsInput!$N$35+1,15,18,21,24,27,30)*(1-EXP(-(0.2*B288)*5)),0)+IF(AND(ArtifactsInput!$M$22,Inputs!$B$4&lt;&gt;"Chapter Hunt"),CHOOSE(ArtifactsInput!$N$22+1,10,12,14,16,18,20)*((0*(((0.15*B288*5))^0/1)+1*(((0.15*B288*5))^1/1)+2*(((0.15*B288*5))^2/2)+3*(((0.15*B288*5))^3/6)+4*(((0.15*B288*5))^4/24)+5*(((0.15*B288*5))^5/120))/((((0.15*B288*5))^0/1)+(((0.15*B288*5))^1/1)+(((0.15*B288*5))^2/2)+(((0.15*B288*5))^3/6)+(((0.15*B288*5))^4/24)+(((0.15*B288*5))^5/120))),0))+IF(Inputs!$B$3&gt;=54,9*(C258=TRUE)*MIN(1,8*(1+Inputs!$B$34/100)*Q258)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260*(1-MIN(100,(Inputs!$B$9+((C274=TRUE)*(F274-Calc!F19))+B286+(ArtifactsInput!$M$24-ArtifactsInput!$M$24)*CHOOSE(ArtifactsInput!$N$24+1,10,12,14,16,18,20)+(IF(AND(Inputs!$B$38&lt;&gt;"pvp",Inputs!$B$43=0),1,IF(IF(Inputs!$B$38="pvp",15,Inputs!$B$43)-(B293)&lt;=0,1,MAX(0,IF(Inputs!$B$38="pvp",15,Inputs!$B$43)-MAX(5,B293))/(IF(Inputs!$B$38="pvp",15,Inputs!$B$43)-(B293))))*IF(AND(ArtifactsInput!$M$42,((Inputs!$B$9+((C274=TRUE)*(F274-Calc!F19))+B286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260*(MIN(100,(Inputs!$B$9+((C274=TRUE)*(F274-Calc!F19))+B286+(ArtifactsInput!$M$24-ArtifactsInput!$M$24)*CHOOSE(ArtifactsInput!$N$24+1,10,12,14,16,18,20)+(IF(AND(Inputs!$B$38&lt;&gt;"pvp",Inputs!$B$43=0),1,IF(IF(Inputs!$B$38="pvp",15,Inputs!$B$43)-(B293)&lt;=0,1,MAX(0,IF(Inputs!$B$38="pvp",15,Inputs!$B$43)-MAX(5,B293))/(IF(Inputs!$B$38="pvp",15,Inputs!$B$43)-(B293))))*IF(AND(ArtifactsInput!$M$42,((Inputs!$B$9+((C274=TRUE)*(F274-Calc!F19))+B286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260*(1-MIN(100,(Inputs!$B$9+((C274=TRUE)*(F274-Calc!F19))+B286+(ArtifactsInput!$M$24-ArtifactsInput!$M$24)*CHOOSE(ArtifactsInput!$N$24+1,10,12,14,16,18,20)+(IF(AND(Inputs!$B$38&lt;&gt;"pvp",Inputs!$B$43=0),1,IF(IF(Inputs!$B$38="pvp",15,Inputs!$B$43)-(B293)&lt;=0,1,MAX(0,IF(Inputs!$B$38="pvp",15,Inputs!$B$43)-MAX(5,B293))/(IF(Inputs!$B$38="pvp",15,Inputs!$B$43)-(B293))))*IF(AND(ArtifactsInput!$M$42,((Inputs!$B$9+((C274=TRUE)*(F274-Calc!F19))+B286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260*(MIN(100,(Inputs!$B$9+((C274=TRUE)*(F274-Calc!F19))+B286+(ArtifactsInput!$M$24-ArtifactsInput!$M$24)*CHOOSE(ArtifactsInput!$N$24+1,10,12,14,16,18,20)+(IF(AND(Inputs!$B$38&lt;&gt;"pvp",Inputs!$B$43=0),1,IF(IF(Inputs!$B$38="pvp",15,Inputs!$B$43)-(B293)&lt;=0,1,MAX(0,IF(Inputs!$B$38="pvp",15,Inputs!$B$43)-MAX(5,B293))/(IF(Inputs!$B$38="pvp",15,Inputs!$B$43)-(B293))))*IF(AND(ArtifactsInput!$M$42,((Inputs!$B$9+((C274=TRUE)*(F274-Calc!F19))+B286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0">
        <f>IF(C260,(H260*N260*IF(AND(Inputs!$B$38&lt;&gt;"pvp",Inputs!$B$43&gt;0),((Skills!G5*((R260-1)*IF(Skills!H5&gt;0,INT(IF(Inputs!$B$3&gt;=104,MIN(35,20*(1+Inputs!$B$34/100)),20)/Skills!H5+0.000000001),1)+IF(Skills!H5&gt;0,INT(MIN(IF(Inputs!$B$3&gt;=104,MIN(35,20*(1+Inputs!$B$34/100)),20),MAX(0,MAX(0,Inputs!$B$43-B293)-((R260-1)*(IF(Inputs!$B$38="pvp",15,MAX(0.1,Skills!D5-IF(TRUE=TRUE,Inputs!$B$32,0)))*(1-IF(AND(ArtifactsInput!$M$27,Inputs!$B$4="Chapter Hunt"),CHOOSE(ArtifactsInput!$N$27+1,20,24,28,32,36,40),0)/100)))))/Skills!H5+0.000000001),1)))/Inputs!$B$43),G260*Q260))*IF(Inputs!$B$38="pvp",1,(1+(Inputs!$B$21+Skills!Q5+(IF(ArtifactsInput!$M$33,CHOOSE(ArtifactsInput!$N$33+1,30,36,42,48,54,60),0))+(IF(AND(ArtifactsInput!$M$35,Inputs!$B$4&lt;&gt;"Chapter Hunt"),CHOOSE(ArtifactsInput!$N$35+1,15,18,21,24,27,30)*(1-EXP(-(0.2*B288)*5)),0)+IF(AND(ArtifactsInput!$M$22,Inputs!$B$4&lt;&gt;"Chapter Hunt"),CHOOSE(ArtifactsInput!$N$22+1,10,12,14,16,18,20)*((0*(((0.15*B288*5))^0/1)+1*(((0.15*B288*5))^1/1)+2*(((0.15*B288*5))^2/2)+3*(((0.15*B288*5))^3/6)+4*(((0.15*B288*5))^4/24)+5*(((0.15*B288*5))^5/120))/((((0.15*B288*5))^0/1)+(((0.15*B288*5))^1/1)+(((0.15*B288*5))^2/2)+(((0.15*B288*5))^3/6)+(((0.15*B288*5))^4/24)+(((0.15*B288*5))^5/120))),0))+IF(Inputs!$B$3&gt;=54,9*(C258=TRUE)*MIN(1,8*(1+Inputs!$B$34/100)*Q258),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1">
      <c r="A261">
        <f>Skills!A6</f>
        <v/>
      </c>
      <c r="B261">
        <f>Skills!B6</f>
        <v/>
      </c>
      <c r="C261">
        <f>Inputs!$B$3&gt;=66</f>
        <v/>
      </c>
      <c r="D261">
        <f>IF(Skills!C6=1,60+Inputs!$B$25+Inputs!$B$29,IF(Skills!C6=2,90+Inputs!$B$26+Inputs!$B$29,IF(Skills!C6=3,120+Inputs!$B$27+Inputs!$B$29,MAX(0,(Inputs!$B$3-100)*3)+Inputs!$B$28+Inputs!$B$29)))</f>
        <v/>
      </c>
      <c r="E261">
        <f>INDEX(FactorTable!$B$2:$Y$301, MATCH(ROUND(MIN(300,MAX(1,D261)),0), FactorTable!$A$2:$A$301,0), Skills!M6+1)</f>
        <v/>
      </c>
      <c r="F261">
        <f>IF(Skills!N6=TRUE,(Skills!L6/10)*(E261/1000),Skills!L6/10)+Skills!O6</f>
        <v/>
      </c>
      <c r="G261">
        <f>Skills!G6*IF(Skills!H6&gt;0,INT(IF(Inputs!$B$38="pvp",MIN(Skills!I6,15),Skills!I6)/Skills!H6+0.000000001),1)</f>
        <v/>
      </c>
      <c r="H261">
        <f>1-(1-Skills!J6/100)^Skills!K6</f>
        <v/>
      </c>
      <c r="I261" t="inlineStr">
        <is>
          <t>1</t>
        </is>
      </c>
      <c r="J261">
        <f>((Inputs!$B$6*(1+Inputs!$B$7/100))+(((Inputs!$B$12*(1+Inputs!$B$13/100))-(Inputs!$B$12*(1+Inputs!$B$13/100)))+0.25*(Inputs!$B$14-Inputs!$B$14))*(1+Inputs!$B$7/100))*(F261/100)</f>
        <v/>
      </c>
      <c r="K261">
        <f>J261*(1+((Inputs!$B$12*(1+Inputs!$B$13/100))*0.01+Inputs!$B$14*0.0025)/100)*(1+Inputs!$B$15/100)*(1+(Inputs!$B$16+1)/100)*(5000/(6000+Inputs!$B$42*(1-(100*(1-(1-(Inputs!$B$19+0)/100)*(1-CHOOSE(ArtifactsInput!$N$40+1,5,6,7,8,9,10)/100)^(ArtifactsInput!$M$40-ArtifactsInput!$M$40)))/100)))*(1+(Inputs!$B$24+((C281=TRUE)*(F281-Calc!F26))+B292)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+2.0*IF(C270=TRUE,F270,0)/100)*(1+(IF(Skills!A6="EIGHT_LEGS_EASTON",Inputs!$B$17+((C278=TRUE)*(F278-Calc!F23))+((C282=TRUE)*(F282-Calc!F27))+((IF(AND(Inputs!$B$38&lt;&gt;"pvp",Inputs!$B$43=0),1,IF(IF(Inputs!$B$38="pvp",15,Inputs!$B$43)-(B293)&lt;=0,1,MAX(0,IF(Inputs!$B$38="pvp",15,Inputs!$B$43)-MAX(5,B293))/(IF(Inputs!$B$38="pvp",15,Inputs!$B$43)-(B293))))*(IF(AND(ArtifactsInput!$M$42,((Inputs!$B$9+((C274=TRUE)*(F274-Calc!F19))+B286+(ArtifactsInput!$M$24-ArtifactsInput!$M$24)*CHOOSE(ArtifactsInput!$N$24+1,10,12,14,16,18,20)+IF(ArtifactsInput!$M$10,CHOOSE(ArtifactsInput!$N$10+1,15,18,21,24,27,30)*(IF(Inputs!$B$38="pvp",MIN(15,15)/15,IF(AND(Inputs!$B$38&lt;&gt;"pvp",Inputs!$B$43&gt;0),MIN(15,Inputs!$B$43)/(Inputs!$B$43),0))),0)))&gt;=100),MIN(100,((Inputs!$B$9+((C274=TRUE)*(F274-Calc!F19))+B286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293)&lt;=0,1,MAX(0,IF(Inputs!$B$38="pvp",15,Inputs!$B$43)-MAX(5,B293))/(IF(Inputs!$B$38="pvp",15,Inputs!$B$43)-(B293))))*IF(AND(ArtifactsInput!$M$42,((Inputs!$B$9+((C274=TRUE)*(F274-Calc!F19))+B286+(ArtifactsInput!$M$24-ArtifactsInput!$M$24)*CHOOSE(ArtifactsInput!$N$24+1,10,12,14,16,18,20)+IF(ArtifactsInput!$M$10,CHOOSE(ArtifactsInput!$N$10+1,15,18,21,24,27,30)*(IF(Inputs!$B$38="pvp",MIN(15,15)/15,IF(AND(Inputs!$B$38&lt;&gt;"pvp",Inputs!$B$43&gt;0),MIN(15,Inputs!$B$43)/(Inputs!$B$43),0))),0)))&gt;=100),CHOOSE(ArtifactsInput!$N$42+1,40,48,56,64,72,80),0))))/100)*((1+(((C272=TRUE)*F272*5/7)+((C279=TRUE)*(F279-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261)</f>
        <v/>
      </c>
      <c r="L261">
        <f>K261*(MIN(Inputs!$B$22+((C277=TRUE)*(F277-Calc!F22)),(Inputs!$B$23+0+(IF(ArtifactsInput!$M$15,CHOOSE(ArtifactsInput!$N$15+1,25,30,35,40,45,50)/100*(Inputs!$B$11-Inputs!$B$11),0))))/100+(Inputs!$B$23+0+(IF(ArtifactsInput!$M$15,CHOOSE(ArtifactsInput!$N$15+1,25,30,35,40,45,50)/100*(Inputs!$B$11-Inputs!$B$11),0)))/100)/2</f>
        <v/>
      </c>
      <c r="M261">
        <f>L261*(1+(Inputs!$B$10+((C280=TRUE)*(F280-Calc!F25))+B291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1">
        <f>L261*(1-MIN((Inputs!$B$9+((C274=TRUE)*(F274-Calc!F19))+B286+(ArtifactsInput!$M$24-ArtifactsInput!$M$24)*CHOOSE(ArtifactsInput!$N$24+1,10,12,14,16,18,20)+(IF(AND(Inputs!$B$38&lt;&gt;"pvp",Inputs!$B$43=0),1,IF(IF(Inputs!$B$38="pvp",15,Inputs!$B$43)-(B293)&lt;=0,1,MAX(0,IF(Inputs!$B$38="pvp",15,Inputs!$B$43)-MAX(5,B293))/(IF(Inputs!$B$38="pvp",15,Inputs!$B$43)-(B293))))*IF(AND(ArtifactsInput!$M$42,((Inputs!$B$9+((C274=TRUE)*(F274-Calc!F19))+B286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261*(MIN((Inputs!$B$9+((C274=TRUE)*(F274-Calc!F19))+B286+(ArtifactsInput!$M$24-ArtifactsInput!$M$24)*CHOOSE(ArtifactsInput!$N$24+1,10,12,14,16,18,20)+(IF(AND(Inputs!$B$38&lt;&gt;"pvp",Inputs!$B$43=0),1,IF(IF(Inputs!$B$38="pvp",15,Inputs!$B$43)-(B293)&lt;=0,1,MAX(0,IF(Inputs!$B$38="pvp",15,Inputs!$B$43)-MAX(5,B293))/(IF(Inputs!$B$38="pvp",15,Inputs!$B$43)-(B293))))*IF(AND(ArtifactsInput!$M$42,((Inputs!$B$9+((C274=TRUE)*(F274-Calc!F19))+B286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1">
        <f>(1-Summary!$B$11)*T261+Summary!$B$11*V261</f>
        <v/>
      </c>
      <c r="P261">
        <f>IF(B296=0,0,O261/B296)</f>
        <v/>
      </c>
      <c r="Q261">
        <f>IFERROR(1/(IF(Inputs!$B$38="pvp",15,MAX(0.1,Skills!D6-IF(TRUE=TRUE,Inputs!$B$32,0)))*(1-IF(AND(ArtifactsInput!$M$27,Inputs!$B$4="Chapter Hunt"),CHOOSE(ArtifactsInput!$N$27+1,20,24,28,32,36,40),0)/100)),0)</f>
        <v/>
      </c>
      <c r="R261">
        <f>IF(AND(Inputs!$B$38&lt;&gt;"pvp",Inputs!$B$43&gt;0),IF(MAX(0,Inputs!$B$43-B293)&lt;=0,0,(INT(MAX(0,Inputs!$B$43-B293)/(IF(Inputs!$B$38="pvp",15,MAX(0.1,Skills!D6-IF(TRUE=TRUE,Inputs!$B$32,0)))*(1-IF(AND(ArtifactsInput!$M$27,Inputs!$B$4="Chapter Hunt"),CHOOSE(ArtifactsInput!$N$27+1,20,24,28,32,36,40),0)/100)))+1)),0)</f>
        <v/>
      </c>
      <c r="S261">
        <f>IFERROR(O261/N261,0)</f>
        <v/>
      </c>
      <c r="T261">
        <f>IF(C261,(H261*N261*IF(AND(Inputs!$B$38&lt;&gt;"pvp",Inputs!$B$43&gt;0),((Skills!G6*((R261-1)*IF(Skills!H6&gt;0,INT(Skills!I6/Skills!H6+0.000000001),1)+IF(Skills!H6&gt;0,INT(MIN(Skills!I6,MAX(0,MAX(0,Inputs!$B$43-B293)-((R261-1)*(IF(Inputs!$B$38="pvp",15,MAX(0.1,Skills!D6-IF(TRUE=TRUE,Inputs!$B$32,0)))*(1-IF(AND(ArtifactsInput!$M$27,Inputs!$B$4="Chapter Hunt"),CHOOSE(ArtifactsInput!$N$27+1,20,24,28,32,36,40),0)/100)))))/Skills!H6+0.000000001),1)))/Inputs!$B$43),G261*Q261))*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Hunt"),CHOOSE(ArtifactsInput!$N$35+1,15,18,21,24,27,30)*(1-EXP(-(0.2*B288)*5)),0)+IF(AND(ArtifactsInput!$M$22,Inputs!$B$4&lt;&gt;"Chapter Hunt"),CHOOSE(ArtifactsInput!$N$22+1,10,12,14,16,18,20)*((0*(((0.15*B288*5))^0/1)+1*(((0.15*B288*5))^1/1)+2*(((0.15*B288*5))^2/2)+3*(((0.15*B288*5))^3/6)+4*(((0.15*B288*5))^4/24)+5*(((0.15*B288*5))^5/120))/((((0.15*B288*5))^0/1)+(((0.15*B288*5))^1/1)+(((0.15*B288*5))^2/2)+(((0.15*B288*5))^3/6)+(((0.15*B288*5))^4/24)+(((0.15*B288*5))^5/120))),0))+IF(Inputs!$B$3&gt;=54,9*(C258=TRUE)*MIN(1,8*(1+Inputs!$B$34/100)*Q258)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261*(1-MIN(100,(Inputs!$B$9+((C274=TRUE)*(F274-Calc!F19))+B286+(ArtifactsInput!$M$24-ArtifactsInput!$M$24)*CHOOSE(ArtifactsInput!$N$24+1,10,12,14,16,18,20)+(IF(AND(Inputs!$B$38&lt;&gt;"pvp",Inputs!$B$43=0),1,IF(IF(Inputs!$B$38="pvp",15,Inputs!$B$43)-(B293)&lt;=0,1,MAX(0,IF(Inputs!$B$38="pvp",15,Inputs!$B$43)-MAX(5,B293))/(IF(Inputs!$B$38="pvp",15,Inputs!$B$43)-(B293))))*IF(AND(ArtifactsInput!$M$42,((Inputs!$B$9+((C274=TRUE)*(F274-Calc!F19))+B286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261*(MIN(100,(Inputs!$B$9+((C274=TRUE)*(F274-Calc!F19))+B286+(ArtifactsInput!$M$24-ArtifactsInput!$M$24)*CHOOSE(ArtifactsInput!$N$24+1,10,12,14,16,18,20)+(IF(AND(Inputs!$B$38&lt;&gt;"pvp",Inputs!$B$43=0),1,IF(IF(Inputs!$B$38="pvp",15,Inputs!$B$43)-(B293)&lt;=0,1,MAX(0,IF(Inputs!$B$38="pvp",15,Inputs!$B$43)-MAX(5,B293))/(IF(Inputs!$B$38="pvp",15,Inputs!$B$43)-(B293))))*IF(AND(ArtifactsInput!$M$42,((Inputs!$B$9+((C274=TRUE)*(F274-Calc!F19))+B286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261*(1-MIN(100,(Inputs!$B$9+((C274=TRUE)*(F274-Calc!F19))+B286+(ArtifactsInput!$M$24-ArtifactsInput!$M$24)*CHOOSE(ArtifactsInput!$N$24+1,10,12,14,16,18,20)+(IF(AND(Inputs!$B$38&lt;&gt;"pvp",Inputs!$B$43=0),1,IF(IF(Inputs!$B$38="pvp",15,Inputs!$B$43)-(B293)&lt;=0,1,MAX(0,IF(Inputs!$B$38="pvp",15,Inputs!$B$43)-MAX(5,B293))/(IF(Inputs!$B$38="pvp",15,Inputs!$B$43)-(B293))))*IF(AND(ArtifactsInput!$M$42,((Inputs!$B$9+((C274=TRUE)*(F274-Calc!F19))+B286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261*(MIN(100,(Inputs!$B$9+((C274=TRUE)*(F274-Calc!F19))+B286+(ArtifactsInput!$M$24-ArtifactsInput!$M$24)*CHOOSE(ArtifactsInput!$N$24+1,10,12,14,16,18,20)+(IF(AND(Inputs!$B$38&lt;&gt;"pvp",Inputs!$B$43=0),1,IF(IF(Inputs!$B$38="pvp",15,Inputs!$B$43)-(B293)&lt;=0,1,MAX(0,IF(Inputs!$B$38="pvp",15,Inputs!$B$43)-MAX(5,B293))/(IF(Inputs!$B$38="pvp",15,Inputs!$B$43)-(B293))))*IF(AND(ArtifactsInput!$M$42,((Inputs!$B$9+((C274=TRUE)*(F274-Calc!F19))+B286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1">
        <f>IF(C261,(H261*N261*IF(AND(Inputs!$B$38&lt;&gt;"pvp",Inputs!$B$43&gt;0),((Skills!G6*((R261-1)*IF(Skills!H6&gt;0,INT(Skills!I6/Skills!H6+0.000000001),1)+IF(Skills!H6&gt;0,INT(MIN(Skills!I6,MAX(0,MAX(0,Inputs!$B$43-B293)-((R261-1)*(IF(Inputs!$B$38="pvp",15,MAX(0.1,Skills!D6-IF(TRUE=TRUE,Inputs!$B$32,0)))*(1-IF(AND(ArtifactsInput!$M$27,Inputs!$B$4="Chapter Hunt"),CHOOSE(ArtifactsInput!$N$27+1,20,24,28,32,36,40),0)/100)))))/Skills!H6+0.000000001),1)))/Inputs!$B$43),G261*Q261))*IF(Inputs!$B$38="pvp",1,(1+(Inputs!$B$21+Skills!Q6+(IF(ArtifactsInput!$M$33,CHOOSE(ArtifactsInput!$N$33+1,30,36,42,48,54,60),0))+(IF(AND(ArtifactsInput!$M$35,Inputs!$B$4&lt;&gt;"Chapter Hunt"),CHOOSE(ArtifactsInput!$N$35+1,15,18,21,24,27,30)*(1-EXP(-(0.2*B288)*5)),0)+IF(AND(ArtifactsInput!$M$22,Inputs!$B$4&lt;&gt;"Chapter Hunt"),CHOOSE(ArtifactsInput!$N$22+1,10,12,14,16,18,20)*((0*(((0.15*B288*5))^0/1)+1*(((0.15*B288*5))^1/1)+2*(((0.15*B288*5))^2/2)+3*(((0.15*B288*5))^3/6)+4*(((0.15*B288*5))^4/24)+5*(((0.15*B288*5))^5/120))/((((0.15*B288*5))^0/1)+(((0.15*B288*5))^1/1)+(((0.15*B288*5))^2/2)+(((0.15*B288*5))^3/6)+(((0.15*B288*5))^4/24)+(((0.15*B288*5))^5/120))),0))+IF(Inputs!$B$3&gt;=54,9*(C258=TRUE)*MIN(1,8*(1+Inputs!$B$34/100)*Q258),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2">
      <c r="A262">
        <f>Skills!A7</f>
        <v/>
      </c>
      <c r="B262">
        <f>Skills!B7</f>
        <v/>
      </c>
      <c r="C262">
        <f>Inputs!$B$3&gt;=63</f>
        <v/>
      </c>
      <c r="D262">
        <f>IF(Skills!C7=1,60+Inputs!$B$25+Inputs!$B$29,IF(Skills!C7=2,90+Inputs!$B$26+Inputs!$B$29,IF(Skills!C7=3,120+Inputs!$B$27+Inputs!$B$29,MAX(0,(Inputs!$B$3-100)*3)+Inputs!$B$28+Inputs!$B$29)))</f>
        <v/>
      </c>
      <c r="E262">
        <f>INDEX(FactorTable!$B$2:$Y$301, MATCH(ROUND(MIN(300,MAX(1,D262)),0), FactorTable!$A$2:$A$301,0), Skills!M7+1)</f>
        <v/>
      </c>
      <c r="F262">
        <f>IF(Skills!N7=TRUE,(Skills!L7/10)*(E262/1000),Skills!L7/10)+Skills!O7</f>
        <v/>
      </c>
      <c r="G262">
        <f>Skills!G7*IF(Skills!H7&gt;0,INT(IF(Inputs!$B$38="pvp",MIN(Skills!I7,15),Skills!I7)/Skills!H7+0.000000001),1)</f>
        <v/>
      </c>
      <c r="H262">
        <f>1-(1-Skills!J7/100)^Skills!K7</f>
        <v/>
      </c>
      <c r="I262" t="inlineStr">
        <is>
          <t>1</t>
        </is>
      </c>
      <c r="J262">
        <f>((Inputs!$B$6*(1+Inputs!$B$7/100))+(((Inputs!$B$12*(1+Inputs!$B$13/100))-(Inputs!$B$12*(1+Inputs!$B$13/100)))+0.25*(Inputs!$B$14-Inputs!$B$14))*(1+Inputs!$B$7/100))*(F262/100)</f>
        <v/>
      </c>
      <c r="K262">
        <f>J262*(1+((Inputs!$B$12*(1+Inputs!$B$13/100))*0.01+Inputs!$B$14*0.0025)/100)*(1+Inputs!$B$15/100)*(1+(Inputs!$B$16+1)/100)*(5000/(6000+Inputs!$B$42*(1-(100*(1-(1-(Inputs!$B$19+0)/100)*(1-CHOOSE(ArtifactsInput!$N$40+1,5,6,7,8,9,10)/100)^(ArtifactsInput!$M$40-ArtifactsInput!$M$40)))/100)))*(1+(Inputs!$B$24+((C281=TRUE)*(F281-Calc!F26))+B292)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270=TRUE,F270,0)/100)*(1+(IF(Skills!A7="EIGHT_LEGS_EASTON",Inputs!$B$17+((C278=TRUE)*(F278-Calc!F23))+((C282=TRUE)*(F282-Calc!F27))+((IF(AND(Inputs!$B$38&lt;&gt;"pvp",Inputs!$B$43=0),1,IF(IF(Inputs!$B$38="pvp",15,Inputs!$B$43)-(B293)&lt;=0,1,MAX(0,IF(Inputs!$B$38="pvp",15,Inputs!$B$43)-MAX(5,B293))/(IF(Inputs!$B$38="pvp",15,Inputs!$B$43)-(B293))))*(IF(AND(ArtifactsInput!$M$42,((Inputs!$B$9+((C274=TRUE)*(F274-Calc!F19))+B286+(ArtifactsInput!$M$24-ArtifactsInput!$M$24)*CHOOSE(ArtifactsInput!$N$24+1,10,12,14,16,18,20)+IF(ArtifactsInput!$M$10,CHOOSE(ArtifactsInput!$N$10+1,15,18,21,24,27,30)*(IF(Inputs!$B$38="pvp",MIN(15,15)/15,IF(AND(Inputs!$B$38&lt;&gt;"pvp",Inputs!$B$43&gt;0),MIN(15,Inputs!$B$43)/(Inputs!$B$43),0))),0)))&gt;=100),MIN(100,((Inputs!$B$9+((C274=TRUE)*(F274-Calc!F19))+B286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293)&lt;=0,1,MAX(0,IF(Inputs!$B$38="pvp",15,Inputs!$B$43)-MAX(5,B293))/(IF(Inputs!$B$38="pvp",15,Inputs!$B$43)-(B293))))*IF(AND(ArtifactsInput!$M$42,((Inputs!$B$9+((C274=TRUE)*(F274-Calc!F19))+B286+(ArtifactsInput!$M$24-ArtifactsInput!$M$24)*CHOOSE(ArtifactsInput!$N$24+1,10,12,14,16,18,20)+IF(ArtifactsInput!$M$10,CHOOSE(ArtifactsInput!$N$10+1,15,18,21,24,27,30)*(IF(Inputs!$B$38="pvp",MIN(15,15)/15,IF(AND(Inputs!$B$38&lt;&gt;"pvp",Inputs!$B$43&gt;0),MIN(15,Inputs!$B$43)/(Inputs!$B$43),0))),0)))&gt;=100),CHOOSE(ArtifactsInput!$N$42+1,40,48,56,64,72,80),0))))/100)*((1+(((C272=TRUE)*F272*5/7)+((C279=TRUE)*(F279-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262)</f>
        <v/>
      </c>
      <c r="L262">
        <f>K262*(MIN(Inputs!$B$22+((C277=TRUE)*(F277-Calc!F22)),(Inputs!$B$23+0+(IF(ArtifactsInput!$M$15,CHOOSE(ArtifactsInput!$N$15+1,25,30,35,40,45,50)/100*(Inputs!$B$11-Inputs!$B$11),0))))/100+(Inputs!$B$23+0+(IF(ArtifactsInput!$M$15,CHOOSE(ArtifactsInput!$N$15+1,25,30,35,40,45,50)/100*(Inputs!$B$11-Inputs!$B$11),0)))/100)/2</f>
        <v/>
      </c>
      <c r="M262">
        <f>L262*(1+(Inputs!$B$10+((C280=TRUE)*(F280-Calc!F25))+B291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2">
        <f>L262*(1-MIN((Inputs!$B$9+((C274=TRUE)*(F274-Calc!F19))+B286+(ArtifactsInput!$M$24-ArtifactsInput!$M$24)*CHOOSE(ArtifactsInput!$N$24+1,10,12,14,16,18,20)+(IF(AND(Inputs!$B$38&lt;&gt;"pvp",Inputs!$B$43=0),1,IF(IF(Inputs!$B$38="pvp",15,Inputs!$B$43)-(B293)&lt;=0,1,MAX(0,IF(Inputs!$B$38="pvp",15,Inputs!$B$43)-MAX(5,B293))/(IF(Inputs!$B$38="pvp",15,Inputs!$B$43)-(B293))))*IF(AND(ArtifactsInput!$M$42,((Inputs!$B$9+((C274=TRUE)*(F274-Calc!F19))+B286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262*(MIN((Inputs!$B$9+((C274=TRUE)*(F274-Calc!F19))+B286+(ArtifactsInput!$M$24-ArtifactsInput!$M$24)*CHOOSE(ArtifactsInput!$N$24+1,10,12,14,16,18,20)+(IF(AND(Inputs!$B$38&lt;&gt;"pvp",Inputs!$B$43=0),1,IF(IF(Inputs!$B$38="pvp",15,Inputs!$B$43)-(B293)&lt;=0,1,MAX(0,IF(Inputs!$B$38="pvp",15,Inputs!$B$43)-MAX(5,B293))/(IF(Inputs!$B$38="pvp",15,Inputs!$B$43)-(B293))))*IF(AND(ArtifactsInput!$M$42,((Inputs!$B$9+((C274=TRUE)*(F274-Calc!F19))+B286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2">
        <f>(1-Summary!$B$11)*T262+Summary!$B$11*V262</f>
        <v/>
      </c>
      <c r="P262">
        <f>IF(B296=0,0,O262/B296)</f>
        <v/>
      </c>
      <c r="Q262">
        <f>IFERROR(1/(IF(Inputs!$B$38="pvp",15,MAX(0.1,Skills!D7-IF(TRUE=TRUE,Inputs!$B$32,0)))*(1-IF(AND(ArtifactsInput!$M$27,Inputs!$B$4="Chapter Hunt"),CHOOSE(ArtifactsInput!$N$27+1,20,24,28,32,36,40),0)/100)),0)</f>
        <v/>
      </c>
      <c r="R262">
        <f>IF(AND(Inputs!$B$38&lt;&gt;"pvp",Inputs!$B$43&gt;0),IF(MAX(0,Inputs!$B$43-B293)&lt;=0,0,(INT(MAX(0,Inputs!$B$43-B293)/(IF(Inputs!$B$38="pvp",15,MAX(0.1,Skills!D7-IF(TRUE=TRUE,Inputs!$B$32,0)))*(1-IF(AND(ArtifactsInput!$M$27,Inputs!$B$4="Chapter Hunt"),CHOOSE(ArtifactsInput!$N$27+1,20,24,28,32,36,40),0)/100)))+1)),0)</f>
        <v/>
      </c>
      <c r="S262">
        <f>IFERROR(O262/N262,0)</f>
        <v/>
      </c>
      <c r="T262">
        <f>IF(C262,(H262*N262*IF(AND(Inputs!$B$38&lt;&gt;"pvp",Inputs!$B$43&gt;0),((Skills!G7*((R262-1)*IF(Skills!H7&gt;0,INT(Skills!I7/Skills!H7+0.000000001),1)+IF(Skills!H7&gt;0,INT(MIN(Skills!I7,MAX(0,MAX(0,Inputs!$B$43-B293)-((R262-1)*(IF(Inputs!$B$38="pvp",15,MAX(0.1,Skills!D7-IF(TRUE=TRUE,Inputs!$B$32,0)))*(1-IF(AND(ArtifactsInput!$M$27,Inputs!$B$4="Chapter Hunt"),CHOOSE(ArtifactsInput!$N$27+1,20,24,28,32,36,40),0)/100)))))/Skills!H7+0.000000001),1)))/Inputs!$B$43),G262*Q262))*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Hunt"),CHOOSE(ArtifactsInput!$N$35+1,15,18,21,24,27,30)*(1-EXP(-(0.2*B288)*5)),0)+IF(AND(ArtifactsInput!$M$22,Inputs!$B$4&lt;&gt;"Chapter Hunt"),CHOOSE(ArtifactsInput!$N$22+1,10,12,14,16,18,20)*((0*(((0.15*B288*5))^0/1)+1*(((0.15*B288*5))^1/1)+2*(((0.15*B288*5))^2/2)+3*(((0.15*B288*5))^3/6)+4*(((0.15*B288*5))^4/24)+5*(((0.15*B288*5))^5/120))/((((0.15*B288*5))^0/1)+(((0.15*B288*5))^1/1)+(((0.15*B288*5))^2/2)+(((0.15*B288*5))^3/6)+(((0.15*B288*5))^4/24)+(((0.15*B288*5))^5/120))),0))+IF(Inputs!$B$3&gt;=54,9*(C258=TRUE)*MIN(1,8*(1+Inputs!$B$34/100)*Q258)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262*(1-MIN(100,(Inputs!$B$9+((C274=TRUE)*(F274-Calc!F19))+B286+(ArtifactsInput!$M$24-ArtifactsInput!$M$24)*CHOOSE(ArtifactsInput!$N$24+1,10,12,14,16,18,20)+(IF(AND(Inputs!$B$38&lt;&gt;"pvp",Inputs!$B$43=0),1,IF(IF(Inputs!$B$38="pvp",15,Inputs!$B$43)-(B293)&lt;=0,1,MAX(0,IF(Inputs!$B$38="pvp",15,Inputs!$B$43)-MAX(5,B293))/(IF(Inputs!$B$38="pvp",15,Inputs!$B$43)-(B293))))*IF(AND(ArtifactsInput!$M$42,((Inputs!$B$9+((C274=TRUE)*(F274-Calc!F19))+B286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262*(MIN(100,(Inputs!$B$9+((C274=TRUE)*(F274-Calc!F19))+B286+(ArtifactsInput!$M$24-ArtifactsInput!$M$24)*CHOOSE(ArtifactsInput!$N$24+1,10,12,14,16,18,20)+(IF(AND(Inputs!$B$38&lt;&gt;"pvp",Inputs!$B$43=0),1,IF(IF(Inputs!$B$38="pvp",15,Inputs!$B$43)-(B293)&lt;=0,1,MAX(0,IF(Inputs!$B$38="pvp",15,Inputs!$B$43)-MAX(5,B293))/(IF(Inputs!$B$38="pvp",15,Inputs!$B$43)-(B293))))*IF(AND(ArtifactsInput!$M$42,((Inputs!$B$9+((C274=TRUE)*(F274-Calc!F19))+B286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262*(1-MIN(100,(Inputs!$B$9+((C274=TRUE)*(F274-Calc!F19))+B286+(ArtifactsInput!$M$24-ArtifactsInput!$M$24)*CHOOSE(ArtifactsInput!$N$24+1,10,12,14,16,18,20)+(IF(AND(Inputs!$B$38&lt;&gt;"pvp",Inputs!$B$43=0),1,IF(IF(Inputs!$B$38="pvp",15,Inputs!$B$43)-(B293)&lt;=0,1,MAX(0,IF(Inputs!$B$38="pvp",15,Inputs!$B$43)-MAX(5,B293))/(IF(Inputs!$B$38="pvp",15,Inputs!$B$43)-(B293))))*IF(AND(ArtifactsInput!$M$42,((Inputs!$B$9+((C274=TRUE)*(F274-Calc!F19))+B286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262*(MIN(100,(Inputs!$B$9+((C274=TRUE)*(F274-Calc!F19))+B286+(ArtifactsInput!$M$24-ArtifactsInput!$M$24)*CHOOSE(ArtifactsInput!$N$24+1,10,12,14,16,18,20)+(IF(AND(Inputs!$B$38&lt;&gt;"pvp",Inputs!$B$43=0),1,IF(IF(Inputs!$B$38="pvp",15,Inputs!$B$43)-(B293)&lt;=0,1,MAX(0,IF(Inputs!$B$38="pvp",15,Inputs!$B$43)-MAX(5,B293))/(IF(Inputs!$B$38="pvp",15,Inputs!$B$43)-(B293))))*IF(AND(ArtifactsInput!$M$42,((Inputs!$B$9+((C274=TRUE)*(F274-Calc!F19))+B286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2">
        <f>IF(C262,(H262*N262*IF(AND(Inputs!$B$38&lt;&gt;"pvp",Inputs!$B$43&gt;0),((Skills!G7*((R262-1)*IF(Skills!H7&gt;0,INT(Skills!I7/Skills!H7+0.000000001),1)+IF(Skills!H7&gt;0,INT(MIN(Skills!I7,MAX(0,MAX(0,Inputs!$B$43-B293)-((R262-1)*(IF(Inputs!$B$38="pvp",15,MAX(0.1,Skills!D7-IF(TRUE=TRUE,Inputs!$B$32,0)))*(1-IF(AND(ArtifactsInput!$M$27,Inputs!$B$4="Chapter Hunt"),CHOOSE(ArtifactsInput!$N$27+1,20,24,28,32,36,40),0)/100)))))/Skills!H7+0.000000001),1)))/Inputs!$B$43),G262*Q262))*IF(Inputs!$B$38="pvp",1,(1+(Inputs!$B$21+Skills!Q7+(IF(ArtifactsInput!$M$33,CHOOSE(ArtifactsInput!$N$33+1,30,36,42,48,54,60),0))+(IF(AND(ArtifactsInput!$M$35,Inputs!$B$4&lt;&gt;"Chapter Hunt"),CHOOSE(ArtifactsInput!$N$35+1,15,18,21,24,27,30)*(1-EXP(-(0.2*B288)*5)),0)+IF(AND(ArtifactsInput!$M$22,Inputs!$B$4&lt;&gt;"Chapter Hunt"),CHOOSE(ArtifactsInput!$N$22+1,10,12,14,16,18,20)*((0*(((0.15*B288*5))^0/1)+1*(((0.15*B288*5))^1/1)+2*(((0.15*B288*5))^2/2)+3*(((0.15*B288*5))^3/6)+4*(((0.15*B288*5))^4/24)+5*(((0.15*B288*5))^5/120))/((((0.15*B288*5))^0/1)+(((0.15*B288*5))^1/1)+(((0.15*B288*5))^2/2)+(((0.15*B288*5))^3/6)+(((0.15*B288*5))^4/24)+(((0.15*B288*5))^5/120))),0))+IF(Inputs!$B$3&gt;=54,9*(C258=TRUE)*MIN(1,8*(1+Inputs!$B$34/100)*Q258),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3">
      <c r="A263">
        <f>Skills!A8</f>
        <v/>
      </c>
      <c r="B263">
        <f>Skills!B8</f>
        <v/>
      </c>
      <c r="C263">
        <f>Inputs!$B$3&gt;=103</f>
        <v/>
      </c>
      <c r="D263">
        <f>IF(Skills!C8=1,60+Inputs!$B$25+Inputs!$B$29,IF(Skills!C8=2,90+Inputs!$B$26+Inputs!$B$29,IF(Skills!C8=3,120+Inputs!$B$27+Inputs!$B$29,MAX(0,(Inputs!$B$3-100)*3)+Inputs!$B$28+Inputs!$B$29)))</f>
        <v/>
      </c>
      <c r="E263">
        <f>INDEX(FactorTable!$B$2:$Y$301, MATCH(ROUND(MIN(300,MAX(1,D263)),0), FactorTable!$A$2:$A$301,0), Skills!M8+1)</f>
        <v/>
      </c>
      <c r="F263">
        <f>IF(Skills!N8=TRUE,(Skills!L8/10)*(E263/1000),Skills!L8/10)+Skills!O8</f>
        <v/>
      </c>
      <c r="G263">
        <f>Skills!G8*IF(Skills!H8&gt;0,INT(IF(Inputs!$B$38="pvp",MIN(Skills!I8,15),Skills!I8)/Skills!H8+0.000000001),1)</f>
        <v/>
      </c>
      <c r="H263">
        <f>1-(1-Skills!J8/100)^Skills!K8</f>
        <v/>
      </c>
      <c r="I263" t="inlineStr">
        <is>
          <t>1</t>
        </is>
      </c>
      <c r="J263">
        <f>((Inputs!$B$6*(1+Inputs!$B$7/100))+(((Inputs!$B$12*(1+Inputs!$B$13/100))-(Inputs!$B$12*(1+Inputs!$B$13/100)))+0.25*(Inputs!$B$14-Inputs!$B$14))*(1+Inputs!$B$7/100))*(F263/100)</f>
        <v/>
      </c>
      <c r="K263">
        <f>J263*(1+((Inputs!$B$12*(1+Inputs!$B$13/100))*0.01+Inputs!$B$14*0.0025)/100)*(1+Inputs!$B$15/100)*(1+(Inputs!$B$16+1)/100)*(5000/(6000+Inputs!$B$42*(1-(100*(1-(1-(Inputs!$B$19+0)/100)*(1-CHOOSE(ArtifactsInput!$N$40+1,5,6,7,8,9,10)/100)^(ArtifactsInput!$M$40-ArtifactsInput!$M$40)))/100)))*(1+(Inputs!$B$24+((C281=TRUE)*(F281-Calc!F26))+B292)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IGHT_LEGS_EASTON",Inputs!$B$17+((C278=TRUE)*(F278-Calc!F23))+((C282=TRUE)*(F282-Calc!F27))+((IF(AND(Inputs!$B$38&lt;&gt;"pvp",Inputs!$B$43=0),1,IF(IF(Inputs!$B$38="pvp",15,Inputs!$B$43)-(B293)&lt;=0,1,MAX(0,IF(Inputs!$B$38="pvp",15,Inputs!$B$43)-MAX(5,B293))/(IF(Inputs!$B$38="pvp",15,Inputs!$B$43)-(B293))))*(IF(AND(ArtifactsInput!$M$42,((Inputs!$B$9+((C274=TRUE)*(F274-Calc!F19))+B286+(ArtifactsInput!$M$24-ArtifactsInput!$M$24)*CHOOSE(ArtifactsInput!$N$24+1,10,12,14,16,18,20)+IF(ArtifactsInput!$M$10,CHOOSE(ArtifactsInput!$N$10+1,15,18,21,24,27,30)*(IF(Inputs!$B$38="pvp",MIN(15,15)/15,IF(AND(Inputs!$B$38&lt;&gt;"pvp",Inputs!$B$43&gt;0),MIN(15,Inputs!$B$43)/(Inputs!$B$43),0))),0)))&gt;=100),MIN(100,((Inputs!$B$9+((C274=TRUE)*(F274-Calc!F19))+B286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293)&lt;=0,1,MAX(0,IF(Inputs!$B$38="pvp",15,Inputs!$B$43)-MAX(5,B293))/(IF(Inputs!$B$38="pvp",15,Inputs!$B$43)-(B293))))*IF(AND(ArtifactsInput!$M$42,((Inputs!$B$9+((C274=TRUE)*(F274-Calc!F19))+B286+(ArtifactsInput!$M$24-ArtifactsInput!$M$24)*CHOOSE(ArtifactsInput!$N$24+1,10,12,14,16,18,20)+IF(ArtifactsInput!$M$10,CHOOSE(ArtifactsInput!$N$10+1,15,18,21,24,27,30)*(IF(Inputs!$B$38="pvp",MIN(15,15)/15,IF(AND(Inputs!$B$38&lt;&gt;"pvp",Inputs!$B$43&gt;0),MIN(15,Inputs!$B$43)/(Inputs!$B$43),0))),0)))&gt;=100),CHOOSE(ArtifactsInput!$N$42+1,40,48,56,64,72,80),0))))/100)*((1+(((C272=TRUE)*F272*5/7)+((C279=TRUE)*(F279-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263)</f>
        <v/>
      </c>
      <c r="L263">
        <f>K263*(MIN(Inputs!$B$22+((C277=TRUE)*(F277-Calc!F22)),(Inputs!$B$23+0+(IF(ArtifactsInput!$M$15,CHOOSE(ArtifactsInput!$N$15+1,25,30,35,40,45,50)/100*(Inputs!$B$11-Inputs!$B$11),0))))/100+(Inputs!$B$23+0+(IF(ArtifactsInput!$M$15,CHOOSE(ArtifactsInput!$N$15+1,25,30,35,40,45,50)/100*(Inputs!$B$11-Inputs!$B$11),0)))/100)/2</f>
        <v/>
      </c>
      <c r="M263">
        <f>L263*(1+(Inputs!$B$10+((C280=TRUE)*(F280-Calc!F25))+B291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3">
        <f>L263*(1-MIN((Inputs!$B$9+((C274=TRUE)*(F274-Calc!F19))+B286+(ArtifactsInput!$M$24-ArtifactsInput!$M$24)*CHOOSE(ArtifactsInput!$N$24+1,10,12,14,16,18,20)+(IF(AND(Inputs!$B$38&lt;&gt;"pvp",Inputs!$B$43=0),1,IF(IF(Inputs!$B$38="pvp",15,Inputs!$B$43)-(B293)&lt;=0,1,MAX(0,IF(Inputs!$B$38="pvp",15,Inputs!$B$43)-MAX(5,B293))/(IF(Inputs!$B$38="pvp",15,Inputs!$B$43)-(B293))))*IF(AND(ArtifactsInput!$M$42,((Inputs!$B$9+((C274=TRUE)*(F274-Calc!F19))+B286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263*(MIN((Inputs!$B$9+((C274=TRUE)*(F274-Calc!F19))+B286+(ArtifactsInput!$M$24-ArtifactsInput!$M$24)*CHOOSE(ArtifactsInput!$N$24+1,10,12,14,16,18,20)+(IF(AND(Inputs!$B$38&lt;&gt;"pvp",Inputs!$B$43=0),1,IF(IF(Inputs!$B$38="pvp",15,Inputs!$B$43)-(B293)&lt;=0,1,MAX(0,IF(Inputs!$B$38="pvp",15,Inputs!$B$43)-MAX(5,B293))/(IF(Inputs!$B$38="pvp",15,Inputs!$B$43)-(B293))))*IF(AND(ArtifactsInput!$M$42,((Inputs!$B$9+((C274=TRUE)*(F274-Calc!F19))+B286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3">
        <f>(1-Summary!$B$11)*T263+Summary!$B$11*V263</f>
        <v/>
      </c>
      <c r="P263">
        <f>IF(B296=0,0,O263/B296)</f>
        <v/>
      </c>
      <c r="Q263">
        <f>IFERROR(1/((IF(Inputs!$B$38="pvp",15,MAX(0.1,Skills!D8-IF(TRUE=TRUE,Inputs!$B$32,0)))*(1-IF(AND(ArtifactsInput!$M$27,Inputs!$B$4="Chapter Hunt"),CHOOSE(ArtifactsInput!$N$27+1,20,24,28,32,36,40),0)/100))/B297),0)</f>
        <v/>
      </c>
      <c r="R263">
        <f>IF(AND(Inputs!$B$38&lt;&gt;"pvp",Inputs!$B$43&gt;0),IF(MAX(0,Inputs!$B$43-B293)&lt;=0,0,(INT(MAX(0,Inputs!$B$43-B293)/((IF(Inputs!$B$38="pvp",15,MAX(0.1,Skills!D8-IF(TRUE=TRUE,Inputs!$B$32,0)))*(1-IF(AND(ArtifactsInput!$M$27,Inputs!$B$4="Chapter Hunt"),CHOOSE(ArtifactsInput!$N$27+1,20,24,28,32,36,40),0)/100))/B297))+1)),0)</f>
        <v/>
      </c>
      <c r="S263">
        <f>IFERROR(O263/N263,0)</f>
        <v/>
      </c>
      <c r="T263">
        <f>IF(C263,(H263*N263*IF(AND(Inputs!$B$38&lt;&gt;"pvp",Inputs!$B$43&gt;0),((Skills!G8*((R263-1)*IF(Skills!H8&gt;0,INT(Skills!I8/Skills!H8+0.000000001),1)+IF(Skills!H8&gt;0,INT(MIN(Skills!I8,MAX(0,MAX(0,Inputs!$B$43-B293)-((R263-1)*((IF(Inputs!$B$38="pvp",15,MAX(0.1,Skills!D8-IF(TRUE=TRUE,Inputs!$B$32,0)))*(1-IF(AND(ArtifactsInput!$M$27,Inputs!$B$4="Chapter Hunt"),CHOOSE(ArtifactsInput!$N$27+1,20,24,28,32,36,40),0)/100))/B297))))/Skills!H8+0.000000001),1)))/Inputs!$B$43),G263*Q263))*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Hunt"),CHOOSE(ArtifactsInput!$N$35+1,15,18,21,24,27,30)*(1-EXP(-(0.2*B288)*5)),0)+IF(AND(ArtifactsInput!$M$22,Inputs!$B$4&lt;&gt;"Chapter Hunt"),CHOOSE(ArtifactsInput!$N$22+1,10,12,14,16,18,20)*((0*(((0.15*B288*5))^0/1)+1*(((0.15*B288*5))^1/1)+2*(((0.15*B288*5))^2/2)+3*(((0.15*B288*5))^3/6)+4*(((0.15*B288*5))^4/24)+5*(((0.15*B288*5))^5/120))/((((0.15*B288*5))^0/1)+(((0.15*B288*5))^1/1)+(((0.15*B288*5))^2/2)+(((0.15*B288*5))^3/6)+(((0.15*B288*5))^4/24)+(((0.15*B288*5))^5/120))),0))+IF(Inputs!$B$3&gt;=54,9*(C258=TRUE)*MIN(1,8*(1+Inputs!$B$34/100)*Q258)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263*(1-MIN(100,(Inputs!$B$9+((C274=TRUE)*(F274-Calc!F19))+B286+(ArtifactsInput!$M$24-ArtifactsInput!$M$24)*CHOOSE(ArtifactsInput!$N$24+1,10,12,14,16,18,20)+(IF(AND(Inputs!$B$38&lt;&gt;"pvp",Inputs!$B$43=0),1,IF(IF(Inputs!$B$38="pvp",15,Inputs!$B$43)-(B293)&lt;=0,1,MAX(0,IF(Inputs!$B$38="pvp",15,Inputs!$B$43)-MAX(5,B293))/(IF(Inputs!$B$38="pvp",15,Inputs!$B$43)-(B293))))*IF(AND(ArtifactsInput!$M$42,((Inputs!$B$9+((C274=TRUE)*(F274-Calc!F19))+B286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263*(MIN(100,(Inputs!$B$9+((C274=TRUE)*(F274-Calc!F19))+B286+(ArtifactsInput!$M$24-ArtifactsInput!$M$24)*CHOOSE(ArtifactsInput!$N$24+1,10,12,14,16,18,20)+(IF(AND(Inputs!$B$38&lt;&gt;"pvp",Inputs!$B$43=0),1,IF(IF(Inputs!$B$38="pvp",15,Inputs!$B$43)-(B293)&lt;=0,1,MAX(0,IF(Inputs!$B$38="pvp",15,Inputs!$B$43)-MAX(5,B293))/(IF(Inputs!$B$38="pvp",15,Inputs!$B$43)-(B293))))*IF(AND(ArtifactsInput!$M$42,((Inputs!$B$9+((C274=TRUE)*(F274-Calc!F19))+B286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263*(1-MIN(100,(Inputs!$B$9+((C274=TRUE)*(F274-Calc!F19))+B286+(ArtifactsInput!$M$24-ArtifactsInput!$M$24)*CHOOSE(ArtifactsInput!$N$24+1,10,12,14,16,18,20)+(IF(AND(Inputs!$B$38&lt;&gt;"pvp",Inputs!$B$43=0),1,IF(IF(Inputs!$B$38="pvp",15,Inputs!$B$43)-(B293)&lt;=0,1,MAX(0,IF(Inputs!$B$38="pvp",15,Inputs!$B$43)-MAX(5,B293))/(IF(Inputs!$B$38="pvp",15,Inputs!$B$43)-(B293))))*IF(AND(ArtifactsInput!$M$42,((Inputs!$B$9+((C274=TRUE)*(F274-Calc!F19))+B286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263*(MIN(100,(Inputs!$B$9+((C274=TRUE)*(F274-Calc!F19))+B286+(ArtifactsInput!$M$24-ArtifactsInput!$M$24)*CHOOSE(ArtifactsInput!$N$24+1,10,12,14,16,18,20)+(IF(AND(Inputs!$B$38&lt;&gt;"pvp",Inputs!$B$43=0),1,IF(IF(Inputs!$B$38="pvp",15,Inputs!$B$43)-(B293)&lt;=0,1,MAX(0,IF(Inputs!$B$38="pvp",15,Inputs!$B$43)-MAX(5,B293))/(IF(Inputs!$B$38="pvp",15,Inputs!$B$43)-(B293))))*IF(AND(ArtifactsInput!$M$42,((Inputs!$B$9+((C274=TRUE)*(F274-Calc!F19))+B286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3">
        <f>IF(C263,(H263*N263*IF(AND(Inputs!$B$38&lt;&gt;"pvp",Inputs!$B$43&gt;0),((Skills!G8*((R263-1)*IF(Skills!H8&gt;0,INT(Skills!I8/Skills!H8+0.000000001),1)+IF(Skills!H8&gt;0,INT(MIN(Skills!I8,MAX(0,MAX(0,Inputs!$B$43-B293)-((R263-1)*((IF(Inputs!$B$38="pvp",15,MAX(0.1,Skills!D8-IF(TRUE=TRUE,Inputs!$B$32,0)))*(1-IF(AND(ArtifactsInput!$M$27,Inputs!$B$4="Chapter Hunt"),CHOOSE(ArtifactsInput!$N$27+1,20,24,28,32,36,40),0)/100))/B297))))/Skills!H8+0.000000001),1)))/Inputs!$B$43),G263*Q263))*IF(Inputs!$B$38="pvp",1,(1+(Inputs!$B$21+Skills!Q8+(IF(ArtifactsInput!$M$33,CHOOSE(ArtifactsInput!$N$33+1,30,36,42,48,54,60),0))+(IF(AND(ArtifactsInput!$M$35,Inputs!$B$4&lt;&gt;"Chapter Hunt"),CHOOSE(ArtifactsInput!$N$35+1,15,18,21,24,27,30)*(1-EXP(-(0.2*B288)*5)),0)+IF(AND(ArtifactsInput!$M$22,Inputs!$B$4&lt;&gt;"Chapter Hunt"),CHOOSE(ArtifactsInput!$N$22+1,10,12,14,16,18,20)*((0*(((0.15*B288*5))^0/1)+1*(((0.15*B288*5))^1/1)+2*(((0.15*B288*5))^2/2)+3*(((0.15*B288*5))^3/6)+4*(((0.15*B288*5))^4/24)+5*(((0.15*B288*5))^5/120))/((((0.15*B288*5))^0/1)+(((0.15*B288*5))^1/1)+(((0.15*B288*5))^2/2)+(((0.15*B288*5))^3/6)+(((0.15*B288*5))^4/24)+(((0.15*B288*5))^5/120))),0))+IF(Inputs!$B$3&gt;=54,9*(C258=TRUE)*MIN(1,8*(1+Inputs!$B$34/100)*Q258),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4">
      <c r="A264">
        <f>Skills!A9</f>
        <v/>
      </c>
      <c r="B264">
        <f>Skills!B9</f>
        <v/>
      </c>
      <c r="C264">
        <f>Inputs!$B$3&gt;=105</f>
        <v/>
      </c>
      <c r="D264">
        <f>IF(Skills!C9=1,60+Inputs!$B$25+Inputs!$B$29,IF(Skills!C9=2,90+Inputs!$B$26+Inputs!$B$29,IF(Skills!C9=3,120+Inputs!$B$27+Inputs!$B$29,MAX(0,(Inputs!$B$3-100)*3)+Inputs!$B$28+Inputs!$B$29)))</f>
        <v/>
      </c>
      <c r="E264">
        <f>INDEX(FactorTable!$B$2:$Y$301, MATCH(ROUND(MIN(300,MAX(1,D264)),0), FactorTable!$A$2:$A$301,0), Skills!M9+1)</f>
        <v/>
      </c>
      <c r="F264">
        <f>IF(Skills!N9=TRUE,(Skills!L9/10)*(E264/1000),Skills!L9/10)+Skills!O9</f>
        <v/>
      </c>
      <c r="G264">
        <f>Skills!G9*IF(Skills!H9&gt;0,INT(IF(Inputs!$B$38="pvp",MIN(Skills!I9,15),Skills!I9)/Skills!H9+0.000000001),1)</f>
        <v/>
      </c>
      <c r="H264">
        <f>1-(1-Skills!J9/100)^Skills!K9</f>
        <v/>
      </c>
      <c r="I264" t="inlineStr">
        <is>
          <t>1</t>
        </is>
      </c>
      <c r="J264">
        <f>((Inputs!$B$6*(1+Inputs!$B$7/100))+(((Inputs!$B$12*(1+Inputs!$B$13/100))-(Inputs!$B$12*(1+Inputs!$B$13/100)))+0.25*(Inputs!$B$14-Inputs!$B$14))*(1+Inputs!$B$7/100))*(F264/100)</f>
        <v/>
      </c>
      <c r="K264">
        <f>J264*(1+((Inputs!$B$12*(1+Inputs!$B$13/100))*0.01+Inputs!$B$14*0.0025)/100)*(1+Inputs!$B$15/100)*(1+(Inputs!$B$16+1)/100)*(5000/(6000+Inputs!$B$42*(1-(100*(1-(1-(Inputs!$B$19+0)/100)*(1-CHOOSE(ArtifactsInput!$N$40+1,5,6,7,8,9,10)/100)^(ArtifactsInput!$M$40-ArtifactsInput!$M$40)))/100)))*(1+(Inputs!$B$24+((C281=TRUE)*(F281-Calc!F26))+B292)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IGHT_LEGS_EASTON",Inputs!$B$17+((C278=TRUE)*(F278-Calc!F23))+((C282=TRUE)*(F282-Calc!F27))+((IF(AND(Inputs!$B$38&lt;&gt;"pvp",Inputs!$B$43=0),1,IF(IF(Inputs!$B$38="pvp",15,Inputs!$B$43)-(B293)&lt;=0,1,MAX(0,IF(Inputs!$B$38="pvp",15,Inputs!$B$43)-MAX(5,B293))/(IF(Inputs!$B$38="pvp",15,Inputs!$B$43)-(B293))))*(IF(AND(ArtifactsInput!$M$42,((Inputs!$B$9+((C274=TRUE)*(F274-Calc!F19))+B286+(ArtifactsInput!$M$24-ArtifactsInput!$M$24)*CHOOSE(ArtifactsInput!$N$24+1,10,12,14,16,18,20)+IF(ArtifactsInput!$M$10,CHOOSE(ArtifactsInput!$N$10+1,15,18,21,24,27,30)*(IF(Inputs!$B$38="pvp",MIN(15,15)/15,IF(AND(Inputs!$B$38&lt;&gt;"pvp",Inputs!$B$43&gt;0),MIN(15,Inputs!$B$43)/(Inputs!$B$43),0))),0)))&gt;=100),MIN(100,((Inputs!$B$9+((C274=TRUE)*(F274-Calc!F19))+B286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293)&lt;=0,1,MAX(0,IF(Inputs!$B$38="pvp",15,Inputs!$B$43)-MAX(5,B293))/(IF(Inputs!$B$38="pvp",15,Inputs!$B$43)-(B293))))*IF(AND(ArtifactsInput!$M$42,((Inputs!$B$9+((C274=TRUE)*(F274-Calc!F19))+B286+(ArtifactsInput!$M$24-ArtifactsInput!$M$24)*CHOOSE(ArtifactsInput!$N$24+1,10,12,14,16,18,20)+IF(ArtifactsInput!$M$10,CHOOSE(ArtifactsInput!$N$10+1,15,18,21,24,27,30)*(IF(Inputs!$B$38="pvp",MIN(15,15)/15,IF(AND(Inputs!$B$38&lt;&gt;"pvp",Inputs!$B$43&gt;0),MIN(15,Inputs!$B$43)/(Inputs!$B$43),0))),0)))&gt;=100),CHOOSE(ArtifactsInput!$N$42+1,40,48,56,64,72,80),0))))/100)*((1+(((C272=TRUE)*F272*5/7)+((C279=TRUE)*(F279-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264)</f>
        <v/>
      </c>
      <c r="L264">
        <f>K264*(MIN(Inputs!$B$22+((C277=TRUE)*(F277-Calc!F22)),(Inputs!$B$23+0+(IF(ArtifactsInput!$M$15,CHOOSE(ArtifactsInput!$N$15+1,25,30,35,40,45,50)/100*(Inputs!$B$11-Inputs!$B$11),0))))/100+(Inputs!$B$23+0+(IF(ArtifactsInput!$M$15,CHOOSE(ArtifactsInput!$N$15+1,25,30,35,40,45,50)/100*(Inputs!$B$11-Inputs!$B$11),0)))/100)/2</f>
        <v/>
      </c>
      <c r="M264">
        <f>L264*(1+(Inputs!$B$10+((C280=TRUE)*(F280-Calc!F25))+B291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4">
        <f>L264*(1-MIN((Inputs!$B$9+((C274=TRUE)*(F274-Calc!F19))+B286+(ArtifactsInput!$M$24-ArtifactsInput!$M$24)*CHOOSE(ArtifactsInput!$N$24+1,10,12,14,16,18,20)+(IF(AND(Inputs!$B$38&lt;&gt;"pvp",Inputs!$B$43=0),1,IF(IF(Inputs!$B$38="pvp",15,Inputs!$B$43)-(B293)&lt;=0,1,MAX(0,IF(Inputs!$B$38="pvp",15,Inputs!$B$43)-MAX(5,B293))/(IF(Inputs!$B$38="pvp",15,Inputs!$B$43)-(B293))))*IF(AND(ArtifactsInput!$M$42,((Inputs!$B$9+((C274=TRUE)*(F274-Calc!F19))+B286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264*(MIN((Inputs!$B$9+((C274=TRUE)*(F274-Calc!F19))+B286+(ArtifactsInput!$M$24-ArtifactsInput!$M$24)*CHOOSE(ArtifactsInput!$N$24+1,10,12,14,16,18,20)+(IF(AND(Inputs!$B$38&lt;&gt;"pvp",Inputs!$B$43=0),1,IF(IF(Inputs!$B$38="pvp",15,Inputs!$B$43)-(B293)&lt;=0,1,MAX(0,IF(Inputs!$B$38="pvp",15,Inputs!$B$43)-MAX(5,B293))/(IF(Inputs!$B$38="pvp",15,Inputs!$B$43)-(B293))))*IF(AND(ArtifactsInput!$M$42,((Inputs!$B$9+((C274=TRUE)*(F274-Calc!F19))+B286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4">
        <f>(1-Summary!$B$11)*T264+Summary!$B$11*V264</f>
        <v/>
      </c>
      <c r="P264">
        <f>IF(B296=0,0,O264/B296)</f>
        <v/>
      </c>
      <c r="Q264">
        <f>IFERROR(1/(IF(Inputs!$B$38="pvp",15,MAX(0.1,Skills!D9-IF(TRUE=TRUE,Inputs!$B$32,0)))*(1-IF(AND(ArtifactsInput!$M$27,Inputs!$B$4="Chapter Hunt"),CHOOSE(ArtifactsInput!$N$27+1,20,24,28,32,36,40),0)/100)),0)</f>
        <v/>
      </c>
      <c r="R264">
        <f>IF(AND(Inputs!$B$38&lt;&gt;"pvp",Inputs!$B$43&gt;0),IF(MAX(0,Inputs!$B$43-B293)&lt;=0,0,(INT(MAX(0,Inputs!$B$43-B293)/(IF(Inputs!$B$38="pvp",15,MAX(0.1,Skills!D9-IF(TRUE=TRUE,Inputs!$B$32,0)))*(1-IF(AND(ArtifactsInput!$M$27,Inputs!$B$4="Chapter Hunt"),CHOOSE(ArtifactsInput!$N$27+1,20,24,28,32,36,40),0)/100)))+1)),0)</f>
        <v/>
      </c>
      <c r="S264">
        <f>IFERROR(O264/N264,0)</f>
        <v/>
      </c>
      <c r="T264">
        <f>IF(C264,(H264*N264*IF(AND(Inputs!$B$38&lt;&gt;"pvp",Inputs!$B$43&gt;0),((Skills!G9*((R264-1)*IF(Skills!H9&gt;0,INT(Skills!I9/Skills!H9+0.000000001),1)+IF(Skills!H9&gt;0,INT(MIN(Skills!I9,MAX(0,MAX(0,Inputs!$B$43-B293)-((R264-1)*(IF(Inputs!$B$38="pvp",15,MAX(0.1,Skills!D9-IF(TRUE=TRUE,Inputs!$B$32,0)))*(1-IF(AND(ArtifactsInput!$M$27,Inputs!$B$4="Chapter Hunt"),CHOOSE(ArtifactsInput!$N$27+1,20,24,28,32,36,40),0)/100)))))/Skills!H9+0.000000001),1)))/Inputs!$B$43),G264*Q264))*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Hunt"),CHOOSE(ArtifactsInput!$N$35+1,15,18,21,24,27,30)*(1-EXP(-(0.2*B288)*5)),0)+IF(AND(ArtifactsInput!$M$22,Inputs!$B$4&lt;&gt;"Chapter Hunt"),CHOOSE(ArtifactsInput!$N$22+1,10,12,14,16,18,20)*((0*(((0.15*B288*5))^0/1)+1*(((0.15*B288*5))^1/1)+2*(((0.15*B288*5))^2/2)+3*(((0.15*B288*5))^3/6)+4*(((0.15*B288*5))^4/24)+5*(((0.15*B288*5))^5/120))/((((0.15*B288*5))^0/1)+(((0.15*B288*5))^1/1)+(((0.15*B288*5))^2/2)+(((0.15*B288*5))^3/6)+(((0.15*B288*5))^4/24)+(((0.15*B288*5))^5/120))),0))+IF(Inputs!$B$3&gt;=54,9*(C258=TRUE)*MIN(1,8*(1+Inputs!$B$34/100)*Q258)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264*(1-MIN(100,(Inputs!$B$9+((C274=TRUE)*(F274-Calc!F19))+B286+(ArtifactsInput!$M$24-ArtifactsInput!$M$24)*CHOOSE(ArtifactsInput!$N$24+1,10,12,14,16,18,20)+(IF(AND(Inputs!$B$38&lt;&gt;"pvp",Inputs!$B$43=0),1,IF(IF(Inputs!$B$38="pvp",15,Inputs!$B$43)-(B293)&lt;=0,1,MAX(0,IF(Inputs!$B$38="pvp",15,Inputs!$B$43)-MAX(5,B293))/(IF(Inputs!$B$38="pvp",15,Inputs!$B$43)-(B293))))*IF(AND(ArtifactsInput!$M$42,((Inputs!$B$9+((C274=TRUE)*(F274-Calc!F19))+B286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264*(MIN(100,(Inputs!$B$9+((C274=TRUE)*(F274-Calc!F19))+B286+(ArtifactsInput!$M$24-ArtifactsInput!$M$24)*CHOOSE(ArtifactsInput!$N$24+1,10,12,14,16,18,20)+(IF(AND(Inputs!$B$38&lt;&gt;"pvp",Inputs!$B$43=0),1,IF(IF(Inputs!$B$38="pvp",15,Inputs!$B$43)-(B293)&lt;=0,1,MAX(0,IF(Inputs!$B$38="pvp",15,Inputs!$B$43)-MAX(5,B293))/(IF(Inputs!$B$38="pvp",15,Inputs!$B$43)-(B293))))*IF(AND(ArtifactsInput!$M$42,((Inputs!$B$9+((C274=TRUE)*(F274-Calc!F19))+B286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264*(1-MIN(100,(Inputs!$B$9+((C274=TRUE)*(F274-Calc!F19))+B286+(ArtifactsInput!$M$24-ArtifactsInput!$M$24)*CHOOSE(ArtifactsInput!$N$24+1,10,12,14,16,18,20)+(IF(AND(Inputs!$B$38&lt;&gt;"pvp",Inputs!$B$43=0),1,IF(IF(Inputs!$B$38="pvp",15,Inputs!$B$43)-(B293)&lt;=0,1,MAX(0,IF(Inputs!$B$38="pvp",15,Inputs!$B$43)-MAX(5,B293))/(IF(Inputs!$B$38="pvp",15,Inputs!$B$43)-(B293))))*IF(AND(ArtifactsInput!$M$42,((Inputs!$B$9+((C274=TRUE)*(F274-Calc!F19))+B286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264*(MIN(100,(Inputs!$B$9+((C274=TRUE)*(F274-Calc!F19))+B286+(ArtifactsInput!$M$24-ArtifactsInput!$M$24)*CHOOSE(ArtifactsInput!$N$24+1,10,12,14,16,18,20)+(IF(AND(Inputs!$B$38&lt;&gt;"pvp",Inputs!$B$43=0),1,IF(IF(Inputs!$B$38="pvp",15,Inputs!$B$43)-(B293)&lt;=0,1,MAX(0,IF(Inputs!$B$38="pvp",15,Inputs!$B$43)-MAX(5,B293))/(IF(Inputs!$B$38="pvp",15,Inputs!$B$43)-(B293))))*IF(AND(ArtifactsInput!$M$42,((Inputs!$B$9+((C274=TRUE)*(F274-Calc!F19))+B286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4">
        <f>IF(C264,(H264*N264*IF(AND(Inputs!$B$38&lt;&gt;"pvp",Inputs!$B$43&gt;0),((Skills!G9*((R264-1)*IF(Skills!H9&gt;0,INT(Skills!I9/Skills!H9+0.000000001),1)+IF(Skills!H9&gt;0,INT(MIN(Skills!I9,MAX(0,MAX(0,Inputs!$B$43-B293)-((R264-1)*(IF(Inputs!$B$38="pvp",15,MAX(0.1,Skills!D9-IF(TRUE=TRUE,Inputs!$B$32,0)))*(1-IF(AND(ArtifactsInput!$M$27,Inputs!$B$4="Chapter Hunt"),CHOOSE(ArtifactsInput!$N$27+1,20,24,28,32,36,40),0)/100)))))/Skills!H9+0.000000001),1)))/Inputs!$B$43),G264*Q264))*IF(Inputs!$B$38="pvp",1,(1+(Inputs!$B$21+Skills!Q9+(IF(ArtifactsInput!$M$33,CHOOSE(ArtifactsInput!$N$33+1,30,36,42,48,54,60),0))+(IF(AND(ArtifactsInput!$M$35,Inputs!$B$4&lt;&gt;"Chapter Hunt"),CHOOSE(ArtifactsInput!$N$35+1,15,18,21,24,27,30)*(1-EXP(-(0.2*B288)*5)),0)+IF(AND(ArtifactsInput!$M$22,Inputs!$B$4&lt;&gt;"Chapter Hunt"),CHOOSE(ArtifactsInput!$N$22+1,10,12,14,16,18,20)*((0*(((0.15*B288*5))^0/1)+1*(((0.15*B288*5))^1/1)+2*(((0.15*B288*5))^2/2)+3*(((0.15*B288*5))^3/6)+4*(((0.15*B288*5))^4/24)+5*(((0.15*B288*5))^5/120))/((((0.15*B288*5))^0/1)+(((0.15*B288*5))^1/1)+(((0.15*B288*5))^2/2)+(((0.15*B288*5))^3/6)+(((0.15*B288*5))^4/24)+(((0.15*B288*5))^5/120))),0))+IF(Inputs!$B$3&gt;=54,9*(C258=TRUE)*MIN(1,8*(1+Inputs!$B$34/100)*Q258),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5">
      <c r="A265">
        <f>Skills!A10</f>
        <v/>
      </c>
      <c r="B265">
        <f>Skills!B10</f>
        <v/>
      </c>
      <c r="C265">
        <f>Inputs!$B$3&gt;=113</f>
        <v/>
      </c>
      <c r="D265">
        <f>IF(Skills!C10=1,60+Inputs!$B$25+Inputs!$B$29,IF(Skills!C10=2,90+Inputs!$B$26+Inputs!$B$29,IF(Skills!C10=3,120+Inputs!$B$27+Inputs!$B$29,MAX(0,(Inputs!$B$3-100)*3)+Inputs!$B$28+Inputs!$B$29)))</f>
        <v/>
      </c>
      <c r="E265">
        <f>INDEX(FactorTable!$B$2:$Y$301, MATCH(ROUND(MIN(300,MAX(1,D265)),0), FactorTable!$A$2:$A$301,0), Skills!M10+1)</f>
        <v/>
      </c>
      <c r="F265">
        <f>IF(Skills!N10=TRUE,(Skills!L10/10)*(E265/1000),Skills!L10/10)+Skills!O10</f>
        <v/>
      </c>
      <c r="G265">
        <f>Skills!G10*IF(Skills!H10&gt;0,INT(IF(Inputs!$B$38="pvp",MIN(Skills!I10,15),Skills!I10)/Skills!H10+0.000000001),1)</f>
        <v/>
      </c>
      <c r="H265">
        <f>1-(1-Skills!J10/100)^Skills!K10</f>
        <v/>
      </c>
      <c r="I265" t="inlineStr">
        <is>
          <t>1</t>
        </is>
      </c>
      <c r="J265">
        <f>((Inputs!$B$6*(1+Inputs!$B$7/100))+(((Inputs!$B$12*(1+Inputs!$B$13/100))-(Inputs!$B$12*(1+Inputs!$B$13/100)))+0.25*(Inputs!$B$14-Inputs!$B$14))*(1+Inputs!$B$7/100))*(F265/100)</f>
        <v/>
      </c>
      <c r="K265">
        <f>J265*(1+((Inputs!$B$12*(1+Inputs!$B$13/100))*0.01+Inputs!$B$14*0.0025)/100)*(1+Inputs!$B$15/100)*(1+(Inputs!$B$16+1)/100)*(5000/(6000+Inputs!$B$42*(1-(100*(1-(1-(Inputs!$B$19+0)/100)*(1-CHOOSE(ArtifactsInput!$N$40+1,5,6,7,8,9,10)/100)^(ArtifactsInput!$M$40-ArtifactsInput!$M$40)))/100)))*(1+(Inputs!$B$24+((C281=TRUE)*(F281-Calc!F26))+B292)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IGHT_LEGS_EASTON",Inputs!$B$17+((C278=TRUE)*(F278-Calc!F23))+((C282=TRUE)*(F282-Calc!F27))+((IF(AND(Inputs!$B$38&lt;&gt;"pvp",Inputs!$B$43=0),1,IF(IF(Inputs!$B$38="pvp",15,Inputs!$B$43)-(B293)&lt;=0,1,MAX(0,IF(Inputs!$B$38="pvp",15,Inputs!$B$43)-MAX(5,B293))/(IF(Inputs!$B$38="pvp",15,Inputs!$B$43)-(B293))))*(IF(AND(ArtifactsInput!$M$42,((Inputs!$B$9+((C274=TRUE)*(F274-Calc!F19))+B286+(ArtifactsInput!$M$24-ArtifactsInput!$M$24)*CHOOSE(ArtifactsInput!$N$24+1,10,12,14,16,18,20)+IF(ArtifactsInput!$M$10,CHOOSE(ArtifactsInput!$N$10+1,15,18,21,24,27,30)*(IF(Inputs!$B$38="pvp",MIN(15,15)/15,IF(AND(Inputs!$B$38&lt;&gt;"pvp",Inputs!$B$43&gt;0),MIN(15,Inputs!$B$43)/(Inputs!$B$43),0))),0)))&gt;=100),MIN(100,((Inputs!$B$9+((C274=TRUE)*(F274-Calc!F19))+B286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293)&lt;=0,1,MAX(0,IF(Inputs!$B$38="pvp",15,Inputs!$B$43)-MAX(5,B293))/(IF(Inputs!$B$38="pvp",15,Inputs!$B$43)-(B293))))*IF(AND(ArtifactsInput!$M$42,((Inputs!$B$9+((C274=TRUE)*(F274-Calc!F19))+B286+(ArtifactsInput!$M$24-ArtifactsInput!$M$24)*CHOOSE(ArtifactsInput!$N$24+1,10,12,14,16,18,20)+IF(ArtifactsInput!$M$10,CHOOSE(ArtifactsInput!$N$10+1,15,18,21,24,27,30)*(IF(Inputs!$B$38="pvp",MIN(15,15)/15,IF(AND(Inputs!$B$38&lt;&gt;"pvp",Inputs!$B$43&gt;0),MIN(15,Inputs!$B$43)/(Inputs!$B$43),0))),0)))&gt;=100),CHOOSE(ArtifactsInput!$N$42+1,40,48,56,64,72,80),0))))/100)*((1+(((C272=TRUE)*F272*5/7)+((C279=TRUE)*(F279-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265)</f>
        <v/>
      </c>
      <c r="L265">
        <f>K265*(MIN(Inputs!$B$22+((C277=TRUE)*(F277-Calc!F22)),(Inputs!$B$23+0+(IF(ArtifactsInput!$M$15,CHOOSE(ArtifactsInput!$N$15+1,25,30,35,40,45,50)/100*(Inputs!$B$11-Inputs!$B$11),0))))/100+(Inputs!$B$23+0+(IF(ArtifactsInput!$M$15,CHOOSE(ArtifactsInput!$N$15+1,25,30,35,40,45,50)/100*(Inputs!$B$11-Inputs!$B$11),0)))/100)/2</f>
        <v/>
      </c>
      <c r="M265">
        <f>L265*(1+(Inputs!$B$10+((C280=TRUE)*(F280-Calc!F25))+B291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5">
        <f>L265*(1-MIN((Inputs!$B$9+((C274=TRUE)*(F274-Calc!F19))+B286+(ArtifactsInput!$M$24-ArtifactsInput!$M$24)*CHOOSE(ArtifactsInput!$N$24+1,10,12,14,16,18,20)+(IF(AND(Inputs!$B$38&lt;&gt;"pvp",Inputs!$B$43=0),1,IF(IF(Inputs!$B$38="pvp",15,Inputs!$B$43)-(B293)&lt;=0,1,MAX(0,IF(Inputs!$B$38="pvp",15,Inputs!$B$43)-MAX(5,B293))/(IF(Inputs!$B$38="pvp",15,Inputs!$B$43)-(B293))))*IF(AND(ArtifactsInput!$M$42,((Inputs!$B$9+((C274=TRUE)*(F274-Calc!F19))+B286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265*(MIN((Inputs!$B$9+((C274=TRUE)*(F274-Calc!F19))+B286+(ArtifactsInput!$M$24-ArtifactsInput!$M$24)*CHOOSE(ArtifactsInput!$N$24+1,10,12,14,16,18,20)+(IF(AND(Inputs!$B$38&lt;&gt;"pvp",Inputs!$B$43=0),1,IF(IF(Inputs!$B$38="pvp",15,Inputs!$B$43)-(B293)&lt;=0,1,MAX(0,IF(Inputs!$B$38="pvp",15,Inputs!$B$43)-MAX(5,B293))/(IF(Inputs!$B$38="pvp",15,Inputs!$B$43)-(B293))))*IF(AND(ArtifactsInput!$M$42,((Inputs!$B$9+((C274=TRUE)*(F274-Calc!F19))+B286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5">
        <f>(1-Summary!$B$11)*T265+Summary!$B$11*V265</f>
        <v/>
      </c>
      <c r="P265">
        <f>IF(B296=0,0,O265/B296)</f>
        <v/>
      </c>
      <c r="Q265" t="n">
        <v>0</v>
      </c>
      <c r="R265" t="n">
        <v>0</v>
      </c>
      <c r="S265">
        <f>IFERROR(O265/N265,0)</f>
        <v/>
      </c>
      <c r="T265">
        <f>IF(C265,((H265*B298)/(1+Skills!H10*H265*B298)*N265)*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Hunt"),CHOOSE(ArtifactsInput!$N$35+1,15,18,21,24,27,30)*(1-EXP(-(0.2*B288)*5)),0)+IF(AND(ArtifactsInput!$M$22,Inputs!$B$4&lt;&gt;"Chapter Hunt"),CHOOSE(ArtifactsInput!$N$22+1,10,12,14,16,18,20)*((0*(((0.15*B288*5))^0/1)+1*(((0.15*B288*5))^1/1)+2*(((0.15*B288*5))^2/2)+3*(((0.15*B288*5))^3/6)+4*(((0.15*B288*5))^4/24)+5*(((0.15*B288*5))^5/120))/((((0.15*B288*5))^0/1)+(((0.15*B288*5))^1/1)+(((0.15*B288*5))^2/2)+(((0.15*B288*5))^3/6)+(((0.15*B288*5))^4/24)+(((0.15*B288*5))^5/120))),0))+IF(Inputs!$B$3&gt;=54,9*(C258=TRUE)*MIN(1,8*(1+Inputs!$B$34/100)*Q258)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265*(1-MIN(100,(Inputs!$B$9+((C274=TRUE)*(F274-Calc!F19))+B286+(ArtifactsInput!$M$24-ArtifactsInput!$M$24)*CHOOSE(ArtifactsInput!$N$24+1,10,12,14,16,18,20)+(IF(AND(Inputs!$B$38&lt;&gt;"pvp",Inputs!$B$43=0),1,IF(IF(Inputs!$B$38="pvp",15,Inputs!$B$43)-(B293)&lt;=0,1,MAX(0,IF(Inputs!$B$38="pvp",15,Inputs!$B$43)-MAX(5,B293))/(IF(Inputs!$B$38="pvp",15,Inputs!$B$43)-(B293))))*IF(AND(ArtifactsInput!$M$42,((Inputs!$B$9+((C274=TRUE)*(F274-Calc!F19))+B286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265*(MIN(100,(Inputs!$B$9+((C274=TRUE)*(F274-Calc!F19))+B286+(ArtifactsInput!$M$24-ArtifactsInput!$M$24)*CHOOSE(ArtifactsInput!$N$24+1,10,12,14,16,18,20)+(IF(AND(Inputs!$B$38&lt;&gt;"pvp",Inputs!$B$43=0),1,IF(IF(Inputs!$B$38="pvp",15,Inputs!$B$43)-(B293)&lt;=0,1,MAX(0,IF(Inputs!$B$38="pvp",15,Inputs!$B$43)-MAX(5,B293))/(IF(Inputs!$B$38="pvp",15,Inputs!$B$43)-(B293))))*IF(AND(ArtifactsInput!$M$42,((Inputs!$B$9+((C274=TRUE)*(F274-Calc!F19))+B286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265*(1-MIN(100,(Inputs!$B$9+((C274=TRUE)*(F274-Calc!F19))+B286+(ArtifactsInput!$M$24-ArtifactsInput!$M$24)*CHOOSE(ArtifactsInput!$N$24+1,10,12,14,16,18,20)+(IF(AND(Inputs!$B$38&lt;&gt;"pvp",Inputs!$B$43=0),1,IF(IF(Inputs!$B$38="pvp",15,Inputs!$B$43)-(B293)&lt;=0,1,MAX(0,IF(Inputs!$B$38="pvp",15,Inputs!$B$43)-MAX(5,B293))/(IF(Inputs!$B$38="pvp",15,Inputs!$B$43)-(B293))))*IF(AND(ArtifactsInput!$M$42,((Inputs!$B$9+((C274=TRUE)*(F274-Calc!F19))+B286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265*(MIN(100,(Inputs!$B$9+((C274=TRUE)*(F274-Calc!F19))+B286+(ArtifactsInput!$M$24-ArtifactsInput!$M$24)*CHOOSE(ArtifactsInput!$N$24+1,10,12,14,16,18,20)+(IF(AND(Inputs!$B$38&lt;&gt;"pvp",Inputs!$B$43=0),1,IF(IF(Inputs!$B$38="pvp",15,Inputs!$B$43)-(B293)&lt;=0,1,MAX(0,IF(Inputs!$B$38="pvp",15,Inputs!$B$43)-MAX(5,B293))/(IF(Inputs!$B$38="pvp",15,Inputs!$B$43)-(B293))))*IF(AND(ArtifactsInput!$M$42,((Inputs!$B$9+((C274=TRUE)*(F274-Calc!F19))+B286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5">
        <f>IF(C265,((H265*B298)/(1+Skills!H10*H265*B298)*N265)*IF(Inputs!$B$38="pvp",1,(1+(Inputs!$B$21+Skills!Q10+(IF(ArtifactsInput!$M$33,CHOOSE(ArtifactsInput!$N$33+1,30,36,42,48,54,60),0))+(IF(AND(ArtifactsInput!$M$35,Inputs!$B$4&lt;&gt;"Chapter Hunt"),CHOOSE(ArtifactsInput!$N$35+1,15,18,21,24,27,30)*(1-EXP(-(0.2*B288)*5)),0)+IF(AND(ArtifactsInput!$M$22,Inputs!$B$4&lt;&gt;"Chapter Hunt"),CHOOSE(ArtifactsInput!$N$22+1,10,12,14,16,18,20)*((0*(((0.15*B288*5))^0/1)+1*(((0.15*B288*5))^1/1)+2*(((0.15*B288*5))^2/2)+3*(((0.15*B288*5))^3/6)+4*(((0.15*B288*5))^4/24)+5*(((0.15*B288*5))^5/120))/((((0.15*B288*5))^0/1)+(((0.15*B288*5))^1/1)+(((0.15*B288*5))^2/2)+(((0.15*B288*5))^3/6)+(((0.15*B288*5))^4/24)+(((0.15*B288*5))^5/120))),0))+IF(Inputs!$B$3&gt;=54,9*(C258=TRUE)*MIN(1,8*(1+Inputs!$B$34/100)*Q258),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6">
      <c r="A266">
        <f>Skills!A11</f>
        <v/>
      </c>
      <c r="B266">
        <f>Skills!B11</f>
        <v/>
      </c>
      <c r="C266">
        <f>Inputs!$B$3&gt;=117</f>
        <v/>
      </c>
      <c r="D266">
        <f>IF(Skills!C11=1,60+Inputs!$B$25+Inputs!$B$29,IF(Skills!C11=2,90+Inputs!$B$26+Inputs!$B$29,IF(Skills!C11=3,120+Inputs!$B$27+Inputs!$B$29,MAX(0,(Inputs!$B$3-100)*3)+Inputs!$B$28+Inputs!$B$29)))</f>
        <v/>
      </c>
      <c r="E266">
        <f>INDEX(FactorTable!$B$2:$Y$301, MATCH(ROUND(MIN(300,MAX(1,D266)),0), FactorTable!$A$2:$A$301,0), Skills!M11+1)</f>
        <v/>
      </c>
      <c r="F266">
        <f>IF(Skills!N11=TRUE,(Skills!L11/10)*(E266/1000),Skills!L11/10)+Skills!O11</f>
        <v/>
      </c>
      <c r="G266">
        <f>Skills!G11*IF(Skills!H11&gt;0,INT(IF(Inputs!$B$38="pvp",MIN(Skills!I11,15),Skills!I11)/Skills!H11+0.000000001),1)</f>
        <v/>
      </c>
      <c r="H266">
        <f>1-(1-Skills!J11/100)^Skills!K11</f>
        <v/>
      </c>
      <c r="I266" t="inlineStr">
        <is>
          <t>1</t>
        </is>
      </c>
      <c r="J266">
        <f>((Inputs!$B$6*(1+Inputs!$B$7/100))+(((Inputs!$B$12*(1+Inputs!$B$13/100))-(Inputs!$B$12*(1+Inputs!$B$13/100)))+0.25*(Inputs!$B$14-Inputs!$B$14))*(1+Inputs!$B$7/100))*(F266/100)</f>
        <v/>
      </c>
      <c r="K266">
        <f>J266*(1+((Inputs!$B$12*(1+Inputs!$B$13/100))*0.01+Inputs!$B$14*0.0025)/100)*(1+Inputs!$B$15/100)*(1+(Inputs!$B$16+1)/100)*(5000/(6000+Inputs!$B$42*(1-(100*(1-(1-(Inputs!$B$19+0)/100)*(1-CHOOSE(ArtifactsInput!$N$40+1,5,6,7,8,9,10)/100)^(ArtifactsInput!$M$40-ArtifactsInput!$M$40)))/100)))*(1+(Inputs!$B$24+((C281=TRUE)*(F281-Calc!F26))+B292)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IGHT_LEGS_EASTON",Inputs!$B$17+((C278=TRUE)*(F278-Calc!F23))+((C282=TRUE)*(F282-Calc!F27))+((IF(AND(Inputs!$B$38&lt;&gt;"pvp",Inputs!$B$43=0),1,IF(IF(Inputs!$B$38="pvp",15,Inputs!$B$43)-(B293)&lt;=0,1,MAX(0,IF(Inputs!$B$38="pvp",15,Inputs!$B$43)-MAX(5,B293))/(IF(Inputs!$B$38="pvp",15,Inputs!$B$43)-(B293))))*(IF(AND(ArtifactsInput!$M$42,((Inputs!$B$9+((C274=TRUE)*(F274-Calc!F19))+B286+(ArtifactsInput!$M$24-ArtifactsInput!$M$24)*CHOOSE(ArtifactsInput!$N$24+1,10,12,14,16,18,20)+IF(ArtifactsInput!$M$10,CHOOSE(ArtifactsInput!$N$10+1,15,18,21,24,27,30)*(IF(Inputs!$B$38="pvp",MIN(15,15)/15,IF(AND(Inputs!$B$38&lt;&gt;"pvp",Inputs!$B$43&gt;0),MIN(15,Inputs!$B$43)/(Inputs!$B$43),0))),0)))&gt;=100),MIN(100,((Inputs!$B$9+((C274=TRUE)*(F274-Calc!F19))+B286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293)&lt;=0,1,MAX(0,IF(Inputs!$B$38="pvp",15,Inputs!$B$43)-MAX(5,B293))/(IF(Inputs!$B$38="pvp",15,Inputs!$B$43)-(B293))))*IF(AND(ArtifactsInput!$M$42,((Inputs!$B$9+((C274=TRUE)*(F274-Calc!F19))+B286+(ArtifactsInput!$M$24-ArtifactsInput!$M$24)*CHOOSE(ArtifactsInput!$N$24+1,10,12,14,16,18,20)+IF(ArtifactsInput!$M$10,CHOOSE(ArtifactsInput!$N$10+1,15,18,21,24,27,30)*(IF(Inputs!$B$38="pvp",MIN(15,15)/15,IF(AND(Inputs!$B$38&lt;&gt;"pvp",Inputs!$B$43&gt;0),MIN(15,Inputs!$B$43)/(Inputs!$B$43),0))),0)))&gt;=100),CHOOSE(ArtifactsInput!$N$42+1,40,48,56,64,72,80),0))))/100)*((1+(((C272=TRUE)*F272*5/7)+((C279=TRUE)*(F279-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266)</f>
        <v/>
      </c>
      <c r="L266">
        <f>K266*(MIN(Inputs!$B$22+((C277=TRUE)*(F277-Calc!F22)),(Inputs!$B$23+0+(IF(ArtifactsInput!$M$15,CHOOSE(ArtifactsInput!$N$15+1,25,30,35,40,45,50)/100*(Inputs!$B$11-Inputs!$B$11),0))))/100+(Inputs!$B$23+0+(IF(ArtifactsInput!$M$15,CHOOSE(ArtifactsInput!$N$15+1,25,30,35,40,45,50)/100*(Inputs!$B$11-Inputs!$B$11),0)))/100)/2</f>
        <v/>
      </c>
      <c r="M266">
        <f>L266*(1+(Inputs!$B$10+((C280=TRUE)*(F280-Calc!F25))+B291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6">
        <f>L266*(1-MIN((Inputs!$B$9+((C274=TRUE)*(F274-Calc!F19))+B286+(ArtifactsInput!$M$24-ArtifactsInput!$M$24)*CHOOSE(ArtifactsInput!$N$24+1,10,12,14,16,18,20)+(IF(AND(Inputs!$B$38&lt;&gt;"pvp",Inputs!$B$43=0),1,IF(IF(Inputs!$B$38="pvp",15,Inputs!$B$43)-(B293)&lt;=0,1,MAX(0,IF(Inputs!$B$38="pvp",15,Inputs!$B$43)-MAX(5,B293))/(IF(Inputs!$B$38="pvp",15,Inputs!$B$43)-(B293))))*IF(AND(ArtifactsInput!$M$42,((Inputs!$B$9+((C274=TRUE)*(F274-Calc!F19))+B286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266*(MIN((Inputs!$B$9+((C274=TRUE)*(F274-Calc!F19))+B286+(ArtifactsInput!$M$24-ArtifactsInput!$M$24)*CHOOSE(ArtifactsInput!$N$24+1,10,12,14,16,18,20)+(IF(AND(Inputs!$B$38&lt;&gt;"pvp",Inputs!$B$43=0),1,IF(IF(Inputs!$B$38="pvp",15,Inputs!$B$43)-(B293)&lt;=0,1,MAX(0,IF(Inputs!$B$38="pvp",15,Inputs!$B$43)-MAX(5,B293))/(IF(Inputs!$B$38="pvp",15,Inputs!$B$43)-(B293))))*IF(AND(ArtifactsInput!$M$42,((Inputs!$B$9+((C274=TRUE)*(F274-Calc!F19))+B286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6">
        <f>(1-Summary!$B$11)*T266+Summary!$B$11*V266</f>
        <v/>
      </c>
      <c r="P266">
        <f>IF(B296=0,0,O266/B296)</f>
        <v/>
      </c>
      <c r="Q266">
        <f>IFERROR(1/((IF(Inputs!$B$38="pvp",15,MAX(0.1,Skills!D11-IF(TRUE=TRUE,Inputs!$B$32,0)))*(1-IF(AND(ArtifactsInput!$M$27,Inputs!$B$4="Chapter Hunt"),CHOOSE(ArtifactsInput!$N$27+1,20,24,28,32,36,40),0)/100))/B297),0)</f>
        <v/>
      </c>
      <c r="R266">
        <f>IF(AND(Inputs!$B$38&lt;&gt;"pvp",Inputs!$B$43&gt;0),IF(MAX(0,Inputs!$B$43-B293)&lt;=0,0,(INT(MAX(0,Inputs!$B$43-B293)/((IF(Inputs!$B$38="pvp",15,MAX(0.1,Skills!D11-IF(TRUE=TRUE,Inputs!$B$32,0)))*(1-IF(AND(ArtifactsInput!$M$27,Inputs!$B$4="Chapter Hunt"),CHOOSE(ArtifactsInput!$N$27+1,20,24,28,32,36,40),0)/100))/B297))+1)),0)</f>
        <v/>
      </c>
      <c r="S266">
        <f>IFERROR(O266/N266,0)</f>
        <v/>
      </c>
      <c r="T266">
        <f>IF(C266,(H266*N266*IF(AND(Inputs!$B$38&lt;&gt;"pvp",Inputs!$B$43&gt;0),((Skills!G11*((R266-1)*IF(Skills!H11&gt;0,INT(Skills!I11/Skills!H11+0.000000001),1)+IF(Skills!H11&gt;0,INT(MIN(Skills!I11,MAX(0,MAX(0,Inputs!$B$43-B293)-((R266-1)*((IF(Inputs!$B$38="pvp",15,MAX(0.1,Skills!D11-IF(TRUE=TRUE,Inputs!$B$32,0)))*(1-IF(AND(ArtifactsInput!$M$27,Inputs!$B$4="Chapter Hunt"),CHOOSE(ArtifactsInput!$N$27+1,20,24,28,32,36,40),0)/100))/B297))))/Skills!H11+0.000000001),1)))/Inputs!$B$43),G266*Q266))*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Hunt"),CHOOSE(ArtifactsInput!$N$35+1,15,18,21,24,27,30)*(1-EXP(-(0.2*B288)*5)),0)+IF(AND(ArtifactsInput!$M$22,Inputs!$B$4&lt;&gt;"Chapter Hunt"),CHOOSE(ArtifactsInput!$N$22+1,10,12,14,16,18,20)*((0*(((0.15*B288*5))^0/1)+1*(((0.15*B288*5))^1/1)+2*(((0.15*B288*5))^2/2)+3*(((0.15*B288*5))^3/6)+4*(((0.15*B288*5))^4/24)+5*(((0.15*B288*5))^5/120))/((((0.15*B288*5))^0/1)+(((0.15*B288*5))^1/1)+(((0.15*B288*5))^2/2)+(((0.15*B288*5))^3/6)+(((0.15*B288*5))^4/24)+(((0.15*B288*5))^5/120))),0))+IF(Inputs!$B$3&gt;=54,9*(C258=TRUE)*MIN(1,8*(1+Inputs!$B$34/100)*Q258)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266*(1-MIN(100,(Inputs!$B$9+((C274=TRUE)*(F274-Calc!F19))+B286+(ArtifactsInput!$M$24-ArtifactsInput!$M$24)*CHOOSE(ArtifactsInput!$N$24+1,10,12,14,16,18,20)+(IF(AND(Inputs!$B$38&lt;&gt;"pvp",Inputs!$B$43=0),1,IF(IF(Inputs!$B$38="pvp",15,Inputs!$B$43)-(B293)&lt;=0,1,MAX(0,IF(Inputs!$B$38="pvp",15,Inputs!$B$43)-MAX(5,B293))/(IF(Inputs!$B$38="pvp",15,Inputs!$B$43)-(B293))))*IF(AND(ArtifactsInput!$M$42,((Inputs!$B$9+((C274=TRUE)*(F274-Calc!F19))+B286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266*(MIN(100,(Inputs!$B$9+((C274=TRUE)*(F274-Calc!F19))+B286+(ArtifactsInput!$M$24-ArtifactsInput!$M$24)*CHOOSE(ArtifactsInput!$N$24+1,10,12,14,16,18,20)+(IF(AND(Inputs!$B$38&lt;&gt;"pvp",Inputs!$B$43=0),1,IF(IF(Inputs!$B$38="pvp",15,Inputs!$B$43)-(B293)&lt;=0,1,MAX(0,IF(Inputs!$B$38="pvp",15,Inputs!$B$43)-MAX(5,B293))/(IF(Inputs!$B$38="pvp",15,Inputs!$B$43)-(B293))))*IF(AND(ArtifactsInput!$M$42,((Inputs!$B$9+((C274=TRUE)*(F274-Calc!F19))+B286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266*(1-MIN(100,(Inputs!$B$9+((C274=TRUE)*(F274-Calc!F19))+B286+(ArtifactsInput!$M$24-ArtifactsInput!$M$24)*CHOOSE(ArtifactsInput!$N$24+1,10,12,14,16,18,20)+(IF(AND(Inputs!$B$38&lt;&gt;"pvp",Inputs!$B$43=0),1,IF(IF(Inputs!$B$38="pvp",15,Inputs!$B$43)-(B293)&lt;=0,1,MAX(0,IF(Inputs!$B$38="pvp",15,Inputs!$B$43)-MAX(5,B293))/(IF(Inputs!$B$38="pvp",15,Inputs!$B$43)-(B293))))*IF(AND(ArtifactsInput!$M$42,((Inputs!$B$9+((C274=TRUE)*(F274-Calc!F19))+B286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266*(MIN(100,(Inputs!$B$9+((C274=TRUE)*(F274-Calc!F19))+B286+(ArtifactsInput!$M$24-ArtifactsInput!$M$24)*CHOOSE(ArtifactsInput!$N$24+1,10,12,14,16,18,20)+(IF(AND(Inputs!$B$38&lt;&gt;"pvp",Inputs!$B$43=0),1,IF(IF(Inputs!$B$38="pvp",15,Inputs!$B$43)-(B293)&lt;=0,1,MAX(0,IF(Inputs!$B$38="pvp",15,Inputs!$B$43)-MAX(5,B293))/(IF(Inputs!$B$38="pvp",15,Inputs!$B$43)-(B293))))*IF(AND(ArtifactsInput!$M$42,((Inputs!$B$9+((C274=TRUE)*(F274-Calc!F19))+B286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6">
        <f>IF(C266,(H266*N266*IF(AND(Inputs!$B$38&lt;&gt;"pvp",Inputs!$B$43&gt;0),((Skills!G11*((R266-1)*IF(Skills!H11&gt;0,INT(Skills!I11/Skills!H11+0.000000001),1)+IF(Skills!H11&gt;0,INT(MIN(Skills!I11,MAX(0,MAX(0,Inputs!$B$43-B293)-((R266-1)*((IF(Inputs!$B$38="pvp",15,MAX(0.1,Skills!D11-IF(TRUE=TRUE,Inputs!$B$32,0)))*(1-IF(AND(ArtifactsInput!$M$27,Inputs!$B$4="Chapter Hunt"),CHOOSE(ArtifactsInput!$N$27+1,20,24,28,32,36,40),0)/100))/B297))))/Skills!H11+0.000000001),1)))/Inputs!$B$43),G266*Q266))*IF(Inputs!$B$38="pvp",1,(1+(Inputs!$B$21+Skills!Q11+(IF(ArtifactsInput!$M$33,CHOOSE(ArtifactsInput!$N$33+1,30,36,42,48,54,60),0))+(IF(AND(ArtifactsInput!$M$35,Inputs!$B$4&lt;&gt;"Chapter Hunt"),CHOOSE(ArtifactsInput!$N$35+1,15,18,21,24,27,30)*(1-EXP(-(0.2*B288)*5)),0)+IF(AND(ArtifactsInput!$M$22,Inputs!$B$4&lt;&gt;"Chapter Hunt"),CHOOSE(ArtifactsInput!$N$22+1,10,12,14,16,18,20)*((0*(((0.15*B288*5))^0/1)+1*(((0.15*B288*5))^1/1)+2*(((0.15*B288*5))^2/2)+3*(((0.15*B288*5))^3/6)+4*(((0.15*B288*5))^4/24)+5*(((0.15*B288*5))^5/120))/((((0.15*B288*5))^0/1)+(((0.15*B288*5))^1/1)+(((0.15*B288*5))^2/2)+(((0.15*B288*5))^3/6)+(((0.15*B288*5))^4/24)+(((0.15*B288*5))^5/120))),0))+IF(Inputs!$B$3&gt;=54,9*(C258=TRUE)*MIN(1,8*(1+Inputs!$B$34/100)*Q258),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7">
      <c r="A267">
        <f>Skills!A12</f>
        <v/>
      </c>
      <c r="B267">
        <f>Skills!B12</f>
        <v/>
      </c>
      <c r="C267">
        <f>Inputs!$B$3&gt;=110</f>
        <v/>
      </c>
      <c r="D267">
        <f>IF(Skills!C12=1,60+Inputs!$B$25+Inputs!$B$29,IF(Skills!C12=2,90+Inputs!$B$26+Inputs!$B$29,IF(Skills!C12=3,120+Inputs!$B$27+Inputs!$B$29,MAX(0,(Inputs!$B$3-100)*3)+Inputs!$B$28+Inputs!$B$29)))</f>
        <v/>
      </c>
      <c r="E267">
        <f>INDEX(FactorTable!$B$2:$Y$301, MATCH(ROUND(MIN(300,MAX(1,D267)),0), FactorTable!$A$2:$A$301,0), Skills!M12+1)</f>
        <v/>
      </c>
      <c r="F267">
        <f>IF(Skills!N12=TRUE,(Skills!L12/10)*(E267/1000),Skills!L12/10)+Skills!O12</f>
        <v/>
      </c>
      <c r="G267">
        <f>Skills!G12*IF(Skills!H12&gt;0,INT(IF(Inputs!$B$38="pvp",MIN(Skills!I12,15),Skills!I12)/Skills!H12+0.000000001),1)</f>
        <v/>
      </c>
      <c r="H267">
        <f>1-(1-Skills!J12/100)^Skills!K12</f>
        <v/>
      </c>
      <c r="I267" t="inlineStr">
        <is>
          <t>1</t>
        </is>
      </c>
      <c r="J267">
        <f>((Inputs!$B$6*(1+Inputs!$B$7/100))+(((Inputs!$B$12*(1+Inputs!$B$13/100))-(Inputs!$B$12*(1+Inputs!$B$13/100)))+0.25*(Inputs!$B$14-Inputs!$B$14))*(1+Inputs!$B$7/100))*(F267/100)</f>
        <v/>
      </c>
      <c r="K267">
        <f>J267*(1+((Inputs!$B$12*(1+Inputs!$B$13/100))*0.01+Inputs!$B$14*0.0025)/100)*(1+Inputs!$B$15/100)*(1+(Inputs!$B$16+1)/100)*(5000/(6000+Inputs!$B$42*(1-(100*(1-(1-(Inputs!$B$19+0)/100)*(1-CHOOSE(ArtifactsInput!$N$40+1,5,6,7,8,9,10)/100)^(ArtifactsInput!$M$40-ArtifactsInput!$M$40)))/100)))*(1+(Inputs!$B$24+((C281=TRUE)*(F281-Calc!F26))+B292)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EIGHT_LEGS_EASTON",Inputs!$B$17+((C278=TRUE)*(F278-Calc!F23))+((C282=TRUE)*(F282-Calc!F27))+((IF(AND(Inputs!$B$38&lt;&gt;"pvp",Inputs!$B$43=0),1,IF(IF(Inputs!$B$38="pvp",15,Inputs!$B$43)-(B293)&lt;=0,1,MAX(0,IF(Inputs!$B$38="pvp",15,Inputs!$B$43)-MAX(5,B293))/(IF(Inputs!$B$38="pvp",15,Inputs!$B$43)-(B293))))*(IF(AND(ArtifactsInput!$M$42,((Inputs!$B$9+((C274=TRUE)*(F274-Calc!F19))+B286+(ArtifactsInput!$M$24-ArtifactsInput!$M$24)*CHOOSE(ArtifactsInput!$N$24+1,10,12,14,16,18,20)+IF(ArtifactsInput!$M$10,CHOOSE(ArtifactsInput!$N$10+1,15,18,21,24,27,30)*(IF(Inputs!$B$38="pvp",MIN(15,15)/15,IF(AND(Inputs!$B$38&lt;&gt;"pvp",Inputs!$B$43&gt;0),MIN(15,Inputs!$B$43)/(Inputs!$B$43),0))),0)))&gt;=100),MIN(100,((Inputs!$B$9+((C274=TRUE)*(F274-Calc!F19))+B286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293)&lt;=0,1,MAX(0,IF(Inputs!$B$38="pvp",15,Inputs!$B$43)-MAX(5,B293))/(IF(Inputs!$B$38="pvp",15,Inputs!$B$43)-(B293))))*IF(AND(ArtifactsInput!$M$42,((Inputs!$B$9+((C274=TRUE)*(F274-Calc!F19))+B286+(ArtifactsInput!$M$24-ArtifactsInput!$M$24)*CHOOSE(ArtifactsInput!$N$24+1,10,12,14,16,18,20)+IF(ArtifactsInput!$M$10,CHOOSE(ArtifactsInput!$N$10+1,15,18,21,24,27,30)*(IF(Inputs!$B$38="pvp",MIN(15,15)/15,IF(AND(Inputs!$B$38&lt;&gt;"pvp",Inputs!$B$43&gt;0),MIN(15,Inputs!$B$43)/(Inputs!$B$43),0))),0)))&gt;=100),CHOOSE(ArtifactsInput!$N$42+1,40,48,56,64,72,80),0))))/100)*((1+(((C272=TRUE)*F272*5/7)+((C279=TRUE)*(F279-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267)</f>
        <v/>
      </c>
      <c r="L267">
        <f>K267*(MIN(Inputs!$B$22+((C277=TRUE)*(F277-Calc!F22)),(Inputs!$B$23+0+(IF(ArtifactsInput!$M$15,CHOOSE(ArtifactsInput!$N$15+1,25,30,35,40,45,50)/100*(Inputs!$B$11-Inputs!$B$11),0))))/100+(Inputs!$B$23+0+(IF(ArtifactsInput!$M$15,CHOOSE(ArtifactsInput!$N$15+1,25,30,35,40,45,50)/100*(Inputs!$B$11-Inputs!$B$11),0)))/100)/2</f>
        <v/>
      </c>
      <c r="M267">
        <f>L267*(1+(Inputs!$B$10+((C280=TRUE)*(F280-Calc!F25))+B291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7">
        <f>L267*(1-MIN((Inputs!$B$9+((C274=TRUE)*(F274-Calc!F19))+B286+(ArtifactsInput!$M$24-ArtifactsInput!$M$24)*CHOOSE(ArtifactsInput!$N$24+1,10,12,14,16,18,20)+(IF(AND(Inputs!$B$38&lt;&gt;"pvp",Inputs!$B$43=0),1,IF(IF(Inputs!$B$38="pvp",15,Inputs!$B$43)-(B293)&lt;=0,1,MAX(0,IF(Inputs!$B$38="pvp",15,Inputs!$B$43)-MAX(5,B293))/(IF(Inputs!$B$38="pvp",15,Inputs!$B$43)-(B293))))*IF(AND(ArtifactsInput!$M$42,((Inputs!$B$9+((C274=TRUE)*(F274-Calc!F19))+B286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267*(MIN((Inputs!$B$9+((C274=TRUE)*(F274-Calc!F19))+B286+(ArtifactsInput!$M$24-ArtifactsInput!$M$24)*CHOOSE(ArtifactsInput!$N$24+1,10,12,14,16,18,20)+(IF(AND(Inputs!$B$38&lt;&gt;"pvp",Inputs!$B$43=0),1,IF(IF(Inputs!$B$38="pvp",15,Inputs!$B$43)-(B293)&lt;=0,1,MAX(0,IF(Inputs!$B$38="pvp",15,Inputs!$B$43)-MAX(5,B293))/(IF(Inputs!$B$38="pvp",15,Inputs!$B$43)-(B293))))*IF(AND(ArtifactsInput!$M$42,((Inputs!$B$9+((C274=TRUE)*(F274-Calc!F19))+B286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7">
        <f>(1-Summary!$B$11)*T267+Summary!$B$11*V267</f>
        <v/>
      </c>
      <c r="P267">
        <f>IF(B296=0,0,O267/B296)</f>
        <v/>
      </c>
      <c r="Q267">
        <f>IFERROR(1/(IF(Inputs!$B$38="pvp",15,MAX(0.1,Skills!D12-IF(TRUE=TRUE,Inputs!$B$32,0)))*(1-IF(AND(ArtifactsInput!$M$27,Inputs!$B$4="Chapter Hunt"),CHOOSE(ArtifactsInput!$N$27+1,20,24,28,32,36,40),0)/100)),0)</f>
        <v/>
      </c>
      <c r="R267">
        <f>IF(AND(Inputs!$B$38&lt;&gt;"pvp",Inputs!$B$43&gt;0),IF(MAX(0,Inputs!$B$43-B293)&lt;=0,0,(INT(MAX(0,Inputs!$B$43-B293)/(IF(Inputs!$B$38="pvp",15,MAX(0.1,Skills!D12-IF(TRUE=TRUE,Inputs!$B$32,0)))*(1-IF(AND(ArtifactsInput!$M$27,Inputs!$B$4="Chapter Hunt"),CHOOSE(ArtifactsInput!$N$27+1,20,24,28,32,36,40),0)/100)))+1)),0)</f>
        <v/>
      </c>
      <c r="S267">
        <f>IFERROR(O267/N267,0)</f>
        <v/>
      </c>
      <c r="T267">
        <f>IF(C267,(H267*N267*IF(AND(Inputs!$B$38&lt;&gt;"pvp",Inputs!$B$43&gt;0),((Skills!G12*((R267-1)*IF(Skills!H12&gt;0,INT(Skills!I12/Skills!H12+0.000000001),1)+IF(Skills!H12&gt;0,INT(MIN(Skills!I12,MAX(0,MAX(0,Inputs!$B$43-B293)-((R267-1)*(IF(Inputs!$B$38="pvp",15,MAX(0.1,Skills!D12-IF(TRUE=TRUE,Inputs!$B$32,0)))*(1-IF(AND(ArtifactsInput!$M$27,Inputs!$B$4="Chapter Hunt"),CHOOSE(ArtifactsInput!$N$27+1,20,24,28,32,36,40),0)/100)))))/Skills!H12+0.000000001),1)))/Inputs!$B$43),G267*Q267))*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Hunt"),CHOOSE(ArtifactsInput!$N$35+1,15,18,21,24,27,30)*(1-EXP(-(0.2*B288)*5)),0)+IF(AND(ArtifactsInput!$M$22,Inputs!$B$4&lt;&gt;"Chapter Hunt"),CHOOSE(ArtifactsInput!$N$22+1,10,12,14,16,18,20)*((0*(((0.15*B288*5))^0/1)+1*(((0.15*B288*5))^1/1)+2*(((0.15*B288*5))^2/2)+3*(((0.15*B288*5))^3/6)+4*(((0.15*B288*5))^4/24)+5*(((0.15*B288*5))^5/120))/((((0.15*B288*5))^0/1)+(((0.15*B288*5))^1/1)+(((0.15*B288*5))^2/2)+(((0.15*B288*5))^3/6)+(((0.15*B288*5))^4/24)+(((0.15*B288*5))^5/120))),0))+IF(Inputs!$B$3&gt;=54,9*(C258=TRUE)*MIN(1,8*(1+Inputs!$B$34/100)*Q258)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267*(1-MIN(100,(Inputs!$B$9+((C274=TRUE)*(F274-Calc!F19))+B286+(ArtifactsInput!$M$24-ArtifactsInput!$M$24)*CHOOSE(ArtifactsInput!$N$24+1,10,12,14,16,18,20)+(IF(AND(Inputs!$B$38&lt;&gt;"pvp",Inputs!$B$43=0),1,IF(IF(Inputs!$B$38="pvp",15,Inputs!$B$43)-(B293)&lt;=0,1,MAX(0,IF(Inputs!$B$38="pvp",15,Inputs!$B$43)-MAX(5,B293))/(IF(Inputs!$B$38="pvp",15,Inputs!$B$43)-(B293))))*IF(AND(ArtifactsInput!$M$42,((Inputs!$B$9+((C274=TRUE)*(F274-Calc!F19))+B286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267*(MIN(100,(Inputs!$B$9+((C274=TRUE)*(F274-Calc!F19))+B286+(ArtifactsInput!$M$24-ArtifactsInput!$M$24)*CHOOSE(ArtifactsInput!$N$24+1,10,12,14,16,18,20)+(IF(AND(Inputs!$B$38&lt;&gt;"pvp",Inputs!$B$43=0),1,IF(IF(Inputs!$B$38="pvp",15,Inputs!$B$43)-(B293)&lt;=0,1,MAX(0,IF(Inputs!$B$38="pvp",15,Inputs!$B$43)-MAX(5,B293))/(IF(Inputs!$B$38="pvp",15,Inputs!$B$43)-(B293))))*IF(AND(ArtifactsInput!$M$42,((Inputs!$B$9+((C274=TRUE)*(F274-Calc!F19))+B286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267*(1-MIN(100,(Inputs!$B$9+((C274=TRUE)*(F274-Calc!F19))+B286+(ArtifactsInput!$M$24-ArtifactsInput!$M$24)*CHOOSE(ArtifactsInput!$N$24+1,10,12,14,16,18,20)+(IF(AND(Inputs!$B$38&lt;&gt;"pvp",Inputs!$B$43=0),1,IF(IF(Inputs!$B$38="pvp",15,Inputs!$B$43)-(B293)&lt;=0,1,MAX(0,IF(Inputs!$B$38="pvp",15,Inputs!$B$43)-MAX(5,B293))/(IF(Inputs!$B$38="pvp",15,Inputs!$B$43)-(B293))))*IF(AND(ArtifactsInput!$M$42,((Inputs!$B$9+((C274=TRUE)*(F274-Calc!F19))+B286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267*(MIN(100,(Inputs!$B$9+((C274=TRUE)*(F274-Calc!F19))+B286+(ArtifactsInput!$M$24-ArtifactsInput!$M$24)*CHOOSE(ArtifactsInput!$N$24+1,10,12,14,16,18,20)+(IF(AND(Inputs!$B$38&lt;&gt;"pvp",Inputs!$B$43=0),1,IF(IF(Inputs!$B$38="pvp",15,Inputs!$B$43)-(B293)&lt;=0,1,MAX(0,IF(Inputs!$B$38="pvp",15,Inputs!$B$43)-MAX(5,B293))/(IF(Inputs!$B$38="pvp",15,Inputs!$B$43)-(B293))))*IF(AND(ArtifactsInput!$M$42,((Inputs!$B$9+((C274=TRUE)*(F274-Calc!F19))+B286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7">
        <f>IF(C267,(H267*N267*IF(AND(Inputs!$B$38&lt;&gt;"pvp",Inputs!$B$43&gt;0),((Skills!G12*((R267-1)*IF(Skills!H12&gt;0,INT(Skills!I12/Skills!H12+0.000000001),1)+IF(Skills!H12&gt;0,INT(MIN(Skills!I12,MAX(0,MAX(0,Inputs!$B$43-B293)-((R267-1)*(IF(Inputs!$B$38="pvp",15,MAX(0.1,Skills!D12-IF(TRUE=TRUE,Inputs!$B$32,0)))*(1-IF(AND(ArtifactsInput!$M$27,Inputs!$B$4="Chapter Hunt"),CHOOSE(ArtifactsInput!$N$27+1,20,24,28,32,36,40),0)/100)))))/Skills!H12+0.000000001),1)))/Inputs!$B$43),G267*Q267))*IF(Inputs!$B$38="pvp",1,(1+(Inputs!$B$21+Skills!Q12+(IF(ArtifactsInput!$M$33,CHOOSE(ArtifactsInput!$N$33+1,30,36,42,48,54,60),0))+(IF(AND(ArtifactsInput!$M$35,Inputs!$B$4&lt;&gt;"Chapter Hunt"),CHOOSE(ArtifactsInput!$N$35+1,15,18,21,24,27,30)*(1-EXP(-(0.2*B288)*5)),0)+IF(AND(ArtifactsInput!$M$22,Inputs!$B$4&lt;&gt;"Chapter Hunt"),CHOOSE(ArtifactsInput!$N$22+1,10,12,14,16,18,20)*((0*(((0.15*B288*5))^0/1)+1*(((0.15*B288*5))^1/1)+2*(((0.15*B288*5))^2/2)+3*(((0.15*B288*5))^3/6)+4*(((0.15*B288*5))^4/24)+5*(((0.15*B288*5))^5/120))/((((0.15*B288*5))^0/1)+(((0.15*B288*5))^1/1)+(((0.15*B288*5))^2/2)+(((0.15*B288*5))^3/6)+(((0.15*B288*5))^4/24)+(((0.15*B288*5))^5/120))),0))+IF(Inputs!$B$3&gt;=54,9*(C258=TRUE)*MIN(1,8*(1+Inputs!$B$34/100)*Q258),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8">
      <c r="A268">
        <f>Skills!A13</f>
        <v/>
      </c>
      <c r="B268">
        <f>Skills!B13</f>
        <v/>
      </c>
      <c r="C268">
        <f>Inputs!$B$3&gt;=110</f>
        <v/>
      </c>
      <c r="D268">
        <f>IF(Skills!C13=1,60+Inputs!$B$25+Inputs!$B$29,IF(Skills!C13=2,90+Inputs!$B$26+Inputs!$B$29,IF(Skills!C13=3,120+Inputs!$B$27+Inputs!$B$29,MAX(0,(Inputs!$B$3-100)*3)+Inputs!$B$28+Inputs!$B$29)))</f>
        <v/>
      </c>
      <c r="E268">
        <f>INDEX(FactorTable!$B$2:$Y$301, MATCH(ROUND(MIN(300,MAX(1,D268)),0), FactorTable!$A$2:$A$301,0), Skills!M13+1)</f>
        <v/>
      </c>
      <c r="F268">
        <f>IF(Skills!N13=TRUE,(Skills!L13/10)*(E268/1000),Skills!L13/10)+Skills!O13</f>
        <v/>
      </c>
      <c r="G268">
        <f>Skills!G13*IF(Skills!H13&gt;0,INT(IF(Inputs!$B$38="pvp",MIN(Skills!I13,15),Skills!I13)/Skills!H13+0.000000001),1)</f>
        <v/>
      </c>
      <c r="H268">
        <f>1-(1-Skills!J13/100)^Skills!K13</f>
        <v/>
      </c>
      <c r="I268" t="inlineStr">
        <is>
          <t>1</t>
        </is>
      </c>
      <c r="J268">
        <f>((Inputs!$B$6*(1+Inputs!$B$7/100))+(((Inputs!$B$12*(1+Inputs!$B$13/100))-(Inputs!$B$12*(1+Inputs!$B$13/100)))+0.25*(Inputs!$B$14-Inputs!$B$14))*(1+Inputs!$B$7/100))*(F268/100)</f>
        <v/>
      </c>
      <c r="K268">
        <f>J268*(1+((Inputs!$B$12*(1+Inputs!$B$13/100))*0.01+Inputs!$B$14*0.0025)/100)*(1+Inputs!$B$15/100)*(1+(Inputs!$B$16+1)/100)*(5000/(6000+Inputs!$B$42*(1-(100*(1-(1-(Inputs!$B$19+0)/100)*(1-CHOOSE(ArtifactsInput!$N$40+1,5,6,7,8,9,10)/100)^(ArtifactsInput!$M$40-ArtifactsInput!$M$40)))/100)))*(1+(Inputs!$B$24+((C281=TRUE)*(F281-Calc!F26))+B292)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EIGHT_LEGS_EASTON",Inputs!$B$17+((C278=TRUE)*(F278-Calc!F23))+((C282=TRUE)*(F282-Calc!F27))+((IF(AND(Inputs!$B$38&lt;&gt;"pvp",Inputs!$B$43=0),1,IF(IF(Inputs!$B$38="pvp",15,Inputs!$B$43)-(B293)&lt;=0,1,MAX(0,IF(Inputs!$B$38="pvp",15,Inputs!$B$43)-MAX(5,B293))/(IF(Inputs!$B$38="pvp",15,Inputs!$B$43)-(B293))))*(IF(AND(ArtifactsInput!$M$42,((Inputs!$B$9+((C274=TRUE)*(F274-Calc!F19))+B286+(ArtifactsInput!$M$24-ArtifactsInput!$M$24)*CHOOSE(ArtifactsInput!$N$24+1,10,12,14,16,18,20)+IF(ArtifactsInput!$M$10,CHOOSE(ArtifactsInput!$N$10+1,15,18,21,24,27,30)*(IF(Inputs!$B$38="pvp",MIN(15,15)/15,IF(AND(Inputs!$B$38&lt;&gt;"pvp",Inputs!$B$43&gt;0),MIN(15,Inputs!$B$43)/(Inputs!$B$43),0))),0)))&gt;=100),MIN(100,((Inputs!$B$9+((C274=TRUE)*(F274-Calc!F19))+B286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293)&lt;=0,1,MAX(0,IF(Inputs!$B$38="pvp",15,Inputs!$B$43)-MAX(5,B293))/(IF(Inputs!$B$38="pvp",15,Inputs!$B$43)-(B293))))*IF(AND(ArtifactsInput!$M$42,((Inputs!$B$9+((C274=TRUE)*(F274-Calc!F19))+B286+(ArtifactsInput!$M$24-ArtifactsInput!$M$24)*CHOOSE(ArtifactsInput!$N$24+1,10,12,14,16,18,20)+IF(ArtifactsInput!$M$10,CHOOSE(ArtifactsInput!$N$10+1,15,18,21,24,27,30)*(IF(Inputs!$B$38="pvp",MIN(15,15)/15,IF(AND(Inputs!$B$38&lt;&gt;"pvp",Inputs!$B$43&gt;0),MIN(15,Inputs!$B$43)/(Inputs!$B$43),0))),0)))&gt;=100),CHOOSE(ArtifactsInput!$N$42+1,40,48,56,64,72,80),0))))/100)*((1+(((C272=TRUE)*F272*5/7)+((C279=TRUE)*(F279-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268)</f>
        <v/>
      </c>
      <c r="L268">
        <f>K268*(MIN(Inputs!$B$22+((C277=TRUE)*(F277-Calc!F22)),(Inputs!$B$23+0+(IF(ArtifactsInput!$M$15,CHOOSE(ArtifactsInput!$N$15+1,25,30,35,40,45,50)/100*(Inputs!$B$11-Inputs!$B$11),0))))/100+(Inputs!$B$23+0+(IF(ArtifactsInput!$M$15,CHOOSE(ArtifactsInput!$N$15+1,25,30,35,40,45,50)/100*(Inputs!$B$11-Inputs!$B$11),0)))/100)/2</f>
        <v/>
      </c>
      <c r="M268">
        <f>L268*(1+(Inputs!$B$10+((C280=TRUE)*(F280-Calc!F25))+B291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8">
        <f>L268*(1-MIN((Inputs!$B$9+((C274=TRUE)*(F274-Calc!F19))+B286+(ArtifactsInput!$M$24-ArtifactsInput!$M$24)*CHOOSE(ArtifactsInput!$N$24+1,10,12,14,16,18,20)+(IF(AND(Inputs!$B$38&lt;&gt;"pvp",Inputs!$B$43=0),1,IF(IF(Inputs!$B$38="pvp",15,Inputs!$B$43)-(B293)&lt;=0,1,MAX(0,IF(Inputs!$B$38="pvp",15,Inputs!$B$43)-MAX(5,B293))/(IF(Inputs!$B$38="pvp",15,Inputs!$B$43)-(B293))))*IF(AND(ArtifactsInput!$M$42,((Inputs!$B$9+((C274=TRUE)*(F274-Calc!F19))+B286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268*(MIN((Inputs!$B$9+((C274=TRUE)*(F274-Calc!F19))+B286+(ArtifactsInput!$M$24-ArtifactsInput!$M$24)*CHOOSE(ArtifactsInput!$N$24+1,10,12,14,16,18,20)+(IF(AND(Inputs!$B$38&lt;&gt;"pvp",Inputs!$B$43=0),1,IF(IF(Inputs!$B$38="pvp",15,Inputs!$B$43)-(B293)&lt;=0,1,MAX(0,IF(Inputs!$B$38="pvp",15,Inputs!$B$43)-MAX(5,B293))/(IF(Inputs!$B$38="pvp",15,Inputs!$B$43)-(B293))))*IF(AND(ArtifactsInput!$M$42,((Inputs!$B$9+((C274=TRUE)*(F274-Calc!F19))+B286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8">
        <f>(1-Summary!$B$11)*T268+Summary!$B$11*V268</f>
        <v/>
      </c>
      <c r="P268">
        <f>IF(B296=0,0,O268/B296)</f>
        <v/>
      </c>
      <c r="Q268">
        <f>IFERROR(1/(IF(Inputs!$B$38="pvp",15,MAX(0.1,Skills!D13-IF(TRUE=TRUE,Inputs!$B$32,0)))*(1-IF(AND(ArtifactsInput!$M$27,Inputs!$B$4="Chapter Hunt"),CHOOSE(ArtifactsInput!$N$27+1,20,24,28,32,36,40),0)/100)),0)</f>
        <v/>
      </c>
      <c r="R268">
        <f>IF(AND(Inputs!$B$38&lt;&gt;"pvp",Inputs!$B$43&gt;0),IF(MAX(0,Inputs!$B$43-B293)&lt;=0,0,(INT(MAX(0,Inputs!$B$43-B293)/(IF(Inputs!$B$38="pvp",15,MAX(0.1,Skills!D13-IF(TRUE=TRUE,Inputs!$B$32,0)))*(1-IF(AND(ArtifactsInput!$M$27,Inputs!$B$4="Chapter Hunt"),CHOOSE(ArtifactsInput!$N$27+1,20,24,28,32,36,40),0)/100)))+1)),0)</f>
        <v/>
      </c>
      <c r="S268">
        <f>IFERROR(O268/N268,0)</f>
        <v/>
      </c>
      <c r="T268">
        <f>IF(C268,(H268*N268*IF(AND(Inputs!$B$38&lt;&gt;"pvp",Inputs!$B$43&gt;0),((Skills!G13*((R268-1)*IF(Skills!H13&gt;0,INT(Skills!I13/Skills!H13+0.000000001),1)+IF(Skills!H13&gt;0,INT(MIN(Skills!I13,MAX(0,MAX(0,Inputs!$B$43-B293)-((R268-1)*(IF(Inputs!$B$38="pvp",15,MAX(0.1,Skills!D13-IF(TRUE=TRUE,Inputs!$B$32,0)))*(1-IF(AND(ArtifactsInput!$M$27,Inputs!$B$4="Chapter Hunt"),CHOOSE(ArtifactsInput!$N$27+1,20,24,28,32,36,40),0)/100)))))/Skills!H13+0.000000001),1)))/Inputs!$B$43),G268*Q268))*IF(Inputs!$B$38="pvp",1,1+(Inputs!$B$20+0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Hunt"),CHOOSE(ArtifactsInput!$N$35+1,15,18,21,24,27,30)*(1-EXP(-(0.2*B288)*5)),0)+IF(AND(ArtifactsInput!$M$22,Inputs!$B$4&lt;&gt;"Chapter Hunt"),CHOOSE(ArtifactsInput!$N$22+1,10,12,14,16,18,20)*((0*(((0.15*B288*5))^0/1)+1*(((0.15*B288*5))^1/1)+2*(((0.15*B288*5))^2/2)+3*(((0.15*B288*5))^3/6)+4*(((0.15*B288*5))^4/24)+5*(((0.15*B288*5))^5/120))/((((0.15*B288*5))^0/1)+(((0.15*B288*5))^1/1)+(((0.15*B288*5))^2/2)+(((0.15*B288*5))^3/6)+(((0.15*B288*5))^4/24)+(((0.15*B288*5))^5/120))),0))+IF(Inputs!$B$3&gt;=54,9*(C258=TRUE)*MIN(1,8*(1+Inputs!$B$34/100)*Q258)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268*(1-MIN(100,(Inputs!$B$9+((C274=TRUE)*(F274-Calc!F19))+B286+(ArtifactsInput!$M$24-ArtifactsInput!$M$24)*CHOOSE(ArtifactsInput!$N$24+1,10,12,14,16,18,20)+(IF(AND(Inputs!$B$38&lt;&gt;"pvp",Inputs!$B$43=0),1,IF(IF(Inputs!$B$38="pvp",15,Inputs!$B$43)-(B293)&lt;=0,1,MAX(0,IF(Inputs!$B$38="pvp",15,Inputs!$B$43)-MAX(5,B293))/(IF(Inputs!$B$38="pvp",15,Inputs!$B$43)-(B293))))*IF(AND(ArtifactsInput!$M$42,((Inputs!$B$9+((C274=TRUE)*(F274-Calc!F19))+B286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268*(MIN(100,(Inputs!$B$9+((C274=TRUE)*(F274-Calc!F19))+B286+(ArtifactsInput!$M$24-ArtifactsInput!$M$24)*CHOOSE(ArtifactsInput!$N$24+1,10,12,14,16,18,20)+(IF(AND(Inputs!$B$38&lt;&gt;"pvp",Inputs!$B$43=0),1,IF(IF(Inputs!$B$38="pvp",15,Inputs!$B$43)-(B293)&lt;=0,1,MAX(0,IF(Inputs!$B$38="pvp",15,Inputs!$B$43)-MAX(5,B293))/(IF(Inputs!$B$38="pvp",15,Inputs!$B$43)-(B293))))*IF(AND(ArtifactsInput!$M$42,((Inputs!$B$9+((C274=TRUE)*(F274-Calc!F19))+B286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268*(1-MIN(100,(Inputs!$B$9+((C274=TRUE)*(F274-Calc!F19))+B286+(ArtifactsInput!$M$24-ArtifactsInput!$M$24)*CHOOSE(ArtifactsInput!$N$24+1,10,12,14,16,18,20)+(IF(AND(Inputs!$B$38&lt;&gt;"pvp",Inputs!$B$43=0),1,IF(IF(Inputs!$B$38="pvp",15,Inputs!$B$43)-(B293)&lt;=0,1,MAX(0,IF(Inputs!$B$38="pvp",15,Inputs!$B$43)-MAX(5,B293))/(IF(Inputs!$B$38="pvp",15,Inputs!$B$43)-(B293))))*IF(AND(ArtifactsInput!$M$42,((Inputs!$B$9+((C274=TRUE)*(F274-Calc!F19))+B286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268*(MIN(100,(Inputs!$B$9+((C274=TRUE)*(F274-Calc!F19))+B286+(ArtifactsInput!$M$24-ArtifactsInput!$M$24)*CHOOSE(ArtifactsInput!$N$24+1,10,12,14,16,18,20)+(IF(AND(Inputs!$B$38&lt;&gt;"pvp",Inputs!$B$43=0),1,IF(IF(Inputs!$B$38="pvp",15,Inputs!$B$43)-(B293)&lt;=0,1,MAX(0,IF(Inputs!$B$38="pvp",15,Inputs!$B$43)-MAX(5,B293))/(IF(Inputs!$B$38="pvp",15,Inputs!$B$43)-(B293))))*IF(AND(ArtifactsInput!$M$42,((Inputs!$B$9+((C274=TRUE)*(F274-Calc!F19))+B286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8">
        <f>IF(C268,(H268*N268*IF(AND(Inputs!$B$38&lt;&gt;"pvp",Inputs!$B$43&gt;0),((Skills!G13*((R268-1)*IF(Skills!H13&gt;0,INT(Skills!I13/Skills!H13+0.000000001),1)+IF(Skills!H13&gt;0,INT(MIN(Skills!I13,MAX(0,MAX(0,Inputs!$B$43-B293)-((R268-1)*(IF(Inputs!$B$38="pvp",15,MAX(0.1,Skills!D13-IF(TRUE=TRUE,Inputs!$B$32,0)))*(1-IF(AND(ArtifactsInput!$M$27,Inputs!$B$4="Chapter Hunt"),CHOOSE(ArtifactsInput!$N$27+1,20,24,28,32,36,40),0)/100)))))/Skills!H13+0.000000001),1)))/Inputs!$B$43),G268*Q268))*IF(Inputs!$B$38="pvp",1,(1+(Inputs!$B$21+Skills!Q13+(IF(ArtifactsInput!$M$33,CHOOSE(ArtifactsInput!$N$33+1,30,36,42,48,54,60),0))+(IF(AND(ArtifactsInput!$M$35,Inputs!$B$4&lt;&gt;"Chapter Hunt"),CHOOSE(ArtifactsInput!$N$35+1,15,18,21,24,27,30)*(1-EXP(-(0.2*B288)*5)),0)+IF(AND(ArtifactsInput!$M$22,Inputs!$B$4&lt;&gt;"Chapter Hunt"),CHOOSE(ArtifactsInput!$N$22+1,10,12,14,16,18,20)*((0*(((0.15*B288*5))^0/1)+1*(((0.15*B288*5))^1/1)+2*(((0.15*B288*5))^2/2)+3*(((0.15*B288*5))^3/6)+4*(((0.15*B288*5))^4/24)+5*(((0.15*B288*5))^5/120))/((((0.15*B288*5))^0/1)+(((0.15*B288*5))^1/1)+(((0.15*B288*5))^2/2)+(((0.15*B288*5))^3/6)+(((0.15*B288*5))^4/24)+(((0.15*B288*5))^5/120))),0))+IF(Inputs!$B$3&gt;=54,9*(C258=TRUE)*MIN(1,8*(1+Inputs!$B$34/100)*Q258),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9">
      <c r="A269">
        <f>Skills!A14</f>
        <v/>
      </c>
      <c r="B269">
        <f>Skills!B14</f>
        <v/>
      </c>
      <c r="C269">
        <f>Inputs!$B$3&gt;=120</f>
        <v/>
      </c>
      <c r="D269">
        <f>IF(Skills!C14=1,60+Inputs!$B$25+Inputs!$B$29,IF(Skills!C14=2,90+Inputs!$B$26+Inputs!$B$29,IF(Skills!C14=3,120+Inputs!$B$27+Inputs!$B$29,MAX(0,(Inputs!$B$3-100)*3)+Inputs!$B$28+Inputs!$B$29)))</f>
        <v/>
      </c>
      <c r="E269">
        <f>INDEX(FactorTable!$B$2:$Y$301, MATCH(ROUND(MIN(300,MAX(1,D269)),0), FactorTable!$A$2:$A$301,0), Skills!M14+1)</f>
        <v/>
      </c>
      <c r="F269">
        <f>IF(Skills!N14=TRUE,(Skills!L14/10)*(E269/1000),Skills!L14/10)+Skills!O14</f>
        <v/>
      </c>
      <c r="G269">
        <f>Skills!G14*IF(Skills!H14&gt;0,INT(IF(Inputs!$B$38="pvp",MIN(Skills!I14,15),Skills!I14)/Skills!H14+0.000000001),1)</f>
        <v/>
      </c>
      <c r="H269">
        <f>1-(1-Skills!J14/100)^Skills!K14</f>
        <v/>
      </c>
      <c r="I269" t="inlineStr">
        <is>
          <t>1</t>
        </is>
      </c>
      <c r="J269">
        <f>((Inputs!$B$6*(1+Inputs!$B$7/100))+(((Inputs!$B$12*(1+Inputs!$B$13/100))-(Inputs!$B$12*(1+Inputs!$B$13/100)))+0.25*(Inputs!$B$14-Inputs!$B$14))*(1+Inputs!$B$7/100))*(F269/100)</f>
        <v/>
      </c>
      <c r="K269">
        <f>J269*(1+((Inputs!$B$12*(1+Inputs!$B$13/100))*0.01+Inputs!$B$14*0.0025)/100)*(1+Inputs!$B$15/100)*(1+(Inputs!$B$16+1)/100)*(5000/(6000+Inputs!$B$42*(1-(100*(1-(1-(Inputs!$B$19+0)/100)*(1-CHOOSE(ArtifactsInput!$N$40+1,5,6,7,8,9,10)/100)^(ArtifactsInput!$M$40-ArtifactsInput!$M$40)))/100)))*(1+(Inputs!$B$24+((C281=TRUE)*(F281-Calc!F26))+B292)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EIGHT_LEGS_EASTON",Inputs!$B$17+((C278=TRUE)*(F278-Calc!F23))+((C282=TRUE)*(F282-Calc!F27))+((IF(AND(Inputs!$B$38&lt;&gt;"pvp",Inputs!$B$43=0),1,IF(IF(Inputs!$B$38="pvp",15,Inputs!$B$43)-(B293)&lt;=0,1,MAX(0,IF(Inputs!$B$38="pvp",15,Inputs!$B$43)-MAX(5,B293))/(IF(Inputs!$B$38="pvp",15,Inputs!$B$43)-(B293))))*(IF(AND(ArtifactsInput!$M$42,((Inputs!$B$9+((C274=TRUE)*(F274-Calc!F19))+B286+(ArtifactsInput!$M$24-ArtifactsInput!$M$24)*CHOOSE(ArtifactsInput!$N$24+1,10,12,14,16,18,20)+IF(ArtifactsInput!$M$10,CHOOSE(ArtifactsInput!$N$10+1,15,18,21,24,27,30)*(IF(Inputs!$B$38="pvp",MIN(15,15)/15,IF(AND(Inputs!$B$38&lt;&gt;"pvp",Inputs!$B$43&gt;0),MIN(15,Inputs!$B$43)/(Inputs!$B$43),0))),0)))&gt;=100),MIN(100,((Inputs!$B$9+((C274=TRUE)*(F274-Calc!F19))+B286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293)&lt;=0,1,MAX(0,IF(Inputs!$B$38="pvp",15,Inputs!$B$43)-MAX(5,B293))/(IF(Inputs!$B$38="pvp",15,Inputs!$B$43)-(B293))))*IF(AND(ArtifactsInput!$M$42,((Inputs!$B$9+((C274=TRUE)*(F274-Calc!F19))+B286+(ArtifactsInput!$M$24-ArtifactsInput!$M$24)*CHOOSE(ArtifactsInput!$N$24+1,10,12,14,16,18,20)+IF(ArtifactsInput!$M$10,CHOOSE(ArtifactsInput!$N$10+1,15,18,21,24,27,30)*(IF(Inputs!$B$38="pvp",MIN(15,15)/15,IF(AND(Inputs!$B$38&lt;&gt;"pvp",Inputs!$B$43&gt;0),MIN(15,Inputs!$B$43)/(Inputs!$B$43),0))),0)))&gt;=100),CHOOSE(ArtifactsInput!$N$42+1,40,48,56,64,72,80),0))))/100)*((1+(((C272=TRUE)*F272*5/7)+((C279=TRUE)*(F279-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269)</f>
        <v/>
      </c>
      <c r="L269">
        <f>K269*(MIN(Inputs!$B$22+((C277=TRUE)*(F277-Calc!F22)),(Inputs!$B$23+0+(IF(ArtifactsInput!$M$15,CHOOSE(ArtifactsInput!$N$15+1,25,30,35,40,45,50)/100*(Inputs!$B$11-Inputs!$B$11),0))))/100+(Inputs!$B$23+0+(IF(ArtifactsInput!$M$15,CHOOSE(ArtifactsInput!$N$15+1,25,30,35,40,45,50)/100*(Inputs!$B$11-Inputs!$B$11),0)))/100)/2</f>
        <v/>
      </c>
      <c r="M269">
        <f>L269*(1+(Inputs!$B$10+((C280=TRUE)*(F280-Calc!F25))+B291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9">
        <f>L269*(1-MIN((Inputs!$B$9+((C274=TRUE)*(F274-Calc!F19))+B286+(ArtifactsInput!$M$24-ArtifactsInput!$M$24)*CHOOSE(ArtifactsInput!$N$24+1,10,12,14,16,18,20)+(IF(AND(Inputs!$B$38&lt;&gt;"pvp",Inputs!$B$43=0),1,IF(IF(Inputs!$B$38="pvp",15,Inputs!$B$43)-(B293)&lt;=0,1,MAX(0,IF(Inputs!$B$38="pvp",15,Inputs!$B$43)-MAX(5,B293))/(IF(Inputs!$B$38="pvp",15,Inputs!$B$43)-(B293))))*IF(AND(ArtifactsInput!$M$42,((Inputs!$B$9+((C274=TRUE)*(F274-Calc!F19))+B286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269*(MIN((Inputs!$B$9+((C274=TRUE)*(F274-Calc!F19))+B286+(ArtifactsInput!$M$24-ArtifactsInput!$M$24)*CHOOSE(ArtifactsInput!$N$24+1,10,12,14,16,18,20)+(IF(AND(Inputs!$B$38&lt;&gt;"pvp",Inputs!$B$43=0),1,IF(IF(Inputs!$B$38="pvp",15,Inputs!$B$43)-(B293)&lt;=0,1,MAX(0,IF(Inputs!$B$38="pvp",15,Inputs!$B$43)-MAX(5,B293))/(IF(Inputs!$B$38="pvp",15,Inputs!$B$43)-(B293))))*IF(AND(ArtifactsInput!$M$42,((Inputs!$B$9+((C274=TRUE)*(F274-Calc!F19))+B286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9">
        <f>(1-Summary!$B$11)*T269+Summary!$B$11*V269</f>
        <v/>
      </c>
      <c r="P269">
        <f>IF(B296=0,0,O269/B296)</f>
        <v/>
      </c>
      <c r="Q269" t="n">
        <v>0</v>
      </c>
      <c r="R269" t="n">
        <v>0</v>
      </c>
      <c r="S269">
        <f>IFERROR(O269/N269,0)</f>
        <v/>
      </c>
      <c r="T269">
        <f>IF(C269,((H269*(B290+IF(AND(Inputs!$B$38&lt;&gt;"pvp",Inputs!$B$43&gt;0),((Skills!G8*((R263-1)*IF(Skills!H8&gt;0,INT(Skills!I8/Skills!H8+0.000000001),1)+IF(Skills!H8&gt;0,INT(MIN(Skills!I8,MAX(0,MAX(0,Inputs!$B$43-B293)-((R263-1)*((IF(Inputs!$B$38="pvp",15,MAX(0.1,Skills!D8-IF(TRUE=TRUE,Inputs!$B$32,0)))*(1-IF(AND(ArtifactsInput!$M$27,Inputs!$B$4="Chapter Hunt"),CHOOSE(ArtifactsInput!$N$27+1,20,24,28,32,36,40),0)/100))/B297))))/Skills!H8+0.000000001),1)))/Inputs!$B$43),G263*Q263)+IF(AND(Inputs!$B$38&lt;&gt;"pvp",Inputs!$B$43&gt;0),((Skills!G11*((R266-1)*IF(Skills!H11&gt;0,INT(Skills!I11/Skills!H11+0.000000001),1)+IF(Skills!H11&gt;0,INT(MIN(Skills!I11,MAX(0,MAX(0,Inputs!$B$43-B293)-((R266-1)*((IF(Inputs!$B$38="pvp",15,MAX(0.1,Skills!D11-IF(TRUE=TRUE,Inputs!$B$32,0)))*(1-IF(AND(ArtifactsInput!$M$27,Inputs!$B$4="Chapter Hunt"),CHOOSE(ArtifactsInput!$N$27+1,20,24,28,32,36,40),0)/100))/B297))))/Skills!H11+0.000000001),1)))/Inputs!$B$43),G266*Q266)))/(1+Skills!H14*H269*(B290+IF(AND(Inputs!$B$38&lt;&gt;"pvp",Inputs!$B$43&gt;0),((Skills!G8*((R263-1)*IF(Skills!H8&gt;0,INT(Skills!I8/Skills!H8+0.000000001),1)+IF(Skills!H8&gt;0,INT(MIN(Skills!I8,MAX(0,MAX(0,Inputs!$B$43-B293)-((R263-1)*((IF(Inputs!$B$38="pvp",15,MAX(0.1,Skills!D8-IF(TRUE=TRUE,Inputs!$B$32,0)))*(1-IF(AND(ArtifactsInput!$M$27,Inputs!$B$4="Chapter Hunt"),CHOOSE(ArtifactsInput!$N$27+1,20,24,28,32,36,40),0)/100))/B297))))/Skills!H8+0.000000001),1)))/Inputs!$B$43),G263*Q263)+IF(AND(Inputs!$B$38&lt;&gt;"pvp",Inputs!$B$43&gt;0),((Skills!G11*((R266-1)*IF(Skills!H11&gt;0,INT(Skills!I11/Skills!H11+0.000000001),1)+IF(Skills!H11&gt;0,INT(MIN(Skills!I11,MAX(0,MAX(0,Inputs!$B$43-B293)-((R266-1)*((IF(Inputs!$B$38="pvp",15,MAX(0.1,Skills!D11-IF(TRUE=TRUE,Inputs!$B$32,0)))*(1-IF(AND(ArtifactsInput!$M$27,Inputs!$B$4="Chapter Hunt"),CHOOSE(ArtifactsInput!$N$27+1,20,24,28,32,36,40),0)/100))/B297))))/Skills!H11+0.000000001),1)))/Inputs!$B$43),G266*Q266)))*N269)*IF(Inputs!$B$38="pvp",1,1+(Inputs!$B$20+0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Hunt"),CHOOSE(ArtifactsInput!$N$35+1,15,18,21,24,27,30)*(1-EXP(-(0.2*B288)*5)),0)+IF(AND(ArtifactsInput!$M$22,Inputs!$B$4&lt;&gt;"Chapter Hunt"),CHOOSE(ArtifactsInput!$N$22+1,10,12,14,16,18,20)*((0*(((0.15*B288*5))^0/1)+1*(((0.15*B288*5))^1/1)+2*(((0.15*B288*5))^2/2)+3*(((0.15*B288*5))^3/6)+4*(((0.15*B288*5))^4/24)+5*(((0.15*B288*5))^5/120))/((((0.15*B288*5))^0/1)+(((0.15*B288*5))^1/1)+(((0.15*B288*5))^2/2)+(((0.15*B288*5))^3/6)+(((0.15*B288*5))^4/24)+(((0.15*B288*5))^5/120))),0))+IF(Inputs!$B$3&gt;=54,9*(C258=TRUE)*MIN(1,8*(1+Inputs!$B$34/100)*Q258)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269*(1-MIN(100,(Inputs!$B$9+((C274=TRUE)*(F274-Calc!F19))+B286+(ArtifactsInput!$M$24-ArtifactsInput!$M$24)*CHOOSE(ArtifactsInput!$N$24+1,10,12,14,16,18,20)+(IF(AND(Inputs!$B$38&lt;&gt;"pvp",Inputs!$B$43=0),1,IF(IF(Inputs!$B$38="pvp",15,Inputs!$B$43)-(B293)&lt;=0,1,MAX(0,IF(Inputs!$B$38="pvp",15,Inputs!$B$43)-MAX(5,B293))/(IF(Inputs!$B$38="pvp",15,Inputs!$B$43)-(B293))))*IF(AND(ArtifactsInput!$M$42,((Inputs!$B$9+((C274=TRUE)*(F274-Calc!F19))+B286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269*(MIN(100,(Inputs!$B$9+((C274=TRUE)*(F274-Calc!F19))+B286+(ArtifactsInput!$M$24-ArtifactsInput!$M$24)*CHOOSE(ArtifactsInput!$N$24+1,10,12,14,16,18,20)+(IF(AND(Inputs!$B$38&lt;&gt;"pvp",Inputs!$B$43=0),1,IF(IF(Inputs!$B$38="pvp",15,Inputs!$B$43)-(B293)&lt;=0,1,MAX(0,IF(Inputs!$B$38="pvp",15,Inputs!$B$43)-MAX(5,B293))/(IF(Inputs!$B$38="pvp",15,Inputs!$B$43)-(B293))))*IF(AND(ArtifactsInput!$M$42,((Inputs!$B$9+((C274=TRUE)*(F274-Calc!F19))+B286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269*(1-MIN(100,(Inputs!$B$9+((C274=TRUE)*(F274-Calc!F19))+B286+(ArtifactsInput!$M$24-ArtifactsInput!$M$24)*CHOOSE(ArtifactsInput!$N$24+1,10,12,14,16,18,20)+(IF(AND(Inputs!$B$38&lt;&gt;"pvp",Inputs!$B$43=0),1,IF(IF(Inputs!$B$38="pvp",15,Inputs!$B$43)-(B293)&lt;=0,1,MAX(0,IF(Inputs!$B$38="pvp",15,Inputs!$B$43)-MAX(5,B293))/(IF(Inputs!$B$38="pvp",15,Inputs!$B$43)-(B293))))*IF(AND(ArtifactsInput!$M$42,((Inputs!$B$9+((C274=TRUE)*(F274-Calc!F19))+B286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269*(MIN(100,(Inputs!$B$9+((C274=TRUE)*(F274-Calc!F19))+B286+(ArtifactsInput!$M$24-ArtifactsInput!$M$24)*CHOOSE(ArtifactsInput!$N$24+1,10,12,14,16,18,20)+(IF(AND(Inputs!$B$38&lt;&gt;"pvp",Inputs!$B$43=0),1,IF(IF(Inputs!$B$38="pvp",15,Inputs!$B$43)-(B293)&lt;=0,1,MAX(0,IF(Inputs!$B$38="pvp",15,Inputs!$B$43)-MAX(5,B293))/(IF(Inputs!$B$38="pvp",15,Inputs!$B$43)-(B293))))*IF(AND(ArtifactsInput!$M$42,((Inputs!$B$9+((C274=TRUE)*(F274-Calc!F19))+B286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9">
        <f>IF(C269,((H269*(B290+IF(AND(Inputs!$B$38&lt;&gt;"pvp",Inputs!$B$43&gt;0),((Skills!G8*((R263-1)*IF(Skills!H8&gt;0,INT(Skills!I8/Skills!H8+0.000000001),1)+IF(Skills!H8&gt;0,INT(MIN(Skills!I8,MAX(0,MAX(0,Inputs!$B$43-B293)-((R263-1)*((IF(Inputs!$B$38="pvp",15,MAX(0.1,Skills!D8-IF(TRUE=TRUE,Inputs!$B$32,0)))*(1-IF(AND(ArtifactsInput!$M$27,Inputs!$B$4="Chapter Hunt"),CHOOSE(ArtifactsInput!$N$27+1,20,24,28,32,36,40),0)/100))/B297))))/Skills!H8+0.000000001),1)))/Inputs!$B$43),G263*Q263)+IF(AND(Inputs!$B$38&lt;&gt;"pvp",Inputs!$B$43&gt;0),((Skills!G11*((R266-1)*IF(Skills!H11&gt;0,INT(Skills!I11/Skills!H11+0.000000001),1)+IF(Skills!H11&gt;0,INT(MIN(Skills!I11,MAX(0,MAX(0,Inputs!$B$43-B293)-((R266-1)*((IF(Inputs!$B$38="pvp",15,MAX(0.1,Skills!D11-IF(TRUE=TRUE,Inputs!$B$32,0)))*(1-IF(AND(ArtifactsInput!$M$27,Inputs!$B$4="Chapter Hunt"),CHOOSE(ArtifactsInput!$N$27+1,20,24,28,32,36,40),0)/100))/B297))))/Skills!H11+0.000000001),1)))/Inputs!$B$43),G266*Q266)))/(1+Skills!H14*H269*(B290+IF(AND(Inputs!$B$38&lt;&gt;"pvp",Inputs!$B$43&gt;0),((Skills!G8*((R263-1)*IF(Skills!H8&gt;0,INT(Skills!I8/Skills!H8+0.000000001),1)+IF(Skills!H8&gt;0,INT(MIN(Skills!I8,MAX(0,MAX(0,Inputs!$B$43-B293)-((R263-1)*((IF(Inputs!$B$38="pvp",15,MAX(0.1,Skills!D8-IF(TRUE=TRUE,Inputs!$B$32,0)))*(1-IF(AND(ArtifactsInput!$M$27,Inputs!$B$4="Chapter Hunt"),CHOOSE(ArtifactsInput!$N$27+1,20,24,28,32,36,40),0)/100))/B297))))/Skills!H8+0.000000001),1)))/Inputs!$B$43),G263*Q263)+IF(AND(Inputs!$B$38&lt;&gt;"pvp",Inputs!$B$43&gt;0),((Skills!G11*((R266-1)*IF(Skills!H11&gt;0,INT(Skills!I11/Skills!H11+0.000000001),1)+IF(Skills!H11&gt;0,INT(MIN(Skills!I11,MAX(0,MAX(0,Inputs!$B$43-B293)-((R266-1)*((IF(Inputs!$B$38="pvp",15,MAX(0.1,Skills!D11-IF(TRUE=TRUE,Inputs!$B$32,0)))*(1-IF(AND(ArtifactsInput!$M$27,Inputs!$B$4="Chapter Hunt"),CHOOSE(ArtifactsInput!$N$27+1,20,24,28,32,36,40),0)/100))/B297))))/Skills!H11+0.000000001),1)))/Inputs!$B$43),G266*Q266)))*N269)*IF(Inputs!$B$38="pvp",1,(1+(Inputs!$B$21+Skills!Q14+(IF(ArtifactsInput!$M$33,CHOOSE(ArtifactsInput!$N$33+1,30,36,42,48,54,60),0))+(IF(AND(ArtifactsInput!$M$35,Inputs!$B$4&lt;&gt;"Chapter Hunt"),CHOOSE(ArtifactsInput!$N$35+1,15,18,21,24,27,30)*(1-EXP(-(0.2*B288)*5)),0)+IF(AND(ArtifactsInput!$M$22,Inputs!$B$4&lt;&gt;"Chapter Hunt"),CHOOSE(ArtifactsInput!$N$22+1,10,12,14,16,18,20)*((0*(((0.15*B288*5))^0/1)+1*(((0.15*B288*5))^1/1)+2*(((0.15*B288*5))^2/2)+3*(((0.15*B288*5))^3/6)+4*(((0.15*B288*5))^4/24)+5*(((0.15*B288*5))^5/120))/((((0.15*B288*5))^0/1)+(((0.15*B288*5))^1/1)+(((0.15*B288*5))^2/2)+(((0.15*B288*5))^3/6)+(((0.15*B288*5))^4/24)+(((0.15*B288*5))^5/120))),0))+IF(Inputs!$B$3&gt;=54,9*(C258=TRUE)*MIN(1,8*(1+Inputs!$B$34/100)*Q258),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0">
      <c r="A270">
        <f>Skills!A15</f>
        <v/>
      </c>
      <c r="B270">
        <f>Skills!B15</f>
        <v/>
      </c>
      <c r="C270">
        <f>Inputs!$B$3&gt;=100</f>
        <v/>
      </c>
      <c r="D270">
        <f>IF(Skills!C15=1,60+Inputs!$B$25+Inputs!$B$29,IF(Skills!C15=2,90+Inputs!$B$26+Inputs!$B$29,IF(Skills!C15=3,120+Inputs!$B$27+Inputs!$B$29,MAX(0,(Inputs!$B$3-100)*3)+Inputs!$B$28+Inputs!$B$29)))</f>
        <v/>
      </c>
      <c r="E270">
        <f>INDEX(FactorTable!$B$2:$Y$301, MATCH(ROUND(MIN(300,MAX(1,D270)),0), FactorTable!$A$2:$A$301,0), Skills!M15+1)</f>
        <v/>
      </c>
      <c r="F270">
        <f>IF(Skills!N15=TRUE,(Skills!L15/10)*(E270/1000),Skills!L15/10)+Skills!O15</f>
        <v/>
      </c>
      <c r="G270" t="inlineStr"/>
      <c r="H270" t="inlineStr"/>
      <c r="I270" t="inlineStr">
        <is>
          <t>1</t>
        </is>
      </c>
      <c r="J270" t="inlineStr"/>
      <c r="K270" t="inlineStr"/>
      <c r="L270" t="inlineStr"/>
      <c r="M270" t="inlineStr"/>
      <c r="N270" t="inlineStr"/>
      <c r="O270" t="inlineStr"/>
      <c r="P270" t="inlineStr"/>
      <c r="Q270" t="inlineStr"/>
      <c r="R270" t="inlineStr"/>
      <c r="S270" t="inlineStr"/>
    </row>
    <row r="271">
      <c r="A271">
        <f>Skills!A16</f>
        <v/>
      </c>
      <c r="B271">
        <f>Skills!B16</f>
        <v/>
      </c>
      <c r="C271">
        <f>Inputs!$B$3&gt;=107</f>
        <v/>
      </c>
      <c r="D271">
        <f>IF(Skills!C16=1,60+Inputs!$B$25+Inputs!$B$29,IF(Skills!C16=2,90+Inputs!$B$26+Inputs!$B$29,IF(Skills!C16=3,120+Inputs!$B$27+Inputs!$B$29,MAX(0,(Inputs!$B$3-100)*3)+Inputs!$B$28+Inputs!$B$29)))</f>
        <v/>
      </c>
      <c r="E271">
        <f>INDEX(FactorTable!$B$2:$Y$301, MATCH(ROUND(MIN(300,MAX(1,D271)),0), FactorTable!$A$2:$A$301,0), Skills!M16+1)</f>
        <v/>
      </c>
      <c r="F271">
        <f>IF(Skills!N16=TRUE,(Skills!L16/10)*(E271/1000),Skills!L16/10)+Skills!O16</f>
        <v/>
      </c>
      <c r="G271" t="inlineStr"/>
      <c r="H271" t="inlineStr"/>
      <c r="I271" t="inlineStr">
        <is>
          <t>1</t>
        </is>
      </c>
      <c r="J271" t="inlineStr"/>
      <c r="K271" t="inlineStr"/>
      <c r="L271" t="inlineStr"/>
      <c r="M271" t="inlineStr"/>
      <c r="N271" t="inlineStr"/>
      <c r="O271" t="inlineStr"/>
      <c r="P271" t="inlineStr"/>
      <c r="Q271" t="inlineStr"/>
      <c r="R271" t="inlineStr"/>
      <c r="S271" t="inlineStr"/>
    </row>
    <row r="272">
      <c r="A272">
        <f>Skills!A17</f>
        <v/>
      </c>
      <c r="B272">
        <f>Skills!B17</f>
        <v/>
      </c>
      <c r="C272">
        <f>Inputs!$B$3&gt;=74</f>
        <v/>
      </c>
      <c r="D272">
        <f>IF(Skills!C17=1,60+Inputs!$B$25+Inputs!$B$29,IF(Skills!C17=2,90+Inputs!$B$26+Inputs!$B$29,IF(Skills!C17=3,120+Inputs!$B$27+Inputs!$B$29,MAX(0,(Inputs!$B$3-100)*3)+Inputs!$B$28+Inputs!$B$29)))</f>
        <v/>
      </c>
      <c r="E272">
        <f>INDEX(FactorTable!$B$2:$Y$301, MATCH(ROUND(MIN(300,MAX(1,D272)),0), FactorTable!$A$2:$A$301,0), Skills!M17+1)</f>
        <v/>
      </c>
      <c r="F272">
        <f>IF(Skills!N17=TRUE,(Skills!L17/10)*(E272/1000),Skills!L17/10)+Skills!O17</f>
        <v/>
      </c>
      <c r="G272">
        <f>Skills!G17*IF(Skills!H17&gt;0,INT(IF(Inputs!$B$38="pvp",MIN(Skills!I17,15),Skills!I17)/Skills!H17+0.000000001),1)</f>
        <v/>
      </c>
      <c r="H272">
        <f>1-(1-Skills!J17/100)^Skills!K17</f>
        <v/>
      </c>
      <c r="I272" t="inlineStr">
        <is>
          <t>1</t>
        </is>
      </c>
      <c r="J272" t="inlineStr"/>
      <c r="K272" t="inlineStr"/>
      <c r="L272" t="inlineStr"/>
      <c r="M272" t="inlineStr"/>
      <c r="N272" t="inlineStr"/>
      <c r="O272">
        <f>(1-Summary!$B$11)*T272+Summary!$B$11*V272</f>
        <v/>
      </c>
      <c r="P272">
        <f>IF(B296=0,0,O272/B296)</f>
        <v/>
      </c>
      <c r="Q272" t="n">
        <v>0</v>
      </c>
      <c r="R272" t="n">
        <v>0</v>
      </c>
      <c r="S272">
        <f>IFERROR(O272/N272,0)</f>
        <v/>
      </c>
      <c r="T272" t="n">
        <v>0</v>
      </c>
      <c r="V272" t="n">
        <v>0</v>
      </c>
    </row>
    <row r="273">
      <c r="A273">
        <f>Skills!A18</f>
        <v/>
      </c>
      <c r="B273">
        <f>Skills!B18</f>
        <v/>
      </c>
      <c r="C273">
        <f>Inputs!$B$3&gt;=115</f>
        <v/>
      </c>
      <c r="D273">
        <f>IF(Skills!C18=1,60+Inputs!$B$25+Inputs!$B$29,IF(Skills!C18=2,90+Inputs!$B$26+Inputs!$B$29,IF(Skills!C18=3,120+Inputs!$B$27+Inputs!$B$29,MAX(0,(Inputs!$B$3-100)*3)+Inputs!$B$28+Inputs!$B$29)))</f>
        <v/>
      </c>
      <c r="E273">
        <f>INDEX(FactorTable!$B$2:$Y$301, MATCH(ROUND(MIN(300,MAX(1,D273)),0), FactorTable!$A$2:$A$301,0), Skills!M18+1)</f>
        <v/>
      </c>
      <c r="F273">
        <f>IF(Skills!N18=TRUE,(Skills!L18/10)*(E273/1000),Skills!L18/10)+Skills!O18</f>
        <v/>
      </c>
      <c r="G273">
        <f>Skills!G18*IF(Skills!H18&gt;0,INT(IF(Inputs!$B$38="pvp",MIN(Skills!I18,15),Skills!I18)/Skills!H18+0.000000001),1)</f>
        <v/>
      </c>
      <c r="H273">
        <f>1-(1-Skills!J18/100)^Skills!K18</f>
        <v/>
      </c>
      <c r="I273" t="inlineStr">
        <is>
          <t>1</t>
        </is>
      </c>
      <c r="J273" t="inlineStr"/>
      <c r="K273" t="inlineStr"/>
      <c r="L273" t="inlineStr"/>
      <c r="M273" t="inlineStr"/>
      <c r="N273" t="inlineStr"/>
      <c r="O273">
        <f>(1-Summary!$B$11)*T273+Summary!$B$11*V273</f>
        <v/>
      </c>
      <c r="P273">
        <f>IF(B296=0,0,O273/B296)</f>
        <v/>
      </c>
      <c r="Q273">
        <f>IFERROR(1/(IF(Inputs!$B$38="pvp",15,MAX(0.1,Skills!D18-IF(TRUE=TRUE,Inputs!$B$32,0)))*(1-IF(AND(ArtifactsInput!$M$27,Inputs!$B$4="Chapter Hunt"),CHOOSE(ArtifactsInput!$N$27+1,20,24,28,32,36,40),0)/100)),0)</f>
        <v/>
      </c>
      <c r="R273">
        <f>IF(AND(Inputs!$B$38&lt;&gt;"pvp",Inputs!$B$43&gt;0),IF(Inputs!$B$43&lt;=0,0,(INT(Inputs!$B$43/(IF(Inputs!$B$38="pvp",15,MAX(0.1,Skills!D18-IF(TRUE=TRUE,Inputs!$B$32,0)))*(1-IF(AND(ArtifactsInput!$M$27,Inputs!$B$4="Chapter Hunt"),CHOOSE(ArtifactsInput!$N$27+1,20,24,28,32,36,40),0)/100)))+1)),0)</f>
        <v/>
      </c>
      <c r="S273">
        <f>IFERROR(O273/N273,0)</f>
        <v/>
      </c>
      <c r="T273" t="n">
        <v>0</v>
      </c>
      <c r="V273" t="n">
        <v>0</v>
      </c>
    </row>
    <row r="274">
      <c r="A274">
        <f>Skills!A19</f>
        <v/>
      </c>
      <c r="B274">
        <f>Skills!B19</f>
        <v/>
      </c>
      <c r="C274">
        <f>Inputs!$B$3&gt;=10</f>
        <v/>
      </c>
      <c r="D274">
        <f>IF(Skills!C19=1,60+Inputs!$B$25+Inputs!$B$29,IF(Skills!C19=2,90+Inputs!$B$26+Inputs!$B$29,IF(Skills!C19=3,120+Inputs!$B$27+Inputs!$B$29,MAX(0,(Inputs!$B$3-100)*3)+Inputs!$B$28+Inputs!$B$29)))</f>
        <v/>
      </c>
      <c r="E274">
        <f>INDEX(FactorTable!$B$2:$Y$301, MATCH(ROUND(MIN(300,MAX(1,D274)),0), FactorTable!$A$2:$A$301,0), Skills!M19+1)</f>
        <v/>
      </c>
      <c r="F274">
        <f>IF(Skills!N19=TRUE,(Skills!L19/10)*(E274/1000),Skills!L19/10)+Skills!O19</f>
        <v/>
      </c>
      <c r="G274">
        <f>Skills!G19*IF(Skills!H19&gt;0,INT(IF(Inputs!$B$38="pvp",MIN(Skills!I19,15),Skills!I19)/Skills!H19+0.000000001),1)</f>
        <v/>
      </c>
      <c r="H274">
        <f>1-(1-Skills!J19/100)^Skills!K19</f>
        <v/>
      </c>
      <c r="I274" t="inlineStr">
        <is>
          <t>1</t>
        </is>
      </c>
      <c r="J274" t="inlineStr"/>
      <c r="K274" t="inlineStr"/>
      <c r="L274" t="inlineStr"/>
      <c r="M274" t="inlineStr"/>
      <c r="N274" t="inlineStr"/>
      <c r="O274">
        <f>(1-Summary!$B$11)*T274+Summary!$B$11*V274</f>
        <v/>
      </c>
      <c r="P274">
        <f>IF(B296=0,0,O274/B296)</f>
        <v/>
      </c>
      <c r="Q274" t="n">
        <v>0</v>
      </c>
      <c r="R274" t="n">
        <v>0</v>
      </c>
      <c r="S274">
        <f>IFERROR(O274/N274,0)</f>
        <v/>
      </c>
      <c r="T274" t="n">
        <v>0</v>
      </c>
      <c r="V274" t="n">
        <v>0</v>
      </c>
    </row>
    <row r="275">
      <c r="A275">
        <f>Skills!A20</f>
        <v/>
      </c>
      <c r="B275">
        <f>Skills!B20</f>
        <v/>
      </c>
      <c r="C275">
        <f>Inputs!$B$3&gt;=15</f>
        <v/>
      </c>
      <c r="D275">
        <f>IF(Skills!C20=1,60+Inputs!$B$25+Inputs!$B$29,IF(Skills!C20=2,90+Inputs!$B$26+Inputs!$B$29,IF(Skills!C20=3,120+Inputs!$B$27+Inputs!$B$29,MAX(0,(Inputs!$B$3-100)*3)+Inputs!$B$28+Inputs!$B$29)))</f>
        <v/>
      </c>
      <c r="E275">
        <f>INDEX(FactorTable!$B$2:$Y$301, MATCH(ROUND(MIN(300,MAX(1,D275)),0), FactorTable!$A$2:$A$301,0), Skills!M20+1)</f>
        <v/>
      </c>
      <c r="F275">
        <f>IF(Skills!N20=TRUE,(Skills!L20/10)*(E275/1000),Skills!L20/10)+Skills!O20</f>
        <v/>
      </c>
      <c r="G275">
        <f>Skills!G20*IF(Skills!H20&gt;0,INT(IF(Inputs!$B$38="pvp",MIN(Skills!I20,15),Skills!I20)/Skills!H20+0.000000001),1)</f>
        <v/>
      </c>
      <c r="H275">
        <f>1-(1-Skills!J20/100)^Skills!K20</f>
        <v/>
      </c>
      <c r="I275" t="inlineStr">
        <is>
          <t>1</t>
        </is>
      </c>
      <c r="J275" t="inlineStr"/>
      <c r="K275" t="inlineStr"/>
      <c r="L275" t="inlineStr"/>
      <c r="M275" t="inlineStr"/>
      <c r="N275" t="inlineStr"/>
      <c r="O275">
        <f>(1-Summary!$B$11)*T275+Summary!$B$11*V275</f>
        <v/>
      </c>
      <c r="P275">
        <f>IF(B296=0,0,O275/B296)</f>
        <v/>
      </c>
      <c r="Q275" t="n">
        <v>0</v>
      </c>
      <c r="R275" t="n">
        <v>0</v>
      </c>
      <c r="S275">
        <f>IFERROR(O275/N275,0)</f>
        <v/>
      </c>
      <c r="T275" t="n">
        <v>0</v>
      </c>
      <c r="V275" t="n">
        <v>0</v>
      </c>
    </row>
    <row r="276">
      <c r="A276">
        <f>Skills!A21</f>
        <v/>
      </c>
      <c r="B276">
        <f>Skills!B21</f>
        <v/>
      </c>
      <c r="C276">
        <f>Inputs!$B$3&gt;=40</f>
        <v/>
      </c>
      <c r="D276">
        <f>IF(Skills!C21=1,60+Inputs!$B$25+Inputs!$B$29,IF(Skills!C21=2,90+Inputs!$B$26+Inputs!$B$29,IF(Skills!C21=3,120+Inputs!$B$27+Inputs!$B$29,MAX(0,(Inputs!$B$3-100)*3)+Inputs!$B$28+Inputs!$B$29)))</f>
        <v/>
      </c>
      <c r="E276">
        <f>INDEX(FactorTable!$B$2:$Y$301, MATCH(ROUND(MIN(300,MAX(1,D276)),0), FactorTable!$A$2:$A$301,0), Skills!M21+1)</f>
        <v/>
      </c>
      <c r="F276">
        <f>IF(Skills!N21=TRUE,(Skills!L21/10)*(E276/1000),Skills!L21/10)+Skills!O21</f>
        <v/>
      </c>
      <c r="G276">
        <f>Skills!G21*IF(Skills!H21&gt;0,INT(IF(Inputs!$B$38="pvp",MIN(Skills!I21,15),Skills!I21)/Skills!H21+0.000000001),1)</f>
        <v/>
      </c>
      <c r="H276">
        <f>1-(1-Skills!J21/100)^Skills!K21</f>
        <v/>
      </c>
      <c r="I276" t="inlineStr">
        <is>
          <t>1</t>
        </is>
      </c>
      <c r="J276" t="inlineStr"/>
      <c r="K276" t="inlineStr"/>
      <c r="L276" t="inlineStr"/>
      <c r="M276" t="inlineStr"/>
      <c r="N276" t="inlineStr"/>
      <c r="O276">
        <f>(1-Summary!$B$11)*T276+Summary!$B$11*V276</f>
        <v/>
      </c>
      <c r="P276">
        <f>IF(B296=0,0,O276/B296)</f>
        <v/>
      </c>
      <c r="Q276" t="n">
        <v>0</v>
      </c>
      <c r="R276" t="n">
        <v>0</v>
      </c>
      <c r="S276">
        <f>IFERROR(O276/N276,0)</f>
        <v/>
      </c>
      <c r="T276" t="n">
        <v>0</v>
      </c>
      <c r="V276" t="n">
        <v>0</v>
      </c>
    </row>
    <row r="277">
      <c r="A277">
        <f>Skills!A22</f>
        <v/>
      </c>
      <c r="B277">
        <f>Skills!B22</f>
        <v/>
      </c>
      <c r="C277">
        <f>Inputs!$B$3&gt;=43</f>
        <v/>
      </c>
      <c r="D277">
        <f>IF(Skills!C22=1,60+Inputs!$B$25+Inputs!$B$29,IF(Skills!C22=2,90+Inputs!$B$26+Inputs!$B$29,IF(Skills!C22=3,120+Inputs!$B$27+Inputs!$B$29,MAX(0,(Inputs!$B$3-100)*3)+Inputs!$B$28+Inputs!$B$29)))</f>
        <v/>
      </c>
      <c r="E277">
        <f>INDEX(FactorTable!$B$2:$Y$301, MATCH(ROUND(MIN(300,MAX(1,D277)),0), FactorTable!$A$2:$A$301,0), Skills!M22+1)</f>
        <v/>
      </c>
      <c r="F277">
        <f>IF(Skills!N22=TRUE,(Skills!L22/10)*(E277/1000),Skills!L22/10)+Skills!O22</f>
        <v/>
      </c>
      <c r="G277">
        <f>Skills!G22*IF(Skills!H22&gt;0,INT(IF(Inputs!$B$38="pvp",MIN(Skills!I22,15),Skills!I22)/Skills!H22+0.000000001),1)</f>
        <v/>
      </c>
      <c r="H277">
        <f>1-(1-Skills!J22/100)^Skills!K22</f>
        <v/>
      </c>
      <c r="I277" t="inlineStr">
        <is>
          <t>1</t>
        </is>
      </c>
      <c r="J277" t="inlineStr"/>
      <c r="K277" t="inlineStr"/>
      <c r="L277" t="inlineStr"/>
      <c r="M277" t="inlineStr"/>
      <c r="N277" t="inlineStr"/>
      <c r="O277">
        <f>(1-Summary!$B$11)*T277+Summary!$B$11*V277</f>
        <v/>
      </c>
      <c r="P277">
        <f>IF(B296=0,0,O277/B296)</f>
        <v/>
      </c>
      <c r="Q277" t="n">
        <v>0</v>
      </c>
      <c r="R277" t="n">
        <v>0</v>
      </c>
      <c r="S277">
        <f>IFERROR(O277/N277,0)</f>
        <v/>
      </c>
      <c r="T277" t="n">
        <v>0</v>
      </c>
      <c r="V277" t="n">
        <v>0</v>
      </c>
    </row>
    <row r="278">
      <c r="A278">
        <f>Skills!A23</f>
        <v/>
      </c>
      <c r="B278">
        <f>Skills!B23</f>
        <v/>
      </c>
      <c r="C278">
        <f>Inputs!$B$3&gt;=38</f>
        <v/>
      </c>
      <c r="D278">
        <f>IF(Skills!C23=1,60+Inputs!$B$25+Inputs!$B$29,IF(Skills!C23=2,90+Inputs!$B$26+Inputs!$B$29,IF(Skills!C23=3,120+Inputs!$B$27+Inputs!$B$29,MAX(0,(Inputs!$B$3-100)*3)+Inputs!$B$28+Inputs!$B$29)))</f>
        <v/>
      </c>
      <c r="E278">
        <f>INDEX(FactorTable!$B$2:$Y$301, MATCH(ROUND(MIN(300,MAX(1,D278)),0), FactorTable!$A$2:$A$301,0), Skills!M23+1)</f>
        <v/>
      </c>
      <c r="F278">
        <f>IF(Skills!N23=TRUE,(Skills!L23/10)*(E278/1000),Skills!L23/10)+Skills!O23</f>
        <v/>
      </c>
      <c r="G278">
        <f>Skills!G23*IF(Skills!H23&gt;0,INT(IF(Inputs!$B$38="pvp",MIN(Skills!I23,15),Skills!I23)/Skills!H23+0.000000001),1)</f>
        <v/>
      </c>
      <c r="H278">
        <f>1-(1-Skills!J23/100)^Skills!K23</f>
        <v/>
      </c>
      <c r="I278" t="inlineStr">
        <is>
          <t>1</t>
        </is>
      </c>
      <c r="J278" t="inlineStr"/>
      <c r="K278" t="inlineStr"/>
      <c r="L278" t="inlineStr"/>
      <c r="M278" t="inlineStr"/>
      <c r="N278" t="inlineStr"/>
      <c r="O278">
        <f>(1-Summary!$B$11)*T278+Summary!$B$11*V278</f>
        <v/>
      </c>
      <c r="P278">
        <f>IF(B296=0,0,O278/B296)</f>
        <v/>
      </c>
      <c r="Q278" t="n">
        <v>0</v>
      </c>
      <c r="R278" t="n">
        <v>0</v>
      </c>
      <c r="S278">
        <f>IFERROR(O278/N278,0)</f>
        <v/>
      </c>
      <c r="T278" t="n">
        <v>0</v>
      </c>
      <c r="V278" t="n">
        <v>0</v>
      </c>
    </row>
    <row r="279">
      <c r="A279">
        <f>Skills!A24</f>
        <v/>
      </c>
      <c r="B279">
        <f>Skills!B24</f>
        <v/>
      </c>
      <c r="C279">
        <f>Inputs!$B$3&gt;=45</f>
        <v/>
      </c>
      <c r="D279">
        <f>IF(Skills!C24=1,60+Inputs!$B$25+Inputs!$B$29,IF(Skills!C24=2,90+Inputs!$B$26+Inputs!$B$29,IF(Skills!C24=3,120+Inputs!$B$27+Inputs!$B$29,MAX(0,(Inputs!$B$3-100)*3)+Inputs!$B$28+Inputs!$B$29)))</f>
        <v/>
      </c>
      <c r="E279">
        <f>INDEX(FactorTable!$B$2:$Y$301, MATCH(ROUND(MIN(300,MAX(1,D279)),0), FactorTable!$A$2:$A$301,0), Skills!M24+1)</f>
        <v/>
      </c>
      <c r="F279">
        <f>IF(Skills!N24=TRUE,(Skills!L24/10)*(E279/1000),Skills!L24/10)+Skills!O24</f>
        <v/>
      </c>
      <c r="G279">
        <f>Skills!G24*IF(Skills!H24&gt;0,INT(IF(Inputs!$B$38="pvp",MIN(Skills!I24,15),Skills!I24)/Skills!H24+0.000000001),1)</f>
        <v/>
      </c>
      <c r="H279">
        <f>1-(1-Skills!J24/100)^Skills!K24</f>
        <v/>
      </c>
      <c r="I279" t="inlineStr">
        <is>
          <t>1</t>
        </is>
      </c>
      <c r="J279" t="inlineStr"/>
      <c r="K279" t="inlineStr"/>
      <c r="L279" t="inlineStr"/>
      <c r="M279" t="inlineStr"/>
      <c r="N279" t="inlineStr"/>
      <c r="O279">
        <f>(1-Summary!$B$11)*T279+Summary!$B$11*V279</f>
        <v/>
      </c>
      <c r="P279">
        <f>IF(B296=0,0,O279/B296)</f>
        <v/>
      </c>
      <c r="Q279" t="n">
        <v>0</v>
      </c>
      <c r="R279" t="n">
        <v>0</v>
      </c>
      <c r="S279">
        <f>IFERROR(O279/N279,0)</f>
        <v/>
      </c>
      <c r="T279" t="n">
        <v>0</v>
      </c>
      <c r="V279" t="n">
        <v>0</v>
      </c>
    </row>
    <row r="280">
      <c r="A280">
        <f>Skills!A25</f>
        <v/>
      </c>
      <c r="B280">
        <f>Skills!B25</f>
        <v/>
      </c>
      <c r="C280">
        <f>Inputs!$B$3&gt;=72</f>
        <v/>
      </c>
      <c r="D280">
        <f>IF(Skills!C25=1,60+Inputs!$B$25+Inputs!$B$29,IF(Skills!C25=2,90+Inputs!$B$26+Inputs!$B$29,IF(Skills!C25=3,120+Inputs!$B$27+Inputs!$B$29,MAX(0,(Inputs!$B$3-100)*3)+Inputs!$B$28+Inputs!$B$29)))</f>
        <v/>
      </c>
      <c r="E280">
        <f>INDEX(FactorTable!$B$2:$Y$301, MATCH(ROUND(MIN(300,MAX(1,D280)),0), FactorTable!$A$2:$A$301,0), Skills!M25+1)</f>
        <v/>
      </c>
      <c r="F280">
        <f>IF(Skills!N25=TRUE,(Skills!L25/10)*(E280/1000),Skills!L25/10)+Skills!O25</f>
        <v/>
      </c>
      <c r="G280">
        <f>Skills!G25*IF(Skills!H25&gt;0,INT(IF(Inputs!$B$38="pvp",MIN(Skills!I25,15),Skills!I25)/Skills!H25+0.000000001),1)</f>
        <v/>
      </c>
      <c r="H280">
        <f>1-(1-Skills!J25/100)^Skills!K25</f>
        <v/>
      </c>
      <c r="I280" t="inlineStr">
        <is>
          <t>1</t>
        </is>
      </c>
      <c r="J280" t="inlineStr"/>
      <c r="K280" t="inlineStr"/>
      <c r="L280" t="inlineStr"/>
      <c r="M280" t="inlineStr"/>
      <c r="N280" t="inlineStr"/>
      <c r="O280">
        <f>(1-Summary!$B$11)*T280+Summary!$B$11*V280</f>
        <v/>
      </c>
      <c r="P280">
        <f>IF(B296=0,0,O280/B296)</f>
        <v/>
      </c>
      <c r="Q280" t="n">
        <v>0</v>
      </c>
      <c r="R280" t="n">
        <v>0</v>
      </c>
      <c r="S280">
        <f>IFERROR(O280/N280,0)</f>
        <v/>
      </c>
      <c r="T280" t="n">
        <v>0</v>
      </c>
      <c r="V280" t="n">
        <v>0</v>
      </c>
    </row>
    <row r="281">
      <c r="A281">
        <f>Skills!A26</f>
        <v/>
      </c>
      <c r="B281">
        <f>Skills!B26</f>
        <v/>
      </c>
      <c r="C281">
        <f>Inputs!$B$3&gt;=75</f>
        <v/>
      </c>
      <c r="D281">
        <f>IF(Skills!C26=1,60+Inputs!$B$25+Inputs!$B$29,IF(Skills!C26=2,90+Inputs!$B$26+Inputs!$B$29,IF(Skills!C26=3,120+Inputs!$B$27+Inputs!$B$29,MAX(0,(Inputs!$B$3-100)*3)+Inputs!$B$28+Inputs!$B$29)))</f>
        <v/>
      </c>
      <c r="E281">
        <f>INDEX(FactorTable!$B$2:$Y$301, MATCH(ROUND(MIN(300,MAX(1,D281)),0), FactorTable!$A$2:$A$301,0), Skills!M26+1)</f>
        <v/>
      </c>
      <c r="F281">
        <f>IF(Skills!N26=TRUE,(Skills!L26/10)*(E281/1000),Skills!L26/10)+Skills!O26</f>
        <v/>
      </c>
      <c r="G281">
        <f>Skills!G26*IF(Skills!H26&gt;0,INT(IF(Inputs!$B$38="pvp",MIN(Skills!I26,15),Skills!I26)/Skills!H26+0.000000001),1)</f>
        <v/>
      </c>
      <c r="H281">
        <f>1-(1-Skills!J26/100)^Skills!K26</f>
        <v/>
      </c>
      <c r="I281" t="inlineStr">
        <is>
          <t>1</t>
        </is>
      </c>
      <c r="J281" t="inlineStr"/>
      <c r="K281" t="inlineStr"/>
      <c r="L281" t="inlineStr"/>
      <c r="M281" t="inlineStr"/>
      <c r="N281" t="inlineStr"/>
      <c r="O281">
        <f>(1-Summary!$B$11)*T281+Summary!$B$11*V281</f>
        <v/>
      </c>
      <c r="P281">
        <f>IF(B296=0,0,O281/B296)</f>
        <v/>
      </c>
      <c r="Q281" t="n">
        <v>0</v>
      </c>
      <c r="R281" t="n">
        <v>0</v>
      </c>
      <c r="S281">
        <f>IFERROR(O281/N281,0)</f>
        <v/>
      </c>
      <c r="T281" t="n">
        <v>0</v>
      </c>
      <c r="V281" t="n">
        <v>0</v>
      </c>
    </row>
    <row r="282">
      <c r="A282">
        <f>Skills!A27</f>
        <v/>
      </c>
      <c r="B282">
        <f>Skills!B27</f>
        <v/>
      </c>
      <c r="C282">
        <f>Inputs!$B$3&gt;=125</f>
        <v/>
      </c>
      <c r="D282">
        <f>IF(Skills!C27=1,60+Inputs!$B$25+Inputs!$B$29,IF(Skills!C27=2,90+Inputs!$B$26+Inputs!$B$29,IF(Skills!C27=3,120+Inputs!$B$27+Inputs!$B$29,MAX(0,(Inputs!$B$3-100)*3)+Inputs!$B$28+Inputs!$B$29)))</f>
        <v/>
      </c>
      <c r="E282">
        <f>INDEX(FactorTable!$B$2:$Y$301, MATCH(ROUND(MIN(300,MAX(1,D282)),0), FactorTable!$A$2:$A$301,0), Skills!M27+1)</f>
        <v/>
      </c>
      <c r="F282">
        <f>IF(Skills!N27=TRUE,(Skills!L27/10)*(E282/1000),Skills!L27/10)+Skills!O27</f>
        <v/>
      </c>
      <c r="G282">
        <f>Skills!G27*IF(Skills!H27&gt;0,INT(IF(Inputs!$B$38="pvp",MIN(Skills!I27,15),Skills!I27)/Skills!H27+0.000000001),1)</f>
        <v/>
      </c>
      <c r="H282">
        <f>1-(1-Skills!J27/100)^Skills!K27</f>
        <v/>
      </c>
      <c r="I282" t="inlineStr">
        <is>
          <t>1</t>
        </is>
      </c>
      <c r="J282" t="inlineStr"/>
      <c r="K282" t="inlineStr"/>
      <c r="L282" t="inlineStr"/>
      <c r="M282" t="inlineStr"/>
      <c r="N282" t="inlineStr"/>
      <c r="O282">
        <f>(1-Summary!$B$11)*T282+Summary!$B$11*V282</f>
        <v/>
      </c>
      <c r="P282">
        <f>IF(B296=0,0,O282/B296)</f>
        <v/>
      </c>
      <c r="Q282" t="n">
        <v>0</v>
      </c>
      <c r="R282" t="n">
        <v>0</v>
      </c>
      <c r="S282">
        <f>IFERROR(O282/N282,0)</f>
        <v/>
      </c>
      <c r="T282" t="n">
        <v>0</v>
      </c>
      <c r="V282" t="n">
        <v>0</v>
      </c>
    </row>
    <row r="283">
      <c r="A283">
        <f>Skills!A28</f>
        <v/>
      </c>
      <c r="B283">
        <f>Skills!B28</f>
        <v/>
      </c>
      <c r="C283">
        <f>TRUE</f>
        <v/>
      </c>
      <c r="D283">
        <f>IF(Skills!C28=1,60+Inputs!$B$25+Inputs!$B$29,IF(Skills!C28=2,90+Inputs!$B$26+Inputs!$B$29,IF(Skills!C28=3,120+Inputs!$B$27+Inputs!$B$29,MAX(0,(Inputs!$B$3-100)*3)+Inputs!$B$28+Inputs!$B$29)))</f>
        <v/>
      </c>
      <c r="E283">
        <f>INDEX(FactorTable!$B$2:$Y$301, MATCH(ROUND(MIN(300,MAX(1,D283)),0), FactorTable!$A$2:$A$301,0), Skills!M28+1)</f>
        <v/>
      </c>
      <c r="F283">
        <f>IF(Skills!N28=TRUE,(Skills!L28/10)*(E283/1000),Skills!L28/10)+Skills!O28</f>
        <v/>
      </c>
      <c r="G283">
        <f>Skills!G28*IF(Skills!H28&gt;0,INT(IF(Inputs!$B$38="pvp",MIN(Skills!I28,15),Skills!I28)/Skills!H28+0.000000001),1)</f>
        <v/>
      </c>
      <c r="H283">
        <f>1-(1-Skills!J28/100)^Skills!K28</f>
        <v/>
      </c>
      <c r="I283" t="inlineStr">
        <is>
          <t>1</t>
        </is>
      </c>
      <c r="J283" t="inlineStr"/>
      <c r="K283" t="inlineStr"/>
      <c r="L283" t="inlineStr"/>
      <c r="M283" t="inlineStr"/>
      <c r="N283" t="inlineStr"/>
      <c r="O283">
        <f>(1-Summary!$B$11)*T283+Summary!$B$11*V283</f>
        <v/>
      </c>
      <c r="P283">
        <f>IF(B296=0,0,O283/B296)</f>
        <v/>
      </c>
      <c r="Q283">
        <f>IFERROR(1/(IF(Inputs!$B$38="pvp",15,MAX(0.1,Skills!D28-IF(TRUE=TRUE,Inputs!$B$32,0)))*(1-IF(AND(ArtifactsInput!$M$27,Inputs!$B$4="Chapter Hunt"),CHOOSE(ArtifactsInput!$N$27+1,20,24,28,32,36,40),0)/100)),0)</f>
        <v/>
      </c>
      <c r="R283">
        <f>IF(AND(Inputs!$B$38&lt;&gt;"pvp",Inputs!$B$43&gt;0),IF(Inputs!$B$43&lt;=0,0,(INT(Inputs!$B$43/(IF(Inputs!$B$38="pvp",15,MAX(0.1,Skills!D28-IF(TRUE=TRUE,Inputs!$B$32,0)))*(1-IF(AND(ArtifactsInput!$M$27,Inputs!$B$4="Chapter Hunt"),CHOOSE(ArtifactsInput!$N$27+1,20,24,28,32,36,40),0)/100)))+1)),0)</f>
        <v/>
      </c>
      <c r="S283">
        <f>IFERROR(O283/N283,0)</f>
        <v/>
      </c>
      <c r="T283" t="n">
        <v>0</v>
      </c>
      <c r="V283" t="n">
        <v>0</v>
      </c>
    </row>
    <row r="285">
      <c r="A285" t="inlineStr">
        <is>
          <t>Attack% Bucket Multiplier</t>
        </is>
      </c>
      <c r="B285">
        <f>(1+(((C272=TRUE)*F272*5/7)+((C279=TRUE)*(F279-Calc!F24))+(IF(ArtifactsInput!$M$21,CHOOSE(ArtifactsInput!$N$21+1,25,30,35,40,45,50)*(IF(OR(Inputs!$B$4="Chapter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86">
      <c r="A286" t="inlineStr">
        <is>
          <t>Global Crit Rate Bonus %</t>
        </is>
      </c>
      <c r="B286" t="n">
        <v>0</v>
      </c>
    </row>
    <row r="287">
      <c r="A287" t="inlineStr">
        <is>
          <t>Attack Speed Buff Bonus % (Nimble Feet, duty-cycle averaged)</t>
        </is>
      </c>
      <c r="B287">
        <f>((C283=TRUE)*F283*IF(AND(Inputs!$B$38&lt;&gt;"pvp",Inputs!$B$43&gt;0),(((R283-1)*MIN((Skills!T28*(1+Inputs!$B$34/100)),(1/Q283))+MIN((Skills!T28*(1+Inputs!$B$34/100)),MAX(0,Inputs!$B$43-((R283-1)*(1/Q283)))))/Inputs!$B$43),IF(Inputs!$B$38="pvp",MIN((Skills!T28*(1+Inputs!$B$34/100)),15)/15,MIN(1,(Skills!T28*(1+Inputs!$B$34/100))/(1/Q283)))))</f>
        <v/>
      </c>
    </row>
    <row r="288">
      <c r="A288" t="inlineStr">
        <is>
          <t>Actions Per Second</t>
        </is>
      </c>
      <c r="B288">
        <f>1+MIN(150,150*(1-(1-(Inputs!$B$11+((C275=TRUE)*(F275-Calc!F20))+((C276=TRUE)*(F276-Calc!F21)))/150)*(1-B287/150)))/100</f>
        <v/>
      </c>
    </row>
    <row r="289">
      <c r="A289" t="inlineStr">
        <is>
          <t>Skill + Buff Cast Rate</t>
        </is>
      </c>
      <c r="B289">
        <f>IF(AND(Inputs!$B$38&lt;&gt;"pvp",Inputs!$B$43&gt;0),SUMPRODUCT((Skills!E2:E28=TRUE)*(C257:C283=TRUE)*R257:R283*Skills!F2:F28)/Inputs!$B$43,SUMPRODUCT((Skills!E2:E28=TRUE)*(C257:C283=TRUE)*Q257:Q283*Skills!F2:F28))</f>
        <v/>
      </c>
    </row>
    <row r="290">
      <c r="A290" t="inlineStr">
        <is>
          <t>Eight-Legs Easton Casts Per Second</t>
        </is>
      </c>
      <c r="B290">
        <f>MAX(0,B288-B289)</f>
        <v/>
      </c>
    </row>
    <row r="291">
      <c r="A291" t="inlineStr">
        <is>
          <t>Global Critical Damage Bonus % (unused)</t>
        </is>
      </c>
      <c r="B291" t="n">
        <v>0</v>
      </c>
    </row>
    <row r="292">
      <c r="A292" t="inlineStr">
        <is>
          <t>Global Final Damage Bonus % (Jolly Roger + Ahoy Mateys - Final Damage proc)</t>
        </is>
      </c>
      <c r="B292">
        <f>((C273=TRUE)*F273*IF(AND(Inputs!$B$38&lt;&gt;"pvp",Inputs!$B$43&gt;0),(((R273-1)*MIN((Skills!T18*(1+Inputs!$B$34/100)),(1/Q273))+MIN((Skills!T18*(1+Inputs!$B$34/100)),MAX(0,Inputs!$B$43-((R273-1)*(1/Q273)))))/Inputs!$B$43),IF(Inputs!$B$38="pvp",MIN((Skills!T18*(1+Inputs!$B$34/100)),15)/15,MIN(1,(Skills!T18*(1+Inputs!$B$34/100))/(1/Q273)))))+IF(Inputs!$B$3&gt;=122,20*IF(Inputs!$B$38="pvp",MIN((20*(1+Inputs!$B$34/100)),15)/15,MIN(1,(20*(1+Inputs!$B$34/100))/(1/Q259))),0)</f>
        <v/>
      </c>
    </row>
    <row r="293">
      <c r="A293" t="inlineStr">
        <is>
          <t>Buff-Casting Startup Delay (s, fixed-duration only)</t>
        </is>
      </c>
      <c r="B293">
        <f>IF(AND(Inputs!$B$38&lt;&gt;"pvp",Inputs!$B$43&gt;0),SUMPRODUCT((Skills!T2:T28&gt;0)*(Skills!E2:E28=TRUE)*(C257:C283=TRUE))/B288,0)</f>
        <v/>
      </c>
    </row>
    <row r="294">
      <c r="A294" t="inlineStr">
        <is>
          <t>Boss-Only Total DPS (this block's swept value)</t>
        </is>
      </c>
      <c r="B294">
        <f>SUM(T257:T283)</f>
        <v/>
      </c>
    </row>
    <row r="295">
      <c r="A295" t="inlineStr">
        <is>
          <t>Normal-Only Total DPS (this block's swept value)</t>
        </is>
      </c>
      <c r="B295">
        <f>SUM(V257:V283)</f>
        <v/>
      </c>
    </row>
    <row r="296">
      <c r="A296" s="6" t="inlineStr">
        <is>
          <t>TOTAL DPS</t>
        </is>
      </c>
      <c r="B296" s="6">
        <f>SUM(O257:O283)</f>
        <v/>
      </c>
    </row>
    <row r="297">
      <c r="A297" t="inlineStr">
        <is>
          <t>Quickdraw cooldown divisor (this block's own APS / Q)</t>
        </is>
      </c>
      <c r="B297">
        <f>IF(AND(C282=TRUE,Inputs!$B$38&lt;&gt;"pvp"),1+0.25*MAX(0,(B288-(((C258=TRUE)*Q258*1)+((C259=TRUE)*Q259*1)+((C261=TRUE)*Q261*1)+((C262=TRUE)*Q262*1)+((C264=TRUE)*Q264*1)+((C267=TRUE)*Q267*1)+((C273=TRUE)*Q273*1)+((C283=TRUE)*Q283*1))-((C263=TRUE)/(IF(Inputs!$B$38="pvp",15,MAX(0.1,Skills!D8-IF(TRUE=TRUE,Inputs!$B$32,0)))*(1-IF(AND(ArtifactsInput!$M$27,Inputs!$B$4="Chapter Hunt"),CHOOSE(ArtifactsInput!$N$27+1,20,24,28,32,36,40),0)/100))+(C266=TRUE)/(IF(Inputs!$B$38="pvp",15,MAX(0.1,Skills!D11-IF(TRUE=TRUE,Inputs!$B$32,0)))*(1-IF(AND(ArtifactsInput!$M$27,Inputs!$B$4="Chapter Hunt"),CHOOSE(ArtifactsInput!$N$27+1,20,24,28,32,36,40),0)/100))))/(1+0.25*((C263=TRUE)/(IF(Inputs!$B$38="pvp",15,MAX(0.1,Skills!D8-IF(TRUE=TRUE,Inputs!$B$32,0)))*(1-IF(AND(ArtifactsInput!$M$27,Inputs!$B$4="Chapter Hunt"),CHOOSE(ArtifactsInput!$N$27+1,20,24,28,32,36,40),0)/100))+(C266=TRUE)/(IF(Inputs!$B$38="pvp",15,MAX(0.1,Skills!D11-IF(TRUE=TRUE,Inputs!$B$32,0)))*(1-IF(AND(ArtifactsInput!$M$27,Inputs!$B$4="Chapter Hunt"),CHOOSE(ArtifactsInput!$N$27+1,20,24,28,32,36,40),0)/100))))),1)</f>
        <v/>
      </c>
    </row>
    <row r="298">
      <c r="A298" t="inlineStr">
        <is>
          <t>Nautilus Strike - Final Attack trigger rate (this block's own Q/R)</t>
        </is>
      </c>
      <c r="B298">
        <f>IF(AND(Inputs!$B$38&lt;&gt;"pvp",Inputs!$B$43&gt;0),(((C258=TRUE)*R258)+((C261=TRUE)*R261)+((C263=TRUE)*R263)+((C264=TRUE)*R264)+((C266=TRUE)*R266))/Inputs!$B$43,((C258=TRUE)*Q258)+((C261=TRUE)*Q261)+((C263=TRUE)*Q263)+((C264=TRUE)*Q264)+((C266=TRUE)*Q266))+B290</f>
        <v/>
      </c>
    </row>
    <row r="301">
      <c r="A301" s="6" t="inlineStr">
        <is>
          <t>Stat: BOSS_DAMAGE %</t>
        </is>
      </c>
    </row>
    <row r="302">
      <c r="A302" s="5" t="inlineStr">
        <is>
          <t>Key</t>
        </is>
      </c>
      <c r="B302" s="5" t="inlineStr">
        <is>
          <t>Name</t>
        </is>
      </c>
      <c r="C302" s="5" t="inlineStr">
        <is>
          <t>Unlocked</t>
        </is>
      </c>
      <c r="D302" s="5" t="inlineStr">
        <is>
          <t>InputLevel</t>
        </is>
      </c>
      <c r="E302" s="5" t="inlineStr">
        <is>
          <t>Factor</t>
        </is>
      </c>
      <c r="F302" s="5" t="inlineStr">
        <is>
          <t>CoefficientPercent</t>
        </is>
      </c>
      <c r="G302" s="5" t="inlineStr">
        <is>
          <t>EffectiveHits</t>
        </is>
      </c>
      <c r="H302" s="5" t="inlineStr">
        <is>
          <t>ProcProbability</t>
        </is>
      </c>
      <c r="I302" s="5" t="inlineStr">
        <is>
          <t>MapleHeroMultiplier</t>
        </is>
      </c>
      <c r="J302" s="5" t="inlineStr">
        <is>
          <t>BaseDamage</t>
        </is>
      </c>
      <c r="K302" s="5" t="inlineStr">
        <is>
          <t>BaseHitDamage</t>
        </is>
      </c>
      <c r="L302" s="5" t="inlineStr">
        <is>
          <t>NonCritAvg</t>
        </is>
      </c>
      <c r="M302" s="5" t="inlineStr">
        <is>
          <t>CritAvg</t>
        </is>
      </c>
      <c r="N302" s="5" t="inlineStr">
        <is>
          <t>ExpectedDamage(perHit)</t>
        </is>
      </c>
      <c r="O302" s="5" t="inlineStr">
        <is>
          <t>DPS</t>
        </is>
      </c>
      <c r="P302" s="5" t="inlineStr">
        <is>
          <t>% of Total</t>
        </is>
      </c>
      <c r="Q302" s="5" t="inlineStr">
        <is>
          <t>InvCooldown</t>
        </is>
      </c>
      <c r="R302" s="5" t="inlineStr">
        <is>
          <t>CastsInFight</t>
        </is>
      </c>
      <c r="S302" s="5" t="inlineStr">
        <is>
          <t>HitRate(perSec)</t>
        </is>
      </c>
      <c r="U302" t="inlineStr">
        <is>
          <t>helpers</t>
        </is>
      </c>
    </row>
    <row r="303">
      <c r="A303">
        <f>Skills!A2</f>
        <v/>
      </c>
      <c r="B303">
        <f>Skills!B2</f>
        <v/>
      </c>
      <c r="C303">
        <f>Inputs!$B$3&gt;=100</f>
        <v/>
      </c>
      <c r="D303" t="inlineStr"/>
      <c r="E303" t="inlineStr"/>
      <c r="F303">
        <f>U305+Skills!O2</f>
        <v/>
      </c>
      <c r="G303">
        <f>Skills!G2*IF(Skills!H2&gt;0,INT(IF(Inputs!$B$38="pvp",MIN(Skills!I2,15),Skills!I2)/Skills!H2+0.000000001),1)</f>
        <v/>
      </c>
      <c r="H303">
        <f>1-(1-Skills!J2/100)^Skills!K2</f>
        <v/>
      </c>
      <c r="I303" t="inlineStr">
        <is>
          <t>1</t>
        </is>
      </c>
      <c r="J303">
        <f>((Inputs!$B$6*(1+Inputs!$B$7/100))+(((Inputs!$B$12*(1+Inputs!$B$13/100))-(Inputs!$B$12*(1+Inputs!$B$13/100)))+0.25*(Inputs!$B$14-Inputs!$B$14))*(1+Inputs!$B$7/100))*(F303/100)</f>
        <v/>
      </c>
      <c r="K303">
        <f>J303*(1+((Inputs!$B$12*(1+Inputs!$B$13/100))*0.01+Inputs!$B$14*0.0025)/100)*(1+Inputs!$B$15/100)*(1+Inputs!$B$16/100)*(5000/(6000+Inputs!$B$42*(1-(100*(1-(1-(Inputs!$B$19+0)/100)*(1-CHOOSE(ArtifactsInput!$N$40+1,5,6,7,8,9,10)/100)^(ArtifactsInput!$M$40-ArtifactsInput!$M$40)))/100)))*(1+(Inputs!$B$24+((C327=TRUE)*(F327-Calc!F26))+B338)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IGHT_LEGS_EASTON",Inputs!$B$17+((C324=TRUE)*(F324-Calc!F23))+((C328=TRUE)*(F328-Calc!F27))+((IF(AND(Inputs!$B$38&lt;&gt;"pvp",Inputs!$B$43=0),1,IF(IF(Inputs!$B$38="pvp",15,Inputs!$B$43)-(B339)&lt;=0,1,MAX(0,IF(Inputs!$B$38="pvp",15,Inputs!$B$43)-MAX(5,B339))/(IF(Inputs!$B$38="pvp",15,Inputs!$B$43)-(B339))))*(IF(AND(ArtifactsInput!$M$42,((Inputs!$B$9+((C320=TRUE)*(F320-Calc!F19))+B332+(ArtifactsInput!$M$24-ArtifactsInput!$M$24)*CHOOSE(ArtifactsInput!$N$24+1,10,12,14,16,18,20)+IF(ArtifactsInput!$M$10,CHOOSE(ArtifactsInput!$N$10+1,15,18,21,24,27,30)*(IF(Inputs!$B$38="pvp",MIN(15,15)/15,IF(AND(Inputs!$B$38&lt;&gt;"pvp",Inputs!$B$43&gt;0),MIN(15,Inputs!$B$43)/(Inputs!$B$43),0))),0)))&gt;=100),MIN(100,((Inputs!$B$9+((C320=TRUE)*(F320-Calc!F19))+B332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339)&lt;=0,1,MAX(0,IF(Inputs!$B$38="pvp",15,Inputs!$B$43)-MAX(5,B339))/(IF(Inputs!$B$38="pvp",15,Inputs!$B$43)-(B339))))*IF(AND(ArtifactsInput!$M$42,((Inputs!$B$9+((C320=TRUE)*(F320-Calc!F19))+B332+(ArtifactsInput!$M$24-ArtifactsInput!$M$24)*CHOOSE(ArtifactsInput!$N$24+1,10,12,14,16,18,20)+IF(ArtifactsInput!$M$10,CHOOSE(ArtifactsInput!$N$10+1,15,18,21,24,27,30)*(IF(Inputs!$B$38="pvp",MIN(15,15)/15,IF(AND(Inputs!$B$38&lt;&gt;"pvp",Inputs!$B$43&gt;0),MIN(15,Inputs!$B$43)/(Inputs!$B$43),0))),0)))&gt;=100),CHOOSE(ArtifactsInput!$N$42+1,40,48,56,64,72,80),0))))/100)*((1+(((C318=TRUE)*F318*5/7)+((C325=TRUE)*(F325-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303)</f>
        <v/>
      </c>
      <c r="L303">
        <f>K303*(MIN(Inputs!$B$22+((C323=TRUE)*(F323-Calc!F22)),(Inputs!$B$23+0+(IF(ArtifactsInput!$M$15,CHOOSE(ArtifactsInput!$N$15+1,25,30,35,40,45,50)/100*(Inputs!$B$11-Inputs!$B$11),0))))/100+(Inputs!$B$23+0+(IF(ArtifactsInput!$M$15,CHOOSE(ArtifactsInput!$N$15+1,25,30,35,40,45,50)/100*(Inputs!$B$11-Inputs!$B$11),0)))/100)/2</f>
        <v/>
      </c>
      <c r="M303">
        <f>L303*(1+(Inputs!$B$10+((C326=TRUE)*(F326-Calc!F25))+B337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3">
        <f>L303*(1-MIN((Inputs!$B$9+((C320=TRUE)*(F320-Calc!F19))+B332+(ArtifactsInput!$M$24-ArtifactsInput!$M$24)*CHOOSE(ArtifactsInput!$N$24+1,10,12,14,16,18,20)+(IF(AND(Inputs!$B$38&lt;&gt;"pvp",Inputs!$B$43=0),1,IF(IF(Inputs!$B$38="pvp",15,Inputs!$B$43)-(B339)&lt;=0,1,MAX(0,IF(Inputs!$B$38="pvp",15,Inputs!$B$43)-MAX(5,B339))/(IF(Inputs!$B$38="pvp",15,Inputs!$B$43)-(B339))))*IF(AND(ArtifactsInput!$M$42,((Inputs!$B$9+((C320=TRUE)*(F320-Calc!F19))+B332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303*(MIN((Inputs!$B$9+((C320=TRUE)*(F320-Calc!F19))+B332+(ArtifactsInput!$M$24-ArtifactsInput!$M$24)*CHOOSE(ArtifactsInput!$N$24+1,10,12,14,16,18,20)+(IF(AND(Inputs!$B$38&lt;&gt;"pvp",Inputs!$B$43=0),1,IF(IF(Inputs!$B$38="pvp",15,Inputs!$B$43)-(B339)&lt;=0,1,MAX(0,IF(Inputs!$B$38="pvp",15,Inputs!$B$43)-MAX(5,B339))/(IF(Inputs!$B$38="pvp",15,Inputs!$B$43)-(B339))))*IF(AND(ArtifactsInput!$M$42,((Inputs!$B$9+((C320=TRUE)*(F320-Calc!F19))+B332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3">
        <f>(1-Summary!$B$11)*T303+Summary!$B$11*V303</f>
        <v/>
      </c>
      <c r="P303">
        <f>IF(B342=0,0,O303/B342)</f>
        <v/>
      </c>
      <c r="Q303" t="n">
        <v>0</v>
      </c>
      <c r="R303" t="n">
        <v>0</v>
      </c>
      <c r="S303">
        <f>IFERROR(O303/N303,0)</f>
        <v/>
      </c>
      <c r="T303">
        <f>IF(C303,(Skills!G2*N303*B336*(1+IF(C328=TRUE,1/3,0)))*IF(Inputs!$B$38="pvp",1,1+((Inputs!$B$20+1)+0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Hunt"),CHOOSE(ArtifactsInput!$N$35+1,15,18,21,24,27,30)*(1-EXP(-(0.2*B334)*5)),0)+IF(AND(ArtifactsInput!$M$22,Inputs!$B$4&lt;&gt;"Chapter Hunt"),CHOOSE(ArtifactsInput!$N$22+1,10,12,14,16,18,20)*((0*(((0.15*B334*5))^0/1)+1*(((0.15*B334*5))^1/1)+2*(((0.15*B334*5))^2/2)+3*(((0.15*B334*5))^3/6)+4*(((0.15*B334*5))^4/24)+5*(((0.15*B334*5))^5/120))/((((0.15*B334*5))^0/1)+(((0.15*B334*5))^1/1)+(((0.15*B334*5))^2/2)+(((0.15*B334*5))^3/6)+(((0.15*B334*5))^4/24)+(((0.15*B334*5))^5/120))),0))+IF(Inputs!$B$3&gt;=54,9*(C304=TRUE)*MIN(1,8*(1+Inputs!$B$34/100)*Q304)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303*(1-MIN(100,(Inputs!$B$9+((C320=TRUE)*(F320-Calc!F19))+B332+(ArtifactsInput!$M$24-ArtifactsInput!$M$24)*CHOOSE(ArtifactsInput!$N$24+1,10,12,14,16,18,20)+(IF(AND(Inputs!$B$38&lt;&gt;"pvp",Inputs!$B$43=0),1,IF(IF(Inputs!$B$38="pvp",15,Inputs!$B$43)-(B339)&lt;=0,1,MAX(0,IF(Inputs!$B$38="pvp",15,Inputs!$B$43)-MAX(5,B339))/(IF(Inputs!$B$38="pvp",15,Inputs!$B$43)-(B339))))*IF(AND(ArtifactsInput!$M$42,((Inputs!$B$9+((C320=TRUE)*(F320-Calc!F19))+B332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303*(MIN(100,(Inputs!$B$9+((C320=TRUE)*(F320-Calc!F19))+B332+(ArtifactsInput!$M$24-ArtifactsInput!$M$24)*CHOOSE(ArtifactsInput!$N$24+1,10,12,14,16,18,20)+(IF(AND(Inputs!$B$38&lt;&gt;"pvp",Inputs!$B$43=0),1,IF(IF(Inputs!$B$38="pvp",15,Inputs!$B$43)-(B339)&lt;=0,1,MAX(0,IF(Inputs!$B$38="pvp",15,Inputs!$B$43)-MAX(5,B339))/(IF(Inputs!$B$38="pvp",15,Inputs!$B$43)-(B339))))*IF(AND(ArtifactsInput!$M$42,((Inputs!$B$9+((C320=TRUE)*(F320-Calc!F19))+B332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303*(1-MIN(100,(Inputs!$B$9+((C320=TRUE)*(F320-Calc!F19))+B332+(ArtifactsInput!$M$24-ArtifactsInput!$M$24)*CHOOSE(ArtifactsInput!$N$24+1,10,12,14,16,18,20)+(IF(AND(Inputs!$B$38&lt;&gt;"pvp",Inputs!$B$43=0),1,IF(IF(Inputs!$B$38="pvp",15,Inputs!$B$43)-(B339)&lt;=0,1,MAX(0,IF(Inputs!$B$38="pvp",15,Inputs!$B$43)-MAX(5,B339))/(IF(Inputs!$B$38="pvp",15,Inputs!$B$43)-(B339))))*IF(AND(ArtifactsInput!$M$42,((Inputs!$B$9+((C320=TRUE)*(F320-Calc!F19))+B332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303*(MIN(100,(Inputs!$B$9+((C320=TRUE)*(F320-Calc!F19))+B332+(ArtifactsInput!$M$24-ArtifactsInput!$M$24)*CHOOSE(ArtifactsInput!$N$24+1,10,12,14,16,18,20)+(IF(AND(Inputs!$B$38&lt;&gt;"pvp",Inputs!$B$43=0),1,IF(IF(Inputs!$B$38="pvp",15,Inputs!$B$43)-(B339)&lt;=0,1,MAX(0,IF(Inputs!$B$38="pvp",15,Inputs!$B$43)-MAX(5,B339))/(IF(Inputs!$B$38="pvp",15,Inputs!$B$43)-(B339))))*IF(AND(ArtifactsInput!$M$42,((Inputs!$B$9+((C320=TRUE)*(F320-Calc!F19))+B332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03">
        <f>MAX(0,(Inputs!$B$3-100)*3)+Inputs!$B$28+Inputs!$B$29</f>
        <v/>
      </c>
      <c r="V303">
        <f>IF(C303,(Skills!G2*N303*B336*(1+IF(C328=TRUE,1/3,0)))*IF(Inputs!$B$38="pvp",1,(1+(Inputs!$B$21+Skills!Q2+(IF(ArtifactsInput!$M$33,CHOOSE(ArtifactsInput!$N$33+1,30,36,42,48,54,60),0))+(IF(AND(ArtifactsInput!$M$35,Inputs!$B$4&lt;&gt;"Chapter Hunt"),CHOOSE(ArtifactsInput!$N$35+1,15,18,21,24,27,30)*(1-EXP(-(0.2*B334)*5)),0)+IF(AND(ArtifactsInput!$M$22,Inputs!$B$4&lt;&gt;"Chapter Hunt"),CHOOSE(ArtifactsInput!$N$22+1,10,12,14,16,18,20)*((0*(((0.15*B334*5))^0/1)+1*(((0.15*B334*5))^1/1)+2*(((0.15*B334*5))^2/2)+3*(((0.15*B334*5))^3/6)+4*(((0.15*B334*5))^4/24)+5*(((0.15*B334*5))^5/120))/((((0.15*B334*5))^0/1)+(((0.15*B334*5))^1/1)+(((0.15*B334*5))^2/2)+(((0.15*B334*5))^3/6)+(((0.15*B334*5))^4/24)+(((0.15*B334*5))^5/120))),0))+IF(Inputs!$B$3&gt;=54,9*(C304=TRUE)*MIN(1,8*(1+Inputs!$B$34/100)*Q304),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4">
      <c r="A304">
        <f>Skills!A3</f>
        <v/>
      </c>
      <c r="B304">
        <f>Skills!B3</f>
        <v/>
      </c>
      <c r="C304">
        <f>Inputs!$B$3&gt;=33</f>
        <v/>
      </c>
      <c r="D304">
        <f>IF(Skills!C3=1,60+Inputs!$B$25+Inputs!$B$29,IF(Skills!C3=2,90+Inputs!$B$26+Inputs!$B$29,IF(Skills!C3=3,120+Inputs!$B$27+Inputs!$B$29,MAX(0,(Inputs!$B$3-100)*3)+Inputs!$B$28+Inputs!$B$29)))</f>
        <v/>
      </c>
      <c r="E304">
        <f>INDEX(FactorTable!$B$2:$Y$301, MATCH(ROUND(MIN(300,MAX(1,D304)),0), FactorTable!$A$2:$A$301,0), Skills!M3+1)</f>
        <v/>
      </c>
      <c r="F304">
        <f>IF(Skills!N3=TRUE,(Skills!L3/10)*(E304/1000),Skills!L3/10)+Skills!O3</f>
        <v/>
      </c>
      <c r="G304">
        <f>Skills!G3*IF(Skills!H3&gt;0,INT(IF(Inputs!$B$38="pvp",MIN(Skills!I3,15),Skills!I3)/Skills!H3+0.000000001),1)</f>
        <v/>
      </c>
      <c r="H304">
        <f>1-(1-Skills!J3/100)^Skills!K3</f>
        <v/>
      </c>
      <c r="I304" t="inlineStr">
        <is>
          <t>1</t>
        </is>
      </c>
      <c r="J304">
        <f>((Inputs!$B$6*(1+Inputs!$B$7/100))+(((Inputs!$B$12*(1+Inputs!$B$13/100))-(Inputs!$B$12*(1+Inputs!$B$13/100)))+0.25*(Inputs!$B$14-Inputs!$B$14))*(1+Inputs!$B$7/100))*(F304/100)</f>
        <v/>
      </c>
      <c r="K304">
        <f>J304*(1+((Inputs!$B$12*(1+Inputs!$B$13/100))*0.01+Inputs!$B$14*0.0025)/100)*(1+Inputs!$B$15/100)*(1+Inputs!$B$16/100)*(5000/(6000+Inputs!$B$42*(1-(100*(1-(1-(Inputs!$B$19+0)/100)*(1-CHOOSE(ArtifactsInput!$N$40+1,5,6,7,8,9,10)/100)^(ArtifactsInput!$M$40-ArtifactsInput!$M$40)))/100)))*(1+(Inputs!$B$24+((C327=TRUE)*(F327-Calc!F26))+B338)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316=TRUE,F316,0)/100)*(1+(IF(Skills!A3="EIGHT_LEGS_EASTON",Inputs!$B$17+((C324=TRUE)*(F324-Calc!F23))+((C328=TRUE)*(F328-Calc!F27))+((IF(AND(Inputs!$B$38&lt;&gt;"pvp",Inputs!$B$43=0),1,IF(IF(Inputs!$B$38="pvp",15,Inputs!$B$43)-(B339)&lt;=0,1,MAX(0,IF(Inputs!$B$38="pvp",15,Inputs!$B$43)-MAX(5,B339))/(IF(Inputs!$B$38="pvp",15,Inputs!$B$43)-(B339))))*(IF(AND(ArtifactsInput!$M$42,((Inputs!$B$9+((C320=TRUE)*(F320-Calc!F19))+B332+(ArtifactsInput!$M$24-ArtifactsInput!$M$24)*CHOOSE(ArtifactsInput!$N$24+1,10,12,14,16,18,20)+IF(ArtifactsInput!$M$10,CHOOSE(ArtifactsInput!$N$10+1,15,18,21,24,27,30)*(IF(Inputs!$B$38="pvp",MIN(15,15)/15,IF(AND(Inputs!$B$38&lt;&gt;"pvp",Inputs!$B$43&gt;0),MIN(15,Inputs!$B$43)/(Inputs!$B$43),0))),0)))&gt;=100),MIN(100,((Inputs!$B$9+((C320=TRUE)*(F320-Calc!F19))+B332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339)&lt;=0,1,MAX(0,IF(Inputs!$B$38="pvp",15,Inputs!$B$43)-MAX(5,B339))/(IF(Inputs!$B$38="pvp",15,Inputs!$B$43)-(B339))))*IF(AND(ArtifactsInput!$M$42,((Inputs!$B$9+((C320=TRUE)*(F320-Calc!F19))+B332+(ArtifactsInput!$M$24-ArtifactsInput!$M$24)*CHOOSE(ArtifactsInput!$N$24+1,10,12,14,16,18,20)+IF(ArtifactsInput!$M$10,CHOOSE(ArtifactsInput!$N$10+1,15,18,21,24,27,30)*(IF(Inputs!$B$38="pvp",MIN(15,15)/15,IF(AND(Inputs!$B$38&lt;&gt;"pvp",Inputs!$B$43&gt;0),MIN(15,Inputs!$B$43)/(Inputs!$B$43),0))),0)))&gt;=100),CHOOSE(ArtifactsInput!$N$42+1,40,48,56,64,72,80),0))))/100)*((1+(((C318=TRUE)*F318*5/7)+((C325=TRUE)*(F325-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304)</f>
        <v/>
      </c>
      <c r="L304">
        <f>K304*(MIN(Inputs!$B$22+((C323=TRUE)*(F323-Calc!F22)),(Inputs!$B$23+0+(IF(ArtifactsInput!$M$15,CHOOSE(ArtifactsInput!$N$15+1,25,30,35,40,45,50)/100*(Inputs!$B$11-Inputs!$B$11),0))))/100+(Inputs!$B$23+0+(IF(ArtifactsInput!$M$15,CHOOSE(ArtifactsInput!$N$15+1,25,30,35,40,45,50)/100*(Inputs!$B$11-Inputs!$B$11),0)))/100)/2</f>
        <v/>
      </c>
      <c r="M304">
        <f>L304*(1+(Inputs!$B$10+((C326=TRUE)*(F326-Calc!F25))+B337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4">
        <f>L304*(1-MIN((Inputs!$B$9+((C320=TRUE)*(F320-Calc!F19))+B332+(ArtifactsInput!$M$24-ArtifactsInput!$M$24)*CHOOSE(ArtifactsInput!$N$24+1,10,12,14,16,18,20)+(IF(AND(Inputs!$B$38&lt;&gt;"pvp",Inputs!$B$43=0),1,IF(IF(Inputs!$B$38="pvp",15,Inputs!$B$43)-(B339)&lt;=0,1,MAX(0,IF(Inputs!$B$38="pvp",15,Inputs!$B$43)-MAX(5,B339))/(IF(Inputs!$B$38="pvp",15,Inputs!$B$43)-(B339))))*IF(AND(ArtifactsInput!$M$42,((Inputs!$B$9+((C320=TRUE)*(F320-Calc!F19))+B332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304*(MIN((Inputs!$B$9+((C320=TRUE)*(F320-Calc!F19))+B332+(ArtifactsInput!$M$24-ArtifactsInput!$M$24)*CHOOSE(ArtifactsInput!$N$24+1,10,12,14,16,18,20)+(IF(AND(Inputs!$B$38&lt;&gt;"pvp",Inputs!$B$43=0),1,IF(IF(Inputs!$B$38="pvp",15,Inputs!$B$43)-(B339)&lt;=0,1,MAX(0,IF(Inputs!$B$38="pvp",15,Inputs!$B$43)-MAX(5,B339))/(IF(Inputs!$B$38="pvp",15,Inputs!$B$43)-(B339))))*IF(AND(ArtifactsInput!$M$42,((Inputs!$B$9+((C320=TRUE)*(F320-Calc!F19))+B332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4">
        <f>(1-Summary!$B$11)*T304+Summary!$B$11*V304</f>
        <v/>
      </c>
      <c r="P304">
        <f>IF(B342=0,0,O304/B342)</f>
        <v/>
      </c>
      <c r="Q304">
        <f>IFERROR(1/(IF(Inputs!$B$38="pvp",15,MAX(0.1,Skills!D3-IF(TRUE=TRUE,Inputs!$B$32,0)))*(1-IF(AND(ArtifactsInput!$M$27,Inputs!$B$4="Chapter Hunt"),CHOOSE(ArtifactsInput!$N$27+1,20,24,28,32,36,40),0)/100)),0)</f>
        <v/>
      </c>
      <c r="R304">
        <f>IF(AND(Inputs!$B$38&lt;&gt;"pvp",Inputs!$B$43&gt;0),IF(MAX(0,Inputs!$B$43-B339)&lt;=0,0,(INT(MAX(0,Inputs!$B$43-B339)/(IF(Inputs!$B$38="pvp",15,MAX(0.1,Skills!D3-IF(TRUE=TRUE,Inputs!$B$32,0)))*(1-IF(AND(ArtifactsInput!$M$27,Inputs!$B$4="Chapter Hunt"),CHOOSE(ArtifactsInput!$N$27+1,20,24,28,32,36,40),0)/100)))+1)),0)</f>
        <v/>
      </c>
      <c r="S304">
        <f>IFERROR(O304/N304,0)</f>
        <v/>
      </c>
      <c r="T304">
        <f>IF(C304,(H304*N304*IF(AND(Inputs!$B$38&lt;&gt;"pvp",Inputs!$B$43&gt;0),((Skills!G3*((R304-1)*IF(Skills!H3&gt;0,INT(Skills!I3/Skills!H3+0.000000001),1)+IF(Skills!H3&gt;0,INT(MIN(Skills!I3,MAX(0,MAX(0,Inputs!$B$43-B339)-((R304-1)*(IF(Inputs!$B$38="pvp",15,MAX(0.1,Skills!D3-IF(TRUE=TRUE,Inputs!$B$32,0)))*(1-IF(AND(ArtifactsInput!$M$27,Inputs!$B$4="Chapter Hunt"),CHOOSE(ArtifactsInput!$N$27+1,20,24,28,32,36,40),0)/100)))))/Skills!H3+0.000000001),1)))/Inputs!$B$43),G304*Q304))*IF(Inputs!$B$38="pvp",1,1+((Inputs!$B$20+1)+0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Hunt"),CHOOSE(ArtifactsInput!$N$35+1,15,18,21,24,27,30)*(1-EXP(-(0.2*B334)*5)),0)+IF(AND(ArtifactsInput!$M$22,Inputs!$B$4&lt;&gt;"Chapter Hunt"),CHOOSE(ArtifactsInput!$N$22+1,10,12,14,16,18,20)*((0*(((0.15*B334*5))^0/1)+1*(((0.15*B334*5))^1/1)+2*(((0.15*B334*5))^2/2)+3*(((0.15*B334*5))^3/6)+4*(((0.15*B334*5))^4/24)+5*(((0.15*B334*5))^5/120))/((((0.15*B334*5))^0/1)+(((0.15*B334*5))^1/1)+(((0.15*B334*5))^2/2)+(((0.15*B334*5))^3/6)+(((0.15*B334*5))^4/24)+(((0.15*B334*5))^5/120))),0))+IF(Inputs!$B$3&gt;=54,9*(C304=TRUE)*MIN(1,8*(1+Inputs!$B$34/100)*Q304)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304*(1-MIN(100,(Inputs!$B$9+((C320=TRUE)*(F320-Calc!F19))+B332+(ArtifactsInput!$M$24-ArtifactsInput!$M$24)*CHOOSE(ArtifactsInput!$N$24+1,10,12,14,16,18,20)+(IF(AND(Inputs!$B$38&lt;&gt;"pvp",Inputs!$B$43=0),1,IF(IF(Inputs!$B$38="pvp",15,Inputs!$B$43)-(B339)&lt;=0,1,MAX(0,IF(Inputs!$B$38="pvp",15,Inputs!$B$43)-MAX(5,B339))/(IF(Inputs!$B$38="pvp",15,Inputs!$B$43)-(B339))))*IF(AND(ArtifactsInput!$M$42,((Inputs!$B$9+((C320=TRUE)*(F320-Calc!F19))+B332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304*(MIN(100,(Inputs!$B$9+((C320=TRUE)*(F320-Calc!F19))+B332+(ArtifactsInput!$M$24-ArtifactsInput!$M$24)*CHOOSE(ArtifactsInput!$N$24+1,10,12,14,16,18,20)+(IF(AND(Inputs!$B$38&lt;&gt;"pvp",Inputs!$B$43=0),1,IF(IF(Inputs!$B$38="pvp",15,Inputs!$B$43)-(B339)&lt;=0,1,MAX(0,IF(Inputs!$B$38="pvp",15,Inputs!$B$43)-MAX(5,B339))/(IF(Inputs!$B$38="pvp",15,Inputs!$B$43)-(B339))))*IF(AND(ArtifactsInput!$M$42,((Inputs!$B$9+((C320=TRUE)*(F320-Calc!F19))+B332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304*(1-MIN(100,(Inputs!$B$9+((C320=TRUE)*(F320-Calc!F19))+B332+(ArtifactsInput!$M$24-ArtifactsInput!$M$24)*CHOOSE(ArtifactsInput!$N$24+1,10,12,14,16,18,20)+(IF(AND(Inputs!$B$38&lt;&gt;"pvp",Inputs!$B$43=0),1,IF(IF(Inputs!$B$38="pvp",15,Inputs!$B$43)-(B339)&lt;=0,1,MAX(0,IF(Inputs!$B$38="pvp",15,Inputs!$B$43)-MAX(5,B339))/(IF(Inputs!$B$38="pvp",15,Inputs!$B$43)-(B339))))*IF(AND(ArtifactsInput!$M$42,((Inputs!$B$9+((C320=TRUE)*(F320-Calc!F19))+B332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304*(MIN(100,(Inputs!$B$9+((C320=TRUE)*(F320-Calc!F19))+B332+(ArtifactsInput!$M$24-ArtifactsInput!$M$24)*CHOOSE(ArtifactsInput!$N$24+1,10,12,14,16,18,20)+(IF(AND(Inputs!$B$38&lt;&gt;"pvp",Inputs!$B$43=0),1,IF(IF(Inputs!$B$38="pvp",15,Inputs!$B$43)-(B339)&lt;=0,1,MAX(0,IF(Inputs!$B$38="pvp",15,Inputs!$B$43)-MAX(5,B339))/(IF(Inputs!$B$38="pvp",15,Inputs!$B$43)-(B339))))*IF(AND(ArtifactsInput!$M$42,((Inputs!$B$9+((C320=TRUE)*(F320-Calc!F19))+B332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04">
        <f>INDEX(FactorTable!$B$2:$Y$301, MATCH(ROUND(MIN(300,MAX(1,U303)),0), FactorTable!$A$2:$A$301,0), 22)</f>
        <v/>
      </c>
      <c r="V304">
        <f>IF(C304,(H304*N304*IF(AND(Inputs!$B$38&lt;&gt;"pvp",Inputs!$B$43&gt;0),((Skills!G3*((R304-1)*IF(Skills!H3&gt;0,INT(Skills!I3/Skills!H3+0.000000001),1)+IF(Skills!H3&gt;0,INT(MIN(Skills!I3,MAX(0,MAX(0,Inputs!$B$43-B339)-((R304-1)*(IF(Inputs!$B$38="pvp",15,MAX(0.1,Skills!D3-IF(TRUE=TRUE,Inputs!$B$32,0)))*(1-IF(AND(ArtifactsInput!$M$27,Inputs!$B$4="Chapter Hunt"),CHOOSE(ArtifactsInput!$N$27+1,20,24,28,32,36,40),0)/100)))))/Skills!H3+0.000000001),1)))/Inputs!$B$43),G304*Q304))*IF(Inputs!$B$38="pvp",1,(1+(Inputs!$B$21+Skills!Q3+(IF(ArtifactsInput!$M$33,CHOOSE(ArtifactsInput!$N$33+1,30,36,42,48,54,60),0))+(IF(AND(ArtifactsInput!$M$35,Inputs!$B$4&lt;&gt;"Chapter Hunt"),CHOOSE(ArtifactsInput!$N$35+1,15,18,21,24,27,30)*(1-EXP(-(0.2*B334)*5)),0)+IF(AND(ArtifactsInput!$M$22,Inputs!$B$4&lt;&gt;"Chapter Hunt"),CHOOSE(ArtifactsInput!$N$22+1,10,12,14,16,18,20)*((0*(((0.15*B334*5))^0/1)+1*(((0.15*B334*5))^1/1)+2*(((0.15*B334*5))^2/2)+3*(((0.15*B334*5))^3/6)+4*(((0.15*B334*5))^4/24)+5*(((0.15*B334*5))^5/120))/((((0.15*B334*5))^0/1)+(((0.15*B334*5))^1/1)+(((0.15*B334*5))^2/2)+(((0.15*B334*5))^3/6)+(((0.15*B334*5))^4/24)+(((0.15*B334*5))^5/120))),0))+IF(Inputs!$B$3&gt;=54,9*(C304=TRUE)*MIN(1,8*(1+Inputs!$B$34/100)*Q304),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5">
      <c r="A305">
        <f>Skills!A4</f>
        <v/>
      </c>
      <c r="B305">
        <f>Skills!B4</f>
        <v/>
      </c>
      <c r="C305">
        <f>Inputs!$B$3&gt;=35</f>
        <v/>
      </c>
      <c r="D305">
        <f>IF(Skills!C4=1,60+Inputs!$B$25+Inputs!$B$29,IF(Skills!C4=2,90+Inputs!$B$26+Inputs!$B$29,IF(Skills!C4=3,120+Inputs!$B$27+Inputs!$B$29,MAX(0,(Inputs!$B$3-100)*3)+Inputs!$B$28+Inputs!$B$29)))</f>
        <v/>
      </c>
      <c r="E305">
        <f>INDEX(FactorTable!$B$2:$Y$301, MATCH(ROUND(MIN(300,MAX(1,D305)),0), FactorTable!$A$2:$A$301,0), Skills!M4+1)</f>
        <v/>
      </c>
      <c r="F305">
        <f>IF(Skills!N4=TRUE,(Skills!L4/10)*(E305/1000),Skills!L4/10)+Skills!O4</f>
        <v/>
      </c>
      <c r="G305">
        <f>Skills!G4*IF(Skills!H4&gt;0,INT(IF(Inputs!$B$38="pvp",MIN(IF(Inputs!$B$3&gt;=104,MIN(35,20*(1+Inputs!$B$34/100)),20),15),IF(Inputs!$B$3&gt;=104,MIN(35,20*(1+Inputs!$B$34/100)),20))/Skills!H4+0.000000001),1)</f>
        <v/>
      </c>
      <c r="H305">
        <f>1-(1-Skills!J4/100)^Skills!K4</f>
        <v/>
      </c>
      <c r="I305" t="inlineStr">
        <is>
          <t>1</t>
        </is>
      </c>
      <c r="J305">
        <f>((Inputs!$B$6*(1+Inputs!$B$7/100))+(((Inputs!$B$12*(1+Inputs!$B$13/100))-(Inputs!$B$12*(1+Inputs!$B$13/100)))+0.25*(Inputs!$B$14-Inputs!$B$14))*(1+Inputs!$B$7/100))*(F305/100)</f>
        <v/>
      </c>
      <c r="K305">
        <f>J305*(1+((Inputs!$B$12*(1+Inputs!$B$13/100))*0.01+Inputs!$B$14*0.0025)/100)*(1+Inputs!$B$15/100)*(1+Inputs!$B$16/100)*(5000/(6000+Inputs!$B$42*(1-(100*(1-(1-(Inputs!$B$19+0)/100)*(1-CHOOSE(ArtifactsInput!$N$40+1,5,6,7,8,9,10)/100)^(ArtifactsInput!$M$40-ArtifactsInput!$M$40)))/100)))*(1+(Inputs!$B$24+((C327=TRUE)*(F327-Calc!F26))+B338)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317=TRUE,F317,0)/100)*(1+(IF(Skills!A4="EIGHT_LEGS_EASTON",Inputs!$B$17+((C324=TRUE)*(F324-Calc!F23))+((C328=TRUE)*(F328-Calc!F27))+((IF(AND(Inputs!$B$38&lt;&gt;"pvp",Inputs!$B$43=0),1,IF(IF(Inputs!$B$38="pvp",15,Inputs!$B$43)-(B339)&lt;=0,1,MAX(0,IF(Inputs!$B$38="pvp",15,Inputs!$B$43)-MAX(5,B339))/(IF(Inputs!$B$38="pvp",15,Inputs!$B$43)-(B339))))*(IF(AND(ArtifactsInput!$M$42,((Inputs!$B$9+((C320=TRUE)*(F320-Calc!F19))+B332+(ArtifactsInput!$M$24-ArtifactsInput!$M$24)*CHOOSE(ArtifactsInput!$N$24+1,10,12,14,16,18,20)+IF(ArtifactsInput!$M$10,CHOOSE(ArtifactsInput!$N$10+1,15,18,21,24,27,30)*(IF(Inputs!$B$38="pvp",MIN(15,15)/15,IF(AND(Inputs!$B$38&lt;&gt;"pvp",Inputs!$B$43&gt;0),MIN(15,Inputs!$B$43)/(Inputs!$B$43),0))),0)))&gt;=100),MIN(100,((Inputs!$B$9+((C320=TRUE)*(F320-Calc!F19))+B332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339)&lt;=0,1,MAX(0,IF(Inputs!$B$38="pvp",15,Inputs!$B$43)-MAX(5,B339))/(IF(Inputs!$B$38="pvp",15,Inputs!$B$43)-(B339))))*IF(AND(ArtifactsInput!$M$42,((Inputs!$B$9+((C320=TRUE)*(F320-Calc!F19))+B332+(ArtifactsInput!$M$24-ArtifactsInput!$M$24)*CHOOSE(ArtifactsInput!$N$24+1,10,12,14,16,18,20)+IF(ArtifactsInput!$M$10,CHOOSE(ArtifactsInput!$N$10+1,15,18,21,24,27,30)*(IF(Inputs!$B$38="pvp",MIN(15,15)/15,IF(AND(Inputs!$B$38&lt;&gt;"pvp",Inputs!$B$43&gt;0),MIN(15,Inputs!$B$43)/(Inputs!$B$43),0))),0)))&gt;=100),CHOOSE(ArtifactsInput!$N$42+1,40,48,56,64,72,80),0))))/100)*((1+(((C318=TRUE)*F318*5/7)+((C325=TRUE)*(F325-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305)</f>
        <v/>
      </c>
      <c r="L305">
        <f>K305*(MIN(Inputs!$B$22+((C323=TRUE)*(F323-Calc!F22)),(Inputs!$B$23+0+(IF(ArtifactsInput!$M$15,CHOOSE(ArtifactsInput!$N$15+1,25,30,35,40,45,50)/100*(Inputs!$B$11-Inputs!$B$11),0))))/100+(Inputs!$B$23+0+(IF(ArtifactsInput!$M$15,CHOOSE(ArtifactsInput!$N$15+1,25,30,35,40,45,50)/100*(Inputs!$B$11-Inputs!$B$11),0)))/100)/2</f>
        <v/>
      </c>
      <c r="M305">
        <f>L305*(1+(Inputs!$B$10+((C326=TRUE)*(F326-Calc!F25))+B337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5">
        <f>L305*(1-MIN((Inputs!$B$9+((C320=TRUE)*(F320-Calc!F19))+B332+(ArtifactsInput!$M$24-ArtifactsInput!$M$24)*CHOOSE(ArtifactsInput!$N$24+1,10,12,14,16,18,20)+(IF(AND(Inputs!$B$38&lt;&gt;"pvp",Inputs!$B$43=0),1,IF(IF(Inputs!$B$38="pvp",15,Inputs!$B$43)-(B339)&lt;=0,1,MAX(0,IF(Inputs!$B$38="pvp",15,Inputs!$B$43)-MAX(5,B339))/(IF(Inputs!$B$38="pvp",15,Inputs!$B$43)-(B339))))*IF(AND(ArtifactsInput!$M$42,((Inputs!$B$9+((C320=TRUE)*(F320-Calc!F19))+B332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305*(MIN((Inputs!$B$9+((C320=TRUE)*(F320-Calc!F19))+B332+(ArtifactsInput!$M$24-ArtifactsInput!$M$24)*CHOOSE(ArtifactsInput!$N$24+1,10,12,14,16,18,20)+(IF(AND(Inputs!$B$38&lt;&gt;"pvp",Inputs!$B$43=0),1,IF(IF(Inputs!$B$38="pvp",15,Inputs!$B$43)-(B339)&lt;=0,1,MAX(0,IF(Inputs!$B$38="pvp",15,Inputs!$B$43)-MAX(5,B339))/(IF(Inputs!$B$38="pvp",15,Inputs!$B$43)-(B339))))*IF(AND(ArtifactsInput!$M$42,((Inputs!$B$9+((C320=TRUE)*(F320-Calc!F19))+B332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5">
        <f>(1-Summary!$B$11)*T305+Summary!$B$11*V305</f>
        <v/>
      </c>
      <c r="P305">
        <f>IF(B342=0,0,O305/B342)</f>
        <v/>
      </c>
      <c r="Q305">
        <f>IFERROR(1/(IF(Inputs!$B$38="pvp",15,MAX(0.1,Skills!D4-IF(TRUE=TRUE,Inputs!$B$32,0)))*(1-IF(AND(ArtifactsInput!$M$27,Inputs!$B$4="Chapter Hunt"),CHOOSE(ArtifactsInput!$N$27+1,20,24,28,32,36,40),0)/100)),0)</f>
        <v/>
      </c>
      <c r="R305">
        <f>IF(AND(Inputs!$B$38&lt;&gt;"pvp",Inputs!$B$43&gt;0),IF(MAX(0,Inputs!$B$43-B339)&lt;=0,0,(INT(MAX(0,Inputs!$B$43-B339)/(IF(Inputs!$B$38="pvp",15,MAX(0.1,Skills!D4-IF(TRUE=TRUE,Inputs!$B$32,0)))*(1-IF(AND(ArtifactsInput!$M$27,Inputs!$B$4="Chapter Hunt"),CHOOSE(ArtifactsInput!$N$27+1,20,24,28,32,36,40),0)/100)))+1)),0)</f>
        <v/>
      </c>
      <c r="S305">
        <f>IFERROR(O305/N305,0)</f>
        <v/>
      </c>
      <c r="T305">
        <f>IF(C305,(H305*N305*IF(AND(Inputs!$B$38&lt;&gt;"pvp",Inputs!$B$43&gt;0),((Skills!G4*((R305-1)*IF(Skills!H4&gt;0,INT(IF(Inputs!$B$3&gt;=104,MIN(35,20*(1+Inputs!$B$34/100)),20)/Skills!H4+0.000000001),1)+IF(Skills!H4&gt;0,INT(MIN(IF(Inputs!$B$3&gt;=104,MIN(35,20*(1+Inputs!$B$34/100)),20),MAX(0,MAX(0,Inputs!$B$43-B339)-((R305-1)*(IF(Inputs!$B$38="pvp",15,MAX(0.1,Skills!D4-IF(TRUE=TRUE,Inputs!$B$32,0)))*(1-IF(AND(ArtifactsInput!$M$27,Inputs!$B$4="Chapter Hunt"),CHOOSE(ArtifactsInput!$N$27+1,20,24,28,32,36,40),0)/100)))))/Skills!H4+0.000000001),1)))/Inputs!$B$43),G305*Q305))*IF(Inputs!$B$38="pvp",1,1+((Inputs!$B$20+1)+0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Hunt"),CHOOSE(ArtifactsInput!$N$35+1,15,18,21,24,27,30)*(1-EXP(-(0.2*B334)*5)),0)+IF(AND(ArtifactsInput!$M$22,Inputs!$B$4&lt;&gt;"Chapter Hunt"),CHOOSE(ArtifactsInput!$N$22+1,10,12,14,16,18,20)*((0*(((0.15*B334*5))^0/1)+1*(((0.15*B334*5))^1/1)+2*(((0.15*B334*5))^2/2)+3*(((0.15*B334*5))^3/6)+4*(((0.15*B334*5))^4/24)+5*(((0.15*B334*5))^5/120))/((((0.15*B334*5))^0/1)+(((0.15*B334*5))^1/1)+(((0.15*B334*5))^2/2)+(((0.15*B334*5))^3/6)+(((0.15*B334*5))^4/24)+(((0.15*B334*5))^5/120))),0))+IF(Inputs!$B$3&gt;=54,9*(C304=TRUE)*MIN(1,8*(1+Inputs!$B$34/100)*Q304)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305*(1-MIN(100,(Inputs!$B$9+((C320=TRUE)*(F320-Calc!F19))+B332+(ArtifactsInput!$M$24-ArtifactsInput!$M$24)*CHOOSE(ArtifactsInput!$N$24+1,10,12,14,16,18,20)+(IF(AND(Inputs!$B$38&lt;&gt;"pvp",Inputs!$B$43=0),1,IF(IF(Inputs!$B$38="pvp",15,Inputs!$B$43)-(B339)&lt;=0,1,MAX(0,IF(Inputs!$B$38="pvp",15,Inputs!$B$43)-MAX(5,B339))/(IF(Inputs!$B$38="pvp",15,Inputs!$B$43)-(B339))))*IF(AND(ArtifactsInput!$M$42,((Inputs!$B$9+((C320=TRUE)*(F320-Calc!F19))+B332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305*(MIN(100,(Inputs!$B$9+((C320=TRUE)*(F320-Calc!F19))+B332+(ArtifactsInput!$M$24-ArtifactsInput!$M$24)*CHOOSE(ArtifactsInput!$N$24+1,10,12,14,16,18,20)+(IF(AND(Inputs!$B$38&lt;&gt;"pvp",Inputs!$B$43=0),1,IF(IF(Inputs!$B$38="pvp",15,Inputs!$B$43)-(B339)&lt;=0,1,MAX(0,IF(Inputs!$B$38="pvp",15,Inputs!$B$43)-MAX(5,B339))/(IF(Inputs!$B$38="pvp",15,Inputs!$B$43)-(B339))))*IF(AND(ArtifactsInput!$M$42,((Inputs!$B$9+((C320=TRUE)*(F320-Calc!F19))+B332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305*(1-MIN(100,(Inputs!$B$9+((C320=TRUE)*(F320-Calc!F19))+B332+(ArtifactsInput!$M$24-ArtifactsInput!$M$24)*CHOOSE(ArtifactsInput!$N$24+1,10,12,14,16,18,20)+(IF(AND(Inputs!$B$38&lt;&gt;"pvp",Inputs!$B$43=0),1,IF(IF(Inputs!$B$38="pvp",15,Inputs!$B$43)-(B339)&lt;=0,1,MAX(0,IF(Inputs!$B$38="pvp",15,Inputs!$B$43)-MAX(5,B339))/(IF(Inputs!$B$38="pvp",15,Inputs!$B$43)-(B339))))*IF(AND(ArtifactsInput!$M$42,((Inputs!$B$9+((C320=TRUE)*(F320-Calc!F19))+B332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305*(MIN(100,(Inputs!$B$9+((C320=TRUE)*(F320-Calc!F19))+B332+(ArtifactsInput!$M$24-ArtifactsInput!$M$24)*CHOOSE(ArtifactsInput!$N$24+1,10,12,14,16,18,20)+(IF(AND(Inputs!$B$38&lt;&gt;"pvp",Inputs!$B$43=0),1,IF(IF(Inputs!$B$38="pvp",15,Inputs!$B$43)-(B339)&lt;=0,1,MAX(0,IF(Inputs!$B$38="pvp",15,Inputs!$B$43)-MAX(5,B339))/(IF(Inputs!$B$38="pvp",15,Inputs!$B$43)-(B339))))*IF(AND(ArtifactsInput!$M$42,((Inputs!$B$9+((C320=TRUE)*(F320-Calc!F19))+B332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05">
        <f>290*U304/1000</f>
        <v/>
      </c>
      <c r="V305">
        <f>IF(C305,(H305*N305*IF(AND(Inputs!$B$38&lt;&gt;"pvp",Inputs!$B$43&gt;0),((Skills!G4*((R305-1)*IF(Skills!H4&gt;0,INT(IF(Inputs!$B$3&gt;=104,MIN(35,20*(1+Inputs!$B$34/100)),20)/Skills!H4+0.000000001),1)+IF(Skills!H4&gt;0,INT(MIN(IF(Inputs!$B$3&gt;=104,MIN(35,20*(1+Inputs!$B$34/100)),20),MAX(0,MAX(0,Inputs!$B$43-B339)-((R305-1)*(IF(Inputs!$B$38="pvp",15,MAX(0.1,Skills!D4-IF(TRUE=TRUE,Inputs!$B$32,0)))*(1-IF(AND(ArtifactsInput!$M$27,Inputs!$B$4="Chapter Hunt"),CHOOSE(ArtifactsInput!$N$27+1,20,24,28,32,36,40),0)/100)))))/Skills!H4+0.000000001),1)))/Inputs!$B$43),G305*Q305))*IF(Inputs!$B$38="pvp",1,(1+(Inputs!$B$21+Skills!Q4+(IF(ArtifactsInput!$M$33,CHOOSE(ArtifactsInput!$N$33+1,30,36,42,48,54,60),0))+(IF(AND(ArtifactsInput!$M$35,Inputs!$B$4&lt;&gt;"Chapter Hunt"),CHOOSE(ArtifactsInput!$N$35+1,15,18,21,24,27,30)*(1-EXP(-(0.2*B334)*5)),0)+IF(AND(ArtifactsInput!$M$22,Inputs!$B$4&lt;&gt;"Chapter Hunt"),CHOOSE(ArtifactsInput!$N$22+1,10,12,14,16,18,20)*((0*(((0.15*B334*5))^0/1)+1*(((0.15*B334*5))^1/1)+2*(((0.15*B334*5))^2/2)+3*(((0.15*B334*5))^3/6)+4*(((0.15*B334*5))^4/24)+5*(((0.15*B334*5))^5/120))/((((0.15*B334*5))^0/1)+(((0.15*B334*5))^1/1)+(((0.15*B334*5))^2/2)+(((0.15*B334*5))^3/6)+(((0.15*B334*5))^4/24)+(((0.15*B334*5))^5/120))),0))+IF(Inputs!$B$3&gt;=54,9*(C304=TRUE)*MIN(1,8*(1+Inputs!$B$34/100)*Q304),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6">
      <c r="A306">
        <f>Skills!A5</f>
        <v/>
      </c>
      <c r="B306">
        <f>Skills!B5</f>
        <v/>
      </c>
      <c r="C306">
        <f>Inputs!$B$3&gt;=69</f>
        <v/>
      </c>
      <c r="D306">
        <f>IF(Skills!C5=1,60+Inputs!$B$25+Inputs!$B$29,IF(Skills!C5=2,90+Inputs!$B$26+Inputs!$B$29,IF(Skills!C5=3,120+Inputs!$B$27+Inputs!$B$29,MAX(0,(Inputs!$B$3-100)*3)+Inputs!$B$28+Inputs!$B$29)))</f>
        <v/>
      </c>
      <c r="E306">
        <f>INDEX(FactorTable!$B$2:$Y$301, MATCH(ROUND(MIN(300,MAX(1,D306)),0), FactorTable!$A$2:$A$301,0), Skills!M5+1)</f>
        <v/>
      </c>
      <c r="F306">
        <f>IF(Skills!N5=TRUE,(Skills!L5/10)*(E306/1000),Skills!L5/10)+Skills!O5</f>
        <v/>
      </c>
      <c r="G306">
        <f>Skills!G5*IF(Skills!H5&gt;0,INT(IF(Inputs!$B$38="pvp",MIN(IF(Inputs!$B$3&gt;=104,MIN(35,20*(1+Inputs!$B$34/100)),20),15),IF(Inputs!$B$3&gt;=104,MIN(35,20*(1+Inputs!$B$34/100)),20))/Skills!H5+0.000000001),1)</f>
        <v/>
      </c>
      <c r="H306">
        <f>1-(1-Skills!J5/100)^Skills!K5</f>
        <v/>
      </c>
      <c r="I306" t="inlineStr">
        <is>
          <t>1</t>
        </is>
      </c>
      <c r="J306">
        <f>((Inputs!$B$6*(1+Inputs!$B$7/100))+(((Inputs!$B$12*(1+Inputs!$B$13/100))-(Inputs!$B$12*(1+Inputs!$B$13/100)))+0.25*(Inputs!$B$14-Inputs!$B$14))*(1+Inputs!$B$7/100))*(F306/100)</f>
        <v/>
      </c>
      <c r="K306">
        <f>J306*(1+((Inputs!$B$12*(1+Inputs!$B$13/100))*0.01+Inputs!$B$14*0.0025)/100)*(1+Inputs!$B$15/100)*(1+Inputs!$B$16/100)*(5000/(6000+Inputs!$B$42*(1-(100*(1-(1-(Inputs!$B$19+0)/100)*(1-CHOOSE(ArtifactsInput!$N$40+1,5,6,7,8,9,10)/100)^(ArtifactsInput!$M$40-ArtifactsInput!$M$40)))/100)))*(1+(Inputs!$B$24+((C327=TRUE)*(F327-Calc!F26))+B338)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+0.4*IF(C317=TRUE,F317,0)/100)*(1+(IF(Skills!A5="EIGHT_LEGS_EASTON",Inputs!$B$17+((C324=TRUE)*(F324-Calc!F23))+((C328=TRUE)*(F328-Calc!F27))+((IF(AND(Inputs!$B$38&lt;&gt;"pvp",Inputs!$B$43=0),1,IF(IF(Inputs!$B$38="pvp",15,Inputs!$B$43)-(B339)&lt;=0,1,MAX(0,IF(Inputs!$B$38="pvp",15,Inputs!$B$43)-MAX(5,B339))/(IF(Inputs!$B$38="pvp",15,Inputs!$B$43)-(B339))))*(IF(AND(ArtifactsInput!$M$42,((Inputs!$B$9+((C320=TRUE)*(F320-Calc!F19))+B332+(ArtifactsInput!$M$24-ArtifactsInput!$M$24)*CHOOSE(ArtifactsInput!$N$24+1,10,12,14,16,18,20)+IF(ArtifactsInput!$M$10,CHOOSE(ArtifactsInput!$N$10+1,15,18,21,24,27,30)*(IF(Inputs!$B$38="pvp",MIN(15,15)/15,IF(AND(Inputs!$B$38&lt;&gt;"pvp",Inputs!$B$43&gt;0),MIN(15,Inputs!$B$43)/(Inputs!$B$43),0))),0)))&gt;=100),MIN(100,((Inputs!$B$9+((C320=TRUE)*(F320-Calc!F19))+B332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339)&lt;=0,1,MAX(0,IF(Inputs!$B$38="pvp",15,Inputs!$B$43)-MAX(5,B339))/(IF(Inputs!$B$38="pvp",15,Inputs!$B$43)-(B339))))*IF(AND(ArtifactsInput!$M$42,((Inputs!$B$9+((C320=TRUE)*(F320-Calc!F19))+B332+(ArtifactsInput!$M$24-ArtifactsInput!$M$24)*CHOOSE(ArtifactsInput!$N$24+1,10,12,14,16,18,20)+IF(ArtifactsInput!$M$10,CHOOSE(ArtifactsInput!$N$10+1,15,18,21,24,27,30)*(IF(Inputs!$B$38="pvp",MIN(15,15)/15,IF(AND(Inputs!$B$38&lt;&gt;"pvp",Inputs!$B$43&gt;0),MIN(15,Inputs!$B$43)/(Inputs!$B$43),0))),0)))&gt;=100),CHOOSE(ArtifactsInput!$N$42+1,40,48,56,64,72,80),0))))/100)*((1+(((C318=TRUE)*F318*5/7)+((C325=TRUE)*(F325-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306)</f>
        <v/>
      </c>
      <c r="L306">
        <f>K306*(MIN(Inputs!$B$22+((C323=TRUE)*(F323-Calc!F22)),(Inputs!$B$23+0+(IF(ArtifactsInput!$M$15,CHOOSE(ArtifactsInput!$N$15+1,25,30,35,40,45,50)/100*(Inputs!$B$11-Inputs!$B$11),0))))/100+(Inputs!$B$23+0+(IF(ArtifactsInput!$M$15,CHOOSE(ArtifactsInput!$N$15+1,25,30,35,40,45,50)/100*(Inputs!$B$11-Inputs!$B$11),0)))/100)/2</f>
        <v/>
      </c>
      <c r="M306">
        <f>L306*(1+(Inputs!$B$10+((C326=TRUE)*(F326-Calc!F25))+B337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6">
        <f>L306*(1-MIN((Inputs!$B$9+((C320=TRUE)*(F320-Calc!F19))+B332+(ArtifactsInput!$M$24-ArtifactsInput!$M$24)*CHOOSE(ArtifactsInput!$N$24+1,10,12,14,16,18,20)+(IF(AND(Inputs!$B$38&lt;&gt;"pvp",Inputs!$B$43=0),1,IF(IF(Inputs!$B$38="pvp",15,Inputs!$B$43)-(B339)&lt;=0,1,MAX(0,IF(Inputs!$B$38="pvp",15,Inputs!$B$43)-MAX(5,B339))/(IF(Inputs!$B$38="pvp",15,Inputs!$B$43)-(B339))))*IF(AND(ArtifactsInput!$M$42,((Inputs!$B$9+((C320=TRUE)*(F320-Calc!F19))+B332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306*(MIN((Inputs!$B$9+((C320=TRUE)*(F320-Calc!F19))+B332+(ArtifactsInput!$M$24-ArtifactsInput!$M$24)*CHOOSE(ArtifactsInput!$N$24+1,10,12,14,16,18,20)+(IF(AND(Inputs!$B$38&lt;&gt;"pvp",Inputs!$B$43=0),1,IF(IF(Inputs!$B$38="pvp",15,Inputs!$B$43)-(B339)&lt;=0,1,MAX(0,IF(Inputs!$B$38="pvp",15,Inputs!$B$43)-MAX(5,B339))/(IF(Inputs!$B$38="pvp",15,Inputs!$B$43)-(B339))))*IF(AND(ArtifactsInput!$M$42,((Inputs!$B$9+((C320=TRUE)*(F320-Calc!F19))+B332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6">
        <f>(1-Summary!$B$11)*T306+Summary!$B$11*V306</f>
        <v/>
      </c>
      <c r="P306">
        <f>IF(B342=0,0,O306/B342)</f>
        <v/>
      </c>
      <c r="Q306">
        <f>IFERROR(1/(IF(Inputs!$B$38="pvp",15,MAX(0.1,Skills!D5-IF(TRUE=TRUE,Inputs!$B$32,0)))*(1-IF(AND(ArtifactsInput!$M$27,Inputs!$B$4="Chapter Hunt"),CHOOSE(ArtifactsInput!$N$27+1,20,24,28,32,36,40),0)/100)),0)</f>
        <v/>
      </c>
      <c r="R306">
        <f>IF(AND(Inputs!$B$38&lt;&gt;"pvp",Inputs!$B$43&gt;0),IF(MAX(0,Inputs!$B$43-B339)&lt;=0,0,(INT(MAX(0,Inputs!$B$43-B339)/(IF(Inputs!$B$38="pvp",15,MAX(0.1,Skills!D5-IF(TRUE=TRUE,Inputs!$B$32,0)))*(1-IF(AND(ArtifactsInput!$M$27,Inputs!$B$4="Chapter Hunt"),CHOOSE(ArtifactsInput!$N$27+1,20,24,28,32,36,40),0)/100)))+1)),0)</f>
        <v/>
      </c>
      <c r="S306">
        <f>IFERROR(O306/N306,0)</f>
        <v/>
      </c>
      <c r="T306">
        <f>IF(C306,(H306*N306*IF(AND(Inputs!$B$38&lt;&gt;"pvp",Inputs!$B$43&gt;0),((Skills!G5*((R306-1)*IF(Skills!H5&gt;0,INT(IF(Inputs!$B$3&gt;=104,MIN(35,20*(1+Inputs!$B$34/100)),20)/Skills!H5+0.000000001),1)+IF(Skills!H5&gt;0,INT(MIN(IF(Inputs!$B$3&gt;=104,MIN(35,20*(1+Inputs!$B$34/100)),20),MAX(0,MAX(0,Inputs!$B$43-B339)-((R306-1)*(IF(Inputs!$B$38="pvp",15,MAX(0.1,Skills!D5-IF(TRUE=TRUE,Inputs!$B$32,0)))*(1-IF(AND(ArtifactsInput!$M$27,Inputs!$B$4="Chapter Hunt"),CHOOSE(ArtifactsInput!$N$27+1,20,24,28,32,36,40),0)/100)))))/Skills!H5+0.000000001),1)))/Inputs!$B$43),G306*Q306))*IF(Inputs!$B$38="pvp",1,1+((Inputs!$B$20+1)+0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Hunt"),CHOOSE(ArtifactsInput!$N$35+1,15,18,21,24,27,30)*(1-EXP(-(0.2*B334)*5)),0)+IF(AND(ArtifactsInput!$M$22,Inputs!$B$4&lt;&gt;"Chapter Hunt"),CHOOSE(ArtifactsInput!$N$22+1,10,12,14,16,18,20)*((0*(((0.15*B334*5))^0/1)+1*(((0.15*B334*5))^1/1)+2*(((0.15*B334*5))^2/2)+3*(((0.15*B334*5))^3/6)+4*(((0.15*B334*5))^4/24)+5*(((0.15*B334*5))^5/120))/((((0.15*B334*5))^0/1)+(((0.15*B334*5))^1/1)+(((0.15*B334*5))^2/2)+(((0.15*B334*5))^3/6)+(((0.15*B334*5))^4/24)+(((0.15*B334*5))^5/120))),0))+IF(Inputs!$B$3&gt;=54,9*(C304=TRUE)*MIN(1,8*(1+Inputs!$B$34/100)*Q304)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306*(1-MIN(100,(Inputs!$B$9+((C320=TRUE)*(F320-Calc!F19))+B332+(ArtifactsInput!$M$24-ArtifactsInput!$M$24)*CHOOSE(ArtifactsInput!$N$24+1,10,12,14,16,18,20)+(IF(AND(Inputs!$B$38&lt;&gt;"pvp",Inputs!$B$43=0),1,IF(IF(Inputs!$B$38="pvp",15,Inputs!$B$43)-(B339)&lt;=0,1,MAX(0,IF(Inputs!$B$38="pvp",15,Inputs!$B$43)-MAX(5,B339))/(IF(Inputs!$B$38="pvp",15,Inputs!$B$43)-(B339))))*IF(AND(ArtifactsInput!$M$42,((Inputs!$B$9+((C320=TRUE)*(F320-Calc!F19))+B332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306*(MIN(100,(Inputs!$B$9+((C320=TRUE)*(F320-Calc!F19))+B332+(ArtifactsInput!$M$24-ArtifactsInput!$M$24)*CHOOSE(ArtifactsInput!$N$24+1,10,12,14,16,18,20)+(IF(AND(Inputs!$B$38&lt;&gt;"pvp",Inputs!$B$43=0),1,IF(IF(Inputs!$B$38="pvp",15,Inputs!$B$43)-(B339)&lt;=0,1,MAX(0,IF(Inputs!$B$38="pvp",15,Inputs!$B$43)-MAX(5,B339))/(IF(Inputs!$B$38="pvp",15,Inputs!$B$43)-(B339))))*IF(AND(ArtifactsInput!$M$42,((Inputs!$B$9+((C320=TRUE)*(F320-Calc!F19))+B332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306*(1-MIN(100,(Inputs!$B$9+((C320=TRUE)*(F320-Calc!F19))+B332+(ArtifactsInput!$M$24-ArtifactsInput!$M$24)*CHOOSE(ArtifactsInput!$N$24+1,10,12,14,16,18,20)+(IF(AND(Inputs!$B$38&lt;&gt;"pvp",Inputs!$B$43=0),1,IF(IF(Inputs!$B$38="pvp",15,Inputs!$B$43)-(B339)&lt;=0,1,MAX(0,IF(Inputs!$B$38="pvp",15,Inputs!$B$43)-MAX(5,B339))/(IF(Inputs!$B$38="pvp",15,Inputs!$B$43)-(B339))))*IF(AND(ArtifactsInput!$M$42,((Inputs!$B$9+((C320=TRUE)*(F320-Calc!F19))+B332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306*(MIN(100,(Inputs!$B$9+((C320=TRUE)*(F320-Calc!F19))+B332+(ArtifactsInput!$M$24-ArtifactsInput!$M$24)*CHOOSE(ArtifactsInput!$N$24+1,10,12,14,16,18,20)+(IF(AND(Inputs!$B$38&lt;&gt;"pvp",Inputs!$B$43=0),1,IF(IF(Inputs!$B$38="pvp",15,Inputs!$B$43)-(B339)&lt;=0,1,MAX(0,IF(Inputs!$B$38="pvp",15,Inputs!$B$43)-MAX(5,B339))/(IF(Inputs!$B$38="pvp",15,Inputs!$B$43)-(B339))))*IF(AND(ArtifactsInput!$M$42,((Inputs!$B$9+((C320=TRUE)*(F320-Calc!F19))+B332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06">
        <f>IF(C306,(H306*N306*IF(AND(Inputs!$B$38&lt;&gt;"pvp",Inputs!$B$43&gt;0),((Skills!G5*((R306-1)*IF(Skills!H5&gt;0,INT(IF(Inputs!$B$3&gt;=104,MIN(35,20*(1+Inputs!$B$34/100)),20)/Skills!H5+0.000000001),1)+IF(Skills!H5&gt;0,INT(MIN(IF(Inputs!$B$3&gt;=104,MIN(35,20*(1+Inputs!$B$34/100)),20),MAX(0,MAX(0,Inputs!$B$43-B339)-((R306-1)*(IF(Inputs!$B$38="pvp",15,MAX(0.1,Skills!D5-IF(TRUE=TRUE,Inputs!$B$32,0)))*(1-IF(AND(ArtifactsInput!$M$27,Inputs!$B$4="Chapter Hunt"),CHOOSE(ArtifactsInput!$N$27+1,20,24,28,32,36,40),0)/100)))))/Skills!H5+0.000000001),1)))/Inputs!$B$43),G306*Q306))*IF(Inputs!$B$38="pvp",1,(1+(Inputs!$B$21+Skills!Q5+(IF(ArtifactsInput!$M$33,CHOOSE(ArtifactsInput!$N$33+1,30,36,42,48,54,60),0))+(IF(AND(ArtifactsInput!$M$35,Inputs!$B$4&lt;&gt;"Chapter Hunt"),CHOOSE(ArtifactsInput!$N$35+1,15,18,21,24,27,30)*(1-EXP(-(0.2*B334)*5)),0)+IF(AND(ArtifactsInput!$M$22,Inputs!$B$4&lt;&gt;"Chapter Hunt"),CHOOSE(ArtifactsInput!$N$22+1,10,12,14,16,18,20)*((0*(((0.15*B334*5))^0/1)+1*(((0.15*B334*5))^1/1)+2*(((0.15*B334*5))^2/2)+3*(((0.15*B334*5))^3/6)+4*(((0.15*B334*5))^4/24)+5*(((0.15*B334*5))^5/120))/((((0.15*B334*5))^0/1)+(((0.15*B334*5))^1/1)+(((0.15*B334*5))^2/2)+(((0.15*B334*5))^3/6)+(((0.15*B334*5))^4/24)+(((0.15*B334*5))^5/120))),0))+IF(Inputs!$B$3&gt;=54,9*(C304=TRUE)*MIN(1,8*(1+Inputs!$B$34/100)*Q304),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7">
      <c r="A307">
        <f>Skills!A6</f>
        <v/>
      </c>
      <c r="B307">
        <f>Skills!B6</f>
        <v/>
      </c>
      <c r="C307">
        <f>Inputs!$B$3&gt;=66</f>
        <v/>
      </c>
      <c r="D307">
        <f>IF(Skills!C6=1,60+Inputs!$B$25+Inputs!$B$29,IF(Skills!C6=2,90+Inputs!$B$26+Inputs!$B$29,IF(Skills!C6=3,120+Inputs!$B$27+Inputs!$B$29,MAX(0,(Inputs!$B$3-100)*3)+Inputs!$B$28+Inputs!$B$29)))</f>
        <v/>
      </c>
      <c r="E307">
        <f>INDEX(FactorTable!$B$2:$Y$301, MATCH(ROUND(MIN(300,MAX(1,D307)),0), FactorTable!$A$2:$A$301,0), Skills!M6+1)</f>
        <v/>
      </c>
      <c r="F307">
        <f>IF(Skills!N6=TRUE,(Skills!L6/10)*(E307/1000),Skills!L6/10)+Skills!O6</f>
        <v/>
      </c>
      <c r="G307">
        <f>Skills!G6*IF(Skills!H6&gt;0,INT(IF(Inputs!$B$38="pvp",MIN(Skills!I6,15),Skills!I6)/Skills!H6+0.000000001),1)</f>
        <v/>
      </c>
      <c r="H307">
        <f>1-(1-Skills!J6/100)^Skills!K6</f>
        <v/>
      </c>
      <c r="I307" t="inlineStr">
        <is>
          <t>1</t>
        </is>
      </c>
      <c r="J307">
        <f>((Inputs!$B$6*(1+Inputs!$B$7/100))+(((Inputs!$B$12*(1+Inputs!$B$13/100))-(Inputs!$B$12*(1+Inputs!$B$13/100)))+0.25*(Inputs!$B$14-Inputs!$B$14))*(1+Inputs!$B$7/100))*(F307/100)</f>
        <v/>
      </c>
      <c r="K307">
        <f>J307*(1+((Inputs!$B$12*(1+Inputs!$B$13/100))*0.01+Inputs!$B$14*0.0025)/100)*(1+Inputs!$B$15/100)*(1+Inputs!$B$16/100)*(5000/(6000+Inputs!$B$42*(1-(100*(1-(1-(Inputs!$B$19+0)/100)*(1-CHOOSE(ArtifactsInput!$N$40+1,5,6,7,8,9,10)/100)^(ArtifactsInput!$M$40-ArtifactsInput!$M$40)))/100)))*(1+(Inputs!$B$24+((C327=TRUE)*(F327-Calc!F26))+B338)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+2.0*IF(C316=TRUE,F316,0)/100)*(1+(IF(Skills!A6="EIGHT_LEGS_EASTON",Inputs!$B$17+((C324=TRUE)*(F324-Calc!F23))+((C328=TRUE)*(F328-Calc!F27))+((IF(AND(Inputs!$B$38&lt;&gt;"pvp",Inputs!$B$43=0),1,IF(IF(Inputs!$B$38="pvp",15,Inputs!$B$43)-(B339)&lt;=0,1,MAX(0,IF(Inputs!$B$38="pvp",15,Inputs!$B$43)-MAX(5,B339))/(IF(Inputs!$B$38="pvp",15,Inputs!$B$43)-(B339))))*(IF(AND(ArtifactsInput!$M$42,((Inputs!$B$9+((C320=TRUE)*(F320-Calc!F19))+B332+(ArtifactsInput!$M$24-ArtifactsInput!$M$24)*CHOOSE(ArtifactsInput!$N$24+1,10,12,14,16,18,20)+IF(ArtifactsInput!$M$10,CHOOSE(ArtifactsInput!$N$10+1,15,18,21,24,27,30)*(IF(Inputs!$B$38="pvp",MIN(15,15)/15,IF(AND(Inputs!$B$38&lt;&gt;"pvp",Inputs!$B$43&gt;0),MIN(15,Inputs!$B$43)/(Inputs!$B$43),0))),0)))&gt;=100),MIN(100,((Inputs!$B$9+((C320=TRUE)*(F320-Calc!F19))+B332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339)&lt;=0,1,MAX(0,IF(Inputs!$B$38="pvp",15,Inputs!$B$43)-MAX(5,B339))/(IF(Inputs!$B$38="pvp",15,Inputs!$B$43)-(B339))))*IF(AND(ArtifactsInput!$M$42,((Inputs!$B$9+((C320=TRUE)*(F320-Calc!F19))+B332+(ArtifactsInput!$M$24-ArtifactsInput!$M$24)*CHOOSE(ArtifactsInput!$N$24+1,10,12,14,16,18,20)+IF(ArtifactsInput!$M$10,CHOOSE(ArtifactsInput!$N$10+1,15,18,21,24,27,30)*(IF(Inputs!$B$38="pvp",MIN(15,15)/15,IF(AND(Inputs!$B$38&lt;&gt;"pvp",Inputs!$B$43&gt;0),MIN(15,Inputs!$B$43)/(Inputs!$B$43),0))),0)))&gt;=100),CHOOSE(ArtifactsInput!$N$42+1,40,48,56,64,72,80),0))))/100)*((1+(((C318=TRUE)*F318*5/7)+((C325=TRUE)*(F325-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307)</f>
        <v/>
      </c>
      <c r="L307">
        <f>K307*(MIN(Inputs!$B$22+((C323=TRUE)*(F323-Calc!F22)),(Inputs!$B$23+0+(IF(ArtifactsInput!$M$15,CHOOSE(ArtifactsInput!$N$15+1,25,30,35,40,45,50)/100*(Inputs!$B$11-Inputs!$B$11),0))))/100+(Inputs!$B$23+0+(IF(ArtifactsInput!$M$15,CHOOSE(ArtifactsInput!$N$15+1,25,30,35,40,45,50)/100*(Inputs!$B$11-Inputs!$B$11),0)))/100)/2</f>
        <v/>
      </c>
      <c r="M307">
        <f>L307*(1+(Inputs!$B$10+((C326=TRUE)*(F326-Calc!F25))+B337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7">
        <f>L307*(1-MIN((Inputs!$B$9+((C320=TRUE)*(F320-Calc!F19))+B332+(ArtifactsInput!$M$24-ArtifactsInput!$M$24)*CHOOSE(ArtifactsInput!$N$24+1,10,12,14,16,18,20)+(IF(AND(Inputs!$B$38&lt;&gt;"pvp",Inputs!$B$43=0),1,IF(IF(Inputs!$B$38="pvp",15,Inputs!$B$43)-(B339)&lt;=0,1,MAX(0,IF(Inputs!$B$38="pvp",15,Inputs!$B$43)-MAX(5,B339))/(IF(Inputs!$B$38="pvp",15,Inputs!$B$43)-(B339))))*IF(AND(ArtifactsInput!$M$42,((Inputs!$B$9+((C320=TRUE)*(F320-Calc!F19))+B332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307*(MIN((Inputs!$B$9+((C320=TRUE)*(F320-Calc!F19))+B332+(ArtifactsInput!$M$24-ArtifactsInput!$M$24)*CHOOSE(ArtifactsInput!$N$24+1,10,12,14,16,18,20)+(IF(AND(Inputs!$B$38&lt;&gt;"pvp",Inputs!$B$43=0),1,IF(IF(Inputs!$B$38="pvp",15,Inputs!$B$43)-(B339)&lt;=0,1,MAX(0,IF(Inputs!$B$38="pvp",15,Inputs!$B$43)-MAX(5,B339))/(IF(Inputs!$B$38="pvp",15,Inputs!$B$43)-(B339))))*IF(AND(ArtifactsInput!$M$42,((Inputs!$B$9+((C320=TRUE)*(F320-Calc!F19))+B332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7">
        <f>(1-Summary!$B$11)*T307+Summary!$B$11*V307</f>
        <v/>
      </c>
      <c r="P307">
        <f>IF(B342=0,0,O307/B342)</f>
        <v/>
      </c>
      <c r="Q307">
        <f>IFERROR(1/(IF(Inputs!$B$38="pvp",15,MAX(0.1,Skills!D6-IF(TRUE=TRUE,Inputs!$B$32,0)))*(1-IF(AND(ArtifactsInput!$M$27,Inputs!$B$4="Chapter Hunt"),CHOOSE(ArtifactsInput!$N$27+1,20,24,28,32,36,40),0)/100)),0)</f>
        <v/>
      </c>
      <c r="R307">
        <f>IF(AND(Inputs!$B$38&lt;&gt;"pvp",Inputs!$B$43&gt;0),IF(MAX(0,Inputs!$B$43-B339)&lt;=0,0,(INT(MAX(0,Inputs!$B$43-B339)/(IF(Inputs!$B$38="pvp",15,MAX(0.1,Skills!D6-IF(TRUE=TRUE,Inputs!$B$32,0)))*(1-IF(AND(ArtifactsInput!$M$27,Inputs!$B$4="Chapter Hunt"),CHOOSE(ArtifactsInput!$N$27+1,20,24,28,32,36,40),0)/100)))+1)),0)</f>
        <v/>
      </c>
      <c r="S307">
        <f>IFERROR(O307/N307,0)</f>
        <v/>
      </c>
      <c r="T307">
        <f>IF(C307,(H307*N307*IF(AND(Inputs!$B$38&lt;&gt;"pvp",Inputs!$B$43&gt;0),((Skills!G6*((R307-1)*IF(Skills!H6&gt;0,INT(Skills!I6/Skills!H6+0.000000001),1)+IF(Skills!H6&gt;0,INT(MIN(Skills!I6,MAX(0,MAX(0,Inputs!$B$43-B339)-((R307-1)*(IF(Inputs!$B$38="pvp",15,MAX(0.1,Skills!D6-IF(TRUE=TRUE,Inputs!$B$32,0)))*(1-IF(AND(ArtifactsInput!$M$27,Inputs!$B$4="Chapter Hunt"),CHOOSE(ArtifactsInput!$N$27+1,20,24,28,32,36,40),0)/100)))))/Skills!H6+0.000000001),1)))/Inputs!$B$43),G307*Q307))*IF(Inputs!$B$38="pvp",1,1+((Inputs!$B$20+1)+0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Hunt"),CHOOSE(ArtifactsInput!$N$35+1,15,18,21,24,27,30)*(1-EXP(-(0.2*B334)*5)),0)+IF(AND(ArtifactsInput!$M$22,Inputs!$B$4&lt;&gt;"Chapter Hunt"),CHOOSE(ArtifactsInput!$N$22+1,10,12,14,16,18,20)*((0*(((0.15*B334*5))^0/1)+1*(((0.15*B334*5))^1/1)+2*(((0.15*B334*5))^2/2)+3*(((0.15*B334*5))^3/6)+4*(((0.15*B334*5))^4/24)+5*(((0.15*B334*5))^5/120))/((((0.15*B334*5))^0/1)+(((0.15*B334*5))^1/1)+(((0.15*B334*5))^2/2)+(((0.15*B334*5))^3/6)+(((0.15*B334*5))^4/24)+(((0.15*B334*5))^5/120))),0))+IF(Inputs!$B$3&gt;=54,9*(C304=TRUE)*MIN(1,8*(1+Inputs!$B$34/100)*Q304)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307*(1-MIN(100,(Inputs!$B$9+((C320=TRUE)*(F320-Calc!F19))+B332+(ArtifactsInput!$M$24-ArtifactsInput!$M$24)*CHOOSE(ArtifactsInput!$N$24+1,10,12,14,16,18,20)+(IF(AND(Inputs!$B$38&lt;&gt;"pvp",Inputs!$B$43=0),1,IF(IF(Inputs!$B$38="pvp",15,Inputs!$B$43)-(B339)&lt;=0,1,MAX(0,IF(Inputs!$B$38="pvp",15,Inputs!$B$43)-MAX(5,B339))/(IF(Inputs!$B$38="pvp",15,Inputs!$B$43)-(B339))))*IF(AND(ArtifactsInput!$M$42,((Inputs!$B$9+((C320=TRUE)*(F320-Calc!F19))+B332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307*(MIN(100,(Inputs!$B$9+((C320=TRUE)*(F320-Calc!F19))+B332+(ArtifactsInput!$M$24-ArtifactsInput!$M$24)*CHOOSE(ArtifactsInput!$N$24+1,10,12,14,16,18,20)+(IF(AND(Inputs!$B$38&lt;&gt;"pvp",Inputs!$B$43=0),1,IF(IF(Inputs!$B$38="pvp",15,Inputs!$B$43)-(B339)&lt;=0,1,MAX(0,IF(Inputs!$B$38="pvp",15,Inputs!$B$43)-MAX(5,B339))/(IF(Inputs!$B$38="pvp",15,Inputs!$B$43)-(B339))))*IF(AND(ArtifactsInput!$M$42,((Inputs!$B$9+((C320=TRUE)*(F320-Calc!F19))+B332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307*(1-MIN(100,(Inputs!$B$9+((C320=TRUE)*(F320-Calc!F19))+B332+(ArtifactsInput!$M$24-ArtifactsInput!$M$24)*CHOOSE(ArtifactsInput!$N$24+1,10,12,14,16,18,20)+(IF(AND(Inputs!$B$38&lt;&gt;"pvp",Inputs!$B$43=0),1,IF(IF(Inputs!$B$38="pvp",15,Inputs!$B$43)-(B339)&lt;=0,1,MAX(0,IF(Inputs!$B$38="pvp",15,Inputs!$B$43)-MAX(5,B339))/(IF(Inputs!$B$38="pvp",15,Inputs!$B$43)-(B339))))*IF(AND(ArtifactsInput!$M$42,((Inputs!$B$9+((C320=TRUE)*(F320-Calc!F19))+B332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307*(MIN(100,(Inputs!$B$9+((C320=TRUE)*(F320-Calc!F19))+B332+(ArtifactsInput!$M$24-ArtifactsInput!$M$24)*CHOOSE(ArtifactsInput!$N$24+1,10,12,14,16,18,20)+(IF(AND(Inputs!$B$38&lt;&gt;"pvp",Inputs!$B$43=0),1,IF(IF(Inputs!$B$38="pvp",15,Inputs!$B$43)-(B339)&lt;=0,1,MAX(0,IF(Inputs!$B$38="pvp",15,Inputs!$B$43)-MAX(5,B339))/(IF(Inputs!$B$38="pvp",15,Inputs!$B$43)-(B339))))*IF(AND(ArtifactsInput!$M$42,((Inputs!$B$9+((C320=TRUE)*(F320-Calc!F19))+B332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07">
        <f>IF(C307,(H307*N307*IF(AND(Inputs!$B$38&lt;&gt;"pvp",Inputs!$B$43&gt;0),((Skills!G6*((R307-1)*IF(Skills!H6&gt;0,INT(Skills!I6/Skills!H6+0.000000001),1)+IF(Skills!H6&gt;0,INT(MIN(Skills!I6,MAX(0,MAX(0,Inputs!$B$43-B339)-((R307-1)*(IF(Inputs!$B$38="pvp",15,MAX(0.1,Skills!D6-IF(TRUE=TRUE,Inputs!$B$32,0)))*(1-IF(AND(ArtifactsInput!$M$27,Inputs!$B$4="Chapter Hunt"),CHOOSE(ArtifactsInput!$N$27+1,20,24,28,32,36,40),0)/100)))))/Skills!H6+0.000000001),1)))/Inputs!$B$43),G307*Q307))*IF(Inputs!$B$38="pvp",1,(1+(Inputs!$B$21+Skills!Q6+(IF(ArtifactsInput!$M$33,CHOOSE(ArtifactsInput!$N$33+1,30,36,42,48,54,60),0))+(IF(AND(ArtifactsInput!$M$35,Inputs!$B$4&lt;&gt;"Chapter Hunt"),CHOOSE(ArtifactsInput!$N$35+1,15,18,21,24,27,30)*(1-EXP(-(0.2*B334)*5)),0)+IF(AND(ArtifactsInput!$M$22,Inputs!$B$4&lt;&gt;"Chapter Hunt"),CHOOSE(ArtifactsInput!$N$22+1,10,12,14,16,18,20)*((0*(((0.15*B334*5))^0/1)+1*(((0.15*B334*5))^1/1)+2*(((0.15*B334*5))^2/2)+3*(((0.15*B334*5))^3/6)+4*(((0.15*B334*5))^4/24)+5*(((0.15*B334*5))^5/120))/((((0.15*B334*5))^0/1)+(((0.15*B334*5))^1/1)+(((0.15*B334*5))^2/2)+(((0.15*B334*5))^3/6)+(((0.15*B334*5))^4/24)+(((0.15*B334*5))^5/120))),0))+IF(Inputs!$B$3&gt;=54,9*(C304=TRUE)*MIN(1,8*(1+Inputs!$B$34/100)*Q304),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8">
      <c r="A308">
        <f>Skills!A7</f>
        <v/>
      </c>
      <c r="B308">
        <f>Skills!B7</f>
        <v/>
      </c>
      <c r="C308">
        <f>Inputs!$B$3&gt;=63</f>
        <v/>
      </c>
      <c r="D308">
        <f>IF(Skills!C7=1,60+Inputs!$B$25+Inputs!$B$29,IF(Skills!C7=2,90+Inputs!$B$26+Inputs!$B$29,IF(Skills!C7=3,120+Inputs!$B$27+Inputs!$B$29,MAX(0,(Inputs!$B$3-100)*3)+Inputs!$B$28+Inputs!$B$29)))</f>
        <v/>
      </c>
      <c r="E308">
        <f>INDEX(FactorTable!$B$2:$Y$301, MATCH(ROUND(MIN(300,MAX(1,D308)),0), FactorTable!$A$2:$A$301,0), Skills!M7+1)</f>
        <v/>
      </c>
      <c r="F308">
        <f>IF(Skills!N7=TRUE,(Skills!L7/10)*(E308/1000),Skills!L7/10)+Skills!O7</f>
        <v/>
      </c>
      <c r="G308">
        <f>Skills!G7*IF(Skills!H7&gt;0,INT(IF(Inputs!$B$38="pvp",MIN(Skills!I7,15),Skills!I7)/Skills!H7+0.000000001),1)</f>
        <v/>
      </c>
      <c r="H308">
        <f>1-(1-Skills!J7/100)^Skills!K7</f>
        <v/>
      </c>
      <c r="I308" t="inlineStr">
        <is>
          <t>1</t>
        </is>
      </c>
      <c r="J308">
        <f>((Inputs!$B$6*(1+Inputs!$B$7/100))+(((Inputs!$B$12*(1+Inputs!$B$13/100))-(Inputs!$B$12*(1+Inputs!$B$13/100)))+0.25*(Inputs!$B$14-Inputs!$B$14))*(1+Inputs!$B$7/100))*(F308/100)</f>
        <v/>
      </c>
      <c r="K308">
        <f>J308*(1+((Inputs!$B$12*(1+Inputs!$B$13/100))*0.01+Inputs!$B$14*0.0025)/100)*(1+Inputs!$B$15/100)*(1+Inputs!$B$16/100)*(5000/(6000+Inputs!$B$42*(1-(100*(1-(1-(Inputs!$B$19+0)/100)*(1-CHOOSE(ArtifactsInput!$N$40+1,5,6,7,8,9,10)/100)^(ArtifactsInput!$M$40-ArtifactsInput!$M$40)))/100)))*(1+(Inputs!$B$24+((C327=TRUE)*(F327-Calc!F26))+B338)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316=TRUE,F316,0)/100)*(1+(IF(Skills!A7="EIGHT_LEGS_EASTON",Inputs!$B$17+((C324=TRUE)*(F324-Calc!F23))+((C328=TRUE)*(F328-Calc!F27))+((IF(AND(Inputs!$B$38&lt;&gt;"pvp",Inputs!$B$43=0),1,IF(IF(Inputs!$B$38="pvp",15,Inputs!$B$43)-(B339)&lt;=0,1,MAX(0,IF(Inputs!$B$38="pvp",15,Inputs!$B$43)-MAX(5,B339))/(IF(Inputs!$B$38="pvp",15,Inputs!$B$43)-(B339))))*(IF(AND(ArtifactsInput!$M$42,((Inputs!$B$9+((C320=TRUE)*(F320-Calc!F19))+B332+(ArtifactsInput!$M$24-ArtifactsInput!$M$24)*CHOOSE(ArtifactsInput!$N$24+1,10,12,14,16,18,20)+IF(ArtifactsInput!$M$10,CHOOSE(ArtifactsInput!$N$10+1,15,18,21,24,27,30)*(IF(Inputs!$B$38="pvp",MIN(15,15)/15,IF(AND(Inputs!$B$38&lt;&gt;"pvp",Inputs!$B$43&gt;0),MIN(15,Inputs!$B$43)/(Inputs!$B$43),0))),0)))&gt;=100),MIN(100,((Inputs!$B$9+((C320=TRUE)*(F320-Calc!F19))+B332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339)&lt;=0,1,MAX(0,IF(Inputs!$B$38="pvp",15,Inputs!$B$43)-MAX(5,B339))/(IF(Inputs!$B$38="pvp",15,Inputs!$B$43)-(B339))))*IF(AND(ArtifactsInput!$M$42,((Inputs!$B$9+((C320=TRUE)*(F320-Calc!F19))+B332+(ArtifactsInput!$M$24-ArtifactsInput!$M$24)*CHOOSE(ArtifactsInput!$N$24+1,10,12,14,16,18,20)+IF(ArtifactsInput!$M$10,CHOOSE(ArtifactsInput!$N$10+1,15,18,21,24,27,30)*(IF(Inputs!$B$38="pvp",MIN(15,15)/15,IF(AND(Inputs!$B$38&lt;&gt;"pvp",Inputs!$B$43&gt;0),MIN(15,Inputs!$B$43)/(Inputs!$B$43),0))),0)))&gt;=100),CHOOSE(ArtifactsInput!$N$42+1,40,48,56,64,72,80),0))))/100)*((1+(((C318=TRUE)*F318*5/7)+((C325=TRUE)*(F325-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308)</f>
        <v/>
      </c>
      <c r="L308">
        <f>K308*(MIN(Inputs!$B$22+((C323=TRUE)*(F323-Calc!F22)),(Inputs!$B$23+0+(IF(ArtifactsInput!$M$15,CHOOSE(ArtifactsInput!$N$15+1,25,30,35,40,45,50)/100*(Inputs!$B$11-Inputs!$B$11),0))))/100+(Inputs!$B$23+0+(IF(ArtifactsInput!$M$15,CHOOSE(ArtifactsInput!$N$15+1,25,30,35,40,45,50)/100*(Inputs!$B$11-Inputs!$B$11),0)))/100)/2</f>
        <v/>
      </c>
      <c r="M308">
        <f>L308*(1+(Inputs!$B$10+((C326=TRUE)*(F326-Calc!F25))+B337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8">
        <f>L308*(1-MIN((Inputs!$B$9+((C320=TRUE)*(F320-Calc!F19))+B332+(ArtifactsInput!$M$24-ArtifactsInput!$M$24)*CHOOSE(ArtifactsInput!$N$24+1,10,12,14,16,18,20)+(IF(AND(Inputs!$B$38&lt;&gt;"pvp",Inputs!$B$43=0),1,IF(IF(Inputs!$B$38="pvp",15,Inputs!$B$43)-(B339)&lt;=0,1,MAX(0,IF(Inputs!$B$38="pvp",15,Inputs!$B$43)-MAX(5,B339))/(IF(Inputs!$B$38="pvp",15,Inputs!$B$43)-(B339))))*IF(AND(ArtifactsInput!$M$42,((Inputs!$B$9+((C320=TRUE)*(F320-Calc!F19))+B332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308*(MIN((Inputs!$B$9+((C320=TRUE)*(F320-Calc!F19))+B332+(ArtifactsInput!$M$24-ArtifactsInput!$M$24)*CHOOSE(ArtifactsInput!$N$24+1,10,12,14,16,18,20)+(IF(AND(Inputs!$B$38&lt;&gt;"pvp",Inputs!$B$43=0),1,IF(IF(Inputs!$B$38="pvp",15,Inputs!$B$43)-(B339)&lt;=0,1,MAX(0,IF(Inputs!$B$38="pvp",15,Inputs!$B$43)-MAX(5,B339))/(IF(Inputs!$B$38="pvp",15,Inputs!$B$43)-(B339))))*IF(AND(ArtifactsInput!$M$42,((Inputs!$B$9+((C320=TRUE)*(F320-Calc!F19))+B332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8">
        <f>(1-Summary!$B$11)*T308+Summary!$B$11*V308</f>
        <v/>
      </c>
      <c r="P308">
        <f>IF(B342=0,0,O308/B342)</f>
        <v/>
      </c>
      <c r="Q308">
        <f>IFERROR(1/(IF(Inputs!$B$38="pvp",15,MAX(0.1,Skills!D7-IF(TRUE=TRUE,Inputs!$B$32,0)))*(1-IF(AND(ArtifactsInput!$M$27,Inputs!$B$4="Chapter Hunt"),CHOOSE(ArtifactsInput!$N$27+1,20,24,28,32,36,40),0)/100)),0)</f>
        <v/>
      </c>
      <c r="R308">
        <f>IF(AND(Inputs!$B$38&lt;&gt;"pvp",Inputs!$B$43&gt;0),IF(MAX(0,Inputs!$B$43-B339)&lt;=0,0,(INT(MAX(0,Inputs!$B$43-B339)/(IF(Inputs!$B$38="pvp",15,MAX(0.1,Skills!D7-IF(TRUE=TRUE,Inputs!$B$32,0)))*(1-IF(AND(ArtifactsInput!$M$27,Inputs!$B$4="Chapter Hunt"),CHOOSE(ArtifactsInput!$N$27+1,20,24,28,32,36,40),0)/100)))+1)),0)</f>
        <v/>
      </c>
      <c r="S308">
        <f>IFERROR(O308/N308,0)</f>
        <v/>
      </c>
      <c r="T308">
        <f>IF(C308,(H308*N308*IF(AND(Inputs!$B$38&lt;&gt;"pvp",Inputs!$B$43&gt;0),((Skills!G7*((R308-1)*IF(Skills!H7&gt;0,INT(Skills!I7/Skills!H7+0.000000001),1)+IF(Skills!H7&gt;0,INT(MIN(Skills!I7,MAX(0,MAX(0,Inputs!$B$43-B339)-((R308-1)*(IF(Inputs!$B$38="pvp",15,MAX(0.1,Skills!D7-IF(TRUE=TRUE,Inputs!$B$32,0)))*(1-IF(AND(ArtifactsInput!$M$27,Inputs!$B$4="Chapter Hunt"),CHOOSE(ArtifactsInput!$N$27+1,20,24,28,32,36,40),0)/100)))))/Skills!H7+0.000000001),1)))/Inputs!$B$43),G308*Q308))*IF(Inputs!$B$38="pvp",1,1+((Inputs!$B$20+1)+0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Hunt"),CHOOSE(ArtifactsInput!$N$35+1,15,18,21,24,27,30)*(1-EXP(-(0.2*B334)*5)),0)+IF(AND(ArtifactsInput!$M$22,Inputs!$B$4&lt;&gt;"Chapter Hunt"),CHOOSE(ArtifactsInput!$N$22+1,10,12,14,16,18,20)*((0*(((0.15*B334*5))^0/1)+1*(((0.15*B334*5))^1/1)+2*(((0.15*B334*5))^2/2)+3*(((0.15*B334*5))^3/6)+4*(((0.15*B334*5))^4/24)+5*(((0.15*B334*5))^5/120))/((((0.15*B334*5))^0/1)+(((0.15*B334*5))^1/1)+(((0.15*B334*5))^2/2)+(((0.15*B334*5))^3/6)+(((0.15*B334*5))^4/24)+(((0.15*B334*5))^5/120))),0))+IF(Inputs!$B$3&gt;=54,9*(C304=TRUE)*MIN(1,8*(1+Inputs!$B$34/100)*Q304)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308*(1-MIN(100,(Inputs!$B$9+((C320=TRUE)*(F320-Calc!F19))+B332+(ArtifactsInput!$M$24-ArtifactsInput!$M$24)*CHOOSE(ArtifactsInput!$N$24+1,10,12,14,16,18,20)+(IF(AND(Inputs!$B$38&lt;&gt;"pvp",Inputs!$B$43=0),1,IF(IF(Inputs!$B$38="pvp",15,Inputs!$B$43)-(B339)&lt;=0,1,MAX(0,IF(Inputs!$B$38="pvp",15,Inputs!$B$43)-MAX(5,B339))/(IF(Inputs!$B$38="pvp",15,Inputs!$B$43)-(B339))))*IF(AND(ArtifactsInput!$M$42,((Inputs!$B$9+((C320=TRUE)*(F320-Calc!F19))+B332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308*(MIN(100,(Inputs!$B$9+((C320=TRUE)*(F320-Calc!F19))+B332+(ArtifactsInput!$M$24-ArtifactsInput!$M$24)*CHOOSE(ArtifactsInput!$N$24+1,10,12,14,16,18,20)+(IF(AND(Inputs!$B$38&lt;&gt;"pvp",Inputs!$B$43=0),1,IF(IF(Inputs!$B$38="pvp",15,Inputs!$B$43)-(B339)&lt;=0,1,MAX(0,IF(Inputs!$B$38="pvp",15,Inputs!$B$43)-MAX(5,B339))/(IF(Inputs!$B$38="pvp",15,Inputs!$B$43)-(B339))))*IF(AND(ArtifactsInput!$M$42,((Inputs!$B$9+((C320=TRUE)*(F320-Calc!F19))+B332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308*(1-MIN(100,(Inputs!$B$9+((C320=TRUE)*(F320-Calc!F19))+B332+(ArtifactsInput!$M$24-ArtifactsInput!$M$24)*CHOOSE(ArtifactsInput!$N$24+1,10,12,14,16,18,20)+(IF(AND(Inputs!$B$38&lt;&gt;"pvp",Inputs!$B$43=0),1,IF(IF(Inputs!$B$38="pvp",15,Inputs!$B$43)-(B339)&lt;=0,1,MAX(0,IF(Inputs!$B$38="pvp",15,Inputs!$B$43)-MAX(5,B339))/(IF(Inputs!$B$38="pvp",15,Inputs!$B$43)-(B339))))*IF(AND(ArtifactsInput!$M$42,((Inputs!$B$9+((C320=TRUE)*(F320-Calc!F19))+B332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308*(MIN(100,(Inputs!$B$9+((C320=TRUE)*(F320-Calc!F19))+B332+(ArtifactsInput!$M$24-ArtifactsInput!$M$24)*CHOOSE(ArtifactsInput!$N$24+1,10,12,14,16,18,20)+(IF(AND(Inputs!$B$38&lt;&gt;"pvp",Inputs!$B$43=0),1,IF(IF(Inputs!$B$38="pvp",15,Inputs!$B$43)-(B339)&lt;=0,1,MAX(0,IF(Inputs!$B$38="pvp",15,Inputs!$B$43)-MAX(5,B339))/(IF(Inputs!$B$38="pvp",15,Inputs!$B$43)-(B339))))*IF(AND(ArtifactsInput!$M$42,((Inputs!$B$9+((C320=TRUE)*(F320-Calc!F19))+B332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08">
        <f>IF(C308,(H308*N308*IF(AND(Inputs!$B$38&lt;&gt;"pvp",Inputs!$B$43&gt;0),((Skills!G7*((R308-1)*IF(Skills!H7&gt;0,INT(Skills!I7/Skills!H7+0.000000001),1)+IF(Skills!H7&gt;0,INT(MIN(Skills!I7,MAX(0,MAX(0,Inputs!$B$43-B339)-((R308-1)*(IF(Inputs!$B$38="pvp",15,MAX(0.1,Skills!D7-IF(TRUE=TRUE,Inputs!$B$32,0)))*(1-IF(AND(ArtifactsInput!$M$27,Inputs!$B$4="Chapter Hunt"),CHOOSE(ArtifactsInput!$N$27+1,20,24,28,32,36,40),0)/100)))))/Skills!H7+0.000000001),1)))/Inputs!$B$43),G308*Q308))*IF(Inputs!$B$38="pvp",1,(1+(Inputs!$B$21+Skills!Q7+(IF(ArtifactsInput!$M$33,CHOOSE(ArtifactsInput!$N$33+1,30,36,42,48,54,60),0))+(IF(AND(ArtifactsInput!$M$35,Inputs!$B$4&lt;&gt;"Chapter Hunt"),CHOOSE(ArtifactsInput!$N$35+1,15,18,21,24,27,30)*(1-EXP(-(0.2*B334)*5)),0)+IF(AND(ArtifactsInput!$M$22,Inputs!$B$4&lt;&gt;"Chapter Hunt"),CHOOSE(ArtifactsInput!$N$22+1,10,12,14,16,18,20)*((0*(((0.15*B334*5))^0/1)+1*(((0.15*B334*5))^1/1)+2*(((0.15*B334*5))^2/2)+3*(((0.15*B334*5))^3/6)+4*(((0.15*B334*5))^4/24)+5*(((0.15*B334*5))^5/120))/((((0.15*B334*5))^0/1)+(((0.15*B334*5))^1/1)+(((0.15*B334*5))^2/2)+(((0.15*B334*5))^3/6)+(((0.15*B334*5))^4/24)+(((0.15*B334*5))^5/120))),0))+IF(Inputs!$B$3&gt;=54,9*(C304=TRUE)*MIN(1,8*(1+Inputs!$B$34/100)*Q304),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9">
      <c r="A309">
        <f>Skills!A8</f>
        <v/>
      </c>
      <c r="B309">
        <f>Skills!B8</f>
        <v/>
      </c>
      <c r="C309">
        <f>Inputs!$B$3&gt;=103</f>
        <v/>
      </c>
      <c r="D309">
        <f>IF(Skills!C8=1,60+Inputs!$B$25+Inputs!$B$29,IF(Skills!C8=2,90+Inputs!$B$26+Inputs!$B$29,IF(Skills!C8=3,120+Inputs!$B$27+Inputs!$B$29,MAX(0,(Inputs!$B$3-100)*3)+Inputs!$B$28+Inputs!$B$29)))</f>
        <v/>
      </c>
      <c r="E309">
        <f>INDEX(FactorTable!$B$2:$Y$301, MATCH(ROUND(MIN(300,MAX(1,D309)),0), FactorTable!$A$2:$A$301,0), Skills!M8+1)</f>
        <v/>
      </c>
      <c r="F309">
        <f>IF(Skills!N8=TRUE,(Skills!L8/10)*(E309/1000),Skills!L8/10)+Skills!O8</f>
        <v/>
      </c>
      <c r="G309">
        <f>Skills!G8*IF(Skills!H8&gt;0,INT(IF(Inputs!$B$38="pvp",MIN(Skills!I8,15),Skills!I8)/Skills!H8+0.000000001),1)</f>
        <v/>
      </c>
      <c r="H309">
        <f>1-(1-Skills!J8/100)^Skills!K8</f>
        <v/>
      </c>
      <c r="I309" t="inlineStr">
        <is>
          <t>1</t>
        </is>
      </c>
      <c r="J309">
        <f>((Inputs!$B$6*(1+Inputs!$B$7/100))+(((Inputs!$B$12*(1+Inputs!$B$13/100))-(Inputs!$B$12*(1+Inputs!$B$13/100)))+0.25*(Inputs!$B$14-Inputs!$B$14))*(1+Inputs!$B$7/100))*(F309/100)</f>
        <v/>
      </c>
      <c r="K309">
        <f>J309*(1+((Inputs!$B$12*(1+Inputs!$B$13/100))*0.01+Inputs!$B$14*0.0025)/100)*(1+Inputs!$B$15/100)*(1+Inputs!$B$16/100)*(5000/(6000+Inputs!$B$42*(1-(100*(1-(1-(Inputs!$B$19+0)/100)*(1-CHOOSE(ArtifactsInput!$N$40+1,5,6,7,8,9,10)/100)^(ArtifactsInput!$M$40-ArtifactsInput!$M$40)))/100)))*(1+(Inputs!$B$24+((C327=TRUE)*(F327-Calc!F26))+B338)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IGHT_LEGS_EASTON",Inputs!$B$17+((C324=TRUE)*(F324-Calc!F23))+((C328=TRUE)*(F328-Calc!F27))+((IF(AND(Inputs!$B$38&lt;&gt;"pvp",Inputs!$B$43=0),1,IF(IF(Inputs!$B$38="pvp",15,Inputs!$B$43)-(B339)&lt;=0,1,MAX(0,IF(Inputs!$B$38="pvp",15,Inputs!$B$43)-MAX(5,B339))/(IF(Inputs!$B$38="pvp",15,Inputs!$B$43)-(B339))))*(IF(AND(ArtifactsInput!$M$42,((Inputs!$B$9+((C320=TRUE)*(F320-Calc!F19))+B332+(ArtifactsInput!$M$24-ArtifactsInput!$M$24)*CHOOSE(ArtifactsInput!$N$24+1,10,12,14,16,18,20)+IF(ArtifactsInput!$M$10,CHOOSE(ArtifactsInput!$N$10+1,15,18,21,24,27,30)*(IF(Inputs!$B$38="pvp",MIN(15,15)/15,IF(AND(Inputs!$B$38&lt;&gt;"pvp",Inputs!$B$43&gt;0),MIN(15,Inputs!$B$43)/(Inputs!$B$43),0))),0)))&gt;=100),MIN(100,((Inputs!$B$9+((C320=TRUE)*(F320-Calc!F19))+B332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339)&lt;=0,1,MAX(0,IF(Inputs!$B$38="pvp",15,Inputs!$B$43)-MAX(5,B339))/(IF(Inputs!$B$38="pvp",15,Inputs!$B$43)-(B339))))*IF(AND(ArtifactsInput!$M$42,((Inputs!$B$9+((C320=TRUE)*(F320-Calc!F19))+B332+(ArtifactsInput!$M$24-ArtifactsInput!$M$24)*CHOOSE(ArtifactsInput!$N$24+1,10,12,14,16,18,20)+IF(ArtifactsInput!$M$10,CHOOSE(ArtifactsInput!$N$10+1,15,18,21,24,27,30)*(IF(Inputs!$B$38="pvp",MIN(15,15)/15,IF(AND(Inputs!$B$38&lt;&gt;"pvp",Inputs!$B$43&gt;0),MIN(15,Inputs!$B$43)/(Inputs!$B$43),0))),0)))&gt;=100),CHOOSE(ArtifactsInput!$N$42+1,40,48,56,64,72,80),0))))/100)*((1+(((C318=TRUE)*F318*5/7)+((C325=TRUE)*(F325-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309)</f>
        <v/>
      </c>
      <c r="L309">
        <f>K309*(MIN(Inputs!$B$22+((C323=TRUE)*(F323-Calc!F22)),(Inputs!$B$23+0+(IF(ArtifactsInput!$M$15,CHOOSE(ArtifactsInput!$N$15+1,25,30,35,40,45,50)/100*(Inputs!$B$11-Inputs!$B$11),0))))/100+(Inputs!$B$23+0+(IF(ArtifactsInput!$M$15,CHOOSE(ArtifactsInput!$N$15+1,25,30,35,40,45,50)/100*(Inputs!$B$11-Inputs!$B$11),0)))/100)/2</f>
        <v/>
      </c>
      <c r="M309">
        <f>L309*(1+(Inputs!$B$10+((C326=TRUE)*(F326-Calc!F25))+B337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9">
        <f>L309*(1-MIN((Inputs!$B$9+((C320=TRUE)*(F320-Calc!F19))+B332+(ArtifactsInput!$M$24-ArtifactsInput!$M$24)*CHOOSE(ArtifactsInput!$N$24+1,10,12,14,16,18,20)+(IF(AND(Inputs!$B$38&lt;&gt;"pvp",Inputs!$B$43=0),1,IF(IF(Inputs!$B$38="pvp",15,Inputs!$B$43)-(B339)&lt;=0,1,MAX(0,IF(Inputs!$B$38="pvp",15,Inputs!$B$43)-MAX(5,B339))/(IF(Inputs!$B$38="pvp",15,Inputs!$B$43)-(B339))))*IF(AND(ArtifactsInput!$M$42,((Inputs!$B$9+((C320=TRUE)*(F320-Calc!F19))+B332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309*(MIN((Inputs!$B$9+((C320=TRUE)*(F320-Calc!F19))+B332+(ArtifactsInput!$M$24-ArtifactsInput!$M$24)*CHOOSE(ArtifactsInput!$N$24+1,10,12,14,16,18,20)+(IF(AND(Inputs!$B$38&lt;&gt;"pvp",Inputs!$B$43=0),1,IF(IF(Inputs!$B$38="pvp",15,Inputs!$B$43)-(B339)&lt;=0,1,MAX(0,IF(Inputs!$B$38="pvp",15,Inputs!$B$43)-MAX(5,B339))/(IF(Inputs!$B$38="pvp",15,Inputs!$B$43)-(B339))))*IF(AND(ArtifactsInput!$M$42,((Inputs!$B$9+((C320=TRUE)*(F320-Calc!F19))+B332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9">
        <f>(1-Summary!$B$11)*T309+Summary!$B$11*V309</f>
        <v/>
      </c>
      <c r="P309">
        <f>IF(B342=0,0,O309/B342)</f>
        <v/>
      </c>
      <c r="Q309">
        <f>IFERROR(1/((IF(Inputs!$B$38="pvp",15,MAX(0.1,Skills!D8-IF(TRUE=TRUE,Inputs!$B$32,0)))*(1-IF(AND(ArtifactsInput!$M$27,Inputs!$B$4="Chapter Hunt"),CHOOSE(ArtifactsInput!$N$27+1,20,24,28,32,36,40),0)/100))/B343),0)</f>
        <v/>
      </c>
      <c r="R309">
        <f>IF(AND(Inputs!$B$38&lt;&gt;"pvp",Inputs!$B$43&gt;0),IF(MAX(0,Inputs!$B$43-B339)&lt;=0,0,(INT(MAX(0,Inputs!$B$43-B339)/((IF(Inputs!$B$38="pvp",15,MAX(0.1,Skills!D8-IF(TRUE=TRUE,Inputs!$B$32,0)))*(1-IF(AND(ArtifactsInput!$M$27,Inputs!$B$4="Chapter Hunt"),CHOOSE(ArtifactsInput!$N$27+1,20,24,28,32,36,40),0)/100))/B343))+1)),0)</f>
        <v/>
      </c>
      <c r="S309">
        <f>IFERROR(O309/N309,0)</f>
        <v/>
      </c>
      <c r="T309">
        <f>IF(C309,(H309*N309*IF(AND(Inputs!$B$38&lt;&gt;"pvp",Inputs!$B$43&gt;0),((Skills!G8*((R309-1)*IF(Skills!H8&gt;0,INT(Skills!I8/Skills!H8+0.000000001),1)+IF(Skills!H8&gt;0,INT(MIN(Skills!I8,MAX(0,MAX(0,Inputs!$B$43-B339)-((R309-1)*((IF(Inputs!$B$38="pvp",15,MAX(0.1,Skills!D8-IF(TRUE=TRUE,Inputs!$B$32,0)))*(1-IF(AND(ArtifactsInput!$M$27,Inputs!$B$4="Chapter Hunt"),CHOOSE(ArtifactsInput!$N$27+1,20,24,28,32,36,40),0)/100))/B343))))/Skills!H8+0.000000001),1)))/Inputs!$B$43),G309*Q309))*IF(Inputs!$B$38="pvp",1,1+((Inputs!$B$20+1)+0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Hunt"),CHOOSE(ArtifactsInput!$N$35+1,15,18,21,24,27,30)*(1-EXP(-(0.2*B334)*5)),0)+IF(AND(ArtifactsInput!$M$22,Inputs!$B$4&lt;&gt;"Chapter Hunt"),CHOOSE(ArtifactsInput!$N$22+1,10,12,14,16,18,20)*((0*(((0.15*B334*5))^0/1)+1*(((0.15*B334*5))^1/1)+2*(((0.15*B334*5))^2/2)+3*(((0.15*B334*5))^3/6)+4*(((0.15*B334*5))^4/24)+5*(((0.15*B334*5))^5/120))/((((0.15*B334*5))^0/1)+(((0.15*B334*5))^1/1)+(((0.15*B334*5))^2/2)+(((0.15*B334*5))^3/6)+(((0.15*B334*5))^4/24)+(((0.15*B334*5))^5/120))),0))+IF(Inputs!$B$3&gt;=54,9*(C304=TRUE)*MIN(1,8*(1+Inputs!$B$34/100)*Q304)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309*(1-MIN(100,(Inputs!$B$9+((C320=TRUE)*(F320-Calc!F19))+B332+(ArtifactsInput!$M$24-ArtifactsInput!$M$24)*CHOOSE(ArtifactsInput!$N$24+1,10,12,14,16,18,20)+(IF(AND(Inputs!$B$38&lt;&gt;"pvp",Inputs!$B$43=0),1,IF(IF(Inputs!$B$38="pvp",15,Inputs!$B$43)-(B339)&lt;=0,1,MAX(0,IF(Inputs!$B$38="pvp",15,Inputs!$B$43)-MAX(5,B339))/(IF(Inputs!$B$38="pvp",15,Inputs!$B$43)-(B339))))*IF(AND(ArtifactsInput!$M$42,((Inputs!$B$9+((C320=TRUE)*(F320-Calc!F19))+B332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309*(MIN(100,(Inputs!$B$9+((C320=TRUE)*(F320-Calc!F19))+B332+(ArtifactsInput!$M$24-ArtifactsInput!$M$24)*CHOOSE(ArtifactsInput!$N$24+1,10,12,14,16,18,20)+(IF(AND(Inputs!$B$38&lt;&gt;"pvp",Inputs!$B$43=0),1,IF(IF(Inputs!$B$38="pvp",15,Inputs!$B$43)-(B339)&lt;=0,1,MAX(0,IF(Inputs!$B$38="pvp",15,Inputs!$B$43)-MAX(5,B339))/(IF(Inputs!$B$38="pvp",15,Inputs!$B$43)-(B339))))*IF(AND(ArtifactsInput!$M$42,((Inputs!$B$9+((C320=TRUE)*(F320-Calc!F19))+B332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309*(1-MIN(100,(Inputs!$B$9+((C320=TRUE)*(F320-Calc!F19))+B332+(ArtifactsInput!$M$24-ArtifactsInput!$M$24)*CHOOSE(ArtifactsInput!$N$24+1,10,12,14,16,18,20)+(IF(AND(Inputs!$B$38&lt;&gt;"pvp",Inputs!$B$43=0),1,IF(IF(Inputs!$B$38="pvp",15,Inputs!$B$43)-(B339)&lt;=0,1,MAX(0,IF(Inputs!$B$38="pvp",15,Inputs!$B$43)-MAX(5,B339))/(IF(Inputs!$B$38="pvp",15,Inputs!$B$43)-(B339))))*IF(AND(ArtifactsInput!$M$42,((Inputs!$B$9+((C320=TRUE)*(F320-Calc!F19))+B332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309*(MIN(100,(Inputs!$B$9+((C320=TRUE)*(F320-Calc!F19))+B332+(ArtifactsInput!$M$24-ArtifactsInput!$M$24)*CHOOSE(ArtifactsInput!$N$24+1,10,12,14,16,18,20)+(IF(AND(Inputs!$B$38&lt;&gt;"pvp",Inputs!$B$43=0),1,IF(IF(Inputs!$B$38="pvp",15,Inputs!$B$43)-(B339)&lt;=0,1,MAX(0,IF(Inputs!$B$38="pvp",15,Inputs!$B$43)-MAX(5,B339))/(IF(Inputs!$B$38="pvp",15,Inputs!$B$43)-(B339))))*IF(AND(ArtifactsInput!$M$42,((Inputs!$B$9+((C320=TRUE)*(F320-Calc!F19))+B332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09">
        <f>IF(C309,(H309*N309*IF(AND(Inputs!$B$38&lt;&gt;"pvp",Inputs!$B$43&gt;0),((Skills!G8*((R309-1)*IF(Skills!H8&gt;0,INT(Skills!I8/Skills!H8+0.000000001),1)+IF(Skills!H8&gt;0,INT(MIN(Skills!I8,MAX(0,MAX(0,Inputs!$B$43-B339)-((R309-1)*((IF(Inputs!$B$38="pvp",15,MAX(0.1,Skills!D8-IF(TRUE=TRUE,Inputs!$B$32,0)))*(1-IF(AND(ArtifactsInput!$M$27,Inputs!$B$4="Chapter Hunt"),CHOOSE(ArtifactsInput!$N$27+1,20,24,28,32,36,40),0)/100))/B343))))/Skills!H8+0.000000001),1)))/Inputs!$B$43),G309*Q309))*IF(Inputs!$B$38="pvp",1,(1+(Inputs!$B$21+Skills!Q8+(IF(ArtifactsInput!$M$33,CHOOSE(ArtifactsInput!$N$33+1,30,36,42,48,54,60),0))+(IF(AND(ArtifactsInput!$M$35,Inputs!$B$4&lt;&gt;"Chapter Hunt"),CHOOSE(ArtifactsInput!$N$35+1,15,18,21,24,27,30)*(1-EXP(-(0.2*B334)*5)),0)+IF(AND(ArtifactsInput!$M$22,Inputs!$B$4&lt;&gt;"Chapter Hunt"),CHOOSE(ArtifactsInput!$N$22+1,10,12,14,16,18,20)*((0*(((0.15*B334*5))^0/1)+1*(((0.15*B334*5))^1/1)+2*(((0.15*B334*5))^2/2)+3*(((0.15*B334*5))^3/6)+4*(((0.15*B334*5))^4/24)+5*(((0.15*B334*5))^5/120))/((((0.15*B334*5))^0/1)+(((0.15*B334*5))^1/1)+(((0.15*B334*5))^2/2)+(((0.15*B334*5))^3/6)+(((0.15*B334*5))^4/24)+(((0.15*B334*5))^5/120))),0))+IF(Inputs!$B$3&gt;=54,9*(C304=TRUE)*MIN(1,8*(1+Inputs!$B$34/100)*Q304),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0">
      <c r="A310">
        <f>Skills!A9</f>
        <v/>
      </c>
      <c r="B310">
        <f>Skills!B9</f>
        <v/>
      </c>
      <c r="C310">
        <f>Inputs!$B$3&gt;=105</f>
        <v/>
      </c>
      <c r="D310">
        <f>IF(Skills!C9=1,60+Inputs!$B$25+Inputs!$B$29,IF(Skills!C9=2,90+Inputs!$B$26+Inputs!$B$29,IF(Skills!C9=3,120+Inputs!$B$27+Inputs!$B$29,MAX(0,(Inputs!$B$3-100)*3)+Inputs!$B$28+Inputs!$B$29)))</f>
        <v/>
      </c>
      <c r="E310">
        <f>INDEX(FactorTable!$B$2:$Y$301, MATCH(ROUND(MIN(300,MAX(1,D310)),0), FactorTable!$A$2:$A$301,0), Skills!M9+1)</f>
        <v/>
      </c>
      <c r="F310">
        <f>IF(Skills!N9=TRUE,(Skills!L9/10)*(E310/1000),Skills!L9/10)+Skills!O9</f>
        <v/>
      </c>
      <c r="G310">
        <f>Skills!G9*IF(Skills!H9&gt;0,INT(IF(Inputs!$B$38="pvp",MIN(Skills!I9,15),Skills!I9)/Skills!H9+0.000000001),1)</f>
        <v/>
      </c>
      <c r="H310">
        <f>1-(1-Skills!J9/100)^Skills!K9</f>
        <v/>
      </c>
      <c r="I310" t="inlineStr">
        <is>
          <t>1</t>
        </is>
      </c>
      <c r="J310">
        <f>((Inputs!$B$6*(1+Inputs!$B$7/100))+(((Inputs!$B$12*(1+Inputs!$B$13/100))-(Inputs!$B$12*(1+Inputs!$B$13/100)))+0.25*(Inputs!$B$14-Inputs!$B$14))*(1+Inputs!$B$7/100))*(F310/100)</f>
        <v/>
      </c>
      <c r="K310">
        <f>J310*(1+((Inputs!$B$12*(1+Inputs!$B$13/100))*0.01+Inputs!$B$14*0.0025)/100)*(1+Inputs!$B$15/100)*(1+Inputs!$B$16/100)*(5000/(6000+Inputs!$B$42*(1-(100*(1-(1-(Inputs!$B$19+0)/100)*(1-CHOOSE(ArtifactsInput!$N$40+1,5,6,7,8,9,10)/100)^(ArtifactsInput!$M$40-ArtifactsInput!$M$40)))/100)))*(1+(Inputs!$B$24+((C327=TRUE)*(F327-Calc!F26))+B338)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IGHT_LEGS_EASTON",Inputs!$B$17+((C324=TRUE)*(F324-Calc!F23))+((C328=TRUE)*(F328-Calc!F27))+((IF(AND(Inputs!$B$38&lt;&gt;"pvp",Inputs!$B$43=0),1,IF(IF(Inputs!$B$38="pvp",15,Inputs!$B$43)-(B339)&lt;=0,1,MAX(0,IF(Inputs!$B$38="pvp",15,Inputs!$B$43)-MAX(5,B339))/(IF(Inputs!$B$38="pvp",15,Inputs!$B$43)-(B339))))*(IF(AND(ArtifactsInput!$M$42,((Inputs!$B$9+((C320=TRUE)*(F320-Calc!F19))+B332+(ArtifactsInput!$M$24-ArtifactsInput!$M$24)*CHOOSE(ArtifactsInput!$N$24+1,10,12,14,16,18,20)+IF(ArtifactsInput!$M$10,CHOOSE(ArtifactsInput!$N$10+1,15,18,21,24,27,30)*(IF(Inputs!$B$38="pvp",MIN(15,15)/15,IF(AND(Inputs!$B$38&lt;&gt;"pvp",Inputs!$B$43&gt;0),MIN(15,Inputs!$B$43)/(Inputs!$B$43),0))),0)))&gt;=100),MIN(100,((Inputs!$B$9+((C320=TRUE)*(F320-Calc!F19))+B332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339)&lt;=0,1,MAX(0,IF(Inputs!$B$38="pvp",15,Inputs!$B$43)-MAX(5,B339))/(IF(Inputs!$B$38="pvp",15,Inputs!$B$43)-(B339))))*IF(AND(ArtifactsInput!$M$42,((Inputs!$B$9+((C320=TRUE)*(F320-Calc!F19))+B332+(ArtifactsInput!$M$24-ArtifactsInput!$M$24)*CHOOSE(ArtifactsInput!$N$24+1,10,12,14,16,18,20)+IF(ArtifactsInput!$M$10,CHOOSE(ArtifactsInput!$N$10+1,15,18,21,24,27,30)*(IF(Inputs!$B$38="pvp",MIN(15,15)/15,IF(AND(Inputs!$B$38&lt;&gt;"pvp",Inputs!$B$43&gt;0),MIN(15,Inputs!$B$43)/(Inputs!$B$43),0))),0)))&gt;=100),CHOOSE(ArtifactsInput!$N$42+1,40,48,56,64,72,80),0))))/100)*((1+(((C318=TRUE)*F318*5/7)+((C325=TRUE)*(F325-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310)</f>
        <v/>
      </c>
      <c r="L310">
        <f>K310*(MIN(Inputs!$B$22+((C323=TRUE)*(F323-Calc!F22)),(Inputs!$B$23+0+(IF(ArtifactsInput!$M$15,CHOOSE(ArtifactsInput!$N$15+1,25,30,35,40,45,50)/100*(Inputs!$B$11-Inputs!$B$11),0))))/100+(Inputs!$B$23+0+(IF(ArtifactsInput!$M$15,CHOOSE(ArtifactsInput!$N$15+1,25,30,35,40,45,50)/100*(Inputs!$B$11-Inputs!$B$11),0)))/100)/2</f>
        <v/>
      </c>
      <c r="M310">
        <f>L310*(1+(Inputs!$B$10+((C326=TRUE)*(F326-Calc!F25))+B337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0">
        <f>L310*(1-MIN((Inputs!$B$9+((C320=TRUE)*(F320-Calc!F19))+B332+(ArtifactsInput!$M$24-ArtifactsInput!$M$24)*CHOOSE(ArtifactsInput!$N$24+1,10,12,14,16,18,20)+(IF(AND(Inputs!$B$38&lt;&gt;"pvp",Inputs!$B$43=0),1,IF(IF(Inputs!$B$38="pvp",15,Inputs!$B$43)-(B339)&lt;=0,1,MAX(0,IF(Inputs!$B$38="pvp",15,Inputs!$B$43)-MAX(5,B339))/(IF(Inputs!$B$38="pvp",15,Inputs!$B$43)-(B339))))*IF(AND(ArtifactsInput!$M$42,((Inputs!$B$9+((C320=TRUE)*(F320-Calc!F19))+B332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310*(MIN((Inputs!$B$9+((C320=TRUE)*(F320-Calc!F19))+B332+(ArtifactsInput!$M$24-ArtifactsInput!$M$24)*CHOOSE(ArtifactsInput!$N$24+1,10,12,14,16,18,20)+(IF(AND(Inputs!$B$38&lt;&gt;"pvp",Inputs!$B$43=0),1,IF(IF(Inputs!$B$38="pvp",15,Inputs!$B$43)-(B339)&lt;=0,1,MAX(0,IF(Inputs!$B$38="pvp",15,Inputs!$B$43)-MAX(5,B339))/(IF(Inputs!$B$38="pvp",15,Inputs!$B$43)-(B339))))*IF(AND(ArtifactsInput!$M$42,((Inputs!$B$9+((C320=TRUE)*(F320-Calc!F19))+B332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0">
        <f>(1-Summary!$B$11)*T310+Summary!$B$11*V310</f>
        <v/>
      </c>
      <c r="P310">
        <f>IF(B342=0,0,O310/B342)</f>
        <v/>
      </c>
      <c r="Q310">
        <f>IFERROR(1/(IF(Inputs!$B$38="pvp",15,MAX(0.1,Skills!D9-IF(TRUE=TRUE,Inputs!$B$32,0)))*(1-IF(AND(ArtifactsInput!$M$27,Inputs!$B$4="Chapter Hunt"),CHOOSE(ArtifactsInput!$N$27+1,20,24,28,32,36,40),0)/100)),0)</f>
        <v/>
      </c>
      <c r="R310">
        <f>IF(AND(Inputs!$B$38&lt;&gt;"pvp",Inputs!$B$43&gt;0),IF(MAX(0,Inputs!$B$43-B339)&lt;=0,0,(INT(MAX(0,Inputs!$B$43-B339)/(IF(Inputs!$B$38="pvp",15,MAX(0.1,Skills!D9-IF(TRUE=TRUE,Inputs!$B$32,0)))*(1-IF(AND(ArtifactsInput!$M$27,Inputs!$B$4="Chapter Hunt"),CHOOSE(ArtifactsInput!$N$27+1,20,24,28,32,36,40),0)/100)))+1)),0)</f>
        <v/>
      </c>
      <c r="S310">
        <f>IFERROR(O310/N310,0)</f>
        <v/>
      </c>
      <c r="T310">
        <f>IF(C310,(H310*N310*IF(AND(Inputs!$B$38&lt;&gt;"pvp",Inputs!$B$43&gt;0),((Skills!G9*((R310-1)*IF(Skills!H9&gt;0,INT(Skills!I9/Skills!H9+0.000000001),1)+IF(Skills!H9&gt;0,INT(MIN(Skills!I9,MAX(0,MAX(0,Inputs!$B$43-B339)-((R310-1)*(IF(Inputs!$B$38="pvp",15,MAX(0.1,Skills!D9-IF(TRUE=TRUE,Inputs!$B$32,0)))*(1-IF(AND(ArtifactsInput!$M$27,Inputs!$B$4="Chapter Hunt"),CHOOSE(ArtifactsInput!$N$27+1,20,24,28,32,36,40),0)/100)))))/Skills!H9+0.000000001),1)))/Inputs!$B$43),G310*Q310))*IF(Inputs!$B$38="pvp",1,1+((Inputs!$B$20+1)+0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Hunt"),CHOOSE(ArtifactsInput!$N$35+1,15,18,21,24,27,30)*(1-EXP(-(0.2*B334)*5)),0)+IF(AND(ArtifactsInput!$M$22,Inputs!$B$4&lt;&gt;"Chapter Hunt"),CHOOSE(ArtifactsInput!$N$22+1,10,12,14,16,18,20)*((0*(((0.15*B334*5))^0/1)+1*(((0.15*B334*5))^1/1)+2*(((0.15*B334*5))^2/2)+3*(((0.15*B334*5))^3/6)+4*(((0.15*B334*5))^4/24)+5*(((0.15*B334*5))^5/120))/((((0.15*B334*5))^0/1)+(((0.15*B334*5))^1/1)+(((0.15*B334*5))^2/2)+(((0.15*B334*5))^3/6)+(((0.15*B334*5))^4/24)+(((0.15*B334*5))^5/120))),0))+IF(Inputs!$B$3&gt;=54,9*(C304=TRUE)*MIN(1,8*(1+Inputs!$B$34/100)*Q304)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310*(1-MIN(100,(Inputs!$B$9+((C320=TRUE)*(F320-Calc!F19))+B332+(ArtifactsInput!$M$24-ArtifactsInput!$M$24)*CHOOSE(ArtifactsInput!$N$24+1,10,12,14,16,18,20)+(IF(AND(Inputs!$B$38&lt;&gt;"pvp",Inputs!$B$43=0),1,IF(IF(Inputs!$B$38="pvp",15,Inputs!$B$43)-(B339)&lt;=0,1,MAX(0,IF(Inputs!$B$38="pvp",15,Inputs!$B$43)-MAX(5,B339))/(IF(Inputs!$B$38="pvp",15,Inputs!$B$43)-(B339))))*IF(AND(ArtifactsInput!$M$42,((Inputs!$B$9+((C320=TRUE)*(F320-Calc!F19))+B332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310*(MIN(100,(Inputs!$B$9+((C320=TRUE)*(F320-Calc!F19))+B332+(ArtifactsInput!$M$24-ArtifactsInput!$M$24)*CHOOSE(ArtifactsInput!$N$24+1,10,12,14,16,18,20)+(IF(AND(Inputs!$B$38&lt;&gt;"pvp",Inputs!$B$43=0),1,IF(IF(Inputs!$B$38="pvp",15,Inputs!$B$43)-(B339)&lt;=0,1,MAX(0,IF(Inputs!$B$38="pvp",15,Inputs!$B$43)-MAX(5,B339))/(IF(Inputs!$B$38="pvp",15,Inputs!$B$43)-(B339))))*IF(AND(ArtifactsInput!$M$42,((Inputs!$B$9+((C320=TRUE)*(F320-Calc!F19))+B332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310*(1-MIN(100,(Inputs!$B$9+((C320=TRUE)*(F320-Calc!F19))+B332+(ArtifactsInput!$M$24-ArtifactsInput!$M$24)*CHOOSE(ArtifactsInput!$N$24+1,10,12,14,16,18,20)+(IF(AND(Inputs!$B$38&lt;&gt;"pvp",Inputs!$B$43=0),1,IF(IF(Inputs!$B$38="pvp",15,Inputs!$B$43)-(B339)&lt;=0,1,MAX(0,IF(Inputs!$B$38="pvp",15,Inputs!$B$43)-MAX(5,B339))/(IF(Inputs!$B$38="pvp",15,Inputs!$B$43)-(B339))))*IF(AND(ArtifactsInput!$M$42,((Inputs!$B$9+((C320=TRUE)*(F320-Calc!F19))+B332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310*(MIN(100,(Inputs!$B$9+((C320=TRUE)*(F320-Calc!F19))+B332+(ArtifactsInput!$M$24-ArtifactsInput!$M$24)*CHOOSE(ArtifactsInput!$N$24+1,10,12,14,16,18,20)+(IF(AND(Inputs!$B$38&lt;&gt;"pvp",Inputs!$B$43=0),1,IF(IF(Inputs!$B$38="pvp",15,Inputs!$B$43)-(B339)&lt;=0,1,MAX(0,IF(Inputs!$B$38="pvp",15,Inputs!$B$43)-MAX(5,B339))/(IF(Inputs!$B$38="pvp",15,Inputs!$B$43)-(B339))))*IF(AND(ArtifactsInput!$M$42,((Inputs!$B$9+((C320=TRUE)*(F320-Calc!F19))+B332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10">
        <f>IF(C310,(H310*N310*IF(AND(Inputs!$B$38&lt;&gt;"pvp",Inputs!$B$43&gt;0),((Skills!G9*((R310-1)*IF(Skills!H9&gt;0,INT(Skills!I9/Skills!H9+0.000000001),1)+IF(Skills!H9&gt;0,INT(MIN(Skills!I9,MAX(0,MAX(0,Inputs!$B$43-B339)-((R310-1)*(IF(Inputs!$B$38="pvp",15,MAX(0.1,Skills!D9-IF(TRUE=TRUE,Inputs!$B$32,0)))*(1-IF(AND(ArtifactsInput!$M$27,Inputs!$B$4="Chapter Hunt"),CHOOSE(ArtifactsInput!$N$27+1,20,24,28,32,36,40),0)/100)))))/Skills!H9+0.000000001),1)))/Inputs!$B$43),G310*Q310))*IF(Inputs!$B$38="pvp",1,(1+(Inputs!$B$21+Skills!Q9+(IF(ArtifactsInput!$M$33,CHOOSE(ArtifactsInput!$N$33+1,30,36,42,48,54,60),0))+(IF(AND(ArtifactsInput!$M$35,Inputs!$B$4&lt;&gt;"Chapter Hunt"),CHOOSE(ArtifactsInput!$N$35+1,15,18,21,24,27,30)*(1-EXP(-(0.2*B334)*5)),0)+IF(AND(ArtifactsInput!$M$22,Inputs!$B$4&lt;&gt;"Chapter Hunt"),CHOOSE(ArtifactsInput!$N$22+1,10,12,14,16,18,20)*((0*(((0.15*B334*5))^0/1)+1*(((0.15*B334*5))^1/1)+2*(((0.15*B334*5))^2/2)+3*(((0.15*B334*5))^3/6)+4*(((0.15*B334*5))^4/24)+5*(((0.15*B334*5))^5/120))/((((0.15*B334*5))^0/1)+(((0.15*B334*5))^1/1)+(((0.15*B334*5))^2/2)+(((0.15*B334*5))^3/6)+(((0.15*B334*5))^4/24)+(((0.15*B334*5))^5/120))),0))+IF(Inputs!$B$3&gt;=54,9*(C304=TRUE)*MIN(1,8*(1+Inputs!$B$34/100)*Q304),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1">
      <c r="A311">
        <f>Skills!A10</f>
        <v/>
      </c>
      <c r="B311">
        <f>Skills!B10</f>
        <v/>
      </c>
      <c r="C311">
        <f>Inputs!$B$3&gt;=113</f>
        <v/>
      </c>
      <c r="D311">
        <f>IF(Skills!C10=1,60+Inputs!$B$25+Inputs!$B$29,IF(Skills!C10=2,90+Inputs!$B$26+Inputs!$B$29,IF(Skills!C10=3,120+Inputs!$B$27+Inputs!$B$29,MAX(0,(Inputs!$B$3-100)*3)+Inputs!$B$28+Inputs!$B$29)))</f>
        <v/>
      </c>
      <c r="E311">
        <f>INDEX(FactorTable!$B$2:$Y$301, MATCH(ROUND(MIN(300,MAX(1,D311)),0), FactorTable!$A$2:$A$301,0), Skills!M10+1)</f>
        <v/>
      </c>
      <c r="F311">
        <f>IF(Skills!N10=TRUE,(Skills!L10/10)*(E311/1000),Skills!L10/10)+Skills!O10</f>
        <v/>
      </c>
      <c r="G311">
        <f>Skills!G10*IF(Skills!H10&gt;0,INT(IF(Inputs!$B$38="pvp",MIN(Skills!I10,15),Skills!I10)/Skills!H10+0.000000001),1)</f>
        <v/>
      </c>
      <c r="H311">
        <f>1-(1-Skills!J10/100)^Skills!K10</f>
        <v/>
      </c>
      <c r="I311" t="inlineStr">
        <is>
          <t>1</t>
        </is>
      </c>
      <c r="J311">
        <f>((Inputs!$B$6*(1+Inputs!$B$7/100))+(((Inputs!$B$12*(1+Inputs!$B$13/100))-(Inputs!$B$12*(1+Inputs!$B$13/100)))+0.25*(Inputs!$B$14-Inputs!$B$14))*(1+Inputs!$B$7/100))*(F311/100)</f>
        <v/>
      </c>
      <c r="K311">
        <f>J311*(1+((Inputs!$B$12*(1+Inputs!$B$13/100))*0.01+Inputs!$B$14*0.0025)/100)*(1+Inputs!$B$15/100)*(1+Inputs!$B$16/100)*(5000/(6000+Inputs!$B$42*(1-(100*(1-(1-(Inputs!$B$19+0)/100)*(1-CHOOSE(ArtifactsInput!$N$40+1,5,6,7,8,9,10)/100)^(ArtifactsInput!$M$40-ArtifactsInput!$M$40)))/100)))*(1+(Inputs!$B$24+((C327=TRUE)*(F327-Calc!F26))+B338)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IGHT_LEGS_EASTON",Inputs!$B$17+((C324=TRUE)*(F324-Calc!F23))+((C328=TRUE)*(F328-Calc!F27))+((IF(AND(Inputs!$B$38&lt;&gt;"pvp",Inputs!$B$43=0),1,IF(IF(Inputs!$B$38="pvp",15,Inputs!$B$43)-(B339)&lt;=0,1,MAX(0,IF(Inputs!$B$38="pvp",15,Inputs!$B$43)-MAX(5,B339))/(IF(Inputs!$B$38="pvp",15,Inputs!$B$43)-(B339))))*(IF(AND(ArtifactsInput!$M$42,((Inputs!$B$9+((C320=TRUE)*(F320-Calc!F19))+B332+(ArtifactsInput!$M$24-ArtifactsInput!$M$24)*CHOOSE(ArtifactsInput!$N$24+1,10,12,14,16,18,20)+IF(ArtifactsInput!$M$10,CHOOSE(ArtifactsInput!$N$10+1,15,18,21,24,27,30)*(IF(Inputs!$B$38="pvp",MIN(15,15)/15,IF(AND(Inputs!$B$38&lt;&gt;"pvp",Inputs!$B$43&gt;0),MIN(15,Inputs!$B$43)/(Inputs!$B$43),0))),0)))&gt;=100),MIN(100,((Inputs!$B$9+((C320=TRUE)*(F320-Calc!F19))+B332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339)&lt;=0,1,MAX(0,IF(Inputs!$B$38="pvp",15,Inputs!$B$43)-MAX(5,B339))/(IF(Inputs!$B$38="pvp",15,Inputs!$B$43)-(B339))))*IF(AND(ArtifactsInput!$M$42,((Inputs!$B$9+((C320=TRUE)*(F320-Calc!F19))+B332+(ArtifactsInput!$M$24-ArtifactsInput!$M$24)*CHOOSE(ArtifactsInput!$N$24+1,10,12,14,16,18,20)+IF(ArtifactsInput!$M$10,CHOOSE(ArtifactsInput!$N$10+1,15,18,21,24,27,30)*(IF(Inputs!$B$38="pvp",MIN(15,15)/15,IF(AND(Inputs!$B$38&lt;&gt;"pvp",Inputs!$B$43&gt;0),MIN(15,Inputs!$B$43)/(Inputs!$B$43),0))),0)))&gt;=100),CHOOSE(ArtifactsInput!$N$42+1,40,48,56,64,72,80),0))))/100)*((1+(((C318=TRUE)*F318*5/7)+((C325=TRUE)*(F325-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311)</f>
        <v/>
      </c>
      <c r="L311">
        <f>K311*(MIN(Inputs!$B$22+((C323=TRUE)*(F323-Calc!F22)),(Inputs!$B$23+0+(IF(ArtifactsInput!$M$15,CHOOSE(ArtifactsInput!$N$15+1,25,30,35,40,45,50)/100*(Inputs!$B$11-Inputs!$B$11),0))))/100+(Inputs!$B$23+0+(IF(ArtifactsInput!$M$15,CHOOSE(ArtifactsInput!$N$15+1,25,30,35,40,45,50)/100*(Inputs!$B$11-Inputs!$B$11),0)))/100)/2</f>
        <v/>
      </c>
      <c r="M311">
        <f>L311*(1+(Inputs!$B$10+((C326=TRUE)*(F326-Calc!F25))+B337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1">
        <f>L311*(1-MIN((Inputs!$B$9+((C320=TRUE)*(F320-Calc!F19))+B332+(ArtifactsInput!$M$24-ArtifactsInput!$M$24)*CHOOSE(ArtifactsInput!$N$24+1,10,12,14,16,18,20)+(IF(AND(Inputs!$B$38&lt;&gt;"pvp",Inputs!$B$43=0),1,IF(IF(Inputs!$B$38="pvp",15,Inputs!$B$43)-(B339)&lt;=0,1,MAX(0,IF(Inputs!$B$38="pvp",15,Inputs!$B$43)-MAX(5,B339))/(IF(Inputs!$B$38="pvp",15,Inputs!$B$43)-(B339))))*IF(AND(ArtifactsInput!$M$42,((Inputs!$B$9+((C320=TRUE)*(F320-Calc!F19))+B332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311*(MIN((Inputs!$B$9+((C320=TRUE)*(F320-Calc!F19))+B332+(ArtifactsInput!$M$24-ArtifactsInput!$M$24)*CHOOSE(ArtifactsInput!$N$24+1,10,12,14,16,18,20)+(IF(AND(Inputs!$B$38&lt;&gt;"pvp",Inputs!$B$43=0),1,IF(IF(Inputs!$B$38="pvp",15,Inputs!$B$43)-(B339)&lt;=0,1,MAX(0,IF(Inputs!$B$38="pvp",15,Inputs!$B$43)-MAX(5,B339))/(IF(Inputs!$B$38="pvp",15,Inputs!$B$43)-(B339))))*IF(AND(ArtifactsInput!$M$42,((Inputs!$B$9+((C320=TRUE)*(F320-Calc!F19))+B332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1">
        <f>(1-Summary!$B$11)*T311+Summary!$B$11*V311</f>
        <v/>
      </c>
      <c r="P311">
        <f>IF(B342=0,0,O311/B342)</f>
        <v/>
      </c>
      <c r="Q311" t="n">
        <v>0</v>
      </c>
      <c r="R311" t="n">
        <v>0</v>
      </c>
      <c r="S311">
        <f>IFERROR(O311/N311,0)</f>
        <v/>
      </c>
      <c r="T311">
        <f>IF(C311,((H311*B344)/(1+Skills!H10*H311*B344)*N311)*IF(Inputs!$B$38="pvp",1,1+((Inputs!$B$20+1)+0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Hunt"),CHOOSE(ArtifactsInput!$N$35+1,15,18,21,24,27,30)*(1-EXP(-(0.2*B334)*5)),0)+IF(AND(ArtifactsInput!$M$22,Inputs!$B$4&lt;&gt;"Chapter Hunt"),CHOOSE(ArtifactsInput!$N$22+1,10,12,14,16,18,20)*((0*(((0.15*B334*5))^0/1)+1*(((0.15*B334*5))^1/1)+2*(((0.15*B334*5))^2/2)+3*(((0.15*B334*5))^3/6)+4*(((0.15*B334*5))^4/24)+5*(((0.15*B334*5))^5/120))/((((0.15*B334*5))^0/1)+(((0.15*B334*5))^1/1)+(((0.15*B334*5))^2/2)+(((0.15*B334*5))^3/6)+(((0.15*B334*5))^4/24)+(((0.15*B334*5))^5/120))),0))+IF(Inputs!$B$3&gt;=54,9*(C304=TRUE)*MIN(1,8*(1+Inputs!$B$34/100)*Q304)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311*(1-MIN(100,(Inputs!$B$9+((C320=TRUE)*(F320-Calc!F19))+B332+(ArtifactsInput!$M$24-ArtifactsInput!$M$24)*CHOOSE(ArtifactsInput!$N$24+1,10,12,14,16,18,20)+(IF(AND(Inputs!$B$38&lt;&gt;"pvp",Inputs!$B$43=0),1,IF(IF(Inputs!$B$38="pvp",15,Inputs!$B$43)-(B339)&lt;=0,1,MAX(0,IF(Inputs!$B$38="pvp",15,Inputs!$B$43)-MAX(5,B339))/(IF(Inputs!$B$38="pvp",15,Inputs!$B$43)-(B339))))*IF(AND(ArtifactsInput!$M$42,((Inputs!$B$9+((C320=TRUE)*(F320-Calc!F19))+B332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311*(MIN(100,(Inputs!$B$9+((C320=TRUE)*(F320-Calc!F19))+B332+(ArtifactsInput!$M$24-ArtifactsInput!$M$24)*CHOOSE(ArtifactsInput!$N$24+1,10,12,14,16,18,20)+(IF(AND(Inputs!$B$38&lt;&gt;"pvp",Inputs!$B$43=0),1,IF(IF(Inputs!$B$38="pvp",15,Inputs!$B$43)-(B339)&lt;=0,1,MAX(0,IF(Inputs!$B$38="pvp",15,Inputs!$B$43)-MAX(5,B339))/(IF(Inputs!$B$38="pvp",15,Inputs!$B$43)-(B339))))*IF(AND(ArtifactsInput!$M$42,((Inputs!$B$9+((C320=TRUE)*(F320-Calc!F19))+B332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311*(1-MIN(100,(Inputs!$B$9+((C320=TRUE)*(F320-Calc!F19))+B332+(ArtifactsInput!$M$24-ArtifactsInput!$M$24)*CHOOSE(ArtifactsInput!$N$24+1,10,12,14,16,18,20)+(IF(AND(Inputs!$B$38&lt;&gt;"pvp",Inputs!$B$43=0),1,IF(IF(Inputs!$B$38="pvp",15,Inputs!$B$43)-(B339)&lt;=0,1,MAX(0,IF(Inputs!$B$38="pvp",15,Inputs!$B$43)-MAX(5,B339))/(IF(Inputs!$B$38="pvp",15,Inputs!$B$43)-(B339))))*IF(AND(ArtifactsInput!$M$42,((Inputs!$B$9+((C320=TRUE)*(F320-Calc!F19))+B332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311*(MIN(100,(Inputs!$B$9+((C320=TRUE)*(F320-Calc!F19))+B332+(ArtifactsInput!$M$24-ArtifactsInput!$M$24)*CHOOSE(ArtifactsInput!$N$24+1,10,12,14,16,18,20)+(IF(AND(Inputs!$B$38&lt;&gt;"pvp",Inputs!$B$43=0),1,IF(IF(Inputs!$B$38="pvp",15,Inputs!$B$43)-(B339)&lt;=0,1,MAX(0,IF(Inputs!$B$38="pvp",15,Inputs!$B$43)-MAX(5,B339))/(IF(Inputs!$B$38="pvp",15,Inputs!$B$43)-(B339))))*IF(AND(ArtifactsInput!$M$42,((Inputs!$B$9+((C320=TRUE)*(F320-Calc!F19))+B332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11">
        <f>IF(C311,((H311*B344)/(1+Skills!H10*H311*B344)*N311)*IF(Inputs!$B$38="pvp",1,(1+(Inputs!$B$21+Skills!Q10+(IF(ArtifactsInput!$M$33,CHOOSE(ArtifactsInput!$N$33+1,30,36,42,48,54,60),0))+(IF(AND(ArtifactsInput!$M$35,Inputs!$B$4&lt;&gt;"Chapter Hunt"),CHOOSE(ArtifactsInput!$N$35+1,15,18,21,24,27,30)*(1-EXP(-(0.2*B334)*5)),0)+IF(AND(ArtifactsInput!$M$22,Inputs!$B$4&lt;&gt;"Chapter Hunt"),CHOOSE(ArtifactsInput!$N$22+1,10,12,14,16,18,20)*((0*(((0.15*B334*5))^0/1)+1*(((0.15*B334*5))^1/1)+2*(((0.15*B334*5))^2/2)+3*(((0.15*B334*5))^3/6)+4*(((0.15*B334*5))^4/24)+5*(((0.15*B334*5))^5/120))/((((0.15*B334*5))^0/1)+(((0.15*B334*5))^1/1)+(((0.15*B334*5))^2/2)+(((0.15*B334*5))^3/6)+(((0.15*B334*5))^4/24)+(((0.15*B334*5))^5/120))),0))+IF(Inputs!$B$3&gt;=54,9*(C304=TRUE)*MIN(1,8*(1+Inputs!$B$34/100)*Q304),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2">
      <c r="A312">
        <f>Skills!A11</f>
        <v/>
      </c>
      <c r="B312">
        <f>Skills!B11</f>
        <v/>
      </c>
      <c r="C312">
        <f>Inputs!$B$3&gt;=117</f>
        <v/>
      </c>
      <c r="D312">
        <f>IF(Skills!C11=1,60+Inputs!$B$25+Inputs!$B$29,IF(Skills!C11=2,90+Inputs!$B$26+Inputs!$B$29,IF(Skills!C11=3,120+Inputs!$B$27+Inputs!$B$29,MAX(0,(Inputs!$B$3-100)*3)+Inputs!$B$28+Inputs!$B$29)))</f>
        <v/>
      </c>
      <c r="E312">
        <f>INDEX(FactorTable!$B$2:$Y$301, MATCH(ROUND(MIN(300,MAX(1,D312)),0), FactorTable!$A$2:$A$301,0), Skills!M11+1)</f>
        <v/>
      </c>
      <c r="F312">
        <f>IF(Skills!N11=TRUE,(Skills!L11/10)*(E312/1000),Skills!L11/10)+Skills!O11</f>
        <v/>
      </c>
      <c r="G312">
        <f>Skills!G11*IF(Skills!H11&gt;0,INT(IF(Inputs!$B$38="pvp",MIN(Skills!I11,15),Skills!I11)/Skills!H11+0.000000001),1)</f>
        <v/>
      </c>
      <c r="H312">
        <f>1-(1-Skills!J11/100)^Skills!K11</f>
        <v/>
      </c>
      <c r="I312" t="inlineStr">
        <is>
          <t>1</t>
        </is>
      </c>
      <c r="J312">
        <f>((Inputs!$B$6*(1+Inputs!$B$7/100))+(((Inputs!$B$12*(1+Inputs!$B$13/100))-(Inputs!$B$12*(1+Inputs!$B$13/100)))+0.25*(Inputs!$B$14-Inputs!$B$14))*(1+Inputs!$B$7/100))*(F312/100)</f>
        <v/>
      </c>
      <c r="K312">
        <f>J312*(1+((Inputs!$B$12*(1+Inputs!$B$13/100))*0.01+Inputs!$B$14*0.0025)/100)*(1+Inputs!$B$15/100)*(1+Inputs!$B$16/100)*(5000/(6000+Inputs!$B$42*(1-(100*(1-(1-(Inputs!$B$19+0)/100)*(1-CHOOSE(ArtifactsInput!$N$40+1,5,6,7,8,9,10)/100)^(ArtifactsInput!$M$40-ArtifactsInput!$M$40)))/100)))*(1+(Inputs!$B$24+((C327=TRUE)*(F327-Calc!F26))+B338)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IGHT_LEGS_EASTON",Inputs!$B$17+((C324=TRUE)*(F324-Calc!F23))+((C328=TRUE)*(F328-Calc!F27))+((IF(AND(Inputs!$B$38&lt;&gt;"pvp",Inputs!$B$43=0),1,IF(IF(Inputs!$B$38="pvp",15,Inputs!$B$43)-(B339)&lt;=0,1,MAX(0,IF(Inputs!$B$38="pvp",15,Inputs!$B$43)-MAX(5,B339))/(IF(Inputs!$B$38="pvp",15,Inputs!$B$43)-(B339))))*(IF(AND(ArtifactsInput!$M$42,((Inputs!$B$9+((C320=TRUE)*(F320-Calc!F19))+B332+(ArtifactsInput!$M$24-ArtifactsInput!$M$24)*CHOOSE(ArtifactsInput!$N$24+1,10,12,14,16,18,20)+IF(ArtifactsInput!$M$10,CHOOSE(ArtifactsInput!$N$10+1,15,18,21,24,27,30)*(IF(Inputs!$B$38="pvp",MIN(15,15)/15,IF(AND(Inputs!$B$38&lt;&gt;"pvp",Inputs!$B$43&gt;0),MIN(15,Inputs!$B$43)/(Inputs!$B$43),0))),0)))&gt;=100),MIN(100,((Inputs!$B$9+((C320=TRUE)*(F320-Calc!F19))+B332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339)&lt;=0,1,MAX(0,IF(Inputs!$B$38="pvp",15,Inputs!$B$43)-MAX(5,B339))/(IF(Inputs!$B$38="pvp",15,Inputs!$B$43)-(B339))))*IF(AND(ArtifactsInput!$M$42,((Inputs!$B$9+((C320=TRUE)*(F320-Calc!F19))+B332+(ArtifactsInput!$M$24-ArtifactsInput!$M$24)*CHOOSE(ArtifactsInput!$N$24+1,10,12,14,16,18,20)+IF(ArtifactsInput!$M$10,CHOOSE(ArtifactsInput!$N$10+1,15,18,21,24,27,30)*(IF(Inputs!$B$38="pvp",MIN(15,15)/15,IF(AND(Inputs!$B$38&lt;&gt;"pvp",Inputs!$B$43&gt;0),MIN(15,Inputs!$B$43)/(Inputs!$B$43),0))),0)))&gt;=100),CHOOSE(ArtifactsInput!$N$42+1,40,48,56,64,72,80),0))))/100)*((1+(((C318=TRUE)*F318*5/7)+((C325=TRUE)*(F325-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312)</f>
        <v/>
      </c>
      <c r="L312">
        <f>K312*(MIN(Inputs!$B$22+((C323=TRUE)*(F323-Calc!F22)),(Inputs!$B$23+0+(IF(ArtifactsInput!$M$15,CHOOSE(ArtifactsInput!$N$15+1,25,30,35,40,45,50)/100*(Inputs!$B$11-Inputs!$B$11),0))))/100+(Inputs!$B$23+0+(IF(ArtifactsInput!$M$15,CHOOSE(ArtifactsInput!$N$15+1,25,30,35,40,45,50)/100*(Inputs!$B$11-Inputs!$B$11),0)))/100)/2</f>
        <v/>
      </c>
      <c r="M312">
        <f>L312*(1+(Inputs!$B$10+((C326=TRUE)*(F326-Calc!F25))+B337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2">
        <f>L312*(1-MIN((Inputs!$B$9+((C320=TRUE)*(F320-Calc!F19))+B332+(ArtifactsInput!$M$24-ArtifactsInput!$M$24)*CHOOSE(ArtifactsInput!$N$24+1,10,12,14,16,18,20)+(IF(AND(Inputs!$B$38&lt;&gt;"pvp",Inputs!$B$43=0),1,IF(IF(Inputs!$B$38="pvp",15,Inputs!$B$43)-(B339)&lt;=0,1,MAX(0,IF(Inputs!$B$38="pvp",15,Inputs!$B$43)-MAX(5,B339))/(IF(Inputs!$B$38="pvp",15,Inputs!$B$43)-(B339))))*IF(AND(ArtifactsInput!$M$42,((Inputs!$B$9+((C320=TRUE)*(F320-Calc!F19))+B332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312*(MIN((Inputs!$B$9+((C320=TRUE)*(F320-Calc!F19))+B332+(ArtifactsInput!$M$24-ArtifactsInput!$M$24)*CHOOSE(ArtifactsInput!$N$24+1,10,12,14,16,18,20)+(IF(AND(Inputs!$B$38&lt;&gt;"pvp",Inputs!$B$43=0),1,IF(IF(Inputs!$B$38="pvp",15,Inputs!$B$43)-(B339)&lt;=0,1,MAX(0,IF(Inputs!$B$38="pvp",15,Inputs!$B$43)-MAX(5,B339))/(IF(Inputs!$B$38="pvp",15,Inputs!$B$43)-(B339))))*IF(AND(ArtifactsInput!$M$42,((Inputs!$B$9+((C320=TRUE)*(F320-Calc!F19))+B332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2">
        <f>(1-Summary!$B$11)*T312+Summary!$B$11*V312</f>
        <v/>
      </c>
      <c r="P312">
        <f>IF(B342=0,0,O312/B342)</f>
        <v/>
      </c>
      <c r="Q312">
        <f>IFERROR(1/((IF(Inputs!$B$38="pvp",15,MAX(0.1,Skills!D11-IF(TRUE=TRUE,Inputs!$B$32,0)))*(1-IF(AND(ArtifactsInput!$M$27,Inputs!$B$4="Chapter Hunt"),CHOOSE(ArtifactsInput!$N$27+1,20,24,28,32,36,40),0)/100))/B343),0)</f>
        <v/>
      </c>
      <c r="R312">
        <f>IF(AND(Inputs!$B$38&lt;&gt;"pvp",Inputs!$B$43&gt;0),IF(MAX(0,Inputs!$B$43-B339)&lt;=0,0,(INT(MAX(0,Inputs!$B$43-B339)/((IF(Inputs!$B$38="pvp",15,MAX(0.1,Skills!D11-IF(TRUE=TRUE,Inputs!$B$32,0)))*(1-IF(AND(ArtifactsInput!$M$27,Inputs!$B$4="Chapter Hunt"),CHOOSE(ArtifactsInput!$N$27+1,20,24,28,32,36,40),0)/100))/B343))+1)),0)</f>
        <v/>
      </c>
      <c r="S312">
        <f>IFERROR(O312/N312,0)</f>
        <v/>
      </c>
      <c r="T312">
        <f>IF(C312,(H312*N312*IF(AND(Inputs!$B$38&lt;&gt;"pvp",Inputs!$B$43&gt;0),((Skills!G11*((R312-1)*IF(Skills!H11&gt;0,INT(Skills!I11/Skills!H11+0.000000001),1)+IF(Skills!H11&gt;0,INT(MIN(Skills!I11,MAX(0,MAX(0,Inputs!$B$43-B339)-((R312-1)*((IF(Inputs!$B$38="pvp",15,MAX(0.1,Skills!D11-IF(TRUE=TRUE,Inputs!$B$32,0)))*(1-IF(AND(ArtifactsInput!$M$27,Inputs!$B$4="Chapter Hunt"),CHOOSE(ArtifactsInput!$N$27+1,20,24,28,32,36,40),0)/100))/B343))))/Skills!H11+0.000000001),1)))/Inputs!$B$43),G312*Q312))*IF(Inputs!$B$38="pvp",1,1+((Inputs!$B$20+1)+0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Hunt"),CHOOSE(ArtifactsInput!$N$35+1,15,18,21,24,27,30)*(1-EXP(-(0.2*B334)*5)),0)+IF(AND(ArtifactsInput!$M$22,Inputs!$B$4&lt;&gt;"Chapter Hunt"),CHOOSE(ArtifactsInput!$N$22+1,10,12,14,16,18,20)*((0*(((0.15*B334*5))^0/1)+1*(((0.15*B334*5))^1/1)+2*(((0.15*B334*5))^2/2)+3*(((0.15*B334*5))^3/6)+4*(((0.15*B334*5))^4/24)+5*(((0.15*B334*5))^5/120))/((((0.15*B334*5))^0/1)+(((0.15*B334*5))^1/1)+(((0.15*B334*5))^2/2)+(((0.15*B334*5))^3/6)+(((0.15*B334*5))^4/24)+(((0.15*B334*5))^5/120))),0))+IF(Inputs!$B$3&gt;=54,9*(C304=TRUE)*MIN(1,8*(1+Inputs!$B$34/100)*Q304)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312*(1-MIN(100,(Inputs!$B$9+((C320=TRUE)*(F320-Calc!F19))+B332+(ArtifactsInput!$M$24-ArtifactsInput!$M$24)*CHOOSE(ArtifactsInput!$N$24+1,10,12,14,16,18,20)+(IF(AND(Inputs!$B$38&lt;&gt;"pvp",Inputs!$B$43=0),1,IF(IF(Inputs!$B$38="pvp",15,Inputs!$B$43)-(B339)&lt;=0,1,MAX(0,IF(Inputs!$B$38="pvp",15,Inputs!$B$43)-MAX(5,B339))/(IF(Inputs!$B$38="pvp",15,Inputs!$B$43)-(B339))))*IF(AND(ArtifactsInput!$M$42,((Inputs!$B$9+((C320=TRUE)*(F320-Calc!F19))+B332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312*(MIN(100,(Inputs!$B$9+((C320=TRUE)*(F320-Calc!F19))+B332+(ArtifactsInput!$M$24-ArtifactsInput!$M$24)*CHOOSE(ArtifactsInput!$N$24+1,10,12,14,16,18,20)+(IF(AND(Inputs!$B$38&lt;&gt;"pvp",Inputs!$B$43=0),1,IF(IF(Inputs!$B$38="pvp",15,Inputs!$B$43)-(B339)&lt;=0,1,MAX(0,IF(Inputs!$B$38="pvp",15,Inputs!$B$43)-MAX(5,B339))/(IF(Inputs!$B$38="pvp",15,Inputs!$B$43)-(B339))))*IF(AND(ArtifactsInput!$M$42,((Inputs!$B$9+((C320=TRUE)*(F320-Calc!F19))+B332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312*(1-MIN(100,(Inputs!$B$9+((C320=TRUE)*(F320-Calc!F19))+B332+(ArtifactsInput!$M$24-ArtifactsInput!$M$24)*CHOOSE(ArtifactsInput!$N$24+1,10,12,14,16,18,20)+(IF(AND(Inputs!$B$38&lt;&gt;"pvp",Inputs!$B$43=0),1,IF(IF(Inputs!$B$38="pvp",15,Inputs!$B$43)-(B339)&lt;=0,1,MAX(0,IF(Inputs!$B$38="pvp",15,Inputs!$B$43)-MAX(5,B339))/(IF(Inputs!$B$38="pvp",15,Inputs!$B$43)-(B339))))*IF(AND(ArtifactsInput!$M$42,((Inputs!$B$9+((C320=TRUE)*(F320-Calc!F19))+B332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312*(MIN(100,(Inputs!$B$9+((C320=TRUE)*(F320-Calc!F19))+B332+(ArtifactsInput!$M$24-ArtifactsInput!$M$24)*CHOOSE(ArtifactsInput!$N$24+1,10,12,14,16,18,20)+(IF(AND(Inputs!$B$38&lt;&gt;"pvp",Inputs!$B$43=0),1,IF(IF(Inputs!$B$38="pvp",15,Inputs!$B$43)-(B339)&lt;=0,1,MAX(0,IF(Inputs!$B$38="pvp",15,Inputs!$B$43)-MAX(5,B339))/(IF(Inputs!$B$38="pvp",15,Inputs!$B$43)-(B339))))*IF(AND(ArtifactsInput!$M$42,((Inputs!$B$9+((C320=TRUE)*(F320-Calc!F19))+B332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12">
        <f>IF(C312,(H312*N312*IF(AND(Inputs!$B$38&lt;&gt;"pvp",Inputs!$B$43&gt;0),((Skills!G11*((R312-1)*IF(Skills!H11&gt;0,INT(Skills!I11/Skills!H11+0.000000001),1)+IF(Skills!H11&gt;0,INT(MIN(Skills!I11,MAX(0,MAX(0,Inputs!$B$43-B339)-((R312-1)*((IF(Inputs!$B$38="pvp",15,MAX(0.1,Skills!D11-IF(TRUE=TRUE,Inputs!$B$32,0)))*(1-IF(AND(ArtifactsInput!$M$27,Inputs!$B$4="Chapter Hunt"),CHOOSE(ArtifactsInput!$N$27+1,20,24,28,32,36,40),0)/100))/B343))))/Skills!H11+0.000000001),1)))/Inputs!$B$43),G312*Q312))*IF(Inputs!$B$38="pvp",1,(1+(Inputs!$B$21+Skills!Q11+(IF(ArtifactsInput!$M$33,CHOOSE(ArtifactsInput!$N$33+1,30,36,42,48,54,60),0))+(IF(AND(ArtifactsInput!$M$35,Inputs!$B$4&lt;&gt;"Chapter Hunt"),CHOOSE(ArtifactsInput!$N$35+1,15,18,21,24,27,30)*(1-EXP(-(0.2*B334)*5)),0)+IF(AND(ArtifactsInput!$M$22,Inputs!$B$4&lt;&gt;"Chapter Hunt"),CHOOSE(ArtifactsInput!$N$22+1,10,12,14,16,18,20)*((0*(((0.15*B334*5))^0/1)+1*(((0.15*B334*5))^1/1)+2*(((0.15*B334*5))^2/2)+3*(((0.15*B334*5))^3/6)+4*(((0.15*B334*5))^4/24)+5*(((0.15*B334*5))^5/120))/((((0.15*B334*5))^0/1)+(((0.15*B334*5))^1/1)+(((0.15*B334*5))^2/2)+(((0.15*B334*5))^3/6)+(((0.15*B334*5))^4/24)+(((0.15*B334*5))^5/120))),0))+IF(Inputs!$B$3&gt;=54,9*(C304=TRUE)*MIN(1,8*(1+Inputs!$B$34/100)*Q304),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3">
      <c r="A313">
        <f>Skills!A12</f>
        <v/>
      </c>
      <c r="B313">
        <f>Skills!B12</f>
        <v/>
      </c>
      <c r="C313">
        <f>Inputs!$B$3&gt;=110</f>
        <v/>
      </c>
      <c r="D313">
        <f>IF(Skills!C12=1,60+Inputs!$B$25+Inputs!$B$29,IF(Skills!C12=2,90+Inputs!$B$26+Inputs!$B$29,IF(Skills!C12=3,120+Inputs!$B$27+Inputs!$B$29,MAX(0,(Inputs!$B$3-100)*3)+Inputs!$B$28+Inputs!$B$29)))</f>
        <v/>
      </c>
      <c r="E313">
        <f>INDEX(FactorTable!$B$2:$Y$301, MATCH(ROUND(MIN(300,MAX(1,D313)),0), FactorTable!$A$2:$A$301,0), Skills!M12+1)</f>
        <v/>
      </c>
      <c r="F313">
        <f>IF(Skills!N12=TRUE,(Skills!L12/10)*(E313/1000),Skills!L12/10)+Skills!O12</f>
        <v/>
      </c>
      <c r="G313">
        <f>Skills!G12*IF(Skills!H12&gt;0,INT(IF(Inputs!$B$38="pvp",MIN(Skills!I12,15),Skills!I12)/Skills!H12+0.000000001),1)</f>
        <v/>
      </c>
      <c r="H313">
        <f>1-(1-Skills!J12/100)^Skills!K12</f>
        <v/>
      </c>
      <c r="I313" t="inlineStr">
        <is>
          <t>1</t>
        </is>
      </c>
      <c r="J313">
        <f>((Inputs!$B$6*(1+Inputs!$B$7/100))+(((Inputs!$B$12*(1+Inputs!$B$13/100))-(Inputs!$B$12*(1+Inputs!$B$13/100)))+0.25*(Inputs!$B$14-Inputs!$B$14))*(1+Inputs!$B$7/100))*(F313/100)</f>
        <v/>
      </c>
      <c r="K313">
        <f>J313*(1+((Inputs!$B$12*(1+Inputs!$B$13/100))*0.01+Inputs!$B$14*0.0025)/100)*(1+Inputs!$B$15/100)*(1+Inputs!$B$16/100)*(5000/(6000+Inputs!$B$42*(1-(100*(1-(1-(Inputs!$B$19+0)/100)*(1-CHOOSE(ArtifactsInput!$N$40+1,5,6,7,8,9,10)/100)^(ArtifactsInput!$M$40-ArtifactsInput!$M$40)))/100)))*(1+(Inputs!$B$24+((C327=TRUE)*(F327-Calc!F26))+B338)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EIGHT_LEGS_EASTON",Inputs!$B$17+((C324=TRUE)*(F324-Calc!F23))+((C328=TRUE)*(F328-Calc!F27))+((IF(AND(Inputs!$B$38&lt;&gt;"pvp",Inputs!$B$43=0),1,IF(IF(Inputs!$B$38="pvp",15,Inputs!$B$43)-(B339)&lt;=0,1,MAX(0,IF(Inputs!$B$38="pvp",15,Inputs!$B$43)-MAX(5,B339))/(IF(Inputs!$B$38="pvp",15,Inputs!$B$43)-(B339))))*(IF(AND(ArtifactsInput!$M$42,((Inputs!$B$9+((C320=TRUE)*(F320-Calc!F19))+B332+(ArtifactsInput!$M$24-ArtifactsInput!$M$24)*CHOOSE(ArtifactsInput!$N$24+1,10,12,14,16,18,20)+IF(ArtifactsInput!$M$10,CHOOSE(ArtifactsInput!$N$10+1,15,18,21,24,27,30)*(IF(Inputs!$B$38="pvp",MIN(15,15)/15,IF(AND(Inputs!$B$38&lt;&gt;"pvp",Inputs!$B$43&gt;0),MIN(15,Inputs!$B$43)/(Inputs!$B$43),0))),0)))&gt;=100),MIN(100,((Inputs!$B$9+((C320=TRUE)*(F320-Calc!F19))+B332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339)&lt;=0,1,MAX(0,IF(Inputs!$B$38="pvp",15,Inputs!$B$43)-MAX(5,B339))/(IF(Inputs!$B$38="pvp",15,Inputs!$B$43)-(B339))))*IF(AND(ArtifactsInput!$M$42,((Inputs!$B$9+((C320=TRUE)*(F320-Calc!F19))+B332+(ArtifactsInput!$M$24-ArtifactsInput!$M$24)*CHOOSE(ArtifactsInput!$N$24+1,10,12,14,16,18,20)+IF(ArtifactsInput!$M$10,CHOOSE(ArtifactsInput!$N$10+1,15,18,21,24,27,30)*(IF(Inputs!$B$38="pvp",MIN(15,15)/15,IF(AND(Inputs!$B$38&lt;&gt;"pvp",Inputs!$B$43&gt;0),MIN(15,Inputs!$B$43)/(Inputs!$B$43),0))),0)))&gt;=100),CHOOSE(ArtifactsInput!$N$42+1,40,48,56,64,72,80),0))))/100)*((1+(((C318=TRUE)*F318*5/7)+((C325=TRUE)*(F325-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313)</f>
        <v/>
      </c>
      <c r="L313">
        <f>K313*(MIN(Inputs!$B$22+((C323=TRUE)*(F323-Calc!F22)),(Inputs!$B$23+0+(IF(ArtifactsInput!$M$15,CHOOSE(ArtifactsInput!$N$15+1,25,30,35,40,45,50)/100*(Inputs!$B$11-Inputs!$B$11),0))))/100+(Inputs!$B$23+0+(IF(ArtifactsInput!$M$15,CHOOSE(ArtifactsInput!$N$15+1,25,30,35,40,45,50)/100*(Inputs!$B$11-Inputs!$B$11),0)))/100)/2</f>
        <v/>
      </c>
      <c r="M313">
        <f>L313*(1+(Inputs!$B$10+((C326=TRUE)*(F326-Calc!F25))+B337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3">
        <f>L313*(1-MIN((Inputs!$B$9+((C320=TRUE)*(F320-Calc!F19))+B332+(ArtifactsInput!$M$24-ArtifactsInput!$M$24)*CHOOSE(ArtifactsInput!$N$24+1,10,12,14,16,18,20)+(IF(AND(Inputs!$B$38&lt;&gt;"pvp",Inputs!$B$43=0),1,IF(IF(Inputs!$B$38="pvp",15,Inputs!$B$43)-(B339)&lt;=0,1,MAX(0,IF(Inputs!$B$38="pvp",15,Inputs!$B$43)-MAX(5,B339))/(IF(Inputs!$B$38="pvp",15,Inputs!$B$43)-(B339))))*IF(AND(ArtifactsInput!$M$42,((Inputs!$B$9+((C320=TRUE)*(F320-Calc!F19))+B332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313*(MIN((Inputs!$B$9+((C320=TRUE)*(F320-Calc!F19))+B332+(ArtifactsInput!$M$24-ArtifactsInput!$M$24)*CHOOSE(ArtifactsInput!$N$24+1,10,12,14,16,18,20)+(IF(AND(Inputs!$B$38&lt;&gt;"pvp",Inputs!$B$43=0),1,IF(IF(Inputs!$B$38="pvp",15,Inputs!$B$43)-(B339)&lt;=0,1,MAX(0,IF(Inputs!$B$38="pvp",15,Inputs!$B$43)-MAX(5,B339))/(IF(Inputs!$B$38="pvp",15,Inputs!$B$43)-(B339))))*IF(AND(ArtifactsInput!$M$42,((Inputs!$B$9+((C320=TRUE)*(F320-Calc!F19))+B332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3">
        <f>(1-Summary!$B$11)*T313+Summary!$B$11*V313</f>
        <v/>
      </c>
      <c r="P313">
        <f>IF(B342=0,0,O313/B342)</f>
        <v/>
      </c>
      <c r="Q313">
        <f>IFERROR(1/(IF(Inputs!$B$38="pvp",15,MAX(0.1,Skills!D12-IF(TRUE=TRUE,Inputs!$B$32,0)))*(1-IF(AND(ArtifactsInput!$M$27,Inputs!$B$4="Chapter Hunt"),CHOOSE(ArtifactsInput!$N$27+1,20,24,28,32,36,40),0)/100)),0)</f>
        <v/>
      </c>
      <c r="R313">
        <f>IF(AND(Inputs!$B$38&lt;&gt;"pvp",Inputs!$B$43&gt;0),IF(MAX(0,Inputs!$B$43-B339)&lt;=0,0,(INT(MAX(0,Inputs!$B$43-B339)/(IF(Inputs!$B$38="pvp",15,MAX(0.1,Skills!D12-IF(TRUE=TRUE,Inputs!$B$32,0)))*(1-IF(AND(ArtifactsInput!$M$27,Inputs!$B$4="Chapter Hunt"),CHOOSE(ArtifactsInput!$N$27+1,20,24,28,32,36,40),0)/100)))+1)),0)</f>
        <v/>
      </c>
      <c r="S313">
        <f>IFERROR(O313/N313,0)</f>
        <v/>
      </c>
      <c r="T313">
        <f>IF(C313,(H313*N313*IF(AND(Inputs!$B$38&lt;&gt;"pvp",Inputs!$B$43&gt;0),((Skills!G12*((R313-1)*IF(Skills!H12&gt;0,INT(Skills!I12/Skills!H12+0.000000001),1)+IF(Skills!H12&gt;0,INT(MIN(Skills!I12,MAX(0,MAX(0,Inputs!$B$43-B339)-((R313-1)*(IF(Inputs!$B$38="pvp",15,MAX(0.1,Skills!D12-IF(TRUE=TRUE,Inputs!$B$32,0)))*(1-IF(AND(ArtifactsInput!$M$27,Inputs!$B$4="Chapter Hunt"),CHOOSE(ArtifactsInput!$N$27+1,20,24,28,32,36,40),0)/100)))))/Skills!H12+0.000000001),1)))/Inputs!$B$43),G313*Q313))*IF(Inputs!$B$38="pvp",1,1+((Inputs!$B$20+1)+0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Hunt"),CHOOSE(ArtifactsInput!$N$35+1,15,18,21,24,27,30)*(1-EXP(-(0.2*B334)*5)),0)+IF(AND(ArtifactsInput!$M$22,Inputs!$B$4&lt;&gt;"Chapter Hunt"),CHOOSE(ArtifactsInput!$N$22+1,10,12,14,16,18,20)*((0*(((0.15*B334*5))^0/1)+1*(((0.15*B334*5))^1/1)+2*(((0.15*B334*5))^2/2)+3*(((0.15*B334*5))^3/6)+4*(((0.15*B334*5))^4/24)+5*(((0.15*B334*5))^5/120))/((((0.15*B334*5))^0/1)+(((0.15*B334*5))^1/1)+(((0.15*B334*5))^2/2)+(((0.15*B334*5))^3/6)+(((0.15*B334*5))^4/24)+(((0.15*B334*5))^5/120))),0))+IF(Inputs!$B$3&gt;=54,9*(C304=TRUE)*MIN(1,8*(1+Inputs!$B$34/100)*Q304)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313*(1-MIN(100,(Inputs!$B$9+((C320=TRUE)*(F320-Calc!F19))+B332+(ArtifactsInput!$M$24-ArtifactsInput!$M$24)*CHOOSE(ArtifactsInput!$N$24+1,10,12,14,16,18,20)+(IF(AND(Inputs!$B$38&lt;&gt;"pvp",Inputs!$B$43=0),1,IF(IF(Inputs!$B$38="pvp",15,Inputs!$B$43)-(B339)&lt;=0,1,MAX(0,IF(Inputs!$B$38="pvp",15,Inputs!$B$43)-MAX(5,B339))/(IF(Inputs!$B$38="pvp",15,Inputs!$B$43)-(B339))))*IF(AND(ArtifactsInput!$M$42,((Inputs!$B$9+((C320=TRUE)*(F320-Calc!F19))+B332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313*(MIN(100,(Inputs!$B$9+((C320=TRUE)*(F320-Calc!F19))+B332+(ArtifactsInput!$M$24-ArtifactsInput!$M$24)*CHOOSE(ArtifactsInput!$N$24+1,10,12,14,16,18,20)+(IF(AND(Inputs!$B$38&lt;&gt;"pvp",Inputs!$B$43=0),1,IF(IF(Inputs!$B$38="pvp",15,Inputs!$B$43)-(B339)&lt;=0,1,MAX(0,IF(Inputs!$B$38="pvp",15,Inputs!$B$43)-MAX(5,B339))/(IF(Inputs!$B$38="pvp",15,Inputs!$B$43)-(B339))))*IF(AND(ArtifactsInput!$M$42,((Inputs!$B$9+((C320=TRUE)*(F320-Calc!F19))+B332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313*(1-MIN(100,(Inputs!$B$9+((C320=TRUE)*(F320-Calc!F19))+B332+(ArtifactsInput!$M$24-ArtifactsInput!$M$24)*CHOOSE(ArtifactsInput!$N$24+1,10,12,14,16,18,20)+(IF(AND(Inputs!$B$38&lt;&gt;"pvp",Inputs!$B$43=0),1,IF(IF(Inputs!$B$38="pvp",15,Inputs!$B$43)-(B339)&lt;=0,1,MAX(0,IF(Inputs!$B$38="pvp",15,Inputs!$B$43)-MAX(5,B339))/(IF(Inputs!$B$38="pvp",15,Inputs!$B$43)-(B339))))*IF(AND(ArtifactsInput!$M$42,((Inputs!$B$9+((C320=TRUE)*(F320-Calc!F19))+B332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313*(MIN(100,(Inputs!$B$9+((C320=TRUE)*(F320-Calc!F19))+B332+(ArtifactsInput!$M$24-ArtifactsInput!$M$24)*CHOOSE(ArtifactsInput!$N$24+1,10,12,14,16,18,20)+(IF(AND(Inputs!$B$38&lt;&gt;"pvp",Inputs!$B$43=0),1,IF(IF(Inputs!$B$38="pvp",15,Inputs!$B$43)-(B339)&lt;=0,1,MAX(0,IF(Inputs!$B$38="pvp",15,Inputs!$B$43)-MAX(5,B339))/(IF(Inputs!$B$38="pvp",15,Inputs!$B$43)-(B339))))*IF(AND(ArtifactsInput!$M$42,((Inputs!$B$9+((C320=TRUE)*(F320-Calc!F19))+B332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13">
        <f>IF(C313,(H313*N313*IF(AND(Inputs!$B$38&lt;&gt;"pvp",Inputs!$B$43&gt;0),((Skills!G12*((R313-1)*IF(Skills!H12&gt;0,INT(Skills!I12/Skills!H12+0.000000001),1)+IF(Skills!H12&gt;0,INT(MIN(Skills!I12,MAX(0,MAX(0,Inputs!$B$43-B339)-((R313-1)*(IF(Inputs!$B$38="pvp",15,MAX(0.1,Skills!D12-IF(TRUE=TRUE,Inputs!$B$32,0)))*(1-IF(AND(ArtifactsInput!$M$27,Inputs!$B$4="Chapter Hunt"),CHOOSE(ArtifactsInput!$N$27+1,20,24,28,32,36,40),0)/100)))))/Skills!H12+0.000000001),1)))/Inputs!$B$43),G313*Q313))*IF(Inputs!$B$38="pvp",1,(1+(Inputs!$B$21+Skills!Q12+(IF(ArtifactsInput!$M$33,CHOOSE(ArtifactsInput!$N$33+1,30,36,42,48,54,60),0))+(IF(AND(ArtifactsInput!$M$35,Inputs!$B$4&lt;&gt;"Chapter Hunt"),CHOOSE(ArtifactsInput!$N$35+1,15,18,21,24,27,30)*(1-EXP(-(0.2*B334)*5)),0)+IF(AND(ArtifactsInput!$M$22,Inputs!$B$4&lt;&gt;"Chapter Hunt"),CHOOSE(ArtifactsInput!$N$22+1,10,12,14,16,18,20)*((0*(((0.15*B334*5))^0/1)+1*(((0.15*B334*5))^1/1)+2*(((0.15*B334*5))^2/2)+3*(((0.15*B334*5))^3/6)+4*(((0.15*B334*5))^4/24)+5*(((0.15*B334*5))^5/120))/((((0.15*B334*5))^0/1)+(((0.15*B334*5))^1/1)+(((0.15*B334*5))^2/2)+(((0.15*B334*5))^3/6)+(((0.15*B334*5))^4/24)+(((0.15*B334*5))^5/120))),0))+IF(Inputs!$B$3&gt;=54,9*(C304=TRUE)*MIN(1,8*(1+Inputs!$B$34/100)*Q304),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4">
      <c r="A314">
        <f>Skills!A13</f>
        <v/>
      </c>
      <c r="B314">
        <f>Skills!B13</f>
        <v/>
      </c>
      <c r="C314">
        <f>Inputs!$B$3&gt;=110</f>
        <v/>
      </c>
      <c r="D314">
        <f>IF(Skills!C13=1,60+Inputs!$B$25+Inputs!$B$29,IF(Skills!C13=2,90+Inputs!$B$26+Inputs!$B$29,IF(Skills!C13=3,120+Inputs!$B$27+Inputs!$B$29,MAX(0,(Inputs!$B$3-100)*3)+Inputs!$B$28+Inputs!$B$29)))</f>
        <v/>
      </c>
      <c r="E314">
        <f>INDEX(FactorTable!$B$2:$Y$301, MATCH(ROUND(MIN(300,MAX(1,D314)),0), FactorTable!$A$2:$A$301,0), Skills!M13+1)</f>
        <v/>
      </c>
      <c r="F314">
        <f>IF(Skills!N13=TRUE,(Skills!L13/10)*(E314/1000),Skills!L13/10)+Skills!O13</f>
        <v/>
      </c>
      <c r="G314">
        <f>Skills!G13*IF(Skills!H13&gt;0,INT(IF(Inputs!$B$38="pvp",MIN(Skills!I13,15),Skills!I13)/Skills!H13+0.000000001),1)</f>
        <v/>
      </c>
      <c r="H314">
        <f>1-(1-Skills!J13/100)^Skills!K13</f>
        <v/>
      </c>
      <c r="I314" t="inlineStr">
        <is>
          <t>1</t>
        </is>
      </c>
      <c r="J314">
        <f>((Inputs!$B$6*(1+Inputs!$B$7/100))+(((Inputs!$B$12*(1+Inputs!$B$13/100))-(Inputs!$B$12*(1+Inputs!$B$13/100)))+0.25*(Inputs!$B$14-Inputs!$B$14))*(1+Inputs!$B$7/100))*(F314/100)</f>
        <v/>
      </c>
      <c r="K314">
        <f>J314*(1+((Inputs!$B$12*(1+Inputs!$B$13/100))*0.01+Inputs!$B$14*0.0025)/100)*(1+Inputs!$B$15/100)*(1+Inputs!$B$16/100)*(5000/(6000+Inputs!$B$42*(1-(100*(1-(1-(Inputs!$B$19+0)/100)*(1-CHOOSE(ArtifactsInput!$N$40+1,5,6,7,8,9,10)/100)^(ArtifactsInput!$M$40-ArtifactsInput!$M$40)))/100)))*(1+(Inputs!$B$24+((C327=TRUE)*(F327-Calc!F26))+B338)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EIGHT_LEGS_EASTON",Inputs!$B$17+((C324=TRUE)*(F324-Calc!F23))+((C328=TRUE)*(F328-Calc!F27))+((IF(AND(Inputs!$B$38&lt;&gt;"pvp",Inputs!$B$43=0),1,IF(IF(Inputs!$B$38="pvp",15,Inputs!$B$43)-(B339)&lt;=0,1,MAX(0,IF(Inputs!$B$38="pvp",15,Inputs!$B$43)-MAX(5,B339))/(IF(Inputs!$B$38="pvp",15,Inputs!$B$43)-(B339))))*(IF(AND(ArtifactsInput!$M$42,((Inputs!$B$9+((C320=TRUE)*(F320-Calc!F19))+B332+(ArtifactsInput!$M$24-ArtifactsInput!$M$24)*CHOOSE(ArtifactsInput!$N$24+1,10,12,14,16,18,20)+IF(ArtifactsInput!$M$10,CHOOSE(ArtifactsInput!$N$10+1,15,18,21,24,27,30)*(IF(Inputs!$B$38="pvp",MIN(15,15)/15,IF(AND(Inputs!$B$38&lt;&gt;"pvp",Inputs!$B$43&gt;0),MIN(15,Inputs!$B$43)/(Inputs!$B$43),0))),0)))&gt;=100),MIN(100,((Inputs!$B$9+((C320=TRUE)*(F320-Calc!F19))+B332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339)&lt;=0,1,MAX(0,IF(Inputs!$B$38="pvp",15,Inputs!$B$43)-MAX(5,B339))/(IF(Inputs!$B$38="pvp",15,Inputs!$B$43)-(B339))))*IF(AND(ArtifactsInput!$M$42,((Inputs!$B$9+((C320=TRUE)*(F320-Calc!F19))+B332+(ArtifactsInput!$M$24-ArtifactsInput!$M$24)*CHOOSE(ArtifactsInput!$N$24+1,10,12,14,16,18,20)+IF(ArtifactsInput!$M$10,CHOOSE(ArtifactsInput!$N$10+1,15,18,21,24,27,30)*(IF(Inputs!$B$38="pvp",MIN(15,15)/15,IF(AND(Inputs!$B$38&lt;&gt;"pvp",Inputs!$B$43&gt;0),MIN(15,Inputs!$B$43)/(Inputs!$B$43),0))),0)))&gt;=100),CHOOSE(ArtifactsInput!$N$42+1,40,48,56,64,72,80),0))))/100)*((1+(((C318=TRUE)*F318*5/7)+((C325=TRUE)*(F325-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314)</f>
        <v/>
      </c>
      <c r="L314">
        <f>K314*(MIN(Inputs!$B$22+((C323=TRUE)*(F323-Calc!F22)),(Inputs!$B$23+0+(IF(ArtifactsInput!$M$15,CHOOSE(ArtifactsInput!$N$15+1,25,30,35,40,45,50)/100*(Inputs!$B$11-Inputs!$B$11),0))))/100+(Inputs!$B$23+0+(IF(ArtifactsInput!$M$15,CHOOSE(ArtifactsInput!$N$15+1,25,30,35,40,45,50)/100*(Inputs!$B$11-Inputs!$B$11),0)))/100)/2</f>
        <v/>
      </c>
      <c r="M314">
        <f>L314*(1+(Inputs!$B$10+((C326=TRUE)*(F326-Calc!F25))+B337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4">
        <f>L314*(1-MIN((Inputs!$B$9+((C320=TRUE)*(F320-Calc!F19))+B332+(ArtifactsInput!$M$24-ArtifactsInput!$M$24)*CHOOSE(ArtifactsInput!$N$24+1,10,12,14,16,18,20)+(IF(AND(Inputs!$B$38&lt;&gt;"pvp",Inputs!$B$43=0),1,IF(IF(Inputs!$B$38="pvp",15,Inputs!$B$43)-(B339)&lt;=0,1,MAX(0,IF(Inputs!$B$38="pvp",15,Inputs!$B$43)-MAX(5,B339))/(IF(Inputs!$B$38="pvp",15,Inputs!$B$43)-(B339))))*IF(AND(ArtifactsInput!$M$42,((Inputs!$B$9+((C320=TRUE)*(F320-Calc!F19))+B332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314*(MIN((Inputs!$B$9+((C320=TRUE)*(F320-Calc!F19))+B332+(ArtifactsInput!$M$24-ArtifactsInput!$M$24)*CHOOSE(ArtifactsInput!$N$24+1,10,12,14,16,18,20)+(IF(AND(Inputs!$B$38&lt;&gt;"pvp",Inputs!$B$43=0),1,IF(IF(Inputs!$B$38="pvp",15,Inputs!$B$43)-(B339)&lt;=0,1,MAX(0,IF(Inputs!$B$38="pvp",15,Inputs!$B$43)-MAX(5,B339))/(IF(Inputs!$B$38="pvp",15,Inputs!$B$43)-(B339))))*IF(AND(ArtifactsInput!$M$42,((Inputs!$B$9+((C320=TRUE)*(F320-Calc!F19))+B332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4">
        <f>(1-Summary!$B$11)*T314+Summary!$B$11*V314</f>
        <v/>
      </c>
      <c r="P314">
        <f>IF(B342=0,0,O314/B342)</f>
        <v/>
      </c>
      <c r="Q314">
        <f>IFERROR(1/(IF(Inputs!$B$38="pvp",15,MAX(0.1,Skills!D13-IF(TRUE=TRUE,Inputs!$B$32,0)))*(1-IF(AND(ArtifactsInput!$M$27,Inputs!$B$4="Chapter Hunt"),CHOOSE(ArtifactsInput!$N$27+1,20,24,28,32,36,40),0)/100)),0)</f>
        <v/>
      </c>
      <c r="R314">
        <f>IF(AND(Inputs!$B$38&lt;&gt;"pvp",Inputs!$B$43&gt;0),IF(MAX(0,Inputs!$B$43-B339)&lt;=0,0,(INT(MAX(0,Inputs!$B$43-B339)/(IF(Inputs!$B$38="pvp",15,MAX(0.1,Skills!D13-IF(TRUE=TRUE,Inputs!$B$32,0)))*(1-IF(AND(ArtifactsInput!$M$27,Inputs!$B$4="Chapter Hunt"),CHOOSE(ArtifactsInput!$N$27+1,20,24,28,32,36,40),0)/100)))+1)),0)</f>
        <v/>
      </c>
      <c r="S314">
        <f>IFERROR(O314/N314,0)</f>
        <v/>
      </c>
      <c r="T314">
        <f>IF(C314,(H314*N314*IF(AND(Inputs!$B$38&lt;&gt;"pvp",Inputs!$B$43&gt;0),((Skills!G13*((R314-1)*IF(Skills!H13&gt;0,INT(Skills!I13/Skills!H13+0.000000001),1)+IF(Skills!H13&gt;0,INT(MIN(Skills!I13,MAX(0,MAX(0,Inputs!$B$43-B339)-((R314-1)*(IF(Inputs!$B$38="pvp",15,MAX(0.1,Skills!D13-IF(TRUE=TRUE,Inputs!$B$32,0)))*(1-IF(AND(ArtifactsInput!$M$27,Inputs!$B$4="Chapter Hunt"),CHOOSE(ArtifactsInput!$N$27+1,20,24,28,32,36,40),0)/100)))))/Skills!H13+0.000000001),1)))/Inputs!$B$43),G314*Q314))*IF(Inputs!$B$38="pvp",1,1+((Inputs!$B$20+1)+0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Hunt"),CHOOSE(ArtifactsInput!$N$35+1,15,18,21,24,27,30)*(1-EXP(-(0.2*B334)*5)),0)+IF(AND(ArtifactsInput!$M$22,Inputs!$B$4&lt;&gt;"Chapter Hunt"),CHOOSE(ArtifactsInput!$N$22+1,10,12,14,16,18,20)*((0*(((0.15*B334*5))^0/1)+1*(((0.15*B334*5))^1/1)+2*(((0.15*B334*5))^2/2)+3*(((0.15*B334*5))^3/6)+4*(((0.15*B334*5))^4/24)+5*(((0.15*B334*5))^5/120))/((((0.15*B334*5))^0/1)+(((0.15*B334*5))^1/1)+(((0.15*B334*5))^2/2)+(((0.15*B334*5))^3/6)+(((0.15*B334*5))^4/24)+(((0.15*B334*5))^5/120))),0))+IF(Inputs!$B$3&gt;=54,9*(C304=TRUE)*MIN(1,8*(1+Inputs!$B$34/100)*Q304)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314*(1-MIN(100,(Inputs!$B$9+((C320=TRUE)*(F320-Calc!F19))+B332+(ArtifactsInput!$M$24-ArtifactsInput!$M$24)*CHOOSE(ArtifactsInput!$N$24+1,10,12,14,16,18,20)+(IF(AND(Inputs!$B$38&lt;&gt;"pvp",Inputs!$B$43=0),1,IF(IF(Inputs!$B$38="pvp",15,Inputs!$B$43)-(B339)&lt;=0,1,MAX(0,IF(Inputs!$B$38="pvp",15,Inputs!$B$43)-MAX(5,B339))/(IF(Inputs!$B$38="pvp",15,Inputs!$B$43)-(B339))))*IF(AND(ArtifactsInput!$M$42,((Inputs!$B$9+((C320=TRUE)*(F320-Calc!F19))+B332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314*(MIN(100,(Inputs!$B$9+((C320=TRUE)*(F320-Calc!F19))+B332+(ArtifactsInput!$M$24-ArtifactsInput!$M$24)*CHOOSE(ArtifactsInput!$N$24+1,10,12,14,16,18,20)+(IF(AND(Inputs!$B$38&lt;&gt;"pvp",Inputs!$B$43=0),1,IF(IF(Inputs!$B$38="pvp",15,Inputs!$B$43)-(B339)&lt;=0,1,MAX(0,IF(Inputs!$B$38="pvp",15,Inputs!$B$43)-MAX(5,B339))/(IF(Inputs!$B$38="pvp",15,Inputs!$B$43)-(B339))))*IF(AND(ArtifactsInput!$M$42,((Inputs!$B$9+((C320=TRUE)*(F320-Calc!F19))+B332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314*(1-MIN(100,(Inputs!$B$9+((C320=TRUE)*(F320-Calc!F19))+B332+(ArtifactsInput!$M$24-ArtifactsInput!$M$24)*CHOOSE(ArtifactsInput!$N$24+1,10,12,14,16,18,20)+(IF(AND(Inputs!$B$38&lt;&gt;"pvp",Inputs!$B$43=0),1,IF(IF(Inputs!$B$38="pvp",15,Inputs!$B$43)-(B339)&lt;=0,1,MAX(0,IF(Inputs!$B$38="pvp",15,Inputs!$B$43)-MAX(5,B339))/(IF(Inputs!$B$38="pvp",15,Inputs!$B$43)-(B339))))*IF(AND(ArtifactsInput!$M$42,((Inputs!$B$9+((C320=TRUE)*(F320-Calc!F19))+B332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314*(MIN(100,(Inputs!$B$9+((C320=TRUE)*(F320-Calc!F19))+B332+(ArtifactsInput!$M$24-ArtifactsInput!$M$24)*CHOOSE(ArtifactsInput!$N$24+1,10,12,14,16,18,20)+(IF(AND(Inputs!$B$38&lt;&gt;"pvp",Inputs!$B$43=0),1,IF(IF(Inputs!$B$38="pvp",15,Inputs!$B$43)-(B339)&lt;=0,1,MAX(0,IF(Inputs!$B$38="pvp",15,Inputs!$B$43)-MAX(5,B339))/(IF(Inputs!$B$38="pvp",15,Inputs!$B$43)-(B339))))*IF(AND(ArtifactsInput!$M$42,((Inputs!$B$9+((C320=TRUE)*(F320-Calc!F19))+B332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14">
        <f>IF(C314,(H314*N314*IF(AND(Inputs!$B$38&lt;&gt;"pvp",Inputs!$B$43&gt;0),((Skills!G13*((R314-1)*IF(Skills!H13&gt;0,INT(Skills!I13/Skills!H13+0.000000001),1)+IF(Skills!H13&gt;0,INT(MIN(Skills!I13,MAX(0,MAX(0,Inputs!$B$43-B339)-((R314-1)*(IF(Inputs!$B$38="pvp",15,MAX(0.1,Skills!D13-IF(TRUE=TRUE,Inputs!$B$32,0)))*(1-IF(AND(ArtifactsInput!$M$27,Inputs!$B$4="Chapter Hunt"),CHOOSE(ArtifactsInput!$N$27+1,20,24,28,32,36,40),0)/100)))))/Skills!H13+0.000000001),1)))/Inputs!$B$43),G314*Q314))*IF(Inputs!$B$38="pvp",1,(1+(Inputs!$B$21+Skills!Q13+(IF(ArtifactsInput!$M$33,CHOOSE(ArtifactsInput!$N$33+1,30,36,42,48,54,60),0))+(IF(AND(ArtifactsInput!$M$35,Inputs!$B$4&lt;&gt;"Chapter Hunt"),CHOOSE(ArtifactsInput!$N$35+1,15,18,21,24,27,30)*(1-EXP(-(0.2*B334)*5)),0)+IF(AND(ArtifactsInput!$M$22,Inputs!$B$4&lt;&gt;"Chapter Hunt"),CHOOSE(ArtifactsInput!$N$22+1,10,12,14,16,18,20)*((0*(((0.15*B334*5))^0/1)+1*(((0.15*B334*5))^1/1)+2*(((0.15*B334*5))^2/2)+3*(((0.15*B334*5))^3/6)+4*(((0.15*B334*5))^4/24)+5*(((0.15*B334*5))^5/120))/((((0.15*B334*5))^0/1)+(((0.15*B334*5))^1/1)+(((0.15*B334*5))^2/2)+(((0.15*B334*5))^3/6)+(((0.15*B334*5))^4/24)+(((0.15*B334*5))^5/120))),0))+IF(Inputs!$B$3&gt;=54,9*(C304=TRUE)*MIN(1,8*(1+Inputs!$B$34/100)*Q304),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5">
      <c r="A315">
        <f>Skills!A14</f>
        <v/>
      </c>
      <c r="B315">
        <f>Skills!B14</f>
        <v/>
      </c>
      <c r="C315">
        <f>Inputs!$B$3&gt;=120</f>
        <v/>
      </c>
      <c r="D315">
        <f>IF(Skills!C14=1,60+Inputs!$B$25+Inputs!$B$29,IF(Skills!C14=2,90+Inputs!$B$26+Inputs!$B$29,IF(Skills!C14=3,120+Inputs!$B$27+Inputs!$B$29,MAX(0,(Inputs!$B$3-100)*3)+Inputs!$B$28+Inputs!$B$29)))</f>
        <v/>
      </c>
      <c r="E315">
        <f>INDEX(FactorTable!$B$2:$Y$301, MATCH(ROUND(MIN(300,MAX(1,D315)),0), FactorTable!$A$2:$A$301,0), Skills!M14+1)</f>
        <v/>
      </c>
      <c r="F315">
        <f>IF(Skills!N14=TRUE,(Skills!L14/10)*(E315/1000),Skills!L14/10)+Skills!O14</f>
        <v/>
      </c>
      <c r="G315">
        <f>Skills!G14*IF(Skills!H14&gt;0,INT(IF(Inputs!$B$38="pvp",MIN(Skills!I14,15),Skills!I14)/Skills!H14+0.000000001),1)</f>
        <v/>
      </c>
      <c r="H315">
        <f>1-(1-Skills!J14/100)^Skills!K14</f>
        <v/>
      </c>
      <c r="I315" t="inlineStr">
        <is>
          <t>1</t>
        </is>
      </c>
      <c r="J315">
        <f>((Inputs!$B$6*(1+Inputs!$B$7/100))+(((Inputs!$B$12*(1+Inputs!$B$13/100))-(Inputs!$B$12*(1+Inputs!$B$13/100)))+0.25*(Inputs!$B$14-Inputs!$B$14))*(1+Inputs!$B$7/100))*(F315/100)</f>
        <v/>
      </c>
      <c r="K315">
        <f>J315*(1+((Inputs!$B$12*(1+Inputs!$B$13/100))*0.01+Inputs!$B$14*0.0025)/100)*(1+Inputs!$B$15/100)*(1+Inputs!$B$16/100)*(5000/(6000+Inputs!$B$42*(1-(100*(1-(1-(Inputs!$B$19+0)/100)*(1-CHOOSE(ArtifactsInput!$N$40+1,5,6,7,8,9,10)/100)^(ArtifactsInput!$M$40-ArtifactsInput!$M$40)))/100)))*(1+(Inputs!$B$24+((C327=TRUE)*(F327-Calc!F26))+B338)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EIGHT_LEGS_EASTON",Inputs!$B$17+((C324=TRUE)*(F324-Calc!F23))+((C328=TRUE)*(F328-Calc!F27))+((IF(AND(Inputs!$B$38&lt;&gt;"pvp",Inputs!$B$43=0),1,IF(IF(Inputs!$B$38="pvp",15,Inputs!$B$43)-(B339)&lt;=0,1,MAX(0,IF(Inputs!$B$38="pvp",15,Inputs!$B$43)-MAX(5,B339))/(IF(Inputs!$B$38="pvp",15,Inputs!$B$43)-(B339))))*(IF(AND(ArtifactsInput!$M$42,((Inputs!$B$9+((C320=TRUE)*(F320-Calc!F19))+B332+(ArtifactsInput!$M$24-ArtifactsInput!$M$24)*CHOOSE(ArtifactsInput!$N$24+1,10,12,14,16,18,20)+IF(ArtifactsInput!$M$10,CHOOSE(ArtifactsInput!$N$10+1,15,18,21,24,27,30)*(IF(Inputs!$B$38="pvp",MIN(15,15)/15,IF(AND(Inputs!$B$38&lt;&gt;"pvp",Inputs!$B$43&gt;0),MIN(15,Inputs!$B$43)/(Inputs!$B$43),0))),0)))&gt;=100),MIN(100,((Inputs!$B$9+((C320=TRUE)*(F320-Calc!F19))+B332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339)&lt;=0,1,MAX(0,IF(Inputs!$B$38="pvp",15,Inputs!$B$43)-MAX(5,B339))/(IF(Inputs!$B$38="pvp",15,Inputs!$B$43)-(B339))))*IF(AND(ArtifactsInput!$M$42,((Inputs!$B$9+((C320=TRUE)*(F320-Calc!F19))+B332+(ArtifactsInput!$M$24-ArtifactsInput!$M$24)*CHOOSE(ArtifactsInput!$N$24+1,10,12,14,16,18,20)+IF(ArtifactsInput!$M$10,CHOOSE(ArtifactsInput!$N$10+1,15,18,21,24,27,30)*(IF(Inputs!$B$38="pvp",MIN(15,15)/15,IF(AND(Inputs!$B$38&lt;&gt;"pvp",Inputs!$B$43&gt;0),MIN(15,Inputs!$B$43)/(Inputs!$B$43),0))),0)))&gt;=100),CHOOSE(ArtifactsInput!$N$42+1,40,48,56,64,72,80),0))))/100)*((1+(((C318=TRUE)*F318*5/7)+((C325=TRUE)*(F325-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315)</f>
        <v/>
      </c>
      <c r="L315">
        <f>K315*(MIN(Inputs!$B$22+((C323=TRUE)*(F323-Calc!F22)),(Inputs!$B$23+0+(IF(ArtifactsInput!$M$15,CHOOSE(ArtifactsInput!$N$15+1,25,30,35,40,45,50)/100*(Inputs!$B$11-Inputs!$B$11),0))))/100+(Inputs!$B$23+0+(IF(ArtifactsInput!$M$15,CHOOSE(ArtifactsInput!$N$15+1,25,30,35,40,45,50)/100*(Inputs!$B$11-Inputs!$B$11),0)))/100)/2</f>
        <v/>
      </c>
      <c r="M315">
        <f>L315*(1+(Inputs!$B$10+((C326=TRUE)*(F326-Calc!F25))+B337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5">
        <f>L315*(1-MIN((Inputs!$B$9+((C320=TRUE)*(F320-Calc!F19))+B332+(ArtifactsInput!$M$24-ArtifactsInput!$M$24)*CHOOSE(ArtifactsInput!$N$24+1,10,12,14,16,18,20)+(IF(AND(Inputs!$B$38&lt;&gt;"pvp",Inputs!$B$43=0),1,IF(IF(Inputs!$B$38="pvp",15,Inputs!$B$43)-(B339)&lt;=0,1,MAX(0,IF(Inputs!$B$38="pvp",15,Inputs!$B$43)-MAX(5,B339))/(IF(Inputs!$B$38="pvp",15,Inputs!$B$43)-(B339))))*IF(AND(ArtifactsInput!$M$42,((Inputs!$B$9+((C320=TRUE)*(F320-Calc!F19))+B332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315*(MIN((Inputs!$B$9+((C320=TRUE)*(F320-Calc!F19))+B332+(ArtifactsInput!$M$24-ArtifactsInput!$M$24)*CHOOSE(ArtifactsInput!$N$24+1,10,12,14,16,18,20)+(IF(AND(Inputs!$B$38&lt;&gt;"pvp",Inputs!$B$43=0),1,IF(IF(Inputs!$B$38="pvp",15,Inputs!$B$43)-(B339)&lt;=0,1,MAX(0,IF(Inputs!$B$38="pvp",15,Inputs!$B$43)-MAX(5,B339))/(IF(Inputs!$B$38="pvp",15,Inputs!$B$43)-(B339))))*IF(AND(ArtifactsInput!$M$42,((Inputs!$B$9+((C320=TRUE)*(F320-Calc!F19))+B332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5">
        <f>(1-Summary!$B$11)*T315+Summary!$B$11*V315</f>
        <v/>
      </c>
      <c r="P315">
        <f>IF(B342=0,0,O315/B342)</f>
        <v/>
      </c>
      <c r="Q315" t="n">
        <v>0</v>
      </c>
      <c r="R315" t="n">
        <v>0</v>
      </c>
      <c r="S315">
        <f>IFERROR(O315/N315,0)</f>
        <v/>
      </c>
      <c r="T315">
        <f>IF(C315,((H315*(B336+IF(AND(Inputs!$B$38&lt;&gt;"pvp",Inputs!$B$43&gt;0),((Skills!G8*((R309-1)*IF(Skills!H8&gt;0,INT(Skills!I8/Skills!H8+0.000000001),1)+IF(Skills!H8&gt;0,INT(MIN(Skills!I8,MAX(0,MAX(0,Inputs!$B$43-B339)-((R309-1)*((IF(Inputs!$B$38="pvp",15,MAX(0.1,Skills!D8-IF(TRUE=TRUE,Inputs!$B$32,0)))*(1-IF(AND(ArtifactsInput!$M$27,Inputs!$B$4="Chapter Hunt"),CHOOSE(ArtifactsInput!$N$27+1,20,24,28,32,36,40),0)/100))/B343))))/Skills!H8+0.000000001),1)))/Inputs!$B$43),G309*Q309)+IF(AND(Inputs!$B$38&lt;&gt;"pvp",Inputs!$B$43&gt;0),((Skills!G11*((R312-1)*IF(Skills!H11&gt;0,INT(Skills!I11/Skills!H11+0.000000001),1)+IF(Skills!H11&gt;0,INT(MIN(Skills!I11,MAX(0,MAX(0,Inputs!$B$43-B339)-((R312-1)*((IF(Inputs!$B$38="pvp",15,MAX(0.1,Skills!D11-IF(TRUE=TRUE,Inputs!$B$32,0)))*(1-IF(AND(ArtifactsInput!$M$27,Inputs!$B$4="Chapter Hunt"),CHOOSE(ArtifactsInput!$N$27+1,20,24,28,32,36,40),0)/100))/B343))))/Skills!H11+0.000000001),1)))/Inputs!$B$43),G312*Q312)))/(1+Skills!H14*H315*(B336+IF(AND(Inputs!$B$38&lt;&gt;"pvp",Inputs!$B$43&gt;0),((Skills!G8*((R309-1)*IF(Skills!H8&gt;0,INT(Skills!I8/Skills!H8+0.000000001),1)+IF(Skills!H8&gt;0,INT(MIN(Skills!I8,MAX(0,MAX(0,Inputs!$B$43-B339)-((R309-1)*((IF(Inputs!$B$38="pvp",15,MAX(0.1,Skills!D8-IF(TRUE=TRUE,Inputs!$B$32,0)))*(1-IF(AND(ArtifactsInput!$M$27,Inputs!$B$4="Chapter Hunt"),CHOOSE(ArtifactsInput!$N$27+1,20,24,28,32,36,40),0)/100))/B343))))/Skills!H8+0.000000001),1)))/Inputs!$B$43),G309*Q309)+IF(AND(Inputs!$B$38&lt;&gt;"pvp",Inputs!$B$43&gt;0),((Skills!G11*((R312-1)*IF(Skills!H11&gt;0,INT(Skills!I11/Skills!H11+0.000000001),1)+IF(Skills!H11&gt;0,INT(MIN(Skills!I11,MAX(0,MAX(0,Inputs!$B$43-B339)-((R312-1)*((IF(Inputs!$B$38="pvp",15,MAX(0.1,Skills!D11-IF(TRUE=TRUE,Inputs!$B$32,0)))*(1-IF(AND(ArtifactsInput!$M$27,Inputs!$B$4="Chapter Hunt"),CHOOSE(ArtifactsInput!$N$27+1,20,24,28,32,36,40),0)/100))/B343))))/Skills!H11+0.000000001),1)))/Inputs!$B$43),G312*Q312)))*N315)*IF(Inputs!$B$38="pvp",1,1+((Inputs!$B$20+1)+0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Hunt"),CHOOSE(ArtifactsInput!$N$35+1,15,18,21,24,27,30)*(1-EXP(-(0.2*B334)*5)),0)+IF(AND(ArtifactsInput!$M$22,Inputs!$B$4&lt;&gt;"Chapter Hunt"),CHOOSE(ArtifactsInput!$N$22+1,10,12,14,16,18,20)*((0*(((0.15*B334*5))^0/1)+1*(((0.15*B334*5))^1/1)+2*(((0.15*B334*5))^2/2)+3*(((0.15*B334*5))^3/6)+4*(((0.15*B334*5))^4/24)+5*(((0.15*B334*5))^5/120))/((((0.15*B334*5))^0/1)+(((0.15*B334*5))^1/1)+(((0.15*B334*5))^2/2)+(((0.15*B334*5))^3/6)+(((0.15*B334*5))^4/24)+(((0.15*B334*5))^5/120))),0))+IF(Inputs!$B$3&gt;=54,9*(C304=TRUE)*MIN(1,8*(1+Inputs!$B$34/100)*Q304)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315*(1-MIN(100,(Inputs!$B$9+((C320=TRUE)*(F320-Calc!F19))+B332+(ArtifactsInput!$M$24-ArtifactsInput!$M$24)*CHOOSE(ArtifactsInput!$N$24+1,10,12,14,16,18,20)+(IF(AND(Inputs!$B$38&lt;&gt;"pvp",Inputs!$B$43=0),1,IF(IF(Inputs!$B$38="pvp",15,Inputs!$B$43)-(B339)&lt;=0,1,MAX(0,IF(Inputs!$B$38="pvp",15,Inputs!$B$43)-MAX(5,B339))/(IF(Inputs!$B$38="pvp",15,Inputs!$B$43)-(B339))))*IF(AND(ArtifactsInput!$M$42,((Inputs!$B$9+((C320=TRUE)*(F320-Calc!F19))+B332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315*(MIN(100,(Inputs!$B$9+((C320=TRUE)*(F320-Calc!F19))+B332+(ArtifactsInput!$M$24-ArtifactsInput!$M$24)*CHOOSE(ArtifactsInput!$N$24+1,10,12,14,16,18,20)+(IF(AND(Inputs!$B$38&lt;&gt;"pvp",Inputs!$B$43=0),1,IF(IF(Inputs!$B$38="pvp",15,Inputs!$B$43)-(B339)&lt;=0,1,MAX(0,IF(Inputs!$B$38="pvp",15,Inputs!$B$43)-MAX(5,B339))/(IF(Inputs!$B$38="pvp",15,Inputs!$B$43)-(B339))))*IF(AND(ArtifactsInput!$M$42,((Inputs!$B$9+((C320=TRUE)*(F320-Calc!F19))+B332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315*(1-MIN(100,(Inputs!$B$9+((C320=TRUE)*(F320-Calc!F19))+B332+(ArtifactsInput!$M$24-ArtifactsInput!$M$24)*CHOOSE(ArtifactsInput!$N$24+1,10,12,14,16,18,20)+(IF(AND(Inputs!$B$38&lt;&gt;"pvp",Inputs!$B$43=0),1,IF(IF(Inputs!$B$38="pvp",15,Inputs!$B$43)-(B339)&lt;=0,1,MAX(0,IF(Inputs!$B$38="pvp",15,Inputs!$B$43)-MAX(5,B339))/(IF(Inputs!$B$38="pvp",15,Inputs!$B$43)-(B339))))*IF(AND(ArtifactsInput!$M$42,((Inputs!$B$9+((C320=TRUE)*(F320-Calc!F19))+B332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315*(MIN(100,(Inputs!$B$9+((C320=TRUE)*(F320-Calc!F19))+B332+(ArtifactsInput!$M$24-ArtifactsInput!$M$24)*CHOOSE(ArtifactsInput!$N$24+1,10,12,14,16,18,20)+(IF(AND(Inputs!$B$38&lt;&gt;"pvp",Inputs!$B$43=0),1,IF(IF(Inputs!$B$38="pvp",15,Inputs!$B$43)-(B339)&lt;=0,1,MAX(0,IF(Inputs!$B$38="pvp",15,Inputs!$B$43)-MAX(5,B339))/(IF(Inputs!$B$38="pvp",15,Inputs!$B$43)-(B339))))*IF(AND(ArtifactsInput!$M$42,((Inputs!$B$9+((C320=TRUE)*(F320-Calc!F19))+B332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15">
        <f>IF(C315,((H315*(B336+IF(AND(Inputs!$B$38&lt;&gt;"pvp",Inputs!$B$43&gt;0),((Skills!G8*((R309-1)*IF(Skills!H8&gt;0,INT(Skills!I8/Skills!H8+0.000000001),1)+IF(Skills!H8&gt;0,INT(MIN(Skills!I8,MAX(0,MAX(0,Inputs!$B$43-B339)-((R309-1)*((IF(Inputs!$B$38="pvp",15,MAX(0.1,Skills!D8-IF(TRUE=TRUE,Inputs!$B$32,0)))*(1-IF(AND(ArtifactsInput!$M$27,Inputs!$B$4="Chapter Hunt"),CHOOSE(ArtifactsInput!$N$27+1,20,24,28,32,36,40),0)/100))/B343))))/Skills!H8+0.000000001),1)))/Inputs!$B$43),G309*Q309)+IF(AND(Inputs!$B$38&lt;&gt;"pvp",Inputs!$B$43&gt;0),((Skills!G11*((R312-1)*IF(Skills!H11&gt;0,INT(Skills!I11/Skills!H11+0.000000001),1)+IF(Skills!H11&gt;0,INT(MIN(Skills!I11,MAX(0,MAX(0,Inputs!$B$43-B339)-((R312-1)*((IF(Inputs!$B$38="pvp",15,MAX(0.1,Skills!D11-IF(TRUE=TRUE,Inputs!$B$32,0)))*(1-IF(AND(ArtifactsInput!$M$27,Inputs!$B$4="Chapter Hunt"),CHOOSE(ArtifactsInput!$N$27+1,20,24,28,32,36,40),0)/100))/B343))))/Skills!H11+0.000000001),1)))/Inputs!$B$43),G312*Q312)))/(1+Skills!H14*H315*(B336+IF(AND(Inputs!$B$38&lt;&gt;"pvp",Inputs!$B$43&gt;0),((Skills!G8*((R309-1)*IF(Skills!H8&gt;0,INT(Skills!I8/Skills!H8+0.000000001),1)+IF(Skills!H8&gt;0,INT(MIN(Skills!I8,MAX(0,MAX(0,Inputs!$B$43-B339)-((R309-1)*((IF(Inputs!$B$38="pvp",15,MAX(0.1,Skills!D8-IF(TRUE=TRUE,Inputs!$B$32,0)))*(1-IF(AND(ArtifactsInput!$M$27,Inputs!$B$4="Chapter Hunt"),CHOOSE(ArtifactsInput!$N$27+1,20,24,28,32,36,40),0)/100))/B343))))/Skills!H8+0.000000001),1)))/Inputs!$B$43),G309*Q309)+IF(AND(Inputs!$B$38&lt;&gt;"pvp",Inputs!$B$43&gt;0),((Skills!G11*((R312-1)*IF(Skills!H11&gt;0,INT(Skills!I11/Skills!H11+0.000000001),1)+IF(Skills!H11&gt;0,INT(MIN(Skills!I11,MAX(0,MAX(0,Inputs!$B$43-B339)-((R312-1)*((IF(Inputs!$B$38="pvp",15,MAX(0.1,Skills!D11-IF(TRUE=TRUE,Inputs!$B$32,0)))*(1-IF(AND(ArtifactsInput!$M$27,Inputs!$B$4="Chapter Hunt"),CHOOSE(ArtifactsInput!$N$27+1,20,24,28,32,36,40),0)/100))/B343))))/Skills!H11+0.000000001),1)))/Inputs!$B$43),G312*Q312)))*N315)*IF(Inputs!$B$38="pvp",1,(1+(Inputs!$B$21+Skills!Q14+(IF(ArtifactsInput!$M$33,CHOOSE(ArtifactsInput!$N$33+1,30,36,42,48,54,60),0))+(IF(AND(ArtifactsInput!$M$35,Inputs!$B$4&lt;&gt;"Chapter Hunt"),CHOOSE(ArtifactsInput!$N$35+1,15,18,21,24,27,30)*(1-EXP(-(0.2*B334)*5)),0)+IF(AND(ArtifactsInput!$M$22,Inputs!$B$4&lt;&gt;"Chapter Hunt"),CHOOSE(ArtifactsInput!$N$22+1,10,12,14,16,18,20)*((0*(((0.15*B334*5))^0/1)+1*(((0.15*B334*5))^1/1)+2*(((0.15*B334*5))^2/2)+3*(((0.15*B334*5))^3/6)+4*(((0.15*B334*5))^4/24)+5*(((0.15*B334*5))^5/120))/((((0.15*B334*5))^0/1)+(((0.15*B334*5))^1/1)+(((0.15*B334*5))^2/2)+(((0.15*B334*5))^3/6)+(((0.15*B334*5))^4/24)+(((0.15*B334*5))^5/120))),0))+IF(Inputs!$B$3&gt;=54,9*(C304=TRUE)*MIN(1,8*(1+Inputs!$B$34/100)*Q304),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6">
      <c r="A316">
        <f>Skills!A15</f>
        <v/>
      </c>
      <c r="B316">
        <f>Skills!B15</f>
        <v/>
      </c>
      <c r="C316">
        <f>Inputs!$B$3&gt;=100</f>
        <v/>
      </c>
      <c r="D316">
        <f>IF(Skills!C15=1,60+Inputs!$B$25+Inputs!$B$29,IF(Skills!C15=2,90+Inputs!$B$26+Inputs!$B$29,IF(Skills!C15=3,120+Inputs!$B$27+Inputs!$B$29,MAX(0,(Inputs!$B$3-100)*3)+Inputs!$B$28+Inputs!$B$29)))</f>
        <v/>
      </c>
      <c r="E316">
        <f>INDEX(FactorTable!$B$2:$Y$301, MATCH(ROUND(MIN(300,MAX(1,D316)),0), FactorTable!$A$2:$A$301,0), Skills!M15+1)</f>
        <v/>
      </c>
      <c r="F316">
        <f>IF(Skills!N15=TRUE,(Skills!L15/10)*(E316/1000),Skills!L15/10)+Skills!O15</f>
        <v/>
      </c>
      <c r="G316" t="inlineStr"/>
      <c r="H316" t="inlineStr"/>
      <c r="I316" t="inlineStr">
        <is>
          <t>1</t>
        </is>
      </c>
      <c r="J316" t="inlineStr"/>
      <c r="K316" t="inlineStr"/>
      <c r="L316" t="inlineStr"/>
      <c r="M316" t="inlineStr"/>
      <c r="N316" t="inlineStr"/>
      <c r="O316" t="inlineStr"/>
      <c r="P316" t="inlineStr"/>
      <c r="Q316" t="inlineStr"/>
      <c r="R316" t="inlineStr"/>
      <c r="S316" t="inlineStr"/>
    </row>
    <row r="317">
      <c r="A317">
        <f>Skills!A16</f>
        <v/>
      </c>
      <c r="B317">
        <f>Skills!B16</f>
        <v/>
      </c>
      <c r="C317">
        <f>Inputs!$B$3&gt;=107</f>
        <v/>
      </c>
      <c r="D317">
        <f>IF(Skills!C16=1,60+Inputs!$B$25+Inputs!$B$29,IF(Skills!C16=2,90+Inputs!$B$26+Inputs!$B$29,IF(Skills!C16=3,120+Inputs!$B$27+Inputs!$B$29,MAX(0,(Inputs!$B$3-100)*3)+Inputs!$B$28+Inputs!$B$29)))</f>
        <v/>
      </c>
      <c r="E317">
        <f>INDEX(FactorTable!$B$2:$Y$301, MATCH(ROUND(MIN(300,MAX(1,D317)),0), FactorTable!$A$2:$A$301,0), Skills!M16+1)</f>
        <v/>
      </c>
      <c r="F317">
        <f>IF(Skills!N16=TRUE,(Skills!L16/10)*(E317/1000),Skills!L16/10)+Skills!O16</f>
        <v/>
      </c>
      <c r="G317" t="inlineStr"/>
      <c r="H317" t="inlineStr"/>
      <c r="I317" t="inlineStr">
        <is>
          <t>1</t>
        </is>
      </c>
      <c r="J317" t="inlineStr"/>
      <c r="K317" t="inlineStr"/>
      <c r="L317" t="inlineStr"/>
      <c r="M317" t="inlineStr"/>
      <c r="N317" t="inlineStr"/>
      <c r="O317" t="inlineStr"/>
      <c r="P317" t="inlineStr"/>
      <c r="Q317" t="inlineStr"/>
      <c r="R317" t="inlineStr"/>
      <c r="S317" t="inlineStr"/>
    </row>
    <row r="318">
      <c r="A318">
        <f>Skills!A17</f>
        <v/>
      </c>
      <c r="B318">
        <f>Skills!B17</f>
        <v/>
      </c>
      <c r="C318">
        <f>Inputs!$B$3&gt;=74</f>
        <v/>
      </c>
      <c r="D318">
        <f>IF(Skills!C17=1,60+Inputs!$B$25+Inputs!$B$29,IF(Skills!C17=2,90+Inputs!$B$26+Inputs!$B$29,IF(Skills!C17=3,120+Inputs!$B$27+Inputs!$B$29,MAX(0,(Inputs!$B$3-100)*3)+Inputs!$B$28+Inputs!$B$29)))</f>
        <v/>
      </c>
      <c r="E318">
        <f>INDEX(FactorTable!$B$2:$Y$301, MATCH(ROUND(MIN(300,MAX(1,D318)),0), FactorTable!$A$2:$A$301,0), Skills!M17+1)</f>
        <v/>
      </c>
      <c r="F318">
        <f>IF(Skills!N17=TRUE,(Skills!L17/10)*(E318/1000),Skills!L17/10)+Skills!O17</f>
        <v/>
      </c>
      <c r="G318">
        <f>Skills!G17*IF(Skills!H17&gt;0,INT(IF(Inputs!$B$38="pvp",MIN(Skills!I17,15),Skills!I17)/Skills!H17+0.000000001),1)</f>
        <v/>
      </c>
      <c r="H318">
        <f>1-(1-Skills!J17/100)^Skills!K17</f>
        <v/>
      </c>
      <c r="I318" t="inlineStr">
        <is>
          <t>1</t>
        </is>
      </c>
      <c r="J318" t="inlineStr"/>
      <c r="K318" t="inlineStr"/>
      <c r="L318" t="inlineStr"/>
      <c r="M318" t="inlineStr"/>
      <c r="N318" t="inlineStr"/>
      <c r="O318">
        <f>(1-Summary!$B$11)*T318+Summary!$B$11*V318</f>
        <v/>
      </c>
      <c r="P318">
        <f>IF(B342=0,0,O318/B342)</f>
        <v/>
      </c>
      <c r="Q318" t="n">
        <v>0</v>
      </c>
      <c r="R318" t="n">
        <v>0</v>
      </c>
      <c r="S318">
        <f>IFERROR(O318/N318,0)</f>
        <v/>
      </c>
      <c r="T318" t="n">
        <v>0</v>
      </c>
      <c r="V318" t="n">
        <v>0</v>
      </c>
    </row>
    <row r="319">
      <c r="A319">
        <f>Skills!A18</f>
        <v/>
      </c>
      <c r="B319">
        <f>Skills!B18</f>
        <v/>
      </c>
      <c r="C319">
        <f>Inputs!$B$3&gt;=115</f>
        <v/>
      </c>
      <c r="D319">
        <f>IF(Skills!C18=1,60+Inputs!$B$25+Inputs!$B$29,IF(Skills!C18=2,90+Inputs!$B$26+Inputs!$B$29,IF(Skills!C18=3,120+Inputs!$B$27+Inputs!$B$29,MAX(0,(Inputs!$B$3-100)*3)+Inputs!$B$28+Inputs!$B$29)))</f>
        <v/>
      </c>
      <c r="E319">
        <f>INDEX(FactorTable!$B$2:$Y$301, MATCH(ROUND(MIN(300,MAX(1,D319)),0), FactorTable!$A$2:$A$301,0), Skills!M18+1)</f>
        <v/>
      </c>
      <c r="F319">
        <f>IF(Skills!N18=TRUE,(Skills!L18/10)*(E319/1000),Skills!L18/10)+Skills!O18</f>
        <v/>
      </c>
      <c r="G319">
        <f>Skills!G18*IF(Skills!H18&gt;0,INT(IF(Inputs!$B$38="pvp",MIN(Skills!I18,15),Skills!I18)/Skills!H18+0.000000001),1)</f>
        <v/>
      </c>
      <c r="H319">
        <f>1-(1-Skills!J18/100)^Skills!K18</f>
        <v/>
      </c>
      <c r="I319" t="inlineStr">
        <is>
          <t>1</t>
        </is>
      </c>
      <c r="J319" t="inlineStr"/>
      <c r="K319" t="inlineStr"/>
      <c r="L319" t="inlineStr"/>
      <c r="M319" t="inlineStr"/>
      <c r="N319" t="inlineStr"/>
      <c r="O319">
        <f>(1-Summary!$B$11)*T319+Summary!$B$11*V319</f>
        <v/>
      </c>
      <c r="P319">
        <f>IF(B342=0,0,O319/B342)</f>
        <v/>
      </c>
      <c r="Q319">
        <f>IFERROR(1/(IF(Inputs!$B$38="pvp",15,MAX(0.1,Skills!D18-IF(TRUE=TRUE,Inputs!$B$32,0)))*(1-IF(AND(ArtifactsInput!$M$27,Inputs!$B$4="Chapter Hunt"),CHOOSE(ArtifactsInput!$N$27+1,20,24,28,32,36,40),0)/100)),0)</f>
        <v/>
      </c>
      <c r="R319">
        <f>IF(AND(Inputs!$B$38&lt;&gt;"pvp",Inputs!$B$43&gt;0),IF(Inputs!$B$43&lt;=0,0,(INT(Inputs!$B$43/(IF(Inputs!$B$38="pvp",15,MAX(0.1,Skills!D18-IF(TRUE=TRUE,Inputs!$B$32,0)))*(1-IF(AND(ArtifactsInput!$M$27,Inputs!$B$4="Chapter Hunt"),CHOOSE(ArtifactsInput!$N$27+1,20,24,28,32,36,40),0)/100)))+1)),0)</f>
        <v/>
      </c>
      <c r="S319">
        <f>IFERROR(O319/N319,0)</f>
        <v/>
      </c>
      <c r="T319" t="n">
        <v>0</v>
      </c>
      <c r="V319" t="n">
        <v>0</v>
      </c>
    </row>
    <row r="320">
      <c r="A320">
        <f>Skills!A19</f>
        <v/>
      </c>
      <c r="B320">
        <f>Skills!B19</f>
        <v/>
      </c>
      <c r="C320">
        <f>Inputs!$B$3&gt;=10</f>
        <v/>
      </c>
      <c r="D320">
        <f>IF(Skills!C19=1,60+Inputs!$B$25+Inputs!$B$29,IF(Skills!C19=2,90+Inputs!$B$26+Inputs!$B$29,IF(Skills!C19=3,120+Inputs!$B$27+Inputs!$B$29,MAX(0,(Inputs!$B$3-100)*3)+Inputs!$B$28+Inputs!$B$29)))</f>
        <v/>
      </c>
      <c r="E320">
        <f>INDEX(FactorTable!$B$2:$Y$301, MATCH(ROUND(MIN(300,MAX(1,D320)),0), FactorTable!$A$2:$A$301,0), Skills!M19+1)</f>
        <v/>
      </c>
      <c r="F320">
        <f>IF(Skills!N19=TRUE,(Skills!L19/10)*(E320/1000),Skills!L19/10)+Skills!O19</f>
        <v/>
      </c>
      <c r="G320">
        <f>Skills!G19*IF(Skills!H19&gt;0,INT(IF(Inputs!$B$38="pvp",MIN(Skills!I19,15),Skills!I19)/Skills!H19+0.000000001),1)</f>
        <v/>
      </c>
      <c r="H320">
        <f>1-(1-Skills!J19/100)^Skills!K19</f>
        <v/>
      </c>
      <c r="I320" t="inlineStr">
        <is>
          <t>1</t>
        </is>
      </c>
      <c r="J320" t="inlineStr"/>
      <c r="K320" t="inlineStr"/>
      <c r="L320" t="inlineStr"/>
      <c r="M320" t="inlineStr"/>
      <c r="N320" t="inlineStr"/>
      <c r="O320">
        <f>(1-Summary!$B$11)*T320+Summary!$B$11*V320</f>
        <v/>
      </c>
      <c r="P320">
        <f>IF(B342=0,0,O320/B342)</f>
        <v/>
      </c>
      <c r="Q320" t="n">
        <v>0</v>
      </c>
      <c r="R320" t="n">
        <v>0</v>
      </c>
      <c r="S320">
        <f>IFERROR(O320/N320,0)</f>
        <v/>
      </c>
      <c r="T320" t="n">
        <v>0</v>
      </c>
      <c r="V320" t="n">
        <v>0</v>
      </c>
    </row>
    <row r="321">
      <c r="A321">
        <f>Skills!A20</f>
        <v/>
      </c>
      <c r="B321">
        <f>Skills!B20</f>
        <v/>
      </c>
      <c r="C321">
        <f>Inputs!$B$3&gt;=15</f>
        <v/>
      </c>
      <c r="D321">
        <f>IF(Skills!C20=1,60+Inputs!$B$25+Inputs!$B$29,IF(Skills!C20=2,90+Inputs!$B$26+Inputs!$B$29,IF(Skills!C20=3,120+Inputs!$B$27+Inputs!$B$29,MAX(0,(Inputs!$B$3-100)*3)+Inputs!$B$28+Inputs!$B$29)))</f>
        <v/>
      </c>
      <c r="E321">
        <f>INDEX(FactorTable!$B$2:$Y$301, MATCH(ROUND(MIN(300,MAX(1,D321)),0), FactorTable!$A$2:$A$301,0), Skills!M20+1)</f>
        <v/>
      </c>
      <c r="F321">
        <f>IF(Skills!N20=TRUE,(Skills!L20/10)*(E321/1000),Skills!L20/10)+Skills!O20</f>
        <v/>
      </c>
      <c r="G321">
        <f>Skills!G20*IF(Skills!H20&gt;0,INT(IF(Inputs!$B$38="pvp",MIN(Skills!I20,15),Skills!I20)/Skills!H20+0.000000001),1)</f>
        <v/>
      </c>
      <c r="H321">
        <f>1-(1-Skills!J20/100)^Skills!K20</f>
        <v/>
      </c>
      <c r="I321" t="inlineStr">
        <is>
          <t>1</t>
        </is>
      </c>
      <c r="J321" t="inlineStr"/>
      <c r="K321" t="inlineStr"/>
      <c r="L321" t="inlineStr"/>
      <c r="M321" t="inlineStr"/>
      <c r="N321" t="inlineStr"/>
      <c r="O321">
        <f>(1-Summary!$B$11)*T321+Summary!$B$11*V321</f>
        <v/>
      </c>
      <c r="P321">
        <f>IF(B342=0,0,O321/B342)</f>
        <v/>
      </c>
      <c r="Q321" t="n">
        <v>0</v>
      </c>
      <c r="R321" t="n">
        <v>0</v>
      </c>
      <c r="S321">
        <f>IFERROR(O321/N321,0)</f>
        <v/>
      </c>
      <c r="T321" t="n">
        <v>0</v>
      </c>
      <c r="V321" t="n">
        <v>0</v>
      </c>
    </row>
    <row r="322">
      <c r="A322">
        <f>Skills!A21</f>
        <v/>
      </c>
      <c r="B322">
        <f>Skills!B21</f>
        <v/>
      </c>
      <c r="C322">
        <f>Inputs!$B$3&gt;=40</f>
        <v/>
      </c>
      <c r="D322">
        <f>IF(Skills!C21=1,60+Inputs!$B$25+Inputs!$B$29,IF(Skills!C21=2,90+Inputs!$B$26+Inputs!$B$29,IF(Skills!C21=3,120+Inputs!$B$27+Inputs!$B$29,MAX(0,(Inputs!$B$3-100)*3)+Inputs!$B$28+Inputs!$B$29)))</f>
        <v/>
      </c>
      <c r="E322">
        <f>INDEX(FactorTable!$B$2:$Y$301, MATCH(ROUND(MIN(300,MAX(1,D322)),0), FactorTable!$A$2:$A$301,0), Skills!M21+1)</f>
        <v/>
      </c>
      <c r="F322">
        <f>IF(Skills!N21=TRUE,(Skills!L21/10)*(E322/1000),Skills!L21/10)+Skills!O21</f>
        <v/>
      </c>
      <c r="G322">
        <f>Skills!G21*IF(Skills!H21&gt;0,INT(IF(Inputs!$B$38="pvp",MIN(Skills!I21,15),Skills!I21)/Skills!H21+0.000000001),1)</f>
        <v/>
      </c>
      <c r="H322">
        <f>1-(1-Skills!J21/100)^Skills!K21</f>
        <v/>
      </c>
      <c r="I322" t="inlineStr">
        <is>
          <t>1</t>
        </is>
      </c>
      <c r="J322" t="inlineStr"/>
      <c r="K322" t="inlineStr"/>
      <c r="L322" t="inlineStr"/>
      <c r="M322" t="inlineStr"/>
      <c r="N322" t="inlineStr"/>
      <c r="O322">
        <f>(1-Summary!$B$11)*T322+Summary!$B$11*V322</f>
        <v/>
      </c>
      <c r="P322">
        <f>IF(B342=0,0,O322/B342)</f>
        <v/>
      </c>
      <c r="Q322" t="n">
        <v>0</v>
      </c>
      <c r="R322" t="n">
        <v>0</v>
      </c>
      <c r="S322">
        <f>IFERROR(O322/N322,0)</f>
        <v/>
      </c>
      <c r="T322" t="n">
        <v>0</v>
      </c>
      <c r="V322" t="n">
        <v>0</v>
      </c>
    </row>
    <row r="323">
      <c r="A323">
        <f>Skills!A22</f>
        <v/>
      </c>
      <c r="B323">
        <f>Skills!B22</f>
        <v/>
      </c>
      <c r="C323">
        <f>Inputs!$B$3&gt;=43</f>
        <v/>
      </c>
      <c r="D323">
        <f>IF(Skills!C22=1,60+Inputs!$B$25+Inputs!$B$29,IF(Skills!C22=2,90+Inputs!$B$26+Inputs!$B$29,IF(Skills!C22=3,120+Inputs!$B$27+Inputs!$B$29,MAX(0,(Inputs!$B$3-100)*3)+Inputs!$B$28+Inputs!$B$29)))</f>
        <v/>
      </c>
      <c r="E323">
        <f>INDEX(FactorTable!$B$2:$Y$301, MATCH(ROUND(MIN(300,MAX(1,D323)),0), FactorTable!$A$2:$A$301,0), Skills!M22+1)</f>
        <v/>
      </c>
      <c r="F323">
        <f>IF(Skills!N22=TRUE,(Skills!L22/10)*(E323/1000),Skills!L22/10)+Skills!O22</f>
        <v/>
      </c>
      <c r="G323">
        <f>Skills!G22*IF(Skills!H22&gt;0,INT(IF(Inputs!$B$38="pvp",MIN(Skills!I22,15),Skills!I22)/Skills!H22+0.000000001),1)</f>
        <v/>
      </c>
      <c r="H323">
        <f>1-(1-Skills!J22/100)^Skills!K22</f>
        <v/>
      </c>
      <c r="I323" t="inlineStr">
        <is>
          <t>1</t>
        </is>
      </c>
      <c r="J323" t="inlineStr"/>
      <c r="K323" t="inlineStr"/>
      <c r="L323" t="inlineStr"/>
      <c r="M323" t="inlineStr"/>
      <c r="N323" t="inlineStr"/>
      <c r="O323">
        <f>(1-Summary!$B$11)*T323+Summary!$B$11*V323</f>
        <v/>
      </c>
      <c r="P323">
        <f>IF(B342=0,0,O323/B342)</f>
        <v/>
      </c>
      <c r="Q323" t="n">
        <v>0</v>
      </c>
      <c r="R323" t="n">
        <v>0</v>
      </c>
      <c r="S323">
        <f>IFERROR(O323/N323,0)</f>
        <v/>
      </c>
      <c r="T323" t="n">
        <v>0</v>
      </c>
      <c r="V323" t="n">
        <v>0</v>
      </c>
    </row>
    <row r="324">
      <c r="A324">
        <f>Skills!A23</f>
        <v/>
      </c>
      <c r="B324">
        <f>Skills!B23</f>
        <v/>
      </c>
      <c r="C324">
        <f>Inputs!$B$3&gt;=38</f>
        <v/>
      </c>
      <c r="D324">
        <f>IF(Skills!C23=1,60+Inputs!$B$25+Inputs!$B$29,IF(Skills!C23=2,90+Inputs!$B$26+Inputs!$B$29,IF(Skills!C23=3,120+Inputs!$B$27+Inputs!$B$29,MAX(0,(Inputs!$B$3-100)*3)+Inputs!$B$28+Inputs!$B$29)))</f>
        <v/>
      </c>
      <c r="E324">
        <f>INDEX(FactorTable!$B$2:$Y$301, MATCH(ROUND(MIN(300,MAX(1,D324)),0), FactorTable!$A$2:$A$301,0), Skills!M23+1)</f>
        <v/>
      </c>
      <c r="F324">
        <f>IF(Skills!N23=TRUE,(Skills!L23/10)*(E324/1000),Skills!L23/10)+Skills!O23</f>
        <v/>
      </c>
      <c r="G324">
        <f>Skills!G23*IF(Skills!H23&gt;0,INT(IF(Inputs!$B$38="pvp",MIN(Skills!I23,15),Skills!I23)/Skills!H23+0.000000001),1)</f>
        <v/>
      </c>
      <c r="H324">
        <f>1-(1-Skills!J23/100)^Skills!K23</f>
        <v/>
      </c>
      <c r="I324" t="inlineStr">
        <is>
          <t>1</t>
        </is>
      </c>
      <c r="J324" t="inlineStr"/>
      <c r="K324" t="inlineStr"/>
      <c r="L324" t="inlineStr"/>
      <c r="M324" t="inlineStr"/>
      <c r="N324" t="inlineStr"/>
      <c r="O324">
        <f>(1-Summary!$B$11)*T324+Summary!$B$11*V324</f>
        <v/>
      </c>
      <c r="P324">
        <f>IF(B342=0,0,O324/B342)</f>
        <v/>
      </c>
      <c r="Q324" t="n">
        <v>0</v>
      </c>
      <c r="R324" t="n">
        <v>0</v>
      </c>
      <c r="S324">
        <f>IFERROR(O324/N324,0)</f>
        <v/>
      </c>
      <c r="T324" t="n">
        <v>0</v>
      </c>
      <c r="V324" t="n">
        <v>0</v>
      </c>
    </row>
    <row r="325">
      <c r="A325">
        <f>Skills!A24</f>
        <v/>
      </c>
      <c r="B325">
        <f>Skills!B24</f>
        <v/>
      </c>
      <c r="C325">
        <f>Inputs!$B$3&gt;=45</f>
        <v/>
      </c>
      <c r="D325">
        <f>IF(Skills!C24=1,60+Inputs!$B$25+Inputs!$B$29,IF(Skills!C24=2,90+Inputs!$B$26+Inputs!$B$29,IF(Skills!C24=3,120+Inputs!$B$27+Inputs!$B$29,MAX(0,(Inputs!$B$3-100)*3)+Inputs!$B$28+Inputs!$B$29)))</f>
        <v/>
      </c>
      <c r="E325">
        <f>INDEX(FactorTable!$B$2:$Y$301, MATCH(ROUND(MIN(300,MAX(1,D325)),0), FactorTable!$A$2:$A$301,0), Skills!M24+1)</f>
        <v/>
      </c>
      <c r="F325">
        <f>IF(Skills!N24=TRUE,(Skills!L24/10)*(E325/1000),Skills!L24/10)+Skills!O24</f>
        <v/>
      </c>
      <c r="G325">
        <f>Skills!G24*IF(Skills!H24&gt;0,INT(IF(Inputs!$B$38="pvp",MIN(Skills!I24,15),Skills!I24)/Skills!H24+0.000000001),1)</f>
        <v/>
      </c>
      <c r="H325">
        <f>1-(1-Skills!J24/100)^Skills!K24</f>
        <v/>
      </c>
      <c r="I325" t="inlineStr">
        <is>
          <t>1</t>
        </is>
      </c>
      <c r="J325" t="inlineStr"/>
      <c r="K325" t="inlineStr"/>
      <c r="L325" t="inlineStr"/>
      <c r="M325" t="inlineStr"/>
      <c r="N325" t="inlineStr"/>
      <c r="O325">
        <f>(1-Summary!$B$11)*T325+Summary!$B$11*V325</f>
        <v/>
      </c>
      <c r="P325">
        <f>IF(B342=0,0,O325/B342)</f>
        <v/>
      </c>
      <c r="Q325" t="n">
        <v>0</v>
      </c>
      <c r="R325" t="n">
        <v>0</v>
      </c>
      <c r="S325">
        <f>IFERROR(O325/N325,0)</f>
        <v/>
      </c>
      <c r="T325" t="n">
        <v>0</v>
      </c>
      <c r="V325" t="n">
        <v>0</v>
      </c>
    </row>
    <row r="326">
      <c r="A326">
        <f>Skills!A25</f>
        <v/>
      </c>
      <c r="B326">
        <f>Skills!B25</f>
        <v/>
      </c>
      <c r="C326">
        <f>Inputs!$B$3&gt;=72</f>
        <v/>
      </c>
      <c r="D326">
        <f>IF(Skills!C25=1,60+Inputs!$B$25+Inputs!$B$29,IF(Skills!C25=2,90+Inputs!$B$26+Inputs!$B$29,IF(Skills!C25=3,120+Inputs!$B$27+Inputs!$B$29,MAX(0,(Inputs!$B$3-100)*3)+Inputs!$B$28+Inputs!$B$29)))</f>
        <v/>
      </c>
      <c r="E326">
        <f>INDEX(FactorTable!$B$2:$Y$301, MATCH(ROUND(MIN(300,MAX(1,D326)),0), FactorTable!$A$2:$A$301,0), Skills!M25+1)</f>
        <v/>
      </c>
      <c r="F326">
        <f>IF(Skills!N25=TRUE,(Skills!L25/10)*(E326/1000),Skills!L25/10)+Skills!O25</f>
        <v/>
      </c>
      <c r="G326">
        <f>Skills!G25*IF(Skills!H25&gt;0,INT(IF(Inputs!$B$38="pvp",MIN(Skills!I25,15),Skills!I25)/Skills!H25+0.000000001),1)</f>
        <v/>
      </c>
      <c r="H326">
        <f>1-(1-Skills!J25/100)^Skills!K25</f>
        <v/>
      </c>
      <c r="I326" t="inlineStr">
        <is>
          <t>1</t>
        </is>
      </c>
      <c r="J326" t="inlineStr"/>
      <c r="K326" t="inlineStr"/>
      <c r="L326" t="inlineStr"/>
      <c r="M326" t="inlineStr"/>
      <c r="N326" t="inlineStr"/>
      <c r="O326">
        <f>(1-Summary!$B$11)*T326+Summary!$B$11*V326</f>
        <v/>
      </c>
      <c r="P326">
        <f>IF(B342=0,0,O326/B342)</f>
        <v/>
      </c>
      <c r="Q326" t="n">
        <v>0</v>
      </c>
      <c r="R326" t="n">
        <v>0</v>
      </c>
      <c r="S326">
        <f>IFERROR(O326/N326,0)</f>
        <v/>
      </c>
      <c r="T326" t="n">
        <v>0</v>
      </c>
      <c r="V326" t="n">
        <v>0</v>
      </c>
    </row>
    <row r="327">
      <c r="A327">
        <f>Skills!A26</f>
        <v/>
      </c>
      <c r="B327">
        <f>Skills!B26</f>
        <v/>
      </c>
      <c r="C327">
        <f>Inputs!$B$3&gt;=75</f>
        <v/>
      </c>
      <c r="D327">
        <f>IF(Skills!C26=1,60+Inputs!$B$25+Inputs!$B$29,IF(Skills!C26=2,90+Inputs!$B$26+Inputs!$B$29,IF(Skills!C26=3,120+Inputs!$B$27+Inputs!$B$29,MAX(0,(Inputs!$B$3-100)*3)+Inputs!$B$28+Inputs!$B$29)))</f>
        <v/>
      </c>
      <c r="E327">
        <f>INDEX(FactorTable!$B$2:$Y$301, MATCH(ROUND(MIN(300,MAX(1,D327)),0), FactorTable!$A$2:$A$301,0), Skills!M26+1)</f>
        <v/>
      </c>
      <c r="F327">
        <f>IF(Skills!N26=TRUE,(Skills!L26/10)*(E327/1000),Skills!L26/10)+Skills!O26</f>
        <v/>
      </c>
      <c r="G327">
        <f>Skills!G26*IF(Skills!H26&gt;0,INT(IF(Inputs!$B$38="pvp",MIN(Skills!I26,15),Skills!I26)/Skills!H26+0.000000001),1)</f>
        <v/>
      </c>
      <c r="H327">
        <f>1-(1-Skills!J26/100)^Skills!K26</f>
        <v/>
      </c>
      <c r="I327" t="inlineStr">
        <is>
          <t>1</t>
        </is>
      </c>
      <c r="J327" t="inlineStr"/>
      <c r="K327" t="inlineStr"/>
      <c r="L327" t="inlineStr"/>
      <c r="M327" t="inlineStr"/>
      <c r="N327" t="inlineStr"/>
      <c r="O327">
        <f>(1-Summary!$B$11)*T327+Summary!$B$11*V327</f>
        <v/>
      </c>
      <c r="P327">
        <f>IF(B342=0,0,O327/B342)</f>
        <v/>
      </c>
      <c r="Q327" t="n">
        <v>0</v>
      </c>
      <c r="R327" t="n">
        <v>0</v>
      </c>
      <c r="S327">
        <f>IFERROR(O327/N327,0)</f>
        <v/>
      </c>
      <c r="T327" t="n">
        <v>0</v>
      </c>
      <c r="V327" t="n">
        <v>0</v>
      </c>
    </row>
    <row r="328">
      <c r="A328">
        <f>Skills!A27</f>
        <v/>
      </c>
      <c r="B328">
        <f>Skills!B27</f>
        <v/>
      </c>
      <c r="C328">
        <f>Inputs!$B$3&gt;=125</f>
        <v/>
      </c>
      <c r="D328">
        <f>IF(Skills!C27=1,60+Inputs!$B$25+Inputs!$B$29,IF(Skills!C27=2,90+Inputs!$B$26+Inputs!$B$29,IF(Skills!C27=3,120+Inputs!$B$27+Inputs!$B$29,MAX(0,(Inputs!$B$3-100)*3)+Inputs!$B$28+Inputs!$B$29)))</f>
        <v/>
      </c>
      <c r="E328">
        <f>INDEX(FactorTable!$B$2:$Y$301, MATCH(ROUND(MIN(300,MAX(1,D328)),0), FactorTable!$A$2:$A$301,0), Skills!M27+1)</f>
        <v/>
      </c>
      <c r="F328">
        <f>IF(Skills!N27=TRUE,(Skills!L27/10)*(E328/1000),Skills!L27/10)+Skills!O27</f>
        <v/>
      </c>
      <c r="G328">
        <f>Skills!G27*IF(Skills!H27&gt;0,INT(IF(Inputs!$B$38="pvp",MIN(Skills!I27,15),Skills!I27)/Skills!H27+0.000000001),1)</f>
        <v/>
      </c>
      <c r="H328">
        <f>1-(1-Skills!J27/100)^Skills!K27</f>
        <v/>
      </c>
      <c r="I328" t="inlineStr">
        <is>
          <t>1</t>
        </is>
      </c>
      <c r="J328" t="inlineStr"/>
      <c r="K328" t="inlineStr"/>
      <c r="L328" t="inlineStr"/>
      <c r="M328" t="inlineStr"/>
      <c r="N328" t="inlineStr"/>
      <c r="O328">
        <f>(1-Summary!$B$11)*T328+Summary!$B$11*V328</f>
        <v/>
      </c>
      <c r="P328">
        <f>IF(B342=0,0,O328/B342)</f>
        <v/>
      </c>
      <c r="Q328" t="n">
        <v>0</v>
      </c>
      <c r="R328" t="n">
        <v>0</v>
      </c>
      <c r="S328">
        <f>IFERROR(O328/N328,0)</f>
        <v/>
      </c>
      <c r="T328" t="n">
        <v>0</v>
      </c>
      <c r="V328" t="n">
        <v>0</v>
      </c>
    </row>
    <row r="329">
      <c r="A329">
        <f>Skills!A28</f>
        <v/>
      </c>
      <c r="B329">
        <f>Skills!B28</f>
        <v/>
      </c>
      <c r="C329">
        <f>TRUE</f>
        <v/>
      </c>
      <c r="D329">
        <f>IF(Skills!C28=1,60+Inputs!$B$25+Inputs!$B$29,IF(Skills!C28=2,90+Inputs!$B$26+Inputs!$B$29,IF(Skills!C28=3,120+Inputs!$B$27+Inputs!$B$29,MAX(0,(Inputs!$B$3-100)*3)+Inputs!$B$28+Inputs!$B$29)))</f>
        <v/>
      </c>
      <c r="E329">
        <f>INDEX(FactorTable!$B$2:$Y$301, MATCH(ROUND(MIN(300,MAX(1,D329)),0), FactorTable!$A$2:$A$301,0), Skills!M28+1)</f>
        <v/>
      </c>
      <c r="F329">
        <f>IF(Skills!N28=TRUE,(Skills!L28/10)*(E329/1000),Skills!L28/10)+Skills!O28</f>
        <v/>
      </c>
      <c r="G329">
        <f>Skills!G28*IF(Skills!H28&gt;0,INT(IF(Inputs!$B$38="pvp",MIN(Skills!I28,15),Skills!I28)/Skills!H28+0.000000001),1)</f>
        <v/>
      </c>
      <c r="H329">
        <f>1-(1-Skills!J28/100)^Skills!K28</f>
        <v/>
      </c>
      <c r="I329" t="inlineStr">
        <is>
          <t>1</t>
        </is>
      </c>
      <c r="J329" t="inlineStr"/>
      <c r="K329" t="inlineStr"/>
      <c r="L329" t="inlineStr"/>
      <c r="M329" t="inlineStr"/>
      <c r="N329" t="inlineStr"/>
      <c r="O329">
        <f>(1-Summary!$B$11)*T329+Summary!$B$11*V329</f>
        <v/>
      </c>
      <c r="P329">
        <f>IF(B342=0,0,O329/B342)</f>
        <v/>
      </c>
      <c r="Q329">
        <f>IFERROR(1/(IF(Inputs!$B$38="pvp",15,MAX(0.1,Skills!D28-IF(TRUE=TRUE,Inputs!$B$32,0)))*(1-IF(AND(ArtifactsInput!$M$27,Inputs!$B$4="Chapter Hunt"),CHOOSE(ArtifactsInput!$N$27+1,20,24,28,32,36,40),0)/100)),0)</f>
        <v/>
      </c>
      <c r="R329">
        <f>IF(AND(Inputs!$B$38&lt;&gt;"pvp",Inputs!$B$43&gt;0),IF(Inputs!$B$43&lt;=0,0,(INT(Inputs!$B$43/(IF(Inputs!$B$38="pvp",15,MAX(0.1,Skills!D28-IF(TRUE=TRUE,Inputs!$B$32,0)))*(1-IF(AND(ArtifactsInput!$M$27,Inputs!$B$4="Chapter Hunt"),CHOOSE(ArtifactsInput!$N$27+1,20,24,28,32,36,40),0)/100)))+1)),0)</f>
        <v/>
      </c>
      <c r="S329">
        <f>IFERROR(O329/N329,0)</f>
        <v/>
      </c>
      <c r="T329" t="n">
        <v>0</v>
      </c>
      <c r="V329" t="n">
        <v>0</v>
      </c>
    </row>
    <row r="331">
      <c r="A331" t="inlineStr">
        <is>
          <t>Attack% Bucket Multiplier</t>
        </is>
      </c>
      <c r="B331">
        <f>(1+(((C318=TRUE)*F318*5/7)+((C325=TRUE)*(F325-Calc!F24))+(IF(ArtifactsInput!$M$21,CHOOSE(ArtifactsInput!$N$21+1,25,30,35,40,45,50)*(IF(OR(Inputs!$B$4="Chapter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332">
      <c r="A332" t="inlineStr">
        <is>
          <t>Global Crit Rate Bonus %</t>
        </is>
      </c>
      <c r="B332" t="n">
        <v>0</v>
      </c>
    </row>
    <row r="333">
      <c r="A333" t="inlineStr">
        <is>
          <t>Attack Speed Buff Bonus % (Nimble Feet, duty-cycle averaged)</t>
        </is>
      </c>
      <c r="B333">
        <f>((C329=TRUE)*F329*IF(AND(Inputs!$B$38&lt;&gt;"pvp",Inputs!$B$43&gt;0),(((R329-1)*MIN((Skills!T28*(1+Inputs!$B$34/100)),(1/Q329))+MIN((Skills!T28*(1+Inputs!$B$34/100)),MAX(0,Inputs!$B$43-((R329-1)*(1/Q329)))))/Inputs!$B$43),IF(Inputs!$B$38="pvp",MIN((Skills!T28*(1+Inputs!$B$34/100)),15)/15,MIN(1,(Skills!T28*(1+Inputs!$B$34/100))/(1/Q329)))))</f>
        <v/>
      </c>
    </row>
    <row r="334">
      <c r="A334" t="inlineStr">
        <is>
          <t>Actions Per Second</t>
        </is>
      </c>
      <c r="B334">
        <f>1+MIN(150,150*(1-(1-(Inputs!$B$11+((C321=TRUE)*(F321-Calc!F20))+((C322=TRUE)*(F322-Calc!F21)))/150)*(1-B333/150)))/100</f>
        <v/>
      </c>
    </row>
    <row r="335">
      <c r="A335" t="inlineStr">
        <is>
          <t>Skill + Buff Cast Rate</t>
        </is>
      </c>
      <c r="B335">
        <f>IF(AND(Inputs!$B$38&lt;&gt;"pvp",Inputs!$B$43&gt;0),SUMPRODUCT((Skills!E2:E28=TRUE)*(C303:C329=TRUE)*R303:R329*Skills!F2:F28)/Inputs!$B$43,SUMPRODUCT((Skills!E2:E28=TRUE)*(C303:C329=TRUE)*Q303:Q329*Skills!F2:F28))</f>
        <v/>
      </c>
    </row>
    <row r="336">
      <c r="A336" t="inlineStr">
        <is>
          <t>Eight-Legs Easton Casts Per Second</t>
        </is>
      </c>
      <c r="B336">
        <f>MAX(0,B334-B335)</f>
        <v/>
      </c>
    </row>
    <row r="337">
      <c r="A337" t="inlineStr">
        <is>
          <t>Global Critical Damage Bonus % (unused)</t>
        </is>
      </c>
      <c r="B337" t="n">
        <v>0</v>
      </c>
    </row>
    <row r="338">
      <c r="A338" t="inlineStr">
        <is>
          <t>Global Final Damage Bonus % (Jolly Roger + Ahoy Mateys - Final Damage proc)</t>
        </is>
      </c>
      <c r="B338">
        <f>((C319=TRUE)*F319*IF(AND(Inputs!$B$38&lt;&gt;"pvp",Inputs!$B$43&gt;0),(((R319-1)*MIN((Skills!T18*(1+Inputs!$B$34/100)),(1/Q319))+MIN((Skills!T18*(1+Inputs!$B$34/100)),MAX(0,Inputs!$B$43-((R319-1)*(1/Q319)))))/Inputs!$B$43),IF(Inputs!$B$38="pvp",MIN((Skills!T18*(1+Inputs!$B$34/100)),15)/15,MIN(1,(Skills!T18*(1+Inputs!$B$34/100))/(1/Q319)))))+IF(Inputs!$B$3&gt;=122,20*IF(Inputs!$B$38="pvp",MIN((20*(1+Inputs!$B$34/100)),15)/15,MIN(1,(20*(1+Inputs!$B$34/100))/(1/Q305))),0)</f>
        <v/>
      </c>
    </row>
    <row r="339">
      <c r="A339" t="inlineStr">
        <is>
          <t>Buff-Casting Startup Delay (s, fixed-duration only)</t>
        </is>
      </c>
      <c r="B339">
        <f>IF(AND(Inputs!$B$38&lt;&gt;"pvp",Inputs!$B$43&gt;0),SUMPRODUCT((Skills!T2:T28&gt;0)*(Skills!E2:E28=TRUE)*(C303:C329=TRUE))/B334,0)</f>
        <v/>
      </c>
    </row>
    <row r="340">
      <c r="A340" t="inlineStr">
        <is>
          <t>Boss-Only Total DPS (this block's swept value)</t>
        </is>
      </c>
      <c r="B340">
        <f>SUM(T303:T329)</f>
        <v/>
      </c>
    </row>
    <row r="341">
      <c r="A341" t="inlineStr">
        <is>
          <t>Normal-Only Total DPS (this block's swept value)</t>
        </is>
      </c>
      <c r="B341">
        <f>SUM(V303:V329)</f>
        <v/>
      </c>
    </row>
    <row r="342">
      <c r="A342" s="6" t="inlineStr">
        <is>
          <t>TOTAL DPS</t>
        </is>
      </c>
      <c r="B342" s="6">
        <f>SUM(O303:O329)</f>
        <v/>
      </c>
    </row>
    <row r="343">
      <c r="A343" t="inlineStr">
        <is>
          <t>Quickdraw cooldown divisor (this block's own APS / Q)</t>
        </is>
      </c>
      <c r="B343">
        <f>IF(AND(C328=TRUE,Inputs!$B$38&lt;&gt;"pvp"),1+0.25*MAX(0,(B334-(((C304=TRUE)*Q304*1)+((C305=TRUE)*Q305*1)+((C307=TRUE)*Q307*1)+((C308=TRUE)*Q308*1)+((C310=TRUE)*Q310*1)+((C313=TRUE)*Q313*1)+((C319=TRUE)*Q319*1)+((C329=TRUE)*Q329*1))-((C309=TRUE)/(IF(Inputs!$B$38="pvp",15,MAX(0.1,Skills!D8-IF(TRUE=TRUE,Inputs!$B$32,0)))*(1-IF(AND(ArtifactsInput!$M$27,Inputs!$B$4="Chapter Hunt"),CHOOSE(ArtifactsInput!$N$27+1,20,24,28,32,36,40),0)/100))+(C312=TRUE)/(IF(Inputs!$B$38="pvp",15,MAX(0.1,Skills!D11-IF(TRUE=TRUE,Inputs!$B$32,0)))*(1-IF(AND(ArtifactsInput!$M$27,Inputs!$B$4="Chapter Hunt"),CHOOSE(ArtifactsInput!$N$27+1,20,24,28,32,36,40),0)/100))))/(1+0.25*((C309=TRUE)/(IF(Inputs!$B$38="pvp",15,MAX(0.1,Skills!D8-IF(TRUE=TRUE,Inputs!$B$32,0)))*(1-IF(AND(ArtifactsInput!$M$27,Inputs!$B$4="Chapter Hunt"),CHOOSE(ArtifactsInput!$N$27+1,20,24,28,32,36,40),0)/100))+(C312=TRUE)/(IF(Inputs!$B$38="pvp",15,MAX(0.1,Skills!D11-IF(TRUE=TRUE,Inputs!$B$32,0)))*(1-IF(AND(ArtifactsInput!$M$27,Inputs!$B$4="Chapter Hunt"),CHOOSE(ArtifactsInput!$N$27+1,20,24,28,32,36,40),0)/100))))),1)</f>
        <v/>
      </c>
    </row>
    <row r="344">
      <c r="A344" t="inlineStr">
        <is>
          <t>Nautilus Strike - Final Attack trigger rate (this block's own Q/R)</t>
        </is>
      </c>
      <c r="B344">
        <f>IF(AND(Inputs!$B$38&lt;&gt;"pvp",Inputs!$B$43&gt;0),(((C304=TRUE)*R304)+((C307=TRUE)*R307)+((C309=TRUE)*R309)+((C310=TRUE)*R310)+((C312=TRUE)*R312))/Inputs!$B$43,((C304=TRUE)*Q304)+((C307=TRUE)*Q307)+((C309=TRUE)*Q309)+((C310=TRUE)*Q310)+((C312=TRUE)*Q312))+B336</f>
        <v/>
      </c>
    </row>
    <row r="347">
      <c r="A347" s="6" t="inlineStr">
        <is>
          <t>Stat: NORMAL_DAMAGE %</t>
        </is>
      </c>
    </row>
    <row r="348">
      <c r="A348" s="5" t="inlineStr">
        <is>
          <t>Key</t>
        </is>
      </c>
      <c r="B348" s="5" t="inlineStr">
        <is>
          <t>Name</t>
        </is>
      </c>
      <c r="C348" s="5" t="inlineStr">
        <is>
          <t>Unlocked</t>
        </is>
      </c>
      <c r="D348" s="5" t="inlineStr">
        <is>
          <t>InputLevel</t>
        </is>
      </c>
      <c r="E348" s="5" t="inlineStr">
        <is>
          <t>Factor</t>
        </is>
      </c>
      <c r="F348" s="5" t="inlineStr">
        <is>
          <t>CoefficientPercent</t>
        </is>
      </c>
      <c r="G348" s="5" t="inlineStr">
        <is>
          <t>EffectiveHits</t>
        </is>
      </c>
      <c r="H348" s="5" t="inlineStr">
        <is>
          <t>ProcProbability</t>
        </is>
      </c>
      <c r="I348" s="5" t="inlineStr">
        <is>
          <t>MapleHeroMultiplier</t>
        </is>
      </c>
      <c r="J348" s="5" t="inlineStr">
        <is>
          <t>BaseDamage</t>
        </is>
      </c>
      <c r="K348" s="5" t="inlineStr">
        <is>
          <t>BaseHitDamage</t>
        </is>
      </c>
      <c r="L348" s="5" t="inlineStr">
        <is>
          <t>NonCritAvg</t>
        </is>
      </c>
      <c r="M348" s="5" t="inlineStr">
        <is>
          <t>CritAvg</t>
        </is>
      </c>
      <c r="N348" s="5" t="inlineStr">
        <is>
          <t>ExpectedDamage(perHit)</t>
        </is>
      </c>
      <c r="O348" s="5" t="inlineStr">
        <is>
          <t>DPS</t>
        </is>
      </c>
      <c r="P348" s="5" t="inlineStr">
        <is>
          <t>% of Total</t>
        </is>
      </c>
      <c r="Q348" s="5" t="inlineStr">
        <is>
          <t>InvCooldown</t>
        </is>
      </c>
      <c r="R348" s="5" t="inlineStr">
        <is>
          <t>CastsInFight</t>
        </is>
      </c>
      <c r="S348" s="5" t="inlineStr">
        <is>
          <t>HitRate(perSec)</t>
        </is>
      </c>
      <c r="U348" t="inlineStr">
        <is>
          <t>helpers</t>
        </is>
      </c>
    </row>
    <row r="349">
      <c r="A349">
        <f>Skills!A2</f>
        <v/>
      </c>
      <c r="B349">
        <f>Skills!B2</f>
        <v/>
      </c>
      <c r="C349">
        <f>Inputs!$B$3&gt;=100</f>
        <v/>
      </c>
      <c r="D349" t="inlineStr"/>
      <c r="E349" t="inlineStr"/>
      <c r="F349">
        <f>U351+Skills!O2</f>
        <v/>
      </c>
      <c r="G349">
        <f>Skills!G2*IF(Skills!H2&gt;0,INT(IF(Inputs!$B$38="pvp",MIN(Skills!I2,15),Skills!I2)/Skills!H2+0.000000001),1)</f>
        <v/>
      </c>
      <c r="H349">
        <f>1-(1-Skills!J2/100)^Skills!K2</f>
        <v/>
      </c>
      <c r="I349" t="inlineStr">
        <is>
          <t>1</t>
        </is>
      </c>
      <c r="J349">
        <f>((Inputs!$B$6*(1+Inputs!$B$7/100))+(((Inputs!$B$12*(1+Inputs!$B$13/100))-(Inputs!$B$12*(1+Inputs!$B$13/100)))+0.25*(Inputs!$B$14-Inputs!$B$14))*(1+Inputs!$B$7/100))*(F349/100)</f>
        <v/>
      </c>
      <c r="K349">
        <f>J349*(1+((Inputs!$B$12*(1+Inputs!$B$13/100))*0.01+Inputs!$B$14*0.0025)/100)*(1+Inputs!$B$15/100)*(1+Inputs!$B$16/100)*(5000/(6000+Inputs!$B$42*(1-(100*(1-(1-(Inputs!$B$19+0)/100)*(1-CHOOSE(ArtifactsInput!$N$40+1,5,6,7,8,9,10)/100)^(ArtifactsInput!$M$40-ArtifactsInput!$M$40)))/100)))*(1+(Inputs!$B$24+((C373=TRUE)*(F373-Calc!F26))+B384)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IGHT_LEGS_EASTON",Inputs!$B$17+((C370=TRUE)*(F370-Calc!F23))+((C374=TRUE)*(F374-Calc!F27))+((IF(AND(Inputs!$B$38&lt;&gt;"pvp",Inputs!$B$43=0),1,IF(IF(Inputs!$B$38="pvp",15,Inputs!$B$43)-(B385)&lt;=0,1,MAX(0,IF(Inputs!$B$38="pvp",15,Inputs!$B$43)-MAX(5,B385))/(IF(Inputs!$B$38="pvp",15,Inputs!$B$43)-(B385))))*(IF(AND(ArtifactsInput!$M$42,((Inputs!$B$9+((C366=TRUE)*(F366-Calc!F19))+B378+(ArtifactsInput!$M$24-ArtifactsInput!$M$24)*CHOOSE(ArtifactsInput!$N$24+1,10,12,14,16,18,20)+IF(ArtifactsInput!$M$10,CHOOSE(ArtifactsInput!$N$10+1,15,18,21,24,27,30)*(IF(Inputs!$B$38="pvp",MIN(15,15)/15,IF(AND(Inputs!$B$38&lt;&gt;"pvp",Inputs!$B$43&gt;0),MIN(15,Inputs!$B$43)/(Inputs!$B$43),0))),0)))&gt;=100),MIN(100,((Inputs!$B$9+((C366=TRUE)*(F366-Calc!F19))+B378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385)&lt;=0,1,MAX(0,IF(Inputs!$B$38="pvp",15,Inputs!$B$43)-MAX(5,B385))/(IF(Inputs!$B$38="pvp",15,Inputs!$B$43)-(B385))))*IF(AND(ArtifactsInput!$M$42,((Inputs!$B$9+((C366=TRUE)*(F366-Calc!F19))+B378+(ArtifactsInput!$M$24-ArtifactsInput!$M$24)*CHOOSE(ArtifactsInput!$N$24+1,10,12,14,16,18,20)+IF(ArtifactsInput!$M$10,CHOOSE(ArtifactsInput!$N$10+1,15,18,21,24,27,30)*(IF(Inputs!$B$38="pvp",MIN(15,15)/15,IF(AND(Inputs!$B$38&lt;&gt;"pvp",Inputs!$B$43&gt;0),MIN(15,Inputs!$B$43)/(Inputs!$B$43),0))),0)))&gt;=100),CHOOSE(ArtifactsInput!$N$42+1,40,48,56,64,72,80),0))))/100)*((1+(((C364=TRUE)*F364*5/7)+((C371=TRUE)*(F371-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349)</f>
        <v/>
      </c>
      <c r="L349">
        <f>K349*(MIN(Inputs!$B$22+((C369=TRUE)*(F369-Calc!F22)),(Inputs!$B$23+0+(IF(ArtifactsInput!$M$15,CHOOSE(ArtifactsInput!$N$15+1,25,30,35,40,45,50)/100*(Inputs!$B$11-Inputs!$B$11),0))))/100+(Inputs!$B$23+0+(IF(ArtifactsInput!$M$15,CHOOSE(ArtifactsInput!$N$15+1,25,30,35,40,45,50)/100*(Inputs!$B$11-Inputs!$B$11),0)))/100)/2</f>
        <v/>
      </c>
      <c r="M349">
        <f>L349*(1+(Inputs!$B$10+((C372=TRUE)*(F372-Calc!F25))+B383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49">
        <f>L349*(1-MIN((Inputs!$B$9+((C366=TRUE)*(F366-Calc!F19))+B378+(ArtifactsInput!$M$24-ArtifactsInput!$M$24)*CHOOSE(ArtifactsInput!$N$24+1,10,12,14,16,18,20)+(IF(AND(Inputs!$B$38&lt;&gt;"pvp",Inputs!$B$43=0),1,IF(IF(Inputs!$B$38="pvp",15,Inputs!$B$43)-(B385)&lt;=0,1,MAX(0,IF(Inputs!$B$38="pvp",15,Inputs!$B$43)-MAX(5,B385))/(IF(Inputs!$B$38="pvp",15,Inputs!$B$43)-(B385))))*IF(AND(ArtifactsInput!$M$42,((Inputs!$B$9+((C366=TRUE)*(F366-Calc!F19))+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349*(MIN((Inputs!$B$9+((C366=TRUE)*(F366-Calc!F19))+B378+(ArtifactsInput!$M$24-ArtifactsInput!$M$24)*CHOOSE(ArtifactsInput!$N$24+1,10,12,14,16,18,20)+(IF(AND(Inputs!$B$38&lt;&gt;"pvp",Inputs!$B$43=0),1,IF(IF(Inputs!$B$38="pvp",15,Inputs!$B$43)-(B385)&lt;=0,1,MAX(0,IF(Inputs!$B$38="pvp",15,Inputs!$B$43)-MAX(5,B385))/(IF(Inputs!$B$38="pvp",15,Inputs!$B$43)-(B385))))*IF(AND(ArtifactsInput!$M$42,((Inputs!$B$9+((C366=TRUE)*(F366-Calc!F19))+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49">
        <f>(1-Summary!$B$11)*T349+Summary!$B$11*V349</f>
        <v/>
      </c>
      <c r="P349">
        <f>IF(B388=0,0,O349/B388)</f>
        <v/>
      </c>
      <c r="Q349" t="n">
        <v>0</v>
      </c>
      <c r="R349" t="n">
        <v>0</v>
      </c>
      <c r="S349">
        <f>IFERROR(O349/N349,0)</f>
        <v/>
      </c>
      <c r="T349">
        <f>IF(C349,(Skills!G2*N349*B382*(1+IF(C374=TRUE,1/3,0)))*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Hunt"),CHOOSE(ArtifactsInput!$N$35+1,15,18,21,24,27,30)*(1-EXP(-(0.2*B380)*5)),0)+IF(AND(ArtifactsInput!$M$22,Inputs!$B$4&lt;&gt;"Chapter Hunt"),CHOOSE(ArtifactsInput!$N$22+1,10,12,14,16,18,20)*((0*(((0.15*B380*5))^0/1)+1*(((0.15*B380*5))^1/1)+2*(((0.15*B380*5))^2/2)+3*(((0.15*B380*5))^3/6)+4*(((0.15*B380*5))^4/24)+5*(((0.15*B380*5))^5/120))/((((0.15*B380*5))^0/1)+(((0.15*B380*5))^1/1)+(((0.15*B380*5))^2/2)+(((0.15*B380*5))^3/6)+(((0.15*B380*5))^4/24)+(((0.15*B380*5))^5/120))),0))+IF(Inputs!$B$3&gt;=54,9*(C350=TRUE)*MIN(1,8*(1+Inputs!$B$34/100)*Q350)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349*(1-MIN(100,(Inputs!$B$9+((C366=TRUE)*(F366-Calc!F19))+B378+(ArtifactsInput!$M$24-ArtifactsInput!$M$24)*CHOOSE(ArtifactsInput!$N$24+1,10,12,14,16,18,20)+(IF(AND(Inputs!$B$38&lt;&gt;"pvp",Inputs!$B$43=0),1,IF(IF(Inputs!$B$38="pvp",15,Inputs!$B$43)-(B385)&lt;=0,1,MAX(0,IF(Inputs!$B$38="pvp",15,Inputs!$B$43)-MAX(5,B385))/(IF(Inputs!$B$38="pvp",15,Inputs!$B$43)-(B385))))*IF(AND(ArtifactsInput!$M$42,((Inputs!$B$9+((C366=TRUE)*(F366-Calc!F19))+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349*(MIN(100,(Inputs!$B$9+((C366=TRUE)*(F366-Calc!F19))+B378+(ArtifactsInput!$M$24-ArtifactsInput!$M$24)*CHOOSE(ArtifactsInput!$N$24+1,10,12,14,16,18,20)+(IF(AND(Inputs!$B$38&lt;&gt;"pvp",Inputs!$B$43=0),1,IF(IF(Inputs!$B$38="pvp",15,Inputs!$B$43)-(B385)&lt;=0,1,MAX(0,IF(Inputs!$B$38="pvp",15,Inputs!$B$43)-MAX(5,B385))/(IF(Inputs!$B$38="pvp",15,Inputs!$B$43)-(B385))))*IF(AND(ArtifactsInput!$M$42,((Inputs!$B$9+((C366=TRUE)*(F366-Calc!F19))+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349*(1-MIN(100,(Inputs!$B$9+((C366=TRUE)*(F366-Calc!F19))+B378+(ArtifactsInput!$M$24-ArtifactsInput!$M$24)*CHOOSE(ArtifactsInput!$N$24+1,10,12,14,16,18,20)+(IF(AND(Inputs!$B$38&lt;&gt;"pvp",Inputs!$B$43=0),1,IF(IF(Inputs!$B$38="pvp",15,Inputs!$B$43)-(B385)&lt;=0,1,MAX(0,IF(Inputs!$B$38="pvp",15,Inputs!$B$43)-MAX(5,B385))/(IF(Inputs!$B$38="pvp",15,Inputs!$B$43)-(B385))))*IF(AND(ArtifactsInput!$M$42,((Inputs!$B$9+((C366=TRUE)*(F366-Calc!F19))+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349*(MIN(100,(Inputs!$B$9+((C366=TRUE)*(F366-Calc!F19))+B378+(ArtifactsInput!$M$24-ArtifactsInput!$M$24)*CHOOSE(ArtifactsInput!$N$24+1,10,12,14,16,18,20)+(IF(AND(Inputs!$B$38&lt;&gt;"pvp",Inputs!$B$43=0),1,IF(IF(Inputs!$B$38="pvp",15,Inputs!$B$43)-(B385)&lt;=0,1,MAX(0,IF(Inputs!$B$38="pvp",15,Inputs!$B$43)-MAX(5,B385))/(IF(Inputs!$B$38="pvp",15,Inputs!$B$43)-(B385))))*IF(AND(ArtifactsInput!$M$42,((Inputs!$B$9+((C366=TRUE)*(F366-Calc!F19))+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49">
        <f>MAX(0,(Inputs!$B$3-100)*3)+Inputs!$B$28+Inputs!$B$29</f>
        <v/>
      </c>
      <c r="V349">
        <f>IF(C349,(Skills!G2*N349*B382*(1+IF(C374=TRUE,1/3,0)))*IF(Inputs!$B$38="pvp",1,(1+((Inputs!$B$21+1)+Skills!Q2+(IF(ArtifactsInput!$M$33,CHOOSE(ArtifactsInput!$N$33+1,30,36,42,48,54,60),0))+(IF(AND(ArtifactsInput!$M$35,Inputs!$B$4&lt;&gt;"Chapter Hunt"),CHOOSE(ArtifactsInput!$N$35+1,15,18,21,24,27,30)*(1-EXP(-(0.2*B380)*5)),0)+IF(AND(ArtifactsInput!$M$22,Inputs!$B$4&lt;&gt;"Chapter Hunt"),CHOOSE(ArtifactsInput!$N$22+1,10,12,14,16,18,20)*((0*(((0.15*B380*5))^0/1)+1*(((0.15*B380*5))^1/1)+2*(((0.15*B380*5))^2/2)+3*(((0.15*B380*5))^3/6)+4*(((0.15*B380*5))^4/24)+5*(((0.15*B380*5))^5/120))/((((0.15*B380*5))^0/1)+(((0.15*B380*5))^1/1)+(((0.15*B380*5))^2/2)+(((0.15*B380*5))^3/6)+(((0.15*B380*5))^4/24)+(((0.15*B380*5))^5/120))),0))+IF(Inputs!$B$3&gt;=54,9*(C350=TRUE)*MIN(1,8*(1+Inputs!$B$34/100)*Q350)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50">
      <c r="A350">
        <f>Skills!A3</f>
        <v/>
      </c>
      <c r="B350">
        <f>Skills!B3</f>
        <v/>
      </c>
      <c r="C350">
        <f>Inputs!$B$3&gt;=33</f>
        <v/>
      </c>
      <c r="D350">
        <f>IF(Skills!C3=1,60+Inputs!$B$25+Inputs!$B$29,IF(Skills!C3=2,90+Inputs!$B$26+Inputs!$B$29,IF(Skills!C3=3,120+Inputs!$B$27+Inputs!$B$29,MAX(0,(Inputs!$B$3-100)*3)+Inputs!$B$28+Inputs!$B$29)))</f>
        <v/>
      </c>
      <c r="E350">
        <f>INDEX(FactorTable!$B$2:$Y$301, MATCH(ROUND(MIN(300,MAX(1,D350)),0), FactorTable!$A$2:$A$301,0), Skills!M3+1)</f>
        <v/>
      </c>
      <c r="F350">
        <f>IF(Skills!N3=TRUE,(Skills!L3/10)*(E350/1000),Skills!L3/10)+Skills!O3</f>
        <v/>
      </c>
      <c r="G350">
        <f>Skills!G3*IF(Skills!H3&gt;0,INT(IF(Inputs!$B$38="pvp",MIN(Skills!I3,15),Skills!I3)/Skills!H3+0.000000001),1)</f>
        <v/>
      </c>
      <c r="H350">
        <f>1-(1-Skills!J3/100)^Skills!K3</f>
        <v/>
      </c>
      <c r="I350" t="inlineStr">
        <is>
          <t>1</t>
        </is>
      </c>
      <c r="J350">
        <f>((Inputs!$B$6*(1+Inputs!$B$7/100))+(((Inputs!$B$12*(1+Inputs!$B$13/100))-(Inputs!$B$12*(1+Inputs!$B$13/100)))+0.25*(Inputs!$B$14-Inputs!$B$14))*(1+Inputs!$B$7/100))*(F350/100)</f>
        <v/>
      </c>
      <c r="K350">
        <f>J350*(1+((Inputs!$B$12*(1+Inputs!$B$13/100))*0.01+Inputs!$B$14*0.0025)/100)*(1+Inputs!$B$15/100)*(1+Inputs!$B$16/100)*(5000/(6000+Inputs!$B$42*(1-(100*(1-(1-(Inputs!$B$19+0)/100)*(1-CHOOSE(ArtifactsInput!$N$40+1,5,6,7,8,9,10)/100)^(ArtifactsInput!$M$40-ArtifactsInput!$M$40)))/100)))*(1+(Inputs!$B$24+((C373=TRUE)*(F373-Calc!F26))+B384)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362=TRUE,F362,0)/100)*(1+(IF(Skills!A3="EIGHT_LEGS_EASTON",Inputs!$B$17+((C370=TRUE)*(F370-Calc!F23))+((C374=TRUE)*(F374-Calc!F27))+((IF(AND(Inputs!$B$38&lt;&gt;"pvp",Inputs!$B$43=0),1,IF(IF(Inputs!$B$38="pvp",15,Inputs!$B$43)-(B385)&lt;=0,1,MAX(0,IF(Inputs!$B$38="pvp",15,Inputs!$B$43)-MAX(5,B385))/(IF(Inputs!$B$38="pvp",15,Inputs!$B$43)-(B385))))*(IF(AND(ArtifactsInput!$M$42,((Inputs!$B$9+((C366=TRUE)*(F366-Calc!F19))+B378+(ArtifactsInput!$M$24-ArtifactsInput!$M$24)*CHOOSE(ArtifactsInput!$N$24+1,10,12,14,16,18,20)+IF(ArtifactsInput!$M$10,CHOOSE(ArtifactsInput!$N$10+1,15,18,21,24,27,30)*(IF(Inputs!$B$38="pvp",MIN(15,15)/15,IF(AND(Inputs!$B$38&lt;&gt;"pvp",Inputs!$B$43&gt;0),MIN(15,Inputs!$B$43)/(Inputs!$B$43),0))),0)))&gt;=100),MIN(100,((Inputs!$B$9+((C366=TRUE)*(F366-Calc!F19))+B378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385)&lt;=0,1,MAX(0,IF(Inputs!$B$38="pvp",15,Inputs!$B$43)-MAX(5,B385))/(IF(Inputs!$B$38="pvp",15,Inputs!$B$43)-(B385))))*IF(AND(ArtifactsInput!$M$42,((Inputs!$B$9+((C366=TRUE)*(F366-Calc!F19))+B378+(ArtifactsInput!$M$24-ArtifactsInput!$M$24)*CHOOSE(ArtifactsInput!$N$24+1,10,12,14,16,18,20)+IF(ArtifactsInput!$M$10,CHOOSE(ArtifactsInput!$N$10+1,15,18,21,24,27,30)*(IF(Inputs!$B$38="pvp",MIN(15,15)/15,IF(AND(Inputs!$B$38&lt;&gt;"pvp",Inputs!$B$43&gt;0),MIN(15,Inputs!$B$43)/(Inputs!$B$43),0))),0)))&gt;=100),CHOOSE(ArtifactsInput!$N$42+1,40,48,56,64,72,80),0))))/100)*((1+(((C364=TRUE)*F364*5/7)+((C371=TRUE)*(F371-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350)</f>
        <v/>
      </c>
      <c r="L350">
        <f>K350*(MIN(Inputs!$B$22+((C369=TRUE)*(F369-Calc!F22)),(Inputs!$B$23+0+(IF(ArtifactsInput!$M$15,CHOOSE(ArtifactsInput!$N$15+1,25,30,35,40,45,50)/100*(Inputs!$B$11-Inputs!$B$11),0))))/100+(Inputs!$B$23+0+(IF(ArtifactsInput!$M$15,CHOOSE(ArtifactsInput!$N$15+1,25,30,35,40,45,50)/100*(Inputs!$B$11-Inputs!$B$11),0)))/100)/2</f>
        <v/>
      </c>
      <c r="M350">
        <f>L350*(1+(Inputs!$B$10+((C372=TRUE)*(F372-Calc!F25))+B383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50">
        <f>L350*(1-MIN((Inputs!$B$9+((C366=TRUE)*(F366-Calc!F19))+B378+(ArtifactsInput!$M$24-ArtifactsInput!$M$24)*CHOOSE(ArtifactsInput!$N$24+1,10,12,14,16,18,20)+(IF(AND(Inputs!$B$38&lt;&gt;"pvp",Inputs!$B$43=0),1,IF(IF(Inputs!$B$38="pvp",15,Inputs!$B$43)-(B385)&lt;=0,1,MAX(0,IF(Inputs!$B$38="pvp",15,Inputs!$B$43)-MAX(5,B385))/(IF(Inputs!$B$38="pvp",15,Inputs!$B$43)-(B385))))*IF(AND(ArtifactsInput!$M$42,((Inputs!$B$9+((C366=TRUE)*(F366-Calc!F19))+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350*(MIN((Inputs!$B$9+((C366=TRUE)*(F366-Calc!F19))+B378+(ArtifactsInput!$M$24-ArtifactsInput!$M$24)*CHOOSE(ArtifactsInput!$N$24+1,10,12,14,16,18,20)+(IF(AND(Inputs!$B$38&lt;&gt;"pvp",Inputs!$B$43=0),1,IF(IF(Inputs!$B$38="pvp",15,Inputs!$B$43)-(B385)&lt;=0,1,MAX(0,IF(Inputs!$B$38="pvp",15,Inputs!$B$43)-MAX(5,B385))/(IF(Inputs!$B$38="pvp",15,Inputs!$B$43)-(B385))))*IF(AND(ArtifactsInput!$M$42,((Inputs!$B$9+((C366=TRUE)*(F366-Calc!F19))+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50">
        <f>(1-Summary!$B$11)*T350+Summary!$B$11*V350</f>
        <v/>
      </c>
      <c r="P350">
        <f>IF(B388=0,0,O350/B388)</f>
        <v/>
      </c>
      <c r="Q350">
        <f>IFERROR(1/(IF(Inputs!$B$38="pvp",15,MAX(0.1,Skills!D3-IF(TRUE=TRUE,Inputs!$B$32,0)))*(1-IF(AND(ArtifactsInput!$M$27,Inputs!$B$4="Chapter Hunt"),CHOOSE(ArtifactsInput!$N$27+1,20,24,28,32,36,40),0)/100)),0)</f>
        <v/>
      </c>
      <c r="R350">
        <f>IF(AND(Inputs!$B$38&lt;&gt;"pvp",Inputs!$B$43&gt;0),IF(MAX(0,Inputs!$B$43-B385)&lt;=0,0,(INT(MAX(0,Inputs!$B$43-B385)/(IF(Inputs!$B$38="pvp",15,MAX(0.1,Skills!D3-IF(TRUE=TRUE,Inputs!$B$32,0)))*(1-IF(AND(ArtifactsInput!$M$27,Inputs!$B$4="Chapter Hunt"),CHOOSE(ArtifactsInput!$N$27+1,20,24,28,32,36,40),0)/100)))+1)),0)</f>
        <v/>
      </c>
      <c r="S350">
        <f>IFERROR(O350/N350,0)</f>
        <v/>
      </c>
      <c r="T350">
        <f>IF(C350,(H350*N350*IF(AND(Inputs!$B$38&lt;&gt;"pvp",Inputs!$B$43&gt;0),((Skills!G3*((R350-1)*IF(Skills!H3&gt;0,INT(Skills!I3/Skills!H3+0.000000001),1)+IF(Skills!H3&gt;0,INT(MIN(Skills!I3,MAX(0,MAX(0,Inputs!$B$43-B385)-((R350-1)*(IF(Inputs!$B$38="pvp",15,MAX(0.1,Skills!D3-IF(TRUE=TRUE,Inputs!$B$32,0)))*(1-IF(AND(ArtifactsInput!$M$27,Inputs!$B$4="Chapter Hunt"),CHOOSE(ArtifactsInput!$N$27+1,20,24,28,32,36,40),0)/100)))))/Skills!H3+0.000000001),1)))/Inputs!$B$43),G350*Q350))*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Hunt"),CHOOSE(ArtifactsInput!$N$35+1,15,18,21,24,27,30)*(1-EXP(-(0.2*B380)*5)),0)+IF(AND(ArtifactsInput!$M$22,Inputs!$B$4&lt;&gt;"Chapter Hunt"),CHOOSE(ArtifactsInput!$N$22+1,10,12,14,16,18,20)*((0*(((0.15*B380*5))^0/1)+1*(((0.15*B380*5))^1/1)+2*(((0.15*B380*5))^2/2)+3*(((0.15*B380*5))^3/6)+4*(((0.15*B380*5))^4/24)+5*(((0.15*B380*5))^5/120))/((((0.15*B380*5))^0/1)+(((0.15*B380*5))^1/1)+(((0.15*B380*5))^2/2)+(((0.15*B380*5))^3/6)+(((0.15*B380*5))^4/24)+(((0.15*B380*5))^5/120))),0))+IF(Inputs!$B$3&gt;=54,9*(C350=TRUE)*MIN(1,8*(1+Inputs!$B$34/100)*Q350)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350*(1-MIN(100,(Inputs!$B$9+((C366=TRUE)*(F366-Calc!F19))+B378+(ArtifactsInput!$M$24-ArtifactsInput!$M$24)*CHOOSE(ArtifactsInput!$N$24+1,10,12,14,16,18,20)+(IF(AND(Inputs!$B$38&lt;&gt;"pvp",Inputs!$B$43=0),1,IF(IF(Inputs!$B$38="pvp",15,Inputs!$B$43)-(B385)&lt;=0,1,MAX(0,IF(Inputs!$B$38="pvp",15,Inputs!$B$43)-MAX(5,B385))/(IF(Inputs!$B$38="pvp",15,Inputs!$B$43)-(B385))))*IF(AND(ArtifactsInput!$M$42,((Inputs!$B$9+((C366=TRUE)*(F366-Calc!F19))+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350*(MIN(100,(Inputs!$B$9+((C366=TRUE)*(F366-Calc!F19))+B378+(ArtifactsInput!$M$24-ArtifactsInput!$M$24)*CHOOSE(ArtifactsInput!$N$24+1,10,12,14,16,18,20)+(IF(AND(Inputs!$B$38&lt;&gt;"pvp",Inputs!$B$43=0),1,IF(IF(Inputs!$B$38="pvp",15,Inputs!$B$43)-(B385)&lt;=0,1,MAX(0,IF(Inputs!$B$38="pvp",15,Inputs!$B$43)-MAX(5,B385))/(IF(Inputs!$B$38="pvp",15,Inputs!$B$43)-(B385))))*IF(AND(ArtifactsInput!$M$42,((Inputs!$B$9+((C366=TRUE)*(F366-Calc!F19))+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350*(1-MIN(100,(Inputs!$B$9+((C366=TRUE)*(F366-Calc!F19))+B378+(ArtifactsInput!$M$24-ArtifactsInput!$M$24)*CHOOSE(ArtifactsInput!$N$24+1,10,12,14,16,18,20)+(IF(AND(Inputs!$B$38&lt;&gt;"pvp",Inputs!$B$43=0),1,IF(IF(Inputs!$B$38="pvp",15,Inputs!$B$43)-(B385)&lt;=0,1,MAX(0,IF(Inputs!$B$38="pvp",15,Inputs!$B$43)-MAX(5,B385))/(IF(Inputs!$B$38="pvp",15,Inputs!$B$43)-(B385))))*IF(AND(ArtifactsInput!$M$42,((Inputs!$B$9+((C366=TRUE)*(F366-Calc!F19))+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350*(MIN(100,(Inputs!$B$9+((C366=TRUE)*(F366-Calc!F19))+B378+(ArtifactsInput!$M$24-ArtifactsInput!$M$24)*CHOOSE(ArtifactsInput!$N$24+1,10,12,14,16,18,20)+(IF(AND(Inputs!$B$38&lt;&gt;"pvp",Inputs!$B$43=0),1,IF(IF(Inputs!$B$38="pvp",15,Inputs!$B$43)-(B385)&lt;=0,1,MAX(0,IF(Inputs!$B$38="pvp",15,Inputs!$B$43)-MAX(5,B385))/(IF(Inputs!$B$38="pvp",15,Inputs!$B$43)-(B385))))*IF(AND(ArtifactsInput!$M$42,((Inputs!$B$9+((C366=TRUE)*(F366-Calc!F19))+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50">
        <f>INDEX(FactorTable!$B$2:$Y$301, MATCH(ROUND(MIN(300,MAX(1,U349)),0), FactorTable!$A$2:$A$301,0), 22)</f>
        <v/>
      </c>
      <c r="V350">
        <f>IF(C350,(H350*N350*IF(AND(Inputs!$B$38&lt;&gt;"pvp",Inputs!$B$43&gt;0),((Skills!G3*((R350-1)*IF(Skills!H3&gt;0,INT(Skills!I3/Skills!H3+0.000000001),1)+IF(Skills!H3&gt;0,INT(MIN(Skills!I3,MAX(0,MAX(0,Inputs!$B$43-B385)-((R350-1)*(IF(Inputs!$B$38="pvp",15,MAX(0.1,Skills!D3-IF(TRUE=TRUE,Inputs!$B$32,0)))*(1-IF(AND(ArtifactsInput!$M$27,Inputs!$B$4="Chapter Hunt"),CHOOSE(ArtifactsInput!$N$27+1,20,24,28,32,36,40),0)/100)))))/Skills!H3+0.000000001),1)))/Inputs!$B$43),G350*Q350))*IF(Inputs!$B$38="pvp",1,(1+((Inputs!$B$21+1)+Skills!Q3+(IF(ArtifactsInput!$M$33,CHOOSE(ArtifactsInput!$N$33+1,30,36,42,48,54,60),0))+(IF(AND(ArtifactsInput!$M$35,Inputs!$B$4&lt;&gt;"Chapter Hunt"),CHOOSE(ArtifactsInput!$N$35+1,15,18,21,24,27,30)*(1-EXP(-(0.2*B380)*5)),0)+IF(AND(ArtifactsInput!$M$22,Inputs!$B$4&lt;&gt;"Chapter Hunt"),CHOOSE(ArtifactsInput!$N$22+1,10,12,14,16,18,20)*((0*(((0.15*B380*5))^0/1)+1*(((0.15*B380*5))^1/1)+2*(((0.15*B380*5))^2/2)+3*(((0.15*B380*5))^3/6)+4*(((0.15*B380*5))^4/24)+5*(((0.15*B380*5))^5/120))/((((0.15*B380*5))^0/1)+(((0.15*B380*5))^1/1)+(((0.15*B380*5))^2/2)+(((0.15*B380*5))^3/6)+(((0.15*B380*5))^4/24)+(((0.15*B380*5))^5/120))),0))+IF(Inputs!$B$3&gt;=54,9*(C350=TRUE)*MIN(1,8*(1+Inputs!$B$34/100)*Q350)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51">
      <c r="A351">
        <f>Skills!A4</f>
        <v/>
      </c>
      <c r="B351">
        <f>Skills!B4</f>
        <v/>
      </c>
      <c r="C351">
        <f>Inputs!$B$3&gt;=35</f>
        <v/>
      </c>
      <c r="D351">
        <f>IF(Skills!C4=1,60+Inputs!$B$25+Inputs!$B$29,IF(Skills!C4=2,90+Inputs!$B$26+Inputs!$B$29,IF(Skills!C4=3,120+Inputs!$B$27+Inputs!$B$29,MAX(0,(Inputs!$B$3-100)*3)+Inputs!$B$28+Inputs!$B$29)))</f>
        <v/>
      </c>
      <c r="E351">
        <f>INDEX(FactorTable!$B$2:$Y$301, MATCH(ROUND(MIN(300,MAX(1,D351)),0), FactorTable!$A$2:$A$301,0), Skills!M4+1)</f>
        <v/>
      </c>
      <c r="F351">
        <f>IF(Skills!N4=TRUE,(Skills!L4/10)*(E351/1000),Skills!L4/10)+Skills!O4</f>
        <v/>
      </c>
      <c r="G351">
        <f>Skills!G4*IF(Skills!H4&gt;0,INT(IF(Inputs!$B$38="pvp",MIN(IF(Inputs!$B$3&gt;=104,MIN(35,20*(1+Inputs!$B$34/100)),20),15),IF(Inputs!$B$3&gt;=104,MIN(35,20*(1+Inputs!$B$34/100)),20))/Skills!H4+0.000000001),1)</f>
        <v/>
      </c>
      <c r="H351">
        <f>1-(1-Skills!J4/100)^Skills!K4</f>
        <v/>
      </c>
      <c r="I351" t="inlineStr">
        <is>
          <t>1</t>
        </is>
      </c>
      <c r="J351">
        <f>((Inputs!$B$6*(1+Inputs!$B$7/100))+(((Inputs!$B$12*(1+Inputs!$B$13/100))-(Inputs!$B$12*(1+Inputs!$B$13/100)))+0.25*(Inputs!$B$14-Inputs!$B$14))*(1+Inputs!$B$7/100))*(F351/100)</f>
        <v/>
      </c>
      <c r="K351">
        <f>J351*(1+((Inputs!$B$12*(1+Inputs!$B$13/100))*0.01+Inputs!$B$14*0.0025)/100)*(1+Inputs!$B$15/100)*(1+Inputs!$B$16/100)*(5000/(6000+Inputs!$B$42*(1-(100*(1-(1-(Inputs!$B$19+0)/100)*(1-CHOOSE(ArtifactsInput!$N$40+1,5,6,7,8,9,10)/100)^(ArtifactsInput!$M$40-ArtifactsInput!$M$40)))/100)))*(1+(Inputs!$B$24+((C373=TRUE)*(F373-Calc!F26))+B384)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363=TRUE,F363,0)/100)*(1+(IF(Skills!A4="EIGHT_LEGS_EASTON",Inputs!$B$17+((C370=TRUE)*(F370-Calc!F23))+((C374=TRUE)*(F374-Calc!F27))+((IF(AND(Inputs!$B$38&lt;&gt;"pvp",Inputs!$B$43=0),1,IF(IF(Inputs!$B$38="pvp",15,Inputs!$B$43)-(B385)&lt;=0,1,MAX(0,IF(Inputs!$B$38="pvp",15,Inputs!$B$43)-MAX(5,B385))/(IF(Inputs!$B$38="pvp",15,Inputs!$B$43)-(B385))))*(IF(AND(ArtifactsInput!$M$42,((Inputs!$B$9+((C366=TRUE)*(F366-Calc!F19))+B378+(ArtifactsInput!$M$24-ArtifactsInput!$M$24)*CHOOSE(ArtifactsInput!$N$24+1,10,12,14,16,18,20)+IF(ArtifactsInput!$M$10,CHOOSE(ArtifactsInput!$N$10+1,15,18,21,24,27,30)*(IF(Inputs!$B$38="pvp",MIN(15,15)/15,IF(AND(Inputs!$B$38&lt;&gt;"pvp",Inputs!$B$43&gt;0),MIN(15,Inputs!$B$43)/(Inputs!$B$43),0))),0)))&gt;=100),MIN(100,((Inputs!$B$9+((C366=TRUE)*(F366-Calc!F19))+B378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385)&lt;=0,1,MAX(0,IF(Inputs!$B$38="pvp",15,Inputs!$B$43)-MAX(5,B385))/(IF(Inputs!$B$38="pvp",15,Inputs!$B$43)-(B385))))*IF(AND(ArtifactsInput!$M$42,((Inputs!$B$9+((C366=TRUE)*(F366-Calc!F19))+B378+(ArtifactsInput!$M$24-ArtifactsInput!$M$24)*CHOOSE(ArtifactsInput!$N$24+1,10,12,14,16,18,20)+IF(ArtifactsInput!$M$10,CHOOSE(ArtifactsInput!$N$10+1,15,18,21,24,27,30)*(IF(Inputs!$B$38="pvp",MIN(15,15)/15,IF(AND(Inputs!$B$38&lt;&gt;"pvp",Inputs!$B$43&gt;0),MIN(15,Inputs!$B$43)/(Inputs!$B$43),0))),0)))&gt;=100),CHOOSE(ArtifactsInput!$N$42+1,40,48,56,64,72,80),0))))/100)*((1+(((C364=TRUE)*F364*5/7)+((C371=TRUE)*(F371-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351)</f>
        <v/>
      </c>
      <c r="L351">
        <f>K351*(MIN(Inputs!$B$22+((C369=TRUE)*(F369-Calc!F22)),(Inputs!$B$23+0+(IF(ArtifactsInput!$M$15,CHOOSE(ArtifactsInput!$N$15+1,25,30,35,40,45,50)/100*(Inputs!$B$11-Inputs!$B$11),0))))/100+(Inputs!$B$23+0+(IF(ArtifactsInput!$M$15,CHOOSE(ArtifactsInput!$N$15+1,25,30,35,40,45,50)/100*(Inputs!$B$11-Inputs!$B$11),0)))/100)/2</f>
        <v/>
      </c>
      <c r="M351">
        <f>L351*(1+(Inputs!$B$10+((C372=TRUE)*(F372-Calc!F25))+B383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51">
        <f>L351*(1-MIN((Inputs!$B$9+((C366=TRUE)*(F366-Calc!F19))+B378+(ArtifactsInput!$M$24-ArtifactsInput!$M$24)*CHOOSE(ArtifactsInput!$N$24+1,10,12,14,16,18,20)+(IF(AND(Inputs!$B$38&lt;&gt;"pvp",Inputs!$B$43=0),1,IF(IF(Inputs!$B$38="pvp",15,Inputs!$B$43)-(B385)&lt;=0,1,MAX(0,IF(Inputs!$B$38="pvp",15,Inputs!$B$43)-MAX(5,B385))/(IF(Inputs!$B$38="pvp",15,Inputs!$B$43)-(B385))))*IF(AND(ArtifactsInput!$M$42,((Inputs!$B$9+((C366=TRUE)*(F366-Calc!F19))+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351*(MIN((Inputs!$B$9+((C366=TRUE)*(F366-Calc!F19))+B378+(ArtifactsInput!$M$24-ArtifactsInput!$M$24)*CHOOSE(ArtifactsInput!$N$24+1,10,12,14,16,18,20)+(IF(AND(Inputs!$B$38&lt;&gt;"pvp",Inputs!$B$43=0),1,IF(IF(Inputs!$B$38="pvp",15,Inputs!$B$43)-(B385)&lt;=0,1,MAX(0,IF(Inputs!$B$38="pvp",15,Inputs!$B$43)-MAX(5,B385))/(IF(Inputs!$B$38="pvp",15,Inputs!$B$43)-(B385))))*IF(AND(ArtifactsInput!$M$42,((Inputs!$B$9+((C366=TRUE)*(F366-Calc!F19))+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51">
        <f>(1-Summary!$B$11)*T351+Summary!$B$11*V351</f>
        <v/>
      </c>
      <c r="P351">
        <f>IF(B388=0,0,O351/B388)</f>
        <v/>
      </c>
      <c r="Q351">
        <f>IFERROR(1/(IF(Inputs!$B$38="pvp",15,MAX(0.1,Skills!D4-IF(TRUE=TRUE,Inputs!$B$32,0)))*(1-IF(AND(ArtifactsInput!$M$27,Inputs!$B$4="Chapter Hunt"),CHOOSE(ArtifactsInput!$N$27+1,20,24,28,32,36,40),0)/100)),0)</f>
        <v/>
      </c>
      <c r="R351">
        <f>IF(AND(Inputs!$B$38&lt;&gt;"pvp",Inputs!$B$43&gt;0),IF(MAX(0,Inputs!$B$43-B385)&lt;=0,0,(INT(MAX(0,Inputs!$B$43-B385)/(IF(Inputs!$B$38="pvp",15,MAX(0.1,Skills!D4-IF(TRUE=TRUE,Inputs!$B$32,0)))*(1-IF(AND(ArtifactsInput!$M$27,Inputs!$B$4="Chapter Hunt"),CHOOSE(ArtifactsInput!$N$27+1,20,24,28,32,36,40),0)/100)))+1)),0)</f>
        <v/>
      </c>
      <c r="S351">
        <f>IFERROR(O351/N351,0)</f>
        <v/>
      </c>
      <c r="T351">
        <f>IF(C351,(H351*N351*IF(AND(Inputs!$B$38&lt;&gt;"pvp",Inputs!$B$43&gt;0),((Skills!G4*((R351-1)*IF(Skills!H4&gt;0,INT(IF(Inputs!$B$3&gt;=104,MIN(35,20*(1+Inputs!$B$34/100)),20)/Skills!H4+0.000000001),1)+IF(Skills!H4&gt;0,INT(MIN(IF(Inputs!$B$3&gt;=104,MIN(35,20*(1+Inputs!$B$34/100)),20),MAX(0,MAX(0,Inputs!$B$43-B385)-((R351-1)*(IF(Inputs!$B$38="pvp",15,MAX(0.1,Skills!D4-IF(TRUE=TRUE,Inputs!$B$32,0)))*(1-IF(AND(ArtifactsInput!$M$27,Inputs!$B$4="Chapter Hunt"),CHOOSE(ArtifactsInput!$N$27+1,20,24,28,32,36,40),0)/100)))))/Skills!H4+0.000000001),1)))/Inputs!$B$43),G351*Q351))*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Hunt"),CHOOSE(ArtifactsInput!$N$35+1,15,18,21,24,27,30)*(1-EXP(-(0.2*B380)*5)),0)+IF(AND(ArtifactsInput!$M$22,Inputs!$B$4&lt;&gt;"Chapter Hunt"),CHOOSE(ArtifactsInput!$N$22+1,10,12,14,16,18,20)*((0*(((0.15*B380*5))^0/1)+1*(((0.15*B380*5))^1/1)+2*(((0.15*B380*5))^2/2)+3*(((0.15*B380*5))^3/6)+4*(((0.15*B380*5))^4/24)+5*(((0.15*B380*5))^5/120))/((((0.15*B380*5))^0/1)+(((0.15*B380*5))^1/1)+(((0.15*B380*5))^2/2)+(((0.15*B380*5))^3/6)+(((0.15*B380*5))^4/24)+(((0.15*B380*5))^5/120))),0))+IF(Inputs!$B$3&gt;=54,9*(C350=TRUE)*MIN(1,8*(1+Inputs!$B$34/100)*Q350)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351*(1-MIN(100,(Inputs!$B$9+((C366=TRUE)*(F366-Calc!F19))+B378+(ArtifactsInput!$M$24-ArtifactsInput!$M$24)*CHOOSE(ArtifactsInput!$N$24+1,10,12,14,16,18,20)+(IF(AND(Inputs!$B$38&lt;&gt;"pvp",Inputs!$B$43=0),1,IF(IF(Inputs!$B$38="pvp",15,Inputs!$B$43)-(B385)&lt;=0,1,MAX(0,IF(Inputs!$B$38="pvp",15,Inputs!$B$43)-MAX(5,B385))/(IF(Inputs!$B$38="pvp",15,Inputs!$B$43)-(B385))))*IF(AND(ArtifactsInput!$M$42,((Inputs!$B$9+((C366=TRUE)*(F366-Calc!F19))+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351*(MIN(100,(Inputs!$B$9+((C366=TRUE)*(F366-Calc!F19))+B378+(ArtifactsInput!$M$24-ArtifactsInput!$M$24)*CHOOSE(ArtifactsInput!$N$24+1,10,12,14,16,18,20)+(IF(AND(Inputs!$B$38&lt;&gt;"pvp",Inputs!$B$43=0),1,IF(IF(Inputs!$B$38="pvp",15,Inputs!$B$43)-(B385)&lt;=0,1,MAX(0,IF(Inputs!$B$38="pvp",15,Inputs!$B$43)-MAX(5,B385))/(IF(Inputs!$B$38="pvp",15,Inputs!$B$43)-(B385))))*IF(AND(ArtifactsInput!$M$42,((Inputs!$B$9+((C366=TRUE)*(F366-Calc!F19))+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351*(1-MIN(100,(Inputs!$B$9+((C366=TRUE)*(F366-Calc!F19))+B378+(ArtifactsInput!$M$24-ArtifactsInput!$M$24)*CHOOSE(ArtifactsInput!$N$24+1,10,12,14,16,18,20)+(IF(AND(Inputs!$B$38&lt;&gt;"pvp",Inputs!$B$43=0),1,IF(IF(Inputs!$B$38="pvp",15,Inputs!$B$43)-(B385)&lt;=0,1,MAX(0,IF(Inputs!$B$38="pvp",15,Inputs!$B$43)-MAX(5,B385))/(IF(Inputs!$B$38="pvp",15,Inputs!$B$43)-(B385))))*IF(AND(ArtifactsInput!$M$42,((Inputs!$B$9+((C366=TRUE)*(F366-Calc!F19))+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351*(MIN(100,(Inputs!$B$9+((C366=TRUE)*(F366-Calc!F19))+B378+(ArtifactsInput!$M$24-ArtifactsInput!$M$24)*CHOOSE(ArtifactsInput!$N$24+1,10,12,14,16,18,20)+(IF(AND(Inputs!$B$38&lt;&gt;"pvp",Inputs!$B$43=0),1,IF(IF(Inputs!$B$38="pvp",15,Inputs!$B$43)-(B385)&lt;=0,1,MAX(0,IF(Inputs!$B$38="pvp",15,Inputs!$B$43)-MAX(5,B385))/(IF(Inputs!$B$38="pvp",15,Inputs!$B$43)-(B385))))*IF(AND(ArtifactsInput!$M$42,((Inputs!$B$9+((C366=TRUE)*(F366-Calc!F19))+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51">
        <f>290*U350/1000</f>
        <v/>
      </c>
      <c r="V351">
        <f>IF(C351,(H351*N351*IF(AND(Inputs!$B$38&lt;&gt;"pvp",Inputs!$B$43&gt;0),((Skills!G4*((R351-1)*IF(Skills!H4&gt;0,INT(IF(Inputs!$B$3&gt;=104,MIN(35,20*(1+Inputs!$B$34/100)),20)/Skills!H4+0.000000001),1)+IF(Skills!H4&gt;0,INT(MIN(IF(Inputs!$B$3&gt;=104,MIN(35,20*(1+Inputs!$B$34/100)),20),MAX(0,MAX(0,Inputs!$B$43-B385)-((R351-1)*(IF(Inputs!$B$38="pvp",15,MAX(0.1,Skills!D4-IF(TRUE=TRUE,Inputs!$B$32,0)))*(1-IF(AND(ArtifactsInput!$M$27,Inputs!$B$4="Chapter Hunt"),CHOOSE(ArtifactsInput!$N$27+1,20,24,28,32,36,40),0)/100)))))/Skills!H4+0.000000001),1)))/Inputs!$B$43),G351*Q351))*IF(Inputs!$B$38="pvp",1,(1+((Inputs!$B$21+1)+Skills!Q4+(IF(ArtifactsInput!$M$33,CHOOSE(ArtifactsInput!$N$33+1,30,36,42,48,54,60),0))+(IF(AND(ArtifactsInput!$M$35,Inputs!$B$4&lt;&gt;"Chapter Hunt"),CHOOSE(ArtifactsInput!$N$35+1,15,18,21,24,27,30)*(1-EXP(-(0.2*B380)*5)),0)+IF(AND(ArtifactsInput!$M$22,Inputs!$B$4&lt;&gt;"Chapter Hunt"),CHOOSE(ArtifactsInput!$N$22+1,10,12,14,16,18,20)*((0*(((0.15*B380*5))^0/1)+1*(((0.15*B380*5))^1/1)+2*(((0.15*B380*5))^2/2)+3*(((0.15*B380*5))^3/6)+4*(((0.15*B380*5))^4/24)+5*(((0.15*B380*5))^5/120))/((((0.15*B380*5))^0/1)+(((0.15*B380*5))^1/1)+(((0.15*B380*5))^2/2)+(((0.15*B380*5))^3/6)+(((0.15*B380*5))^4/24)+(((0.15*B380*5))^5/120))),0))+IF(Inputs!$B$3&gt;=54,9*(C350=TRUE)*MIN(1,8*(1+Inputs!$B$34/100)*Q350),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52">
      <c r="A352">
        <f>Skills!A5</f>
        <v/>
      </c>
      <c r="B352">
        <f>Skills!B5</f>
        <v/>
      </c>
      <c r="C352">
        <f>Inputs!$B$3&gt;=69</f>
        <v/>
      </c>
      <c r="D352">
        <f>IF(Skills!C5=1,60+Inputs!$B$25+Inputs!$B$29,IF(Skills!C5=2,90+Inputs!$B$26+Inputs!$B$29,IF(Skills!C5=3,120+Inputs!$B$27+Inputs!$B$29,MAX(0,(Inputs!$B$3-100)*3)+Inputs!$B$28+Inputs!$B$29)))</f>
        <v/>
      </c>
      <c r="E352">
        <f>INDEX(FactorTable!$B$2:$Y$301, MATCH(ROUND(MIN(300,MAX(1,D352)),0), FactorTable!$A$2:$A$301,0), Skills!M5+1)</f>
        <v/>
      </c>
      <c r="F352">
        <f>IF(Skills!N5=TRUE,(Skills!L5/10)*(E352/1000),Skills!L5/10)+Skills!O5</f>
        <v/>
      </c>
      <c r="G352">
        <f>Skills!G5*IF(Skills!H5&gt;0,INT(IF(Inputs!$B$38="pvp",MIN(IF(Inputs!$B$3&gt;=104,MIN(35,20*(1+Inputs!$B$34/100)),20),15),IF(Inputs!$B$3&gt;=104,MIN(35,20*(1+Inputs!$B$34/100)),20))/Skills!H5+0.000000001),1)</f>
        <v/>
      </c>
      <c r="H352">
        <f>1-(1-Skills!J5/100)^Skills!K5</f>
        <v/>
      </c>
      <c r="I352" t="inlineStr">
        <is>
          <t>1</t>
        </is>
      </c>
      <c r="J352">
        <f>((Inputs!$B$6*(1+Inputs!$B$7/100))+(((Inputs!$B$12*(1+Inputs!$B$13/100))-(Inputs!$B$12*(1+Inputs!$B$13/100)))+0.25*(Inputs!$B$14-Inputs!$B$14))*(1+Inputs!$B$7/100))*(F352/100)</f>
        <v/>
      </c>
      <c r="K352">
        <f>J352*(1+((Inputs!$B$12*(1+Inputs!$B$13/100))*0.01+Inputs!$B$14*0.0025)/100)*(1+Inputs!$B$15/100)*(1+Inputs!$B$16/100)*(5000/(6000+Inputs!$B$42*(1-(100*(1-(1-(Inputs!$B$19+0)/100)*(1-CHOOSE(ArtifactsInput!$N$40+1,5,6,7,8,9,10)/100)^(ArtifactsInput!$M$40-ArtifactsInput!$M$40)))/100)))*(1+(Inputs!$B$24+((C373=TRUE)*(F373-Calc!F26))+B384)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+0.4*IF(C363=TRUE,F363,0)/100)*(1+(IF(Skills!A5="EIGHT_LEGS_EASTON",Inputs!$B$17+((C370=TRUE)*(F370-Calc!F23))+((C374=TRUE)*(F374-Calc!F27))+((IF(AND(Inputs!$B$38&lt;&gt;"pvp",Inputs!$B$43=0),1,IF(IF(Inputs!$B$38="pvp",15,Inputs!$B$43)-(B385)&lt;=0,1,MAX(0,IF(Inputs!$B$38="pvp",15,Inputs!$B$43)-MAX(5,B385))/(IF(Inputs!$B$38="pvp",15,Inputs!$B$43)-(B385))))*(IF(AND(ArtifactsInput!$M$42,((Inputs!$B$9+((C366=TRUE)*(F366-Calc!F19))+B378+(ArtifactsInput!$M$24-ArtifactsInput!$M$24)*CHOOSE(ArtifactsInput!$N$24+1,10,12,14,16,18,20)+IF(ArtifactsInput!$M$10,CHOOSE(ArtifactsInput!$N$10+1,15,18,21,24,27,30)*(IF(Inputs!$B$38="pvp",MIN(15,15)/15,IF(AND(Inputs!$B$38&lt;&gt;"pvp",Inputs!$B$43&gt;0),MIN(15,Inputs!$B$43)/(Inputs!$B$43),0))),0)))&gt;=100),MIN(100,((Inputs!$B$9+((C366=TRUE)*(F366-Calc!F19))+B378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385)&lt;=0,1,MAX(0,IF(Inputs!$B$38="pvp",15,Inputs!$B$43)-MAX(5,B385))/(IF(Inputs!$B$38="pvp",15,Inputs!$B$43)-(B385))))*IF(AND(ArtifactsInput!$M$42,((Inputs!$B$9+((C366=TRUE)*(F366-Calc!F19))+B378+(ArtifactsInput!$M$24-ArtifactsInput!$M$24)*CHOOSE(ArtifactsInput!$N$24+1,10,12,14,16,18,20)+IF(ArtifactsInput!$M$10,CHOOSE(ArtifactsInput!$N$10+1,15,18,21,24,27,30)*(IF(Inputs!$B$38="pvp",MIN(15,15)/15,IF(AND(Inputs!$B$38&lt;&gt;"pvp",Inputs!$B$43&gt;0),MIN(15,Inputs!$B$43)/(Inputs!$B$43),0))),0)))&gt;=100),CHOOSE(ArtifactsInput!$N$42+1,40,48,56,64,72,80),0))))/100)*((1+(((C364=TRUE)*F364*5/7)+((C371=TRUE)*(F371-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352)</f>
        <v/>
      </c>
      <c r="L352">
        <f>K352*(MIN(Inputs!$B$22+((C369=TRUE)*(F369-Calc!F22)),(Inputs!$B$23+0+(IF(ArtifactsInput!$M$15,CHOOSE(ArtifactsInput!$N$15+1,25,30,35,40,45,50)/100*(Inputs!$B$11-Inputs!$B$11),0))))/100+(Inputs!$B$23+0+(IF(ArtifactsInput!$M$15,CHOOSE(ArtifactsInput!$N$15+1,25,30,35,40,45,50)/100*(Inputs!$B$11-Inputs!$B$11),0)))/100)/2</f>
        <v/>
      </c>
      <c r="M352">
        <f>L352*(1+(Inputs!$B$10+((C372=TRUE)*(F372-Calc!F25))+B383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52">
        <f>L352*(1-MIN((Inputs!$B$9+((C366=TRUE)*(F366-Calc!F19))+B378+(ArtifactsInput!$M$24-ArtifactsInput!$M$24)*CHOOSE(ArtifactsInput!$N$24+1,10,12,14,16,18,20)+(IF(AND(Inputs!$B$38&lt;&gt;"pvp",Inputs!$B$43=0),1,IF(IF(Inputs!$B$38="pvp",15,Inputs!$B$43)-(B385)&lt;=0,1,MAX(0,IF(Inputs!$B$38="pvp",15,Inputs!$B$43)-MAX(5,B385))/(IF(Inputs!$B$38="pvp",15,Inputs!$B$43)-(B385))))*IF(AND(ArtifactsInput!$M$42,((Inputs!$B$9+((C366=TRUE)*(F366-Calc!F19))+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352*(MIN((Inputs!$B$9+((C366=TRUE)*(F366-Calc!F19))+B378+(ArtifactsInput!$M$24-ArtifactsInput!$M$24)*CHOOSE(ArtifactsInput!$N$24+1,10,12,14,16,18,20)+(IF(AND(Inputs!$B$38&lt;&gt;"pvp",Inputs!$B$43=0),1,IF(IF(Inputs!$B$38="pvp",15,Inputs!$B$43)-(B385)&lt;=0,1,MAX(0,IF(Inputs!$B$38="pvp",15,Inputs!$B$43)-MAX(5,B385))/(IF(Inputs!$B$38="pvp",15,Inputs!$B$43)-(B385))))*IF(AND(ArtifactsInput!$M$42,((Inputs!$B$9+((C366=TRUE)*(F366-Calc!F19))+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52">
        <f>(1-Summary!$B$11)*T352+Summary!$B$11*V352</f>
        <v/>
      </c>
      <c r="P352">
        <f>IF(B388=0,0,O352/B388)</f>
        <v/>
      </c>
      <c r="Q352">
        <f>IFERROR(1/(IF(Inputs!$B$38="pvp",15,MAX(0.1,Skills!D5-IF(TRUE=TRUE,Inputs!$B$32,0)))*(1-IF(AND(ArtifactsInput!$M$27,Inputs!$B$4="Chapter Hunt"),CHOOSE(ArtifactsInput!$N$27+1,20,24,28,32,36,40),0)/100)),0)</f>
        <v/>
      </c>
      <c r="R352">
        <f>IF(AND(Inputs!$B$38&lt;&gt;"pvp",Inputs!$B$43&gt;0),IF(MAX(0,Inputs!$B$43-B385)&lt;=0,0,(INT(MAX(0,Inputs!$B$43-B385)/(IF(Inputs!$B$38="pvp",15,MAX(0.1,Skills!D5-IF(TRUE=TRUE,Inputs!$B$32,0)))*(1-IF(AND(ArtifactsInput!$M$27,Inputs!$B$4="Chapter Hunt"),CHOOSE(ArtifactsInput!$N$27+1,20,24,28,32,36,40),0)/100)))+1)),0)</f>
        <v/>
      </c>
      <c r="S352">
        <f>IFERROR(O352/N352,0)</f>
        <v/>
      </c>
      <c r="T352">
        <f>IF(C352,(H352*N352*IF(AND(Inputs!$B$38&lt;&gt;"pvp",Inputs!$B$43&gt;0),((Skills!G5*((R352-1)*IF(Skills!H5&gt;0,INT(IF(Inputs!$B$3&gt;=104,MIN(35,20*(1+Inputs!$B$34/100)),20)/Skills!H5+0.000000001),1)+IF(Skills!H5&gt;0,INT(MIN(IF(Inputs!$B$3&gt;=104,MIN(35,20*(1+Inputs!$B$34/100)),20),MAX(0,MAX(0,Inputs!$B$43-B385)-((R352-1)*(IF(Inputs!$B$38="pvp",15,MAX(0.1,Skills!D5-IF(TRUE=TRUE,Inputs!$B$32,0)))*(1-IF(AND(ArtifactsInput!$M$27,Inputs!$B$4="Chapter Hunt"),CHOOSE(ArtifactsInput!$N$27+1,20,24,28,32,36,40),0)/100)))))/Skills!H5+0.000000001),1)))/Inputs!$B$43),G352*Q352))*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Hunt"),CHOOSE(ArtifactsInput!$N$35+1,15,18,21,24,27,30)*(1-EXP(-(0.2*B380)*5)),0)+IF(AND(ArtifactsInput!$M$22,Inputs!$B$4&lt;&gt;"Chapter Hunt"),CHOOSE(ArtifactsInput!$N$22+1,10,12,14,16,18,20)*((0*(((0.15*B380*5))^0/1)+1*(((0.15*B380*5))^1/1)+2*(((0.15*B380*5))^2/2)+3*(((0.15*B380*5))^3/6)+4*(((0.15*B380*5))^4/24)+5*(((0.15*B380*5))^5/120))/((((0.15*B380*5))^0/1)+(((0.15*B380*5))^1/1)+(((0.15*B380*5))^2/2)+(((0.15*B380*5))^3/6)+(((0.15*B380*5))^4/24)+(((0.15*B380*5))^5/120))),0))+IF(Inputs!$B$3&gt;=54,9*(C350=TRUE)*MIN(1,8*(1+Inputs!$B$34/100)*Q350)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352*(1-MIN(100,(Inputs!$B$9+((C366=TRUE)*(F366-Calc!F19))+B378+(ArtifactsInput!$M$24-ArtifactsInput!$M$24)*CHOOSE(ArtifactsInput!$N$24+1,10,12,14,16,18,20)+(IF(AND(Inputs!$B$38&lt;&gt;"pvp",Inputs!$B$43=0),1,IF(IF(Inputs!$B$38="pvp",15,Inputs!$B$43)-(B385)&lt;=0,1,MAX(0,IF(Inputs!$B$38="pvp",15,Inputs!$B$43)-MAX(5,B385))/(IF(Inputs!$B$38="pvp",15,Inputs!$B$43)-(B385))))*IF(AND(ArtifactsInput!$M$42,((Inputs!$B$9+((C366=TRUE)*(F366-Calc!F19))+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352*(MIN(100,(Inputs!$B$9+((C366=TRUE)*(F366-Calc!F19))+B378+(ArtifactsInput!$M$24-ArtifactsInput!$M$24)*CHOOSE(ArtifactsInput!$N$24+1,10,12,14,16,18,20)+(IF(AND(Inputs!$B$38&lt;&gt;"pvp",Inputs!$B$43=0),1,IF(IF(Inputs!$B$38="pvp",15,Inputs!$B$43)-(B385)&lt;=0,1,MAX(0,IF(Inputs!$B$38="pvp",15,Inputs!$B$43)-MAX(5,B385))/(IF(Inputs!$B$38="pvp",15,Inputs!$B$43)-(B385))))*IF(AND(ArtifactsInput!$M$42,((Inputs!$B$9+((C366=TRUE)*(F366-Calc!F19))+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352*(1-MIN(100,(Inputs!$B$9+((C366=TRUE)*(F366-Calc!F19))+B378+(ArtifactsInput!$M$24-ArtifactsInput!$M$24)*CHOOSE(ArtifactsInput!$N$24+1,10,12,14,16,18,20)+(IF(AND(Inputs!$B$38&lt;&gt;"pvp",Inputs!$B$43=0),1,IF(IF(Inputs!$B$38="pvp",15,Inputs!$B$43)-(B385)&lt;=0,1,MAX(0,IF(Inputs!$B$38="pvp",15,Inputs!$B$43)-MAX(5,B385))/(IF(Inputs!$B$38="pvp",15,Inputs!$B$43)-(B385))))*IF(AND(ArtifactsInput!$M$42,((Inputs!$B$9+((C366=TRUE)*(F366-Calc!F19))+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352*(MIN(100,(Inputs!$B$9+((C366=TRUE)*(F366-Calc!F19))+B378+(ArtifactsInput!$M$24-ArtifactsInput!$M$24)*CHOOSE(ArtifactsInput!$N$24+1,10,12,14,16,18,20)+(IF(AND(Inputs!$B$38&lt;&gt;"pvp",Inputs!$B$43=0),1,IF(IF(Inputs!$B$38="pvp",15,Inputs!$B$43)-(B385)&lt;=0,1,MAX(0,IF(Inputs!$B$38="pvp",15,Inputs!$B$43)-MAX(5,B385))/(IF(Inputs!$B$38="pvp",15,Inputs!$B$43)-(B385))))*IF(AND(ArtifactsInput!$M$42,((Inputs!$B$9+((C366=TRUE)*(F366-Calc!F19))+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52">
        <f>IF(C352,(H352*N352*IF(AND(Inputs!$B$38&lt;&gt;"pvp",Inputs!$B$43&gt;0),((Skills!G5*((R352-1)*IF(Skills!H5&gt;0,INT(IF(Inputs!$B$3&gt;=104,MIN(35,20*(1+Inputs!$B$34/100)),20)/Skills!H5+0.000000001),1)+IF(Skills!H5&gt;0,INT(MIN(IF(Inputs!$B$3&gt;=104,MIN(35,20*(1+Inputs!$B$34/100)),20),MAX(0,MAX(0,Inputs!$B$43-B385)-((R352-1)*(IF(Inputs!$B$38="pvp",15,MAX(0.1,Skills!D5-IF(TRUE=TRUE,Inputs!$B$32,0)))*(1-IF(AND(ArtifactsInput!$M$27,Inputs!$B$4="Chapter Hunt"),CHOOSE(ArtifactsInput!$N$27+1,20,24,28,32,36,40),0)/100)))))/Skills!H5+0.000000001),1)))/Inputs!$B$43),G352*Q352))*IF(Inputs!$B$38="pvp",1,(1+((Inputs!$B$21+1)+Skills!Q5+(IF(ArtifactsInput!$M$33,CHOOSE(ArtifactsInput!$N$33+1,30,36,42,48,54,60),0))+(IF(AND(ArtifactsInput!$M$35,Inputs!$B$4&lt;&gt;"Chapter Hunt"),CHOOSE(ArtifactsInput!$N$35+1,15,18,21,24,27,30)*(1-EXP(-(0.2*B380)*5)),0)+IF(AND(ArtifactsInput!$M$22,Inputs!$B$4&lt;&gt;"Chapter Hunt"),CHOOSE(ArtifactsInput!$N$22+1,10,12,14,16,18,20)*((0*(((0.15*B380*5))^0/1)+1*(((0.15*B380*5))^1/1)+2*(((0.15*B380*5))^2/2)+3*(((0.15*B380*5))^3/6)+4*(((0.15*B380*5))^4/24)+5*(((0.15*B380*5))^5/120))/((((0.15*B380*5))^0/1)+(((0.15*B380*5))^1/1)+(((0.15*B380*5))^2/2)+(((0.15*B380*5))^3/6)+(((0.15*B380*5))^4/24)+(((0.15*B380*5))^5/120))),0))+IF(Inputs!$B$3&gt;=54,9*(C350=TRUE)*MIN(1,8*(1+Inputs!$B$34/100)*Q350)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53">
      <c r="A353">
        <f>Skills!A6</f>
        <v/>
      </c>
      <c r="B353">
        <f>Skills!B6</f>
        <v/>
      </c>
      <c r="C353">
        <f>Inputs!$B$3&gt;=66</f>
        <v/>
      </c>
      <c r="D353">
        <f>IF(Skills!C6=1,60+Inputs!$B$25+Inputs!$B$29,IF(Skills!C6=2,90+Inputs!$B$26+Inputs!$B$29,IF(Skills!C6=3,120+Inputs!$B$27+Inputs!$B$29,MAX(0,(Inputs!$B$3-100)*3)+Inputs!$B$28+Inputs!$B$29)))</f>
        <v/>
      </c>
      <c r="E353">
        <f>INDEX(FactorTable!$B$2:$Y$301, MATCH(ROUND(MIN(300,MAX(1,D353)),0), FactorTable!$A$2:$A$301,0), Skills!M6+1)</f>
        <v/>
      </c>
      <c r="F353">
        <f>IF(Skills!N6=TRUE,(Skills!L6/10)*(E353/1000),Skills!L6/10)+Skills!O6</f>
        <v/>
      </c>
      <c r="G353">
        <f>Skills!G6*IF(Skills!H6&gt;0,INT(IF(Inputs!$B$38="pvp",MIN(Skills!I6,15),Skills!I6)/Skills!H6+0.000000001),1)</f>
        <v/>
      </c>
      <c r="H353">
        <f>1-(1-Skills!J6/100)^Skills!K6</f>
        <v/>
      </c>
      <c r="I353" t="inlineStr">
        <is>
          <t>1</t>
        </is>
      </c>
      <c r="J353">
        <f>((Inputs!$B$6*(1+Inputs!$B$7/100))+(((Inputs!$B$12*(1+Inputs!$B$13/100))-(Inputs!$B$12*(1+Inputs!$B$13/100)))+0.25*(Inputs!$B$14-Inputs!$B$14))*(1+Inputs!$B$7/100))*(F353/100)</f>
        <v/>
      </c>
      <c r="K353">
        <f>J353*(1+((Inputs!$B$12*(1+Inputs!$B$13/100))*0.01+Inputs!$B$14*0.0025)/100)*(1+Inputs!$B$15/100)*(1+Inputs!$B$16/100)*(5000/(6000+Inputs!$B$42*(1-(100*(1-(1-(Inputs!$B$19+0)/100)*(1-CHOOSE(ArtifactsInput!$N$40+1,5,6,7,8,9,10)/100)^(ArtifactsInput!$M$40-ArtifactsInput!$M$40)))/100)))*(1+(Inputs!$B$24+((C373=TRUE)*(F373-Calc!F26))+B384)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+2.0*IF(C362=TRUE,F362,0)/100)*(1+(IF(Skills!A6="EIGHT_LEGS_EASTON",Inputs!$B$17+((C370=TRUE)*(F370-Calc!F23))+((C374=TRUE)*(F374-Calc!F27))+((IF(AND(Inputs!$B$38&lt;&gt;"pvp",Inputs!$B$43=0),1,IF(IF(Inputs!$B$38="pvp",15,Inputs!$B$43)-(B385)&lt;=0,1,MAX(0,IF(Inputs!$B$38="pvp",15,Inputs!$B$43)-MAX(5,B385))/(IF(Inputs!$B$38="pvp",15,Inputs!$B$43)-(B385))))*(IF(AND(ArtifactsInput!$M$42,((Inputs!$B$9+((C366=TRUE)*(F366-Calc!F19))+B378+(ArtifactsInput!$M$24-ArtifactsInput!$M$24)*CHOOSE(ArtifactsInput!$N$24+1,10,12,14,16,18,20)+IF(ArtifactsInput!$M$10,CHOOSE(ArtifactsInput!$N$10+1,15,18,21,24,27,30)*(IF(Inputs!$B$38="pvp",MIN(15,15)/15,IF(AND(Inputs!$B$38&lt;&gt;"pvp",Inputs!$B$43&gt;0),MIN(15,Inputs!$B$43)/(Inputs!$B$43),0))),0)))&gt;=100),MIN(100,((Inputs!$B$9+((C366=TRUE)*(F366-Calc!F19))+B378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385)&lt;=0,1,MAX(0,IF(Inputs!$B$38="pvp",15,Inputs!$B$43)-MAX(5,B385))/(IF(Inputs!$B$38="pvp",15,Inputs!$B$43)-(B385))))*IF(AND(ArtifactsInput!$M$42,((Inputs!$B$9+((C366=TRUE)*(F366-Calc!F19))+B378+(ArtifactsInput!$M$24-ArtifactsInput!$M$24)*CHOOSE(ArtifactsInput!$N$24+1,10,12,14,16,18,20)+IF(ArtifactsInput!$M$10,CHOOSE(ArtifactsInput!$N$10+1,15,18,21,24,27,30)*(IF(Inputs!$B$38="pvp",MIN(15,15)/15,IF(AND(Inputs!$B$38&lt;&gt;"pvp",Inputs!$B$43&gt;0),MIN(15,Inputs!$B$43)/(Inputs!$B$43),0))),0)))&gt;=100),CHOOSE(ArtifactsInput!$N$42+1,40,48,56,64,72,80),0))))/100)*((1+(((C364=TRUE)*F364*5/7)+((C371=TRUE)*(F371-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353)</f>
        <v/>
      </c>
      <c r="L353">
        <f>K353*(MIN(Inputs!$B$22+((C369=TRUE)*(F369-Calc!F22)),(Inputs!$B$23+0+(IF(ArtifactsInput!$M$15,CHOOSE(ArtifactsInput!$N$15+1,25,30,35,40,45,50)/100*(Inputs!$B$11-Inputs!$B$11),0))))/100+(Inputs!$B$23+0+(IF(ArtifactsInput!$M$15,CHOOSE(ArtifactsInput!$N$15+1,25,30,35,40,45,50)/100*(Inputs!$B$11-Inputs!$B$11),0)))/100)/2</f>
        <v/>
      </c>
      <c r="M353">
        <f>L353*(1+(Inputs!$B$10+((C372=TRUE)*(F372-Calc!F25))+B383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53">
        <f>L353*(1-MIN((Inputs!$B$9+((C366=TRUE)*(F366-Calc!F19))+B378+(ArtifactsInput!$M$24-ArtifactsInput!$M$24)*CHOOSE(ArtifactsInput!$N$24+1,10,12,14,16,18,20)+(IF(AND(Inputs!$B$38&lt;&gt;"pvp",Inputs!$B$43=0),1,IF(IF(Inputs!$B$38="pvp",15,Inputs!$B$43)-(B385)&lt;=0,1,MAX(0,IF(Inputs!$B$38="pvp",15,Inputs!$B$43)-MAX(5,B385))/(IF(Inputs!$B$38="pvp",15,Inputs!$B$43)-(B385))))*IF(AND(ArtifactsInput!$M$42,((Inputs!$B$9+((C366=TRUE)*(F366-Calc!F19))+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353*(MIN((Inputs!$B$9+((C366=TRUE)*(F366-Calc!F19))+B378+(ArtifactsInput!$M$24-ArtifactsInput!$M$24)*CHOOSE(ArtifactsInput!$N$24+1,10,12,14,16,18,20)+(IF(AND(Inputs!$B$38&lt;&gt;"pvp",Inputs!$B$43=0),1,IF(IF(Inputs!$B$38="pvp",15,Inputs!$B$43)-(B385)&lt;=0,1,MAX(0,IF(Inputs!$B$38="pvp",15,Inputs!$B$43)-MAX(5,B385))/(IF(Inputs!$B$38="pvp",15,Inputs!$B$43)-(B385))))*IF(AND(ArtifactsInput!$M$42,((Inputs!$B$9+((C366=TRUE)*(F366-Calc!F19))+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53">
        <f>(1-Summary!$B$11)*T353+Summary!$B$11*V353</f>
        <v/>
      </c>
      <c r="P353">
        <f>IF(B388=0,0,O353/B388)</f>
        <v/>
      </c>
      <c r="Q353">
        <f>IFERROR(1/(IF(Inputs!$B$38="pvp",15,MAX(0.1,Skills!D6-IF(TRUE=TRUE,Inputs!$B$32,0)))*(1-IF(AND(ArtifactsInput!$M$27,Inputs!$B$4="Chapter Hunt"),CHOOSE(ArtifactsInput!$N$27+1,20,24,28,32,36,40),0)/100)),0)</f>
        <v/>
      </c>
      <c r="R353">
        <f>IF(AND(Inputs!$B$38&lt;&gt;"pvp",Inputs!$B$43&gt;0),IF(MAX(0,Inputs!$B$43-B385)&lt;=0,0,(INT(MAX(0,Inputs!$B$43-B385)/(IF(Inputs!$B$38="pvp",15,MAX(0.1,Skills!D6-IF(TRUE=TRUE,Inputs!$B$32,0)))*(1-IF(AND(ArtifactsInput!$M$27,Inputs!$B$4="Chapter Hunt"),CHOOSE(ArtifactsInput!$N$27+1,20,24,28,32,36,40),0)/100)))+1)),0)</f>
        <v/>
      </c>
      <c r="S353">
        <f>IFERROR(O353/N353,0)</f>
        <v/>
      </c>
      <c r="T353">
        <f>IF(C353,(H353*N353*IF(AND(Inputs!$B$38&lt;&gt;"pvp",Inputs!$B$43&gt;0),((Skills!G6*((R353-1)*IF(Skills!H6&gt;0,INT(Skills!I6/Skills!H6+0.000000001),1)+IF(Skills!H6&gt;0,INT(MIN(Skills!I6,MAX(0,MAX(0,Inputs!$B$43-B385)-((R353-1)*(IF(Inputs!$B$38="pvp",15,MAX(0.1,Skills!D6-IF(TRUE=TRUE,Inputs!$B$32,0)))*(1-IF(AND(ArtifactsInput!$M$27,Inputs!$B$4="Chapter Hunt"),CHOOSE(ArtifactsInput!$N$27+1,20,24,28,32,36,40),0)/100)))))/Skills!H6+0.000000001),1)))/Inputs!$B$43),G353*Q353))*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Hunt"),CHOOSE(ArtifactsInput!$N$35+1,15,18,21,24,27,30)*(1-EXP(-(0.2*B380)*5)),0)+IF(AND(ArtifactsInput!$M$22,Inputs!$B$4&lt;&gt;"Chapter Hunt"),CHOOSE(ArtifactsInput!$N$22+1,10,12,14,16,18,20)*((0*(((0.15*B380*5))^0/1)+1*(((0.15*B380*5))^1/1)+2*(((0.15*B380*5))^2/2)+3*(((0.15*B380*5))^3/6)+4*(((0.15*B380*5))^4/24)+5*(((0.15*B380*5))^5/120))/((((0.15*B380*5))^0/1)+(((0.15*B380*5))^1/1)+(((0.15*B380*5))^2/2)+(((0.15*B380*5))^3/6)+(((0.15*B380*5))^4/24)+(((0.15*B380*5))^5/120))),0))+IF(Inputs!$B$3&gt;=54,9*(C350=TRUE)*MIN(1,8*(1+Inputs!$B$34/100)*Q350)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353*(1-MIN(100,(Inputs!$B$9+((C366=TRUE)*(F366-Calc!F19))+B378+(ArtifactsInput!$M$24-ArtifactsInput!$M$24)*CHOOSE(ArtifactsInput!$N$24+1,10,12,14,16,18,20)+(IF(AND(Inputs!$B$38&lt;&gt;"pvp",Inputs!$B$43=0),1,IF(IF(Inputs!$B$38="pvp",15,Inputs!$B$43)-(B385)&lt;=0,1,MAX(0,IF(Inputs!$B$38="pvp",15,Inputs!$B$43)-MAX(5,B385))/(IF(Inputs!$B$38="pvp",15,Inputs!$B$43)-(B385))))*IF(AND(ArtifactsInput!$M$42,((Inputs!$B$9+((C366=TRUE)*(F366-Calc!F19))+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353*(MIN(100,(Inputs!$B$9+((C366=TRUE)*(F366-Calc!F19))+B378+(ArtifactsInput!$M$24-ArtifactsInput!$M$24)*CHOOSE(ArtifactsInput!$N$24+1,10,12,14,16,18,20)+(IF(AND(Inputs!$B$38&lt;&gt;"pvp",Inputs!$B$43=0),1,IF(IF(Inputs!$B$38="pvp",15,Inputs!$B$43)-(B385)&lt;=0,1,MAX(0,IF(Inputs!$B$38="pvp",15,Inputs!$B$43)-MAX(5,B385))/(IF(Inputs!$B$38="pvp",15,Inputs!$B$43)-(B385))))*IF(AND(ArtifactsInput!$M$42,((Inputs!$B$9+((C366=TRUE)*(F366-Calc!F19))+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353*(1-MIN(100,(Inputs!$B$9+((C366=TRUE)*(F366-Calc!F19))+B378+(ArtifactsInput!$M$24-ArtifactsInput!$M$24)*CHOOSE(ArtifactsInput!$N$24+1,10,12,14,16,18,20)+(IF(AND(Inputs!$B$38&lt;&gt;"pvp",Inputs!$B$43=0),1,IF(IF(Inputs!$B$38="pvp",15,Inputs!$B$43)-(B385)&lt;=0,1,MAX(0,IF(Inputs!$B$38="pvp",15,Inputs!$B$43)-MAX(5,B385))/(IF(Inputs!$B$38="pvp",15,Inputs!$B$43)-(B385))))*IF(AND(ArtifactsInput!$M$42,((Inputs!$B$9+((C366=TRUE)*(F366-Calc!F19))+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353*(MIN(100,(Inputs!$B$9+((C366=TRUE)*(F366-Calc!F19))+B378+(ArtifactsInput!$M$24-ArtifactsInput!$M$24)*CHOOSE(ArtifactsInput!$N$24+1,10,12,14,16,18,20)+(IF(AND(Inputs!$B$38&lt;&gt;"pvp",Inputs!$B$43=0),1,IF(IF(Inputs!$B$38="pvp",15,Inputs!$B$43)-(B385)&lt;=0,1,MAX(0,IF(Inputs!$B$38="pvp",15,Inputs!$B$43)-MAX(5,B385))/(IF(Inputs!$B$38="pvp",15,Inputs!$B$43)-(B385))))*IF(AND(ArtifactsInput!$M$42,((Inputs!$B$9+((C366=TRUE)*(F366-Calc!F19))+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53">
        <f>IF(C353,(H353*N353*IF(AND(Inputs!$B$38&lt;&gt;"pvp",Inputs!$B$43&gt;0),((Skills!G6*((R353-1)*IF(Skills!H6&gt;0,INT(Skills!I6/Skills!H6+0.000000001),1)+IF(Skills!H6&gt;0,INT(MIN(Skills!I6,MAX(0,MAX(0,Inputs!$B$43-B385)-((R353-1)*(IF(Inputs!$B$38="pvp",15,MAX(0.1,Skills!D6-IF(TRUE=TRUE,Inputs!$B$32,0)))*(1-IF(AND(ArtifactsInput!$M$27,Inputs!$B$4="Chapter Hunt"),CHOOSE(ArtifactsInput!$N$27+1,20,24,28,32,36,40),0)/100)))))/Skills!H6+0.000000001),1)))/Inputs!$B$43),G353*Q353))*IF(Inputs!$B$38="pvp",1,(1+((Inputs!$B$21+1)+Skills!Q6+(IF(ArtifactsInput!$M$33,CHOOSE(ArtifactsInput!$N$33+1,30,36,42,48,54,60),0))+(IF(AND(ArtifactsInput!$M$35,Inputs!$B$4&lt;&gt;"Chapter Hunt"),CHOOSE(ArtifactsInput!$N$35+1,15,18,21,24,27,30)*(1-EXP(-(0.2*B380)*5)),0)+IF(AND(ArtifactsInput!$M$22,Inputs!$B$4&lt;&gt;"Chapter Hunt"),CHOOSE(ArtifactsInput!$N$22+1,10,12,14,16,18,20)*((0*(((0.15*B380*5))^0/1)+1*(((0.15*B380*5))^1/1)+2*(((0.15*B380*5))^2/2)+3*(((0.15*B380*5))^3/6)+4*(((0.15*B380*5))^4/24)+5*(((0.15*B380*5))^5/120))/((((0.15*B380*5))^0/1)+(((0.15*B380*5))^1/1)+(((0.15*B380*5))^2/2)+(((0.15*B380*5))^3/6)+(((0.15*B380*5))^4/24)+(((0.15*B380*5))^5/120))),0))+IF(Inputs!$B$3&gt;=54,9*(C350=TRUE)*MIN(1,8*(1+Inputs!$B$34/100)*Q350)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54">
      <c r="A354">
        <f>Skills!A7</f>
        <v/>
      </c>
      <c r="B354">
        <f>Skills!B7</f>
        <v/>
      </c>
      <c r="C354">
        <f>Inputs!$B$3&gt;=63</f>
        <v/>
      </c>
      <c r="D354">
        <f>IF(Skills!C7=1,60+Inputs!$B$25+Inputs!$B$29,IF(Skills!C7=2,90+Inputs!$B$26+Inputs!$B$29,IF(Skills!C7=3,120+Inputs!$B$27+Inputs!$B$29,MAX(0,(Inputs!$B$3-100)*3)+Inputs!$B$28+Inputs!$B$29)))</f>
        <v/>
      </c>
      <c r="E354">
        <f>INDEX(FactorTable!$B$2:$Y$301, MATCH(ROUND(MIN(300,MAX(1,D354)),0), FactorTable!$A$2:$A$301,0), Skills!M7+1)</f>
        <v/>
      </c>
      <c r="F354">
        <f>IF(Skills!N7=TRUE,(Skills!L7/10)*(E354/1000),Skills!L7/10)+Skills!O7</f>
        <v/>
      </c>
      <c r="G354">
        <f>Skills!G7*IF(Skills!H7&gt;0,INT(IF(Inputs!$B$38="pvp",MIN(Skills!I7,15),Skills!I7)/Skills!H7+0.000000001),1)</f>
        <v/>
      </c>
      <c r="H354">
        <f>1-(1-Skills!J7/100)^Skills!K7</f>
        <v/>
      </c>
      <c r="I354" t="inlineStr">
        <is>
          <t>1</t>
        </is>
      </c>
      <c r="J354">
        <f>((Inputs!$B$6*(1+Inputs!$B$7/100))+(((Inputs!$B$12*(1+Inputs!$B$13/100))-(Inputs!$B$12*(1+Inputs!$B$13/100)))+0.25*(Inputs!$B$14-Inputs!$B$14))*(1+Inputs!$B$7/100))*(F354/100)</f>
        <v/>
      </c>
      <c r="K354">
        <f>J354*(1+((Inputs!$B$12*(1+Inputs!$B$13/100))*0.01+Inputs!$B$14*0.0025)/100)*(1+Inputs!$B$15/100)*(1+Inputs!$B$16/100)*(5000/(6000+Inputs!$B$42*(1-(100*(1-(1-(Inputs!$B$19+0)/100)*(1-CHOOSE(ArtifactsInput!$N$40+1,5,6,7,8,9,10)/100)^(ArtifactsInput!$M$40-ArtifactsInput!$M$40)))/100)))*(1+(Inputs!$B$24+((C373=TRUE)*(F373-Calc!F26))+B384)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362=TRUE,F362,0)/100)*(1+(IF(Skills!A7="EIGHT_LEGS_EASTON",Inputs!$B$17+((C370=TRUE)*(F370-Calc!F23))+((C374=TRUE)*(F374-Calc!F27))+((IF(AND(Inputs!$B$38&lt;&gt;"pvp",Inputs!$B$43=0),1,IF(IF(Inputs!$B$38="pvp",15,Inputs!$B$43)-(B385)&lt;=0,1,MAX(0,IF(Inputs!$B$38="pvp",15,Inputs!$B$43)-MAX(5,B385))/(IF(Inputs!$B$38="pvp",15,Inputs!$B$43)-(B385))))*(IF(AND(ArtifactsInput!$M$42,((Inputs!$B$9+((C366=TRUE)*(F366-Calc!F19))+B378+(ArtifactsInput!$M$24-ArtifactsInput!$M$24)*CHOOSE(ArtifactsInput!$N$24+1,10,12,14,16,18,20)+IF(ArtifactsInput!$M$10,CHOOSE(ArtifactsInput!$N$10+1,15,18,21,24,27,30)*(IF(Inputs!$B$38="pvp",MIN(15,15)/15,IF(AND(Inputs!$B$38&lt;&gt;"pvp",Inputs!$B$43&gt;0),MIN(15,Inputs!$B$43)/(Inputs!$B$43),0))),0)))&gt;=100),MIN(100,((Inputs!$B$9+((C366=TRUE)*(F366-Calc!F19))+B378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385)&lt;=0,1,MAX(0,IF(Inputs!$B$38="pvp",15,Inputs!$B$43)-MAX(5,B385))/(IF(Inputs!$B$38="pvp",15,Inputs!$B$43)-(B385))))*IF(AND(ArtifactsInput!$M$42,((Inputs!$B$9+((C366=TRUE)*(F366-Calc!F19))+B378+(ArtifactsInput!$M$24-ArtifactsInput!$M$24)*CHOOSE(ArtifactsInput!$N$24+1,10,12,14,16,18,20)+IF(ArtifactsInput!$M$10,CHOOSE(ArtifactsInput!$N$10+1,15,18,21,24,27,30)*(IF(Inputs!$B$38="pvp",MIN(15,15)/15,IF(AND(Inputs!$B$38&lt;&gt;"pvp",Inputs!$B$43&gt;0),MIN(15,Inputs!$B$43)/(Inputs!$B$43),0))),0)))&gt;=100),CHOOSE(ArtifactsInput!$N$42+1,40,48,56,64,72,80),0))))/100)*((1+(((C364=TRUE)*F364*5/7)+((C371=TRUE)*(F371-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354)</f>
        <v/>
      </c>
      <c r="L354">
        <f>K354*(MIN(Inputs!$B$22+((C369=TRUE)*(F369-Calc!F22)),(Inputs!$B$23+0+(IF(ArtifactsInput!$M$15,CHOOSE(ArtifactsInput!$N$15+1,25,30,35,40,45,50)/100*(Inputs!$B$11-Inputs!$B$11),0))))/100+(Inputs!$B$23+0+(IF(ArtifactsInput!$M$15,CHOOSE(ArtifactsInput!$N$15+1,25,30,35,40,45,50)/100*(Inputs!$B$11-Inputs!$B$11),0)))/100)/2</f>
        <v/>
      </c>
      <c r="M354">
        <f>L354*(1+(Inputs!$B$10+((C372=TRUE)*(F372-Calc!F25))+B383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54">
        <f>L354*(1-MIN((Inputs!$B$9+((C366=TRUE)*(F366-Calc!F19))+B378+(ArtifactsInput!$M$24-ArtifactsInput!$M$24)*CHOOSE(ArtifactsInput!$N$24+1,10,12,14,16,18,20)+(IF(AND(Inputs!$B$38&lt;&gt;"pvp",Inputs!$B$43=0),1,IF(IF(Inputs!$B$38="pvp",15,Inputs!$B$43)-(B385)&lt;=0,1,MAX(0,IF(Inputs!$B$38="pvp",15,Inputs!$B$43)-MAX(5,B385))/(IF(Inputs!$B$38="pvp",15,Inputs!$B$43)-(B385))))*IF(AND(ArtifactsInput!$M$42,((Inputs!$B$9+((C366=TRUE)*(F366-Calc!F19))+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354*(MIN((Inputs!$B$9+((C366=TRUE)*(F366-Calc!F19))+B378+(ArtifactsInput!$M$24-ArtifactsInput!$M$24)*CHOOSE(ArtifactsInput!$N$24+1,10,12,14,16,18,20)+(IF(AND(Inputs!$B$38&lt;&gt;"pvp",Inputs!$B$43=0),1,IF(IF(Inputs!$B$38="pvp",15,Inputs!$B$43)-(B385)&lt;=0,1,MAX(0,IF(Inputs!$B$38="pvp",15,Inputs!$B$43)-MAX(5,B385))/(IF(Inputs!$B$38="pvp",15,Inputs!$B$43)-(B385))))*IF(AND(ArtifactsInput!$M$42,((Inputs!$B$9+((C366=TRUE)*(F366-Calc!F19))+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54">
        <f>(1-Summary!$B$11)*T354+Summary!$B$11*V354</f>
        <v/>
      </c>
      <c r="P354">
        <f>IF(B388=0,0,O354/B388)</f>
        <v/>
      </c>
      <c r="Q354">
        <f>IFERROR(1/(IF(Inputs!$B$38="pvp",15,MAX(0.1,Skills!D7-IF(TRUE=TRUE,Inputs!$B$32,0)))*(1-IF(AND(ArtifactsInput!$M$27,Inputs!$B$4="Chapter Hunt"),CHOOSE(ArtifactsInput!$N$27+1,20,24,28,32,36,40),0)/100)),0)</f>
        <v/>
      </c>
      <c r="R354">
        <f>IF(AND(Inputs!$B$38&lt;&gt;"pvp",Inputs!$B$43&gt;0),IF(MAX(0,Inputs!$B$43-B385)&lt;=0,0,(INT(MAX(0,Inputs!$B$43-B385)/(IF(Inputs!$B$38="pvp",15,MAX(0.1,Skills!D7-IF(TRUE=TRUE,Inputs!$B$32,0)))*(1-IF(AND(ArtifactsInput!$M$27,Inputs!$B$4="Chapter Hunt"),CHOOSE(ArtifactsInput!$N$27+1,20,24,28,32,36,40),0)/100)))+1)),0)</f>
        <v/>
      </c>
      <c r="S354">
        <f>IFERROR(O354/N354,0)</f>
        <v/>
      </c>
      <c r="T354">
        <f>IF(C354,(H354*N354*IF(AND(Inputs!$B$38&lt;&gt;"pvp",Inputs!$B$43&gt;0),((Skills!G7*((R354-1)*IF(Skills!H7&gt;0,INT(Skills!I7/Skills!H7+0.000000001),1)+IF(Skills!H7&gt;0,INT(MIN(Skills!I7,MAX(0,MAX(0,Inputs!$B$43-B385)-((R354-1)*(IF(Inputs!$B$38="pvp",15,MAX(0.1,Skills!D7-IF(TRUE=TRUE,Inputs!$B$32,0)))*(1-IF(AND(ArtifactsInput!$M$27,Inputs!$B$4="Chapter Hunt"),CHOOSE(ArtifactsInput!$N$27+1,20,24,28,32,36,40),0)/100)))))/Skills!H7+0.000000001),1)))/Inputs!$B$43),G354*Q354))*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Hunt"),CHOOSE(ArtifactsInput!$N$35+1,15,18,21,24,27,30)*(1-EXP(-(0.2*B380)*5)),0)+IF(AND(ArtifactsInput!$M$22,Inputs!$B$4&lt;&gt;"Chapter Hunt"),CHOOSE(ArtifactsInput!$N$22+1,10,12,14,16,18,20)*((0*(((0.15*B380*5))^0/1)+1*(((0.15*B380*5))^1/1)+2*(((0.15*B380*5))^2/2)+3*(((0.15*B380*5))^3/6)+4*(((0.15*B380*5))^4/24)+5*(((0.15*B380*5))^5/120))/((((0.15*B380*5))^0/1)+(((0.15*B380*5))^1/1)+(((0.15*B380*5))^2/2)+(((0.15*B380*5))^3/6)+(((0.15*B380*5))^4/24)+(((0.15*B380*5))^5/120))),0))+IF(Inputs!$B$3&gt;=54,9*(C350=TRUE)*MIN(1,8*(1+Inputs!$B$34/100)*Q350)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354*(1-MIN(100,(Inputs!$B$9+((C366=TRUE)*(F366-Calc!F19))+B378+(ArtifactsInput!$M$24-ArtifactsInput!$M$24)*CHOOSE(ArtifactsInput!$N$24+1,10,12,14,16,18,20)+(IF(AND(Inputs!$B$38&lt;&gt;"pvp",Inputs!$B$43=0),1,IF(IF(Inputs!$B$38="pvp",15,Inputs!$B$43)-(B385)&lt;=0,1,MAX(0,IF(Inputs!$B$38="pvp",15,Inputs!$B$43)-MAX(5,B385))/(IF(Inputs!$B$38="pvp",15,Inputs!$B$43)-(B385))))*IF(AND(ArtifactsInput!$M$42,((Inputs!$B$9+((C366=TRUE)*(F366-Calc!F19))+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354*(MIN(100,(Inputs!$B$9+((C366=TRUE)*(F366-Calc!F19))+B378+(ArtifactsInput!$M$24-ArtifactsInput!$M$24)*CHOOSE(ArtifactsInput!$N$24+1,10,12,14,16,18,20)+(IF(AND(Inputs!$B$38&lt;&gt;"pvp",Inputs!$B$43=0),1,IF(IF(Inputs!$B$38="pvp",15,Inputs!$B$43)-(B385)&lt;=0,1,MAX(0,IF(Inputs!$B$38="pvp",15,Inputs!$B$43)-MAX(5,B385))/(IF(Inputs!$B$38="pvp",15,Inputs!$B$43)-(B385))))*IF(AND(ArtifactsInput!$M$42,((Inputs!$B$9+((C366=TRUE)*(F366-Calc!F19))+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354*(1-MIN(100,(Inputs!$B$9+((C366=TRUE)*(F366-Calc!F19))+B378+(ArtifactsInput!$M$24-ArtifactsInput!$M$24)*CHOOSE(ArtifactsInput!$N$24+1,10,12,14,16,18,20)+(IF(AND(Inputs!$B$38&lt;&gt;"pvp",Inputs!$B$43=0),1,IF(IF(Inputs!$B$38="pvp",15,Inputs!$B$43)-(B385)&lt;=0,1,MAX(0,IF(Inputs!$B$38="pvp",15,Inputs!$B$43)-MAX(5,B385))/(IF(Inputs!$B$38="pvp",15,Inputs!$B$43)-(B385))))*IF(AND(ArtifactsInput!$M$42,((Inputs!$B$9+((C366=TRUE)*(F366-Calc!F19))+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354*(MIN(100,(Inputs!$B$9+((C366=TRUE)*(F366-Calc!F19))+B378+(ArtifactsInput!$M$24-ArtifactsInput!$M$24)*CHOOSE(ArtifactsInput!$N$24+1,10,12,14,16,18,20)+(IF(AND(Inputs!$B$38&lt;&gt;"pvp",Inputs!$B$43=0),1,IF(IF(Inputs!$B$38="pvp",15,Inputs!$B$43)-(B385)&lt;=0,1,MAX(0,IF(Inputs!$B$38="pvp",15,Inputs!$B$43)-MAX(5,B385))/(IF(Inputs!$B$38="pvp",15,Inputs!$B$43)-(B385))))*IF(AND(ArtifactsInput!$M$42,((Inputs!$B$9+((C366=TRUE)*(F366-Calc!F19))+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54">
        <f>IF(C354,(H354*N354*IF(AND(Inputs!$B$38&lt;&gt;"pvp",Inputs!$B$43&gt;0),((Skills!G7*((R354-1)*IF(Skills!H7&gt;0,INT(Skills!I7/Skills!H7+0.000000001),1)+IF(Skills!H7&gt;0,INT(MIN(Skills!I7,MAX(0,MAX(0,Inputs!$B$43-B385)-((R354-1)*(IF(Inputs!$B$38="pvp",15,MAX(0.1,Skills!D7-IF(TRUE=TRUE,Inputs!$B$32,0)))*(1-IF(AND(ArtifactsInput!$M$27,Inputs!$B$4="Chapter Hunt"),CHOOSE(ArtifactsInput!$N$27+1,20,24,28,32,36,40),0)/100)))))/Skills!H7+0.000000001),1)))/Inputs!$B$43),G354*Q354))*IF(Inputs!$B$38="pvp",1,(1+((Inputs!$B$21+1)+Skills!Q7+(IF(ArtifactsInput!$M$33,CHOOSE(ArtifactsInput!$N$33+1,30,36,42,48,54,60),0))+(IF(AND(ArtifactsInput!$M$35,Inputs!$B$4&lt;&gt;"Chapter Hunt"),CHOOSE(ArtifactsInput!$N$35+1,15,18,21,24,27,30)*(1-EXP(-(0.2*B380)*5)),0)+IF(AND(ArtifactsInput!$M$22,Inputs!$B$4&lt;&gt;"Chapter Hunt"),CHOOSE(ArtifactsInput!$N$22+1,10,12,14,16,18,20)*((0*(((0.15*B380*5))^0/1)+1*(((0.15*B380*5))^1/1)+2*(((0.15*B380*5))^2/2)+3*(((0.15*B380*5))^3/6)+4*(((0.15*B380*5))^4/24)+5*(((0.15*B380*5))^5/120))/((((0.15*B380*5))^0/1)+(((0.15*B380*5))^1/1)+(((0.15*B380*5))^2/2)+(((0.15*B380*5))^3/6)+(((0.15*B380*5))^4/24)+(((0.15*B380*5))^5/120))),0))+IF(Inputs!$B$3&gt;=54,9*(C350=TRUE)*MIN(1,8*(1+Inputs!$B$34/100)*Q350)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55">
      <c r="A355">
        <f>Skills!A8</f>
        <v/>
      </c>
      <c r="B355">
        <f>Skills!B8</f>
        <v/>
      </c>
      <c r="C355">
        <f>Inputs!$B$3&gt;=103</f>
        <v/>
      </c>
      <c r="D355">
        <f>IF(Skills!C8=1,60+Inputs!$B$25+Inputs!$B$29,IF(Skills!C8=2,90+Inputs!$B$26+Inputs!$B$29,IF(Skills!C8=3,120+Inputs!$B$27+Inputs!$B$29,MAX(0,(Inputs!$B$3-100)*3)+Inputs!$B$28+Inputs!$B$29)))</f>
        <v/>
      </c>
      <c r="E355">
        <f>INDEX(FactorTable!$B$2:$Y$301, MATCH(ROUND(MIN(300,MAX(1,D355)),0), FactorTable!$A$2:$A$301,0), Skills!M8+1)</f>
        <v/>
      </c>
      <c r="F355">
        <f>IF(Skills!N8=TRUE,(Skills!L8/10)*(E355/1000),Skills!L8/10)+Skills!O8</f>
        <v/>
      </c>
      <c r="G355">
        <f>Skills!G8*IF(Skills!H8&gt;0,INT(IF(Inputs!$B$38="pvp",MIN(Skills!I8,15),Skills!I8)/Skills!H8+0.000000001),1)</f>
        <v/>
      </c>
      <c r="H355">
        <f>1-(1-Skills!J8/100)^Skills!K8</f>
        <v/>
      </c>
      <c r="I355" t="inlineStr">
        <is>
          <t>1</t>
        </is>
      </c>
      <c r="J355">
        <f>((Inputs!$B$6*(1+Inputs!$B$7/100))+(((Inputs!$B$12*(1+Inputs!$B$13/100))-(Inputs!$B$12*(1+Inputs!$B$13/100)))+0.25*(Inputs!$B$14-Inputs!$B$14))*(1+Inputs!$B$7/100))*(F355/100)</f>
        <v/>
      </c>
      <c r="K355">
        <f>J355*(1+((Inputs!$B$12*(1+Inputs!$B$13/100))*0.01+Inputs!$B$14*0.0025)/100)*(1+Inputs!$B$15/100)*(1+Inputs!$B$16/100)*(5000/(6000+Inputs!$B$42*(1-(100*(1-(1-(Inputs!$B$19+0)/100)*(1-CHOOSE(ArtifactsInput!$N$40+1,5,6,7,8,9,10)/100)^(ArtifactsInput!$M$40-ArtifactsInput!$M$40)))/100)))*(1+(Inputs!$B$24+((C373=TRUE)*(F373-Calc!F26))+B384)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IGHT_LEGS_EASTON",Inputs!$B$17+((C370=TRUE)*(F370-Calc!F23))+((C374=TRUE)*(F374-Calc!F27))+((IF(AND(Inputs!$B$38&lt;&gt;"pvp",Inputs!$B$43=0),1,IF(IF(Inputs!$B$38="pvp",15,Inputs!$B$43)-(B385)&lt;=0,1,MAX(0,IF(Inputs!$B$38="pvp",15,Inputs!$B$43)-MAX(5,B385))/(IF(Inputs!$B$38="pvp",15,Inputs!$B$43)-(B385))))*(IF(AND(ArtifactsInput!$M$42,((Inputs!$B$9+((C366=TRUE)*(F366-Calc!F19))+B378+(ArtifactsInput!$M$24-ArtifactsInput!$M$24)*CHOOSE(ArtifactsInput!$N$24+1,10,12,14,16,18,20)+IF(ArtifactsInput!$M$10,CHOOSE(ArtifactsInput!$N$10+1,15,18,21,24,27,30)*(IF(Inputs!$B$38="pvp",MIN(15,15)/15,IF(AND(Inputs!$B$38&lt;&gt;"pvp",Inputs!$B$43&gt;0),MIN(15,Inputs!$B$43)/(Inputs!$B$43),0))),0)))&gt;=100),MIN(100,((Inputs!$B$9+((C366=TRUE)*(F366-Calc!F19))+B378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385)&lt;=0,1,MAX(0,IF(Inputs!$B$38="pvp",15,Inputs!$B$43)-MAX(5,B385))/(IF(Inputs!$B$38="pvp",15,Inputs!$B$43)-(B385))))*IF(AND(ArtifactsInput!$M$42,((Inputs!$B$9+((C366=TRUE)*(F366-Calc!F19))+B378+(ArtifactsInput!$M$24-ArtifactsInput!$M$24)*CHOOSE(ArtifactsInput!$N$24+1,10,12,14,16,18,20)+IF(ArtifactsInput!$M$10,CHOOSE(ArtifactsInput!$N$10+1,15,18,21,24,27,30)*(IF(Inputs!$B$38="pvp",MIN(15,15)/15,IF(AND(Inputs!$B$38&lt;&gt;"pvp",Inputs!$B$43&gt;0),MIN(15,Inputs!$B$43)/(Inputs!$B$43),0))),0)))&gt;=100),CHOOSE(ArtifactsInput!$N$42+1,40,48,56,64,72,80),0))))/100)*((1+(((C364=TRUE)*F364*5/7)+((C371=TRUE)*(F371-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355)</f>
        <v/>
      </c>
      <c r="L355">
        <f>K355*(MIN(Inputs!$B$22+((C369=TRUE)*(F369-Calc!F22)),(Inputs!$B$23+0+(IF(ArtifactsInput!$M$15,CHOOSE(ArtifactsInput!$N$15+1,25,30,35,40,45,50)/100*(Inputs!$B$11-Inputs!$B$11),0))))/100+(Inputs!$B$23+0+(IF(ArtifactsInput!$M$15,CHOOSE(ArtifactsInput!$N$15+1,25,30,35,40,45,50)/100*(Inputs!$B$11-Inputs!$B$11),0)))/100)/2</f>
        <v/>
      </c>
      <c r="M355">
        <f>L355*(1+(Inputs!$B$10+((C372=TRUE)*(F372-Calc!F25))+B383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55">
        <f>L355*(1-MIN((Inputs!$B$9+((C366=TRUE)*(F366-Calc!F19))+B378+(ArtifactsInput!$M$24-ArtifactsInput!$M$24)*CHOOSE(ArtifactsInput!$N$24+1,10,12,14,16,18,20)+(IF(AND(Inputs!$B$38&lt;&gt;"pvp",Inputs!$B$43=0),1,IF(IF(Inputs!$B$38="pvp",15,Inputs!$B$43)-(B385)&lt;=0,1,MAX(0,IF(Inputs!$B$38="pvp",15,Inputs!$B$43)-MAX(5,B385))/(IF(Inputs!$B$38="pvp",15,Inputs!$B$43)-(B385))))*IF(AND(ArtifactsInput!$M$42,((Inputs!$B$9+((C366=TRUE)*(F366-Calc!F19))+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355*(MIN((Inputs!$B$9+((C366=TRUE)*(F366-Calc!F19))+B378+(ArtifactsInput!$M$24-ArtifactsInput!$M$24)*CHOOSE(ArtifactsInput!$N$24+1,10,12,14,16,18,20)+(IF(AND(Inputs!$B$38&lt;&gt;"pvp",Inputs!$B$43=0),1,IF(IF(Inputs!$B$38="pvp",15,Inputs!$B$43)-(B385)&lt;=0,1,MAX(0,IF(Inputs!$B$38="pvp",15,Inputs!$B$43)-MAX(5,B385))/(IF(Inputs!$B$38="pvp",15,Inputs!$B$43)-(B385))))*IF(AND(ArtifactsInput!$M$42,((Inputs!$B$9+((C366=TRUE)*(F366-Calc!F19))+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55">
        <f>(1-Summary!$B$11)*T355+Summary!$B$11*V355</f>
        <v/>
      </c>
      <c r="P355">
        <f>IF(B388=0,0,O355/B388)</f>
        <v/>
      </c>
      <c r="Q355">
        <f>IFERROR(1/((IF(Inputs!$B$38="pvp",15,MAX(0.1,Skills!D8-IF(TRUE=TRUE,Inputs!$B$32,0)))*(1-IF(AND(ArtifactsInput!$M$27,Inputs!$B$4="Chapter Hunt"),CHOOSE(ArtifactsInput!$N$27+1,20,24,28,32,36,40),0)/100))/B389),0)</f>
        <v/>
      </c>
      <c r="R355">
        <f>IF(AND(Inputs!$B$38&lt;&gt;"pvp",Inputs!$B$43&gt;0),IF(MAX(0,Inputs!$B$43-B385)&lt;=0,0,(INT(MAX(0,Inputs!$B$43-B385)/((IF(Inputs!$B$38="pvp",15,MAX(0.1,Skills!D8-IF(TRUE=TRUE,Inputs!$B$32,0)))*(1-IF(AND(ArtifactsInput!$M$27,Inputs!$B$4="Chapter Hunt"),CHOOSE(ArtifactsInput!$N$27+1,20,24,28,32,36,40),0)/100))/B389))+1)),0)</f>
        <v/>
      </c>
      <c r="S355">
        <f>IFERROR(O355/N355,0)</f>
        <v/>
      </c>
      <c r="T355">
        <f>IF(C355,(H355*N355*IF(AND(Inputs!$B$38&lt;&gt;"pvp",Inputs!$B$43&gt;0),((Skills!G8*((R355-1)*IF(Skills!H8&gt;0,INT(Skills!I8/Skills!H8+0.000000001),1)+IF(Skills!H8&gt;0,INT(MIN(Skills!I8,MAX(0,MAX(0,Inputs!$B$43-B385)-((R355-1)*((IF(Inputs!$B$38="pvp",15,MAX(0.1,Skills!D8-IF(TRUE=TRUE,Inputs!$B$32,0)))*(1-IF(AND(ArtifactsInput!$M$27,Inputs!$B$4="Chapter Hunt"),CHOOSE(ArtifactsInput!$N$27+1,20,24,28,32,36,40),0)/100))/B389))))/Skills!H8+0.000000001),1)))/Inputs!$B$43),G355*Q355))*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Hunt"),CHOOSE(ArtifactsInput!$N$35+1,15,18,21,24,27,30)*(1-EXP(-(0.2*B380)*5)),0)+IF(AND(ArtifactsInput!$M$22,Inputs!$B$4&lt;&gt;"Chapter Hunt"),CHOOSE(ArtifactsInput!$N$22+1,10,12,14,16,18,20)*((0*(((0.15*B380*5))^0/1)+1*(((0.15*B380*5))^1/1)+2*(((0.15*B380*5))^2/2)+3*(((0.15*B380*5))^3/6)+4*(((0.15*B380*5))^4/24)+5*(((0.15*B380*5))^5/120))/((((0.15*B380*5))^0/1)+(((0.15*B380*5))^1/1)+(((0.15*B380*5))^2/2)+(((0.15*B380*5))^3/6)+(((0.15*B380*5))^4/24)+(((0.15*B380*5))^5/120))),0))+IF(Inputs!$B$3&gt;=54,9*(C350=TRUE)*MIN(1,8*(1+Inputs!$B$34/100)*Q350)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355*(1-MIN(100,(Inputs!$B$9+((C366=TRUE)*(F366-Calc!F19))+B378+(ArtifactsInput!$M$24-ArtifactsInput!$M$24)*CHOOSE(ArtifactsInput!$N$24+1,10,12,14,16,18,20)+(IF(AND(Inputs!$B$38&lt;&gt;"pvp",Inputs!$B$43=0),1,IF(IF(Inputs!$B$38="pvp",15,Inputs!$B$43)-(B385)&lt;=0,1,MAX(0,IF(Inputs!$B$38="pvp",15,Inputs!$B$43)-MAX(5,B385))/(IF(Inputs!$B$38="pvp",15,Inputs!$B$43)-(B385))))*IF(AND(ArtifactsInput!$M$42,((Inputs!$B$9+((C366=TRUE)*(F366-Calc!F19))+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355*(MIN(100,(Inputs!$B$9+((C366=TRUE)*(F366-Calc!F19))+B378+(ArtifactsInput!$M$24-ArtifactsInput!$M$24)*CHOOSE(ArtifactsInput!$N$24+1,10,12,14,16,18,20)+(IF(AND(Inputs!$B$38&lt;&gt;"pvp",Inputs!$B$43=0),1,IF(IF(Inputs!$B$38="pvp",15,Inputs!$B$43)-(B385)&lt;=0,1,MAX(0,IF(Inputs!$B$38="pvp",15,Inputs!$B$43)-MAX(5,B385))/(IF(Inputs!$B$38="pvp",15,Inputs!$B$43)-(B385))))*IF(AND(ArtifactsInput!$M$42,((Inputs!$B$9+((C366=TRUE)*(F366-Calc!F19))+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355*(1-MIN(100,(Inputs!$B$9+((C366=TRUE)*(F366-Calc!F19))+B378+(ArtifactsInput!$M$24-ArtifactsInput!$M$24)*CHOOSE(ArtifactsInput!$N$24+1,10,12,14,16,18,20)+(IF(AND(Inputs!$B$38&lt;&gt;"pvp",Inputs!$B$43=0),1,IF(IF(Inputs!$B$38="pvp",15,Inputs!$B$43)-(B385)&lt;=0,1,MAX(0,IF(Inputs!$B$38="pvp",15,Inputs!$B$43)-MAX(5,B385))/(IF(Inputs!$B$38="pvp",15,Inputs!$B$43)-(B385))))*IF(AND(ArtifactsInput!$M$42,((Inputs!$B$9+((C366=TRUE)*(F366-Calc!F19))+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355*(MIN(100,(Inputs!$B$9+((C366=TRUE)*(F366-Calc!F19))+B378+(ArtifactsInput!$M$24-ArtifactsInput!$M$24)*CHOOSE(ArtifactsInput!$N$24+1,10,12,14,16,18,20)+(IF(AND(Inputs!$B$38&lt;&gt;"pvp",Inputs!$B$43=0),1,IF(IF(Inputs!$B$38="pvp",15,Inputs!$B$43)-(B385)&lt;=0,1,MAX(0,IF(Inputs!$B$38="pvp",15,Inputs!$B$43)-MAX(5,B385))/(IF(Inputs!$B$38="pvp",15,Inputs!$B$43)-(B385))))*IF(AND(ArtifactsInput!$M$42,((Inputs!$B$9+((C366=TRUE)*(F366-Calc!F19))+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55">
        <f>IF(C355,(H355*N355*IF(AND(Inputs!$B$38&lt;&gt;"pvp",Inputs!$B$43&gt;0),((Skills!G8*((R355-1)*IF(Skills!H8&gt;0,INT(Skills!I8/Skills!H8+0.000000001),1)+IF(Skills!H8&gt;0,INT(MIN(Skills!I8,MAX(0,MAX(0,Inputs!$B$43-B385)-((R355-1)*((IF(Inputs!$B$38="pvp",15,MAX(0.1,Skills!D8-IF(TRUE=TRUE,Inputs!$B$32,0)))*(1-IF(AND(ArtifactsInput!$M$27,Inputs!$B$4="Chapter Hunt"),CHOOSE(ArtifactsInput!$N$27+1,20,24,28,32,36,40),0)/100))/B389))))/Skills!H8+0.000000001),1)))/Inputs!$B$43),G355*Q355))*IF(Inputs!$B$38="pvp",1,(1+((Inputs!$B$21+1)+Skills!Q8+(IF(ArtifactsInput!$M$33,CHOOSE(ArtifactsInput!$N$33+1,30,36,42,48,54,60),0))+(IF(AND(ArtifactsInput!$M$35,Inputs!$B$4&lt;&gt;"Chapter Hunt"),CHOOSE(ArtifactsInput!$N$35+1,15,18,21,24,27,30)*(1-EXP(-(0.2*B380)*5)),0)+IF(AND(ArtifactsInput!$M$22,Inputs!$B$4&lt;&gt;"Chapter Hunt"),CHOOSE(ArtifactsInput!$N$22+1,10,12,14,16,18,20)*((0*(((0.15*B380*5))^0/1)+1*(((0.15*B380*5))^1/1)+2*(((0.15*B380*5))^2/2)+3*(((0.15*B380*5))^3/6)+4*(((0.15*B380*5))^4/24)+5*(((0.15*B380*5))^5/120))/((((0.15*B380*5))^0/1)+(((0.15*B380*5))^1/1)+(((0.15*B380*5))^2/2)+(((0.15*B380*5))^3/6)+(((0.15*B380*5))^4/24)+(((0.15*B380*5))^5/120))),0))+IF(Inputs!$B$3&gt;=54,9*(C350=TRUE)*MIN(1,8*(1+Inputs!$B$34/100)*Q350)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56">
      <c r="A356">
        <f>Skills!A9</f>
        <v/>
      </c>
      <c r="B356">
        <f>Skills!B9</f>
        <v/>
      </c>
      <c r="C356">
        <f>Inputs!$B$3&gt;=105</f>
        <v/>
      </c>
      <c r="D356">
        <f>IF(Skills!C9=1,60+Inputs!$B$25+Inputs!$B$29,IF(Skills!C9=2,90+Inputs!$B$26+Inputs!$B$29,IF(Skills!C9=3,120+Inputs!$B$27+Inputs!$B$29,MAX(0,(Inputs!$B$3-100)*3)+Inputs!$B$28+Inputs!$B$29)))</f>
        <v/>
      </c>
      <c r="E356">
        <f>INDEX(FactorTable!$B$2:$Y$301, MATCH(ROUND(MIN(300,MAX(1,D356)),0), FactorTable!$A$2:$A$301,0), Skills!M9+1)</f>
        <v/>
      </c>
      <c r="F356">
        <f>IF(Skills!N9=TRUE,(Skills!L9/10)*(E356/1000),Skills!L9/10)+Skills!O9</f>
        <v/>
      </c>
      <c r="G356">
        <f>Skills!G9*IF(Skills!H9&gt;0,INT(IF(Inputs!$B$38="pvp",MIN(Skills!I9,15),Skills!I9)/Skills!H9+0.000000001),1)</f>
        <v/>
      </c>
      <c r="H356">
        <f>1-(1-Skills!J9/100)^Skills!K9</f>
        <v/>
      </c>
      <c r="I356" t="inlineStr">
        <is>
          <t>1</t>
        </is>
      </c>
      <c r="J356">
        <f>((Inputs!$B$6*(1+Inputs!$B$7/100))+(((Inputs!$B$12*(1+Inputs!$B$13/100))-(Inputs!$B$12*(1+Inputs!$B$13/100)))+0.25*(Inputs!$B$14-Inputs!$B$14))*(1+Inputs!$B$7/100))*(F356/100)</f>
        <v/>
      </c>
      <c r="K356">
        <f>J356*(1+((Inputs!$B$12*(1+Inputs!$B$13/100))*0.01+Inputs!$B$14*0.0025)/100)*(1+Inputs!$B$15/100)*(1+Inputs!$B$16/100)*(5000/(6000+Inputs!$B$42*(1-(100*(1-(1-(Inputs!$B$19+0)/100)*(1-CHOOSE(ArtifactsInput!$N$40+1,5,6,7,8,9,10)/100)^(ArtifactsInput!$M$40-ArtifactsInput!$M$40)))/100)))*(1+(Inputs!$B$24+((C373=TRUE)*(F373-Calc!F26))+B384)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IGHT_LEGS_EASTON",Inputs!$B$17+((C370=TRUE)*(F370-Calc!F23))+((C374=TRUE)*(F374-Calc!F27))+((IF(AND(Inputs!$B$38&lt;&gt;"pvp",Inputs!$B$43=0),1,IF(IF(Inputs!$B$38="pvp",15,Inputs!$B$43)-(B385)&lt;=0,1,MAX(0,IF(Inputs!$B$38="pvp",15,Inputs!$B$43)-MAX(5,B385))/(IF(Inputs!$B$38="pvp",15,Inputs!$B$43)-(B385))))*(IF(AND(ArtifactsInput!$M$42,((Inputs!$B$9+((C366=TRUE)*(F366-Calc!F19))+B378+(ArtifactsInput!$M$24-ArtifactsInput!$M$24)*CHOOSE(ArtifactsInput!$N$24+1,10,12,14,16,18,20)+IF(ArtifactsInput!$M$10,CHOOSE(ArtifactsInput!$N$10+1,15,18,21,24,27,30)*(IF(Inputs!$B$38="pvp",MIN(15,15)/15,IF(AND(Inputs!$B$38&lt;&gt;"pvp",Inputs!$B$43&gt;0),MIN(15,Inputs!$B$43)/(Inputs!$B$43),0))),0)))&gt;=100),MIN(100,((Inputs!$B$9+((C366=TRUE)*(F366-Calc!F19))+B378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385)&lt;=0,1,MAX(0,IF(Inputs!$B$38="pvp",15,Inputs!$B$43)-MAX(5,B385))/(IF(Inputs!$B$38="pvp",15,Inputs!$B$43)-(B385))))*IF(AND(ArtifactsInput!$M$42,((Inputs!$B$9+((C366=TRUE)*(F366-Calc!F19))+B378+(ArtifactsInput!$M$24-ArtifactsInput!$M$24)*CHOOSE(ArtifactsInput!$N$24+1,10,12,14,16,18,20)+IF(ArtifactsInput!$M$10,CHOOSE(ArtifactsInput!$N$10+1,15,18,21,24,27,30)*(IF(Inputs!$B$38="pvp",MIN(15,15)/15,IF(AND(Inputs!$B$38&lt;&gt;"pvp",Inputs!$B$43&gt;0),MIN(15,Inputs!$B$43)/(Inputs!$B$43),0))),0)))&gt;=100),CHOOSE(ArtifactsInput!$N$42+1,40,48,56,64,72,80),0))))/100)*((1+(((C364=TRUE)*F364*5/7)+((C371=TRUE)*(F371-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356)</f>
        <v/>
      </c>
      <c r="L356">
        <f>K356*(MIN(Inputs!$B$22+((C369=TRUE)*(F369-Calc!F22)),(Inputs!$B$23+0+(IF(ArtifactsInput!$M$15,CHOOSE(ArtifactsInput!$N$15+1,25,30,35,40,45,50)/100*(Inputs!$B$11-Inputs!$B$11),0))))/100+(Inputs!$B$23+0+(IF(ArtifactsInput!$M$15,CHOOSE(ArtifactsInput!$N$15+1,25,30,35,40,45,50)/100*(Inputs!$B$11-Inputs!$B$11),0)))/100)/2</f>
        <v/>
      </c>
      <c r="M356">
        <f>L356*(1+(Inputs!$B$10+((C372=TRUE)*(F372-Calc!F25))+B383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56">
        <f>L356*(1-MIN((Inputs!$B$9+((C366=TRUE)*(F366-Calc!F19))+B378+(ArtifactsInput!$M$24-ArtifactsInput!$M$24)*CHOOSE(ArtifactsInput!$N$24+1,10,12,14,16,18,20)+(IF(AND(Inputs!$B$38&lt;&gt;"pvp",Inputs!$B$43=0),1,IF(IF(Inputs!$B$38="pvp",15,Inputs!$B$43)-(B385)&lt;=0,1,MAX(0,IF(Inputs!$B$38="pvp",15,Inputs!$B$43)-MAX(5,B385))/(IF(Inputs!$B$38="pvp",15,Inputs!$B$43)-(B385))))*IF(AND(ArtifactsInput!$M$42,((Inputs!$B$9+((C366=TRUE)*(F366-Calc!F19))+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356*(MIN((Inputs!$B$9+((C366=TRUE)*(F366-Calc!F19))+B378+(ArtifactsInput!$M$24-ArtifactsInput!$M$24)*CHOOSE(ArtifactsInput!$N$24+1,10,12,14,16,18,20)+(IF(AND(Inputs!$B$38&lt;&gt;"pvp",Inputs!$B$43=0),1,IF(IF(Inputs!$B$38="pvp",15,Inputs!$B$43)-(B385)&lt;=0,1,MAX(0,IF(Inputs!$B$38="pvp",15,Inputs!$B$43)-MAX(5,B385))/(IF(Inputs!$B$38="pvp",15,Inputs!$B$43)-(B385))))*IF(AND(ArtifactsInput!$M$42,((Inputs!$B$9+((C366=TRUE)*(F366-Calc!F19))+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56">
        <f>(1-Summary!$B$11)*T356+Summary!$B$11*V356</f>
        <v/>
      </c>
      <c r="P356">
        <f>IF(B388=0,0,O356/B388)</f>
        <v/>
      </c>
      <c r="Q356">
        <f>IFERROR(1/(IF(Inputs!$B$38="pvp",15,MAX(0.1,Skills!D9-IF(TRUE=TRUE,Inputs!$B$32,0)))*(1-IF(AND(ArtifactsInput!$M$27,Inputs!$B$4="Chapter Hunt"),CHOOSE(ArtifactsInput!$N$27+1,20,24,28,32,36,40),0)/100)),0)</f>
        <v/>
      </c>
      <c r="R356">
        <f>IF(AND(Inputs!$B$38&lt;&gt;"pvp",Inputs!$B$43&gt;0),IF(MAX(0,Inputs!$B$43-B385)&lt;=0,0,(INT(MAX(0,Inputs!$B$43-B385)/(IF(Inputs!$B$38="pvp",15,MAX(0.1,Skills!D9-IF(TRUE=TRUE,Inputs!$B$32,0)))*(1-IF(AND(ArtifactsInput!$M$27,Inputs!$B$4="Chapter Hunt"),CHOOSE(ArtifactsInput!$N$27+1,20,24,28,32,36,40),0)/100)))+1)),0)</f>
        <v/>
      </c>
      <c r="S356">
        <f>IFERROR(O356/N356,0)</f>
        <v/>
      </c>
      <c r="T356">
        <f>IF(C356,(H356*N356*IF(AND(Inputs!$B$38&lt;&gt;"pvp",Inputs!$B$43&gt;0),((Skills!G9*((R356-1)*IF(Skills!H9&gt;0,INT(Skills!I9/Skills!H9+0.000000001),1)+IF(Skills!H9&gt;0,INT(MIN(Skills!I9,MAX(0,MAX(0,Inputs!$B$43-B385)-((R356-1)*(IF(Inputs!$B$38="pvp",15,MAX(0.1,Skills!D9-IF(TRUE=TRUE,Inputs!$B$32,0)))*(1-IF(AND(ArtifactsInput!$M$27,Inputs!$B$4="Chapter Hunt"),CHOOSE(ArtifactsInput!$N$27+1,20,24,28,32,36,40),0)/100)))))/Skills!H9+0.000000001),1)))/Inputs!$B$43),G356*Q356))*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Hunt"),CHOOSE(ArtifactsInput!$N$35+1,15,18,21,24,27,30)*(1-EXP(-(0.2*B380)*5)),0)+IF(AND(ArtifactsInput!$M$22,Inputs!$B$4&lt;&gt;"Chapter Hunt"),CHOOSE(ArtifactsInput!$N$22+1,10,12,14,16,18,20)*((0*(((0.15*B380*5))^0/1)+1*(((0.15*B380*5))^1/1)+2*(((0.15*B380*5))^2/2)+3*(((0.15*B380*5))^3/6)+4*(((0.15*B380*5))^4/24)+5*(((0.15*B380*5))^5/120))/((((0.15*B380*5))^0/1)+(((0.15*B380*5))^1/1)+(((0.15*B380*5))^2/2)+(((0.15*B380*5))^3/6)+(((0.15*B380*5))^4/24)+(((0.15*B380*5))^5/120))),0))+IF(Inputs!$B$3&gt;=54,9*(C350=TRUE)*MIN(1,8*(1+Inputs!$B$34/100)*Q350)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356*(1-MIN(100,(Inputs!$B$9+((C366=TRUE)*(F366-Calc!F19))+B378+(ArtifactsInput!$M$24-ArtifactsInput!$M$24)*CHOOSE(ArtifactsInput!$N$24+1,10,12,14,16,18,20)+(IF(AND(Inputs!$B$38&lt;&gt;"pvp",Inputs!$B$43=0),1,IF(IF(Inputs!$B$38="pvp",15,Inputs!$B$43)-(B385)&lt;=0,1,MAX(0,IF(Inputs!$B$38="pvp",15,Inputs!$B$43)-MAX(5,B385))/(IF(Inputs!$B$38="pvp",15,Inputs!$B$43)-(B385))))*IF(AND(ArtifactsInput!$M$42,((Inputs!$B$9+((C366=TRUE)*(F366-Calc!F19))+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356*(MIN(100,(Inputs!$B$9+((C366=TRUE)*(F366-Calc!F19))+B378+(ArtifactsInput!$M$24-ArtifactsInput!$M$24)*CHOOSE(ArtifactsInput!$N$24+1,10,12,14,16,18,20)+(IF(AND(Inputs!$B$38&lt;&gt;"pvp",Inputs!$B$43=0),1,IF(IF(Inputs!$B$38="pvp",15,Inputs!$B$43)-(B385)&lt;=0,1,MAX(0,IF(Inputs!$B$38="pvp",15,Inputs!$B$43)-MAX(5,B385))/(IF(Inputs!$B$38="pvp",15,Inputs!$B$43)-(B385))))*IF(AND(ArtifactsInput!$M$42,((Inputs!$B$9+((C366=TRUE)*(F366-Calc!F19))+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356*(1-MIN(100,(Inputs!$B$9+((C366=TRUE)*(F366-Calc!F19))+B378+(ArtifactsInput!$M$24-ArtifactsInput!$M$24)*CHOOSE(ArtifactsInput!$N$24+1,10,12,14,16,18,20)+(IF(AND(Inputs!$B$38&lt;&gt;"pvp",Inputs!$B$43=0),1,IF(IF(Inputs!$B$38="pvp",15,Inputs!$B$43)-(B385)&lt;=0,1,MAX(0,IF(Inputs!$B$38="pvp",15,Inputs!$B$43)-MAX(5,B385))/(IF(Inputs!$B$38="pvp",15,Inputs!$B$43)-(B385))))*IF(AND(ArtifactsInput!$M$42,((Inputs!$B$9+((C366=TRUE)*(F366-Calc!F19))+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356*(MIN(100,(Inputs!$B$9+((C366=TRUE)*(F366-Calc!F19))+B378+(ArtifactsInput!$M$24-ArtifactsInput!$M$24)*CHOOSE(ArtifactsInput!$N$24+1,10,12,14,16,18,20)+(IF(AND(Inputs!$B$38&lt;&gt;"pvp",Inputs!$B$43=0),1,IF(IF(Inputs!$B$38="pvp",15,Inputs!$B$43)-(B385)&lt;=0,1,MAX(0,IF(Inputs!$B$38="pvp",15,Inputs!$B$43)-MAX(5,B385))/(IF(Inputs!$B$38="pvp",15,Inputs!$B$43)-(B385))))*IF(AND(ArtifactsInput!$M$42,((Inputs!$B$9+((C366=TRUE)*(F366-Calc!F19))+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56">
        <f>IF(C356,(H356*N356*IF(AND(Inputs!$B$38&lt;&gt;"pvp",Inputs!$B$43&gt;0),((Skills!G9*((R356-1)*IF(Skills!H9&gt;0,INT(Skills!I9/Skills!H9+0.000000001),1)+IF(Skills!H9&gt;0,INT(MIN(Skills!I9,MAX(0,MAX(0,Inputs!$B$43-B385)-((R356-1)*(IF(Inputs!$B$38="pvp",15,MAX(0.1,Skills!D9-IF(TRUE=TRUE,Inputs!$B$32,0)))*(1-IF(AND(ArtifactsInput!$M$27,Inputs!$B$4="Chapter Hunt"),CHOOSE(ArtifactsInput!$N$27+1,20,24,28,32,36,40),0)/100)))))/Skills!H9+0.000000001),1)))/Inputs!$B$43),G356*Q356))*IF(Inputs!$B$38="pvp",1,(1+((Inputs!$B$21+1)+Skills!Q9+(IF(ArtifactsInput!$M$33,CHOOSE(ArtifactsInput!$N$33+1,30,36,42,48,54,60),0))+(IF(AND(ArtifactsInput!$M$35,Inputs!$B$4&lt;&gt;"Chapter Hunt"),CHOOSE(ArtifactsInput!$N$35+1,15,18,21,24,27,30)*(1-EXP(-(0.2*B380)*5)),0)+IF(AND(ArtifactsInput!$M$22,Inputs!$B$4&lt;&gt;"Chapter Hunt"),CHOOSE(ArtifactsInput!$N$22+1,10,12,14,16,18,20)*((0*(((0.15*B380*5))^0/1)+1*(((0.15*B380*5))^1/1)+2*(((0.15*B380*5))^2/2)+3*(((0.15*B380*5))^3/6)+4*(((0.15*B380*5))^4/24)+5*(((0.15*B380*5))^5/120))/((((0.15*B380*5))^0/1)+(((0.15*B380*5))^1/1)+(((0.15*B380*5))^2/2)+(((0.15*B380*5))^3/6)+(((0.15*B380*5))^4/24)+(((0.15*B380*5))^5/120))),0))+IF(Inputs!$B$3&gt;=54,9*(C350=TRUE)*MIN(1,8*(1+Inputs!$B$34/100)*Q350)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57">
      <c r="A357">
        <f>Skills!A10</f>
        <v/>
      </c>
      <c r="B357">
        <f>Skills!B10</f>
        <v/>
      </c>
      <c r="C357">
        <f>Inputs!$B$3&gt;=113</f>
        <v/>
      </c>
      <c r="D357">
        <f>IF(Skills!C10=1,60+Inputs!$B$25+Inputs!$B$29,IF(Skills!C10=2,90+Inputs!$B$26+Inputs!$B$29,IF(Skills!C10=3,120+Inputs!$B$27+Inputs!$B$29,MAX(0,(Inputs!$B$3-100)*3)+Inputs!$B$28+Inputs!$B$29)))</f>
        <v/>
      </c>
      <c r="E357">
        <f>INDEX(FactorTable!$B$2:$Y$301, MATCH(ROUND(MIN(300,MAX(1,D357)),0), FactorTable!$A$2:$A$301,0), Skills!M10+1)</f>
        <v/>
      </c>
      <c r="F357">
        <f>IF(Skills!N10=TRUE,(Skills!L10/10)*(E357/1000),Skills!L10/10)+Skills!O10</f>
        <v/>
      </c>
      <c r="G357">
        <f>Skills!G10*IF(Skills!H10&gt;0,INT(IF(Inputs!$B$38="pvp",MIN(Skills!I10,15),Skills!I10)/Skills!H10+0.000000001),1)</f>
        <v/>
      </c>
      <c r="H357">
        <f>1-(1-Skills!J10/100)^Skills!K10</f>
        <v/>
      </c>
      <c r="I357" t="inlineStr">
        <is>
          <t>1</t>
        </is>
      </c>
      <c r="J357">
        <f>((Inputs!$B$6*(1+Inputs!$B$7/100))+(((Inputs!$B$12*(1+Inputs!$B$13/100))-(Inputs!$B$12*(1+Inputs!$B$13/100)))+0.25*(Inputs!$B$14-Inputs!$B$14))*(1+Inputs!$B$7/100))*(F357/100)</f>
        <v/>
      </c>
      <c r="K357">
        <f>J357*(1+((Inputs!$B$12*(1+Inputs!$B$13/100))*0.01+Inputs!$B$14*0.0025)/100)*(1+Inputs!$B$15/100)*(1+Inputs!$B$16/100)*(5000/(6000+Inputs!$B$42*(1-(100*(1-(1-(Inputs!$B$19+0)/100)*(1-CHOOSE(ArtifactsInput!$N$40+1,5,6,7,8,9,10)/100)^(ArtifactsInput!$M$40-ArtifactsInput!$M$40)))/100)))*(1+(Inputs!$B$24+((C373=TRUE)*(F373-Calc!F26))+B384)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IGHT_LEGS_EASTON",Inputs!$B$17+((C370=TRUE)*(F370-Calc!F23))+((C374=TRUE)*(F374-Calc!F27))+((IF(AND(Inputs!$B$38&lt;&gt;"pvp",Inputs!$B$43=0),1,IF(IF(Inputs!$B$38="pvp",15,Inputs!$B$43)-(B385)&lt;=0,1,MAX(0,IF(Inputs!$B$38="pvp",15,Inputs!$B$43)-MAX(5,B385))/(IF(Inputs!$B$38="pvp",15,Inputs!$B$43)-(B385))))*(IF(AND(ArtifactsInput!$M$42,((Inputs!$B$9+((C366=TRUE)*(F366-Calc!F19))+B378+(ArtifactsInput!$M$24-ArtifactsInput!$M$24)*CHOOSE(ArtifactsInput!$N$24+1,10,12,14,16,18,20)+IF(ArtifactsInput!$M$10,CHOOSE(ArtifactsInput!$N$10+1,15,18,21,24,27,30)*(IF(Inputs!$B$38="pvp",MIN(15,15)/15,IF(AND(Inputs!$B$38&lt;&gt;"pvp",Inputs!$B$43&gt;0),MIN(15,Inputs!$B$43)/(Inputs!$B$43),0))),0)))&gt;=100),MIN(100,((Inputs!$B$9+((C366=TRUE)*(F366-Calc!F19))+B378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385)&lt;=0,1,MAX(0,IF(Inputs!$B$38="pvp",15,Inputs!$B$43)-MAX(5,B385))/(IF(Inputs!$B$38="pvp",15,Inputs!$B$43)-(B385))))*IF(AND(ArtifactsInput!$M$42,((Inputs!$B$9+((C366=TRUE)*(F366-Calc!F19))+B378+(ArtifactsInput!$M$24-ArtifactsInput!$M$24)*CHOOSE(ArtifactsInput!$N$24+1,10,12,14,16,18,20)+IF(ArtifactsInput!$M$10,CHOOSE(ArtifactsInput!$N$10+1,15,18,21,24,27,30)*(IF(Inputs!$B$38="pvp",MIN(15,15)/15,IF(AND(Inputs!$B$38&lt;&gt;"pvp",Inputs!$B$43&gt;0),MIN(15,Inputs!$B$43)/(Inputs!$B$43),0))),0)))&gt;=100),CHOOSE(ArtifactsInput!$N$42+1,40,48,56,64,72,80),0))))/100)*((1+(((C364=TRUE)*F364*5/7)+((C371=TRUE)*(F371-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357)</f>
        <v/>
      </c>
      <c r="L357">
        <f>K357*(MIN(Inputs!$B$22+((C369=TRUE)*(F369-Calc!F22)),(Inputs!$B$23+0+(IF(ArtifactsInput!$M$15,CHOOSE(ArtifactsInput!$N$15+1,25,30,35,40,45,50)/100*(Inputs!$B$11-Inputs!$B$11),0))))/100+(Inputs!$B$23+0+(IF(ArtifactsInput!$M$15,CHOOSE(ArtifactsInput!$N$15+1,25,30,35,40,45,50)/100*(Inputs!$B$11-Inputs!$B$11),0)))/100)/2</f>
        <v/>
      </c>
      <c r="M357">
        <f>L357*(1+(Inputs!$B$10+((C372=TRUE)*(F372-Calc!F25))+B383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57">
        <f>L357*(1-MIN((Inputs!$B$9+((C366=TRUE)*(F366-Calc!F19))+B378+(ArtifactsInput!$M$24-ArtifactsInput!$M$24)*CHOOSE(ArtifactsInput!$N$24+1,10,12,14,16,18,20)+(IF(AND(Inputs!$B$38&lt;&gt;"pvp",Inputs!$B$43=0),1,IF(IF(Inputs!$B$38="pvp",15,Inputs!$B$43)-(B385)&lt;=0,1,MAX(0,IF(Inputs!$B$38="pvp",15,Inputs!$B$43)-MAX(5,B385))/(IF(Inputs!$B$38="pvp",15,Inputs!$B$43)-(B385))))*IF(AND(ArtifactsInput!$M$42,((Inputs!$B$9+((C366=TRUE)*(F366-Calc!F19))+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357*(MIN((Inputs!$B$9+((C366=TRUE)*(F366-Calc!F19))+B378+(ArtifactsInput!$M$24-ArtifactsInput!$M$24)*CHOOSE(ArtifactsInput!$N$24+1,10,12,14,16,18,20)+(IF(AND(Inputs!$B$38&lt;&gt;"pvp",Inputs!$B$43=0),1,IF(IF(Inputs!$B$38="pvp",15,Inputs!$B$43)-(B385)&lt;=0,1,MAX(0,IF(Inputs!$B$38="pvp",15,Inputs!$B$43)-MAX(5,B385))/(IF(Inputs!$B$38="pvp",15,Inputs!$B$43)-(B385))))*IF(AND(ArtifactsInput!$M$42,((Inputs!$B$9+((C366=TRUE)*(F366-Calc!F19))+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57">
        <f>(1-Summary!$B$11)*T357+Summary!$B$11*V357</f>
        <v/>
      </c>
      <c r="P357">
        <f>IF(B388=0,0,O357/B388)</f>
        <v/>
      </c>
      <c r="Q357" t="n">
        <v>0</v>
      </c>
      <c r="R357" t="n">
        <v>0</v>
      </c>
      <c r="S357">
        <f>IFERROR(O357/N357,0)</f>
        <v/>
      </c>
      <c r="T357">
        <f>IF(C357,((H357*B390)/(1+Skills!H10*H357*B390)*N357)*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Hunt"),CHOOSE(ArtifactsInput!$N$35+1,15,18,21,24,27,30)*(1-EXP(-(0.2*B380)*5)),0)+IF(AND(ArtifactsInput!$M$22,Inputs!$B$4&lt;&gt;"Chapter Hunt"),CHOOSE(ArtifactsInput!$N$22+1,10,12,14,16,18,20)*((0*(((0.15*B380*5))^0/1)+1*(((0.15*B380*5))^1/1)+2*(((0.15*B380*5))^2/2)+3*(((0.15*B380*5))^3/6)+4*(((0.15*B380*5))^4/24)+5*(((0.15*B380*5))^5/120))/((((0.15*B380*5))^0/1)+(((0.15*B380*5))^1/1)+(((0.15*B380*5))^2/2)+(((0.15*B380*5))^3/6)+(((0.15*B380*5))^4/24)+(((0.15*B380*5))^5/120))),0))+IF(Inputs!$B$3&gt;=54,9*(C350=TRUE)*MIN(1,8*(1+Inputs!$B$34/100)*Q350)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357*(1-MIN(100,(Inputs!$B$9+((C366=TRUE)*(F366-Calc!F19))+B378+(ArtifactsInput!$M$24-ArtifactsInput!$M$24)*CHOOSE(ArtifactsInput!$N$24+1,10,12,14,16,18,20)+(IF(AND(Inputs!$B$38&lt;&gt;"pvp",Inputs!$B$43=0),1,IF(IF(Inputs!$B$38="pvp",15,Inputs!$B$43)-(B385)&lt;=0,1,MAX(0,IF(Inputs!$B$38="pvp",15,Inputs!$B$43)-MAX(5,B385))/(IF(Inputs!$B$38="pvp",15,Inputs!$B$43)-(B385))))*IF(AND(ArtifactsInput!$M$42,((Inputs!$B$9+((C366=TRUE)*(F366-Calc!F19))+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357*(MIN(100,(Inputs!$B$9+((C366=TRUE)*(F366-Calc!F19))+B378+(ArtifactsInput!$M$24-ArtifactsInput!$M$24)*CHOOSE(ArtifactsInput!$N$24+1,10,12,14,16,18,20)+(IF(AND(Inputs!$B$38&lt;&gt;"pvp",Inputs!$B$43=0),1,IF(IF(Inputs!$B$38="pvp",15,Inputs!$B$43)-(B385)&lt;=0,1,MAX(0,IF(Inputs!$B$38="pvp",15,Inputs!$B$43)-MAX(5,B385))/(IF(Inputs!$B$38="pvp",15,Inputs!$B$43)-(B385))))*IF(AND(ArtifactsInput!$M$42,((Inputs!$B$9+((C366=TRUE)*(F366-Calc!F19))+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357*(1-MIN(100,(Inputs!$B$9+((C366=TRUE)*(F366-Calc!F19))+B378+(ArtifactsInput!$M$24-ArtifactsInput!$M$24)*CHOOSE(ArtifactsInput!$N$24+1,10,12,14,16,18,20)+(IF(AND(Inputs!$B$38&lt;&gt;"pvp",Inputs!$B$43=0),1,IF(IF(Inputs!$B$38="pvp",15,Inputs!$B$43)-(B385)&lt;=0,1,MAX(0,IF(Inputs!$B$38="pvp",15,Inputs!$B$43)-MAX(5,B385))/(IF(Inputs!$B$38="pvp",15,Inputs!$B$43)-(B385))))*IF(AND(ArtifactsInput!$M$42,((Inputs!$B$9+((C366=TRUE)*(F366-Calc!F19))+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357*(MIN(100,(Inputs!$B$9+((C366=TRUE)*(F366-Calc!F19))+B378+(ArtifactsInput!$M$24-ArtifactsInput!$M$24)*CHOOSE(ArtifactsInput!$N$24+1,10,12,14,16,18,20)+(IF(AND(Inputs!$B$38&lt;&gt;"pvp",Inputs!$B$43=0),1,IF(IF(Inputs!$B$38="pvp",15,Inputs!$B$43)-(B385)&lt;=0,1,MAX(0,IF(Inputs!$B$38="pvp",15,Inputs!$B$43)-MAX(5,B385))/(IF(Inputs!$B$38="pvp",15,Inputs!$B$43)-(B385))))*IF(AND(ArtifactsInput!$M$42,((Inputs!$B$9+((C366=TRUE)*(F366-Calc!F19))+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57">
        <f>IF(C357,((H357*B390)/(1+Skills!H10*H357*B390)*N357)*IF(Inputs!$B$38="pvp",1,(1+((Inputs!$B$21+1)+Skills!Q10+(IF(ArtifactsInput!$M$33,CHOOSE(ArtifactsInput!$N$33+1,30,36,42,48,54,60),0))+(IF(AND(ArtifactsInput!$M$35,Inputs!$B$4&lt;&gt;"Chapter Hunt"),CHOOSE(ArtifactsInput!$N$35+1,15,18,21,24,27,30)*(1-EXP(-(0.2*B380)*5)),0)+IF(AND(ArtifactsInput!$M$22,Inputs!$B$4&lt;&gt;"Chapter Hunt"),CHOOSE(ArtifactsInput!$N$22+1,10,12,14,16,18,20)*((0*(((0.15*B380*5))^0/1)+1*(((0.15*B380*5))^1/1)+2*(((0.15*B380*5))^2/2)+3*(((0.15*B380*5))^3/6)+4*(((0.15*B380*5))^4/24)+5*(((0.15*B380*5))^5/120))/((((0.15*B380*5))^0/1)+(((0.15*B380*5))^1/1)+(((0.15*B380*5))^2/2)+(((0.15*B380*5))^3/6)+(((0.15*B380*5))^4/24)+(((0.15*B380*5))^5/120))),0))+IF(Inputs!$B$3&gt;=54,9*(C350=TRUE)*MIN(1,8*(1+Inputs!$B$34/100)*Q350)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58">
      <c r="A358">
        <f>Skills!A11</f>
        <v/>
      </c>
      <c r="B358">
        <f>Skills!B11</f>
        <v/>
      </c>
      <c r="C358">
        <f>Inputs!$B$3&gt;=117</f>
        <v/>
      </c>
      <c r="D358">
        <f>IF(Skills!C11=1,60+Inputs!$B$25+Inputs!$B$29,IF(Skills!C11=2,90+Inputs!$B$26+Inputs!$B$29,IF(Skills!C11=3,120+Inputs!$B$27+Inputs!$B$29,MAX(0,(Inputs!$B$3-100)*3)+Inputs!$B$28+Inputs!$B$29)))</f>
        <v/>
      </c>
      <c r="E358">
        <f>INDEX(FactorTable!$B$2:$Y$301, MATCH(ROUND(MIN(300,MAX(1,D358)),0), FactorTable!$A$2:$A$301,0), Skills!M11+1)</f>
        <v/>
      </c>
      <c r="F358">
        <f>IF(Skills!N11=TRUE,(Skills!L11/10)*(E358/1000),Skills!L11/10)+Skills!O11</f>
        <v/>
      </c>
      <c r="G358">
        <f>Skills!G11*IF(Skills!H11&gt;0,INT(IF(Inputs!$B$38="pvp",MIN(Skills!I11,15),Skills!I11)/Skills!H11+0.000000001),1)</f>
        <v/>
      </c>
      <c r="H358">
        <f>1-(1-Skills!J11/100)^Skills!K11</f>
        <v/>
      </c>
      <c r="I358" t="inlineStr">
        <is>
          <t>1</t>
        </is>
      </c>
      <c r="J358">
        <f>((Inputs!$B$6*(1+Inputs!$B$7/100))+(((Inputs!$B$12*(1+Inputs!$B$13/100))-(Inputs!$B$12*(1+Inputs!$B$13/100)))+0.25*(Inputs!$B$14-Inputs!$B$14))*(1+Inputs!$B$7/100))*(F358/100)</f>
        <v/>
      </c>
      <c r="K358">
        <f>J358*(1+((Inputs!$B$12*(1+Inputs!$B$13/100))*0.01+Inputs!$B$14*0.0025)/100)*(1+Inputs!$B$15/100)*(1+Inputs!$B$16/100)*(5000/(6000+Inputs!$B$42*(1-(100*(1-(1-(Inputs!$B$19+0)/100)*(1-CHOOSE(ArtifactsInput!$N$40+1,5,6,7,8,9,10)/100)^(ArtifactsInput!$M$40-ArtifactsInput!$M$40)))/100)))*(1+(Inputs!$B$24+((C373=TRUE)*(F373-Calc!F26))+B384)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IGHT_LEGS_EASTON",Inputs!$B$17+((C370=TRUE)*(F370-Calc!F23))+((C374=TRUE)*(F374-Calc!F27))+((IF(AND(Inputs!$B$38&lt;&gt;"pvp",Inputs!$B$43=0),1,IF(IF(Inputs!$B$38="pvp",15,Inputs!$B$43)-(B385)&lt;=0,1,MAX(0,IF(Inputs!$B$38="pvp",15,Inputs!$B$43)-MAX(5,B385))/(IF(Inputs!$B$38="pvp",15,Inputs!$B$43)-(B385))))*(IF(AND(ArtifactsInput!$M$42,((Inputs!$B$9+((C366=TRUE)*(F366-Calc!F19))+B378+(ArtifactsInput!$M$24-ArtifactsInput!$M$24)*CHOOSE(ArtifactsInput!$N$24+1,10,12,14,16,18,20)+IF(ArtifactsInput!$M$10,CHOOSE(ArtifactsInput!$N$10+1,15,18,21,24,27,30)*(IF(Inputs!$B$38="pvp",MIN(15,15)/15,IF(AND(Inputs!$B$38&lt;&gt;"pvp",Inputs!$B$43&gt;0),MIN(15,Inputs!$B$43)/(Inputs!$B$43),0))),0)))&gt;=100),MIN(100,((Inputs!$B$9+((C366=TRUE)*(F366-Calc!F19))+B378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385)&lt;=0,1,MAX(0,IF(Inputs!$B$38="pvp",15,Inputs!$B$43)-MAX(5,B385))/(IF(Inputs!$B$38="pvp",15,Inputs!$B$43)-(B385))))*IF(AND(ArtifactsInput!$M$42,((Inputs!$B$9+((C366=TRUE)*(F366-Calc!F19))+B378+(ArtifactsInput!$M$24-ArtifactsInput!$M$24)*CHOOSE(ArtifactsInput!$N$24+1,10,12,14,16,18,20)+IF(ArtifactsInput!$M$10,CHOOSE(ArtifactsInput!$N$10+1,15,18,21,24,27,30)*(IF(Inputs!$B$38="pvp",MIN(15,15)/15,IF(AND(Inputs!$B$38&lt;&gt;"pvp",Inputs!$B$43&gt;0),MIN(15,Inputs!$B$43)/(Inputs!$B$43),0))),0)))&gt;=100),CHOOSE(ArtifactsInput!$N$42+1,40,48,56,64,72,80),0))))/100)*((1+(((C364=TRUE)*F364*5/7)+((C371=TRUE)*(F371-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358)</f>
        <v/>
      </c>
      <c r="L358">
        <f>K358*(MIN(Inputs!$B$22+((C369=TRUE)*(F369-Calc!F22)),(Inputs!$B$23+0+(IF(ArtifactsInput!$M$15,CHOOSE(ArtifactsInput!$N$15+1,25,30,35,40,45,50)/100*(Inputs!$B$11-Inputs!$B$11),0))))/100+(Inputs!$B$23+0+(IF(ArtifactsInput!$M$15,CHOOSE(ArtifactsInput!$N$15+1,25,30,35,40,45,50)/100*(Inputs!$B$11-Inputs!$B$11),0)))/100)/2</f>
        <v/>
      </c>
      <c r="M358">
        <f>L358*(1+(Inputs!$B$10+((C372=TRUE)*(F372-Calc!F25))+B383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58">
        <f>L358*(1-MIN((Inputs!$B$9+((C366=TRUE)*(F366-Calc!F19))+B378+(ArtifactsInput!$M$24-ArtifactsInput!$M$24)*CHOOSE(ArtifactsInput!$N$24+1,10,12,14,16,18,20)+(IF(AND(Inputs!$B$38&lt;&gt;"pvp",Inputs!$B$43=0),1,IF(IF(Inputs!$B$38="pvp",15,Inputs!$B$43)-(B385)&lt;=0,1,MAX(0,IF(Inputs!$B$38="pvp",15,Inputs!$B$43)-MAX(5,B385))/(IF(Inputs!$B$38="pvp",15,Inputs!$B$43)-(B385))))*IF(AND(ArtifactsInput!$M$42,((Inputs!$B$9+((C366=TRUE)*(F366-Calc!F19))+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358*(MIN((Inputs!$B$9+((C366=TRUE)*(F366-Calc!F19))+B378+(ArtifactsInput!$M$24-ArtifactsInput!$M$24)*CHOOSE(ArtifactsInput!$N$24+1,10,12,14,16,18,20)+(IF(AND(Inputs!$B$38&lt;&gt;"pvp",Inputs!$B$43=0),1,IF(IF(Inputs!$B$38="pvp",15,Inputs!$B$43)-(B385)&lt;=0,1,MAX(0,IF(Inputs!$B$38="pvp",15,Inputs!$B$43)-MAX(5,B385))/(IF(Inputs!$B$38="pvp",15,Inputs!$B$43)-(B385))))*IF(AND(ArtifactsInput!$M$42,((Inputs!$B$9+((C366=TRUE)*(F366-Calc!F19))+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58">
        <f>(1-Summary!$B$11)*T358+Summary!$B$11*V358</f>
        <v/>
      </c>
      <c r="P358">
        <f>IF(B388=0,0,O358/B388)</f>
        <v/>
      </c>
      <c r="Q358">
        <f>IFERROR(1/((IF(Inputs!$B$38="pvp",15,MAX(0.1,Skills!D11-IF(TRUE=TRUE,Inputs!$B$32,0)))*(1-IF(AND(ArtifactsInput!$M$27,Inputs!$B$4="Chapter Hunt"),CHOOSE(ArtifactsInput!$N$27+1,20,24,28,32,36,40),0)/100))/B389),0)</f>
        <v/>
      </c>
      <c r="R358">
        <f>IF(AND(Inputs!$B$38&lt;&gt;"pvp",Inputs!$B$43&gt;0),IF(MAX(0,Inputs!$B$43-B385)&lt;=0,0,(INT(MAX(0,Inputs!$B$43-B385)/((IF(Inputs!$B$38="pvp",15,MAX(0.1,Skills!D11-IF(TRUE=TRUE,Inputs!$B$32,0)))*(1-IF(AND(ArtifactsInput!$M$27,Inputs!$B$4="Chapter Hunt"),CHOOSE(ArtifactsInput!$N$27+1,20,24,28,32,36,40),0)/100))/B389))+1)),0)</f>
        <v/>
      </c>
      <c r="S358">
        <f>IFERROR(O358/N358,0)</f>
        <v/>
      </c>
      <c r="T358">
        <f>IF(C358,(H358*N358*IF(AND(Inputs!$B$38&lt;&gt;"pvp",Inputs!$B$43&gt;0),((Skills!G11*((R358-1)*IF(Skills!H11&gt;0,INT(Skills!I11/Skills!H11+0.000000001),1)+IF(Skills!H11&gt;0,INT(MIN(Skills!I11,MAX(0,MAX(0,Inputs!$B$43-B385)-((R358-1)*((IF(Inputs!$B$38="pvp",15,MAX(0.1,Skills!D11-IF(TRUE=TRUE,Inputs!$B$32,0)))*(1-IF(AND(ArtifactsInput!$M$27,Inputs!$B$4="Chapter Hunt"),CHOOSE(ArtifactsInput!$N$27+1,20,24,28,32,36,40),0)/100))/B389))))/Skills!H11+0.000000001),1)))/Inputs!$B$43),G358*Q358))*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Hunt"),CHOOSE(ArtifactsInput!$N$35+1,15,18,21,24,27,30)*(1-EXP(-(0.2*B380)*5)),0)+IF(AND(ArtifactsInput!$M$22,Inputs!$B$4&lt;&gt;"Chapter Hunt"),CHOOSE(ArtifactsInput!$N$22+1,10,12,14,16,18,20)*((0*(((0.15*B380*5))^0/1)+1*(((0.15*B380*5))^1/1)+2*(((0.15*B380*5))^2/2)+3*(((0.15*B380*5))^3/6)+4*(((0.15*B380*5))^4/24)+5*(((0.15*B380*5))^5/120))/((((0.15*B380*5))^0/1)+(((0.15*B380*5))^1/1)+(((0.15*B380*5))^2/2)+(((0.15*B380*5))^3/6)+(((0.15*B380*5))^4/24)+(((0.15*B380*5))^5/120))),0))+IF(Inputs!$B$3&gt;=54,9*(C350=TRUE)*MIN(1,8*(1+Inputs!$B$34/100)*Q350)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358*(1-MIN(100,(Inputs!$B$9+((C366=TRUE)*(F366-Calc!F19))+B378+(ArtifactsInput!$M$24-ArtifactsInput!$M$24)*CHOOSE(ArtifactsInput!$N$24+1,10,12,14,16,18,20)+(IF(AND(Inputs!$B$38&lt;&gt;"pvp",Inputs!$B$43=0),1,IF(IF(Inputs!$B$38="pvp",15,Inputs!$B$43)-(B385)&lt;=0,1,MAX(0,IF(Inputs!$B$38="pvp",15,Inputs!$B$43)-MAX(5,B385))/(IF(Inputs!$B$38="pvp",15,Inputs!$B$43)-(B385))))*IF(AND(ArtifactsInput!$M$42,((Inputs!$B$9+((C366=TRUE)*(F366-Calc!F19))+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358*(MIN(100,(Inputs!$B$9+((C366=TRUE)*(F366-Calc!F19))+B378+(ArtifactsInput!$M$24-ArtifactsInput!$M$24)*CHOOSE(ArtifactsInput!$N$24+1,10,12,14,16,18,20)+(IF(AND(Inputs!$B$38&lt;&gt;"pvp",Inputs!$B$43=0),1,IF(IF(Inputs!$B$38="pvp",15,Inputs!$B$43)-(B385)&lt;=0,1,MAX(0,IF(Inputs!$B$38="pvp",15,Inputs!$B$43)-MAX(5,B385))/(IF(Inputs!$B$38="pvp",15,Inputs!$B$43)-(B385))))*IF(AND(ArtifactsInput!$M$42,((Inputs!$B$9+((C366=TRUE)*(F366-Calc!F19))+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358*(1-MIN(100,(Inputs!$B$9+((C366=TRUE)*(F366-Calc!F19))+B378+(ArtifactsInput!$M$24-ArtifactsInput!$M$24)*CHOOSE(ArtifactsInput!$N$24+1,10,12,14,16,18,20)+(IF(AND(Inputs!$B$38&lt;&gt;"pvp",Inputs!$B$43=0),1,IF(IF(Inputs!$B$38="pvp",15,Inputs!$B$43)-(B385)&lt;=0,1,MAX(0,IF(Inputs!$B$38="pvp",15,Inputs!$B$43)-MAX(5,B385))/(IF(Inputs!$B$38="pvp",15,Inputs!$B$43)-(B385))))*IF(AND(ArtifactsInput!$M$42,((Inputs!$B$9+((C366=TRUE)*(F366-Calc!F19))+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358*(MIN(100,(Inputs!$B$9+((C366=TRUE)*(F366-Calc!F19))+B378+(ArtifactsInput!$M$24-ArtifactsInput!$M$24)*CHOOSE(ArtifactsInput!$N$24+1,10,12,14,16,18,20)+(IF(AND(Inputs!$B$38&lt;&gt;"pvp",Inputs!$B$43=0),1,IF(IF(Inputs!$B$38="pvp",15,Inputs!$B$43)-(B385)&lt;=0,1,MAX(0,IF(Inputs!$B$38="pvp",15,Inputs!$B$43)-MAX(5,B385))/(IF(Inputs!$B$38="pvp",15,Inputs!$B$43)-(B385))))*IF(AND(ArtifactsInput!$M$42,((Inputs!$B$9+((C366=TRUE)*(F366-Calc!F19))+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58">
        <f>IF(C358,(H358*N358*IF(AND(Inputs!$B$38&lt;&gt;"pvp",Inputs!$B$43&gt;0),((Skills!G11*((R358-1)*IF(Skills!H11&gt;0,INT(Skills!I11/Skills!H11+0.000000001),1)+IF(Skills!H11&gt;0,INT(MIN(Skills!I11,MAX(0,MAX(0,Inputs!$B$43-B385)-((R358-1)*((IF(Inputs!$B$38="pvp",15,MAX(0.1,Skills!D11-IF(TRUE=TRUE,Inputs!$B$32,0)))*(1-IF(AND(ArtifactsInput!$M$27,Inputs!$B$4="Chapter Hunt"),CHOOSE(ArtifactsInput!$N$27+1,20,24,28,32,36,40),0)/100))/B389))))/Skills!H11+0.000000001),1)))/Inputs!$B$43),G358*Q358))*IF(Inputs!$B$38="pvp",1,(1+((Inputs!$B$21+1)+Skills!Q11+(IF(ArtifactsInput!$M$33,CHOOSE(ArtifactsInput!$N$33+1,30,36,42,48,54,60),0))+(IF(AND(ArtifactsInput!$M$35,Inputs!$B$4&lt;&gt;"Chapter Hunt"),CHOOSE(ArtifactsInput!$N$35+1,15,18,21,24,27,30)*(1-EXP(-(0.2*B380)*5)),0)+IF(AND(ArtifactsInput!$M$22,Inputs!$B$4&lt;&gt;"Chapter Hunt"),CHOOSE(ArtifactsInput!$N$22+1,10,12,14,16,18,20)*((0*(((0.15*B380*5))^0/1)+1*(((0.15*B380*5))^1/1)+2*(((0.15*B380*5))^2/2)+3*(((0.15*B380*5))^3/6)+4*(((0.15*B380*5))^4/24)+5*(((0.15*B380*5))^5/120))/((((0.15*B380*5))^0/1)+(((0.15*B380*5))^1/1)+(((0.15*B380*5))^2/2)+(((0.15*B380*5))^3/6)+(((0.15*B380*5))^4/24)+(((0.15*B380*5))^5/120))),0))+IF(Inputs!$B$3&gt;=54,9*(C350=TRUE)*MIN(1,8*(1+Inputs!$B$34/100)*Q350)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59">
      <c r="A359">
        <f>Skills!A12</f>
        <v/>
      </c>
      <c r="B359">
        <f>Skills!B12</f>
        <v/>
      </c>
      <c r="C359">
        <f>Inputs!$B$3&gt;=110</f>
        <v/>
      </c>
      <c r="D359">
        <f>IF(Skills!C12=1,60+Inputs!$B$25+Inputs!$B$29,IF(Skills!C12=2,90+Inputs!$B$26+Inputs!$B$29,IF(Skills!C12=3,120+Inputs!$B$27+Inputs!$B$29,MAX(0,(Inputs!$B$3-100)*3)+Inputs!$B$28+Inputs!$B$29)))</f>
        <v/>
      </c>
      <c r="E359">
        <f>INDEX(FactorTable!$B$2:$Y$301, MATCH(ROUND(MIN(300,MAX(1,D359)),0), FactorTable!$A$2:$A$301,0), Skills!M12+1)</f>
        <v/>
      </c>
      <c r="F359">
        <f>IF(Skills!N12=TRUE,(Skills!L12/10)*(E359/1000),Skills!L12/10)+Skills!O12</f>
        <v/>
      </c>
      <c r="G359">
        <f>Skills!G12*IF(Skills!H12&gt;0,INT(IF(Inputs!$B$38="pvp",MIN(Skills!I12,15),Skills!I12)/Skills!H12+0.000000001),1)</f>
        <v/>
      </c>
      <c r="H359">
        <f>1-(1-Skills!J12/100)^Skills!K12</f>
        <v/>
      </c>
      <c r="I359" t="inlineStr">
        <is>
          <t>1</t>
        </is>
      </c>
      <c r="J359">
        <f>((Inputs!$B$6*(1+Inputs!$B$7/100))+(((Inputs!$B$12*(1+Inputs!$B$13/100))-(Inputs!$B$12*(1+Inputs!$B$13/100)))+0.25*(Inputs!$B$14-Inputs!$B$14))*(1+Inputs!$B$7/100))*(F359/100)</f>
        <v/>
      </c>
      <c r="K359">
        <f>J359*(1+((Inputs!$B$12*(1+Inputs!$B$13/100))*0.01+Inputs!$B$14*0.0025)/100)*(1+Inputs!$B$15/100)*(1+Inputs!$B$16/100)*(5000/(6000+Inputs!$B$42*(1-(100*(1-(1-(Inputs!$B$19+0)/100)*(1-CHOOSE(ArtifactsInput!$N$40+1,5,6,7,8,9,10)/100)^(ArtifactsInput!$M$40-ArtifactsInput!$M$40)))/100)))*(1+(Inputs!$B$24+((C373=TRUE)*(F373-Calc!F26))+B384)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EIGHT_LEGS_EASTON",Inputs!$B$17+((C370=TRUE)*(F370-Calc!F23))+((C374=TRUE)*(F374-Calc!F27))+((IF(AND(Inputs!$B$38&lt;&gt;"pvp",Inputs!$B$43=0),1,IF(IF(Inputs!$B$38="pvp",15,Inputs!$B$43)-(B385)&lt;=0,1,MAX(0,IF(Inputs!$B$38="pvp",15,Inputs!$B$43)-MAX(5,B385))/(IF(Inputs!$B$38="pvp",15,Inputs!$B$43)-(B385))))*(IF(AND(ArtifactsInput!$M$42,((Inputs!$B$9+((C366=TRUE)*(F366-Calc!F19))+B378+(ArtifactsInput!$M$24-ArtifactsInput!$M$24)*CHOOSE(ArtifactsInput!$N$24+1,10,12,14,16,18,20)+IF(ArtifactsInput!$M$10,CHOOSE(ArtifactsInput!$N$10+1,15,18,21,24,27,30)*(IF(Inputs!$B$38="pvp",MIN(15,15)/15,IF(AND(Inputs!$B$38&lt;&gt;"pvp",Inputs!$B$43&gt;0),MIN(15,Inputs!$B$43)/(Inputs!$B$43),0))),0)))&gt;=100),MIN(100,((Inputs!$B$9+((C366=TRUE)*(F366-Calc!F19))+B378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385)&lt;=0,1,MAX(0,IF(Inputs!$B$38="pvp",15,Inputs!$B$43)-MAX(5,B385))/(IF(Inputs!$B$38="pvp",15,Inputs!$B$43)-(B385))))*IF(AND(ArtifactsInput!$M$42,((Inputs!$B$9+((C366=TRUE)*(F366-Calc!F19))+B378+(ArtifactsInput!$M$24-ArtifactsInput!$M$24)*CHOOSE(ArtifactsInput!$N$24+1,10,12,14,16,18,20)+IF(ArtifactsInput!$M$10,CHOOSE(ArtifactsInput!$N$10+1,15,18,21,24,27,30)*(IF(Inputs!$B$38="pvp",MIN(15,15)/15,IF(AND(Inputs!$B$38&lt;&gt;"pvp",Inputs!$B$43&gt;0),MIN(15,Inputs!$B$43)/(Inputs!$B$43),0))),0)))&gt;=100),CHOOSE(ArtifactsInput!$N$42+1,40,48,56,64,72,80),0))))/100)*((1+(((C364=TRUE)*F364*5/7)+((C371=TRUE)*(F371-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359)</f>
        <v/>
      </c>
      <c r="L359">
        <f>K359*(MIN(Inputs!$B$22+((C369=TRUE)*(F369-Calc!F22)),(Inputs!$B$23+0+(IF(ArtifactsInput!$M$15,CHOOSE(ArtifactsInput!$N$15+1,25,30,35,40,45,50)/100*(Inputs!$B$11-Inputs!$B$11),0))))/100+(Inputs!$B$23+0+(IF(ArtifactsInput!$M$15,CHOOSE(ArtifactsInput!$N$15+1,25,30,35,40,45,50)/100*(Inputs!$B$11-Inputs!$B$11),0)))/100)/2</f>
        <v/>
      </c>
      <c r="M359">
        <f>L359*(1+(Inputs!$B$10+((C372=TRUE)*(F372-Calc!F25))+B383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59">
        <f>L359*(1-MIN((Inputs!$B$9+((C366=TRUE)*(F366-Calc!F19))+B378+(ArtifactsInput!$M$24-ArtifactsInput!$M$24)*CHOOSE(ArtifactsInput!$N$24+1,10,12,14,16,18,20)+(IF(AND(Inputs!$B$38&lt;&gt;"pvp",Inputs!$B$43=0),1,IF(IF(Inputs!$B$38="pvp",15,Inputs!$B$43)-(B385)&lt;=0,1,MAX(0,IF(Inputs!$B$38="pvp",15,Inputs!$B$43)-MAX(5,B385))/(IF(Inputs!$B$38="pvp",15,Inputs!$B$43)-(B385))))*IF(AND(ArtifactsInput!$M$42,((Inputs!$B$9+((C366=TRUE)*(F366-Calc!F19))+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359*(MIN((Inputs!$B$9+((C366=TRUE)*(F366-Calc!F19))+B378+(ArtifactsInput!$M$24-ArtifactsInput!$M$24)*CHOOSE(ArtifactsInput!$N$24+1,10,12,14,16,18,20)+(IF(AND(Inputs!$B$38&lt;&gt;"pvp",Inputs!$B$43=0),1,IF(IF(Inputs!$B$38="pvp",15,Inputs!$B$43)-(B385)&lt;=0,1,MAX(0,IF(Inputs!$B$38="pvp",15,Inputs!$B$43)-MAX(5,B385))/(IF(Inputs!$B$38="pvp",15,Inputs!$B$43)-(B385))))*IF(AND(ArtifactsInput!$M$42,((Inputs!$B$9+((C366=TRUE)*(F366-Calc!F19))+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59">
        <f>(1-Summary!$B$11)*T359+Summary!$B$11*V359</f>
        <v/>
      </c>
      <c r="P359">
        <f>IF(B388=0,0,O359/B388)</f>
        <v/>
      </c>
      <c r="Q359">
        <f>IFERROR(1/(IF(Inputs!$B$38="pvp",15,MAX(0.1,Skills!D12-IF(TRUE=TRUE,Inputs!$B$32,0)))*(1-IF(AND(ArtifactsInput!$M$27,Inputs!$B$4="Chapter Hunt"),CHOOSE(ArtifactsInput!$N$27+1,20,24,28,32,36,40),0)/100)),0)</f>
        <v/>
      </c>
      <c r="R359">
        <f>IF(AND(Inputs!$B$38&lt;&gt;"pvp",Inputs!$B$43&gt;0),IF(MAX(0,Inputs!$B$43-B385)&lt;=0,0,(INT(MAX(0,Inputs!$B$43-B385)/(IF(Inputs!$B$38="pvp",15,MAX(0.1,Skills!D12-IF(TRUE=TRUE,Inputs!$B$32,0)))*(1-IF(AND(ArtifactsInput!$M$27,Inputs!$B$4="Chapter Hunt"),CHOOSE(ArtifactsInput!$N$27+1,20,24,28,32,36,40),0)/100)))+1)),0)</f>
        <v/>
      </c>
      <c r="S359">
        <f>IFERROR(O359/N359,0)</f>
        <v/>
      </c>
      <c r="T359">
        <f>IF(C359,(H359*N359*IF(AND(Inputs!$B$38&lt;&gt;"pvp",Inputs!$B$43&gt;0),((Skills!G12*((R359-1)*IF(Skills!H12&gt;0,INT(Skills!I12/Skills!H12+0.000000001),1)+IF(Skills!H12&gt;0,INT(MIN(Skills!I12,MAX(0,MAX(0,Inputs!$B$43-B385)-((R359-1)*(IF(Inputs!$B$38="pvp",15,MAX(0.1,Skills!D12-IF(TRUE=TRUE,Inputs!$B$32,0)))*(1-IF(AND(ArtifactsInput!$M$27,Inputs!$B$4="Chapter Hunt"),CHOOSE(ArtifactsInput!$N$27+1,20,24,28,32,36,40),0)/100)))))/Skills!H12+0.000000001),1)))/Inputs!$B$43),G359*Q359))*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Hunt"),CHOOSE(ArtifactsInput!$N$35+1,15,18,21,24,27,30)*(1-EXP(-(0.2*B380)*5)),0)+IF(AND(ArtifactsInput!$M$22,Inputs!$B$4&lt;&gt;"Chapter Hunt"),CHOOSE(ArtifactsInput!$N$22+1,10,12,14,16,18,20)*((0*(((0.15*B380*5))^0/1)+1*(((0.15*B380*5))^1/1)+2*(((0.15*B380*5))^2/2)+3*(((0.15*B380*5))^3/6)+4*(((0.15*B380*5))^4/24)+5*(((0.15*B380*5))^5/120))/((((0.15*B380*5))^0/1)+(((0.15*B380*5))^1/1)+(((0.15*B380*5))^2/2)+(((0.15*B380*5))^3/6)+(((0.15*B380*5))^4/24)+(((0.15*B380*5))^5/120))),0))+IF(Inputs!$B$3&gt;=54,9*(C350=TRUE)*MIN(1,8*(1+Inputs!$B$34/100)*Q350)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359*(1-MIN(100,(Inputs!$B$9+((C366=TRUE)*(F366-Calc!F19))+B378+(ArtifactsInput!$M$24-ArtifactsInput!$M$24)*CHOOSE(ArtifactsInput!$N$24+1,10,12,14,16,18,20)+(IF(AND(Inputs!$B$38&lt;&gt;"pvp",Inputs!$B$43=0),1,IF(IF(Inputs!$B$38="pvp",15,Inputs!$B$43)-(B385)&lt;=0,1,MAX(0,IF(Inputs!$B$38="pvp",15,Inputs!$B$43)-MAX(5,B385))/(IF(Inputs!$B$38="pvp",15,Inputs!$B$43)-(B385))))*IF(AND(ArtifactsInput!$M$42,((Inputs!$B$9+((C366=TRUE)*(F366-Calc!F19))+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359*(MIN(100,(Inputs!$B$9+((C366=TRUE)*(F366-Calc!F19))+B378+(ArtifactsInput!$M$24-ArtifactsInput!$M$24)*CHOOSE(ArtifactsInput!$N$24+1,10,12,14,16,18,20)+(IF(AND(Inputs!$B$38&lt;&gt;"pvp",Inputs!$B$43=0),1,IF(IF(Inputs!$B$38="pvp",15,Inputs!$B$43)-(B385)&lt;=0,1,MAX(0,IF(Inputs!$B$38="pvp",15,Inputs!$B$43)-MAX(5,B385))/(IF(Inputs!$B$38="pvp",15,Inputs!$B$43)-(B385))))*IF(AND(ArtifactsInput!$M$42,((Inputs!$B$9+((C366=TRUE)*(F366-Calc!F19))+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359*(1-MIN(100,(Inputs!$B$9+((C366=TRUE)*(F366-Calc!F19))+B378+(ArtifactsInput!$M$24-ArtifactsInput!$M$24)*CHOOSE(ArtifactsInput!$N$24+1,10,12,14,16,18,20)+(IF(AND(Inputs!$B$38&lt;&gt;"pvp",Inputs!$B$43=0),1,IF(IF(Inputs!$B$38="pvp",15,Inputs!$B$43)-(B385)&lt;=0,1,MAX(0,IF(Inputs!$B$38="pvp",15,Inputs!$B$43)-MAX(5,B385))/(IF(Inputs!$B$38="pvp",15,Inputs!$B$43)-(B385))))*IF(AND(ArtifactsInput!$M$42,((Inputs!$B$9+((C366=TRUE)*(F366-Calc!F19))+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359*(MIN(100,(Inputs!$B$9+((C366=TRUE)*(F366-Calc!F19))+B378+(ArtifactsInput!$M$24-ArtifactsInput!$M$24)*CHOOSE(ArtifactsInput!$N$24+1,10,12,14,16,18,20)+(IF(AND(Inputs!$B$38&lt;&gt;"pvp",Inputs!$B$43=0),1,IF(IF(Inputs!$B$38="pvp",15,Inputs!$B$43)-(B385)&lt;=0,1,MAX(0,IF(Inputs!$B$38="pvp",15,Inputs!$B$43)-MAX(5,B385))/(IF(Inputs!$B$38="pvp",15,Inputs!$B$43)-(B385))))*IF(AND(ArtifactsInput!$M$42,((Inputs!$B$9+((C366=TRUE)*(F366-Calc!F19))+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59">
        <f>IF(C359,(H359*N359*IF(AND(Inputs!$B$38&lt;&gt;"pvp",Inputs!$B$43&gt;0),((Skills!G12*((R359-1)*IF(Skills!H12&gt;0,INT(Skills!I12/Skills!H12+0.000000001),1)+IF(Skills!H12&gt;0,INT(MIN(Skills!I12,MAX(0,MAX(0,Inputs!$B$43-B385)-((R359-1)*(IF(Inputs!$B$38="pvp",15,MAX(0.1,Skills!D12-IF(TRUE=TRUE,Inputs!$B$32,0)))*(1-IF(AND(ArtifactsInput!$M$27,Inputs!$B$4="Chapter Hunt"),CHOOSE(ArtifactsInput!$N$27+1,20,24,28,32,36,40),0)/100)))))/Skills!H12+0.000000001),1)))/Inputs!$B$43),G359*Q359))*IF(Inputs!$B$38="pvp",1,(1+((Inputs!$B$21+1)+Skills!Q12+(IF(ArtifactsInput!$M$33,CHOOSE(ArtifactsInput!$N$33+1,30,36,42,48,54,60),0))+(IF(AND(ArtifactsInput!$M$35,Inputs!$B$4&lt;&gt;"Chapter Hunt"),CHOOSE(ArtifactsInput!$N$35+1,15,18,21,24,27,30)*(1-EXP(-(0.2*B380)*5)),0)+IF(AND(ArtifactsInput!$M$22,Inputs!$B$4&lt;&gt;"Chapter Hunt"),CHOOSE(ArtifactsInput!$N$22+1,10,12,14,16,18,20)*((0*(((0.15*B380*5))^0/1)+1*(((0.15*B380*5))^1/1)+2*(((0.15*B380*5))^2/2)+3*(((0.15*B380*5))^3/6)+4*(((0.15*B380*5))^4/24)+5*(((0.15*B380*5))^5/120))/((((0.15*B380*5))^0/1)+(((0.15*B380*5))^1/1)+(((0.15*B380*5))^2/2)+(((0.15*B380*5))^3/6)+(((0.15*B380*5))^4/24)+(((0.15*B380*5))^5/120))),0))+IF(Inputs!$B$3&gt;=54,9*(C350=TRUE)*MIN(1,8*(1+Inputs!$B$34/100)*Q350),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60">
      <c r="A360">
        <f>Skills!A13</f>
        <v/>
      </c>
      <c r="B360">
        <f>Skills!B13</f>
        <v/>
      </c>
      <c r="C360">
        <f>Inputs!$B$3&gt;=110</f>
        <v/>
      </c>
      <c r="D360">
        <f>IF(Skills!C13=1,60+Inputs!$B$25+Inputs!$B$29,IF(Skills!C13=2,90+Inputs!$B$26+Inputs!$B$29,IF(Skills!C13=3,120+Inputs!$B$27+Inputs!$B$29,MAX(0,(Inputs!$B$3-100)*3)+Inputs!$B$28+Inputs!$B$29)))</f>
        <v/>
      </c>
      <c r="E360">
        <f>INDEX(FactorTable!$B$2:$Y$301, MATCH(ROUND(MIN(300,MAX(1,D360)),0), FactorTable!$A$2:$A$301,0), Skills!M13+1)</f>
        <v/>
      </c>
      <c r="F360">
        <f>IF(Skills!N13=TRUE,(Skills!L13/10)*(E360/1000),Skills!L13/10)+Skills!O13</f>
        <v/>
      </c>
      <c r="G360">
        <f>Skills!G13*IF(Skills!H13&gt;0,INT(IF(Inputs!$B$38="pvp",MIN(Skills!I13,15),Skills!I13)/Skills!H13+0.000000001),1)</f>
        <v/>
      </c>
      <c r="H360">
        <f>1-(1-Skills!J13/100)^Skills!K13</f>
        <v/>
      </c>
      <c r="I360" t="inlineStr">
        <is>
          <t>1</t>
        </is>
      </c>
      <c r="J360">
        <f>((Inputs!$B$6*(1+Inputs!$B$7/100))+(((Inputs!$B$12*(1+Inputs!$B$13/100))-(Inputs!$B$12*(1+Inputs!$B$13/100)))+0.25*(Inputs!$B$14-Inputs!$B$14))*(1+Inputs!$B$7/100))*(F360/100)</f>
        <v/>
      </c>
      <c r="K360">
        <f>J360*(1+((Inputs!$B$12*(1+Inputs!$B$13/100))*0.01+Inputs!$B$14*0.0025)/100)*(1+Inputs!$B$15/100)*(1+Inputs!$B$16/100)*(5000/(6000+Inputs!$B$42*(1-(100*(1-(1-(Inputs!$B$19+0)/100)*(1-CHOOSE(ArtifactsInput!$N$40+1,5,6,7,8,9,10)/100)^(ArtifactsInput!$M$40-ArtifactsInput!$M$40)))/100)))*(1+(Inputs!$B$24+((C373=TRUE)*(F373-Calc!F26))+B384)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EIGHT_LEGS_EASTON",Inputs!$B$17+((C370=TRUE)*(F370-Calc!F23))+((C374=TRUE)*(F374-Calc!F27))+((IF(AND(Inputs!$B$38&lt;&gt;"pvp",Inputs!$B$43=0),1,IF(IF(Inputs!$B$38="pvp",15,Inputs!$B$43)-(B385)&lt;=0,1,MAX(0,IF(Inputs!$B$38="pvp",15,Inputs!$B$43)-MAX(5,B385))/(IF(Inputs!$B$38="pvp",15,Inputs!$B$43)-(B385))))*(IF(AND(ArtifactsInput!$M$42,((Inputs!$B$9+((C366=TRUE)*(F366-Calc!F19))+B378+(ArtifactsInput!$M$24-ArtifactsInput!$M$24)*CHOOSE(ArtifactsInput!$N$24+1,10,12,14,16,18,20)+IF(ArtifactsInput!$M$10,CHOOSE(ArtifactsInput!$N$10+1,15,18,21,24,27,30)*(IF(Inputs!$B$38="pvp",MIN(15,15)/15,IF(AND(Inputs!$B$38&lt;&gt;"pvp",Inputs!$B$43&gt;0),MIN(15,Inputs!$B$43)/(Inputs!$B$43),0))),0)))&gt;=100),MIN(100,((Inputs!$B$9+((C366=TRUE)*(F366-Calc!F19))+B378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385)&lt;=0,1,MAX(0,IF(Inputs!$B$38="pvp",15,Inputs!$B$43)-MAX(5,B385))/(IF(Inputs!$B$38="pvp",15,Inputs!$B$43)-(B385))))*IF(AND(ArtifactsInput!$M$42,((Inputs!$B$9+((C366=TRUE)*(F366-Calc!F19))+B378+(ArtifactsInput!$M$24-ArtifactsInput!$M$24)*CHOOSE(ArtifactsInput!$N$24+1,10,12,14,16,18,20)+IF(ArtifactsInput!$M$10,CHOOSE(ArtifactsInput!$N$10+1,15,18,21,24,27,30)*(IF(Inputs!$B$38="pvp",MIN(15,15)/15,IF(AND(Inputs!$B$38&lt;&gt;"pvp",Inputs!$B$43&gt;0),MIN(15,Inputs!$B$43)/(Inputs!$B$43),0))),0)))&gt;=100),CHOOSE(ArtifactsInput!$N$42+1,40,48,56,64,72,80),0))))/100)*((1+(((C364=TRUE)*F364*5/7)+((C371=TRUE)*(F371-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360)</f>
        <v/>
      </c>
      <c r="L360">
        <f>K360*(MIN(Inputs!$B$22+((C369=TRUE)*(F369-Calc!F22)),(Inputs!$B$23+0+(IF(ArtifactsInput!$M$15,CHOOSE(ArtifactsInput!$N$15+1,25,30,35,40,45,50)/100*(Inputs!$B$11-Inputs!$B$11),0))))/100+(Inputs!$B$23+0+(IF(ArtifactsInput!$M$15,CHOOSE(ArtifactsInput!$N$15+1,25,30,35,40,45,50)/100*(Inputs!$B$11-Inputs!$B$11),0)))/100)/2</f>
        <v/>
      </c>
      <c r="M360">
        <f>L360*(1+(Inputs!$B$10+((C372=TRUE)*(F372-Calc!F25))+B383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60">
        <f>L360*(1-MIN((Inputs!$B$9+((C366=TRUE)*(F366-Calc!F19))+B378+(ArtifactsInput!$M$24-ArtifactsInput!$M$24)*CHOOSE(ArtifactsInput!$N$24+1,10,12,14,16,18,20)+(IF(AND(Inputs!$B$38&lt;&gt;"pvp",Inputs!$B$43=0),1,IF(IF(Inputs!$B$38="pvp",15,Inputs!$B$43)-(B385)&lt;=0,1,MAX(0,IF(Inputs!$B$38="pvp",15,Inputs!$B$43)-MAX(5,B385))/(IF(Inputs!$B$38="pvp",15,Inputs!$B$43)-(B385))))*IF(AND(ArtifactsInput!$M$42,((Inputs!$B$9+((C366=TRUE)*(F366-Calc!F19))+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360*(MIN((Inputs!$B$9+((C366=TRUE)*(F366-Calc!F19))+B378+(ArtifactsInput!$M$24-ArtifactsInput!$M$24)*CHOOSE(ArtifactsInput!$N$24+1,10,12,14,16,18,20)+(IF(AND(Inputs!$B$38&lt;&gt;"pvp",Inputs!$B$43=0),1,IF(IF(Inputs!$B$38="pvp",15,Inputs!$B$43)-(B385)&lt;=0,1,MAX(0,IF(Inputs!$B$38="pvp",15,Inputs!$B$43)-MAX(5,B385))/(IF(Inputs!$B$38="pvp",15,Inputs!$B$43)-(B385))))*IF(AND(ArtifactsInput!$M$42,((Inputs!$B$9+((C366=TRUE)*(F366-Calc!F19))+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60">
        <f>(1-Summary!$B$11)*T360+Summary!$B$11*V360</f>
        <v/>
      </c>
      <c r="P360">
        <f>IF(B388=0,0,O360/B388)</f>
        <v/>
      </c>
      <c r="Q360">
        <f>IFERROR(1/(IF(Inputs!$B$38="pvp",15,MAX(0.1,Skills!D13-IF(TRUE=TRUE,Inputs!$B$32,0)))*(1-IF(AND(ArtifactsInput!$M$27,Inputs!$B$4="Chapter Hunt"),CHOOSE(ArtifactsInput!$N$27+1,20,24,28,32,36,40),0)/100)),0)</f>
        <v/>
      </c>
      <c r="R360">
        <f>IF(AND(Inputs!$B$38&lt;&gt;"pvp",Inputs!$B$43&gt;0),IF(MAX(0,Inputs!$B$43-B385)&lt;=0,0,(INT(MAX(0,Inputs!$B$43-B385)/(IF(Inputs!$B$38="pvp",15,MAX(0.1,Skills!D13-IF(TRUE=TRUE,Inputs!$B$32,0)))*(1-IF(AND(ArtifactsInput!$M$27,Inputs!$B$4="Chapter Hunt"),CHOOSE(ArtifactsInput!$N$27+1,20,24,28,32,36,40),0)/100)))+1)),0)</f>
        <v/>
      </c>
      <c r="S360">
        <f>IFERROR(O360/N360,0)</f>
        <v/>
      </c>
      <c r="T360">
        <f>IF(C360,(H360*N360*IF(AND(Inputs!$B$38&lt;&gt;"pvp",Inputs!$B$43&gt;0),((Skills!G13*((R360-1)*IF(Skills!H13&gt;0,INT(Skills!I13/Skills!H13+0.000000001),1)+IF(Skills!H13&gt;0,INT(MIN(Skills!I13,MAX(0,MAX(0,Inputs!$B$43-B385)-((R360-1)*(IF(Inputs!$B$38="pvp",15,MAX(0.1,Skills!D13-IF(TRUE=TRUE,Inputs!$B$32,0)))*(1-IF(AND(ArtifactsInput!$M$27,Inputs!$B$4="Chapter Hunt"),CHOOSE(ArtifactsInput!$N$27+1,20,24,28,32,36,40),0)/100)))))/Skills!H13+0.000000001),1)))/Inputs!$B$43),G360*Q360))*IF(Inputs!$B$38="pvp",1,1+(Inputs!$B$20+0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Hunt"),CHOOSE(ArtifactsInput!$N$35+1,15,18,21,24,27,30)*(1-EXP(-(0.2*B380)*5)),0)+IF(AND(ArtifactsInput!$M$22,Inputs!$B$4&lt;&gt;"Chapter Hunt"),CHOOSE(ArtifactsInput!$N$22+1,10,12,14,16,18,20)*((0*(((0.15*B380*5))^0/1)+1*(((0.15*B380*5))^1/1)+2*(((0.15*B380*5))^2/2)+3*(((0.15*B380*5))^3/6)+4*(((0.15*B380*5))^4/24)+5*(((0.15*B380*5))^5/120))/((((0.15*B380*5))^0/1)+(((0.15*B380*5))^1/1)+(((0.15*B380*5))^2/2)+(((0.15*B380*5))^3/6)+(((0.15*B380*5))^4/24)+(((0.15*B380*5))^5/120))),0))+IF(Inputs!$B$3&gt;=54,9*(C350=TRUE)*MIN(1,8*(1+Inputs!$B$34/100)*Q350)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360*(1-MIN(100,(Inputs!$B$9+((C366=TRUE)*(F366-Calc!F19))+B378+(ArtifactsInput!$M$24-ArtifactsInput!$M$24)*CHOOSE(ArtifactsInput!$N$24+1,10,12,14,16,18,20)+(IF(AND(Inputs!$B$38&lt;&gt;"pvp",Inputs!$B$43=0),1,IF(IF(Inputs!$B$38="pvp",15,Inputs!$B$43)-(B385)&lt;=0,1,MAX(0,IF(Inputs!$B$38="pvp",15,Inputs!$B$43)-MAX(5,B385))/(IF(Inputs!$B$38="pvp",15,Inputs!$B$43)-(B385))))*IF(AND(ArtifactsInput!$M$42,((Inputs!$B$9+((C366=TRUE)*(F366-Calc!F19))+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360*(MIN(100,(Inputs!$B$9+((C366=TRUE)*(F366-Calc!F19))+B378+(ArtifactsInput!$M$24-ArtifactsInput!$M$24)*CHOOSE(ArtifactsInput!$N$24+1,10,12,14,16,18,20)+(IF(AND(Inputs!$B$38&lt;&gt;"pvp",Inputs!$B$43=0),1,IF(IF(Inputs!$B$38="pvp",15,Inputs!$B$43)-(B385)&lt;=0,1,MAX(0,IF(Inputs!$B$38="pvp",15,Inputs!$B$43)-MAX(5,B385))/(IF(Inputs!$B$38="pvp",15,Inputs!$B$43)-(B385))))*IF(AND(ArtifactsInput!$M$42,((Inputs!$B$9+((C366=TRUE)*(F366-Calc!F19))+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360*(1-MIN(100,(Inputs!$B$9+((C366=TRUE)*(F366-Calc!F19))+B378+(ArtifactsInput!$M$24-ArtifactsInput!$M$24)*CHOOSE(ArtifactsInput!$N$24+1,10,12,14,16,18,20)+(IF(AND(Inputs!$B$38&lt;&gt;"pvp",Inputs!$B$43=0),1,IF(IF(Inputs!$B$38="pvp",15,Inputs!$B$43)-(B385)&lt;=0,1,MAX(0,IF(Inputs!$B$38="pvp",15,Inputs!$B$43)-MAX(5,B385))/(IF(Inputs!$B$38="pvp",15,Inputs!$B$43)-(B385))))*IF(AND(ArtifactsInput!$M$42,((Inputs!$B$9+((C366=TRUE)*(F366-Calc!F19))+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360*(MIN(100,(Inputs!$B$9+((C366=TRUE)*(F366-Calc!F19))+B378+(ArtifactsInput!$M$24-ArtifactsInput!$M$24)*CHOOSE(ArtifactsInput!$N$24+1,10,12,14,16,18,20)+(IF(AND(Inputs!$B$38&lt;&gt;"pvp",Inputs!$B$43=0),1,IF(IF(Inputs!$B$38="pvp",15,Inputs!$B$43)-(B385)&lt;=0,1,MAX(0,IF(Inputs!$B$38="pvp",15,Inputs!$B$43)-MAX(5,B385))/(IF(Inputs!$B$38="pvp",15,Inputs!$B$43)-(B385))))*IF(AND(ArtifactsInput!$M$42,((Inputs!$B$9+((C366=TRUE)*(F366-Calc!F19))+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60">
        <f>IF(C360,(H360*N360*IF(AND(Inputs!$B$38&lt;&gt;"pvp",Inputs!$B$43&gt;0),((Skills!G13*((R360-1)*IF(Skills!H13&gt;0,INT(Skills!I13/Skills!H13+0.000000001),1)+IF(Skills!H13&gt;0,INT(MIN(Skills!I13,MAX(0,MAX(0,Inputs!$B$43-B385)-((R360-1)*(IF(Inputs!$B$38="pvp",15,MAX(0.1,Skills!D13-IF(TRUE=TRUE,Inputs!$B$32,0)))*(1-IF(AND(ArtifactsInput!$M$27,Inputs!$B$4="Chapter Hunt"),CHOOSE(ArtifactsInput!$N$27+1,20,24,28,32,36,40),0)/100)))))/Skills!H13+0.000000001),1)))/Inputs!$B$43),G360*Q360))*IF(Inputs!$B$38="pvp",1,(1+((Inputs!$B$21+1)+Skills!Q13+(IF(ArtifactsInput!$M$33,CHOOSE(ArtifactsInput!$N$33+1,30,36,42,48,54,60),0))+(IF(AND(ArtifactsInput!$M$35,Inputs!$B$4&lt;&gt;"Chapter Hunt"),CHOOSE(ArtifactsInput!$N$35+1,15,18,21,24,27,30)*(1-EXP(-(0.2*B380)*5)),0)+IF(AND(ArtifactsInput!$M$22,Inputs!$B$4&lt;&gt;"Chapter Hunt"),CHOOSE(ArtifactsInput!$N$22+1,10,12,14,16,18,20)*((0*(((0.15*B380*5))^0/1)+1*(((0.15*B380*5))^1/1)+2*(((0.15*B380*5))^2/2)+3*(((0.15*B380*5))^3/6)+4*(((0.15*B380*5))^4/24)+5*(((0.15*B380*5))^5/120))/((((0.15*B380*5))^0/1)+(((0.15*B380*5))^1/1)+(((0.15*B380*5))^2/2)+(((0.15*B380*5))^3/6)+(((0.15*B380*5))^4/24)+(((0.15*B380*5))^5/120))),0))+IF(Inputs!$B$3&gt;=54,9*(C350=TRUE)*MIN(1,8*(1+Inputs!$B$34/100)*Q350),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61">
      <c r="A361">
        <f>Skills!A14</f>
        <v/>
      </c>
      <c r="B361">
        <f>Skills!B14</f>
        <v/>
      </c>
      <c r="C361">
        <f>Inputs!$B$3&gt;=120</f>
        <v/>
      </c>
      <c r="D361">
        <f>IF(Skills!C14=1,60+Inputs!$B$25+Inputs!$B$29,IF(Skills!C14=2,90+Inputs!$B$26+Inputs!$B$29,IF(Skills!C14=3,120+Inputs!$B$27+Inputs!$B$29,MAX(0,(Inputs!$B$3-100)*3)+Inputs!$B$28+Inputs!$B$29)))</f>
        <v/>
      </c>
      <c r="E361">
        <f>INDEX(FactorTable!$B$2:$Y$301, MATCH(ROUND(MIN(300,MAX(1,D361)),0), FactorTable!$A$2:$A$301,0), Skills!M14+1)</f>
        <v/>
      </c>
      <c r="F361">
        <f>IF(Skills!N14=TRUE,(Skills!L14/10)*(E361/1000),Skills!L14/10)+Skills!O14</f>
        <v/>
      </c>
      <c r="G361">
        <f>Skills!G14*IF(Skills!H14&gt;0,INT(IF(Inputs!$B$38="pvp",MIN(Skills!I14,15),Skills!I14)/Skills!H14+0.000000001),1)</f>
        <v/>
      </c>
      <c r="H361">
        <f>1-(1-Skills!J14/100)^Skills!K14</f>
        <v/>
      </c>
      <c r="I361" t="inlineStr">
        <is>
          <t>1</t>
        </is>
      </c>
      <c r="J361">
        <f>((Inputs!$B$6*(1+Inputs!$B$7/100))+(((Inputs!$B$12*(1+Inputs!$B$13/100))-(Inputs!$B$12*(1+Inputs!$B$13/100)))+0.25*(Inputs!$B$14-Inputs!$B$14))*(1+Inputs!$B$7/100))*(F361/100)</f>
        <v/>
      </c>
      <c r="K361">
        <f>J361*(1+((Inputs!$B$12*(1+Inputs!$B$13/100))*0.01+Inputs!$B$14*0.0025)/100)*(1+Inputs!$B$15/100)*(1+Inputs!$B$16/100)*(5000/(6000+Inputs!$B$42*(1-(100*(1-(1-(Inputs!$B$19+0)/100)*(1-CHOOSE(ArtifactsInput!$N$40+1,5,6,7,8,9,10)/100)^(ArtifactsInput!$M$40-ArtifactsInput!$M$40)))/100)))*(1+(Inputs!$B$24+((C373=TRUE)*(F373-Calc!F26))+B384)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EIGHT_LEGS_EASTON",Inputs!$B$17+((C370=TRUE)*(F370-Calc!F23))+((C374=TRUE)*(F374-Calc!F27))+((IF(AND(Inputs!$B$38&lt;&gt;"pvp",Inputs!$B$43=0),1,IF(IF(Inputs!$B$38="pvp",15,Inputs!$B$43)-(B385)&lt;=0,1,MAX(0,IF(Inputs!$B$38="pvp",15,Inputs!$B$43)-MAX(5,B385))/(IF(Inputs!$B$38="pvp",15,Inputs!$B$43)-(B385))))*(IF(AND(ArtifactsInput!$M$42,((Inputs!$B$9+((C366=TRUE)*(F366-Calc!F19))+B378+(ArtifactsInput!$M$24-ArtifactsInput!$M$24)*CHOOSE(ArtifactsInput!$N$24+1,10,12,14,16,18,20)+IF(ArtifactsInput!$M$10,CHOOSE(ArtifactsInput!$N$10+1,15,18,21,24,27,30)*(IF(Inputs!$B$38="pvp",MIN(15,15)/15,IF(AND(Inputs!$B$38&lt;&gt;"pvp",Inputs!$B$43&gt;0),MIN(15,Inputs!$B$43)/(Inputs!$B$43),0))),0)))&gt;=100),MIN(100,((Inputs!$B$9+((C366=TRUE)*(F366-Calc!F19))+B378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385)&lt;=0,1,MAX(0,IF(Inputs!$B$38="pvp",15,Inputs!$B$43)-MAX(5,B385))/(IF(Inputs!$B$38="pvp",15,Inputs!$B$43)-(B385))))*IF(AND(ArtifactsInput!$M$42,((Inputs!$B$9+((C366=TRUE)*(F366-Calc!F19))+B378+(ArtifactsInput!$M$24-ArtifactsInput!$M$24)*CHOOSE(ArtifactsInput!$N$24+1,10,12,14,16,18,20)+IF(ArtifactsInput!$M$10,CHOOSE(ArtifactsInput!$N$10+1,15,18,21,24,27,30)*(IF(Inputs!$B$38="pvp",MIN(15,15)/15,IF(AND(Inputs!$B$38&lt;&gt;"pvp",Inputs!$B$43&gt;0),MIN(15,Inputs!$B$43)/(Inputs!$B$43),0))),0)))&gt;=100),CHOOSE(ArtifactsInput!$N$42+1,40,48,56,64,72,80),0))))/100)*((1+(((C364=TRUE)*F364*5/7)+((C371=TRUE)*(F371-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361)</f>
        <v/>
      </c>
      <c r="L361">
        <f>K361*(MIN(Inputs!$B$22+((C369=TRUE)*(F369-Calc!F22)),(Inputs!$B$23+0+(IF(ArtifactsInput!$M$15,CHOOSE(ArtifactsInput!$N$15+1,25,30,35,40,45,50)/100*(Inputs!$B$11-Inputs!$B$11),0))))/100+(Inputs!$B$23+0+(IF(ArtifactsInput!$M$15,CHOOSE(ArtifactsInput!$N$15+1,25,30,35,40,45,50)/100*(Inputs!$B$11-Inputs!$B$11),0)))/100)/2</f>
        <v/>
      </c>
      <c r="M361">
        <f>L361*(1+(Inputs!$B$10+((C372=TRUE)*(F372-Calc!F25))+B383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61">
        <f>L361*(1-MIN((Inputs!$B$9+((C366=TRUE)*(F366-Calc!F19))+B378+(ArtifactsInput!$M$24-ArtifactsInput!$M$24)*CHOOSE(ArtifactsInput!$N$24+1,10,12,14,16,18,20)+(IF(AND(Inputs!$B$38&lt;&gt;"pvp",Inputs!$B$43=0),1,IF(IF(Inputs!$B$38="pvp",15,Inputs!$B$43)-(B385)&lt;=0,1,MAX(0,IF(Inputs!$B$38="pvp",15,Inputs!$B$43)-MAX(5,B385))/(IF(Inputs!$B$38="pvp",15,Inputs!$B$43)-(B385))))*IF(AND(ArtifactsInput!$M$42,((Inputs!$B$9+((C366=TRUE)*(F366-Calc!F19))+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361*(MIN((Inputs!$B$9+((C366=TRUE)*(F366-Calc!F19))+B378+(ArtifactsInput!$M$24-ArtifactsInput!$M$24)*CHOOSE(ArtifactsInput!$N$24+1,10,12,14,16,18,20)+(IF(AND(Inputs!$B$38&lt;&gt;"pvp",Inputs!$B$43=0),1,IF(IF(Inputs!$B$38="pvp",15,Inputs!$B$43)-(B385)&lt;=0,1,MAX(0,IF(Inputs!$B$38="pvp",15,Inputs!$B$43)-MAX(5,B385))/(IF(Inputs!$B$38="pvp",15,Inputs!$B$43)-(B385))))*IF(AND(ArtifactsInput!$M$42,((Inputs!$B$9+((C366=TRUE)*(F366-Calc!F19))+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61">
        <f>(1-Summary!$B$11)*T361+Summary!$B$11*V361</f>
        <v/>
      </c>
      <c r="P361">
        <f>IF(B388=0,0,O361/B388)</f>
        <v/>
      </c>
      <c r="Q361" t="n">
        <v>0</v>
      </c>
      <c r="R361" t="n">
        <v>0</v>
      </c>
      <c r="S361">
        <f>IFERROR(O361/N361,0)</f>
        <v/>
      </c>
      <c r="T361">
        <f>IF(C361,((H361*(B382+IF(AND(Inputs!$B$38&lt;&gt;"pvp",Inputs!$B$43&gt;0),((Skills!G8*((R355-1)*IF(Skills!H8&gt;0,INT(Skills!I8/Skills!H8+0.000000001),1)+IF(Skills!H8&gt;0,INT(MIN(Skills!I8,MAX(0,MAX(0,Inputs!$B$43-B385)-((R355-1)*((IF(Inputs!$B$38="pvp",15,MAX(0.1,Skills!D8-IF(TRUE=TRUE,Inputs!$B$32,0)))*(1-IF(AND(ArtifactsInput!$M$27,Inputs!$B$4="Chapter Hunt"),CHOOSE(ArtifactsInput!$N$27+1,20,24,28,32,36,40),0)/100))/B389))))/Skills!H8+0.000000001),1)))/Inputs!$B$43),G355*Q355)+IF(AND(Inputs!$B$38&lt;&gt;"pvp",Inputs!$B$43&gt;0),((Skills!G11*((R358-1)*IF(Skills!H11&gt;0,INT(Skills!I11/Skills!H11+0.000000001),1)+IF(Skills!H11&gt;0,INT(MIN(Skills!I11,MAX(0,MAX(0,Inputs!$B$43-B385)-((R358-1)*((IF(Inputs!$B$38="pvp",15,MAX(0.1,Skills!D11-IF(TRUE=TRUE,Inputs!$B$32,0)))*(1-IF(AND(ArtifactsInput!$M$27,Inputs!$B$4="Chapter Hunt"),CHOOSE(ArtifactsInput!$N$27+1,20,24,28,32,36,40),0)/100))/B389))))/Skills!H11+0.000000001),1)))/Inputs!$B$43),G358*Q358)))/(1+Skills!H14*H361*(B382+IF(AND(Inputs!$B$38&lt;&gt;"pvp",Inputs!$B$43&gt;0),((Skills!G8*((R355-1)*IF(Skills!H8&gt;0,INT(Skills!I8/Skills!H8+0.000000001),1)+IF(Skills!H8&gt;0,INT(MIN(Skills!I8,MAX(0,MAX(0,Inputs!$B$43-B385)-((R355-1)*((IF(Inputs!$B$38="pvp",15,MAX(0.1,Skills!D8-IF(TRUE=TRUE,Inputs!$B$32,0)))*(1-IF(AND(ArtifactsInput!$M$27,Inputs!$B$4="Chapter Hunt"),CHOOSE(ArtifactsInput!$N$27+1,20,24,28,32,36,40),0)/100))/B389))))/Skills!H8+0.000000001),1)))/Inputs!$B$43),G355*Q355)+IF(AND(Inputs!$B$38&lt;&gt;"pvp",Inputs!$B$43&gt;0),((Skills!G11*((R358-1)*IF(Skills!H11&gt;0,INT(Skills!I11/Skills!H11+0.000000001),1)+IF(Skills!H11&gt;0,INT(MIN(Skills!I11,MAX(0,MAX(0,Inputs!$B$43-B385)-((R358-1)*((IF(Inputs!$B$38="pvp",15,MAX(0.1,Skills!D11-IF(TRUE=TRUE,Inputs!$B$32,0)))*(1-IF(AND(ArtifactsInput!$M$27,Inputs!$B$4="Chapter Hunt"),CHOOSE(ArtifactsInput!$N$27+1,20,24,28,32,36,40),0)/100))/B389))))/Skills!H11+0.000000001),1)))/Inputs!$B$43),G358*Q358)))*N361)*IF(Inputs!$B$38="pvp",1,1+(Inputs!$B$20+0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Hunt"),CHOOSE(ArtifactsInput!$N$35+1,15,18,21,24,27,30)*(1-EXP(-(0.2*B380)*5)),0)+IF(AND(ArtifactsInput!$M$22,Inputs!$B$4&lt;&gt;"Chapter Hunt"),CHOOSE(ArtifactsInput!$N$22+1,10,12,14,16,18,20)*((0*(((0.15*B380*5))^0/1)+1*(((0.15*B380*5))^1/1)+2*(((0.15*B380*5))^2/2)+3*(((0.15*B380*5))^3/6)+4*(((0.15*B380*5))^4/24)+5*(((0.15*B380*5))^5/120))/((((0.15*B380*5))^0/1)+(((0.15*B380*5))^1/1)+(((0.15*B380*5))^2/2)+(((0.15*B380*5))^3/6)+(((0.15*B380*5))^4/24)+(((0.15*B380*5))^5/120))),0))+IF(Inputs!$B$3&gt;=54,9*(C350=TRUE)*MIN(1,8*(1+Inputs!$B$34/100)*Q350)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361*(1-MIN(100,(Inputs!$B$9+((C366=TRUE)*(F366-Calc!F19))+B378+(ArtifactsInput!$M$24-ArtifactsInput!$M$24)*CHOOSE(ArtifactsInput!$N$24+1,10,12,14,16,18,20)+(IF(AND(Inputs!$B$38&lt;&gt;"pvp",Inputs!$B$43=0),1,IF(IF(Inputs!$B$38="pvp",15,Inputs!$B$43)-(B385)&lt;=0,1,MAX(0,IF(Inputs!$B$38="pvp",15,Inputs!$B$43)-MAX(5,B385))/(IF(Inputs!$B$38="pvp",15,Inputs!$B$43)-(B385))))*IF(AND(ArtifactsInput!$M$42,((Inputs!$B$9+((C366=TRUE)*(F366-Calc!F19))+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361*(MIN(100,(Inputs!$B$9+((C366=TRUE)*(F366-Calc!F19))+B378+(ArtifactsInput!$M$24-ArtifactsInput!$M$24)*CHOOSE(ArtifactsInput!$N$24+1,10,12,14,16,18,20)+(IF(AND(Inputs!$B$38&lt;&gt;"pvp",Inputs!$B$43=0),1,IF(IF(Inputs!$B$38="pvp",15,Inputs!$B$43)-(B385)&lt;=0,1,MAX(0,IF(Inputs!$B$38="pvp",15,Inputs!$B$43)-MAX(5,B385))/(IF(Inputs!$B$38="pvp",15,Inputs!$B$43)-(B385))))*IF(AND(ArtifactsInput!$M$42,((Inputs!$B$9+((C366=TRUE)*(F366-Calc!F19))+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361*(1-MIN(100,(Inputs!$B$9+((C366=TRUE)*(F366-Calc!F19))+B378+(ArtifactsInput!$M$24-ArtifactsInput!$M$24)*CHOOSE(ArtifactsInput!$N$24+1,10,12,14,16,18,20)+(IF(AND(Inputs!$B$38&lt;&gt;"pvp",Inputs!$B$43=0),1,IF(IF(Inputs!$B$38="pvp",15,Inputs!$B$43)-(B385)&lt;=0,1,MAX(0,IF(Inputs!$B$38="pvp",15,Inputs!$B$43)-MAX(5,B385))/(IF(Inputs!$B$38="pvp",15,Inputs!$B$43)-(B385))))*IF(AND(ArtifactsInput!$M$42,((Inputs!$B$9+((C366=TRUE)*(F366-Calc!F19))+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361*(MIN(100,(Inputs!$B$9+((C366=TRUE)*(F366-Calc!F19))+B378+(ArtifactsInput!$M$24-ArtifactsInput!$M$24)*CHOOSE(ArtifactsInput!$N$24+1,10,12,14,16,18,20)+(IF(AND(Inputs!$B$38&lt;&gt;"pvp",Inputs!$B$43=0),1,IF(IF(Inputs!$B$38="pvp",15,Inputs!$B$43)-(B385)&lt;=0,1,MAX(0,IF(Inputs!$B$38="pvp",15,Inputs!$B$43)-MAX(5,B385))/(IF(Inputs!$B$38="pvp",15,Inputs!$B$43)-(B385))))*IF(AND(ArtifactsInput!$M$42,((Inputs!$B$9+((C366=TRUE)*(F366-Calc!F19))+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61">
        <f>IF(C361,((H361*(B382+IF(AND(Inputs!$B$38&lt;&gt;"pvp",Inputs!$B$43&gt;0),((Skills!G8*((R355-1)*IF(Skills!H8&gt;0,INT(Skills!I8/Skills!H8+0.000000001),1)+IF(Skills!H8&gt;0,INT(MIN(Skills!I8,MAX(0,MAX(0,Inputs!$B$43-B385)-((R355-1)*((IF(Inputs!$B$38="pvp",15,MAX(0.1,Skills!D8-IF(TRUE=TRUE,Inputs!$B$32,0)))*(1-IF(AND(ArtifactsInput!$M$27,Inputs!$B$4="Chapter Hunt"),CHOOSE(ArtifactsInput!$N$27+1,20,24,28,32,36,40),0)/100))/B389))))/Skills!H8+0.000000001),1)))/Inputs!$B$43),G355*Q355)+IF(AND(Inputs!$B$38&lt;&gt;"pvp",Inputs!$B$43&gt;0),((Skills!G11*((R358-1)*IF(Skills!H11&gt;0,INT(Skills!I11/Skills!H11+0.000000001),1)+IF(Skills!H11&gt;0,INT(MIN(Skills!I11,MAX(0,MAX(0,Inputs!$B$43-B385)-((R358-1)*((IF(Inputs!$B$38="pvp",15,MAX(0.1,Skills!D11-IF(TRUE=TRUE,Inputs!$B$32,0)))*(1-IF(AND(ArtifactsInput!$M$27,Inputs!$B$4="Chapter Hunt"),CHOOSE(ArtifactsInput!$N$27+1,20,24,28,32,36,40),0)/100))/B389))))/Skills!H11+0.000000001),1)))/Inputs!$B$43),G358*Q358)))/(1+Skills!H14*H361*(B382+IF(AND(Inputs!$B$38&lt;&gt;"pvp",Inputs!$B$43&gt;0),((Skills!G8*((R355-1)*IF(Skills!H8&gt;0,INT(Skills!I8/Skills!H8+0.000000001),1)+IF(Skills!H8&gt;0,INT(MIN(Skills!I8,MAX(0,MAX(0,Inputs!$B$43-B385)-((R355-1)*((IF(Inputs!$B$38="pvp",15,MAX(0.1,Skills!D8-IF(TRUE=TRUE,Inputs!$B$32,0)))*(1-IF(AND(ArtifactsInput!$M$27,Inputs!$B$4="Chapter Hunt"),CHOOSE(ArtifactsInput!$N$27+1,20,24,28,32,36,40),0)/100))/B389))))/Skills!H8+0.000000001),1)))/Inputs!$B$43),G355*Q355)+IF(AND(Inputs!$B$38&lt;&gt;"pvp",Inputs!$B$43&gt;0),((Skills!G11*((R358-1)*IF(Skills!H11&gt;0,INT(Skills!I11/Skills!H11+0.000000001),1)+IF(Skills!H11&gt;0,INT(MIN(Skills!I11,MAX(0,MAX(0,Inputs!$B$43-B385)-((R358-1)*((IF(Inputs!$B$38="pvp",15,MAX(0.1,Skills!D11-IF(TRUE=TRUE,Inputs!$B$32,0)))*(1-IF(AND(ArtifactsInput!$M$27,Inputs!$B$4="Chapter Hunt"),CHOOSE(ArtifactsInput!$N$27+1,20,24,28,32,36,40),0)/100))/B389))))/Skills!H11+0.000000001),1)))/Inputs!$B$43),G358*Q358)))*N361)*IF(Inputs!$B$38="pvp",1,(1+((Inputs!$B$21+1)+Skills!Q14+(IF(ArtifactsInput!$M$33,CHOOSE(ArtifactsInput!$N$33+1,30,36,42,48,54,60),0))+(IF(AND(ArtifactsInput!$M$35,Inputs!$B$4&lt;&gt;"Chapter Hunt"),CHOOSE(ArtifactsInput!$N$35+1,15,18,21,24,27,30)*(1-EXP(-(0.2*B380)*5)),0)+IF(AND(ArtifactsInput!$M$22,Inputs!$B$4&lt;&gt;"Chapter Hunt"),CHOOSE(ArtifactsInput!$N$22+1,10,12,14,16,18,20)*((0*(((0.15*B380*5))^0/1)+1*(((0.15*B380*5))^1/1)+2*(((0.15*B380*5))^2/2)+3*(((0.15*B380*5))^3/6)+4*(((0.15*B380*5))^4/24)+5*(((0.15*B380*5))^5/120))/((((0.15*B380*5))^0/1)+(((0.15*B380*5))^1/1)+(((0.15*B380*5))^2/2)+(((0.15*B380*5))^3/6)+(((0.15*B380*5))^4/24)+(((0.15*B380*5))^5/120))),0))+IF(Inputs!$B$3&gt;=54,9*(C350=TRUE)*MIN(1,8*(1+Inputs!$B$34/100)*Q350),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62">
      <c r="A362">
        <f>Skills!A15</f>
        <v/>
      </c>
      <c r="B362">
        <f>Skills!B15</f>
        <v/>
      </c>
      <c r="C362">
        <f>Inputs!$B$3&gt;=100</f>
        <v/>
      </c>
      <c r="D362">
        <f>IF(Skills!C15=1,60+Inputs!$B$25+Inputs!$B$29,IF(Skills!C15=2,90+Inputs!$B$26+Inputs!$B$29,IF(Skills!C15=3,120+Inputs!$B$27+Inputs!$B$29,MAX(0,(Inputs!$B$3-100)*3)+Inputs!$B$28+Inputs!$B$29)))</f>
        <v/>
      </c>
      <c r="E362">
        <f>INDEX(FactorTable!$B$2:$Y$301, MATCH(ROUND(MIN(300,MAX(1,D362)),0), FactorTable!$A$2:$A$301,0), Skills!M15+1)</f>
        <v/>
      </c>
      <c r="F362">
        <f>IF(Skills!N15=TRUE,(Skills!L15/10)*(E362/1000),Skills!L15/10)+Skills!O15</f>
        <v/>
      </c>
      <c r="G362" t="inlineStr"/>
      <c r="H362" t="inlineStr"/>
      <c r="I362" t="inlineStr">
        <is>
          <t>1</t>
        </is>
      </c>
      <c r="J362" t="inlineStr"/>
      <c r="K362" t="inlineStr"/>
      <c r="L362" t="inlineStr"/>
      <c r="M362" t="inlineStr"/>
      <c r="N362" t="inlineStr"/>
      <c r="O362" t="inlineStr"/>
      <c r="P362" t="inlineStr"/>
      <c r="Q362" t="inlineStr"/>
      <c r="R362" t="inlineStr"/>
      <c r="S362" t="inlineStr"/>
    </row>
    <row r="363">
      <c r="A363">
        <f>Skills!A16</f>
        <v/>
      </c>
      <c r="B363">
        <f>Skills!B16</f>
        <v/>
      </c>
      <c r="C363">
        <f>Inputs!$B$3&gt;=107</f>
        <v/>
      </c>
      <c r="D363">
        <f>IF(Skills!C16=1,60+Inputs!$B$25+Inputs!$B$29,IF(Skills!C16=2,90+Inputs!$B$26+Inputs!$B$29,IF(Skills!C16=3,120+Inputs!$B$27+Inputs!$B$29,MAX(0,(Inputs!$B$3-100)*3)+Inputs!$B$28+Inputs!$B$29)))</f>
        <v/>
      </c>
      <c r="E363">
        <f>INDEX(FactorTable!$B$2:$Y$301, MATCH(ROUND(MIN(300,MAX(1,D363)),0), FactorTable!$A$2:$A$301,0), Skills!M16+1)</f>
        <v/>
      </c>
      <c r="F363">
        <f>IF(Skills!N16=TRUE,(Skills!L16/10)*(E363/1000),Skills!L16/10)+Skills!O16</f>
        <v/>
      </c>
      <c r="G363" t="inlineStr"/>
      <c r="H363" t="inlineStr"/>
      <c r="I363" t="inlineStr">
        <is>
          <t>1</t>
        </is>
      </c>
      <c r="J363" t="inlineStr"/>
      <c r="K363" t="inlineStr"/>
      <c r="L363" t="inlineStr"/>
      <c r="M363" t="inlineStr"/>
      <c r="N363" t="inlineStr"/>
      <c r="O363" t="inlineStr"/>
      <c r="P363" t="inlineStr"/>
      <c r="Q363" t="inlineStr"/>
      <c r="R363" t="inlineStr"/>
      <c r="S363" t="inlineStr"/>
    </row>
    <row r="364">
      <c r="A364">
        <f>Skills!A17</f>
        <v/>
      </c>
      <c r="B364">
        <f>Skills!B17</f>
        <v/>
      </c>
      <c r="C364">
        <f>Inputs!$B$3&gt;=74</f>
        <v/>
      </c>
      <c r="D364">
        <f>IF(Skills!C17=1,60+Inputs!$B$25+Inputs!$B$29,IF(Skills!C17=2,90+Inputs!$B$26+Inputs!$B$29,IF(Skills!C17=3,120+Inputs!$B$27+Inputs!$B$29,MAX(0,(Inputs!$B$3-100)*3)+Inputs!$B$28+Inputs!$B$29)))</f>
        <v/>
      </c>
      <c r="E364">
        <f>INDEX(FactorTable!$B$2:$Y$301, MATCH(ROUND(MIN(300,MAX(1,D364)),0), FactorTable!$A$2:$A$301,0), Skills!M17+1)</f>
        <v/>
      </c>
      <c r="F364">
        <f>IF(Skills!N17=TRUE,(Skills!L17/10)*(E364/1000),Skills!L17/10)+Skills!O17</f>
        <v/>
      </c>
      <c r="G364">
        <f>Skills!G17*IF(Skills!H17&gt;0,INT(IF(Inputs!$B$38="pvp",MIN(Skills!I17,15),Skills!I17)/Skills!H17+0.000000001),1)</f>
        <v/>
      </c>
      <c r="H364">
        <f>1-(1-Skills!J17/100)^Skills!K17</f>
        <v/>
      </c>
      <c r="I364" t="inlineStr">
        <is>
          <t>1</t>
        </is>
      </c>
      <c r="J364" t="inlineStr"/>
      <c r="K364" t="inlineStr"/>
      <c r="L364" t="inlineStr"/>
      <c r="M364" t="inlineStr"/>
      <c r="N364" t="inlineStr"/>
      <c r="O364">
        <f>(1-Summary!$B$11)*T364+Summary!$B$11*V364</f>
        <v/>
      </c>
      <c r="P364">
        <f>IF(B388=0,0,O364/B388)</f>
        <v/>
      </c>
      <c r="Q364" t="n">
        <v>0</v>
      </c>
      <c r="R364" t="n">
        <v>0</v>
      </c>
      <c r="S364">
        <f>IFERROR(O364/N364,0)</f>
        <v/>
      </c>
      <c r="T364" t="n">
        <v>0</v>
      </c>
      <c r="V364" t="n">
        <v>0</v>
      </c>
    </row>
    <row r="365">
      <c r="A365">
        <f>Skills!A18</f>
        <v/>
      </c>
      <c r="B365">
        <f>Skills!B18</f>
        <v/>
      </c>
      <c r="C365">
        <f>Inputs!$B$3&gt;=115</f>
        <v/>
      </c>
      <c r="D365">
        <f>IF(Skills!C18=1,60+Inputs!$B$25+Inputs!$B$29,IF(Skills!C18=2,90+Inputs!$B$26+Inputs!$B$29,IF(Skills!C18=3,120+Inputs!$B$27+Inputs!$B$29,MAX(0,(Inputs!$B$3-100)*3)+Inputs!$B$28+Inputs!$B$29)))</f>
        <v/>
      </c>
      <c r="E365">
        <f>INDEX(FactorTable!$B$2:$Y$301, MATCH(ROUND(MIN(300,MAX(1,D365)),0), FactorTable!$A$2:$A$301,0), Skills!M18+1)</f>
        <v/>
      </c>
      <c r="F365">
        <f>IF(Skills!N18=TRUE,(Skills!L18/10)*(E365/1000),Skills!L18/10)+Skills!O18</f>
        <v/>
      </c>
      <c r="G365">
        <f>Skills!G18*IF(Skills!H18&gt;0,INT(IF(Inputs!$B$38="pvp",MIN(Skills!I18,15),Skills!I18)/Skills!H18+0.000000001),1)</f>
        <v/>
      </c>
      <c r="H365">
        <f>1-(1-Skills!J18/100)^Skills!K18</f>
        <v/>
      </c>
      <c r="I365" t="inlineStr">
        <is>
          <t>1</t>
        </is>
      </c>
      <c r="J365" t="inlineStr"/>
      <c r="K365" t="inlineStr"/>
      <c r="L365" t="inlineStr"/>
      <c r="M365" t="inlineStr"/>
      <c r="N365" t="inlineStr"/>
      <c r="O365">
        <f>(1-Summary!$B$11)*T365+Summary!$B$11*V365</f>
        <v/>
      </c>
      <c r="P365">
        <f>IF(B388=0,0,O365/B388)</f>
        <v/>
      </c>
      <c r="Q365">
        <f>IFERROR(1/(IF(Inputs!$B$38="pvp",15,MAX(0.1,Skills!D18-IF(TRUE=TRUE,Inputs!$B$32,0)))*(1-IF(AND(ArtifactsInput!$M$27,Inputs!$B$4="Chapter Hunt"),CHOOSE(ArtifactsInput!$N$27+1,20,24,28,32,36,40),0)/100)),0)</f>
        <v/>
      </c>
      <c r="R365">
        <f>IF(AND(Inputs!$B$38&lt;&gt;"pvp",Inputs!$B$43&gt;0),IF(Inputs!$B$43&lt;=0,0,(INT(Inputs!$B$43/(IF(Inputs!$B$38="pvp",15,MAX(0.1,Skills!D18-IF(TRUE=TRUE,Inputs!$B$32,0)))*(1-IF(AND(ArtifactsInput!$M$27,Inputs!$B$4="Chapter Hunt"),CHOOSE(ArtifactsInput!$N$27+1,20,24,28,32,36,40),0)/100)))+1)),0)</f>
        <v/>
      </c>
      <c r="S365">
        <f>IFERROR(O365/N365,0)</f>
        <v/>
      </c>
      <c r="T365" t="n">
        <v>0</v>
      </c>
      <c r="V365" t="n">
        <v>0</v>
      </c>
    </row>
    <row r="366">
      <c r="A366">
        <f>Skills!A19</f>
        <v/>
      </c>
      <c r="B366">
        <f>Skills!B19</f>
        <v/>
      </c>
      <c r="C366">
        <f>Inputs!$B$3&gt;=10</f>
        <v/>
      </c>
      <c r="D366">
        <f>IF(Skills!C19=1,60+Inputs!$B$25+Inputs!$B$29,IF(Skills!C19=2,90+Inputs!$B$26+Inputs!$B$29,IF(Skills!C19=3,120+Inputs!$B$27+Inputs!$B$29,MAX(0,(Inputs!$B$3-100)*3)+Inputs!$B$28+Inputs!$B$29)))</f>
        <v/>
      </c>
      <c r="E366">
        <f>INDEX(FactorTable!$B$2:$Y$301, MATCH(ROUND(MIN(300,MAX(1,D366)),0), FactorTable!$A$2:$A$301,0), Skills!M19+1)</f>
        <v/>
      </c>
      <c r="F366">
        <f>IF(Skills!N19=TRUE,(Skills!L19/10)*(E366/1000),Skills!L19/10)+Skills!O19</f>
        <v/>
      </c>
      <c r="G366">
        <f>Skills!G19*IF(Skills!H19&gt;0,INT(IF(Inputs!$B$38="pvp",MIN(Skills!I19,15),Skills!I19)/Skills!H19+0.000000001),1)</f>
        <v/>
      </c>
      <c r="H366">
        <f>1-(1-Skills!J19/100)^Skills!K19</f>
        <v/>
      </c>
      <c r="I366" t="inlineStr">
        <is>
          <t>1</t>
        </is>
      </c>
      <c r="J366" t="inlineStr"/>
      <c r="K366" t="inlineStr"/>
      <c r="L366" t="inlineStr"/>
      <c r="M366" t="inlineStr"/>
      <c r="N366" t="inlineStr"/>
      <c r="O366">
        <f>(1-Summary!$B$11)*T366+Summary!$B$11*V366</f>
        <v/>
      </c>
      <c r="P366">
        <f>IF(B388=0,0,O366/B388)</f>
        <v/>
      </c>
      <c r="Q366" t="n">
        <v>0</v>
      </c>
      <c r="R366" t="n">
        <v>0</v>
      </c>
      <c r="S366">
        <f>IFERROR(O366/N366,0)</f>
        <v/>
      </c>
      <c r="T366" t="n">
        <v>0</v>
      </c>
      <c r="V366" t="n">
        <v>0</v>
      </c>
    </row>
    <row r="367">
      <c r="A367">
        <f>Skills!A20</f>
        <v/>
      </c>
      <c r="B367">
        <f>Skills!B20</f>
        <v/>
      </c>
      <c r="C367">
        <f>Inputs!$B$3&gt;=15</f>
        <v/>
      </c>
      <c r="D367">
        <f>IF(Skills!C20=1,60+Inputs!$B$25+Inputs!$B$29,IF(Skills!C20=2,90+Inputs!$B$26+Inputs!$B$29,IF(Skills!C20=3,120+Inputs!$B$27+Inputs!$B$29,MAX(0,(Inputs!$B$3-100)*3)+Inputs!$B$28+Inputs!$B$29)))</f>
        <v/>
      </c>
      <c r="E367">
        <f>INDEX(FactorTable!$B$2:$Y$301, MATCH(ROUND(MIN(300,MAX(1,D367)),0), FactorTable!$A$2:$A$301,0), Skills!M20+1)</f>
        <v/>
      </c>
      <c r="F367">
        <f>IF(Skills!N20=TRUE,(Skills!L20/10)*(E367/1000),Skills!L20/10)+Skills!O20</f>
        <v/>
      </c>
      <c r="G367">
        <f>Skills!G20*IF(Skills!H20&gt;0,INT(IF(Inputs!$B$38="pvp",MIN(Skills!I20,15),Skills!I20)/Skills!H20+0.000000001),1)</f>
        <v/>
      </c>
      <c r="H367">
        <f>1-(1-Skills!J20/100)^Skills!K20</f>
        <v/>
      </c>
      <c r="I367" t="inlineStr">
        <is>
          <t>1</t>
        </is>
      </c>
      <c r="J367" t="inlineStr"/>
      <c r="K367" t="inlineStr"/>
      <c r="L367" t="inlineStr"/>
      <c r="M367" t="inlineStr"/>
      <c r="N367" t="inlineStr"/>
      <c r="O367">
        <f>(1-Summary!$B$11)*T367+Summary!$B$11*V367</f>
        <v/>
      </c>
      <c r="P367">
        <f>IF(B388=0,0,O367/B388)</f>
        <v/>
      </c>
      <c r="Q367" t="n">
        <v>0</v>
      </c>
      <c r="R367" t="n">
        <v>0</v>
      </c>
      <c r="S367">
        <f>IFERROR(O367/N367,0)</f>
        <v/>
      </c>
      <c r="T367" t="n">
        <v>0</v>
      </c>
      <c r="V367" t="n">
        <v>0</v>
      </c>
    </row>
    <row r="368">
      <c r="A368">
        <f>Skills!A21</f>
        <v/>
      </c>
      <c r="B368">
        <f>Skills!B21</f>
        <v/>
      </c>
      <c r="C368">
        <f>Inputs!$B$3&gt;=40</f>
        <v/>
      </c>
      <c r="D368">
        <f>IF(Skills!C21=1,60+Inputs!$B$25+Inputs!$B$29,IF(Skills!C21=2,90+Inputs!$B$26+Inputs!$B$29,IF(Skills!C21=3,120+Inputs!$B$27+Inputs!$B$29,MAX(0,(Inputs!$B$3-100)*3)+Inputs!$B$28+Inputs!$B$29)))</f>
        <v/>
      </c>
      <c r="E368">
        <f>INDEX(FactorTable!$B$2:$Y$301, MATCH(ROUND(MIN(300,MAX(1,D368)),0), FactorTable!$A$2:$A$301,0), Skills!M21+1)</f>
        <v/>
      </c>
      <c r="F368">
        <f>IF(Skills!N21=TRUE,(Skills!L21/10)*(E368/1000),Skills!L21/10)+Skills!O21</f>
        <v/>
      </c>
      <c r="G368">
        <f>Skills!G21*IF(Skills!H21&gt;0,INT(IF(Inputs!$B$38="pvp",MIN(Skills!I21,15),Skills!I21)/Skills!H21+0.000000001),1)</f>
        <v/>
      </c>
      <c r="H368">
        <f>1-(1-Skills!J21/100)^Skills!K21</f>
        <v/>
      </c>
      <c r="I368" t="inlineStr">
        <is>
          <t>1</t>
        </is>
      </c>
      <c r="J368" t="inlineStr"/>
      <c r="K368" t="inlineStr"/>
      <c r="L368" t="inlineStr"/>
      <c r="M368" t="inlineStr"/>
      <c r="N368" t="inlineStr"/>
      <c r="O368">
        <f>(1-Summary!$B$11)*T368+Summary!$B$11*V368</f>
        <v/>
      </c>
      <c r="P368">
        <f>IF(B388=0,0,O368/B388)</f>
        <v/>
      </c>
      <c r="Q368" t="n">
        <v>0</v>
      </c>
      <c r="R368" t="n">
        <v>0</v>
      </c>
      <c r="S368">
        <f>IFERROR(O368/N368,0)</f>
        <v/>
      </c>
      <c r="T368" t="n">
        <v>0</v>
      </c>
      <c r="V368" t="n">
        <v>0</v>
      </c>
    </row>
    <row r="369">
      <c r="A369">
        <f>Skills!A22</f>
        <v/>
      </c>
      <c r="B369">
        <f>Skills!B22</f>
        <v/>
      </c>
      <c r="C369">
        <f>Inputs!$B$3&gt;=43</f>
        <v/>
      </c>
      <c r="D369">
        <f>IF(Skills!C22=1,60+Inputs!$B$25+Inputs!$B$29,IF(Skills!C22=2,90+Inputs!$B$26+Inputs!$B$29,IF(Skills!C22=3,120+Inputs!$B$27+Inputs!$B$29,MAX(0,(Inputs!$B$3-100)*3)+Inputs!$B$28+Inputs!$B$29)))</f>
        <v/>
      </c>
      <c r="E369">
        <f>INDEX(FactorTable!$B$2:$Y$301, MATCH(ROUND(MIN(300,MAX(1,D369)),0), FactorTable!$A$2:$A$301,0), Skills!M22+1)</f>
        <v/>
      </c>
      <c r="F369">
        <f>IF(Skills!N22=TRUE,(Skills!L22/10)*(E369/1000),Skills!L22/10)+Skills!O22</f>
        <v/>
      </c>
      <c r="G369">
        <f>Skills!G22*IF(Skills!H22&gt;0,INT(IF(Inputs!$B$38="pvp",MIN(Skills!I22,15),Skills!I22)/Skills!H22+0.000000001),1)</f>
        <v/>
      </c>
      <c r="H369">
        <f>1-(1-Skills!J22/100)^Skills!K22</f>
        <v/>
      </c>
      <c r="I369" t="inlineStr">
        <is>
          <t>1</t>
        </is>
      </c>
      <c r="J369" t="inlineStr"/>
      <c r="K369" t="inlineStr"/>
      <c r="L369" t="inlineStr"/>
      <c r="M369" t="inlineStr"/>
      <c r="N369" t="inlineStr"/>
      <c r="O369">
        <f>(1-Summary!$B$11)*T369+Summary!$B$11*V369</f>
        <v/>
      </c>
      <c r="P369">
        <f>IF(B388=0,0,O369/B388)</f>
        <v/>
      </c>
      <c r="Q369" t="n">
        <v>0</v>
      </c>
      <c r="R369" t="n">
        <v>0</v>
      </c>
      <c r="S369">
        <f>IFERROR(O369/N369,0)</f>
        <v/>
      </c>
      <c r="T369" t="n">
        <v>0</v>
      </c>
      <c r="V369" t="n">
        <v>0</v>
      </c>
    </row>
    <row r="370">
      <c r="A370">
        <f>Skills!A23</f>
        <v/>
      </c>
      <c r="B370">
        <f>Skills!B23</f>
        <v/>
      </c>
      <c r="C370">
        <f>Inputs!$B$3&gt;=38</f>
        <v/>
      </c>
      <c r="D370">
        <f>IF(Skills!C23=1,60+Inputs!$B$25+Inputs!$B$29,IF(Skills!C23=2,90+Inputs!$B$26+Inputs!$B$29,IF(Skills!C23=3,120+Inputs!$B$27+Inputs!$B$29,MAX(0,(Inputs!$B$3-100)*3)+Inputs!$B$28+Inputs!$B$29)))</f>
        <v/>
      </c>
      <c r="E370">
        <f>INDEX(FactorTable!$B$2:$Y$301, MATCH(ROUND(MIN(300,MAX(1,D370)),0), FactorTable!$A$2:$A$301,0), Skills!M23+1)</f>
        <v/>
      </c>
      <c r="F370">
        <f>IF(Skills!N23=TRUE,(Skills!L23/10)*(E370/1000),Skills!L23/10)+Skills!O23</f>
        <v/>
      </c>
      <c r="G370">
        <f>Skills!G23*IF(Skills!H23&gt;0,INT(IF(Inputs!$B$38="pvp",MIN(Skills!I23,15),Skills!I23)/Skills!H23+0.000000001),1)</f>
        <v/>
      </c>
      <c r="H370">
        <f>1-(1-Skills!J23/100)^Skills!K23</f>
        <v/>
      </c>
      <c r="I370" t="inlineStr">
        <is>
          <t>1</t>
        </is>
      </c>
      <c r="J370" t="inlineStr"/>
      <c r="K370" t="inlineStr"/>
      <c r="L370" t="inlineStr"/>
      <c r="M370" t="inlineStr"/>
      <c r="N370" t="inlineStr"/>
      <c r="O370">
        <f>(1-Summary!$B$11)*T370+Summary!$B$11*V370</f>
        <v/>
      </c>
      <c r="P370">
        <f>IF(B388=0,0,O370/B388)</f>
        <v/>
      </c>
      <c r="Q370" t="n">
        <v>0</v>
      </c>
      <c r="R370" t="n">
        <v>0</v>
      </c>
      <c r="S370">
        <f>IFERROR(O370/N370,0)</f>
        <v/>
      </c>
      <c r="T370" t="n">
        <v>0</v>
      </c>
      <c r="V370" t="n">
        <v>0</v>
      </c>
    </row>
    <row r="371">
      <c r="A371">
        <f>Skills!A24</f>
        <v/>
      </c>
      <c r="B371">
        <f>Skills!B24</f>
        <v/>
      </c>
      <c r="C371">
        <f>Inputs!$B$3&gt;=45</f>
        <v/>
      </c>
      <c r="D371">
        <f>IF(Skills!C24=1,60+Inputs!$B$25+Inputs!$B$29,IF(Skills!C24=2,90+Inputs!$B$26+Inputs!$B$29,IF(Skills!C24=3,120+Inputs!$B$27+Inputs!$B$29,MAX(0,(Inputs!$B$3-100)*3)+Inputs!$B$28+Inputs!$B$29)))</f>
        <v/>
      </c>
      <c r="E371">
        <f>INDEX(FactorTable!$B$2:$Y$301, MATCH(ROUND(MIN(300,MAX(1,D371)),0), FactorTable!$A$2:$A$301,0), Skills!M24+1)</f>
        <v/>
      </c>
      <c r="F371">
        <f>IF(Skills!N24=TRUE,(Skills!L24/10)*(E371/1000),Skills!L24/10)+Skills!O24</f>
        <v/>
      </c>
      <c r="G371">
        <f>Skills!G24*IF(Skills!H24&gt;0,INT(IF(Inputs!$B$38="pvp",MIN(Skills!I24,15),Skills!I24)/Skills!H24+0.000000001),1)</f>
        <v/>
      </c>
      <c r="H371">
        <f>1-(1-Skills!J24/100)^Skills!K24</f>
        <v/>
      </c>
      <c r="I371" t="inlineStr">
        <is>
          <t>1</t>
        </is>
      </c>
      <c r="J371" t="inlineStr"/>
      <c r="K371" t="inlineStr"/>
      <c r="L371" t="inlineStr"/>
      <c r="M371" t="inlineStr"/>
      <c r="N371" t="inlineStr"/>
      <c r="O371">
        <f>(1-Summary!$B$11)*T371+Summary!$B$11*V371</f>
        <v/>
      </c>
      <c r="P371">
        <f>IF(B388=0,0,O371/B388)</f>
        <v/>
      </c>
      <c r="Q371" t="n">
        <v>0</v>
      </c>
      <c r="R371" t="n">
        <v>0</v>
      </c>
      <c r="S371">
        <f>IFERROR(O371/N371,0)</f>
        <v/>
      </c>
      <c r="T371" t="n">
        <v>0</v>
      </c>
      <c r="V371" t="n">
        <v>0</v>
      </c>
    </row>
    <row r="372">
      <c r="A372">
        <f>Skills!A25</f>
        <v/>
      </c>
      <c r="B372">
        <f>Skills!B25</f>
        <v/>
      </c>
      <c r="C372">
        <f>Inputs!$B$3&gt;=72</f>
        <v/>
      </c>
      <c r="D372">
        <f>IF(Skills!C25=1,60+Inputs!$B$25+Inputs!$B$29,IF(Skills!C25=2,90+Inputs!$B$26+Inputs!$B$29,IF(Skills!C25=3,120+Inputs!$B$27+Inputs!$B$29,MAX(0,(Inputs!$B$3-100)*3)+Inputs!$B$28+Inputs!$B$29)))</f>
        <v/>
      </c>
      <c r="E372">
        <f>INDEX(FactorTable!$B$2:$Y$301, MATCH(ROUND(MIN(300,MAX(1,D372)),0), FactorTable!$A$2:$A$301,0), Skills!M25+1)</f>
        <v/>
      </c>
      <c r="F372">
        <f>IF(Skills!N25=TRUE,(Skills!L25/10)*(E372/1000),Skills!L25/10)+Skills!O25</f>
        <v/>
      </c>
      <c r="G372">
        <f>Skills!G25*IF(Skills!H25&gt;0,INT(IF(Inputs!$B$38="pvp",MIN(Skills!I25,15),Skills!I25)/Skills!H25+0.000000001),1)</f>
        <v/>
      </c>
      <c r="H372">
        <f>1-(1-Skills!J25/100)^Skills!K25</f>
        <v/>
      </c>
      <c r="I372" t="inlineStr">
        <is>
          <t>1</t>
        </is>
      </c>
      <c r="J372" t="inlineStr"/>
      <c r="K372" t="inlineStr"/>
      <c r="L372" t="inlineStr"/>
      <c r="M372" t="inlineStr"/>
      <c r="N372" t="inlineStr"/>
      <c r="O372">
        <f>(1-Summary!$B$11)*T372+Summary!$B$11*V372</f>
        <v/>
      </c>
      <c r="P372">
        <f>IF(B388=0,0,O372/B388)</f>
        <v/>
      </c>
      <c r="Q372" t="n">
        <v>0</v>
      </c>
      <c r="R372" t="n">
        <v>0</v>
      </c>
      <c r="S372">
        <f>IFERROR(O372/N372,0)</f>
        <v/>
      </c>
      <c r="T372" t="n">
        <v>0</v>
      </c>
      <c r="V372" t="n">
        <v>0</v>
      </c>
    </row>
    <row r="373">
      <c r="A373">
        <f>Skills!A26</f>
        <v/>
      </c>
      <c r="B373">
        <f>Skills!B26</f>
        <v/>
      </c>
      <c r="C373">
        <f>Inputs!$B$3&gt;=75</f>
        <v/>
      </c>
      <c r="D373">
        <f>IF(Skills!C26=1,60+Inputs!$B$25+Inputs!$B$29,IF(Skills!C26=2,90+Inputs!$B$26+Inputs!$B$29,IF(Skills!C26=3,120+Inputs!$B$27+Inputs!$B$29,MAX(0,(Inputs!$B$3-100)*3)+Inputs!$B$28+Inputs!$B$29)))</f>
        <v/>
      </c>
      <c r="E373">
        <f>INDEX(FactorTable!$B$2:$Y$301, MATCH(ROUND(MIN(300,MAX(1,D373)),0), FactorTable!$A$2:$A$301,0), Skills!M26+1)</f>
        <v/>
      </c>
      <c r="F373">
        <f>IF(Skills!N26=TRUE,(Skills!L26/10)*(E373/1000),Skills!L26/10)+Skills!O26</f>
        <v/>
      </c>
      <c r="G373">
        <f>Skills!G26*IF(Skills!H26&gt;0,INT(IF(Inputs!$B$38="pvp",MIN(Skills!I26,15),Skills!I26)/Skills!H26+0.000000001),1)</f>
        <v/>
      </c>
      <c r="H373">
        <f>1-(1-Skills!J26/100)^Skills!K26</f>
        <v/>
      </c>
      <c r="I373" t="inlineStr">
        <is>
          <t>1</t>
        </is>
      </c>
      <c r="J373" t="inlineStr"/>
      <c r="K373" t="inlineStr"/>
      <c r="L373" t="inlineStr"/>
      <c r="M373" t="inlineStr"/>
      <c r="N373" t="inlineStr"/>
      <c r="O373">
        <f>(1-Summary!$B$11)*T373+Summary!$B$11*V373</f>
        <v/>
      </c>
      <c r="P373">
        <f>IF(B388=0,0,O373/B388)</f>
        <v/>
      </c>
      <c r="Q373" t="n">
        <v>0</v>
      </c>
      <c r="R373" t="n">
        <v>0</v>
      </c>
      <c r="S373">
        <f>IFERROR(O373/N373,0)</f>
        <v/>
      </c>
      <c r="T373" t="n">
        <v>0</v>
      </c>
      <c r="V373" t="n">
        <v>0</v>
      </c>
    </row>
    <row r="374">
      <c r="A374">
        <f>Skills!A27</f>
        <v/>
      </c>
      <c r="B374">
        <f>Skills!B27</f>
        <v/>
      </c>
      <c r="C374">
        <f>Inputs!$B$3&gt;=125</f>
        <v/>
      </c>
      <c r="D374">
        <f>IF(Skills!C27=1,60+Inputs!$B$25+Inputs!$B$29,IF(Skills!C27=2,90+Inputs!$B$26+Inputs!$B$29,IF(Skills!C27=3,120+Inputs!$B$27+Inputs!$B$29,MAX(0,(Inputs!$B$3-100)*3)+Inputs!$B$28+Inputs!$B$29)))</f>
        <v/>
      </c>
      <c r="E374">
        <f>INDEX(FactorTable!$B$2:$Y$301, MATCH(ROUND(MIN(300,MAX(1,D374)),0), FactorTable!$A$2:$A$301,0), Skills!M27+1)</f>
        <v/>
      </c>
      <c r="F374">
        <f>IF(Skills!N27=TRUE,(Skills!L27/10)*(E374/1000),Skills!L27/10)+Skills!O27</f>
        <v/>
      </c>
      <c r="G374">
        <f>Skills!G27*IF(Skills!H27&gt;0,INT(IF(Inputs!$B$38="pvp",MIN(Skills!I27,15),Skills!I27)/Skills!H27+0.000000001),1)</f>
        <v/>
      </c>
      <c r="H374">
        <f>1-(1-Skills!J27/100)^Skills!K27</f>
        <v/>
      </c>
      <c r="I374" t="inlineStr">
        <is>
          <t>1</t>
        </is>
      </c>
      <c r="J374" t="inlineStr"/>
      <c r="K374" t="inlineStr"/>
      <c r="L374" t="inlineStr"/>
      <c r="M374" t="inlineStr"/>
      <c r="N374" t="inlineStr"/>
      <c r="O374">
        <f>(1-Summary!$B$11)*T374+Summary!$B$11*V374</f>
        <v/>
      </c>
      <c r="P374">
        <f>IF(B388=0,0,O374/B388)</f>
        <v/>
      </c>
      <c r="Q374" t="n">
        <v>0</v>
      </c>
      <c r="R374" t="n">
        <v>0</v>
      </c>
      <c r="S374">
        <f>IFERROR(O374/N374,0)</f>
        <v/>
      </c>
      <c r="T374" t="n">
        <v>0</v>
      </c>
      <c r="V374" t="n">
        <v>0</v>
      </c>
    </row>
    <row r="375">
      <c r="A375">
        <f>Skills!A28</f>
        <v/>
      </c>
      <c r="B375">
        <f>Skills!B28</f>
        <v/>
      </c>
      <c r="C375">
        <f>TRUE</f>
        <v/>
      </c>
      <c r="D375">
        <f>IF(Skills!C28=1,60+Inputs!$B$25+Inputs!$B$29,IF(Skills!C28=2,90+Inputs!$B$26+Inputs!$B$29,IF(Skills!C28=3,120+Inputs!$B$27+Inputs!$B$29,MAX(0,(Inputs!$B$3-100)*3)+Inputs!$B$28+Inputs!$B$29)))</f>
        <v/>
      </c>
      <c r="E375">
        <f>INDEX(FactorTable!$B$2:$Y$301, MATCH(ROUND(MIN(300,MAX(1,D375)),0), FactorTable!$A$2:$A$301,0), Skills!M28+1)</f>
        <v/>
      </c>
      <c r="F375">
        <f>IF(Skills!N28=TRUE,(Skills!L28/10)*(E375/1000),Skills!L28/10)+Skills!O28</f>
        <v/>
      </c>
      <c r="G375">
        <f>Skills!G28*IF(Skills!H28&gt;0,INT(IF(Inputs!$B$38="pvp",MIN(Skills!I28,15),Skills!I28)/Skills!H28+0.000000001),1)</f>
        <v/>
      </c>
      <c r="H375">
        <f>1-(1-Skills!J28/100)^Skills!K28</f>
        <v/>
      </c>
      <c r="I375" t="inlineStr">
        <is>
          <t>1</t>
        </is>
      </c>
      <c r="J375" t="inlineStr"/>
      <c r="K375" t="inlineStr"/>
      <c r="L375" t="inlineStr"/>
      <c r="M375" t="inlineStr"/>
      <c r="N375" t="inlineStr"/>
      <c r="O375">
        <f>(1-Summary!$B$11)*T375+Summary!$B$11*V375</f>
        <v/>
      </c>
      <c r="P375">
        <f>IF(B388=0,0,O375/B388)</f>
        <v/>
      </c>
      <c r="Q375">
        <f>IFERROR(1/(IF(Inputs!$B$38="pvp",15,MAX(0.1,Skills!D28-IF(TRUE=TRUE,Inputs!$B$32,0)))*(1-IF(AND(ArtifactsInput!$M$27,Inputs!$B$4="Chapter Hunt"),CHOOSE(ArtifactsInput!$N$27+1,20,24,28,32,36,40),0)/100)),0)</f>
        <v/>
      </c>
      <c r="R375">
        <f>IF(AND(Inputs!$B$38&lt;&gt;"pvp",Inputs!$B$43&gt;0),IF(Inputs!$B$43&lt;=0,0,(INT(Inputs!$B$43/(IF(Inputs!$B$38="pvp",15,MAX(0.1,Skills!D28-IF(TRUE=TRUE,Inputs!$B$32,0)))*(1-IF(AND(ArtifactsInput!$M$27,Inputs!$B$4="Chapter Hunt"),CHOOSE(ArtifactsInput!$N$27+1,20,24,28,32,36,40),0)/100)))+1)),0)</f>
        <v/>
      </c>
      <c r="S375">
        <f>IFERROR(O375/N375,0)</f>
        <v/>
      </c>
      <c r="T375" t="n">
        <v>0</v>
      </c>
      <c r="V375" t="n">
        <v>0</v>
      </c>
    </row>
    <row r="377">
      <c r="A377" t="inlineStr">
        <is>
          <t>Attack% Bucket Multiplier</t>
        </is>
      </c>
      <c r="B377">
        <f>(1+(((C364=TRUE)*F364*5/7)+((C371=TRUE)*(F371-Calc!F24))+(IF(ArtifactsInput!$M$21,CHOOSE(ArtifactsInput!$N$21+1,25,30,35,40,45,50)*(IF(OR(Inputs!$B$4="Chapter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378">
      <c r="A378" t="inlineStr">
        <is>
          <t>Global Crit Rate Bonus %</t>
        </is>
      </c>
      <c r="B378" t="n">
        <v>0</v>
      </c>
    </row>
    <row r="379">
      <c r="A379" t="inlineStr">
        <is>
          <t>Attack Speed Buff Bonus % (Nimble Feet, duty-cycle averaged)</t>
        </is>
      </c>
      <c r="B379">
        <f>((C375=TRUE)*F375*IF(AND(Inputs!$B$38&lt;&gt;"pvp",Inputs!$B$43&gt;0),(((R375-1)*MIN((Skills!T28*(1+Inputs!$B$34/100)),(1/Q375))+MIN((Skills!T28*(1+Inputs!$B$34/100)),MAX(0,Inputs!$B$43-((R375-1)*(1/Q375)))))/Inputs!$B$43),IF(Inputs!$B$38="pvp",MIN((Skills!T28*(1+Inputs!$B$34/100)),15)/15,MIN(1,(Skills!T28*(1+Inputs!$B$34/100))/(1/Q375)))))</f>
        <v/>
      </c>
    </row>
    <row r="380">
      <c r="A380" t="inlineStr">
        <is>
          <t>Actions Per Second</t>
        </is>
      </c>
      <c r="B380">
        <f>1+MIN(150,150*(1-(1-(Inputs!$B$11+((C367=TRUE)*(F367-Calc!F20))+((C368=TRUE)*(F368-Calc!F21)))/150)*(1-B379/150)))/100</f>
        <v/>
      </c>
    </row>
    <row r="381">
      <c r="A381" t="inlineStr">
        <is>
          <t>Skill + Buff Cast Rate</t>
        </is>
      </c>
      <c r="B381">
        <f>IF(AND(Inputs!$B$38&lt;&gt;"pvp",Inputs!$B$43&gt;0),SUMPRODUCT((Skills!E2:E28=TRUE)*(C349:C375=TRUE)*R349:R375*Skills!F2:F28)/Inputs!$B$43,SUMPRODUCT((Skills!E2:E28=TRUE)*(C349:C375=TRUE)*Q349:Q375*Skills!F2:F28))</f>
        <v/>
      </c>
    </row>
    <row r="382">
      <c r="A382" t="inlineStr">
        <is>
          <t>Eight-Legs Easton Casts Per Second</t>
        </is>
      </c>
      <c r="B382">
        <f>MAX(0,B380-B381)</f>
        <v/>
      </c>
    </row>
    <row r="383">
      <c r="A383" t="inlineStr">
        <is>
          <t>Global Critical Damage Bonus % (unused)</t>
        </is>
      </c>
      <c r="B383" t="n">
        <v>0</v>
      </c>
    </row>
    <row r="384">
      <c r="A384" t="inlineStr">
        <is>
          <t>Global Final Damage Bonus % (Jolly Roger + Ahoy Mateys - Final Damage proc)</t>
        </is>
      </c>
      <c r="B384">
        <f>((C365=TRUE)*F365*IF(AND(Inputs!$B$38&lt;&gt;"pvp",Inputs!$B$43&gt;0),(((R365-1)*MIN((Skills!T18*(1+Inputs!$B$34/100)),(1/Q365))+MIN((Skills!T18*(1+Inputs!$B$34/100)),MAX(0,Inputs!$B$43-((R365-1)*(1/Q365)))))/Inputs!$B$43),IF(Inputs!$B$38="pvp",MIN((Skills!T18*(1+Inputs!$B$34/100)),15)/15,MIN(1,(Skills!T18*(1+Inputs!$B$34/100))/(1/Q365)))))+IF(Inputs!$B$3&gt;=122,20*IF(Inputs!$B$38="pvp",MIN((20*(1+Inputs!$B$34/100)),15)/15,MIN(1,(20*(1+Inputs!$B$34/100))/(1/Q351))),0)</f>
        <v/>
      </c>
    </row>
    <row r="385">
      <c r="A385" t="inlineStr">
        <is>
          <t>Buff-Casting Startup Delay (s, fixed-duration only)</t>
        </is>
      </c>
      <c r="B385">
        <f>IF(AND(Inputs!$B$38&lt;&gt;"pvp",Inputs!$B$43&gt;0),SUMPRODUCT((Skills!T2:T28&gt;0)*(Skills!E2:E28=TRUE)*(C349:C375=TRUE))/B380,0)</f>
        <v/>
      </c>
    </row>
    <row r="386">
      <c r="A386" t="inlineStr">
        <is>
          <t>Boss-Only Total DPS (this block's swept value)</t>
        </is>
      </c>
      <c r="B386">
        <f>SUM(T349:T375)</f>
        <v/>
      </c>
    </row>
    <row r="387">
      <c r="A387" t="inlineStr">
        <is>
          <t>Normal-Only Total DPS (this block's swept value)</t>
        </is>
      </c>
      <c r="B387">
        <f>SUM(V349:V375)</f>
        <v/>
      </c>
    </row>
    <row r="388">
      <c r="A388" s="6" t="inlineStr">
        <is>
          <t>TOTAL DPS</t>
        </is>
      </c>
      <c r="B388" s="6">
        <f>SUM(O349:O375)</f>
        <v/>
      </c>
    </row>
    <row r="389">
      <c r="A389" t="inlineStr">
        <is>
          <t>Quickdraw cooldown divisor (this block's own APS / Q)</t>
        </is>
      </c>
      <c r="B389">
        <f>IF(AND(C374=TRUE,Inputs!$B$38&lt;&gt;"pvp"),1+0.25*MAX(0,(B380-(((C350=TRUE)*Q350*1)+((C351=TRUE)*Q351*1)+((C353=TRUE)*Q353*1)+((C354=TRUE)*Q354*1)+((C356=TRUE)*Q356*1)+((C359=TRUE)*Q359*1)+((C365=TRUE)*Q365*1)+((C375=TRUE)*Q375*1))-((C355=TRUE)/(IF(Inputs!$B$38="pvp",15,MAX(0.1,Skills!D8-IF(TRUE=TRUE,Inputs!$B$32,0)))*(1-IF(AND(ArtifactsInput!$M$27,Inputs!$B$4="Chapter Hunt"),CHOOSE(ArtifactsInput!$N$27+1,20,24,28,32,36,40),0)/100))+(C358=TRUE)/(IF(Inputs!$B$38="pvp",15,MAX(0.1,Skills!D11-IF(TRUE=TRUE,Inputs!$B$32,0)))*(1-IF(AND(ArtifactsInput!$M$27,Inputs!$B$4="Chapter Hunt"),CHOOSE(ArtifactsInput!$N$27+1,20,24,28,32,36,40),0)/100))))/(1+0.25*((C355=TRUE)/(IF(Inputs!$B$38="pvp",15,MAX(0.1,Skills!D8-IF(TRUE=TRUE,Inputs!$B$32,0)))*(1-IF(AND(ArtifactsInput!$M$27,Inputs!$B$4="Chapter Hunt"),CHOOSE(ArtifactsInput!$N$27+1,20,24,28,32,36,40),0)/100))+(C358=TRUE)/(IF(Inputs!$B$38="pvp",15,MAX(0.1,Skills!D11-IF(TRUE=TRUE,Inputs!$B$32,0)))*(1-IF(AND(ArtifactsInput!$M$27,Inputs!$B$4="Chapter Hunt"),CHOOSE(ArtifactsInput!$N$27+1,20,24,28,32,36,40),0)/100))))),1)</f>
        <v/>
      </c>
    </row>
    <row r="390">
      <c r="A390" t="inlineStr">
        <is>
          <t>Nautilus Strike - Final Attack trigger rate (this block's own Q/R)</t>
        </is>
      </c>
      <c r="B390">
        <f>IF(AND(Inputs!$B$38&lt;&gt;"pvp",Inputs!$B$43&gt;0),(((C350=TRUE)*R350)+((C353=TRUE)*R353)+((C355=TRUE)*R355)+((C356=TRUE)*R356)+((C358=TRUE)*R358))/Inputs!$B$43,((C350=TRUE)*Q350)+((C353=TRUE)*Q353)+((C355=TRUE)*Q355)+((C356=TRUE)*Q356)+((C358=TRUE)*Q358))+B382</f>
        <v/>
      </c>
    </row>
    <row r="393">
      <c r="A393" s="6" t="inlineStr">
        <is>
          <t>Stat: FINAL_DAMAGE % (multiplicative source)</t>
        </is>
      </c>
    </row>
    <row r="394">
      <c r="A394" s="5" t="inlineStr">
        <is>
          <t>Key</t>
        </is>
      </c>
      <c r="B394" s="5" t="inlineStr">
        <is>
          <t>Name</t>
        </is>
      </c>
      <c r="C394" s="5" t="inlineStr">
        <is>
          <t>Unlocked</t>
        </is>
      </c>
      <c r="D394" s="5" t="inlineStr">
        <is>
          <t>InputLevel</t>
        </is>
      </c>
      <c r="E394" s="5" t="inlineStr">
        <is>
          <t>Factor</t>
        </is>
      </c>
      <c r="F394" s="5" t="inlineStr">
        <is>
          <t>CoefficientPercent</t>
        </is>
      </c>
      <c r="G394" s="5" t="inlineStr">
        <is>
          <t>EffectiveHits</t>
        </is>
      </c>
      <c r="H394" s="5" t="inlineStr">
        <is>
          <t>ProcProbability</t>
        </is>
      </c>
      <c r="I394" s="5" t="inlineStr">
        <is>
          <t>MapleHeroMultiplier</t>
        </is>
      </c>
      <c r="J394" s="5" t="inlineStr">
        <is>
          <t>BaseDamage</t>
        </is>
      </c>
      <c r="K394" s="5" t="inlineStr">
        <is>
          <t>BaseHitDamage</t>
        </is>
      </c>
      <c r="L394" s="5" t="inlineStr">
        <is>
          <t>NonCritAvg</t>
        </is>
      </c>
      <c r="M394" s="5" t="inlineStr">
        <is>
          <t>CritAvg</t>
        </is>
      </c>
      <c r="N394" s="5" t="inlineStr">
        <is>
          <t>ExpectedDamage(perHit)</t>
        </is>
      </c>
      <c r="O394" s="5" t="inlineStr">
        <is>
          <t>DPS</t>
        </is>
      </c>
      <c r="P394" s="5" t="inlineStr">
        <is>
          <t>% of Total</t>
        </is>
      </c>
      <c r="Q394" s="5" t="inlineStr">
        <is>
          <t>InvCooldown</t>
        </is>
      </c>
      <c r="R394" s="5" t="inlineStr">
        <is>
          <t>CastsInFight</t>
        </is>
      </c>
      <c r="S394" s="5" t="inlineStr">
        <is>
          <t>HitRate(perSec)</t>
        </is>
      </c>
      <c r="U394" t="inlineStr">
        <is>
          <t>helpers</t>
        </is>
      </c>
    </row>
    <row r="395">
      <c r="A395">
        <f>Skills!A2</f>
        <v/>
      </c>
      <c r="B395">
        <f>Skills!B2</f>
        <v/>
      </c>
      <c r="C395">
        <f>Inputs!$B$3&gt;=100</f>
        <v/>
      </c>
      <c r="D395" t="inlineStr"/>
      <c r="E395" t="inlineStr"/>
      <c r="F395">
        <f>U397+Skills!O2</f>
        <v/>
      </c>
      <c r="G395">
        <f>Skills!G2*IF(Skills!H2&gt;0,INT(IF(Inputs!$B$38="pvp",MIN(Skills!I2,15),Skills!I2)/Skills!H2+0.000000001),1)</f>
        <v/>
      </c>
      <c r="H395">
        <f>1-(1-Skills!J2/100)^Skills!K2</f>
        <v/>
      </c>
      <c r="I395" t="inlineStr">
        <is>
          <t>1</t>
        </is>
      </c>
      <c r="J395">
        <f>((Inputs!$B$6*(1+Inputs!$B$7/100))+(((Inputs!$B$12*(1+Inputs!$B$13/100))-(Inputs!$B$12*(1+Inputs!$B$13/100)))+0.25*(Inputs!$B$14-Inputs!$B$14))*(1+Inputs!$B$7/100))*(F395/100)</f>
        <v/>
      </c>
      <c r="K395">
        <f>J395*(1+((Inputs!$B$12*(1+Inputs!$B$13/100))*0.01+Inputs!$B$14*0.0025)/100)*(1+Inputs!$B$15/100)*(1+Inputs!$B$16/100)*(5000/(6000+Inputs!$B$42*(1-(100*(1-(1-(Inputs!$B$19+0)/100)*(1-CHOOSE(ArtifactsInput!$N$40+1,5,6,7,8,9,10)/100)^(ArtifactsInput!$M$40-ArtifactsInput!$M$40)))/100)))*(1+(((((1+(Inputs!$B$24+Summary!$B$21)/100)*(1.01))-1)*100-(Summary!$B$21))+((C419=TRUE)*(F419-Calc!F26))+B430)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IGHT_LEGS_EASTON",Inputs!$B$17+((C416=TRUE)*(F416-Calc!F23))+((C420=TRUE)*(F420-Calc!F27))+((IF(AND(Inputs!$B$38&lt;&gt;"pvp",Inputs!$B$43=0),1,IF(IF(Inputs!$B$38="pvp",15,Inputs!$B$43)-(B431)&lt;=0,1,MAX(0,IF(Inputs!$B$38="pvp",15,Inputs!$B$43)-MAX(5,B431))/(IF(Inputs!$B$38="pvp",15,Inputs!$B$43)-(B431))))*(IF(AND(ArtifactsInput!$M$42,((Inputs!$B$9+((C412=TRUE)*(F412-Calc!F19))+B424+(ArtifactsInput!$M$24-ArtifactsInput!$M$24)*CHOOSE(ArtifactsInput!$N$24+1,10,12,14,16,18,20)+IF(ArtifactsInput!$M$10,CHOOSE(ArtifactsInput!$N$10+1,15,18,21,24,27,30)*(IF(Inputs!$B$38="pvp",MIN(15,15)/15,IF(AND(Inputs!$B$38&lt;&gt;"pvp",Inputs!$B$43&gt;0),MIN(15,Inputs!$B$43)/(Inputs!$B$43),0))),0)))&gt;=100),MIN(100,((Inputs!$B$9+((C412=TRUE)*(F412-Calc!F19))+B424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431)&lt;=0,1,MAX(0,IF(Inputs!$B$38="pvp",15,Inputs!$B$43)-MAX(5,B431))/(IF(Inputs!$B$38="pvp",15,Inputs!$B$43)-(B431))))*IF(AND(ArtifactsInput!$M$42,((Inputs!$B$9+((C412=TRUE)*(F412-Calc!F19))+B424+(ArtifactsInput!$M$24-ArtifactsInput!$M$24)*CHOOSE(ArtifactsInput!$N$24+1,10,12,14,16,18,20)+IF(ArtifactsInput!$M$10,CHOOSE(ArtifactsInput!$N$10+1,15,18,21,24,27,30)*(IF(Inputs!$B$38="pvp",MIN(15,15)/15,IF(AND(Inputs!$B$38&lt;&gt;"pvp",Inputs!$B$43&gt;0),MIN(15,Inputs!$B$43)/(Inputs!$B$43),0))),0)))&gt;=100),CHOOSE(ArtifactsInput!$N$42+1,40,48,56,64,72,80),0))))/100)*((1+(((C410=TRUE)*F410*5/7)+((C417=TRUE)*(F417-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395)</f>
        <v/>
      </c>
      <c r="L395">
        <f>K395*(MIN(Inputs!$B$22+((C415=TRUE)*(F415-Calc!F22)),(Inputs!$B$23+0+(IF(ArtifactsInput!$M$15,CHOOSE(ArtifactsInput!$N$15+1,25,30,35,40,45,50)/100*(Inputs!$B$11-Inputs!$B$11),0))))/100+(Inputs!$B$23+0+(IF(ArtifactsInput!$M$15,CHOOSE(ArtifactsInput!$N$15+1,25,30,35,40,45,50)/100*(Inputs!$B$11-Inputs!$B$11),0)))/100)/2</f>
        <v/>
      </c>
      <c r="M395">
        <f>L395*(1+(Inputs!$B$10+((C418=TRUE)*(F418-Calc!F25))+B429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95">
        <f>L395*(1-MIN((Inputs!$B$9+((C412=TRUE)*(F412-Calc!F19))+B424+(ArtifactsInput!$M$24-ArtifactsInput!$M$24)*CHOOSE(ArtifactsInput!$N$24+1,10,12,14,16,18,20)+(IF(AND(Inputs!$B$38&lt;&gt;"pvp",Inputs!$B$43=0),1,IF(IF(Inputs!$B$38="pvp",15,Inputs!$B$43)-(B431)&lt;=0,1,MAX(0,IF(Inputs!$B$38="pvp",15,Inputs!$B$43)-MAX(5,B431))/(IF(Inputs!$B$38="pvp",15,Inputs!$B$43)-(B431))))*IF(AND(ArtifactsInput!$M$42,((Inputs!$B$9+((C412=TRUE)*(F412-Calc!F19))+B424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395*(MIN((Inputs!$B$9+((C412=TRUE)*(F412-Calc!F19))+B424+(ArtifactsInput!$M$24-ArtifactsInput!$M$24)*CHOOSE(ArtifactsInput!$N$24+1,10,12,14,16,18,20)+(IF(AND(Inputs!$B$38&lt;&gt;"pvp",Inputs!$B$43=0),1,IF(IF(Inputs!$B$38="pvp",15,Inputs!$B$43)-(B431)&lt;=0,1,MAX(0,IF(Inputs!$B$38="pvp",15,Inputs!$B$43)-MAX(5,B431))/(IF(Inputs!$B$38="pvp",15,Inputs!$B$43)-(B431))))*IF(AND(ArtifactsInput!$M$42,((Inputs!$B$9+((C412=TRUE)*(F412-Calc!F19))+B424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95">
        <f>(1-Summary!$B$11)*T395+Summary!$B$11*V395</f>
        <v/>
      </c>
      <c r="P395">
        <f>IF(B434=0,0,O395/B434)</f>
        <v/>
      </c>
      <c r="Q395" t="n">
        <v>0</v>
      </c>
      <c r="R395" t="n">
        <v>0</v>
      </c>
      <c r="S395">
        <f>IFERROR(O395/N395,0)</f>
        <v/>
      </c>
      <c r="T395">
        <f>IF(C395,(Skills!G2*N395*B428*(1+IF(C420=TRUE,1/3,0)))*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Hunt"),CHOOSE(ArtifactsInput!$N$35+1,15,18,21,24,27,30)*(1-EXP(-(0.2*B426)*5)),0)+IF(AND(ArtifactsInput!$M$22,Inputs!$B$4&lt;&gt;"Chapter Hunt"),CHOOSE(ArtifactsInput!$N$22+1,10,12,14,16,18,20)*((0*(((0.15*B426*5))^0/1)+1*(((0.15*B426*5))^1/1)+2*(((0.15*B426*5))^2/2)+3*(((0.15*B426*5))^3/6)+4*(((0.15*B426*5))^4/24)+5*(((0.15*B426*5))^5/120))/((((0.15*B426*5))^0/1)+(((0.15*B426*5))^1/1)+(((0.15*B426*5))^2/2)+(((0.15*B426*5))^3/6)+(((0.15*B426*5))^4/24)+(((0.15*B426*5))^5/120))),0))+IF(Inputs!$B$3&gt;=54,9*(C396=TRUE)*MIN(1,8*(1+Inputs!$B$34/100)*Q396)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395*(1-MIN(100,(Inputs!$B$9+((C412=TRUE)*(F412-Calc!F19))+B424+(ArtifactsInput!$M$24-ArtifactsInput!$M$24)*CHOOSE(ArtifactsInput!$N$24+1,10,12,14,16,18,20)+(IF(AND(Inputs!$B$38&lt;&gt;"pvp",Inputs!$B$43=0),1,IF(IF(Inputs!$B$38="pvp",15,Inputs!$B$43)-(B431)&lt;=0,1,MAX(0,IF(Inputs!$B$38="pvp",15,Inputs!$B$43)-MAX(5,B431))/(IF(Inputs!$B$38="pvp",15,Inputs!$B$43)-(B431))))*IF(AND(ArtifactsInput!$M$42,((Inputs!$B$9+((C412=TRUE)*(F412-Calc!F19))+B424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395*(MIN(100,(Inputs!$B$9+((C412=TRUE)*(F412-Calc!F19))+B424+(ArtifactsInput!$M$24-ArtifactsInput!$M$24)*CHOOSE(ArtifactsInput!$N$24+1,10,12,14,16,18,20)+(IF(AND(Inputs!$B$38&lt;&gt;"pvp",Inputs!$B$43=0),1,IF(IF(Inputs!$B$38="pvp",15,Inputs!$B$43)-(B431)&lt;=0,1,MAX(0,IF(Inputs!$B$38="pvp",15,Inputs!$B$43)-MAX(5,B431))/(IF(Inputs!$B$38="pvp",15,Inputs!$B$43)-(B431))))*IF(AND(ArtifactsInput!$M$42,((Inputs!$B$9+((C412=TRUE)*(F412-Calc!F19))+B424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395*(1-MIN(100,(Inputs!$B$9+((C412=TRUE)*(F412-Calc!F19))+B424+(ArtifactsInput!$M$24-ArtifactsInput!$M$24)*CHOOSE(ArtifactsInput!$N$24+1,10,12,14,16,18,20)+(IF(AND(Inputs!$B$38&lt;&gt;"pvp",Inputs!$B$43=0),1,IF(IF(Inputs!$B$38="pvp",15,Inputs!$B$43)-(B431)&lt;=0,1,MAX(0,IF(Inputs!$B$38="pvp",15,Inputs!$B$43)-MAX(5,B431))/(IF(Inputs!$B$38="pvp",15,Inputs!$B$43)-(B431))))*IF(AND(ArtifactsInput!$M$42,((Inputs!$B$9+((C412=TRUE)*(F412-Calc!F19))+B424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395*(MIN(100,(Inputs!$B$9+((C412=TRUE)*(F412-Calc!F19))+B424+(ArtifactsInput!$M$24-ArtifactsInput!$M$24)*CHOOSE(ArtifactsInput!$N$24+1,10,12,14,16,18,20)+(IF(AND(Inputs!$B$38&lt;&gt;"pvp",Inputs!$B$43=0),1,IF(IF(Inputs!$B$38="pvp",15,Inputs!$B$43)-(B431)&lt;=0,1,MAX(0,IF(Inputs!$B$38="pvp",15,Inputs!$B$43)-MAX(5,B431))/(IF(Inputs!$B$38="pvp",15,Inputs!$B$43)-(B431))))*IF(AND(ArtifactsInput!$M$42,((Inputs!$B$9+((C412=TRUE)*(F412-Calc!F19))+B424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95">
        <f>MAX(0,(Inputs!$B$3-100)*3)+Inputs!$B$28+Inputs!$B$29</f>
        <v/>
      </c>
      <c r="V395">
        <f>IF(C395,(Skills!G2*N395*B428*(1+IF(C420=TRUE,1/3,0)))*IF(Inputs!$B$38="pvp",1,(1+(Inputs!$B$21+Skills!Q2+(IF(ArtifactsInput!$M$33,CHOOSE(ArtifactsInput!$N$33+1,30,36,42,48,54,60),0))+(IF(AND(ArtifactsInput!$M$35,Inputs!$B$4&lt;&gt;"Chapter Hunt"),CHOOSE(ArtifactsInput!$N$35+1,15,18,21,24,27,30)*(1-EXP(-(0.2*B426)*5)),0)+IF(AND(ArtifactsInput!$M$22,Inputs!$B$4&lt;&gt;"Chapter Hunt"),CHOOSE(ArtifactsInput!$N$22+1,10,12,14,16,18,20)*((0*(((0.15*B426*5))^0/1)+1*(((0.15*B426*5))^1/1)+2*(((0.15*B426*5))^2/2)+3*(((0.15*B426*5))^3/6)+4*(((0.15*B426*5))^4/24)+5*(((0.15*B426*5))^5/120))/((((0.15*B426*5))^0/1)+(((0.15*B426*5))^1/1)+(((0.15*B426*5))^2/2)+(((0.15*B426*5))^3/6)+(((0.15*B426*5))^4/24)+(((0.15*B426*5))^5/120))),0))+IF(Inputs!$B$3&gt;=54,9*(C396=TRUE)*MIN(1,8*(1+Inputs!$B$34/100)*Q396),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96">
      <c r="A396">
        <f>Skills!A3</f>
        <v/>
      </c>
      <c r="B396">
        <f>Skills!B3</f>
        <v/>
      </c>
      <c r="C396">
        <f>Inputs!$B$3&gt;=33</f>
        <v/>
      </c>
      <c r="D396">
        <f>IF(Skills!C3=1,60+Inputs!$B$25+Inputs!$B$29,IF(Skills!C3=2,90+Inputs!$B$26+Inputs!$B$29,IF(Skills!C3=3,120+Inputs!$B$27+Inputs!$B$29,MAX(0,(Inputs!$B$3-100)*3)+Inputs!$B$28+Inputs!$B$29)))</f>
        <v/>
      </c>
      <c r="E396">
        <f>INDEX(FactorTable!$B$2:$Y$301, MATCH(ROUND(MIN(300,MAX(1,D396)),0), FactorTable!$A$2:$A$301,0), Skills!M3+1)</f>
        <v/>
      </c>
      <c r="F396">
        <f>IF(Skills!N3=TRUE,(Skills!L3/10)*(E396/1000),Skills!L3/10)+Skills!O3</f>
        <v/>
      </c>
      <c r="G396">
        <f>Skills!G3*IF(Skills!H3&gt;0,INT(IF(Inputs!$B$38="pvp",MIN(Skills!I3,15),Skills!I3)/Skills!H3+0.000000001),1)</f>
        <v/>
      </c>
      <c r="H396">
        <f>1-(1-Skills!J3/100)^Skills!K3</f>
        <v/>
      </c>
      <c r="I396" t="inlineStr">
        <is>
          <t>1</t>
        </is>
      </c>
      <c r="J396">
        <f>((Inputs!$B$6*(1+Inputs!$B$7/100))+(((Inputs!$B$12*(1+Inputs!$B$13/100))-(Inputs!$B$12*(1+Inputs!$B$13/100)))+0.25*(Inputs!$B$14-Inputs!$B$14))*(1+Inputs!$B$7/100))*(F396/100)</f>
        <v/>
      </c>
      <c r="K396">
        <f>J396*(1+((Inputs!$B$12*(1+Inputs!$B$13/100))*0.01+Inputs!$B$14*0.0025)/100)*(1+Inputs!$B$15/100)*(1+Inputs!$B$16/100)*(5000/(6000+Inputs!$B$42*(1-(100*(1-(1-(Inputs!$B$19+0)/100)*(1-CHOOSE(ArtifactsInput!$N$40+1,5,6,7,8,9,10)/100)^(ArtifactsInput!$M$40-ArtifactsInput!$M$40)))/100)))*(1+(((((1+(Inputs!$B$24+Summary!$B$21)/100)*(1.01))-1)*100-(Summary!$B$21))+((C419=TRUE)*(F419-Calc!F26))+B430)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408=TRUE,F408,0)/100)*(1+(IF(Skills!A3="EIGHT_LEGS_EASTON",Inputs!$B$17+((C416=TRUE)*(F416-Calc!F23))+((C420=TRUE)*(F420-Calc!F27))+((IF(AND(Inputs!$B$38&lt;&gt;"pvp",Inputs!$B$43=0),1,IF(IF(Inputs!$B$38="pvp",15,Inputs!$B$43)-(B431)&lt;=0,1,MAX(0,IF(Inputs!$B$38="pvp",15,Inputs!$B$43)-MAX(5,B431))/(IF(Inputs!$B$38="pvp",15,Inputs!$B$43)-(B431))))*(IF(AND(ArtifactsInput!$M$42,((Inputs!$B$9+((C412=TRUE)*(F412-Calc!F19))+B424+(ArtifactsInput!$M$24-ArtifactsInput!$M$24)*CHOOSE(ArtifactsInput!$N$24+1,10,12,14,16,18,20)+IF(ArtifactsInput!$M$10,CHOOSE(ArtifactsInput!$N$10+1,15,18,21,24,27,30)*(IF(Inputs!$B$38="pvp",MIN(15,15)/15,IF(AND(Inputs!$B$38&lt;&gt;"pvp",Inputs!$B$43&gt;0),MIN(15,Inputs!$B$43)/(Inputs!$B$43),0))),0)))&gt;=100),MIN(100,((Inputs!$B$9+((C412=TRUE)*(F412-Calc!F19))+B424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431)&lt;=0,1,MAX(0,IF(Inputs!$B$38="pvp",15,Inputs!$B$43)-MAX(5,B431))/(IF(Inputs!$B$38="pvp",15,Inputs!$B$43)-(B431))))*IF(AND(ArtifactsInput!$M$42,((Inputs!$B$9+((C412=TRUE)*(F412-Calc!F19))+B424+(ArtifactsInput!$M$24-ArtifactsInput!$M$24)*CHOOSE(ArtifactsInput!$N$24+1,10,12,14,16,18,20)+IF(ArtifactsInput!$M$10,CHOOSE(ArtifactsInput!$N$10+1,15,18,21,24,27,30)*(IF(Inputs!$B$38="pvp",MIN(15,15)/15,IF(AND(Inputs!$B$38&lt;&gt;"pvp",Inputs!$B$43&gt;0),MIN(15,Inputs!$B$43)/(Inputs!$B$43),0))),0)))&gt;=100),CHOOSE(ArtifactsInput!$N$42+1,40,48,56,64,72,80),0))))/100)*((1+(((C410=TRUE)*F410*5/7)+((C417=TRUE)*(F417-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396)</f>
        <v/>
      </c>
      <c r="L396">
        <f>K396*(MIN(Inputs!$B$22+((C415=TRUE)*(F415-Calc!F22)),(Inputs!$B$23+0+(IF(ArtifactsInput!$M$15,CHOOSE(ArtifactsInput!$N$15+1,25,30,35,40,45,50)/100*(Inputs!$B$11-Inputs!$B$11),0))))/100+(Inputs!$B$23+0+(IF(ArtifactsInput!$M$15,CHOOSE(ArtifactsInput!$N$15+1,25,30,35,40,45,50)/100*(Inputs!$B$11-Inputs!$B$11),0)))/100)/2</f>
        <v/>
      </c>
      <c r="M396">
        <f>L396*(1+(Inputs!$B$10+((C418=TRUE)*(F418-Calc!F25))+B429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96">
        <f>L396*(1-MIN((Inputs!$B$9+((C412=TRUE)*(F412-Calc!F19))+B424+(ArtifactsInput!$M$24-ArtifactsInput!$M$24)*CHOOSE(ArtifactsInput!$N$24+1,10,12,14,16,18,20)+(IF(AND(Inputs!$B$38&lt;&gt;"pvp",Inputs!$B$43=0),1,IF(IF(Inputs!$B$38="pvp",15,Inputs!$B$43)-(B431)&lt;=0,1,MAX(0,IF(Inputs!$B$38="pvp",15,Inputs!$B$43)-MAX(5,B431))/(IF(Inputs!$B$38="pvp",15,Inputs!$B$43)-(B431))))*IF(AND(ArtifactsInput!$M$42,((Inputs!$B$9+((C412=TRUE)*(F412-Calc!F19))+B424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396*(MIN((Inputs!$B$9+((C412=TRUE)*(F412-Calc!F19))+B424+(ArtifactsInput!$M$24-ArtifactsInput!$M$24)*CHOOSE(ArtifactsInput!$N$24+1,10,12,14,16,18,20)+(IF(AND(Inputs!$B$38&lt;&gt;"pvp",Inputs!$B$43=0),1,IF(IF(Inputs!$B$38="pvp",15,Inputs!$B$43)-(B431)&lt;=0,1,MAX(0,IF(Inputs!$B$38="pvp",15,Inputs!$B$43)-MAX(5,B431))/(IF(Inputs!$B$38="pvp",15,Inputs!$B$43)-(B431))))*IF(AND(ArtifactsInput!$M$42,((Inputs!$B$9+((C412=TRUE)*(F412-Calc!F19))+B424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96">
        <f>(1-Summary!$B$11)*T396+Summary!$B$11*V396</f>
        <v/>
      </c>
      <c r="P396">
        <f>IF(B434=0,0,O396/B434)</f>
        <v/>
      </c>
      <c r="Q396">
        <f>IFERROR(1/(IF(Inputs!$B$38="pvp",15,MAX(0.1,Skills!D3-IF(TRUE=TRUE,Inputs!$B$32,0)))*(1-IF(AND(ArtifactsInput!$M$27,Inputs!$B$4="Chapter Hunt"),CHOOSE(ArtifactsInput!$N$27+1,20,24,28,32,36,40),0)/100)),0)</f>
        <v/>
      </c>
      <c r="R396">
        <f>IF(AND(Inputs!$B$38&lt;&gt;"pvp",Inputs!$B$43&gt;0),IF(MAX(0,Inputs!$B$43-B431)&lt;=0,0,(INT(MAX(0,Inputs!$B$43-B431)/(IF(Inputs!$B$38="pvp",15,MAX(0.1,Skills!D3-IF(TRUE=TRUE,Inputs!$B$32,0)))*(1-IF(AND(ArtifactsInput!$M$27,Inputs!$B$4="Chapter Hunt"),CHOOSE(ArtifactsInput!$N$27+1,20,24,28,32,36,40),0)/100)))+1)),0)</f>
        <v/>
      </c>
      <c r="S396">
        <f>IFERROR(O396/N396,0)</f>
        <v/>
      </c>
      <c r="T396">
        <f>IF(C396,(H396*N396*IF(AND(Inputs!$B$38&lt;&gt;"pvp",Inputs!$B$43&gt;0),((Skills!G3*((R396-1)*IF(Skills!H3&gt;0,INT(Skills!I3/Skills!H3+0.000000001),1)+IF(Skills!H3&gt;0,INT(MIN(Skills!I3,MAX(0,MAX(0,Inputs!$B$43-B431)-((R396-1)*(IF(Inputs!$B$38="pvp",15,MAX(0.1,Skills!D3-IF(TRUE=TRUE,Inputs!$B$32,0)))*(1-IF(AND(ArtifactsInput!$M$27,Inputs!$B$4="Chapter Hunt"),CHOOSE(ArtifactsInput!$N$27+1,20,24,28,32,36,40),0)/100)))))/Skills!H3+0.000000001),1)))/Inputs!$B$43),G396*Q396))*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Hunt"),CHOOSE(ArtifactsInput!$N$35+1,15,18,21,24,27,30)*(1-EXP(-(0.2*B426)*5)),0)+IF(AND(ArtifactsInput!$M$22,Inputs!$B$4&lt;&gt;"Chapter Hunt"),CHOOSE(ArtifactsInput!$N$22+1,10,12,14,16,18,20)*((0*(((0.15*B426*5))^0/1)+1*(((0.15*B426*5))^1/1)+2*(((0.15*B426*5))^2/2)+3*(((0.15*B426*5))^3/6)+4*(((0.15*B426*5))^4/24)+5*(((0.15*B426*5))^5/120))/((((0.15*B426*5))^0/1)+(((0.15*B426*5))^1/1)+(((0.15*B426*5))^2/2)+(((0.15*B426*5))^3/6)+(((0.15*B426*5))^4/24)+(((0.15*B426*5))^5/120))),0))+IF(Inputs!$B$3&gt;=54,9*(C396=TRUE)*MIN(1,8*(1+Inputs!$B$34/100)*Q396)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396*(1-MIN(100,(Inputs!$B$9+((C412=TRUE)*(F412-Calc!F19))+B424+(ArtifactsInput!$M$24-ArtifactsInput!$M$24)*CHOOSE(ArtifactsInput!$N$24+1,10,12,14,16,18,20)+(IF(AND(Inputs!$B$38&lt;&gt;"pvp",Inputs!$B$43=0),1,IF(IF(Inputs!$B$38="pvp",15,Inputs!$B$43)-(B431)&lt;=0,1,MAX(0,IF(Inputs!$B$38="pvp",15,Inputs!$B$43)-MAX(5,B431))/(IF(Inputs!$B$38="pvp",15,Inputs!$B$43)-(B431))))*IF(AND(ArtifactsInput!$M$42,((Inputs!$B$9+((C412=TRUE)*(F412-Calc!F19))+B424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396*(MIN(100,(Inputs!$B$9+((C412=TRUE)*(F412-Calc!F19))+B424+(ArtifactsInput!$M$24-ArtifactsInput!$M$24)*CHOOSE(ArtifactsInput!$N$24+1,10,12,14,16,18,20)+(IF(AND(Inputs!$B$38&lt;&gt;"pvp",Inputs!$B$43=0),1,IF(IF(Inputs!$B$38="pvp",15,Inputs!$B$43)-(B431)&lt;=0,1,MAX(0,IF(Inputs!$B$38="pvp",15,Inputs!$B$43)-MAX(5,B431))/(IF(Inputs!$B$38="pvp",15,Inputs!$B$43)-(B431))))*IF(AND(ArtifactsInput!$M$42,((Inputs!$B$9+((C412=TRUE)*(F412-Calc!F19))+B424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396*(1-MIN(100,(Inputs!$B$9+((C412=TRUE)*(F412-Calc!F19))+B424+(ArtifactsInput!$M$24-ArtifactsInput!$M$24)*CHOOSE(ArtifactsInput!$N$24+1,10,12,14,16,18,20)+(IF(AND(Inputs!$B$38&lt;&gt;"pvp",Inputs!$B$43=0),1,IF(IF(Inputs!$B$38="pvp",15,Inputs!$B$43)-(B431)&lt;=0,1,MAX(0,IF(Inputs!$B$38="pvp",15,Inputs!$B$43)-MAX(5,B431))/(IF(Inputs!$B$38="pvp",15,Inputs!$B$43)-(B431))))*IF(AND(ArtifactsInput!$M$42,((Inputs!$B$9+((C412=TRUE)*(F412-Calc!F19))+B424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396*(MIN(100,(Inputs!$B$9+((C412=TRUE)*(F412-Calc!F19))+B424+(ArtifactsInput!$M$24-ArtifactsInput!$M$24)*CHOOSE(ArtifactsInput!$N$24+1,10,12,14,16,18,20)+(IF(AND(Inputs!$B$38&lt;&gt;"pvp",Inputs!$B$43=0),1,IF(IF(Inputs!$B$38="pvp",15,Inputs!$B$43)-(B431)&lt;=0,1,MAX(0,IF(Inputs!$B$38="pvp",15,Inputs!$B$43)-MAX(5,B431))/(IF(Inputs!$B$38="pvp",15,Inputs!$B$43)-(B431))))*IF(AND(ArtifactsInput!$M$42,((Inputs!$B$9+((C412=TRUE)*(F412-Calc!F19))+B424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96">
        <f>INDEX(FactorTable!$B$2:$Y$301, MATCH(ROUND(MIN(300,MAX(1,U395)),0), FactorTable!$A$2:$A$301,0), 22)</f>
        <v/>
      </c>
      <c r="V396">
        <f>IF(C396,(H396*N396*IF(AND(Inputs!$B$38&lt;&gt;"pvp",Inputs!$B$43&gt;0),((Skills!G3*((R396-1)*IF(Skills!H3&gt;0,INT(Skills!I3/Skills!H3+0.000000001),1)+IF(Skills!H3&gt;0,INT(MIN(Skills!I3,MAX(0,MAX(0,Inputs!$B$43-B431)-((R396-1)*(IF(Inputs!$B$38="pvp",15,MAX(0.1,Skills!D3-IF(TRUE=TRUE,Inputs!$B$32,0)))*(1-IF(AND(ArtifactsInput!$M$27,Inputs!$B$4="Chapter Hunt"),CHOOSE(ArtifactsInput!$N$27+1,20,24,28,32,36,40),0)/100)))))/Skills!H3+0.000000001),1)))/Inputs!$B$43),G396*Q396))*IF(Inputs!$B$38="pvp",1,(1+(Inputs!$B$21+Skills!Q3+(IF(ArtifactsInput!$M$33,CHOOSE(ArtifactsInput!$N$33+1,30,36,42,48,54,60),0))+(IF(AND(ArtifactsInput!$M$35,Inputs!$B$4&lt;&gt;"Chapter Hunt"),CHOOSE(ArtifactsInput!$N$35+1,15,18,21,24,27,30)*(1-EXP(-(0.2*B426)*5)),0)+IF(AND(ArtifactsInput!$M$22,Inputs!$B$4&lt;&gt;"Chapter Hunt"),CHOOSE(ArtifactsInput!$N$22+1,10,12,14,16,18,20)*((0*(((0.15*B426*5))^0/1)+1*(((0.15*B426*5))^1/1)+2*(((0.15*B426*5))^2/2)+3*(((0.15*B426*5))^3/6)+4*(((0.15*B426*5))^4/24)+5*(((0.15*B426*5))^5/120))/((((0.15*B426*5))^0/1)+(((0.15*B426*5))^1/1)+(((0.15*B426*5))^2/2)+(((0.15*B426*5))^3/6)+(((0.15*B426*5))^4/24)+(((0.15*B426*5))^5/120))),0))+IF(Inputs!$B$3&gt;=54,9*(C396=TRUE)*MIN(1,8*(1+Inputs!$B$34/100)*Q396),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97">
      <c r="A397">
        <f>Skills!A4</f>
        <v/>
      </c>
      <c r="B397">
        <f>Skills!B4</f>
        <v/>
      </c>
      <c r="C397">
        <f>Inputs!$B$3&gt;=35</f>
        <v/>
      </c>
      <c r="D397">
        <f>IF(Skills!C4=1,60+Inputs!$B$25+Inputs!$B$29,IF(Skills!C4=2,90+Inputs!$B$26+Inputs!$B$29,IF(Skills!C4=3,120+Inputs!$B$27+Inputs!$B$29,MAX(0,(Inputs!$B$3-100)*3)+Inputs!$B$28+Inputs!$B$29)))</f>
        <v/>
      </c>
      <c r="E397">
        <f>INDEX(FactorTable!$B$2:$Y$301, MATCH(ROUND(MIN(300,MAX(1,D397)),0), FactorTable!$A$2:$A$301,0), Skills!M4+1)</f>
        <v/>
      </c>
      <c r="F397">
        <f>IF(Skills!N4=TRUE,(Skills!L4/10)*(E397/1000),Skills!L4/10)+Skills!O4</f>
        <v/>
      </c>
      <c r="G397">
        <f>Skills!G4*IF(Skills!H4&gt;0,INT(IF(Inputs!$B$38="pvp",MIN(IF(Inputs!$B$3&gt;=104,MIN(35,20*(1+Inputs!$B$34/100)),20),15),IF(Inputs!$B$3&gt;=104,MIN(35,20*(1+Inputs!$B$34/100)),20))/Skills!H4+0.000000001),1)</f>
        <v/>
      </c>
      <c r="H397">
        <f>1-(1-Skills!J4/100)^Skills!K4</f>
        <v/>
      </c>
      <c r="I397" t="inlineStr">
        <is>
          <t>1</t>
        </is>
      </c>
      <c r="J397">
        <f>((Inputs!$B$6*(1+Inputs!$B$7/100))+(((Inputs!$B$12*(1+Inputs!$B$13/100))-(Inputs!$B$12*(1+Inputs!$B$13/100)))+0.25*(Inputs!$B$14-Inputs!$B$14))*(1+Inputs!$B$7/100))*(F397/100)</f>
        <v/>
      </c>
      <c r="K397">
        <f>J397*(1+((Inputs!$B$12*(1+Inputs!$B$13/100))*0.01+Inputs!$B$14*0.0025)/100)*(1+Inputs!$B$15/100)*(1+Inputs!$B$16/100)*(5000/(6000+Inputs!$B$42*(1-(100*(1-(1-(Inputs!$B$19+0)/100)*(1-CHOOSE(ArtifactsInput!$N$40+1,5,6,7,8,9,10)/100)^(ArtifactsInput!$M$40-ArtifactsInput!$M$40)))/100)))*(1+(((((1+(Inputs!$B$24+Summary!$B$21)/100)*(1.01))-1)*100-(Summary!$B$21))+((C419=TRUE)*(F419-Calc!F26))+B430)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409=TRUE,F409,0)/100)*(1+(IF(Skills!A4="EIGHT_LEGS_EASTON",Inputs!$B$17+((C416=TRUE)*(F416-Calc!F23))+((C420=TRUE)*(F420-Calc!F27))+((IF(AND(Inputs!$B$38&lt;&gt;"pvp",Inputs!$B$43=0),1,IF(IF(Inputs!$B$38="pvp",15,Inputs!$B$43)-(B431)&lt;=0,1,MAX(0,IF(Inputs!$B$38="pvp",15,Inputs!$B$43)-MAX(5,B431))/(IF(Inputs!$B$38="pvp",15,Inputs!$B$43)-(B431))))*(IF(AND(ArtifactsInput!$M$42,((Inputs!$B$9+((C412=TRUE)*(F412-Calc!F19))+B424+(ArtifactsInput!$M$24-ArtifactsInput!$M$24)*CHOOSE(ArtifactsInput!$N$24+1,10,12,14,16,18,20)+IF(ArtifactsInput!$M$10,CHOOSE(ArtifactsInput!$N$10+1,15,18,21,24,27,30)*(IF(Inputs!$B$38="pvp",MIN(15,15)/15,IF(AND(Inputs!$B$38&lt;&gt;"pvp",Inputs!$B$43&gt;0),MIN(15,Inputs!$B$43)/(Inputs!$B$43),0))),0)))&gt;=100),MIN(100,((Inputs!$B$9+((C412=TRUE)*(F412-Calc!F19))+B424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431)&lt;=0,1,MAX(0,IF(Inputs!$B$38="pvp",15,Inputs!$B$43)-MAX(5,B431))/(IF(Inputs!$B$38="pvp",15,Inputs!$B$43)-(B431))))*IF(AND(ArtifactsInput!$M$42,((Inputs!$B$9+((C412=TRUE)*(F412-Calc!F19))+B424+(ArtifactsInput!$M$24-ArtifactsInput!$M$24)*CHOOSE(ArtifactsInput!$N$24+1,10,12,14,16,18,20)+IF(ArtifactsInput!$M$10,CHOOSE(ArtifactsInput!$N$10+1,15,18,21,24,27,30)*(IF(Inputs!$B$38="pvp",MIN(15,15)/15,IF(AND(Inputs!$B$38&lt;&gt;"pvp",Inputs!$B$43&gt;0),MIN(15,Inputs!$B$43)/(Inputs!$B$43),0))),0)))&gt;=100),CHOOSE(ArtifactsInput!$N$42+1,40,48,56,64,72,80),0))))/100)*((1+(((C410=TRUE)*F410*5/7)+((C417=TRUE)*(F417-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397)</f>
        <v/>
      </c>
      <c r="L397">
        <f>K397*(MIN(Inputs!$B$22+((C415=TRUE)*(F415-Calc!F22)),(Inputs!$B$23+0+(IF(ArtifactsInput!$M$15,CHOOSE(ArtifactsInput!$N$15+1,25,30,35,40,45,50)/100*(Inputs!$B$11-Inputs!$B$11),0))))/100+(Inputs!$B$23+0+(IF(ArtifactsInput!$M$15,CHOOSE(ArtifactsInput!$N$15+1,25,30,35,40,45,50)/100*(Inputs!$B$11-Inputs!$B$11),0)))/100)/2</f>
        <v/>
      </c>
      <c r="M397">
        <f>L397*(1+(Inputs!$B$10+((C418=TRUE)*(F418-Calc!F25))+B429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97">
        <f>L397*(1-MIN((Inputs!$B$9+((C412=TRUE)*(F412-Calc!F19))+B424+(ArtifactsInput!$M$24-ArtifactsInput!$M$24)*CHOOSE(ArtifactsInput!$N$24+1,10,12,14,16,18,20)+(IF(AND(Inputs!$B$38&lt;&gt;"pvp",Inputs!$B$43=0),1,IF(IF(Inputs!$B$38="pvp",15,Inputs!$B$43)-(B431)&lt;=0,1,MAX(0,IF(Inputs!$B$38="pvp",15,Inputs!$B$43)-MAX(5,B431))/(IF(Inputs!$B$38="pvp",15,Inputs!$B$43)-(B431))))*IF(AND(ArtifactsInput!$M$42,((Inputs!$B$9+((C412=TRUE)*(F412-Calc!F19))+B424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397*(MIN((Inputs!$B$9+((C412=TRUE)*(F412-Calc!F19))+B424+(ArtifactsInput!$M$24-ArtifactsInput!$M$24)*CHOOSE(ArtifactsInput!$N$24+1,10,12,14,16,18,20)+(IF(AND(Inputs!$B$38&lt;&gt;"pvp",Inputs!$B$43=0),1,IF(IF(Inputs!$B$38="pvp",15,Inputs!$B$43)-(B431)&lt;=0,1,MAX(0,IF(Inputs!$B$38="pvp",15,Inputs!$B$43)-MAX(5,B431))/(IF(Inputs!$B$38="pvp",15,Inputs!$B$43)-(B431))))*IF(AND(ArtifactsInput!$M$42,((Inputs!$B$9+((C412=TRUE)*(F412-Calc!F19))+B424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97">
        <f>(1-Summary!$B$11)*T397+Summary!$B$11*V397</f>
        <v/>
      </c>
      <c r="P397">
        <f>IF(B434=0,0,O397/B434)</f>
        <v/>
      </c>
      <c r="Q397">
        <f>IFERROR(1/(IF(Inputs!$B$38="pvp",15,MAX(0.1,Skills!D4-IF(TRUE=TRUE,Inputs!$B$32,0)))*(1-IF(AND(ArtifactsInput!$M$27,Inputs!$B$4="Chapter Hunt"),CHOOSE(ArtifactsInput!$N$27+1,20,24,28,32,36,40),0)/100)),0)</f>
        <v/>
      </c>
      <c r="R397">
        <f>IF(AND(Inputs!$B$38&lt;&gt;"pvp",Inputs!$B$43&gt;0),IF(MAX(0,Inputs!$B$43-B431)&lt;=0,0,(INT(MAX(0,Inputs!$B$43-B431)/(IF(Inputs!$B$38="pvp",15,MAX(0.1,Skills!D4-IF(TRUE=TRUE,Inputs!$B$32,0)))*(1-IF(AND(ArtifactsInput!$M$27,Inputs!$B$4="Chapter Hunt"),CHOOSE(ArtifactsInput!$N$27+1,20,24,28,32,36,40),0)/100)))+1)),0)</f>
        <v/>
      </c>
      <c r="S397">
        <f>IFERROR(O397/N397,0)</f>
        <v/>
      </c>
      <c r="T397">
        <f>IF(C397,(H397*N397*IF(AND(Inputs!$B$38&lt;&gt;"pvp",Inputs!$B$43&gt;0),((Skills!G4*((R397-1)*IF(Skills!H4&gt;0,INT(IF(Inputs!$B$3&gt;=104,MIN(35,20*(1+Inputs!$B$34/100)),20)/Skills!H4+0.000000001),1)+IF(Skills!H4&gt;0,INT(MIN(IF(Inputs!$B$3&gt;=104,MIN(35,20*(1+Inputs!$B$34/100)),20),MAX(0,MAX(0,Inputs!$B$43-B431)-((R397-1)*(IF(Inputs!$B$38="pvp",15,MAX(0.1,Skills!D4-IF(TRUE=TRUE,Inputs!$B$32,0)))*(1-IF(AND(ArtifactsInput!$M$27,Inputs!$B$4="Chapter Hunt"),CHOOSE(ArtifactsInput!$N$27+1,20,24,28,32,36,40),0)/100)))))/Skills!H4+0.000000001),1)))/Inputs!$B$43),G397*Q397))*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Hunt"),CHOOSE(ArtifactsInput!$N$35+1,15,18,21,24,27,30)*(1-EXP(-(0.2*B426)*5)),0)+IF(AND(ArtifactsInput!$M$22,Inputs!$B$4&lt;&gt;"Chapter Hunt"),CHOOSE(ArtifactsInput!$N$22+1,10,12,14,16,18,20)*((0*(((0.15*B426*5))^0/1)+1*(((0.15*B426*5))^1/1)+2*(((0.15*B426*5))^2/2)+3*(((0.15*B426*5))^3/6)+4*(((0.15*B426*5))^4/24)+5*(((0.15*B426*5))^5/120))/((((0.15*B426*5))^0/1)+(((0.15*B426*5))^1/1)+(((0.15*B426*5))^2/2)+(((0.15*B426*5))^3/6)+(((0.15*B426*5))^4/24)+(((0.15*B426*5))^5/120))),0))+IF(Inputs!$B$3&gt;=54,9*(C396=TRUE)*MIN(1,8*(1+Inputs!$B$34/100)*Q396)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397*(1-MIN(100,(Inputs!$B$9+((C412=TRUE)*(F412-Calc!F19))+B424+(ArtifactsInput!$M$24-ArtifactsInput!$M$24)*CHOOSE(ArtifactsInput!$N$24+1,10,12,14,16,18,20)+(IF(AND(Inputs!$B$38&lt;&gt;"pvp",Inputs!$B$43=0),1,IF(IF(Inputs!$B$38="pvp",15,Inputs!$B$43)-(B431)&lt;=0,1,MAX(0,IF(Inputs!$B$38="pvp",15,Inputs!$B$43)-MAX(5,B431))/(IF(Inputs!$B$38="pvp",15,Inputs!$B$43)-(B431))))*IF(AND(ArtifactsInput!$M$42,((Inputs!$B$9+((C412=TRUE)*(F412-Calc!F19))+B424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397*(MIN(100,(Inputs!$B$9+((C412=TRUE)*(F412-Calc!F19))+B424+(ArtifactsInput!$M$24-ArtifactsInput!$M$24)*CHOOSE(ArtifactsInput!$N$24+1,10,12,14,16,18,20)+(IF(AND(Inputs!$B$38&lt;&gt;"pvp",Inputs!$B$43=0),1,IF(IF(Inputs!$B$38="pvp",15,Inputs!$B$43)-(B431)&lt;=0,1,MAX(0,IF(Inputs!$B$38="pvp",15,Inputs!$B$43)-MAX(5,B431))/(IF(Inputs!$B$38="pvp",15,Inputs!$B$43)-(B431))))*IF(AND(ArtifactsInput!$M$42,((Inputs!$B$9+((C412=TRUE)*(F412-Calc!F19))+B424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397*(1-MIN(100,(Inputs!$B$9+((C412=TRUE)*(F412-Calc!F19))+B424+(ArtifactsInput!$M$24-ArtifactsInput!$M$24)*CHOOSE(ArtifactsInput!$N$24+1,10,12,14,16,18,20)+(IF(AND(Inputs!$B$38&lt;&gt;"pvp",Inputs!$B$43=0),1,IF(IF(Inputs!$B$38="pvp",15,Inputs!$B$43)-(B431)&lt;=0,1,MAX(0,IF(Inputs!$B$38="pvp",15,Inputs!$B$43)-MAX(5,B431))/(IF(Inputs!$B$38="pvp",15,Inputs!$B$43)-(B431))))*IF(AND(ArtifactsInput!$M$42,((Inputs!$B$9+((C412=TRUE)*(F412-Calc!F19))+B424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397*(MIN(100,(Inputs!$B$9+((C412=TRUE)*(F412-Calc!F19))+B424+(ArtifactsInput!$M$24-ArtifactsInput!$M$24)*CHOOSE(ArtifactsInput!$N$24+1,10,12,14,16,18,20)+(IF(AND(Inputs!$B$38&lt;&gt;"pvp",Inputs!$B$43=0),1,IF(IF(Inputs!$B$38="pvp",15,Inputs!$B$43)-(B431)&lt;=0,1,MAX(0,IF(Inputs!$B$38="pvp",15,Inputs!$B$43)-MAX(5,B431))/(IF(Inputs!$B$38="pvp",15,Inputs!$B$43)-(B431))))*IF(AND(ArtifactsInput!$M$42,((Inputs!$B$9+((C412=TRUE)*(F412-Calc!F19))+B424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97">
        <f>290*U396/1000</f>
        <v/>
      </c>
      <c r="V397">
        <f>IF(C397,(H397*N397*IF(AND(Inputs!$B$38&lt;&gt;"pvp",Inputs!$B$43&gt;0),((Skills!G4*((R397-1)*IF(Skills!H4&gt;0,INT(IF(Inputs!$B$3&gt;=104,MIN(35,20*(1+Inputs!$B$34/100)),20)/Skills!H4+0.000000001),1)+IF(Skills!H4&gt;0,INT(MIN(IF(Inputs!$B$3&gt;=104,MIN(35,20*(1+Inputs!$B$34/100)),20),MAX(0,MAX(0,Inputs!$B$43-B431)-((R397-1)*(IF(Inputs!$B$38="pvp",15,MAX(0.1,Skills!D4-IF(TRUE=TRUE,Inputs!$B$32,0)))*(1-IF(AND(ArtifactsInput!$M$27,Inputs!$B$4="Chapter Hunt"),CHOOSE(ArtifactsInput!$N$27+1,20,24,28,32,36,40),0)/100)))))/Skills!H4+0.000000001),1)))/Inputs!$B$43),G397*Q397))*IF(Inputs!$B$38="pvp",1,(1+(Inputs!$B$21+Skills!Q4+(IF(ArtifactsInput!$M$33,CHOOSE(ArtifactsInput!$N$33+1,30,36,42,48,54,60),0))+(IF(AND(ArtifactsInput!$M$35,Inputs!$B$4&lt;&gt;"Chapter Hunt"),CHOOSE(ArtifactsInput!$N$35+1,15,18,21,24,27,30)*(1-EXP(-(0.2*B426)*5)),0)+IF(AND(ArtifactsInput!$M$22,Inputs!$B$4&lt;&gt;"Chapter Hunt"),CHOOSE(ArtifactsInput!$N$22+1,10,12,14,16,18,20)*((0*(((0.15*B426*5))^0/1)+1*(((0.15*B426*5))^1/1)+2*(((0.15*B426*5))^2/2)+3*(((0.15*B426*5))^3/6)+4*(((0.15*B426*5))^4/24)+5*(((0.15*B426*5))^5/120))/((((0.15*B426*5))^0/1)+(((0.15*B426*5))^1/1)+(((0.15*B426*5))^2/2)+(((0.15*B426*5))^3/6)+(((0.15*B426*5))^4/24)+(((0.15*B426*5))^5/120))),0))+IF(Inputs!$B$3&gt;=54,9*(C396=TRUE)*MIN(1,8*(1+Inputs!$B$34/100)*Q396),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98">
      <c r="A398">
        <f>Skills!A5</f>
        <v/>
      </c>
      <c r="B398">
        <f>Skills!B5</f>
        <v/>
      </c>
      <c r="C398">
        <f>Inputs!$B$3&gt;=69</f>
        <v/>
      </c>
      <c r="D398">
        <f>IF(Skills!C5=1,60+Inputs!$B$25+Inputs!$B$29,IF(Skills!C5=2,90+Inputs!$B$26+Inputs!$B$29,IF(Skills!C5=3,120+Inputs!$B$27+Inputs!$B$29,MAX(0,(Inputs!$B$3-100)*3)+Inputs!$B$28+Inputs!$B$29)))</f>
        <v/>
      </c>
      <c r="E398">
        <f>INDEX(FactorTable!$B$2:$Y$301, MATCH(ROUND(MIN(300,MAX(1,D398)),0), FactorTable!$A$2:$A$301,0), Skills!M5+1)</f>
        <v/>
      </c>
      <c r="F398">
        <f>IF(Skills!N5=TRUE,(Skills!L5/10)*(E398/1000),Skills!L5/10)+Skills!O5</f>
        <v/>
      </c>
      <c r="G398">
        <f>Skills!G5*IF(Skills!H5&gt;0,INT(IF(Inputs!$B$38="pvp",MIN(IF(Inputs!$B$3&gt;=104,MIN(35,20*(1+Inputs!$B$34/100)),20),15),IF(Inputs!$B$3&gt;=104,MIN(35,20*(1+Inputs!$B$34/100)),20))/Skills!H5+0.000000001),1)</f>
        <v/>
      </c>
      <c r="H398">
        <f>1-(1-Skills!J5/100)^Skills!K5</f>
        <v/>
      </c>
      <c r="I398" t="inlineStr">
        <is>
          <t>1</t>
        </is>
      </c>
      <c r="J398">
        <f>((Inputs!$B$6*(1+Inputs!$B$7/100))+(((Inputs!$B$12*(1+Inputs!$B$13/100))-(Inputs!$B$12*(1+Inputs!$B$13/100)))+0.25*(Inputs!$B$14-Inputs!$B$14))*(1+Inputs!$B$7/100))*(F398/100)</f>
        <v/>
      </c>
      <c r="K398">
        <f>J398*(1+((Inputs!$B$12*(1+Inputs!$B$13/100))*0.01+Inputs!$B$14*0.0025)/100)*(1+Inputs!$B$15/100)*(1+Inputs!$B$16/100)*(5000/(6000+Inputs!$B$42*(1-(100*(1-(1-(Inputs!$B$19+0)/100)*(1-CHOOSE(ArtifactsInput!$N$40+1,5,6,7,8,9,10)/100)^(ArtifactsInput!$M$40-ArtifactsInput!$M$40)))/100)))*(1+(((((1+(Inputs!$B$24+Summary!$B$21)/100)*(1.01))-1)*100-(Summary!$B$21))+((C419=TRUE)*(F419-Calc!F26))+B430)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+0.4*IF(C409=TRUE,F409,0)/100)*(1+(IF(Skills!A5="EIGHT_LEGS_EASTON",Inputs!$B$17+((C416=TRUE)*(F416-Calc!F23))+((C420=TRUE)*(F420-Calc!F27))+((IF(AND(Inputs!$B$38&lt;&gt;"pvp",Inputs!$B$43=0),1,IF(IF(Inputs!$B$38="pvp",15,Inputs!$B$43)-(B431)&lt;=0,1,MAX(0,IF(Inputs!$B$38="pvp",15,Inputs!$B$43)-MAX(5,B431))/(IF(Inputs!$B$38="pvp",15,Inputs!$B$43)-(B431))))*(IF(AND(ArtifactsInput!$M$42,((Inputs!$B$9+((C412=TRUE)*(F412-Calc!F19))+B424+(ArtifactsInput!$M$24-ArtifactsInput!$M$24)*CHOOSE(ArtifactsInput!$N$24+1,10,12,14,16,18,20)+IF(ArtifactsInput!$M$10,CHOOSE(ArtifactsInput!$N$10+1,15,18,21,24,27,30)*(IF(Inputs!$B$38="pvp",MIN(15,15)/15,IF(AND(Inputs!$B$38&lt;&gt;"pvp",Inputs!$B$43&gt;0),MIN(15,Inputs!$B$43)/(Inputs!$B$43),0))),0)))&gt;=100),MIN(100,((Inputs!$B$9+((C412=TRUE)*(F412-Calc!F19))+B424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431)&lt;=0,1,MAX(0,IF(Inputs!$B$38="pvp",15,Inputs!$B$43)-MAX(5,B431))/(IF(Inputs!$B$38="pvp",15,Inputs!$B$43)-(B431))))*IF(AND(ArtifactsInput!$M$42,((Inputs!$B$9+((C412=TRUE)*(F412-Calc!F19))+B424+(ArtifactsInput!$M$24-ArtifactsInput!$M$24)*CHOOSE(ArtifactsInput!$N$24+1,10,12,14,16,18,20)+IF(ArtifactsInput!$M$10,CHOOSE(ArtifactsInput!$N$10+1,15,18,21,24,27,30)*(IF(Inputs!$B$38="pvp",MIN(15,15)/15,IF(AND(Inputs!$B$38&lt;&gt;"pvp",Inputs!$B$43&gt;0),MIN(15,Inputs!$B$43)/(Inputs!$B$43),0))),0)))&gt;=100),CHOOSE(ArtifactsInput!$N$42+1,40,48,56,64,72,80),0))))/100)*((1+(((C410=TRUE)*F410*5/7)+((C417=TRUE)*(F417-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398)</f>
        <v/>
      </c>
      <c r="L398">
        <f>K398*(MIN(Inputs!$B$22+((C415=TRUE)*(F415-Calc!F22)),(Inputs!$B$23+0+(IF(ArtifactsInput!$M$15,CHOOSE(ArtifactsInput!$N$15+1,25,30,35,40,45,50)/100*(Inputs!$B$11-Inputs!$B$11),0))))/100+(Inputs!$B$23+0+(IF(ArtifactsInput!$M$15,CHOOSE(ArtifactsInput!$N$15+1,25,30,35,40,45,50)/100*(Inputs!$B$11-Inputs!$B$11),0)))/100)/2</f>
        <v/>
      </c>
      <c r="M398">
        <f>L398*(1+(Inputs!$B$10+((C418=TRUE)*(F418-Calc!F25))+B429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98">
        <f>L398*(1-MIN((Inputs!$B$9+((C412=TRUE)*(F412-Calc!F19))+B424+(ArtifactsInput!$M$24-ArtifactsInput!$M$24)*CHOOSE(ArtifactsInput!$N$24+1,10,12,14,16,18,20)+(IF(AND(Inputs!$B$38&lt;&gt;"pvp",Inputs!$B$43=0),1,IF(IF(Inputs!$B$38="pvp",15,Inputs!$B$43)-(B431)&lt;=0,1,MAX(0,IF(Inputs!$B$38="pvp",15,Inputs!$B$43)-MAX(5,B431))/(IF(Inputs!$B$38="pvp",15,Inputs!$B$43)-(B431))))*IF(AND(ArtifactsInput!$M$42,((Inputs!$B$9+((C412=TRUE)*(F412-Calc!F19))+B424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398*(MIN((Inputs!$B$9+((C412=TRUE)*(F412-Calc!F19))+B424+(ArtifactsInput!$M$24-ArtifactsInput!$M$24)*CHOOSE(ArtifactsInput!$N$24+1,10,12,14,16,18,20)+(IF(AND(Inputs!$B$38&lt;&gt;"pvp",Inputs!$B$43=0),1,IF(IF(Inputs!$B$38="pvp",15,Inputs!$B$43)-(B431)&lt;=0,1,MAX(0,IF(Inputs!$B$38="pvp",15,Inputs!$B$43)-MAX(5,B431))/(IF(Inputs!$B$38="pvp",15,Inputs!$B$43)-(B431))))*IF(AND(ArtifactsInput!$M$42,((Inputs!$B$9+((C412=TRUE)*(F412-Calc!F19))+B424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98">
        <f>(1-Summary!$B$11)*T398+Summary!$B$11*V398</f>
        <v/>
      </c>
      <c r="P398">
        <f>IF(B434=0,0,O398/B434)</f>
        <v/>
      </c>
      <c r="Q398">
        <f>IFERROR(1/(IF(Inputs!$B$38="pvp",15,MAX(0.1,Skills!D5-IF(TRUE=TRUE,Inputs!$B$32,0)))*(1-IF(AND(ArtifactsInput!$M$27,Inputs!$B$4="Chapter Hunt"),CHOOSE(ArtifactsInput!$N$27+1,20,24,28,32,36,40),0)/100)),0)</f>
        <v/>
      </c>
      <c r="R398">
        <f>IF(AND(Inputs!$B$38&lt;&gt;"pvp",Inputs!$B$43&gt;0),IF(MAX(0,Inputs!$B$43-B431)&lt;=0,0,(INT(MAX(0,Inputs!$B$43-B431)/(IF(Inputs!$B$38="pvp",15,MAX(0.1,Skills!D5-IF(TRUE=TRUE,Inputs!$B$32,0)))*(1-IF(AND(ArtifactsInput!$M$27,Inputs!$B$4="Chapter Hunt"),CHOOSE(ArtifactsInput!$N$27+1,20,24,28,32,36,40),0)/100)))+1)),0)</f>
        <v/>
      </c>
      <c r="S398">
        <f>IFERROR(O398/N398,0)</f>
        <v/>
      </c>
      <c r="T398">
        <f>IF(C398,(H398*N398*IF(AND(Inputs!$B$38&lt;&gt;"pvp",Inputs!$B$43&gt;0),((Skills!G5*((R398-1)*IF(Skills!H5&gt;0,INT(IF(Inputs!$B$3&gt;=104,MIN(35,20*(1+Inputs!$B$34/100)),20)/Skills!H5+0.000000001),1)+IF(Skills!H5&gt;0,INT(MIN(IF(Inputs!$B$3&gt;=104,MIN(35,20*(1+Inputs!$B$34/100)),20),MAX(0,MAX(0,Inputs!$B$43-B431)-((R398-1)*(IF(Inputs!$B$38="pvp",15,MAX(0.1,Skills!D5-IF(TRUE=TRUE,Inputs!$B$32,0)))*(1-IF(AND(ArtifactsInput!$M$27,Inputs!$B$4="Chapter Hunt"),CHOOSE(ArtifactsInput!$N$27+1,20,24,28,32,36,40),0)/100)))))/Skills!H5+0.000000001),1)))/Inputs!$B$43),G398*Q398))*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Hunt"),CHOOSE(ArtifactsInput!$N$35+1,15,18,21,24,27,30)*(1-EXP(-(0.2*B426)*5)),0)+IF(AND(ArtifactsInput!$M$22,Inputs!$B$4&lt;&gt;"Chapter Hunt"),CHOOSE(ArtifactsInput!$N$22+1,10,12,14,16,18,20)*((0*(((0.15*B426*5))^0/1)+1*(((0.15*B426*5))^1/1)+2*(((0.15*B426*5))^2/2)+3*(((0.15*B426*5))^3/6)+4*(((0.15*B426*5))^4/24)+5*(((0.15*B426*5))^5/120))/((((0.15*B426*5))^0/1)+(((0.15*B426*5))^1/1)+(((0.15*B426*5))^2/2)+(((0.15*B426*5))^3/6)+(((0.15*B426*5))^4/24)+(((0.15*B426*5))^5/120))),0))+IF(Inputs!$B$3&gt;=54,9*(C396=TRUE)*MIN(1,8*(1+Inputs!$B$34/100)*Q396)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398*(1-MIN(100,(Inputs!$B$9+((C412=TRUE)*(F412-Calc!F19))+B424+(ArtifactsInput!$M$24-ArtifactsInput!$M$24)*CHOOSE(ArtifactsInput!$N$24+1,10,12,14,16,18,20)+(IF(AND(Inputs!$B$38&lt;&gt;"pvp",Inputs!$B$43=0),1,IF(IF(Inputs!$B$38="pvp",15,Inputs!$B$43)-(B431)&lt;=0,1,MAX(0,IF(Inputs!$B$38="pvp",15,Inputs!$B$43)-MAX(5,B431))/(IF(Inputs!$B$38="pvp",15,Inputs!$B$43)-(B431))))*IF(AND(ArtifactsInput!$M$42,((Inputs!$B$9+((C412=TRUE)*(F412-Calc!F19))+B424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398*(MIN(100,(Inputs!$B$9+((C412=TRUE)*(F412-Calc!F19))+B424+(ArtifactsInput!$M$24-ArtifactsInput!$M$24)*CHOOSE(ArtifactsInput!$N$24+1,10,12,14,16,18,20)+(IF(AND(Inputs!$B$38&lt;&gt;"pvp",Inputs!$B$43=0),1,IF(IF(Inputs!$B$38="pvp",15,Inputs!$B$43)-(B431)&lt;=0,1,MAX(0,IF(Inputs!$B$38="pvp",15,Inputs!$B$43)-MAX(5,B431))/(IF(Inputs!$B$38="pvp",15,Inputs!$B$43)-(B431))))*IF(AND(ArtifactsInput!$M$42,((Inputs!$B$9+((C412=TRUE)*(F412-Calc!F19))+B424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398*(1-MIN(100,(Inputs!$B$9+((C412=TRUE)*(F412-Calc!F19))+B424+(ArtifactsInput!$M$24-ArtifactsInput!$M$24)*CHOOSE(ArtifactsInput!$N$24+1,10,12,14,16,18,20)+(IF(AND(Inputs!$B$38&lt;&gt;"pvp",Inputs!$B$43=0),1,IF(IF(Inputs!$B$38="pvp",15,Inputs!$B$43)-(B431)&lt;=0,1,MAX(0,IF(Inputs!$B$38="pvp",15,Inputs!$B$43)-MAX(5,B431))/(IF(Inputs!$B$38="pvp",15,Inputs!$B$43)-(B431))))*IF(AND(ArtifactsInput!$M$42,((Inputs!$B$9+((C412=TRUE)*(F412-Calc!F19))+B424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398*(MIN(100,(Inputs!$B$9+((C412=TRUE)*(F412-Calc!F19))+B424+(ArtifactsInput!$M$24-ArtifactsInput!$M$24)*CHOOSE(ArtifactsInput!$N$24+1,10,12,14,16,18,20)+(IF(AND(Inputs!$B$38&lt;&gt;"pvp",Inputs!$B$43=0),1,IF(IF(Inputs!$B$38="pvp",15,Inputs!$B$43)-(B431)&lt;=0,1,MAX(0,IF(Inputs!$B$38="pvp",15,Inputs!$B$43)-MAX(5,B431))/(IF(Inputs!$B$38="pvp",15,Inputs!$B$43)-(B431))))*IF(AND(ArtifactsInput!$M$42,((Inputs!$B$9+((C412=TRUE)*(F412-Calc!F19))+B424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98">
        <f>IF(C398,(H398*N398*IF(AND(Inputs!$B$38&lt;&gt;"pvp",Inputs!$B$43&gt;0),((Skills!G5*((R398-1)*IF(Skills!H5&gt;0,INT(IF(Inputs!$B$3&gt;=104,MIN(35,20*(1+Inputs!$B$34/100)),20)/Skills!H5+0.000000001),1)+IF(Skills!H5&gt;0,INT(MIN(IF(Inputs!$B$3&gt;=104,MIN(35,20*(1+Inputs!$B$34/100)),20),MAX(0,MAX(0,Inputs!$B$43-B431)-((R398-1)*(IF(Inputs!$B$38="pvp",15,MAX(0.1,Skills!D5-IF(TRUE=TRUE,Inputs!$B$32,0)))*(1-IF(AND(ArtifactsInput!$M$27,Inputs!$B$4="Chapter Hunt"),CHOOSE(ArtifactsInput!$N$27+1,20,24,28,32,36,40),0)/100)))))/Skills!H5+0.000000001),1)))/Inputs!$B$43),G398*Q398))*IF(Inputs!$B$38="pvp",1,(1+(Inputs!$B$21+Skills!Q5+(IF(ArtifactsInput!$M$33,CHOOSE(ArtifactsInput!$N$33+1,30,36,42,48,54,60),0))+(IF(AND(ArtifactsInput!$M$35,Inputs!$B$4&lt;&gt;"Chapter Hunt"),CHOOSE(ArtifactsInput!$N$35+1,15,18,21,24,27,30)*(1-EXP(-(0.2*B426)*5)),0)+IF(AND(ArtifactsInput!$M$22,Inputs!$B$4&lt;&gt;"Chapter Hunt"),CHOOSE(ArtifactsInput!$N$22+1,10,12,14,16,18,20)*((0*(((0.15*B426*5))^0/1)+1*(((0.15*B426*5))^1/1)+2*(((0.15*B426*5))^2/2)+3*(((0.15*B426*5))^3/6)+4*(((0.15*B426*5))^4/24)+5*(((0.15*B426*5))^5/120))/((((0.15*B426*5))^0/1)+(((0.15*B426*5))^1/1)+(((0.15*B426*5))^2/2)+(((0.15*B426*5))^3/6)+(((0.15*B426*5))^4/24)+(((0.15*B426*5))^5/120))),0))+IF(Inputs!$B$3&gt;=54,9*(C396=TRUE)*MIN(1,8*(1+Inputs!$B$34/100)*Q396),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99">
      <c r="A399">
        <f>Skills!A6</f>
        <v/>
      </c>
      <c r="B399">
        <f>Skills!B6</f>
        <v/>
      </c>
      <c r="C399">
        <f>Inputs!$B$3&gt;=66</f>
        <v/>
      </c>
      <c r="D399">
        <f>IF(Skills!C6=1,60+Inputs!$B$25+Inputs!$B$29,IF(Skills!C6=2,90+Inputs!$B$26+Inputs!$B$29,IF(Skills!C6=3,120+Inputs!$B$27+Inputs!$B$29,MAX(0,(Inputs!$B$3-100)*3)+Inputs!$B$28+Inputs!$B$29)))</f>
        <v/>
      </c>
      <c r="E399">
        <f>INDEX(FactorTable!$B$2:$Y$301, MATCH(ROUND(MIN(300,MAX(1,D399)),0), FactorTable!$A$2:$A$301,0), Skills!M6+1)</f>
        <v/>
      </c>
      <c r="F399">
        <f>IF(Skills!N6=TRUE,(Skills!L6/10)*(E399/1000),Skills!L6/10)+Skills!O6</f>
        <v/>
      </c>
      <c r="G399">
        <f>Skills!G6*IF(Skills!H6&gt;0,INT(IF(Inputs!$B$38="pvp",MIN(Skills!I6,15),Skills!I6)/Skills!H6+0.000000001),1)</f>
        <v/>
      </c>
      <c r="H399">
        <f>1-(1-Skills!J6/100)^Skills!K6</f>
        <v/>
      </c>
      <c r="I399" t="inlineStr">
        <is>
          <t>1</t>
        </is>
      </c>
      <c r="J399">
        <f>((Inputs!$B$6*(1+Inputs!$B$7/100))+(((Inputs!$B$12*(1+Inputs!$B$13/100))-(Inputs!$B$12*(1+Inputs!$B$13/100)))+0.25*(Inputs!$B$14-Inputs!$B$14))*(1+Inputs!$B$7/100))*(F399/100)</f>
        <v/>
      </c>
      <c r="K399">
        <f>J399*(1+((Inputs!$B$12*(1+Inputs!$B$13/100))*0.01+Inputs!$B$14*0.0025)/100)*(1+Inputs!$B$15/100)*(1+Inputs!$B$16/100)*(5000/(6000+Inputs!$B$42*(1-(100*(1-(1-(Inputs!$B$19+0)/100)*(1-CHOOSE(ArtifactsInput!$N$40+1,5,6,7,8,9,10)/100)^(ArtifactsInput!$M$40-ArtifactsInput!$M$40)))/100)))*(1+(((((1+(Inputs!$B$24+Summary!$B$21)/100)*(1.01))-1)*100-(Summary!$B$21))+((C419=TRUE)*(F419-Calc!F26))+B430)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+2.0*IF(C408=TRUE,F408,0)/100)*(1+(IF(Skills!A6="EIGHT_LEGS_EASTON",Inputs!$B$17+((C416=TRUE)*(F416-Calc!F23))+((C420=TRUE)*(F420-Calc!F27))+((IF(AND(Inputs!$B$38&lt;&gt;"pvp",Inputs!$B$43=0),1,IF(IF(Inputs!$B$38="pvp",15,Inputs!$B$43)-(B431)&lt;=0,1,MAX(0,IF(Inputs!$B$38="pvp",15,Inputs!$B$43)-MAX(5,B431))/(IF(Inputs!$B$38="pvp",15,Inputs!$B$43)-(B431))))*(IF(AND(ArtifactsInput!$M$42,((Inputs!$B$9+((C412=TRUE)*(F412-Calc!F19))+B424+(ArtifactsInput!$M$24-ArtifactsInput!$M$24)*CHOOSE(ArtifactsInput!$N$24+1,10,12,14,16,18,20)+IF(ArtifactsInput!$M$10,CHOOSE(ArtifactsInput!$N$10+1,15,18,21,24,27,30)*(IF(Inputs!$B$38="pvp",MIN(15,15)/15,IF(AND(Inputs!$B$38&lt;&gt;"pvp",Inputs!$B$43&gt;0),MIN(15,Inputs!$B$43)/(Inputs!$B$43),0))),0)))&gt;=100),MIN(100,((Inputs!$B$9+((C412=TRUE)*(F412-Calc!F19))+B424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431)&lt;=0,1,MAX(0,IF(Inputs!$B$38="pvp",15,Inputs!$B$43)-MAX(5,B431))/(IF(Inputs!$B$38="pvp",15,Inputs!$B$43)-(B431))))*IF(AND(ArtifactsInput!$M$42,((Inputs!$B$9+((C412=TRUE)*(F412-Calc!F19))+B424+(ArtifactsInput!$M$24-ArtifactsInput!$M$24)*CHOOSE(ArtifactsInput!$N$24+1,10,12,14,16,18,20)+IF(ArtifactsInput!$M$10,CHOOSE(ArtifactsInput!$N$10+1,15,18,21,24,27,30)*(IF(Inputs!$B$38="pvp",MIN(15,15)/15,IF(AND(Inputs!$B$38&lt;&gt;"pvp",Inputs!$B$43&gt;0),MIN(15,Inputs!$B$43)/(Inputs!$B$43),0))),0)))&gt;=100),CHOOSE(ArtifactsInput!$N$42+1,40,48,56,64,72,80),0))))/100)*((1+(((C410=TRUE)*F410*5/7)+((C417=TRUE)*(F417-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399)</f>
        <v/>
      </c>
      <c r="L399">
        <f>K399*(MIN(Inputs!$B$22+((C415=TRUE)*(F415-Calc!F22)),(Inputs!$B$23+0+(IF(ArtifactsInput!$M$15,CHOOSE(ArtifactsInput!$N$15+1,25,30,35,40,45,50)/100*(Inputs!$B$11-Inputs!$B$11),0))))/100+(Inputs!$B$23+0+(IF(ArtifactsInput!$M$15,CHOOSE(ArtifactsInput!$N$15+1,25,30,35,40,45,50)/100*(Inputs!$B$11-Inputs!$B$11),0)))/100)/2</f>
        <v/>
      </c>
      <c r="M399">
        <f>L399*(1+(Inputs!$B$10+((C418=TRUE)*(F418-Calc!F25))+B429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99">
        <f>L399*(1-MIN((Inputs!$B$9+((C412=TRUE)*(F412-Calc!F19))+B424+(ArtifactsInput!$M$24-ArtifactsInput!$M$24)*CHOOSE(ArtifactsInput!$N$24+1,10,12,14,16,18,20)+(IF(AND(Inputs!$B$38&lt;&gt;"pvp",Inputs!$B$43=0),1,IF(IF(Inputs!$B$38="pvp",15,Inputs!$B$43)-(B431)&lt;=0,1,MAX(0,IF(Inputs!$B$38="pvp",15,Inputs!$B$43)-MAX(5,B431))/(IF(Inputs!$B$38="pvp",15,Inputs!$B$43)-(B431))))*IF(AND(ArtifactsInput!$M$42,((Inputs!$B$9+((C412=TRUE)*(F412-Calc!F19))+B424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399*(MIN((Inputs!$B$9+((C412=TRUE)*(F412-Calc!F19))+B424+(ArtifactsInput!$M$24-ArtifactsInput!$M$24)*CHOOSE(ArtifactsInput!$N$24+1,10,12,14,16,18,20)+(IF(AND(Inputs!$B$38&lt;&gt;"pvp",Inputs!$B$43=0),1,IF(IF(Inputs!$B$38="pvp",15,Inputs!$B$43)-(B431)&lt;=0,1,MAX(0,IF(Inputs!$B$38="pvp",15,Inputs!$B$43)-MAX(5,B431))/(IF(Inputs!$B$38="pvp",15,Inputs!$B$43)-(B431))))*IF(AND(ArtifactsInput!$M$42,((Inputs!$B$9+((C412=TRUE)*(F412-Calc!F19))+B424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99">
        <f>(1-Summary!$B$11)*T399+Summary!$B$11*V399</f>
        <v/>
      </c>
      <c r="P399">
        <f>IF(B434=0,0,O399/B434)</f>
        <v/>
      </c>
      <c r="Q399">
        <f>IFERROR(1/(IF(Inputs!$B$38="pvp",15,MAX(0.1,Skills!D6-IF(TRUE=TRUE,Inputs!$B$32,0)))*(1-IF(AND(ArtifactsInput!$M$27,Inputs!$B$4="Chapter Hunt"),CHOOSE(ArtifactsInput!$N$27+1,20,24,28,32,36,40),0)/100)),0)</f>
        <v/>
      </c>
      <c r="R399">
        <f>IF(AND(Inputs!$B$38&lt;&gt;"pvp",Inputs!$B$43&gt;0),IF(MAX(0,Inputs!$B$43-B431)&lt;=0,0,(INT(MAX(0,Inputs!$B$43-B431)/(IF(Inputs!$B$38="pvp",15,MAX(0.1,Skills!D6-IF(TRUE=TRUE,Inputs!$B$32,0)))*(1-IF(AND(ArtifactsInput!$M$27,Inputs!$B$4="Chapter Hunt"),CHOOSE(ArtifactsInput!$N$27+1,20,24,28,32,36,40),0)/100)))+1)),0)</f>
        <v/>
      </c>
      <c r="S399">
        <f>IFERROR(O399/N399,0)</f>
        <v/>
      </c>
      <c r="T399">
        <f>IF(C399,(H399*N399*IF(AND(Inputs!$B$38&lt;&gt;"pvp",Inputs!$B$43&gt;0),((Skills!G6*((R399-1)*IF(Skills!H6&gt;0,INT(Skills!I6/Skills!H6+0.000000001),1)+IF(Skills!H6&gt;0,INT(MIN(Skills!I6,MAX(0,MAX(0,Inputs!$B$43-B431)-((R399-1)*(IF(Inputs!$B$38="pvp",15,MAX(0.1,Skills!D6-IF(TRUE=TRUE,Inputs!$B$32,0)))*(1-IF(AND(ArtifactsInput!$M$27,Inputs!$B$4="Chapter Hunt"),CHOOSE(ArtifactsInput!$N$27+1,20,24,28,32,36,40),0)/100)))))/Skills!H6+0.000000001),1)))/Inputs!$B$43),G399*Q399))*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Hunt"),CHOOSE(ArtifactsInput!$N$35+1,15,18,21,24,27,30)*(1-EXP(-(0.2*B426)*5)),0)+IF(AND(ArtifactsInput!$M$22,Inputs!$B$4&lt;&gt;"Chapter Hunt"),CHOOSE(ArtifactsInput!$N$22+1,10,12,14,16,18,20)*((0*(((0.15*B426*5))^0/1)+1*(((0.15*B426*5))^1/1)+2*(((0.15*B426*5))^2/2)+3*(((0.15*B426*5))^3/6)+4*(((0.15*B426*5))^4/24)+5*(((0.15*B426*5))^5/120))/((((0.15*B426*5))^0/1)+(((0.15*B426*5))^1/1)+(((0.15*B426*5))^2/2)+(((0.15*B426*5))^3/6)+(((0.15*B426*5))^4/24)+(((0.15*B426*5))^5/120))),0))+IF(Inputs!$B$3&gt;=54,9*(C396=TRUE)*MIN(1,8*(1+Inputs!$B$34/100)*Q396)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399*(1-MIN(100,(Inputs!$B$9+((C412=TRUE)*(F412-Calc!F19))+B424+(ArtifactsInput!$M$24-ArtifactsInput!$M$24)*CHOOSE(ArtifactsInput!$N$24+1,10,12,14,16,18,20)+(IF(AND(Inputs!$B$38&lt;&gt;"pvp",Inputs!$B$43=0),1,IF(IF(Inputs!$B$38="pvp",15,Inputs!$B$43)-(B431)&lt;=0,1,MAX(0,IF(Inputs!$B$38="pvp",15,Inputs!$B$43)-MAX(5,B431))/(IF(Inputs!$B$38="pvp",15,Inputs!$B$43)-(B431))))*IF(AND(ArtifactsInput!$M$42,((Inputs!$B$9+((C412=TRUE)*(F412-Calc!F19))+B424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399*(MIN(100,(Inputs!$B$9+((C412=TRUE)*(F412-Calc!F19))+B424+(ArtifactsInput!$M$24-ArtifactsInput!$M$24)*CHOOSE(ArtifactsInput!$N$24+1,10,12,14,16,18,20)+(IF(AND(Inputs!$B$38&lt;&gt;"pvp",Inputs!$B$43=0),1,IF(IF(Inputs!$B$38="pvp",15,Inputs!$B$43)-(B431)&lt;=0,1,MAX(0,IF(Inputs!$B$38="pvp",15,Inputs!$B$43)-MAX(5,B431))/(IF(Inputs!$B$38="pvp",15,Inputs!$B$43)-(B431))))*IF(AND(ArtifactsInput!$M$42,((Inputs!$B$9+((C412=TRUE)*(F412-Calc!F19))+B424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399*(1-MIN(100,(Inputs!$B$9+((C412=TRUE)*(F412-Calc!F19))+B424+(ArtifactsInput!$M$24-ArtifactsInput!$M$24)*CHOOSE(ArtifactsInput!$N$24+1,10,12,14,16,18,20)+(IF(AND(Inputs!$B$38&lt;&gt;"pvp",Inputs!$B$43=0),1,IF(IF(Inputs!$B$38="pvp",15,Inputs!$B$43)-(B431)&lt;=0,1,MAX(0,IF(Inputs!$B$38="pvp",15,Inputs!$B$43)-MAX(5,B431))/(IF(Inputs!$B$38="pvp",15,Inputs!$B$43)-(B431))))*IF(AND(ArtifactsInput!$M$42,((Inputs!$B$9+((C412=TRUE)*(F412-Calc!F19))+B424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399*(MIN(100,(Inputs!$B$9+((C412=TRUE)*(F412-Calc!F19))+B424+(ArtifactsInput!$M$24-ArtifactsInput!$M$24)*CHOOSE(ArtifactsInput!$N$24+1,10,12,14,16,18,20)+(IF(AND(Inputs!$B$38&lt;&gt;"pvp",Inputs!$B$43=0),1,IF(IF(Inputs!$B$38="pvp",15,Inputs!$B$43)-(B431)&lt;=0,1,MAX(0,IF(Inputs!$B$38="pvp",15,Inputs!$B$43)-MAX(5,B431))/(IF(Inputs!$B$38="pvp",15,Inputs!$B$43)-(B431))))*IF(AND(ArtifactsInput!$M$42,((Inputs!$B$9+((C412=TRUE)*(F412-Calc!F19))+B424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99">
        <f>IF(C399,(H399*N399*IF(AND(Inputs!$B$38&lt;&gt;"pvp",Inputs!$B$43&gt;0),((Skills!G6*((R399-1)*IF(Skills!H6&gt;0,INT(Skills!I6/Skills!H6+0.000000001),1)+IF(Skills!H6&gt;0,INT(MIN(Skills!I6,MAX(0,MAX(0,Inputs!$B$43-B431)-((R399-1)*(IF(Inputs!$B$38="pvp",15,MAX(0.1,Skills!D6-IF(TRUE=TRUE,Inputs!$B$32,0)))*(1-IF(AND(ArtifactsInput!$M$27,Inputs!$B$4="Chapter Hunt"),CHOOSE(ArtifactsInput!$N$27+1,20,24,28,32,36,40),0)/100)))))/Skills!H6+0.000000001),1)))/Inputs!$B$43),G399*Q399))*IF(Inputs!$B$38="pvp",1,(1+(Inputs!$B$21+Skills!Q6+(IF(ArtifactsInput!$M$33,CHOOSE(ArtifactsInput!$N$33+1,30,36,42,48,54,60),0))+(IF(AND(ArtifactsInput!$M$35,Inputs!$B$4&lt;&gt;"Chapter Hunt"),CHOOSE(ArtifactsInput!$N$35+1,15,18,21,24,27,30)*(1-EXP(-(0.2*B426)*5)),0)+IF(AND(ArtifactsInput!$M$22,Inputs!$B$4&lt;&gt;"Chapter Hunt"),CHOOSE(ArtifactsInput!$N$22+1,10,12,14,16,18,20)*((0*(((0.15*B426*5))^0/1)+1*(((0.15*B426*5))^1/1)+2*(((0.15*B426*5))^2/2)+3*(((0.15*B426*5))^3/6)+4*(((0.15*B426*5))^4/24)+5*(((0.15*B426*5))^5/120))/((((0.15*B426*5))^0/1)+(((0.15*B426*5))^1/1)+(((0.15*B426*5))^2/2)+(((0.15*B426*5))^3/6)+(((0.15*B426*5))^4/24)+(((0.15*B426*5))^5/120))),0))+IF(Inputs!$B$3&gt;=54,9*(C396=TRUE)*MIN(1,8*(1+Inputs!$B$34/100)*Q396),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00">
      <c r="A400">
        <f>Skills!A7</f>
        <v/>
      </c>
      <c r="B400">
        <f>Skills!B7</f>
        <v/>
      </c>
      <c r="C400">
        <f>Inputs!$B$3&gt;=63</f>
        <v/>
      </c>
      <c r="D400">
        <f>IF(Skills!C7=1,60+Inputs!$B$25+Inputs!$B$29,IF(Skills!C7=2,90+Inputs!$B$26+Inputs!$B$29,IF(Skills!C7=3,120+Inputs!$B$27+Inputs!$B$29,MAX(0,(Inputs!$B$3-100)*3)+Inputs!$B$28+Inputs!$B$29)))</f>
        <v/>
      </c>
      <c r="E400">
        <f>INDEX(FactorTable!$B$2:$Y$301, MATCH(ROUND(MIN(300,MAX(1,D400)),0), FactorTable!$A$2:$A$301,0), Skills!M7+1)</f>
        <v/>
      </c>
      <c r="F400">
        <f>IF(Skills!N7=TRUE,(Skills!L7/10)*(E400/1000),Skills!L7/10)+Skills!O7</f>
        <v/>
      </c>
      <c r="G400">
        <f>Skills!G7*IF(Skills!H7&gt;0,INT(IF(Inputs!$B$38="pvp",MIN(Skills!I7,15),Skills!I7)/Skills!H7+0.000000001),1)</f>
        <v/>
      </c>
      <c r="H400">
        <f>1-(1-Skills!J7/100)^Skills!K7</f>
        <v/>
      </c>
      <c r="I400" t="inlineStr">
        <is>
          <t>1</t>
        </is>
      </c>
      <c r="J400">
        <f>((Inputs!$B$6*(1+Inputs!$B$7/100))+(((Inputs!$B$12*(1+Inputs!$B$13/100))-(Inputs!$B$12*(1+Inputs!$B$13/100)))+0.25*(Inputs!$B$14-Inputs!$B$14))*(1+Inputs!$B$7/100))*(F400/100)</f>
        <v/>
      </c>
      <c r="K400">
        <f>J400*(1+((Inputs!$B$12*(1+Inputs!$B$13/100))*0.01+Inputs!$B$14*0.0025)/100)*(1+Inputs!$B$15/100)*(1+Inputs!$B$16/100)*(5000/(6000+Inputs!$B$42*(1-(100*(1-(1-(Inputs!$B$19+0)/100)*(1-CHOOSE(ArtifactsInput!$N$40+1,5,6,7,8,9,10)/100)^(ArtifactsInput!$M$40-ArtifactsInput!$M$40)))/100)))*(1+(((((1+(Inputs!$B$24+Summary!$B$21)/100)*(1.01))-1)*100-(Summary!$B$21))+((C419=TRUE)*(F419-Calc!F26))+B430)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408=TRUE,F408,0)/100)*(1+(IF(Skills!A7="EIGHT_LEGS_EASTON",Inputs!$B$17+((C416=TRUE)*(F416-Calc!F23))+((C420=TRUE)*(F420-Calc!F27))+((IF(AND(Inputs!$B$38&lt;&gt;"pvp",Inputs!$B$43=0),1,IF(IF(Inputs!$B$38="pvp",15,Inputs!$B$43)-(B431)&lt;=0,1,MAX(0,IF(Inputs!$B$38="pvp",15,Inputs!$B$43)-MAX(5,B431))/(IF(Inputs!$B$38="pvp",15,Inputs!$B$43)-(B431))))*(IF(AND(ArtifactsInput!$M$42,((Inputs!$B$9+((C412=TRUE)*(F412-Calc!F19))+B424+(ArtifactsInput!$M$24-ArtifactsInput!$M$24)*CHOOSE(ArtifactsInput!$N$24+1,10,12,14,16,18,20)+IF(ArtifactsInput!$M$10,CHOOSE(ArtifactsInput!$N$10+1,15,18,21,24,27,30)*(IF(Inputs!$B$38="pvp",MIN(15,15)/15,IF(AND(Inputs!$B$38&lt;&gt;"pvp",Inputs!$B$43&gt;0),MIN(15,Inputs!$B$43)/(Inputs!$B$43),0))),0)))&gt;=100),MIN(100,((Inputs!$B$9+((C412=TRUE)*(F412-Calc!F19))+B424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431)&lt;=0,1,MAX(0,IF(Inputs!$B$38="pvp",15,Inputs!$B$43)-MAX(5,B431))/(IF(Inputs!$B$38="pvp",15,Inputs!$B$43)-(B431))))*IF(AND(ArtifactsInput!$M$42,((Inputs!$B$9+((C412=TRUE)*(F412-Calc!F19))+B424+(ArtifactsInput!$M$24-ArtifactsInput!$M$24)*CHOOSE(ArtifactsInput!$N$24+1,10,12,14,16,18,20)+IF(ArtifactsInput!$M$10,CHOOSE(ArtifactsInput!$N$10+1,15,18,21,24,27,30)*(IF(Inputs!$B$38="pvp",MIN(15,15)/15,IF(AND(Inputs!$B$38&lt;&gt;"pvp",Inputs!$B$43&gt;0),MIN(15,Inputs!$B$43)/(Inputs!$B$43),0))),0)))&gt;=100),CHOOSE(ArtifactsInput!$N$42+1,40,48,56,64,72,80),0))))/100)*((1+(((C410=TRUE)*F410*5/7)+((C417=TRUE)*(F417-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400)</f>
        <v/>
      </c>
      <c r="L400">
        <f>K400*(MIN(Inputs!$B$22+((C415=TRUE)*(F415-Calc!F22)),(Inputs!$B$23+0+(IF(ArtifactsInput!$M$15,CHOOSE(ArtifactsInput!$N$15+1,25,30,35,40,45,50)/100*(Inputs!$B$11-Inputs!$B$11),0))))/100+(Inputs!$B$23+0+(IF(ArtifactsInput!$M$15,CHOOSE(ArtifactsInput!$N$15+1,25,30,35,40,45,50)/100*(Inputs!$B$11-Inputs!$B$11),0)))/100)/2</f>
        <v/>
      </c>
      <c r="M400">
        <f>L400*(1+(Inputs!$B$10+((C418=TRUE)*(F418-Calc!F25))+B429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00">
        <f>L400*(1-MIN((Inputs!$B$9+((C412=TRUE)*(F412-Calc!F19))+B424+(ArtifactsInput!$M$24-ArtifactsInput!$M$24)*CHOOSE(ArtifactsInput!$N$24+1,10,12,14,16,18,20)+(IF(AND(Inputs!$B$38&lt;&gt;"pvp",Inputs!$B$43=0),1,IF(IF(Inputs!$B$38="pvp",15,Inputs!$B$43)-(B431)&lt;=0,1,MAX(0,IF(Inputs!$B$38="pvp",15,Inputs!$B$43)-MAX(5,B431))/(IF(Inputs!$B$38="pvp",15,Inputs!$B$43)-(B431))))*IF(AND(ArtifactsInput!$M$42,((Inputs!$B$9+((C412=TRUE)*(F412-Calc!F19))+B424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400*(MIN((Inputs!$B$9+((C412=TRUE)*(F412-Calc!F19))+B424+(ArtifactsInput!$M$24-ArtifactsInput!$M$24)*CHOOSE(ArtifactsInput!$N$24+1,10,12,14,16,18,20)+(IF(AND(Inputs!$B$38&lt;&gt;"pvp",Inputs!$B$43=0),1,IF(IF(Inputs!$B$38="pvp",15,Inputs!$B$43)-(B431)&lt;=0,1,MAX(0,IF(Inputs!$B$38="pvp",15,Inputs!$B$43)-MAX(5,B431))/(IF(Inputs!$B$38="pvp",15,Inputs!$B$43)-(B431))))*IF(AND(ArtifactsInput!$M$42,((Inputs!$B$9+((C412=TRUE)*(F412-Calc!F19))+B424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00">
        <f>(1-Summary!$B$11)*T400+Summary!$B$11*V400</f>
        <v/>
      </c>
      <c r="P400">
        <f>IF(B434=0,0,O400/B434)</f>
        <v/>
      </c>
      <c r="Q400">
        <f>IFERROR(1/(IF(Inputs!$B$38="pvp",15,MAX(0.1,Skills!D7-IF(TRUE=TRUE,Inputs!$B$32,0)))*(1-IF(AND(ArtifactsInput!$M$27,Inputs!$B$4="Chapter Hunt"),CHOOSE(ArtifactsInput!$N$27+1,20,24,28,32,36,40),0)/100)),0)</f>
        <v/>
      </c>
      <c r="R400">
        <f>IF(AND(Inputs!$B$38&lt;&gt;"pvp",Inputs!$B$43&gt;0),IF(MAX(0,Inputs!$B$43-B431)&lt;=0,0,(INT(MAX(0,Inputs!$B$43-B431)/(IF(Inputs!$B$38="pvp",15,MAX(0.1,Skills!D7-IF(TRUE=TRUE,Inputs!$B$32,0)))*(1-IF(AND(ArtifactsInput!$M$27,Inputs!$B$4="Chapter Hunt"),CHOOSE(ArtifactsInput!$N$27+1,20,24,28,32,36,40),0)/100)))+1)),0)</f>
        <v/>
      </c>
      <c r="S400">
        <f>IFERROR(O400/N400,0)</f>
        <v/>
      </c>
      <c r="T400">
        <f>IF(C400,(H400*N400*IF(AND(Inputs!$B$38&lt;&gt;"pvp",Inputs!$B$43&gt;0),((Skills!G7*((R400-1)*IF(Skills!H7&gt;0,INT(Skills!I7/Skills!H7+0.000000001),1)+IF(Skills!H7&gt;0,INT(MIN(Skills!I7,MAX(0,MAX(0,Inputs!$B$43-B431)-((R400-1)*(IF(Inputs!$B$38="pvp",15,MAX(0.1,Skills!D7-IF(TRUE=TRUE,Inputs!$B$32,0)))*(1-IF(AND(ArtifactsInput!$M$27,Inputs!$B$4="Chapter Hunt"),CHOOSE(ArtifactsInput!$N$27+1,20,24,28,32,36,40),0)/100)))))/Skills!H7+0.000000001),1)))/Inputs!$B$43),G400*Q400))*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Hunt"),CHOOSE(ArtifactsInput!$N$35+1,15,18,21,24,27,30)*(1-EXP(-(0.2*B426)*5)),0)+IF(AND(ArtifactsInput!$M$22,Inputs!$B$4&lt;&gt;"Chapter Hunt"),CHOOSE(ArtifactsInput!$N$22+1,10,12,14,16,18,20)*((0*(((0.15*B426*5))^0/1)+1*(((0.15*B426*5))^1/1)+2*(((0.15*B426*5))^2/2)+3*(((0.15*B426*5))^3/6)+4*(((0.15*B426*5))^4/24)+5*(((0.15*B426*5))^5/120))/((((0.15*B426*5))^0/1)+(((0.15*B426*5))^1/1)+(((0.15*B426*5))^2/2)+(((0.15*B426*5))^3/6)+(((0.15*B426*5))^4/24)+(((0.15*B426*5))^5/120))),0))+IF(Inputs!$B$3&gt;=54,9*(C396=TRUE)*MIN(1,8*(1+Inputs!$B$34/100)*Q396)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400*(1-MIN(100,(Inputs!$B$9+((C412=TRUE)*(F412-Calc!F19))+B424+(ArtifactsInput!$M$24-ArtifactsInput!$M$24)*CHOOSE(ArtifactsInput!$N$24+1,10,12,14,16,18,20)+(IF(AND(Inputs!$B$38&lt;&gt;"pvp",Inputs!$B$43=0),1,IF(IF(Inputs!$B$38="pvp",15,Inputs!$B$43)-(B431)&lt;=0,1,MAX(0,IF(Inputs!$B$38="pvp",15,Inputs!$B$43)-MAX(5,B431))/(IF(Inputs!$B$38="pvp",15,Inputs!$B$43)-(B431))))*IF(AND(ArtifactsInput!$M$42,((Inputs!$B$9+((C412=TRUE)*(F412-Calc!F19))+B424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400*(MIN(100,(Inputs!$B$9+((C412=TRUE)*(F412-Calc!F19))+B424+(ArtifactsInput!$M$24-ArtifactsInput!$M$24)*CHOOSE(ArtifactsInput!$N$24+1,10,12,14,16,18,20)+(IF(AND(Inputs!$B$38&lt;&gt;"pvp",Inputs!$B$43=0),1,IF(IF(Inputs!$B$38="pvp",15,Inputs!$B$43)-(B431)&lt;=0,1,MAX(0,IF(Inputs!$B$38="pvp",15,Inputs!$B$43)-MAX(5,B431))/(IF(Inputs!$B$38="pvp",15,Inputs!$B$43)-(B431))))*IF(AND(ArtifactsInput!$M$42,((Inputs!$B$9+((C412=TRUE)*(F412-Calc!F19))+B424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400*(1-MIN(100,(Inputs!$B$9+((C412=TRUE)*(F412-Calc!F19))+B424+(ArtifactsInput!$M$24-ArtifactsInput!$M$24)*CHOOSE(ArtifactsInput!$N$24+1,10,12,14,16,18,20)+(IF(AND(Inputs!$B$38&lt;&gt;"pvp",Inputs!$B$43=0),1,IF(IF(Inputs!$B$38="pvp",15,Inputs!$B$43)-(B431)&lt;=0,1,MAX(0,IF(Inputs!$B$38="pvp",15,Inputs!$B$43)-MAX(5,B431))/(IF(Inputs!$B$38="pvp",15,Inputs!$B$43)-(B431))))*IF(AND(ArtifactsInput!$M$42,((Inputs!$B$9+((C412=TRUE)*(F412-Calc!F19))+B424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400*(MIN(100,(Inputs!$B$9+((C412=TRUE)*(F412-Calc!F19))+B424+(ArtifactsInput!$M$24-ArtifactsInput!$M$24)*CHOOSE(ArtifactsInput!$N$24+1,10,12,14,16,18,20)+(IF(AND(Inputs!$B$38&lt;&gt;"pvp",Inputs!$B$43=0),1,IF(IF(Inputs!$B$38="pvp",15,Inputs!$B$43)-(B431)&lt;=0,1,MAX(0,IF(Inputs!$B$38="pvp",15,Inputs!$B$43)-MAX(5,B431))/(IF(Inputs!$B$38="pvp",15,Inputs!$B$43)-(B431))))*IF(AND(ArtifactsInput!$M$42,((Inputs!$B$9+((C412=TRUE)*(F412-Calc!F19))+B424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400">
        <f>IF(C400,(H400*N400*IF(AND(Inputs!$B$38&lt;&gt;"pvp",Inputs!$B$43&gt;0),((Skills!G7*((R400-1)*IF(Skills!H7&gt;0,INT(Skills!I7/Skills!H7+0.000000001),1)+IF(Skills!H7&gt;0,INT(MIN(Skills!I7,MAX(0,MAX(0,Inputs!$B$43-B431)-((R400-1)*(IF(Inputs!$B$38="pvp",15,MAX(0.1,Skills!D7-IF(TRUE=TRUE,Inputs!$B$32,0)))*(1-IF(AND(ArtifactsInput!$M$27,Inputs!$B$4="Chapter Hunt"),CHOOSE(ArtifactsInput!$N$27+1,20,24,28,32,36,40),0)/100)))))/Skills!H7+0.000000001),1)))/Inputs!$B$43),G400*Q400))*IF(Inputs!$B$38="pvp",1,(1+(Inputs!$B$21+Skills!Q7+(IF(ArtifactsInput!$M$33,CHOOSE(ArtifactsInput!$N$33+1,30,36,42,48,54,60),0))+(IF(AND(ArtifactsInput!$M$35,Inputs!$B$4&lt;&gt;"Chapter Hunt"),CHOOSE(ArtifactsInput!$N$35+1,15,18,21,24,27,30)*(1-EXP(-(0.2*B426)*5)),0)+IF(AND(ArtifactsInput!$M$22,Inputs!$B$4&lt;&gt;"Chapter Hunt"),CHOOSE(ArtifactsInput!$N$22+1,10,12,14,16,18,20)*((0*(((0.15*B426*5))^0/1)+1*(((0.15*B426*5))^1/1)+2*(((0.15*B426*5))^2/2)+3*(((0.15*B426*5))^3/6)+4*(((0.15*B426*5))^4/24)+5*(((0.15*B426*5))^5/120))/((((0.15*B426*5))^0/1)+(((0.15*B426*5))^1/1)+(((0.15*B426*5))^2/2)+(((0.15*B426*5))^3/6)+(((0.15*B426*5))^4/24)+(((0.15*B426*5))^5/120))),0))+IF(Inputs!$B$3&gt;=54,9*(C396=TRUE)*MIN(1,8*(1+Inputs!$B$34/100)*Q396),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01">
      <c r="A401">
        <f>Skills!A8</f>
        <v/>
      </c>
      <c r="B401">
        <f>Skills!B8</f>
        <v/>
      </c>
      <c r="C401">
        <f>Inputs!$B$3&gt;=103</f>
        <v/>
      </c>
      <c r="D401">
        <f>IF(Skills!C8=1,60+Inputs!$B$25+Inputs!$B$29,IF(Skills!C8=2,90+Inputs!$B$26+Inputs!$B$29,IF(Skills!C8=3,120+Inputs!$B$27+Inputs!$B$29,MAX(0,(Inputs!$B$3-100)*3)+Inputs!$B$28+Inputs!$B$29)))</f>
        <v/>
      </c>
      <c r="E401">
        <f>INDEX(FactorTable!$B$2:$Y$301, MATCH(ROUND(MIN(300,MAX(1,D401)),0), FactorTable!$A$2:$A$301,0), Skills!M8+1)</f>
        <v/>
      </c>
      <c r="F401">
        <f>IF(Skills!N8=TRUE,(Skills!L8/10)*(E401/1000),Skills!L8/10)+Skills!O8</f>
        <v/>
      </c>
      <c r="G401">
        <f>Skills!G8*IF(Skills!H8&gt;0,INT(IF(Inputs!$B$38="pvp",MIN(Skills!I8,15),Skills!I8)/Skills!H8+0.000000001),1)</f>
        <v/>
      </c>
      <c r="H401">
        <f>1-(1-Skills!J8/100)^Skills!K8</f>
        <v/>
      </c>
      <c r="I401" t="inlineStr">
        <is>
          <t>1</t>
        </is>
      </c>
      <c r="J401">
        <f>((Inputs!$B$6*(1+Inputs!$B$7/100))+(((Inputs!$B$12*(1+Inputs!$B$13/100))-(Inputs!$B$12*(1+Inputs!$B$13/100)))+0.25*(Inputs!$B$14-Inputs!$B$14))*(1+Inputs!$B$7/100))*(F401/100)</f>
        <v/>
      </c>
      <c r="K401">
        <f>J401*(1+((Inputs!$B$12*(1+Inputs!$B$13/100))*0.01+Inputs!$B$14*0.0025)/100)*(1+Inputs!$B$15/100)*(1+Inputs!$B$16/100)*(5000/(6000+Inputs!$B$42*(1-(100*(1-(1-(Inputs!$B$19+0)/100)*(1-CHOOSE(ArtifactsInput!$N$40+1,5,6,7,8,9,10)/100)^(ArtifactsInput!$M$40-ArtifactsInput!$M$40)))/100)))*(1+(((((1+(Inputs!$B$24+Summary!$B$21)/100)*(1.01))-1)*100-(Summary!$B$21))+((C419=TRUE)*(F419-Calc!F26))+B430)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IGHT_LEGS_EASTON",Inputs!$B$17+((C416=TRUE)*(F416-Calc!F23))+((C420=TRUE)*(F420-Calc!F27))+((IF(AND(Inputs!$B$38&lt;&gt;"pvp",Inputs!$B$43=0),1,IF(IF(Inputs!$B$38="pvp",15,Inputs!$B$43)-(B431)&lt;=0,1,MAX(0,IF(Inputs!$B$38="pvp",15,Inputs!$B$43)-MAX(5,B431))/(IF(Inputs!$B$38="pvp",15,Inputs!$B$43)-(B431))))*(IF(AND(ArtifactsInput!$M$42,((Inputs!$B$9+((C412=TRUE)*(F412-Calc!F19))+B424+(ArtifactsInput!$M$24-ArtifactsInput!$M$24)*CHOOSE(ArtifactsInput!$N$24+1,10,12,14,16,18,20)+IF(ArtifactsInput!$M$10,CHOOSE(ArtifactsInput!$N$10+1,15,18,21,24,27,30)*(IF(Inputs!$B$38="pvp",MIN(15,15)/15,IF(AND(Inputs!$B$38&lt;&gt;"pvp",Inputs!$B$43&gt;0),MIN(15,Inputs!$B$43)/(Inputs!$B$43),0))),0)))&gt;=100),MIN(100,((Inputs!$B$9+((C412=TRUE)*(F412-Calc!F19))+B424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431)&lt;=0,1,MAX(0,IF(Inputs!$B$38="pvp",15,Inputs!$B$43)-MAX(5,B431))/(IF(Inputs!$B$38="pvp",15,Inputs!$B$43)-(B431))))*IF(AND(ArtifactsInput!$M$42,((Inputs!$B$9+((C412=TRUE)*(F412-Calc!F19))+B424+(ArtifactsInput!$M$24-ArtifactsInput!$M$24)*CHOOSE(ArtifactsInput!$N$24+1,10,12,14,16,18,20)+IF(ArtifactsInput!$M$10,CHOOSE(ArtifactsInput!$N$10+1,15,18,21,24,27,30)*(IF(Inputs!$B$38="pvp",MIN(15,15)/15,IF(AND(Inputs!$B$38&lt;&gt;"pvp",Inputs!$B$43&gt;0),MIN(15,Inputs!$B$43)/(Inputs!$B$43),0))),0)))&gt;=100),CHOOSE(ArtifactsInput!$N$42+1,40,48,56,64,72,80),0))))/100)*((1+(((C410=TRUE)*F410*5/7)+((C417=TRUE)*(F417-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401)</f>
        <v/>
      </c>
      <c r="L401">
        <f>K401*(MIN(Inputs!$B$22+((C415=TRUE)*(F415-Calc!F22)),(Inputs!$B$23+0+(IF(ArtifactsInput!$M$15,CHOOSE(ArtifactsInput!$N$15+1,25,30,35,40,45,50)/100*(Inputs!$B$11-Inputs!$B$11),0))))/100+(Inputs!$B$23+0+(IF(ArtifactsInput!$M$15,CHOOSE(ArtifactsInput!$N$15+1,25,30,35,40,45,50)/100*(Inputs!$B$11-Inputs!$B$11),0)))/100)/2</f>
        <v/>
      </c>
      <c r="M401">
        <f>L401*(1+(Inputs!$B$10+((C418=TRUE)*(F418-Calc!F25))+B429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01">
        <f>L401*(1-MIN((Inputs!$B$9+((C412=TRUE)*(F412-Calc!F19))+B424+(ArtifactsInput!$M$24-ArtifactsInput!$M$24)*CHOOSE(ArtifactsInput!$N$24+1,10,12,14,16,18,20)+(IF(AND(Inputs!$B$38&lt;&gt;"pvp",Inputs!$B$43=0),1,IF(IF(Inputs!$B$38="pvp",15,Inputs!$B$43)-(B431)&lt;=0,1,MAX(0,IF(Inputs!$B$38="pvp",15,Inputs!$B$43)-MAX(5,B431))/(IF(Inputs!$B$38="pvp",15,Inputs!$B$43)-(B431))))*IF(AND(ArtifactsInput!$M$42,((Inputs!$B$9+((C412=TRUE)*(F412-Calc!F19))+B424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401*(MIN((Inputs!$B$9+((C412=TRUE)*(F412-Calc!F19))+B424+(ArtifactsInput!$M$24-ArtifactsInput!$M$24)*CHOOSE(ArtifactsInput!$N$24+1,10,12,14,16,18,20)+(IF(AND(Inputs!$B$38&lt;&gt;"pvp",Inputs!$B$43=0),1,IF(IF(Inputs!$B$38="pvp",15,Inputs!$B$43)-(B431)&lt;=0,1,MAX(0,IF(Inputs!$B$38="pvp",15,Inputs!$B$43)-MAX(5,B431))/(IF(Inputs!$B$38="pvp",15,Inputs!$B$43)-(B431))))*IF(AND(ArtifactsInput!$M$42,((Inputs!$B$9+((C412=TRUE)*(F412-Calc!F19))+B424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01">
        <f>(1-Summary!$B$11)*T401+Summary!$B$11*V401</f>
        <v/>
      </c>
      <c r="P401">
        <f>IF(B434=0,0,O401/B434)</f>
        <v/>
      </c>
      <c r="Q401">
        <f>IFERROR(1/((IF(Inputs!$B$38="pvp",15,MAX(0.1,Skills!D8-IF(TRUE=TRUE,Inputs!$B$32,0)))*(1-IF(AND(ArtifactsInput!$M$27,Inputs!$B$4="Chapter Hunt"),CHOOSE(ArtifactsInput!$N$27+1,20,24,28,32,36,40),0)/100))/B435),0)</f>
        <v/>
      </c>
      <c r="R401">
        <f>IF(AND(Inputs!$B$38&lt;&gt;"pvp",Inputs!$B$43&gt;0),IF(MAX(0,Inputs!$B$43-B431)&lt;=0,0,(INT(MAX(0,Inputs!$B$43-B431)/((IF(Inputs!$B$38="pvp",15,MAX(0.1,Skills!D8-IF(TRUE=TRUE,Inputs!$B$32,0)))*(1-IF(AND(ArtifactsInput!$M$27,Inputs!$B$4="Chapter Hunt"),CHOOSE(ArtifactsInput!$N$27+1,20,24,28,32,36,40),0)/100))/B435))+1)),0)</f>
        <v/>
      </c>
      <c r="S401">
        <f>IFERROR(O401/N401,0)</f>
        <v/>
      </c>
      <c r="T401">
        <f>IF(C401,(H401*N401*IF(AND(Inputs!$B$38&lt;&gt;"pvp",Inputs!$B$43&gt;0),((Skills!G8*((R401-1)*IF(Skills!H8&gt;0,INT(Skills!I8/Skills!H8+0.000000001),1)+IF(Skills!H8&gt;0,INT(MIN(Skills!I8,MAX(0,MAX(0,Inputs!$B$43-B431)-((R401-1)*((IF(Inputs!$B$38="pvp",15,MAX(0.1,Skills!D8-IF(TRUE=TRUE,Inputs!$B$32,0)))*(1-IF(AND(ArtifactsInput!$M$27,Inputs!$B$4="Chapter Hunt"),CHOOSE(ArtifactsInput!$N$27+1,20,24,28,32,36,40),0)/100))/B435))))/Skills!H8+0.000000001),1)))/Inputs!$B$43),G401*Q401))*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Hunt"),CHOOSE(ArtifactsInput!$N$35+1,15,18,21,24,27,30)*(1-EXP(-(0.2*B426)*5)),0)+IF(AND(ArtifactsInput!$M$22,Inputs!$B$4&lt;&gt;"Chapter Hunt"),CHOOSE(ArtifactsInput!$N$22+1,10,12,14,16,18,20)*((0*(((0.15*B426*5))^0/1)+1*(((0.15*B426*5))^1/1)+2*(((0.15*B426*5))^2/2)+3*(((0.15*B426*5))^3/6)+4*(((0.15*B426*5))^4/24)+5*(((0.15*B426*5))^5/120))/((((0.15*B426*5))^0/1)+(((0.15*B426*5))^1/1)+(((0.15*B426*5))^2/2)+(((0.15*B426*5))^3/6)+(((0.15*B426*5))^4/24)+(((0.15*B426*5))^5/120))),0))+IF(Inputs!$B$3&gt;=54,9*(C396=TRUE)*MIN(1,8*(1+Inputs!$B$34/100)*Q396)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401*(1-MIN(100,(Inputs!$B$9+((C412=TRUE)*(F412-Calc!F19))+B424+(ArtifactsInput!$M$24-ArtifactsInput!$M$24)*CHOOSE(ArtifactsInput!$N$24+1,10,12,14,16,18,20)+(IF(AND(Inputs!$B$38&lt;&gt;"pvp",Inputs!$B$43=0),1,IF(IF(Inputs!$B$38="pvp",15,Inputs!$B$43)-(B431)&lt;=0,1,MAX(0,IF(Inputs!$B$38="pvp",15,Inputs!$B$43)-MAX(5,B431))/(IF(Inputs!$B$38="pvp",15,Inputs!$B$43)-(B431))))*IF(AND(ArtifactsInput!$M$42,((Inputs!$B$9+((C412=TRUE)*(F412-Calc!F19))+B424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401*(MIN(100,(Inputs!$B$9+((C412=TRUE)*(F412-Calc!F19))+B424+(ArtifactsInput!$M$24-ArtifactsInput!$M$24)*CHOOSE(ArtifactsInput!$N$24+1,10,12,14,16,18,20)+(IF(AND(Inputs!$B$38&lt;&gt;"pvp",Inputs!$B$43=0),1,IF(IF(Inputs!$B$38="pvp",15,Inputs!$B$43)-(B431)&lt;=0,1,MAX(0,IF(Inputs!$B$38="pvp",15,Inputs!$B$43)-MAX(5,B431))/(IF(Inputs!$B$38="pvp",15,Inputs!$B$43)-(B431))))*IF(AND(ArtifactsInput!$M$42,((Inputs!$B$9+((C412=TRUE)*(F412-Calc!F19))+B424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401*(1-MIN(100,(Inputs!$B$9+((C412=TRUE)*(F412-Calc!F19))+B424+(ArtifactsInput!$M$24-ArtifactsInput!$M$24)*CHOOSE(ArtifactsInput!$N$24+1,10,12,14,16,18,20)+(IF(AND(Inputs!$B$38&lt;&gt;"pvp",Inputs!$B$43=0),1,IF(IF(Inputs!$B$38="pvp",15,Inputs!$B$43)-(B431)&lt;=0,1,MAX(0,IF(Inputs!$B$38="pvp",15,Inputs!$B$43)-MAX(5,B431))/(IF(Inputs!$B$38="pvp",15,Inputs!$B$43)-(B431))))*IF(AND(ArtifactsInput!$M$42,((Inputs!$B$9+((C412=TRUE)*(F412-Calc!F19))+B424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401*(MIN(100,(Inputs!$B$9+((C412=TRUE)*(F412-Calc!F19))+B424+(ArtifactsInput!$M$24-ArtifactsInput!$M$24)*CHOOSE(ArtifactsInput!$N$24+1,10,12,14,16,18,20)+(IF(AND(Inputs!$B$38&lt;&gt;"pvp",Inputs!$B$43=0),1,IF(IF(Inputs!$B$38="pvp",15,Inputs!$B$43)-(B431)&lt;=0,1,MAX(0,IF(Inputs!$B$38="pvp",15,Inputs!$B$43)-MAX(5,B431))/(IF(Inputs!$B$38="pvp",15,Inputs!$B$43)-(B431))))*IF(AND(ArtifactsInput!$M$42,((Inputs!$B$9+((C412=TRUE)*(F412-Calc!F19))+B424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401">
        <f>IF(C401,(H401*N401*IF(AND(Inputs!$B$38&lt;&gt;"pvp",Inputs!$B$43&gt;0),((Skills!G8*((R401-1)*IF(Skills!H8&gt;0,INT(Skills!I8/Skills!H8+0.000000001),1)+IF(Skills!H8&gt;0,INT(MIN(Skills!I8,MAX(0,MAX(0,Inputs!$B$43-B431)-((R401-1)*((IF(Inputs!$B$38="pvp",15,MAX(0.1,Skills!D8-IF(TRUE=TRUE,Inputs!$B$32,0)))*(1-IF(AND(ArtifactsInput!$M$27,Inputs!$B$4="Chapter Hunt"),CHOOSE(ArtifactsInput!$N$27+1,20,24,28,32,36,40),0)/100))/B435))))/Skills!H8+0.000000001),1)))/Inputs!$B$43),G401*Q401))*IF(Inputs!$B$38="pvp",1,(1+(Inputs!$B$21+Skills!Q8+(IF(ArtifactsInput!$M$33,CHOOSE(ArtifactsInput!$N$33+1,30,36,42,48,54,60),0))+(IF(AND(ArtifactsInput!$M$35,Inputs!$B$4&lt;&gt;"Chapter Hunt"),CHOOSE(ArtifactsInput!$N$35+1,15,18,21,24,27,30)*(1-EXP(-(0.2*B426)*5)),0)+IF(AND(ArtifactsInput!$M$22,Inputs!$B$4&lt;&gt;"Chapter Hunt"),CHOOSE(ArtifactsInput!$N$22+1,10,12,14,16,18,20)*((0*(((0.15*B426*5))^0/1)+1*(((0.15*B426*5))^1/1)+2*(((0.15*B426*5))^2/2)+3*(((0.15*B426*5))^3/6)+4*(((0.15*B426*5))^4/24)+5*(((0.15*B426*5))^5/120))/((((0.15*B426*5))^0/1)+(((0.15*B426*5))^1/1)+(((0.15*B426*5))^2/2)+(((0.15*B426*5))^3/6)+(((0.15*B426*5))^4/24)+(((0.15*B426*5))^5/120))),0))+IF(Inputs!$B$3&gt;=54,9*(C396=TRUE)*MIN(1,8*(1+Inputs!$B$34/100)*Q396),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02">
      <c r="A402">
        <f>Skills!A9</f>
        <v/>
      </c>
      <c r="B402">
        <f>Skills!B9</f>
        <v/>
      </c>
      <c r="C402">
        <f>Inputs!$B$3&gt;=105</f>
        <v/>
      </c>
      <c r="D402">
        <f>IF(Skills!C9=1,60+Inputs!$B$25+Inputs!$B$29,IF(Skills!C9=2,90+Inputs!$B$26+Inputs!$B$29,IF(Skills!C9=3,120+Inputs!$B$27+Inputs!$B$29,MAX(0,(Inputs!$B$3-100)*3)+Inputs!$B$28+Inputs!$B$29)))</f>
        <v/>
      </c>
      <c r="E402">
        <f>INDEX(FactorTable!$B$2:$Y$301, MATCH(ROUND(MIN(300,MAX(1,D402)),0), FactorTable!$A$2:$A$301,0), Skills!M9+1)</f>
        <v/>
      </c>
      <c r="F402">
        <f>IF(Skills!N9=TRUE,(Skills!L9/10)*(E402/1000),Skills!L9/10)+Skills!O9</f>
        <v/>
      </c>
      <c r="G402">
        <f>Skills!G9*IF(Skills!H9&gt;0,INT(IF(Inputs!$B$38="pvp",MIN(Skills!I9,15),Skills!I9)/Skills!H9+0.000000001),1)</f>
        <v/>
      </c>
      <c r="H402">
        <f>1-(1-Skills!J9/100)^Skills!K9</f>
        <v/>
      </c>
      <c r="I402" t="inlineStr">
        <is>
          <t>1</t>
        </is>
      </c>
      <c r="J402">
        <f>((Inputs!$B$6*(1+Inputs!$B$7/100))+(((Inputs!$B$12*(1+Inputs!$B$13/100))-(Inputs!$B$12*(1+Inputs!$B$13/100)))+0.25*(Inputs!$B$14-Inputs!$B$14))*(1+Inputs!$B$7/100))*(F402/100)</f>
        <v/>
      </c>
      <c r="K402">
        <f>J402*(1+((Inputs!$B$12*(1+Inputs!$B$13/100))*0.01+Inputs!$B$14*0.0025)/100)*(1+Inputs!$B$15/100)*(1+Inputs!$B$16/100)*(5000/(6000+Inputs!$B$42*(1-(100*(1-(1-(Inputs!$B$19+0)/100)*(1-CHOOSE(ArtifactsInput!$N$40+1,5,6,7,8,9,10)/100)^(ArtifactsInput!$M$40-ArtifactsInput!$M$40)))/100)))*(1+(((((1+(Inputs!$B$24+Summary!$B$21)/100)*(1.01))-1)*100-(Summary!$B$21))+((C419=TRUE)*(F419-Calc!F26))+B430)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IGHT_LEGS_EASTON",Inputs!$B$17+((C416=TRUE)*(F416-Calc!F23))+((C420=TRUE)*(F420-Calc!F27))+((IF(AND(Inputs!$B$38&lt;&gt;"pvp",Inputs!$B$43=0),1,IF(IF(Inputs!$B$38="pvp",15,Inputs!$B$43)-(B431)&lt;=0,1,MAX(0,IF(Inputs!$B$38="pvp",15,Inputs!$B$43)-MAX(5,B431))/(IF(Inputs!$B$38="pvp",15,Inputs!$B$43)-(B431))))*(IF(AND(ArtifactsInput!$M$42,((Inputs!$B$9+((C412=TRUE)*(F412-Calc!F19))+B424+(ArtifactsInput!$M$24-ArtifactsInput!$M$24)*CHOOSE(ArtifactsInput!$N$24+1,10,12,14,16,18,20)+IF(ArtifactsInput!$M$10,CHOOSE(ArtifactsInput!$N$10+1,15,18,21,24,27,30)*(IF(Inputs!$B$38="pvp",MIN(15,15)/15,IF(AND(Inputs!$B$38&lt;&gt;"pvp",Inputs!$B$43&gt;0),MIN(15,Inputs!$B$43)/(Inputs!$B$43),0))),0)))&gt;=100),MIN(100,((Inputs!$B$9+((C412=TRUE)*(F412-Calc!F19))+B424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431)&lt;=0,1,MAX(0,IF(Inputs!$B$38="pvp",15,Inputs!$B$43)-MAX(5,B431))/(IF(Inputs!$B$38="pvp",15,Inputs!$B$43)-(B431))))*IF(AND(ArtifactsInput!$M$42,((Inputs!$B$9+((C412=TRUE)*(F412-Calc!F19))+B424+(ArtifactsInput!$M$24-ArtifactsInput!$M$24)*CHOOSE(ArtifactsInput!$N$24+1,10,12,14,16,18,20)+IF(ArtifactsInput!$M$10,CHOOSE(ArtifactsInput!$N$10+1,15,18,21,24,27,30)*(IF(Inputs!$B$38="pvp",MIN(15,15)/15,IF(AND(Inputs!$B$38&lt;&gt;"pvp",Inputs!$B$43&gt;0),MIN(15,Inputs!$B$43)/(Inputs!$B$43),0))),0)))&gt;=100),CHOOSE(ArtifactsInput!$N$42+1,40,48,56,64,72,80),0))))/100)*((1+(((C410=TRUE)*F410*5/7)+((C417=TRUE)*(F417-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402)</f>
        <v/>
      </c>
      <c r="L402">
        <f>K402*(MIN(Inputs!$B$22+((C415=TRUE)*(F415-Calc!F22)),(Inputs!$B$23+0+(IF(ArtifactsInput!$M$15,CHOOSE(ArtifactsInput!$N$15+1,25,30,35,40,45,50)/100*(Inputs!$B$11-Inputs!$B$11),0))))/100+(Inputs!$B$23+0+(IF(ArtifactsInput!$M$15,CHOOSE(ArtifactsInput!$N$15+1,25,30,35,40,45,50)/100*(Inputs!$B$11-Inputs!$B$11),0)))/100)/2</f>
        <v/>
      </c>
      <c r="M402">
        <f>L402*(1+(Inputs!$B$10+((C418=TRUE)*(F418-Calc!F25))+B429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02">
        <f>L402*(1-MIN((Inputs!$B$9+((C412=TRUE)*(F412-Calc!F19))+B424+(ArtifactsInput!$M$24-ArtifactsInput!$M$24)*CHOOSE(ArtifactsInput!$N$24+1,10,12,14,16,18,20)+(IF(AND(Inputs!$B$38&lt;&gt;"pvp",Inputs!$B$43=0),1,IF(IF(Inputs!$B$38="pvp",15,Inputs!$B$43)-(B431)&lt;=0,1,MAX(0,IF(Inputs!$B$38="pvp",15,Inputs!$B$43)-MAX(5,B431))/(IF(Inputs!$B$38="pvp",15,Inputs!$B$43)-(B431))))*IF(AND(ArtifactsInput!$M$42,((Inputs!$B$9+((C412=TRUE)*(F412-Calc!F19))+B424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402*(MIN((Inputs!$B$9+((C412=TRUE)*(F412-Calc!F19))+B424+(ArtifactsInput!$M$24-ArtifactsInput!$M$24)*CHOOSE(ArtifactsInput!$N$24+1,10,12,14,16,18,20)+(IF(AND(Inputs!$B$38&lt;&gt;"pvp",Inputs!$B$43=0),1,IF(IF(Inputs!$B$38="pvp",15,Inputs!$B$43)-(B431)&lt;=0,1,MAX(0,IF(Inputs!$B$38="pvp",15,Inputs!$B$43)-MAX(5,B431))/(IF(Inputs!$B$38="pvp",15,Inputs!$B$43)-(B431))))*IF(AND(ArtifactsInput!$M$42,((Inputs!$B$9+((C412=TRUE)*(F412-Calc!F19))+B424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02">
        <f>(1-Summary!$B$11)*T402+Summary!$B$11*V402</f>
        <v/>
      </c>
      <c r="P402">
        <f>IF(B434=0,0,O402/B434)</f>
        <v/>
      </c>
      <c r="Q402">
        <f>IFERROR(1/(IF(Inputs!$B$38="pvp",15,MAX(0.1,Skills!D9-IF(TRUE=TRUE,Inputs!$B$32,0)))*(1-IF(AND(ArtifactsInput!$M$27,Inputs!$B$4="Chapter Hunt"),CHOOSE(ArtifactsInput!$N$27+1,20,24,28,32,36,40),0)/100)),0)</f>
        <v/>
      </c>
      <c r="R402">
        <f>IF(AND(Inputs!$B$38&lt;&gt;"pvp",Inputs!$B$43&gt;0),IF(MAX(0,Inputs!$B$43-B431)&lt;=0,0,(INT(MAX(0,Inputs!$B$43-B431)/(IF(Inputs!$B$38="pvp",15,MAX(0.1,Skills!D9-IF(TRUE=TRUE,Inputs!$B$32,0)))*(1-IF(AND(ArtifactsInput!$M$27,Inputs!$B$4="Chapter Hunt"),CHOOSE(ArtifactsInput!$N$27+1,20,24,28,32,36,40),0)/100)))+1)),0)</f>
        <v/>
      </c>
      <c r="S402">
        <f>IFERROR(O402/N402,0)</f>
        <v/>
      </c>
      <c r="T402">
        <f>IF(C402,(H402*N402*IF(AND(Inputs!$B$38&lt;&gt;"pvp",Inputs!$B$43&gt;0),((Skills!G9*((R402-1)*IF(Skills!H9&gt;0,INT(Skills!I9/Skills!H9+0.000000001),1)+IF(Skills!H9&gt;0,INT(MIN(Skills!I9,MAX(0,MAX(0,Inputs!$B$43-B431)-((R402-1)*(IF(Inputs!$B$38="pvp",15,MAX(0.1,Skills!D9-IF(TRUE=TRUE,Inputs!$B$32,0)))*(1-IF(AND(ArtifactsInput!$M$27,Inputs!$B$4="Chapter Hunt"),CHOOSE(ArtifactsInput!$N$27+1,20,24,28,32,36,40),0)/100)))))/Skills!H9+0.000000001),1)))/Inputs!$B$43),G402*Q402))*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Hunt"),CHOOSE(ArtifactsInput!$N$35+1,15,18,21,24,27,30)*(1-EXP(-(0.2*B426)*5)),0)+IF(AND(ArtifactsInput!$M$22,Inputs!$B$4&lt;&gt;"Chapter Hunt"),CHOOSE(ArtifactsInput!$N$22+1,10,12,14,16,18,20)*((0*(((0.15*B426*5))^0/1)+1*(((0.15*B426*5))^1/1)+2*(((0.15*B426*5))^2/2)+3*(((0.15*B426*5))^3/6)+4*(((0.15*B426*5))^4/24)+5*(((0.15*B426*5))^5/120))/((((0.15*B426*5))^0/1)+(((0.15*B426*5))^1/1)+(((0.15*B426*5))^2/2)+(((0.15*B426*5))^3/6)+(((0.15*B426*5))^4/24)+(((0.15*B426*5))^5/120))),0))+IF(Inputs!$B$3&gt;=54,9*(C396=TRUE)*MIN(1,8*(1+Inputs!$B$34/100)*Q396)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402*(1-MIN(100,(Inputs!$B$9+((C412=TRUE)*(F412-Calc!F19))+B424+(ArtifactsInput!$M$24-ArtifactsInput!$M$24)*CHOOSE(ArtifactsInput!$N$24+1,10,12,14,16,18,20)+(IF(AND(Inputs!$B$38&lt;&gt;"pvp",Inputs!$B$43=0),1,IF(IF(Inputs!$B$38="pvp",15,Inputs!$B$43)-(B431)&lt;=0,1,MAX(0,IF(Inputs!$B$38="pvp",15,Inputs!$B$43)-MAX(5,B431))/(IF(Inputs!$B$38="pvp",15,Inputs!$B$43)-(B431))))*IF(AND(ArtifactsInput!$M$42,((Inputs!$B$9+((C412=TRUE)*(F412-Calc!F19))+B424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402*(MIN(100,(Inputs!$B$9+((C412=TRUE)*(F412-Calc!F19))+B424+(ArtifactsInput!$M$24-ArtifactsInput!$M$24)*CHOOSE(ArtifactsInput!$N$24+1,10,12,14,16,18,20)+(IF(AND(Inputs!$B$38&lt;&gt;"pvp",Inputs!$B$43=0),1,IF(IF(Inputs!$B$38="pvp",15,Inputs!$B$43)-(B431)&lt;=0,1,MAX(0,IF(Inputs!$B$38="pvp",15,Inputs!$B$43)-MAX(5,B431))/(IF(Inputs!$B$38="pvp",15,Inputs!$B$43)-(B431))))*IF(AND(ArtifactsInput!$M$42,((Inputs!$B$9+((C412=TRUE)*(F412-Calc!F19))+B424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402*(1-MIN(100,(Inputs!$B$9+((C412=TRUE)*(F412-Calc!F19))+B424+(ArtifactsInput!$M$24-ArtifactsInput!$M$24)*CHOOSE(ArtifactsInput!$N$24+1,10,12,14,16,18,20)+(IF(AND(Inputs!$B$38&lt;&gt;"pvp",Inputs!$B$43=0),1,IF(IF(Inputs!$B$38="pvp",15,Inputs!$B$43)-(B431)&lt;=0,1,MAX(0,IF(Inputs!$B$38="pvp",15,Inputs!$B$43)-MAX(5,B431))/(IF(Inputs!$B$38="pvp",15,Inputs!$B$43)-(B431))))*IF(AND(ArtifactsInput!$M$42,((Inputs!$B$9+((C412=TRUE)*(F412-Calc!F19))+B424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402*(MIN(100,(Inputs!$B$9+((C412=TRUE)*(F412-Calc!F19))+B424+(ArtifactsInput!$M$24-ArtifactsInput!$M$24)*CHOOSE(ArtifactsInput!$N$24+1,10,12,14,16,18,20)+(IF(AND(Inputs!$B$38&lt;&gt;"pvp",Inputs!$B$43=0),1,IF(IF(Inputs!$B$38="pvp",15,Inputs!$B$43)-(B431)&lt;=0,1,MAX(0,IF(Inputs!$B$38="pvp",15,Inputs!$B$43)-MAX(5,B431))/(IF(Inputs!$B$38="pvp",15,Inputs!$B$43)-(B431))))*IF(AND(ArtifactsInput!$M$42,((Inputs!$B$9+((C412=TRUE)*(F412-Calc!F19))+B424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402">
        <f>IF(C402,(H402*N402*IF(AND(Inputs!$B$38&lt;&gt;"pvp",Inputs!$B$43&gt;0),((Skills!G9*((R402-1)*IF(Skills!H9&gt;0,INT(Skills!I9/Skills!H9+0.000000001),1)+IF(Skills!H9&gt;0,INT(MIN(Skills!I9,MAX(0,MAX(0,Inputs!$B$43-B431)-((R402-1)*(IF(Inputs!$B$38="pvp",15,MAX(0.1,Skills!D9-IF(TRUE=TRUE,Inputs!$B$32,0)))*(1-IF(AND(ArtifactsInput!$M$27,Inputs!$B$4="Chapter Hunt"),CHOOSE(ArtifactsInput!$N$27+1,20,24,28,32,36,40),0)/100)))))/Skills!H9+0.000000001),1)))/Inputs!$B$43),G402*Q402))*IF(Inputs!$B$38="pvp",1,(1+(Inputs!$B$21+Skills!Q9+(IF(ArtifactsInput!$M$33,CHOOSE(ArtifactsInput!$N$33+1,30,36,42,48,54,60),0))+(IF(AND(ArtifactsInput!$M$35,Inputs!$B$4&lt;&gt;"Chapter Hunt"),CHOOSE(ArtifactsInput!$N$35+1,15,18,21,24,27,30)*(1-EXP(-(0.2*B426)*5)),0)+IF(AND(ArtifactsInput!$M$22,Inputs!$B$4&lt;&gt;"Chapter Hunt"),CHOOSE(ArtifactsInput!$N$22+1,10,12,14,16,18,20)*((0*(((0.15*B426*5))^0/1)+1*(((0.15*B426*5))^1/1)+2*(((0.15*B426*5))^2/2)+3*(((0.15*B426*5))^3/6)+4*(((0.15*B426*5))^4/24)+5*(((0.15*B426*5))^5/120))/((((0.15*B426*5))^0/1)+(((0.15*B426*5))^1/1)+(((0.15*B426*5))^2/2)+(((0.15*B426*5))^3/6)+(((0.15*B426*5))^4/24)+(((0.15*B426*5))^5/120))),0))+IF(Inputs!$B$3&gt;=54,9*(C396=TRUE)*MIN(1,8*(1+Inputs!$B$34/100)*Q396),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03">
      <c r="A403">
        <f>Skills!A10</f>
        <v/>
      </c>
      <c r="B403">
        <f>Skills!B10</f>
        <v/>
      </c>
      <c r="C403">
        <f>Inputs!$B$3&gt;=113</f>
        <v/>
      </c>
      <c r="D403">
        <f>IF(Skills!C10=1,60+Inputs!$B$25+Inputs!$B$29,IF(Skills!C10=2,90+Inputs!$B$26+Inputs!$B$29,IF(Skills!C10=3,120+Inputs!$B$27+Inputs!$B$29,MAX(0,(Inputs!$B$3-100)*3)+Inputs!$B$28+Inputs!$B$29)))</f>
        <v/>
      </c>
      <c r="E403">
        <f>INDEX(FactorTable!$B$2:$Y$301, MATCH(ROUND(MIN(300,MAX(1,D403)),0), FactorTable!$A$2:$A$301,0), Skills!M10+1)</f>
        <v/>
      </c>
      <c r="F403">
        <f>IF(Skills!N10=TRUE,(Skills!L10/10)*(E403/1000),Skills!L10/10)+Skills!O10</f>
        <v/>
      </c>
      <c r="G403">
        <f>Skills!G10*IF(Skills!H10&gt;0,INT(IF(Inputs!$B$38="pvp",MIN(Skills!I10,15),Skills!I10)/Skills!H10+0.000000001),1)</f>
        <v/>
      </c>
      <c r="H403">
        <f>1-(1-Skills!J10/100)^Skills!K10</f>
        <v/>
      </c>
      <c r="I403" t="inlineStr">
        <is>
          <t>1</t>
        </is>
      </c>
      <c r="J403">
        <f>((Inputs!$B$6*(1+Inputs!$B$7/100))+(((Inputs!$B$12*(1+Inputs!$B$13/100))-(Inputs!$B$12*(1+Inputs!$B$13/100)))+0.25*(Inputs!$B$14-Inputs!$B$14))*(1+Inputs!$B$7/100))*(F403/100)</f>
        <v/>
      </c>
      <c r="K403">
        <f>J403*(1+((Inputs!$B$12*(1+Inputs!$B$13/100))*0.01+Inputs!$B$14*0.0025)/100)*(1+Inputs!$B$15/100)*(1+Inputs!$B$16/100)*(5000/(6000+Inputs!$B$42*(1-(100*(1-(1-(Inputs!$B$19+0)/100)*(1-CHOOSE(ArtifactsInput!$N$40+1,5,6,7,8,9,10)/100)^(ArtifactsInput!$M$40-ArtifactsInput!$M$40)))/100)))*(1+(((((1+(Inputs!$B$24+Summary!$B$21)/100)*(1.01))-1)*100-(Summary!$B$21))+((C419=TRUE)*(F419-Calc!F26))+B430)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IGHT_LEGS_EASTON",Inputs!$B$17+((C416=TRUE)*(F416-Calc!F23))+((C420=TRUE)*(F420-Calc!F27))+((IF(AND(Inputs!$B$38&lt;&gt;"pvp",Inputs!$B$43=0),1,IF(IF(Inputs!$B$38="pvp",15,Inputs!$B$43)-(B431)&lt;=0,1,MAX(0,IF(Inputs!$B$38="pvp",15,Inputs!$B$43)-MAX(5,B431))/(IF(Inputs!$B$38="pvp",15,Inputs!$B$43)-(B431))))*(IF(AND(ArtifactsInput!$M$42,((Inputs!$B$9+((C412=TRUE)*(F412-Calc!F19))+B424+(ArtifactsInput!$M$24-ArtifactsInput!$M$24)*CHOOSE(ArtifactsInput!$N$24+1,10,12,14,16,18,20)+IF(ArtifactsInput!$M$10,CHOOSE(ArtifactsInput!$N$10+1,15,18,21,24,27,30)*(IF(Inputs!$B$38="pvp",MIN(15,15)/15,IF(AND(Inputs!$B$38&lt;&gt;"pvp",Inputs!$B$43&gt;0),MIN(15,Inputs!$B$43)/(Inputs!$B$43),0))),0)))&gt;=100),MIN(100,((Inputs!$B$9+((C412=TRUE)*(F412-Calc!F19))+B424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431)&lt;=0,1,MAX(0,IF(Inputs!$B$38="pvp",15,Inputs!$B$43)-MAX(5,B431))/(IF(Inputs!$B$38="pvp",15,Inputs!$B$43)-(B431))))*IF(AND(ArtifactsInput!$M$42,((Inputs!$B$9+((C412=TRUE)*(F412-Calc!F19))+B424+(ArtifactsInput!$M$24-ArtifactsInput!$M$24)*CHOOSE(ArtifactsInput!$N$24+1,10,12,14,16,18,20)+IF(ArtifactsInput!$M$10,CHOOSE(ArtifactsInput!$N$10+1,15,18,21,24,27,30)*(IF(Inputs!$B$38="pvp",MIN(15,15)/15,IF(AND(Inputs!$B$38&lt;&gt;"pvp",Inputs!$B$43&gt;0),MIN(15,Inputs!$B$43)/(Inputs!$B$43),0))),0)))&gt;=100),CHOOSE(ArtifactsInput!$N$42+1,40,48,56,64,72,80),0))))/100)*((1+(((C410=TRUE)*F410*5/7)+((C417=TRUE)*(F417-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403)</f>
        <v/>
      </c>
      <c r="L403">
        <f>K403*(MIN(Inputs!$B$22+((C415=TRUE)*(F415-Calc!F22)),(Inputs!$B$23+0+(IF(ArtifactsInput!$M$15,CHOOSE(ArtifactsInput!$N$15+1,25,30,35,40,45,50)/100*(Inputs!$B$11-Inputs!$B$11),0))))/100+(Inputs!$B$23+0+(IF(ArtifactsInput!$M$15,CHOOSE(ArtifactsInput!$N$15+1,25,30,35,40,45,50)/100*(Inputs!$B$11-Inputs!$B$11),0)))/100)/2</f>
        <v/>
      </c>
      <c r="M403">
        <f>L403*(1+(Inputs!$B$10+((C418=TRUE)*(F418-Calc!F25))+B429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03">
        <f>L403*(1-MIN((Inputs!$B$9+((C412=TRUE)*(F412-Calc!F19))+B424+(ArtifactsInput!$M$24-ArtifactsInput!$M$24)*CHOOSE(ArtifactsInput!$N$24+1,10,12,14,16,18,20)+(IF(AND(Inputs!$B$38&lt;&gt;"pvp",Inputs!$B$43=0),1,IF(IF(Inputs!$B$38="pvp",15,Inputs!$B$43)-(B431)&lt;=0,1,MAX(0,IF(Inputs!$B$38="pvp",15,Inputs!$B$43)-MAX(5,B431))/(IF(Inputs!$B$38="pvp",15,Inputs!$B$43)-(B431))))*IF(AND(ArtifactsInput!$M$42,((Inputs!$B$9+((C412=TRUE)*(F412-Calc!F19))+B424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403*(MIN((Inputs!$B$9+((C412=TRUE)*(F412-Calc!F19))+B424+(ArtifactsInput!$M$24-ArtifactsInput!$M$24)*CHOOSE(ArtifactsInput!$N$24+1,10,12,14,16,18,20)+(IF(AND(Inputs!$B$38&lt;&gt;"pvp",Inputs!$B$43=0),1,IF(IF(Inputs!$B$38="pvp",15,Inputs!$B$43)-(B431)&lt;=0,1,MAX(0,IF(Inputs!$B$38="pvp",15,Inputs!$B$43)-MAX(5,B431))/(IF(Inputs!$B$38="pvp",15,Inputs!$B$43)-(B431))))*IF(AND(ArtifactsInput!$M$42,((Inputs!$B$9+((C412=TRUE)*(F412-Calc!F19))+B424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03">
        <f>(1-Summary!$B$11)*T403+Summary!$B$11*V403</f>
        <v/>
      </c>
      <c r="P403">
        <f>IF(B434=0,0,O403/B434)</f>
        <v/>
      </c>
      <c r="Q403" t="n">
        <v>0</v>
      </c>
      <c r="R403" t="n">
        <v>0</v>
      </c>
      <c r="S403">
        <f>IFERROR(O403/N403,0)</f>
        <v/>
      </c>
      <c r="T403">
        <f>IF(C403,((H403*B436)/(1+Skills!H10*H403*B436)*N403)*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Hunt"),CHOOSE(ArtifactsInput!$N$35+1,15,18,21,24,27,30)*(1-EXP(-(0.2*B426)*5)),0)+IF(AND(ArtifactsInput!$M$22,Inputs!$B$4&lt;&gt;"Chapter Hunt"),CHOOSE(ArtifactsInput!$N$22+1,10,12,14,16,18,20)*((0*(((0.15*B426*5))^0/1)+1*(((0.15*B426*5))^1/1)+2*(((0.15*B426*5))^2/2)+3*(((0.15*B426*5))^3/6)+4*(((0.15*B426*5))^4/24)+5*(((0.15*B426*5))^5/120))/((((0.15*B426*5))^0/1)+(((0.15*B426*5))^1/1)+(((0.15*B426*5))^2/2)+(((0.15*B426*5))^3/6)+(((0.15*B426*5))^4/24)+(((0.15*B426*5))^5/120))),0))+IF(Inputs!$B$3&gt;=54,9*(C396=TRUE)*MIN(1,8*(1+Inputs!$B$34/100)*Q396)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403*(1-MIN(100,(Inputs!$B$9+((C412=TRUE)*(F412-Calc!F19))+B424+(ArtifactsInput!$M$24-ArtifactsInput!$M$24)*CHOOSE(ArtifactsInput!$N$24+1,10,12,14,16,18,20)+(IF(AND(Inputs!$B$38&lt;&gt;"pvp",Inputs!$B$43=0),1,IF(IF(Inputs!$B$38="pvp",15,Inputs!$B$43)-(B431)&lt;=0,1,MAX(0,IF(Inputs!$B$38="pvp",15,Inputs!$B$43)-MAX(5,B431))/(IF(Inputs!$B$38="pvp",15,Inputs!$B$43)-(B431))))*IF(AND(ArtifactsInput!$M$42,((Inputs!$B$9+((C412=TRUE)*(F412-Calc!F19))+B424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403*(MIN(100,(Inputs!$B$9+((C412=TRUE)*(F412-Calc!F19))+B424+(ArtifactsInput!$M$24-ArtifactsInput!$M$24)*CHOOSE(ArtifactsInput!$N$24+1,10,12,14,16,18,20)+(IF(AND(Inputs!$B$38&lt;&gt;"pvp",Inputs!$B$43=0),1,IF(IF(Inputs!$B$38="pvp",15,Inputs!$B$43)-(B431)&lt;=0,1,MAX(0,IF(Inputs!$B$38="pvp",15,Inputs!$B$43)-MAX(5,B431))/(IF(Inputs!$B$38="pvp",15,Inputs!$B$43)-(B431))))*IF(AND(ArtifactsInput!$M$42,((Inputs!$B$9+((C412=TRUE)*(F412-Calc!F19))+B424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403*(1-MIN(100,(Inputs!$B$9+((C412=TRUE)*(F412-Calc!F19))+B424+(ArtifactsInput!$M$24-ArtifactsInput!$M$24)*CHOOSE(ArtifactsInput!$N$24+1,10,12,14,16,18,20)+(IF(AND(Inputs!$B$38&lt;&gt;"pvp",Inputs!$B$43=0),1,IF(IF(Inputs!$B$38="pvp",15,Inputs!$B$43)-(B431)&lt;=0,1,MAX(0,IF(Inputs!$B$38="pvp",15,Inputs!$B$43)-MAX(5,B431))/(IF(Inputs!$B$38="pvp",15,Inputs!$B$43)-(B431))))*IF(AND(ArtifactsInput!$M$42,((Inputs!$B$9+((C412=TRUE)*(F412-Calc!F19))+B424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403*(MIN(100,(Inputs!$B$9+((C412=TRUE)*(F412-Calc!F19))+B424+(ArtifactsInput!$M$24-ArtifactsInput!$M$24)*CHOOSE(ArtifactsInput!$N$24+1,10,12,14,16,18,20)+(IF(AND(Inputs!$B$38&lt;&gt;"pvp",Inputs!$B$43=0),1,IF(IF(Inputs!$B$38="pvp",15,Inputs!$B$43)-(B431)&lt;=0,1,MAX(0,IF(Inputs!$B$38="pvp",15,Inputs!$B$43)-MAX(5,B431))/(IF(Inputs!$B$38="pvp",15,Inputs!$B$43)-(B431))))*IF(AND(ArtifactsInput!$M$42,((Inputs!$B$9+((C412=TRUE)*(F412-Calc!F19))+B424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403">
        <f>IF(C403,((H403*B436)/(1+Skills!H10*H403*B436)*N403)*IF(Inputs!$B$38="pvp",1,(1+(Inputs!$B$21+Skills!Q10+(IF(ArtifactsInput!$M$33,CHOOSE(ArtifactsInput!$N$33+1,30,36,42,48,54,60),0))+(IF(AND(ArtifactsInput!$M$35,Inputs!$B$4&lt;&gt;"Chapter Hunt"),CHOOSE(ArtifactsInput!$N$35+1,15,18,21,24,27,30)*(1-EXP(-(0.2*B426)*5)),0)+IF(AND(ArtifactsInput!$M$22,Inputs!$B$4&lt;&gt;"Chapter Hunt"),CHOOSE(ArtifactsInput!$N$22+1,10,12,14,16,18,20)*((0*(((0.15*B426*5))^0/1)+1*(((0.15*B426*5))^1/1)+2*(((0.15*B426*5))^2/2)+3*(((0.15*B426*5))^3/6)+4*(((0.15*B426*5))^4/24)+5*(((0.15*B426*5))^5/120))/((((0.15*B426*5))^0/1)+(((0.15*B426*5))^1/1)+(((0.15*B426*5))^2/2)+(((0.15*B426*5))^3/6)+(((0.15*B426*5))^4/24)+(((0.15*B426*5))^5/120))),0))+IF(Inputs!$B$3&gt;=54,9*(C396=TRUE)*MIN(1,8*(1+Inputs!$B$34/100)*Q396),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04">
      <c r="A404">
        <f>Skills!A11</f>
        <v/>
      </c>
      <c r="B404">
        <f>Skills!B11</f>
        <v/>
      </c>
      <c r="C404">
        <f>Inputs!$B$3&gt;=117</f>
        <v/>
      </c>
      <c r="D404">
        <f>IF(Skills!C11=1,60+Inputs!$B$25+Inputs!$B$29,IF(Skills!C11=2,90+Inputs!$B$26+Inputs!$B$29,IF(Skills!C11=3,120+Inputs!$B$27+Inputs!$B$29,MAX(0,(Inputs!$B$3-100)*3)+Inputs!$B$28+Inputs!$B$29)))</f>
        <v/>
      </c>
      <c r="E404">
        <f>INDEX(FactorTable!$B$2:$Y$301, MATCH(ROUND(MIN(300,MAX(1,D404)),0), FactorTable!$A$2:$A$301,0), Skills!M11+1)</f>
        <v/>
      </c>
      <c r="F404">
        <f>IF(Skills!N11=TRUE,(Skills!L11/10)*(E404/1000),Skills!L11/10)+Skills!O11</f>
        <v/>
      </c>
      <c r="G404">
        <f>Skills!G11*IF(Skills!H11&gt;0,INT(IF(Inputs!$B$38="pvp",MIN(Skills!I11,15),Skills!I11)/Skills!H11+0.000000001),1)</f>
        <v/>
      </c>
      <c r="H404">
        <f>1-(1-Skills!J11/100)^Skills!K11</f>
        <v/>
      </c>
      <c r="I404" t="inlineStr">
        <is>
          <t>1</t>
        </is>
      </c>
      <c r="J404">
        <f>((Inputs!$B$6*(1+Inputs!$B$7/100))+(((Inputs!$B$12*(1+Inputs!$B$13/100))-(Inputs!$B$12*(1+Inputs!$B$13/100)))+0.25*(Inputs!$B$14-Inputs!$B$14))*(1+Inputs!$B$7/100))*(F404/100)</f>
        <v/>
      </c>
      <c r="K404">
        <f>J404*(1+((Inputs!$B$12*(1+Inputs!$B$13/100))*0.01+Inputs!$B$14*0.0025)/100)*(1+Inputs!$B$15/100)*(1+Inputs!$B$16/100)*(5000/(6000+Inputs!$B$42*(1-(100*(1-(1-(Inputs!$B$19+0)/100)*(1-CHOOSE(ArtifactsInput!$N$40+1,5,6,7,8,9,10)/100)^(ArtifactsInput!$M$40-ArtifactsInput!$M$40)))/100)))*(1+(((((1+(Inputs!$B$24+Summary!$B$21)/100)*(1.01))-1)*100-(Summary!$B$21))+((C419=TRUE)*(F419-Calc!F26))+B430)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IGHT_LEGS_EASTON",Inputs!$B$17+((C416=TRUE)*(F416-Calc!F23))+((C420=TRUE)*(F420-Calc!F27))+((IF(AND(Inputs!$B$38&lt;&gt;"pvp",Inputs!$B$43=0),1,IF(IF(Inputs!$B$38="pvp",15,Inputs!$B$43)-(B431)&lt;=0,1,MAX(0,IF(Inputs!$B$38="pvp",15,Inputs!$B$43)-MAX(5,B431))/(IF(Inputs!$B$38="pvp",15,Inputs!$B$43)-(B431))))*(IF(AND(ArtifactsInput!$M$42,((Inputs!$B$9+((C412=TRUE)*(F412-Calc!F19))+B424+(ArtifactsInput!$M$24-ArtifactsInput!$M$24)*CHOOSE(ArtifactsInput!$N$24+1,10,12,14,16,18,20)+IF(ArtifactsInput!$M$10,CHOOSE(ArtifactsInput!$N$10+1,15,18,21,24,27,30)*(IF(Inputs!$B$38="pvp",MIN(15,15)/15,IF(AND(Inputs!$B$38&lt;&gt;"pvp",Inputs!$B$43&gt;0),MIN(15,Inputs!$B$43)/(Inputs!$B$43),0))),0)))&gt;=100),MIN(100,((Inputs!$B$9+((C412=TRUE)*(F412-Calc!F19))+B424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431)&lt;=0,1,MAX(0,IF(Inputs!$B$38="pvp",15,Inputs!$B$43)-MAX(5,B431))/(IF(Inputs!$B$38="pvp",15,Inputs!$B$43)-(B431))))*IF(AND(ArtifactsInput!$M$42,((Inputs!$B$9+((C412=TRUE)*(F412-Calc!F19))+B424+(ArtifactsInput!$M$24-ArtifactsInput!$M$24)*CHOOSE(ArtifactsInput!$N$24+1,10,12,14,16,18,20)+IF(ArtifactsInput!$M$10,CHOOSE(ArtifactsInput!$N$10+1,15,18,21,24,27,30)*(IF(Inputs!$B$38="pvp",MIN(15,15)/15,IF(AND(Inputs!$B$38&lt;&gt;"pvp",Inputs!$B$43&gt;0),MIN(15,Inputs!$B$43)/(Inputs!$B$43),0))),0)))&gt;=100),CHOOSE(ArtifactsInput!$N$42+1,40,48,56,64,72,80),0))))/100)*((1+(((C410=TRUE)*F410*5/7)+((C417=TRUE)*(F417-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404)</f>
        <v/>
      </c>
      <c r="L404">
        <f>K404*(MIN(Inputs!$B$22+((C415=TRUE)*(F415-Calc!F22)),(Inputs!$B$23+0+(IF(ArtifactsInput!$M$15,CHOOSE(ArtifactsInput!$N$15+1,25,30,35,40,45,50)/100*(Inputs!$B$11-Inputs!$B$11),0))))/100+(Inputs!$B$23+0+(IF(ArtifactsInput!$M$15,CHOOSE(ArtifactsInput!$N$15+1,25,30,35,40,45,50)/100*(Inputs!$B$11-Inputs!$B$11),0)))/100)/2</f>
        <v/>
      </c>
      <c r="M404">
        <f>L404*(1+(Inputs!$B$10+((C418=TRUE)*(F418-Calc!F25))+B429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04">
        <f>L404*(1-MIN((Inputs!$B$9+((C412=TRUE)*(F412-Calc!F19))+B424+(ArtifactsInput!$M$24-ArtifactsInput!$M$24)*CHOOSE(ArtifactsInput!$N$24+1,10,12,14,16,18,20)+(IF(AND(Inputs!$B$38&lt;&gt;"pvp",Inputs!$B$43=0),1,IF(IF(Inputs!$B$38="pvp",15,Inputs!$B$43)-(B431)&lt;=0,1,MAX(0,IF(Inputs!$B$38="pvp",15,Inputs!$B$43)-MAX(5,B431))/(IF(Inputs!$B$38="pvp",15,Inputs!$B$43)-(B431))))*IF(AND(ArtifactsInput!$M$42,((Inputs!$B$9+((C412=TRUE)*(F412-Calc!F19))+B424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404*(MIN((Inputs!$B$9+((C412=TRUE)*(F412-Calc!F19))+B424+(ArtifactsInput!$M$24-ArtifactsInput!$M$24)*CHOOSE(ArtifactsInput!$N$24+1,10,12,14,16,18,20)+(IF(AND(Inputs!$B$38&lt;&gt;"pvp",Inputs!$B$43=0),1,IF(IF(Inputs!$B$38="pvp",15,Inputs!$B$43)-(B431)&lt;=0,1,MAX(0,IF(Inputs!$B$38="pvp",15,Inputs!$B$43)-MAX(5,B431))/(IF(Inputs!$B$38="pvp",15,Inputs!$B$43)-(B431))))*IF(AND(ArtifactsInput!$M$42,((Inputs!$B$9+((C412=TRUE)*(F412-Calc!F19))+B424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04">
        <f>(1-Summary!$B$11)*T404+Summary!$B$11*V404</f>
        <v/>
      </c>
      <c r="P404">
        <f>IF(B434=0,0,O404/B434)</f>
        <v/>
      </c>
      <c r="Q404">
        <f>IFERROR(1/((IF(Inputs!$B$38="pvp",15,MAX(0.1,Skills!D11-IF(TRUE=TRUE,Inputs!$B$32,0)))*(1-IF(AND(ArtifactsInput!$M$27,Inputs!$B$4="Chapter Hunt"),CHOOSE(ArtifactsInput!$N$27+1,20,24,28,32,36,40),0)/100))/B435),0)</f>
        <v/>
      </c>
      <c r="R404">
        <f>IF(AND(Inputs!$B$38&lt;&gt;"pvp",Inputs!$B$43&gt;0),IF(MAX(0,Inputs!$B$43-B431)&lt;=0,0,(INT(MAX(0,Inputs!$B$43-B431)/((IF(Inputs!$B$38="pvp",15,MAX(0.1,Skills!D11-IF(TRUE=TRUE,Inputs!$B$32,0)))*(1-IF(AND(ArtifactsInput!$M$27,Inputs!$B$4="Chapter Hunt"),CHOOSE(ArtifactsInput!$N$27+1,20,24,28,32,36,40),0)/100))/B435))+1)),0)</f>
        <v/>
      </c>
      <c r="S404">
        <f>IFERROR(O404/N404,0)</f>
        <v/>
      </c>
      <c r="T404">
        <f>IF(C404,(H404*N404*IF(AND(Inputs!$B$38&lt;&gt;"pvp",Inputs!$B$43&gt;0),((Skills!G11*((R404-1)*IF(Skills!H11&gt;0,INT(Skills!I11/Skills!H11+0.000000001),1)+IF(Skills!H11&gt;0,INT(MIN(Skills!I11,MAX(0,MAX(0,Inputs!$B$43-B431)-((R404-1)*((IF(Inputs!$B$38="pvp",15,MAX(0.1,Skills!D11-IF(TRUE=TRUE,Inputs!$B$32,0)))*(1-IF(AND(ArtifactsInput!$M$27,Inputs!$B$4="Chapter Hunt"),CHOOSE(ArtifactsInput!$N$27+1,20,24,28,32,36,40),0)/100))/B435))))/Skills!H11+0.000000001),1)))/Inputs!$B$43),G404*Q404))*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Hunt"),CHOOSE(ArtifactsInput!$N$35+1,15,18,21,24,27,30)*(1-EXP(-(0.2*B426)*5)),0)+IF(AND(ArtifactsInput!$M$22,Inputs!$B$4&lt;&gt;"Chapter Hunt"),CHOOSE(ArtifactsInput!$N$22+1,10,12,14,16,18,20)*((0*(((0.15*B426*5))^0/1)+1*(((0.15*B426*5))^1/1)+2*(((0.15*B426*5))^2/2)+3*(((0.15*B426*5))^3/6)+4*(((0.15*B426*5))^4/24)+5*(((0.15*B426*5))^5/120))/((((0.15*B426*5))^0/1)+(((0.15*B426*5))^1/1)+(((0.15*B426*5))^2/2)+(((0.15*B426*5))^3/6)+(((0.15*B426*5))^4/24)+(((0.15*B426*5))^5/120))),0))+IF(Inputs!$B$3&gt;=54,9*(C396=TRUE)*MIN(1,8*(1+Inputs!$B$34/100)*Q396)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404*(1-MIN(100,(Inputs!$B$9+((C412=TRUE)*(F412-Calc!F19))+B424+(ArtifactsInput!$M$24-ArtifactsInput!$M$24)*CHOOSE(ArtifactsInput!$N$24+1,10,12,14,16,18,20)+(IF(AND(Inputs!$B$38&lt;&gt;"pvp",Inputs!$B$43=0),1,IF(IF(Inputs!$B$38="pvp",15,Inputs!$B$43)-(B431)&lt;=0,1,MAX(0,IF(Inputs!$B$38="pvp",15,Inputs!$B$43)-MAX(5,B431))/(IF(Inputs!$B$38="pvp",15,Inputs!$B$43)-(B431))))*IF(AND(ArtifactsInput!$M$42,((Inputs!$B$9+((C412=TRUE)*(F412-Calc!F19))+B424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404*(MIN(100,(Inputs!$B$9+((C412=TRUE)*(F412-Calc!F19))+B424+(ArtifactsInput!$M$24-ArtifactsInput!$M$24)*CHOOSE(ArtifactsInput!$N$24+1,10,12,14,16,18,20)+(IF(AND(Inputs!$B$38&lt;&gt;"pvp",Inputs!$B$43=0),1,IF(IF(Inputs!$B$38="pvp",15,Inputs!$B$43)-(B431)&lt;=0,1,MAX(0,IF(Inputs!$B$38="pvp",15,Inputs!$B$43)-MAX(5,B431))/(IF(Inputs!$B$38="pvp",15,Inputs!$B$43)-(B431))))*IF(AND(ArtifactsInput!$M$42,((Inputs!$B$9+((C412=TRUE)*(F412-Calc!F19))+B424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404*(1-MIN(100,(Inputs!$B$9+((C412=TRUE)*(F412-Calc!F19))+B424+(ArtifactsInput!$M$24-ArtifactsInput!$M$24)*CHOOSE(ArtifactsInput!$N$24+1,10,12,14,16,18,20)+(IF(AND(Inputs!$B$38&lt;&gt;"pvp",Inputs!$B$43=0),1,IF(IF(Inputs!$B$38="pvp",15,Inputs!$B$43)-(B431)&lt;=0,1,MAX(0,IF(Inputs!$B$38="pvp",15,Inputs!$B$43)-MAX(5,B431))/(IF(Inputs!$B$38="pvp",15,Inputs!$B$43)-(B431))))*IF(AND(ArtifactsInput!$M$42,((Inputs!$B$9+((C412=TRUE)*(F412-Calc!F19))+B424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404*(MIN(100,(Inputs!$B$9+((C412=TRUE)*(F412-Calc!F19))+B424+(ArtifactsInput!$M$24-ArtifactsInput!$M$24)*CHOOSE(ArtifactsInput!$N$24+1,10,12,14,16,18,20)+(IF(AND(Inputs!$B$38&lt;&gt;"pvp",Inputs!$B$43=0),1,IF(IF(Inputs!$B$38="pvp",15,Inputs!$B$43)-(B431)&lt;=0,1,MAX(0,IF(Inputs!$B$38="pvp",15,Inputs!$B$43)-MAX(5,B431))/(IF(Inputs!$B$38="pvp",15,Inputs!$B$43)-(B431))))*IF(AND(ArtifactsInput!$M$42,((Inputs!$B$9+((C412=TRUE)*(F412-Calc!F19))+B424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404">
        <f>IF(C404,(H404*N404*IF(AND(Inputs!$B$38&lt;&gt;"pvp",Inputs!$B$43&gt;0),((Skills!G11*((R404-1)*IF(Skills!H11&gt;0,INT(Skills!I11/Skills!H11+0.000000001),1)+IF(Skills!H11&gt;0,INT(MIN(Skills!I11,MAX(0,MAX(0,Inputs!$B$43-B431)-((R404-1)*((IF(Inputs!$B$38="pvp",15,MAX(0.1,Skills!D11-IF(TRUE=TRUE,Inputs!$B$32,0)))*(1-IF(AND(ArtifactsInput!$M$27,Inputs!$B$4="Chapter Hunt"),CHOOSE(ArtifactsInput!$N$27+1,20,24,28,32,36,40),0)/100))/B435))))/Skills!H11+0.000000001),1)))/Inputs!$B$43),G404*Q404))*IF(Inputs!$B$38="pvp",1,(1+(Inputs!$B$21+Skills!Q11+(IF(ArtifactsInput!$M$33,CHOOSE(ArtifactsInput!$N$33+1,30,36,42,48,54,60),0))+(IF(AND(ArtifactsInput!$M$35,Inputs!$B$4&lt;&gt;"Chapter Hunt"),CHOOSE(ArtifactsInput!$N$35+1,15,18,21,24,27,30)*(1-EXP(-(0.2*B426)*5)),0)+IF(AND(ArtifactsInput!$M$22,Inputs!$B$4&lt;&gt;"Chapter Hunt"),CHOOSE(ArtifactsInput!$N$22+1,10,12,14,16,18,20)*((0*(((0.15*B426*5))^0/1)+1*(((0.15*B426*5))^1/1)+2*(((0.15*B426*5))^2/2)+3*(((0.15*B426*5))^3/6)+4*(((0.15*B426*5))^4/24)+5*(((0.15*B426*5))^5/120))/((((0.15*B426*5))^0/1)+(((0.15*B426*5))^1/1)+(((0.15*B426*5))^2/2)+(((0.15*B426*5))^3/6)+(((0.15*B426*5))^4/24)+(((0.15*B426*5))^5/120))),0))+IF(Inputs!$B$3&gt;=54,9*(C396=TRUE)*MIN(1,8*(1+Inputs!$B$34/100)*Q396),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05">
      <c r="A405">
        <f>Skills!A12</f>
        <v/>
      </c>
      <c r="B405">
        <f>Skills!B12</f>
        <v/>
      </c>
      <c r="C405">
        <f>Inputs!$B$3&gt;=110</f>
        <v/>
      </c>
      <c r="D405">
        <f>IF(Skills!C12=1,60+Inputs!$B$25+Inputs!$B$29,IF(Skills!C12=2,90+Inputs!$B$26+Inputs!$B$29,IF(Skills!C12=3,120+Inputs!$B$27+Inputs!$B$29,MAX(0,(Inputs!$B$3-100)*3)+Inputs!$B$28+Inputs!$B$29)))</f>
        <v/>
      </c>
      <c r="E405">
        <f>INDEX(FactorTable!$B$2:$Y$301, MATCH(ROUND(MIN(300,MAX(1,D405)),0), FactorTable!$A$2:$A$301,0), Skills!M12+1)</f>
        <v/>
      </c>
      <c r="F405">
        <f>IF(Skills!N12=TRUE,(Skills!L12/10)*(E405/1000),Skills!L12/10)+Skills!O12</f>
        <v/>
      </c>
      <c r="G405">
        <f>Skills!G12*IF(Skills!H12&gt;0,INT(IF(Inputs!$B$38="pvp",MIN(Skills!I12,15),Skills!I12)/Skills!H12+0.000000001),1)</f>
        <v/>
      </c>
      <c r="H405">
        <f>1-(1-Skills!J12/100)^Skills!K12</f>
        <v/>
      </c>
      <c r="I405" t="inlineStr">
        <is>
          <t>1</t>
        </is>
      </c>
      <c r="J405">
        <f>((Inputs!$B$6*(1+Inputs!$B$7/100))+(((Inputs!$B$12*(1+Inputs!$B$13/100))-(Inputs!$B$12*(1+Inputs!$B$13/100)))+0.25*(Inputs!$B$14-Inputs!$B$14))*(1+Inputs!$B$7/100))*(F405/100)</f>
        <v/>
      </c>
      <c r="K405">
        <f>J405*(1+((Inputs!$B$12*(1+Inputs!$B$13/100))*0.01+Inputs!$B$14*0.0025)/100)*(1+Inputs!$B$15/100)*(1+Inputs!$B$16/100)*(5000/(6000+Inputs!$B$42*(1-(100*(1-(1-(Inputs!$B$19+0)/100)*(1-CHOOSE(ArtifactsInput!$N$40+1,5,6,7,8,9,10)/100)^(ArtifactsInput!$M$40-ArtifactsInput!$M$40)))/100)))*(1+(((((1+(Inputs!$B$24+Summary!$B$21)/100)*(1.01))-1)*100-(Summary!$B$21))+((C419=TRUE)*(F419-Calc!F26))+B430)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EIGHT_LEGS_EASTON",Inputs!$B$17+((C416=TRUE)*(F416-Calc!F23))+((C420=TRUE)*(F420-Calc!F27))+((IF(AND(Inputs!$B$38&lt;&gt;"pvp",Inputs!$B$43=0),1,IF(IF(Inputs!$B$38="pvp",15,Inputs!$B$43)-(B431)&lt;=0,1,MAX(0,IF(Inputs!$B$38="pvp",15,Inputs!$B$43)-MAX(5,B431))/(IF(Inputs!$B$38="pvp",15,Inputs!$B$43)-(B431))))*(IF(AND(ArtifactsInput!$M$42,((Inputs!$B$9+((C412=TRUE)*(F412-Calc!F19))+B424+(ArtifactsInput!$M$24-ArtifactsInput!$M$24)*CHOOSE(ArtifactsInput!$N$24+1,10,12,14,16,18,20)+IF(ArtifactsInput!$M$10,CHOOSE(ArtifactsInput!$N$10+1,15,18,21,24,27,30)*(IF(Inputs!$B$38="pvp",MIN(15,15)/15,IF(AND(Inputs!$B$38&lt;&gt;"pvp",Inputs!$B$43&gt;0),MIN(15,Inputs!$B$43)/(Inputs!$B$43),0))),0)))&gt;=100),MIN(100,((Inputs!$B$9+((C412=TRUE)*(F412-Calc!F19))+B424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431)&lt;=0,1,MAX(0,IF(Inputs!$B$38="pvp",15,Inputs!$B$43)-MAX(5,B431))/(IF(Inputs!$B$38="pvp",15,Inputs!$B$43)-(B431))))*IF(AND(ArtifactsInput!$M$42,((Inputs!$B$9+((C412=TRUE)*(F412-Calc!F19))+B424+(ArtifactsInput!$M$24-ArtifactsInput!$M$24)*CHOOSE(ArtifactsInput!$N$24+1,10,12,14,16,18,20)+IF(ArtifactsInput!$M$10,CHOOSE(ArtifactsInput!$N$10+1,15,18,21,24,27,30)*(IF(Inputs!$B$38="pvp",MIN(15,15)/15,IF(AND(Inputs!$B$38&lt;&gt;"pvp",Inputs!$B$43&gt;0),MIN(15,Inputs!$B$43)/(Inputs!$B$43),0))),0)))&gt;=100),CHOOSE(ArtifactsInput!$N$42+1,40,48,56,64,72,80),0))))/100)*((1+(((C410=TRUE)*F410*5/7)+((C417=TRUE)*(F417-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405)</f>
        <v/>
      </c>
      <c r="L405">
        <f>K405*(MIN(Inputs!$B$22+((C415=TRUE)*(F415-Calc!F22)),(Inputs!$B$23+0+(IF(ArtifactsInput!$M$15,CHOOSE(ArtifactsInput!$N$15+1,25,30,35,40,45,50)/100*(Inputs!$B$11-Inputs!$B$11),0))))/100+(Inputs!$B$23+0+(IF(ArtifactsInput!$M$15,CHOOSE(ArtifactsInput!$N$15+1,25,30,35,40,45,50)/100*(Inputs!$B$11-Inputs!$B$11),0)))/100)/2</f>
        <v/>
      </c>
      <c r="M405">
        <f>L405*(1+(Inputs!$B$10+((C418=TRUE)*(F418-Calc!F25))+B429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05">
        <f>L405*(1-MIN((Inputs!$B$9+((C412=TRUE)*(F412-Calc!F19))+B424+(ArtifactsInput!$M$24-ArtifactsInput!$M$24)*CHOOSE(ArtifactsInput!$N$24+1,10,12,14,16,18,20)+(IF(AND(Inputs!$B$38&lt;&gt;"pvp",Inputs!$B$43=0),1,IF(IF(Inputs!$B$38="pvp",15,Inputs!$B$43)-(B431)&lt;=0,1,MAX(0,IF(Inputs!$B$38="pvp",15,Inputs!$B$43)-MAX(5,B431))/(IF(Inputs!$B$38="pvp",15,Inputs!$B$43)-(B431))))*IF(AND(ArtifactsInput!$M$42,((Inputs!$B$9+((C412=TRUE)*(F412-Calc!F19))+B424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405*(MIN((Inputs!$B$9+((C412=TRUE)*(F412-Calc!F19))+B424+(ArtifactsInput!$M$24-ArtifactsInput!$M$24)*CHOOSE(ArtifactsInput!$N$24+1,10,12,14,16,18,20)+(IF(AND(Inputs!$B$38&lt;&gt;"pvp",Inputs!$B$43=0),1,IF(IF(Inputs!$B$38="pvp",15,Inputs!$B$43)-(B431)&lt;=0,1,MAX(0,IF(Inputs!$B$38="pvp",15,Inputs!$B$43)-MAX(5,B431))/(IF(Inputs!$B$38="pvp",15,Inputs!$B$43)-(B431))))*IF(AND(ArtifactsInput!$M$42,((Inputs!$B$9+((C412=TRUE)*(F412-Calc!F19))+B424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05">
        <f>(1-Summary!$B$11)*T405+Summary!$B$11*V405</f>
        <v/>
      </c>
      <c r="P405">
        <f>IF(B434=0,0,O405/B434)</f>
        <v/>
      </c>
      <c r="Q405">
        <f>IFERROR(1/(IF(Inputs!$B$38="pvp",15,MAX(0.1,Skills!D12-IF(TRUE=TRUE,Inputs!$B$32,0)))*(1-IF(AND(ArtifactsInput!$M$27,Inputs!$B$4="Chapter Hunt"),CHOOSE(ArtifactsInput!$N$27+1,20,24,28,32,36,40),0)/100)),0)</f>
        <v/>
      </c>
      <c r="R405">
        <f>IF(AND(Inputs!$B$38&lt;&gt;"pvp",Inputs!$B$43&gt;0),IF(MAX(0,Inputs!$B$43-B431)&lt;=0,0,(INT(MAX(0,Inputs!$B$43-B431)/(IF(Inputs!$B$38="pvp",15,MAX(0.1,Skills!D12-IF(TRUE=TRUE,Inputs!$B$32,0)))*(1-IF(AND(ArtifactsInput!$M$27,Inputs!$B$4="Chapter Hunt"),CHOOSE(ArtifactsInput!$N$27+1,20,24,28,32,36,40),0)/100)))+1)),0)</f>
        <v/>
      </c>
      <c r="S405">
        <f>IFERROR(O405/N405,0)</f>
        <v/>
      </c>
      <c r="T405">
        <f>IF(C405,(H405*N405*IF(AND(Inputs!$B$38&lt;&gt;"pvp",Inputs!$B$43&gt;0),((Skills!G12*((R405-1)*IF(Skills!H12&gt;0,INT(Skills!I12/Skills!H12+0.000000001),1)+IF(Skills!H12&gt;0,INT(MIN(Skills!I12,MAX(0,MAX(0,Inputs!$B$43-B431)-((R405-1)*(IF(Inputs!$B$38="pvp",15,MAX(0.1,Skills!D12-IF(TRUE=TRUE,Inputs!$B$32,0)))*(1-IF(AND(ArtifactsInput!$M$27,Inputs!$B$4="Chapter Hunt"),CHOOSE(ArtifactsInput!$N$27+1,20,24,28,32,36,40),0)/100)))))/Skills!H12+0.000000001),1)))/Inputs!$B$43),G405*Q405))*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Hunt"),CHOOSE(ArtifactsInput!$N$35+1,15,18,21,24,27,30)*(1-EXP(-(0.2*B426)*5)),0)+IF(AND(ArtifactsInput!$M$22,Inputs!$B$4&lt;&gt;"Chapter Hunt"),CHOOSE(ArtifactsInput!$N$22+1,10,12,14,16,18,20)*((0*(((0.15*B426*5))^0/1)+1*(((0.15*B426*5))^1/1)+2*(((0.15*B426*5))^2/2)+3*(((0.15*B426*5))^3/6)+4*(((0.15*B426*5))^4/24)+5*(((0.15*B426*5))^5/120))/((((0.15*B426*5))^0/1)+(((0.15*B426*5))^1/1)+(((0.15*B426*5))^2/2)+(((0.15*B426*5))^3/6)+(((0.15*B426*5))^4/24)+(((0.15*B426*5))^5/120))),0))+IF(Inputs!$B$3&gt;=54,9*(C396=TRUE)*MIN(1,8*(1+Inputs!$B$34/100)*Q396)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405*(1-MIN(100,(Inputs!$B$9+((C412=TRUE)*(F412-Calc!F19))+B424+(ArtifactsInput!$M$24-ArtifactsInput!$M$24)*CHOOSE(ArtifactsInput!$N$24+1,10,12,14,16,18,20)+(IF(AND(Inputs!$B$38&lt;&gt;"pvp",Inputs!$B$43=0),1,IF(IF(Inputs!$B$38="pvp",15,Inputs!$B$43)-(B431)&lt;=0,1,MAX(0,IF(Inputs!$B$38="pvp",15,Inputs!$B$43)-MAX(5,B431))/(IF(Inputs!$B$38="pvp",15,Inputs!$B$43)-(B431))))*IF(AND(ArtifactsInput!$M$42,((Inputs!$B$9+((C412=TRUE)*(F412-Calc!F19))+B424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405*(MIN(100,(Inputs!$B$9+((C412=TRUE)*(F412-Calc!F19))+B424+(ArtifactsInput!$M$24-ArtifactsInput!$M$24)*CHOOSE(ArtifactsInput!$N$24+1,10,12,14,16,18,20)+(IF(AND(Inputs!$B$38&lt;&gt;"pvp",Inputs!$B$43=0),1,IF(IF(Inputs!$B$38="pvp",15,Inputs!$B$43)-(B431)&lt;=0,1,MAX(0,IF(Inputs!$B$38="pvp",15,Inputs!$B$43)-MAX(5,B431))/(IF(Inputs!$B$38="pvp",15,Inputs!$B$43)-(B431))))*IF(AND(ArtifactsInput!$M$42,((Inputs!$B$9+((C412=TRUE)*(F412-Calc!F19))+B424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405*(1-MIN(100,(Inputs!$B$9+((C412=TRUE)*(F412-Calc!F19))+B424+(ArtifactsInput!$M$24-ArtifactsInput!$M$24)*CHOOSE(ArtifactsInput!$N$24+1,10,12,14,16,18,20)+(IF(AND(Inputs!$B$38&lt;&gt;"pvp",Inputs!$B$43=0),1,IF(IF(Inputs!$B$38="pvp",15,Inputs!$B$43)-(B431)&lt;=0,1,MAX(0,IF(Inputs!$B$38="pvp",15,Inputs!$B$43)-MAX(5,B431))/(IF(Inputs!$B$38="pvp",15,Inputs!$B$43)-(B431))))*IF(AND(ArtifactsInput!$M$42,((Inputs!$B$9+((C412=TRUE)*(F412-Calc!F19))+B424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405*(MIN(100,(Inputs!$B$9+((C412=TRUE)*(F412-Calc!F19))+B424+(ArtifactsInput!$M$24-ArtifactsInput!$M$24)*CHOOSE(ArtifactsInput!$N$24+1,10,12,14,16,18,20)+(IF(AND(Inputs!$B$38&lt;&gt;"pvp",Inputs!$B$43=0),1,IF(IF(Inputs!$B$38="pvp",15,Inputs!$B$43)-(B431)&lt;=0,1,MAX(0,IF(Inputs!$B$38="pvp",15,Inputs!$B$43)-MAX(5,B431))/(IF(Inputs!$B$38="pvp",15,Inputs!$B$43)-(B431))))*IF(AND(ArtifactsInput!$M$42,((Inputs!$B$9+((C412=TRUE)*(F412-Calc!F19))+B424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405">
        <f>IF(C405,(H405*N405*IF(AND(Inputs!$B$38&lt;&gt;"pvp",Inputs!$B$43&gt;0),((Skills!G12*((R405-1)*IF(Skills!H12&gt;0,INT(Skills!I12/Skills!H12+0.000000001),1)+IF(Skills!H12&gt;0,INT(MIN(Skills!I12,MAX(0,MAX(0,Inputs!$B$43-B431)-((R405-1)*(IF(Inputs!$B$38="pvp",15,MAX(0.1,Skills!D12-IF(TRUE=TRUE,Inputs!$B$32,0)))*(1-IF(AND(ArtifactsInput!$M$27,Inputs!$B$4="Chapter Hunt"),CHOOSE(ArtifactsInput!$N$27+1,20,24,28,32,36,40),0)/100)))))/Skills!H12+0.000000001),1)))/Inputs!$B$43),G405*Q405))*IF(Inputs!$B$38="pvp",1,(1+(Inputs!$B$21+Skills!Q12+(IF(ArtifactsInput!$M$33,CHOOSE(ArtifactsInput!$N$33+1,30,36,42,48,54,60),0))+(IF(AND(ArtifactsInput!$M$35,Inputs!$B$4&lt;&gt;"Chapter Hunt"),CHOOSE(ArtifactsInput!$N$35+1,15,18,21,24,27,30)*(1-EXP(-(0.2*B426)*5)),0)+IF(AND(ArtifactsInput!$M$22,Inputs!$B$4&lt;&gt;"Chapter Hunt"),CHOOSE(ArtifactsInput!$N$22+1,10,12,14,16,18,20)*((0*(((0.15*B426*5))^0/1)+1*(((0.15*B426*5))^1/1)+2*(((0.15*B426*5))^2/2)+3*(((0.15*B426*5))^3/6)+4*(((0.15*B426*5))^4/24)+5*(((0.15*B426*5))^5/120))/((((0.15*B426*5))^0/1)+(((0.15*B426*5))^1/1)+(((0.15*B426*5))^2/2)+(((0.15*B426*5))^3/6)+(((0.15*B426*5))^4/24)+(((0.15*B426*5))^5/120))),0))+IF(Inputs!$B$3&gt;=54,9*(C396=TRUE)*MIN(1,8*(1+Inputs!$B$34/100)*Q396),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06">
      <c r="A406">
        <f>Skills!A13</f>
        <v/>
      </c>
      <c r="B406">
        <f>Skills!B13</f>
        <v/>
      </c>
      <c r="C406">
        <f>Inputs!$B$3&gt;=110</f>
        <v/>
      </c>
      <c r="D406">
        <f>IF(Skills!C13=1,60+Inputs!$B$25+Inputs!$B$29,IF(Skills!C13=2,90+Inputs!$B$26+Inputs!$B$29,IF(Skills!C13=3,120+Inputs!$B$27+Inputs!$B$29,MAX(0,(Inputs!$B$3-100)*3)+Inputs!$B$28+Inputs!$B$29)))</f>
        <v/>
      </c>
      <c r="E406">
        <f>INDEX(FactorTable!$B$2:$Y$301, MATCH(ROUND(MIN(300,MAX(1,D406)),0), FactorTable!$A$2:$A$301,0), Skills!M13+1)</f>
        <v/>
      </c>
      <c r="F406">
        <f>IF(Skills!N13=TRUE,(Skills!L13/10)*(E406/1000),Skills!L13/10)+Skills!O13</f>
        <v/>
      </c>
      <c r="G406">
        <f>Skills!G13*IF(Skills!H13&gt;0,INT(IF(Inputs!$B$38="pvp",MIN(Skills!I13,15),Skills!I13)/Skills!H13+0.000000001),1)</f>
        <v/>
      </c>
      <c r="H406">
        <f>1-(1-Skills!J13/100)^Skills!K13</f>
        <v/>
      </c>
      <c r="I406" t="inlineStr">
        <is>
          <t>1</t>
        </is>
      </c>
      <c r="J406">
        <f>((Inputs!$B$6*(1+Inputs!$B$7/100))+(((Inputs!$B$12*(1+Inputs!$B$13/100))-(Inputs!$B$12*(1+Inputs!$B$13/100)))+0.25*(Inputs!$B$14-Inputs!$B$14))*(1+Inputs!$B$7/100))*(F406/100)</f>
        <v/>
      </c>
      <c r="K406">
        <f>J406*(1+((Inputs!$B$12*(1+Inputs!$B$13/100))*0.01+Inputs!$B$14*0.0025)/100)*(1+Inputs!$B$15/100)*(1+Inputs!$B$16/100)*(5000/(6000+Inputs!$B$42*(1-(100*(1-(1-(Inputs!$B$19+0)/100)*(1-CHOOSE(ArtifactsInput!$N$40+1,5,6,7,8,9,10)/100)^(ArtifactsInput!$M$40-ArtifactsInput!$M$40)))/100)))*(1+(((((1+(Inputs!$B$24+Summary!$B$21)/100)*(1.01))-1)*100-(Summary!$B$21))+((C419=TRUE)*(F419-Calc!F26))+B430)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EIGHT_LEGS_EASTON",Inputs!$B$17+((C416=TRUE)*(F416-Calc!F23))+((C420=TRUE)*(F420-Calc!F27))+((IF(AND(Inputs!$B$38&lt;&gt;"pvp",Inputs!$B$43=0),1,IF(IF(Inputs!$B$38="pvp",15,Inputs!$B$43)-(B431)&lt;=0,1,MAX(0,IF(Inputs!$B$38="pvp",15,Inputs!$B$43)-MAX(5,B431))/(IF(Inputs!$B$38="pvp",15,Inputs!$B$43)-(B431))))*(IF(AND(ArtifactsInput!$M$42,((Inputs!$B$9+((C412=TRUE)*(F412-Calc!F19))+B424+(ArtifactsInput!$M$24-ArtifactsInput!$M$24)*CHOOSE(ArtifactsInput!$N$24+1,10,12,14,16,18,20)+IF(ArtifactsInput!$M$10,CHOOSE(ArtifactsInput!$N$10+1,15,18,21,24,27,30)*(IF(Inputs!$B$38="pvp",MIN(15,15)/15,IF(AND(Inputs!$B$38&lt;&gt;"pvp",Inputs!$B$43&gt;0),MIN(15,Inputs!$B$43)/(Inputs!$B$43),0))),0)))&gt;=100),MIN(100,((Inputs!$B$9+((C412=TRUE)*(F412-Calc!F19))+B424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431)&lt;=0,1,MAX(0,IF(Inputs!$B$38="pvp",15,Inputs!$B$43)-MAX(5,B431))/(IF(Inputs!$B$38="pvp",15,Inputs!$B$43)-(B431))))*IF(AND(ArtifactsInput!$M$42,((Inputs!$B$9+((C412=TRUE)*(F412-Calc!F19))+B424+(ArtifactsInput!$M$24-ArtifactsInput!$M$24)*CHOOSE(ArtifactsInput!$N$24+1,10,12,14,16,18,20)+IF(ArtifactsInput!$M$10,CHOOSE(ArtifactsInput!$N$10+1,15,18,21,24,27,30)*(IF(Inputs!$B$38="pvp",MIN(15,15)/15,IF(AND(Inputs!$B$38&lt;&gt;"pvp",Inputs!$B$43&gt;0),MIN(15,Inputs!$B$43)/(Inputs!$B$43),0))),0)))&gt;=100),CHOOSE(ArtifactsInput!$N$42+1,40,48,56,64,72,80),0))))/100)*((1+(((C410=TRUE)*F410*5/7)+((C417=TRUE)*(F417-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406)</f>
        <v/>
      </c>
      <c r="L406">
        <f>K406*(MIN(Inputs!$B$22+((C415=TRUE)*(F415-Calc!F22)),(Inputs!$B$23+0+(IF(ArtifactsInput!$M$15,CHOOSE(ArtifactsInput!$N$15+1,25,30,35,40,45,50)/100*(Inputs!$B$11-Inputs!$B$11),0))))/100+(Inputs!$B$23+0+(IF(ArtifactsInput!$M$15,CHOOSE(ArtifactsInput!$N$15+1,25,30,35,40,45,50)/100*(Inputs!$B$11-Inputs!$B$11),0)))/100)/2</f>
        <v/>
      </c>
      <c r="M406">
        <f>L406*(1+(Inputs!$B$10+((C418=TRUE)*(F418-Calc!F25))+B429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06">
        <f>L406*(1-MIN((Inputs!$B$9+((C412=TRUE)*(F412-Calc!F19))+B424+(ArtifactsInput!$M$24-ArtifactsInput!$M$24)*CHOOSE(ArtifactsInput!$N$24+1,10,12,14,16,18,20)+(IF(AND(Inputs!$B$38&lt;&gt;"pvp",Inputs!$B$43=0),1,IF(IF(Inputs!$B$38="pvp",15,Inputs!$B$43)-(B431)&lt;=0,1,MAX(0,IF(Inputs!$B$38="pvp",15,Inputs!$B$43)-MAX(5,B431))/(IF(Inputs!$B$38="pvp",15,Inputs!$B$43)-(B431))))*IF(AND(ArtifactsInput!$M$42,((Inputs!$B$9+((C412=TRUE)*(F412-Calc!F19))+B424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406*(MIN((Inputs!$B$9+((C412=TRUE)*(F412-Calc!F19))+B424+(ArtifactsInput!$M$24-ArtifactsInput!$M$24)*CHOOSE(ArtifactsInput!$N$24+1,10,12,14,16,18,20)+(IF(AND(Inputs!$B$38&lt;&gt;"pvp",Inputs!$B$43=0),1,IF(IF(Inputs!$B$38="pvp",15,Inputs!$B$43)-(B431)&lt;=0,1,MAX(0,IF(Inputs!$B$38="pvp",15,Inputs!$B$43)-MAX(5,B431))/(IF(Inputs!$B$38="pvp",15,Inputs!$B$43)-(B431))))*IF(AND(ArtifactsInput!$M$42,((Inputs!$B$9+((C412=TRUE)*(F412-Calc!F19))+B424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06">
        <f>(1-Summary!$B$11)*T406+Summary!$B$11*V406</f>
        <v/>
      </c>
      <c r="P406">
        <f>IF(B434=0,0,O406/B434)</f>
        <v/>
      </c>
      <c r="Q406">
        <f>IFERROR(1/(IF(Inputs!$B$38="pvp",15,MAX(0.1,Skills!D13-IF(TRUE=TRUE,Inputs!$B$32,0)))*(1-IF(AND(ArtifactsInput!$M$27,Inputs!$B$4="Chapter Hunt"),CHOOSE(ArtifactsInput!$N$27+1,20,24,28,32,36,40),0)/100)),0)</f>
        <v/>
      </c>
      <c r="R406">
        <f>IF(AND(Inputs!$B$38&lt;&gt;"pvp",Inputs!$B$43&gt;0),IF(MAX(0,Inputs!$B$43-B431)&lt;=0,0,(INT(MAX(0,Inputs!$B$43-B431)/(IF(Inputs!$B$38="pvp",15,MAX(0.1,Skills!D13-IF(TRUE=TRUE,Inputs!$B$32,0)))*(1-IF(AND(ArtifactsInput!$M$27,Inputs!$B$4="Chapter Hunt"),CHOOSE(ArtifactsInput!$N$27+1,20,24,28,32,36,40),0)/100)))+1)),0)</f>
        <v/>
      </c>
      <c r="S406">
        <f>IFERROR(O406/N406,0)</f>
        <v/>
      </c>
      <c r="T406">
        <f>IF(C406,(H406*N406*IF(AND(Inputs!$B$38&lt;&gt;"pvp",Inputs!$B$43&gt;0),((Skills!G13*((R406-1)*IF(Skills!H13&gt;0,INT(Skills!I13/Skills!H13+0.000000001),1)+IF(Skills!H13&gt;0,INT(MIN(Skills!I13,MAX(0,MAX(0,Inputs!$B$43-B431)-((R406-1)*(IF(Inputs!$B$38="pvp",15,MAX(0.1,Skills!D13-IF(TRUE=TRUE,Inputs!$B$32,0)))*(1-IF(AND(ArtifactsInput!$M$27,Inputs!$B$4="Chapter Hunt"),CHOOSE(ArtifactsInput!$N$27+1,20,24,28,32,36,40),0)/100)))))/Skills!H13+0.000000001),1)))/Inputs!$B$43),G406*Q406))*IF(Inputs!$B$38="pvp",1,1+(Inputs!$B$20+0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Hunt"),CHOOSE(ArtifactsInput!$N$35+1,15,18,21,24,27,30)*(1-EXP(-(0.2*B426)*5)),0)+IF(AND(ArtifactsInput!$M$22,Inputs!$B$4&lt;&gt;"Chapter Hunt"),CHOOSE(ArtifactsInput!$N$22+1,10,12,14,16,18,20)*((0*(((0.15*B426*5))^0/1)+1*(((0.15*B426*5))^1/1)+2*(((0.15*B426*5))^2/2)+3*(((0.15*B426*5))^3/6)+4*(((0.15*B426*5))^4/24)+5*(((0.15*B426*5))^5/120))/((((0.15*B426*5))^0/1)+(((0.15*B426*5))^1/1)+(((0.15*B426*5))^2/2)+(((0.15*B426*5))^3/6)+(((0.15*B426*5))^4/24)+(((0.15*B426*5))^5/120))),0))+IF(Inputs!$B$3&gt;=54,9*(C396=TRUE)*MIN(1,8*(1+Inputs!$B$34/100)*Q396)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406*(1-MIN(100,(Inputs!$B$9+((C412=TRUE)*(F412-Calc!F19))+B424+(ArtifactsInput!$M$24-ArtifactsInput!$M$24)*CHOOSE(ArtifactsInput!$N$24+1,10,12,14,16,18,20)+(IF(AND(Inputs!$B$38&lt;&gt;"pvp",Inputs!$B$43=0),1,IF(IF(Inputs!$B$38="pvp",15,Inputs!$B$43)-(B431)&lt;=0,1,MAX(0,IF(Inputs!$B$38="pvp",15,Inputs!$B$43)-MAX(5,B431))/(IF(Inputs!$B$38="pvp",15,Inputs!$B$43)-(B431))))*IF(AND(ArtifactsInput!$M$42,((Inputs!$B$9+((C412=TRUE)*(F412-Calc!F19))+B424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406*(MIN(100,(Inputs!$B$9+((C412=TRUE)*(F412-Calc!F19))+B424+(ArtifactsInput!$M$24-ArtifactsInput!$M$24)*CHOOSE(ArtifactsInput!$N$24+1,10,12,14,16,18,20)+(IF(AND(Inputs!$B$38&lt;&gt;"pvp",Inputs!$B$43=0),1,IF(IF(Inputs!$B$38="pvp",15,Inputs!$B$43)-(B431)&lt;=0,1,MAX(0,IF(Inputs!$B$38="pvp",15,Inputs!$B$43)-MAX(5,B431))/(IF(Inputs!$B$38="pvp",15,Inputs!$B$43)-(B431))))*IF(AND(ArtifactsInput!$M$42,((Inputs!$B$9+((C412=TRUE)*(F412-Calc!F19))+B424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406*(1-MIN(100,(Inputs!$B$9+((C412=TRUE)*(F412-Calc!F19))+B424+(ArtifactsInput!$M$24-ArtifactsInput!$M$24)*CHOOSE(ArtifactsInput!$N$24+1,10,12,14,16,18,20)+(IF(AND(Inputs!$B$38&lt;&gt;"pvp",Inputs!$B$43=0),1,IF(IF(Inputs!$B$38="pvp",15,Inputs!$B$43)-(B431)&lt;=0,1,MAX(0,IF(Inputs!$B$38="pvp",15,Inputs!$B$43)-MAX(5,B431))/(IF(Inputs!$B$38="pvp",15,Inputs!$B$43)-(B431))))*IF(AND(ArtifactsInput!$M$42,((Inputs!$B$9+((C412=TRUE)*(F412-Calc!F19))+B424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406*(MIN(100,(Inputs!$B$9+((C412=TRUE)*(F412-Calc!F19))+B424+(ArtifactsInput!$M$24-ArtifactsInput!$M$24)*CHOOSE(ArtifactsInput!$N$24+1,10,12,14,16,18,20)+(IF(AND(Inputs!$B$38&lt;&gt;"pvp",Inputs!$B$43=0),1,IF(IF(Inputs!$B$38="pvp",15,Inputs!$B$43)-(B431)&lt;=0,1,MAX(0,IF(Inputs!$B$38="pvp",15,Inputs!$B$43)-MAX(5,B431))/(IF(Inputs!$B$38="pvp",15,Inputs!$B$43)-(B431))))*IF(AND(ArtifactsInput!$M$42,((Inputs!$B$9+((C412=TRUE)*(F412-Calc!F19))+B424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406">
        <f>IF(C406,(H406*N406*IF(AND(Inputs!$B$38&lt;&gt;"pvp",Inputs!$B$43&gt;0),((Skills!G13*((R406-1)*IF(Skills!H13&gt;0,INT(Skills!I13/Skills!H13+0.000000001),1)+IF(Skills!H13&gt;0,INT(MIN(Skills!I13,MAX(0,MAX(0,Inputs!$B$43-B431)-((R406-1)*(IF(Inputs!$B$38="pvp",15,MAX(0.1,Skills!D13-IF(TRUE=TRUE,Inputs!$B$32,0)))*(1-IF(AND(ArtifactsInput!$M$27,Inputs!$B$4="Chapter Hunt"),CHOOSE(ArtifactsInput!$N$27+1,20,24,28,32,36,40),0)/100)))))/Skills!H13+0.000000001),1)))/Inputs!$B$43),G406*Q406))*IF(Inputs!$B$38="pvp",1,(1+(Inputs!$B$21+Skills!Q13+(IF(ArtifactsInput!$M$33,CHOOSE(ArtifactsInput!$N$33+1,30,36,42,48,54,60),0))+(IF(AND(ArtifactsInput!$M$35,Inputs!$B$4&lt;&gt;"Chapter Hunt"),CHOOSE(ArtifactsInput!$N$35+1,15,18,21,24,27,30)*(1-EXP(-(0.2*B426)*5)),0)+IF(AND(ArtifactsInput!$M$22,Inputs!$B$4&lt;&gt;"Chapter Hunt"),CHOOSE(ArtifactsInput!$N$22+1,10,12,14,16,18,20)*((0*(((0.15*B426*5))^0/1)+1*(((0.15*B426*5))^1/1)+2*(((0.15*B426*5))^2/2)+3*(((0.15*B426*5))^3/6)+4*(((0.15*B426*5))^4/24)+5*(((0.15*B426*5))^5/120))/((((0.15*B426*5))^0/1)+(((0.15*B426*5))^1/1)+(((0.15*B426*5))^2/2)+(((0.15*B426*5))^3/6)+(((0.15*B426*5))^4/24)+(((0.15*B426*5))^5/120))),0))+IF(Inputs!$B$3&gt;=54,9*(C396=TRUE)*MIN(1,8*(1+Inputs!$B$34/100)*Q396),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07">
      <c r="A407">
        <f>Skills!A14</f>
        <v/>
      </c>
      <c r="B407">
        <f>Skills!B14</f>
        <v/>
      </c>
      <c r="C407">
        <f>Inputs!$B$3&gt;=120</f>
        <v/>
      </c>
      <c r="D407">
        <f>IF(Skills!C14=1,60+Inputs!$B$25+Inputs!$B$29,IF(Skills!C14=2,90+Inputs!$B$26+Inputs!$B$29,IF(Skills!C14=3,120+Inputs!$B$27+Inputs!$B$29,MAX(0,(Inputs!$B$3-100)*3)+Inputs!$B$28+Inputs!$B$29)))</f>
        <v/>
      </c>
      <c r="E407">
        <f>INDEX(FactorTable!$B$2:$Y$301, MATCH(ROUND(MIN(300,MAX(1,D407)),0), FactorTable!$A$2:$A$301,0), Skills!M14+1)</f>
        <v/>
      </c>
      <c r="F407">
        <f>IF(Skills!N14=TRUE,(Skills!L14/10)*(E407/1000),Skills!L14/10)+Skills!O14</f>
        <v/>
      </c>
      <c r="G407">
        <f>Skills!G14*IF(Skills!H14&gt;0,INT(IF(Inputs!$B$38="pvp",MIN(Skills!I14,15),Skills!I14)/Skills!H14+0.000000001),1)</f>
        <v/>
      </c>
      <c r="H407">
        <f>1-(1-Skills!J14/100)^Skills!K14</f>
        <v/>
      </c>
      <c r="I407" t="inlineStr">
        <is>
          <t>1</t>
        </is>
      </c>
      <c r="J407">
        <f>((Inputs!$B$6*(1+Inputs!$B$7/100))+(((Inputs!$B$12*(1+Inputs!$B$13/100))-(Inputs!$B$12*(1+Inputs!$B$13/100)))+0.25*(Inputs!$B$14-Inputs!$B$14))*(1+Inputs!$B$7/100))*(F407/100)</f>
        <v/>
      </c>
      <c r="K407">
        <f>J407*(1+((Inputs!$B$12*(1+Inputs!$B$13/100))*0.01+Inputs!$B$14*0.0025)/100)*(1+Inputs!$B$15/100)*(1+Inputs!$B$16/100)*(5000/(6000+Inputs!$B$42*(1-(100*(1-(1-(Inputs!$B$19+0)/100)*(1-CHOOSE(ArtifactsInput!$N$40+1,5,6,7,8,9,10)/100)^(ArtifactsInput!$M$40-ArtifactsInput!$M$40)))/100)))*(1+(((((1+(Inputs!$B$24+Summary!$B$21)/100)*(1.01))-1)*100-(Summary!$B$21))+((C419=TRUE)*(F419-Calc!F26))+B430)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EIGHT_LEGS_EASTON",Inputs!$B$17+((C416=TRUE)*(F416-Calc!F23))+((C420=TRUE)*(F420-Calc!F27))+((IF(AND(Inputs!$B$38&lt;&gt;"pvp",Inputs!$B$43=0),1,IF(IF(Inputs!$B$38="pvp",15,Inputs!$B$43)-(B431)&lt;=0,1,MAX(0,IF(Inputs!$B$38="pvp",15,Inputs!$B$43)-MAX(5,B431))/(IF(Inputs!$B$38="pvp",15,Inputs!$B$43)-(B431))))*(IF(AND(ArtifactsInput!$M$42,((Inputs!$B$9+((C412=TRUE)*(F412-Calc!F19))+B424+(ArtifactsInput!$M$24-ArtifactsInput!$M$24)*CHOOSE(ArtifactsInput!$N$24+1,10,12,14,16,18,20)+IF(ArtifactsInput!$M$10,CHOOSE(ArtifactsInput!$N$10+1,15,18,21,24,27,30)*(IF(Inputs!$B$38="pvp",MIN(15,15)/15,IF(AND(Inputs!$B$38&lt;&gt;"pvp",Inputs!$B$43&gt;0),MIN(15,Inputs!$B$43)/(Inputs!$B$43),0))),0)))&gt;=100),MIN(100,((Inputs!$B$9+((C412=TRUE)*(F412-Calc!F19))+B424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431)&lt;=0,1,MAX(0,IF(Inputs!$B$38="pvp",15,Inputs!$B$43)-MAX(5,B431))/(IF(Inputs!$B$38="pvp",15,Inputs!$B$43)-(B431))))*IF(AND(ArtifactsInput!$M$42,((Inputs!$B$9+((C412=TRUE)*(F412-Calc!F19))+B424+(ArtifactsInput!$M$24-ArtifactsInput!$M$24)*CHOOSE(ArtifactsInput!$N$24+1,10,12,14,16,18,20)+IF(ArtifactsInput!$M$10,CHOOSE(ArtifactsInput!$N$10+1,15,18,21,24,27,30)*(IF(Inputs!$B$38="pvp",MIN(15,15)/15,IF(AND(Inputs!$B$38&lt;&gt;"pvp",Inputs!$B$43&gt;0),MIN(15,Inputs!$B$43)/(Inputs!$B$43),0))),0)))&gt;=100),CHOOSE(ArtifactsInput!$N$42+1,40,48,56,64,72,80),0))))/100)*((1+(((C410=TRUE)*F410*5/7)+((C417=TRUE)*(F417-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407)</f>
        <v/>
      </c>
      <c r="L407">
        <f>K407*(MIN(Inputs!$B$22+((C415=TRUE)*(F415-Calc!F22)),(Inputs!$B$23+0+(IF(ArtifactsInput!$M$15,CHOOSE(ArtifactsInput!$N$15+1,25,30,35,40,45,50)/100*(Inputs!$B$11-Inputs!$B$11),0))))/100+(Inputs!$B$23+0+(IF(ArtifactsInput!$M$15,CHOOSE(ArtifactsInput!$N$15+1,25,30,35,40,45,50)/100*(Inputs!$B$11-Inputs!$B$11),0)))/100)/2</f>
        <v/>
      </c>
      <c r="M407">
        <f>L407*(1+(Inputs!$B$10+((C418=TRUE)*(F418-Calc!F25))+B429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07">
        <f>L407*(1-MIN((Inputs!$B$9+((C412=TRUE)*(F412-Calc!F19))+B424+(ArtifactsInput!$M$24-ArtifactsInput!$M$24)*CHOOSE(ArtifactsInput!$N$24+1,10,12,14,16,18,20)+(IF(AND(Inputs!$B$38&lt;&gt;"pvp",Inputs!$B$43=0),1,IF(IF(Inputs!$B$38="pvp",15,Inputs!$B$43)-(B431)&lt;=0,1,MAX(0,IF(Inputs!$B$38="pvp",15,Inputs!$B$43)-MAX(5,B431))/(IF(Inputs!$B$38="pvp",15,Inputs!$B$43)-(B431))))*IF(AND(ArtifactsInput!$M$42,((Inputs!$B$9+((C412=TRUE)*(F412-Calc!F19))+B424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407*(MIN((Inputs!$B$9+((C412=TRUE)*(F412-Calc!F19))+B424+(ArtifactsInput!$M$24-ArtifactsInput!$M$24)*CHOOSE(ArtifactsInput!$N$24+1,10,12,14,16,18,20)+(IF(AND(Inputs!$B$38&lt;&gt;"pvp",Inputs!$B$43=0),1,IF(IF(Inputs!$B$38="pvp",15,Inputs!$B$43)-(B431)&lt;=0,1,MAX(0,IF(Inputs!$B$38="pvp",15,Inputs!$B$43)-MAX(5,B431))/(IF(Inputs!$B$38="pvp",15,Inputs!$B$43)-(B431))))*IF(AND(ArtifactsInput!$M$42,((Inputs!$B$9+((C412=TRUE)*(F412-Calc!F19))+B424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07">
        <f>(1-Summary!$B$11)*T407+Summary!$B$11*V407</f>
        <v/>
      </c>
      <c r="P407">
        <f>IF(B434=0,0,O407/B434)</f>
        <v/>
      </c>
      <c r="Q407" t="n">
        <v>0</v>
      </c>
      <c r="R407" t="n">
        <v>0</v>
      </c>
      <c r="S407">
        <f>IFERROR(O407/N407,0)</f>
        <v/>
      </c>
      <c r="T407">
        <f>IF(C407,((H407*(B428+IF(AND(Inputs!$B$38&lt;&gt;"pvp",Inputs!$B$43&gt;0),((Skills!G8*((R401-1)*IF(Skills!H8&gt;0,INT(Skills!I8/Skills!H8+0.000000001),1)+IF(Skills!H8&gt;0,INT(MIN(Skills!I8,MAX(0,MAX(0,Inputs!$B$43-B431)-((R401-1)*((IF(Inputs!$B$38="pvp",15,MAX(0.1,Skills!D8-IF(TRUE=TRUE,Inputs!$B$32,0)))*(1-IF(AND(ArtifactsInput!$M$27,Inputs!$B$4="Chapter Hunt"),CHOOSE(ArtifactsInput!$N$27+1,20,24,28,32,36,40),0)/100))/B435))))/Skills!H8+0.000000001),1)))/Inputs!$B$43),G401*Q401)+IF(AND(Inputs!$B$38&lt;&gt;"pvp",Inputs!$B$43&gt;0),((Skills!G11*((R404-1)*IF(Skills!H11&gt;0,INT(Skills!I11/Skills!H11+0.000000001),1)+IF(Skills!H11&gt;0,INT(MIN(Skills!I11,MAX(0,MAX(0,Inputs!$B$43-B431)-((R404-1)*((IF(Inputs!$B$38="pvp",15,MAX(0.1,Skills!D11-IF(TRUE=TRUE,Inputs!$B$32,0)))*(1-IF(AND(ArtifactsInput!$M$27,Inputs!$B$4="Chapter Hunt"),CHOOSE(ArtifactsInput!$N$27+1,20,24,28,32,36,40),0)/100))/B435))))/Skills!H11+0.000000001),1)))/Inputs!$B$43),G404*Q404)))/(1+Skills!H14*H407*(B428+IF(AND(Inputs!$B$38&lt;&gt;"pvp",Inputs!$B$43&gt;0),((Skills!G8*((R401-1)*IF(Skills!H8&gt;0,INT(Skills!I8/Skills!H8+0.000000001),1)+IF(Skills!H8&gt;0,INT(MIN(Skills!I8,MAX(0,MAX(0,Inputs!$B$43-B431)-((R401-1)*((IF(Inputs!$B$38="pvp",15,MAX(0.1,Skills!D8-IF(TRUE=TRUE,Inputs!$B$32,0)))*(1-IF(AND(ArtifactsInput!$M$27,Inputs!$B$4="Chapter Hunt"),CHOOSE(ArtifactsInput!$N$27+1,20,24,28,32,36,40),0)/100))/B435))))/Skills!H8+0.000000001),1)))/Inputs!$B$43),G401*Q401)+IF(AND(Inputs!$B$38&lt;&gt;"pvp",Inputs!$B$43&gt;0),((Skills!G11*((R404-1)*IF(Skills!H11&gt;0,INT(Skills!I11/Skills!H11+0.000000001),1)+IF(Skills!H11&gt;0,INT(MIN(Skills!I11,MAX(0,MAX(0,Inputs!$B$43-B431)-((R404-1)*((IF(Inputs!$B$38="pvp",15,MAX(0.1,Skills!D11-IF(TRUE=TRUE,Inputs!$B$32,0)))*(1-IF(AND(ArtifactsInput!$M$27,Inputs!$B$4="Chapter Hunt"),CHOOSE(ArtifactsInput!$N$27+1,20,24,28,32,36,40),0)/100))/B435))))/Skills!H11+0.000000001),1)))/Inputs!$B$43),G404*Q404)))*N407)*IF(Inputs!$B$38="pvp",1,1+(Inputs!$B$20+0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Hunt"),CHOOSE(ArtifactsInput!$N$35+1,15,18,21,24,27,30)*(1-EXP(-(0.2*B426)*5)),0)+IF(AND(ArtifactsInput!$M$22,Inputs!$B$4&lt;&gt;"Chapter Hunt"),CHOOSE(ArtifactsInput!$N$22+1,10,12,14,16,18,20)*((0*(((0.15*B426*5))^0/1)+1*(((0.15*B426*5))^1/1)+2*(((0.15*B426*5))^2/2)+3*(((0.15*B426*5))^3/6)+4*(((0.15*B426*5))^4/24)+5*(((0.15*B426*5))^5/120))/((((0.15*B426*5))^0/1)+(((0.15*B426*5))^1/1)+(((0.15*B426*5))^2/2)+(((0.15*B426*5))^3/6)+(((0.15*B426*5))^4/24)+(((0.15*B426*5))^5/120))),0))+IF(Inputs!$B$3&gt;=54,9*(C396=TRUE)*MIN(1,8*(1+Inputs!$B$34/100)*Q396)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407*(1-MIN(100,(Inputs!$B$9+((C412=TRUE)*(F412-Calc!F19))+B424+(ArtifactsInput!$M$24-ArtifactsInput!$M$24)*CHOOSE(ArtifactsInput!$N$24+1,10,12,14,16,18,20)+(IF(AND(Inputs!$B$38&lt;&gt;"pvp",Inputs!$B$43=0),1,IF(IF(Inputs!$B$38="pvp",15,Inputs!$B$43)-(B431)&lt;=0,1,MAX(0,IF(Inputs!$B$38="pvp",15,Inputs!$B$43)-MAX(5,B431))/(IF(Inputs!$B$38="pvp",15,Inputs!$B$43)-(B431))))*IF(AND(ArtifactsInput!$M$42,((Inputs!$B$9+((C412=TRUE)*(F412-Calc!F19))+B424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407*(MIN(100,(Inputs!$B$9+((C412=TRUE)*(F412-Calc!F19))+B424+(ArtifactsInput!$M$24-ArtifactsInput!$M$24)*CHOOSE(ArtifactsInput!$N$24+1,10,12,14,16,18,20)+(IF(AND(Inputs!$B$38&lt;&gt;"pvp",Inputs!$B$43=0),1,IF(IF(Inputs!$B$38="pvp",15,Inputs!$B$43)-(B431)&lt;=0,1,MAX(0,IF(Inputs!$B$38="pvp",15,Inputs!$B$43)-MAX(5,B431))/(IF(Inputs!$B$38="pvp",15,Inputs!$B$43)-(B431))))*IF(AND(ArtifactsInput!$M$42,((Inputs!$B$9+((C412=TRUE)*(F412-Calc!F19))+B424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407*(1-MIN(100,(Inputs!$B$9+((C412=TRUE)*(F412-Calc!F19))+B424+(ArtifactsInput!$M$24-ArtifactsInput!$M$24)*CHOOSE(ArtifactsInput!$N$24+1,10,12,14,16,18,20)+(IF(AND(Inputs!$B$38&lt;&gt;"pvp",Inputs!$B$43=0),1,IF(IF(Inputs!$B$38="pvp",15,Inputs!$B$43)-(B431)&lt;=0,1,MAX(0,IF(Inputs!$B$38="pvp",15,Inputs!$B$43)-MAX(5,B431))/(IF(Inputs!$B$38="pvp",15,Inputs!$B$43)-(B431))))*IF(AND(ArtifactsInput!$M$42,((Inputs!$B$9+((C412=TRUE)*(F412-Calc!F19))+B424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407*(MIN(100,(Inputs!$B$9+((C412=TRUE)*(F412-Calc!F19))+B424+(ArtifactsInput!$M$24-ArtifactsInput!$M$24)*CHOOSE(ArtifactsInput!$N$24+1,10,12,14,16,18,20)+(IF(AND(Inputs!$B$38&lt;&gt;"pvp",Inputs!$B$43=0),1,IF(IF(Inputs!$B$38="pvp",15,Inputs!$B$43)-(B431)&lt;=0,1,MAX(0,IF(Inputs!$B$38="pvp",15,Inputs!$B$43)-MAX(5,B431))/(IF(Inputs!$B$38="pvp",15,Inputs!$B$43)-(B431))))*IF(AND(ArtifactsInput!$M$42,((Inputs!$B$9+((C412=TRUE)*(F412-Calc!F19))+B424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407">
        <f>IF(C407,((H407*(B428+IF(AND(Inputs!$B$38&lt;&gt;"pvp",Inputs!$B$43&gt;0),((Skills!G8*((R401-1)*IF(Skills!H8&gt;0,INT(Skills!I8/Skills!H8+0.000000001),1)+IF(Skills!H8&gt;0,INT(MIN(Skills!I8,MAX(0,MAX(0,Inputs!$B$43-B431)-((R401-1)*((IF(Inputs!$B$38="pvp",15,MAX(0.1,Skills!D8-IF(TRUE=TRUE,Inputs!$B$32,0)))*(1-IF(AND(ArtifactsInput!$M$27,Inputs!$B$4="Chapter Hunt"),CHOOSE(ArtifactsInput!$N$27+1,20,24,28,32,36,40),0)/100))/B435))))/Skills!H8+0.000000001),1)))/Inputs!$B$43),G401*Q401)+IF(AND(Inputs!$B$38&lt;&gt;"pvp",Inputs!$B$43&gt;0),((Skills!G11*((R404-1)*IF(Skills!H11&gt;0,INT(Skills!I11/Skills!H11+0.000000001),1)+IF(Skills!H11&gt;0,INT(MIN(Skills!I11,MAX(0,MAX(0,Inputs!$B$43-B431)-((R404-1)*((IF(Inputs!$B$38="pvp",15,MAX(0.1,Skills!D11-IF(TRUE=TRUE,Inputs!$B$32,0)))*(1-IF(AND(ArtifactsInput!$M$27,Inputs!$B$4="Chapter Hunt"),CHOOSE(ArtifactsInput!$N$27+1,20,24,28,32,36,40),0)/100))/B435))))/Skills!H11+0.000000001),1)))/Inputs!$B$43),G404*Q404)))/(1+Skills!H14*H407*(B428+IF(AND(Inputs!$B$38&lt;&gt;"pvp",Inputs!$B$43&gt;0),((Skills!G8*((R401-1)*IF(Skills!H8&gt;0,INT(Skills!I8/Skills!H8+0.000000001),1)+IF(Skills!H8&gt;0,INT(MIN(Skills!I8,MAX(0,MAX(0,Inputs!$B$43-B431)-((R401-1)*((IF(Inputs!$B$38="pvp",15,MAX(0.1,Skills!D8-IF(TRUE=TRUE,Inputs!$B$32,0)))*(1-IF(AND(ArtifactsInput!$M$27,Inputs!$B$4="Chapter Hunt"),CHOOSE(ArtifactsInput!$N$27+1,20,24,28,32,36,40),0)/100))/B435))))/Skills!H8+0.000000001),1)))/Inputs!$B$43),G401*Q401)+IF(AND(Inputs!$B$38&lt;&gt;"pvp",Inputs!$B$43&gt;0),((Skills!G11*((R404-1)*IF(Skills!H11&gt;0,INT(Skills!I11/Skills!H11+0.000000001),1)+IF(Skills!H11&gt;0,INT(MIN(Skills!I11,MAX(0,MAX(0,Inputs!$B$43-B431)-((R404-1)*((IF(Inputs!$B$38="pvp",15,MAX(0.1,Skills!D11-IF(TRUE=TRUE,Inputs!$B$32,0)))*(1-IF(AND(ArtifactsInput!$M$27,Inputs!$B$4="Chapter Hunt"),CHOOSE(ArtifactsInput!$N$27+1,20,24,28,32,36,40),0)/100))/B435))))/Skills!H11+0.000000001),1)))/Inputs!$B$43),G404*Q404)))*N407)*IF(Inputs!$B$38="pvp",1,(1+(Inputs!$B$21+Skills!Q14+(IF(ArtifactsInput!$M$33,CHOOSE(ArtifactsInput!$N$33+1,30,36,42,48,54,60),0))+(IF(AND(ArtifactsInput!$M$35,Inputs!$B$4&lt;&gt;"Chapter Hunt"),CHOOSE(ArtifactsInput!$N$35+1,15,18,21,24,27,30)*(1-EXP(-(0.2*B426)*5)),0)+IF(AND(ArtifactsInput!$M$22,Inputs!$B$4&lt;&gt;"Chapter Hunt"),CHOOSE(ArtifactsInput!$N$22+1,10,12,14,16,18,20)*((0*(((0.15*B426*5))^0/1)+1*(((0.15*B426*5))^1/1)+2*(((0.15*B426*5))^2/2)+3*(((0.15*B426*5))^3/6)+4*(((0.15*B426*5))^4/24)+5*(((0.15*B426*5))^5/120))/((((0.15*B426*5))^0/1)+(((0.15*B426*5))^1/1)+(((0.15*B426*5))^2/2)+(((0.15*B426*5))^3/6)+(((0.15*B426*5))^4/24)+(((0.15*B426*5))^5/120))),0))+IF(Inputs!$B$3&gt;=54,9*(C396=TRUE)*MIN(1,8*(1+Inputs!$B$34/100)*Q396),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08">
      <c r="A408">
        <f>Skills!A15</f>
        <v/>
      </c>
      <c r="B408">
        <f>Skills!B15</f>
        <v/>
      </c>
      <c r="C408">
        <f>Inputs!$B$3&gt;=100</f>
        <v/>
      </c>
      <c r="D408">
        <f>IF(Skills!C15=1,60+Inputs!$B$25+Inputs!$B$29,IF(Skills!C15=2,90+Inputs!$B$26+Inputs!$B$29,IF(Skills!C15=3,120+Inputs!$B$27+Inputs!$B$29,MAX(0,(Inputs!$B$3-100)*3)+Inputs!$B$28+Inputs!$B$29)))</f>
        <v/>
      </c>
      <c r="E408">
        <f>INDEX(FactorTable!$B$2:$Y$301, MATCH(ROUND(MIN(300,MAX(1,D408)),0), FactorTable!$A$2:$A$301,0), Skills!M15+1)</f>
        <v/>
      </c>
      <c r="F408">
        <f>IF(Skills!N15=TRUE,(Skills!L15/10)*(E408/1000),Skills!L15/10)+Skills!O15</f>
        <v/>
      </c>
      <c r="G408" t="inlineStr"/>
      <c r="H408" t="inlineStr"/>
      <c r="I408" t="inlineStr">
        <is>
          <t>1</t>
        </is>
      </c>
      <c r="J408" t="inlineStr"/>
      <c r="K408" t="inlineStr"/>
      <c r="L408" t="inlineStr"/>
      <c r="M408" t="inlineStr"/>
      <c r="N408" t="inlineStr"/>
      <c r="O408" t="inlineStr"/>
      <c r="P408" t="inlineStr"/>
      <c r="Q408" t="inlineStr"/>
      <c r="R408" t="inlineStr"/>
      <c r="S408" t="inlineStr"/>
    </row>
    <row r="409">
      <c r="A409">
        <f>Skills!A16</f>
        <v/>
      </c>
      <c r="B409">
        <f>Skills!B16</f>
        <v/>
      </c>
      <c r="C409">
        <f>Inputs!$B$3&gt;=107</f>
        <v/>
      </c>
      <c r="D409">
        <f>IF(Skills!C16=1,60+Inputs!$B$25+Inputs!$B$29,IF(Skills!C16=2,90+Inputs!$B$26+Inputs!$B$29,IF(Skills!C16=3,120+Inputs!$B$27+Inputs!$B$29,MAX(0,(Inputs!$B$3-100)*3)+Inputs!$B$28+Inputs!$B$29)))</f>
        <v/>
      </c>
      <c r="E409">
        <f>INDEX(FactorTable!$B$2:$Y$301, MATCH(ROUND(MIN(300,MAX(1,D409)),0), FactorTable!$A$2:$A$301,0), Skills!M16+1)</f>
        <v/>
      </c>
      <c r="F409">
        <f>IF(Skills!N16=TRUE,(Skills!L16/10)*(E409/1000),Skills!L16/10)+Skills!O16</f>
        <v/>
      </c>
      <c r="G409" t="inlineStr"/>
      <c r="H409" t="inlineStr"/>
      <c r="I409" t="inlineStr">
        <is>
          <t>1</t>
        </is>
      </c>
      <c r="J409" t="inlineStr"/>
      <c r="K409" t="inlineStr"/>
      <c r="L409" t="inlineStr"/>
      <c r="M409" t="inlineStr"/>
      <c r="N409" t="inlineStr"/>
      <c r="O409" t="inlineStr"/>
      <c r="P409" t="inlineStr"/>
      <c r="Q409" t="inlineStr"/>
      <c r="R409" t="inlineStr"/>
      <c r="S409" t="inlineStr"/>
    </row>
    <row r="410">
      <c r="A410">
        <f>Skills!A17</f>
        <v/>
      </c>
      <c r="B410">
        <f>Skills!B17</f>
        <v/>
      </c>
      <c r="C410">
        <f>Inputs!$B$3&gt;=74</f>
        <v/>
      </c>
      <c r="D410">
        <f>IF(Skills!C17=1,60+Inputs!$B$25+Inputs!$B$29,IF(Skills!C17=2,90+Inputs!$B$26+Inputs!$B$29,IF(Skills!C17=3,120+Inputs!$B$27+Inputs!$B$29,MAX(0,(Inputs!$B$3-100)*3)+Inputs!$B$28+Inputs!$B$29)))</f>
        <v/>
      </c>
      <c r="E410">
        <f>INDEX(FactorTable!$B$2:$Y$301, MATCH(ROUND(MIN(300,MAX(1,D410)),0), FactorTable!$A$2:$A$301,0), Skills!M17+1)</f>
        <v/>
      </c>
      <c r="F410">
        <f>IF(Skills!N17=TRUE,(Skills!L17/10)*(E410/1000),Skills!L17/10)+Skills!O17</f>
        <v/>
      </c>
      <c r="G410">
        <f>Skills!G17*IF(Skills!H17&gt;0,INT(IF(Inputs!$B$38="pvp",MIN(Skills!I17,15),Skills!I17)/Skills!H17+0.000000001),1)</f>
        <v/>
      </c>
      <c r="H410">
        <f>1-(1-Skills!J17/100)^Skills!K17</f>
        <v/>
      </c>
      <c r="I410" t="inlineStr">
        <is>
          <t>1</t>
        </is>
      </c>
      <c r="J410" t="inlineStr"/>
      <c r="K410" t="inlineStr"/>
      <c r="L410" t="inlineStr"/>
      <c r="M410" t="inlineStr"/>
      <c r="N410" t="inlineStr"/>
      <c r="O410">
        <f>(1-Summary!$B$11)*T410+Summary!$B$11*V410</f>
        <v/>
      </c>
      <c r="P410">
        <f>IF(B434=0,0,O410/B434)</f>
        <v/>
      </c>
      <c r="Q410" t="n">
        <v>0</v>
      </c>
      <c r="R410" t="n">
        <v>0</v>
      </c>
      <c r="S410">
        <f>IFERROR(O410/N410,0)</f>
        <v/>
      </c>
      <c r="T410" t="n">
        <v>0</v>
      </c>
      <c r="V410" t="n">
        <v>0</v>
      </c>
    </row>
    <row r="411">
      <c r="A411">
        <f>Skills!A18</f>
        <v/>
      </c>
      <c r="B411">
        <f>Skills!B18</f>
        <v/>
      </c>
      <c r="C411">
        <f>Inputs!$B$3&gt;=115</f>
        <v/>
      </c>
      <c r="D411">
        <f>IF(Skills!C18=1,60+Inputs!$B$25+Inputs!$B$29,IF(Skills!C18=2,90+Inputs!$B$26+Inputs!$B$29,IF(Skills!C18=3,120+Inputs!$B$27+Inputs!$B$29,MAX(0,(Inputs!$B$3-100)*3)+Inputs!$B$28+Inputs!$B$29)))</f>
        <v/>
      </c>
      <c r="E411">
        <f>INDEX(FactorTable!$B$2:$Y$301, MATCH(ROUND(MIN(300,MAX(1,D411)),0), FactorTable!$A$2:$A$301,0), Skills!M18+1)</f>
        <v/>
      </c>
      <c r="F411">
        <f>IF(Skills!N18=TRUE,(Skills!L18/10)*(E411/1000),Skills!L18/10)+Skills!O18</f>
        <v/>
      </c>
      <c r="G411">
        <f>Skills!G18*IF(Skills!H18&gt;0,INT(IF(Inputs!$B$38="pvp",MIN(Skills!I18,15),Skills!I18)/Skills!H18+0.000000001),1)</f>
        <v/>
      </c>
      <c r="H411">
        <f>1-(1-Skills!J18/100)^Skills!K18</f>
        <v/>
      </c>
      <c r="I411" t="inlineStr">
        <is>
          <t>1</t>
        </is>
      </c>
      <c r="J411" t="inlineStr"/>
      <c r="K411" t="inlineStr"/>
      <c r="L411" t="inlineStr"/>
      <c r="M411" t="inlineStr"/>
      <c r="N411" t="inlineStr"/>
      <c r="O411">
        <f>(1-Summary!$B$11)*T411+Summary!$B$11*V411</f>
        <v/>
      </c>
      <c r="P411">
        <f>IF(B434=0,0,O411/B434)</f>
        <v/>
      </c>
      <c r="Q411">
        <f>IFERROR(1/(IF(Inputs!$B$38="pvp",15,MAX(0.1,Skills!D18-IF(TRUE=TRUE,Inputs!$B$32,0)))*(1-IF(AND(ArtifactsInput!$M$27,Inputs!$B$4="Chapter Hunt"),CHOOSE(ArtifactsInput!$N$27+1,20,24,28,32,36,40),0)/100)),0)</f>
        <v/>
      </c>
      <c r="R411">
        <f>IF(AND(Inputs!$B$38&lt;&gt;"pvp",Inputs!$B$43&gt;0),IF(Inputs!$B$43&lt;=0,0,(INT(Inputs!$B$43/(IF(Inputs!$B$38="pvp",15,MAX(0.1,Skills!D18-IF(TRUE=TRUE,Inputs!$B$32,0)))*(1-IF(AND(ArtifactsInput!$M$27,Inputs!$B$4="Chapter Hunt"),CHOOSE(ArtifactsInput!$N$27+1,20,24,28,32,36,40),0)/100)))+1)),0)</f>
        <v/>
      </c>
      <c r="S411">
        <f>IFERROR(O411/N411,0)</f>
        <v/>
      </c>
      <c r="T411" t="n">
        <v>0</v>
      </c>
      <c r="V411" t="n">
        <v>0</v>
      </c>
    </row>
    <row r="412">
      <c r="A412">
        <f>Skills!A19</f>
        <v/>
      </c>
      <c r="B412">
        <f>Skills!B19</f>
        <v/>
      </c>
      <c r="C412">
        <f>Inputs!$B$3&gt;=10</f>
        <v/>
      </c>
      <c r="D412">
        <f>IF(Skills!C19=1,60+Inputs!$B$25+Inputs!$B$29,IF(Skills!C19=2,90+Inputs!$B$26+Inputs!$B$29,IF(Skills!C19=3,120+Inputs!$B$27+Inputs!$B$29,MAX(0,(Inputs!$B$3-100)*3)+Inputs!$B$28+Inputs!$B$29)))</f>
        <v/>
      </c>
      <c r="E412">
        <f>INDEX(FactorTable!$B$2:$Y$301, MATCH(ROUND(MIN(300,MAX(1,D412)),0), FactorTable!$A$2:$A$301,0), Skills!M19+1)</f>
        <v/>
      </c>
      <c r="F412">
        <f>IF(Skills!N19=TRUE,(Skills!L19/10)*(E412/1000),Skills!L19/10)+Skills!O19</f>
        <v/>
      </c>
      <c r="G412">
        <f>Skills!G19*IF(Skills!H19&gt;0,INT(IF(Inputs!$B$38="pvp",MIN(Skills!I19,15),Skills!I19)/Skills!H19+0.000000001),1)</f>
        <v/>
      </c>
      <c r="H412">
        <f>1-(1-Skills!J19/100)^Skills!K19</f>
        <v/>
      </c>
      <c r="I412" t="inlineStr">
        <is>
          <t>1</t>
        </is>
      </c>
      <c r="J412" t="inlineStr"/>
      <c r="K412" t="inlineStr"/>
      <c r="L412" t="inlineStr"/>
      <c r="M412" t="inlineStr"/>
      <c r="N412" t="inlineStr"/>
      <c r="O412">
        <f>(1-Summary!$B$11)*T412+Summary!$B$11*V412</f>
        <v/>
      </c>
      <c r="P412">
        <f>IF(B434=0,0,O412/B434)</f>
        <v/>
      </c>
      <c r="Q412" t="n">
        <v>0</v>
      </c>
      <c r="R412" t="n">
        <v>0</v>
      </c>
      <c r="S412">
        <f>IFERROR(O412/N412,0)</f>
        <v/>
      </c>
      <c r="T412" t="n">
        <v>0</v>
      </c>
      <c r="V412" t="n">
        <v>0</v>
      </c>
    </row>
    <row r="413">
      <c r="A413">
        <f>Skills!A20</f>
        <v/>
      </c>
      <c r="B413">
        <f>Skills!B20</f>
        <v/>
      </c>
      <c r="C413">
        <f>Inputs!$B$3&gt;=15</f>
        <v/>
      </c>
      <c r="D413">
        <f>IF(Skills!C20=1,60+Inputs!$B$25+Inputs!$B$29,IF(Skills!C20=2,90+Inputs!$B$26+Inputs!$B$29,IF(Skills!C20=3,120+Inputs!$B$27+Inputs!$B$29,MAX(0,(Inputs!$B$3-100)*3)+Inputs!$B$28+Inputs!$B$29)))</f>
        <v/>
      </c>
      <c r="E413">
        <f>INDEX(FactorTable!$B$2:$Y$301, MATCH(ROUND(MIN(300,MAX(1,D413)),0), FactorTable!$A$2:$A$301,0), Skills!M20+1)</f>
        <v/>
      </c>
      <c r="F413">
        <f>IF(Skills!N20=TRUE,(Skills!L20/10)*(E413/1000),Skills!L20/10)+Skills!O20</f>
        <v/>
      </c>
      <c r="G413">
        <f>Skills!G20*IF(Skills!H20&gt;0,INT(IF(Inputs!$B$38="pvp",MIN(Skills!I20,15),Skills!I20)/Skills!H20+0.000000001),1)</f>
        <v/>
      </c>
      <c r="H413">
        <f>1-(1-Skills!J20/100)^Skills!K20</f>
        <v/>
      </c>
      <c r="I413" t="inlineStr">
        <is>
          <t>1</t>
        </is>
      </c>
      <c r="J413" t="inlineStr"/>
      <c r="K413" t="inlineStr"/>
      <c r="L413" t="inlineStr"/>
      <c r="M413" t="inlineStr"/>
      <c r="N413" t="inlineStr"/>
      <c r="O413">
        <f>(1-Summary!$B$11)*T413+Summary!$B$11*V413</f>
        <v/>
      </c>
      <c r="P413">
        <f>IF(B434=0,0,O413/B434)</f>
        <v/>
      </c>
      <c r="Q413" t="n">
        <v>0</v>
      </c>
      <c r="R413" t="n">
        <v>0</v>
      </c>
      <c r="S413">
        <f>IFERROR(O413/N413,0)</f>
        <v/>
      </c>
      <c r="T413" t="n">
        <v>0</v>
      </c>
      <c r="V413" t="n">
        <v>0</v>
      </c>
    </row>
    <row r="414">
      <c r="A414">
        <f>Skills!A21</f>
        <v/>
      </c>
      <c r="B414">
        <f>Skills!B21</f>
        <v/>
      </c>
      <c r="C414">
        <f>Inputs!$B$3&gt;=40</f>
        <v/>
      </c>
      <c r="D414">
        <f>IF(Skills!C21=1,60+Inputs!$B$25+Inputs!$B$29,IF(Skills!C21=2,90+Inputs!$B$26+Inputs!$B$29,IF(Skills!C21=3,120+Inputs!$B$27+Inputs!$B$29,MAX(0,(Inputs!$B$3-100)*3)+Inputs!$B$28+Inputs!$B$29)))</f>
        <v/>
      </c>
      <c r="E414">
        <f>INDEX(FactorTable!$B$2:$Y$301, MATCH(ROUND(MIN(300,MAX(1,D414)),0), FactorTable!$A$2:$A$301,0), Skills!M21+1)</f>
        <v/>
      </c>
      <c r="F414">
        <f>IF(Skills!N21=TRUE,(Skills!L21/10)*(E414/1000),Skills!L21/10)+Skills!O21</f>
        <v/>
      </c>
      <c r="G414">
        <f>Skills!G21*IF(Skills!H21&gt;0,INT(IF(Inputs!$B$38="pvp",MIN(Skills!I21,15),Skills!I21)/Skills!H21+0.000000001),1)</f>
        <v/>
      </c>
      <c r="H414">
        <f>1-(1-Skills!J21/100)^Skills!K21</f>
        <v/>
      </c>
      <c r="I414" t="inlineStr">
        <is>
          <t>1</t>
        </is>
      </c>
      <c r="J414" t="inlineStr"/>
      <c r="K414" t="inlineStr"/>
      <c r="L414" t="inlineStr"/>
      <c r="M414" t="inlineStr"/>
      <c r="N414" t="inlineStr"/>
      <c r="O414">
        <f>(1-Summary!$B$11)*T414+Summary!$B$11*V414</f>
        <v/>
      </c>
      <c r="P414">
        <f>IF(B434=0,0,O414/B434)</f>
        <v/>
      </c>
      <c r="Q414" t="n">
        <v>0</v>
      </c>
      <c r="R414" t="n">
        <v>0</v>
      </c>
      <c r="S414">
        <f>IFERROR(O414/N414,0)</f>
        <v/>
      </c>
      <c r="T414" t="n">
        <v>0</v>
      </c>
      <c r="V414" t="n">
        <v>0</v>
      </c>
    </row>
    <row r="415">
      <c r="A415">
        <f>Skills!A22</f>
        <v/>
      </c>
      <c r="B415">
        <f>Skills!B22</f>
        <v/>
      </c>
      <c r="C415">
        <f>Inputs!$B$3&gt;=43</f>
        <v/>
      </c>
      <c r="D415">
        <f>IF(Skills!C22=1,60+Inputs!$B$25+Inputs!$B$29,IF(Skills!C22=2,90+Inputs!$B$26+Inputs!$B$29,IF(Skills!C22=3,120+Inputs!$B$27+Inputs!$B$29,MAX(0,(Inputs!$B$3-100)*3)+Inputs!$B$28+Inputs!$B$29)))</f>
        <v/>
      </c>
      <c r="E415">
        <f>INDEX(FactorTable!$B$2:$Y$301, MATCH(ROUND(MIN(300,MAX(1,D415)),0), FactorTable!$A$2:$A$301,0), Skills!M22+1)</f>
        <v/>
      </c>
      <c r="F415">
        <f>IF(Skills!N22=TRUE,(Skills!L22/10)*(E415/1000),Skills!L22/10)+Skills!O22</f>
        <v/>
      </c>
      <c r="G415">
        <f>Skills!G22*IF(Skills!H22&gt;0,INT(IF(Inputs!$B$38="pvp",MIN(Skills!I22,15),Skills!I22)/Skills!H22+0.000000001),1)</f>
        <v/>
      </c>
      <c r="H415">
        <f>1-(1-Skills!J22/100)^Skills!K22</f>
        <v/>
      </c>
      <c r="I415" t="inlineStr">
        <is>
          <t>1</t>
        </is>
      </c>
      <c r="J415" t="inlineStr"/>
      <c r="K415" t="inlineStr"/>
      <c r="L415" t="inlineStr"/>
      <c r="M415" t="inlineStr"/>
      <c r="N415" t="inlineStr"/>
      <c r="O415">
        <f>(1-Summary!$B$11)*T415+Summary!$B$11*V415</f>
        <v/>
      </c>
      <c r="P415">
        <f>IF(B434=0,0,O415/B434)</f>
        <v/>
      </c>
      <c r="Q415" t="n">
        <v>0</v>
      </c>
      <c r="R415" t="n">
        <v>0</v>
      </c>
      <c r="S415">
        <f>IFERROR(O415/N415,0)</f>
        <v/>
      </c>
      <c r="T415" t="n">
        <v>0</v>
      </c>
      <c r="V415" t="n">
        <v>0</v>
      </c>
    </row>
    <row r="416">
      <c r="A416">
        <f>Skills!A23</f>
        <v/>
      </c>
      <c r="B416">
        <f>Skills!B23</f>
        <v/>
      </c>
      <c r="C416">
        <f>Inputs!$B$3&gt;=38</f>
        <v/>
      </c>
      <c r="D416">
        <f>IF(Skills!C23=1,60+Inputs!$B$25+Inputs!$B$29,IF(Skills!C23=2,90+Inputs!$B$26+Inputs!$B$29,IF(Skills!C23=3,120+Inputs!$B$27+Inputs!$B$29,MAX(0,(Inputs!$B$3-100)*3)+Inputs!$B$28+Inputs!$B$29)))</f>
        <v/>
      </c>
      <c r="E416">
        <f>INDEX(FactorTable!$B$2:$Y$301, MATCH(ROUND(MIN(300,MAX(1,D416)),0), FactorTable!$A$2:$A$301,0), Skills!M23+1)</f>
        <v/>
      </c>
      <c r="F416">
        <f>IF(Skills!N23=TRUE,(Skills!L23/10)*(E416/1000),Skills!L23/10)+Skills!O23</f>
        <v/>
      </c>
      <c r="G416">
        <f>Skills!G23*IF(Skills!H23&gt;0,INT(IF(Inputs!$B$38="pvp",MIN(Skills!I23,15),Skills!I23)/Skills!H23+0.000000001),1)</f>
        <v/>
      </c>
      <c r="H416">
        <f>1-(1-Skills!J23/100)^Skills!K23</f>
        <v/>
      </c>
      <c r="I416" t="inlineStr">
        <is>
          <t>1</t>
        </is>
      </c>
      <c r="J416" t="inlineStr"/>
      <c r="K416" t="inlineStr"/>
      <c r="L416" t="inlineStr"/>
      <c r="M416" t="inlineStr"/>
      <c r="N416" t="inlineStr"/>
      <c r="O416">
        <f>(1-Summary!$B$11)*T416+Summary!$B$11*V416</f>
        <v/>
      </c>
      <c r="P416">
        <f>IF(B434=0,0,O416/B434)</f>
        <v/>
      </c>
      <c r="Q416" t="n">
        <v>0</v>
      </c>
      <c r="R416" t="n">
        <v>0</v>
      </c>
      <c r="S416">
        <f>IFERROR(O416/N416,0)</f>
        <v/>
      </c>
      <c r="T416" t="n">
        <v>0</v>
      </c>
      <c r="V416" t="n">
        <v>0</v>
      </c>
    </row>
    <row r="417">
      <c r="A417">
        <f>Skills!A24</f>
        <v/>
      </c>
      <c r="B417">
        <f>Skills!B24</f>
        <v/>
      </c>
      <c r="C417">
        <f>Inputs!$B$3&gt;=45</f>
        <v/>
      </c>
      <c r="D417">
        <f>IF(Skills!C24=1,60+Inputs!$B$25+Inputs!$B$29,IF(Skills!C24=2,90+Inputs!$B$26+Inputs!$B$29,IF(Skills!C24=3,120+Inputs!$B$27+Inputs!$B$29,MAX(0,(Inputs!$B$3-100)*3)+Inputs!$B$28+Inputs!$B$29)))</f>
        <v/>
      </c>
      <c r="E417">
        <f>INDEX(FactorTable!$B$2:$Y$301, MATCH(ROUND(MIN(300,MAX(1,D417)),0), FactorTable!$A$2:$A$301,0), Skills!M24+1)</f>
        <v/>
      </c>
      <c r="F417">
        <f>IF(Skills!N24=TRUE,(Skills!L24/10)*(E417/1000),Skills!L24/10)+Skills!O24</f>
        <v/>
      </c>
      <c r="G417">
        <f>Skills!G24*IF(Skills!H24&gt;0,INT(IF(Inputs!$B$38="pvp",MIN(Skills!I24,15),Skills!I24)/Skills!H24+0.000000001),1)</f>
        <v/>
      </c>
      <c r="H417">
        <f>1-(1-Skills!J24/100)^Skills!K24</f>
        <v/>
      </c>
      <c r="I417" t="inlineStr">
        <is>
          <t>1</t>
        </is>
      </c>
      <c r="J417" t="inlineStr"/>
      <c r="K417" t="inlineStr"/>
      <c r="L417" t="inlineStr"/>
      <c r="M417" t="inlineStr"/>
      <c r="N417" t="inlineStr"/>
      <c r="O417">
        <f>(1-Summary!$B$11)*T417+Summary!$B$11*V417</f>
        <v/>
      </c>
      <c r="P417">
        <f>IF(B434=0,0,O417/B434)</f>
        <v/>
      </c>
      <c r="Q417" t="n">
        <v>0</v>
      </c>
      <c r="R417" t="n">
        <v>0</v>
      </c>
      <c r="S417">
        <f>IFERROR(O417/N417,0)</f>
        <v/>
      </c>
      <c r="T417" t="n">
        <v>0</v>
      </c>
      <c r="V417" t="n">
        <v>0</v>
      </c>
    </row>
    <row r="418">
      <c r="A418">
        <f>Skills!A25</f>
        <v/>
      </c>
      <c r="B418">
        <f>Skills!B25</f>
        <v/>
      </c>
      <c r="C418">
        <f>Inputs!$B$3&gt;=72</f>
        <v/>
      </c>
      <c r="D418">
        <f>IF(Skills!C25=1,60+Inputs!$B$25+Inputs!$B$29,IF(Skills!C25=2,90+Inputs!$B$26+Inputs!$B$29,IF(Skills!C25=3,120+Inputs!$B$27+Inputs!$B$29,MAX(0,(Inputs!$B$3-100)*3)+Inputs!$B$28+Inputs!$B$29)))</f>
        <v/>
      </c>
      <c r="E418">
        <f>INDEX(FactorTable!$B$2:$Y$301, MATCH(ROUND(MIN(300,MAX(1,D418)),0), FactorTable!$A$2:$A$301,0), Skills!M25+1)</f>
        <v/>
      </c>
      <c r="F418">
        <f>IF(Skills!N25=TRUE,(Skills!L25/10)*(E418/1000),Skills!L25/10)+Skills!O25</f>
        <v/>
      </c>
      <c r="G418">
        <f>Skills!G25*IF(Skills!H25&gt;0,INT(IF(Inputs!$B$38="pvp",MIN(Skills!I25,15),Skills!I25)/Skills!H25+0.000000001),1)</f>
        <v/>
      </c>
      <c r="H418">
        <f>1-(1-Skills!J25/100)^Skills!K25</f>
        <v/>
      </c>
      <c r="I418" t="inlineStr">
        <is>
          <t>1</t>
        </is>
      </c>
      <c r="J418" t="inlineStr"/>
      <c r="K418" t="inlineStr"/>
      <c r="L418" t="inlineStr"/>
      <c r="M418" t="inlineStr"/>
      <c r="N418" t="inlineStr"/>
      <c r="O418">
        <f>(1-Summary!$B$11)*T418+Summary!$B$11*V418</f>
        <v/>
      </c>
      <c r="P418">
        <f>IF(B434=0,0,O418/B434)</f>
        <v/>
      </c>
      <c r="Q418" t="n">
        <v>0</v>
      </c>
      <c r="R418" t="n">
        <v>0</v>
      </c>
      <c r="S418">
        <f>IFERROR(O418/N418,0)</f>
        <v/>
      </c>
      <c r="T418" t="n">
        <v>0</v>
      </c>
      <c r="V418" t="n">
        <v>0</v>
      </c>
    </row>
    <row r="419">
      <c r="A419">
        <f>Skills!A26</f>
        <v/>
      </c>
      <c r="B419">
        <f>Skills!B26</f>
        <v/>
      </c>
      <c r="C419">
        <f>Inputs!$B$3&gt;=75</f>
        <v/>
      </c>
      <c r="D419">
        <f>IF(Skills!C26=1,60+Inputs!$B$25+Inputs!$B$29,IF(Skills!C26=2,90+Inputs!$B$26+Inputs!$B$29,IF(Skills!C26=3,120+Inputs!$B$27+Inputs!$B$29,MAX(0,(Inputs!$B$3-100)*3)+Inputs!$B$28+Inputs!$B$29)))</f>
        <v/>
      </c>
      <c r="E419">
        <f>INDEX(FactorTable!$B$2:$Y$301, MATCH(ROUND(MIN(300,MAX(1,D419)),0), FactorTable!$A$2:$A$301,0), Skills!M26+1)</f>
        <v/>
      </c>
      <c r="F419">
        <f>IF(Skills!N26=TRUE,(Skills!L26/10)*(E419/1000),Skills!L26/10)+Skills!O26</f>
        <v/>
      </c>
      <c r="G419">
        <f>Skills!G26*IF(Skills!H26&gt;0,INT(IF(Inputs!$B$38="pvp",MIN(Skills!I26,15),Skills!I26)/Skills!H26+0.000000001),1)</f>
        <v/>
      </c>
      <c r="H419">
        <f>1-(1-Skills!J26/100)^Skills!K26</f>
        <v/>
      </c>
      <c r="I419" t="inlineStr">
        <is>
          <t>1</t>
        </is>
      </c>
      <c r="J419" t="inlineStr"/>
      <c r="K419" t="inlineStr"/>
      <c r="L419" t="inlineStr"/>
      <c r="M419" t="inlineStr"/>
      <c r="N419" t="inlineStr"/>
      <c r="O419">
        <f>(1-Summary!$B$11)*T419+Summary!$B$11*V419</f>
        <v/>
      </c>
      <c r="P419">
        <f>IF(B434=0,0,O419/B434)</f>
        <v/>
      </c>
      <c r="Q419" t="n">
        <v>0</v>
      </c>
      <c r="R419" t="n">
        <v>0</v>
      </c>
      <c r="S419">
        <f>IFERROR(O419/N419,0)</f>
        <v/>
      </c>
      <c r="T419" t="n">
        <v>0</v>
      </c>
      <c r="V419" t="n">
        <v>0</v>
      </c>
    </row>
    <row r="420">
      <c r="A420">
        <f>Skills!A27</f>
        <v/>
      </c>
      <c r="B420">
        <f>Skills!B27</f>
        <v/>
      </c>
      <c r="C420">
        <f>Inputs!$B$3&gt;=125</f>
        <v/>
      </c>
      <c r="D420">
        <f>IF(Skills!C27=1,60+Inputs!$B$25+Inputs!$B$29,IF(Skills!C27=2,90+Inputs!$B$26+Inputs!$B$29,IF(Skills!C27=3,120+Inputs!$B$27+Inputs!$B$29,MAX(0,(Inputs!$B$3-100)*3)+Inputs!$B$28+Inputs!$B$29)))</f>
        <v/>
      </c>
      <c r="E420">
        <f>INDEX(FactorTable!$B$2:$Y$301, MATCH(ROUND(MIN(300,MAX(1,D420)),0), FactorTable!$A$2:$A$301,0), Skills!M27+1)</f>
        <v/>
      </c>
      <c r="F420">
        <f>IF(Skills!N27=TRUE,(Skills!L27/10)*(E420/1000),Skills!L27/10)+Skills!O27</f>
        <v/>
      </c>
      <c r="G420">
        <f>Skills!G27*IF(Skills!H27&gt;0,INT(IF(Inputs!$B$38="pvp",MIN(Skills!I27,15),Skills!I27)/Skills!H27+0.000000001),1)</f>
        <v/>
      </c>
      <c r="H420">
        <f>1-(1-Skills!J27/100)^Skills!K27</f>
        <v/>
      </c>
      <c r="I420" t="inlineStr">
        <is>
          <t>1</t>
        </is>
      </c>
      <c r="J420" t="inlineStr"/>
      <c r="K420" t="inlineStr"/>
      <c r="L420" t="inlineStr"/>
      <c r="M420" t="inlineStr"/>
      <c r="N420" t="inlineStr"/>
      <c r="O420">
        <f>(1-Summary!$B$11)*T420+Summary!$B$11*V420</f>
        <v/>
      </c>
      <c r="P420">
        <f>IF(B434=0,0,O420/B434)</f>
        <v/>
      </c>
      <c r="Q420" t="n">
        <v>0</v>
      </c>
      <c r="R420" t="n">
        <v>0</v>
      </c>
      <c r="S420">
        <f>IFERROR(O420/N420,0)</f>
        <v/>
      </c>
      <c r="T420" t="n">
        <v>0</v>
      </c>
      <c r="V420" t="n">
        <v>0</v>
      </c>
    </row>
    <row r="421">
      <c r="A421">
        <f>Skills!A28</f>
        <v/>
      </c>
      <c r="B421">
        <f>Skills!B28</f>
        <v/>
      </c>
      <c r="C421">
        <f>TRUE</f>
        <v/>
      </c>
      <c r="D421">
        <f>IF(Skills!C28=1,60+Inputs!$B$25+Inputs!$B$29,IF(Skills!C28=2,90+Inputs!$B$26+Inputs!$B$29,IF(Skills!C28=3,120+Inputs!$B$27+Inputs!$B$29,MAX(0,(Inputs!$B$3-100)*3)+Inputs!$B$28+Inputs!$B$29)))</f>
        <v/>
      </c>
      <c r="E421">
        <f>INDEX(FactorTable!$B$2:$Y$301, MATCH(ROUND(MIN(300,MAX(1,D421)),0), FactorTable!$A$2:$A$301,0), Skills!M28+1)</f>
        <v/>
      </c>
      <c r="F421">
        <f>IF(Skills!N28=TRUE,(Skills!L28/10)*(E421/1000),Skills!L28/10)+Skills!O28</f>
        <v/>
      </c>
      <c r="G421">
        <f>Skills!G28*IF(Skills!H28&gt;0,INT(IF(Inputs!$B$38="pvp",MIN(Skills!I28,15),Skills!I28)/Skills!H28+0.000000001),1)</f>
        <v/>
      </c>
      <c r="H421">
        <f>1-(1-Skills!J28/100)^Skills!K28</f>
        <v/>
      </c>
      <c r="I421" t="inlineStr">
        <is>
          <t>1</t>
        </is>
      </c>
      <c r="J421" t="inlineStr"/>
      <c r="K421" t="inlineStr"/>
      <c r="L421" t="inlineStr"/>
      <c r="M421" t="inlineStr"/>
      <c r="N421" t="inlineStr"/>
      <c r="O421">
        <f>(1-Summary!$B$11)*T421+Summary!$B$11*V421</f>
        <v/>
      </c>
      <c r="P421">
        <f>IF(B434=0,0,O421/B434)</f>
        <v/>
      </c>
      <c r="Q421">
        <f>IFERROR(1/(IF(Inputs!$B$38="pvp",15,MAX(0.1,Skills!D28-IF(TRUE=TRUE,Inputs!$B$32,0)))*(1-IF(AND(ArtifactsInput!$M$27,Inputs!$B$4="Chapter Hunt"),CHOOSE(ArtifactsInput!$N$27+1,20,24,28,32,36,40),0)/100)),0)</f>
        <v/>
      </c>
      <c r="R421">
        <f>IF(AND(Inputs!$B$38&lt;&gt;"pvp",Inputs!$B$43&gt;0),IF(Inputs!$B$43&lt;=0,0,(INT(Inputs!$B$43/(IF(Inputs!$B$38="pvp",15,MAX(0.1,Skills!D28-IF(TRUE=TRUE,Inputs!$B$32,0)))*(1-IF(AND(ArtifactsInput!$M$27,Inputs!$B$4="Chapter Hunt"),CHOOSE(ArtifactsInput!$N$27+1,20,24,28,32,36,40),0)/100)))+1)),0)</f>
        <v/>
      </c>
      <c r="S421">
        <f>IFERROR(O421/N421,0)</f>
        <v/>
      </c>
      <c r="T421" t="n">
        <v>0</v>
      </c>
      <c r="V421" t="n">
        <v>0</v>
      </c>
    </row>
    <row r="423">
      <c r="A423" t="inlineStr">
        <is>
          <t>Attack% Bucket Multiplier</t>
        </is>
      </c>
      <c r="B423">
        <f>(1+(((C410=TRUE)*F410*5/7)+((C417=TRUE)*(F417-Calc!F24))+(IF(ArtifactsInput!$M$21,CHOOSE(ArtifactsInput!$N$21+1,25,30,35,40,45,50)*(IF(OR(Inputs!$B$4="Chapter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424">
      <c r="A424" t="inlineStr">
        <is>
          <t>Global Crit Rate Bonus %</t>
        </is>
      </c>
      <c r="B424" t="n">
        <v>0</v>
      </c>
    </row>
    <row r="425">
      <c r="A425" t="inlineStr">
        <is>
          <t>Attack Speed Buff Bonus % (Nimble Feet, duty-cycle averaged)</t>
        </is>
      </c>
      <c r="B425">
        <f>((C421=TRUE)*F421*IF(AND(Inputs!$B$38&lt;&gt;"pvp",Inputs!$B$43&gt;0),(((R421-1)*MIN((Skills!T28*(1+Inputs!$B$34/100)),(1/Q421))+MIN((Skills!T28*(1+Inputs!$B$34/100)),MAX(0,Inputs!$B$43-((R421-1)*(1/Q421)))))/Inputs!$B$43),IF(Inputs!$B$38="pvp",MIN((Skills!T28*(1+Inputs!$B$34/100)),15)/15,MIN(1,(Skills!T28*(1+Inputs!$B$34/100))/(1/Q421)))))</f>
        <v/>
      </c>
    </row>
    <row r="426">
      <c r="A426" t="inlineStr">
        <is>
          <t>Actions Per Second</t>
        </is>
      </c>
      <c r="B426">
        <f>1+MIN(150,150*(1-(1-(Inputs!$B$11+((C413=TRUE)*(F413-Calc!F20))+((C414=TRUE)*(F414-Calc!F21)))/150)*(1-B425/150)))/100</f>
        <v/>
      </c>
    </row>
    <row r="427">
      <c r="A427" t="inlineStr">
        <is>
          <t>Skill + Buff Cast Rate</t>
        </is>
      </c>
      <c r="B427">
        <f>IF(AND(Inputs!$B$38&lt;&gt;"pvp",Inputs!$B$43&gt;0),SUMPRODUCT((Skills!E2:E28=TRUE)*(C395:C421=TRUE)*R395:R421*Skills!F2:F28)/Inputs!$B$43,SUMPRODUCT((Skills!E2:E28=TRUE)*(C395:C421=TRUE)*Q395:Q421*Skills!F2:F28))</f>
        <v/>
      </c>
    </row>
    <row r="428">
      <c r="A428" t="inlineStr">
        <is>
          <t>Eight-Legs Easton Casts Per Second</t>
        </is>
      </c>
      <c r="B428">
        <f>MAX(0,B426-B427)</f>
        <v/>
      </c>
    </row>
    <row r="429">
      <c r="A429" t="inlineStr">
        <is>
          <t>Global Critical Damage Bonus % (unused)</t>
        </is>
      </c>
      <c r="B429" t="n">
        <v>0</v>
      </c>
    </row>
    <row r="430">
      <c r="A430" t="inlineStr">
        <is>
          <t>Global Final Damage Bonus % (Jolly Roger + Ahoy Mateys - Final Damage proc)</t>
        </is>
      </c>
      <c r="B430">
        <f>((C411=TRUE)*F411*IF(AND(Inputs!$B$38&lt;&gt;"pvp",Inputs!$B$43&gt;0),(((R411-1)*MIN((Skills!T18*(1+Inputs!$B$34/100)),(1/Q411))+MIN((Skills!T18*(1+Inputs!$B$34/100)),MAX(0,Inputs!$B$43-((R411-1)*(1/Q411)))))/Inputs!$B$43),IF(Inputs!$B$38="pvp",MIN((Skills!T18*(1+Inputs!$B$34/100)),15)/15,MIN(1,(Skills!T18*(1+Inputs!$B$34/100))/(1/Q411)))))+IF(Inputs!$B$3&gt;=122,20*IF(Inputs!$B$38="pvp",MIN((20*(1+Inputs!$B$34/100)),15)/15,MIN(1,(20*(1+Inputs!$B$34/100))/(1/Q397))),0)</f>
        <v/>
      </c>
    </row>
    <row r="431">
      <c r="A431" t="inlineStr">
        <is>
          <t>Buff-Casting Startup Delay (s, fixed-duration only)</t>
        </is>
      </c>
      <c r="B431">
        <f>IF(AND(Inputs!$B$38&lt;&gt;"pvp",Inputs!$B$43&gt;0),SUMPRODUCT((Skills!T2:T28&gt;0)*(Skills!E2:E28=TRUE)*(C395:C421=TRUE))/B426,0)</f>
        <v/>
      </c>
    </row>
    <row r="432">
      <c r="A432" t="inlineStr">
        <is>
          <t>Boss-Only Total DPS (this block's swept value)</t>
        </is>
      </c>
      <c r="B432">
        <f>SUM(T395:T421)</f>
        <v/>
      </c>
    </row>
    <row r="433">
      <c r="A433" t="inlineStr">
        <is>
          <t>Normal-Only Total DPS (this block's swept value)</t>
        </is>
      </c>
      <c r="B433">
        <f>SUM(V395:V421)</f>
        <v/>
      </c>
    </row>
    <row r="434">
      <c r="A434" s="6" t="inlineStr">
        <is>
          <t>TOTAL DPS</t>
        </is>
      </c>
      <c r="B434" s="6">
        <f>SUM(O395:O421)</f>
        <v/>
      </c>
    </row>
    <row r="435">
      <c r="A435" t="inlineStr">
        <is>
          <t>Quickdraw cooldown divisor (this block's own APS / Q)</t>
        </is>
      </c>
      <c r="B435">
        <f>IF(AND(C420=TRUE,Inputs!$B$38&lt;&gt;"pvp"),1+0.25*MAX(0,(B426-(((C396=TRUE)*Q396*1)+((C397=TRUE)*Q397*1)+((C399=TRUE)*Q399*1)+((C400=TRUE)*Q400*1)+((C402=TRUE)*Q402*1)+((C405=TRUE)*Q405*1)+((C411=TRUE)*Q411*1)+((C421=TRUE)*Q421*1))-((C401=TRUE)/(IF(Inputs!$B$38="pvp",15,MAX(0.1,Skills!D8-IF(TRUE=TRUE,Inputs!$B$32,0)))*(1-IF(AND(ArtifactsInput!$M$27,Inputs!$B$4="Chapter Hunt"),CHOOSE(ArtifactsInput!$N$27+1,20,24,28,32,36,40),0)/100))+(C404=TRUE)/(IF(Inputs!$B$38="pvp",15,MAX(0.1,Skills!D11-IF(TRUE=TRUE,Inputs!$B$32,0)))*(1-IF(AND(ArtifactsInput!$M$27,Inputs!$B$4="Chapter Hunt"),CHOOSE(ArtifactsInput!$N$27+1,20,24,28,32,36,40),0)/100))))/(1+0.25*((C401=TRUE)/(IF(Inputs!$B$38="pvp",15,MAX(0.1,Skills!D8-IF(TRUE=TRUE,Inputs!$B$32,0)))*(1-IF(AND(ArtifactsInput!$M$27,Inputs!$B$4="Chapter Hunt"),CHOOSE(ArtifactsInput!$N$27+1,20,24,28,32,36,40),0)/100))+(C404=TRUE)/(IF(Inputs!$B$38="pvp",15,MAX(0.1,Skills!D11-IF(TRUE=TRUE,Inputs!$B$32,0)))*(1-IF(AND(ArtifactsInput!$M$27,Inputs!$B$4="Chapter Hunt"),CHOOSE(ArtifactsInput!$N$27+1,20,24,28,32,36,40),0)/100))))),1)</f>
        <v/>
      </c>
    </row>
    <row r="436">
      <c r="A436" t="inlineStr">
        <is>
          <t>Nautilus Strike - Final Attack trigger rate (this block's own Q/R)</t>
        </is>
      </c>
      <c r="B436">
        <f>IF(AND(Inputs!$B$38&lt;&gt;"pvp",Inputs!$B$43&gt;0),(((C396=TRUE)*R396)+((C399=TRUE)*R399)+((C401=TRUE)*R401)+((C402=TRUE)*R402)+((C404=TRUE)*R404))/Inputs!$B$43,((C396=TRUE)*Q396)+((C399=TRUE)*Q399)+((C401=TRUE)*Q401)+((C402=TRUE)*Q402)+((C404=TRUE)*Q404))+B428</f>
        <v/>
      </c>
    </row>
    <row r="439">
      <c r="A439" s="6" t="inlineStr">
        <is>
          <t>Stat: MIN_DAMAGE %</t>
        </is>
      </c>
    </row>
    <row r="440">
      <c r="A440" s="5" t="inlineStr">
        <is>
          <t>Key</t>
        </is>
      </c>
      <c r="B440" s="5" t="inlineStr">
        <is>
          <t>Name</t>
        </is>
      </c>
      <c r="C440" s="5" t="inlineStr">
        <is>
          <t>Unlocked</t>
        </is>
      </c>
      <c r="D440" s="5" t="inlineStr">
        <is>
          <t>InputLevel</t>
        </is>
      </c>
      <c r="E440" s="5" t="inlineStr">
        <is>
          <t>Factor</t>
        </is>
      </c>
      <c r="F440" s="5" t="inlineStr">
        <is>
          <t>CoefficientPercent</t>
        </is>
      </c>
      <c r="G440" s="5" t="inlineStr">
        <is>
          <t>EffectiveHits</t>
        </is>
      </c>
      <c r="H440" s="5" t="inlineStr">
        <is>
          <t>ProcProbability</t>
        </is>
      </c>
      <c r="I440" s="5" t="inlineStr">
        <is>
          <t>MapleHeroMultiplier</t>
        </is>
      </c>
      <c r="J440" s="5" t="inlineStr">
        <is>
          <t>BaseDamage</t>
        </is>
      </c>
      <c r="K440" s="5" t="inlineStr">
        <is>
          <t>BaseHitDamage</t>
        </is>
      </c>
      <c r="L440" s="5" t="inlineStr">
        <is>
          <t>NonCritAvg</t>
        </is>
      </c>
      <c r="M440" s="5" t="inlineStr">
        <is>
          <t>CritAvg</t>
        </is>
      </c>
      <c r="N440" s="5" t="inlineStr">
        <is>
          <t>ExpectedDamage(perHit)</t>
        </is>
      </c>
      <c r="O440" s="5" t="inlineStr">
        <is>
          <t>DPS</t>
        </is>
      </c>
      <c r="P440" s="5" t="inlineStr">
        <is>
          <t>% of Total</t>
        </is>
      </c>
      <c r="Q440" s="5" t="inlineStr">
        <is>
          <t>InvCooldown</t>
        </is>
      </c>
      <c r="R440" s="5" t="inlineStr">
        <is>
          <t>CastsInFight</t>
        </is>
      </c>
      <c r="S440" s="5" t="inlineStr">
        <is>
          <t>HitRate(perSec)</t>
        </is>
      </c>
      <c r="U440" t="inlineStr">
        <is>
          <t>helpers</t>
        </is>
      </c>
    </row>
    <row r="441">
      <c r="A441">
        <f>Skills!A2</f>
        <v/>
      </c>
      <c r="B441">
        <f>Skills!B2</f>
        <v/>
      </c>
      <c r="C441">
        <f>Inputs!$B$3&gt;=100</f>
        <v/>
      </c>
      <c r="D441" t="inlineStr"/>
      <c r="E441" t="inlineStr"/>
      <c r="F441">
        <f>U443+Skills!O2</f>
        <v/>
      </c>
      <c r="G441">
        <f>Skills!G2*IF(Skills!H2&gt;0,INT(IF(Inputs!$B$38="pvp",MIN(Skills!I2,15),Skills!I2)/Skills!H2+0.000000001),1)</f>
        <v/>
      </c>
      <c r="H441">
        <f>1-(1-Skills!J2/100)^Skills!K2</f>
        <v/>
      </c>
      <c r="I441" t="inlineStr">
        <is>
          <t>1</t>
        </is>
      </c>
      <c r="J441">
        <f>((Inputs!$B$6*(1+Inputs!$B$7/100))+(((Inputs!$B$12*(1+Inputs!$B$13/100))-(Inputs!$B$12*(1+Inputs!$B$13/100)))+0.25*(Inputs!$B$14-Inputs!$B$14))*(1+Inputs!$B$7/100))*(F441/100)</f>
        <v/>
      </c>
      <c r="K441">
        <f>J441*(1+((Inputs!$B$12*(1+Inputs!$B$13/100))*0.01+Inputs!$B$14*0.0025)/100)*(1+Inputs!$B$15/100)*(1+Inputs!$B$16/100)*(5000/(6000+Inputs!$B$42*(1-(100*(1-(1-(Inputs!$B$19+0)/100)*(1-CHOOSE(ArtifactsInput!$N$40+1,5,6,7,8,9,10)/100)^(ArtifactsInput!$M$40-ArtifactsInput!$M$40)))/100)))*(1+(Inputs!$B$24+((C465=TRUE)*(F465-Calc!F26))+B476)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IGHT_LEGS_EASTON",Inputs!$B$17+((C462=TRUE)*(F462-Calc!F23))+((C466=TRUE)*(F466-Calc!F27))+((IF(AND(Inputs!$B$38&lt;&gt;"pvp",Inputs!$B$43=0),1,IF(IF(Inputs!$B$38="pvp",15,Inputs!$B$43)-(B477)&lt;=0,1,MAX(0,IF(Inputs!$B$38="pvp",15,Inputs!$B$43)-MAX(5,B477))/(IF(Inputs!$B$38="pvp",15,Inputs!$B$43)-(B477))))*(IF(AND(ArtifactsInput!$M$42,((Inputs!$B$9+((C458=TRUE)*(F458-Calc!F19))+B470+(ArtifactsInput!$M$24-ArtifactsInput!$M$24)*CHOOSE(ArtifactsInput!$N$24+1,10,12,14,16,18,20)+IF(ArtifactsInput!$M$10,CHOOSE(ArtifactsInput!$N$10+1,15,18,21,24,27,30)*(IF(Inputs!$B$38="pvp",MIN(15,15)/15,IF(AND(Inputs!$B$38&lt;&gt;"pvp",Inputs!$B$43&gt;0),MIN(15,Inputs!$B$43)/(Inputs!$B$43),0))),0)))&gt;=100),MIN(100,((Inputs!$B$9+((C458=TRUE)*(F458-Calc!F19))+B470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477)&lt;=0,1,MAX(0,IF(Inputs!$B$38="pvp",15,Inputs!$B$43)-MAX(5,B477))/(IF(Inputs!$B$38="pvp",15,Inputs!$B$43)-(B477))))*IF(AND(ArtifactsInput!$M$42,((Inputs!$B$9+((C458=TRUE)*(F458-Calc!F19))+B470+(ArtifactsInput!$M$24-ArtifactsInput!$M$24)*CHOOSE(ArtifactsInput!$N$24+1,10,12,14,16,18,20)+IF(ArtifactsInput!$M$10,CHOOSE(ArtifactsInput!$N$10+1,15,18,21,24,27,30)*(IF(Inputs!$B$38="pvp",MIN(15,15)/15,IF(AND(Inputs!$B$38&lt;&gt;"pvp",Inputs!$B$43&gt;0),MIN(15,Inputs!$B$43)/(Inputs!$B$43),0))),0)))&gt;=100),CHOOSE(ArtifactsInput!$N$42+1,40,48,56,64,72,80),0))))/100)*((1+(((C456=TRUE)*F456*5/7)+((C463=TRUE)*(F463-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441)</f>
        <v/>
      </c>
      <c r="L441">
        <f>K441*(MIN((Inputs!$B$22+1)+((C461=TRUE)*(F461-Calc!F22)),(Inputs!$B$23+0+(IF(ArtifactsInput!$M$15,CHOOSE(ArtifactsInput!$N$15+1,25,30,35,40,45,50)/100*(Inputs!$B$11-Inputs!$B$11),0))))/100+(Inputs!$B$23+0+(IF(ArtifactsInput!$M$15,CHOOSE(ArtifactsInput!$N$15+1,25,30,35,40,45,50)/100*(Inputs!$B$11-Inputs!$B$11),0)))/100)/2</f>
        <v/>
      </c>
      <c r="M441">
        <f>L441*(1+(Inputs!$B$10+((C464=TRUE)*(F464-Calc!F25))+B475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41">
        <f>L441*(1-MIN((Inputs!$B$9+((C458=TRUE)*(F458-Calc!F19))+B470+(ArtifactsInput!$M$24-ArtifactsInput!$M$24)*CHOOSE(ArtifactsInput!$N$24+1,10,12,14,16,18,20)+(IF(AND(Inputs!$B$38&lt;&gt;"pvp",Inputs!$B$43=0),1,IF(IF(Inputs!$B$38="pvp",15,Inputs!$B$43)-(B477)&lt;=0,1,MAX(0,IF(Inputs!$B$38="pvp",15,Inputs!$B$43)-MAX(5,B477))/(IF(Inputs!$B$38="pvp",15,Inputs!$B$43)-(B477))))*IF(AND(ArtifactsInput!$M$42,((Inputs!$B$9+((C458=TRUE)*(F458-Calc!F19))+B470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441*(MIN((Inputs!$B$9+((C458=TRUE)*(F458-Calc!F19))+B470+(ArtifactsInput!$M$24-ArtifactsInput!$M$24)*CHOOSE(ArtifactsInput!$N$24+1,10,12,14,16,18,20)+(IF(AND(Inputs!$B$38&lt;&gt;"pvp",Inputs!$B$43=0),1,IF(IF(Inputs!$B$38="pvp",15,Inputs!$B$43)-(B477)&lt;=0,1,MAX(0,IF(Inputs!$B$38="pvp",15,Inputs!$B$43)-MAX(5,B477))/(IF(Inputs!$B$38="pvp",15,Inputs!$B$43)-(B477))))*IF(AND(ArtifactsInput!$M$42,((Inputs!$B$9+((C458=TRUE)*(F458-Calc!F19))+B470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41">
        <f>(1-Summary!$B$11)*T441+Summary!$B$11*V441</f>
        <v/>
      </c>
      <c r="P441">
        <f>IF(B480=0,0,O441/B480)</f>
        <v/>
      </c>
      <c r="Q441" t="n">
        <v>0</v>
      </c>
      <c r="R441" t="n">
        <v>0</v>
      </c>
      <c r="S441">
        <f>IFERROR(O441/N441,0)</f>
        <v/>
      </c>
      <c r="T441">
        <f>IF(C441,(Skills!G2*N441*B474*(1+IF(C466=TRUE,1/3,0)))*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Hunt"),CHOOSE(ArtifactsInput!$N$35+1,15,18,21,24,27,30)*(1-EXP(-(0.2*B472)*5)),0)+IF(AND(ArtifactsInput!$M$22,Inputs!$B$4&lt;&gt;"Chapter Hunt"),CHOOSE(ArtifactsInput!$N$22+1,10,12,14,16,18,20)*((0*(((0.15*B472*5))^0/1)+1*(((0.15*B472*5))^1/1)+2*(((0.15*B472*5))^2/2)+3*(((0.15*B472*5))^3/6)+4*(((0.15*B472*5))^4/24)+5*(((0.15*B472*5))^5/120))/((((0.15*B472*5))^0/1)+(((0.15*B472*5))^1/1)+(((0.15*B472*5))^2/2)+(((0.15*B472*5))^3/6)+(((0.15*B472*5))^4/24)+(((0.15*B472*5))^5/120))),0))+IF(Inputs!$B$3&gt;=54,9*(C442=TRUE)*MIN(1,8*(1+Inputs!$B$34/100)*Q442)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441*(1-MIN(100,(Inputs!$B$9+((C458=TRUE)*(F458-Calc!F19))+B470+(ArtifactsInput!$M$24-ArtifactsInput!$M$24)*CHOOSE(ArtifactsInput!$N$24+1,10,12,14,16,18,20)+(IF(AND(Inputs!$B$38&lt;&gt;"pvp",Inputs!$B$43=0),1,IF(IF(Inputs!$B$38="pvp",15,Inputs!$B$43)-(B477)&lt;=0,1,MAX(0,IF(Inputs!$B$38="pvp",15,Inputs!$B$43)-MAX(5,B477))/(IF(Inputs!$B$38="pvp",15,Inputs!$B$43)-(B477))))*IF(AND(ArtifactsInput!$M$42,((Inputs!$B$9+((C458=TRUE)*(F458-Calc!F19))+B470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441*(MIN(100,(Inputs!$B$9+((C458=TRUE)*(F458-Calc!F19))+B470+(ArtifactsInput!$M$24-ArtifactsInput!$M$24)*CHOOSE(ArtifactsInput!$N$24+1,10,12,14,16,18,20)+(IF(AND(Inputs!$B$38&lt;&gt;"pvp",Inputs!$B$43=0),1,IF(IF(Inputs!$B$38="pvp",15,Inputs!$B$43)-(B477)&lt;=0,1,MAX(0,IF(Inputs!$B$38="pvp",15,Inputs!$B$43)-MAX(5,B477))/(IF(Inputs!$B$38="pvp",15,Inputs!$B$43)-(B477))))*IF(AND(ArtifactsInput!$M$42,((Inputs!$B$9+((C458=TRUE)*(F458-Calc!F19))+B470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441*(1-MIN(100,(Inputs!$B$9+((C458=TRUE)*(F458-Calc!F19))+B470+(ArtifactsInput!$M$24-ArtifactsInput!$M$24)*CHOOSE(ArtifactsInput!$N$24+1,10,12,14,16,18,20)+(IF(AND(Inputs!$B$38&lt;&gt;"pvp",Inputs!$B$43=0),1,IF(IF(Inputs!$B$38="pvp",15,Inputs!$B$43)-(B477)&lt;=0,1,MAX(0,IF(Inputs!$B$38="pvp",15,Inputs!$B$43)-MAX(5,B477))/(IF(Inputs!$B$38="pvp",15,Inputs!$B$43)-(B477))))*IF(AND(ArtifactsInput!$M$42,((Inputs!$B$9+((C458=TRUE)*(F458-Calc!F19))+B470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441*(MIN(100,(Inputs!$B$9+((C458=TRUE)*(F458-Calc!F19))+B470+(ArtifactsInput!$M$24-ArtifactsInput!$M$24)*CHOOSE(ArtifactsInput!$N$24+1,10,12,14,16,18,20)+(IF(AND(Inputs!$B$38&lt;&gt;"pvp",Inputs!$B$43=0),1,IF(IF(Inputs!$B$38="pvp",15,Inputs!$B$43)-(B477)&lt;=0,1,MAX(0,IF(Inputs!$B$38="pvp",15,Inputs!$B$43)-MAX(5,B477))/(IF(Inputs!$B$38="pvp",15,Inputs!$B$43)-(B477))))*IF(AND(ArtifactsInput!$M$42,((Inputs!$B$9+((C458=TRUE)*(F458-Calc!F19))+B470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441">
        <f>MAX(0,(Inputs!$B$3-100)*3)+Inputs!$B$28+Inputs!$B$29</f>
        <v/>
      </c>
      <c r="V441">
        <f>IF(C441,(Skills!G2*N441*B474*(1+IF(C466=TRUE,1/3,0)))*IF(Inputs!$B$38="pvp",1,(1+(Inputs!$B$21+Skills!Q2+(IF(ArtifactsInput!$M$33,CHOOSE(ArtifactsInput!$N$33+1,30,36,42,48,54,60),0))+(IF(AND(ArtifactsInput!$M$35,Inputs!$B$4&lt;&gt;"Chapter Hunt"),CHOOSE(ArtifactsInput!$N$35+1,15,18,21,24,27,30)*(1-EXP(-(0.2*B472)*5)),0)+IF(AND(ArtifactsInput!$M$22,Inputs!$B$4&lt;&gt;"Chapter Hunt"),CHOOSE(ArtifactsInput!$N$22+1,10,12,14,16,18,20)*((0*(((0.15*B472*5))^0/1)+1*(((0.15*B472*5))^1/1)+2*(((0.15*B472*5))^2/2)+3*(((0.15*B472*5))^3/6)+4*(((0.15*B472*5))^4/24)+5*(((0.15*B472*5))^5/120))/((((0.15*B472*5))^0/1)+(((0.15*B472*5))^1/1)+(((0.15*B472*5))^2/2)+(((0.15*B472*5))^3/6)+(((0.15*B472*5))^4/24)+(((0.15*B472*5))^5/120))),0))+IF(Inputs!$B$3&gt;=54,9*(C442=TRUE)*MIN(1,8*(1+Inputs!$B$34/100)*Q442),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42">
      <c r="A442">
        <f>Skills!A3</f>
        <v/>
      </c>
      <c r="B442">
        <f>Skills!B3</f>
        <v/>
      </c>
      <c r="C442">
        <f>Inputs!$B$3&gt;=33</f>
        <v/>
      </c>
      <c r="D442">
        <f>IF(Skills!C3=1,60+Inputs!$B$25+Inputs!$B$29,IF(Skills!C3=2,90+Inputs!$B$26+Inputs!$B$29,IF(Skills!C3=3,120+Inputs!$B$27+Inputs!$B$29,MAX(0,(Inputs!$B$3-100)*3)+Inputs!$B$28+Inputs!$B$29)))</f>
        <v/>
      </c>
      <c r="E442">
        <f>INDEX(FactorTable!$B$2:$Y$301, MATCH(ROUND(MIN(300,MAX(1,D442)),0), FactorTable!$A$2:$A$301,0), Skills!M3+1)</f>
        <v/>
      </c>
      <c r="F442">
        <f>IF(Skills!N3=TRUE,(Skills!L3/10)*(E442/1000),Skills!L3/10)+Skills!O3</f>
        <v/>
      </c>
      <c r="G442">
        <f>Skills!G3*IF(Skills!H3&gt;0,INT(IF(Inputs!$B$38="pvp",MIN(Skills!I3,15),Skills!I3)/Skills!H3+0.000000001),1)</f>
        <v/>
      </c>
      <c r="H442">
        <f>1-(1-Skills!J3/100)^Skills!K3</f>
        <v/>
      </c>
      <c r="I442" t="inlineStr">
        <is>
          <t>1</t>
        </is>
      </c>
      <c r="J442">
        <f>((Inputs!$B$6*(1+Inputs!$B$7/100))+(((Inputs!$B$12*(1+Inputs!$B$13/100))-(Inputs!$B$12*(1+Inputs!$B$13/100)))+0.25*(Inputs!$B$14-Inputs!$B$14))*(1+Inputs!$B$7/100))*(F442/100)</f>
        <v/>
      </c>
      <c r="K442">
        <f>J442*(1+((Inputs!$B$12*(1+Inputs!$B$13/100))*0.01+Inputs!$B$14*0.0025)/100)*(1+Inputs!$B$15/100)*(1+Inputs!$B$16/100)*(5000/(6000+Inputs!$B$42*(1-(100*(1-(1-(Inputs!$B$19+0)/100)*(1-CHOOSE(ArtifactsInput!$N$40+1,5,6,7,8,9,10)/100)^(ArtifactsInput!$M$40-ArtifactsInput!$M$40)))/100)))*(1+(Inputs!$B$24+((C465=TRUE)*(F465-Calc!F26))+B476)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454=TRUE,F454,0)/100)*(1+(IF(Skills!A3="EIGHT_LEGS_EASTON",Inputs!$B$17+((C462=TRUE)*(F462-Calc!F23))+((C466=TRUE)*(F466-Calc!F27))+((IF(AND(Inputs!$B$38&lt;&gt;"pvp",Inputs!$B$43=0),1,IF(IF(Inputs!$B$38="pvp",15,Inputs!$B$43)-(B477)&lt;=0,1,MAX(0,IF(Inputs!$B$38="pvp",15,Inputs!$B$43)-MAX(5,B477))/(IF(Inputs!$B$38="pvp",15,Inputs!$B$43)-(B477))))*(IF(AND(ArtifactsInput!$M$42,((Inputs!$B$9+((C458=TRUE)*(F458-Calc!F19))+B470+(ArtifactsInput!$M$24-ArtifactsInput!$M$24)*CHOOSE(ArtifactsInput!$N$24+1,10,12,14,16,18,20)+IF(ArtifactsInput!$M$10,CHOOSE(ArtifactsInput!$N$10+1,15,18,21,24,27,30)*(IF(Inputs!$B$38="pvp",MIN(15,15)/15,IF(AND(Inputs!$B$38&lt;&gt;"pvp",Inputs!$B$43&gt;0),MIN(15,Inputs!$B$43)/(Inputs!$B$43),0))),0)))&gt;=100),MIN(100,((Inputs!$B$9+((C458=TRUE)*(F458-Calc!F19))+B470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477)&lt;=0,1,MAX(0,IF(Inputs!$B$38="pvp",15,Inputs!$B$43)-MAX(5,B477))/(IF(Inputs!$B$38="pvp",15,Inputs!$B$43)-(B477))))*IF(AND(ArtifactsInput!$M$42,((Inputs!$B$9+((C458=TRUE)*(F458-Calc!F19))+B470+(ArtifactsInput!$M$24-ArtifactsInput!$M$24)*CHOOSE(ArtifactsInput!$N$24+1,10,12,14,16,18,20)+IF(ArtifactsInput!$M$10,CHOOSE(ArtifactsInput!$N$10+1,15,18,21,24,27,30)*(IF(Inputs!$B$38="pvp",MIN(15,15)/15,IF(AND(Inputs!$B$38&lt;&gt;"pvp",Inputs!$B$43&gt;0),MIN(15,Inputs!$B$43)/(Inputs!$B$43),0))),0)))&gt;=100),CHOOSE(ArtifactsInput!$N$42+1,40,48,56,64,72,80),0))))/100)*((1+(((C456=TRUE)*F456*5/7)+((C463=TRUE)*(F463-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442)</f>
        <v/>
      </c>
      <c r="L442">
        <f>K442*(MIN((Inputs!$B$22+1)+((C461=TRUE)*(F461-Calc!F22)),(Inputs!$B$23+0+(IF(ArtifactsInput!$M$15,CHOOSE(ArtifactsInput!$N$15+1,25,30,35,40,45,50)/100*(Inputs!$B$11-Inputs!$B$11),0))))/100+(Inputs!$B$23+0+(IF(ArtifactsInput!$M$15,CHOOSE(ArtifactsInput!$N$15+1,25,30,35,40,45,50)/100*(Inputs!$B$11-Inputs!$B$11),0)))/100)/2</f>
        <v/>
      </c>
      <c r="M442">
        <f>L442*(1+(Inputs!$B$10+((C464=TRUE)*(F464-Calc!F25))+B475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42">
        <f>L442*(1-MIN((Inputs!$B$9+((C458=TRUE)*(F458-Calc!F19))+B470+(ArtifactsInput!$M$24-ArtifactsInput!$M$24)*CHOOSE(ArtifactsInput!$N$24+1,10,12,14,16,18,20)+(IF(AND(Inputs!$B$38&lt;&gt;"pvp",Inputs!$B$43=0),1,IF(IF(Inputs!$B$38="pvp",15,Inputs!$B$43)-(B477)&lt;=0,1,MAX(0,IF(Inputs!$B$38="pvp",15,Inputs!$B$43)-MAX(5,B477))/(IF(Inputs!$B$38="pvp",15,Inputs!$B$43)-(B477))))*IF(AND(ArtifactsInput!$M$42,((Inputs!$B$9+((C458=TRUE)*(F458-Calc!F19))+B470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442*(MIN((Inputs!$B$9+((C458=TRUE)*(F458-Calc!F19))+B470+(ArtifactsInput!$M$24-ArtifactsInput!$M$24)*CHOOSE(ArtifactsInput!$N$24+1,10,12,14,16,18,20)+(IF(AND(Inputs!$B$38&lt;&gt;"pvp",Inputs!$B$43=0),1,IF(IF(Inputs!$B$38="pvp",15,Inputs!$B$43)-(B477)&lt;=0,1,MAX(0,IF(Inputs!$B$38="pvp",15,Inputs!$B$43)-MAX(5,B477))/(IF(Inputs!$B$38="pvp",15,Inputs!$B$43)-(B477))))*IF(AND(ArtifactsInput!$M$42,((Inputs!$B$9+((C458=TRUE)*(F458-Calc!F19))+B470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42">
        <f>(1-Summary!$B$11)*T442+Summary!$B$11*V442</f>
        <v/>
      </c>
      <c r="P442">
        <f>IF(B480=0,0,O442/B480)</f>
        <v/>
      </c>
      <c r="Q442">
        <f>IFERROR(1/(IF(Inputs!$B$38="pvp",15,MAX(0.1,Skills!D3-IF(TRUE=TRUE,Inputs!$B$32,0)))*(1-IF(AND(ArtifactsInput!$M$27,Inputs!$B$4="Chapter Hunt"),CHOOSE(ArtifactsInput!$N$27+1,20,24,28,32,36,40),0)/100)),0)</f>
        <v/>
      </c>
      <c r="R442">
        <f>IF(AND(Inputs!$B$38&lt;&gt;"pvp",Inputs!$B$43&gt;0),IF(MAX(0,Inputs!$B$43-B477)&lt;=0,0,(INT(MAX(0,Inputs!$B$43-B477)/(IF(Inputs!$B$38="pvp",15,MAX(0.1,Skills!D3-IF(TRUE=TRUE,Inputs!$B$32,0)))*(1-IF(AND(ArtifactsInput!$M$27,Inputs!$B$4="Chapter Hunt"),CHOOSE(ArtifactsInput!$N$27+1,20,24,28,32,36,40),0)/100)))+1)),0)</f>
        <v/>
      </c>
      <c r="S442">
        <f>IFERROR(O442/N442,0)</f>
        <v/>
      </c>
      <c r="T442">
        <f>IF(C442,(H442*N442*IF(AND(Inputs!$B$38&lt;&gt;"pvp",Inputs!$B$43&gt;0),((Skills!G3*((R442-1)*IF(Skills!H3&gt;0,INT(Skills!I3/Skills!H3+0.000000001),1)+IF(Skills!H3&gt;0,INT(MIN(Skills!I3,MAX(0,MAX(0,Inputs!$B$43-B477)-((R442-1)*(IF(Inputs!$B$38="pvp",15,MAX(0.1,Skills!D3-IF(TRUE=TRUE,Inputs!$B$32,0)))*(1-IF(AND(ArtifactsInput!$M$27,Inputs!$B$4="Chapter Hunt"),CHOOSE(ArtifactsInput!$N$27+1,20,24,28,32,36,40),0)/100)))))/Skills!H3+0.000000001),1)))/Inputs!$B$43),G442*Q442))*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Hunt"),CHOOSE(ArtifactsInput!$N$35+1,15,18,21,24,27,30)*(1-EXP(-(0.2*B472)*5)),0)+IF(AND(ArtifactsInput!$M$22,Inputs!$B$4&lt;&gt;"Chapter Hunt"),CHOOSE(ArtifactsInput!$N$22+1,10,12,14,16,18,20)*((0*(((0.15*B472*5))^0/1)+1*(((0.15*B472*5))^1/1)+2*(((0.15*B472*5))^2/2)+3*(((0.15*B472*5))^3/6)+4*(((0.15*B472*5))^4/24)+5*(((0.15*B472*5))^5/120))/((((0.15*B472*5))^0/1)+(((0.15*B472*5))^1/1)+(((0.15*B472*5))^2/2)+(((0.15*B472*5))^3/6)+(((0.15*B472*5))^4/24)+(((0.15*B472*5))^5/120))),0))+IF(Inputs!$B$3&gt;=54,9*(C442=TRUE)*MIN(1,8*(1+Inputs!$B$34/100)*Q442)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442*(1-MIN(100,(Inputs!$B$9+((C458=TRUE)*(F458-Calc!F19))+B470+(ArtifactsInput!$M$24-ArtifactsInput!$M$24)*CHOOSE(ArtifactsInput!$N$24+1,10,12,14,16,18,20)+(IF(AND(Inputs!$B$38&lt;&gt;"pvp",Inputs!$B$43=0),1,IF(IF(Inputs!$B$38="pvp",15,Inputs!$B$43)-(B477)&lt;=0,1,MAX(0,IF(Inputs!$B$38="pvp",15,Inputs!$B$43)-MAX(5,B477))/(IF(Inputs!$B$38="pvp",15,Inputs!$B$43)-(B477))))*IF(AND(ArtifactsInput!$M$42,((Inputs!$B$9+((C458=TRUE)*(F458-Calc!F19))+B470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442*(MIN(100,(Inputs!$B$9+((C458=TRUE)*(F458-Calc!F19))+B470+(ArtifactsInput!$M$24-ArtifactsInput!$M$24)*CHOOSE(ArtifactsInput!$N$24+1,10,12,14,16,18,20)+(IF(AND(Inputs!$B$38&lt;&gt;"pvp",Inputs!$B$43=0),1,IF(IF(Inputs!$B$38="pvp",15,Inputs!$B$43)-(B477)&lt;=0,1,MAX(0,IF(Inputs!$B$38="pvp",15,Inputs!$B$43)-MAX(5,B477))/(IF(Inputs!$B$38="pvp",15,Inputs!$B$43)-(B477))))*IF(AND(ArtifactsInput!$M$42,((Inputs!$B$9+((C458=TRUE)*(F458-Calc!F19))+B470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442*(1-MIN(100,(Inputs!$B$9+((C458=TRUE)*(F458-Calc!F19))+B470+(ArtifactsInput!$M$24-ArtifactsInput!$M$24)*CHOOSE(ArtifactsInput!$N$24+1,10,12,14,16,18,20)+(IF(AND(Inputs!$B$38&lt;&gt;"pvp",Inputs!$B$43=0),1,IF(IF(Inputs!$B$38="pvp",15,Inputs!$B$43)-(B477)&lt;=0,1,MAX(0,IF(Inputs!$B$38="pvp",15,Inputs!$B$43)-MAX(5,B477))/(IF(Inputs!$B$38="pvp",15,Inputs!$B$43)-(B477))))*IF(AND(ArtifactsInput!$M$42,((Inputs!$B$9+((C458=TRUE)*(F458-Calc!F19))+B470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442*(MIN(100,(Inputs!$B$9+((C458=TRUE)*(F458-Calc!F19))+B470+(ArtifactsInput!$M$24-ArtifactsInput!$M$24)*CHOOSE(ArtifactsInput!$N$24+1,10,12,14,16,18,20)+(IF(AND(Inputs!$B$38&lt;&gt;"pvp",Inputs!$B$43=0),1,IF(IF(Inputs!$B$38="pvp",15,Inputs!$B$43)-(B477)&lt;=0,1,MAX(0,IF(Inputs!$B$38="pvp",15,Inputs!$B$43)-MAX(5,B477))/(IF(Inputs!$B$38="pvp",15,Inputs!$B$43)-(B477))))*IF(AND(ArtifactsInput!$M$42,((Inputs!$B$9+((C458=TRUE)*(F458-Calc!F19))+B470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442">
        <f>INDEX(FactorTable!$B$2:$Y$301, MATCH(ROUND(MIN(300,MAX(1,U441)),0), FactorTable!$A$2:$A$301,0), 22)</f>
        <v/>
      </c>
      <c r="V442">
        <f>IF(C442,(H442*N442*IF(AND(Inputs!$B$38&lt;&gt;"pvp",Inputs!$B$43&gt;0),((Skills!G3*((R442-1)*IF(Skills!H3&gt;0,INT(Skills!I3/Skills!H3+0.000000001),1)+IF(Skills!H3&gt;0,INT(MIN(Skills!I3,MAX(0,MAX(0,Inputs!$B$43-B477)-((R442-1)*(IF(Inputs!$B$38="pvp",15,MAX(0.1,Skills!D3-IF(TRUE=TRUE,Inputs!$B$32,0)))*(1-IF(AND(ArtifactsInput!$M$27,Inputs!$B$4="Chapter Hunt"),CHOOSE(ArtifactsInput!$N$27+1,20,24,28,32,36,40),0)/100)))))/Skills!H3+0.000000001),1)))/Inputs!$B$43),G442*Q442))*IF(Inputs!$B$38="pvp",1,(1+(Inputs!$B$21+Skills!Q3+(IF(ArtifactsInput!$M$33,CHOOSE(ArtifactsInput!$N$33+1,30,36,42,48,54,60),0))+(IF(AND(ArtifactsInput!$M$35,Inputs!$B$4&lt;&gt;"Chapter Hunt"),CHOOSE(ArtifactsInput!$N$35+1,15,18,21,24,27,30)*(1-EXP(-(0.2*B472)*5)),0)+IF(AND(ArtifactsInput!$M$22,Inputs!$B$4&lt;&gt;"Chapter Hunt"),CHOOSE(ArtifactsInput!$N$22+1,10,12,14,16,18,20)*((0*(((0.15*B472*5))^0/1)+1*(((0.15*B472*5))^1/1)+2*(((0.15*B472*5))^2/2)+3*(((0.15*B472*5))^3/6)+4*(((0.15*B472*5))^4/24)+5*(((0.15*B472*5))^5/120))/((((0.15*B472*5))^0/1)+(((0.15*B472*5))^1/1)+(((0.15*B472*5))^2/2)+(((0.15*B472*5))^3/6)+(((0.15*B472*5))^4/24)+(((0.15*B472*5))^5/120))),0))+IF(Inputs!$B$3&gt;=54,9*(C442=TRUE)*MIN(1,8*(1+Inputs!$B$34/100)*Q442),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43">
      <c r="A443">
        <f>Skills!A4</f>
        <v/>
      </c>
      <c r="B443">
        <f>Skills!B4</f>
        <v/>
      </c>
      <c r="C443">
        <f>Inputs!$B$3&gt;=35</f>
        <v/>
      </c>
      <c r="D443">
        <f>IF(Skills!C4=1,60+Inputs!$B$25+Inputs!$B$29,IF(Skills!C4=2,90+Inputs!$B$26+Inputs!$B$29,IF(Skills!C4=3,120+Inputs!$B$27+Inputs!$B$29,MAX(0,(Inputs!$B$3-100)*3)+Inputs!$B$28+Inputs!$B$29)))</f>
        <v/>
      </c>
      <c r="E443">
        <f>INDEX(FactorTable!$B$2:$Y$301, MATCH(ROUND(MIN(300,MAX(1,D443)),0), FactorTable!$A$2:$A$301,0), Skills!M4+1)</f>
        <v/>
      </c>
      <c r="F443">
        <f>IF(Skills!N4=TRUE,(Skills!L4/10)*(E443/1000),Skills!L4/10)+Skills!O4</f>
        <v/>
      </c>
      <c r="G443">
        <f>Skills!G4*IF(Skills!H4&gt;0,INT(IF(Inputs!$B$38="pvp",MIN(IF(Inputs!$B$3&gt;=104,MIN(35,20*(1+Inputs!$B$34/100)),20),15),IF(Inputs!$B$3&gt;=104,MIN(35,20*(1+Inputs!$B$34/100)),20))/Skills!H4+0.000000001),1)</f>
        <v/>
      </c>
      <c r="H443">
        <f>1-(1-Skills!J4/100)^Skills!K4</f>
        <v/>
      </c>
      <c r="I443" t="inlineStr">
        <is>
          <t>1</t>
        </is>
      </c>
      <c r="J443">
        <f>((Inputs!$B$6*(1+Inputs!$B$7/100))+(((Inputs!$B$12*(1+Inputs!$B$13/100))-(Inputs!$B$12*(1+Inputs!$B$13/100)))+0.25*(Inputs!$B$14-Inputs!$B$14))*(1+Inputs!$B$7/100))*(F443/100)</f>
        <v/>
      </c>
      <c r="K443">
        <f>J443*(1+((Inputs!$B$12*(1+Inputs!$B$13/100))*0.01+Inputs!$B$14*0.0025)/100)*(1+Inputs!$B$15/100)*(1+Inputs!$B$16/100)*(5000/(6000+Inputs!$B$42*(1-(100*(1-(1-(Inputs!$B$19+0)/100)*(1-CHOOSE(ArtifactsInput!$N$40+1,5,6,7,8,9,10)/100)^(ArtifactsInput!$M$40-ArtifactsInput!$M$40)))/100)))*(1+(Inputs!$B$24+((C465=TRUE)*(F465-Calc!F26))+B476)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455=TRUE,F455,0)/100)*(1+(IF(Skills!A4="EIGHT_LEGS_EASTON",Inputs!$B$17+((C462=TRUE)*(F462-Calc!F23))+((C466=TRUE)*(F466-Calc!F27))+((IF(AND(Inputs!$B$38&lt;&gt;"pvp",Inputs!$B$43=0),1,IF(IF(Inputs!$B$38="pvp",15,Inputs!$B$43)-(B477)&lt;=0,1,MAX(0,IF(Inputs!$B$38="pvp",15,Inputs!$B$43)-MAX(5,B477))/(IF(Inputs!$B$38="pvp",15,Inputs!$B$43)-(B477))))*(IF(AND(ArtifactsInput!$M$42,((Inputs!$B$9+((C458=TRUE)*(F458-Calc!F19))+B470+(ArtifactsInput!$M$24-ArtifactsInput!$M$24)*CHOOSE(ArtifactsInput!$N$24+1,10,12,14,16,18,20)+IF(ArtifactsInput!$M$10,CHOOSE(ArtifactsInput!$N$10+1,15,18,21,24,27,30)*(IF(Inputs!$B$38="pvp",MIN(15,15)/15,IF(AND(Inputs!$B$38&lt;&gt;"pvp",Inputs!$B$43&gt;0),MIN(15,Inputs!$B$43)/(Inputs!$B$43),0))),0)))&gt;=100),MIN(100,((Inputs!$B$9+((C458=TRUE)*(F458-Calc!F19))+B470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477)&lt;=0,1,MAX(0,IF(Inputs!$B$38="pvp",15,Inputs!$B$43)-MAX(5,B477))/(IF(Inputs!$B$38="pvp",15,Inputs!$B$43)-(B477))))*IF(AND(ArtifactsInput!$M$42,((Inputs!$B$9+((C458=TRUE)*(F458-Calc!F19))+B470+(ArtifactsInput!$M$24-ArtifactsInput!$M$24)*CHOOSE(ArtifactsInput!$N$24+1,10,12,14,16,18,20)+IF(ArtifactsInput!$M$10,CHOOSE(ArtifactsInput!$N$10+1,15,18,21,24,27,30)*(IF(Inputs!$B$38="pvp",MIN(15,15)/15,IF(AND(Inputs!$B$38&lt;&gt;"pvp",Inputs!$B$43&gt;0),MIN(15,Inputs!$B$43)/(Inputs!$B$43),0))),0)))&gt;=100),CHOOSE(ArtifactsInput!$N$42+1,40,48,56,64,72,80),0))))/100)*((1+(((C456=TRUE)*F456*5/7)+((C463=TRUE)*(F463-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443)</f>
        <v/>
      </c>
      <c r="L443">
        <f>K443*(MIN((Inputs!$B$22+1)+((C461=TRUE)*(F461-Calc!F22)),(Inputs!$B$23+0+(IF(ArtifactsInput!$M$15,CHOOSE(ArtifactsInput!$N$15+1,25,30,35,40,45,50)/100*(Inputs!$B$11-Inputs!$B$11),0))))/100+(Inputs!$B$23+0+(IF(ArtifactsInput!$M$15,CHOOSE(ArtifactsInput!$N$15+1,25,30,35,40,45,50)/100*(Inputs!$B$11-Inputs!$B$11),0)))/100)/2</f>
        <v/>
      </c>
      <c r="M443">
        <f>L443*(1+(Inputs!$B$10+((C464=TRUE)*(F464-Calc!F25))+B475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43">
        <f>L443*(1-MIN((Inputs!$B$9+((C458=TRUE)*(F458-Calc!F19))+B470+(ArtifactsInput!$M$24-ArtifactsInput!$M$24)*CHOOSE(ArtifactsInput!$N$24+1,10,12,14,16,18,20)+(IF(AND(Inputs!$B$38&lt;&gt;"pvp",Inputs!$B$43=0),1,IF(IF(Inputs!$B$38="pvp",15,Inputs!$B$43)-(B477)&lt;=0,1,MAX(0,IF(Inputs!$B$38="pvp",15,Inputs!$B$43)-MAX(5,B477))/(IF(Inputs!$B$38="pvp",15,Inputs!$B$43)-(B477))))*IF(AND(ArtifactsInput!$M$42,((Inputs!$B$9+((C458=TRUE)*(F458-Calc!F19))+B470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443*(MIN((Inputs!$B$9+((C458=TRUE)*(F458-Calc!F19))+B470+(ArtifactsInput!$M$24-ArtifactsInput!$M$24)*CHOOSE(ArtifactsInput!$N$24+1,10,12,14,16,18,20)+(IF(AND(Inputs!$B$38&lt;&gt;"pvp",Inputs!$B$43=0),1,IF(IF(Inputs!$B$38="pvp",15,Inputs!$B$43)-(B477)&lt;=0,1,MAX(0,IF(Inputs!$B$38="pvp",15,Inputs!$B$43)-MAX(5,B477))/(IF(Inputs!$B$38="pvp",15,Inputs!$B$43)-(B477))))*IF(AND(ArtifactsInput!$M$42,((Inputs!$B$9+((C458=TRUE)*(F458-Calc!F19))+B470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43">
        <f>(1-Summary!$B$11)*T443+Summary!$B$11*V443</f>
        <v/>
      </c>
      <c r="P443">
        <f>IF(B480=0,0,O443/B480)</f>
        <v/>
      </c>
      <c r="Q443">
        <f>IFERROR(1/(IF(Inputs!$B$38="pvp",15,MAX(0.1,Skills!D4-IF(TRUE=TRUE,Inputs!$B$32,0)))*(1-IF(AND(ArtifactsInput!$M$27,Inputs!$B$4="Chapter Hunt"),CHOOSE(ArtifactsInput!$N$27+1,20,24,28,32,36,40),0)/100)),0)</f>
        <v/>
      </c>
      <c r="R443">
        <f>IF(AND(Inputs!$B$38&lt;&gt;"pvp",Inputs!$B$43&gt;0),IF(MAX(0,Inputs!$B$43-B477)&lt;=0,0,(INT(MAX(0,Inputs!$B$43-B477)/(IF(Inputs!$B$38="pvp",15,MAX(0.1,Skills!D4-IF(TRUE=TRUE,Inputs!$B$32,0)))*(1-IF(AND(ArtifactsInput!$M$27,Inputs!$B$4="Chapter Hunt"),CHOOSE(ArtifactsInput!$N$27+1,20,24,28,32,36,40),0)/100)))+1)),0)</f>
        <v/>
      </c>
      <c r="S443">
        <f>IFERROR(O443/N443,0)</f>
        <v/>
      </c>
      <c r="T443">
        <f>IF(C443,(H443*N443*IF(AND(Inputs!$B$38&lt;&gt;"pvp",Inputs!$B$43&gt;0),((Skills!G4*((R443-1)*IF(Skills!H4&gt;0,INT(IF(Inputs!$B$3&gt;=104,MIN(35,20*(1+Inputs!$B$34/100)),20)/Skills!H4+0.000000001),1)+IF(Skills!H4&gt;0,INT(MIN(IF(Inputs!$B$3&gt;=104,MIN(35,20*(1+Inputs!$B$34/100)),20),MAX(0,MAX(0,Inputs!$B$43-B477)-((R443-1)*(IF(Inputs!$B$38="pvp",15,MAX(0.1,Skills!D4-IF(TRUE=TRUE,Inputs!$B$32,0)))*(1-IF(AND(ArtifactsInput!$M$27,Inputs!$B$4="Chapter Hunt"),CHOOSE(ArtifactsInput!$N$27+1,20,24,28,32,36,40),0)/100)))))/Skills!H4+0.000000001),1)))/Inputs!$B$43),G443*Q443))*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Hunt"),CHOOSE(ArtifactsInput!$N$35+1,15,18,21,24,27,30)*(1-EXP(-(0.2*B472)*5)),0)+IF(AND(ArtifactsInput!$M$22,Inputs!$B$4&lt;&gt;"Chapter Hunt"),CHOOSE(ArtifactsInput!$N$22+1,10,12,14,16,18,20)*((0*(((0.15*B472*5))^0/1)+1*(((0.15*B472*5))^1/1)+2*(((0.15*B472*5))^2/2)+3*(((0.15*B472*5))^3/6)+4*(((0.15*B472*5))^4/24)+5*(((0.15*B472*5))^5/120))/((((0.15*B472*5))^0/1)+(((0.15*B472*5))^1/1)+(((0.15*B472*5))^2/2)+(((0.15*B472*5))^3/6)+(((0.15*B472*5))^4/24)+(((0.15*B472*5))^5/120))),0))+IF(Inputs!$B$3&gt;=54,9*(C442=TRUE)*MIN(1,8*(1+Inputs!$B$34/100)*Q442)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443*(1-MIN(100,(Inputs!$B$9+((C458=TRUE)*(F458-Calc!F19))+B470+(ArtifactsInput!$M$24-ArtifactsInput!$M$24)*CHOOSE(ArtifactsInput!$N$24+1,10,12,14,16,18,20)+(IF(AND(Inputs!$B$38&lt;&gt;"pvp",Inputs!$B$43=0),1,IF(IF(Inputs!$B$38="pvp",15,Inputs!$B$43)-(B477)&lt;=0,1,MAX(0,IF(Inputs!$B$38="pvp",15,Inputs!$B$43)-MAX(5,B477))/(IF(Inputs!$B$38="pvp",15,Inputs!$B$43)-(B477))))*IF(AND(ArtifactsInput!$M$42,((Inputs!$B$9+((C458=TRUE)*(F458-Calc!F19))+B470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443*(MIN(100,(Inputs!$B$9+((C458=TRUE)*(F458-Calc!F19))+B470+(ArtifactsInput!$M$24-ArtifactsInput!$M$24)*CHOOSE(ArtifactsInput!$N$24+1,10,12,14,16,18,20)+(IF(AND(Inputs!$B$38&lt;&gt;"pvp",Inputs!$B$43=0),1,IF(IF(Inputs!$B$38="pvp",15,Inputs!$B$43)-(B477)&lt;=0,1,MAX(0,IF(Inputs!$B$38="pvp",15,Inputs!$B$43)-MAX(5,B477))/(IF(Inputs!$B$38="pvp",15,Inputs!$B$43)-(B477))))*IF(AND(ArtifactsInput!$M$42,((Inputs!$B$9+((C458=TRUE)*(F458-Calc!F19))+B470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443*(1-MIN(100,(Inputs!$B$9+((C458=TRUE)*(F458-Calc!F19))+B470+(ArtifactsInput!$M$24-ArtifactsInput!$M$24)*CHOOSE(ArtifactsInput!$N$24+1,10,12,14,16,18,20)+(IF(AND(Inputs!$B$38&lt;&gt;"pvp",Inputs!$B$43=0),1,IF(IF(Inputs!$B$38="pvp",15,Inputs!$B$43)-(B477)&lt;=0,1,MAX(0,IF(Inputs!$B$38="pvp",15,Inputs!$B$43)-MAX(5,B477))/(IF(Inputs!$B$38="pvp",15,Inputs!$B$43)-(B477))))*IF(AND(ArtifactsInput!$M$42,((Inputs!$B$9+((C458=TRUE)*(F458-Calc!F19))+B470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443*(MIN(100,(Inputs!$B$9+((C458=TRUE)*(F458-Calc!F19))+B470+(ArtifactsInput!$M$24-ArtifactsInput!$M$24)*CHOOSE(ArtifactsInput!$N$24+1,10,12,14,16,18,20)+(IF(AND(Inputs!$B$38&lt;&gt;"pvp",Inputs!$B$43=0),1,IF(IF(Inputs!$B$38="pvp",15,Inputs!$B$43)-(B477)&lt;=0,1,MAX(0,IF(Inputs!$B$38="pvp",15,Inputs!$B$43)-MAX(5,B477))/(IF(Inputs!$B$38="pvp",15,Inputs!$B$43)-(B477))))*IF(AND(ArtifactsInput!$M$42,((Inputs!$B$9+((C458=TRUE)*(F458-Calc!F19))+B470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443">
        <f>290*U442/1000</f>
        <v/>
      </c>
      <c r="V443">
        <f>IF(C443,(H443*N443*IF(AND(Inputs!$B$38&lt;&gt;"pvp",Inputs!$B$43&gt;0),((Skills!G4*((R443-1)*IF(Skills!H4&gt;0,INT(IF(Inputs!$B$3&gt;=104,MIN(35,20*(1+Inputs!$B$34/100)),20)/Skills!H4+0.000000001),1)+IF(Skills!H4&gt;0,INT(MIN(IF(Inputs!$B$3&gt;=104,MIN(35,20*(1+Inputs!$B$34/100)),20),MAX(0,MAX(0,Inputs!$B$43-B477)-((R443-1)*(IF(Inputs!$B$38="pvp",15,MAX(0.1,Skills!D4-IF(TRUE=TRUE,Inputs!$B$32,0)))*(1-IF(AND(ArtifactsInput!$M$27,Inputs!$B$4="Chapter Hunt"),CHOOSE(ArtifactsInput!$N$27+1,20,24,28,32,36,40),0)/100)))))/Skills!H4+0.000000001),1)))/Inputs!$B$43),G443*Q443))*IF(Inputs!$B$38="pvp",1,(1+(Inputs!$B$21+Skills!Q4+(IF(ArtifactsInput!$M$33,CHOOSE(ArtifactsInput!$N$33+1,30,36,42,48,54,60),0))+(IF(AND(ArtifactsInput!$M$35,Inputs!$B$4&lt;&gt;"Chapter Hunt"),CHOOSE(ArtifactsInput!$N$35+1,15,18,21,24,27,30)*(1-EXP(-(0.2*B472)*5)),0)+IF(AND(ArtifactsInput!$M$22,Inputs!$B$4&lt;&gt;"Chapter Hunt"),CHOOSE(ArtifactsInput!$N$22+1,10,12,14,16,18,20)*((0*(((0.15*B472*5))^0/1)+1*(((0.15*B472*5))^1/1)+2*(((0.15*B472*5))^2/2)+3*(((0.15*B472*5))^3/6)+4*(((0.15*B472*5))^4/24)+5*(((0.15*B472*5))^5/120))/((((0.15*B472*5))^0/1)+(((0.15*B472*5))^1/1)+(((0.15*B472*5))^2/2)+(((0.15*B472*5))^3/6)+(((0.15*B472*5))^4/24)+(((0.15*B472*5))^5/120))),0))+IF(Inputs!$B$3&gt;=54,9*(C442=TRUE)*MIN(1,8*(1+Inputs!$B$34/100)*Q442),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44">
      <c r="A444">
        <f>Skills!A5</f>
        <v/>
      </c>
      <c r="B444">
        <f>Skills!B5</f>
        <v/>
      </c>
      <c r="C444">
        <f>Inputs!$B$3&gt;=69</f>
        <v/>
      </c>
      <c r="D444">
        <f>IF(Skills!C5=1,60+Inputs!$B$25+Inputs!$B$29,IF(Skills!C5=2,90+Inputs!$B$26+Inputs!$B$29,IF(Skills!C5=3,120+Inputs!$B$27+Inputs!$B$29,MAX(0,(Inputs!$B$3-100)*3)+Inputs!$B$28+Inputs!$B$29)))</f>
        <v/>
      </c>
      <c r="E444">
        <f>INDEX(FactorTable!$B$2:$Y$301, MATCH(ROUND(MIN(300,MAX(1,D444)),0), FactorTable!$A$2:$A$301,0), Skills!M5+1)</f>
        <v/>
      </c>
      <c r="F444">
        <f>IF(Skills!N5=TRUE,(Skills!L5/10)*(E444/1000),Skills!L5/10)+Skills!O5</f>
        <v/>
      </c>
      <c r="G444">
        <f>Skills!G5*IF(Skills!H5&gt;0,INT(IF(Inputs!$B$38="pvp",MIN(IF(Inputs!$B$3&gt;=104,MIN(35,20*(1+Inputs!$B$34/100)),20),15),IF(Inputs!$B$3&gt;=104,MIN(35,20*(1+Inputs!$B$34/100)),20))/Skills!H5+0.000000001),1)</f>
        <v/>
      </c>
      <c r="H444">
        <f>1-(1-Skills!J5/100)^Skills!K5</f>
        <v/>
      </c>
      <c r="I444" t="inlineStr">
        <is>
          <t>1</t>
        </is>
      </c>
      <c r="J444">
        <f>((Inputs!$B$6*(1+Inputs!$B$7/100))+(((Inputs!$B$12*(1+Inputs!$B$13/100))-(Inputs!$B$12*(1+Inputs!$B$13/100)))+0.25*(Inputs!$B$14-Inputs!$B$14))*(1+Inputs!$B$7/100))*(F444/100)</f>
        <v/>
      </c>
      <c r="K444">
        <f>J444*(1+((Inputs!$B$12*(1+Inputs!$B$13/100))*0.01+Inputs!$B$14*0.0025)/100)*(1+Inputs!$B$15/100)*(1+Inputs!$B$16/100)*(5000/(6000+Inputs!$B$42*(1-(100*(1-(1-(Inputs!$B$19+0)/100)*(1-CHOOSE(ArtifactsInput!$N$40+1,5,6,7,8,9,10)/100)^(ArtifactsInput!$M$40-ArtifactsInput!$M$40)))/100)))*(1+(Inputs!$B$24+((C465=TRUE)*(F465-Calc!F26))+B476)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+0.4*IF(C455=TRUE,F455,0)/100)*(1+(IF(Skills!A5="EIGHT_LEGS_EASTON",Inputs!$B$17+((C462=TRUE)*(F462-Calc!F23))+((C466=TRUE)*(F466-Calc!F27))+((IF(AND(Inputs!$B$38&lt;&gt;"pvp",Inputs!$B$43=0),1,IF(IF(Inputs!$B$38="pvp",15,Inputs!$B$43)-(B477)&lt;=0,1,MAX(0,IF(Inputs!$B$38="pvp",15,Inputs!$B$43)-MAX(5,B477))/(IF(Inputs!$B$38="pvp",15,Inputs!$B$43)-(B477))))*(IF(AND(ArtifactsInput!$M$42,((Inputs!$B$9+((C458=TRUE)*(F458-Calc!F19))+B470+(ArtifactsInput!$M$24-ArtifactsInput!$M$24)*CHOOSE(ArtifactsInput!$N$24+1,10,12,14,16,18,20)+IF(ArtifactsInput!$M$10,CHOOSE(ArtifactsInput!$N$10+1,15,18,21,24,27,30)*(IF(Inputs!$B$38="pvp",MIN(15,15)/15,IF(AND(Inputs!$B$38&lt;&gt;"pvp",Inputs!$B$43&gt;0),MIN(15,Inputs!$B$43)/(Inputs!$B$43),0))),0)))&gt;=100),MIN(100,((Inputs!$B$9+((C458=TRUE)*(F458-Calc!F19))+B470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477)&lt;=0,1,MAX(0,IF(Inputs!$B$38="pvp",15,Inputs!$B$43)-MAX(5,B477))/(IF(Inputs!$B$38="pvp",15,Inputs!$B$43)-(B477))))*IF(AND(ArtifactsInput!$M$42,((Inputs!$B$9+((C458=TRUE)*(F458-Calc!F19))+B470+(ArtifactsInput!$M$24-ArtifactsInput!$M$24)*CHOOSE(ArtifactsInput!$N$24+1,10,12,14,16,18,20)+IF(ArtifactsInput!$M$10,CHOOSE(ArtifactsInput!$N$10+1,15,18,21,24,27,30)*(IF(Inputs!$B$38="pvp",MIN(15,15)/15,IF(AND(Inputs!$B$38&lt;&gt;"pvp",Inputs!$B$43&gt;0),MIN(15,Inputs!$B$43)/(Inputs!$B$43),0))),0)))&gt;=100),CHOOSE(ArtifactsInput!$N$42+1,40,48,56,64,72,80),0))))/100)*((1+(((C456=TRUE)*F456*5/7)+((C463=TRUE)*(F463-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444)</f>
        <v/>
      </c>
      <c r="L444">
        <f>K444*(MIN((Inputs!$B$22+1)+((C461=TRUE)*(F461-Calc!F22)),(Inputs!$B$23+0+(IF(ArtifactsInput!$M$15,CHOOSE(ArtifactsInput!$N$15+1,25,30,35,40,45,50)/100*(Inputs!$B$11-Inputs!$B$11),0))))/100+(Inputs!$B$23+0+(IF(ArtifactsInput!$M$15,CHOOSE(ArtifactsInput!$N$15+1,25,30,35,40,45,50)/100*(Inputs!$B$11-Inputs!$B$11),0)))/100)/2</f>
        <v/>
      </c>
      <c r="M444">
        <f>L444*(1+(Inputs!$B$10+((C464=TRUE)*(F464-Calc!F25))+B475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44">
        <f>L444*(1-MIN((Inputs!$B$9+((C458=TRUE)*(F458-Calc!F19))+B470+(ArtifactsInput!$M$24-ArtifactsInput!$M$24)*CHOOSE(ArtifactsInput!$N$24+1,10,12,14,16,18,20)+(IF(AND(Inputs!$B$38&lt;&gt;"pvp",Inputs!$B$43=0),1,IF(IF(Inputs!$B$38="pvp",15,Inputs!$B$43)-(B477)&lt;=0,1,MAX(0,IF(Inputs!$B$38="pvp",15,Inputs!$B$43)-MAX(5,B477))/(IF(Inputs!$B$38="pvp",15,Inputs!$B$43)-(B477))))*IF(AND(ArtifactsInput!$M$42,((Inputs!$B$9+((C458=TRUE)*(F458-Calc!F19))+B470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444*(MIN((Inputs!$B$9+((C458=TRUE)*(F458-Calc!F19))+B470+(ArtifactsInput!$M$24-ArtifactsInput!$M$24)*CHOOSE(ArtifactsInput!$N$24+1,10,12,14,16,18,20)+(IF(AND(Inputs!$B$38&lt;&gt;"pvp",Inputs!$B$43=0),1,IF(IF(Inputs!$B$38="pvp",15,Inputs!$B$43)-(B477)&lt;=0,1,MAX(0,IF(Inputs!$B$38="pvp",15,Inputs!$B$43)-MAX(5,B477))/(IF(Inputs!$B$38="pvp",15,Inputs!$B$43)-(B477))))*IF(AND(ArtifactsInput!$M$42,((Inputs!$B$9+((C458=TRUE)*(F458-Calc!F19))+B470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44">
        <f>(1-Summary!$B$11)*T444+Summary!$B$11*V444</f>
        <v/>
      </c>
      <c r="P444">
        <f>IF(B480=0,0,O444/B480)</f>
        <v/>
      </c>
      <c r="Q444">
        <f>IFERROR(1/(IF(Inputs!$B$38="pvp",15,MAX(0.1,Skills!D5-IF(TRUE=TRUE,Inputs!$B$32,0)))*(1-IF(AND(ArtifactsInput!$M$27,Inputs!$B$4="Chapter Hunt"),CHOOSE(ArtifactsInput!$N$27+1,20,24,28,32,36,40),0)/100)),0)</f>
        <v/>
      </c>
      <c r="R444">
        <f>IF(AND(Inputs!$B$38&lt;&gt;"pvp",Inputs!$B$43&gt;0),IF(MAX(0,Inputs!$B$43-B477)&lt;=0,0,(INT(MAX(0,Inputs!$B$43-B477)/(IF(Inputs!$B$38="pvp",15,MAX(0.1,Skills!D5-IF(TRUE=TRUE,Inputs!$B$32,0)))*(1-IF(AND(ArtifactsInput!$M$27,Inputs!$B$4="Chapter Hunt"),CHOOSE(ArtifactsInput!$N$27+1,20,24,28,32,36,40),0)/100)))+1)),0)</f>
        <v/>
      </c>
      <c r="S444">
        <f>IFERROR(O444/N444,0)</f>
        <v/>
      </c>
      <c r="T444">
        <f>IF(C444,(H444*N444*IF(AND(Inputs!$B$38&lt;&gt;"pvp",Inputs!$B$43&gt;0),((Skills!G5*((R444-1)*IF(Skills!H5&gt;0,INT(IF(Inputs!$B$3&gt;=104,MIN(35,20*(1+Inputs!$B$34/100)),20)/Skills!H5+0.000000001),1)+IF(Skills!H5&gt;0,INT(MIN(IF(Inputs!$B$3&gt;=104,MIN(35,20*(1+Inputs!$B$34/100)),20),MAX(0,MAX(0,Inputs!$B$43-B477)-((R444-1)*(IF(Inputs!$B$38="pvp",15,MAX(0.1,Skills!D5-IF(TRUE=TRUE,Inputs!$B$32,0)))*(1-IF(AND(ArtifactsInput!$M$27,Inputs!$B$4="Chapter Hunt"),CHOOSE(ArtifactsInput!$N$27+1,20,24,28,32,36,40),0)/100)))))/Skills!H5+0.000000001),1)))/Inputs!$B$43),G444*Q444))*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Hunt"),CHOOSE(ArtifactsInput!$N$35+1,15,18,21,24,27,30)*(1-EXP(-(0.2*B472)*5)),0)+IF(AND(ArtifactsInput!$M$22,Inputs!$B$4&lt;&gt;"Chapter Hunt"),CHOOSE(ArtifactsInput!$N$22+1,10,12,14,16,18,20)*((0*(((0.15*B472*5))^0/1)+1*(((0.15*B472*5))^1/1)+2*(((0.15*B472*5))^2/2)+3*(((0.15*B472*5))^3/6)+4*(((0.15*B472*5))^4/24)+5*(((0.15*B472*5))^5/120))/((((0.15*B472*5))^0/1)+(((0.15*B472*5))^1/1)+(((0.15*B472*5))^2/2)+(((0.15*B472*5))^3/6)+(((0.15*B472*5))^4/24)+(((0.15*B472*5))^5/120))),0))+IF(Inputs!$B$3&gt;=54,9*(C442=TRUE)*MIN(1,8*(1+Inputs!$B$34/100)*Q442)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444*(1-MIN(100,(Inputs!$B$9+((C458=TRUE)*(F458-Calc!F19))+B470+(ArtifactsInput!$M$24-ArtifactsInput!$M$24)*CHOOSE(ArtifactsInput!$N$24+1,10,12,14,16,18,20)+(IF(AND(Inputs!$B$38&lt;&gt;"pvp",Inputs!$B$43=0),1,IF(IF(Inputs!$B$38="pvp",15,Inputs!$B$43)-(B477)&lt;=0,1,MAX(0,IF(Inputs!$B$38="pvp",15,Inputs!$B$43)-MAX(5,B477))/(IF(Inputs!$B$38="pvp",15,Inputs!$B$43)-(B477))))*IF(AND(ArtifactsInput!$M$42,((Inputs!$B$9+((C458=TRUE)*(F458-Calc!F19))+B470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444*(MIN(100,(Inputs!$B$9+((C458=TRUE)*(F458-Calc!F19))+B470+(ArtifactsInput!$M$24-ArtifactsInput!$M$24)*CHOOSE(ArtifactsInput!$N$24+1,10,12,14,16,18,20)+(IF(AND(Inputs!$B$38&lt;&gt;"pvp",Inputs!$B$43=0),1,IF(IF(Inputs!$B$38="pvp",15,Inputs!$B$43)-(B477)&lt;=0,1,MAX(0,IF(Inputs!$B$38="pvp",15,Inputs!$B$43)-MAX(5,B477))/(IF(Inputs!$B$38="pvp",15,Inputs!$B$43)-(B477))))*IF(AND(ArtifactsInput!$M$42,((Inputs!$B$9+((C458=TRUE)*(F458-Calc!F19))+B470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444*(1-MIN(100,(Inputs!$B$9+((C458=TRUE)*(F458-Calc!F19))+B470+(ArtifactsInput!$M$24-ArtifactsInput!$M$24)*CHOOSE(ArtifactsInput!$N$24+1,10,12,14,16,18,20)+(IF(AND(Inputs!$B$38&lt;&gt;"pvp",Inputs!$B$43=0),1,IF(IF(Inputs!$B$38="pvp",15,Inputs!$B$43)-(B477)&lt;=0,1,MAX(0,IF(Inputs!$B$38="pvp",15,Inputs!$B$43)-MAX(5,B477))/(IF(Inputs!$B$38="pvp",15,Inputs!$B$43)-(B477))))*IF(AND(ArtifactsInput!$M$42,((Inputs!$B$9+((C458=TRUE)*(F458-Calc!F19))+B470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444*(MIN(100,(Inputs!$B$9+((C458=TRUE)*(F458-Calc!F19))+B470+(ArtifactsInput!$M$24-ArtifactsInput!$M$24)*CHOOSE(ArtifactsInput!$N$24+1,10,12,14,16,18,20)+(IF(AND(Inputs!$B$38&lt;&gt;"pvp",Inputs!$B$43=0),1,IF(IF(Inputs!$B$38="pvp",15,Inputs!$B$43)-(B477)&lt;=0,1,MAX(0,IF(Inputs!$B$38="pvp",15,Inputs!$B$43)-MAX(5,B477))/(IF(Inputs!$B$38="pvp",15,Inputs!$B$43)-(B477))))*IF(AND(ArtifactsInput!$M$42,((Inputs!$B$9+((C458=TRUE)*(F458-Calc!F19))+B470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444">
        <f>IF(C444,(H444*N444*IF(AND(Inputs!$B$38&lt;&gt;"pvp",Inputs!$B$43&gt;0),((Skills!G5*((R444-1)*IF(Skills!H5&gt;0,INT(IF(Inputs!$B$3&gt;=104,MIN(35,20*(1+Inputs!$B$34/100)),20)/Skills!H5+0.000000001),1)+IF(Skills!H5&gt;0,INT(MIN(IF(Inputs!$B$3&gt;=104,MIN(35,20*(1+Inputs!$B$34/100)),20),MAX(0,MAX(0,Inputs!$B$43-B477)-((R444-1)*(IF(Inputs!$B$38="pvp",15,MAX(0.1,Skills!D5-IF(TRUE=TRUE,Inputs!$B$32,0)))*(1-IF(AND(ArtifactsInput!$M$27,Inputs!$B$4="Chapter Hunt"),CHOOSE(ArtifactsInput!$N$27+1,20,24,28,32,36,40),0)/100)))))/Skills!H5+0.000000001),1)))/Inputs!$B$43),G444*Q444))*IF(Inputs!$B$38="pvp",1,(1+(Inputs!$B$21+Skills!Q5+(IF(ArtifactsInput!$M$33,CHOOSE(ArtifactsInput!$N$33+1,30,36,42,48,54,60),0))+(IF(AND(ArtifactsInput!$M$35,Inputs!$B$4&lt;&gt;"Chapter Hunt"),CHOOSE(ArtifactsInput!$N$35+1,15,18,21,24,27,30)*(1-EXP(-(0.2*B472)*5)),0)+IF(AND(ArtifactsInput!$M$22,Inputs!$B$4&lt;&gt;"Chapter Hunt"),CHOOSE(ArtifactsInput!$N$22+1,10,12,14,16,18,20)*((0*(((0.15*B472*5))^0/1)+1*(((0.15*B472*5))^1/1)+2*(((0.15*B472*5))^2/2)+3*(((0.15*B472*5))^3/6)+4*(((0.15*B472*5))^4/24)+5*(((0.15*B472*5))^5/120))/((((0.15*B472*5))^0/1)+(((0.15*B472*5))^1/1)+(((0.15*B472*5))^2/2)+(((0.15*B472*5))^3/6)+(((0.15*B472*5))^4/24)+(((0.15*B472*5))^5/120))),0))+IF(Inputs!$B$3&gt;=54,9*(C442=TRUE)*MIN(1,8*(1+Inputs!$B$34/100)*Q442),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45">
      <c r="A445">
        <f>Skills!A6</f>
        <v/>
      </c>
      <c r="B445">
        <f>Skills!B6</f>
        <v/>
      </c>
      <c r="C445">
        <f>Inputs!$B$3&gt;=66</f>
        <v/>
      </c>
      <c r="D445">
        <f>IF(Skills!C6=1,60+Inputs!$B$25+Inputs!$B$29,IF(Skills!C6=2,90+Inputs!$B$26+Inputs!$B$29,IF(Skills!C6=3,120+Inputs!$B$27+Inputs!$B$29,MAX(0,(Inputs!$B$3-100)*3)+Inputs!$B$28+Inputs!$B$29)))</f>
        <v/>
      </c>
      <c r="E445">
        <f>INDEX(FactorTable!$B$2:$Y$301, MATCH(ROUND(MIN(300,MAX(1,D445)),0), FactorTable!$A$2:$A$301,0), Skills!M6+1)</f>
        <v/>
      </c>
      <c r="F445">
        <f>IF(Skills!N6=TRUE,(Skills!L6/10)*(E445/1000),Skills!L6/10)+Skills!O6</f>
        <v/>
      </c>
      <c r="G445">
        <f>Skills!G6*IF(Skills!H6&gt;0,INT(IF(Inputs!$B$38="pvp",MIN(Skills!I6,15),Skills!I6)/Skills!H6+0.000000001),1)</f>
        <v/>
      </c>
      <c r="H445">
        <f>1-(1-Skills!J6/100)^Skills!K6</f>
        <v/>
      </c>
      <c r="I445" t="inlineStr">
        <is>
          <t>1</t>
        </is>
      </c>
      <c r="J445">
        <f>((Inputs!$B$6*(1+Inputs!$B$7/100))+(((Inputs!$B$12*(1+Inputs!$B$13/100))-(Inputs!$B$12*(1+Inputs!$B$13/100)))+0.25*(Inputs!$B$14-Inputs!$B$14))*(1+Inputs!$B$7/100))*(F445/100)</f>
        <v/>
      </c>
      <c r="K445">
        <f>J445*(1+((Inputs!$B$12*(1+Inputs!$B$13/100))*0.01+Inputs!$B$14*0.0025)/100)*(1+Inputs!$B$15/100)*(1+Inputs!$B$16/100)*(5000/(6000+Inputs!$B$42*(1-(100*(1-(1-(Inputs!$B$19+0)/100)*(1-CHOOSE(ArtifactsInput!$N$40+1,5,6,7,8,9,10)/100)^(ArtifactsInput!$M$40-ArtifactsInput!$M$40)))/100)))*(1+(Inputs!$B$24+((C465=TRUE)*(F465-Calc!F26))+B476)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+2.0*IF(C454=TRUE,F454,0)/100)*(1+(IF(Skills!A6="EIGHT_LEGS_EASTON",Inputs!$B$17+((C462=TRUE)*(F462-Calc!F23))+((C466=TRUE)*(F466-Calc!F27))+((IF(AND(Inputs!$B$38&lt;&gt;"pvp",Inputs!$B$43=0),1,IF(IF(Inputs!$B$38="pvp",15,Inputs!$B$43)-(B477)&lt;=0,1,MAX(0,IF(Inputs!$B$38="pvp",15,Inputs!$B$43)-MAX(5,B477))/(IF(Inputs!$B$38="pvp",15,Inputs!$B$43)-(B477))))*(IF(AND(ArtifactsInput!$M$42,((Inputs!$B$9+((C458=TRUE)*(F458-Calc!F19))+B470+(ArtifactsInput!$M$24-ArtifactsInput!$M$24)*CHOOSE(ArtifactsInput!$N$24+1,10,12,14,16,18,20)+IF(ArtifactsInput!$M$10,CHOOSE(ArtifactsInput!$N$10+1,15,18,21,24,27,30)*(IF(Inputs!$B$38="pvp",MIN(15,15)/15,IF(AND(Inputs!$B$38&lt;&gt;"pvp",Inputs!$B$43&gt;0),MIN(15,Inputs!$B$43)/(Inputs!$B$43),0))),0)))&gt;=100),MIN(100,((Inputs!$B$9+((C458=TRUE)*(F458-Calc!F19))+B470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477)&lt;=0,1,MAX(0,IF(Inputs!$B$38="pvp",15,Inputs!$B$43)-MAX(5,B477))/(IF(Inputs!$B$38="pvp",15,Inputs!$B$43)-(B477))))*IF(AND(ArtifactsInput!$M$42,((Inputs!$B$9+((C458=TRUE)*(F458-Calc!F19))+B470+(ArtifactsInput!$M$24-ArtifactsInput!$M$24)*CHOOSE(ArtifactsInput!$N$24+1,10,12,14,16,18,20)+IF(ArtifactsInput!$M$10,CHOOSE(ArtifactsInput!$N$10+1,15,18,21,24,27,30)*(IF(Inputs!$B$38="pvp",MIN(15,15)/15,IF(AND(Inputs!$B$38&lt;&gt;"pvp",Inputs!$B$43&gt;0),MIN(15,Inputs!$B$43)/(Inputs!$B$43),0))),0)))&gt;=100),CHOOSE(ArtifactsInput!$N$42+1,40,48,56,64,72,80),0))))/100)*((1+(((C456=TRUE)*F456*5/7)+((C463=TRUE)*(F463-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445)</f>
        <v/>
      </c>
      <c r="L445">
        <f>K445*(MIN((Inputs!$B$22+1)+((C461=TRUE)*(F461-Calc!F22)),(Inputs!$B$23+0+(IF(ArtifactsInput!$M$15,CHOOSE(ArtifactsInput!$N$15+1,25,30,35,40,45,50)/100*(Inputs!$B$11-Inputs!$B$11),0))))/100+(Inputs!$B$23+0+(IF(ArtifactsInput!$M$15,CHOOSE(ArtifactsInput!$N$15+1,25,30,35,40,45,50)/100*(Inputs!$B$11-Inputs!$B$11),0)))/100)/2</f>
        <v/>
      </c>
      <c r="M445">
        <f>L445*(1+(Inputs!$B$10+((C464=TRUE)*(F464-Calc!F25))+B475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45">
        <f>L445*(1-MIN((Inputs!$B$9+((C458=TRUE)*(F458-Calc!F19))+B470+(ArtifactsInput!$M$24-ArtifactsInput!$M$24)*CHOOSE(ArtifactsInput!$N$24+1,10,12,14,16,18,20)+(IF(AND(Inputs!$B$38&lt;&gt;"pvp",Inputs!$B$43=0),1,IF(IF(Inputs!$B$38="pvp",15,Inputs!$B$43)-(B477)&lt;=0,1,MAX(0,IF(Inputs!$B$38="pvp",15,Inputs!$B$43)-MAX(5,B477))/(IF(Inputs!$B$38="pvp",15,Inputs!$B$43)-(B477))))*IF(AND(ArtifactsInput!$M$42,((Inputs!$B$9+((C458=TRUE)*(F458-Calc!F19))+B470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445*(MIN((Inputs!$B$9+((C458=TRUE)*(F458-Calc!F19))+B470+(ArtifactsInput!$M$24-ArtifactsInput!$M$24)*CHOOSE(ArtifactsInput!$N$24+1,10,12,14,16,18,20)+(IF(AND(Inputs!$B$38&lt;&gt;"pvp",Inputs!$B$43=0),1,IF(IF(Inputs!$B$38="pvp",15,Inputs!$B$43)-(B477)&lt;=0,1,MAX(0,IF(Inputs!$B$38="pvp",15,Inputs!$B$43)-MAX(5,B477))/(IF(Inputs!$B$38="pvp",15,Inputs!$B$43)-(B477))))*IF(AND(ArtifactsInput!$M$42,((Inputs!$B$9+((C458=TRUE)*(F458-Calc!F19))+B470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45">
        <f>(1-Summary!$B$11)*T445+Summary!$B$11*V445</f>
        <v/>
      </c>
      <c r="P445">
        <f>IF(B480=0,0,O445/B480)</f>
        <v/>
      </c>
      <c r="Q445">
        <f>IFERROR(1/(IF(Inputs!$B$38="pvp",15,MAX(0.1,Skills!D6-IF(TRUE=TRUE,Inputs!$B$32,0)))*(1-IF(AND(ArtifactsInput!$M$27,Inputs!$B$4="Chapter Hunt"),CHOOSE(ArtifactsInput!$N$27+1,20,24,28,32,36,40),0)/100)),0)</f>
        <v/>
      </c>
      <c r="R445">
        <f>IF(AND(Inputs!$B$38&lt;&gt;"pvp",Inputs!$B$43&gt;0),IF(MAX(0,Inputs!$B$43-B477)&lt;=0,0,(INT(MAX(0,Inputs!$B$43-B477)/(IF(Inputs!$B$38="pvp",15,MAX(0.1,Skills!D6-IF(TRUE=TRUE,Inputs!$B$32,0)))*(1-IF(AND(ArtifactsInput!$M$27,Inputs!$B$4="Chapter Hunt"),CHOOSE(ArtifactsInput!$N$27+1,20,24,28,32,36,40),0)/100)))+1)),0)</f>
        <v/>
      </c>
      <c r="S445">
        <f>IFERROR(O445/N445,0)</f>
        <v/>
      </c>
      <c r="T445">
        <f>IF(C445,(H445*N445*IF(AND(Inputs!$B$38&lt;&gt;"pvp",Inputs!$B$43&gt;0),((Skills!G6*((R445-1)*IF(Skills!H6&gt;0,INT(Skills!I6/Skills!H6+0.000000001),1)+IF(Skills!H6&gt;0,INT(MIN(Skills!I6,MAX(0,MAX(0,Inputs!$B$43-B477)-((R445-1)*(IF(Inputs!$B$38="pvp",15,MAX(0.1,Skills!D6-IF(TRUE=TRUE,Inputs!$B$32,0)))*(1-IF(AND(ArtifactsInput!$M$27,Inputs!$B$4="Chapter Hunt"),CHOOSE(ArtifactsInput!$N$27+1,20,24,28,32,36,40),0)/100)))))/Skills!H6+0.000000001),1)))/Inputs!$B$43),G445*Q445))*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Hunt"),CHOOSE(ArtifactsInput!$N$35+1,15,18,21,24,27,30)*(1-EXP(-(0.2*B472)*5)),0)+IF(AND(ArtifactsInput!$M$22,Inputs!$B$4&lt;&gt;"Chapter Hunt"),CHOOSE(ArtifactsInput!$N$22+1,10,12,14,16,18,20)*((0*(((0.15*B472*5))^0/1)+1*(((0.15*B472*5))^1/1)+2*(((0.15*B472*5))^2/2)+3*(((0.15*B472*5))^3/6)+4*(((0.15*B472*5))^4/24)+5*(((0.15*B472*5))^5/120))/((((0.15*B472*5))^0/1)+(((0.15*B472*5))^1/1)+(((0.15*B472*5))^2/2)+(((0.15*B472*5))^3/6)+(((0.15*B472*5))^4/24)+(((0.15*B472*5))^5/120))),0))+IF(Inputs!$B$3&gt;=54,9*(C442=TRUE)*MIN(1,8*(1+Inputs!$B$34/100)*Q442)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445*(1-MIN(100,(Inputs!$B$9+((C458=TRUE)*(F458-Calc!F19))+B470+(ArtifactsInput!$M$24-ArtifactsInput!$M$24)*CHOOSE(ArtifactsInput!$N$24+1,10,12,14,16,18,20)+(IF(AND(Inputs!$B$38&lt;&gt;"pvp",Inputs!$B$43=0),1,IF(IF(Inputs!$B$38="pvp",15,Inputs!$B$43)-(B477)&lt;=0,1,MAX(0,IF(Inputs!$B$38="pvp",15,Inputs!$B$43)-MAX(5,B477))/(IF(Inputs!$B$38="pvp",15,Inputs!$B$43)-(B477))))*IF(AND(ArtifactsInput!$M$42,((Inputs!$B$9+((C458=TRUE)*(F458-Calc!F19))+B470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445*(MIN(100,(Inputs!$B$9+((C458=TRUE)*(F458-Calc!F19))+B470+(ArtifactsInput!$M$24-ArtifactsInput!$M$24)*CHOOSE(ArtifactsInput!$N$24+1,10,12,14,16,18,20)+(IF(AND(Inputs!$B$38&lt;&gt;"pvp",Inputs!$B$43=0),1,IF(IF(Inputs!$B$38="pvp",15,Inputs!$B$43)-(B477)&lt;=0,1,MAX(0,IF(Inputs!$B$38="pvp",15,Inputs!$B$43)-MAX(5,B477))/(IF(Inputs!$B$38="pvp",15,Inputs!$B$43)-(B477))))*IF(AND(ArtifactsInput!$M$42,((Inputs!$B$9+((C458=TRUE)*(F458-Calc!F19))+B470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445*(1-MIN(100,(Inputs!$B$9+((C458=TRUE)*(F458-Calc!F19))+B470+(ArtifactsInput!$M$24-ArtifactsInput!$M$24)*CHOOSE(ArtifactsInput!$N$24+1,10,12,14,16,18,20)+(IF(AND(Inputs!$B$38&lt;&gt;"pvp",Inputs!$B$43=0),1,IF(IF(Inputs!$B$38="pvp",15,Inputs!$B$43)-(B477)&lt;=0,1,MAX(0,IF(Inputs!$B$38="pvp",15,Inputs!$B$43)-MAX(5,B477))/(IF(Inputs!$B$38="pvp",15,Inputs!$B$43)-(B477))))*IF(AND(ArtifactsInput!$M$42,((Inputs!$B$9+((C458=TRUE)*(F458-Calc!F19))+B470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445*(MIN(100,(Inputs!$B$9+((C458=TRUE)*(F458-Calc!F19))+B470+(ArtifactsInput!$M$24-ArtifactsInput!$M$24)*CHOOSE(ArtifactsInput!$N$24+1,10,12,14,16,18,20)+(IF(AND(Inputs!$B$38&lt;&gt;"pvp",Inputs!$B$43=0),1,IF(IF(Inputs!$B$38="pvp",15,Inputs!$B$43)-(B477)&lt;=0,1,MAX(0,IF(Inputs!$B$38="pvp",15,Inputs!$B$43)-MAX(5,B477))/(IF(Inputs!$B$38="pvp",15,Inputs!$B$43)-(B477))))*IF(AND(ArtifactsInput!$M$42,((Inputs!$B$9+((C458=TRUE)*(F458-Calc!F19))+B470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445">
        <f>IF(C445,(H445*N445*IF(AND(Inputs!$B$38&lt;&gt;"pvp",Inputs!$B$43&gt;0),((Skills!G6*((R445-1)*IF(Skills!H6&gt;0,INT(Skills!I6/Skills!H6+0.000000001),1)+IF(Skills!H6&gt;0,INT(MIN(Skills!I6,MAX(0,MAX(0,Inputs!$B$43-B477)-((R445-1)*(IF(Inputs!$B$38="pvp",15,MAX(0.1,Skills!D6-IF(TRUE=TRUE,Inputs!$B$32,0)))*(1-IF(AND(ArtifactsInput!$M$27,Inputs!$B$4="Chapter Hunt"),CHOOSE(ArtifactsInput!$N$27+1,20,24,28,32,36,40),0)/100)))))/Skills!H6+0.000000001),1)))/Inputs!$B$43),G445*Q445))*IF(Inputs!$B$38="pvp",1,(1+(Inputs!$B$21+Skills!Q6+(IF(ArtifactsInput!$M$33,CHOOSE(ArtifactsInput!$N$33+1,30,36,42,48,54,60),0))+(IF(AND(ArtifactsInput!$M$35,Inputs!$B$4&lt;&gt;"Chapter Hunt"),CHOOSE(ArtifactsInput!$N$35+1,15,18,21,24,27,30)*(1-EXP(-(0.2*B472)*5)),0)+IF(AND(ArtifactsInput!$M$22,Inputs!$B$4&lt;&gt;"Chapter Hunt"),CHOOSE(ArtifactsInput!$N$22+1,10,12,14,16,18,20)*((0*(((0.15*B472*5))^0/1)+1*(((0.15*B472*5))^1/1)+2*(((0.15*B472*5))^2/2)+3*(((0.15*B472*5))^3/6)+4*(((0.15*B472*5))^4/24)+5*(((0.15*B472*5))^5/120))/((((0.15*B472*5))^0/1)+(((0.15*B472*5))^1/1)+(((0.15*B472*5))^2/2)+(((0.15*B472*5))^3/6)+(((0.15*B472*5))^4/24)+(((0.15*B472*5))^5/120))),0))+IF(Inputs!$B$3&gt;=54,9*(C442=TRUE)*MIN(1,8*(1+Inputs!$B$34/100)*Q442),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46">
      <c r="A446">
        <f>Skills!A7</f>
        <v/>
      </c>
      <c r="B446">
        <f>Skills!B7</f>
        <v/>
      </c>
      <c r="C446">
        <f>Inputs!$B$3&gt;=63</f>
        <v/>
      </c>
      <c r="D446">
        <f>IF(Skills!C7=1,60+Inputs!$B$25+Inputs!$B$29,IF(Skills!C7=2,90+Inputs!$B$26+Inputs!$B$29,IF(Skills!C7=3,120+Inputs!$B$27+Inputs!$B$29,MAX(0,(Inputs!$B$3-100)*3)+Inputs!$B$28+Inputs!$B$29)))</f>
        <v/>
      </c>
      <c r="E446">
        <f>INDEX(FactorTable!$B$2:$Y$301, MATCH(ROUND(MIN(300,MAX(1,D446)),0), FactorTable!$A$2:$A$301,0), Skills!M7+1)</f>
        <v/>
      </c>
      <c r="F446">
        <f>IF(Skills!N7=TRUE,(Skills!L7/10)*(E446/1000),Skills!L7/10)+Skills!O7</f>
        <v/>
      </c>
      <c r="G446">
        <f>Skills!G7*IF(Skills!H7&gt;0,INT(IF(Inputs!$B$38="pvp",MIN(Skills!I7,15),Skills!I7)/Skills!H7+0.000000001),1)</f>
        <v/>
      </c>
      <c r="H446">
        <f>1-(1-Skills!J7/100)^Skills!K7</f>
        <v/>
      </c>
      <c r="I446" t="inlineStr">
        <is>
          <t>1</t>
        </is>
      </c>
      <c r="J446">
        <f>((Inputs!$B$6*(1+Inputs!$B$7/100))+(((Inputs!$B$12*(1+Inputs!$B$13/100))-(Inputs!$B$12*(1+Inputs!$B$13/100)))+0.25*(Inputs!$B$14-Inputs!$B$14))*(1+Inputs!$B$7/100))*(F446/100)</f>
        <v/>
      </c>
      <c r="K446">
        <f>J446*(1+((Inputs!$B$12*(1+Inputs!$B$13/100))*0.01+Inputs!$B$14*0.0025)/100)*(1+Inputs!$B$15/100)*(1+Inputs!$B$16/100)*(5000/(6000+Inputs!$B$42*(1-(100*(1-(1-(Inputs!$B$19+0)/100)*(1-CHOOSE(ArtifactsInput!$N$40+1,5,6,7,8,9,10)/100)^(ArtifactsInput!$M$40-ArtifactsInput!$M$40)))/100)))*(1+(Inputs!$B$24+((C465=TRUE)*(F465-Calc!F26))+B476)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454=TRUE,F454,0)/100)*(1+(IF(Skills!A7="EIGHT_LEGS_EASTON",Inputs!$B$17+((C462=TRUE)*(F462-Calc!F23))+((C466=TRUE)*(F466-Calc!F27))+((IF(AND(Inputs!$B$38&lt;&gt;"pvp",Inputs!$B$43=0),1,IF(IF(Inputs!$B$38="pvp",15,Inputs!$B$43)-(B477)&lt;=0,1,MAX(0,IF(Inputs!$B$38="pvp",15,Inputs!$B$43)-MAX(5,B477))/(IF(Inputs!$B$38="pvp",15,Inputs!$B$43)-(B477))))*(IF(AND(ArtifactsInput!$M$42,((Inputs!$B$9+((C458=TRUE)*(F458-Calc!F19))+B470+(ArtifactsInput!$M$24-ArtifactsInput!$M$24)*CHOOSE(ArtifactsInput!$N$24+1,10,12,14,16,18,20)+IF(ArtifactsInput!$M$10,CHOOSE(ArtifactsInput!$N$10+1,15,18,21,24,27,30)*(IF(Inputs!$B$38="pvp",MIN(15,15)/15,IF(AND(Inputs!$B$38&lt;&gt;"pvp",Inputs!$B$43&gt;0),MIN(15,Inputs!$B$43)/(Inputs!$B$43),0))),0)))&gt;=100),MIN(100,((Inputs!$B$9+((C458=TRUE)*(F458-Calc!F19))+B470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477)&lt;=0,1,MAX(0,IF(Inputs!$B$38="pvp",15,Inputs!$B$43)-MAX(5,B477))/(IF(Inputs!$B$38="pvp",15,Inputs!$B$43)-(B477))))*IF(AND(ArtifactsInput!$M$42,((Inputs!$B$9+((C458=TRUE)*(F458-Calc!F19))+B470+(ArtifactsInput!$M$24-ArtifactsInput!$M$24)*CHOOSE(ArtifactsInput!$N$24+1,10,12,14,16,18,20)+IF(ArtifactsInput!$M$10,CHOOSE(ArtifactsInput!$N$10+1,15,18,21,24,27,30)*(IF(Inputs!$B$38="pvp",MIN(15,15)/15,IF(AND(Inputs!$B$38&lt;&gt;"pvp",Inputs!$B$43&gt;0),MIN(15,Inputs!$B$43)/(Inputs!$B$43),0))),0)))&gt;=100),CHOOSE(ArtifactsInput!$N$42+1,40,48,56,64,72,80),0))))/100)*((1+(((C456=TRUE)*F456*5/7)+((C463=TRUE)*(F463-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446)</f>
        <v/>
      </c>
      <c r="L446">
        <f>K446*(MIN((Inputs!$B$22+1)+((C461=TRUE)*(F461-Calc!F22)),(Inputs!$B$23+0+(IF(ArtifactsInput!$M$15,CHOOSE(ArtifactsInput!$N$15+1,25,30,35,40,45,50)/100*(Inputs!$B$11-Inputs!$B$11),0))))/100+(Inputs!$B$23+0+(IF(ArtifactsInput!$M$15,CHOOSE(ArtifactsInput!$N$15+1,25,30,35,40,45,50)/100*(Inputs!$B$11-Inputs!$B$11),0)))/100)/2</f>
        <v/>
      </c>
      <c r="M446">
        <f>L446*(1+(Inputs!$B$10+((C464=TRUE)*(F464-Calc!F25))+B475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46">
        <f>L446*(1-MIN((Inputs!$B$9+((C458=TRUE)*(F458-Calc!F19))+B470+(ArtifactsInput!$M$24-ArtifactsInput!$M$24)*CHOOSE(ArtifactsInput!$N$24+1,10,12,14,16,18,20)+(IF(AND(Inputs!$B$38&lt;&gt;"pvp",Inputs!$B$43=0),1,IF(IF(Inputs!$B$38="pvp",15,Inputs!$B$43)-(B477)&lt;=0,1,MAX(0,IF(Inputs!$B$38="pvp",15,Inputs!$B$43)-MAX(5,B477))/(IF(Inputs!$B$38="pvp",15,Inputs!$B$43)-(B477))))*IF(AND(ArtifactsInput!$M$42,((Inputs!$B$9+((C458=TRUE)*(F458-Calc!F19))+B470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446*(MIN((Inputs!$B$9+((C458=TRUE)*(F458-Calc!F19))+B470+(ArtifactsInput!$M$24-ArtifactsInput!$M$24)*CHOOSE(ArtifactsInput!$N$24+1,10,12,14,16,18,20)+(IF(AND(Inputs!$B$38&lt;&gt;"pvp",Inputs!$B$43=0),1,IF(IF(Inputs!$B$38="pvp",15,Inputs!$B$43)-(B477)&lt;=0,1,MAX(0,IF(Inputs!$B$38="pvp",15,Inputs!$B$43)-MAX(5,B477))/(IF(Inputs!$B$38="pvp",15,Inputs!$B$43)-(B477))))*IF(AND(ArtifactsInput!$M$42,((Inputs!$B$9+((C458=TRUE)*(F458-Calc!F19))+B470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46">
        <f>(1-Summary!$B$11)*T446+Summary!$B$11*V446</f>
        <v/>
      </c>
      <c r="P446">
        <f>IF(B480=0,0,O446/B480)</f>
        <v/>
      </c>
      <c r="Q446">
        <f>IFERROR(1/(IF(Inputs!$B$38="pvp",15,MAX(0.1,Skills!D7-IF(TRUE=TRUE,Inputs!$B$32,0)))*(1-IF(AND(ArtifactsInput!$M$27,Inputs!$B$4="Chapter Hunt"),CHOOSE(ArtifactsInput!$N$27+1,20,24,28,32,36,40),0)/100)),0)</f>
        <v/>
      </c>
      <c r="R446">
        <f>IF(AND(Inputs!$B$38&lt;&gt;"pvp",Inputs!$B$43&gt;0),IF(MAX(0,Inputs!$B$43-B477)&lt;=0,0,(INT(MAX(0,Inputs!$B$43-B477)/(IF(Inputs!$B$38="pvp",15,MAX(0.1,Skills!D7-IF(TRUE=TRUE,Inputs!$B$32,0)))*(1-IF(AND(ArtifactsInput!$M$27,Inputs!$B$4="Chapter Hunt"),CHOOSE(ArtifactsInput!$N$27+1,20,24,28,32,36,40),0)/100)))+1)),0)</f>
        <v/>
      </c>
      <c r="S446">
        <f>IFERROR(O446/N446,0)</f>
        <v/>
      </c>
      <c r="T446">
        <f>IF(C446,(H446*N446*IF(AND(Inputs!$B$38&lt;&gt;"pvp",Inputs!$B$43&gt;0),((Skills!G7*((R446-1)*IF(Skills!H7&gt;0,INT(Skills!I7/Skills!H7+0.000000001),1)+IF(Skills!H7&gt;0,INT(MIN(Skills!I7,MAX(0,MAX(0,Inputs!$B$43-B477)-((R446-1)*(IF(Inputs!$B$38="pvp",15,MAX(0.1,Skills!D7-IF(TRUE=TRUE,Inputs!$B$32,0)))*(1-IF(AND(ArtifactsInput!$M$27,Inputs!$B$4="Chapter Hunt"),CHOOSE(ArtifactsInput!$N$27+1,20,24,28,32,36,40),0)/100)))))/Skills!H7+0.000000001),1)))/Inputs!$B$43),G446*Q446))*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Hunt"),CHOOSE(ArtifactsInput!$N$35+1,15,18,21,24,27,30)*(1-EXP(-(0.2*B472)*5)),0)+IF(AND(ArtifactsInput!$M$22,Inputs!$B$4&lt;&gt;"Chapter Hunt"),CHOOSE(ArtifactsInput!$N$22+1,10,12,14,16,18,20)*((0*(((0.15*B472*5))^0/1)+1*(((0.15*B472*5))^1/1)+2*(((0.15*B472*5))^2/2)+3*(((0.15*B472*5))^3/6)+4*(((0.15*B472*5))^4/24)+5*(((0.15*B472*5))^5/120))/((((0.15*B472*5))^0/1)+(((0.15*B472*5))^1/1)+(((0.15*B472*5))^2/2)+(((0.15*B472*5))^3/6)+(((0.15*B472*5))^4/24)+(((0.15*B472*5))^5/120))),0))+IF(Inputs!$B$3&gt;=54,9*(C442=TRUE)*MIN(1,8*(1+Inputs!$B$34/100)*Q442)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446*(1-MIN(100,(Inputs!$B$9+((C458=TRUE)*(F458-Calc!F19))+B470+(ArtifactsInput!$M$24-ArtifactsInput!$M$24)*CHOOSE(ArtifactsInput!$N$24+1,10,12,14,16,18,20)+(IF(AND(Inputs!$B$38&lt;&gt;"pvp",Inputs!$B$43=0),1,IF(IF(Inputs!$B$38="pvp",15,Inputs!$B$43)-(B477)&lt;=0,1,MAX(0,IF(Inputs!$B$38="pvp",15,Inputs!$B$43)-MAX(5,B477))/(IF(Inputs!$B$38="pvp",15,Inputs!$B$43)-(B477))))*IF(AND(ArtifactsInput!$M$42,((Inputs!$B$9+((C458=TRUE)*(F458-Calc!F19))+B470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446*(MIN(100,(Inputs!$B$9+((C458=TRUE)*(F458-Calc!F19))+B470+(ArtifactsInput!$M$24-ArtifactsInput!$M$24)*CHOOSE(ArtifactsInput!$N$24+1,10,12,14,16,18,20)+(IF(AND(Inputs!$B$38&lt;&gt;"pvp",Inputs!$B$43=0),1,IF(IF(Inputs!$B$38="pvp",15,Inputs!$B$43)-(B477)&lt;=0,1,MAX(0,IF(Inputs!$B$38="pvp",15,Inputs!$B$43)-MAX(5,B477))/(IF(Inputs!$B$38="pvp",15,Inputs!$B$43)-(B477))))*IF(AND(ArtifactsInput!$M$42,((Inputs!$B$9+((C458=TRUE)*(F458-Calc!F19))+B470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446*(1-MIN(100,(Inputs!$B$9+((C458=TRUE)*(F458-Calc!F19))+B470+(ArtifactsInput!$M$24-ArtifactsInput!$M$24)*CHOOSE(ArtifactsInput!$N$24+1,10,12,14,16,18,20)+(IF(AND(Inputs!$B$38&lt;&gt;"pvp",Inputs!$B$43=0),1,IF(IF(Inputs!$B$38="pvp",15,Inputs!$B$43)-(B477)&lt;=0,1,MAX(0,IF(Inputs!$B$38="pvp",15,Inputs!$B$43)-MAX(5,B477))/(IF(Inputs!$B$38="pvp",15,Inputs!$B$43)-(B477))))*IF(AND(ArtifactsInput!$M$42,((Inputs!$B$9+((C458=TRUE)*(F458-Calc!F19))+B470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446*(MIN(100,(Inputs!$B$9+((C458=TRUE)*(F458-Calc!F19))+B470+(ArtifactsInput!$M$24-ArtifactsInput!$M$24)*CHOOSE(ArtifactsInput!$N$24+1,10,12,14,16,18,20)+(IF(AND(Inputs!$B$38&lt;&gt;"pvp",Inputs!$B$43=0),1,IF(IF(Inputs!$B$38="pvp",15,Inputs!$B$43)-(B477)&lt;=0,1,MAX(0,IF(Inputs!$B$38="pvp",15,Inputs!$B$43)-MAX(5,B477))/(IF(Inputs!$B$38="pvp",15,Inputs!$B$43)-(B477))))*IF(AND(ArtifactsInput!$M$42,((Inputs!$B$9+((C458=TRUE)*(F458-Calc!F19))+B470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446">
        <f>IF(C446,(H446*N446*IF(AND(Inputs!$B$38&lt;&gt;"pvp",Inputs!$B$43&gt;0),((Skills!G7*((R446-1)*IF(Skills!H7&gt;0,INT(Skills!I7/Skills!H7+0.000000001),1)+IF(Skills!H7&gt;0,INT(MIN(Skills!I7,MAX(0,MAX(0,Inputs!$B$43-B477)-((R446-1)*(IF(Inputs!$B$38="pvp",15,MAX(0.1,Skills!D7-IF(TRUE=TRUE,Inputs!$B$32,0)))*(1-IF(AND(ArtifactsInput!$M$27,Inputs!$B$4="Chapter Hunt"),CHOOSE(ArtifactsInput!$N$27+1,20,24,28,32,36,40),0)/100)))))/Skills!H7+0.000000001),1)))/Inputs!$B$43),G446*Q446))*IF(Inputs!$B$38="pvp",1,(1+(Inputs!$B$21+Skills!Q7+(IF(ArtifactsInput!$M$33,CHOOSE(ArtifactsInput!$N$33+1,30,36,42,48,54,60),0))+(IF(AND(ArtifactsInput!$M$35,Inputs!$B$4&lt;&gt;"Chapter Hunt"),CHOOSE(ArtifactsInput!$N$35+1,15,18,21,24,27,30)*(1-EXP(-(0.2*B472)*5)),0)+IF(AND(ArtifactsInput!$M$22,Inputs!$B$4&lt;&gt;"Chapter Hunt"),CHOOSE(ArtifactsInput!$N$22+1,10,12,14,16,18,20)*((0*(((0.15*B472*5))^0/1)+1*(((0.15*B472*5))^1/1)+2*(((0.15*B472*5))^2/2)+3*(((0.15*B472*5))^3/6)+4*(((0.15*B472*5))^4/24)+5*(((0.15*B472*5))^5/120))/((((0.15*B472*5))^0/1)+(((0.15*B472*5))^1/1)+(((0.15*B472*5))^2/2)+(((0.15*B472*5))^3/6)+(((0.15*B472*5))^4/24)+(((0.15*B472*5))^5/120))),0))+IF(Inputs!$B$3&gt;=54,9*(C442=TRUE)*MIN(1,8*(1+Inputs!$B$34/100)*Q442),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47">
      <c r="A447">
        <f>Skills!A8</f>
        <v/>
      </c>
      <c r="B447">
        <f>Skills!B8</f>
        <v/>
      </c>
      <c r="C447">
        <f>Inputs!$B$3&gt;=103</f>
        <v/>
      </c>
      <c r="D447">
        <f>IF(Skills!C8=1,60+Inputs!$B$25+Inputs!$B$29,IF(Skills!C8=2,90+Inputs!$B$26+Inputs!$B$29,IF(Skills!C8=3,120+Inputs!$B$27+Inputs!$B$29,MAX(0,(Inputs!$B$3-100)*3)+Inputs!$B$28+Inputs!$B$29)))</f>
        <v/>
      </c>
      <c r="E447">
        <f>INDEX(FactorTable!$B$2:$Y$301, MATCH(ROUND(MIN(300,MAX(1,D447)),0), FactorTable!$A$2:$A$301,0), Skills!M8+1)</f>
        <v/>
      </c>
      <c r="F447">
        <f>IF(Skills!N8=TRUE,(Skills!L8/10)*(E447/1000),Skills!L8/10)+Skills!O8</f>
        <v/>
      </c>
      <c r="G447">
        <f>Skills!G8*IF(Skills!H8&gt;0,INT(IF(Inputs!$B$38="pvp",MIN(Skills!I8,15),Skills!I8)/Skills!H8+0.000000001),1)</f>
        <v/>
      </c>
      <c r="H447">
        <f>1-(1-Skills!J8/100)^Skills!K8</f>
        <v/>
      </c>
      <c r="I447" t="inlineStr">
        <is>
          <t>1</t>
        </is>
      </c>
      <c r="J447">
        <f>((Inputs!$B$6*(1+Inputs!$B$7/100))+(((Inputs!$B$12*(1+Inputs!$B$13/100))-(Inputs!$B$12*(1+Inputs!$B$13/100)))+0.25*(Inputs!$B$14-Inputs!$B$14))*(1+Inputs!$B$7/100))*(F447/100)</f>
        <v/>
      </c>
      <c r="K447">
        <f>J447*(1+((Inputs!$B$12*(1+Inputs!$B$13/100))*0.01+Inputs!$B$14*0.0025)/100)*(1+Inputs!$B$15/100)*(1+Inputs!$B$16/100)*(5000/(6000+Inputs!$B$42*(1-(100*(1-(1-(Inputs!$B$19+0)/100)*(1-CHOOSE(ArtifactsInput!$N$40+1,5,6,7,8,9,10)/100)^(ArtifactsInput!$M$40-ArtifactsInput!$M$40)))/100)))*(1+(Inputs!$B$24+((C465=TRUE)*(F465-Calc!F26))+B476)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IGHT_LEGS_EASTON",Inputs!$B$17+((C462=TRUE)*(F462-Calc!F23))+((C466=TRUE)*(F466-Calc!F27))+((IF(AND(Inputs!$B$38&lt;&gt;"pvp",Inputs!$B$43=0),1,IF(IF(Inputs!$B$38="pvp",15,Inputs!$B$43)-(B477)&lt;=0,1,MAX(0,IF(Inputs!$B$38="pvp",15,Inputs!$B$43)-MAX(5,B477))/(IF(Inputs!$B$38="pvp",15,Inputs!$B$43)-(B477))))*(IF(AND(ArtifactsInput!$M$42,((Inputs!$B$9+((C458=TRUE)*(F458-Calc!F19))+B470+(ArtifactsInput!$M$24-ArtifactsInput!$M$24)*CHOOSE(ArtifactsInput!$N$24+1,10,12,14,16,18,20)+IF(ArtifactsInput!$M$10,CHOOSE(ArtifactsInput!$N$10+1,15,18,21,24,27,30)*(IF(Inputs!$B$38="pvp",MIN(15,15)/15,IF(AND(Inputs!$B$38&lt;&gt;"pvp",Inputs!$B$43&gt;0),MIN(15,Inputs!$B$43)/(Inputs!$B$43),0))),0)))&gt;=100),MIN(100,((Inputs!$B$9+((C458=TRUE)*(F458-Calc!F19))+B470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477)&lt;=0,1,MAX(0,IF(Inputs!$B$38="pvp",15,Inputs!$B$43)-MAX(5,B477))/(IF(Inputs!$B$38="pvp",15,Inputs!$B$43)-(B477))))*IF(AND(ArtifactsInput!$M$42,((Inputs!$B$9+((C458=TRUE)*(F458-Calc!F19))+B470+(ArtifactsInput!$M$24-ArtifactsInput!$M$24)*CHOOSE(ArtifactsInput!$N$24+1,10,12,14,16,18,20)+IF(ArtifactsInput!$M$10,CHOOSE(ArtifactsInput!$N$10+1,15,18,21,24,27,30)*(IF(Inputs!$B$38="pvp",MIN(15,15)/15,IF(AND(Inputs!$B$38&lt;&gt;"pvp",Inputs!$B$43&gt;0),MIN(15,Inputs!$B$43)/(Inputs!$B$43),0))),0)))&gt;=100),CHOOSE(ArtifactsInput!$N$42+1,40,48,56,64,72,80),0))))/100)*((1+(((C456=TRUE)*F456*5/7)+((C463=TRUE)*(F463-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447)</f>
        <v/>
      </c>
      <c r="L447">
        <f>K447*(MIN((Inputs!$B$22+1)+((C461=TRUE)*(F461-Calc!F22)),(Inputs!$B$23+0+(IF(ArtifactsInput!$M$15,CHOOSE(ArtifactsInput!$N$15+1,25,30,35,40,45,50)/100*(Inputs!$B$11-Inputs!$B$11),0))))/100+(Inputs!$B$23+0+(IF(ArtifactsInput!$M$15,CHOOSE(ArtifactsInput!$N$15+1,25,30,35,40,45,50)/100*(Inputs!$B$11-Inputs!$B$11),0)))/100)/2</f>
        <v/>
      </c>
      <c r="M447">
        <f>L447*(1+(Inputs!$B$10+((C464=TRUE)*(F464-Calc!F25))+B475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47">
        <f>L447*(1-MIN((Inputs!$B$9+((C458=TRUE)*(F458-Calc!F19))+B470+(ArtifactsInput!$M$24-ArtifactsInput!$M$24)*CHOOSE(ArtifactsInput!$N$24+1,10,12,14,16,18,20)+(IF(AND(Inputs!$B$38&lt;&gt;"pvp",Inputs!$B$43=0),1,IF(IF(Inputs!$B$38="pvp",15,Inputs!$B$43)-(B477)&lt;=0,1,MAX(0,IF(Inputs!$B$38="pvp",15,Inputs!$B$43)-MAX(5,B477))/(IF(Inputs!$B$38="pvp",15,Inputs!$B$43)-(B477))))*IF(AND(ArtifactsInput!$M$42,((Inputs!$B$9+((C458=TRUE)*(F458-Calc!F19))+B470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447*(MIN((Inputs!$B$9+((C458=TRUE)*(F458-Calc!F19))+B470+(ArtifactsInput!$M$24-ArtifactsInput!$M$24)*CHOOSE(ArtifactsInput!$N$24+1,10,12,14,16,18,20)+(IF(AND(Inputs!$B$38&lt;&gt;"pvp",Inputs!$B$43=0),1,IF(IF(Inputs!$B$38="pvp",15,Inputs!$B$43)-(B477)&lt;=0,1,MAX(0,IF(Inputs!$B$38="pvp",15,Inputs!$B$43)-MAX(5,B477))/(IF(Inputs!$B$38="pvp",15,Inputs!$B$43)-(B477))))*IF(AND(ArtifactsInput!$M$42,((Inputs!$B$9+((C458=TRUE)*(F458-Calc!F19))+B470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47">
        <f>(1-Summary!$B$11)*T447+Summary!$B$11*V447</f>
        <v/>
      </c>
      <c r="P447">
        <f>IF(B480=0,0,O447/B480)</f>
        <v/>
      </c>
      <c r="Q447">
        <f>IFERROR(1/((IF(Inputs!$B$38="pvp",15,MAX(0.1,Skills!D8-IF(TRUE=TRUE,Inputs!$B$32,0)))*(1-IF(AND(ArtifactsInput!$M$27,Inputs!$B$4="Chapter Hunt"),CHOOSE(ArtifactsInput!$N$27+1,20,24,28,32,36,40),0)/100))/B481),0)</f>
        <v/>
      </c>
      <c r="R447">
        <f>IF(AND(Inputs!$B$38&lt;&gt;"pvp",Inputs!$B$43&gt;0),IF(MAX(0,Inputs!$B$43-B477)&lt;=0,0,(INT(MAX(0,Inputs!$B$43-B477)/((IF(Inputs!$B$38="pvp",15,MAX(0.1,Skills!D8-IF(TRUE=TRUE,Inputs!$B$32,0)))*(1-IF(AND(ArtifactsInput!$M$27,Inputs!$B$4="Chapter Hunt"),CHOOSE(ArtifactsInput!$N$27+1,20,24,28,32,36,40),0)/100))/B481))+1)),0)</f>
        <v/>
      </c>
      <c r="S447">
        <f>IFERROR(O447/N447,0)</f>
        <v/>
      </c>
      <c r="T447">
        <f>IF(C447,(H447*N447*IF(AND(Inputs!$B$38&lt;&gt;"pvp",Inputs!$B$43&gt;0),((Skills!G8*((R447-1)*IF(Skills!H8&gt;0,INT(Skills!I8/Skills!H8+0.000000001),1)+IF(Skills!H8&gt;0,INT(MIN(Skills!I8,MAX(0,MAX(0,Inputs!$B$43-B477)-((R447-1)*((IF(Inputs!$B$38="pvp",15,MAX(0.1,Skills!D8-IF(TRUE=TRUE,Inputs!$B$32,0)))*(1-IF(AND(ArtifactsInput!$M$27,Inputs!$B$4="Chapter Hunt"),CHOOSE(ArtifactsInput!$N$27+1,20,24,28,32,36,40),0)/100))/B481))))/Skills!H8+0.000000001),1)))/Inputs!$B$43),G447*Q447))*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Hunt"),CHOOSE(ArtifactsInput!$N$35+1,15,18,21,24,27,30)*(1-EXP(-(0.2*B472)*5)),0)+IF(AND(ArtifactsInput!$M$22,Inputs!$B$4&lt;&gt;"Chapter Hunt"),CHOOSE(ArtifactsInput!$N$22+1,10,12,14,16,18,20)*((0*(((0.15*B472*5))^0/1)+1*(((0.15*B472*5))^1/1)+2*(((0.15*B472*5))^2/2)+3*(((0.15*B472*5))^3/6)+4*(((0.15*B472*5))^4/24)+5*(((0.15*B472*5))^5/120))/((((0.15*B472*5))^0/1)+(((0.15*B472*5))^1/1)+(((0.15*B472*5))^2/2)+(((0.15*B472*5))^3/6)+(((0.15*B472*5))^4/24)+(((0.15*B472*5))^5/120))),0))+IF(Inputs!$B$3&gt;=54,9*(C442=TRUE)*MIN(1,8*(1+Inputs!$B$34/100)*Q442)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447*(1-MIN(100,(Inputs!$B$9+((C458=TRUE)*(F458-Calc!F19))+B470+(ArtifactsInput!$M$24-ArtifactsInput!$M$24)*CHOOSE(ArtifactsInput!$N$24+1,10,12,14,16,18,20)+(IF(AND(Inputs!$B$38&lt;&gt;"pvp",Inputs!$B$43=0),1,IF(IF(Inputs!$B$38="pvp",15,Inputs!$B$43)-(B477)&lt;=0,1,MAX(0,IF(Inputs!$B$38="pvp",15,Inputs!$B$43)-MAX(5,B477))/(IF(Inputs!$B$38="pvp",15,Inputs!$B$43)-(B477))))*IF(AND(ArtifactsInput!$M$42,((Inputs!$B$9+((C458=TRUE)*(F458-Calc!F19))+B470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447*(MIN(100,(Inputs!$B$9+((C458=TRUE)*(F458-Calc!F19))+B470+(ArtifactsInput!$M$24-ArtifactsInput!$M$24)*CHOOSE(ArtifactsInput!$N$24+1,10,12,14,16,18,20)+(IF(AND(Inputs!$B$38&lt;&gt;"pvp",Inputs!$B$43=0),1,IF(IF(Inputs!$B$38="pvp",15,Inputs!$B$43)-(B477)&lt;=0,1,MAX(0,IF(Inputs!$B$38="pvp",15,Inputs!$B$43)-MAX(5,B477))/(IF(Inputs!$B$38="pvp",15,Inputs!$B$43)-(B477))))*IF(AND(ArtifactsInput!$M$42,((Inputs!$B$9+((C458=TRUE)*(F458-Calc!F19))+B470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447*(1-MIN(100,(Inputs!$B$9+((C458=TRUE)*(F458-Calc!F19))+B470+(ArtifactsInput!$M$24-ArtifactsInput!$M$24)*CHOOSE(ArtifactsInput!$N$24+1,10,12,14,16,18,20)+(IF(AND(Inputs!$B$38&lt;&gt;"pvp",Inputs!$B$43=0),1,IF(IF(Inputs!$B$38="pvp",15,Inputs!$B$43)-(B477)&lt;=0,1,MAX(0,IF(Inputs!$B$38="pvp",15,Inputs!$B$43)-MAX(5,B477))/(IF(Inputs!$B$38="pvp",15,Inputs!$B$43)-(B477))))*IF(AND(ArtifactsInput!$M$42,((Inputs!$B$9+((C458=TRUE)*(F458-Calc!F19))+B470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447*(MIN(100,(Inputs!$B$9+((C458=TRUE)*(F458-Calc!F19))+B470+(ArtifactsInput!$M$24-ArtifactsInput!$M$24)*CHOOSE(ArtifactsInput!$N$24+1,10,12,14,16,18,20)+(IF(AND(Inputs!$B$38&lt;&gt;"pvp",Inputs!$B$43=0),1,IF(IF(Inputs!$B$38="pvp",15,Inputs!$B$43)-(B477)&lt;=0,1,MAX(0,IF(Inputs!$B$38="pvp",15,Inputs!$B$43)-MAX(5,B477))/(IF(Inputs!$B$38="pvp",15,Inputs!$B$43)-(B477))))*IF(AND(ArtifactsInput!$M$42,((Inputs!$B$9+((C458=TRUE)*(F458-Calc!F19))+B470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447">
        <f>IF(C447,(H447*N447*IF(AND(Inputs!$B$38&lt;&gt;"pvp",Inputs!$B$43&gt;0),((Skills!G8*((R447-1)*IF(Skills!H8&gt;0,INT(Skills!I8/Skills!H8+0.000000001),1)+IF(Skills!H8&gt;0,INT(MIN(Skills!I8,MAX(0,MAX(0,Inputs!$B$43-B477)-((R447-1)*((IF(Inputs!$B$38="pvp",15,MAX(0.1,Skills!D8-IF(TRUE=TRUE,Inputs!$B$32,0)))*(1-IF(AND(ArtifactsInput!$M$27,Inputs!$B$4="Chapter Hunt"),CHOOSE(ArtifactsInput!$N$27+1,20,24,28,32,36,40),0)/100))/B481))))/Skills!H8+0.000000001),1)))/Inputs!$B$43),G447*Q447))*IF(Inputs!$B$38="pvp",1,(1+(Inputs!$B$21+Skills!Q8+(IF(ArtifactsInput!$M$33,CHOOSE(ArtifactsInput!$N$33+1,30,36,42,48,54,60),0))+(IF(AND(ArtifactsInput!$M$35,Inputs!$B$4&lt;&gt;"Chapter Hunt"),CHOOSE(ArtifactsInput!$N$35+1,15,18,21,24,27,30)*(1-EXP(-(0.2*B472)*5)),0)+IF(AND(ArtifactsInput!$M$22,Inputs!$B$4&lt;&gt;"Chapter Hunt"),CHOOSE(ArtifactsInput!$N$22+1,10,12,14,16,18,20)*((0*(((0.15*B472*5))^0/1)+1*(((0.15*B472*5))^1/1)+2*(((0.15*B472*5))^2/2)+3*(((0.15*B472*5))^3/6)+4*(((0.15*B472*5))^4/24)+5*(((0.15*B472*5))^5/120))/((((0.15*B472*5))^0/1)+(((0.15*B472*5))^1/1)+(((0.15*B472*5))^2/2)+(((0.15*B472*5))^3/6)+(((0.15*B472*5))^4/24)+(((0.15*B472*5))^5/120))),0))+IF(Inputs!$B$3&gt;=54,9*(C442=TRUE)*MIN(1,8*(1+Inputs!$B$34/100)*Q442),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48">
      <c r="A448">
        <f>Skills!A9</f>
        <v/>
      </c>
      <c r="B448">
        <f>Skills!B9</f>
        <v/>
      </c>
      <c r="C448">
        <f>Inputs!$B$3&gt;=105</f>
        <v/>
      </c>
      <c r="D448">
        <f>IF(Skills!C9=1,60+Inputs!$B$25+Inputs!$B$29,IF(Skills!C9=2,90+Inputs!$B$26+Inputs!$B$29,IF(Skills!C9=3,120+Inputs!$B$27+Inputs!$B$29,MAX(0,(Inputs!$B$3-100)*3)+Inputs!$B$28+Inputs!$B$29)))</f>
        <v/>
      </c>
      <c r="E448">
        <f>INDEX(FactorTable!$B$2:$Y$301, MATCH(ROUND(MIN(300,MAX(1,D448)),0), FactorTable!$A$2:$A$301,0), Skills!M9+1)</f>
        <v/>
      </c>
      <c r="F448">
        <f>IF(Skills!N9=TRUE,(Skills!L9/10)*(E448/1000),Skills!L9/10)+Skills!O9</f>
        <v/>
      </c>
      <c r="G448">
        <f>Skills!G9*IF(Skills!H9&gt;0,INT(IF(Inputs!$B$38="pvp",MIN(Skills!I9,15),Skills!I9)/Skills!H9+0.000000001),1)</f>
        <v/>
      </c>
      <c r="H448">
        <f>1-(1-Skills!J9/100)^Skills!K9</f>
        <v/>
      </c>
      <c r="I448" t="inlineStr">
        <is>
          <t>1</t>
        </is>
      </c>
      <c r="J448">
        <f>((Inputs!$B$6*(1+Inputs!$B$7/100))+(((Inputs!$B$12*(1+Inputs!$B$13/100))-(Inputs!$B$12*(1+Inputs!$B$13/100)))+0.25*(Inputs!$B$14-Inputs!$B$14))*(1+Inputs!$B$7/100))*(F448/100)</f>
        <v/>
      </c>
      <c r="K448">
        <f>J448*(1+((Inputs!$B$12*(1+Inputs!$B$13/100))*0.01+Inputs!$B$14*0.0025)/100)*(1+Inputs!$B$15/100)*(1+Inputs!$B$16/100)*(5000/(6000+Inputs!$B$42*(1-(100*(1-(1-(Inputs!$B$19+0)/100)*(1-CHOOSE(ArtifactsInput!$N$40+1,5,6,7,8,9,10)/100)^(ArtifactsInput!$M$40-ArtifactsInput!$M$40)))/100)))*(1+(Inputs!$B$24+((C465=TRUE)*(F465-Calc!F26))+B476)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IGHT_LEGS_EASTON",Inputs!$B$17+((C462=TRUE)*(F462-Calc!F23))+((C466=TRUE)*(F466-Calc!F27))+((IF(AND(Inputs!$B$38&lt;&gt;"pvp",Inputs!$B$43=0),1,IF(IF(Inputs!$B$38="pvp",15,Inputs!$B$43)-(B477)&lt;=0,1,MAX(0,IF(Inputs!$B$38="pvp",15,Inputs!$B$43)-MAX(5,B477))/(IF(Inputs!$B$38="pvp",15,Inputs!$B$43)-(B477))))*(IF(AND(ArtifactsInput!$M$42,((Inputs!$B$9+((C458=TRUE)*(F458-Calc!F19))+B470+(ArtifactsInput!$M$24-ArtifactsInput!$M$24)*CHOOSE(ArtifactsInput!$N$24+1,10,12,14,16,18,20)+IF(ArtifactsInput!$M$10,CHOOSE(ArtifactsInput!$N$10+1,15,18,21,24,27,30)*(IF(Inputs!$B$38="pvp",MIN(15,15)/15,IF(AND(Inputs!$B$38&lt;&gt;"pvp",Inputs!$B$43&gt;0),MIN(15,Inputs!$B$43)/(Inputs!$B$43),0))),0)))&gt;=100),MIN(100,((Inputs!$B$9+((C458=TRUE)*(F458-Calc!F19))+B470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477)&lt;=0,1,MAX(0,IF(Inputs!$B$38="pvp",15,Inputs!$B$43)-MAX(5,B477))/(IF(Inputs!$B$38="pvp",15,Inputs!$B$43)-(B477))))*IF(AND(ArtifactsInput!$M$42,((Inputs!$B$9+((C458=TRUE)*(F458-Calc!F19))+B470+(ArtifactsInput!$M$24-ArtifactsInput!$M$24)*CHOOSE(ArtifactsInput!$N$24+1,10,12,14,16,18,20)+IF(ArtifactsInput!$M$10,CHOOSE(ArtifactsInput!$N$10+1,15,18,21,24,27,30)*(IF(Inputs!$B$38="pvp",MIN(15,15)/15,IF(AND(Inputs!$B$38&lt;&gt;"pvp",Inputs!$B$43&gt;0),MIN(15,Inputs!$B$43)/(Inputs!$B$43),0))),0)))&gt;=100),CHOOSE(ArtifactsInput!$N$42+1,40,48,56,64,72,80),0))))/100)*((1+(((C456=TRUE)*F456*5/7)+((C463=TRUE)*(F463-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448)</f>
        <v/>
      </c>
      <c r="L448">
        <f>K448*(MIN((Inputs!$B$22+1)+((C461=TRUE)*(F461-Calc!F22)),(Inputs!$B$23+0+(IF(ArtifactsInput!$M$15,CHOOSE(ArtifactsInput!$N$15+1,25,30,35,40,45,50)/100*(Inputs!$B$11-Inputs!$B$11),0))))/100+(Inputs!$B$23+0+(IF(ArtifactsInput!$M$15,CHOOSE(ArtifactsInput!$N$15+1,25,30,35,40,45,50)/100*(Inputs!$B$11-Inputs!$B$11),0)))/100)/2</f>
        <v/>
      </c>
      <c r="M448">
        <f>L448*(1+(Inputs!$B$10+((C464=TRUE)*(F464-Calc!F25))+B475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48">
        <f>L448*(1-MIN((Inputs!$B$9+((C458=TRUE)*(F458-Calc!F19))+B470+(ArtifactsInput!$M$24-ArtifactsInput!$M$24)*CHOOSE(ArtifactsInput!$N$24+1,10,12,14,16,18,20)+(IF(AND(Inputs!$B$38&lt;&gt;"pvp",Inputs!$B$43=0),1,IF(IF(Inputs!$B$38="pvp",15,Inputs!$B$43)-(B477)&lt;=0,1,MAX(0,IF(Inputs!$B$38="pvp",15,Inputs!$B$43)-MAX(5,B477))/(IF(Inputs!$B$38="pvp",15,Inputs!$B$43)-(B477))))*IF(AND(ArtifactsInput!$M$42,((Inputs!$B$9+((C458=TRUE)*(F458-Calc!F19))+B470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448*(MIN((Inputs!$B$9+((C458=TRUE)*(F458-Calc!F19))+B470+(ArtifactsInput!$M$24-ArtifactsInput!$M$24)*CHOOSE(ArtifactsInput!$N$24+1,10,12,14,16,18,20)+(IF(AND(Inputs!$B$38&lt;&gt;"pvp",Inputs!$B$43=0),1,IF(IF(Inputs!$B$38="pvp",15,Inputs!$B$43)-(B477)&lt;=0,1,MAX(0,IF(Inputs!$B$38="pvp",15,Inputs!$B$43)-MAX(5,B477))/(IF(Inputs!$B$38="pvp",15,Inputs!$B$43)-(B477))))*IF(AND(ArtifactsInput!$M$42,((Inputs!$B$9+((C458=TRUE)*(F458-Calc!F19))+B470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48">
        <f>(1-Summary!$B$11)*T448+Summary!$B$11*V448</f>
        <v/>
      </c>
      <c r="P448">
        <f>IF(B480=0,0,O448/B480)</f>
        <v/>
      </c>
      <c r="Q448">
        <f>IFERROR(1/(IF(Inputs!$B$38="pvp",15,MAX(0.1,Skills!D9-IF(TRUE=TRUE,Inputs!$B$32,0)))*(1-IF(AND(ArtifactsInput!$M$27,Inputs!$B$4="Chapter Hunt"),CHOOSE(ArtifactsInput!$N$27+1,20,24,28,32,36,40),0)/100)),0)</f>
        <v/>
      </c>
      <c r="R448">
        <f>IF(AND(Inputs!$B$38&lt;&gt;"pvp",Inputs!$B$43&gt;0),IF(MAX(0,Inputs!$B$43-B477)&lt;=0,0,(INT(MAX(0,Inputs!$B$43-B477)/(IF(Inputs!$B$38="pvp",15,MAX(0.1,Skills!D9-IF(TRUE=TRUE,Inputs!$B$32,0)))*(1-IF(AND(ArtifactsInput!$M$27,Inputs!$B$4="Chapter Hunt"),CHOOSE(ArtifactsInput!$N$27+1,20,24,28,32,36,40),0)/100)))+1)),0)</f>
        <v/>
      </c>
      <c r="S448">
        <f>IFERROR(O448/N448,0)</f>
        <v/>
      </c>
      <c r="T448">
        <f>IF(C448,(H448*N448*IF(AND(Inputs!$B$38&lt;&gt;"pvp",Inputs!$B$43&gt;0),((Skills!G9*((R448-1)*IF(Skills!H9&gt;0,INT(Skills!I9/Skills!H9+0.000000001),1)+IF(Skills!H9&gt;0,INT(MIN(Skills!I9,MAX(0,MAX(0,Inputs!$B$43-B477)-((R448-1)*(IF(Inputs!$B$38="pvp",15,MAX(0.1,Skills!D9-IF(TRUE=TRUE,Inputs!$B$32,0)))*(1-IF(AND(ArtifactsInput!$M$27,Inputs!$B$4="Chapter Hunt"),CHOOSE(ArtifactsInput!$N$27+1,20,24,28,32,36,40),0)/100)))))/Skills!H9+0.000000001),1)))/Inputs!$B$43),G448*Q448))*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Hunt"),CHOOSE(ArtifactsInput!$N$35+1,15,18,21,24,27,30)*(1-EXP(-(0.2*B472)*5)),0)+IF(AND(ArtifactsInput!$M$22,Inputs!$B$4&lt;&gt;"Chapter Hunt"),CHOOSE(ArtifactsInput!$N$22+1,10,12,14,16,18,20)*((0*(((0.15*B472*5))^0/1)+1*(((0.15*B472*5))^1/1)+2*(((0.15*B472*5))^2/2)+3*(((0.15*B472*5))^3/6)+4*(((0.15*B472*5))^4/24)+5*(((0.15*B472*5))^5/120))/((((0.15*B472*5))^0/1)+(((0.15*B472*5))^1/1)+(((0.15*B472*5))^2/2)+(((0.15*B472*5))^3/6)+(((0.15*B472*5))^4/24)+(((0.15*B472*5))^5/120))),0))+IF(Inputs!$B$3&gt;=54,9*(C442=TRUE)*MIN(1,8*(1+Inputs!$B$34/100)*Q442)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448*(1-MIN(100,(Inputs!$B$9+((C458=TRUE)*(F458-Calc!F19))+B470+(ArtifactsInput!$M$24-ArtifactsInput!$M$24)*CHOOSE(ArtifactsInput!$N$24+1,10,12,14,16,18,20)+(IF(AND(Inputs!$B$38&lt;&gt;"pvp",Inputs!$B$43=0),1,IF(IF(Inputs!$B$38="pvp",15,Inputs!$B$43)-(B477)&lt;=0,1,MAX(0,IF(Inputs!$B$38="pvp",15,Inputs!$B$43)-MAX(5,B477))/(IF(Inputs!$B$38="pvp",15,Inputs!$B$43)-(B477))))*IF(AND(ArtifactsInput!$M$42,((Inputs!$B$9+((C458=TRUE)*(F458-Calc!F19))+B470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448*(MIN(100,(Inputs!$B$9+((C458=TRUE)*(F458-Calc!F19))+B470+(ArtifactsInput!$M$24-ArtifactsInput!$M$24)*CHOOSE(ArtifactsInput!$N$24+1,10,12,14,16,18,20)+(IF(AND(Inputs!$B$38&lt;&gt;"pvp",Inputs!$B$43=0),1,IF(IF(Inputs!$B$38="pvp",15,Inputs!$B$43)-(B477)&lt;=0,1,MAX(0,IF(Inputs!$B$38="pvp",15,Inputs!$B$43)-MAX(5,B477))/(IF(Inputs!$B$38="pvp",15,Inputs!$B$43)-(B477))))*IF(AND(ArtifactsInput!$M$42,((Inputs!$B$9+((C458=TRUE)*(F458-Calc!F19))+B470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448*(1-MIN(100,(Inputs!$B$9+((C458=TRUE)*(F458-Calc!F19))+B470+(ArtifactsInput!$M$24-ArtifactsInput!$M$24)*CHOOSE(ArtifactsInput!$N$24+1,10,12,14,16,18,20)+(IF(AND(Inputs!$B$38&lt;&gt;"pvp",Inputs!$B$43=0),1,IF(IF(Inputs!$B$38="pvp",15,Inputs!$B$43)-(B477)&lt;=0,1,MAX(0,IF(Inputs!$B$38="pvp",15,Inputs!$B$43)-MAX(5,B477))/(IF(Inputs!$B$38="pvp",15,Inputs!$B$43)-(B477))))*IF(AND(ArtifactsInput!$M$42,((Inputs!$B$9+((C458=TRUE)*(F458-Calc!F19))+B470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448*(MIN(100,(Inputs!$B$9+((C458=TRUE)*(F458-Calc!F19))+B470+(ArtifactsInput!$M$24-ArtifactsInput!$M$24)*CHOOSE(ArtifactsInput!$N$24+1,10,12,14,16,18,20)+(IF(AND(Inputs!$B$38&lt;&gt;"pvp",Inputs!$B$43=0),1,IF(IF(Inputs!$B$38="pvp",15,Inputs!$B$43)-(B477)&lt;=0,1,MAX(0,IF(Inputs!$B$38="pvp",15,Inputs!$B$43)-MAX(5,B477))/(IF(Inputs!$B$38="pvp",15,Inputs!$B$43)-(B477))))*IF(AND(ArtifactsInput!$M$42,((Inputs!$B$9+((C458=TRUE)*(F458-Calc!F19))+B470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448">
        <f>IF(C448,(H448*N448*IF(AND(Inputs!$B$38&lt;&gt;"pvp",Inputs!$B$43&gt;0),((Skills!G9*((R448-1)*IF(Skills!H9&gt;0,INT(Skills!I9/Skills!H9+0.000000001),1)+IF(Skills!H9&gt;0,INT(MIN(Skills!I9,MAX(0,MAX(0,Inputs!$B$43-B477)-((R448-1)*(IF(Inputs!$B$38="pvp",15,MAX(0.1,Skills!D9-IF(TRUE=TRUE,Inputs!$B$32,0)))*(1-IF(AND(ArtifactsInput!$M$27,Inputs!$B$4="Chapter Hunt"),CHOOSE(ArtifactsInput!$N$27+1,20,24,28,32,36,40),0)/100)))))/Skills!H9+0.000000001),1)))/Inputs!$B$43),G448*Q448))*IF(Inputs!$B$38="pvp",1,(1+(Inputs!$B$21+Skills!Q9+(IF(ArtifactsInput!$M$33,CHOOSE(ArtifactsInput!$N$33+1,30,36,42,48,54,60),0))+(IF(AND(ArtifactsInput!$M$35,Inputs!$B$4&lt;&gt;"Chapter Hunt"),CHOOSE(ArtifactsInput!$N$35+1,15,18,21,24,27,30)*(1-EXP(-(0.2*B472)*5)),0)+IF(AND(ArtifactsInput!$M$22,Inputs!$B$4&lt;&gt;"Chapter Hunt"),CHOOSE(ArtifactsInput!$N$22+1,10,12,14,16,18,20)*((0*(((0.15*B472*5))^0/1)+1*(((0.15*B472*5))^1/1)+2*(((0.15*B472*5))^2/2)+3*(((0.15*B472*5))^3/6)+4*(((0.15*B472*5))^4/24)+5*(((0.15*B472*5))^5/120))/((((0.15*B472*5))^0/1)+(((0.15*B472*5))^1/1)+(((0.15*B472*5))^2/2)+(((0.15*B472*5))^3/6)+(((0.15*B472*5))^4/24)+(((0.15*B472*5))^5/120))),0))+IF(Inputs!$B$3&gt;=54,9*(C442=TRUE)*MIN(1,8*(1+Inputs!$B$34/100)*Q442),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49">
      <c r="A449">
        <f>Skills!A10</f>
        <v/>
      </c>
      <c r="B449">
        <f>Skills!B10</f>
        <v/>
      </c>
      <c r="C449">
        <f>Inputs!$B$3&gt;=113</f>
        <v/>
      </c>
      <c r="D449">
        <f>IF(Skills!C10=1,60+Inputs!$B$25+Inputs!$B$29,IF(Skills!C10=2,90+Inputs!$B$26+Inputs!$B$29,IF(Skills!C10=3,120+Inputs!$B$27+Inputs!$B$29,MAX(0,(Inputs!$B$3-100)*3)+Inputs!$B$28+Inputs!$B$29)))</f>
        <v/>
      </c>
      <c r="E449">
        <f>INDEX(FactorTable!$B$2:$Y$301, MATCH(ROUND(MIN(300,MAX(1,D449)),0), FactorTable!$A$2:$A$301,0), Skills!M10+1)</f>
        <v/>
      </c>
      <c r="F449">
        <f>IF(Skills!N10=TRUE,(Skills!L10/10)*(E449/1000),Skills!L10/10)+Skills!O10</f>
        <v/>
      </c>
      <c r="G449">
        <f>Skills!G10*IF(Skills!H10&gt;0,INT(IF(Inputs!$B$38="pvp",MIN(Skills!I10,15),Skills!I10)/Skills!H10+0.000000001),1)</f>
        <v/>
      </c>
      <c r="H449">
        <f>1-(1-Skills!J10/100)^Skills!K10</f>
        <v/>
      </c>
      <c r="I449" t="inlineStr">
        <is>
          <t>1</t>
        </is>
      </c>
      <c r="J449">
        <f>((Inputs!$B$6*(1+Inputs!$B$7/100))+(((Inputs!$B$12*(1+Inputs!$B$13/100))-(Inputs!$B$12*(1+Inputs!$B$13/100)))+0.25*(Inputs!$B$14-Inputs!$B$14))*(1+Inputs!$B$7/100))*(F449/100)</f>
        <v/>
      </c>
      <c r="K449">
        <f>J449*(1+((Inputs!$B$12*(1+Inputs!$B$13/100))*0.01+Inputs!$B$14*0.0025)/100)*(1+Inputs!$B$15/100)*(1+Inputs!$B$16/100)*(5000/(6000+Inputs!$B$42*(1-(100*(1-(1-(Inputs!$B$19+0)/100)*(1-CHOOSE(ArtifactsInput!$N$40+1,5,6,7,8,9,10)/100)^(ArtifactsInput!$M$40-ArtifactsInput!$M$40)))/100)))*(1+(Inputs!$B$24+((C465=TRUE)*(F465-Calc!F26))+B476)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IGHT_LEGS_EASTON",Inputs!$B$17+((C462=TRUE)*(F462-Calc!F23))+((C466=TRUE)*(F466-Calc!F27))+((IF(AND(Inputs!$B$38&lt;&gt;"pvp",Inputs!$B$43=0),1,IF(IF(Inputs!$B$38="pvp",15,Inputs!$B$43)-(B477)&lt;=0,1,MAX(0,IF(Inputs!$B$38="pvp",15,Inputs!$B$43)-MAX(5,B477))/(IF(Inputs!$B$38="pvp",15,Inputs!$B$43)-(B477))))*(IF(AND(ArtifactsInput!$M$42,((Inputs!$B$9+((C458=TRUE)*(F458-Calc!F19))+B470+(ArtifactsInput!$M$24-ArtifactsInput!$M$24)*CHOOSE(ArtifactsInput!$N$24+1,10,12,14,16,18,20)+IF(ArtifactsInput!$M$10,CHOOSE(ArtifactsInput!$N$10+1,15,18,21,24,27,30)*(IF(Inputs!$B$38="pvp",MIN(15,15)/15,IF(AND(Inputs!$B$38&lt;&gt;"pvp",Inputs!$B$43&gt;0),MIN(15,Inputs!$B$43)/(Inputs!$B$43),0))),0)))&gt;=100),MIN(100,((Inputs!$B$9+((C458=TRUE)*(F458-Calc!F19))+B470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477)&lt;=0,1,MAX(0,IF(Inputs!$B$38="pvp",15,Inputs!$B$43)-MAX(5,B477))/(IF(Inputs!$B$38="pvp",15,Inputs!$B$43)-(B477))))*IF(AND(ArtifactsInput!$M$42,((Inputs!$B$9+((C458=TRUE)*(F458-Calc!F19))+B470+(ArtifactsInput!$M$24-ArtifactsInput!$M$24)*CHOOSE(ArtifactsInput!$N$24+1,10,12,14,16,18,20)+IF(ArtifactsInput!$M$10,CHOOSE(ArtifactsInput!$N$10+1,15,18,21,24,27,30)*(IF(Inputs!$B$38="pvp",MIN(15,15)/15,IF(AND(Inputs!$B$38&lt;&gt;"pvp",Inputs!$B$43&gt;0),MIN(15,Inputs!$B$43)/(Inputs!$B$43),0))),0)))&gt;=100),CHOOSE(ArtifactsInput!$N$42+1,40,48,56,64,72,80),0))))/100)*((1+(((C456=TRUE)*F456*5/7)+((C463=TRUE)*(F463-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449)</f>
        <v/>
      </c>
      <c r="L449">
        <f>K449*(MIN((Inputs!$B$22+1)+((C461=TRUE)*(F461-Calc!F22)),(Inputs!$B$23+0+(IF(ArtifactsInput!$M$15,CHOOSE(ArtifactsInput!$N$15+1,25,30,35,40,45,50)/100*(Inputs!$B$11-Inputs!$B$11),0))))/100+(Inputs!$B$23+0+(IF(ArtifactsInput!$M$15,CHOOSE(ArtifactsInput!$N$15+1,25,30,35,40,45,50)/100*(Inputs!$B$11-Inputs!$B$11),0)))/100)/2</f>
        <v/>
      </c>
      <c r="M449">
        <f>L449*(1+(Inputs!$B$10+((C464=TRUE)*(F464-Calc!F25))+B475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49">
        <f>L449*(1-MIN((Inputs!$B$9+((C458=TRUE)*(F458-Calc!F19))+B470+(ArtifactsInput!$M$24-ArtifactsInput!$M$24)*CHOOSE(ArtifactsInput!$N$24+1,10,12,14,16,18,20)+(IF(AND(Inputs!$B$38&lt;&gt;"pvp",Inputs!$B$43=0),1,IF(IF(Inputs!$B$38="pvp",15,Inputs!$B$43)-(B477)&lt;=0,1,MAX(0,IF(Inputs!$B$38="pvp",15,Inputs!$B$43)-MAX(5,B477))/(IF(Inputs!$B$38="pvp",15,Inputs!$B$43)-(B477))))*IF(AND(ArtifactsInput!$M$42,((Inputs!$B$9+((C458=TRUE)*(F458-Calc!F19))+B470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449*(MIN((Inputs!$B$9+((C458=TRUE)*(F458-Calc!F19))+B470+(ArtifactsInput!$M$24-ArtifactsInput!$M$24)*CHOOSE(ArtifactsInput!$N$24+1,10,12,14,16,18,20)+(IF(AND(Inputs!$B$38&lt;&gt;"pvp",Inputs!$B$43=0),1,IF(IF(Inputs!$B$38="pvp",15,Inputs!$B$43)-(B477)&lt;=0,1,MAX(0,IF(Inputs!$B$38="pvp",15,Inputs!$B$43)-MAX(5,B477))/(IF(Inputs!$B$38="pvp",15,Inputs!$B$43)-(B477))))*IF(AND(ArtifactsInput!$M$42,((Inputs!$B$9+((C458=TRUE)*(F458-Calc!F19))+B470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49">
        <f>(1-Summary!$B$11)*T449+Summary!$B$11*V449</f>
        <v/>
      </c>
      <c r="P449">
        <f>IF(B480=0,0,O449/B480)</f>
        <v/>
      </c>
      <c r="Q449" t="n">
        <v>0</v>
      </c>
      <c r="R449" t="n">
        <v>0</v>
      </c>
      <c r="S449">
        <f>IFERROR(O449/N449,0)</f>
        <v/>
      </c>
      <c r="T449">
        <f>IF(C449,((H449*B482)/(1+Skills!H10*H449*B482)*N449)*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Hunt"),CHOOSE(ArtifactsInput!$N$35+1,15,18,21,24,27,30)*(1-EXP(-(0.2*B472)*5)),0)+IF(AND(ArtifactsInput!$M$22,Inputs!$B$4&lt;&gt;"Chapter Hunt"),CHOOSE(ArtifactsInput!$N$22+1,10,12,14,16,18,20)*((0*(((0.15*B472*5))^0/1)+1*(((0.15*B472*5))^1/1)+2*(((0.15*B472*5))^2/2)+3*(((0.15*B472*5))^3/6)+4*(((0.15*B472*5))^4/24)+5*(((0.15*B472*5))^5/120))/((((0.15*B472*5))^0/1)+(((0.15*B472*5))^1/1)+(((0.15*B472*5))^2/2)+(((0.15*B472*5))^3/6)+(((0.15*B472*5))^4/24)+(((0.15*B472*5))^5/120))),0))+IF(Inputs!$B$3&gt;=54,9*(C442=TRUE)*MIN(1,8*(1+Inputs!$B$34/100)*Q442)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449*(1-MIN(100,(Inputs!$B$9+((C458=TRUE)*(F458-Calc!F19))+B470+(ArtifactsInput!$M$24-ArtifactsInput!$M$24)*CHOOSE(ArtifactsInput!$N$24+1,10,12,14,16,18,20)+(IF(AND(Inputs!$B$38&lt;&gt;"pvp",Inputs!$B$43=0),1,IF(IF(Inputs!$B$38="pvp",15,Inputs!$B$43)-(B477)&lt;=0,1,MAX(0,IF(Inputs!$B$38="pvp",15,Inputs!$B$43)-MAX(5,B477))/(IF(Inputs!$B$38="pvp",15,Inputs!$B$43)-(B477))))*IF(AND(ArtifactsInput!$M$42,((Inputs!$B$9+((C458=TRUE)*(F458-Calc!F19))+B470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449*(MIN(100,(Inputs!$B$9+((C458=TRUE)*(F458-Calc!F19))+B470+(ArtifactsInput!$M$24-ArtifactsInput!$M$24)*CHOOSE(ArtifactsInput!$N$24+1,10,12,14,16,18,20)+(IF(AND(Inputs!$B$38&lt;&gt;"pvp",Inputs!$B$43=0),1,IF(IF(Inputs!$B$38="pvp",15,Inputs!$B$43)-(B477)&lt;=0,1,MAX(0,IF(Inputs!$B$38="pvp",15,Inputs!$B$43)-MAX(5,B477))/(IF(Inputs!$B$38="pvp",15,Inputs!$B$43)-(B477))))*IF(AND(ArtifactsInput!$M$42,((Inputs!$B$9+((C458=TRUE)*(F458-Calc!F19))+B470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449*(1-MIN(100,(Inputs!$B$9+((C458=TRUE)*(F458-Calc!F19))+B470+(ArtifactsInput!$M$24-ArtifactsInput!$M$24)*CHOOSE(ArtifactsInput!$N$24+1,10,12,14,16,18,20)+(IF(AND(Inputs!$B$38&lt;&gt;"pvp",Inputs!$B$43=0),1,IF(IF(Inputs!$B$38="pvp",15,Inputs!$B$43)-(B477)&lt;=0,1,MAX(0,IF(Inputs!$B$38="pvp",15,Inputs!$B$43)-MAX(5,B477))/(IF(Inputs!$B$38="pvp",15,Inputs!$B$43)-(B477))))*IF(AND(ArtifactsInput!$M$42,((Inputs!$B$9+((C458=TRUE)*(F458-Calc!F19))+B470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449*(MIN(100,(Inputs!$B$9+((C458=TRUE)*(F458-Calc!F19))+B470+(ArtifactsInput!$M$24-ArtifactsInput!$M$24)*CHOOSE(ArtifactsInput!$N$24+1,10,12,14,16,18,20)+(IF(AND(Inputs!$B$38&lt;&gt;"pvp",Inputs!$B$43=0),1,IF(IF(Inputs!$B$38="pvp",15,Inputs!$B$43)-(B477)&lt;=0,1,MAX(0,IF(Inputs!$B$38="pvp",15,Inputs!$B$43)-MAX(5,B477))/(IF(Inputs!$B$38="pvp",15,Inputs!$B$43)-(B477))))*IF(AND(ArtifactsInput!$M$42,((Inputs!$B$9+((C458=TRUE)*(F458-Calc!F19))+B470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449">
        <f>IF(C449,((H449*B482)/(1+Skills!H10*H449*B482)*N449)*IF(Inputs!$B$38="pvp",1,(1+(Inputs!$B$21+Skills!Q10+(IF(ArtifactsInput!$M$33,CHOOSE(ArtifactsInput!$N$33+1,30,36,42,48,54,60),0))+(IF(AND(ArtifactsInput!$M$35,Inputs!$B$4&lt;&gt;"Chapter Hunt"),CHOOSE(ArtifactsInput!$N$35+1,15,18,21,24,27,30)*(1-EXP(-(0.2*B472)*5)),0)+IF(AND(ArtifactsInput!$M$22,Inputs!$B$4&lt;&gt;"Chapter Hunt"),CHOOSE(ArtifactsInput!$N$22+1,10,12,14,16,18,20)*((0*(((0.15*B472*5))^0/1)+1*(((0.15*B472*5))^1/1)+2*(((0.15*B472*5))^2/2)+3*(((0.15*B472*5))^3/6)+4*(((0.15*B472*5))^4/24)+5*(((0.15*B472*5))^5/120))/((((0.15*B472*5))^0/1)+(((0.15*B472*5))^1/1)+(((0.15*B472*5))^2/2)+(((0.15*B472*5))^3/6)+(((0.15*B472*5))^4/24)+(((0.15*B472*5))^5/120))),0))+IF(Inputs!$B$3&gt;=54,9*(C442=TRUE)*MIN(1,8*(1+Inputs!$B$34/100)*Q442),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50">
      <c r="A450">
        <f>Skills!A11</f>
        <v/>
      </c>
      <c r="B450">
        <f>Skills!B11</f>
        <v/>
      </c>
      <c r="C450">
        <f>Inputs!$B$3&gt;=117</f>
        <v/>
      </c>
      <c r="D450">
        <f>IF(Skills!C11=1,60+Inputs!$B$25+Inputs!$B$29,IF(Skills!C11=2,90+Inputs!$B$26+Inputs!$B$29,IF(Skills!C11=3,120+Inputs!$B$27+Inputs!$B$29,MAX(0,(Inputs!$B$3-100)*3)+Inputs!$B$28+Inputs!$B$29)))</f>
        <v/>
      </c>
      <c r="E450">
        <f>INDEX(FactorTable!$B$2:$Y$301, MATCH(ROUND(MIN(300,MAX(1,D450)),0), FactorTable!$A$2:$A$301,0), Skills!M11+1)</f>
        <v/>
      </c>
      <c r="F450">
        <f>IF(Skills!N11=TRUE,(Skills!L11/10)*(E450/1000),Skills!L11/10)+Skills!O11</f>
        <v/>
      </c>
      <c r="G450">
        <f>Skills!G11*IF(Skills!H11&gt;0,INT(IF(Inputs!$B$38="pvp",MIN(Skills!I11,15),Skills!I11)/Skills!H11+0.000000001),1)</f>
        <v/>
      </c>
      <c r="H450">
        <f>1-(1-Skills!J11/100)^Skills!K11</f>
        <v/>
      </c>
      <c r="I450" t="inlineStr">
        <is>
          <t>1</t>
        </is>
      </c>
      <c r="J450">
        <f>((Inputs!$B$6*(1+Inputs!$B$7/100))+(((Inputs!$B$12*(1+Inputs!$B$13/100))-(Inputs!$B$12*(1+Inputs!$B$13/100)))+0.25*(Inputs!$B$14-Inputs!$B$14))*(1+Inputs!$B$7/100))*(F450/100)</f>
        <v/>
      </c>
      <c r="K450">
        <f>J450*(1+((Inputs!$B$12*(1+Inputs!$B$13/100))*0.01+Inputs!$B$14*0.0025)/100)*(1+Inputs!$B$15/100)*(1+Inputs!$B$16/100)*(5000/(6000+Inputs!$B$42*(1-(100*(1-(1-(Inputs!$B$19+0)/100)*(1-CHOOSE(ArtifactsInput!$N$40+1,5,6,7,8,9,10)/100)^(ArtifactsInput!$M$40-ArtifactsInput!$M$40)))/100)))*(1+(Inputs!$B$24+((C465=TRUE)*(F465-Calc!F26))+B476)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IGHT_LEGS_EASTON",Inputs!$B$17+((C462=TRUE)*(F462-Calc!F23))+((C466=TRUE)*(F466-Calc!F27))+((IF(AND(Inputs!$B$38&lt;&gt;"pvp",Inputs!$B$43=0),1,IF(IF(Inputs!$B$38="pvp",15,Inputs!$B$43)-(B477)&lt;=0,1,MAX(0,IF(Inputs!$B$38="pvp",15,Inputs!$B$43)-MAX(5,B477))/(IF(Inputs!$B$38="pvp",15,Inputs!$B$43)-(B477))))*(IF(AND(ArtifactsInput!$M$42,((Inputs!$B$9+((C458=TRUE)*(F458-Calc!F19))+B470+(ArtifactsInput!$M$24-ArtifactsInput!$M$24)*CHOOSE(ArtifactsInput!$N$24+1,10,12,14,16,18,20)+IF(ArtifactsInput!$M$10,CHOOSE(ArtifactsInput!$N$10+1,15,18,21,24,27,30)*(IF(Inputs!$B$38="pvp",MIN(15,15)/15,IF(AND(Inputs!$B$38&lt;&gt;"pvp",Inputs!$B$43&gt;0),MIN(15,Inputs!$B$43)/(Inputs!$B$43),0))),0)))&gt;=100),MIN(100,((Inputs!$B$9+((C458=TRUE)*(F458-Calc!F19))+B470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477)&lt;=0,1,MAX(0,IF(Inputs!$B$38="pvp",15,Inputs!$B$43)-MAX(5,B477))/(IF(Inputs!$B$38="pvp",15,Inputs!$B$43)-(B477))))*IF(AND(ArtifactsInput!$M$42,((Inputs!$B$9+((C458=TRUE)*(F458-Calc!F19))+B470+(ArtifactsInput!$M$24-ArtifactsInput!$M$24)*CHOOSE(ArtifactsInput!$N$24+1,10,12,14,16,18,20)+IF(ArtifactsInput!$M$10,CHOOSE(ArtifactsInput!$N$10+1,15,18,21,24,27,30)*(IF(Inputs!$B$38="pvp",MIN(15,15)/15,IF(AND(Inputs!$B$38&lt;&gt;"pvp",Inputs!$B$43&gt;0),MIN(15,Inputs!$B$43)/(Inputs!$B$43),0))),0)))&gt;=100),CHOOSE(ArtifactsInput!$N$42+1,40,48,56,64,72,80),0))))/100)*((1+(((C456=TRUE)*F456*5/7)+((C463=TRUE)*(F463-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450)</f>
        <v/>
      </c>
      <c r="L450">
        <f>K450*(MIN((Inputs!$B$22+1)+((C461=TRUE)*(F461-Calc!F22)),(Inputs!$B$23+0+(IF(ArtifactsInput!$M$15,CHOOSE(ArtifactsInput!$N$15+1,25,30,35,40,45,50)/100*(Inputs!$B$11-Inputs!$B$11),0))))/100+(Inputs!$B$23+0+(IF(ArtifactsInput!$M$15,CHOOSE(ArtifactsInput!$N$15+1,25,30,35,40,45,50)/100*(Inputs!$B$11-Inputs!$B$11),0)))/100)/2</f>
        <v/>
      </c>
      <c r="M450">
        <f>L450*(1+(Inputs!$B$10+((C464=TRUE)*(F464-Calc!F25))+B475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50">
        <f>L450*(1-MIN((Inputs!$B$9+((C458=TRUE)*(F458-Calc!F19))+B470+(ArtifactsInput!$M$24-ArtifactsInput!$M$24)*CHOOSE(ArtifactsInput!$N$24+1,10,12,14,16,18,20)+(IF(AND(Inputs!$B$38&lt;&gt;"pvp",Inputs!$B$43=0),1,IF(IF(Inputs!$B$38="pvp",15,Inputs!$B$43)-(B477)&lt;=0,1,MAX(0,IF(Inputs!$B$38="pvp",15,Inputs!$B$43)-MAX(5,B477))/(IF(Inputs!$B$38="pvp",15,Inputs!$B$43)-(B477))))*IF(AND(ArtifactsInput!$M$42,((Inputs!$B$9+((C458=TRUE)*(F458-Calc!F19))+B470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450*(MIN((Inputs!$B$9+((C458=TRUE)*(F458-Calc!F19))+B470+(ArtifactsInput!$M$24-ArtifactsInput!$M$24)*CHOOSE(ArtifactsInput!$N$24+1,10,12,14,16,18,20)+(IF(AND(Inputs!$B$38&lt;&gt;"pvp",Inputs!$B$43=0),1,IF(IF(Inputs!$B$38="pvp",15,Inputs!$B$43)-(B477)&lt;=0,1,MAX(0,IF(Inputs!$B$38="pvp",15,Inputs!$B$43)-MAX(5,B477))/(IF(Inputs!$B$38="pvp",15,Inputs!$B$43)-(B477))))*IF(AND(ArtifactsInput!$M$42,((Inputs!$B$9+((C458=TRUE)*(F458-Calc!F19))+B470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50">
        <f>(1-Summary!$B$11)*T450+Summary!$B$11*V450</f>
        <v/>
      </c>
      <c r="P450">
        <f>IF(B480=0,0,O450/B480)</f>
        <v/>
      </c>
      <c r="Q450">
        <f>IFERROR(1/((IF(Inputs!$B$38="pvp",15,MAX(0.1,Skills!D11-IF(TRUE=TRUE,Inputs!$B$32,0)))*(1-IF(AND(ArtifactsInput!$M$27,Inputs!$B$4="Chapter Hunt"),CHOOSE(ArtifactsInput!$N$27+1,20,24,28,32,36,40),0)/100))/B481),0)</f>
        <v/>
      </c>
      <c r="R450">
        <f>IF(AND(Inputs!$B$38&lt;&gt;"pvp",Inputs!$B$43&gt;0),IF(MAX(0,Inputs!$B$43-B477)&lt;=0,0,(INT(MAX(0,Inputs!$B$43-B477)/((IF(Inputs!$B$38="pvp",15,MAX(0.1,Skills!D11-IF(TRUE=TRUE,Inputs!$B$32,0)))*(1-IF(AND(ArtifactsInput!$M$27,Inputs!$B$4="Chapter Hunt"),CHOOSE(ArtifactsInput!$N$27+1,20,24,28,32,36,40),0)/100))/B481))+1)),0)</f>
        <v/>
      </c>
      <c r="S450">
        <f>IFERROR(O450/N450,0)</f>
        <v/>
      </c>
      <c r="T450">
        <f>IF(C450,(H450*N450*IF(AND(Inputs!$B$38&lt;&gt;"pvp",Inputs!$B$43&gt;0),((Skills!G11*((R450-1)*IF(Skills!H11&gt;0,INT(Skills!I11/Skills!H11+0.000000001),1)+IF(Skills!H11&gt;0,INT(MIN(Skills!I11,MAX(0,MAX(0,Inputs!$B$43-B477)-((R450-1)*((IF(Inputs!$B$38="pvp",15,MAX(0.1,Skills!D11-IF(TRUE=TRUE,Inputs!$B$32,0)))*(1-IF(AND(ArtifactsInput!$M$27,Inputs!$B$4="Chapter Hunt"),CHOOSE(ArtifactsInput!$N$27+1,20,24,28,32,36,40),0)/100))/B481))))/Skills!H11+0.000000001),1)))/Inputs!$B$43),G450*Q450))*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Hunt"),CHOOSE(ArtifactsInput!$N$35+1,15,18,21,24,27,30)*(1-EXP(-(0.2*B472)*5)),0)+IF(AND(ArtifactsInput!$M$22,Inputs!$B$4&lt;&gt;"Chapter Hunt"),CHOOSE(ArtifactsInput!$N$22+1,10,12,14,16,18,20)*((0*(((0.15*B472*5))^0/1)+1*(((0.15*B472*5))^1/1)+2*(((0.15*B472*5))^2/2)+3*(((0.15*B472*5))^3/6)+4*(((0.15*B472*5))^4/24)+5*(((0.15*B472*5))^5/120))/((((0.15*B472*5))^0/1)+(((0.15*B472*5))^1/1)+(((0.15*B472*5))^2/2)+(((0.15*B472*5))^3/6)+(((0.15*B472*5))^4/24)+(((0.15*B472*5))^5/120))),0))+IF(Inputs!$B$3&gt;=54,9*(C442=TRUE)*MIN(1,8*(1+Inputs!$B$34/100)*Q442)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450*(1-MIN(100,(Inputs!$B$9+((C458=TRUE)*(F458-Calc!F19))+B470+(ArtifactsInput!$M$24-ArtifactsInput!$M$24)*CHOOSE(ArtifactsInput!$N$24+1,10,12,14,16,18,20)+(IF(AND(Inputs!$B$38&lt;&gt;"pvp",Inputs!$B$43=0),1,IF(IF(Inputs!$B$38="pvp",15,Inputs!$B$43)-(B477)&lt;=0,1,MAX(0,IF(Inputs!$B$38="pvp",15,Inputs!$B$43)-MAX(5,B477))/(IF(Inputs!$B$38="pvp",15,Inputs!$B$43)-(B477))))*IF(AND(ArtifactsInput!$M$42,((Inputs!$B$9+((C458=TRUE)*(F458-Calc!F19))+B470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450*(MIN(100,(Inputs!$B$9+((C458=TRUE)*(F458-Calc!F19))+B470+(ArtifactsInput!$M$24-ArtifactsInput!$M$24)*CHOOSE(ArtifactsInput!$N$24+1,10,12,14,16,18,20)+(IF(AND(Inputs!$B$38&lt;&gt;"pvp",Inputs!$B$43=0),1,IF(IF(Inputs!$B$38="pvp",15,Inputs!$B$43)-(B477)&lt;=0,1,MAX(0,IF(Inputs!$B$38="pvp",15,Inputs!$B$43)-MAX(5,B477))/(IF(Inputs!$B$38="pvp",15,Inputs!$B$43)-(B477))))*IF(AND(ArtifactsInput!$M$42,((Inputs!$B$9+((C458=TRUE)*(F458-Calc!F19))+B470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450*(1-MIN(100,(Inputs!$B$9+((C458=TRUE)*(F458-Calc!F19))+B470+(ArtifactsInput!$M$24-ArtifactsInput!$M$24)*CHOOSE(ArtifactsInput!$N$24+1,10,12,14,16,18,20)+(IF(AND(Inputs!$B$38&lt;&gt;"pvp",Inputs!$B$43=0),1,IF(IF(Inputs!$B$38="pvp",15,Inputs!$B$43)-(B477)&lt;=0,1,MAX(0,IF(Inputs!$B$38="pvp",15,Inputs!$B$43)-MAX(5,B477))/(IF(Inputs!$B$38="pvp",15,Inputs!$B$43)-(B477))))*IF(AND(ArtifactsInput!$M$42,((Inputs!$B$9+((C458=TRUE)*(F458-Calc!F19))+B470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450*(MIN(100,(Inputs!$B$9+((C458=TRUE)*(F458-Calc!F19))+B470+(ArtifactsInput!$M$24-ArtifactsInput!$M$24)*CHOOSE(ArtifactsInput!$N$24+1,10,12,14,16,18,20)+(IF(AND(Inputs!$B$38&lt;&gt;"pvp",Inputs!$B$43=0),1,IF(IF(Inputs!$B$38="pvp",15,Inputs!$B$43)-(B477)&lt;=0,1,MAX(0,IF(Inputs!$B$38="pvp",15,Inputs!$B$43)-MAX(5,B477))/(IF(Inputs!$B$38="pvp",15,Inputs!$B$43)-(B477))))*IF(AND(ArtifactsInput!$M$42,((Inputs!$B$9+((C458=TRUE)*(F458-Calc!F19))+B470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450">
        <f>IF(C450,(H450*N450*IF(AND(Inputs!$B$38&lt;&gt;"pvp",Inputs!$B$43&gt;0),((Skills!G11*((R450-1)*IF(Skills!H11&gt;0,INT(Skills!I11/Skills!H11+0.000000001),1)+IF(Skills!H11&gt;0,INT(MIN(Skills!I11,MAX(0,MAX(0,Inputs!$B$43-B477)-((R450-1)*((IF(Inputs!$B$38="pvp",15,MAX(0.1,Skills!D11-IF(TRUE=TRUE,Inputs!$B$32,0)))*(1-IF(AND(ArtifactsInput!$M$27,Inputs!$B$4="Chapter Hunt"),CHOOSE(ArtifactsInput!$N$27+1,20,24,28,32,36,40),0)/100))/B481))))/Skills!H11+0.000000001),1)))/Inputs!$B$43),G450*Q450))*IF(Inputs!$B$38="pvp",1,(1+(Inputs!$B$21+Skills!Q11+(IF(ArtifactsInput!$M$33,CHOOSE(ArtifactsInput!$N$33+1,30,36,42,48,54,60),0))+(IF(AND(ArtifactsInput!$M$35,Inputs!$B$4&lt;&gt;"Chapter Hunt"),CHOOSE(ArtifactsInput!$N$35+1,15,18,21,24,27,30)*(1-EXP(-(0.2*B472)*5)),0)+IF(AND(ArtifactsInput!$M$22,Inputs!$B$4&lt;&gt;"Chapter Hunt"),CHOOSE(ArtifactsInput!$N$22+1,10,12,14,16,18,20)*((0*(((0.15*B472*5))^0/1)+1*(((0.15*B472*5))^1/1)+2*(((0.15*B472*5))^2/2)+3*(((0.15*B472*5))^3/6)+4*(((0.15*B472*5))^4/24)+5*(((0.15*B472*5))^5/120))/((((0.15*B472*5))^0/1)+(((0.15*B472*5))^1/1)+(((0.15*B472*5))^2/2)+(((0.15*B472*5))^3/6)+(((0.15*B472*5))^4/24)+(((0.15*B472*5))^5/120))),0))+IF(Inputs!$B$3&gt;=54,9*(C442=TRUE)*MIN(1,8*(1+Inputs!$B$34/100)*Q442),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51">
      <c r="A451">
        <f>Skills!A12</f>
        <v/>
      </c>
      <c r="B451">
        <f>Skills!B12</f>
        <v/>
      </c>
      <c r="C451">
        <f>Inputs!$B$3&gt;=110</f>
        <v/>
      </c>
      <c r="D451">
        <f>IF(Skills!C12=1,60+Inputs!$B$25+Inputs!$B$29,IF(Skills!C12=2,90+Inputs!$B$26+Inputs!$B$29,IF(Skills!C12=3,120+Inputs!$B$27+Inputs!$B$29,MAX(0,(Inputs!$B$3-100)*3)+Inputs!$B$28+Inputs!$B$29)))</f>
        <v/>
      </c>
      <c r="E451">
        <f>INDEX(FactorTable!$B$2:$Y$301, MATCH(ROUND(MIN(300,MAX(1,D451)),0), FactorTable!$A$2:$A$301,0), Skills!M12+1)</f>
        <v/>
      </c>
      <c r="F451">
        <f>IF(Skills!N12=TRUE,(Skills!L12/10)*(E451/1000),Skills!L12/10)+Skills!O12</f>
        <v/>
      </c>
      <c r="G451">
        <f>Skills!G12*IF(Skills!H12&gt;0,INT(IF(Inputs!$B$38="pvp",MIN(Skills!I12,15),Skills!I12)/Skills!H12+0.000000001),1)</f>
        <v/>
      </c>
      <c r="H451">
        <f>1-(1-Skills!J12/100)^Skills!K12</f>
        <v/>
      </c>
      <c r="I451" t="inlineStr">
        <is>
          <t>1</t>
        </is>
      </c>
      <c r="J451">
        <f>((Inputs!$B$6*(1+Inputs!$B$7/100))+(((Inputs!$B$12*(1+Inputs!$B$13/100))-(Inputs!$B$12*(1+Inputs!$B$13/100)))+0.25*(Inputs!$B$14-Inputs!$B$14))*(1+Inputs!$B$7/100))*(F451/100)</f>
        <v/>
      </c>
      <c r="K451">
        <f>J451*(1+((Inputs!$B$12*(1+Inputs!$B$13/100))*0.01+Inputs!$B$14*0.0025)/100)*(1+Inputs!$B$15/100)*(1+Inputs!$B$16/100)*(5000/(6000+Inputs!$B$42*(1-(100*(1-(1-(Inputs!$B$19+0)/100)*(1-CHOOSE(ArtifactsInput!$N$40+1,5,6,7,8,9,10)/100)^(ArtifactsInput!$M$40-ArtifactsInput!$M$40)))/100)))*(1+(Inputs!$B$24+((C465=TRUE)*(F465-Calc!F26))+B476)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EIGHT_LEGS_EASTON",Inputs!$B$17+((C462=TRUE)*(F462-Calc!F23))+((C466=TRUE)*(F466-Calc!F27))+((IF(AND(Inputs!$B$38&lt;&gt;"pvp",Inputs!$B$43=0),1,IF(IF(Inputs!$B$38="pvp",15,Inputs!$B$43)-(B477)&lt;=0,1,MAX(0,IF(Inputs!$B$38="pvp",15,Inputs!$B$43)-MAX(5,B477))/(IF(Inputs!$B$38="pvp",15,Inputs!$B$43)-(B477))))*(IF(AND(ArtifactsInput!$M$42,((Inputs!$B$9+((C458=TRUE)*(F458-Calc!F19))+B470+(ArtifactsInput!$M$24-ArtifactsInput!$M$24)*CHOOSE(ArtifactsInput!$N$24+1,10,12,14,16,18,20)+IF(ArtifactsInput!$M$10,CHOOSE(ArtifactsInput!$N$10+1,15,18,21,24,27,30)*(IF(Inputs!$B$38="pvp",MIN(15,15)/15,IF(AND(Inputs!$B$38&lt;&gt;"pvp",Inputs!$B$43&gt;0),MIN(15,Inputs!$B$43)/(Inputs!$B$43),0))),0)))&gt;=100),MIN(100,((Inputs!$B$9+((C458=TRUE)*(F458-Calc!F19))+B470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477)&lt;=0,1,MAX(0,IF(Inputs!$B$38="pvp",15,Inputs!$B$43)-MAX(5,B477))/(IF(Inputs!$B$38="pvp",15,Inputs!$B$43)-(B477))))*IF(AND(ArtifactsInput!$M$42,((Inputs!$B$9+((C458=TRUE)*(F458-Calc!F19))+B470+(ArtifactsInput!$M$24-ArtifactsInput!$M$24)*CHOOSE(ArtifactsInput!$N$24+1,10,12,14,16,18,20)+IF(ArtifactsInput!$M$10,CHOOSE(ArtifactsInput!$N$10+1,15,18,21,24,27,30)*(IF(Inputs!$B$38="pvp",MIN(15,15)/15,IF(AND(Inputs!$B$38&lt;&gt;"pvp",Inputs!$B$43&gt;0),MIN(15,Inputs!$B$43)/(Inputs!$B$43),0))),0)))&gt;=100),CHOOSE(ArtifactsInput!$N$42+1,40,48,56,64,72,80),0))))/100)*((1+(((C456=TRUE)*F456*5/7)+((C463=TRUE)*(F463-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451)</f>
        <v/>
      </c>
      <c r="L451">
        <f>K451*(MIN((Inputs!$B$22+1)+((C461=TRUE)*(F461-Calc!F22)),(Inputs!$B$23+0+(IF(ArtifactsInput!$M$15,CHOOSE(ArtifactsInput!$N$15+1,25,30,35,40,45,50)/100*(Inputs!$B$11-Inputs!$B$11),0))))/100+(Inputs!$B$23+0+(IF(ArtifactsInput!$M$15,CHOOSE(ArtifactsInput!$N$15+1,25,30,35,40,45,50)/100*(Inputs!$B$11-Inputs!$B$11),0)))/100)/2</f>
        <v/>
      </c>
      <c r="M451">
        <f>L451*(1+(Inputs!$B$10+((C464=TRUE)*(F464-Calc!F25))+B475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51">
        <f>L451*(1-MIN((Inputs!$B$9+((C458=TRUE)*(F458-Calc!F19))+B470+(ArtifactsInput!$M$24-ArtifactsInput!$M$24)*CHOOSE(ArtifactsInput!$N$24+1,10,12,14,16,18,20)+(IF(AND(Inputs!$B$38&lt;&gt;"pvp",Inputs!$B$43=0),1,IF(IF(Inputs!$B$38="pvp",15,Inputs!$B$43)-(B477)&lt;=0,1,MAX(0,IF(Inputs!$B$38="pvp",15,Inputs!$B$43)-MAX(5,B477))/(IF(Inputs!$B$38="pvp",15,Inputs!$B$43)-(B477))))*IF(AND(ArtifactsInput!$M$42,((Inputs!$B$9+((C458=TRUE)*(F458-Calc!F19))+B470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451*(MIN((Inputs!$B$9+((C458=TRUE)*(F458-Calc!F19))+B470+(ArtifactsInput!$M$24-ArtifactsInput!$M$24)*CHOOSE(ArtifactsInput!$N$24+1,10,12,14,16,18,20)+(IF(AND(Inputs!$B$38&lt;&gt;"pvp",Inputs!$B$43=0),1,IF(IF(Inputs!$B$38="pvp",15,Inputs!$B$43)-(B477)&lt;=0,1,MAX(0,IF(Inputs!$B$38="pvp",15,Inputs!$B$43)-MAX(5,B477))/(IF(Inputs!$B$38="pvp",15,Inputs!$B$43)-(B477))))*IF(AND(ArtifactsInput!$M$42,((Inputs!$B$9+((C458=TRUE)*(F458-Calc!F19))+B470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51">
        <f>(1-Summary!$B$11)*T451+Summary!$B$11*V451</f>
        <v/>
      </c>
      <c r="P451">
        <f>IF(B480=0,0,O451/B480)</f>
        <v/>
      </c>
      <c r="Q451">
        <f>IFERROR(1/(IF(Inputs!$B$38="pvp",15,MAX(0.1,Skills!D12-IF(TRUE=TRUE,Inputs!$B$32,0)))*(1-IF(AND(ArtifactsInput!$M$27,Inputs!$B$4="Chapter Hunt"),CHOOSE(ArtifactsInput!$N$27+1,20,24,28,32,36,40),0)/100)),0)</f>
        <v/>
      </c>
      <c r="R451">
        <f>IF(AND(Inputs!$B$38&lt;&gt;"pvp",Inputs!$B$43&gt;0),IF(MAX(0,Inputs!$B$43-B477)&lt;=0,0,(INT(MAX(0,Inputs!$B$43-B477)/(IF(Inputs!$B$38="pvp",15,MAX(0.1,Skills!D12-IF(TRUE=TRUE,Inputs!$B$32,0)))*(1-IF(AND(ArtifactsInput!$M$27,Inputs!$B$4="Chapter Hunt"),CHOOSE(ArtifactsInput!$N$27+1,20,24,28,32,36,40),0)/100)))+1)),0)</f>
        <v/>
      </c>
      <c r="S451">
        <f>IFERROR(O451/N451,0)</f>
        <v/>
      </c>
      <c r="T451">
        <f>IF(C451,(H451*N451*IF(AND(Inputs!$B$38&lt;&gt;"pvp",Inputs!$B$43&gt;0),((Skills!G12*((R451-1)*IF(Skills!H12&gt;0,INT(Skills!I12/Skills!H12+0.000000001),1)+IF(Skills!H12&gt;0,INT(MIN(Skills!I12,MAX(0,MAX(0,Inputs!$B$43-B477)-((R451-1)*(IF(Inputs!$B$38="pvp",15,MAX(0.1,Skills!D12-IF(TRUE=TRUE,Inputs!$B$32,0)))*(1-IF(AND(ArtifactsInput!$M$27,Inputs!$B$4="Chapter Hunt"),CHOOSE(ArtifactsInput!$N$27+1,20,24,28,32,36,40),0)/100)))))/Skills!H12+0.000000001),1)))/Inputs!$B$43),G451*Q451))*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Hunt"),CHOOSE(ArtifactsInput!$N$35+1,15,18,21,24,27,30)*(1-EXP(-(0.2*B472)*5)),0)+IF(AND(ArtifactsInput!$M$22,Inputs!$B$4&lt;&gt;"Chapter Hunt"),CHOOSE(ArtifactsInput!$N$22+1,10,12,14,16,18,20)*((0*(((0.15*B472*5))^0/1)+1*(((0.15*B472*5))^1/1)+2*(((0.15*B472*5))^2/2)+3*(((0.15*B472*5))^3/6)+4*(((0.15*B472*5))^4/24)+5*(((0.15*B472*5))^5/120))/((((0.15*B472*5))^0/1)+(((0.15*B472*5))^1/1)+(((0.15*B472*5))^2/2)+(((0.15*B472*5))^3/6)+(((0.15*B472*5))^4/24)+(((0.15*B472*5))^5/120))),0))+IF(Inputs!$B$3&gt;=54,9*(C442=TRUE)*MIN(1,8*(1+Inputs!$B$34/100)*Q442)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451*(1-MIN(100,(Inputs!$B$9+((C458=TRUE)*(F458-Calc!F19))+B470+(ArtifactsInput!$M$24-ArtifactsInput!$M$24)*CHOOSE(ArtifactsInput!$N$24+1,10,12,14,16,18,20)+(IF(AND(Inputs!$B$38&lt;&gt;"pvp",Inputs!$B$43=0),1,IF(IF(Inputs!$B$38="pvp",15,Inputs!$B$43)-(B477)&lt;=0,1,MAX(0,IF(Inputs!$B$38="pvp",15,Inputs!$B$43)-MAX(5,B477))/(IF(Inputs!$B$38="pvp",15,Inputs!$B$43)-(B477))))*IF(AND(ArtifactsInput!$M$42,((Inputs!$B$9+((C458=TRUE)*(F458-Calc!F19))+B470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451*(MIN(100,(Inputs!$B$9+((C458=TRUE)*(F458-Calc!F19))+B470+(ArtifactsInput!$M$24-ArtifactsInput!$M$24)*CHOOSE(ArtifactsInput!$N$24+1,10,12,14,16,18,20)+(IF(AND(Inputs!$B$38&lt;&gt;"pvp",Inputs!$B$43=0),1,IF(IF(Inputs!$B$38="pvp",15,Inputs!$B$43)-(B477)&lt;=0,1,MAX(0,IF(Inputs!$B$38="pvp",15,Inputs!$B$43)-MAX(5,B477))/(IF(Inputs!$B$38="pvp",15,Inputs!$B$43)-(B477))))*IF(AND(ArtifactsInput!$M$42,((Inputs!$B$9+((C458=TRUE)*(F458-Calc!F19))+B470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451*(1-MIN(100,(Inputs!$B$9+((C458=TRUE)*(F458-Calc!F19))+B470+(ArtifactsInput!$M$24-ArtifactsInput!$M$24)*CHOOSE(ArtifactsInput!$N$24+1,10,12,14,16,18,20)+(IF(AND(Inputs!$B$38&lt;&gt;"pvp",Inputs!$B$43=0),1,IF(IF(Inputs!$B$38="pvp",15,Inputs!$B$43)-(B477)&lt;=0,1,MAX(0,IF(Inputs!$B$38="pvp",15,Inputs!$B$43)-MAX(5,B477))/(IF(Inputs!$B$38="pvp",15,Inputs!$B$43)-(B477))))*IF(AND(ArtifactsInput!$M$42,((Inputs!$B$9+((C458=TRUE)*(F458-Calc!F19))+B470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451*(MIN(100,(Inputs!$B$9+((C458=TRUE)*(F458-Calc!F19))+B470+(ArtifactsInput!$M$24-ArtifactsInput!$M$24)*CHOOSE(ArtifactsInput!$N$24+1,10,12,14,16,18,20)+(IF(AND(Inputs!$B$38&lt;&gt;"pvp",Inputs!$B$43=0),1,IF(IF(Inputs!$B$38="pvp",15,Inputs!$B$43)-(B477)&lt;=0,1,MAX(0,IF(Inputs!$B$38="pvp",15,Inputs!$B$43)-MAX(5,B477))/(IF(Inputs!$B$38="pvp",15,Inputs!$B$43)-(B477))))*IF(AND(ArtifactsInput!$M$42,((Inputs!$B$9+((C458=TRUE)*(F458-Calc!F19))+B470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451">
        <f>IF(C451,(H451*N451*IF(AND(Inputs!$B$38&lt;&gt;"pvp",Inputs!$B$43&gt;0),((Skills!G12*((R451-1)*IF(Skills!H12&gt;0,INT(Skills!I12/Skills!H12+0.000000001),1)+IF(Skills!H12&gt;0,INT(MIN(Skills!I12,MAX(0,MAX(0,Inputs!$B$43-B477)-((R451-1)*(IF(Inputs!$B$38="pvp",15,MAX(0.1,Skills!D12-IF(TRUE=TRUE,Inputs!$B$32,0)))*(1-IF(AND(ArtifactsInput!$M$27,Inputs!$B$4="Chapter Hunt"),CHOOSE(ArtifactsInput!$N$27+1,20,24,28,32,36,40),0)/100)))))/Skills!H12+0.000000001),1)))/Inputs!$B$43),G451*Q451))*IF(Inputs!$B$38="pvp",1,(1+(Inputs!$B$21+Skills!Q12+(IF(ArtifactsInput!$M$33,CHOOSE(ArtifactsInput!$N$33+1,30,36,42,48,54,60),0))+(IF(AND(ArtifactsInput!$M$35,Inputs!$B$4&lt;&gt;"Chapter Hunt"),CHOOSE(ArtifactsInput!$N$35+1,15,18,21,24,27,30)*(1-EXP(-(0.2*B472)*5)),0)+IF(AND(ArtifactsInput!$M$22,Inputs!$B$4&lt;&gt;"Chapter Hunt"),CHOOSE(ArtifactsInput!$N$22+1,10,12,14,16,18,20)*((0*(((0.15*B472*5))^0/1)+1*(((0.15*B472*5))^1/1)+2*(((0.15*B472*5))^2/2)+3*(((0.15*B472*5))^3/6)+4*(((0.15*B472*5))^4/24)+5*(((0.15*B472*5))^5/120))/((((0.15*B472*5))^0/1)+(((0.15*B472*5))^1/1)+(((0.15*B472*5))^2/2)+(((0.15*B472*5))^3/6)+(((0.15*B472*5))^4/24)+(((0.15*B472*5))^5/120))),0))+IF(Inputs!$B$3&gt;=54,9*(C442=TRUE)*MIN(1,8*(1+Inputs!$B$34/100)*Q442),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52">
      <c r="A452">
        <f>Skills!A13</f>
        <v/>
      </c>
      <c r="B452">
        <f>Skills!B13</f>
        <v/>
      </c>
      <c r="C452">
        <f>Inputs!$B$3&gt;=110</f>
        <v/>
      </c>
      <c r="D452">
        <f>IF(Skills!C13=1,60+Inputs!$B$25+Inputs!$B$29,IF(Skills!C13=2,90+Inputs!$B$26+Inputs!$B$29,IF(Skills!C13=3,120+Inputs!$B$27+Inputs!$B$29,MAX(0,(Inputs!$B$3-100)*3)+Inputs!$B$28+Inputs!$B$29)))</f>
        <v/>
      </c>
      <c r="E452">
        <f>INDEX(FactorTable!$B$2:$Y$301, MATCH(ROUND(MIN(300,MAX(1,D452)),0), FactorTable!$A$2:$A$301,0), Skills!M13+1)</f>
        <v/>
      </c>
      <c r="F452">
        <f>IF(Skills!N13=TRUE,(Skills!L13/10)*(E452/1000),Skills!L13/10)+Skills!O13</f>
        <v/>
      </c>
      <c r="G452">
        <f>Skills!G13*IF(Skills!H13&gt;0,INT(IF(Inputs!$B$38="pvp",MIN(Skills!I13,15),Skills!I13)/Skills!H13+0.000000001),1)</f>
        <v/>
      </c>
      <c r="H452">
        <f>1-(1-Skills!J13/100)^Skills!K13</f>
        <v/>
      </c>
      <c r="I452" t="inlineStr">
        <is>
          <t>1</t>
        </is>
      </c>
      <c r="J452">
        <f>((Inputs!$B$6*(1+Inputs!$B$7/100))+(((Inputs!$B$12*(1+Inputs!$B$13/100))-(Inputs!$B$12*(1+Inputs!$B$13/100)))+0.25*(Inputs!$B$14-Inputs!$B$14))*(1+Inputs!$B$7/100))*(F452/100)</f>
        <v/>
      </c>
      <c r="K452">
        <f>J452*(1+((Inputs!$B$12*(1+Inputs!$B$13/100))*0.01+Inputs!$B$14*0.0025)/100)*(1+Inputs!$B$15/100)*(1+Inputs!$B$16/100)*(5000/(6000+Inputs!$B$42*(1-(100*(1-(1-(Inputs!$B$19+0)/100)*(1-CHOOSE(ArtifactsInput!$N$40+1,5,6,7,8,9,10)/100)^(ArtifactsInput!$M$40-ArtifactsInput!$M$40)))/100)))*(1+(Inputs!$B$24+((C465=TRUE)*(F465-Calc!F26))+B476)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EIGHT_LEGS_EASTON",Inputs!$B$17+((C462=TRUE)*(F462-Calc!F23))+((C466=TRUE)*(F466-Calc!F27))+((IF(AND(Inputs!$B$38&lt;&gt;"pvp",Inputs!$B$43=0),1,IF(IF(Inputs!$B$38="pvp",15,Inputs!$B$43)-(B477)&lt;=0,1,MAX(0,IF(Inputs!$B$38="pvp",15,Inputs!$B$43)-MAX(5,B477))/(IF(Inputs!$B$38="pvp",15,Inputs!$B$43)-(B477))))*(IF(AND(ArtifactsInput!$M$42,((Inputs!$B$9+((C458=TRUE)*(F458-Calc!F19))+B470+(ArtifactsInput!$M$24-ArtifactsInput!$M$24)*CHOOSE(ArtifactsInput!$N$24+1,10,12,14,16,18,20)+IF(ArtifactsInput!$M$10,CHOOSE(ArtifactsInput!$N$10+1,15,18,21,24,27,30)*(IF(Inputs!$B$38="pvp",MIN(15,15)/15,IF(AND(Inputs!$B$38&lt;&gt;"pvp",Inputs!$B$43&gt;0),MIN(15,Inputs!$B$43)/(Inputs!$B$43),0))),0)))&gt;=100),MIN(100,((Inputs!$B$9+((C458=TRUE)*(F458-Calc!F19))+B470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477)&lt;=0,1,MAX(0,IF(Inputs!$B$38="pvp",15,Inputs!$B$43)-MAX(5,B477))/(IF(Inputs!$B$38="pvp",15,Inputs!$B$43)-(B477))))*IF(AND(ArtifactsInput!$M$42,((Inputs!$B$9+((C458=TRUE)*(F458-Calc!F19))+B470+(ArtifactsInput!$M$24-ArtifactsInput!$M$24)*CHOOSE(ArtifactsInput!$N$24+1,10,12,14,16,18,20)+IF(ArtifactsInput!$M$10,CHOOSE(ArtifactsInput!$N$10+1,15,18,21,24,27,30)*(IF(Inputs!$B$38="pvp",MIN(15,15)/15,IF(AND(Inputs!$B$38&lt;&gt;"pvp",Inputs!$B$43&gt;0),MIN(15,Inputs!$B$43)/(Inputs!$B$43),0))),0)))&gt;=100),CHOOSE(ArtifactsInput!$N$42+1,40,48,56,64,72,80),0))))/100)*((1+(((C456=TRUE)*F456*5/7)+((C463=TRUE)*(F463-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452)</f>
        <v/>
      </c>
      <c r="L452">
        <f>K452*(MIN((Inputs!$B$22+1)+((C461=TRUE)*(F461-Calc!F22)),(Inputs!$B$23+0+(IF(ArtifactsInput!$M$15,CHOOSE(ArtifactsInput!$N$15+1,25,30,35,40,45,50)/100*(Inputs!$B$11-Inputs!$B$11),0))))/100+(Inputs!$B$23+0+(IF(ArtifactsInput!$M$15,CHOOSE(ArtifactsInput!$N$15+1,25,30,35,40,45,50)/100*(Inputs!$B$11-Inputs!$B$11),0)))/100)/2</f>
        <v/>
      </c>
      <c r="M452">
        <f>L452*(1+(Inputs!$B$10+((C464=TRUE)*(F464-Calc!F25))+B475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52">
        <f>L452*(1-MIN((Inputs!$B$9+((C458=TRUE)*(F458-Calc!F19))+B470+(ArtifactsInput!$M$24-ArtifactsInput!$M$24)*CHOOSE(ArtifactsInput!$N$24+1,10,12,14,16,18,20)+(IF(AND(Inputs!$B$38&lt;&gt;"pvp",Inputs!$B$43=0),1,IF(IF(Inputs!$B$38="pvp",15,Inputs!$B$43)-(B477)&lt;=0,1,MAX(0,IF(Inputs!$B$38="pvp",15,Inputs!$B$43)-MAX(5,B477))/(IF(Inputs!$B$38="pvp",15,Inputs!$B$43)-(B477))))*IF(AND(ArtifactsInput!$M$42,((Inputs!$B$9+((C458=TRUE)*(F458-Calc!F19))+B470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452*(MIN((Inputs!$B$9+((C458=TRUE)*(F458-Calc!F19))+B470+(ArtifactsInput!$M$24-ArtifactsInput!$M$24)*CHOOSE(ArtifactsInput!$N$24+1,10,12,14,16,18,20)+(IF(AND(Inputs!$B$38&lt;&gt;"pvp",Inputs!$B$43=0),1,IF(IF(Inputs!$B$38="pvp",15,Inputs!$B$43)-(B477)&lt;=0,1,MAX(0,IF(Inputs!$B$38="pvp",15,Inputs!$B$43)-MAX(5,B477))/(IF(Inputs!$B$38="pvp",15,Inputs!$B$43)-(B477))))*IF(AND(ArtifactsInput!$M$42,((Inputs!$B$9+((C458=TRUE)*(F458-Calc!F19))+B470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52">
        <f>(1-Summary!$B$11)*T452+Summary!$B$11*V452</f>
        <v/>
      </c>
      <c r="P452">
        <f>IF(B480=0,0,O452/B480)</f>
        <v/>
      </c>
      <c r="Q452">
        <f>IFERROR(1/(IF(Inputs!$B$38="pvp",15,MAX(0.1,Skills!D13-IF(TRUE=TRUE,Inputs!$B$32,0)))*(1-IF(AND(ArtifactsInput!$M$27,Inputs!$B$4="Chapter Hunt"),CHOOSE(ArtifactsInput!$N$27+1,20,24,28,32,36,40),0)/100)),0)</f>
        <v/>
      </c>
      <c r="R452">
        <f>IF(AND(Inputs!$B$38&lt;&gt;"pvp",Inputs!$B$43&gt;0),IF(MAX(0,Inputs!$B$43-B477)&lt;=0,0,(INT(MAX(0,Inputs!$B$43-B477)/(IF(Inputs!$B$38="pvp",15,MAX(0.1,Skills!D13-IF(TRUE=TRUE,Inputs!$B$32,0)))*(1-IF(AND(ArtifactsInput!$M$27,Inputs!$B$4="Chapter Hunt"),CHOOSE(ArtifactsInput!$N$27+1,20,24,28,32,36,40),0)/100)))+1)),0)</f>
        <v/>
      </c>
      <c r="S452">
        <f>IFERROR(O452/N452,0)</f>
        <v/>
      </c>
      <c r="T452">
        <f>IF(C452,(H452*N452*IF(AND(Inputs!$B$38&lt;&gt;"pvp",Inputs!$B$43&gt;0),((Skills!G13*((R452-1)*IF(Skills!H13&gt;0,INT(Skills!I13/Skills!H13+0.000000001),1)+IF(Skills!H13&gt;0,INT(MIN(Skills!I13,MAX(0,MAX(0,Inputs!$B$43-B477)-((R452-1)*(IF(Inputs!$B$38="pvp",15,MAX(0.1,Skills!D13-IF(TRUE=TRUE,Inputs!$B$32,0)))*(1-IF(AND(ArtifactsInput!$M$27,Inputs!$B$4="Chapter Hunt"),CHOOSE(ArtifactsInput!$N$27+1,20,24,28,32,36,40),0)/100)))))/Skills!H13+0.000000001),1)))/Inputs!$B$43),G452*Q452))*IF(Inputs!$B$38="pvp",1,1+(Inputs!$B$20+0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Hunt"),CHOOSE(ArtifactsInput!$N$35+1,15,18,21,24,27,30)*(1-EXP(-(0.2*B472)*5)),0)+IF(AND(ArtifactsInput!$M$22,Inputs!$B$4&lt;&gt;"Chapter Hunt"),CHOOSE(ArtifactsInput!$N$22+1,10,12,14,16,18,20)*((0*(((0.15*B472*5))^0/1)+1*(((0.15*B472*5))^1/1)+2*(((0.15*B472*5))^2/2)+3*(((0.15*B472*5))^3/6)+4*(((0.15*B472*5))^4/24)+5*(((0.15*B472*5))^5/120))/((((0.15*B472*5))^0/1)+(((0.15*B472*5))^1/1)+(((0.15*B472*5))^2/2)+(((0.15*B472*5))^3/6)+(((0.15*B472*5))^4/24)+(((0.15*B472*5))^5/120))),0))+IF(Inputs!$B$3&gt;=54,9*(C442=TRUE)*MIN(1,8*(1+Inputs!$B$34/100)*Q442)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452*(1-MIN(100,(Inputs!$B$9+((C458=TRUE)*(F458-Calc!F19))+B470+(ArtifactsInput!$M$24-ArtifactsInput!$M$24)*CHOOSE(ArtifactsInput!$N$24+1,10,12,14,16,18,20)+(IF(AND(Inputs!$B$38&lt;&gt;"pvp",Inputs!$B$43=0),1,IF(IF(Inputs!$B$38="pvp",15,Inputs!$B$43)-(B477)&lt;=0,1,MAX(0,IF(Inputs!$B$38="pvp",15,Inputs!$B$43)-MAX(5,B477))/(IF(Inputs!$B$38="pvp",15,Inputs!$B$43)-(B477))))*IF(AND(ArtifactsInput!$M$42,((Inputs!$B$9+((C458=TRUE)*(F458-Calc!F19))+B470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452*(MIN(100,(Inputs!$B$9+((C458=TRUE)*(F458-Calc!F19))+B470+(ArtifactsInput!$M$24-ArtifactsInput!$M$24)*CHOOSE(ArtifactsInput!$N$24+1,10,12,14,16,18,20)+(IF(AND(Inputs!$B$38&lt;&gt;"pvp",Inputs!$B$43=0),1,IF(IF(Inputs!$B$38="pvp",15,Inputs!$B$43)-(B477)&lt;=0,1,MAX(0,IF(Inputs!$B$38="pvp",15,Inputs!$B$43)-MAX(5,B477))/(IF(Inputs!$B$38="pvp",15,Inputs!$B$43)-(B477))))*IF(AND(ArtifactsInput!$M$42,((Inputs!$B$9+((C458=TRUE)*(F458-Calc!F19))+B470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452*(1-MIN(100,(Inputs!$B$9+((C458=TRUE)*(F458-Calc!F19))+B470+(ArtifactsInput!$M$24-ArtifactsInput!$M$24)*CHOOSE(ArtifactsInput!$N$24+1,10,12,14,16,18,20)+(IF(AND(Inputs!$B$38&lt;&gt;"pvp",Inputs!$B$43=0),1,IF(IF(Inputs!$B$38="pvp",15,Inputs!$B$43)-(B477)&lt;=0,1,MAX(0,IF(Inputs!$B$38="pvp",15,Inputs!$B$43)-MAX(5,B477))/(IF(Inputs!$B$38="pvp",15,Inputs!$B$43)-(B477))))*IF(AND(ArtifactsInput!$M$42,((Inputs!$B$9+((C458=TRUE)*(F458-Calc!F19))+B470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452*(MIN(100,(Inputs!$B$9+((C458=TRUE)*(F458-Calc!F19))+B470+(ArtifactsInput!$M$24-ArtifactsInput!$M$24)*CHOOSE(ArtifactsInput!$N$24+1,10,12,14,16,18,20)+(IF(AND(Inputs!$B$38&lt;&gt;"pvp",Inputs!$B$43=0),1,IF(IF(Inputs!$B$38="pvp",15,Inputs!$B$43)-(B477)&lt;=0,1,MAX(0,IF(Inputs!$B$38="pvp",15,Inputs!$B$43)-MAX(5,B477))/(IF(Inputs!$B$38="pvp",15,Inputs!$B$43)-(B477))))*IF(AND(ArtifactsInput!$M$42,((Inputs!$B$9+((C458=TRUE)*(F458-Calc!F19))+B470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452">
        <f>IF(C452,(H452*N452*IF(AND(Inputs!$B$38&lt;&gt;"pvp",Inputs!$B$43&gt;0),((Skills!G13*((R452-1)*IF(Skills!H13&gt;0,INT(Skills!I13/Skills!H13+0.000000001),1)+IF(Skills!H13&gt;0,INT(MIN(Skills!I13,MAX(0,MAX(0,Inputs!$B$43-B477)-((R452-1)*(IF(Inputs!$B$38="pvp",15,MAX(0.1,Skills!D13-IF(TRUE=TRUE,Inputs!$B$32,0)))*(1-IF(AND(ArtifactsInput!$M$27,Inputs!$B$4="Chapter Hunt"),CHOOSE(ArtifactsInput!$N$27+1,20,24,28,32,36,40),0)/100)))))/Skills!H13+0.000000001),1)))/Inputs!$B$43),G452*Q452))*IF(Inputs!$B$38="pvp",1,(1+(Inputs!$B$21+Skills!Q13+(IF(ArtifactsInput!$M$33,CHOOSE(ArtifactsInput!$N$33+1,30,36,42,48,54,60),0))+(IF(AND(ArtifactsInput!$M$35,Inputs!$B$4&lt;&gt;"Chapter Hunt"),CHOOSE(ArtifactsInput!$N$35+1,15,18,21,24,27,30)*(1-EXP(-(0.2*B472)*5)),0)+IF(AND(ArtifactsInput!$M$22,Inputs!$B$4&lt;&gt;"Chapter Hunt"),CHOOSE(ArtifactsInput!$N$22+1,10,12,14,16,18,20)*((0*(((0.15*B472*5))^0/1)+1*(((0.15*B472*5))^1/1)+2*(((0.15*B472*5))^2/2)+3*(((0.15*B472*5))^3/6)+4*(((0.15*B472*5))^4/24)+5*(((0.15*B472*5))^5/120))/((((0.15*B472*5))^0/1)+(((0.15*B472*5))^1/1)+(((0.15*B472*5))^2/2)+(((0.15*B472*5))^3/6)+(((0.15*B472*5))^4/24)+(((0.15*B472*5))^5/120))),0))+IF(Inputs!$B$3&gt;=54,9*(C442=TRUE)*MIN(1,8*(1+Inputs!$B$34/100)*Q442),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53">
      <c r="A453">
        <f>Skills!A14</f>
        <v/>
      </c>
      <c r="B453">
        <f>Skills!B14</f>
        <v/>
      </c>
      <c r="C453">
        <f>Inputs!$B$3&gt;=120</f>
        <v/>
      </c>
      <c r="D453">
        <f>IF(Skills!C14=1,60+Inputs!$B$25+Inputs!$B$29,IF(Skills!C14=2,90+Inputs!$B$26+Inputs!$B$29,IF(Skills!C14=3,120+Inputs!$B$27+Inputs!$B$29,MAX(0,(Inputs!$B$3-100)*3)+Inputs!$B$28+Inputs!$B$29)))</f>
        <v/>
      </c>
      <c r="E453">
        <f>INDEX(FactorTable!$B$2:$Y$301, MATCH(ROUND(MIN(300,MAX(1,D453)),0), FactorTable!$A$2:$A$301,0), Skills!M14+1)</f>
        <v/>
      </c>
      <c r="F453">
        <f>IF(Skills!N14=TRUE,(Skills!L14/10)*(E453/1000),Skills!L14/10)+Skills!O14</f>
        <v/>
      </c>
      <c r="G453">
        <f>Skills!G14*IF(Skills!H14&gt;0,INT(IF(Inputs!$B$38="pvp",MIN(Skills!I14,15),Skills!I14)/Skills!H14+0.000000001),1)</f>
        <v/>
      </c>
      <c r="H453">
        <f>1-(1-Skills!J14/100)^Skills!K14</f>
        <v/>
      </c>
      <c r="I453" t="inlineStr">
        <is>
          <t>1</t>
        </is>
      </c>
      <c r="J453">
        <f>((Inputs!$B$6*(1+Inputs!$B$7/100))+(((Inputs!$B$12*(1+Inputs!$B$13/100))-(Inputs!$B$12*(1+Inputs!$B$13/100)))+0.25*(Inputs!$B$14-Inputs!$B$14))*(1+Inputs!$B$7/100))*(F453/100)</f>
        <v/>
      </c>
      <c r="K453">
        <f>J453*(1+((Inputs!$B$12*(1+Inputs!$B$13/100))*0.01+Inputs!$B$14*0.0025)/100)*(1+Inputs!$B$15/100)*(1+Inputs!$B$16/100)*(5000/(6000+Inputs!$B$42*(1-(100*(1-(1-(Inputs!$B$19+0)/100)*(1-CHOOSE(ArtifactsInput!$N$40+1,5,6,7,8,9,10)/100)^(ArtifactsInput!$M$40-ArtifactsInput!$M$40)))/100)))*(1+(Inputs!$B$24+((C465=TRUE)*(F465-Calc!F26))+B476)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EIGHT_LEGS_EASTON",Inputs!$B$17+((C462=TRUE)*(F462-Calc!F23))+((C466=TRUE)*(F466-Calc!F27))+((IF(AND(Inputs!$B$38&lt;&gt;"pvp",Inputs!$B$43=0),1,IF(IF(Inputs!$B$38="pvp",15,Inputs!$B$43)-(B477)&lt;=0,1,MAX(0,IF(Inputs!$B$38="pvp",15,Inputs!$B$43)-MAX(5,B477))/(IF(Inputs!$B$38="pvp",15,Inputs!$B$43)-(B477))))*(IF(AND(ArtifactsInput!$M$42,((Inputs!$B$9+((C458=TRUE)*(F458-Calc!F19))+B470+(ArtifactsInput!$M$24-ArtifactsInput!$M$24)*CHOOSE(ArtifactsInput!$N$24+1,10,12,14,16,18,20)+IF(ArtifactsInput!$M$10,CHOOSE(ArtifactsInput!$N$10+1,15,18,21,24,27,30)*(IF(Inputs!$B$38="pvp",MIN(15,15)/15,IF(AND(Inputs!$B$38&lt;&gt;"pvp",Inputs!$B$43&gt;0),MIN(15,Inputs!$B$43)/(Inputs!$B$43),0))),0)))&gt;=100),MIN(100,((Inputs!$B$9+((C458=TRUE)*(F458-Calc!F19))+B470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477)&lt;=0,1,MAX(0,IF(Inputs!$B$38="pvp",15,Inputs!$B$43)-MAX(5,B477))/(IF(Inputs!$B$38="pvp",15,Inputs!$B$43)-(B477))))*IF(AND(ArtifactsInput!$M$42,((Inputs!$B$9+((C458=TRUE)*(F458-Calc!F19))+B470+(ArtifactsInput!$M$24-ArtifactsInput!$M$24)*CHOOSE(ArtifactsInput!$N$24+1,10,12,14,16,18,20)+IF(ArtifactsInput!$M$10,CHOOSE(ArtifactsInput!$N$10+1,15,18,21,24,27,30)*(IF(Inputs!$B$38="pvp",MIN(15,15)/15,IF(AND(Inputs!$B$38&lt;&gt;"pvp",Inputs!$B$43&gt;0),MIN(15,Inputs!$B$43)/(Inputs!$B$43),0))),0)))&gt;=100),CHOOSE(ArtifactsInput!$N$42+1,40,48,56,64,72,80),0))))/100)*((1+(((C456=TRUE)*F456*5/7)+((C463=TRUE)*(F463-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453)</f>
        <v/>
      </c>
      <c r="L453">
        <f>K453*(MIN((Inputs!$B$22+1)+((C461=TRUE)*(F461-Calc!F22)),(Inputs!$B$23+0+(IF(ArtifactsInput!$M$15,CHOOSE(ArtifactsInput!$N$15+1,25,30,35,40,45,50)/100*(Inputs!$B$11-Inputs!$B$11),0))))/100+(Inputs!$B$23+0+(IF(ArtifactsInput!$M$15,CHOOSE(ArtifactsInput!$N$15+1,25,30,35,40,45,50)/100*(Inputs!$B$11-Inputs!$B$11),0)))/100)/2</f>
        <v/>
      </c>
      <c r="M453">
        <f>L453*(1+(Inputs!$B$10+((C464=TRUE)*(F464-Calc!F25))+B475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53">
        <f>L453*(1-MIN((Inputs!$B$9+((C458=TRUE)*(F458-Calc!F19))+B470+(ArtifactsInput!$M$24-ArtifactsInput!$M$24)*CHOOSE(ArtifactsInput!$N$24+1,10,12,14,16,18,20)+(IF(AND(Inputs!$B$38&lt;&gt;"pvp",Inputs!$B$43=0),1,IF(IF(Inputs!$B$38="pvp",15,Inputs!$B$43)-(B477)&lt;=0,1,MAX(0,IF(Inputs!$B$38="pvp",15,Inputs!$B$43)-MAX(5,B477))/(IF(Inputs!$B$38="pvp",15,Inputs!$B$43)-(B477))))*IF(AND(ArtifactsInput!$M$42,((Inputs!$B$9+((C458=TRUE)*(F458-Calc!F19))+B470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453*(MIN((Inputs!$B$9+((C458=TRUE)*(F458-Calc!F19))+B470+(ArtifactsInput!$M$24-ArtifactsInput!$M$24)*CHOOSE(ArtifactsInput!$N$24+1,10,12,14,16,18,20)+(IF(AND(Inputs!$B$38&lt;&gt;"pvp",Inputs!$B$43=0),1,IF(IF(Inputs!$B$38="pvp",15,Inputs!$B$43)-(B477)&lt;=0,1,MAX(0,IF(Inputs!$B$38="pvp",15,Inputs!$B$43)-MAX(5,B477))/(IF(Inputs!$B$38="pvp",15,Inputs!$B$43)-(B477))))*IF(AND(ArtifactsInput!$M$42,((Inputs!$B$9+((C458=TRUE)*(F458-Calc!F19))+B470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53">
        <f>(1-Summary!$B$11)*T453+Summary!$B$11*V453</f>
        <v/>
      </c>
      <c r="P453">
        <f>IF(B480=0,0,O453/B480)</f>
        <v/>
      </c>
      <c r="Q453" t="n">
        <v>0</v>
      </c>
      <c r="R453" t="n">
        <v>0</v>
      </c>
      <c r="S453">
        <f>IFERROR(O453/N453,0)</f>
        <v/>
      </c>
      <c r="T453">
        <f>IF(C453,((H453*(B474+IF(AND(Inputs!$B$38&lt;&gt;"pvp",Inputs!$B$43&gt;0),((Skills!G8*((R447-1)*IF(Skills!H8&gt;0,INT(Skills!I8/Skills!H8+0.000000001),1)+IF(Skills!H8&gt;0,INT(MIN(Skills!I8,MAX(0,MAX(0,Inputs!$B$43-B477)-((R447-1)*((IF(Inputs!$B$38="pvp",15,MAX(0.1,Skills!D8-IF(TRUE=TRUE,Inputs!$B$32,0)))*(1-IF(AND(ArtifactsInput!$M$27,Inputs!$B$4="Chapter Hunt"),CHOOSE(ArtifactsInput!$N$27+1,20,24,28,32,36,40),0)/100))/B481))))/Skills!H8+0.000000001),1)))/Inputs!$B$43),G447*Q447)+IF(AND(Inputs!$B$38&lt;&gt;"pvp",Inputs!$B$43&gt;0),((Skills!G11*((R450-1)*IF(Skills!H11&gt;0,INT(Skills!I11/Skills!H11+0.000000001),1)+IF(Skills!H11&gt;0,INT(MIN(Skills!I11,MAX(0,MAX(0,Inputs!$B$43-B477)-((R450-1)*((IF(Inputs!$B$38="pvp",15,MAX(0.1,Skills!D11-IF(TRUE=TRUE,Inputs!$B$32,0)))*(1-IF(AND(ArtifactsInput!$M$27,Inputs!$B$4="Chapter Hunt"),CHOOSE(ArtifactsInput!$N$27+1,20,24,28,32,36,40),0)/100))/B481))))/Skills!H11+0.000000001),1)))/Inputs!$B$43),G450*Q450)))/(1+Skills!H14*H453*(B474+IF(AND(Inputs!$B$38&lt;&gt;"pvp",Inputs!$B$43&gt;0),((Skills!G8*((R447-1)*IF(Skills!H8&gt;0,INT(Skills!I8/Skills!H8+0.000000001),1)+IF(Skills!H8&gt;0,INT(MIN(Skills!I8,MAX(0,MAX(0,Inputs!$B$43-B477)-((R447-1)*((IF(Inputs!$B$38="pvp",15,MAX(0.1,Skills!D8-IF(TRUE=TRUE,Inputs!$B$32,0)))*(1-IF(AND(ArtifactsInput!$M$27,Inputs!$B$4="Chapter Hunt"),CHOOSE(ArtifactsInput!$N$27+1,20,24,28,32,36,40),0)/100))/B481))))/Skills!H8+0.000000001),1)))/Inputs!$B$43),G447*Q447)+IF(AND(Inputs!$B$38&lt;&gt;"pvp",Inputs!$B$43&gt;0),((Skills!G11*((R450-1)*IF(Skills!H11&gt;0,INT(Skills!I11/Skills!H11+0.000000001),1)+IF(Skills!H11&gt;0,INT(MIN(Skills!I11,MAX(0,MAX(0,Inputs!$B$43-B477)-((R450-1)*((IF(Inputs!$B$38="pvp",15,MAX(0.1,Skills!D11-IF(TRUE=TRUE,Inputs!$B$32,0)))*(1-IF(AND(ArtifactsInput!$M$27,Inputs!$B$4="Chapter Hunt"),CHOOSE(ArtifactsInput!$N$27+1,20,24,28,32,36,40),0)/100))/B481))))/Skills!H11+0.000000001),1)))/Inputs!$B$43),G450*Q450)))*N453)*IF(Inputs!$B$38="pvp",1,1+(Inputs!$B$20+0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Hunt"),CHOOSE(ArtifactsInput!$N$35+1,15,18,21,24,27,30)*(1-EXP(-(0.2*B472)*5)),0)+IF(AND(ArtifactsInput!$M$22,Inputs!$B$4&lt;&gt;"Chapter Hunt"),CHOOSE(ArtifactsInput!$N$22+1,10,12,14,16,18,20)*((0*(((0.15*B472*5))^0/1)+1*(((0.15*B472*5))^1/1)+2*(((0.15*B472*5))^2/2)+3*(((0.15*B472*5))^3/6)+4*(((0.15*B472*5))^4/24)+5*(((0.15*B472*5))^5/120))/((((0.15*B472*5))^0/1)+(((0.15*B472*5))^1/1)+(((0.15*B472*5))^2/2)+(((0.15*B472*5))^3/6)+(((0.15*B472*5))^4/24)+(((0.15*B472*5))^5/120))),0))+IF(Inputs!$B$3&gt;=54,9*(C442=TRUE)*MIN(1,8*(1+Inputs!$B$34/100)*Q442)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453*(1-MIN(100,(Inputs!$B$9+((C458=TRUE)*(F458-Calc!F19))+B470+(ArtifactsInput!$M$24-ArtifactsInput!$M$24)*CHOOSE(ArtifactsInput!$N$24+1,10,12,14,16,18,20)+(IF(AND(Inputs!$B$38&lt;&gt;"pvp",Inputs!$B$43=0),1,IF(IF(Inputs!$B$38="pvp",15,Inputs!$B$43)-(B477)&lt;=0,1,MAX(0,IF(Inputs!$B$38="pvp",15,Inputs!$B$43)-MAX(5,B477))/(IF(Inputs!$B$38="pvp",15,Inputs!$B$43)-(B477))))*IF(AND(ArtifactsInput!$M$42,((Inputs!$B$9+((C458=TRUE)*(F458-Calc!F19))+B470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453*(MIN(100,(Inputs!$B$9+((C458=TRUE)*(F458-Calc!F19))+B470+(ArtifactsInput!$M$24-ArtifactsInput!$M$24)*CHOOSE(ArtifactsInput!$N$24+1,10,12,14,16,18,20)+(IF(AND(Inputs!$B$38&lt;&gt;"pvp",Inputs!$B$43=0),1,IF(IF(Inputs!$B$38="pvp",15,Inputs!$B$43)-(B477)&lt;=0,1,MAX(0,IF(Inputs!$B$38="pvp",15,Inputs!$B$43)-MAX(5,B477))/(IF(Inputs!$B$38="pvp",15,Inputs!$B$43)-(B477))))*IF(AND(ArtifactsInput!$M$42,((Inputs!$B$9+((C458=TRUE)*(F458-Calc!F19))+B470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453*(1-MIN(100,(Inputs!$B$9+((C458=TRUE)*(F458-Calc!F19))+B470+(ArtifactsInput!$M$24-ArtifactsInput!$M$24)*CHOOSE(ArtifactsInput!$N$24+1,10,12,14,16,18,20)+(IF(AND(Inputs!$B$38&lt;&gt;"pvp",Inputs!$B$43=0),1,IF(IF(Inputs!$B$38="pvp",15,Inputs!$B$43)-(B477)&lt;=0,1,MAX(0,IF(Inputs!$B$38="pvp",15,Inputs!$B$43)-MAX(5,B477))/(IF(Inputs!$B$38="pvp",15,Inputs!$B$43)-(B477))))*IF(AND(ArtifactsInput!$M$42,((Inputs!$B$9+((C458=TRUE)*(F458-Calc!F19))+B470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453*(MIN(100,(Inputs!$B$9+((C458=TRUE)*(F458-Calc!F19))+B470+(ArtifactsInput!$M$24-ArtifactsInput!$M$24)*CHOOSE(ArtifactsInput!$N$24+1,10,12,14,16,18,20)+(IF(AND(Inputs!$B$38&lt;&gt;"pvp",Inputs!$B$43=0),1,IF(IF(Inputs!$B$38="pvp",15,Inputs!$B$43)-(B477)&lt;=0,1,MAX(0,IF(Inputs!$B$38="pvp",15,Inputs!$B$43)-MAX(5,B477))/(IF(Inputs!$B$38="pvp",15,Inputs!$B$43)-(B477))))*IF(AND(ArtifactsInput!$M$42,((Inputs!$B$9+((C458=TRUE)*(F458-Calc!F19))+B470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453">
        <f>IF(C453,((H453*(B474+IF(AND(Inputs!$B$38&lt;&gt;"pvp",Inputs!$B$43&gt;0),((Skills!G8*((R447-1)*IF(Skills!H8&gt;0,INT(Skills!I8/Skills!H8+0.000000001),1)+IF(Skills!H8&gt;0,INT(MIN(Skills!I8,MAX(0,MAX(0,Inputs!$B$43-B477)-((R447-1)*((IF(Inputs!$B$38="pvp",15,MAX(0.1,Skills!D8-IF(TRUE=TRUE,Inputs!$B$32,0)))*(1-IF(AND(ArtifactsInput!$M$27,Inputs!$B$4="Chapter Hunt"),CHOOSE(ArtifactsInput!$N$27+1,20,24,28,32,36,40),0)/100))/B481))))/Skills!H8+0.000000001),1)))/Inputs!$B$43),G447*Q447)+IF(AND(Inputs!$B$38&lt;&gt;"pvp",Inputs!$B$43&gt;0),((Skills!G11*((R450-1)*IF(Skills!H11&gt;0,INT(Skills!I11/Skills!H11+0.000000001),1)+IF(Skills!H11&gt;0,INT(MIN(Skills!I11,MAX(0,MAX(0,Inputs!$B$43-B477)-((R450-1)*((IF(Inputs!$B$38="pvp",15,MAX(0.1,Skills!D11-IF(TRUE=TRUE,Inputs!$B$32,0)))*(1-IF(AND(ArtifactsInput!$M$27,Inputs!$B$4="Chapter Hunt"),CHOOSE(ArtifactsInput!$N$27+1,20,24,28,32,36,40),0)/100))/B481))))/Skills!H11+0.000000001),1)))/Inputs!$B$43),G450*Q450)))/(1+Skills!H14*H453*(B474+IF(AND(Inputs!$B$38&lt;&gt;"pvp",Inputs!$B$43&gt;0),((Skills!G8*((R447-1)*IF(Skills!H8&gt;0,INT(Skills!I8/Skills!H8+0.000000001),1)+IF(Skills!H8&gt;0,INT(MIN(Skills!I8,MAX(0,MAX(0,Inputs!$B$43-B477)-((R447-1)*((IF(Inputs!$B$38="pvp",15,MAX(0.1,Skills!D8-IF(TRUE=TRUE,Inputs!$B$32,0)))*(1-IF(AND(ArtifactsInput!$M$27,Inputs!$B$4="Chapter Hunt"),CHOOSE(ArtifactsInput!$N$27+1,20,24,28,32,36,40),0)/100))/B481))))/Skills!H8+0.000000001),1)))/Inputs!$B$43),G447*Q447)+IF(AND(Inputs!$B$38&lt;&gt;"pvp",Inputs!$B$43&gt;0),((Skills!G11*((R450-1)*IF(Skills!H11&gt;0,INT(Skills!I11/Skills!H11+0.000000001),1)+IF(Skills!H11&gt;0,INT(MIN(Skills!I11,MAX(0,MAX(0,Inputs!$B$43-B477)-((R450-1)*((IF(Inputs!$B$38="pvp",15,MAX(0.1,Skills!D11-IF(TRUE=TRUE,Inputs!$B$32,0)))*(1-IF(AND(ArtifactsInput!$M$27,Inputs!$B$4="Chapter Hunt"),CHOOSE(ArtifactsInput!$N$27+1,20,24,28,32,36,40),0)/100))/B481))))/Skills!H11+0.000000001),1)))/Inputs!$B$43),G450*Q450)))*N453)*IF(Inputs!$B$38="pvp",1,(1+(Inputs!$B$21+Skills!Q14+(IF(ArtifactsInput!$M$33,CHOOSE(ArtifactsInput!$N$33+1,30,36,42,48,54,60),0))+(IF(AND(ArtifactsInput!$M$35,Inputs!$B$4&lt;&gt;"Chapter Hunt"),CHOOSE(ArtifactsInput!$N$35+1,15,18,21,24,27,30)*(1-EXP(-(0.2*B472)*5)),0)+IF(AND(ArtifactsInput!$M$22,Inputs!$B$4&lt;&gt;"Chapter Hunt"),CHOOSE(ArtifactsInput!$N$22+1,10,12,14,16,18,20)*((0*(((0.15*B472*5))^0/1)+1*(((0.15*B472*5))^1/1)+2*(((0.15*B472*5))^2/2)+3*(((0.15*B472*5))^3/6)+4*(((0.15*B472*5))^4/24)+5*(((0.15*B472*5))^5/120))/((((0.15*B472*5))^0/1)+(((0.15*B472*5))^1/1)+(((0.15*B472*5))^2/2)+(((0.15*B472*5))^3/6)+(((0.15*B472*5))^4/24)+(((0.15*B472*5))^5/120))),0))+IF(Inputs!$B$3&gt;=54,9*(C442=TRUE)*MIN(1,8*(1+Inputs!$B$34/100)*Q442),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54">
      <c r="A454">
        <f>Skills!A15</f>
        <v/>
      </c>
      <c r="B454">
        <f>Skills!B15</f>
        <v/>
      </c>
      <c r="C454">
        <f>Inputs!$B$3&gt;=100</f>
        <v/>
      </c>
      <c r="D454">
        <f>IF(Skills!C15=1,60+Inputs!$B$25+Inputs!$B$29,IF(Skills!C15=2,90+Inputs!$B$26+Inputs!$B$29,IF(Skills!C15=3,120+Inputs!$B$27+Inputs!$B$29,MAX(0,(Inputs!$B$3-100)*3)+Inputs!$B$28+Inputs!$B$29)))</f>
        <v/>
      </c>
      <c r="E454">
        <f>INDEX(FactorTable!$B$2:$Y$301, MATCH(ROUND(MIN(300,MAX(1,D454)),0), FactorTable!$A$2:$A$301,0), Skills!M15+1)</f>
        <v/>
      </c>
      <c r="F454">
        <f>IF(Skills!N15=TRUE,(Skills!L15/10)*(E454/1000),Skills!L15/10)+Skills!O15</f>
        <v/>
      </c>
      <c r="G454" t="inlineStr"/>
      <c r="H454" t="inlineStr"/>
      <c r="I454" t="inlineStr">
        <is>
          <t>1</t>
        </is>
      </c>
      <c r="J454" t="inlineStr"/>
      <c r="K454" t="inlineStr"/>
      <c r="L454" t="inlineStr"/>
      <c r="M454" t="inlineStr"/>
      <c r="N454" t="inlineStr"/>
      <c r="O454" t="inlineStr"/>
      <c r="P454" t="inlineStr"/>
      <c r="Q454" t="inlineStr"/>
      <c r="R454" t="inlineStr"/>
      <c r="S454" t="inlineStr"/>
    </row>
    <row r="455">
      <c r="A455">
        <f>Skills!A16</f>
        <v/>
      </c>
      <c r="B455">
        <f>Skills!B16</f>
        <v/>
      </c>
      <c r="C455">
        <f>Inputs!$B$3&gt;=107</f>
        <v/>
      </c>
      <c r="D455">
        <f>IF(Skills!C16=1,60+Inputs!$B$25+Inputs!$B$29,IF(Skills!C16=2,90+Inputs!$B$26+Inputs!$B$29,IF(Skills!C16=3,120+Inputs!$B$27+Inputs!$B$29,MAX(0,(Inputs!$B$3-100)*3)+Inputs!$B$28+Inputs!$B$29)))</f>
        <v/>
      </c>
      <c r="E455">
        <f>INDEX(FactorTable!$B$2:$Y$301, MATCH(ROUND(MIN(300,MAX(1,D455)),0), FactorTable!$A$2:$A$301,0), Skills!M16+1)</f>
        <v/>
      </c>
      <c r="F455">
        <f>IF(Skills!N16=TRUE,(Skills!L16/10)*(E455/1000),Skills!L16/10)+Skills!O16</f>
        <v/>
      </c>
      <c r="G455" t="inlineStr"/>
      <c r="H455" t="inlineStr"/>
      <c r="I455" t="inlineStr">
        <is>
          <t>1</t>
        </is>
      </c>
      <c r="J455" t="inlineStr"/>
      <c r="K455" t="inlineStr"/>
      <c r="L455" t="inlineStr"/>
      <c r="M455" t="inlineStr"/>
      <c r="N455" t="inlineStr"/>
      <c r="O455" t="inlineStr"/>
      <c r="P455" t="inlineStr"/>
      <c r="Q455" t="inlineStr"/>
      <c r="R455" t="inlineStr"/>
      <c r="S455" t="inlineStr"/>
    </row>
    <row r="456">
      <c r="A456">
        <f>Skills!A17</f>
        <v/>
      </c>
      <c r="B456">
        <f>Skills!B17</f>
        <v/>
      </c>
      <c r="C456">
        <f>Inputs!$B$3&gt;=74</f>
        <v/>
      </c>
      <c r="D456">
        <f>IF(Skills!C17=1,60+Inputs!$B$25+Inputs!$B$29,IF(Skills!C17=2,90+Inputs!$B$26+Inputs!$B$29,IF(Skills!C17=3,120+Inputs!$B$27+Inputs!$B$29,MAX(0,(Inputs!$B$3-100)*3)+Inputs!$B$28+Inputs!$B$29)))</f>
        <v/>
      </c>
      <c r="E456">
        <f>INDEX(FactorTable!$B$2:$Y$301, MATCH(ROUND(MIN(300,MAX(1,D456)),0), FactorTable!$A$2:$A$301,0), Skills!M17+1)</f>
        <v/>
      </c>
      <c r="F456">
        <f>IF(Skills!N17=TRUE,(Skills!L17/10)*(E456/1000),Skills!L17/10)+Skills!O17</f>
        <v/>
      </c>
      <c r="G456">
        <f>Skills!G17*IF(Skills!H17&gt;0,INT(IF(Inputs!$B$38="pvp",MIN(Skills!I17,15),Skills!I17)/Skills!H17+0.000000001),1)</f>
        <v/>
      </c>
      <c r="H456">
        <f>1-(1-Skills!J17/100)^Skills!K17</f>
        <v/>
      </c>
      <c r="I456" t="inlineStr">
        <is>
          <t>1</t>
        </is>
      </c>
      <c r="J456" t="inlineStr"/>
      <c r="K456" t="inlineStr"/>
      <c r="L456" t="inlineStr"/>
      <c r="M456" t="inlineStr"/>
      <c r="N456" t="inlineStr"/>
      <c r="O456">
        <f>(1-Summary!$B$11)*T456+Summary!$B$11*V456</f>
        <v/>
      </c>
      <c r="P456">
        <f>IF(B480=0,0,O456/B480)</f>
        <v/>
      </c>
      <c r="Q456" t="n">
        <v>0</v>
      </c>
      <c r="R456" t="n">
        <v>0</v>
      </c>
      <c r="S456">
        <f>IFERROR(O456/N456,0)</f>
        <v/>
      </c>
      <c r="T456" t="n">
        <v>0</v>
      </c>
      <c r="V456" t="n">
        <v>0</v>
      </c>
    </row>
    <row r="457">
      <c r="A457">
        <f>Skills!A18</f>
        <v/>
      </c>
      <c r="B457">
        <f>Skills!B18</f>
        <v/>
      </c>
      <c r="C457">
        <f>Inputs!$B$3&gt;=115</f>
        <v/>
      </c>
      <c r="D457">
        <f>IF(Skills!C18=1,60+Inputs!$B$25+Inputs!$B$29,IF(Skills!C18=2,90+Inputs!$B$26+Inputs!$B$29,IF(Skills!C18=3,120+Inputs!$B$27+Inputs!$B$29,MAX(0,(Inputs!$B$3-100)*3)+Inputs!$B$28+Inputs!$B$29)))</f>
        <v/>
      </c>
      <c r="E457">
        <f>INDEX(FactorTable!$B$2:$Y$301, MATCH(ROUND(MIN(300,MAX(1,D457)),0), FactorTable!$A$2:$A$301,0), Skills!M18+1)</f>
        <v/>
      </c>
      <c r="F457">
        <f>IF(Skills!N18=TRUE,(Skills!L18/10)*(E457/1000),Skills!L18/10)+Skills!O18</f>
        <v/>
      </c>
      <c r="G457">
        <f>Skills!G18*IF(Skills!H18&gt;0,INT(IF(Inputs!$B$38="pvp",MIN(Skills!I18,15),Skills!I18)/Skills!H18+0.000000001),1)</f>
        <v/>
      </c>
      <c r="H457">
        <f>1-(1-Skills!J18/100)^Skills!K18</f>
        <v/>
      </c>
      <c r="I457" t="inlineStr">
        <is>
          <t>1</t>
        </is>
      </c>
      <c r="J457" t="inlineStr"/>
      <c r="K457" t="inlineStr"/>
      <c r="L457" t="inlineStr"/>
      <c r="M457" t="inlineStr"/>
      <c r="N457" t="inlineStr"/>
      <c r="O457">
        <f>(1-Summary!$B$11)*T457+Summary!$B$11*V457</f>
        <v/>
      </c>
      <c r="P457">
        <f>IF(B480=0,0,O457/B480)</f>
        <v/>
      </c>
      <c r="Q457">
        <f>IFERROR(1/(IF(Inputs!$B$38="pvp",15,MAX(0.1,Skills!D18-IF(TRUE=TRUE,Inputs!$B$32,0)))*(1-IF(AND(ArtifactsInput!$M$27,Inputs!$B$4="Chapter Hunt"),CHOOSE(ArtifactsInput!$N$27+1,20,24,28,32,36,40),0)/100)),0)</f>
        <v/>
      </c>
      <c r="R457">
        <f>IF(AND(Inputs!$B$38&lt;&gt;"pvp",Inputs!$B$43&gt;0),IF(Inputs!$B$43&lt;=0,0,(INT(Inputs!$B$43/(IF(Inputs!$B$38="pvp",15,MAX(0.1,Skills!D18-IF(TRUE=TRUE,Inputs!$B$32,0)))*(1-IF(AND(ArtifactsInput!$M$27,Inputs!$B$4="Chapter Hunt"),CHOOSE(ArtifactsInput!$N$27+1,20,24,28,32,36,40),0)/100)))+1)),0)</f>
        <v/>
      </c>
      <c r="S457">
        <f>IFERROR(O457/N457,0)</f>
        <v/>
      </c>
      <c r="T457" t="n">
        <v>0</v>
      </c>
      <c r="V457" t="n">
        <v>0</v>
      </c>
    </row>
    <row r="458">
      <c r="A458">
        <f>Skills!A19</f>
        <v/>
      </c>
      <c r="B458">
        <f>Skills!B19</f>
        <v/>
      </c>
      <c r="C458">
        <f>Inputs!$B$3&gt;=10</f>
        <v/>
      </c>
      <c r="D458">
        <f>IF(Skills!C19=1,60+Inputs!$B$25+Inputs!$B$29,IF(Skills!C19=2,90+Inputs!$B$26+Inputs!$B$29,IF(Skills!C19=3,120+Inputs!$B$27+Inputs!$B$29,MAX(0,(Inputs!$B$3-100)*3)+Inputs!$B$28+Inputs!$B$29)))</f>
        <v/>
      </c>
      <c r="E458">
        <f>INDEX(FactorTable!$B$2:$Y$301, MATCH(ROUND(MIN(300,MAX(1,D458)),0), FactorTable!$A$2:$A$301,0), Skills!M19+1)</f>
        <v/>
      </c>
      <c r="F458">
        <f>IF(Skills!N19=TRUE,(Skills!L19/10)*(E458/1000),Skills!L19/10)+Skills!O19</f>
        <v/>
      </c>
      <c r="G458">
        <f>Skills!G19*IF(Skills!H19&gt;0,INT(IF(Inputs!$B$38="pvp",MIN(Skills!I19,15),Skills!I19)/Skills!H19+0.000000001),1)</f>
        <v/>
      </c>
      <c r="H458">
        <f>1-(1-Skills!J19/100)^Skills!K19</f>
        <v/>
      </c>
      <c r="I458" t="inlineStr">
        <is>
          <t>1</t>
        </is>
      </c>
      <c r="J458" t="inlineStr"/>
      <c r="K458" t="inlineStr"/>
      <c r="L458" t="inlineStr"/>
      <c r="M458" t="inlineStr"/>
      <c r="N458" t="inlineStr"/>
      <c r="O458">
        <f>(1-Summary!$B$11)*T458+Summary!$B$11*V458</f>
        <v/>
      </c>
      <c r="P458">
        <f>IF(B480=0,0,O458/B480)</f>
        <v/>
      </c>
      <c r="Q458" t="n">
        <v>0</v>
      </c>
      <c r="R458" t="n">
        <v>0</v>
      </c>
      <c r="S458">
        <f>IFERROR(O458/N458,0)</f>
        <v/>
      </c>
      <c r="T458" t="n">
        <v>0</v>
      </c>
      <c r="V458" t="n">
        <v>0</v>
      </c>
    </row>
    <row r="459">
      <c r="A459">
        <f>Skills!A20</f>
        <v/>
      </c>
      <c r="B459">
        <f>Skills!B20</f>
        <v/>
      </c>
      <c r="C459">
        <f>Inputs!$B$3&gt;=15</f>
        <v/>
      </c>
      <c r="D459">
        <f>IF(Skills!C20=1,60+Inputs!$B$25+Inputs!$B$29,IF(Skills!C20=2,90+Inputs!$B$26+Inputs!$B$29,IF(Skills!C20=3,120+Inputs!$B$27+Inputs!$B$29,MAX(0,(Inputs!$B$3-100)*3)+Inputs!$B$28+Inputs!$B$29)))</f>
        <v/>
      </c>
      <c r="E459">
        <f>INDEX(FactorTable!$B$2:$Y$301, MATCH(ROUND(MIN(300,MAX(1,D459)),0), FactorTable!$A$2:$A$301,0), Skills!M20+1)</f>
        <v/>
      </c>
      <c r="F459">
        <f>IF(Skills!N20=TRUE,(Skills!L20/10)*(E459/1000),Skills!L20/10)+Skills!O20</f>
        <v/>
      </c>
      <c r="G459">
        <f>Skills!G20*IF(Skills!H20&gt;0,INT(IF(Inputs!$B$38="pvp",MIN(Skills!I20,15),Skills!I20)/Skills!H20+0.000000001),1)</f>
        <v/>
      </c>
      <c r="H459">
        <f>1-(1-Skills!J20/100)^Skills!K20</f>
        <v/>
      </c>
      <c r="I459" t="inlineStr">
        <is>
          <t>1</t>
        </is>
      </c>
      <c r="J459" t="inlineStr"/>
      <c r="K459" t="inlineStr"/>
      <c r="L459" t="inlineStr"/>
      <c r="M459" t="inlineStr"/>
      <c r="N459" t="inlineStr"/>
      <c r="O459">
        <f>(1-Summary!$B$11)*T459+Summary!$B$11*V459</f>
        <v/>
      </c>
      <c r="P459">
        <f>IF(B480=0,0,O459/B480)</f>
        <v/>
      </c>
      <c r="Q459" t="n">
        <v>0</v>
      </c>
      <c r="R459" t="n">
        <v>0</v>
      </c>
      <c r="S459">
        <f>IFERROR(O459/N459,0)</f>
        <v/>
      </c>
      <c r="T459" t="n">
        <v>0</v>
      </c>
      <c r="V459" t="n">
        <v>0</v>
      </c>
    </row>
    <row r="460">
      <c r="A460">
        <f>Skills!A21</f>
        <v/>
      </c>
      <c r="B460">
        <f>Skills!B21</f>
        <v/>
      </c>
      <c r="C460">
        <f>Inputs!$B$3&gt;=40</f>
        <v/>
      </c>
      <c r="D460">
        <f>IF(Skills!C21=1,60+Inputs!$B$25+Inputs!$B$29,IF(Skills!C21=2,90+Inputs!$B$26+Inputs!$B$29,IF(Skills!C21=3,120+Inputs!$B$27+Inputs!$B$29,MAX(0,(Inputs!$B$3-100)*3)+Inputs!$B$28+Inputs!$B$29)))</f>
        <v/>
      </c>
      <c r="E460">
        <f>INDEX(FactorTable!$B$2:$Y$301, MATCH(ROUND(MIN(300,MAX(1,D460)),0), FactorTable!$A$2:$A$301,0), Skills!M21+1)</f>
        <v/>
      </c>
      <c r="F460">
        <f>IF(Skills!N21=TRUE,(Skills!L21/10)*(E460/1000),Skills!L21/10)+Skills!O21</f>
        <v/>
      </c>
      <c r="G460">
        <f>Skills!G21*IF(Skills!H21&gt;0,INT(IF(Inputs!$B$38="pvp",MIN(Skills!I21,15),Skills!I21)/Skills!H21+0.000000001),1)</f>
        <v/>
      </c>
      <c r="H460">
        <f>1-(1-Skills!J21/100)^Skills!K21</f>
        <v/>
      </c>
      <c r="I460" t="inlineStr">
        <is>
          <t>1</t>
        </is>
      </c>
      <c r="J460" t="inlineStr"/>
      <c r="K460" t="inlineStr"/>
      <c r="L460" t="inlineStr"/>
      <c r="M460" t="inlineStr"/>
      <c r="N460" t="inlineStr"/>
      <c r="O460">
        <f>(1-Summary!$B$11)*T460+Summary!$B$11*V460</f>
        <v/>
      </c>
      <c r="P460">
        <f>IF(B480=0,0,O460/B480)</f>
        <v/>
      </c>
      <c r="Q460" t="n">
        <v>0</v>
      </c>
      <c r="R460" t="n">
        <v>0</v>
      </c>
      <c r="S460">
        <f>IFERROR(O460/N460,0)</f>
        <v/>
      </c>
      <c r="T460" t="n">
        <v>0</v>
      </c>
      <c r="V460" t="n">
        <v>0</v>
      </c>
    </row>
    <row r="461">
      <c r="A461">
        <f>Skills!A22</f>
        <v/>
      </c>
      <c r="B461">
        <f>Skills!B22</f>
        <v/>
      </c>
      <c r="C461">
        <f>Inputs!$B$3&gt;=43</f>
        <v/>
      </c>
      <c r="D461">
        <f>IF(Skills!C22=1,60+Inputs!$B$25+Inputs!$B$29,IF(Skills!C22=2,90+Inputs!$B$26+Inputs!$B$29,IF(Skills!C22=3,120+Inputs!$B$27+Inputs!$B$29,MAX(0,(Inputs!$B$3-100)*3)+Inputs!$B$28+Inputs!$B$29)))</f>
        <v/>
      </c>
      <c r="E461">
        <f>INDEX(FactorTable!$B$2:$Y$301, MATCH(ROUND(MIN(300,MAX(1,D461)),0), FactorTable!$A$2:$A$301,0), Skills!M22+1)</f>
        <v/>
      </c>
      <c r="F461">
        <f>IF(Skills!N22=TRUE,(Skills!L22/10)*(E461/1000),Skills!L22/10)+Skills!O22</f>
        <v/>
      </c>
      <c r="G461">
        <f>Skills!G22*IF(Skills!H22&gt;0,INT(IF(Inputs!$B$38="pvp",MIN(Skills!I22,15),Skills!I22)/Skills!H22+0.000000001),1)</f>
        <v/>
      </c>
      <c r="H461">
        <f>1-(1-Skills!J22/100)^Skills!K22</f>
        <v/>
      </c>
      <c r="I461" t="inlineStr">
        <is>
          <t>1</t>
        </is>
      </c>
      <c r="J461" t="inlineStr"/>
      <c r="K461" t="inlineStr"/>
      <c r="L461" t="inlineStr"/>
      <c r="M461" t="inlineStr"/>
      <c r="N461" t="inlineStr"/>
      <c r="O461">
        <f>(1-Summary!$B$11)*T461+Summary!$B$11*V461</f>
        <v/>
      </c>
      <c r="P461">
        <f>IF(B480=0,0,O461/B480)</f>
        <v/>
      </c>
      <c r="Q461" t="n">
        <v>0</v>
      </c>
      <c r="R461" t="n">
        <v>0</v>
      </c>
      <c r="S461">
        <f>IFERROR(O461/N461,0)</f>
        <v/>
      </c>
      <c r="T461" t="n">
        <v>0</v>
      </c>
      <c r="V461" t="n">
        <v>0</v>
      </c>
    </row>
    <row r="462">
      <c r="A462">
        <f>Skills!A23</f>
        <v/>
      </c>
      <c r="B462">
        <f>Skills!B23</f>
        <v/>
      </c>
      <c r="C462">
        <f>Inputs!$B$3&gt;=38</f>
        <v/>
      </c>
      <c r="D462">
        <f>IF(Skills!C23=1,60+Inputs!$B$25+Inputs!$B$29,IF(Skills!C23=2,90+Inputs!$B$26+Inputs!$B$29,IF(Skills!C23=3,120+Inputs!$B$27+Inputs!$B$29,MAX(0,(Inputs!$B$3-100)*3)+Inputs!$B$28+Inputs!$B$29)))</f>
        <v/>
      </c>
      <c r="E462">
        <f>INDEX(FactorTable!$B$2:$Y$301, MATCH(ROUND(MIN(300,MAX(1,D462)),0), FactorTable!$A$2:$A$301,0), Skills!M23+1)</f>
        <v/>
      </c>
      <c r="F462">
        <f>IF(Skills!N23=TRUE,(Skills!L23/10)*(E462/1000),Skills!L23/10)+Skills!O23</f>
        <v/>
      </c>
      <c r="G462">
        <f>Skills!G23*IF(Skills!H23&gt;0,INT(IF(Inputs!$B$38="pvp",MIN(Skills!I23,15),Skills!I23)/Skills!H23+0.000000001),1)</f>
        <v/>
      </c>
      <c r="H462">
        <f>1-(1-Skills!J23/100)^Skills!K23</f>
        <v/>
      </c>
      <c r="I462" t="inlineStr">
        <is>
          <t>1</t>
        </is>
      </c>
      <c r="J462" t="inlineStr"/>
      <c r="K462" t="inlineStr"/>
      <c r="L462" t="inlineStr"/>
      <c r="M462" t="inlineStr"/>
      <c r="N462" t="inlineStr"/>
      <c r="O462">
        <f>(1-Summary!$B$11)*T462+Summary!$B$11*V462</f>
        <v/>
      </c>
      <c r="P462">
        <f>IF(B480=0,0,O462/B480)</f>
        <v/>
      </c>
      <c r="Q462" t="n">
        <v>0</v>
      </c>
      <c r="R462" t="n">
        <v>0</v>
      </c>
      <c r="S462">
        <f>IFERROR(O462/N462,0)</f>
        <v/>
      </c>
      <c r="T462" t="n">
        <v>0</v>
      </c>
      <c r="V462" t="n">
        <v>0</v>
      </c>
    </row>
    <row r="463">
      <c r="A463">
        <f>Skills!A24</f>
        <v/>
      </c>
      <c r="B463">
        <f>Skills!B24</f>
        <v/>
      </c>
      <c r="C463">
        <f>Inputs!$B$3&gt;=45</f>
        <v/>
      </c>
      <c r="D463">
        <f>IF(Skills!C24=1,60+Inputs!$B$25+Inputs!$B$29,IF(Skills!C24=2,90+Inputs!$B$26+Inputs!$B$29,IF(Skills!C24=3,120+Inputs!$B$27+Inputs!$B$29,MAX(0,(Inputs!$B$3-100)*3)+Inputs!$B$28+Inputs!$B$29)))</f>
        <v/>
      </c>
      <c r="E463">
        <f>INDEX(FactorTable!$B$2:$Y$301, MATCH(ROUND(MIN(300,MAX(1,D463)),0), FactorTable!$A$2:$A$301,0), Skills!M24+1)</f>
        <v/>
      </c>
      <c r="F463">
        <f>IF(Skills!N24=TRUE,(Skills!L24/10)*(E463/1000),Skills!L24/10)+Skills!O24</f>
        <v/>
      </c>
      <c r="G463">
        <f>Skills!G24*IF(Skills!H24&gt;0,INT(IF(Inputs!$B$38="pvp",MIN(Skills!I24,15),Skills!I24)/Skills!H24+0.000000001),1)</f>
        <v/>
      </c>
      <c r="H463">
        <f>1-(1-Skills!J24/100)^Skills!K24</f>
        <v/>
      </c>
      <c r="I463" t="inlineStr">
        <is>
          <t>1</t>
        </is>
      </c>
      <c r="J463" t="inlineStr"/>
      <c r="K463" t="inlineStr"/>
      <c r="L463" t="inlineStr"/>
      <c r="M463" t="inlineStr"/>
      <c r="N463" t="inlineStr"/>
      <c r="O463">
        <f>(1-Summary!$B$11)*T463+Summary!$B$11*V463</f>
        <v/>
      </c>
      <c r="P463">
        <f>IF(B480=0,0,O463/B480)</f>
        <v/>
      </c>
      <c r="Q463" t="n">
        <v>0</v>
      </c>
      <c r="R463" t="n">
        <v>0</v>
      </c>
      <c r="S463">
        <f>IFERROR(O463/N463,0)</f>
        <v/>
      </c>
      <c r="T463" t="n">
        <v>0</v>
      </c>
      <c r="V463" t="n">
        <v>0</v>
      </c>
    </row>
    <row r="464">
      <c r="A464">
        <f>Skills!A25</f>
        <v/>
      </c>
      <c r="B464">
        <f>Skills!B25</f>
        <v/>
      </c>
      <c r="C464">
        <f>Inputs!$B$3&gt;=72</f>
        <v/>
      </c>
      <c r="D464">
        <f>IF(Skills!C25=1,60+Inputs!$B$25+Inputs!$B$29,IF(Skills!C25=2,90+Inputs!$B$26+Inputs!$B$29,IF(Skills!C25=3,120+Inputs!$B$27+Inputs!$B$29,MAX(0,(Inputs!$B$3-100)*3)+Inputs!$B$28+Inputs!$B$29)))</f>
        <v/>
      </c>
      <c r="E464">
        <f>INDEX(FactorTable!$B$2:$Y$301, MATCH(ROUND(MIN(300,MAX(1,D464)),0), FactorTable!$A$2:$A$301,0), Skills!M25+1)</f>
        <v/>
      </c>
      <c r="F464">
        <f>IF(Skills!N25=TRUE,(Skills!L25/10)*(E464/1000),Skills!L25/10)+Skills!O25</f>
        <v/>
      </c>
      <c r="G464">
        <f>Skills!G25*IF(Skills!H25&gt;0,INT(IF(Inputs!$B$38="pvp",MIN(Skills!I25,15),Skills!I25)/Skills!H25+0.000000001),1)</f>
        <v/>
      </c>
      <c r="H464">
        <f>1-(1-Skills!J25/100)^Skills!K25</f>
        <v/>
      </c>
      <c r="I464" t="inlineStr">
        <is>
          <t>1</t>
        </is>
      </c>
      <c r="J464" t="inlineStr"/>
      <c r="K464" t="inlineStr"/>
      <c r="L464" t="inlineStr"/>
      <c r="M464" t="inlineStr"/>
      <c r="N464" t="inlineStr"/>
      <c r="O464">
        <f>(1-Summary!$B$11)*T464+Summary!$B$11*V464</f>
        <v/>
      </c>
      <c r="P464">
        <f>IF(B480=0,0,O464/B480)</f>
        <v/>
      </c>
      <c r="Q464" t="n">
        <v>0</v>
      </c>
      <c r="R464" t="n">
        <v>0</v>
      </c>
      <c r="S464">
        <f>IFERROR(O464/N464,0)</f>
        <v/>
      </c>
      <c r="T464" t="n">
        <v>0</v>
      </c>
      <c r="V464" t="n">
        <v>0</v>
      </c>
    </row>
    <row r="465">
      <c r="A465">
        <f>Skills!A26</f>
        <v/>
      </c>
      <c r="B465">
        <f>Skills!B26</f>
        <v/>
      </c>
      <c r="C465">
        <f>Inputs!$B$3&gt;=75</f>
        <v/>
      </c>
      <c r="D465">
        <f>IF(Skills!C26=1,60+Inputs!$B$25+Inputs!$B$29,IF(Skills!C26=2,90+Inputs!$B$26+Inputs!$B$29,IF(Skills!C26=3,120+Inputs!$B$27+Inputs!$B$29,MAX(0,(Inputs!$B$3-100)*3)+Inputs!$B$28+Inputs!$B$29)))</f>
        <v/>
      </c>
      <c r="E465">
        <f>INDEX(FactorTable!$B$2:$Y$301, MATCH(ROUND(MIN(300,MAX(1,D465)),0), FactorTable!$A$2:$A$301,0), Skills!M26+1)</f>
        <v/>
      </c>
      <c r="F465">
        <f>IF(Skills!N26=TRUE,(Skills!L26/10)*(E465/1000),Skills!L26/10)+Skills!O26</f>
        <v/>
      </c>
      <c r="G465">
        <f>Skills!G26*IF(Skills!H26&gt;0,INT(IF(Inputs!$B$38="pvp",MIN(Skills!I26,15),Skills!I26)/Skills!H26+0.000000001),1)</f>
        <v/>
      </c>
      <c r="H465">
        <f>1-(1-Skills!J26/100)^Skills!K26</f>
        <v/>
      </c>
      <c r="I465" t="inlineStr">
        <is>
          <t>1</t>
        </is>
      </c>
      <c r="J465" t="inlineStr"/>
      <c r="K465" t="inlineStr"/>
      <c r="L465" t="inlineStr"/>
      <c r="M465" t="inlineStr"/>
      <c r="N465" t="inlineStr"/>
      <c r="O465">
        <f>(1-Summary!$B$11)*T465+Summary!$B$11*V465</f>
        <v/>
      </c>
      <c r="P465">
        <f>IF(B480=0,0,O465/B480)</f>
        <v/>
      </c>
      <c r="Q465" t="n">
        <v>0</v>
      </c>
      <c r="R465" t="n">
        <v>0</v>
      </c>
      <c r="S465">
        <f>IFERROR(O465/N465,0)</f>
        <v/>
      </c>
      <c r="T465" t="n">
        <v>0</v>
      </c>
      <c r="V465" t="n">
        <v>0</v>
      </c>
    </row>
    <row r="466">
      <c r="A466">
        <f>Skills!A27</f>
        <v/>
      </c>
      <c r="B466">
        <f>Skills!B27</f>
        <v/>
      </c>
      <c r="C466">
        <f>Inputs!$B$3&gt;=125</f>
        <v/>
      </c>
      <c r="D466">
        <f>IF(Skills!C27=1,60+Inputs!$B$25+Inputs!$B$29,IF(Skills!C27=2,90+Inputs!$B$26+Inputs!$B$29,IF(Skills!C27=3,120+Inputs!$B$27+Inputs!$B$29,MAX(0,(Inputs!$B$3-100)*3)+Inputs!$B$28+Inputs!$B$29)))</f>
        <v/>
      </c>
      <c r="E466">
        <f>INDEX(FactorTable!$B$2:$Y$301, MATCH(ROUND(MIN(300,MAX(1,D466)),0), FactorTable!$A$2:$A$301,0), Skills!M27+1)</f>
        <v/>
      </c>
      <c r="F466">
        <f>IF(Skills!N27=TRUE,(Skills!L27/10)*(E466/1000),Skills!L27/10)+Skills!O27</f>
        <v/>
      </c>
      <c r="G466">
        <f>Skills!G27*IF(Skills!H27&gt;0,INT(IF(Inputs!$B$38="pvp",MIN(Skills!I27,15),Skills!I27)/Skills!H27+0.000000001),1)</f>
        <v/>
      </c>
      <c r="H466">
        <f>1-(1-Skills!J27/100)^Skills!K27</f>
        <v/>
      </c>
      <c r="I466" t="inlineStr">
        <is>
          <t>1</t>
        </is>
      </c>
      <c r="J466" t="inlineStr"/>
      <c r="K466" t="inlineStr"/>
      <c r="L466" t="inlineStr"/>
      <c r="M466" t="inlineStr"/>
      <c r="N466" t="inlineStr"/>
      <c r="O466">
        <f>(1-Summary!$B$11)*T466+Summary!$B$11*V466</f>
        <v/>
      </c>
      <c r="P466">
        <f>IF(B480=0,0,O466/B480)</f>
        <v/>
      </c>
      <c r="Q466" t="n">
        <v>0</v>
      </c>
      <c r="R466" t="n">
        <v>0</v>
      </c>
      <c r="S466">
        <f>IFERROR(O466/N466,0)</f>
        <v/>
      </c>
      <c r="T466" t="n">
        <v>0</v>
      </c>
      <c r="V466" t="n">
        <v>0</v>
      </c>
    </row>
    <row r="467">
      <c r="A467">
        <f>Skills!A28</f>
        <v/>
      </c>
      <c r="B467">
        <f>Skills!B28</f>
        <v/>
      </c>
      <c r="C467">
        <f>TRUE</f>
        <v/>
      </c>
      <c r="D467">
        <f>IF(Skills!C28=1,60+Inputs!$B$25+Inputs!$B$29,IF(Skills!C28=2,90+Inputs!$B$26+Inputs!$B$29,IF(Skills!C28=3,120+Inputs!$B$27+Inputs!$B$29,MAX(0,(Inputs!$B$3-100)*3)+Inputs!$B$28+Inputs!$B$29)))</f>
        <v/>
      </c>
      <c r="E467">
        <f>INDEX(FactorTable!$B$2:$Y$301, MATCH(ROUND(MIN(300,MAX(1,D467)),0), FactorTable!$A$2:$A$301,0), Skills!M28+1)</f>
        <v/>
      </c>
      <c r="F467">
        <f>IF(Skills!N28=TRUE,(Skills!L28/10)*(E467/1000),Skills!L28/10)+Skills!O28</f>
        <v/>
      </c>
      <c r="G467">
        <f>Skills!G28*IF(Skills!H28&gt;0,INT(IF(Inputs!$B$38="pvp",MIN(Skills!I28,15),Skills!I28)/Skills!H28+0.000000001),1)</f>
        <v/>
      </c>
      <c r="H467">
        <f>1-(1-Skills!J28/100)^Skills!K28</f>
        <v/>
      </c>
      <c r="I467" t="inlineStr">
        <is>
          <t>1</t>
        </is>
      </c>
      <c r="J467" t="inlineStr"/>
      <c r="K467" t="inlineStr"/>
      <c r="L467" t="inlineStr"/>
      <c r="M467" t="inlineStr"/>
      <c r="N467" t="inlineStr"/>
      <c r="O467">
        <f>(1-Summary!$B$11)*T467+Summary!$B$11*V467</f>
        <v/>
      </c>
      <c r="P467">
        <f>IF(B480=0,0,O467/B480)</f>
        <v/>
      </c>
      <c r="Q467">
        <f>IFERROR(1/(IF(Inputs!$B$38="pvp",15,MAX(0.1,Skills!D28-IF(TRUE=TRUE,Inputs!$B$32,0)))*(1-IF(AND(ArtifactsInput!$M$27,Inputs!$B$4="Chapter Hunt"),CHOOSE(ArtifactsInput!$N$27+1,20,24,28,32,36,40),0)/100)),0)</f>
        <v/>
      </c>
      <c r="R467">
        <f>IF(AND(Inputs!$B$38&lt;&gt;"pvp",Inputs!$B$43&gt;0),IF(Inputs!$B$43&lt;=0,0,(INT(Inputs!$B$43/(IF(Inputs!$B$38="pvp",15,MAX(0.1,Skills!D28-IF(TRUE=TRUE,Inputs!$B$32,0)))*(1-IF(AND(ArtifactsInput!$M$27,Inputs!$B$4="Chapter Hunt"),CHOOSE(ArtifactsInput!$N$27+1,20,24,28,32,36,40),0)/100)))+1)),0)</f>
        <v/>
      </c>
      <c r="S467">
        <f>IFERROR(O467/N467,0)</f>
        <v/>
      </c>
      <c r="T467" t="n">
        <v>0</v>
      </c>
      <c r="V467" t="n">
        <v>0</v>
      </c>
    </row>
    <row r="469">
      <c r="A469" t="inlineStr">
        <is>
          <t>Attack% Bucket Multiplier</t>
        </is>
      </c>
      <c r="B469">
        <f>(1+(((C456=TRUE)*F456*5/7)+((C463=TRUE)*(F463-Calc!F24))+(IF(ArtifactsInput!$M$21,CHOOSE(ArtifactsInput!$N$21+1,25,30,35,40,45,50)*(IF(OR(Inputs!$B$4="Chapter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470">
      <c r="A470" t="inlineStr">
        <is>
          <t>Global Crit Rate Bonus %</t>
        </is>
      </c>
      <c r="B470" t="n">
        <v>0</v>
      </c>
    </row>
    <row r="471">
      <c r="A471" t="inlineStr">
        <is>
          <t>Attack Speed Buff Bonus % (Nimble Feet, duty-cycle averaged)</t>
        </is>
      </c>
      <c r="B471">
        <f>((C467=TRUE)*F467*IF(AND(Inputs!$B$38&lt;&gt;"pvp",Inputs!$B$43&gt;0),(((R467-1)*MIN((Skills!T28*(1+Inputs!$B$34/100)),(1/Q467))+MIN((Skills!T28*(1+Inputs!$B$34/100)),MAX(0,Inputs!$B$43-((R467-1)*(1/Q467)))))/Inputs!$B$43),IF(Inputs!$B$38="pvp",MIN((Skills!T28*(1+Inputs!$B$34/100)),15)/15,MIN(1,(Skills!T28*(1+Inputs!$B$34/100))/(1/Q467)))))</f>
        <v/>
      </c>
    </row>
    <row r="472">
      <c r="A472" t="inlineStr">
        <is>
          <t>Actions Per Second</t>
        </is>
      </c>
      <c r="B472">
        <f>1+MIN(150,150*(1-(1-(Inputs!$B$11+((C459=TRUE)*(F459-Calc!F20))+((C460=TRUE)*(F460-Calc!F21)))/150)*(1-B471/150)))/100</f>
        <v/>
      </c>
    </row>
    <row r="473">
      <c r="A473" t="inlineStr">
        <is>
          <t>Skill + Buff Cast Rate</t>
        </is>
      </c>
      <c r="B473">
        <f>IF(AND(Inputs!$B$38&lt;&gt;"pvp",Inputs!$B$43&gt;0),SUMPRODUCT((Skills!E2:E28=TRUE)*(C441:C467=TRUE)*R441:R467*Skills!F2:F28)/Inputs!$B$43,SUMPRODUCT((Skills!E2:E28=TRUE)*(C441:C467=TRUE)*Q441:Q467*Skills!F2:F28))</f>
        <v/>
      </c>
    </row>
    <row r="474">
      <c r="A474" t="inlineStr">
        <is>
          <t>Eight-Legs Easton Casts Per Second</t>
        </is>
      </c>
      <c r="B474">
        <f>MAX(0,B472-B473)</f>
        <v/>
      </c>
    </row>
    <row r="475">
      <c r="A475" t="inlineStr">
        <is>
          <t>Global Critical Damage Bonus % (unused)</t>
        </is>
      </c>
      <c r="B475" t="n">
        <v>0</v>
      </c>
    </row>
    <row r="476">
      <c r="A476" t="inlineStr">
        <is>
          <t>Global Final Damage Bonus % (Jolly Roger + Ahoy Mateys - Final Damage proc)</t>
        </is>
      </c>
      <c r="B476">
        <f>((C457=TRUE)*F457*IF(AND(Inputs!$B$38&lt;&gt;"pvp",Inputs!$B$43&gt;0),(((R457-1)*MIN((Skills!T18*(1+Inputs!$B$34/100)),(1/Q457))+MIN((Skills!T18*(1+Inputs!$B$34/100)),MAX(0,Inputs!$B$43-((R457-1)*(1/Q457)))))/Inputs!$B$43),IF(Inputs!$B$38="pvp",MIN((Skills!T18*(1+Inputs!$B$34/100)),15)/15,MIN(1,(Skills!T18*(1+Inputs!$B$34/100))/(1/Q457)))))+IF(Inputs!$B$3&gt;=122,20*IF(Inputs!$B$38="pvp",MIN((20*(1+Inputs!$B$34/100)),15)/15,MIN(1,(20*(1+Inputs!$B$34/100))/(1/Q443))),0)</f>
        <v/>
      </c>
    </row>
    <row r="477">
      <c r="A477" t="inlineStr">
        <is>
          <t>Buff-Casting Startup Delay (s, fixed-duration only)</t>
        </is>
      </c>
      <c r="B477">
        <f>IF(AND(Inputs!$B$38&lt;&gt;"pvp",Inputs!$B$43&gt;0),SUMPRODUCT((Skills!T2:T28&gt;0)*(Skills!E2:E28=TRUE)*(C441:C467=TRUE))/B472,0)</f>
        <v/>
      </c>
    </row>
    <row r="478">
      <c r="A478" t="inlineStr">
        <is>
          <t>Boss-Only Total DPS (this block's swept value)</t>
        </is>
      </c>
      <c r="B478">
        <f>SUM(T441:T467)</f>
        <v/>
      </c>
    </row>
    <row r="479">
      <c r="A479" t="inlineStr">
        <is>
          <t>Normal-Only Total DPS (this block's swept value)</t>
        </is>
      </c>
      <c r="B479">
        <f>SUM(V441:V467)</f>
        <v/>
      </c>
    </row>
    <row r="480">
      <c r="A480" s="6" t="inlineStr">
        <is>
          <t>TOTAL DPS</t>
        </is>
      </c>
      <c r="B480" s="6">
        <f>SUM(O441:O467)</f>
        <v/>
      </c>
    </row>
    <row r="481">
      <c r="A481" t="inlineStr">
        <is>
          <t>Quickdraw cooldown divisor (this block's own APS / Q)</t>
        </is>
      </c>
      <c r="B481">
        <f>IF(AND(C466=TRUE,Inputs!$B$38&lt;&gt;"pvp"),1+0.25*MAX(0,(B472-(((C442=TRUE)*Q442*1)+((C443=TRUE)*Q443*1)+((C445=TRUE)*Q445*1)+((C446=TRUE)*Q446*1)+((C448=TRUE)*Q448*1)+((C451=TRUE)*Q451*1)+((C457=TRUE)*Q457*1)+((C467=TRUE)*Q467*1))-((C447=TRUE)/(IF(Inputs!$B$38="pvp",15,MAX(0.1,Skills!D8-IF(TRUE=TRUE,Inputs!$B$32,0)))*(1-IF(AND(ArtifactsInput!$M$27,Inputs!$B$4="Chapter Hunt"),CHOOSE(ArtifactsInput!$N$27+1,20,24,28,32,36,40),0)/100))+(C450=TRUE)/(IF(Inputs!$B$38="pvp",15,MAX(0.1,Skills!D11-IF(TRUE=TRUE,Inputs!$B$32,0)))*(1-IF(AND(ArtifactsInput!$M$27,Inputs!$B$4="Chapter Hunt"),CHOOSE(ArtifactsInput!$N$27+1,20,24,28,32,36,40),0)/100))))/(1+0.25*((C447=TRUE)/(IF(Inputs!$B$38="pvp",15,MAX(0.1,Skills!D8-IF(TRUE=TRUE,Inputs!$B$32,0)))*(1-IF(AND(ArtifactsInput!$M$27,Inputs!$B$4="Chapter Hunt"),CHOOSE(ArtifactsInput!$N$27+1,20,24,28,32,36,40),0)/100))+(C450=TRUE)/(IF(Inputs!$B$38="pvp",15,MAX(0.1,Skills!D11-IF(TRUE=TRUE,Inputs!$B$32,0)))*(1-IF(AND(ArtifactsInput!$M$27,Inputs!$B$4="Chapter Hunt"),CHOOSE(ArtifactsInput!$N$27+1,20,24,28,32,36,40),0)/100))))),1)</f>
        <v/>
      </c>
    </row>
    <row r="482">
      <c r="A482" t="inlineStr">
        <is>
          <t>Nautilus Strike - Final Attack trigger rate (this block's own Q/R)</t>
        </is>
      </c>
      <c r="B482">
        <f>IF(AND(Inputs!$B$38&lt;&gt;"pvp",Inputs!$B$43&gt;0),(((C442=TRUE)*R442)+((C445=TRUE)*R445)+((C447=TRUE)*R447)+((C448=TRUE)*R448)+((C450=TRUE)*R450))/Inputs!$B$43,((C442=TRUE)*Q442)+((C445=TRUE)*Q445)+((C447=TRUE)*Q447)+((C448=TRUE)*Q448)+((C450=TRUE)*Q450))+B474</f>
        <v/>
      </c>
    </row>
    <row r="485">
      <c r="A485" s="6" t="inlineStr">
        <is>
          <t>Stat: MAX_DAMAGE %</t>
        </is>
      </c>
    </row>
    <row r="486">
      <c r="A486" s="5" t="inlineStr">
        <is>
          <t>Key</t>
        </is>
      </c>
      <c r="B486" s="5" t="inlineStr">
        <is>
          <t>Name</t>
        </is>
      </c>
      <c r="C486" s="5" t="inlineStr">
        <is>
          <t>Unlocked</t>
        </is>
      </c>
      <c r="D486" s="5" t="inlineStr">
        <is>
          <t>InputLevel</t>
        </is>
      </c>
      <c r="E486" s="5" t="inlineStr">
        <is>
          <t>Factor</t>
        </is>
      </c>
      <c r="F486" s="5" t="inlineStr">
        <is>
          <t>CoefficientPercent</t>
        </is>
      </c>
      <c r="G486" s="5" t="inlineStr">
        <is>
          <t>EffectiveHits</t>
        </is>
      </c>
      <c r="H486" s="5" t="inlineStr">
        <is>
          <t>ProcProbability</t>
        </is>
      </c>
      <c r="I486" s="5" t="inlineStr">
        <is>
          <t>MapleHeroMultiplier</t>
        </is>
      </c>
      <c r="J486" s="5" t="inlineStr">
        <is>
          <t>BaseDamage</t>
        </is>
      </c>
      <c r="K486" s="5" t="inlineStr">
        <is>
          <t>BaseHitDamage</t>
        </is>
      </c>
      <c r="L486" s="5" t="inlineStr">
        <is>
          <t>NonCritAvg</t>
        </is>
      </c>
      <c r="M486" s="5" t="inlineStr">
        <is>
          <t>CritAvg</t>
        </is>
      </c>
      <c r="N486" s="5" t="inlineStr">
        <is>
          <t>ExpectedDamage(perHit)</t>
        </is>
      </c>
      <c r="O486" s="5" t="inlineStr">
        <is>
          <t>DPS</t>
        </is>
      </c>
      <c r="P486" s="5" t="inlineStr">
        <is>
          <t>% of Total</t>
        </is>
      </c>
      <c r="Q486" s="5" t="inlineStr">
        <is>
          <t>InvCooldown</t>
        </is>
      </c>
      <c r="R486" s="5" t="inlineStr">
        <is>
          <t>CastsInFight</t>
        </is>
      </c>
      <c r="S486" s="5" t="inlineStr">
        <is>
          <t>HitRate(perSec)</t>
        </is>
      </c>
      <c r="U486" t="inlineStr">
        <is>
          <t>helpers</t>
        </is>
      </c>
    </row>
    <row r="487">
      <c r="A487">
        <f>Skills!A2</f>
        <v/>
      </c>
      <c r="B487">
        <f>Skills!B2</f>
        <v/>
      </c>
      <c r="C487">
        <f>Inputs!$B$3&gt;=100</f>
        <v/>
      </c>
      <c r="D487" t="inlineStr"/>
      <c r="E487" t="inlineStr"/>
      <c r="F487">
        <f>U489+Skills!O2</f>
        <v/>
      </c>
      <c r="G487">
        <f>Skills!G2*IF(Skills!H2&gt;0,INT(IF(Inputs!$B$38="pvp",MIN(Skills!I2,15),Skills!I2)/Skills!H2+0.000000001),1)</f>
        <v/>
      </c>
      <c r="H487">
        <f>1-(1-Skills!J2/100)^Skills!K2</f>
        <v/>
      </c>
      <c r="I487" t="inlineStr">
        <is>
          <t>1</t>
        </is>
      </c>
      <c r="J487">
        <f>((Inputs!$B$6*(1+Inputs!$B$7/100))+(((Inputs!$B$12*(1+Inputs!$B$13/100))-(Inputs!$B$12*(1+Inputs!$B$13/100)))+0.25*(Inputs!$B$14-Inputs!$B$14))*(1+Inputs!$B$7/100))*(F487/100)</f>
        <v/>
      </c>
      <c r="K487">
        <f>J487*(1+((Inputs!$B$12*(1+Inputs!$B$13/100))*0.01+Inputs!$B$14*0.0025)/100)*(1+Inputs!$B$15/100)*(1+Inputs!$B$16/100)*(5000/(6000+Inputs!$B$42*(1-(100*(1-(1-(Inputs!$B$19+0)/100)*(1-CHOOSE(ArtifactsInput!$N$40+1,5,6,7,8,9,10)/100)^(ArtifactsInput!$M$40-ArtifactsInput!$M$40)))/100)))*(1+(Inputs!$B$24+((C511=TRUE)*(F511-Calc!F26))+B522)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IGHT_LEGS_EASTON",Inputs!$B$17+((C508=TRUE)*(F508-Calc!F23))+((C512=TRUE)*(F512-Calc!F27))+((IF(AND(Inputs!$B$38&lt;&gt;"pvp",Inputs!$B$43=0),1,IF(IF(Inputs!$B$38="pvp",15,Inputs!$B$43)-(B523)&lt;=0,1,MAX(0,IF(Inputs!$B$38="pvp",15,Inputs!$B$43)-MAX(5,B523))/(IF(Inputs!$B$38="pvp",15,Inputs!$B$43)-(B523))))*(IF(AND(ArtifactsInput!$M$42,((Inputs!$B$9+((C504=TRUE)*(F504-Calc!F19))+B516+(ArtifactsInput!$M$24-ArtifactsInput!$M$24)*CHOOSE(ArtifactsInput!$N$24+1,10,12,14,16,18,20)+IF(ArtifactsInput!$M$10,CHOOSE(ArtifactsInput!$N$10+1,15,18,21,24,27,30)*(IF(Inputs!$B$38="pvp",MIN(15,15)/15,IF(AND(Inputs!$B$38&lt;&gt;"pvp",Inputs!$B$43&gt;0),MIN(15,Inputs!$B$43)/(Inputs!$B$43),0))),0)))&gt;=100),MIN(100,((Inputs!$B$9+((C504=TRUE)*(F504-Calc!F19))+B516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523)&lt;=0,1,MAX(0,IF(Inputs!$B$38="pvp",15,Inputs!$B$43)-MAX(5,B523))/(IF(Inputs!$B$38="pvp",15,Inputs!$B$43)-(B523))))*IF(AND(ArtifactsInput!$M$42,((Inputs!$B$9+((C504=TRUE)*(F504-Calc!F19))+B516+(ArtifactsInput!$M$24-ArtifactsInput!$M$24)*CHOOSE(ArtifactsInput!$N$24+1,10,12,14,16,18,20)+IF(ArtifactsInput!$M$10,CHOOSE(ArtifactsInput!$N$10+1,15,18,21,24,27,30)*(IF(Inputs!$B$38="pvp",MIN(15,15)/15,IF(AND(Inputs!$B$38&lt;&gt;"pvp",Inputs!$B$43&gt;0),MIN(15,Inputs!$B$43)/(Inputs!$B$43),0))),0)))&gt;=100),CHOOSE(ArtifactsInput!$N$42+1,40,48,56,64,72,80),0))))/100)*((1+(((C502=TRUE)*F502*5/7)+((C509=TRUE)*(F509-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487)</f>
        <v/>
      </c>
      <c r="L487">
        <f>K487*(MIN(Inputs!$B$22+((C507=TRUE)*(F507-Calc!F22)),((Inputs!$B$23+1)+0+(IF(ArtifactsInput!$M$15,CHOOSE(ArtifactsInput!$N$15+1,25,30,35,40,45,50)/100*(Inputs!$B$11-Inputs!$B$11),0))))/100+((Inputs!$B$23+1)+0+(IF(ArtifactsInput!$M$15,CHOOSE(ArtifactsInput!$N$15+1,25,30,35,40,45,50)/100*(Inputs!$B$11-Inputs!$B$11),0)))/100)/2</f>
        <v/>
      </c>
      <c r="M487">
        <f>L487*(1+(Inputs!$B$10+((C510=TRUE)*(F510-Calc!F25))+B521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87">
        <f>L487*(1-MIN((Inputs!$B$9+((C504=TRUE)*(F504-Calc!F19))+B516+(ArtifactsInput!$M$24-ArtifactsInput!$M$24)*CHOOSE(ArtifactsInput!$N$24+1,10,12,14,16,18,20)+(IF(AND(Inputs!$B$38&lt;&gt;"pvp",Inputs!$B$43=0),1,IF(IF(Inputs!$B$38="pvp",15,Inputs!$B$43)-(B523)&lt;=0,1,MAX(0,IF(Inputs!$B$38="pvp",15,Inputs!$B$43)-MAX(5,B523))/(IF(Inputs!$B$38="pvp",15,Inputs!$B$43)-(B523))))*IF(AND(ArtifactsInput!$M$42,((Inputs!$B$9+((C504=TRUE)*(F504-Calc!F19))+B516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487*(MIN((Inputs!$B$9+((C504=TRUE)*(F504-Calc!F19))+B516+(ArtifactsInput!$M$24-ArtifactsInput!$M$24)*CHOOSE(ArtifactsInput!$N$24+1,10,12,14,16,18,20)+(IF(AND(Inputs!$B$38&lt;&gt;"pvp",Inputs!$B$43=0),1,IF(IF(Inputs!$B$38="pvp",15,Inputs!$B$43)-(B523)&lt;=0,1,MAX(0,IF(Inputs!$B$38="pvp",15,Inputs!$B$43)-MAX(5,B523))/(IF(Inputs!$B$38="pvp",15,Inputs!$B$43)-(B523))))*IF(AND(ArtifactsInput!$M$42,((Inputs!$B$9+((C504=TRUE)*(F504-Calc!F19))+B516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87">
        <f>(1-Summary!$B$11)*T487+Summary!$B$11*V487</f>
        <v/>
      </c>
      <c r="P487">
        <f>IF(B526=0,0,O487/B526)</f>
        <v/>
      </c>
      <c r="Q487" t="n">
        <v>0</v>
      </c>
      <c r="R487" t="n">
        <v>0</v>
      </c>
      <c r="S487">
        <f>IFERROR(O487/N487,0)</f>
        <v/>
      </c>
      <c r="T487">
        <f>IF(C487,(Skills!G2*N487*B520*(1+IF(C512=TRUE,1/3,0)))*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Hunt"),CHOOSE(ArtifactsInput!$N$35+1,15,18,21,24,27,30)*(1-EXP(-(0.2*B518)*5)),0)+IF(AND(ArtifactsInput!$M$22,Inputs!$B$4&lt;&gt;"Chapter Hunt"),CHOOSE(ArtifactsInput!$N$22+1,10,12,14,16,18,20)*((0*(((0.15*B518*5))^0/1)+1*(((0.15*B518*5))^1/1)+2*(((0.15*B518*5))^2/2)+3*(((0.15*B518*5))^3/6)+4*(((0.15*B518*5))^4/24)+5*(((0.15*B518*5))^5/120))/((((0.15*B518*5))^0/1)+(((0.15*B518*5))^1/1)+(((0.15*B518*5))^2/2)+(((0.15*B518*5))^3/6)+(((0.15*B518*5))^4/24)+(((0.15*B518*5))^5/120))),0))+IF(Inputs!$B$3&gt;=54,9*(C488=TRUE)*MIN(1,8*(1+Inputs!$B$34/100)*Q488)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487*(1-MIN(100,(Inputs!$B$9+((C504=TRUE)*(F504-Calc!F19))+B516+(ArtifactsInput!$M$24-ArtifactsInput!$M$24)*CHOOSE(ArtifactsInput!$N$24+1,10,12,14,16,18,20)+(IF(AND(Inputs!$B$38&lt;&gt;"pvp",Inputs!$B$43=0),1,IF(IF(Inputs!$B$38="pvp",15,Inputs!$B$43)-(B523)&lt;=0,1,MAX(0,IF(Inputs!$B$38="pvp",15,Inputs!$B$43)-MAX(5,B523))/(IF(Inputs!$B$38="pvp",15,Inputs!$B$43)-(B523))))*IF(AND(ArtifactsInput!$M$42,((Inputs!$B$9+((C504=TRUE)*(F504-Calc!F19))+B516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487*(MIN(100,(Inputs!$B$9+((C504=TRUE)*(F504-Calc!F19))+B516+(ArtifactsInput!$M$24-ArtifactsInput!$M$24)*CHOOSE(ArtifactsInput!$N$24+1,10,12,14,16,18,20)+(IF(AND(Inputs!$B$38&lt;&gt;"pvp",Inputs!$B$43=0),1,IF(IF(Inputs!$B$38="pvp",15,Inputs!$B$43)-(B523)&lt;=0,1,MAX(0,IF(Inputs!$B$38="pvp",15,Inputs!$B$43)-MAX(5,B523))/(IF(Inputs!$B$38="pvp",15,Inputs!$B$43)-(B523))))*IF(AND(ArtifactsInput!$M$42,((Inputs!$B$9+((C504=TRUE)*(F504-Calc!F19))+B516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487*(1-MIN(100,(Inputs!$B$9+((C504=TRUE)*(F504-Calc!F19))+B516+(ArtifactsInput!$M$24-ArtifactsInput!$M$24)*CHOOSE(ArtifactsInput!$N$24+1,10,12,14,16,18,20)+(IF(AND(Inputs!$B$38&lt;&gt;"pvp",Inputs!$B$43=0),1,IF(IF(Inputs!$B$38="pvp",15,Inputs!$B$43)-(B523)&lt;=0,1,MAX(0,IF(Inputs!$B$38="pvp",15,Inputs!$B$43)-MAX(5,B523))/(IF(Inputs!$B$38="pvp",15,Inputs!$B$43)-(B523))))*IF(AND(ArtifactsInput!$M$42,((Inputs!$B$9+((C504=TRUE)*(F504-Calc!F19))+B516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487*(MIN(100,(Inputs!$B$9+((C504=TRUE)*(F504-Calc!F19))+B516+(ArtifactsInput!$M$24-ArtifactsInput!$M$24)*CHOOSE(ArtifactsInput!$N$24+1,10,12,14,16,18,20)+(IF(AND(Inputs!$B$38&lt;&gt;"pvp",Inputs!$B$43=0),1,IF(IF(Inputs!$B$38="pvp",15,Inputs!$B$43)-(B523)&lt;=0,1,MAX(0,IF(Inputs!$B$38="pvp",15,Inputs!$B$43)-MAX(5,B523))/(IF(Inputs!$B$38="pvp",15,Inputs!$B$43)-(B523))))*IF(AND(ArtifactsInput!$M$42,((Inputs!$B$9+((C504=TRUE)*(F504-Calc!F19))+B516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487">
        <f>MAX(0,(Inputs!$B$3-100)*3)+Inputs!$B$28+Inputs!$B$29</f>
        <v/>
      </c>
      <c r="V487">
        <f>IF(C487,(Skills!G2*N487*B520*(1+IF(C512=TRUE,1/3,0)))*IF(Inputs!$B$38="pvp",1,(1+(Inputs!$B$21+Skills!Q2+(IF(ArtifactsInput!$M$33,CHOOSE(ArtifactsInput!$N$33+1,30,36,42,48,54,60),0))+(IF(AND(ArtifactsInput!$M$35,Inputs!$B$4&lt;&gt;"Chapter Hunt"),CHOOSE(ArtifactsInput!$N$35+1,15,18,21,24,27,30)*(1-EXP(-(0.2*B518)*5)),0)+IF(AND(ArtifactsInput!$M$22,Inputs!$B$4&lt;&gt;"Chapter Hunt"),CHOOSE(ArtifactsInput!$N$22+1,10,12,14,16,18,20)*((0*(((0.15*B518*5))^0/1)+1*(((0.15*B518*5))^1/1)+2*(((0.15*B518*5))^2/2)+3*(((0.15*B518*5))^3/6)+4*(((0.15*B518*5))^4/24)+5*(((0.15*B518*5))^5/120))/((((0.15*B518*5))^0/1)+(((0.15*B518*5))^1/1)+(((0.15*B518*5))^2/2)+(((0.15*B518*5))^3/6)+(((0.15*B518*5))^4/24)+(((0.15*B518*5))^5/120))),0))+IF(Inputs!$B$3&gt;=54,9*(C488=TRUE)*MIN(1,8*(1+Inputs!$B$34/100)*Q488),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88">
      <c r="A488">
        <f>Skills!A3</f>
        <v/>
      </c>
      <c r="B488">
        <f>Skills!B3</f>
        <v/>
      </c>
      <c r="C488">
        <f>Inputs!$B$3&gt;=33</f>
        <v/>
      </c>
      <c r="D488">
        <f>IF(Skills!C3=1,60+Inputs!$B$25+Inputs!$B$29,IF(Skills!C3=2,90+Inputs!$B$26+Inputs!$B$29,IF(Skills!C3=3,120+Inputs!$B$27+Inputs!$B$29,MAX(0,(Inputs!$B$3-100)*3)+Inputs!$B$28+Inputs!$B$29)))</f>
        <v/>
      </c>
      <c r="E488">
        <f>INDEX(FactorTable!$B$2:$Y$301, MATCH(ROUND(MIN(300,MAX(1,D488)),0), FactorTable!$A$2:$A$301,0), Skills!M3+1)</f>
        <v/>
      </c>
      <c r="F488">
        <f>IF(Skills!N3=TRUE,(Skills!L3/10)*(E488/1000),Skills!L3/10)+Skills!O3</f>
        <v/>
      </c>
      <c r="G488">
        <f>Skills!G3*IF(Skills!H3&gt;0,INT(IF(Inputs!$B$38="pvp",MIN(Skills!I3,15),Skills!I3)/Skills!H3+0.000000001),1)</f>
        <v/>
      </c>
      <c r="H488">
        <f>1-(1-Skills!J3/100)^Skills!K3</f>
        <v/>
      </c>
      <c r="I488" t="inlineStr">
        <is>
          <t>1</t>
        </is>
      </c>
      <c r="J488">
        <f>((Inputs!$B$6*(1+Inputs!$B$7/100))+(((Inputs!$B$12*(1+Inputs!$B$13/100))-(Inputs!$B$12*(1+Inputs!$B$13/100)))+0.25*(Inputs!$B$14-Inputs!$B$14))*(1+Inputs!$B$7/100))*(F488/100)</f>
        <v/>
      </c>
      <c r="K488">
        <f>J488*(1+((Inputs!$B$12*(1+Inputs!$B$13/100))*0.01+Inputs!$B$14*0.0025)/100)*(1+Inputs!$B$15/100)*(1+Inputs!$B$16/100)*(5000/(6000+Inputs!$B$42*(1-(100*(1-(1-(Inputs!$B$19+0)/100)*(1-CHOOSE(ArtifactsInput!$N$40+1,5,6,7,8,9,10)/100)^(ArtifactsInput!$M$40-ArtifactsInput!$M$40)))/100)))*(1+(Inputs!$B$24+((C511=TRUE)*(F511-Calc!F26))+B522)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500=TRUE,F500,0)/100)*(1+(IF(Skills!A3="EIGHT_LEGS_EASTON",Inputs!$B$17+((C508=TRUE)*(F508-Calc!F23))+((C512=TRUE)*(F512-Calc!F27))+((IF(AND(Inputs!$B$38&lt;&gt;"pvp",Inputs!$B$43=0),1,IF(IF(Inputs!$B$38="pvp",15,Inputs!$B$43)-(B523)&lt;=0,1,MAX(0,IF(Inputs!$B$38="pvp",15,Inputs!$B$43)-MAX(5,B523))/(IF(Inputs!$B$38="pvp",15,Inputs!$B$43)-(B523))))*(IF(AND(ArtifactsInput!$M$42,((Inputs!$B$9+((C504=TRUE)*(F504-Calc!F19))+B516+(ArtifactsInput!$M$24-ArtifactsInput!$M$24)*CHOOSE(ArtifactsInput!$N$24+1,10,12,14,16,18,20)+IF(ArtifactsInput!$M$10,CHOOSE(ArtifactsInput!$N$10+1,15,18,21,24,27,30)*(IF(Inputs!$B$38="pvp",MIN(15,15)/15,IF(AND(Inputs!$B$38&lt;&gt;"pvp",Inputs!$B$43&gt;0),MIN(15,Inputs!$B$43)/(Inputs!$B$43),0))),0)))&gt;=100),MIN(100,((Inputs!$B$9+((C504=TRUE)*(F504-Calc!F19))+B516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523)&lt;=0,1,MAX(0,IF(Inputs!$B$38="pvp",15,Inputs!$B$43)-MAX(5,B523))/(IF(Inputs!$B$38="pvp",15,Inputs!$B$43)-(B523))))*IF(AND(ArtifactsInput!$M$42,((Inputs!$B$9+((C504=TRUE)*(F504-Calc!F19))+B516+(ArtifactsInput!$M$24-ArtifactsInput!$M$24)*CHOOSE(ArtifactsInput!$N$24+1,10,12,14,16,18,20)+IF(ArtifactsInput!$M$10,CHOOSE(ArtifactsInput!$N$10+1,15,18,21,24,27,30)*(IF(Inputs!$B$38="pvp",MIN(15,15)/15,IF(AND(Inputs!$B$38&lt;&gt;"pvp",Inputs!$B$43&gt;0),MIN(15,Inputs!$B$43)/(Inputs!$B$43),0))),0)))&gt;=100),CHOOSE(ArtifactsInput!$N$42+1,40,48,56,64,72,80),0))))/100)*((1+(((C502=TRUE)*F502*5/7)+((C509=TRUE)*(F509-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488)</f>
        <v/>
      </c>
      <c r="L488">
        <f>K488*(MIN(Inputs!$B$22+((C507=TRUE)*(F507-Calc!F22)),((Inputs!$B$23+1)+0+(IF(ArtifactsInput!$M$15,CHOOSE(ArtifactsInput!$N$15+1,25,30,35,40,45,50)/100*(Inputs!$B$11-Inputs!$B$11),0))))/100+((Inputs!$B$23+1)+0+(IF(ArtifactsInput!$M$15,CHOOSE(ArtifactsInput!$N$15+1,25,30,35,40,45,50)/100*(Inputs!$B$11-Inputs!$B$11),0)))/100)/2</f>
        <v/>
      </c>
      <c r="M488">
        <f>L488*(1+(Inputs!$B$10+((C510=TRUE)*(F510-Calc!F25))+B521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88">
        <f>L488*(1-MIN((Inputs!$B$9+((C504=TRUE)*(F504-Calc!F19))+B516+(ArtifactsInput!$M$24-ArtifactsInput!$M$24)*CHOOSE(ArtifactsInput!$N$24+1,10,12,14,16,18,20)+(IF(AND(Inputs!$B$38&lt;&gt;"pvp",Inputs!$B$43=0),1,IF(IF(Inputs!$B$38="pvp",15,Inputs!$B$43)-(B523)&lt;=0,1,MAX(0,IF(Inputs!$B$38="pvp",15,Inputs!$B$43)-MAX(5,B523))/(IF(Inputs!$B$38="pvp",15,Inputs!$B$43)-(B523))))*IF(AND(ArtifactsInput!$M$42,((Inputs!$B$9+((C504=TRUE)*(F504-Calc!F19))+B516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488*(MIN((Inputs!$B$9+((C504=TRUE)*(F504-Calc!F19))+B516+(ArtifactsInput!$M$24-ArtifactsInput!$M$24)*CHOOSE(ArtifactsInput!$N$24+1,10,12,14,16,18,20)+(IF(AND(Inputs!$B$38&lt;&gt;"pvp",Inputs!$B$43=0),1,IF(IF(Inputs!$B$38="pvp",15,Inputs!$B$43)-(B523)&lt;=0,1,MAX(0,IF(Inputs!$B$38="pvp",15,Inputs!$B$43)-MAX(5,B523))/(IF(Inputs!$B$38="pvp",15,Inputs!$B$43)-(B523))))*IF(AND(ArtifactsInput!$M$42,((Inputs!$B$9+((C504=TRUE)*(F504-Calc!F19))+B516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88">
        <f>(1-Summary!$B$11)*T488+Summary!$B$11*V488</f>
        <v/>
      </c>
      <c r="P488">
        <f>IF(B526=0,0,O488/B526)</f>
        <v/>
      </c>
      <c r="Q488">
        <f>IFERROR(1/(IF(Inputs!$B$38="pvp",15,MAX(0.1,Skills!D3-IF(TRUE=TRUE,Inputs!$B$32,0)))*(1-IF(AND(ArtifactsInput!$M$27,Inputs!$B$4="Chapter Hunt"),CHOOSE(ArtifactsInput!$N$27+1,20,24,28,32,36,40),0)/100)),0)</f>
        <v/>
      </c>
      <c r="R488">
        <f>IF(AND(Inputs!$B$38&lt;&gt;"pvp",Inputs!$B$43&gt;0),IF(MAX(0,Inputs!$B$43-B523)&lt;=0,0,(INT(MAX(0,Inputs!$B$43-B523)/(IF(Inputs!$B$38="pvp",15,MAX(0.1,Skills!D3-IF(TRUE=TRUE,Inputs!$B$32,0)))*(1-IF(AND(ArtifactsInput!$M$27,Inputs!$B$4="Chapter Hunt"),CHOOSE(ArtifactsInput!$N$27+1,20,24,28,32,36,40),0)/100)))+1)),0)</f>
        <v/>
      </c>
      <c r="S488">
        <f>IFERROR(O488/N488,0)</f>
        <v/>
      </c>
      <c r="T488">
        <f>IF(C488,(H488*N488*IF(AND(Inputs!$B$38&lt;&gt;"pvp",Inputs!$B$43&gt;0),((Skills!G3*((R488-1)*IF(Skills!H3&gt;0,INT(Skills!I3/Skills!H3+0.000000001),1)+IF(Skills!H3&gt;0,INT(MIN(Skills!I3,MAX(0,MAX(0,Inputs!$B$43-B523)-((R488-1)*(IF(Inputs!$B$38="pvp",15,MAX(0.1,Skills!D3-IF(TRUE=TRUE,Inputs!$B$32,0)))*(1-IF(AND(ArtifactsInput!$M$27,Inputs!$B$4="Chapter Hunt"),CHOOSE(ArtifactsInput!$N$27+1,20,24,28,32,36,40),0)/100)))))/Skills!H3+0.000000001),1)))/Inputs!$B$43),G488*Q488))*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Hunt"),CHOOSE(ArtifactsInput!$N$35+1,15,18,21,24,27,30)*(1-EXP(-(0.2*B518)*5)),0)+IF(AND(ArtifactsInput!$M$22,Inputs!$B$4&lt;&gt;"Chapter Hunt"),CHOOSE(ArtifactsInput!$N$22+1,10,12,14,16,18,20)*((0*(((0.15*B518*5))^0/1)+1*(((0.15*B518*5))^1/1)+2*(((0.15*B518*5))^2/2)+3*(((0.15*B518*5))^3/6)+4*(((0.15*B518*5))^4/24)+5*(((0.15*B518*5))^5/120))/((((0.15*B518*5))^0/1)+(((0.15*B518*5))^1/1)+(((0.15*B518*5))^2/2)+(((0.15*B518*5))^3/6)+(((0.15*B518*5))^4/24)+(((0.15*B518*5))^5/120))),0))+IF(Inputs!$B$3&gt;=54,9*(C488=TRUE)*MIN(1,8*(1+Inputs!$B$34/100)*Q488)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488*(1-MIN(100,(Inputs!$B$9+((C504=TRUE)*(F504-Calc!F19))+B516+(ArtifactsInput!$M$24-ArtifactsInput!$M$24)*CHOOSE(ArtifactsInput!$N$24+1,10,12,14,16,18,20)+(IF(AND(Inputs!$B$38&lt;&gt;"pvp",Inputs!$B$43=0),1,IF(IF(Inputs!$B$38="pvp",15,Inputs!$B$43)-(B523)&lt;=0,1,MAX(0,IF(Inputs!$B$38="pvp",15,Inputs!$B$43)-MAX(5,B523))/(IF(Inputs!$B$38="pvp",15,Inputs!$B$43)-(B523))))*IF(AND(ArtifactsInput!$M$42,((Inputs!$B$9+((C504=TRUE)*(F504-Calc!F19))+B516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488*(MIN(100,(Inputs!$B$9+((C504=TRUE)*(F504-Calc!F19))+B516+(ArtifactsInput!$M$24-ArtifactsInput!$M$24)*CHOOSE(ArtifactsInput!$N$24+1,10,12,14,16,18,20)+(IF(AND(Inputs!$B$38&lt;&gt;"pvp",Inputs!$B$43=0),1,IF(IF(Inputs!$B$38="pvp",15,Inputs!$B$43)-(B523)&lt;=0,1,MAX(0,IF(Inputs!$B$38="pvp",15,Inputs!$B$43)-MAX(5,B523))/(IF(Inputs!$B$38="pvp",15,Inputs!$B$43)-(B523))))*IF(AND(ArtifactsInput!$M$42,((Inputs!$B$9+((C504=TRUE)*(F504-Calc!F19))+B516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488*(1-MIN(100,(Inputs!$B$9+((C504=TRUE)*(F504-Calc!F19))+B516+(ArtifactsInput!$M$24-ArtifactsInput!$M$24)*CHOOSE(ArtifactsInput!$N$24+1,10,12,14,16,18,20)+(IF(AND(Inputs!$B$38&lt;&gt;"pvp",Inputs!$B$43=0),1,IF(IF(Inputs!$B$38="pvp",15,Inputs!$B$43)-(B523)&lt;=0,1,MAX(0,IF(Inputs!$B$38="pvp",15,Inputs!$B$43)-MAX(5,B523))/(IF(Inputs!$B$38="pvp",15,Inputs!$B$43)-(B523))))*IF(AND(ArtifactsInput!$M$42,((Inputs!$B$9+((C504=TRUE)*(F504-Calc!F19))+B516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488*(MIN(100,(Inputs!$B$9+((C504=TRUE)*(F504-Calc!F19))+B516+(ArtifactsInput!$M$24-ArtifactsInput!$M$24)*CHOOSE(ArtifactsInput!$N$24+1,10,12,14,16,18,20)+(IF(AND(Inputs!$B$38&lt;&gt;"pvp",Inputs!$B$43=0),1,IF(IF(Inputs!$B$38="pvp",15,Inputs!$B$43)-(B523)&lt;=0,1,MAX(0,IF(Inputs!$B$38="pvp",15,Inputs!$B$43)-MAX(5,B523))/(IF(Inputs!$B$38="pvp",15,Inputs!$B$43)-(B523))))*IF(AND(ArtifactsInput!$M$42,((Inputs!$B$9+((C504=TRUE)*(F504-Calc!F19))+B516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488">
        <f>INDEX(FactorTable!$B$2:$Y$301, MATCH(ROUND(MIN(300,MAX(1,U487)),0), FactorTable!$A$2:$A$301,0), 22)</f>
        <v/>
      </c>
      <c r="V488">
        <f>IF(C488,(H488*N488*IF(AND(Inputs!$B$38&lt;&gt;"pvp",Inputs!$B$43&gt;0),((Skills!G3*((R488-1)*IF(Skills!H3&gt;0,INT(Skills!I3/Skills!H3+0.000000001),1)+IF(Skills!H3&gt;0,INT(MIN(Skills!I3,MAX(0,MAX(0,Inputs!$B$43-B523)-((R488-1)*(IF(Inputs!$B$38="pvp",15,MAX(0.1,Skills!D3-IF(TRUE=TRUE,Inputs!$B$32,0)))*(1-IF(AND(ArtifactsInput!$M$27,Inputs!$B$4="Chapter Hunt"),CHOOSE(ArtifactsInput!$N$27+1,20,24,28,32,36,40),0)/100)))))/Skills!H3+0.000000001),1)))/Inputs!$B$43),G488*Q488))*IF(Inputs!$B$38="pvp",1,(1+(Inputs!$B$21+Skills!Q3+(IF(ArtifactsInput!$M$33,CHOOSE(ArtifactsInput!$N$33+1,30,36,42,48,54,60),0))+(IF(AND(ArtifactsInput!$M$35,Inputs!$B$4&lt;&gt;"Chapter Hunt"),CHOOSE(ArtifactsInput!$N$35+1,15,18,21,24,27,30)*(1-EXP(-(0.2*B518)*5)),0)+IF(AND(ArtifactsInput!$M$22,Inputs!$B$4&lt;&gt;"Chapter Hunt"),CHOOSE(ArtifactsInput!$N$22+1,10,12,14,16,18,20)*((0*(((0.15*B518*5))^0/1)+1*(((0.15*B518*5))^1/1)+2*(((0.15*B518*5))^2/2)+3*(((0.15*B518*5))^3/6)+4*(((0.15*B518*5))^4/24)+5*(((0.15*B518*5))^5/120))/((((0.15*B518*5))^0/1)+(((0.15*B518*5))^1/1)+(((0.15*B518*5))^2/2)+(((0.15*B518*5))^3/6)+(((0.15*B518*5))^4/24)+(((0.15*B518*5))^5/120))),0))+IF(Inputs!$B$3&gt;=54,9*(C488=TRUE)*MIN(1,8*(1+Inputs!$B$34/100)*Q488),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89">
      <c r="A489">
        <f>Skills!A4</f>
        <v/>
      </c>
      <c r="B489">
        <f>Skills!B4</f>
        <v/>
      </c>
      <c r="C489">
        <f>Inputs!$B$3&gt;=35</f>
        <v/>
      </c>
      <c r="D489">
        <f>IF(Skills!C4=1,60+Inputs!$B$25+Inputs!$B$29,IF(Skills!C4=2,90+Inputs!$B$26+Inputs!$B$29,IF(Skills!C4=3,120+Inputs!$B$27+Inputs!$B$29,MAX(0,(Inputs!$B$3-100)*3)+Inputs!$B$28+Inputs!$B$29)))</f>
        <v/>
      </c>
      <c r="E489">
        <f>INDEX(FactorTable!$B$2:$Y$301, MATCH(ROUND(MIN(300,MAX(1,D489)),0), FactorTable!$A$2:$A$301,0), Skills!M4+1)</f>
        <v/>
      </c>
      <c r="F489">
        <f>IF(Skills!N4=TRUE,(Skills!L4/10)*(E489/1000),Skills!L4/10)+Skills!O4</f>
        <v/>
      </c>
      <c r="G489">
        <f>Skills!G4*IF(Skills!H4&gt;0,INT(IF(Inputs!$B$38="pvp",MIN(IF(Inputs!$B$3&gt;=104,MIN(35,20*(1+Inputs!$B$34/100)),20),15),IF(Inputs!$B$3&gt;=104,MIN(35,20*(1+Inputs!$B$34/100)),20))/Skills!H4+0.000000001),1)</f>
        <v/>
      </c>
      <c r="H489">
        <f>1-(1-Skills!J4/100)^Skills!K4</f>
        <v/>
      </c>
      <c r="I489" t="inlineStr">
        <is>
          <t>1</t>
        </is>
      </c>
      <c r="J489">
        <f>((Inputs!$B$6*(1+Inputs!$B$7/100))+(((Inputs!$B$12*(1+Inputs!$B$13/100))-(Inputs!$B$12*(1+Inputs!$B$13/100)))+0.25*(Inputs!$B$14-Inputs!$B$14))*(1+Inputs!$B$7/100))*(F489/100)</f>
        <v/>
      </c>
      <c r="K489">
        <f>J489*(1+((Inputs!$B$12*(1+Inputs!$B$13/100))*0.01+Inputs!$B$14*0.0025)/100)*(1+Inputs!$B$15/100)*(1+Inputs!$B$16/100)*(5000/(6000+Inputs!$B$42*(1-(100*(1-(1-(Inputs!$B$19+0)/100)*(1-CHOOSE(ArtifactsInput!$N$40+1,5,6,7,8,9,10)/100)^(ArtifactsInput!$M$40-ArtifactsInput!$M$40)))/100)))*(1+(Inputs!$B$24+((C511=TRUE)*(F511-Calc!F26))+B522)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501=TRUE,F501,0)/100)*(1+(IF(Skills!A4="EIGHT_LEGS_EASTON",Inputs!$B$17+((C508=TRUE)*(F508-Calc!F23))+((C512=TRUE)*(F512-Calc!F27))+((IF(AND(Inputs!$B$38&lt;&gt;"pvp",Inputs!$B$43=0),1,IF(IF(Inputs!$B$38="pvp",15,Inputs!$B$43)-(B523)&lt;=0,1,MAX(0,IF(Inputs!$B$38="pvp",15,Inputs!$B$43)-MAX(5,B523))/(IF(Inputs!$B$38="pvp",15,Inputs!$B$43)-(B523))))*(IF(AND(ArtifactsInput!$M$42,((Inputs!$B$9+((C504=TRUE)*(F504-Calc!F19))+B516+(ArtifactsInput!$M$24-ArtifactsInput!$M$24)*CHOOSE(ArtifactsInput!$N$24+1,10,12,14,16,18,20)+IF(ArtifactsInput!$M$10,CHOOSE(ArtifactsInput!$N$10+1,15,18,21,24,27,30)*(IF(Inputs!$B$38="pvp",MIN(15,15)/15,IF(AND(Inputs!$B$38&lt;&gt;"pvp",Inputs!$B$43&gt;0),MIN(15,Inputs!$B$43)/(Inputs!$B$43),0))),0)))&gt;=100),MIN(100,((Inputs!$B$9+((C504=TRUE)*(F504-Calc!F19))+B516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523)&lt;=0,1,MAX(0,IF(Inputs!$B$38="pvp",15,Inputs!$B$43)-MAX(5,B523))/(IF(Inputs!$B$38="pvp",15,Inputs!$B$43)-(B523))))*IF(AND(ArtifactsInput!$M$42,((Inputs!$B$9+((C504=TRUE)*(F504-Calc!F19))+B516+(ArtifactsInput!$M$24-ArtifactsInput!$M$24)*CHOOSE(ArtifactsInput!$N$24+1,10,12,14,16,18,20)+IF(ArtifactsInput!$M$10,CHOOSE(ArtifactsInput!$N$10+1,15,18,21,24,27,30)*(IF(Inputs!$B$38="pvp",MIN(15,15)/15,IF(AND(Inputs!$B$38&lt;&gt;"pvp",Inputs!$B$43&gt;0),MIN(15,Inputs!$B$43)/(Inputs!$B$43),0))),0)))&gt;=100),CHOOSE(ArtifactsInput!$N$42+1,40,48,56,64,72,80),0))))/100)*((1+(((C502=TRUE)*F502*5/7)+((C509=TRUE)*(F509-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489)</f>
        <v/>
      </c>
      <c r="L489">
        <f>K489*(MIN(Inputs!$B$22+((C507=TRUE)*(F507-Calc!F22)),((Inputs!$B$23+1)+0+(IF(ArtifactsInput!$M$15,CHOOSE(ArtifactsInput!$N$15+1,25,30,35,40,45,50)/100*(Inputs!$B$11-Inputs!$B$11),0))))/100+((Inputs!$B$23+1)+0+(IF(ArtifactsInput!$M$15,CHOOSE(ArtifactsInput!$N$15+1,25,30,35,40,45,50)/100*(Inputs!$B$11-Inputs!$B$11),0)))/100)/2</f>
        <v/>
      </c>
      <c r="M489">
        <f>L489*(1+(Inputs!$B$10+((C510=TRUE)*(F510-Calc!F25))+B521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89">
        <f>L489*(1-MIN((Inputs!$B$9+((C504=TRUE)*(F504-Calc!F19))+B516+(ArtifactsInput!$M$24-ArtifactsInput!$M$24)*CHOOSE(ArtifactsInput!$N$24+1,10,12,14,16,18,20)+(IF(AND(Inputs!$B$38&lt;&gt;"pvp",Inputs!$B$43=0),1,IF(IF(Inputs!$B$38="pvp",15,Inputs!$B$43)-(B523)&lt;=0,1,MAX(0,IF(Inputs!$B$38="pvp",15,Inputs!$B$43)-MAX(5,B523))/(IF(Inputs!$B$38="pvp",15,Inputs!$B$43)-(B523))))*IF(AND(ArtifactsInput!$M$42,((Inputs!$B$9+((C504=TRUE)*(F504-Calc!F19))+B516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489*(MIN((Inputs!$B$9+((C504=TRUE)*(F504-Calc!F19))+B516+(ArtifactsInput!$M$24-ArtifactsInput!$M$24)*CHOOSE(ArtifactsInput!$N$24+1,10,12,14,16,18,20)+(IF(AND(Inputs!$B$38&lt;&gt;"pvp",Inputs!$B$43=0),1,IF(IF(Inputs!$B$38="pvp",15,Inputs!$B$43)-(B523)&lt;=0,1,MAX(0,IF(Inputs!$B$38="pvp",15,Inputs!$B$43)-MAX(5,B523))/(IF(Inputs!$B$38="pvp",15,Inputs!$B$43)-(B523))))*IF(AND(ArtifactsInput!$M$42,((Inputs!$B$9+((C504=TRUE)*(F504-Calc!F19))+B516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89">
        <f>(1-Summary!$B$11)*T489+Summary!$B$11*V489</f>
        <v/>
      </c>
      <c r="P489">
        <f>IF(B526=0,0,O489/B526)</f>
        <v/>
      </c>
      <c r="Q489">
        <f>IFERROR(1/(IF(Inputs!$B$38="pvp",15,MAX(0.1,Skills!D4-IF(TRUE=TRUE,Inputs!$B$32,0)))*(1-IF(AND(ArtifactsInput!$M$27,Inputs!$B$4="Chapter Hunt"),CHOOSE(ArtifactsInput!$N$27+1,20,24,28,32,36,40),0)/100)),0)</f>
        <v/>
      </c>
      <c r="R489">
        <f>IF(AND(Inputs!$B$38&lt;&gt;"pvp",Inputs!$B$43&gt;0),IF(MAX(0,Inputs!$B$43-B523)&lt;=0,0,(INT(MAX(0,Inputs!$B$43-B523)/(IF(Inputs!$B$38="pvp",15,MAX(0.1,Skills!D4-IF(TRUE=TRUE,Inputs!$B$32,0)))*(1-IF(AND(ArtifactsInput!$M$27,Inputs!$B$4="Chapter Hunt"),CHOOSE(ArtifactsInput!$N$27+1,20,24,28,32,36,40),0)/100)))+1)),0)</f>
        <v/>
      </c>
      <c r="S489">
        <f>IFERROR(O489/N489,0)</f>
        <v/>
      </c>
      <c r="T489">
        <f>IF(C489,(H489*N489*IF(AND(Inputs!$B$38&lt;&gt;"pvp",Inputs!$B$43&gt;0),((Skills!G4*((R489-1)*IF(Skills!H4&gt;0,INT(IF(Inputs!$B$3&gt;=104,MIN(35,20*(1+Inputs!$B$34/100)),20)/Skills!H4+0.000000001),1)+IF(Skills!H4&gt;0,INT(MIN(IF(Inputs!$B$3&gt;=104,MIN(35,20*(1+Inputs!$B$34/100)),20),MAX(0,MAX(0,Inputs!$B$43-B523)-((R489-1)*(IF(Inputs!$B$38="pvp",15,MAX(0.1,Skills!D4-IF(TRUE=TRUE,Inputs!$B$32,0)))*(1-IF(AND(ArtifactsInput!$M$27,Inputs!$B$4="Chapter Hunt"),CHOOSE(ArtifactsInput!$N$27+1,20,24,28,32,36,40),0)/100)))))/Skills!H4+0.000000001),1)))/Inputs!$B$43),G489*Q489))*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Hunt"),CHOOSE(ArtifactsInput!$N$35+1,15,18,21,24,27,30)*(1-EXP(-(0.2*B518)*5)),0)+IF(AND(ArtifactsInput!$M$22,Inputs!$B$4&lt;&gt;"Chapter Hunt"),CHOOSE(ArtifactsInput!$N$22+1,10,12,14,16,18,20)*((0*(((0.15*B518*5))^0/1)+1*(((0.15*B518*5))^1/1)+2*(((0.15*B518*5))^2/2)+3*(((0.15*B518*5))^3/6)+4*(((0.15*B518*5))^4/24)+5*(((0.15*B518*5))^5/120))/((((0.15*B518*5))^0/1)+(((0.15*B518*5))^1/1)+(((0.15*B518*5))^2/2)+(((0.15*B518*5))^3/6)+(((0.15*B518*5))^4/24)+(((0.15*B518*5))^5/120))),0))+IF(Inputs!$B$3&gt;=54,9*(C488=TRUE)*MIN(1,8*(1+Inputs!$B$34/100)*Q488)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489*(1-MIN(100,(Inputs!$B$9+((C504=TRUE)*(F504-Calc!F19))+B516+(ArtifactsInput!$M$24-ArtifactsInput!$M$24)*CHOOSE(ArtifactsInput!$N$24+1,10,12,14,16,18,20)+(IF(AND(Inputs!$B$38&lt;&gt;"pvp",Inputs!$B$43=0),1,IF(IF(Inputs!$B$38="pvp",15,Inputs!$B$43)-(B523)&lt;=0,1,MAX(0,IF(Inputs!$B$38="pvp",15,Inputs!$B$43)-MAX(5,B523))/(IF(Inputs!$B$38="pvp",15,Inputs!$B$43)-(B523))))*IF(AND(ArtifactsInput!$M$42,((Inputs!$B$9+((C504=TRUE)*(F504-Calc!F19))+B516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489*(MIN(100,(Inputs!$B$9+((C504=TRUE)*(F504-Calc!F19))+B516+(ArtifactsInput!$M$24-ArtifactsInput!$M$24)*CHOOSE(ArtifactsInput!$N$24+1,10,12,14,16,18,20)+(IF(AND(Inputs!$B$38&lt;&gt;"pvp",Inputs!$B$43=0),1,IF(IF(Inputs!$B$38="pvp",15,Inputs!$B$43)-(B523)&lt;=0,1,MAX(0,IF(Inputs!$B$38="pvp",15,Inputs!$B$43)-MAX(5,B523))/(IF(Inputs!$B$38="pvp",15,Inputs!$B$43)-(B523))))*IF(AND(ArtifactsInput!$M$42,((Inputs!$B$9+((C504=TRUE)*(F504-Calc!F19))+B516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489*(1-MIN(100,(Inputs!$B$9+((C504=TRUE)*(F504-Calc!F19))+B516+(ArtifactsInput!$M$24-ArtifactsInput!$M$24)*CHOOSE(ArtifactsInput!$N$24+1,10,12,14,16,18,20)+(IF(AND(Inputs!$B$38&lt;&gt;"pvp",Inputs!$B$43=0),1,IF(IF(Inputs!$B$38="pvp",15,Inputs!$B$43)-(B523)&lt;=0,1,MAX(0,IF(Inputs!$B$38="pvp",15,Inputs!$B$43)-MAX(5,B523))/(IF(Inputs!$B$38="pvp",15,Inputs!$B$43)-(B523))))*IF(AND(ArtifactsInput!$M$42,((Inputs!$B$9+((C504=TRUE)*(F504-Calc!F19))+B516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489*(MIN(100,(Inputs!$B$9+((C504=TRUE)*(F504-Calc!F19))+B516+(ArtifactsInput!$M$24-ArtifactsInput!$M$24)*CHOOSE(ArtifactsInput!$N$24+1,10,12,14,16,18,20)+(IF(AND(Inputs!$B$38&lt;&gt;"pvp",Inputs!$B$43=0),1,IF(IF(Inputs!$B$38="pvp",15,Inputs!$B$43)-(B523)&lt;=0,1,MAX(0,IF(Inputs!$B$38="pvp",15,Inputs!$B$43)-MAX(5,B523))/(IF(Inputs!$B$38="pvp",15,Inputs!$B$43)-(B523))))*IF(AND(ArtifactsInput!$M$42,((Inputs!$B$9+((C504=TRUE)*(F504-Calc!F19))+B516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489">
        <f>290*U488/1000</f>
        <v/>
      </c>
      <c r="V489">
        <f>IF(C489,(H489*N489*IF(AND(Inputs!$B$38&lt;&gt;"pvp",Inputs!$B$43&gt;0),((Skills!G4*((R489-1)*IF(Skills!H4&gt;0,INT(IF(Inputs!$B$3&gt;=104,MIN(35,20*(1+Inputs!$B$34/100)),20)/Skills!H4+0.000000001),1)+IF(Skills!H4&gt;0,INT(MIN(IF(Inputs!$B$3&gt;=104,MIN(35,20*(1+Inputs!$B$34/100)),20),MAX(0,MAX(0,Inputs!$B$43-B523)-((R489-1)*(IF(Inputs!$B$38="pvp",15,MAX(0.1,Skills!D4-IF(TRUE=TRUE,Inputs!$B$32,0)))*(1-IF(AND(ArtifactsInput!$M$27,Inputs!$B$4="Chapter Hunt"),CHOOSE(ArtifactsInput!$N$27+1,20,24,28,32,36,40),0)/100)))))/Skills!H4+0.000000001),1)))/Inputs!$B$43),G489*Q489))*IF(Inputs!$B$38="pvp",1,(1+(Inputs!$B$21+Skills!Q4+(IF(ArtifactsInput!$M$33,CHOOSE(ArtifactsInput!$N$33+1,30,36,42,48,54,60),0))+(IF(AND(ArtifactsInput!$M$35,Inputs!$B$4&lt;&gt;"Chapter Hunt"),CHOOSE(ArtifactsInput!$N$35+1,15,18,21,24,27,30)*(1-EXP(-(0.2*B518)*5)),0)+IF(AND(ArtifactsInput!$M$22,Inputs!$B$4&lt;&gt;"Chapter Hunt"),CHOOSE(ArtifactsInput!$N$22+1,10,12,14,16,18,20)*((0*(((0.15*B518*5))^0/1)+1*(((0.15*B518*5))^1/1)+2*(((0.15*B518*5))^2/2)+3*(((0.15*B518*5))^3/6)+4*(((0.15*B518*5))^4/24)+5*(((0.15*B518*5))^5/120))/((((0.15*B518*5))^0/1)+(((0.15*B518*5))^1/1)+(((0.15*B518*5))^2/2)+(((0.15*B518*5))^3/6)+(((0.15*B518*5))^4/24)+(((0.15*B518*5))^5/120))),0))+IF(Inputs!$B$3&gt;=54,9*(C488=TRUE)*MIN(1,8*(1+Inputs!$B$34/100)*Q488),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90">
      <c r="A490">
        <f>Skills!A5</f>
        <v/>
      </c>
      <c r="B490">
        <f>Skills!B5</f>
        <v/>
      </c>
      <c r="C490">
        <f>Inputs!$B$3&gt;=69</f>
        <v/>
      </c>
      <c r="D490">
        <f>IF(Skills!C5=1,60+Inputs!$B$25+Inputs!$B$29,IF(Skills!C5=2,90+Inputs!$B$26+Inputs!$B$29,IF(Skills!C5=3,120+Inputs!$B$27+Inputs!$B$29,MAX(0,(Inputs!$B$3-100)*3)+Inputs!$B$28+Inputs!$B$29)))</f>
        <v/>
      </c>
      <c r="E490">
        <f>INDEX(FactorTable!$B$2:$Y$301, MATCH(ROUND(MIN(300,MAX(1,D490)),0), FactorTable!$A$2:$A$301,0), Skills!M5+1)</f>
        <v/>
      </c>
      <c r="F490">
        <f>IF(Skills!N5=TRUE,(Skills!L5/10)*(E490/1000),Skills!L5/10)+Skills!O5</f>
        <v/>
      </c>
      <c r="G490">
        <f>Skills!G5*IF(Skills!H5&gt;0,INT(IF(Inputs!$B$38="pvp",MIN(IF(Inputs!$B$3&gt;=104,MIN(35,20*(1+Inputs!$B$34/100)),20),15),IF(Inputs!$B$3&gt;=104,MIN(35,20*(1+Inputs!$B$34/100)),20))/Skills!H5+0.000000001),1)</f>
        <v/>
      </c>
      <c r="H490">
        <f>1-(1-Skills!J5/100)^Skills!K5</f>
        <v/>
      </c>
      <c r="I490" t="inlineStr">
        <is>
          <t>1</t>
        </is>
      </c>
      <c r="J490">
        <f>((Inputs!$B$6*(1+Inputs!$B$7/100))+(((Inputs!$B$12*(1+Inputs!$B$13/100))-(Inputs!$B$12*(1+Inputs!$B$13/100)))+0.25*(Inputs!$B$14-Inputs!$B$14))*(1+Inputs!$B$7/100))*(F490/100)</f>
        <v/>
      </c>
      <c r="K490">
        <f>J490*(1+((Inputs!$B$12*(1+Inputs!$B$13/100))*0.01+Inputs!$B$14*0.0025)/100)*(1+Inputs!$B$15/100)*(1+Inputs!$B$16/100)*(5000/(6000+Inputs!$B$42*(1-(100*(1-(1-(Inputs!$B$19+0)/100)*(1-CHOOSE(ArtifactsInput!$N$40+1,5,6,7,8,9,10)/100)^(ArtifactsInput!$M$40-ArtifactsInput!$M$40)))/100)))*(1+(Inputs!$B$24+((C511=TRUE)*(F511-Calc!F26))+B522)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+0.4*IF(C501=TRUE,F501,0)/100)*(1+(IF(Skills!A5="EIGHT_LEGS_EASTON",Inputs!$B$17+((C508=TRUE)*(F508-Calc!F23))+((C512=TRUE)*(F512-Calc!F27))+((IF(AND(Inputs!$B$38&lt;&gt;"pvp",Inputs!$B$43=0),1,IF(IF(Inputs!$B$38="pvp",15,Inputs!$B$43)-(B523)&lt;=0,1,MAX(0,IF(Inputs!$B$38="pvp",15,Inputs!$B$43)-MAX(5,B523))/(IF(Inputs!$B$38="pvp",15,Inputs!$B$43)-(B523))))*(IF(AND(ArtifactsInput!$M$42,((Inputs!$B$9+((C504=TRUE)*(F504-Calc!F19))+B516+(ArtifactsInput!$M$24-ArtifactsInput!$M$24)*CHOOSE(ArtifactsInput!$N$24+1,10,12,14,16,18,20)+IF(ArtifactsInput!$M$10,CHOOSE(ArtifactsInput!$N$10+1,15,18,21,24,27,30)*(IF(Inputs!$B$38="pvp",MIN(15,15)/15,IF(AND(Inputs!$B$38&lt;&gt;"pvp",Inputs!$B$43&gt;0),MIN(15,Inputs!$B$43)/(Inputs!$B$43),0))),0)))&gt;=100),MIN(100,((Inputs!$B$9+((C504=TRUE)*(F504-Calc!F19))+B516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523)&lt;=0,1,MAX(0,IF(Inputs!$B$38="pvp",15,Inputs!$B$43)-MAX(5,B523))/(IF(Inputs!$B$38="pvp",15,Inputs!$B$43)-(B523))))*IF(AND(ArtifactsInput!$M$42,((Inputs!$B$9+((C504=TRUE)*(F504-Calc!F19))+B516+(ArtifactsInput!$M$24-ArtifactsInput!$M$24)*CHOOSE(ArtifactsInput!$N$24+1,10,12,14,16,18,20)+IF(ArtifactsInput!$M$10,CHOOSE(ArtifactsInput!$N$10+1,15,18,21,24,27,30)*(IF(Inputs!$B$38="pvp",MIN(15,15)/15,IF(AND(Inputs!$B$38&lt;&gt;"pvp",Inputs!$B$43&gt;0),MIN(15,Inputs!$B$43)/(Inputs!$B$43),0))),0)))&gt;=100),CHOOSE(ArtifactsInput!$N$42+1,40,48,56,64,72,80),0))))/100)*((1+(((C502=TRUE)*F502*5/7)+((C509=TRUE)*(F509-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490)</f>
        <v/>
      </c>
      <c r="L490">
        <f>K490*(MIN(Inputs!$B$22+((C507=TRUE)*(F507-Calc!F22)),((Inputs!$B$23+1)+0+(IF(ArtifactsInput!$M$15,CHOOSE(ArtifactsInput!$N$15+1,25,30,35,40,45,50)/100*(Inputs!$B$11-Inputs!$B$11),0))))/100+((Inputs!$B$23+1)+0+(IF(ArtifactsInput!$M$15,CHOOSE(ArtifactsInput!$N$15+1,25,30,35,40,45,50)/100*(Inputs!$B$11-Inputs!$B$11),0)))/100)/2</f>
        <v/>
      </c>
      <c r="M490">
        <f>L490*(1+(Inputs!$B$10+((C510=TRUE)*(F510-Calc!F25))+B521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90">
        <f>L490*(1-MIN((Inputs!$B$9+((C504=TRUE)*(F504-Calc!F19))+B516+(ArtifactsInput!$M$24-ArtifactsInput!$M$24)*CHOOSE(ArtifactsInput!$N$24+1,10,12,14,16,18,20)+(IF(AND(Inputs!$B$38&lt;&gt;"pvp",Inputs!$B$43=0),1,IF(IF(Inputs!$B$38="pvp",15,Inputs!$B$43)-(B523)&lt;=0,1,MAX(0,IF(Inputs!$B$38="pvp",15,Inputs!$B$43)-MAX(5,B523))/(IF(Inputs!$B$38="pvp",15,Inputs!$B$43)-(B523))))*IF(AND(ArtifactsInput!$M$42,((Inputs!$B$9+((C504=TRUE)*(F504-Calc!F19))+B516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490*(MIN((Inputs!$B$9+((C504=TRUE)*(F504-Calc!F19))+B516+(ArtifactsInput!$M$24-ArtifactsInput!$M$24)*CHOOSE(ArtifactsInput!$N$24+1,10,12,14,16,18,20)+(IF(AND(Inputs!$B$38&lt;&gt;"pvp",Inputs!$B$43=0),1,IF(IF(Inputs!$B$38="pvp",15,Inputs!$B$43)-(B523)&lt;=0,1,MAX(0,IF(Inputs!$B$38="pvp",15,Inputs!$B$43)-MAX(5,B523))/(IF(Inputs!$B$38="pvp",15,Inputs!$B$43)-(B523))))*IF(AND(ArtifactsInput!$M$42,((Inputs!$B$9+((C504=TRUE)*(F504-Calc!F19))+B516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90">
        <f>(1-Summary!$B$11)*T490+Summary!$B$11*V490</f>
        <v/>
      </c>
      <c r="P490">
        <f>IF(B526=0,0,O490/B526)</f>
        <v/>
      </c>
      <c r="Q490">
        <f>IFERROR(1/(IF(Inputs!$B$38="pvp",15,MAX(0.1,Skills!D5-IF(TRUE=TRUE,Inputs!$B$32,0)))*(1-IF(AND(ArtifactsInput!$M$27,Inputs!$B$4="Chapter Hunt"),CHOOSE(ArtifactsInput!$N$27+1,20,24,28,32,36,40),0)/100)),0)</f>
        <v/>
      </c>
      <c r="R490">
        <f>IF(AND(Inputs!$B$38&lt;&gt;"pvp",Inputs!$B$43&gt;0),IF(MAX(0,Inputs!$B$43-B523)&lt;=0,0,(INT(MAX(0,Inputs!$B$43-B523)/(IF(Inputs!$B$38="pvp",15,MAX(0.1,Skills!D5-IF(TRUE=TRUE,Inputs!$B$32,0)))*(1-IF(AND(ArtifactsInput!$M$27,Inputs!$B$4="Chapter Hunt"),CHOOSE(ArtifactsInput!$N$27+1,20,24,28,32,36,40),0)/100)))+1)),0)</f>
        <v/>
      </c>
      <c r="S490">
        <f>IFERROR(O490/N490,0)</f>
        <v/>
      </c>
      <c r="T490">
        <f>IF(C490,(H490*N490*IF(AND(Inputs!$B$38&lt;&gt;"pvp",Inputs!$B$43&gt;0),((Skills!G5*((R490-1)*IF(Skills!H5&gt;0,INT(IF(Inputs!$B$3&gt;=104,MIN(35,20*(1+Inputs!$B$34/100)),20)/Skills!H5+0.000000001),1)+IF(Skills!H5&gt;0,INT(MIN(IF(Inputs!$B$3&gt;=104,MIN(35,20*(1+Inputs!$B$34/100)),20),MAX(0,MAX(0,Inputs!$B$43-B523)-((R490-1)*(IF(Inputs!$B$38="pvp",15,MAX(0.1,Skills!D5-IF(TRUE=TRUE,Inputs!$B$32,0)))*(1-IF(AND(ArtifactsInput!$M$27,Inputs!$B$4="Chapter Hunt"),CHOOSE(ArtifactsInput!$N$27+1,20,24,28,32,36,40),0)/100)))))/Skills!H5+0.000000001),1)))/Inputs!$B$43),G490*Q490))*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Hunt"),CHOOSE(ArtifactsInput!$N$35+1,15,18,21,24,27,30)*(1-EXP(-(0.2*B518)*5)),0)+IF(AND(ArtifactsInput!$M$22,Inputs!$B$4&lt;&gt;"Chapter Hunt"),CHOOSE(ArtifactsInput!$N$22+1,10,12,14,16,18,20)*((0*(((0.15*B518*5))^0/1)+1*(((0.15*B518*5))^1/1)+2*(((0.15*B518*5))^2/2)+3*(((0.15*B518*5))^3/6)+4*(((0.15*B518*5))^4/24)+5*(((0.15*B518*5))^5/120))/((((0.15*B518*5))^0/1)+(((0.15*B518*5))^1/1)+(((0.15*B518*5))^2/2)+(((0.15*B518*5))^3/6)+(((0.15*B518*5))^4/24)+(((0.15*B518*5))^5/120))),0))+IF(Inputs!$B$3&gt;=54,9*(C488=TRUE)*MIN(1,8*(1+Inputs!$B$34/100)*Q488)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490*(1-MIN(100,(Inputs!$B$9+((C504=TRUE)*(F504-Calc!F19))+B516+(ArtifactsInput!$M$24-ArtifactsInput!$M$24)*CHOOSE(ArtifactsInput!$N$24+1,10,12,14,16,18,20)+(IF(AND(Inputs!$B$38&lt;&gt;"pvp",Inputs!$B$43=0),1,IF(IF(Inputs!$B$38="pvp",15,Inputs!$B$43)-(B523)&lt;=0,1,MAX(0,IF(Inputs!$B$38="pvp",15,Inputs!$B$43)-MAX(5,B523))/(IF(Inputs!$B$38="pvp",15,Inputs!$B$43)-(B523))))*IF(AND(ArtifactsInput!$M$42,((Inputs!$B$9+((C504=TRUE)*(F504-Calc!F19))+B516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490*(MIN(100,(Inputs!$B$9+((C504=TRUE)*(F504-Calc!F19))+B516+(ArtifactsInput!$M$24-ArtifactsInput!$M$24)*CHOOSE(ArtifactsInput!$N$24+1,10,12,14,16,18,20)+(IF(AND(Inputs!$B$38&lt;&gt;"pvp",Inputs!$B$43=0),1,IF(IF(Inputs!$B$38="pvp",15,Inputs!$B$43)-(B523)&lt;=0,1,MAX(0,IF(Inputs!$B$38="pvp",15,Inputs!$B$43)-MAX(5,B523))/(IF(Inputs!$B$38="pvp",15,Inputs!$B$43)-(B523))))*IF(AND(ArtifactsInput!$M$42,((Inputs!$B$9+((C504=TRUE)*(F504-Calc!F19))+B516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490*(1-MIN(100,(Inputs!$B$9+((C504=TRUE)*(F504-Calc!F19))+B516+(ArtifactsInput!$M$24-ArtifactsInput!$M$24)*CHOOSE(ArtifactsInput!$N$24+1,10,12,14,16,18,20)+(IF(AND(Inputs!$B$38&lt;&gt;"pvp",Inputs!$B$43=0),1,IF(IF(Inputs!$B$38="pvp",15,Inputs!$B$43)-(B523)&lt;=0,1,MAX(0,IF(Inputs!$B$38="pvp",15,Inputs!$B$43)-MAX(5,B523))/(IF(Inputs!$B$38="pvp",15,Inputs!$B$43)-(B523))))*IF(AND(ArtifactsInput!$M$42,((Inputs!$B$9+((C504=TRUE)*(F504-Calc!F19))+B516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490*(MIN(100,(Inputs!$B$9+((C504=TRUE)*(F504-Calc!F19))+B516+(ArtifactsInput!$M$24-ArtifactsInput!$M$24)*CHOOSE(ArtifactsInput!$N$24+1,10,12,14,16,18,20)+(IF(AND(Inputs!$B$38&lt;&gt;"pvp",Inputs!$B$43=0),1,IF(IF(Inputs!$B$38="pvp",15,Inputs!$B$43)-(B523)&lt;=0,1,MAX(0,IF(Inputs!$B$38="pvp",15,Inputs!$B$43)-MAX(5,B523))/(IF(Inputs!$B$38="pvp",15,Inputs!$B$43)-(B523))))*IF(AND(ArtifactsInput!$M$42,((Inputs!$B$9+((C504=TRUE)*(F504-Calc!F19))+B516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490">
        <f>IF(C490,(H490*N490*IF(AND(Inputs!$B$38&lt;&gt;"pvp",Inputs!$B$43&gt;0),((Skills!G5*((R490-1)*IF(Skills!H5&gt;0,INT(IF(Inputs!$B$3&gt;=104,MIN(35,20*(1+Inputs!$B$34/100)),20)/Skills!H5+0.000000001),1)+IF(Skills!H5&gt;0,INT(MIN(IF(Inputs!$B$3&gt;=104,MIN(35,20*(1+Inputs!$B$34/100)),20),MAX(0,MAX(0,Inputs!$B$43-B523)-((R490-1)*(IF(Inputs!$B$38="pvp",15,MAX(0.1,Skills!D5-IF(TRUE=TRUE,Inputs!$B$32,0)))*(1-IF(AND(ArtifactsInput!$M$27,Inputs!$B$4="Chapter Hunt"),CHOOSE(ArtifactsInput!$N$27+1,20,24,28,32,36,40),0)/100)))))/Skills!H5+0.000000001),1)))/Inputs!$B$43),G490*Q490))*IF(Inputs!$B$38="pvp",1,(1+(Inputs!$B$21+Skills!Q5+(IF(ArtifactsInput!$M$33,CHOOSE(ArtifactsInput!$N$33+1,30,36,42,48,54,60),0))+(IF(AND(ArtifactsInput!$M$35,Inputs!$B$4&lt;&gt;"Chapter Hunt"),CHOOSE(ArtifactsInput!$N$35+1,15,18,21,24,27,30)*(1-EXP(-(0.2*B518)*5)),0)+IF(AND(ArtifactsInput!$M$22,Inputs!$B$4&lt;&gt;"Chapter Hunt"),CHOOSE(ArtifactsInput!$N$22+1,10,12,14,16,18,20)*((0*(((0.15*B518*5))^0/1)+1*(((0.15*B518*5))^1/1)+2*(((0.15*B518*5))^2/2)+3*(((0.15*B518*5))^3/6)+4*(((0.15*B518*5))^4/24)+5*(((0.15*B518*5))^5/120))/((((0.15*B518*5))^0/1)+(((0.15*B518*5))^1/1)+(((0.15*B518*5))^2/2)+(((0.15*B518*5))^3/6)+(((0.15*B518*5))^4/24)+(((0.15*B518*5))^5/120))),0))+IF(Inputs!$B$3&gt;=54,9*(C488=TRUE)*MIN(1,8*(1+Inputs!$B$34/100)*Q488),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91">
      <c r="A491">
        <f>Skills!A6</f>
        <v/>
      </c>
      <c r="B491">
        <f>Skills!B6</f>
        <v/>
      </c>
      <c r="C491">
        <f>Inputs!$B$3&gt;=66</f>
        <v/>
      </c>
      <c r="D491">
        <f>IF(Skills!C6=1,60+Inputs!$B$25+Inputs!$B$29,IF(Skills!C6=2,90+Inputs!$B$26+Inputs!$B$29,IF(Skills!C6=3,120+Inputs!$B$27+Inputs!$B$29,MAX(0,(Inputs!$B$3-100)*3)+Inputs!$B$28+Inputs!$B$29)))</f>
        <v/>
      </c>
      <c r="E491">
        <f>INDEX(FactorTable!$B$2:$Y$301, MATCH(ROUND(MIN(300,MAX(1,D491)),0), FactorTable!$A$2:$A$301,0), Skills!M6+1)</f>
        <v/>
      </c>
      <c r="F491">
        <f>IF(Skills!N6=TRUE,(Skills!L6/10)*(E491/1000),Skills!L6/10)+Skills!O6</f>
        <v/>
      </c>
      <c r="G491">
        <f>Skills!G6*IF(Skills!H6&gt;0,INT(IF(Inputs!$B$38="pvp",MIN(Skills!I6,15),Skills!I6)/Skills!H6+0.000000001),1)</f>
        <v/>
      </c>
      <c r="H491">
        <f>1-(1-Skills!J6/100)^Skills!K6</f>
        <v/>
      </c>
      <c r="I491" t="inlineStr">
        <is>
          <t>1</t>
        </is>
      </c>
      <c r="J491">
        <f>((Inputs!$B$6*(1+Inputs!$B$7/100))+(((Inputs!$B$12*(1+Inputs!$B$13/100))-(Inputs!$B$12*(1+Inputs!$B$13/100)))+0.25*(Inputs!$B$14-Inputs!$B$14))*(1+Inputs!$B$7/100))*(F491/100)</f>
        <v/>
      </c>
      <c r="K491">
        <f>J491*(1+((Inputs!$B$12*(1+Inputs!$B$13/100))*0.01+Inputs!$B$14*0.0025)/100)*(1+Inputs!$B$15/100)*(1+Inputs!$B$16/100)*(5000/(6000+Inputs!$B$42*(1-(100*(1-(1-(Inputs!$B$19+0)/100)*(1-CHOOSE(ArtifactsInput!$N$40+1,5,6,7,8,9,10)/100)^(ArtifactsInput!$M$40-ArtifactsInput!$M$40)))/100)))*(1+(Inputs!$B$24+((C511=TRUE)*(F511-Calc!F26))+B522)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+2.0*IF(C500=TRUE,F500,0)/100)*(1+(IF(Skills!A6="EIGHT_LEGS_EASTON",Inputs!$B$17+((C508=TRUE)*(F508-Calc!F23))+((C512=TRUE)*(F512-Calc!F27))+((IF(AND(Inputs!$B$38&lt;&gt;"pvp",Inputs!$B$43=0),1,IF(IF(Inputs!$B$38="pvp",15,Inputs!$B$43)-(B523)&lt;=0,1,MAX(0,IF(Inputs!$B$38="pvp",15,Inputs!$B$43)-MAX(5,B523))/(IF(Inputs!$B$38="pvp",15,Inputs!$B$43)-(B523))))*(IF(AND(ArtifactsInput!$M$42,((Inputs!$B$9+((C504=TRUE)*(F504-Calc!F19))+B516+(ArtifactsInput!$M$24-ArtifactsInput!$M$24)*CHOOSE(ArtifactsInput!$N$24+1,10,12,14,16,18,20)+IF(ArtifactsInput!$M$10,CHOOSE(ArtifactsInput!$N$10+1,15,18,21,24,27,30)*(IF(Inputs!$B$38="pvp",MIN(15,15)/15,IF(AND(Inputs!$B$38&lt;&gt;"pvp",Inputs!$B$43&gt;0),MIN(15,Inputs!$B$43)/(Inputs!$B$43),0))),0)))&gt;=100),MIN(100,((Inputs!$B$9+((C504=TRUE)*(F504-Calc!F19))+B516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523)&lt;=0,1,MAX(0,IF(Inputs!$B$38="pvp",15,Inputs!$B$43)-MAX(5,B523))/(IF(Inputs!$B$38="pvp",15,Inputs!$B$43)-(B523))))*IF(AND(ArtifactsInput!$M$42,((Inputs!$B$9+((C504=TRUE)*(F504-Calc!F19))+B516+(ArtifactsInput!$M$24-ArtifactsInput!$M$24)*CHOOSE(ArtifactsInput!$N$24+1,10,12,14,16,18,20)+IF(ArtifactsInput!$M$10,CHOOSE(ArtifactsInput!$N$10+1,15,18,21,24,27,30)*(IF(Inputs!$B$38="pvp",MIN(15,15)/15,IF(AND(Inputs!$B$38&lt;&gt;"pvp",Inputs!$B$43&gt;0),MIN(15,Inputs!$B$43)/(Inputs!$B$43),0))),0)))&gt;=100),CHOOSE(ArtifactsInput!$N$42+1,40,48,56,64,72,80),0))))/100)*((1+(((C502=TRUE)*F502*5/7)+((C509=TRUE)*(F509-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491)</f>
        <v/>
      </c>
      <c r="L491">
        <f>K491*(MIN(Inputs!$B$22+((C507=TRUE)*(F507-Calc!F22)),((Inputs!$B$23+1)+0+(IF(ArtifactsInput!$M$15,CHOOSE(ArtifactsInput!$N$15+1,25,30,35,40,45,50)/100*(Inputs!$B$11-Inputs!$B$11),0))))/100+((Inputs!$B$23+1)+0+(IF(ArtifactsInput!$M$15,CHOOSE(ArtifactsInput!$N$15+1,25,30,35,40,45,50)/100*(Inputs!$B$11-Inputs!$B$11),0)))/100)/2</f>
        <v/>
      </c>
      <c r="M491">
        <f>L491*(1+(Inputs!$B$10+((C510=TRUE)*(F510-Calc!F25))+B521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91">
        <f>L491*(1-MIN((Inputs!$B$9+((C504=TRUE)*(F504-Calc!F19))+B516+(ArtifactsInput!$M$24-ArtifactsInput!$M$24)*CHOOSE(ArtifactsInput!$N$24+1,10,12,14,16,18,20)+(IF(AND(Inputs!$B$38&lt;&gt;"pvp",Inputs!$B$43=0),1,IF(IF(Inputs!$B$38="pvp",15,Inputs!$B$43)-(B523)&lt;=0,1,MAX(0,IF(Inputs!$B$38="pvp",15,Inputs!$B$43)-MAX(5,B523))/(IF(Inputs!$B$38="pvp",15,Inputs!$B$43)-(B523))))*IF(AND(ArtifactsInput!$M$42,((Inputs!$B$9+((C504=TRUE)*(F504-Calc!F19))+B516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491*(MIN((Inputs!$B$9+((C504=TRUE)*(F504-Calc!F19))+B516+(ArtifactsInput!$M$24-ArtifactsInput!$M$24)*CHOOSE(ArtifactsInput!$N$24+1,10,12,14,16,18,20)+(IF(AND(Inputs!$B$38&lt;&gt;"pvp",Inputs!$B$43=0),1,IF(IF(Inputs!$B$38="pvp",15,Inputs!$B$43)-(B523)&lt;=0,1,MAX(0,IF(Inputs!$B$38="pvp",15,Inputs!$B$43)-MAX(5,B523))/(IF(Inputs!$B$38="pvp",15,Inputs!$B$43)-(B523))))*IF(AND(ArtifactsInput!$M$42,((Inputs!$B$9+((C504=TRUE)*(F504-Calc!F19))+B516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91">
        <f>(1-Summary!$B$11)*T491+Summary!$B$11*V491</f>
        <v/>
      </c>
      <c r="P491">
        <f>IF(B526=0,0,O491/B526)</f>
        <v/>
      </c>
      <c r="Q491">
        <f>IFERROR(1/(IF(Inputs!$B$38="pvp",15,MAX(0.1,Skills!D6-IF(TRUE=TRUE,Inputs!$B$32,0)))*(1-IF(AND(ArtifactsInput!$M$27,Inputs!$B$4="Chapter Hunt"),CHOOSE(ArtifactsInput!$N$27+1,20,24,28,32,36,40),0)/100)),0)</f>
        <v/>
      </c>
      <c r="R491">
        <f>IF(AND(Inputs!$B$38&lt;&gt;"pvp",Inputs!$B$43&gt;0),IF(MAX(0,Inputs!$B$43-B523)&lt;=0,0,(INT(MAX(0,Inputs!$B$43-B523)/(IF(Inputs!$B$38="pvp",15,MAX(0.1,Skills!D6-IF(TRUE=TRUE,Inputs!$B$32,0)))*(1-IF(AND(ArtifactsInput!$M$27,Inputs!$B$4="Chapter Hunt"),CHOOSE(ArtifactsInput!$N$27+1,20,24,28,32,36,40),0)/100)))+1)),0)</f>
        <v/>
      </c>
      <c r="S491">
        <f>IFERROR(O491/N491,0)</f>
        <v/>
      </c>
      <c r="T491">
        <f>IF(C491,(H491*N491*IF(AND(Inputs!$B$38&lt;&gt;"pvp",Inputs!$B$43&gt;0),((Skills!G6*((R491-1)*IF(Skills!H6&gt;0,INT(Skills!I6/Skills!H6+0.000000001),1)+IF(Skills!H6&gt;0,INT(MIN(Skills!I6,MAX(0,MAX(0,Inputs!$B$43-B523)-((R491-1)*(IF(Inputs!$B$38="pvp",15,MAX(0.1,Skills!D6-IF(TRUE=TRUE,Inputs!$B$32,0)))*(1-IF(AND(ArtifactsInput!$M$27,Inputs!$B$4="Chapter Hunt"),CHOOSE(ArtifactsInput!$N$27+1,20,24,28,32,36,40),0)/100)))))/Skills!H6+0.000000001),1)))/Inputs!$B$43),G491*Q491))*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Hunt"),CHOOSE(ArtifactsInput!$N$35+1,15,18,21,24,27,30)*(1-EXP(-(0.2*B518)*5)),0)+IF(AND(ArtifactsInput!$M$22,Inputs!$B$4&lt;&gt;"Chapter Hunt"),CHOOSE(ArtifactsInput!$N$22+1,10,12,14,16,18,20)*((0*(((0.15*B518*5))^0/1)+1*(((0.15*B518*5))^1/1)+2*(((0.15*B518*5))^2/2)+3*(((0.15*B518*5))^3/6)+4*(((0.15*B518*5))^4/24)+5*(((0.15*B518*5))^5/120))/((((0.15*B518*5))^0/1)+(((0.15*B518*5))^1/1)+(((0.15*B518*5))^2/2)+(((0.15*B518*5))^3/6)+(((0.15*B518*5))^4/24)+(((0.15*B518*5))^5/120))),0))+IF(Inputs!$B$3&gt;=54,9*(C488=TRUE)*MIN(1,8*(1+Inputs!$B$34/100)*Q488)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491*(1-MIN(100,(Inputs!$B$9+((C504=TRUE)*(F504-Calc!F19))+B516+(ArtifactsInput!$M$24-ArtifactsInput!$M$24)*CHOOSE(ArtifactsInput!$N$24+1,10,12,14,16,18,20)+(IF(AND(Inputs!$B$38&lt;&gt;"pvp",Inputs!$B$43=0),1,IF(IF(Inputs!$B$38="pvp",15,Inputs!$B$43)-(B523)&lt;=0,1,MAX(0,IF(Inputs!$B$38="pvp",15,Inputs!$B$43)-MAX(5,B523))/(IF(Inputs!$B$38="pvp",15,Inputs!$B$43)-(B523))))*IF(AND(ArtifactsInput!$M$42,((Inputs!$B$9+((C504=TRUE)*(F504-Calc!F19))+B516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491*(MIN(100,(Inputs!$B$9+((C504=TRUE)*(F504-Calc!F19))+B516+(ArtifactsInput!$M$24-ArtifactsInput!$M$24)*CHOOSE(ArtifactsInput!$N$24+1,10,12,14,16,18,20)+(IF(AND(Inputs!$B$38&lt;&gt;"pvp",Inputs!$B$43=0),1,IF(IF(Inputs!$B$38="pvp",15,Inputs!$B$43)-(B523)&lt;=0,1,MAX(0,IF(Inputs!$B$38="pvp",15,Inputs!$B$43)-MAX(5,B523))/(IF(Inputs!$B$38="pvp",15,Inputs!$B$43)-(B523))))*IF(AND(ArtifactsInput!$M$42,((Inputs!$B$9+((C504=TRUE)*(F504-Calc!F19))+B516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491*(1-MIN(100,(Inputs!$B$9+((C504=TRUE)*(F504-Calc!F19))+B516+(ArtifactsInput!$M$24-ArtifactsInput!$M$24)*CHOOSE(ArtifactsInput!$N$24+1,10,12,14,16,18,20)+(IF(AND(Inputs!$B$38&lt;&gt;"pvp",Inputs!$B$43=0),1,IF(IF(Inputs!$B$38="pvp",15,Inputs!$B$43)-(B523)&lt;=0,1,MAX(0,IF(Inputs!$B$38="pvp",15,Inputs!$B$43)-MAX(5,B523))/(IF(Inputs!$B$38="pvp",15,Inputs!$B$43)-(B523))))*IF(AND(ArtifactsInput!$M$42,((Inputs!$B$9+((C504=TRUE)*(F504-Calc!F19))+B516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491*(MIN(100,(Inputs!$B$9+((C504=TRUE)*(F504-Calc!F19))+B516+(ArtifactsInput!$M$24-ArtifactsInput!$M$24)*CHOOSE(ArtifactsInput!$N$24+1,10,12,14,16,18,20)+(IF(AND(Inputs!$B$38&lt;&gt;"pvp",Inputs!$B$43=0),1,IF(IF(Inputs!$B$38="pvp",15,Inputs!$B$43)-(B523)&lt;=0,1,MAX(0,IF(Inputs!$B$38="pvp",15,Inputs!$B$43)-MAX(5,B523))/(IF(Inputs!$B$38="pvp",15,Inputs!$B$43)-(B523))))*IF(AND(ArtifactsInput!$M$42,((Inputs!$B$9+((C504=TRUE)*(F504-Calc!F19))+B516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491">
        <f>IF(C491,(H491*N491*IF(AND(Inputs!$B$38&lt;&gt;"pvp",Inputs!$B$43&gt;0),((Skills!G6*((R491-1)*IF(Skills!H6&gt;0,INT(Skills!I6/Skills!H6+0.000000001),1)+IF(Skills!H6&gt;0,INT(MIN(Skills!I6,MAX(0,MAX(0,Inputs!$B$43-B523)-((R491-1)*(IF(Inputs!$B$38="pvp",15,MAX(0.1,Skills!D6-IF(TRUE=TRUE,Inputs!$B$32,0)))*(1-IF(AND(ArtifactsInput!$M$27,Inputs!$B$4="Chapter Hunt"),CHOOSE(ArtifactsInput!$N$27+1,20,24,28,32,36,40),0)/100)))))/Skills!H6+0.000000001),1)))/Inputs!$B$43),G491*Q491))*IF(Inputs!$B$38="pvp",1,(1+(Inputs!$B$21+Skills!Q6+(IF(ArtifactsInput!$M$33,CHOOSE(ArtifactsInput!$N$33+1,30,36,42,48,54,60),0))+(IF(AND(ArtifactsInput!$M$35,Inputs!$B$4&lt;&gt;"Chapter Hunt"),CHOOSE(ArtifactsInput!$N$35+1,15,18,21,24,27,30)*(1-EXP(-(0.2*B518)*5)),0)+IF(AND(ArtifactsInput!$M$22,Inputs!$B$4&lt;&gt;"Chapter Hunt"),CHOOSE(ArtifactsInput!$N$22+1,10,12,14,16,18,20)*((0*(((0.15*B518*5))^0/1)+1*(((0.15*B518*5))^1/1)+2*(((0.15*B518*5))^2/2)+3*(((0.15*B518*5))^3/6)+4*(((0.15*B518*5))^4/24)+5*(((0.15*B518*5))^5/120))/((((0.15*B518*5))^0/1)+(((0.15*B518*5))^1/1)+(((0.15*B518*5))^2/2)+(((0.15*B518*5))^3/6)+(((0.15*B518*5))^4/24)+(((0.15*B518*5))^5/120))),0))+IF(Inputs!$B$3&gt;=54,9*(C488=TRUE)*MIN(1,8*(1+Inputs!$B$34/100)*Q488),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92">
      <c r="A492">
        <f>Skills!A7</f>
        <v/>
      </c>
      <c r="B492">
        <f>Skills!B7</f>
        <v/>
      </c>
      <c r="C492">
        <f>Inputs!$B$3&gt;=63</f>
        <v/>
      </c>
      <c r="D492">
        <f>IF(Skills!C7=1,60+Inputs!$B$25+Inputs!$B$29,IF(Skills!C7=2,90+Inputs!$B$26+Inputs!$B$29,IF(Skills!C7=3,120+Inputs!$B$27+Inputs!$B$29,MAX(0,(Inputs!$B$3-100)*3)+Inputs!$B$28+Inputs!$B$29)))</f>
        <v/>
      </c>
      <c r="E492">
        <f>INDEX(FactorTable!$B$2:$Y$301, MATCH(ROUND(MIN(300,MAX(1,D492)),0), FactorTable!$A$2:$A$301,0), Skills!M7+1)</f>
        <v/>
      </c>
      <c r="F492">
        <f>IF(Skills!N7=TRUE,(Skills!L7/10)*(E492/1000),Skills!L7/10)+Skills!O7</f>
        <v/>
      </c>
      <c r="G492">
        <f>Skills!G7*IF(Skills!H7&gt;0,INT(IF(Inputs!$B$38="pvp",MIN(Skills!I7,15),Skills!I7)/Skills!H7+0.000000001),1)</f>
        <v/>
      </c>
      <c r="H492">
        <f>1-(1-Skills!J7/100)^Skills!K7</f>
        <v/>
      </c>
      <c r="I492" t="inlineStr">
        <is>
          <t>1</t>
        </is>
      </c>
      <c r="J492">
        <f>((Inputs!$B$6*(1+Inputs!$B$7/100))+(((Inputs!$B$12*(1+Inputs!$B$13/100))-(Inputs!$B$12*(1+Inputs!$B$13/100)))+0.25*(Inputs!$B$14-Inputs!$B$14))*(1+Inputs!$B$7/100))*(F492/100)</f>
        <v/>
      </c>
      <c r="K492">
        <f>J492*(1+((Inputs!$B$12*(1+Inputs!$B$13/100))*0.01+Inputs!$B$14*0.0025)/100)*(1+Inputs!$B$15/100)*(1+Inputs!$B$16/100)*(5000/(6000+Inputs!$B$42*(1-(100*(1-(1-(Inputs!$B$19+0)/100)*(1-CHOOSE(ArtifactsInput!$N$40+1,5,6,7,8,9,10)/100)^(ArtifactsInput!$M$40-ArtifactsInput!$M$40)))/100)))*(1+(Inputs!$B$24+((C511=TRUE)*(F511-Calc!F26))+B522)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500=TRUE,F500,0)/100)*(1+(IF(Skills!A7="EIGHT_LEGS_EASTON",Inputs!$B$17+((C508=TRUE)*(F508-Calc!F23))+((C512=TRUE)*(F512-Calc!F27))+((IF(AND(Inputs!$B$38&lt;&gt;"pvp",Inputs!$B$43=0),1,IF(IF(Inputs!$B$38="pvp",15,Inputs!$B$43)-(B523)&lt;=0,1,MAX(0,IF(Inputs!$B$38="pvp",15,Inputs!$B$43)-MAX(5,B523))/(IF(Inputs!$B$38="pvp",15,Inputs!$B$43)-(B523))))*(IF(AND(ArtifactsInput!$M$42,((Inputs!$B$9+((C504=TRUE)*(F504-Calc!F19))+B516+(ArtifactsInput!$M$24-ArtifactsInput!$M$24)*CHOOSE(ArtifactsInput!$N$24+1,10,12,14,16,18,20)+IF(ArtifactsInput!$M$10,CHOOSE(ArtifactsInput!$N$10+1,15,18,21,24,27,30)*(IF(Inputs!$B$38="pvp",MIN(15,15)/15,IF(AND(Inputs!$B$38&lt;&gt;"pvp",Inputs!$B$43&gt;0),MIN(15,Inputs!$B$43)/(Inputs!$B$43),0))),0)))&gt;=100),MIN(100,((Inputs!$B$9+((C504=TRUE)*(F504-Calc!F19))+B516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523)&lt;=0,1,MAX(0,IF(Inputs!$B$38="pvp",15,Inputs!$B$43)-MAX(5,B523))/(IF(Inputs!$B$38="pvp",15,Inputs!$B$43)-(B523))))*IF(AND(ArtifactsInput!$M$42,((Inputs!$B$9+((C504=TRUE)*(F504-Calc!F19))+B516+(ArtifactsInput!$M$24-ArtifactsInput!$M$24)*CHOOSE(ArtifactsInput!$N$24+1,10,12,14,16,18,20)+IF(ArtifactsInput!$M$10,CHOOSE(ArtifactsInput!$N$10+1,15,18,21,24,27,30)*(IF(Inputs!$B$38="pvp",MIN(15,15)/15,IF(AND(Inputs!$B$38&lt;&gt;"pvp",Inputs!$B$43&gt;0),MIN(15,Inputs!$B$43)/(Inputs!$B$43),0))),0)))&gt;=100),CHOOSE(ArtifactsInput!$N$42+1,40,48,56,64,72,80),0))))/100)*((1+(((C502=TRUE)*F502*5/7)+((C509=TRUE)*(F509-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492)</f>
        <v/>
      </c>
      <c r="L492">
        <f>K492*(MIN(Inputs!$B$22+((C507=TRUE)*(F507-Calc!F22)),((Inputs!$B$23+1)+0+(IF(ArtifactsInput!$M$15,CHOOSE(ArtifactsInput!$N$15+1,25,30,35,40,45,50)/100*(Inputs!$B$11-Inputs!$B$11),0))))/100+((Inputs!$B$23+1)+0+(IF(ArtifactsInput!$M$15,CHOOSE(ArtifactsInput!$N$15+1,25,30,35,40,45,50)/100*(Inputs!$B$11-Inputs!$B$11),0)))/100)/2</f>
        <v/>
      </c>
      <c r="M492">
        <f>L492*(1+(Inputs!$B$10+((C510=TRUE)*(F510-Calc!F25))+B521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92">
        <f>L492*(1-MIN((Inputs!$B$9+((C504=TRUE)*(F504-Calc!F19))+B516+(ArtifactsInput!$M$24-ArtifactsInput!$M$24)*CHOOSE(ArtifactsInput!$N$24+1,10,12,14,16,18,20)+(IF(AND(Inputs!$B$38&lt;&gt;"pvp",Inputs!$B$43=0),1,IF(IF(Inputs!$B$38="pvp",15,Inputs!$B$43)-(B523)&lt;=0,1,MAX(0,IF(Inputs!$B$38="pvp",15,Inputs!$B$43)-MAX(5,B523))/(IF(Inputs!$B$38="pvp",15,Inputs!$B$43)-(B523))))*IF(AND(ArtifactsInput!$M$42,((Inputs!$B$9+((C504=TRUE)*(F504-Calc!F19))+B516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492*(MIN((Inputs!$B$9+((C504=TRUE)*(F504-Calc!F19))+B516+(ArtifactsInput!$M$24-ArtifactsInput!$M$24)*CHOOSE(ArtifactsInput!$N$24+1,10,12,14,16,18,20)+(IF(AND(Inputs!$B$38&lt;&gt;"pvp",Inputs!$B$43=0),1,IF(IF(Inputs!$B$38="pvp",15,Inputs!$B$43)-(B523)&lt;=0,1,MAX(0,IF(Inputs!$B$38="pvp",15,Inputs!$B$43)-MAX(5,B523))/(IF(Inputs!$B$38="pvp",15,Inputs!$B$43)-(B523))))*IF(AND(ArtifactsInput!$M$42,((Inputs!$B$9+((C504=TRUE)*(F504-Calc!F19))+B516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92">
        <f>(1-Summary!$B$11)*T492+Summary!$B$11*V492</f>
        <v/>
      </c>
      <c r="P492">
        <f>IF(B526=0,0,O492/B526)</f>
        <v/>
      </c>
      <c r="Q492">
        <f>IFERROR(1/(IF(Inputs!$B$38="pvp",15,MAX(0.1,Skills!D7-IF(TRUE=TRUE,Inputs!$B$32,0)))*(1-IF(AND(ArtifactsInput!$M$27,Inputs!$B$4="Chapter Hunt"),CHOOSE(ArtifactsInput!$N$27+1,20,24,28,32,36,40),0)/100)),0)</f>
        <v/>
      </c>
      <c r="R492">
        <f>IF(AND(Inputs!$B$38&lt;&gt;"pvp",Inputs!$B$43&gt;0),IF(MAX(0,Inputs!$B$43-B523)&lt;=0,0,(INT(MAX(0,Inputs!$B$43-B523)/(IF(Inputs!$B$38="pvp",15,MAX(0.1,Skills!D7-IF(TRUE=TRUE,Inputs!$B$32,0)))*(1-IF(AND(ArtifactsInput!$M$27,Inputs!$B$4="Chapter Hunt"),CHOOSE(ArtifactsInput!$N$27+1,20,24,28,32,36,40),0)/100)))+1)),0)</f>
        <v/>
      </c>
      <c r="S492">
        <f>IFERROR(O492/N492,0)</f>
        <v/>
      </c>
      <c r="T492">
        <f>IF(C492,(H492*N492*IF(AND(Inputs!$B$38&lt;&gt;"pvp",Inputs!$B$43&gt;0),((Skills!G7*((R492-1)*IF(Skills!H7&gt;0,INT(Skills!I7/Skills!H7+0.000000001),1)+IF(Skills!H7&gt;0,INT(MIN(Skills!I7,MAX(0,MAX(0,Inputs!$B$43-B523)-((R492-1)*(IF(Inputs!$B$38="pvp",15,MAX(0.1,Skills!D7-IF(TRUE=TRUE,Inputs!$B$32,0)))*(1-IF(AND(ArtifactsInput!$M$27,Inputs!$B$4="Chapter Hunt"),CHOOSE(ArtifactsInput!$N$27+1,20,24,28,32,36,40),0)/100)))))/Skills!H7+0.000000001),1)))/Inputs!$B$43),G492*Q492))*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Hunt"),CHOOSE(ArtifactsInput!$N$35+1,15,18,21,24,27,30)*(1-EXP(-(0.2*B518)*5)),0)+IF(AND(ArtifactsInput!$M$22,Inputs!$B$4&lt;&gt;"Chapter Hunt"),CHOOSE(ArtifactsInput!$N$22+1,10,12,14,16,18,20)*((0*(((0.15*B518*5))^0/1)+1*(((0.15*B518*5))^1/1)+2*(((0.15*B518*5))^2/2)+3*(((0.15*B518*5))^3/6)+4*(((0.15*B518*5))^4/24)+5*(((0.15*B518*5))^5/120))/((((0.15*B518*5))^0/1)+(((0.15*B518*5))^1/1)+(((0.15*B518*5))^2/2)+(((0.15*B518*5))^3/6)+(((0.15*B518*5))^4/24)+(((0.15*B518*5))^5/120))),0))+IF(Inputs!$B$3&gt;=54,9*(C488=TRUE)*MIN(1,8*(1+Inputs!$B$34/100)*Q488)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492*(1-MIN(100,(Inputs!$B$9+((C504=TRUE)*(F504-Calc!F19))+B516+(ArtifactsInput!$M$24-ArtifactsInput!$M$24)*CHOOSE(ArtifactsInput!$N$24+1,10,12,14,16,18,20)+(IF(AND(Inputs!$B$38&lt;&gt;"pvp",Inputs!$B$43=0),1,IF(IF(Inputs!$B$38="pvp",15,Inputs!$B$43)-(B523)&lt;=0,1,MAX(0,IF(Inputs!$B$38="pvp",15,Inputs!$B$43)-MAX(5,B523))/(IF(Inputs!$B$38="pvp",15,Inputs!$B$43)-(B523))))*IF(AND(ArtifactsInput!$M$42,((Inputs!$B$9+((C504=TRUE)*(F504-Calc!F19))+B516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492*(MIN(100,(Inputs!$B$9+((C504=TRUE)*(F504-Calc!F19))+B516+(ArtifactsInput!$M$24-ArtifactsInput!$M$24)*CHOOSE(ArtifactsInput!$N$24+1,10,12,14,16,18,20)+(IF(AND(Inputs!$B$38&lt;&gt;"pvp",Inputs!$B$43=0),1,IF(IF(Inputs!$B$38="pvp",15,Inputs!$B$43)-(B523)&lt;=0,1,MAX(0,IF(Inputs!$B$38="pvp",15,Inputs!$B$43)-MAX(5,B523))/(IF(Inputs!$B$38="pvp",15,Inputs!$B$43)-(B523))))*IF(AND(ArtifactsInput!$M$42,((Inputs!$B$9+((C504=TRUE)*(F504-Calc!F19))+B516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492*(1-MIN(100,(Inputs!$B$9+((C504=TRUE)*(F504-Calc!F19))+B516+(ArtifactsInput!$M$24-ArtifactsInput!$M$24)*CHOOSE(ArtifactsInput!$N$24+1,10,12,14,16,18,20)+(IF(AND(Inputs!$B$38&lt;&gt;"pvp",Inputs!$B$43=0),1,IF(IF(Inputs!$B$38="pvp",15,Inputs!$B$43)-(B523)&lt;=0,1,MAX(0,IF(Inputs!$B$38="pvp",15,Inputs!$B$43)-MAX(5,B523))/(IF(Inputs!$B$38="pvp",15,Inputs!$B$43)-(B523))))*IF(AND(ArtifactsInput!$M$42,((Inputs!$B$9+((C504=TRUE)*(F504-Calc!F19))+B516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492*(MIN(100,(Inputs!$B$9+((C504=TRUE)*(F504-Calc!F19))+B516+(ArtifactsInput!$M$24-ArtifactsInput!$M$24)*CHOOSE(ArtifactsInput!$N$24+1,10,12,14,16,18,20)+(IF(AND(Inputs!$B$38&lt;&gt;"pvp",Inputs!$B$43=0),1,IF(IF(Inputs!$B$38="pvp",15,Inputs!$B$43)-(B523)&lt;=0,1,MAX(0,IF(Inputs!$B$38="pvp",15,Inputs!$B$43)-MAX(5,B523))/(IF(Inputs!$B$38="pvp",15,Inputs!$B$43)-(B523))))*IF(AND(ArtifactsInput!$M$42,((Inputs!$B$9+((C504=TRUE)*(F504-Calc!F19))+B516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492">
        <f>IF(C492,(H492*N492*IF(AND(Inputs!$B$38&lt;&gt;"pvp",Inputs!$B$43&gt;0),((Skills!G7*((R492-1)*IF(Skills!H7&gt;0,INT(Skills!I7/Skills!H7+0.000000001),1)+IF(Skills!H7&gt;0,INT(MIN(Skills!I7,MAX(0,MAX(0,Inputs!$B$43-B523)-((R492-1)*(IF(Inputs!$B$38="pvp",15,MAX(0.1,Skills!D7-IF(TRUE=TRUE,Inputs!$B$32,0)))*(1-IF(AND(ArtifactsInput!$M$27,Inputs!$B$4="Chapter Hunt"),CHOOSE(ArtifactsInput!$N$27+1,20,24,28,32,36,40),0)/100)))))/Skills!H7+0.000000001),1)))/Inputs!$B$43),G492*Q492))*IF(Inputs!$B$38="pvp",1,(1+(Inputs!$B$21+Skills!Q7+(IF(ArtifactsInput!$M$33,CHOOSE(ArtifactsInput!$N$33+1,30,36,42,48,54,60),0))+(IF(AND(ArtifactsInput!$M$35,Inputs!$B$4&lt;&gt;"Chapter Hunt"),CHOOSE(ArtifactsInput!$N$35+1,15,18,21,24,27,30)*(1-EXP(-(0.2*B518)*5)),0)+IF(AND(ArtifactsInput!$M$22,Inputs!$B$4&lt;&gt;"Chapter Hunt"),CHOOSE(ArtifactsInput!$N$22+1,10,12,14,16,18,20)*((0*(((0.15*B518*5))^0/1)+1*(((0.15*B518*5))^1/1)+2*(((0.15*B518*5))^2/2)+3*(((0.15*B518*5))^3/6)+4*(((0.15*B518*5))^4/24)+5*(((0.15*B518*5))^5/120))/((((0.15*B518*5))^0/1)+(((0.15*B518*5))^1/1)+(((0.15*B518*5))^2/2)+(((0.15*B518*5))^3/6)+(((0.15*B518*5))^4/24)+(((0.15*B518*5))^5/120))),0))+IF(Inputs!$B$3&gt;=54,9*(C488=TRUE)*MIN(1,8*(1+Inputs!$B$34/100)*Q488),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93">
      <c r="A493">
        <f>Skills!A8</f>
        <v/>
      </c>
      <c r="B493">
        <f>Skills!B8</f>
        <v/>
      </c>
      <c r="C493">
        <f>Inputs!$B$3&gt;=103</f>
        <v/>
      </c>
      <c r="D493">
        <f>IF(Skills!C8=1,60+Inputs!$B$25+Inputs!$B$29,IF(Skills!C8=2,90+Inputs!$B$26+Inputs!$B$29,IF(Skills!C8=3,120+Inputs!$B$27+Inputs!$B$29,MAX(0,(Inputs!$B$3-100)*3)+Inputs!$B$28+Inputs!$B$29)))</f>
        <v/>
      </c>
      <c r="E493">
        <f>INDEX(FactorTable!$B$2:$Y$301, MATCH(ROUND(MIN(300,MAX(1,D493)),0), FactorTable!$A$2:$A$301,0), Skills!M8+1)</f>
        <v/>
      </c>
      <c r="F493">
        <f>IF(Skills!N8=TRUE,(Skills!L8/10)*(E493/1000),Skills!L8/10)+Skills!O8</f>
        <v/>
      </c>
      <c r="G493">
        <f>Skills!G8*IF(Skills!H8&gt;0,INT(IF(Inputs!$B$38="pvp",MIN(Skills!I8,15),Skills!I8)/Skills!H8+0.000000001),1)</f>
        <v/>
      </c>
      <c r="H493">
        <f>1-(1-Skills!J8/100)^Skills!K8</f>
        <v/>
      </c>
      <c r="I493" t="inlineStr">
        <is>
          <t>1</t>
        </is>
      </c>
      <c r="J493">
        <f>((Inputs!$B$6*(1+Inputs!$B$7/100))+(((Inputs!$B$12*(1+Inputs!$B$13/100))-(Inputs!$B$12*(1+Inputs!$B$13/100)))+0.25*(Inputs!$B$14-Inputs!$B$14))*(1+Inputs!$B$7/100))*(F493/100)</f>
        <v/>
      </c>
      <c r="K493">
        <f>J493*(1+((Inputs!$B$12*(1+Inputs!$B$13/100))*0.01+Inputs!$B$14*0.0025)/100)*(1+Inputs!$B$15/100)*(1+Inputs!$B$16/100)*(5000/(6000+Inputs!$B$42*(1-(100*(1-(1-(Inputs!$B$19+0)/100)*(1-CHOOSE(ArtifactsInput!$N$40+1,5,6,7,8,9,10)/100)^(ArtifactsInput!$M$40-ArtifactsInput!$M$40)))/100)))*(1+(Inputs!$B$24+((C511=TRUE)*(F511-Calc!F26))+B522)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IGHT_LEGS_EASTON",Inputs!$B$17+((C508=TRUE)*(F508-Calc!F23))+((C512=TRUE)*(F512-Calc!F27))+((IF(AND(Inputs!$B$38&lt;&gt;"pvp",Inputs!$B$43=0),1,IF(IF(Inputs!$B$38="pvp",15,Inputs!$B$43)-(B523)&lt;=0,1,MAX(0,IF(Inputs!$B$38="pvp",15,Inputs!$B$43)-MAX(5,B523))/(IF(Inputs!$B$38="pvp",15,Inputs!$B$43)-(B523))))*(IF(AND(ArtifactsInput!$M$42,((Inputs!$B$9+((C504=TRUE)*(F504-Calc!F19))+B516+(ArtifactsInput!$M$24-ArtifactsInput!$M$24)*CHOOSE(ArtifactsInput!$N$24+1,10,12,14,16,18,20)+IF(ArtifactsInput!$M$10,CHOOSE(ArtifactsInput!$N$10+1,15,18,21,24,27,30)*(IF(Inputs!$B$38="pvp",MIN(15,15)/15,IF(AND(Inputs!$B$38&lt;&gt;"pvp",Inputs!$B$43&gt;0),MIN(15,Inputs!$B$43)/(Inputs!$B$43),0))),0)))&gt;=100),MIN(100,((Inputs!$B$9+((C504=TRUE)*(F504-Calc!F19))+B516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523)&lt;=0,1,MAX(0,IF(Inputs!$B$38="pvp",15,Inputs!$B$43)-MAX(5,B523))/(IF(Inputs!$B$38="pvp",15,Inputs!$B$43)-(B523))))*IF(AND(ArtifactsInput!$M$42,((Inputs!$B$9+((C504=TRUE)*(F504-Calc!F19))+B516+(ArtifactsInput!$M$24-ArtifactsInput!$M$24)*CHOOSE(ArtifactsInput!$N$24+1,10,12,14,16,18,20)+IF(ArtifactsInput!$M$10,CHOOSE(ArtifactsInput!$N$10+1,15,18,21,24,27,30)*(IF(Inputs!$B$38="pvp",MIN(15,15)/15,IF(AND(Inputs!$B$38&lt;&gt;"pvp",Inputs!$B$43&gt;0),MIN(15,Inputs!$B$43)/(Inputs!$B$43),0))),0)))&gt;=100),CHOOSE(ArtifactsInput!$N$42+1,40,48,56,64,72,80),0))))/100)*((1+(((C502=TRUE)*F502*5/7)+((C509=TRUE)*(F509-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493)</f>
        <v/>
      </c>
      <c r="L493">
        <f>K493*(MIN(Inputs!$B$22+((C507=TRUE)*(F507-Calc!F22)),((Inputs!$B$23+1)+0+(IF(ArtifactsInput!$M$15,CHOOSE(ArtifactsInput!$N$15+1,25,30,35,40,45,50)/100*(Inputs!$B$11-Inputs!$B$11),0))))/100+((Inputs!$B$23+1)+0+(IF(ArtifactsInput!$M$15,CHOOSE(ArtifactsInput!$N$15+1,25,30,35,40,45,50)/100*(Inputs!$B$11-Inputs!$B$11),0)))/100)/2</f>
        <v/>
      </c>
      <c r="M493">
        <f>L493*(1+(Inputs!$B$10+((C510=TRUE)*(F510-Calc!F25))+B521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93">
        <f>L493*(1-MIN((Inputs!$B$9+((C504=TRUE)*(F504-Calc!F19))+B516+(ArtifactsInput!$M$24-ArtifactsInput!$M$24)*CHOOSE(ArtifactsInput!$N$24+1,10,12,14,16,18,20)+(IF(AND(Inputs!$B$38&lt;&gt;"pvp",Inputs!$B$43=0),1,IF(IF(Inputs!$B$38="pvp",15,Inputs!$B$43)-(B523)&lt;=0,1,MAX(0,IF(Inputs!$B$38="pvp",15,Inputs!$B$43)-MAX(5,B523))/(IF(Inputs!$B$38="pvp",15,Inputs!$B$43)-(B523))))*IF(AND(ArtifactsInput!$M$42,((Inputs!$B$9+((C504=TRUE)*(F504-Calc!F19))+B516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493*(MIN((Inputs!$B$9+((C504=TRUE)*(F504-Calc!F19))+B516+(ArtifactsInput!$M$24-ArtifactsInput!$M$24)*CHOOSE(ArtifactsInput!$N$24+1,10,12,14,16,18,20)+(IF(AND(Inputs!$B$38&lt;&gt;"pvp",Inputs!$B$43=0),1,IF(IF(Inputs!$B$38="pvp",15,Inputs!$B$43)-(B523)&lt;=0,1,MAX(0,IF(Inputs!$B$38="pvp",15,Inputs!$B$43)-MAX(5,B523))/(IF(Inputs!$B$38="pvp",15,Inputs!$B$43)-(B523))))*IF(AND(ArtifactsInput!$M$42,((Inputs!$B$9+((C504=TRUE)*(F504-Calc!F19))+B516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93">
        <f>(1-Summary!$B$11)*T493+Summary!$B$11*V493</f>
        <v/>
      </c>
      <c r="P493">
        <f>IF(B526=0,0,O493/B526)</f>
        <v/>
      </c>
      <c r="Q493">
        <f>IFERROR(1/((IF(Inputs!$B$38="pvp",15,MAX(0.1,Skills!D8-IF(TRUE=TRUE,Inputs!$B$32,0)))*(1-IF(AND(ArtifactsInput!$M$27,Inputs!$B$4="Chapter Hunt"),CHOOSE(ArtifactsInput!$N$27+1,20,24,28,32,36,40),0)/100))/B527),0)</f>
        <v/>
      </c>
      <c r="R493">
        <f>IF(AND(Inputs!$B$38&lt;&gt;"pvp",Inputs!$B$43&gt;0),IF(MAX(0,Inputs!$B$43-B523)&lt;=0,0,(INT(MAX(0,Inputs!$B$43-B523)/((IF(Inputs!$B$38="pvp",15,MAX(0.1,Skills!D8-IF(TRUE=TRUE,Inputs!$B$32,0)))*(1-IF(AND(ArtifactsInput!$M$27,Inputs!$B$4="Chapter Hunt"),CHOOSE(ArtifactsInput!$N$27+1,20,24,28,32,36,40),0)/100))/B527))+1)),0)</f>
        <v/>
      </c>
      <c r="S493">
        <f>IFERROR(O493/N493,0)</f>
        <v/>
      </c>
      <c r="T493">
        <f>IF(C493,(H493*N493*IF(AND(Inputs!$B$38&lt;&gt;"pvp",Inputs!$B$43&gt;0),((Skills!G8*((R493-1)*IF(Skills!H8&gt;0,INT(Skills!I8/Skills!H8+0.000000001),1)+IF(Skills!H8&gt;0,INT(MIN(Skills!I8,MAX(0,MAX(0,Inputs!$B$43-B523)-((R493-1)*((IF(Inputs!$B$38="pvp",15,MAX(0.1,Skills!D8-IF(TRUE=TRUE,Inputs!$B$32,0)))*(1-IF(AND(ArtifactsInput!$M$27,Inputs!$B$4="Chapter Hunt"),CHOOSE(ArtifactsInput!$N$27+1,20,24,28,32,36,40),0)/100))/B527))))/Skills!H8+0.000000001),1)))/Inputs!$B$43),G493*Q493))*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Hunt"),CHOOSE(ArtifactsInput!$N$35+1,15,18,21,24,27,30)*(1-EXP(-(0.2*B518)*5)),0)+IF(AND(ArtifactsInput!$M$22,Inputs!$B$4&lt;&gt;"Chapter Hunt"),CHOOSE(ArtifactsInput!$N$22+1,10,12,14,16,18,20)*((0*(((0.15*B518*5))^0/1)+1*(((0.15*B518*5))^1/1)+2*(((0.15*B518*5))^2/2)+3*(((0.15*B518*5))^3/6)+4*(((0.15*B518*5))^4/24)+5*(((0.15*B518*5))^5/120))/((((0.15*B518*5))^0/1)+(((0.15*B518*5))^1/1)+(((0.15*B518*5))^2/2)+(((0.15*B518*5))^3/6)+(((0.15*B518*5))^4/24)+(((0.15*B518*5))^5/120))),0))+IF(Inputs!$B$3&gt;=54,9*(C488=TRUE)*MIN(1,8*(1+Inputs!$B$34/100)*Q488)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493*(1-MIN(100,(Inputs!$B$9+((C504=TRUE)*(F504-Calc!F19))+B516+(ArtifactsInput!$M$24-ArtifactsInput!$M$24)*CHOOSE(ArtifactsInput!$N$24+1,10,12,14,16,18,20)+(IF(AND(Inputs!$B$38&lt;&gt;"pvp",Inputs!$B$43=0),1,IF(IF(Inputs!$B$38="pvp",15,Inputs!$B$43)-(B523)&lt;=0,1,MAX(0,IF(Inputs!$B$38="pvp",15,Inputs!$B$43)-MAX(5,B523))/(IF(Inputs!$B$38="pvp",15,Inputs!$B$43)-(B523))))*IF(AND(ArtifactsInput!$M$42,((Inputs!$B$9+((C504=TRUE)*(F504-Calc!F19))+B516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493*(MIN(100,(Inputs!$B$9+((C504=TRUE)*(F504-Calc!F19))+B516+(ArtifactsInput!$M$24-ArtifactsInput!$M$24)*CHOOSE(ArtifactsInput!$N$24+1,10,12,14,16,18,20)+(IF(AND(Inputs!$B$38&lt;&gt;"pvp",Inputs!$B$43=0),1,IF(IF(Inputs!$B$38="pvp",15,Inputs!$B$43)-(B523)&lt;=0,1,MAX(0,IF(Inputs!$B$38="pvp",15,Inputs!$B$43)-MAX(5,B523))/(IF(Inputs!$B$38="pvp",15,Inputs!$B$43)-(B523))))*IF(AND(ArtifactsInput!$M$42,((Inputs!$B$9+((C504=TRUE)*(F504-Calc!F19))+B516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493*(1-MIN(100,(Inputs!$B$9+((C504=TRUE)*(F504-Calc!F19))+B516+(ArtifactsInput!$M$24-ArtifactsInput!$M$24)*CHOOSE(ArtifactsInput!$N$24+1,10,12,14,16,18,20)+(IF(AND(Inputs!$B$38&lt;&gt;"pvp",Inputs!$B$43=0),1,IF(IF(Inputs!$B$38="pvp",15,Inputs!$B$43)-(B523)&lt;=0,1,MAX(0,IF(Inputs!$B$38="pvp",15,Inputs!$B$43)-MAX(5,B523))/(IF(Inputs!$B$38="pvp",15,Inputs!$B$43)-(B523))))*IF(AND(ArtifactsInput!$M$42,((Inputs!$B$9+((C504=TRUE)*(F504-Calc!F19))+B516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493*(MIN(100,(Inputs!$B$9+((C504=TRUE)*(F504-Calc!F19))+B516+(ArtifactsInput!$M$24-ArtifactsInput!$M$24)*CHOOSE(ArtifactsInput!$N$24+1,10,12,14,16,18,20)+(IF(AND(Inputs!$B$38&lt;&gt;"pvp",Inputs!$B$43=0),1,IF(IF(Inputs!$B$38="pvp",15,Inputs!$B$43)-(B523)&lt;=0,1,MAX(0,IF(Inputs!$B$38="pvp",15,Inputs!$B$43)-MAX(5,B523))/(IF(Inputs!$B$38="pvp",15,Inputs!$B$43)-(B523))))*IF(AND(ArtifactsInput!$M$42,((Inputs!$B$9+((C504=TRUE)*(F504-Calc!F19))+B516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493">
        <f>IF(C493,(H493*N493*IF(AND(Inputs!$B$38&lt;&gt;"pvp",Inputs!$B$43&gt;0),((Skills!G8*((R493-1)*IF(Skills!H8&gt;0,INT(Skills!I8/Skills!H8+0.000000001),1)+IF(Skills!H8&gt;0,INT(MIN(Skills!I8,MAX(0,MAX(0,Inputs!$B$43-B523)-((R493-1)*((IF(Inputs!$B$38="pvp",15,MAX(0.1,Skills!D8-IF(TRUE=TRUE,Inputs!$B$32,0)))*(1-IF(AND(ArtifactsInput!$M$27,Inputs!$B$4="Chapter Hunt"),CHOOSE(ArtifactsInput!$N$27+1,20,24,28,32,36,40),0)/100))/B527))))/Skills!H8+0.000000001),1)))/Inputs!$B$43),G493*Q493))*IF(Inputs!$B$38="pvp",1,(1+(Inputs!$B$21+Skills!Q8+(IF(ArtifactsInput!$M$33,CHOOSE(ArtifactsInput!$N$33+1,30,36,42,48,54,60),0))+(IF(AND(ArtifactsInput!$M$35,Inputs!$B$4&lt;&gt;"Chapter Hunt"),CHOOSE(ArtifactsInput!$N$35+1,15,18,21,24,27,30)*(1-EXP(-(0.2*B518)*5)),0)+IF(AND(ArtifactsInput!$M$22,Inputs!$B$4&lt;&gt;"Chapter Hunt"),CHOOSE(ArtifactsInput!$N$22+1,10,12,14,16,18,20)*((0*(((0.15*B518*5))^0/1)+1*(((0.15*B518*5))^1/1)+2*(((0.15*B518*5))^2/2)+3*(((0.15*B518*5))^3/6)+4*(((0.15*B518*5))^4/24)+5*(((0.15*B518*5))^5/120))/((((0.15*B518*5))^0/1)+(((0.15*B518*5))^1/1)+(((0.15*B518*5))^2/2)+(((0.15*B518*5))^3/6)+(((0.15*B518*5))^4/24)+(((0.15*B518*5))^5/120))),0))+IF(Inputs!$B$3&gt;=54,9*(C488=TRUE)*MIN(1,8*(1+Inputs!$B$34/100)*Q488),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94">
      <c r="A494">
        <f>Skills!A9</f>
        <v/>
      </c>
      <c r="B494">
        <f>Skills!B9</f>
        <v/>
      </c>
      <c r="C494">
        <f>Inputs!$B$3&gt;=105</f>
        <v/>
      </c>
      <c r="D494">
        <f>IF(Skills!C9=1,60+Inputs!$B$25+Inputs!$B$29,IF(Skills!C9=2,90+Inputs!$B$26+Inputs!$B$29,IF(Skills!C9=3,120+Inputs!$B$27+Inputs!$B$29,MAX(0,(Inputs!$B$3-100)*3)+Inputs!$B$28+Inputs!$B$29)))</f>
        <v/>
      </c>
      <c r="E494">
        <f>INDEX(FactorTable!$B$2:$Y$301, MATCH(ROUND(MIN(300,MAX(1,D494)),0), FactorTable!$A$2:$A$301,0), Skills!M9+1)</f>
        <v/>
      </c>
      <c r="F494">
        <f>IF(Skills!N9=TRUE,(Skills!L9/10)*(E494/1000),Skills!L9/10)+Skills!O9</f>
        <v/>
      </c>
      <c r="G494">
        <f>Skills!G9*IF(Skills!H9&gt;0,INT(IF(Inputs!$B$38="pvp",MIN(Skills!I9,15),Skills!I9)/Skills!H9+0.000000001),1)</f>
        <v/>
      </c>
      <c r="H494">
        <f>1-(1-Skills!J9/100)^Skills!K9</f>
        <v/>
      </c>
      <c r="I494" t="inlineStr">
        <is>
          <t>1</t>
        </is>
      </c>
      <c r="J494">
        <f>((Inputs!$B$6*(1+Inputs!$B$7/100))+(((Inputs!$B$12*(1+Inputs!$B$13/100))-(Inputs!$B$12*(1+Inputs!$B$13/100)))+0.25*(Inputs!$B$14-Inputs!$B$14))*(1+Inputs!$B$7/100))*(F494/100)</f>
        <v/>
      </c>
      <c r="K494">
        <f>J494*(1+((Inputs!$B$12*(1+Inputs!$B$13/100))*0.01+Inputs!$B$14*0.0025)/100)*(1+Inputs!$B$15/100)*(1+Inputs!$B$16/100)*(5000/(6000+Inputs!$B$42*(1-(100*(1-(1-(Inputs!$B$19+0)/100)*(1-CHOOSE(ArtifactsInput!$N$40+1,5,6,7,8,9,10)/100)^(ArtifactsInput!$M$40-ArtifactsInput!$M$40)))/100)))*(1+(Inputs!$B$24+((C511=TRUE)*(F511-Calc!F26))+B522)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IGHT_LEGS_EASTON",Inputs!$B$17+((C508=TRUE)*(F508-Calc!F23))+((C512=TRUE)*(F512-Calc!F27))+((IF(AND(Inputs!$B$38&lt;&gt;"pvp",Inputs!$B$43=0),1,IF(IF(Inputs!$B$38="pvp",15,Inputs!$B$43)-(B523)&lt;=0,1,MAX(0,IF(Inputs!$B$38="pvp",15,Inputs!$B$43)-MAX(5,B523))/(IF(Inputs!$B$38="pvp",15,Inputs!$B$43)-(B523))))*(IF(AND(ArtifactsInput!$M$42,((Inputs!$B$9+((C504=TRUE)*(F504-Calc!F19))+B516+(ArtifactsInput!$M$24-ArtifactsInput!$M$24)*CHOOSE(ArtifactsInput!$N$24+1,10,12,14,16,18,20)+IF(ArtifactsInput!$M$10,CHOOSE(ArtifactsInput!$N$10+1,15,18,21,24,27,30)*(IF(Inputs!$B$38="pvp",MIN(15,15)/15,IF(AND(Inputs!$B$38&lt;&gt;"pvp",Inputs!$B$43&gt;0),MIN(15,Inputs!$B$43)/(Inputs!$B$43),0))),0)))&gt;=100),MIN(100,((Inputs!$B$9+((C504=TRUE)*(F504-Calc!F19))+B516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523)&lt;=0,1,MAX(0,IF(Inputs!$B$38="pvp",15,Inputs!$B$43)-MAX(5,B523))/(IF(Inputs!$B$38="pvp",15,Inputs!$B$43)-(B523))))*IF(AND(ArtifactsInput!$M$42,((Inputs!$B$9+((C504=TRUE)*(F504-Calc!F19))+B516+(ArtifactsInput!$M$24-ArtifactsInput!$M$24)*CHOOSE(ArtifactsInput!$N$24+1,10,12,14,16,18,20)+IF(ArtifactsInput!$M$10,CHOOSE(ArtifactsInput!$N$10+1,15,18,21,24,27,30)*(IF(Inputs!$B$38="pvp",MIN(15,15)/15,IF(AND(Inputs!$B$38&lt;&gt;"pvp",Inputs!$B$43&gt;0),MIN(15,Inputs!$B$43)/(Inputs!$B$43),0))),0)))&gt;=100),CHOOSE(ArtifactsInput!$N$42+1,40,48,56,64,72,80),0))))/100)*((1+(((C502=TRUE)*F502*5/7)+((C509=TRUE)*(F509-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494)</f>
        <v/>
      </c>
      <c r="L494">
        <f>K494*(MIN(Inputs!$B$22+((C507=TRUE)*(F507-Calc!F22)),((Inputs!$B$23+1)+0+(IF(ArtifactsInput!$M$15,CHOOSE(ArtifactsInput!$N$15+1,25,30,35,40,45,50)/100*(Inputs!$B$11-Inputs!$B$11),0))))/100+((Inputs!$B$23+1)+0+(IF(ArtifactsInput!$M$15,CHOOSE(ArtifactsInput!$N$15+1,25,30,35,40,45,50)/100*(Inputs!$B$11-Inputs!$B$11),0)))/100)/2</f>
        <v/>
      </c>
      <c r="M494">
        <f>L494*(1+(Inputs!$B$10+((C510=TRUE)*(F510-Calc!F25))+B521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94">
        <f>L494*(1-MIN((Inputs!$B$9+((C504=TRUE)*(F504-Calc!F19))+B516+(ArtifactsInput!$M$24-ArtifactsInput!$M$24)*CHOOSE(ArtifactsInput!$N$24+1,10,12,14,16,18,20)+(IF(AND(Inputs!$B$38&lt;&gt;"pvp",Inputs!$B$43=0),1,IF(IF(Inputs!$B$38="pvp",15,Inputs!$B$43)-(B523)&lt;=0,1,MAX(0,IF(Inputs!$B$38="pvp",15,Inputs!$B$43)-MAX(5,B523))/(IF(Inputs!$B$38="pvp",15,Inputs!$B$43)-(B523))))*IF(AND(ArtifactsInput!$M$42,((Inputs!$B$9+((C504=TRUE)*(F504-Calc!F19))+B516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494*(MIN((Inputs!$B$9+((C504=TRUE)*(F504-Calc!F19))+B516+(ArtifactsInput!$M$24-ArtifactsInput!$M$24)*CHOOSE(ArtifactsInput!$N$24+1,10,12,14,16,18,20)+(IF(AND(Inputs!$B$38&lt;&gt;"pvp",Inputs!$B$43=0),1,IF(IF(Inputs!$B$38="pvp",15,Inputs!$B$43)-(B523)&lt;=0,1,MAX(0,IF(Inputs!$B$38="pvp",15,Inputs!$B$43)-MAX(5,B523))/(IF(Inputs!$B$38="pvp",15,Inputs!$B$43)-(B523))))*IF(AND(ArtifactsInput!$M$42,((Inputs!$B$9+((C504=TRUE)*(F504-Calc!F19))+B516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94">
        <f>(1-Summary!$B$11)*T494+Summary!$B$11*V494</f>
        <v/>
      </c>
      <c r="P494">
        <f>IF(B526=0,0,O494/B526)</f>
        <v/>
      </c>
      <c r="Q494">
        <f>IFERROR(1/(IF(Inputs!$B$38="pvp",15,MAX(0.1,Skills!D9-IF(TRUE=TRUE,Inputs!$B$32,0)))*(1-IF(AND(ArtifactsInput!$M$27,Inputs!$B$4="Chapter Hunt"),CHOOSE(ArtifactsInput!$N$27+1,20,24,28,32,36,40),0)/100)),0)</f>
        <v/>
      </c>
      <c r="R494">
        <f>IF(AND(Inputs!$B$38&lt;&gt;"pvp",Inputs!$B$43&gt;0),IF(MAX(0,Inputs!$B$43-B523)&lt;=0,0,(INT(MAX(0,Inputs!$B$43-B523)/(IF(Inputs!$B$38="pvp",15,MAX(0.1,Skills!D9-IF(TRUE=TRUE,Inputs!$B$32,0)))*(1-IF(AND(ArtifactsInput!$M$27,Inputs!$B$4="Chapter Hunt"),CHOOSE(ArtifactsInput!$N$27+1,20,24,28,32,36,40),0)/100)))+1)),0)</f>
        <v/>
      </c>
      <c r="S494">
        <f>IFERROR(O494/N494,0)</f>
        <v/>
      </c>
      <c r="T494">
        <f>IF(C494,(H494*N494*IF(AND(Inputs!$B$38&lt;&gt;"pvp",Inputs!$B$43&gt;0),((Skills!G9*((R494-1)*IF(Skills!H9&gt;0,INT(Skills!I9/Skills!H9+0.000000001),1)+IF(Skills!H9&gt;0,INT(MIN(Skills!I9,MAX(0,MAX(0,Inputs!$B$43-B523)-((R494-1)*(IF(Inputs!$B$38="pvp",15,MAX(0.1,Skills!D9-IF(TRUE=TRUE,Inputs!$B$32,0)))*(1-IF(AND(ArtifactsInput!$M$27,Inputs!$B$4="Chapter Hunt"),CHOOSE(ArtifactsInput!$N$27+1,20,24,28,32,36,40),0)/100)))))/Skills!H9+0.000000001),1)))/Inputs!$B$43),G494*Q494))*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Hunt"),CHOOSE(ArtifactsInput!$N$35+1,15,18,21,24,27,30)*(1-EXP(-(0.2*B518)*5)),0)+IF(AND(ArtifactsInput!$M$22,Inputs!$B$4&lt;&gt;"Chapter Hunt"),CHOOSE(ArtifactsInput!$N$22+1,10,12,14,16,18,20)*((0*(((0.15*B518*5))^0/1)+1*(((0.15*B518*5))^1/1)+2*(((0.15*B518*5))^2/2)+3*(((0.15*B518*5))^3/6)+4*(((0.15*B518*5))^4/24)+5*(((0.15*B518*5))^5/120))/((((0.15*B518*5))^0/1)+(((0.15*B518*5))^1/1)+(((0.15*B518*5))^2/2)+(((0.15*B518*5))^3/6)+(((0.15*B518*5))^4/24)+(((0.15*B518*5))^5/120))),0))+IF(Inputs!$B$3&gt;=54,9*(C488=TRUE)*MIN(1,8*(1+Inputs!$B$34/100)*Q488)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494*(1-MIN(100,(Inputs!$B$9+((C504=TRUE)*(F504-Calc!F19))+B516+(ArtifactsInput!$M$24-ArtifactsInput!$M$24)*CHOOSE(ArtifactsInput!$N$24+1,10,12,14,16,18,20)+(IF(AND(Inputs!$B$38&lt;&gt;"pvp",Inputs!$B$43=0),1,IF(IF(Inputs!$B$38="pvp",15,Inputs!$B$43)-(B523)&lt;=0,1,MAX(0,IF(Inputs!$B$38="pvp",15,Inputs!$B$43)-MAX(5,B523))/(IF(Inputs!$B$38="pvp",15,Inputs!$B$43)-(B523))))*IF(AND(ArtifactsInput!$M$42,((Inputs!$B$9+((C504=TRUE)*(F504-Calc!F19))+B516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494*(MIN(100,(Inputs!$B$9+((C504=TRUE)*(F504-Calc!F19))+B516+(ArtifactsInput!$M$24-ArtifactsInput!$M$24)*CHOOSE(ArtifactsInput!$N$24+1,10,12,14,16,18,20)+(IF(AND(Inputs!$B$38&lt;&gt;"pvp",Inputs!$B$43=0),1,IF(IF(Inputs!$B$38="pvp",15,Inputs!$B$43)-(B523)&lt;=0,1,MAX(0,IF(Inputs!$B$38="pvp",15,Inputs!$B$43)-MAX(5,B523))/(IF(Inputs!$B$38="pvp",15,Inputs!$B$43)-(B523))))*IF(AND(ArtifactsInput!$M$42,((Inputs!$B$9+((C504=TRUE)*(F504-Calc!F19))+B516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494*(1-MIN(100,(Inputs!$B$9+((C504=TRUE)*(F504-Calc!F19))+B516+(ArtifactsInput!$M$24-ArtifactsInput!$M$24)*CHOOSE(ArtifactsInput!$N$24+1,10,12,14,16,18,20)+(IF(AND(Inputs!$B$38&lt;&gt;"pvp",Inputs!$B$43=0),1,IF(IF(Inputs!$B$38="pvp",15,Inputs!$B$43)-(B523)&lt;=0,1,MAX(0,IF(Inputs!$B$38="pvp",15,Inputs!$B$43)-MAX(5,B523))/(IF(Inputs!$B$38="pvp",15,Inputs!$B$43)-(B523))))*IF(AND(ArtifactsInput!$M$42,((Inputs!$B$9+((C504=TRUE)*(F504-Calc!F19))+B516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494*(MIN(100,(Inputs!$B$9+((C504=TRUE)*(F504-Calc!F19))+B516+(ArtifactsInput!$M$24-ArtifactsInput!$M$24)*CHOOSE(ArtifactsInput!$N$24+1,10,12,14,16,18,20)+(IF(AND(Inputs!$B$38&lt;&gt;"pvp",Inputs!$B$43=0),1,IF(IF(Inputs!$B$38="pvp",15,Inputs!$B$43)-(B523)&lt;=0,1,MAX(0,IF(Inputs!$B$38="pvp",15,Inputs!$B$43)-MAX(5,B523))/(IF(Inputs!$B$38="pvp",15,Inputs!$B$43)-(B523))))*IF(AND(ArtifactsInput!$M$42,((Inputs!$B$9+((C504=TRUE)*(F504-Calc!F19))+B516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494">
        <f>IF(C494,(H494*N494*IF(AND(Inputs!$B$38&lt;&gt;"pvp",Inputs!$B$43&gt;0),((Skills!G9*((R494-1)*IF(Skills!H9&gt;0,INT(Skills!I9/Skills!H9+0.000000001),1)+IF(Skills!H9&gt;0,INT(MIN(Skills!I9,MAX(0,MAX(0,Inputs!$B$43-B523)-((R494-1)*(IF(Inputs!$B$38="pvp",15,MAX(0.1,Skills!D9-IF(TRUE=TRUE,Inputs!$B$32,0)))*(1-IF(AND(ArtifactsInput!$M$27,Inputs!$B$4="Chapter Hunt"),CHOOSE(ArtifactsInput!$N$27+1,20,24,28,32,36,40),0)/100)))))/Skills!H9+0.000000001),1)))/Inputs!$B$43),G494*Q494))*IF(Inputs!$B$38="pvp",1,(1+(Inputs!$B$21+Skills!Q9+(IF(ArtifactsInput!$M$33,CHOOSE(ArtifactsInput!$N$33+1,30,36,42,48,54,60),0))+(IF(AND(ArtifactsInput!$M$35,Inputs!$B$4&lt;&gt;"Chapter Hunt"),CHOOSE(ArtifactsInput!$N$35+1,15,18,21,24,27,30)*(1-EXP(-(0.2*B518)*5)),0)+IF(AND(ArtifactsInput!$M$22,Inputs!$B$4&lt;&gt;"Chapter Hunt"),CHOOSE(ArtifactsInput!$N$22+1,10,12,14,16,18,20)*((0*(((0.15*B518*5))^0/1)+1*(((0.15*B518*5))^1/1)+2*(((0.15*B518*5))^2/2)+3*(((0.15*B518*5))^3/6)+4*(((0.15*B518*5))^4/24)+5*(((0.15*B518*5))^5/120))/((((0.15*B518*5))^0/1)+(((0.15*B518*5))^1/1)+(((0.15*B518*5))^2/2)+(((0.15*B518*5))^3/6)+(((0.15*B518*5))^4/24)+(((0.15*B518*5))^5/120))),0))+IF(Inputs!$B$3&gt;=54,9*(C488=TRUE)*MIN(1,8*(1+Inputs!$B$34/100)*Q488),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95">
      <c r="A495">
        <f>Skills!A10</f>
        <v/>
      </c>
      <c r="B495">
        <f>Skills!B10</f>
        <v/>
      </c>
      <c r="C495">
        <f>Inputs!$B$3&gt;=113</f>
        <v/>
      </c>
      <c r="D495">
        <f>IF(Skills!C10=1,60+Inputs!$B$25+Inputs!$B$29,IF(Skills!C10=2,90+Inputs!$B$26+Inputs!$B$29,IF(Skills!C10=3,120+Inputs!$B$27+Inputs!$B$29,MAX(0,(Inputs!$B$3-100)*3)+Inputs!$B$28+Inputs!$B$29)))</f>
        <v/>
      </c>
      <c r="E495">
        <f>INDEX(FactorTable!$B$2:$Y$301, MATCH(ROUND(MIN(300,MAX(1,D495)),0), FactorTable!$A$2:$A$301,0), Skills!M10+1)</f>
        <v/>
      </c>
      <c r="F495">
        <f>IF(Skills!N10=TRUE,(Skills!L10/10)*(E495/1000),Skills!L10/10)+Skills!O10</f>
        <v/>
      </c>
      <c r="G495">
        <f>Skills!G10*IF(Skills!H10&gt;0,INT(IF(Inputs!$B$38="pvp",MIN(Skills!I10,15),Skills!I10)/Skills!H10+0.000000001),1)</f>
        <v/>
      </c>
      <c r="H495">
        <f>1-(1-Skills!J10/100)^Skills!K10</f>
        <v/>
      </c>
      <c r="I495" t="inlineStr">
        <is>
          <t>1</t>
        </is>
      </c>
      <c r="J495">
        <f>((Inputs!$B$6*(1+Inputs!$B$7/100))+(((Inputs!$B$12*(1+Inputs!$B$13/100))-(Inputs!$B$12*(1+Inputs!$B$13/100)))+0.25*(Inputs!$B$14-Inputs!$B$14))*(1+Inputs!$B$7/100))*(F495/100)</f>
        <v/>
      </c>
      <c r="K495">
        <f>J495*(1+((Inputs!$B$12*(1+Inputs!$B$13/100))*0.01+Inputs!$B$14*0.0025)/100)*(1+Inputs!$B$15/100)*(1+Inputs!$B$16/100)*(5000/(6000+Inputs!$B$42*(1-(100*(1-(1-(Inputs!$B$19+0)/100)*(1-CHOOSE(ArtifactsInput!$N$40+1,5,6,7,8,9,10)/100)^(ArtifactsInput!$M$40-ArtifactsInput!$M$40)))/100)))*(1+(Inputs!$B$24+((C511=TRUE)*(F511-Calc!F26))+B522)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IGHT_LEGS_EASTON",Inputs!$B$17+((C508=TRUE)*(F508-Calc!F23))+((C512=TRUE)*(F512-Calc!F27))+((IF(AND(Inputs!$B$38&lt;&gt;"pvp",Inputs!$B$43=0),1,IF(IF(Inputs!$B$38="pvp",15,Inputs!$B$43)-(B523)&lt;=0,1,MAX(0,IF(Inputs!$B$38="pvp",15,Inputs!$B$43)-MAX(5,B523))/(IF(Inputs!$B$38="pvp",15,Inputs!$B$43)-(B523))))*(IF(AND(ArtifactsInput!$M$42,((Inputs!$B$9+((C504=TRUE)*(F504-Calc!F19))+B516+(ArtifactsInput!$M$24-ArtifactsInput!$M$24)*CHOOSE(ArtifactsInput!$N$24+1,10,12,14,16,18,20)+IF(ArtifactsInput!$M$10,CHOOSE(ArtifactsInput!$N$10+1,15,18,21,24,27,30)*(IF(Inputs!$B$38="pvp",MIN(15,15)/15,IF(AND(Inputs!$B$38&lt;&gt;"pvp",Inputs!$B$43&gt;0),MIN(15,Inputs!$B$43)/(Inputs!$B$43),0))),0)))&gt;=100),MIN(100,((Inputs!$B$9+((C504=TRUE)*(F504-Calc!F19))+B516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523)&lt;=0,1,MAX(0,IF(Inputs!$B$38="pvp",15,Inputs!$B$43)-MAX(5,B523))/(IF(Inputs!$B$38="pvp",15,Inputs!$B$43)-(B523))))*IF(AND(ArtifactsInput!$M$42,((Inputs!$B$9+((C504=TRUE)*(F504-Calc!F19))+B516+(ArtifactsInput!$M$24-ArtifactsInput!$M$24)*CHOOSE(ArtifactsInput!$N$24+1,10,12,14,16,18,20)+IF(ArtifactsInput!$M$10,CHOOSE(ArtifactsInput!$N$10+1,15,18,21,24,27,30)*(IF(Inputs!$B$38="pvp",MIN(15,15)/15,IF(AND(Inputs!$B$38&lt;&gt;"pvp",Inputs!$B$43&gt;0),MIN(15,Inputs!$B$43)/(Inputs!$B$43),0))),0)))&gt;=100),CHOOSE(ArtifactsInput!$N$42+1,40,48,56,64,72,80),0))))/100)*((1+(((C502=TRUE)*F502*5/7)+((C509=TRUE)*(F509-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495)</f>
        <v/>
      </c>
      <c r="L495">
        <f>K495*(MIN(Inputs!$B$22+((C507=TRUE)*(F507-Calc!F22)),((Inputs!$B$23+1)+0+(IF(ArtifactsInput!$M$15,CHOOSE(ArtifactsInput!$N$15+1,25,30,35,40,45,50)/100*(Inputs!$B$11-Inputs!$B$11),0))))/100+((Inputs!$B$23+1)+0+(IF(ArtifactsInput!$M$15,CHOOSE(ArtifactsInput!$N$15+1,25,30,35,40,45,50)/100*(Inputs!$B$11-Inputs!$B$11),0)))/100)/2</f>
        <v/>
      </c>
      <c r="M495">
        <f>L495*(1+(Inputs!$B$10+((C510=TRUE)*(F510-Calc!F25))+B521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95">
        <f>L495*(1-MIN((Inputs!$B$9+((C504=TRUE)*(F504-Calc!F19))+B516+(ArtifactsInput!$M$24-ArtifactsInput!$M$24)*CHOOSE(ArtifactsInput!$N$24+1,10,12,14,16,18,20)+(IF(AND(Inputs!$B$38&lt;&gt;"pvp",Inputs!$B$43=0),1,IF(IF(Inputs!$B$38="pvp",15,Inputs!$B$43)-(B523)&lt;=0,1,MAX(0,IF(Inputs!$B$38="pvp",15,Inputs!$B$43)-MAX(5,B523))/(IF(Inputs!$B$38="pvp",15,Inputs!$B$43)-(B523))))*IF(AND(ArtifactsInput!$M$42,((Inputs!$B$9+((C504=TRUE)*(F504-Calc!F19))+B516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495*(MIN((Inputs!$B$9+((C504=TRUE)*(F504-Calc!F19))+B516+(ArtifactsInput!$M$24-ArtifactsInput!$M$24)*CHOOSE(ArtifactsInput!$N$24+1,10,12,14,16,18,20)+(IF(AND(Inputs!$B$38&lt;&gt;"pvp",Inputs!$B$43=0),1,IF(IF(Inputs!$B$38="pvp",15,Inputs!$B$43)-(B523)&lt;=0,1,MAX(0,IF(Inputs!$B$38="pvp",15,Inputs!$B$43)-MAX(5,B523))/(IF(Inputs!$B$38="pvp",15,Inputs!$B$43)-(B523))))*IF(AND(ArtifactsInput!$M$42,((Inputs!$B$9+((C504=TRUE)*(F504-Calc!F19))+B516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95">
        <f>(1-Summary!$B$11)*T495+Summary!$B$11*V495</f>
        <v/>
      </c>
      <c r="P495">
        <f>IF(B526=0,0,O495/B526)</f>
        <v/>
      </c>
      <c r="Q495" t="n">
        <v>0</v>
      </c>
      <c r="R495" t="n">
        <v>0</v>
      </c>
      <c r="S495">
        <f>IFERROR(O495/N495,0)</f>
        <v/>
      </c>
      <c r="T495">
        <f>IF(C495,((H495*B528)/(1+Skills!H10*H495*B528)*N495)*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Hunt"),CHOOSE(ArtifactsInput!$N$35+1,15,18,21,24,27,30)*(1-EXP(-(0.2*B518)*5)),0)+IF(AND(ArtifactsInput!$M$22,Inputs!$B$4&lt;&gt;"Chapter Hunt"),CHOOSE(ArtifactsInput!$N$22+1,10,12,14,16,18,20)*((0*(((0.15*B518*5))^0/1)+1*(((0.15*B518*5))^1/1)+2*(((0.15*B518*5))^2/2)+3*(((0.15*B518*5))^3/6)+4*(((0.15*B518*5))^4/24)+5*(((0.15*B518*5))^5/120))/((((0.15*B518*5))^0/1)+(((0.15*B518*5))^1/1)+(((0.15*B518*5))^2/2)+(((0.15*B518*5))^3/6)+(((0.15*B518*5))^4/24)+(((0.15*B518*5))^5/120))),0))+IF(Inputs!$B$3&gt;=54,9*(C488=TRUE)*MIN(1,8*(1+Inputs!$B$34/100)*Q488)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495*(1-MIN(100,(Inputs!$B$9+((C504=TRUE)*(F504-Calc!F19))+B516+(ArtifactsInput!$M$24-ArtifactsInput!$M$24)*CHOOSE(ArtifactsInput!$N$24+1,10,12,14,16,18,20)+(IF(AND(Inputs!$B$38&lt;&gt;"pvp",Inputs!$B$43=0),1,IF(IF(Inputs!$B$38="pvp",15,Inputs!$B$43)-(B523)&lt;=0,1,MAX(0,IF(Inputs!$B$38="pvp",15,Inputs!$B$43)-MAX(5,B523))/(IF(Inputs!$B$38="pvp",15,Inputs!$B$43)-(B523))))*IF(AND(ArtifactsInput!$M$42,((Inputs!$B$9+((C504=TRUE)*(F504-Calc!F19))+B516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495*(MIN(100,(Inputs!$B$9+((C504=TRUE)*(F504-Calc!F19))+B516+(ArtifactsInput!$M$24-ArtifactsInput!$M$24)*CHOOSE(ArtifactsInput!$N$24+1,10,12,14,16,18,20)+(IF(AND(Inputs!$B$38&lt;&gt;"pvp",Inputs!$B$43=0),1,IF(IF(Inputs!$B$38="pvp",15,Inputs!$B$43)-(B523)&lt;=0,1,MAX(0,IF(Inputs!$B$38="pvp",15,Inputs!$B$43)-MAX(5,B523))/(IF(Inputs!$B$38="pvp",15,Inputs!$B$43)-(B523))))*IF(AND(ArtifactsInput!$M$42,((Inputs!$B$9+((C504=TRUE)*(F504-Calc!F19))+B516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495*(1-MIN(100,(Inputs!$B$9+((C504=TRUE)*(F504-Calc!F19))+B516+(ArtifactsInput!$M$24-ArtifactsInput!$M$24)*CHOOSE(ArtifactsInput!$N$24+1,10,12,14,16,18,20)+(IF(AND(Inputs!$B$38&lt;&gt;"pvp",Inputs!$B$43=0),1,IF(IF(Inputs!$B$38="pvp",15,Inputs!$B$43)-(B523)&lt;=0,1,MAX(0,IF(Inputs!$B$38="pvp",15,Inputs!$B$43)-MAX(5,B523))/(IF(Inputs!$B$38="pvp",15,Inputs!$B$43)-(B523))))*IF(AND(ArtifactsInput!$M$42,((Inputs!$B$9+((C504=TRUE)*(F504-Calc!F19))+B516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495*(MIN(100,(Inputs!$B$9+((C504=TRUE)*(F504-Calc!F19))+B516+(ArtifactsInput!$M$24-ArtifactsInput!$M$24)*CHOOSE(ArtifactsInput!$N$24+1,10,12,14,16,18,20)+(IF(AND(Inputs!$B$38&lt;&gt;"pvp",Inputs!$B$43=0),1,IF(IF(Inputs!$B$38="pvp",15,Inputs!$B$43)-(B523)&lt;=0,1,MAX(0,IF(Inputs!$B$38="pvp",15,Inputs!$B$43)-MAX(5,B523))/(IF(Inputs!$B$38="pvp",15,Inputs!$B$43)-(B523))))*IF(AND(ArtifactsInput!$M$42,((Inputs!$B$9+((C504=TRUE)*(F504-Calc!F19))+B516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495">
        <f>IF(C495,((H495*B528)/(1+Skills!H10*H495*B528)*N495)*IF(Inputs!$B$38="pvp",1,(1+(Inputs!$B$21+Skills!Q10+(IF(ArtifactsInput!$M$33,CHOOSE(ArtifactsInput!$N$33+1,30,36,42,48,54,60),0))+(IF(AND(ArtifactsInput!$M$35,Inputs!$B$4&lt;&gt;"Chapter Hunt"),CHOOSE(ArtifactsInput!$N$35+1,15,18,21,24,27,30)*(1-EXP(-(0.2*B518)*5)),0)+IF(AND(ArtifactsInput!$M$22,Inputs!$B$4&lt;&gt;"Chapter Hunt"),CHOOSE(ArtifactsInput!$N$22+1,10,12,14,16,18,20)*((0*(((0.15*B518*5))^0/1)+1*(((0.15*B518*5))^1/1)+2*(((0.15*B518*5))^2/2)+3*(((0.15*B518*5))^3/6)+4*(((0.15*B518*5))^4/24)+5*(((0.15*B518*5))^5/120))/((((0.15*B518*5))^0/1)+(((0.15*B518*5))^1/1)+(((0.15*B518*5))^2/2)+(((0.15*B518*5))^3/6)+(((0.15*B518*5))^4/24)+(((0.15*B518*5))^5/120))),0))+IF(Inputs!$B$3&gt;=54,9*(C488=TRUE)*MIN(1,8*(1+Inputs!$B$34/100)*Q488),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96">
      <c r="A496">
        <f>Skills!A11</f>
        <v/>
      </c>
      <c r="B496">
        <f>Skills!B11</f>
        <v/>
      </c>
      <c r="C496">
        <f>Inputs!$B$3&gt;=117</f>
        <v/>
      </c>
      <c r="D496">
        <f>IF(Skills!C11=1,60+Inputs!$B$25+Inputs!$B$29,IF(Skills!C11=2,90+Inputs!$B$26+Inputs!$B$29,IF(Skills!C11=3,120+Inputs!$B$27+Inputs!$B$29,MAX(0,(Inputs!$B$3-100)*3)+Inputs!$B$28+Inputs!$B$29)))</f>
        <v/>
      </c>
      <c r="E496">
        <f>INDEX(FactorTable!$B$2:$Y$301, MATCH(ROUND(MIN(300,MAX(1,D496)),0), FactorTable!$A$2:$A$301,0), Skills!M11+1)</f>
        <v/>
      </c>
      <c r="F496">
        <f>IF(Skills!N11=TRUE,(Skills!L11/10)*(E496/1000),Skills!L11/10)+Skills!O11</f>
        <v/>
      </c>
      <c r="G496">
        <f>Skills!G11*IF(Skills!H11&gt;0,INT(IF(Inputs!$B$38="pvp",MIN(Skills!I11,15),Skills!I11)/Skills!H11+0.000000001),1)</f>
        <v/>
      </c>
      <c r="H496">
        <f>1-(1-Skills!J11/100)^Skills!K11</f>
        <v/>
      </c>
      <c r="I496" t="inlineStr">
        <is>
          <t>1</t>
        </is>
      </c>
      <c r="J496">
        <f>((Inputs!$B$6*(1+Inputs!$B$7/100))+(((Inputs!$B$12*(1+Inputs!$B$13/100))-(Inputs!$B$12*(1+Inputs!$B$13/100)))+0.25*(Inputs!$B$14-Inputs!$B$14))*(1+Inputs!$B$7/100))*(F496/100)</f>
        <v/>
      </c>
      <c r="K496">
        <f>J496*(1+((Inputs!$B$12*(1+Inputs!$B$13/100))*0.01+Inputs!$B$14*0.0025)/100)*(1+Inputs!$B$15/100)*(1+Inputs!$B$16/100)*(5000/(6000+Inputs!$B$42*(1-(100*(1-(1-(Inputs!$B$19+0)/100)*(1-CHOOSE(ArtifactsInput!$N$40+1,5,6,7,8,9,10)/100)^(ArtifactsInput!$M$40-ArtifactsInput!$M$40)))/100)))*(1+(Inputs!$B$24+((C511=TRUE)*(F511-Calc!F26))+B522)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IGHT_LEGS_EASTON",Inputs!$B$17+((C508=TRUE)*(F508-Calc!F23))+((C512=TRUE)*(F512-Calc!F27))+((IF(AND(Inputs!$B$38&lt;&gt;"pvp",Inputs!$B$43=0),1,IF(IF(Inputs!$B$38="pvp",15,Inputs!$B$43)-(B523)&lt;=0,1,MAX(0,IF(Inputs!$B$38="pvp",15,Inputs!$B$43)-MAX(5,B523))/(IF(Inputs!$B$38="pvp",15,Inputs!$B$43)-(B523))))*(IF(AND(ArtifactsInput!$M$42,((Inputs!$B$9+((C504=TRUE)*(F504-Calc!F19))+B516+(ArtifactsInput!$M$24-ArtifactsInput!$M$24)*CHOOSE(ArtifactsInput!$N$24+1,10,12,14,16,18,20)+IF(ArtifactsInput!$M$10,CHOOSE(ArtifactsInput!$N$10+1,15,18,21,24,27,30)*(IF(Inputs!$B$38="pvp",MIN(15,15)/15,IF(AND(Inputs!$B$38&lt;&gt;"pvp",Inputs!$B$43&gt;0),MIN(15,Inputs!$B$43)/(Inputs!$B$43),0))),0)))&gt;=100),MIN(100,((Inputs!$B$9+((C504=TRUE)*(F504-Calc!F19))+B516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523)&lt;=0,1,MAX(0,IF(Inputs!$B$38="pvp",15,Inputs!$B$43)-MAX(5,B523))/(IF(Inputs!$B$38="pvp",15,Inputs!$B$43)-(B523))))*IF(AND(ArtifactsInput!$M$42,((Inputs!$B$9+((C504=TRUE)*(F504-Calc!F19))+B516+(ArtifactsInput!$M$24-ArtifactsInput!$M$24)*CHOOSE(ArtifactsInput!$N$24+1,10,12,14,16,18,20)+IF(ArtifactsInput!$M$10,CHOOSE(ArtifactsInput!$N$10+1,15,18,21,24,27,30)*(IF(Inputs!$B$38="pvp",MIN(15,15)/15,IF(AND(Inputs!$B$38&lt;&gt;"pvp",Inputs!$B$43&gt;0),MIN(15,Inputs!$B$43)/(Inputs!$B$43),0))),0)))&gt;=100),CHOOSE(ArtifactsInput!$N$42+1,40,48,56,64,72,80),0))))/100)*((1+(((C502=TRUE)*F502*5/7)+((C509=TRUE)*(F509-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496)</f>
        <v/>
      </c>
      <c r="L496">
        <f>K496*(MIN(Inputs!$B$22+((C507=TRUE)*(F507-Calc!F22)),((Inputs!$B$23+1)+0+(IF(ArtifactsInput!$M$15,CHOOSE(ArtifactsInput!$N$15+1,25,30,35,40,45,50)/100*(Inputs!$B$11-Inputs!$B$11),0))))/100+((Inputs!$B$23+1)+0+(IF(ArtifactsInput!$M$15,CHOOSE(ArtifactsInput!$N$15+1,25,30,35,40,45,50)/100*(Inputs!$B$11-Inputs!$B$11),0)))/100)/2</f>
        <v/>
      </c>
      <c r="M496">
        <f>L496*(1+(Inputs!$B$10+((C510=TRUE)*(F510-Calc!F25))+B521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96">
        <f>L496*(1-MIN((Inputs!$B$9+((C504=TRUE)*(F504-Calc!F19))+B516+(ArtifactsInput!$M$24-ArtifactsInput!$M$24)*CHOOSE(ArtifactsInput!$N$24+1,10,12,14,16,18,20)+(IF(AND(Inputs!$B$38&lt;&gt;"pvp",Inputs!$B$43=0),1,IF(IF(Inputs!$B$38="pvp",15,Inputs!$B$43)-(B523)&lt;=0,1,MAX(0,IF(Inputs!$B$38="pvp",15,Inputs!$B$43)-MAX(5,B523))/(IF(Inputs!$B$38="pvp",15,Inputs!$B$43)-(B523))))*IF(AND(ArtifactsInput!$M$42,((Inputs!$B$9+((C504=TRUE)*(F504-Calc!F19))+B516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496*(MIN((Inputs!$B$9+((C504=TRUE)*(F504-Calc!F19))+B516+(ArtifactsInput!$M$24-ArtifactsInput!$M$24)*CHOOSE(ArtifactsInput!$N$24+1,10,12,14,16,18,20)+(IF(AND(Inputs!$B$38&lt;&gt;"pvp",Inputs!$B$43=0),1,IF(IF(Inputs!$B$38="pvp",15,Inputs!$B$43)-(B523)&lt;=0,1,MAX(0,IF(Inputs!$B$38="pvp",15,Inputs!$B$43)-MAX(5,B523))/(IF(Inputs!$B$38="pvp",15,Inputs!$B$43)-(B523))))*IF(AND(ArtifactsInput!$M$42,((Inputs!$B$9+((C504=TRUE)*(F504-Calc!F19))+B516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96">
        <f>(1-Summary!$B$11)*T496+Summary!$B$11*V496</f>
        <v/>
      </c>
      <c r="P496">
        <f>IF(B526=0,0,O496/B526)</f>
        <v/>
      </c>
      <c r="Q496">
        <f>IFERROR(1/((IF(Inputs!$B$38="pvp",15,MAX(0.1,Skills!D11-IF(TRUE=TRUE,Inputs!$B$32,0)))*(1-IF(AND(ArtifactsInput!$M$27,Inputs!$B$4="Chapter Hunt"),CHOOSE(ArtifactsInput!$N$27+1,20,24,28,32,36,40),0)/100))/B527),0)</f>
        <v/>
      </c>
      <c r="R496">
        <f>IF(AND(Inputs!$B$38&lt;&gt;"pvp",Inputs!$B$43&gt;0),IF(MAX(0,Inputs!$B$43-B523)&lt;=0,0,(INT(MAX(0,Inputs!$B$43-B523)/((IF(Inputs!$B$38="pvp",15,MAX(0.1,Skills!D11-IF(TRUE=TRUE,Inputs!$B$32,0)))*(1-IF(AND(ArtifactsInput!$M$27,Inputs!$B$4="Chapter Hunt"),CHOOSE(ArtifactsInput!$N$27+1,20,24,28,32,36,40),0)/100))/B527))+1)),0)</f>
        <v/>
      </c>
      <c r="S496">
        <f>IFERROR(O496/N496,0)</f>
        <v/>
      </c>
      <c r="T496">
        <f>IF(C496,(H496*N496*IF(AND(Inputs!$B$38&lt;&gt;"pvp",Inputs!$B$43&gt;0),((Skills!G11*((R496-1)*IF(Skills!H11&gt;0,INT(Skills!I11/Skills!H11+0.000000001),1)+IF(Skills!H11&gt;0,INT(MIN(Skills!I11,MAX(0,MAX(0,Inputs!$B$43-B523)-((R496-1)*((IF(Inputs!$B$38="pvp",15,MAX(0.1,Skills!D11-IF(TRUE=TRUE,Inputs!$B$32,0)))*(1-IF(AND(ArtifactsInput!$M$27,Inputs!$B$4="Chapter Hunt"),CHOOSE(ArtifactsInput!$N$27+1,20,24,28,32,36,40),0)/100))/B527))))/Skills!H11+0.000000001),1)))/Inputs!$B$43),G496*Q496))*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Hunt"),CHOOSE(ArtifactsInput!$N$35+1,15,18,21,24,27,30)*(1-EXP(-(0.2*B518)*5)),0)+IF(AND(ArtifactsInput!$M$22,Inputs!$B$4&lt;&gt;"Chapter Hunt"),CHOOSE(ArtifactsInput!$N$22+1,10,12,14,16,18,20)*((0*(((0.15*B518*5))^0/1)+1*(((0.15*B518*5))^1/1)+2*(((0.15*B518*5))^2/2)+3*(((0.15*B518*5))^3/6)+4*(((0.15*B518*5))^4/24)+5*(((0.15*B518*5))^5/120))/((((0.15*B518*5))^0/1)+(((0.15*B518*5))^1/1)+(((0.15*B518*5))^2/2)+(((0.15*B518*5))^3/6)+(((0.15*B518*5))^4/24)+(((0.15*B518*5))^5/120))),0))+IF(Inputs!$B$3&gt;=54,9*(C488=TRUE)*MIN(1,8*(1+Inputs!$B$34/100)*Q488)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496*(1-MIN(100,(Inputs!$B$9+((C504=TRUE)*(F504-Calc!F19))+B516+(ArtifactsInput!$M$24-ArtifactsInput!$M$24)*CHOOSE(ArtifactsInput!$N$24+1,10,12,14,16,18,20)+(IF(AND(Inputs!$B$38&lt;&gt;"pvp",Inputs!$B$43=0),1,IF(IF(Inputs!$B$38="pvp",15,Inputs!$B$43)-(B523)&lt;=0,1,MAX(0,IF(Inputs!$B$38="pvp",15,Inputs!$B$43)-MAX(5,B523))/(IF(Inputs!$B$38="pvp",15,Inputs!$B$43)-(B523))))*IF(AND(ArtifactsInput!$M$42,((Inputs!$B$9+((C504=TRUE)*(F504-Calc!F19))+B516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496*(MIN(100,(Inputs!$B$9+((C504=TRUE)*(F504-Calc!F19))+B516+(ArtifactsInput!$M$24-ArtifactsInput!$M$24)*CHOOSE(ArtifactsInput!$N$24+1,10,12,14,16,18,20)+(IF(AND(Inputs!$B$38&lt;&gt;"pvp",Inputs!$B$43=0),1,IF(IF(Inputs!$B$38="pvp",15,Inputs!$B$43)-(B523)&lt;=0,1,MAX(0,IF(Inputs!$B$38="pvp",15,Inputs!$B$43)-MAX(5,B523))/(IF(Inputs!$B$38="pvp",15,Inputs!$B$43)-(B523))))*IF(AND(ArtifactsInput!$M$42,((Inputs!$B$9+((C504=TRUE)*(F504-Calc!F19))+B516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496*(1-MIN(100,(Inputs!$B$9+((C504=TRUE)*(F504-Calc!F19))+B516+(ArtifactsInput!$M$24-ArtifactsInput!$M$24)*CHOOSE(ArtifactsInput!$N$24+1,10,12,14,16,18,20)+(IF(AND(Inputs!$B$38&lt;&gt;"pvp",Inputs!$B$43=0),1,IF(IF(Inputs!$B$38="pvp",15,Inputs!$B$43)-(B523)&lt;=0,1,MAX(0,IF(Inputs!$B$38="pvp",15,Inputs!$B$43)-MAX(5,B523))/(IF(Inputs!$B$38="pvp",15,Inputs!$B$43)-(B523))))*IF(AND(ArtifactsInput!$M$42,((Inputs!$B$9+((C504=TRUE)*(F504-Calc!F19))+B516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496*(MIN(100,(Inputs!$B$9+((C504=TRUE)*(F504-Calc!F19))+B516+(ArtifactsInput!$M$24-ArtifactsInput!$M$24)*CHOOSE(ArtifactsInput!$N$24+1,10,12,14,16,18,20)+(IF(AND(Inputs!$B$38&lt;&gt;"pvp",Inputs!$B$43=0),1,IF(IF(Inputs!$B$38="pvp",15,Inputs!$B$43)-(B523)&lt;=0,1,MAX(0,IF(Inputs!$B$38="pvp",15,Inputs!$B$43)-MAX(5,B523))/(IF(Inputs!$B$38="pvp",15,Inputs!$B$43)-(B523))))*IF(AND(ArtifactsInput!$M$42,((Inputs!$B$9+((C504=TRUE)*(F504-Calc!F19))+B516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496">
        <f>IF(C496,(H496*N496*IF(AND(Inputs!$B$38&lt;&gt;"pvp",Inputs!$B$43&gt;0),((Skills!G11*((R496-1)*IF(Skills!H11&gt;0,INT(Skills!I11/Skills!H11+0.000000001),1)+IF(Skills!H11&gt;0,INT(MIN(Skills!I11,MAX(0,MAX(0,Inputs!$B$43-B523)-((R496-1)*((IF(Inputs!$B$38="pvp",15,MAX(0.1,Skills!D11-IF(TRUE=TRUE,Inputs!$B$32,0)))*(1-IF(AND(ArtifactsInput!$M$27,Inputs!$B$4="Chapter Hunt"),CHOOSE(ArtifactsInput!$N$27+1,20,24,28,32,36,40),0)/100))/B527))))/Skills!H11+0.000000001),1)))/Inputs!$B$43),G496*Q496))*IF(Inputs!$B$38="pvp",1,(1+(Inputs!$B$21+Skills!Q11+(IF(ArtifactsInput!$M$33,CHOOSE(ArtifactsInput!$N$33+1,30,36,42,48,54,60),0))+(IF(AND(ArtifactsInput!$M$35,Inputs!$B$4&lt;&gt;"Chapter Hunt"),CHOOSE(ArtifactsInput!$N$35+1,15,18,21,24,27,30)*(1-EXP(-(0.2*B518)*5)),0)+IF(AND(ArtifactsInput!$M$22,Inputs!$B$4&lt;&gt;"Chapter Hunt"),CHOOSE(ArtifactsInput!$N$22+1,10,12,14,16,18,20)*((0*(((0.15*B518*5))^0/1)+1*(((0.15*B518*5))^1/1)+2*(((0.15*B518*5))^2/2)+3*(((0.15*B518*5))^3/6)+4*(((0.15*B518*5))^4/24)+5*(((0.15*B518*5))^5/120))/((((0.15*B518*5))^0/1)+(((0.15*B518*5))^1/1)+(((0.15*B518*5))^2/2)+(((0.15*B518*5))^3/6)+(((0.15*B518*5))^4/24)+(((0.15*B518*5))^5/120))),0))+IF(Inputs!$B$3&gt;=54,9*(C488=TRUE)*MIN(1,8*(1+Inputs!$B$34/100)*Q488),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97">
      <c r="A497">
        <f>Skills!A12</f>
        <v/>
      </c>
      <c r="B497">
        <f>Skills!B12</f>
        <v/>
      </c>
      <c r="C497">
        <f>Inputs!$B$3&gt;=110</f>
        <v/>
      </c>
      <c r="D497">
        <f>IF(Skills!C12=1,60+Inputs!$B$25+Inputs!$B$29,IF(Skills!C12=2,90+Inputs!$B$26+Inputs!$B$29,IF(Skills!C12=3,120+Inputs!$B$27+Inputs!$B$29,MAX(0,(Inputs!$B$3-100)*3)+Inputs!$B$28+Inputs!$B$29)))</f>
        <v/>
      </c>
      <c r="E497">
        <f>INDEX(FactorTable!$B$2:$Y$301, MATCH(ROUND(MIN(300,MAX(1,D497)),0), FactorTable!$A$2:$A$301,0), Skills!M12+1)</f>
        <v/>
      </c>
      <c r="F497">
        <f>IF(Skills!N12=TRUE,(Skills!L12/10)*(E497/1000),Skills!L12/10)+Skills!O12</f>
        <v/>
      </c>
      <c r="G497">
        <f>Skills!G12*IF(Skills!H12&gt;0,INT(IF(Inputs!$B$38="pvp",MIN(Skills!I12,15),Skills!I12)/Skills!H12+0.000000001),1)</f>
        <v/>
      </c>
      <c r="H497">
        <f>1-(1-Skills!J12/100)^Skills!K12</f>
        <v/>
      </c>
      <c r="I497" t="inlineStr">
        <is>
          <t>1</t>
        </is>
      </c>
      <c r="J497">
        <f>((Inputs!$B$6*(1+Inputs!$B$7/100))+(((Inputs!$B$12*(1+Inputs!$B$13/100))-(Inputs!$B$12*(1+Inputs!$B$13/100)))+0.25*(Inputs!$B$14-Inputs!$B$14))*(1+Inputs!$B$7/100))*(F497/100)</f>
        <v/>
      </c>
      <c r="K497">
        <f>J497*(1+((Inputs!$B$12*(1+Inputs!$B$13/100))*0.01+Inputs!$B$14*0.0025)/100)*(1+Inputs!$B$15/100)*(1+Inputs!$B$16/100)*(5000/(6000+Inputs!$B$42*(1-(100*(1-(1-(Inputs!$B$19+0)/100)*(1-CHOOSE(ArtifactsInput!$N$40+1,5,6,7,8,9,10)/100)^(ArtifactsInput!$M$40-ArtifactsInput!$M$40)))/100)))*(1+(Inputs!$B$24+((C511=TRUE)*(F511-Calc!F26))+B522)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EIGHT_LEGS_EASTON",Inputs!$B$17+((C508=TRUE)*(F508-Calc!F23))+((C512=TRUE)*(F512-Calc!F27))+((IF(AND(Inputs!$B$38&lt;&gt;"pvp",Inputs!$B$43=0),1,IF(IF(Inputs!$B$38="pvp",15,Inputs!$B$43)-(B523)&lt;=0,1,MAX(0,IF(Inputs!$B$38="pvp",15,Inputs!$B$43)-MAX(5,B523))/(IF(Inputs!$B$38="pvp",15,Inputs!$B$43)-(B523))))*(IF(AND(ArtifactsInput!$M$42,((Inputs!$B$9+((C504=TRUE)*(F504-Calc!F19))+B516+(ArtifactsInput!$M$24-ArtifactsInput!$M$24)*CHOOSE(ArtifactsInput!$N$24+1,10,12,14,16,18,20)+IF(ArtifactsInput!$M$10,CHOOSE(ArtifactsInput!$N$10+1,15,18,21,24,27,30)*(IF(Inputs!$B$38="pvp",MIN(15,15)/15,IF(AND(Inputs!$B$38&lt;&gt;"pvp",Inputs!$B$43&gt;0),MIN(15,Inputs!$B$43)/(Inputs!$B$43),0))),0)))&gt;=100),MIN(100,((Inputs!$B$9+((C504=TRUE)*(F504-Calc!F19))+B516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523)&lt;=0,1,MAX(0,IF(Inputs!$B$38="pvp",15,Inputs!$B$43)-MAX(5,B523))/(IF(Inputs!$B$38="pvp",15,Inputs!$B$43)-(B523))))*IF(AND(ArtifactsInput!$M$42,((Inputs!$B$9+((C504=TRUE)*(F504-Calc!F19))+B516+(ArtifactsInput!$M$24-ArtifactsInput!$M$24)*CHOOSE(ArtifactsInput!$N$24+1,10,12,14,16,18,20)+IF(ArtifactsInput!$M$10,CHOOSE(ArtifactsInput!$N$10+1,15,18,21,24,27,30)*(IF(Inputs!$B$38="pvp",MIN(15,15)/15,IF(AND(Inputs!$B$38&lt;&gt;"pvp",Inputs!$B$43&gt;0),MIN(15,Inputs!$B$43)/(Inputs!$B$43),0))),0)))&gt;=100),CHOOSE(ArtifactsInput!$N$42+1,40,48,56,64,72,80),0))))/100)*((1+(((C502=TRUE)*F502*5/7)+((C509=TRUE)*(F509-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497)</f>
        <v/>
      </c>
      <c r="L497">
        <f>K497*(MIN(Inputs!$B$22+((C507=TRUE)*(F507-Calc!F22)),((Inputs!$B$23+1)+0+(IF(ArtifactsInput!$M$15,CHOOSE(ArtifactsInput!$N$15+1,25,30,35,40,45,50)/100*(Inputs!$B$11-Inputs!$B$11),0))))/100+((Inputs!$B$23+1)+0+(IF(ArtifactsInput!$M$15,CHOOSE(ArtifactsInput!$N$15+1,25,30,35,40,45,50)/100*(Inputs!$B$11-Inputs!$B$11),0)))/100)/2</f>
        <v/>
      </c>
      <c r="M497">
        <f>L497*(1+(Inputs!$B$10+((C510=TRUE)*(F510-Calc!F25))+B521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97">
        <f>L497*(1-MIN((Inputs!$B$9+((C504=TRUE)*(F504-Calc!F19))+B516+(ArtifactsInput!$M$24-ArtifactsInput!$M$24)*CHOOSE(ArtifactsInput!$N$24+1,10,12,14,16,18,20)+(IF(AND(Inputs!$B$38&lt;&gt;"pvp",Inputs!$B$43=0),1,IF(IF(Inputs!$B$38="pvp",15,Inputs!$B$43)-(B523)&lt;=0,1,MAX(0,IF(Inputs!$B$38="pvp",15,Inputs!$B$43)-MAX(5,B523))/(IF(Inputs!$B$38="pvp",15,Inputs!$B$43)-(B523))))*IF(AND(ArtifactsInput!$M$42,((Inputs!$B$9+((C504=TRUE)*(F504-Calc!F19))+B516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497*(MIN((Inputs!$B$9+((C504=TRUE)*(F504-Calc!F19))+B516+(ArtifactsInput!$M$24-ArtifactsInput!$M$24)*CHOOSE(ArtifactsInput!$N$24+1,10,12,14,16,18,20)+(IF(AND(Inputs!$B$38&lt;&gt;"pvp",Inputs!$B$43=0),1,IF(IF(Inputs!$B$38="pvp",15,Inputs!$B$43)-(B523)&lt;=0,1,MAX(0,IF(Inputs!$B$38="pvp",15,Inputs!$B$43)-MAX(5,B523))/(IF(Inputs!$B$38="pvp",15,Inputs!$B$43)-(B523))))*IF(AND(ArtifactsInput!$M$42,((Inputs!$B$9+((C504=TRUE)*(F504-Calc!F19))+B516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97">
        <f>(1-Summary!$B$11)*T497+Summary!$B$11*V497</f>
        <v/>
      </c>
      <c r="P497">
        <f>IF(B526=0,0,O497/B526)</f>
        <v/>
      </c>
      <c r="Q497">
        <f>IFERROR(1/(IF(Inputs!$B$38="pvp",15,MAX(0.1,Skills!D12-IF(TRUE=TRUE,Inputs!$B$32,0)))*(1-IF(AND(ArtifactsInput!$M$27,Inputs!$B$4="Chapter Hunt"),CHOOSE(ArtifactsInput!$N$27+1,20,24,28,32,36,40),0)/100)),0)</f>
        <v/>
      </c>
      <c r="R497">
        <f>IF(AND(Inputs!$B$38&lt;&gt;"pvp",Inputs!$B$43&gt;0),IF(MAX(0,Inputs!$B$43-B523)&lt;=0,0,(INT(MAX(0,Inputs!$B$43-B523)/(IF(Inputs!$B$38="pvp",15,MAX(0.1,Skills!D12-IF(TRUE=TRUE,Inputs!$B$32,0)))*(1-IF(AND(ArtifactsInput!$M$27,Inputs!$B$4="Chapter Hunt"),CHOOSE(ArtifactsInput!$N$27+1,20,24,28,32,36,40),0)/100)))+1)),0)</f>
        <v/>
      </c>
      <c r="S497">
        <f>IFERROR(O497/N497,0)</f>
        <v/>
      </c>
      <c r="T497">
        <f>IF(C497,(H497*N497*IF(AND(Inputs!$B$38&lt;&gt;"pvp",Inputs!$B$43&gt;0),((Skills!G12*((R497-1)*IF(Skills!H12&gt;0,INT(Skills!I12/Skills!H12+0.000000001),1)+IF(Skills!H12&gt;0,INT(MIN(Skills!I12,MAX(0,MAX(0,Inputs!$B$43-B523)-((R497-1)*(IF(Inputs!$B$38="pvp",15,MAX(0.1,Skills!D12-IF(TRUE=TRUE,Inputs!$B$32,0)))*(1-IF(AND(ArtifactsInput!$M$27,Inputs!$B$4="Chapter Hunt"),CHOOSE(ArtifactsInput!$N$27+1,20,24,28,32,36,40),0)/100)))))/Skills!H12+0.000000001),1)))/Inputs!$B$43),G497*Q497))*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Hunt"),CHOOSE(ArtifactsInput!$N$35+1,15,18,21,24,27,30)*(1-EXP(-(0.2*B518)*5)),0)+IF(AND(ArtifactsInput!$M$22,Inputs!$B$4&lt;&gt;"Chapter Hunt"),CHOOSE(ArtifactsInput!$N$22+1,10,12,14,16,18,20)*((0*(((0.15*B518*5))^0/1)+1*(((0.15*B518*5))^1/1)+2*(((0.15*B518*5))^2/2)+3*(((0.15*B518*5))^3/6)+4*(((0.15*B518*5))^4/24)+5*(((0.15*B518*5))^5/120))/((((0.15*B518*5))^0/1)+(((0.15*B518*5))^1/1)+(((0.15*B518*5))^2/2)+(((0.15*B518*5))^3/6)+(((0.15*B518*5))^4/24)+(((0.15*B518*5))^5/120))),0))+IF(Inputs!$B$3&gt;=54,9*(C488=TRUE)*MIN(1,8*(1+Inputs!$B$34/100)*Q488)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497*(1-MIN(100,(Inputs!$B$9+((C504=TRUE)*(F504-Calc!F19))+B516+(ArtifactsInput!$M$24-ArtifactsInput!$M$24)*CHOOSE(ArtifactsInput!$N$24+1,10,12,14,16,18,20)+(IF(AND(Inputs!$B$38&lt;&gt;"pvp",Inputs!$B$43=0),1,IF(IF(Inputs!$B$38="pvp",15,Inputs!$B$43)-(B523)&lt;=0,1,MAX(0,IF(Inputs!$B$38="pvp",15,Inputs!$B$43)-MAX(5,B523))/(IF(Inputs!$B$38="pvp",15,Inputs!$B$43)-(B523))))*IF(AND(ArtifactsInput!$M$42,((Inputs!$B$9+((C504=TRUE)*(F504-Calc!F19))+B516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497*(MIN(100,(Inputs!$B$9+((C504=TRUE)*(F504-Calc!F19))+B516+(ArtifactsInput!$M$24-ArtifactsInput!$M$24)*CHOOSE(ArtifactsInput!$N$24+1,10,12,14,16,18,20)+(IF(AND(Inputs!$B$38&lt;&gt;"pvp",Inputs!$B$43=0),1,IF(IF(Inputs!$B$38="pvp",15,Inputs!$B$43)-(B523)&lt;=0,1,MAX(0,IF(Inputs!$B$38="pvp",15,Inputs!$B$43)-MAX(5,B523))/(IF(Inputs!$B$38="pvp",15,Inputs!$B$43)-(B523))))*IF(AND(ArtifactsInput!$M$42,((Inputs!$B$9+((C504=TRUE)*(F504-Calc!F19))+B516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497*(1-MIN(100,(Inputs!$B$9+((C504=TRUE)*(F504-Calc!F19))+B516+(ArtifactsInput!$M$24-ArtifactsInput!$M$24)*CHOOSE(ArtifactsInput!$N$24+1,10,12,14,16,18,20)+(IF(AND(Inputs!$B$38&lt;&gt;"pvp",Inputs!$B$43=0),1,IF(IF(Inputs!$B$38="pvp",15,Inputs!$B$43)-(B523)&lt;=0,1,MAX(0,IF(Inputs!$B$38="pvp",15,Inputs!$B$43)-MAX(5,B523))/(IF(Inputs!$B$38="pvp",15,Inputs!$B$43)-(B523))))*IF(AND(ArtifactsInput!$M$42,((Inputs!$B$9+((C504=TRUE)*(F504-Calc!F19))+B516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497*(MIN(100,(Inputs!$B$9+((C504=TRUE)*(F504-Calc!F19))+B516+(ArtifactsInput!$M$24-ArtifactsInput!$M$24)*CHOOSE(ArtifactsInput!$N$24+1,10,12,14,16,18,20)+(IF(AND(Inputs!$B$38&lt;&gt;"pvp",Inputs!$B$43=0),1,IF(IF(Inputs!$B$38="pvp",15,Inputs!$B$43)-(B523)&lt;=0,1,MAX(0,IF(Inputs!$B$38="pvp",15,Inputs!$B$43)-MAX(5,B523))/(IF(Inputs!$B$38="pvp",15,Inputs!$B$43)-(B523))))*IF(AND(ArtifactsInput!$M$42,((Inputs!$B$9+((C504=TRUE)*(F504-Calc!F19))+B516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497">
        <f>IF(C497,(H497*N497*IF(AND(Inputs!$B$38&lt;&gt;"pvp",Inputs!$B$43&gt;0),((Skills!G12*((R497-1)*IF(Skills!H12&gt;0,INT(Skills!I12/Skills!H12+0.000000001),1)+IF(Skills!H12&gt;0,INT(MIN(Skills!I12,MAX(0,MAX(0,Inputs!$B$43-B523)-((R497-1)*(IF(Inputs!$B$38="pvp",15,MAX(0.1,Skills!D12-IF(TRUE=TRUE,Inputs!$B$32,0)))*(1-IF(AND(ArtifactsInput!$M$27,Inputs!$B$4="Chapter Hunt"),CHOOSE(ArtifactsInput!$N$27+1,20,24,28,32,36,40),0)/100)))))/Skills!H12+0.000000001),1)))/Inputs!$B$43),G497*Q497))*IF(Inputs!$B$38="pvp",1,(1+(Inputs!$B$21+Skills!Q12+(IF(ArtifactsInput!$M$33,CHOOSE(ArtifactsInput!$N$33+1,30,36,42,48,54,60),0))+(IF(AND(ArtifactsInput!$M$35,Inputs!$B$4&lt;&gt;"Chapter Hunt"),CHOOSE(ArtifactsInput!$N$35+1,15,18,21,24,27,30)*(1-EXP(-(0.2*B518)*5)),0)+IF(AND(ArtifactsInput!$M$22,Inputs!$B$4&lt;&gt;"Chapter Hunt"),CHOOSE(ArtifactsInput!$N$22+1,10,12,14,16,18,20)*((0*(((0.15*B518*5))^0/1)+1*(((0.15*B518*5))^1/1)+2*(((0.15*B518*5))^2/2)+3*(((0.15*B518*5))^3/6)+4*(((0.15*B518*5))^4/24)+5*(((0.15*B518*5))^5/120))/((((0.15*B518*5))^0/1)+(((0.15*B518*5))^1/1)+(((0.15*B518*5))^2/2)+(((0.15*B518*5))^3/6)+(((0.15*B518*5))^4/24)+(((0.15*B518*5))^5/120))),0))+IF(Inputs!$B$3&gt;=54,9*(C488=TRUE)*MIN(1,8*(1+Inputs!$B$34/100)*Q488),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98">
      <c r="A498">
        <f>Skills!A13</f>
        <v/>
      </c>
      <c r="B498">
        <f>Skills!B13</f>
        <v/>
      </c>
      <c r="C498">
        <f>Inputs!$B$3&gt;=110</f>
        <v/>
      </c>
      <c r="D498">
        <f>IF(Skills!C13=1,60+Inputs!$B$25+Inputs!$B$29,IF(Skills!C13=2,90+Inputs!$B$26+Inputs!$B$29,IF(Skills!C13=3,120+Inputs!$B$27+Inputs!$B$29,MAX(0,(Inputs!$B$3-100)*3)+Inputs!$B$28+Inputs!$B$29)))</f>
        <v/>
      </c>
      <c r="E498">
        <f>INDEX(FactorTable!$B$2:$Y$301, MATCH(ROUND(MIN(300,MAX(1,D498)),0), FactorTable!$A$2:$A$301,0), Skills!M13+1)</f>
        <v/>
      </c>
      <c r="F498">
        <f>IF(Skills!N13=TRUE,(Skills!L13/10)*(E498/1000),Skills!L13/10)+Skills!O13</f>
        <v/>
      </c>
      <c r="G498">
        <f>Skills!G13*IF(Skills!H13&gt;0,INT(IF(Inputs!$B$38="pvp",MIN(Skills!I13,15),Skills!I13)/Skills!H13+0.000000001),1)</f>
        <v/>
      </c>
      <c r="H498">
        <f>1-(1-Skills!J13/100)^Skills!K13</f>
        <v/>
      </c>
      <c r="I498" t="inlineStr">
        <is>
          <t>1</t>
        </is>
      </c>
      <c r="J498">
        <f>((Inputs!$B$6*(1+Inputs!$B$7/100))+(((Inputs!$B$12*(1+Inputs!$B$13/100))-(Inputs!$B$12*(1+Inputs!$B$13/100)))+0.25*(Inputs!$B$14-Inputs!$B$14))*(1+Inputs!$B$7/100))*(F498/100)</f>
        <v/>
      </c>
      <c r="K498">
        <f>J498*(1+((Inputs!$B$12*(1+Inputs!$B$13/100))*0.01+Inputs!$B$14*0.0025)/100)*(1+Inputs!$B$15/100)*(1+Inputs!$B$16/100)*(5000/(6000+Inputs!$B$42*(1-(100*(1-(1-(Inputs!$B$19+0)/100)*(1-CHOOSE(ArtifactsInput!$N$40+1,5,6,7,8,9,10)/100)^(ArtifactsInput!$M$40-ArtifactsInput!$M$40)))/100)))*(1+(Inputs!$B$24+((C511=TRUE)*(F511-Calc!F26))+B522)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EIGHT_LEGS_EASTON",Inputs!$B$17+((C508=TRUE)*(F508-Calc!F23))+((C512=TRUE)*(F512-Calc!F27))+((IF(AND(Inputs!$B$38&lt;&gt;"pvp",Inputs!$B$43=0),1,IF(IF(Inputs!$B$38="pvp",15,Inputs!$B$43)-(B523)&lt;=0,1,MAX(0,IF(Inputs!$B$38="pvp",15,Inputs!$B$43)-MAX(5,B523))/(IF(Inputs!$B$38="pvp",15,Inputs!$B$43)-(B523))))*(IF(AND(ArtifactsInput!$M$42,((Inputs!$B$9+((C504=TRUE)*(F504-Calc!F19))+B516+(ArtifactsInput!$M$24-ArtifactsInput!$M$24)*CHOOSE(ArtifactsInput!$N$24+1,10,12,14,16,18,20)+IF(ArtifactsInput!$M$10,CHOOSE(ArtifactsInput!$N$10+1,15,18,21,24,27,30)*(IF(Inputs!$B$38="pvp",MIN(15,15)/15,IF(AND(Inputs!$B$38&lt;&gt;"pvp",Inputs!$B$43&gt;0),MIN(15,Inputs!$B$43)/(Inputs!$B$43),0))),0)))&gt;=100),MIN(100,((Inputs!$B$9+((C504=TRUE)*(F504-Calc!F19))+B516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523)&lt;=0,1,MAX(0,IF(Inputs!$B$38="pvp",15,Inputs!$B$43)-MAX(5,B523))/(IF(Inputs!$B$38="pvp",15,Inputs!$B$43)-(B523))))*IF(AND(ArtifactsInput!$M$42,((Inputs!$B$9+((C504=TRUE)*(F504-Calc!F19))+B516+(ArtifactsInput!$M$24-ArtifactsInput!$M$24)*CHOOSE(ArtifactsInput!$N$24+1,10,12,14,16,18,20)+IF(ArtifactsInput!$M$10,CHOOSE(ArtifactsInput!$N$10+1,15,18,21,24,27,30)*(IF(Inputs!$B$38="pvp",MIN(15,15)/15,IF(AND(Inputs!$B$38&lt;&gt;"pvp",Inputs!$B$43&gt;0),MIN(15,Inputs!$B$43)/(Inputs!$B$43),0))),0)))&gt;=100),CHOOSE(ArtifactsInput!$N$42+1,40,48,56,64,72,80),0))))/100)*((1+(((C502=TRUE)*F502*5/7)+((C509=TRUE)*(F509-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498)</f>
        <v/>
      </c>
      <c r="L498">
        <f>K498*(MIN(Inputs!$B$22+((C507=TRUE)*(F507-Calc!F22)),((Inputs!$B$23+1)+0+(IF(ArtifactsInput!$M$15,CHOOSE(ArtifactsInput!$N$15+1,25,30,35,40,45,50)/100*(Inputs!$B$11-Inputs!$B$11),0))))/100+((Inputs!$B$23+1)+0+(IF(ArtifactsInput!$M$15,CHOOSE(ArtifactsInput!$N$15+1,25,30,35,40,45,50)/100*(Inputs!$B$11-Inputs!$B$11),0)))/100)/2</f>
        <v/>
      </c>
      <c r="M498">
        <f>L498*(1+(Inputs!$B$10+((C510=TRUE)*(F510-Calc!F25))+B521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98">
        <f>L498*(1-MIN((Inputs!$B$9+((C504=TRUE)*(F504-Calc!F19))+B516+(ArtifactsInput!$M$24-ArtifactsInput!$M$24)*CHOOSE(ArtifactsInput!$N$24+1,10,12,14,16,18,20)+(IF(AND(Inputs!$B$38&lt;&gt;"pvp",Inputs!$B$43=0),1,IF(IF(Inputs!$B$38="pvp",15,Inputs!$B$43)-(B523)&lt;=0,1,MAX(0,IF(Inputs!$B$38="pvp",15,Inputs!$B$43)-MAX(5,B523))/(IF(Inputs!$B$38="pvp",15,Inputs!$B$43)-(B523))))*IF(AND(ArtifactsInput!$M$42,((Inputs!$B$9+((C504=TRUE)*(F504-Calc!F19))+B516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498*(MIN((Inputs!$B$9+((C504=TRUE)*(F504-Calc!F19))+B516+(ArtifactsInput!$M$24-ArtifactsInput!$M$24)*CHOOSE(ArtifactsInput!$N$24+1,10,12,14,16,18,20)+(IF(AND(Inputs!$B$38&lt;&gt;"pvp",Inputs!$B$43=0),1,IF(IF(Inputs!$B$38="pvp",15,Inputs!$B$43)-(B523)&lt;=0,1,MAX(0,IF(Inputs!$B$38="pvp",15,Inputs!$B$43)-MAX(5,B523))/(IF(Inputs!$B$38="pvp",15,Inputs!$B$43)-(B523))))*IF(AND(ArtifactsInput!$M$42,((Inputs!$B$9+((C504=TRUE)*(F504-Calc!F19))+B516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98">
        <f>(1-Summary!$B$11)*T498+Summary!$B$11*V498</f>
        <v/>
      </c>
      <c r="P498">
        <f>IF(B526=0,0,O498/B526)</f>
        <v/>
      </c>
      <c r="Q498">
        <f>IFERROR(1/(IF(Inputs!$B$38="pvp",15,MAX(0.1,Skills!D13-IF(TRUE=TRUE,Inputs!$B$32,0)))*(1-IF(AND(ArtifactsInput!$M$27,Inputs!$B$4="Chapter Hunt"),CHOOSE(ArtifactsInput!$N$27+1,20,24,28,32,36,40),0)/100)),0)</f>
        <v/>
      </c>
      <c r="R498">
        <f>IF(AND(Inputs!$B$38&lt;&gt;"pvp",Inputs!$B$43&gt;0),IF(MAX(0,Inputs!$B$43-B523)&lt;=0,0,(INT(MAX(0,Inputs!$B$43-B523)/(IF(Inputs!$B$38="pvp",15,MAX(0.1,Skills!D13-IF(TRUE=TRUE,Inputs!$B$32,0)))*(1-IF(AND(ArtifactsInput!$M$27,Inputs!$B$4="Chapter Hunt"),CHOOSE(ArtifactsInput!$N$27+1,20,24,28,32,36,40),0)/100)))+1)),0)</f>
        <v/>
      </c>
      <c r="S498">
        <f>IFERROR(O498/N498,0)</f>
        <v/>
      </c>
      <c r="T498">
        <f>IF(C498,(H498*N498*IF(AND(Inputs!$B$38&lt;&gt;"pvp",Inputs!$B$43&gt;0),((Skills!G13*((R498-1)*IF(Skills!H13&gt;0,INT(Skills!I13/Skills!H13+0.000000001),1)+IF(Skills!H13&gt;0,INT(MIN(Skills!I13,MAX(0,MAX(0,Inputs!$B$43-B523)-((R498-1)*(IF(Inputs!$B$38="pvp",15,MAX(0.1,Skills!D13-IF(TRUE=TRUE,Inputs!$B$32,0)))*(1-IF(AND(ArtifactsInput!$M$27,Inputs!$B$4="Chapter Hunt"),CHOOSE(ArtifactsInput!$N$27+1,20,24,28,32,36,40),0)/100)))))/Skills!H13+0.000000001),1)))/Inputs!$B$43),G498*Q498))*IF(Inputs!$B$38="pvp",1,1+(Inputs!$B$20+0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Hunt"),CHOOSE(ArtifactsInput!$N$35+1,15,18,21,24,27,30)*(1-EXP(-(0.2*B518)*5)),0)+IF(AND(ArtifactsInput!$M$22,Inputs!$B$4&lt;&gt;"Chapter Hunt"),CHOOSE(ArtifactsInput!$N$22+1,10,12,14,16,18,20)*((0*(((0.15*B518*5))^0/1)+1*(((0.15*B518*5))^1/1)+2*(((0.15*B518*5))^2/2)+3*(((0.15*B518*5))^3/6)+4*(((0.15*B518*5))^4/24)+5*(((0.15*B518*5))^5/120))/((((0.15*B518*5))^0/1)+(((0.15*B518*5))^1/1)+(((0.15*B518*5))^2/2)+(((0.15*B518*5))^3/6)+(((0.15*B518*5))^4/24)+(((0.15*B518*5))^5/120))),0))+IF(Inputs!$B$3&gt;=54,9*(C488=TRUE)*MIN(1,8*(1+Inputs!$B$34/100)*Q488)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498*(1-MIN(100,(Inputs!$B$9+((C504=TRUE)*(F504-Calc!F19))+B516+(ArtifactsInput!$M$24-ArtifactsInput!$M$24)*CHOOSE(ArtifactsInput!$N$24+1,10,12,14,16,18,20)+(IF(AND(Inputs!$B$38&lt;&gt;"pvp",Inputs!$B$43=0),1,IF(IF(Inputs!$B$38="pvp",15,Inputs!$B$43)-(B523)&lt;=0,1,MAX(0,IF(Inputs!$B$38="pvp",15,Inputs!$B$43)-MAX(5,B523))/(IF(Inputs!$B$38="pvp",15,Inputs!$B$43)-(B523))))*IF(AND(ArtifactsInput!$M$42,((Inputs!$B$9+((C504=TRUE)*(F504-Calc!F19))+B516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498*(MIN(100,(Inputs!$B$9+((C504=TRUE)*(F504-Calc!F19))+B516+(ArtifactsInput!$M$24-ArtifactsInput!$M$24)*CHOOSE(ArtifactsInput!$N$24+1,10,12,14,16,18,20)+(IF(AND(Inputs!$B$38&lt;&gt;"pvp",Inputs!$B$43=0),1,IF(IF(Inputs!$B$38="pvp",15,Inputs!$B$43)-(B523)&lt;=0,1,MAX(0,IF(Inputs!$B$38="pvp",15,Inputs!$B$43)-MAX(5,B523))/(IF(Inputs!$B$38="pvp",15,Inputs!$B$43)-(B523))))*IF(AND(ArtifactsInput!$M$42,((Inputs!$B$9+((C504=TRUE)*(F504-Calc!F19))+B516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498*(1-MIN(100,(Inputs!$B$9+((C504=TRUE)*(F504-Calc!F19))+B516+(ArtifactsInput!$M$24-ArtifactsInput!$M$24)*CHOOSE(ArtifactsInput!$N$24+1,10,12,14,16,18,20)+(IF(AND(Inputs!$B$38&lt;&gt;"pvp",Inputs!$B$43=0),1,IF(IF(Inputs!$B$38="pvp",15,Inputs!$B$43)-(B523)&lt;=0,1,MAX(0,IF(Inputs!$B$38="pvp",15,Inputs!$B$43)-MAX(5,B523))/(IF(Inputs!$B$38="pvp",15,Inputs!$B$43)-(B523))))*IF(AND(ArtifactsInput!$M$42,((Inputs!$B$9+((C504=TRUE)*(F504-Calc!F19))+B516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498*(MIN(100,(Inputs!$B$9+((C504=TRUE)*(F504-Calc!F19))+B516+(ArtifactsInput!$M$24-ArtifactsInput!$M$24)*CHOOSE(ArtifactsInput!$N$24+1,10,12,14,16,18,20)+(IF(AND(Inputs!$B$38&lt;&gt;"pvp",Inputs!$B$43=0),1,IF(IF(Inputs!$B$38="pvp",15,Inputs!$B$43)-(B523)&lt;=0,1,MAX(0,IF(Inputs!$B$38="pvp",15,Inputs!$B$43)-MAX(5,B523))/(IF(Inputs!$B$38="pvp",15,Inputs!$B$43)-(B523))))*IF(AND(ArtifactsInput!$M$42,((Inputs!$B$9+((C504=TRUE)*(F504-Calc!F19))+B516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498">
        <f>IF(C498,(H498*N498*IF(AND(Inputs!$B$38&lt;&gt;"pvp",Inputs!$B$43&gt;0),((Skills!G13*((R498-1)*IF(Skills!H13&gt;0,INT(Skills!I13/Skills!H13+0.000000001),1)+IF(Skills!H13&gt;0,INT(MIN(Skills!I13,MAX(0,MAX(0,Inputs!$B$43-B523)-((R498-1)*(IF(Inputs!$B$38="pvp",15,MAX(0.1,Skills!D13-IF(TRUE=TRUE,Inputs!$B$32,0)))*(1-IF(AND(ArtifactsInput!$M$27,Inputs!$B$4="Chapter Hunt"),CHOOSE(ArtifactsInput!$N$27+1,20,24,28,32,36,40),0)/100)))))/Skills!H13+0.000000001),1)))/Inputs!$B$43),G498*Q498))*IF(Inputs!$B$38="pvp",1,(1+(Inputs!$B$21+Skills!Q13+(IF(ArtifactsInput!$M$33,CHOOSE(ArtifactsInput!$N$33+1,30,36,42,48,54,60),0))+(IF(AND(ArtifactsInput!$M$35,Inputs!$B$4&lt;&gt;"Chapter Hunt"),CHOOSE(ArtifactsInput!$N$35+1,15,18,21,24,27,30)*(1-EXP(-(0.2*B518)*5)),0)+IF(AND(ArtifactsInput!$M$22,Inputs!$B$4&lt;&gt;"Chapter Hunt"),CHOOSE(ArtifactsInput!$N$22+1,10,12,14,16,18,20)*((0*(((0.15*B518*5))^0/1)+1*(((0.15*B518*5))^1/1)+2*(((0.15*B518*5))^2/2)+3*(((0.15*B518*5))^3/6)+4*(((0.15*B518*5))^4/24)+5*(((0.15*B518*5))^5/120))/((((0.15*B518*5))^0/1)+(((0.15*B518*5))^1/1)+(((0.15*B518*5))^2/2)+(((0.15*B518*5))^3/6)+(((0.15*B518*5))^4/24)+(((0.15*B518*5))^5/120))),0))+IF(Inputs!$B$3&gt;=54,9*(C488=TRUE)*MIN(1,8*(1+Inputs!$B$34/100)*Q488),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99">
      <c r="A499">
        <f>Skills!A14</f>
        <v/>
      </c>
      <c r="B499">
        <f>Skills!B14</f>
        <v/>
      </c>
      <c r="C499">
        <f>Inputs!$B$3&gt;=120</f>
        <v/>
      </c>
      <c r="D499">
        <f>IF(Skills!C14=1,60+Inputs!$B$25+Inputs!$B$29,IF(Skills!C14=2,90+Inputs!$B$26+Inputs!$B$29,IF(Skills!C14=3,120+Inputs!$B$27+Inputs!$B$29,MAX(0,(Inputs!$B$3-100)*3)+Inputs!$B$28+Inputs!$B$29)))</f>
        <v/>
      </c>
      <c r="E499">
        <f>INDEX(FactorTable!$B$2:$Y$301, MATCH(ROUND(MIN(300,MAX(1,D499)),0), FactorTable!$A$2:$A$301,0), Skills!M14+1)</f>
        <v/>
      </c>
      <c r="F499">
        <f>IF(Skills!N14=TRUE,(Skills!L14/10)*(E499/1000),Skills!L14/10)+Skills!O14</f>
        <v/>
      </c>
      <c r="G499">
        <f>Skills!G14*IF(Skills!H14&gt;0,INT(IF(Inputs!$B$38="pvp",MIN(Skills!I14,15),Skills!I14)/Skills!H14+0.000000001),1)</f>
        <v/>
      </c>
      <c r="H499">
        <f>1-(1-Skills!J14/100)^Skills!K14</f>
        <v/>
      </c>
      <c r="I499" t="inlineStr">
        <is>
          <t>1</t>
        </is>
      </c>
      <c r="J499">
        <f>((Inputs!$B$6*(1+Inputs!$B$7/100))+(((Inputs!$B$12*(1+Inputs!$B$13/100))-(Inputs!$B$12*(1+Inputs!$B$13/100)))+0.25*(Inputs!$B$14-Inputs!$B$14))*(1+Inputs!$B$7/100))*(F499/100)</f>
        <v/>
      </c>
      <c r="K499">
        <f>J499*(1+((Inputs!$B$12*(1+Inputs!$B$13/100))*0.01+Inputs!$B$14*0.0025)/100)*(1+Inputs!$B$15/100)*(1+Inputs!$B$16/100)*(5000/(6000+Inputs!$B$42*(1-(100*(1-(1-(Inputs!$B$19+0)/100)*(1-CHOOSE(ArtifactsInput!$N$40+1,5,6,7,8,9,10)/100)^(ArtifactsInput!$M$40-ArtifactsInput!$M$40)))/100)))*(1+(Inputs!$B$24+((C511=TRUE)*(F511-Calc!F26))+B522)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EIGHT_LEGS_EASTON",Inputs!$B$17+((C508=TRUE)*(F508-Calc!F23))+((C512=TRUE)*(F512-Calc!F27))+((IF(AND(Inputs!$B$38&lt;&gt;"pvp",Inputs!$B$43=0),1,IF(IF(Inputs!$B$38="pvp",15,Inputs!$B$43)-(B523)&lt;=0,1,MAX(0,IF(Inputs!$B$38="pvp",15,Inputs!$B$43)-MAX(5,B523))/(IF(Inputs!$B$38="pvp",15,Inputs!$B$43)-(B523))))*(IF(AND(ArtifactsInput!$M$42,((Inputs!$B$9+((C504=TRUE)*(F504-Calc!F19))+B516+(ArtifactsInput!$M$24-ArtifactsInput!$M$24)*CHOOSE(ArtifactsInput!$N$24+1,10,12,14,16,18,20)+IF(ArtifactsInput!$M$10,CHOOSE(ArtifactsInput!$N$10+1,15,18,21,24,27,30)*(IF(Inputs!$B$38="pvp",MIN(15,15)/15,IF(AND(Inputs!$B$38&lt;&gt;"pvp",Inputs!$B$43&gt;0),MIN(15,Inputs!$B$43)/(Inputs!$B$43),0))),0)))&gt;=100),MIN(100,((Inputs!$B$9+((C504=TRUE)*(F504-Calc!F19))+B516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523)&lt;=0,1,MAX(0,IF(Inputs!$B$38="pvp",15,Inputs!$B$43)-MAX(5,B523))/(IF(Inputs!$B$38="pvp",15,Inputs!$B$43)-(B523))))*IF(AND(ArtifactsInput!$M$42,((Inputs!$B$9+((C504=TRUE)*(F504-Calc!F19))+B516+(ArtifactsInput!$M$24-ArtifactsInput!$M$24)*CHOOSE(ArtifactsInput!$N$24+1,10,12,14,16,18,20)+IF(ArtifactsInput!$M$10,CHOOSE(ArtifactsInput!$N$10+1,15,18,21,24,27,30)*(IF(Inputs!$B$38="pvp",MIN(15,15)/15,IF(AND(Inputs!$B$38&lt;&gt;"pvp",Inputs!$B$43&gt;0),MIN(15,Inputs!$B$43)/(Inputs!$B$43),0))),0)))&gt;=100),CHOOSE(ArtifactsInput!$N$42+1,40,48,56,64,72,80),0))))/100)*((1+(((C502=TRUE)*F502*5/7)+((C509=TRUE)*(F509-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499)</f>
        <v/>
      </c>
      <c r="L499">
        <f>K499*(MIN(Inputs!$B$22+((C507=TRUE)*(F507-Calc!F22)),((Inputs!$B$23+1)+0+(IF(ArtifactsInput!$M$15,CHOOSE(ArtifactsInput!$N$15+1,25,30,35,40,45,50)/100*(Inputs!$B$11-Inputs!$B$11),0))))/100+((Inputs!$B$23+1)+0+(IF(ArtifactsInput!$M$15,CHOOSE(ArtifactsInput!$N$15+1,25,30,35,40,45,50)/100*(Inputs!$B$11-Inputs!$B$11),0)))/100)/2</f>
        <v/>
      </c>
      <c r="M499">
        <f>L499*(1+(Inputs!$B$10+((C510=TRUE)*(F510-Calc!F25))+B521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99">
        <f>L499*(1-MIN((Inputs!$B$9+((C504=TRUE)*(F504-Calc!F19))+B516+(ArtifactsInput!$M$24-ArtifactsInput!$M$24)*CHOOSE(ArtifactsInput!$N$24+1,10,12,14,16,18,20)+(IF(AND(Inputs!$B$38&lt;&gt;"pvp",Inputs!$B$43=0),1,IF(IF(Inputs!$B$38="pvp",15,Inputs!$B$43)-(B523)&lt;=0,1,MAX(0,IF(Inputs!$B$38="pvp",15,Inputs!$B$43)-MAX(5,B523))/(IF(Inputs!$B$38="pvp",15,Inputs!$B$43)-(B523))))*IF(AND(ArtifactsInput!$M$42,((Inputs!$B$9+((C504=TRUE)*(F504-Calc!F19))+B516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499*(MIN((Inputs!$B$9+((C504=TRUE)*(F504-Calc!F19))+B516+(ArtifactsInput!$M$24-ArtifactsInput!$M$24)*CHOOSE(ArtifactsInput!$N$24+1,10,12,14,16,18,20)+(IF(AND(Inputs!$B$38&lt;&gt;"pvp",Inputs!$B$43=0),1,IF(IF(Inputs!$B$38="pvp",15,Inputs!$B$43)-(B523)&lt;=0,1,MAX(0,IF(Inputs!$B$38="pvp",15,Inputs!$B$43)-MAX(5,B523))/(IF(Inputs!$B$38="pvp",15,Inputs!$B$43)-(B523))))*IF(AND(ArtifactsInput!$M$42,((Inputs!$B$9+((C504=TRUE)*(F504-Calc!F19))+B516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99">
        <f>(1-Summary!$B$11)*T499+Summary!$B$11*V499</f>
        <v/>
      </c>
      <c r="P499">
        <f>IF(B526=0,0,O499/B526)</f>
        <v/>
      </c>
      <c r="Q499" t="n">
        <v>0</v>
      </c>
      <c r="R499" t="n">
        <v>0</v>
      </c>
      <c r="S499">
        <f>IFERROR(O499/N499,0)</f>
        <v/>
      </c>
      <c r="T499">
        <f>IF(C499,((H499*(B520+IF(AND(Inputs!$B$38&lt;&gt;"pvp",Inputs!$B$43&gt;0),((Skills!G8*((R493-1)*IF(Skills!H8&gt;0,INT(Skills!I8/Skills!H8+0.000000001),1)+IF(Skills!H8&gt;0,INT(MIN(Skills!I8,MAX(0,MAX(0,Inputs!$B$43-B523)-((R493-1)*((IF(Inputs!$B$38="pvp",15,MAX(0.1,Skills!D8-IF(TRUE=TRUE,Inputs!$B$32,0)))*(1-IF(AND(ArtifactsInput!$M$27,Inputs!$B$4="Chapter Hunt"),CHOOSE(ArtifactsInput!$N$27+1,20,24,28,32,36,40),0)/100))/B527))))/Skills!H8+0.000000001),1)))/Inputs!$B$43),G493*Q493)+IF(AND(Inputs!$B$38&lt;&gt;"pvp",Inputs!$B$43&gt;0),((Skills!G11*((R496-1)*IF(Skills!H11&gt;0,INT(Skills!I11/Skills!H11+0.000000001),1)+IF(Skills!H11&gt;0,INT(MIN(Skills!I11,MAX(0,MAX(0,Inputs!$B$43-B523)-((R496-1)*((IF(Inputs!$B$38="pvp",15,MAX(0.1,Skills!D11-IF(TRUE=TRUE,Inputs!$B$32,0)))*(1-IF(AND(ArtifactsInput!$M$27,Inputs!$B$4="Chapter Hunt"),CHOOSE(ArtifactsInput!$N$27+1,20,24,28,32,36,40),0)/100))/B527))))/Skills!H11+0.000000001),1)))/Inputs!$B$43),G496*Q496)))/(1+Skills!H14*H499*(B520+IF(AND(Inputs!$B$38&lt;&gt;"pvp",Inputs!$B$43&gt;0),((Skills!G8*((R493-1)*IF(Skills!H8&gt;0,INT(Skills!I8/Skills!H8+0.000000001),1)+IF(Skills!H8&gt;0,INT(MIN(Skills!I8,MAX(0,MAX(0,Inputs!$B$43-B523)-((R493-1)*((IF(Inputs!$B$38="pvp",15,MAX(0.1,Skills!D8-IF(TRUE=TRUE,Inputs!$B$32,0)))*(1-IF(AND(ArtifactsInput!$M$27,Inputs!$B$4="Chapter Hunt"),CHOOSE(ArtifactsInput!$N$27+1,20,24,28,32,36,40),0)/100))/B527))))/Skills!H8+0.000000001),1)))/Inputs!$B$43),G493*Q493)+IF(AND(Inputs!$B$38&lt;&gt;"pvp",Inputs!$B$43&gt;0),((Skills!G11*((R496-1)*IF(Skills!H11&gt;0,INT(Skills!I11/Skills!H11+0.000000001),1)+IF(Skills!H11&gt;0,INT(MIN(Skills!I11,MAX(0,MAX(0,Inputs!$B$43-B523)-((R496-1)*((IF(Inputs!$B$38="pvp",15,MAX(0.1,Skills!D11-IF(TRUE=TRUE,Inputs!$B$32,0)))*(1-IF(AND(ArtifactsInput!$M$27,Inputs!$B$4="Chapter Hunt"),CHOOSE(ArtifactsInput!$N$27+1,20,24,28,32,36,40),0)/100))/B527))))/Skills!H11+0.000000001),1)))/Inputs!$B$43),G496*Q496)))*N499)*IF(Inputs!$B$38="pvp",1,1+(Inputs!$B$20+0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Hunt"),CHOOSE(ArtifactsInput!$N$35+1,15,18,21,24,27,30)*(1-EXP(-(0.2*B518)*5)),0)+IF(AND(ArtifactsInput!$M$22,Inputs!$B$4&lt;&gt;"Chapter Hunt"),CHOOSE(ArtifactsInput!$N$22+1,10,12,14,16,18,20)*((0*(((0.15*B518*5))^0/1)+1*(((0.15*B518*5))^1/1)+2*(((0.15*B518*5))^2/2)+3*(((0.15*B518*5))^3/6)+4*(((0.15*B518*5))^4/24)+5*(((0.15*B518*5))^5/120))/((((0.15*B518*5))^0/1)+(((0.15*B518*5))^1/1)+(((0.15*B518*5))^2/2)+(((0.15*B518*5))^3/6)+(((0.15*B518*5))^4/24)+(((0.15*B518*5))^5/120))),0))+IF(Inputs!$B$3&gt;=54,9*(C488=TRUE)*MIN(1,8*(1+Inputs!$B$34/100)*Q488)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499*(1-MIN(100,(Inputs!$B$9+((C504=TRUE)*(F504-Calc!F19))+B516+(ArtifactsInput!$M$24-ArtifactsInput!$M$24)*CHOOSE(ArtifactsInput!$N$24+1,10,12,14,16,18,20)+(IF(AND(Inputs!$B$38&lt;&gt;"pvp",Inputs!$B$43=0),1,IF(IF(Inputs!$B$38="pvp",15,Inputs!$B$43)-(B523)&lt;=0,1,MAX(0,IF(Inputs!$B$38="pvp",15,Inputs!$B$43)-MAX(5,B523))/(IF(Inputs!$B$38="pvp",15,Inputs!$B$43)-(B523))))*IF(AND(ArtifactsInput!$M$42,((Inputs!$B$9+((C504=TRUE)*(F504-Calc!F19))+B516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499*(MIN(100,(Inputs!$B$9+((C504=TRUE)*(F504-Calc!F19))+B516+(ArtifactsInput!$M$24-ArtifactsInput!$M$24)*CHOOSE(ArtifactsInput!$N$24+1,10,12,14,16,18,20)+(IF(AND(Inputs!$B$38&lt;&gt;"pvp",Inputs!$B$43=0),1,IF(IF(Inputs!$B$38="pvp",15,Inputs!$B$43)-(B523)&lt;=0,1,MAX(0,IF(Inputs!$B$38="pvp",15,Inputs!$B$43)-MAX(5,B523))/(IF(Inputs!$B$38="pvp",15,Inputs!$B$43)-(B523))))*IF(AND(ArtifactsInput!$M$42,((Inputs!$B$9+((C504=TRUE)*(F504-Calc!F19))+B516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499*(1-MIN(100,(Inputs!$B$9+((C504=TRUE)*(F504-Calc!F19))+B516+(ArtifactsInput!$M$24-ArtifactsInput!$M$24)*CHOOSE(ArtifactsInput!$N$24+1,10,12,14,16,18,20)+(IF(AND(Inputs!$B$38&lt;&gt;"pvp",Inputs!$B$43=0),1,IF(IF(Inputs!$B$38="pvp",15,Inputs!$B$43)-(B523)&lt;=0,1,MAX(0,IF(Inputs!$B$38="pvp",15,Inputs!$B$43)-MAX(5,B523))/(IF(Inputs!$B$38="pvp",15,Inputs!$B$43)-(B523))))*IF(AND(ArtifactsInput!$M$42,((Inputs!$B$9+((C504=TRUE)*(F504-Calc!F19))+B516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499*(MIN(100,(Inputs!$B$9+((C504=TRUE)*(F504-Calc!F19))+B516+(ArtifactsInput!$M$24-ArtifactsInput!$M$24)*CHOOSE(ArtifactsInput!$N$24+1,10,12,14,16,18,20)+(IF(AND(Inputs!$B$38&lt;&gt;"pvp",Inputs!$B$43=0),1,IF(IF(Inputs!$B$38="pvp",15,Inputs!$B$43)-(B523)&lt;=0,1,MAX(0,IF(Inputs!$B$38="pvp",15,Inputs!$B$43)-MAX(5,B523))/(IF(Inputs!$B$38="pvp",15,Inputs!$B$43)-(B523))))*IF(AND(ArtifactsInput!$M$42,((Inputs!$B$9+((C504=TRUE)*(F504-Calc!F19))+B516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499">
        <f>IF(C499,((H499*(B520+IF(AND(Inputs!$B$38&lt;&gt;"pvp",Inputs!$B$43&gt;0),((Skills!G8*((R493-1)*IF(Skills!H8&gt;0,INT(Skills!I8/Skills!H8+0.000000001),1)+IF(Skills!H8&gt;0,INT(MIN(Skills!I8,MAX(0,MAX(0,Inputs!$B$43-B523)-((R493-1)*((IF(Inputs!$B$38="pvp",15,MAX(0.1,Skills!D8-IF(TRUE=TRUE,Inputs!$B$32,0)))*(1-IF(AND(ArtifactsInput!$M$27,Inputs!$B$4="Chapter Hunt"),CHOOSE(ArtifactsInput!$N$27+1,20,24,28,32,36,40),0)/100))/B527))))/Skills!H8+0.000000001),1)))/Inputs!$B$43),G493*Q493)+IF(AND(Inputs!$B$38&lt;&gt;"pvp",Inputs!$B$43&gt;0),((Skills!G11*((R496-1)*IF(Skills!H11&gt;0,INT(Skills!I11/Skills!H11+0.000000001),1)+IF(Skills!H11&gt;0,INT(MIN(Skills!I11,MAX(0,MAX(0,Inputs!$B$43-B523)-((R496-1)*((IF(Inputs!$B$38="pvp",15,MAX(0.1,Skills!D11-IF(TRUE=TRUE,Inputs!$B$32,0)))*(1-IF(AND(ArtifactsInput!$M$27,Inputs!$B$4="Chapter Hunt"),CHOOSE(ArtifactsInput!$N$27+1,20,24,28,32,36,40),0)/100))/B527))))/Skills!H11+0.000000001),1)))/Inputs!$B$43),G496*Q496)))/(1+Skills!H14*H499*(B520+IF(AND(Inputs!$B$38&lt;&gt;"pvp",Inputs!$B$43&gt;0),((Skills!G8*((R493-1)*IF(Skills!H8&gt;0,INT(Skills!I8/Skills!H8+0.000000001),1)+IF(Skills!H8&gt;0,INT(MIN(Skills!I8,MAX(0,MAX(0,Inputs!$B$43-B523)-((R493-1)*((IF(Inputs!$B$38="pvp",15,MAX(0.1,Skills!D8-IF(TRUE=TRUE,Inputs!$B$32,0)))*(1-IF(AND(ArtifactsInput!$M$27,Inputs!$B$4="Chapter Hunt"),CHOOSE(ArtifactsInput!$N$27+1,20,24,28,32,36,40),0)/100))/B527))))/Skills!H8+0.000000001),1)))/Inputs!$B$43),G493*Q493)+IF(AND(Inputs!$B$38&lt;&gt;"pvp",Inputs!$B$43&gt;0),((Skills!G11*((R496-1)*IF(Skills!H11&gt;0,INT(Skills!I11/Skills!H11+0.000000001),1)+IF(Skills!H11&gt;0,INT(MIN(Skills!I11,MAX(0,MAX(0,Inputs!$B$43-B523)-((R496-1)*((IF(Inputs!$B$38="pvp",15,MAX(0.1,Skills!D11-IF(TRUE=TRUE,Inputs!$B$32,0)))*(1-IF(AND(ArtifactsInput!$M$27,Inputs!$B$4="Chapter Hunt"),CHOOSE(ArtifactsInput!$N$27+1,20,24,28,32,36,40),0)/100))/B527))))/Skills!H11+0.000000001),1)))/Inputs!$B$43),G496*Q496)))*N499)*IF(Inputs!$B$38="pvp",1,(1+(Inputs!$B$21+Skills!Q14+(IF(ArtifactsInput!$M$33,CHOOSE(ArtifactsInput!$N$33+1,30,36,42,48,54,60),0))+(IF(AND(ArtifactsInput!$M$35,Inputs!$B$4&lt;&gt;"Chapter Hunt"),CHOOSE(ArtifactsInput!$N$35+1,15,18,21,24,27,30)*(1-EXP(-(0.2*B518)*5)),0)+IF(AND(ArtifactsInput!$M$22,Inputs!$B$4&lt;&gt;"Chapter Hunt"),CHOOSE(ArtifactsInput!$N$22+1,10,12,14,16,18,20)*((0*(((0.15*B518*5))^0/1)+1*(((0.15*B518*5))^1/1)+2*(((0.15*B518*5))^2/2)+3*(((0.15*B518*5))^3/6)+4*(((0.15*B518*5))^4/24)+5*(((0.15*B518*5))^5/120))/((((0.15*B518*5))^0/1)+(((0.15*B518*5))^1/1)+(((0.15*B518*5))^2/2)+(((0.15*B518*5))^3/6)+(((0.15*B518*5))^4/24)+(((0.15*B518*5))^5/120))),0))+IF(Inputs!$B$3&gt;=54,9*(C488=TRUE)*MIN(1,8*(1+Inputs!$B$34/100)*Q488),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00">
      <c r="A500">
        <f>Skills!A15</f>
        <v/>
      </c>
      <c r="B500">
        <f>Skills!B15</f>
        <v/>
      </c>
      <c r="C500">
        <f>Inputs!$B$3&gt;=100</f>
        <v/>
      </c>
      <c r="D500">
        <f>IF(Skills!C15=1,60+Inputs!$B$25+Inputs!$B$29,IF(Skills!C15=2,90+Inputs!$B$26+Inputs!$B$29,IF(Skills!C15=3,120+Inputs!$B$27+Inputs!$B$29,MAX(0,(Inputs!$B$3-100)*3)+Inputs!$B$28+Inputs!$B$29)))</f>
        <v/>
      </c>
      <c r="E500">
        <f>INDEX(FactorTable!$B$2:$Y$301, MATCH(ROUND(MIN(300,MAX(1,D500)),0), FactorTable!$A$2:$A$301,0), Skills!M15+1)</f>
        <v/>
      </c>
      <c r="F500">
        <f>IF(Skills!N15=TRUE,(Skills!L15/10)*(E500/1000),Skills!L15/10)+Skills!O15</f>
        <v/>
      </c>
      <c r="G500" t="inlineStr"/>
      <c r="H500" t="inlineStr"/>
      <c r="I500" t="inlineStr">
        <is>
          <t>1</t>
        </is>
      </c>
      <c r="J500" t="inlineStr"/>
      <c r="K500" t="inlineStr"/>
      <c r="L500" t="inlineStr"/>
      <c r="M500" t="inlineStr"/>
      <c r="N500" t="inlineStr"/>
      <c r="O500" t="inlineStr"/>
      <c r="P500" t="inlineStr"/>
      <c r="Q500" t="inlineStr"/>
      <c r="R500" t="inlineStr"/>
      <c r="S500" t="inlineStr"/>
    </row>
    <row r="501">
      <c r="A501">
        <f>Skills!A16</f>
        <v/>
      </c>
      <c r="B501">
        <f>Skills!B16</f>
        <v/>
      </c>
      <c r="C501">
        <f>Inputs!$B$3&gt;=107</f>
        <v/>
      </c>
      <c r="D501">
        <f>IF(Skills!C16=1,60+Inputs!$B$25+Inputs!$B$29,IF(Skills!C16=2,90+Inputs!$B$26+Inputs!$B$29,IF(Skills!C16=3,120+Inputs!$B$27+Inputs!$B$29,MAX(0,(Inputs!$B$3-100)*3)+Inputs!$B$28+Inputs!$B$29)))</f>
        <v/>
      </c>
      <c r="E501">
        <f>INDEX(FactorTable!$B$2:$Y$301, MATCH(ROUND(MIN(300,MAX(1,D501)),0), FactorTable!$A$2:$A$301,0), Skills!M16+1)</f>
        <v/>
      </c>
      <c r="F501">
        <f>IF(Skills!N16=TRUE,(Skills!L16/10)*(E501/1000),Skills!L16/10)+Skills!O16</f>
        <v/>
      </c>
      <c r="G501" t="inlineStr"/>
      <c r="H501" t="inlineStr"/>
      <c r="I501" t="inlineStr">
        <is>
          <t>1</t>
        </is>
      </c>
      <c r="J501" t="inlineStr"/>
      <c r="K501" t="inlineStr"/>
      <c r="L501" t="inlineStr"/>
      <c r="M501" t="inlineStr"/>
      <c r="N501" t="inlineStr"/>
      <c r="O501" t="inlineStr"/>
      <c r="P501" t="inlineStr"/>
      <c r="Q501" t="inlineStr"/>
      <c r="R501" t="inlineStr"/>
      <c r="S501" t="inlineStr"/>
    </row>
    <row r="502">
      <c r="A502">
        <f>Skills!A17</f>
        <v/>
      </c>
      <c r="B502">
        <f>Skills!B17</f>
        <v/>
      </c>
      <c r="C502">
        <f>Inputs!$B$3&gt;=74</f>
        <v/>
      </c>
      <c r="D502">
        <f>IF(Skills!C17=1,60+Inputs!$B$25+Inputs!$B$29,IF(Skills!C17=2,90+Inputs!$B$26+Inputs!$B$29,IF(Skills!C17=3,120+Inputs!$B$27+Inputs!$B$29,MAX(0,(Inputs!$B$3-100)*3)+Inputs!$B$28+Inputs!$B$29)))</f>
        <v/>
      </c>
      <c r="E502">
        <f>INDEX(FactorTable!$B$2:$Y$301, MATCH(ROUND(MIN(300,MAX(1,D502)),0), FactorTable!$A$2:$A$301,0), Skills!M17+1)</f>
        <v/>
      </c>
      <c r="F502">
        <f>IF(Skills!N17=TRUE,(Skills!L17/10)*(E502/1000),Skills!L17/10)+Skills!O17</f>
        <v/>
      </c>
      <c r="G502">
        <f>Skills!G17*IF(Skills!H17&gt;0,INT(IF(Inputs!$B$38="pvp",MIN(Skills!I17,15),Skills!I17)/Skills!H17+0.000000001),1)</f>
        <v/>
      </c>
      <c r="H502">
        <f>1-(1-Skills!J17/100)^Skills!K17</f>
        <v/>
      </c>
      <c r="I502" t="inlineStr">
        <is>
          <t>1</t>
        </is>
      </c>
      <c r="J502" t="inlineStr"/>
      <c r="K502" t="inlineStr"/>
      <c r="L502" t="inlineStr"/>
      <c r="M502" t="inlineStr"/>
      <c r="N502" t="inlineStr"/>
      <c r="O502">
        <f>(1-Summary!$B$11)*T502+Summary!$B$11*V502</f>
        <v/>
      </c>
      <c r="P502">
        <f>IF(B526=0,0,O502/B526)</f>
        <v/>
      </c>
      <c r="Q502" t="n">
        <v>0</v>
      </c>
      <c r="R502" t="n">
        <v>0</v>
      </c>
      <c r="S502">
        <f>IFERROR(O502/N502,0)</f>
        <v/>
      </c>
      <c r="T502" t="n">
        <v>0</v>
      </c>
      <c r="V502" t="n">
        <v>0</v>
      </c>
    </row>
    <row r="503">
      <c r="A503">
        <f>Skills!A18</f>
        <v/>
      </c>
      <c r="B503">
        <f>Skills!B18</f>
        <v/>
      </c>
      <c r="C503">
        <f>Inputs!$B$3&gt;=115</f>
        <v/>
      </c>
      <c r="D503">
        <f>IF(Skills!C18=1,60+Inputs!$B$25+Inputs!$B$29,IF(Skills!C18=2,90+Inputs!$B$26+Inputs!$B$29,IF(Skills!C18=3,120+Inputs!$B$27+Inputs!$B$29,MAX(0,(Inputs!$B$3-100)*3)+Inputs!$B$28+Inputs!$B$29)))</f>
        <v/>
      </c>
      <c r="E503">
        <f>INDEX(FactorTable!$B$2:$Y$301, MATCH(ROUND(MIN(300,MAX(1,D503)),0), FactorTable!$A$2:$A$301,0), Skills!M18+1)</f>
        <v/>
      </c>
      <c r="F503">
        <f>IF(Skills!N18=TRUE,(Skills!L18/10)*(E503/1000),Skills!L18/10)+Skills!O18</f>
        <v/>
      </c>
      <c r="G503">
        <f>Skills!G18*IF(Skills!H18&gt;0,INT(IF(Inputs!$B$38="pvp",MIN(Skills!I18,15),Skills!I18)/Skills!H18+0.000000001),1)</f>
        <v/>
      </c>
      <c r="H503">
        <f>1-(1-Skills!J18/100)^Skills!K18</f>
        <v/>
      </c>
      <c r="I503" t="inlineStr">
        <is>
          <t>1</t>
        </is>
      </c>
      <c r="J503" t="inlineStr"/>
      <c r="K503" t="inlineStr"/>
      <c r="L503" t="inlineStr"/>
      <c r="M503" t="inlineStr"/>
      <c r="N503" t="inlineStr"/>
      <c r="O503">
        <f>(1-Summary!$B$11)*T503+Summary!$B$11*V503</f>
        <v/>
      </c>
      <c r="P503">
        <f>IF(B526=0,0,O503/B526)</f>
        <v/>
      </c>
      <c r="Q503">
        <f>IFERROR(1/(IF(Inputs!$B$38="pvp",15,MAX(0.1,Skills!D18-IF(TRUE=TRUE,Inputs!$B$32,0)))*(1-IF(AND(ArtifactsInput!$M$27,Inputs!$B$4="Chapter Hunt"),CHOOSE(ArtifactsInput!$N$27+1,20,24,28,32,36,40),0)/100)),0)</f>
        <v/>
      </c>
      <c r="R503">
        <f>IF(AND(Inputs!$B$38&lt;&gt;"pvp",Inputs!$B$43&gt;0),IF(Inputs!$B$43&lt;=0,0,(INT(Inputs!$B$43/(IF(Inputs!$B$38="pvp",15,MAX(0.1,Skills!D18-IF(TRUE=TRUE,Inputs!$B$32,0)))*(1-IF(AND(ArtifactsInput!$M$27,Inputs!$B$4="Chapter Hunt"),CHOOSE(ArtifactsInput!$N$27+1,20,24,28,32,36,40),0)/100)))+1)),0)</f>
        <v/>
      </c>
      <c r="S503">
        <f>IFERROR(O503/N503,0)</f>
        <v/>
      </c>
      <c r="T503" t="n">
        <v>0</v>
      </c>
      <c r="V503" t="n">
        <v>0</v>
      </c>
    </row>
    <row r="504">
      <c r="A504">
        <f>Skills!A19</f>
        <v/>
      </c>
      <c r="B504">
        <f>Skills!B19</f>
        <v/>
      </c>
      <c r="C504">
        <f>Inputs!$B$3&gt;=10</f>
        <v/>
      </c>
      <c r="D504">
        <f>IF(Skills!C19=1,60+Inputs!$B$25+Inputs!$B$29,IF(Skills!C19=2,90+Inputs!$B$26+Inputs!$B$29,IF(Skills!C19=3,120+Inputs!$B$27+Inputs!$B$29,MAX(0,(Inputs!$B$3-100)*3)+Inputs!$B$28+Inputs!$B$29)))</f>
        <v/>
      </c>
      <c r="E504">
        <f>INDEX(FactorTable!$B$2:$Y$301, MATCH(ROUND(MIN(300,MAX(1,D504)),0), FactorTable!$A$2:$A$301,0), Skills!M19+1)</f>
        <v/>
      </c>
      <c r="F504">
        <f>IF(Skills!N19=TRUE,(Skills!L19/10)*(E504/1000),Skills!L19/10)+Skills!O19</f>
        <v/>
      </c>
      <c r="G504">
        <f>Skills!G19*IF(Skills!H19&gt;0,INT(IF(Inputs!$B$38="pvp",MIN(Skills!I19,15),Skills!I19)/Skills!H19+0.000000001),1)</f>
        <v/>
      </c>
      <c r="H504">
        <f>1-(1-Skills!J19/100)^Skills!K19</f>
        <v/>
      </c>
      <c r="I504" t="inlineStr">
        <is>
          <t>1</t>
        </is>
      </c>
      <c r="J504" t="inlineStr"/>
      <c r="K504" t="inlineStr"/>
      <c r="L504" t="inlineStr"/>
      <c r="M504" t="inlineStr"/>
      <c r="N504" t="inlineStr"/>
      <c r="O504">
        <f>(1-Summary!$B$11)*T504+Summary!$B$11*V504</f>
        <v/>
      </c>
      <c r="P504">
        <f>IF(B526=0,0,O504/B526)</f>
        <v/>
      </c>
      <c r="Q504" t="n">
        <v>0</v>
      </c>
      <c r="R504" t="n">
        <v>0</v>
      </c>
      <c r="S504">
        <f>IFERROR(O504/N504,0)</f>
        <v/>
      </c>
      <c r="T504" t="n">
        <v>0</v>
      </c>
      <c r="V504" t="n">
        <v>0</v>
      </c>
    </row>
    <row r="505">
      <c r="A505">
        <f>Skills!A20</f>
        <v/>
      </c>
      <c r="B505">
        <f>Skills!B20</f>
        <v/>
      </c>
      <c r="C505">
        <f>Inputs!$B$3&gt;=15</f>
        <v/>
      </c>
      <c r="D505">
        <f>IF(Skills!C20=1,60+Inputs!$B$25+Inputs!$B$29,IF(Skills!C20=2,90+Inputs!$B$26+Inputs!$B$29,IF(Skills!C20=3,120+Inputs!$B$27+Inputs!$B$29,MAX(0,(Inputs!$B$3-100)*3)+Inputs!$B$28+Inputs!$B$29)))</f>
        <v/>
      </c>
      <c r="E505">
        <f>INDEX(FactorTable!$B$2:$Y$301, MATCH(ROUND(MIN(300,MAX(1,D505)),0), FactorTable!$A$2:$A$301,0), Skills!M20+1)</f>
        <v/>
      </c>
      <c r="F505">
        <f>IF(Skills!N20=TRUE,(Skills!L20/10)*(E505/1000),Skills!L20/10)+Skills!O20</f>
        <v/>
      </c>
      <c r="G505">
        <f>Skills!G20*IF(Skills!H20&gt;0,INT(IF(Inputs!$B$38="pvp",MIN(Skills!I20,15),Skills!I20)/Skills!H20+0.000000001),1)</f>
        <v/>
      </c>
      <c r="H505">
        <f>1-(1-Skills!J20/100)^Skills!K20</f>
        <v/>
      </c>
      <c r="I505" t="inlineStr">
        <is>
          <t>1</t>
        </is>
      </c>
      <c r="J505" t="inlineStr"/>
      <c r="K505" t="inlineStr"/>
      <c r="L505" t="inlineStr"/>
      <c r="M505" t="inlineStr"/>
      <c r="N505" t="inlineStr"/>
      <c r="O505">
        <f>(1-Summary!$B$11)*T505+Summary!$B$11*V505</f>
        <v/>
      </c>
      <c r="P505">
        <f>IF(B526=0,0,O505/B526)</f>
        <v/>
      </c>
      <c r="Q505" t="n">
        <v>0</v>
      </c>
      <c r="R505" t="n">
        <v>0</v>
      </c>
      <c r="S505">
        <f>IFERROR(O505/N505,0)</f>
        <v/>
      </c>
      <c r="T505" t="n">
        <v>0</v>
      </c>
      <c r="V505" t="n">
        <v>0</v>
      </c>
    </row>
    <row r="506">
      <c r="A506">
        <f>Skills!A21</f>
        <v/>
      </c>
      <c r="B506">
        <f>Skills!B21</f>
        <v/>
      </c>
      <c r="C506">
        <f>Inputs!$B$3&gt;=40</f>
        <v/>
      </c>
      <c r="D506">
        <f>IF(Skills!C21=1,60+Inputs!$B$25+Inputs!$B$29,IF(Skills!C21=2,90+Inputs!$B$26+Inputs!$B$29,IF(Skills!C21=3,120+Inputs!$B$27+Inputs!$B$29,MAX(0,(Inputs!$B$3-100)*3)+Inputs!$B$28+Inputs!$B$29)))</f>
        <v/>
      </c>
      <c r="E506">
        <f>INDEX(FactorTable!$B$2:$Y$301, MATCH(ROUND(MIN(300,MAX(1,D506)),0), FactorTable!$A$2:$A$301,0), Skills!M21+1)</f>
        <v/>
      </c>
      <c r="F506">
        <f>IF(Skills!N21=TRUE,(Skills!L21/10)*(E506/1000),Skills!L21/10)+Skills!O21</f>
        <v/>
      </c>
      <c r="G506">
        <f>Skills!G21*IF(Skills!H21&gt;0,INT(IF(Inputs!$B$38="pvp",MIN(Skills!I21,15),Skills!I21)/Skills!H21+0.000000001),1)</f>
        <v/>
      </c>
      <c r="H506">
        <f>1-(1-Skills!J21/100)^Skills!K21</f>
        <v/>
      </c>
      <c r="I506" t="inlineStr">
        <is>
          <t>1</t>
        </is>
      </c>
      <c r="J506" t="inlineStr"/>
      <c r="K506" t="inlineStr"/>
      <c r="L506" t="inlineStr"/>
      <c r="M506" t="inlineStr"/>
      <c r="N506" t="inlineStr"/>
      <c r="O506">
        <f>(1-Summary!$B$11)*T506+Summary!$B$11*V506</f>
        <v/>
      </c>
      <c r="P506">
        <f>IF(B526=0,0,O506/B526)</f>
        <v/>
      </c>
      <c r="Q506" t="n">
        <v>0</v>
      </c>
      <c r="R506" t="n">
        <v>0</v>
      </c>
      <c r="S506">
        <f>IFERROR(O506/N506,0)</f>
        <v/>
      </c>
      <c r="T506" t="n">
        <v>0</v>
      </c>
      <c r="V506" t="n">
        <v>0</v>
      </c>
    </row>
    <row r="507">
      <c r="A507">
        <f>Skills!A22</f>
        <v/>
      </c>
      <c r="B507">
        <f>Skills!B22</f>
        <v/>
      </c>
      <c r="C507">
        <f>Inputs!$B$3&gt;=43</f>
        <v/>
      </c>
      <c r="D507">
        <f>IF(Skills!C22=1,60+Inputs!$B$25+Inputs!$B$29,IF(Skills!C22=2,90+Inputs!$B$26+Inputs!$B$29,IF(Skills!C22=3,120+Inputs!$B$27+Inputs!$B$29,MAX(0,(Inputs!$B$3-100)*3)+Inputs!$B$28+Inputs!$B$29)))</f>
        <v/>
      </c>
      <c r="E507">
        <f>INDEX(FactorTable!$B$2:$Y$301, MATCH(ROUND(MIN(300,MAX(1,D507)),0), FactorTable!$A$2:$A$301,0), Skills!M22+1)</f>
        <v/>
      </c>
      <c r="F507">
        <f>IF(Skills!N22=TRUE,(Skills!L22/10)*(E507/1000),Skills!L22/10)+Skills!O22</f>
        <v/>
      </c>
      <c r="G507">
        <f>Skills!G22*IF(Skills!H22&gt;0,INT(IF(Inputs!$B$38="pvp",MIN(Skills!I22,15),Skills!I22)/Skills!H22+0.000000001),1)</f>
        <v/>
      </c>
      <c r="H507">
        <f>1-(1-Skills!J22/100)^Skills!K22</f>
        <v/>
      </c>
      <c r="I507" t="inlineStr">
        <is>
          <t>1</t>
        </is>
      </c>
      <c r="J507" t="inlineStr"/>
      <c r="K507" t="inlineStr"/>
      <c r="L507" t="inlineStr"/>
      <c r="M507" t="inlineStr"/>
      <c r="N507" t="inlineStr"/>
      <c r="O507">
        <f>(1-Summary!$B$11)*T507+Summary!$B$11*V507</f>
        <v/>
      </c>
      <c r="P507">
        <f>IF(B526=0,0,O507/B526)</f>
        <v/>
      </c>
      <c r="Q507" t="n">
        <v>0</v>
      </c>
      <c r="R507" t="n">
        <v>0</v>
      </c>
      <c r="S507">
        <f>IFERROR(O507/N507,0)</f>
        <v/>
      </c>
      <c r="T507" t="n">
        <v>0</v>
      </c>
      <c r="V507" t="n">
        <v>0</v>
      </c>
    </row>
    <row r="508">
      <c r="A508">
        <f>Skills!A23</f>
        <v/>
      </c>
      <c r="B508">
        <f>Skills!B23</f>
        <v/>
      </c>
      <c r="C508">
        <f>Inputs!$B$3&gt;=38</f>
        <v/>
      </c>
      <c r="D508">
        <f>IF(Skills!C23=1,60+Inputs!$B$25+Inputs!$B$29,IF(Skills!C23=2,90+Inputs!$B$26+Inputs!$B$29,IF(Skills!C23=3,120+Inputs!$B$27+Inputs!$B$29,MAX(0,(Inputs!$B$3-100)*3)+Inputs!$B$28+Inputs!$B$29)))</f>
        <v/>
      </c>
      <c r="E508">
        <f>INDEX(FactorTable!$B$2:$Y$301, MATCH(ROUND(MIN(300,MAX(1,D508)),0), FactorTable!$A$2:$A$301,0), Skills!M23+1)</f>
        <v/>
      </c>
      <c r="F508">
        <f>IF(Skills!N23=TRUE,(Skills!L23/10)*(E508/1000),Skills!L23/10)+Skills!O23</f>
        <v/>
      </c>
      <c r="G508">
        <f>Skills!G23*IF(Skills!H23&gt;0,INT(IF(Inputs!$B$38="pvp",MIN(Skills!I23,15),Skills!I23)/Skills!H23+0.000000001),1)</f>
        <v/>
      </c>
      <c r="H508">
        <f>1-(1-Skills!J23/100)^Skills!K23</f>
        <v/>
      </c>
      <c r="I508" t="inlineStr">
        <is>
          <t>1</t>
        </is>
      </c>
      <c r="J508" t="inlineStr"/>
      <c r="K508" t="inlineStr"/>
      <c r="L508" t="inlineStr"/>
      <c r="M508" t="inlineStr"/>
      <c r="N508" t="inlineStr"/>
      <c r="O508">
        <f>(1-Summary!$B$11)*T508+Summary!$B$11*V508</f>
        <v/>
      </c>
      <c r="P508">
        <f>IF(B526=0,0,O508/B526)</f>
        <v/>
      </c>
      <c r="Q508" t="n">
        <v>0</v>
      </c>
      <c r="R508" t="n">
        <v>0</v>
      </c>
      <c r="S508">
        <f>IFERROR(O508/N508,0)</f>
        <v/>
      </c>
      <c r="T508" t="n">
        <v>0</v>
      </c>
      <c r="V508" t="n">
        <v>0</v>
      </c>
    </row>
    <row r="509">
      <c r="A509">
        <f>Skills!A24</f>
        <v/>
      </c>
      <c r="B509">
        <f>Skills!B24</f>
        <v/>
      </c>
      <c r="C509">
        <f>Inputs!$B$3&gt;=45</f>
        <v/>
      </c>
      <c r="D509">
        <f>IF(Skills!C24=1,60+Inputs!$B$25+Inputs!$B$29,IF(Skills!C24=2,90+Inputs!$B$26+Inputs!$B$29,IF(Skills!C24=3,120+Inputs!$B$27+Inputs!$B$29,MAX(0,(Inputs!$B$3-100)*3)+Inputs!$B$28+Inputs!$B$29)))</f>
        <v/>
      </c>
      <c r="E509">
        <f>INDEX(FactorTable!$B$2:$Y$301, MATCH(ROUND(MIN(300,MAX(1,D509)),0), FactorTable!$A$2:$A$301,0), Skills!M24+1)</f>
        <v/>
      </c>
      <c r="F509">
        <f>IF(Skills!N24=TRUE,(Skills!L24/10)*(E509/1000),Skills!L24/10)+Skills!O24</f>
        <v/>
      </c>
      <c r="G509">
        <f>Skills!G24*IF(Skills!H24&gt;0,INT(IF(Inputs!$B$38="pvp",MIN(Skills!I24,15),Skills!I24)/Skills!H24+0.000000001),1)</f>
        <v/>
      </c>
      <c r="H509">
        <f>1-(1-Skills!J24/100)^Skills!K24</f>
        <v/>
      </c>
      <c r="I509" t="inlineStr">
        <is>
          <t>1</t>
        </is>
      </c>
      <c r="J509" t="inlineStr"/>
      <c r="K509" t="inlineStr"/>
      <c r="L509" t="inlineStr"/>
      <c r="M509" t="inlineStr"/>
      <c r="N509" t="inlineStr"/>
      <c r="O509">
        <f>(1-Summary!$B$11)*T509+Summary!$B$11*V509</f>
        <v/>
      </c>
      <c r="P509">
        <f>IF(B526=0,0,O509/B526)</f>
        <v/>
      </c>
      <c r="Q509" t="n">
        <v>0</v>
      </c>
      <c r="R509" t="n">
        <v>0</v>
      </c>
      <c r="S509">
        <f>IFERROR(O509/N509,0)</f>
        <v/>
      </c>
      <c r="T509" t="n">
        <v>0</v>
      </c>
      <c r="V509" t="n">
        <v>0</v>
      </c>
    </row>
    <row r="510">
      <c r="A510">
        <f>Skills!A25</f>
        <v/>
      </c>
      <c r="B510">
        <f>Skills!B25</f>
        <v/>
      </c>
      <c r="C510">
        <f>Inputs!$B$3&gt;=72</f>
        <v/>
      </c>
      <c r="D510">
        <f>IF(Skills!C25=1,60+Inputs!$B$25+Inputs!$B$29,IF(Skills!C25=2,90+Inputs!$B$26+Inputs!$B$29,IF(Skills!C25=3,120+Inputs!$B$27+Inputs!$B$29,MAX(0,(Inputs!$B$3-100)*3)+Inputs!$B$28+Inputs!$B$29)))</f>
        <v/>
      </c>
      <c r="E510">
        <f>INDEX(FactorTable!$B$2:$Y$301, MATCH(ROUND(MIN(300,MAX(1,D510)),0), FactorTable!$A$2:$A$301,0), Skills!M25+1)</f>
        <v/>
      </c>
      <c r="F510">
        <f>IF(Skills!N25=TRUE,(Skills!L25/10)*(E510/1000),Skills!L25/10)+Skills!O25</f>
        <v/>
      </c>
      <c r="G510">
        <f>Skills!G25*IF(Skills!H25&gt;0,INT(IF(Inputs!$B$38="pvp",MIN(Skills!I25,15),Skills!I25)/Skills!H25+0.000000001),1)</f>
        <v/>
      </c>
      <c r="H510">
        <f>1-(1-Skills!J25/100)^Skills!K25</f>
        <v/>
      </c>
      <c r="I510" t="inlineStr">
        <is>
          <t>1</t>
        </is>
      </c>
      <c r="J510" t="inlineStr"/>
      <c r="K510" t="inlineStr"/>
      <c r="L510" t="inlineStr"/>
      <c r="M510" t="inlineStr"/>
      <c r="N510" t="inlineStr"/>
      <c r="O510">
        <f>(1-Summary!$B$11)*T510+Summary!$B$11*V510</f>
        <v/>
      </c>
      <c r="P510">
        <f>IF(B526=0,0,O510/B526)</f>
        <v/>
      </c>
      <c r="Q510" t="n">
        <v>0</v>
      </c>
      <c r="R510" t="n">
        <v>0</v>
      </c>
      <c r="S510">
        <f>IFERROR(O510/N510,0)</f>
        <v/>
      </c>
      <c r="T510" t="n">
        <v>0</v>
      </c>
      <c r="V510" t="n">
        <v>0</v>
      </c>
    </row>
    <row r="511">
      <c r="A511">
        <f>Skills!A26</f>
        <v/>
      </c>
      <c r="B511">
        <f>Skills!B26</f>
        <v/>
      </c>
      <c r="C511">
        <f>Inputs!$B$3&gt;=75</f>
        <v/>
      </c>
      <c r="D511">
        <f>IF(Skills!C26=1,60+Inputs!$B$25+Inputs!$B$29,IF(Skills!C26=2,90+Inputs!$B$26+Inputs!$B$29,IF(Skills!C26=3,120+Inputs!$B$27+Inputs!$B$29,MAX(0,(Inputs!$B$3-100)*3)+Inputs!$B$28+Inputs!$B$29)))</f>
        <v/>
      </c>
      <c r="E511">
        <f>INDEX(FactorTable!$B$2:$Y$301, MATCH(ROUND(MIN(300,MAX(1,D511)),0), FactorTable!$A$2:$A$301,0), Skills!M26+1)</f>
        <v/>
      </c>
      <c r="F511">
        <f>IF(Skills!N26=TRUE,(Skills!L26/10)*(E511/1000),Skills!L26/10)+Skills!O26</f>
        <v/>
      </c>
      <c r="G511">
        <f>Skills!G26*IF(Skills!H26&gt;0,INT(IF(Inputs!$B$38="pvp",MIN(Skills!I26,15),Skills!I26)/Skills!H26+0.000000001),1)</f>
        <v/>
      </c>
      <c r="H511">
        <f>1-(1-Skills!J26/100)^Skills!K26</f>
        <v/>
      </c>
      <c r="I511" t="inlineStr">
        <is>
          <t>1</t>
        </is>
      </c>
      <c r="J511" t="inlineStr"/>
      <c r="K511" t="inlineStr"/>
      <c r="L511" t="inlineStr"/>
      <c r="M511" t="inlineStr"/>
      <c r="N511" t="inlineStr"/>
      <c r="O511">
        <f>(1-Summary!$B$11)*T511+Summary!$B$11*V511</f>
        <v/>
      </c>
      <c r="P511">
        <f>IF(B526=0,0,O511/B526)</f>
        <v/>
      </c>
      <c r="Q511" t="n">
        <v>0</v>
      </c>
      <c r="R511" t="n">
        <v>0</v>
      </c>
      <c r="S511">
        <f>IFERROR(O511/N511,0)</f>
        <v/>
      </c>
      <c r="T511" t="n">
        <v>0</v>
      </c>
      <c r="V511" t="n">
        <v>0</v>
      </c>
    </row>
    <row r="512">
      <c r="A512">
        <f>Skills!A27</f>
        <v/>
      </c>
      <c r="B512">
        <f>Skills!B27</f>
        <v/>
      </c>
      <c r="C512">
        <f>Inputs!$B$3&gt;=125</f>
        <v/>
      </c>
      <c r="D512">
        <f>IF(Skills!C27=1,60+Inputs!$B$25+Inputs!$B$29,IF(Skills!C27=2,90+Inputs!$B$26+Inputs!$B$29,IF(Skills!C27=3,120+Inputs!$B$27+Inputs!$B$29,MAX(0,(Inputs!$B$3-100)*3)+Inputs!$B$28+Inputs!$B$29)))</f>
        <v/>
      </c>
      <c r="E512">
        <f>INDEX(FactorTable!$B$2:$Y$301, MATCH(ROUND(MIN(300,MAX(1,D512)),0), FactorTable!$A$2:$A$301,0), Skills!M27+1)</f>
        <v/>
      </c>
      <c r="F512">
        <f>IF(Skills!N27=TRUE,(Skills!L27/10)*(E512/1000),Skills!L27/10)+Skills!O27</f>
        <v/>
      </c>
      <c r="G512">
        <f>Skills!G27*IF(Skills!H27&gt;0,INT(IF(Inputs!$B$38="pvp",MIN(Skills!I27,15),Skills!I27)/Skills!H27+0.000000001),1)</f>
        <v/>
      </c>
      <c r="H512">
        <f>1-(1-Skills!J27/100)^Skills!K27</f>
        <v/>
      </c>
      <c r="I512" t="inlineStr">
        <is>
          <t>1</t>
        </is>
      </c>
      <c r="J512" t="inlineStr"/>
      <c r="K512" t="inlineStr"/>
      <c r="L512" t="inlineStr"/>
      <c r="M512" t="inlineStr"/>
      <c r="N512" t="inlineStr"/>
      <c r="O512">
        <f>(1-Summary!$B$11)*T512+Summary!$B$11*V512</f>
        <v/>
      </c>
      <c r="P512">
        <f>IF(B526=0,0,O512/B526)</f>
        <v/>
      </c>
      <c r="Q512" t="n">
        <v>0</v>
      </c>
      <c r="R512" t="n">
        <v>0</v>
      </c>
      <c r="S512">
        <f>IFERROR(O512/N512,0)</f>
        <v/>
      </c>
      <c r="T512" t="n">
        <v>0</v>
      </c>
      <c r="V512" t="n">
        <v>0</v>
      </c>
    </row>
    <row r="513">
      <c r="A513">
        <f>Skills!A28</f>
        <v/>
      </c>
      <c r="B513">
        <f>Skills!B28</f>
        <v/>
      </c>
      <c r="C513">
        <f>TRUE</f>
        <v/>
      </c>
      <c r="D513">
        <f>IF(Skills!C28=1,60+Inputs!$B$25+Inputs!$B$29,IF(Skills!C28=2,90+Inputs!$B$26+Inputs!$B$29,IF(Skills!C28=3,120+Inputs!$B$27+Inputs!$B$29,MAX(0,(Inputs!$B$3-100)*3)+Inputs!$B$28+Inputs!$B$29)))</f>
        <v/>
      </c>
      <c r="E513">
        <f>INDEX(FactorTable!$B$2:$Y$301, MATCH(ROUND(MIN(300,MAX(1,D513)),0), FactorTable!$A$2:$A$301,0), Skills!M28+1)</f>
        <v/>
      </c>
      <c r="F513">
        <f>IF(Skills!N28=TRUE,(Skills!L28/10)*(E513/1000),Skills!L28/10)+Skills!O28</f>
        <v/>
      </c>
      <c r="G513">
        <f>Skills!G28*IF(Skills!H28&gt;0,INT(IF(Inputs!$B$38="pvp",MIN(Skills!I28,15),Skills!I28)/Skills!H28+0.000000001),1)</f>
        <v/>
      </c>
      <c r="H513">
        <f>1-(1-Skills!J28/100)^Skills!K28</f>
        <v/>
      </c>
      <c r="I513" t="inlineStr">
        <is>
          <t>1</t>
        </is>
      </c>
      <c r="J513" t="inlineStr"/>
      <c r="K513" t="inlineStr"/>
      <c r="L513" t="inlineStr"/>
      <c r="M513" t="inlineStr"/>
      <c r="N513" t="inlineStr"/>
      <c r="O513">
        <f>(1-Summary!$B$11)*T513+Summary!$B$11*V513</f>
        <v/>
      </c>
      <c r="P513">
        <f>IF(B526=0,0,O513/B526)</f>
        <v/>
      </c>
      <c r="Q513">
        <f>IFERROR(1/(IF(Inputs!$B$38="pvp",15,MAX(0.1,Skills!D28-IF(TRUE=TRUE,Inputs!$B$32,0)))*(1-IF(AND(ArtifactsInput!$M$27,Inputs!$B$4="Chapter Hunt"),CHOOSE(ArtifactsInput!$N$27+1,20,24,28,32,36,40),0)/100)),0)</f>
        <v/>
      </c>
      <c r="R513">
        <f>IF(AND(Inputs!$B$38&lt;&gt;"pvp",Inputs!$B$43&gt;0),IF(Inputs!$B$43&lt;=0,0,(INT(Inputs!$B$43/(IF(Inputs!$B$38="pvp",15,MAX(0.1,Skills!D28-IF(TRUE=TRUE,Inputs!$B$32,0)))*(1-IF(AND(ArtifactsInput!$M$27,Inputs!$B$4="Chapter Hunt"),CHOOSE(ArtifactsInput!$N$27+1,20,24,28,32,36,40),0)/100)))+1)),0)</f>
        <v/>
      </c>
      <c r="S513">
        <f>IFERROR(O513/N513,0)</f>
        <v/>
      </c>
      <c r="T513" t="n">
        <v>0</v>
      </c>
      <c r="V513" t="n">
        <v>0</v>
      </c>
    </row>
    <row r="515">
      <c r="A515" t="inlineStr">
        <is>
          <t>Attack% Bucket Multiplier</t>
        </is>
      </c>
      <c r="B515">
        <f>(1+(((C502=TRUE)*F502*5/7)+((C509=TRUE)*(F509-Calc!F24))+(IF(ArtifactsInput!$M$21,CHOOSE(ArtifactsInput!$N$21+1,25,30,35,40,45,50)*(IF(OR(Inputs!$B$4="Chapter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516">
      <c r="A516" t="inlineStr">
        <is>
          <t>Global Crit Rate Bonus %</t>
        </is>
      </c>
      <c r="B516" t="n">
        <v>0</v>
      </c>
    </row>
    <row r="517">
      <c r="A517" t="inlineStr">
        <is>
          <t>Attack Speed Buff Bonus % (Nimble Feet, duty-cycle averaged)</t>
        </is>
      </c>
      <c r="B517">
        <f>((C513=TRUE)*F513*IF(AND(Inputs!$B$38&lt;&gt;"pvp",Inputs!$B$43&gt;0),(((R513-1)*MIN((Skills!T28*(1+Inputs!$B$34/100)),(1/Q513))+MIN((Skills!T28*(1+Inputs!$B$34/100)),MAX(0,Inputs!$B$43-((R513-1)*(1/Q513)))))/Inputs!$B$43),IF(Inputs!$B$38="pvp",MIN((Skills!T28*(1+Inputs!$B$34/100)),15)/15,MIN(1,(Skills!T28*(1+Inputs!$B$34/100))/(1/Q513)))))</f>
        <v/>
      </c>
    </row>
    <row r="518">
      <c r="A518" t="inlineStr">
        <is>
          <t>Actions Per Second</t>
        </is>
      </c>
      <c r="B518">
        <f>1+MIN(150,150*(1-(1-(Inputs!$B$11+((C505=TRUE)*(F505-Calc!F20))+((C506=TRUE)*(F506-Calc!F21)))/150)*(1-B517/150)))/100</f>
        <v/>
      </c>
    </row>
    <row r="519">
      <c r="A519" t="inlineStr">
        <is>
          <t>Skill + Buff Cast Rate</t>
        </is>
      </c>
      <c r="B519">
        <f>IF(AND(Inputs!$B$38&lt;&gt;"pvp",Inputs!$B$43&gt;0),SUMPRODUCT((Skills!E2:E28=TRUE)*(C487:C513=TRUE)*R487:R513*Skills!F2:F28)/Inputs!$B$43,SUMPRODUCT((Skills!E2:E28=TRUE)*(C487:C513=TRUE)*Q487:Q513*Skills!F2:F28))</f>
        <v/>
      </c>
    </row>
    <row r="520">
      <c r="A520" t="inlineStr">
        <is>
          <t>Eight-Legs Easton Casts Per Second</t>
        </is>
      </c>
      <c r="B520">
        <f>MAX(0,B518-B519)</f>
        <v/>
      </c>
    </row>
    <row r="521">
      <c r="A521" t="inlineStr">
        <is>
          <t>Global Critical Damage Bonus % (unused)</t>
        </is>
      </c>
      <c r="B521" t="n">
        <v>0</v>
      </c>
    </row>
    <row r="522">
      <c r="A522" t="inlineStr">
        <is>
          <t>Global Final Damage Bonus % (Jolly Roger + Ahoy Mateys - Final Damage proc)</t>
        </is>
      </c>
      <c r="B522">
        <f>((C503=TRUE)*F503*IF(AND(Inputs!$B$38&lt;&gt;"pvp",Inputs!$B$43&gt;0),(((R503-1)*MIN((Skills!T18*(1+Inputs!$B$34/100)),(1/Q503))+MIN((Skills!T18*(1+Inputs!$B$34/100)),MAX(0,Inputs!$B$43-((R503-1)*(1/Q503)))))/Inputs!$B$43),IF(Inputs!$B$38="pvp",MIN((Skills!T18*(1+Inputs!$B$34/100)),15)/15,MIN(1,(Skills!T18*(1+Inputs!$B$34/100))/(1/Q503)))))+IF(Inputs!$B$3&gt;=122,20*IF(Inputs!$B$38="pvp",MIN((20*(1+Inputs!$B$34/100)),15)/15,MIN(1,(20*(1+Inputs!$B$34/100))/(1/Q489))),0)</f>
        <v/>
      </c>
    </row>
    <row r="523">
      <c r="A523" t="inlineStr">
        <is>
          <t>Buff-Casting Startup Delay (s, fixed-duration only)</t>
        </is>
      </c>
      <c r="B523">
        <f>IF(AND(Inputs!$B$38&lt;&gt;"pvp",Inputs!$B$43&gt;0),SUMPRODUCT((Skills!T2:T28&gt;0)*(Skills!E2:E28=TRUE)*(C487:C513=TRUE))/B518,0)</f>
        <v/>
      </c>
    </row>
    <row r="524">
      <c r="A524" t="inlineStr">
        <is>
          <t>Boss-Only Total DPS (this block's swept value)</t>
        </is>
      </c>
      <c r="B524">
        <f>SUM(T487:T513)</f>
        <v/>
      </c>
    </row>
    <row r="525">
      <c r="A525" t="inlineStr">
        <is>
          <t>Normal-Only Total DPS (this block's swept value)</t>
        </is>
      </c>
      <c r="B525">
        <f>SUM(V487:V513)</f>
        <v/>
      </c>
    </row>
    <row r="526">
      <c r="A526" s="6" t="inlineStr">
        <is>
          <t>TOTAL DPS</t>
        </is>
      </c>
      <c r="B526" s="6">
        <f>SUM(O487:O513)</f>
        <v/>
      </c>
    </row>
    <row r="527">
      <c r="A527" t="inlineStr">
        <is>
          <t>Quickdraw cooldown divisor (this block's own APS / Q)</t>
        </is>
      </c>
      <c r="B527">
        <f>IF(AND(C512=TRUE,Inputs!$B$38&lt;&gt;"pvp"),1+0.25*MAX(0,(B518-(((C488=TRUE)*Q488*1)+((C489=TRUE)*Q489*1)+((C491=TRUE)*Q491*1)+((C492=TRUE)*Q492*1)+((C494=TRUE)*Q494*1)+((C497=TRUE)*Q497*1)+((C503=TRUE)*Q503*1)+((C513=TRUE)*Q513*1))-((C493=TRUE)/(IF(Inputs!$B$38="pvp",15,MAX(0.1,Skills!D8-IF(TRUE=TRUE,Inputs!$B$32,0)))*(1-IF(AND(ArtifactsInput!$M$27,Inputs!$B$4="Chapter Hunt"),CHOOSE(ArtifactsInput!$N$27+1,20,24,28,32,36,40),0)/100))+(C496=TRUE)/(IF(Inputs!$B$38="pvp",15,MAX(0.1,Skills!D11-IF(TRUE=TRUE,Inputs!$B$32,0)))*(1-IF(AND(ArtifactsInput!$M$27,Inputs!$B$4="Chapter Hunt"),CHOOSE(ArtifactsInput!$N$27+1,20,24,28,32,36,40),0)/100))))/(1+0.25*((C493=TRUE)/(IF(Inputs!$B$38="pvp",15,MAX(0.1,Skills!D8-IF(TRUE=TRUE,Inputs!$B$32,0)))*(1-IF(AND(ArtifactsInput!$M$27,Inputs!$B$4="Chapter Hunt"),CHOOSE(ArtifactsInput!$N$27+1,20,24,28,32,36,40),0)/100))+(C496=TRUE)/(IF(Inputs!$B$38="pvp",15,MAX(0.1,Skills!D11-IF(TRUE=TRUE,Inputs!$B$32,0)))*(1-IF(AND(ArtifactsInput!$M$27,Inputs!$B$4="Chapter Hunt"),CHOOSE(ArtifactsInput!$N$27+1,20,24,28,32,36,40),0)/100))))),1)</f>
        <v/>
      </c>
    </row>
    <row r="528">
      <c r="A528" t="inlineStr">
        <is>
          <t>Nautilus Strike - Final Attack trigger rate (this block's own Q/R)</t>
        </is>
      </c>
      <c r="B528">
        <f>IF(AND(Inputs!$B$38&lt;&gt;"pvp",Inputs!$B$43&gt;0),(((C488=TRUE)*R488)+((C491=TRUE)*R491)+((C493=TRUE)*R493)+((C494=TRUE)*R494)+((C496=TRUE)*R496))/Inputs!$B$43,((C488=TRUE)*Q488)+((C491=TRUE)*Q491)+((C493=TRUE)*Q493)+((C494=TRUE)*Q494)+((C496=TRUE)*Q496))+B520</f>
        <v/>
      </c>
    </row>
    <row r="531">
      <c r="A531" s="6" t="inlineStr">
        <is>
          <t>Stat: CRIT_RATE %</t>
        </is>
      </c>
    </row>
    <row r="532">
      <c r="A532" s="5" t="inlineStr">
        <is>
          <t>Key</t>
        </is>
      </c>
      <c r="B532" s="5" t="inlineStr">
        <is>
          <t>Name</t>
        </is>
      </c>
      <c r="C532" s="5" t="inlineStr">
        <is>
          <t>Unlocked</t>
        </is>
      </c>
      <c r="D532" s="5" t="inlineStr">
        <is>
          <t>InputLevel</t>
        </is>
      </c>
      <c r="E532" s="5" t="inlineStr">
        <is>
          <t>Factor</t>
        </is>
      </c>
      <c r="F532" s="5" t="inlineStr">
        <is>
          <t>CoefficientPercent</t>
        </is>
      </c>
      <c r="G532" s="5" t="inlineStr">
        <is>
          <t>EffectiveHits</t>
        </is>
      </c>
      <c r="H532" s="5" t="inlineStr">
        <is>
          <t>ProcProbability</t>
        </is>
      </c>
      <c r="I532" s="5" t="inlineStr">
        <is>
          <t>MapleHeroMultiplier</t>
        </is>
      </c>
      <c r="J532" s="5" t="inlineStr">
        <is>
          <t>BaseDamage</t>
        </is>
      </c>
      <c r="K532" s="5" t="inlineStr">
        <is>
          <t>BaseHitDamage</t>
        </is>
      </c>
      <c r="L532" s="5" t="inlineStr">
        <is>
          <t>NonCritAvg</t>
        </is>
      </c>
      <c r="M532" s="5" t="inlineStr">
        <is>
          <t>CritAvg</t>
        </is>
      </c>
      <c r="N532" s="5" t="inlineStr">
        <is>
          <t>ExpectedDamage(perHit)</t>
        </is>
      </c>
      <c r="O532" s="5" t="inlineStr">
        <is>
          <t>DPS</t>
        </is>
      </c>
      <c r="P532" s="5" t="inlineStr">
        <is>
          <t>% of Total</t>
        </is>
      </c>
      <c r="Q532" s="5" t="inlineStr">
        <is>
          <t>InvCooldown</t>
        </is>
      </c>
      <c r="R532" s="5" t="inlineStr">
        <is>
          <t>CastsInFight</t>
        </is>
      </c>
      <c r="S532" s="5" t="inlineStr">
        <is>
          <t>HitRate(perSec)</t>
        </is>
      </c>
      <c r="U532" t="inlineStr">
        <is>
          <t>helpers</t>
        </is>
      </c>
    </row>
    <row r="533">
      <c r="A533">
        <f>Skills!A2</f>
        <v/>
      </c>
      <c r="B533">
        <f>Skills!B2</f>
        <v/>
      </c>
      <c r="C533">
        <f>Inputs!$B$3&gt;=100</f>
        <v/>
      </c>
      <c r="D533" t="inlineStr"/>
      <c r="E533" t="inlineStr"/>
      <c r="F533">
        <f>U535+Skills!O2</f>
        <v/>
      </c>
      <c r="G533">
        <f>Skills!G2*IF(Skills!H2&gt;0,INT(IF(Inputs!$B$38="pvp",MIN(Skills!I2,15),Skills!I2)/Skills!H2+0.000000001),1)</f>
        <v/>
      </c>
      <c r="H533">
        <f>1-(1-Skills!J2/100)^Skills!K2</f>
        <v/>
      </c>
      <c r="I533" t="inlineStr">
        <is>
          <t>1</t>
        </is>
      </c>
      <c r="J533">
        <f>((Inputs!$B$6*(1+Inputs!$B$7/100))+(((Inputs!$B$12*(1+Inputs!$B$13/100))-(Inputs!$B$12*(1+Inputs!$B$13/100)))+0.25*(Inputs!$B$14-Inputs!$B$14))*(1+Inputs!$B$7/100))*(F533/100)</f>
        <v/>
      </c>
      <c r="K533">
        <f>J533*(1+((Inputs!$B$12*(1+Inputs!$B$13/100))*0.01+Inputs!$B$14*0.0025)/100)*(1+Inputs!$B$15/100)*(1+Inputs!$B$16/100)*(5000/(6000+Inputs!$B$42*(1-(100*(1-(1-(Inputs!$B$19+0)/100)*(1-CHOOSE(ArtifactsInput!$N$40+1,5,6,7,8,9,10)/100)^(ArtifactsInput!$M$40-ArtifactsInput!$M$40)))/100)))*(1+(Inputs!$B$24+((C557=TRUE)*(F557-Calc!F26))+B568)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IGHT_LEGS_EASTON",Inputs!$B$17+((C554=TRUE)*(F554-Calc!F23))+((C558=TRUE)*(F558-Calc!F27))+((IF(AND(Inputs!$B$38&lt;&gt;"pvp",Inputs!$B$43=0),1,IF(IF(Inputs!$B$38="pvp",15,Inputs!$B$43)-(B569)&lt;=0,1,MAX(0,IF(Inputs!$B$38="pvp",15,Inputs!$B$43)-MAX(5,B569))/(IF(Inputs!$B$38="pvp",15,Inputs!$B$43)-(B569))))*(IF(AND(ArtifactsInput!$M$42,(((Inputs!$B$9+1)+((C550=TRUE)*(F550-Calc!F19))+B562+(ArtifactsInput!$M$24-ArtifactsInput!$M$24)*CHOOSE(ArtifactsInput!$N$24+1,10,12,14,16,18,20)+IF(ArtifactsInput!$M$10,CHOOSE(ArtifactsInput!$N$10+1,15,18,21,24,27,30)*(IF(Inputs!$B$38="pvp",MIN(15,15)/15,IF(AND(Inputs!$B$38&lt;&gt;"pvp",Inputs!$B$43&gt;0),MIN(15,Inputs!$B$43)/(Inputs!$B$43),0))),0)))&gt;=100),MIN(100,(((Inputs!$B$9+1)+((C550=TRUE)*(F550-Calc!F19))+B562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569)&lt;=0,1,MAX(0,IF(Inputs!$B$38="pvp",15,Inputs!$B$43)-MAX(5,B569))/(IF(Inputs!$B$38="pvp",15,Inputs!$B$43)-(B569))))*IF(AND(ArtifactsInput!$M$42,(((Inputs!$B$9+1)+((C550=TRUE)*(F550-Calc!F19))+B562+(ArtifactsInput!$M$24-ArtifactsInput!$M$24)*CHOOSE(ArtifactsInput!$N$24+1,10,12,14,16,18,20)+IF(ArtifactsInput!$M$10,CHOOSE(ArtifactsInput!$N$10+1,15,18,21,24,27,30)*(IF(Inputs!$B$38="pvp",MIN(15,15)/15,IF(AND(Inputs!$B$38&lt;&gt;"pvp",Inputs!$B$43&gt;0),MIN(15,Inputs!$B$43)/(Inputs!$B$43),0))),0)))&gt;=100),CHOOSE(ArtifactsInput!$N$42+1,40,48,56,64,72,80),0))))/100)*((1+(((C548=TRUE)*F548*5/7)+((C555=TRUE)*(F555-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533)</f>
        <v/>
      </c>
      <c r="L533">
        <f>K533*(MIN(Inputs!$B$22+((C553=TRUE)*(F553-Calc!F22)),(Inputs!$B$23+0+(IF(ArtifactsInput!$M$15,CHOOSE(ArtifactsInput!$N$15+1,25,30,35,40,45,50)/100*(Inputs!$B$11-Inputs!$B$11),0))))/100+(Inputs!$B$23+0+(IF(ArtifactsInput!$M$15,CHOOSE(ArtifactsInput!$N$15+1,25,30,35,40,45,50)/100*(Inputs!$B$11-Inputs!$B$11),0)))/100)/2</f>
        <v/>
      </c>
      <c r="M533">
        <f>L533*(1+(Inputs!$B$10+((C556=TRUE)*(F556-Calc!F25))+B567+(IF(ArtifactsInput!$M$24,CHOOSE(ArtifactsInput!$N$24+1,30,36,42,48,54,60)/100*((Inputs!$B$9+1)-Inputs!$B$9),0)+IF(ArtifactsInput!$M$10,CHOOSE(ArtifactsInput!$N$10+1,20,24,28,32,36,40)*(IF(Inputs!$B$38="pvp",MIN(15,15)/15,IF(AND(Inputs!$B$38&lt;&gt;"pvp",Inputs!$B$43&gt;0),MIN(15,Inputs!$B$43)/(Inputs!$B$43),0))),0)+IF(ArtifactsInput!$M$31,1.5*CHOOSE(ArtifactsInput!$N$31+1,20,24,28,32,36,40),0)))/100)</f>
        <v/>
      </c>
      <c r="N533">
        <f>L533*(1-MIN(((Inputs!$B$9+1)+((C550=TRUE)*(F550-Calc!F19))+B562+(ArtifactsInput!$M$24-ArtifactsInput!$M$24)*CHOOSE(ArtifactsInput!$N$24+1,10,12,14,16,18,20)+(IF(AND(Inputs!$B$38&lt;&gt;"pvp",Inputs!$B$43=0),1,IF(IF(Inputs!$B$38="pvp",15,Inputs!$B$43)-(B569)&lt;=0,1,MAX(0,IF(Inputs!$B$38="pvp",15,Inputs!$B$43)-MAX(5,B569))/(IF(Inputs!$B$38="pvp",15,Inputs!$B$43)-(B569))))*IF(AND(ArtifactsInput!$M$42,(((Inputs!$B$9+1)+((C550=TRUE)*(F550-Calc!F19))+B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533*(MIN(((Inputs!$B$9+1)+((C550=TRUE)*(F550-Calc!F19))+B562+(ArtifactsInput!$M$24-ArtifactsInput!$M$24)*CHOOSE(ArtifactsInput!$N$24+1,10,12,14,16,18,20)+(IF(AND(Inputs!$B$38&lt;&gt;"pvp",Inputs!$B$43=0),1,IF(IF(Inputs!$B$38="pvp",15,Inputs!$B$43)-(B569)&lt;=0,1,MAX(0,IF(Inputs!$B$38="pvp",15,Inputs!$B$43)-MAX(5,B569))/(IF(Inputs!$B$38="pvp",15,Inputs!$B$43)-(B569))))*IF(AND(ArtifactsInput!$M$42,(((Inputs!$B$9+1)+((C550=TRUE)*(F550-Calc!F19))+B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33">
        <f>(1-Summary!$B$11)*T533+Summary!$B$11*V533</f>
        <v/>
      </c>
      <c r="P533">
        <f>IF(B572=0,0,O533/B572)</f>
        <v/>
      </c>
      <c r="Q533" t="n">
        <v>0</v>
      </c>
      <c r="R533" t="n">
        <v>0</v>
      </c>
      <c r="S533">
        <f>IFERROR(O533/N533,0)</f>
        <v/>
      </c>
      <c r="T533">
        <f>IF(C533,(Skills!G2*N533*B566*(1+IF(C558=TRUE,1/3,0)))*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Hunt"),CHOOSE(ArtifactsInput!$N$35+1,15,18,21,24,27,30)*(1-EXP(-(0.2*B564)*5)),0)+IF(AND(ArtifactsInput!$M$22,Inputs!$B$4&lt;&gt;"Chapter Hunt"),CHOOSE(ArtifactsInput!$N$22+1,10,12,14,16,18,20)*((0*(((0.15*B564*5))^0/1)+1*(((0.15*B564*5))^1/1)+2*(((0.15*B564*5))^2/2)+3*(((0.15*B564*5))^3/6)+4*(((0.15*B564*5))^4/24)+5*(((0.15*B564*5))^5/120))/((((0.15*B564*5))^0/1)+(((0.15*B564*5))^1/1)+(((0.15*B564*5))^2/2)+(((0.15*B564*5))^3/6)+(((0.15*B564*5))^4/24)+(((0.15*B564*5))^5/120))),0))+IF(Inputs!$B$3&gt;=54,9*(C534=TRUE)*MIN(1,8*(1+Inputs!$B$34/100)*Q534)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533*(1-MIN(100,((Inputs!$B$9+1)+((C550=TRUE)*(F550-Calc!F19))+B562+(ArtifactsInput!$M$24-ArtifactsInput!$M$24)*CHOOSE(ArtifactsInput!$N$24+1,10,12,14,16,18,20)+(IF(AND(Inputs!$B$38&lt;&gt;"pvp",Inputs!$B$43=0),1,IF(IF(Inputs!$B$38="pvp",15,Inputs!$B$43)-(B569)&lt;=0,1,MAX(0,IF(Inputs!$B$38="pvp",15,Inputs!$B$43)-MAX(5,B569))/(IF(Inputs!$B$38="pvp",15,Inputs!$B$43)-(B569))))*IF(AND(ArtifactsInput!$M$42,(((Inputs!$B$9+1)+((C550=TRUE)*(F550-Calc!F19))+B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533*(MIN(100,((Inputs!$B$9+1)+((C550=TRUE)*(F550-Calc!F19))+B562+(ArtifactsInput!$M$24-ArtifactsInput!$M$24)*CHOOSE(ArtifactsInput!$N$24+1,10,12,14,16,18,20)+(IF(AND(Inputs!$B$38&lt;&gt;"pvp",Inputs!$B$43=0),1,IF(IF(Inputs!$B$38="pvp",15,Inputs!$B$43)-(B569)&lt;=0,1,MAX(0,IF(Inputs!$B$38="pvp",15,Inputs!$B$43)-MAX(5,B569))/(IF(Inputs!$B$38="pvp",15,Inputs!$B$43)-(B569))))*IF(AND(ArtifactsInput!$M$42,(((Inputs!$B$9+1)+((C550=TRUE)*(F550-Calc!F19))+B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533*(1-MIN(100,((Inputs!$B$9+1)+((C550=TRUE)*(F550-Calc!F19))+B562+(ArtifactsInput!$M$24-ArtifactsInput!$M$24)*CHOOSE(ArtifactsInput!$N$24+1,10,12,14,16,18,20)+(IF(AND(Inputs!$B$38&lt;&gt;"pvp",Inputs!$B$43=0),1,IF(IF(Inputs!$B$38="pvp",15,Inputs!$B$43)-(B569)&lt;=0,1,MAX(0,IF(Inputs!$B$38="pvp",15,Inputs!$B$43)-MAX(5,B569))/(IF(Inputs!$B$38="pvp",15,Inputs!$B$43)-(B569))))*IF(AND(ArtifactsInput!$M$42,(((Inputs!$B$9+1)+((C550=TRUE)*(F550-Calc!F19))+B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533*(MIN(100,((Inputs!$B$9+1)+((C550=TRUE)*(F550-Calc!F19))+B562+(ArtifactsInput!$M$24-ArtifactsInput!$M$24)*CHOOSE(ArtifactsInput!$N$24+1,10,12,14,16,18,20)+(IF(AND(Inputs!$B$38&lt;&gt;"pvp",Inputs!$B$43=0),1,IF(IF(Inputs!$B$38="pvp",15,Inputs!$B$43)-(B569)&lt;=0,1,MAX(0,IF(Inputs!$B$38="pvp",15,Inputs!$B$43)-MAX(5,B569))/(IF(Inputs!$B$38="pvp",15,Inputs!$B$43)-(B569))))*IF(AND(ArtifactsInput!$M$42,(((Inputs!$B$9+1)+((C550=TRUE)*(F550-Calc!F19))+B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533">
        <f>MAX(0,(Inputs!$B$3-100)*3)+Inputs!$B$28+Inputs!$B$29</f>
        <v/>
      </c>
      <c r="V533">
        <f>IF(C533,(Skills!G2*N533*B566*(1+IF(C558=TRUE,1/3,0)))*IF(Inputs!$B$38="pvp",1,(1+(Inputs!$B$21+Skills!Q2+(IF(ArtifactsInput!$M$33,CHOOSE(ArtifactsInput!$N$33+1,30,36,42,48,54,60),0))+(IF(AND(ArtifactsInput!$M$35,Inputs!$B$4&lt;&gt;"Chapter Hunt"),CHOOSE(ArtifactsInput!$N$35+1,15,18,21,24,27,30)*(1-EXP(-(0.2*B564)*5)),0)+IF(AND(ArtifactsInput!$M$22,Inputs!$B$4&lt;&gt;"Chapter Hunt"),CHOOSE(ArtifactsInput!$N$22+1,10,12,14,16,18,20)*((0*(((0.15*B564*5))^0/1)+1*(((0.15*B564*5))^1/1)+2*(((0.15*B564*5))^2/2)+3*(((0.15*B564*5))^3/6)+4*(((0.15*B564*5))^4/24)+5*(((0.15*B564*5))^5/120))/((((0.15*B564*5))^0/1)+(((0.15*B564*5))^1/1)+(((0.15*B564*5))^2/2)+(((0.15*B564*5))^3/6)+(((0.15*B564*5))^4/24)+(((0.15*B564*5))^5/120))),0))+IF(Inputs!$B$3&gt;=54,9*(C534=TRUE)*MIN(1,8*(1+Inputs!$B$34/100)*Q534),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34">
      <c r="A534">
        <f>Skills!A3</f>
        <v/>
      </c>
      <c r="B534">
        <f>Skills!B3</f>
        <v/>
      </c>
      <c r="C534">
        <f>Inputs!$B$3&gt;=33</f>
        <v/>
      </c>
      <c r="D534">
        <f>IF(Skills!C3=1,60+Inputs!$B$25+Inputs!$B$29,IF(Skills!C3=2,90+Inputs!$B$26+Inputs!$B$29,IF(Skills!C3=3,120+Inputs!$B$27+Inputs!$B$29,MAX(0,(Inputs!$B$3-100)*3)+Inputs!$B$28+Inputs!$B$29)))</f>
        <v/>
      </c>
      <c r="E534">
        <f>INDEX(FactorTable!$B$2:$Y$301, MATCH(ROUND(MIN(300,MAX(1,D534)),0), FactorTable!$A$2:$A$301,0), Skills!M3+1)</f>
        <v/>
      </c>
      <c r="F534">
        <f>IF(Skills!N3=TRUE,(Skills!L3/10)*(E534/1000),Skills!L3/10)+Skills!O3</f>
        <v/>
      </c>
      <c r="G534">
        <f>Skills!G3*IF(Skills!H3&gt;0,INT(IF(Inputs!$B$38="pvp",MIN(Skills!I3,15),Skills!I3)/Skills!H3+0.000000001),1)</f>
        <v/>
      </c>
      <c r="H534">
        <f>1-(1-Skills!J3/100)^Skills!K3</f>
        <v/>
      </c>
      <c r="I534" t="inlineStr">
        <is>
          <t>1</t>
        </is>
      </c>
      <c r="J534">
        <f>((Inputs!$B$6*(1+Inputs!$B$7/100))+(((Inputs!$B$12*(1+Inputs!$B$13/100))-(Inputs!$B$12*(1+Inputs!$B$13/100)))+0.25*(Inputs!$B$14-Inputs!$B$14))*(1+Inputs!$B$7/100))*(F534/100)</f>
        <v/>
      </c>
      <c r="K534">
        <f>J534*(1+((Inputs!$B$12*(1+Inputs!$B$13/100))*0.01+Inputs!$B$14*0.0025)/100)*(1+Inputs!$B$15/100)*(1+Inputs!$B$16/100)*(5000/(6000+Inputs!$B$42*(1-(100*(1-(1-(Inputs!$B$19+0)/100)*(1-CHOOSE(ArtifactsInput!$N$40+1,5,6,7,8,9,10)/100)^(ArtifactsInput!$M$40-ArtifactsInput!$M$40)))/100)))*(1+(Inputs!$B$24+((C557=TRUE)*(F557-Calc!F26))+B568)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546=TRUE,F546,0)/100)*(1+(IF(Skills!A3="EIGHT_LEGS_EASTON",Inputs!$B$17+((C554=TRUE)*(F554-Calc!F23))+((C558=TRUE)*(F558-Calc!F27))+((IF(AND(Inputs!$B$38&lt;&gt;"pvp",Inputs!$B$43=0),1,IF(IF(Inputs!$B$38="pvp",15,Inputs!$B$43)-(B569)&lt;=0,1,MAX(0,IF(Inputs!$B$38="pvp",15,Inputs!$B$43)-MAX(5,B569))/(IF(Inputs!$B$38="pvp",15,Inputs!$B$43)-(B569))))*(IF(AND(ArtifactsInput!$M$42,(((Inputs!$B$9+1)+((C550=TRUE)*(F550-Calc!F19))+B562+(ArtifactsInput!$M$24-ArtifactsInput!$M$24)*CHOOSE(ArtifactsInput!$N$24+1,10,12,14,16,18,20)+IF(ArtifactsInput!$M$10,CHOOSE(ArtifactsInput!$N$10+1,15,18,21,24,27,30)*(IF(Inputs!$B$38="pvp",MIN(15,15)/15,IF(AND(Inputs!$B$38&lt;&gt;"pvp",Inputs!$B$43&gt;0),MIN(15,Inputs!$B$43)/(Inputs!$B$43),0))),0)))&gt;=100),MIN(100,(((Inputs!$B$9+1)+((C550=TRUE)*(F550-Calc!F19))+B562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569)&lt;=0,1,MAX(0,IF(Inputs!$B$38="pvp",15,Inputs!$B$43)-MAX(5,B569))/(IF(Inputs!$B$38="pvp",15,Inputs!$B$43)-(B569))))*IF(AND(ArtifactsInput!$M$42,(((Inputs!$B$9+1)+((C550=TRUE)*(F550-Calc!F19))+B562+(ArtifactsInput!$M$24-ArtifactsInput!$M$24)*CHOOSE(ArtifactsInput!$N$24+1,10,12,14,16,18,20)+IF(ArtifactsInput!$M$10,CHOOSE(ArtifactsInput!$N$10+1,15,18,21,24,27,30)*(IF(Inputs!$B$38="pvp",MIN(15,15)/15,IF(AND(Inputs!$B$38&lt;&gt;"pvp",Inputs!$B$43&gt;0),MIN(15,Inputs!$B$43)/(Inputs!$B$43),0))),0)))&gt;=100),CHOOSE(ArtifactsInput!$N$42+1,40,48,56,64,72,80),0))))/100)*((1+(((C548=TRUE)*F548*5/7)+((C555=TRUE)*(F555-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534)</f>
        <v/>
      </c>
      <c r="L534">
        <f>K534*(MIN(Inputs!$B$22+((C553=TRUE)*(F553-Calc!F22)),(Inputs!$B$23+0+(IF(ArtifactsInput!$M$15,CHOOSE(ArtifactsInput!$N$15+1,25,30,35,40,45,50)/100*(Inputs!$B$11-Inputs!$B$11),0))))/100+(Inputs!$B$23+0+(IF(ArtifactsInput!$M$15,CHOOSE(ArtifactsInput!$N$15+1,25,30,35,40,45,50)/100*(Inputs!$B$11-Inputs!$B$11),0)))/100)/2</f>
        <v/>
      </c>
      <c r="M534">
        <f>L534*(1+(Inputs!$B$10+((C556=TRUE)*(F556-Calc!F25))+B567+(IF(ArtifactsInput!$M$24,CHOOSE(ArtifactsInput!$N$24+1,30,36,42,48,54,60)/100*((Inputs!$B$9+1)-Inputs!$B$9),0)+IF(ArtifactsInput!$M$10,CHOOSE(ArtifactsInput!$N$10+1,20,24,28,32,36,40)*(IF(Inputs!$B$38="pvp",MIN(15,15)/15,IF(AND(Inputs!$B$38&lt;&gt;"pvp",Inputs!$B$43&gt;0),MIN(15,Inputs!$B$43)/(Inputs!$B$43),0))),0)+IF(ArtifactsInput!$M$31,1.5*CHOOSE(ArtifactsInput!$N$31+1,20,24,28,32,36,40),0)))/100)</f>
        <v/>
      </c>
      <c r="N534">
        <f>L534*(1-MIN(((Inputs!$B$9+1)+((C550=TRUE)*(F550-Calc!F19))+B562+(ArtifactsInput!$M$24-ArtifactsInput!$M$24)*CHOOSE(ArtifactsInput!$N$24+1,10,12,14,16,18,20)+(IF(AND(Inputs!$B$38&lt;&gt;"pvp",Inputs!$B$43=0),1,IF(IF(Inputs!$B$38="pvp",15,Inputs!$B$43)-(B569)&lt;=0,1,MAX(0,IF(Inputs!$B$38="pvp",15,Inputs!$B$43)-MAX(5,B569))/(IF(Inputs!$B$38="pvp",15,Inputs!$B$43)-(B569))))*IF(AND(ArtifactsInput!$M$42,(((Inputs!$B$9+1)+((C550=TRUE)*(F550-Calc!F19))+B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534*(MIN(((Inputs!$B$9+1)+((C550=TRUE)*(F550-Calc!F19))+B562+(ArtifactsInput!$M$24-ArtifactsInput!$M$24)*CHOOSE(ArtifactsInput!$N$24+1,10,12,14,16,18,20)+(IF(AND(Inputs!$B$38&lt;&gt;"pvp",Inputs!$B$43=0),1,IF(IF(Inputs!$B$38="pvp",15,Inputs!$B$43)-(B569)&lt;=0,1,MAX(0,IF(Inputs!$B$38="pvp",15,Inputs!$B$43)-MAX(5,B569))/(IF(Inputs!$B$38="pvp",15,Inputs!$B$43)-(B569))))*IF(AND(ArtifactsInput!$M$42,(((Inputs!$B$9+1)+((C550=TRUE)*(F550-Calc!F19))+B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34">
        <f>(1-Summary!$B$11)*T534+Summary!$B$11*V534</f>
        <v/>
      </c>
      <c r="P534">
        <f>IF(B572=0,0,O534/B572)</f>
        <v/>
      </c>
      <c r="Q534">
        <f>IFERROR(1/(IF(Inputs!$B$38="pvp",15,MAX(0.1,Skills!D3-IF(TRUE=TRUE,Inputs!$B$32,0)))*(1-IF(AND(ArtifactsInput!$M$27,Inputs!$B$4="Chapter Hunt"),CHOOSE(ArtifactsInput!$N$27+1,20,24,28,32,36,40),0)/100)),0)</f>
        <v/>
      </c>
      <c r="R534">
        <f>IF(AND(Inputs!$B$38&lt;&gt;"pvp",Inputs!$B$43&gt;0),IF(MAX(0,Inputs!$B$43-B569)&lt;=0,0,(INT(MAX(0,Inputs!$B$43-B569)/(IF(Inputs!$B$38="pvp",15,MAX(0.1,Skills!D3-IF(TRUE=TRUE,Inputs!$B$32,0)))*(1-IF(AND(ArtifactsInput!$M$27,Inputs!$B$4="Chapter Hunt"),CHOOSE(ArtifactsInput!$N$27+1,20,24,28,32,36,40),0)/100)))+1)),0)</f>
        <v/>
      </c>
      <c r="S534">
        <f>IFERROR(O534/N534,0)</f>
        <v/>
      </c>
      <c r="T534">
        <f>IF(C534,(H534*N534*IF(AND(Inputs!$B$38&lt;&gt;"pvp",Inputs!$B$43&gt;0),((Skills!G3*((R534-1)*IF(Skills!H3&gt;0,INT(Skills!I3/Skills!H3+0.000000001),1)+IF(Skills!H3&gt;0,INT(MIN(Skills!I3,MAX(0,MAX(0,Inputs!$B$43-B569)-((R534-1)*(IF(Inputs!$B$38="pvp",15,MAX(0.1,Skills!D3-IF(TRUE=TRUE,Inputs!$B$32,0)))*(1-IF(AND(ArtifactsInput!$M$27,Inputs!$B$4="Chapter Hunt"),CHOOSE(ArtifactsInput!$N$27+1,20,24,28,32,36,40),0)/100)))))/Skills!H3+0.000000001),1)))/Inputs!$B$43),G534*Q534))*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Hunt"),CHOOSE(ArtifactsInput!$N$35+1,15,18,21,24,27,30)*(1-EXP(-(0.2*B564)*5)),0)+IF(AND(ArtifactsInput!$M$22,Inputs!$B$4&lt;&gt;"Chapter Hunt"),CHOOSE(ArtifactsInput!$N$22+1,10,12,14,16,18,20)*((0*(((0.15*B564*5))^0/1)+1*(((0.15*B564*5))^1/1)+2*(((0.15*B564*5))^2/2)+3*(((0.15*B564*5))^3/6)+4*(((0.15*B564*5))^4/24)+5*(((0.15*B564*5))^5/120))/((((0.15*B564*5))^0/1)+(((0.15*B564*5))^1/1)+(((0.15*B564*5))^2/2)+(((0.15*B564*5))^3/6)+(((0.15*B564*5))^4/24)+(((0.15*B564*5))^5/120))),0))+IF(Inputs!$B$3&gt;=54,9*(C534=TRUE)*MIN(1,8*(1+Inputs!$B$34/100)*Q534)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534*(1-MIN(100,((Inputs!$B$9+1)+((C550=TRUE)*(F550-Calc!F19))+B562+(ArtifactsInput!$M$24-ArtifactsInput!$M$24)*CHOOSE(ArtifactsInput!$N$24+1,10,12,14,16,18,20)+(IF(AND(Inputs!$B$38&lt;&gt;"pvp",Inputs!$B$43=0),1,IF(IF(Inputs!$B$38="pvp",15,Inputs!$B$43)-(B569)&lt;=0,1,MAX(0,IF(Inputs!$B$38="pvp",15,Inputs!$B$43)-MAX(5,B569))/(IF(Inputs!$B$38="pvp",15,Inputs!$B$43)-(B569))))*IF(AND(ArtifactsInput!$M$42,(((Inputs!$B$9+1)+((C550=TRUE)*(F550-Calc!F19))+B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534*(MIN(100,((Inputs!$B$9+1)+((C550=TRUE)*(F550-Calc!F19))+B562+(ArtifactsInput!$M$24-ArtifactsInput!$M$24)*CHOOSE(ArtifactsInput!$N$24+1,10,12,14,16,18,20)+(IF(AND(Inputs!$B$38&lt;&gt;"pvp",Inputs!$B$43=0),1,IF(IF(Inputs!$B$38="pvp",15,Inputs!$B$43)-(B569)&lt;=0,1,MAX(0,IF(Inputs!$B$38="pvp",15,Inputs!$B$43)-MAX(5,B569))/(IF(Inputs!$B$38="pvp",15,Inputs!$B$43)-(B569))))*IF(AND(ArtifactsInput!$M$42,(((Inputs!$B$9+1)+((C550=TRUE)*(F550-Calc!F19))+B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534*(1-MIN(100,((Inputs!$B$9+1)+((C550=TRUE)*(F550-Calc!F19))+B562+(ArtifactsInput!$M$24-ArtifactsInput!$M$24)*CHOOSE(ArtifactsInput!$N$24+1,10,12,14,16,18,20)+(IF(AND(Inputs!$B$38&lt;&gt;"pvp",Inputs!$B$43=0),1,IF(IF(Inputs!$B$38="pvp",15,Inputs!$B$43)-(B569)&lt;=0,1,MAX(0,IF(Inputs!$B$38="pvp",15,Inputs!$B$43)-MAX(5,B569))/(IF(Inputs!$B$38="pvp",15,Inputs!$B$43)-(B569))))*IF(AND(ArtifactsInput!$M$42,(((Inputs!$B$9+1)+((C550=TRUE)*(F550-Calc!F19))+B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534*(MIN(100,((Inputs!$B$9+1)+((C550=TRUE)*(F550-Calc!F19))+B562+(ArtifactsInput!$M$24-ArtifactsInput!$M$24)*CHOOSE(ArtifactsInput!$N$24+1,10,12,14,16,18,20)+(IF(AND(Inputs!$B$38&lt;&gt;"pvp",Inputs!$B$43=0),1,IF(IF(Inputs!$B$38="pvp",15,Inputs!$B$43)-(B569)&lt;=0,1,MAX(0,IF(Inputs!$B$38="pvp",15,Inputs!$B$43)-MAX(5,B569))/(IF(Inputs!$B$38="pvp",15,Inputs!$B$43)-(B569))))*IF(AND(ArtifactsInput!$M$42,(((Inputs!$B$9+1)+((C550=TRUE)*(F550-Calc!F19))+B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534">
        <f>INDEX(FactorTable!$B$2:$Y$301, MATCH(ROUND(MIN(300,MAX(1,U533)),0), FactorTable!$A$2:$A$301,0), 22)</f>
        <v/>
      </c>
      <c r="V534">
        <f>IF(C534,(H534*N534*IF(AND(Inputs!$B$38&lt;&gt;"pvp",Inputs!$B$43&gt;0),((Skills!G3*((R534-1)*IF(Skills!H3&gt;0,INT(Skills!I3/Skills!H3+0.000000001),1)+IF(Skills!H3&gt;0,INT(MIN(Skills!I3,MAX(0,MAX(0,Inputs!$B$43-B569)-((R534-1)*(IF(Inputs!$B$38="pvp",15,MAX(0.1,Skills!D3-IF(TRUE=TRUE,Inputs!$B$32,0)))*(1-IF(AND(ArtifactsInput!$M$27,Inputs!$B$4="Chapter Hunt"),CHOOSE(ArtifactsInput!$N$27+1,20,24,28,32,36,40),0)/100)))))/Skills!H3+0.000000001),1)))/Inputs!$B$43),G534*Q534))*IF(Inputs!$B$38="pvp",1,(1+(Inputs!$B$21+Skills!Q3+(IF(ArtifactsInput!$M$33,CHOOSE(ArtifactsInput!$N$33+1,30,36,42,48,54,60),0))+(IF(AND(ArtifactsInput!$M$35,Inputs!$B$4&lt;&gt;"Chapter Hunt"),CHOOSE(ArtifactsInput!$N$35+1,15,18,21,24,27,30)*(1-EXP(-(0.2*B564)*5)),0)+IF(AND(ArtifactsInput!$M$22,Inputs!$B$4&lt;&gt;"Chapter Hunt"),CHOOSE(ArtifactsInput!$N$22+1,10,12,14,16,18,20)*((0*(((0.15*B564*5))^0/1)+1*(((0.15*B564*5))^1/1)+2*(((0.15*B564*5))^2/2)+3*(((0.15*B564*5))^3/6)+4*(((0.15*B564*5))^4/24)+5*(((0.15*B564*5))^5/120))/((((0.15*B564*5))^0/1)+(((0.15*B564*5))^1/1)+(((0.15*B564*5))^2/2)+(((0.15*B564*5))^3/6)+(((0.15*B564*5))^4/24)+(((0.15*B564*5))^5/120))),0))+IF(Inputs!$B$3&gt;=54,9*(C534=TRUE)*MIN(1,8*(1+Inputs!$B$34/100)*Q534),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35">
      <c r="A535">
        <f>Skills!A4</f>
        <v/>
      </c>
      <c r="B535">
        <f>Skills!B4</f>
        <v/>
      </c>
      <c r="C535">
        <f>Inputs!$B$3&gt;=35</f>
        <v/>
      </c>
      <c r="D535">
        <f>IF(Skills!C4=1,60+Inputs!$B$25+Inputs!$B$29,IF(Skills!C4=2,90+Inputs!$B$26+Inputs!$B$29,IF(Skills!C4=3,120+Inputs!$B$27+Inputs!$B$29,MAX(0,(Inputs!$B$3-100)*3)+Inputs!$B$28+Inputs!$B$29)))</f>
        <v/>
      </c>
      <c r="E535">
        <f>INDEX(FactorTable!$B$2:$Y$301, MATCH(ROUND(MIN(300,MAX(1,D535)),0), FactorTable!$A$2:$A$301,0), Skills!M4+1)</f>
        <v/>
      </c>
      <c r="F535">
        <f>IF(Skills!N4=TRUE,(Skills!L4/10)*(E535/1000),Skills!L4/10)+Skills!O4</f>
        <v/>
      </c>
      <c r="G535">
        <f>Skills!G4*IF(Skills!H4&gt;0,INT(IF(Inputs!$B$38="pvp",MIN(IF(Inputs!$B$3&gt;=104,MIN(35,20*(1+Inputs!$B$34/100)),20),15),IF(Inputs!$B$3&gt;=104,MIN(35,20*(1+Inputs!$B$34/100)),20))/Skills!H4+0.000000001),1)</f>
        <v/>
      </c>
      <c r="H535">
        <f>1-(1-Skills!J4/100)^Skills!K4</f>
        <v/>
      </c>
      <c r="I535" t="inlineStr">
        <is>
          <t>1</t>
        </is>
      </c>
      <c r="J535">
        <f>((Inputs!$B$6*(1+Inputs!$B$7/100))+(((Inputs!$B$12*(1+Inputs!$B$13/100))-(Inputs!$B$12*(1+Inputs!$B$13/100)))+0.25*(Inputs!$B$14-Inputs!$B$14))*(1+Inputs!$B$7/100))*(F535/100)</f>
        <v/>
      </c>
      <c r="K535">
        <f>J535*(1+((Inputs!$B$12*(1+Inputs!$B$13/100))*0.01+Inputs!$B$14*0.0025)/100)*(1+Inputs!$B$15/100)*(1+Inputs!$B$16/100)*(5000/(6000+Inputs!$B$42*(1-(100*(1-(1-(Inputs!$B$19+0)/100)*(1-CHOOSE(ArtifactsInput!$N$40+1,5,6,7,8,9,10)/100)^(ArtifactsInput!$M$40-ArtifactsInput!$M$40)))/100)))*(1+(Inputs!$B$24+((C557=TRUE)*(F557-Calc!F26))+B568)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547=TRUE,F547,0)/100)*(1+(IF(Skills!A4="EIGHT_LEGS_EASTON",Inputs!$B$17+((C554=TRUE)*(F554-Calc!F23))+((C558=TRUE)*(F558-Calc!F27))+((IF(AND(Inputs!$B$38&lt;&gt;"pvp",Inputs!$B$43=0),1,IF(IF(Inputs!$B$38="pvp",15,Inputs!$B$43)-(B569)&lt;=0,1,MAX(0,IF(Inputs!$B$38="pvp",15,Inputs!$B$43)-MAX(5,B569))/(IF(Inputs!$B$38="pvp",15,Inputs!$B$43)-(B569))))*(IF(AND(ArtifactsInput!$M$42,(((Inputs!$B$9+1)+((C550=TRUE)*(F550-Calc!F19))+B562+(ArtifactsInput!$M$24-ArtifactsInput!$M$24)*CHOOSE(ArtifactsInput!$N$24+1,10,12,14,16,18,20)+IF(ArtifactsInput!$M$10,CHOOSE(ArtifactsInput!$N$10+1,15,18,21,24,27,30)*(IF(Inputs!$B$38="pvp",MIN(15,15)/15,IF(AND(Inputs!$B$38&lt;&gt;"pvp",Inputs!$B$43&gt;0),MIN(15,Inputs!$B$43)/(Inputs!$B$43),0))),0)))&gt;=100),MIN(100,(((Inputs!$B$9+1)+((C550=TRUE)*(F550-Calc!F19))+B562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569)&lt;=0,1,MAX(0,IF(Inputs!$B$38="pvp",15,Inputs!$B$43)-MAX(5,B569))/(IF(Inputs!$B$38="pvp",15,Inputs!$B$43)-(B569))))*IF(AND(ArtifactsInput!$M$42,(((Inputs!$B$9+1)+((C550=TRUE)*(F550-Calc!F19))+B562+(ArtifactsInput!$M$24-ArtifactsInput!$M$24)*CHOOSE(ArtifactsInput!$N$24+1,10,12,14,16,18,20)+IF(ArtifactsInput!$M$10,CHOOSE(ArtifactsInput!$N$10+1,15,18,21,24,27,30)*(IF(Inputs!$B$38="pvp",MIN(15,15)/15,IF(AND(Inputs!$B$38&lt;&gt;"pvp",Inputs!$B$43&gt;0),MIN(15,Inputs!$B$43)/(Inputs!$B$43),0))),0)))&gt;=100),CHOOSE(ArtifactsInput!$N$42+1,40,48,56,64,72,80),0))))/100)*((1+(((C548=TRUE)*F548*5/7)+((C555=TRUE)*(F555-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535)</f>
        <v/>
      </c>
      <c r="L535">
        <f>K535*(MIN(Inputs!$B$22+((C553=TRUE)*(F553-Calc!F22)),(Inputs!$B$23+0+(IF(ArtifactsInput!$M$15,CHOOSE(ArtifactsInput!$N$15+1,25,30,35,40,45,50)/100*(Inputs!$B$11-Inputs!$B$11),0))))/100+(Inputs!$B$23+0+(IF(ArtifactsInput!$M$15,CHOOSE(ArtifactsInput!$N$15+1,25,30,35,40,45,50)/100*(Inputs!$B$11-Inputs!$B$11),0)))/100)/2</f>
        <v/>
      </c>
      <c r="M535">
        <f>L535*(1+(Inputs!$B$10+((C556=TRUE)*(F556-Calc!F25))+B567+(IF(ArtifactsInput!$M$24,CHOOSE(ArtifactsInput!$N$24+1,30,36,42,48,54,60)/100*((Inputs!$B$9+1)-Inputs!$B$9),0)+IF(ArtifactsInput!$M$10,CHOOSE(ArtifactsInput!$N$10+1,20,24,28,32,36,40)*(IF(Inputs!$B$38="pvp",MIN(15,15)/15,IF(AND(Inputs!$B$38&lt;&gt;"pvp",Inputs!$B$43&gt;0),MIN(15,Inputs!$B$43)/(Inputs!$B$43),0))),0)+IF(ArtifactsInput!$M$31,1.5*CHOOSE(ArtifactsInput!$N$31+1,20,24,28,32,36,40),0)))/100)</f>
        <v/>
      </c>
      <c r="N535">
        <f>L535*(1-MIN(((Inputs!$B$9+1)+((C550=TRUE)*(F550-Calc!F19))+B562+(ArtifactsInput!$M$24-ArtifactsInput!$M$24)*CHOOSE(ArtifactsInput!$N$24+1,10,12,14,16,18,20)+(IF(AND(Inputs!$B$38&lt;&gt;"pvp",Inputs!$B$43=0),1,IF(IF(Inputs!$B$38="pvp",15,Inputs!$B$43)-(B569)&lt;=0,1,MAX(0,IF(Inputs!$B$38="pvp",15,Inputs!$B$43)-MAX(5,B569))/(IF(Inputs!$B$38="pvp",15,Inputs!$B$43)-(B569))))*IF(AND(ArtifactsInput!$M$42,(((Inputs!$B$9+1)+((C550=TRUE)*(F550-Calc!F19))+B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535*(MIN(((Inputs!$B$9+1)+((C550=TRUE)*(F550-Calc!F19))+B562+(ArtifactsInput!$M$24-ArtifactsInput!$M$24)*CHOOSE(ArtifactsInput!$N$24+1,10,12,14,16,18,20)+(IF(AND(Inputs!$B$38&lt;&gt;"pvp",Inputs!$B$43=0),1,IF(IF(Inputs!$B$38="pvp",15,Inputs!$B$43)-(B569)&lt;=0,1,MAX(0,IF(Inputs!$B$38="pvp",15,Inputs!$B$43)-MAX(5,B569))/(IF(Inputs!$B$38="pvp",15,Inputs!$B$43)-(B569))))*IF(AND(ArtifactsInput!$M$42,(((Inputs!$B$9+1)+((C550=TRUE)*(F550-Calc!F19))+B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35">
        <f>(1-Summary!$B$11)*T535+Summary!$B$11*V535</f>
        <v/>
      </c>
      <c r="P535">
        <f>IF(B572=0,0,O535/B572)</f>
        <v/>
      </c>
      <c r="Q535">
        <f>IFERROR(1/(IF(Inputs!$B$38="pvp",15,MAX(0.1,Skills!D4-IF(TRUE=TRUE,Inputs!$B$32,0)))*(1-IF(AND(ArtifactsInput!$M$27,Inputs!$B$4="Chapter Hunt"),CHOOSE(ArtifactsInput!$N$27+1,20,24,28,32,36,40),0)/100)),0)</f>
        <v/>
      </c>
      <c r="R535">
        <f>IF(AND(Inputs!$B$38&lt;&gt;"pvp",Inputs!$B$43&gt;0),IF(MAX(0,Inputs!$B$43-B569)&lt;=0,0,(INT(MAX(0,Inputs!$B$43-B569)/(IF(Inputs!$B$38="pvp",15,MAX(0.1,Skills!D4-IF(TRUE=TRUE,Inputs!$B$32,0)))*(1-IF(AND(ArtifactsInput!$M$27,Inputs!$B$4="Chapter Hunt"),CHOOSE(ArtifactsInput!$N$27+1,20,24,28,32,36,40),0)/100)))+1)),0)</f>
        <v/>
      </c>
      <c r="S535">
        <f>IFERROR(O535/N535,0)</f>
        <v/>
      </c>
      <c r="T535">
        <f>IF(C535,(H535*N535*IF(AND(Inputs!$B$38&lt;&gt;"pvp",Inputs!$B$43&gt;0),((Skills!G4*((R535-1)*IF(Skills!H4&gt;0,INT(IF(Inputs!$B$3&gt;=104,MIN(35,20*(1+Inputs!$B$34/100)),20)/Skills!H4+0.000000001),1)+IF(Skills!H4&gt;0,INT(MIN(IF(Inputs!$B$3&gt;=104,MIN(35,20*(1+Inputs!$B$34/100)),20),MAX(0,MAX(0,Inputs!$B$43-B569)-((R535-1)*(IF(Inputs!$B$38="pvp",15,MAX(0.1,Skills!D4-IF(TRUE=TRUE,Inputs!$B$32,0)))*(1-IF(AND(ArtifactsInput!$M$27,Inputs!$B$4="Chapter Hunt"),CHOOSE(ArtifactsInput!$N$27+1,20,24,28,32,36,40),0)/100)))))/Skills!H4+0.000000001),1)))/Inputs!$B$43),G535*Q535))*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Hunt"),CHOOSE(ArtifactsInput!$N$35+1,15,18,21,24,27,30)*(1-EXP(-(0.2*B564)*5)),0)+IF(AND(ArtifactsInput!$M$22,Inputs!$B$4&lt;&gt;"Chapter Hunt"),CHOOSE(ArtifactsInput!$N$22+1,10,12,14,16,18,20)*((0*(((0.15*B564*5))^0/1)+1*(((0.15*B564*5))^1/1)+2*(((0.15*B564*5))^2/2)+3*(((0.15*B564*5))^3/6)+4*(((0.15*B564*5))^4/24)+5*(((0.15*B564*5))^5/120))/((((0.15*B564*5))^0/1)+(((0.15*B564*5))^1/1)+(((0.15*B564*5))^2/2)+(((0.15*B564*5))^3/6)+(((0.15*B564*5))^4/24)+(((0.15*B564*5))^5/120))),0))+IF(Inputs!$B$3&gt;=54,9*(C534=TRUE)*MIN(1,8*(1+Inputs!$B$34/100)*Q534)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535*(1-MIN(100,((Inputs!$B$9+1)+((C550=TRUE)*(F550-Calc!F19))+B562+(ArtifactsInput!$M$24-ArtifactsInput!$M$24)*CHOOSE(ArtifactsInput!$N$24+1,10,12,14,16,18,20)+(IF(AND(Inputs!$B$38&lt;&gt;"pvp",Inputs!$B$43=0),1,IF(IF(Inputs!$B$38="pvp",15,Inputs!$B$43)-(B569)&lt;=0,1,MAX(0,IF(Inputs!$B$38="pvp",15,Inputs!$B$43)-MAX(5,B569))/(IF(Inputs!$B$38="pvp",15,Inputs!$B$43)-(B569))))*IF(AND(ArtifactsInput!$M$42,(((Inputs!$B$9+1)+((C550=TRUE)*(F550-Calc!F19))+B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535*(MIN(100,((Inputs!$B$9+1)+((C550=TRUE)*(F550-Calc!F19))+B562+(ArtifactsInput!$M$24-ArtifactsInput!$M$24)*CHOOSE(ArtifactsInput!$N$24+1,10,12,14,16,18,20)+(IF(AND(Inputs!$B$38&lt;&gt;"pvp",Inputs!$B$43=0),1,IF(IF(Inputs!$B$38="pvp",15,Inputs!$B$43)-(B569)&lt;=0,1,MAX(0,IF(Inputs!$B$38="pvp",15,Inputs!$B$43)-MAX(5,B569))/(IF(Inputs!$B$38="pvp",15,Inputs!$B$43)-(B569))))*IF(AND(ArtifactsInput!$M$42,(((Inputs!$B$9+1)+((C550=TRUE)*(F550-Calc!F19))+B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535*(1-MIN(100,((Inputs!$B$9+1)+((C550=TRUE)*(F550-Calc!F19))+B562+(ArtifactsInput!$M$24-ArtifactsInput!$M$24)*CHOOSE(ArtifactsInput!$N$24+1,10,12,14,16,18,20)+(IF(AND(Inputs!$B$38&lt;&gt;"pvp",Inputs!$B$43=0),1,IF(IF(Inputs!$B$38="pvp",15,Inputs!$B$43)-(B569)&lt;=0,1,MAX(0,IF(Inputs!$B$38="pvp",15,Inputs!$B$43)-MAX(5,B569))/(IF(Inputs!$B$38="pvp",15,Inputs!$B$43)-(B569))))*IF(AND(ArtifactsInput!$M$42,(((Inputs!$B$9+1)+((C550=TRUE)*(F550-Calc!F19))+B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535*(MIN(100,((Inputs!$B$9+1)+((C550=TRUE)*(F550-Calc!F19))+B562+(ArtifactsInput!$M$24-ArtifactsInput!$M$24)*CHOOSE(ArtifactsInput!$N$24+1,10,12,14,16,18,20)+(IF(AND(Inputs!$B$38&lt;&gt;"pvp",Inputs!$B$43=0),1,IF(IF(Inputs!$B$38="pvp",15,Inputs!$B$43)-(B569)&lt;=0,1,MAX(0,IF(Inputs!$B$38="pvp",15,Inputs!$B$43)-MAX(5,B569))/(IF(Inputs!$B$38="pvp",15,Inputs!$B$43)-(B569))))*IF(AND(ArtifactsInput!$M$42,(((Inputs!$B$9+1)+((C550=TRUE)*(F550-Calc!F19))+B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535">
        <f>290*U534/1000</f>
        <v/>
      </c>
      <c r="V535">
        <f>IF(C535,(H535*N535*IF(AND(Inputs!$B$38&lt;&gt;"pvp",Inputs!$B$43&gt;0),((Skills!G4*((R535-1)*IF(Skills!H4&gt;0,INT(IF(Inputs!$B$3&gt;=104,MIN(35,20*(1+Inputs!$B$34/100)),20)/Skills!H4+0.000000001),1)+IF(Skills!H4&gt;0,INT(MIN(IF(Inputs!$B$3&gt;=104,MIN(35,20*(1+Inputs!$B$34/100)),20),MAX(0,MAX(0,Inputs!$B$43-B569)-((R535-1)*(IF(Inputs!$B$38="pvp",15,MAX(0.1,Skills!D4-IF(TRUE=TRUE,Inputs!$B$32,0)))*(1-IF(AND(ArtifactsInput!$M$27,Inputs!$B$4="Chapter Hunt"),CHOOSE(ArtifactsInput!$N$27+1,20,24,28,32,36,40),0)/100)))))/Skills!H4+0.000000001),1)))/Inputs!$B$43),G535*Q535))*IF(Inputs!$B$38="pvp",1,(1+(Inputs!$B$21+Skills!Q4+(IF(ArtifactsInput!$M$33,CHOOSE(ArtifactsInput!$N$33+1,30,36,42,48,54,60),0))+(IF(AND(ArtifactsInput!$M$35,Inputs!$B$4&lt;&gt;"Chapter Hunt"),CHOOSE(ArtifactsInput!$N$35+1,15,18,21,24,27,30)*(1-EXP(-(0.2*B564)*5)),0)+IF(AND(ArtifactsInput!$M$22,Inputs!$B$4&lt;&gt;"Chapter Hunt"),CHOOSE(ArtifactsInput!$N$22+1,10,12,14,16,18,20)*((0*(((0.15*B564*5))^0/1)+1*(((0.15*B564*5))^1/1)+2*(((0.15*B564*5))^2/2)+3*(((0.15*B564*5))^3/6)+4*(((0.15*B564*5))^4/24)+5*(((0.15*B564*5))^5/120))/((((0.15*B564*5))^0/1)+(((0.15*B564*5))^1/1)+(((0.15*B564*5))^2/2)+(((0.15*B564*5))^3/6)+(((0.15*B564*5))^4/24)+(((0.15*B564*5))^5/120))),0))+IF(Inputs!$B$3&gt;=54,9*(C534=TRUE)*MIN(1,8*(1+Inputs!$B$34/100)*Q534),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36">
      <c r="A536">
        <f>Skills!A5</f>
        <v/>
      </c>
      <c r="B536">
        <f>Skills!B5</f>
        <v/>
      </c>
      <c r="C536">
        <f>Inputs!$B$3&gt;=69</f>
        <v/>
      </c>
      <c r="D536">
        <f>IF(Skills!C5=1,60+Inputs!$B$25+Inputs!$B$29,IF(Skills!C5=2,90+Inputs!$B$26+Inputs!$B$29,IF(Skills!C5=3,120+Inputs!$B$27+Inputs!$B$29,MAX(0,(Inputs!$B$3-100)*3)+Inputs!$B$28+Inputs!$B$29)))</f>
        <v/>
      </c>
      <c r="E536">
        <f>INDEX(FactorTable!$B$2:$Y$301, MATCH(ROUND(MIN(300,MAX(1,D536)),0), FactorTable!$A$2:$A$301,0), Skills!M5+1)</f>
        <v/>
      </c>
      <c r="F536">
        <f>IF(Skills!N5=TRUE,(Skills!L5/10)*(E536/1000),Skills!L5/10)+Skills!O5</f>
        <v/>
      </c>
      <c r="G536">
        <f>Skills!G5*IF(Skills!H5&gt;0,INT(IF(Inputs!$B$38="pvp",MIN(IF(Inputs!$B$3&gt;=104,MIN(35,20*(1+Inputs!$B$34/100)),20),15),IF(Inputs!$B$3&gt;=104,MIN(35,20*(1+Inputs!$B$34/100)),20))/Skills!H5+0.000000001),1)</f>
        <v/>
      </c>
      <c r="H536">
        <f>1-(1-Skills!J5/100)^Skills!K5</f>
        <v/>
      </c>
      <c r="I536" t="inlineStr">
        <is>
          <t>1</t>
        </is>
      </c>
      <c r="J536">
        <f>((Inputs!$B$6*(1+Inputs!$B$7/100))+(((Inputs!$B$12*(1+Inputs!$B$13/100))-(Inputs!$B$12*(1+Inputs!$B$13/100)))+0.25*(Inputs!$B$14-Inputs!$B$14))*(1+Inputs!$B$7/100))*(F536/100)</f>
        <v/>
      </c>
      <c r="K536">
        <f>J536*(1+((Inputs!$B$12*(1+Inputs!$B$13/100))*0.01+Inputs!$B$14*0.0025)/100)*(1+Inputs!$B$15/100)*(1+Inputs!$B$16/100)*(5000/(6000+Inputs!$B$42*(1-(100*(1-(1-(Inputs!$B$19+0)/100)*(1-CHOOSE(ArtifactsInput!$N$40+1,5,6,7,8,9,10)/100)^(ArtifactsInput!$M$40-ArtifactsInput!$M$40)))/100)))*(1+(Inputs!$B$24+((C557=TRUE)*(F557-Calc!F26))+B568)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+0.4*IF(C547=TRUE,F547,0)/100)*(1+(IF(Skills!A5="EIGHT_LEGS_EASTON",Inputs!$B$17+((C554=TRUE)*(F554-Calc!F23))+((C558=TRUE)*(F558-Calc!F27))+((IF(AND(Inputs!$B$38&lt;&gt;"pvp",Inputs!$B$43=0),1,IF(IF(Inputs!$B$38="pvp",15,Inputs!$B$43)-(B569)&lt;=0,1,MAX(0,IF(Inputs!$B$38="pvp",15,Inputs!$B$43)-MAX(5,B569))/(IF(Inputs!$B$38="pvp",15,Inputs!$B$43)-(B569))))*(IF(AND(ArtifactsInput!$M$42,(((Inputs!$B$9+1)+((C550=TRUE)*(F550-Calc!F19))+B562+(ArtifactsInput!$M$24-ArtifactsInput!$M$24)*CHOOSE(ArtifactsInput!$N$24+1,10,12,14,16,18,20)+IF(ArtifactsInput!$M$10,CHOOSE(ArtifactsInput!$N$10+1,15,18,21,24,27,30)*(IF(Inputs!$B$38="pvp",MIN(15,15)/15,IF(AND(Inputs!$B$38&lt;&gt;"pvp",Inputs!$B$43&gt;0),MIN(15,Inputs!$B$43)/(Inputs!$B$43),0))),0)))&gt;=100),MIN(100,(((Inputs!$B$9+1)+((C550=TRUE)*(F550-Calc!F19))+B562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569)&lt;=0,1,MAX(0,IF(Inputs!$B$38="pvp",15,Inputs!$B$43)-MAX(5,B569))/(IF(Inputs!$B$38="pvp",15,Inputs!$B$43)-(B569))))*IF(AND(ArtifactsInput!$M$42,(((Inputs!$B$9+1)+((C550=TRUE)*(F550-Calc!F19))+B562+(ArtifactsInput!$M$24-ArtifactsInput!$M$24)*CHOOSE(ArtifactsInput!$N$24+1,10,12,14,16,18,20)+IF(ArtifactsInput!$M$10,CHOOSE(ArtifactsInput!$N$10+1,15,18,21,24,27,30)*(IF(Inputs!$B$38="pvp",MIN(15,15)/15,IF(AND(Inputs!$B$38&lt;&gt;"pvp",Inputs!$B$43&gt;0),MIN(15,Inputs!$B$43)/(Inputs!$B$43),0))),0)))&gt;=100),CHOOSE(ArtifactsInput!$N$42+1,40,48,56,64,72,80),0))))/100)*((1+(((C548=TRUE)*F548*5/7)+((C555=TRUE)*(F555-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536)</f>
        <v/>
      </c>
      <c r="L536">
        <f>K536*(MIN(Inputs!$B$22+((C553=TRUE)*(F553-Calc!F22)),(Inputs!$B$23+0+(IF(ArtifactsInput!$M$15,CHOOSE(ArtifactsInput!$N$15+1,25,30,35,40,45,50)/100*(Inputs!$B$11-Inputs!$B$11),0))))/100+(Inputs!$B$23+0+(IF(ArtifactsInput!$M$15,CHOOSE(ArtifactsInput!$N$15+1,25,30,35,40,45,50)/100*(Inputs!$B$11-Inputs!$B$11),0)))/100)/2</f>
        <v/>
      </c>
      <c r="M536">
        <f>L536*(1+(Inputs!$B$10+((C556=TRUE)*(F556-Calc!F25))+B567+(IF(ArtifactsInput!$M$24,CHOOSE(ArtifactsInput!$N$24+1,30,36,42,48,54,60)/100*((Inputs!$B$9+1)-Inputs!$B$9),0)+IF(ArtifactsInput!$M$10,CHOOSE(ArtifactsInput!$N$10+1,20,24,28,32,36,40)*(IF(Inputs!$B$38="pvp",MIN(15,15)/15,IF(AND(Inputs!$B$38&lt;&gt;"pvp",Inputs!$B$43&gt;0),MIN(15,Inputs!$B$43)/(Inputs!$B$43),0))),0)+IF(ArtifactsInput!$M$31,1.5*CHOOSE(ArtifactsInput!$N$31+1,20,24,28,32,36,40),0)))/100)</f>
        <v/>
      </c>
      <c r="N536">
        <f>L536*(1-MIN(((Inputs!$B$9+1)+((C550=TRUE)*(F550-Calc!F19))+B562+(ArtifactsInput!$M$24-ArtifactsInput!$M$24)*CHOOSE(ArtifactsInput!$N$24+1,10,12,14,16,18,20)+(IF(AND(Inputs!$B$38&lt;&gt;"pvp",Inputs!$B$43=0),1,IF(IF(Inputs!$B$38="pvp",15,Inputs!$B$43)-(B569)&lt;=0,1,MAX(0,IF(Inputs!$B$38="pvp",15,Inputs!$B$43)-MAX(5,B569))/(IF(Inputs!$B$38="pvp",15,Inputs!$B$43)-(B569))))*IF(AND(ArtifactsInput!$M$42,(((Inputs!$B$9+1)+((C550=TRUE)*(F550-Calc!F19))+B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536*(MIN(((Inputs!$B$9+1)+((C550=TRUE)*(F550-Calc!F19))+B562+(ArtifactsInput!$M$24-ArtifactsInput!$M$24)*CHOOSE(ArtifactsInput!$N$24+1,10,12,14,16,18,20)+(IF(AND(Inputs!$B$38&lt;&gt;"pvp",Inputs!$B$43=0),1,IF(IF(Inputs!$B$38="pvp",15,Inputs!$B$43)-(B569)&lt;=0,1,MAX(0,IF(Inputs!$B$38="pvp",15,Inputs!$B$43)-MAX(5,B569))/(IF(Inputs!$B$38="pvp",15,Inputs!$B$43)-(B569))))*IF(AND(ArtifactsInput!$M$42,(((Inputs!$B$9+1)+((C550=TRUE)*(F550-Calc!F19))+B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36">
        <f>(1-Summary!$B$11)*T536+Summary!$B$11*V536</f>
        <v/>
      </c>
      <c r="P536">
        <f>IF(B572=0,0,O536/B572)</f>
        <v/>
      </c>
      <c r="Q536">
        <f>IFERROR(1/(IF(Inputs!$B$38="pvp",15,MAX(0.1,Skills!D5-IF(TRUE=TRUE,Inputs!$B$32,0)))*(1-IF(AND(ArtifactsInput!$M$27,Inputs!$B$4="Chapter Hunt"),CHOOSE(ArtifactsInput!$N$27+1,20,24,28,32,36,40),0)/100)),0)</f>
        <v/>
      </c>
      <c r="R536">
        <f>IF(AND(Inputs!$B$38&lt;&gt;"pvp",Inputs!$B$43&gt;0),IF(MAX(0,Inputs!$B$43-B569)&lt;=0,0,(INT(MAX(0,Inputs!$B$43-B569)/(IF(Inputs!$B$38="pvp",15,MAX(0.1,Skills!D5-IF(TRUE=TRUE,Inputs!$B$32,0)))*(1-IF(AND(ArtifactsInput!$M$27,Inputs!$B$4="Chapter Hunt"),CHOOSE(ArtifactsInput!$N$27+1,20,24,28,32,36,40),0)/100)))+1)),0)</f>
        <v/>
      </c>
      <c r="S536">
        <f>IFERROR(O536/N536,0)</f>
        <v/>
      </c>
      <c r="T536">
        <f>IF(C536,(H536*N536*IF(AND(Inputs!$B$38&lt;&gt;"pvp",Inputs!$B$43&gt;0),((Skills!G5*((R536-1)*IF(Skills!H5&gt;0,INT(IF(Inputs!$B$3&gt;=104,MIN(35,20*(1+Inputs!$B$34/100)),20)/Skills!H5+0.000000001),1)+IF(Skills!H5&gt;0,INT(MIN(IF(Inputs!$B$3&gt;=104,MIN(35,20*(1+Inputs!$B$34/100)),20),MAX(0,MAX(0,Inputs!$B$43-B569)-((R536-1)*(IF(Inputs!$B$38="pvp",15,MAX(0.1,Skills!D5-IF(TRUE=TRUE,Inputs!$B$32,0)))*(1-IF(AND(ArtifactsInput!$M$27,Inputs!$B$4="Chapter Hunt"),CHOOSE(ArtifactsInput!$N$27+1,20,24,28,32,36,40),0)/100)))))/Skills!H5+0.000000001),1)))/Inputs!$B$43),G536*Q536))*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Hunt"),CHOOSE(ArtifactsInput!$N$35+1,15,18,21,24,27,30)*(1-EXP(-(0.2*B564)*5)),0)+IF(AND(ArtifactsInput!$M$22,Inputs!$B$4&lt;&gt;"Chapter Hunt"),CHOOSE(ArtifactsInput!$N$22+1,10,12,14,16,18,20)*((0*(((0.15*B564*5))^0/1)+1*(((0.15*B564*5))^1/1)+2*(((0.15*B564*5))^2/2)+3*(((0.15*B564*5))^3/6)+4*(((0.15*B564*5))^4/24)+5*(((0.15*B564*5))^5/120))/((((0.15*B564*5))^0/1)+(((0.15*B564*5))^1/1)+(((0.15*B564*5))^2/2)+(((0.15*B564*5))^3/6)+(((0.15*B564*5))^4/24)+(((0.15*B564*5))^5/120))),0))+IF(Inputs!$B$3&gt;=54,9*(C534=TRUE)*MIN(1,8*(1+Inputs!$B$34/100)*Q534)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536*(1-MIN(100,((Inputs!$B$9+1)+((C550=TRUE)*(F550-Calc!F19))+B562+(ArtifactsInput!$M$24-ArtifactsInput!$M$24)*CHOOSE(ArtifactsInput!$N$24+1,10,12,14,16,18,20)+(IF(AND(Inputs!$B$38&lt;&gt;"pvp",Inputs!$B$43=0),1,IF(IF(Inputs!$B$38="pvp",15,Inputs!$B$43)-(B569)&lt;=0,1,MAX(0,IF(Inputs!$B$38="pvp",15,Inputs!$B$43)-MAX(5,B569))/(IF(Inputs!$B$38="pvp",15,Inputs!$B$43)-(B569))))*IF(AND(ArtifactsInput!$M$42,(((Inputs!$B$9+1)+((C550=TRUE)*(F550-Calc!F19))+B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536*(MIN(100,((Inputs!$B$9+1)+((C550=TRUE)*(F550-Calc!F19))+B562+(ArtifactsInput!$M$24-ArtifactsInput!$M$24)*CHOOSE(ArtifactsInput!$N$24+1,10,12,14,16,18,20)+(IF(AND(Inputs!$B$38&lt;&gt;"pvp",Inputs!$B$43=0),1,IF(IF(Inputs!$B$38="pvp",15,Inputs!$B$43)-(B569)&lt;=0,1,MAX(0,IF(Inputs!$B$38="pvp",15,Inputs!$B$43)-MAX(5,B569))/(IF(Inputs!$B$38="pvp",15,Inputs!$B$43)-(B569))))*IF(AND(ArtifactsInput!$M$42,(((Inputs!$B$9+1)+((C550=TRUE)*(F550-Calc!F19))+B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536*(1-MIN(100,((Inputs!$B$9+1)+((C550=TRUE)*(F550-Calc!F19))+B562+(ArtifactsInput!$M$24-ArtifactsInput!$M$24)*CHOOSE(ArtifactsInput!$N$24+1,10,12,14,16,18,20)+(IF(AND(Inputs!$B$38&lt;&gt;"pvp",Inputs!$B$43=0),1,IF(IF(Inputs!$B$38="pvp",15,Inputs!$B$43)-(B569)&lt;=0,1,MAX(0,IF(Inputs!$B$38="pvp",15,Inputs!$B$43)-MAX(5,B569))/(IF(Inputs!$B$38="pvp",15,Inputs!$B$43)-(B569))))*IF(AND(ArtifactsInput!$M$42,(((Inputs!$B$9+1)+((C550=TRUE)*(F550-Calc!F19))+B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536*(MIN(100,((Inputs!$B$9+1)+((C550=TRUE)*(F550-Calc!F19))+B562+(ArtifactsInput!$M$24-ArtifactsInput!$M$24)*CHOOSE(ArtifactsInput!$N$24+1,10,12,14,16,18,20)+(IF(AND(Inputs!$B$38&lt;&gt;"pvp",Inputs!$B$43=0),1,IF(IF(Inputs!$B$38="pvp",15,Inputs!$B$43)-(B569)&lt;=0,1,MAX(0,IF(Inputs!$B$38="pvp",15,Inputs!$B$43)-MAX(5,B569))/(IF(Inputs!$B$38="pvp",15,Inputs!$B$43)-(B569))))*IF(AND(ArtifactsInput!$M$42,(((Inputs!$B$9+1)+((C550=TRUE)*(F550-Calc!F19))+B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536">
        <f>IF(C536,(H536*N536*IF(AND(Inputs!$B$38&lt;&gt;"pvp",Inputs!$B$43&gt;0),((Skills!G5*((R536-1)*IF(Skills!H5&gt;0,INT(IF(Inputs!$B$3&gt;=104,MIN(35,20*(1+Inputs!$B$34/100)),20)/Skills!H5+0.000000001),1)+IF(Skills!H5&gt;0,INT(MIN(IF(Inputs!$B$3&gt;=104,MIN(35,20*(1+Inputs!$B$34/100)),20),MAX(0,MAX(0,Inputs!$B$43-B569)-((R536-1)*(IF(Inputs!$B$38="pvp",15,MAX(0.1,Skills!D5-IF(TRUE=TRUE,Inputs!$B$32,0)))*(1-IF(AND(ArtifactsInput!$M$27,Inputs!$B$4="Chapter Hunt"),CHOOSE(ArtifactsInput!$N$27+1,20,24,28,32,36,40),0)/100)))))/Skills!H5+0.000000001),1)))/Inputs!$B$43),G536*Q536))*IF(Inputs!$B$38="pvp",1,(1+(Inputs!$B$21+Skills!Q5+(IF(ArtifactsInput!$M$33,CHOOSE(ArtifactsInput!$N$33+1,30,36,42,48,54,60),0))+(IF(AND(ArtifactsInput!$M$35,Inputs!$B$4&lt;&gt;"Chapter Hunt"),CHOOSE(ArtifactsInput!$N$35+1,15,18,21,24,27,30)*(1-EXP(-(0.2*B564)*5)),0)+IF(AND(ArtifactsInput!$M$22,Inputs!$B$4&lt;&gt;"Chapter Hunt"),CHOOSE(ArtifactsInput!$N$22+1,10,12,14,16,18,20)*((0*(((0.15*B564*5))^0/1)+1*(((0.15*B564*5))^1/1)+2*(((0.15*B564*5))^2/2)+3*(((0.15*B564*5))^3/6)+4*(((0.15*B564*5))^4/24)+5*(((0.15*B564*5))^5/120))/((((0.15*B564*5))^0/1)+(((0.15*B564*5))^1/1)+(((0.15*B564*5))^2/2)+(((0.15*B564*5))^3/6)+(((0.15*B564*5))^4/24)+(((0.15*B564*5))^5/120))),0))+IF(Inputs!$B$3&gt;=54,9*(C534=TRUE)*MIN(1,8*(1+Inputs!$B$34/100)*Q534),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37">
      <c r="A537">
        <f>Skills!A6</f>
        <v/>
      </c>
      <c r="B537">
        <f>Skills!B6</f>
        <v/>
      </c>
      <c r="C537">
        <f>Inputs!$B$3&gt;=66</f>
        <v/>
      </c>
      <c r="D537">
        <f>IF(Skills!C6=1,60+Inputs!$B$25+Inputs!$B$29,IF(Skills!C6=2,90+Inputs!$B$26+Inputs!$B$29,IF(Skills!C6=3,120+Inputs!$B$27+Inputs!$B$29,MAX(0,(Inputs!$B$3-100)*3)+Inputs!$B$28+Inputs!$B$29)))</f>
        <v/>
      </c>
      <c r="E537">
        <f>INDEX(FactorTable!$B$2:$Y$301, MATCH(ROUND(MIN(300,MAX(1,D537)),0), FactorTable!$A$2:$A$301,0), Skills!M6+1)</f>
        <v/>
      </c>
      <c r="F537">
        <f>IF(Skills!N6=TRUE,(Skills!L6/10)*(E537/1000),Skills!L6/10)+Skills!O6</f>
        <v/>
      </c>
      <c r="G537">
        <f>Skills!G6*IF(Skills!H6&gt;0,INT(IF(Inputs!$B$38="pvp",MIN(Skills!I6,15),Skills!I6)/Skills!H6+0.000000001),1)</f>
        <v/>
      </c>
      <c r="H537">
        <f>1-(1-Skills!J6/100)^Skills!K6</f>
        <v/>
      </c>
      <c r="I537" t="inlineStr">
        <is>
          <t>1</t>
        </is>
      </c>
      <c r="J537">
        <f>((Inputs!$B$6*(1+Inputs!$B$7/100))+(((Inputs!$B$12*(1+Inputs!$B$13/100))-(Inputs!$B$12*(1+Inputs!$B$13/100)))+0.25*(Inputs!$B$14-Inputs!$B$14))*(1+Inputs!$B$7/100))*(F537/100)</f>
        <v/>
      </c>
      <c r="K537">
        <f>J537*(1+((Inputs!$B$12*(1+Inputs!$B$13/100))*0.01+Inputs!$B$14*0.0025)/100)*(1+Inputs!$B$15/100)*(1+Inputs!$B$16/100)*(5000/(6000+Inputs!$B$42*(1-(100*(1-(1-(Inputs!$B$19+0)/100)*(1-CHOOSE(ArtifactsInput!$N$40+1,5,6,7,8,9,10)/100)^(ArtifactsInput!$M$40-ArtifactsInput!$M$40)))/100)))*(1+(Inputs!$B$24+((C557=TRUE)*(F557-Calc!F26))+B568)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+2.0*IF(C546=TRUE,F546,0)/100)*(1+(IF(Skills!A6="EIGHT_LEGS_EASTON",Inputs!$B$17+((C554=TRUE)*(F554-Calc!F23))+((C558=TRUE)*(F558-Calc!F27))+((IF(AND(Inputs!$B$38&lt;&gt;"pvp",Inputs!$B$43=0),1,IF(IF(Inputs!$B$38="pvp",15,Inputs!$B$43)-(B569)&lt;=0,1,MAX(0,IF(Inputs!$B$38="pvp",15,Inputs!$B$43)-MAX(5,B569))/(IF(Inputs!$B$38="pvp",15,Inputs!$B$43)-(B569))))*(IF(AND(ArtifactsInput!$M$42,(((Inputs!$B$9+1)+((C550=TRUE)*(F550-Calc!F19))+B562+(ArtifactsInput!$M$24-ArtifactsInput!$M$24)*CHOOSE(ArtifactsInput!$N$24+1,10,12,14,16,18,20)+IF(ArtifactsInput!$M$10,CHOOSE(ArtifactsInput!$N$10+1,15,18,21,24,27,30)*(IF(Inputs!$B$38="pvp",MIN(15,15)/15,IF(AND(Inputs!$B$38&lt;&gt;"pvp",Inputs!$B$43&gt;0),MIN(15,Inputs!$B$43)/(Inputs!$B$43),0))),0)))&gt;=100),MIN(100,(((Inputs!$B$9+1)+((C550=TRUE)*(F550-Calc!F19))+B562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569)&lt;=0,1,MAX(0,IF(Inputs!$B$38="pvp",15,Inputs!$B$43)-MAX(5,B569))/(IF(Inputs!$B$38="pvp",15,Inputs!$B$43)-(B569))))*IF(AND(ArtifactsInput!$M$42,(((Inputs!$B$9+1)+((C550=TRUE)*(F550-Calc!F19))+B562+(ArtifactsInput!$M$24-ArtifactsInput!$M$24)*CHOOSE(ArtifactsInput!$N$24+1,10,12,14,16,18,20)+IF(ArtifactsInput!$M$10,CHOOSE(ArtifactsInput!$N$10+1,15,18,21,24,27,30)*(IF(Inputs!$B$38="pvp",MIN(15,15)/15,IF(AND(Inputs!$B$38&lt;&gt;"pvp",Inputs!$B$43&gt;0),MIN(15,Inputs!$B$43)/(Inputs!$B$43),0))),0)))&gt;=100),CHOOSE(ArtifactsInput!$N$42+1,40,48,56,64,72,80),0))))/100)*((1+(((C548=TRUE)*F548*5/7)+((C555=TRUE)*(F555-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537)</f>
        <v/>
      </c>
      <c r="L537">
        <f>K537*(MIN(Inputs!$B$22+((C553=TRUE)*(F553-Calc!F22)),(Inputs!$B$23+0+(IF(ArtifactsInput!$M$15,CHOOSE(ArtifactsInput!$N$15+1,25,30,35,40,45,50)/100*(Inputs!$B$11-Inputs!$B$11),0))))/100+(Inputs!$B$23+0+(IF(ArtifactsInput!$M$15,CHOOSE(ArtifactsInput!$N$15+1,25,30,35,40,45,50)/100*(Inputs!$B$11-Inputs!$B$11),0)))/100)/2</f>
        <v/>
      </c>
      <c r="M537">
        <f>L537*(1+(Inputs!$B$10+((C556=TRUE)*(F556-Calc!F25))+B567+(IF(ArtifactsInput!$M$24,CHOOSE(ArtifactsInput!$N$24+1,30,36,42,48,54,60)/100*((Inputs!$B$9+1)-Inputs!$B$9),0)+IF(ArtifactsInput!$M$10,CHOOSE(ArtifactsInput!$N$10+1,20,24,28,32,36,40)*(IF(Inputs!$B$38="pvp",MIN(15,15)/15,IF(AND(Inputs!$B$38&lt;&gt;"pvp",Inputs!$B$43&gt;0),MIN(15,Inputs!$B$43)/(Inputs!$B$43),0))),0)+IF(ArtifactsInput!$M$31,1.5*CHOOSE(ArtifactsInput!$N$31+1,20,24,28,32,36,40),0)))/100)</f>
        <v/>
      </c>
      <c r="N537">
        <f>L537*(1-MIN(((Inputs!$B$9+1)+((C550=TRUE)*(F550-Calc!F19))+B562+(ArtifactsInput!$M$24-ArtifactsInput!$M$24)*CHOOSE(ArtifactsInput!$N$24+1,10,12,14,16,18,20)+(IF(AND(Inputs!$B$38&lt;&gt;"pvp",Inputs!$B$43=0),1,IF(IF(Inputs!$B$38="pvp",15,Inputs!$B$43)-(B569)&lt;=0,1,MAX(0,IF(Inputs!$B$38="pvp",15,Inputs!$B$43)-MAX(5,B569))/(IF(Inputs!$B$38="pvp",15,Inputs!$B$43)-(B569))))*IF(AND(ArtifactsInput!$M$42,(((Inputs!$B$9+1)+((C550=TRUE)*(F550-Calc!F19))+B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537*(MIN(((Inputs!$B$9+1)+((C550=TRUE)*(F550-Calc!F19))+B562+(ArtifactsInput!$M$24-ArtifactsInput!$M$24)*CHOOSE(ArtifactsInput!$N$24+1,10,12,14,16,18,20)+(IF(AND(Inputs!$B$38&lt;&gt;"pvp",Inputs!$B$43=0),1,IF(IF(Inputs!$B$38="pvp",15,Inputs!$B$43)-(B569)&lt;=0,1,MAX(0,IF(Inputs!$B$38="pvp",15,Inputs!$B$43)-MAX(5,B569))/(IF(Inputs!$B$38="pvp",15,Inputs!$B$43)-(B569))))*IF(AND(ArtifactsInput!$M$42,(((Inputs!$B$9+1)+((C550=TRUE)*(F550-Calc!F19))+B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37">
        <f>(1-Summary!$B$11)*T537+Summary!$B$11*V537</f>
        <v/>
      </c>
      <c r="P537">
        <f>IF(B572=0,0,O537/B572)</f>
        <v/>
      </c>
      <c r="Q537">
        <f>IFERROR(1/(IF(Inputs!$B$38="pvp",15,MAX(0.1,Skills!D6-IF(TRUE=TRUE,Inputs!$B$32,0)))*(1-IF(AND(ArtifactsInput!$M$27,Inputs!$B$4="Chapter Hunt"),CHOOSE(ArtifactsInput!$N$27+1,20,24,28,32,36,40),0)/100)),0)</f>
        <v/>
      </c>
      <c r="R537">
        <f>IF(AND(Inputs!$B$38&lt;&gt;"pvp",Inputs!$B$43&gt;0),IF(MAX(0,Inputs!$B$43-B569)&lt;=0,0,(INT(MAX(0,Inputs!$B$43-B569)/(IF(Inputs!$B$38="pvp",15,MAX(0.1,Skills!D6-IF(TRUE=TRUE,Inputs!$B$32,0)))*(1-IF(AND(ArtifactsInput!$M$27,Inputs!$B$4="Chapter Hunt"),CHOOSE(ArtifactsInput!$N$27+1,20,24,28,32,36,40),0)/100)))+1)),0)</f>
        <v/>
      </c>
      <c r="S537">
        <f>IFERROR(O537/N537,0)</f>
        <v/>
      </c>
      <c r="T537">
        <f>IF(C537,(H537*N537*IF(AND(Inputs!$B$38&lt;&gt;"pvp",Inputs!$B$43&gt;0),((Skills!G6*((R537-1)*IF(Skills!H6&gt;0,INT(Skills!I6/Skills!H6+0.000000001),1)+IF(Skills!H6&gt;0,INT(MIN(Skills!I6,MAX(0,MAX(0,Inputs!$B$43-B569)-((R537-1)*(IF(Inputs!$B$38="pvp",15,MAX(0.1,Skills!D6-IF(TRUE=TRUE,Inputs!$B$32,0)))*(1-IF(AND(ArtifactsInput!$M$27,Inputs!$B$4="Chapter Hunt"),CHOOSE(ArtifactsInput!$N$27+1,20,24,28,32,36,40),0)/100)))))/Skills!H6+0.000000001),1)))/Inputs!$B$43),G537*Q537)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Hunt"),CHOOSE(ArtifactsInput!$N$35+1,15,18,21,24,27,30)*(1-EXP(-(0.2*B564)*5)),0)+IF(AND(ArtifactsInput!$M$22,Inputs!$B$4&lt;&gt;"Chapter Hunt"),CHOOSE(ArtifactsInput!$N$22+1,10,12,14,16,18,20)*((0*(((0.15*B564*5))^0/1)+1*(((0.15*B564*5))^1/1)+2*(((0.15*B564*5))^2/2)+3*(((0.15*B564*5))^3/6)+4*(((0.15*B564*5))^4/24)+5*(((0.15*B564*5))^5/120))/((((0.15*B564*5))^0/1)+(((0.15*B564*5))^1/1)+(((0.15*B564*5))^2/2)+(((0.15*B564*5))^3/6)+(((0.15*B564*5))^4/24)+(((0.15*B564*5))^5/120))),0))+IF(Inputs!$B$3&gt;=54,9*(C534=TRUE)*MIN(1,8*(1+Inputs!$B$34/100)*Q534)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537*(1-MIN(100,((Inputs!$B$9+1)+((C550=TRUE)*(F550-Calc!F19))+B562+(ArtifactsInput!$M$24-ArtifactsInput!$M$24)*CHOOSE(ArtifactsInput!$N$24+1,10,12,14,16,18,20)+(IF(AND(Inputs!$B$38&lt;&gt;"pvp",Inputs!$B$43=0),1,IF(IF(Inputs!$B$38="pvp",15,Inputs!$B$43)-(B569)&lt;=0,1,MAX(0,IF(Inputs!$B$38="pvp",15,Inputs!$B$43)-MAX(5,B569))/(IF(Inputs!$B$38="pvp",15,Inputs!$B$43)-(B569))))*IF(AND(ArtifactsInput!$M$42,(((Inputs!$B$9+1)+((C550=TRUE)*(F550-Calc!F19))+B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537*(MIN(100,((Inputs!$B$9+1)+((C550=TRUE)*(F550-Calc!F19))+B562+(ArtifactsInput!$M$24-ArtifactsInput!$M$24)*CHOOSE(ArtifactsInput!$N$24+1,10,12,14,16,18,20)+(IF(AND(Inputs!$B$38&lt;&gt;"pvp",Inputs!$B$43=0),1,IF(IF(Inputs!$B$38="pvp",15,Inputs!$B$43)-(B569)&lt;=0,1,MAX(0,IF(Inputs!$B$38="pvp",15,Inputs!$B$43)-MAX(5,B569))/(IF(Inputs!$B$38="pvp",15,Inputs!$B$43)-(B569))))*IF(AND(ArtifactsInput!$M$42,(((Inputs!$B$9+1)+((C550=TRUE)*(F550-Calc!F19))+B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537*(1-MIN(100,((Inputs!$B$9+1)+((C550=TRUE)*(F550-Calc!F19))+B562+(ArtifactsInput!$M$24-ArtifactsInput!$M$24)*CHOOSE(ArtifactsInput!$N$24+1,10,12,14,16,18,20)+(IF(AND(Inputs!$B$38&lt;&gt;"pvp",Inputs!$B$43=0),1,IF(IF(Inputs!$B$38="pvp",15,Inputs!$B$43)-(B569)&lt;=0,1,MAX(0,IF(Inputs!$B$38="pvp",15,Inputs!$B$43)-MAX(5,B569))/(IF(Inputs!$B$38="pvp",15,Inputs!$B$43)-(B569))))*IF(AND(ArtifactsInput!$M$42,(((Inputs!$B$9+1)+((C550=TRUE)*(F550-Calc!F19))+B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537*(MIN(100,((Inputs!$B$9+1)+((C550=TRUE)*(F550-Calc!F19))+B562+(ArtifactsInput!$M$24-ArtifactsInput!$M$24)*CHOOSE(ArtifactsInput!$N$24+1,10,12,14,16,18,20)+(IF(AND(Inputs!$B$38&lt;&gt;"pvp",Inputs!$B$43=0),1,IF(IF(Inputs!$B$38="pvp",15,Inputs!$B$43)-(B569)&lt;=0,1,MAX(0,IF(Inputs!$B$38="pvp",15,Inputs!$B$43)-MAX(5,B569))/(IF(Inputs!$B$38="pvp",15,Inputs!$B$43)-(B569))))*IF(AND(ArtifactsInput!$M$42,(((Inputs!$B$9+1)+((C550=TRUE)*(F550-Calc!F19))+B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537">
        <f>IF(C537,(H537*N537*IF(AND(Inputs!$B$38&lt;&gt;"pvp",Inputs!$B$43&gt;0),((Skills!G6*((R537-1)*IF(Skills!H6&gt;0,INT(Skills!I6/Skills!H6+0.000000001),1)+IF(Skills!H6&gt;0,INT(MIN(Skills!I6,MAX(0,MAX(0,Inputs!$B$43-B569)-((R537-1)*(IF(Inputs!$B$38="pvp",15,MAX(0.1,Skills!D6-IF(TRUE=TRUE,Inputs!$B$32,0)))*(1-IF(AND(ArtifactsInput!$M$27,Inputs!$B$4="Chapter Hunt"),CHOOSE(ArtifactsInput!$N$27+1,20,24,28,32,36,40),0)/100)))))/Skills!H6+0.000000001),1)))/Inputs!$B$43),G537*Q537))*IF(Inputs!$B$38="pvp",1,(1+(Inputs!$B$21+Skills!Q6+(IF(ArtifactsInput!$M$33,CHOOSE(ArtifactsInput!$N$33+1,30,36,42,48,54,60),0))+(IF(AND(ArtifactsInput!$M$35,Inputs!$B$4&lt;&gt;"Chapter Hunt"),CHOOSE(ArtifactsInput!$N$35+1,15,18,21,24,27,30)*(1-EXP(-(0.2*B564)*5)),0)+IF(AND(ArtifactsInput!$M$22,Inputs!$B$4&lt;&gt;"Chapter Hunt"),CHOOSE(ArtifactsInput!$N$22+1,10,12,14,16,18,20)*((0*(((0.15*B564*5))^0/1)+1*(((0.15*B564*5))^1/1)+2*(((0.15*B564*5))^2/2)+3*(((0.15*B564*5))^3/6)+4*(((0.15*B564*5))^4/24)+5*(((0.15*B564*5))^5/120))/((((0.15*B564*5))^0/1)+(((0.15*B564*5))^1/1)+(((0.15*B564*5))^2/2)+(((0.15*B564*5))^3/6)+(((0.15*B564*5))^4/24)+(((0.15*B564*5))^5/120))),0))+IF(Inputs!$B$3&gt;=54,9*(C534=TRUE)*MIN(1,8*(1+Inputs!$B$34/100)*Q534),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38">
      <c r="A538">
        <f>Skills!A7</f>
        <v/>
      </c>
      <c r="B538">
        <f>Skills!B7</f>
        <v/>
      </c>
      <c r="C538">
        <f>Inputs!$B$3&gt;=63</f>
        <v/>
      </c>
      <c r="D538">
        <f>IF(Skills!C7=1,60+Inputs!$B$25+Inputs!$B$29,IF(Skills!C7=2,90+Inputs!$B$26+Inputs!$B$29,IF(Skills!C7=3,120+Inputs!$B$27+Inputs!$B$29,MAX(0,(Inputs!$B$3-100)*3)+Inputs!$B$28+Inputs!$B$29)))</f>
        <v/>
      </c>
      <c r="E538">
        <f>INDEX(FactorTable!$B$2:$Y$301, MATCH(ROUND(MIN(300,MAX(1,D538)),0), FactorTable!$A$2:$A$301,0), Skills!M7+1)</f>
        <v/>
      </c>
      <c r="F538">
        <f>IF(Skills!N7=TRUE,(Skills!L7/10)*(E538/1000),Skills!L7/10)+Skills!O7</f>
        <v/>
      </c>
      <c r="G538">
        <f>Skills!G7*IF(Skills!H7&gt;0,INT(IF(Inputs!$B$38="pvp",MIN(Skills!I7,15),Skills!I7)/Skills!H7+0.000000001),1)</f>
        <v/>
      </c>
      <c r="H538">
        <f>1-(1-Skills!J7/100)^Skills!K7</f>
        <v/>
      </c>
      <c r="I538" t="inlineStr">
        <is>
          <t>1</t>
        </is>
      </c>
      <c r="J538">
        <f>((Inputs!$B$6*(1+Inputs!$B$7/100))+(((Inputs!$B$12*(1+Inputs!$B$13/100))-(Inputs!$B$12*(1+Inputs!$B$13/100)))+0.25*(Inputs!$B$14-Inputs!$B$14))*(1+Inputs!$B$7/100))*(F538/100)</f>
        <v/>
      </c>
      <c r="K538">
        <f>J538*(1+((Inputs!$B$12*(1+Inputs!$B$13/100))*0.01+Inputs!$B$14*0.0025)/100)*(1+Inputs!$B$15/100)*(1+Inputs!$B$16/100)*(5000/(6000+Inputs!$B$42*(1-(100*(1-(1-(Inputs!$B$19+0)/100)*(1-CHOOSE(ArtifactsInput!$N$40+1,5,6,7,8,9,10)/100)^(ArtifactsInput!$M$40-ArtifactsInput!$M$40)))/100)))*(1+(Inputs!$B$24+((C557=TRUE)*(F557-Calc!F26))+B568)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546=TRUE,F546,0)/100)*(1+(IF(Skills!A7="EIGHT_LEGS_EASTON",Inputs!$B$17+((C554=TRUE)*(F554-Calc!F23))+((C558=TRUE)*(F558-Calc!F27))+((IF(AND(Inputs!$B$38&lt;&gt;"pvp",Inputs!$B$43=0),1,IF(IF(Inputs!$B$38="pvp",15,Inputs!$B$43)-(B569)&lt;=0,1,MAX(0,IF(Inputs!$B$38="pvp",15,Inputs!$B$43)-MAX(5,B569))/(IF(Inputs!$B$38="pvp",15,Inputs!$B$43)-(B569))))*(IF(AND(ArtifactsInput!$M$42,(((Inputs!$B$9+1)+((C550=TRUE)*(F550-Calc!F19))+B562+(ArtifactsInput!$M$24-ArtifactsInput!$M$24)*CHOOSE(ArtifactsInput!$N$24+1,10,12,14,16,18,20)+IF(ArtifactsInput!$M$10,CHOOSE(ArtifactsInput!$N$10+1,15,18,21,24,27,30)*(IF(Inputs!$B$38="pvp",MIN(15,15)/15,IF(AND(Inputs!$B$38&lt;&gt;"pvp",Inputs!$B$43&gt;0),MIN(15,Inputs!$B$43)/(Inputs!$B$43),0))),0)))&gt;=100),MIN(100,(((Inputs!$B$9+1)+((C550=TRUE)*(F550-Calc!F19))+B562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569)&lt;=0,1,MAX(0,IF(Inputs!$B$38="pvp",15,Inputs!$B$43)-MAX(5,B569))/(IF(Inputs!$B$38="pvp",15,Inputs!$B$43)-(B569))))*IF(AND(ArtifactsInput!$M$42,(((Inputs!$B$9+1)+((C550=TRUE)*(F550-Calc!F19))+B562+(ArtifactsInput!$M$24-ArtifactsInput!$M$24)*CHOOSE(ArtifactsInput!$N$24+1,10,12,14,16,18,20)+IF(ArtifactsInput!$M$10,CHOOSE(ArtifactsInput!$N$10+1,15,18,21,24,27,30)*(IF(Inputs!$B$38="pvp",MIN(15,15)/15,IF(AND(Inputs!$B$38&lt;&gt;"pvp",Inputs!$B$43&gt;0),MIN(15,Inputs!$B$43)/(Inputs!$B$43),0))),0)))&gt;=100),CHOOSE(ArtifactsInput!$N$42+1,40,48,56,64,72,80),0))))/100)*((1+(((C548=TRUE)*F548*5/7)+((C555=TRUE)*(F555-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538)</f>
        <v/>
      </c>
      <c r="L538">
        <f>K538*(MIN(Inputs!$B$22+((C553=TRUE)*(F553-Calc!F22)),(Inputs!$B$23+0+(IF(ArtifactsInput!$M$15,CHOOSE(ArtifactsInput!$N$15+1,25,30,35,40,45,50)/100*(Inputs!$B$11-Inputs!$B$11),0))))/100+(Inputs!$B$23+0+(IF(ArtifactsInput!$M$15,CHOOSE(ArtifactsInput!$N$15+1,25,30,35,40,45,50)/100*(Inputs!$B$11-Inputs!$B$11),0)))/100)/2</f>
        <v/>
      </c>
      <c r="M538">
        <f>L538*(1+(Inputs!$B$10+((C556=TRUE)*(F556-Calc!F25))+B567+(IF(ArtifactsInput!$M$24,CHOOSE(ArtifactsInput!$N$24+1,30,36,42,48,54,60)/100*((Inputs!$B$9+1)-Inputs!$B$9),0)+IF(ArtifactsInput!$M$10,CHOOSE(ArtifactsInput!$N$10+1,20,24,28,32,36,40)*(IF(Inputs!$B$38="pvp",MIN(15,15)/15,IF(AND(Inputs!$B$38&lt;&gt;"pvp",Inputs!$B$43&gt;0),MIN(15,Inputs!$B$43)/(Inputs!$B$43),0))),0)+IF(ArtifactsInput!$M$31,1.5*CHOOSE(ArtifactsInput!$N$31+1,20,24,28,32,36,40),0)))/100)</f>
        <v/>
      </c>
      <c r="N538">
        <f>L538*(1-MIN(((Inputs!$B$9+1)+((C550=TRUE)*(F550-Calc!F19))+B562+(ArtifactsInput!$M$24-ArtifactsInput!$M$24)*CHOOSE(ArtifactsInput!$N$24+1,10,12,14,16,18,20)+(IF(AND(Inputs!$B$38&lt;&gt;"pvp",Inputs!$B$43=0),1,IF(IF(Inputs!$B$38="pvp",15,Inputs!$B$43)-(B569)&lt;=0,1,MAX(0,IF(Inputs!$B$38="pvp",15,Inputs!$B$43)-MAX(5,B569))/(IF(Inputs!$B$38="pvp",15,Inputs!$B$43)-(B569))))*IF(AND(ArtifactsInput!$M$42,(((Inputs!$B$9+1)+((C550=TRUE)*(F550-Calc!F19))+B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538*(MIN(((Inputs!$B$9+1)+((C550=TRUE)*(F550-Calc!F19))+B562+(ArtifactsInput!$M$24-ArtifactsInput!$M$24)*CHOOSE(ArtifactsInput!$N$24+1,10,12,14,16,18,20)+(IF(AND(Inputs!$B$38&lt;&gt;"pvp",Inputs!$B$43=0),1,IF(IF(Inputs!$B$38="pvp",15,Inputs!$B$43)-(B569)&lt;=0,1,MAX(0,IF(Inputs!$B$38="pvp",15,Inputs!$B$43)-MAX(5,B569))/(IF(Inputs!$B$38="pvp",15,Inputs!$B$43)-(B569))))*IF(AND(ArtifactsInput!$M$42,(((Inputs!$B$9+1)+((C550=TRUE)*(F550-Calc!F19))+B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38">
        <f>(1-Summary!$B$11)*T538+Summary!$B$11*V538</f>
        <v/>
      </c>
      <c r="P538">
        <f>IF(B572=0,0,O538/B572)</f>
        <v/>
      </c>
      <c r="Q538">
        <f>IFERROR(1/(IF(Inputs!$B$38="pvp",15,MAX(0.1,Skills!D7-IF(TRUE=TRUE,Inputs!$B$32,0)))*(1-IF(AND(ArtifactsInput!$M$27,Inputs!$B$4="Chapter Hunt"),CHOOSE(ArtifactsInput!$N$27+1,20,24,28,32,36,40),0)/100)),0)</f>
        <v/>
      </c>
      <c r="R538">
        <f>IF(AND(Inputs!$B$38&lt;&gt;"pvp",Inputs!$B$43&gt;0),IF(MAX(0,Inputs!$B$43-B569)&lt;=0,0,(INT(MAX(0,Inputs!$B$43-B569)/(IF(Inputs!$B$38="pvp",15,MAX(0.1,Skills!D7-IF(TRUE=TRUE,Inputs!$B$32,0)))*(1-IF(AND(ArtifactsInput!$M$27,Inputs!$B$4="Chapter Hunt"),CHOOSE(ArtifactsInput!$N$27+1,20,24,28,32,36,40),0)/100)))+1)),0)</f>
        <v/>
      </c>
      <c r="S538">
        <f>IFERROR(O538/N538,0)</f>
        <v/>
      </c>
      <c r="T538">
        <f>IF(C538,(H538*N538*IF(AND(Inputs!$B$38&lt;&gt;"pvp",Inputs!$B$43&gt;0),((Skills!G7*((R538-1)*IF(Skills!H7&gt;0,INT(Skills!I7/Skills!H7+0.000000001),1)+IF(Skills!H7&gt;0,INT(MIN(Skills!I7,MAX(0,MAX(0,Inputs!$B$43-B569)-((R538-1)*(IF(Inputs!$B$38="pvp",15,MAX(0.1,Skills!D7-IF(TRUE=TRUE,Inputs!$B$32,0)))*(1-IF(AND(ArtifactsInput!$M$27,Inputs!$B$4="Chapter Hunt"),CHOOSE(ArtifactsInput!$N$27+1,20,24,28,32,36,40),0)/100)))))/Skills!H7+0.000000001),1)))/Inputs!$B$43),G538*Q538)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Hunt"),CHOOSE(ArtifactsInput!$N$35+1,15,18,21,24,27,30)*(1-EXP(-(0.2*B564)*5)),0)+IF(AND(ArtifactsInput!$M$22,Inputs!$B$4&lt;&gt;"Chapter Hunt"),CHOOSE(ArtifactsInput!$N$22+1,10,12,14,16,18,20)*((0*(((0.15*B564*5))^0/1)+1*(((0.15*B564*5))^1/1)+2*(((0.15*B564*5))^2/2)+3*(((0.15*B564*5))^3/6)+4*(((0.15*B564*5))^4/24)+5*(((0.15*B564*5))^5/120))/((((0.15*B564*5))^0/1)+(((0.15*B564*5))^1/1)+(((0.15*B564*5))^2/2)+(((0.15*B564*5))^3/6)+(((0.15*B564*5))^4/24)+(((0.15*B564*5))^5/120))),0))+IF(Inputs!$B$3&gt;=54,9*(C534=TRUE)*MIN(1,8*(1+Inputs!$B$34/100)*Q534)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538*(1-MIN(100,((Inputs!$B$9+1)+((C550=TRUE)*(F550-Calc!F19))+B562+(ArtifactsInput!$M$24-ArtifactsInput!$M$24)*CHOOSE(ArtifactsInput!$N$24+1,10,12,14,16,18,20)+(IF(AND(Inputs!$B$38&lt;&gt;"pvp",Inputs!$B$43=0),1,IF(IF(Inputs!$B$38="pvp",15,Inputs!$B$43)-(B569)&lt;=0,1,MAX(0,IF(Inputs!$B$38="pvp",15,Inputs!$B$43)-MAX(5,B569))/(IF(Inputs!$B$38="pvp",15,Inputs!$B$43)-(B569))))*IF(AND(ArtifactsInput!$M$42,(((Inputs!$B$9+1)+((C550=TRUE)*(F550-Calc!F19))+B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538*(MIN(100,((Inputs!$B$9+1)+((C550=TRUE)*(F550-Calc!F19))+B562+(ArtifactsInput!$M$24-ArtifactsInput!$M$24)*CHOOSE(ArtifactsInput!$N$24+1,10,12,14,16,18,20)+(IF(AND(Inputs!$B$38&lt;&gt;"pvp",Inputs!$B$43=0),1,IF(IF(Inputs!$B$38="pvp",15,Inputs!$B$43)-(B569)&lt;=0,1,MAX(0,IF(Inputs!$B$38="pvp",15,Inputs!$B$43)-MAX(5,B569))/(IF(Inputs!$B$38="pvp",15,Inputs!$B$43)-(B569))))*IF(AND(ArtifactsInput!$M$42,(((Inputs!$B$9+1)+((C550=TRUE)*(F550-Calc!F19))+B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538*(1-MIN(100,((Inputs!$B$9+1)+((C550=TRUE)*(F550-Calc!F19))+B562+(ArtifactsInput!$M$24-ArtifactsInput!$M$24)*CHOOSE(ArtifactsInput!$N$24+1,10,12,14,16,18,20)+(IF(AND(Inputs!$B$38&lt;&gt;"pvp",Inputs!$B$43=0),1,IF(IF(Inputs!$B$38="pvp",15,Inputs!$B$43)-(B569)&lt;=0,1,MAX(0,IF(Inputs!$B$38="pvp",15,Inputs!$B$43)-MAX(5,B569))/(IF(Inputs!$B$38="pvp",15,Inputs!$B$43)-(B569))))*IF(AND(ArtifactsInput!$M$42,(((Inputs!$B$9+1)+((C550=TRUE)*(F550-Calc!F19))+B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538*(MIN(100,((Inputs!$B$9+1)+((C550=TRUE)*(F550-Calc!F19))+B562+(ArtifactsInput!$M$24-ArtifactsInput!$M$24)*CHOOSE(ArtifactsInput!$N$24+1,10,12,14,16,18,20)+(IF(AND(Inputs!$B$38&lt;&gt;"pvp",Inputs!$B$43=0),1,IF(IF(Inputs!$B$38="pvp",15,Inputs!$B$43)-(B569)&lt;=0,1,MAX(0,IF(Inputs!$B$38="pvp",15,Inputs!$B$43)-MAX(5,B569))/(IF(Inputs!$B$38="pvp",15,Inputs!$B$43)-(B569))))*IF(AND(ArtifactsInput!$M$42,(((Inputs!$B$9+1)+((C550=TRUE)*(F550-Calc!F19))+B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538">
        <f>IF(C538,(H538*N538*IF(AND(Inputs!$B$38&lt;&gt;"pvp",Inputs!$B$43&gt;0),((Skills!G7*((R538-1)*IF(Skills!H7&gt;0,INT(Skills!I7/Skills!H7+0.000000001),1)+IF(Skills!H7&gt;0,INT(MIN(Skills!I7,MAX(0,MAX(0,Inputs!$B$43-B569)-((R538-1)*(IF(Inputs!$B$38="pvp",15,MAX(0.1,Skills!D7-IF(TRUE=TRUE,Inputs!$B$32,0)))*(1-IF(AND(ArtifactsInput!$M$27,Inputs!$B$4="Chapter Hunt"),CHOOSE(ArtifactsInput!$N$27+1,20,24,28,32,36,40),0)/100)))))/Skills!H7+0.000000001),1)))/Inputs!$B$43),G538*Q538))*IF(Inputs!$B$38="pvp",1,(1+(Inputs!$B$21+Skills!Q7+(IF(ArtifactsInput!$M$33,CHOOSE(ArtifactsInput!$N$33+1,30,36,42,48,54,60),0))+(IF(AND(ArtifactsInput!$M$35,Inputs!$B$4&lt;&gt;"Chapter Hunt"),CHOOSE(ArtifactsInput!$N$35+1,15,18,21,24,27,30)*(1-EXP(-(0.2*B564)*5)),0)+IF(AND(ArtifactsInput!$M$22,Inputs!$B$4&lt;&gt;"Chapter Hunt"),CHOOSE(ArtifactsInput!$N$22+1,10,12,14,16,18,20)*((0*(((0.15*B564*5))^0/1)+1*(((0.15*B564*5))^1/1)+2*(((0.15*B564*5))^2/2)+3*(((0.15*B564*5))^3/6)+4*(((0.15*B564*5))^4/24)+5*(((0.15*B564*5))^5/120))/((((0.15*B564*5))^0/1)+(((0.15*B564*5))^1/1)+(((0.15*B564*5))^2/2)+(((0.15*B564*5))^3/6)+(((0.15*B564*5))^4/24)+(((0.15*B564*5))^5/120))),0))+IF(Inputs!$B$3&gt;=54,9*(C534=TRUE)*MIN(1,8*(1+Inputs!$B$34/100)*Q534),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39">
      <c r="A539">
        <f>Skills!A8</f>
        <v/>
      </c>
      <c r="B539">
        <f>Skills!B8</f>
        <v/>
      </c>
      <c r="C539">
        <f>Inputs!$B$3&gt;=103</f>
        <v/>
      </c>
      <c r="D539">
        <f>IF(Skills!C8=1,60+Inputs!$B$25+Inputs!$B$29,IF(Skills!C8=2,90+Inputs!$B$26+Inputs!$B$29,IF(Skills!C8=3,120+Inputs!$B$27+Inputs!$B$29,MAX(0,(Inputs!$B$3-100)*3)+Inputs!$B$28+Inputs!$B$29)))</f>
        <v/>
      </c>
      <c r="E539">
        <f>INDEX(FactorTable!$B$2:$Y$301, MATCH(ROUND(MIN(300,MAX(1,D539)),0), FactorTable!$A$2:$A$301,0), Skills!M8+1)</f>
        <v/>
      </c>
      <c r="F539">
        <f>IF(Skills!N8=TRUE,(Skills!L8/10)*(E539/1000),Skills!L8/10)+Skills!O8</f>
        <v/>
      </c>
      <c r="G539">
        <f>Skills!G8*IF(Skills!H8&gt;0,INT(IF(Inputs!$B$38="pvp",MIN(Skills!I8,15),Skills!I8)/Skills!H8+0.000000001),1)</f>
        <v/>
      </c>
      <c r="H539">
        <f>1-(1-Skills!J8/100)^Skills!K8</f>
        <v/>
      </c>
      <c r="I539" t="inlineStr">
        <is>
          <t>1</t>
        </is>
      </c>
      <c r="J539">
        <f>((Inputs!$B$6*(1+Inputs!$B$7/100))+(((Inputs!$B$12*(1+Inputs!$B$13/100))-(Inputs!$B$12*(1+Inputs!$B$13/100)))+0.25*(Inputs!$B$14-Inputs!$B$14))*(1+Inputs!$B$7/100))*(F539/100)</f>
        <v/>
      </c>
      <c r="K539">
        <f>J539*(1+((Inputs!$B$12*(1+Inputs!$B$13/100))*0.01+Inputs!$B$14*0.0025)/100)*(1+Inputs!$B$15/100)*(1+Inputs!$B$16/100)*(5000/(6000+Inputs!$B$42*(1-(100*(1-(1-(Inputs!$B$19+0)/100)*(1-CHOOSE(ArtifactsInput!$N$40+1,5,6,7,8,9,10)/100)^(ArtifactsInput!$M$40-ArtifactsInput!$M$40)))/100)))*(1+(Inputs!$B$24+((C557=TRUE)*(F557-Calc!F26))+B568)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IGHT_LEGS_EASTON",Inputs!$B$17+((C554=TRUE)*(F554-Calc!F23))+((C558=TRUE)*(F558-Calc!F27))+((IF(AND(Inputs!$B$38&lt;&gt;"pvp",Inputs!$B$43=0),1,IF(IF(Inputs!$B$38="pvp",15,Inputs!$B$43)-(B569)&lt;=0,1,MAX(0,IF(Inputs!$B$38="pvp",15,Inputs!$B$43)-MAX(5,B569))/(IF(Inputs!$B$38="pvp",15,Inputs!$B$43)-(B569))))*(IF(AND(ArtifactsInput!$M$42,(((Inputs!$B$9+1)+((C550=TRUE)*(F550-Calc!F19))+B562+(ArtifactsInput!$M$24-ArtifactsInput!$M$24)*CHOOSE(ArtifactsInput!$N$24+1,10,12,14,16,18,20)+IF(ArtifactsInput!$M$10,CHOOSE(ArtifactsInput!$N$10+1,15,18,21,24,27,30)*(IF(Inputs!$B$38="pvp",MIN(15,15)/15,IF(AND(Inputs!$B$38&lt;&gt;"pvp",Inputs!$B$43&gt;0),MIN(15,Inputs!$B$43)/(Inputs!$B$43),0))),0)))&gt;=100),MIN(100,(((Inputs!$B$9+1)+((C550=TRUE)*(F550-Calc!F19))+B562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569)&lt;=0,1,MAX(0,IF(Inputs!$B$38="pvp",15,Inputs!$B$43)-MAX(5,B569))/(IF(Inputs!$B$38="pvp",15,Inputs!$B$43)-(B569))))*IF(AND(ArtifactsInput!$M$42,(((Inputs!$B$9+1)+((C550=TRUE)*(F550-Calc!F19))+B562+(ArtifactsInput!$M$24-ArtifactsInput!$M$24)*CHOOSE(ArtifactsInput!$N$24+1,10,12,14,16,18,20)+IF(ArtifactsInput!$M$10,CHOOSE(ArtifactsInput!$N$10+1,15,18,21,24,27,30)*(IF(Inputs!$B$38="pvp",MIN(15,15)/15,IF(AND(Inputs!$B$38&lt;&gt;"pvp",Inputs!$B$43&gt;0),MIN(15,Inputs!$B$43)/(Inputs!$B$43),0))),0)))&gt;=100),CHOOSE(ArtifactsInput!$N$42+1,40,48,56,64,72,80),0))))/100)*((1+(((C548=TRUE)*F548*5/7)+((C555=TRUE)*(F555-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539)</f>
        <v/>
      </c>
      <c r="L539">
        <f>K539*(MIN(Inputs!$B$22+((C553=TRUE)*(F553-Calc!F22)),(Inputs!$B$23+0+(IF(ArtifactsInput!$M$15,CHOOSE(ArtifactsInput!$N$15+1,25,30,35,40,45,50)/100*(Inputs!$B$11-Inputs!$B$11),0))))/100+(Inputs!$B$23+0+(IF(ArtifactsInput!$M$15,CHOOSE(ArtifactsInput!$N$15+1,25,30,35,40,45,50)/100*(Inputs!$B$11-Inputs!$B$11),0)))/100)/2</f>
        <v/>
      </c>
      <c r="M539">
        <f>L539*(1+(Inputs!$B$10+((C556=TRUE)*(F556-Calc!F25))+B567+(IF(ArtifactsInput!$M$24,CHOOSE(ArtifactsInput!$N$24+1,30,36,42,48,54,60)/100*((Inputs!$B$9+1)-Inputs!$B$9),0)+IF(ArtifactsInput!$M$10,CHOOSE(ArtifactsInput!$N$10+1,20,24,28,32,36,40)*(IF(Inputs!$B$38="pvp",MIN(15,15)/15,IF(AND(Inputs!$B$38&lt;&gt;"pvp",Inputs!$B$43&gt;0),MIN(15,Inputs!$B$43)/(Inputs!$B$43),0))),0)+IF(ArtifactsInput!$M$31,1.5*CHOOSE(ArtifactsInput!$N$31+1,20,24,28,32,36,40),0)))/100)</f>
        <v/>
      </c>
      <c r="N539">
        <f>L539*(1-MIN(((Inputs!$B$9+1)+((C550=TRUE)*(F550-Calc!F19))+B562+(ArtifactsInput!$M$24-ArtifactsInput!$M$24)*CHOOSE(ArtifactsInput!$N$24+1,10,12,14,16,18,20)+(IF(AND(Inputs!$B$38&lt;&gt;"pvp",Inputs!$B$43=0),1,IF(IF(Inputs!$B$38="pvp",15,Inputs!$B$43)-(B569)&lt;=0,1,MAX(0,IF(Inputs!$B$38="pvp",15,Inputs!$B$43)-MAX(5,B569))/(IF(Inputs!$B$38="pvp",15,Inputs!$B$43)-(B569))))*IF(AND(ArtifactsInput!$M$42,(((Inputs!$B$9+1)+((C550=TRUE)*(F550-Calc!F19))+B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539*(MIN(((Inputs!$B$9+1)+((C550=TRUE)*(F550-Calc!F19))+B562+(ArtifactsInput!$M$24-ArtifactsInput!$M$24)*CHOOSE(ArtifactsInput!$N$24+1,10,12,14,16,18,20)+(IF(AND(Inputs!$B$38&lt;&gt;"pvp",Inputs!$B$43=0),1,IF(IF(Inputs!$B$38="pvp",15,Inputs!$B$43)-(B569)&lt;=0,1,MAX(0,IF(Inputs!$B$38="pvp",15,Inputs!$B$43)-MAX(5,B569))/(IF(Inputs!$B$38="pvp",15,Inputs!$B$43)-(B569))))*IF(AND(ArtifactsInput!$M$42,(((Inputs!$B$9+1)+((C550=TRUE)*(F550-Calc!F19))+B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39">
        <f>(1-Summary!$B$11)*T539+Summary!$B$11*V539</f>
        <v/>
      </c>
      <c r="P539">
        <f>IF(B572=0,0,O539/B572)</f>
        <v/>
      </c>
      <c r="Q539">
        <f>IFERROR(1/((IF(Inputs!$B$38="pvp",15,MAX(0.1,Skills!D8-IF(TRUE=TRUE,Inputs!$B$32,0)))*(1-IF(AND(ArtifactsInput!$M$27,Inputs!$B$4="Chapter Hunt"),CHOOSE(ArtifactsInput!$N$27+1,20,24,28,32,36,40),0)/100))/B573),0)</f>
        <v/>
      </c>
      <c r="R539">
        <f>IF(AND(Inputs!$B$38&lt;&gt;"pvp",Inputs!$B$43&gt;0),IF(MAX(0,Inputs!$B$43-B569)&lt;=0,0,(INT(MAX(0,Inputs!$B$43-B569)/((IF(Inputs!$B$38="pvp",15,MAX(0.1,Skills!D8-IF(TRUE=TRUE,Inputs!$B$32,0)))*(1-IF(AND(ArtifactsInput!$M$27,Inputs!$B$4="Chapter Hunt"),CHOOSE(ArtifactsInput!$N$27+1,20,24,28,32,36,40),0)/100))/B573))+1)),0)</f>
        <v/>
      </c>
      <c r="S539">
        <f>IFERROR(O539/N539,0)</f>
        <v/>
      </c>
      <c r="T539">
        <f>IF(C539,(H539*N539*IF(AND(Inputs!$B$38&lt;&gt;"pvp",Inputs!$B$43&gt;0),((Skills!G8*((R539-1)*IF(Skills!H8&gt;0,INT(Skills!I8/Skills!H8+0.000000001),1)+IF(Skills!H8&gt;0,INT(MIN(Skills!I8,MAX(0,MAX(0,Inputs!$B$43-B569)-((R539-1)*((IF(Inputs!$B$38="pvp",15,MAX(0.1,Skills!D8-IF(TRUE=TRUE,Inputs!$B$32,0)))*(1-IF(AND(ArtifactsInput!$M$27,Inputs!$B$4="Chapter Hunt"),CHOOSE(ArtifactsInput!$N$27+1,20,24,28,32,36,40),0)/100))/B573))))/Skills!H8+0.000000001),1)))/Inputs!$B$43),G539*Q539))*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Hunt"),CHOOSE(ArtifactsInput!$N$35+1,15,18,21,24,27,30)*(1-EXP(-(0.2*B564)*5)),0)+IF(AND(ArtifactsInput!$M$22,Inputs!$B$4&lt;&gt;"Chapter Hunt"),CHOOSE(ArtifactsInput!$N$22+1,10,12,14,16,18,20)*((0*(((0.15*B564*5))^0/1)+1*(((0.15*B564*5))^1/1)+2*(((0.15*B564*5))^2/2)+3*(((0.15*B564*5))^3/6)+4*(((0.15*B564*5))^4/24)+5*(((0.15*B564*5))^5/120))/((((0.15*B564*5))^0/1)+(((0.15*B564*5))^1/1)+(((0.15*B564*5))^2/2)+(((0.15*B564*5))^3/6)+(((0.15*B564*5))^4/24)+(((0.15*B564*5))^5/120))),0))+IF(Inputs!$B$3&gt;=54,9*(C534=TRUE)*MIN(1,8*(1+Inputs!$B$34/100)*Q534)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539*(1-MIN(100,((Inputs!$B$9+1)+((C550=TRUE)*(F550-Calc!F19))+B562+(ArtifactsInput!$M$24-ArtifactsInput!$M$24)*CHOOSE(ArtifactsInput!$N$24+1,10,12,14,16,18,20)+(IF(AND(Inputs!$B$38&lt;&gt;"pvp",Inputs!$B$43=0),1,IF(IF(Inputs!$B$38="pvp",15,Inputs!$B$43)-(B569)&lt;=0,1,MAX(0,IF(Inputs!$B$38="pvp",15,Inputs!$B$43)-MAX(5,B569))/(IF(Inputs!$B$38="pvp",15,Inputs!$B$43)-(B569))))*IF(AND(ArtifactsInput!$M$42,(((Inputs!$B$9+1)+((C550=TRUE)*(F550-Calc!F19))+B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539*(MIN(100,((Inputs!$B$9+1)+((C550=TRUE)*(F550-Calc!F19))+B562+(ArtifactsInput!$M$24-ArtifactsInput!$M$24)*CHOOSE(ArtifactsInput!$N$24+1,10,12,14,16,18,20)+(IF(AND(Inputs!$B$38&lt;&gt;"pvp",Inputs!$B$43=0),1,IF(IF(Inputs!$B$38="pvp",15,Inputs!$B$43)-(B569)&lt;=0,1,MAX(0,IF(Inputs!$B$38="pvp",15,Inputs!$B$43)-MAX(5,B569))/(IF(Inputs!$B$38="pvp",15,Inputs!$B$43)-(B569))))*IF(AND(ArtifactsInput!$M$42,(((Inputs!$B$9+1)+((C550=TRUE)*(F550-Calc!F19))+B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539*(1-MIN(100,((Inputs!$B$9+1)+((C550=TRUE)*(F550-Calc!F19))+B562+(ArtifactsInput!$M$24-ArtifactsInput!$M$24)*CHOOSE(ArtifactsInput!$N$24+1,10,12,14,16,18,20)+(IF(AND(Inputs!$B$38&lt;&gt;"pvp",Inputs!$B$43=0),1,IF(IF(Inputs!$B$38="pvp",15,Inputs!$B$43)-(B569)&lt;=0,1,MAX(0,IF(Inputs!$B$38="pvp",15,Inputs!$B$43)-MAX(5,B569))/(IF(Inputs!$B$38="pvp",15,Inputs!$B$43)-(B569))))*IF(AND(ArtifactsInput!$M$42,(((Inputs!$B$9+1)+((C550=TRUE)*(F550-Calc!F19))+B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539*(MIN(100,((Inputs!$B$9+1)+((C550=TRUE)*(F550-Calc!F19))+B562+(ArtifactsInput!$M$24-ArtifactsInput!$M$24)*CHOOSE(ArtifactsInput!$N$24+1,10,12,14,16,18,20)+(IF(AND(Inputs!$B$38&lt;&gt;"pvp",Inputs!$B$43=0),1,IF(IF(Inputs!$B$38="pvp",15,Inputs!$B$43)-(B569)&lt;=0,1,MAX(0,IF(Inputs!$B$38="pvp",15,Inputs!$B$43)-MAX(5,B569))/(IF(Inputs!$B$38="pvp",15,Inputs!$B$43)-(B569))))*IF(AND(ArtifactsInput!$M$42,(((Inputs!$B$9+1)+((C550=TRUE)*(F550-Calc!F19))+B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539">
        <f>IF(C539,(H539*N539*IF(AND(Inputs!$B$38&lt;&gt;"pvp",Inputs!$B$43&gt;0),((Skills!G8*((R539-1)*IF(Skills!H8&gt;0,INT(Skills!I8/Skills!H8+0.000000001),1)+IF(Skills!H8&gt;0,INT(MIN(Skills!I8,MAX(0,MAX(0,Inputs!$B$43-B569)-((R539-1)*((IF(Inputs!$B$38="pvp",15,MAX(0.1,Skills!D8-IF(TRUE=TRUE,Inputs!$B$32,0)))*(1-IF(AND(ArtifactsInput!$M$27,Inputs!$B$4="Chapter Hunt"),CHOOSE(ArtifactsInput!$N$27+1,20,24,28,32,36,40),0)/100))/B573))))/Skills!H8+0.000000001),1)))/Inputs!$B$43),G539*Q539))*IF(Inputs!$B$38="pvp",1,(1+(Inputs!$B$21+Skills!Q8+(IF(ArtifactsInput!$M$33,CHOOSE(ArtifactsInput!$N$33+1,30,36,42,48,54,60),0))+(IF(AND(ArtifactsInput!$M$35,Inputs!$B$4&lt;&gt;"Chapter Hunt"),CHOOSE(ArtifactsInput!$N$35+1,15,18,21,24,27,30)*(1-EXP(-(0.2*B564)*5)),0)+IF(AND(ArtifactsInput!$M$22,Inputs!$B$4&lt;&gt;"Chapter Hunt"),CHOOSE(ArtifactsInput!$N$22+1,10,12,14,16,18,20)*((0*(((0.15*B564*5))^0/1)+1*(((0.15*B564*5))^1/1)+2*(((0.15*B564*5))^2/2)+3*(((0.15*B564*5))^3/6)+4*(((0.15*B564*5))^4/24)+5*(((0.15*B564*5))^5/120))/((((0.15*B564*5))^0/1)+(((0.15*B564*5))^1/1)+(((0.15*B564*5))^2/2)+(((0.15*B564*5))^3/6)+(((0.15*B564*5))^4/24)+(((0.15*B564*5))^5/120))),0))+IF(Inputs!$B$3&gt;=54,9*(C534=TRUE)*MIN(1,8*(1+Inputs!$B$34/100)*Q534),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40">
      <c r="A540">
        <f>Skills!A9</f>
        <v/>
      </c>
      <c r="B540">
        <f>Skills!B9</f>
        <v/>
      </c>
      <c r="C540">
        <f>Inputs!$B$3&gt;=105</f>
        <v/>
      </c>
      <c r="D540">
        <f>IF(Skills!C9=1,60+Inputs!$B$25+Inputs!$B$29,IF(Skills!C9=2,90+Inputs!$B$26+Inputs!$B$29,IF(Skills!C9=3,120+Inputs!$B$27+Inputs!$B$29,MAX(0,(Inputs!$B$3-100)*3)+Inputs!$B$28+Inputs!$B$29)))</f>
        <v/>
      </c>
      <c r="E540">
        <f>INDEX(FactorTable!$B$2:$Y$301, MATCH(ROUND(MIN(300,MAX(1,D540)),0), FactorTable!$A$2:$A$301,0), Skills!M9+1)</f>
        <v/>
      </c>
      <c r="F540">
        <f>IF(Skills!N9=TRUE,(Skills!L9/10)*(E540/1000),Skills!L9/10)+Skills!O9</f>
        <v/>
      </c>
      <c r="G540">
        <f>Skills!G9*IF(Skills!H9&gt;0,INT(IF(Inputs!$B$38="pvp",MIN(Skills!I9,15),Skills!I9)/Skills!H9+0.000000001),1)</f>
        <v/>
      </c>
      <c r="H540">
        <f>1-(1-Skills!J9/100)^Skills!K9</f>
        <v/>
      </c>
      <c r="I540" t="inlineStr">
        <is>
          <t>1</t>
        </is>
      </c>
      <c r="J540">
        <f>((Inputs!$B$6*(1+Inputs!$B$7/100))+(((Inputs!$B$12*(1+Inputs!$B$13/100))-(Inputs!$B$12*(1+Inputs!$B$13/100)))+0.25*(Inputs!$B$14-Inputs!$B$14))*(1+Inputs!$B$7/100))*(F540/100)</f>
        <v/>
      </c>
      <c r="K540">
        <f>J540*(1+((Inputs!$B$12*(1+Inputs!$B$13/100))*0.01+Inputs!$B$14*0.0025)/100)*(1+Inputs!$B$15/100)*(1+Inputs!$B$16/100)*(5000/(6000+Inputs!$B$42*(1-(100*(1-(1-(Inputs!$B$19+0)/100)*(1-CHOOSE(ArtifactsInput!$N$40+1,5,6,7,8,9,10)/100)^(ArtifactsInput!$M$40-ArtifactsInput!$M$40)))/100)))*(1+(Inputs!$B$24+((C557=TRUE)*(F557-Calc!F26))+B568)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IGHT_LEGS_EASTON",Inputs!$B$17+((C554=TRUE)*(F554-Calc!F23))+((C558=TRUE)*(F558-Calc!F27))+((IF(AND(Inputs!$B$38&lt;&gt;"pvp",Inputs!$B$43=0),1,IF(IF(Inputs!$B$38="pvp",15,Inputs!$B$43)-(B569)&lt;=0,1,MAX(0,IF(Inputs!$B$38="pvp",15,Inputs!$B$43)-MAX(5,B569))/(IF(Inputs!$B$38="pvp",15,Inputs!$B$43)-(B569))))*(IF(AND(ArtifactsInput!$M$42,(((Inputs!$B$9+1)+((C550=TRUE)*(F550-Calc!F19))+B562+(ArtifactsInput!$M$24-ArtifactsInput!$M$24)*CHOOSE(ArtifactsInput!$N$24+1,10,12,14,16,18,20)+IF(ArtifactsInput!$M$10,CHOOSE(ArtifactsInput!$N$10+1,15,18,21,24,27,30)*(IF(Inputs!$B$38="pvp",MIN(15,15)/15,IF(AND(Inputs!$B$38&lt;&gt;"pvp",Inputs!$B$43&gt;0),MIN(15,Inputs!$B$43)/(Inputs!$B$43),0))),0)))&gt;=100),MIN(100,(((Inputs!$B$9+1)+((C550=TRUE)*(F550-Calc!F19))+B562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569)&lt;=0,1,MAX(0,IF(Inputs!$B$38="pvp",15,Inputs!$B$43)-MAX(5,B569))/(IF(Inputs!$B$38="pvp",15,Inputs!$B$43)-(B569))))*IF(AND(ArtifactsInput!$M$42,(((Inputs!$B$9+1)+((C550=TRUE)*(F550-Calc!F19))+B562+(ArtifactsInput!$M$24-ArtifactsInput!$M$24)*CHOOSE(ArtifactsInput!$N$24+1,10,12,14,16,18,20)+IF(ArtifactsInput!$M$10,CHOOSE(ArtifactsInput!$N$10+1,15,18,21,24,27,30)*(IF(Inputs!$B$38="pvp",MIN(15,15)/15,IF(AND(Inputs!$B$38&lt;&gt;"pvp",Inputs!$B$43&gt;0),MIN(15,Inputs!$B$43)/(Inputs!$B$43),0))),0)))&gt;=100),CHOOSE(ArtifactsInput!$N$42+1,40,48,56,64,72,80),0))))/100)*((1+(((C548=TRUE)*F548*5/7)+((C555=TRUE)*(F555-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540)</f>
        <v/>
      </c>
      <c r="L540">
        <f>K540*(MIN(Inputs!$B$22+((C553=TRUE)*(F553-Calc!F22)),(Inputs!$B$23+0+(IF(ArtifactsInput!$M$15,CHOOSE(ArtifactsInput!$N$15+1,25,30,35,40,45,50)/100*(Inputs!$B$11-Inputs!$B$11),0))))/100+(Inputs!$B$23+0+(IF(ArtifactsInput!$M$15,CHOOSE(ArtifactsInput!$N$15+1,25,30,35,40,45,50)/100*(Inputs!$B$11-Inputs!$B$11),0)))/100)/2</f>
        <v/>
      </c>
      <c r="M540">
        <f>L540*(1+(Inputs!$B$10+((C556=TRUE)*(F556-Calc!F25))+B567+(IF(ArtifactsInput!$M$24,CHOOSE(ArtifactsInput!$N$24+1,30,36,42,48,54,60)/100*((Inputs!$B$9+1)-Inputs!$B$9),0)+IF(ArtifactsInput!$M$10,CHOOSE(ArtifactsInput!$N$10+1,20,24,28,32,36,40)*(IF(Inputs!$B$38="pvp",MIN(15,15)/15,IF(AND(Inputs!$B$38&lt;&gt;"pvp",Inputs!$B$43&gt;0),MIN(15,Inputs!$B$43)/(Inputs!$B$43),0))),0)+IF(ArtifactsInput!$M$31,1.5*CHOOSE(ArtifactsInput!$N$31+1,20,24,28,32,36,40),0)))/100)</f>
        <v/>
      </c>
      <c r="N540">
        <f>L540*(1-MIN(((Inputs!$B$9+1)+((C550=TRUE)*(F550-Calc!F19))+B562+(ArtifactsInput!$M$24-ArtifactsInput!$M$24)*CHOOSE(ArtifactsInput!$N$24+1,10,12,14,16,18,20)+(IF(AND(Inputs!$B$38&lt;&gt;"pvp",Inputs!$B$43=0),1,IF(IF(Inputs!$B$38="pvp",15,Inputs!$B$43)-(B569)&lt;=0,1,MAX(0,IF(Inputs!$B$38="pvp",15,Inputs!$B$43)-MAX(5,B569))/(IF(Inputs!$B$38="pvp",15,Inputs!$B$43)-(B569))))*IF(AND(ArtifactsInput!$M$42,(((Inputs!$B$9+1)+((C550=TRUE)*(F550-Calc!F19))+B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540*(MIN(((Inputs!$B$9+1)+((C550=TRUE)*(F550-Calc!F19))+B562+(ArtifactsInput!$M$24-ArtifactsInput!$M$24)*CHOOSE(ArtifactsInput!$N$24+1,10,12,14,16,18,20)+(IF(AND(Inputs!$B$38&lt;&gt;"pvp",Inputs!$B$43=0),1,IF(IF(Inputs!$B$38="pvp",15,Inputs!$B$43)-(B569)&lt;=0,1,MAX(0,IF(Inputs!$B$38="pvp",15,Inputs!$B$43)-MAX(5,B569))/(IF(Inputs!$B$38="pvp",15,Inputs!$B$43)-(B569))))*IF(AND(ArtifactsInput!$M$42,(((Inputs!$B$9+1)+((C550=TRUE)*(F550-Calc!F19))+B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40">
        <f>(1-Summary!$B$11)*T540+Summary!$B$11*V540</f>
        <v/>
      </c>
      <c r="P540">
        <f>IF(B572=0,0,O540/B572)</f>
        <v/>
      </c>
      <c r="Q540">
        <f>IFERROR(1/(IF(Inputs!$B$38="pvp",15,MAX(0.1,Skills!D9-IF(TRUE=TRUE,Inputs!$B$32,0)))*(1-IF(AND(ArtifactsInput!$M$27,Inputs!$B$4="Chapter Hunt"),CHOOSE(ArtifactsInput!$N$27+1,20,24,28,32,36,40),0)/100)),0)</f>
        <v/>
      </c>
      <c r="R540">
        <f>IF(AND(Inputs!$B$38&lt;&gt;"pvp",Inputs!$B$43&gt;0),IF(MAX(0,Inputs!$B$43-B569)&lt;=0,0,(INT(MAX(0,Inputs!$B$43-B569)/(IF(Inputs!$B$38="pvp",15,MAX(0.1,Skills!D9-IF(TRUE=TRUE,Inputs!$B$32,0)))*(1-IF(AND(ArtifactsInput!$M$27,Inputs!$B$4="Chapter Hunt"),CHOOSE(ArtifactsInput!$N$27+1,20,24,28,32,36,40),0)/100)))+1)),0)</f>
        <v/>
      </c>
      <c r="S540">
        <f>IFERROR(O540/N540,0)</f>
        <v/>
      </c>
      <c r="T540">
        <f>IF(C540,(H540*N540*IF(AND(Inputs!$B$38&lt;&gt;"pvp",Inputs!$B$43&gt;0),((Skills!G9*((R540-1)*IF(Skills!H9&gt;0,INT(Skills!I9/Skills!H9+0.000000001),1)+IF(Skills!H9&gt;0,INT(MIN(Skills!I9,MAX(0,MAX(0,Inputs!$B$43-B569)-((R540-1)*(IF(Inputs!$B$38="pvp",15,MAX(0.1,Skills!D9-IF(TRUE=TRUE,Inputs!$B$32,0)))*(1-IF(AND(ArtifactsInput!$M$27,Inputs!$B$4="Chapter Hunt"),CHOOSE(ArtifactsInput!$N$27+1,20,24,28,32,36,40),0)/100)))))/Skills!H9+0.000000001),1)))/Inputs!$B$43),G540*Q540)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Hunt"),CHOOSE(ArtifactsInput!$N$35+1,15,18,21,24,27,30)*(1-EXP(-(0.2*B564)*5)),0)+IF(AND(ArtifactsInput!$M$22,Inputs!$B$4&lt;&gt;"Chapter Hunt"),CHOOSE(ArtifactsInput!$N$22+1,10,12,14,16,18,20)*((0*(((0.15*B564*5))^0/1)+1*(((0.15*B564*5))^1/1)+2*(((0.15*B564*5))^2/2)+3*(((0.15*B564*5))^3/6)+4*(((0.15*B564*5))^4/24)+5*(((0.15*B564*5))^5/120))/((((0.15*B564*5))^0/1)+(((0.15*B564*5))^1/1)+(((0.15*B564*5))^2/2)+(((0.15*B564*5))^3/6)+(((0.15*B564*5))^4/24)+(((0.15*B564*5))^5/120))),0))+IF(Inputs!$B$3&gt;=54,9*(C534=TRUE)*MIN(1,8*(1+Inputs!$B$34/100)*Q534)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540*(1-MIN(100,((Inputs!$B$9+1)+((C550=TRUE)*(F550-Calc!F19))+B562+(ArtifactsInput!$M$24-ArtifactsInput!$M$24)*CHOOSE(ArtifactsInput!$N$24+1,10,12,14,16,18,20)+(IF(AND(Inputs!$B$38&lt;&gt;"pvp",Inputs!$B$43=0),1,IF(IF(Inputs!$B$38="pvp",15,Inputs!$B$43)-(B569)&lt;=0,1,MAX(0,IF(Inputs!$B$38="pvp",15,Inputs!$B$43)-MAX(5,B569))/(IF(Inputs!$B$38="pvp",15,Inputs!$B$43)-(B569))))*IF(AND(ArtifactsInput!$M$42,(((Inputs!$B$9+1)+((C550=TRUE)*(F550-Calc!F19))+B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540*(MIN(100,((Inputs!$B$9+1)+((C550=TRUE)*(F550-Calc!F19))+B562+(ArtifactsInput!$M$24-ArtifactsInput!$M$24)*CHOOSE(ArtifactsInput!$N$24+1,10,12,14,16,18,20)+(IF(AND(Inputs!$B$38&lt;&gt;"pvp",Inputs!$B$43=0),1,IF(IF(Inputs!$B$38="pvp",15,Inputs!$B$43)-(B569)&lt;=0,1,MAX(0,IF(Inputs!$B$38="pvp",15,Inputs!$B$43)-MAX(5,B569))/(IF(Inputs!$B$38="pvp",15,Inputs!$B$43)-(B569))))*IF(AND(ArtifactsInput!$M$42,(((Inputs!$B$9+1)+((C550=TRUE)*(F550-Calc!F19))+B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540*(1-MIN(100,((Inputs!$B$9+1)+((C550=TRUE)*(F550-Calc!F19))+B562+(ArtifactsInput!$M$24-ArtifactsInput!$M$24)*CHOOSE(ArtifactsInput!$N$24+1,10,12,14,16,18,20)+(IF(AND(Inputs!$B$38&lt;&gt;"pvp",Inputs!$B$43=0),1,IF(IF(Inputs!$B$38="pvp",15,Inputs!$B$43)-(B569)&lt;=0,1,MAX(0,IF(Inputs!$B$38="pvp",15,Inputs!$B$43)-MAX(5,B569))/(IF(Inputs!$B$38="pvp",15,Inputs!$B$43)-(B569))))*IF(AND(ArtifactsInput!$M$42,(((Inputs!$B$9+1)+((C550=TRUE)*(F550-Calc!F19))+B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540*(MIN(100,((Inputs!$B$9+1)+((C550=TRUE)*(F550-Calc!F19))+B562+(ArtifactsInput!$M$24-ArtifactsInput!$M$24)*CHOOSE(ArtifactsInput!$N$24+1,10,12,14,16,18,20)+(IF(AND(Inputs!$B$38&lt;&gt;"pvp",Inputs!$B$43=0),1,IF(IF(Inputs!$B$38="pvp",15,Inputs!$B$43)-(B569)&lt;=0,1,MAX(0,IF(Inputs!$B$38="pvp",15,Inputs!$B$43)-MAX(5,B569))/(IF(Inputs!$B$38="pvp",15,Inputs!$B$43)-(B569))))*IF(AND(ArtifactsInput!$M$42,(((Inputs!$B$9+1)+((C550=TRUE)*(F550-Calc!F19))+B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540">
        <f>IF(C540,(H540*N540*IF(AND(Inputs!$B$38&lt;&gt;"pvp",Inputs!$B$43&gt;0),((Skills!G9*((R540-1)*IF(Skills!H9&gt;0,INT(Skills!I9/Skills!H9+0.000000001),1)+IF(Skills!H9&gt;0,INT(MIN(Skills!I9,MAX(0,MAX(0,Inputs!$B$43-B569)-((R540-1)*(IF(Inputs!$B$38="pvp",15,MAX(0.1,Skills!D9-IF(TRUE=TRUE,Inputs!$B$32,0)))*(1-IF(AND(ArtifactsInput!$M$27,Inputs!$B$4="Chapter Hunt"),CHOOSE(ArtifactsInput!$N$27+1,20,24,28,32,36,40),0)/100)))))/Skills!H9+0.000000001),1)))/Inputs!$B$43),G540*Q540))*IF(Inputs!$B$38="pvp",1,(1+(Inputs!$B$21+Skills!Q9+(IF(ArtifactsInput!$M$33,CHOOSE(ArtifactsInput!$N$33+1,30,36,42,48,54,60),0))+(IF(AND(ArtifactsInput!$M$35,Inputs!$B$4&lt;&gt;"Chapter Hunt"),CHOOSE(ArtifactsInput!$N$35+1,15,18,21,24,27,30)*(1-EXP(-(0.2*B564)*5)),0)+IF(AND(ArtifactsInput!$M$22,Inputs!$B$4&lt;&gt;"Chapter Hunt"),CHOOSE(ArtifactsInput!$N$22+1,10,12,14,16,18,20)*((0*(((0.15*B564*5))^0/1)+1*(((0.15*B564*5))^1/1)+2*(((0.15*B564*5))^2/2)+3*(((0.15*B564*5))^3/6)+4*(((0.15*B564*5))^4/24)+5*(((0.15*B564*5))^5/120))/((((0.15*B564*5))^0/1)+(((0.15*B564*5))^1/1)+(((0.15*B564*5))^2/2)+(((0.15*B564*5))^3/6)+(((0.15*B564*5))^4/24)+(((0.15*B564*5))^5/120))),0))+IF(Inputs!$B$3&gt;=54,9*(C534=TRUE)*MIN(1,8*(1+Inputs!$B$34/100)*Q534),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41">
      <c r="A541">
        <f>Skills!A10</f>
        <v/>
      </c>
      <c r="B541">
        <f>Skills!B10</f>
        <v/>
      </c>
      <c r="C541">
        <f>Inputs!$B$3&gt;=113</f>
        <v/>
      </c>
      <c r="D541">
        <f>IF(Skills!C10=1,60+Inputs!$B$25+Inputs!$B$29,IF(Skills!C10=2,90+Inputs!$B$26+Inputs!$B$29,IF(Skills!C10=3,120+Inputs!$B$27+Inputs!$B$29,MAX(0,(Inputs!$B$3-100)*3)+Inputs!$B$28+Inputs!$B$29)))</f>
        <v/>
      </c>
      <c r="E541">
        <f>INDEX(FactorTable!$B$2:$Y$301, MATCH(ROUND(MIN(300,MAX(1,D541)),0), FactorTable!$A$2:$A$301,0), Skills!M10+1)</f>
        <v/>
      </c>
      <c r="F541">
        <f>IF(Skills!N10=TRUE,(Skills!L10/10)*(E541/1000),Skills!L10/10)+Skills!O10</f>
        <v/>
      </c>
      <c r="G541">
        <f>Skills!G10*IF(Skills!H10&gt;0,INT(IF(Inputs!$B$38="pvp",MIN(Skills!I10,15),Skills!I10)/Skills!H10+0.000000001),1)</f>
        <v/>
      </c>
      <c r="H541">
        <f>1-(1-Skills!J10/100)^Skills!K10</f>
        <v/>
      </c>
      <c r="I541" t="inlineStr">
        <is>
          <t>1</t>
        </is>
      </c>
      <c r="J541">
        <f>((Inputs!$B$6*(1+Inputs!$B$7/100))+(((Inputs!$B$12*(1+Inputs!$B$13/100))-(Inputs!$B$12*(1+Inputs!$B$13/100)))+0.25*(Inputs!$B$14-Inputs!$B$14))*(1+Inputs!$B$7/100))*(F541/100)</f>
        <v/>
      </c>
      <c r="K541">
        <f>J541*(1+((Inputs!$B$12*(1+Inputs!$B$13/100))*0.01+Inputs!$B$14*0.0025)/100)*(1+Inputs!$B$15/100)*(1+Inputs!$B$16/100)*(5000/(6000+Inputs!$B$42*(1-(100*(1-(1-(Inputs!$B$19+0)/100)*(1-CHOOSE(ArtifactsInput!$N$40+1,5,6,7,8,9,10)/100)^(ArtifactsInput!$M$40-ArtifactsInput!$M$40)))/100)))*(1+(Inputs!$B$24+((C557=TRUE)*(F557-Calc!F26))+B568)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IGHT_LEGS_EASTON",Inputs!$B$17+((C554=TRUE)*(F554-Calc!F23))+((C558=TRUE)*(F558-Calc!F27))+((IF(AND(Inputs!$B$38&lt;&gt;"pvp",Inputs!$B$43=0),1,IF(IF(Inputs!$B$38="pvp",15,Inputs!$B$43)-(B569)&lt;=0,1,MAX(0,IF(Inputs!$B$38="pvp",15,Inputs!$B$43)-MAX(5,B569))/(IF(Inputs!$B$38="pvp",15,Inputs!$B$43)-(B569))))*(IF(AND(ArtifactsInput!$M$42,(((Inputs!$B$9+1)+((C550=TRUE)*(F550-Calc!F19))+B562+(ArtifactsInput!$M$24-ArtifactsInput!$M$24)*CHOOSE(ArtifactsInput!$N$24+1,10,12,14,16,18,20)+IF(ArtifactsInput!$M$10,CHOOSE(ArtifactsInput!$N$10+1,15,18,21,24,27,30)*(IF(Inputs!$B$38="pvp",MIN(15,15)/15,IF(AND(Inputs!$B$38&lt;&gt;"pvp",Inputs!$B$43&gt;0),MIN(15,Inputs!$B$43)/(Inputs!$B$43),0))),0)))&gt;=100),MIN(100,(((Inputs!$B$9+1)+((C550=TRUE)*(F550-Calc!F19))+B562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569)&lt;=0,1,MAX(0,IF(Inputs!$B$38="pvp",15,Inputs!$B$43)-MAX(5,B569))/(IF(Inputs!$B$38="pvp",15,Inputs!$B$43)-(B569))))*IF(AND(ArtifactsInput!$M$42,(((Inputs!$B$9+1)+((C550=TRUE)*(F550-Calc!F19))+B562+(ArtifactsInput!$M$24-ArtifactsInput!$M$24)*CHOOSE(ArtifactsInput!$N$24+1,10,12,14,16,18,20)+IF(ArtifactsInput!$M$10,CHOOSE(ArtifactsInput!$N$10+1,15,18,21,24,27,30)*(IF(Inputs!$B$38="pvp",MIN(15,15)/15,IF(AND(Inputs!$B$38&lt;&gt;"pvp",Inputs!$B$43&gt;0),MIN(15,Inputs!$B$43)/(Inputs!$B$43),0))),0)))&gt;=100),CHOOSE(ArtifactsInput!$N$42+1,40,48,56,64,72,80),0))))/100)*((1+(((C548=TRUE)*F548*5/7)+((C555=TRUE)*(F555-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541)</f>
        <v/>
      </c>
      <c r="L541">
        <f>K541*(MIN(Inputs!$B$22+((C553=TRUE)*(F553-Calc!F22)),(Inputs!$B$23+0+(IF(ArtifactsInput!$M$15,CHOOSE(ArtifactsInput!$N$15+1,25,30,35,40,45,50)/100*(Inputs!$B$11-Inputs!$B$11),0))))/100+(Inputs!$B$23+0+(IF(ArtifactsInput!$M$15,CHOOSE(ArtifactsInput!$N$15+1,25,30,35,40,45,50)/100*(Inputs!$B$11-Inputs!$B$11),0)))/100)/2</f>
        <v/>
      </c>
      <c r="M541">
        <f>L541*(1+(Inputs!$B$10+((C556=TRUE)*(F556-Calc!F25))+B567+(IF(ArtifactsInput!$M$24,CHOOSE(ArtifactsInput!$N$24+1,30,36,42,48,54,60)/100*((Inputs!$B$9+1)-Inputs!$B$9),0)+IF(ArtifactsInput!$M$10,CHOOSE(ArtifactsInput!$N$10+1,20,24,28,32,36,40)*(IF(Inputs!$B$38="pvp",MIN(15,15)/15,IF(AND(Inputs!$B$38&lt;&gt;"pvp",Inputs!$B$43&gt;0),MIN(15,Inputs!$B$43)/(Inputs!$B$43),0))),0)+IF(ArtifactsInput!$M$31,1.5*CHOOSE(ArtifactsInput!$N$31+1,20,24,28,32,36,40),0)))/100)</f>
        <v/>
      </c>
      <c r="N541">
        <f>L541*(1-MIN(((Inputs!$B$9+1)+((C550=TRUE)*(F550-Calc!F19))+B562+(ArtifactsInput!$M$24-ArtifactsInput!$M$24)*CHOOSE(ArtifactsInput!$N$24+1,10,12,14,16,18,20)+(IF(AND(Inputs!$B$38&lt;&gt;"pvp",Inputs!$B$43=0),1,IF(IF(Inputs!$B$38="pvp",15,Inputs!$B$43)-(B569)&lt;=0,1,MAX(0,IF(Inputs!$B$38="pvp",15,Inputs!$B$43)-MAX(5,B569))/(IF(Inputs!$B$38="pvp",15,Inputs!$B$43)-(B569))))*IF(AND(ArtifactsInput!$M$42,(((Inputs!$B$9+1)+((C550=TRUE)*(F550-Calc!F19))+B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541*(MIN(((Inputs!$B$9+1)+((C550=TRUE)*(F550-Calc!F19))+B562+(ArtifactsInput!$M$24-ArtifactsInput!$M$24)*CHOOSE(ArtifactsInput!$N$24+1,10,12,14,16,18,20)+(IF(AND(Inputs!$B$38&lt;&gt;"pvp",Inputs!$B$43=0),1,IF(IF(Inputs!$B$38="pvp",15,Inputs!$B$43)-(B569)&lt;=0,1,MAX(0,IF(Inputs!$B$38="pvp",15,Inputs!$B$43)-MAX(5,B569))/(IF(Inputs!$B$38="pvp",15,Inputs!$B$43)-(B569))))*IF(AND(ArtifactsInput!$M$42,(((Inputs!$B$9+1)+((C550=TRUE)*(F550-Calc!F19))+B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41">
        <f>(1-Summary!$B$11)*T541+Summary!$B$11*V541</f>
        <v/>
      </c>
      <c r="P541">
        <f>IF(B572=0,0,O541/B572)</f>
        <v/>
      </c>
      <c r="Q541" t="n">
        <v>0</v>
      </c>
      <c r="R541" t="n">
        <v>0</v>
      </c>
      <c r="S541">
        <f>IFERROR(O541/N541,0)</f>
        <v/>
      </c>
      <c r="T541">
        <f>IF(C541,((H541*B574)/(1+Skills!H10*H541*B574)*N541)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Hunt"),CHOOSE(ArtifactsInput!$N$35+1,15,18,21,24,27,30)*(1-EXP(-(0.2*B564)*5)),0)+IF(AND(ArtifactsInput!$M$22,Inputs!$B$4&lt;&gt;"Chapter Hunt"),CHOOSE(ArtifactsInput!$N$22+1,10,12,14,16,18,20)*((0*(((0.15*B564*5))^0/1)+1*(((0.15*B564*5))^1/1)+2*(((0.15*B564*5))^2/2)+3*(((0.15*B564*5))^3/6)+4*(((0.15*B564*5))^4/24)+5*(((0.15*B564*5))^5/120))/((((0.15*B564*5))^0/1)+(((0.15*B564*5))^1/1)+(((0.15*B564*5))^2/2)+(((0.15*B564*5))^3/6)+(((0.15*B564*5))^4/24)+(((0.15*B564*5))^5/120))),0))+IF(Inputs!$B$3&gt;=54,9*(C534=TRUE)*MIN(1,8*(1+Inputs!$B$34/100)*Q534)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541*(1-MIN(100,((Inputs!$B$9+1)+((C550=TRUE)*(F550-Calc!F19))+B562+(ArtifactsInput!$M$24-ArtifactsInput!$M$24)*CHOOSE(ArtifactsInput!$N$24+1,10,12,14,16,18,20)+(IF(AND(Inputs!$B$38&lt;&gt;"pvp",Inputs!$B$43=0),1,IF(IF(Inputs!$B$38="pvp",15,Inputs!$B$43)-(B569)&lt;=0,1,MAX(0,IF(Inputs!$B$38="pvp",15,Inputs!$B$43)-MAX(5,B569))/(IF(Inputs!$B$38="pvp",15,Inputs!$B$43)-(B569))))*IF(AND(ArtifactsInput!$M$42,(((Inputs!$B$9+1)+((C550=TRUE)*(F550-Calc!F19))+B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541*(MIN(100,((Inputs!$B$9+1)+((C550=TRUE)*(F550-Calc!F19))+B562+(ArtifactsInput!$M$24-ArtifactsInput!$M$24)*CHOOSE(ArtifactsInput!$N$24+1,10,12,14,16,18,20)+(IF(AND(Inputs!$B$38&lt;&gt;"pvp",Inputs!$B$43=0),1,IF(IF(Inputs!$B$38="pvp",15,Inputs!$B$43)-(B569)&lt;=0,1,MAX(0,IF(Inputs!$B$38="pvp",15,Inputs!$B$43)-MAX(5,B569))/(IF(Inputs!$B$38="pvp",15,Inputs!$B$43)-(B569))))*IF(AND(ArtifactsInput!$M$42,(((Inputs!$B$9+1)+((C550=TRUE)*(F550-Calc!F19))+B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541*(1-MIN(100,((Inputs!$B$9+1)+((C550=TRUE)*(F550-Calc!F19))+B562+(ArtifactsInput!$M$24-ArtifactsInput!$M$24)*CHOOSE(ArtifactsInput!$N$24+1,10,12,14,16,18,20)+(IF(AND(Inputs!$B$38&lt;&gt;"pvp",Inputs!$B$43=0),1,IF(IF(Inputs!$B$38="pvp",15,Inputs!$B$43)-(B569)&lt;=0,1,MAX(0,IF(Inputs!$B$38="pvp",15,Inputs!$B$43)-MAX(5,B569))/(IF(Inputs!$B$38="pvp",15,Inputs!$B$43)-(B569))))*IF(AND(ArtifactsInput!$M$42,(((Inputs!$B$9+1)+((C550=TRUE)*(F550-Calc!F19))+B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541*(MIN(100,((Inputs!$B$9+1)+((C550=TRUE)*(F550-Calc!F19))+B562+(ArtifactsInput!$M$24-ArtifactsInput!$M$24)*CHOOSE(ArtifactsInput!$N$24+1,10,12,14,16,18,20)+(IF(AND(Inputs!$B$38&lt;&gt;"pvp",Inputs!$B$43=0),1,IF(IF(Inputs!$B$38="pvp",15,Inputs!$B$43)-(B569)&lt;=0,1,MAX(0,IF(Inputs!$B$38="pvp",15,Inputs!$B$43)-MAX(5,B569))/(IF(Inputs!$B$38="pvp",15,Inputs!$B$43)-(B569))))*IF(AND(ArtifactsInput!$M$42,(((Inputs!$B$9+1)+((C550=TRUE)*(F550-Calc!F19))+B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541">
        <f>IF(C541,((H541*B574)/(1+Skills!H10*H541*B574)*N541)*IF(Inputs!$B$38="pvp",1,(1+(Inputs!$B$21+Skills!Q10+(IF(ArtifactsInput!$M$33,CHOOSE(ArtifactsInput!$N$33+1,30,36,42,48,54,60),0))+(IF(AND(ArtifactsInput!$M$35,Inputs!$B$4&lt;&gt;"Chapter Hunt"),CHOOSE(ArtifactsInput!$N$35+1,15,18,21,24,27,30)*(1-EXP(-(0.2*B564)*5)),0)+IF(AND(ArtifactsInput!$M$22,Inputs!$B$4&lt;&gt;"Chapter Hunt"),CHOOSE(ArtifactsInput!$N$22+1,10,12,14,16,18,20)*((0*(((0.15*B564*5))^0/1)+1*(((0.15*B564*5))^1/1)+2*(((0.15*B564*5))^2/2)+3*(((0.15*B564*5))^3/6)+4*(((0.15*B564*5))^4/24)+5*(((0.15*B564*5))^5/120))/((((0.15*B564*5))^0/1)+(((0.15*B564*5))^1/1)+(((0.15*B564*5))^2/2)+(((0.15*B564*5))^3/6)+(((0.15*B564*5))^4/24)+(((0.15*B564*5))^5/120))),0))+IF(Inputs!$B$3&gt;=54,9*(C534=TRUE)*MIN(1,8*(1+Inputs!$B$34/100)*Q534),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42">
      <c r="A542">
        <f>Skills!A11</f>
        <v/>
      </c>
      <c r="B542">
        <f>Skills!B11</f>
        <v/>
      </c>
      <c r="C542">
        <f>Inputs!$B$3&gt;=117</f>
        <v/>
      </c>
      <c r="D542">
        <f>IF(Skills!C11=1,60+Inputs!$B$25+Inputs!$B$29,IF(Skills!C11=2,90+Inputs!$B$26+Inputs!$B$29,IF(Skills!C11=3,120+Inputs!$B$27+Inputs!$B$29,MAX(0,(Inputs!$B$3-100)*3)+Inputs!$B$28+Inputs!$B$29)))</f>
        <v/>
      </c>
      <c r="E542">
        <f>INDEX(FactorTable!$B$2:$Y$301, MATCH(ROUND(MIN(300,MAX(1,D542)),0), FactorTable!$A$2:$A$301,0), Skills!M11+1)</f>
        <v/>
      </c>
      <c r="F542">
        <f>IF(Skills!N11=TRUE,(Skills!L11/10)*(E542/1000),Skills!L11/10)+Skills!O11</f>
        <v/>
      </c>
      <c r="G542">
        <f>Skills!G11*IF(Skills!H11&gt;0,INT(IF(Inputs!$B$38="pvp",MIN(Skills!I11,15),Skills!I11)/Skills!H11+0.000000001),1)</f>
        <v/>
      </c>
      <c r="H542">
        <f>1-(1-Skills!J11/100)^Skills!K11</f>
        <v/>
      </c>
      <c r="I542" t="inlineStr">
        <is>
          <t>1</t>
        </is>
      </c>
      <c r="J542">
        <f>((Inputs!$B$6*(1+Inputs!$B$7/100))+(((Inputs!$B$12*(1+Inputs!$B$13/100))-(Inputs!$B$12*(1+Inputs!$B$13/100)))+0.25*(Inputs!$B$14-Inputs!$B$14))*(1+Inputs!$B$7/100))*(F542/100)</f>
        <v/>
      </c>
      <c r="K542">
        <f>J542*(1+((Inputs!$B$12*(1+Inputs!$B$13/100))*0.01+Inputs!$B$14*0.0025)/100)*(1+Inputs!$B$15/100)*(1+Inputs!$B$16/100)*(5000/(6000+Inputs!$B$42*(1-(100*(1-(1-(Inputs!$B$19+0)/100)*(1-CHOOSE(ArtifactsInput!$N$40+1,5,6,7,8,9,10)/100)^(ArtifactsInput!$M$40-ArtifactsInput!$M$40)))/100)))*(1+(Inputs!$B$24+((C557=TRUE)*(F557-Calc!F26))+B568)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IGHT_LEGS_EASTON",Inputs!$B$17+((C554=TRUE)*(F554-Calc!F23))+((C558=TRUE)*(F558-Calc!F27))+((IF(AND(Inputs!$B$38&lt;&gt;"pvp",Inputs!$B$43=0),1,IF(IF(Inputs!$B$38="pvp",15,Inputs!$B$43)-(B569)&lt;=0,1,MAX(0,IF(Inputs!$B$38="pvp",15,Inputs!$B$43)-MAX(5,B569))/(IF(Inputs!$B$38="pvp",15,Inputs!$B$43)-(B569))))*(IF(AND(ArtifactsInput!$M$42,(((Inputs!$B$9+1)+((C550=TRUE)*(F550-Calc!F19))+B562+(ArtifactsInput!$M$24-ArtifactsInput!$M$24)*CHOOSE(ArtifactsInput!$N$24+1,10,12,14,16,18,20)+IF(ArtifactsInput!$M$10,CHOOSE(ArtifactsInput!$N$10+1,15,18,21,24,27,30)*(IF(Inputs!$B$38="pvp",MIN(15,15)/15,IF(AND(Inputs!$B$38&lt;&gt;"pvp",Inputs!$B$43&gt;0),MIN(15,Inputs!$B$43)/(Inputs!$B$43),0))),0)))&gt;=100),MIN(100,(((Inputs!$B$9+1)+((C550=TRUE)*(F550-Calc!F19))+B562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569)&lt;=0,1,MAX(0,IF(Inputs!$B$38="pvp",15,Inputs!$B$43)-MAX(5,B569))/(IF(Inputs!$B$38="pvp",15,Inputs!$B$43)-(B569))))*IF(AND(ArtifactsInput!$M$42,(((Inputs!$B$9+1)+((C550=TRUE)*(F550-Calc!F19))+B562+(ArtifactsInput!$M$24-ArtifactsInput!$M$24)*CHOOSE(ArtifactsInput!$N$24+1,10,12,14,16,18,20)+IF(ArtifactsInput!$M$10,CHOOSE(ArtifactsInput!$N$10+1,15,18,21,24,27,30)*(IF(Inputs!$B$38="pvp",MIN(15,15)/15,IF(AND(Inputs!$B$38&lt;&gt;"pvp",Inputs!$B$43&gt;0),MIN(15,Inputs!$B$43)/(Inputs!$B$43),0))),0)))&gt;=100),CHOOSE(ArtifactsInput!$N$42+1,40,48,56,64,72,80),0))))/100)*((1+(((C548=TRUE)*F548*5/7)+((C555=TRUE)*(F555-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542)</f>
        <v/>
      </c>
      <c r="L542">
        <f>K542*(MIN(Inputs!$B$22+((C553=TRUE)*(F553-Calc!F22)),(Inputs!$B$23+0+(IF(ArtifactsInput!$M$15,CHOOSE(ArtifactsInput!$N$15+1,25,30,35,40,45,50)/100*(Inputs!$B$11-Inputs!$B$11),0))))/100+(Inputs!$B$23+0+(IF(ArtifactsInput!$M$15,CHOOSE(ArtifactsInput!$N$15+1,25,30,35,40,45,50)/100*(Inputs!$B$11-Inputs!$B$11),0)))/100)/2</f>
        <v/>
      </c>
      <c r="M542">
        <f>L542*(1+(Inputs!$B$10+((C556=TRUE)*(F556-Calc!F25))+B567+(IF(ArtifactsInput!$M$24,CHOOSE(ArtifactsInput!$N$24+1,30,36,42,48,54,60)/100*((Inputs!$B$9+1)-Inputs!$B$9),0)+IF(ArtifactsInput!$M$10,CHOOSE(ArtifactsInput!$N$10+1,20,24,28,32,36,40)*(IF(Inputs!$B$38="pvp",MIN(15,15)/15,IF(AND(Inputs!$B$38&lt;&gt;"pvp",Inputs!$B$43&gt;0),MIN(15,Inputs!$B$43)/(Inputs!$B$43),0))),0)+IF(ArtifactsInput!$M$31,1.5*CHOOSE(ArtifactsInput!$N$31+1,20,24,28,32,36,40),0)))/100)</f>
        <v/>
      </c>
      <c r="N542">
        <f>L542*(1-MIN(((Inputs!$B$9+1)+((C550=TRUE)*(F550-Calc!F19))+B562+(ArtifactsInput!$M$24-ArtifactsInput!$M$24)*CHOOSE(ArtifactsInput!$N$24+1,10,12,14,16,18,20)+(IF(AND(Inputs!$B$38&lt;&gt;"pvp",Inputs!$B$43=0),1,IF(IF(Inputs!$B$38="pvp",15,Inputs!$B$43)-(B569)&lt;=0,1,MAX(0,IF(Inputs!$B$38="pvp",15,Inputs!$B$43)-MAX(5,B569))/(IF(Inputs!$B$38="pvp",15,Inputs!$B$43)-(B569))))*IF(AND(ArtifactsInput!$M$42,(((Inputs!$B$9+1)+((C550=TRUE)*(F550-Calc!F19))+B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542*(MIN(((Inputs!$B$9+1)+((C550=TRUE)*(F550-Calc!F19))+B562+(ArtifactsInput!$M$24-ArtifactsInput!$M$24)*CHOOSE(ArtifactsInput!$N$24+1,10,12,14,16,18,20)+(IF(AND(Inputs!$B$38&lt;&gt;"pvp",Inputs!$B$43=0),1,IF(IF(Inputs!$B$38="pvp",15,Inputs!$B$43)-(B569)&lt;=0,1,MAX(0,IF(Inputs!$B$38="pvp",15,Inputs!$B$43)-MAX(5,B569))/(IF(Inputs!$B$38="pvp",15,Inputs!$B$43)-(B569))))*IF(AND(ArtifactsInput!$M$42,(((Inputs!$B$9+1)+((C550=TRUE)*(F550-Calc!F19))+B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42">
        <f>(1-Summary!$B$11)*T542+Summary!$B$11*V542</f>
        <v/>
      </c>
      <c r="P542">
        <f>IF(B572=0,0,O542/B572)</f>
        <v/>
      </c>
      <c r="Q542">
        <f>IFERROR(1/((IF(Inputs!$B$38="pvp",15,MAX(0.1,Skills!D11-IF(TRUE=TRUE,Inputs!$B$32,0)))*(1-IF(AND(ArtifactsInput!$M$27,Inputs!$B$4="Chapter Hunt"),CHOOSE(ArtifactsInput!$N$27+1,20,24,28,32,36,40),0)/100))/B573),0)</f>
        <v/>
      </c>
      <c r="R542">
        <f>IF(AND(Inputs!$B$38&lt;&gt;"pvp",Inputs!$B$43&gt;0),IF(MAX(0,Inputs!$B$43-B569)&lt;=0,0,(INT(MAX(0,Inputs!$B$43-B569)/((IF(Inputs!$B$38="pvp",15,MAX(0.1,Skills!D11-IF(TRUE=TRUE,Inputs!$B$32,0)))*(1-IF(AND(ArtifactsInput!$M$27,Inputs!$B$4="Chapter Hunt"),CHOOSE(ArtifactsInput!$N$27+1,20,24,28,32,36,40),0)/100))/B573))+1)),0)</f>
        <v/>
      </c>
      <c r="S542">
        <f>IFERROR(O542/N542,0)</f>
        <v/>
      </c>
      <c r="T542">
        <f>IF(C542,(H542*N542*IF(AND(Inputs!$B$38&lt;&gt;"pvp",Inputs!$B$43&gt;0),((Skills!G11*((R542-1)*IF(Skills!H11&gt;0,INT(Skills!I11/Skills!H11+0.000000001),1)+IF(Skills!H11&gt;0,INT(MIN(Skills!I11,MAX(0,MAX(0,Inputs!$B$43-B569)-((R542-1)*((IF(Inputs!$B$38="pvp",15,MAX(0.1,Skills!D11-IF(TRUE=TRUE,Inputs!$B$32,0)))*(1-IF(AND(ArtifactsInput!$M$27,Inputs!$B$4="Chapter Hunt"),CHOOSE(ArtifactsInput!$N$27+1,20,24,28,32,36,40),0)/100))/B573))))/Skills!H11+0.000000001),1)))/Inputs!$B$43),G542*Q542)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Hunt"),CHOOSE(ArtifactsInput!$N$35+1,15,18,21,24,27,30)*(1-EXP(-(0.2*B564)*5)),0)+IF(AND(ArtifactsInput!$M$22,Inputs!$B$4&lt;&gt;"Chapter Hunt"),CHOOSE(ArtifactsInput!$N$22+1,10,12,14,16,18,20)*((0*(((0.15*B564*5))^0/1)+1*(((0.15*B564*5))^1/1)+2*(((0.15*B564*5))^2/2)+3*(((0.15*B564*5))^3/6)+4*(((0.15*B564*5))^4/24)+5*(((0.15*B564*5))^5/120))/((((0.15*B564*5))^0/1)+(((0.15*B564*5))^1/1)+(((0.15*B564*5))^2/2)+(((0.15*B564*5))^3/6)+(((0.15*B564*5))^4/24)+(((0.15*B564*5))^5/120))),0))+IF(Inputs!$B$3&gt;=54,9*(C534=TRUE)*MIN(1,8*(1+Inputs!$B$34/100)*Q534)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542*(1-MIN(100,((Inputs!$B$9+1)+((C550=TRUE)*(F550-Calc!F19))+B562+(ArtifactsInput!$M$24-ArtifactsInput!$M$24)*CHOOSE(ArtifactsInput!$N$24+1,10,12,14,16,18,20)+(IF(AND(Inputs!$B$38&lt;&gt;"pvp",Inputs!$B$43=0),1,IF(IF(Inputs!$B$38="pvp",15,Inputs!$B$43)-(B569)&lt;=0,1,MAX(0,IF(Inputs!$B$38="pvp",15,Inputs!$B$43)-MAX(5,B569))/(IF(Inputs!$B$38="pvp",15,Inputs!$B$43)-(B569))))*IF(AND(ArtifactsInput!$M$42,(((Inputs!$B$9+1)+((C550=TRUE)*(F550-Calc!F19))+B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542*(MIN(100,((Inputs!$B$9+1)+((C550=TRUE)*(F550-Calc!F19))+B562+(ArtifactsInput!$M$24-ArtifactsInput!$M$24)*CHOOSE(ArtifactsInput!$N$24+1,10,12,14,16,18,20)+(IF(AND(Inputs!$B$38&lt;&gt;"pvp",Inputs!$B$43=0),1,IF(IF(Inputs!$B$38="pvp",15,Inputs!$B$43)-(B569)&lt;=0,1,MAX(0,IF(Inputs!$B$38="pvp",15,Inputs!$B$43)-MAX(5,B569))/(IF(Inputs!$B$38="pvp",15,Inputs!$B$43)-(B569))))*IF(AND(ArtifactsInput!$M$42,(((Inputs!$B$9+1)+((C550=TRUE)*(F550-Calc!F19))+B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542*(1-MIN(100,((Inputs!$B$9+1)+((C550=TRUE)*(F550-Calc!F19))+B562+(ArtifactsInput!$M$24-ArtifactsInput!$M$24)*CHOOSE(ArtifactsInput!$N$24+1,10,12,14,16,18,20)+(IF(AND(Inputs!$B$38&lt;&gt;"pvp",Inputs!$B$43=0),1,IF(IF(Inputs!$B$38="pvp",15,Inputs!$B$43)-(B569)&lt;=0,1,MAX(0,IF(Inputs!$B$38="pvp",15,Inputs!$B$43)-MAX(5,B569))/(IF(Inputs!$B$38="pvp",15,Inputs!$B$43)-(B569))))*IF(AND(ArtifactsInput!$M$42,(((Inputs!$B$9+1)+((C550=TRUE)*(F550-Calc!F19))+B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542*(MIN(100,((Inputs!$B$9+1)+((C550=TRUE)*(F550-Calc!F19))+B562+(ArtifactsInput!$M$24-ArtifactsInput!$M$24)*CHOOSE(ArtifactsInput!$N$24+1,10,12,14,16,18,20)+(IF(AND(Inputs!$B$38&lt;&gt;"pvp",Inputs!$B$43=0),1,IF(IF(Inputs!$B$38="pvp",15,Inputs!$B$43)-(B569)&lt;=0,1,MAX(0,IF(Inputs!$B$38="pvp",15,Inputs!$B$43)-MAX(5,B569))/(IF(Inputs!$B$38="pvp",15,Inputs!$B$43)-(B569))))*IF(AND(ArtifactsInput!$M$42,(((Inputs!$B$9+1)+((C550=TRUE)*(F550-Calc!F19))+B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542">
        <f>IF(C542,(H542*N542*IF(AND(Inputs!$B$38&lt;&gt;"pvp",Inputs!$B$43&gt;0),((Skills!G11*((R542-1)*IF(Skills!H11&gt;0,INT(Skills!I11/Skills!H11+0.000000001),1)+IF(Skills!H11&gt;0,INT(MIN(Skills!I11,MAX(0,MAX(0,Inputs!$B$43-B569)-((R542-1)*((IF(Inputs!$B$38="pvp",15,MAX(0.1,Skills!D11-IF(TRUE=TRUE,Inputs!$B$32,0)))*(1-IF(AND(ArtifactsInput!$M$27,Inputs!$B$4="Chapter Hunt"),CHOOSE(ArtifactsInput!$N$27+1,20,24,28,32,36,40),0)/100))/B573))))/Skills!H11+0.000000001),1)))/Inputs!$B$43),G542*Q542))*IF(Inputs!$B$38="pvp",1,(1+(Inputs!$B$21+Skills!Q11+(IF(ArtifactsInput!$M$33,CHOOSE(ArtifactsInput!$N$33+1,30,36,42,48,54,60),0))+(IF(AND(ArtifactsInput!$M$35,Inputs!$B$4&lt;&gt;"Chapter Hunt"),CHOOSE(ArtifactsInput!$N$35+1,15,18,21,24,27,30)*(1-EXP(-(0.2*B564)*5)),0)+IF(AND(ArtifactsInput!$M$22,Inputs!$B$4&lt;&gt;"Chapter Hunt"),CHOOSE(ArtifactsInput!$N$22+1,10,12,14,16,18,20)*((0*(((0.15*B564*5))^0/1)+1*(((0.15*B564*5))^1/1)+2*(((0.15*B564*5))^2/2)+3*(((0.15*B564*5))^3/6)+4*(((0.15*B564*5))^4/24)+5*(((0.15*B564*5))^5/120))/((((0.15*B564*5))^0/1)+(((0.15*B564*5))^1/1)+(((0.15*B564*5))^2/2)+(((0.15*B564*5))^3/6)+(((0.15*B564*5))^4/24)+(((0.15*B564*5))^5/120))),0))+IF(Inputs!$B$3&gt;=54,9*(C534=TRUE)*MIN(1,8*(1+Inputs!$B$34/100)*Q534),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43">
      <c r="A543">
        <f>Skills!A12</f>
        <v/>
      </c>
      <c r="B543">
        <f>Skills!B12</f>
        <v/>
      </c>
      <c r="C543">
        <f>Inputs!$B$3&gt;=110</f>
        <v/>
      </c>
      <c r="D543">
        <f>IF(Skills!C12=1,60+Inputs!$B$25+Inputs!$B$29,IF(Skills!C12=2,90+Inputs!$B$26+Inputs!$B$29,IF(Skills!C12=3,120+Inputs!$B$27+Inputs!$B$29,MAX(0,(Inputs!$B$3-100)*3)+Inputs!$B$28+Inputs!$B$29)))</f>
        <v/>
      </c>
      <c r="E543">
        <f>INDEX(FactorTable!$B$2:$Y$301, MATCH(ROUND(MIN(300,MAX(1,D543)),0), FactorTable!$A$2:$A$301,0), Skills!M12+1)</f>
        <v/>
      </c>
      <c r="F543">
        <f>IF(Skills!N12=TRUE,(Skills!L12/10)*(E543/1000),Skills!L12/10)+Skills!O12</f>
        <v/>
      </c>
      <c r="G543">
        <f>Skills!G12*IF(Skills!H12&gt;0,INT(IF(Inputs!$B$38="pvp",MIN(Skills!I12,15),Skills!I12)/Skills!H12+0.000000001),1)</f>
        <v/>
      </c>
      <c r="H543">
        <f>1-(1-Skills!J12/100)^Skills!K12</f>
        <v/>
      </c>
      <c r="I543" t="inlineStr">
        <is>
          <t>1</t>
        </is>
      </c>
      <c r="J543">
        <f>((Inputs!$B$6*(1+Inputs!$B$7/100))+(((Inputs!$B$12*(1+Inputs!$B$13/100))-(Inputs!$B$12*(1+Inputs!$B$13/100)))+0.25*(Inputs!$B$14-Inputs!$B$14))*(1+Inputs!$B$7/100))*(F543/100)</f>
        <v/>
      </c>
      <c r="K543">
        <f>J543*(1+((Inputs!$B$12*(1+Inputs!$B$13/100))*0.01+Inputs!$B$14*0.0025)/100)*(1+Inputs!$B$15/100)*(1+Inputs!$B$16/100)*(5000/(6000+Inputs!$B$42*(1-(100*(1-(1-(Inputs!$B$19+0)/100)*(1-CHOOSE(ArtifactsInput!$N$40+1,5,6,7,8,9,10)/100)^(ArtifactsInput!$M$40-ArtifactsInput!$M$40)))/100)))*(1+(Inputs!$B$24+((C557=TRUE)*(F557-Calc!F26))+B568)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EIGHT_LEGS_EASTON",Inputs!$B$17+((C554=TRUE)*(F554-Calc!F23))+((C558=TRUE)*(F558-Calc!F27))+((IF(AND(Inputs!$B$38&lt;&gt;"pvp",Inputs!$B$43=0),1,IF(IF(Inputs!$B$38="pvp",15,Inputs!$B$43)-(B569)&lt;=0,1,MAX(0,IF(Inputs!$B$38="pvp",15,Inputs!$B$43)-MAX(5,B569))/(IF(Inputs!$B$38="pvp",15,Inputs!$B$43)-(B569))))*(IF(AND(ArtifactsInput!$M$42,(((Inputs!$B$9+1)+((C550=TRUE)*(F550-Calc!F19))+B562+(ArtifactsInput!$M$24-ArtifactsInput!$M$24)*CHOOSE(ArtifactsInput!$N$24+1,10,12,14,16,18,20)+IF(ArtifactsInput!$M$10,CHOOSE(ArtifactsInput!$N$10+1,15,18,21,24,27,30)*(IF(Inputs!$B$38="pvp",MIN(15,15)/15,IF(AND(Inputs!$B$38&lt;&gt;"pvp",Inputs!$B$43&gt;0),MIN(15,Inputs!$B$43)/(Inputs!$B$43),0))),0)))&gt;=100),MIN(100,(((Inputs!$B$9+1)+((C550=TRUE)*(F550-Calc!F19))+B562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569)&lt;=0,1,MAX(0,IF(Inputs!$B$38="pvp",15,Inputs!$B$43)-MAX(5,B569))/(IF(Inputs!$B$38="pvp",15,Inputs!$B$43)-(B569))))*IF(AND(ArtifactsInput!$M$42,(((Inputs!$B$9+1)+((C550=TRUE)*(F550-Calc!F19))+B562+(ArtifactsInput!$M$24-ArtifactsInput!$M$24)*CHOOSE(ArtifactsInput!$N$24+1,10,12,14,16,18,20)+IF(ArtifactsInput!$M$10,CHOOSE(ArtifactsInput!$N$10+1,15,18,21,24,27,30)*(IF(Inputs!$B$38="pvp",MIN(15,15)/15,IF(AND(Inputs!$B$38&lt;&gt;"pvp",Inputs!$B$43&gt;0),MIN(15,Inputs!$B$43)/(Inputs!$B$43),0))),0)))&gt;=100),CHOOSE(ArtifactsInput!$N$42+1,40,48,56,64,72,80),0))))/100)*((1+(((C548=TRUE)*F548*5/7)+((C555=TRUE)*(F555-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543)</f>
        <v/>
      </c>
      <c r="L543">
        <f>K543*(MIN(Inputs!$B$22+((C553=TRUE)*(F553-Calc!F22)),(Inputs!$B$23+0+(IF(ArtifactsInput!$M$15,CHOOSE(ArtifactsInput!$N$15+1,25,30,35,40,45,50)/100*(Inputs!$B$11-Inputs!$B$11),0))))/100+(Inputs!$B$23+0+(IF(ArtifactsInput!$M$15,CHOOSE(ArtifactsInput!$N$15+1,25,30,35,40,45,50)/100*(Inputs!$B$11-Inputs!$B$11),0)))/100)/2</f>
        <v/>
      </c>
      <c r="M543">
        <f>L543*(1+(Inputs!$B$10+((C556=TRUE)*(F556-Calc!F25))+B567+(IF(ArtifactsInput!$M$24,CHOOSE(ArtifactsInput!$N$24+1,30,36,42,48,54,60)/100*((Inputs!$B$9+1)-Inputs!$B$9),0)+IF(ArtifactsInput!$M$10,CHOOSE(ArtifactsInput!$N$10+1,20,24,28,32,36,40)*(IF(Inputs!$B$38="pvp",MIN(15,15)/15,IF(AND(Inputs!$B$38&lt;&gt;"pvp",Inputs!$B$43&gt;0),MIN(15,Inputs!$B$43)/(Inputs!$B$43),0))),0)+IF(ArtifactsInput!$M$31,1.5*CHOOSE(ArtifactsInput!$N$31+1,20,24,28,32,36,40),0)))/100)</f>
        <v/>
      </c>
      <c r="N543">
        <f>L543*(1-MIN(((Inputs!$B$9+1)+((C550=TRUE)*(F550-Calc!F19))+B562+(ArtifactsInput!$M$24-ArtifactsInput!$M$24)*CHOOSE(ArtifactsInput!$N$24+1,10,12,14,16,18,20)+(IF(AND(Inputs!$B$38&lt;&gt;"pvp",Inputs!$B$43=0),1,IF(IF(Inputs!$B$38="pvp",15,Inputs!$B$43)-(B569)&lt;=0,1,MAX(0,IF(Inputs!$B$38="pvp",15,Inputs!$B$43)-MAX(5,B569))/(IF(Inputs!$B$38="pvp",15,Inputs!$B$43)-(B569))))*IF(AND(ArtifactsInput!$M$42,(((Inputs!$B$9+1)+((C550=TRUE)*(F550-Calc!F19))+B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543*(MIN(((Inputs!$B$9+1)+((C550=TRUE)*(F550-Calc!F19))+B562+(ArtifactsInput!$M$24-ArtifactsInput!$M$24)*CHOOSE(ArtifactsInput!$N$24+1,10,12,14,16,18,20)+(IF(AND(Inputs!$B$38&lt;&gt;"pvp",Inputs!$B$43=0),1,IF(IF(Inputs!$B$38="pvp",15,Inputs!$B$43)-(B569)&lt;=0,1,MAX(0,IF(Inputs!$B$38="pvp",15,Inputs!$B$43)-MAX(5,B569))/(IF(Inputs!$B$38="pvp",15,Inputs!$B$43)-(B569))))*IF(AND(ArtifactsInput!$M$42,(((Inputs!$B$9+1)+((C550=TRUE)*(F550-Calc!F19))+B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43">
        <f>(1-Summary!$B$11)*T543+Summary!$B$11*V543</f>
        <v/>
      </c>
      <c r="P543">
        <f>IF(B572=0,0,O543/B572)</f>
        <v/>
      </c>
      <c r="Q543">
        <f>IFERROR(1/(IF(Inputs!$B$38="pvp",15,MAX(0.1,Skills!D12-IF(TRUE=TRUE,Inputs!$B$32,0)))*(1-IF(AND(ArtifactsInput!$M$27,Inputs!$B$4="Chapter Hunt"),CHOOSE(ArtifactsInput!$N$27+1,20,24,28,32,36,40),0)/100)),0)</f>
        <v/>
      </c>
      <c r="R543">
        <f>IF(AND(Inputs!$B$38&lt;&gt;"pvp",Inputs!$B$43&gt;0),IF(MAX(0,Inputs!$B$43-B569)&lt;=0,0,(INT(MAX(0,Inputs!$B$43-B569)/(IF(Inputs!$B$38="pvp",15,MAX(0.1,Skills!D12-IF(TRUE=TRUE,Inputs!$B$32,0)))*(1-IF(AND(ArtifactsInput!$M$27,Inputs!$B$4="Chapter Hunt"),CHOOSE(ArtifactsInput!$N$27+1,20,24,28,32,36,40),0)/100)))+1)),0)</f>
        <v/>
      </c>
      <c r="S543">
        <f>IFERROR(O543/N543,0)</f>
        <v/>
      </c>
      <c r="T543">
        <f>IF(C543,(H543*N543*IF(AND(Inputs!$B$38&lt;&gt;"pvp",Inputs!$B$43&gt;0),((Skills!G12*((R543-1)*IF(Skills!H12&gt;0,INT(Skills!I12/Skills!H12+0.000000001),1)+IF(Skills!H12&gt;0,INT(MIN(Skills!I12,MAX(0,MAX(0,Inputs!$B$43-B569)-((R543-1)*(IF(Inputs!$B$38="pvp",15,MAX(0.1,Skills!D12-IF(TRUE=TRUE,Inputs!$B$32,0)))*(1-IF(AND(ArtifactsInput!$M$27,Inputs!$B$4="Chapter Hunt"),CHOOSE(ArtifactsInput!$N$27+1,20,24,28,32,36,40),0)/100)))))/Skills!H12+0.000000001),1)))/Inputs!$B$43),G543*Q543))*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Hunt"),CHOOSE(ArtifactsInput!$N$35+1,15,18,21,24,27,30)*(1-EXP(-(0.2*B564)*5)),0)+IF(AND(ArtifactsInput!$M$22,Inputs!$B$4&lt;&gt;"Chapter Hunt"),CHOOSE(ArtifactsInput!$N$22+1,10,12,14,16,18,20)*((0*(((0.15*B564*5))^0/1)+1*(((0.15*B564*5))^1/1)+2*(((0.15*B564*5))^2/2)+3*(((0.15*B564*5))^3/6)+4*(((0.15*B564*5))^4/24)+5*(((0.15*B564*5))^5/120))/((((0.15*B564*5))^0/1)+(((0.15*B564*5))^1/1)+(((0.15*B564*5))^2/2)+(((0.15*B564*5))^3/6)+(((0.15*B564*5))^4/24)+(((0.15*B564*5))^5/120))),0))+IF(Inputs!$B$3&gt;=54,9*(C534=TRUE)*MIN(1,8*(1+Inputs!$B$34/100)*Q534)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543*(1-MIN(100,((Inputs!$B$9+1)+((C550=TRUE)*(F550-Calc!F19))+B562+(ArtifactsInput!$M$24-ArtifactsInput!$M$24)*CHOOSE(ArtifactsInput!$N$24+1,10,12,14,16,18,20)+(IF(AND(Inputs!$B$38&lt;&gt;"pvp",Inputs!$B$43=0),1,IF(IF(Inputs!$B$38="pvp",15,Inputs!$B$43)-(B569)&lt;=0,1,MAX(0,IF(Inputs!$B$38="pvp",15,Inputs!$B$43)-MAX(5,B569))/(IF(Inputs!$B$38="pvp",15,Inputs!$B$43)-(B569))))*IF(AND(ArtifactsInput!$M$42,(((Inputs!$B$9+1)+((C550=TRUE)*(F550-Calc!F19))+B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543*(MIN(100,((Inputs!$B$9+1)+((C550=TRUE)*(F550-Calc!F19))+B562+(ArtifactsInput!$M$24-ArtifactsInput!$M$24)*CHOOSE(ArtifactsInput!$N$24+1,10,12,14,16,18,20)+(IF(AND(Inputs!$B$38&lt;&gt;"pvp",Inputs!$B$43=0),1,IF(IF(Inputs!$B$38="pvp",15,Inputs!$B$43)-(B569)&lt;=0,1,MAX(0,IF(Inputs!$B$38="pvp",15,Inputs!$B$43)-MAX(5,B569))/(IF(Inputs!$B$38="pvp",15,Inputs!$B$43)-(B569))))*IF(AND(ArtifactsInput!$M$42,(((Inputs!$B$9+1)+((C550=TRUE)*(F550-Calc!F19))+B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543*(1-MIN(100,((Inputs!$B$9+1)+((C550=TRUE)*(F550-Calc!F19))+B562+(ArtifactsInput!$M$24-ArtifactsInput!$M$24)*CHOOSE(ArtifactsInput!$N$24+1,10,12,14,16,18,20)+(IF(AND(Inputs!$B$38&lt;&gt;"pvp",Inputs!$B$43=0),1,IF(IF(Inputs!$B$38="pvp",15,Inputs!$B$43)-(B569)&lt;=0,1,MAX(0,IF(Inputs!$B$38="pvp",15,Inputs!$B$43)-MAX(5,B569))/(IF(Inputs!$B$38="pvp",15,Inputs!$B$43)-(B569))))*IF(AND(ArtifactsInput!$M$42,(((Inputs!$B$9+1)+((C550=TRUE)*(F550-Calc!F19))+B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543*(MIN(100,((Inputs!$B$9+1)+((C550=TRUE)*(F550-Calc!F19))+B562+(ArtifactsInput!$M$24-ArtifactsInput!$M$24)*CHOOSE(ArtifactsInput!$N$24+1,10,12,14,16,18,20)+(IF(AND(Inputs!$B$38&lt;&gt;"pvp",Inputs!$B$43=0),1,IF(IF(Inputs!$B$38="pvp",15,Inputs!$B$43)-(B569)&lt;=0,1,MAX(0,IF(Inputs!$B$38="pvp",15,Inputs!$B$43)-MAX(5,B569))/(IF(Inputs!$B$38="pvp",15,Inputs!$B$43)-(B569))))*IF(AND(ArtifactsInput!$M$42,(((Inputs!$B$9+1)+((C550=TRUE)*(F550-Calc!F19))+B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543">
        <f>IF(C543,(H543*N543*IF(AND(Inputs!$B$38&lt;&gt;"pvp",Inputs!$B$43&gt;0),((Skills!G12*((R543-1)*IF(Skills!H12&gt;0,INT(Skills!I12/Skills!H12+0.000000001),1)+IF(Skills!H12&gt;0,INT(MIN(Skills!I12,MAX(0,MAX(0,Inputs!$B$43-B569)-((R543-1)*(IF(Inputs!$B$38="pvp",15,MAX(0.1,Skills!D12-IF(TRUE=TRUE,Inputs!$B$32,0)))*(1-IF(AND(ArtifactsInput!$M$27,Inputs!$B$4="Chapter Hunt"),CHOOSE(ArtifactsInput!$N$27+1,20,24,28,32,36,40),0)/100)))))/Skills!H12+0.000000001),1)))/Inputs!$B$43),G543*Q543))*IF(Inputs!$B$38="pvp",1,(1+(Inputs!$B$21+Skills!Q12+(IF(ArtifactsInput!$M$33,CHOOSE(ArtifactsInput!$N$33+1,30,36,42,48,54,60),0))+(IF(AND(ArtifactsInput!$M$35,Inputs!$B$4&lt;&gt;"Chapter Hunt"),CHOOSE(ArtifactsInput!$N$35+1,15,18,21,24,27,30)*(1-EXP(-(0.2*B564)*5)),0)+IF(AND(ArtifactsInput!$M$22,Inputs!$B$4&lt;&gt;"Chapter Hunt"),CHOOSE(ArtifactsInput!$N$22+1,10,12,14,16,18,20)*((0*(((0.15*B564*5))^0/1)+1*(((0.15*B564*5))^1/1)+2*(((0.15*B564*5))^2/2)+3*(((0.15*B564*5))^3/6)+4*(((0.15*B564*5))^4/24)+5*(((0.15*B564*5))^5/120))/((((0.15*B564*5))^0/1)+(((0.15*B564*5))^1/1)+(((0.15*B564*5))^2/2)+(((0.15*B564*5))^3/6)+(((0.15*B564*5))^4/24)+(((0.15*B564*5))^5/120))),0))+IF(Inputs!$B$3&gt;=54,9*(C534=TRUE)*MIN(1,8*(1+Inputs!$B$34/100)*Q534),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44">
      <c r="A544">
        <f>Skills!A13</f>
        <v/>
      </c>
      <c r="B544">
        <f>Skills!B13</f>
        <v/>
      </c>
      <c r="C544">
        <f>Inputs!$B$3&gt;=110</f>
        <v/>
      </c>
      <c r="D544">
        <f>IF(Skills!C13=1,60+Inputs!$B$25+Inputs!$B$29,IF(Skills!C13=2,90+Inputs!$B$26+Inputs!$B$29,IF(Skills!C13=3,120+Inputs!$B$27+Inputs!$B$29,MAX(0,(Inputs!$B$3-100)*3)+Inputs!$B$28+Inputs!$B$29)))</f>
        <v/>
      </c>
      <c r="E544">
        <f>INDEX(FactorTable!$B$2:$Y$301, MATCH(ROUND(MIN(300,MAX(1,D544)),0), FactorTable!$A$2:$A$301,0), Skills!M13+1)</f>
        <v/>
      </c>
      <c r="F544">
        <f>IF(Skills!N13=TRUE,(Skills!L13/10)*(E544/1000),Skills!L13/10)+Skills!O13</f>
        <v/>
      </c>
      <c r="G544">
        <f>Skills!G13*IF(Skills!H13&gt;0,INT(IF(Inputs!$B$38="pvp",MIN(Skills!I13,15),Skills!I13)/Skills!H13+0.000000001),1)</f>
        <v/>
      </c>
      <c r="H544">
        <f>1-(1-Skills!J13/100)^Skills!K13</f>
        <v/>
      </c>
      <c r="I544" t="inlineStr">
        <is>
          <t>1</t>
        </is>
      </c>
      <c r="J544">
        <f>((Inputs!$B$6*(1+Inputs!$B$7/100))+(((Inputs!$B$12*(1+Inputs!$B$13/100))-(Inputs!$B$12*(1+Inputs!$B$13/100)))+0.25*(Inputs!$B$14-Inputs!$B$14))*(1+Inputs!$B$7/100))*(F544/100)</f>
        <v/>
      </c>
      <c r="K544">
        <f>J544*(1+((Inputs!$B$12*(1+Inputs!$B$13/100))*0.01+Inputs!$B$14*0.0025)/100)*(1+Inputs!$B$15/100)*(1+Inputs!$B$16/100)*(5000/(6000+Inputs!$B$42*(1-(100*(1-(1-(Inputs!$B$19+0)/100)*(1-CHOOSE(ArtifactsInput!$N$40+1,5,6,7,8,9,10)/100)^(ArtifactsInput!$M$40-ArtifactsInput!$M$40)))/100)))*(1+(Inputs!$B$24+((C557=TRUE)*(F557-Calc!F26))+B568)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EIGHT_LEGS_EASTON",Inputs!$B$17+((C554=TRUE)*(F554-Calc!F23))+((C558=TRUE)*(F558-Calc!F27))+((IF(AND(Inputs!$B$38&lt;&gt;"pvp",Inputs!$B$43=0),1,IF(IF(Inputs!$B$38="pvp",15,Inputs!$B$43)-(B569)&lt;=0,1,MAX(0,IF(Inputs!$B$38="pvp",15,Inputs!$B$43)-MAX(5,B569))/(IF(Inputs!$B$38="pvp",15,Inputs!$B$43)-(B569))))*(IF(AND(ArtifactsInput!$M$42,(((Inputs!$B$9+1)+((C550=TRUE)*(F550-Calc!F19))+B562+(ArtifactsInput!$M$24-ArtifactsInput!$M$24)*CHOOSE(ArtifactsInput!$N$24+1,10,12,14,16,18,20)+IF(ArtifactsInput!$M$10,CHOOSE(ArtifactsInput!$N$10+1,15,18,21,24,27,30)*(IF(Inputs!$B$38="pvp",MIN(15,15)/15,IF(AND(Inputs!$B$38&lt;&gt;"pvp",Inputs!$B$43&gt;0),MIN(15,Inputs!$B$43)/(Inputs!$B$43),0))),0)))&gt;=100),MIN(100,(((Inputs!$B$9+1)+((C550=TRUE)*(F550-Calc!F19))+B562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569)&lt;=0,1,MAX(0,IF(Inputs!$B$38="pvp",15,Inputs!$B$43)-MAX(5,B569))/(IF(Inputs!$B$38="pvp",15,Inputs!$B$43)-(B569))))*IF(AND(ArtifactsInput!$M$42,(((Inputs!$B$9+1)+((C550=TRUE)*(F550-Calc!F19))+B562+(ArtifactsInput!$M$24-ArtifactsInput!$M$24)*CHOOSE(ArtifactsInput!$N$24+1,10,12,14,16,18,20)+IF(ArtifactsInput!$M$10,CHOOSE(ArtifactsInput!$N$10+1,15,18,21,24,27,30)*(IF(Inputs!$B$38="pvp",MIN(15,15)/15,IF(AND(Inputs!$B$38&lt;&gt;"pvp",Inputs!$B$43&gt;0),MIN(15,Inputs!$B$43)/(Inputs!$B$43),0))),0)))&gt;=100),CHOOSE(ArtifactsInput!$N$42+1,40,48,56,64,72,80),0))))/100)*((1+(((C548=TRUE)*F548*5/7)+((C555=TRUE)*(F555-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544)</f>
        <v/>
      </c>
      <c r="L544">
        <f>K544*(MIN(Inputs!$B$22+((C553=TRUE)*(F553-Calc!F22)),(Inputs!$B$23+0+(IF(ArtifactsInput!$M$15,CHOOSE(ArtifactsInput!$N$15+1,25,30,35,40,45,50)/100*(Inputs!$B$11-Inputs!$B$11),0))))/100+(Inputs!$B$23+0+(IF(ArtifactsInput!$M$15,CHOOSE(ArtifactsInput!$N$15+1,25,30,35,40,45,50)/100*(Inputs!$B$11-Inputs!$B$11),0)))/100)/2</f>
        <v/>
      </c>
      <c r="M544">
        <f>L544*(1+(Inputs!$B$10+((C556=TRUE)*(F556-Calc!F25))+B567+(IF(ArtifactsInput!$M$24,CHOOSE(ArtifactsInput!$N$24+1,30,36,42,48,54,60)/100*((Inputs!$B$9+1)-Inputs!$B$9),0)+IF(ArtifactsInput!$M$10,CHOOSE(ArtifactsInput!$N$10+1,20,24,28,32,36,40)*(IF(Inputs!$B$38="pvp",MIN(15,15)/15,IF(AND(Inputs!$B$38&lt;&gt;"pvp",Inputs!$B$43&gt;0),MIN(15,Inputs!$B$43)/(Inputs!$B$43),0))),0)+IF(ArtifactsInput!$M$31,1.5*CHOOSE(ArtifactsInput!$N$31+1,20,24,28,32,36,40),0)))/100)</f>
        <v/>
      </c>
      <c r="N544">
        <f>L544*(1-MIN(((Inputs!$B$9+1)+((C550=TRUE)*(F550-Calc!F19))+B562+(ArtifactsInput!$M$24-ArtifactsInput!$M$24)*CHOOSE(ArtifactsInput!$N$24+1,10,12,14,16,18,20)+(IF(AND(Inputs!$B$38&lt;&gt;"pvp",Inputs!$B$43=0),1,IF(IF(Inputs!$B$38="pvp",15,Inputs!$B$43)-(B569)&lt;=0,1,MAX(0,IF(Inputs!$B$38="pvp",15,Inputs!$B$43)-MAX(5,B569))/(IF(Inputs!$B$38="pvp",15,Inputs!$B$43)-(B569))))*IF(AND(ArtifactsInput!$M$42,(((Inputs!$B$9+1)+((C550=TRUE)*(F550-Calc!F19))+B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544*(MIN(((Inputs!$B$9+1)+((C550=TRUE)*(F550-Calc!F19))+B562+(ArtifactsInput!$M$24-ArtifactsInput!$M$24)*CHOOSE(ArtifactsInput!$N$24+1,10,12,14,16,18,20)+(IF(AND(Inputs!$B$38&lt;&gt;"pvp",Inputs!$B$43=0),1,IF(IF(Inputs!$B$38="pvp",15,Inputs!$B$43)-(B569)&lt;=0,1,MAX(0,IF(Inputs!$B$38="pvp",15,Inputs!$B$43)-MAX(5,B569))/(IF(Inputs!$B$38="pvp",15,Inputs!$B$43)-(B569))))*IF(AND(ArtifactsInput!$M$42,(((Inputs!$B$9+1)+((C550=TRUE)*(F550-Calc!F19))+B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44">
        <f>(1-Summary!$B$11)*T544+Summary!$B$11*V544</f>
        <v/>
      </c>
      <c r="P544">
        <f>IF(B572=0,0,O544/B572)</f>
        <v/>
      </c>
      <c r="Q544">
        <f>IFERROR(1/(IF(Inputs!$B$38="pvp",15,MAX(0.1,Skills!D13-IF(TRUE=TRUE,Inputs!$B$32,0)))*(1-IF(AND(ArtifactsInput!$M$27,Inputs!$B$4="Chapter Hunt"),CHOOSE(ArtifactsInput!$N$27+1,20,24,28,32,36,40),0)/100)),0)</f>
        <v/>
      </c>
      <c r="R544">
        <f>IF(AND(Inputs!$B$38&lt;&gt;"pvp",Inputs!$B$43&gt;0),IF(MAX(0,Inputs!$B$43-B569)&lt;=0,0,(INT(MAX(0,Inputs!$B$43-B569)/(IF(Inputs!$B$38="pvp",15,MAX(0.1,Skills!D13-IF(TRUE=TRUE,Inputs!$B$32,0)))*(1-IF(AND(ArtifactsInput!$M$27,Inputs!$B$4="Chapter Hunt"),CHOOSE(ArtifactsInput!$N$27+1,20,24,28,32,36,40),0)/100)))+1)),0)</f>
        <v/>
      </c>
      <c r="S544">
        <f>IFERROR(O544/N544,0)</f>
        <v/>
      </c>
      <c r="T544">
        <f>IF(C544,(H544*N544*IF(AND(Inputs!$B$38&lt;&gt;"pvp",Inputs!$B$43&gt;0),((Skills!G13*((R544-1)*IF(Skills!H13&gt;0,INT(Skills!I13/Skills!H13+0.000000001),1)+IF(Skills!H13&gt;0,INT(MIN(Skills!I13,MAX(0,MAX(0,Inputs!$B$43-B569)-((R544-1)*(IF(Inputs!$B$38="pvp",15,MAX(0.1,Skills!D13-IF(TRUE=TRUE,Inputs!$B$32,0)))*(1-IF(AND(ArtifactsInput!$M$27,Inputs!$B$4="Chapter Hunt"),CHOOSE(ArtifactsInput!$N$27+1,20,24,28,32,36,40),0)/100)))))/Skills!H13+0.000000001),1)))/Inputs!$B$43),G544*Q544))*IF(Inputs!$B$38="pvp",1,1+(Inputs!$B$20+0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Hunt"),CHOOSE(ArtifactsInput!$N$35+1,15,18,21,24,27,30)*(1-EXP(-(0.2*B564)*5)),0)+IF(AND(ArtifactsInput!$M$22,Inputs!$B$4&lt;&gt;"Chapter Hunt"),CHOOSE(ArtifactsInput!$N$22+1,10,12,14,16,18,20)*((0*(((0.15*B564*5))^0/1)+1*(((0.15*B564*5))^1/1)+2*(((0.15*B564*5))^2/2)+3*(((0.15*B564*5))^3/6)+4*(((0.15*B564*5))^4/24)+5*(((0.15*B564*5))^5/120))/((((0.15*B564*5))^0/1)+(((0.15*B564*5))^1/1)+(((0.15*B564*5))^2/2)+(((0.15*B564*5))^3/6)+(((0.15*B564*5))^4/24)+(((0.15*B564*5))^5/120))),0))+IF(Inputs!$B$3&gt;=54,9*(C534=TRUE)*MIN(1,8*(1+Inputs!$B$34/100)*Q534)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544*(1-MIN(100,((Inputs!$B$9+1)+((C550=TRUE)*(F550-Calc!F19))+B562+(ArtifactsInput!$M$24-ArtifactsInput!$M$24)*CHOOSE(ArtifactsInput!$N$24+1,10,12,14,16,18,20)+(IF(AND(Inputs!$B$38&lt;&gt;"pvp",Inputs!$B$43=0),1,IF(IF(Inputs!$B$38="pvp",15,Inputs!$B$43)-(B569)&lt;=0,1,MAX(0,IF(Inputs!$B$38="pvp",15,Inputs!$B$43)-MAX(5,B569))/(IF(Inputs!$B$38="pvp",15,Inputs!$B$43)-(B569))))*IF(AND(ArtifactsInput!$M$42,(((Inputs!$B$9+1)+((C550=TRUE)*(F550-Calc!F19))+B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544*(MIN(100,((Inputs!$B$9+1)+((C550=TRUE)*(F550-Calc!F19))+B562+(ArtifactsInput!$M$24-ArtifactsInput!$M$24)*CHOOSE(ArtifactsInput!$N$24+1,10,12,14,16,18,20)+(IF(AND(Inputs!$B$38&lt;&gt;"pvp",Inputs!$B$43=0),1,IF(IF(Inputs!$B$38="pvp",15,Inputs!$B$43)-(B569)&lt;=0,1,MAX(0,IF(Inputs!$B$38="pvp",15,Inputs!$B$43)-MAX(5,B569))/(IF(Inputs!$B$38="pvp",15,Inputs!$B$43)-(B569))))*IF(AND(ArtifactsInput!$M$42,(((Inputs!$B$9+1)+((C550=TRUE)*(F550-Calc!F19))+B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544*(1-MIN(100,((Inputs!$B$9+1)+((C550=TRUE)*(F550-Calc!F19))+B562+(ArtifactsInput!$M$24-ArtifactsInput!$M$24)*CHOOSE(ArtifactsInput!$N$24+1,10,12,14,16,18,20)+(IF(AND(Inputs!$B$38&lt;&gt;"pvp",Inputs!$B$43=0),1,IF(IF(Inputs!$B$38="pvp",15,Inputs!$B$43)-(B569)&lt;=0,1,MAX(0,IF(Inputs!$B$38="pvp",15,Inputs!$B$43)-MAX(5,B569))/(IF(Inputs!$B$38="pvp",15,Inputs!$B$43)-(B569))))*IF(AND(ArtifactsInput!$M$42,(((Inputs!$B$9+1)+((C550=TRUE)*(F550-Calc!F19))+B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544*(MIN(100,((Inputs!$B$9+1)+((C550=TRUE)*(F550-Calc!F19))+B562+(ArtifactsInput!$M$24-ArtifactsInput!$M$24)*CHOOSE(ArtifactsInput!$N$24+1,10,12,14,16,18,20)+(IF(AND(Inputs!$B$38&lt;&gt;"pvp",Inputs!$B$43=0),1,IF(IF(Inputs!$B$38="pvp",15,Inputs!$B$43)-(B569)&lt;=0,1,MAX(0,IF(Inputs!$B$38="pvp",15,Inputs!$B$43)-MAX(5,B569))/(IF(Inputs!$B$38="pvp",15,Inputs!$B$43)-(B569))))*IF(AND(ArtifactsInput!$M$42,(((Inputs!$B$9+1)+((C550=TRUE)*(F550-Calc!F19))+B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544">
        <f>IF(C544,(H544*N544*IF(AND(Inputs!$B$38&lt;&gt;"pvp",Inputs!$B$43&gt;0),((Skills!G13*((R544-1)*IF(Skills!H13&gt;0,INT(Skills!I13/Skills!H13+0.000000001),1)+IF(Skills!H13&gt;0,INT(MIN(Skills!I13,MAX(0,MAX(0,Inputs!$B$43-B569)-((R544-1)*(IF(Inputs!$B$38="pvp",15,MAX(0.1,Skills!D13-IF(TRUE=TRUE,Inputs!$B$32,0)))*(1-IF(AND(ArtifactsInput!$M$27,Inputs!$B$4="Chapter Hunt"),CHOOSE(ArtifactsInput!$N$27+1,20,24,28,32,36,40),0)/100)))))/Skills!H13+0.000000001),1)))/Inputs!$B$43),G544*Q544))*IF(Inputs!$B$38="pvp",1,(1+(Inputs!$B$21+Skills!Q13+(IF(ArtifactsInput!$M$33,CHOOSE(ArtifactsInput!$N$33+1,30,36,42,48,54,60),0))+(IF(AND(ArtifactsInput!$M$35,Inputs!$B$4&lt;&gt;"Chapter Hunt"),CHOOSE(ArtifactsInput!$N$35+1,15,18,21,24,27,30)*(1-EXP(-(0.2*B564)*5)),0)+IF(AND(ArtifactsInput!$M$22,Inputs!$B$4&lt;&gt;"Chapter Hunt"),CHOOSE(ArtifactsInput!$N$22+1,10,12,14,16,18,20)*((0*(((0.15*B564*5))^0/1)+1*(((0.15*B564*5))^1/1)+2*(((0.15*B564*5))^2/2)+3*(((0.15*B564*5))^3/6)+4*(((0.15*B564*5))^4/24)+5*(((0.15*B564*5))^5/120))/((((0.15*B564*5))^0/1)+(((0.15*B564*5))^1/1)+(((0.15*B564*5))^2/2)+(((0.15*B564*5))^3/6)+(((0.15*B564*5))^4/24)+(((0.15*B564*5))^5/120))),0))+IF(Inputs!$B$3&gt;=54,9*(C534=TRUE)*MIN(1,8*(1+Inputs!$B$34/100)*Q534),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45">
      <c r="A545">
        <f>Skills!A14</f>
        <v/>
      </c>
      <c r="B545">
        <f>Skills!B14</f>
        <v/>
      </c>
      <c r="C545">
        <f>Inputs!$B$3&gt;=120</f>
        <v/>
      </c>
      <c r="D545">
        <f>IF(Skills!C14=1,60+Inputs!$B$25+Inputs!$B$29,IF(Skills!C14=2,90+Inputs!$B$26+Inputs!$B$29,IF(Skills!C14=3,120+Inputs!$B$27+Inputs!$B$29,MAX(0,(Inputs!$B$3-100)*3)+Inputs!$B$28+Inputs!$B$29)))</f>
        <v/>
      </c>
      <c r="E545">
        <f>INDEX(FactorTable!$B$2:$Y$301, MATCH(ROUND(MIN(300,MAX(1,D545)),0), FactorTable!$A$2:$A$301,0), Skills!M14+1)</f>
        <v/>
      </c>
      <c r="F545">
        <f>IF(Skills!N14=TRUE,(Skills!L14/10)*(E545/1000),Skills!L14/10)+Skills!O14</f>
        <v/>
      </c>
      <c r="G545">
        <f>Skills!G14*IF(Skills!H14&gt;0,INT(IF(Inputs!$B$38="pvp",MIN(Skills!I14,15),Skills!I14)/Skills!H14+0.000000001),1)</f>
        <v/>
      </c>
      <c r="H545">
        <f>1-(1-Skills!J14/100)^Skills!K14</f>
        <v/>
      </c>
      <c r="I545" t="inlineStr">
        <is>
          <t>1</t>
        </is>
      </c>
      <c r="J545">
        <f>((Inputs!$B$6*(1+Inputs!$B$7/100))+(((Inputs!$B$12*(1+Inputs!$B$13/100))-(Inputs!$B$12*(1+Inputs!$B$13/100)))+0.25*(Inputs!$B$14-Inputs!$B$14))*(1+Inputs!$B$7/100))*(F545/100)</f>
        <v/>
      </c>
      <c r="K545">
        <f>J545*(1+((Inputs!$B$12*(1+Inputs!$B$13/100))*0.01+Inputs!$B$14*0.0025)/100)*(1+Inputs!$B$15/100)*(1+Inputs!$B$16/100)*(5000/(6000+Inputs!$B$42*(1-(100*(1-(1-(Inputs!$B$19+0)/100)*(1-CHOOSE(ArtifactsInput!$N$40+1,5,6,7,8,9,10)/100)^(ArtifactsInput!$M$40-ArtifactsInput!$M$40)))/100)))*(1+(Inputs!$B$24+((C557=TRUE)*(F557-Calc!F26))+B568)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EIGHT_LEGS_EASTON",Inputs!$B$17+((C554=TRUE)*(F554-Calc!F23))+((C558=TRUE)*(F558-Calc!F27))+((IF(AND(Inputs!$B$38&lt;&gt;"pvp",Inputs!$B$43=0),1,IF(IF(Inputs!$B$38="pvp",15,Inputs!$B$43)-(B569)&lt;=0,1,MAX(0,IF(Inputs!$B$38="pvp",15,Inputs!$B$43)-MAX(5,B569))/(IF(Inputs!$B$38="pvp",15,Inputs!$B$43)-(B569))))*(IF(AND(ArtifactsInput!$M$42,(((Inputs!$B$9+1)+((C550=TRUE)*(F550-Calc!F19))+B562+(ArtifactsInput!$M$24-ArtifactsInput!$M$24)*CHOOSE(ArtifactsInput!$N$24+1,10,12,14,16,18,20)+IF(ArtifactsInput!$M$10,CHOOSE(ArtifactsInput!$N$10+1,15,18,21,24,27,30)*(IF(Inputs!$B$38="pvp",MIN(15,15)/15,IF(AND(Inputs!$B$38&lt;&gt;"pvp",Inputs!$B$43&gt;0),MIN(15,Inputs!$B$43)/(Inputs!$B$43),0))),0)))&gt;=100),MIN(100,(((Inputs!$B$9+1)+((C550=TRUE)*(F550-Calc!F19))+B562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569)&lt;=0,1,MAX(0,IF(Inputs!$B$38="pvp",15,Inputs!$B$43)-MAX(5,B569))/(IF(Inputs!$B$38="pvp",15,Inputs!$B$43)-(B569))))*IF(AND(ArtifactsInput!$M$42,(((Inputs!$B$9+1)+((C550=TRUE)*(F550-Calc!F19))+B562+(ArtifactsInput!$M$24-ArtifactsInput!$M$24)*CHOOSE(ArtifactsInput!$N$24+1,10,12,14,16,18,20)+IF(ArtifactsInput!$M$10,CHOOSE(ArtifactsInput!$N$10+1,15,18,21,24,27,30)*(IF(Inputs!$B$38="pvp",MIN(15,15)/15,IF(AND(Inputs!$B$38&lt;&gt;"pvp",Inputs!$B$43&gt;0),MIN(15,Inputs!$B$43)/(Inputs!$B$43),0))),0)))&gt;=100),CHOOSE(ArtifactsInput!$N$42+1,40,48,56,64,72,80),0))))/100)*((1+(((C548=TRUE)*F548*5/7)+((C555=TRUE)*(F555-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545)</f>
        <v/>
      </c>
      <c r="L545">
        <f>K545*(MIN(Inputs!$B$22+((C553=TRUE)*(F553-Calc!F22)),(Inputs!$B$23+0+(IF(ArtifactsInput!$M$15,CHOOSE(ArtifactsInput!$N$15+1,25,30,35,40,45,50)/100*(Inputs!$B$11-Inputs!$B$11),0))))/100+(Inputs!$B$23+0+(IF(ArtifactsInput!$M$15,CHOOSE(ArtifactsInput!$N$15+1,25,30,35,40,45,50)/100*(Inputs!$B$11-Inputs!$B$11),0)))/100)/2</f>
        <v/>
      </c>
      <c r="M545">
        <f>L545*(1+(Inputs!$B$10+((C556=TRUE)*(F556-Calc!F25))+B567+(IF(ArtifactsInput!$M$24,CHOOSE(ArtifactsInput!$N$24+1,30,36,42,48,54,60)/100*((Inputs!$B$9+1)-Inputs!$B$9),0)+IF(ArtifactsInput!$M$10,CHOOSE(ArtifactsInput!$N$10+1,20,24,28,32,36,40)*(IF(Inputs!$B$38="pvp",MIN(15,15)/15,IF(AND(Inputs!$B$38&lt;&gt;"pvp",Inputs!$B$43&gt;0),MIN(15,Inputs!$B$43)/(Inputs!$B$43),0))),0)+IF(ArtifactsInput!$M$31,1.5*CHOOSE(ArtifactsInput!$N$31+1,20,24,28,32,36,40),0)))/100)</f>
        <v/>
      </c>
      <c r="N545">
        <f>L545*(1-MIN(((Inputs!$B$9+1)+((C550=TRUE)*(F550-Calc!F19))+B562+(ArtifactsInput!$M$24-ArtifactsInput!$M$24)*CHOOSE(ArtifactsInput!$N$24+1,10,12,14,16,18,20)+(IF(AND(Inputs!$B$38&lt;&gt;"pvp",Inputs!$B$43=0),1,IF(IF(Inputs!$B$38="pvp",15,Inputs!$B$43)-(B569)&lt;=0,1,MAX(0,IF(Inputs!$B$38="pvp",15,Inputs!$B$43)-MAX(5,B569))/(IF(Inputs!$B$38="pvp",15,Inputs!$B$43)-(B569))))*IF(AND(ArtifactsInput!$M$42,(((Inputs!$B$9+1)+((C550=TRUE)*(F550-Calc!F19))+B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545*(MIN(((Inputs!$B$9+1)+((C550=TRUE)*(F550-Calc!F19))+B562+(ArtifactsInput!$M$24-ArtifactsInput!$M$24)*CHOOSE(ArtifactsInput!$N$24+1,10,12,14,16,18,20)+(IF(AND(Inputs!$B$38&lt;&gt;"pvp",Inputs!$B$43=0),1,IF(IF(Inputs!$B$38="pvp",15,Inputs!$B$43)-(B569)&lt;=0,1,MAX(0,IF(Inputs!$B$38="pvp",15,Inputs!$B$43)-MAX(5,B569))/(IF(Inputs!$B$38="pvp",15,Inputs!$B$43)-(B569))))*IF(AND(ArtifactsInput!$M$42,(((Inputs!$B$9+1)+((C550=TRUE)*(F550-Calc!F19))+B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45">
        <f>(1-Summary!$B$11)*T545+Summary!$B$11*V545</f>
        <v/>
      </c>
      <c r="P545">
        <f>IF(B572=0,0,O545/B572)</f>
        <v/>
      </c>
      <c r="Q545" t="n">
        <v>0</v>
      </c>
      <c r="R545" t="n">
        <v>0</v>
      </c>
      <c r="S545">
        <f>IFERROR(O545/N545,0)</f>
        <v/>
      </c>
      <c r="T545">
        <f>IF(C545,((H545*(B566+IF(AND(Inputs!$B$38&lt;&gt;"pvp",Inputs!$B$43&gt;0),((Skills!G8*((R539-1)*IF(Skills!H8&gt;0,INT(Skills!I8/Skills!H8+0.000000001),1)+IF(Skills!H8&gt;0,INT(MIN(Skills!I8,MAX(0,MAX(0,Inputs!$B$43-B569)-((R539-1)*((IF(Inputs!$B$38="pvp",15,MAX(0.1,Skills!D8-IF(TRUE=TRUE,Inputs!$B$32,0)))*(1-IF(AND(ArtifactsInput!$M$27,Inputs!$B$4="Chapter Hunt"),CHOOSE(ArtifactsInput!$N$27+1,20,24,28,32,36,40),0)/100))/B573))))/Skills!H8+0.000000001),1)))/Inputs!$B$43),G539*Q539)+IF(AND(Inputs!$B$38&lt;&gt;"pvp",Inputs!$B$43&gt;0),((Skills!G11*((R542-1)*IF(Skills!H11&gt;0,INT(Skills!I11/Skills!H11+0.000000001),1)+IF(Skills!H11&gt;0,INT(MIN(Skills!I11,MAX(0,MAX(0,Inputs!$B$43-B569)-((R542-1)*((IF(Inputs!$B$38="pvp",15,MAX(0.1,Skills!D11-IF(TRUE=TRUE,Inputs!$B$32,0)))*(1-IF(AND(ArtifactsInput!$M$27,Inputs!$B$4="Chapter Hunt"),CHOOSE(ArtifactsInput!$N$27+1,20,24,28,32,36,40),0)/100))/B573))))/Skills!H11+0.000000001),1)))/Inputs!$B$43),G542*Q542)))/(1+Skills!H14*H545*(B566+IF(AND(Inputs!$B$38&lt;&gt;"pvp",Inputs!$B$43&gt;0),((Skills!G8*((R539-1)*IF(Skills!H8&gt;0,INT(Skills!I8/Skills!H8+0.000000001),1)+IF(Skills!H8&gt;0,INT(MIN(Skills!I8,MAX(0,MAX(0,Inputs!$B$43-B569)-((R539-1)*((IF(Inputs!$B$38="pvp",15,MAX(0.1,Skills!D8-IF(TRUE=TRUE,Inputs!$B$32,0)))*(1-IF(AND(ArtifactsInput!$M$27,Inputs!$B$4="Chapter Hunt"),CHOOSE(ArtifactsInput!$N$27+1,20,24,28,32,36,40),0)/100))/B573))))/Skills!H8+0.000000001),1)))/Inputs!$B$43),G539*Q539)+IF(AND(Inputs!$B$38&lt;&gt;"pvp",Inputs!$B$43&gt;0),((Skills!G11*((R542-1)*IF(Skills!H11&gt;0,INT(Skills!I11/Skills!H11+0.000000001),1)+IF(Skills!H11&gt;0,INT(MIN(Skills!I11,MAX(0,MAX(0,Inputs!$B$43-B569)-((R542-1)*((IF(Inputs!$B$38="pvp",15,MAX(0.1,Skills!D11-IF(TRUE=TRUE,Inputs!$B$32,0)))*(1-IF(AND(ArtifactsInput!$M$27,Inputs!$B$4="Chapter Hunt"),CHOOSE(ArtifactsInput!$N$27+1,20,24,28,32,36,40),0)/100))/B573))))/Skills!H11+0.000000001),1)))/Inputs!$B$43),G542*Q542)))*N545)*IF(Inputs!$B$38="pvp",1,1+(Inputs!$B$20+0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Hunt"),CHOOSE(ArtifactsInput!$N$35+1,15,18,21,24,27,30)*(1-EXP(-(0.2*B564)*5)),0)+IF(AND(ArtifactsInput!$M$22,Inputs!$B$4&lt;&gt;"Chapter Hunt"),CHOOSE(ArtifactsInput!$N$22+1,10,12,14,16,18,20)*((0*(((0.15*B564*5))^0/1)+1*(((0.15*B564*5))^1/1)+2*(((0.15*B564*5))^2/2)+3*(((0.15*B564*5))^3/6)+4*(((0.15*B564*5))^4/24)+5*(((0.15*B564*5))^5/120))/((((0.15*B564*5))^0/1)+(((0.15*B564*5))^1/1)+(((0.15*B564*5))^2/2)+(((0.15*B564*5))^3/6)+(((0.15*B564*5))^4/24)+(((0.15*B564*5))^5/120))),0))+IF(Inputs!$B$3&gt;=54,9*(C534=TRUE)*MIN(1,8*(1+Inputs!$B$34/100)*Q534)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545*(1-MIN(100,((Inputs!$B$9+1)+((C550=TRUE)*(F550-Calc!F19))+B562+(ArtifactsInput!$M$24-ArtifactsInput!$M$24)*CHOOSE(ArtifactsInput!$N$24+1,10,12,14,16,18,20)+(IF(AND(Inputs!$B$38&lt;&gt;"pvp",Inputs!$B$43=0),1,IF(IF(Inputs!$B$38="pvp",15,Inputs!$B$43)-(B569)&lt;=0,1,MAX(0,IF(Inputs!$B$38="pvp",15,Inputs!$B$43)-MAX(5,B569))/(IF(Inputs!$B$38="pvp",15,Inputs!$B$43)-(B569))))*IF(AND(ArtifactsInput!$M$42,(((Inputs!$B$9+1)+((C550=TRUE)*(F550-Calc!F19))+B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545*(MIN(100,((Inputs!$B$9+1)+((C550=TRUE)*(F550-Calc!F19))+B562+(ArtifactsInput!$M$24-ArtifactsInput!$M$24)*CHOOSE(ArtifactsInput!$N$24+1,10,12,14,16,18,20)+(IF(AND(Inputs!$B$38&lt;&gt;"pvp",Inputs!$B$43=0),1,IF(IF(Inputs!$B$38="pvp",15,Inputs!$B$43)-(B569)&lt;=0,1,MAX(0,IF(Inputs!$B$38="pvp",15,Inputs!$B$43)-MAX(5,B569))/(IF(Inputs!$B$38="pvp",15,Inputs!$B$43)-(B569))))*IF(AND(ArtifactsInput!$M$42,(((Inputs!$B$9+1)+((C550=TRUE)*(F550-Calc!F19))+B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545*(1-MIN(100,((Inputs!$B$9+1)+((C550=TRUE)*(F550-Calc!F19))+B562+(ArtifactsInput!$M$24-ArtifactsInput!$M$24)*CHOOSE(ArtifactsInput!$N$24+1,10,12,14,16,18,20)+(IF(AND(Inputs!$B$38&lt;&gt;"pvp",Inputs!$B$43=0),1,IF(IF(Inputs!$B$38="pvp",15,Inputs!$B$43)-(B569)&lt;=0,1,MAX(0,IF(Inputs!$B$38="pvp",15,Inputs!$B$43)-MAX(5,B569))/(IF(Inputs!$B$38="pvp",15,Inputs!$B$43)-(B569))))*IF(AND(ArtifactsInput!$M$42,(((Inputs!$B$9+1)+((C550=TRUE)*(F550-Calc!F19))+B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545*(MIN(100,((Inputs!$B$9+1)+((C550=TRUE)*(F550-Calc!F19))+B562+(ArtifactsInput!$M$24-ArtifactsInput!$M$24)*CHOOSE(ArtifactsInput!$N$24+1,10,12,14,16,18,20)+(IF(AND(Inputs!$B$38&lt;&gt;"pvp",Inputs!$B$43=0),1,IF(IF(Inputs!$B$38="pvp",15,Inputs!$B$43)-(B569)&lt;=0,1,MAX(0,IF(Inputs!$B$38="pvp",15,Inputs!$B$43)-MAX(5,B569))/(IF(Inputs!$B$38="pvp",15,Inputs!$B$43)-(B569))))*IF(AND(ArtifactsInput!$M$42,(((Inputs!$B$9+1)+((C550=TRUE)*(F550-Calc!F19))+B562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545">
        <f>IF(C545,((H545*(B566+IF(AND(Inputs!$B$38&lt;&gt;"pvp",Inputs!$B$43&gt;0),((Skills!G8*((R539-1)*IF(Skills!H8&gt;0,INT(Skills!I8/Skills!H8+0.000000001),1)+IF(Skills!H8&gt;0,INT(MIN(Skills!I8,MAX(0,MAX(0,Inputs!$B$43-B569)-((R539-1)*((IF(Inputs!$B$38="pvp",15,MAX(0.1,Skills!D8-IF(TRUE=TRUE,Inputs!$B$32,0)))*(1-IF(AND(ArtifactsInput!$M$27,Inputs!$B$4="Chapter Hunt"),CHOOSE(ArtifactsInput!$N$27+1,20,24,28,32,36,40),0)/100))/B573))))/Skills!H8+0.000000001),1)))/Inputs!$B$43),G539*Q539)+IF(AND(Inputs!$B$38&lt;&gt;"pvp",Inputs!$B$43&gt;0),((Skills!G11*((R542-1)*IF(Skills!H11&gt;0,INT(Skills!I11/Skills!H11+0.000000001),1)+IF(Skills!H11&gt;0,INT(MIN(Skills!I11,MAX(0,MAX(0,Inputs!$B$43-B569)-((R542-1)*((IF(Inputs!$B$38="pvp",15,MAX(0.1,Skills!D11-IF(TRUE=TRUE,Inputs!$B$32,0)))*(1-IF(AND(ArtifactsInput!$M$27,Inputs!$B$4="Chapter Hunt"),CHOOSE(ArtifactsInput!$N$27+1,20,24,28,32,36,40),0)/100))/B573))))/Skills!H11+0.000000001),1)))/Inputs!$B$43),G542*Q542)))/(1+Skills!H14*H545*(B566+IF(AND(Inputs!$B$38&lt;&gt;"pvp",Inputs!$B$43&gt;0),((Skills!G8*((R539-1)*IF(Skills!H8&gt;0,INT(Skills!I8/Skills!H8+0.000000001),1)+IF(Skills!H8&gt;0,INT(MIN(Skills!I8,MAX(0,MAX(0,Inputs!$B$43-B569)-((R539-1)*((IF(Inputs!$B$38="pvp",15,MAX(0.1,Skills!D8-IF(TRUE=TRUE,Inputs!$B$32,0)))*(1-IF(AND(ArtifactsInput!$M$27,Inputs!$B$4="Chapter Hunt"),CHOOSE(ArtifactsInput!$N$27+1,20,24,28,32,36,40),0)/100))/B573))))/Skills!H8+0.000000001),1)))/Inputs!$B$43),G539*Q539)+IF(AND(Inputs!$B$38&lt;&gt;"pvp",Inputs!$B$43&gt;0),((Skills!G11*((R542-1)*IF(Skills!H11&gt;0,INT(Skills!I11/Skills!H11+0.000000001),1)+IF(Skills!H11&gt;0,INT(MIN(Skills!I11,MAX(0,MAX(0,Inputs!$B$43-B569)-((R542-1)*((IF(Inputs!$B$38="pvp",15,MAX(0.1,Skills!D11-IF(TRUE=TRUE,Inputs!$B$32,0)))*(1-IF(AND(ArtifactsInput!$M$27,Inputs!$B$4="Chapter Hunt"),CHOOSE(ArtifactsInput!$N$27+1,20,24,28,32,36,40),0)/100))/B573))))/Skills!H11+0.000000001),1)))/Inputs!$B$43),G542*Q542)))*N545)*IF(Inputs!$B$38="pvp",1,(1+(Inputs!$B$21+Skills!Q14+(IF(ArtifactsInput!$M$33,CHOOSE(ArtifactsInput!$N$33+1,30,36,42,48,54,60),0))+(IF(AND(ArtifactsInput!$M$35,Inputs!$B$4&lt;&gt;"Chapter Hunt"),CHOOSE(ArtifactsInput!$N$35+1,15,18,21,24,27,30)*(1-EXP(-(0.2*B564)*5)),0)+IF(AND(ArtifactsInput!$M$22,Inputs!$B$4&lt;&gt;"Chapter Hunt"),CHOOSE(ArtifactsInput!$N$22+1,10,12,14,16,18,20)*((0*(((0.15*B564*5))^0/1)+1*(((0.15*B564*5))^1/1)+2*(((0.15*B564*5))^2/2)+3*(((0.15*B564*5))^3/6)+4*(((0.15*B564*5))^4/24)+5*(((0.15*B564*5))^5/120))/((((0.15*B564*5))^0/1)+(((0.15*B564*5))^1/1)+(((0.15*B564*5))^2/2)+(((0.15*B564*5))^3/6)+(((0.15*B564*5))^4/24)+(((0.15*B564*5))^5/120))),0))+IF(Inputs!$B$3&gt;=54,9*(C534=TRUE)*MIN(1,8*(1+Inputs!$B$34/100)*Q534),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46">
      <c r="A546">
        <f>Skills!A15</f>
        <v/>
      </c>
      <c r="B546">
        <f>Skills!B15</f>
        <v/>
      </c>
      <c r="C546">
        <f>Inputs!$B$3&gt;=100</f>
        <v/>
      </c>
      <c r="D546">
        <f>IF(Skills!C15=1,60+Inputs!$B$25+Inputs!$B$29,IF(Skills!C15=2,90+Inputs!$B$26+Inputs!$B$29,IF(Skills!C15=3,120+Inputs!$B$27+Inputs!$B$29,MAX(0,(Inputs!$B$3-100)*3)+Inputs!$B$28+Inputs!$B$29)))</f>
        <v/>
      </c>
      <c r="E546">
        <f>INDEX(FactorTable!$B$2:$Y$301, MATCH(ROUND(MIN(300,MAX(1,D546)),0), FactorTable!$A$2:$A$301,0), Skills!M15+1)</f>
        <v/>
      </c>
      <c r="F546">
        <f>IF(Skills!N15=TRUE,(Skills!L15/10)*(E546/1000),Skills!L15/10)+Skills!O15</f>
        <v/>
      </c>
      <c r="G546" t="inlineStr"/>
      <c r="H546" t="inlineStr"/>
      <c r="I546" t="inlineStr">
        <is>
          <t>1</t>
        </is>
      </c>
      <c r="J546" t="inlineStr"/>
      <c r="K546" t="inlineStr"/>
      <c r="L546" t="inlineStr"/>
      <c r="M546" t="inlineStr"/>
      <c r="N546" t="inlineStr"/>
      <c r="O546" t="inlineStr"/>
      <c r="P546" t="inlineStr"/>
      <c r="Q546" t="inlineStr"/>
      <c r="R546" t="inlineStr"/>
      <c r="S546" t="inlineStr"/>
    </row>
    <row r="547">
      <c r="A547">
        <f>Skills!A16</f>
        <v/>
      </c>
      <c r="B547">
        <f>Skills!B16</f>
        <v/>
      </c>
      <c r="C547">
        <f>Inputs!$B$3&gt;=107</f>
        <v/>
      </c>
      <c r="D547">
        <f>IF(Skills!C16=1,60+Inputs!$B$25+Inputs!$B$29,IF(Skills!C16=2,90+Inputs!$B$26+Inputs!$B$29,IF(Skills!C16=3,120+Inputs!$B$27+Inputs!$B$29,MAX(0,(Inputs!$B$3-100)*3)+Inputs!$B$28+Inputs!$B$29)))</f>
        <v/>
      </c>
      <c r="E547">
        <f>INDEX(FactorTable!$B$2:$Y$301, MATCH(ROUND(MIN(300,MAX(1,D547)),0), FactorTable!$A$2:$A$301,0), Skills!M16+1)</f>
        <v/>
      </c>
      <c r="F547">
        <f>IF(Skills!N16=TRUE,(Skills!L16/10)*(E547/1000),Skills!L16/10)+Skills!O16</f>
        <v/>
      </c>
      <c r="G547" t="inlineStr"/>
      <c r="H547" t="inlineStr"/>
      <c r="I547" t="inlineStr">
        <is>
          <t>1</t>
        </is>
      </c>
      <c r="J547" t="inlineStr"/>
      <c r="K547" t="inlineStr"/>
      <c r="L547" t="inlineStr"/>
      <c r="M547" t="inlineStr"/>
      <c r="N547" t="inlineStr"/>
      <c r="O547" t="inlineStr"/>
      <c r="P547" t="inlineStr"/>
      <c r="Q547" t="inlineStr"/>
      <c r="R547" t="inlineStr"/>
      <c r="S547" t="inlineStr"/>
    </row>
    <row r="548">
      <c r="A548">
        <f>Skills!A17</f>
        <v/>
      </c>
      <c r="B548">
        <f>Skills!B17</f>
        <v/>
      </c>
      <c r="C548">
        <f>Inputs!$B$3&gt;=74</f>
        <v/>
      </c>
      <c r="D548">
        <f>IF(Skills!C17=1,60+Inputs!$B$25+Inputs!$B$29,IF(Skills!C17=2,90+Inputs!$B$26+Inputs!$B$29,IF(Skills!C17=3,120+Inputs!$B$27+Inputs!$B$29,MAX(0,(Inputs!$B$3-100)*3)+Inputs!$B$28+Inputs!$B$29)))</f>
        <v/>
      </c>
      <c r="E548">
        <f>INDEX(FactorTable!$B$2:$Y$301, MATCH(ROUND(MIN(300,MAX(1,D548)),0), FactorTable!$A$2:$A$301,0), Skills!M17+1)</f>
        <v/>
      </c>
      <c r="F548">
        <f>IF(Skills!N17=TRUE,(Skills!L17/10)*(E548/1000),Skills!L17/10)+Skills!O17</f>
        <v/>
      </c>
      <c r="G548">
        <f>Skills!G17*IF(Skills!H17&gt;0,INT(IF(Inputs!$B$38="pvp",MIN(Skills!I17,15),Skills!I17)/Skills!H17+0.000000001),1)</f>
        <v/>
      </c>
      <c r="H548">
        <f>1-(1-Skills!J17/100)^Skills!K17</f>
        <v/>
      </c>
      <c r="I548" t="inlineStr">
        <is>
          <t>1</t>
        </is>
      </c>
      <c r="J548" t="inlineStr"/>
      <c r="K548" t="inlineStr"/>
      <c r="L548" t="inlineStr"/>
      <c r="M548" t="inlineStr"/>
      <c r="N548" t="inlineStr"/>
      <c r="O548">
        <f>(1-Summary!$B$11)*T548+Summary!$B$11*V548</f>
        <v/>
      </c>
      <c r="P548">
        <f>IF(B572=0,0,O548/B572)</f>
        <v/>
      </c>
      <c r="Q548" t="n">
        <v>0</v>
      </c>
      <c r="R548" t="n">
        <v>0</v>
      </c>
      <c r="S548">
        <f>IFERROR(O548/N548,0)</f>
        <v/>
      </c>
      <c r="T548" t="n">
        <v>0</v>
      </c>
      <c r="V548" t="n">
        <v>0</v>
      </c>
    </row>
    <row r="549">
      <c r="A549">
        <f>Skills!A18</f>
        <v/>
      </c>
      <c r="B549">
        <f>Skills!B18</f>
        <v/>
      </c>
      <c r="C549">
        <f>Inputs!$B$3&gt;=115</f>
        <v/>
      </c>
      <c r="D549">
        <f>IF(Skills!C18=1,60+Inputs!$B$25+Inputs!$B$29,IF(Skills!C18=2,90+Inputs!$B$26+Inputs!$B$29,IF(Skills!C18=3,120+Inputs!$B$27+Inputs!$B$29,MAX(0,(Inputs!$B$3-100)*3)+Inputs!$B$28+Inputs!$B$29)))</f>
        <v/>
      </c>
      <c r="E549">
        <f>INDEX(FactorTable!$B$2:$Y$301, MATCH(ROUND(MIN(300,MAX(1,D549)),0), FactorTable!$A$2:$A$301,0), Skills!M18+1)</f>
        <v/>
      </c>
      <c r="F549">
        <f>IF(Skills!N18=TRUE,(Skills!L18/10)*(E549/1000),Skills!L18/10)+Skills!O18</f>
        <v/>
      </c>
      <c r="G549">
        <f>Skills!G18*IF(Skills!H18&gt;0,INT(IF(Inputs!$B$38="pvp",MIN(Skills!I18,15),Skills!I18)/Skills!H18+0.000000001),1)</f>
        <v/>
      </c>
      <c r="H549">
        <f>1-(1-Skills!J18/100)^Skills!K18</f>
        <v/>
      </c>
      <c r="I549" t="inlineStr">
        <is>
          <t>1</t>
        </is>
      </c>
      <c r="J549" t="inlineStr"/>
      <c r="K549" t="inlineStr"/>
      <c r="L549" t="inlineStr"/>
      <c r="M549" t="inlineStr"/>
      <c r="N549" t="inlineStr"/>
      <c r="O549">
        <f>(1-Summary!$B$11)*T549+Summary!$B$11*V549</f>
        <v/>
      </c>
      <c r="P549">
        <f>IF(B572=0,0,O549/B572)</f>
        <v/>
      </c>
      <c r="Q549">
        <f>IFERROR(1/(IF(Inputs!$B$38="pvp",15,MAX(0.1,Skills!D18-IF(TRUE=TRUE,Inputs!$B$32,0)))*(1-IF(AND(ArtifactsInput!$M$27,Inputs!$B$4="Chapter Hunt"),CHOOSE(ArtifactsInput!$N$27+1,20,24,28,32,36,40),0)/100)),0)</f>
        <v/>
      </c>
      <c r="R549">
        <f>IF(AND(Inputs!$B$38&lt;&gt;"pvp",Inputs!$B$43&gt;0),IF(Inputs!$B$43&lt;=0,0,(INT(Inputs!$B$43/(IF(Inputs!$B$38="pvp",15,MAX(0.1,Skills!D18-IF(TRUE=TRUE,Inputs!$B$32,0)))*(1-IF(AND(ArtifactsInput!$M$27,Inputs!$B$4="Chapter Hunt"),CHOOSE(ArtifactsInput!$N$27+1,20,24,28,32,36,40),0)/100)))+1)),0)</f>
        <v/>
      </c>
      <c r="S549">
        <f>IFERROR(O549/N549,0)</f>
        <v/>
      </c>
      <c r="T549" t="n">
        <v>0</v>
      </c>
      <c r="V549" t="n">
        <v>0</v>
      </c>
    </row>
    <row r="550">
      <c r="A550">
        <f>Skills!A19</f>
        <v/>
      </c>
      <c r="B550">
        <f>Skills!B19</f>
        <v/>
      </c>
      <c r="C550">
        <f>Inputs!$B$3&gt;=10</f>
        <v/>
      </c>
      <c r="D550">
        <f>IF(Skills!C19=1,60+Inputs!$B$25+Inputs!$B$29,IF(Skills!C19=2,90+Inputs!$B$26+Inputs!$B$29,IF(Skills!C19=3,120+Inputs!$B$27+Inputs!$B$29,MAX(0,(Inputs!$B$3-100)*3)+Inputs!$B$28+Inputs!$B$29)))</f>
        <v/>
      </c>
      <c r="E550">
        <f>INDEX(FactorTable!$B$2:$Y$301, MATCH(ROUND(MIN(300,MAX(1,D550)),0), FactorTable!$A$2:$A$301,0), Skills!M19+1)</f>
        <v/>
      </c>
      <c r="F550">
        <f>IF(Skills!N19=TRUE,(Skills!L19/10)*(E550/1000),Skills!L19/10)+Skills!O19</f>
        <v/>
      </c>
      <c r="G550">
        <f>Skills!G19*IF(Skills!H19&gt;0,INT(IF(Inputs!$B$38="pvp",MIN(Skills!I19,15),Skills!I19)/Skills!H19+0.000000001),1)</f>
        <v/>
      </c>
      <c r="H550">
        <f>1-(1-Skills!J19/100)^Skills!K19</f>
        <v/>
      </c>
      <c r="I550" t="inlineStr">
        <is>
          <t>1</t>
        </is>
      </c>
      <c r="J550" t="inlineStr"/>
      <c r="K550" t="inlineStr"/>
      <c r="L550" t="inlineStr"/>
      <c r="M550" t="inlineStr"/>
      <c r="N550" t="inlineStr"/>
      <c r="O550">
        <f>(1-Summary!$B$11)*T550+Summary!$B$11*V550</f>
        <v/>
      </c>
      <c r="P550">
        <f>IF(B572=0,0,O550/B572)</f>
        <v/>
      </c>
      <c r="Q550" t="n">
        <v>0</v>
      </c>
      <c r="R550" t="n">
        <v>0</v>
      </c>
      <c r="S550">
        <f>IFERROR(O550/N550,0)</f>
        <v/>
      </c>
      <c r="T550" t="n">
        <v>0</v>
      </c>
      <c r="V550" t="n">
        <v>0</v>
      </c>
    </row>
    <row r="551">
      <c r="A551">
        <f>Skills!A20</f>
        <v/>
      </c>
      <c r="B551">
        <f>Skills!B20</f>
        <v/>
      </c>
      <c r="C551">
        <f>Inputs!$B$3&gt;=15</f>
        <v/>
      </c>
      <c r="D551">
        <f>IF(Skills!C20=1,60+Inputs!$B$25+Inputs!$B$29,IF(Skills!C20=2,90+Inputs!$B$26+Inputs!$B$29,IF(Skills!C20=3,120+Inputs!$B$27+Inputs!$B$29,MAX(0,(Inputs!$B$3-100)*3)+Inputs!$B$28+Inputs!$B$29)))</f>
        <v/>
      </c>
      <c r="E551">
        <f>INDEX(FactorTable!$B$2:$Y$301, MATCH(ROUND(MIN(300,MAX(1,D551)),0), FactorTable!$A$2:$A$301,0), Skills!M20+1)</f>
        <v/>
      </c>
      <c r="F551">
        <f>IF(Skills!N20=TRUE,(Skills!L20/10)*(E551/1000),Skills!L20/10)+Skills!O20</f>
        <v/>
      </c>
      <c r="G551">
        <f>Skills!G20*IF(Skills!H20&gt;0,INT(IF(Inputs!$B$38="pvp",MIN(Skills!I20,15),Skills!I20)/Skills!H20+0.000000001),1)</f>
        <v/>
      </c>
      <c r="H551">
        <f>1-(1-Skills!J20/100)^Skills!K20</f>
        <v/>
      </c>
      <c r="I551" t="inlineStr">
        <is>
          <t>1</t>
        </is>
      </c>
      <c r="J551" t="inlineStr"/>
      <c r="K551" t="inlineStr"/>
      <c r="L551" t="inlineStr"/>
      <c r="M551" t="inlineStr"/>
      <c r="N551" t="inlineStr"/>
      <c r="O551">
        <f>(1-Summary!$B$11)*T551+Summary!$B$11*V551</f>
        <v/>
      </c>
      <c r="P551">
        <f>IF(B572=0,0,O551/B572)</f>
        <v/>
      </c>
      <c r="Q551" t="n">
        <v>0</v>
      </c>
      <c r="R551" t="n">
        <v>0</v>
      </c>
      <c r="S551">
        <f>IFERROR(O551/N551,0)</f>
        <v/>
      </c>
      <c r="T551" t="n">
        <v>0</v>
      </c>
      <c r="V551" t="n">
        <v>0</v>
      </c>
    </row>
    <row r="552">
      <c r="A552">
        <f>Skills!A21</f>
        <v/>
      </c>
      <c r="B552">
        <f>Skills!B21</f>
        <v/>
      </c>
      <c r="C552">
        <f>Inputs!$B$3&gt;=40</f>
        <v/>
      </c>
      <c r="D552">
        <f>IF(Skills!C21=1,60+Inputs!$B$25+Inputs!$B$29,IF(Skills!C21=2,90+Inputs!$B$26+Inputs!$B$29,IF(Skills!C21=3,120+Inputs!$B$27+Inputs!$B$29,MAX(0,(Inputs!$B$3-100)*3)+Inputs!$B$28+Inputs!$B$29)))</f>
        <v/>
      </c>
      <c r="E552">
        <f>INDEX(FactorTable!$B$2:$Y$301, MATCH(ROUND(MIN(300,MAX(1,D552)),0), FactorTable!$A$2:$A$301,0), Skills!M21+1)</f>
        <v/>
      </c>
      <c r="F552">
        <f>IF(Skills!N21=TRUE,(Skills!L21/10)*(E552/1000),Skills!L21/10)+Skills!O21</f>
        <v/>
      </c>
      <c r="G552">
        <f>Skills!G21*IF(Skills!H21&gt;0,INT(IF(Inputs!$B$38="pvp",MIN(Skills!I21,15),Skills!I21)/Skills!H21+0.000000001),1)</f>
        <v/>
      </c>
      <c r="H552">
        <f>1-(1-Skills!J21/100)^Skills!K21</f>
        <v/>
      </c>
      <c r="I552" t="inlineStr">
        <is>
          <t>1</t>
        </is>
      </c>
      <c r="J552" t="inlineStr"/>
      <c r="K552" t="inlineStr"/>
      <c r="L552" t="inlineStr"/>
      <c r="M552" t="inlineStr"/>
      <c r="N552" t="inlineStr"/>
      <c r="O552">
        <f>(1-Summary!$B$11)*T552+Summary!$B$11*V552</f>
        <v/>
      </c>
      <c r="P552">
        <f>IF(B572=0,0,O552/B572)</f>
        <v/>
      </c>
      <c r="Q552" t="n">
        <v>0</v>
      </c>
      <c r="R552" t="n">
        <v>0</v>
      </c>
      <c r="S552">
        <f>IFERROR(O552/N552,0)</f>
        <v/>
      </c>
      <c r="T552" t="n">
        <v>0</v>
      </c>
      <c r="V552" t="n">
        <v>0</v>
      </c>
    </row>
    <row r="553">
      <c r="A553">
        <f>Skills!A22</f>
        <v/>
      </c>
      <c r="B553">
        <f>Skills!B22</f>
        <v/>
      </c>
      <c r="C553">
        <f>Inputs!$B$3&gt;=43</f>
        <v/>
      </c>
      <c r="D553">
        <f>IF(Skills!C22=1,60+Inputs!$B$25+Inputs!$B$29,IF(Skills!C22=2,90+Inputs!$B$26+Inputs!$B$29,IF(Skills!C22=3,120+Inputs!$B$27+Inputs!$B$29,MAX(0,(Inputs!$B$3-100)*3)+Inputs!$B$28+Inputs!$B$29)))</f>
        <v/>
      </c>
      <c r="E553">
        <f>INDEX(FactorTable!$B$2:$Y$301, MATCH(ROUND(MIN(300,MAX(1,D553)),0), FactorTable!$A$2:$A$301,0), Skills!M22+1)</f>
        <v/>
      </c>
      <c r="F553">
        <f>IF(Skills!N22=TRUE,(Skills!L22/10)*(E553/1000),Skills!L22/10)+Skills!O22</f>
        <v/>
      </c>
      <c r="G553">
        <f>Skills!G22*IF(Skills!H22&gt;0,INT(IF(Inputs!$B$38="pvp",MIN(Skills!I22,15),Skills!I22)/Skills!H22+0.000000001),1)</f>
        <v/>
      </c>
      <c r="H553">
        <f>1-(1-Skills!J22/100)^Skills!K22</f>
        <v/>
      </c>
      <c r="I553" t="inlineStr">
        <is>
          <t>1</t>
        </is>
      </c>
      <c r="J553" t="inlineStr"/>
      <c r="K553" t="inlineStr"/>
      <c r="L553" t="inlineStr"/>
      <c r="M553" t="inlineStr"/>
      <c r="N553" t="inlineStr"/>
      <c r="O553">
        <f>(1-Summary!$B$11)*T553+Summary!$B$11*V553</f>
        <v/>
      </c>
      <c r="P553">
        <f>IF(B572=0,0,O553/B572)</f>
        <v/>
      </c>
      <c r="Q553" t="n">
        <v>0</v>
      </c>
      <c r="R553" t="n">
        <v>0</v>
      </c>
      <c r="S553">
        <f>IFERROR(O553/N553,0)</f>
        <v/>
      </c>
      <c r="T553" t="n">
        <v>0</v>
      </c>
      <c r="V553" t="n">
        <v>0</v>
      </c>
    </row>
    <row r="554">
      <c r="A554">
        <f>Skills!A23</f>
        <v/>
      </c>
      <c r="B554">
        <f>Skills!B23</f>
        <v/>
      </c>
      <c r="C554">
        <f>Inputs!$B$3&gt;=38</f>
        <v/>
      </c>
      <c r="D554">
        <f>IF(Skills!C23=1,60+Inputs!$B$25+Inputs!$B$29,IF(Skills!C23=2,90+Inputs!$B$26+Inputs!$B$29,IF(Skills!C23=3,120+Inputs!$B$27+Inputs!$B$29,MAX(0,(Inputs!$B$3-100)*3)+Inputs!$B$28+Inputs!$B$29)))</f>
        <v/>
      </c>
      <c r="E554">
        <f>INDEX(FactorTable!$B$2:$Y$301, MATCH(ROUND(MIN(300,MAX(1,D554)),0), FactorTable!$A$2:$A$301,0), Skills!M23+1)</f>
        <v/>
      </c>
      <c r="F554">
        <f>IF(Skills!N23=TRUE,(Skills!L23/10)*(E554/1000),Skills!L23/10)+Skills!O23</f>
        <v/>
      </c>
      <c r="G554">
        <f>Skills!G23*IF(Skills!H23&gt;0,INT(IF(Inputs!$B$38="pvp",MIN(Skills!I23,15),Skills!I23)/Skills!H23+0.000000001),1)</f>
        <v/>
      </c>
      <c r="H554">
        <f>1-(1-Skills!J23/100)^Skills!K23</f>
        <v/>
      </c>
      <c r="I554" t="inlineStr">
        <is>
          <t>1</t>
        </is>
      </c>
      <c r="J554" t="inlineStr"/>
      <c r="K554" t="inlineStr"/>
      <c r="L554" t="inlineStr"/>
      <c r="M554" t="inlineStr"/>
      <c r="N554" t="inlineStr"/>
      <c r="O554">
        <f>(1-Summary!$B$11)*T554+Summary!$B$11*V554</f>
        <v/>
      </c>
      <c r="P554">
        <f>IF(B572=0,0,O554/B572)</f>
        <v/>
      </c>
      <c r="Q554" t="n">
        <v>0</v>
      </c>
      <c r="R554" t="n">
        <v>0</v>
      </c>
      <c r="S554">
        <f>IFERROR(O554/N554,0)</f>
        <v/>
      </c>
      <c r="T554" t="n">
        <v>0</v>
      </c>
      <c r="V554" t="n">
        <v>0</v>
      </c>
    </row>
    <row r="555">
      <c r="A555">
        <f>Skills!A24</f>
        <v/>
      </c>
      <c r="B555">
        <f>Skills!B24</f>
        <v/>
      </c>
      <c r="C555">
        <f>Inputs!$B$3&gt;=45</f>
        <v/>
      </c>
      <c r="D555">
        <f>IF(Skills!C24=1,60+Inputs!$B$25+Inputs!$B$29,IF(Skills!C24=2,90+Inputs!$B$26+Inputs!$B$29,IF(Skills!C24=3,120+Inputs!$B$27+Inputs!$B$29,MAX(0,(Inputs!$B$3-100)*3)+Inputs!$B$28+Inputs!$B$29)))</f>
        <v/>
      </c>
      <c r="E555">
        <f>INDEX(FactorTable!$B$2:$Y$301, MATCH(ROUND(MIN(300,MAX(1,D555)),0), FactorTable!$A$2:$A$301,0), Skills!M24+1)</f>
        <v/>
      </c>
      <c r="F555">
        <f>IF(Skills!N24=TRUE,(Skills!L24/10)*(E555/1000),Skills!L24/10)+Skills!O24</f>
        <v/>
      </c>
      <c r="G555">
        <f>Skills!G24*IF(Skills!H24&gt;0,INT(IF(Inputs!$B$38="pvp",MIN(Skills!I24,15),Skills!I24)/Skills!H24+0.000000001),1)</f>
        <v/>
      </c>
      <c r="H555">
        <f>1-(1-Skills!J24/100)^Skills!K24</f>
        <v/>
      </c>
      <c r="I555" t="inlineStr">
        <is>
          <t>1</t>
        </is>
      </c>
      <c r="J555" t="inlineStr"/>
      <c r="K555" t="inlineStr"/>
      <c r="L555" t="inlineStr"/>
      <c r="M555" t="inlineStr"/>
      <c r="N555" t="inlineStr"/>
      <c r="O555">
        <f>(1-Summary!$B$11)*T555+Summary!$B$11*V555</f>
        <v/>
      </c>
      <c r="P555">
        <f>IF(B572=0,0,O555/B572)</f>
        <v/>
      </c>
      <c r="Q555" t="n">
        <v>0</v>
      </c>
      <c r="R555" t="n">
        <v>0</v>
      </c>
      <c r="S555">
        <f>IFERROR(O555/N555,0)</f>
        <v/>
      </c>
      <c r="T555" t="n">
        <v>0</v>
      </c>
      <c r="V555" t="n">
        <v>0</v>
      </c>
    </row>
    <row r="556">
      <c r="A556">
        <f>Skills!A25</f>
        <v/>
      </c>
      <c r="B556">
        <f>Skills!B25</f>
        <v/>
      </c>
      <c r="C556">
        <f>Inputs!$B$3&gt;=72</f>
        <v/>
      </c>
      <c r="D556">
        <f>IF(Skills!C25=1,60+Inputs!$B$25+Inputs!$B$29,IF(Skills!C25=2,90+Inputs!$B$26+Inputs!$B$29,IF(Skills!C25=3,120+Inputs!$B$27+Inputs!$B$29,MAX(0,(Inputs!$B$3-100)*3)+Inputs!$B$28+Inputs!$B$29)))</f>
        <v/>
      </c>
      <c r="E556">
        <f>INDEX(FactorTable!$B$2:$Y$301, MATCH(ROUND(MIN(300,MAX(1,D556)),0), FactorTable!$A$2:$A$301,0), Skills!M25+1)</f>
        <v/>
      </c>
      <c r="F556">
        <f>IF(Skills!N25=TRUE,(Skills!L25/10)*(E556/1000),Skills!L25/10)+Skills!O25</f>
        <v/>
      </c>
      <c r="G556">
        <f>Skills!G25*IF(Skills!H25&gt;0,INT(IF(Inputs!$B$38="pvp",MIN(Skills!I25,15),Skills!I25)/Skills!H25+0.000000001),1)</f>
        <v/>
      </c>
      <c r="H556">
        <f>1-(1-Skills!J25/100)^Skills!K25</f>
        <v/>
      </c>
      <c r="I556" t="inlineStr">
        <is>
          <t>1</t>
        </is>
      </c>
      <c r="J556" t="inlineStr"/>
      <c r="K556" t="inlineStr"/>
      <c r="L556" t="inlineStr"/>
      <c r="M556" t="inlineStr"/>
      <c r="N556" t="inlineStr"/>
      <c r="O556">
        <f>(1-Summary!$B$11)*T556+Summary!$B$11*V556</f>
        <v/>
      </c>
      <c r="P556">
        <f>IF(B572=0,0,O556/B572)</f>
        <v/>
      </c>
      <c r="Q556" t="n">
        <v>0</v>
      </c>
      <c r="R556" t="n">
        <v>0</v>
      </c>
      <c r="S556">
        <f>IFERROR(O556/N556,0)</f>
        <v/>
      </c>
      <c r="T556" t="n">
        <v>0</v>
      </c>
      <c r="V556" t="n">
        <v>0</v>
      </c>
    </row>
    <row r="557">
      <c r="A557">
        <f>Skills!A26</f>
        <v/>
      </c>
      <c r="B557">
        <f>Skills!B26</f>
        <v/>
      </c>
      <c r="C557">
        <f>Inputs!$B$3&gt;=75</f>
        <v/>
      </c>
      <c r="D557">
        <f>IF(Skills!C26=1,60+Inputs!$B$25+Inputs!$B$29,IF(Skills!C26=2,90+Inputs!$B$26+Inputs!$B$29,IF(Skills!C26=3,120+Inputs!$B$27+Inputs!$B$29,MAX(0,(Inputs!$B$3-100)*3)+Inputs!$B$28+Inputs!$B$29)))</f>
        <v/>
      </c>
      <c r="E557">
        <f>INDEX(FactorTable!$B$2:$Y$301, MATCH(ROUND(MIN(300,MAX(1,D557)),0), FactorTable!$A$2:$A$301,0), Skills!M26+1)</f>
        <v/>
      </c>
      <c r="F557">
        <f>IF(Skills!N26=TRUE,(Skills!L26/10)*(E557/1000),Skills!L26/10)+Skills!O26</f>
        <v/>
      </c>
      <c r="G557">
        <f>Skills!G26*IF(Skills!H26&gt;0,INT(IF(Inputs!$B$38="pvp",MIN(Skills!I26,15),Skills!I26)/Skills!H26+0.000000001),1)</f>
        <v/>
      </c>
      <c r="H557">
        <f>1-(1-Skills!J26/100)^Skills!K26</f>
        <v/>
      </c>
      <c r="I557" t="inlineStr">
        <is>
          <t>1</t>
        </is>
      </c>
      <c r="J557" t="inlineStr"/>
      <c r="K557" t="inlineStr"/>
      <c r="L557" t="inlineStr"/>
      <c r="M557" t="inlineStr"/>
      <c r="N557" t="inlineStr"/>
      <c r="O557">
        <f>(1-Summary!$B$11)*T557+Summary!$B$11*V557</f>
        <v/>
      </c>
      <c r="P557">
        <f>IF(B572=0,0,O557/B572)</f>
        <v/>
      </c>
      <c r="Q557" t="n">
        <v>0</v>
      </c>
      <c r="R557" t="n">
        <v>0</v>
      </c>
      <c r="S557">
        <f>IFERROR(O557/N557,0)</f>
        <v/>
      </c>
      <c r="T557" t="n">
        <v>0</v>
      </c>
      <c r="V557" t="n">
        <v>0</v>
      </c>
    </row>
    <row r="558">
      <c r="A558">
        <f>Skills!A27</f>
        <v/>
      </c>
      <c r="B558">
        <f>Skills!B27</f>
        <v/>
      </c>
      <c r="C558">
        <f>Inputs!$B$3&gt;=125</f>
        <v/>
      </c>
      <c r="D558">
        <f>IF(Skills!C27=1,60+Inputs!$B$25+Inputs!$B$29,IF(Skills!C27=2,90+Inputs!$B$26+Inputs!$B$29,IF(Skills!C27=3,120+Inputs!$B$27+Inputs!$B$29,MAX(0,(Inputs!$B$3-100)*3)+Inputs!$B$28+Inputs!$B$29)))</f>
        <v/>
      </c>
      <c r="E558">
        <f>INDEX(FactorTable!$B$2:$Y$301, MATCH(ROUND(MIN(300,MAX(1,D558)),0), FactorTable!$A$2:$A$301,0), Skills!M27+1)</f>
        <v/>
      </c>
      <c r="F558">
        <f>IF(Skills!N27=TRUE,(Skills!L27/10)*(E558/1000),Skills!L27/10)+Skills!O27</f>
        <v/>
      </c>
      <c r="G558">
        <f>Skills!G27*IF(Skills!H27&gt;0,INT(IF(Inputs!$B$38="pvp",MIN(Skills!I27,15),Skills!I27)/Skills!H27+0.000000001),1)</f>
        <v/>
      </c>
      <c r="H558">
        <f>1-(1-Skills!J27/100)^Skills!K27</f>
        <v/>
      </c>
      <c r="I558" t="inlineStr">
        <is>
          <t>1</t>
        </is>
      </c>
      <c r="J558" t="inlineStr"/>
      <c r="K558" t="inlineStr"/>
      <c r="L558" t="inlineStr"/>
      <c r="M558" t="inlineStr"/>
      <c r="N558" t="inlineStr"/>
      <c r="O558">
        <f>(1-Summary!$B$11)*T558+Summary!$B$11*V558</f>
        <v/>
      </c>
      <c r="P558">
        <f>IF(B572=0,0,O558/B572)</f>
        <v/>
      </c>
      <c r="Q558" t="n">
        <v>0</v>
      </c>
      <c r="R558" t="n">
        <v>0</v>
      </c>
      <c r="S558">
        <f>IFERROR(O558/N558,0)</f>
        <v/>
      </c>
      <c r="T558" t="n">
        <v>0</v>
      </c>
      <c r="V558" t="n">
        <v>0</v>
      </c>
    </row>
    <row r="559">
      <c r="A559">
        <f>Skills!A28</f>
        <v/>
      </c>
      <c r="B559">
        <f>Skills!B28</f>
        <v/>
      </c>
      <c r="C559">
        <f>TRUE</f>
        <v/>
      </c>
      <c r="D559">
        <f>IF(Skills!C28=1,60+Inputs!$B$25+Inputs!$B$29,IF(Skills!C28=2,90+Inputs!$B$26+Inputs!$B$29,IF(Skills!C28=3,120+Inputs!$B$27+Inputs!$B$29,MAX(0,(Inputs!$B$3-100)*3)+Inputs!$B$28+Inputs!$B$29)))</f>
        <v/>
      </c>
      <c r="E559">
        <f>INDEX(FactorTable!$B$2:$Y$301, MATCH(ROUND(MIN(300,MAX(1,D559)),0), FactorTable!$A$2:$A$301,0), Skills!M28+1)</f>
        <v/>
      </c>
      <c r="F559">
        <f>IF(Skills!N28=TRUE,(Skills!L28/10)*(E559/1000),Skills!L28/10)+Skills!O28</f>
        <v/>
      </c>
      <c r="G559">
        <f>Skills!G28*IF(Skills!H28&gt;0,INT(IF(Inputs!$B$38="pvp",MIN(Skills!I28,15),Skills!I28)/Skills!H28+0.000000001),1)</f>
        <v/>
      </c>
      <c r="H559">
        <f>1-(1-Skills!J28/100)^Skills!K28</f>
        <v/>
      </c>
      <c r="I559" t="inlineStr">
        <is>
          <t>1</t>
        </is>
      </c>
      <c r="J559" t="inlineStr"/>
      <c r="K559" t="inlineStr"/>
      <c r="L559" t="inlineStr"/>
      <c r="M559" t="inlineStr"/>
      <c r="N559" t="inlineStr"/>
      <c r="O559">
        <f>(1-Summary!$B$11)*T559+Summary!$B$11*V559</f>
        <v/>
      </c>
      <c r="P559">
        <f>IF(B572=0,0,O559/B572)</f>
        <v/>
      </c>
      <c r="Q559">
        <f>IFERROR(1/(IF(Inputs!$B$38="pvp",15,MAX(0.1,Skills!D28-IF(TRUE=TRUE,Inputs!$B$32,0)))*(1-IF(AND(ArtifactsInput!$M$27,Inputs!$B$4="Chapter Hunt"),CHOOSE(ArtifactsInput!$N$27+1,20,24,28,32,36,40),0)/100)),0)</f>
        <v/>
      </c>
      <c r="R559">
        <f>IF(AND(Inputs!$B$38&lt;&gt;"pvp",Inputs!$B$43&gt;0),IF(Inputs!$B$43&lt;=0,0,(INT(Inputs!$B$43/(IF(Inputs!$B$38="pvp",15,MAX(0.1,Skills!D28-IF(TRUE=TRUE,Inputs!$B$32,0)))*(1-IF(AND(ArtifactsInput!$M$27,Inputs!$B$4="Chapter Hunt"),CHOOSE(ArtifactsInput!$N$27+1,20,24,28,32,36,40),0)/100)))+1)),0)</f>
        <v/>
      </c>
      <c r="S559">
        <f>IFERROR(O559/N559,0)</f>
        <v/>
      </c>
      <c r="T559" t="n">
        <v>0</v>
      </c>
      <c r="V559" t="n">
        <v>0</v>
      </c>
    </row>
    <row r="561">
      <c r="A561" t="inlineStr">
        <is>
          <t>Attack% Bucket Multiplier</t>
        </is>
      </c>
      <c r="B561">
        <f>(1+(((C548=TRUE)*F548*5/7)+((C555=TRUE)*(F555-Calc!F24))+(IF(ArtifactsInput!$M$21,CHOOSE(ArtifactsInput!$N$21+1,25,30,35,40,45,50)*(IF(OR(Inputs!$B$4="Chapter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562">
      <c r="A562" t="inlineStr">
        <is>
          <t>Global Crit Rate Bonus %</t>
        </is>
      </c>
      <c r="B562" t="n">
        <v>0</v>
      </c>
    </row>
    <row r="563">
      <c r="A563" t="inlineStr">
        <is>
          <t>Attack Speed Buff Bonus % (Nimble Feet, duty-cycle averaged)</t>
        </is>
      </c>
      <c r="B563">
        <f>((C559=TRUE)*F559*IF(AND(Inputs!$B$38&lt;&gt;"pvp",Inputs!$B$43&gt;0),(((R559-1)*MIN((Skills!T28*(1+Inputs!$B$34/100)),(1/Q559))+MIN((Skills!T28*(1+Inputs!$B$34/100)),MAX(0,Inputs!$B$43-((R559-1)*(1/Q559)))))/Inputs!$B$43),IF(Inputs!$B$38="pvp",MIN((Skills!T28*(1+Inputs!$B$34/100)),15)/15,MIN(1,(Skills!T28*(1+Inputs!$B$34/100))/(1/Q559)))))</f>
        <v/>
      </c>
    </row>
    <row r="564">
      <c r="A564" t="inlineStr">
        <is>
          <t>Actions Per Second</t>
        </is>
      </c>
      <c r="B564">
        <f>1+MIN(150,150*(1-(1-(Inputs!$B$11+((C551=TRUE)*(F551-Calc!F20))+((C552=TRUE)*(F552-Calc!F21)))/150)*(1-B563/150)))/100</f>
        <v/>
      </c>
    </row>
    <row r="565">
      <c r="A565" t="inlineStr">
        <is>
          <t>Skill + Buff Cast Rate</t>
        </is>
      </c>
      <c r="B565">
        <f>IF(AND(Inputs!$B$38&lt;&gt;"pvp",Inputs!$B$43&gt;0),SUMPRODUCT((Skills!E2:E28=TRUE)*(C533:C559=TRUE)*R533:R559*Skills!F2:F28)/Inputs!$B$43,SUMPRODUCT((Skills!E2:E28=TRUE)*(C533:C559=TRUE)*Q533:Q559*Skills!F2:F28))</f>
        <v/>
      </c>
    </row>
    <row r="566">
      <c r="A566" t="inlineStr">
        <is>
          <t>Eight-Legs Easton Casts Per Second</t>
        </is>
      </c>
      <c r="B566">
        <f>MAX(0,B564-B565)</f>
        <v/>
      </c>
    </row>
    <row r="567">
      <c r="A567" t="inlineStr">
        <is>
          <t>Global Critical Damage Bonus % (unused)</t>
        </is>
      </c>
      <c r="B567" t="n">
        <v>0</v>
      </c>
    </row>
    <row r="568">
      <c r="A568" t="inlineStr">
        <is>
          <t>Global Final Damage Bonus % (Jolly Roger + Ahoy Mateys - Final Damage proc)</t>
        </is>
      </c>
      <c r="B568">
        <f>((C549=TRUE)*F549*IF(AND(Inputs!$B$38&lt;&gt;"pvp",Inputs!$B$43&gt;0),(((R549-1)*MIN((Skills!T18*(1+Inputs!$B$34/100)),(1/Q549))+MIN((Skills!T18*(1+Inputs!$B$34/100)),MAX(0,Inputs!$B$43-((R549-1)*(1/Q549)))))/Inputs!$B$43),IF(Inputs!$B$38="pvp",MIN((Skills!T18*(1+Inputs!$B$34/100)),15)/15,MIN(1,(Skills!T18*(1+Inputs!$B$34/100))/(1/Q549)))))+IF(Inputs!$B$3&gt;=122,20*IF(Inputs!$B$38="pvp",MIN((20*(1+Inputs!$B$34/100)),15)/15,MIN(1,(20*(1+Inputs!$B$34/100))/(1/Q535))),0)</f>
        <v/>
      </c>
    </row>
    <row r="569">
      <c r="A569" t="inlineStr">
        <is>
          <t>Buff-Casting Startup Delay (s, fixed-duration only)</t>
        </is>
      </c>
      <c r="B569">
        <f>IF(AND(Inputs!$B$38&lt;&gt;"pvp",Inputs!$B$43&gt;0),SUMPRODUCT((Skills!T2:T28&gt;0)*(Skills!E2:E28=TRUE)*(C533:C559=TRUE))/B564,0)</f>
        <v/>
      </c>
    </row>
    <row r="570">
      <c r="A570" t="inlineStr">
        <is>
          <t>Boss-Only Total DPS (this block's swept value)</t>
        </is>
      </c>
      <c r="B570">
        <f>SUM(T533:T559)</f>
        <v/>
      </c>
    </row>
    <row r="571">
      <c r="A571" t="inlineStr">
        <is>
          <t>Normal-Only Total DPS (this block's swept value)</t>
        </is>
      </c>
      <c r="B571">
        <f>SUM(V533:V559)</f>
        <v/>
      </c>
    </row>
    <row r="572">
      <c r="A572" s="6" t="inlineStr">
        <is>
          <t>TOTAL DPS</t>
        </is>
      </c>
      <c r="B572" s="6">
        <f>SUM(O533:O559)</f>
        <v/>
      </c>
    </row>
    <row r="573">
      <c r="A573" t="inlineStr">
        <is>
          <t>Quickdraw cooldown divisor (this block's own APS / Q)</t>
        </is>
      </c>
      <c r="B573">
        <f>IF(AND(C558=TRUE,Inputs!$B$38&lt;&gt;"pvp"),1+0.25*MAX(0,(B564-(((C534=TRUE)*Q534*1)+((C535=TRUE)*Q535*1)+((C537=TRUE)*Q537*1)+((C538=TRUE)*Q538*1)+((C540=TRUE)*Q540*1)+((C543=TRUE)*Q543*1)+((C549=TRUE)*Q549*1)+((C559=TRUE)*Q559*1))-((C539=TRUE)/(IF(Inputs!$B$38="pvp",15,MAX(0.1,Skills!D8-IF(TRUE=TRUE,Inputs!$B$32,0)))*(1-IF(AND(ArtifactsInput!$M$27,Inputs!$B$4="Chapter Hunt"),CHOOSE(ArtifactsInput!$N$27+1,20,24,28,32,36,40),0)/100))+(C542=TRUE)/(IF(Inputs!$B$38="pvp",15,MAX(0.1,Skills!D11-IF(TRUE=TRUE,Inputs!$B$32,0)))*(1-IF(AND(ArtifactsInput!$M$27,Inputs!$B$4="Chapter Hunt"),CHOOSE(ArtifactsInput!$N$27+1,20,24,28,32,36,40),0)/100))))/(1+0.25*((C539=TRUE)/(IF(Inputs!$B$38="pvp",15,MAX(0.1,Skills!D8-IF(TRUE=TRUE,Inputs!$B$32,0)))*(1-IF(AND(ArtifactsInput!$M$27,Inputs!$B$4="Chapter Hunt"),CHOOSE(ArtifactsInput!$N$27+1,20,24,28,32,36,40),0)/100))+(C542=TRUE)/(IF(Inputs!$B$38="pvp",15,MAX(0.1,Skills!D11-IF(TRUE=TRUE,Inputs!$B$32,0)))*(1-IF(AND(ArtifactsInput!$M$27,Inputs!$B$4="Chapter Hunt"),CHOOSE(ArtifactsInput!$N$27+1,20,24,28,32,36,40),0)/100))))),1)</f>
        <v/>
      </c>
    </row>
    <row r="574">
      <c r="A574" t="inlineStr">
        <is>
          <t>Nautilus Strike - Final Attack trigger rate (this block's own Q/R)</t>
        </is>
      </c>
      <c r="B574">
        <f>IF(AND(Inputs!$B$38&lt;&gt;"pvp",Inputs!$B$43&gt;0),(((C534=TRUE)*R534)+((C537=TRUE)*R537)+((C539=TRUE)*R539)+((C540=TRUE)*R540)+((C542=TRUE)*R542))/Inputs!$B$43,((C534=TRUE)*Q534)+((C537=TRUE)*Q537)+((C539=TRUE)*Q539)+((C540=TRUE)*Q540)+((C542=TRUE)*Q542))+B566</f>
        <v/>
      </c>
    </row>
    <row r="577">
      <c r="A577" s="6" t="inlineStr">
        <is>
          <t>Stat: CRIT_DAMAGE %</t>
        </is>
      </c>
    </row>
    <row r="578">
      <c r="A578" s="5" t="inlineStr">
        <is>
          <t>Key</t>
        </is>
      </c>
      <c r="B578" s="5" t="inlineStr">
        <is>
          <t>Name</t>
        </is>
      </c>
      <c r="C578" s="5" t="inlineStr">
        <is>
          <t>Unlocked</t>
        </is>
      </c>
      <c r="D578" s="5" t="inlineStr">
        <is>
          <t>InputLevel</t>
        </is>
      </c>
      <c r="E578" s="5" t="inlineStr">
        <is>
          <t>Factor</t>
        </is>
      </c>
      <c r="F578" s="5" t="inlineStr">
        <is>
          <t>CoefficientPercent</t>
        </is>
      </c>
      <c r="G578" s="5" t="inlineStr">
        <is>
          <t>EffectiveHits</t>
        </is>
      </c>
      <c r="H578" s="5" t="inlineStr">
        <is>
          <t>ProcProbability</t>
        </is>
      </c>
      <c r="I578" s="5" t="inlineStr">
        <is>
          <t>MapleHeroMultiplier</t>
        </is>
      </c>
      <c r="J578" s="5" t="inlineStr">
        <is>
          <t>BaseDamage</t>
        </is>
      </c>
      <c r="K578" s="5" t="inlineStr">
        <is>
          <t>BaseHitDamage</t>
        </is>
      </c>
      <c r="L578" s="5" t="inlineStr">
        <is>
          <t>NonCritAvg</t>
        </is>
      </c>
      <c r="M578" s="5" t="inlineStr">
        <is>
          <t>CritAvg</t>
        </is>
      </c>
      <c r="N578" s="5" t="inlineStr">
        <is>
          <t>ExpectedDamage(perHit)</t>
        </is>
      </c>
      <c r="O578" s="5" t="inlineStr">
        <is>
          <t>DPS</t>
        </is>
      </c>
      <c r="P578" s="5" t="inlineStr">
        <is>
          <t>% of Total</t>
        </is>
      </c>
      <c r="Q578" s="5" t="inlineStr">
        <is>
          <t>InvCooldown</t>
        </is>
      </c>
      <c r="R578" s="5" t="inlineStr">
        <is>
          <t>CastsInFight</t>
        </is>
      </c>
      <c r="S578" s="5" t="inlineStr">
        <is>
          <t>HitRate(perSec)</t>
        </is>
      </c>
      <c r="U578" t="inlineStr">
        <is>
          <t>helpers</t>
        </is>
      </c>
    </row>
    <row r="579">
      <c r="A579">
        <f>Skills!A2</f>
        <v/>
      </c>
      <c r="B579">
        <f>Skills!B2</f>
        <v/>
      </c>
      <c r="C579">
        <f>Inputs!$B$3&gt;=100</f>
        <v/>
      </c>
      <c r="D579" t="inlineStr"/>
      <c r="E579" t="inlineStr"/>
      <c r="F579">
        <f>U581+Skills!O2</f>
        <v/>
      </c>
      <c r="G579">
        <f>Skills!G2*IF(Skills!H2&gt;0,INT(IF(Inputs!$B$38="pvp",MIN(Skills!I2,15),Skills!I2)/Skills!H2+0.000000001),1)</f>
        <v/>
      </c>
      <c r="H579">
        <f>1-(1-Skills!J2/100)^Skills!K2</f>
        <v/>
      </c>
      <c r="I579" t="inlineStr">
        <is>
          <t>1</t>
        </is>
      </c>
      <c r="J579">
        <f>((Inputs!$B$6*(1+Inputs!$B$7/100))+(((Inputs!$B$12*(1+Inputs!$B$13/100))-(Inputs!$B$12*(1+Inputs!$B$13/100)))+0.25*(Inputs!$B$14-Inputs!$B$14))*(1+Inputs!$B$7/100))*(F579/100)</f>
        <v/>
      </c>
      <c r="K579">
        <f>J579*(1+((Inputs!$B$12*(1+Inputs!$B$13/100))*0.01+Inputs!$B$14*0.0025)/100)*(1+Inputs!$B$15/100)*(1+Inputs!$B$16/100)*(5000/(6000+Inputs!$B$42*(1-(100*(1-(1-(Inputs!$B$19+0)/100)*(1-CHOOSE(ArtifactsInput!$N$40+1,5,6,7,8,9,10)/100)^(ArtifactsInput!$M$40-ArtifactsInput!$M$40)))/100)))*(1+(Inputs!$B$24+((C603=TRUE)*(F603-Calc!F26))+B614)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IGHT_LEGS_EASTON",Inputs!$B$17+((C600=TRUE)*(F600-Calc!F23))+((C604=TRUE)*(F604-Calc!F27))+((IF(AND(Inputs!$B$38&lt;&gt;"pvp",Inputs!$B$43=0),1,IF(IF(Inputs!$B$38="pvp",15,Inputs!$B$43)-(B615)&lt;=0,1,MAX(0,IF(Inputs!$B$38="pvp",15,Inputs!$B$43)-MAX(5,B615))/(IF(Inputs!$B$38="pvp",15,Inputs!$B$43)-(B615))))*(IF(AND(ArtifactsInput!$M$42,((Inputs!$B$9+((C596=TRUE)*(F596-Calc!F19))+B608+(ArtifactsInput!$M$24-ArtifactsInput!$M$24)*CHOOSE(ArtifactsInput!$N$24+1,10,12,14,16,18,20)+IF(ArtifactsInput!$M$10,CHOOSE(ArtifactsInput!$N$10+1,15,18,21,24,27,30)*(IF(Inputs!$B$38="pvp",MIN(15,15)/15,IF(AND(Inputs!$B$38&lt;&gt;"pvp",Inputs!$B$43&gt;0),MIN(15,Inputs!$B$43)/(Inputs!$B$43),0))),0)))&gt;=100),MIN(100,((Inputs!$B$9+((C596=TRUE)*(F596-Calc!F19))+B608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615)&lt;=0,1,MAX(0,IF(Inputs!$B$38="pvp",15,Inputs!$B$43)-MAX(5,B615))/(IF(Inputs!$B$38="pvp",15,Inputs!$B$43)-(B615))))*IF(AND(ArtifactsInput!$M$42,((Inputs!$B$9+((C596=TRUE)*(F596-Calc!F19))+B608+(ArtifactsInput!$M$24-ArtifactsInput!$M$24)*CHOOSE(ArtifactsInput!$N$24+1,10,12,14,16,18,20)+IF(ArtifactsInput!$M$10,CHOOSE(ArtifactsInput!$N$10+1,15,18,21,24,27,30)*(IF(Inputs!$B$38="pvp",MIN(15,15)/15,IF(AND(Inputs!$B$38&lt;&gt;"pvp",Inputs!$B$43&gt;0),MIN(15,Inputs!$B$43)/(Inputs!$B$43),0))),0)))&gt;=100),CHOOSE(ArtifactsInput!$N$42+1,40,48,56,64,72,80),0))))/100)*((1+(((C594=TRUE)*F594*5/7)+((C601=TRUE)*(F601-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579)</f>
        <v/>
      </c>
      <c r="L579">
        <f>K579*(MIN(Inputs!$B$22+((C599=TRUE)*(F599-Calc!F22)),(Inputs!$B$23+0+(IF(ArtifactsInput!$M$15,CHOOSE(ArtifactsInput!$N$15+1,25,30,35,40,45,50)/100*(Inputs!$B$11-Inputs!$B$11),0))))/100+(Inputs!$B$23+0+(IF(ArtifactsInput!$M$15,CHOOSE(ArtifactsInput!$N$15+1,25,30,35,40,45,50)/100*(Inputs!$B$11-Inputs!$B$11),0)))/100)/2</f>
        <v/>
      </c>
      <c r="M579">
        <f>L579*(1+((Inputs!$B$10+1)+((C602=TRUE)*(F602-Calc!F25))+B613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79">
        <f>L579*(1-MIN((Inputs!$B$9+((C596=TRUE)*(F596-Calc!F19))+B608+(ArtifactsInput!$M$24-ArtifactsInput!$M$24)*CHOOSE(ArtifactsInput!$N$24+1,10,12,14,16,18,20)+(IF(AND(Inputs!$B$38&lt;&gt;"pvp",Inputs!$B$43=0),1,IF(IF(Inputs!$B$38="pvp",15,Inputs!$B$43)-(B615)&lt;=0,1,MAX(0,IF(Inputs!$B$38="pvp",15,Inputs!$B$43)-MAX(5,B615))/(IF(Inputs!$B$38="pvp",15,Inputs!$B$43)-(B615))))*IF(AND(ArtifactsInput!$M$42,((Inputs!$B$9+((C596=TRUE)*(F596-Calc!F19))+B608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579*(MIN((Inputs!$B$9+((C596=TRUE)*(F596-Calc!F19))+B608+(ArtifactsInput!$M$24-ArtifactsInput!$M$24)*CHOOSE(ArtifactsInput!$N$24+1,10,12,14,16,18,20)+(IF(AND(Inputs!$B$38&lt;&gt;"pvp",Inputs!$B$43=0),1,IF(IF(Inputs!$B$38="pvp",15,Inputs!$B$43)-(B615)&lt;=0,1,MAX(0,IF(Inputs!$B$38="pvp",15,Inputs!$B$43)-MAX(5,B615))/(IF(Inputs!$B$38="pvp",15,Inputs!$B$43)-(B615))))*IF(AND(ArtifactsInput!$M$42,((Inputs!$B$9+((C596=TRUE)*(F596-Calc!F19))+B608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79">
        <f>(1-Summary!$B$11)*T579+Summary!$B$11*V579</f>
        <v/>
      </c>
      <c r="P579">
        <f>IF(B618=0,0,O579/B618)</f>
        <v/>
      </c>
      <c r="Q579" t="n">
        <v>0</v>
      </c>
      <c r="R579" t="n">
        <v>0</v>
      </c>
      <c r="S579">
        <f>IFERROR(O579/N579,0)</f>
        <v/>
      </c>
      <c r="T579">
        <f>IF(C579,(Skills!G2*N579*B612*(1+IF(C604=TRUE,1/3,0)))*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Hunt"),CHOOSE(ArtifactsInput!$N$35+1,15,18,21,24,27,30)*(1-EXP(-(0.2*B610)*5)),0)+IF(AND(ArtifactsInput!$M$22,Inputs!$B$4&lt;&gt;"Chapter Hunt"),CHOOSE(ArtifactsInput!$N$22+1,10,12,14,16,18,20)*((0*(((0.15*B610*5))^0/1)+1*(((0.15*B610*5))^1/1)+2*(((0.15*B610*5))^2/2)+3*(((0.15*B610*5))^3/6)+4*(((0.15*B610*5))^4/24)+5*(((0.15*B610*5))^5/120))/((((0.15*B610*5))^0/1)+(((0.15*B610*5))^1/1)+(((0.15*B610*5))^2/2)+(((0.15*B610*5))^3/6)+(((0.15*B610*5))^4/24)+(((0.15*B610*5))^5/120))),0))+IF(Inputs!$B$3&gt;=54,9*(C580=TRUE)*MIN(1,8*(1+Inputs!$B$34/100)*Q580)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579*(1-MIN(100,(Inputs!$B$9+((C596=TRUE)*(F596-Calc!F19))+B608+(ArtifactsInput!$M$24-ArtifactsInput!$M$24)*CHOOSE(ArtifactsInput!$N$24+1,10,12,14,16,18,20)+(IF(AND(Inputs!$B$38&lt;&gt;"pvp",Inputs!$B$43=0),1,IF(IF(Inputs!$B$38="pvp",15,Inputs!$B$43)-(B615)&lt;=0,1,MAX(0,IF(Inputs!$B$38="pvp",15,Inputs!$B$43)-MAX(5,B615))/(IF(Inputs!$B$38="pvp",15,Inputs!$B$43)-(B615))))*IF(AND(ArtifactsInput!$M$42,((Inputs!$B$9+((C596=TRUE)*(F596-Calc!F19))+B608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579*(MIN(100,(Inputs!$B$9+((C596=TRUE)*(F596-Calc!F19))+B608+(ArtifactsInput!$M$24-ArtifactsInput!$M$24)*CHOOSE(ArtifactsInput!$N$24+1,10,12,14,16,18,20)+(IF(AND(Inputs!$B$38&lt;&gt;"pvp",Inputs!$B$43=0),1,IF(IF(Inputs!$B$38="pvp",15,Inputs!$B$43)-(B615)&lt;=0,1,MAX(0,IF(Inputs!$B$38="pvp",15,Inputs!$B$43)-MAX(5,B615))/(IF(Inputs!$B$38="pvp",15,Inputs!$B$43)-(B615))))*IF(AND(ArtifactsInput!$M$42,((Inputs!$B$9+((C596=TRUE)*(F596-Calc!F19))+B608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579*(1-MIN(100,(Inputs!$B$9+((C596=TRUE)*(F596-Calc!F19))+B608+(ArtifactsInput!$M$24-ArtifactsInput!$M$24)*CHOOSE(ArtifactsInput!$N$24+1,10,12,14,16,18,20)+(IF(AND(Inputs!$B$38&lt;&gt;"pvp",Inputs!$B$43=0),1,IF(IF(Inputs!$B$38="pvp",15,Inputs!$B$43)-(B615)&lt;=0,1,MAX(0,IF(Inputs!$B$38="pvp",15,Inputs!$B$43)-MAX(5,B615))/(IF(Inputs!$B$38="pvp",15,Inputs!$B$43)-(B615))))*IF(AND(ArtifactsInput!$M$42,((Inputs!$B$9+((C596=TRUE)*(F596-Calc!F19))+B608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579*(MIN(100,(Inputs!$B$9+((C596=TRUE)*(F596-Calc!F19))+B608+(ArtifactsInput!$M$24-ArtifactsInput!$M$24)*CHOOSE(ArtifactsInput!$N$24+1,10,12,14,16,18,20)+(IF(AND(Inputs!$B$38&lt;&gt;"pvp",Inputs!$B$43=0),1,IF(IF(Inputs!$B$38="pvp",15,Inputs!$B$43)-(B615)&lt;=0,1,MAX(0,IF(Inputs!$B$38="pvp",15,Inputs!$B$43)-MAX(5,B615))/(IF(Inputs!$B$38="pvp",15,Inputs!$B$43)-(B615))))*IF(AND(ArtifactsInput!$M$42,((Inputs!$B$9+((C596=TRUE)*(F596-Calc!F19))+B608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579">
        <f>MAX(0,(Inputs!$B$3-100)*3)+Inputs!$B$28+Inputs!$B$29</f>
        <v/>
      </c>
      <c r="V579">
        <f>IF(C579,(Skills!G2*N579*B612*(1+IF(C604=TRUE,1/3,0)))*IF(Inputs!$B$38="pvp",1,(1+(Inputs!$B$21+Skills!Q2+(IF(ArtifactsInput!$M$33,CHOOSE(ArtifactsInput!$N$33+1,30,36,42,48,54,60),0))+(IF(AND(ArtifactsInput!$M$35,Inputs!$B$4&lt;&gt;"Chapter Hunt"),CHOOSE(ArtifactsInput!$N$35+1,15,18,21,24,27,30)*(1-EXP(-(0.2*B610)*5)),0)+IF(AND(ArtifactsInput!$M$22,Inputs!$B$4&lt;&gt;"Chapter Hunt"),CHOOSE(ArtifactsInput!$N$22+1,10,12,14,16,18,20)*((0*(((0.15*B610*5))^0/1)+1*(((0.15*B610*5))^1/1)+2*(((0.15*B610*5))^2/2)+3*(((0.15*B610*5))^3/6)+4*(((0.15*B610*5))^4/24)+5*(((0.15*B610*5))^5/120))/((((0.15*B610*5))^0/1)+(((0.15*B610*5))^1/1)+(((0.15*B610*5))^2/2)+(((0.15*B610*5))^3/6)+(((0.15*B610*5))^4/24)+(((0.15*B610*5))^5/120))),0))+IF(Inputs!$B$3&gt;=54,9*(C580=TRUE)*MIN(1,8*(1+Inputs!$B$34/100)*Q580)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80">
      <c r="A580">
        <f>Skills!A3</f>
        <v/>
      </c>
      <c r="B580">
        <f>Skills!B3</f>
        <v/>
      </c>
      <c r="C580">
        <f>Inputs!$B$3&gt;=33</f>
        <v/>
      </c>
      <c r="D580">
        <f>IF(Skills!C3=1,60+Inputs!$B$25+Inputs!$B$29,IF(Skills!C3=2,90+Inputs!$B$26+Inputs!$B$29,IF(Skills!C3=3,120+Inputs!$B$27+Inputs!$B$29,MAX(0,(Inputs!$B$3-100)*3)+Inputs!$B$28+Inputs!$B$29)))</f>
        <v/>
      </c>
      <c r="E580">
        <f>INDEX(FactorTable!$B$2:$Y$301, MATCH(ROUND(MIN(300,MAX(1,D580)),0), FactorTable!$A$2:$A$301,0), Skills!M3+1)</f>
        <v/>
      </c>
      <c r="F580">
        <f>IF(Skills!N3=TRUE,(Skills!L3/10)*(E580/1000),Skills!L3/10)+Skills!O3</f>
        <v/>
      </c>
      <c r="G580">
        <f>Skills!G3*IF(Skills!H3&gt;0,INT(IF(Inputs!$B$38="pvp",MIN(Skills!I3,15),Skills!I3)/Skills!H3+0.000000001),1)</f>
        <v/>
      </c>
      <c r="H580">
        <f>1-(1-Skills!J3/100)^Skills!K3</f>
        <v/>
      </c>
      <c r="I580" t="inlineStr">
        <is>
          <t>1</t>
        </is>
      </c>
      <c r="J580">
        <f>((Inputs!$B$6*(1+Inputs!$B$7/100))+(((Inputs!$B$12*(1+Inputs!$B$13/100))-(Inputs!$B$12*(1+Inputs!$B$13/100)))+0.25*(Inputs!$B$14-Inputs!$B$14))*(1+Inputs!$B$7/100))*(F580/100)</f>
        <v/>
      </c>
      <c r="K580">
        <f>J580*(1+((Inputs!$B$12*(1+Inputs!$B$13/100))*0.01+Inputs!$B$14*0.0025)/100)*(1+Inputs!$B$15/100)*(1+Inputs!$B$16/100)*(5000/(6000+Inputs!$B$42*(1-(100*(1-(1-(Inputs!$B$19+0)/100)*(1-CHOOSE(ArtifactsInput!$N$40+1,5,6,7,8,9,10)/100)^(ArtifactsInput!$M$40-ArtifactsInput!$M$40)))/100)))*(1+(Inputs!$B$24+((C603=TRUE)*(F603-Calc!F26))+B614)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592=TRUE,F592,0)/100)*(1+(IF(Skills!A3="EIGHT_LEGS_EASTON",Inputs!$B$17+((C600=TRUE)*(F600-Calc!F23))+((C604=TRUE)*(F604-Calc!F27))+((IF(AND(Inputs!$B$38&lt;&gt;"pvp",Inputs!$B$43=0),1,IF(IF(Inputs!$B$38="pvp",15,Inputs!$B$43)-(B615)&lt;=0,1,MAX(0,IF(Inputs!$B$38="pvp",15,Inputs!$B$43)-MAX(5,B615))/(IF(Inputs!$B$38="pvp",15,Inputs!$B$43)-(B615))))*(IF(AND(ArtifactsInput!$M$42,((Inputs!$B$9+((C596=TRUE)*(F596-Calc!F19))+B608+(ArtifactsInput!$M$24-ArtifactsInput!$M$24)*CHOOSE(ArtifactsInput!$N$24+1,10,12,14,16,18,20)+IF(ArtifactsInput!$M$10,CHOOSE(ArtifactsInput!$N$10+1,15,18,21,24,27,30)*(IF(Inputs!$B$38="pvp",MIN(15,15)/15,IF(AND(Inputs!$B$38&lt;&gt;"pvp",Inputs!$B$43&gt;0),MIN(15,Inputs!$B$43)/(Inputs!$B$43),0))),0)))&gt;=100),MIN(100,((Inputs!$B$9+((C596=TRUE)*(F596-Calc!F19))+B608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615)&lt;=0,1,MAX(0,IF(Inputs!$B$38="pvp",15,Inputs!$B$43)-MAX(5,B615))/(IF(Inputs!$B$38="pvp",15,Inputs!$B$43)-(B615))))*IF(AND(ArtifactsInput!$M$42,((Inputs!$B$9+((C596=TRUE)*(F596-Calc!F19))+B608+(ArtifactsInput!$M$24-ArtifactsInput!$M$24)*CHOOSE(ArtifactsInput!$N$24+1,10,12,14,16,18,20)+IF(ArtifactsInput!$M$10,CHOOSE(ArtifactsInput!$N$10+1,15,18,21,24,27,30)*(IF(Inputs!$B$38="pvp",MIN(15,15)/15,IF(AND(Inputs!$B$38&lt;&gt;"pvp",Inputs!$B$43&gt;0),MIN(15,Inputs!$B$43)/(Inputs!$B$43),0))),0)))&gt;=100),CHOOSE(ArtifactsInput!$N$42+1,40,48,56,64,72,80),0))))/100)*((1+(((C594=TRUE)*F594*5/7)+((C601=TRUE)*(F601-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580)</f>
        <v/>
      </c>
      <c r="L580">
        <f>K580*(MIN(Inputs!$B$22+((C599=TRUE)*(F599-Calc!F22)),(Inputs!$B$23+0+(IF(ArtifactsInput!$M$15,CHOOSE(ArtifactsInput!$N$15+1,25,30,35,40,45,50)/100*(Inputs!$B$11-Inputs!$B$11),0))))/100+(Inputs!$B$23+0+(IF(ArtifactsInput!$M$15,CHOOSE(ArtifactsInput!$N$15+1,25,30,35,40,45,50)/100*(Inputs!$B$11-Inputs!$B$11),0)))/100)/2</f>
        <v/>
      </c>
      <c r="M580">
        <f>L580*(1+((Inputs!$B$10+1)+((C602=TRUE)*(F602-Calc!F25))+B613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80">
        <f>L580*(1-MIN((Inputs!$B$9+((C596=TRUE)*(F596-Calc!F19))+B608+(ArtifactsInput!$M$24-ArtifactsInput!$M$24)*CHOOSE(ArtifactsInput!$N$24+1,10,12,14,16,18,20)+(IF(AND(Inputs!$B$38&lt;&gt;"pvp",Inputs!$B$43=0),1,IF(IF(Inputs!$B$38="pvp",15,Inputs!$B$43)-(B615)&lt;=0,1,MAX(0,IF(Inputs!$B$38="pvp",15,Inputs!$B$43)-MAX(5,B615))/(IF(Inputs!$B$38="pvp",15,Inputs!$B$43)-(B615))))*IF(AND(ArtifactsInput!$M$42,((Inputs!$B$9+((C596=TRUE)*(F596-Calc!F19))+B608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580*(MIN((Inputs!$B$9+((C596=TRUE)*(F596-Calc!F19))+B608+(ArtifactsInput!$M$24-ArtifactsInput!$M$24)*CHOOSE(ArtifactsInput!$N$24+1,10,12,14,16,18,20)+(IF(AND(Inputs!$B$38&lt;&gt;"pvp",Inputs!$B$43=0),1,IF(IF(Inputs!$B$38="pvp",15,Inputs!$B$43)-(B615)&lt;=0,1,MAX(0,IF(Inputs!$B$38="pvp",15,Inputs!$B$43)-MAX(5,B615))/(IF(Inputs!$B$38="pvp",15,Inputs!$B$43)-(B615))))*IF(AND(ArtifactsInput!$M$42,((Inputs!$B$9+((C596=TRUE)*(F596-Calc!F19))+B608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80">
        <f>(1-Summary!$B$11)*T580+Summary!$B$11*V580</f>
        <v/>
      </c>
      <c r="P580">
        <f>IF(B618=0,0,O580/B618)</f>
        <v/>
      </c>
      <c r="Q580">
        <f>IFERROR(1/(IF(Inputs!$B$38="pvp",15,MAX(0.1,Skills!D3-IF(TRUE=TRUE,Inputs!$B$32,0)))*(1-IF(AND(ArtifactsInput!$M$27,Inputs!$B$4="Chapter Hunt"),CHOOSE(ArtifactsInput!$N$27+1,20,24,28,32,36,40),0)/100)),0)</f>
        <v/>
      </c>
      <c r="R580">
        <f>IF(AND(Inputs!$B$38&lt;&gt;"pvp",Inputs!$B$43&gt;0),IF(MAX(0,Inputs!$B$43-B615)&lt;=0,0,(INT(MAX(0,Inputs!$B$43-B615)/(IF(Inputs!$B$38="pvp",15,MAX(0.1,Skills!D3-IF(TRUE=TRUE,Inputs!$B$32,0)))*(1-IF(AND(ArtifactsInput!$M$27,Inputs!$B$4="Chapter Hunt"),CHOOSE(ArtifactsInput!$N$27+1,20,24,28,32,36,40),0)/100)))+1)),0)</f>
        <v/>
      </c>
      <c r="S580">
        <f>IFERROR(O580/N580,0)</f>
        <v/>
      </c>
      <c r="T580">
        <f>IF(C580,(H580*N580*IF(AND(Inputs!$B$38&lt;&gt;"pvp",Inputs!$B$43&gt;0),((Skills!G3*((R580-1)*IF(Skills!H3&gt;0,INT(Skills!I3/Skills!H3+0.000000001),1)+IF(Skills!H3&gt;0,INT(MIN(Skills!I3,MAX(0,MAX(0,Inputs!$B$43-B615)-((R580-1)*(IF(Inputs!$B$38="pvp",15,MAX(0.1,Skills!D3-IF(TRUE=TRUE,Inputs!$B$32,0)))*(1-IF(AND(ArtifactsInput!$M$27,Inputs!$B$4="Chapter Hunt"),CHOOSE(ArtifactsInput!$N$27+1,20,24,28,32,36,40),0)/100)))))/Skills!H3+0.000000001),1)))/Inputs!$B$43),G580*Q580))*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Hunt"),CHOOSE(ArtifactsInput!$N$35+1,15,18,21,24,27,30)*(1-EXP(-(0.2*B610)*5)),0)+IF(AND(ArtifactsInput!$M$22,Inputs!$B$4&lt;&gt;"Chapter Hunt"),CHOOSE(ArtifactsInput!$N$22+1,10,12,14,16,18,20)*((0*(((0.15*B610*5))^0/1)+1*(((0.15*B610*5))^1/1)+2*(((0.15*B610*5))^2/2)+3*(((0.15*B610*5))^3/6)+4*(((0.15*B610*5))^4/24)+5*(((0.15*B610*5))^5/120))/((((0.15*B610*5))^0/1)+(((0.15*B610*5))^1/1)+(((0.15*B610*5))^2/2)+(((0.15*B610*5))^3/6)+(((0.15*B610*5))^4/24)+(((0.15*B610*5))^5/120))),0))+IF(Inputs!$B$3&gt;=54,9*(C580=TRUE)*MIN(1,8*(1+Inputs!$B$34/100)*Q580)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580*(1-MIN(100,(Inputs!$B$9+((C596=TRUE)*(F596-Calc!F19))+B608+(ArtifactsInput!$M$24-ArtifactsInput!$M$24)*CHOOSE(ArtifactsInput!$N$24+1,10,12,14,16,18,20)+(IF(AND(Inputs!$B$38&lt;&gt;"pvp",Inputs!$B$43=0),1,IF(IF(Inputs!$B$38="pvp",15,Inputs!$B$43)-(B615)&lt;=0,1,MAX(0,IF(Inputs!$B$38="pvp",15,Inputs!$B$43)-MAX(5,B615))/(IF(Inputs!$B$38="pvp",15,Inputs!$B$43)-(B615))))*IF(AND(ArtifactsInput!$M$42,((Inputs!$B$9+((C596=TRUE)*(F596-Calc!F19))+B608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580*(MIN(100,(Inputs!$B$9+((C596=TRUE)*(F596-Calc!F19))+B608+(ArtifactsInput!$M$24-ArtifactsInput!$M$24)*CHOOSE(ArtifactsInput!$N$24+1,10,12,14,16,18,20)+(IF(AND(Inputs!$B$38&lt;&gt;"pvp",Inputs!$B$43=0),1,IF(IF(Inputs!$B$38="pvp",15,Inputs!$B$43)-(B615)&lt;=0,1,MAX(0,IF(Inputs!$B$38="pvp",15,Inputs!$B$43)-MAX(5,B615))/(IF(Inputs!$B$38="pvp",15,Inputs!$B$43)-(B615))))*IF(AND(ArtifactsInput!$M$42,((Inputs!$B$9+((C596=TRUE)*(F596-Calc!F19))+B608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580*(1-MIN(100,(Inputs!$B$9+((C596=TRUE)*(F596-Calc!F19))+B608+(ArtifactsInput!$M$24-ArtifactsInput!$M$24)*CHOOSE(ArtifactsInput!$N$24+1,10,12,14,16,18,20)+(IF(AND(Inputs!$B$38&lt;&gt;"pvp",Inputs!$B$43=0),1,IF(IF(Inputs!$B$38="pvp",15,Inputs!$B$43)-(B615)&lt;=0,1,MAX(0,IF(Inputs!$B$38="pvp",15,Inputs!$B$43)-MAX(5,B615))/(IF(Inputs!$B$38="pvp",15,Inputs!$B$43)-(B615))))*IF(AND(ArtifactsInput!$M$42,((Inputs!$B$9+((C596=TRUE)*(F596-Calc!F19))+B608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580*(MIN(100,(Inputs!$B$9+((C596=TRUE)*(F596-Calc!F19))+B608+(ArtifactsInput!$M$24-ArtifactsInput!$M$24)*CHOOSE(ArtifactsInput!$N$24+1,10,12,14,16,18,20)+(IF(AND(Inputs!$B$38&lt;&gt;"pvp",Inputs!$B$43=0),1,IF(IF(Inputs!$B$38="pvp",15,Inputs!$B$43)-(B615)&lt;=0,1,MAX(0,IF(Inputs!$B$38="pvp",15,Inputs!$B$43)-MAX(5,B615))/(IF(Inputs!$B$38="pvp",15,Inputs!$B$43)-(B615))))*IF(AND(ArtifactsInput!$M$42,((Inputs!$B$9+((C596=TRUE)*(F596-Calc!F19))+B608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580">
        <f>INDEX(FactorTable!$B$2:$Y$301, MATCH(ROUND(MIN(300,MAX(1,U579)),0), FactorTable!$A$2:$A$301,0), 22)</f>
        <v/>
      </c>
      <c r="V580">
        <f>IF(C580,(H580*N580*IF(AND(Inputs!$B$38&lt;&gt;"pvp",Inputs!$B$43&gt;0),((Skills!G3*((R580-1)*IF(Skills!H3&gt;0,INT(Skills!I3/Skills!H3+0.000000001),1)+IF(Skills!H3&gt;0,INT(MIN(Skills!I3,MAX(0,MAX(0,Inputs!$B$43-B615)-((R580-1)*(IF(Inputs!$B$38="pvp",15,MAX(0.1,Skills!D3-IF(TRUE=TRUE,Inputs!$B$32,0)))*(1-IF(AND(ArtifactsInput!$M$27,Inputs!$B$4="Chapter Hunt"),CHOOSE(ArtifactsInput!$N$27+1,20,24,28,32,36,40),0)/100)))))/Skills!H3+0.000000001),1)))/Inputs!$B$43),G580*Q580))*IF(Inputs!$B$38="pvp",1,(1+(Inputs!$B$21+Skills!Q3+(IF(ArtifactsInput!$M$33,CHOOSE(ArtifactsInput!$N$33+1,30,36,42,48,54,60),0))+(IF(AND(ArtifactsInput!$M$35,Inputs!$B$4&lt;&gt;"Chapter Hunt"),CHOOSE(ArtifactsInput!$N$35+1,15,18,21,24,27,30)*(1-EXP(-(0.2*B610)*5)),0)+IF(AND(ArtifactsInput!$M$22,Inputs!$B$4&lt;&gt;"Chapter Hunt"),CHOOSE(ArtifactsInput!$N$22+1,10,12,14,16,18,20)*((0*(((0.15*B610*5))^0/1)+1*(((0.15*B610*5))^1/1)+2*(((0.15*B610*5))^2/2)+3*(((0.15*B610*5))^3/6)+4*(((0.15*B610*5))^4/24)+5*(((0.15*B610*5))^5/120))/((((0.15*B610*5))^0/1)+(((0.15*B610*5))^1/1)+(((0.15*B610*5))^2/2)+(((0.15*B610*5))^3/6)+(((0.15*B610*5))^4/24)+(((0.15*B610*5))^5/120))),0))+IF(Inputs!$B$3&gt;=54,9*(C580=TRUE)*MIN(1,8*(1+Inputs!$B$34/100)*Q580)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81">
      <c r="A581">
        <f>Skills!A4</f>
        <v/>
      </c>
      <c r="B581">
        <f>Skills!B4</f>
        <v/>
      </c>
      <c r="C581">
        <f>Inputs!$B$3&gt;=35</f>
        <v/>
      </c>
      <c r="D581">
        <f>IF(Skills!C4=1,60+Inputs!$B$25+Inputs!$B$29,IF(Skills!C4=2,90+Inputs!$B$26+Inputs!$B$29,IF(Skills!C4=3,120+Inputs!$B$27+Inputs!$B$29,MAX(0,(Inputs!$B$3-100)*3)+Inputs!$B$28+Inputs!$B$29)))</f>
        <v/>
      </c>
      <c r="E581">
        <f>INDEX(FactorTable!$B$2:$Y$301, MATCH(ROUND(MIN(300,MAX(1,D581)),0), FactorTable!$A$2:$A$301,0), Skills!M4+1)</f>
        <v/>
      </c>
      <c r="F581">
        <f>IF(Skills!N4=TRUE,(Skills!L4/10)*(E581/1000),Skills!L4/10)+Skills!O4</f>
        <v/>
      </c>
      <c r="G581">
        <f>Skills!G4*IF(Skills!H4&gt;0,INT(IF(Inputs!$B$38="pvp",MIN(IF(Inputs!$B$3&gt;=104,MIN(35,20*(1+Inputs!$B$34/100)),20),15),IF(Inputs!$B$3&gt;=104,MIN(35,20*(1+Inputs!$B$34/100)),20))/Skills!H4+0.000000001),1)</f>
        <v/>
      </c>
      <c r="H581">
        <f>1-(1-Skills!J4/100)^Skills!K4</f>
        <v/>
      </c>
      <c r="I581" t="inlineStr">
        <is>
          <t>1</t>
        </is>
      </c>
      <c r="J581">
        <f>((Inputs!$B$6*(1+Inputs!$B$7/100))+(((Inputs!$B$12*(1+Inputs!$B$13/100))-(Inputs!$B$12*(1+Inputs!$B$13/100)))+0.25*(Inputs!$B$14-Inputs!$B$14))*(1+Inputs!$B$7/100))*(F581/100)</f>
        <v/>
      </c>
      <c r="K581">
        <f>J581*(1+((Inputs!$B$12*(1+Inputs!$B$13/100))*0.01+Inputs!$B$14*0.0025)/100)*(1+Inputs!$B$15/100)*(1+Inputs!$B$16/100)*(5000/(6000+Inputs!$B$42*(1-(100*(1-(1-(Inputs!$B$19+0)/100)*(1-CHOOSE(ArtifactsInput!$N$40+1,5,6,7,8,9,10)/100)^(ArtifactsInput!$M$40-ArtifactsInput!$M$40)))/100)))*(1+(Inputs!$B$24+((C603=TRUE)*(F603-Calc!F26))+B614)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593=TRUE,F593,0)/100)*(1+(IF(Skills!A4="EIGHT_LEGS_EASTON",Inputs!$B$17+((C600=TRUE)*(F600-Calc!F23))+((C604=TRUE)*(F604-Calc!F27))+((IF(AND(Inputs!$B$38&lt;&gt;"pvp",Inputs!$B$43=0),1,IF(IF(Inputs!$B$38="pvp",15,Inputs!$B$43)-(B615)&lt;=0,1,MAX(0,IF(Inputs!$B$38="pvp",15,Inputs!$B$43)-MAX(5,B615))/(IF(Inputs!$B$38="pvp",15,Inputs!$B$43)-(B615))))*(IF(AND(ArtifactsInput!$M$42,((Inputs!$B$9+((C596=TRUE)*(F596-Calc!F19))+B608+(ArtifactsInput!$M$24-ArtifactsInput!$M$24)*CHOOSE(ArtifactsInput!$N$24+1,10,12,14,16,18,20)+IF(ArtifactsInput!$M$10,CHOOSE(ArtifactsInput!$N$10+1,15,18,21,24,27,30)*(IF(Inputs!$B$38="pvp",MIN(15,15)/15,IF(AND(Inputs!$B$38&lt;&gt;"pvp",Inputs!$B$43&gt;0),MIN(15,Inputs!$B$43)/(Inputs!$B$43),0))),0)))&gt;=100),MIN(100,((Inputs!$B$9+((C596=TRUE)*(F596-Calc!F19))+B608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615)&lt;=0,1,MAX(0,IF(Inputs!$B$38="pvp",15,Inputs!$B$43)-MAX(5,B615))/(IF(Inputs!$B$38="pvp",15,Inputs!$B$43)-(B615))))*IF(AND(ArtifactsInput!$M$42,((Inputs!$B$9+((C596=TRUE)*(F596-Calc!F19))+B608+(ArtifactsInput!$M$24-ArtifactsInput!$M$24)*CHOOSE(ArtifactsInput!$N$24+1,10,12,14,16,18,20)+IF(ArtifactsInput!$M$10,CHOOSE(ArtifactsInput!$N$10+1,15,18,21,24,27,30)*(IF(Inputs!$B$38="pvp",MIN(15,15)/15,IF(AND(Inputs!$B$38&lt;&gt;"pvp",Inputs!$B$43&gt;0),MIN(15,Inputs!$B$43)/(Inputs!$B$43),0))),0)))&gt;=100),CHOOSE(ArtifactsInput!$N$42+1,40,48,56,64,72,80),0))))/100)*((1+(((C594=TRUE)*F594*5/7)+((C601=TRUE)*(F601-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581)</f>
        <v/>
      </c>
      <c r="L581">
        <f>K581*(MIN(Inputs!$B$22+((C599=TRUE)*(F599-Calc!F22)),(Inputs!$B$23+0+(IF(ArtifactsInput!$M$15,CHOOSE(ArtifactsInput!$N$15+1,25,30,35,40,45,50)/100*(Inputs!$B$11-Inputs!$B$11),0))))/100+(Inputs!$B$23+0+(IF(ArtifactsInput!$M$15,CHOOSE(ArtifactsInput!$N$15+1,25,30,35,40,45,50)/100*(Inputs!$B$11-Inputs!$B$11),0)))/100)/2</f>
        <v/>
      </c>
      <c r="M581">
        <f>L581*(1+((Inputs!$B$10+1)+((C602=TRUE)*(F602-Calc!F25))+B613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81">
        <f>L581*(1-MIN((Inputs!$B$9+((C596=TRUE)*(F596-Calc!F19))+B608+(ArtifactsInput!$M$24-ArtifactsInput!$M$24)*CHOOSE(ArtifactsInput!$N$24+1,10,12,14,16,18,20)+(IF(AND(Inputs!$B$38&lt;&gt;"pvp",Inputs!$B$43=0),1,IF(IF(Inputs!$B$38="pvp",15,Inputs!$B$43)-(B615)&lt;=0,1,MAX(0,IF(Inputs!$B$38="pvp",15,Inputs!$B$43)-MAX(5,B615))/(IF(Inputs!$B$38="pvp",15,Inputs!$B$43)-(B615))))*IF(AND(ArtifactsInput!$M$42,((Inputs!$B$9+((C596=TRUE)*(F596-Calc!F19))+B608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581*(MIN((Inputs!$B$9+((C596=TRUE)*(F596-Calc!F19))+B608+(ArtifactsInput!$M$24-ArtifactsInput!$M$24)*CHOOSE(ArtifactsInput!$N$24+1,10,12,14,16,18,20)+(IF(AND(Inputs!$B$38&lt;&gt;"pvp",Inputs!$B$43=0),1,IF(IF(Inputs!$B$38="pvp",15,Inputs!$B$43)-(B615)&lt;=0,1,MAX(0,IF(Inputs!$B$38="pvp",15,Inputs!$B$43)-MAX(5,B615))/(IF(Inputs!$B$38="pvp",15,Inputs!$B$43)-(B615))))*IF(AND(ArtifactsInput!$M$42,((Inputs!$B$9+((C596=TRUE)*(F596-Calc!F19))+B608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81">
        <f>(1-Summary!$B$11)*T581+Summary!$B$11*V581</f>
        <v/>
      </c>
      <c r="P581">
        <f>IF(B618=0,0,O581/B618)</f>
        <v/>
      </c>
      <c r="Q581">
        <f>IFERROR(1/(IF(Inputs!$B$38="pvp",15,MAX(0.1,Skills!D4-IF(TRUE=TRUE,Inputs!$B$32,0)))*(1-IF(AND(ArtifactsInput!$M$27,Inputs!$B$4="Chapter Hunt"),CHOOSE(ArtifactsInput!$N$27+1,20,24,28,32,36,40),0)/100)),0)</f>
        <v/>
      </c>
      <c r="R581">
        <f>IF(AND(Inputs!$B$38&lt;&gt;"pvp",Inputs!$B$43&gt;0),IF(MAX(0,Inputs!$B$43-B615)&lt;=0,0,(INT(MAX(0,Inputs!$B$43-B615)/(IF(Inputs!$B$38="pvp",15,MAX(0.1,Skills!D4-IF(TRUE=TRUE,Inputs!$B$32,0)))*(1-IF(AND(ArtifactsInput!$M$27,Inputs!$B$4="Chapter Hunt"),CHOOSE(ArtifactsInput!$N$27+1,20,24,28,32,36,40),0)/100)))+1)),0)</f>
        <v/>
      </c>
      <c r="S581">
        <f>IFERROR(O581/N581,0)</f>
        <v/>
      </c>
      <c r="T581">
        <f>IF(C581,(H581*N581*IF(AND(Inputs!$B$38&lt;&gt;"pvp",Inputs!$B$43&gt;0),((Skills!G4*((R581-1)*IF(Skills!H4&gt;0,INT(IF(Inputs!$B$3&gt;=104,MIN(35,20*(1+Inputs!$B$34/100)),20)/Skills!H4+0.000000001),1)+IF(Skills!H4&gt;0,INT(MIN(IF(Inputs!$B$3&gt;=104,MIN(35,20*(1+Inputs!$B$34/100)),20),MAX(0,MAX(0,Inputs!$B$43-B615)-((R581-1)*(IF(Inputs!$B$38="pvp",15,MAX(0.1,Skills!D4-IF(TRUE=TRUE,Inputs!$B$32,0)))*(1-IF(AND(ArtifactsInput!$M$27,Inputs!$B$4="Chapter Hunt"),CHOOSE(ArtifactsInput!$N$27+1,20,24,28,32,36,40),0)/100)))))/Skills!H4+0.000000001),1)))/Inputs!$B$43),G581*Q581))*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Hunt"),CHOOSE(ArtifactsInput!$N$35+1,15,18,21,24,27,30)*(1-EXP(-(0.2*B610)*5)),0)+IF(AND(ArtifactsInput!$M$22,Inputs!$B$4&lt;&gt;"Chapter Hunt"),CHOOSE(ArtifactsInput!$N$22+1,10,12,14,16,18,20)*((0*(((0.15*B610*5))^0/1)+1*(((0.15*B610*5))^1/1)+2*(((0.15*B610*5))^2/2)+3*(((0.15*B610*5))^3/6)+4*(((0.15*B610*5))^4/24)+5*(((0.15*B610*5))^5/120))/((((0.15*B610*5))^0/1)+(((0.15*B610*5))^1/1)+(((0.15*B610*5))^2/2)+(((0.15*B610*5))^3/6)+(((0.15*B610*5))^4/24)+(((0.15*B610*5))^5/120))),0))+IF(Inputs!$B$3&gt;=54,9*(C580=TRUE)*MIN(1,8*(1+Inputs!$B$34/100)*Q580)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581*(1-MIN(100,(Inputs!$B$9+((C596=TRUE)*(F596-Calc!F19))+B608+(ArtifactsInput!$M$24-ArtifactsInput!$M$24)*CHOOSE(ArtifactsInput!$N$24+1,10,12,14,16,18,20)+(IF(AND(Inputs!$B$38&lt;&gt;"pvp",Inputs!$B$43=0),1,IF(IF(Inputs!$B$38="pvp",15,Inputs!$B$43)-(B615)&lt;=0,1,MAX(0,IF(Inputs!$B$38="pvp",15,Inputs!$B$43)-MAX(5,B615))/(IF(Inputs!$B$38="pvp",15,Inputs!$B$43)-(B615))))*IF(AND(ArtifactsInput!$M$42,((Inputs!$B$9+((C596=TRUE)*(F596-Calc!F19))+B608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581*(MIN(100,(Inputs!$B$9+((C596=TRUE)*(F596-Calc!F19))+B608+(ArtifactsInput!$M$24-ArtifactsInput!$M$24)*CHOOSE(ArtifactsInput!$N$24+1,10,12,14,16,18,20)+(IF(AND(Inputs!$B$38&lt;&gt;"pvp",Inputs!$B$43=0),1,IF(IF(Inputs!$B$38="pvp",15,Inputs!$B$43)-(B615)&lt;=0,1,MAX(0,IF(Inputs!$B$38="pvp",15,Inputs!$B$43)-MAX(5,B615))/(IF(Inputs!$B$38="pvp",15,Inputs!$B$43)-(B615))))*IF(AND(ArtifactsInput!$M$42,((Inputs!$B$9+((C596=TRUE)*(F596-Calc!F19))+B608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581*(1-MIN(100,(Inputs!$B$9+((C596=TRUE)*(F596-Calc!F19))+B608+(ArtifactsInput!$M$24-ArtifactsInput!$M$24)*CHOOSE(ArtifactsInput!$N$24+1,10,12,14,16,18,20)+(IF(AND(Inputs!$B$38&lt;&gt;"pvp",Inputs!$B$43=0),1,IF(IF(Inputs!$B$38="pvp",15,Inputs!$B$43)-(B615)&lt;=0,1,MAX(0,IF(Inputs!$B$38="pvp",15,Inputs!$B$43)-MAX(5,B615))/(IF(Inputs!$B$38="pvp",15,Inputs!$B$43)-(B615))))*IF(AND(ArtifactsInput!$M$42,((Inputs!$B$9+((C596=TRUE)*(F596-Calc!F19))+B608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581*(MIN(100,(Inputs!$B$9+((C596=TRUE)*(F596-Calc!F19))+B608+(ArtifactsInput!$M$24-ArtifactsInput!$M$24)*CHOOSE(ArtifactsInput!$N$24+1,10,12,14,16,18,20)+(IF(AND(Inputs!$B$38&lt;&gt;"pvp",Inputs!$B$43=0),1,IF(IF(Inputs!$B$38="pvp",15,Inputs!$B$43)-(B615)&lt;=0,1,MAX(0,IF(Inputs!$B$38="pvp",15,Inputs!$B$43)-MAX(5,B615))/(IF(Inputs!$B$38="pvp",15,Inputs!$B$43)-(B615))))*IF(AND(ArtifactsInput!$M$42,((Inputs!$B$9+((C596=TRUE)*(F596-Calc!F19))+B608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581">
        <f>290*U580/1000</f>
        <v/>
      </c>
      <c r="V581">
        <f>IF(C581,(H581*N581*IF(AND(Inputs!$B$38&lt;&gt;"pvp",Inputs!$B$43&gt;0),((Skills!G4*((R581-1)*IF(Skills!H4&gt;0,INT(IF(Inputs!$B$3&gt;=104,MIN(35,20*(1+Inputs!$B$34/100)),20)/Skills!H4+0.000000001),1)+IF(Skills!H4&gt;0,INT(MIN(IF(Inputs!$B$3&gt;=104,MIN(35,20*(1+Inputs!$B$34/100)),20),MAX(0,MAX(0,Inputs!$B$43-B615)-((R581-1)*(IF(Inputs!$B$38="pvp",15,MAX(0.1,Skills!D4-IF(TRUE=TRUE,Inputs!$B$32,0)))*(1-IF(AND(ArtifactsInput!$M$27,Inputs!$B$4="Chapter Hunt"),CHOOSE(ArtifactsInput!$N$27+1,20,24,28,32,36,40),0)/100)))))/Skills!H4+0.000000001),1)))/Inputs!$B$43),G581*Q581))*IF(Inputs!$B$38="pvp",1,(1+(Inputs!$B$21+Skills!Q4+(IF(ArtifactsInput!$M$33,CHOOSE(ArtifactsInput!$N$33+1,30,36,42,48,54,60),0))+(IF(AND(ArtifactsInput!$M$35,Inputs!$B$4&lt;&gt;"Chapter Hunt"),CHOOSE(ArtifactsInput!$N$35+1,15,18,21,24,27,30)*(1-EXP(-(0.2*B610)*5)),0)+IF(AND(ArtifactsInput!$M$22,Inputs!$B$4&lt;&gt;"Chapter Hunt"),CHOOSE(ArtifactsInput!$N$22+1,10,12,14,16,18,20)*((0*(((0.15*B610*5))^0/1)+1*(((0.15*B610*5))^1/1)+2*(((0.15*B610*5))^2/2)+3*(((0.15*B610*5))^3/6)+4*(((0.15*B610*5))^4/24)+5*(((0.15*B610*5))^5/120))/((((0.15*B610*5))^0/1)+(((0.15*B610*5))^1/1)+(((0.15*B610*5))^2/2)+(((0.15*B610*5))^3/6)+(((0.15*B610*5))^4/24)+(((0.15*B610*5))^5/120))),0))+IF(Inputs!$B$3&gt;=54,9*(C580=TRUE)*MIN(1,8*(1+Inputs!$B$34/100)*Q580),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82">
      <c r="A582">
        <f>Skills!A5</f>
        <v/>
      </c>
      <c r="B582">
        <f>Skills!B5</f>
        <v/>
      </c>
      <c r="C582">
        <f>Inputs!$B$3&gt;=69</f>
        <v/>
      </c>
      <c r="D582">
        <f>IF(Skills!C5=1,60+Inputs!$B$25+Inputs!$B$29,IF(Skills!C5=2,90+Inputs!$B$26+Inputs!$B$29,IF(Skills!C5=3,120+Inputs!$B$27+Inputs!$B$29,MAX(0,(Inputs!$B$3-100)*3)+Inputs!$B$28+Inputs!$B$29)))</f>
        <v/>
      </c>
      <c r="E582">
        <f>INDEX(FactorTable!$B$2:$Y$301, MATCH(ROUND(MIN(300,MAX(1,D582)),0), FactorTable!$A$2:$A$301,0), Skills!M5+1)</f>
        <v/>
      </c>
      <c r="F582">
        <f>IF(Skills!N5=TRUE,(Skills!L5/10)*(E582/1000),Skills!L5/10)+Skills!O5</f>
        <v/>
      </c>
      <c r="G582">
        <f>Skills!G5*IF(Skills!H5&gt;0,INT(IF(Inputs!$B$38="pvp",MIN(IF(Inputs!$B$3&gt;=104,MIN(35,20*(1+Inputs!$B$34/100)),20),15),IF(Inputs!$B$3&gt;=104,MIN(35,20*(1+Inputs!$B$34/100)),20))/Skills!H5+0.000000001),1)</f>
        <v/>
      </c>
      <c r="H582">
        <f>1-(1-Skills!J5/100)^Skills!K5</f>
        <v/>
      </c>
      <c r="I582" t="inlineStr">
        <is>
          <t>1</t>
        </is>
      </c>
      <c r="J582">
        <f>((Inputs!$B$6*(1+Inputs!$B$7/100))+(((Inputs!$B$12*(1+Inputs!$B$13/100))-(Inputs!$B$12*(1+Inputs!$B$13/100)))+0.25*(Inputs!$B$14-Inputs!$B$14))*(1+Inputs!$B$7/100))*(F582/100)</f>
        <v/>
      </c>
      <c r="K582">
        <f>J582*(1+((Inputs!$B$12*(1+Inputs!$B$13/100))*0.01+Inputs!$B$14*0.0025)/100)*(1+Inputs!$B$15/100)*(1+Inputs!$B$16/100)*(5000/(6000+Inputs!$B$42*(1-(100*(1-(1-(Inputs!$B$19+0)/100)*(1-CHOOSE(ArtifactsInput!$N$40+1,5,6,7,8,9,10)/100)^(ArtifactsInput!$M$40-ArtifactsInput!$M$40)))/100)))*(1+(Inputs!$B$24+((C603=TRUE)*(F603-Calc!F26))+B614)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+0.4*IF(C593=TRUE,F593,0)/100)*(1+(IF(Skills!A5="EIGHT_LEGS_EASTON",Inputs!$B$17+((C600=TRUE)*(F600-Calc!F23))+((C604=TRUE)*(F604-Calc!F27))+((IF(AND(Inputs!$B$38&lt;&gt;"pvp",Inputs!$B$43=0),1,IF(IF(Inputs!$B$38="pvp",15,Inputs!$B$43)-(B615)&lt;=0,1,MAX(0,IF(Inputs!$B$38="pvp",15,Inputs!$B$43)-MAX(5,B615))/(IF(Inputs!$B$38="pvp",15,Inputs!$B$43)-(B615))))*(IF(AND(ArtifactsInput!$M$42,((Inputs!$B$9+((C596=TRUE)*(F596-Calc!F19))+B608+(ArtifactsInput!$M$24-ArtifactsInput!$M$24)*CHOOSE(ArtifactsInput!$N$24+1,10,12,14,16,18,20)+IF(ArtifactsInput!$M$10,CHOOSE(ArtifactsInput!$N$10+1,15,18,21,24,27,30)*(IF(Inputs!$B$38="pvp",MIN(15,15)/15,IF(AND(Inputs!$B$38&lt;&gt;"pvp",Inputs!$B$43&gt;0),MIN(15,Inputs!$B$43)/(Inputs!$B$43),0))),0)))&gt;=100),MIN(100,((Inputs!$B$9+((C596=TRUE)*(F596-Calc!F19))+B608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615)&lt;=0,1,MAX(0,IF(Inputs!$B$38="pvp",15,Inputs!$B$43)-MAX(5,B615))/(IF(Inputs!$B$38="pvp",15,Inputs!$B$43)-(B615))))*IF(AND(ArtifactsInput!$M$42,((Inputs!$B$9+((C596=TRUE)*(F596-Calc!F19))+B608+(ArtifactsInput!$M$24-ArtifactsInput!$M$24)*CHOOSE(ArtifactsInput!$N$24+1,10,12,14,16,18,20)+IF(ArtifactsInput!$M$10,CHOOSE(ArtifactsInput!$N$10+1,15,18,21,24,27,30)*(IF(Inputs!$B$38="pvp",MIN(15,15)/15,IF(AND(Inputs!$B$38&lt;&gt;"pvp",Inputs!$B$43&gt;0),MIN(15,Inputs!$B$43)/(Inputs!$B$43),0))),0)))&gt;=100),CHOOSE(ArtifactsInput!$N$42+1,40,48,56,64,72,80),0))))/100)*((1+(((C594=TRUE)*F594*5/7)+((C601=TRUE)*(F601-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582)</f>
        <v/>
      </c>
      <c r="L582">
        <f>K582*(MIN(Inputs!$B$22+((C599=TRUE)*(F599-Calc!F22)),(Inputs!$B$23+0+(IF(ArtifactsInput!$M$15,CHOOSE(ArtifactsInput!$N$15+1,25,30,35,40,45,50)/100*(Inputs!$B$11-Inputs!$B$11),0))))/100+(Inputs!$B$23+0+(IF(ArtifactsInput!$M$15,CHOOSE(ArtifactsInput!$N$15+1,25,30,35,40,45,50)/100*(Inputs!$B$11-Inputs!$B$11),0)))/100)/2</f>
        <v/>
      </c>
      <c r="M582">
        <f>L582*(1+((Inputs!$B$10+1)+((C602=TRUE)*(F602-Calc!F25))+B613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82">
        <f>L582*(1-MIN((Inputs!$B$9+((C596=TRUE)*(F596-Calc!F19))+B608+(ArtifactsInput!$M$24-ArtifactsInput!$M$24)*CHOOSE(ArtifactsInput!$N$24+1,10,12,14,16,18,20)+(IF(AND(Inputs!$B$38&lt;&gt;"pvp",Inputs!$B$43=0),1,IF(IF(Inputs!$B$38="pvp",15,Inputs!$B$43)-(B615)&lt;=0,1,MAX(0,IF(Inputs!$B$38="pvp",15,Inputs!$B$43)-MAX(5,B615))/(IF(Inputs!$B$38="pvp",15,Inputs!$B$43)-(B615))))*IF(AND(ArtifactsInput!$M$42,((Inputs!$B$9+((C596=TRUE)*(F596-Calc!F19))+B608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582*(MIN((Inputs!$B$9+((C596=TRUE)*(F596-Calc!F19))+B608+(ArtifactsInput!$M$24-ArtifactsInput!$M$24)*CHOOSE(ArtifactsInput!$N$24+1,10,12,14,16,18,20)+(IF(AND(Inputs!$B$38&lt;&gt;"pvp",Inputs!$B$43=0),1,IF(IF(Inputs!$B$38="pvp",15,Inputs!$B$43)-(B615)&lt;=0,1,MAX(0,IF(Inputs!$B$38="pvp",15,Inputs!$B$43)-MAX(5,B615))/(IF(Inputs!$B$38="pvp",15,Inputs!$B$43)-(B615))))*IF(AND(ArtifactsInput!$M$42,((Inputs!$B$9+((C596=TRUE)*(F596-Calc!F19))+B608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82">
        <f>(1-Summary!$B$11)*T582+Summary!$B$11*V582</f>
        <v/>
      </c>
      <c r="P582">
        <f>IF(B618=0,0,O582/B618)</f>
        <v/>
      </c>
      <c r="Q582">
        <f>IFERROR(1/(IF(Inputs!$B$38="pvp",15,MAX(0.1,Skills!D5-IF(TRUE=TRUE,Inputs!$B$32,0)))*(1-IF(AND(ArtifactsInput!$M$27,Inputs!$B$4="Chapter Hunt"),CHOOSE(ArtifactsInput!$N$27+1,20,24,28,32,36,40),0)/100)),0)</f>
        <v/>
      </c>
      <c r="R582">
        <f>IF(AND(Inputs!$B$38&lt;&gt;"pvp",Inputs!$B$43&gt;0),IF(MAX(0,Inputs!$B$43-B615)&lt;=0,0,(INT(MAX(0,Inputs!$B$43-B615)/(IF(Inputs!$B$38="pvp",15,MAX(0.1,Skills!D5-IF(TRUE=TRUE,Inputs!$B$32,0)))*(1-IF(AND(ArtifactsInput!$M$27,Inputs!$B$4="Chapter Hunt"),CHOOSE(ArtifactsInput!$N$27+1,20,24,28,32,36,40),0)/100)))+1)),0)</f>
        <v/>
      </c>
      <c r="S582">
        <f>IFERROR(O582/N582,0)</f>
        <v/>
      </c>
      <c r="T582">
        <f>IF(C582,(H582*N582*IF(AND(Inputs!$B$38&lt;&gt;"pvp",Inputs!$B$43&gt;0),((Skills!G5*((R582-1)*IF(Skills!H5&gt;0,INT(IF(Inputs!$B$3&gt;=104,MIN(35,20*(1+Inputs!$B$34/100)),20)/Skills!H5+0.000000001),1)+IF(Skills!H5&gt;0,INT(MIN(IF(Inputs!$B$3&gt;=104,MIN(35,20*(1+Inputs!$B$34/100)),20),MAX(0,MAX(0,Inputs!$B$43-B615)-((R582-1)*(IF(Inputs!$B$38="pvp",15,MAX(0.1,Skills!D5-IF(TRUE=TRUE,Inputs!$B$32,0)))*(1-IF(AND(ArtifactsInput!$M$27,Inputs!$B$4="Chapter Hunt"),CHOOSE(ArtifactsInput!$N$27+1,20,24,28,32,36,40),0)/100)))))/Skills!H5+0.000000001),1)))/Inputs!$B$43),G582*Q582))*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Hunt"),CHOOSE(ArtifactsInput!$N$35+1,15,18,21,24,27,30)*(1-EXP(-(0.2*B610)*5)),0)+IF(AND(ArtifactsInput!$M$22,Inputs!$B$4&lt;&gt;"Chapter Hunt"),CHOOSE(ArtifactsInput!$N$22+1,10,12,14,16,18,20)*((0*(((0.15*B610*5))^0/1)+1*(((0.15*B610*5))^1/1)+2*(((0.15*B610*5))^2/2)+3*(((0.15*B610*5))^3/6)+4*(((0.15*B610*5))^4/24)+5*(((0.15*B610*5))^5/120))/((((0.15*B610*5))^0/1)+(((0.15*B610*5))^1/1)+(((0.15*B610*5))^2/2)+(((0.15*B610*5))^3/6)+(((0.15*B610*5))^4/24)+(((0.15*B610*5))^5/120))),0))+IF(Inputs!$B$3&gt;=54,9*(C580=TRUE)*MIN(1,8*(1+Inputs!$B$34/100)*Q580)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582*(1-MIN(100,(Inputs!$B$9+((C596=TRUE)*(F596-Calc!F19))+B608+(ArtifactsInput!$M$24-ArtifactsInput!$M$24)*CHOOSE(ArtifactsInput!$N$24+1,10,12,14,16,18,20)+(IF(AND(Inputs!$B$38&lt;&gt;"pvp",Inputs!$B$43=0),1,IF(IF(Inputs!$B$38="pvp",15,Inputs!$B$43)-(B615)&lt;=0,1,MAX(0,IF(Inputs!$B$38="pvp",15,Inputs!$B$43)-MAX(5,B615))/(IF(Inputs!$B$38="pvp",15,Inputs!$B$43)-(B615))))*IF(AND(ArtifactsInput!$M$42,((Inputs!$B$9+((C596=TRUE)*(F596-Calc!F19))+B608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582*(MIN(100,(Inputs!$B$9+((C596=TRUE)*(F596-Calc!F19))+B608+(ArtifactsInput!$M$24-ArtifactsInput!$M$24)*CHOOSE(ArtifactsInput!$N$24+1,10,12,14,16,18,20)+(IF(AND(Inputs!$B$38&lt;&gt;"pvp",Inputs!$B$43=0),1,IF(IF(Inputs!$B$38="pvp",15,Inputs!$B$43)-(B615)&lt;=0,1,MAX(0,IF(Inputs!$B$38="pvp",15,Inputs!$B$43)-MAX(5,B615))/(IF(Inputs!$B$38="pvp",15,Inputs!$B$43)-(B615))))*IF(AND(ArtifactsInput!$M$42,((Inputs!$B$9+((C596=TRUE)*(F596-Calc!F19))+B608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582*(1-MIN(100,(Inputs!$B$9+((C596=TRUE)*(F596-Calc!F19))+B608+(ArtifactsInput!$M$24-ArtifactsInput!$M$24)*CHOOSE(ArtifactsInput!$N$24+1,10,12,14,16,18,20)+(IF(AND(Inputs!$B$38&lt;&gt;"pvp",Inputs!$B$43=0),1,IF(IF(Inputs!$B$38="pvp",15,Inputs!$B$43)-(B615)&lt;=0,1,MAX(0,IF(Inputs!$B$38="pvp",15,Inputs!$B$43)-MAX(5,B615))/(IF(Inputs!$B$38="pvp",15,Inputs!$B$43)-(B615))))*IF(AND(ArtifactsInput!$M$42,((Inputs!$B$9+((C596=TRUE)*(F596-Calc!F19))+B608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582*(MIN(100,(Inputs!$B$9+((C596=TRUE)*(F596-Calc!F19))+B608+(ArtifactsInput!$M$24-ArtifactsInput!$M$24)*CHOOSE(ArtifactsInput!$N$24+1,10,12,14,16,18,20)+(IF(AND(Inputs!$B$38&lt;&gt;"pvp",Inputs!$B$43=0),1,IF(IF(Inputs!$B$38="pvp",15,Inputs!$B$43)-(B615)&lt;=0,1,MAX(0,IF(Inputs!$B$38="pvp",15,Inputs!$B$43)-MAX(5,B615))/(IF(Inputs!$B$38="pvp",15,Inputs!$B$43)-(B615))))*IF(AND(ArtifactsInput!$M$42,((Inputs!$B$9+((C596=TRUE)*(F596-Calc!F19))+B608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582">
        <f>IF(C582,(H582*N582*IF(AND(Inputs!$B$38&lt;&gt;"pvp",Inputs!$B$43&gt;0),((Skills!G5*((R582-1)*IF(Skills!H5&gt;0,INT(IF(Inputs!$B$3&gt;=104,MIN(35,20*(1+Inputs!$B$34/100)),20)/Skills!H5+0.000000001),1)+IF(Skills!H5&gt;0,INT(MIN(IF(Inputs!$B$3&gt;=104,MIN(35,20*(1+Inputs!$B$34/100)),20),MAX(0,MAX(0,Inputs!$B$43-B615)-((R582-1)*(IF(Inputs!$B$38="pvp",15,MAX(0.1,Skills!D5-IF(TRUE=TRUE,Inputs!$B$32,0)))*(1-IF(AND(ArtifactsInput!$M$27,Inputs!$B$4="Chapter Hunt"),CHOOSE(ArtifactsInput!$N$27+1,20,24,28,32,36,40),0)/100)))))/Skills!H5+0.000000001),1)))/Inputs!$B$43),G582*Q582))*IF(Inputs!$B$38="pvp",1,(1+(Inputs!$B$21+Skills!Q5+(IF(ArtifactsInput!$M$33,CHOOSE(ArtifactsInput!$N$33+1,30,36,42,48,54,60),0))+(IF(AND(ArtifactsInput!$M$35,Inputs!$B$4&lt;&gt;"Chapter Hunt"),CHOOSE(ArtifactsInput!$N$35+1,15,18,21,24,27,30)*(1-EXP(-(0.2*B610)*5)),0)+IF(AND(ArtifactsInput!$M$22,Inputs!$B$4&lt;&gt;"Chapter Hunt"),CHOOSE(ArtifactsInput!$N$22+1,10,12,14,16,18,20)*((0*(((0.15*B610*5))^0/1)+1*(((0.15*B610*5))^1/1)+2*(((0.15*B610*5))^2/2)+3*(((0.15*B610*5))^3/6)+4*(((0.15*B610*5))^4/24)+5*(((0.15*B610*5))^5/120))/((((0.15*B610*5))^0/1)+(((0.15*B610*5))^1/1)+(((0.15*B610*5))^2/2)+(((0.15*B610*5))^3/6)+(((0.15*B610*5))^4/24)+(((0.15*B610*5))^5/120))),0))+IF(Inputs!$B$3&gt;=54,9*(C580=TRUE)*MIN(1,8*(1+Inputs!$B$34/100)*Q580)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83">
      <c r="A583">
        <f>Skills!A6</f>
        <v/>
      </c>
      <c r="B583">
        <f>Skills!B6</f>
        <v/>
      </c>
      <c r="C583">
        <f>Inputs!$B$3&gt;=66</f>
        <v/>
      </c>
      <c r="D583">
        <f>IF(Skills!C6=1,60+Inputs!$B$25+Inputs!$B$29,IF(Skills!C6=2,90+Inputs!$B$26+Inputs!$B$29,IF(Skills!C6=3,120+Inputs!$B$27+Inputs!$B$29,MAX(0,(Inputs!$B$3-100)*3)+Inputs!$B$28+Inputs!$B$29)))</f>
        <v/>
      </c>
      <c r="E583">
        <f>INDEX(FactorTable!$B$2:$Y$301, MATCH(ROUND(MIN(300,MAX(1,D583)),0), FactorTable!$A$2:$A$301,0), Skills!M6+1)</f>
        <v/>
      </c>
      <c r="F583">
        <f>IF(Skills!N6=TRUE,(Skills!L6/10)*(E583/1000),Skills!L6/10)+Skills!O6</f>
        <v/>
      </c>
      <c r="G583">
        <f>Skills!G6*IF(Skills!H6&gt;0,INT(IF(Inputs!$B$38="pvp",MIN(Skills!I6,15),Skills!I6)/Skills!H6+0.000000001),1)</f>
        <v/>
      </c>
      <c r="H583">
        <f>1-(1-Skills!J6/100)^Skills!K6</f>
        <v/>
      </c>
      <c r="I583" t="inlineStr">
        <is>
          <t>1</t>
        </is>
      </c>
      <c r="J583">
        <f>((Inputs!$B$6*(1+Inputs!$B$7/100))+(((Inputs!$B$12*(1+Inputs!$B$13/100))-(Inputs!$B$12*(1+Inputs!$B$13/100)))+0.25*(Inputs!$B$14-Inputs!$B$14))*(1+Inputs!$B$7/100))*(F583/100)</f>
        <v/>
      </c>
      <c r="K583">
        <f>J583*(1+((Inputs!$B$12*(1+Inputs!$B$13/100))*0.01+Inputs!$B$14*0.0025)/100)*(1+Inputs!$B$15/100)*(1+Inputs!$B$16/100)*(5000/(6000+Inputs!$B$42*(1-(100*(1-(1-(Inputs!$B$19+0)/100)*(1-CHOOSE(ArtifactsInput!$N$40+1,5,6,7,8,9,10)/100)^(ArtifactsInput!$M$40-ArtifactsInput!$M$40)))/100)))*(1+(Inputs!$B$24+((C603=TRUE)*(F603-Calc!F26))+B614)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+2.0*IF(C592=TRUE,F592,0)/100)*(1+(IF(Skills!A6="EIGHT_LEGS_EASTON",Inputs!$B$17+((C600=TRUE)*(F600-Calc!F23))+((C604=TRUE)*(F604-Calc!F27))+((IF(AND(Inputs!$B$38&lt;&gt;"pvp",Inputs!$B$43=0),1,IF(IF(Inputs!$B$38="pvp",15,Inputs!$B$43)-(B615)&lt;=0,1,MAX(0,IF(Inputs!$B$38="pvp",15,Inputs!$B$43)-MAX(5,B615))/(IF(Inputs!$B$38="pvp",15,Inputs!$B$43)-(B615))))*(IF(AND(ArtifactsInput!$M$42,((Inputs!$B$9+((C596=TRUE)*(F596-Calc!F19))+B608+(ArtifactsInput!$M$24-ArtifactsInput!$M$24)*CHOOSE(ArtifactsInput!$N$24+1,10,12,14,16,18,20)+IF(ArtifactsInput!$M$10,CHOOSE(ArtifactsInput!$N$10+1,15,18,21,24,27,30)*(IF(Inputs!$B$38="pvp",MIN(15,15)/15,IF(AND(Inputs!$B$38&lt;&gt;"pvp",Inputs!$B$43&gt;0),MIN(15,Inputs!$B$43)/(Inputs!$B$43),0))),0)))&gt;=100),MIN(100,((Inputs!$B$9+((C596=TRUE)*(F596-Calc!F19))+B608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615)&lt;=0,1,MAX(0,IF(Inputs!$B$38="pvp",15,Inputs!$B$43)-MAX(5,B615))/(IF(Inputs!$B$38="pvp",15,Inputs!$B$43)-(B615))))*IF(AND(ArtifactsInput!$M$42,((Inputs!$B$9+((C596=TRUE)*(F596-Calc!F19))+B608+(ArtifactsInput!$M$24-ArtifactsInput!$M$24)*CHOOSE(ArtifactsInput!$N$24+1,10,12,14,16,18,20)+IF(ArtifactsInput!$M$10,CHOOSE(ArtifactsInput!$N$10+1,15,18,21,24,27,30)*(IF(Inputs!$B$38="pvp",MIN(15,15)/15,IF(AND(Inputs!$B$38&lt;&gt;"pvp",Inputs!$B$43&gt;0),MIN(15,Inputs!$B$43)/(Inputs!$B$43),0))),0)))&gt;=100),CHOOSE(ArtifactsInput!$N$42+1,40,48,56,64,72,80),0))))/100)*((1+(((C594=TRUE)*F594*5/7)+((C601=TRUE)*(F601-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583)</f>
        <v/>
      </c>
      <c r="L583">
        <f>K583*(MIN(Inputs!$B$22+((C599=TRUE)*(F599-Calc!F22)),(Inputs!$B$23+0+(IF(ArtifactsInput!$M$15,CHOOSE(ArtifactsInput!$N$15+1,25,30,35,40,45,50)/100*(Inputs!$B$11-Inputs!$B$11),0))))/100+(Inputs!$B$23+0+(IF(ArtifactsInput!$M$15,CHOOSE(ArtifactsInput!$N$15+1,25,30,35,40,45,50)/100*(Inputs!$B$11-Inputs!$B$11),0)))/100)/2</f>
        <v/>
      </c>
      <c r="M583">
        <f>L583*(1+((Inputs!$B$10+1)+((C602=TRUE)*(F602-Calc!F25))+B613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83">
        <f>L583*(1-MIN((Inputs!$B$9+((C596=TRUE)*(F596-Calc!F19))+B608+(ArtifactsInput!$M$24-ArtifactsInput!$M$24)*CHOOSE(ArtifactsInput!$N$24+1,10,12,14,16,18,20)+(IF(AND(Inputs!$B$38&lt;&gt;"pvp",Inputs!$B$43=0),1,IF(IF(Inputs!$B$38="pvp",15,Inputs!$B$43)-(B615)&lt;=0,1,MAX(0,IF(Inputs!$B$38="pvp",15,Inputs!$B$43)-MAX(5,B615))/(IF(Inputs!$B$38="pvp",15,Inputs!$B$43)-(B615))))*IF(AND(ArtifactsInput!$M$42,((Inputs!$B$9+((C596=TRUE)*(F596-Calc!F19))+B608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583*(MIN((Inputs!$B$9+((C596=TRUE)*(F596-Calc!F19))+B608+(ArtifactsInput!$M$24-ArtifactsInput!$M$24)*CHOOSE(ArtifactsInput!$N$24+1,10,12,14,16,18,20)+(IF(AND(Inputs!$B$38&lt;&gt;"pvp",Inputs!$B$43=0),1,IF(IF(Inputs!$B$38="pvp",15,Inputs!$B$43)-(B615)&lt;=0,1,MAX(0,IF(Inputs!$B$38="pvp",15,Inputs!$B$43)-MAX(5,B615))/(IF(Inputs!$B$38="pvp",15,Inputs!$B$43)-(B615))))*IF(AND(ArtifactsInput!$M$42,((Inputs!$B$9+((C596=TRUE)*(F596-Calc!F19))+B608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83">
        <f>(1-Summary!$B$11)*T583+Summary!$B$11*V583</f>
        <v/>
      </c>
      <c r="P583">
        <f>IF(B618=0,0,O583/B618)</f>
        <v/>
      </c>
      <c r="Q583">
        <f>IFERROR(1/(IF(Inputs!$B$38="pvp",15,MAX(0.1,Skills!D6-IF(TRUE=TRUE,Inputs!$B$32,0)))*(1-IF(AND(ArtifactsInput!$M$27,Inputs!$B$4="Chapter Hunt"),CHOOSE(ArtifactsInput!$N$27+1,20,24,28,32,36,40),0)/100)),0)</f>
        <v/>
      </c>
      <c r="R583">
        <f>IF(AND(Inputs!$B$38&lt;&gt;"pvp",Inputs!$B$43&gt;0),IF(MAX(0,Inputs!$B$43-B615)&lt;=0,0,(INT(MAX(0,Inputs!$B$43-B615)/(IF(Inputs!$B$38="pvp",15,MAX(0.1,Skills!D6-IF(TRUE=TRUE,Inputs!$B$32,0)))*(1-IF(AND(ArtifactsInput!$M$27,Inputs!$B$4="Chapter Hunt"),CHOOSE(ArtifactsInput!$N$27+1,20,24,28,32,36,40),0)/100)))+1)),0)</f>
        <v/>
      </c>
      <c r="S583">
        <f>IFERROR(O583/N583,0)</f>
        <v/>
      </c>
      <c r="T583">
        <f>IF(C583,(H583*N583*IF(AND(Inputs!$B$38&lt;&gt;"pvp",Inputs!$B$43&gt;0),((Skills!G6*((R583-1)*IF(Skills!H6&gt;0,INT(Skills!I6/Skills!H6+0.000000001),1)+IF(Skills!H6&gt;0,INT(MIN(Skills!I6,MAX(0,MAX(0,Inputs!$B$43-B615)-((R583-1)*(IF(Inputs!$B$38="pvp",15,MAX(0.1,Skills!D6-IF(TRUE=TRUE,Inputs!$B$32,0)))*(1-IF(AND(ArtifactsInput!$M$27,Inputs!$B$4="Chapter Hunt"),CHOOSE(ArtifactsInput!$N$27+1,20,24,28,32,36,40),0)/100)))))/Skills!H6+0.000000001),1)))/Inputs!$B$43),G583*Q583))*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Hunt"),CHOOSE(ArtifactsInput!$N$35+1,15,18,21,24,27,30)*(1-EXP(-(0.2*B610)*5)),0)+IF(AND(ArtifactsInput!$M$22,Inputs!$B$4&lt;&gt;"Chapter Hunt"),CHOOSE(ArtifactsInput!$N$22+1,10,12,14,16,18,20)*((0*(((0.15*B610*5))^0/1)+1*(((0.15*B610*5))^1/1)+2*(((0.15*B610*5))^2/2)+3*(((0.15*B610*5))^3/6)+4*(((0.15*B610*5))^4/24)+5*(((0.15*B610*5))^5/120))/((((0.15*B610*5))^0/1)+(((0.15*B610*5))^1/1)+(((0.15*B610*5))^2/2)+(((0.15*B610*5))^3/6)+(((0.15*B610*5))^4/24)+(((0.15*B610*5))^5/120))),0))+IF(Inputs!$B$3&gt;=54,9*(C580=TRUE)*MIN(1,8*(1+Inputs!$B$34/100)*Q580)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583*(1-MIN(100,(Inputs!$B$9+((C596=TRUE)*(F596-Calc!F19))+B608+(ArtifactsInput!$M$24-ArtifactsInput!$M$24)*CHOOSE(ArtifactsInput!$N$24+1,10,12,14,16,18,20)+(IF(AND(Inputs!$B$38&lt;&gt;"pvp",Inputs!$B$43=0),1,IF(IF(Inputs!$B$38="pvp",15,Inputs!$B$43)-(B615)&lt;=0,1,MAX(0,IF(Inputs!$B$38="pvp",15,Inputs!$B$43)-MAX(5,B615))/(IF(Inputs!$B$38="pvp",15,Inputs!$B$43)-(B615))))*IF(AND(ArtifactsInput!$M$42,((Inputs!$B$9+((C596=TRUE)*(F596-Calc!F19))+B608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583*(MIN(100,(Inputs!$B$9+((C596=TRUE)*(F596-Calc!F19))+B608+(ArtifactsInput!$M$24-ArtifactsInput!$M$24)*CHOOSE(ArtifactsInput!$N$24+1,10,12,14,16,18,20)+(IF(AND(Inputs!$B$38&lt;&gt;"pvp",Inputs!$B$43=0),1,IF(IF(Inputs!$B$38="pvp",15,Inputs!$B$43)-(B615)&lt;=0,1,MAX(0,IF(Inputs!$B$38="pvp",15,Inputs!$B$43)-MAX(5,B615))/(IF(Inputs!$B$38="pvp",15,Inputs!$B$43)-(B615))))*IF(AND(ArtifactsInput!$M$42,((Inputs!$B$9+((C596=TRUE)*(F596-Calc!F19))+B608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583*(1-MIN(100,(Inputs!$B$9+((C596=TRUE)*(F596-Calc!F19))+B608+(ArtifactsInput!$M$24-ArtifactsInput!$M$24)*CHOOSE(ArtifactsInput!$N$24+1,10,12,14,16,18,20)+(IF(AND(Inputs!$B$38&lt;&gt;"pvp",Inputs!$B$43=0),1,IF(IF(Inputs!$B$38="pvp",15,Inputs!$B$43)-(B615)&lt;=0,1,MAX(0,IF(Inputs!$B$38="pvp",15,Inputs!$B$43)-MAX(5,B615))/(IF(Inputs!$B$38="pvp",15,Inputs!$B$43)-(B615))))*IF(AND(ArtifactsInput!$M$42,((Inputs!$B$9+((C596=TRUE)*(F596-Calc!F19))+B608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583*(MIN(100,(Inputs!$B$9+((C596=TRUE)*(F596-Calc!F19))+B608+(ArtifactsInput!$M$24-ArtifactsInput!$M$24)*CHOOSE(ArtifactsInput!$N$24+1,10,12,14,16,18,20)+(IF(AND(Inputs!$B$38&lt;&gt;"pvp",Inputs!$B$43=0),1,IF(IF(Inputs!$B$38="pvp",15,Inputs!$B$43)-(B615)&lt;=0,1,MAX(0,IF(Inputs!$B$38="pvp",15,Inputs!$B$43)-MAX(5,B615))/(IF(Inputs!$B$38="pvp",15,Inputs!$B$43)-(B615))))*IF(AND(ArtifactsInput!$M$42,((Inputs!$B$9+((C596=TRUE)*(F596-Calc!F19))+B608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583">
        <f>IF(C583,(H583*N583*IF(AND(Inputs!$B$38&lt;&gt;"pvp",Inputs!$B$43&gt;0),((Skills!G6*((R583-1)*IF(Skills!H6&gt;0,INT(Skills!I6/Skills!H6+0.000000001),1)+IF(Skills!H6&gt;0,INT(MIN(Skills!I6,MAX(0,MAX(0,Inputs!$B$43-B615)-((R583-1)*(IF(Inputs!$B$38="pvp",15,MAX(0.1,Skills!D6-IF(TRUE=TRUE,Inputs!$B$32,0)))*(1-IF(AND(ArtifactsInput!$M$27,Inputs!$B$4="Chapter Hunt"),CHOOSE(ArtifactsInput!$N$27+1,20,24,28,32,36,40),0)/100)))))/Skills!H6+0.000000001),1)))/Inputs!$B$43),G583*Q583))*IF(Inputs!$B$38="pvp",1,(1+(Inputs!$B$21+Skills!Q6+(IF(ArtifactsInput!$M$33,CHOOSE(ArtifactsInput!$N$33+1,30,36,42,48,54,60),0))+(IF(AND(ArtifactsInput!$M$35,Inputs!$B$4&lt;&gt;"Chapter Hunt"),CHOOSE(ArtifactsInput!$N$35+1,15,18,21,24,27,30)*(1-EXP(-(0.2*B610)*5)),0)+IF(AND(ArtifactsInput!$M$22,Inputs!$B$4&lt;&gt;"Chapter Hunt"),CHOOSE(ArtifactsInput!$N$22+1,10,12,14,16,18,20)*((0*(((0.15*B610*5))^0/1)+1*(((0.15*B610*5))^1/1)+2*(((0.15*B610*5))^2/2)+3*(((0.15*B610*5))^3/6)+4*(((0.15*B610*5))^4/24)+5*(((0.15*B610*5))^5/120))/((((0.15*B610*5))^0/1)+(((0.15*B610*5))^1/1)+(((0.15*B610*5))^2/2)+(((0.15*B610*5))^3/6)+(((0.15*B610*5))^4/24)+(((0.15*B610*5))^5/120))),0))+IF(Inputs!$B$3&gt;=54,9*(C580=TRUE)*MIN(1,8*(1+Inputs!$B$34/100)*Q580)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84">
      <c r="A584">
        <f>Skills!A7</f>
        <v/>
      </c>
      <c r="B584">
        <f>Skills!B7</f>
        <v/>
      </c>
      <c r="C584">
        <f>Inputs!$B$3&gt;=63</f>
        <v/>
      </c>
      <c r="D584">
        <f>IF(Skills!C7=1,60+Inputs!$B$25+Inputs!$B$29,IF(Skills!C7=2,90+Inputs!$B$26+Inputs!$B$29,IF(Skills!C7=3,120+Inputs!$B$27+Inputs!$B$29,MAX(0,(Inputs!$B$3-100)*3)+Inputs!$B$28+Inputs!$B$29)))</f>
        <v/>
      </c>
      <c r="E584">
        <f>INDEX(FactorTable!$B$2:$Y$301, MATCH(ROUND(MIN(300,MAX(1,D584)),0), FactorTable!$A$2:$A$301,0), Skills!M7+1)</f>
        <v/>
      </c>
      <c r="F584">
        <f>IF(Skills!N7=TRUE,(Skills!L7/10)*(E584/1000),Skills!L7/10)+Skills!O7</f>
        <v/>
      </c>
      <c r="G584">
        <f>Skills!G7*IF(Skills!H7&gt;0,INT(IF(Inputs!$B$38="pvp",MIN(Skills!I7,15),Skills!I7)/Skills!H7+0.000000001),1)</f>
        <v/>
      </c>
      <c r="H584">
        <f>1-(1-Skills!J7/100)^Skills!K7</f>
        <v/>
      </c>
      <c r="I584" t="inlineStr">
        <is>
          <t>1</t>
        </is>
      </c>
      <c r="J584">
        <f>((Inputs!$B$6*(1+Inputs!$B$7/100))+(((Inputs!$B$12*(1+Inputs!$B$13/100))-(Inputs!$B$12*(1+Inputs!$B$13/100)))+0.25*(Inputs!$B$14-Inputs!$B$14))*(1+Inputs!$B$7/100))*(F584/100)</f>
        <v/>
      </c>
      <c r="K584">
        <f>J584*(1+((Inputs!$B$12*(1+Inputs!$B$13/100))*0.01+Inputs!$B$14*0.0025)/100)*(1+Inputs!$B$15/100)*(1+Inputs!$B$16/100)*(5000/(6000+Inputs!$B$42*(1-(100*(1-(1-(Inputs!$B$19+0)/100)*(1-CHOOSE(ArtifactsInput!$N$40+1,5,6,7,8,9,10)/100)^(ArtifactsInput!$M$40-ArtifactsInput!$M$40)))/100)))*(1+(Inputs!$B$24+((C603=TRUE)*(F603-Calc!F26))+B614)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592=TRUE,F592,0)/100)*(1+(IF(Skills!A7="EIGHT_LEGS_EASTON",Inputs!$B$17+((C600=TRUE)*(F600-Calc!F23))+((C604=TRUE)*(F604-Calc!F27))+((IF(AND(Inputs!$B$38&lt;&gt;"pvp",Inputs!$B$43=0),1,IF(IF(Inputs!$B$38="pvp",15,Inputs!$B$43)-(B615)&lt;=0,1,MAX(0,IF(Inputs!$B$38="pvp",15,Inputs!$B$43)-MAX(5,B615))/(IF(Inputs!$B$38="pvp",15,Inputs!$B$43)-(B615))))*(IF(AND(ArtifactsInput!$M$42,((Inputs!$B$9+((C596=TRUE)*(F596-Calc!F19))+B608+(ArtifactsInput!$M$24-ArtifactsInput!$M$24)*CHOOSE(ArtifactsInput!$N$24+1,10,12,14,16,18,20)+IF(ArtifactsInput!$M$10,CHOOSE(ArtifactsInput!$N$10+1,15,18,21,24,27,30)*(IF(Inputs!$B$38="pvp",MIN(15,15)/15,IF(AND(Inputs!$B$38&lt;&gt;"pvp",Inputs!$B$43&gt;0),MIN(15,Inputs!$B$43)/(Inputs!$B$43),0))),0)))&gt;=100),MIN(100,((Inputs!$B$9+((C596=TRUE)*(F596-Calc!F19))+B608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615)&lt;=0,1,MAX(0,IF(Inputs!$B$38="pvp",15,Inputs!$B$43)-MAX(5,B615))/(IF(Inputs!$B$38="pvp",15,Inputs!$B$43)-(B615))))*IF(AND(ArtifactsInput!$M$42,((Inputs!$B$9+((C596=TRUE)*(F596-Calc!F19))+B608+(ArtifactsInput!$M$24-ArtifactsInput!$M$24)*CHOOSE(ArtifactsInput!$N$24+1,10,12,14,16,18,20)+IF(ArtifactsInput!$M$10,CHOOSE(ArtifactsInput!$N$10+1,15,18,21,24,27,30)*(IF(Inputs!$B$38="pvp",MIN(15,15)/15,IF(AND(Inputs!$B$38&lt;&gt;"pvp",Inputs!$B$43&gt;0),MIN(15,Inputs!$B$43)/(Inputs!$B$43),0))),0)))&gt;=100),CHOOSE(ArtifactsInput!$N$42+1,40,48,56,64,72,80),0))))/100)*((1+(((C594=TRUE)*F594*5/7)+((C601=TRUE)*(F601-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584)</f>
        <v/>
      </c>
      <c r="L584">
        <f>K584*(MIN(Inputs!$B$22+((C599=TRUE)*(F599-Calc!F22)),(Inputs!$B$23+0+(IF(ArtifactsInput!$M$15,CHOOSE(ArtifactsInput!$N$15+1,25,30,35,40,45,50)/100*(Inputs!$B$11-Inputs!$B$11),0))))/100+(Inputs!$B$23+0+(IF(ArtifactsInput!$M$15,CHOOSE(ArtifactsInput!$N$15+1,25,30,35,40,45,50)/100*(Inputs!$B$11-Inputs!$B$11),0)))/100)/2</f>
        <v/>
      </c>
      <c r="M584">
        <f>L584*(1+((Inputs!$B$10+1)+((C602=TRUE)*(F602-Calc!F25))+B613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84">
        <f>L584*(1-MIN((Inputs!$B$9+((C596=TRUE)*(F596-Calc!F19))+B608+(ArtifactsInput!$M$24-ArtifactsInput!$M$24)*CHOOSE(ArtifactsInput!$N$24+1,10,12,14,16,18,20)+(IF(AND(Inputs!$B$38&lt;&gt;"pvp",Inputs!$B$43=0),1,IF(IF(Inputs!$B$38="pvp",15,Inputs!$B$43)-(B615)&lt;=0,1,MAX(0,IF(Inputs!$B$38="pvp",15,Inputs!$B$43)-MAX(5,B615))/(IF(Inputs!$B$38="pvp",15,Inputs!$B$43)-(B615))))*IF(AND(ArtifactsInput!$M$42,((Inputs!$B$9+((C596=TRUE)*(F596-Calc!F19))+B608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584*(MIN((Inputs!$B$9+((C596=TRUE)*(F596-Calc!F19))+B608+(ArtifactsInput!$M$24-ArtifactsInput!$M$24)*CHOOSE(ArtifactsInput!$N$24+1,10,12,14,16,18,20)+(IF(AND(Inputs!$B$38&lt;&gt;"pvp",Inputs!$B$43=0),1,IF(IF(Inputs!$B$38="pvp",15,Inputs!$B$43)-(B615)&lt;=0,1,MAX(0,IF(Inputs!$B$38="pvp",15,Inputs!$B$43)-MAX(5,B615))/(IF(Inputs!$B$38="pvp",15,Inputs!$B$43)-(B615))))*IF(AND(ArtifactsInput!$M$42,((Inputs!$B$9+((C596=TRUE)*(F596-Calc!F19))+B608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84">
        <f>(1-Summary!$B$11)*T584+Summary!$B$11*V584</f>
        <v/>
      </c>
      <c r="P584">
        <f>IF(B618=0,0,O584/B618)</f>
        <v/>
      </c>
      <c r="Q584">
        <f>IFERROR(1/(IF(Inputs!$B$38="pvp",15,MAX(0.1,Skills!D7-IF(TRUE=TRUE,Inputs!$B$32,0)))*(1-IF(AND(ArtifactsInput!$M$27,Inputs!$B$4="Chapter Hunt"),CHOOSE(ArtifactsInput!$N$27+1,20,24,28,32,36,40),0)/100)),0)</f>
        <v/>
      </c>
      <c r="R584">
        <f>IF(AND(Inputs!$B$38&lt;&gt;"pvp",Inputs!$B$43&gt;0),IF(MAX(0,Inputs!$B$43-B615)&lt;=0,0,(INT(MAX(0,Inputs!$B$43-B615)/(IF(Inputs!$B$38="pvp",15,MAX(0.1,Skills!D7-IF(TRUE=TRUE,Inputs!$B$32,0)))*(1-IF(AND(ArtifactsInput!$M$27,Inputs!$B$4="Chapter Hunt"),CHOOSE(ArtifactsInput!$N$27+1,20,24,28,32,36,40),0)/100)))+1)),0)</f>
        <v/>
      </c>
      <c r="S584">
        <f>IFERROR(O584/N584,0)</f>
        <v/>
      </c>
      <c r="T584">
        <f>IF(C584,(H584*N584*IF(AND(Inputs!$B$38&lt;&gt;"pvp",Inputs!$B$43&gt;0),((Skills!G7*((R584-1)*IF(Skills!H7&gt;0,INT(Skills!I7/Skills!H7+0.000000001),1)+IF(Skills!H7&gt;0,INT(MIN(Skills!I7,MAX(0,MAX(0,Inputs!$B$43-B615)-((R584-1)*(IF(Inputs!$B$38="pvp",15,MAX(0.1,Skills!D7-IF(TRUE=TRUE,Inputs!$B$32,0)))*(1-IF(AND(ArtifactsInput!$M$27,Inputs!$B$4="Chapter Hunt"),CHOOSE(ArtifactsInput!$N$27+1,20,24,28,32,36,40),0)/100)))))/Skills!H7+0.000000001),1)))/Inputs!$B$43),G584*Q584))*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Hunt"),CHOOSE(ArtifactsInput!$N$35+1,15,18,21,24,27,30)*(1-EXP(-(0.2*B610)*5)),0)+IF(AND(ArtifactsInput!$M$22,Inputs!$B$4&lt;&gt;"Chapter Hunt"),CHOOSE(ArtifactsInput!$N$22+1,10,12,14,16,18,20)*((0*(((0.15*B610*5))^0/1)+1*(((0.15*B610*5))^1/1)+2*(((0.15*B610*5))^2/2)+3*(((0.15*B610*5))^3/6)+4*(((0.15*B610*5))^4/24)+5*(((0.15*B610*5))^5/120))/((((0.15*B610*5))^0/1)+(((0.15*B610*5))^1/1)+(((0.15*B610*5))^2/2)+(((0.15*B610*5))^3/6)+(((0.15*B610*5))^4/24)+(((0.15*B610*5))^5/120))),0))+IF(Inputs!$B$3&gt;=54,9*(C580=TRUE)*MIN(1,8*(1+Inputs!$B$34/100)*Q580)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584*(1-MIN(100,(Inputs!$B$9+((C596=TRUE)*(F596-Calc!F19))+B608+(ArtifactsInput!$M$24-ArtifactsInput!$M$24)*CHOOSE(ArtifactsInput!$N$24+1,10,12,14,16,18,20)+(IF(AND(Inputs!$B$38&lt;&gt;"pvp",Inputs!$B$43=0),1,IF(IF(Inputs!$B$38="pvp",15,Inputs!$B$43)-(B615)&lt;=0,1,MAX(0,IF(Inputs!$B$38="pvp",15,Inputs!$B$43)-MAX(5,B615))/(IF(Inputs!$B$38="pvp",15,Inputs!$B$43)-(B615))))*IF(AND(ArtifactsInput!$M$42,((Inputs!$B$9+((C596=TRUE)*(F596-Calc!F19))+B608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584*(MIN(100,(Inputs!$B$9+((C596=TRUE)*(F596-Calc!F19))+B608+(ArtifactsInput!$M$24-ArtifactsInput!$M$24)*CHOOSE(ArtifactsInput!$N$24+1,10,12,14,16,18,20)+(IF(AND(Inputs!$B$38&lt;&gt;"pvp",Inputs!$B$43=0),1,IF(IF(Inputs!$B$38="pvp",15,Inputs!$B$43)-(B615)&lt;=0,1,MAX(0,IF(Inputs!$B$38="pvp",15,Inputs!$B$43)-MAX(5,B615))/(IF(Inputs!$B$38="pvp",15,Inputs!$B$43)-(B615))))*IF(AND(ArtifactsInput!$M$42,((Inputs!$B$9+((C596=TRUE)*(F596-Calc!F19))+B608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584*(1-MIN(100,(Inputs!$B$9+((C596=TRUE)*(F596-Calc!F19))+B608+(ArtifactsInput!$M$24-ArtifactsInput!$M$24)*CHOOSE(ArtifactsInput!$N$24+1,10,12,14,16,18,20)+(IF(AND(Inputs!$B$38&lt;&gt;"pvp",Inputs!$B$43=0),1,IF(IF(Inputs!$B$38="pvp",15,Inputs!$B$43)-(B615)&lt;=0,1,MAX(0,IF(Inputs!$B$38="pvp",15,Inputs!$B$43)-MAX(5,B615))/(IF(Inputs!$B$38="pvp",15,Inputs!$B$43)-(B615))))*IF(AND(ArtifactsInput!$M$42,((Inputs!$B$9+((C596=TRUE)*(F596-Calc!F19))+B608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584*(MIN(100,(Inputs!$B$9+((C596=TRUE)*(F596-Calc!F19))+B608+(ArtifactsInput!$M$24-ArtifactsInput!$M$24)*CHOOSE(ArtifactsInput!$N$24+1,10,12,14,16,18,20)+(IF(AND(Inputs!$B$38&lt;&gt;"pvp",Inputs!$B$43=0),1,IF(IF(Inputs!$B$38="pvp",15,Inputs!$B$43)-(B615)&lt;=0,1,MAX(0,IF(Inputs!$B$38="pvp",15,Inputs!$B$43)-MAX(5,B615))/(IF(Inputs!$B$38="pvp",15,Inputs!$B$43)-(B615))))*IF(AND(ArtifactsInput!$M$42,((Inputs!$B$9+((C596=TRUE)*(F596-Calc!F19))+B608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584">
        <f>IF(C584,(H584*N584*IF(AND(Inputs!$B$38&lt;&gt;"pvp",Inputs!$B$43&gt;0),((Skills!G7*((R584-1)*IF(Skills!H7&gt;0,INT(Skills!I7/Skills!H7+0.000000001),1)+IF(Skills!H7&gt;0,INT(MIN(Skills!I7,MAX(0,MAX(0,Inputs!$B$43-B615)-((R584-1)*(IF(Inputs!$B$38="pvp",15,MAX(0.1,Skills!D7-IF(TRUE=TRUE,Inputs!$B$32,0)))*(1-IF(AND(ArtifactsInput!$M$27,Inputs!$B$4="Chapter Hunt"),CHOOSE(ArtifactsInput!$N$27+1,20,24,28,32,36,40),0)/100)))))/Skills!H7+0.000000001),1)))/Inputs!$B$43),G584*Q584))*IF(Inputs!$B$38="pvp",1,(1+(Inputs!$B$21+Skills!Q7+(IF(ArtifactsInput!$M$33,CHOOSE(ArtifactsInput!$N$33+1,30,36,42,48,54,60),0))+(IF(AND(ArtifactsInput!$M$35,Inputs!$B$4&lt;&gt;"Chapter Hunt"),CHOOSE(ArtifactsInput!$N$35+1,15,18,21,24,27,30)*(1-EXP(-(0.2*B610)*5)),0)+IF(AND(ArtifactsInput!$M$22,Inputs!$B$4&lt;&gt;"Chapter Hunt"),CHOOSE(ArtifactsInput!$N$22+1,10,12,14,16,18,20)*((0*(((0.15*B610*5))^0/1)+1*(((0.15*B610*5))^1/1)+2*(((0.15*B610*5))^2/2)+3*(((0.15*B610*5))^3/6)+4*(((0.15*B610*5))^4/24)+5*(((0.15*B610*5))^5/120))/((((0.15*B610*5))^0/1)+(((0.15*B610*5))^1/1)+(((0.15*B610*5))^2/2)+(((0.15*B610*5))^3/6)+(((0.15*B610*5))^4/24)+(((0.15*B610*5))^5/120))),0))+IF(Inputs!$B$3&gt;=54,9*(C580=TRUE)*MIN(1,8*(1+Inputs!$B$34/100)*Q580)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85">
      <c r="A585">
        <f>Skills!A8</f>
        <v/>
      </c>
      <c r="B585">
        <f>Skills!B8</f>
        <v/>
      </c>
      <c r="C585">
        <f>Inputs!$B$3&gt;=103</f>
        <v/>
      </c>
      <c r="D585">
        <f>IF(Skills!C8=1,60+Inputs!$B$25+Inputs!$B$29,IF(Skills!C8=2,90+Inputs!$B$26+Inputs!$B$29,IF(Skills!C8=3,120+Inputs!$B$27+Inputs!$B$29,MAX(0,(Inputs!$B$3-100)*3)+Inputs!$B$28+Inputs!$B$29)))</f>
        <v/>
      </c>
      <c r="E585">
        <f>INDEX(FactorTable!$B$2:$Y$301, MATCH(ROUND(MIN(300,MAX(1,D585)),0), FactorTable!$A$2:$A$301,0), Skills!M8+1)</f>
        <v/>
      </c>
      <c r="F585">
        <f>IF(Skills!N8=TRUE,(Skills!L8/10)*(E585/1000),Skills!L8/10)+Skills!O8</f>
        <v/>
      </c>
      <c r="G585">
        <f>Skills!G8*IF(Skills!H8&gt;0,INT(IF(Inputs!$B$38="pvp",MIN(Skills!I8,15),Skills!I8)/Skills!H8+0.000000001),1)</f>
        <v/>
      </c>
      <c r="H585">
        <f>1-(1-Skills!J8/100)^Skills!K8</f>
        <v/>
      </c>
      <c r="I585" t="inlineStr">
        <is>
          <t>1</t>
        </is>
      </c>
      <c r="J585">
        <f>((Inputs!$B$6*(1+Inputs!$B$7/100))+(((Inputs!$B$12*(1+Inputs!$B$13/100))-(Inputs!$B$12*(1+Inputs!$B$13/100)))+0.25*(Inputs!$B$14-Inputs!$B$14))*(1+Inputs!$B$7/100))*(F585/100)</f>
        <v/>
      </c>
      <c r="K585">
        <f>J585*(1+((Inputs!$B$12*(1+Inputs!$B$13/100))*0.01+Inputs!$B$14*0.0025)/100)*(1+Inputs!$B$15/100)*(1+Inputs!$B$16/100)*(5000/(6000+Inputs!$B$42*(1-(100*(1-(1-(Inputs!$B$19+0)/100)*(1-CHOOSE(ArtifactsInput!$N$40+1,5,6,7,8,9,10)/100)^(ArtifactsInput!$M$40-ArtifactsInput!$M$40)))/100)))*(1+(Inputs!$B$24+((C603=TRUE)*(F603-Calc!F26))+B614)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IGHT_LEGS_EASTON",Inputs!$B$17+((C600=TRUE)*(F600-Calc!F23))+((C604=TRUE)*(F604-Calc!F27))+((IF(AND(Inputs!$B$38&lt;&gt;"pvp",Inputs!$B$43=0),1,IF(IF(Inputs!$B$38="pvp",15,Inputs!$B$43)-(B615)&lt;=0,1,MAX(0,IF(Inputs!$B$38="pvp",15,Inputs!$B$43)-MAX(5,B615))/(IF(Inputs!$B$38="pvp",15,Inputs!$B$43)-(B615))))*(IF(AND(ArtifactsInput!$M$42,((Inputs!$B$9+((C596=TRUE)*(F596-Calc!F19))+B608+(ArtifactsInput!$M$24-ArtifactsInput!$M$24)*CHOOSE(ArtifactsInput!$N$24+1,10,12,14,16,18,20)+IF(ArtifactsInput!$M$10,CHOOSE(ArtifactsInput!$N$10+1,15,18,21,24,27,30)*(IF(Inputs!$B$38="pvp",MIN(15,15)/15,IF(AND(Inputs!$B$38&lt;&gt;"pvp",Inputs!$B$43&gt;0),MIN(15,Inputs!$B$43)/(Inputs!$B$43),0))),0)))&gt;=100),MIN(100,((Inputs!$B$9+((C596=TRUE)*(F596-Calc!F19))+B608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615)&lt;=0,1,MAX(0,IF(Inputs!$B$38="pvp",15,Inputs!$B$43)-MAX(5,B615))/(IF(Inputs!$B$38="pvp",15,Inputs!$B$43)-(B615))))*IF(AND(ArtifactsInput!$M$42,((Inputs!$B$9+((C596=TRUE)*(F596-Calc!F19))+B608+(ArtifactsInput!$M$24-ArtifactsInput!$M$24)*CHOOSE(ArtifactsInput!$N$24+1,10,12,14,16,18,20)+IF(ArtifactsInput!$M$10,CHOOSE(ArtifactsInput!$N$10+1,15,18,21,24,27,30)*(IF(Inputs!$B$38="pvp",MIN(15,15)/15,IF(AND(Inputs!$B$38&lt;&gt;"pvp",Inputs!$B$43&gt;0),MIN(15,Inputs!$B$43)/(Inputs!$B$43),0))),0)))&gt;=100),CHOOSE(ArtifactsInput!$N$42+1,40,48,56,64,72,80),0))))/100)*((1+(((C594=TRUE)*F594*5/7)+((C601=TRUE)*(F601-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585)</f>
        <v/>
      </c>
      <c r="L585">
        <f>K585*(MIN(Inputs!$B$22+((C599=TRUE)*(F599-Calc!F22)),(Inputs!$B$23+0+(IF(ArtifactsInput!$M$15,CHOOSE(ArtifactsInput!$N$15+1,25,30,35,40,45,50)/100*(Inputs!$B$11-Inputs!$B$11),0))))/100+(Inputs!$B$23+0+(IF(ArtifactsInput!$M$15,CHOOSE(ArtifactsInput!$N$15+1,25,30,35,40,45,50)/100*(Inputs!$B$11-Inputs!$B$11),0)))/100)/2</f>
        <v/>
      </c>
      <c r="M585">
        <f>L585*(1+((Inputs!$B$10+1)+((C602=TRUE)*(F602-Calc!F25))+B613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85">
        <f>L585*(1-MIN((Inputs!$B$9+((C596=TRUE)*(F596-Calc!F19))+B608+(ArtifactsInput!$M$24-ArtifactsInput!$M$24)*CHOOSE(ArtifactsInput!$N$24+1,10,12,14,16,18,20)+(IF(AND(Inputs!$B$38&lt;&gt;"pvp",Inputs!$B$43=0),1,IF(IF(Inputs!$B$38="pvp",15,Inputs!$B$43)-(B615)&lt;=0,1,MAX(0,IF(Inputs!$B$38="pvp",15,Inputs!$B$43)-MAX(5,B615))/(IF(Inputs!$B$38="pvp",15,Inputs!$B$43)-(B615))))*IF(AND(ArtifactsInput!$M$42,((Inputs!$B$9+((C596=TRUE)*(F596-Calc!F19))+B608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585*(MIN((Inputs!$B$9+((C596=TRUE)*(F596-Calc!F19))+B608+(ArtifactsInput!$M$24-ArtifactsInput!$M$24)*CHOOSE(ArtifactsInput!$N$24+1,10,12,14,16,18,20)+(IF(AND(Inputs!$B$38&lt;&gt;"pvp",Inputs!$B$43=0),1,IF(IF(Inputs!$B$38="pvp",15,Inputs!$B$43)-(B615)&lt;=0,1,MAX(0,IF(Inputs!$B$38="pvp",15,Inputs!$B$43)-MAX(5,B615))/(IF(Inputs!$B$38="pvp",15,Inputs!$B$43)-(B615))))*IF(AND(ArtifactsInput!$M$42,((Inputs!$B$9+((C596=TRUE)*(F596-Calc!F19))+B608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85">
        <f>(1-Summary!$B$11)*T585+Summary!$B$11*V585</f>
        <v/>
      </c>
      <c r="P585">
        <f>IF(B618=0,0,O585/B618)</f>
        <v/>
      </c>
      <c r="Q585">
        <f>IFERROR(1/((IF(Inputs!$B$38="pvp",15,MAX(0.1,Skills!D8-IF(TRUE=TRUE,Inputs!$B$32,0)))*(1-IF(AND(ArtifactsInput!$M$27,Inputs!$B$4="Chapter Hunt"),CHOOSE(ArtifactsInput!$N$27+1,20,24,28,32,36,40),0)/100))/B619),0)</f>
        <v/>
      </c>
      <c r="R585">
        <f>IF(AND(Inputs!$B$38&lt;&gt;"pvp",Inputs!$B$43&gt;0),IF(MAX(0,Inputs!$B$43-B615)&lt;=0,0,(INT(MAX(0,Inputs!$B$43-B615)/((IF(Inputs!$B$38="pvp",15,MAX(0.1,Skills!D8-IF(TRUE=TRUE,Inputs!$B$32,0)))*(1-IF(AND(ArtifactsInput!$M$27,Inputs!$B$4="Chapter Hunt"),CHOOSE(ArtifactsInput!$N$27+1,20,24,28,32,36,40),0)/100))/B619))+1)),0)</f>
        <v/>
      </c>
      <c r="S585">
        <f>IFERROR(O585/N585,0)</f>
        <v/>
      </c>
      <c r="T585">
        <f>IF(C585,(H585*N585*IF(AND(Inputs!$B$38&lt;&gt;"pvp",Inputs!$B$43&gt;0),((Skills!G8*((R585-1)*IF(Skills!H8&gt;0,INT(Skills!I8/Skills!H8+0.000000001),1)+IF(Skills!H8&gt;0,INT(MIN(Skills!I8,MAX(0,MAX(0,Inputs!$B$43-B615)-((R585-1)*((IF(Inputs!$B$38="pvp",15,MAX(0.1,Skills!D8-IF(TRUE=TRUE,Inputs!$B$32,0)))*(1-IF(AND(ArtifactsInput!$M$27,Inputs!$B$4="Chapter Hunt"),CHOOSE(ArtifactsInput!$N$27+1,20,24,28,32,36,40),0)/100))/B619))))/Skills!H8+0.000000001),1)))/Inputs!$B$43),G585*Q585))*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Hunt"),CHOOSE(ArtifactsInput!$N$35+1,15,18,21,24,27,30)*(1-EXP(-(0.2*B610)*5)),0)+IF(AND(ArtifactsInput!$M$22,Inputs!$B$4&lt;&gt;"Chapter Hunt"),CHOOSE(ArtifactsInput!$N$22+1,10,12,14,16,18,20)*((0*(((0.15*B610*5))^0/1)+1*(((0.15*B610*5))^1/1)+2*(((0.15*B610*5))^2/2)+3*(((0.15*B610*5))^3/6)+4*(((0.15*B610*5))^4/24)+5*(((0.15*B610*5))^5/120))/((((0.15*B610*5))^0/1)+(((0.15*B610*5))^1/1)+(((0.15*B610*5))^2/2)+(((0.15*B610*5))^3/6)+(((0.15*B610*5))^4/24)+(((0.15*B610*5))^5/120))),0))+IF(Inputs!$B$3&gt;=54,9*(C580=TRUE)*MIN(1,8*(1+Inputs!$B$34/100)*Q580)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585*(1-MIN(100,(Inputs!$B$9+((C596=TRUE)*(F596-Calc!F19))+B608+(ArtifactsInput!$M$24-ArtifactsInput!$M$24)*CHOOSE(ArtifactsInput!$N$24+1,10,12,14,16,18,20)+(IF(AND(Inputs!$B$38&lt;&gt;"pvp",Inputs!$B$43=0),1,IF(IF(Inputs!$B$38="pvp",15,Inputs!$B$43)-(B615)&lt;=0,1,MAX(0,IF(Inputs!$B$38="pvp",15,Inputs!$B$43)-MAX(5,B615))/(IF(Inputs!$B$38="pvp",15,Inputs!$B$43)-(B615))))*IF(AND(ArtifactsInput!$M$42,((Inputs!$B$9+((C596=TRUE)*(F596-Calc!F19))+B608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585*(MIN(100,(Inputs!$B$9+((C596=TRUE)*(F596-Calc!F19))+B608+(ArtifactsInput!$M$24-ArtifactsInput!$M$24)*CHOOSE(ArtifactsInput!$N$24+1,10,12,14,16,18,20)+(IF(AND(Inputs!$B$38&lt;&gt;"pvp",Inputs!$B$43=0),1,IF(IF(Inputs!$B$38="pvp",15,Inputs!$B$43)-(B615)&lt;=0,1,MAX(0,IF(Inputs!$B$38="pvp",15,Inputs!$B$43)-MAX(5,B615))/(IF(Inputs!$B$38="pvp",15,Inputs!$B$43)-(B615))))*IF(AND(ArtifactsInput!$M$42,((Inputs!$B$9+((C596=TRUE)*(F596-Calc!F19))+B608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585*(1-MIN(100,(Inputs!$B$9+((C596=TRUE)*(F596-Calc!F19))+B608+(ArtifactsInput!$M$24-ArtifactsInput!$M$24)*CHOOSE(ArtifactsInput!$N$24+1,10,12,14,16,18,20)+(IF(AND(Inputs!$B$38&lt;&gt;"pvp",Inputs!$B$43=0),1,IF(IF(Inputs!$B$38="pvp",15,Inputs!$B$43)-(B615)&lt;=0,1,MAX(0,IF(Inputs!$B$38="pvp",15,Inputs!$B$43)-MAX(5,B615))/(IF(Inputs!$B$38="pvp",15,Inputs!$B$43)-(B615))))*IF(AND(ArtifactsInput!$M$42,((Inputs!$B$9+((C596=TRUE)*(F596-Calc!F19))+B608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585*(MIN(100,(Inputs!$B$9+((C596=TRUE)*(F596-Calc!F19))+B608+(ArtifactsInput!$M$24-ArtifactsInput!$M$24)*CHOOSE(ArtifactsInput!$N$24+1,10,12,14,16,18,20)+(IF(AND(Inputs!$B$38&lt;&gt;"pvp",Inputs!$B$43=0),1,IF(IF(Inputs!$B$38="pvp",15,Inputs!$B$43)-(B615)&lt;=0,1,MAX(0,IF(Inputs!$B$38="pvp",15,Inputs!$B$43)-MAX(5,B615))/(IF(Inputs!$B$38="pvp",15,Inputs!$B$43)-(B615))))*IF(AND(ArtifactsInput!$M$42,((Inputs!$B$9+((C596=TRUE)*(F596-Calc!F19))+B608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585">
        <f>IF(C585,(H585*N585*IF(AND(Inputs!$B$38&lt;&gt;"pvp",Inputs!$B$43&gt;0),((Skills!G8*((R585-1)*IF(Skills!H8&gt;0,INT(Skills!I8/Skills!H8+0.000000001),1)+IF(Skills!H8&gt;0,INT(MIN(Skills!I8,MAX(0,MAX(0,Inputs!$B$43-B615)-((R585-1)*((IF(Inputs!$B$38="pvp",15,MAX(0.1,Skills!D8-IF(TRUE=TRUE,Inputs!$B$32,0)))*(1-IF(AND(ArtifactsInput!$M$27,Inputs!$B$4="Chapter Hunt"),CHOOSE(ArtifactsInput!$N$27+1,20,24,28,32,36,40),0)/100))/B619))))/Skills!H8+0.000000001),1)))/Inputs!$B$43),G585*Q585))*IF(Inputs!$B$38="pvp",1,(1+(Inputs!$B$21+Skills!Q8+(IF(ArtifactsInput!$M$33,CHOOSE(ArtifactsInput!$N$33+1,30,36,42,48,54,60),0))+(IF(AND(ArtifactsInput!$M$35,Inputs!$B$4&lt;&gt;"Chapter Hunt"),CHOOSE(ArtifactsInput!$N$35+1,15,18,21,24,27,30)*(1-EXP(-(0.2*B610)*5)),0)+IF(AND(ArtifactsInput!$M$22,Inputs!$B$4&lt;&gt;"Chapter Hunt"),CHOOSE(ArtifactsInput!$N$22+1,10,12,14,16,18,20)*((0*(((0.15*B610*5))^0/1)+1*(((0.15*B610*5))^1/1)+2*(((0.15*B610*5))^2/2)+3*(((0.15*B610*5))^3/6)+4*(((0.15*B610*5))^4/24)+5*(((0.15*B610*5))^5/120))/((((0.15*B610*5))^0/1)+(((0.15*B610*5))^1/1)+(((0.15*B610*5))^2/2)+(((0.15*B610*5))^3/6)+(((0.15*B610*5))^4/24)+(((0.15*B610*5))^5/120))),0))+IF(Inputs!$B$3&gt;=54,9*(C580=TRUE)*MIN(1,8*(1+Inputs!$B$34/100)*Q580)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86">
      <c r="A586">
        <f>Skills!A9</f>
        <v/>
      </c>
      <c r="B586">
        <f>Skills!B9</f>
        <v/>
      </c>
      <c r="C586">
        <f>Inputs!$B$3&gt;=105</f>
        <v/>
      </c>
      <c r="D586">
        <f>IF(Skills!C9=1,60+Inputs!$B$25+Inputs!$B$29,IF(Skills!C9=2,90+Inputs!$B$26+Inputs!$B$29,IF(Skills!C9=3,120+Inputs!$B$27+Inputs!$B$29,MAX(0,(Inputs!$B$3-100)*3)+Inputs!$B$28+Inputs!$B$29)))</f>
        <v/>
      </c>
      <c r="E586">
        <f>INDEX(FactorTable!$B$2:$Y$301, MATCH(ROUND(MIN(300,MAX(1,D586)),0), FactorTable!$A$2:$A$301,0), Skills!M9+1)</f>
        <v/>
      </c>
      <c r="F586">
        <f>IF(Skills!N9=TRUE,(Skills!L9/10)*(E586/1000),Skills!L9/10)+Skills!O9</f>
        <v/>
      </c>
      <c r="G586">
        <f>Skills!G9*IF(Skills!H9&gt;0,INT(IF(Inputs!$B$38="pvp",MIN(Skills!I9,15),Skills!I9)/Skills!H9+0.000000001),1)</f>
        <v/>
      </c>
      <c r="H586">
        <f>1-(1-Skills!J9/100)^Skills!K9</f>
        <v/>
      </c>
      <c r="I586" t="inlineStr">
        <is>
          <t>1</t>
        </is>
      </c>
      <c r="J586">
        <f>((Inputs!$B$6*(1+Inputs!$B$7/100))+(((Inputs!$B$12*(1+Inputs!$B$13/100))-(Inputs!$B$12*(1+Inputs!$B$13/100)))+0.25*(Inputs!$B$14-Inputs!$B$14))*(1+Inputs!$B$7/100))*(F586/100)</f>
        <v/>
      </c>
      <c r="K586">
        <f>J586*(1+((Inputs!$B$12*(1+Inputs!$B$13/100))*0.01+Inputs!$B$14*0.0025)/100)*(1+Inputs!$B$15/100)*(1+Inputs!$B$16/100)*(5000/(6000+Inputs!$B$42*(1-(100*(1-(1-(Inputs!$B$19+0)/100)*(1-CHOOSE(ArtifactsInput!$N$40+1,5,6,7,8,9,10)/100)^(ArtifactsInput!$M$40-ArtifactsInput!$M$40)))/100)))*(1+(Inputs!$B$24+((C603=TRUE)*(F603-Calc!F26))+B614)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IGHT_LEGS_EASTON",Inputs!$B$17+((C600=TRUE)*(F600-Calc!F23))+((C604=TRUE)*(F604-Calc!F27))+((IF(AND(Inputs!$B$38&lt;&gt;"pvp",Inputs!$B$43=0),1,IF(IF(Inputs!$B$38="pvp",15,Inputs!$B$43)-(B615)&lt;=0,1,MAX(0,IF(Inputs!$B$38="pvp",15,Inputs!$B$43)-MAX(5,B615))/(IF(Inputs!$B$38="pvp",15,Inputs!$B$43)-(B615))))*(IF(AND(ArtifactsInput!$M$42,((Inputs!$B$9+((C596=TRUE)*(F596-Calc!F19))+B608+(ArtifactsInput!$M$24-ArtifactsInput!$M$24)*CHOOSE(ArtifactsInput!$N$24+1,10,12,14,16,18,20)+IF(ArtifactsInput!$M$10,CHOOSE(ArtifactsInput!$N$10+1,15,18,21,24,27,30)*(IF(Inputs!$B$38="pvp",MIN(15,15)/15,IF(AND(Inputs!$B$38&lt;&gt;"pvp",Inputs!$B$43&gt;0),MIN(15,Inputs!$B$43)/(Inputs!$B$43),0))),0)))&gt;=100),MIN(100,((Inputs!$B$9+((C596=TRUE)*(F596-Calc!F19))+B608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615)&lt;=0,1,MAX(0,IF(Inputs!$B$38="pvp",15,Inputs!$B$43)-MAX(5,B615))/(IF(Inputs!$B$38="pvp",15,Inputs!$B$43)-(B615))))*IF(AND(ArtifactsInput!$M$42,((Inputs!$B$9+((C596=TRUE)*(F596-Calc!F19))+B608+(ArtifactsInput!$M$24-ArtifactsInput!$M$24)*CHOOSE(ArtifactsInput!$N$24+1,10,12,14,16,18,20)+IF(ArtifactsInput!$M$10,CHOOSE(ArtifactsInput!$N$10+1,15,18,21,24,27,30)*(IF(Inputs!$B$38="pvp",MIN(15,15)/15,IF(AND(Inputs!$B$38&lt;&gt;"pvp",Inputs!$B$43&gt;0),MIN(15,Inputs!$B$43)/(Inputs!$B$43),0))),0)))&gt;=100),CHOOSE(ArtifactsInput!$N$42+1,40,48,56,64,72,80),0))))/100)*((1+(((C594=TRUE)*F594*5/7)+((C601=TRUE)*(F601-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586)</f>
        <v/>
      </c>
      <c r="L586">
        <f>K586*(MIN(Inputs!$B$22+((C599=TRUE)*(F599-Calc!F22)),(Inputs!$B$23+0+(IF(ArtifactsInput!$M$15,CHOOSE(ArtifactsInput!$N$15+1,25,30,35,40,45,50)/100*(Inputs!$B$11-Inputs!$B$11),0))))/100+(Inputs!$B$23+0+(IF(ArtifactsInput!$M$15,CHOOSE(ArtifactsInput!$N$15+1,25,30,35,40,45,50)/100*(Inputs!$B$11-Inputs!$B$11),0)))/100)/2</f>
        <v/>
      </c>
      <c r="M586">
        <f>L586*(1+((Inputs!$B$10+1)+((C602=TRUE)*(F602-Calc!F25))+B613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86">
        <f>L586*(1-MIN((Inputs!$B$9+((C596=TRUE)*(F596-Calc!F19))+B608+(ArtifactsInput!$M$24-ArtifactsInput!$M$24)*CHOOSE(ArtifactsInput!$N$24+1,10,12,14,16,18,20)+(IF(AND(Inputs!$B$38&lt;&gt;"pvp",Inputs!$B$43=0),1,IF(IF(Inputs!$B$38="pvp",15,Inputs!$B$43)-(B615)&lt;=0,1,MAX(0,IF(Inputs!$B$38="pvp",15,Inputs!$B$43)-MAX(5,B615))/(IF(Inputs!$B$38="pvp",15,Inputs!$B$43)-(B615))))*IF(AND(ArtifactsInput!$M$42,((Inputs!$B$9+((C596=TRUE)*(F596-Calc!F19))+B608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586*(MIN((Inputs!$B$9+((C596=TRUE)*(F596-Calc!F19))+B608+(ArtifactsInput!$M$24-ArtifactsInput!$M$24)*CHOOSE(ArtifactsInput!$N$24+1,10,12,14,16,18,20)+(IF(AND(Inputs!$B$38&lt;&gt;"pvp",Inputs!$B$43=0),1,IF(IF(Inputs!$B$38="pvp",15,Inputs!$B$43)-(B615)&lt;=0,1,MAX(0,IF(Inputs!$B$38="pvp",15,Inputs!$B$43)-MAX(5,B615))/(IF(Inputs!$B$38="pvp",15,Inputs!$B$43)-(B615))))*IF(AND(ArtifactsInput!$M$42,((Inputs!$B$9+((C596=TRUE)*(F596-Calc!F19))+B608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86">
        <f>(1-Summary!$B$11)*T586+Summary!$B$11*V586</f>
        <v/>
      </c>
      <c r="P586">
        <f>IF(B618=0,0,O586/B618)</f>
        <v/>
      </c>
      <c r="Q586">
        <f>IFERROR(1/(IF(Inputs!$B$38="pvp",15,MAX(0.1,Skills!D9-IF(TRUE=TRUE,Inputs!$B$32,0)))*(1-IF(AND(ArtifactsInput!$M$27,Inputs!$B$4="Chapter Hunt"),CHOOSE(ArtifactsInput!$N$27+1,20,24,28,32,36,40),0)/100)),0)</f>
        <v/>
      </c>
      <c r="R586">
        <f>IF(AND(Inputs!$B$38&lt;&gt;"pvp",Inputs!$B$43&gt;0),IF(MAX(0,Inputs!$B$43-B615)&lt;=0,0,(INT(MAX(0,Inputs!$B$43-B615)/(IF(Inputs!$B$38="pvp",15,MAX(0.1,Skills!D9-IF(TRUE=TRUE,Inputs!$B$32,0)))*(1-IF(AND(ArtifactsInput!$M$27,Inputs!$B$4="Chapter Hunt"),CHOOSE(ArtifactsInput!$N$27+1,20,24,28,32,36,40),0)/100)))+1)),0)</f>
        <v/>
      </c>
      <c r="S586">
        <f>IFERROR(O586/N586,0)</f>
        <v/>
      </c>
      <c r="T586">
        <f>IF(C586,(H586*N586*IF(AND(Inputs!$B$38&lt;&gt;"pvp",Inputs!$B$43&gt;0),((Skills!G9*((R586-1)*IF(Skills!H9&gt;0,INT(Skills!I9/Skills!H9+0.000000001),1)+IF(Skills!H9&gt;0,INT(MIN(Skills!I9,MAX(0,MAX(0,Inputs!$B$43-B615)-((R586-1)*(IF(Inputs!$B$38="pvp",15,MAX(0.1,Skills!D9-IF(TRUE=TRUE,Inputs!$B$32,0)))*(1-IF(AND(ArtifactsInput!$M$27,Inputs!$B$4="Chapter Hunt"),CHOOSE(ArtifactsInput!$N$27+1,20,24,28,32,36,40),0)/100)))))/Skills!H9+0.000000001),1)))/Inputs!$B$43),G586*Q586))*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Hunt"),CHOOSE(ArtifactsInput!$N$35+1,15,18,21,24,27,30)*(1-EXP(-(0.2*B610)*5)),0)+IF(AND(ArtifactsInput!$M$22,Inputs!$B$4&lt;&gt;"Chapter Hunt"),CHOOSE(ArtifactsInput!$N$22+1,10,12,14,16,18,20)*((0*(((0.15*B610*5))^0/1)+1*(((0.15*B610*5))^1/1)+2*(((0.15*B610*5))^2/2)+3*(((0.15*B610*5))^3/6)+4*(((0.15*B610*5))^4/24)+5*(((0.15*B610*5))^5/120))/((((0.15*B610*5))^0/1)+(((0.15*B610*5))^1/1)+(((0.15*B610*5))^2/2)+(((0.15*B610*5))^3/6)+(((0.15*B610*5))^4/24)+(((0.15*B610*5))^5/120))),0))+IF(Inputs!$B$3&gt;=54,9*(C580=TRUE)*MIN(1,8*(1+Inputs!$B$34/100)*Q580)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586*(1-MIN(100,(Inputs!$B$9+((C596=TRUE)*(F596-Calc!F19))+B608+(ArtifactsInput!$M$24-ArtifactsInput!$M$24)*CHOOSE(ArtifactsInput!$N$24+1,10,12,14,16,18,20)+(IF(AND(Inputs!$B$38&lt;&gt;"pvp",Inputs!$B$43=0),1,IF(IF(Inputs!$B$38="pvp",15,Inputs!$B$43)-(B615)&lt;=0,1,MAX(0,IF(Inputs!$B$38="pvp",15,Inputs!$B$43)-MAX(5,B615))/(IF(Inputs!$B$38="pvp",15,Inputs!$B$43)-(B615))))*IF(AND(ArtifactsInput!$M$42,((Inputs!$B$9+((C596=TRUE)*(F596-Calc!F19))+B608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586*(MIN(100,(Inputs!$B$9+((C596=TRUE)*(F596-Calc!F19))+B608+(ArtifactsInput!$M$24-ArtifactsInput!$M$24)*CHOOSE(ArtifactsInput!$N$24+1,10,12,14,16,18,20)+(IF(AND(Inputs!$B$38&lt;&gt;"pvp",Inputs!$B$43=0),1,IF(IF(Inputs!$B$38="pvp",15,Inputs!$B$43)-(B615)&lt;=0,1,MAX(0,IF(Inputs!$B$38="pvp",15,Inputs!$B$43)-MAX(5,B615))/(IF(Inputs!$B$38="pvp",15,Inputs!$B$43)-(B615))))*IF(AND(ArtifactsInput!$M$42,((Inputs!$B$9+((C596=TRUE)*(F596-Calc!F19))+B608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586*(1-MIN(100,(Inputs!$B$9+((C596=TRUE)*(F596-Calc!F19))+B608+(ArtifactsInput!$M$24-ArtifactsInput!$M$24)*CHOOSE(ArtifactsInput!$N$24+1,10,12,14,16,18,20)+(IF(AND(Inputs!$B$38&lt;&gt;"pvp",Inputs!$B$43=0),1,IF(IF(Inputs!$B$38="pvp",15,Inputs!$B$43)-(B615)&lt;=0,1,MAX(0,IF(Inputs!$B$38="pvp",15,Inputs!$B$43)-MAX(5,B615))/(IF(Inputs!$B$38="pvp",15,Inputs!$B$43)-(B615))))*IF(AND(ArtifactsInput!$M$42,((Inputs!$B$9+((C596=TRUE)*(F596-Calc!F19))+B608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586*(MIN(100,(Inputs!$B$9+((C596=TRUE)*(F596-Calc!F19))+B608+(ArtifactsInput!$M$24-ArtifactsInput!$M$24)*CHOOSE(ArtifactsInput!$N$24+1,10,12,14,16,18,20)+(IF(AND(Inputs!$B$38&lt;&gt;"pvp",Inputs!$B$43=0),1,IF(IF(Inputs!$B$38="pvp",15,Inputs!$B$43)-(B615)&lt;=0,1,MAX(0,IF(Inputs!$B$38="pvp",15,Inputs!$B$43)-MAX(5,B615))/(IF(Inputs!$B$38="pvp",15,Inputs!$B$43)-(B615))))*IF(AND(ArtifactsInput!$M$42,((Inputs!$B$9+((C596=TRUE)*(F596-Calc!F19))+B608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586">
        <f>IF(C586,(H586*N586*IF(AND(Inputs!$B$38&lt;&gt;"pvp",Inputs!$B$43&gt;0),((Skills!G9*((R586-1)*IF(Skills!H9&gt;0,INT(Skills!I9/Skills!H9+0.000000001),1)+IF(Skills!H9&gt;0,INT(MIN(Skills!I9,MAX(0,MAX(0,Inputs!$B$43-B615)-((R586-1)*(IF(Inputs!$B$38="pvp",15,MAX(0.1,Skills!D9-IF(TRUE=TRUE,Inputs!$B$32,0)))*(1-IF(AND(ArtifactsInput!$M$27,Inputs!$B$4="Chapter Hunt"),CHOOSE(ArtifactsInput!$N$27+1,20,24,28,32,36,40),0)/100)))))/Skills!H9+0.000000001),1)))/Inputs!$B$43),G586*Q586))*IF(Inputs!$B$38="pvp",1,(1+(Inputs!$B$21+Skills!Q9+(IF(ArtifactsInput!$M$33,CHOOSE(ArtifactsInput!$N$33+1,30,36,42,48,54,60),0))+(IF(AND(ArtifactsInput!$M$35,Inputs!$B$4&lt;&gt;"Chapter Hunt"),CHOOSE(ArtifactsInput!$N$35+1,15,18,21,24,27,30)*(1-EXP(-(0.2*B610)*5)),0)+IF(AND(ArtifactsInput!$M$22,Inputs!$B$4&lt;&gt;"Chapter Hunt"),CHOOSE(ArtifactsInput!$N$22+1,10,12,14,16,18,20)*((0*(((0.15*B610*5))^0/1)+1*(((0.15*B610*5))^1/1)+2*(((0.15*B610*5))^2/2)+3*(((0.15*B610*5))^3/6)+4*(((0.15*B610*5))^4/24)+5*(((0.15*B610*5))^5/120))/((((0.15*B610*5))^0/1)+(((0.15*B610*5))^1/1)+(((0.15*B610*5))^2/2)+(((0.15*B610*5))^3/6)+(((0.15*B610*5))^4/24)+(((0.15*B610*5))^5/120))),0))+IF(Inputs!$B$3&gt;=54,9*(C580=TRUE)*MIN(1,8*(1+Inputs!$B$34/100)*Q580)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87">
      <c r="A587">
        <f>Skills!A10</f>
        <v/>
      </c>
      <c r="B587">
        <f>Skills!B10</f>
        <v/>
      </c>
      <c r="C587">
        <f>Inputs!$B$3&gt;=113</f>
        <v/>
      </c>
      <c r="D587">
        <f>IF(Skills!C10=1,60+Inputs!$B$25+Inputs!$B$29,IF(Skills!C10=2,90+Inputs!$B$26+Inputs!$B$29,IF(Skills!C10=3,120+Inputs!$B$27+Inputs!$B$29,MAX(0,(Inputs!$B$3-100)*3)+Inputs!$B$28+Inputs!$B$29)))</f>
        <v/>
      </c>
      <c r="E587">
        <f>INDEX(FactorTable!$B$2:$Y$301, MATCH(ROUND(MIN(300,MAX(1,D587)),0), FactorTable!$A$2:$A$301,0), Skills!M10+1)</f>
        <v/>
      </c>
      <c r="F587">
        <f>IF(Skills!N10=TRUE,(Skills!L10/10)*(E587/1000),Skills!L10/10)+Skills!O10</f>
        <v/>
      </c>
      <c r="G587">
        <f>Skills!G10*IF(Skills!H10&gt;0,INT(IF(Inputs!$B$38="pvp",MIN(Skills!I10,15),Skills!I10)/Skills!H10+0.000000001),1)</f>
        <v/>
      </c>
      <c r="H587">
        <f>1-(1-Skills!J10/100)^Skills!K10</f>
        <v/>
      </c>
      <c r="I587" t="inlineStr">
        <is>
          <t>1</t>
        </is>
      </c>
      <c r="J587">
        <f>((Inputs!$B$6*(1+Inputs!$B$7/100))+(((Inputs!$B$12*(1+Inputs!$B$13/100))-(Inputs!$B$12*(1+Inputs!$B$13/100)))+0.25*(Inputs!$B$14-Inputs!$B$14))*(1+Inputs!$B$7/100))*(F587/100)</f>
        <v/>
      </c>
      <c r="K587">
        <f>J587*(1+((Inputs!$B$12*(1+Inputs!$B$13/100))*0.01+Inputs!$B$14*0.0025)/100)*(1+Inputs!$B$15/100)*(1+Inputs!$B$16/100)*(5000/(6000+Inputs!$B$42*(1-(100*(1-(1-(Inputs!$B$19+0)/100)*(1-CHOOSE(ArtifactsInput!$N$40+1,5,6,7,8,9,10)/100)^(ArtifactsInput!$M$40-ArtifactsInput!$M$40)))/100)))*(1+(Inputs!$B$24+((C603=TRUE)*(F603-Calc!F26))+B614)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IGHT_LEGS_EASTON",Inputs!$B$17+((C600=TRUE)*(F600-Calc!F23))+((C604=TRUE)*(F604-Calc!F27))+((IF(AND(Inputs!$B$38&lt;&gt;"pvp",Inputs!$B$43=0),1,IF(IF(Inputs!$B$38="pvp",15,Inputs!$B$43)-(B615)&lt;=0,1,MAX(0,IF(Inputs!$B$38="pvp",15,Inputs!$B$43)-MAX(5,B615))/(IF(Inputs!$B$38="pvp",15,Inputs!$B$43)-(B615))))*(IF(AND(ArtifactsInput!$M$42,((Inputs!$B$9+((C596=TRUE)*(F596-Calc!F19))+B608+(ArtifactsInput!$M$24-ArtifactsInput!$M$24)*CHOOSE(ArtifactsInput!$N$24+1,10,12,14,16,18,20)+IF(ArtifactsInput!$M$10,CHOOSE(ArtifactsInput!$N$10+1,15,18,21,24,27,30)*(IF(Inputs!$B$38="pvp",MIN(15,15)/15,IF(AND(Inputs!$B$38&lt;&gt;"pvp",Inputs!$B$43&gt;0),MIN(15,Inputs!$B$43)/(Inputs!$B$43),0))),0)))&gt;=100),MIN(100,((Inputs!$B$9+((C596=TRUE)*(F596-Calc!F19))+B608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615)&lt;=0,1,MAX(0,IF(Inputs!$B$38="pvp",15,Inputs!$B$43)-MAX(5,B615))/(IF(Inputs!$B$38="pvp",15,Inputs!$B$43)-(B615))))*IF(AND(ArtifactsInput!$M$42,((Inputs!$B$9+((C596=TRUE)*(F596-Calc!F19))+B608+(ArtifactsInput!$M$24-ArtifactsInput!$M$24)*CHOOSE(ArtifactsInput!$N$24+1,10,12,14,16,18,20)+IF(ArtifactsInput!$M$10,CHOOSE(ArtifactsInput!$N$10+1,15,18,21,24,27,30)*(IF(Inputs!$B$38="pvp",MIN(15,15)/15,IF(AND(Inputs!$B$38&lt;&gt;"pvp",Inputs!$B$43&gt;0),MIN(15,Inputs!$B$43)/(Inputs!$B$43),0))),0)))&gt;=100),CHOOSE(ArtifactsInput!$N$42+1,40,48,56,64,72,80),0))))/100)*((1+(((C594=TRUE)*F594*5/7)+((C601=TRUE)*(F601-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587)</f>
        <v/>
      </c>
      <c r="L587">
        <f>K587*(MIN(Inputs!$B$22+((C599=TRUE)*(F599-Calc!F22)),(Inputs!$B$23+0+(IF(ArtifactsInput!$M$15,CHOOSE(ArtifactsInput!$N$15+1,25,30,35,40,45,50)/100*(Inputs!$B$11-Inputs!$B$11),0))))/100+(Inputs!$B$23+0+(IF(ArtifactsInput!$M$15,CHOOSE(ArtifactsInput!$N$15+1,25,30,35,40,45,50)/100*(Inputs!$B$11-Inputs!$B$11),0)))/100)/2</f>
        <v/>
      </c>
      <c r="M587">
        <f>L587*(1+((Inputs!$B$10+1)+((C602=TRUE)*(F602-Calc!F25))+B613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87">
        <f>L587*(1-MIN((Inputs!$B$9+((C596=TRUE)*(F596-Calc!F19))+B608+(ArtifactsInput!$M$24-ArtifactsInput!$M$24)*CHOOSE(ArtifactsInput!$N$24+1,10,12,14,16,18,20)+(IF(AND(Inputs!$B$38&lt;&gt;"pvp",Inputs!$B$43=0),1,IF(IF(Inputs!$B$38="pvp",15,Inputs!$B$43)-(B615)&lt;=0,1,MAX(0,IF(Inputs!$B$38="pvp",15,Inputs!$B$43)-MAX(5,B615))/(IF(Inputs!$B$38="pvp",15,Inputs!$B$43)-(B615))))*IF(AND(ArtifactsInput!$M$42,((Inputs!$B$9+((C596=TRUE)*(F596-Calc!F19))+B608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587*(MIN((Inputs!$B$9+((C596=TRUE)*(F596-Calc!F19))+B608+(ArtifactsInput!$M$24-ArtifactsInput!$M$24)*CHOOSE(ArtifactsInput!$N$24+1,10,12,14,16,18,20)+(IF(AND(Inputs!$B$38&lt;&gt;"pvp",Inputs!$B$43=0),1,IF(IF(Inputs!$B$38="pvp",15,Inputs!$B$43)-(B615)&lt;=0,1,MAX(0,IF(Inputs!$B$38="pvp",15,Inputs!$B$43)-MAX(5,B615))/(IF(Inputs!$B$38="pvp",15,Inputs!$B$43)-(B615))))*IF(AND(ArtifactsInput!$M$42,((Inputs!$B$9+((C596=TRUE)*(F596-Calc!F19))+B608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87">
        <f>(1-Summary!$B$11)*T587+Summary!$B$11*V587</f>
        <v/>
      </c>
      <c r="P587">
        <f>IF(B618=0,0,O587/B618)</f>
        <v/>
      </c>
      <c r="Q587" t="n">
        <v>0</v>
      </c>
      <c r="R587" t="n">
        <v>0</v>
      </c>
      <c r="S587">
        <f>IFERROR(O587/N587,0)</f>
        <v/>
      </c>
      <c r="T587">
        <f>IF(C587,((H587*B620)/(1+Skills!H10*H587*B620)*N587)*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Hunt"),CHOOSE(ArtifactsInput!$N$35+1,15,18,21,24,27,30)*(1-EXP(-(0.2*B610)*5)),0)+IF(AND(ArtifactsInput!$M$22,Inputs!$B$4&lt;&gt;"Chapter Hunt"),CHOOSE(ArtifactsInput!$N$22+1,10,12,14,16,18,20)*((0*(((0.15*B610*5))^0/1)+1*(((0.15*B610*5))^1/1)+2*(((0.15*B610*5))^2/2)+3*(((0.15*B610*5))^3/6)+4*(((0.15*B610*5))^4/24)+5*(((0.15*B610*5))^5/120))/((((0.15*B610*5))^0/1)+(((0.15*B610*5))^1/1)+(((0.15*B610*5))^2/2)+(((0.15*B610*5))^3/6)+(((0.15*B610*5))^4/24)+(((0.15*B610*5))^5/120))),0))+IF(Inputs!$B$3&gt;=54,9*(C580=TRUE)*MIN(1,8*(1+Inputs!$B$34/100)*Q580)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587*(1-MIN(100,(Inputs!$B$9+((C596=TRUE)*(F596-Calc!F19))+B608+(ArtifactsInput!$M$24-ArtifactsInput!$M$24)*CHOOSE(ArtifactsInput!$N$24+1,10,12,14,16,18,20)+(IF(AND(Inputs!$B$38&lt;&gt;"pvp",Inputs!$B$43=0),1,IF(IF(Inputs!$B$38="pvp",15,Inputs!$B$43)-(B615)&lt;=0,1,MAX(0,IF(Inputs!$B$38="pvp",15,Inputs!$B$43)-MAX(5,B615))/(IF(Inputs!$B$38="pvp",15,Inputs!$B$43)-(B615))))*IF(AND(ArtifactsInput!$M$42,((Inputs!$B$9+((C596=TRUE)*(F596-Calc!F19))+B608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587*(MIN(100,(Inputs!$B$9+((C596=TRUE)*(F596-Calc!F19))+B608+(ArtifactsInput!$M$24-ArtifactsInput!$M$24)*CHOOSE(ArtifactsInput!$N$24+1,10,12,14,16,18,20)+(IF(AND(Inputs!$B$38&lt;&gt;"pvp",Inputs!$B$43=0),1,IF(IF(Inputs!$B$38="pvp",15,Inputs!$B$43)-(B615)&lt;=0,1,MAX(0,IF(Inputs!$B$38="pvp",15,Inputs!$B$43)-MAX(5,B615))/(IF(Inputs!$B$38="pvp",15,Inputs!$B$43)-(B615))))*IF(AND(ArtifactsInput!$M$42,((Inputs!$B$9+((C596=TRUE)*(F596-Calc!F19))+B608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587*(1-MIN(100,(Inputs!$B$9+((C596=TRUE)*(F596-Calc!F19))+B608+(ArtifactsInput!$M$24-ArtifactsInput!$M$24)*CHOOSE(ArtifactsInput!$N$24+1,10,12,14,16,18,20)+(IF(AND(Inputs!$B$38&lt;&gt;"pvp",Inputs!$B$43=0),1,IF(IF(Inputs!$B$38="pvp",15,Inputs!$B$43)-(B615)&lt;=0,1,MAX(0,IF(Inputs!$B$38="pvp",15,Inputs!$B$43)-MAX(5,B615))/(IF(Inputs!$B$38="pvp",15,Inputs!$B$43)-(B615))))*IF(AND(ArtifactsInput!$M$42,((Inputs!$B$9+((C596=TRUE)*(F596-Calc!F19))+B608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587*(MIN(100,(Inputs!$B$9+((C596=TRUE)*(F596-Calc!F19))+B608+(ArtifactsInput!$M$24-ArtifactsInput!$M$24)*CHOOSE(ArtifactsInput!$N$24+1,10,12,14,16,18,20)+(IF(AND(Inputs!$B$38&lt;&gt;"pvp",Inputs!$B$43=0),1,IF(IF(Inputs!$B$38="pvp",15,Inputs!$B$43)-(B615)&lt;=0,1,MAX(0,IF(Inputs!$B$38="pvp",15,Inputs!$B$43)-MAX(5,B615))/(IF(Inputs!$B$38="pvp",15,Inputs!$B$43)-(B615))))*IF(AND(ArtifactsInput!$M$42,((Inputs!$B$9+((C596=TRUE)*(F596-Calc!F19))+B608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587">
        <f>IF(C587,((H587*B620)/(1+Skills!H10*H587*B620)*N587)*IF(Inputs!$B$38="pvp",1,(1+(Inputs!$B$21+Skills!Q10+(IF(ArtifactsInput!$M$33,CHOOSE(ArtifactsInput!$N$33+1,30,36,42,48,54,60),0))+(IF(AND(ArtifactsInput!$M$35,Inputs!$B$4&lt;&gt;"Chapter Hunt"),CHOOSE(ArtifactsInput!$N$35+1,15,18,21,24,27,30)*(1-EXP(-(0.2*B610)*5)),0)+IF(AND(ArtifactsInput!$M$22,Inputs!$B$4&lt;&gt;"Chapter Hunt"),CHOOSE(ArtifactsInput!$N$22+1,10,12,14,16,18,20)*((0*(((0.15*B610*5))^0/1)+1*(((0.15*B610*5))^1/1)+2*(((0.15*B610*5))^2/2)+3*(((0.15*B610*5))^3/6)+4*(((0.15*B610*5))^4/24)+5*(((0.15*B610*5))^5/120))/((((0.15*B610*5))^0/1)+(((0.15*B610*5))^1/1)+(((0.15*B610*5))^2/2)+(((0.15*B610*5))^3/6)+(((0.15*B610*5))^4/24)+(((0.15*B610*5))^5/120))),0))+IF(Inputs!$B$3&gt;=54,9*(C580=TRUE)*MIN(1,8*(1+Inputs!$B$34/100)*Q580)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88">
      <c r="A588">
        <f>Skills!A11</f>
        <v/>
      </c>
      <c r="B588">
        <f>Skills!B11</f>
        <v/>
      </c>
      <c r="C588">
        <f>Inputs!$B$3&gt;=117</f>
        <v/>
      </c>
      <c r="D588">
        <f>IF(Skills!C11=1,60+Inputs!$B$25+Inputs!$B$29,IF(Skills!C11=2,90+Inputs!$B$26+Inputs!$B$29,IF(Skills!C11=3,120+Inputs!$B$27+Inputs!$B$29,MAX(0,(Inputs!$B$3-100)*3)+Inputs!$B$28+Inputs!$B$29)))</f>
        <v/>
      </c>
      <c r="E588">
        <f>INDEX(FactorTable!$B$2:$Y$301, MATCH(ROUND(MIN(300,MAX(1,D588)),0), FactorTable!$A$2:$A$301,0), Skills!M11+1)</f>
        <v/>
      </c>
      <c r="F588">
        <f>IF(Skills!N11=TRUE,(Skills!L11/10)*(E588/1000),Skills!L11/10)+Skills!O11</f>
        <v/>
      </c>
      <c r="G588">
        <f>Skills!G11*IF(Skills!H11&gt;0,INT(IF(Inputs!$B$38="pvp",MIN(Skills!I11,15),Skills!I11)/Skills!H11+0.000000001),1)</f>
        <v/>
      </c>
      <c r="H588">
        <f>1-(1-Skills!J11/100)^Skills!K11</f>
        <v/>
      </c>
      <c r="I588" t="inlineStr">
        <is>
          <t>1</t>
        </is>
      </c>
      <c r="J588">
        <f>((Inputs!$B$6*(1+Inputs!$B$7/100))+(((Inputs!$B$12*(1+Inputs!$B$13/100))-(Inputs!$B$12*(1+Inputs!$B$13/100)))+0.25*(Inputs!$B$14-Inputs!$B$14))*(1+Inputs!$B$7/100))*(F588/100)</f>
        <v/>
      </c>
      <c r="K588">
        <f>J588*(1+((Inputs!$B$12*(1+Inputs!$B$13/100))*0.01+Inputs!$B$14*0.0025)/100)*(1+Inputs!$B$15/100)*(1+Inputs!$B$16/100)*(5000/(6000+Inputs!$B$42*(1-(100*(1-(1-(Inputs!$B$19+0)/100)*(1-CHOOSE(ArtifactsInput!$N$40+1,5,6,7,8,9,10)/100)^(ArtifactsInput!$M$40-ArtifactsInput!$M$40)))/100)))*(1+(Inputs!$B$24+((C603=TRUE)*(F603-Calc!F26))+B614)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IGHT_LEGS_EASTON",Inputs!$B$17+((C600=TRUE)*(F600-Calc!F23))+((C604=TRUE)*(F604-Calc!F27))+((IF(AND(Inputs!$B$38&lt;&gt;"pvp",Inputs!$B$43=0),1,IF(IF(Inputs!$B$38="pvp",15,Inputs!$B$43)-(B615)&lt;=0,1,MAX(0,IF(Inputs!$B$38="pvp",15,Inputs!$B$43)-MAX(5,B615))/(IF(Inputs!$B$38="pvp",15,Inputs!$B$43)-(B615))))*(IF(AND(ArtifactsInput!$M$42,((Inputs!$B$9+((C596=TRUE)*(F596-Calc!F19))+B608+(ArtifactsInput!$M$24-ArtifactsInput!$M$24)*CHOOSE(ArtifactsInput!$N$24+1,10,12,14,16,18,20)+IF(ArtifactsInput!$M$10,CHOOSE(ArtifactsInput!$N$10+1,15,18,21,24,27,30)*(IF(Inputs!$B$38="pvp",MIN(15,15)/15,IF(AND(Inputs!$B$38&lt;&gt;"pvp",Inputs!$B$43&gt;0),MIN(15,Inputs!$B$43)/(Inputs!$B$43),0))),0)))&gt;=100),MIN(100,((Inputs!$B$9+((C596=TRUE)*(F596-Calc!F19))+B608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615)&lt;=0,1,MAX(0,IF(Inputs!$B$38="pvp",15,Inputs!$B$43)-MAX(5,B615))/(IF(Inputs!$B$38="pvp",15,Inputs!$B$43)-(B615))))*IF(AND(ArtifactsInput!$M$42,((Inputs!$B$9+((C596=TRUE)*(F596-Calc!F19))+B608+(ArtifactsInput!$M$24-ArtifactsInput!$M$24)*CHOOSE(ArtifactsInput!$N$24+1,10,12,14,16,18,20)+IF(ArtifactsInput!$M$10,CHOOSE(ArtifactsInput!$N$10+1,15,18,21,24,27,30)*(IF(Inputs!$B$38="pvp",MIN(15,15)/15,IF(AND(Inputs!$B$38&lt;&gt;"pvp",Inputs!$B$43&gt;0),MIN(15,Inputs!$B$43)/(Inputs!$B$43),0))),0)))&gt;=100),CHOOSE(ArtifactsInput!$N$42+1,40,48,56,64,72,80),0))))/100)*((1+(((C594=TRUE)*F594*5/7)+((C601=TRUE)*(F601-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588)</f>
        <v/>
      </c>
      <c r="L588">
        <f>K588*(MIN(Inputs!$B$22+((C599=TRUE)*(F599-Calc!F22)),(Inputs!$B$23+0+(IF(ArtifactsInput!$M$15,CHOOSE(ArtifactsInput!$N$15+1,25,30,35,40,45,50)/100*(Inputs!$B$11-Inputs!$B$11),0))))/100+(Inputs!$B$23+0+(IF(ArtifactsInput!$M$15,CHOOSE(ArtifactsInput!$N$15+1,25,30,35,40,45,50)/100*(Inputs!$B$11-Inputs!$B$11),0)))/100)/2</f>
        <v/>
      </c>
      <c r="M588">
        <f>L588*(1+((Inputs!$B$10+1)+((C602=TRUE)*(F602-Calc!F25))+B613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88">
        <f>L588*(1-MIN((Inputs!$B$9+((C596=TRUE)*(F596-Calc!F19))+B608+(ArtifactsInput!$M$24-ArtifactsInput!$M$24)*CHOOSE(ArtifactsInput!$N$24+1,10,12,14,16,18,20)+(IF(AND(Inputs!$B$38&lt;&gt;"pvp",Inputs!$B$43=0),1,IF(IF(Inputs!$B$38="pvp",15,Inputs!$B$43)-(B615)&lt;=0,1,MAX(0,IF(Inputs!$B$38="pvp",15,Inputs!$B$43)-MAX(5,B615))/(IF(Inputs!$B$38="pvp",15,Inputs!$B$43)-(B615))))*IF(AND(ArtifactsInput!$M$42,((Inputs!$B$9+((C596=TRUE)*(F596-Calc!F19))+B608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588*(MIN((Inputs!$B$9+((C596=TRUE)*(F596-Calc!F19))+B608+(ArtifactsInput!$M$24-ArtifactsInput!$M$24)*CHOOSE(ArtifactsInput!$N$24+1,10,12,14,16,18,20)+(IF(AND(Inputs!$B$38&lt;&gt;"pvp",Inputs!$B$43=0),1,IF(IF(Inputs!$B$38="pvp",15,Inputs!$B$43)-(B615)&lt;=0,1,MAX(0,IF(Inputs!$B$38="pvp",15,Inputs!$B$43)-MAX(5,B615))/(IF(Inputs!$B$38="pvp",15,Inputs!$B$43)-(B615))))*IF(AND(ArtifactsInput!$M$42,((Inputs!$B$9+((C596=TRUE)*(F596-Calc!F19))+B608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88">
        <f>(1-Summary!$B$11)*T588+Summary!$B$11*V588</f>
        <v/>
      </c>
      <c r="P588">
        <f>IF(B618=0,0,O588/B618)</f>
        <v/>
      </c>
      <c r="Q588">
        <f>IFERROR(1/((IF(Inputs!$B$38="pvp",15,MAX(0.1,Skills!D11-IF(TRUE=TRUE,Inputs!$B$32,0)))*(1-IF(AND(ArtifactsInput!$M$27,Inputs!$B$4="Chapter Hunt"),CHOOSE(ArtifactsInput!$N$27+1,20,24,28,32,36,40),0)/100))/B619),0)</f>
        <v/>
      </c>
      <c r="R588">
        <f>IF(AND(Inputs!$B$38&lt;&gt;"pvp",Inputs!$B$43&gt;0),IF(MAX(0,Inputs!$B$43-B615)&lt;=0,0,(INT(MAX(0,Inputs!$B$43-B615)/((IF(Inputs!$B$38="pvp",15,MAX(0.1,Skills!D11-IF(TRUE=TRUE,Inputs!$B$32,0)))*(1-IF(AND(ArtifactsInput!$M$27,Inputs!$B$4="Chapter Hunt"),CHOOSE(ArtifactsInput!$N$27+1,20,24,28,32,36,40),0)/100))/B619))+1)),0)</f>
        <v/>
      </c>
      <c r="S588">
        <f>IFERROR(O588/N588,0)</f>
        <v/>
      </c>
      <c r="T588">
        <f>IF(C588,(H588*N588*IF(AND(Inputs!$B$38&lt;&gt;"pvp",Inputs!$B$43&gt;0),((Skills!G11*((R588-1)*IF(Skills!H11&gt;0,INT(Skills!I11/Skills!H11+0.000000001),1)+IF(Skills!H11&gt;0,INT(MIN(Skills!I11,MAX(0,MAX(0,Inputs!$B$43-B615)-((R588-1)*((IF(Inputs!$B$38="pvp",15,MAX(0.1,Skills!D11-IF(TRUE=TRUE,Inputs!$B$32,0)))*(1-IF(AND(ArtifactsInput!$M$27,Inputs!$B$4="Chapter Hunt"),CHOOSE(ArtifactsInput!$N$27+1,20,24,28,32,36,40),0)/100))/B619))))/Skills!H11+0.000000001),1)))/Inputs!$B$43),G588*Q588))*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Hunt"),CHOOSE(ArtifactsInput!$N$35+1,15,18,21,24,27,30)*(1-EXP(-(0.2*B610)*5)),0)+IF(AND(ArtifactsInput!$M$22,Inputs!$B$4&lt;&gt;"Chapter Hunt"),CHOOSE(ArtifactsInput!$N$22+1,10,12,14,16,18,20)*((0*(((0.15*B610*5))^0/1)+1*(((0.15*B610*5))^1/1)+2*(((0.15*B610*5))^2/2)+3*(((0.15*B610*5))^3/6)+4*(((0.15*B610*5))^4/24)+5*(((0.15*B610*5))^5/120))/((((0.15*B610*5))^0/1)+(((0.15*B610*5))^1/1)+(((0.15*B610*5))^2/2)+(((0.15*B610*5))^3/6)+(((0.15*B610*5))^4/24)+(((0.15*B610*5))^5/120))),0))+IF(Inputs!$B$3&gt;=54,9*(C580=TRUE)*MIN(1,8*(1+Inputs!$B$34/100)*Q580)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588*(1-MIN(100,(Inputs!$B$9+((C596=TRUE)*(F596-Calc!F19))+B608+(ArtifactsInput!$M$24-ArtifactsInput!$M$24)*CHOOSE(ArtifactsInput!$N$24+1,10,12,14,16,18,20)+(IF(AND(Inputs!$B$38&lt;&gt;"pvp",Inputs!$B$43=0),1,IF(IF(Inputs!$B$38="pvp",15,Inputs!$B$43)-(B615)&lt;=0,1,MAX(0,IF(Inputs!$B$38="pvp",15,Inputs!$B$43)-MAX(5,B615))/(IF(Inputs!$B$38="pvp",15,Inputs!$B$43)-(B615))))*IF(AND(ArtifactsInput!$M$42,((Inputs!$B$9+((C596=TRUE)*(F596-Calc!F19))+B608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588*(MIN(100,(Inputs!$B$9+((C596=TRUE)*(F596-Calc!F19))+B608+(ArtifactsInput!$M$24-ArtifactsInput!$M$24)*CHOOSE(ArtifactsInput!$N$24+1,10,12,14,16,18,20)+(IF(AND(Inputs!$B$38&lt;&gt;"pvp",Inputs!$B$43=0),1,IF(IF(Inputs!$B$38="pvp",15,Inputs!$B$43)-(B615)&lt;=0,1,MAX(0,IF(Inputs!$B$38="pvp",15,Inputs!$B$43)-MAX(5,B615))/(IF(Inputs!$B$38="pvp",15,Inputs!$B$43)-(B615))))*IF(AND(ArtifactsInput!$M$42,((Inputs!$B$9+((C596=TRUE)*(F596-Calc!F19))+B608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588*(1-MIN(100,(Inputs!$B$9+((C596=TRUE)*(F596-Calc!F19))+B608+(ArtifactsInput!$M$24-ArtifactsInput!$M$24)*CHOOSE(ArtifactsInput!$N$24+1,10,12,14,16,18,20)+(IF(AND(Inputs!$B$38&lt;&gt;"pvp",Inputs!$B$43=0),1,IF(IF(Inputs!$B$38="pvp",15,Inputs!$B$43)-(B615)&lt;=0,1,MAX(0,IF(Inputs!$B$38="pvp",15,Inputs!$B$43)-MAX(5,B615))/(IF(Inputs!$B$38="pvp",15,Inputs!$B$43)-(B615))))*IF(AND(ArtifactsInput!$M$42,((Inputs!$B$9+((C596=TRUE)*(F596-Calc!F19))+B608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588*(MIN(100,(Inputs!$B$9+((C596=TRUE)*(F596-Calc!F19))+B608+(ArtifactsInput!$M$24-ArtifactsInput!$M$24)*CHOOSE(ArtifactsInput!$N$24+1,10,12,14,16,18,20)+(IF(AND(Inputs!$B$38&lt;&gt;"pvp",Inputs!$B$43=0),1,IF(IF(Inputs!$B$38="pvp",15,Inputs!$B$43)-(B615)&lt;=0,1,MAX(0,IF(Inputs!$B$38="pvp",15,Inputs!$B$43)-MAX(5,B615))/(IF(Inputs!$B$38="pvp",15,Inputs!$B$43)-(B615))))*IF(AND(ArtifactsInput!$M$42,((Inputs!$B$9+((C596=TRUE)*(F596-Calc!F19))+B608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588">
        <f>IF(C588,(H588*N588*IF(AND(Inputs!$B$38&lt;&gt;"pvp",Inputs!$B$43&gt;0),((Skills!G11*((R588-1)*IF(Skills!H11&gt;0,INT(Skills!I11/Skills!H11+0.000000001),1)+IF(Skills!H11&gt;0,INT(MIN(Skills!I11,MAX(0,MAX(0,Inputs!$B$43-B615)-((R588-1)*((IF(Inputs!$B$38="pvp",15,MAX(0.1,Skills!D11-IF(TRUE=TRUE,Inputs!$B$32,0)))*(1-IF(AND(ArtifactsInput!$M$27,Inputs!$B$4="Chapter Hunt"),CHOOSE(ArtifactsInput!$N$27+1,20,24,28,32,36,40),0)/100))/B619))))/Skills!H11+0.000000001),1)))/Inputs!$B$43),G588*Q588))*IF(Inputs!$B$38="pvp",1,(1+(Inputs!$B$21+Skills!Q11+(IF(ArtifactsInput!$M$33,CHOOSE(ArtifactsInput!$N$33+1,30,36,42,48,54,60),0))+(IF(AND(ArtifactsInput!$M$35,Inputs!$B$4&lt;&gt;"Chapter Hunt"),CHOOSE(ArtifactsInput!$N$35+1,15,18,21,24,27,30)*(1-EXP(-(0.2*B610)*5)),0)+IF(AND(ArtifactsInput!$M$22,Inputs!$B$4&lt;&gt;"Chapter Hunt"),CHOOSE(ArtifactsInput!$N$22+1,10,12,14,16,18,20)*((0*(((0.15*B610*5))^0/1)+1*(((0.15*B610*5))^1/1)+2*(((0.15*B610*5))^2/2)+3*(((0.15*B610*5))^3/6)+4*(((0.15*B610*5))^4/24)+5*(((0.15*B610*5))^5/120))/((((0.15*B610*5))^0/1)+(((0.15*B610*5))^1/1)+(((0.15*B610*5))^2/2)+(((0.15*B610*5))^3/6)+(((0.15*B610*5))^4/24)+(((0.15*B610*5))^5/120))),0))+IF(Inputs!$B$3&gt;=54,9*(C580=TRUE)*MIN(1,8*(1+Inputs!$B$34/100)*Q580)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89">
      <c r="A589">
        <f>Skills!A12</f>
        <v/>
      </c>
      <c r="B589">
        <f>Skills!B12</f>
        <v/>
      </c>
      <c r="C589">
        <f>Inputs!$B$3&gt;=110</f>
        <v/>
      </c>
      <c r="D589">
        <f>IF(Skills!C12=1,60+Inputs!$B$25+Inputs!$B$29,IF(Skills!C12=2,90+Inputs!$B$26+Inputs!$B$29,IF(Skills!C12=3,120+Inputs!$B$27+Inputs!$B$29,MAX(0,(Inputs!$B$3-100)*3)+Inputs!$B$28+Inputs!$B$29)))</f>
        <v/>
      </c>
      <c r="E589">
        <f>INDEX(FactorTable!$B$2:$Y$301, MATCH(ROUND(MIN(300,MAX(1,D589)),0), FactorTable!$A$2:$A$301,0), Skills!M12+1)</f>
        <v/>
      </c>
      <c r="F589">
        <f>IF(Skills!N12=TRUE,(Skills!L12/10)*(E589/1000),Skills!L12/10)+Skills!O12</f>
        <v/>
      </c>
      <c r="G589">
        <f>Skills!G12*IF(Skills!H12&gt;0,INT(IF(Inputs!$B$38="pvp",MIN(Skills!I12,15),Skills!I12)/Skills!H12+0.000000001),1)</f>
        <v/>
      </c>
      <c r="H589">
        <f>1-(1-Skills!J12/100)^Skills!K12</f>
        <v/>
      </c>
      <c r="I589" t="inlineStr">
        <is>
          <t>1</t>
        </is>
      </c>
      <c r="J589">
        <f>((Inputs!$B$6*(1+Inputs!$B$7/100))+(((Inputs!$B$12*(1+Inputs!$B$13/100))-(Inputs!$B$12*(1+Inputs!$B$13/100)))+0.25*(Inputs!$B$14-Inputs!$B$14))*(1+Inputs!$B$7/100))*(F589/100)</f>
        <v/>
      </c>
      <c r="K589">
        <f>J589*(1+((Inputs!$B$12*(1+Inputs!$B$13/100))*0.01+Inputs!$B$14*0.0025)/100)*(1+Inputs!$B$15/100)*(1+Inputs!$B$16/100)*(5000/(6000+Inputs!$B$42*(1-(100*(1-(1-(Inputs!$B$19+0)/100)*(1-CHOOSE(ArtifactsInput!$N$40+1,5,6,7,8,9,10)/100)^(ArtifactsInput!$M$40-ArtifactsInput!$M$40)))/100)))*(1+(Inputs!$B$24+((C603=TRUE)*(F603-Calc!F26))+B614)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EIGHT_LEGS_EASTON",Inputs!$B$17+((C600=TRUE)*(F600-Calc!F23))+((C604=TRUE)*(F604-Calc!F27))+((IF(AND(Inputs!$B$38&lt;&gt;"pvp",Inputs!$B$43=0),1,IF(IF(Inputs!$B$38="pvp",15,Inputs!$B$43)-(B615)&lt;=0,1,MAX(0,IF(Inputs!$B$38="pvp",15,Inputs!$B$43)-MAX(5,B615))/(IF(Inputs!$B$38="pvp",15,Inputs!$B$43)-(B615))))*(IF(AND(ArtifactsInput!$M$42,((Inputs!$B$9+((C596=TRUE)*(F596-Calc!F19))+B608+(ArtifactsInput!$M$24-ArtifactsInput!$M$24)*CHOOSE(ArtifactsInput!$N$24+1,10,12,14,16,18,20)+IF(ArtifactsInput!$M$10,CHOOSE(ArtifactsInput!$N$10+1,15,18,21,24,27,30)*(IF(Inputs!$B$38="pvp",MIN(15,15)/15,IF(AND(Inputs!$B$38&lt;&gt;"pvp",Inputs!$B$43&gt;0),MIN(15,Inputs!$B$43)/(Inputs!$B$43),0))),0)))&gt;=100),MIN(100,((Inputs!$B$9+((C596=TRUE)*(F596-Calc!F19))+B608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615)&lt;=0,1,MAX(0,IF(Inputs!$B$38="pvp",15,Inputs!$B$43)-MAX(5,B615))/(IF(Inputs!$B$38="pvp",15,Inputs!$B$43)-(B615))))*IF(AND(ArtifactsInput!$M$42,((Inputs!$B$9+((C596=TRUE)*(F596-Calc!F19))+B608+(ArtifactsInput!$M$24-ArtifactsInput!$M$24)*CHOOSE(ArtifactsInput!$N$24+1,10,12,14,16,18,20)+IF(ArtifactsInput!$M$10,CHOOSE(ArtifactsInput!$N$10+1,15,18,21,24,27,30)*(IF(Inputs!$B$38="pvp",MIN(15,15)/15,IF(AND(Inputs!$B$38&lt;&gt;"pvp",Inputs!$B$43&gt;0),MIN(15,Inputs!$B$43)/(Inputs!$B$43),0))),0)))&gt;=100),CHOOSE(ArtifactsInput!$N$42+1,40,48,56,64,72,80),0))))/100)*((1+(((C594=TRUE)*F594*5/7)+((C601=TRUE)*(F601-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589)</f>
        <v/>
      </c>
      <c r="L589">
        <f>K589*(MIN(Inputs!$B$22+((C599=TRUE)*(F599-Calc!F22)),(Inputs!$B$23+0+(IF(ArtifactsInput!$M$15,CHOOSE(ArtifactsInput!$N$15+1,25,30,35,40,45,50)/100*(Inputs!$B$11-Inputs!$B$11),0))))/100+(Inputs!$B$23+0+(IF(ArtifactsInput!$M$15,CHOOSE(ArtifactsInput!$N$15+1,25,30,35,40,45,50)/100*(Inputs!$B$11-Inputs!$B$11),0)))/100)/2</f>
        <v/>
      </c>
      <c r="M589">
        <f>L589*(1+((Inputs!$B$10+1)+((C602=TRUE)*(F602-Calc!F25))+B613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89">
        <f>L589*(1-MIN((Inputs!$B$9+((C596=TRUE)*(F596-Calc!F19))+B608+(ArtifactsInput!$M$24-ArtifactsInput!$M$24)*CHOOSE(ArtifactsInput!$N$24+1,10,12,14,16,18,20)+(IF(AND(Inputs!$B$38&lt;&gt;"pvp",Inputs!$B$43=0),1,IF(IF(Inputs!$B$38="pvp",15,Inputs!$B$43)-(B615)&lt;=0,1,MAX(0,IF(Inputs!$B$38="pvp",15,Inputs!$B$43)-MAX(5,B615))/(IF(Inputs!$B$38="pvp",15,Inputs!$B$43)-(B615))))*IF(AND(ArtifactsInput!$M$42,((Inputs!$B$9+((C596=TRUE)*(F596-Calc!F19))+B608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589*(MIN((Inputs!$B$9+((C596=TRUE)*(F596-Calc!F19))+B608+(ArtifactsInput!$M$24-ArtifactsInput!$M$24)*CHOOSE(ArtifactsInput!$N$24+1,10,12,14,16,18,20)+(IF(AND(Inputs!$B$38&lt;&gt;"pvp",Inputs!$B$43=0),1,IF(IF(Inputs!$B$38="pvp",15,Inputs!$B$43)-(B615)&lt;=0,1,MAX(0,IF(Inputs!$B$38="pvp",15,Inputs!$B$43)-MAX(5,B615))/(IF(Inputs!$B$38="pvp",15,Inputs!$B$43)-(B615))))*IF(AND(ArtifactsInput!$M$42,((Inputs!$B$9+((C596=TRUE)*(F596-Calc!F19))+B608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89">
        <f>(1-Summary!$B$11)*T589+Summary!$B$11*V589</f>
        <v/>
      </c>
      <c r="P589">
        <f>IF(B618=0,0,O589/B618)</f>
        <v/>
      </c>
      <c r="Q589">
        <f>IFERROR(1/(IF(Inputs!$B$38="pvp",15,MAX(0.1,Skills!D12-IF(TRUE=TRUE,Inputs!$B$32,0)))*(1-IF(AND(ArtifactsInput!$M$27,Inputs!$B$4="Chapter Hunt"),CHOOSE(ArtifactsInput!$N$27+1,20,24,28,32,36,40),0)/100)),0)</f>
        <v/>
      </c>
      <c r="R589">
        <f>IF(AND(Inputs!$B$38&lt;&gt;"pvp",Inputs!$B$43&gt;0),IF(MAX(0,Inputs!$B$43-B615)&lt;=0,0,(INT(MAX(0,Inputs!$B$43-B615)/(IF(Inputs!$B$38="pvp",15,MAX(0.1,Skills!D12-IF(TRUE=TRUE,Inputs!$B$32,0)))*(1-IF(AND(ArtifactsInput!$M$27,Inputs!$B$4="Chapter Hunt"),CHOOSE(ArtifactsInput!$N$27+1,20,24,28,32,36,40),0)/100)))+1)),0)</f>
        <v/>
      </c>
      <c r="S589">
        <f>IFERROR(O589/N589,0)</f>
        <v/>
      </c>
      <c r="T589">
        <f>IF(C589,(H589*N589*IF(AND(Inputs!$B$38&lt;&gt;"pvp",Inputs!$B$43&gt;0),((Skills!G12*((R589-1)*IF(Skills!H12&gt;0,INT(Skills!I12/Skills!H12+0.000000001),1)+IF(Skills!H12&gt;0,INT(MIN(Skills!I12,MAX(0,MAX(0,Inputs!$B$43-B615)-((R589-1)*(IF(Inputs!$B$38="pvp",15,MAX(0.1,Skills!D12-IF(TRUE=TRUE,Inputs!$B$32,0)))*(1-IF(AND(ArtifactsInput!$M$27,Inputs!$B$4="Chapter Hunt"),CHOOSE(ArtifactsInput!$N$27+1,20,24,28,32,36,40),0)/100)))))/Skills!H12+0.000000001),1)))/Inputs!$B$43),G589*Q589))*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Hunt"),CHOOSE(ArtifactsInput!$N$35+1,15,18,21,24,27,30)*(1-EXP(-(0.2*B610)*5)),0)+IF(AND(ArtifactsInput!$M$22,Inputs!$B$4&lt;&gt;"Chapter Hunt"),CHOOSE(ArtifactsInput!$N$22+1,10,12,14,16,18,20)*((0*(((0.15*B610*5))^0/1)+1*(((0.15*B610*5))^1/1)+2*(((0.15*B610*5))^2/2)+3*(((0.15*B610*5))^3/6)+4*(((0.15*B610*5))^4/24)+5*(((0.15*B610*5))^5/120))/((((0.15*B610*5))^0/1)+(((0.15*B610*5))^1/1)+(((0.15*B610*5))^2/2)+(((0.15*B610*5))^3/6)+(((0.15*B610*5))^4/24)+(((0.15*B610*5))^5/120))),0))+IF(Inputs!$B$3&gt;=54,9*(C580=TRUE)*MIN(1,8*(1+Inputs!$B$34/100)*Q580)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589*(1-MIN(100,(Inputs!$B$9+((C596=TRUE)*(F596-Calc!F19))+B608+(ArtifactsInput!$M$24-ArtifactsInput!$M$24)*CHOOSE(ArtifactsInput!$N$24+1,10,12,14,16,18,20)+(IF(AND(Inputs!$B$38&lt;&gt;"pvp",Inputs!$B$43=0),1,IF(IF(Inputs!$B$38="pvp",15,Inputs!$B$43)-(B615)&lt;=0,1,MAX(0,IF(Inputs!$B$38="pvp",15,Inputs!$B$43)-MAX(5,B615))/(IF(Inputs!$B$38="pvp",15,Inputs!$B$43)-(B615))))*IF(AND(ArtifactsInput!$M$42,((Inputs!$B$9+((C596=TRUE)*(F596-Calc!F19))+B608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589*(MIN(100,(Inputs!$B$9+((C596=TRUE)*(F596-Calc!F19))+B608+(ArtifactsInput!$M$24-ArtifactsInput!$M$24)*CHOOSE(ArtifactsInput!$N$24+1,10,12,14,16,18,20)+(IF(AND(Inputs!$B$38&lt;&gt;"pvp",Inputs!$B$43=0),1,IF(IF(Inputs!$B$38="pvp",15,Inputs!$B$43)-(B615)&lt;=0,1,MAX(0,IF(Inputs!$B$38="pvp",15,Inputs!$B$43)-MAX(5,B615))/(IF(Inputs!$B$38="pvp",15,Inputs!$B$43)-(B615))))*IF(AND(ArtifactsInput!$M$42,((Inputs!$B$9+((C596=TRUE)*(F596-Calc!F19))+B608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589*(1-MIN(100,(Inputs!$B$9+((C596=TRUE)*(F596-Calc!F19))+B608+(ArtifactsInput!$M$24-ArtifactsInput!$M$24)*CHOOSE(ArtifactsInput!$N$24+1,10,12,14,16,18,20)+(IF(AND(Inputs!$B$38&lt;&gt;"pvp",Inputs!$B$43=0),1,IF(IF(Inputs!$B$38="pvp",15,Inputs!$B$43)-(B615)&lt;=0,1,MAX(0,IF(Inputs!$B$38="pvp",15,Inputs!$B$43)-MAX(5,B615))/(IF(Inputs!$B$38="pvp",15,Inputs!$B$43)-(B615))))*IF(AND(ArtifactsInput!$M$42,((Inputs!$B$9+((C596=TRUE)*(F596-Calc!F19))+B608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589*(MIN(100,(Inputs!$B$9+((C596=TRUE)*(F596-Calc!F19))+B608+(ArtifactsInput!$M$24-ArtifactsInput!$M$24)*CHOOSE(ArtifactsInput!$N$24+1,10,12,14,16,18,20)+(IF(AND(Inputs!$B$38&lt;&gt;"pvp",Inputs!$B$43=0),1,IF(IF(Inputs!$B$38="pvp",15,Inputs!$B$43)-(B615)&lt;=0,1,MAX(0,IF(Inputs!$B$38="pvp",15,Inputs!$B$43)-MAX(5,B615))/(IF(Inputs!$B$38="pvp",15,Inputs!$B$43)-(B615))))*IF(AND(ArtifactsInput!$M$42,((Inputs!$B$9+((C596=TRUE)*(F596-Calc!F19))+B608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589">
        <f>IF(C589,(H589*N589*IF(AND(Inputs!$B$38&lt;&gt;"pvp",Inputs!$B$43&gt;0),((Skills!G12*((R589-1)*IF(Skills!H12&gt;0,INT(Skills!I12/Skills!H12+0.000000001),1)+IF(Skills!H12&gt;0,INT(MIN(Skills!I12,MAX(0,MAX(0,Inputs!$B$43-B615)-((R589-1)*(IF(Inputs!$B$38="pvp",15,MAX(0.1,Skills!D12-IF(TRUE=TRUE,Inputs!$B$32,0)))*(1-IF(AND(ArtifactsInput!$M$27,Inputs!$B$4="Chapter Hunt"),CHOOSE(ArtifactsInput!$N$27+1,20,24,28,32,36,40),0)/100)))))/Skills!H12+0.000000001),1)))/Inputs!$B$43),G589*Q589))*IF(Inputs!$B$38="pvp",1,(1+(Inputs!$B$21+Skills!Q12+(IF(ArtifactsInput!$M$33,CHOOSE(ArtifactsInput!$N$33+1,30,36,42,48,54,60),0))+(IF(AND(ArtifactsInput!$M$35,Inputs!$B$4&lt;&gt;"Chapter Hunt"),CHOOSE(ArtifactsInput!$N$35+1,15,18,21,24,27,30)*(1-EXP(-(0.2*B610)*5)),0)+IF(AND(ArtifactsInput!$M$22,Inputs!$B$4&lt;&gt;"Chapter Hunt"),CHOOSE(ArtifactsInput!$N$22+1,10,12,14,16,18,20)*((0*(((0.15*B610*5))^0/1)+1*(((0.15*B610*5))^1/1)+2*(((0.15*B610*5))^2/2)+3*(((0.15*B610*5))^3/6)+4*(((0.15*B610*5))^4/24)+5*(((0.15*B610*5))^5/120))/((((0.15*B610*5))^0/1)+(((0.15*B610*5))^1/1)+(((0.15*B610*5))^2/2)+(((0.15*B610*5))^3/6)+(((0.15*B610*5))^4/24)+(((0.15*B610*5))^5/120))),0))+IF(Inputs!$B$3&gt;=54,9*(C580=TRUE)*MIN(1,8*(1+Inputs!$B$34/100)*Q580),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90">
      <c r="A590">
        <f>Skills!A13</f>
        <v/>
      </c>
      <c r="B590">
        <f>Skills!B13</f>
        <v/>
      </c>
      <c r="C590">
        <f>Inputs!$B$3&gt;=110</f>
        <v/>
      </c>
      <c r="D590">
        <f>IF(Skills!C13=1,60+Inputs!$B$25+Inputs!$B$29,IF(Skills!C13=2,90+Inputs!$B$26+Inputs!$B$29,IF(Skills!C13=3,120+Inputs!$B$27+Inputs!$B$29,MAX(0,(Inputs!$B$3-100)*3)+Inputs!$B$28+Inputs!$B$29)))</f>
        <v/>
      </c>
      <c r="E590">
        <f>INDEX(FactorTable!$B$2:$Y$301, MATCH(ROUND(MIN(300,MAX(1,D590)),0), FactorTable!$A$2:$A$301,0), Skills!M13+1)</f>
        <v/>
      </c>
      <c r="F590">
        <f>IF(Skills!N13=TRUE,(Skills!L13/10)*(E590/1000),Skills!L13/10)+Skills!O13</f>
        <v/>
      </c>
      <c r="G590">
        <f>Skills!G13*IF(Skills!H13&gt;0,INT(IF(Inputs!$B$38="pvp",MIN(Skills!I13,15),Skills!I13)/Skills!H13+0.000000001),1)</f>
        <v/>
      </c>
      <c r="H590">
        <f>1-(1-Skills!J13/100)^Skills!K13</f>
        <v/>
      </c>
      <c r="I590" t="inlineStr">
        <is>
          <t>1</t>
        </is>
      </c>
      <c r="J590">
        <f>((Inputs!$B$6*(1+Inputs!$B$7/100))+(((Inputs!$B$12*(1+Inputs!$B$13/100))-(Inputs!$B$12*(1+Inputs!$B$13/100)))+0.25*(Inputs!$B$14-Inputs!$B$14))*(1+Inputs!$B$7/100))*(F590/100)</f>
        <v/>
      </c>
      <c r="K590">
        <f>J590*(1+((Inputs!$B$12*(1+Inputs!$B$13/100))*0.01+Inputs!$B$14*0.0025)/100)*(1+Inputs!$B$15/100)*(1+Inputs!$B$16/100)*(5000/(6000+Inputs!$B$42*(1-(100*(1-(1-(Inputs!$B$19+0)/100)*(1-CHOOSE(ArtifactsInput!$N$40+1,5,6,7,8,9,10)/100)^(ArtifactsInput!$M$40-ArtifactsInput!$M$40)))/100)))*(1+(Inputs!$B$24+((C603=TRUE)*(F603-Calc!F26))+B614)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EIGHT_LEGS_EASTON",Inputs!$B$17+((C600=TRUE)*(F600-Calc!F23))+((C604=TRUE)*(F604-Calc!F27))+((IF(AND(Inputs!$B$38&lt;&gt;"pvp",Inputs!$B$43=0),1,IF(IF(Inputs!$B$38="pvp",15,Inputs!$B$43)-(B615)&lt;=0,1,MAX(0,IF(Inputs!$B$38="pvp",15,Inputs!$B$43)-MAX(5,B615))/(IF(Inputs!$B$38="pvp",15,Inputs!$B$43)-(B615))))*(IF(AND(ArtifactsInput!$M$42,((Inputs!$B$9+((C596=TRUE)*(F596-Calc!F19))+B608+(ArtifactsInput!$M$24-ArtifactsInput!$M$24)*CHOOSE(ArtifactsInput!$N$24+1,10,12,14,16,18,20)+IF(ArtifactsInput!$M$10,CHOOSE(ArtifactsInput!$N$10+1,15,18,21,24,27,30)*(IF(Inputs!$B$38="pvp",MIN(15,15)/15,IF(AND(Inputs!$B$38&lt;&gt;"pvp",Inputs!$B$43&gt;0),MIN(15,Inputs!$B$43)/(Inputs!$B$43),0))),0)))&gt;=100),MIN(100,((Inputs!$B$9+((C596=TRUE)*(F596-Calc!F19))+B608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615)&lt;=0,1,MAX(0,IF(Inputs!$B$38="pvp",15,Inputs!$B$43)-MAX(5,B615))/(IF(Inputs!$B$38="pvp",15,Inputs!$B$43)-(B615))))*IF(AND(ArtifactsInput!$M$42,((Inputs!$B$9+((C596=TRUE)*(F596-Calc!F19))+B608+(ArtifactsInput!$M$24-ArtifactsInput!$M$24)*CHOOSE(ArtifactsInput!$N$24+1,10,12,14,16,18,20)+IF(ArtifactsInput!$M$10,CHOOSE(ArtifactsInput!$N$10+1,15,18,21,24,27,30)*(IF(Inputs!$B$38="pvp",MIN(15,15)/15,IF(AND(Inputs!$B$38&lt;&gt;"pvp",Inputs!$B$43&gt;0),MIN(15,Inputs!$B$43)/(Inputs!$B$43),0))),0)))&gt;=100),CHOOSE(ArtifactsInput!$N$42+1,40,48,56,64,72,80),0))))/100)*((1+(((C594=TRUE)*F594*5/7)+((C601=TRUE)*(F601-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590)</f>
        <v/>
      </c>
      <c r="L590">
        <f>K590*(MIN(Inputs!$B$22+((C599=TRUE)*(F599-Calc!F22)),(Inputs!$B$23+0+(IF(ArtifactsInput!$M$15,CHOOSE(ArtifactsInput!$N$15+1,25,30,35,40,45,50)/100*(Inputs!$B$11-Inputs!$B$11),0))))/100+(Inputs!$B$23+0+(IF(ArtifactsInput!$M$15,CHOOSE(ArtifactsInput!$N$15+1,25,30,35,40,45,50)/100*(Inputs!$B$11-Inputs!$B$11),0)))/100)/2</f>
        <v/>
      </c>
      <c r="M590">
        <f>L590*(1+((Inputs!$B$10+1)+((C602=TRUE)*(F602-Calc!F25))+B613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90">
        <f>L590*(1-MIN((Inputs!$B$9+((C596=TRUE)*(F596-Calc!F19))+B608+(ArtifactsInput!$M$24-ArtifactsInput!$M$24)*CHOOSE(ArtifactsInput!$N$24+1,10,12,14,16,18,20)+(IF(AND(Inputs!$B$38&lt;&gt;"pvp",Inputs!$B$43=0),1,IF(IF(Inputs!$B$38="pvp",15,Inputs!$B$43)-(B615)&lt;=0,1,MAX(0,IF(Inputs!$B$38="pvp",15,Inputs!$B$43)-MAX(5,B615))/(IF(Inputs!$B$38="pvp",15,Inputs!$B$43)-(B615))))*IF(AND(ArtifactsInput!$M$42,((Inputs!$B$9+((C596=TRUE)*(F596-Calc!F19))+B608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590*(MIN((Inputs!$B$9+((C596=TRUE)*(F596-Calc!F19))+B608+(ArtifactsInput!$M$24-ArtifactsInput!$M$24)*CHOOSE(ArtifactsInput!$N$24+1,10,12,14,16,18,20)+(IF(AND(Inputs!$B$38&lt;&gt;"pvp",Inputs!$B$43=0),1,IF(IF(Inputs!$B$38="pvp",15,Inputs!$B$43)-(B615)&lt;=0,1,MAX(0,IF(Inputs!$B$38="pvp",15,Inputs!$B$43)-MAX(5,B615))/(IF(Inputs!$B$38="pvp",15,Inputs!$B$43)-(B615))))*IF(AND(ArtifactsInput!$M$42,((Inputs!$B$9+((C596=TRUE)*(F596-Calc!F19))+B608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90">
        <f>(1-Summary!$B$11)*T590+Summary!$B$11*V590</f>
        <v/>
      </c>
      <c r="P590">
        <f>IF(B618=0,0,O590/B618)</f>
        <v/>
      </c>
      <c r="Q590">
        <f>IFERROR(1/(IF(Inputs!$B$38="pvp",15,MAX(0.1,Skills!D13-IF(TRUE=TRUE,Inputs!$B$32,0)))*(1-IF(AND(ArtifactsInput!$M$27,Inputs!$B$4="Chapter Hunt"),CHOOSE(ArtifactsInput!$N$27+1,20,24,28,32,36,40),0)/100)),0)</f>
        <v/>
      </c>
      <c r="R590">
        <f>IF(AND(Inputs!$B$38&lt;&gt;"pvp",Inputs!$B$43&gt;0),IF(MAX(0,Inputs!$B$43-B615)&lt;=0,0,(INT(MAX(0,Inputs!$B$43-B615)/(IF(Inputs!$B$38="pvp",15,MAX(0.1,Skills!D13-IF(TRUE=TRUE,Inputs!$B$32,0)))*(1-IF(AND(ArtifactsInput!$M$27,Inputs!$B$4="Chapter Hunt"),CHOOSE(ArtifactsInput!$N$27+1,20,24,28,32,36,40),0)/100)))+1)),0)</f>
        <v/>
      </c>
      <c r="S590">
        <f>IFERROR(O590/N590,0)</f>
        <v/>
      </c>
      <c r="T590">
        <f>IF(C590,(H590*N590*IF(AND(Inputs!$B$38&lt;&gt;"pvp",Inputs!$B$43&gt;0),((Skills!G13*((R590-1)*IF(Skills!H13&gt;0,INT(Skills!I13/Skills!H13+0.000000001),1)+IF(Skills!H13&gt;0,INT(MIN(Skills!I13,MAX(0,MAX(0,Inputs!$B$43-B615)-((R590-1)*(IF(Inputs!$B$38="pvp",15,MAX(0.1,Skills!D13-IF(TRUE=TRUE,Inputs!$B$32,0)))*(1-IF(AND(ArtifactsInput!$M$27,Inputs!$B$4="Chapter Hunt"),CHOOSE(ArtifactsInput!$N$27+1,20,24,28,32,36,40),0)/100)))))/Skills!H13+0.000000001),1)))/Inputs!$B$43),G590*Q590))*IF(Inputs!$B$38="pvp",1,1+(Inputs!$B$20+0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Hunt"),CHOOSE(ArtifactsInput!$N$35+1,15,18,21,24,27,30)*(1-EXP(-(0.2*B610)*5)),0)+IF(AND(ArtifactsInput!$M$22,Inputs!$B$4&lt;&gt;"Chapter Hunt"),CHOOSE(ArtifactsInput!$N$22+1,10,12,14,16,18,20)*((0*(((0.15*B610*5))^0/1)+1*(((0.15*B610*5))^1/1)+2*(((0.15*B610*5))^2/2)+3*(((0.15*B610*5))^3/6)+4*(((0.15*B610*5))^4/24)+5*(((0.15*B610*5))^5/120))/((((0.15*B610*5))^0/1)+(((0.15*B610*5))^1/1)+(((0.15*B610*5))^2/2)+(((0.15*B610*5))^3/6)+(((0.15*B610*5))^4/24)+(((0.15*B610*5))^5/120))),0))+IF(Inputs!$B$3&gt;=54,9*(C580=TRUE)*MIN(1,8*(1+Inputs!$B$34/100)*Q580)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590*(1-MIN(100,(Inputs!$B$9+((C596=TRUE)*(F596-Calc!F19))+B608+(ArtifactsInput!$M$24-ArtifactsInput!$M$24)*CHOOSE(ArtifactsInput!$N$24+1,10,12,14,16,18,20)+(IF(AND(Inputs!$B$38&lt;&gt;"pvp",Inputs!$B$43=0),1,IF(IF(Inputs!$B$38="pvp",15,Inputs!$B$43)-(B615)&lt;=0,1,MAX(0,IF(Inputs!$B$38="pvp",15,Inputs!$B$43)-MAX(5,B615))/(IF(Inputs!$B$38="pvp",15,Inputs!$B$43)-(B615))))*IF(AND(ArtifactsInput!$M$42,((Inputs!$B$9+((C596=TRUE)*(F596-Calc!F19))+B608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590*(MIN(100,(Inputs!$B$9+((C596=TRUE)*(F596-Calc!F19))+B608+(ArtifactsInput!$M$24-ArtifactsInput!$M$24)*CHOOSE(ArtifactsInput!$N$24+1,10,12,14,16,18,20)+(IF(AND(Inputs!$B$38&lt;&gt;"pvp",Inputs!$B$43=0),1,IF(IF(Inputs!$B$38="pvp",15,Inputs!$B$43)-(B615)&lt;=0,1,MAX(0,IF(Inputs!$B$38="pvp",15,Inputs!$B$43)-MAX(5,B615))/(IF(Inputs!$B$38="pvp",15,Inputs!$B$43)-(B615))))*IF(AND(ArtifactsInput!$M$42,((Inputs!$B$9+((C596=TRUE)*(F596-Calc!F19))+B608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590*(1-MIN(100,(Inputs!$B$9+((C596=TRUE)*(F596-Calc!F19))+B608+(ArtifactsInput!$M$24-ArtifactsInput!$M$24)*CHOOSE(ArtifactsInput!$N$24+1,10,12,14,16,18,20)+(IF(AND(Inputs!$B$38&lt;&gt;"pvp",Inputs!$B$43=0),1,IF(IF(Inputs!$B$38="pvp",15,Inputs!$B$43)-(B615)&lt;=0,1,MAX(0,IF(Inputs!$B$38="pvp",15,Inputs!$B$43)-MAX(5,B615))/(IF(Inputs!$B$38="pvp",15,Inputs!$B$43)-(B615))))*IF(AND(ArtifactsInput!$M$42,((Inputs!$B$9+((C596=TRUE)*(F596-Calc!F19))+B608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590*(MIN(100,(Inputs!$B$9+((C596=TRUE)*(F596-Calc!F19))+B608+(ArtifactsInput!$M$24-ArtifactsInput!$M$24)*CHOOSE(ArtifactsInput!$N$24+1,10,12,14,16,18,20)+(IF(AND(Inputs!$B$38&lt;&gt;"pvp",Inputs!$B$43=0),1,IF(IF(Inputs!$B$38="pvp",15,Inputs!$B$43)-(B615)&lt;=0,1,MAX(0,IF(Inputs!$B$38="pvp",15,Inputs!$B$43)-MAX(5,B615))/(IF(Inputs!$B$38="pvp",15,Inputs!$B$43)-(B615))))*IF(AND(ArtifactsInput!$M$42,((Inputs!$B$9+((C596=TRUE)*(F596-Calc!F19))+B608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590">
        <f>IF(C590,(H590*N590*IF(AND(Inputs!$B$38&lt;&gt;"pvp",Inputs!$B$43&gt;0),((Skills!G13*((R590-1)*IF(Skills!H13&gt;0,INT(Skills!I13/Skills!H13+0.000000001),1)+IF(Skills!H13&gt;0,INT(MIN(Skills!I13,MAX(0,MAX(0,Inputs!$B$43-B615)-((R590-1)*(IF(Inputs!$B$38="pvp",15,MAX(0.1,Skills!D13-IF(TRUE=TRUE,Inputs!$B$32,0)))*(1-IF(AND(ArtifactsInput!$M$27,Inputs!$B$4="Chapter Hunt"),CHOOSE(ArtifactsInput!$N$27+1,20,24,28,32,36,40),0)/100)))))/Skills!H13+0.000000001),1)))/Inputs!$B$43),G590*Q590))*IF(Inputs!$B$38="pvp",1,(1+(Inputs!$B$21+Skills!Q13+(IF(ArtifactsInput!$M$33,CHOOSE(ArtifactsInput!$N$33+1,30,36,42,48,54,60),0))+(IF(AND(ArtifactsInput!$M$35,Inputs!$B$4&lt;&gt;"Chapter Hunt"),CHOOSE(ArtifactsInput!$N$35+1,15,18,21,24,27,30)*(1-EXP(-(0.2*B610)*5)),0)+IF(AND(ArtifactsInput!$M$22,Inputs!$B$4&lt;&gt;"Chapter Hunt"),CHOOSE(ArtifactsInput!$N$22+1,10,12,14,16,18,20)*((0*(((0.15*B610*5))^0/1)+1*(((0.15*B610*5))^1/1)+2*(((0.15*B610*5))^2/2)+3*(((0.15*B610*5))^3/6)+4*(((0.15*B610*5))^4/24)+5*(((0.15*B610*5))^5/120))/((((0.15*B610*5))^0/1)+(((0.15*B610*5))^1/1)+(((0.15*B610*5))^2/2)+(((0.15*B610*5))^3/6)+(((0.15*B610*5))^4/24)+(((0.15*B610*5))^5/120))),0))+IF(Inputs!$B$3&gt;=54,9*(C580=TRUE)*MIN(1,8*(1+Inputs!$B$34/100)*Q580),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91">
      <c r="A591">
        <f>Skills!A14</f>
        <v/>
      </c>
      <c r="B591">
        <f>Skills!B14</f>
        <v/>
      </c>
      <c r="C591">
        <f>Inputs!$B$3&gt;=120</f>
        <v/>
      </c>
      <c r="D591">
        <f>IF(Skills!C14=1,60+Inputs!$B$25+Inputs!$B$29,IF(Skills!C14=2,90+Inputs!$B$26+Inputs!$B$29,IF(Skills!C14=3,120+Inputs!$B$27+Inputs!$B$29,MAX(0,(Inputs!$B$3-100)*3)+Inputs!$B$28+Inputs!$B$29)))</f>
        <v/>
      </c>
      <c r="E591">
        <f>INDEX(FactorTable!$B$2:$Y$301, MATCH(ROUND(MIN(300,MAX(1,D591)),0), FactorTable!$A$2:$A$301,0), Skills!M14+1)</f>
        <v/>
      </c>
      <c r="F591">
        <f>IF(Skills!N14=TRUE,(Skills!L14/10)*(E591/1000),Skills!L14/10)+Skills!O14</f>
        <v/>
      </c>
      <c r="G591">
        <f>Skills!G14*IF(Skills!H14&gt;0,INT(IF(Inputs!$B$38="pvp",MIN(Skills!I14,15),Skills!I14)/Skills!H14+0.000000001),1)</f>
        <v/>
      </c>
      <c r="H591">
        <f>1-(1-Skills!J14/100)^Skills!K14</f>
        <v/>
      </c>
      <c r="I591" t="inlineStr">
        <is>
          <t>1</t>
        </is>
      </c>
      <c r="J591">
        <f>((Inputs!$B$6*(1+Inputs!$B$7/100))+(((Inputs!$B$12*(1+Inputs!$B$13/100))-(Inputs!$B$12*(1+Inputs!$B$13/100)))+0.25*(Inputs!$B$14-Inputs!$B$14))*(1+Inputs!$B$7/100))*(F591/100)</f>
        <v/>
      </c>
      <c r="K591">
        <f>J591*(1+((Inputs!$B$12*(1+Inputs!$B$13/100))*0.01+Inputs!$B$14*0.0025)/100)*(1+Inputs!$B$15/100)*(1+Inputs!$B$16/100)*(5000/(6000+Inputs!$B$42*(1-(100*(1-(1-(Inputs!$B$19+0)/100)*(1-CHOOSE(ArtifactsInput!$N$40+1,5,6,7,8,9,10)/100)^(ArtifactsInput!$M$40-ArtifactsInput!$M$40)))/100)))*(1+(Inputs!$B$24+((C603=TRUE)*(F603-Calc!F26))+B614)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EIGHT_LEGS_EASTON",Inputs!$B$17+((C600=TRUE)*(F600-Calc!F23))+((C604=TRUE)*(F604-Calc!F27))+((IF(AND(Inputs!$B$38&lt;&gt;"pvp",Inputs!$B$43=0),1,IF(IF(Inputs!$B$38="pvp",15,Inputs!$B$43)-(B615)&lt;=0,1,MAX(0,IF(Inputs!$B$38="pvp",15,Inputs!$B$43)-MAX(5,B615))/(IF(Inputs!$B$38="pvp",15,Inputs!$B$43)-(B615))))*(IF(AND(ArtifactsInput!$M$42,((Inputs!$B$9+((C596=TRUE)*(F596-Calc!F19))+B608+(ArtifactsInput!$M$24-ArtifactsInput!$M$24)*CHOOSE(ArtifactsInput!$N$24+1,10,12,14,16,18,20)+IF(ArtifactsInput!$M$10,CHOOSE(ArtifactsInput!$N$10+1,15,18,21,24,27,30)*(IF(Inputs!$B$38="pvp",MIN(15,15)/15,IF(AND(Inputs!$B$38&lt;&gt;"pvp",Inputs!$B$43&gt;0),MIN(15,Inputs!$B$43)/(Inputs!$B$43),0))),0)))&gt;=100),MIN(100,((Inputs!$B$9+((C596=TRUE)*(F596-Calc!F19))+B608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615)&lt;=0,1,MAX(0,IF(Inputs!$B$38="pvp",15,Inputs!$B$43)-MAX(5,B615))/(IF(Inputs!$B$38="pvp",15,Inputs!$B$43)-(B615))))*IF(AND(ArtifactsInput!$M$42,((Inputs!$B$9+((C596=TRUE)*(F596-Calc!F19))+B608+(ArtifactsInput!$M$24-ArtifactsInput!$M$24)*CHOOSE(ArtifactsInput!$N$24+1,10,12,14,16,18,20)+IF(ArtifactsInput!$M$10,CHOOSE(ArtifactsInput!$N$10+1,15,18,21,24,27,30)*(IF(Inputs!$B$38="pvp",MIN(15,15)/15,IF(AND(Inputs!$B$38&lt;&gt;"pvp",Inputs!$B$43&gt;0),MIN(15,Inputs!$B$43)/(Inputs!$B$43),0))),0)))&gt;=100),CHOOSE(ArtifactsInput!$N$42+1,40,48,56,64,72,80),0))))/100)*((1+(((C594=TRUE)*F594*5/7)+((C601=TRUE)*(F601-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591)</f>
        <v/>
      </c>
      <c r="L591">
        <f>K591*(MIN(Inputs!$B$22+((C599=TRUE)*(F599-Calc!F22)),(Inputs!$B$23+0+(IF(ArtifactsInput!$M$15,CHOOSE(ArtifactsInput!$N$15+1,25,30,35,40,45,50)/100*(Inputs!$B$11-Inputs!$B$11),0))))/100+(Inputs!$B$23+0+(IF(ArtifactsInput!$M$15,CHOOSE(ArtifactsInput!$N$15+1,25,30,35,40,45,50)/100*(Inputs!$B$11-Inputs!$B$11),0)))/100)/2</f>
        <v/>
      </c>
      <c r="M591">
        <f>L591*(1+((Inputs!$B$10+1)+((C602=TRUE)*(F602-Calc!F25))+B613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91">
        <f>L591*(1-MIN((Inputs!$B$9+((C596=TRUE)*(F596-Calc!F19))+B608+(ArtifactsInput!$M$24-ArtifactsInput!$M$24)*CHOOSE(ArtifactsInput!$N$24+1,10,12,14,16,18,20)+(IF(AND(Inputs!$B$38&lt;&gt;"pvp",Inputs!$B$43=0),1,IF(IF(Inputs!$B$38="pvp",15,Inputs!$B$43)-(B615)&lt;=0,1,MAX(0,IF(Inputs!$B$38="pvp",15,Inputs!$B$43)-MAX(5,B615))/(IF(Inputs!$B$38="pvp",15,Inputs!$B$43)-(B615))))*IF(AND(ArtifactsInput!$M$42,((Inputs!$B$9+((C596=TRUE)*(F596-Calc!F19))+B608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591*(MIN((Inputs!$B$9+((C596=TRUE)*(F596-Calc!F19))+B608+(ArtifactsInput!$M$24-ArtifactsInput!$M$24)*CHOOSE(ArtifactsInput!$N$24+1,10,12,14,16,18,20)+(IF(AND(Inputs!$B$38&lt;&gt;"pvp",Inputs!$B$43=0),1,IF(IF(Inputs!$B$38="pvp",15,Inputs!$B$43)-(B615)&lt;=0,1,MAX(0,IF(Inputs!$B$38="pvp",15,Inputs!$B$43)-MAX(5,B615))/(IF(Inputs!$B$38="pvp",15,Inputs!$B$43)-(B615))))*IF(AND(ArtifactsInput!$M$42,((Inputs!$B$9+((C596=TRUE)*(F596-Calc!F19))+B608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91">
        <f>(1-Summary!$B$11)*T591+Summary!$B$11*V591</f>
        <v/>
      </c>
      <c r="P591">
        <f>IF(B618=0,0,O591/B618)</f>
        <v/>
      </c>
      <c r="Q591" t="n">
        <v>0</v>
      </c>
      <c r="R591" t="n">
        <v>0</v>
      </c>
      <c r="S591">
        <f>IFERROR(O591/N591,0)</f>
        <v/>
      </c>
      <c r="T591">
        <f>IF(C591,((H591*(B612+IF(AND(Inputs!$B$38&lt;&gt;"pvp",Inputs!$B$43&gt;0),((Skills!G8*((R585-1)*IF(Skills!H8&gt;0,INT(Skills!I8/Skills!H8+0.000000001),1)+IF(Skills!H8&gt;0,INT(MIN(Skills!I8,MAX(0,MAX(0,Inputs!$B$43-B615)-((R585-1)*((IF(Inputs!$B$38="pvp",15,MAX(0.1,Skills!D8-IF(TRUE=TRUE,Inputs!$B$32,0)))*(1-IF(AND(ArtifactsInput!$M$27,Inputs!$B$4="Chapter Hunt"),CHOOSE(ArtifactsInput!$N$27+1,20,24,28,32,36,40),0)/100))/B619))))/Skills!H8+0.000000001),1)))/Inputs!$B$43),G585*Q585)+IF(AND(Inputs!$B$38&lt;&gt;"pvp",Inputs!$B$43&gt;0),((Skills!G11*((R588-1)*IF(Skills!H11&gt;0,INT(Skills!I11/Skills!H11+0.000000001),1)+IF(Skills!H11&gt;0,INT(MIN(Skills!I11,MAX(0,MAX(0,Inputs!$B$43-B615)-((R588-1)*((IF(Inputs!$B$38="pvp",15,MAX(0.1,Skills!D11-IF(TRUE=TRUE,Inputs!$B$32,0)))*(1-IF(AND(ArtifactsInput!$M$27,Inputs!$B$4="Chapter Hunt"),CHOOSE(ArtifactsInput!$N$27+1,20,24,28,32,36,40),0)/100))/B619))))/Skills!H11+0.000000001),1)))/Inputs!$B$43),G588*Q588)))/(1+Skills!H14*H591*(B612+IF(AND(Inputs!$B$38&lt;&gt;"pvp",Inputs!$B$43&gt;0),((Skills!G8*((R585-1)*IF(Skills!H8&gt;0,INT(Skills!I8/Skills!H8+0.000000001),1)+IF(Skills!H8&gt;0,INT(MIN(Skills!I8,MAX(0,MAX(0,Inputs!$B$43-B615)-((R585-1)*((IF(Inputs!$B$38="pvp",15,MAX(0.1,Skills!D8-IF(TRUE=TRUE,Inputs!$B$32,0)))*(1-IF(AND(ArtifactsInput!$M$27,Inputs!$B$4="Chapter Hunt"),CHOOSE(ArtifactsInput!$N$27+1,20,24,28,32,36,40),0)/100))/B619))))/Skills!H8+0.000000001),1)))/Inputs!$B$43),G585*Q585)+IF(AND(Inputs!$B$38&lt;&gt;"pvp",Inputs!$B$43&gt;0),((Skills!G11*((R588-1)*IF(Skills!H11&gt;0,INT(Skills!I11/Skills!H11+0.000000001),1)+IF(Skills!H11&gt;0,INT(MIN(Skills!I11,MAX(0,MAX(0,Inputs!$B$43-B615)-((R588-1)*((IF(Inputs!$B$38="pvp",15,MAX(0.1,Skills!D11-IF(TRUE=TRUE,Inputs!$B$32,0)))*(1-IF(AND(ArtifactsInput!$M$27,Inputs!$B$4="Chapter Hunt"),CHOOSE(ArtifactsInput!$N$27+1,20,24,28,32,36,40),0)/100))/B619))))/Skills!H11+0.000000001),1)))/Inputs!$B$43),G588*Q588)))*N591)*IF(Inputs!$B$38="pvp",1,1+(Inputs!$B$20+0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Hunt"),CHOOSE(ArtifactsInput!$N$35+1,15,18,21,24,27,30)*(1-EXP(-(0.2*B610)*5)),0)+IF(AND(ArtifactsInput!$M$22,Inputs!$B$4&lt;&gt;"Chapter Hunt"),CHOOSE(ArtifactsInput!$N$22+1,10,12,14,16,18,20)*((0*(((0.15*B610*5))^0/1)+1*(((0.15*B610*5))^1/1)+2*(((0.15*B610*5))^2/2)+3*(((0.15*B610*5))^3/6)+4*(((0.15*B610*5))^4/24)+5*(((0.15*B610*5))^5/120))/((((0.15*B610*5))^0/1)+(((0.15*B610*5))^1/1)+(((0.15*B610*5))^2/2)+(((0.15*B610*5))^3/6)+(((0.15*B610*5))^4/24)+(((0.15*B610*5))^5/120))),0))+IF(Inputs!$B$3&gt;=54,9*(C580=TRUE)*MIN(1,8*(1+Inputs!$B$34/100)*Q580)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591*(1-MIN(100,(Inputs!$B$9+((C596=TRUE)*(F596-Calc!F19))+B608+(ArtifactsInput!$M$24-ArtifactsInput!$M$24)*CHOOSE(ArtifactsInput!$N$24+1,10,12,14,16,18,20)+(IF(AND(Inputs!$B$38&lt;&gt;"pvp",Inputs!$B$43=0),1,IF(IF(Inputs!$B$38="pvp",15,Inputs!$B$43)-(B615)&lt;=0,1,MAX(0,IF(Inputs!$B$38="pvp",15,Inputs!$B$43)-MAX(5,B615))/(IF(Inputs!$B$38="pvp",15,Inputs!$B$43)-(B615))))*IF(AND(ArtifactsInput!$M$42,((Inputs!$B$9+((C596=TRUE)*(F596-Calc!F19))+B608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591*(MIN(100,(Inputs!$B$9+((C596=TRUE)*(F596-Calc!F19))+B608+(ArtifactsInput!$M$24-ArtifactsInput!$M$24)*CHOOSE(ArtifactsInput!$N$24+1,10,12,14,16,18,20)+(IF(AND(Inputs!$B$38&lt;&gt;"pvp",Inputs!$B$43=0),1,IF(IF(Inputs!$B$38="pvp",15,Inputs!$B$43)-(B615)&lt;=0,1,MAX(0,IF(Inputs!$B$38="pvp",15,Inputs!$B$43)-MAX(5,B615))/(IF(Inputs!$B$38="pvp",15,Inputs!$B$43)-(B615))))*IF(AND(ArtifactsInput!$M$42,((Inputs!$B$9+((C596=TRUE)*(F596-Calc!F19))+B608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591*(1-MIN(100,(Inputs!$B$9+((C596=TRUE)*(F596-Calc!F19))+B608+(ArtifactsInput!$M$24-ArtifactsInput!$M$24)*CHOOSE(ArtifactsInput!$N$24+1,10,12,14,16,18,20)+(IF(AND(Inputs!$B$38&lt;&gt;"pvp",Inputs!$B$43=0),1,IF(IF(Inputs!$B$38="pvp",15,Inputs!$B$43)-(B615)&lt;=0,1,MAX(0,IF(Inputs!$B$38="pvp",15,Inputs!$B$43)-MAX(5,B615))/(IF(Inputs!$B$38="pvp",15,Inputs!$B$43)-(B615))))*IF(AND(ArtifactsInput!$M$42,((Inputs!$B$9+((C596=TRUE)*(F596-Calc!F19))+B608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591*(MIN(100,(Inputs!$B$9+((C596=TRUE)*(F596-Calc!F19))+B608+(ArtifactsInput!$M$24-ArtifactsInput!$M$24)*CHOOSE(ArtifactsInput!$N$24+1,10,12,14,16,18,20)+(IF(AND(Inputs!$B$38&lt;&gt;"pvp",Inputs!$B$43=0),1,IF(IF(Inputs!$B$38="pvp",15,Inputs!$B$43)-(B615)&lt;=0,1,MAX(0,IF(Inputs!$B$38="pvp",15,Inputs!$B$43)-MAX(5,B615))/(IF(Inputs!$B$38="pvp",15,Inputs!$B$43)-(B615))))*IF(AND(ArtifactsInput!$M$42,((Inputs!$B$9+((C596=TRUE)*(F596-Calc!F19))+B608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591">
        <f>IF(C591,((H591*(B612+IF(AND(Inputs!$B$38&lt;&gt;"pvp",Inputs!$B$43&gt;0),((Skills!G8*((R585-1)*IF(Skills!H8&gt;0,INT(Skills!I8/Skills!H8+0.000000001),1)+IF(Skills!H8&gt;0,INT(MIN(Skills!I8,MAX(0,MAX(0,Inputs!$B$43-B615)-((R585-1)*((IF(Inputs!$B$38="pvp",15,MAX(0.1,Skills!D8-IF(TRUE=TRUE,Inputs!$B$32,0)))*(1-IF(AND(ArtifactsInput!$M$27,Inputs!$B$4="Chapter Hunt"),CHOOSE(ArtifactsInput!$N$27+1,20,24,28,32,36,40),0)/100))/B619))))/Skills!H8+0.000000001),1)))/Inputs!$B$43),G585*Q585)+IF(AND(Inputs!$B$38&lt;&gt;"pvp",Inputs!$B$43&gt;0),((Skills!G11*((R588-1)*IF(Skills!H11&gt;0,INT(Skills!I11/Skills!H11+0.000000001),1)+IF(Skills!H11&gt;0,INT(MIN(Skills!I11,MAX(0,MAX(0,Inputs!$B$43-B615)-((R588-1)*((IF(Inputs!$B$38="pvp",15,MAX(0.1,Skills!D11-IF(TRUE=TRUE,Inputs!$B$32,0)))*(1-IF(AND(ArtifactsInput!$M$27,Inputs!$B$4="Chapter Hunt"),CHOOSE(ArtifactsInput!$N$27+1,20,24,28,32,36,40),0)/100))/B619))))/Skills!H11+0.000000001),1)))/Inputs!$B$43),G588*Q588)))/(1+Skills!H14*H591*(B612+IF(AND(Inputs!$B$38&lt;&gt;"pvp",Inputs!$B$43&gt;0),((Skills!G8*((R585-1)*IF(Skills!H8&gt;0,INT(Skills!I8/Skills!H8+0.000000001),1)+IF(Skills!H8&gt;0,INT(MIN(Skills!I8,MAX(0,MAX(0,Inputs!$B$43-B615)-((R585-1)*((IF(Inputs!$B$38="pvp",15,MAX(0.1,Skills!D8-IF(TRUE=TRUE,Inputs!$B$32,0)))*(1-IF(AND(ArtifactsInput!$M$27,Inputs!$B$4="Chapter Hunt"),CHOOSE(ArtifactsInput!$N$27+1,20,24,28,32,36,40),0)/100))/B619))))/Skills!H8+0.000000001),1)))/Inputs!$B$43),G585*Q585)+IF(AND(Inputs!$B$38&lt;&gt;"pvp",Inputs!$B$43&gt;0),((Skills!G11*((R588-1)*IF(Skills!H11&gt;0,INT(Skills!I11/Skills!H11+0.000000001),1)+IF(Skills!H11&gt;0,INT(MIN(Skills!I11,MAX(0,MAX(0,Inputs!$B$43-B615)-((R588-1)*((IF(Inputs!$B$38="pvp",15,MAX(0.1,Skills!D11-IF(TRUE=TRUE,Inputs!$B$32,0)))*(1-IF(AND(ArtifactsInput!$M$27,Inputs!$B$4="Chapter Hunt"),CHOOSE(ArtifactsInput!$N$27+1,20,24,28,32,36,40),0)/100))/B619))))/Skills!H11+0.000000001),1)))/Inputs!$B$43),G588*Q588)))*N591)*IF(Inputs!$B$38="pvp",1,(1+(Inputs!$B$21+Skills!Q14+(IF(ArtifactsInput!$M$33,CHOOSE(ArtifactsInput!$N$33+1,30,36,42,48,54,60),0))+(IF(AND(ArtifactsInput!$M$35,Inputs!$B$4&lt;&gt;"Chapter Hunt"),CHOOSE(ArtifactsInput!$N$35+1,15,18,21,24,27,30)*(1-EXP(-(0.2*B610)*5)),0)+IF(AND(ArtifactsInput!$M$22,Inputs!$B$4&lt;&gt;"Chapter Hunt"),CHOOSE(ArtifactsInput!$N$22+1,10,12,14,16,18,20)*((0*(((0.15*B610*5))^0/1)+1*(((0.15*B610*5))^1/1)+2*(((0.15*B610*5))^2/2)+3*(((0.15*B610*5))^3/6)+4*(((0.15*B610*5))^4/24)+5*(((0.15*B610*5))^5/120))/((((0.15*B610*5))^0/1)+(((0.15*B610*5))^1/1)+(((0.15*B610*5))^2/2)+(((0.15*B610*5))^3/6)+(((0.15*B610*5))^4/24)+(((0.15*B610*5))^5/120))),0))+IF(Inputs!$B$3&gt;=54,9*(C580=TRUE)*MIN(1,8*(1+Inputs!$B$34/100)*Q580),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92">
      <c r="A592">
        <f>Skills!A15</f>
        <v/>
      </c>
      <c r="B592">
        <f>Skills!B15</f>
        <v/>
      </c>
      <c r="C592">
        <f>Inputs!$B$3&gt;=100</f>
        <v/>
      </c>
      <c r="D592">
        <f>IF(Skills!C15=1,60+Inputs!$B$25+Inputs!$B$29,IF(Skills!C15=2,90+Inputs!$B$26+Inputs!$B$29,IF(Skills!C15=3,120+Inputs!$B$27+Inputs!$B$29,MAX(0,(Inputs!$B$3-100)*3)+Inputs!$B$28+Inputs!$B$29)))</f>
        <v/>
      </c>
      <c r="E592">
        <f>INDEX(FactorTable!$B$2:$Y$301, MATCH(ROUND(MIN(300,MAX(1,D592)),0), FactorTable!$A$2:$A$301,0), Skills!M15+1)</f>
        <v/>
      </c>
      <c r="F592">
        <f>IF(Skills!N15=TRUE,(Skills!L15/10)*(E592/1000),Skills!L15/10)+Skills!O15</f>
        <v/>
      </c>
      <c r="G592" t="inlineStr"/>
      <c r="H592" t="inlineStr"/>
      <c r="I592" t="inlineStr">
        <is>
          <t>1</t>
        </is>
      </c>
      <c r="J592" t="inlineStr"/>
      <c r="K592" t="inlineStr"/>
      <c r="L592" t="inlineStr"/>
      <c r="M592" t="inlineStr"/>
      <c r="N592" t="inlineStr"/>
      <c r="O592" t="inlineStr"/>
      <c r="P592" t="inlineStr"/>
      <c r="Q592" t="inlineStr"/>
      <c r="R592" t="inlineStr"/>
      <c r="S592" t="inlineStr"/>
    </row>
    <row r="593">
      <c r="A593">
        <f>Skills!A16</f>
        <v/>
      </c>
      <c r="B593">
        <f>Skills!B16</f>
        <v/>
      </c>
      <c r="C593">
        <f>Inputs!$B$3&gt;=107</f>
        <v/>
      </c>
      <c r="D593">
        <f>IF(Skills!C16=1,60+Inputs!$B$25+Inputs!$B$29,IF(Skills!C16=2,90+Inputs!$B$26+Inputs!$B$29,IF(Skills!C16=3,120+Inputs!$B$27+Inputs!$B$29,MAX(0,(Inputs!$B$3-100)*3)+Inputs!$B$28+Inputs!$B$29)))</f>
        <v/>
      </c>
      <c r="E593">
        <f>INDEX(FactorTable!$B$2:$Y$301, MATCH(ROUND(MIN(300,MAX(1,D593)),0), FactorTable!$A$2:$A$301,0), Skills!M16+1)</f>
        <v/>
      </c>
      <c r="F593">
        <f>IF(Skills!N16=TRUE,(Skills!L16/10)*(E593/1000),Skills!L16/10)+Skills!O16</f>
        <v/>
      </c>
      <c r="G593" t="inlineStr"/>
      <c r="H593" t="inlineStr"/>
      <c r="I593" t="inlineStr">
        <is>
          <t>1</t>
        </is>
      </c>
      <c r="J593" t="inlineStr"/>
      <c r="K593" t="inlineStr"/>
      <c r="L593" t="inlineStr"/>
      <c r="M593" t="inlineStr"/>
      <c r="N593" t="inlineStr"/>
      <c r="O593" t="inlineStr"/>
      <c r="P593" t="inlineStr"/>
      <c r="Q593" t="inlineStr"/>
      <c r="R593" t="inlineStr"/>
      <c r="S593" t="inlineStr"/>
    </row>
    <row r="594">
      <c r="A594">
        <f>Skills!A17</f>
        <v/>
      </c>
      <c r="B594">
        <f>Skills!B17</f>
        <v/>
      </c>
      <c r="C594">
        <f>Inputs!$B$3&gt;=74</f>
        <v/>
      </c>
      <c r="D594">
        <f>IF(Skills!C17=1,60+Inputs!$B$25+Inputs!$B$29,IF(Skills!C17=2,90+Inputs!$B$26+Inputs!$B$29,IF(Skills!C17=3,120+Inputs!$B$27+Inputs!$B$29,MAX(0,(Inputs!$B$3-100)*3)+Inputs!$B$28+Inputs!$B$29)))</f>
        <v/>
      </c>
      <c r="E594">
        <f>INDEX(FactorTable!$B$2:$Y$301, MATCH(ROUND(MIN(300,MAX(1,D594)),0), FactorTable!$A$2:$A$301,0), Skills!M17+1)</f>
        <v/>
      </c>
      <c r="F594">
        <f>IF(Skills!N17=TRUE,(Skills!L17/10)*(E594/1000),Skills!L17/10)+Skills!O17</f>
        <v/>
      </c>
      <c r="G594">
        <f>Skills!G17*IF(Skills!H17&gt;0,INT(IF(Inputs!$B$38="pvp",MIN(Skills!I17,15),Skills!I17)/Skills!H17+0.000000001),1)</f>
        <v/>
      </c>
      <c r="H594">
        <f>1-(1-Skills!J17/100)^Skills!K17</f>
        <v/>
      </c>
      <c r="I594" t="inlineStr">
        <is>
          <t>1</t>
        </is>
      </c>
      <c r="J594" t="inlineStr"/>
      <c r="K594" t="inlineStr"/>
      <c r="L594" t="inlineStr"/>
      <c r="M594" t="inlineStr"/>
      <c r="N594" t="inlineStr"/>
      <c r="O594">
        <f>(1-Summary!$B$11)*T594+Summary!$B$11*V594</f>
        <v/>
      </c>
      <c r="P594">
        <f>IF(B618=0,0,O594/B618)</f>
        <v/>
      </c>
      <c r="Q594" t="n">
        <v>0</v>
      </c>
      <c r="R594" t="n">
        <v>0</v>
      </c>
      <c r="S594">
        <f>IFERROR(O594/N594,0)</f>
        <v/>
      </c>
      <c r="T594" t="n">
        <v>0</v>
      </c>
      <c r="V594" t="n">
        <v>0</v>
      </c>
    </row>
    <row r="595">
      <c r="A595">
        <f>Skills!A18</f>
        <v/>
      </c>
      <c r="B595">
        <f>Skills!B18</f>
        <v/>
      </c>
      <c r="C595">
        <f>Inputs!$B$3&gt;=115</f>
        <v/>
      </c>
      <c r="D595">
        <f>IF(Skills!C18=1,60+Inputs!$B$25+Inputs!$B$29,IF(Skills!C18=2,90+Inputs!$B$26+Inputs!$B$29,IF(Skills!C18=3,120+Inputs!$B$27+Inputs!$B$29,MAX(0,(Inputs!$B$3-100)*3)+Inputs!$B$28+Inputs!$B$29)))</f>
        <v/>
      </c>
      <c r="E595">
        <f>INDEX(FactorTable!$B$2:$Y$301, MATCH(ROUND(MIN(300,MAX(1,D595)),0), FactorTable!$A$2:$A$301,0), Skills!M18+1)</f>
        <v/>
      </c>
      <c r="F595">
        <f>IF(Skills!N18=TRUE,(Skills!L18/10)*(E595/1000),Skills!L18/10)+Skills!O18</f>
        <v/>
      </c>
      <c r="G595">
        <f>Skills!G18*IF(Skills!H18&gt;0,INT(IF(Inputs!$B$38="pvp",MIN(Skills!I18,15),Skills!I18)/Skills!H18+0.000000001),1)</f>
        <v/>
      </c>
      <c r="H595">
        <f>1-(1-Skills!J18/100)^Skills!K18</f>
        <v/>
      </c>
      <c r="I595" t="inlineStr">
        <is>
          <t>1</t>
        </is>
      </c>
      <c r="J595" t="inlineStr"/>
      <c r="K595" t="inlineStr"/>
      <c r="L595" t="inlineStr"/>
      <c r="M595" t="inlineStr"/>
      <c r="N595" t="inlineStr"/>
      <c r="O595">
        <f>(1-Summary!$B$11)*T595+Summary!$B$11*V595</f>
        <v/>
      </c>
      <c r="P595">
        <f>IF(B618=0,0,O595/B618)</f>
        <v/>
      </c>
      <c r="Q595">
        <f>IFERROR(1/(IF(Inputs!$B$38="pvp",15,MAX(0.1,Skills!D18-IF(TRUE=TRUE,Inputs!$B$32,0)))*(1-IF(AND(ArtifactsInput!$M$27,Inputs!$B$4="Chapter Hunt"),CHOOSE(ArtifactsInput!$N$27+1,20,24,28,32,36,40),0)/100)),0)</f>
        <v/>
      </c>
      <c r="R595">
        <f>IF(AND(Inputs!$B$38&lt;&gt;"pvp",Inputs!$B$43&gt;0),IF(Inputs!$B$43&lt;=0,0,(INT(Inputs!$B$43/(IF(Inputs!$B$38="pvp",15,MAX(0.1,Skills!D18-IF(TRUE=TRUE,Inputs!$B$32,0)))*(1-IF(AND(ArtifactsInput!$M$27,Inputs!$B$4="Chapter Hunt"),CHOOSE(ArtifactsInput!$N$27+1,20,24,28,32,36,40),0)/100)))+1)),0)</f>
        <v/>
      </c>
      <c r="S595">
        <f>IFERROR(O595/N595,0)</f>
        <v/>
      </c>
      <c r="T595" t="n">
        <v>0</v>
      </c>
      <c r="V595" t="n">
        <v>0</v>
      </c>
    </row>
    <row r="596">
      <c r="A596">
        <f>Skills!A19</f>
        <v/>
      </c>
      <c r="B596">
        <f>Skills!B19</f>
        <v/>
      </c>
      <c r="C596">
        <f>Inputs!$B$3&gt;=10</f>
        <v/>
      </c>
      <c r="D596">
        <f>IF(Skills!C19=1,60+Inputs!$B$25+Inputs!$B$29,IF(Skills!C19=2,90+Inputs!$B$26+Inputs!$B$29,IF(Skills!C19=3,120+Inputs!$B$27+Inputs!$B$29,MAX(0,(Inputs!$B$3-100)*3)+Inputs!$B$28+Inputs!$B$29)))</f>
        <v/>
      </c>
      <c r="E596">
        <f>INDEX(FactorTable!$B$2:$Y$301, MATCH(ROUND(MIN(300,MAX(1,D596)),0), FactorTable!$A$2:$A$301,0), Skills!M19+1)</f>
        <v/>
      </c>
      <c r="F596">
        <f>IF(Skills!N19=TRUE,(Skills!L19/10)*(E596/1000),Skills!L19/10)+Skills!O19</f>
        <v/>
      </c>
      <c r="G596">
        <f>Skills!G19*IF(Skills!H19&gt;0,INT(IF(Inputs!$B$38="pvp",MIN(Skills!I19,15),Skills!I19)/Skills!H19+0.000000001),1)</f>
        <v/>
      </c>
      <c r="H596">
        <f>1-(1-Skills!J19/100)^Skills!K19</f>
        <v/>
      </c>
      <c r="I596" t="inlineStr">
        <is>
          <t>1</t>
        </is>
      </c>
      <c r="J596" t="inlineStr"/>
      <c r="K596" t="inlineStr"/>
      <c r="L596" t="inlineStr"/>
      <c r="M596" t="inlineStr"/>
      <c r="N596" t="inlineStr"/>
      <c r="O596">
        <f>(1-Summary!$B$11)*T596+Summary!$B$11*V596</f>
        <v/>
      </c>
      <c r="P596">
        <f>IF(B618=0,0,O596/B618)</f>
        <v/>
      </c>
      <c r="Q596" t="n">
        <v>0</v>
      </c>
      <c r="R596" t="n">
        <v>0</v>
      </c>
      <c r="S596">
        <f>IFERROR(O596/N596,0)</f>
        <v/>
      </c>
      <c r="T596" t="n">
        <v>0</v>
      </c>
      <c r="V596" t="n">
        <v>0</v>
      </c>
    </row>
    <row r="597">
      <c r="A597">
        <f>Skills!A20</f>
        <v/>
      </c>
      <c r="B597">
        <f>Skills!B20</f>
        <v/>
      </c>
      <c r="C597">
        <f>Inputs!$B$3&gt;=15</f>
        <v/>
      </c>
      <c r="D597">
        <f>IF(Skills!C20=1,60+Inputs!$B$25+Inputs!$B$29,IF(Skills!C20=2,90+Inputs!$B$26+Inputs!$B$29,IF(Skills!C20=3,120+Inputs!$B$27+Inputs!$B$29,MAX(0,(Inputs!$B$3-100)*3)+Inputs!$B$28+Inputs!$B$29)))</f>
        <v/>
      </c>
      <c r="E597">
        <f>INDEX(FactorTable!$B$2:$Y$301, MATCH(ROUND(MIN(300,MAX(1,D597)),0), FactorTable!$A$2:$A$301,0), Skills!M20+1)</f>
        <v/>
      </c>
      <c r="F597">
        <f>IF(Skills!N20=TRUE,(Skills!L20/10)*(E597/1000),Skills!L20/10)+Skills!O20</f>
        <v/>
      </c>
      <c r="G597">
        <f>Skills!G20*IF(Skills!H20&gt;0,INT(IF(Inputs!$B$38="pvp",MIN(Skills!I20,15),Skills!I20)/Skills!H20+0.000000001),1)</f>
        <v/>
      </c>
      <c r="H597">
        <f>1-(1-Skills!J20/100)^Skills!K20</f>
        <v/>
      </c>
      <c r="I597" t="inlineStr">
        <is>
          <t>1</t>
        </is>
      </c>
      <c r="J597" t="inlineStr"/>
      <c r="K597" t="inlineStr"/>
      <c r="L597" t="inlineStr"/>
      <c r="M597" t="inlineStr"/>
      <c r="N597" t="inlineStr"/>
      <c r="O597">
        <f>(1-Summary!$B$11)*T597+Summary!$B$11*V597</f>
        <v/>
      </c>
      <c r="P597">
        <f>IF(B618=0,0,O597/B618)</f>
        <v/>
      </c>
      <c r="Q597" t="n">
        <v>0</v>
      </c>
      <c r="R597" t="n">
        <v>0</v>
      </c>
      <c r="S597">
        <f>IFERROR(O597/N597,0)</f>
        <v/>
      </c>
      <c r="T597" t="n">
        <v>0</v>
      </c>
      <c r="V597" t="n">
        <v>0</v>
      </c>
    </row>
    <row r="598">
      <c r="A598">
        <f>Skills!A21</f>
        <v/>
      </c>
      <c r="B598">
        <f>Skills!B21</f>
        <v/>
      </c>
      <c r="C598">
        <f>Inputs!$B$3&gt;=40</f>
        <v/>
      </c>
      <c r="D598">
        <f>IF(Skills!C21=1,60+Inputs!$B$25+Inputs!$B$29,IF(Skills!C21=2,90+Inputs!$B$26+Inputs!$B$29,IF(Skills!C21=3,120+Inputs!$B$27+Inputs!$B$29,MAX(0,(Inputs!$B$3-100)*3)+Inputs!$B$28+Inputs!$B$29)))</f>
        <v/>
      </c>
      <c r="E598">
        <f>INDEX(FactorTable!$B$2:$Y$301, MATCH(ROUND(MIN(300,MAX(1,D598)),0), FactorTable!$A$2:$A$301,0), Skills!M21+1)</f>
        <v/>
      </c>
      <c r="F598">
        <f>IF(Skills!N21=TRUE,(Skills!L21/10)*(E598/1000),Skills!L21/10)+Skills!O21</f>
        <v/>
      </c>
      <c r="G598">
        <f>Skills!G21*IF(Skills!H21&gt;0,INT(IF(Inputs!$B$38="pvp",MIN(Skills!I21,15),Skills!I21)/Skills!H21+0.000000001),1)</f>
        <v/>
      </c>
      <c r="H598">
        <f>1-(1-Skills!J21/100)^Skills!K21</f>
        <v/>
      </c>
      <c r="I598" t="inlineStr">
        <is>
          <t>1</t>
        </is>
      </c>
      <c r="J598" t="inlineStr"/>
      <c r="K598" t="inlineStr"/>
      <c r="L598" t="inlineStr"/>
      <c r="M598" t="inlineStr"/>
      <c r="N598" t="inlineStr"/>
      <c r="O598">
        <f>(1-Summary!$B$11)*T598+Summary!$B$11*V598</f>
        <v/>
      </c>
      <c r="P598">
        <f>IF(B618=0,0,O598/B618)</f>
        <v/>
      </c>
      <c r="Q598" t="n">
        <v>0</v>
      </c>
      <c r="R598" t="n">
        <v>0</v>
      </c>
      <c r="S598">
        <f>IFERROR(O598/N598,0)</f>
        <v/>
      </c>
      <c r="T598" t="n">
        <v>0</v>
      </c>
      <c r="V598" t="n">
        <v>0</v>
      </c>
    </row>
    <row r="599">
      <c r="A599">
        <f>Skills!A22</f>
        <v/>
      </c>
      <c r="B599">
        <f>Skills!B22</f>
        <v/>
      </c>
      <c r="C599">
        <f>Inputs!$B$3&gt;=43</f>
        <v/>
      </c>
      <c r="D599">
        <f>IF(Skills!C22=1,60+Inputs!$B$25+Inputs!$B$29,IF(Skills!C22=2,90+Inputs!$B$26+Inputs!$B$29,IF(Skills!C22=3,120+Inputs!$B$27+Inputs!$B$29,MAX(0,(Inputs!$B$3-100)*3)+Inputs!$B$28+Inputs!$B$29)))</f>
        <v/>
      </c>
      <c r="E599">
        <f>INDEX(FactorTable!$B$2:$Y$301, MATCH(ROUND(MIN(300,MAX(1,D599)),0), FactorTable!$A$2:$A$301,0), Skills!M22+1)</f>
        <v/>
      </c>
      <c r="F599">
        <f>IF(Skills!N22=TRUE,(Skills!L22/10)*(E599/1000),Skills!L22/10)+Skills!O22</f>
        <v/>
      </c>
      <c r="G599">
        <f>Skills!G22*IF(Skills!H22&gt;0,INT(IF(Inputs!$B$38="pvp",MIN(Skills!I22,15),Skills!I22)/Skills!H22+0.000000001),1)</f>
        <v/>
      </c>
      <c r="H599">
        <f>1-(1-Skills!J22/100)^Skills!K22</f>
        <v/>
      </c>
      <c r="I599" t="inlineStr">
        <is>
          <t>1</t>
        </is>
      </c>
      <c r="J599" t="inlineStr"/>
      <c r="K599" t="inlineStr"/>
      <c r="L599" t="inlineStr"/>
      <c r="M599" t="inlineStr"/>
      <c r="N599" t="inlineStr"/>
      <c r="O599">
        <f>(1-Summary!$B$11)*T599+Summary!$B$11*V599</f>
        <v/>
      </c>
      <c r="P599">
        <f>IF(B618=0,0,O599/B618)</f>
        <v/>
      </c>
      <c r="Q599" t="n">
        <v>0</v>
      </c>
      <c r="R599" t="n">
        <v>0</v>
      </c>
      <c r="S599">
        <f>IFERROR(O599/N599,0)</f>
        <v/>
      </c>
      <c r="T599" t="n">
        <v>0</v>
      </c>
      <c r="V599" t="n">
        <v>0</v>
      </c>
    </row>
    <row r="600">
      <c r="A600">
        <f>Skills!A23</f>
        <v/>
      </c>
      <c r="B600">
        <f>Skills!B23</f>
        <v/>
      </c>
      <c r="C600">
        <f>Inputs!$B$3&gt;=38</f>
        <v/>
      </c>
      <c r="D600">
        <f>IF(Skills!C23=1,60+Inputs!$B$25+Inputs!$B$29,IF(Skills!C23=2,90+Inputs!$B$26+Inputs!$B$29,IF(Skills!C23=3,120+Inputs!$B$27+Inputs!$B$29,MAX(0,(Inputs!$B$3-100)*3)+Inputs!$B$28+Inputs!$B$29)))</f>
        <v/>
      </c>
      <c r="E600">
        <f>INDEX(FactorTable!$B$2:$Y$301, MATCH(ROUND(MIN(300,MAX(1,D600)),0), FactorTable!$A$2:$A$301,0), Skills!M23+1)</f>
        <v/>
      </c>
      <c r="F600">
        <f>IF(Skills!N23=TRUE,(Skills!L23/10)*(E600/1000),Skills!L23/10)+Skills!O23</f>
        <v/>
      </c>
      <c r="G600">
        <f>Skills!G23*IF(Skills!H23&gt;0,INT(IF(Inputs!$B$38="pvp",MIN(Skills!I23,15),Skills!I23)/Skills!H23+0.000000001),1)</f>
        <v/>
      </c>
      <c r="H600">
        <f>1-(1-Skills!J23/100)^Skills!K23</f>
        <v/>
      </c>
      <c r="I600" t="inlineStr">
        <is>
          <t>1</t>
        </is>
      </c>
      <c r="J600" t="inlineStr"/>
      <c r="K600" t="inlineStr"/>
      <c r="L600" t="inlineStr"/>
      <c r="M600" t="inlineStr"/>
      <c r="N600" t="inlineStr"/>
      <c r="O600">
        <f>(1-Summary!$B$11)*T600+Summary!$B$11*V600</f>
        <v/>
      </c>
      <c r="P600">
        <f>IF(B618=0,0,O600/B618)</f>
        <v/>
      </c>
      <c r="Q600" t="n">
        <v>0</v>
      </c>
      <c r="R600" t="n">
        <v>0</v>
      </c>
      <c r="S600">
        <f>IFERROR(O600/N600,0)</f>
        <v/>
      </c>
      <c r="T600" t="n">
        <v>0</v>
      </c>
      <c r="V600" t="n">
        <v>0</v>
      </c>
    </row>
    <row r="601">
      <c r="A601">
        <f>Skills!A24</f>
        <v/>
      </c>
      <c r="B601">
        <f>Skills!B24</f>
        <v/>
      </c>
      <c r="C601">
        <f>Inputs!$B$3&gt;=45</f>
        <v/>
      </c>
      <c r="D601">
        <f>IF(Skills!C24=1,60+Inputs!$B$25+Inputs!$B$29,IF(Skills!C24=2,90+Inputs!$B$26+Inputs!$B$29,IF(Skills!C24=3,120+Inputs!$B$27+Inputs!$B$29,MAX(0,(Inputs!$B$3-100)*3)+Inputs!$B$28+Inputs!$B$29)))</f>
        <v/>
      </c>
      <c r="E601">
        <f>INDEX(FactorTable!$B$2:$Y$301, MATCH(ROUND(MIN(300,MAX(1,D601)),0), FactorTable!$A$2:$A$301,0), Skills!M24+1)</f>
        <v/>
      </c>
      <c r="F601">
        <f>IF(Skills!N24=TRUE,(Skills!L24/10)*(E601/1000),Skills!L24/10)+Skills!O24</f>
        <v/>
      </c>
      <c r="G601">
        <f>Skills!G24*IF(Skills!H24&gt;0,INT(IF(Inputs!$B$38="pvp",MIN(Skills!I24,15),Skills!I24)/Skills!H24+0.000000001),1)</f>
        <v/>
      </c>
      <c r="H601">
        <f>1-(1-Skills!J24/100)^Skills!K24</f>
        <v/>
      </c>
      <c r="I601" t="inlineStr">
        <is>
          <t>1</t>
        </is>
      </c>
      <c r="J601" t="inlineStr"/>
      <c r="K601" t="inlineStr"/>
      <c r="L601" t="inlineStr"/>
      <c r="M601" t="inlineStr"/>
      <c r="N601" t="inlineStr"/>
      <c r="O601">
        <f>(1-Summary!$B$11)*T601+Summary!$B$11*V601</f>
        <v/>
      </c>
      <c r="P601">
        <f>IF(B618=0,0,O601/B618)</f>
        <v/>
      </c>
      <c r="Q601" t="n">
        <v>0</v>
      </c>
      <c r="R601" t="n">
        <v>0</v>
      </c>
      <c r="S601">
        <f>IFERROR(O601/N601,0)</f>
        <v/>
      </c>
      <c r="T601" t="n">
        <v>0</v>
      </c>
      <c r="V601" t="n">
        <v>0</v>
      </c>
    </row>
    <row r="602">
      <c r="A602">
        <f>Skills!A25</f>
        <v/>
      </c>
      <c r="B602">
        <f>Skills!B25</f>
        <v/>
      </c>
      <c r="C602">
        <f>Inputs!$B$3&gt;=72</f>
        <v/>
      </c>
      <c r="D602">
        <f>IF(Skills!C25=1,60+Inputs!$B$25+Inputs!$B$29,IF(Skills!C25=2,90+Inputs!$B$26+Inputs!$B$29,IF(Skills!C25=3,120+Inputs!$B$27+Inputs!$B$29,MAX(0,(Inputs!$B$3-100)*3)+Inputs!$B$28+Inputs!$B$29)))</f>
        <v/>
      </c>
      <c r="E602">
        <f>INDEX(FactorTable!$B$2:$Y$301, MATCH(ROUND(MIN(300,MAX(1,D602)),0), FactorTable!$A$2:$A$301,0), Skills!M25+1)</f>
        <v/>
      </c>
      <c r="F602">
        <f>IF(Skills!N25=TRUE,(Skills!L25/10)*(E602/1000),Skills!L25/10)+Skills!O25</f>
        <v/>
      </c>
      <c r="G602">
        <f>Skills!G25*IF(Skills!H25&gt;0,INT(IF(Inputs!$B$38="pvp",MIN(Skills!I25,15),Skills!I25)/Skills!H25+0.000000001),1)</f>
        <v/>
      </c>
      <c r="H602">
        <f>1-(1-Skills!J25/100)^Skills!K25</f>
        <v/>
      </c>
      <c r="I602" t="inlineStr">
        <is>
          <t>1</t>
        </is>
      </c>
      <c r="J602" t="inlineStr"/>
      <c r="K602" t="inlineStr"/>
      <c r="L602" t="inlineStr"/>
      <c r="M602" t="inlineStr"/>
      <c r="N602" t="inlineStr"/>
      <c r="O602">
        <f>(1-Summary!$B$11)*T602+Summary!$B$11*V602</f>
        <v/>
      </c>
      <c r="P602">
        <f>IF(B618=0,0,O602/B618)</f>
        <v/>
      </c>
      <c r="Q602" t="n">
        <v>0</v>
      </c>
      <c r="R602" t="n">
        <v>0</v>
      </c>
      <c r="S602">
        <f>IFERROR(O602/N602,0)</f>
        <v/>
      </c>
      <c r="T602" t="n">
        <v>0</v>
      </c>
      <c r="V602" t="n">
        <v>0</v>
      </c>
    </row>
    <row r="603">
      <c r="A603">
        <f>Skills!A26</f>
        <v/>
      </c>
      <c r="B603">
        <f>Skills!B26</f>
        <v/>
      </c>
      <c r="C603">
        <f>Inputs!$B$3&gt;=75</f>
        <v/>
      </c>
      <c r="D603">
        <f>IF(Skills!C26=1,60+Inputs!$B$25+Inputs!$B$29,IF(Skills!C26=2,90+Inputs!$B$26+Inputs!$B$29,IF(Skills!C26=3,120+Inputs!$B$27+Inputs!$B$29,MAX(0,(Inputs!$B$3-100)*3)+Inputs!$B$28+Inputs!$B$29)))</f>
        <v/>
      </c>
      <c r="E603">
        <f>INDEX(FactorTable!$B$2:$Y$301, MATCH(ROUND(MIN(300,MAX(1,D603)),0), FactorTable!$A$2:$A$301,0), Skills!M26+1)</f>
        <v/>
      </c>
      <c r="F603">
        <f>IF(Skills!N26=TRUE,(Skills!L26/10)*(E603/1000),Skills!L26/10)+Skills!O26</f>
        <v/>
      </c>
      <c r="G603">
        <f>Skills!G26*IF(Skills!H26&gt;0,INT(IF(Inputs!$B$38="pvp",MIN(Skills!I26,15),Skills!I26)/Skills!H26+0.000000001),1)</f>
        <v/>
      </c>
      <c r="H603">
        <f>1-(1-Skills!J26/100)^Skills!K26</f>
        <v/>
      </c>
      <c r="I603" t="inlineStr">
        <is>
          <t>1</t>
        </is>
      </c>
      <c r="J603" t="inlineStr"/>
      <c r="K603" t="inlineStr"/>
      <c r="L603" t="inlineStr"/>
      <c r="M603" t="inlineStr"/>
      <c r="N603" t="inlineStr"/>
      <c r="O603">
        <f>(1-Summary!$B$11)*T603+Summary!$B$11*V603</f>
        <v/>
      </c>
      <c r="P603">
        <f>IF(B618=0,0,O603/B618)</f>
        <v/>
      </c>
      <c r="Q603" t="n">
        <v>0</v>
      </c>
      <c r="R603" t="n">
        <v>0</v>
      </c>
      <c r="S603">
        <f>IFERROR(O603/N603,0)</f>
        <v/>
      </c>
      <c r="T603" t="n">
        <v>0</v>
      </c>
      <c r="V603" t="n">
        <v>0</v>
      </c>
    </row>
    <row r="604">
      <c r="A604">
        <f>Skills!A27</f>
        <v/>
      </c>
      <c r="B604">
        <f>Skills!B27</f>
        <v/>
      </c>
      <c r="C604">
        <f>Inputs!$B$3&gt;=125</f>
        <v/>
      </c>
      <c r="D604">
        <f>IF(Skills!C27=1,60+Inputs!$B$25+Inputs!$B$29,IF(Skills!C27=2,90+Inputs!$B$26+Inputs!$B$29,IF(Skills!C27=3,120+Inputs!$B$27+Inputs!$B$29,MAX(0,(Inputs!$B$3-100)*3)+Inputs!$B$28+Inputs!$B$29)))</f>
        <v/>
      </c>
      <c r="E604">
        <f>INDEX(FactorTable!$B$2:$Y$301, MATCH(ROUND(MIN(300,MAX(1,D604)),0), FactorTable!$A$2:$A$301,0), Skills!M27+1)</f>
        <v/>
      </c>
      <c r="F604">
        <f>IF(Skills!N27=TRUE,(Skills!L27/10)*(E604/1000),Skills!L27/10)+Skills!O27</f>
        <v/>
      </c>
      <c r="G604">
        <f>Skills!G27*IF(Skills!H27&gt;0,INT(IF(Inputs!$B$38="pvp",MIN(Skills!I27,15),Skills!I27)/Skills!H27+0.000000001),1)</f>
        <v/>
      </c>
      <c r="H604">
        <f>1-(1-Skills!J27/100)^Skills!K27</f>
        <v/>
      </c>
      <c r="I604" t="inlineStr">
        <is>
          <t>1</t>
        </is>
      </c>
      <c r="J604" t="inlineStr"/>
      <c r="K604" t="inlineStr"/>
      <c r="L604" t="inlineStr"/>
      <c r="M604" t="inlineStr"/>
      <c r="N604" t="inlineStr"/>
      <c r="O604">
        <f>(1-Summary!$B$11)*T604+Summary!$B$11*V604</f>
        <v/>
      </c>
      <c r="P604">
        <f>IF(B618=0,0,O604/B618)</f>
        <v/>
      </c>
      <c r="Q604" t="n">
        <v>0</v>
      </c>
      <c r="R604" t="n">
        <v>0</v>
      </c>
      <c r="S604">
        <f>IFERROR(O604/N604,0)</f>
        <v/>
      </c>
      <c r="T604" t="n">
        <v>0</v>
      </c>
      <c r="V604" t="n">
        <v>0</v>
      </c>
    </row>
    <row r="605">
      <c r="A605">
        <f>Skills!A28</f>
        <v/>
      </c>
      <c r="B605">
        <f>Skills!B28</f>
        <v/>
      </c>
      <c r="C605">
        <f>TRUE</f>
        <v/>
      </c>
      <c r="D605">
        <f>IF(Skills!C28=1,60+Inputs!$B$25+Inputs!$B$29,IF(Skills!C28=2,90+Inputs!$B$26+Inputs!$B$29,IF(Skills!C28=3,120+Inputs!$B$27+Inputs!$B$29,MAX(0,(Inputs!$B$3-100)*3)+Inputs!$B$28+Inputs!$B$29)))</f>
        <v/>
      </c>
      <c r="E605">
        <f>INDEX(FactorTable!$B$2:$Y$301, MATCH(ROUND(MIN(300,MAX(1,D605)),0), FactorTable!$A$2:$A$301,0), Skills!M28+1)</f>
        <v/>
      </c>
      <c r="F605">
        <f>IF(Skills!N28=TRUE,(Skills!L28/10)*(E605/1000),Skills!L28/10)+Skills!O28</f>
        <v/>
      </c>
      <c r="G605">
        <f>Skills!G28*IF(Skills!H28&gt;0,INT(IF(Inputs!$B$38="pvp",MIN(Skills!I28,15),Skills!I28)/Skills!H28+0.000000001),1)</f>
        <v/>
      </c>
      <c r="H605">
        <f>1-(1-Skills!J28/100)^Skills!K28</f>
        <v/>
      </c>
      <c r="I605" t="inlineStr">
        <is>
          <t>1</t>
        </is>
      </c>
      <c r="J605" t="inlineStr"/>
      <c r="K605" t="inlineStr"/>
      <c r="L605" t="inlineStr"/>
      <c r="M605" t="inlineStr"/>
      <c r="N605" t="inlineStr"/>
      <c r="O605">
        <f>(1-Summary!$B$11)*T605+Summary!$B$11*V605</f>
        <v/>
      </c>
      <c r="P605">
        <f>IF(B618=0,0,O605/B618)</f>
        <v/>
      </c>
      <c r="Q605">
        <f>IFERROR(1/(IF(Inputs!$B$38="pvp",15,MAX(0.1,Skills!D28-IF(TRUE=TRUE,Inputs!$B$32,0)))*(1-IF(AND(ArtifactsInput!$M$27,Inputs!$B$4="Chapter Hunt"),CHOOSE(ArtifactsInput!$N$27+1,20,24,28,32,36,40),0)/100)),0)</f>
        <v/>
      </c>
      <c r="R605">
        <f>IF(AND(Inputs!$B$38&lt;&gt;"pvp",Inputs!$B$43&gt;0),IF(Inputs!$B$43&lt;=0,0,(INT(Inputs!$B$43/(IF(Inputs!$B$38="pvp",15,MAX(0.1,Skills!D28-IF(TRUE=TRUE,Inputs!$B$32,0)))*(1-IF(AND(ArtifactsInput!$M$27,Inputs!$B$4="Chapter Hunt"),CHOOSE(ArtifactsInput!$N$27+1,20,24,28,32,36,40),0)/100)))+1)),0)</f>
        <v/>
      </c>
      <c r="S605">
        <f>IFERROR(O605/N605,0)</f>
        <v/>
      </c>
      <c r="T605" t="n">
        <v>0</v>
      </c>
      <c r="V605" t="n">
        <v>0</v>
      </c>
    </row>
    <row r="607">
      <c r="A607" t="inlineStr">
        <is>
          <t>Attack% Bucket Multiplier</t>
        </is>
      </c>
      <c r="B607">
        <f>(1+(((C594=TRUE)*F594*5/7)+((C601=TRUE)*(F601-Calc!F24))+(IF(ArtifactsInput!$M$21,CHOOSE(ArtifactsInput!$N$21+1,25,30,35,40,45,50)*(IF(OR(Inputs!$B$4="Chapter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608">
      <c r="A608" t="inlineStr">
        <is>
          <t>Global Crit Rate Bonus %</t>
        </is>
      </c>
      <c r="B608" t="n">
        <v>0</v>
      </c>
    </row>
    <row r="609">
      <c r="A609" t="inlineStr">
        <is>
          <t>Attack Speed Buff Bonus % (Nimble Feet, duty-cycle averaged)</t>
        </is>
      </c>
      <c r="B609">
        <f>((C605=TRUE)*F605*IF(AND(Inputs!$B$38&lt;&gt;"pvp",Inputs!$B$43&gt;0),(((R605-1)*MIN((Skills!T28*(1+Inputs!$B$34/100)),(1/Q605))+MIN((Skills!T28*(1+Inputs!$B$34/100)),MAX(0,Inputs!$B$43-((R605-1)*(1/Q605)))))/Inputs!$B$43),IF(Inputs!$B$38="pvp",MIN((Skills!T28*(1+Inputs!$B$34/100)),15)/15,MIN(1,(Skills!T28*(1+Inputs!$B$34/100))/(1/Q605)))))</f>
        <v/>
      </c>
    </row>
    <row r="610">
      <c r="A610" t="inlineStr">
        <is>
          <t>Actions Per Second</t>
        </is>
      </c>
      <c r="B610">
        <f>1+MIN(150,150*(1-(1-(Inputs!$B$11+((C597=TRUE)*(F597-Calc!F20))+((C598=TRUE)*(F598-Calc!F21)))/150)*(1-B609/150)))/100</f>
        <v/>
      </c>
    </row>
    <row r="611">
      <c r="A611" t="inlineStr">
        <is>
          <t>Skill + Buff Cast Rate</t>
        </is>
      </c>
      <c r="B611">
        <f>IF(AND(Inputs!$B$38&lt;&gt;"pvp",Inputs!$B$43&gt;0),SUMPRODUCT((Skills!E2:E28=TRUE)*(C579:C605=TRUE)*R579:R605*Skills!F2:F28)/Inputs!$B$43,SUMPRODUCT((Skills!E2:E28=TRUE)*(C579:C605=TRUE)*Q579:Q605*Skills!F2:F28))</f>
        <v/>
      </c>
    </row>
    <row r="612">
      <c r="A612" t="inlineStr">
        <is>
          <t>Eight-Legs Easton Casts Per Second</t>
        </is>
      </c>
      <c r="B612">
        <f>MAX(0,B610-B611)</f>
        <v/>
      </c>
    </row>
    <row r="613">
      <c r="A613" t="inlineStr">
        <is>
          <t>Global Critical Damage Bonus % (unused)</t>
        </is>
      </c>
      <c r="B613" t="n">
        <v>0</v>
      </c>
    </row>
    <row r="614">
      <c r="A614" t="inlineStr">
        <is>
          <t>Global Final Damage Bonus % (Jolly Roger + Ahoy Mateys - Final Damage proc)</t>
        </is>
      </c>
      <c r="B614">
        <f>((C595=TRUE)*F595*IF(AND(Inputs!$B$38&lt;&gt;"pvp",Inputs!$B$43&gt;0),(((R595-1)*MIN((Skills!T18*(1+Inputs!$B$34/100)),(1/Q595))+MIN((Skills!T18*(1+Inputs!$B$34/100)),MAX(0,Inputs!$B$43-((R595-1)*(1/Q595)))))/Inputs!$B$43),IF(Inputs!$B$38="pvp",MIN((Skills!T18*(1+Inputs!$B$34/100)),15)/15,MIN(1,(Skills!T18*(1+Inputs!$B$34/100))/(1/Q595)))))+IF(Inputs!$B$3&gt;=122,20*IF(Inputs!$B$38="pvp",MIN((20*(1+Inputs!$B$34/100)),15)/15,MIN(1,(20*(1+Inputs!$B$34/100))/(1/Q581))),0)</f>
        <v/>
      </c>
    </row>
    <row r="615">
      <c r="A615" t="inlineStr">
        <is>
          <t>Buff-Casting Startup Delay (s, fixed-duration only)</t>
        </is>
      </c>
      <c r="B615">
        <f>IF(AND(Inputs!$B$38&lt;&gt;"pvp",Inputs!$B$43&gt;0),SUMPRODUCT((Skills!T2:T28&gt;0)*(Skills!E2:E28=TRUE)*(C579:C605=TRUE))/B610,0)</f>
        <v/>
      </c>
    </row>
    <row r="616">
      <c r="A616" t="inlineStr">
        <is>
          <t>Boss-Only Total DPS (this block's swept value)</t>
        </is>
      </c>
      <c r="B616">
        <f>SUM(T579:T605)</f>
        <v/>
      </c>
    </row>
    <row r="617">
      <c r="A617" t="inlineStr">
        <is>
          <t>Normal-Only Total DPS (this block's swept value)</t>
        </is>
      </c>
      <c r="B617">
        <f>SUM(V579:V605)</f>
        <v/>
      </c>
    </row>
    <row r="618">
      <c r="A618" s="6" t="inlineStr">
        <is>
          <t>TOTAL DPS</t>
        </is>
      </c>
      <c r="B618" s="6">
        <f>SUM(O579:O605)</f>
        <v/>
      </c>
    </row>
    <row r="619">
      <c r="A619" t="inlineStr">
        <is>
          <t>Quickdraw cooldown divisor (this block's own APS / Q)</t>
        </is>
      </c>
      <c r="B619">
        <f>IF(AND(C604=TRUE,Inputs!$B$38&lt;&gt;"pvp"),1+0.25*MAX(0,(B610-(((C580=TRUE)*Q580*1)+((C581=TRUE)*Q581*1)+((C583=TRUE)*Q583*1)+((C584=TRUE)*Q584*1)+((C586=TRUE)*Q586*1)+((C589=TRUE)*Q589*1)+((C595=TRUE)*Q595*1)+((C605=TRUE)*Q605*1))-((C585=TRUE)/(IF(Inputs!$B$38="pvp",15,MAX(0.1,Skills!D8-IF(TRUE=TRUE,Inputs!$B$32,0)))*(1-IF(AND(ArtifactsInput!$M$27,Inputs!$B$4="Chapter Hunt"),CHOOSE(ArtifactsInput!$N$27+1,20,24,28,32,36,40),0)/100))+(C588=TRUE)/(IF(Inputs!$B$38="pvp",15,MAX(0.1,Skills!D11-IF(TRUE=TRUE,Inputs!$B$32,0)))*(1-IF(AND(ArtifactsInput!$M$27,Inputs!$B$4="Chapter Hunt"),CHOOSE(ArtifactsInput!$N$27+1,20,24,28,32,36,40),0)/100))))/(1+0.25*((C585=TRUE)/(IF(Inputs!$B$38="pvp",15,MAX(0.1,Skills!D8-IF(TRUE=TRUE,Inputs!$B$32,0)))*(1-IF(AND(ArtifactsInput!$M$27,Inputs!$B$4="Chapter Hunt"),CHOOSE(ArtifactsInput!$N$27+1,20,24,28,32,36,40),0)/100))+(C588=TRUE)/(IF(Inputs!$B$38="pvp",15,MAX(0.1,Skills!D11-IF(TRUE=TRUE,Inputs!$B$32,0)))*(1-IF(AND(ArtifactsInput!$M$27,Inputs!$B$4="Chapter Hunt"),CHOOSE(ArtifactsInput!$N$27+1,20,24,28,32,36,40),0)/100))))),1)</f>
        <v/>
      </c>
    </row>
    <row r="620">
      <c r="A620" t="inlineStr">
        <is>
          <t>Nautilus Strike - Final Attack trigger rate (this block's own Q/R)</t>
        </is>
      </c>
      <c r="B620">
        <f>IF(AND(Inputs!$B$38&lt;&gt;"pvp",Inputs!$B$43&gt;0),(((C580=TRUE)*R580)+((C583=TRUE)*R583)+((C585=TRUE)*R585)+((C586=TRUE)*R586)+((C588=TRUE)*R588))/Inputs!$B$43,((C580=TRUE)*Q580)+((C583=TRUE)*Q583)+((C585=TRUE)*Q585)+((C586=TRUE)*Q586)+((C588=TRUE)*Q588))+B612</f>
        <v/>
      </c>
    </row>
    <row r="623">
      <c r="A623" s="6" t="inlineStr">
        <is>
          <t>Stat: ATTACK_SPEED % (diminishing returns, factor 150)</t>
        </is>
      </c>
    </row>
    <row r="624">
      <c r="A624" s="5" t="inlineStr">
        <is>
          <t>Key</t>
        </is>
      </c>
      <c r="B624" s="5" t="inlineStr">
        <is>
          <t>Name</t>
        </is>
      </c>
      <c r="C624" s="5" t="inlineStr">
        <is>
          <t>Unlocked</t>
        </is>
      </c>
      <c r="D624" s="5" t="inlineStr">
        <is>
          <t>InputLevel</t>
        </is>
      </c>
      <c r="E624" s="5" t="inlineStr">
        <is>
          <t>Factor</t>
        </is>
      </c>
      <c r="F624" s="5" t="inlineStr">
        <is>
          <t>CoefficientPercent</t>
        </is>
      </c>
      <c r="G624" s="5" t="inlineStr">
        <is>
          <t>EffectiveHits</t>
        </is>
      </c>
      <c r="H624" s="5" t="inlineStr">
        <is>
          <t>ProcProbability</t>
        </is>
      </c>
      <c r="I624" s="5" t="inlineStr">
        <is>
          <t>MapleHeroMultiplier</t>
        </is>
      </c>
      <c r="J624" s="5" t="inlineStr">
        <is>
          <t>BaseDamage</t>
        </is>
      </c>
      <c r="K624" s="5" t="inlineStr">
        <is>
          <t>BaseHitDamage</t>
        </is>
      </c>
      <c r="L624" s="5" t="inlineStr">
        <is>
          <t>NonCritAvg</t>
        </is>
      </c>
      <c r="M624" s="5" t="inlineStr">
        <is>
          <t>CritAvg</t>
        </is>
      </c>
      <c r="N624" s="5" t="inlineStr">
        <is>
          <t>ExpectedDamage(perHit)</t>
        </is>
      </c>
      <c r="O624" s="5" t="inlineStr">
        <is>
          <t>DPS</t>
        </is>
      </c>
      <c r="P624" s="5" t="inlineStr">
        <is>
          <t>% of Total</t>
        </is>
      </c>
      <c r="Q624" s="5" t="inlineStr">
        <is>
          <t>InvCooldown</t>
        </is>
      </c>
      <c r="R624" s="5" t="inlineStr">
        <is>
          <t>CastsInFight</t>
        </is>
      </c>
      <c r="S624" s="5" t="inlineStr">
        <is>
          <t>HitRate(perSec)</t>
        </is>
      </c>
      <c r="U624" t="inlineStr">
        <is>
          <t>helpers</t>
        </is>
      </c>
    </row>
    <row r="625">
      <c r="A625">
        <f>Skills!A2</f>
        <v/>
      </c>
      <c r="B625">
        <f>Skills!B2</f>
        <v/>
      </c>
      <c r="C625">
        <f>Inputs!$B$3&gt;=100</f>
        <v/>
      </c>
      <c r="D625" t="inlineStr"/>
      <c r="E625" t="inlineStr"/>
      <c r="F625">
        <f>U627+Skills!O2</f>
        <v/>
      </c>
      <c r="G625">
        <f>Skills!G2*IF(Skills!H2&gt;0,INT(IF(Inputs!$B$38="pvp",MIN(Skills!I2,15),Skills!I2)/Skills!H2+0.000000001),1)</f>
        <v/>
      </c>
      <c r="H625">
        <f>1-(1-Skills!J2/100)^Skills!K2</f>
        <v/>
      </c>
      <c r="I625" t="inlineStr">
        <is>
          <t>1</t>
        </is>
      </c>
      <c r="J625">
        <f>((Inputs!$B$6*(1+Inputs!$B$7/100))+(((Inputs!$B$12*(1+Inputs!$B$13/100))-(Inputs!$B$12*(1+Inputs!$B$13/100)))+0.25*(Inputs!$B$14-Inputs!$B$14))*(1+Inputs!$B$7/100))*(F625/100)</f>
        <v/>
      </c>
      <c r="K625">
        <f>J625*(1+((Inputs!$B$12*(1+Inputs!$B$13/100))*0.01+Inputs!$B$14*0.0025)/100)*(1+Inputs!$B$15/100)*(1+Inputs!$B$16/100)*(5000/(6000+Inputs!$B$42*(1-(100*(1-(1-(Inputs!$B$19+0)/100)*(1-CHOOSE(ArtifactsInput!$N$40+1,5,6,7,8,9,10)/100)^(ArtifactsInput!$M$40-ArtifactsInput!$M$40)))/100)))*(1+(Inputs!$B$24+((C649=TRUE)*(F649-Calc!F26))+B660)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(1-(1-Inputs!$B$11/150)*(1-1/150))*150)-60))),0)-IF(ArtifactsInput!$M$34,MIN(CHOOSE(ArtifactsInput!$N$34+1,10,12,14,16,18,20),MAX(0,(CHOOSE(ArtifactsInput!$N$34+1,0.5,0.6,0.7,0.8,0.9,1)/3)*(Inputs!$B$11-60))),0)))/100)*(1+(IF(Skills!A2="EIGHT_LEGS_EASTON",Inputs!$B$17+((C646=TRUE)*(F646-Calc!F23))+((C650=TRUE)*(F650-Calc!F27))+((IF(AND(Inputs!$B$38&lt;&gt;"pvp",Inputs!$B$43=0),1,IF(IF(Inputs!$B$38="pvp",15,Inputs!$B$43)-(B661)&lt;=0,1,MAX(0,IF(Inputs!$B$38="pvp",15,Inputs!$B$43)-MAX(5,B661))/(IF(Inputs!$B$38="pvp",15,Inputs!$B$43)-(B661))))*(IF(AND(ArtifactsInput!$M$42,((Inputs!$B$9+((C642=TRUE)*(F642-Calc!F19))+B654+(ArtifactsInput!$M$24-ArtifactsInput!$M$24)*CHOOSE(ArtifactsInput!$N$24+1,10,12,14,16,18,20)+IF(ArtifactsInput!$M$10,CHOOSE(ArtifactsInput!$N$10+1,15,18,21,24,27,30)*(IF(Inputs!$B$38="pvp",MIN(15,15)/15,IF(AND(Inputs!$B$38&lt;&gt;"pvp",Inputs!$B$43&gt;0),MIN(15,Inputs!$B$43)/(Inputs!$B$43),0))),0)))&gt;=100),MIN(100,((Inputs!$B$9+((C642=TRUE)*(F642-Calc!F19))+B654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661)&lt;=0,1,MAX(0,IF(Inputs!$B$38="pvp",15,Inputs!$B$43)-MAX(5,B661))/(IF(Inputs!$B$38="pvp",15,Inputs!$B$43)-(B661))))*IF(AND(ArtifactsInput!$M$42,((Inputs!$B$9+((C642=TRUE)*(F642-Calc!F19))+B654+(ArtifactsInput!$M$24-ArtifactsInput!$M$24)*CHOOSE(ArtifactsInput!$N$24+1,10,12,14,16,18,20)+IF(ArtifactsInput!$M$10,CHOOSE(ArtifactsInput!$N$10+1,15,18,21,24,27,30)*(IF(Inputs!$B$38="pvp",MIN(15,15)/15,IF(AND(Inputs!$B$38&lt;&gt;"pvp",Inputs!$B$43&gt;0),MIN(15,Inputs!$B$43)/(Inputs!$B$43),0))),0)))&gt;=100),CHOOSE(ArtifactsInput!$N$42+1,40,48,56,64,72,80),0))))/100)*((1+(((C640=TRUE)*F640*5/7)+((C647=TRUE)*(F647-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625)</f>
        <v/>
      </c>
      <c r="L625">
        <f>K625*(MIN(Inputs!$B$22+((C645=TRUE)*(F645-Calc!F22)),(Inputs!$B$23+0+(IF(ArtifactsInput!$M$15,CHOOSE(ArtifactsInput!$N$15+1,25,30,35,40,45,50)/100*(((1-(1-Inputs!$B$11/150)*(1-1/150))*150)-Inputs!$B$11),0))))/100+(Inputs!$B$23+0+(IF(ArtifactsInput!$M$15,CHOOSE(ArtifactsInput!$N$15+1,25,30,35,40,45,50)/100*(((1-(1-Inputs!$B$11/150)*(1-1/150))*150)-Inputs!$B$11),0)))/100)/2</f>
        <v/>
      </c>
      <c r="M625">
        <f>L625*(1+(Inputs!$B$10+((C648=TRUE)*(F648-Calc!F25))+B659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25">
        <f>L625*(1-MIN((Inputs!$B$9+((C642=TRUE)*(F642-Calc!F19))+B654+(ArtifactsInput!$M$24-ArtifactsInput!$M$24)*CHOOSE(ArtifactsInput!$N$24+1,10,12,14,16,18,20)+(IF(AND(Inputs!$B$38&lt;&gt;"pvp",Inputs!$B$43=0),1,IF(IF(Inputs!$B$38="pvp",15,Inputs!$B$43)-(B661)&lt;=0,1,MAX(0,IF(Inputs!$B$38="pvp",15,Inputs!$B$43)-MAX(5,B661))/(IF(Inputs!$B$38="pvp",15,Inputs!$B$43)-(B661))))*IF(AND(ArtifactsInput!$M$42,((Inputs!$B$9+((C642=TRUE)*(F642-Calc!F19))+B654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625*(MIN((Inputs!$B$9+((C642=TRUE)*(F642-Calc!F19))+B654+(ArtifactsInput!$M$24-ArtifactsInput!$M$24)*CHOOSE(ArtifactsInput!$N$24+1,10,12,14,16,18,20)+(IF(AND(Inputs!$B$38&lt;&gt;"pvp",Inputs!$B$43=0),1,IF(IF(Inputs!$B$38="pvp",15,Inputs!$B$43)-(B661)&lt;=0,1,MAX(0,IF(Inputs!$B$38="pvp",15,Inputs!$B$43)-MAX(5,B661))/(IF(Inputs!$B$38="pvp",15,Inputs!$B$43)-(B661))))*IF(AND(ArtifactsInput!$M$42,((Inputs!$B$9+((C642=TRUE)*(F642-Calc!F19))+B654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25">
        <f>(1-Summary!$B$11)*T625+Summary!$B$11*V625</f>
        <v/>
      </c>
      <c r="P625">
        <f>IF(B664=0,0,O625/B664)</f>
        <v/>
      </c>
      <c r="Q625" t="n">
        <v>0</v>
      </c>
      <c r="R625" t="n">
        <v>0</v>
      </c>
      <c r="S625">
        <f>IFERROR(O625/N625,0)</f>
        <v/>
      </c>
      <c r="T625">
        <f>IF(C625,(Skills!G2*N625*B658*(1+IF(C650=TRUE,1/3,0)))*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Hunt"),CHOOSE(ArtifactsInput!$N$35+1,15,18,21,24,27,30)*(1-EXP(-(0.2*B656)*5)),0)+IF(AND(ArtifactsInput!$M$22,Inputs!$B$4&lt;&gt;"Chapter Hunt"),CHOOSE(ArtifactsInput!$N$22+1,10,12,14,16,18,20)*((0*(((0.15*B656*5))^0/1)+1*(((0.15*B656*5))^1/1)+2*(((0.15*B656*5))^2/2)+3*(((0.15*B656*5))^3/6)+4*(((0.15*B656*5))^4/24)+5*(((0.15*B656*5))^5/120))/((((0.15*B656*5))^0/1)+(((0.15*B656*5))^1/1)+(((0.15*B656*5))^2/2)+(((0.15*B656*5))^3/6)+(((0.15*B656*5))^4/24)+(((0.15*B656*5))^5/120))),0))+IF(Inputs!$B$3&gt;=54,9*(C626=TRUE)*MIN(1,8*(1+Inputs!$B$34/100)*Q626)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625*(1-MIN(100,(Inputs!$B$9+((C642=TRUE)*(F642-Calc!F19))+B654+(ArtifactsInput!$M$24-ArtifactsInput!$M$24)*CHOOSE(ArtifactsInput!$N$24+1,10,12,14,16,18,20)+(IF(AND(Inputs!$B$38&lt;&gt;"pvp",Inputs!$B$43=0),1,IF(IF(Inputs!$B$38="pvp",15,Inputs!$B$43)-(B661)&lt;=0,1,MAX(0,IF(Inputs!$B$38="pvp",15,Inputs!$B$43)-MAX(5,B661))/(IF(Inputs!$B$38="pvp",15,Inputs!$B$43)-(B661))))*IF(AND(ArtifactsInput!$M$42,((Inputs!$B$9+((C642=TRUE)*(F642-Calc!F19))+B654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625*(MIN(100,(Inputs!$B$9+((C642=TRUE)*(F642-Calc!F19))+B654+(ArtifactsInput!$M$24-ArtifactsInput!$M$24)*CHOOSE(ArtifactsInput!$N$24+1,10,12,14,16,18,20)+(IF(AND(Inputs!$B$38&lt;&gt;"pvp",Inputs!$B$43=0),1,IF(IF(Inputs!$B$38="pvp",15,Inputs!$B$43)-(B661)&lt;=0,1,MAX(0,IF(Inputs!$B$38="pvp",15,Inputs!$B$43)-MAX(5,B661))/(IF(Inputs!$B$38="pvp",15,Inputs!$B$43)-(B661))))*IF(AND(ArtifactsInput!$M$42,((Inputs!$B$9+((C642=TRUE)*(F642-Calc!F19))+B654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625*(1-MIN(100,(Inputs!$B$9+((C642=TRUE)*(F642-Calc!F19))+B654+(ArtifactsInput!$M$24-ArtifactsInput!$M$24)*CHOOSE(ArtifactsInput!$N$24+1,10,12,14,16,18,20)+(IF(AND(Inputs!$B$38&lt;&gt;"pvp",Inputs!$B$43=0),1,IF(IF(Inputs!$B$38="pvp",15,Inputs!$B$43)-(B661)&lt;=0,1,MAX(0,IF(Inputs!$B$38="pvp",15,Inputs!$B$43)-MAX(5,B661))/(IF(Inputs!$B$38="pvp",15,Inputs!$B$43)-(B661))))*IF(AND(ArtifactsInput!$M$42,((Inputs!$B$9+((C642=TRUE)*(F642-Calc!F19))+B654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625*(MIN(100,(Inputs!$B$9+((C642=TRUE)*(F642-Calc!F19))+B654+(ArtifactsInput!$M$24-ArtifactsInput!$M$24)*CHOOSE(ArtifactsInput!$N$24+1,10,12,14,16,18,20)+(IF(AND(Inputs!$B$38&lt;&gt;"pvp",Inputs!$B$43=0),1,IF(IF(Inputs!$B$38="pvp",15,Inputs!$B$43)-(B661)&lt;=0,1,MAX(0,IF(Inputs!$B$38="pvp",15,Inputs!$B$43)-MAX(5,B661))/(IF(Inputs!$B$38="pvp",15,Inputs!$B$43)-(B661))))*IF(AND(ArtifactsInput!$M$42,((Inputs!$B$9+((C642=TRUE)*(F642-Calc!F19))+B654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625">
        <f>MAX(0,(Inputs!$B$3-100)*3)+Inputs!$B$28+Inputs!$B$29</f>
        <v/>
      </c>
      <c r="V625">
        <f>IF(C625,(Skills!G2*N625*B658*(1+IF(C650=TRUE,1/3,0)))*IF(Inputs!$B$38="pvp",1,(1+(Inputs!$B$21+Skills!Q2+(IF(ArtifactsInput!$M$33,CHOOSE(ArtifactsInput!$N$33+1,30,36,42,48,54,60),0))+(IF(AND(ArtifactsInput!$M$35,Inputs!$B$4&lt;&gt;"Chapter Hunt"),CHOOSE(ArtifactsInput!$N$35+1,15,18,21,24,27,30)*(1-EXP(-(0.2*B656)*5)),0)+IF(AND(ArtifactsInput!$M$22,Inputs!$B$4&lt;&gt;"Chapter Hunt"),CHOOSE(ArtifactsInput!$N$22+1,10,12,14,16,18,20)*((0*(((0.15*B656*5))^0/1)+1*(((0.15*B656*5))^1/1)+2*(((0.15*B656*5))^2/2)+3*(((0.15*B656*5))^3/6)+4*(((0.15*B656*5))^4/24)+5*(((0.15*B656*5))^5/120))/((((0.15*B656*5))^0/1)+(((0.15*B656*5))^1/1)+(((0.15*B656*5))^2/2)+(((0.15*B656*5))^3/6)+(((0.15*B656*5))^4/24)+(((0.15*B656*5))^5/120))),0))+IF(Inputs!$B$3&gt;=54,9*(C626=TRUE)*MIN(1,8*(1+Inputs!$B$34/100)*Q626),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26">
      <c r="A626">
        <f>Skills!A3</f>
        <v/>
      </c>
      <c r="B626">
        <f>Skills!B3</f>
        <v/>
      </c>
      <c r="C626">
        <f>Inputs!$B$3&gt;=33</f>
        <v/>
      </c>
      <c r="D626">
        <f>IF(Skills!C3=1,60+Inputs!$B$25+Inputs!$B$29,IF(Skills!C3=2,90+Inputs!$B$26+Inputs!$B$29,IF(Skills!C3=3,120+Inputs!$B$27+Inputs!$B$29,MAX(0,(Inputs!$B$3-100)*3)+Inputs!$B$28+Inputs!$B$29)))</f>
        <v/>
      </c>
      <c r="E626">
        <f>INDEX(FactorTable!$B$2:$Y$301, MATCH(ROUND(MIN(300,MAX(1,D626)),0), FactorTable!$A$2:$A$301,0), Skills!M3+1)</f>
        <v/>
      </c>
      <c r="F626">
        <f>IF(Skills!N3=TRUE,(Skills!L3/10)*(E626/1000),Skills!L3/10)+Skills!O3</f>
        <v/>
      </c>
      <c r="G626">
        <f>Skills!G3*IF(Skills!H3&gt;0,INT(IF(Inputs!$B$38="pvp",MIN(Skills!I3,15),Skills!I3)/Skills!H3+0.000000001),1)</f>
        <v/>
      </c>
      <c r="H626">
        <f>1-(1-Skills!J3/100)^Skills!K3</f>
        <v/>
      </c>
      <c r="I626" t="inlineStr">
        <is>
          <t>1</t>
        </is>
      </c>
      <c r="J626">
        <f>((Inputs!$B$6*(1+Inputs!$B$7/100))+(((Inputs!$B$12*(1+Inputs!$B$13/100))-(Inputs!$B$12*(1+Inputs!$B$13/100)))+0.25*(Inputs!$B$14-Inputs!$B$14))*(1+Inputs!$B$7/100))*(F626/100)</f>
        <v/>
      </c>
      <c r="K626">
        <f>J626*(1+((Inputs!$B$12*(1+Inputs!$B$13/100))*0.01+Inputs!$B$14*0.0025)/100)*(1+Inputs!$B$15/100)*(1+Inputs!$B$16/100)*(5000/(6000+Inputs!$B$42*(1-(100*(1-(1-(Inputs!$B$19+0)/100)*(1-CHOOSE(ArtifactsInput!$N$40+1,5,6,7,8,9,10)/100)^(ArtifactsInput!$M$40-ArtifactsInput!$M$40)))/100)))*(1+(Inputs!$B$24+((C649=TRUE)*(F649-Calc!F26))+B660)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(1-(1-Inputs!$B$11/150)*(1-1/150))*150)-60))),0)-IF(ArtifactsInput!$M$34,MIN(CHOOSE(ArtifactsInput!$N$34+1,10,12,14,16,18,20),MAX(0,(CHOOSE(ArtifactsInput!$N$34+1,0.5,0.6,0.7,0.8,0.9,1)/3)*(Inputs!$B$11-60))),0)))/100)*(1+4.0*IF(C638=TRUE,F638,0)/100)*(1+(IF(Skills!A3="EIGHT_LEGS_EASTON",Inputs!$B$17+((C646=TRUE)*(F646-Calc!F23))+((C650=TRUE)*(F650-Calc!F27))+((IF(AND(Inputs!$B$38&lt;&gt;"pvp",Inputs!$B$43=0),1,IF(IF(Inputs!$B$38="pvp",15,Inputs!$B$43)-(B661)&lt;=0,1,MAX(0,IF(Inputs!$B$38="pvp",15,Inputs!$B$43)-MAX(5,B661))/(IF(Inputs!$B$38="pvp",15,Inputs!$B$43)-(B661))))*(IF(AND(ArtifactsInput!$M$42,((Inputs!$B$9+((C642=TRUE)*(F642-Calc!F19))+B654+(ArtifactsInput!$M$24-ArtifactsInput!$M$24)*CHOOSE(ArtifactsInput!$N$24+1,10,12,14,16,18,20)+IF(ArtifactsInput!$M$10,CHOOSE(ArtifactsInput!$N$10+1,15,18,21,24,27,30)*(IF(Inputs!$B$38="pvp",MIN(15,15)/15,IF(AND(Inputs!$B$38&lt;&gt;"pvp",Inputs!$B$43&gt;0),MIN(15,Inputs!$B$43)/(Inputs!$B$43),0))),0)))&gt;=100),MIN(100,((Inputs!$B$9+((C642=TRUE)*(F642-Calc!F19))+B654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661)&lt;=0,1,MAX(0,IF(Inputs!$B$38="pvp",15,Inputs!$B$43)-MAX(5,B661))/(IF(Inputs!$B$38="pvp",15,Inputs!$B$43)-(B661))))*IF(AND(ArtifactsInput!$M$42,((Inputs!$B$9+((C642=TRUE)*(F642-Calc!F19))+B654+(ArtifactsInput!$M$24-ArtifactsInput!$M$24)*CHOOSE(ArtifactsInput!$N$24+1,10,12,14,16,18,20)+IF(ArtifactsInput!$M$10,CHOOSE(ArtifactsInput!$N$10+1,15,18,21,24,27,30)*(IF(Inputs!$B$38="pvp",MIN(15,15)/15,IF(AND(Inputs!$B$38&lt;&gt;"pvp",Inputs!$B$43&gt;0),MIN(15,Inputs!$B$43)/(Inputs!$B$43),0))),0)))&gt;=100),CHOOSE(ArtifactsInput!$N$42+1,40,48,56,64,72,80),0))))/100)*((1+(((C640=TRUE)*F640*5/7)+((C647=TRUE)*(F647-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626)</f>
        <v/>
      </c>
      <c r="L626">
        <f>K626*(MIN(Inputs!$B$22+((C645=TRUE)*(F645-Calc!F22)),(Inputs!$B$23+0+(IF(ArtifactsInput!$M$15,CHOOSE(ArtifactsInput!$N$15+1,25,30,35,40,45,50)/100*(((1-(1-Inputs!$B$11/150)*(1-1/150))*150)-Inputs!$B$11),0))))/100+(Inputs!$B$23+0+(IF(ArtifactsInput!$M$15,CHOOSE(ArtifactsInput!$N$15+1,25,30,35,40,45,50)/100*(((1-(1-Inputs!$B$11/150)*(1-1/150))*150)-Inputs!$B$11),0)))/100)/2</f>
        <v/>
      </c>
      <c r="M626">
        <f>L626*(1+(Inputs!$B$10+((C648=TRUE)*(F648-Calc!F25))+B659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26">
        <f>L626*(1-MIN((Inputs!$B$9+((C642=TRUE)*(F642-Calc!F19))+B654+(ArtifactsInput!$M$24-ArtifactsInput!$M$24)*CHOOSE(ArtifactsInput!$N$24+1,10,12,14,16,18,20)+(IF(AND(Inputs!$B$38&lt;&gt;"pvp",Inputs!$B$43=0),1,IF(IF(Inputs!$B$38="pvp",15,Inputs!$B$43)-(B661)&lt;=0,1,MAX(0,IF(Inputs!$B$38="pvp",15,Inputs!$B$43)-MAX(5,B661))/(IF(Inputs!$B$38="pvp",15,Inputs!$B$43)-(B661))))*IF(AND(ArtifactsInput!$M$42,((Inputs!$B$9+((C642=TRUE)*(F642-Calc!F19))+B654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626*(MIN((Inputs!$B$9+((C642=TRUE)*(F642-Calc!F19))+B654+(ArtifactsInput!$M$24-ArtifactsInput!$M$24)*CHOOSE(ArtifactsInput!$N$24+1,10,12,14,16,18,20)+(IF(AND(Inputs!$B$38&lt;&gt;"pvp",Inputs!$B$43=0),1,IF(IF(Inputs!$B$38="pvp",15,Inputs!$B$43)-(B661)&lt;=0,1,MAX(0,IF(Inputs!$B$38="pvp",15,Inputs!$B$43)-MAX(5,B661))/(IF(Inputs!$B$38="pvp",15,Inputs!$B$43)-(B661))))*IF(AND(ArtifactsInput!$M$42,((Inputs!$B$9+((C642=TRUE)*(F642-Calc!F19))+B654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26">
        <f>(1-Summary!$B$11)*T626+Summary!$B$11*V626</f>
        <v/>
      </c>
      <c r="P626">
        <f>IF(B664=0,0,O626/B664)</f>
        <v/>
      </c>
      <c r="Q626">
        <f>IFERROR(1/(IF(Inputs!$B$38="pvp",15,MAX(0.1,Skills!D3-IF(TRUE=TRUE,Inputs!$B$32,0)))*(1-IF(AND(ArtifactsInput!$M$27,Inputs!$B$4="Chapter Hunt"),CHOOSE(ArtifactsInput!$N$27+1,20,24,28,32,36,40),0)/100)),0)</f>
        <v/>
      </c>
      <c r="R626">
        <f>IF(AND(Inputs!$B$38&lt;&gt;"pvp",Inputs!$B$43&gt;0),IF(MAX(0,Inputs!$B$43-B661)&lt;=0,0,(INT(MAX(0,Inputs!$B$43-B661)/(IF(Inputs!$B$38="pvp",15,MAX(0.1,Skills!D3-IF(TRUE=TRUE,Inputs!$B$32,0)))*(1-IF(AND(ArtifactsInput!$M$27,Inputs!$B$4="Chapter Hunt"),CHOOSE(ArtifactsInput!$N$27+1,20,24,28,32,36,40),0)/100)))+1)),0)</f>
        <v/>
      </c>
      <c r="S626">
        <f>IFERROR(O626/N626,0)</f>
        <v/>
      </c>
      <c r="T626">
        <f>IF(C626,(H626*N626*IF(AND(Inputs!$B$38&lt;&gt;"pvp",Inputs!$B$43&gt;0),((Skills!G3*((R626-1)*IF(Skills!H3&gt;0,INT(Skills!I3/Skills!H3+0.000000001),1)+IF(Skills!H3&gt;0,INT(MIN(Skills!I3,MAX(0,MAX(0,Inputs!$B$43-B661)-((R626-1)*(IF(Inputs!$B$38="pvp",15,MAX(0.1,Skills!D3-IF(TRUE=TRUE,Inputs!$B$32,0)))*(1-IF(AND(ArtifactsInput!$M$27,Inputs!$B$4="Chapter Hunt"),CHOOSE(ArtifactsInput!$N$27+1,20,24,28,32,36,40),0)/100)))))/Skills!H3+0.000000001),1)))/Inputs!$B$43),G626*Q626))*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Hunt"),CHOOSE(ArtifactsInput!$N$35+1,15,18,21,24,27,30)*(1-EXP(-(0.2*B656)*5)),0)+IF(AND(ArtifactsInput!$M$22,Inputs!$B$4&lt;&gt;"Chapter Hunt"),CHOOSE(ArtifactsInput!$N$22+1,10,12,14,16,18,20)*((0*(((0.15*B656*5))^0/1)+1*(((0.15*B656*5))^1/1)+2*(((0.15*B656*5))^2/2)+3*(((0.15*B656*5))^3/6)+4*(((0.15*B656*5))^4/24)+5*(((0.15*B656*5))^5/120))/((((0.15*B656*5))^0/1)+(((0.15*B656*5))^1/1)+(((0.15*B656*5))^2/2)+(((0.15*B656*5))^3/6)+(((0.15*B656*5))^4/24)+(((0.15*B656*5))^5/120))),0))+IF(Inputs!$B$3&gt;=54,9*(C626=TRUE)*MIN(1,8*(1+Inputs!$B$34/100)*Q626)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626*(1-MIN(100,(Inputs!$B$9+((C642=TRUE)*(F642-Calc!F19))+B654+(ArtifactsInput!$M$24-ArtifactsInput!$M$24)*CHOOSE(ArtifactsInput!$N$24+1,10,12,14,16,18,20)+(IF(AND(Inputs!$B$38&lt;&gt;"pvp",Inputs!$B$43=0),1,IF(IF(Inputs!$B$38="pvp",15,Inputs!$B$43)-(B661)&lt;=0,1,MAX(0,IF(Inputs!$B$38="pvp",15,Inputs!$B$43)-MAX(5,B661))/(IF(Inputs!$B$38="pvp",15,Inputs!$B$43)-(B661))))*IF(AND(ArtifactsInput!$M$42,((Inputs!$B$9+((C642=TRUE)*(F642-Calc!F19))+B654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626*(MIN(100,(Inputs!$B$9+((C642=TRUE)*(F642-Calc!F19))+B654+(ArtifactsInput!$M$24-ArtifactsInput!$M$24)*CHOOSE(ArtifactsInput!$N$24+1,10,12,14,16,18,20)+(IF(AND(Inputs!$B$38&lt;&gt;"pvp",Inputs!$B$43=0),1,IF(IF(Inputs!$B$38="pvp",15,Inputs!$B$43)-(B661)&lt;=0,1,MAX(0,IF(Inputs!$B$38="pvp",15,Inputs!$B$43)-MAX(5,B661))/(IF(Inputs!$B$38="pvp",15,Inputs!$B$43)-(B661))))*IF(AND(ArtifactsInput!$M$42,((Inputs!$B$9+((C642=TRUE)*(F642-Calc!F19))+B654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626*(1-MIN(100,(Inputs!$B$9+((C642=TRUE)*(F642-Calc!F19))+B654+(ArtifactsInput!$M$24-ArtifactsInput!$M$24)*CHOOSE(ArtifactsInput!$N$24+1,10,12,14,16,18,20)+(IF(AND(Inputs!$B$38&lt;&gt;"pvp",Inputs!$B$43=0),1,IF(IF(Inputs!$B$38="pvp",15,Inputs!$B$43)-(B661)&lt;=0,1,MAX(0,IF(Inputs!$B$38="pvp",15,Inputs!$B$43)-MAX(5,B661))/(IF(Inputs!$B$38="pvp",15,Inputs!$B$43)-(B661))))*IF(AND(ArtifactsInput!$M$42,((Inputs!$B$9+((C642=TRUE)*(F642-Calc!F19))+B654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626*(MIN(100,(Inputs!$B$9+((C642=TRUE)*(F642-Calc!F19))+B654+(ArtifactsInput!$M$24-ArtifactsInput!$M$24)*CHOOSE(ArtifactsInput!$N$24+1,10,12,14,16,18,20)+(IF(AND(Inputs!$B$38&lt;&gt;"pvp",Inputs!$B$43=0),1,IF(IF(Inputs!$B$38="pvp",15,Inputs!$B$43)-(B661)&lt;=0,1,MAX(0,IF(Inputs!$B$38="pvp",15,Inputs!$B$43)-MAX(5,B661))/(IF(Inputs!$B$38="pvp",15,Inputs!$B$43)-(B661))))*IF(AND(ArtifactsInput!$M$42,((Inputs!$B$9+((C642=TRUE)*(F642-Calc!F19))+B654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626">
        <f>INDEX(FactorTable!$B$2:$Y$301, MATCH(ROUND(MIN(300,MAX(1,U625)),0), FactorTable!$A$2:$A$301,0), 22)</f>
        <v/>
      </c>
      <c r="V626">
        <f>IF(C626,(H626*N626*IF(AND(Inputs!$B$38&lt;&gt;"pvp",Inputs!$B$43&gt;0),((Skills!G3*((R626-1)*IF(Skills!H3&gt;0,INT(Skills!I3/Skills!H3+0.000000001),1)+IF(Skills!H3&gt;0,INT(MIN(Skills!I3,MAX(0,MAX(0,Inputs!$B$43-B661)-((R626-1)*(IF(Inputs!$B$38="pvp",15,MAX(0.1,Skills!D3-IF(TRUE=TRUE,Inputs!$B$32,0)))*(1-IF(AND(ArtifactsInput!$M$27,Inputs!$B$4="Chapter Hunt"),CHOOSE(ArtifactsInput!$N$27+1,20,24,28,32,36,40),0)/100)))))/Skills!H3+0.000000001),1)))/Inputs!$B$43),G626*Q626))*IF(Inputs!$B$38="pvp",1,(1+(Inputs!$B$21+Skills!Q3+(IF(ArtifactsInput!$M$33,CHOOSE(ArtifactsInput!$N$33+1,30,36,42,48,54,60),0))+(IF(AND(ArtifactsInput!$M$35,Inputs!$B$4&lt;&gt;"Chapter Hunt"),CHOOSE(ArtifactsInput!$N$35+1,15,18,21,24,27,30)*(1-EXP(-(0.2*B656)*5)),0)+IF(AND(ArtifactsInput!$M$22,Inputs!$B$4&lt;&gt;"Chapter Hunt"),CHOOSE(ArtifactsInput!$N$22+1,10,12,14,16,18,20)*((0*(((0.15*B656*5))^0/1)+1*(((0.15*B656*5))^1/1)+2*(((0.15*B656*5))^2/2)+3*(((0.15*B656*5))^3/6)+4*(((0.15*B656*5))^4/24)+5*(((0.15*B656*5))^5/120))/((((0.15*B656*5))^0/1)+(((0.15*B656*5))^1/1)+(((0.15*B656*5))^2/2)+(((0.15*B656*5))^3/6)+(((0.15*B656*5))^4/24)+(((0.15*B656*5))^5/120))),0))+IF(Inputs!$B$3&gt;=54,9*(C626=TRUE)*MIN(1,8*(1+Inputs!$B$34/100)*Q626),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27">
      <c r="A627">
        <f>Skills!A4</f>
        <v/>
      </c>
      <c r="B627">
        <f>Skills!B4</f>
        <v/>
      </c>
      <c r="C627">
        <f>Inputs!$B$3&gt;=35</f>
        <v/>
      </c>
      <c r="D627">
        <f>IF(Skills!C4=1,60+Inputs!$B$25+Inputs!$B$29,IF(Skills!C4=2,90+Inputs!$B$26+Inputs!$B$29,IF(Skills!C4=3,120+Inputs!$B$27+Inputs!$B$29,MAX(0,(Inputs!$B$3-100)*3)+Inputs!$B$28+Inputs!$B$29)))</f>
        <v/>
      </c>
      <c r="E627">
        <f>INDEX(FactorTable!$B$2:$Y$301, MATCH(ROUND(MIN(300,MAX(1,D627)),0), FactorTable!$A$2:$A$301,0), Skills!M4+1)</f>
        <v/>
      </c>
      <c r="F627">
        <f>IF(Skills!N4=TRUE,(Skills!L4/10)*(E627/1000),Skills!L4/10)+Skills!O4</f>
        <v/>
      </c>
      <c r="G627">
        <f>Skills!G4*IF(Skills!H4&gt;0,INT(IF(Inputs!$B$38="pvp",MIN(IF(Inputs!$B$3&gt;=104,MIN(35,20*(1+Inputs!$B$34/100)),20),15),IF(Inputs!$B$3&gt;=104,MIN(35,20*(1+Inputs!$B$34/100)),20))/Skills!H4+0.000000001),1)</f>
        <v/>
      </c>
      <c r="H627">
        <f>1-(1-Skills!J4/100)^Skills!K4</f>
        <v/>
      </c>
      <c r="I627" t="inlineStr">
        <is>
          <t>1</t>
        </is>
      </c>
      <c r="J627">
        <f>((Inputs!$B$6*(1+Inputs!$B$7/100))+(((Inputs!$B$12*(1+Inputs!$B$13/100))-(Inputs!$B$12*(1+Inputs!$B$13/100)))+0.25*(Inputs!$B$14-Inputs!$B$14))*(1+Inputs!$B$7/100))*(F627/100)</f>
        <v/>
      </c>
      <c r="K627">
        <f>J627*(1+((Inputs!$B$12*(1+Inputs!$B$13/100))*0.01+Inputs!$B$14*0.0025)/100)*(1+Inputs!$B$15/100)*(1+Inputs!$B$16/100)*(5000/(6000+Inputs!$B$42*(1-(100*(1-(1-(Inputs!$B$19+0)/100)*(1-CHOOSE(ArtifactsInput!$N$40+1,5,6,7,8,9,10)/100)^(ArtifactsInput!$M$40-ArtifactsInput!$M$40)))/100)))*(1+(Inputs!$B$24+((C649=TRUE)*(F649-Calc!F26))+B660)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(1-(1-Inputs!$B$11/150)*(1-1/150))*150)-60))),0)-IF(ArtifactsInput!$M$34,MIN(CHOOSE(ArtifactsInput!$N$34+1,10,12,14,16,18,20),MAX(0,(CHOOSE(ArtifactsInput!$N$34+1,0.5,0.6,0.7,0.8,0.9,1)/3)*(Inputs!$B$11-60))),0)))/100)*(1+1.0*IF(C639=TRUE,F639,0)/100)*(1+(IF(Skills!A4="EIGHT_LEGS_EASTON",Inputs!$B$17+((C646=TRUE)*(F646-Calc!F23))+((C650=TRUE)*(F650-Calc!F27))+((IF(AND(Inputs!$B$38&lt;&gt;"pvp",Inputs!$B$43=0),1,IF(IF(Inputs!$B$38="pvp",15,Inputs!$B$43)-(B661)&lt;=0,1,MAX(0,IF(Inputs!$B$38="pvp",15,Inputs!$B$43)-MAX(5,B661))/(IF(Inputs!$B$38="pvp",15,Inputs!$B$43)-(B661))))*(IF(AND(ArtifactsInput!$M$42,((Inputs!$B$9+((C642=TRUE)*(F642-Calc!F19))+B654+(ArtifactsInput!$M$24-ArtifactsInput!$M$24)*CHOOSE(ArtifactsInput!$N$24+1,10,12,14,16,18,20)+IF(ArtifactsInput!$M$10,CHOOSE(ArtifactsInput!$N$10+1,15,18,21,24,27,30)*(IF(Inputs!$B$38="pvp",MIN(15,15)/15,IF(AND(Inputs!$B$38&lt;&gt;"pvp",Inputs!$B$43&gt;0),MIN(15,Inputs!$B$43)/(Inputs!$B$43),0))),0)))&gt;=100),MIN(100,((Inputs!$B$9+((C642=TRUE)*(F642-Calc!F19))+B654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661)&lt;=0,1,MAX(0,IF(Inputs!$B$38="pvp",15,Inputs!$B$43)-MAX(5,B661))/(IF(Inputs!$B$38="pvp",15,Inputs!$B$43)-(B661))))*IF(AND(ArtifactsInput!$M$42,((Inputs!$B$9+((C642=TRUE)*(F642-Calc!F19))+B654+(ArtifactsInput!$M$24-ArtifactsInput!$M$24)*CHOOSE(ArtifactsInput!$N$24+1,10,12,14,16,18,20)+IF(ArtifactsInput!$M$10,CHOOSE(ArtifactsInput!$N$10+1,15,18,21,24,27,30)*(IF(Inputs!$B$38="pvp",MIN(15,15)/15,IF(AND(Inputs!$B$38&lt;&gt;"pvp",Inputs!$B$43&gt;0),MIN(15,Inputs!$B$43)/(Inputs!$B$43),0))),0)))&gt;=100),CHOOSE(ArtifactsInput!$N$42+1,40,48,56,64,72,80),0))))/100)*((1+(((C640=TRUE)*F640*5/7)+((C647=TRUE)*(F647-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627)</f>
        <v/>
      </c>
      <c r="L627">
        <f>K627*(MIN(Inputs!$B$22+((C645=TRUE)*(F645-Calc!F22)),(Inputs!$B$23+0+(IF(ArtifactsInput!$M$15,CHOOSE(ArtifactsInput!$N$15+1,25,30,35,40,45,50)/100*(((1-(1-Inputs!$B$11/150)*(1-1/150))*150)-Inputs!$B$11),0))))/100+(Inputs!$B$23+0+(IF(ArtifactsInput!$M$15,CHOOSE(ArtifactsInput!$N$15+1,25,30,35,40,45,50)/100*(((1-(1-Inputs!$B$11/150)*(1-1/150))*150)-Inputs!$B$11),0)))/100)/2</f>
        <v/>
      </c>
      <c r="M627">
        <f>L627*(1+(Inputs!$B$10+((C648=TRUE)*(F648-Calc!F25))+B659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27">
        <f>L627*(1-MIN((Inputs!$B$9+((C642=TRUE)*(F642-Calc!F19))+B654+(ArtifactsInput!$M$24-ArtifactsInput!$M$24)*CHOOSE(ArtifactsInput!$N$24+1,10,12,14,16,18,20)+(IF(AND(Inputs!$B$38&lt;&gt;"pvp",Inputs!$B$43=0),1,IF(IF(Inputs!$B$38="pvp",15,Inputs!$B$43)-(B661)&lt;=0,1,MAX(0,IF(Inputs!$B$38="pvp",15,Inputs!$B$43)-MAX(5,B661))/(IF(Inputs!$B$38="pvp",15,Inputs!$B$43)-(B661))))*IF(AND(ArtifactsInput!$M$42,((Inputs!$B$9+((C642=TRUE)*(F642-Calc!F19))+B654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627*(MIN((Inputs!$B$9+((C642=TRUE)*(F642-Calc!F19))+B654+(ArtifactsInput!$M$24-ArtifactsInput!$M$24)*CHOOSE(ArtifactsInput!$N$24+1,10,12,14,16,18,20)+(IF(AND(Inputs!$B$38&lt;&gt;"pvp",Inputs!$B$43=0),1,IF(IF(Inputs!$B$38="pvp",15,Inputs!$B$43)-(B661)&lt;=0,1,MAX(0,IF(Inputs!$B$38="pvp",15,Inputs!$B$43)-MAX(5,B661))/(IF(Inputs!$B$38="pvp",15,Inputs!$B$43)-(B661))))*IF(AND(ArtifactsInput!$M$42,((Inputs!$B$9+((C642=TRUE)*(F642-Calc!F19))+B654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27">
        <f>(1-Summary!$B$11)*T627+Summary!$B$11*V627</f>
        <v/>
      </c>
      <c r="P627">
        <f>IF(B664=0,0,O627/B664)</f>
        <v/>
      </c>
      <c r="Q627">
        <f>IFERROR(1/(IF(Inputs!$B$38="pvp",15,MAX(0.1,Skills!D4-IF(TRUE=TRUE,Inputs!$B$32,0)))*(1-IF(AND(ArtifactsInput!$M$27,Inputs!$B$4="Chapter Hunt"),CHOOSE(ArtifactsInput!$N$27+1,20,24,28,32,36,40),0)/100)),0)</f>
        <v/>
      </c>
      <c r="R627">
        <f>IF(AND(Inputs!$B$38&lt;&gt;"pvp",Inputs!$B$43&gt;0),IF(MAX(0,Inputs!$B$43-B661)&lt;=0,0,(INT(MAX(0,Inputs!$B$43-B661)/(IF(Inputs!$B$38="pvp",15,MAX(0.1,Skills!D4-IF(TRUE=TRUE,Inputs!$B$32,0)))*(1-IF(AND(ArtifactsInput!$M$27,Inputs!$B$4="Chapter Hunt"),CHOOSE(ArtifactsInput!$N$27+1,20,24,28,32,36,40),0)/100)))+1)),0)</f>
        <v/>
      </c>
      <c r="S627">
        <f>IFERROR(O627/N627,0)</f>
        <v/>
      </c>
      <c r="T627">
        <f>IF(C627,(H627*N627*IF(AND(Inputs!$B$38&lt;&gt;"pvp",Inputs!$B$43&gt;0),((Skills!G4*((R627-1)*IF(Skills!H4&gt;0,INT(IF(Inputs!$B$3&gt;=104,MIN(35,20*(1+Inputs!$B$34/100)),20)/Skills!H4+0.000000001),1)+IF(Skills!H4&gt;0,INT(MIN(IF(Inputs!$B$3&gt;=104,MIN(35,20*(1+Inputs!$B$34/100)),20),MAX(0,MAX(0,Inputs!$B$43-B661)-((R627-1)*(IF(Inputs!$B$38="pvp",15,MAX(0.1,Skills!D4-IF(TRUE=TRUE,Inputs!$B$32,0)))*(1-IF(AND(ArtifactsInput!$M$27,Inputs!$B$4="Chapter Hunt"),CHOOSE(ArtifactsInput!$N$27+1,20,24,28,32,36,40),0)/100)))))/Skills!H4+0.000000001),1)))/Inputs!$B$43),G627*Q627))*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Hunt"),CHOOSE(ArtifactsInput!$N$35+1,15,18,21,24,27,30)*(1-EXP(-(0.2*B656)*5)),0)+IF(AND(ArtifactsInput!$M$22,Inputs!$B$4&lt;&gt;"Chapter Hunt"),CHOOSE(ArtifactsInput!$N$22+1,10,12,14,16,18,20)*((0*(((0.15*B656*5))^0/1)+1*(((0.15*B656*5))^1/1)+2*(((0.15*B656*5))^2/2)+3*(((0.15*B656*5))^3/6)+4*(((0.15*B656*5))^4/24)+5*(((0.15*B656*5))^5/120))/((((0.15*B656*5))^0/1)+(((0.15*B656*5))^1/1)+(((0.15*B656*5))^2/2)+(((0.15*B656*5))^3/6)+(((0.15*B656*5))^4/24)+(((0.15*B656*5))^5/120))),0))+IF(Inputs!$B$3&gt;=54,9*(C626=TRUE)*MIN(1,8*(1+Inputs!$B$34/100)*Q626)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627*(1-MIN(100,(Inputs!$B$9+((C642=TRUE)*(F642-Calc!F19))+B654+(ArtifactsInput!$M$24-ArtifactsInput!$M$24)*CHOOSE(ArtifactsInput!$N$24+1,10,12,14,16,18,20)+(IF(AND(Inputs!$B$38&lt;&gt;"pvp",Inputs!$B$43=0),1,IF(IF(Inputs!$B$38="pvp",15,Inputs!$B$43)-(B661)&lt;=0,1,MAX(0,IF(Inputs!$B$38="pvp",15,Inputs!$B$43)-MAX(5,B661))/(IF(Inputs!$B$38="pvp",15,Inputs!$B$43)-(B661))))*IF(AND(ArtifactsInput!$M$42,((Inputs!$B$9+((C642=TRUE)*(F642-Calc!F19))+B654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627*(MIN(100,(Inputs!$B$9+((C642=TRUE)*(F642-Calc!F19))+B654+(ArtifactsInput!$M$24-ArtifactsInput!$M$24)*CHOOSE(ArtifactsInput!$N$24+1,10,12,14,16,18,20)+(IF(AND(Inputs!$B$38&lt;&gt;"pvp",Inputs!$B$43=0),1,IF(IF(Inputs!$B$38="pvp",15,Inputs!$B$43)-(B661)&lt;=0,1,MAX(0,IF(Inputs!$B$38="pvp",15,Inputs!$B$43)-MAX(5,B661))/(IF(Inputs!$B$38="pvp",15,Inputs!$B$43)-(B661))))*IF(AND(ArtifactsInput!$M$42,((Inputs!$B$9+((C642=TRUE)*(F642-Calc!F19))+B654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627*(1-MIN(100,(Inputs!$B$9+((C642=TRUE)*(F642-Calc!F19))+B654+(ArtifactsInput!$M$24-ArtifactsInput!$M$24)*CHOOSE(ArtifactsInput!$N$24+1,10,12,14,16,18,20)+(IF(AND(Inputs!$B$38&lt;&gt;"pvp",Inputs!$B$43=0),1,IF(IF(Inputs!$B$38="pvp",15,Inputs!$B$43)-(B661)&lt;=0,1,MAX(0,IF(Inputs!$B$38="pvp",15,Inputs!$B$43)-MAX(5,B661))/(IF(Inputs!$B$38="pvp",15,Inputs!$B$43)-(B661))))*IF(AND(ArtifactsInput!$M$42,((Inputs!$B$9+((C642=TRUE)*(F642-Calc!F19))+B654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627*(MIN(100,(Inputs!$B$9+((C642=TRUE)*(F642-Calc!F19))+B654+(ArtifactsInput!$M$24-ArtifactsInput!$M$24)*CHOOSE(ArtifactsInput!$N$24+1,10,12,14,16,18,20)+(IF(AND(Inputs!$B$38&lt;&gt;"pvp",Inputs!$B$43=0),1,IF(IF(Inputs!$B$38="pvp",15,Inputs!$B$43)-(B661)&lt;=0,1,MAX(0,IF(Inputs!$B$38="pvp",15,Inputs!$B$43)-MAX(5,B661))/(IF(Inputs!$B$38="pvp",15,Inputs!$B$43)-(B661))))*IF(AND(ArtifactsInput!$M$42,((Inputs!$B$9+((C642=TRUE)*(F642-Calc!F19))+B654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627">
        <f>290*U626/1000</f>
        <v/>
      </c>
      <c r="V627">
        <f>IF(C627,(H627*N627*IF(AND(Inputs!$B$38&lt;&gt;"pvp",Inputs!$B$43&gt;0),((Skills!G4*((R627-1)*IF(Skills!H4&gt;0,INT(IF(Inputs!$B$3&gt;=104,MIN(35,20*(1+Inputs!$B$34/100)),20)/Skills!H4+0.000000001),1)+IF(Skills!H4&gt;0,INT(MIN(IF(Inputs!$B$3&gt;=104,MIN(35,20*(1+Inputs!$B$34/100)),20),MAX(0,MAX(0,Inputs!$B$43-B661)-((R627-1)*(IF(Inputs!$B$38="pvp",15,MAX(0.1,Skills!D4-IF(TRUE=TRUE,Inputs!$B$32,0)))*(1-IF(AND(ArtifactsInput!$M$27,Inputs!$B$4="Chapter Hunt"),CHOOSE(ArtifactsInput!$N$27+1,20,24,28,32,36,40),0)/100)))))/Skills!H4+0.000000001),1)))/Inputs!$B$43),G627*Q627))*IF(Inputs!$B$38="pvp",1,(1+(Inputs!$B$21+Skills!Q4+(IF(ArtifactsInput!$M$33,CHOOSE(ArtifactsInput!$N$33+1,30,36,42,48,54,60),0))+(IF(AND(ArtifactsInput!$M$35,Inputs!$B$4&lt;&gt;"Chapter Hunt"),CHOOSE(ArtifactsInput!$N$35+1,15,18,21,24,27,30)*(1-EXP(-(0.2*B656)*5)),0)+IF(AND(ArtifactsInput!$M$22,Inputs!$B$4&lt;&gt;"Chapter Hunt"),CHOOSE(ArtifactsInput!$N$22+1,10,12,14,16,18,20)*((0*(((0.15*B656*5))^0/1)+1*(((0.15*B656*5))^1/1)+2*(((0.15*B656*5))^2/2)+3*(((0.15*B656*5))^3/6)+4*(((0.15*B656*5))^4/24)+5*(((0.15*B656*5))^5/120))/((((0.15*B656*5))^0/1)+(((0.15*B656*5))^1/1)+(((0.15*B656*5))^2/2)+(((0.15*B656*5))^3/6)+(((0.15*B656*5))^4/24)+(((0.15*B656*5))^5/120))),0))+IF(Inputs!$B$3&gt;=54,9*(C626=TRUE)*MIN(1,8*(1+Inputs!$B$34/100)*Q626),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28">
      <c r="A628">
        <f>Skills!A5</f>
        <v/>
      </c>
      <c r="B628">
        <f>Skills!B5</f>
        <v/>
      </c>
      <c r="C628">
        <f>Inputs!$B$3&gt;=69</f>
        <v/>
      </c>
      <c r="D628">
        <f>IF(Skills!C5=1,60+Inputs!$B$25+Inputs!$B$29,IF(Skills!C5=2,90+Inputs!$B$26+Inputs!$B$29,IF(Skills!C5=3,120+Inputs!$B$27+Inputs!$B$29,MAX(0,(Inputs!$B$3-100)*3)+Inputs!$B$28+Inputs!$B$29)))</f>
        <v/>
      </c>
      <c r="E628">
        <f>INDEX(FactorTable!$B$2:$Y$301, MATCH(ROUND(MIN(300,MAX(1,D628)),0), FactorTable!$A$2:$A$301,0), Skills!M5+1)</f>
        <v/>
      </c>
      <c r="F628">
        <f>IF(Skills!N5=TRUE,(Skills!L5/10)*(E628/1000),Skills!L5/10)+Skills!O5</f>
        <v/>
      </c>
      <c r="G628">
        <f>Skills!G5*IF(Skills!H5&gt;0,INT(IF(Inputs!$B$38="pvp",MIN(IF(Inputs!$B$3&gt;=104,MIN(35,20*(1+Inputs!$B$34/100)),20),15),IF(Inputs!$B$3&gt;=104,MIN(35,20*(1+Inputs!$B$34/100)),20))/Skills!H5+0.000000001),1)</f>
        <v/>
      </c>
      <c r="H628">
        <f>1-(1-Skills!J5/100)^Skills!K5</f>
        <v/>
      </c>
      <c r="I628" t="inlineStr">
        <is>
          <t>1</t>
        </is>
      </c>
      <c r="J628">
        <f>((Inputs!$B$6*(1+Inputs!$B$7/100))+(((Inputs!$B$12*(1+Inputs!$B$13/100))-(Inputs!$B$12*(1+Inputs!$B$13/100)))+0.25*(Inputs!$B$14-Inputs!$B$14))*(1+Inputs!$B$7/100))*(F628/100)</f>
        <v/>
      </c>
      <c r="K628">
        <f>J628*(1+((Inputs!$B$12*(1+Inputs!$B$13/100))*0.01+Inputs!$B$14*0.0025)/100)*(1+Inputs!$B$15/100)*(1+Inputs!$B$16/100)*(5000/(6000+Inputs!$B$42*(1-(100*(1-(1-(Inputs!$B$19+0)/100)*(1-CHOOSE(ArtifactsInput!$N$40+1,5,6,7,8,9,10)/100)^(ArtifactsInput!$M$40-ArtifactsInput!$M$40)))/100)))*(1+(Inputs!$B$24+((C649=TRUE)*(F649-Calc!F26))+B660)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(1-(1-Inputs!$B$11/150)*(1-1/150))*150)-60))),0)-IF(ArtifactsInput!$M$34,MIN(CHOOSE(ArtifactsInput!$N$34+1,10,12,14,16,18,20),MAX(0,(CHOOSE(ArtifactsInput!$N$34+1,0.5,0.6,0.7,0.8,0.9,1)/3)*(Inputs!$B$11-60))),0)))/100)*(1+0.4*IF(C639=TRUE,F639,0)/100)*(1+(IF(Skills!A5="EIGHT_LEGS_EASTON",Inputs!$B$17+((C646=TRUE)*(F646-Calc!F23))+((C650=TRUE)*(F650-Calc!F27))+((IF(AND(Inputs!$B$38&lt;&gt;"pvp",Inputs!$B$43=0),1,IF(IF(Inputs!$B$38="pvp",15,Inputs!$B$43)-(B661)&lt;=0,1,MAX(0,IF(Inputs!$B$38="pvp",15,Inputs!$B$43)-MAX(5,B661))/(IF(Inputs!$B$38="pvp",15,Inputs!$B$43)-(B661))))*(IF(AND(ArtifactsInput!$M$42,((Inputs!$B$9+((C642=TRUE)*(F642-Calc!F19))+B654+(ArtifactsInput!$M$24-ArtifactsInput!$M$24)*CHOOSE(ArtifactsInput!$N$24+1,10,12,14,16,18,20)+IF(ArtifactsInput!$M$10,CHOOSE(ArtifactsInput!$N$10+1,15,18,21,24,27,30)*(IF(Inputs!$B$38="pvp",MIN(15,15)/15,IF(AND(Inputs!$B$38&lt;&gt;"pvp",Inputs!$B$43&gt;0),MIN(15,Inputs!$B$43)/(Inputs!$B$43),0))),0)))&gt;=100),MIN(100,((Inputs!$B$9+((C642=TRUE)*(F642-Calc!F19))+B654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661)&lt;=0,1,MAX(0,IF(Inputs!$B$38="pvp",15,Inputs!$B$43)-MAX(5,B661))/(IF(Inputs!$B$38="pvp",15,Inputs!$B$43)-(B661))))*IF(AND(ArtifactsInput!$M$42,((Inputs!$B$9+((C642=TRUE)*(F642-Calc!F19))+B654+(ArtifactsInput!$M$24-ArtifactsInput!$M$24)*CHOOSE(ArtifactsInput!$N$24+1,10,12,14,16,18,20)+IF(ArtifactsInput!$M$10,CHOOSE(ArtifactsInput!$N$10+1,15,18,21,24,27,30)*(IF(Inputs!$B$38="pvp",MIN(15,15)/15,IF(AND(Inputs!$B$38&lt;&gt;"pvp",Inputs!$B$43&gt;0),MIN(15,Inputs!$B$43)/(Inputs!$B$43),0))),0)))&gt;=100),CHOOSE(ArtifactsInput!$N$42+1,40,48,56,64,72,80),0))))/100)*((1+(((C640=TRUE)*F640*5/7)+((C647=TRUE)*(F647-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628)</f>
        <v/>
      </c>
      <c r="L628">
        <f>K628*(MIN(Inputs!$B$22+((C645=TRUE)*(F645-Calc!F22)),(Inputs!$B$23+0+(IF(ArtifactsInput!$M$15,CHOOSE(ArtifactsInput!$N$15+1,25,30,35,40,45,50)/100*(((1-(1-Inputs!$B$11/150)*(1-1/150))*150)-Inputs!$B$11),0))))/100+(Inputs!$B$23+0+(IF(ArtifactsInput!$M$15,CHOOSE(ArtifactsInput!$N$15+1,25,30,35,40,45,50)/100*(((1-(1-Inputs!$B$11/150)*(1-1/150))*150)-Inputs!$B$11),0)))/100)/2</f>
        <v/>
      </c>
      <c r="M628">
        <f>L628*(1+(Inputs!$B$10+((C648=TRUE)*(F648-Calc!F25))+B659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28">
        <f>L628*(1-MIN((Inputs!$B$9+((C642=TRUE)*(F642-Calc!F19))+B654+(ArtifactsInput!$M$24-ArtifactsInput!$M$24)*CHOOSE(ArtifactsInput!$N$24+1,10,12,14,16,18,20)+(IF(AND(Inputs!$B$38&lt;&gt;"pvp",Inputs!$B$43=0),1,IF(IF(Inputs!$B$38="pvp",15,Inputs!$B$43)-(B661)&lt;=0,1,MAX(0,IF(Inputs!$B$38="pvp",15,Inputs!$B$43)-MAX(5,B661))/(IF(Inputs!$B$38="pvp",15,Inputs!$B$43)-(B661))))*IF(AND(ArtifactsInput!$M$42,((Inputs!$B$9+((C642=TRUE)*(F642-Calc!F19))+B654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628*(MIN((Inputs!$B$9+((C642=TRUE)*(F642-Calc!F19))+B654+(ArtifactsInput!$M$24-ArtifactsInput!$M$24)*CHOOSE(ArtifactsInput!$N$24+1,10,12,14,16,18,20)+(IF(AND(Inputs!$B$38&lt;&gt;"pvp",Inputs!$B$43=0),1,IF(IF(Inputs!$B$38="pvp",15,Inputs!$B$43)-(B661)&lt;=0,1,MAX(0,IF(Inputs!$B$38="pvp",15,Inputs!$B$43)-MAX(5,B661))/(IF(Inputs!$B$38="pvp",15,Inputs!$B$43)-(B661))))*IF(AND(ArtifactsInput!$M$42,((Inputs!$B$9+((C642=TRUE)*(F642-Calc!F19))+B654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28">
        <f>(1-Summary!$B$11)*T628+Summary!$B$11*V628</f>
        <v/>
      </c>
      <c r="P628">
        <f>IF(B664=0,0,O628/B664)</f>
        <v/>
      </c>
      <c r="Q628">
        <f>IFERROR(1/(IF(Inputs!$B$38="pvp",15,MAX(0.1,Skills!D5-IF(TRUE=TRUE,Inputs!$B$32,0)))*(1-IF(AND(ArtifactsInput!$M$27,Inputs!$B$4="Chapter Hunt"),CHOOSE(ArtifactsInput!$N$27+1,20,24,28,32,36,40),0)/100)),0)</f>
        <v/>
      </c>
      <c r="R628">
        <f>IF(AND(Inputs!$B$38&lt;&gt;"pvp",Inputs!$B$43&gt;0),IF(MAX(0,Inputs!$B$43-B661)&lt;=0,0,(INT(MAX(0,Inputs!$B$43-B661)/(IF(Inputs!$B$38="pvp",15,MAX(0.1,Skills!D5-IF(TRUE=TRUE,Inputs!$B$32,0)))*(1-IF(AND(ArtifactsInput!$M$27,Inputs!$B$4="Chapter Hunt"),CHOOSE(ArtifactsInput!$N$27+1,20,24,28,32,36,40),0)/100)))+1)),0)</f>
        <v/>
      </c>
      <c r="S628">
        <f>IFERROR(O628/N628,0)</f>
        <v/>
      </c>
      <c r="T628">
        <f>IF(C628,(H628*N628*IF(AND(Inputs!$B$38&lt;&gt;"pvp",Inputs!$B$43&gt;0),((Skills!G5*((R628-1)*IF(Skills!H5&gt;0,INT(IF(Inputs!$B$3&gt;=104,MIN(35,20*(1+Inputs!$B$34/100)),20)/Skills!H5+0.000000001),1)+IF(Skills!H5&gt;0,INT(MIN(IF(Inputs!$B$3&gt;=104,MIN(35,20*(1+Inputs!$B$34/100)),20),MAX(0,MAX(0,Inputs!$B$43-B661)-((R628-1)*(IF(Inputs!$B$38="pvp",15,MAX(0.1,Skills!D5-IF(TRUE=TRUE,Inputs!$B$32,0)))*(1-IF(AND(ArtifactsInput!$M$27,Inputs!$B$4="Chapter Hunt"),CHOOSE(ArtifactsInput!$N$27+1,20,24,28,32,36,40),0)/100)))))/Skills!H5+0.000000001),1)))/Inputs!$B$43),G628*Q628))*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Hunt"),CHOOSE(ArtifactsInput!$N$35+1,15,18,21,24,27,30)*(1-EXP(-(0.2*B656)*5)),0)+IF(AND(ArtifactsInput!$M$22,Inputs!$B$4&lt;&gt;"Chapter Hunt"),CHOOSE(ArtifactsInput!$N$22+1,10,12,14,16,18,20)*((0*(((0.15*B656*5))^0/1)+1*(((0.15*B656*5))^1/1)+2*(((0.15*B656*5))^2/2)+3*(((0.15*B656*5))^3/6)+4*(((0.15*B656*5))^4/24)+5*(((0.15*B656*5))^5/120))/((((0.15*B656*5))^0/1)+(((0.15*B656*5))^1/1)+(((0.15*B656*5))^2/2)+(((0.15*B656*5))^3/6)+(((0.15*B656*5))^4/24)+(((0.15*B656*5))^5/120))),0))+IF(Inputs!$B$3&gt;=54,9*(C626=TRUE)*MIN(1,8*(1+Inputs!$B$34/100)*Q626)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628*(1-MIN(100,(Inputs!$B$9+((C642=TRUE)*(F642-Calc!F19))+B654+(ArtifactsInput!$M$24-ArtifactsInput!$M$24)*CHOOSE(ArtifactsInput!$N$24+1,10,12,14,16,18,20)+(IF(AND(Inputs!$B$38&lt;&gt;"pvp",Inputs!$B$43=0),1,IF(IF(Inputs!$B$38="pvp",15,Inputs!$B$43)-(B661)&lt;=0,1,MAX(0,IF(Inputs!$B$38="pvp",15,Inputs!$B$43)-MAX(5,B661))/(IF(Inputs!$B$38="pvp",15,Inputs!$B$43)-(B661))))*IF(AND(ArtifactsInput!$M$42,((Inputs!$B$9+((C642=TRUE)*(F642-Calc!F19))+B654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628*(MIN(100,(Inputs!$B$9+((C642=TRUE)*(F642-Calc!F19))+B654+(ArtifactsInput!$M$24-ArtifactsInput!$M$24)*CHOOSE(ArtifactsInput!$N$24+1,10,12,14,16,18,20)+(IF(AND(Inputs!$B$38&lt;&gt;"pvp",Inputs!$B$43=0),1,IF(IF(Inputs!$B$38="pvp",15,Inputs!$B$43)-(B661)&lt;=0,1,MAX(0,IF(Inputs!$B$38="pvp",15,Inputs!$B$43)-MAX(5,B661))/(IF(Inputs!$B$38="pvp",15,Inputs!$B$43)-(B661))))*IF(AND(ArtifactsInput!$M$42,((Inputs!$B$9+((C642=TRUE)*(F642-Calc!F19))+B654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628*(1-MIN(100,(Inputs!$B$9+((C642=TRUE)*(F642-Calc!F19))+B654+(ArtifactsInput!$M$24-ArtifactsInput!$M$24)*CHOOSE(ArtifactsInput!$N$24+1,10,12,14,16,18,20)+(IF(AND(Inputs!$B$38&lt;&gt;"pvp",Inputs!$B$43=0),1,IF(IF(Inputs!$B$38="pvp",15,Inputs!$B$43)-(B661)&lt;=0,1,MAX(0,IF(Inputs!$B$38="pvp",15,Inputs!$B$43)-MAX(5,B661))/(IF(Inputs!$B$38="pvp",15,Inputs!$B$43)-(B661))))*IF(AND(ArtifactsInput!$M$42,((Inputs!$B$9+((C642=TRUE)*(F642-Calc!F19))+B654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628*(MIN(100,(Inputs!$B$9+((C642=TRUE)*(F642-Calc!F19))+B654+(ArtifactsInput!$M$24-ArtifactsInput!$M$24)*CHOOSE(ArtifactsInput!$N$24+1,10,12,14,16,18,20)+(IF(AND(Inputs!$B$38&lt;&gt;"pvp",Inputs!$B$43=0),1,IF(IF(Inputs!$B$38="pvp",15,Inputs!$B$43)-(B661)&lt;=0,1,MAX(0,IF(Inputs!$B$38="pvp",15,Inputs!$B$43)-MAX(5,B661))/(IF(Inputs!$B$38="pvp",15,Inputs!$B$43)-(B661))))*IF(AND(ArtifactsInput!$M$42,((Inputs!$B$9+((C642=TRUE)*(F642-Calc!F19))+B654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628">
        <f>IF(C628,(H628*N628*IF(AND(Inputs!$B$38&lt;&gt;"pvp",Inputs!$B$43&gt;0),((Skills!G5*((R628-1)*IF(Skills!H5&gt;0,INT(IF(Inputs!$B$3&gt;=104,MIN(35,20*(1+Inputs!$B$34/100)),20)/Skills!H5+0.000000001),1)+IF(Skills!H5&gt;0,INT(MIN(IF(Inputs!$B$3&gt;=104,MIN(35,20*(1+Inputs!$B$34/100)),20),MAX(0,MAX(0,Inputs!$B$43-B661)-((R628-1)*(IF(Inputs!$B$38="pvp",15,MAX(0.1,Skills!D5-IF(TRUE=TRUE,Inputs!$B$32,0)))*(1-IF(AND(ArtifactsInput!$M$27,Inputs!$B$4="Chapter Hunt"),CHOOSE(ArtifactsInput!$N$27+1,20,24,28,32,36,40),0)/100)))))/Skills!H5+0.000000001),1)))/Inputs!$B$43),G628*Q628))*IF(Inputs!$B$38="pvp",1,(1+(Inputs!$B$21+Skills!Q5+(IF(ArtifactsInput!$M$33,CHOOSE(ArtifactsInput!$N$33+1,30,36,42,48,54,60),0))+(IF(AND(ArtifactsInput!$M$35,Inputs!$B$4&lt;&gt;"Chapter Hunt"),CHOOSE(ArtifactsInput!$N$35+1,15,18,21,24,27,30)*(1-EXP(-(0.2*B656)*5)),0)+IF(AND(ArtifactsInput!$M$22,Inputs!$B$4&lt;&gt;"Chapter Hunt"),CHOOSE(ArtifactsInput!$N$22+1,10,12,14,16,18,20)*((0*(((0.15*B656*5))^0/1)+1*(((0.15*B656*5))^1/1)+2*(((0.15*B656*5))^2/2)+3*(((0.15*B656*5))^3/6)+4*(((0.15*B656*5))^4/24)+5*(((0.15*B656*5))^5/120))/((((0.15*B656*5))^0/1)+(((0.15*B656*5))^1/1)+(((0.15*B656*5))^2/2)+(((0.15*B656*5))^3/6)+(((0.15*B656*5))^4/24)+(((0.15*B656*5))^5/120))),0))+IF(Inputs!$B$3&gt;=54,9*(C626=TRUE)*MIN(1,8*(1+Inputs!$B$34/100)*Q626),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29">
      <c r="A629">
        <f>Skills!A6</f>
        <v/>
      </c>
      <c r="B629">
        <f>Skills!B6</f>
        <v/>
      </c>
      <c r="C629">
        <f>Inputs!$B$3&gt;=66</f>
        <v/>
      </c>
      <c r="D629">
        <f>IF(Skills!C6=1,60+Inputs!$B$25+Inputs!$B$29,IF(Skills!C6=2,90+Inputs!$B$26+Inputs!$B$29,IF(Skills!C6=3,120+Inputs!$B$27+Inputs!$B$29,MAX(0,(Inputs!$B$3-100)*3)+Inputs!$B$28+Inputs!$B$29)))</f>
        <v/>
      </c>
      <c r="E629">
        <f>INDEX(FactorTable!$B$2:$Y$301, MATCH(ROUND(MIN(300,MAX(1,D629)),0), FactorTable!$A$2:$A$301,0), Skills!M6+1)</f>
        <v/>
      </c>
      <c r="F629">
        <f>IF(Skills!N6=TRUE,(Skills!L6/10)*(E629/1000),Skills!L6/10)+Skills!O6</f>
        <v/>
      </c>
      <c r="G629">
        <f>Skills!G6*IF(Skills!H6&gt;0,INT(IF(Inputs!$B$38="pvp",MIN(Skills!I6,15),Skills!I6)/Skills!H6+0.000000001),1)</f>
        <v/>
      </c>
      <c r="H629">
        <f>1-(1-Skills!J6/100)^Skills!K6</f>
        <v/>
      </c>
      <c r="I629" t="inlineStr">
        <is>
          <t>1</t>
        </is>
      </c>
      <c r="J629">
        <f>((Inputs!$B$6*(1+Inputs!$B$7/100))+(((Inputs!$B$12*(1+Inputs!$B$13/100))-(Inputs!$B$12*(1+Inputs!$B$13/100)))+0.25*(Inputs!$B$14-Inputs!$B$14))*(1+Inputs!$B$7/100))*(F629/100)</f>
        <v/>
      </c>
      <c r="K629">
        <f>J629*(1+((Inputs!$B$12*(1+Inputs!$B$13/100))*0.01+Inputs!$B$14*0.0025)/100)*(1+Inputs!$B$15/100)*(1+Inputs!$B$16/100)*(5000/(6000+Inputs!$B$42*(1-(100*(1-(1-(Inputs!$B$19+0)/100)*(1-CHOOSE(ArtifactsInput!$N$40+1,5,6,7,8,9,10)/100)^(ArtifactsInput!$M$40-ArtifactsInput!$M$40)))/100)))*(1+(Inputs!$B$24+((C649=TRUE)*(F649-Calc!F26))+B660)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(1-(1-Inputs!$B$11/150)*(1-1/150))*150)-60))),0)-IF(ArtifactsInput!$M$34,MIN(CHOOSE(ArtifactsInput!$N$34+1,10,12,14,16,18,20),MAX(0,(CHOOSE(ArtifactsInput!$N$34+1,0.5,0.6,0.7,0.8,0.9,1)/3)*(Inputs!$B$11-60))),0)))/100)*(1+2.0*IF(C638=TRUE,F638,0)/100)*(1+(IF(Skills!A6="EIGHT_LEGS_EASTON",Inputs!$B$17+((C646=TRUE)*(F646-Calc!F23))+((C650=TRUE)*(F650-Calc!F27))+((IF(AND(Inputs!$B$38&lt;&gt;"pvp",Inputs!$B$43=0),1,IF(IF(Inputs!$B$38="pvp",15,Inputs!$B$43)-(B661)&lt;=0,1,MAX(0,IF(Inputs!$B$38="pvp",15,Inputs!$B$43)-MAX(5,B661))/(IF(Inputs!$B$38="pvp",15,Inputs!$B$43)-(B661))))*(IF(AND(ArtifactsInput!$M$42,((Inputs!$B$9+((C642=TRUE)*(F642-Calc!F19))+B654+(ArtifactsInput!$M$24-ArtifactsInput!$M$24)*CHOOSE(ArtifactsInput!$N$24+1,10,12,14,16,18,20)+IF(ArtifactsInput!$M$10,CHOOSE(ArtifactsInput!$N$10+1,15,18,21,24,27,30)*(IF(Inputs!$B$38="pvp",MIN(15,15)/15,IF(AND(Inputs!$B$38&lt;&gt;"pvp",Inputs!$B$43&gt;0),MIN(15,Inputs!$B$43)/(Inputs!$B$43),0))),0)))&gt;=100),MIN(100,((Inputs!$B$9+((C642=TRUE)*(F642-Calc!F19))+B654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661)&lt;=0,1,MAX(0,IF(Inputs!$B$38="pvp",15,Inputs!$B$43)-MAX(5,B661))/(IF(Inputs!$B$38="pvp",15,Inputs!$B$43)-(B661))))*IF(AND(ArtifactsInput!$M$42,((Inputs!$B$9+((C642=TRUE)*(F642-Calc!F19))+B654+(ArtifactsInput!$M$24-ArtifactsInput!$M$24)*CHOOSE(ArtifactsInput!$N$24+1,10,12,14,16,18,20)+IF(ArtifactsInput!$M$10,CHOOSE(ArtifactsInput!$N$10+1,15,18,21,24,27,30)*(IF(Inputs!$B$38="pvp",MIN(15,15)/15,IF(AND(Inputs!$B$38&lt;&gt;"pvp",Inputs!$B$43&gt;0),MIN(15,Inputs!$B$43)/(Inputs!$B$43),0))),0)))&gt;=100),CHOOSE(ArtifactsInput!$N$42+1,40,48,56,64,72,80),0))))/100)*((1+(((C640=TRUE)*F640*5/7)+((C647=TRUE)*(F647-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629)</f>
        <v/>
      </c>
      <c r="L629">
        <f>K629*(MIN(Inputs!$B$22+((C645=TRUE)*(F645-Calc!F22)),(Inputs!$B$23+0+(IF(ArtifactsInput!$M$15,CHOOSE(ArtifactsInput!$N$15+1,25,30,35,40,45,50)/100*(((1-(1-Inputs!$B$11/150)*(1-1/150))*150)-Inputs!$B$11),0))))/100+(Inputs!$B$23+0+(IF(ArtifactsInput!$M$15,CHOOSE(ArtifactsInput!$N$15+1,25,30,35,40,45,50)/100*(((1-(1-Inputs!$B$11/150)*(1-1/150))*150)-Inputs!$B$11),0)))/100)/2</f>
        <v/>
      </c>
      <c r="M629">
        <f>L629*(1+(Inputs!$B$10+((C648=TRUE)*(F648-Calc!F25))+B659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29">
        <f>L629*(1-MIN((Inputs!$B$9+((C642=TRUE)*(F642-Calc!F19))+B654+(ArtifactsInput!$M$24-ArtifactsInput!$M$24)*CHOOSE(ArtifactsInput!$N$24+1,10,12,14,16,18,20)+(IF(AND(Inputs!$B$38&lt;&gt;"pvp",Inputs!$B$43=0),1,IF(IF(Inputs!$B$38="pvp",15,Inputs!$B$43)-(B661)&lt;=0,1,MAX(0,IF(Inputs!$B$38="pvp",15,Inputs!$B$43)-MAX(5,B661))/(IF(Inputs!$B$38="pvp",15,Inputs!$B$43)-(B661))))*IF(AND(ArtifactsInput!$M$42,((Inputs!$B$9+((C642=TRUE)*(F642-Calc!F19))+B654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629*(MIN((Inputs!$B$9+((C642=TRUE)*(F642-Calc!F19))+B654+(ArtifactsInput!$M$24-ArtifactsInput!$M$24)*CHOOSE(ArtifactsInput!$N$24+1,10,12,14,16,18,20)+(IF(AND(Inputs!$B$38&lt;&gt;"pvp",Inputs!$B$43=0),1,IF(IF(Inputs!$B$38="pvp",15,Inputs!$B$43)-(B661)&lt;=0,1,MAX(0,IF(Inputs!$B$38="pvp",15,Inputs!$B$43)-MAX(5,B661))/(IF(Inputs!$B$38="pvp",15,Inputs!$B$43)-(B661))))*IF(AND(ArtifactsInput!$M$42,((Inputs!$B$9+((C642=TRUE)*(F642-Calc!F19))+B654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29">
        <f>(1-Summary!$B$11)*T629+Summary!$B$11*V629</f>
        <v/>
      </c>
      <c r="P629">
        <f>IF(B664=0,0,O629/B664)</f>
        <v/>
      </c>
      <c r="Q629">
        <f>IFERROR(1/(IF(Inputs!$B$38="pvp",15,MAX(0.1,Skills!D6-IF(TRUE=TRUE,Inputs!$B$32,0)))*(1-IF(AND(ArtifactsInput!$M$27,Inputs!$B$4="Chapter Hunt"),CHOOSE(ArtifactsInput!$N$27+1,20,24,28,32,36,40),0)/100)),0)</f>
        <v/>
      </c>
      <c r="R629">
        <f>IF(AND(Inputs!$B$38&lt;&gt;"pvp",Inputs!$B$43&gt;0),IF(MAX(0,Inputs!$B$43-B661)&lt;=0,0,(INT(MAX(0,Inputs!$B$43-B661)/(IF(Inputs!$B$38="pvp",15,MAX(0.1,Skills!D6-IF(TRUE=TRUE,Inputs!$B$32,0)))*(1-IF(AND(ArtifactsInput!$M$27,Inputs!$B$4="Chapter Hunt"),CHOOSE(ArtifactsInput!$N$27+1,20,24,28,32,36,40),0)/100)))+1)),0)</f>
        <v/>
      </c>
      <c r="S629">
        <f>IFERROR(O629/N629,0)</f>
        <v/>
      </c>
      <c r="T629">
        <f>IF(C629,(H629*N629*IF(AND(Inputs!$B$38&lt;&gt;"pvp",Inputs!$B$43&gt;0),((Skills!G6*((R629-1)*IF(Skills!H6&gt;0,INT(Skills!I6/Skills!H6+0.000000001),1)+IF(Skills!H6&gt;0,INT(MIN(Skills!I6,MAX(0,MAX(0,Inputs!$B$43-B661)-((R629-1)*(IF(Inputs!$B$38="pvp",15,MAX(0.1,Skills!D6-IF(TRUE=TRUE,Inputs!$B$32,0)))*(1-IF(AND(ArtifactsInput!$M$27,Inputs!$B$4="Chapter Hunt"),CHOOSE(ArtifactsInput!$N$27+1,20,24,28,32,36,40),0)/100)))))/Skills!H6+0.000000001),1)))/Inputs!$B$43),G629*Q629))*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Hunt"),CHOOSE(ArtifactsInput!$N$35+1,15,18,21,24,27,30)*(1-EXP(-(0.2*B656)*5)),0)+IF(AND(ArtifactsInput!$M$22,Inputs!$B$4&lt;&gt;"Chapter Hunt"),CHOOSE(ArtifactsInput!$N$22+1,10,12,14,16,18,20)*((0*(((0.15*B656*5))^0/1)+1*(((0.15*B656*5))^1/1)+2*(((0.15*B656*5))^2/2)+3*(((0.15*B656*5))^3/6)+4*(((0.15*B656*5))^4/24)+5*(((0.15*B656*5))^5/120))/((((0.15*B656*5))^0/1)+(((0.15*B656*5))^1/1)+(((0.15*B656*5))^2/2)+(((0.15*B656*5))^3/6)+(((0.15*B656*5))^4/24)+(((0.15*B656*5))^5/120))),0))+IF(Inputs!$B$3&gt;=54,9*(C626=TRUE)*MIN(1,8*(1+Inputs!$B$34/100)*Q626)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629*(1-MIN(100,(Inputs!$B$9+((C642=TRUE)*(F642-Calc!F19))+B654+(ArtifactsInput!$M$24-ArtifactsInput!$M$24)*CHOOSE(ArtifactsInput!$N$24+1,10,12,14,16,18,20)+(IF(AND(Inputs!$B$38&lt;&gt;"pvp",Inputs!$B$43=0),1,IF(IF(Inputs!$B$38="pvp",15,Inputs!$B$43)-(B661)&lt;=0,1,MAX(0,IF(Inputs!$B$38="pvp",15,Inputs!$B$43)-MAX(5,B661))/(IF(Inputs!$B$38="pvp",15,Inputs!$B$43)-(B661))))*IF(AND(ArtifactsInput!$M$42,((Inputs!$B$9+((C642=TRUE)*(F642-Calc!F19))+B654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629*(MIN(100,(Inputs!$B$9+((C642=TRUE)*(F642-Calc!F19))+B654+(ArtifactsInput!$M$24-ArtifactsInput!$M$24)*CHOOSE(ArtifactsInput!$N$24+1,10,12,14,16,18,20)+(IF(AND(Inputs!$B$38&lt;&gt;"pvp",Inputs!$B$43=0),1,IF(IF(Inputs!$B$38="pvp",15,Inputs!$B$43)-(B661)&lt;=0,1,MAX(0,IF(Inputs!$B$38="pvp",15,Inputs!$B$43)-MAX(5,B661))/(IF(Inputs!$B$38="pvp",15,Inputs!$B$43)-(B661))))*IF(AND(ArtifactsInput!$M$42,((Inputs!$B$9+((C642=TRUE)*(F642-Calc!F19))+B654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629*(1-MIN(100,(Inputs!$B$9+((C642=TRUE)*(F642-Calc!F19))+B654+(ArtifactsInput!$M$24-ArtifactsInput!$M$24)*CHOOSE(ArtifactsInput!$N$24+1,10,12,14,16,18,20)+(IF(AND(Inputs!$B$38&lt;&gt;"pvp",Inputs!$B$43=0),1,IF(IF(Inputs!$B$38="pvp",15,Inputs!$B$43)-(B661)&lt;=0,1,MAX(0,IF(Inputs!$B$38="pvp",15,Inputs!$B$43)-MAX(5,B661))/(IF(Inputs!$B$38="pvp",15,Inputs!$B$43)-(B661))))*IF(AND(ArtifactsInput!$M$42,((Inputs!$B$9+((C642=TRUE)*(F642-Calc!F19))+B654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629*(MIN(100,(Inputs!$B$9+((C642=TRUE)*(F642-Calc!F19))+B654+(ArtifactsInput!$M$24-ArtifactsInput!$M$24)*CHOOSE(ArtifactsInput!$N$24+1,10,12,14,16,18,20)+(IF(AND(Inputs!$B$38&lt;&gt;"pvp",Inputs!$B$43=0),1,IF(IF(Inputs!$B$38="pvp",15,Inputs!$B$43)-(B661)&lt;=0,1,MAX(0,IF(Inputs!$B$38="pvp",15,Inputs!$B$43)-MAX(5,B661))/(IF(Inputs!$B$38="pvp",15,Inputs!$B$43)-(B661))))*IF(AND(ArtifactsInput!$M$42,((Inputs!$B$9+((C642=TRUE)*(F642-Calc!F19))+B654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629">
        <f>IF(C629,(H629*N629*IF(AND(Inputs!$B$38&lt;&gt;"pvp",Inputs!$B$43&gt;0),((Skills!G6*((R629-1)*IF(Skills!H6&gt;0,INT(Skills!I6/Skills!H6+0.000000001),1)+IF(Skills!H6&gt;0,INT(MIN(Skills!I6,MAX(0,MAX(0,Inputs!$B$43-B661)-((R629-1)*(IF(Inputs!$B$38="pvp",15,MAX(0.1,Skills!D6-IF(TRUE=TRUE,Inputs!$B$32,0)))*(1-IF(AND(ArtifactsInput!$M$27,Inputs!$B$4="Chapter Hunt"),CHOOSE(ArtifactsInput!$N$27+1,20,24,28,32,36,40),0)/100)))))/Skills!H6+0.000000001),1)))/Inputs!$B$43),G629*Q629))*IF(Inputs!$B$38="pvp",1,(1+(Inputs!$B$21+Skills!Q6+(IF(ArtifactsInput!$M$33,CHOOSE(ArtifactsInput!$N$33+1,30,36,42,48,54,60),0))+(IF(AND(ArtifactsInput!$M$35,Inputs!$B$4&lt;&gt;"Chapter Hunt"),CHOOSE(ArtifactsInput!$N$35+1,15,18,21,24,27,30)*(1-EXP(-(0.2*B656)*5)),0)+IF(AND(ArtifactsInput!$M$22,Inputs!$B$4&lt;&gt;"Chapter Hunt"),CHOOSE(ArtifactsInput!$N$22+1,10,12,14,16,18,20)*((0*(((0.15*B656*5))^0/1)+1*(((0.15*B656*5))^1/1)+2*(((0.15*B656*5))^2/2)+3*(((0.15*B656*5))^3/6)+4*(((0.15*B656*5))^4/24)+5*(((0.15*B656*5))^5/120))/((((0.15*B656*5))^0/1)+(((0.15*B656*5))^1/1)+(((0.15*B656*5))^2/2)+(((0.15*B656*5))^3/6)+(((0.15*B656*5))^4/24)+(((0.15*B656*5))^5/120))),0))+IF(Inputs!$B$3&gt;=54,9*(C626=TRUE)*MIN(1,8*(1+Inputs!$B$34/100)*Q626),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30">
      <c r="A630">
        <f>Skills!A7</f>
        <v/>
      </c>
      <c r="B630">
        <f>Skills!B7</f>
        <v/>
      </c>
      <c r="C630">
        <f>Inputs!$B$3&gt;=63</f>
        <v/>
      </c>
      <c r="D630">
        <f>IF(Skills!C7=1,60+Inputs!$B$25+Inputs!$B$29,IF(Skills!C7=2,90+Inputs!$B$26+Inputs!$B$29,IF(Skills!C7=3,120+Inputs!$B$27+Inputs!$B$29,MAX(0,(Inputs!$B$3-100)*3)+Inputs!$B$28+Inputs!$B$29)))</f>
        <v/>
      </c>
      <c r="E630">
        <f>INDEX(FactorTable!$B$2:$Y$301, MATCH(ROUND(MIN(300,MAX(1,D630)),0), FactorTable!$A$2:$A$301,0), Skills!M7+1)</f>
        <v/>
      </c>
      <c r="F630">
        <f>IF(Skills!N7=TRUE,(Skills!L7/10)*(E630/1000),Skills!L7/10)+Skills!O7</f>
        <v/>
      </c>
      <c r="G630">
        <f>Skills!G7*IF(Skills!H7&gt;0,INT(IF(Inputs!$B$38="pvp",MIN(Skills!I7,15),Skills!I7)/Skills!H7+0.000000001),1)</f>
        <v/>
      </c>
      <c r="H630">
        <f>1-(1-Skills!J7/100)^Skills!K7</f>
        <v/>
      </c>
      <c r="I630" t="inlineStr">
        <is>
          <t>1</t>
        </is>
      </c>
      <c r="J630">
        <f>((Inputs!$B$6*(1+Inputs!$B$7/100))+(((Inputs!$B$12*(1+Inputs!$B$13/100))-(Inputs!$B$12*(1+Inputs!$B$13/100)))+0.25*(Inputs!$B$14-Inputs!$B$14))*(1+Inputs!$B$7/100))*(F630/100)</f>
        <v/>
      </c>
      <c r="K630">
        <f>J630*(1+((Inputs!$B$12*(1+Inputs!$B$13/100))*0.01+Inputs!$B$14*0.0025)/100)*(1+Inputs!$B$15/100)*(1+Inputs!$B$16/100)*(5000/(6000+Inputs!$B$42*(1-(100*(1-(1-(Inputs!$B$19+0)/100)*(1-CHOOSE(ArtifactsInput!$N$40+1,5,6,7,8,9,10)/100)^(ArtifactsInput!$M$40-ArtifactsInput!$M$40)))/100)))*(1+(Inputs!$B$24+((C649=TRUE)*(F649-Calc!F26))+B660)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(1-(1-Inputs!$B$11/150)*(1-1/150))*150)-60))),0)-IF(ArtifactsInput!$M$34,MIN(CHOOSE(ArtifactsInput!$N$34+1,10,12,14,16,18,20),MAX(0,(CHOOSE(ArtifactsInput!$N$34+1,0.5,0.6,0.7,0.8,0.9,1)/3)*(Inputs!$B$11-60))),0)))/100)*(1+1.0*IF(C638=TRUE,F638,0)/100)*(1+(IF(Skills!A7="EIGHT_LEGS_EASTON",Inputs!$B$17+((C646=TRUE)*(F646-Calc!F23))+((C650=TRUE)*(F650-Calc!F27))+((IF(AND(Inputs!$B$38&lt;&gt;"pvp",Inputs!$B$43=0),1,IF(IF(Inputs!$B$38="pvp",15,Inputs!$B$43)-(B661)&lt;=0,1,MAX(0,IF(Inputs!$B$38="pvp",15,Inputs!$B$43)-MAX(5,B661))/(IF(Inputs!$B$38="pvp",15,Inputs!$B$43)-(B661))))*(IF(AND(ArtifactsInput!$M$42,((Inputs!$B$9+((C642=TRUE)*(F642-Calc!F19))+B654+(ArtifactsInput!$M$24-ArtifactsInput!$M$24)*CHOOSE(ArtifactsInput!$N$24+1,10,12,14,16,18,20)+IF(ArtifactsInput!$M$10,CHOOSE(ArtifactsInput!$N$10+1,15,18,21,24,27,30)*(IF(Inputs!$B$38="pvp",MIN(15,15)/15,IF(AND(Inputs!$B$38&lt;&gt;"pvp",Inputs!$B$43&gt;0),MIN(15,Inputs!$B$43)/(Inputs!$B$43),0))),0)))&gt;=100),MIN(100,((Inputs!$B$9+((C642=TRUE)*(F642-Calc!F19))+B654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661)&lt;=0,1,MAX(0,IF(Inputs!$B$38="pvp",15,Inputs!$B$43)-MAX(5,B661))/(IF(Inputs!$B$38="pvp",15,Inputs!$B$43)-(B661))))*IF(AND(ArtifactsInput!$M$42,((Inputs!$B$9+((C642=TRUE)*(F642-Calc!F19))+B654+(ArtifactsInput!$M$24-ArtifactsInput!$M$24)*CHOOSE(ArtifactsInput!$N$24+1,10,12,14,16,18,20)+IF(ArtifactsInput!$M$10,CHOOSE(ArtifactsInput!$N$10+1,15,18,21,24,27,30)*(IF(Inputs!$B$38="pvp",MIN(15,15)/15,IF(AND(Inputs!$B$38&lt;&gt;"pvp",Inputs!$B$43&gt;0),MIN(15,Inputs!$B$43)/(Inputs!$B$43),0))),0)))&gt;=100),CHOOSE(ArtifactsInput!$N$42+1,40,48,56,64,72,80),0))))/100)*((1+(((C640=TRUE)*F640*5/7)+((C647=TRUE)*(F647-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630)</f>
        <v/>
      </c>
      <c r="L630">
        <f>K630*(MIN(Inputs!$B$22+((C645=TRUE)*(F645-Calc!F22)),(Inputs!$B$23+0+(IF(ArtifactsInput!$M$15,CHOOSE(ArtifactsInput!$N$15+1,25,30,35,40,45,50)/100*(((1-(1-Inputs!$B$11/150)*(1-1/150))*150)-Inputs!$B$11),0))))/100+(Inputs!$B$23+0+(IF(ArtifactsInput!$M$15,CHOOSE(ArtifactsInput!$N$15+1,25,30,35,40,45,50)/100*(((1-(1-Inputs!$B$11/150)*(1-1/150))*150)-Inputs!$B$11),0)))/100)/2</f>
        <v/>
      </c>
      <c r="M630">
        <f>L630*(1+(Inputs!$B$10+((C648=TRUE)*(F648-Calc!F25))+B659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30">
        <f>L630*(1-MIN((Inputs!$B$9+((C642=TRUE)*(F642-Calc!F19))+B654+(ArtifactsInput!$M$24-ArtifactsInput!$M$24)*CHOOSE(ArtifactsInput!$N$24+1,10,12,14,16,18,20)+(IF(AND(Inputs!$B$38&lt;&gt;"pvp",Inputs!$B$43=0),1,IF(IF(Inputs!$B$38="pvp",15,Inputs!$B$43)-(B661)&lt;=0,1,MAX(0,IF(Inputs!$B$38="pvp",15,Inputs!$B$43)-MAX(5,B661))/(IF(Inputs!$B$38="pvp",15,Inputs!$B$43)-(B661))))*IF(AND(ArtifactsInput!$M$42,((Inputs!$B$9+((C642=TRUE)*(F642-Calc!F19))+B654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630*(MIN((Inputs!$B$9+((C642=TRUE)*(F642-Calc!F19))+B654+(ArtifactsInput!$M$24-ArtifactsInput!$M$24)*CHOOSE(ArtifactsInput!$N$24+1,10,12,14,16,18,20)+(IF(AND(Inputs!$B$38&lt;&gt;"pvp",Inputs!$B$43=0),1,IF(IF(Inputs!$B$38="pvp",15,Inputs!$B$43)-(B661)&lt;=0,1,MAX(0,IF(Inputs!$B$38="pvp",15,Inputs!$B$43)-MAX(5,B661))/(IF(Inputs!$B$38="pvp",15,Inputs!$B$43)-(B661))))*IF(AND(ArtifactsInput!$M$42,((Inputs!$B$9+((C642=TRUE)*(F642-Calc!F19))+B654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30">
        <f>(1-Summary!$B$11)*T630+Summary!$B$11*V630</f>
        <v/>
      </c>
      <c r="P630">
        <f>IF(B664=0,0,O630/B664)</f>
        <v/>
      </c>
      <c r="Q630">
        <f>IFERROR(1/(IF(Inputs!$B$38="pvp",15,MAX(0.1,Skills!D7-IF(TRUE=TRUE,Inputs!$B$32,0)))*(1-IF(AND(ArtifactsInput!$M$27,Inputs!$B$4="Chapter Hunt"),CHOOSE(ArtifactsInput!$N$27+1,20,24,28,32,36,40),0)/100)),0)</f>
        <v/>
      </c>
      <c r="R630">
        <f>IF(AND(Inputs!$B$38&lt;&gt;"pvp",Inputs!$B$43&gt;0),IF(MAX(0,Inputs!$B$43-B661)&lt;=0,0,(INT(MAX(0,Inputs!$B$43-B661)/(IF(Inputs!$B$38="pvp",15,MAX(0.1,Skills!D7-IF(TRUE=TRUE,Inputs!$B$32,0)))*(1-IF(AND(ArtifactsInput!$M$27,Inputs!$B$4="Chapter Hunt"),CHOOSE(ArtifactsInput!$N$27+1,20,24,28,32,36,40),0)/100)))+1)),0)</f>
        <v/>
      </c>
      <c r="S630">
        <f>IFERROR(O630/N630,0)</f>
        <v/>
      </c>
      <c r="T630">
        <f>IF(C630,(H630*N630*IF(AND(Inputs!$B$38&lt;&gt;"pvp",Inputs!$B$43&gt;0),((Skills!G7*((R630-1)*IF(Skills!H7&gt;0,INT(Skills!I7/Skills!H7+0.000000001),1)+IF(Skills!H7&gt;0,INT(MIN(Skills!I7,MAX(0,MAX(0,Inputs!$B$43-B661)-((R630-1)*(IF(Inputs!$B$38="pvp",15,MAX(0.1,Skills!D7-IF(TRUE=TRUE,Inputs!$B$32,0)))*(1-IF(AND(ArtifactsInput!$M$27,Inputs!$B$4="Chapter Hunt"),CHOOSE(ArtifactsInput!$N$27+1,20,24,28,32,36,40),0)/100)))))/Skills!H7+0.000000001),1)))/Inputs!$B$43),G630*Q630))*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Hunt"),CHOOSE(ArtifactsInput!$N$35+1,15,18,21,24,27,30)*(1-EXP(-(0.2*B656)*5)),0)+IF(AND(ArtifactsInput!$M$22,Inputs!$B$4&lt;&gt;"Chapter Hunt"),CHOOSE(ArtifactsInput!$N$22+1,10,12,14,16,18,20)*((0*(((0.15*B656*5))^0/1)+1*(((0.15*B656*5))^1/1)+2*(((0.15*B656*5))^2/2)+3*(((0.15*B656*5))^3/6)+4*(((0.15*B656*5))^4/24)+5*(((0.15*B656*5))^5/120))/((((0.15*B656*5))^0/1)+(((0.15*B656*5))^1/1)+(((0.15*B656*5))^2/2)+(((0.15*B656*5))^3/6)+(((0.15*B656*5))^4/24)+(((0.15*B656*5))^5/120))),0))+IF(Inputs!$B$3&gt;=54,9*(C626=TRUE)*MIN(1,8*(1+Inputs!$B$34/100)*Q626)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630*(1-MIN(100,(Inputs!$B$9+((C642=TRUE)*(F642-Calc!F19))+B654+(ArtifactsInput!$M$24-ArtifactsInput!$M$24)*CHOOSE(ArtifactsInput!$N$24+1,10,12,14,16,18,20)+(IF(AND(Inputs!$B$38&lt;&gt;"pvp",Inputs!$B$43=0),1,IF(IF(Inputs!$B$38="pvp",15,Inputs!$B$43)-(B661)&lt;=0,1,MAX(0,IF(Inputs!$B$38="pvp",15,Inputs!$B$43)-MAX(5,B661))/(IF(Inputs!$B$38="pvp",15,Inputs!$B$43)-(B661))))*IF(AND(ArtifactsInput!$M$42,((Inputs!$B$9+((C642=TRUE)*(F642-Calc!F19))+B654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630*(MIN(100,(Inputs!$B$9+((C642=TRUE)*(F642-Calc!F19))+B654+(ArtifactsInput!$M$24-ArtifactsInput!$M$24)*CHOOSE(ArtifactsInput!$N$24+1,10,12,14,16,18,20)+(IF(AND(Inputs!$B$38&lt;&gt;"pvp",Inputs!$B$43=0),1,IF(IF(Inputs!$B$38="pvp",15,Inputs!$B$43)-(B661)&lt;=0,1,MAX(0,IF(Inputs!$B$38="pvp",15,Inputs!$B$43)-MAX(5,B661))/(IF(Inputs!$B$38="pvp",15,Inputs!$B$43)-(B661))))*IF(AND(ArtifactsInput!$M$42,((Inputs!$B$9+((C642=TRUE)*(F642-Calc!F19))+B654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630*(1-MIN(100,(Inputs!$B$9+((C642=TRUE)*(F642-Calc!F19))+B654+(ArtifactsInput!$M$24-ArtifactsInput!$M$24)*CHOOSE(ArtifactsInput!$N$24+1,10,12,14,16,18,20)+(IF(AND(Inputs!$B$38&lt;&gt;"pvp",Inputs!$B$43=0),1,IF(IF(Inputs!$B$38="pvp",15,Inputs!$B$43)-(B661)&lt;=0,1,MAX(0,IF(Inputs!$B$38="pvp",15,Inputs!$B$43)-MAX(5,B661))/(IF(Inputs!$B$38="pvp",15,Inputs!$B$43)-(B661))))*IF(AND(ArtifactsInput!$M$42,((Inputs!$B$9+((C642=TRUE)*(F642-Calc!F19))+B654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630*(MIN(100,(Inputs!$B$9+((C642=TRUE)*(F642-Calc!F19))+B654+(ArtifactsInput!$M$24-ArtifactsInput!$M$24)*CHOOSE(ArtifactsInput!$N$24+1,10,12,14,16,18,20)+(IF(AND(Inputs!$B$38&lt;&gt;"pvp",Inputs!$B$43=0),1,IF(IF(Inputs!$B$38="pvp",15,Inputs!$B$43)-(B661)&lt;=0,1,MAX(0,IF(Inputs!$B$38="pvp",15,Inputs!$B$43)-MAX(5,B661))/(IF(Inputs!$B$38="pvp",15,Inputs!$B$43)-(B661))))*IF(AND(ArtifactsInput!$M$42,((Inputs!$B$9+((C642=TRUE)*(F642-Calc!F19))+B654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630">
        <f>IF(C630,(H630*N630*IF(AND(Inputs!$B$38&lt;&gt;"pvp",Inputs!$B$43&gt;0),((Skills!G7*((R630-1)*IF(Skills!H7&gt;0,INT(Skills!I7/Skills!H7+0.000000001),1)+IF(Skills!H7&gt;0,INT(MIN(Skills!I7,MAX(0,MAX(0,Inputs!$B$43-B661)-((R630-1)*(IF(Inputs!$B$38="pvp",15,MAX(0.1,Skills!D7-IF(TRUE=TRUE,Inputs!$B$32,0)))*(1-IF(AND(ArtifactsInput!$M$27,Inputs!$B$4="Chapter Hunt"),CHOOSE(ArtifactsInput!$N$27+1,20,24,28,32,36,40),0)/100)))))/Skills!H7+0.000000001),1)))/Inputs!$B$43),G630*Q630))*IF(Inputs!$B$38="pvp",1,(1+(Inputs!$B$21+Skills!Q7+(IF(ArtifactsInput!$M$33,CHOOSE(ArtifactsInput!$N$33+1,30,36,42,48,54,60),0))+(IF(AND(ArtifactsInput!$M$35,Inputs!$B$4&lt;&gt;"Chapter Hunt"),CHOOSE(ArtifactsInput!$N$35+1,15,18,21,24,27,30)*(1-EXP(-(0.2*B656)*5)),0)+IF(AND(ArtifactsInput!$M$22,Inputs!$B$4&lt;&gt;"Chapter Hunt"),CHOOSE(ArtifactsInput!$N$22+1,10,12,14,16,18,20)*((0*(((0.15*B656*5))^0/1)+1*(((0.15*B656*5))^1/1)+2*(((0.15*B656*5))^2/2)+3*(((0.15*B656*5))^3/6)+4*(((0.15*B656*5))^4/24)+5*(((0.15*B656*5))^5/120))/((((0.15*B656*5))^0/1)+(((0.15*B656*5))^1/1)+(((0.15*B656*5))^2/2)+(((0.15*B656*5))^3/6)+(((0.15*B656*5))^4/24)+(((0.15*B656*5))^5/120))),0))+IF(Inputs!$B$3&gt;=54,9*(C626=TRUE)*MIN(1,8*(1+Inputs!$B$34/100)*Q626),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31">
      <c r="A631">
        <f>Skills!A8</f>
        <v/>
      </c>
      <c r="B631">
        <f>Skills!B8</f>
        <v/>
      </c>
      <c r="C631">
        <f>Inputs!$B$3&gt;=103</f>
        <v/>
      </c>
      <c r="D631">
        <f>IF(Skills!C8=1,60+Inputs!$B$25+Inputs!$B$29,IF(Skills!C8=2,90+Inputs!$B$26+Inputs!$B$29,IF(Skills!C8=3,120+Inputs!$B$27+Inputs!$B$29,MAX(0,(Inputs!$B$3-100)*3)+Inputs!$B$28+Inputs!$B$29)))</f>
        <v/>
      </c>
      <c r="E631">
        <f>INDEX(FactorTable!$B$2:$Y$301, MATCH(ROUND(MIN(300,MAX(1,D631)),0), FactorTable!$A$2:$A$301,0), Skills!M8+1)</f>
        <v/>
      </c>
      <c r="F631">
        <f>IF(Skills!N8=TRUE,(Skills!L8/10)*(E631/1000),Skills!L8/10)+Skills!O8</f>
        <v/>
      </c>
      <c r="G631">
        <f>Skills!G8*IF(Skills!H8&gt;0,INT(IF(Inputs!$B$38="pvp",MIN(Skills!I8,15),Skills!I8)/Skills!H8+0.000000001),1)</f>
        <v/>
      </c>
      <c r="H631">
        <f>1-(1-Skills!J8/100)^Skills!K8</f>
        <v/>
      </c>
      <c r="I631" t="inlineStr">
        <is>
          <t>1</t>
        </is>
      </c>
      <c r="J631">
        <f>((Inputs!$B$6*(1+Inputs!$B$7/100))+(((Inputs!$B$12*(1+Inputs!$B$13/100))-(Inputs!$B$12*(1+Inputs!$B$13/100)))+0.25*(Inputs!$B$14-Inputs!$B$14))*(1+Inputs!$B$7/100))*(F631/100)</f>
        <v/>
      </c>
      <c r="K631">
        <f>J631*(1+((Inputs!$B$12*(1+Inputs!$B$13/100))*0.01+Inputs!$B$14*0.0025)/100)*(1+Inputs!$B$15/100)*(1+Inputs!$B$16/100)*(5000/(6000+Inputs!$B$42*(1-(100*(1-(1-(Inputs!$B$19+0)/100)*(1-CHOOSE(ArtifactsInput!$N$40+1,5,6,7,8,9,10)/100)^(ArtifactsInput!$M$40-ArtifactsInput!$M$40)))/100)))*(1+(Inputs!$B$24+((C649=TRUE)*(F649-Calc!F26))+B660)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(1-(1-Inputs!$B$11/150)*(1-1/150))*150)-60))),0)-IF(ArtifactsInput!$M$34,MIN(CHOOSE(ArtifactsInput!$N$34+1,10,12,14,16,18,20),MAX(0,(CHOOSE(ArtifactsInput!$N$34+1,0.5,0.6,0.7,0.8,0.9,1)/3)*(Inputs!$B$11-60))),0)))/100)*(1+(IF(Skills!A8="EIGHT_LEGS_EASTON",Inputs!$B$17+((C646=TRUE)*(F646-Calc!F23))+((C650=TRUE)*(F650-Calc!F27))+((IF(AND(Inputs!$B$38&lt;&gt;"pvp",Inputs!$B$43=0),1,IF(IF(Inputs!$B$38="pvp",15,Inputs!$B$43)-(B661)&lt;=0,1,MAX(0,IF(Inputs!$B$38="pvp",15,Inputs!$B$43)-MAX(5,B661))/(IF(Inputs!$B$38="pvp",15,Inputs!$B$43)-(B661))))*(IF(AND(ArtifactsInput!$M$42,((Inputs!$B$9+((C642=TRUE)*(F642-Calc!F19))+B654+(ArtifactsInput!$M$24-ArtifactsInput!$M$24)*CHOOSE(ArtifactsInput!$N$24+1,10,12,14,16,18,20)+IF(ArtifactsInput!$M$10,CHOOSE(ArtifactsInput!$N$10+1,15,18,21,24,27,30)*(IF(Inputs!$B$38="pvp",MIN(15,15)/15,IF(AND(Inputs!$B$38&lt;&gt;"pvp",Inputs!$B$43&gt;0),MIN(15,Inputs!$B$43)/(Inputs!$B$43),0))),0)))&gt;=100),MIN(100,((Inputs!$B$9+((C642=TRUE)*(F642-Calc!F19))+B654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661)&lt;=0,1,MAX(0,IF(Inputs!$B$38="pvp",15,Inputs!$B$43)-MAX(5,B661))/(IF(Inputs!$B$38="pvp",15,Inputs!$B$43)-(B661))))*IF(AND(ArtifactsInput!$M$42,((Inputs!$B$9+((C642=TRUE)*(F642-Calc!F19))+B654+(ArtifactsInput!$M$24-ArtifactsInput!$M$24)*CHOOSE(ArtifactsInput!$N$24+1,10,12,14,16,18,20)+IF(ArtifactsInput!$M$10,CHOOSE(ArtifactsInput!$N$10+1,15,18,21,24,27,30)*(IF(Inputs!$B$38="pvp",MIN(15,15)/15,IF(AND(Inputs!$B$38&lt;&gt;"pvp",Inputs!$B$43&gt;0),MIN(15,Inputs!$B$43)/(Inputs!$B$43),0))),0)))&gt;=100),CHOOSE(ArtifactsInput!$N$42+1,40,48,56,64,72,80),0))))/100)*((1+(((C640=TRUE)*F640*5/7)+((C647=TRUE)*(F647-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631)</f>
        <v/>
      </c>
      <c r="L631">
        <f>K631*(MIN(Inputs!$B$22+((C645=TRUE)*(F645-Calc!F22)),(Inputs!$B$23+0+(IF(ArtifactsInput!$M$15,CHOOSE(ArtifactsInput!$N$15+1,25,30,35,40,45,50)/100*(((1-(1-Inputs!$B$11/150)*(1-1/150))*150)-Inputs!$B$11),0))))/100+(Inputs!$B$23+0+(IF(ArtifactsInput!$M$15,CHOOSE(ArtifactsInput!$N$15+1,25,30,35,40,45,50)/100*(((1-(1-Inputs!$B$11/150)*(1-1/150))*150)-Inputs!$B$11),0)))/100)/2</f>
        <v/>
      </c>
      <c r="M631">
        <f>L631*(1+(Inputs!$B$10+((C648=TRUE)*(F648-Calc!F25))+B659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31">
        <f>L631*(1-MIN((Inputs!$B$9+((C642=TRUE)*(F642-Calc!F19))+B654+(ArtifactsInput!$M$24-ArtifactsInput!$M$24)*CHOOSE(ArtifactsInput!$N$24+1,10,12,14,16,18,20)+(IF(AND(Inputs!$B$38&lt;&gt;"pvp",Inputs!$B$43=0),1,IF(IF(Inputs!$B$38="pvp",15,Inputs!$B$43)-(B661)&lt;=0,1,MAX(0,IF(Inputs!$B$38="pvp",15,Inputs!$B$43)-MAX(5,B661))/(IF(Inputs!$B$38="pvp",15,Inputs!$B$43)-(B661))))*IF(AND(ArtifactsInput!$M$42,((Inputs!$B$9+((C642=TRUE)*(F642-Calc!F19))+B654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631*(MIN((Inputs!$B$9+((C642=TRUE)*(F642-Calc!F19))+B654+(ArtifactsInput!$M$24-ArtifactsInput!$M$24)*CHOOSE(ArtifactsInput!$N$24+1,10,12,14,16,18,20)+(IF(AND(Inputs!$B$38&lt;&gt;"pvp",Inputs!$B$43=0),1,IF(IF(Inputs!$B$38="pvp",15,Inputs!$B$43)-(B661)&lt;=0,1,MAX(0,IF(Inputs!$B$38="pvp",15,Inputs!$B$43)-MAX(5,B661))/(IF(Inputs!$B$38="pvp",15,Inputs!$B$43)-(B661))))*IF(AND(ArtifactsInput!$M$42,((Inputs!$B$9+((C642=TRUE)*(F642-Calc!F19))+B654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31">
        <f>(1-Summary!$B$11)*T631+Summary!$B$11*V631</f>
        <v/>
      </c>
      <c r="P631">
        <f>IF(B664=0,0,O631/B664)</f>
        <v/>
      </c>
      <c r="Q631">
        <f>IFERROR(1/((IF(Inputs!$B$38="pvp",15,MAX(0.1,Skills!D8-IF(TRUE=TRUE,Inputs!$B$32,0)))*(1-IF(AND(ArtifactsInput!$M$27,Inputs!$B$4="Chapter Hunt"),CHOOSE(ArtifactsInput!$N$27+1,20,24,28,32,36,40),0)/100))/B665),0)</f>
        <v/>
      </c>
      <c r="R631">
        <f>IF(AND(Inputs!$B$38&lt;&gt;"pvp",Inputs!$B$43&gt;0),IF(MAX(0,Inputs!$B$43-B661)&lt;=0,0,(INT(MAX(0,Inputs!$B$43-B661)/((IF(Inputs!$B$38="pvp",15,MAX(0.1,Skills!D8-IF(TRUE=TRUE,Inputs!$B$32,0)))*(1-IF(AND(ArtifactsInput!$M$27,Inputs!$B$4="Chapter Hunt"),CHOOSE(ArtifactsInput!$N$27+1,20,24,28,32,36,40),0)/100))/B665))+1)),0)</f>
        <v/>
      </c>
      <c r="S631">
        <f>IFERROR(O631/N631,0)</f>
        <v/>
      </c>
      <c r="T631">
        <f>IF(C631,(H631*N631*IF(AND(Inputs!$B$38&lt;&gt;"pvp",Inputs!$B$43&gt;0),((Skills!G8*((R631-1)*IF(Skills!H8&gt;0,INT(Skills!I8/Skills!H8+0.000000001),1)+IF(Skills!H8&gt;0,INT(MIN(Skills!I8,MAX(0,MAX(0,Inputs!$B$43-B661)-((R631-1)*((IF(Inputs!$B$38="pvp",15,MAX(0.1,Skills!D8-IF(TRUE=TRUE,Inputs!$B$32,0)))*(1-IF(AND(ArtifactsInput!$M$27,Inputs!$B$4="Chapter Hunt"),CHOOSE(ArtifactsInput!$N$27+1,20,24,28,32,36,40),0)/100))/B665))))/Skills!H8+0.000000001),1)))/Inputs!$B$43),G631*Q631))*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Hunt"),CHOOSE(ArtifactsInput!$N$35+1,15,18,21,24,27,30)*(1-EXP(-(0.2*B656)*5)),0)+IF(AND(ArtifactsInput!$M$22,Inputs!$B$4&lt;&gt;"Chapter Hunt"),CHOOSE(ArtifactsInput!$N$22+1,10,12,14,16,18,20)*((0*(((0.15*B656*5))^0/1)+1*(((0.15*B656*5))^1/1)+2*(((0.15*B656*5))^2/2)+3*(((0.15*B656*5))^3/6)+4*(((0.15*B656*5))^4/24)+5*(((0.15*B656*5))^5/120))/((((0.15*B656*5))^0/1)+(((0.15*B656*5))^1/1)+(((0.15*B656*5))^2/2)+(((0.15*B656*5))^3/6)+(((0.15*B656*5))^4/24)+(((0.15*B656*5))^5/120))),0))+IF(Inputs!$B$3&gt;=54,9*(C626=TRUE)*MIN(1,8*(1+Inputs!$B$34/100)*Q626)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631*(1-MIN(100,(Inputs!$B$9+((C642=TRUE)*(F642-Calc!F19))+B654+(ArtifactsInput!$M$24-ArtifactsInput!$M$24)*CHOOSE(ArtifactsInput!$N$24+1,10,12,14,16,18,20)+(IF(AND(Inputs!$B$38&lt;&gt;"pvp",Inputs!$B$43=0),1,IF(IF(Inputs!$B$38="pvp",15,Inputs!$B$43)-(B661)&lt;=0,1,MAX(0,IF(Inputs!$B$38="pvp",15,Inputs!$B$43)-MAX(5,B661))/(IF(Inputs!$B$38="pvp",15,Inputs!$B$43)-(B661))))*IF(AND(ArtifactsInput!$M$42,((Inputs!$B$9+((C642=TRUE)*(F642-Calc!F19))+B654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631*(MIN(100,(Inputs!$B$9+((C642=TRUE)*(F642-Calc!F19))+B654+(ArtifactsInput!$M$24-ArtifactsInput!$M$24)*CHOOSE(ArtifactsInput!$N$24+1,10,12,14,16,18,20)+(IF(AND(Inputs!$B$38&lt;&gt;"pvp",Inputs!$B$43=0),1,IF(IF(Inputs!$B$38="pvp",15,Inputs!$B$43)-(B661)&lt;=0,1,MAX(0,IF(Inputs!$B$38="pvp",15,Inputs!$B$43)-MAX(5,B661))/(IF(Inputs!$B$38="pvp",15,Inputs!$B$43)-(B661))))*IF(AND(ArtifactsInput!$M$42,((Inputs!$B$9+((C642=TRUE)*(F642-Calc!F19))+B654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631*(1-MIN(100,(Inputs!$B$9+((C642=TRUE)*(F642-Calc!F19))+B654+(ArtifactsInput!$M$24-ArtifactsInput!$M$24)*CHOOSE(ArtifactsInput!$N$24+1,10,12,14,16,18,20)+(IF(AND(Inputs!$B$38&lt;&gt;"pvp",Inputs!$B$43=0),1,IF(IF(Inputs!$B$38="pvp",15,Inputs!$B$43)-(B661)&lt;=0,1,MAX(0,IF(Inputs!$B$38="pvp",15,Inputs!$B$43)-MAX(5,B661))/(IF(Inputs!$B$38="pvp",15,Inputs!$B$43)-(B661))))*IF(AND(ArtifactsInput!$M$42,((Inputs!$B$9+((C642=TRUE)*(F642-Calc!F19))+B654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631*(MIN(100,(Inputs!$B$9+((C642=TRUE)*(F642-Calc!F19))+B654+(ArtifactsInput!$M$24-ArtifactsInput!$M$24)*CHOOSE(ArtifactsInput!$N$24+1,10,12,14,16,18,20)+(IF(AND(Inputs!$B$38&lt;&gt;"pvp",Inputs!$B$43=0),1,IF(IF(Inputs!$B$38="pvp",15,Inputs!$B$43)-(B661)&lt;=0,1,MAX(0,IF(Inputs!$B$38="pvp",15,Inputs!$B$43)-MAX(5,B661))/(IF(Inputs!$B$38="pvp",15,Inputs!$B$43)-(B661))))*IF(AND(ArtifactsInput!$M$42,((Inputs!$B$9+((C642=TRUE)*(F642-Calc!F19))+B654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631">
        <f>IF(C631,(H631*N631*IF(AND(Inputs!$B$38&lt;&gt;"pvp",Inputs!$B$43&gt;0),((Skills!G8*((R631-1)*IF(Skills!H8&gt;0,INT(Skills!I8/Skills!H8+0.000000001),1)+IF(Skills!H8&gt;0,INT(MIN(Skills!I8,MAX(0,MAX(0,Inputs!$B$43-B661)-((R631-1)*((IF(Inputs!$B$38="pvp",15,MAX(0.1,Skills!D8-IF(TRUE=TRUE,Inputs!$B$32,0)))*(1-IF(AND(ArtifactsInput!$M$27,Inputs!$B$4="Chapter Hunt"),CHOOSE(ArtifactsInput!$N$27+1,20,24,28,32,36,40),0)/100))/B665))))/Skills!H8+0.000000001),1)))/Inputs!$B$43),G631*Q631))*IF(Inputs!$B$38="pvp",1,(1+(Inputs!$B$21+Skills!Q8+(IF(ArtifactsInput!$M$33,CHOOSE(ArtifactsInput!$N$33+1,30,36,42,48,54,60),0))+(IF(AND(ArtifactsInput!$M$35,Inputs!$B$4&lt;&gt;"Chapter Hunt"),CHOOSE(ArtifactsInput!$N$35+1,15,18,21,24,27,30)*(1-EXP(-(0.2*B656)*5)),0)+IF(AND(ArtifactsInput!$M$22,Inputs!$B$4&lt;&gt;"Chapter Hunt"),CHOOSE(ArtifactsInput!$N$22+1,10,12,14,16,18,20)*((0*(((0.15*B656*5))^0/1)+1*(((0.15*B656*5))^1/1)+2*(((0.15*B656*5))^2/2)+3*(((0.15*B656*5))^3/6)+4*(((0.15*B656*5))^4/24)+5*(((0.15*B656*5))^5/120))/((((0.15*B656*5))^0/1)+(((0.15*B656*5))^1/1)+(((0.15*B656*5))^2/2)+(((0.15*B656*5))^3/6)+(((0.15*B656*5))^4/24)+(((0.15*B656*5))^5/120))),0))+IF(Inputs!$B$3&gt;=54,9*(C626=TRUE)*MIN(1,8*(1+Inputs!$B$34/100)*Q626),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32">
      <c r="A632">
        <f>Skills!A9</f>
        <v/>
      </c>
      <c r="B632">
        <f>Skills!B9</f>
        <v/>
      </c>
      <c r="C632">
        <f>Inputs!$B$3&gt;=105</f>
        <v/>
      </c>
      <c r="D632">
        <f>IF(Skills!C9=1,60+Inputs!$B$25+Inputs!$B$29,IF(Skills!C9=2,90+Inputs!$B$26+Inputs!$B$29,IF(Skills!C9=3,120+Inputs!$B$27+Inputs!$B$29,MAX(0,(Inputs!$B$3-100)*3)+Inputs!$B$28+Inputs!$B$29)))</f>
        <v/>
      </c>
      <c r="E632">
        <f>INDEX(FactorTable!$B$2:$Y$301, MATCH(ROUND(MIN(300,MAX(1,D632)),0), FactorTable!$A$2:$A$301,0), Skills!M9+1)</f>
        <v/>
      </c>
      <c r="F632">
        <f>IF(Skills!N9=TRUE,(Skills!L9/10)*(E632/1000),Skills!L9/10)+Skills!O9</f>
        <v/>
      </c>
      <c r="G632">
        <f>Skills!G9*IF(Skills!H9&gt;0,INT(IF(Inputs!$B$38="pvp",MIN(Skills!I9,15),Skills!I9)/Skills!H9+0.000000001),1)</f>
        <v/>
      </c>
      <c r="H632">
        <f>1-(1-Skills!J9/100)^Skills!K9</f>
        <v/>
      </c>
      <c r="I632" t="inlineStr">
        <is>
          <t>1</t>
        </is>
      </c>
      <c r="J632">
        <f>((Inputs!$B$6*(1+Inputs!$B$7/100))+(((Inputs!$B$12*(1+Inputs!$B$13/100))-(Inputs!$B$12*(1+Inputs!$B$13/100)))+0.25*(Inputs!$B$14-Inputs!$B$14))*(1+Inputs!$B$7/100))*(F632/100)</f>
        <v/>
      </c>
      <c r="K632">
        <f>J632*(1+((Inputs!$B$12*(1+Inputs!$B$13/100))*0.01+Inputs!$B$14*0.0025)/100)*(1+Inputs!$B$15/100)*(1+Inputs!$B$16/100)*(5000/(6000+Inputs!$B$42*(1-(100*(1-(1-(Inputs!$B$19+0)/100)*(1-CHOOSE(ArtifactsInput!$N$40+1,5,6,7,8,9,10)/100)^(ArtifactsInput!$M$40-ArtifactsInput!$M$40)))/100)))*(1+(Inputs!$B$24+((C649=TRUE)*(F649-Calc!F26))+B660)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(1-(1-Inputs!$B$11/150)*(1-1/150))*150)-60))),0)-IF(ArtifactsInput!$M$34,MIN(CHOOSE(ArtifactsInput!$N$34+1,10,12,14,16,18,20),MAX(0,(CHOOSE(ArtifactsInput!$N$34+1,0.5,0.6,0.7,0.8,0.9,1)/3)*(Inputs!$B$11-60))),0)))/100)*(1+(IF(Skills!A9="EIGHT_LEGS_EASTON",Inputs!$B$17+((C646=TRUE)*(F646-Calc!F23))+((C650=TRUE)*(F650-Calc!F27))+((IF(AND(Inputs!$B$38&lt;&gt;"pvp",Inputs!$B$43=0),1,IF(IF(Inputs!$B$38="pvp",15,Inputs!$B$43)-(B661)&lt;=0,1,MAX(0,IF(Inputs!$B$38="pvp",15,Inputs!$B$43)-MAX(5,B661))/(IF(Inputs!$B$38="pvp",15,Inputs!$B$43)-(B661))))*(IF(AND(ArtifactsInput!$M$42,((Inputs!$B$9+((C642=TRUE)*(F642-Calc!F19))+B654+(ArtifactsInput!$M$24-ArtifactsInput!$M$24)*CHOOSE(ArtifactsInput!$N$24+1,10,12,14,16,18,20)+IF(ArtifactsInput!$M$10,CHOOSE(ArtifactsInput!$N$10+1,15,18,21,24,27,30)*(IF(Inputs!$B$38="pvp",MIN(15,15)/15,IF(AND(Inputs!$B$38&lt;&gt;"pvp",Inputs!$B$43&gt;0),MIN(15,Inputs!$B$43)/(Inputs!$B$43),0))),0)))&gt;=100),MIN(100,((Inputs!$B$9+((C642=TRUE)*(F642-Calc!F19))+B654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661)&lt;=0,1,MAX(0,IF(Inputs!$B$38="pvp",15,Inputs!$B$43)-MAX(5,B661))/(IF(Inputs!$B$38="pvp",15,Inputs!$B$43)-(B661))))*IF(AND(ArtifactsInput!$M$42,((Inputs!$B$9+((C642=TRUE)*(F642-Calc!F19))+B654+(ArtifactsInput!$M$24-ArtifactsInput!$M$24)*CHOOSE(ArtifactsInput!$N$24+1,10,12,14,16,18,20)+IF(ArtifactsInput!$M$10,CHOOSE(ArtifactsInput!$N$10+1,15,18,21,24,27,30)*(IF(Inputs!$B$38="pvp",MIN(15,15)/15,IF(AND(Inputs!$B$38&lt;&gt;"pvp",Inputs!$B$43&gt;0),MIN(15,Inputs!$B$43)/(Inputs!$B$43),0))),0)))&gt;=100),CHOOSE(ArtifactsInput!$N$42+1,40,48,56,64,72,80),0))))/100)*((1+(((C640=TRUE)*F640*5/7)+((C647=TRUE)*(F647-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632)</f>
        <v/>
      </c>
      <c r="L632">
        <f>K632*(MIN(Inputs!$B$22+((C645=TRUE)*(F645-Calc!F22)),(Inputs!$B$23+0+(IF(ArtifactsInput!$M$15,CHOOSE(ArtifactsInput!$N$15+1,25,30,35,40,45,50)/100*(((1-(1-Inputs!$B$11/150)*(1-1/150))*150)-Inputs!$B$11),0))))/100+(Inputs!$B$23+0+(IF(ArtifactsInput!$M$15,CHOOSE(ArtifactsInput!$N$15+1,25,30,35,40,45,50)/100*(((1-(1-Inputs!$B$11/150)*(1-1/150))*150)-Inputs!$B$11),0)))/100)/2</f>
        <v/>
      </c>
      <c r="M632">
        <f>L632*(1+(Inputs!$B$10+((C648=TRUE)*(F648-Calc!F25))+B659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32">
        <f>L632*(1-MIN((Inputs!$B$9+((C642=TRUE)*(F642-Calc!F19))+B654+(ArtifactsInput!$M$24-ArtifactsInput!$M$24)*CHOOSE(ArtifactsInput!$N$24+1,10,12,14,16,18,20)+(IF(AND(Inputs!$B$38&lt;&gt;"pvp",Inputs!$B$43=0),1,IF(IF(Inputs!$B$38="pvp",15,Inputs!$B$43)-(B661)&lt;=0,1,MAX(0,IF(Inputs!$B$38="pvp",15,Inputs!$B$43)-MAX(5,B661))/(IF(Inputs!$B$38="pvp",15,Inputs!$B$43)-(B661))))*IF(AND(ArtifactsInput!$M$42,((Inputs!$B$9+((C642=TRUE)*(F642-Calc!F19))+B654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632*(MIN((Inputs!$B$9+((C642=TRUE)*(F642-Calc!F19))+B654+(ArtifactsInput!$M$24-ArtifactsInput!$M$24)*CHOOSE(ArtifactsInput!$N$24+1,10,12,14,16,18,20)+(IF(AND(Inputs!$B$38&lt;&gt;"pvp",Inputs!$B$43=0),1,IF(IF(Inputs!$B$38="pvp",15,Inputs!$B$43)-(B661)&lt;=0,1,MAX(0,IF(Inputs!$B$38="pvp",15,Inputs!$B$43)-MAX(5,B661))/(IF(Inputs!$B$38="pvp",15,Inputs!$B$43)-(B661))))*IF(AND(ArtifactsInput!$M$42,((Inputs!$B$9+((C642=TRUE)*(F642-Calc!F19))+B654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32">
        <f>(1-Summary!$B$11)*T632+Summary!$B$11*V632</f>
        <v/>
      </c>
      <c r="P632">
        <f>IF(B664=0,0,O632/B664)</f>
        <v/>
      </c>
      <c r="Q632">
        <f>IFERROR(1/(IF(Inputs!$B$38="pvp",15,MAX(0.1,Skills!D9-IF(TRUE=TRUE,Inputs!$B$32,0)))*(1-IF(AND(ArtifactsInput!$M$27,Inputs!$B$4="Chapter Hunt"),CHOOSE(ArtifactsInput!$N$27+1,20,24,28,32,36,40),0)/100)),0)</f>
        <v/>
      </c>
      <c r="R632">
        <f>IF(AND(Inputs!$B$38&lt;&gt;"pvp",Inputs!$B$43&gt;0),IF(MAX(0,Inputs!$B$43-B661)&lt;=0,0,(INT(MAX(0,Inputs!$B$43-B661)/(IF(Inputs!$B$38="pvp",15,MAX(0.1,Skills!D9-IF(TRUE=TRUE,Inputs!$B$32,0)))*(1-IF(AND(ArtifactsInput!$M$27,Inputs!$B$4="Chapter Hunt"),CHOOSE(ArtifactsInput!$N$27+1,20,24,28,32,36,40),0)/100)))+1)),0)</f>
        <v/>
      </c>
      <c r="S632">
        <f>IFERROR(O632/N632,0)</f>
        <v/>
      </c>
      <c r="T632">
        <f>IF(C632,(H632*N632*IF(AND(Inputs!$B$38&lt;&gt;"pvp",Inputs!$B$43&gt;0),((Skills!G9*((R632-1)*IF(Skills!H9&gt;0,INT(Skills!I9/Skills!H9+0.000000001),1)+IF(Skills!H9&gt;0,INT(MIN(Skills!I9,MAX(0,MAX(0,Inputs!$B$43-B661)-((R632-1)*(IF(Inputs!$B$38="pvp",15,MAX(0.1,Skills!D9-IF(TRUE=TRUE,Inputs!$B$32,0)))*(1-IF(AND(ArtifactsInput!$M$27,Inputs!$B$4="Chapter Hunt"),CHOOSE(ArtifactsInput!$N$27+1,20,24,28,32,36,40),0)/100)))))/Skills!H9+0.000000001),1)))/Inputs!$B$43),G632*Q632))*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Hunt"),CHOOSE(ArtifactsInput!$N$35+1,15,18,21,24,27,30)*(1-EXP(-(0.2*B656)*5)),0)+IF(AND(ArtifactsInput!$M$22,Inputs!$B$4&lt;&gt;"Chapter Hunt"),CHOOSE(ArtifactsInput!$N$22+1,10,12,14,16,18,20)*((0*(((0.15*B656*5))^0/1)+1*(((0.15*B656*5))^1/1)+2*(((0.15*B656*5))^2/2)+3*(((0.15*B656*5))^3/6)+4*(((0.15*B656*5))^4/24)+5*(((0.15*B656*5))^5/120))/((((0.15*B656*5))^0/1)+(((0.15*B656*5))^1/1)+(((0.15*B656*5))^2/2)+(((0.15*B656*5))^3/6)+(((0.15*B656*5))^4/24)+(((0.15*B656*5))^5/120))),0))+IF(Inputs!$B$3&gt;=54,9*(C626=TRUE)*MIN(1,8*(1+Inputs!$B$34/100)*Q626)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632*(1-MIN(100,(Inputs!$B$9+((C642=TRUE)*(F642-Calc!F19))+B654+(ArtifactsInput!$M$24-ArtifactsInput!$M$24)*CHOOSE(ArtifactsInput!$N$24+1,10,12,14,16,18,20)+(IF(AND(Inputs!$B$38&lt;&gt;"pvp",Inputs!$B$43=0),1,IF(IF(Inputs!$B$38="pvp",15,Inputs!$B$43)-(B661)&lt;=0,1,MAX(0,IF(Inputs!$B$38="pvp",15,Inputs!$B$43)-MAX(5,B661))/(IF(Inputs!$B$38="pvp",15,Inputs!$B$43)-(B661))))*IF(AND(ArtifactsInput!$M$42,((Inputs!$B$9+((C642=TRUE)*(F642-Calc!F19))+B654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632*(MIN(100,(Inputs!$B$9+((C642=TRUE)*(F642-Calc!F19))+B654+(ArtifactsInput!$M$24-ArtifactsInput!$M$24)*CHOOSE(ArtifactsInput!$N$24+1,10,12,14,16,18,20)+(IF(AND(Inputs!$B$38&lt;&gt;"pvp",Inputs!$B$43=0),1,IF(IF(Inputs!$B$38="pvp",15,Inputs!$B$43)-(B661)&lt;=0,1,MAX(0,IF(Inputs!$B$38="pvp",15,Inputs!$B$43)-MAX(5,B661))/(IF(Inputs!$B$38="pvp",15,Inputs!$B$43)-(B661))))*IF(AND(ArtifactsInput!$M$42,((Inputs!$B$9+((C642=TRUE)*(F642-Calc!F19))+B654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632*(1-MIN(100,(Inputs!$B$9+((C642=TRUE)*(F642-Calc!F19))+B654+(ArtifactsInput!$M$24-ArtifactsInput!$M$24)*CHOOSE(ArtifactsInput!$N$24+1,10,12,14,16,18,20)+(IF(AND(Inputs!$B$38&lt;&gt;"pvp",Inputs!$B$43=0),1,IF(IF(Inputs!$B$38="pvp",15,Inputs!$B$43)-(B661)&lt;=0,1,MAX(0,IF(Inputs!$B$38="pvp",15,Inputs!$B$43)-MAX(5,B661))/(IF(Inputs!$B$38="pvp",15,Inputs!$B$43)-(B661))))*IF(AND(ArtifactsInput!$M$42,((Inputs!$B$9+((C642=TRUE)*(F642-Calc!F19))+B654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632*(MIN(100,(Inputs!$B$9+((C642=TRUE)*(F642-Calc!F19))+B654+(ArtifactsInput!$M$24-ArtifactsInput!$M$24)*CHOOSE(ArtifactsInput!$N$24+1,10,12,14,16,18,20)+(IF(AND(Inputs!$B$38&lt;&gt;"pvp",Inputs!$B$43=0),1,IF(IF(Inputs!$B$38="pvp",15,Inputs!$B$43)-(B661)&lt;=0,1,MAX(0,IF(Inputs!$B$38="pvp",15,Inputs!$B$43)-MAX(5,B661))/(IF(Inputs!$B$38="pvp",15,Inputs!$B$43)-(B661))))*IF(AND(ArtifactsInput!$M$42,((Inputs!$B$9+((C642=TRUE)*(F642-Calc!F19))+B654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632">
        <f>IF(C632,(H632*N632*IF(AND(Inputs!$B$38&lt;&gt;"pvp",Inputs!$B$43&gt;0),((Skills!G9*((R632-1)*IF(Skills!H9&gt;0,INT(Skills!I9/Skills!H9+0.000000001),1)+IF(Skills!H9&gt;0,INT(MIN(Skills!I9,MAX(0,MAX(0,Inputs!$B$43-B661)-((R632-1)*(IF(Inputs!$B$38="pvp",15,MAX(0.1,Skills!D9-IF(TRUE=TRUE,Inputs!$B$32,0)))*(1-IF(AND(ArtifactsInput!$M$27,Inputs!$B$4="Chapter Hunt"),CHOOSE(ArtifactsInput!$N$27+1,20,24,28,32,36,40),0)/100)))))/Skills!H9+0.000000001),1)))/Inputs!$B$43),G632*Q632))*IF(Inputs!$B$38="pvp",1,(1+(Inputs!$B$21+Skills!Q9+(IF(ArtifactsInput!$M$33,CHOOSE(ArtifactsInput!$N$33+1,30,36,42,48,54,60),0))+(IF(AND(ArtifactsInput!$M$35,Inputs!$B$4&lt;&gt;"Chapter Hunt"),CHOOSE(ArtifactsInput!$N$35+1,15,18,21,24,27,30)*(1-EXP(-(0.2*B656)*5)),0)+IF(AND(ArtifactsInput!$M$22,Inputs!$B$4&lt;&gt;"Chapter Hunt"),CHOOSE(ArtifactsInput!$N$22+1,10,12,14,16,18,20)*((0*(((0.15*B656*5))^0/1)+1*(((0.15*B656*5))^1/1)+2*(((0.15*B656*5))^2/2)+3*(((0.15*B656*5))^3/6)+4*(((0.15*B656*5))^4/24)+5*(((0.15*B656*5))^5/120))/((((0.15*B656*5))^0/1)+(((0.15*B656*5))^1/1)+(((0.15*B656*5))^2/2)+(((0.15*B656*5))^3/6)+(((0.15*B656*5))^4/24)+(((0.15*B656*5))^5/120))),0))+IF(Inputs!$B$3&gt;=54,9*(C626=TRUE)*MIN(1,8*(1+Inputs!$B$34/100)*Q626),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33">
      <c r="A633">
        <f>Skills!A10</f>
        <v/>
      </c>
      <c r="B633">
        <f>Skills!B10</f>
        <v/>
      </c>
      <c r="C633">
        <f>Inputs!$B$3&gt;=113</f>
        <v/>
      </c>
      <c r="D633">
        <f>IF(Skills!C10=1,60+Inputs!$B$25+Inputs!$B$29,IF(Skills!C10=2,90+Inputs!$B$26+Inputs!$B$29,IF(Skills!C10=3,120+Inputs!$B$27+Inputs!$B$29,MAX(0,(Inputs!$B$3-100)*3)+Inputs!$B$28+Inputs!$B$29)))</f>
        <v/>
      </c>
      <c r="E633">
        <f>INDEX(FactorTable!$B$2:$Y$301, MATCH(ROUND(MIN(300,MAX(1,D633)),0), FactorTable!$A$2:$A$301,0), Skills!M10+1)</f>
        <v/>
      </c>
      <c r="F633">
        <f>IF(Skills!N10=TRUE,(Skills!L10/10)*(E633/1000),Skills!L10/10)+Skills!O10</f>
        <v/>
      </c>
      <c r="G633">
        <f>Skills!G10*IF(Skills!H10&gt;0,INT(IF(Inputs!$B$38="pvp",MIN(Skills!I10,15),Skills!I10)/Skills!H10+0.000000001),1)</f>
        <v/>
      </c>
      <c r="H633">
        <f>1-(1-Skills!J10/100)^Skills!K10</f>
        <v/>
      </c>
      <c r="I633" t="inlineStr">
        <is>
          <t>1</t>
        </is>
      </c>
      <c r="J633">
        <f>((Inputs!$B$6*(1+Inputs!$B$7/100))+(((Inputs!$B$12*(1+Inputs!$B$13/100))-(Inputs!$B$12*(1+Inputs!$B$13/100)))+0.25*(Inputs!$B$14-Inputs!$B$14))*(1+Inputs!$B$7/100))*(F633/100)</f>
        <v/>
      </c>
      <c r="K633">
        <f>J633*(1+((Inputs!$B$12*(1+Inputs!$B$13/100))*0.01+Inputs!$B$14*0.0025)/100)*(1+Inputs!$B$15/100)*(1+Inputs!$B$16/100)*(5000/(6000+Inputs!$B$42*(1-(100*(1-(1-(Inputs!$B$19+0)/100)*(1-CHOOSE(ArtifactsInput!$N$40+1,5,6,7,8,9,10)/100)^(ArtifactsInput!$M$40-ArtifactsInput!$M$40)))/100)))*(1+(Inputs!$B$24+((C649=TRUE)*(F649-Calc!F26))+B660)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(1-(1-Inputs!$B$11/150)*(1-1/150))*150)-60))),0)-IF(ArtifactsInput!$M$34,MIN(CHOOSE(ArtifactsInput!$N$34+1,10,12,14,16,18,20),MAX(0,(CHOOSE(ArtifactsInput!$N$34+1,0.5,0.6,0.7,0.8,0.9,1)/3)*(Inputs!$B$11-60))),0)))/100)*(1+(IF(Skills!A10="EIGHT_LEGS_EASTON",Inputs!$B$17+((C646=TRUE)*(F646-Calc!F23))+((C650=TRUE)*(F650-Calc!F27))+((IF(AND(Inputs!$B$38&lt;&gt;"pvp",Inputs!$B$43=0),1,IF(IF(Inputs!$B$38="pvp",15,Inputs!$B$43)-(B661)&lt;=0,1,MAX(0,IF(Inputs!$B$38="pvp",15,Inputs!$B$43)-MAX(5,B661))/(IF(Inputs!$B$38="pvp",15,Inputs!$B$43)-(B661))))*(IF(AND(ArtifactsInput!$M$42,((Inputs!$B$9+((C642=TRUE)*(F642-Calc!F19))+B654+(ArtifactsInput!$M$24-ArtifactsInput!$M$24)*CHOOSE(ArtifactsInput!$N$24+1,10,12,14,16,18,20)+IF(ArtifactsInput!$M$10,CHOOSE(ArtifactsInput!$N$10+1,15,18,21,24,27,30)*(IF(Inputs!$B$38="pvp",MIN(15,15)/15,IF(AND(Inputs!$B$38&lt;&gt;"pvp",Inputs!$B$43&gt;0),MIN(15,Inputs!$B$43)/(Inputs!$B$43),0))),0)))&gt;=100),MIN(100,((Inputs!$B$9+((C642=TRUE)*(F642-Calc!F19))+B654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661)&lt;=0,1,MAX(0,IF(Inputs!$B$38="pvp",15,Inputs!$B$43)-MAX(5,B661))/(IF(Inputs!$B$38="pvp",15,Inputs!$B$43)-(B661))))*IF(AND(ArtifactsInput!$M$42,((Inputs!$B$9+((C642=TRUE)*(F642-Calc!F19))+B654+(ArtifactsInput!$M$24-ArtifactsInput!$M$24)*CHOOSE(ArtifactsInput!$N$24+1,10,12,14,16,18,20)+IF(ArtifactsInput!$M$10,CHOOSE(ArtifactsInput!$N$10+1,15,18,21,24,27,30)*(IF(Inputs!$B$38="pvp",MIN(15,15)/15,IF(AND(Inputs!$B$38&lt;&gt;"pvp",Inputs!$B$43&gt;0),MIN(15,Inputs!$B$43)/(Inputs!$B$43),0))),0)))&gt;=100),CHOOSE(ArtifactsInput!$N$42+1,40,48,56,64,72,80),0))))/100)*((1+(((C640=TRUE)*F640*5/7)+((C647=TRUE)*(F647-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633)</f>
        <v/>
      </c>
      <c r="L633">
        <f>K633*(MIN(Inputs!$B$22+((C645=TRUE)*(F645-Calc!F22)),(Inputs!$B$23+0+(IF(ArtifactsInput!$M$15,CHOOSE(ArtifactsInput!$N$15+1,25,30,35,40,45,50)/100*(((1-(1-Inputs!$B$11/150)*(1-1/150))*150)-Inputs!$B$11),0))))/100+(Inputs!$B$23+0+(IF(ArtifactsInput!$M$15,CHOOSE(ArtifactsInput!$N$15+1,25,30,35,40,45,50)/100*(((1-(1-Inputs!$B$11/150)*(1-1/150))*150)-Inputs!$B$11),0)))/100)/2</f>
        <v/>
      </c>
      <c r="M633">
        <f>L633*(1+(Inputs!$B$10+((C648=TRUE)*(F648-Calc!F25))+B659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33">
        <f>L633*(1-MIN((Inputs!$B$9+((C642=TRUE)*(F642-Calc!F19))+B654+(ArtifactsInput!$M$24-ArtifactsInput!$M$24)*CHOOSE(ArtifactsInput!$N$24+1,10,12,14,16,18,20)+(IF(AND(Inputs!$B$38&lt;&gt;"pvp",Inputs!$B$43=0),1,IF(IF(Inputs!$B$38="pvp",15,Inputs!$B$43)-(B661)&lt;=0,1,MAX(0,IF(Inputs!$B$38="pvp",15,Inputs!$B$43)-MAX(5,B661))/(IF(Inputs!$B$38="pvp",15,Inputs!$B$43)-(B661))))*IF(AND(ArtifactsInput!$M$42,((Inputs!$B$9+((C642=TRUE)*(F642-Calc!F19))+B654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633*(MIN((Inputs!$B$9+((C642=TRUE)*(F642-Calc!F19))+B654+(ArtifactsInput!$M$24-ArtifactsInput!$M$24)*CHOOSE(ArtifactsInput!$N$24+1,10,12,14,16,18,20)+(IF(AND(Inputs!$B$38&lt;&gt;"pvp",Inputs!$B$43=0),1,IF(IF(Inputs!$B$38="pvp",15,Inputs!$B$43)-(B661)&lt;=0,1,MAX(0,IF(Inputs!$B$38="pvp",15,Inputs!$B$43)-MAX(5,B661))/(IF(Inputs!$B$38="pvp",15,Inputs!$B$43)-(B661))))*IF(AND(ArtifactsInput!$M$42,((Inputs!$B$9+((C642=TRUE)*(F642-Calc!F19))+B654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33">
        <f>(1-Summary!$B$11)*T633+Summary!$B$11*V633</f>
        <v/>
      </c>
      <c r="P633">
        <f>IF(B664=0,0,O633/B664)</f>
        <v/>
      </c>
      <c r="Q633" t="n">
        <v>0</v>
      </c>
      <c r="R633" t="n">
        <v>0</v>
      </c>
      <c r="S633">
        <f>IFERROR(O633/N633,0)</f>
        <v/>
      </c>
      <c r="T633">
        <f>IF(C633,((H633*B666)/(1+Skills!H10*H633*B666)*N633)*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Hunt"),CHOOSE(ArtifactsInput!$N$35+1,15,18,21,24,27,30)*(1-EXP(-(0.2*B656)*5)),0)+IF(AND(ArtifactsInput!$M$22,Inputs!$B$4&lt;&gt;"Chapter Hunt"),CHOOSE(ArtifactsInput!$N$22+1,10,12,14,16,18,20)*((0*(((0.15*B656*5))^0/1)+1*(((0.15*B656*5))^1/1)+2*(((0.15*B656*5))^2/2)+3*(((0.15*B656*5))^3/6)+4*(((0.15*B656*5))^4/24)+5*(((0.15*B656*5))^5/120))/((((0.15*B656*5))^0/1)+(((0.15*B656*5))^1/1)+(((0.15*B656*5))^2/2)+(((0.15*B656*5))^3/6)+(((0.15*B656*5))^4/24)+(((0.15*B656*5))^5/120))),0))+IF(Inputs!$B$3&gt;=54,9*(C626=TRUE)*MIN(1,8*(1+Inputs!$B$34/100)*Q626)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633*(1-MIN(100,(Inputs!$B$9+((C642=TRUE)*(F642-Calc!F19))+B654+(ArtifactsInput!$M$24-ArtifactsInput!$M$24)*CHOOSE(ArtifactsInput!$N$24+1,10,12,14,16,18,20)+(IF(AND(Inputs!$B$38&lt;&gt;"pvp",Inputs!$B$43=0),1,IF(IF(Inputs!$B$38="pvp",15,Inputs!$B$43)-(B661)&lt;=0,1,MAX(0,IF(Inputs!$B$38="pvp",15,Inputs!$B$43)-MAX(5,B661))/(IF(Inputs!$B$38="pvp",15,Inputs!$B$43)-(B661))))*IF(AND(ArtifactsInput!$M$42,((Inputs!$B$9+((C642=TRUE)*(F642-Calc!F19))+B654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633*(MIN(100,(Inputs!$B$9+((C642=TRUE)*(F642-Calc!F19))+B654+(ArtifactsInput!$M$24-ArtifactsInput!$M$24)*CHOOSE(ArtifactsInput!$N$24+1,10,12,14,16,18,20)+(IF(AND(Inputs!$B$38&lt;&gt;"pvp",Inputs!$B$43=0),1,IF(IF(Inputs!$B$38="pvp",15,Inputs!$B$43)-(B661)&lt;=0,1,MAX(0,IF(Inputs!$B$38="pvp",15,Inputs!$B$43)-MAX(5,B661))/(IF(Inputs!$B$38="pvp",15,Inputs!$B$43)-(B661))))*IF(AND(ArtifactsInput!$M$42,((Inputs!$B$9+((C642=TRUE)*(F642-Calc!F19))+B654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633*(1-MIN(100,(Inputs!$B$9+((C642=TRUE)*(F642-Calc!F19))+B654+(ArtifactsInput!$M$24-ArtifactsInput!$M$24)*CHOOSE(ArtifactsInput!$N$24+1,10,12,14,16,18,20)+(IF(AND(Inputs!$B$38&lt;&gt;"pvp",Inputs!$B$43=0),1,IF(IF(Inputs!$B$38="pvp",15,Inputs!$B$43)-(B661)&lt;=0,1,MAX(0,IF(Inputs!$B$38="pvp",15,Inputs!$B$43)-MAX(5,B661))/(IF(Inputs!$B$38="pvp",15,Inputs!$B$43)-(B661))))*IF(AND(ArtifactsInput!$M$42,((Inputs!$B$9+((C642=TRUE)*(F642-Calc!F19))+B654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633*(MIN(100,(Inputs!$B$9+((C642=TRUE)*(F642-Calc!F19))+B654+(ArtifactsInput!$M$24-ArtifactsInput!$M$24)*CHOOSE(ArtifactsInput!$N$24+1,10,12,14,16,18,20)+(IF(AND(Inputs!$B$38&lt;&gt;"pvp",Inputs!$B$43=0),1,IF(IF(Inputs!$B$38="pvp",15,Inputs!$B$43)-(B661)&lt;=0,1,MAX(0,IF(Inputs!$B$38="pvp",15,Inputs!$B$43)-MAX(5,B661))/(IF(Inputs!$B$38="pvp",15,Inputs!$B$43)-(B661))))*IF(AND(ArtifactsInput!$M$42,((Inputs!$B$9+((C642=TRUE)*(F642-Calc!F19))+B654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633">
        <f>IF(C633,((H633*B666)/(1+Skills!H10*H633*B666)*N633)*IF(Inputs!$B$38="pvp",1,(1+(Inputs!$B$21+Skills!Q10+(IF(ArtifactsInput!$M$33,CHOOSE(ArtifactsInput!$N$33+1,30,36,42,48,54,60),0))+(IF(AND(ArtifactsInput!$M$35,Inputs!$B$4&lt;&gt;"Chapter Hunt"),CHOOSE(ArtifactsInput!$N$35+1,15,18,21,24,27,30)*(1-EXP(-(0.2*B656)*5)),0)+IF(AND(ArtifactsInput!$M$22,Inputs!$B$4&lt;&gt;"Chapter Hunt"),CHOOSE(ArtifactsInput!$N$22+1,10,12,14,16,18,20)*((0*(((0.15*B656*5))^0/1)+1*(((0.15*B656*5))^1/1)+2*(((0.15*B656*5))^2/2)+3*(((0.15*B656*5))^3/6)+4*(((0.15*B656*5))^4/24)+5*(((0.15*B656*5))^5/120))/((((0.15*B656*5))^0/1)+(((0.15*B656*5))^1/1)+(((0.15*B656*5))^2/2)+(((0.15*B656*5))^3/6)+(((0.15*B656*5))^4/24)+(((0.15*B656*5))^5/120))),0))+IF(Inputs!$B$3&gt;=54,9*(C626=TRUE)*MIN(1,8*(1+Inputs!$B$34/100)*Q626),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34">
      <c r="A634">
        <f>Skills!A11</f>
        <v/>
      </c>
      <c r="B634">
        <f>Skills!B11</f>
        <v/>
      </c>
      <c r="C634">
        <f>Inputs!$B$3&gt;=117</f>
        <v/>
      </c>
      <c r="D634">
        <f>IF(Skills!C11=1,60+Inputs!$B$25+Inputs!$B$29,IF(Skills!C11=2,90+Inputs!$B$26+Inputs!$B$29,IF(Skills!C11=3,120+Inputs!$B$27+Inputs!$B$29,MAX(0,(Inputs!$B$3-100)*3)+Inputs!$B$28+Inputs!$B$29)))</f>
        <v/>
      </c>
      <c r="E634">
        <f>INDEX(FactorTable!$B$2:$Y$301, MATCH(ROUND(MIN(300,MAX(1,D634)),0), FactorTable!$A$2:$A$301,0), Skills!M11+1)</f>
        <v/>
      </c>
      <c r="F634">
        <f>IF(Skills!N11=TRUE,(Skills!L11/10)*(E634/1000),Skills!L11/10)+Skills!O11</f>
        <v/>
      </c>
      <c r="G634">
        <f>Skills!G11*IF(Skills!H11&gt;0,INT(IF(Inputs!$B$38="pvp",MIN(Skills!I11,15),Skills!I11)/Skills!H11+0.000000001),1)</f>
        <v/>
      </c>
      <c r="H634">
        <f>1-(1-Skills!J11/100)^Skills!K11</f>
        <v/>
      </c>
      <c r="I634" t="inlineStr">
        <is>
          <t>1</t>
        </is>
      </c>
      <c r="J634">
        <f>((Inputs!$B$6*(1+Inputs!$B$7/100))+(((Inputs!$B$12*(1+Inputs!$B$13/100))-(Inputs!$B$12*(1+Inputs!$B$13/100)))+0.25*(Inputs!$B$14-Inputs!$B$14))*(1+Inputs!$B$7/100))*(F634/100)</f>
        <v/>
      </c>
      <c r="K634">
        <f>J634*(1+((Inputs!$B$12*(1+Inputs!$B$13/100))*0.01+Inputs!$B$14*0.0025)/100)*(1+Inputs!$B$15/100)*(1+Inputs!$B$16/100)*(5000/(6000+Inputs!$B$42*(1-(100*(1-(1-(Inputs!$B$19+0)/100)*(1-CHOOSE(ArtifactsInput!$N$40+1,5,6,7,8,9,10)/100)^(ArtifactsInput!$M$40-ArtifactsInput!$M$40)))/100)))*(1+(Inputs!$B$24+((C649=TRUE)*(F649-Calc!F26))+B660)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(1-(1-Inputs!$B$11/150)*(1-1/150))*150)-60))),0)-IF(ArtifactsInput!$M$34,MIN(CHOOSE(ArtifactsInput!$N$34+1,10,12,14,16,18,20),MAX(0,(CHOOSE(ArtifactsInput!$N$34+1,0.5,0.6,0.7,0.8,0.9,1)/3)*(Inputs!$B$11-60))),0)))/100)*(1+(IF(Skills!A11="EIGHT_LEGS_EASTON",Inputs!$B$17+((C646=TRUE)*(F646-Calc!F23))+((C650=TRUE)*(F650-Calc!F27))+((IF(AND(Inputs!$B$38&lt;&gt;"pvp",Inputs!$B$43=0),1,IF(IF(Inputs!$B$38="pvp",15,Inputs!$B$43)-(B661)&lt;=0,1,MAX(0,IF(Inputs!$B$38="pvp",15,Inputs!$B$43)-MAX(5,B661))/(IF(Inputs!$B$38="pvp",15,Inputs!$B$43)-(B661))))*(IF(AND(ArtifactsInput!$M$42,((Inputs!$B$9+((C642=TRUE)*(F642-Calc!F19))+B654+(ArtifactsInput!$M$24-ArtifactsInput!$M$24)*CHOOSE(ArtifactsInput!$N$24+1,10,12,14,16,18,20)+IF(ArtifactsInput!$M$10,CHOOSE(ArtifactsInput!$N$10+1,15,18,21,24,27,30)*(IF(Inputs!$B$38="pvp",MIN(15,15)/15,IF(AND(Inputs!$B$38&lt;&gt;"pvp",Inputs!$B$43&gt;0),MIN(15,Inputs!$B$43)/(Inputs!$B$43),0))),0)))&gt;=100),MIN(100,((Inputs!$B$9+((C642=TRUE)*(F642-Calc!F19))+B654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661)&lt;=0,1,MAX(0,IF(Inputs!$B$38="pvp",15,Inputs!$B$43)-MAX(5,B661))/(IF(Inputs!$B$38="pvp",15,Inputs!$B$43)-(B661))))*IF(AND(ArtifactsInput!$M$42,((Inputs!$B$9+((C642=TRUE)*(F642-Calc!F19))+B654+(ArtifactsInput!$M$24-ArtifactsInput!$M$24)*CHOOSE(ArtifactsInput!$N$24+1,10,12,14,16,18,20)+IF(ArtifactsInput!$M$10,CHOOSE(ArtifactsInput!$N$10+1,15,18,21,24,27,30)*(IF(Inputs!$B$38="pvp",MIN(15,15)/15,IF(AND(Inputs!$B$38&lt;&gt;"pvp",Inputs!$B$43&gt;0),MIN(15,Inputs!$B$43)/(Inputs!$B$43),0))),0)))&gt;=100),CHOOSE(ArtifactsInput!$N$42+1,40,48,56,64,72,80),0))))/100)*((1+(((C640=TRUE)*F640*5/7)+((C647=TRUE)*(F647-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634)</f>
        <v/>
      </c>
      <c r="L634">
        <f>K634*(MIN(Inputs!$B$22+((C645=TRUE)*(F645-Calc!F22)),(Inputs!$B$23+0+(IF(ArtifactsInput!$M$15,CHOOSE(ArtifactsInput!$N$15+1,25,30,35,40,45,50)/100*(((1-(1-Inputs!$B$11/150)*(1-1/150))*150)-Inputs!$B$11),0))))/100+(Inputs!$B$23+0+(IF(ArtifactsInput!$M$15,CHOOSE(ArtifactsInput!$N$15+1,25,30,35,40,45,50)/100*(((1-(1-Inputs!$B$11/150)*(1-1/150))*150)-Inputs!$B$11),0)))/100)/2</f>
        <v/>
      </c>
      <c r="M634">
        <f>L634*(1+(Inputs!$B$10+((C648=TRUE)*(F648-Calc!F25))+B659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34">
        <f>L634*(1-MIN((Inputs!$B$9+((C642=TRUE)*(F642-Calc!F19))+B654+(ArtifactsInput!$M$24-ArtifactsInput!$M$24)*CHOOSE(ArtifactsInput!$N$24+1,10,12,14,16,18,20)+(IF(AND(Inputs!$B$38&lt;&gt;"pvp",Inputs!$B$43=0),1,IF(IF(Inputs!$B$38="pvp",15,Inputs!$B$43)-(B661)&lt;=0,1,MAX(0,IF(Inputs!$B$38="pvp",15,Inputs!$B$43)-MAX(5,B661))/(IF(Inputs!$B$38="pvp",15,Inputs!$B$43)-(B661))))*IF(AND(ArtifactsInput!$M$42,((Inputs!$B$9+((C642=TRUE)*(F642-Calc!F19))+B654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634*(MIN((Inputs!$B$9+((C642=TRUE)*(F642-Calc!F19))+B654+(ArtifactsInput!$M$24-ArtifactsInput!$M$24)*CHOOSE(ArtifactsInput!$N$24+1,10,12,14,16,18,20)+(IF(AND(Inputs!$B$38&lt;&gt;"pvp",Inputs!$B$43=0),1,IF(IF(Inputs!$B$38="pvp",15,Inputs!$B$43)-(B661)&lt;=0,1,MAX(0,IF(Inputs!$B$38="pvp",15,Inputs!$B$43)-MAX(5,B661))/(IF(Inputs!$B$38="pvp",15,Inputs!$B$43)-(B661))))*IF(AND(ArtifactsInput!$M$42,((Inputs!$B$9+((C642=TRUE)*(F642-Calc!F19))+B654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34">
        <f>(1-Summary!$B$11)*T634+Summary!$B$11*V634</f>
        <v/>
      </c>
      <c r="P634">
        <f>IF(B664=0,0,O634/B664)</f>
        <v/>
      </c>
      <c r="Q634">
        <f>IFERROR(1/((IF(Inputs!$B$38="pvp",15,MAX(0.1,Skills!D11-IF(TRUE=TRUE,Inputs!$B$32,0)))*(1-IF(AND(ArtifactsInput!$M$27,Inputs!$B$4="Chapter Hunt"),CHOOSE(ArtifactsInput!$N$27+1,20,24,28,32,36,40),0)/100))/B665),0)</f>
        <v/>
      </c>
      <c r="R634">
        <f>IF(AND(Inputs!$B$38&lt;&gt;"pvp",Inputs!$B$43&gt;0),IF(MAX(0,Inputs!$B$43-B661)&lt;=0,0,(INT(MAX(0,Inputs!$B$43-B661)/((IF(Inputs!$B$38="pvp",15,MAX(0.1,Skills!D11-IF(TRUE=TRUE,Inputs!$B$32,0)))*(1-IF(AND(ArtifactsInput!$M$27,Inputs!$B$4="Chapter Hunt"),CHOOSE(ArtifactsInput!$N$27+1,20,24,28,32,36,40),0)/100))/B665))+1)),0)</f>
        <v/>
      </c>
      <c r="S634">
        <f>IFERROR(O634/N634,0)</f>
        <v/>
      </c>
      <c r="T634">
        <f>IF(C634,(H634*N634*IF(AND(Inputs!$B$38&lt;&gt;"pvp",Inputs!$B$43&gt;0),((Skills!G11*((R634-1)*IF(Skills!H11&gt;0,INT(Skills!I11/Skills!H11+0.000000001),1)+IF(Skills!H11&gt;0,INT(MIN(Skills!I11,MAX(0,MAX(0,Inputs!$B$43-B661)-((R634-1)*((IF(Inputs!$B$38="pvp",15,MAX(0.1,Skills!D11-IF(TRUE=TRUE,Inputs!$B$32,0)))*(1-IF(AND(ArtifactsInput!$M$27,Inputs!$B$4="Chapter Hunt"),CHOOSE(ArtifactsInput!$N$27+1,20,24,28,32,36,40),0)/100))/B665))))/Skills!H11+0.000000001),1)))/Inputs!$B$43),G634*Q634))*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Hunt"),CHOOSE(ArtifactsInput!$N$35+1,15,18,21,24,27,30)*(1-EXP(-(0.2*B656)*5)),0)+IF(AND(ArtifactsInput!$M$22,Inputs!$B$4&lt;&gt;"Chapter Hunt"),CHOOSE(ArtifactsInput!$N$22+1,10,12,14,16,18,20)*((0*(((0.15*B656*5))^0/1)+1*(((0.15*B656*5))^1/1)+2*(((0.15*B656*5))^2/2)+3*(((0.15*B656*5))^3/6)+4*(((0.15*B656*5))^4/24)+5*(((0.15*B656*5))^5/120))/((((0.15*B656*5))^0/1)+(((0.15*B656*5))^1/1)+(((0.15*B656*5))^2/2)+(((0.15*B656*5))^3/6)+(((0.15*B656*5))^4/24)+(((0.15*B656*5))^5/120))),0))+IF(Inputs!$B$3&gt;=54,9*(C626=TRUE)*MIN(1,8*(1+Inputs!$B$34/100)*Q626)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634*(1-MIN(100,(Inputs!$B$9+((C642=TRUE)*(F642-Calc!F19))+B654+(ArtifactsInput!$M$24-ArtifactsInput!$M$24)*CHOOSE(ArtifactsInput!$N$24+1,10,12,14,16,18,20)+(IF(AND(Inputs!$B$38&lt;&gt;"pvp",Inputs!$B$43=0),1,IF(IF(Inputs!$B$38="pvp",15,Inputs!$B$43)-(B661)&lt;=0,1,MAX(0,IF(Inputs!$B$38="pvp",15,Inputs!$B$43)-MAX(5,B661))/(IF(Inputs!$B$38="pvp",15,Inputs!$B$43)-(B661))))*IF(AND(ArtifactsInput!$M$42,((Inputs!$B$9+((C642=TRUE)*(F642-Calc!F19))+B654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634*(MIN(100,(Inputs!$B$9+((C642=TRUE)*(F642-Calc!F19))+B654+(ArtifactsInput!$M$24-ArtifactsInput!$M$24)*CHOOSE(ArtifactsInput!$N$24+1,10,12,14,16,18,20)+(IF(AND(Inputs!$B$38&lt;&gt;"pvp",Inputs!$B$43=0),1,IF(IF(Inputs!$B$38="pvp",15,Inputs!$B$43)-(B661)&lt;=0,1,MAX(0,IF(Inputs!$B$38="pvp",15,Inputs!$B$43)-MAX(5,B661))/(IF(Inputs!$B$38="pvp",15,Inputs!$B$43)-(B661))))*IF(AND(ArtifactsInput!$M$42,((Inputs!$B$9+((C642=TRUE)*(F642-Calc!F19))+B654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634*(1-MIN(100,(Inputs!$B$9+((C642=TRUE)*(F642-Calc!F19))+B654+(ArtifactsInput!$M$24-ArtifactsInput!$M$24)*CHOOSE(ArtifactsInput!$N$24+1,10,12,14,16,18,20)+(IF(AND(Inputs!$B$38&lt;&gt;"pvp",Inputs!$B$43=0),1,IF(IF(Inputs!$B$38="pvp",15,Inputs!$B$43)-(B661)&lt;=0,1,MAX(0,IF(Inputs!$B$38="pvp",15,Inputs!$B$43)-MAX(5,B661))/(IF(Inputs!$B$38="pvp",15,Inputs!$B$43)-(B661))))*IF(AND(ArtifactsInput!$M$42,((Inputs!$B$9+((C642=TRUE)*(F642-Calc!F19))+B654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634*(MIN(100,(Inputs!$B$9+((C642=TRUE)*(F642-Calc!F19))+B654+(ArtifactsInput!$M$24-ArtifactsInput!$M$24)*CHOOSE(ArtifactsInput!$N$24+1,10,12,14,16,18,20)+(IF(AND(Inputs!$B$38&lt;&gt;"pvp",Inputs!$B$43=0),1,IF(IF(Inputs!$B$38="pvp",15,Inputs!$B$43)-(B661)&lt;=0,1,MAX(0,IF(Inputs!$B$38="pvp",15,Inputs!$B$43)-MAX(5,B661))/(IF(Inputs!$B$38="pvp",15,Inputs!$B$43)-(B661))))*IF(AND(ArtifactsInput!$M$42,((Inputs!$B$9+((C642=TRUE)*(F642-Calc!F19))+B654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634">
        <f>IF(C634,(H634*N634*IF(AND(Inputs!$B$38&lt;&gt;"pvp",Inputs!$B$43&gt;0),((Skills!G11*((R634-1)*IF(Skills!H11&gt;0,INT(Skills!I11/Skills!H11+0.000000001),1)+IF(Skills!H11&gt;0,INT(MIN(Skills!I11,MAX(0,MAX(0,Inputs!$B$43-B661)-((R634-1)*((IF(Inputs!$B$38="pvp",15,MAX(0.1,Skills!D11-IF(TRUE=TRUE,Inputs!$B$32,0)))*(1-IF(AND(ArtifactsInput!$M$27,Inputs!$B$4="Chapter Hunt"),CHOOSE(ArtifactsInput!$N$27+1,20,24,28,32,36,40),0)/100))/B665))))/Skills!H11+0.000000001),1)))/Inputs!$B$43),G634*Q634))*IF(Inputs!$B$38="pvp",1,(1+(Inputs!$B$21+Skills!Q11+(IF(ArtifactsInput!$M$33,CHOOSE(ArtifactsInput!$N$33+1,30,36,42,48,54,60),0))+(IF(AND(ArtifactsInput!$M$35,Inputs!$B$4&lt;&gt;"Chapter Hunt"),CHOOSE(ArtifactsInput!$N$35+1,15,18,21,24,27,30)*(1-EXP(-(0.2*B656)*5)),0)+IF(AND(ArtifactsInput!$M$22,Inputs!$B$4&lt;&gt;"Chapter Hunt"),CHOOSE(ArtifactsInput!$N$22+1,10,12,14,16,18,20)*((0*(((0.15*B656*5))^0/1)+1*(((0.15*B656*5))^1/1)+2*(((0.15*B656*5))^2/2)+3*(((0.15*B656*5))^3/6)+4*(((0.15*B656*5))^4/24)+5*(((0.15*B656*5))^5/120))/((((0.15*B656*5))^0/1)+(((0.15*B656*5))^1/1)+(((0.15*B656*5))^2/2)+(((0.15*B656*5))^3/6)+(((0.15*B656*5))^4/24)+(((0.15*B656*5))^5/120))),0))+IF(Inputs!$B$3&gt;=54,9*(C626=TRUE)*MIN(1,8*(1+Inputs!$B$34/100)*Q626),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35">
      <c r="A635">
        <f>Skills!A12</f>
        <v/>
      </c>
      <c r="B635">
        <f>Skills!B12</f>
        <v/>
      </c>
      <c r="C635">
        <f>Inputs!$B$3&gt;=110</f>
        <v/>
      </c>
      <c r="D635">
        <f>IF(Skills!C12=1,60+Inputs!$B$25+Inputs!$B$29,IF(Skills!C12=2,90+Inputs!$B$26+Inputs!$B$29,IF(Skills!C12=3,120+Inputs!$B$27+Inputs!$B$29,MAX(0,(Inputs!$B$3-100)*3)+Inputs!$B$28+Inputs!$B$29)))</f>
        <v/>
      </c>
      <c r="E635">
        <f>INDEX(FactorTable!$B$2:$Y$301, MATCH(ROUND(MIN(300,MAX(1,D635)),0), FactorTable!$A$2:$A$301,0), Skills!M12+1)</f>
        <v/>
      </c>
      <c r="F635">
        <f>IF(Skills!N12=TRUE,(Skills!L12/10)*(E635/1000),Skills!L12/10)+Skills!O12</f>
        <v/>
      </c>
      <c r="G635">
        <f>Skills!G12*IF(Skills!H12&gt;0,INT(IF(Inputs!$B$38="pvp",MIN(Skills!I12,15),Skills!I12)/Skills!H12+0.000000001),1)</f>
        <v/>
      </c>
      <c r="H635">
        <f>1-(1-Skills!J12/100)^Skills!K12</f>
        <v/>
      </c>
      <c r="I635" t="inlineStr">
        <is>
          <t>1</t>
        </is>
      </c>
      <c r="J635">
        <f>((Inputs!$B$6*(1+Inputs!$B$7/100))+(((Inputs!$B$12*(1+Inputs!$B$13/100))-(Inputs!$B$12*(1+Inputs!$B$13/100)))+0.25*(Inputs!$B$14-Inputs!$B$14))*(1+Inputs!$B$7/100))*(F635/100)</f>
        <v/>
      </c>
      <c r="K635">
        <f>J635*(1+((Inputs!$B$12*(1+Inputs!$B$13/100))*0.01+Inputs!$B$14*0.0025)/100)*(1+Inputs!$B$15/100)*(1+Inputs!$B$16/100)*(5000/(6000+Inputs!$B$42*(1-(100*(1-(1-(Inputs!$B$19+0)/100)*(1-CHOOSE(ArtifactsInput!$N$40+1,5,6,7,8,9,10)/100)^(ArtifactsInput!$M$40-ArtifactsInput!$M$40)))/100)))*(1+(Inputs!$B$24+((C649=TRUE)*(F649-Calc!F26))+B660)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(1-(1-Inputs!$B$11/150)*(1-1/150))*150)-60))),0)-IF(ArtifactsInput!$M$34,MIN(CHOOSE(ArtifactsInput!$N$34+1,10,12,14,16,18,20),MAX(0,(CHOOSE(ArtifactsInput!$N$34+1,0.5,0.6,0.7,0.8,0.9,1)/3)*(Inputs!$B$11-60))),0)))/100)*(1+(IF(Skills!A12="EIGHT_LEGS_EASTON",Inputs!$B$17+((C646=TRUE)*(F646-Calc!F23))+((C650=TRUE)*(F650-Calc!F27))+((IF(AND(Inputs!$B$38&lt;&gt;"pvp",Inputs!$B$43=0),1,IF(IF(Inputs!$B$38="pvp",15,Inputs!$B$43)-(B661)&lt;=0,1,MAX(0,IF(Inputs!$B$38="pvp",15,Inputs!$B$43)-MAX(5,B661))/(IF(Inputs!$B$38="pvp",15,Inputs!$B$43)-(B661))))*(IF(AND(ArtifactsInput!$M$42,((Inputs!$B$9+((C642=TRUE)*(F642-Calc!F19))+B654+(ArtifactsInput!$M$24-ArtifactsInput!$M$24)*CHOOSE(ArtifactsInput!$N$24+1,10,12,14,16,18,20)+IF(ArtifactsInput!$M$10,CHOOSE(ArtifactsInput!$N$10+1,15,18,21,24,27,30)*(IF(Inputs!$B$38="pvp",MIN(15,15)/15,IF(AND(Inputs!$B$38&lt;&gt;"pvp",Inputs!$B$43&gt;0),MIN(15,Inputs!$B$43)/(Inputs!$B$43),0))),0)))&gt;=100),MIN(100,((Inputs!$B$9+((C642=TRUE)*(F642-Calc!F19))+B654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661)&lt;=0,1,MAX(0,IF(Inputs!$B$38="pvp",15,Inputs!$B$43)-MAX(5,B661))/(IF(Inputs!$B$38="pvp",15,Inputs!$B$43)-(B661))))*IF(AND(ArtifactsInput!$M$42,((Inputs!$B$9+((C642=TRUE)*(F642-Calc!F19))+B654+(ArtifactsInput!$M$24-ArtifactsInput!$M$24)*CHOOSE(ArtifactsInput!$N$24+1,10,12,14,16,18,20)+IF(ArtifactsInput!$M$10,CHOOSE(ArtifactsInput!$N$10+1,15,18,21,24,27,30)*(IF(Inputs!$B$38="pvp",MIN(15,15)/15,IF(AND(Inputs!$B$38&lt;&gt;"pvp",Inputs!$B$43&gt;0),MIN(15,Inputs!$B$43)/(Inputs!$B$43),0))),0)))&gt;=100),CHOOSE(ArtifactsInput!$N$42+1,40,48,56,64,72,80),0))))/100)*((1+(((C640=TRUE)*F640*5/7)+((C647=TRUE)*(F647-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635)</f>
        <v/>
      </c>
      <c r="L635">
        <f>K635*(MIN(Inputs!$B$22+((C645=TRUE)*(F645-Calc!F22)),(Inputs!$B$23+0+(IF(ArtifactsInput!$M$15,CHOOSE(ArtifactsInput!$N$15+1,25,30,35,40,45,50)/100*(((1-(1-Inputs!$B$11/150)*(1-1/150))*150)-Inputs!$B$11),0))))/100+(Inputs!$B$23+0+(IF(ArtifactsInput!$M$15,CHOOSE(ArtifactsInput!$N$15+1,25,30,35,40,45,50)/100*(((1-(1-Inputs!$B$11/150)*(1-1/150))*150)-Inputs!$B$11),0)))/100)/2</f>
        <v/>
      </c>
      <c r="M635">
        <f>L635*(1+(Inputs!$B$10+((C648=TRUE)*(F648-Calc!F25))+B659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35">
        <f>L635*(1-MIN((Inputs!$B$9+((C642=TRUE)*(F642-Calc!F19))+B654+(ArtifactsInput!$M$24-ArtifactsInput!$M$24)*CHOOSE(ArtifactsInput!$N$24+1,10,12,14,16,18,20)+(IF(AND(Inputs!$B$38&lt;&gt;"pvp",Inputs!$B$43=0),1,IF(IF(Inputs!$B$38="pvp",15,Inputs!$B$43)-(B661)&lt;=0,1,MAX(0,IF(Inputs!$B$38="pvp",15,Inputs!$B$43)-MAX(5,B661))/(IF(Inputs!$B$38="pvp",15,Inputs!$B$43)-(B661))))*IF(AND(ArtifactsInput!$M$42,((Inputs!$B$9+((C642=TRUE)*(F642-Calc!F19))+B654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635*(MIN((Inputs!$B$9+((C642=TRUE)*(F642-Calc!F19))+B654+(ArtifactsInput!$M$24-ArtifactsInput!$M$24)*CHOOSE(ArtifactsInput!$N$24+1,10,12,14,16,18,20)+(IF(AND(Inputs!$B$38&lt;&gt;"pvp",Inputs!$B$43=0),1,IF(IF(Inputs!$B$38="pvp",15,Inputs!$B$43)-(B661)&lt;=0,1,MAX(0,IF(Inputs!$B$38="pvp",15,Inputs!$B$43)-MAX(5,B661))/(IF(Inputs!$B$38="pvp",15,Inputs!$B$43)-(B661))))*IF(AND(ArtifactsInput!$M$42,((Inputs!$B$9+((C642=TRUE)*(F642-Calc!F19))+B654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35">
        <f>(1-Summary!$B$11)*T635+Summary!$B$11*V635</f>
        <v/>
      </c>
      <c r="P635">
        <f>IF(B664=0,0,O635/B664)</f>
        <v/>
      </c>
      <c r="Q635">
        <f>IFERROR(1/(IF(Inputs!$B$38="pvp",15,MAX(0.1,Skills!D12-IF(TRUE=TRUE,Inputs!$B$32,0)))*(1-IF(AND(ArtifactsInput!$M$27,Inputs!$B$4="Chapter Hunt"),CHOOSE(ArtifactsInput!$N$27+1,20,24,28,32,36,40),0)/100)),0)</f>
        <v/>
      </c>
      <c r="R635">
        <f>IF(AND(Inputs!$B$38&lt;&gt;"pvp",Inputs!$B$43&gt;0),IF(MAX(0,Inputs!$B$43-B661)&lt;=0,0,(INT(MAX(0,Inputs!$B$43-B661)/(IF(Inputs!$B$38="pvp",15,MAX(0.1,Skills!D12-IF(TRUE=TRUE,Inputs!$B$32,0)))*(1-IF(AND(ArtifactsInput!$M$27,Inputs!$B$4="Chapter Hunt"),CHOOSE(ArtifactsInput!$N$27+1,20,24,28,32,36,40),0)/100)))+1)),0)</f>
        <v/>
      </c>
      <c r="S635">
        <f>IFERROR(O635/N635,0)</f>
        <v/>
      </c>
      <c r="T635">
        <f>IF(C635,(H635*N635*IF(AND(Inputs!$B$38&lt;&gt;"pvp",Inputs!$B$43&gt;0),((Skills!G12*((R635-1)*IF(Skills!H12&gt;0,INT(Skills!I12/Skills!H12+0.000000001),1)+IF(Skills!H12&gt;0,INT(MIN(Skills!I12,MAX(0,MAX(0,Inputs!$B$43-B661)-((R635-1)*(IF(Inputs!$B$38="pvp",15,MAX(0.1,Skills!D12-IF(TRUE=TRUE,Inputs!$B$32,0)))*(1-IF(AND(ArtifactsInput!$M$27,Inputs!$B$4="Chapter Hunt"),CHOOSE(ArtifactsInput!$N$27+1,20,24,28,32,36,40),0)/100)))))/Skills!H12+0.000000001),1)))/Inputs!$B$43),G635*Q635))*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Hunt"),CHOOSE(ArtifactsInput!$N$35+1,15,18,21,24,27,30)*(1-EXP(-(0.2*B656)*5)),0)+IF(AND(ArtifactsInput!$M$22,Inputs!$B$4&lt;&gt;"Chapter Hunt"),CHOOSE(ArtifactsInput!$N$22+1,10,12,14,16,18,20)*((0*(((0.15*B656*5))^0/1)+1*(((0.15*B656*5))^1/1)+2*(((0.15*B656*5))^2/2)+3*(((0.15*B656*5))^3/6)+4*(((0.15*B656*5))^4/24)+5*(((0.15*B656*5))^5/120))/((((0.15*B656*5))^0/1)+(((0.15*B656*5))^1/1)+(((0.15*B656*5))^2/2)+(((0.15*B656*5))^3/6)+(((0.15*B656*5))^4/24)+(((0.15*B656*5))^5/120))),0))+IF(Inputs!$B$3&gt;=54,9*(C626=TRUE)*MIN(1,8*(1+Inputs!$B$34/100)*Q626)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635*(1-MIN(100,(Inputs!$B$9+((C642=TRUE)*(F642-Calc!F19))+B654+(ArtifactsInput!$M$24-ArtifactsInput!$M$24)*CHOOSE(ArtifactsInput!$N$24+1,10,12,14,16,18,20)+(IF(AND(Inputs!$B$38&lt;&gt;"pvp",Inputs!$B$43=0),1,IF(IF(Inputs!$B$38="pvp",15,Inputs!$B$43)-(B661)&lt;=0,1,MAX(0,IF(Inputs!$B$38="pvp",15,Inputs!$B$43)-MAX(5,B661))/(IF(Inputs!$B$38="pvp",15,Inputs!$B$43)-(B661))))*IF(AND(ArtifactsInput!$M$42,((Inputs!$B$9+((C642=TRUE)*(F642-Calc!F19))+B654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635*(MIN(100,(Inputs!$B$9+((C642=TRUE)*(F642-Calc!F19))+B654+(ArtifactsInput!$M$24-ArtifactsInput!$M$24)*CHOOSE(ArtifactsInput!$N$24+1,10,12,14,16,18,20)+(IF(AND(Inputs!$B$38&lt;&gt;"pvp",Inputs!$B$43=0),1,IF(IF(Inputs!$B$38="pvp",15,Inputs!$B$43)-(B661)&lt;=0,1,MAX(0,IF(Inputs!$B$38="pvp",15,Inputs!$B$43)-MAX(5,B661))/(IF(Inputs!$B$38="pvp",15,Inputs!$B$43)-(B661))))*IF(AND(ArtifactsInput!$M$42,((Inputs!$B$9+((C642=TRUE)*(F642-Calc!F19))+B654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635*(1-MIN(100,(Inputs!$B$9+((C642=TRUE)*(F642-Calc!F19))+B654+(ArtifactsInput!$M$24-ArtifactsInput!$M$24)*CHOOSE(ArtifactsInput!$N$24+1,10,12,14,16,18,20)+(IF(AND(Inputs!$B$38&lt;&gt;"pvp",Inputs!$B$43=0),1,IF(IF(Inputs!$B$38="pvp",15,Inputs!$B$43)-(B661)&lt;=0,1,MAX(0,IF(Inputs!$B$38="pvp",15,Inputs!$B$43)-MAX(5,B661))/(IF(Inputs!$B$38="pvp",15,Inputs!$B$43)-(B661))))*IF(AND(ArtifactsInput!$M$42,((Inputs!$B$9+((C642=TRUE)*(F642-Calc!F19))+B654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635*(MIN(100,(Inputs!$B$9+((C642=TRUE)*(F642-Calc!F19))+B654+(ArtifactsInput!$M$24-ArtifactsInput!$M$24)*CHOOSE(ArtifactsInput!$N$24+1,10,12,14,16,18,20)+(IF(AND(Inputs!$B$38&lt;&gt;"pvp",Inputs!$B$43=0),1,IF(IF(Inputs!$B$38="pvp",15,Inputs!$B$43)-(B661)&lt;=0,1,MAX(0,IF(Inputs!$B$38="pvp",15,Inputs!$B$43)-MAX(5,B661))/(IF(Inputs!$B$38="pvp",15,Inputs!$B$43)-(B661))))*IF(AND(ArtifactsInput!$M$42,((Inputs!$B$9+((C642=TRUE)*(F642-Calc!F19))+B654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635">
        <f>IF(C635,(H635*N635*IF(AND(Inputs!$B$38&lt;&gt;"pvp",Inputs!$B$43&gt;0),((Skills!G12*((R635-1)*IF(Skills!H12&gt;0,INT(Skills!I12/Skills!H12+0.000000001),1)+IF(Skills!H12&gt;0,INT(MIN(Skills!I12,MAX(0,MAX(0,Inputs!$B$43-B661)-((R635-1)*(IF(Inputs!$B$38="pvp",15,MAX(0.1,Skills!D12-IF(TRUE=TRUE,Inputs!$B$32,0)))*(1-IF(AND(ArtifactsInput!$M$27,Inputs!$B$4="Chapter Hunt"),CHOOSE(ArtifactsInput!$N$27+1,20,24,28,32,36,40),0)/100)))))/Skills!H12+0.000000001),1)))/Inputs!$B$43),G635*Q635))*IF(Inputs!$B$38="pvp",1,(1+(Inputs!$B$21+Skills!Q12+(IF(ArtifactsInput!$M$33,CHOOSE(ArtifactsInput!$N$33+1,30,36,42,48,54,60),0))+(IF(AND(ArtifactsInput!$M$35,Inputs!$B$4&lt;&gt;"Chapter Hunt"),CHOOSE(ArtifactsInput!$N$35+1,15,18,21,24,27,30)*(1-EXP(-(0.2*B656)*5)),0)+IF(AND(ArtifactsInput!$M$22,Inputs!$B$4&lt;&gt;"Chapter Hunt"),CHOOSE(ArtifactsInput!$N$22+1,10,12,14,16,18,20)*((0*(((0.15*B656*5))^0/1)+1*(((0.15*B656*5))^1/1)+2*(((0.15*B656*5))^2/2)+3*(((0.15*B656*5))^3/6)+4*(((0.15*B656*5))^4/24)+5*(((0.15*B656*5))^5/120))/((((0.15*B656*5))^0/1)+(((0.15*B656*5))^1/1)+(((0.15*B656*5))^2/2)+(((0.15*B656*5))^3/6)+(((0.15*B656*5))^4/24)+(((0.15*B656*5))^5/120))),0))+IF(Inputs!$B$3&gt;=54,9*(C626=TRUE)*MIN(1,8*(1+Inputs!$B$34/100)*Q626),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36">
      <c r="A636">
        <f>Skills!A13</f>
        <v/>
      </c>
      <c r="B636">
        <f>Skills!B13</f>
        <v/>
      </c>
      <c r="C636">
        <f>Inputs!$B$3&gt;=110</f>
        <v/>
      </c>
      <c r="D636">
        <f>IF(Skills!C13=1,60+Inputs!$B$25+Inputs!$B$29,IF(Skills!C13=2,90+Inputs!$B$26+Inputs!$B$29,IF(Skills!C13=3,120+Inputs!$B$27+Inputs!$B$29,MAX(0,(Inputs!$B$3-100)*3)+Inputs!$B$28+Inputs!$B$29)))</f>
        <v/>
      </c>
      <c r="E636">
        <f>INDEX(FactorTable!$B$2:$Y$301, MATCH(ROUND(MIN(300,MAX(1,D636)),0), FactorTable!$A$2:$A$301,0), Skills!M13+1)</f>
        <v/>
      </c>
      <c r="F636">
        <f>IF(Skills!N13=TRUE,(Skills!L13/10)*(E636/1000),Skills!L13/10)+Skills!O13</f>
        <v/>
      </c>
      <c r="G636">
        <f>Skills!G13*IF(Skills!H13&gt;0,INT(IF(Inputs!$B$38="pvp",MIN(Skills!I13,15),Skills!I13)/Skills!H13+0.000000001),1)</f>
        <v/>
      </c>
      <c r="H636">
        <f>1-(1-Skills!J13/100)^Skills!K13</f>
        <v/>
      </c>
      <c r="I636" t="inlineStr">
        <is>
          <t>1</t>
        </is>
      </c>
      <c r="J636">
        <f>((Inputs!$B$6*(1+Inputs!$B$7/100))+(((Inputs!$B$12*(1+Inputs!$B$13/100))-(Inputs!$B$12*(1+Inputs!$B$13/100)))+0.25*(Inputs!$B$14-Inputs!$B$14))*(1+Inputs!$B$7/100))*(F636/100)</f>
        <v/>
      </c>
      <c r="K636">
        <f>J636*(1+((Inputs!$B$12*(1+Inputs!$B$13/100))*0.01+Inputs!$B$14*0.0025)/100)*(1+Inputs!$B$15/100)*(1+Inputs!$B$16/100)*(5000/(6000+Inputs!$B$42*(1-(100*(1-(1-(Inputs!$B$19+0)/100)*(1-CHOOSE(ArtifactsInput!$N$40+1,5,6,7,8,9,10)/100)^(ArtifactsInput!$M$40-ArtifactsInput!$M$40)))/100)))*(1+(Inputs!$B$24+((C649=TRUE)*(F649-Calc!F26))+B660)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(1-(1-Inputs!$B$11/150)*(1-1/150))*150)-60))),0)-IF(ArtifactsInput!$M$34,MIN(CHOOSE(ArtifactsInput!$N$34+1,10,12,14,16,18,20),MAX(0,(CHOOSE(ArtifactsInput!$N$34+1,0.5,0.6,0.7,0.8,0.9,1)/3)*(Inputs!$B$11-60))),0)))/100)*(1+(IF(Skills!A13="EIGHT_LEGS_EASTON",Inputs!$B$17+((C646=TRUE)*(F646-Calc!F23))+((C650=TRUE)*(F650-Calc!F27))+((IF(AND(Inputs!$B$38&lt;&gt;"pvp",Inputs!$B$43=0),1,IF(IF(Inputs!$B$38="pvp",15,Inputs!$B$43)-(B661)&lt;=0,1,MAX(0,IF(Inputs!$B$38="pvp",15,Inputs!$B$43)-MAX(5,B661))/(IF(Inputs!$B$38="pvp",15,Inputs!$B$43)-(B661))))*(IF(AND(ArtifactsInput!$M$42,((Inputs!$B$9+((C642=TRUE)*(F642-Calc!F19))+B654+(ArtifactsInput!$M$24-ArtifactsInput!$M$24)*CHOOSE(ArtifactsInput!$N$24+1,10,12,14,16,18,20)+IF(ArtifactsInput!$M$10,CHOOSE(ArtifactsInput!$N$10+1,15,18,21,24,27,30)*(IF(Inputs!$B$38="pvp",MIN(15,15)/15,IF(AND(Inputs!$B$38&lt;&gt;"pvp",Inputs!$B$43&gt;0),MIN(15,Inputs!$B$43)/(Inputs!$B$43),0))),0)))&gt;=100),MIN(100,((Inputs!$B$9+((C642=TRUE)*(F642-Calc!F19))+B654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661)&lt;=0,1,MAX(0,IF(Inputs!$B$38="pvp",15,Inputs!$B$43)-MAX(5,B661))/(IF(Inputs!$B$38="pvp",15,Inputs!$B$43)-(B661))))*IF(AND(ArtifactsInput!$M$42,((Inputs!$B$9+((C642=TRUE)*(F642-Calc!F19))+B654+(ArtifactsInput!$M$24-ArtifactsInput!$M$24)*CHOOSE(ArtifactsInput!$N$24+1,10,12,14,16,18,20)+IF(ArtifactsInput!$M$10,CHOOSE(ArtifactsInput!$N$10+1,15,18,21,24,27,30)*(IF(Inputs!$B$38="pvp",MIN(15,15)/15,IF(AND(Inputs!$B$38&lt;&gt;"pvp",Inputs!$B$43&gt;0),MIN(15,Inputs!$B$43)/(Inputs!$B$43),0))),0)))&gt;=100),CHOOSE(ArtifactsInput!$N$42+1,40,48,56,64,72,80),0))))/100)*((1+(((C640=TRUE)*F640*5/7)+((C647=TRUE)*(F647-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636)</f>
        <v/>
      </c>
      <c r="L636">
        <f>K636*(MIN(Inputs!$B$22+((C645=TRUE)*(F645-Calc!F22)),(Inputs!$B$23+0+(IF(ArtifactsInput!$M$15,CHOOSE(ArtifactsInput!$N$15+1,25,30,35,40,45,50)/100*(((1-(1-Inputs!$B$11/150)*(1-1/150))*150)-Inputs!$B$11),0))))/100+(Inputs!$B$23+0+(IF(ArtifactsInput!$M$15,CHOOSE(ArtifactsInput!$N$15+1,25,30,35,40,45,50)/100*(((1-(1-Inputs!$B$11/150)*(1-1/150))*150)-Inputs!$B$11),0)))/100)/2</f>
        <v/>
      </c>
      <c r="M636">
        <f>L636*(1+(Inputs!$B$10+((C648=TRUE)*(F648-Calc!F25))+B659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36">
        <f>L636*(1-MIN((Inputs!$B$9+((C642=TRUE)*(F642-Calc!F19))+B654+(ArtifactsInput!$M$24-ArtifactsInput!$M$24)*CHOOSE(ArtifactsInput!$N$24+1,10,12,14,16,18,20)+(IF(AND(Inputs!$B$38&lt;&gt;"pvp",Inputs!$B$43=0),1,IF(IF(Inputs!$B$38="pvp",15,Inputs!$B$43)-(B661)&lt;=0,1,MAX(0,IF(Inputs!$B$38="pvp",15,Inputs!$B$43)-MAX(5,B661))/(IF(Inputs!$B$38="pvp",15,Inputs!$B$43)-(B661))))*IF(AND(ArtifactsInput!$M$42,((Inputs!$B$9+((C642=TRUE)*(F642-Calc!F19))+B654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636*(MIN((Inputs!$B$9+((C642=TRUE)*(F642-Calc!F19))+B654+(ArtifactsInput!$M$24-ArtifactsInput!$M$24)*CHOOSE(ArtifactsInput!$N$24+1,10,12,14,16,18,20)+(IF(AND(Inputs!$B$38&lt;&gt;"pvp",Inputs!$B$43=0),1,IF(IF(Inputs!$B$38="pvp",15,Inputs!$B$43)-(B661)&lt;=0,1,MAX(0,IF(Inputs!$B$38="pvp",15,Inputs!$B$43)-MAX(5,B661))/(IF(Inputs!$B$38="pvp",15,Inputs!$B$43)-(B661))))*IF(AND(ArtifactsInput!$M$42,((Inputs!$B$9+((C642=TRUE)*(F642-Calc!F19))+B654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36">
        <f>(1-Summary!$B$11)*T636+Summary!$B$11*V636</f>
        <v/>
      </c>
      <c r="P636">
        <f>IF(B664=0,0,O636/B664)</f>
        <v/>
      </c>
      <c r="Q636">
        <f>IFERROR(1/(IF(Inputs!$B$38="pvp",15,MAX(0.1,Skills!D13-IF(TRUE=TRUE,Inputs!$B$32,0)))*(1-IF(AND(ArtifactsInput!$M$27,Inputs!$B$4="Chapter Hunt"),CHOOSE(ArtifactsInput!$N$27+1,20,24,28,32,36,40),0)/100)),0)</f>
        <v/>
      </c>
      <c r="R636">
        <f>IF(AND(Inputs!$B$38&lt;&gt;"pvp",Inputs!$B$43&gt;0),IF(MAX(0,Inputs!$B$43-B661)&lt;=0,0,(INT(MAX(0,Inputs!$B$43-B661)/(IF(Inputs!$B$38="pvp",15,MAX(0.1,Skills!D13-IF(TRUE=TRUE,Inputs!$B$32,0)))*(1-IF(AND(ArtifactsInput!$M$27,Inputs!$B$4="Chapter Hunt"),CHOOSE(ArtifactsInput!$N$27+1,20,24,28,32,36,40),0)/100)))+1)),0)</f>
        <v/>
      </c>
      <c r="S636">
        <f>IFERROR(O636/N636,0)</f>
        <v/>
      </c>
      <c r="T636">
        <f>IF(C636,(H636*N636*IF(AND(Inputs!$B$38&lt;&gt;"pvp",Inputs!$B$43&gt;0),((Skills!G13*((R636-1)*IF(Skills!H13&gt;0,INT(Skills!I13/Skills!H13+0.000000001),1)+IF(Skills!H13&gt;0,INT(MIN(Skills!I13,MAX(0,MAX(0,Inputs!$B$43-B661)-((R636-1)*(IF(Inputs!$B$38="pvp",15,MAX(0.1,Skills!D13-IF(TRUE=TRUE,Inputs!$B$32,0)))*(1-IF(AND(ArtifactsInput!$M$27,Inputs!$B$4="Chapter Hunt"),CHOOSE(ArtifactsInput!$N$27+1,20,24,28,32,36,40),0)/100)))))/Skills!H13+0.000000001),1)))/Inputs!$B$43),G636*Q636))*IF(Inputs!$B$38="pvp",1,1+(Inputs!$B$20+0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Hunt"),CHOOSE(ArtifactsInput!$N$35+1,15,18,21,24,27,30)*(1-EXP(-(0.2*B656)*5)),0)+IF(AND(ArtifactsInput!$M$22,Inputs!$B$4&lt;&gt;"Chapter Hunt"),CHOOSE(ArtifactsInput!$N$22+1,10,12,14,16,18,20)*((0*(((0.15*B656*5))^0/1)+1*(((0.15*B656*5))^1/1)+2*(((0.15*B656*5))^2/2)+3*(((0.15*B656*5))^3/6)+4*(((0.15*B656*5))^4/24)+5*(((0.15*B656*5))^5/120))/((((0.15*B656*5))^0/1)+(((0.15*B656*5))^1/1)+(((0.15*B656*5))^2/2)+(((0.15*B656*5))^3/6)+(((0.15*B656*5))^4/24)+(((0.15*B656*5))^5/120))),0))+IF(Inputs!$B$3&gt;=54,9*(C626=TRUE)*MIN(1,8*(1+Inputs!$B$34/100)*Q626)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636*(1-MIN(100,(Inputs!$B$9+((C642=TRUE)*(F642-Calc!F19))+B654+(ArtifactsInput!$M$24-ArtifactsInput!$M$24)*CHOOSE(ArtifactsInput!$N$24+1,10,12,14,16,18,20)+(IF(AND(Inputs!$B$38&lt;&gt;"pvp",Inputs!$B$43=0),1,IF(IF(Inputs!$B$38="pvp",15,Inputs!$B$43)-(B661)&lt;=0,1,MAX(0,IF(Inputs!$B$38="pvp",15,Inputs!$B$43)-MAX(5,B661))/(IF(Inputs!$B$38="pvp",15,Inputs!$B$43)-(B661))))*IF(AND(ArtifactsInput!$M$42,((Inputs!$B$9+((C642=TRUE)*(F642-Calc!F19))+B654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636*(MIN(100,(Inputs!$B$9+((C642=TRUE)*(F642-Calc!F19))+B654+(ArtifactsInput!$M$24-ArtifactsInput!$M$24)*CHOOSE(ArtifactsInput!$N$24+1,10,12,14,16,18,20)+(IF(AND(Inputs!$B$38&lt;&gt;"pvp",Inputs!$B$43=0),1,IF(IF(Inputs!$B$38="pvp",15,Inputs!$B$43)-(B661)&lt;=0,1,MAX(0,IF(Inputs!$B$38="pvp",15,Inputs!$B$43)-MAX(5,B661))/(IF(Inputs!$B$38="pvp",15,Inputs!$B$43)-(B661))))*IF(AND(ArtifactsInput!$M$42,((Inputs!$B$9+((C642=TRUE)*(F642-Calc!F19))+B654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636*(1-MIN(100,(Inputs!$B$9+((C642=TRUE)*(F642-Calc!F19))+B654+(ArtifactsInput!$M$24-ArtifactsInput!$M$24)*CHOOSE(ArtifactsInput!$N$24+1,10,12,14,16,18,20)+(IF(AND(Inputs!$B$38&lt;&gt;"pvp",Inputs!$B$43=0),1,IF(IF(Inputs!$B$38="pvp",15,Inputs!$B$43)-(B661)&lt;=0,1,MAX(0,IF(Inputs!$B$38="pvp",15,Inputs!$B$43)-MAX(5,B661))/(IF(Inputs!$B$38="pvp",15,Inputs!$B$43)-(B661))))*IF(AND(ArtifactsInput!$M$42,((Inputs!$B$9+((C642=TRUE)*(F642-Calc!F19))+B654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636*(MIN(100,(Inputs!$B$9+((C642=TRUE)*(F642-Calc!F19))+B654+(ArtifactsInput!$M$24-ArtifactsInput!$M$24)*CHOOSE(ArtifactsInput!$N$24+1,10,12,14,16,18,20)+(IF(AND(Inputs!$B$38&lt;&gt;"pvp",Inputs!$B$43=0),1,IF(IF(Inputs!$B$38="pvp",15,Inputs!$B$43)-(B661)&lt;=0,1,MAX(0,IF(Inputs!$B$38="pvp",15,Inputs!$B$43)-MAX(5,B661))/(IF(Inputs!$B$38="pvp",15,Inputs!$B$43)-(B661))))*IF(AND(ArtifactsInput!$M$42,((Inputs!$B$9+((C642=TRUE)*(F642-Calc!F19))+B654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636">
        <f>IF(C636,(H636*N636*IF(AND(Inputs!$B$38&lt;&gt;"pvp",Inputs!$B$43&gt;0),((Skills!G13*((R636-1)*IF(Skills!H13&gt;0,INT(Skills!I13/Skills!H13+0.000000001),1)+IF(Skills!H13&gt;0,INT(MIN(Skills!I13,MAX(0,MAX(0,Inputs!$B$43-B661)-((R636-1)*(IF(Inputs!$B$38="pvp",15,MAX(0.1,Skills!D13-IF(TRUE=TRUE,Inputs!$B$32,0)))*(1-IF(AND(ArtifactsInput!$M$27,Inputs!$B$4="Chapter Hunt"),CHOOSE(ArtifactsInput!$N$27+1,20,24,28,32,36,40),0)/100)))))/Skills!H13+0.000000001),1)))/Inputs!$B$43),G636*Q636))*IF(Inputs!$B$38="pvp",1,(1+(Inputs!$B$21+Skills!Q13+(IF(ArtifactsInput!$M$33,CHOOSE(ArtifactsInput!$N$33+1,30,36,42,48,54,60),0))+(IF(AND(ArtifactsInput!$M$35,Inputs!$B$4&lt;&gt;"Chapter Hunt"),CHOOSE(ArtifactsInput!$N$35+1,15,18,21,24,27,30)*(1-EXP(-(0.2*B656)*5)),0)+IF(AND(ArtifactsInput!$M$22,Inputs!$B$4&lt;&gt;"Chapter Hunt"),CHOOSE(ArtifactsInput!$N$22+1,10,12,14,16,18,20)*((0*(((0.15*B656*5))^0/1)+1*(((0.15*B656*5))^1/1)+2*(((0.15*B656*5))^2/2)+3*(((0.15*B656*5))^3/6)+4*(((0.15*B656*5))^4/24)+5*(((0.15*B656*5))^5/120))/((((0.15*B656*5))^0/1)+(((0.15*B656*5))^1/1)+(((0.15*B656*5))^2/2)+(((0.15*B656*5))^3/6)+(((0.15*B656*5))^4/24)+(((0.15*B656*5))^5/120))),0))+IF(Inputs!$B$3&gt;=54,9*(C626=TRUE)*MIN(1,8*(1+Inputs!$B$34/100)*Q626),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37">
      <c r="A637">
        <f>Skills!A14</f>
        <v/>
      </c>
      <c r="B637">
        <f>Skills!B14</f>
        <v/>
      </c>
      <c r="C637">
        <f>Inputs!$B$3&gt;=120</f>
        <v/>
      </c>
      <c r="D637">
        <f>IF(Skills!C14=1,60+Inputs!$B$25+Inputs!$B$29,IF(Skills!C14=2,90+Inputs!$B$26+Inputs!$B$29,IF(Skills!C14=3,120+Inputs!$B$27+Inputs!$B$29,MAX(0,(Inputs!$B$3-100)*3)+Inputs!$B$28+Inputs!$B$29)))</f>
        <v/>
      </c>
      <c r="E637">
        <f>INDEX(FactorTable!$B$2:$Y$301, MATCH(ROUND(MIN(300,MAX(1,D637)),0), FactorTable!$A$2:$A$301,0), Skills!M14+1)</f>
        <v/>
      </c>
      <c r="F637">
        <f>IF(Skills!N14=TRUE,(Skills!L14/10)*(E637/1000),Skills!L14/10)+Skills!O14</f>
        <v/>
      </c>
      <c r="G637">
        <f>Skills!G14*IF(Skills!H14&gt;0,INT(IF(Inputs!$B$38="pvp",MIN(Skills!I14,15),Skills!I14)/Skills!H14+0.000000001),1)</f>
        <v/>
      </c>
      <c r="H637">
        <f>1-(1-Skills!J14/100)^Skills!K14</f>
        <v/>
      </c>
      <c r="I637" t="inlineStr">
        <is>
          <t>1</t>
        </is>
      </c>
      <c r="J637">
        <f>((Inputs!$B$6*(1+Inputs!$B$7/100))+(((Inputs!$B$12*(1+Inputs!$B$13/100))-(Inputs!$B$12*(1+Inputs!$B$13/100)))+0.25*(Inputs!$B$14-Inputs!$B$14))*(1+Inputs!$B$7/100))*(F637/100)</f>
        <v/>
      </c>
      <c r="K637">
        <f>J637*(1+((Inputs!$B$12*(1+Inputs!$B$13/100))*0.01+Inputs!$B$14*0.0025)/100)*(1+Inputs!$B$15/100)*(1+Inputs!$B$16/100)*(5000/(6000+Inputs!$B$42*(1-(100*(1-(1-(Inputs!$B$19+0)/100)*(1-CHOOSE(ArtifactsInput!$N$40+1,5,6,7,8,9,10)/100)^(ArtifactsInput!$M$40-ArtifactsInput!$M$40)))/100)))*(1+(Inputs!$B$24+((C649=TRUE)*(F649-Calc!F26))+B660)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(1-(1-Inputs!$B$11/150)*(1-1/150))*150)-60))),0)-IF(ArtifactsInput!$M$34,MIN(CHOOSE(ArtifactsInput!$N$34+1,10,12,14,16,18,20),MAX(0,(CHOOSE(ArtifactsInput!$N$34+1,0.5,0.6,0.7,0.8,0.9,1)/3)*(Inputs!$B$11-60))),0)))/100)*(1+(IF(Skills!A14="EIGHT_LEGS_EASTON",Inputs!$B$17+((C646=TRUE)*(F646-Calc!F23))+((C650=TRUE)*(F650-Calc!F27))+((IF(AND(Inputs!$B$38&lt;&gt;"pvp",Inputs!$B$43=0),1,IF(IF(Inputs!$B$38="pvp",15,Inputs!$B$43)-(B661)&lt;=0,1,MAX(0,IF(Inputs!$B$38="pvp",15,Inputs!$B$43)-MAX(5,B661))/(IF(Inputs!$B$38="pvp",15,Inputs!$B$43)-(B661))))*(IF(AND(ArtifactsInput!$M$42,((Inputs!$B$9+((C642=TRUE)*(F642-Calc!F19))+B654+(ArtifactsInput!$M$24-ArtifactsInput!$M$24)*CHOOSE(ArtifactsInput!$N$24+1,10,12,14,16,18,20)+IF(ArtifactsInput!$M$10,CHOOSE(ArtifactsInput!$N$10+1,15,18,21,24,27,30)*(IF(Inputs!$B$38="pvp",MIN(15,15)/15,IF(AND(Inputs!$B$38&lt;&gt;"pvp",Inputs!$B$43&gt;0),MIN(15,Inputs!$B$43)/(Inputs!$B$43),0))),0)))&gt;=100),MIN(100,((Inputs!$B$9+((C642=TRUE)*(F642-Calc!F19))+B654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661)&lt;=0,1,MAX(0,IF(Inputs!$B$38="pvp",15,Inputs!$B$43)-MAX(5,B661))/(IF(Inputs!$B$38="pvp",15,Inputs!$B$43)-(B661))))*IF(AND(ArtifactsInput!$M$42,((Inputs!$B$9+((C642=TRUE)*(F642-Calc!F19))+B654+(ArtifactsInput!$M$24-ArtifactsInput!$M$24)*CHOOSE(ArtifactsInput!$N$24+1,10,12,14,16,18,20)+IF(ArtifactsInput!$M$10,CHOOSE(ArtifactsInput!$N$10+1,15,18,21,24,27,30)*(IF(Inputs!$B$38="pvp",MIN(15,15)/15,IF(AND(Inputs!$B$38&lt;&gt;"pvp",Inputs!$B$43&gt;0),MIN(15,Inputs!$B$43)/(Inputs!$B$43),0))),0)))&gt;=100),CHOOSE(ArtifactsInput!$N$42+1,40,48,56,64,72,80),0))))/100)*((1+(((C640=TRUE)*F640*5/7)+((C647=TRUE)*(F647-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637)</f>
        <v/>
      </c>
      <c r="L637">
        <f>K637*(MIN(Inputs!$B$22+((C645=TRUE)*(F645-Calc!F22)),(Inputs!$B$23+0+(IF(ArtifactsInput!$M$15,CHOOSE(ArtifactsInput!$N$15+1,25,30,35,40,45,50)/100*(((1-(1-Inputs!$B$11/150)*(1-1/150))*150)-Inputs!$B$11),0))))/100+(Inputs!$B$23+0+(IF(ArtifactsInput!$M$15,CHOOSE(ArtifactsInput!$N$15+1,25,30,35,40,45,50)/100*(((1-(1-Inputs!$B$11/150)*(1-1/150))*150)-Inputs!$B$11),0)))/100)/2</f>
        <v/>
      </c>
      <c r="M637">
        <f>L637*(1+(Inputs!$B$10+((C648=TRUE)*(F648-Calc!F25))+B659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37">
        <f>L637*(1-MIN((Inputs!$B$9+((C642=TRUE)*(F642-Calc!F19))+B654+(ArtifactsInput!$M$24-ArtifactsInput!$M$24)*CHOOSE(ArtifactsInput!$N$24+1,10,12,14,16,18,20)+(IF(AND(Inputs!$B$38&lt;&gt;"pvp",Inputs!$B$43=0),1,IF(IF(Inputs!$B$38="pvp",15,Inputs!$B$43)-(B661)&lt;=0,1,MAX(0,IF(Inputs!$B$38="pvp",15,Inputs!$B$43)-MAX(5,B661))/(IF(Inputs!$B$38="pvp",15,Inputs!$B$43)-(B661))))*IF(AND(ArtifactsInput!$M$42,((Inputs!$B$9+((C642=TRUE)*(F642-Calc!F19))+B654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637*(MIN((Inputs!$B$9+((C642=TRUE)*(F642-Calc!F19))+B654+(ArtifactsInput!$M$24-ArtifactsInput!$M$24)*CHOOSE(ArtifactsInput!$N$24+1,10,12,14,16,18,20)+(IF(AND(Inputs!$B$38&lt;&gt;"pvp",Inputs!$B$43=0),1,IF(IF(Inputs!$B$38="pvp",15,Inputs!$B$43)-(B661)&lt;=0,1,MAX(0,IF(Inputs!$B$38="pvp",15,Inputs!$B$43)-MAX(5,B661))/(IF(Inputs!$B$38="pvp",15,Inputs!$B$43)-(B661))))*IF(AND(ArtifactsInput!$M$42,((Inputs!$B$9+((C642=TRUE)*(F642-Calc!F19))+B654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37">
        <f>(1-Summary!$B$11)*T637+Summary!$B$11*V637</f>
        <v/>
      </c>
      <c r="P637">
        <f>IF(B664=0,0,O637/B664)</f>
        <v/>
      </c>
      <c r="Q637" t="n">
        <v>0</v>
      </c>
      <c r="R637" t="n">
        <v>0</v>
      </c>
      <c r="S637">
        <f>IFERROR(O637/N637,0)</f>
        <v/>
      </c>
      <c r="T637">
        <f>IF(C637,((H637*(B658+IF(AND(Inputs!$B$38&lt;&gt;"pvp",Inputs!$B$43&gt;0),((Skills!G8*((R631-1)*IF(Skills!H8&gt;0,INT(Skills!I8/Skills!H8+0.000000001),1)+IF(Skills!H8&gt;0,INT(MIN(Skills!I8,MAX(0,MAX(0,Inputs!$B$43-B661)-((R631-1)*((IF(Inputs!$B$38="pvp",15,MAX(0.1,Skills!D8-IF(TRUE=TRUE,Inputs!$B$32,0)))*(1-IF(AND(ArtifactsInput!$M$27,Inputs!$B$4="Chapter Hunt"),CHOOSE(ArtifactsInput!$N$27+1,20,24,28,32,36,40),0)/100))/B665))))/Skills!H8+0.000000001),1)))/Inputs!$B$43),G631*Q631)+IF(AND(Inputs!$B$38&lt;&gt;"pvp",Inputs!$B$43&gt;0),((Skills!G11*((R634-1)*IF(Skills!H11&gt;0,INT(Skills!I11/Skills!H11+0.000000001),1)+IF(Skills!H11&gt;0,INT(MIN(Skills!I11,MAX(0,MAX(0,Inputs!$B$43-B661)-((R634-1)*((IF(Inputs!$B$38="pvp",15,MAX(0.1,Skills!D11-IF(TRUE=TRUE,Inputs!$B$32,0)))*(1-IF(AND(ArtifactsInput!$M$27,Inputs!$B$4="Chapter Hunt"),CHOOSE(ArtifactsInput!$N$27+1,20,24,28,32,36,40),0)/100))/B665))))/Skills!H11+0.000000001),1)))/Inputs!$B$43),G634*Q634)))/(1+Skills!H14*H637*(B658+IF(AND(Inputs!$B$38&lt;&gt;"pvp",Inputs!$B$43&gt;0),((Skills!G8*((R631-1)*IF(Skills!H8&gt;0,INT(Skills!I8/Skills!H8+0.000000001),1)+IF(Skills!H8&gt;0,INT(MIN(Skills!I8,MAX(0,MAX(0,Inputs!$B$43-B661)-((R631-1)*((IF(Inputs!$B$38="pvp",15,MAX(0.1,Skills!D8-IF(TRUE=TRUE,Inputs!$B$32,0)))*(1-IF(AND(ArtifactsInput!$M$27,Inputs!$B$4="Chapter Hunt"),CHOOSE(ArtifactsInput!$N$27+1,20,24,28,32,36,40),0)/100))/B665))))/Skills!H8+0.000000001),1)))/Inputs!$B$43),G631*Q631)+IF(AND(Inputs!$B$38&lt;&gt;"pvp",Inputs!$B$43&gt;0),((Skills!G11*((R634-1)*IF(Skills!H11&gt;0,INT(Skills!I11/Skills!H11+0.000000001),1)+IF(Skills!H11&gt;0,INT(MIN(Skills!I11,MAX(0,MAX(0,Inputs!$B$43-B661)-((R634-1)*((IF(Inputs!$B$38="pvp",15,MAX(0.1,Skills!D11-IF(TRUE=TRUE,Inputs!$B$32,0)))*(1-IF(AND(ArtifactsInput!$M$27,Inputs!$B$4="Chapter Hunt"),CHOOSE(ArtifactsInput!$N$27+1,20,24,28,32,36,40),0)/100))/B665))))/Skills!H11+0.000000001),1)))/Inputs!$B$43),G634*Q634)))*N637)*IF(Inputs!$B$38="pvp",1,1+(Inputs!$B$20+0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Hunt"),CHOOSE(ArtifactsInput!$N$35+1,15,18,21,24,27,30)*(1-EXP(-(0.2*B656)*5)),0)+IF(AND(ArtifactsInput!$M$22,Inputs!$B$4&lt;&gt;"Chapter Hunt"),CHOOSE(ArtifactsInput!$N$22+1,10,12,14,16,18,20)*((0*(((0.15*B656*5))^0/1)+1*(((0.15*B656*5))^1/1)+2*(((0.15*B656*5))^2/2)+3*(((0.15*B656*5))^3/6)+4*(((0.15*B656*5))^4/24)+5*(((0.15*B656*5))^5/120))/((((0.15*B656*5))^0/1)+(((0.15*B656*5))^1/1)+(((0.15*B656*5))^2/2)+(((0.15*B656*5))^3/6)+(((0.15*B656*5))^4/24)+(((0.15*B656*5))^5/120))),0))+IF(Inputs!$B$3&gt;=54,9*(C626=TRUE)*MIN(1,8*(1+Inputs!$B$34/100)*Q626)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637*(1-MIN(100,(Inputs!$B$9+((C642=TRUE)*(F642-Calc!F19))+B654+(ArtifactsInput!$M$24-ArtifactsInput!$M$24)*CHOOSE(ArtifactsInput!$N$24+1,10,12,14,16,18,20)+(IF(AND(Inputs!$B$38&lt;&gt;"pvp",Inputs!$B$43=0),1,IF(IF(Inputs!$B$38="pvp",15,Inputs!$B$43)-(B661)&lt;=0,1,MAX(0,IF(Inputs!$B$38="pvp",15,Inputs!$B$43)-MAX(5,B661))/(IF(Inputs!$B$38="pvp",15,Inputs!$B$43)-(B661))))*IF(AND(ArtifactsInput!$M$42,((Inputs!$B$9+((C642=TRUE)*(F642-Calc!F19))+B654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637*(MIN(100,(Inputs!$B$9+((C642=TRUE)*(F642-Calc!F19))+B654+(ArtifactsInput!$M$24-ArtifactsInput!$M$24)*CHOOSE(ArtifactsInput!$N$24+1,10,12,14,16,18,20)+(IF(AND(Inputs!$B$38&lt;&gt;"pvp",Inputs!$B$43=0),1,IF(IF(Inputs!$B$38="pvp",15,Inputs!$B$43)-(B661)&lt;=0,1,MAX(0,IF(Inputs!$B$38="pvp",15,Inputs!$B$43)-MAX(5,B661))/(IF(Inputs!$B$38="pvp",15,Inputs!$B$43)-(B661))))*IF(AND(ArtifactsInput!$M$42,((Inputs!$B$9+((C642=TRUE)*(F642-Calc!F19))+B654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637*(1-MIN(100,(Inputs!$B$9+((C642=TRUE)*(F642-Calc!F19))+B654+(ArtifactsInput!$M$24-ArtifactsInput!$M$24)*CHOOSE(ArtifactsInput!$N$24+1,10,12,14,16,18,20)+(IF(AND(Inputs!$B$38&lt;&gt;"pvp",Inputs!$B$43=0),1,IF(IF(Inputs!$B$38="pvp",15,Inputs!$B$43)-(B661)&lt;=0,1,MAX(0,IF(Inputs!$B$38="pvp",15,Inputs!$B$43)-MAX(5,B661))/(IF(Inputs!$B$38="pvp",15,Inputs!$B$43)-(B661))))*IF(AND(ArtifactsInput!$M$42,((Inputs!$B$9+((C642=TRUE)*(F642-Calc!F19))+B654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637*(MIN(100,(Inputs!$B$9+((C642=TRUE)*(F642-Calc!F19))+B654+(ArtifactsInput!$M$24-ArtifactsInput!$M$24)*CHOOSE(ArtifactsInput!$N$24+1,10,12,14,16,18,20)+(IF(AND(Inputs!$B$38&lt;&gt;"pvp",Inputs!$B$43=0),1,IF(IF(Inputs!$B$38="pvp",15,Inputs!$B$43)-(B661)&lt;=0,1,MAX(0,IF(Inputs!$B$38="pvp",15,Inputs!$B$43)-MAX(5,B661))/(IF(Inputs!$B$38="pvp",15,Inputs!$B$43)-(B661))))*IF(AND(ArtifactsInput!$M$42,((Inputs!$B$9+((C642=TRUE)*(F642-Calc!F19))+B654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637">
        <f>IF(C637,((H637*(B658+IF(AND(Inputs!$B$38&lt;&gt;"pvp",Inputs!$B$43&gt;0),((Skills!G8*((R631-1)*IF(Skills!H8&gt;0,INT(Skills!I8/Skills!H8+0.000000001),1)+IF(Skills!H8&gt;0,INT(MIN(Skills!I8,MAX(0,MAX(0,Inputs!$B$43-B661)-((R631-1)*((IF(Inputs!$B$38="pvp",15,MAX(0.1,Skills!D8-IF(TRUE=TRUE,Inputs!$B$32,0)))*(1-IF(AND(ArtifactsInput!$M$27,Inputs!$B$4="Chapter Hunt"),CHOOSE(ArtifactsInput!$N$27+1,20,24,28,32,36,40),0)/100))/B665))))/Skills!H8+0.000000001),1)))/Inputs!$B$43),G631*Q631)+IF(AND(Inputs!$B$38&lt;&gt;"pvp",Inputs!$B$43&gt;0),((Skills!G11*((R634-1)*IF(Skills!H11&gt;0,INT(Skills!I11/Skills!H11+0.000000001),1)+IF(Skills!H11&gt;0,INT(MIN(Skills!I11,MAX(0,MAX(0,Inputs!$B$43-B661)-((R634-1)*((IF(Inputs!$B$38="pvp",15,MAX(0.1,Skills!D11-IF(TRUE=TRUE,Inputs!$B$32,0)))*(1-IF(AND(ArtifactsInput!$M$27,Inputs!$B$4="Chapter Hunt"),CHOOSE(ArtifactsInput!$N$27+1,20,24,28,32,36,40),0)/100))/B665))))/Skills!H11+0.000000001),1)))/Inputs!$B$43),G634*Q634)))/(1+Skills!H14*H637*(B658+IF(AND(Inputs!$B$38&lt;&gt;"pvp",Inputs!$B$43&gt;0),((Skills!G8*((R631-1)*IF(Skills!H8&gt;0,INT(Skills!I8/Skills!H8+0.000000001),1)+IF(Skills!H8&gt;0,INT(MIN(Skills!I8,MAX(0,MAX(0,Inputs!$B$43-B661)-((R631-1)*((IF(Inputs!$B$38="pvp",15,MAX(0.1,Skills!D8-IF(TRUE=TRUE,Inputs!$B$32,0)))*(1-IF(AND(ArtifactsInput!$M$27,Inputs!$B$4="Chapter Hunt"),CHOOSE(ArtifactsInput!$N$27+1,20,24,28,32,36,40),0)/100))/B665))))/Skills!H8+0.000000001),1)))/Inputs!$B$43),G631*Q631)+IF(AND(Inputs!$B$38&lt;&gt;"pvp",Inputs!$B$43&gt;0),((Skills!G11*((R634-1)*IF(Skills!H11&gt;0,INT(Skills!I11/Skills!H11+0.000000001),1)+IF(Skills!H11&gt;0,INT(MIN(Skills!I11,MAX(0,MAX(0,Inputs!$B$43-B661)-((R634-1)*((IF(Inputs!$B$38="pvp",15,MAX(0.1,Skills!D11-IF(TRUE=TRUE,Inputs!$B$32,0)))*(1-IF(AND(ArtifactsInput!$M$27,Inputs!$B$4="Chapter Hunt"),CHOOSE(ArtifactsInput!$N$27+1,20,24,28,32,36,40),0)/100))/B665))))/Skills!H11+0.000000001),1)))/Inputs!$B$43),G634*Q634)))*N637)*IF(Inputs!$B$38="pvp",1,(1+(Inputs!$B$21+Skills!Q14+(IF(ArtifactsInput!$M$33,CHOOSE(ArtifactsInput!$N$33+1,30,36,42,48,54,60),0))+(IF(AND(ArtifactsInput!$M$35,Inputs!$B$4&lt;&gt;"Chapter Hunt"),CHOOSE(ArtifactsInput!$N$35+1,15,18,21,24,27,30)*(1-EXP(-(0.2*B656)*5)),0)+IF(AND(ArtifactsInput!$M$22,Inputs!$B$4&lt;&gt;"Chapter Hunt"),CHOOSE(ArtifactsInput!$N$22+1,10,12,14,16,18,20)*((0*(((0.15*B656*5))^0/1)+1*(((0.15*B656*5))^1/1)+2*(((0.15*B656*5))^2/2)+3*(((0.15*B656*5))^3/6)+4*(((0.15*B656*5))^4/24)+5*(((0.15*B656*5))^5/120))/((((0.15*B656*5))^0/1)+(((0.15*B656*5))^1/1)+(((0.15*B656*5))^2/2)+(((0.15*B656*5))^3/6)+(((0.15*B656*5))^4/24)+(((0.15*B656*5))^5/120))),0))+IF(Inputs!$B$3&gt;=54,9*(C626=TRUE)*MIN(1,8*(1+Inputs!$B$34/100)*Q626),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38">
      <c r="A638">
        <f>Skills!A15</f>
        <v/>
      </c>
      <c r="B638">
        <f>Skills!B15</f>
        <v/>
      </c>
      <c r="C638">
        <f>Inputs!$B$3&gt;=100</f>
        <v/>
      </c>
      <c r="D638">
        <f>IF(Skills!C15=1,60+Inputs!$B$25+Inputs!$B$29,IF(Skills!C15=2,90+Inputs!$B$26+Inputs!$B$29,IF(Skills!C15=3,120+Inputs!$B$27+Inputs!$B$29,MAX(0,(Inputs!$B$3-100)*3)+Inputs!$B$28+Inputs!$B$29)))</f>
        <v/>
      </c>
      <c r="E638">
        <f>INDEX(FactorTable!$B$2:$Y$301, MATCH(ROUND(MIN(300,MAX(1,D638)),0), FactorTable!$A$2:$A$301,0), Skills!M15+1)</f>
        <v/>
      </c>
      <c r="F638">
        <f>IF(Skills!N15=TRUE,(Skills!L15/10)*(E638/1000),Skills!L15/10)+Skills!O15</f>
        <v/>
      </c>
      <c r="G638" t="inlineStr"/>
      <c r="H638" t="inlineStr"/>
      <c r="I638" t="inlineStr">
        <is>
          <t>1</t>
        </is>
      </c>
      <c r="J638" t="inlineStr"/>
      <c r="K638" t="inlineStr"/>
      <c r="L638" t="inlineStr"/>
      <c r="M638" t="inlineStr"/>
      <c r="N638" t="inlineStr"/>
      <c r="O638" t="inlineStr"/>
      <c r="P638" t="inlineStr"/>
      <c r="Q638" t="inlineStr"/>
      <c r="R638" t="inlineStr"/>
      <c r="S638" t="inlineStr"/>
    </row>
    <row r="639">
      <c r="A639">
        <f>Skills!A16</f>
        <v/>
      </c>
      <c r="B639">
        <f>Skills!B16</f>
        <v/>
      </c>
      <c r="C639">
        <f>Inputs!$B$3&gt;=107</f>
        <v/>
      </c>
      <c r="D639">
        <f>IF(Skills!C16=1,60+Inputs!$B$25+Inputs!$B$29,IF(Skills!C16=2,90+Inputs!$B$26+Inputs!$B$29,IF(Skills!C16=3,120+Inputs!$B$27+Inputs!$B$29,MAX(0,(Inputs!$B$3-100)*3)+Inputs!$B$28+Inputs!$B$29)))</f>
        <v/>
      </c>
      <c r="E639">
        <f>INDEX(FactorTable!$B$2:$Y$301, MATCH(ROUND(MIN(300,MAX(1,D639)),0), FactorTable!$A$2:$A$301,0), Skills!M16+1)</f>
        <v/>
      </c>
      <c r="F639">
        <f>IF(Skills!N16=TRUE,(Skills!L16/10)*(E639/1000),Skills!L16/10)+Skills!O16</f>
        <v/>
      </c>
      <c r="G639" t="inlineStr"/>
      <c r="H639" t="inlineStr"/>
      <c r="I639" t="inlineStr">
        <is>
          <t>1</t>
        </is>
      </c>
      <c r="J639" t="inlineStr"/>
      <c r="K639" t="inlineStr"/>
      <c r="L639" t="inlineStr"/>
      <c r="M639" t="inlineStr"/>
      <c r="N639" t="inlineStr"/>
      <c r="O639" t="inlineStr"/>
      <c r="P639" t="inlineStr"/>
      <c r="Q639" t="inlineStr"/>
      <c r="R639" t="inlineStr"/>
      <c r="S639" t="inlineStr"/>
    </row>
    <row r="640">
      <c r="A640">
        <f>Skills!A17</f>
        <v/>
      </c>
      <c r="B640">
        <f>Skills!B17</f>
        <v/>
      </c>
      <c r="C640">
        <f>Inputs!$B$3&gt;=74</f>
        <v/>
      </c>
      <c r="D640">
        <f>IF(Skills!C17=1,60+Inputs!$B$25+Inputs!$B$29,IF(Skills!C17=2,90+Inputs!$B$26+Inputs!$B$29,IF(Skills!C17=3,120+Inputs!$B$27+Inputs!$B$29,MAX(0,(Inputs!$B$3-100)*3)+Inputs!$B$28+Inputs!$B$29)))</f>
        <v/>
      </c>
      <c r="E640">
        <f>INDEX(FactorTable!$B$2:$Y$301, MATCH(ROUND(MIN(300,MAX(1,D640)),0), FactorTable!$A$2:$A$301,0), Skills!M17+1)</f>
        <v/>
      </c>
      <c r="F640">
        <f>IF(Skills!N17=TRUE,(Skills!L17/10)*(E640/1000),Skills!L17/10)+Skills!O17</f>
        <v/>
      </c>
      <c r="G640">
        <f>Skills!G17*IF(Skills!H17&gt;0,INT(IF(Inputs!$B$38="pvp",MIN(Skills!I17,15),Skills!I17)/Skills!H17+0.000000001),1)</f>
        <v/>
      </c>
      <c r="H640">
        <f>1-(1-Skills!J17/100)^Skills!K17</f>
        <v/>
      </c>
      <c r="I640" t="inlineStr">
        <is>
          <t>1</t>
        </is>
      </c>
      <c r="J640" t="inlineStr"/>
      <c r="K640" t="inlineStr"/>
      <c r="L640" t="inlineStr"/>
      <c r="M640" t="inlineStr"/>
      <c r="N640" t="inlineStr"/>
      <c r="O640">
        <f>(1-Summary!$B$11)*T640+Summary!$B$11*V640</f>
        <v/>
      </c>
      <c r="P640">
        <f>IF(B664=0,0,O640/B664)</f>
        <v/>
      </c>
      <c r="Q640" t="n">
        <v>0</v>
      </c>
      <c r="R640" t="n">
        <v>0</v>
      </c>
      <c r="S640">
        <f>IFERROR(O640/N640,0)</f>
        <v/>
      </c>
      <c r="T640" t="n">
        <v>0</v>
      </c>
      <c r="V640" t="n">
        <v>0</v>
      </c>
    </row>
    <row r="641">
      <c r="A641">
        <f>Skills!A18</f>
        <v/>
      </c>
      <c r="B641">
        <f>Skills!B18</f>
        <v/>
      </c>
      <c r="C641">
        <f>Inputs!$B$3&gt;=115</f>
        <v/>
      </c>
      <c r="D641">
        <f>IF(Skills!C18=1,60+Inputs!$B$25+Inputs!$B$29,IF(Skills!C18=2,90+Inputs!$B$26+Inputs!$B$29,IF(Skills!C18=3,120+Inputs!$B$27+Inputs!$B$29,MAX(0,(Inputs!$B$3-100)*3)+Inputs!$B$28+Inputs!$B$29)))</f>
        <v/>
      </c>
      <c r="E641">
        <f>INDEX(FactorTable!$B$2:$Y$301, MATCH(ROUND(MIN(300,MAX(1,D641)),0), FactorTable!$A$2:$A$301,0), Skills!M18+1)</f>
        <v/>
      </c>
      <c r="F641">
        <f>IF(Skills!N18=TRUE,(Skills!L18/10)*(E641/1000),Skills!L18/10)+Skills!O18</f>
        <v/>
      </c>
      <c r="G641">
        <f>Skills!G18*IF(Skills!H18&gt;0,INT(IF(Inputs!$B$38="pvp",MIN(Skills!I18,15),Skills!I18)/Skills!H18+0.000000001),1)</f>
        <v/>
      </c>
      <c r="H641">
        <f>1-(1-Skills!J18/100)^Skills!K18</f>
        <v/>
      </c>
      <c r="I641" t="inlineStr">
        <is>
          <t>1</t>
        </is>
      </c>
      <c r="J641" t="inlineStr"/>
      <c r="K641" t="inlineStr"/>
      <c r="L641" t="inlineStr"/>
      <c r="M641" t="inlineStr"/>
      <c r="N641" t="inlineStr"/>
      <c r="O641">
        <f>(1-Summary!$B$11)*T641+Summary!$B$11*V641</f>
        <v/>
      </c>
      <c r="P641">
        <f>IF(B664=0,0,O641/B664)</f>
        <v/>
      </c>
      <c r="Q641">
        <f>IFERROR(1/(IF(Inputs!$B$38="pvp",15,MAX(0.1,Skills!D18-IF(TRUE=TRUE,Inputs!$B$32,0)))*(1-IF(AND(ArtifactsInput!$M$27,Inputs!$B$4="Chapter Hunt"),CHOOSE(ArtifactsInput!$N$27+1,20,24,28,32,36,40),0)/100)),0)</f>
        <v/>
      </c>
      <c r="R641">
        <f>IF(AND(Inputs!$B$38&lt;&gt;"pvp",Inputs!$B$43&gt;0),IF(Inputs!$B$43&lt;=0,0,(INT(Inputs!$B$43/(IF(Inputs!$B$38="pvp",15,MAX(0.1,Skills!D18-IF(TRUE=TRUE,Inputs!$B$32,0)))*(1-IF(AND(ArtifactsInput!$M$27,Inputs!$B$4="Chapter Hunt"),CHOOSE(ArtifactsInput!$N$27+1,20,24,28,32,36,40),0)/100)))+1)),0)</f>
        <v/>
      </c>
      <c r="S641">
        <f>IFERROR(O641/N641,0)</f>
        <v/>
      </c>
      <c r="T641" t="n">
        <v>0</v>
      </c>
      <c r="V641" t="n">
        <v>0</v>
      </c>
    </row>
    <row r="642">
      <c r="A642">
        <f>Skills!A19</f>
        <v/>
      </c>
      <c r="B642">
        <f>Skills!B19</f>
        <v/>
      </c>
      <c r="C642">
        <f>Inputs!$B$3&gt;=10</f>
        <v/>
      </c>
      <c r="D642">
        <f>IF(Skills!C19=1,60+Inputs!$B$25+Inputs!$B$29,IF(Skills!C19=2,90+Inputs!$B$26+Inputs!$B$29,IF(Skills!C19=3,120+Inputs!$B$27+Inputs!$B$29,MAX(0,(Inputs!$B$3-100)*3)+Inputs!$B$28+Inputs!$B$29)))</f>
        <v/>
      </c>
      <c r="E642">
        <f>INDEX(FactorTable!$B$2:$Y$301, MATCH(ROUND(MIN(300,MAX(1,D642)),0), FactorTable!$A$2:$A$301,0), Skills!M19+1)</f>
        <v/>
      </c>
      <c r="F642">
        <f>IF(Skills!N19=TRUE,(Skills!L19/10)*(E642/1000),Skills!L19/10)+Skills!O19</f>
        <v/>
      </c>
      <c r="G642">
        <f>Skills!G19*IF(Skills!H19&gt;0,INT(IF(Inputs!$B$38="pvp",MIN(Skills!I19,15),Skills!I19)/Skills!H19+0.000000001),1)</f>
        <v/>
      </c>
      <c r="H642">
        <f>1-(1-Skills!J19/100)^Skills!K19</f>
        <v/>
      </c>
      <c r="I642" t="inlineStr">
        <is>
          <t>1</t>
        </is>
      </c>
      <c r="J642" t="inlineStr"/>
      <c r="K642" t="inlineStr"/>
      <c r="L642" t="inlineStr"/>
      <c r="M642" t="inlineStr"/>
      <c r="N642" t="inlineStr"/>
      <c r="O642">
        <f>(1-Summary!$B$11)*T642+Summary!$B$11*V642</f>
        <v/>
      </c>
      <c r="P642">
        <f>IF(B664=0,0,O642/B664)</f>
        <v/>
      </c>
      <c r="Q642" t="n">
        <v>0</v>
      </c>
      <c r="R642" t="n">
        <v>0</v>
      </c>
      <c r="S642">
        <f>IFERROR(O642/N642,0)</f>
        <v/>
      </c>
      <c r="T642" t="n">
        <v>0</v>
      </c>
      <c r="V642" t="n">
        <v>0</v>
      </c>
    </row>
    <row r="643">
      <c r="A643">
        <f>Skills!A20</f>
        <v/>
      </c>
      <c r="B643">
        <f>Skills!B20</f>
        <v/>
      </c>
      <c r="C643">
        <f>Inputs!$B$3&gt;=15</f>
        <v/>
      </c>
      <c r="D643">
        <f>IF(Skills!C20=1,60+Inputs!$B$25+Inputs!$B$29,IF(Skills!C20=2,90+Inputs!$B$26+Inputs!$B$29,IF(Skills!C20=3,120+Inputs!$B$27+Inputs!$B$29,MAX(0,(Inputs!$B$3-100)*3)+Inputs!$B$28+Inputs!$B$29)))</f>
        <v/>
      </c>
      <c r="E643">
        <f>INDEX(FactorTable!$B$2:$Y$301, MATCH(ROUND(MIN(300,MAX(1,D643)),0), FactorTable!$A$2:$A$301,0), Skills!M20+1)</f>
        <v/>
      </c>
      <c r="F643">
        <f>IF(Skills!N20=TRUE,(Skills!L20/10)*(E643/1000),Skills!L20/10)+Skills!O20</f>
        <v/>
      </c>
      <c r="G643">
        <f>Skills!G20*IF(Skills!H20&gt;0,INT(IF(Inputs!$B$38="pvp",MIN(Skills!I20,15),Skills!I20)/Skills!H20+0.000000001),1)</f>
        <v/>
      </c>
      <c r="H643">
        <f>1-(1-Skills!J20/100)^Skills!K20</f>
        <v/>
      </c>
      <c r="I643" t="inlineStr">
        <is>
          <t>1</t>
        </is>
      </c>
      <c r="J643" t="inlineStr"/>
      <c r="K643" t="inlineStr"/>
      <c r="L643" t="inlineStr"/>
      <c r="M643" t="inlineStr"/>
      <c r="N643" t="inlineStr"/>
      <c r="O643">
        <f>(1-Summary!$B$11)*T643+Summary!$B$11*V643</f>
        <v/>
      </c>
      <c r="P643">
        <f>IF(B664=0,0,O643/B664)</f>
        <v/>
      </c>
      <c r="Q643" t="n">
        <v>0</v>
      </c>
      <c r="R643" t="n">
        <v>0</v>
      </c>
      <c r="S643">
        <f>IFERROR(O643/N643,0)</f>
        <v/>
      </c>
      <c r="T643" t="n">
        <v>0</v>
      </c>
      <c r="V643" t="n">
        <v>0</v>
      </c>
    </row>
    <row r="644">
      <c r="A644">
        <f>Skills!A21</f>
        <v/>
      </c>
      <c r="B644">
        <f>Skills!B21</f>
        <v/>
      </c>
      <c r="C644">
        <f>Inputs!$B$3&gt;=40</f>
        <v/>
      </c>
      <c r="D644">
        <f>IF(Skills!C21=1,60+Inputs!$B$25+Inputs!$B$29,IF(Skills!C21=2,90+Inputs!$B$26+Inputs!$B$29,IF(Skills!C21=3,120+Inputs!$B$27+Inputs!$B$29,MAX(0,(Inputs!$B$3-100)*3)+Inputs!$B$28+Inputs!$B$29)))</f>
        <v/>
      </c>
      <c r="E644">
        <f>INDEX(FactorTable!$B$2:$Y$301, MATCH(ROUND(MIN(300,MAX(1,D644)),0), FactorTable!$A$2:$A$301,0), Skills!M21+1)</f>
        <v/>
      </c>
      <c r="F644">
        <f>IF(Skills!N21=TRUE,(Skills!L21/10)*(E644/1000),Skills!L21/10)+Skills!O21</f>
        <v/>
      </c>
      <c r="G644">
        <f>Skills!G21*IF(Skills!H21&gt;0,INT(IF(Inputs!$B$38="pvp",MIN(Skills!I21,15),Skills!I21)/Skills!H21+0.000000001),1)</f>
        <v/>
      </c>
      <c r="H644">
        <f>1-(1-Skills!J21/100)^Skills!K21</f>
        <v/>
      </c>
      <c r="I644" t="inlineStr">
        <is>
          <t>1</t>
        </is>
      </c>
      <c r="J644" t="inlineStr"/>
      <c r="K644" t="inlineStr"/>
      <c r="L644" t="inlineStr"/>
      <c r="M644" t="inlineStr"/>
      <c r="N644" t="inlineStr"/>
      <c r="O644">
        <f>(1-Summary!$B$11)*T644+Summary!$B$11*V644</f>
        <v/>
      </c>
      <c r="P644">
        <f>IF(B664=0,0,O644/B664)</f>
        <v/>
      </c>
      <c r="Q644" t="n">
        <v>0</v>
      </c>
      <c r="R644" t="n">
        <v>0</v>
      </c>
      <c r="S644">
        <f>IFERROR(O644/N644,0)</f>
        <v/>
      </c>
      <c r="T644" t="n">
        <v>0</v>
      </c>
      <c r="V644" t="n">
        <v>0</v>
      </c>
    </row>
    <row r="645">
      <c r="A645">
        <f>Skills!A22</f>
        <v/>
      </c>
      <c r="B645">
        <f>Skills!B22</f>
        <v/>
      </c>
      <c r="C645">
        <f>Inputs!$B$3&gt;=43</f>
        <v/>
      </c>
      <c r="D645">
        <f>IF(Skills!C22=1,60+Inputs!$B$25+Inputs!$B$29,IF(Skills!C22=2,90+Inputs!$B$26+Inputs!$B$29,IF(Skills!C22=3,120+Inputs!$B$27+Inputs!$B$29,MAX(0,(Inputs!$B$3-100)*3)+Inputs!$B$28+Inputs!$B$29)))</f>
        <v/>
      </c>
      <c r="E645">
        <f>INDEX(FactorTable!$B$2:$Y$301, MATCH(ROUND(MIN(300,MAX(1,D645)),0), FactorTable!$A$2:$A$301,0), Skills!M22+1)</f>
        <v/>
      </c>
      <c r="F645">
        <f>IF(Skills!N22=TRUE,(Skills!L22/10)*(E645/1000),Skills!L22/10)+Skills!O22</f>
        <v/>
      </c>
      <c r="G645">
        <f>Skills!G22*IF(Skills!H22&gt;0,INT(IF(Inputs!$B$38="pvp",MIN(Skills!I22,15),Skills!I22)/Skills!H22+0.000000001),1)</f>
        <v/>
      </c>
      <c r="H645">
        <f>1-(1-Skills!J22/100)^Skills!K22</f>
        <v/>
      </c>
      <c r="I645" t="inlineStr">
        <is>
          <t>1</t>
        </is>
      </c>
      <c r="J645" t="inlineStr"/>
      <c r="K645" t="inlineStr"/>
      <c r="L645" t="inlineStr"/>
      <c r="M645" t="inlineStr"/>
      <c r="N645" t="inlineStr"/>
      <c r="O645">
        <f>(1-Summary!$B$11)*T645+Summary!$B$11*V645</f>
        <v/>
      </c>
      <c r="P645">
        <f>IF(B664=0,0,O645/B664)</f>
        <v/>
      </c>
      <c r="Q645" t="n">
        <v>0</v>
      </c>
      <c r="R645" t="n">
        <v>0</v>
      </c>
      <c r="S645">
        <f>IFERROR(O645/N645,0)</f>
        <v/>
      </c>
      <c r="T645" t="n">
        <v>0</v>
      </c>
      <c r="V645" t="n">
        <v>0</v>
      </c>
    </row>
    <row r="646">
      <c r="A646">
        <f>Skills!A23</f>
        <v/>
      </c>
      <c r="B646">
        <f>Skills!B23</f>
        <v/>
      </c>
      <c r="C646">
        <f>Inputs!$B$3&gt;=38</f>
        <v/>
      </c>
      <c r="D646">
        <f>IF(Skills!C23=1,60+Inputs!$B$25+Inputs!$B$29,IF(Skills!C23=2,90+Inputs!$B$26+Inputs!$B$29,IF(Skills!C23=3,120+Inputs!$B$27+Inputs!$B$29,MAX(0,(Inputs!$B$3-100)*3)+Inputs!$B$28+Inputs!$B$29)))</f>
        <v/>
      </c>
      <c r="E646">
        <f>INDEX(FactorTable!$B$2:$Y$301, MATCH(ROUND(MIN(300,MAX(1,D646)),0), FactorTable!$A$2:$A$301,0), Skills!M23+1)</f>
        <v/>
      </c>
      <c r="F646">
        <f>IF(Skills!N23=TRUE,(Skills!L23/10)*(E646/1000),Skills!L23/10)+Skills!O23</f>
        <v/>
      </c>
      <c r="G646">
        <f>Skills!G23*IF(Skills!H23&gt;0,INT(IF(Inputs!$B$38="pvp",MIN(Skills!I23,15),Skills!I23)/Skills!H23+0.000000001),1)</f>
        <v/>
      </c>
      <c r="H646">
        <f>1-(1-Skills!J23/100)^Skills!K23</f>
        <v/>
      </c>
      <c r="I646" t="inlineStr">
        <is>
          <t>1</t>
        </is>
      </c>
      <c r="J646" t="inlineStr"/>
      <c r="K646" t="inlineStr"/>
      <c r="L646" t="inlineStr"/>
      <c r="M646" t="inlineStr"/>
      <c r="N646" t="inlineStr"/>
      <c r="O646">
        <f>(1-Summary!$B$11)*T646+Summary!$B$11*V646</f>
        <v/>
      </c>
      <c r="P646">
        <f>IF(B664=0,0,O646/B664)</f>
        <v/>
      </c>
      <c r="Q646" t="n">
        <v>0</v>
      </c>
      <c r="R646" t="n">
        <v>0</v>
      </c>
      <c r="S646">
        <f>IFERROR(O646/N646,0)</f>
        <v/>
      </c>
      <c r="T646" t="n">
        <v>0</v>
      </c>
      <c r="V646" t="n">
        <v>0</v>
      </c>
    </row>
    <row r="647">
      <c r="A647">
        <f>Skills!A24</f>
        <v/>
      </c>
      <c r="B647">
        <f>Skills!B24</f>
        <v/>
      </c>
      <c r="C647">
        <f>Inputs!$B$3&gt;=45</f>
        <v/>
      </c>
      <c r="D647">
        <f>IF(Skills!C24=1,60+Inputs!$B$25+Inputs!$B$29,IF(Skills!C24=2,90+Inputs!$B$26+Inputs!$B$29,IF(Skills!C24=3,120+Inputs!$B$27+Inputs!$B$29,MAX(0,(Inputs!$B$3-100)*3)+Inputs!$B$28+Inputs!$B$29)))</f>
        <v/>
      </c>
      <c r="E647">
        <f>INDEX(FactorTable!$B$2:$Y$301, MATCH(ROUND(MIN(300,MAX(1,D647)),0), FactorTable!$A$2:$A$301,0), Skills!M24+1)</f>
        <v/>
      </c>
      <c r="F647">
        <f>IF(Skills!N24=TRUE,(Skills!L24/10)*(E647/1000),Skills!L24/10)+Skills!O24</f>
        <v/>
      </c>
      <c r="G647">
        <f>Skills!G24*IF(Skills!H24&gt;0,INT(IF(Inputs!$B$38="pvp",MIN(Skills!I24,15),Skills!I24)/Skills!H24+0.000000001),1)</f>
        <v/>
      </c>
      <c r="H647">
        <f>1-(1-Skills!J24/100)^Skills!K24</f>
        <v/>
      </c>
      <c r="I647" t="inlineStr">
        <is>
          <t>1</t>
        </is>
      </c>
      <c r="J647" t="inlineStr"/>
      <c r="K647" t="inlineStr"/>
      <c r="L647" t="inlineStr"/>
      <c r="M647" t="inlineStr"/>
      <c r="N647" t="inlineStr"/>
      <c r="O647">
        <f>(1-Summary!$B$11)*T647+Summary!$B$11*V647</f>
        <v/>
      </c>
      <c r="P647">
        <f>IF(B664=0,0,O647/B664)</f>
        <v/>
      </c>
      <c r="Q647" t="n">
        <v>0</v>
      </c>
      <c r="R647" t="n">
        <v>0</v>
      </c>
      <c r="S647">
        <f>IFERROR(O647/N647,0)</f>
        <v/>
      </c>
      <c r="T647" t="n">
        <v>0</v>
      </c>
      <c r="V647" t="n">
        <v>0</v>
      </c>
    </row>
    <row r="648">
      <c r="A648">
        <f>Skills!A25</f>
        <v/>
      </c>
      <c r="B648">
        <f>Skills!B25</f>
        <v/>
      </c>
      <c r="C648">
        <f>Inputs!$B$3&gt;=72</f>
        <v/>
      </c>
      <c r="D648">
        <f>IF(Skills!C25=1,60+Inputs!$B$25+Inputs!$B$29,IF(Skills!C25=2,90+Inputs!$B$26+Inputs!$B$29,IF(Skills!C25=3,120+Inputs!$B$27+Inputs!$B$29,MAX(0,(Inputs!$B$3-100)*3)+Inputs!$B$28+Inputs!$B$29)))</f>
        <v/>
      </c>
      <c r="E648">
        <f>INDEX(FactorTable!$B$2:$Y$301, MATCH(ROUND(MIN(300,MAX(1,D648)),0), FactorTable!$A$2:$A$301,0), Skills!M25+1)</f>
        <v/>
      </c>
      <c r="F648">
        <f>IF(Skills!N25=TRUE,(Skills!L25/10)*(E648/1000),Skills!L25/10)+Skills!O25</f>
        <v/>
      </c>
      <c r="G648">
        <f>Skills!G25*IF(Skills!H25&gt;0,INT(IF(Inputs!$B$38="pvp",MIN(Skills!I25,15),Skills!I25)/Skills!H25+0.000000001),1)</f>
        <v/>
      </c>
      <c r="H648">
        <f>1-(1-Skills!J25/100)^Skills!K25</f>
        <v/>
      </c>
      <c r="I648" t="inlineStr">
        <is>
          <t>1</t>
        </is>
      </c>
      <c r="J648" t="inlineStr"/>
      <c r="K648" t="inlineStr"/>
      <c r="L648" t="inlineStr"/>
      <c r="M648" t="inlineStr"/>
      <c r="N648" t="inlineStr"/>
      <c r="O648">
        <f>(1-Summary!$B$11)*T648+Summary!$B$11*V648</f>
        <v/>
      </c>
      <c r="P648">
        <f>IF(B664=0,0,O648/B664)</f>
        <v/>
      </c>
      <c r="Q648" t="n">
        <v>0</v>
      </c>
      <c r="R648" t="n">
        <v>0</v>
      </c>
      <c r="S648">
        <f>IFERROR(O648/N648,0)</f>
        <v/>
      </c>
      <c r="T648" t="n">
        <v>0</v>
      </c>
      <c r="V648" t="n">
        <v>0</v>
      </c>
    </row>
    <row r="649">
      <c r="A649">
        <f>Skills!A26</f>
        <v/>
      </c>
      <c r="B649">
        <f>Skills!B26</f>
        <v/>
      </c>
      <c r="C649">
        <f>Inputs!$B$3&gt;=75</f>
        <v/>
      </c>
      <c r="D649">
        <f>IF(Skills!C26=1,60+Inputs!$B$25+Inputs!$B$29,IF(Skills!C26=2,90+Inputs!$B$26+Inputs!$B$29,IF(Skills!C26=3,120+Inputs!$B$27+Inputs!$B$29,MAX(0,(Inputs!$B$3-100)*3)+Inputs!$B$28+Inputs!$B$29)))</f>
        <v/>
      </c>
      <c r="E649">
        <f>INDEX(FactorTable!$B$2:$Y$301, MATCH(ROUND(MIN(300,MAX(1,D649)),0), FactorTable!$A$2:$A$301,0), Skills!M26+1)</f>
        <v/>
      </c>
      <c r="F649">
        <f>IF(Skills!N26=TRUE,(Skills!L26/10)*(E649/1000),Skills!L26/10)+Skills!O26</f>
        <v/>
      </c>
      <c r="G649">
        <f>Skills!G26*IF(Skills!H26&gt;0,INT(IF(Inputs!$B$38="pvp",MIN(Skills!I26,15),Skills!I26)/Skills!H26+0.000000001),1)</f>
        <v/>
      </c>
      <c r="H649">
        <f>1-(1-Skills!J26/100)^Skills!K26</f>
        <v/>
      </c>
      <c r="I649" t="inlineStr">
        <is>
          <t>1</t>
        </is>
      </c>
      <c r="J649" t="inlineStr"/>
      <c r="K649" t="inlineStr"/>
      <c r="L649" t="inlineStr"/>
      <c r="M649" t="inlineStr"/>
      <c r="N649" t="inlineStr"/>
      <c r="O649">
        <f>(1-Summary!$B$11)*T649+Summary!$B$11*V649</f>
        <v/>
      </c>
      <c r="P649">
        <f>IF(B664=0,0,O649/B664)</f>
        <v/>
      </c>
      <c r="Q649" t="n">
        <v>0</v>
      </c>
      <c r="R649" t="n">
        <v>0</v>
      </c>
      <c r="S649">
        <f>IFERROR(O649/N649,0)</f>
        <v/>
      </c>
      <c r="T649" t="n">
        <v>0</v>
      </c>
      <c r="V649" t="n">
        <v>0</v>
      </c>
    </row>
    <row r="650">
      <c r="A650">
        <f>Skills!A27</f>
        <v/>
      </c>
      <c r="B650">
        <f>Skills!B27</f>
        <v/>
      </c>
      <c r="C650">
        <f>Inputs!$B$3&gt;=125</f>
        <v/>
      </c>
      <c r="D650">
        <f>IF(Skills!C27=1,60+Inputs!$B$25+Inputs!$B$29,IF(Skills!C27=2,90+Inputs!$B$26+Inputs!$B$29,IF(Skills!C27=3,120+Inputs!$B$27+Inputs!$B$29,MAX(0,(Inputs!$B$3-100)*3)+Inputs!$B$28+Inputs!$B$29)))</f>
        <v/>
      </c>
      <c r="E650">
        <f>INDEX(FactorTable!$B$2:$Y$301, MATCH(ROUND(MIN(300,MAX(1,D650)),0), FactorTable!$A$2:$A$301,0), Skills!M27+1)</f>
        <v/>
      </c>
      <c r="F650">
        <f>IF(Skills!N27=TRUE,(Skills!L27/10)*(E650/1000),Skills!L27/10)+Skills!O27</f>
        <v/>
      </c>
      <c r="G650">
        <f>Skills!G27*IF(Skills!H27&gt;0,INT(IF(Inputs!$B$38="pvp",MIN(Skills!I27,15),Skills!I27)/Skills!H27+0.000000001),1)</f>
        <v/>
      </c>
      <c r="H650">
        <f>1-(1-Skills!J27/100)^Skills!K27</f>
        <v/>
      </c>
      <c r="I650" t="inlineStr">
        <is>
          <t>1</t>
        </is>
      </c>
      <c r="J650" t="inlineStr"/>
      <c r="K650" t="inlineStr"/>
      <c r="L650" t="inlineStr"/>
      <c r="M650" t="inlineStr"/>
      <c r="N650" t="inlineStr"/>
      <c r="O650">
        <f>(1-Summary!$B$11)*T650+Summary!$B$11*V650</f>
        <v/>
      </c>
      <c r="P650">
        <f>IF(B664=0,0,O650/B664)</f>
        <v/>
      </c>
      <c r="Q650" t="n">
        <v>0</v>
      </c>
      <c r="R650" t="n">
        <v>0</v>
      </c>
      <c r="S650">
        <f>IFERROR(O650/N650,0)</f>
        <v/>
      </c>
      <c r="T650" t="n">
        <v>0</v>
      </c>
      <c r="V650" t="n">
        <v>0</v>
      </c>
    </row>
    <row r="651">
      <c r="A651">
        <f>Skills!A28</f>
        <v/>
      </c>
      <c r="B651">
        <f>Skills!B28</f>
        <v/>
      </c>
      <c r="C651">
        <f>TRUE</f>
        <v/>
      </c>
      <c r="D651">
        <f>IF(Skills!C28=1,60+Inputs!$B$25+Inputs!$B$29,IF(Skills!C28=2,90+Inputs!$B$26+Inputs!$B$29,IF(Skills!C28=3,120+Inputs!$B$27+Inputs!$B$29,MAX(0,(Inputs!$B$3-100)*3)+Inputs!$B$28+Inputs!$B$29)))</f>
        <v/>
      </c>
      <c r="E651">
        <f>INDEX(FactorTable!$B$2:$Y$301, MATCH(ROUND(MIN(300,MAX(1,D651)),0), FactorTable!$A$2:$A$301,0), Skills!M28+1)</f>
        <v/>
      </c>
      <c r="F651">
        <f>IF(Skills!N28=TRUE,(Skills!L28/10)*(E651/1000),Skills!L28/10)+Skills!O28</f>
        <v/>
      </c>
      <c r="G651">
        <f>Skills!G28*IF(Skills!H28&gt;0,INT(IF(Inputs!$B$38="pvp",MIN(Skills!I28,15),Skills!I28)/Skills!H28+0.000000001),1)</f>
        <v/>
      </c>
      <c r="H651">
        <f>1-(1-Skills!J28/100)^Skills!K28</f>
        <v/>
      </c>
      <c r="I651" t="inlineStr">
        <is>
          <t>1</t>
        </is>
      </c>
      <c r="J651" t="inlineStr"/>
      <c r="K651" t="inlineStr"/>
      <c r="L651" t="inlineStr"/>
      <c r="M651" t="inlineStr"/>
      <c r="N651" t="inlineStr"/>
      <c r="O651">
        <f>(1-Summary!$B$11)*T651+Summary!$B$11*V651</f>
        <v/>
      </c>
      <c r="P651">
        <f>IF(B664=0,0,O651/B664)</f>
        <v/>
      </c>
      <c r="Q651">
        <f>IFERROR(1/(IF(Inputs!$B$38="pvp",15,MAX(0.1,Skills!D28-IF(TRUE=TRUE,Inputs!$B$32,0)))*(1-IF(AND(ArtifactsInput!$M$27,Inputs!$B$4="Chapter Hunt"),CHOOSE(ArtifactsInput!$N$27+1,20,24,28,32,36,40),0)/100)),0)</f>
        <v/>
      </c>
      <c r="R651">
        <f>IF(AND(Inputs!$B$38&lt;&gt;"pvp",Inputs!$B$43&gt;0),IF(Inputs!$B$43&lt;=0,0,(INT(Inputs!$B$43/(IF(Inputs!$B$38="pvp",15,MAX(0.1,Skills!D28-IF(TRUE=TRUE,Inputs!$B$32,0)))*(1-IF(AND(ArtifactsInput!$M$27,Inputs!$B$4="Chapter Hunt"),CHOOSE(ArtifactsInput!$N$27+1,20,24,28,32,36,40),0)/100)))+1)),0)</f>
        <v/>
      </c>
      <c r="S651">
        <f>IFERROR(O651/N651,0)</f>
        <v/>
      </c>
      <c r="T651" t="n">
        <v>0</v>
      </c>
      <c r="V651" t="n">
        <v>0</v>
      </c>
    </row>
    <row r="653">
      <c r="A653" t="inlineStr">
        <is>
          <t>Attack% Bucket Multiplier</t>
        </is>
      </c>
      <c r="B653">
        <f>(1+(((C640=TRUE)*F640*5/7)+((C647=TRUE)*(F647-Calc!F24))+(IF(ArtifactsInput!$M$21,CHOOSE(ArtifactsInput!$N$21+1,25,30,35,40,45,50)*(IF(OR(Inputs!$B$4="Chapter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654">
      <c r="A654" t="inlineStr">
        <is>
          <t>Global Crit Rate Bonus %</t>
        </is>
      </c>
      <c r="B654" t="n">
        <v>0</v>
      </c>
    </row>
    <row r="655">
      <c r="A655" t="inlineStr">
        <is>
          <t>Attack Speed Buff Bonus % (Nimble Feet, duty-cycle averaged)</t>
        </is>
      </c>
      <c r="B655">
        <f>((C651=TRUE)*F651*IF(AND(Inputs!$B$38&lt;&gt;"pvp",Inputs!$B$43&gt;0),(((R651-1)*MIN((Skills!T28*(1+Inputs!$B$34/100)),(1/Q651))+MIN((Skills!T28*(1+Inputs!$B$34/100)),MAX(0,Inputs!$B$43-((R651-1)*(1/Q651)))))/Inputs!$B$43),IF(Inputs!$B$38="pvp",MIN((Skills!T28*(1+Inputs!$B$34/100)),15)/15,MIN(1,(Skills!T28*(1+Inputs!$B$34/100))/(1/Q651)))))</f>
        <v/>
      </c>
    </row>
    <row r="656">
      <c r="A656" t="inlineStr">
        <is>
          <t>Actions Per Second</t>
        </is>
      </c>
      <c r="B656">
        <f>1+MIN(150,150*(1-(1-(((1-(1-Inputs!$B$11/150)*(1-1/150))*150)+((C643=TRUE)*(F643-Calc!F20))+((C644=TRUE)*(F644-Calc!F21)))/150)*(1-B655/150)))/100</f>
        <v/>
      </c>
    </row>
    <row r="657">
      <c r="A657" t="inlineStr">
        <is>
          <t>Skill + Buff Cast Rate</t>
        </is>
      </c>
      <c r="B657">
        <f>IF(AND(Inputs!$B$38&lt;&gt;"pvp",Inputs!$B$43&gt;0),SUMPRODUCT((Skills!E2:E28=TRUE)*(C625:C651=TRUE)*R625:R651*Skills!F2:F28)/Inputs!$B$43,SUMPRODUCT((Skills!E2:E28=TRUE)*(C625:C651=TRUE)*Q625:Q651*Skills!F2:F28))</f>
        <v/>
      </c>
    </row>
    <row r="658">
      <c r="A658" t="inlineStr">
        <is>
          <t>Eight-Legs Easton Casts Per Second</t>
        </is>
      </c>
      <c r="B658">
        <f>MAX(0,B656-B657)</f>
        <v/>
      </c>
    </row>
    <row r="659">
      <c r="A659" t="inlineStr">
        <is>
          <t>Global Critical Damage Bonus % (unused)</t>
        </is>
      </c>
      <c r="B659" t="n">
        <v>0</v>
      </c>
    </row>
    <row r="660">
      <c r="A660" t="inlineStr">
        <is>
          <t>Global Final Damage Bonus % (Jolly Roger + Ahoy Mateys - Final Damage proc)</t>
        </is>
      </c>
      <c r="B660">
        <f>((C641=TRUE)*F641*IF(AND(Inputs!$B$38&lt;&gt;"pvp",Inputs!$B$43&gt;0),(((R641-1)*MIN((Skills!T18*(1+Inputs!$B$34/100)),(1/Q641))+MIN((Skills!T18*(1+Inputs!$B$34/100)),MAX(0,Inputs!$B$43-((R641-1)*(1/Q641)))))/Inputs!$B$43),IF(Inputs!$B$38="pvp",MIN((Skills!T18*(1+Inputs!$B$34/100)),15)/15,MIN(1,(Skills!T18*(1+Inputs!$B$34/100))/(1/Q641)))))+IF(Inputs!$B$3&gt;=122,20*IF(Inputs!$B$38="pvp",MIN((20*(1+Inputs!$B$34/100)),15)/15,MIN(1,(20*(1+Inputs!$B$34/100))/(1/Q627))),0)</f>
        <v/>
      </c>
    </row>
    <row r="661">
      <c r="A661" t="inlineStr">
        <is>
          <t>Buff-Casting Startup Delay (s, fixed-duration only)</t>
        </is>
      </c>
      <c r="B661">
        <f>IF(AND(Inputs!$B$38&lt;&gt;"pvp",Inputs!$B$43&gt;0),SUMPRODUCT((Skills!T2:T28&gt;0)*(Skills!E2:E28=TRUE)*(C625:C651=TRUE))/B656,0)</f>
        <v/>
      </c>
    </row>
    <row r="662">
      <c r="A662" t="inlineStr">
        <is>
          <t>Boss-Only Total DPS (this block's swept value)</t>
        </is>
      </c>
      <c r="B662">
        <f>SUM(T625:T651)</f>
        <v/>
      </c>
    </row>
    <row r="663">
      <c r="A663" t="inlineStr">
        <is>
          <t>Normal-Only Total DPS (this block's swept value)</t>
        </is>
      </c>
      <c r="B663">
        <f>SUM(V625:V651)</f>
        <v/>
      </c>
    </row>
    <row r="664">
      <c r="A664" s="6" t="inlineStr">
        <is>
          <t>TOTAL DPS</t>
        </is>
      </c>
      <c r="B664" s="6">
        <f>SUM(O625:O651)</f>
        <v/>
      </c>
    </row>
    <row r="665">
      <c r="A665" t="inlineStr">
        <is>
          <t>Quickdraw cooldown divisor (this block's own APS / Q)</t>
        </is>
      </c>
      <c r="B665">
        <f>IF(AND(C650=TRUE,Inputs!$B$38&lt;&gt;"pvp"),1+0.25*MAX(0,(B656-(((C626=TRUE)*Q626*1)+((C627=TRUE)*Q627*1)+((C629=TRUE)*Q629*1)+((C630=TRUE)*Q630*1)+((C632=TRUE)*Q632*1)+((C635=TRUE)*Q635*1)+((C641=TRUE)*Q641*1)+((C651=TRUE)*Q651*1))-((C631=TRUE)/(IF(Inputs!$B$38="pvp",15,MAX(0.1,Skills!D8-IF(TRUE=TRUE,Inputs!$B$32,0)))*(1-IF(AND(ArtifactsInput!$M$27,Inputs!$B$4="Chapter Hunt"),CHOOSE(ArtifactsInput!$N$27+1,20,24,28,32,36,40),0)/100))+(C634=TRUE)/(IF(Inputs!$B$38="pvp",15,MAX(0.1,Skills!D11-IF(TRUE=TRUE,Inputs!$B$32,0)))*(1-IF(AND(ArtifactsInput!$M$27,Inputs!$B$4="Chapter Hunt"),CHOOSE(ArtifactsInput!$N$27+1,20,24,28,32,36,40),0)/100))))/(1+0.25*((C631=TRUE)/(IF(Inputs!$B$38="pvp",15,MAX(0.1,Skills!D8-IF(TRUE=TRUE,Inputs!$B$32,0)))*(1-IF(AND(ArtifactsInput!$M$27,Inputs!$B$4="Chapter Hunt"),CHOOSE(ArtifactsInput!$N$27+1,20,24,28,32,36,40),0)/100))+(C634=TRUE)/(IF(Inputs!$B$38="pvp",15,MAX(0.1,Skills!D11-IF(TRUE=TRUE,Inputs!$B$32,0)))*(1-IF(AND(ArtifactsInput!$M$27,Inputs!$B$4="Chapter Hunt"),CHOOSE(ArtifactsInput!$N$27+1,20,24,28,32,36,40),0)/100))))),1)</f>
        <v/>
      </c>
    </row>
    <row r="666">
      <c r="A666" t="inlineStr">
        <is>
          <t>Nautilus Strike - Final Attack trigger rate (this block's own Q/R)</t>
        </is>
      </c>
      <c r="B666">
        <f>IF(AND(Inputs!$B$38&lt;&gt;"pvp",Inputs!$B$43&gt;0),(((C626=TRUE)*R626)+((C629=TRUE)*R629)+((C631=TRUE)*R631)+((C632=TRUE)*R632)+((C634=TRUE)*R634))/Inputs!$B$43,((C626=TRUE)*Q626)+((C629=TRUE)*Q629)+((C631=TRUE)*Q631)+((C632=TRUE)*Q632)+((C634=TRUE)*Q634))+B658</f>
        <v/>
      </c>
    </row>
    <row r="669">
      <c r="A669" s="6" t="inlineStr">
        <is>
          <t>Stat: DEF_PEN % (diminishing returns, factor 100)</t>
        </is>
      </c>
    </row>
    <row r="670">
      <c r="A670" s="5" t="inlineStr">
        <is>
          <t>Key</t>
        </is>
      </c>
      <c r="B670" s="5" t="inlineStr">
        <is>
          <t>Name</t>
        </is>
      </c>
      <c r="C670" s="5" t="inlineStr">
        <is>
          <t>Unlocked</t>
        </is>
      </c>
      <c r="D670" s="5" t="inlineStr">
        <is>
          <t>InputLevel</t>
        </is>
      </c>
      <c r="E670" s="5" t="inlineStr">
        <is>
          <t>Factor</t>
        </is>
      </c>
      <c r="F670" s="5" t="inlineStr">
        <is>
          <t>CoefficientPercent</t>
        </is>
      </c>
      <c r="G670" s="5" t="inlineStr">
        <is>
          <t>EffectiveHits</t>
        </is>
      </c>
      <c r="H670" s="5" t="inlineStr">
        <is>
          <t>ProcProbability</t>
        </is>
      </c>
      <c r="I670" s="5" t="inlineStr">
        <is>
          <t>MapleHeroMultiplier</t>
        </is>
      </c>
      <c r="J670" s="5" t="inlineStr">
        <is>
          <t>BaseDamage</t>
        </is>
      </c>
      <c r="K670" s="5" t="inlineStr">
        <is>
          <t>BaseHitDamage</t>
        </is>
      </c>
      <c r="L670" s="5" t="inlineStr">
        <is>
          <t>NonCritAvg</t>
        </is>
      </c>
      <c r="M670" s="5" t="inlineStr">
        <is>
          <t>CritAvg</t>
        </is>
      </c>
      <c r="N670" s="5" t="inlineStr">
        <is>
          <t>ExpectedDamage(perHit)</t>
        </is>
      </c>
      <c r="O670" s="5" t="inlineStr">
        <is>
          <t>DPS</t>
        </is>
      </c>
      <c r="P670" s="5" t="inlineStr">
        <is>
          <t>% of Total</t>
        </is>
      </c>
      <c r="Q670" s="5" t="inlineStr">
        <is>
          <t>InvCooldown</t>
        </is>
      </c>
      <c r="R670" s="5" t="inlineStr">
        <is>
          <t>CastsInFight</t>
        </is>
      </c>
      <c r="S670" s="5" t="inlineStr">
        <is>
          <t>HitRate(perSec)</t>
        </is>
      </c>
      <c r="U670" t="inlineStr">
        <is>
          <t>helpers</t>
        </is>
      </c>
    </row>
    <row r="671">
      <c r="A671">
        <f>Skills!A2</f>
        <v/>
      </c>
      <c r="B671">
        <f>Skills!B2</f>
        <v/>
      </c>
      <c r="C671">
        <f>Inputs!$B$3&gt;=100</f>
        <v/>
      </c>
      <c r="D671" t="inlineStr"/>
      <c r="E671" t="inlineStr"/>
      <c r="F671">
        <f>U673+Skills!O2</f>
        <v/>
      </c>
      <c r="G671">
        <f>Skills!G2*IF(Skills!H2&gt;0,INT(IF(Inputs!$B$38="pvp",MIN(Skills!I2,15),Skills!I2)/Skills!H2+0.000000001),1)</f>
        <v/>
      </c>
      <c r="H671">
        <f>1-(1-Skills!J2/100)^Skills!K2</f>
        <v/>
      </c>
      <c r="I671" t="inlineStr">
        <is>
          <t>1</t>
        </is>
      </c>
      <c r="J671">
        <f>((Inputs!$B$6*(1+Inputs!$B$7/100))+(((Inputs!$B$12*(1+Inputs!$B$13/100))-(Inputs!$B$12*(1+Inputs!$B$13/100)))+0.25*(Inputs!$B$14-Inputs!$B$14))*(1+Inputs!$B$7/100))*(F671/100)</f>
        <v/>
      </c>
      <c r="K671">
        <f>J671*(1+((Inputs!$B$12*(1+Inputs!$B$13/100))*0.01+Inputs!$B$14*0.0025)/100)*(1+Inputs!$B$15/100)*(1+Inputs!$B$16/100)*(5000/(6000+Inputs!$B$42*(1-(100*(1-(1-(((1-(1-Inputs!$B$19/100)*(1-1/100))*100)+0)/100)*(1-CHOOSE(ArtifactsInput!$N$40+1,5,6,7,8,9,10)/100)^(ArtifactsInput!$M$40-ArtifactsInput!$M$40)))/100)))*(1+(Inputs!$B$24+((C695=TRUE)*(F695-Calc!F26))+B706)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IGHT_LEGS_EASTON",Inputs!$B$17+((C692=TRUE)*(F692-Calc!F23))+((C696=TRUE)*(F696-Calc!F27))+((IF(AND(Inputs!$B$38&lt;&gt;"pvp",Inputs!$B$43=0),1,IF(IF(Inputs!$B$38="pvp",15,Inputs!$B$43)-(B707)&lt;=0,1,MAX(0,IF(Inputs!$B$38="pvp",15,Inputs!$B$43)-MAX(5,B707))/(IF(Inputs!$B$38="pvp",15,Inputs!$B$43)-(B707))))*(IF(AND(ArtifactsInput!$M$42,((Inputs!$B$9+((C688=TRUE)*(F688-Calc!F19))+B700+(ArtifactsInput!$M$24-ArtifactsInput!$M$24)*CHOOSE(ArtifactsInput!$N$24+1,10,12,14,16,18,20)+IF(ArtifactsInput!$M$10,CHOOSE(ArtifactsInput!$N$10+1,15,18,21,24,27,30)*(IF(Inputs!$B$38="pvp",MIN(15,15)/15,IF(AND(Inputs!$B$38&lt;&gt;"pvp",Inputs!$B$43&gt;0),MIN(15,Inputs!$B$43)/(Inputs!$B$43),0))),0)))&gt;=100),MIN(100,((Inputs!$B$9+((C688=TRUE)*(F688-Calc!F19))+B700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707)&lt;=0,1,MAX(0,IF(Inputs!$B$38="pvp",15,Inputs!$B$43)-MAX(5,B707))/(IF(Inputs!$B$38="pvp",15,Inputs!$B$43)-(B707))))*IF(AND(ArtifactsInput!$M$42,((Inputs!$B$9+((C688=TRUE)*(F688-Calc!F19))+B700+(ArtifactsInput!$M$24-ArtifactsInput!$M$24)*CHOOSE(ArtifactsInput!$N$24+1,10,12,14,16,18,20)+IF(ArtifactsInput!$M$10,CHOOSE(ArtifactsInput!$N$10+1,15,18,21,24,27,30)*(IF(Inputs!$B$38="pvp",MIN(15,15)/15,IF(AND(Inputs!$B$38&lt;&gt;"pvp",Inputs!$B$43&gt;0),MIN(15,Inputs!$B$43)/(Inputs!$B$43),0))),0)))&gt;=100),CHOOSE(ArtifactsInput!$N$42+1,40,48,56,64,72,80),0))))/100)*((1+(((C686=TRUE)*F686*5/7)+((C693=TRUE)*(F693-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671)</f>
        <v/>
      </c>
      <c r="L671">
        <f>K671*(MIN(Inputs!$B$22+((C691=TRUE)*(F691-Calc!F22)),(Inputs!$B$23+0+(IF(ArtifactsInput!$M$15,CHOOSE(ArtifactsInput!$N$15+1,25,30,35,40,45,50)/100*(Inputs!$B$11-Inputs!$B$11),0))))/100+(Inputs!$B$23+0+(IF(ArtifactsInput!$M$15,CHOOSE(ArtifactsInput!$N$15+1,25,30,35,40,45,50)/100*(Inputs!$B$11-Inputs!$B$11),0)))/100)/2</f>
        <v/>
      </c>
      <c r="M671">
        <f>L671*(1+(Inputs!$B$10+((C694=TRUE)*(F694-Calc!F25))+B705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71">
        <f>L671*(1-MIN((Inputs!$B$9+((C688=TRUE)*(F688-Calc!F19))+B700+(ArtifactsInput!$M$24-ArtifactsInput!$M$24)*CHOOSE(ArtifactsInput!$N$24+1,10,12,14,16,18,20)+(IF(AND(Inputs!$B$38&lt;&gt;"pvp",Inputs!$B$43=0),1,IF(IF(Inputs!$B$38="pvp",15,Inputs!$B$43)-(B707)&lt;=0,1,MAX(0,IF(Inputs!$B$38="pvp",15,Inputs!$B$43)-MAX(5,B707))/(IF(Inputs!$B$38="pvp",15,Inputs!$B$43)-(B707))))*IF(AND(ArtifactsInput!$M$42,((Inputs!$B$9+((C688=TRUE)*(F688-Calc!F19))+B700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671*(MIN((Inputs!$B$9+((C688=TRUE)*(F688-Calc!F19))+B700+(ArtifactsInput!$M$24-ArtifactsInput!$M$24)*CHOOSE(ArtifactsInput!$N$24+1,10,12,14,16,18,20)+(IF(AND(Inputs!$B$38&lt;&gt;"pvp",Inputs!$B$43=0),1,IF(IF(Inputs!$B$38="pvp",15,Inputs!$B$43)-(B707)&lt;=0,1,MAX(0,IF(Inputs!$B$38="pvp",15,Inputs!$B$43)-MAX(5,B707))/(IF(Inputs!$B$38="pvp",15,Inputs!$B$43)-(B707))))*IF(AND(ArtifactsInput!$M$42,((Inputs!$B$9+((C688=TRUE)*(F688-Calc!F19))+B700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71">
        <f>(1-Summary!$B$11)*T671+Summary!$B$11*V671</f>
        <v/>
      </c>
      <c r="P671">
        <f>IF(B710=0,0,O671/B710)</f>
        <v/>
      </c>
      <c r="Q671" t="n">
        <v>0</v>
      </c>
      <c r="R671" t="n">
        <v>0</v>
      </c>
      <c r="S671">
        <f>IFERROR(O671/N671,0)</f>
        <v/>
      </c>
      <c r="T671">
        <f>IF(C671,(Skills!G2*N671*B704*(1+IF(C696=TRUE,1/3,0)))*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Hunt"),CHOOSE(ArtifactsInput!$N$35+1,15,18,21,24,27,30)*(1-EXP(-(0.2*B702)*5)),0)+IF(AND(ArtifactsInput!$M$22,Inputs!$B$4&lt;&gt;"Chapter Hunt"),CHOOSE(ArtifactsInput!$N$22+1,10,12,14,16,18,20)*((0*(((0.15*B702*5))^0/1)+1*(((0.15*B702*5))^1/1)+2*(((0.15*B702*5))^2/2)+3*(((0.15*B702*5))^3/6)+4*(((0.15*B702*5))^4/24)+5*(((0.15*B702*5))^5/120))/((((0.15*B702*5))^0/1)+(((0.15*B702*5))^1/1)+(((0.15*B702*5))^2/2)+(((0.15*B702*5))^3/6)+(((0.15*B702*5))^4/24)+(((0.15*B702*5))^5/120))),0))+IF(Inputs!$B$3&gt;=54,9*(C672=TRUE)*MIN(1,8*(1+Inputs!$B$34/100)*Q672),0))/100)*((((5000/(6000+Inputs!$B$42*(1-(100*(1-(1-(100*(1-(1-(((1-(1-Inputs!$B$19/100)*(1-1/100))*100)+0)/100)*(1-CHOOSE(ArtifactsInput!$N$40+1,5,6,7,8,9,10)/100)^(ArtifactsInput!$M$40-ArtifactsInput!$M$40)))/100)*(1-IF(ArtifactsInput!$M$40,CHOOSE(ArtifactsInput!$N$40+1,5,6,7,8,9,10),0)/100)^IF(Inputs!$B$38="pvp",1,2)))/100)))/(5000/(6000+Inputs!$B$42*(1-(100*(1-(1-(((1-(1-Inputs!$B$19/100)*(1-1/100))*100)+0)/100)*(1-CHOOSE(ArtifactsInput!$N$40+1,5,6,7,8,9,10)/100)^(ArtifactsInput!$M$40-ArtifactsInput!$M$40)))/100))))*((L671*(1-MIN(100,(Inputs!$B$9+((C688=TRUE)*(F688-Calc!F19))+B700+(ArtifactsInput!$M$24-ArtifactsInput!$M$24)*CHOOSE(ArtifactsInput!$N$24+1,10,12,14,16,18,20)+(IF(AND(Inputs!$B$38&lt;&gt;"pvp",Inputs!$B$43=0),1,IF(IF(Inputs!$B$38="pvp",15,Inputs!$B$43)-(B707)&lt;=0,1,MAX(0,IF(Inputs!$B$38="pvp",15,Inputs!$B$43)-MAX(5,B707))/(IF(Inputs!$B$38="pvp",15,Inputs!$B$43)-(B707))))*IF(AND(ArtifactsInput!$M$42,((Inputs!$B$9+((C688=TRUE)*(F688-Calc!F19))+B700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671*(MIN(100,(Inputs!$B$9+((C688=TRUE)*(F688-Calc!F19))+B700+(ArtifactsInput!$M$24-ArtifactsInput!$M$24)*CHOOSE(ArtifactsInput!$N$24+1,10,12,14,16,18,20)+(IF(AND(Inputs!$B$38&lt;&gt;"pvp",Inputs!$B$43=0),1,IF(IF(Inputs!$B$38="pvp",15,Inputs!$B$43)-(B707)&lt;=0,1,MAX(0,IF(Inputs!$B$38="pvp",15,Inputs!$B$43)-MAX(5,B707))/(IF(Inputs!$B$38="pvp",15,Inputs!$B$43)-(B707))))*IF(AND(ArtifactsInput!$M$42,((Inputs!$B$9+((C688=TRUE)*(F688-Calc!F19))+B700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671*(1-MIN(100,(Inputs!$B$9+((C688=TRUE)*(F688-Calc!F19))+B700+(ArtifactsInput!$M$24-ArtifactsInput!$M$24)*CHOOSE(ArtifactsInput!$N$24+1,10,12,14,16,18,20)+(IF(AND(Inputs!$B$38&lt;&gt;"pvp",Inputs!$B$43=0),1,IF(IF(Inputs!$B$38="pvp",15,Inputs!$B$43)-(B707)&lt;=0,1,MAX(0,IF(Inputs!$B$38="pvp",15,Inputs!$B$43)-MAX(5,B707))/(IF(Inputs!$B$38="pvp",15,Inputs!$B$43)-(B707))))*IF(AND(ArtifactsInput!$M$42,((Inputs!$B$9+((C688=TRUE)*(F688-Calc!F19))+B700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671*(MIN(100,(Inputs!$B$9+((C688=TRUE)*(F688-Calc!F19))+B700+(ArtifactsInput!$M$24-ArtifactsInput!$M$24)*CHOOSE(ArtifactsInput!$N$24+1,10,12,14,16,18,20)+(IF(AND(Inputs!$B$38&lt;&gt;"pvp",Inputs!$B$43=0),1,IF(IF(Inputs!$B$38="pvp",15,Inputs!$B$43)-(B707)&lt;=0,1,MAX(0,IF(Inputs!$B$38="pvp",15,Inputs!$B$43)-MAX(5,B707))/(IF(Inputs!$B$38="pvp",15,Inputs!$B$43)-(B707))))*IF(AND(ArtifactsInput!$M$42,((Inputs!$B$9+((C688=TRUE)*(F688-Calc!F19))+B700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671">
        <f>MAX(0,(Inputs!$B$3-100)*3)+Inputs!$B$28+Inputs!$B$29</f>
        <v/>
      </c>
      <c r="V671">
        <f>IF(C671,(Skills!G2*N671*B704*(1+IF(C696=TRUE,1/3,0)))*IF(Inputs!$B$38="pvp",1,(1+(Inputs!$B$21+Skills!Q2+(IF(ArtifactsInput!$M$33,CHOOSE(ArtifactsInput!$N$33+1,30,36,42,48,54,60),0))+(IF(AND(ArtifactsInput!$M$35,Inputs!$B$4&lt;&gt;"Chapter Hunt"),CHOOSE(ArtifactsInput!$N$35+1,15,18,21,24,27,30)*(1-EXP(-(0.2*B702)*5)),0)+IF(AND(ArtifactsInput!$M$22,Inputs!$B$4&lt;&gt;"Chapter Hunt"),CHOOSE(ArtifactsInput!$N$22+1,10,12,14,16,18,20)*((0*(((0.15*B702*5))^0/1)+1*(((0.15*B702*5))^1/1)+2*(((0.15*B702*5))^2/2)+3*(((0.15*B702*5))^3/6)+4*(((0.15*B702*5))^4/24)+5*(((0.15*B702*5))^5/120))/((((0.15*B702*5))^0/1)+(((0.15*B702*5))^1/1)+(((0.15*B702*5))^2/2)+(((0.15*B702*5))^3/6)+(((0.15*B702*5))^4/24)+(((0.15*B702*5))^5/120))),0))+IF(Inputs!$B$3&gt;=54,9*(C672=TRUE)*MIN(1,8*(1+Inputs!$B$34/100)*Q672),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72">
      <c r="A672">
        <f>Skills!A3</f>
        <v/>
      </c>
      <c r="B672">
        <f>Skills!B3</f>
        <v/>
      </c>
      <c r="C672">
        <f>Inputs!$B$3&gt;=33</f>
        <v/>
      </c>
      <c r="D672">
        <f>IF(Skills!C3=1,60+Inputs!$B$25+Inputs!$B$29,IF(Skills!C3=2,90+Inputs!$B$26+Inputs!$B$29,IF(Skills!C3=3,120+Inputs!$B$27+Inputs!$B$29,MAX(0,(Inputs!$B$3-100)*3)+Inputs!$B$28+Inputs!$B$29)))</f>
        <v/>
      </c>
      <c r="E672">
        <f>INDEX(FactorTable!$B$2:$Y$301, MATCH(ROUND(MIN(300,MAX(1,D672)),0), FactorTable!$A$2:$A$301,0), Skills!M3+1)</f>
        <v/>
      </c>
      <c r="F672">
        <f>IF(Skills!N3=TRUE,(Skills!L3/10)*(E672/1000),Skills!L3/10)+Skills!O3</f>
        <v/>
      </c>
      <c r="G672">
        <f>Skills!G3*IF(Skills!H3&gt;0,INT(IF(Inputs!$B$38="pvp",MIN(Skills!I3,15),Skills!I3)/Skills!H3+0.000000001),1)</f>
        <v/>
      </c>
      <c r="H672">
        <f>1-(1-Skills!J3/100)^Skills!K3</f>
        <v/>
      </c>
      <c r="I672" t="inlineStr">
        <is>
          <t>1</t>
        </is>
      </c>
      <c r="J672">
        <f>((Inputs!$B$6*(1+Inputs!$B$7/100))+(((Inputs!$B$12*(1+Inputs!$B$13/100))-(Inputs!$B$12*(1+Inputs!$B$13/100)))+0.25*(Inputs!$B$14-Inputs!$B$14))*(1+Inputs!$B$7/100))*(F672/100)</f>
        <v/>
      </c>
      <c r="K672">
        <f>J672*(1+((Inputs!$B$12*(1+Inputs!$B$13/100))*0.01+Inputs!$B$14*0.0025)/100)*(1+Inputs!$B$15/100)*(1+Inputs!$B$16/100)*(5000/(6000+Inputs!$B$42*(1-(100*(1-(1-(((1-(1-Inputs!$B$19/100)*(1-1/100))*100)+0)/100)*(1-CHOOSE(ArtifactsInput!$N$40+1,5,6,7,8,9,10)/100)^(ArtifactsInput!$M$40-ArtifactsInput!$M$40)))/100)))*(1+(Inputs!$B$24+((C695=TRUE)*(F695-Calc!F26))+B706)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684=TRUE,F684,0)/100)*(1+(IF(Skills!A3="EIGHT_LEGS_EASTON",Inputs!$B$17+((C692=TRUE)*(F692-Calc!F23))+((C696=TRUE)*(F696-Calc!F27))+((IF(AND(Inputs!$B$38&lt;&gt;"pvp",Inputs!$B$43=0),1,IF(IF(Inputs!$B$38="pvp",15,Inputs!$B$43)-(B707)&lt;=0,1,MAX(0,IF(Inputs!$B$38="pvp",15,Inputs!$B$43)-MAX(5,B707))/(IF(Inputs!$B$38="pvp",15,Inputs!$B$43)-(B707))))*(IF(AND(ArtifactsInput!$M$42,((Inputs!$B$9+((C688=TRUE)*(F688-Calc!F19))+B700+(ArtifactsInput!$M$24-ArtifactsInput!$M$24)*CHOOSE(ArtifactsInput!$N$24+1,10,12,14,16,18,20)+IF(ArtifactsInput!$M$10,CHOOSE(ArtifactsInput!$N$10+1,15,18,21,24,27,30)*(IF(Inputs!$B$38="pvp",MIN(15,15)/15,IF(AND(Inputs!$B$38&lt;&gt;"pvp",Inputs!$B$43&gt;0),MIN(15,Inputs!$B$43)/(Inputs!$B$43),0))),0)))&gt;=100),MIN(100,((Inputs!$B$9+((C688=TRUE)*(F688-Calc!F19))+B700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707)&lt;=0,1,MAX(0,IF(Inputs!$B$38="pvp",15,Inputs!$B$43)-MAX(5,B707))/(IF(Inputs!$B$38="pvp",15,Inputs!$B$43)-(B707))))*IF(AND(ArtifactsInput!$M$42,((Inputs!$B$9+((C688=TRUE)*(F688-Calc!F19))+B700+(ArtifactsInput!$M$24-ArtifactsInput!$M$24)*CHOOSE(ArtifactsInput!$N$24+1,10,12,14,16,18,20)+IF(ArtifactsInput!$M$10,CHOOSE(ArtifactsInput!$N$10+1,15,18,21,24,27,30)*(IF(Inputs!$B$38="pvp",MIN(15,15)/15,IF(AND(Inputs!$B$38&lt;&gt;"pvp",Inputs!$B$43&gt;0),MIN(15,Inputs!$B$43)/(Inputs!$B$43),0))),0)))&gt;=100),CHOOSE(ArtifactsInput!$N$42+1,40,48,56,64,72,80),0))))/100)*((1+(((C686=TRUE)*F686*5/7)+((C693=TRUE)*(F693-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672)</f>
        <v/>
      </c>
      <c r="L672">
        <f>K672*(MIN(Inputs!$B$22+((C691=TRUE)*(F691-Calc!F22)),(Inputs!$B$23+0+(IF(ArtifactsInput!$M$15,CHOOSE(ArtifactsInput!$N$15+1,25,30,35,40,45,50)/100*(Inputs!$B$11-Inputs!$B$11),0))))/100+(Inputs!$B$23+0+(IF(ArtifactsInput!$M$15,CHOOSE(ArtifactsInput!$N$15+1,25,30,35,40,45,50)/100*(Inputs!$B$11-Inputs!$B$11),0)))/100)/2</f>
        <v/>
      </c>
      <c r="M672">
        <f>L672*(1+(Inputs!$B$10+((C694=TRUE)*(F694-Calc!F25))+B705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72">
        <f>L672*(1-MIN((Inputs!$B$9+((C688=TRUE)*(F688-Calc!F19))+B700+(ArtifactsInput!$M$24-ArtifactsInput!$M$24)*CHOOSE(ArtifactsInput!$N$24+1,10,12,14,16,18,20)+(IF(AND(Inputs!$B$38&lt;&gt;"pvp",Inputs!$B$43=0),1,IF(IF(Inputs!$B$38="pvp",15,Inputs!$B$43)-(B707)&lt;=0,1,MAX(0,IF(Inputs!$B$38="pvp",15,Inputs!$B$43)-MAX(5,B707))/(IF(Inputs!$B$38="pvp",15,Inputs!$B$43)-(B707))))*IF(AND(ArtifactsInput!$M$42,((Inputs!$B$9+((C688=TRUE)*(F688-Calc!F19))+B700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672*(MIN((Inputs!$B$9+((C688=TRUE)*(F688-Calc!F19))+B700+(ArtifactsInput!$M$24-ArtifactsInput!$M$24)*CHOOSE(ArtifactsInput!$N$24+1,10,12,14,16,18,20)+(IF(AND(Inputs!$B$38&lt;&gt;"pvp",Inputs!$B$43=0),1,IF(IF(Inputs!$B$38="pvp",15,Inputs!$B$43)-(B707)&lt;=0,1,MAX(0,IF(Inputs!$B$38="pvp",15,Inputs!$B$43)-MAX(5,B707))/(IF(Inputs!$B$38="pvp",15,Inputs!$B$43)-(B707))))*IF(AND(ArtifactsInput!$M$42,((Inputs!$B$9+((C688=TRUE)*(F688-Calc!F19))+B700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72">
        <f>(1-Summary!$B$11)*T672+Summary!$B$11*V672</f>
        <v/>
      </c>
      <c r="P672">
        <f>IF(B710=0,0,O672/B710)</f>
        <v/>
      </c>
      <c r="Q672">
        <f>IFERROR(1/(IF(Inputs!$B$38="pvp",15,MAX(0.1,Skills!D3-IF(TRUE=TRUE,Inputs!$B$32,0)))*(1-IF(AND(ArtifactsInput!$M$27,Inputs!$B$4="Chapter Hunt"),CHOOSE(ArtifactsInput!$N$27+1,20,24,28,32,36,40),0)/100)),0)</f>
        <v/>
      </c>
      <c r="R672">
        <f>IF(AND(Inputs!$B$38&lt;&gt;"pvp",Inputs!$B$43&gt;0),IF(MAX(0,Inputs!$B$43-B707)&lt;=0,0,(INT(MAX(0,Inputs!$B$43-B707)/(IF(Inputs!$B$38="pvp",15,MAX(0.1,Skills!D3-IF(TRUE=TRUE,Inputs!$B$32,0)))*(1-IF(AND(ArtifactsInput!$M$27,Inputs!$B$4="Chapter Hunt"),CHOOSE(ArtifactsInput!$N$27+1,20,24,28,32,36,40),0)/100)))+1)),0)</f>
        <v/>
      </c>
      <c r="S672">
        <f>IFERROR(O672/N672,0)</f>
        <v/>
      </c>
      <c r="T672">
        <f>IF(C672,(H672*N672*IF(AND(Inputs!$B$38&lt;&gt;"pvp",Inputs!$B$43&gt;0),((Skills!G3*((R672-1)*IF(Skills!H3&gt;0,INT(Skills!I3/Skills!H3+0.000000001),1)+IF(Skills!H3&gt;0,INT(MIN(Skills!I3,MAX(0,MAX(0,Inputs!$B$43-B707)-((R672-1)*(IF(Inputs!$B$38="pvp",15,MAX(0.1,Skills!D3-IF(TRUE=TRUE,Inputs!$B$32,0)))*(1-IF(AND(ArtifactsInput!$M$27,Inputs!$B$4="Chapter Hunt"),CHOOSE(ArtifactsInput!$N$27+1,20,24,28,32,36,40),0)/100)))))/Skills!H3+0.000000001),1)))/Inputs!$B$43),G672*Q672))*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Hunt"),CHOOSE(ArtifactsInput!$N$35+1,15,18,21,24,27,30)*(1-EXP(-(0.2*B702)*5)),0)+IF(AND(ArtifactsInput!$M$22,Inputs!$B$4&lt;&gt;"Chapter Hunt"),CHOOSE(ArtifactsInput!$N$22+1,10,12,14,16,18,20)*((0*(((0.15*B702*5))^0/1)+1*(((0.15*B702*5))^1/1)+2*(((0.15*B702*5))^2/2)+3*(((0.15*B702*5))^3/6)+4*(((0.15*B702*5))^4/24)+5*(((0.15*B702*5))^5/120))/((((0.15*B702*5))^0/1)+(((0.15*B702*5))^1/1)+(((0.15*B702*5))^2/2)+(((0.15*B702*5))^3/6)+(((0.15*B702*5))^4/24)+(((0.15*B702*5))^5/120))),0))+IF(Inputs!$B$3&gt;=54,9*(C672=TRUE)*MIN(1,8*(1+Inputs!$B$34/100)*Q672),0))/100)*((((5000/(6000+Inputs!$B$42*(1-(100*(1-(1-(100*(1-(1-(((1-(1-Inputs!$B$19/100)*(1-1/100))*100)+0)/100)*(1-CHOOSE(ArtifactsInput!$N$40+1,5,6,7,8,9,10)/100)^(ArtifactsInput!$M$40-ArtifactsInput!$M$40)))/100)*(1-IF(ArtifactsInput!$M$40,CHOOSE(ArtifactsInput!$N$40+1,5,6,7,8,9,10),0)/100)^IF(Inputs!$B$38="pvp",1,2)))/100)))/(5000/(6000+Inputs!$B$42*(1-(100*(1-(1-(((1-(1-Inputs!$B$19/100)*(1-1/100))*100)+0)/100)*(1-CHOOSE(ArtifactsInput!$N$40+1,5,6,7,8,9,10)/100)^(ArtifactsInput!$M$40-ArtifactsInput!$M$40)))/100))))*((L672*(1-MIN(100,(Inputs!$B$9+((C688=TRUE)*(F688-Calc!F19))+B700+(ArtifactsInput!$M$24-ArtifactsInput!$M$24)*CHOOSE(ArtifactsInput!$N$24+1,10,12,14,16,18,20)+(IF(AND(Inputs!$B$38&lt;&gt;"pvp",Inputs!$B$43=0),1,IF(IF(Inputs!$B$38="pvp",15,Inputs!$B$43)-(B707)&lt;=0,1,MAX(0,IF(Inputs!$B$38="pvp",15,Inputs!$B$43)-MAX(5,B707))/(IF(Inputs!$B$38="pvp",15,Inputs!$B$43)-(B707))))*IF(AND(ArtifactsInput!$M$42,((Inputs!$B$9+((C688=TRUE)*(F688-Calc!F19))+B700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672*(MIN(100,(Inputs!$B$9+((C688=TRUE)*(F688-Calc!F19))+B700+(ArtifactsInput!$M$24-ArtifactsInput!$M$24)*CHOOSE(ArtifactsInput!$N$24+1,10,12,14,16,18,20)+(IF(AND(Inputs!$B$38&lt;&gt;"pvp",Inputs!$B$43=0),1,IF(IF(Inputs!$B$38="pvp",15,Inputs!$B$43)-(B707)&lt;=0,1,MAX(0,IF(Inputs!$B$38="pvp",15,Inputs!$B$43)-MAX(5,B707))/(IF(Inputs!$B$38="pvp",15,Inputs!$B$43)-(B707))))*IF(AND(ArtifactsInput!$M$42,((Inputs!$B$9+((C688=TRUE)*(F688-Calc!F19))+B700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672*(1-MIN(100,(Inputs!$B$9+((C688=TRUE)*(F688-Calc!F19))+B700+(ArtifactsInput!$M$24-ArtifactsInput!$M$24)*CHOOSE(ArtifactsInput!$N$24+1,10,12,14,16,18,20)+(IF(AND(Inputs!$B$38&lt;&gt;"pvp",Inputs!$B$43=0),1,IF(IF(Inputs!$B$38="pvp",15,Inputs!$B$43)-(B707)&lt;=0,1,MAX(0,IF(Inputs!$B$38="pvp",15,Inputs!$B$43)-MAX(5,B707))/(IF(Inputs!$B$38="pvp",15,Inputs!$B$43)-(B707))))*IF(AND(ArtifactsInput!$M$42,((Inputs!$B$9+((C688=TRUE)*(F688-Calc!F19))+B700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672*(MIN(100,(Inputs!$B$9+((C688=TRUE)*(F688-Calc!F19))+B700+(ArtifactsInput!$M$24-ArtifactsInput!$M$24)*CHOOSE(ArtifactsInput!$N$24+1,10,12,14,16,18,20)+(IF(AND(Inputs!$B$38&lt;&gt;"pvp",Inputs!$B$43=0),1,IF(IF(Inputs!$B$38="pvp",15,Inputs!$B$43)-(B707)&lt;=0,1,MAX(0,IF(Inputs!$B$38="pvp",15,Inputs!$B$43)-MAX(5,B707))/(IF(Inputs!$B$38="pvp",15,Inputs!$B$43)-(B707))))*IF(AND(ArtifactsInput!$M$42,((Inputs!$B$9+((C688=TRUE)*(F688-Calc!F19))+B700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672">
        <f>INDEX(FactorTable!$B$2:$Y$301, MATCH(ROUND(MIN(300,MAX(1,U671)),0), FactorTable!$A$2:$A$301,0), 22)</f>
        <v/>
      </c>
      <c r="V672">
        <f>IF(C672,(H672*N672*IF(AND(Inputs!$B$38&lt;&gt;"pvp",Inputs!$B$43&gt;0),((Skills!G3*((R672-1)*IF(Skills!H3&gt;0,INT(Skills!I3/Skills!H3+0.000000001),1)+IF(Skills!H3&gt;0,INT(MIN(Skills!I3,MAX(0,MAX(0,Inputs!$B$43-B707)-((R672-1)*(IF(Inputs!$B$38="pvp",15,MAX(0.1,Skills!D3-IF(TRUE=TRUE,Inputs!$B$32,0)))*(1-IF(AND(ArtifactsInput!$M$27,Inputs!$B$4="Chapter Hunt"),CHOOSE(ArtifactsInput!$N$27+1,20,24,28,32,36,40),0)/100)))))/Skills!H3+0.000000001),1)))/Inputs!$B$43),G672*Q672))*IF(Inputs!$B$38="pvp",1,(1+(Inputs!$B$21+Skills!Q3+(IF(ArtifactsInput!$M$33,CHOOSE(ArtifactsInput!$N$33+1,30,36,42,48,54,60),0))+(IF(AND(ArtifactsInput!$M$35,Inputs!$B$4&lt;&gt;"Chapter Hunt"),CHOOSE(ArtifactsInput!$N$35+1,15,18,21,24,27,30)*(1-EXP(-(0.2*B702)*5)),0)+IF(AND(ArtifactsInput!$M$22,Inputs!$B$4&lt;&gt;"Chapter Hunt"),CHOOSE(ArtifactsInput!$N$22+1,10,12,14,16,18,20)*((0*(((0.15*B702*5))^0/1)+1*(((0.15*B702*5))^1/1)+2*(((0.15*B702*5))^2/2)+3*(((0.15*B702*5))^3/6)+4*(((0.15*B702*5))^4/24)+5*(((0.15*B702*5))^5/120))/((((0.15*B702*5))^0/1)+(((0.15*B702*5))^1/1)+(((0.15*B702*5))^2/2)+(((0.15*B702*5))^3/6)+(((0.15*B702*5))^4/24)+(((0.15*B702*5))^5/120))),0))+IF(Inputs!$B$3&gt;=54,9*(C672=TRUE)*MIN(1,8*(1+Inputs!$B$34/100)*Q672),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73">
      <c r="A673">
        <f>Skills!A4</f>
        <v/>
      </c>
      <c r="B673">
        <f>Skills!B4</f>
        <v/>
      </c>
      <c r="C673">
        <f>Inputs!$B$3&gt;=35</f>
        <v/>
      </c>
      <c r="D673">
        <f>IF(Skills!C4=1,60+Inputs!$B$25+Inputs!$B$29,IF(Skills!C4=2,90+Inputs!$B$26+Inputs!$B$29,IF(Skills!C4=3,120+Inputs!$B$27+Inputs!$B$29,MAX(0,(Inputs!$B$3-100)*3)+Inputs!$B$28+Inputs!$B$29)))</f>
        <v/>
      </c>
      <c r="E673">
        <f>INDEX(FactorTable!$B$2:$Y$301, MATCH(ROUND(MIN(300,MAX(1,D673)),0), FactorTable!$A$2:$A$301,0), Skills!M4+1)</f>
        <v/>
      </c>
      <c r="F673">
        <f>IF(Skills!N4=TRUE,(Skills!L4/10)*(E673/1000),Skills!L4/10)+Skills!O4</f>
        <v/>
      </c>
      <c r="G673">
        <f>Skills!G4*IF(Skills!H4&gt;0,INT(IF(Inputs!$B$38="pvp",MIN(IF(Inputs!$B$3&gt;=104,MIN(35,20*(1+Inputs!$B$34/100)),20),15),IF(Inputs!$B$3&gt;=104,MIN(35,20*(1+Inputs!$B$34/100)),20))/Skills!H4+0.000000001),1)</f>
        <v/>
      </c>
      <c r="H673">
        <f>1-(1-Skills!J4/100)^Skills!K4</f>
        <v/>
      </c>
      <c r="I673" t="inlineStr">
        <is>
          <t>1</t>
        </is>
      </c>
      <c r="J673">
        <f>((Inputs!$B$6*(1+Inputs!$B$7/100))+(((Inputs!$B$12*(1+Inputs!$B$13/100))-(Inputs!$B$12*(1+Inputs!$B$13/100)))+0.25*(Inputs!$B$14-Inputs!$B$14))*(1+Inputs!$B$7/100))*(F673/100)</f>
        <v/>
      </c>
      <c r="K673">
        <f>J673*(1+((Inputs!$B$12*(1+Inputs!$B$13/100))*0.01+Inputs!$B$14*0.0025)/100)*(1+Inputs!$B$15/100)*(1+Inputs!$B$16/100)*(5000/(6000+Inputs!$B$42*(1-(100*(1-(1-(((1-(1-Inputs!$B$19/100)*(1-1/100))*100)+0)/100)*(1-CHOOSE(ArtifactsInput!$N$40+1,5,6,7,8,9,10)/100)^(ArtifactsInput!$M$40-ArtifactsInput!$M$40)))/100)))*(1+(Inputs!$B$24+((C695=TRUE)*(F695-Calc!F26))+B706)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685=TRUE,F685,0)/100)*(1+(IF(Skills!A4="EIGHT_LEGS_EASTON",Inputs!$B$17+((C692=TRUE)*(F692-Calc!F23))+((C696=TRUE)*(F696-Calc!F27))+((IF(AND(Inputs!$B$38&lt;&gt;"pvp",Inputs!$B$43=0),1,IF(IF(Inputs!$B$38="pvp",15,Inputs!$B$43)-(B707)&lt;=0,1,MAX(0,IF(Inputs!$B$38="pvp",15,Inputs!$B$43)-MAX(5,B707))/(IF(Inputs!$B$38="pvp",15,Inputs!$B$43)-(B707))))*(IF(AND(ArtifactsInput!$M$42,((Inputs!$B$9+((C688=TRUE)*(F688-Calc!F19))+B700+(ArtifactsInput!$M$24-ArtifactsInput!$M$24)*CHOOSE(ArtifactsInput!$N$24+1,10,12,14,16,18,20)+IF(ArtifactsInput!$M$10,CHOOSE(ArtifactsInput!$N$10+1,15,18,21,24,27,30)*(IF(Inputs!$B$38="pvp",MIN(15,15)/15,IF(AND(Inputs!$B$38&lt;&gt;"pvp",Inputs!$B$43&gt;0),MIN(15,Inputs!$B$43)/(Inputs!$B$43),0))),0)))&gt;=100),MIN(100,((Inputs!$B$9+((C688=TRUE)*(F688-Calc!F19))+B700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707)&lt;=0,1,MAX(0,IF(Inputs!$B$38="pvp",15,Inputs!$B$43)-MAX(5,B707))/(IF(Inputs!$B$38="pvp",15,Inputs!$B$43)-(B707))))*IF(AND(ArtifactsInput!$M$42,((Inputs!$B$9+((C688=TRUE)*(F688-Calc!F19))+B700+(ArtifactsInput!$M$24-ArtifactsInput!$M$24)*CHOOSE(ArtifactsInput!$N$24+1,10,12,14,16,18,20)+IF(ArtifactsInput!$M$10,CHOOSE(ArtifactsInput!$N$10+1,15,18,21,24,27,30)*(IF(Inputs!$B$38="pvp",MIN(15,15)/15,IF(AND(Inputs!$B$38&lt;&gt;"pvp",Inputs!$B$43&gt;0),MIN(15,Inputs!$B$43)/(Inputs!$B$43),0))),0)))&gt;=100),CHOOSE(ArtifactsInput!$N$42+1,40,48,56,64,72,80),0))))/100)*((1+(((C686=TRUE)*F686*5/7)+((C693=TRUE)*(F693-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673)</f>
        <v/>
      </c>
      <c r="L673">
        <f>K673*(MIN(Inputs!$B$22+((C691=TRUE)*(F691-Calc!F22)),(Inputs!$B$23+0+(IF(ArtifactsInput!$M$15,CHOOSE(ArtifactsInput!$N$15+1,25,30,35,40,45,50)/100*(Inputs!$B$11-Inputs!$B$11),0))))/100+(Inputs!$B$23+0+(IF(ArtifactsInput!$M$15,CHOOSE(ArtifactsInput!$N$15+1,25,30,35,40,45,50)/100*(Inputs!$B$11-Inputs!$B$11),0)))/100)/2</f>
        <v/>
      </c>
      <c r="M673">
        <f>L673*(1+(Inputs!$B$10+((C694=TRUE)*(F694-Calc!F25))+B705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73">
        <f>L673*(1-MIN((Inputs!$B$9+((C688=TRUE)*(F688-Calc!F19))+B700+(ArtifactsInput!$M$24-ArtifactsInput!$M$24)*CHOOSE(ArtifactsInput!$N$24+1,10,12,14,16,18,20)+(IF(AND(Inputs!$B$38&lt;&gt;"pvp",Inputs!$B$43=0),1,IF(IF(Inputs!$B$38="pvp",15,Inputs!$B$43)-(B707)&lt;=0,1,MAX(0,IF(Inputs!$B$38="pvp",15,Inputs!$B$43)-MAX(5,B707))/(IF(Inputs!$B$38="pvp",15,Inputs!$B$43)-(B707))))*IF(AND(ArtifactsInput!$M$42,((Inputs!$B$9+((C688=TRUE)*(F688-Calc!F19))+B700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673*(MIN((Inputs!$B$9+((C688=TRUE)*(F688-Calc!F19))+B700+(ArtifactsInput!$M$24-ArtifactsInput!$M$24)*CHOOSE(ArtifactsInput!$N$24+1,10,12,14,16,18,20)+(IF(AND(Inputs!$B$38&lt;&gt;"pvp",Inputs!$B$43=0),1,IF(IF(Inputs!$B$38="pvp",15,Inputs!$B$43)-(B707)&lt;=0,1,MAX(0,IF(Inputs!$B$38="pvp",15,Inputs!$B$43)-MAX(5,B707))/(IF(Inputs!$B$38="pvp",15,Inputs!$B$43)-(B707))))*IF(AND(ArtifactsInput!$M$42,((Inputs!$B$9+((C688=TRUE)*(F688-Calc!F19))+B700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73">
        <f>(1-Summary!$B$11)*T673+Summary!$B$11*V673</f>
        <v/>
      </c>
      <c r="P673">
        <f>IF(B710=0,0,O673/B710)</f>
        <v/>
      </c>
      <c r="Q673">
        <f>IFERROR(1/(IF(Inputs!$B$38="pvp",15,MAX(0.1,Skills!D4-IF(TRUE=TRUE,Inputs!$B$32,0)))*(1-IF(AND(ArtifactsInput!$M$27,Inputs!$B$4="Chapter Hunt"),CHOOSE(ArtifactsInput!$N$27+1,20,24,28,32,36,40),0)/100)),0)</f>
        <v/>
      </c>
      <c r="R673">
        <f>IF(AND(Inputs!$B$38&lt;&gt;"pvp",Inputs!$B$43&gt;0),IF(MAX(0,Inputs!$B$43-B707)&lt;=0,0,(INT(MAX(0,Inputs!$B$43-B707)/(IF(Inputs!$B$38="pvp",15,MAX(0.1,Skills!D4-IF(TRUE=TRUE,Inputs!$B$32,0)))*(1-IF(AND(ArtifactsInput!$M$27,Inputs!$B$4="Chapter Hunt"),CHOOSE(ArtifactsInput!$N$27+1,20,24,28,32,36,40),0)/100)))+1)),0)</f>
        <v/>
      </c>
      <c r="S673">
        <f>IFERROR(O673/N673,0)</f>
        <v/>
      </c>
      <c r="T673">
        <f>IF(C673,(H673*N673*IF(AND(Inputs!$B$38&lt;&gt;"pvp",Inputs!$B$43&gt;0),((Skills!G4*((R673-1)*IF(Skills!H4&gt;0,INT(IF(Inputs!$B$3&gt;=104,MIN(35,20*(1+Inputs!$B$34/100)),20)/Skills!H4+0.000000001),1)+IF(Skills!H4&gt;0,INT(MIN(IF(Inputs!$B$3&gt;=104,MIN(35,20*(1+Inputs!$B$34/100)),20),MAX(0,MAX(0,Inputs!$B$43-B707)-((R673-1)*(IF(Inputs!$B$38="pvp",15,MAX(0.1,Skills!D4-IF(TRUE=TRUE,Inputs!$B$32,0)))*(1-IF(AND(ArtifactsInput!$M$27,Inputs!$B$4="Chapter Hunt"),CHOOSE(ArtifactsInput!$N$27+1,20,24,28,32,36,40),0)/100)))))/Skills!H4+0.000000001),1)))/Inputs!$B$43),G673*Q673))*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Hunt"),CHOOSE(ArtifactsInput!$N$35+1,15,18,21,24,27,30)*(1-EXP(-(0.2*B702)*5)),0)+IF(AND(ArtifactsInput!$M$22,Inputs!$B$4&lt;&gt;"Chapter Hunt"),CHOOSE(ArtifactsInput!$N$22+1,10,12,14,16,18,20)*((0*(((0.15*B702*5))^0/1)+1*(((0.15*B702*5))^1/1)+2*(((0.15*B702*5))^2/2)+3*(((0.15*B702*5))^3/6)+4*(((0.15*B702*5))^4/24)+5*(((0.15*B702*5))^5/120))/((((0.15*B702*5))^0/1)+(((0.15*B702*5))^1/1)+(((0.15*B702*5))^2/2)+(((0.15*B702*5))^3/6)+(((0.15*B702*5))^4/24)+(((0.15*B702*5))^5/120))),0))+IF(Inputs!$B$3&gt;=54,9*(C672=TRUE)*MIN(1,8*(1+Inputs!$B$34/100)*Q672),0))/100)*((((5000/(6000+Inputs!$B$42*(1-(100*(1-(1-(100*(1-(1-(((1-(1-Inputs!$B$19/100)*(1-1/100))*100)+0)/100)*(1-CHOOSE(ArtifactsInput!$N$40+1,5,6,7,8,9,10)/100)^(ArtifactsInput!$M$40-ArtifactsInput!$M$40)))/100)*(1-IF(ArtifactsInput!$M$40,CHOOSE(ArtifactsInput!$N$40+1,5,6,7,8,9,10),0)/100)^IF(Inputs!$B$38="pvp",1,2)))/100)))/(5000/(6000+Inputs!$B$42*(1-(100*(1-(1-(((1-(1-Inputs!$B$19/100)*(1-1/100))*100)+0)/100)*(1-CHOOSE(ArtifactsInput!$N$40+1,5,6,7,8,9,10)/100)^(ArtifactsInput!$M$40-ArtifactsInput!$M$40)))/100))))*((L673*(1-MIN(100,(Inputs!$B$9+((C688=TRUE)*(F688-Calc!F19))+B700+(ArtifactsInput!$M$24-ArtifactsInput!$M$24)*CHOOSE(ArtifactsInput!$N$24+1,10,12,14,16,18,20)+(IF(AND(Inputs!$B$38&lt;&gt;"pvp",Inputs!$B$43=0),1,IF(IF(Inputs!$B$38="pvp",15,Inputs!$B$43)-(B707)&lt;=0,1,MAX(0,IF(Inputs!$B$38="pvp",15,Inputs!$B$43)-MAX(5,B707))/(IF(Inputs!$B$38="pvp",15,Inputs!$B$43)-(B707))))*IF(AND(ArtifactsInput!$M$42,((Inputs!$B$9+((C688=TRUE)*(F688-Calc!F19))+B700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673*(MIN(100,(Inputs!$B$9+((C688=TRUE)*(F688-Calc!F19))+B700+(ArtifactsInput!$M$24-ArtifactsInput!$M$24)*CHOOSE(ArtifactsInput!$N$24+1,10,12,14,16,18,20)+(IF(AND(Inputs!$B$38&lt;&gt;"pvp",Inputs!$B$43=0),1,IF(IF(Inputs!$B$38="pvp",15,Inputs!$B$43)-(B707)&lt;=0,1,MAX(0,IF(Inputs!$B$38="pvp",15,Inputs!$B$43)-MAX(5,B707))/(IF(Inputs!$B$38="pvp",15,Inputs!$B$43)-(B707))))*IF(AND(ArtifactsInput!$M$42,((Inputs!$B$9+((C688=TRUE)*(F688-Calc!F19))+B700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673*(1-MIN(100,(Inputs!$B$9+((C688=TRUE)*(F688-Calc!F19))+B700+(ArtifactsInput!$M$24-ArtifactsInput!$M$24)*CHOOSE(ArtifactsInput!$N$24+1,10,12,14,16,18,20)+(IF(AND(Inputs!$B$38&lt;&gt;"pvp",Inputs!$B$43=0),1,IF(IF(Inputs!$B$38="pvp",15,Inputs!$B$43)-(B707)&lt;=0,1,MAX(0,IF(Inputs!$B$38="pvp",15,Inputs!$B$43)-MAX(5,B707))/(IF(Inputs!$B$38="pvp",15,Inputs!$B$43)-(B707))))*IF(AND(ArtifactsInput!$M$42,((Inputs!$B$9+((C688=TRUE)*(F688-Calc!F19))+B700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673*(MIN(100,(Inputs!$B$9+((C688=TRUE)*(F688-Calc!F19))+B700+(ArtifactsInput!$M$24-ArtifactsInput!$M$24)*CHOOSE(ArtifactsInput!$N$24+1,10,12,14,16,18,20)+(IF(AND(Inputs!$B$38&lt;&gt;"pvp",Inputs!$B$43=0),1,IF(IF(Inputs!$B$38="pvp",15,Inputs!$B$43)-(B707)&lt;=0,1,MAX(0,IF(Inputs!$B$38="pvp",15,Inputs!$B$43)-MAX(5,B707))/(IF(Inputs!$B$38="pvp",15,Inputs!$B$43)-(B707))))*IF(AND(ArtifactsInput!$M$42,((Inputs!$B$9+((C688=TRUE)*(F688-Calc!F19))+B700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673">
        <f>290*U672/1000</f>
        <v/>
      </c>
      <c r="V673">
        <f>IF(C673,(H673*N673*IF(AND(Inputs!$B$38&lt;&gt;"pvp",Inputs!$B$43&gt;0),((Skills!G4*((R673-1)*IF(Skills!H4&gt;0,INT(IF(Inputs!$B$3&gt;=104,MIN(35,20*(1+Inputs!$B$34/100)),20)/Skills!H4+0.000000001),1)+IF(Skills!H4&gt;0,INT(MIN(IF(Inputs!$B$3&gt;=104,MIN(35,20*(1+Inputs!$B$34/100)),20),MAX(0,MAX(0,Inputs!$B$43-B707)-((R673-1)*(IF(Inputs!$B$38="pvp",15,MAX(0.1,Skills!D4-IF(TRUE=TRUE,Inputs!$B$32,0)))*(1-IF(AND(ArtifactsInput!$M$27,Inputs!$B$4="Chapter Hunt"),CHOOSE(ArtifactsInput!$N$27+1,20,24,28,32,36,40),0)/100)))))/Skills!H4+0.000000001),1)))/Inputs!$B$43),G673*Q673))*IF(Inputs!$B$38="pvp",1,(1+(Inputs!$B$21+Skills!Q4+(IF(ArtifactsInput!$M$33,CHOOSE(ArtifactsInput!$N$33+1,30,36,42,48,54,60),0))+(IF(AND(ArtifactsInput!$M$35,Inputs!$B$4&lt;&gt;"Chapter Hunt"),CHOOSE(ArtifactsInput!$N$35+1,15,18,21,24,27,30)*(1-EXP(-(0.2*B702)*5)),0)+IF(AND(ArtifactsInput!$M$22,Inputs!$B$4&lt;&gt;"Chapter Hunt"),CHOOSE(ArtifactsInput!$N$22+1,10,12,14,16,18,20)*((0*(((0.15*B702*5))^0/1)+1*(((0.15*B702*5))^1/1)+2*(((0.15*B702*5))^2/2)+3*(((0.15*B702*5))^3/6)+4*(((0.15*B702*5))^4/24)+5*(((0.15*B702*5))^5/120))/((((0.15*B702*5))^0/1)+(((0.15*B702*5))^1/1)+(((0.15*B702*5))^2/2)+(((0.15*B702*5))^3/6)+(((0.15*B702*5))^4/24)+(((0.15*B702*5))^5/120))),0))+IF(Inputs!$B$3&gt;=54,9*(C672=TRUE)*MIN(1,8*(1+Inputs!$B$34/100)*Q672),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74">
      <c r="A674">
        <f>Skills!A5</f>
        <v/>
      </c>
      <c r="B674">
        <f>Skills!B5</f>
        <v/>
      </c>
      <c r="C674">
        <f>Inputs!$B$3&gt;=69</f>
        <v/>
      </c>
      <c r="D674">
        <f>IF(Skills!C5=1,60+Inputs!$B$25+Inputs!$B$29,IF(Skills!C5=2,90+Inputs!$B$26+Inputs!$B$29,IF(Skills!C5=3,120+Inputs!$B$27+Inputs!$B$29,MAX(0,(Inputs!$B$3-100)*3)+Inputs!$B$28+Inputs!$B$29)))</f>
        <v/>
      </c>
      <c r="E674">
        <f>INDEX(FactorTable!$B$2:$Y$301, MATCH(ROUND(MIN(300,MAX(1,D674)),0), FactorTable!$A$2:$A$301,0), Skills!M5+1)</f>
        <v/>
      </c>
      <c r="F674">
        <f>IF(Skills!N5=TRUE,(Skills!L5/10)*(E674/1000),Skills!L5/10)+Skills!O5</f>
        <v/>
      </c>
      <c r="G674">
        <f>Skills!G5*IF(Skills!H5&gt;0,INT(IF(Inputs!$B$38="pvp",MIN(IF(Inputs!$B$3&gt;=104,MIN(35,20*(1+Inputs!$B$34/100)),20),15),IF(Inputs!$B$3&gt;=104,MIN(35,20*(1+Inputs!$B$34/100)),20))/Skills!H5+0.000000001),1)</f>
        <v/>
      </c>
      <c r="H674">
        <f>1-(1-Skills!J5/100)^Skills!K5</f>
        <v/>
      </c>
      <c r="I674" t="inlineStr">
        <is>
          <t>1</t>
        </is>
      </c>
      <c r="J674">
        <f>((Inputs!$B$6*(1+Inputs!$B$7/100))+(((Inputs!$B$12*(1+Inputs!$B$13/100))-(Inputs!$B$12*(1+Inputs!$B$13/100)))+0.25*(Inputs!$B$14-Inputs!$B$14))*(1+Inputs!$B$7/100))*(F674/100)</f>
        <v/>
      </c>
      <c r="K674">
        <f>J674*(1+((Inputs!$B$12*(1+Inputs!$B$13/100))*0.01+Inputs!$B$14*0.0025)/100)*(1+Inputs!$B$15/100)*(1+Inputs!$B$16/100)*(5000/(6000+Inputs!$B$42*(1-(100*(1-(1-(((1-(1-Inputs!$B$19/100)*(1-1/100))*100)+0)/100)*(1-CHOOSE(ArtifactsInput!$N$40+1,5,6,7,8,9,10)/100)^(ArtifactsInput!$M$40-ArtifactsInput!$M$40)))/100)))*(1+(Inputs!$B$24+((C695=TRUE)*(F695-Calc!F26))+B706)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+0.4*IF(C685=TRUE,F685,0)/100)*(1+(IF(Skills!A5="EIGHT_LEGS_EASTON",Inputs!$B$17+((C692=TRUE)*(F692-Calc!F23))+((C696=TRUE)*(F696-Calc!F27))+((IF(AND(Inputs!$B$38&lt;&gt;"pvp",Inputs!$B$43=0),1,IF(IF(Inputs!$B$38="pvp",15,Inputs!$B$43)-(B707)&lt;=0,1,MAX(0,IF(Inputs!$B$38="pvp",15,Inputs!$B$43)-MAX(5,B707))/(IF(Inputs!$B$38="pvp",15,Inputs!$B$43)-(B707))))*(IF(AND(ArtifactsInput!$M$42,((Inputs!$B$9+((C688=TRUE)*(F688-Calc!F19))+B700+(ArtifactsInput!$M$24-ArtifactsInput!$M$24)*CHOOSE(ArtifactsInput!$N$24+1,10,12,14,16,18,20)+IF(ArtifactsInput!$M$10,CHOOSE(ArtifactsInput!$N$10+1,15,18,21,24,27,30)*(IF(Inputs!$B$38="pvp",MIN(15,15)/15,IF(AND(Inputs!$B$38&lt;&gt;"pvp",Inputs!$B$43&gt;0),MIN(15,Inputs!$B$43)/(Inputs!$B$43),0))),0)))&gt;=100),MIN(100,((Inputs!$B$9+((C688=TRUE)*(F688-Calc!F19))+B700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707)&lt;=0,1,MAX(0,IF(Inputs!$B$38="pvp",15,Inputs!$B$43)-MAX(5,B707))/(IF(Inputs!$B$38="pvp",15,Inputs!$B$43)-(B707))))*IF(AND(ArtifactsInput!$M$42,((Inputs!$B$9+((C688=TRUE)*(F688-Calc!F19))+B700+(ArtifactsInput!$M$24-ArtifactsInput!$M$24)*CHOOSE(ArtifactsInput!$N$24+1,10,12,14,16,18,20)+IF(ArtifactsInput!$M$10,CHOOSE(ArtifactsInput!$N$10+1,15,18,21,24,27,30)*(IF(Inputs!$B$38="pvp",MIN(15,15)/15,IF(AND(Inputs!$B$38&lt;&gt;"pvp",Inputs!$B$43&gt;0),MIN(15,Inputs!$B$43)/(Inputs!$B$43),0))),0)))&gt;=100),CHOOSE(ArtifactsInput!$N$42+1,40,48,56,64,72,80),0))))/100)*((1+(((C686=TRUE)*F686*5/7)+((C693=TRUE)*(F693-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674)</f>
        <v/>
      </c>
      <c r="L674">
        <f>K674*(MIN(Inputs!$B$22+((C691=TRUE)*(F691-Calc!F22)),(Inputs!$B$23+0+(IF(ArtifactsInput!$M$15,CHOOSE(ArtifactsInput!$N$15+1,25,30,35,40,45,50)/100*(Inputs!$B$11-Inputs!$B$11),0))))/100+(Inputs!$B$23+0+(IF(ArtifactsInput!$M$15,CHOOSE(ArtifactsInput!$N$15+1,25,30,35,40,45,50)/100*(Inputs!$B$11-Inputs!$B$11),0)))/100)/2</f>
        <v/>
      </c>
      <c r="M674">
        <f>L674*(1+(Inputs!$B$10+((C694=TRUE)*(F694-Calc!F25))+B705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74">
        <f>L674*(1-MIN((Inputs!$B$9+((C688=TRUE)*(F688-Calc!F19))+B700+(ArtifactsInput!$M$24-ArtifactsInput!$M$24)*CHOOSE(ArtifactsInput!$N$24+1,10,12,14,16,18,20)+(IF(AND(Inputs!$B$38&lt;&gt;"pvp",Inputs!$B$43=0),1,IF(IF(Inputs!$B$38="pvp",15,Inputs!$B$43)-(B707)&lt;=0,1,MAX(0,IF(Inputs!$B$38="pvp",15,Inputs!$B$43)-MAX(5,B707))/(IF(Inputs!$B$38="pvp",15,Inputs!$B$43)-(B707))))*IF(AND(ArtifactsInput!$M$42,((Inputs!$B$9+((C688=TRUE)*(F688-Calc!F19))+B700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674*(MIN((Inputs!$B$9+((C688=TRUE)*(F688-Calc!F19))+B700+(ArtifactsInput!$M$24-ArtifactsInput!$M$24)*CHOOSE(ArtifactsInput!$N$24+1,10,12,14,16,18,20)+(IF(AND(Inputs!$B$38&lt;&gt;"pvp",Inputs!$B$43=0),1,IF(IF(Inputs!$B$38="pvp",15,Inputs!$B$43)-(B707)&lt;=0,1,MAX(0,IF(Inputs!$B$38="pvp",15,Inputs!$B$43)-MAX(5,B707))/(IF(Inputs!$B$38="pvp",15,Inputs!$B$43)-(B707))))*IF(AND(ArtifactsInput!$M$42,((Inputs!$B$9+((C688=TRUE)*(F688-Calc!F19))+B700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74">
        <f>(1-Summary!$B$11)*T674+Summary!$B$11*V674</f>
        <v/>
      </c>
      <c r="P674">
        <f>IF(B710=0,0,O674/B710)</f>
        <v/>
      </c>
      <c r="Q674">
        <f>IFERROR(1/(IF(Inputs!$B$38="pvp",15,MAX(0.1,Skills!D5-IF(TRUE=TRUE,Inputs!$B$32,0)))*(1-IF(AND(ArtifactsInput!$M$27,Inputs!$B$4="Chapter Hunt"),CHOOSE(ArtifactsInput!$N$27+1,20,24,28,32,36,40),0)/100)),0)</f>
        <v/>
      </c>
      <c r="R674">
        <f>IF(AND(Inputs!$B$38&lt;&gt;"pvp",Inputs!$B$43&gt;0),IF(MAX(0,Inputs!$B$43-B707)&lt;=0,0,(INT(MAX(0,Inputs!$B$43-B707)/(IF(Inputs!$B$38="pvp",15,MAX(0.1,Skills!D5-IF(TRUE=TRUE,Inputs!$B$32,0)))*(1-IF(AND(ArtifactsInput!$M$27,Inputs!$B$4="Chapter Hunt"),CHOOSE(ArtifactsInput!$N$27+1,20,24,28,32,36,40),0)/100)))+1)),0)</f>
        <v/>
      </c>
      <c r="S674">
        <f>IFERROR(O674/N674,0)</f>
        <v/>
      </c>
      <c r="T674">
        <f>IF(C674,(H674*N674*IF(AND(Inputs!$B$38&lt;&gt;"pvp",Inputs!$B$43&gt;0),((Skills!G5*((R674-1)*IF(Skills!H5&gt;0,INT(IF(Inputs!$B$3&gt;=104,MIN(35,20*(1+Inputs!$B$34/100)),20)/Skills!H5+0.000000001),1)+IF(Skills!H5&gt;0,INT(MIN(IF(Inputs!$B$3&gt;=104,MIN(35,20*(1+Inputs!$B$34/100)),20),MAX(0,MAX(0,Inputs!$B$43-B707)-((R674-1)*(IF(Inputs!$B$38="pvp",15,MAX(0.1,Skills!D5-IF(TRUE=TRUE,Inputs!$B$32,0)))*(1-IF(AND(ArtifactsInput!$M$27,Inputs!$B$4="Chapter Hunt"),CHOOSE(ArtifactsInput!$N$27+1,20,24,28,32,36,40),0)/100)))))/Skills!H5+0.000000001),1)))/Inputs!$B$43),G674*Q674))*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Hunt"),CHOOSE(ArtifactsInput!$N$35+1,15,18,21,24,27,30)*(1-EXP(-(0.2*B702)*5)),0)+IF(AND(ArtifactsInput!$M$22,Inputs!$B$4&lt;&gt;"Chapter Hunt"),CHOOSE(ArtifactsInput!$N$22+1,10,12,14,16,18,20)*((0*(((0.15*B702*5))^0/1)+1*(((0.15*B702*5))^1/1)+2*(((0.15*B702*5))^2/2)+3*(((0.15*B702*5))^3/6)+4*(((0.15*B702*5))^4/24)+5*(((0.15*B702*5))^5/120))/((((0.15*B702*5))^0/1)+(((0.15*B702*5))^1/1)+(((0.15*B702*5))^2/2)+(((0.15*B702*5))^3/6)+(((0.15*B702*5))^4/24)+(((0.15*B702*5))^5/120))),0))+IF(Inputs!$B$3&gt;=54,9*(C672=TRUE)*MIN(1,8*(1+Inputs!$B$34/100)*Q672),0))/100)*((((5000/(6000+Inputs!$B$42*(1-(100*(1-(1-(100*(1-(1-(((1-(1-Inputs!$B$19/100)*(1-1/100))*100)+0)/100)*(1-CHOOSE(ArtifactsInput!$N$40+1,5,6,7,8,9,10)/100)^(ArtifactsInput!$M$40-ArtifactsInput!$M$40)))/100)*(1-IF(ArtifactsInput!$M$40,CHOOSE(ArtifactsInput!$N$40+1,5,6,7,8,9,10),0)/100)^IF(Inputs!$B$38="pvp",1,2)))/100)))/(5000/(6000+Inputs!$B$42*(1-(100*(1-(1-(((1-(1-Inputs!$B$19/100)*(1-1/100))*100)+0)/100)*(1-CHOOSE(ArtifactsInput!$N$40+1,5,6,7,8,9,10)/100)^(ArtifactsInput!$M$40-ArtifactsInput!$M$40)))/100))))*((L674*(1-MIN(100,(Inputs!$B$9+((C688=TRUE)*(F688-Calc!F19))+B700+(ArtifactsInput!$M$24-ArtifactsInput!$M$24)*CHOOSE(ArtifactsInput!$N$24+1,10,12,14,16,18,20)+(IF(AND(Inputs!$B$38&lt;&gt;"pvp",Inputs!$B$43=0),1,IF(IF(Inputs!$B$38="pvp",15,Inputs!$B$43)-(B707)&lt;=0,1,MAX(0,IF(Inputs!$B$38="pvp",15,Inputs!$B$43)-MAX(5,B707))/(IF(Inputs!$B$38="pvp",15,Inputs!$B$43)-(B707))))*IF(AND(ArtifactsInput!$M$42,((Inputs!$B$9+((C688=TRUE)*(F688-Calc!F19))+B700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674*(MIN(100,(Inputs!$B$9+((C688=TRUE)*(F688-Calc!F19))+B700+(ArtifactsInput!$M$24-ArtifactsInput!$M$24)*CHOOSE(ArtifactsInput!$N$24+1,10,12,14,16,18,20)+(IF(AND(Inputs!$B$38&lt;&gt;"pvp",Inputs!$B$43=0),1,IF(IF(Inputs!$B$38="pvp",15,Inputs!$B$43)-(B707)&lt;=0,1,MAX(0,IF(Inputs!$B$38="pvp",15,Inputs!$B$43)-MAX(5,B707))/(IF(Inputs!$B$38="pvp",15,Inputs!$B$43)-(B707))))*IF(AND(ArtifactsInput!$M$42,((Inputs!$B$9+((C688=TRUE)*(F688-Calc!F19))+B700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674*(1-MIN(100,(Inputs!$B$9+((C688=TRUE)*(F688-Calc!F19))+B700+(ArtifactsInput!$M$24-ArtifactsInput!$M$24)*CHOOSE(ArtifactsInput!$N$24+1,10,12,14,16,18,20)+(IF(AND(Inputs!$B$38&lt;&gt;"pvp",Inputs!$B$43=0),1,IF(IF(Inputs!$B$38="pvp",15,Inputs!$B$43)-(B707)&lt;=0,1,MAX(0,IF(Inputs!$B$38="pvp",15,Inputs!$B$43)-MAX(5,B707))/(IF(Inputs!$B$38="pvp",15,Inputs!$B$43)-(B707))))*IF(AND(ArtifactsInput!$M$42,((Inputs!$B$9+((C688=TRUE)*(F688-Calc!F19))+B700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674*(MIN(100,(Inputs!$B$9+((C688=TRUE)*(F688-Calc!F19))+B700+(ArtifactsInput!$M$24-ArtifactsInput!$M$24)*CHOOSE(ArtifactsInput!$N$24+1,10,12,14,16,18,20)+(IF(AND(Inputs!$B$38&lt;&gt;"pvp",Inputs!$B$43=0),1,IF(IF(Inputs!$B$38="pvp",15,Inputs!$B$43)-(B707)&lt;=0,1,MAX(0,IF(Inputs!$B$38="pvp",15,Inputs!$B$43)-MAX(5,B707))/(IF(Inputs!$B$38="pvp",15,Inputs!$B$43)-(B707))))*IF(AND(ArtifactsInput!$M$42,((Inputs!$B$9+((C688=TRUE)*(F688-Calc!F19))+B700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674">
        <f>IF(C674,(H674*N674*IF(AND(Inputs!$B$38&lt;&gt;"pvp",Inputs!$B$43&gt;0),((Skills!G5*((R674-1)*IF(Skills!H5&gt;0,INT(IF(Inputs!$B$3&gt;=104,MIN(35,20*(1+Inputs!$B$34/100)),20)/Skills!H5+0.000000001),1)+IF(Skills!H5&gt;0,INT(MIN(IF(Inputs!$B$3&gt;=104,MIN(35,20*(1+Inputs!$B$34/100)),20),MAX(0,MAX(0,Inputs!$B$43-B707)-((R674-1)*(IF(Inputs!$B$38="pvp",15,MAX(0.1,Skills!D5-IF(TRUE=TRUE,Inputs!$B$32,0)))*(1-IF(AND(ArtifactsInput!$M$27,Inputs!$B$4="Chapter Hunt"),CHOOSE(ArtifactsInput!$N$27+1,20,24,28,32,36,40),0)/100)))))/Skills!H5+0.000000001),1)))/Inputs!$B$43),G674*Q674))*IF(Inputs!$B$38="pvp",1,(1+(Inputs!$B$21+Skills!Q5+(IF(ArtifactsInput!$M$33,CHOOSE(ArtifactsInput!$N$33+1,30,36,42,48,54,60),0))+(IF(AND(ArtifactsInput!$M$35,Inputs!$B$4&lt;&gt;"Chapter Hunt"),CHOOSE(ArtifactsInput!$N$35+1,15,18,21,24,27,30)*(1-EXP(-(0.2*B702)*5)),0)+IF(AND(ArtifactsInput!$M$22,Inputs!$B$4&lt;&gt;"Chapter Hunt"),CHOOSE(ArtifactsInput!$N$22+1,10,12,14,16,18,20)*((0*(((0.15*B702*5))^0/1)+1*(((0.15*B702*5))^1/1)+2*(((0.15*B702*5))^2/2)+3*(((0.15*B702*5))^3/6)+4*(((0.15*B702*5))^4/24)+5*(((0.15*B702*5))^5/120))/((((0.15*B702*5))^0/1)+(((0.15*B702*5))^1/1)+(((0.15*B702*5))^2/2)+(((0.15*B702*5))^3/6)+(((0.15*B702*5))^4/24)+(((0.15*B702*5))^5/120))),0))+IF(Inputs!$B$3&gt;=54,9*(C672=TRUE)*MIN(1,8*(1+Inputs!$B$34/100)*Q672),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75">
      <c r="A675">
        <f>Skills!A6</f>
        <v/>
      </c>
      <c r="B675">
        <f>Skills!B6</f>
        <v/>
      </c>
      <c r="C675">
        <f>Inputs!$B$3&gt;=66</f>
        <v/>
      </c>
      <c r="D675">
        <f>IF(Skills!C6=1,60+Inputs!$B$25+Inputs!$B$29,IF(Skills!C6=2,90+Inputs!$B$26+Inputs!$B$29,IF(Skills!C6=3,120+Inputs!$B$27+Inputs!$B$29,MAX(0,(Inputs!$B$3-100)*3)+Inputs!$B$28+Inputs!$B$29)))</f>
        <v/>
      </c>
      <c r="E675">
        <f>INDEX(FactorTable!$B$2:$Y$301, MATCH(ROUND(MIN(300,MAX(1,D675)),0), FactorTable!$A$2:$A$301,0), Skills!M6+1)</f>
        <v/>
      </c>
      <c r="F675">
        <f>IF(Skills!N6=TRUE,(Skills!L6/10)*(E675/1000),Skills!L6/10)+Skills!O6</f>
        <v/>
      </c>
      <c r="G675">
        <f>Skills!G6*IF(Skills!H6&gt;0,INT(IF(Inputs!$B$38="pvp",MIN(Skills!I6,15),Skills!I6)/Skills!H6+0.000000001),1)</f>
        <v/>
      </c>
      <c r="H675">
        <f>1-(1-Skills!J6/100)^Skills!K6</f>
        <v/>
      </c>
      <c r="I675" t="inlineStr">
        <is>
          <t>1</t>
        </is>
      </c>
      <c r="J675">
        <f>((Inputs!$B$6*(1+Inputs!$B$7/100))+(((Inputs!$B$12*(1+Inputs!$B$13/100))-(Inputs!$B$12*(1+Inputs!$B$13/100)))+0.25*(Inputs!$B$14-Inputs!$B$14))*(1+Inputs!$B$7/100))*(F675/100)</f>
        <v/>
      </c>
      <c r="K675">
        <f>J675*(1+((Inputs!$B$12*(1+Inputs!$B$13/100))*0.01+Inputs!$B$14*0.0025)/100)*(1+Inputs!$B$15/100)*(1+Inputs!$B$16/100)*(5000/(6000+Inputs!$B$42*(1-(100*(1-(1-(((1-(1-Inputs!$B$19/100)*(1-1/100))*100)+0)/100)*(1-CHOOSE(ArtifactsInput!$N$40+1,5,6,7,8,9,10)/100)^(ArtifactsInput!$M$40-ArtifactsInput!$M$40)))/100)))*(1+(Inputs!$B$24+((C695=TRUE)*(F695-Calc!F26))+B706)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+2.0*IF(C684=TRUE,F684,0)/100)*(1+(IF(Skills!A6="EIGHT_LEGS_EASTON",Inputs!$B$17+((C692=TRUE)*(F692-Calc!F23))+((C696=TRUE)*(F696-Calc!F27))+((IF(AND(Inputs!$B$38&lt;&gt;"pvp",Inputs!$B$43=0),1,IF(IF(Inputs!$B$38="pvp",15,Inputs!$B$43)-(B707)&lt;=0,1,MAX(0,IF(Inputs!$B$38="pvp",15,Inputs!$B$43)-MAX(5,B707))/(IF(Inputs!$B$38="pvp",15,Inputs!$B$43)-(B707))))*(IF(AND(ArtifactsInput!$M$42,((Inputs!$B$9+((C688=TRUE)*(F688-Calc!F19))+B700+(ArtifactsInput!$M$24-ArtifactsInput!$M$24)*CHOOSE(ArtifactsInput!$N$24+1,10,12,14,16,18,20)+IF(ArtifactsInput!$M$10,CHOOSE(ArtifactsInput!$N$10+1,15,18,21,24,27,30)*(IF(Inputs!$B$38="pvp",MIN(15,15)/15,IF(AND(Inputs!$B$38&lt;&gt;"pvp",Inputs!$B$43&gt;0),MIN(15,Inputs!$B$43)/(Inputs!$B$43),0))),0)))&gt;=100),MIN(100,((Inputs!$B$9+((C688=TRUE)*(F688-Calc!F19))+B700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707)&lt;=0,1,MAX(0,IF(Inputs!$B$38="pvp",15,Inputs!$B$43)-MAX(5,B707))/(IF(Inputs!$B$38="pvp",15,Inputs!$B$43)-(B707))))*IF(AND(ArtifactsInput!$M$42,((Inputs!$B$9+((C688=TRUE)*(F688-Calc!F19))+B700+(ArtifactsInput!$M$24-ArtifactsInput!$M$24)*CHOOSE(ArtifactsInput!$N$24+1,10,12,14,16,18,20)+IF(ArtifactsInput!$M$10,CHOOSE(ArtifactsInput!$N$10+1,15,18,21,24,27,30)*(IF(Inputs!$B$38="pvp",MIN(15,15)/15,IF(AND(Inputs!$B$38&lt;&gt;"pvp",Inputs!$B$43&gt;0),MIN(15,Inputs!$B$43)/(Inputs!$B$43),0))),0)))&gt;=100),CHOOSE(ArtifactsInput!$N$42+1,40,48,56,64,72,80),0))))/100)*((1+(((C686=TRUE)*F686*5/7)+((C693=TRUE)*(F693-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675)</f>
        <v/>
      </c>
      <c r="L675">
        <f>K675*(MIN(Inputs!$B$22+((C691=TRUE)*(F691-Calc!F22)),(Inputs!$B$23+0+(IF(ArtifactsInput!$M$15,CHOOSE(ArtifactsInput!$N$15+1,25,30,35,40,45,50)/100*(Inputs!$B$11-Inputs!$B$11),0))))/100+(Inputs!$B$23+0+(IF(ArtifactsInput!$M$15,CHOOSE(ArtifactsInput!$N$15+1,25,30,35,40,45,50)/100*(Inputs!$B$11-Inputs!$B$11),0)))/100)/2</f>
        <v/>
      </c>
      <c r="M675">
        <f>L675*(1+(Inputs!$B$10+((C694=TRUE)*(F694-Calc!F25))+B705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75">
        <f>L675*(1-MIN((Inputs!$B$9+((C688=TRUE)*(F688-Calc!F19))+B700+(ArtifactsInput!$M$24-ArtifactsInput!$M$24)*CHOOSE(ArtifactsInput!$N$24+1,10,12,14,16,18,20)+(IF(AND(Inputs!$B$38&lt;&gt;"pvp",Inputs!$B$43=0),1,IF(IF(Inputs!$B$38="pvp",15,Inputs!$B$43)-(B707)&lt;=0,1,MAX(0,IF(Inputs!$B$38="pvp",15,Inputs!$B$43)-MAX(5,B707))/(IF(Inputs!$B$38="pvp",15,Inputs!$B$43)-(B707))))*IF(AND(ArtifactsInput!$M$42,((Inputs!$B$9+((C688=TRUE)*(F688-Calc!F19))+B700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675*(MIN((Inputs!$B$9+((C688=TRUE)*(F688-Calc!F19))+B700+(ArtifactsInput!$M$24-ArtifactsInput!$M$24)*CHOOSE(ArtifactsInput!$N$24+1,10,12,14,16,18,20)+(IF(AND(Inputs!$B$38&lt;&gt;"pvp",Inputs!$B$43=0),1,IF(IF(Inputs!$B$38="pvp",15,Inputs!$B$43)-(B707)&lt;=0,1,MAX(0,IF(Inputs!$B$38="pvp",15,Inputs!$B$43)-MAX(5,B707))/(IF(Inputs!$B$38="pvp",15,Inputs!$B$43)-(B707))))*IF(AND(ArtifactsInput!$M$42,((Inputs!$B$9+((C688=TRUE)*(F688-Calc!F19))+B700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75">
        <f>(1-Summary!$B$11)*T675+Summary!$B$11*V675</f>
        <v/>
      </c>
      <c r="P675">
        <f>IF(B710=0,0,O675/B710)</f>
        <v/>
      </c>
      <c r="Q675">
        <f>IFERROR(1/(IF(Inputs!$B$38="pvp",15,MAX(0.1,Skills!D6-IF(TRUE=TRUE,Inputs!$B$32,0)))*(1-IF(AND(ArtifactsInput!$M$27,Inputs!$B$4="Chapter Hunt"),CHOOSE(ArtifactsInput!$N$27+1,20,24,28,32,36,40),0)/100)),0)</f>
        <v/>
      </c>
      <c r="R675">
        <f>IF(AND(Inputs!$B$38&lt;&gt;"pvp",Inputs!$B$43&gt;0),IF(MAX(0,Inputs!$B$43-B707)&lt;=0,0,(INT(MAX(0,Inputs!$B$43-B707)/(IF(Inputs!$B$38="pvp",15,MAX(0.1,Skills!D6-IF(TRUE=TRUE,Inputs!$B$32,0)))*(1-IF(AND(ArtifactsInput!$M$27,Inputs!$B$4="Chapter Hunt"),CHOOSE(ArtifactsInput!$N$27+1,20,24,28,32,36,40),0)/100)))+1)),0)</f>
        <v/>
      </c>
      <c r="S675">
        <f>IFERROR(O675/N675,0)</f>
        <v/>
      </c>
      <c r="T675">
        <f>IF(C675,(H675*N675*IF(AND(Inputs!$B$38&lt;&gt;"pvp",Inputs!$B$43&gt;0),((Skills!G6*((R675-1)*IF(Skills!H6&gt;0,INT(Skills!I6/Skills!H6+0.000000001),1)+IF(Skills!H6&gt;0,INT(MIN(Skills!I6,MAX(0,MAX(0,Inputs!$B$43-B707)-((R675-1)*(IF(Inputs!$B$38="pvp",15,MAX(0.1,Skills!D6-IF(TRUE=TRUE,Inputs!$B$32,0)))*(1-IF(AND(ArtifactsInput!$M$27,Inputs!$B$4="Chapter Hunt"),CHOOSE(ArtifactsInput!$N$27+1,20,24,28,32,36,40),0)/100)))))/Skills!H6+0.000000001),1)))/Inputs!$B$43),G675*Q675))*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Hunt"),CHOOSE(ArtifactsInput!$N$35+1,15,18,21,24,27,30)*(1-EXP(-(0.2*B702)*5)),0)+IF(AND(ArtifactsInput!$M$22,Inputs!$B$4&lt;&gt;"Chapter Hunt"),CHOOSE(ArtifactsInput!$N$22+1,10,12,14,16,18,20)*((0*(((0.15*B702*5))^0/1)+1*(((0.15*B702*5))^1/1)+2*(((0.15*B702*5))^2/2)+3*(((0.15*B702*5))^3/6)+4*(((0.15*B702*5))^4/24)+5*(((0.15*B702*5))^5/120))/((((0.15*B702*5))^0/1)+(((0.15*B702*5))^1/1)+(((0.15*B702*5))^2/2)+(((0.15*B702*5))^3/6)+(((0.15*B702*5))^4/24)+(((0.15*B702*5))^5/120))),0))+IF(Inputs!$B$3&gt;=54,9*(C672=TRUE)*MIN(1,8*(1+Inputs!$B$34/100)*Q672),0))/100)*((((5000/(6000+Inputs!$B$42*(1-(100*(1-(1-(100*(1-(1-(((1-(1-Inputs!$B$19/100)*(1-1/100))*100)+0)/100)*(1-CHOOSE(ArtifactsInput!$N$40+1,5,6,7,8,9,10)/100)^(ArtifactsInput!$M$40-ArtifactsInput!$M$40)))/100)*(1-IF(ArtifactsInput!$M$40,CHOOSE(ArtifactsInput!$N$40+1,5,6,7,8,9,10),0)/100)^IF(Inputs!$B$38="pvp",1,2)))/100)))/(5000/(6000+Inputs!$B$42*(1-(100*(1-(1-(((1-(1-Inputs!$B$19/100)*(1-1/100))*100)+0)/100)*(1-CHOOSE(ArtifactsInput!$N$40+1,5,6,7,8,9,10)/100)^(ArtifactsInput!$M$40-ArtifactsInput!$M$40)))/100))))*((L675*(1-MIN(100,(Inputs!$B$9+((C688=TRUE)*(F688-Calc!F19))+B700+(ArtifactsInput!$M$24-ArtifactsInput!$M$24)*CHOOSE(ArtifactsInput!$N$24+1,10,12,14,16,18,20)+(IF(AND(Inputs!$B$38&lt;&gt;"pvp",Inputs!$B$43=0),1,IF(IF(Inputs!$B$38="pvp",15,Inputs!$B$43)-(B707)&lt;=0,1,MAX(0,IF(Inputs!$B$38="pvp",15,Inputs!$B$43)-MAX(5,B707))/(IF(Inputs!$B$38="pvp",15,Inputs!$B$43)-(B707))))*IF(AND(ArtifactsInput!$M$42,((Inputs!$B$9+((C688=TRUE)*(F688-Calc!F19))+B700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675*(MIN(100,(Inputs!$B$9+((C688=TRUE)*(F688-Calc!F19))+B700+(ArtifactsInput!$M$24-ArtifactsInput!$M$24)*CHOOSE(ArtifactsInput!$N$24+1,10,12,14,16,18,20)+(IF(AND(Inputs!$B$38&lt;&gt;"pvp",Inputs!$B$43=0),1,IF(IF(Inputs!$B$38="pvp",15,Inputs!$B$43)-(B707)&lt;=0,1,MAX(0,IF(Inputs!$B$38="pvp",15,Inputs!$B$43)-MAX(5,B707))/(IF(Inputs!$B$38="pvp",15,Inputs!$B$43)-(B707))))*IF(AND(ArtifactsInput!$M$42,((Inputs!$B$9+((C688=TRUE)*(F688-Calc!F19))+B700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675*(1-MIN(100,(Inputs!$B$9+((C688=TRUE)*(F688-Calc!F19))+B700+(ArtifactsInput!$M$24-ArtifactsInput!$M$24)*CHOOSE(ArtifactsInput!$N$24+1,10,12,14,16,18,20)+(IF(AND(Inputs!$B$38&lt;&gt;"pvp",Inputs!$B$43=0),1,IF(IF(Inputs!$B$38="pvp",15,Inputs!$B$43)-(B707)&lt;=0,1,MAX(0,IF(Inputs!$B$38="pvp",15,Inputs!$B$43)-MAX(5,B707))/(IF(Inputs!$B$38="pvp",15,Inputs!$B$43)-(B707))))*IF(AND(ArtifactsInput!$M$42,((Inputs!$B$9+((C688=TRUE)*(F688-Calc!F19))+B700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675*(MIN(100,(Inputs!$B$9+((C688=TRUE)*(F688-Calc!F19))+B700+(ArtifactsInput!$M$24-ArtifactsInput!$M$24)*CHOOSE(ArtifactsInput!$N$24+1,10,12,14,16,18,20)+(IF(AND(Inputs!$B$38&lt;&gt;"pvp",Inputs!$B$43=0),1,IF(IF(Inputs!$B$38="pvp",15,Inputs!$B$43)-(B707)&lt;=0,1,MAX(0,IF(Inputs!$B$38="pvp",15,Inputs!$B$43)-MAX(5,B707))/(IF(Inputs!$B$38="pvp",15,Inputs!$B$43)-(B707))))*IF(AND(ArtifactsInput!$M$42,((Inputs!$B$9+((C688=TRUE)*(F688-Calc!F19))+B700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675">
        <f>IF(C675,(H675*N675*IF(AND(Inputs!$B$38&lt;&gt;"pvp",Inputs!$B$43&gt;0),((Skills!G6*((R675-1)*IF(Skills!H6&gt;0,INT(Skills!I6/Skills!H6+0.000000001),1)+IF(Skills!H6&gt;0,INT(MIN(Skills!I6,MAX(0,MAX(0,Inputs!$B$43-B707)-((R675-1)*(IF(Inputs!$B$38="pvp",15,MAX(0.1,Skills!D6-IF(TRUE=TRUE,Inputs!$B$32,0)))*(1-IF(AND(ArtifactsInput!$M$27,Inputs!$B$4="Chapter Hunt"),CHOOSE(ArtifactsInput!$N$27+1,20,24,28,32,36,40),0)/100)))))/Skills!H6+0.000000001),1)))/Inputs!$B$43),G675*Q675))*IF(Inputs!$B$38="pvp",1,(1+(Inputs!$B$21+Skills!Q6+(IF(ArtifactsInput!$M$33,CHOOSE(ArtifactsInput!$N$33+1,30,36,42,48,54,60),0))+(IF(AND(ArtifactsInput!$M$35,Inputs!$B$4&lt;&gt;"Chapter Hunt"),CHOOSE(ArtifactsInput!$N$35+1,15,18,21,24,27,30)*(1-EXP(-(0.2*B702)*5)),0)+IF(AND(ArtifactsInput!$M$22,Inputs!$B$4&lt;&gt;"Chapter Hunt"),CHOOSE(ArtifactsInput!$N$22+1,10,12,14,16,18,20)*((0*(((0.15*B702*5))^0/1)+1*(((0.15*B702*5))^1/1)+2*(((0.15*B702*5))^2/2)+3*(((0.15*B702*5))^3/6)+4*(((0.15*B702*5))^4/24)+5*(((0.15*B702*5))^5/120))/((((0.15*B702*5))^0/1)+(((0.15*B702*5))^1/1)+(((0.15*B702*5))^2/2)+(((0.15*B702*5))^3/6)+(((0.15*B702*5))^4/24)+(((0.15*B702*5))^5/120))),0))+IF(Inputs!$B$3&gt;=54,9*(C672=TRUE)*MIN(1,8*(1+Inputs!$B$34/100)*Q672),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76">
      <c r="A676">
        <f>Skills!A7</f>
        <v/>
      </c>
      <c r="B676">
        <f>Skills!B7</f>
        <v/>
      </c>
      <c r="C676">
        <f>Inputs!$B$3&gt;=63</f>
        <v/>
      </c>
      <c r="D676">
        <f>IF(Skills!C7=1,60+Inputs!$B$25+Inputs!$B$29,IF(Skills!C7=2,90+Inputs!$B$26+Inputs!$B$29,IF(Skills!C7=3,120+Inputs!$B$27+Inputs!$B$29,MAX(0,(Inputs!$B$3-100)*3)+Inputs!$B$28+Inputs!$B$29)))</f>
        <v/>
      </c>
      <c r="E676">
        <f>INDEX(FactorTable!$B$2:$Y$301, MATCH(ROUND(MIN(300,MAX(1,D676)),0), FactorTable!$A$2:$A$301,0), Skills!M7+1)</f>
        <v/>
      </c>
      <c r="F676">
        <f>IF(Skills!N7=TRUE,(Skills!L7/10)*(E676/1000),Skills!L7/10)+Skills!O7</f>
        <v/>
      </c>
      <c r="G676">
        <f>Skills!G7*IF(Skills!H7&gt;0,INT(IF(Inputs!$B$38="pvp",MIN(Skills!I7,15),Skills!I7)/Skills!H7+0.000000001),1)</f>
        <v/>
      </c>
      <c r="H676">
        <f>1-(1-Skills!J7/100)^Skills!K7</f>
        <v/>
      </c>
      <c r="I676" t="inlineStr">
        <is>
          <t>1</t>
        </is>
      </c>
      <c r="J676">
        <f>((Inputs!$B$6*(1+Inputs!$B$7/100))+(((Inputs!$B$12*(1+Inputs!$B$13/100))-(Inputs!$B$12*(1+Inputs!$B$13/100)))+0.25*(Inputs!$B$14-Inputs!$B$14))*(1+Inputs!$B$7/100))*(F676/100)</f>
        <v/>
      </c>
      <c r="K676">
        <f>J676*(1+((Inputs!$B$12*(1+Inputs!$B$13/100))*0.01+Inputs!$B$14*0.0025)/100)*(1+Inputs!$B$15/100)*(1+Inputs!$B$16/100)*(5000/(6000+Inputs!$B$42*(1-(100*(1-(1-(((1-(1-Inputs!$B$19/100)*(1-1/100))*100)+0)/100)*(1-CHOOSE(ArtifactsInput!$N$40+1,5,6,7,8,9,10)/100)^(ArtifactsInput!$M$40-ArtifactsInput!$M$40)))/100)))*(1+(Inputs!$B$24+((C695=TRUE)*(F695-Calc!F26))+B706)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684=TRUE,F684,0)/100)*(1+(IF(Skills!A7="EIGHT_LEGS_EASTON",Inputs!$B$17+((C692=TRUE)*(F692-Calc!F23))+((C696=TRUE)*(F696-Calc!F27))+((IF(AND(Inputs!$B$38&lt;&gt;"pvp",Inputs!$B$43=0),1,IF(IF(Inputs!$B$38="pvp",15,Inputs!$B$43)-(B707)&lt;=0,1,MAX(0,IF(Inputs!$B$38="pvp",15,Inputs!$B$43)-MAX(5,B707))/(IF(Inputs!$B$38="pvp",15,Inputs!$B$43)-(B707))))*(IF(AND(ArtifactsInput!$M$42,((Inputs!$B$9+((C688=TRUE)*(F688-Calc!F19))+B700+(ArtifactsInput!$M$24-ArtifactsInput!$M$24)*CHOOSE(ArtifactsInput!$N$24+1,10,12,14,16,18,20)+IF(ArtifactsInput!$M$10,CHOOSE(ArtifactsInput!$N$10+1,15,18,21,24,27,30)*(IF(Inputs!$B$38="pvp",MIN(15,15)/15,IF(AND(Inputs!$B$38&lt;&gt;"pvp",Inputs!$B$43&gt;0),MIN(15,Inputs!$B$43)/(Inputs!$B$43),0))),0)))&gt;=100),MIN(100,((Inputs!$B$9+((C688=TRUE)*(F688-Calc!F19))+B700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707)&lt;=0,1,MAX(0,IF(Inputs!$B$38="pvp",15,Inputs!$B$43)-MAX(5,B707))/(IF(Inputs!$B$38="pvp",15,Inputs!$B$43)-(B707))))*IF(AND(ArtifactsInput!$M$42,((Inputs!$B$9+((C688=TRUE)*(F688-Calc!F19))+B700+(ArtifactsInput!$M$24-ArtifactsInput!$M$24)*CHOOSE(ArtifactsInput!$N$24+1,10,12,14,16,18,20)+IF(ArtifactsInput!$M$10,CHOOSE(ArtifactsInput!$N$10+1,15,18,21,24,27,30)*(IF(Inputs!$B$38="pvp",MIN(15,15)/15,IF(AND(Inputs!$B$38&lt;&gt;"pvp",Inputs!$B$43&gt;0),MIN(15,Inputs!$B$43)/(Inputs!$B$43),0))),0)))&gt;=100),CHOOSE(ArtifactsInput!$N$42+1,40,48,56,64,72,80),0))))/100)*((1+(((C686=TRUE)*F686*5/7)+((C693=TRUE)*(F693-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676)</f>
        <v/>
      </c>
      <c r="L676">
        <f>K676*(MIN(Inputs!$B$22+((C691=TRUE)*(F691-Calc!F22)),(Inputs!$B$23+0+(IF(ArtifactsInput!$M$15,CHOOSE(ArtifactsInput!$N$15+1,25,30,35,40,45,50)/100*(Inputs!$B$11-Inputs!$B$11),0))))/100+(Inputs!$B$23+0+(IF(ArtifactsInput!$M$15,CHOOSE(ArtifactsInput!$N$15+1,25,30,35,40,45,50)/100*(Inputs!$B$11-Inputs!$B$11),0)))/100)/2</f>
        <v/>
      </c>
      <c r="M676">
        <f>L676*(1+(Inputs!$B$10+((C694=TRUE)*(F694-Calc!F25))+B705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76">
        <f>L676*(1-MIN((Inputs!$B$9+((C688=TRUE)*(F688-Calc!F19))+B700+(ArtifactsInput!$M$24-ArtifactsInput!$M$24)*CHOOSE(ArtifactsInput!$N$24+1,10,12,14,16,18,20)+(IF(AND(Inputs!$B$38&lt;&gt;"pvp",Inputs!$B$43=0),1,IF(IF(Inputs!$B$38="pvp",15,Inputs!$B$43)-(B707)&lt;=0,1,MAX(0,IF(Inputs!$B$38="pvp",15,Inputs!$B$43)-MAX(5,B707))/(IF(Inputs!$B$38="pvp",15,Inputs!$B$43)-(B707))))*IF(AND(ArtifactsInput!$M$42,((Inputs!$B$9+((C688=TRUE)*(F688-Calc!F19))+B700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676*(MIN((Inputs!$B$9+((C688=TRUE)*(F688-Calc!F19))+B700+(ArtifactsInput!$M$24-ArtifactsInput!$M$24)*CHOOSE(ArtifactsInput!$N$24+1,10,12,14,16,18,20)+(IF(AND(Inputs!$B$38&lt;&gt;"pvp",Inputs!$B$43=0),1,IF(IF(Inputs!$B$38="pvp",15,Inputs!$B$43)-(B707)&lt;=0,1,MAX(0,IF(Inputs!$B$38="pvp",15,Inputs!$B$43)-MAX(5,B707))/(IF(Inputs!$B$38="pvp",15,Inputs!$B$43)-(B707))))*IF(AND(ArtifactsInput!$M$42,((Inputs!$B$9+((C688=TRUE)*(F688-Calc!F19))+B700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76">
        <f>(1-Summary!$B$11)*T676+Summary!$B$11*V676</f>
        <v/>
      </c>
      <c r="P676">
        <f>IF(B710=0,0,O676/B710)</f>
        <v/>
      </c>
      <c r="Q676">
        <f>IFERROR(1/(IF(Inputs!$B$38="pvp",15,MAX(0.1,Skills!D7-IF(TRUE=TRUE,Inputs!$B$32,0)))*(1-IF(AND(ArtifactsInput!$M$27,Inputs!$B$4="Chapter Hunt"),CHOOSE(ArtifactsInput!$N$27+1,20,24,28,32,36,40),0)/100)),0)</f>
        <v/>
      </c>
      <c r="R676">
        <f>IF(AND(Inputs!$B$38&lt;&gt;"pvp",Inputs!$B$43&gt;0),IF(MAX(0,Inputs!$B$43-B707)&lt;=0,0,(INT(MAX(0,Inputs!$B$43-B707)/(IF(Inputs!$B$38="pvp",15,MAX(0.1,Skills!D7-IF(TRUE=TRUE,Inputs!$B$32,0)))*(1-IF(AND(ArtifactsInput!$M$27,Inputs!$B$4="Chapter Hunt"),CHOOSE(ArtifactsInput!$N$27+1,20,24,28,32,36,40),0)/100)))+1)),0)</f>
        <v/>
      </c>
      <c r="S676">
        <f>IFERROR(O676/N676,0)</f>
        <v/>
      </c>
      <c r="T676">
        <f>IF(C676,(H676*N676*IF(AND(Inputs!$B$38&lt;&gt;"pvp",Inputs!$B$43&gt;0),((Skills!G7*((R676-1)*IF(Skills!H7&gt;0,INT(Skills!I7/Skills!H7+0.000000001),1)+IF(Skills!H7&gt;0,INT(MIN(Skills!I7,MAX(0,MAX(0,Inputs!$B$43-B707)-((R676-1)*(IF(Inputs!$B$38="pvp",15,MAX(0.1,Skills!D7-IF(TRUE=TRUE,Inputs!$B$32,0)))*(1-IF(AND(ArtifactsInput!$M$27,Inputs!$B$4="Chapter Hunt"),CHOOSE(ArtifactsInput!$N$27+1,20,24,28,32,36,40),0)/100)))))/Skills!H7+0.000000001),1)))/Inputs!$B$43),G676*Q676))*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Hunt"),CHOOSE(ArtifactsInput!$N$35+1,15,18,21,24,27,30)*(1-EXP(-(0.2*B702)*5)),0)+IF(AND(ArtifactsInput!$M$22,Inputs!$B$4&lt;&gt;"Chapter Hunt"),CHOOSE(ArtifactsInput!$N$22+1,10,12,14,16,18,20)*((0*(((0.15*B702*5))^0/1)+1*(((0.15*B702*5))^1/1)+2*(((0.15*B702*5))^2/2)+3*(((0.15*B702*5))^3/6)+4*(((0.15*B702*5))^4/24)+5*(((0.15*B702*5))^5/120))/((((0.15*B702*5))^0/1)+(((0.15*B702*5))^1/1)+(((0.15*B702*5))^2/2)+(((0.15*B702*5))^3/6)+(((0.15*B702*5))^4/24)+(((0.15*B702*5))^5/120))),0))+IF(Inputs!$B$3&gt;=54,9*(C672=TRUE)*MIN(1,8*(1+Inputs!$B$34/100)*Q672),0))/100)*((((5000/(6000+Inputs!$B$42*(1-(100*(1-(1-(100*(1-(1-(((1-(1-Inputs!$B$19/100)*(1-1/100))*100)+0)/100)*(1-CHOOSE(ArtifactsInput!$N$40+1,5,6,7,8,9,10)/100)^(ArtifactsInput!$M$40-ArtifactsInput!$M$40)))/100)*(1-IF(ArtifactsInput!$M$40,CHOOSE(ArtifactsInput!$N$40+1,5,6,7,8,9,10),0)/100)^IF(Inputs!$B$38="pvp",1,2)))/100)))/(5000/(6000+Inputs!$B$42*(1-(100*(1-(1-(((1-(1-Inputs!$B$19/100)*(1-1/100))*100)+0)/100)*(1-CHOOSE(ArtifactsInput!$N$40+1,5,6,7,8,9,10)/100)^(ArtifactsInput!$M$40-ArtifactsInput!$M$40)))/100))))*((L676*(1-MIN(100,(Inputs!$B$9+((C688=TRUE)*(F688-Calc!F19))+B700+(ArtifactsInput!$M$24-ArtifactsInput!$M$24)*CHOOSE(ArtifactsInput!$N$24+1,10,12,14,16,18,20)+(IF(AND(Inputs!$B$38&lt;&gt;"pvp",Inputs!$B$43=0),1,IF(IF(Inputs!$B$38="pvp",15,Inputs!$B$43)-(B707)&lt;=0,1,MAX(0,IF(Inputs!$B$38="pvp",15,Inputs!$B$43)-MAX(5,B707))/(IF(Inputs!$B$38="pvp",15,Inputs!$B$43)-(B707))))*IF(AND(ArtifactsInput!$M$42,((Inputs!$B$9+((C688=TRUE)*(F688-Calc!F19))+B700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676*(MIN(100,(Inputs!$B$9+((C688=TRUE)*(F688-Calc!F19))+B700+(ArtifactsInput!$M$24-ArtifactsInput!$M$24)*CHOOSE(ArtifactsInput!$N$24+1,10,12,14,16,18,20)+(IF(AND(Inputs!$B$38&lt;&gt;"pvp",Inputs!$B$43=0),1,IF(IF(Inputs!$B$38="pvp",15,Inputs!$B$43)-(B707)&lt;=0,1,MAX(0,IF(Inputs!$B$38="pvp",15,Inputs!$B$43)-MAX(5,B707))/(IF(Inputs!$B$38="pvp",15,Inputs!$B$43)-(B707))))*IF(AND(ArtifactsInput!$M$42,((Inputs!$B$9+((C688=TRUE)*(F688-Calc!F19))+B700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676*(1-MIN(100,(Inputs!$B$9+((C688=TRUE)*(F688-Calc!F19))+B700+(ArtifactsInput!$M$24-ArtifactsInput!$M$24)*CHOOSE(ArtifactsInput!$N$24+1,10,12,14,16,18,20)+(IF(AND(Inputs!$B$38&lt;&gt;"pvp",Inputs!$B$43=0),1,IF(IF(Inputs!$B$38="pvp",15,Inputs!$B$43)-(B707)&lt;=0,1,MAX(0,IF(Inputs!$B$38="pvp",15,Inputs!$B$43)-MAX(5,B707))/(IF(Inputs!$B$38="pvp",15,Inputs!$B$43)-(B707))))*IF(AND(ArtifactsInput!$M$42,((Inputs!$B$9+((C688=TRUE)*(F688-Calc!F19))+B700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676*(MIN(100,(Inputs!$B$9+((C688=TRUE)*(F688-Calc!F19))+B700+(ArtifactsInput!$M$24-ArtifactsInput!$M$24)*CHOOSE(ArtifactsInput!$N$24+1,10,12,14,16,18,20)+(IF(AND(Inputs!$B$38&lt;&gt;"pvp",Inputs!$B$43=0),1,IF(IF(Inputs!$B$38="pvp",15,Inputs!$B$43)-(B707)&lt;=0,1,MAX(0,IF(Inputs!$B$38="pvp",15,Inputs!$B$43)-MAX(5,B707))/(IF(Inputs!$B$38="pvp",15,Inputs!$B$43)-(B707))))*IF(AND(ArtifactsInput!$M$42,((Inputs!$B$9+((C688=TRUE)*(F688-Calc!F19))+B700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676">
        <f>IF(C676,(H676*N676*IF(AND(Inputs!$B$38&lt;&gt;"pvp",Inputs!$B$43&gt;0),((Skills!G7*((R676-1)*IF(Skills!H7&gt;0,INT(Skills!I7/Skills!H7+0.000000001),1)+IF(Skills!H7&gt;0,INT(MIN(Skills!I7,MAX(0,MAX(0,Inputs!$B$43-B707)-((R676-1)*(IF(Inputs!$B$38="pvp",15,MAX(0.1,Skills!D7-IF(TRUE=TRUE,Inputs!$B$32,0)))*(1-IF(AND(ArtifactsInput!$M$27,Inputs!$B$4="Chapter Hunt"),CHOOSE(ArtifactsInput!$N$27+1,20,24,28,32,36,40),0)/100)))))/Skills!H7+0.000000001),1)))/Inputs!$B$43),G676*Q676))*IF(Inputs!$B$38="pvp",1,(1+(Inputs!$B$21+Skills!Q7+(IF(ArtifactsInput!$M$33,CHOOSE(ArtifactsInput!$N$33+1,30,36,42,48,54,60),0))+(IF(AND(ArtifactsInput!$M$35,Inputs!$B$4&lt;&gt;"Chapter Hunt"),CHOOSE(ArtifactsInput!$N$35+1,15,18,21,24,27,30)*(1-EXP(-(0.2*B702)*5)),0)+IF(AND(ArtifactsInput!$M$22,Inputs!$B$4&lt;&gt;"Chapter Hunt"),CHOOSE(ArtifactsInput!$N$22+1,10,12,14,16,18,20)*((0*(((0.15*B702*5))^0/1)+1*(((0.15*B702*5))^1/1)+2*(((0.15*B702*5))^2/2)+3*(((0.15*B702*5))^3/6)+4*(((0.15*B702*5))^4/24)+5*(((0.15*B702*5))^5/120))/((((0.15*B702*5))^0/1)+(((0.15*B702*5))^1/1)+(((0.15*B702*5))^2/2)+(((0.15*B702*5))^3/6)+(((0.15*B702*5))^4/24)+(((0.15*B702*5))^5/120))),0))+IF(Inputs!$B$3&gt;=54,9*(C672=TRUE)*MIN(1,8*(1+Inputs!$B$34/100)*Q672),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77">
      <c r="A677">
        <f>Skills!A8</f>
        <v/>
      </c>
      <c r="B677">
        <f>Skills!B8</f>
        <v/>
      </c>
      <c r="C677">
        <f>Inputs!$B$3&gt;=103</f>
        <v/>
      </c>
      <c r="D677">
        <f>IF(Skills!C8=1,60+Inputs!$B$25+Inputs!$B$29,IF(Skills!C8=2,90+Inputs!$B$26+Inputs!$B$29,IF(Skills!C8=3,120+Inputs!$B$27+Inputs!$B$29,MAX(0,(Inputs!$B$3-100)*3)+Inputs!$B$28+Inputs!$B$29)))</f>
        <v/>
      </c>
      <c r="E677">
        <f>INDEX(FactorTable!$B$2:$Y$301, MATCH(ROUND(MIN(300,MAX(1,D677)),0), FactorTable!$A$2:$A$301,0), Skills!M8+1)</f>
        <v/>
      </c>
      <c r="F677">
        <f>IF(Skills!N8=TRUE,(Skills!L8/10)*(E677/1000),Skills!L8/10)+Skills!O8</f>
        <v/>
      </c>
      <c r="G677">
        <f>Skills!G8*IF(Skills!H8&gt;0,INT(IF(Inputs!$B$38="pvp",MIN(Skills!I8,15),Skills!I8)/Skills!H8+0.000000001),1)</f>
        <v/>
      </c>
      <c r="H677">
        <f>1-(1-Skills!J8/100)^Skills!K8</f>
        <v/>
      </c>
      <c r="I677" t="inlineStr">
        <is>
          <t>1</t>
        </is>
      </c>
      <c r="J677">
        <f>((Inputs!$B$6*(1+Inputs!$B$7/100))+(((Inputs!$B$12*(1+Inputs!$B$13/100))-(Inputs!$B$12*(1+Inputs!$B$13/100)))+0.25*(Inputs!$B$14-Inputs!$B$14))*(1+Inputs!$B$7/100))*(F677/100)</f>
        <v/>
      </c>
      <c r="K677">
        <f>J677*(1+((Inputs!$B$12*(1+Inputs!$B$13/100))*0.01+Inputs!$B$14*0.0025)/100)*(1+Inputs!$B$15/100)*(1+Inputs!$B$16/100)*(5000/(6000+Inputs!$B$42*(1-(100*(1-(1-(((1-(1-Inputs!$B$19/100)*(1-1/100))*100)+0)/100)*(1-CHOOSE(ArtifactsInput!$N$40+1,5,6,7,8,9,10)/100)^(ArtifactsInput!$M$40-ArtifactsInput!$M$40)))/100)))*(1+(Inputs!$B$24+((C695=TRUE)*(F695-Calc!F26))+B706)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IGHT_LEGS_EASTON",Inputs!$B$17+((C692=TRUE)*(F692-Calc!F23))+((C696=TRUE)*(F696-Calc!F27))+((IF(AND(Inputs!$B$38&lt;&gt;"pvp",Inputs!$B$43=0),1,IF(IF(Inputs!$B$38="pvp",15,Inputs!$B$43)-(B707)&lt;=0,1,MAX(0,IF(Inputs!$B$38="pvp",15,Inputs!$B$43)-MAX(5,B707))/(IF(Inputs!$B$38="pvp",15,Inputs!$B$43)-(B707))))*(IF(AND(ArtifactsInput!$M$42,((Inputs!$B$9+((C688=TRUE)*(F688-Calc!F19))+B700+(ArtifactsInput!$M$24-ArtifactsInput!$M$24)*CHOOSE(ArtifactsInput!$N$24+1,10,12,14,16,18,20)+IF(ArtifactsInput!$M$10,CHOOSE(ArtifactsInput!$N$10+1,15,18,21,24,27,30)*(IF(Inputs!$B$38="pvp",MIN(15,15)/15,IF(AND(Inputs!$B$38&lt;&gt;"pvp",Inputs!$B$43&gt;0),MIN(15,Inputs!$B$43)/(Inputs!$B$43),0))),0)))&gt;=100),MIN(100,((Inputs!$B$9+((C688=TRUE)*(F688-Calc!F19))+B700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707)&lt;=0,1,MAX(0,IF(Inputs!$B$38="pvp",15,Inputs!$B$43)-MAX(5,B707))/(IF(Inputs!$B$38="pvp",15,Inputs!$B$43)-(B707))))*IF(AND(ArtifactsInput!$M$42,((Inputs!$B$9+((C688=TRUE)*(F688-Calc!F19))+B700+(ArtifactsInput!$M$24-ArtifactsInput!$M$24)*CHOOSE(ArtifactsInput!$N$24+1,10,12,14,16,18,20)+IF(ArtifactsInput!$M$10,CHOOSE(ArtifactsInput!$N$10+1,15,18,21,24,27,30)*(IF(Inputs!$B$38="pvp",MIN(15,15)/15,IF(AND(Inputs!$B$38&lt;&gt;"pvp",Inputs!$B$43&gt;0),MIN(15,Inputs!$B$43)/(Inputs!$B$43),0))),0)))&gt;=100),CHOOSE(ArtifactsInput!$N$42+1,40,48,56,64,72,80),0))))/100)*((1+(((C686=TRUE)*F686*5/7)+((C693=TRUE)*(F693-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677)</f>
        <v/>
      </c>
      <c r="L677">
        <f>K677*(MIN(Inputs!$B$22+((C691=TRUE)*(F691-Calc!F22)),(Inputs!$B$23+0+(IF(ArtifactsInput!$M$15,CHOOSE(ArtifactsInput!$N$15+1,25,30,35,40,45,50)/100*(Inputs!$B$11-Inputs!$B$11),0))))/100+(Inputs!$B$23+0+(IF(ArtifactsInput!$M$15,CHOOSE(ArtifactsInput!$N$15+1,25,30,35,40,45,50)/100*(Inputs!$B$11-Inputs!$B$11),0)))/100)/2</f>
        <v/>
      </c>
      <c r="M677">
        <f>L677*(1+(Inputs!$B$10+((C694=TRUE)*(F694-Calc!F25))+B705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77">
        <f>L677*(1-MIN((Inputs!$B$9+((C688=TRUE)*(F688-Calc!F19))+B700+(ArtifactsInput!$M$24-ArtifactsInput!$M$24)*CHOOSE(ArtifactsInput!$N$24+1,10,12,14,16,18,20)+(IF(AND(Inputs!$B$38&lt;&gt;"pvp",Inputs!$B$43=0),1,IF(IF(Inputs!$B$38="pvp",15,Inputs!$B$43)-(B707)&lt;=0,1,MAX(0,IF(Inputs!$B$38="pvp",15,Inputs!$B$43)-MAX(5,B707))/(IF(Inputs!$B$38="pvp",15,Inputs!$B$43)-(B707))))*IF(AND(ArtifactsInput!$M$42,((Inputs!$B$9+((C688=TRUE)*(F688-Calc!F19))+B700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677*(MIN((Inputs!$B$9+((C688=TRUE)*(F688-Calc!F19))+B700+(ArtifactsInput!$M$24-ArtifactsInput!$M$24)*CHOOSE(ArtifactsInput!$N$24+1,10,12,14,16,18,20)+(IF(AND(Inputs!$B$38&lt;&gt;"pvp",Inputs!$B$43=0),1,IF(IF(Inputs!$B$38="pvp",15,Inputs!$B$43)-(B707)&lt;=0,1,MAX(0,IF(Inputs!$B$38="pvp",15,Inputs!$B$43)-MAX(5,B707))/(IF(Inputs!$B$38="pvp",15,Inputs!$B$43)-(B707))))*IF(AND(ArtifactsInput!$M$42,((Inputs!$B$9+((C688=TRUE)*(F688-Calc!F19))+B700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77">
        <f>(1-Summary!$B$11)*T677+Summary!$B$11*V677</f>
        <v/>
      </c>
      <c r="P677">
        <f>IF(B710=0,0,O677/B710)</f>
        <v/>
      </c>
      <c r="Q677">
        <f>IFERROR(1/((IF(Inputs!$B$38="pvp",15,MAX(0.1,Skills!D8-IF(TRUE=TRUE,Inputs!$B$32,0)))*(1-IF(AND(ArtifactsInput!$M$27,Inputs!$B$4="Chapter Hunt"),CHOOSE(ArtifactsInput!$N$27+1,20,24,28,32,36,40),0)/100))/B711),0)</f>
        <v/>
      </c>
      <c r="R677">
        <f>IF(AND(Inputs!$B$38&lt;&gt;"pvp",Inputs!$B$43&gt;0),IF(MAX(0,Inputs!$B$43-B707)&lt;=0,0,(INT(MAX(0,Inputs!$B$43-B707)/((IF(Inputs!$B$38="pvp",15,MAX(0.1,Skills!D8-IF(TRUE=TRUE,Inputs!$B$32,0)))*(1-IF(AND(ArtifactsInput!$M$27,Inputs!$B$4="Chapter Hunt"),CHOOSE(ArtifactsInput!$N$27+1,20,24,28,32,36,40),0)/100))/B711))+1)),0)</f>
        <v/>
      </c>
      <c r="S677">
        <f>IFERROR(O677/N677,0)</f>
        <v/>
      </c>
      <c r="T677">
        <f>IF(C677,(H677*N677*IF(AND(Inputs!$B$38&lt;&gt;"pvp",Inputs!$B$43&gt;0),((Skills!G8*((R677-1)*IF(Skills!H8&gt;0,INT(Skills!I8/Skills!H8+0.000000001),1)+IF(Skills!H8&gt;0,INT(MIN(Skills!I8,MAX(0,MAX(0,Inputs!$B$43-B707)-((R677-1)*((IF(Inputs!$B$38="pvp",15,MAX(0.1,Skills!D8-IF(TRUE=TRUE,Inputs!$B$32,0)))*(1-IF(AND(ArtifactsInput!$M$27,Inputs!$B$4="Chapter Hunt"),CHOOSE(ArtifactsInput!$N$27+1,20,24,28,32,36,40),0)/100))/B711))))/Skills!H8+0.000000001),1)))/Inputs!$B$43),G677*Q677))*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Hunt"),CHOOSE(ArtifactsInput!$N$35+1,15,18,21,24,27,30)*(1-EXP(-(0.2*B702)*5)),0)+IF(AND(ArtifactsInput!$M$22,Inputs!$B$4&lt;&gt;"Chapter Hunt"),CHOOSE(ArtifactsInput!$N$22+1,10,12,14,16,18,20)*((0*(((0.15*B702*5))^0/1)+1*(((0.15*B702*5))^1/1)+2*(((0.15*B702*5))^2/2)+3*(((0.15*B702*5))^3/6)+4*(((0.15*B702*5))^4/24)+5*(((0.15*B702*5))^5/120))/((((0.15*B702*5))^0/1)+(((0.15*B702*5))^1/1)+(((0.15*B702*5))^2/2)+(((0.15*B702*5))^3/6)+(((0.15*B702*5))^4/24)+(((0.15*B702*5))^5/120))),0))+IF(Inputs!$B$3&gt;=54,9*(C672=TRUE)*MIN(1,8*(1+Inputs!$B$34/100)*Q672),0))/100)*((((5000/(6000+Inputs!$B$42*(1-(100*(1-(1-(100*(1-(1-(((1-(1-Inputs!$B$19/100)*(1-1/100))*100)+0)/100)*(1-CHOOSE(ArtifactsInput!$N$40+1,5,6,7,8,9,10)/100)^(ArtifactsInput!$M$40-ArtifactsInput!$M$40)))/100)*(1-IF(ArtifactsInput!$M$40,CHOOSE(ArtifactsInput!$N$40+1,5,6,7,8,9,10),0)/100)^IF(Inputs!$B$38="pvp",1,2)))/100)))/(5000/(6000+Inputs!$B$42*(1-(100*(1-(1-(((1-(1-Inputs!$B$19/100)*(1-1/100))*100)+0)/100)*(1-CHOOSE(ArtifactsInput!$N$40+1,5,6,7,8,9,10)/100)^(ArtifactsInput!$M$40-ArtifactsInput!$M$40)))/100))))*((L677*(1-MIN(100,(Inputs!$B$9+((C688=TRUE)*(F688-Calc!F19))+B700+(ArtifactsInput!$M$24-ArtifactsInput!$M$24)*CHOOSE(ArtifactsInput!$N$24+1,10,12,14,16,18,20)+(IF(AND(Inputs!$B$38&lt;&gt;"pvp",Inputs!$B$43=0),1,IF(IF(Inputs!$B$38="pvp",15,Inputs!$B$43)-(B707)&lt;=0,1,MAX(0,IF(Inputs!$B$38="pvp",15,Inputs!$B$43)-MAX(5,B707))/(IF(Inputs!$B$38="pvp",15,Inputs!$B$43)-(B707))))*IF(AND(ArtifactsInput!$M$42,((Inputs!$B$9+((C688=TRUE)*(F688-Calc!F19))+B700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677*(MIN(100,(Inputs!$B$9+((C688=TRUE)*(F688-Calc!F19))+B700+(ArtifactsInput!$M$24-ArtifactsInput!$M$24)*CHOOSE(ArtifactsInput!$N$24+1,10,12,14,16,18,20)+(IF(AND(Inputs!$B$38&lt;&gt;"pvp",Inputs!$B$43=0),1,IF(IF(Inputs!$B$38="pvp",15,Inputs!$B$43)-(B707)&lt;=0,1,MAX(0,IF(Inputs!$B$38="pvp",15,Inputs!$B$43)-MAX(5,B707))/(IF(Inputs!$B$38="pvp",15,Inputs!$B$43)-(B707))))*IF(AND(ArtifactsInput!$M$42,((Inputs!$B$9+((C688=TRUE)*(F688-Calc!F19))+B700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677*(1-MIN(100,(Inputs!$B$9+((C688=TRUE)*(F688-Calc!F19))+B700+(ArtifactsInput!$M$24-ArtifactsInput!$M$24)*CHOOSE(ArtifactsInput!$N$24+1,10,12,14,16,18,20)+(IF(AND(Inputs!$B$38&lt;&gt;"pvp",Inputs!$B$43=0),1,IF(IF(Inputs!$B$38="pvp",15,Inputs!$B$43)-(B707)&lt;=0,1,MAX(0,IF(Inputs!$B$38="pvp",15,Inputs!$B$43)-MAX(5,B707))/(IF(Inputs!$B$38="pvp",15,Inputs!$B$43)-(B707))))*IF(AND(ArtifactsInput!$M$42,((Inputs!$B$9+((C688=TRUE)*(F688-Calc!F19))+B700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677*(MIN(100,(Inputs!$B$9+((C688=TRUE)*(F688-Calc!F19))+B700+(ArtifactsInput!$M$24-ArtifactsInput!$M$24)*CHOOSE(ArtifactsInput!$N$24+1,10,12,14,16,18,20)+(IF(AND(Inputs!$B$38&lt;&gt;"pvp",Inputs!$B$43=0),1,IF(IF(Inputs!$B$38="pvp",15,Inputs!$B$43)-(B707)&lt;=0,1,MAX(0,IF(Inputs!$B$38="pvp",15,Inputs!$B$43)-MAX(5,B707))/(IF(Inputs!$B$38="pvp",15,Inputs!$B$43)-(B707))))*IF(AND(ArtifactsInput!$M$42,((Inputs!$B$9+((C688=TRUE)*(F688-Calc!F19))+B700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677">
        <f>IF(C677,(H677*N677*IF(AND(Inputs!$B$38&lt;&gt;"pvp",Inputs!$B$43&gt;0),((Skills!G8*((R677-1)*IF(Skills!H8&gt;0,INT(Skills!I8/Skills!H8+0.000000001),1)+IF(Skills!H8&gt;0,INT(MIN(Skills!I8,MAX(0,MAX(0,Inputs!$B$43-B707)-((R677-1)*((IF(Inputs!$B$38="pvp",15,MAX(0.1,Skills!D8-IF(TRUE=TRUE,Inputs!$B$32,0)))*(1-IF(AND(ArtifactsInput!$M$27,Inputs!$B$4="Chapter Hunt"),CHOOSE(ArtifactsInput!$N$27+1,20,24,28,32,36,40),0)/100))/B711))))/Skills!H8+0.000000001),1)))/Inputs!$B$43),G677*Q677))*IF(Inputs!$B$38="pvp",1,(1+(Inputs!$B$21+Skills!Q8+(IF(ArtifactsInput!$M$33,CHOOSE(ArtifactsInput!$N$33+1,30,36,42,48,54,60),0))+(IF(AND(ArtifactsInput!$M$35,Inputs!$B$4&lt;&gt;"Chapter Hunt"),CHOOSE(ArtifactsInput!$N$35+1,15,18,21,24,27,30)*(1-EXP(-(0.2*B702)*5)),0)+IF(AND(ArtifactsInput!$M$22,Inputs!$B$4&lt;&gt;"Chapter Hunt"),CHOOSE(ArtifactsInput!$N$22+1,10,12,14,16,18,20)*((0*(((0.15*B702*5))^0/1)+1*(((0.15*B702*5))^1/1)+2*(((0.15*B702*5))^2/2)+3*(((0.15*B702*5))^3/6)+4*(((0.15*B702*5))^4/24)+5*(((0.15*B702*5))^5/120))/((((0.15*B702*5))^0/1)+(((0.15*B702*5))^1/1)+(((0.15*B702*5))^2/2)+(((0.15*B702*5))^3/6)+(((0.15*B702*5))^4/24)+(((0.15*B702*5))^5/120))),0))+IF(Inputs!$B$3&gt;=54,9*(C672=TRUE)*MIN(1,8*(1+Inputs!$B$34/100)*Q672),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78">
      <c r="A678">
        <f>Skills!A9</f>
        <v/>
      </c>
      <c r="B678">
        <f>Skills!B9</f>
        <v/>
      </c>
      <c r="C678">
        <f>Inputs!$B$3&gt;=105</f>
        <v/>
      </c>
      <c r="D678">
        <f>IF(Skills!C9=1,60+Inputs!$B$25+Inputs!$B$29,IF(Skills!C9=2,90+Inputs!$B$26+Inputs!$B$29,IF(Skills!C9=3,120+Inputs!$B$27+Inputs!$B$29,MAX(0,(Inputs!$B$3-100)*3)+Inputs!$B$28+Inputs!$B$29)))</f>
        <v/>
      </c>
      <c r="E678">
        <f>INDEX(FactorTable!$B$2:$Y$301, MATCH(ROUND(MIN(300,MAX(1,D678)),0), FactorTable!$A$2:$A$301,0), Skills!M9+1)</f>
        <v/>
      </c>
      <c r="F678">
        <f>IF(Skills!N9=TRUE,(Skills!L9/10)*(E678/1000),Skills!L9/10)+Skills!O9</f>
        <v/>
      </c>
      <c r="G678">
        <f>Skills!G9*IF(Skills!H9&gt;0,INT(IF(Inputs!$B$38="pvp",MIN(Skills!I9,15),Skills!I9)/Skills!H9+0.000000001),1)</f>
        <v/>
      </c>
      <c r="H678">
        <f>1-(1-Skills!J9/100)^Skills!K9</f>
        <v/>
      </c>
      <c r="I678" t="inlineStr">
        <is>
          <t>1</t>
        </is>
      </c>
      <c r="J678">
        <f>((Inputs!$B$6*(1+Inputs!$B$7/100))+(((Inputs!$B$12*(1+Inputs!$B$13/100))-(Inputs!$B$12*(1+Inputs!$B$13/100)))+0.25*(Inputs!$B$14-Inputs!$B$14))*(1+Inputs!$B$7/100))*(F678/100)</f>
        <v/>
      </c>
      <c r="K678">
        <f>J678*(1+((Inputs!$B$12*(1+Inputs!$B$13/100))*0.01+Inputs!$B$14*0.0025)/100)*(1+Inputs!$B$15/100)*(1+Inputs!$B$16/100)*(5000/(6000+Inputs!$B$42*(1-(100*(1-(1-(((1-(1-Inputs!$B$19/100)*(1-1/100))*100)+0)/100)*(1-CHOOSE(ArtifactsInput!$N$40+1,5,6,7,8,9,10)/100)^(ArtifactsInput!$M$40-ArtifactsInput!$M$40)))/100)))*(1+(Inputs!$B$24+((C695=TRUE)*(F695-Calc!F26))+B706)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IGHT_LEGS_EASTON",Inputs!$B$17+((C692=TRUE)*(F692-Calc!F23))+((C696=TRUE)*(F696-Calc!F27))+((IF(AND(Inputs!$B$38&lt;&gt;"pvp",Inputs!$B$43=0),1,IF(IF(Inputs!$B$38="pvp",15,Inputs!$B$43)-(B707)&lt;=0,1,MAX(0,IF(Inputs!$B$38="pvp",15,Inputs!$B$43)-MAX(5,B707))/(IF(Inputs!$B$38="pvp",15,Inputs!$B$43)-(B707))))*(IF(AND(ArtifactsInput!$M$42,((Inputs!$B$9+((C688=TRUE)*(F688-Calc!F19))+B700+(ArtifactsInput!$M$24-ArtifactsInput!$M$24)*CHOOSE(ArtifactsInput!$N$24+1,10,12,14,16,18,20)+IF(ArtifactsInput!$M$10,CHOOSE(ArtifactsInput!$N$10+1,15,18,21,24,27,30)*(IF(Inputs!$B$38="pvp",MIN(15,15)/15,IF(AND(Inputs!$B$38&lt;&gt;"pvp",Inputs!$B$43&gt;0),MIN(15,Inputs!$B$43)/(Inputs!$B$43),0))),0)))&gt;=100),MIN(100,((Inputs!$B$9+((C688=TRUE)*(F688-Calc!F19))+B700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707)&lt;=0,1,MAX(0,IF(Inputs!$B$38="pvp",15,Inputs!$B$43)-MAX(5,B707))/(IF(Inputs!$B$38="pvp",15,Inputs!$B$43)-(B707))))*IF(AND(ArtifactsInput!$M$42,((Inputs!$B$9+((C688=TRUE)*(F688-Calc!F19))+B700+(ArtifactsInput!$M$24-ArtifactsInput!$M$24)*CHOOSE(ArtifactsInput!$N$24+1,10,12,14,16,18,20)+IF(ArtifactsInput!$M$10,CHOOSE(ArtifactsInput!$N$10+1,15,18,21,24,27,30)*(IF(Inputs!$B$38="pvp",MIN(15,15)/15,IF(AND(Inputs!$B$38&lt;&gt;"pvp",Inputs!$B$43&gt;0),MIN(15,Inputs!$B$43)/(Inputs!$B$43),0))),0)))&gt;=100),CHOOSE(ArtifactsInput!$N$42+1,40,48,56,64,72,80),0))))/100)*((1+(((C686=TRUE)*F686*5/7)+((C693=TRUE)*(F693-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678)</f>
        <v/>
      </c>
      <c r="L678">
        <f>K678*(MIN(Inputs!$B$22+((C691=TRUE)*(F691-Calc!F22)),(Inputs!$B$23+0+(IF(ArtifactsInput!$M$15,CHOOSE(ArtifactsInput!$N$15+1,25,30,35,40,45,50)/100*(Inputs!$B$11-Inputs!$B$11),0))))/100+(Inputs!$B$23+0+(IF(ArtifactsInput!$M$15,CHOOSE(ArtifactsInput!$N$15+1,25,30,35,40,45,50)/100*(Inputs!$B$11-Inputs!$B$11),0)))/100)/2</f>
        <v/>
      </c>
      <c r="M678">
        <f>L678*(1+(Inputs!$B$10+((C694=TRUE)*(F694-Calc!F25))+B705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78">
        <f>L678*(1-MIN((Inputs!$B$9+((C688=TRUE)*(F688-Calc!F19))+B700+(ArtifactsInput!$M$24-ArtifactsInput!$M$24)*CHOOSE(ArtifactsInput!$N$24+1,10,12,14,16,18,20)+(IF(AND(Inputs!$B$38&lt;&gt;"pvp",Inputs!$B$43=0),1,IF(IF(Inputs!$B$38="pvp",15,Inputs!$B$43)-(B707)&lt;=0,1,MAX(0,IF(Inputs!$B$38="pvp",15,Inputs!$B$43)-MAX(5,B707))/(IF(Inputs!$B$38="pvp",15,Inputs!$B$43)-(B707))))*IF(AND(ArtifactsInput!$M$42,((Inputs!$B$9+((C688=TRUE)*(F688-Calc!F19))+B700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678*(MIN((Inputs!$B$9+((C688=TRUE)*(F688-Calc!F19))+B700+(ArtifactsInput!$M$24-ArtifactsInput!$M$24)*CHOOSE(ArtifactsInput!$N$24+1,10,12,14,16,18,20)+(IF(AND(Inputs!$B$38&lt;&gt;"pvp",Inputs!$B$43=0),1,IF(IF(Inputs!$B$38="pvp",15,Inputs!$B$43)-(B707)&lt;=0,1,MAX(0,IF(Inputs!$B$38="pvp",15,Inputs!$B$43)-MAX(5,B707))/(IF(Inputs!$B$38="pvp",15,Inputs!$B$43)-(B707))))*IF(AND(ArtifactsInput!$M$42,((Inputs!$B$9+((C688=TRUE)*(F688-Calc!F19))+B700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78">
        <f>(1-Summary!$B$11)*T678+Summary!$B$11*V678</f>
        <v/>
      </c>
      <c r="P678">
        <f>IF(B710=0,0,O678/B710)</f>
        <v/>
      </c>
      <c r="Q678">
        <f>IFERROR(1/(IF(Inputs!$B$38="pvp",15,MAX(0.1,Skills!D9-IF(TRUE=TRUE,Inputs!$B$32,0)))*(1-IF(AND(ArtifactsInput!$M$27,Inputs!$B$4="Chapter Hunt"),CHOOSE(ArtifactsInput!$N$27+1,20,24,28,32,36,40),0)/100)),0)</f>
        <v/>
      </c>
      <c r="R678">
        <f>IF(AND(Inputs!$B$38&lt;&gt;"pvp",Inputs!$B$43&gt;0),IF(MAX(0,Inputs!$B$43-B707)&lt;=0,0,(INT(MAX(0,Inputs!$B$43-B707)/(IF(Inputs!$B$38="pvp",15,MAX(0.1,Skills!D9-IF(TRUE=TRUE,Inputs!$B$32,0)))*(1-IF(AND(ArtifactsInput!$M$27,Inputs!$B$4="Chapter Hunt"),CHOOSE(ArtifactsInput!$N$27+1,20,24,28,32,36,40),0)/100)))+1)),0)</f>
        <v/>
      </c>
      <c r="S678">
        <f>IFERROR(O678/N678,0)</f>
        <v/>
      </c>
      <c r="T678">
        <f>IF(C678,(H678*N678*IF(AND(Inputs!$B$38&lt;&gt;"pvp",Inputs!$B$43&gt;0),((Skills!G9*((R678-1)*IF(Skills!H9&gt;0,INT(Skills!I9/Skills!H9+0.000000001),1)+IF(Skills!H9&gt;0,INT(MIN(Skills!I9,MAX(0,MAX(0,Inputs!$B$43-B707)-((R678-1)*(IF(Inputs!$B$38="pvp",15,MAX(0.1,Skills!D9-IF(TRUE=TRUE,Inputs!$B$32,0)))*(1-IF(AND(ArtifactsInput!$M$27,Inputs!$B$4="Chapter Hunt"),CHOOSE(ArtifactsInput!$N$27+1,20,24,28,32,36,40),0)/100)))))/Skills!H9+0.000000001),1)))/Inputs!$B$43),G678*Q678))*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Hunt"),CHOOSE(ArtifactsInput!$N$35+1,15,18,21,24,27,30)*(1-EXP(-(0.2*B702)*5)),0)+IF(AND(ArtifactsInput!$M$22,Inputs!$B$4&lt;&gt;"Chapter Hunt"),CHOOSE(ArtifactsInput!$N$22+1,10,12,14,16,18,20)*((0*(((0.15*B702*5))^0/1)+1*(((0.15*B702*5))^1/1)+2*(((0.15*B702*5))^2/2)+3*(((0.15*B702*5))^3/6)+4*(((0.15*B702*5))^4/24)+5*(((0.15*B702*5))^5/120))/((((0.15*B702*5))^0/1)+(((0.15*B702*5))^1/1)+(((0.15*B702*5))^2/2)+(((0.15*B702*5))^3/6)+(((0.15*B702*5))^4/24)+(((0.15*B702*5))^5/120))),0))+IF(Inputs!$B$3&gt;=54,9*(C672=TRUE)*MIN(1,8*(1+Inputs!$B$34/100)*Q672),0))/100)*((((5000/(6000+Inputs!$B$42*(1-(100*(1-(1-(100*(1-(1-(((1-(1-Inputs!$B$19/100)*(1-1/100))*100)+0)/100)*(1-CHOOSE(ArtifactsInput!$N$40+1,5,6,7,8,9,10)/100)^(ArtifactsInput!$M$40-ArtifactsInput!$M$40)))/100)*(1-IF(ArtifactsInput!$M$40,CHOOSE(ArtifactsInput!$N$40+1,5,6,7,8,9,10),0)/100)^IF(Inputs!$B$38="pvp",1,2)))/100)))/(5000/(6000+Inputs!$B$42*(1-(100*(1-(1-(((1-(1-Inputs!$B$19/100)*(1-1/100))*100)+0)/100)*(1-CHOOSE(ArtifactsInput!$N$40+1,5,6,7,8,9,10)/100)^(ArtifactsInput!$M$40-ArtifactsInput!$M$40)))/100))))*((L678*(1-MIN(100,(Inputs!$B$9+((C688=TRUE)*(F688-Calc!F19))+B700+(ArtifactsInput!$M$24-ArtifactsInput!$M$24)*CHOOSE(ArtifactsInput!$N$24+1,10,12,14,16,18,20)+(IF(AND(Inputs!$B$38&lt;&gt;"pvp",Inputs!$B$43=0),1,IF(IF(Inputs!$B$38="pvp",15,Inputs!$B$43)-(B707)&lt;=0,1,MAX(0,IF(Inputs!$B$38="pvp",15,Inputs!$B$43)-MAX(5,B707))/(IF(Inputs!$B$38="pvp",15,Inputs!$B$43)-(B707))))*IF(AND(ArtifactsInput!$M$42,((Inputs!$B$9+((C688=TRUE)*(F688-Calc!F19))+B700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678*(MIN(100,(Inputs!$B$9+((C688=TRUE)*(F688-Calc!F19))+B700+(ArtifactsInput!$M$24-ArtifactsInput!$M$24)*CHOOSE(ArtifactsInput!$N$24+1,10,12,14,16,18,20)+(IF(AND(Inputs!$B$38&lt;&gt;"pvp",Inputs!$B$43=0),1,IF(IF(Inputs!$B$38="pvp",15,Inputs!$B$43)-(B707)&lt;=0,1,MAX(0,IF(Inputs!$B$38="pvp",15,Inputs!$B$43)-MAX(5,B707))/(IF(Inputs!$B$38="pvp",15,Inputs!$B$43)-(B707))))*IF(AND(ArtifactsInput!$M$42,((Inputs!$B$9+((C688=TRUE)*(F688-Calc!F19))+B700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678*(1-MIN(100,(Inputs!$B$9+((C688=TRUE)*(F688-Calc!F19))+B700+(ArtifactsInput!$M$24-ArtifactsInput!$M$24)*CHOOSE(ArtifactsInput!$N$24+1,10,12,14,16,18,20)+(IF(AND(Inputs!$B$38&lt;&gt;"pvp",Inputs!$B$43=0),1,IF(IF(Inputs!$B$38="pvp",15,Inputs!$B$43)-(B707)&lt;=0,1,MAX(0,IF(Inputs!$B$38="pvp",15,Inputs!$B$43)-MAX(5,B707))/(IF(Inputs!$B$38="pvp",15,Inputs!$B$43)-(B707))))*IF(AND(ArtifactsInput!$M$42,((Inputs!$B$9+((C688=TRUE)*(F688-Calc!F19))+B700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678*(MIN(100,(Inputs!$B$9+((C688=TRUE)*(F688-Calc!F19))+B700+(ArtifactsInput!$M$24-ArtifactsInput!$M$24)*CHOOSE(ArtifactsInput!$N$24+1,10,12,14,16,18,20)+(IF(AND(Inputs!$B$38&lt;&gt;"pvp",Inputs!$B$43=0),1,IF(IF(Inputs!$B$38="pvp",15,Inputs!$B$43)-(B707)&lt;=0,1,MAX(0,IF(Inputs!$B$38="pvp",15,Inputs!$B$43)-MAX(5,B707))/(IF(Inputs!$B$38="pvp",15,Inputs!$B$43)-(B707))))*IF(AND(ArtifactsInput!$M$42,((Inputs!$B$9+((C688=TRUE)*(F688-Calc!F19))+B700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678">
        <f>IF(C678,(H678*N678*IF(AND(Inputs!$B$38&lt;&gt;"pvp",Inputs!$B$43&gt;0),((Skills!G9*((R678-1)*IF(Skills!H9&gt;0,INT(Skills!I9/Skills!H9+0.000000001),1)+IF(Skills!H9&gt;0,INT(MIN(Skills!I9,MAX(0,MAX(0,Inputs!$B$43-B707)-((R678-1)*(IF(Inputs!$B$38="pvp",15,MAX(0.1,Skills!D9-IF(TRUE=TRUE,Inputs!$B$32,0)))*(1-IF(AND(ArtifactsInput!$M$27,Inputs!$B$4="Chapter Hunt"),CHOOSE(ArtifactsInput!$N$27+1,20,24,28,32,36,40),0)/100)))))/Skills!H9+0.000000001),1)))/Inputs!$B$43),G678*Q678))*IF(Inputs!$B$38="pvp",1,(1+(Inputs!$B$21+Skills!Q9+(IF(ArtifactsInput!$M$33,CHOOSE(ArtifactsInput!$N$33+1,30,36,42,48,54,60),0))+(IF(AND(ArtifactsInput!$M$35,Inputs!$B$4&lt;&gt;"Chapter Hunt"),CHOOSE(ArtifactsInput!$N$35+1,15,18,21,24,27,30)*(1-EXP(-(0.2*B702)*5)),0)+IF(AND(ArtifactsInput!$M$22,Inputs!$B$4&lt;&gt;"Chapter Hunt"),CHOOSE(ArtifactsInput!$N$22+1,10,12,14,16,18,20)*((0*(((0.15*B702*5))^0/1)+1*(((0.15*B702*5))^1/1)+2*(((0.15*B702*5))^2/2)+3*(((0.15*B702*5))^3/6)+4*(((0.15*B702*5))^4/24)+5*(((0.15*B702*5))^5/120))/((((0.15*B702*5))^0/1)+(((0.15*B702*5))^1/1)+(((0.15*B702*5))^2/2)+(((0.15*B702*5))^3/6)+(((0.15*B702*5))^4/24)+(((0.15*B702*5))^5/120))),0))+IF(Inputs!$B$3&gt;=54,9*(C672=TRUE)*MIN(1,8*(1+Inputs!$B$34/100)*Q672),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79">
      <c r="A679">
        <f>Skills!A10</f>
        <v/>
      </c>
      <c r="B679">
        <f>Skills!B10</f>
        <v/>
      </c>
      <c r="C679">
        <f>Inputs!$B$3&gt;=113</f>
        <v/>
      </c>
      <c r="D679">
        <f>IF(Skills!C10=1,60+Inputs!$B$25+Inputs!$B$29,IF(Skills!C10=2,90+Inputs!$B$26+Inputs!$B$29,IF(Skills!C10=3,120+Inputs!$B$27+Inputs!$B$29,MAX(0,(Inputs!$B$3-100)*3)+Inputs!$B$28+Inputs!$B$29)))</f>
        <v/>
      </c>
      <c r="E679">
        <f>INDEX(FactorTable!$B$2:$Y$301, MATCH(ROUND(MIN(300,MAX(1,D679)),0), FactorTable!$A$2:$A$301,0), Skills!M10+1)</f>
        <v/>
      </c>
      <c r="F679">
        <f>IF(Skills!N10=TRUE,(Skills!L10/10)*(E679/1000),Skills!L10/10)+Skills!O10</f>
        <v/>
      </c>
      <c r="G679">
        <f>Skills!G10*IF(Skills!H10&gt;0,INT(IF(Inputs!$B$38="pvp",MIN(Skills!I10,15),Skills!I10)/Skills!H10+0.000000001),1)</f>
        <v/>
      </c>
      <c r="H679">
        <f>1-(1-Skills!J10/100)^Skills!K10</f>
        <v/>
      </c>
      <c r="I679" t="inlineStr">
        <is>
          <t>1</t>
        </is>
      </c>
      <c r="J679">
        <f>((Inputs!$B$6*(1+Inputs!$B$7/100))+(((Inputs!$B$12*(1+Inputs!$B$13/100))-(Inputs!$B$12*(1+Inputs!$B$13/100)))+0.25*(Inputs!$B$14-Inputs!$B$14))*(1+Inputs!$B$7/100))*(F679/100)</f>
        <v/>
      </c>
      <c r="K679">
        <f>J679*(1+((Inputs!$B$12*(1+Inputs!$B$13/100))*0.01+Inputs!$B$14*0.0025)/100)*(1+Inputs!$B$15/100)*(1+Inputs!$B$16/100)*(5000/(6000+Inputs!$B$42*(1-(100*(1-(1-(((1-(1-Inputs!$B$19/100)*(1-1/100))*100)+0)/100)*(1-CHOOSE(ArtifactsInput!$N$40+1,5,6,7,8,9,10)/100)^(ArtifactsInput!$M$40-ArtifactsInput!$M$40)))/100)))*(1+(Inputs!$B$24+((C695=TRUE)*(F695-Calc!F26))+B706)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IGHT_LEGS_EASTON",Inputs!$B$17+((C692=TRUE)*(F692-Calc!F23))+((C696=TRUE)*(F696-Calc!F27))+((IF(AND(Inputs!$B$38&lt;&gt;"pvp",Inputs!$B$43=0),1,IF(IF(Inputs!$B$38="pvp",15,Inputs!$B$43)-(B707)&lt;=0,1,MAX(0,IF(Inputs!$B$38="pvp",15,Inputs!$B$43)-MAX(5,B707))/(IF(Inputs!$B$38="pvp",15,Inputs!$B$43)-(B707))))*(IF(AND(ArtifactsInput!$M$42,((Inputs!$B$9+((C688=TRUE)*(F688-Calc!F19))+B700+(ArtifactsInput!$M$24-ArtifactsInput!$M$24)*CHOOSE(ArtifactsInput!$N$24+1,10,12,14,16,18,20)+IF(ArtifactsInput!$M$10,CHOOSE(ArtifactsInput!$N$10+1,15,18,21,24,27,30)*(IF(Inputs!$B$38="pvp",MIN(15,15)/15,IF(AND(Inputs!$B$38&lt;&gt;"pvp",Inputs!$B$43&gt;0),MIN(15,Inputs!$B$43)/(Inputs!$B$43),0))),0)))&gt;=100),MIN(100,((Inputs!$B$9+((C688=TRUE)*(F688-Calc!F19))+B700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707)&lt;=0,1,MAX(0,IF(Inputs!$B$38="pvp",15,Inputs!$B$43)-MAX(5,B707))/(IF(Inputs!$B$38="pvp",15,Inputs!$B$43)-(B707))))*IF(AND(ArtifactsInput!$M$42,((Inputs!$B$9+((C688=TRUE)*(F688-Calc!F19))+B700+(ArtifactsInput!$M$24-ArtifactsInput!$M$24)*CHOOSE(ArtifactsInput!$N$24+1,10,12,14,16,18,20)+IF(ArtifactsInput!$M$10,CHOOSE(ArtifactsInput!$N$10+1,15,18,21,24,27,30)*(IF(Inputs!$B$38="pvp",MIN(15,15)/15,IF(AND(Inputs!$B$38&lt;&gt;"pvp",Inputs!$B$43&gt;0),MIN(15,Inputs!$B$43)/(Inputs!$B$43),0))),0)))&gt;=100),CHOOSE(ArtifactsInput!$N$42+1,40,48,56,64,72,80),0))))/100)*((1+(((C686=TRUE)*F686*5/7)+((C693=TRUE)*(F693-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679)</f>
        <v/>
      </c>
      <c r="L679">
        <f>K679*(MIN(Inputs!$B$22+((C691=TRUE)*(F691-Calc!F22)),(Inputs!$B$23+0+(IF(ArtifactsInput!$M$15,CHOOSE(ArtifactsInput!$N$15+1,25,30,35,40,45,50)/100*(Inputs!$B$11-Inputs!$B$11),0))))/100+(Inputs!$B$23+0+(IF(ArtifactsInput!$M$15,CHOOSE(ArtifactsInput!$N$15+1,25,30,35,40,45,50)/100*(Inputs!$B$11-Inputs!$B$11),0)))/100)/2</f>
        <v/>
      </c>
      <c r="M679">
        <f>L679*(1+(Inputs!$B$10+((C694=TRUE)*(F694-Calc!F25))+B705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79">
        <f>L679*(1-MIN((Inputs!$B$9+((C688=TRUE)*(F688-Calc!F19))+B700+(ArtifactsInput!$M$24-ArtifactsInput!$M$24)*CHOOSE(ArtifactsInput!$N$24+1,10,12,14,16,18,20)+(IF(AND(Inputs!$B$38&lt;&gt;"pvp",Inputs!$B$43=0),1,IF(IF(Inputs!$B$38="pvp",15,Inputs!$B$43)-(B707)&lt;=0,1,MAX(0,IF(Inputs!$B$38="pvp",15,Inputs!$B$43)-MAX(5,B707))/(IF(Inputs!$B$38="pvp",15,Inputs!$B$43)-(B707))))*IF(AND(ArtifactsInput!$M$42,((Inputs!$B$9+((C688=TRUE)*(F688-Calc!F19))+B700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679*(MIN((Inputs!$B$9+((C688=TRUE)*(F688-Calc!F19))+B700+(ArtifactsInput!$M$24-ArtifactsInput!$M$24)*CHOOSE(ArtifactsInput!$N$24+1,10,12,14,16,18,20)+(IF(AND(Inputs!$B$38&lt;&gt;"pvp",Inputs!$B$43=0),1,IF(IF(Inputs!$B$38="pvp",15,Inputs!$B$43)-(B707)&lt;=0,1,MAX(0,IF(Inputs!$B$38="pvp",15,Inputs!$B$43)-MAX(5,B707))/(IF(Inputs!$B$38="pvp",15,Inputs!$B$43)-(B707))))*IF(AND(ArtifactsInput!$M$42,((Inputs!$B$9+((C688=TRUE)*(F688-Calc!F19))+B700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79">
        <f>(1-Summary!$B$11)*T679+Summary!$B$11*V679</f>
        <v/>
      </c>
      <c r="P679">
        <f>IF(B710=0,0,O679/B710)</f>
        <v/>
      </c>
      <c r="Q679" t="n">
        <v>0</v>
      </c>
      <c r="R679" t="n">
        <v>0</v>
      </c>
      <c r="S679">
        <f>IFERROR(O679/N679,0)</f>
        <v/>
      </c>
      <c r="T679">
        <f>IF(C679,((H679*B712)/(1+Skills!H10*H679*B712)*N679)*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Hunt"),CHOOSE(ArtifactsInput!$N$35+1,15,18,21,24,27,30)*(1-EXP(-(0.2*B702)*5)),0)+IF(AND(ArtifactsInput!$M$22,Inputs!$B$4&lt;&gt;"Chapter Hunt"),CHOOSE(ArtifactsInput!$N$22+1,10,12,14,16,18,20)*((0*(((0.15*B702*5))^0/1)+1*(((0.15*B702*5))^1/1)+2*(((0.15*B702*5))^2/2)+3*(((0.15*B702*5))^3/6)+4*(((0.15*B702*5))^4/24)+5*(((0.15*B702*5))^5/120))/((((0.15*B702*5))^0/1)+(((0.15*B702*5))^1/1)+(((0.15*B702*5))^2/2)+(((0.15*B702*5))^3/6)+(((0.15*B702*5))^4/24)+(((0.15*B702*5))^5/120))),0))+IF(Inputs!$B$3&gt;=54,9*(C672=TRUE)*MIN(1,8*(1+Inputs!$B$34/100)*Q672),0))/100)*((((5000/(6000+Inputs!$B$42*(1-(100*(1-(1-(100*(1-(1-(((1-(1-Inputs!$B$19/100)*(1-1/100))*100)+0)/100)*(1-CHOOSE(ArtifactsInput!$N$40+1,5,6,7,8,9,10)/100)^(ArtifactsInput!$M$40-ArtifactsInput!$M$40)))/100)*(1-IF(ArtifactsInput!$M$40,CHOOSE(ArtifactsInput!$N$40+1,5,6,7,8,9,10),0)/100)^IF(Inputs!$B$38="pvp",1,2)))/100)))/(5000/(6000+Inputs!$B$42*(1-(100*(1-(1-(((1-(1-Inputs!$B$19/100)*(1-1/100))*100)+0)/100)*(1-CHOOSE(ArtifactsInput!$N$40+1,5,6,7,8,9,10)/100)^(ArtifactsInput!$M$40-ArtifactsInput!$M$40)))/100))))*((L679*(1-MIN(100,(Inputs!$B$9+((C688=TRUE)*(F688-Calc!F19))+B700+(ArtifactsInput!$M$24-ArtifactsInput!$M$24)*CHOOSE(ArtifactsInput!$N$24+1,10,12,14,16,18,20)+(IF(AND(Inputs!$B$38&lt;&gt;"pvp",Inputs!$B$43=0),1,IF(IF(Inputs!$B$38="pvp",15,Inputs!$B$43)-(B707)&lt;=0,1,MAX(0,IF(Inputs!$B$38="pvp",15,Inputs!$B$43)-MAX(5,B707))/(IF(Inputs!$B$38="pvp",15,Inputs!$B$43)-(B707))))*IF(AND(ArtifactsInput!$M$42,((Inputs!$B$9+((C688=TRUE)*(F688-Calc!F19))+B700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679*(MIN(100,(Inputs!$B$9+((C688=TRUE)*(F688-Calc!F19))+B700+(ArtifactsInput!$M$24-ArtifactsInput!$M$24)*CHOOSE(ArtifactsInput!$N$24+1,10,12,14,16,18,20)+(IF(AND(Inputs!$B$38&lt;&gt;"pvp",Inputs!$B$43=0),1,IF(IF(Inputs!$B$38="pvp",15,Inputs!$B$43)-(B707)&lt;=0,1,MAX(0,IF(Inputs!$B$38="pvp",15,Inputs!$B$43)-MAX(5,B707))/(IF(Inputs!$B$38="pvp",15,Inputs!$B$43)-(B707))))*IF(AND(ArtifactsInput!$M$42,((Inputs!$B$9+((C688=TRUE)*(F688-Calc!F19))+B700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679*(1-MIN(100,(Inputs!$B$9+((C688=TRUE)*(F688-Calc!F19))+B700+(ArtifactsInput!$M$24-ArtifactsInput!$M$24)*CHOOSE(ArtifactsInput!$N$24+1,10,12,14,16,18,20)+(IF(AND(Inputs!$B$38&lt;&gt;"pvp",Inputs!$B$43=0),1,IF(IF(Inputs!$B$38="pvp",15,Inputs!$B$43)-(B707)&lt;=0,1,MAX(0,IF(Inputs!$B$38="pvp",15,Inputs!$B$43)-MAX(5,B707))/(IF(Inputs!$B$38="pvp",15,Inputs!$B$43)-(B707))))*IF(AND(ArtifactsInput!$M$42,((Inputs!$B$9+((C688=TRUE)*(F688-Calc!F19))+B700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679*(MIN(100,(Inputs!$B$9+((C688=TRUE)*(F688-Calc!F19))+B700+(ArtifactsInput!$M$24-ArtifactsInput!$M$24)*CHOOSE(ArtifactsInput!$N$24+1,10,12,14,16,18,20)+(IF(AND(Inputs!$B$38&lt;&gt;"pvp",Inputs!$B$43=0),1,IF(IF(Inputs!$B$38="pvp",15,Inputs!$B$43)-(B707)&lt;=0,1,MAX(0,IF(Inputs!$B$38="pvp",15,Inputs!$B$43)-MAX(5,B707))/(IF(Inputs!$B$38="pvp",15,Inputs!$B$43)-(B707))))*IF(AND(ArtifactsInput!$M$42,((Inputs!$B$9+((C688=TRUE)*(F688-Calc!F19))+B700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679">
        <f>IF(C679,((H679*B712)/(1+Skills!H10*H679*B712)*N679)*IF(Inputs!$B$38="pvp",1,(1+(Inputs!$B$21+Skills!Q10+(IF(ArtifactsInput!$M$33,CHOOSE(ArtifactsInput!$N$33+1,30,36,42,48,54,60),0))+(IF(AND(ArtifactsInput!$M$35,Inputs!$B$4&lt;&gt;"Chapter Hunt"),CHOOSE(ArtifactsInput!$N$35+1,15,18,21,24,27,30)*(1-EXP(-(0.2*B702)*5)),0)+IF(AND(ArtifactsInput!$M$22,Inputs!$B$4&lt;&gt;"Chapter Hunt"),CHOOSE(ArtifactsInput!$N$22+1,10,12,14,16,18,20)*((0*(((0.15*B702*5))^0/1)+1*(((0.15*B702*5))^1/1)+2*(((0.15*B702*5))^2/2)+3*(((0.15*B702*5))^3/6)+4*(((0.15*B702*5))^4/24)+5*(((0.15*B702*5))^5/120))/((((0.15*B702*5))^0/1)+(((0.15*B702*5))^1/1)+(((0.15*B702*5))^2/2)+(((0.15*B702*5))^3/6)+(((0.15*B702*5))^4/24)+(((0.15*B702*5))^5/120))),0))+IF(Inputs!$B$3&gt;=54,9*(C672=TRUE)*MIN(1,8*(1+Inputs!$B$34/100)*Q672),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80">
      <c r="A680">
        <f>Skills!A11</f>
        <v/>
      </c>
      <c r="B680">
        <f>Skills!B11</f>
        <v/>
      </c>
      <c r="C680">
        <f>Inputs!$B$3&gt;=117</f>
        <v/>
      </c>
      <c r="D680">
        <f>IF(Skills!C11=1,60+Inputs!$B$25+Inputs!$B$29,IF(Skills!C11=2,90+Inputs!$B$26+Inputs!$B$29,IF(Skills!C11=3,120+Inputs!$B$27+Inputs!$B$29,MAX(0,(Inputs!$B$3-100)*3)+Inputs!$B$28+Inputs!$B$29)))</f>
        <v/>
      </c>
      <c r="E680">
        <f>INDEX(FactorTable!$B$2:$Y$301, MATCH(ROUND(MIN(300,MAX(1,D680)),0), FactorTable!$A$2:$A$301,0), Skills!M11+1)</f>
        <v/>
      </c>
      <c r="F680">
        <f>IF(Skills!N11=TRUE,(Skills!L11/10)*(E680/1000),Skills!L11/10)+Skills!O11</f>
        <v/>
      </c>
      <c r="G680">
        <f>Skills!G11*IF(Skills!H11&gt;0,INT(IF(Inputs!$B$38="pvp",MIN(Skills!I11,15),Skills!I11)/Skills!H11+0.000000001),1)</f>
        <v/>
      </c>
      <c r="H680">
        <f>1-(1-Skills!J11/100)^Skills!K11</f>
        <v/>
      </c>
      <c r="I680" t="inlineStr">
        <is>
          <t>1</t>
        </is>
      </c>
      <c r="J680">
        <f>((Inputs!$B$6*(1+Inputs!$B$7/100))+(((Inputs!$B$12*(1+Inputs!$B$13/100))-(Inputs!$B$12*(1+Inputs!$B$13/100)))+0.25*(Inputs!$B$14-Inputs!$B$14))*(1+Inputs!$B$7/100))*(F680/100)</f>
        <v/>
      </c>
      <c r="K680">
        <f>J680*(1+((Inputs!$B$12*(1+Inputs!$B$13/100))*0.01+Inputs!$B$14*0.0025)/100)*(1+Inputs!$B$15/100)*(1+Inputs!$B$16/100)*(5000/(6000+Inputs!$B$42*(1-(100*(1-(1-(((1-(1-Inputs!$B$19/100)*(1-1/100))*100)+0)/100)*(1-CHOOSE(ArtifactsInput!$N$40+1,5,6,7,8,9,10)/100)^(ArtifactsInput!$M$40-ArtifactsInput!$M$40)))/100)))*(1+(Inputs!$B$24+((C695=TRUE)*(F695-Calc!F26))+B706)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IGHT_LEGS_EASTON",Inputs!$B$17+((C692=TRUE)*(F692-Calc!F23))+((C696=TRUE)*(F696-Calc!F27))+((IF(AND(Inputs!$B$38&lt;&gt;"pvp",Inputs!$B$43=0),1,IF(IF(Inputs!$B$38="pvp",15,Inputs!$B$43)-(B707)&lt;=0,1,MAX(0,IF(Inputs!$B$38="pvp",15,Inputs!$B$43)-MAX(5,B707))/(IF(Inputs!$B$38="pvp",15,Inputs!$B$43)-(B707))))*(IF(AND(ArtifactsInput!$M$42,((Inputs!$B$9+((C688=TRUE)*(F688-Calc!F19))+B700+(ArtifactsInput!$M$24-ArtifactsInput!$M$24)*CHOOSE(ArtifactsInput!$N$24+1,10,12,14,16,18,20)+IF(ArtifactsInput!$M$10,CHOOSE(ArtifactsInput!$N$10+1,15,18,21,24,27,30)*(IF(Inputs!$B$38="pvp",MIN(15,15)/15,IF(AND(Inputs!$B$38&lt;&gt;"pvp",Inputs!$B$43&gt;0),MIN(15,Inputs!$B$43)/(Inputs!$B$43),0))),0)))&gt;=100),MIN(100,((Inputs!$B$9+((C688=TRUE)*(F688-Calc!F19))+B700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707)&lt;=0,1,MAX(0,IF(Inputs!$B$38="pvp",15,Inputs!$B$43)-MAX(5,B707))/(IF(Inputs!$B$38="pvp",15,Inputs!$B$43)-(B707))))*IF(AND(ArtifactsInput!$M$42,((Inputs!$B$9+((C688=TRUE)*(F688-Calc!F19))+B700+(ArtifactsInput!$M$24-ArtifactsInput!$M$24)*CHOOSE(ArtifactsInput!$N$24+1,10,12,14,16,18,20)+IF(ArtifactsInput!$M$10,CHOOSE(ArtifactsInput!$N$10+1,15,18,21,24,27,30)*(IF(Inputs!$B$38="pvp",MIN(15,15)/15,IF(AND(Inputs!$B$38&lt;&gt;"pvp",Inputs!$B$43&gt;0),MIN(15,Inputs!$B$43)/(Inputs!$B$43),0))),0)))&gt;=100),CHOOSE(ArtifactsInput!$N$42+1,40,48,56,64,72,80),0))))/100)*((1+(((C686=TRUE)*F686*5/7)+((C693=TRUE)*(F693-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680)</f>
        <v/>
      </c>
      <c r="L680">
        <f>K680*(MIN(Inputs!$B$22+((C691=TRUE)*(F691-Calc!F22)),(Inputs!$B$23+0+(IF(ArtifactsInput!$M$15,CHOOSE(ArtifactsInput!$N$15+1,25,30,35,40,45,50)/100*(Inputs!$B$11-Inputs!$B$11),0))))/100+(Inputs!$B$23+0+(IF(ArtifactsInput!$M$15,CHOOSE(ArtifactsInput!$N$15+1,25,30,35,40,45,50)/100*(Inputs!$B$11-Inputs!$B$11),0)))/100)/2</f>
        <v/>
      </c>
      <c r="M680">
        <f>L680*(1+(Inputs!$B$10+((C694=TRUE)*(F694-Calc!F25))+B705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80">
        <f>L680*(1-MIN((Inputs!$B$9+((C688=TRUE)*(F688-Calc!F19))+B700+(ArtifactsInput!$M$24-ArtifactsInput!$M$24)*CHOOSE(ArtifactsInput!$N$24+1,10,12,14,16,18,20)+(IF(AND(Inputs!$B$38&lt;&gt;"pvp",Inputs!$B$43=0),1,IF(IF(Inputs!$B$38="pvp",15,Inputs!$B$43)-(B707)&lt;=0,1,MAX(0,IF(Inputs!$B$38="pvp",15,Inputs!$B$43)-MAX(5,B707))/(IF(Inputs!$B$38="pvp",15,Inputs!$B$43)-(B707))))*IF(AND(ArtifactsInput!$M$42,((Inputs!$B$9+((C688=TRUE)*(F688-Calc!F19))+B700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680*(MIN((Inputs!$B$9+((C688=TRUE)*(F688-Calc!F19))+B700+(ArtifactsInput!$M$24-ArtifactsInput!$M$24)*CHOOSE(ArtifactsInput!$N$24+1,10,12,14,16,18,20)+(IF(AND(Inputs!$B$38&lt;&gt;"pvp",Inputs!$B$43=0),1,IF(IF(Inputs!$B$38="pvp",15,Inputs!$B$43)-(B707)&lt;=0,1,MAX(0,IF(Inputs!$B$38="pvp",15,Inputs!$B$43)-MAX(5,B707))/(IF(Inputs!$B$38="pvp",15,Inputs!$B$43)-(B707))))*IF(AND(ArtifactsInput!$M$42,((Inputs!$B$9+((C688=TRUE)*(F688-Calc!F19))+B700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80">
        <f>(1-Summary!$B$11)*T680+Summary!$B$11*V680</f>
        <v/>
      </c>
      <c r="P680">
        <f>IF(B710=0,0,O680/B710)</f>
        <v/>
      </c>
      <c r="Q680">
        <f>IFERROR(1/((IF(Inputs!$B$38="pvp",15,MAX(0.1,Skills!D11-IF(TRUE=TRUE,Inputs!$B$32,0)))*(1-IF(AND(ArtifactsInput!$M$27,Inputs!$B$4="Chapter Hunt"),CHOOSE(ArtifactsInput!$N$27+1,20,24,28,32,36,40),0)/100))/B711),0)</f>
        <v/>
      </c>
      <c r="R680">
        <f>IF(AND(Inputs!$B$38&lt;&gt;"pvp",Inputs!$B$43&gt;0),IF(MAX(0,Inputs!$B$43-B707)&lt;=0,0,(INT(MAX(0,Inputs!$B$43-B707)/((IF(Inputs!$B$38="pvp",15,MAX(0.1,Skills!D11-IF(TRUE=TRUE,Inputs!$B$32,0)))*(1-IF(AND(ArtifactsInput!$M$27,Inputs!$B$4="Chapter Hunt"),CHOOSE(ArtifactsInput!$N$27+1,20,24,28,32,36,40),0)/100))/B711))+1)),0)</f>
        <v/>
      </c>
      <c r="S680">
        <f>IFERROR(O680/N680,0)</f>
        <v/>
      </c>
      <c r="T680">
        <f>IF(C680,(H680*N680*IF(AND(Inputs!$B$38&lt;&gt;"pvp",Inputs!$B$43&gt;0),((Skills!G11*((R680-1)*IF(Skills!H11&gt;0,INT(Skills!I11/Skills!H11+0.000000001),1)+IF(Skills!H11&gt;0,INT(MIN(Skills!I11,MAX(0,MAX(0,Inputs!$B$43-B707)-((R680-1)*((IF(Inputs!$B$38="pvp",15,MAX(0.1,Skills!D11-IF(TRUE=TRUE,Inputs!$B$32,0)))*(1-IF(AND(ArtifactsInput!$M$27,Inputs!$B$4="Chapter Hunt"),CHOOSE(ArtifactsInput!$N$27+1,20,24,28,32,36,40),0)/100))/B711))))/Skills!H11+0.000000001),1)))/Inputs!$B$43),G680*Q680))*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Hunt"),CHOOSE(ArtifactsInput!$N$35+1,15,18,21,24,27,30)*(1-EXP(-(0.2*B702)*5)),0)+IF(AND(ArtifactsInput!$M$22,Inputs!$B$4&lt;&gt;"Chapter Hunt"),CHOOSE(ArtifactsInput!$N$22+1,10,12,14,16,18,20)*((0*(((0.15*B702*5))^0/1)+1*(((0.15*B702*5))^1/1)+2*(((0.15*B702*5))^2/2)+3*(((0.15*B702*5))^3/6)+4*(((0.15*B702*5))^4/24)+5*(((0.15*B702*5))^5/120))/((((0.15*B702*5))^0/1)+(((0.15*B702*5))^1/1)+(((0.15*B702*5))^2/2)+(((0.15*B702*5))^3/6)+(((0.15*B702*5))^4/24)+(((0.15*B702*5))^5/120))),0))+IF(Inputs!$B$3&gt;=54,9*(C672=TRUE)*MIN(1,8*(1+Inputs!$B$34/100)*Q672),0))/100)*((((5000/(6000+Inputs!$B$42*(1-(100*(1-(1-(100*(1-(1-(((1-(1-Inputs!$B$19/100)*(1-1/100))*100)+0)/100)*(1-CHOOSE(ArtifactsInput!$N$40+1,5,6,7,8,9,10)/100)^(ArtifactsInput!$M$40-ArtifactsInput!$M$40)))/100)*(1-IF(ArtifactsInput!$M$40,CHOOSE(ArtifactsInput!$N$40+1,5,6,7,8,9,10),0)/100)^IF(Inputs!$B$38="pvp",1,2)))/100)))/(5000/(6000+Inputs!$B$42*(1-(100*(1-(1-(((1-(1-Inputs!$B$19/100)*(1-1/100))*100)+0)/100)*(1-CHOOSE(ArtifactsInput!$N$40+1,5,6,7,8,9,10)/100)^(ArtifactsInput!$M$40-ArtifactsInput!$M$40)))/100))))*((L680*(1-MIN(100,(Inputs!$B$9+((C688=TRUE)*(F688-Calc!F19))+B700+(ArtifactsInput!$M$24-ArtifactsInput!$M$24)*CHOOSE(ArtifactsInput!$N$24+1,10,12,14,16,18,20)+(IF(AND(Inputs!$B$38&lt;&gt;"pvp",Inputs!$B$43=0),1,IF(IF(Inputs!$B$38="pvp",15,Inputs!$B$43)-(B707)&lt;=0,1,MAX(0,IF(Inputs!$B$38="pvp",15,Inputs!$B$43)-MAX(5,B707))/(IF(Inputs!$B$38="pvp",15,Inputs!$B$43)-(B707))))*IF(AND(ArtifactsInput!$M$42,((Inputs!$B$9+((C688=TRUE)*(F688-Calc!F19))+B700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680*(MIN(100,(Inputs!$B$9+((C688=TRUE)*(F688-Calc!F19))+B700+(ArtifactsInput!$M$24-ArtifactsInput!$M$24)*CHOOSE(ArtifactsInput!$N$24+1,10,12,14,16,18,20)+(IF(AND(Inputs!$B$38&lt;&gt;"pvp",Inputs!$B$43=0),1,IF(IF(Inputs!$B$38="pvp",15,Inputs!$B$43)-(B707)&lt;=0,1,MAX(0,IF(Inputs!$B$38="pvp",15,Inputs!$B$43)-MAX(5,B707))/(IF(Inputs!$B$38="pvp",15,Inputs!$B$43)-(B707))))*IF(AND(ArtifactsInput!$M$42,((Inputs!$B$9+((C688=TRUE)*(F688-Calc!F19))+B700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680*(1-MIN(100,(Inputs!$B$9+((C688=TRUE)*(F688-Calc!F19))+B700+(ArtifactsInput!$M$24-ArtifactsInput!$M$24)*CHOOSE(ArtifactsInput!$N$24+1,10,12,14,16,18,20)+(IF(AND(Inputs!$B$38&lt;&gt;"pvp",Inputs!$B$43=0),1,IF(IF(Inputs!$B$38="pvp",15,Inputs!$B$43)-(B707)&lt;=0,1,MAX(0,IF(Inputs!$B$38="pvp",15,Inputs!$B$43)-MAX(5,B707))/(IF(Inputs!$B$38="pvp",15,Inputs!$B$43)-(B707))))*IF(AND(ArtifactsInput!$M$42,((Inputs!$B$9+((C688=TRUE)*(F688-Calc!F19))+B700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680*(MIN(100,(Inputs!$B$9+((C688=TRUE)*(F688-Calc!F19))+B700+(ArtifactsInput!$M$24-ArtifactsInput!$M$24)*CHOOSE(ArtifactsInput!$N$24+1,10,12,14,16,18,20)+(IF(AND(Inputs!$B$38&lt;&gt;"pvp",Inputs!$B$43=0),1,IF(IF(Inputs!$B$38="pvp",15,Inputs!$B$43)-(B707)&lt;=0,1,MAX(0,IF(Inputs!$B$38="pvp",15,Inputs!$B$43)-MAX(5,B707))/(IF(Inputs!$B$38="pvp",15,Inputs!$B$43)-(B707))))*IF(AND(ArtifactsInput!$M$42,((Inputs!$B$9+((C688=TRUE)*(F688-Calc!F19))+B700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680">
        <f>IF(C680,(H680*N680*IF(AND(Inputs!$B$38&lt;&gt;"pvp",Inputs!$B$43&gt;0),((Skills!G11*((R680-1)*IF(Skills!H11&gt;0,INT(Skills!I11/Skills!H11+0.000000001),1)+IF(Skills!H11&gt;0,INT(MIN(Skills!I11,MAX(0,MAX(0,Inputs!$B$43-B707)-((R680-1)*((IF(Inputs!$B$38="pvp",15,MAX(0.1,Skills!D11-IF(TRUE=TRUE,Inputs!$B$32,0)))*(1-IF(AND(ArtifactsInput!$M$27,Inputs!$B$4="Chapter Hunt"),CHOOSE(ArtifactsInput!$N$27+1,20,24,28,32,36,40),0)/100))/B711))))/Skills!H11+0.000000001),1)))/Inputs!$B$43),G680*Q680))*IF(Inputs!$B$38="pvp",1,(1+(Inputs!$B$21+Skills!Q11+(IF(ArtifactsInput!$M$33,CHOOSE(ArtifactsInput!$N$33+1,30,36,42,48,54,60),0))+(IF(AND(ArtifactsInput!$M$35,Inputs!$B$4&lt;&gt;"Chapter Hunt"),CHOOSE(ArtifactsInput!$N$35+1,15,18,21,24,27,30)*(1-EXP(-(0.2*B702)*5)),0)+IF(AND(ArtifactsInput!$M$22,Inputs!$B$4&lt;&gt;"Chapter Hunt"),CHOOSE(ArtifactsInput!$N$22+1,10,12,14,16,18,20)*((0*(((0.15*B702*5))^0/1)+1*(((0.15*B702*5))^1/1)+2*(((0.15*B702*5))^2/2)+3*(((0.15*B702*5))^3/6)+4*(((0.15*B702*5))^4/24)+5*(((0.15*B702*5))^5/120))/((((0.15*B702*5))^0/1)+(((0.15*B702*5))^1/1)+(((0.15*B702*5))^2/2)+(((0.15*B702*5))^3/6)+(((0.15*B702*5))^4/24)+(((0.15*B702*5))^5/120))),0))+IF(Inputs!$B$3&gt;=54,9*(C672=TRUE)*MIN(1,8*(1+Inputs!$B$34/100)*Q672),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81">
      <c r="A681">
        <f>Skills!A12</f>
        <v/>
      </c>
      <c r="B681">
        <f>Skills!B12</f>
        <v/>
      </c>
      <c r="C681">
        <f>Inputs!$B$3&gt;=110</f>
        <v/>
      </c>
      <c r="D681">
        <f>IF(Skills!C12=1,60+Inputs!$B$25+Inputs!$B$29,IF(Skills!C12=2,90+Inputs!$B$26+Inputs!$B$29,IF(Skills!C12=3,120+Inputs!$B$27+Inputs!$B$29,MAX(0,(Inputs!$B$3-100)*3)+Inputs!$B$28+Inputs!$B$29)))</f>
        <v/>
      </c>
      <c r="E681">
        <f>INDEX(FactorTable!$B$2:$Y$301, MATCH(ROUND(MIN(300,MAX(1,D681)),0), FactorTable!$A$2:$A$301,0), Skills!M12+1)</f>
        <v/>
      </c>
      <c r="F681">
        <f>IF(Skills!N12=TRUE,(Skills!L12/10)*(E681/1000),Skills!L12/10)+Skills!O12</f>
        <v/>
      </c>
      <c r="G681">
        <f>Skills!G12*IF(Skills!H12&gt;0,INT(IF(Inputs!$B$38="pvp",MIN(Skills!I12,15),Skills!I12)/Skills!H12+0.000000001),1)</f>
        <v/>
      </c>
      <c r="H681">
        <f>1-(1-Skills!J12/100)^Skills!K12</f>
        <v/>
      </c>
      <c r="I681" t="inlineStr">
        <is>
          <t>1</t>
        </is>
      </c>
      <c r="J681">
        <f>((Inputs!$B$6*(1+Inputs!$B$7/100))+(((Inputs!$B$12*(1+Inputs!$B$13/100))-(Inputs!$B$12*(1+Inputs!$B$13/100)))+0.25*(Inputs!$B$14-Inputs!$B$14))*(1+Inputs!$B$7/100))*(F681/100)</f>
        <v/>
      </c>
      <c r="K681">
        <f>J681*(1+((Inputs!$B$12*(1+Inputs!$B$13/100))*0.01+Inputs!$B$14*0.0025)/100)*(1+Inputs!$B$15/100)*(1+Inputs!$B$16/100)*(5000/(6000+Inputs!$B$42*(1-(100*(1-(1-(((1-(1-Inputs!$B$19/100)*(1-1/100))*100)+0)/100)*(1-CHOOSE(ArtifactsInput!$N$40+1,5,6,7,8,9,10)/100)^(ArtifactsInput!$M$40-ArtifactsInput!$M$40)))/100)))*(1+(Inputs!$B$24+((C695=TRUE)*(F695-Calc!F26))+B706)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EIGHT_LEGS_EASTON",Inputs!$B$17+((C692=TRUE)*(F692-Calc!F23))+((C696=TRUE)*(F696-Calc!F27))+((IF(AND(Inputs!$B$38&lt;&gt;"pvp",Inputs!$B$43=0),1,IF(IF(Inputs!$B$38="pvp",15,Inputs!$B$43)-(B707)&lt;=0,1,MAX(0,IF(Inputs!$B$38="pvp",15,Inputs!$B$43)-MAX(5,B707))/(IF(Inputs!$B$38="pvp",15,Inputs!$B$43)-(B707))))*(IF(AND(ArtifactsInput!$M$42,((Inputs!$B$9+((C688=TRUE)*(F688-Calc!F19))+B700+(ArtifactsInput!$M$24-ArtifactsInput!$M$24)*CHOOSE(ArtifactsInput!$N$24+1,10,12,14,16,18,20)+IF(ArtifactsInput!$M$10,CHOOSE(ArtifactsInput!$N$10+1,15,18,21,24,27,30)*(IF(Inputs!$B$38="pvp",MIN(15,15)/15,IF(AND(Inputs!$B$38&lt;&gt;"pvp",Inputs!$B$43&gt;0),MIN(15,Inputs!$B$43)/(Inputs!$B$43),0))),0)))&gt;=100),MIN(100,((Inputs!$B$9+((C688=TRUE)*(F688-Calc!F19))+B700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707)&lt;=0,1,MAX(0,IF(Inputs!$B$38="pvp",15,Inputs!$B$43)-MAX(5,B707))/(IF(Inputs!$B$38="pvp",15,Inputs!$B$43)-(B707))))*IF(AND(ArtifactsInput!$M$42,((Inputs!$B$9+((C688=TRUE)*(F688-Calc!F19))+B700+(ArtifactsInput!$M$24-ArtifactsInput!$M$24)*CHOOSE(ArtifactsInput!$N$24+1,10,12,14,16,18,20)+IF(ArtifactsInput!$M$10,CHOOSE(ArtifactsInput!$N$10+1,15,18,21,24,27,30)*(IF(Inputs!$B$38="pvp",MIN(15,15)/15,IF(AND(Inputs!$B$38&lt;&gt;"pvp",Inputs!$B$43&gt;0),MIN(15,Inputs!$B$43)/(Inputs!$B$43),0))),0)))&gt;=100),CHOOSE(ArtifactsInput!$N$42+1,40,48,56,64,72,80),0))))/100)*((1+(((C686=TRUE)*F686*5/7)+((C693=TRUE)*(F693-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681)</f>
        <v/>
      </c>
      <c r="L681">
        <f>K681*(MIN(Inputs!$B$22+((C691=TRUE)*(F691-Calc!F22)),(Inputs!$B$23+0+(IF(ArtifactsInput!$M$15,CHOOSE(ArtifactsInput!$N$15+1,25,30,35,40,45,50)/100*(Inputs!$B$11-Inputs!$B$11),0))))/100+(Inputs!$B$23+0+(IF(ArtifactsInput!$M$15,CHOOSE(ArtifactsInput!$N$15+1,25,30,35,40,45,50)/100*(Inputs!$B$11-Inputs!$B$11),0)))/100)/2</f>
        <v/>
      </c>
      <c r="M681">
        <f>L681*(1+(Inputs!$B$10+((C694=TRUE)*(F694-Calc!F25))+B705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81">
        <f>L681*(1-MIN((Inputs!$B$9+((C688=TRUE)*(F688-Calc!F19))+B700+(ArtifactsInput!$M$24-ArtifactsInput!$M$24)*CHOOSE(ArtifactsInput!$N$24+1,10,12,14,16,18,20)+(IF(AND(Inputs!$B$38&lt;&gt;"pvp",Inputs!$B$43=0),1,IF(IF(Inputs!$B$38="pvp",15,Inputs!$B$43)-(B707)&lt;=0,1,MAX(0,IF(Inputs!$B$38="pvp",15,Inputs!$B$43)-MAX(5,B707))/(IF(Inputs!$B$38="pvp",15,Inputs!$B$43)-(B707))))*IF(AND(ArtifactsInput!$M$42,((Inputs!$B$9+((C688=TRUE)*(F688-Calc!F19))+B700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681*(MIN((Inputs!$B$9+((C688=TRUE)*(F688-Calc!F19))+B700+(ArtifactsInput!$M$24-ArtifactsInput!$M$24)*CHOOSE(ArtifactsInput!$N$24+1,10,12,14,16,18,20)+(IF(AND(Inputs!$B$38&lt;&gt;"pvp",Inputs!$B$43=0),1,IF(IF(Inputs!$B$38="pvp",15,Inputs!$B$43)-(B707)&lt;=0,1,MAX(0,IF(Inputs!$B$38="pvp",15,Inputs!$B$43)-MAX(5,B707))/(IF(Inputs!$B$38="pvp",15,Inputs!$B$43)-(B707))))*IF(AND(ArtifactsInput!$M$42,((Inputs!$B$9+((C688=TRUE)*(F688-Calc!F19))+B700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81">
        <f>(1-Summary!$B$11)*T681+Summary!$B$11*V681</f>
        <v/>
      </c>
      <c r="P681">
        <f>IF(B710=0,0,O681/B710)</f>
        <v/>
      </c>
      <c r="Q681">
        <f>IFERROR(1/(IF(Inputs!$B$38="pvp",15,MAX(0.1,Skills!D12-IF(TRUE=TRUE,Inputs!$B$32,0)))*(1-IF(AND(ArtifactsInput!$M$27,Inputs!$B$4="Chapter Hunt"),CHOOSE(ArtifactsInput!$N$27+1,20,24,28,32,36,40),0)/100)),0)</f>
        <v/>
      </c>
      <c r="R681">
        <f>IF(AND(Inputs!$B$38&lt;&gt;"pvp",Inputs!$B$43&gt;0),IF(MAX(0,Inputs!$B$43-B707)&lt;=0,0,(INT(MAX(0,Inputs!$B$43-B707)/(IF(Inputs!$B$38="pvp",15,MAX(0.1,Skills!D12-IF(TRUE=TRUE,Inputs!$B$32,0)))*(1-IF(AND(ArtifactsInput!$M$27,Inputs!$B$4="Chapter Hunt"),CHOOSE(ArtifactsInput!$N$27+1,20,24,28,32,36,40),0)/100)))+1)),0)</f>
        <v/>
      </c>
      <c r="S681">
        <f>IFERROR(O681/N681,0)</f>
        <v/>
      </c>
      <c r="T681">
        <f>IF(C681,(H681*N681*IF(AND(Inputs!$B$38&lt;&gt;"pvp",Inputs!$B$43&gt;0),((Skills!G12*((R681-1)*IF(Skills!H12&gt;0,INT(Skills!I12/Skills!H12+0.000000001),1)+IF(Skills!H12&gt;0,INT(MIN(Skills!I12,MAX(0,MAX(0,Inputs!$B$43-B707)-((R681-1)*(IF(Inputs!$B$38="pvp",15,MAX(0.1,Skills!D12-IF(TRUE=TRUE,Inputs!$B$32,0)))*(1-IF(AND(ArtifactsInput!$M$27,Inputs!$B$4="Chapter Hunt"),CHOOSE(ArtifactsInput!$N$27+1,20,24,28,32,36,40),0)/100)))))/Skills!H12+0.000000001),1)))/Inputs!$B$43),G681*Q681))*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Hunt"),CHOOSE(ArtifactsInput!$N$35+1,15,18,21,24,27,30)*(1-EXP(-(0.2*B702)*5)),0)+IF(AND(ArtifactsInput!$M$22,Inputs!$B$4&lt;&gt;"Chapter Hunt"),CHOOSE(ArtifactsInput!$N$22+1,10,12,14,16,18,20)*((0*(((0.15*B702*5))^0/1)+1*(((0.15*B702*5))^1/1)+2*(((0.15*B702*5))^2/2)+3*(((0.15*B702*5))^3/6)+4*(((0.15*B702*5))^4/24)+5*(((0.15*B702*5))^5/120))/((((0.15*B702*5))^0/1)+(((0.15*B702*5))^1/1)+(((0.15*B702*5))^2/2)+(((0.15*B702*5))^3/6)+(((0.15*B702*5))^4/24)+(((0.15*B702*5))^5/120))),0))+IF(Inputs!$B$3&gt;=54,9*(C672=TRUE)*MIN(1,8*(1+Inputs!$B$34/100)*Q672),0))/100)*((((5000/(6000+Inputs!$B$42*(1-(100*(1-(1-(100*(1-(1-(((1-(1-Inputs!$B$19/100)*(1-1/100))*100)+0)/100)*(1-CHOOSE(ArtifactsInput!$N$40+1,5,6,7,8,9,10)/100)^(ArtifactsInput!$M$40-ArtifactsInput!$M$40)))/100)*(1-IF(ArtifactsInput!$M$40,CHOOSE(ArtifactsInput!$N$40+1,5,6,7,8,9,10),0)/100)^IF(Inputs!$B$38="pvp",1,2)))/100)))/(5000/(6000+Inputs!$B$42*(1-(100*(1-(1-(((1-(1-Inputs!$B$19/100)*(1-1/100))*100)+0)/100)*(1-CHOOSE(ArtifactsInput!$N$40+1,5,6,7,8,9,10)/100)^(ArtifactsInput!$M$40-ArtifactsInput!$M$40)))/100))))*((L681*(1-MIN(100,(Inputs!$B$9+((C688=TRUE)*(F688-Calc!F19))+B700+(ArtifactsInput!$M$24-ArtifactsInput!$M$24)*CHOOSE(ArtifactsInput!$N$24+1,10,12,14,16,18,20)+(IF(AND(Inputs!$B$38&lt;&gt;"pvp",Inputs!$B$43=0),1,IF(IF(Inputs!$B$38="pvp",15,Inputs!$B$43)-(B707)&lt;=0,1,MAX(0,IF(Inputs!$B$38="pvp",15,Inputs!$B$43)-MAX(5,B707))/(IF(Inputs!$B$38="pvp",15,Inputs!$B$43)-(B707))))*IF(AND(ArtifactsInput!$M$42,((Inputs!$B$9+((C688=TRUE)*(F688-Calc!F19))+B700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681*(MIN(100,(Inputs!$B$9+((C688=TRUE)*(F688-Calc!F19))+B700+(ArtifactsInput!$M$24-ArtifactsInput!$M$24)*CHOOSE(ArtifactsInput!$N$24+1,10,12,14,16,18,20)+(IF(AND(Inputs!$B$38&lt;&gt;"pvp",Inputs!$B$43=0),1,IF(IF(Inputs!$B$38="pvp",15,Inputs!$B$43)-(B707)&lt;=0,1,MAX(0,IF(Inputs!$B$38="pvp",15,Inputs!$B$43)-MAX(5,B707))/(IF(Inputs!$B$38="pvp",15,Inputs!$B$43)-(B707))))*IF(AND(ArtifactsInput!$M$42,((Inputs!$B$9+((C688=TRUE)*(F688-Calc!F19))+B700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681*(1-MIN(100,(Inputs!$B$9+((C688=TRUE)*(F688-Calc!F19))+B700+(ArtifactsInput!$M$24-ArtifactsInput!$M$24)*CHOOSE(ArtifactsInput!$N$24+1,10,12,14,16,18,20)+(IF(AND(Inputs!$B$38&lt;&gt;"pvp",Inputs!$B$43=0),1,IF(IF(Inputs!$B$38="pvp",15,Inputs!$B$43)-(B707)&lt;=0,1,MAX(0,IF(Inputs!$B$38="pvp",15,Inputs!$B$43)-MAX(5,B707))/(IF(Inputs!$B$38="pvp",15,Inputs!$B$43)-(B707))))*IF(AND(ArtifactsInput!$M$42,((Inputs!$B$9+((C688=TRUE)*(F688-Calc!F19))+B700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681*(MIN(100,(Inputs!$B$9+((C688=TRUE)*(F688-Calc!F19))+B700+(ArtifactsInput!$M$24-ArtifactsInput!$M$24)*CHOOSE(ArtifactsInput!$N$24+1,10,12,14,16,18,20)+(IF(AND(Inputs!$B$38&lt;&gt;"pvp",Inputs!$B$43=0),1,IF(IF(Inputs!$B$38="pvp",15,Inputs!$B$43)-(B707)&lt;=0,1,MAX(0,IF(Inputs!$B$38="pvp",15,Inputs!$B$43)-MAX(5,B707))/(IF(Inputs!$B$38="pvp",15,Inputs!$B$43)-(B707))))*IF(AND(ArtifactsInput!$M$42,((Inputs!$B$9+((C688=TRUE)*(F688-Calc!F19))+B700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681">
        <f>IF(C681,(H681*N681*IF(AND(Inputs!$B$38&lt;&gt;"pvp",Inputs!$B$43&gt;0),((Skills!G12*((R681-1)*IF(Skills!H12&gt;0,INT(Skills!I12/Skills!H12+0.000000001),1)+IF(Skills!H12&gt;0,INT(MIN(Skills!I12,MAX(0,MAX(0,Inputs!$B$43-B707)-((R681-1)*(IF(Inputs!$B$38="pvp",15,MAX(0.1,Skills!D12-IF(TRUE=TRUE,Inputs!$B$32,0)))*(1-IF(AND(ArtifactsInput!$M$27,Inputs!$B$4="Chapter Hunt"),CHOOSE(ArtifactsInput!$N$27+1,20,24,28,32,36,40),0)/100)))))/Skills!H12+0.000000001),1)))/Inputs!$B$43),G681*Q681))*IF(Inputs!$B$38="pvp",1,(1+(Inputs!$B$21+Skills!Q12+(IF(ArtifactsInput!$M$33,CHOOSE(ArtifactsInput!$N$33+1,30,36,42,48,54,60),0))+(IF(AND(ArtifactsInput!$M$35,Inputs!$B$4&lt;&gt;"Chapter Hunt"),CHOOSE(ArtifactsInput!$N$35+1,15,18,21,24,27,30)*(1-EXP(-(0.2*B702)*5)),0)+IF(AND(ArtifactsInput!$M$22,Inputs!$B$4&lt;&gt;"Chapter Hunt"),CHOOSE(ArtifactsInput!$N$22+1,10,12,14,16,18,20)*((0*(((0.15*B702*5))^0/1)+1*(((0.15*B702*5))^1/1)+2*(((0.15*B702*5))^2/2)+3*(((0.15*B702*5))^3/6)+4*(((0.15*B702*5))^4/24)+5*(((0.15*B702*5))^5/120))/((((0.15*B702*5))^0/1)+(((0.15*B702*5))^1/1)+(((0.15*B702*5))^2/2)+(((0.15*B702*5))^3/6)+(((0.15*B702*5))^4/24)+(((0.15*B702*5))^5/120))),0))+IF(Inputs!$B$3&gt;=54,9*(C672=TRUE)*MIN(1,8*(1+Inputs!$B$34/100)*Q672),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82">
      <c r="A682">
        <f>Skills!A13</f>
        <v/>
      </c>
      <c r="B682">
        <f>Skills!B13</f>
        <v/>
      </c>
      <c r="C682">
        <f>Inputs!$B$3&gt;=110</f>
        <v/>
      </c>
      <c r="D682">
        <f>IF(Skills!C13=1,60+Inputs!$B$25+Inputs!$B$29,IF(Skills!C13=2,90+Inputs!$B$26+Inputs!$B$29,IF(Skills!C13=3,120+Inputs!$B$27+Inputs!$B$29,MAX(0,(Inputs!$B$3-100)*3)+Inputs!$B$28+Inputs!$B$29)))</f>
        <v/>
      </c>
      <c r="E682">
        <f>INDEX(FactorTable!$B$2:$Y$301, MATCH(ROUND(MIN(300,MAX(1,D682)),0), FactorTable!$A$2:$A$301,0), Skills!M13+1)</f>
        <v/>
      </c>
      <c r="F682">
        <f>IF(Skills!N13=TRUE,(Skills!L13/10)*(E682/1000),Skills!L13/10)+Skills!O13</f>
        <v/>
      </c>
      <c r="G682">
        <f>Skills!G13*IF(Skills!H13&gt;0,INT(IF(Inputs!$B$38="pvp",MIN(Skills!I13,15),Skills!I13)/Skills!H13+0.000000001),1)</f>
        <v/>
      </c>
      <c r="H682">
        <f>1-(1-Skills!J13/100)^Skills!K13</f>
        <v/>
      </c>
      <c r="I682" t="inlineStr">
        <is>
          <t>1</t>
        </is>
      </c>
      <c r="J682">
        <f>((Inputs!$B$6*(1+Inputs!$B$7/100))+(((Inputs!$B$12*(1+Inputs!$B$13/100))-(Inputs!$B$12*(1+Inputs!$B$13/100)))+0.25*(Inputs!$B$14-Inputs!$B$14))*(1+Inputs!$B$7/100))*(F682/100)</f>
        <v/>
      </c>
      <c r="K682">
        <f>J682*(1+((Inputs!$B$12*(1+Inputs!$B$13/100))*0.01+Inputs!$B$14*0.0025)/100)*(1+Inputs!$B$15/100)*(1+Inputs!$B$16/100)*(5000/(6000+Inputs!$B$42*(1-(100*(1-(1-(((1-(1-Inputs!$B$19/100)*(1-1/100))*100)+0)/100)*(1-CHOOSE(ArtifactsInput!$N$40+1,5,6,7,8,9,10)/100)^(ArtifactsInput!$M$40-ArtifactsInput!$M$40)))/100)))*(1+(Inputs!$B$24+((C695=TRUE)*(F695-Calc!F26))+B706)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EIGHT_LEGS_EASTON",Inputs!$B$17+((C692=TRUE)*(F692-Calc!F23))+((C696=TRUE)*(F696-Calc!F27))+((IF(AND(Inputs!$B$38&lt;&gt;"pvp",Inputs!$B$43=0),1,IF(IF(Inputs!$B$38="pvp",15,Inputs!$B$43)-(B707)&lt;=0,1,MAX(0,IF(Inputs!$B$38="pvp",15,Inputs!$B$43)-MAX(5,B707))/(IF(Inputs!$B$38="pvp",15,Inputs!$B$43)-(B707))))*(IF(AND(ArtifactsInput!$M$42,((Inputs!$B$9+((C688=TRUE)*(F688-Calc!F19))+B700+(ArtifactsInput!$M$24-ArtifactsInput!$M$24)*CHOOSE(ArtifactsInput!$N$24+1,10,12,14,16,18,20)+IF(ArtifactsInput!$M$10,CHOOSE(ArtifactsInput!$N$10+1,15,18,21,24,27,30)*(IF(Inputs!$B$38="pvp",MIN(15,15)/15,IF(AND(Inputs!$B$38&lt;&gt;"pvp",Inputs!$B$43&gt;0),MIN(15,Inputs!$B$43)/(Inputs!$B$43),0))),0)))&gt;=100),MIN(100,((Inputs!$B$9+((C688=TRUE)*(F688-Calc!F19))+B700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707)&lt;=0,1,MAX(0,IF(Inputs!$B$38="pvp",15,Inputs!$B$43)-MAX(5,B707))/(IF(Inputs!$B$38="pvp",15,Inputs!$B$43)-(B707))))*IF(AND(ArtifactsInput!$M$42,((Inputs!$B$9+((C688=TRUE)*(F688-Calc!F19))+B700+(ArtifactsInput!$M$24-ArtifactsInput!$M$24)*CHOOSE(ArtifactsInput!$N$24+1,10,12,14,16,18,20)+IF(ArtifactsInput!$M$10,CHOOSE(ArtifactsInput!$N$10+1,15,18,21,24,27,30)*(IF(Inputs!$B$38="pvp",MIN(15,15)/15,IF(AND(Inputs!$B$38&lt;&gt;"pvp",Inputs!$B$43&gt;0),MIN(15,Inputs!$B$43)/(Inputs!$B$43),0))),0)))&gt;=100),CHOOSE(ArtifactsInput!$N$42+1,40,48,56,64,72,80),0))))/100)*((1+(((C686=TRUE)*F686*5/7)+((C693=TRUE)*(F693-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682)</f>
        <v/>
      </c>
      <c r="L682">
        <f>K682*(MIN(Inputs!$B$22+((C691=TRUE)*(F691-Calc!F22)),(Inputs!$B$23+0+(IF(ArtifactsInput!$M$15,CHOOSE(ArtifactsInput!$N$15+1,25,30,35,40,45,50)/100*(Inputs!$B$11-Inputs!$B$11),0))))/100+(Inputs!$B$23+0+(IF(ArtifactsInput!$M$15,CHOOSE(ArtifactsInput!$N$15+1,25,30,35,40,45,50)/100*(Inputs!$B$11-Inputs!$B$11),0)))/100)/2</f>
        <v/>
      </c>
      <c r="M682">
        <f>L682*(1+(Inputs!$B$10+((C694=TRUE)*(F694-Calc!F25))+B705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82">
        <f>L682*(1-MIN((Inputs!$B$9+((C688=TRUE)*(F688-Calc!F19))+B700+(ArtifactsInput!$M$24-ArtifactsInput!$M$24)*CHOOSE(ArtifactsInput!$N$24+1,10,12,14,16,18,20)+(IF(AND(Inputs!$B$38&lt;&gt;"pvp",Inputs!$B$43=0),1,IF(IF(Inputs!$B$38="pvp",15,Inputs!$B$43)-(B707)&lt;=0,1,MAX(0,IF(Inputs!$B$38="pvp",15,Inputs!$B$43)-MAX(5,B707))/(IF(Inputs!$B$38="pvp",15,Inputs!$B$43)-(B707))))*IF(AND(ArtifactsInput!$M$42,((Inputs!$B$9+((C688=TRUE)*(F688-Calc!F19))+B700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682*(MIN((Inputs!$B$9+((C688=TRUE)*(F688-Calc!F19))+B700+(ArtifactsInput!$M$24-ArtifactsInput!$M$24)*CHOOSE(ArtifactsInput!$N$24+1,10,12,14,16,18,20)+(IF(AND(Inputs!$B$38&lt;&gt;"pvp",Inputs!$B$43=0),1,IF(IF(Inputs!$B$38="pvp",15,Inputs!$B$43)-(B707)&lt;=0,1,MAX(0,IF(Inputs!$B$38="pvp",15,Inputs!$B$43)-MAX(5,B707))/(IF(Inputs!$B$38="pvp",15,Inputs!$B$43)-(B707))))*IF(AND(ArtifactsInput!$M$42,((Inputs!$B$9+((C688=TRUE)*(F688-Calc!F19))+B700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82">
        <f>(1-Summary!$B$11)*T682+Summary!$B$11*V682</f>
        <v/>
      </c>
      <c r="P682">
        <f>IF(B710=0,0,O682/B710)</f>
        <v/>
      </c>
      <c r="Q682">
        <f>IFERROR(1/(IF(Inputs!$B$38="pvp",15,MAX(0.1,Skills!D13-IF(TRUE=TRUE,Inputs!$B$32,0)))*(1-IF(AND(ArtifactsInput!$M$27,Inputs!$B$4="Chapter Hunt"),CHOOSE(ArtifactsInput!$N$27+1,20,24,28,32,36,40),0)/100)),0)</f>
        <v/>
      </c>
      <c r="R682">
        <f>IF(AND(Inputs!$B$38&lt;&gt;"pvp",Inputs!$B$43&gt;0),IF(MAX(0,Inputs!$B$43-B707)&lt;=0,0,(INT(MAX(0,Inputs!$B$43-B707)/(IF(Inputs!$B$38="pvp",15,MAX(0.1,Skills!D13-IF(TRUE=TRUE,Inputs!$B$32,0)))*(1-IF(AND(ArtifactsInput!$M$27,Inputs!$B$4="Chapter Hunt"),CHOOSE(ArtifactsInput!$N$27+1,20,24,28,32,36,40),0)/100)))+1)),0)</f>
        <v/>
      </c>
      <c r="S682">
        <f>IFERROR(O682/N682,0)</f>
        <v/>
      </c>
      <c r="T682">
        <f>IF(C682,(H682*N682*IF(AND(Inputs!$B$38&lt;&gt;"pvp",Inputs!$B$43&gt;0),((Skills!G13*((R682-1)*IF(Skills!H13&gt;0,INT(Skills!I13/Skills!H13+0.000000001),1)+IF(Skills!H13&gt;0,INT(MIN(Skills!I13,MAX(0,MAX(0,Inputs!$B$43-B707)-((R682-1)*(IF(Inputs!$B$38="pvp",15,MAX(0.1,Skills!D13-IF(TRUE=TRUE,Inputs!$B$32,0)))*(1-IF(AND(ArtifactsInput!$M$27,Inputs!$B$4="Chapter Hunt"),CHOOSE(ArtifactsInput!$N$27+1,20,24,28,32,36,40),0)/100)))))/Skills!H13+0.000000001),1)))/Inputs!$B$43),G682*Q682))*IF(Inputs!$B$38="pvp",1,1+(Inputs!$B$20+0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Hunt"),CHOOSE(ArtifactsInput!$N$35+1,15,18,21,24,27,30)*(1-EXP(-(0.2*B702)*5)),0)+IF(AND(ArtifactsInput!$M$22,Inputs!$B$4&lt;&gt;"Chapter Hunt"),CHOOSE(ArtifactsInput!$N$22+1,10,12,14,16,18,20)*((0*(((0.15*B702*5))^0/1)+1*(((0.15*B702*5))^1/1)+2*(((0.15*B702*5))^2/2)+3*(((0.15*B702*5))^3/6)+4*(((0.15*B702*5))^4/24)+5*(((0.15*B702*5))^5/120))/((((0.15*B702*5))^0/1)+(((0.15*B702*5))^1/1)+(((0.15*B702*5))^2/2)+(((0.15*B702*5))^3/6)+(((0.15*B702*5))^4/24)+(((0.15*B702*5))^5/120))),0))+IF(Inputs!$B$3&gt;=54,9*(C672=TRUE)*MIN(1,8*(1+Inputs!$B$34/100)*Q672),0))/100)*((((5000/(6000+Inputs!$B$42*(1-(100*(1-(1-(100*(1-(1-(((1-(1-Inputs!$B$19/100)*(1-1/100))*100)+0)/100)*(1-CHOOSE(ArtifactsInput!$N$40+1,5,6,7,8,9,10)/100)^(ArtifactsInput!$M$40-ArtifactsInput!$M$40)))/100)*(1-IF(ArtifactsInput!$M$40,CHOOSE(ArtifactsInput!$N$40+1,5,6,7,8,9,10),0)/100)^IF(Inputs!$B$38="pvp",1,2)))/100)))/(5000/(6000+Inputs!$B$42*(1-(100*(1-(1-(((1-(1-Inputs!$B$19/100)*(1-1/100))*100)+0)/100)*(1-CHOOSE(ArtifactsInput!$N$40+1,5,6,7,8,9,10)/100)^(ArtifactsInput!$M$40-ArtifactsInput!$M$40)))/100))))*((L682*(1-MIN(100,(Inputs!$B$9+((C688=TRUE)*(F688-Calc!F19))+B700+(ArtifactsInput!$M$24-ArtifactsInput!$M$24)*CHOOSE(ArtifactsInput!$N$24+1,10,12,14,16,18,20)+(IF(AND(Inputs!$B$38&lt;&gt;"pvp",Inputs!$B$43=0),1,IF(IF(Inputs!$B$38="pvp",15,Inputs!$B$43)-(B707)&lt;=0,1,MAX(0,IF(Inputs!$B$38="pvp",15,Inputs!$B$43)-MAX(5,B707))/(IF(Inputs!$B$38="pvp",15,Inputs!$B$43)-(B707))))*IF(AND(ArtifactsInput!$M$42,((Inputs!$B$9+((C688=TRUE)*(F688-Calc!F19))+B700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682*(MIN(100,(Inputs!$B$9+((C688=TRUE)*(F688-Calc!F19))+B700+(ArtifactsInput!$M$24-ArtifactsInput!$M$24)*CHOOSE(ArtifactsInput!$N$24+1,10,12,14,16,18,20)+(IF(AND(Inputs!$B$38&lt;&gt;"pvp",Inputs!$B$43=0),1,IF(IF(Inputs!$B$38="pvp",15,Inputs!$B$43)-(B707)&lt;=0,1,MAX(0,IF(Inputs!$B$38="pvp",15,Inputs!$B$43)-MAX(5,B707))/(IF(Inputs!$B$38="pvp",15,Inputs!$B$43)-(B707))))*IF(AND(ArtifactsInput!$M$42,((Inputs!$B$9+((C688=TRUE)*(F688-Calc!F19))+B700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682*(1-MIN(100,(Inputs!$B$9+((C688=TRUE)*(F688-Calc!F19))+B700+(ArtifactsInput!$M$24-ArtifactsInput!$M$24)*CHOOSE(ArtifactsInput!$N$24+1,10,12,14,16,18,20)+(IF(AND(Inputs!$B$38&lt;&gt;"pvp",Inputs!$B$43=0),1,IF(IF(Inputs!$B$38="pvp",15,Inputs!$B$43)-(B707)&lt;=0,1,MAX(0,IF(Inputs!$B$38="pvp",15,Inputs!$B$43)-MAX(5,B707))/(IF(Inputs!$B$38="pvp",15,Inputs!$B$43)-(B707))))*IF(AND(ArtifactsInput!$M$42,((Inputs!$B$9+((C688=TRUE)*(F688-Calc!F19))+B700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682*(MIN(100,(Inputs!$B$9+((C688=TRUE)*(F688-Calc!F19))+B700+(ArtifactsInput!$M$24-ArtifactsInput!$M$24)*CHOOSE(ArtifactsInput!$N$24+1,10,12,14,16,18,20)+(IF(AND(Inputs!$B$38&lt;&gt;"pvp",Inputs!$B$43=0),1,IF(IF(Inputs!$B$38="pvp",15,Inputs!$B$43)-(B707)&lt;=0,1,MAX(0,IF(Inputs!$B$38="pvp",15,Inputs!$B$43)-MAX(5,B707))/(IF(Inputs!$B$38="pvp",15,Inputs!$B$43)-(B707))))*IF(AND(ArtifactsInput!$M$42,((Inputs!$B$9+((C688=TRUE)*(F688-Calc!F19))+B700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682">
        <f>IF(C682,(H682*N682*IF(AND(Inputs!$B$38&lt;&gt;"pvp",Inputs!$B$43&gt;0),((Skills!G13*((R682-1)*IF(Skills!H13&gt;0,INT(Skills!I13/Skills!H13+0.000000001),1)+IF(Skills!H13&gt;0,INT(MIN(Skills!I13,MAX(0,MAX(0,Inputs!$B$43-B707)-((R682-1)*(IF(Inputs!$B$38="pvp",15,MAX(0.1,Skills!D13-IF(TRUE=TRUE,Inputs!$B$32,0)))*(1-IF(AND(ArtifactsInput!$M$27,Inputs!$B$4="Chapter Hunt"),CHOOSE(ArtifactsInput!$N$27+1,20,24,28,32,36,40),0)/100)))))/Skills!H13+0.000000001),1)))/Inputs!$B$43),G682*Q682))*IF(Inputs!$B$38="pvp",1,(1+(Inputs!$B$21+Skills!Q13+(IF(ArtifactsInput!$M$33,CHOOSE(ArtifactsInput!$N$33+1,30,36,42,48,54,60),0))+(IF(AND(ArtifactsInput!$M$35,Inputs!$B$4&lt;&gt;"Chapter Hunt"),CHOOSE(ArtifactsInput!$N$35+1,15,18,21,24,27,30)*(1-EXP(-(0.2*B702)*5)),0)+IF(AND(ArtifactsInput!$M$22,Inputs!$B$4&lt;&gt;"Chapter Hunt"),CHOOSE(ArtifactsInput!$N$22+1,10,12,14,16,18,20)*((0*(((0.15*B702*5))^0/1)+1*(((0.15*B702*5))^1/1)+2*(((0.15*B702*5))^2/2)+3*(((0.15*B702*5))^3/6)+4*(((0.15*B702*5))^4/24)+5*(((0.15*B702*5))^5/120))/((((0.15*B702*5))^0/1)+(((0.15*B702*5))^1/1)+(((0.15*B702*5))^2/2)+(((0.15*B702*5))^3/6)+(((0.15*B702*5))^4/24)+(((0.15*B702*5))^5/120))),0))+IF(Inputs!$B$3&gt;=54,9*(C672=TRUE)*MIN(1,8*(1+Inputs!$B$34/100)*Q672),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83">
      <c r="A683">
        <f>Skills!A14</f>
        <v/>
      </c>
      <c r="B683">
        <f>Skills!B14</f>
        <v/>
      </c>
      <c r="C683">
        <f>Inputs!$B$3&gt;=120</f>
        <v/>
      </c>
      <c r="D683">
        <f>IF(Skills!C14=1,60+Inputs!$B$25+Inputs!$B$29,IF(Skills!C14=2,90+Inputs!$B$26+Inputs!$B$29,IF(Skills!C14=3,120+Inputs!$B$27+Inputs!$B$29,MAX(0,(Inputs!$B$3-100)*3)+Inputs!$B$28+Inputs!$B$29)))</f>
        <v/>
      </c>
      <c r="E683">
        <f>INDEX(FactorTable!$B$2:$Y$301, MATCH(ROUND(MIN(300,MAX(1,D683)),0), FactorTable!$A$2:$A$301,0), Skills!M14+1)</f>
        <v/>
      </c>
      <c r="F683">
        <f>IF(Skills!N14=TRUE,(Skills!L14/10)*(E683/1000),Skills!L14/10)+Skills!O14</f>
        <v/>
      </c>
      <c r="G683">
        <f>Skills!G14*IF(Skills!H14&gt;0,INT(IF(Inputs!$B$38="pvp",MIN(Skills!I14,15),Skills!I14)/Skills!H14+0.000000001),1)</f>
        <v/>
      </c>
      <c r="H683">
        <f>1-(1-Skills!J14/100)^Skills!K14</f>
        <v/>
      </c>
      <c r="I683" t="inlineStr">
        <is>
          <t>1</t>
        </is>
      </c>
      <c r="J683">
        <f>((Inputs!$B$6*(1+Inputs!$B$7/100))+(((Inputs!$B$12*(1+Inputs!$B$13/100))-(Inputs!$B$12*(1+Inputs!$B$13/100)))+0.25*(Inputs!$B$14-Inputs!$B$14))*(1+Inputs!$B$7/100))*(F683/100)</f>
        <v/>
      </c>
      <c r="K683">
        <f>J683*(1+((Inputs!$B$12*(1+Inputs!$B$13/100))*0.01+Inputs!$B$14*0.0025)/100)*(1+Inputs!$B$15/100)*(1+Inputs!$B$16/100)*(5000/(6000+Inputs!$B$42*(1-(100*(1-(1-(((1-(1-Inputs!$B$19/100)*(1-1/100))*100)+0)/100)*(1-CHOOSE(ArtifactsInput!$N$40+1,5,6,7,8,9,10)/100)^(ArtifactsInput!$M$40-ArtifactsInput!$M$40)))/100)))*(1+(Inputs!$B$24+((C695=TRUE)*(F695-Calc!F26))+B706)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EIGHT_LEGS_EASTON",Inputs!$B$17+((C692=TRUE)*(F692-Calc!F23))+((C696=TRUE)*(F696-Calc!F27))+((IF(AND(Inputs!$B$38&lt;&gt;"pvp",Inputs!$B$43=0),1,IF(IF(Inputs!$B$38="pvp",15,Inputs!$B$43)-(B707)&lt;=0,1,MAX(0,IF(Inputs!$B$38="pvp",15,Inputs!$B$43)-MAX(5,B707))/(IF(Inputs!$B$38="pvp",15,Inputs!$B$43)-(B707))))*(IF(AND(ArtifactsInput!$M$42,((Inputs!$B$9+((C688=TRUE)*(F688-Calc!F19))+B700+(ArtifactsInput!$M$24-ArtifactsInput!$M$24)*CHOOSE(ArtifactsInput!$N$24+1,10,12,14,16,18,20)+IF(ArtifactsInput!$M$10,CHOOSE(ArtifactsInput!$N$10+1,15,18,21,24,27,30)*(IF(Inputs!$B$38="pvp",MIN(15,15)/15,IF(AND(Inputs!$B$38&lt;&gt;"pvp",Inputs!$B$43&gt;0),MIN(15,Inputs!$B$43)/(Inputs!$B$43),0))),0)))&gt;=100),MIN(100,((Inputs!$B$9+((C688=TRUE)*(F688-Calc!F19))+B700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707)&lt;=0,1,MAX(0,IF(Inputs!$B$38="pvp",15,Inputs!$B$43)-MAX(5,B707))/(IF(Inputs!$B$38="pvp",15,Inputs!$B$43)-(B707))))*IF(AND(ArtifactsInput!$M$42,((Inputs!$B$9+((C688=TRUE)*(F688-Calc!F19))+B700+(ArtifactsInput!$M$24-ArtifactsInput!$M$24)*CHOOSE(ArtifactsInput!$N$24+1,10,12,14,16,18,20)+IF(ArtifactsInput!$M$10,CHOOSE(ArtifactsInput!$N$10+1,15,18,21,24,27,30)*(IF(Inputs!$B$38="pvp",MIN(15,15)/15,IF(AND(Inputs!$B$38&lt;&gt;"pvp",Inputs!$B$43&gt;0),MIN(15,Inputs!$B$43)/(Inputs!$B$43),0))),0)))&gt;=100),CHOOSE(ArtifactsInput!$N$42+1,40,48,56,64,72,80),0))))/100)*((1+(((C686=TRUE)*F686*5/7)+((C693=TRUE)*(F693-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683)</f>
        <v/>
      </c>
      <c r="L683">
        <f>K683*(MIN(Inputs!$B$22+((C691=TRUE)*(F691-Calc!F22)),(Inputs!$B$23+0+(IF(ArtifactsInput!$M$15,CHOOSE(ArtifactsInput!$N$15+1,25,30,35,40,45,50)/100*(Inputs!$B$11-Inputs!$B$11),0))))/100+(Inputs!$B$23+0+(IF(ArtifactsInput!$M$15,CHOOSE(ArtifactsInput!$N$15+1,25,30,35,40,45,50)/100*(Inputs!$B$11-Inputs!$B$11),0)))/100)/2</f>
        <v/>
      </c>
      <c r="M683">
        <f>L683*(1+(Inputs!$B$10+((C694=TRUE)*(F694-Calc!F25))+B705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83">
        <f>L683*(1-MIN((Inputs!$B$9+((C688=TRUE)*(F688-Calc!F19))+B700+(ArtifactsInput!$M$24-ArtifactsInput!$M$24)*CHOOSE(ArtifactsInput!$N$24+1,10,12,14,16,18,20)+(IF(AND(Inputs!$B$38&lt;&gt;"pvp",Inputs!$B$43=0),1,IF(IF(Inputs!$B$38="pvp",15,Inputs!$B$43)-(B707)&lt;=0,1,MAX(0,IF(Inputs!$B$38="pvp",15,Inputs!$B$43)-MAX(5,B707))/(IF(Inputs!$B$38="pvp",15,Inputs!$B$43)-(B707))))*IF(AND(ArtifactsInput!$M$42,((Inputs!$B$9+((C688=TRUE)*(F688-Calc!F19))+B700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683*(MIN((Inputs!$B$9+((C688=TRUE)*(F688-Calc!F19))+B700+(ArtifactsInput!$M$24-ArtifactsInput!$M$24)*CHOOSE(ArtifactsInput!$N$24+1,10,12,14,16,18,20)+(IF(AND(Inputs!$B$38&lt;&gt;"pvp",Inputs!$B$43=0),1,IF(IF(Inputs!$B$38="pvp",15,Inputs!$B$43)-(B707)&lt;=0,1,MAX(0,IF(Inputs!$B$38="pvp",15,Inputs!$B$43)-MAX(5,B707))/(IF(Inputs!$B$38="pvp",15,Inputs!$B$43)-(B707))))*IF(AND(ArtifactsInput!$M$42,((Inputs!$B$9+((C688=TRUE)*(F688-Calc!F19))+B700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83">
        <f>(1-Summary!$B$11)*T683+Summary!$B$11*V683</f>
        <v/>
      </c>
      <c r="P683">
        <f>IF(B710=0,0,O683/B710)</f>
        <v/>
      </c>
      <c r="Q683" t="n">
        <v>0</v>
      </c>
      <c r="R683" t="n">
        <v>0</v>
      </c>
      <c r="S683">
        <f>IFERROR(O683/N683,0)</f>
        <v/>
      </c>
      <c r="T683">
        <f>IF(C683,((H683*(B704+IF(AND(Inputs!$B$38&lt;&gt;"pvp",Inputs!$B$43&gt;0),((Skills!G8*((R677-1)*IF(Skills!H8&gt;0,INT(Skills!I8/Skills!H8+0.000000001),1)+IF(Skills!H8&gt;0,INT(MIN(Skills!I8,MAX(0,MAX(0,Inputs!$B$43-B707)-((R677-1)*((IF(Inputs!$B$38="pvp",15,MAX(0.1,Skills!D8-IF(TRUE=TRUE,Inputs!$B$32,0)))*(1-IF(AND(ArtifactsInput!$M$27,Inputs!$B$4="Chapter Hunt"),CHOOSE(ArtifactsInput!$N$27+1,20,24,28,32,36,40),0)/100))/B711))))/Skills!H8+0.000000001),1)))/Inputs!$B$43),G677*Q677)+IF(AND(Inputs!$B$38&lt;&gt;"pvp",Inputs!$B$43&gt;0),((Skills!G11*((R680-1)*IF(Skills!H11&gt;0,INT(Skills!I11/Skills!H11+0.000000001),1)+IF(Skills!H11&gt;0,INT(MIN(Skills!I11,MAX(0,MAX(0,Inputs!$B$43-B707)-((R680-1)*((IF(Inputs!$B$38="pvp",15,MAX(0.1,Skills!D11-IF(TRUE=TRUE,Inputs!$B$32,0)))*(1-IF(AND(ArtifactsInput!$M$27,Inputs!$B$4="Chapter Hunt"),CHOOSE(ArtifactsInput!$N$27+1,20,24,28,32,36,40),0)/100))/B711))))/Skills!H11+0.000000001),1)))/Inputs!$B$43),G680*Q680)))/(1+Skills!H14*H683*(B704+IF(AND(Inputs!$B$38&lt;&gt;"pvp",Inputs!$B$43&gt;0),((Skills!G8*((R677-1)*IF(Skills!H8&gt;0,INT(Skills!I8/Skills!H8+0.000000001),1)+IF(Skills!H8&gt;0,INT(MIN(Skills!I8,MAX(0,MAX(0,Inputs!$B$43-B707)-((R677-1)*((IF(Inputs!$B$38="pvp",15,MAX(0.1,Skills!D8-IF(TRUE=TRUE,Inputs!$B$32,0)))*(1-IF(AND(ArtifactsInput!$M$27,Inputs!$B$4="Chapter Hunt"),CHOOSE(ArtifactsInput!$N$27+1,20,24,28,32,36,40),0)/100))/B711))))/Skills!H8+0.000000001),1)))/Inputs!$B$43),G677*Q677)+IF(AND(Inputs!$B$38&lt;&gt;"pvp",Inputs!$B$43&gt;0),((Skills!G11*((R680-1)*IF(Skills!H11&gt;0,INT(Skills!I11/Skills!H11+0.000000001),1)+IF(Skills!H11&gt;0,INT(MIN(Skills!I11,MAX(0,MAX(0,Inputs!$B$43-B707)-((R680-1)*((IF(Inputs!$B$38="pvp",15,MAX(0.1,Skills!D11-IF(TRUE=TRUE,Inputs!$B$32,0)))*(1-IF(AND(ArtifactsInput!$M$27,Inputs!$B$4="Chapter Hunt"),CHOOSE(ArtifactsInput!$N$27+1,20,24,28,32,36,40),0)/100))/B711))))/Skills!H11+0.000000001),1)))/Inputs!$B$43),G680*Q680)))*N683)*IF(Inputs!$B$38="pvp",1,1+(Inputs!$B$20+0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Hunt"),CHOOSE(ArtifactsInput!$N$35+1,15,18,21,24,27,30)*(1-EXP(-(0.2*B702)*5)),0)+IF(AND(ArtifactsInput!$M$22,Inputs!$B$4&lt;&gt;"Chapter Hunt"),CHOOSE(ArtifactsInput!$N$22+1,10,12,14,16,18,20)*((0*(((0.15*B702*5))^0/1)+1*(((0.15*B702*5))^1/1)+2*(((0.15*B702*5))^2/2)+3*(((0.15*B702*5))^3/6)+4*(((0.15*B702*5))^4/24)+5*(((0.15*B702*5))^5/120))/((((0.15*B702*5))^0/1)+(((0.15*B702*5))^1/1)+(((0.15*B702*5))^2/2)+(((0.15*B702*5))^3/6)+(((0.15*B702*5))^4/24)+(((0.15*B702*5))^5/120))),0))+IF(Inputs!$B$3&gt;=54,9*(C672=TRUE)*MIN(1,8*(1+Inputs!$B$34/100)*Q672),0))/100)*((((5000/(6000+Inputs!$B$42*(1-(100*(1-(1-(100*(1-(1-(((1-(1-Inputs!$B$19/100)*(1-1/100))*100)+0)/100)*(1-CHOOSE(ArtifactsInput!$N$40+1,5,6,7,8,9,10)/100)^(ArtifactsInput!$M$40-ArtifactsInput!$M$40)))/100)*(1-IF(ArtifactsInput!$M$40,CHOOSE(ArtifactsInput!$N$40+1,5,6,7,8,9,10),0)/100)^IF(Inputs!$B$38="pvp",1,2)))/100)))/(5000/(6000+Inputs!$B$42*(1-(100*(1-(1-(((1-(1-Inputs!$B$19/100)*(1-1/100))*100)+0)/100)*(1-CHOOSE(ArtifactsInput!$N$40+1,5,6,7,8,9,10)/100)^(ArtifactsInput!$M$40-ArtifactsInput!$M$40)))/100))))*((L683*(1-MIN(100,(Inputs!$B$9+((C688=TRUE)*(F688-Calc!F19))+B700+(ArtifactsInput!$M$24-ArtifactsInput!$M$24)*CHOOSE(ArtifactsInput!$N$24+1,10,12,14,16,18,20)+(IF(AND(Inputs!$B$38&lt;&gt;"pvp",Inputs!$B$43=0),1,IF(IF(Inputs!$B$38="pvp",15,Inputs!$B$43)-(B707)&lt;=0,1,MAX(0,IF(Inputs!$B$38="pvp",15,Inputs!$B$43)-MAX(5,B707))/(IF(Inputs!$B$38="pvp",15,Inputs!$B$43)-(B707))))*IF(AND(ArtifactsInput!$M$42,((Inputs!$B$9+((C688=TRUE)*(F688-Calc!F19))+B700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683*(MIN(100,(Inputs!$B$9+((C688=TRUE)*(F688-Calc!F19))+B700+(ArtifactsInput!$M$24-ArtifactsInput!$M$24)*CHOOSE(ArtifactsInput!$N$24+1,10,12,14,16,18,20)+(IF(AND(Inputs!$B$38&lt;&gt;"pvp",Inputs!$B$43=0),1,IF(IF(Inputs!$B$38="pvp",15,Inputs!$B$43)-(B707)&lt;=0,1,MAX(0,IF(Inputs!$B$38="pvp",15,Inputs!$B$43)-MAX(5,B707))/(IF(Inputs!$B$38="pvp",15,Inputs!$B$43)-(B707))))*IF(AND(ArtifactsInput!$M$42,((Inputs!$B$9+((C688=TRUE)*(F688-Calc!F19))+B700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683*(1-MIN(100,(Inputs!$B$9+((C688=TRUE)*(F688-Calc!F19))+B700+(ArtifactsInput!$M$24-ArtifactsInput!$M$24)*CHOOSE(ArtifactsInput!$N$24+1,10,12,14,16,18,20)+(IF(AND(Inputs!$B$38&lt;&gt;"pvp",Inputs!$B$43=0),1,IF(IF(Inputs!$B$38="pvp",15,Inputs!$B$43)-(B707)&lt;=0,1,MAX(0,IF(Inputs!$B$38="pvp",15,Inputs!$B$43)-MAX(5,B707))/(IF(Inputs!$B$38="pvp",15,Inputs!$B$43)-(B707))))*IF(AND(ArtifactsInput!$M$42,((Inputs!$B$9+((C688=TRUE)*(F688-Calc!F19))+B700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683*(MIN(100,(Inputs!$B$9+((C688=TRUE)*(F688-Calc!F19))+B700+(ArtifactsInput!$M$24-ArtifactsInput!$M$24)*CHOOSE(ArtifactsInput!$N$24+1,10,12,14,16,18,20)+(IF(AND(Inputs!$B$38&lt;&gt;"pvp",Inputs!$B$43=0),1,IF(IF(Inputs!$B$38="pvp",15,Inputs!$B$43)-(B707)&lt;=0,1,MAX(0,IF(Inputs!$B$38="pvp",15,Inputs!$B$43)-MAX(5,B707))/(IF(Inputs!$B$38="pvp",15,Inputs!$B$43)-(B707))))*IF(AND(ArtifactsInput!$M$42,((Inputs!$B$9+((C688=TRUE)*(F688-Calc!F19))+B700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683">
        <f>IF(C683,((H683*(B704+IF(AND(Inputs!$B$38&lt;&gt;"pvp",Inputs!$B$43&gt;0),((Skills!G8*((R677-1)*IF(Skills!H8&gt;0,INT(Skills!I8/Skills!H8+0.000000001),1)+IF(Skills!H8&gt;0,INT(MIN(Skills!I8,MAX(0,MAX(0,Inputs!$B$43-B707)-((R677-1)*((IF(Inputs!$B$38="pvp",15,MAX(0.1,Skills!D8-IF(TRUE=TRUE,Inputs!$B$32,0)))*(1-IF(AND(ArtifactsInput!$M$27,Inputs!$B$4="Chapter Hunt"),CHOOSE(ArtifactsInput!$N$27+1,20,24,28,32,36,40),0)/100))/B711))))/Skills!H8+0.000000001),1)))/Inputs!$B$43),G677*Q677)+IF(AND(Inputs!$B$38&lt;&gt;"pvp",Inputs!$B$43&gt;0),((Skills!G11*((R680-1)*IF(Skills!H11&gt;0,INT(Skills!I11/Skills!H11+0.000000001),1)+IF(Skills!H11&gt;0,INT(MIN(Skills!I11,MAX(0,MAX(0,Inputs!$B$43-B707)-((R680-1)*((IF(Inputs!$B$38="pvp",15,MAX(0.1,Skills!D11-IF(TRUE=TRUE,Inputs!$B$32,0)))*(1-IF(AND(ArtifactsInput!$M$27,Inputs!$B$4="Chapter Hunt"),CHOOSE(ArtifactsInput!$N$27+1,20,24,28,32,36,40),0)/100))/B711))))/Skills!H11+0.000000001),1)))/Inputs!$B$43),G680*Q680)))/(1+Skills!H14*H683*(B704+IF(AND(Inputs!$B$38&lt;&gt;"pvp",Inputs!$B$43&gt;0),((Skills!G8*((R677-1)*IF(Skills!H8&gt;0,INT(Skills!I8/Skills!H8+0.000000001),1)+IF(Skills!H8&gt;0,INT(MIN(Skills!I8,MAX(0,MAX(0,Inputs!$B$43-B707)-((R677-1)*((IF(Inputs!$B$38="pvp",15,MAX(0.1,Skills!D8-IF(TRUE=TRUE,Inputs!$B$32,0)))*(1-IF(AND(ArtifactsInput!$M$27,Inputs!$B$4="Chapter Hunt"),CHOOSE(ArtifactsInput!$N$27+1,20,24,28,32,36,40),0)/100))/B711))))/Skills!H8+0.000000001),1)))/Inputs!$B$43),G677*Q677)+IF(AND(Inputs!$B$38&lt;&gt;"pvp",Inputs!$B$43&gt;0),((Skills!G11*((R680-1)*IF(Skills!H11&gt;0,INT(Skills!I11/Skills!H11+0.000000001),1)+IF(Skills!H11&gt;0,INT(MIN(Skills!I11,MAX(0,MAX(0,Inputs!$B$43-B707)-((R680-1)*((IF(Inputs!$B$38="pvp",15,MAX(0.1,Skills!D11-IF(TRUE=TRUE,Inputs!$B$32,0)))*(1-IF(AND(ArtifactsInput!$M$27,Inputs!$B$4="Chapter Hunt"),CHOOSE(ArtifactsInput!$N$27+1,20,24,28,32,36,40),0)/100))/B711))))/Skills!H11+0.000000001),1)))/Inputs!$B$43),G680*Q680)))*N683)*IF(Inputs!$B$38="pvp",1,(1+(Inputs!$B$21+Skills!Q14+(IF(ArtifactsInput!$M$33,CHOOSE(ArtifactsInput!$N$33+1,30,36,42,48,54,60),0))+(IF(AND(ArtifactsInput!$M$35,Inputs!$B$4&lt;&gt;"Chapter Hunt"),CHOOSE(ArtifactsInput!$N$35+1,15,18,21,24,27,30)*(1-EXP(-(0.2*B702)*5)),0)+IF(AND(ArtifactsInput!$M$22,Inputs!$B$4&lt;&gt;"Chapter Hunt"),CHOOSE(ArtifactsInput!$N$22+1,10,12,14,16,18,20)*((0*(((0.15*B702*5))^0/1)+1*(((0.15*B702*5))^1/1)+2*(((0.15*B702*5))^2/2)+3*(((0.15*B702*5))^3/6)+4*(((0.15*B702*5))^4/24)+5*(((0.15*B702*5))^5/120))/((((0.15*B702*5))^0/1)+(((0.15*B702*5))^1/1)+(((0.15*B702*5))^2/2)+(((0.15*B702*5))^3/6)+(((0.15*B702*5))^4/24)+(((0.15*B702*5))^5/120))),0))+IF(Inputs!$B$3&gt;=54,9*(C672=TRUE)*MIN(1,8*(1+Inputs!$B$34/100)*Q672),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84">
      <c r="A684">
        <f>Skills!A15</f>
        <v/>
      </c>
      <c r="B684">
        <f>Skills!B15</f>
        <v/>
      </c>
      <c r="C684">
        <f>Inputs!$B$3&gt;=100</f>
        <v/>
      </c>
      <c r="D684">
        <f>IF(Skills!C15=1,60+Inputs!$B$25+Inputs!$B$29,IF(Skills!C15=2,90+Inputs!$B$26+Inputs!$B$29,IF(Skills!C15=3,120+Inputs!$B$27+Inputs!$B$29,MAX(0,(Inputs!$B$3-100)*3)+Inputs!$B$28+Inputs!$B$29)))</f>
        <v/>
      </c>
      <c r="E684">
        <f>INDEX(FactorTable!$B$2:$Y$301, MATCH(ROUND(MIN(300,MAX(1,D684)),0), FactorTable!$A$2:$A$301,0), Skills!M15+1)</f>
        <v/>
      </c>
      <c r="F684">
        <f>IF(Skills!N15=TRUE,(Skills!L15/10)*(E684/1000),Skills!L15/10)+Skills!O15</f>
        <v/>
      </c>
      <c r="G684" t="inlineStr"/>
      <c r="H684" t="inlineStr"/>
      <c r="I684" t="inlineStr">
        <is>
          <t>1</t>
        </is>
      </c>
      <c r="J684" t="inlineStr"/>
      <c r="K684" t="inlineStr"/>
      <c r="L684" t="inlineStr"/>
      <c r="M684" t="inlineStr"/>
      <c r="N684" t="inlineStr"/>
      <c r="O684" t="inlineStr"/>
      <c r="P684" t="inlineStr"/>
      <c r="Q684" t="inlineStr"/>
      <c r="R684" t="inlineStr"/>
      <c r="S684" t="inlineStr"/>
    </row>
    <row r="685">
      <c r="A685">
        <f>Skills!A16</f>
        <v/>
      </c>
      <c r="B685">
        <f>Skills!B16</f>
        <v/>
      </c>
      <c r="C685">
        <f>Inputs!$B$3&gt;=107</f>
        <v/>
      </c>
      <c r="D685">
        <f>IF(Skills!C16=1,60+Inputs!$B$25+Inputs!$B$29,IF(Skills!C16=2,90+Inputs!$B$26+Inputs!$B$29,IF(Skills!C16=3,120+Inputs!$B$27+Inputs!$B$29,MAX(0,(Inputs!$B$3-100)*3)+Inputs!$B$28+Inputs!$B$29)))</f>
        <v/>
      </c>
      <c r="E685">
        <f>INDEX(FactorTable!$B$2:$Y$301, MATCH(ROUND(MIN(300,MAX(1,D685)),0), FactorTable!$A$2:$A$301,0), Skills!M16+1)</f>
        <v/>
      </c>
      <c r="F685">
        <f>IF(Skills!N16=TRUE,(Skills!L16/10)*(E685/1000),Skills!L16/10)+Skills!O16</f>
        <v/>
      </c>
      <c r="G685" t="inlineStr"/>
      <c r="H685" t="inlineStr"/>
      <c r="I685" t="inlineStr">
        <is>
          <t>1</t>
        </is>
      </c>
      <c r="J685" t="inlineStr"/>
      <c r="K685" t="inlineStr"/>
      <c r="L685" t="inlineStr"/>
      <c r="M685" t="inlineStr"/>
      <c r="N685" t="inlineStr"/>
      <c r="O685" t="inlineStr"/>
      <c r="P685" t="inlineStr"/>
      <c r="Q685" t="inlineStr"/>
      <c r="R685" t="inlineStr"/>
      <c r="S685" t="inlineStr"/>
    </row>
    <row r="686">
      <c r="A686">
        <f>Skills!A17</f>
        <v/>
      </c>
      <c r="B686">
        <f>Skills!B17</f>
        <v/>
      </c>
      <c r="C686">
        <f>Inputs!$B$3&gt;=74</f>
        <v/>
      </c>
      <c r="D686">
        <f>IF(Skills!C17=1,60+Inputs!$B$25+Inputs!$B$29,IF(Skills!C17=2,90+Inputs!$B$26+Inputs!$B$29,IF(Skills!C17=3,120+Inputs!$B$27+Inputs!$B$29,MAX(0,(Inputs!$B$3-100)*3)+Inputs!$B$28+Inputs!$B$29)))</f>
        <v/>
      </c>
      <c r="E686">
        <f>INDEX(FactorTable!$B$2:$Y$301, MATCH(ROUND(MIN(300,MAX(1,D686)),0), FactorTable!$A$2:$A$301,0), Skills!M17+1)</f>
        <v/>
      </c>
      <c r="F686">
        <f>IF(Skills!N17=TRUE,(Skills!L17/10)*(E686/1000),Skills!L17/10)+Skills!O17</f>
        <v/>
      </c>
      <c r="G686">
        <f>Skills!G17*IF(Skills!H17&gt;0,INT(IF(Inputs!$B$38="pvp",MIN(Skills!I17,15),Skills!I17)/Skills!H17+0.000000001),1)</f>
        <v/>
      </c>
      <c r="H686">
        <f>1-(1-Skills!J17/100)^Skills!K17</f>
        <v/>
      </c>
      <c r="I686" t="inlineStr">
        <is>
          <t>1</t>
        </is>
      </c>
      <c r="J686" t="inlineStr"/>
      <c r="K686" t="inlineStr"/>
      <c r="L686" t="inlineStr"/>
      <c r="M686" t="inlineStr"/>
      <c r="N686" t="inlineStr"/>
      <c r="O686">
        <f>(1-Summary!$B$11)*T686+Summary!$B$11*V686</f>
        <v/>
      </c>
      <c r="P686">
        <f>IF(B710=0,0,O686/B710)</f>
        <v/>
      </c>
      <c r="Q686" t="n">
        <v>0</v>
      </c>
      <c r="R686" t="n">
        <v>0</v>
      </c>
      <c r="S686">
        <f>IFERROR(O686/N686,0)</f>
        <v/>
      </c>
      <c r="T686" t="n">
        <v>0</v>
      </c>
      <c r="V686" t="n">
        <v>0</v>
      </c>
    </row>
    <row r="687">
      <c r="A687">
        <f>Skills!A18</f>
        <v/>
      </c>
      <c r="B687">
        <f>Skills!B18</f>
        <v/>
      </c>
      <c r="C687">
        <f>Inputs!$B$3&gt;=115</f>
        <v/>
      </c>
      <c r="D687">
        <f>IF(Skills!C18=1,60+Inputs!$B$25+Inputs!$B$29,IF(Skills!C18=2,90+Inputs!$B$26+Inputs!$B$29,IF(Skills!C18=3,120+Inputs!$B$27+Inputs!$B$29,MAX(0,(Inputs!$B$3-100)*3)+Inputs!$B$28+Inputs!$B$29)))</f>
        <v/>
      </c>
      <c r="E687">
        <f>INDEX(FactorTable!$B$2:$Y$301, MATCH(ROUND(MIN(300,MAX(1,D687)),0), FactorTable!$A$2:$A$301,0), Skills!M18+1)</f>
        <v/>
      </c>
      <c r="F687">
        <f>IF(Skills!N18=TRUE,(Skills!L18/10)*(E687/1000),Skills!L18/10)+Skills!O18</f>
        <v/>
      </c>
      <c r="G687">
        <f>Skills!G18*IF(Skills!H18&gt;0,INT(IF(Inputs!$B$38="pvp",MIN(Skills!I18,15),Skills!I18)/Skills!H18+0.000000001),1)</f>
        <v/>
      </c>
      <c r="H687">
        <f>1-(1-Skills!J18/100)^Skills!K18</f>
        <v/>
      </c>
      <c r="I687" t="inlineStr">
        <is>
          <t>1</t>
        </is>
      </c>
      <c r="J687" t="inlineStr"/>
      <c r="K687" t="inlineStr"/>
      <c r="L687" t="inlineStr"/>
      <c r="M687" t="inlineStr"/>
      <c r="N687" t="inlineStr"/>
      <c r="O687">
        <f>(1-Summary!$B$11)*T687+Summary!$B$11*V687</f>
        <v/>
      </c>
      <c r="P687">
        <f>IF(B710=0,0,O687/B710)</f>
        <v/>
      </c>
      <c r="Q687">
        <f>IFERROR(1/(IF(Inputs!$B$38="pvp",15,MAX(0.1,Skills!D18-IF(TRUE=TRUE,Inputs!$B$32,0)))*(1-IF(AND(ArtifactsInput!$M$27,Inputs!$B$4="Chapter Hunt"),CHOOSE(ArtifactsInput!$N$27+1,20,24,28,32,36,40),0)/100)),0)</f>
        <v/>
      </c>
      <c r="R687">
        <f>IF(AND(Inputs!$B$38&lt;&gt;"pvp",Inputs!$B$43&gt;0),IF(Inputs!$B$43&lt;=0,0,(INT(Inputs!$B$43/(IF(Inputs!$B$38="pvp",15,MAX(0.1,Skills!D18-IF(TRUE=TRUE,Inputs!$B$32,0)))*(1-IF(AND(ArtifactsInput!$M$27,Inputs!$B$4="Chapter Hunt"),CHOOSE(ArtifactsInput!$N$27+1,20,24,28,32,36,40),0)/100)))+1)),0)</f>
        <v/>
      </c>
      <c r="S687">
        <f>IFERROR(O687/N687,0)</f>
        <v/>
      </c>
      <c r="T687" t="n">
        <v>0</v>
      </c>
      <c r="V687" t="n">
        <v>0</v>
      </c>
    </row>
    <row r="688">
      <c r="A688">
        <f>Skills!A19</f>
        <v/>
      </c>
      <c r="B688">
        <f>Skills!B19</f>
        <v/>
      </c>
      <c r="C688">
        <f>Inputs!$B$3&gt;=10</f>
        <v/>
      </c>
      <c r="D688">
        <f>IF(Skills!C19=1,60+Inputs!$B$25+Inputs!$B$29,IF(Skills!C19=2,90+Inputs!$B$26+Inputs!$B$29,IF(Skills!C19=3,120+Inputs!$B$27+Inputs!$B$29,MAX(0,(Inputs!$B$3-100)*3)+Inputs!$B$28+Inputs!$B$29)))</f>
        <v/>
      </c>
      <c r="E688">
        <f>INDEX(FactorTable!$B$2:$Y$301, MATCH(ROUND(MIN(300,MAX(1,D688)),0), FactorTable!$A$2:$A$301,0), Skills!M19+1)</f>
        <v/>
      </c>
      <c r="F688">
        <f>IF(Skills!N19=TRUE,(Skills!L19/10)*(E688/1000),Skills!L19/10)+Skills!O19</f>
        <v/>
      </c>
      <c r="G688">
        <f>Skills!G19*IF(Skills!H19&gt;0,INT(IF(Inputs!$B$38="pvp",MIN(Skills!I19,15),Skills!I19)/Skills!H19+0.000000001),1)</f>
        <v/>
      </c>
      <c r="H688">
        <f>1-(1-Skills!J19/100)^Skills!K19</f>
        <v/>
      </c>
      <c r="I688" t="inlineStr">
        <is>
          <t>1</t>
        </is>
      </c>
      <c r="J688" t="inlineStr"/>
      <c r="K688" t="inlineStr"/>
      <c r="L688" t="inlineStr"/>
      <c r="M688" t="inlineStr"/>
      <c r="N688" t="inlineStr"/>
      <c r="O688">
        <f>(1-Summary!$B$11)*T688+Summary!$B$11*V688</f>
        <v/>
      </c>
      <c r="P688">
        <f>IF(B710=0,0,O688/B710)</f>
        <v/>
      </c>
      <c r="Q688" t="n">
        <v>0</v>
      </c>
      <c r="R688" t="n">
        <v>0</v>
      </c>
      <c r="S688">
        <f>IFERROR(O688/N688,0)</f>
        <v/>
      </c>
      <c r="T688" t="n">
        <v>0</v>
      </c>
      <c r="V688" t="n">
        <v>0</v>
      </c>
    </row>
    <row r="689">
      <c r="A689">
        <f>Skills!A20</f>
        <v/>
      </c>
      <c r="B689">
        <f>Skills!B20</f>
        <v/>
      </c>
      <c r="C689">
        <f>Inputs!$B$3&gt;=15</f>
        <v/>
      </c>
      <c r="D689">
        <f>IF(Skills!C20=1,60+Inputs!$B$25+Inputs!$B$29,IF(Skills!C20=2,90+Inputs!$B$26+Inputs!$B$29,IF(Skills!C20=3,120+Inputs!$B$27+Inputs!$B$29,MAX(0,(Inputs!$B$3-100)*3)+Inputs!$B$28+Inputs!$B$29)))</f>
        <v/>
      </c>
      <c r="E689">
        <f>INDEX(FactorTable!$B$2:$Y$301, MATCH(ROUND(MIN(300,MAX(1,D689)),0), FactorTable!$A$2:$A$301,0), Skills!M20+1)</f>
        <v/>
      </c>
      <c r="F689">
        <f>IF(Skills!N20=TRUE,(Skills!L20/10)*(E689/1000),Skills!L20/10)+Skills!O20</f>
        <v/>
      </c>
      <c r="G689">
        <f>Skills!G20*IF(Skills!H20&gt;0,INT(IF(Inputs!$B$38="pvp",MIN(Skills!I20,15),Skills!I20)/Skills!H20+0.000000001),1)</f>
        <v/>
      </c>
      <c r="H689">
        <f>1-(1-Skills!J20/100)^Skills!K20</f>
        <v/>
      </c>
      <c r="I689" t="inlineStr">
        <is>
          <t>1</t>
        </is>
      </c>
      <c r="J689" t="inlineStr"/>
      <c r="K689" t="inlineStr"/>
      <c r="L689" t="inlineStr"/>
      <c r="M689" t="inlineStr"/>
      <c r="N689" t="inlineStr"/>
      <c r="O689">
        <f>(1-Summary!$B$11)*T689+Summary!$B$11*V689</f>
        <v/>
      </c>
      <c r="P689">
        <f>IF(B710=0,0,O689/B710)</f>
        <v/>
      </c>
      <c r="Q689" t="n">
        <v>0</v>
      </c>
      <c r="R689" t="n">
        <v>0</v>
      </c>
      <c r="S689">
        <f>IFERROR(O689/N689,0)</f>
        <v/>
      </c>
      <c r="T689" t="n">
        <v>0</v>
      </c>
      <c r="V689" t="n">
        <v>0</v>
      </c>
    </row>
    <row r="690">
      <c r="A690">
        <f>Skills!A21</f>
        <v/>
      </c>
      <c r="B690">
        <f>Skills!B21</f>
        <v/>
      </c>
      <c r="C690">
        <f>Inputs!$B$3&gt;=40</f>
        <v/>
      </c>
      <c r="D690">
        <f>IF(Skills!C21=1,60+Inputs!$B$25+Inputs!$B$29,IF(Skills!C21=2,90+Inputs!$B$26+Inputs!$B$29,IF(Skills!C21=3,120+Inputs!$B$27+Inputs!$B$29,MAX(0,(Inputs!$B$3-100)*3)+Inputs!$B$28+Inputs!$B$29)))</f>
        <v/>
      </c>
      <c r="E690">
        <f>INDEX(FactorTable!$B$2:$Y$301, MATCH(ROUND(MIN(300,MAX(1,D690)),0), FactorTable!$A$2:$A$301,0), Skills!M21+1)</f>
        <v/>
      </c>
      <c r="F690">
        <f>IF(Skills!N21=TRUE,(Skills!L21/10)*(E690/1000),Skills!L21/10)+Skills!O21</f>
        <v/>
      </c>
      <c r="G690">
        <f>Skills!G21*IF(Skills!H21&gt;0,INT(IF(Inputs!$B$38="pvp",MIN(Skills!I21,15),Skills!I21)/Skills!H21+0.000000001),1)</f>
        <v/>
      </c>
      <c r="H690">
        <f>1-(1-Skills!J21/100)^Skills!K21</f>
        <v/>
      </c>
      <c r="I690" t="inlineStr">
        <is>
          <t>1</t>
        </is>
      </c>
      <c r="J690" t="inlineStr"/>
      <c r="K690" t="inlineStr"/>
      <c r="L690" t="inlineStr"/>
      <c r="M690" t="inlineStr"/>
      <c r="N690" t="inlineStr"/>
      <c r="O690">
        <f>(1-Summary!$B$11)*T690+Summary!$B$11*V690</f>
        <v/>
      </c>
      <c r="P690">
        <f>IF(B710=0,0,O690/B710)</f>
        <v/>
      </c>
      <c r="Q690" t="n">
        <v>0</v>
      </c>
      <c r="R690" t="n">
        <v>0</v>
      </c>
      <c r="S690">
        <f>IFERROR(O690/N690,0)</f>
        <v/>
      </c>
      <c r="T690" t="n">
        <v>0</v>
      </c>
      <c r="V690" t="n">
        <v>0</v>
      </c>
    </row>
    <row r="691">
      <c r="A691">
        <f>Skills!A22</f>
        <v/>
      </c>
      <c r="B691">
        <f>Skills!B22</f>
        <v/>
      </c>
      <c r="C691">
        <f>Inputs!$B$3&gt;=43</f>
        <v/>
      </c>
      <c r="D691">
        <f>IF(Skills!C22=1,60+Inputs!$B$25+Inputs!$B$29,IF(Skills!C22=2,90+Inputs!$B$26+Inputs!$B$29,IF(Skills!C22=3,120+Inputs!$B$27+Inputs!$B$29,MAX(0,(Inputs!$B$3-100)*3)+Inputs!$B$28+Inputs!$B$29)))</f>
        <v/>
      </c>
      <c r="E691">
        <f>INDEX(FactorTable!$B$2:$Y$301, MATCH(ROUND(MIN(300,MAX(1,D691)),0), FactorTable!$A$2:$A$301,0), Skills!M22+1)</f>
        <v/>
      </c>
      <c r="F691">
        <f>IF(Skills!N22=TRUE,(Skills!L22/10)*(E691/1000),Skills!L22/10)+Skills!O22</f>
        <v/>
      </c>
      <c r="G691">
        <f>Skills!G22*IF(Skills!H22&gt;0,INT(IF(Inputs!$B$38="pvp",MIN(Skills!I22,15),Skills!I22)/Skills!H22+0.000000001),1)</f>
        <v/>
      </c>
      <c r="H691">
        <f>1-(1-Skills!J22/100)^Skills!K22</f>
        <v/>
      </c>
      <c r="I691" t="inlineStr">
        <is>
          <t>1</t>
        </is>
      </c>
      <c r="J691" t="inlineStr"/>
      <c r="K691" t="inlineStr"/>
      <c r="L691" t="inlineStr"/>
      <c r="M691" t="inlineStr"/>
      <c r="N691" t="inlineStr"/>
      <c r="O691">
        <f>(1-Summary!$B$11)*T691+Summary!$B$11*V691</f>
        <v/>
      </c>
      <c r="P691">
        <f>IF(B710=0,0,O691/B710)</f>
        <v/>
      </c>
      <c r="Q691" t="n">
        <v>0</v>
      </c>
      <c r="R691" t="n">
        <v>0</v>
      </c>
      <c r="S691">
        <f>IFERROR(O691/N691,0)</f>
        <v/>
      </c>
      <c r="T691" t="n">
        <v>0</v>
      </c>
      <c r="V691" t="n">
        <v>0</v>
      </c>
    </row>
    <row r="692">
      <c r="A692">
        <f>Skills!A23</f>
        <v/>
      </c>
      <c r="B692">
        <f>Skills!B23</f>
        <v/>
      </c>
      <c r="C692">
        <f>Inputs!$B$3&gt;=38</f>
        <v/>
      </c>
      <c r="D692">
        <f>IF(Skills!C23=1,60+Inputs!$B$25+Inputs!$B$29,IF(Skills!C23=2,90+Inputs!$B$26+Inputs!$B$29,IF(Skills!C23=3,120+Inputs!$B$27+Inputs!$B$29,MAX(0,(Inputs!$B$3-100)*3)+Inputs!$B$28+Inputs!$B$29)))</f>
        <v/>
      </c>
      <c r="E692">
        <f>INDEX(FactorTable!$B$2:$Y$301, MATCH(ROUND(MIN(300,MAX(1,D692)),0), FactorTable!$A$2:$A$301,0), Skills!M23+1)</f>
        <v/>
      </c>
      <c r="F692">
        <f>IF(Skills!N23=TRUE,(Skills!L23/10)*(E692/1000),Skills!L23/10)+Skills!O23</f>
        <v/>
      </c>
      <c r="G692">
        <f>Skills!G23*IF(Skills!H23&gt;0,INT(IF(Inputs!$B$38="pvp",MIN(Skills!I23,15),Skills!I23)/Skills!H23+0.000000001),1)</f>
        <v/>
      </c>
      <c r="H692">
        <f>1-(1-Skills!J23/100)^Skills!K23</f>
        <v/>
      </c>
      <c r="I692" t="inlineStr">
        <is>
          <t>1</t>
        </is>
      </c>
      <c r="J692" t="inlineStr"/>
      <c r="K692" t="inlineStr"/>
      <c r="L692" t="inlineStr"/>
      <c r="M692" t="inlineStr"/>
      <c r="N692" t="inlineStr"/>
      <c r="O692">
        <f>(1-Summary!$B$11)*T692+Summary!$B$11*V692</f>
        <v/>
      </c>
      <c r="P692">
        <f>IF(B710=0,0,O692/B710)</f>
        <v/>
      </c>
      <c r="Q692" t="n">
        <v>0</v>
      </c>
      <c r="R692" t="n">
        <v>0</v>
      </c>
      <c r="S692">
        <f>IFERROR(O692/N692,0)</f>
        <v/>
      </c>
      <c r="T692" t="n">
        <v>0</v>
      </c>
      <c r="V692" t="n">
        <v>0</v>
      </c>
    </row>
    <row r="693">
      <c r="A693">
        <f>Skills!A24</f>
        <v/>
      </c>
      <c r="B693">
        <f>Skills!B24</f>
        <v/>
      </c>
      <c r="C693">
        <f>Inputs!$B$3&gt;=45</f>
        <v/>
      </c>
      <c r="D693">
        <f>IF(Skills!C24=1,60+Inputs!$B$25+Inputs!$B$29,IF(Skills!C24=2,90+Inputs!$B$26+Inputs!$B$29,IF(Skills!C24=3,120+Inputs!$B$27+Inputs!$B$29,MAX(0,(Inputs!$B$3-100)*3)+Inputs!$B$28+Inputs!$B$29)))</f>
        <v/>
      </c>
      <c r="E693">
        <f>INDEX(FactorTable!$B$2:$Y$301, MATCH(ROUND(MIN(300,MAX(1,D693)),0), FactorTable!$A$2:$A$301,0), Skills!M24+1)</f>
        <v/>
      </c>
      <c r="F693">
        <f>IF(Skills!N24=TRUE,(Skills!L24/10)*(E693/1000),Skills!L24/10)+Skills!O24</f>
        <v/>
      </c>
      <c r="G693">
        <f>Skills!G24*IF(Skills!H24&gt;0,INT(IF(Inputs!$B$38="pvp",MIN(Skills!I24,15),Skills!I24)/Skills!H24+0.000000001),1)</f>
        <v/>
      </c>
      <c r="H693">
        <f>1-(1-Skills!J24/100)^Skills!K24</f>
        <v/>
      </c>
      <c r="I693" t="inlineStr">
        <is>
          <t>1</t>
        </is>
      </c>
      <c r="J693" t="inlineStr"/>
      <c r="K693" t="inlineStr"/>
      <c r="L693" t="inlineStr"/>
      <c r="M693" t="inlineStr"/>
      <c r="N693" t="inlineStr"/>
      <c r="O693">
        <f>(1-Summary!$B$11)*T693+Summary!$B$11*V693</f>
        <v/>
      </c>
      <c r="P693">
        <f>IF(B710=0,0,O693/B710)</f>
        <v/>
      </c>
      <c r="Q693" t="n">
        <v>0</v>
      </c>
      <c r="R693" t="n">
        <v>0</v>
      </c>
      <c r="S693">
        <f>IFERROR(O693/N693,0)</f>
        <v/>
      </c>
      <c r="T693" t="n">
        <v>0</v>
      </c>
      <c r="V693" t="n">
        <v>0</v>
      </c>
    </row>
    <row r="694">
      <c r="A694">
        <f>Skills!A25</f>
        <v/>
      </c>
      <c r="B694">
        <f>Skills!B25</f>
        <v/>
      </c>
      <c r="C694">
        <f>Inputs!$B$3&gt;=72</f>
        <v/>
      </c>
      <c r="D694">
        <f>IF(Skills!C25=1,60+Inputs!$B$25+Inputs!$B$29,IF(Skills!C25=2,90+Inputs!$B$26+Inputs!$B$29,IF(Skills!C25=3,120+Inputs!$B$27+Inputs!$B$29,MAX(0,(Inputs!$B$3-100)*3)+Inputs!$B$28+Inputs!$B$29)))</f>
        <v/>
      </c>
      <c r="E694">
        <f>INDEX(FactorTable!$B$2:$Y$301, MATCH(ROUND(MIN(300,MAX(1,D694)),0), FactorTable!$A$2:$A$301,0), Skills!M25+1)</f>
        <v/>
      </c>
      <c r="F694">
        <f>IF(Skills!N25=TRUE,(Skills!L25/10)*(E694/1000),Skills!L25/10)+Skills!O25</f>
        <v/>
      </c>
      <c r="G694">
        <f>Skills!G25*IF(Skills!H25&gt;0,INT(IF(Inputs!$B$38="pvp",MIN(Skills!I25,15),Skills!I25)/Skills!H25+0.000000001),1)</f>
        <v/>
      </c>
      <c r="H694">
        <f>1-(1-Skills!J25/100)^Skills!K25</f>
        <v/>
      </c>
      <c r="I694" t="inlineStr">
        <is>
          <t>1</t>
        </is>
      </c>
      <c r="J694" t="inlineStr"/>
      <c r="K694" t="inlineStr"/>
      <c r="L694" t="inlineStr"/>
      <c r="M694" t="inlineStr"/>
      <c r="N694" t="inlineStr"/>
      <c r="O694">
        <f>(1-Summary!$B$11)*T694+Summary!$B$11*V694</f>
        <v/>
      </c>
      <c r="P694">
        <f>IF(B710=0,0,O694/B710)</f>
        <v/>
      </c>
      <c r="Q694" t="n">
        <v>0</v>
      </c>
      <c r="R694" t="n">
        <v>0</v>
      </c>
      <c r="S694">
        <f>IFERROR(O694/N694,0)</f>
        <v/>
      </c>
      <c r="T694" t="n">
        <v>0</v>
      </c>
      <c r="V694" t="n">
        <v>0</v>
      </c>
    </row>
    <row r="695">
      <c r="A695">
        <f>Skills!A26</f>
        <v/>
      </c>
      <c r="B695">
        <f>Skills!B26</f>
        <v/>
      </c>
      <c r="C695">
        <f>Inputs!$B$3&gt;=75</f>
        <v/>
      </c>
      <c r="D695">
        <f>IF(Skills!C26=1,60+Inputs!$B$25+Inputs!$B$29,IF(Skills!C26=2,90+Inputs!$B$26+Inputs!$B$29,IF(Skills!C26=3,120+Inputs!$B$27+Inputs!$B$29,MAX(0,(Inputs!$B$3-100)*3)+Inputs!$B$28+Inputs!$B$29)))</f>
        <v/>
      </c>
      <c r="E695">
        <f>INDEX(FactorTable!$B$2:$Y$301, MATCH(ROUND(MIN(300,MAX(1,D695)),0), FactorTable!$A$2:$A$301,0), Skills!M26+1)</f>
        <v/>
      </c>
      <c r="F695">
        <f>IF(Skills!N26=TRUE,(Skills!L26/10)*(E695/1000),Skills!L26/10)+Skills!O26</f>
        <v/>
      </c>
      <c r="G695">
        <f>Skills!G26*IF(Skills!H26&gt;0,INT(IF(Inputs!$B$38="pvp",MIN(Skills!I26,15),Skills!I26)/Skills!H26+0.000000001),1)</f>
        <v/>
      </c>
      <c r="H695">
        <f>1-(1-Skills!J26/100)^Skills!K26</f>
        <v/>
      </c>
      <c r="I695" t="inlineStr">
        <is>
          <t>1</t>
        </is>
      </c>
      <c r="J695" t="inlineStr"/>
      <c r="K695" t="inlineStr"/>
      <c r="L695" t="inlineStr"/>
      <c r="M695" t="inlineStr"/>
      <c r="N695" t="inlineStr"/>
      <c r="O695">
        <f>(1-Summary!$B$11)*T695+Summary!$B$11*V695</f>
        <v/>
      </c>
      <c r="P695">
        <f>IF(B710=0,0,O695/B710)</f>
        <v/>
      </c>
      <c r="Q695" t="n">
        <v>0</v>
      </c>
      <c r="R695" t="n">
        <v>0</v>
      </c>
      <c r="S695">
        <f>IFERROR(O695/N695,0)</f>
        <v/>
      </c>
      <c r="T695" t="n">
        <v>0</v>
      </c>
      <c r="V695" t="n">
        <v>0</v>
      </c>
    </row>
    <row r="696">
      <c r="A696">
        <f>Skills!A27</f>
        <v/>
      </c>
      <c r="B696">
        <f>Skills!B27</f>
        <v/>
      </c>
      <c r="C696">
        <f>Inputs!$B$3&gt;=125</f>
        <v/>
      </c>
      <c r="D696">
        <f>IF(Skills!C27=1,60+Inputs!$B$25+Inputs!$B$29,IF(Skills!C27=2,90+Inputs!$B$26+Inputs!$B$29,IF(Skills!C27=3,120+Inputs!$B$27+Inputs!$B$29,MAX(0,(Inputs!$B$3-100)*3)+Inputs!$B$28+Inputs!$B$29)))</f>
        <v/>
      </c>
      <c r="E696">
        <f>INDEX(FactorTable!$B$2:$Y$301, MATCH(ROUND(MIN(300,MAX(1,D696)),0), FactorTable!$A$2:$A$301,0), Skills!M27+1)</f>
        <v/>
      </c>
      <c r="F696">
        <f>IF(Skills!N27=TRUE,(Skills!L27/10)*(E696/1000),Skills!L27/10)+Skills!O27</f>
        <v/>
      </c>
      <c r="G696">
        <f>Skills!G27*IF(Skills!H27&gt;0,INT(IF(Inputs!$B$38="pvp",MIN(Skills!I27,15),Skills!I27)/Skills!H27+0.000000001),1)</f>
        <v/>
      </c>
      <c r="H696">
        <f>1-(1-Skills!J27/100)^Skills!K27</f>
        <v/>
      </c>
      <c r="I696" t="inlineStr">
        <is>
          <t>1</t>
        </is>
      </c>
      <c r="J696" t="inlineStr"/>
      <c r="K696" t="inlineStr"/>
      <c r="L696" t="inlineStr"/>
      <c r="M696" t="inlineStr"/>
      <c r="N696" t="inlineStr"/>
      <c r="O696">
        <f>(1-Summary!$B$11)*T696+Summary!$B$11*V696</f>
        <v/>
      </c>
      <c r="P696">
        <f>IF(B710=0,0,O696/B710)</f>
        <v/>
      </c>
      <c r="Q696" t="n">
        <v>0</v>
      </c>
      <c r="R696" t="n">
        <v>0</v>
      </c>
      <c r="S696">
        <f>IFERROR(O696/N696,0)</f>
        <v/>
      </c>
      <c r="T696" t="n">
        <v>0</v>
      </c>
      <c r="V696" t="n">
        <v>0</v>
      </c>
    </row>
    <row r="697">
      <c r="A697">
        <f>Skills!A28</f>
        <v/>
      </c>
      <c r="B697">
        <f>Skills!B28</f>
        <v/>
      </c>
      <c r="C697">
        <f>TRUE</f>
        <v/>
      </c>
      <c r="D697">
        <f>IF(Skills!C28=1,60+Inputs!$B$25+Inputs!$B$29,IF(Skills!C28=2,90+Inputs!$B$26+Inputs!$B$29,IF(Skills!C28=3,120+Inputs!$B$27+Inputs!$B$29,MAX(0,(Inputs!$B$3-100)*3)+Inputs!$B$28+Inputs!$B$29)))</f>
        <v/>
      </c>
      <c r="E697">
        <f>INDEX(FactorTable!$B$2:$Y$301, MATCH(ROUND(MIN(300,MAX(1,D697)),0), FactorTable!$A$2:$A$301,0), Skills!M28+1)</f>
        <v/>
      </c>
      <c r="F697">
        <f>IF(Skills!N28=TRUE,(Skills!L28/10)*(E697/1000),Skills!L28/10)+Skills!O28</f>
        <v/>
      </c>
      <c r="G697">
        <f>Skills!G28*IF(Skills!H28&gt;0,INT(IF(Inputs!$B$38="pvp",MIN(Skills!I28,15),Skills!I28)/Skills!H28+0.000000001),1)</f>
        <v/>
      </c>
      <c r="H697">
        <f>1-(1-Skills!J28/100)^Skills!K28</f>
        <v/>
      </c>
      <c r="I697" t="inlineStr">
        <is>
          <t>1</t>
        </is>
      </c>
      <c r="J697" t="inlineStr"/>
      <c r="K697" t="inlineStr"/>
      <c r="L697" t="inlineStr"/>
      <c r="M697" t="inlineStr"/>
      <c r="N697" t="inlineStr"/>
      <c r="O697">
        <f>(1-Summary!$B$11)*T697+Summary!$B$11*V697</f>
        <v/>
      </c>
      <c r="P697">
        <f>IF(B710=0,0,O697/B710)</f>
        <v/>
      </c>
      <c r="Q697">
        <f>IFERROR(1/(IF(Inputs!$B$38="pvp",15,MAX(0.1,Skills!D28-IF(TRUE=TRUE,Inputs!$B$32,0)))*(1-IF(AND(ArtifactsInput!$M$27,Inputs!$B$4="Chapter Hunt"),CHOOSE(ArtifactsInput!$N$27+1,20,24,28,32,36,40),0)/100)),0)</f>
        <v/>
      </c>
      <c r="R697">
        <f>IF(AND(Inputs!$B$38&lt;&gt;"pvp",Inputs!$B$43&gt;0),IF(Inputs!$B$43&lt;=0,0,(INT(Inputs!$B$43/(IF(Inputs!$B$38="pvp",15,MAX(0.1,Skills!D28-IF(TRUE=TRUE,Inputs!$B$32,0)))*(1-IF(AND(ArtifactsInput!$M$27,Inputs!$B$4="Chapter Hunt"),CHOOSE(ArtifactsInput!$N$27+1,20,24,28,32,36,40),0)/100)))+1)),0)</f>
        <v/>
      </c>
      <c r="S697">
        <f>IFERROR(O697/N697,0)</f>
        <v/>
      </c>
      <c r="T697" t="n">
        <v>0</v>
      </c>
      <c r="V697" t="n">
        <v>0</v>
      </c>
    </row>
    <row r="699">
      <c r="A699" t="inlineStr">
        <is>
          <t>Attack% Bucket Multiplier</t>
        </is>
      </c>
      <c r="B699">
        <f>(1+(((C686=TRUE)*F686*5/7)+((C693=TRUE)*(F693-Calc!F24))+(IF(ArtifactsInput!$M$21,CHOOSE(ArtifactsInput!$N$21+1,25,30,35,40,45,50)*(IF(OR(Inputs!$B$4="Chapter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700">
      <c r="A700" t="inlineStr">
        <is>
          <t>Global Crit Rate Bonus %</t>
        </is>
      </c>
      <c r="B700" t="n">
        <v>0</v>
      </c>
    </row>
    <row r="701">
      <c r="A701" t="inlineStr">
        <is>
          <t>Attack Speed Buff Bonus % (Nimble Feet, duty-cycle averaged)</t>
        </is>
      </c>
      <c r="B701">
        <f>((C697=TRUE)*F697*IF(AND(Inputs!$B$38&lt;&gt;"pvp",Inputs!$B$43&gt;0),(((R697-1)*MIN((Skills!T28*(1+Inputs!$B$34/100)),(1/Q697))+MIN((Skills!T28*(1+Inputs!$B$34/100)),MAX(0,Inputs!$B$43-((R697-1)*(1/Q697)))))/Inputs!$B$43),IF(Inputs!$B$38="pvp",MIN((Skills!T28*(1+Inputs!$B$34/100)),15)/15,MIN(1,(Skills!T28*(1+Inputs!$B$34/100))/(1/Q697)))))</f>
        <v/>
      </c>
    </row>
    <row r="702">
      <c r="A702" t="inlineStr">
        <is>
          <t>Actions Per Second</t>
        </is>
      </c>
      <c r="B702">
        <f>1+MIN(150,150*(1-(1-(Inputs!$B$11+((C689=TRUE)*(F689-Calc!F20))+((C690=TRUE)*(F690-Calc!F21)))/150)*(1-B701/150)))/100</f>
        <v/>
      </c>
    </row>
    <row r="703">
      <c r="A703" t="inlineStr">
        <is>
          <t>Skill + Buff Cast Rate</t>
        </is>
      </c>
      <c r="B703">
        <f>IF(AND(Inputs!$B$38&lt;&gt;"pvp",Inputs!$B$43&gt;0),SUMPRODUCT((Skills!E2:E28=TRUE)*(C671:C697=TRUE)*R671:R697*Skills!F2:F28)/Inputs!$B$43,SUMPRODUCT((Skills!E2:E28=TRUE)*(C671:C697=TRUE)*Q671:Q697*Skills!F2:F28))</f>
        <v/>
      </c>
    </row>
    <row r="704">
      <c r="A704" t="inlineStr">
        <is>
          <t>Eight-Legs Easton Casts Per Second</t>
        </is>
      </c>
      <c r="B704">
        <f>MAX(0,B702-B703)</f>
        <v/>
      </c>
    </row>
    <row r="705">
      <c r="A705" t="inlineStr">
        <is>
          <t>Global Critical Damage Bonus % (unused)</t>
        </is>
      </c>
      <c r="B705" t="n">
        <v>0</v>
      </c>
    </row>
    <row r="706">
      <c r="A706" t="inlineStr">
        <is>
          <t>Global Final Damage Bonus % (Jolly Roger + Ahoy Mateys - Final Damage proc)</t>
        </is>
      </c>
      <c r="B706">
        <f>((C687=TRUE)*F687*IF(AND(Inputs!$B$38&lt;&gt;"pvp",Inputs!$B$43&gt;0),(((R687-1)*MIN((Skills!T18*(1+Inputs!$B$34/100)),(1/Q687))+MIN((Skills!T18*(1+Inputs!$B$34/100)),MAX(0,Inputs!$B$43-((R687-1)*(1/Q687)))))/Inputs!$B$43),IF(Inputs!$B$38="pvp",MIN((Skills!T18*(1+Inputs!$B$34/100)),15)/15,MIN(1,(Skills!T18*(1+Inputs!$B$34/100))/(1/Q687)))))+IF(Inputs!$B$3&gt;=122,20*IF(Inputs!$B$38="pvp",MIN((20*(1+Inputs!$B$34/100)),15)/15,MIN(1,(20*(1+Inputs!$B$34/100))/(1/Q673))),0)</f>
        <v/>
      </c>
    </row>
    <row r="707">
      <c r="A707" t="inlineStr">
        <is>
          <t>Buff-Casting Startup Delay (s, fixed-duration only)</t>
        </is>
      </c>
      <c r="B707">
        <f>IF(AND(Inputs!$B$38&lt;&gt;"pvp",Inputs!$B$43&gt;0),SUMPRODUCT((Skills!T2:T28&gt;0)*(Skills!E2:E28=TRUE)*(C671:C697=TRUE))/B702,0)</f>
        <v/>
      </c>
    </row>
    <row r="708">
      <c r="A708" t="inlineStr">
        <is>
          <t>Boss-Only Total DPS (this block's swept value)</t>
        </is>
      </c>
      <c r="B708">
        <f>SUM(T671:T697)</f>
        <v/>
      </c>
    </row>
    <row r="709">
      <c r="A709" t="inlineStr">
        <is>
          <t>Normal-Only Total DPS (this block's swept value)</t>
        </is>
      </c>
      <c r="B709">
        <f>SUM(V671:V697)</f>
        <v/>
      </c>
    </row>
    <row r="710">
      <c r="A710" s="6" t="inlineStr">
        <is>
          <t>TOTAL DPS</t>
        </is>
      </c>
      <c r="B710" s="6">
        <f>SUM(O671:O697)</f>
        <v/>
      </c>
    </row>
    <row r="711">
      <c r="A711" t="inlineStr">
        <is>
          <t>Quickdraw cooldown divisor (this block's own APS / Q)</t>
        </is>
      </c>
      <c r="B711">
        <f>IF(AND(C696=TRUE,Inputs!$B$38&lt;&gt;"pvp"),1+0.25*MAX(0,(B702-(((C672=TRUE)*Q672*1)+((C673=TRUE)*Q673*1)+((C675=TRUE)*Q675*1)+((C676=TRUE)*Q676*1)+((C678=TRUE)*Q678*1)+((C681=TRUE)*Q681*1)+((C687=TRUE)*Q687*1)+((C697=TRUE)*Q697*1))-((C677=TRUE)/(IF(Inputs!$B$38="pvp",15,MAX(0.1,Skills!D8-IF(TRUE=TRUE,Inputs!$B$32,0)))*(1-IF(AND(ArtifactsInput!$M$27,Inputs!$B$4="Chapter Hunt"),CHOOSE(ArtifactsInput!$N$27+1,20,24,28,32,36,40),0)/100))+(C680=TRUE)/(IF(Inputs!$B$38="pvp",15,MAX(0.1,Skills!D11-IF(TRUE=TRUE,Inputs!$B$32,0)))*(1-IF(AND(ArtifactsInput!$M$27,Inputs!$B$4="Chapter Hunt"),CHOOSE(ArtifactsInput!$N$27+1,20,24,28,32,36,40),0)/100))))/(1+0.25*((C677=TRUE)/(IF(Inputs!$B$38="pvp",15,MAX(0.1,Skills!D8-IF(TRUE=TRUE,Inputs!$B$32,0)))*(1-IF(AND(ArtifactsInput!$M$27,Inputs!$B$4="Chapter Hunt"),CHOOSE(ArtifactsInput!$N$27+1,20,24,28,32,36,40),0)/100))+(C680=TRUE)/(IF(Inputs!$B$38="pvp",15,MAX(0.1,Skills!D11-IF(TRUE=TRUE,Inputs!$B$32,0)))*(1-IF(AND(ArtifactsInput!$M$27,Inputs!$B$4="Chapter Hunt"),CHOOSE(ArtifactsInput!$N$27+1,20,24,28,32,36,40),0)/100))))),1)</f>
        <v/>
      </c>
    </row>
    <row r="712">
      <c r="A712" t="inlineStr">
        <is>
          <t>Nautilus Strike - Final Attack trigger rate (this block's own Q/R)</t>
        </is>
      </c>
      <c r="B712">
        <f>IF(AND(Inputs!$B$38&lt;&gt;"pvp",Inputs!$B$43&gt;0),(((C672=TRUE)*R672)+((C675=TRUE)*R675)+((C677=TRUE)*R677)+((C678=TRUE)*R678)+((C680=TRUE)*R680))/Inputs!$B$43,((C672=TRUE)*Q672)+((C675=TRUE)*Q675)+((C677=TRUE)*Q677)+((C678=TRUE)*Q678)+((C680=TRUE)*Q680))+B704</f>
        <v/>
      </c>
    </row>
    <row r="715">
      <c r="A715" s="6" t="inlineStr">
        <is>
          <t>Stat: BASIC_ATTACK_DAMAGE %</t>
        </is>
      </c>
    </row>
    <row r="716">
      <c r="A716" s="5" t="inlineStr">
        <is>
          <t>Key</t>
        </is>
      </c>
      <c r="B716" s="5" t="inlineStr">
        <is>
          <t>Name</t>
        </is>
      </c>
      <c r="C716" s="5" t="inlineStr">
        <is>
          <t>Unlocked</t>
        </is>
      </c>
      <c r="D716" s="5" t="inlineStr">
        <is>
          <t>InputLevel</t>
        </is>
      </c>
      <c r="E716" s="5" t="inlineStr">
        <is>
          <t>Factor</t>
        </is>
      </c>
      <c r="F716" s="5" t="inlineStr">
        <is>
          <t>CoefficientPercent</t>
        </is>
      </c>
      <c r="G716" s="5" t="inlineStr">
        <is>
          <t>EffectiveHits</t>
        </is>
      </c>
      <c r="H716" s="5" t="inlineStr">
        <is>
          <t>ProcProbability</t>
        </is>
      </c>
      <c r="I716" s="5" t="inlineStr">
        <is>
          <t>MapleHeroMultiplier</t>
        </is>
      </c>
      <c r="J716" s="5" t="inlineStr">
        <is>
          <t>BaseDamage</t>
        </is>
      </c>
      <c r="K716" s="5" t="inlineStr">
        <is>
          <t>BaseHitDamage</t>
        </is>
      </c>
      <c r="L716" s="5" t="inlineStr">
        <is>
          <t>NonCritAvg</t>
        </is>
      </c>
      <c r="M716" s="5" t="inlineStr">
        <is>
          <t>CritAvg</t>
        </is>
      </c>
      <c r="N716" s="5" t="inlineStr">
        <is>
          <t>ExpectedDamage(perHit)</t>
        </is>
      </c>
      <c r="O716" s="5" t="inlineStr">
        <is>
          <t>DPS</t>
        </is>
      </c>
      <c r="P716" s="5" t="inlineStr">
        <is>
          <t>% of Total</t>
        </is>
      </c>
      <c r="Q716" s="5" t="inlineStr">
        <is>
          <t>InvCooldown</t>
        </is>
      </c>
      <c r="R716" s="5" t="inlineStr">
        <is>
          <t>CastsInFight</t>
        </is>
      </c>
      <c r="S716" s="5" t="inlineStr">
        <is>
          <t>HitRate(perSec)</t>
        </is>
      </c>
      <c r="U716" t="inlineStr">
        <is>
          <t>helpers</t>
        </is>
      </c>
    </row>
    <row r="717">
      <c r="A717">
        <f>Skills!A2</f>
        <v/>
      </c>
      <c r="B717">
        <f>Skills!B2</f>
        <v/>
      </c>
      <c r="C717">
        <f>Inputs!$B$3&gt;=100</f>
        <v/>
      </c>
      <c r="D717" t="inlineStr"/>
      <c r="E717" t="inlineStr"/>
      <c r="F717">
        <f>U719+Skills!O2</f>
        <v/>
      </c>
      <c r="G717">
        <f>Skills!G2*IF(Skills!H2&gt;0,INT(IF(Inputs!$B$38="pvp",MIN(Skills!I2,15),Skills!I2)/Skills!H2+0.000000001),1)</f>
        <v/>
      </c>
      <c r="H717">
        <f>1-(1-Skills!J2/100)^Skills!K2</f>
        <v/>
      </c>
      <c r="I717" t="inlineStr">
        <is>
          <t>1</t>
        </is>
      </c>
      <c r="J717">
        <f>((Inputs!$B$6*(1+Inputs!$B$7/100))+(((Inputs!$B$12*(1+Inputs!$B$13/100))-(Inputs!$B$12*(1+Inputs!$B$13/100)))+0.25*(Inputs!$B$14-Inputs!$B$14))*(1+Inputs!$B$7/100))*(F717/100)</f>
        <v/>
      </c>
      <c r="K717">
        <f>J717*(1+((Inputs!$B$12*(1+Inputs!$B$13/100))*0.01+Inputs!$B$14*0.0025)/100)*(1+Inputs!$B$15/100)*(1+Inputs!$B$16/100)*(5000/(6000+Inputs!$B$42*(1-(100*(1-(1-(Inputs!$B$19+0)/100)*(1-CHOOSE(ArtifactsInput!$N$40+1,5,6,7,8,9,10)/100)^(ArtifactsInput!$M$40-ArtifactsInput!$M$40)))/100)))*(1+(Inputs!$B$24+((C741=TRUE)*(F741-Calc!F26))+B752)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IGHT_LEGS_EASTON",(Inputs!$B$17+1)+((C738=TRUE)*(F738-Calc!F23))+((C742=TRUE)*(F742-Calc!F27))+((IF(AND(Inputs!$B$38&lt;&gt;"pvp",Inputs!$B$43=0),1,IF(IF(Inputs!$B$38="pvp",15,Inputs!$B$43)-(B753)&lt;=0,1,MAX(0,IF(Inputs!$B$38="pvp",15,Inputs!$B$43)-MAX(5,B753))/(IF(Inputs!$B$38="pvp",15,Inputs!$B$43)-(B753))))*(IF(AND(ArtifactsInput!$M$42,((Inputs!$B$9+((C734=TRUE)*(F734-Calc!F19))+B746+(ArtifactsInput!$M$24-ArtifactsInput!$M$24)*CHOOSE(ArtifactsInput!$N$24+1,10,12,14,16,18,20)+IF(ArtifactsInput!$M$10,CHOOSE(ArtifactsInput!$N$10+1,15,18,21,24,27,30)*(IF(Inputs!$B$38="pvp",MIN(15,15)/15,IF(AND(Inputs!$B$38&lt;&gt;"pvp",Inputs!$B$43&gt;0),MIN(15,Inputs!$B$43)/(Inputs!$B$43),0))),0)))&gt;=100),MIN(100,((Inputs!$B$9+((C734=TRUE)*(F734-Calc!F19))+B746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753)&lt;=0,1,MAX(0,IF(Inputs!$B$38="pvp",15,Inputs!$B$43)-MAX(5,B753))/(IF(Inputs!$B$38="pvp",15,Inputs!$B$43)-(B753))))*IF(AND(ArtifactsInput!$M$42,((Inputs!$B$9+((C734=TRUE)*(F734-Calc!F19))+B746+(ArtifactsInput!$M$24-ArtifactsInput!$M$24)*CHOOSE(ArtifactsInput!$N$24+1,10,12,14,16,18,20)+IF(ArtifactsInput!$M$10,CHOOSE(ArtifactsInput!$N$10+1,15,18,21,24,27,30)*(IF(Inputs!$B$38="pvp",MIN(15,15)/15,IF(AND(Inputs!$B$38&lt;&gt;"pvp",Inputs!$B$43&gt;0),MIN(15,Inputs!$B$43)/(Inputs!$B$43),0))),0)))&gt;=100),CHOOSE(ArtifactsInput!$N$42+1,40,48,56,64,72,80),0))))/100)*((1+(((C732=TRUE)*F732*5/7)+((C739=TRUE)*(F739-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717)</f>
        <v/>
      </c>
      <c r="L717">
        <f>K717*(MIN(Inputs!$B$22+((C737=TRUE)*(F737-Calc!F22)),(Inputs!$B$23+0+(IF(ArtifactsInput!$M$15,CHOOSE(ArtifactsInput!$N$15+1,25,30,35,40,45,50)/100*(Inputs!$B$11-Inputs!$B$11),0))))/100+(Inputs!$B$23+0+(IF(ArtifactsInput!$M$15,CHOOSE(ArtifactsInput!$N$15+1,25,30,35,40,45,50)/100*(Inputs!$B$11-Inputs!$B$11),0)))/100)/2</f>
        <v/>
      </c>
      <c r="M717">
        <f>L717*(1+(Inputs!$B$10+((C740=TRUE)*(F740-Calc!F25))+B751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17">
        <f>L717*(1-MIN((Inputs!$B$9+((C734=TRUE)*(F734-Calc!F19))+B746+(ArtifactsInput!$M$24-ArtifactsInput!$M$24)*CHOOSE(ArtifactsInput!$N$24+1,10,12,14,16,18,20)+(IF(AND(Inputs!$B$38&lt;&gt;"pvp",Inputs!$B$43=0),1,IF(IF(Inputs!$B$38="pvp",15,Inputs!$B$43)-(B753)&lt;=0,1,MAX(0,IF(Inputs!$B$38="pvp",15,Inputs!$B$43)-MAX(5,B753))/(IF(Inputs!$B$38="pvp",15,Inputs!$B$43)-(B753))))*IF(AND(ArtifactsInput!$M$42,((Inputs!$B$9+((C734=TRUE)*(F734-Calc!F19))+B746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717*(MIN((Inputs!$B$9+((C734=TRUE)*(F734-Calc!F19))+B746+(ArtifactsInput!$M$24-ArtifactsInput!$M$24)*CHOOSE(ArtifactsInput!$N$24+1,10,12,14,16,18,20)+(IF(AND(Inputs!$B$38&lt;&gt;"pvp",Inputs!$B$43=0),1,IF(IF(Inputs!$B$38="pvp",15,Inputs!$B$43)-(B753)&lt;=0,1,MAX(0,IF(Inputs!$B$38="pvp",15,Inputs!$B$43)-MAX(5,B753))/(IF(Inputs!$B$38="pvp",15,Inputs!$B$43)-(B753))))*IF(AND(ArtifactsInput!$M$42,((Inputs!$B$9+((C734=TRUE)*(F734-Calc!F19))+B746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17">
        <f>(1-Summary!$B$11)*T717+Summary!$B$11*V717</f>
        <v/>
      </c>
      <c r="P717">
        <f>IF(B756=0,0,O717/B756)</f>
        <v/>
      </c>
      <c r="Q717" t="n">
        <v>0</v>
      </c>
      <c r="R717" t="n">
        <v>0</v>
      </c>
      <c r="S717">
        <f>IFERROR(O717/N717,0)</f>
        <v/>
      </c>
      <c r="T717">
        <f>IF(C717,(Skills!G2*N717*B750*(1+IF(C742=TRUE,1/3,0)))*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Hunt"),CHOOSE(ArtifactsInput!$N$35+1,15,18,21,24,27,30)*(1-EXP(-(0.2*B748)*5)),0)+IF(AND(ArtifactsInput!$M$22,Inputs!$B$4&lt;&gt;"Chapter Hunt"),CHOOSE(ArtifactsInput!$N$22+1,10,12,14,16,18,20)*((0*(((0.15*B748*5))^0/1)+1*(((0.15*B748*5))^1/1)+2*(((0.15*B748*5))^2/2)+3*(((0.15*B748*5))^3/6)+4*(((0.15*B748*5))^4/24)+5*(((0.15*B748*5))^5/120))/((((0.15*B748*5))^0/1)+(((0.15*B748*5))^1/1)+(((0.15*B748*5))^2/2)+(((0.15*B748*5))^3/6)+(((0.15*B748*5))^4/24)+(((0.15*B748*5))^5/120))),0))+IF(Inputs!$B$3&gt;=54,9*(C718=TRUE)*MIN(1,8*(1+Inputs!$B$34/100)*Q718)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717*(1-MIN(100,(Inputs!$B$9+((C734=TRUE)*(F734-Calc!F19))+B746+(ArtifactsInput!$M$24-ArtifactsInput!$M$24)*CHOOSE(ArtifactsInput!$N$24+1,10,12,14,16,18,20)+(IF(AND(Inputs!$B$38&lt;&gt;"pvp",Inputs!$B$43=0),1,IF(IF(Inputs!$B$38="pvp",15,Inputs!$B$43)-(B753)&lt;=0,1,MAX(0,IF(Inputs!$B$38="pvp",15,Inputs!$B$43)-MAX(5,B753))/(IF(Inputs!$B$38="pvp",15,Inputs!$B$43)-(B753))))*IF(AND(ArtifactsInput!$M$42,((Inputs!$B$9+((C734=TRUE)*(F734-Calc!F19))+B746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717*(MIN(100,(Inputs!$B$9+((C734=TRUE)*(F734-Calc!F19))+B746+(ArtifactsInput!$M$24-ArtifactsInput!$M$24)*CHOOSE(ArtifactsInput!$N$24+1,10,12,14,16,18,20)+(IF(AND(Inputs!$B$38&lt;&gt;"pvp",Inputs!$B$43=0),1,IF(IF(Inputs!$B$38="pvp",15,Inputs!$B$43)-(B753)&lt;=0,1,MAX(0,IF(Inputs!$B$38="pvp",15,Inputs!$B$43)-MAX(5,B753))/(IF(Inputs!$B$38="pvp",15,Inputs!$B$43)-(B753))))*IF(AND(ArtifactsInput!$M$42,((Inputs!$B$9+((C734=TRUE)*(F734-Calc!F19))+B746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717*(1-MIN(100,(Inputs!$B$9+((C734=TRUE)*(F734-Calc!F19))+B746+(ArtifactsInput!$M$24-ArtifactsInput!$M$24)*CHOOSE(ArtifactsInput!$N$24+1,10,12,14,16,18,20)+(IF(AND(Inputs!$B$38&lt;&gt;"pvp",Inputs!$B$43=0),1,IF(IF(Inputs!$B$38="pvp",15,Inputs!$B$43)-(B753)&lt;=0,1,MAX(0,IF(Inputs!$B$38="pvp",15,Inputs!$B$43)-MAX(5,B753))/(IF(Inputs!$B$38="pvp",15,Inputs!$B$43)-(B753))))*IF(AND(ArtifactsInput!$M$42,((Inputs!$B$9+((C734=TRUE)*(F734-Calc!F19))+B746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717*(MIN(100,(Inputs!$B$9+((C734=TRUE)*(F734-Calc!F19))+B746+(ArtifactsInput!$M$24-ArtifactsInput!$M$24)*CHOOSE(ArtifactsInput!$N$24+1,10,12,14,16,18,20)+(IF(AND(Inputs!$B$38&lt;&gt;"pvp",Inputs!$B$43=0),1,IF(IF(Inputs!$B$38="pvp",15,Inputs!$B$43)-(B753)&lt;=0,1,MAX(0,IF(Inputs!$B$38="pvp",15,Inputs!$B$43)-MAX(5,B753))/(IF(Inputs!$B$38="pvp",15,Inputs!$B$43)-(B753))))*IF(AND(ArtifactsInput!$M$42,((Inputs!$B$9+((C734=TRUE)*(F734-Calc!F19))+B746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717">
        <f>MAX(0,(Inputs!$B$3-100)*3)+Inputs!$B$28+Inputs!$B$29</f>
        <v/>
      </c>
      <c r="V717">
        <f>IF(C717,(Skills!G2*N717*B750*(1+IF(C742=TRUE,1/3,0)))*IF(Inputs!$B$38="pvp",1,(1+(Inputs!$B$21+Skills!Q2+(IF(ArtifactsInput!$M$33,CHOOSE(ArtifactsInput!$N$33+1,30,36,42,48,54,60),0))+(IF(AND(ArtifactsInput!$M$35,Inputs!$B$4&lt;&gt;"Chapter Hunt"),CHOOSE(ArtifactsInput!$N$35+1,15,18,21,24,27,30)*(1-EXP(-(0.2*B748)*5)),0)+IF(AND(ArtifactsInput!$M$22,Inputs!$B$4&lt;&gt;"Chapter Hunt"),CHOOSE(ArtifactsInput!$N$22+1,10,12,14,16,18,20)*((0*(((0.15*B748*5))^0/1)+1*(((0.15*B748*5))^1/1)+2*(((0.15*B748*5))^2/2)+3*(((0.15*B748*5))^3/6)+4*(((0.15*B748*5))^4/24)+5*(((0.15*B748*5))^5/120))/((((0.15*B748*5))^0/1)+(((0.15*B748*5))^1/1)+(((0.15*B748*5))^2/2)+(((0.15*B748*5))^3/6)+(((0.15*B748*5))^4/24)+(((0.15*B748*5))^5/120))),0))+IF(Inputs!$B$3&gt;=54,9*(C718=TRUE)*MIN(1,8*(1+Inputs!$B$34/100)*Q718),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18">
      <c r="A718">
        <f>Skills!A3</f>
        <v/>
      </c>
      <c r="B718">
        <f>Skills!B3</f>
        <v/>
      </c>
      <c r="C718">
        <f>Inputs!$B$3&gt;=33</f>
        <v/>
      </c>
      <c r="D718">
        <f>IF(Skills!C3=1,60+Inputs!$B$25+Inputs!$B$29,IF(Skills!C3=2,90+Inputs!$B$26+Inputs!$B$29,IF(Skills!C3=3,120+Inputs!$B$27+Inputs!$B$29,MAX(0,(Inputs!$B$3-100)*3)+Inputs!$B$28+Inputs!$B$29)))</f>
        <v/>
      </c>
      <c r="E718">
        <f>INDEX(FactorTable!$B$2:$Y$301, MATCH(ROUND(MIN(300,MAX(1,D718)),0), FactorTable!$A$2:$A$301,0), Skills!M3+1)</f>
        <v/>
      </c>
      <c r="F718">
        <f>IF(Skills!N3=TRUE,(Skills!L3/10)*(E718/1000),Skills!L3/10)+Skills!O3</f>
        <v/>
      </c>
      <c r="G718">
        <f>Skills!G3*IF(Skills!H3&gt;0,INT(IF(Inputs!$B$38="pvp",MIN(Skills!I3,15),Skills!I3)/Skills!H3+0.000000001),1)</f>
        <v/>
      </c>
      <c r="H718">
        <f>1-(1-Skills!J3/100)^Skills!K3</f>
        <v/>
      </c>
      <c r="I718" t="inlineStr">
        <is>
          <t>1</t>
        </is>
      </c>
      <c r="J718">
        <f>((Inputs!$B$6*(1+Inputs!$B$7/100))+(((Inputs!$B$12*(1+Inputs!$B$13/100))-(Inputs!$B$12*(1+Inputs!$B$13/100)))+0.25*(Inputs!$B$14-Inputs!$B$14))*(1+Inputs!$B$7/100))*(F718/100)</f>
        <v/>
      </c>
      <c r="K718">
        <f>J718*(1+((Inputs!$B$12*(1+Inputs!$B$13/100))*0.01+Inputs!$B$14*0.0025)/100)*(1+Inputs!$B$15/100)*(1+Inputs!$B$16/100)*(5000/(6000+Inputs!$B$42*(1-(100*(1-(1-(Inputs!$B$19+0)/100)*(1-CHOOSE(ArtifactsInput!$N$40+1,5,6,7,8,9,10)/100)^(ArtifactsInput!$M$40-ArtifactsInput!$M$40)))/100)))*(1+(Inputs!$B$24+((C741=TRUE)*(F741-Calc!F26))+B752)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730=TRUE,F730,0)/100)*(1+(IF(Skills!A3="EIGHT_LEGS_EASTON",(Inputs!$B$17+1)+((C738=TRUE)*(F738-Calc!F23))+((C742=TRUE)*(F742-Calc!F27))+((IF(AND(Inputs!$B$38&lt;&gt;"pvp",Inputs!$B$43=0),1,IF(IF(Inputs!$B$38="pvp",15,Inputs!$B$43)-(B753)&lt;=0,1,MAX(0,IF(Inputs!$B$38="pvp",15,Inputs!$B$43)-MAX(5,B753))/(IF(Inputs!$B$38="pvp",15,Inputs!$B$43)-(B753))))*(IF(AND(ArtifactsInput!$M$42,((Inputs!$B$9+((C734=TRUE)*(F734-Calc!F19))+B746+(ArtifactsInput!$M$24-ArtifactsInput!$M$24)*CHOOSE(ArtifactsInput!$N$24+1,10,12,14,16,18,20)+IF(ArtifactsInput!$M$10,CHOOSE(ArtifactsInput!$N$10+1,15,18,21,24,27,30)*(IF(Inputs!$B$38="pvp",MIN(15,15)/15,IF(AND(Inputs!$B$38&lt;&gt;"pvp",Inputs!$B$43&gt;0),MIN(15,Inputs!$B$43)/(Inputs!$B$43),0))),0)))&gt;=100),MIN(100,((Inputs!$B$9+((C734=TRUE)*(F734-Calc!F19))+B746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753)&lt;=0,1,MAX(0,IF(Inputs!$B$38="pvp",15,Inputs!$B$43)-MAX(5,B753))/(IF(Inputs!$B$38="pvp",15,Inputs!$B$43)-(B753))))*IF(AND(ArtifactsInput!$M$42,((Inputs!$B$9+((C734=TRUE)*(F734-Calc!F19))+B746+(ArtifactsInput!$M$24-ArtifactsInput!$M$24)*CHOOSE(ArtifactsInput!$N$24+1,10,12,14,16,18,20)+IF(ArtifactsInput!$M$10,CHOOSE(ArtifactsInput!$N$10+1,15,18,21,24,27,30)*(IF(Inputs!$B$38="pvp",MIN(15,15)/15,IF(AND(Inputs!$B$38&lt;&gt;"pvp",Inputs!$B$43&gt;0),MIN(15,Inputs!$B$43)/(Inputs!$B$43),0))),0)))&gt;=100),CHOOSE(ArtifactsInput!$N$42+1,40,48,56,64,72,80),0))))/100)*((1+(((C732=TRUE)*F732*5/7)+((C739=TRUE)*(F739-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718)</f>
        <v/>
      </c>
      <c r="L718">
        <f>K718*(MIN(Inputs!$B$22+((C737=TRUE)*(F737-Calc!F22)),(Inputs!$B$23+0+(IF(ArtifactsInput!$M$15,CHOOSE(ArtifactsInput!$N$15+1,25,30,35,40,45,50)/100*(Inputs!$B$11-Inputs!$B$11),0))))/100+(Inputs!$B$23+0+(IF(ArtifactsInput!$M$15,CHOOSE(ArtifactsInput!$N$15+1,25,30,35,40,45,50)/100*(Inputs!$B$11-Inputs!$B$11),0)))/100)/2</f>
        <v/>
      </c>
      <c r="M718">
        <f>L718*(1+(Inputs!$B$10+((C740=TRUE)*(F740-Calc!F25))+B751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18">
        <f>L718*(1-MIN((Inputs!$B$9+((C734=TRUE)*(F734-Calc!F19))+B746+(ArtifactsInput!$M$24-ArtifactsInput!$M$24)*CHOOSE(ArtifactsInput!$N$24+1,10,12,14,16,18,20)+(IF(AND(Inputs!$B$38&lt;&gt;"pvp",Inputs!$B$43=0),1,IF(IF(Inputs!$B$38="pvp",15,Inputs!$B$43)-(B753)&lt;=0,1,MAX(0,IF(Inputs!$B$38="pvp",15,Inputs!$B$43)-MAX(5,B753))/(IF(Inputs!$B$38="pvp",15,Inputs!$B$43)-(B753))))*IF(AND(ArtifactsInput!$M$42,((Inputs!$B$9+((C734=TRUE)*(F734-Calc!F19))+B746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718*(MIN((Inputs!$B$9+((C734=TRUE)*(F734-Calc!F19))+B746+(ArtifactsInput!$M$24-ArtifactsInput!$M$24)*CHOOSE(ArtifactsInput!$N$24+1,10,12,14,16,18,20)+(IF(AND(Inputs!$B$38&lt;&gt;"pvp",Inputs!$B$43=0),1,IF(IF(Inputs!$B$38="pvp",15,Inputs!$B$43)-(B753)&lt;=0,1,MAX(0,IF(Inputs!$B$38="pvp",15,Inputs!$B$43)-MAX(5,B753))/(IF(Inputs!$B$38="pvp",15,Inputs!$B$43)-(B753))))*IF(AND(ArtifactsInput!$M$42,((Inputs!$B$9+((C734=TRUE)*(F734-Calc!F19))+B746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18">
        <f>(1-Summary!$B$11)*T718+Summary!$B$11*V718</f>
        <v/>
      </c>
      <c r="P718">
        <f>IF(B756=0,0,O718/B756)</f>
        <v/>
      </c>
      <c r="Q718">
        <f>IFERROR(1/(IF(Inputs!$B$38="pvp",15,MAX(0.1,Skills!D3-IF(TRUE=TRUE,Inputs!$B$32,0)))*(1-IF(AND(ArtifactsInput!$M$27,Inputs!$B$4="Chapter Hunt"),CHOOSE(ArtifactsInput!$N$27+1,20,24,28,32,36,40),0)/100)),0)</f>
        <v/>
      </c>
      <c r="R718">
        <f>IF(AND(Inputs!$B$38&lt;&gt;"pvp",Inputs!$B$43&gt;0),IF(MAX(0,Inputs!$B$43-B753)&lt;=0,0,(INT(MAX(0,Inputs!$B$43-B753)/(IF(Inputs!$B$38="pvp",15,MAX(0.1,Skills!D3-IF(TRUE=TRUE,Inputs!$B$32,0)))*(1-IF(AND(ArtifactsInput!$M$27,Inputs!$B$4="Chapter Hunt"),CHOOSE(ArtifactsInput!$N$27+1,20,24,28,32,36,40),0)/100)))+1)),0)</f>
        <v/>
      </c>
      <c r="S718">
        <f>IFERROR(O718/N718,0)</f>
        <v/>
      </c>
      <c r="T718">
        <f>IF(C718,(H718*N718*IF(AND(Inputs!$B$38&lt;&gt;"pvp",Inputs!$B$43&gt;0),((Skills!G3*((R718-1)*IF(Skills!H3&gt;0,INT(Skills!I3/Skills!H3+0.000000001),1)+IF(Skills!H3&gt;0,INT(MIN(Skills!I3,MAX(0,MAX(0,Inputs!$B$43-B753)-((R718-1)*(IF(Inputs!$B$38="pvp",15,MAX(0.1,Skills!D3-IF(TRUE=TRUE,Inputs!$B$32,0)))*(1-IF(AND(ArtifactsInput!$M$27,Inputs!$B$4="Chapter Hunt"),CHOOSE(ArtifactsInput!$N$27+1,20,24,28,32,36,40),0)/100)))))/Skills!H3+0.000000001),1)))/Inputs!$B$43),G718*Q718))*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Hunt"),CHOOSE(ArtifactsInput!$N$35+1,15,18,21,24,27,30)*(1-EXP(-(0.2*B748)*5)),0)+IF(AND(ArtifactsInput!$M$22,Inputs!$B$4&lt;&gt;"Chapter Hunt"),CHOOSE(ArtifactsInput!$N$22+1,10,12,14,16,18,20)*((0*(((0.15*B748*5))^0/1)+1*(((0.15*B748*5))^1/1)+2*(((0.15*B748*5))^2/2)+3*(((0.15*B748*5))^3/6)+4*(((0.15*B748*5))^4/24)+5*(((0.15*B748*5))^5/120))/((((0.15*B748*5))^0/1)+(((0.15*B748*5))^1/1)+(((0.15*B748*5))^2/2)+(((0.15*B748*5))^3/6)+(((0.15*B748*5))^4/24)+(((0.15*B748*5))^5/120))),0))+IF(Inputs!$B$3&gt;=54,9*(C718=TRUE)*MIN(1,8*(1+Inputs!$B$34/100)*Q718)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718*(1-MIN(100,(Inputs!$B$9+((C734=TRUE)*(F734-Calc!F19))+B746+(ArtifactsInput!$M$24-ArtifactsInput!$M$24)*CHOOSE(ArtifactsInput!$N$24+1,10,12,14,16,18,20)+(IF(AND(Inputs!$B$38&lt;&gt;"pvp",Inputs!$B$43=0),1,IF(IF(Inputs!$B$38="pvp",15,Inputs!$B$43)-(B753)&lt;=0,1,MAX(0,IF(Inputs!$B$38="pvp",15,Inputs!$B$43)-MAX(5,B753))/(IF(Inputs!$B$38="pvp",15,Inputs!$B$43)-(B753))))*IF(AND(ArtifactsInput!$M$42,((Inputs!$B$9+((C734=TRUE)*(F734-Calc!F19))+B746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718*(MIN(100,(Inputs!$B$9+((C734=TRUE)*(F734-Calc!F19))+B746+(ArtifactsInput!$M$24-ArtifactsInput!$M$24)*CHOOSE(ArtifactsInput!$N$24+1,10,12,14,16,18,20)+(IF(AND(Inputs!$B$38&lt;&gt;"pvp",Inputs!$B$43=0),1,IF(IF(Inputs!$B$38="pvp",15,Inputs!$B$43)-(B753)&lt;=0,1,MAX(0,IF(Inputs!$B$38="pvp",15,Inputs!$B$43)-MAX(5,B753))/(IF(Inputs!$B$38="pvp",15,Inputs!$B$43)-(B753))))*IF(AND(ArtifactsInput!$M$42,((Inputs!$B$9+((C734=TRUE)*(F734-Calc!F19))+B746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718*(1-MIN(100,(Inputs!$B$9+((C734=TRUE)*(F734-Calc!F19))+B746+(ArtifactsInput!$M$24-ArtifactsInput!$M$24)*CHOOSE(ArtifactsInput!$N$24+1,10,12,14,16,18,20)+(IF(AND(Inputs!$B$38&lt;&gt;"pvp",Inputs!$B$43=0),1,IF(IF(Inputs!$B$38="pvp",15,Inputs!$B$43)-(B753)&lt;=0,1,MAX(0,IF(Inputs!$B$38="pvp",15,Inputs!$B$43)-MAX(5,B753))/(IF(Inputs!$B$38="pvp",15,Inputs!$B$43)-(B753))))*IF(AND(ArtifactsInput!$M$42,((Inputs!$B$9+((C734=TRUE)*(F734-Calc!F19))+B746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718*(MIN(100,(Inputs!$B$9+((C734=TRUE)*(F734-Calc!F19))+B746+(ArtifactsInput!$M$24-ArtifactsInput!$M$24)*CHOOSE(ArtifactsInput!$N$24+1,10,12,14,16,18,20)+(IF(AND(Inputs!$B$38&lt;&gt;"pvp",Inputs!$B$43=0),1,IF(IF(Inputs!$B$38="pvp",15,Inputs!$B$43)-(B753)&lt;=0,1,MAX(0,IF(Inputs!$B$38="pvp",15,Inputs!$B$43)-MAX(5,B753))/(IF(Inputs!$B$38="pvp",15,Inputs!$B$43)-(B753))))*IF(AND(ArtifactsInput!$M$42,((Inputs!$B$9+((C734=TRUE)*(F734-Calc!F19))+B746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718">
        <f>INDEX(FactorTable!$B$2:$Y$301, MATCH(ROUND(MIN(300,MAX(1,U717)),0), FactorTable!$A$2:$A$301,0), 22)</f>
        <v/>
      </c>
      <c r="V718">
        <f>IF(C718,(H718*N718*IF(AND(Inputs!$B$38&lt;&gt;"pvp",Inputs!$B$43&gt;0),((Skills!G3*((R718-1)*IF(Skills!H3&gt;0,INT(Skills!I3/Skills!H3+0.000000001),1)+IF(Skills!H3&gt;0,INT(MIN(Skills!I3,MAX(0,MAX(0,Inputs!$B$43-B753)-((R718-1)*(IF(Inputs!$B$38="pvp",15,MAX(0.1,Skills!D3-IF(TRUE=TRUE,Inputs!$B$32,0)))*(1-IF(AND(ArtifactsInput!$M$27,Inputs!$B$4="Chapter Hunt"),CHOOSE(ArtifactsInput!$N$27+1,20,24,28,32,36,40),0)/100)))))/Skills!H3+0.000000001),1)))/Inputs!$B$43),G718*Q718))*IF(Inputs!$B$38="pvp",1,(1+(Inputs!$B$21+Skills!Q3+(IF(ArtifactsInput!$M$33,CHOOSE(ArtifactsInput!$N$33+1,30,36,42,48,54,60),0))+(IF(AND(ArtifactsInput!$M$35,Inputs!$B$4&lt;&gt;"Chapter Hunt"),CHOOSE(ArtifactsInput!$N$35+1,15,18,21,24,27,30)*(1-EXP(-(0.2*B748)*5)),0)+IF(AND(ArtifactsInput!$M$22,Inputs!$B$4&lt;&gt;"Chapter Hunt"),CHOOSE(ArtifactsInput!$N$22+1,10,12,14,16,18,20)*((0*(((0.15*B748*5))^0/1)+1*(((0.15*B748*5))^1/1)+2*(((0.15*B748*5))^2/2)+3*(((0.15*B748*5))^3/6)+4*(((0.15*B748*5))^4/24)+5*(((0.15*B748*5))^5/120))/((((0.15*B748*5))^0/1)+(((0.15*B748*5))^1/1)+(((0.15*B748*5))^2/2)+(((0.15*B748*5))^3/6)+(((0.15*B748*5))^4/24)+(((0.15*B748*5))^5/120))),0))+IF(Inputs!$B$3&gt;=54,9*(C718=TRUE)*MIN(1,8*(1+Inputs!$B$34/100)*Q718),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19">
      <c r="A719">
        <f>Skills!A4</f>
        <v/>
      </c>
      <c r="B719">
        <f>Skills!B4</f>
        <v/>
      </c>
      <c r="C719">
        <f>Inputs!$B$3&gt;=35</f>
        <v/>
      </c>
      <c r="D719">
        <f>IF(Skills!C4=1,60+Inputs!$B$25+Inputs!$B$29,IF(Skills!C4=2,90+Inputs!$B$26+Inputs!$B$29,IF(Skills!C4=3,120+Inputs!$B$27+Inputs!$B$29,MAX(0,(Inputs!$B$3-100)*3)+Inputs!$B$28+Inputs!$B$29)))</f>
        <v/>
      </c>
      <c r="E719">
        <f>INDEX(FactorTable!$B$2:$Y$301, MATCH(ROUND(MIN(300,MAX(1,D719)),0), FactorTable!$A$2:$A$301,0), Skills!M4+1)</f>
        <v/>
      </c>
      <c r="F719">
        <f>IF(Skills!N4=TRUE,(Skills!L4/10)*(E719/1000),Skills!L4/10)+Skills!O4</f>
        <v/>
      </c>
      <c r="G719">
        <f>Skills!G4*IF(Skills!H4&gt;0,INT(IF(Inputs!$B$38="pvp",MIN(IF(Inputs!$B$3&gt;=104,MIN(35,20*(1+Inputs!$B$34/100)),20),15),IF(Inputs!$B$3&gt;=104,MIN(35,20*(1+Inputs!$B$34/100)),20))/Skills!H4+0.000000001),1)</f>
        <v/>
      </c>
      <c r="H719">
        <f>1-(1-Skills!J4/100)^Skills!K4</f>
        <v/>
      </c>
      <c r="I719" t="inlineStr">
        <is>
          <t>1</t>
        </is>
      </c>
      <c r="J719">
        <f>((Inputs!$B$6*(1+Inputs!$B$7/100))+(((Inputs!$B$12*(1+Inputs!$B$13/100))-(Inputs!$B$12*(1+Inputs!$B$13/100)))+0.25*(Inputs!$B$14-Inputs!$B$14))*(1+Inputs!$B$7/100))*(F719/100)</f>
        <v/>
      </c>
      <c r="K719">
        <f>J719*(1+((Inputs!$B$12*(1+Inputs!$B$13/100))*0.01+Inputs!$B$14*0.0025)/100)*(1+Inputs!$B$15/100)*(1+Inputs!$B$16/100)*(5000/(6000+Inputs!$B$42*(1-(100*(1-(1-(Inputs!$B$19+0)/100)*(1-CHOOSE(ArtifactsInput!$N$40+1,5,6,7,8,9,10)/100)^(ArtifactsInput!$M$40-ArtifactsInput!$M$40)))/100)))*(1+(Inputs!$B$24+((C741=TRUE)*(F741-Calc!F26))+B752)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731=TRUE,F731,0)/100)*(1+(IF(Skills!A4="EIGHT_LEGS_EASTON",(Inputs!$B$17+1)+((C738=TRUE)*(F738-Calc!F23))+((C742=TRUE)*(F742-Calc!F27))+((IF(AND(Inputs!$B$38&lt;&gt;"pvp",Inputs!$B$43=0),1,IF(IF(Inputs!$B$38="pvp",15,Inputs!$B$43)-(B753)&lt;=0,1,MAX(0,IF(Inputs!$B$38="pvp",15,Inputs!$B$43)-MAX(5,B753))/(IF(Inputs!$B$38="pvp",15,Inputs!$B$43)-(B753))))*(IF(AND(ArtifactsInput!$M$42,((Inputs!$B$9+((C734=TRUE)*(F734-Calc!F19))+B746+(ArtifactsInput!$M$24-ArtifactsInput!$M$24)*CHOOSE(ArtifactsInput!$N$24+1,10,12,14,16,18,20)+IF(ArtifactsInput!$M$10,CHOOSE(ArtifactsInput!$N$10+1,15,18,21,24,27,30)*(IF(Inputs!$B$38="pvp",MIN(15,15)/15,IF(AND(Inputs!$B$38&lt;&gt;"pvp",Inputs!$B$43&gt;0),MIN(15,Inputs!$B$43)/(Inputs!$B$43),0))),0)))&gt;=100),MIN(100,((Inputs!$B$9+((C734=TRUE)*(F734-Calc!F19))+B746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753)&lt;=0,1,MAX(0,IF(Inputs!$B$38="pvp",15,Inputs!$B$43)-MAX(5,B753))/(IF(Inputs!$B$38="pvp",15,Inputs!$B$43)-(B753))))*IF(AND(ArtifactsInput!$M$42,((Inputs!$B$9+((C734=TRUE)*(F734-Calc!F19))+B746+(ArtifactsInput!$M$24-ArtifactsInput!$M$24)*CHOOSE(ArtifactsInput!$N$24+1,10,12,14,16,18,20)+IF(ArtifactsInput!$M$10,CHOOSE(ArtifactsInput!$N$10+1,15,18,21,24,27,30)*(IF(Inputs!$B$38="pvp",MIN(15,15)/15,IF(AND(Inputs!$B$38&lt;&gt;"pvp",Inputs!$B$43&gt;0),MIN(15,Inputs!$B$43)/(Inputs!$B$43),0))),0)))&gt;=100),CHOOSE(ArtifactsInput!$N$42+1,40,48,56,64,72,80),0))))/100)*((1+(((C732=TRUE)*F732*5/7)+((C739=TRUE)*(F739-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719)</f>
        <v/>
      </c>
      <c r="L719">
        <f>K719*(MIN(Inputs!$B$22+((C737=TRUE)*(F737-Calc!F22)),(Inputs!$B$23+0+(IF(ArtifactsInput!$M$15,CHOOSE(ArtifactsInput!$N$15+1,25,30,35,40,45,50)/100*(Inputs!$B$11-Inputs!$B$11),0))))/100+(Inputs!$B$23+0+(IF(ArtifactsInput!$M$15,CHOOSE(ArtifactsInput!$N$15+1,25,30,35,40,45,50)/100*(Inputs!$B$11-Inputs!$B$11),0)))/100)/2</f>
        <v/>
      </c>
      <c r="M719">
        <f>L719*(1+(Inputs!$B$10+((C740=TRUE)*(F740-Calc!F25))+B751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19">
        <f>L719*(1-MIN((Inputs!$B$9+((C734=TRUE)*(F734-Calc!F19))+B746+(ArtifactsInput!$M$24-ArtifactsInput!$M$24)*CHOOSE(ArtifactsInput!$N$24+1,10,12,14,16,18,20)+(IF(AND(Inputs!$B$38&lt;&gt;"pvp",Inputs!$B$43=0),1,IF(IF(Inputs!$B$38="pvp",15,Inputs!$B$43)-(B753)&lt;=0,1,MAX(0,IF(Inputs!$B$38="pvp",15,Inputs!$B$43)-MAX(5,B753))/(IF(Inputs!$B$38="pvp",15,Inputs!$B$43)-(B753))))*IF(AND(ArtifactsInput!$M$42,((Inputs!$B$9+((C734=TRUE)*(F734-Calc!F19))+B746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719*(MIN((Inputs!$B$9+((C734=TRUE)*(F734-Calc!F19))+B746+(ArtifactsInput!$M$24-ArtifactsInput!$M$24)*CHOOSE(ArtifactsInput!$N$24+1,10,12,14,16,18,20)+(IF(AND(Inputs!$B$38&lt;&gt;"pvp",Inputs!$B$43=0),1,IF(IF(Inputs!$B$38="pvp",15,Inputs!$B$43)-(B753)&lt;=0,1,MAX(0,IF(Inputs!$B$38="pvp",15,Inputs!$B$43)-MAX(5,B753))/(IF(Inputs!$B$38="pvp",15,Inputs!$B$43)-(B753))))*IF(AND(ArtifactsInput!$M$42,((Inputs!$B$9+((C734=TRUE)*(F734-Calc!F19))+B746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19">
        <f>(1-Summary!$B$11)*T719+Summary!$B$11*V719</f>
        <v/>
      </c>
      <c r="P719">
        <f>IF(B756=0,0,O719/B756)</f>
        <v/>
      </c>
      <c r="Q719">
        <f>IFERROR(1/(IF(Inputs!$B$38="pvp",15,MAX(0.1,Skills!D4-IF(TRUE=TRUE,Inputs!$B$32,0)))*(1-IF(AND(ArtifactsInput!$M$27,Inputs!$B$4="Chapter Hunt"),CHOOSE(ArtifactsInput!$N$27+1,20,24,28,32,36,40),0)/100)),0)</f>
        <v/>
      </c>
      <c r="R719">
        <f>IF(AND(Inputs!$B$38&lt;&gt;"pvp",Inputs!$B$43&gt;0),IF(MAX(0,Inputs!$B$43-B753)&lt;=0,0,(INT(MAX(0,Inputs!$B$43-B753)/(IF(Inputs!$B$38="pvp",15,MAX(0.1,Skills!D4-IF(TRUE=TRUE,Inputs!$B$32,0)))*(1-IF(AND(ArtifactsInput!$M$27,Inputs!$B$4="Chapter Hunt"),CHOOSE(ArtifactsInput!$N$27+1,20,24,28,32,36,40),0)/100)))+1)),0)</f>
        <v/>
      </c>
      <c r="S719">
        <f>IFERROR(O719/N719,0)</f>
        <v/>
      </c>
      <c r="T719">
        <f>IF(C719,(H719*N719*IF(AND(Inputs!$B$38&lt;&gt;"pvp",Inputs!$B$43&gt;0),((Skills!G4*((R719-1)*IF(Skills!H4&gt;0,INT(IF(Inputs!$B$3&gt;=104,MIN(35,20*(1+Inputs!$B$34/100)),20)/Skills!H4+0.000000001),1)+IF(Skills!H4&gt;0,INT(MIN(IF(Inputs!$B$3&gt;=104,MIN(35,20*(1+Inputs!$B$34/100)),20),MAX(0,MAX(0,Inputs!$B$43-B753)-((R719-1)*(IF(Inputs!$B$38="pvp",15,MAX(0.1,Skills!D4-IF(TRUE=TRUE,Inputs!$B$32,0)))*(1-IF(AND(ArtifactsInput!$M$27,Inputs!$B$4="Chapter Hunt"),CHOOSE(ArtifactsInput!$N$27+1,20,24,28,32,36,40),0)/100)))))/Skills!H4+0.000000001),1)))/Inputs!$B$43),G719*Q719))*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Hunt"),CHOOSE(ArtifactsInput!$N$35+1,15,18,21,24,27,30)*(1-EXP(-(0.2*B748)*5)),0)+IF(AND(ArtifactsInput!$M$22,Inputs!$B$4&lt;&gt;"Chapter Hunt"),CHOOSE(ArtifactsInput!$N$22+1,10,12,14,16,18,20)*((0*(((0.15*B748*5))^0/1)+1*(((0.15*B748*5))^1/1)+2*(((0.15*B748*5))^2/2)+3*(((0.15*B748*5))^3/6)+4*(((0.15*B748*5))^4/24)+5*(((0.15*B748*5))^5/120))/((((0.15*B748*5))^0/1)+(((0.15*B748*5))^1/1)+(((0.15*B748*5))^2/2)+(((0.15*B748*5))^3/6)+(((0.15*B748*5))^4/24)+(((0.15*B748*5))^5/120))),0))+IF(Inputs!$B$3&gt;=54,9*(C718=TRUE)*MIN(1,8*(1+Inputs!$B$34/100)*Q718)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719*(1-MIN(100,(Inputs!$B$9+((C734=TRUE)*(F734-Calc!F19))+B746+(ArtifactsInput!$M$24-ArtifactsInput!$M$24)*CHOOSE(ArtifactsInput!$N$24+1,10,12,14,16,18,20)+(IF(AND(Inputs!$B$38&lt;&gt;"pvp",Inputs!$B$43=0),1,IF(IF(Inputs!$B$38="pvp",15,Inputs!$B$43)-(B753)&lt;=0,1,MAX(0,IF(Inputs!$B$38="pvp",15,Inputs!$B$43)-MAX(5,B753))/(IF(Inputs!$B$38="pvp",15,Inputs!$B$43)-(B753))))*IF(AND(ArtifactsInput!$M$42,((Inputs!$B$9+((C734=TRUE)*(F734-Calc!F19))+B746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719*(MIN(100,(Inputs!$B$9+((C734=TRUE)*(F734-Calc!F19))+B746+(ArtifactsInput!$M$24-ArtifactsInput!$M$24)*CHOOSE(ArtifactsInput!$N$24+1,10,12,14,16,18,20)+(IF(AND(Inputs!$B$38&lt;&gt;"pvp",Inputs!$B$43=0),1,IF(IF(Inputs!$B$38="pvp",15,Inputs!$B$43)-(B753)&lt;=0,1,MAX(0,IF(Inputs!$B$38="pvp",15,Inputs!$B$43)-MAX(5,B753))/(IF(Inputs!$B$38="pvp",15,Inputs!$B$43)-(B753))))*IF(AND(ArtifactsInput!$M$42,((Inputs!$B$9+((C734=TRUE)*(F734-Calc!F19))+B746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719*(1-MIN(100,(Inputs!$B$9+((C734=TRUE)*(F734-Calc!F19))+B746+(ArtifactsInput!$M$24-ArtifactsInput!$M$24)*CHOOSE(ArtifactsInput!$N$24+1,10,12,14,16,18,20)+(IF(AND(Inputs!$B$38&lt;&gt;"pvp",Inputs!$B$43=0),1,IF(IF(Inputs!$B$38="pvp",15,Inputs!$B$43)-(B753)&lt;=0,1,MAX(0,IF(Inputs!$B$38="pvp",15,Inputs!$B$43)-MAX(5,B753))/(IF(Inputs!$B$38="pvp",15,Inputs!$B$43)-(B753))))*IF(AND(ArtifactsInput!$M$42,((Inputs!$B$9+((C734=TRUE)*(F734-Calc!F19))+B746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719*(MIN(100,(Inputs!$B$9+((C734=TRUE)*(F734-Calc!F19))+B746+(ArtifactsInput!$M$24-ArtifactsInput!$M$24)*CHOOSE(ArtifactsInput!$N$24+1,10,12,14,16,18,20)+(IF(AND(Inputs!$B$38&lt;&gt;"pvp",Inputs!$B$43=0),1,IF(IF(Inputs!$B$38="pvp",15,Inputs!$B$43)-(B753)&lt;=0,1,MAX(0,IF(Inputs!$B$38="pvp",15,Inputs!$B$43)-MAX(5,B753))/(IF(Inputs!$B$38="pvp",15,Inputs!$B$43)-(B753))))*IF(AND(ArtifactsInput!$M$42,((Inputs!$B$9+((C734=TRUE)*(F734-Calc!F19))+B746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719">
        <f>290*U718/1000</f>
        <v/>
      </c>
      <c r="V719">
        <f>IF(C719,(H719*N719*IF(AND(Inputs!$B$38&lt;&gt;"pvp",Inputs!$B$43&gt;0),((Skills!G4*((R719-1)*IF(Skills!H4&gt;0,INT(IF(Inputs!$B$3&gt;=104,MIN(35,20*(1+Inputs!$B$34/100)),20)/Skills!H4+0.000000001),1)+IF(Skills!H4&gt;0,INT(MIN(IF(Inputs!$B$3&gt;=104,MIN(35,20*(1+Inputs!$B$34/100)),20),MAX(0,MAX(0,Inputs!$B$43-B753)-((R719-1)*(IF(Inputs!$B$38="pvp",15,MAX(0.1,Skills!D4-IF(TRUE=TRUE,Inputs!$B$32,0)))*(1-IF(AND(ArtifactsInput!$M$27,Inputs!$B$4="Chapter Hunt"),CHOOSE(ArtifactsInput!$N$27+1,20,24,28,32,36,40),0)/100)))))/Skills!H4+0.000000001),1)))/Inputs!$B$43),G719*Q719))*IF(Inputs!$B$38="pvp",1,(1+(Inputs!$B$21+Skills!Q4+(IF(ArtifactsInput!$M$33,CHOOSE(ArtifactsInput!$N$33+1,30,36,42,48,54,60),0))+(IF(AND(ArtifactsInput!$M$35,Inputs!$B$4&lt;&gt;"Chapter Hunt"),CHOOSE(ArtifactsInput!$N$35+1,15,18,21,24,27,30)*(1-EXP(-(0.2*B748)*5)),0)+IF(AND(ArtifactsInput!$M$22,Inputs!$B$4&lt;&gt;"Chapter Hunt"),CHOOSE(ArtifactsInput!$N$22+1,10,12,14,16,18,20)*((0*(((0.15*B748*5))^0/1)+1*(((0.15*B748*5))^1/1)+2*(((0.15*B748*5))^2/2)+3*(((0.15*B748*5))^3/6)+4*(((0.15*B748*5))^4/24)+5*(((0.15*B748*5))^5/120))/((((0.15*B748*5))^0/1)+(((0.15*B748*5))^1/1)+(((0.15*B748*5))^2/2)+(((0.15*B748*5))^3/6)+(((0.15*B748*5))^4/24)+(((0.15*B748*5))^5/120))),0))+IF(Inputs!$B$3&gt;=54,9*(C718=TRUE)*MIN(1,8*(1+Inputs!$B$34/100)*Q718),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20">
      <c r="A720">
        <f>Skills!A5</f>
        <v/>
      </c>
      <c r="B720">
        <f>Skills!B5</f>
        <v/>
      </c>
      <c r="C720">
        <f>Inputs!$B$3&gt;=69</f>
        <v/>
      </c>
      <c r="D720">
        <f>IF(Skills!C5=1,60+Inputs!$B$25+Inputs!$B$29,IF(Skills!C5=2,90+Inputs!$B$26+Inputs!$B$29,IF(Skills!C5=3,120+Inputs!$B$27+Inputs!$B$29,MAX(0,(Inputs!$B$3-100)*3)+Inputs!$B$28+Inputs!$B$29)))</f>
        <v/>
      </c>
      <c r="E720">
        <f>INDEX(FactorTable!$B$2:$Y$301, MATCH(ROUND(MIN(300,MAX(1,D720)),0), FactorTable!$A$2:$A$301,0), Skills!M5+1)</f>
        <v/>
      </c>
      <c r="F720">
        <f>IF(Skills!N5=TRUE,(Skills!L5/10)*(E720/1000),Skills!L5/10)+Skills!O5</f>
        <v/>
      </c>
      <c r="G720">
        <f>Skills!G5*IF(Skills!H5&gt;0,INT(IF(Inputs!$B$38="pvp",MIN(IF(Inputs!$B$3&gt;=104,MIN(35,20*(1+Inputs!$B$34/100)),20),15),IF(Inputs!$B$3&gt;=104,MIN(35,20*(1+Inputs!$B$34/100)),20))/Skills!H5+0.000000001),1)</f>
        <v/>
      </c>
      <c r="H720">
        <f>1-(1-Skills!J5/100)^Skills!K5</f>
        <v/>
      </c>
      <c r="I720" t="inlineStr">
        <is>
          <t>1</t>
        </is>
      </c>
      <c r="J720">
        <f>((Inputs!$B$6*(1+Inputs!$B$7/100))+(((Inputs!$B$12*(1+Inputs!$B$13/100))-(Inputs!$B$12*(1+Inputs!$B$13/100)))+0.25*(Inputs!$B$14-Inputs!$B$14))*(1+Inputs!$B$7/100))*(F720/100)</f>
        <v/>
      </c>
      <c r="K720">
        <f>J720*(1+((Inputs!$B$12*(1+Inputs!$B$13/100))*0.01+Inputs!$B$14*0.0025)/100)*(1+Inputs!$B$15/100)*(1+Inputs!$B$16/100)*(5000/(6000+Inputs!$B$42*(1-(100*(1-(1-(Inputs!$B$19+0)/100)*(1-CHOOSE(ArtifactsInput!$N$40+1,5,6,7,8,9,10)/100)^(ArtifactsInput!$M$40-ArtifactsInput!$M$40)))/100)))*(1+(Inputs!$B$24+((C741=TRUE)*(F741-Calc!F26))+B752)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+0.4*IF(C731=TRUE,F731,0)/100)*(1+(IF(Skills!A5="EIGHT_LEGS_EASTON",(Inputs!$B$17+1)+((C738=TRUE)*(F738-Calc!F23))+((C742=TRUE)*(F742-Calc!F27))+((IF(AND(Inputs!$B$38&lt;&gt;"pvp",Inputs!$B$43=0),1,IF(IF(Inputs!$B$38="pvp",15,Inputs!$B$43)-(B753)&lt;=0,1,MAX(0,IF(Inputs!$B$38="pvp",15,Inputs!$B$43)-MAX(5,B753))/(IF(Inputs!$B$38="pvp",15,Inputs!$B$43)-(B753))))*(IF(AND(ArtifactsInput!$M$42,((Inputs!$B$9+((C734=TRUE)*(F734-Calc!F19))+B746+(ArtifactsInput!$M$24-ArtifactsInput!$M$24)*CHOOSE(ArtifactsInput!$N$24+1,10,12,14,16,18,20)+IF(ArtifactsInput!$M$10,CHOOSE(ArtifactsInput!$N$10+1,15,18,21,24,27,30)*(IF(Inputs!$B$38="pvp",MIN(15,15)/15,IF(AND(Inputs!$B$38&lt;&gt;"pvp",Inputs!$B$43&gt;0),MIN(15,Inputs!$B$43)/(Inputs!$B$43),0))),0)))&gt;=100),MIN(100,((Inputs!$B$9+((C734=TRUE)*(F734-Calc!F19))+B746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753)&lt;=0,1,MAX(0,IF(Inputs!$B$38="pvp",15,Inputs!$B$43)-MAX(5,B753))/(IF(Inputs!$B$38="pvp",15,Inputs!$B$43)-(B753))))*IF(AND(ArtifactsInput!$M$42,((Inputs!$B$9+((C734=TRUE)*(F734-Calc!F19))+B746+(ArtifactsInput!$M$24-ArtifactsInput!$M$24)*CHOOSE(ArtifactsInput!$N$24+1,10,12,14,16,18,20)+IF(ArtifactsInput!$M$10,CHOOSE(ArtifactsInput!$N$10+1,15,18,21,24,27,30)*(IF(Inputs!$B$38="pvp",MIN(15,15)/15,IF(AND(Inputs!$B$38&lt;&gt;"pvp",Inputs!$B$43&gt;0),MIN(15,Inputs!$B$43)/(Inputs!$B$43),0))),0)))&gt;=100),CHOOSE(ArtifactsInput!$N$42+1,40,48,56,64,72,80),0))))/100)*((1+(((C732=TRUE)*F732*5/7)+((C739=TRUE)*(F739-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720)</f>
        <v/>
      </c>
      <c r="L720">
        <f>K720*(MIN(Inputs!$B$22+((C737=TRUE)*(F737-Calc!F22)),(Inputs!$B$23+0+(IF(ArtifactsInput!$M$15,CHOOSE(ArtifactsInput!$N$15+1,25,30,35,40,45,50)/100*(Inputs!$B$11-Inputs!$B$11),0))))/100+(Inputs!$B$23+0+(IF(ArtifactsInput!$M$15,CHOOSE(ArtifactsInput!$N$15+1,25,30,35,40,45,50)/100*(Inputs!$B$11-Inputs!$B$11),0)))/100)/2</f>
        <v/>
      </c>
      <c r="M720">
        <f>L720*(1+(Inputs!$B$10+((C740=TRUE)*(F740-Calc!F25))+B751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20">
        <f>L720*(1-MIN((Inputs!$B$9+((C734=TRUE)*(F734-Calc!F19))+B746+(ArtifactsInput!$M$24-ArtifactsInput!$M$24)*CHOOSE(ArtifactsInput!$N$24+1,10,12,14,16,18,20)+(IF(AND(Inputs!$B$38&lt;&gt;"pvp",Inputs!$B$43=0),1,IF(IF(Inputs!$B$38="pvp",15,Inputs!$B$43)-(B753)&lt;=0,1,MAX(0,IF(Inputs!$B$38="pvp",15,Inputs!$B$43)-MAX(5,B753))/(IF(Inputs!$B$38="pvp",15,Inputs!$B$43)-(B753))))*IF(AND(ArtifactsInput!$M$42,((Inputs!$B$9+((C734=TRUE)*(F734-Calc!F19))+B746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720*(MIN((Inputs!$B$9+((C734=TRUE)*(F734-Calc!F19))+B746+(ArtifactsInput!$M$24-ArtifactsInput!$M$24)*CHOOSE(ArtifactsInput!$N$24+1,10,12,14,16,18,20)+(IF(AND(Inputs!$B$38&lt;&gt;"pvp",Inputs!$B$43=0),1,IF(IF(Inputs!$B$38="pvp",15,Inputs!$B$43)-(B753)&lt;=0,1,MAX(0,IF(Inputs!$B$38="pvp",15,Inputs!$B$43)-MAX(5,B753))/(IF(Inputs!$B$38="pvp",15,Inputs!$B$43)-(B753))))*IF(AND(ArtifactsInput!$M$42,((Inputs!$B$9+((C734=TRUE)*(F734-Calc!F19))+B746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20">
        <f>(1-Summary!$B$11)*T720+Summary!$B$11*V720</f>
        <v/>
      </c>
      <c r="P720">
        <f>IF(B756=0,0,O720/B756)</f>
        <v/>
      </c>
      <c r="Q720">
        <f>IFERROR(1/(IF(Inputs!$B$38="pvp",15,MAX(0.1,Skills!D5-IF(TRUE=TRUE,Inputs!$B$32,0)))*(1-IF(AND(ArtifactsInput!$M$27,Inputs!$B$4="Chapter Hunt"),CHOOSE(ArtifactsInput!$N$27+1,20,24,28,32,36,40),0)/100)),0)</f>
        <v/>
      </c>
      <c r="R720">
        <f>IF(AND(Inputs!$B$38&lt;&gt;"pvp",Inputs!$B$43&gt;0),IF(MAX(0,Inputs!$B$43-B753)&lt;=0,0,(INT(MAX(0,Inputs!$B$43-B753)/(IF(Inputs!$B$38="pvp",15,MAX(0.1,Skills!D5-IF(TRUE=TRUE,Inputs!$B$32,0)))*(1-IF(AND(ArtifactsInput!$M$27,Inputs!$B$4="Chapter Hunt"),CHOOSE(ArtifactsInput!$N$27+1,20,24,28,32,36,40),0)/100)))+1)),0)</f>
        <v/>
      </c>
      <c r="S720">
        <f>IFERROR(O720/N720,0)</f>
        <v/>
      </c>
      <c r="T720">
        <f>IF(C720,(H720*N720*IF(AND(Inputs!$B$38&lt;&gt;"pvp",Inputs!$B$43&gt;0),((Skills!G5*((R720-1)*IF(Skills!H5&gt;0,INT(IF(Inputs!$B$3&gt;=104,MIN(35,20*(1+Inputs!$B$34/100)),20)/Skills!H5+0.000000001),1)+IF(Skills!H5&gt;0,INT(MIN(IF(Inputs!$B$3&gt;=104,MIN(35,20*(1+Inputs!$B$34/100)),20),MAX(0,MAX(0,Inputs!$B$43-B753)-((R720-1)*(IF(Inputs!$B$38="pvp",15,MAX(0.1,Skills!D5-IF(TRUE=TRUE,Inputs!$B$32,0)))*(1-IF(AND(ArtifactsInput!$M$27,Inputs!$B$4="Chapter Hunt"),CHOOSE(ArtifactsInput!$N$27+1,20,24,28,32,36,40),0)/100)))))/Skills!H5+0.000000001),1)))/Inputs!$B$43),G720*Q720))*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Hunt"),CHOOSE(ArtifactsInput!$N$35+1,15,18,21,24,27,30)*(1-EXP(-(0.2*B748)*5)),0)+IF(AND(ArtifactsInput!$M$22,Inputs!$B$4&lt;&gt;"Chapter Hunt"),CHOOSE(ArtifactsInput!$N$22+1,10,12,14,16,18,20)*((0*(((0.15*B748*5))^0/1)+1*(((0.15*B748*5))^1/1)+2*(((0.15*B748*5))^2/2)+3*(((0.15*B748*5))^3/6)+4*(((0.15*B748*5))^4/24)+5*(((0.15*B748*5))^5/120))/((((0.15*B748*5))^0/1)+(((0.15*B748*5))^1/1)+(((0.15*B748*5))^2/2)+(((0.15*B748*5))^3/6)+(((0.15*B748*5))^4/24)+(((0.15*B748*5))^5/120))),0))+IF(Inputs!$B$3&gt;=54,9*(C718=TRUE)*MIN(1,8*(1+Inputs!$B$34/100)*Q718)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720*(1-MIN(100,(Inputs!$B$9+((C734=TRUE)*(F734-Calc!F19))+B746+(ArtifactsInput!$M$24-ArtifactsInput!$M$24)*CHOOSE(ArtifactsInput!$N$24+1,10,12,14,16,18,20)+(IF(AND(Inputs!$B$38&lt;&gt;"pvp",Inputs!$B$43=0),1,IF(IF(Inputs!$B$38="pvp",15,Inputs!$B$43)-(B753)&lt;=0,1,MAX(0,IF(Inputs!$B$38="pvp",15,Inputs!$B$43)-MAX(5,B753))/(IF(Inputs!$B$38="pvp",15,Inputs!$B$43)-(B753))))*IF(AND(ArtifactsInput!$M$42,((Inputs!$B$9+((C734=TRUE)*(F734-Calc!F19))+B746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720*(MIN(100,(Inputs!$B$9+((C734=TRUE)*(F734-Calc!F19))+B746+(ArtifactsInput!$M$24-ArtifactsInput!$M$24)*CHOOSE(ArtifactsInput!$N$24+1,10,12,14,16,18,20)+(IF(AND(Inputs!$B$38&lt;&gt;"pvp",Inputs!$B$43=0),1,IF(IF(Inputs!$B$38="pvp",15,Inputs!$B$43)-(B753)&lt;=0,1,MAX(0,IF(Inputs!$B$38="pvp",15,Inputs!$B$43)-MAX(5,B753))/(IF(Inputs!$B$38="pvp",15,Inputs!$B$43)-(B753))))*IF(AND(ArtifactsInput!$M$42,((Inputs!$B$9+((C734=TRUE)*(F734-Calc!F19))+B746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720*(1-MIN(100,(Inputs!$B$9+((C734=TRUE)*(F734-Calc!F19))+B746+(ArtifactsInput!$M$24-ArtifactsInput!$M$24)*CHOOSE(ArtifactsInput!$N$24+1,10,12,14,16,18,20)+(IF(AND(Inputs!$B$38&lt;&gt;"pvp",Inputs!$B$43=0),1,IF(IF(Inputs!$B$38="pvp",15,Inputs!$B$43)-(B753)&lt;=0,1,MAX(0,IF(Inputs!$B$38="pvp",15,Inputs!$B$43)-MAX(5,B753))/(IF(Inputs!$B$38="pvp",15,Inputs!$B$43)-(B753))))*IF(AND(ArtifactsInput!$M$42,((Inputs!$B$9+((C734=TRUE)*(F734-Calc!F19))+B746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720*(MIN(100,(Inputs!$B$9+((C734=TRUE)*(F734-Calc!F19))+B746+(ArtifactsInput!$M$24-ArtifactsInput!$M$24)*CHOOSE(ArtifactsInput!$N$24+1,10,12,14,16,18,20)+(IF(AND(Inputs!$B$38&lt;&gt;"pvp",Inputs!$B$43=0),1,IF(IF(Inputs!$B$38="pvp",15,Inputs!$B$43)-(B753)&lt;=0,1,MAX(0,IF(Inputs!$B$38="pvp",15,Inputs!$B$43)-MAX(5,B753))/(IF(Inputs!$B$38="pvp",15,Inputs!$B$43)-(B753))))*IF(AND(ArtifactsInput!$M$42,((Inputs!$B$9+((C734=TRUE)*(F734-Calc!F19))+B746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20">
        <f>IF(C720,(H720*N720*IF(AND(Inputs!$B$38&lt;&gt;"pvp",Inputs!$B$43&gt;0),((Skills!G5*((R720-1)*IF(Skills!H5&gt;0,INT(IF(Inputs!$B$3&gt;=104,MIN(35,20*(1+Inputs!$B$34/100)),20)/Skills!H5+0.000000001),1)+IF(Skills!H5&gt;0,INT(MIN(IF(Inputs!$B$3&gt;=104,MIN(35,20*(1+Inputs!$B$34/100)),20),MAX(0,MAX(0,Inputs!$B$43-B753)-((R720-1)*(IF(Inputs!$B$38="pvp",15,MAX(0.1,Skills!D5-IF(TRUE=TRUE,Inputs!$B$32,0)))*(1-IF(AND(ArtifactsInput!$M$27,Inputs!$B$4="Chapter Hunt"),CHOOSE(ArtifactsInput!$N$27+1,20,24,28,32,36,40),0)/100)))))/Skills!H5+0.000000001),1)))/Inputs!$B$43),G720*Q720))*IF(Inputs!$B$38="pvp",1,(1+(Inputs!$B$21+Skills!Q5+(IF(ArtifactsInput!$M$33,CHOOSE(ArtifactsInput!$N$33+1,30,36,42,48,54,60),0))+(IF(AND(ArtifactsInput!$M$35,Inputs!$B$4&lt;&gt;"Chapter Hunt"),CHOOSE(ArtifactsInput!$N$35+1,15,18,21,24,27,30)*(1-EXP(-(0.2*B748)*5)),0)+IF(AND(ArtifactsInput!$M$22,Inputs!$B$4&lt;&gt;"Chapter Hunt"),CHOOSE(ArtifactsInput!$N$22+1,10,12,14,16,18,20)*((0*(((0.15*B748*5))^0/1)+1*(((0.15*B748*5))^1/1)+2*(((0.15*B748*5))^2/2)+3*(((0.15*B748*5))^3/6)+4*(((0.15*B748*5))^4/24)+5*(((0.15*B748*5))^5/120))/((((0.15*B748*5))^0/1)+(((0.15*B748*5))^1/1)+(((0.15*B748*5))^2/2)+(((0.15*B748*5))^3/6)+(((0.15*B748*5))^4/24)+(((0.15*B748*5))^5/120))),0))+IF(Inputs!$B$3&gt;=54,9*(C718=TRUE)*MIN(1,8*(1+Inputs!$B$34/100)*Q718),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21">
      <c r="A721">
        <f>Skills!A6</f>
        <v/>
      </c>
      <c r="B721">
        <f>Skills!B6</f>
        <v/>
      </c>
      <c r="C721">
        <f>Inputs!$B$3&gt;=66</f>
        <v/>
      </c>
      <c r="D721">
        <f>IF(Skills!C6=1,60+Inputs!$B$25+Inputs!$B$29,IF(Skills!C6=2,90+Inputs!$B$26+Inputs!$B$29,IF(Skills!C6=3,120+Inputs!$B$27+Inputs!$B$29,MAX(0,(Inputs!$B$3-100)*3)+Inputs!$B$28+Inputs!$B$29)))</f>
        <v/>
      </c>
      <c r="E721">
        <f>INDEX(FactorTable!$B$2:$Y$301, MATCH(ROUND(MIN(300,MAX(1,D721)),0), FactorTable!$A$2:$A$301,0), Skills!M6+1)</f>
        <v/>
      </c>
      <c r="F721">
        <f>IF(Skills!N6=TRUE,(Skills!L6/10)*(E721/1000),Skills!L6/10)+Skills!O6</f>
        <v/>
      </c>
      <c r="G721">
        <f>Skills!G6*IF(Skills!H6&gt;0,INT(IF(Inputs!$B$38="pvp",MIN(Skills!I6,15),Skills!I6)/Skills!H6+0.000000001),1)</f>
        <v/>
      </c>
      <c r="H721">
        <f>1-(1-Skills!J6/100)^Skills!K6</f>
        <v/>
      </c>
      <c r="I721" t="inlineStr">
        <is>
          <t>1</t>
        </is>
      </c>
      <c r="J721">
        <f>((Inputs!$B$6*(1+Inputs!$B$7/100))+(((Inputs!$B$12*(1+Inputs!$B$13/100))-(Inputs!$B$12*(1+Inputs!$B$13/100)))+0.25*(Inputs!$B$14-Inputs!$B$14))*(1+Inputs!$B$7/100))*(F721/100)</f>
        <v/>
      </c>
      <c r="K721">
        <f>J721*(1+((Inputs!$B$12*(1+Inputs!$B$13/100))*0.01+Inputs!$B$14*0.0025)/100)*(1+Inputs!$B$15/100)*(1+Inputs!$B$16/100)*(5000/(6000+Inputs!$B$42*(1-(100*(1-(1-(Inputs!$B$19+0)/100)*(1-CHOOSE(ArtifactsInput!$N$40+1,5,6,7,8,9,10)/100)^(ArtifactsInput!$M$40-ArtifactsInput!$M$40)))/100)))*(1+(Inputs!$B$24+((C741=TRUE)*(F741-Calc!F26))+B752)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+2.0*IF(C730=TRUE,F730,0)/100)*(1+(IF(Skills!A6="EIGHT_LEGS_EASTON",(Inputs!$B$17+1)+((C738=TRUE)*(F738-Calc!F23))+((C742=TRUE)*(F742-Calc!F27))+((IF(AND(Inputs!$B$38&lt;&gt;"pvp",Inputs!$B$43=0),1,IF(IF(Inputs!$B$38="pvp",15,Inputs!$B$43)-(B753)&lt;=0,1,MAX(0,IF(Inputs!$B$38="pvp",15,Inputs!$B$43)-MAX(5,B753))/(IF(Inputs!$B$38="pvp",15,Inputs!$B$43)-(B753))))*(IF(AND(ArtifactsInput!$M$42,((Inputs!$B$9+((C734=TRUE)*(F734-Calc!F19))+B746+(ArtifactsInput!$M$24-ArtifactsInput!$M$24)*CHOOSE(ArtifactsInput!$N$24+1,10,12,14,16,18,20)+IF(ArtifactsInput!$M$10,CHOOSE(ArtifactsInput!$N$10+1,15,18,21,24,27,30)*(IF(Inputs!$B$38="pvp",MIN(15,15)/15,IF(AND(Inputs!$B$38&lt;&gt;"pvp",Inputs!$B$43&gt;0),MIN(15,Inputs!$B$43)/(Inputs!$B$43),0))),0)))&gt;=100),MIN(100,((Inputs!$B$9+((C734=TRUE)*(F734-Calc!F19))+B746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753)&lt;=0,1,MAX(0,IF(Inputs!$B$38="pvp",15,Inputs!$B$43)-MAX(5,B753))/(IF(Inputs!$B$38="pvp",15,Inputs!$B$43)-(B753))))*IF(AND(ArtifactsInput!$M$42,((Inputs!$B$9+((C734=TRUE)*(F734-Calc!F19))+B746+(ArtifactsInput!$M$24-ArtifactsInput!$M$24)*CHOOSE(ArtifactsInput!$N$24+1,10,12,14,16,18,20)+IF(ArtifactsInput!$M$10,CHOOSE(ArtifactsInput!$N$10+1,15,18,21,24,27,30)*(IF(Inputs!$B$38="pvp",MIN(15,15)/15,IF(AND(Inputs!$B$38&lt;&gt;"pvp",Inputs!$B$43&gt;0),MIN(15,Inputs!$B$43)/(Inputs!$B$43),0))),0)))&gt;=100),CHOOSE(ArtifactsInput!$N$42+1,40,48,56,64,72,80),0))))/100)*((1+(((C732=TRUE)*F732*5/7)+((C739=TRUE)*(F739-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721)</f>
        <v/>
      </c>
      <c r="L721">
        <f>K721*(MIN(Inputs!$B$22+((C737=TRUE)*(F737-Calc!F22)),(Inputs!$B$23+0+(IF(ArtifactsInput!$M$15,CHOOSE(ArtifactsInput!$N$15+1,25,30,35,40,45,50)/100*(Inputs!$B$11-Inputs!$B$11),0))))/100+(Inputs!$B$23+0+(IF(ArtifactsInput!$M$15,CHOOSE(ArtifactsInput!$N$15+1,25,30,35,40,45,50)/100*(Inputs!$B$11-Inputs!$B$11),0)))/100)/2</f>
        <v/>
      </c>
      <c r="M721">
        <f>L721*(1+(Inputs!$B$10+((C740=TRUE)*(F740-Calc!F25))+B751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21">
        <f>L721*(1-MIN((Inputs!$B$9+((C734=TRUE)*(F734-Calc!F19))+B746+(ArtifactsInput!$M$24-ArtifactsInput!$M$24)*CHOOSE(ArtifactsInput!$N$24+1,10,12,14,16,18,20)+(IF(AND(Inputs!$B$38&lt;&gt;"pvp",Inputs!$B$43=0),1,IF(IF(Inputs!$B$38="pvp",15,Inputs!$B$43)-(B753)&lt;=0,1,MAX(0,IF(Inputs!$B$38="pvp",15,Inputs!$B$43)-MAX(5,B753))/(IF(Inputs!$B$38="pvp",15,Inputs!$B$43)-(B753))))*IF(AND(ArtifactsInput!$M$42,((Inputs!$B$9+((C734=TRUE)*(F734-Calc!F19))+B746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721*(MIN((Inputs!$B$9+((C734=TRUE)*(F734-Calc!F19))+B746+(ArtifactsInput!$M$24-ArtifactsInput!$M$24)*CHOOSE(ArtifactsInput!$N$24+1,10,12,14,16,18,20)+(IF(AND(Inputs!$B$38&lt;&gt;"pvp",Inputs!$B$43=0),1,IF(IF(Inputs!$B$38="pvp",15,Inputs!$B$43)-(B753)&lt;=0,1,MAX(0,IF(Inputs!$B$38="pvp",15,Inputs!$B$43)-MAX(5,B753))/(IF(Inputs!$B$38="pvp",15,Inputs!$B$43)-(B753))))*IF(AND(ArtifactsInput!$M$42,((Inputs!$B$9+((C734=TRUE)*(F734-Calc!F19))+B746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21">
        <f>(1-Summary!$B$11)*T721+Summary!$B$11*V721</f>
        <v/>
      </c>
      <c r="P721">
        <f>IF(B756=0,0,O721/B756)</f>
        <v/>
      </c>
      <c r="Q721">
        <f>IFERROR(1/(IF(Inputs!$B$38="pvp",15,MAX(0.1,Skills!D6-IF(TRUE=TRUE,Inputs!$B$32,0)))*(1-IF(AND(ArtifactsInput!$M$27,Inputs!$B$4="Chapter Hunt"),CHOOSE(ArtifactsInput!$N$27+1,20,24,28,32,36,40),0)/100)),0)</f>
        <v/>
      </c>
      <c r="R721">
        <f>IF(AND(Inputs!$B$38&lt;&gt;"pvp",Inputs!$B$43&gt;0),IF(MAX(0,Inputs!$B$43-B753)&lt;=0,0,(INT(MAX(0,Inputs!$B$43-B753)/(IF(Inputs!$B$38="pvp",15,MAX(0.1,Skills!D6-IF(TRUE=TRUE,Inputs!$B$32,0)))*(1-IF(AND(ArtifactsInput!$M$27,Inputs!$B$4="Chapter Hunt"),CHOOSE(ArtifactsInput!$N$27+1,20,24,28,32,36,40),0)/100)))+1)),0)</f>
        <v/>
      </c>
      <c r="S721">
        <f>IFERROR(O721/N721,0)</f>
        <v/>
      </c>
      <c r="T721">
        <f>IF(C721,(H721*N721*IF(AND(Inputs!$B$38&lt;&gt;"pvp",Inputs!$B$43&gt;0),((Skills!G6*((R721-1)*IF(Skills!H6&gt;0,INT(Skills!I6/Skills!H6+0.000000001),1)+IF(Skills!H6&gt;0,INT(MIN(Skills!I6,MAX(0,MAX(0,Inputs!$B$43-B753)-((R721-1)*(IF(Inputs!$B$38="pvp",15,MAX(0.1,Skills!D6-IF(TRUE=TRUE,Inputs!$B$32,0)))*(1-IF(AND(ArtifactsInput!$M$27,Inputs!$B$4="Chapter Hunt"),CHOOSE(ArtifactsInput!$N$27+1,20,24,28,32,36,40),0)/100)))))/Skills!H6+0.000000001),1)))/Inputs!$B$43),G721*Q721))*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Hunt"),CHOOSE(ArtifactsInput!$N$35+1,15,18,21,24,27,30)*(1-EXP(-(0.2*B748)*5)),0)+IF(AND(ArtifactsInput!$M$22,Inputs!$B$4&lt;&gt;"Chapter Hunt"),CHOOSE(ArtifactsInput!$N$22+1,10,12,14,16,18,20)*((0*(((0.15*B748*5))^0/1)+1*(((0.15*B748*5))^1/1)+2*(((0.15*B748*5))^2/2)+3*(((0.15*B748*5))^3/6)+4*(((0.15*B748*5))^4/24)+5*(((0.15*B748*5))^5/120))/((((0.15*B748*5))^0/1)+(((0.15*B748*5))^1/1)+(((0.15*B748*5))^2/2)+(((0.15*B748*5))^3/6)+(((0.15*B748*5))^4/24)+(((0.15*B748*5))^5/120))),0))+IF(Inputs!$B$3&gt;=54,9*(C718=TRUE)*MIN(1,8*(1+Inputs!$B$34/100)*Q718)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721*(1-MIN(100,(Inputs!$B$9+((C734=TRUE)*(F734-Calc!F19))+B746+(ArtifactsInput!$M$24-ArtifactsInput!$M$24)*CHOOSE(ArtifactsInput!$N$24+1,10,12,14,16,18,20)+(IF(AND(Inputs!$B$38&lt;&gt;"pvp",Inputs!$B$43=0),1,IF(IF(Inputs!$B$38="pvp",15,Inputs!$B$43)-(B753)&lt;=0,1,MAX(0,IF(Inputs!$B$38="pvp",15,Inputs!$B$43)-MAX(5,B753))/(IF(Inputs!$B$38="pvp",15,Inputs!$B$43)-(B753))))*IF(AND(ArtifactsInput!$M$42,((Inputs!$B$9+((C734=TRUE)*(F734-Calc!F19))+B746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721*(MIN(100,(Inputs!$B$9+((C734=TRUE)*(F734-Calc!F19))+B746+(ArtifactsInput!$M$24-ArtifactsInput!$M$24)*CHOOSE(ArtifactsInput!$N$24+1,10,12,14,16,18,20)+(IF(AND(Inputs!$B$38&lt;&gt;"pvp",Inputs!$B$43=0),1,IF(IF(Inputs!$B$38="pvp",15,Inputs!$B$43)-(B753)&lt;=0,1,MAX(0,IF(Inputs!$B$38="pvp",15,Inputs!$B$43)-MAX(5,B753))/(IF(Inputs!$B$38="pvp",15,Inputs!$B$43)-(B753))))*IF(AND(ArtifactsInput!$M$42,((Inputs!$B$9+((C734=TRUE)*(F734-Calc!F19))+B746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721*(1-MIN(100,(Inputs!$B$9+((C734=TRUE)*(F734-Calc!F19))+B746+(ArtifactsInput!$M$24-ArtifactsInput!$M$24)*CHOOSE(ArtifactsInput!$N$24+1,10,12,14,16,18,20)+(IF(AND(Inputs!$B$38&lt;&gt;"pvp",Inputs!$B$43=0),1,IF(IF(Inputs!$B$38="pvp",15,Inputs!$B$43)-(B753)&lt;=0,1,MAX(0,IF(Inputs!$B$38="pvp",15,Inputs!$B$43)-MAX(5,B753))/(IF(Inputs!$B$38="pvp",15,Inputs!$B$43)-(B753))))*IF(AND(ArtifactsInput!$M$42,((Inputs!$B$9+((C734=TRUE)*(F734-Calc!F19))+B746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721*(MIN(100,(Inputs!$B$9+((C734=TRUE)*(F734-Calc!F19))+B746+(ArtifactsInput!$M$24-ArtifactsInput!$M$24)*CHOOSE(ArtifactsInput!$N$24+1,10,12,14,16,18,20)+(IF(AND(Inputs!$B$38&lt;&gt;"pvp",Inputs!$B$43=0),1,IF(IF(Inputs!$B$38="pvp",15,Inputs!$B$43)-(B753)&lt;=0,1,MAX(0,IF(Inputs!$B$38="pvp",15,Inputs!$B$43)-MAX(5,B753))/(IF(Inputs!$B$38="pvp",15,Inputs!$B$43)-(B753))))*IF(AND(ArtifactsInput!$M$42,((Inputs!$B$9+((C734=TRUE)*(F734-Calc!F19))+B746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21">
        <f>IF(C721,(H721*N721*IF(AND(Inputs!$B$38&lt;&gt;"pvp",Inputs!$B$43&gt;0),((Skills!G6*((R721-1)*IF(Skills!H6&gt;0,INT(Skills!I6/Skills!H6+0.000000001),1)+IF(Skills!H6&gt;0,INT(MIN(Skills!I6,MAX(0,MAX(0,Inputs!$B$43-B753)-((R721-1)*(IF(Inputs!$B$38="pvp",15,MAX(0.1,Skills!D6-IF(TRUE=TRUE,Inputs!$B$32,0)))*(1-IF(AND(ArtifactsInput!$M$27,Inputs!$B$4="Chapter Hunt"),CHOOSE(ArtifactsInput!$N$27+1,20,24,28,32,36,40),0)/100)))))/Skills!H6+0.000000001),1)))/Inputs!$B$43),G721*Q721))*IF(Inputs!$B$38="pvp",1,(1+(Inputs!$B$21+Skills!Q6+(IF(ArtifactsInput!$M$33,CHOOSE(ArtifactsInput!$N$33+1,30,36,42,48,54,60),0))+(IF(AND(ArtifactsInput!$M$35,Inputs!$B$4&lt;&gt;"Chapter Hunt"),CHOOSE(ArtifactsInput!$N$35+1,15,18,21,24,27,30)*(1-EXP(-(0.2*B748)*5)),0)+IF(AND(ArtifactsInput!$M$22,Inputs!$B$4&lt;&gt;"Chapter Hunt"),CHOOSE(ArtifactsInput!$N$22+1,10,12,14,16,18,20)*((0*(((0.15*B748*5))^0/1)+1*(((0.15*B748*5))^1/1)+2*(((0.15*B748*5))^2/2)+3*(((0.15*B748*5))^3/6)+4*(((0.15*B748*5))^4/24)+5*(((0.15*B748*5))^5/120))/((((0.15*B748*5))^0/1)+(((0.15*B748*5))^1/1)+(((0.15*B748*5))^2/2)+(((0.15*B748*5))^3/6)+(((0.15*B748*5))^4/24)+(((0.15*B748*5))^5/120))),0))+IF(Inputs!$B$3&gt;=54,9*(C718=TRUE)*MIN(1,8*(1+Inputs!$B$34/100)*Q718),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22">
      <c r="A722">
        <f>Skills!A7</f>
        <v/>
      </c>
      <c r="B722">
        <f>Skills!B7</f>
        <v/>
      </c>
      <c r="C722">
        <f>Inputs!$B$3&gt;=63</f>
        <v/>
      </c>
      <c r="D722">
        <f>IF(Skills!C7=1,60+Inputs!$B$25+Inputs!$B$29,IF(Skills!C7=2,90+Inputs!$B$26+Inputs!$B$29,IF(Skills!C7=3,120+Inputs!$B$27+Inputs!$B$29,MAX(0,(Inputs!$B$3-100)*3)+Inputs!$B$28+Inputs!$B$29)))</f>
        <v/>
      </c>
      <c r="E722">
        <f>INDEX(FactorTable!$B$2:$Y$301, MATCH(ROUND(MIN(300,MAX(1,D722)),0), FactorTable!$A$2:$A$301,0), Skills!M7+1)</f>
        <v/>
      </c>
      <c r="F722">
        <f>IF(Skills!N7=TRUE,(Skills!L7/10)*(E722/1000),Skills!L7/10)+Skills!O7</f>
        <v/>
      </c>
      <c r="G722">
        <f>Skills!G7*IF(Skills!H7&gt;0,INT(IF(Inputs!$B$38="pvp",MIN(Skills!I7,15),Skills!I7)/Skills!H7+0.000000001),1)</f>
        <v/>
      </c>
      <c r="H722">
        <f>1-(1-Skills!J7/100)^Skills!K7</f>
        <v/>
      </c>
      <c r="I722" t="inlineStr">
        <is>
          <t>1</t>
        </is>
      </c>
      <c r="J722">
        <f>((Inputs!$B$6*(1+Inputs!$B$7/100))+(((Inputs!$B$12*(1+Inputs!$B$13/100))-(Inputs!$B$12*(1+Inputs!$B$13/100)))+0.25*(Inputs!$B$14-Inputs!$B$14))*(1+Inputs!$B$7/100))*(F722/100)</f>
        <v/>
      </c>
      <c r="K722">
        <f>J722*(1+((Inputs!$B$12*(1+Inputs!$B$13/100))*0.01+Inputs!$B$14*0.0025)/100)*(1+Inputs!$B$15/100)*(1+Inputs!$B$16/100)*(5000/(6000+Inputs!$B$42*(1-(100*(1-(1-(Inputs!$B$19+0)/100)*(1-CHOOSE(ArtifactsInput!$N$40+1,5,6,7,8,9,10)/100)^(ArtifactsInput!$M$40-ArtifactsInput!$M$40)))/100)))*(1+(Inputs!$B$24+((C741=TRUE)*(F741-Calc!F26))+B752)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730=TRUE,F730,0)/100)*(1+(IF(Skills!A7="EIGHT_LEGS_EASTON",(Inputs!$B$17+1)+((C738=TRUE)*(F738-Calc!F23))+((C742=TRUE)*(F742-Calc!F27))+((IF(AND(Inputs!$B$38&lt;&gt;"pvp",Inputs!$B$43=0),1,IF(IF(Inputs!$B$38="pvp",15,Inputs!$B$43)-(B753)&lt;=0,1,MAX(0,IF(Inputs!$B$38="pvp",15,Inputs!$B$43)-MAX(5,B753))/(IF(Inputs!$B$38="pvp",15,Inputs!$B$43)-(B753))))*(IF(AND(ArtifactsInput!$M$42,((Inputs!$B$9+((C734=TRUE)*(F734-Calc!F19))+B746+(ArtifactsInput!$M$24-ArtifactsInput!$M$24)*CHOOSE(ArtifactsInput!$N$24+1,10,12,14,16,18,20)+IF(ArtifactsInput!$M$10,CHOOSE(ArtifactsInput!$N$10+1,15,18,21,24,27,30)*(IF(Inputs!$B$38="pvp",MIN(15,15)/15,IF(AND(Inputs!$B$38&lt;&gt;"pvp",Inputs!$B$43&gt;0),MIN(15,Inputs!$B$43)/(Inputs!$B$43),0))),0)))&gt;=100),MIN(100,((Inputs!$B$9+((C734=TRUE)*(F734-Calc!F19))+B746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753)&lt;=0,1,MAX(0,IF(Inputs!$B$38="pvp",15,Inputs!$B$43)-MAX(5,B753))/(IF(Inputs!$B$38="pvp",15,Inputs!$B$43)-(B753))))*IF(AND(ArtifactsInput!$M$42,((Inputs!$B$9+((C734=TRUE)*(F734-Calc!F19))+B746+(ArtifactsInput!$M$24-ArtifactsInput!$M$24)*CHOOSE(ArtifactsInput!$N$24+1,10,12,14,16,18,20)+IF(ArtifactsInput!$M$10,CHOOSE(ArtifactsInput!$N$10+1,15,18,21,24,27,30)*(IF(Inputs!$B$38="pvp",MIN(15,15)/15,IF(AND(Inputs!$B$38&lt;&gt;"pvp",Inputs!$B$43&gt;0),MIN(15,Inputs!$B$43)/(Inputs!$B$43),0))),0)))&gt;=100),CHOOSE(ArtifactsInput!$N$42+1,40,48,56,64,72,80),0))))/100)*((1+(((C732=TRUE)*F732*5/7)+((C739=TRUE)*(F739-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722)</f>
        <v/>
      </c>
      <c r="L722">
        <f>K722*(MIN(Inputs!$B$22+((C737=TRUE)*(F737-Calc!F22)),(Inputs!$B$23+0+(IF(ArtifactsInput!$M$15,CHOOSE(ArtifactsInput!$N$15+1,25,30,35,40,45,50)/100*(Inputs!$B$11-Inputs!$B$11),0))))/100+(Inputs!$B$23+0+(IF(ArtifactsInput!$M$15,CHOOSE(ArtifactsInput!$N$15+1,25,30,35,40,45,50)/100*(Inputs!$B$11-Inputs!$B$11),0)))/100)/2</f>
        <v/>
      </c>
      <c r="M722">
        <f>L722*(1+(Inputs!$B$10+((C740=TRUE)*(F740-Calc!F25))+B751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22">
        <f>L722*(1-MIN((Inputs!$B$9+((C734=TRUE)*(F734-Calc!F19))+B746+(ArtifactsInput!$M$24-ArtifactsInput!$M$24)*CHOOSE(ArtifactsInput!$N$24+1,10,12,14,16,18,20)+(IF(AND(Inputs!$B$38&lt;&gt;"pvp",Inputs!$B$43=0),1,IF(IF(Inputs!$B$38="pvp",15,Inputs!$B$43)-(B753)&lt;=0,1,MAX(0,IF(Inputs!$B$38="pvp",15,Inputs!$B$43)-MAX(5,B753))/(IF(Inputs!$B$38="pvp",15,Inputs!$B$43)-(B753))))*IF(AND(ArtifactsInput!$M$42,((Inputs!$B$9+((C734=TRUE)*(F734-Calc!F19))+B746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722*(MIN((Inputs!$B$9+((C734=TRUE)*(F734-Calc!F19))+B746+(ArtifactsInput!$M$24-ArtifactsInput!$M$24)*CHOOSE(ArtifactsInput!$N$24+1,10,12,14,16,18,20)+(IF(AND(Inputs!$B$38&lt;&gt;"pvp",Inputs!$B$43=0),1,IF(IF(Inputs!$B$38="pvp",15,Inputs!$B$43)-(B753)&lt;=0,1,MAX(0,IF(Inputs!$B$38="pvp",15,Inputs!$B$43)-MAX(5,B753))/(IF(Inputs!$B$38="pvp",15,Inputs!$B$43)-(B753))))*IF(AND(ArtifactsInput!$M$42,((Inputs!$B$9+((C734=TRUE)*(F734-Calc!F19))+B746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22">
        <f>(1-Summary!$B$11)*T722+Summary!$B$11*V722</f>
        <v/>
      </c>
      <c r="P722">
        <f>IF(B756=0,0,O722/B756)</f>
        <v/>
      </c>
      <c r="Q722">
        <f>IFERROR(1/(IF(Inputs!$B$38="pvp",15,MAX(0.1,Skills!D7-IF(TRUE=TRUE,Inputs!$B$32,0)))*(1-IF(AND(ArtifactsInput!$M$27,Inputs!$B$4="Chapter Hunt"),CHOOSE(ArtifactsInput!$N$27+1,20,24,28,32,36,40),0)/100)),0)</f>
        <v/>
      </c>
      <c r="R722">
        <f>IF(AND(Inputs!$B$38&lt;&gt;"pvp",Inputs!$B$43&gt;0),IF(MAX(0,Inputs!$B$43-B753)&lt;=0,0,(INT(MAX(0,Inputs!$B$43-B753)/(IF(Inputs!$B$38="pvp",15,MAX(0.1,Skills!D7-IF(TRUE=TRUE,Inputs!$B$32,0)))*(1-IF(AND(ArtifactsInput!$M$27,Inputs!$B$4="Chapter Hunt"),CHOOSE(ArtifactsInput!$N$27+1,20,24,28,32,36,40),0)/100)))+1)),0)</f>
        <v/>
      </c>
      <c r="S722">
        <f>IFERROR(O722/N722,0)</f>
        <v/>
      </c>
      <c r="T722">
        <f>IF(C722,(H722*N722*IF(AND(Inputs!$B$38&lt;&gt;"pvp",Inputs!$B$43&gt;0),((Skills!G7*((R722-1)*IF(Skills!H7&gt;0,INT(Skills!I7/Skills!H7+0.000000001),1)+IF(Skills!H7&gt;0,INT(MIN(Skills!I7,MAX(0,MAX(0,Inputs!$B$43-B753)-((R722-1)*(IF(Inputs!$B$38="pvp",15,MAX(0.1,Skills!D7-IF(TRUE=TRUE,Inputs!$B$32,0)))*(1-IF(AND(ArtifactsInput!$M$27,Inputs!$B$4="Chapter Hunt"),CHOOSE(ArtifactsInput!$N$27+1,20,24,28,32,36,40),0)/100)))))/Skills!H7+0.000000001),1)))/Inputs!$B$43),G722*Q722))*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Hunt"),CHOOSE(ArtifactsInput!$N$35+1,15,18,21,24,27,30)*(1-EXP(-(0.2*B748)*5)),0)+IF(AND(ArtifactsInput!$M$22,Inputs!$B$4&lt;&gt;"Chapter Hunt"),CHOOSE(ArtifactsInput!$N$22+1,10,12,14,16,18,20)*((0*(((0.15*B748*5))^0/1)+1*(((0.15*B748*5))^1/1)+2*(((0.15*B748*5))^2/2)+3*(((0.15*B748*5))^3/6)+4*(((0.15*B748*5))^4/24)+5*(((0.15*B748*5))^5/120))/((((0.15*B748*5))^0/1)+(((0.15*B748*5))^1/1)+(((0.15*B748*5))^2/2)+(((0.15*B748*5))^3/6)+(((0.15*B748*5))^4/24)+(((0.15*B748*5))^5/120))),0))+IF(Inputs!$B$3&gt;=54,9*(C718=TRUE)*MIN(1,8*(1+Inputs!$B$34/100)*Q718)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722*(1-MIN(100,(Inputs!$B$9+((C734=TRUE)*(F734-Calc!F19))+B746+(ArtifactsInput!$M$24-ArtifactsInput!$M$24)*CHOOSE(ArtifactsInput!$N$24+1,10,12,14,16,18,20)+(IF(AND(Inputs!$B$38&lt;&gt;"pvp",Inputs!$B$43=0),1,IF(IF(Inputs!$B$38="pvp",15,Inputs!$B$43)-(B753)&lt;=0,1,MAX(0,IF(Inputs!$B$38="pvp",15,Inputs!$B$43)-MAX(5,B753))/(IF(Inputs!$B$38="pvp",15,Inputs!$B$43)-(B753))))*IF(AND(ArtifactsInput!$M$42,((Inputs!$B$9+((C734=TRUE)*(F734-Calc!F19))+B746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722*(MIN(100,(Inputs!$B$9+((C734=TRUE)*(F734-Calc!F19))+B746+(ArtifactsInput!$M$24-ArtifactsInput!$M$24)*CHOOSE(ArtifactsInput!$N$24+1,10,12,14,16,18,20)+(IF(AND(Inputs!$B$38&lt;&gt;"pvp",Inputs!$B$43=0),1,IF(IF(Inputs!$B$38="pvp",15,Inputs!$B$43)-(B753)&lt;=0,1,MAX(0,IF(Inputs!$B$38="pvp",15,Inputs!$B$43)-MAX(5,B753))/(IF(Inputs!$B$38="pvp",15,Inputs!$B$43)-(B753))))*IF(AND(ArtifactsInput!$M$42,((Inputs!$B$9+((C734=TRUE)*(F734-Calc!F19))+B746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722*(1-MIN(100,(Inputs!$B$9+((C734=TRUE)*(F734-Calc!F19))+B746+(ArtifactsInput!$M$24-ArtifactsInput!$M$24)*CHOOSE(ArtifactsInput!$N$24+1,10,12,14,16,18,20)+(IF(AND(Inputs!$B$38&lt;&gt;"pvp",Inputs!$B$43=0),1,IF(IF(Inputs!$B$38="pvp",15,Inputs!$B$43)-(B753)&lt;=0,1,MAX(0,IF(Inputs!$B$38="pvp",15,Inputs!$B$43)-MAX(5,B753))/(IF(Inputs!$B$38="pvp",15,Inputs!$B$43)-(B753))))*IF(AND(ArtifactsInput!$M$42,((Inputs!$B$9+((C734=TRUE)*(F734-Calc!F19))+B746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722*(MIN(100,(Inputs!$B$9+((C734=TRUE)*(F734-Calc!F19))+B746+(ArtifactsInput!$M$24-ArtifactsInput!$M$24)*CHOOSE(ArtifactsInput!$N$24+1,10,12,14,16,18,20)+(IF(AND(Inputs!$B$38&lt;&gt;"pvp",Inputs!$B$43=0),1,IF(IF(Inputs!$B$38="pvp",15,Inputs!$B$43)-(B753)&lt;=0,1,MAX(0,IF(Inputs!$B$38="pvp",15,Inputs!$B$43)-MAX(5,B753))/(IF(Inputs!$B$38="pvp",15,Inputs!$B$43)-(B753))))*IF(AND(ArtifactsInput!$M$42,((Inputs!$B$9+((C734=TRUE)*(F734-Calc!F19))+B746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22">
        <f>IF(C722,(H722*N722*IF(AND(Inputs!$B$38&lt;&gt;"pvp",Inputs!$B$43&gt;0),((Skills!G7*((R722-1)*IF(Skills!H7&gt;0,INT(Skills!I7/Skills!H7+0.000000001),1)+IF(Skills!H7&gt;0,INT(MIN(Skills!I7,MAX(0,MAX(0,Inputs!$B$43-B753)-((R722-1)*(IF(Inputs!$B$38="pvp",15,MAX(0.1,Skills!D7-IF(TRUE=TRUE,Inputs!$B$32,0)))*(1-IF(AND(ArtifactsInput!$M$27,Inputs!$B$4="Chapter Hunt"),CHOOSE(ArtifactsInput!$N$27+1,20,24,28,32,36,40),0)/100)))))/Skills!H7+0.000000001),1)))/Inputs!$B$43),G722*Q722))*IF(Inputs!$B$38="pvp",1,(1+(Inputs!$B$21+Skills!Q7+(IF(ArtifactsInput!$M$33,CHOOSE(ArtifactsInput!$N$33+1,30,36,42,48,54,60),0))+(IF(AND(ArtifactsInput!$M$35,Inputs!$B$4&lt;&gt;"Chapter Hunt"),CHOOSE(ArtifactsInput!$N$35+1,15,18,21,24,27,30)*(1-EXP(-(0.2*B748)*5)),0)+IF(AND(ArtifactsInput!$M$22,Inputs!$B$4&lt;&gt;"Chapter Hunt"),CHOOSE(ArtifactsInput!$N$22+1,10,12,14,16,18,20)*((0*(((0.15*B748*5))^0/1)+1*(((0.15*B748*5))^1/1)+2*(((0.15*B748*5))^2/2)+3*(((0.15*B748*5))^3/6)+4*(((0.15*B748*5))^4/24)+5*(((0.15*B748*5))^5/120))/((((0.15*B748*5))^0/1)+(((0.15*B748*5))^1/1)+(((0.15*B748*5))^2/2)+(((0.15*B748*5))^3/6)+(((0.15*B748*5))^4/24)+(((0.15*B748*5))^5/120))),0))+IF(Inputs!$B$3&gt;=54,9*(C718=TRUE)*MIN(1,8*(1+Inputs!$B$34/100)*Q718),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23">
      <c r="A723">
        <f>Skills!A8</f>
        <v/>
      </c>
      <c r="B723">
        <f>Skills!B8</f>
        <v/>
      </c>
      <c r="C723">
        <f>Inputs!$B$3&gt;=103</f>
        <v/>
      </c>
      <c r="D723">
        <f>IF(Skills!C8=1,60+Inputs!$B$25+Inputs!$B$29,IF(Skills!C8=2,90+Inputs!$B$26+Inputs!$B$29,IF(Skills!C8=3,120+Inputs!$B$27+Inputs!$B$29,MAX(0,(Inputs!$B$3-100)*3)+Inputs!$B$28+Inputs!$B$29)))</f>
        <v/>
      </c>
      <c r="E723">
        <f>INDEX(FactorTable!$B$2:$Y$301, MATCH(ROUND(MIN(300,MAX(1,D723)),0), FactorTable!$A$2:$A$301,0), Skills!M8+1)</f>
        <v/>
      </c>
      <c r="F723">
        <f>IF(Skills!N8=TRUE,(Skills!L8/10)*(E723/1000),Skills!L8/10)+Skills!O8</f>
        <v/>
      </c>
      <c r="G723">
        <f>Skills!G8*IF(Skills!H8&gt;0,INT(IF(Inputs!$B$38="pvp",MIN(Skills!I8,15),Skills!I8)/Skills!H8+0.000000001),1)</f>
        <v/>
      </c>
      <c r="H723">
        <f>1-(1-Skills!J8/100)^Skills!K8</f>
        <v/>
      </c>
      <c r="I723" t="inlineStr">
        <is>
          <t>1</t>
        </is>
      </c>
      <c r="J723">
        <f>((Inputs!$B$6*(1+Inputs!$B$7/100))+(((Inputs!$B$12*(1+Inputs!$B$13/100))-(Inputs!$B$12*(1+Inputs!$B$13/100)))+0.25*(Inputs!$B$14-Inputs!$B$14))*(1+Inputs!$B$7/100))*(F723/100)</f>
        <v/>
      </c>
      <c r="K723">
        <f>J723*(1+((Inputs!$B$12*(1+Inputs!$B$13/100))*0.01+Inputs!$B$14*0.0025)/100)*(1+Inputs!$B$15/100)*(1+Inputs!$B$16/100)*(5000/(6000+Inputs!$B$42*(1-(100*(1-(1-(Inputs!$B$19+0)/100)*(1-CHOOSE(ArtifactsInput!$N$40+1,5,6,7,8,9,10)/100)^(ArtifactsInput!$M$40-ArtifactsInput!$M$40)))/100)))*(1+(Inputs!$B$24+((C741=TRUE)*(F741-Calc!F26))+B752)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IGHT_LEGS_EASTON",(Inputs!$B$17+1)+((C738=TRUE)*(F738-Calc!F23))+((C742=TRUE)*(F742-Calc!F27))+((IF(AND(Inputs!$B$38&lt;&gt;"pvp",Inputs!$B$43=0),1,IF(IF(Inputs!$B$38="pvp",15,Inputs!$B$43)-(B753)&lt;=0,1,MAX(0,IF(Inputs!$B$38="pvp",15,Inputs!$B$43)-MAX(5,B753))/(IF(Inputs!$B$38="pvp",15,Inputs!$B$43)-(B753))))*(IF(AND(ArtifactsInput!$M$42,((Inputs!$B$9+((C734=TRUE)*(F734-Calc!F19))+B746+(ArtifactsInput!$M$24-ArtifactsInput!$M$24)*CHOOSE(ArtifactsInput!$N$24+1,10,12,14,16,18,20)+IF(ArtifactsInput!$M$10,CHOOSE(ArtifactsInput!$N$10+1,15,18,21,24,27,30)*(IF(Inputs!$B$38="pvp",MIN(15,15)/15,IF(AND(Inputs!$B$38&lt;&gt;"pvp",Inputs!$B$43&gt;0),MIN(15,Inputs!$B$43)/(Inputs!$B$43),0))),0)))&gt;=100),MIN(100,((Inputs!$B$9+((C734=TRUE)*(F734-Calc!F19))+B746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753)&lt;=0,1,MAX(0,IF(Inputs!$B$38="pvp",15,Inputs!$B$43)-MAX(5,B753))/(IF(Inputs!$B$38="pvp",15,Inputs!$B$43)-(B753))))*IF(AND(ArtifactsInput!$M$42,((Inputs!$B$9+((C734=TRUE)*(F734-Calc!F19))+B746+(ArtifactsInput!$M$24-ArtifactsInput!$M$24)*CHOOSE(ArtifactsInput!$N$24+1,10,12,14,16,18,20)+IF(ArtifactsInput!$M$10,CHOOSE(ArtifactsInput!$N$10+1,15,18,21,24,27,30)*(IF(Inputs!$B$38="pvp",MIN(15,15)/15,IF(AND(Inputs!$B$38&lt;&gt;"pvp",Inputs!$B$43&gt;0),MIN(15,Inputs!$B$43)/(Inputs!$B$43),0))),0)))&gt;=100),CHOOSE(ArtifactsInput!$N$42+1,40,48,56,64,72,80),0))))/100)*((1+(((C732=TRUE)*F732*5/7)+((C739=TRUE)*(F739-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723)</f>
        <v/>
      </c>
      <c r="L723">
        <f>K723*(MIN(Inputs!$B$22+((C737=TRUE)*(F737-Calc!F22)),(Inputs!$B$23+0+(IF(ArtifactsInput!$M$15,CHOOSE(ArtifactsInput!$N$15+1,25,30,35,40,45,50)/100*(Inputs!$B$11-Inputs!$B$11),0))))/100+(Inputs!$B$23+0+(IF(ArtifactsInput!$M$15,CHOOSE(ArtifactsInput!$N$15+1,25,30,35,40,45,50)/100*(Inputs!$B$11-Inputs!$B$11),0)))/100)/2</f>
        <v/>
      </c>
      <c r="M723">
        <f>L723*(1+(Inputs!$B$10+((C740=TRUE)*(F740-Calc!F25))+B751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23">
        <f>L723*(1-MIN((Inputs!$B$9+((C734=TRUE)*(F734-Calc!F19))+B746+(ArtifactsInput!$M$24-ArtifactsInput!$M$24)*CHOOSE(ArtifactsInput!$N$24+1,10,12,14,16,18,20)+(IF(AND(Inputs!$B$38&lt;&gt;"pvp",Inputs!$B$43=0),1,IF(IF(Inputs!$B$38="pvp",15,Inputs!$B$43)-(B753)&lt;=0,1,MAX(0,IF(Inputs!$B$38="pvp",15,Inputs!$B$43)-MAX(5,B753))/(IF(Inputs!$B$38="pvp",15,Inputs!$B$43)-(B753))))*IF(AND(ArtifactsInput!$M$42,((Inputs!$B$9+((C734=TRUE)*(F734-Calc!F19))+B746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723*(MIN((Inputs!$B$9+((C734=TRUE)*(F734-Calc!F19))+B746+(ArtifactsInput!$M$24-ArtifactsInput!$M$24)*CHOOSE(ArtifactsInput!$N$24+1,10,12,14,16,18,20)+(IF(AND(Inputs!$B$38&lt;&gt;"pvp",Inputs!$B$43=0),1,IF(IF(Inputs!$B$38="pvp",15,Inputs!$B$43)-(B753)&lt;=0,1,MAX(0,IF(Inputs!$B$38="pvp",15,Inputs!$B$43)-MAX(5,B753))/(IF(Inputs!$B$38="pvp",15,Inputs!$B$43)-(B753))))*IF(AND(ArtifactsInput!$M$42,((Inputs!$B$9+((C734=TRUE)*(F734-Calc!F19))+B746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23">
        <f>(1-Summary!$B$11)*T723+Summary!$B$11*V723</f>
        <v/>
      </c>
      <c r="P723">
        <f>IF(B756=0,0,O723/B756)</f>
        <v/>
      </c>
      <c r="Q723">
        <f>IFERROR(1/((IF(Inputs!$B$38="pvp",15,MAX(0.1,Skills!D8-IF(TRUE=TRUE,Inputs!$B$32,0)))*(1-IF(AND(ArtifactsInput!$M$27,Inputs!$B$4="Chapter Hunt"),CHOOSE(ArtifactsInput!$N$27+1,20,24,28,32,36,40),0)/100))/B757),0)</f>
        <v/>
      </c>
      <c r="R723">
        <f>IF(AND(Inputs!$B$38&lt;&gt;"pvp",Inputs!$B$43&gt;0),IF(MAX(0,Inputs!$B$43-B753)&lt;=0,0,(INT(MAX(0,Inputs!$B$43-B753)/((IF(Inputs!$B$38="pvp",15,MAX(0.1,Skills!D8-IF(TRUE=TRUE,Inputs!$B$32,0)))*(1-IF(AND(ArtifactsInput!$M$27,Inputs!$B$4="Chapter Hunt"),CHOOSE(ArtifactsInput!$N$27+1,20,24,28,32,36,40),0)/100))/B757))+1)),0)</f>
        <v/>
      </c>
      <c r="S723">
        <f>IFERROR(O723/N723,0)</f>
        <v/>
      </c>
      <c r="T723">
        <f>IF(C723,(H723*N723*IF(AND(Inputs!$B$38&lt;&gt;"pvp",Inputs!$B$43&gt;0),((Skills!G8*((R723-1)*IF(Skills!H8&gt;0,INT(Skills!I8/Skills!H8+0.000000001),1)+IF(Skills!H8&gt;0,INT(MIN(Skills!I8,MAX(0,MAX(0,Inputs!$B$43-B753)-((R723-1)*((IF(Inputs!$B$38="pvp",15,MAX(0.1,Skills!D8-IF(TRUE=TRUE,Inputs!$B$32,0)))*(1-IF(AND(ArtifactsInput!$M$27,Inputs!$B$4="Chapter Hunt"),CHOOSE(ArtifactsInput!$N$27+1,20,24,28,32,36,40),0)/100))/B757))))/Skills!H8+0.000000001),1)))/Inputs!$B$43),G723*Q723))*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Hunt"),CHOOSE(ArtifactsInput!$N$35+1,15,18,21,24,27,30)*(1-EXP(-(0.2*B748)*5)),0)+IF(AND(ArtifactsInput!$M$22,Inputs!$B$4&lt;&gt;"Chapter Hunt"),CHOOSE(ArtifactsInput!$N$22+1,10,12,14,16,18,20)*((0*(((0.15*B748*5))^0/1)+1*(((0.15*B748*5))^1/1)+2*(((0.15*B748*5))^2/2)+3*(((0.15*B748*5))^3/6)+4*(((0.15*B748*5))^4/24)+5*(((0.15*B748*5))^5/120))/((((0.15*B748*5))^0/1)+(((0.15*B748*5))^1/1)+(((0.15*B748*5))^2/2)+(((0.15*B748*5))^3/6)+(((0.15*B748*5))^4/24)+(((0.15*B748*5))^5/120))),0))+IF(Inputs!$B$3&gt;=54,9*(C718=TRUE)*MIN(1,8*(1+Inputs!$B$34/100)*Q718)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723*(1-MIN(100,(Inputs!$B$9+((C734=TRUE)*(F734-Calc!F19))+B746+(ArtifactsInput!$M$24-ArtifactsInput!$M$24)*CHOOSE(ArtifactsInput!$N$24+1,10,12,14,16,18,20)+(IF(AND(Inputs!$B$38&lt;&gt;"pvp",Inputs!$B$43=0),1,IF(IF(Inputs!$B$38="pvp",15,Inputs!$B$43)-(B753)&lt;=0,1,MAX(0,IF(Inputs!$B$38="pvp",15,Inputs!$B$43)-MAX(5,B753))/(IF(Inputs!$B$38="pvp",15,Inputs!$B$43)-(B753))))*IF(AND(ArtifactsInput!$M$42,((Inputs!$B$9+((C734=TRUE)*(F734-Calc!F19))+B746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723*(MIN(100,(Inputs!$B$9+((C734=TRUE)*(F734-Calc!F19))+B746+(ArtifactsInput!$M$24-ArtifactsInput!$M$24)*CHOOSE(ArtifactsInput!$N$24+1,10,12,14,16,18,20)+(IF(AND(Inputs!$B$38&lt;&gt;"pvp",Inputs!$B$43=0),1,IF(IF(Inputs!$B$38="pvp",15,Inputs!$B$43)-(B753)&lt;=0,1,MAX(0,IF(Inputs!$B$38="pvp",15,Inputs!$B$43)-MAX(5,B753))/(IF(Inputs!$B$38="pvp",15,Inputs!$B$43)-(B753))))*IF(AND(ArtifactsInput!$M$42,((Inputs!$B$9+((C734=TRUE)*(F734-Calc!F19))+B746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723*(1-MIN(100,(Inputs!$B$9+((C734=TRUE)*(F734-Calc!F19))+B746+(ArtifactsInput!$M$24-ArtifactsInput!$M$24)*CHOOSE(ArtifactsInput!$N$24+1,10,12,14,16,18,20)+(IF(AND(Inputs!$B$38&lt;&gt;"pvp",Inputs!$B$43=0),1,IF(IF(Inputs!$B$38="pvp",15,Inputs!$B$43)-(B753)&lt;=0,1,MAX(0,IF(Inputs!$B$38="pvp",15,Inputs!$B$43)-MAX(5,B753))/(IF(Inputs!$B$38="pvp",15,Inputs!$B$43)-(B753))))*IF(AND(ArtifactsInput!$M$42,((Inputs!$B$9+((C734=TRUE)*(F734-Calc!F19))+B746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723*(MIN(100,(Inputs!$B$9+((C734=TRUE)*(F734-Calc!F19))+B746+(ArtifactsInput!$M$24-ArtifactsInput!$M$24)*CHOOSE(ArtifactsInput!$N$24+1,10,12,14,16,18,20)+(IF(AND(Inputs!$B$38&lt;&gt;"pvp",Inputs!$B$43=0),1,IF(IF(Inputs!$B$38="pvp",15,Inputs!$B$43)-(B753)&lt;=0,1,MAX(0,IF(Inputs!$B$38="pvp",15,Inputs!$B$43)-MAX(5,B753))/(IF(Inputs!$B$38="pvp",15,Inputs!$B$43)-(B753))))*IF(AND(ArtifactsInput!$M$42,((Inputs!$B$9+((C734=TRUE)*(F734-Calc!F19))+B746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23">
        <f>IF(C723,(H723*N723*IF(AND(Inputs!$B$38&lt;&gt;"pvp",Inputs!$B$43&gt;0),((Skills!G8*((R723-1)*IF(Skills!H8&gt;0,INT(Skills!I8/Skills!H8+0.000000001),1)+IF(Skills!H8&gt;0,INT(MIN(Skills!I8,MAX(0,MAX(0,Inputs!$B$43-B753)-((R723-1)*((IF(Inputs!$B$38="pvp",15,MAX(0.1,Skills!D8-IF(TRUE=TRUE,Inputs!$B$32,0)))*(1-IF(AND(ArtifactsInput!$M$27,Inputs!$B$4="Chapter Hunt"),CHOOSE(ArtifactsInput!$N$27+1,20,24,28,32,36,40),0)/100))/B757))))/Skills!H8+0.000000001),1)))/Inputs!$B$43),G723*Q723))*IF(Inputs!$B$38="pvp",1,(1+(Inputs!$B$21+Skills!Q8+(IF(ArtifactsInput!$M$33,CHOOSE(ArtifactsInput!$N$33+1,30,36,42,48,54,60),0))+(IF(AND(ArtifactsInput!$M$35,Inputs!$B$4&lt;&gt;"Chapter Hunt"),CHOOSE(ArtifactsInput!$N$35+1,15,18,21,24,27,30)*(1-EXP(-(0.2*B748)*5)),0)+IF(AND(ArtifactsInput!$M$22,Inputs!$B$4&lt;&gt;"Chapter Hunt"),CHOOSE(ArtifactsInput!$N$22+1,10,12,14,16,18,20)*((0*(((0.15*B748*5))^0/1)+1*(((0.15*B748*5))^1/1)+2*(((0.15*B748*5))^2/2)+3*(((0.15*B748*5))^3/6)+4*(((0.15*B748*5))^4/24)+5*(((0.15*B748*5))^5/120))/((((0.15*B748*5))^0/1)+(((0.15*B748*5))^1/1)+(((0.15*B748*5))^2/2)+(((0.15*B748*5))^3/6)+(((0.15*B748*5))^4/24)+(((0.15*B748*5))^5/120))),0))+IF(Inputs!$B$3&gt;=54,9*(C718=TRUE)*MIN(1,8*(1+Inputs!$B$34/100)*Q718),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24">
      <c r="A724">
        <f>Skills!A9</f>
        <v/>
      </c>
      <c r="B724">
        <f>Skills!B9</f>
        <v/>
      </c>
      <c r="C724">
        <f>Inputs!$B$3&gt;=105</f>
        <v/>
      </c>
      <c r="D724">
        <f>IF(Skills!C9=1,60+Inputs!$B$25+Inputs!$B$29,IF(Skills!C9=2,90+Inputs!$B$26+Inputs!$B$29,IF(Skills!C9=3,120+Inputs!$B$27+Inputs!$B$29,MAX(0,(Inputs!$B$3-100)*3)+Inputs!$B$28+Inputs!$B$29)))</f>
        <v/>
      </c>
      <c r="E724">
        <f>INDEX(FactorTable!$B$2:$Y$301, MATCH(ROUND(MIN(300,MAX(1,D724)),0), FactorTable!$A$2:$A$301,0), Skills!M9+1)</f>
        <v/>
      </c>
      <c r="F724">
        <f>IF(Skills!N9=TRUE,(Skills!L9/10)*(E724/1000),Skills!L9/10)+Skills!O9</f>
        <v/>
      </c>
      <c r="G724">
        <f>Skills!G9*IF(Skills!H9&gt;0,INT(IF(Inputs!$B$38="pvp",MIN(Skills!I9,15),Skills!I9)/Skills!H9+0.000000001),1)</f>
        <v/>
      </c>
      <c r="H724">
        <f>1-(1-Skills!J9/100)^Skills!K9</f>
        <v/>
      </c>
      <c r="I724" t="inlineStr">
        <is>
          <t>1</t>
        </is>
      </c>
      <c r="J724">
        <f>((Inputs!$B$6*(1+Inputs!$B$7/100))+(((Inputs!$B$12*(1+Inputs!$B$13/100))-(Inputs!$B$12*(1+Inputs!$B$13/100)))+0.25*(Inputs!$B$14-Inputs!$B$14))*(1+Inputs!$B$7/100))*(F724/100)</f>
        <v/>
      </c>
      <c r="K724">
        <f>J724*(1+((Inputs!$B$12*(1+Inputs!$B$13/100))*0.01+Inputs!$B$14*0.0025)/100)*(1+Inputs!$B$15/100)*(1+Inputs!$B$16/100)*(5000/(6000+Inputs!$B$42*(1-(100*(1-(1-(Inputs!$B$19+0)/100)*(1-CHOOSE(ArtifactsInput!$N$40+1,5,6,7,8,9,10)/100)^(ArtifactsInput!$M$40-ArtifactsInput!$M$40)))/100)))*(1+(Inputs!$B$24+((C741=TRUE)*(F741-Calc!F26))+B752)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IGHT_LEGS_EASTON",(Inputs!$B$17+1)+((C738=TRUE)*(F738-Calc!F23))+((C742=TRUE)*(F742-Calc!F27))+((IF(AND(Inputs!$B$38&lt;&gt;"pvp",Inputs!$B$43=0),1,IF(IF(Inputs!$B$38="pvp",15,Inputs!$B$43)-(B753)&lt;=0,1,MAX(0,IF(Inputs!$B$38="pvp",15,Inputs!$B$43)-MAX(5,B753))/(IF(Inputs!$B$38="pvp",15,Inputs!$B$43)-(B753))))*(IF(AND(ArtifactsInput!$M$42,((Inputs!$B$9+((C734=TRUE)*(F734-Calc!F19))+B746+(ArtifactsInput!$M$24-ArtifactsInput!$M$24)*CHOOSE(ArtifactsInput!$N$24+1,10,12,14,16,18,20)+IF(ArtifactsInput!$M$10,CHOOSE(ArtifactsInput!$N$10+1,15,18,21,24,27,30)*(IF(Inputs!$B$38="pvp",MIN(15,15)/15,IF(AND(Inputs!$B$38&lt;&gt;"pvp",Inputs!$B$43&gt;0),MIN(15,Inputs!$B$43)/(Inputs!$B$43),0))),0)))&gt;=100),MIN(100,((Inputs!$B$9+((C734=TRUE)*(F734-Calc!F19))+B746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753)&lt;=0,1,MAX(0,IF(Inputs!$B$38="pvp",15,Inputs!$B$43)-MAX(5,B753))/(IF(Inputs!$B$38="pvp",15,Inputs!$B$43)-(B753))))*IF(AND(ArtifactsInput!$M$42,((Inputs!$B$9+((C734=TRUE)*(F734-Calc!F19))+B746+(ArtifactsInput!$M$24-ArtifactsInput!$M$24)*CHOOSE(ArtifactsInput!$N$24+1,10,12,14,16,18,20)+IF(ArtifactsInput!$M$10,CHOOSE(ArtifactsInput!$N$10+1,15,18,21,24,27,30)*(IF(Inputs!$B$38="pvp",MIN(15,15)/15,IF(AND(Inputs!$B$38&lt;&gt;"pvp",Inputs!$B$43&gt;0),MIN(15,Inputs!$B$43)/(Inputs!$B$43),0))),0)))&gt;=100),CHOOSE(ArtifactsInput!$N$42+1,40,48,56,64,72,80),0))))/100)*((1+(((C732=TRUE)*F732*5/7)+((C739=TRUE)*(F739-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724)</f>
        <v/>
      </c>
      <c r="L724">
        <f>K724*(MIN(Inputs!$B$22+((C737=TRUE)*(F737-Calc!F22)),(Inputs!$B$23+0+(IF(ArtifactsInput!$M$15,CHOOSE(ArtifactsInput!$N$15+1,25,30,35,40,45,50)/100*(Inputs!$B$11-Inputs!$B$11),0))))/100+(Inputs!$B$23+0+(IF(ArtifactsInput!$M$15,CHOOSE(ArtifactsInput!$N$15+1,25,30,35,40,45,50)/100*(Inputs!$B$11-Inputs!$B$11),0)))/100)/2</f>
        <v/>
      </c>
      <c r="M724">
        <f>L724*(1+(Inputs!$B$10+((C740=TRUE)*(F740-Calc!F25))+B751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24">
        <f>L724*(1-MIN((Inputs!$B$9+((C734=TRUE)*(F734-Calc!F19))+B746+(ArtifactsInput!$M$24-ArtifactsInput!$M$24)*CHOOSE(ArtifactsInput!$N$24+1,10,12,14,16,18,20)+(IF(AND(Inputs!$B$38&lt;&gt;"pvp",Inputs!$B$43=0),1,IF(IF(Inputs!$B$38="pvp",15,Inputs!$B$43)-(B753)&lt;=0,1,MAX(0,IF(Inputs!$B$38="pvp",15,Inputs!$B$43)-MAX(5,B753))/(IF(Inputs!$B$38="pvp",15,Inputs!$B$43)-(B753))))*IF(AND(ArtifactsInput!$M$42,((Inputs!$B$9+((C734=TRUE)*(F734-Calc!F19))+B746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724*(MIN((Inputs!$B$9+((C734=TRUE)*(F734-Calc!F19))+B746+(ArtifactsInput!$M$24-ArtifactsInput!$M$24)*CHOOSE(ArtifactsInput!$N$24+1,10,12,14,16,18,20)+(IF(AND(Inputs!$B$38&lt;&gt;"pvp",Inputs!$B$43=0),1,IF(IF(Inputs!$B$38="pvp",15,Inputs!$B$43)-(B753)&lt;=0,1,MAX(0,IF(Inputs!$B$38="pvp",15,Inputs!$B$43)-MAX(5,B753))/(IF(Inputs!$B$38="pvp",15,Inputs!$B$43)-(B753))))*IF(AND(ArtifactsInput!$M$42,((Inputs!$B$9+((C734=TRUE)*(F734-Calc!F19))+B746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24">
        <f>(1-Summary!$B$11)*T724+Summary!$B$11*V724</f>
        <v/>
      </c>
      <c r="P724">
        <f>IF(B756=0,0,O724/B756)</f>
        <v/>
      </c>
      <c r="Q724">
        <f>IFERROR(1/(IF(Inputs!$B$38="pvp",15,MAX(0.1,Skills!D9-IF(TRUE=TRUE,Inputs!$B$32,0)))*(1-IF(AND(ArtifactsInput!$M$27,Inputs!$B$4="Chapter Hunt"),CHOOSE(ArtifactsInput!$N$27+1,20,24,28,32,36,40),0)/100)),0)</f>
        <v/>
      </c>
      <c r="R724">
        <f>IF(AND(Inputs!$B$38&lt;&gt;"pvp",Inputs!$B$43&gt;0),IF(MAX(0,Inputs!$B$43-B753)&lt;=0,0,(INT(MAX(0,Inputs!$B$43-B753)/(IF(Inputs!$B$38="pvp",15,MAX(0.1,Skills!D9-IF(TRUE=TRUE,Inputs!$B$32,0)))*(1-IF(AND(ArtifactsInput!$M$27,Inputs!$B$4="Chapter Hunt"),CHOOSE(ArtifactsInput!$N$27+1,20,24,28,32,36,40),0)/100)))+1)),0)</f>
        <v/>
      </c>
      <c r="S724">
        <f>IFERROR(O724/N724,0)</f>
        <v/>
      </c>
      <c r="T724">
        <f>IF(C724,(H724*N724*IF(AND(Inputs!$B$38&lt;&gt;"pvp",Inputs!$B$43&gt;0),((Skills!G9*((R724-1)*IF(Skills!H9&gt;0,INT(Skills!I9/Skills!H9+0.000000001),1)+IF(Skills!H9&gt;0,INT(MIN(Skills!I9,MAX(0,MAX(0,Inputs!$B$43-B753)-((R724-1)*(IF(Inputs!$B$38="pvp",15,MAX(0.1,Skills!D9-IF(TRUE=TRUE,Inputs!$B$32,0)))*(1-IF(AND(ArtifactsInput!$M$27,Inputs!$B$4="Chapter Hunt"),CHOOSE(ArtifactsInput!$N$27+1,20,24,28,32,36,40),0)/100)))))/Skills!H9+0.000000001),1)))/Inputs!$B$43),G724*Q724))*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Hunt"),CHOOSE(ArtifactsInput!$N$35+1,15,18,21,24,27,30)*(1-EXP(-(0.2*B748)*5)),0)+IF(AND(ArtifactsInput!$M$22,Inputs!$B$4&lt;&gt;"Chapter Hunt"),CHOOSE(ArtifactsInput!$N$22+1,10,12,14,16,18,20)*((0*(((0.15*B748*5))^0/1)+1*(((0.15*B748*5))^1/1)+2*(((0.15*B748*5))^2/2)+3*(((0.15*B748*5))^3/6)+4*(((0.15*B748*5))^4/24)+5*(((0.15*B748*5))^5/120))/((((0.15*B748*5))^0/1)+(((0.15*B748*5))^1/1)+(((0.15*B748*5))^2/2)+(((0.15*B748*5))^3/6)+(((0.15*B748*5))^4/24)+(((0.15*B748*5))^5/120))),0))+IF(Inputs!$B$3&gt;=54,9*(C718=TRUE)*MIN(1,8*(1+Inputs!$B$34/100)*Q718)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724*(1-MIN(100,(Inputs!$B$9+((C734=TRUE)*(F734-Calc!F19))+B746+(ArtifactsInput!$M$24-ArtifactsInput!$M$24)*CHOOSE(ArtifactsInput!$N$24+1,10,12,14,16,18,20)+(IF(AND(Inputs!$B$38&lt;&gt;"pvp",Inputs!$B$43=0),1,IF(IF(Inputs!$B$38="pvp",15,Inputs!$B$43)-(B753)&lt;=0,1,MAX(0,IF(Inputs!$B$38="pvp",15,Inputs!$B$43)-MAX(5,B753))/(IF(Inputs!$B$38="pvp",15,Inputs!$B$43)-(B753))))*IF(AND(ArtifactsInput!$M$42,((Inputs!$B$9+((C734=TRUE)*(F734-Calc!F19))+B746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724*(MIN(100,(Inputs!$B$9+((C734=TRUE)*(F734-Calc!F19))+B746+(ArtifactsInput!$M$24-ArtifactsInput!$M$24)*CHOOSE(ArtifactsInput!$N$24+1,10,12,14,16,18,20)+(IF(AND(Inputs!$B$38&lt;&gt;"pvp",Inputs!$B$43=0),1,IF(IF(Inputs!$B$38="pvp",15,Inputs!$B$43)-(B753)&lt;=0,1,MAX(0,IF(Inputs!$B$38="pvp",15,Inputs!$B$43)-MAX(5,B753))/(IF(Inputs!$B$38="pvp",15,Inputs!$B$43)-(B753))))*IF(AND(ArtifactsInput!$M$42,((Inputs!$B$9+((C734=TRUE)*(F734-Calc!F19))+B746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724*(1-MIN(100,(Inputs!$B$9+((C734=TRUE)*(F734-Calc!F19))+B746+(ArtifactsInput!$M$24-ArtifactsInput!$M$24)*CHOOSE(ArtifactsInput!$N$24+1,10,12,14,16,18,20)+(IF(AND(Inputs!$B$38&lt;&gt;"pvp",Inputs!$B$43=0),1,IF(IF(Inputs!$B$38="pvp",15,Inputs!$B$43)-(B753)&lt;=0,1,MAX(0,IF(Inputs!$B$38="pvp",15,Inputs!$B$43)-MAX(5,B753))/(IF(Inputs!$B$38="pvp",15,Inputs!$B$43)-(B753))))*IF(AND(ArtifactsInput!$M$42,((Inputs!$B$9+((C734=TRUE)*(F734-Calc!F19))+B746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724*(MIN(100,(Inputs!$B$9+((C734=TRUE)*(F734-Calc!F19))+B746+(ArtifactsInput!$M$24-ArtifactsInput!$M$24)*CHOOSE(ArtifactsInput!$N$24+1,10,12,14,16,18,20)+(IF(AND(Inputs!$B$38&lt;&gt;"pvp",Inputs!$B$43=0),1,IF(IF(Inputs!$B$38="pvp",15,Inputs!$B$43)-(B753)&lt;=0,1,MAX(0,IF(Inputs!$B$38="pvp",15,Inputs!$B$43)-MAX(5,B753))/(IF(Inputs!$B$38="pvp",15,Inputs!$B$43)-(B753))))*IF(AND(ArtifactsInput!$M$42,((Inputs!$B$9+((C734=TRUE)*(F734-Calc!F19))+B746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24">
        <f>IF(C724,(H724*N724*IF(AND(Inputs!$B$38&lt;&gt;"pvp",Inputs!$B$43&gt;0),((Skills!G9*((R724-1)*IF(Skills!H9&gt;0,INT(Skills!I9/Skills!H9+0.000000001),1)+IF(Skills!H9&gt;0,INT(MIN(Skills!I9,MAX(0,MAX(0,Inputs!$B$43-B753)-((R724-1)*(IF(Inputs!$B$38="pvp",15,MAX(0.1,Skills!D9-IF(TRUE=TRUE,Inputs!$B$32,0)))*(1-IF(AND(ArtifactsInput!$M$27,Inputs!$B$4="Chapter Hunt"),CHOOSE(ArtifactsInput!$N$27+1,20,24,28,32,36,40),0)/100)))))/Skills!H9+0.000000001),1)))/Inputs!$B$43),G724*Q724))*IF(Inputs!$B$38="pvp",1,(1+(Inputs!$B$21+Skills!Q9+(IF(ArtifactsInput!$M$33,CHOOSE(ArtifactsInput!$N$33+1,30,36,42,48,54,60),0))+(IF(AND(ArtifactsInput!$M$35,Inputs!$B$4&lt;&gt;"Chapter Hunt"),CHOOSE(ArtifactsInput!$N$35+1,15,18,21,24,27,30)*(1-EXP(-(0.2*B748)*5)),0)+IF(AND(ArtifactsInput!$M$22,Inputs!$B$4&lt;&gt;"Chapter Hunt"),CHOOSE(ArtifactsInput!$N$22+1,10,12,14,16,18,20)*((0*(((0.15*B748*5))^0/1)+1*(((0.15*B748*5))^1/1)+2*(((0.15*B748*5))^2/2)+3*(((0.15*B748*5))^3/6)+4*(((0.15*B748*5))^4/24)+5*(((0.15*B748*5))^5/120))/((((0.15*B748*5))^0/1)+(((0.15*B748*5))^1/1)+(((0.15*B748*5))^2/2)+(((0.15*B748*5))^3/6)+(((0.15*B748*5))^4/24)+(((0.15*B748*5))^5/120))),0))+IF(Inputs!$B$3&gt;=54,9*(C718=TRUE)*MIN(1,8*(1+Inputs!$B$34/100)*Q718),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25">
      <c r="A725">
        <f>Skills!A10</f>
        <v/>
      </c>
      <c r="B725">
        <f>Skills!B10</f>
        <v/>
      </c>
      <c r="C725">
        <f>Inputs!$B$3&gt;=113</f>
        <v/>
      </c>
      <c r="D725">
        <f>IF(Skills!C10=1,60+Inputs!$B$25+Inputs!$B$29,IF(Skills!C10=2,90+Inputs!$B$26+Inputs!$B$29,IF(Skills!C10=3,120+Inputs!$B$27+Inputs!$B$29,MAX(0,(Inputs!$B$3-100)*3)+Inputs!$B$28+Inputs!$B$29)))</f>
        <v/>
      </c>
      <c r="E725">
        <f>INDEX(FactorTable!$B$2:$Y$301, MATCH(ROUND(MIN(300,MAX(1,D725)),0), FactorTable!$A$2:$A$301,0), Skills!M10+1)</f>
        <v/>
      </c>
      <c r="F725">
        <f>IF(Skills!N10=TRUE,(Skills!L10/10)*(E725/1000),Skills!L10/10)+Skills!O10</f>
        <v/>
      </c>
      <c r="G725">
        <f>Skills!G10*IF(Skills!H10&gt;0,INT(IF(Inputs!$B$38="pvp",MIN(Skills!I10,15),Skills!I10)/Skills!H10+0.000000001),1)</f>
        <v/>
      </c>
      <c r="H725">
        <f>1-(1-Skills!J10/100)^Skills!K10</f>
        <v/>
      </c>
      <c r="I725" t="inlineStr">
        <is>
          <t>1</t>
        </is>
      </c>
      <c r="J725">
        <f>((Inputs!$B$6*(1+Inputs!$B$7/100))+(((Inputs!$B$12*(1+Inputs!$B$13/100))-(Inputs!$B$12*(1+Inputs!$B$13/100)))+0.25*(Inputs!$B$14-Inputs!$B$14))*(1+Inputs!$B$7/100))*(F725/100)</f>
        <v/>
      </c>
      <c r="K725">
        <f>J725*(1+((Inputs!$B$12*(1+Inputs!$B$13/100))*0.01+Inputs!$B$14*0.0025)/100)*(1+Inputs!$B$15/100)*(1+Inputs!$B$16/100)*(5000/(6000+Inputs!$B$42*(1-(100*(1-(1-(Inputs!$B$19+0)/100)*(1-CHOOSE(ArtifactsInput!$N$40+1,5,6,7,8,9,10)/100)^(ArtifactsInput!$M$40-ArtifactsInput!$M$40)))/100)))*(1+(Inputs!$B$24+((C741=TRUE)*(F741-Calc!F26))+B752)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IGHT_LEGS_EASTON",(Inputs!$B$17+1)+((C738=TRUE)*(F738-Calc!F23))+((C742=TRUE)*(F742-Calc!F27))+((IF(AND(Inputs!$B$38&lt;&gt;"pvp",Inputs!$B$43=0),1,IF(IF(Inputs!$B$38="pvp",15,Inputs!$B$43)-(B753)&lt;=0,1,MAX(0,IF(Inputs!$B$38="pvp",15,Inputs!$B$43)-MAX(5,B753))/(IF(Inputs!$B$38="pvp",15,Inputs!$B$43)-(B753))))*(IF(AND(ArtifactsInput!$M$42,((Inputs!$B$9+((C734=TRUE)*(F734-Calc!F19))+B746+(ArtifactsInput!$M$24-ArtifactsInput!$M$24)*CHOOSE(ArtifactsInput!$N$24+1,10,12,14,16,18,20)+IF(ArtifactsInput!$M$10,CHOOSE(ArtifactsInput!$N$10+1,15,18,21,24,27,30)*(IF(Inputs!$B$38="pvp",MIN(15,15)/15,IF(AND(Inputs!$B$38&lt;&gt;"pvp",Inputs!$B$43&gt;0),MIN(15,Inputs!$B$43)/(Inputs!$B$43),0))),0)))&gt;=100),MIN(100,((Inputs!$B$9+((C734=TRUE)*(F734-Calc!F19))+B746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753)&lt;=0,1,MAX(0,IF(Inputs!$B$38="pvp",15,Inputs!$B$43)-MAX(5,B753))/(IF(Inputs!$B$38="pvp",15,Inputs!$B$43)-(B753))))*IF(AND(ArtifactsInput!$M$42,((Inputs!$B$9+((C734=TRUE)*(F734-Calc!F19))+B746+(ArtifactsInput!$M$24-ArtifactsInput!$M$24)*CHOOSE(ArtifactsInput!$N$24+1,10,12,14,16,18,20)+IF(ArtifactsInput!$M$10,CHOOSE(ArtifactsInput!$N$10+1,15,18,21,24,27,30)*(IF(Inputs!$B$38="pvp",MIN(15,15)/15,IF(AND(Inputs!$B$38&lt;&gt;"pvp",Inputs!$B$43&gt;0),MIN(15,Inputs!$B$43)/(Inputs!$B$43),0))),0)))&gt;=100),CHOOSE(ArtifactsInput!$N$42+1,40,48,56,64,72,80),0))))/100)*((1+(((C732=TRUE)*F732*5/7)+((C739=TRUE)*(F739-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725)</f>
        <v/>
      </c>
      <c r="L725">
        <f>K725*(MIN(Inputs!$B$22+((C737=TRUE)*(F737-Calc!F22)),(Inputs!$B$23+0+(IF(ArtifactsInput!$M$15,CHOOSE(ArtifactsInput!$N$15+1,25,30,35,40,45,50)/100*(Inputs!$B$11-Inputs!$B$11),0))))/100+(Inputs!$B$23+0+(IF(ArtifactsInput!$M$15,CHOOSE(ArtifactsInput!$N$15+1,25,30,35,40,45,50)/100*(Inputs!$B$11-Inputs!$B$11),0)))/100)/2</f>
        <v/>
      </c>
      <c r="M725">
        <f>L725*(1+(Inputs!$B$10+((C740=TRUE)*(F740-Calc!F25))+B751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25">
        <f>L725*(1-MIN((Inputs!$B$9+((C734=TRUE)*(F734-Calc!F19))+B746+(ArtifactsInput!$M$24-ArtifactsInput!$M$24)*CHOOSE(ArtifactsInput!$N$24+1,10,12,14,16,18,20)+(IF(AND(Inputs!$B$38&lt;&gt;"pvp",Inputs!$B$43=0),1,IF(IF(Inputs!$B$38="pvp",15,Inputs!$B$43)-(B753)&lt;=0,1,MAX(0,IF(Inputs!$B$38="pvp",15,Inputs!$B$43)-MAX(5,B753))/(IF(Inputs!$B$38="pvp",15,Inputs!$B$43)-(B753))))*IF(AND(ArtifactsInput!$M$42,((Inputs!$B$9+((C734=TRUE)*(F734-Calc!F19))+B746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725*(MIN((Inputs!$B$9+((C734=TRUE)*(F734-Calc!F19))+B746+(ArtifactsInput!$M$24-ArtifactsInput!$M$24)*CHOOSE(ArtifactsInput!$N$24+1,10,12,14,16,18,20)+(IF(AND(Inputs!$B$38&lt;&gt;"pvp",Inputs!$B$43=0),1,IF(IF(Inputs!$B$38="pvp",15,Inputs!$B$43)-(B753)&lt;=0,1,MAX(0,IF(Inputs!$B$38="pvp",15,Inputs!$B$43)-MAX(5,B753))/(IF(Inputs!$B$38="pvp",15,Inputs!$B$43)-(B753))))*IF(AND(ArtifactsInput!$M$42,((Inputs!$B$9+((C734=TRUE)*(F734-Calc!F19))+B746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25">
        <f>(1-Summary!$B$11)*T725+Summary!$B$11*V725</f>
        <v/>
      </c>
      <c r="P725">
        <f>IF(B756=0,0,O725/B756)</f>
        <v/>
      </c>
      <c r="Q725" t="n">
        <v>0</v>
      </c>
      <c r="R725" t="n">
        <v>0</v>
      </c>
      <c r="S725">
        <f>IFERROR(O725/N725,0)</f>
        <v/>
      </c>
      <c r="T725">
        <f>IF(C725,((H725*B758)/(1+Skills!H10*H725*B758)*N725)*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Hunt"),CHOOSE(ArtifactsInput!$N$35+1,15,18,21,24,27,30)*(1-EXP(-(0.2*B748)*5)),0)+IF(AND(ArtifactsInput!$M$22,Inputs!$B$4&lt;&gt;"Chapter Hunt"),CHOOSE(ArtifactsInput!$N$22+1,10,12,14,16,18,20)*((0*(((0.15*B748*5))^0/1)+1*(((0.15*B748*5))^1/1)+2*(((0.15*B748*5))^2/2)+3*(((0.15*B748*5))^3/6)+4*(((0.15*B748*5))^4/24)+5*(((0.15*B748*5))^5/120))/((((0.15*B748*5))^0/1)+(((0.15*B748*5))^1/1)+(((0.15*B748*5))^2/2)+(((0.15*B748*5))^3/6)+(((0.15*B748*5))^4/24)+(((0.15*B748*5))^5/120))),0))+IF(Inputs!$B$3&gt;=54,9*(C718=TRUE)*MIN(1,8*(1+Inputs!$B$34/100)*Q718)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725*(1-MIN(100,(Inputs!$B$9+((C734=TRUE)*(F734-Calc!F19))+B746+(ArtifactsInput!$M$24-ArtifactsInput!$M$24)*CHOOSE(ArtifactsInput!$N$24+1,10,12,14,16,18,20)+(IF(AND(Inputs!$B$38&lt;&gt;"pvp",Inputs!$B$43=0),1,IF(IF(Inputs!$B$38="pvp",15,Inputs!$B$43)-(B753)&lt;=0,1,MAX(0,IF(Inputs!$B$38="pvp",15,Inputs!$B$43)-MAX(5,B753))/(IF(Inputs!$B$38="pvp",15,Inputs!$B$43)-(B753))))*IF(AND(ArtifactsInput!$M$42,((Inputs!$B$9+((C734=TRUE)*(F734-Calc!F19))+B746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725*(MIN(100,(Inputs!$B$9+((C734=TRUE)*(F734-Calc!F19))+B746+(ArtifactsInput!$M$24-ArtifactsInput!$M$24)*CHOOSE(ArtifactsInput!$N$24+1,10,12,14,16,18,20)+(IF(AND(Inputs!$B$38&lt;&gt;"pvp",Inputs!$B$43=0),1,IF(IF(Inputs!$B$38="pvp",15,Inputs!$B$43)-(B753)&lt;=0,1,MAX(0,IF(Inputs!$B$38="pvp",15,Inputs!$B$43)-MAX(5,B753))/(IF(Inputs!$B$38="pvp",15,Inputs!$B$43)-(B753))))*IF(AND(ArtifactsInput!$M$42,((Inputs!$B$9+((C734=TRUE)*(F734-Calc!F19))+B746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725*(1-MIN(100,(Inputs!$B$9+((C734=TRUE)*(F734-Calc!F19))+B746+(ArtifactsInput!$M$24-ArtifactsInput!$M$24)*CHOOSE(ArtifactsInput!$N$24+1,10,12,14,16,18,20)+(IF(AND(Inputs!$B$38&lt;&gt;"pvp",Inputs!$B$43=0),1,IF(IF(Inputs!$B$38="pvp",15,Inputs!$B$43)-(B753)&lt;=0,1,MAX(0,IF(Inputs!$B$38="pvp",15,Inputs!$B$43)-MAX(5,B753))/(IF(Inputs!$B$38="pvp",15,Inputs!$B$43)-(B753))))*IF(AND(ArtifactsInput!$M$42,((Inputs!$B$9+((C734=TRUE)*(F734-Calc!F19))+B746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725*(MIN(100,(Inputs!$B$9+((C734=TRUE)*(F734-Calc!F19))+B746+(ArtifactsInput!$M$24-ArtifactsInput!$M$24)*CHOOSE(ArtifactsInput!$N$24+1,10,12,14,16,18,20)+(IF(AND(Inputs!$B$38&lt;&gt;"pvp",Inputs!$B$43=0),1,IF(IF(Inputs!$B$38="pvp",15,Inputs!$B$43)-(B753)&lt;=0,1,MAX(0,IF(Inputs!$B$38="pvp",15,Inputs!$B$43)-MAX(5,B753))/(IF(Inputs!$B$38="pvp",15,Inputs!$B$43)-(B753))))*IF(AND(ArtifactsInput!$M$42,((Inputs!$B$9+((C734=TRUE)*(F734-Calc!F19))+B746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25">
        <f>IF(C725,((H725*B758)/(1+Skills!H10*H725*B758)*N725)*IF(Inputs!$B$38="pvp",1,(1+(Inputs!$B$21+Skills!Q10+(IF(ArtifactsInput!$M$33,CHOOSE(ArtifactsInput!$N$33+1,30,36,42,48,54,60),0))+(IF(AND(ArtifactsInput!$M$35,Inputs!$B$4&lt;&gt;"Chapter Hunt"),CHOOSE(ArtifactsInput!$N$35+1,15,18,21,24,27,30)*(1-EXP(-(0.2*B748)*5)),0)+IF(AND(ArtifactsInput!$M$22,Inputs!$B$4&lt;&gt;"Chapter Hunt"),CHOOSE(ArtifactsInput!$N$22+1,10,12,14,16,18,20)*((0*(((0.15*B748*5))^0/1)+1*(((0.15*B748*5))^1/1)+2*(((0.15*B748*5))^2/2)+3*(((0.15*B748*5))^3/6)+4*(((0.15*B748*5))^4/24)+5*(((0.15*B748*5))^5/120))/((((0.15*B748*5))^0/1)+(((0.15*B748*5))^1/1)+(((0.15*B748*5))^2/2)+(((0.15*B748*5))^3/6)+(((0.15*B748*5))^4/24)+(((0.15*B748*5))^5/120))),0))+IF(Inputs!$B$3&gt;=54,9*(C718=TRUE)*MIN(1,8*(1+Inputs!$B$34/100)*Q718),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26">
      <c r="A726">
        <f>Skills!A11</f>
        <v/>
      </c>
      <c r="B726">
        <f>Skills!B11</f>
        <v/>
      </c>
      <c r="C726">
        <f>Inputs!$B$3&gt;=117</f>
        <v/>
      </c>
      <c r="D726">
        <f>IF(Skills!C11=1,60+Inputs!$B$25+Inputs!$B$29,IF(Skills!C11=2,90+Inputs!$B$26+Inputs!$B$29,IF(Skills!C11=3,120+Inputs!$B$27+Inputs!$B$29,MAX(0,(Inputs!$B$3-100)*3)+Inputs!$B$28+Inputs!$B$29)))</f>
        <v/>
      </c>
      <c r="E726">
        <f>INDEX(FactorTable!$B$2:$Y$301, MATCH(ROUND(MIN(300,MAX(1,D726)),0), FactorTable!$A$2:$A$301,0), Skills!M11+1)</f>
        <v/>
      </c>
      <c r="F726">
        <f>IF(Skills!N11=TRUE,(Skills!L11/10)*(E726/1000),Skills!L11/10)+Skills!O11</f>
        <v/>
      </c>
      <c r="G726">
        <f>Skills!G11*IF(Skills!H11&gt;0,INT(IF(Inputs!$B$38="pvp",MIN(Skills!I11,15),Skills!I11)/Skills!H11+0.000000001),1)</f>
        <v/>
      </c>
      <c r="H726">
        <f>1-(1-Skills!J11/100)^Skills!K11</f>
        <v/>
      </c>
      <c r="I726" t="inlineStr">
        <is>
          <t>1</t>
        </is>
      </c>
      <c r="J726">
        <f>((Inputs!$B$6*(1+Inputs!$B$7/100))+(((Inputs!$B$12*(1+Inputs!$B$13/100))-(Inputs!$B$12*(1+Inputs!$B$13/100)))+0.25*(Inputs!$B$14-Inputs!$B$14))*(1+Inputs!$B$7/100))*(F726/100)</f>
        <v/>
      </c>
      <c r="K726">
        <f>J726*(1+((Inputs!$B$12*(1+Inputs!$B$13/100))*0.01+Inputs!$B$14*0.0025)/100)*(1+Inputs!$B$15/100)*(1+Inputs!$B$16/100)*(5000/(6000+Inputs!$B$42*(1-(100*(1-(1-(Inputs!$B$19+0)/100)*(1-CHOOSE(ArtifactsInput!$N$40+1,5,6,7,8,9,10)/100)^(ArtifactsInput!$M$40-ArtifactsInput!$M$40)))/100)))*(1+(Inputs!$B$24+((C741=TRUE)*(F741-Calc!F26))+B752)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IGHT_LEGS_EASTON",(Inputs!$B$17+1)+((C738=TRUE)*(F738-Calc!F23))+((C742=TRUE)*(F742-Calc!F27))+((IF(AND(Inputs!$B$38&lt;&gt;"pvp",Inputs!$B$43=0),1,IF(IF(Inputs!$B$38="pvp",15,Inputs!$B$43)-(B753)&lt;=0,1,MAX(0,IF(Inputs!$B$38="pvp",15,Inputs!$B$43)-MAX(5,B753))/(IF(Inputs!$B$38="pvp",15,Inputs!$B$43)-(B753))))*(IF(AND(ArtifactsInput!$M$42,((Inputs!$B$9+((C734=TRUE)*(F734-Calc!F19))+B746+(ArtifactsInput!$M$24-ArtifactsInput!$M$24)*CHOOSE(ArtifactsInput!$N$24+1,10,12,14,16,18,20)+IF(ArtifactsInput!$M$10,CHOOSE(ArtifactsInput!$N$10+1,15,18,21,24,27,30)*(IF(Inputs!$B$38="pvp",MIN(15,15)/15,IF(AND(Inputs!$B$38&lt;&gt;"pvp",Inputs!$B$43&gt;0),MIN(15,Inputs!$B$43)/(Inputs!$B$43),0))),0)))&gt;=100),MIN(100,((Inputs!$B$9+((C734=TRUE)*(F734-Calc!F19))+B746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753)&lt;=0,1,MAX(0,IF(Inputs!$B$38="pvp",15,Inputs!$B$43)-MAX(5,B753))/(IF(Inputs!$B$38="pvp",15,Inputs!$B$43)-(B753))))*IF(AND(ArtifactsInput!$M$42,((Inputs!$B$9+((C734=TRUE)*(F734-Calc!F19))+B746+(ArtifactsInput!$M$24-ArtifactsInput!$M$24)*CHOOSE(ArtifactsInput!$N$24+1,10,12,14,16,18,20)+IF(ArtifactsInput!$M$10,CHOOSE(ArtifactsInput!$N$10+1,15,18,21,24,27,30)*(IF(Inputs!$B$38="pvp",MIN(15,15)/15,IF(AND(Inputs!$B$38&lt;&gt;"pvp",Inputs!$B$43&gt;0),MIN(15,Inputs!$B$43)/(Inputs!$B$43),0))),0)))&gt;=100),CHOOSE(ArtifactsInput!$N$42+1,40,48,56,64,72,80),0))))/100)*((1+(((C732=TRUE)*F732*5/7)+((C739=TRUE)*(F739-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726)</f>
        <v/>
      </c>
      <c r="L726">
        <f>K726*(MIN(Inputs!$B$22+((C737=TRUE)*(F737-Calc!F22)),(Inputs!$B$23+0+(IF(ArtifactsInput!$M$15,CHOOSE(ArtifactsInput!$N$15+1,25,30,35,40,45,50)/100*(Inputs!$B$11-Inputs!$B$11),0))))/100+(Inputs!$B$23+0+(IF(ArtifactsInput!$M$15,CHOOSE(ArtifactsInput!$N$15+1,25,30,35,40,45,50)/100*(Inputs!$B$11-Inputs!$B$11),0)))/100)/2</f>
        <v/>
      </c>
      <c r="M726">
        <f>L726*(1+(Inputs!$B$10+((C740=TRUE)*(F740-Calc!F25))+B751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26">
        <f>L726*(1-MIN((Inputs!$B$9+((C734=TRUE)*(F734-Calc!F19))+B746+(ArtifactsInput!$M$24-ArtifactsInput!$M$24)*CHOOSE(ArtifactsInput!$N$24+1,10,12,14,16,18,20)+(IF(AND(Inputs!$B$38&lt;&gt;"pvp",Inputs!$B$43=0),1,IF(IF(Inputs!$B$38="pvp",15,Inputs!$B$43)-(B753)&lt;=0,1,MAX(0,IF(Inputs!$B$38="pvp",15,Inputs!$B$43)-MAX(5,B753))/(IF(Inputs!$B$38="pvp",15,Inputs!$B$43)-(B753))))*IF(AND(ArtifactsInput!$M$42,((Inputs!$B$9+((C734=TRUE)*(F734-Calc!F19))+B746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726*(MIN((Inputs!$B$9+((C734=TRUE)*(F734-Calc!F19))+B746+(ArtifactsInput!$M$24-ArtifactsInput!$M$24)*CHOOSE(ArtifactsInput!$N$24+1,10,12,14,16,18,20)+(IF(AND(Inputs!$B$38&lt;&gt;"pvp",Inputs!$B$43=0),1,IF(IF(Inputs!$B$38="pvp",15,Inputs!$B$43)-(B753)&lt;=0,1,MAX(0,IF(Inputs!$B$38="pvp",15,Inputs!$B$43)-MAX(5,B753))/(IF(Inputs!$B$38="pvp",15,Inputs!$B$43)-(B753))))*IF(AND(ArtifactsInput!$M$42,((Inputs!$B$9+((C734=TRUE)*(F734-Calc!F19))+B746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26">
        <f>(1-Summary!$B$11)*T726+Summary!$B$11*V726</f>
        <v/>
      </c>
      <c r="P726">
        <f>IF(B756=0,0,O726/B756)</f>
        <v/>
      </c>
      <c r="Q726">
        <f>IFERROR(1/((IF(Inputs!$B$38="pvp",15,MAX(0.1,Skills!D11-IF(TRUE=TRUE,Inputs!$B$32,0)))*(1-IF(AND(ArtifactsInput!$M$27,Inputs!$B$4="Chapter Hunt"),CHOOSE(ArtifactsInput!$N$27+1,20,24,28,32,36,40),0)/100))/B757),0)</f>
        <v/>
      </c>
      <c r="R726">
        <f>IF(AND(Inputs!$B$38&lt;&gt;"pvp",Inputs!$B$43&gt;0),IF(MAX(0,Inputs!$B$43-B753)&lt;=0,0,(INT(MAX(0,Inputs!$B$43-B753)/((IF(Inputs!$B$38="pvp",15,MAX(0.1,Skills!D11-IF(TRUE=TRUE,Inputs!$B$32,0)))*(1-IF(AND(ArtifactsInput!$M$27,Inputs!$B$4="Chapter Hunt"),CHOOSE(ArtifactsInput!$N$27+1,20,24,28,32,36,40),0)/100))/B757))+1)),0)</f>
        <v/>
      </c>
      <c r="S726">
        <f>IFERROR(O726/N726,0)</f>
        <v/>
      </c>
      <c r="T726">
        <f>IF(C726,(H726*N726*IF(AND(Inputs!$B$38&lt;&gt;"pvp",Inputs!$B$43&gt;0),((Skills!G11*((R726-1)*IF(Skills!H11&gt;0,INT(Skills!I11/Skills!H11+0.000000001),1)+IF(Skills!H11&gt;0,INT(MIN(Skills!I11,MAX(0,MAX(0,Inputs!$B$43-B753)-((R726-1)*((IF(Inputs!$B$38="pvp",15,MAX(0.1,Skills!D11-IF(TRUE=TRUE,Inputs!$B$32,0)))*(1-IF(AND(ArtifactsInput!$M$27,Inputs!$B$4="Chapter Hunt"),CHOOSE(ArtifactsInput!$N$27+1,20,24,28,32,36,40),0)/100))/B757))))/Skills!H11+0.000000001),1)))/Inputs!$B$43),G726*Q726))*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Hunt"),CHOOSE(ArtifactsInput!$N$35+1,15,18,21,24,27,30)*(1-EXP(-(0.2*B748)*5)),0)+IF(AND(ArtifactsInput!$M$22,Inputs!$B$4&lt;&gt;"Chapter Hunt"),CHOOSE(ArtifactsInput!$N$22+1,10,12,14,16,18,20)*((0*(((0.15*B748*5))^0/1)+1*(((0.15*B748*5))^1/1)+2*(((0.15*B748*5))^2/2)+3*(((0.15*B748*5))^3/6)+4*(((0.15*B748*5))^4/24)+5*(((0.15*B748*5))^5/120))/((((0.15*B748*5))^0/1)+(((0.15*B748*5))^1/1)+(((0.15*B748*5))^2/2)+(((0.15*B748*5))^3/6)+(((0.15*B748*5))^4/24)+(((0.15*B748*5))^5/120))),0))+IF(Inputs!$B$3&gt;=54,9*(C718=TRUE)*MIN(1,8*(1+Inputs!$B$34/100)*Q718)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726*(1-MIN(100,(Inputs!$B$9+((C734=TRUE)*(F734-Calc!F19))+B746+(ArtifactsInput!$M$24-ArtifactsInput!$M$24)*CHOOSE(ArtifactsInput!$N$24+1,10,12,14,16,18,20)+(IF(AND(Inputs!$B$38&lt;&gt;"pvp",Inputs!$B$43=0),1,IF(IF(Inputs!$B$38="pvp",15,Inputs!$B$43)-(B753)&lt;=0,1,MAX(0,IF(Inputs!$B$38="pvp",15,Inputs!$B$43)-MAX(5,B753))/(IF(Inputs!$B$38="pvp",15,Inputs!$B$43)-(B753))))*IF(AND(ArtifactsInput!$M$42,((Inputs!$B$9+((C734=TRUE)*(F734-Calc!F19))+B746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726*(MIN(100,(Inputs!$B$9+((C734=TRUE)*(F734-Calc!F19))+B746+(ArtifactsInput!$M$24-ArtifactsInput!$M$24)*CHOOSE(ArtifactsInput!$N$24+1,10,12,14,16,18,20)+(IF(AND(Inputs!$B$38&lt;&gt;"pvp",Inputs!$B$43=0),1,IF(IF(Inputs!$B$38="pvp",15,Inputs!$B$43)-(B753)&lt;=0,1,MAX(0,IF(Inputs!$B$38="pvp",15,Inputs!$B$43)-MAX(5,B753))/(IF(Inputs!$B$38="pvp",15,Inputs!$B$43)-(B753))))*IF(AND(ArtifactsInput!$M$42,((Inputs!$B$9+((C734=TRUE)*(F734-Calc!F19))+B746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726*(1-MIN(100,(Inputs!$B$9+((C734=TRUE)*(F734-Calc!F19))+B746+(ArtifactsInput!$M$24-ArtifactsInput!$M$24)*CHOOSE(ArtifactsInput!$N$24+1,10,12,14,16,18,20)+(IF(AND(Inputs!$B$38&lt;&gt;"pvp",Inputs!$B$43=0),1,IF(IF(Inputs!$B$38="pvp",15,Inputs!$B$43)-(B753)&lt;=0,1,MAX(0,IF(Inputs!$B$38="pvp",15,Inputs!$B$43)-MAX(5,B753))/(IF(Inputs!$B$38="pvp",15,Inputs!$B$43)-(B753))))*IF(AND(ArtifactsInput!$M$42,((Inputs!$B$9+((C734=TRUE)*(F734-Calc!F19))+B746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726*(MIN(100,(Inputs!$B$9+((C734=TRUE)*(F734-Calc!F19))+B746+(ArtifactsInput!$M$24-ArtifactsInput!$M$24)*CHOOSE(ArtifactsInput!$N$24+1,10,12,14,16,18,20)+(IF(AND(Inputs!$B$38&lt;&gt;"pvp",Inputs!$B$43=0),1,IF(IF(Inputs!$B$38="pvp",15,Inputs!$B$43)-(B753)&lt;=0,1,MAX(0,IF(Inputs!$B$38="pvp",15,Inputs!$B$43)-MAX(5,B753))/(IF(Inputs!$B$38="pvp",15,Inputs!$B$43)-(B753))))*IF(AND(ArtifactsInput!$M$42,((Inputs!$B$9+((C734=TRUE)*(F734-Calc!F19))+B746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26">
        <f>IF(C726,(H726*N726*IF(AND(Inputs!$B$38&lt;&gt;"pvp",Inputs!$B$43&gt;0),((Skills!G11*((R726-1)*IF(Skills!H11&gt;0,INT(Skills!I11/Skills!H11+0.000000001),1)+IF(Skills!H11&gt;0,INT(MIN(Skills!I11,MAX(0,MAX(0,Inputs!$B$43-B753)-((R726-1)*((IF(Inputs!$B$38="pvp",15,MAX(0.1,Skills!D11-IF(TRUE=TRUE,Inputs!$B$32,0)))*(1-IF(AND(ArtifactsInput!$M$27,Inputs!$B$4="Chapter Hunt"),CHOOSE(ArtifactsInput!$N$27+1,20,24,28,32,36,40),0)/100))/B757))))/Skills!H11+0.000000001),1)))/Inputs!$B$43),G726*Q726))*IF(Inputs!$B$38="pvp",1,(1+(Inputs!$B$21+Skills!Q11+(IF(ArtifactsInput!$M$33,CHOOSE(ArtifactsInput!$N$33+1,30,36,42,48,54,60),0))+(IF(AND(ArtifactsInput!$M$35,Inputs!$B$4&lt;&gt;"Chapter Hunt"),CHOOSE(ArtifactsInput!$N$35+1,15,18,21,24,27,30)*(1-EXP(-(0.2*B748)*5)),0)+IF(AND(ArtifactsInput!$M$22,Inputs!$B$4&lt;&gt;"Chapter Hunt"),CHOOSE(ArtifactsInput!$N$22+1,10,12,14,16,18,20)*((0*(((0.15*B748*5))^0/1)+1*(((0.15*B748*5))^1/1)+2*(((0.15*B748*5))^2/2)+3*(((0.15*B748*5))^3/6)+4*(((0.15*B748*5))^4/24)+5*(((0.15*B748*5))^5/120))/((((0.15*B748*5))^0/1)+(((0.15*B748*5))^1/1)+(((0.15*B748*5))^2/2)+(((0.15*B748*5))^3/6)+(((0.15*B748*5))^4/24)+(((0.15*B748*5))^5/120))),0))+IF(Inputs!$B$3&gt;=54,9*(C718=TRUE)*MIN(1,8*(1+Inputs!$B$34/100)*Q718),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27">
      <c r="A727">
        <f>Skills!A12</f>
        <v/>
      </c>
      <c r="B727">
        <f>Skills!B12</f>
        <v/>
      </c>
      <c r="C727">
        <f>Inputs!$B$3&gt;=110</f>
        <v/>
      </c>
      <c r="D727">
        <f>IF(Skills!C12=1,60+Inputs!$B$25+Inputs!$B$29,IF(Skills!C12=2,90+Inputs!$B$26+Inputs!$B$29,IF(Skills!C12=3,120+Inputs!$B$27+Inputs!$B$29,MAX(0,(Inputs!$B$3-100)*3)+Inputs!$B$28+Inputs!$B$29)))</f>
        <v/>
      </c>
      <c r="E727">
        <f>INDEX(FactorTable!$B$2:$Y$301, MATCH(ROUND(MIN(300,MAX(1,D727)),0), FactorTable!$A$2:$A$301,0), Skills!M12+1)</f>
        <v/>
      </c>
      <c r="F727">
        <f>IF(Skills!N12=TRUE,(Skills!L12/10)*(E727/1000),Skills!L12/10)+Skills!O12</f>
        <v/>
      </c>
      <c r="G727">
        <f>Skills!G12*IF(Skills!H12&gt;0,INT(IF(Inputs!$B$38="pvp",MIN(Skills!I12,15),Skills!I12)/Skills!H12+0.000000001),1)</f>
        <v/>
      </c>
      <c r="H727">
        <f>1-(1-Skills!J12/100)^Skills!K12</f>
        <v/>
      </c>
      <c r="I727" t="inlineStr">
        <is>
          <t>1</t>
        </is>
      </c>
      <c r="J727">
        <f>((Inputs!$B$6*(1+Inputs!$B$7/100))+(((Inputs!$B$12*(1+Inputs!$B$13/100))-(Inputs!$B$12*(1+Inputs!$B$13/100)))+0.25*(Inputs!$B$14-Inputs!$B$14))*(1+Inputs!$B$7/100))*(F727/100)</f>
        <v/>
      </c>
      <c r="K727">
        <f>J727*(1+((Inputs!$B$12*(1+Inputs!$B$13/100))*0.01+Inputs!$B$14*0.0025)/100)*(1+Inputs!$B$15/100)*(1+Inputs!$B$16/100)*(5000/(6000+Inputs!$B$42*(1-(100*(1-(1-(Inputs!$B$19+0)/100)*(1-CHOOSE(ArtifactsInput!$N$40+1,5,6,7,8,9,10)/100)^(ArtifactsInput!$M$40-ArtifactsInput!$M$40)))/100)))*(1+(Inputs!$B$24+((C741=TRUE)*(F741-Calc!F26))+B752)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EIGHT_LEGS_EASTON",(Inputs!$B$17+1)+((C738=TRUE)*(F738-Calc!F23))+((C742=TRUE)*(F742-Calc!F27))+((IF(AND(Inputs!$B$38&lt;&gt;"pvp",Inputs!$B$43=0),1,IF(IF(Inputs!$B$38="pvp",15,Inputs!$B$43)-(B753)&lt;=0,1,MAX(0,IF(Inputs!$B$38="pvp",15,Inputs!$B$43)-MAX(5,B753))/(IF(Inputs!$B$38="pvp",15,Inputs!$B$43)-(B753))))*(IF(AND(ArtifactsInput!$M$42,((Inputs!$B$9+((C734=TRUE)*(F734-Calc!F19))+B746+(ArtifactsInput!$M$24-ArtifactsInput!$M$24)*CHOOSE(ArtifactsInput!$N$24+1,10,12,14,16,18,20)+IF(ArtifactsInput!$M$10,CHOOSE(ArtifactsInput!$N$10+1,15,18,21,24,27,30)*(IF(Inputs!$B$38="pvp",MIN(15,15)/15,IF(AND(Inputs!$B$38&lt;&gt;"pvp",Inputs!$B$43&gt;0),MIN(15,Inputs!$B$43)/(Inputs!$B$43),0))),0)))&gt;=100),MIN(100,((Inputs!$B$9+((C734=TRUE)*(F734-Calc!F19))+B746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753)&lt;=0,1,MAX(0,IF(Inputs!$B$38="pvp",15,Inputs!$B$43)-MAX(5,B753))/(IF(Inputs!$B$38="pvp",15,Inputs!$B$43)-(B753))))*IF(AND(ArtifactsInput!$M$42,((Inputs!$B$9+((C734=TRUE)*(F734-Calc!F19))+B746+(ArtifactsInput!$M$24-ArtifactsInput!$M$24)*CHOOSE(ArtifactsInput!$N$24+1,10,12,14,16,18,20)+IF(ArtifactsInput!$M$10,CHOOSE(ArtifactsInput!$N$10+1,15,18,21,24,27,30)*(IF(Inputs!$B$38="pvp",MIN(15,15)/15,IF(AND(Inputs!$B$38&lt;&gt;"pvp",Inputs!$B$43&gt;0),MIN(15,Inputs!$B$43)/(Inputs!$B$43),0))),0)))&gt;=100),CHOOSE(ArtifactsInput!$N$42+1,40,48,56,64,72,80),0))))/100)*((1+(((C732=TRUE)*F732*5/7)+((C739=TRUE)*(F739-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727)</f>
        <v/>
      </c>
      <c r="L727">
        <f>K727*(MIN(Inputs!$B$22+((C737=TRUE)*(F737-Calc!F22)),(Inputs!$B$23+0+(IF(ArtifactsInput!$M$15,CHOOSE(ArtifactsInput!$N$15+1,25,30,35,40,45,50)/100*(Inputs!$B$11-Inputs!$B$11),0))))/100+(Inputs!$B$23+0+(IF(ArtifactsInput!$M$15,CHOOSE(ArtifactsInput!$N$15+1,25,30,35,40,45,50)/100*(Inputs!$B$11-Inputs!$B$11),0)))/100)/2</f>
        <v/>
      </c>
      <c r="M727">
        <f>L727*(1+(Inputs!$B$10+((C740=TRUE)*(F740-Calc!F25))+B751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27">
        <f>L727*(1-MIN((Inputs!$B$9+((C734=TRUE)*(F734-Calc!F19))+B746+(ArtifactsInput!$M$24-ArtifactsInput!$M$24)*CHOOSE(ArtifactsInput!$N$24+1,10,12,14,16,18,20)+(IF(AND(Inputs!$B$38&lt;&gt;"pvp",Inputs!$B$43=0),1,IF(IF(Inputs!$B$38="pvp",15,Inputs!$B$43)-(B753)&lt;=0,1,MAX(0,IF(Inputs!$B$38="pvp",15,Inputs!$B$43)-MAX(5,B753))/(IF(Inputs!$B$38="pvp",15,Inputs!$B$43)-(B753))))*IF(AND(ArtifactsInput!$M$42,((Inputs!$B$9+((C734=TRUE)*(F734-Calc!F19))+B746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727*(MIN((Inputs!$B$9+((C734=TRUE)*(F734-Calc!F19))+B746+(ArtifactsInput!$M$24-ArtifactsInput!$M$24)*CHOOSE(ArtifactsInput!$N$24+1,10,12,14,16,18,20)+(IF(AND(Inputs!$B$38&lt;&gt;"pvp",Inputs!$B$43=0),1,IF(IF(Inputs!$B$38="pvp",15,Inputs!$B$43)-(B753)&lt;=0,1,MAX(0,IF(Inputs!$B$38="pvp",15,Inputs!$B$43)-MAX(5,B753))/(IF(Inputs!$B$38="pvp",15,Inputs!$B$43)-(B753))))*IF(AND(ArtifactsInput!$M$42,((Inputs!$B$9+((C734=TRUE)*(F734-Calc!F19))+B746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27">
        <f>(1-Summary!$B$11)*T727+Summary!$B$11*V727</f>
        <v/>
      </c>
      <c r="P727">
        <f>IF(B756=0,0,O727/B756)</f>
        <v/>
      </c>
      <c r="Q727">
        <f>IFERROR(1/(IF(Inputs!$B$38="pvp",15,MAX(0.1,Skills!D12-IF(TRUE=TRUE,Inputs!$B$32,0)))*(1-IF(AND(ArtifactsInput!$M$27,Inputs!$B$4="Chapter Hunt"),CHOOSE(ArtifactsInput!$N$27+1,20,24,28,32,36,40),0)/100)),0)</f>
        <v/>
      </c>
      <c r="R727">
        <f>IF(AND(Inputs!$B$38&lt;&gt;"pvp",Inputs!$B$43&gt;0),IF(MAX(0,Inputs!$B$43-B753)&lt;=0,0,(INT(MAX(0,Inputs!$B$43-B753)/(IF(Inputs!$B$38="pvp",15,MAX(0.1,Skills!D12-IF(TRUE=TRUE,Inputs!$B$32,0)))*(1-IF(AND(ArtifactsInput!$M$27,Inputs!$B$4="Chapter Hunt"),CHOOSE(ArtifactsInput!$N$27+1,20,24,28,32,36,40),0)/100)))+1)),0)</f>
        <v/>
      </c>
      <c r="S727">
        <f>IFERROR(O727/N727,0)</f>
        <v/>
      </c>
      <c r="T727">
        <f>IF(C727,(H727*N727*IF(AND(Inputs!$B$38&lt;&gt;"pvp",Inputs!$B$43&gt;0),((Skills!G12*((R727-1)*IF(Skills!H12&gt;0,INT(Skills!I12/Skills!H12+0.000000001),1)+IF(Skills!H12&gt;0,INT(MIN(Skills!I12,MAX(0,MAX(0,Inputs!$B$43-B753)-((R727-1)*(IF(Inputs!$B$38="pvp",15,MAX(0.1,Skills!D12-IF(TRUE=TRUE,Inputs!$B$32,0)))*(1-IF(AND(ArtifactsInput!$M$27,Inputs!$B$4="Chapter Hunt"),CHOOSE(ArtifactsInput!$N$27+1,20,24,28,32,36,40),0)/100)))))/Skills!H12+0.000000001),1)))/Inputs!$B$43),G727*Q727))*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Hunt"),CHOOSE(ArtifactsInput!$N$35+1,15,18,21,24,27,30)*(1-EXP(-(0.2*B748)*5)),0)+IF(AND(ArtifactsInput!$M$22,Inputs!$B$4&lt;&gt;"Chapter Hunt"),CHOOSE(ArtifactsInput!$N$22+1,10,12,14,16,18,20)*((0*(((0.15*B748*5))^0/1)+1*(((0.15*B748*5))^1/1)+2*(((0.15*B748*5))^2/2)+3*(((0.15*B748*5))^3/6)+4*(((0.15*B748*5))^4/24)+5*(((0.15*B748*5))^5/120))/((((0.15*B748*5))^0/1)+(((0.15*B748*5))^1/1)+(((0.15*B748*5))^2/2)+(((0.15*B748*5))^3/6)+(((0.15*B748*5))^4/24)+(((0.15*B748*5))^5/120))),0))+IF(Inputs!$B$3&gt;=54,9*(C718=TRUE)*MIN(1,8*(1+Inputs!$B$34/100)*Q718)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727*(1-MIN(100,(Inputs!$B$9+((C734=TRUE)*(F734-Calc!F19))+B746+(ArtifactsInput!$M$24-ArtifactsInput!$M$24)*CHOOSE(ArtifactsInput!$N$24+1,10,12,14,16,18,20)+(IF(AND(Inputs!$B$38&lt;&gt;"pvp",Inputs!$B$43=0),1,IF(IF(Inputs!$B$38="pvp",15,Inputs!$B$43)-(B753)&lt;=0,1,MAX(0,IF(Inputs!$B$38="pvp",15,Inputs!$B$43)-MAX(5,B753))/(IF(Inputs!$B$38="pvp",15,Inputs!$B$43)-(B753))))*IF(AND(ArtifactsInput!$M$42,((Inputs!$B$9+((C734=TRUE)*(F734-Calc!F19))+B746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727*(MIN(100,(Inputs!$B$9+((C734=TRUE)*(F734-Calc!F19))+B746+(ArtifactsInput!$M$24-ArtifactsInput!$M$24)*CHOOSE(ArtifactsInput!$N$24+1,10,12,14,16,18,20)+(IF(AND(Inputs!$B$38&lt;&gt;"pvp",Inputs!$B$43=0),1,IF(IF(Inputs!$B$38="pvp",15,Inputs!$B$43)-(B753)&lt;=0,1,MAX(0,IF(Inputs!$B$38="pvp",15,Inputs!$B$43)-MAX(5,B753))/(IF(Inputs!$B$38="pvp",15,Inputs!$B$43)-(B753))))*IF(AND(ArtifactsInput!$M$42,((Inputs!$B$9+((C734=TRUE)*(F734-Calc!F19))+B746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727*(1-MIN(100,(Inputs!$B$9+((C734=TRUE)*(F734-Calc!F19))+B746+(ArtifactsInput!$M$24-ArtifactsInput!$M$24)*CHOOSE(ArtifactsInput!$N$24+1,10,12,14,16,18,20)+(IF(AND(Inputs!$B$38&lt;&gt;"pvp",Inputs!$B$43=0),1,IF(IF(Inputs!$B$38="pvp",15,Inputs!$B$43)-(B753)&lt;=0,1,MAX(0,IF(Inputs!$B$38="pvp",15,Inputs!$B$43)-MAX(5,B753))/(IF(Inputs!$B$38="pvp",15,Inputs!$B$43)-(B753))))*IF(AND(ArtifactsInput!$M$42,((Inputs!$B$9+((C734=TRUE)*(F734-Calc!F19))+B746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727*(MIN(100,(Inputs!$B$9+((C734=TRUE)*(F734-Calc!F19))+B746+(ArtifactsInput!$M$24-ArtifactsInput!$M$24)*CHOOSE(ArtifactsInput!$N$24+1,10,12,14,16,18,20)+(IF(AND(Inputs!$B$38&lt;&gt;"pvp",Inputs!$B$43=0),1,IF(IF(Inputs!$B$38="pvp",15,Inputs!$B$43)-(B753)&lt;=0,1,MAX(0,IF(Inputs!$B$38="pvp",15,Inputs!$B$43)-MAX(5,B753))/(IF(Inputs!$B$38="pvp",15,Inputs!$B$43)-(B753))))*IF(AND(ArtifactsInput!$M$42,((Inputs!$B$9+((C734=TRUE)*(F734-Calc!F19))+B746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27">
        <f>IF(C727,(H727*N727*IF(AND(Inputs!$B$38&lt;&gt;"pvp",Inputs!$B$43&gt;0),((Skills!G12*((R727-1)*IF(Skills!H12&gt;0,INT(Skills!I12/Skills!H12+0.000000001),1)+IF(Skills!H12&gt;0,INT(MIN(Skills!I12,MAX(0,MAX(0,Inputs!$B$43-B753)-((R727-1)*(IF(Inputs!$B$38="pvp",15,MAX(0.1,Skills!D12-IF(TRUE=TRUE,Inputs!$B$32,0)))*(1-IF(AND(ArtifactsInput!$M$27,Inputs!$B$4="Chapter Hunt"),CHOOSE(ArtifactsInput!$N$27+1,20,24,28,32,36,40),0)/100)))))/Skills!H12+0.000000001),1)))/Inputs!$B$43),G727*Q727))*IF(Inputs!$B$38="pvp",1,(1+(Inputs!$B$21+Skills!Q12+(IF(ArtifactsInput!$M$33,CHOOSE(ArtifactsInput!$N$33+1,30,36,42,48,54,60),0))+(IF(AND(ArtifactsInput!$M$35,Inputs!$B$4&lt;&gt;"Chapter Hunt"),CHOOSE(ArtifactsInput!$N$35+1,15,18,21,24,27,30)*(1-EXP(-(0.2*B748)*5)),0)+IF(AND(ArtifactsInput!$M$22,Inputs!$B$4&lt;&gt;"Chapter Hunt"),CHOOSE(ArtifactsInput!$N$22+1,10,12,14,16,18,20)*((0*(((0.15*B748*5))^0/1)+1*(((0.15*B748*5))^1/1)+2*(((0.15*B748*5))^2/2)+3*(((0.15*B748*5))^3/6)+4*(((0.15*B748*5))^4/24)+5*(((0.15*B748*5))^5/120))/((((0.15*B748*5))^0/1)+(((0.15*B748*5))^1/1)+(((0.15*B748*5))^2/2)+(((0.15*B748*5))^3/6)+(((0.15*B748*5))^4/24)+(((0.15*B748*5))^5/120))),0))+IF(Inputs!$B$3&gt;=54,9*(C718=TRUE)*MIN(1,8*(1+Inputs!$B$34/100)*Q718),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28">
      <c r="A728">
        <f>Skills!A13</f>
        <v/>
      </c>
      <c r="B728">
        <f>Skills!B13</f>
        <v/>
      </c>
      <c r="C728">
        <f>Inputs!$B$3&gt;=110</f>
        <v/>
      </c>
      <c r="D728">
        <f>IF(Skills!C13=1,60+Inputs!$B$25+Inputs!$B$29,IF(Skills!C13=2,90+Inputs!$B$26+Inputs!$B$29,IF(Skills!C13=3,120+Inputs!$B$27+Inputs!$B$29,MAX(0,(Inputs!$B$3-100)*3)+Inputs!$B$28+Inputs!$B$29)))</f>
        <v/>
      </c>
      <c r="E728">
        <f>INDEX(FactorTable!$B$2:$Y$301, MATCH(ROUND(MIN(300,MAX(1,D728)),0), FactorTable!$A$2:$A$301,0), Skills!M13+1)</f>
        <v/>
      </c>
      <c r="F728">
        <f>IF(Skills!N13=TRUE,(Skills!L13/10)*(E728/1000),Skills!L13/10)+Skills!O13</f>
        <v/>
      </c>
      <c r="G728">
        <f>Skills!G13*IF(Skills!H13&gt;0,INT(IF(Inputs!$B$38="pvp",MIN(Skills!I13,15),Skills!I13)/Skills!H13+0.000000001),1)</f>
        <v/>
      </c>
      <c r="H728">
        <f>1-(1-Skills!J13/100)^Skills!K13</f>
        <v/>
      </c>
      <c r="I728" t="inlineStr">
        <is>
          <t>1</t>
        </is>
      </c>
      <c r="J728">
        <f>((Inputs!$B$6*(1+Inputs!$B$7/100))+(((Inputs!$B$12*(1+Inputs!$B$13/100))-(Inputs!$B$12*(1+Inputs!$B$13/100)))+0.25*(Inputs!$B$14-Inputs!$B$14))*(1+Inputs!$B$7/100))*(F728/100)</f>
        <v/>
      </c>
      <c r="K728">
        <f>J728*(1+((Inputs!$B$12*(1+Inputs!$B$13/100))*0.01+Inputs!$B$14*0.0025)/100)*(1+Inputs!$B$15/100)*(1+Inputs!$B$16/100)*(5000/(6000+Inputs!$B$42*(1-(100*(1-(1-(Inputs!$B$19+0)/100)*(1-CHOOSE(ArtifactsInput!$N$40+1,5,6,7,8,9,10)/100)^(ArtifactsInput!$M$40-ArtifactsInput!$M$40)))/100)))*(1+(Inputs!$B$24+((C741=TRUE)*(F741-Calc!F26))+B752)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EIGHT_LEGS_EASTON",(Inputs!$B$17+1)+((C738=TRUE)*(F738-Calc!F23))+((C742=TRUE)*(F742-Calc!F27))+((IF(AND(Inputs!$B$38&lt;&gt;"pvp",Inputs!$B$43=0),1,IF(IF(Inputs!$B$38="pvp",15,Inputs!$B$43)-(B753)&lt;=0,1,MAX(0,IF(Inputs!$B$38="pvp",15,Inputs!$B$43)-MAX(5,B753))/(IF(Inputs!$B$38="pvp",15,Inputs!$B$43)-(B753))))*(IF(AND(ArtifactsInput!$M$42,((Inputs!$B$9+((C734=TRUE)*(F734-Calc!F19))+B746+(ArtifactsInput!$M$24-ArtifactsInput!$M$24)*CHOOSE(ArtifactsInput!$N$24+1,10,12,14,16,18,20)+IF(ArtifactsInput!$M$10,CHOOSE(ArtifactsInput!$N$10+1,15,18,21,24,27,30)*(IF(Inputs!$B$38="pvp",MIN(15,15)/15,IF(AND(Inputs!$B$38&lt;&gt;"pvp",Inputs!$B$43&gt;0),MIN(15,Inputs!$B$43)/(Inputs!$B$43),0))),0)))&gt;=100),MIN(100,((Inputs!$B$9+((C734=TRUE)*(F734-Calc!F19))+B746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753)&lt;=0,1,MAX(0,IF(Inputs!$B$38="pvp",15,Inputs!$B$43)-MAX(5,B753))/(IF(Inputs!$B$38="pvp",15,Inputs!$B$43)-(B753))))*IF(AND(ArtifactsInput!$M$42,((Inputs!$B$9+((C734=TRUE)*(F734-Calc!F19))+B746+(ArtifactsInput!$M$24-ArtifactsInput!$M$24)*CHOOSE(ArtifactsInput!$N$24+1,10,12,14,16,18,20)+IF(ArtifactsInput!$M$10,CHOOSE(ArtifactsInput!$N$10+1,15,18,21,24,27,30)*(IF(Inputs!$B$38="pvp",MIN(15,15)/15,IF(AND(Inputs!$B$38&lt;&gt;"pvp",Inputs!$B$43&gt;0),MIN(15,Inputs!$B$43)/(Inputs!$B$43),0))),0)))&gt;=100),CHOOSE(ArtifactsInput!$N$42+1,40,48,56,64,72,80),0))))/100)*((1+(((C732=TRUE)*F732*5/7)+((C739=TRUE)*(F739-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728)</f>
        <v/>
      </c>
      <c r="L728">
        <f>K728*(MIN(Inputs!$B$22+((C737=TRUE)*(F737-Calc!F22)),(Inputs!$B$23+0+(IF(ArtifactsInput!$M$15,CHOOSE(ArtifactsInput!$N$15+1,25,30,35,40,45,50)/100*(Inputs!$B$11-Inputs!$B$11),0))))/100+(Inputs!$B$23+0+(IF(ArtifactsInput!$M$15,CHOOSE(ArtifactsInput!$N$15+1,25,30,35,40,45,50)/100*(Inputs!$B$11-Inputs!$B$11),0)))/100)/2</f>
        <v/>
      </c>
      <c r="M728">
        <f>L728*(1+(Inputs!$B$10+((C740=TRUE)*(F740-Calc!F25))+B751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28">
        <f>L728*(1-MIN((Inputs!$B$9+((C734=TRUE)*(F734-Calc!F19))+B746+(ArtifactsInput!$M$24-ArtifactsInput!$M$24)*CHOOSE(ArtifactsInput!$N$24+1,10,12,14,16,18,20)+(IF(AND(Inputs!$B$38&lt;&gt;"pvp",Inputs!$B$43=0),1,IF(IF(Inputs!$B$38="pvp",15,Inputs!$B$43)-(B753)&lt;=0,1,MAX(0,IF(Inputs!$B$38="pvp",15,Inputs!$B$43)-MAX(5,B753))/(IF(Inputs!$B$38="pvp",15,Inputs!$B$43)-(B753))))*IF(AND(ArtifactsInput!$M$42,((Inputs!$B$9+((C734=TRUE)*(F734-Calc!F19))+B746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728*(MIN((Inputs!$B$9+((C734=TRUE)*(F734-Calc!F19))+B746+(ArtifactsInput!$M$24-ArtifactsInput!$M$24)*CHOOSE(ArtifactsInput!$N$24+1,10,12,14,16,18,20)+(IF(AND(Inputs!$B$38&lt;&gt;"pvp",Inputs!$B$43=0),1,IF(IF(Inputs!$B$38="pvp",15,Inputs!$B$43)-(B753)&lt;=0,1,MAX(0,IF(Inputs!$B$38="pvp",15,Inputs!$B$43)-MAX(5,B753))/(IF(Inputs!$B$38="pvp",15,Inputs!$B$43)-(B753))))*IF(AND(ArtifactsInput!$M$42,((Inputs!$B$9+((C734=TRUE)*(F734-Calc!F19))+B746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28">
        <f>(1-Summary!$B$11)*T728+Summary!$B$11*V728</f>
        <v/>
      </c>
      <c r="P728">
        <f>IF(B756=0,0,O728/B756)</f>
        <v/>
      </c>
      <c r="Q728">
        <f>IFERROR(1/(IF(Inputs!$B$38="pvp",15,MAX(0.1,Skills!D13-IF(TRUE=TRUE,Inputs!$B$32,0)))*(1-IF(AND(ArtifactsInput!$M$27,Inputs!$B$4="Chapter Hunt"),CHOOSE(ArtifactsInput!$N$27+1,20,24,28,32,36,40),0)/100)),0)</f>
        <v/>
      </c>
      <c r="R728">
        <f>IF(AND(Inputs!$B$38&lt;&gt;"pvp",Inputs!$B$43&gt;0),IF(MAX(0,Inputs!$B$43-B753)&lt;=0,0,(INT(MAX(0,Inputs!$B$43-B753)/(IF(Inputs!$B$38="pvp",15,MAX(0.1,Skills!D13-IF(TRUE=TRUE,Inputs!$B$32,0)))*(1-IF(AND(ArtifactsInput!$M$27,Inputs!$B$4="Chapter Hunt"),CHOOSE(ArtifactsInput!$N$27+1,20,24,28,32,36,40),0)/100)))+1)),0)</f>
        <v/>
      </c>
      <c r="S728">
        <f>IFERROR(O728/N728,0)</f>
        <v/>
      </c>
      <c r="T728">
        <f>IF(C728,(H728*N728*IF(AND(Inputs!$B$38&lt;&gt;"pvp",Inputs!$B$43&gt;0),((Skills!G13*((R728-1)*IF(Skills!H13&gt;0,INT(Skills!I13/Skills!H13+0.000000001),1)+IF(Skills!H13&gt;0,INT(MIN(Skills!I13,MAX(0,MAX(0,Inputs!$B$43-B753)-((R728-1)*(IF(Inputs!$B$38="pvp",15,MAX(0.1,Skills!D13-IF(TRUE=TRUE,Inputs!$B$32,0)))*(1-IF(AND(ArtifactsInput!$M$27,Inputs!$B$4="Chapter Hunt"),CHOOSE(ArtifactsInput!$N$27+1,20,24,28,32,36,40),0)/100)))))/Skills!H13+0.000000001),1)))/Inputs!$B$43),G728*Q728))*IF(Inputs!$B$38="pvp",1,1+(Inputs!$B$20+0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Hunt"),CHOOSE(ArtifactsInput!$N$35+1,15,18,21,24,27,30)*(1-EXP(-(0.2*B748)*5)),0)+IF(AND(ArtifactsInput!$M$22,Inputs!$B$4&lt;&gt;"Chapter Hunt"),CHOOSE(ArtifactsInput!$N$22+1,10,12,14,16,18,20)*((0*(((0.15*B748*5))^0/1)+1*(((0.15*B748*5))^1/1)+2*(((0.15*B748*5))^2/2)+3*(((0.15*B748*5))^3/6)+4*(((0.15*B748*5))^4/24)+5*(((0.15*B748*5))^5/120))/((((0.15*B748*5))^0/1)+(((0.15*B748*5))^1/1)+(((0.15*B748*5))^2/2)+(((0.15*B748*5))^3/6)+(((0.15*B748*5))^4/24)+(((0.15*B748*5))^5/120))),0))+IF(Inputs!$B$3&gt;=54,9*(C718=TRUE)*MIN(1,8*(1+Inputs!$B$34/100)*Q718)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728*(1-MIN(100,(Inputs!$B$9+((C734=TRUE)*(F734-Calc!F19))+B746+(ArtifactsInput!$M$24-ArtifactsInput!$M$24)*CHOOSE(ArtifactsInput!$N$24+1,10,12,14,16,18,20)+(IF(AND(Inputs!$B$38&lt;&gt;"pvp",Inputs!$B$43=0),1,IF(IF(Inputs!$B$38="pvp",15,Inputs!$B$43)-(B753)&lt;=0,1,MAX(0,IF(Inputs!$B$38="pvp",15,Inputs!$B$43)-MAX(5,B753))/(IF(Inputs!$B$38="pvp",15,Inputs!$B$43)-(B753))))*IF(AND(ArtifactsInput!$M$42,((Inputs!$B$9+((C734=TRUE)*(F734-Calc!F19))+B746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728*(MIN(100,(Inputs!$B$9+((C734=TRUE)*(F734-Calc!F19))+B746+(ArtifactsInput!$M$24-ArtifactsInput!$M$24)*CHOOSE(ArtifactsInput!$N$24+1,10,12,14,16,18,20)+(IF(AND(Inputs!$B$38&lt;&gt;"pvp",Inputs!$B$43=0),1,IF(IF(Inputs!$B$38="pvp",15,Inputs!$B$43)-(B753)&lt;=0,1,MAX(0,IF(Inputs!$B$38="pvp",15,Inputs!$B$43)-MAX(5,B753))/(IF(Inputs!$B$38="pvp",15,Inputs!$B$43)-(B753))))*IF(AND(ArtifactsInput!$M$42,((Inputs!$B$9+((C734=TRUE)*(F734-Calc!F19))+B746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728*(1-MIN(100,(Inputs!$B$9+((C734=TRUE)*(F734-Calc!F19))+B746+(ArtifactsInput!$M$24-ArtifactsInput!$M$24)*CHOOSE(ArtifactsInput!$N$24+1,10,12,14,16,18,20)+(IF(AND(Inputs!$B$38&lt;&gt;"pvp",Inputs!$B$43=0),1,IF(IF(Inputs!$B$38="pvp",15,Inputs!$B$43)-(B753)&lt;=0,1,MAX(0,IF(Inputs!$B$38="pvp",15,Inputs!$B$43)-MAX(5,B753))/(IF(Inputs!$B$38="pvp",15,Inputs!$B$43)-(B753))))*IF(AND(ArtifactsInput!$M$42,((Inputs!$B$9+((C734=TRUE)*(F734-Calc!F19))+B746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728*(MIN(100,(Inputs!$B$9+((C734=TRUE)*(F734-Calc!F19))+B746+(ArtifactsInput!$M$24-ArtifactsInput!$M$24)*CHOOSE(ArtifactsInput!$N$24+1,10,12,14,16,18,20)+(IF(AND(Inputs!$B$38&lt;&gt;"pvp",Inputs!$B$43=0),1,IF(IF(Inputs!$B$38="pvp",15,Inputs!$B$43)-(B753)&lt;=0,1,MAX(0,IF(Inputs!$B$38="pvp",15,Inputs!$B$43)-MAX(5,B753))/(IF(Inputs!$B$38="pvp",15,Inputs!$B$43)-(B753))))*IF(AND(ArtifactsInput!$M$42,((Inputs!$B$9+((C734=TRUE)*(F734-Calc!F19))+B746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28">
        <f>IF(C728,(H728*N728*IF(AND(Inputs!$B$38&lt;&gt;"pvp",Inputs!$B$43&gt;0),((Skills!G13*((R728-1)*IF(Skills!H13&gt;0,INT(Skills!I13/Skills!H13+0.000000001),1)+IF(Skills!H13&gt;0,INT(MIN(Skills!I13,MAX(0,MAX(0,Inputs!$B$43-B753)-((R728-1)*(IF(Inputs!$B$38="pvp",15,MAX(0.1,Skills!D13-IF(TRUE=TRUE,Inputs!$B$32,0)))*(1-IF(AND(ArtifactsInput!$M$27,Inputs!$B$4="Chapter Hunt"),CHOOSE(ArtifactsInput!$N$27+1,20,24,28,32,36,40),0)/100)))))/Skills!H13+0.000000001),1)))/Inputs!$B$43),G728*Q728))*IF(Inputs!$B$38="pvp",1,(1+(Inputs!$B$21+Skills!Q13+(IF(ArtifactsInput!$M$33,CHOOSE(ArtifactsInput!$N$33+1,30,36,42,48,54,60),0))+(IF(AND(ArtifactsInput!$M$35,Inputs!$B$4&lt;&gt;"Chapter Hunt"),CHOOSE(ArtifactsInput!$N$35+1,15,18,21,24,27,30)*(1-EXP(-(0.2*B748)*5)),0)+IF(AND(ArtifactsInput!$M$22,Inputs!$B$4&lt;&gt;"Chapter Hunt"),CHOOSE(ArtifactsInput!$N$22+1,10,12,14,16,18,20)*((0*(((0.15*B748*5))^0/1)+1*(((0.15*B748*5))^1/1)+2*(((0.15*B748*5))^2/2)+3*(((0.15*B748*5))^3/6)+4*(((0.15*B748*5))^4/24)+5*(((0.15*B748*5))^5/120))/((((0.15*B748*5))^0/1)+(((0.15*B748*5))^1/1)+(((0.15*B748*5))^2/2)+(((0.15*B748*5))^3/6)+(((0.15*B748*5))^4/24)+(((0.15*B748*5))^5/120))),0))+IF(Inputs!$B$3&gt;=54,9*(C718=TRUE)*MIN(1,8*(1+Inputs!$B$34/100)*Q718),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29">
      <c r="A729">
        <f>Skills!A14</f>
        <v/>
      </c>
      <c r="B729">
        <f>Skills!B14</f>
        <v/>
      </c>
      <c r="C729">
        <f>Inputs!$B$3&gt;=120</f>
        <v/>
      </c>
      <c r="D729">
        <f>IF(Skills!C14=1,60+Inputs!$B$25+Inputs!$B$29,IF(Skills!C14=2,90+Inputs!$B$26+Inputs!$B$29,IF(Skills!C14=3,120+Inputs!$B$27+Inputs!$B$29,MAX(0,(Inputs!$B$3-100)*3)+Inputs!$B$28+Inputs!$B$29)))</f>
        <v/>
      </c>
      <c r="E729">
        <f>INDEX(FactorTable!$B$2:$Y$301, MATCH(ROUND(MIN(300,MAX(1,D729)),0), FactorTable!$A$2:$A$301,0), Skills!M14+1)</f>
        <v/>
      </c>
      <c r="F729">
        <f>IF(Skills!N14=TRUE,(Skills!L14/10)*(E729/1000),Skills!L14/10)+Skills!O14</f>
        <v/>
      </c>
      <c r="G729">
        <f>Skills!G14*IF(Skills!H14&gt;0,INT(IF(Inputs!$B$38="pvp",MIN(Skills!I14,15),Skills!I14)/Skills!H14+0.000000001),1)</f>
        <v/>
      </c>
      <c r="H729">
        <f>1-(1-Skills!J14/100)^Skills!K14</f>
        <v/>
      </c>
      <c r="I729" t="inlineStr">
        <is>
          <t>1</t>
        </is>
      </c>
      <c r="J729">
        <f>((Inputs!$B$6*(1+Inputs!$B$7/100))+(((Inputs!$B$12*(1+Inputs!$B$13/100))-(Inputs!$B$12*(1+Inputs!$B$13/100)))+0.25*(Inputs!$B$14-Inputs!$B$14))*(1+Inputs!$B$7/100))*(F729/100)</f>
        <v/>
      </c>
      <c r="K729">
        <f>J729*(1+((Inputs!$B$12*(1+Inputs!$B$13/100))*0.01+Inputs!$B$14*0.0025)/100)*(1+Inputs!$B$15/100)*(1+Inputs!$B$16/100)*(5000/(6000+Inputs!$B$42*(1-(100*(1-(1-(Inputs!$B$19+0)/100)*(1-CHOOSE(ArtifactsInput!$N$40+1,5,6,7,8,9,10)/100)^(ArtifactsInput!$M$40-ArtifactsInput!$M$40)))/100)))*(1+(Inputs!$B$24+((C741=TRUE)*(F741-Calc!F26))+B752)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EIGHT_LEGS_EASTON",(Inputs!$B$17+1)+((C738=TRUE)*(F738-Calc!F23))+((C742=TRUE)*(F742-Calc!F27))+((IF(AND(Inputs!$B$38&lt;&gt;"pvp",Inputs!$B$43=0),1,IF(IF(Inputs!$B$38="pvp",15,Inputs!$B$43)-(B753)&lt;=0,1,MAX(0,IF(Inputs!$B$38="pvp",15,Inputs!$B$43)-MAX(5,B753))/(IF(Inputs!$B$38="pvp",15,Inputs!$B$43)-(B753))))*(IF(AND(ArtifactsInput!$M$42,((Inputs!$B$9+((C734=TRUE)*(F734-Calc!F19))+B746+(ArtifactsInput!$M$24-ArtifactsInput!$M$24)*CHOOSE(ArtifactsInput!$N$24+1,10,12,14,16,18,20)+IF(ArtifactsInput!$M$10,CHOOSE(ArtifactsInput!$N$10+1,15,18,21,24,27,30)*(IF(Inputs!$B$38="pvp",MIN(15,15)/15,IF(AND(Inputs!$B$38&lt;&gt;"pvp",Inputs!$B$43&gt;0),MIN(15,Inputs!$B$43)/(Inputs!$B$43),0))),0)))&gt;=100),MIN(100,((Inputs!$B$9+((C734=TRUE)*(F734-Calc!F19))+B746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753)&lt;=0,1,MAX(0,IF(Inputs!$B$38="pvp",15,Inputs!$B$43)-MAX(5,B753))/(IF(Inputs!$B$38="pvp",15,Inputs!$B$43)-(B753))))*IF(AND(ArtifactsInput!$M$42,((Inputs!$B$9+((C734=TRUE)*(F734-Calc!F19))+B746+(ArtifactsInput!$M$24-ArtifactsInput!$M$24)*CHOOSE(ArtifactsInput!$N$24+1,10,12,14,16,18,20)+IF(ArtifactsInput!$M$10,CHOOSE(ArtifactsInput!$N$10+1,15,18,21,24,27,30)*(IF(Inputs!$B$38="pvp",MIN(15,15)/15,IF(AND(Inputs!$B$38&lt;&gt;"pvp",Inputs!$B$43&gt;0),MIN(15,Inputs!$B$43)/(Inputs!$B$43),0))),0)))&gt;=100),CHOOSE(ArtifactsInput!$N$42+1,40,48,56,64,72,80),0))))/100)*((1+(((C732=TRUE)*F732*5/7)+((C739=TRUE)*(F739-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729)</f>
        <v/>
      </c>
      <c r="L729">
        <f>K729*(MIN(Inputs!$B$22+((C737=TRUE)*(F737-Calc!F22)),(Inputs!$B$23+0+(IF(ArtifactsInput!$M$15,CHOOSE(ArtifactsInput!$N$15+1,25,30,35,40,45,50)/100*(Inputs!$B$11-Inputs!$B$11),0))))/100+(Inputs!$B$23+0+(IF(ArtifactsInput!$M$15,CHOOSE(ArtifactsInput!$N$15+1,25,30,35,40,45,50)/100*(Inputs!$B$11-Inputs!$B$11),0)))/100)/2</f>
        <v/>
      </c>
      <c r="M729">
        <f>L729*(1+(Inputs!$B$10+((C740=TRUE)*(F740-Calc!F25))+B751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29">
        <f>L729*(1-MIN((Inputs!$B$9+((C734=TRUE)*(F734-Calc!F19))+B746+(ArtifactsInput!$M$24-ArtifactsInput!$M$24)*CHOOSE(ArtifactsInput!$N$24+1,10,12,14,16,18,20)+(IF(AND(Inputs!$B$38&lt;&gt;"pvp",Inputs!$B$43=0),1,IF(IF(Inputs!$B$38="pvp",15,Inputs!$B$43)-(B753)&lt;=0,1,MAX(0,IF(Inputs!$B$38="pvp",15,Inputs!$B$43)-MAX(5,B753))/(IF(Inputs!$B$38="pvp",15,Inputs!$B$43)-(B753))))*IF(AND(ArtifactsInput!$M$42,((Inputs!$B$9+((C734=TRUE)*(F734-Calc!F19))+B746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729*(MIN((Inputs!$B$9+((C734=TRUE)*(F734-Calc!F19))+B746+(ArtifactsInput!$M$24-ArtifactsInput!$M$24)*CHOOSE(ArtifactsInput!$N$24+1,10,12,14,16,18,20)+(IF(AND(Inputs!$B$38&lt;&gt;"pvp",Inputs!$B$43=0),1,IF(IF(Inputs!$B$38="pvp",15,Inputs!$B$43)-(B753)&lt;=0,1,MAX(0,IF(Inputs!$B$38="pvp",15,Inputs!$B$43)-MAX(5,B753))/(IF(Inputs!$B$38="pvp",15,Inputs!$B$43)-(B753))))*IF(AND(ArtifactsInput!$M$42,((Inputs!$B$9+((C734=TRUE)*(F734-Calc!F19))+B746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29">
        <f>(1-Summary!$B$11)*T729+Summary!$B$11*V729</f>
        <v/>
      </c>
      <c r="P729">
        <f>IF(B756=0,0,O729/B756)</f>
        <v/>
      </c>
      <c r="Q729" t="n">
        <v>0</v>
      </c>
      <c r="R729" t="n">
        <v>0</v>
      </c>
      <c r="S729">
        <f>IFERROR(O729/N729,0)</f>
        <v/>
      </c>
      <c r="T729">
        <f>IF(C729,((H729*(B750+IF(AND(Inputs!$B$38&lt;&gt;"pvp",Inputs!$B$43&gt;0),((Skills!G8*((R723-1)*IF(Skills!H8&gt;0,INT(Skills!I8/Skills!H8+0.000000001),1)+IF(Skills!H8&gt;0,INT(MIN(Skills!I8,MAX(0,MAX(0,Inputs!$B$43-B753)-((R723-1)*((IF(Inputs!$B$38="pvp",15,MAX(0.1,Skills!D8-IF(TRUE=TRUE,Inputs!$B$32,0)))*(1-IF(AND(ArtifactsInput!$M$27,Inputs!$B$4="Chapter Hunt"),CHOOSE(ArtifactsInput!$N$27+1,20,24,28,32,36,40),0)/100))/B757))))/Skills!H8+0.000000001),1)))/Inputs!$B$43),G723*Q723)+IF(AND(Inputs!$B$38&lt;&gt;"pvp",Inputs!$B$43&gt;0),((Skills!G11*((R726-1)*IF(Skills!H11&gt;0,INT(Skills!I11/Skills!H11+0.000000001),1)+IF(Skills!H11&gt;0,INT(MIN(Skills!I11,MAX(0,MAX(0,Inputs!$B$43-B753)-((R726-1)*((IF(Inputs!$B$38="pvp",15,MAX(0.1,Skills!D11-IF(TRUE=TRUE,Inputs!$B$32,0)))*(1-IF(AND(ArtifactsInput!$M$27,Inputs!$B$4="Chapter Hunt"),CHOOSE(ArtifactsInput!$N$27+1,20,24,28,32,36,40),0)/100))/B757))))/Skills!H11+0.000000001),1)))/Inputs!$B$43),G726*Q726)))/(1+Skills!H14*H729*(B750+IF(AND(Inputs!$B$38&lt;&gt;"pvp",Inputs!$B$43&gt;0),((Skills!G8*((R723-1)*IF(Skills!H8&gt;0,INT(Skills!I8/Skills!H8+0.000000001),1)+IF(Skills!H8&gt;0,INT(MIN(Skills!I8,MAX(0,MAX(0,Inputs!$B$43-B753)-((R723-1)*((IF(Inputs!$B$38="pvp",15,MAX(0.1,Skills!D8-IF(TRUE=TRUE,Inputs!$B$32,0)))*(1-IF(AND(ArtifactsInput!$M$27,Inputs!$B$4="Chapter Hunt"),CHOOSE(ArtifactsInput!$N$27+1,20,24,28,32,36,40),0)/100))/B757))))/Skills!H8+0.000000001),1)))/Inputs!$B$43),G723*Q723)+IF(AND(Inputs!$B$38&lt;&gt;"pvp",Inputs!$B$43&gt;0),((Skills!G11*((R726-1)*IF(Skills!H11&gt;0,INT(Skills!I11/Skills!H11+0.000000001),1)+IF(Skills!H11&gt;0,INT(MIN(Skills!I11,MAX(0,MAX(0,Inputs!$B$43-B753)-((R726-1)*((IF(Inputs!$B$38="pvp",15,MAX(0.1,Skills!D11-IF(TRUE=TRUE,Inputs!$B$32,0)))*(1-IF(AND(ArtifactsInput!$M$27,Inputs!$B$4="Chapter Hunt"),CHOOSE(ArtifactsInput!$N$27+1,20,24,28,32,36,40),0)/100))/B757))))/Skills!H11+0.000000001),1)))/Inputs!$B$43),G726*Q726)))*N729)*IF(Inputs!$B$38="pvp",1,1+(Inputs!$B$20+0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Hunt"),CHOOSE(ArtifactsInput!$N$35+1,15,18,21,24,27,30)*(1-EXP(-(0.2*B748)*5)),0)+IF(AND(ArtifactsInput!$M$22,Inputs!$B$4&lt;&gt;"Chapter Hunt"),CHOOSE(ArtifactsInput!$N$22+1,10,12,14,16,18,20)*((0*(((0.15*B748*5))^0/1)+1*(((0.15*B748*5))^1/1)+2*(((0.15*B748*5))^2/2)+3*(((0.15*B748*5))^3/6)+4*(((0.15*B748*5))^4/24)+5*(((0.15*B748*5))^5/120))/((((0.15*B748*5))^0/1)+(((0.15*B748*5))^1/1)+(((0.15*B748*5))^2/2)+(((0.15*B748*5))^3/6)+(((0.15*B748*5))^4/24)+(((0.15*B748*5))^5/120))),0))+IF(Inputs!$B$3&gt;=54,9*(C718=TRUE)*MIN(1,8*(1+Inputs!$B$34/100)*Q718)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729*(1-MIN(100,(Inputs!$B$9+((C734=TRUE)*(F734-Calc!F19))+B746+(ArtifactsInput!$M$24-ArtifactsInput!$M$24)*CHOOSE(ArtifactsInput!$N$24+1,10,12,14,16,18,20)+(IF(AND(Inputs!$B$38&lt;&gt;"pvp",Inputs!$B$43=0),1,IF(IF(Inputs!$B$38="pvp",15,Inputs!$B$43)-(B753)&lt;=0,1,MAX(0,IF(Inputs!$B$38="pvp",15,Inputs!$B$43)-MAX(5,B753))/(IF(Inputs!$B$38="pvp",15,Inputs!$B$43)-(B753))))*IF(AND(ArtifactsInput!$M$42,((Inputs!$B$9+((C734=TRUE)*(F734-Calc!F19))+B746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729*(MIN(100,(Inputs!$B$9+((C734=TRUE)*(F734-Calc!F19))+B746+(ArtifactsInput!$M$24-ArtifactsInput!$M$24)*CHOOSE(ArtifactsInput!$N$24+1,10,12,14,16,18,20)+(IF(AND(Inputs!$B$38&lt;&gt;"pvp",Inputs!$B$43=0),1,IF(IF(Inputs!$B$38="pvp",15,Inputs!$B$43)-(B753)&lt;=0,1,MAX(0,IF(Inputs!$B$38="pvp",15,Inputs!$B$43)-MAX(5,B753))/(IF(Inputs!$B$38="pvp",15,Inputs!$B$43)-(B753))))*IF(AND(ArtifactsInput!$M$42,((Inputs!$B$9+((C734=TRUE)*(F734-Calc!F19))+B746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729*(1-MIN(100,(Inputs!$B$9+((C734=TRUE)*(F734-Calc!F19))+B746+(ArtifactsInput!$M$24-ArtifactsInput!$M$24)*CHOOSE(ArtifactsInput!$N$24+1,10,12,14,16,18,20)+(IF(AND(Inputs!$B$38&lt;&gt;"pvp",Inputs!$B$43=0),1,IF(IF(Inputs!$B$38="pvp",15,Inputs!$B$43)-(B753)&lt;=0,1,MAX(0,IF(Inputs!$B$38="pvp",15,Inputs!$B$43)-MAX(5,B753))/(IF(Inputs!$B$38="pvp",15,Inputs!$B$43)-(B753))))*IF(AND(ArtifactsInput!$M$42,((Inputs!$B$9+((C734=TRUE)*(F734-Calc!F19))+B746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729*(MIN(100,(Inputs!$B$9+((C734=TRUE)*(F734-Calc!F19))+B746+(ArtifactsInput!$M$24-ArtifactsInput!$M$24)*CHOOSE(ArtifactsInput!$N$24+1,10,12,14,16,18,20)+(IF(AND(Inputs!$B$38&lt;&gt;"pvp",Inputs!$B$43=0),1,IF(IF(Inputs!$B$38="pvp",15,Inputs!$B$43)-(B753)&lt;=0,1,MAX(0,IF(Inputs!$B$38="pvp",15,Inputs!$B$43)-MAX(5,B753))/(IF(Inputs!$B$38="pvp",15,Inputs!$B$43)-(B753))))*IF(AND(ArtifactsInput!$M$42,((Inputs!$B$9+((C734=TRUE)*(F734-Calc!F19))+B746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29">
        <f>IF(C729,((H729*(B750+IF(AND(Inputs!$B$38&lt;&gt;"pvp",Inputs!$B$43&gt;0),((Skills!G8*((R723-1)*IF(Skills!H8&gt;0,INT(Skills!I8/Skills!H8+0.000000001),1)+IF(Skills!H8&gt;0,INT(MIN(Skills!I8,MAX(0,MAX(0,Inputs!$B$43-B753)-((R723-1)*((IF(Inputs!$B$38="pvp",15,MAX(0.1,Skills!D8-IF(TRUE=TRUE,Inputs!$B$32,0)))*(1-IF(AND(ArtifactsInput!$M$27,Inputs!$B$4="Chapter Hunt"),CHOOSE(ArtifactsInput!$N$27+1,20,24,28,32,36,40),0)/100))/B757))))/Skills!H8+0.000000001),1)))/Inputs!$B$43),G723*Q723)+IF(AND(Inputs!$B$38&lt;&gt;"pvp",Inputs!$B$43&gt;0),((Skills!G11*((R726-1)*IF(Skills!H11&gt;0,INT(Skills!I11/Skills!H11+0.000000001),1)+IF(Skills!H11&gt;0,INT(MIN(Skills!I11,MAX(0,MAX(0,Inputs!$B$43-B753)-((R726-1)*((IF(Inputs!$B$38="pvp",15,MAX(0.1,Skills!D11-IF(TRUE=TRUE,Inputs!$B$32,0)))*(1-IF(AND(ArtifactsInput!$M$27,Inputs!$B$4="Chapter Hunt"),CHOOSE(ArtifactsInput!$N$27+1,20,24,28,32,36,40),0)/100))/B757))))/Skills!H11+0.000000001),1)))/Inputs!$B$43),G726*Q726)))/(1+Skills!H14*H729*(B750+IF(AND(Inputs!$B$38&lt;&gt;"pvp",Inputs!$B$43&gt;0),((Skills!G8*((R723-1)*IF(Skills!H8&gt;0,INT(Skills!I8/Skills!H8+0.000000001),1)+IF(Skills!H8&gt;0,INT(MIN(Skills!I8,MAX(0,MAX(0,Inputs!$B$43-B753)-((R723-1)*((IF(Inputs!$B$38="pvp",15,MAX(0.1,Skills!D8-IF(TRUE=TRUE,Inputs!$B$32,0)))*(1-IF(AND(ArtifactsInput!$M$27,Inputs!$B$4="Chapter Hunt"),CHOOSE(ArtifactsInput!$N$27+1,20,24,28,32,36,40),0)/100))/B757))))/Skills!H8+0.000000001),1)))/Inputs!$B$43),G723*Q723)+IF(AND(Inputs!$B$38&lt;&gt;"pvp",Inputs!$B$43&gt;0),((Skills!G11*((R726-1)*IF(Skills!H11&gt;0,INT(Skills!I11/Skills!H11+0.000000001),1)+IF(Skills!H11&gt;0,INT(MIN(Skills!I11,MAX(0,MAX(0,Inputs!$B$43-B753)-((R726-1)*((IF(Inputs!$B$38="pvp",15,MAX(0.1,Skills!D11-IF(TRUE=TRUE,Inputs!$B$32,0)))*(1-IF(AND(ArtifactsInput!$M$27,Inputs!$B$4="Chapter Hunt"),CHOOSE(ArtifactsInput!$N$27+1,20,24,28,32,36,40),0)/100))/B757))))/Skills!H11+0.000000001),1)))/Inputs!$B$43),G726*Q726)))*N729)*IF(Inputs!$B$38="pvp",1,(1+(Inputs!$B$21+Skills!Q14+(IF(ArtifactsInput!$M$33,CHOOSE(ArtifactsInput!$N$33+1,30,36,42,48,54,60),0))+(IF(AND(ArtifactsInput!$M$35,Inputs!$B$4&lt;&gt;"Chapter Hunt"),CHOOSE(ArtifactsInput!$N$35+1,15,18,21,24,27,30)*(1-EXP(-(0.2*B748)*5)),0)+IF(AND(ArtifactsInput!$M$22,Inputs!$B$4&lt;&gt;"Chapter Hunt"),CHOOSE(ArtifactsInput!$N$22+1,10,12,14,16,18,20)*((0*(((0.15*B748*5))^0/1)+1*(((0.15*B748*5))^1/1)+2*(((0.15*B748*5))^2/2)+3*(((0.15*B748*5))^3/6)+4*(((0.15*B748*5))^4/24)+5*(((0.15*B748*5))^5/120))/((((0.15*B748*5))^0/1)+(((0.15*B748*5))^1/1)+(((0.15*B748*5))^2/2)+(((0.15*B748*5))^3/6)+(((0.15*B748*5))^4/24)+(((0.15*B748*5))^5/120))),0))+IF(Inputs!$B$3&gt;=54,9*(C718=TRUE)*MIN(1,8*(1+Inputs!$B$34/100)*Q718),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30">
      <c r="A730">
        <f>Skills!A15</f>
        <v/>
      </c>
      <c r="B730">
        <f>Skills!B15</f>
        <v/>
      </c>
      <c r="C730">
        <f>Inputs!$B$3&gt;=100</f>
        <v/>
      </c>
      <c r="D730">
        <f>IF(Skills!C15=1,60+Inputs!$B$25+Inputs!$B$29,IF(Skills!C15=2,90+Inputs!$B$26+Inputs!$B$29,IF(Skills!C15=3,120+Inputs!$B$27+Inputs!$B$29,MAX(0,(Inputs!$B$3-100)*3)+Inputs!$B$28+Inputs!$B$29)))</f>
        <v/>
      </c>
      <c r="E730">
        <f>INDEX(FactorTable!$B$2:$Y$301, MATCH(ROUND(MIN(300,MAX(1,D730)),0), FactorTable!$A$2:$A$301,0), Skills!M15+1)</f>
        <v/>
      </c>
      <c r="F730">
        <f>IF(Skills!N15=TRUE,(Skills!L15/10)*(E730/1000),Skills!L15/10)+Skills!O15</f>
        <v/>
      </c>
      <c r="G730" t="inlineStr"/>
      <c r="H730" t="inlineStr"/>
      <c r="I730" t="inlineStr">
        <is>
          <t>1</t>
        </is>
      </c>
      <c r="J730" t="inlineStr"/>
      <c r="K730" t="inlineStr"/>
      <c r="L730" t="inlineStr"/>
      <c r="M730" t="inlineStr"/>
      <c r="N730" t="inlineStr"/>
      <c r="O730" t="inlineStr"/>
      <c r="P730" t="inlineStr"/>
      <c r="Q730" t="inlineStr"/>
      <c r="R730" t="inlineStr"/>
      <c r="S730" t="inlineStr"/>
    </row>
    <row r="731">
      <c r="A731">
        <f>Skills!A16</f>
        <v/>
      </c>
      <c r="B731">
        <f>Skills!B16</f>
        <v/>
      </c>
      <c r="C731">
        <f>Inputs!$B$3&gt;=107</f>
        <v/>
      </c>
      <c r="D731">
        <f>IF(Skills!C16=1,60+Inputs!$B$25+Inputs!$B$29,IF(Skills!C16=2,90+Inputs!$B$26+Inputs!$B$29,IF(Skills!C16=3,120+Inputs!$B$27+Inputs!$B$29,MAX(0,(Inputs!$B$3-100)*3)+Inputs!$B$28+Inputs!$B$29)))</f>
        <v/>
      </c>
      <c r="E731">
        <f>INDEX(FactorTable!$B$2:$Y$301, MATCH(ROUND(MIN(300,MAX(1,D731)),0), FactorTable!$A$2:$A$301,0), Skills!M16+1)</f>
        <v/>
      </c>
      <c r="F731">
        <f>IF(Skills!N16=TRUE,(Skills!L16/10)*(E731/1000),Skills!L16/10)+Skills!O16</f>
        <v/>
      </c>
      <c r="G731" t="inlineStr"/>
      <c r="H731" t="inlineStr"/>
      <c r="I731" t="inlineStr">
        <is>
          <t>1</t>
        </is>
      </c>
      <c r="J731" t="inlineStr"/>
      <c r="K731" t="inlineStr"/>
      <c r="L731" t="inlineStr"/>
      <c r="M731" t="inlineStr"/>
      <c r="N731" t="inlineStr"/>
      <c r="O731" t="inlineStr"/>
      <c r="P731" t="inlineStr"/>
      <c r="Q731" t="inlineStr"/>
      <c r="R731" t="inlineStr"/>
      <c r="S731" t="inlineStr"/>
    </row>
    <row r="732">
      <c r="A732">
        <f>Skills!A17</f>
        <v/>
      </c>
      <c r="B732">
        <f>Skills!B17</f>
        <v/>
      </c>
      <c r="C732">
        <f>Inputs!$B$3&gt;=74</f>
        <v/>
      </c>
      <c r="D732">
        <f>IF(Skills!C17=1,60+Inputs!$B$25+Inputs!$B$29,IF(Skills!C17=2,90+Inputs!$B$26+Inputs!$B$29,IF(Skills!C17=3,120+Inputs!$B$27+Inputs!$B$29,MAX(0,(Inputs!$B$3-100)*3)+Inputs!$B$28+Inputs!$B$29)))</f>
        <v/>
      </c>
      <c r="E732">
        <f>INDEX(FactorTable!$B$2:$Y$301, MATCH(ROUND(MIN(300,MAX(1,D732)),0), FactorTable!$A$2:$A$301,0), Skills!M17+1)</f>
        <v/>
      </c>
      <c r="F732">
        <f>IF(Skills!N17=TRUE,(Skills!L17/10)*(E732/1000),Skills!L17/10)+Skills!O17</f>
        <v/>
      </c>
      <c r="G732">
        <f>Skills!G17*IF(Skills!H17&gt;0,INT(IF(Inputs!$B$38="pvp",MIN(Skills!I17,15),Skills!I17)/Skills!H17+0.000000001),1)</f>
        <v/>
      </c>
      <c r="H732">
        <f>1-(1-Skills!J17/100)^Skills!K17</f>
        <v/>
      </c>
      <c r="I732" t="inlineStr">
        <is>
          <t>1</t>
        </is>
      </c>
      <c r="J732" t="inlineStr"/>
      <c r="K732" t="inlineStr"/>
      <c r="L732" t="inlineStr"/>
      <c r="M732" t="inlineStr"/>
      <c r="N732" t="inlineStr"/>
      <c r="O732">
        <f>(1-Summary!$B$11)*T732+Summary!$B$11*V732</f>
        <v/>
      </c>
      <c r="P732">
        <f>IF(B756=0,0,O732/B756)</f>
        <v/>
      </c>
      <c r="Q732" t="n">
        <v>0</v>
      </c>
      <c r="R732" t="n">
        <v>0</v>
      </c>
      <c r="S732">
        <f>IFERROR(O732/N732,0)</f>
        <v/>
      </c>
      <c r="T732" t="n">
        <v>0</v>
      </c>
      <c r="V732" t="n">
        <v>0</v>
      </c>
    </row>
    <row r="733">
      <c r="A733">
        <f>Skills!A18</f>
        <v/>
      </c>
      <c r="B733">
        <f>Skills!B18</f>
        <v/>
      </c>
      <c r="C733">
        <f>Inputs!$B$3&gt;=115</f>
        <v/>
      </c>
      <c r="D733">
        <f>IF(Skills!C18=1,60+Inputs!$B$25+Inputs!$B$29,IF(Skills!C18=2,90+Inputs!$B$26+Inputs!$B$29,IF(Skills!C18=3,120+Inputs!$B$27+Inputs!$B$29,MAX(0,(Inputs!$B$3-100)*3)+Inputs!$B$28+Inputs!$B$29)))</f>
        <v/>
      </c>
      <c r="E733">
        <f>INDEX(FactorTable!$B$2:$Y$301, MATCH(ROUND(MIN(300,MAX(1,D733)),0), FactorTable!$A$2:$A$301,0), Skills!M18+1)</f>
        <v/>
      </c>
      <c r="F733">
        <f>IF(Skills!N18=TRUE,(Skills!L18/10)*(E733/1000),Skills!L18/10)+Skills!O18</f>
        <v/>
      </c>
      <c r="G733">
        <f>Skills!G18*IF(Skills!H18&gt;0,INT(IF(Inputs!$B$38="pvp",MIN(Skills!I18,15),Skills!I18)/Skills!H18+0.000000001),1)</f>
        <v/>
      </c>
      <c r="H733">
        <f>1-(1-Skills!J18/100)^Skills!K18</f>
        <v/>
      </c>
      <c r="I733" t="inlineStr">
        <is>
          <t>1</t>
        </is>
      </c>
      <c r="J733" t="inlineStr"/>
      <c r="K733" t="inlineStr"/>
      <c r="L733" t="inlineStr"/>
      <c r="M733" t="inlineStr"/>
      <c r="N733" t="inlineStr"/>
      <c r="O733">
        <f>(1-Summary!$B$11)*T733+Summary!$B$11*V733</f>
        <v/>
      </c>
      <c r="P733">
        <f>IF(B756=0,0,O733/B756)</f>
        <v/>
      </c>
      <c r="Q733">
        <f>IFERROR(1/(IF(Inputs!$B$38="pvp",15,MAX(0.1,Skills!D18-IF(TRUE=TRUE,Inputs!$B$32,0)))*(1-IF(AND(ArtifactsInput!$M$27,Inputs!$B$4="Chapter Hunt"),CHOOSE(ArtifactsInput!$N$27+1,20,24,28,32,36,40),0)/100)),0)</f>
        <v/>
      </c>
      <c r="R733">
        <f>IF(AND(Inputs!$B$38&lt;&gt;"pvp",Inputs!$B$43&gt;0),IF(Inputs!$B$43&lt;=0,0,(INT(Inputs!$B$43/(IF(Inputs!$B$38="pvp",15,MAX(0.1,Skills!D18-IF(TRUE=TRUE,Inputs!$B$32,0)))*(1-IF(AND(ArtifactsInput!$M$27,Inputs!$B$4="Chapter Hunt"),CHOOSE(ArtifactsInput!$N$27+1,20,24,28,32,36,40),0)/100)))+1)),0)</f>
        <v/>
      </c>
      <c r="S733">
        <f>IFERROR(O733/N733,0)</f>
        <v/>
      </c>
      <c r="T733" t="n">
        <v>0</v>
      </c>
      <c r="V733" t="n">
        <v>0</v>
      </c>
    </row>
    <row r="734">
      <c r="A734">
        <f>Skills!A19</f>
        <v/>
      </c>
      <c r="B734">
        <f>Skills!B19</f>
        <v/>
      </c>
      <c r="C734">
        <f>Inputs!$B$3&gt;=10</f>
        <v/>
      </c>
      <c r="D734">
        <f>IF(Skills!C19=1,60+Inputs!$B$25+Inputs!$B$29,IF(Skills!C19=2,90+Inputs!$B$26+Inputs!$B$29,IF(Skills!C19=3,120+Inputs!$B$27+Inputs!$B$29,MAX(0,(Inputs!$B$3-100)*3)+Inputs!$B$28+Inputs!$B$29)))</f>
        <v/>
      </c>
      <c r="E734">
        <f>INDEX(FactorTable!$B$2:$Y$301, MATCH(ROUND(MIN(300,MAX(1,D734)),0), FactorTable!$A$2:$A$301,0), Skills!M19+1)</f>
        <v/>
      </c>
      <c r="F734">
        <f>IF(Skills!N19=TRUE,(Skills!L19/10)*(E734/1000),Skills!L19/10)+Skills!O19</f>
        <v/>
      </c>
      <c r="G734">
        <f>Skills!G19*IF(Skills!H19&gt;0,INT(IF(Inputs!$B$38="pvp",MIN(Skills!I19,15),Skills!I19)/Skills!H19+0.000000001),1)</f>
        <v/>
      </c>
      <c r="H734">
        <f>1-(1-Skills!J19/100)^Skills!K19</f>
        <v/>
      </c>
      <c r="I734" t="inlineStr">
        <is>
          <t>1</t>
        </is>
      </c>
      <c r="J734" t="inlineStr"/>
      <c r="K734" t="inlineStr"/>
      <c r="L734" t="inlineStr"/>
      <c r="M734" t="inlineStr"/>
      <c r="N734" t="inlineStr"/>
      <c r="O734">
        <f>(1-Summary!$B$11)*T734+Summary!$B$11*V734</f>
        <v/>
      </c>
      <c r="P734">
        <f>IF(B756=0,0,O734/B756)</f>
        <v/>
      </c>
      <c r="Q734" t="n">
        <v>0</v>
      </c>
      <c r="R734" t="n">
        <v>0</v>
      </c>
      <c r="S734">
        <f>IFERROR(O734/N734,0)</f>
        <v/>
      </c>
      <c r="T734" t="n">
        <v>0</v>
      </c>
      <c r="V734" t="n">
        <v>0</v>
      </c>
    </row>
    <row r="735">
      <c r="A735">
        <f>Skills!A20</f>
        <v/>
      </c>
      <c r="B735">
        <f>Skills!B20</f>
        <v/>
      </c>
      <c r="C735">
        <f>Inputs!$B$3&gt;=15</f>
        <v/>
      </c>
      <c r="D735">
        <f>IF(Skills!C20=1,60+Inputs!$B$25+Inputs!$B$29,IF(Skills!C20=2,90+Inputs!$B$26+Inputs!$B$29,IF(Skills!C20=3,120+Inputs!$B$27+Inputs!$B$29,MAX(0,(Inputs!$B$3-100)*3)+Inputs!$B$28+Inputs!$B$29)))</f>
        <v/>
      </c>
      <c r="E735">
        <f>INDEX(FactorTable!$B$2:$Y$301, MATCH(ROUND(MIN(300,MAX(1,D735)),0), FactorTable!$A$2:$A$301,0), Skills!M20+1)</f>
        <v/>
      </c>
      <c r="F735">
        <f>IF(Skills!N20=TRUE,(Skills!L20/10)*(E735/1000),Skills!L20/10)+Skills!O20</f>
        <v/>
      </c>
      <c r="G735">
        <f>Skills!G20*IF(Skills!H20&gt;0,INT(IF(Inputs!$B$38="pvp",MIN(Skills!I20,15),Skills!I20)/Skills!H20+0.000000001),1)</f>
        <v/>
      </c>
      <c r="H735">
        <f>1-(1-Skills!J20/100)^Skills!K20</f>
        <v/>
      </c>
      <c r="I735" t="inlineStr">
        <is>
          <t>1</t>
        </is>
      </c>
      <c r="J735" t="inlineStr"/>
      <c r="K735" t="inlineStr"/>
      <c r="L735" t="inlineStr"/>
      <c r="M735" t="inlineStr"/>
      <c r="N735" t="inlineStr"/>
      <c r="O735">
        <f>(1-Summary!$B$11)*T735+Summary!$B$11*V735</f>
        <v/>
      </c>
      <c r="P735">
        <f>IF(B756=0,0,O735/B756)</f>
        <v/>
      </c>
      <c r="Q735" t="n">
        <v>0</v>
      </c>
      <c r="R735" t="n">
        <v>0</v>
      </c>
      <c r="S735">
        <f>IFERROR(O735/N735,0)</f>
        <v/>
      </c>
      <c r="T735" t="n">
        <v>0</v>
      </c>
      <c r="V735" t="n">
        <v>0</v>
      </c>
    </row>
    <row r="736">
      <c r="A736">
        <f>Skills!A21</f>
        <v/>
      </c>
      <c r="B736">
        <f>Skills!B21</f>
        <v/>
      </c>
      <c r="C736">
        <f>Inputs!$B$3&gt;=40</f>
        <v/>
      </c>
      <c r="D736">
        <f>IF(Skills!C21=1,60+Inputs!$B$25+Inputs!$B$29,IF(Skills!C21=2,90+Inputs!$B$26+Inputs!$B$29,IF(Skills!C21=3,120+Inputs!$B$27+Inputs!$B$29,MAX(0,(Inputs!$B$3-100)*3)+Inputs!$B$28+Inputs!$B$29)))</f>
        <v/>
      </c>
      <c r="E736">
        <f>INDEX(FactorTable!$B$2:$Y$301, MATCH(ROUND(MIN(300,MAX(1,D736)),0), FactorTable!$A$2:$A$301,0), Skills!M21+1)</f>
        <v/>
      </c>
      <c r="F736">
        <f>IF(Skills!N21=TRUE,(Skills!L21/10)*(E736/1000),Skills!L21/10)+Skills!O21</f>
        <v/>
      </c>
      <c r="G736">
        <f>Skills!G21*IF(Skills!H21&gt;0,INT(IF(Inputs!$B$38="pvp",MIN(Skills!I21,15),Skills!I21)/Skills!H21+0.000000001),1)</f>
        <v/>
      </c>
      <c r="H736">
        <f>1-(1-Skills!J21/100)^Skills!K21</f>
        <v/>
      </c>
      <c r="I736" t="inlineStr">
        <is>
          <t>1</t>
        </is>
      </c>
      <c r="J736" t="inlineStr"/>
      <c r="K736" t="inlineStr"/>
      <c r="L736" t="inlineStr"/>
      <c r="M736" t="inlineStr"/>
      <c r="N736" t="inlineStr"/>
      <c r="O736">
        <f>(1-Summary!$B$11)*T736+Summary!$B$11*V736</f>
        <v/>
      </c>
      <c r="P736">
        <f>IF(B756=0,0,O736/B756)</f>
        <v/>
      </c>
      <c r="Q736" t="n">
        <v>0</v>
      </c>
      <c r="R736" t="n">
        <v>0</v>
      </c>
      <c r="S736">
        <f>IFERROR(O736/N736,0)</f>
        <v/>
      </c>
      <c r="T736" t="n">
        <v>0</v>
      </c>
      <c r="V736" t="n">
        <v>0</v>
      </c>
    </row>
    <row r="737">
      <c r="A737">
        <f>Skills!A22</f>
        <v/>
      </c>
      <c r="B737">
        <f>Skills!B22</f>
        <v/>
      </c>
      <c r="C737">
        <f>Inputs!$B$3&gt;=43</f>
        <v/>
      </c>
      <c r="D737">
        <f>IF(Skills!C22=1,60+Inputs!$B$25+Inputs!$B$29,IF(Skills!C22=2,90+Inputs!$B$26+Inputs!$B$29,IF(Skills!C22=3,120+Inputs!$B$27+Inputs!$B$29,MAX(0,(Inputs!$B$3-100)*3)+Inputs!$B$28+Inputs!$B$29)))</f>
        <v/>
      </c>
      <c r="E737">
        <f>INDEX(FactorTable!$B$2:$Y$301, MATCH(ROUND(MIN(300,MAX(1,D737)),0), FactorTable!$A$2:$A$301,0), Skills!M22+1)</f>
        <v/>
      </c>
      <c r="F737">
        <f>IF(Skills!N22=TRUE,(Skills!L22/10)*(E737/1000),Skills!L22/10)+Skills!O22</f>
        <v/>
      </c>
      <c r="G737">
        <f>Skills!G22*IF(Skills!H22&gt;0,INT(IF(Inputs!$B$38="pvp",MIN(Skills!I22,15),Skills!I22)/Skills!H22+0.000000001),1)</f>
        <v/>
      </c>
      <c r="H737">
        <f>1-(1-Skills!J22/100)^Skills!K22</f>
        <v/>
      </c>
      <c r="I737" t="inlineStr">
        <is>
          <t>1</t>
        </is>
      </c>
      <c r="J737" t="inlineStr"/>
      <c r="K737" t="inlineStr"/>
      <c r="L737" t="inlineStr"/>
      <c r="M737" t="inlineStr"/>
      <c r="N737" t="inlineStr"/>
      <c r="O737">
        <f>(1-Summary!$B$11)*T737+Summary!$B$11*V737</f>
        <v/>
      </c>
      <c r="P737">
        <f>IF(B756=0,0,O737/B756)</f>
        <v/>
      </c>
      <c r="Q737" t="n">
        <v>0</v>
      </c>
      <c r="R737" t="n">
        <v>0</v>
      </c>
      <c r="S737">
        <f>IFERROR(O737/N737,0)</f>
        <v/>
      </c>
      <c r="T737" t="n">
        <v>0</v>
      </c>
      <c r="V737" t="n">
        <v>0</v>
      </c>
    </row>
    <row r="738">
      <c r="A738">
        <f>Skills!A23</f>
        <v/>
      </c>
      <c r="B738">
        <f>Skills!B23</f>
        <v/>
      </c>
      <c r="C738">
        <f>Inputs!$B$3&gt;=38</f>
        <v/>
      </c>
      <c r="D738">
        <f>IF(Skills!C23=1,60+Inputs!$B$25+Inputs!$B$29,IF(Skills!C23=2,90+Inputs!$B$26+Inputs!$B$29,IF(Skills!C23=3,120+Inputs!$B$27+Inputs!$B$29,MAX(0,(Inputs!$B$3-100)*3)+Inputs!$B$28+Inputs!$B$29)))</f>
        <v/>
      </c>
      <c r="E738">
        <f>INDEX(FactorTable!$B$2:$Y$301, MATCH(ROUND(MIN(300,MAX(1,D738)),0), FactorTable!$A$2:$A$301,0), Skills!M23+1)</f>
        <v/>
      </c>
      <c r="F738">
        <f>IF(Skills!N23=TRUE,(Skills!L23/10)*(E738/1000),Skills!L23/10)+Skills!O23</f>
        <v/>
      </c>
      <c r="G738">
        <f>Skills!G23*IF(Skills!H23&gt;0,INT(IF(Inputs!$B$38="pvp",MIN(Skills!I23,15),Skills!I23)/Skills!H23+0.000000001),1)</f>
        <v/>
      </c>
      <c r="H738">
        <f>1-(1-Skills!J23/100)^Skills!K23</f>
        <v/>
      </c>
      <c r="I738" t="inlineStr">
        <is>
          <t>1</t>
        </is>
      </c>
      <c r="J738" t="inlineStr"/>
      <c r="K738" t="inlineStr"/>
      <c r="L738" t="inlineStr"/>
      <c r="M738" t="inlineStr"/>
      <c r="N738" t="inlineStr"/>
      <c r="O738">
        <f>(1-Summary!$B$11)*T738+Summary!$B$11*V738</f>
        <v/>
      </c>
      <c r="P738">
        <f>IF(B756=0,0,O738/B756)</f>
        <v/>
      </c>
      <c r="Q738" t="n">
        <v>0</v>
      </c>
      <c r="R738" t="n">
        <v>0</v>
      </c>
      <c r="S738">
        <f>IFERROR(O738/N738,0)</f>
        <v/>
      </c>
      <c r="T738" t="n">
        <v>0</v>
      </c>
      <c r="V738" t="n">
        <v>0</v>
      </c>
    </row>
    <row r="739">
      <c r="A739">
        <f>Skills!A24</f>
        <v/>
      </c>
      <c r="B739">
        <f>Skills!B24</f>
        <v/>
      </c>
      <c r="C739">
        <f>Inputs!$B$3&gt;=45</f>
        <v/>
      </c>
      <c r="D739">
        <f>IF(Skills!C24=1,60+Inputs!$B$25+Inputs!$B$29,IF(Skills!C24=2,90+Inputs!$B$26+Inputs!$B$29,IF(Skills!C24=3,120+Inputs!$B$27+Inputs!$B$29,MAX(0,(Inputs!$B$3-100)*3)+Inputs!$B$28+Inputs!$B$29)))</f>
        <v/>
      </c>
      <c r="E739">
        <f>INDEX(FactorTable!$B$2:$Y$301, MATCH(ROUND(MIN(300,MAX(1,D739)),0), FactorTable!$A$2:$A$301,0), Skills!M24+1)</f>
        <v/>
      </c>
      <c r="F739">
        <f>IF(Skills!N24=TRUE,(Skills!L24/10)*(E739/1000),Skills!L24/10)+Skills!O24</f>
        <v/>
      </c>
      <c r="G739">
        <f>Skills!G24*IF(Skills!H24&gt;0,INT(IF(Inputs!$B$38="pvp",MIN(Skills!I24,15),Skills!I24)/Skills!H24+0.000000001),1)</f>
        <v/>
      </c>
      <c r="H739">
        <f>1-(1-Skills!J24/100)^Skills!K24</f>
        <v/>
      </c>
      <c r="I739" t="inlineStr">
        <is>
          <t>1</t>
        </is>
      </c>
      <c r="J739" t="inlineStr"/>
      <c r="K739" t="inlineStr"/>
      <c r="L739" t="inlineStr"/>
      <c r="M739" t="inlineStr"/>
      <c r="N739" t="inlineStr"/>
      <c r="O739">
        <f>(1-Summary!$B$11)*T739+Summary!$B$11*V739</f>
        <v/>
      </c>
      <c r="P739">
        <f>IF(B756=0,0,O739/B756)</f>
        <v/>
      </c>
      <c r="Q739" t="n">
        <v>0</v>
      </c>
      <c r="R739" t="n">
        <v>0</v>
      </c>
      <c r="S739">
        <f>IFERROR(O739/N739,0)</f>
        <v/>
      </c>
      <c r="T739" t="n">
        <v>0</v>
      </c>
      <c r="V739" t="n">
        <v>0</v>
      </c>
    </row>
    <row r="740">
      <c r="A740">
        <f>Skills!A25</f>
        <v/>
      </c>
      <c r="B740">
        <f>Skills!B25</f>
        <v/>
      </c>
      <c r="C740">
        <f>Inputs!$B$3&gt;=72</f>
        <v/>
      </c>
      <c r="D740">
        <f>IF(Skills!C25=1,60+Inputs!$B$25+Inputs!$B$29,IF(Skills!C25=2,90+Inputs!$B$26+Inputs!$B$29,IF(Skills!C25=3,120+Inputs!$B$27+Inputs!$B$29,MAX(0,(Inputs!$B$3-100)*3)+Inputs!$B$28+Inputs!$B$29)))</f>
        <v/>
      </c>
      <c r="E740">
        <f>INDEX(FactorTable!$B$2:$Y$301, MATCH(ROUND(MIN(300,MAX(1,D740)),0), FactorTable!$A$2:$A$301,0), Skills!M25+1)</f>
        <v/>
      </c>
      <c r="F740">
        <f>IF(Skills!N25=TRUE,(Skills!L25/10)*(E740/1000),Skills!L25/10)+Skills!O25</f>
        <v/>
      </c>
      <c r="G740">
        <f>Skills!G25*IF(Skills!H25&gt;0,INT(IF(Inputs!$B$38="pvp",MIN(Skills!I25,15),Skills!I25)/Skills!H25+0.000000001),1)</f>
        <v/>
      </c>
      <c r="H740">
        <f>1-(1-Skills!J25/100)^Skills!K25</f>
        <v/>
      </c>
      <c r="I740" t="inlineStr">
        <is>
          <t>1</t>
        </is>
      </c>
      <c r="J740" t="inlineStr"/>
      <c r="K740" t="inlineStr"/>
      <c r="L740" t="inlineStr"/>
      <c r="M740" t="inlineStr"/>
      <c r="N740" t="inlineStr"/>
      <c r="O740">
        <f>(1-Summary!$B$11)*T740+Summary!$B$11*V740</f>
        <v/>
      </c>
      <c r="P740">
        <f>IF(B756=0,0,O740/B756)</f>
        <v/>
      </c>
      <c r="Q740" t="n">
        <v>0</v>
      </c>
      <c r="R740" t="n">
        <v>0</v>
      </c>
      <c r="S740">
        <f>IFERROR(O740/N740,0)</f>
        <v/>
      </c>
      <c r="T740" t="n">
        <v>0</v>
      </c>
      <c r="V740" t="n">
        <v>0</v>
      </c>
    </row>
    <row r="741">
      <c r="A741">
        <f>Skills!A26</f>
        <v/>
      </c>
      <c r="B741">
        <f>Skills!B26</f>
        <v/>
      </c>
      <c r="C741">
        <f>Inputs!$B$3&gt;=75</f>
        <v/>
      </c>
      <c r="D741">
        <f>IF(Skills!C26=1,60+Inputs!$B$25+Inputs!$B$29,IF(Skills!C26=2,90+Inputs!$B$26+Inputs!$B$29,IF(Skills!C26=3,120+Inputs!$B$27+Inputs!$B$29,MAX(0,(Inputs!$B$3-100)*3)+Inputs!$B$28+Inputs!$B$29)))</f>
        <v/>
      </c>
      <c r="E741">
        <f>INDEX(FactorTable!$B$2:$Y$301, MATCH(ROUND(MIN(300,MAX(1,D741)),0), FactorTable!$A$2:$A$301,0), Skills!M26+1)</f>
        <v/>
      </c>
      <c r="F741">
        <f>IF(Skills!N26=TRUE,(Skills!L26/10)*(E741/1000),Skills!L26/10)+Skills!O26</f>
        <v/>
      </c>
      <c r="G741">
        <f>Skills!G26*IF(Skills!H26&gt;0,INT(IF(Inputs!$B$38="pvp",MIN(Skills!I26,15),Skills!I26)/Skills!H26+0.000000001),1)</f>
        <v/>
      </c>
      <c r="H741">
        <f>1-(1-Skills!J26/100)^Skills!K26</f>
        <v/>
      </c>
      <c r="I741" t="inlineStr">
        <is>
          <t>1</t>
        </is>
      </c>
      <c r="J741" t="inlineStr"/>
      <c r="K741" t="inlineStr"/>
      <c r="L741" t="inlineStr"/>
      <c r="M741" t="inlineStr"/>
      <c r="N741" t="inlineStr"/>
      <c r="O741">
        <f>(1-Summary!$B$11)*T741+Summary!$B$11*V741</f>
        <v/>
      </c>
      <c r="P741">
        <f>IF(B756=0,0,O741/B756)</f>
        <v/>
      </c>
      <c r="Q741" t="n">
        <v>0</v>
      </c>
      <c r="R741" t="n">
        <v>0</v>
      </c>
      <c r="S741">
        <f>IFERROR(O741/N741,0)</f>
        <v/>
      </c>
      <c r="T741" t="n">
        <v>0</v>
      </c>
      <c r="V741" t="n">
        <v>0</v>
      </c>
    </row>
    <row r="742">
      <c r="A742">
        <f>Skills!A27</f>
        <v/>
      </c>
      <c r="B742">
        <f>Skills!B27</f>
        <v/>
      </c>
      <c r="C742">
        <f>Inputs!$B$3&gt;=125</f>
        <v/>
      </c>
      <c r="D742">
        <f>IF(Skills!C27=1,60+Inputs!$B$25+Inputs!$B$29,IF(Skills!C27=2,90+Inputs!$B$26+Inputs!$B$29,IF(Skills!C27=3,120+Inputs!$B$27+Inputs!$B$29,MAX(0,(Inputs!$B$3-100)*3)+Inputs!$B$28+Inputs!$B$29)))</f>
        <v/>
      </c>
      <c r="E742">
        <f>INDEX(FactorTable!$B$2:$Y$301, MATCH(ROUND(MIN(300,MAX(1,D742)),0), FactorTable!$A$2:$A$301,0), Skills!M27+1)</f>
        <v/>
      </c>
      <c r="F742">
        <f>IF(Skills!N27=TRUE,(Skills!L27/10)*(E742/1000),Skills!L27/10)+Skills!O27</f>
        <v/>
      </c>
      <c r="G742">
        <f>Skills!G27*IF(Skills!H27&gt;0,INT(IF(Inputs!$B$38="pvp",MIN(Skills!I27,15),Skills!I27)/Skills!H27+0.000000001),1)</f>
        <v/>
      </c>
      <c r="H742">
        <f>1-(1-Skills!J27/100)^Skills!K27</f>
        <v/>
      </c>
      <c r="I742" t="inlineStr">
        <is>
          <t>1</t>
        </is>
      </c>
      <c r="J742" t="inlineStr"/>
      <c r="K742" t="inlineStr"/>
      <c r="L742" t="inlineStr"/>
      <c r="M742" t="inlineStr"/>
      <c r="N742" t="inlineStr"/>
      <c r="O742">
        <f>(1-Summary!$B$11)*T742+Summary!$B$11*V742</f>
        <v/>
      </c>
      <c r="P742">
        <f>IF(B756=0,0,O742/B756)</f>
        <v/>
      </c>
      <c r="Q742" t="n">
        <v>0</v>
      </c>
      <c r="R742" t="n">
        <v>0</v>
      </c>
      <c r="S742">
        <f>IFERROR(O742/N742,0)</f>
        <v/>
      </c>
      <c r="T742" t="n">
        <v>0</v>
      </c>
      <c r="V742" t="n">
        <v>0</v>
      </c>
    </row>
    <row r="743">
      <c r="A743">
        <f>Skills!A28</f>
        <v/>
      </c>
      <c r="B743">
        <f>Skills!B28</f>
        <v/>
      </c>
      <c r="C743">
        <f>TRUE</f>
        <v/>
      </c>
      <c r="D743">
        <f>IF(Skills!C28=1,60+Inputs!$B$25+Inputs!$B$29,IF(Skills!C28=2,90+Inputs!$B$26+Inputs!$B$29,IF(Skills!C28=3,120+Inputs!$B$27+Inputs!$B$29,MAX(0,(Inputs!$B$3-100)*3)+Inputs!$B$28+Inputs!$B$29)))</f>
        <v/>
      </c>
      <c r="E743">
        <f>INDEX(FactorTable!$B$2:$Y$301, MATCH(ROUND(MIN(300,MAX(1,D743)),0), FactorTable!$A$2:$A$301,0), Skills!M28+1)</f>
        <v/>
      </c>
      <c r="F743">
        <f>IF(Skills!N28=TRUE,(Skills!L28/10)*(E743/1000),Skills!L28/10)+Skills!O28</f>
        <v/>
      </c>
      <c r="G743">
        <f>Skills!G28*IF(Skills!H28&gt;0,INT(IF(Inputs!$B$38="pvp",MIN(Skills!I28,15),Skills!I28)/Skills!H28+0.000000001),1)</f>
        <v/>
      </c>
      <c r="H743">
        <f>1-(1-Skills!J28/100)^Skills!K28</f>
        <v/>
      </c>
      <c r="I743" t="inlineStr">
        <is>
          <t>1</t>
        </is>
      </c>
      <c r="J743" t="inlineStr"/>
      <c r="K743" t="inlineStr"/>
      <c r="L743" t="inlineStr"/>
      <c r="M743" t="inlineStr"/>
      <c r="N743" t="inlineStr"/>
      <c r="O743">
        <f>(1-Summary!$B$11)*T743+Summary!$B$11*V743</f>
        <v/>
      </c>
      <c r="P743">
        <f>IF(B756=0,0,O743/B756)</f>
        <v/>
      </c>
      <c r="Q743">
        <f>IFERROR(1/(IF(Inputs!$B$38="pvp",15,MAX(0.1,Skills!D28-IF(TRUE=TRUE,Inputs!$B$32,0)))*(1-IF(AND(ArtifactsInput!$M$27,Inputs!$B$4="Chapter Hunt"),CHOOSE(ArtifactsInput!$N$27+1,20,24,28,32,36,40),0)/100)),0)</f>
        <v/>
      </c>
      <c r="R743">
        <f>IF(AND(Inputs!$B$38&lt;&gt;"pvp",Inputs!$B$43&gt;0),IF(Inputs!$B$43&lt;=0,0,(INT(Inputs!$B$43/(IF(Inputs!$B$38="pvp",15,MAX(0.1,Skills!D28-IF(TRUE=TRUE,Inputs!$B$32,0)))*(1-IF(AND(ArtifactsInput!$M$27,Inputs!$B$4="Chapter Hunt"),CHOOSE(ArtifactsInput!$N$27+1,20,24,28,32,36,40),0)/100)))+1)),0)</f>
        <v/>
      </c>
      <c r="S743">
        <f>IFERROR(O743/N743,0)</f>
        <v/>
      </c>
      <c r="T743" t="n">
        <v>0</v>
      </c>
      <c r="V743" t="n">
        <v>0</v>
      </c>
    </row>
    <row r="745">
      <c r="A745" t="inlineStr">
        <is>
          <t>Attack% Bucket Multiplier</t>
        </is>
      </c>
      <c r="B745">
        <f>(1+(((C732=TRUE)*F732*5/7)+((C739=TRUE)*(F739-Calc!F24))+(IF(ArtifactsInput!$M$21,CHOOSE(ArtifactsInput!$N$21+1,25,30,35,40,45,50)*(IF(OR(Inputs!$B$4="Chapter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746">
      <c r="A746" t="inlineStr">
        <is>
          <t>Global Crit Rate Bonus %</t>
        </is>
      </c>
      <c r="B746" t="n">
        <v>0</v>
      </c>
    </row>
    <row r="747">
      <c r="A747" t="inlineStr">
        <is>
          <t>Attack Speed Buff Bonus % (Nimble Feet, duty-cycle averaged)</t>
        </is>
      </c>
      <c r="B747">
        <f>((C743=TRUE)*F743*IF(AND(Inputs!$B$38&lt;&gt;"pvp",Inputs!$B$43&gt;0),(((R743-1)*MIN((Skills!T28*(1+Inputs!$B$34/100)),(1/Q743))+MIN((Skills!T28*(1+Inputs!$B$34/100)),MAX(0,Inputs!$B$43-((R743-1)*(1/Q743)))))/Inputs!$B$43),IF(Inputs!$B$38="pvp",MIN((Skills!T28*(1+Inputs!$B$34/100)),15)/15,MIN(1,(Skills!T28*(1+Inputs!$B$34/100))/(1/Q743)))))</f>
        <v/>
      </c>
    </row>
    <row r="748">
      <c r="A748" t="inlineStr">
        <is>
          <t>Actions Per Second</t>
        </is>
      </c>
      <c r="B748">
        <f>1+MIN(150,150*(1-(1-(Inputs!$B$11+((C735=TRUE)*(F735-Calc!F20))+((C736=TRUE)*(F736-Calc!F21)))/150)*(1-B747/150)))/100</f>
        <v/>
      </c>
    </row>
    <row r="749">
      <c r="A749" t="inlineStr">
        <is>
          <t>Skill + Buff Cast Rate</t>
        </is>
      </c>
      <c r="B749">
        <f>IF(AND(Inputs!$B$38&lt;&gt;"pvp",Inputs!$B$43&gt;0),SUMPRODUCT((Skills!E2:E28=TRUE)*(C717:C743=TRUE)*R717:R743*Skills!F2:F28)/Inputs!$B$43,SUMPRODUCT((Skills!E2:E28=TRUE)*(C717:C743=TRUE)*Q717:Q743*Skills!F2:F28))</f>
        <v/>
      </c>
    </row>
    <row r="750">
      <c r="A750" t="inlineStr">
        <is>
          <t>Eight-Legs Easton Casts Per Second</t>
        </is>
      </c>
      <c r="B750">
        <f>MAX(0,B748-B749)</f>
        <v/>
      </c>
    </row>
    <row r="751">
      <c r="A751" t="inlineStr">
        <is>
          <t>Global Critical Damage Bonus % (unused)</t>
        </is>
      </c>
      <c r="B751" t="n">
        <v>0</v>
      </c>
    </row>
    <row r="752">
      <c r="A752" t="inlineStr">
        <is>
          <t>Global Final Damage Bonus % (Jolly Roger + Ahoy Mateys - Final Damage proc)</t>
        </is>
      </c>
      <c r="B752">
        <f>((C733=TRUE)*F733*IF(AND(Inputs!$B$38&lt;&gt;"pvp",Inputs!$B$43&gt;0),(((R733-1)*MIN((Skills!T18*(1+Inputs!$B$34/100)),(1/Q733))+MIN((Skills!T18*(1+Inputs!$B$34/100)),MAX(0,Inputs!$B$43-((R733-1)*(1/Q733)))))/Inputs!$B$43),IF(Inputs!$B$38="pvp",MIN((Skills!T18*(1+Inputs!$B$34/100)),15)/15,MIN(1,(Skills!T18*(1+Inputs!$B$34/100))/(1/Q733)))))+IF(Inputs!$B$3&gt;=122,20*IF(Inputs!$B$38="pvp",MIN((20*(1+Inputs!$B$34/100)),15)/15,MIN(1,(20*(1+Inputs!$B$34/100))/(1/Q719))),0)</f>
        <v/>
      </c>
    </row>
    <row r="753">
      <c r="A753" t="inlineStr">
        <is>
          <t>Buff-Casting Startup Delay (s, fixed-duration only)</t>
        </is>
      </c>
      <c r="B753">
        <f>IF(AND(Inputs!$B$38&lt;&gt;"pvp",Inputs!$B$43&gt;0),SUMPRODUCT((Skills!T2:T28&gt;0)*(Skills!E2:E28=TRUE)*(C717:C743=TRUE))/B748,0)</f>
        <v/>
      </c>
    </row>
    <row r="754">
      <c r="A754" t="inlineStr">
        <is>
          <t>Boss-Only Total DPS (this block's swept value)</t>
        </is>
      </c>
      <c r="B754">
        <f>SUM(T717:T743)</f>
        <v/>
      </c>
    </row>
    <row r="755">
      <c r="A755" t="inlineStr">
        <is>
          <t>Normal-Only Total DPS (this block's swept value)</t>
        </is>
      </c>
      <c r="B755">
        <f>SUM(V717:V743)</f>
        <v/>
      </c>
    </row>
    <row r="756">
      <c r="A756" s="6" t="inlineStr">
        <is>
          <t>TOTAL DPS</t>
        </is>
      </c>
      <c r="B756" s="6">
        <f>SUM(O717:O743)</f>
        <v/>
      </c>
    </row>
    <row r="757">
      <c r="A757" t="inlineStr">
        <is>
          <t>Quickdraw cooldown divisor (this block's own APS / Q)</t>
        </is>
      </c>
      <c r="B757">
        <f>IF(AND(C742=TRUE,Inputs!$B$38&lt;&gt;"pvp"),1+0.25*MAX(0,(B748-(((C718=TRUE)*Q718*1)+((C719=TRUE)*Q719*1)+((C721=TRUE)*Q721*1)+((C722=TRUE)*Q722*1)+((C724=TRUE)*Q724*1)+((C727=TRUE)*Q727*1)+((C733=TRUE)*Q733*1)+((C743=TRUE)*Q743*1))-((C723=TRUE)/(IF(Inputs!$B$38="pvp",15,MAX(0.1,Skills!D8-IF(TRUE=TRUE,Inputs!$B$32,0)))*(1-IF(AND(ArtifactsInput!$M$27,Inputs!$B$4="Chapter Hunt"),CHOOSE(ArtifactsInput!$N$27+1,20,24,28,32,36,40),0)/100))+(C726=TRUE)/(IF(Inputs!$B$38="pvp",15,MAX(0.1,Skills!D11-IF(TRUE=TRUE,Inputs!$B$32,0)))*(1-IF(AND(ArtifactsInput!$M$27,Inputs!$B$4="Chapter Hunt"),CHOOSE(ArtifactsInput!$N$27+1,20,24,28,32,36,40),0)/100))))/(1+0.25*((C723=TRUE)/(IF(Inputs!$B$38="pvp",15,MAX(0.1,Skills!D8-IF(TRUE=TRUE,Inputs!$B$32,0)))*(1-IF(AND(ArtifactsInput!$M$27,Inputs!$B$4="Chapter Hunt"),CHOOSE(ArtifactsInput!$N$27+1,20,24,28,32,36,40),0)/100))+(C726=TRUE)/(IF(Inputs!$B$38="pvp",15,MAX(0.1,Skills!D11-IF(TRUE=TRUE,Inputs!$B$32,0)))*(1-IF(AND(ArtifactsInput!$M$27,Inputs!$B$4="Chapter Hunt"),CHOOSE(ArtifactsInput!$N$27+1,20,24,28,32,36,40),0)/100))))),1)</f>
        <v/>
      </c>
    </row>
    <row r="758">
      <c r="A758" t="inlineStr">
        <is>
          <t>Nautilus Strike - Final Attack trigger rate (this block's own Q/R)</t>
        </is>
      </c>
      <c r="B758">
        <f>IF(AND(Inputs!$B$38&lt;&gt;"pvp",Inputs!$B$43&gt;0),(((C718=TRUE)*R718)+((C721=TRUE)*R721)+((C723=TRUE)*R723)+((C724=TRUE)*R724)+((C726=TRUE)*R726))/Inputs!$B$43,((C718=TRUE)*Q718)+((C721=TRUE)*Q721)+((C723=TRUE)*Q723)+((C724=TRUE)*Q724)+((C726=TRUE)*Q726))+B750</f>
        <v/>
      </c>
    </row>
    <row r="761">
      <c r="A761" s="6" t="inlineStr">
        <is>
          <t>Stat: SKILL_DAMAGE %</t>
        </is>
      </c>
    </row>
    <row r="762">
      <c r="A762" s="5" t="inlineStr">
        <is>
          <t>Key</t>
        </is>
      </c>
      <c r="B762" s="5" t="inlineStr">
        <is>
          <t>Name</t>
        </is>
      </c>
      <c r="C762" s="5" t="inlineStr">
        <is>
          <t>Unlocked</t>
        </is>
      </c>
      <c r="D762" s="5" t="inlineStr">
        <is>
          <t>InputLevel</t>
        </is>
      </c>
      <c r="E762" s="5" t="inlineStr">
        <is>
          <t>Factor</t>
        </is>
      </c>
      <c r="F762" s="5" t="inlineStr">
        <is>
          <t>CoefficientPercent</t>
        </is>
      </c>
      <c r="G762" s="5" t="inlineStr">
        <is>
          <t>EffectiveHits</t>
        </is>
      </c>
      <c r="H762" s="5" t="inlineStr">
        <is>
          <t>ProcProbability</t>
        </is>
      </c>
      <c r="I762" s="5" t="inlineStr">
        <is>
          <t>MapleHeroMultiplier</t>
        </is>
      </c>
      <c r="J762" s="5" t="inlineStr">
        <is>
          <t>BaseDamage</t>
        </is>
      </c>
      <c r="K762" s="5" t="inlineStr">
        <is>
          <t>BaseHitDamage</t>
        </is>
      </c>
      <c r="L762" s="5" t="inlineStr">
        <is>
          <t>NonCritAvg</t>
        </is>
      </c>
      <c r="M762" s="5" t="inlineStr">
        <is>
          <t>CritAvg</t>
        </is>
      </c>
      <c r="N762" s="5" t="inlineStr">
        <is>
          <t>ExpectedDamage(perHit)</t>
        </is>
      </c>
      <c r="O762" s="5" t="inlineStr">
        <is>
          <t>DPS</t>
        </is>
      </c>
      <c r="P762" s="5" t="inlineStr">
        <is>
          <t>% of Total</t>
        </is>
      </c>
      <c r="Q762" s="5" t="inlineStr">
        <is>
          <t>InvCooldown</t>
        </is>
      </c>
      <c r="R762" s="5" t="inlineStr">
        <is>
          <t>CastsInFight</t>
        </is>
      </c>
      <c r="S762" s="5" t="inlineStr">
        <is>
          <t>HitRate(perSec)</t>
        </is>
      </c>
      <c r="U762" t="inlineStr">
        <is>
          <t>helpers</t>
        </is>
      </c>
    </row>
    <row r="763">
      <c r="A763">
        <f>Skills!A2</f>
        <v/>
      </c>
      <c r="B763">
        <f>Skills!B2</f>
        <v/>
      </c>
      <c r="C763">
        <f>Inputs!$B$3&gt;=100</f>
        <v/>
      </c>
      <c r="D763" t="inlineStr"/>
      <c r="E763" t="inlineStr"/>
      <c r="F763">
        <f>U765+Skills!O2</f>
        <v/>
      </c>
      <c r="G763">
        <f>Skills!G2*IF(Skills!H2&gt;0,INT(IF(Inputs!$B$38="pvp",MIN(Skills!I2,15),Skills!I2)/Skills!H2+0.000000001),1)</f>
        <v/>
      </c>
      <c r="H763">
        <f>1-(1-Skills!J2/100)^Skills!K2</f>
        <v/>
      </c>
      <c r="I763" t="inlineStr">
        <is>
          <t>1</t>
        </is>
      </c>
      <c r="J763">
        <f>((Inputs!$B$6*(1+Inputs!$B$7/100))+(((Inputs!$B$12*(1+Inputs!$B$13/100))-(Inputs!$B$12*(1+Inputs!$B$13/100)))+0.25*(Inputs!$B$14-Inputs!$B$14))*(1+Inputs!$B$7/100))*(F763/100)</f>
        <v/>
      </c>
      <c r="K763">
        <f>J763*(1+((Inputs!$B$12*(1+Inputs!$B$13/100))*0.01+Inputs!$B$14*0.0025)/100)*(1+Inputs!$B$15/100)*(1+Inputs!$B$16/100)*(5000/(6000+Inputs!$B$42*(1-(100*(1-(1-(Inputs!$B$19+0)/100)*(1-CHOOSE(ArtifactsInput!$N$40+1,5,6,7,8,9,10)/100)^(ArtifactsInput!$M$40-ArtifactsInput!$M$40)))/100)))*(1+(Inputs!$B$24+((C787=TRUE)*(F787-Calc!F26))+B798)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IGHT_LEGS_EASTON",Inputs!$B$17+((C784=TRUE)*(F784-Calc!F23))+((C788=TRUE)*(F788-Calc!F27))+((IF(AND(Inputs!$B$38&lt;&gt;"pvp",Inputs!$B$43=0),1,IF(IF(Inputs!$B$38="pvp",15,Inputs!$B$43)-(B799)&lt;=0,1,MAX(0,IF(Inputs!$B$38="pvp",15,Inputs!$B$43)-MAX(5,B799))/(IF(Inputs!$B$38="pvp",15,Inputs!$B$43)-(B799))))*(IF(AND(ArtifactsInput!$M$42,((Inputs!$B$9+((C780=TRUE)*(F780-Calc!F19))+B792+(ArtifactsInput!$M$24-ArtifactsInput!$M$24)*CHOOSE(ArtifactsInput!$N$24+1,10,12,14,16,18,20)+IF(ArtifactsInput!$M$10,CHOOSE(ArtifactsInput!$N$10+1,15,18,21,24,27,30)*(IF(Inputs!$B$38="pvp",MIN(15,15)/15,IF(AND(Inputs!$B$38&lt;&gt;"pvp",Inputs!$B$43&gt;0),MIN(15,Inputs!$B$43)/(Inputs!$B$43),0))),0)))&gt;=100),MIN(100,((Inputs!$B$9+((C780=TRUE)*(F780-Calc!F19))+B792+(ArtifactsInput!$M$24-ArtifactsInput!$M$24)*CHOOSE(ArtifactsInput!$N$24+1,10,12,14,16,18,20)+IF(ArtifactsInput!$M$10,CHOOSE(ArtifactsInput!$N$10+1,15,18,21,24,27,30)*(IF(Inputs!$B$38="pvp",MIN(15,15)/15,IF(AND(Inputs!$B$38&lt;&gt;"pvp",Inputs!$B$43&gt;0),MIN(15,Inputs!$B$43)/(Inputs!$B$43),0))),0)))-100),0))*CHOOSE(ArtifactsInput!$N$42+1,0.6,0.72,0.84,0.96,1.08,1.2))),(Inputs!$B$18+1)+0+(IF(AND(Inputs!$B$38&lt;&gt;"pvp",Inputs!$B$43=0),1,IF(IF(Inputs!$B$38="pvp",15,Inputs!$B$43)-(B799)&lt;=0,1,MAX(0,IF(Inputs!$B$38="pvp",15,Inputs!$B$43)-MAX(5,B799))/(IF(Inputs!$B$38="pvp",15,Inputs!$B$43)-(B799))))*IF(AND(ArtifactsInput!$M$42,((Inputs!$B$9+((C780=TRUE)*(F780-Calc!F19))+B792+(ArtifactsInput!$M$24-ArtifactsInput!$M$24)*CHOOSE(ArtifactsInput!$N$24+1,10,12,14,16,18,20)+IF(ArtifactsInput!$M$10,CHOOSE(ArtifactsInput!$N$10+1,15,18,21,24,27,30)*(IF(Inputs!$B$38="pvp",MIN(15,15)/15,IF(AND(Inputs!$B$38&lt;&gt;"pvp",Inputs!$B$43&gt;0),MIN(15,Inputs!$B$43)/(Inputs!$B$43),0))),0)))&gt;=100),CHOOSE(ArtifactsInput!$N$42+1,40,48,56,64,72,80),0))))/100)*((1+(((C778=TRUE)*F778*5/7)+((C785=TRUE)*(F785-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763)</f>
        <v/>
      </c>
      <c r="L763">
        <f>K763*(MIN(Inputs!$B$22+((C783=TRUE)*(F783-Calc!F22)),(Inputs!$B$23+0+(IF(ArtifactsInput!$M$15,CHOOSE(ArtifactsInput!$N$15+1,25,30,35,40,45,50)/100*(Inputs!$B$11-Inputs!$B$11),0))))/100+(Inputs!$B$23+0+(IF(ArtifactsInput!$M$15,CHOOSE(ArtifactsInput!$N$15+1,25,30,35,40,45,50)/100*(Inputs!$B$11-Inputs!$B$11),0)))/100)/2</f>
        <v/>
      </c>
      <c r="M763">
        <f>L763*(1+(Inputs!$B$10+((C786=TRUE)*(F786-Calc!F25))+B797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63">
        <f>L763*(1-MIN((Inputs!$B$9+((C780=TRUE)*(F780-Calc!F19))+B792+(ArtifactsInput!$M$24-ArtifactsInput!$M$24)*CHOOSE(ArtifactsInput!$N$24+1,10,12,14,16,18,20)+(IF(AND(Inputs!$B$38&lt;&gt;"pvp",Inputs!$B$43=0),1,IF(IF(Inputs!$B$38="pvp",15,Inputs!$B$43)-(B799)&lt;=0,1,MAX(0,IF(Inputs!$B$38="pvp",15,Inputs!$B$43)-MAX(5,B799))/(IF(Inputs!$B$38="pvp",15,Inputs!$B$43)-(B799))))*IF(AND(ArtifactsInput!$M$42,((Inputs!$B$9+((C780=TRUE)*(F780-Calc!F19))+B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763*(MIN((Inputs!$B$9+((C780=TRUE)*(F780-Calc!F19))+B792+(ArtifactsInput!$M$24-ArtifactsInput!$M$24)*CHOOSE(ArtifactsInput!$N$24+1,10,12,14,16,18,20)+(IF(AND(Inputs!$B$38&lt;&gt;"pvp",Inputs!$B$43=0),1,IF(IF(Inputs!$B$38="pvp",15,Inputs!$B$43)-(B799)&lt;=0,1,MAX(0,IF(Inputs!$B$38="pvp",15,Inputs!$B$43)-MAX(5,B799))/(IF(Inputs!$B$38="pvp",15,Inputs!$B$43)-(B799))))*IF(AND(ArtifactsInput!$M$42,((Inputs!$B$9+((C780=TRUE)*(F780-Calc!F19))+B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63">
        <f>(1-Summary!$B$11)*T763+Summary!$B$11*V763</f>
        <v/>
      </c>
      <c r="P763">
        <f>IF(B802=0,0,O763/B802)</f>
        <v/>
      </c>
      <c r="Q763" t="n">
        <v>0</v>
      </c>
      <c r="R763" t="n">
        <v>0</v>
      </c>
      <c r="S763">
        <f>IFERROR(O763/N763,0)</f>
        <v/>
      </c>
      <c r="T763">
        <f>IF(C763,(Skills!G2*N763*B796*(1+IF(C788=TRUE,1/3,0)))*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Hunt"),CHOOSE(ArtifactsInput!$N$35+1,15,18,21,24,27,30)*(1-EXP(-(0.2*B794)*5)),0)+IF(AND(ArtifactsInput!$M$22,Inputs!$B$4&lt;&gt;"Chapter Hunt"),CHOOSE(ArtifactsInput!$N$22+1,10,12,14,16,18,20)*((0*(((0.15*B794*5))^0/1)+1*(((0.15*B794*5))^1/1)+2*(((0.15*B794*5))^2/2)+3*(((0.15*B794*5))^3/6)+4*(((0.15*B794*5))^4/24)+5*(((0.15*B794*5))^5/120))/((((0.15*B794*5))^0/1)+(((0.15*B794*5))^1/1)+(((0.15*B794*5))^2/2)+(((0.15*B794*5))^3/6)+(((0.15*B794*5))^4/24)+(((0.15*B794*5))^5/120))),0))+IF(Inputs!$B$3&gt;=54,9*(C764=TRUE)*MIN(1,8*(1+Inputs!$B$34/100)*Q764)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763*(1-MIN(100,(Inputs!$B$9+((C780=TRUE)*(F780-Calc!F19))+B792+(ArtifactsInput!$M$24-ArtifactsInput!$M$24)*CHOOSE(ArtifactsInput!$N$24+1,10,12,14,16,18,20)+(IF(AND(Inputs!$B$38&lt;&gt;"pvp",Inputs!$B$43=0),1,IF(IF(Inputs!$B$38="pvp",15,Inputs!$B$43)-(B799)&lt;=0,1,MAX(0,IF(Inputs!$B$38="pvp",15,Inputs!$B$43)-MAX(5,B799))/(IF(Inputs!$B$38="pvp",15,Inputs!$B$43)-(B799))))*IF(AND(ArtifactsInput!$M$42,((Inputs!$B$9+((C780=TRUE)*(F780-Calc!F19))+B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763*(MIN(100,(Inputs!$B$9+((C780=TRUE)*(F780-Calc!F19))+B792+(ArtifactsInput!$M$24-ArtifactsInput!$M$24)*CHOOSE(ArtifactsInput!$N$24+1,10,12,14,16,18,20)+(IF(AND(Inputs!$B$38&lt;&gt;"pvp",Inputs!$B$43=0),1,IF(IF(Inputs!$B$38="pvp",15,Inputs!$B$43)-(B799)&lt;=0,1,MAX(0,IF(Inputs!$B$38="pvp",15,Inputs!$B$43)-MAX(5,B799))/(IF(Inputs!$B$38="pvp",15,Inputs!$B$43)-(B799))))*IF(AND(ArtifactsInput!$M$42,((Inputs!$B$9+((C780=TRUE)*(F780-Calc!F19))+B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763*(1-MIN(100,(Inputs!$B$9+((C780=TRUE)*(F780-Calc!F19))+B792+(ArtifactsInput!$M$24-ArtifactsInput!$M$24)*CHOOSE(ArtifactsInput!$N$24+1,10,12,14,16,18,20)+(IF(AND(Inputs!$B$38&lt;&gt;"pvp",Inputs!$B$43=0),1,IF(IF(Inputs!$B$38="pvp",15,Inputs!$B$43)-(B799)&lt;=0,1,MAX(0,IF(Inputs!$B$38="pvp",15,Inputs!$B$43)-MAX(5,B799))/(IF(Inputs!$B$38="pvp",15,Inputs!$B$43)-(B799))))*IF(AND(ArtifactsInput!$M$42,((Inputs!$B$9+((C780=TRUE)*(F780-Calc!F19))+B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763*(MIN(100,(Inputs!$B$9+((C780=TRUE)*(F780-Calc!F19))+B792+(ArtifactsInput!$M$24-ArtifactsInput!$M$24)*CHOOSE(ArtifactsInput!$N$24+1,10,12,14,16,18,20)+(IF(AND(Inputs!$B$38&lt;&gt;"pvp",Inputs!$B$43=0),1,IF(IF(Inputs!$B$38="pvp",15,Inputs!$B$43)-(B799)&lt;=0,1,MAX(0,IF(Inputs!$B$38="pvp",15,Inputs!$B$43)-MAX(5,B799))/(IF(Inputs!$B$38="pvp",15,Inputs!$B$43)-(B799))))*IF(AND(ArtifactsInput!$M$42,((Inputs!$B$9+((C780=TRUE)*(F780-Calc!F19))+B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763">
        <f>MAX(0,(Inputs!$B$3-100)*3)+Inputs!$B$28+Inputs!$B$29</f>
        <v/>
      </c>
      <c r="V763">
        <f>IF(C763,(Skills!G2*N763*B796*(1+IF(C788=TRUE,1/3,0)))*IF(Inputs!$B$38="pvp",1,(1+(Inputs!$B$21+Skills!Q2+(IF(ArtifactsInput!$M$33,CHOOSE(ArtifactsInput!$N$33+1,30,36,42,48,54,60),0))+(IF(AND(ArtifactsInput!$M$35,Inputs!$B$4&lt;&gt;"Chapter Hunt"),CHOOSE(ArtifactsInput!$N$35+1,15,18,21,24,27,30)*(1-EXP(-(0.2*B794)*5)),0)+IF(AND(ArtifactsInput!$M$22,Inputs!$B$4&lt;&gt;"Chapter Hunt"),CHOOSE(ArtifactsInput!$N$22+1,10,12,14,16,18,20)*((0*(((0.15*B794*5))^0/1)+1*(((0.15*B794*5))^1/1)+2*(((0.15*B794*5))^2/2)+3*(((0.15*B794*5))^3/6)+4*(((0.15*B794*5))^4/24)+5*(((0.15*B794*5))^5/120))/((((0.15*B794*5))^0/1)+(((0.15*B794*5))^1/1)+(((0.15*B794*5))^2/2)+(((0.15*B794*5))^3/6)+(((0.15*B794*5))^4/24)+(((0.15*B794*5))^5/120))),0))+IF(Inputs!$B$3&gt;=54,9*(C764=TRUE)*MIN(1,8*(1+Inputs!$B$34/100)*Q764),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64">
      <c r="A764">
        <f>Skills!A3</f>
        <v/>
      </c>
      <c r="B764">
        <f>Skills!B3</f>
        <v/>
      </c>
      <c r="C764">
        <f>Inputs!$B$3&gt;=33</f>
        <v/>
      </c>
      <c r="D764">
        <f>IF(Skills!C3=1,60+Inputs!$B$25+Inputs!$B$29,IF(Skills!C3=2,90+Inputs!$B$26+Inputs!$B$29,IF(Skills!C3=3,120+Inputs!$B$27+Inputs!$B$29,MAX(0,(Inputs!$B$3-100)*3)+Inputs!$B$28+Inputs!$B$29)))</f>
        <v/>
      </c>
      <c r="E764">
        <f>INDEX(FactorTable!$B$2:$Y$301, MATCH(ROUND(MIN(300,MAX(1,D764)),0), FactorTable!$A$2:$A$301,0), Skills!M3+1)</f>
        <v/>
      </c>
      <c r="F764">
        <f>IF(Skills!N3=TRUE,(Skills!L3/10)*(E764/1000),Skills!L3/10)+Skills!O3</f>
        <v/>
      </c>
      <c r="G764">
        <f>Skills!G3*IF(Skills!H3&gt;0,INT(IF(Inputs!$B$38="pvp",MIN(Skills!I3,15),Skills!I3)/Skills!H3+0.000000001),1)</f>
        <v/>
      </c>
      <c r="H764">
        <f>1-(1-Skills!J3/100)^Skills!K3</f>
        <v/>
      </c>
      <c r="I764" t="inlineStr">
        <is>
          <t>1</t>
        </is>
      </c>
      <c r="J764">
        <f>((Inputs!$B$6*(1+Inputs!$B$7/100))+(((Inputs!$B$12*(1+Inputs!$B$13/100))-(Inputs!$B$12*(1+Inputs!$B$13/100)))+0.25*(Inputs!$B$14-Inputs!$B$14))*(1+Inputs!$B$7/100))*(F764/100)</f>
        <v/>
      </c>
      <c r="K764">
        <f>J764*(1+((Inputs!$B$12*(1+Inputs!$B$13/100))*0.01+Inputs!$B$14*0.0025)/100)*(1+Inputs!$B$15/100)*(1+Inputs!$B$16/100)*(5000/(6000+Inputs!$B$42*(1-(100*(1-(1-(Inputs!$B$19+0)/100)*(1-CHOOSE(ArtifactsInput!$N$40+1,5,6,7,8,9,10)/100)^(ArtifactsInput!$M$40-ArtifactsInput!$M$40)))/100)))*(1+(Inputs!$B$24+((C787=TRUE)*(F787-Calc!F26))+B798)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776=TRUE,F776,0)/100)*(1+(IF(Skills!A3="EIGHT_LEGS_EASTON",Inputs!$B$17+((C784=TRUE)*(F784-Calc!F23))+((C788=TRUE)*(F788-Calc!F27))+((IF(AND(Inputs!$B$38&lt;&gt;"pvp",Inputs!$B$43=0),1,IF(IF(Inputs!$B$38="pvp",15,Inputs!$B$43)-(B799)&lt;=0,1,MAX(0,IF(Inputs!$B$38="pvp",15,Inputs!$B$43)-MAX(5,B799))/(IF(Inputs!$B$38="pvp",15,Inputs!$B$43)-(B799))))*(IF(AND(ArtifactsInput!$M$42,((Inputs!$B$9+((C780=TRUE)*(F780-Calc!F19))+B792+(ArtifactsInput!$M$24-ArtifactsInput!$M$24)*CHOOSE(ArtifactsInput!$N$24+1,10,12,14,16,18,20)+IF(ArtifactsInput!$M$10,CHOOSE(ArtifactsInput!$N$10+1,15,18,21,24,27,30)*(IF(Inputs!$B$38="pvp",MIN(15,15)/15,IF(AND(Inputs!$B$38&lt;&gt;"pvp",Inputs!$B$43&gt;0),MIN(15,Inputs!$B$43)/(Inputs!$B$43),0))),0)))&gt;=100),MIN(100,((Inputs!$B$9+((C780=TRUE)*(F780-Calc!F19))+B792+(ArtifactsInput!$M$24-ArtifactsInput!$M$24)*CHOOSE(ArtifactsInput!$N$24+1,10,12,14,16,18,20)+IF(ArtifactsInput!$M$10,CHOOSE(ArtifactsInput!$N$10+1,15,18,21,24,27,30)*(IF(Inputs!$B$38="pvp",MIN(15,15)/15,IF(AND(Inputs!$B$38&lt;&gt;"pvp",Inputs!$B$43&gt;0),MIN(15,Inputs!$B$43)/(Inputs!$B$43),0))),0)))-100),0))*CHOOSE(ArtifactsInput!$N$42+1,0.6,0.72,0.84,0.96,1.08,1.2))),(Inputs!$B$18+1)+0+(IF(AND(Inputs!$B$38&lt;&gt;"pvp",Inputs!$B$43=0),1,IF(IF(Inputs!$B$38="pvp",15,Inputs!$B$43)-(B799)&lt;=0,1,MAX(0,IF(Inputs!$B$38="pvp",15,Inputs!$B$43)-MAX(5,B799))/(IF(Inputs!$B$38="pvp",15,Inputs!$B$43)-(B799))))*IF(AND(ArtifactsInput!$M$42,((Inputs!$B$9+((C780=TRUE)*(F780-Calc!F19))+B792+(ArtifactsInput!$M$24-ArtifactsInput!$M$24)*CHOOSE(ArtifactsInput!$N$24+1,10,12,14,16,18,20)+IF(ArtifactsInput!$M$10,CHOOSE(ArtifactsInput!$N$10+1,15,18,21,24,27,30)*(IF(Inputs!$B$38="pvp",MIN(15,15)/15,IF(AND(Inputs!$B$38&lt;&gt;"pvp",Inputs!$B$43&gt;0),MIN(15,Inputs!$B$43)/(Inputs!$B$43),0))),0)))&gt;=100),CHOOSE(ArtifactsInput!$N$42+1,40,48,56,64,72,80),0))))/100)*((1+(((C778=TRUE)*F778*5/7)+((C785=TRUE)*(F785-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764)</f>
        <v/>
      </c>
      <c r="L764">
        <f>K764*(MIN(Inputs!$B$22+((C783=TRUE)*(F783-Calc!F22)),(Inputs!$B$23+0+(IF(ArtifactsInput!$M$15,CHOOSE(ArtifactsInput!$N$15+1,25,30,35,40,45,50)/100*(Inputs!$B$11-Inputs!$B$11),0))))/100+(Inputs!$B$23+0+(IF(ArtifactsInput!$M$15,CHOOSE(ArtifactsInput!$N$15+1,25,30,35,40,45,50)/100*(Inputs!$B$11-Inputs!$B$11),0)))/100)/2</f>
        <v/>
      </c>
      <c r="M764">
        <f>L764*(1+(Inputs!$B$10+((C786=TRUE)*(F786-Calc!F25))+B797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64">
        <f>L764*(1-MIN((Inputs!$B$9+((C780=TRUE)*(F780-Calc!F19))+B792+(ArtifactsInput!$M$24-ArtifactsInput!$M$24)*CHOOSE(ArtifactsInput!$N$24+1,10,12,14,16,18,20)+(IF(AND(Inputs!$B$38&lt;&gt;"pvp",Inputs!$B$43=0),1,IF(IF(Inputs!$B$38="pvp",15,Inputs!$B$43)-(B799)&lt;=0,1,MAX(0,IF(Inputs!$B$38="pvp",15,Inputs!$B$43)-MAX(5,B799))/(IF(Inputs!$B$38="pvp",15,Inputs!$B$43)-(B799))))*IF(AND(ArtifactsInput!$M$42,((Inputs!$B$9+((C780=TRUE)*(F780-Calc!F19))+B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764*(MIN((Inputs!$B$9+((C780=TRUE)*(F780-Calc!F19))+B792+(ArtifactsInput!$M$24-ArtifactsInput!$M$24)*CHOOSE(ArtifactsInput!$N$24+1,10,12,14,16,18,20)+(IF(AND(Inputs!$B$38&lt;&gt;"pvp",Inputs!$B$43=0),1,IF(IF(Inputs!$B$38="pvp",15,Inputs!$B$43)-(B799)&lt;=0,1,MAX(0,IF(Inputs!$B$38="pvp",15,Inputs!$B$43)-MAX(5,B799))/(IF(Inputs!$B$38="pvp",15,Inputs!$B$43)-(B799))))*IF(AND(ArtifactsInput!$M$42,((Inputs!$B$9+((C780=TRUE)*(F780-Calc!F19))+B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64">
        <f>(1-Summary!$B$11)*T764+Summary!$B$11*V764</f>
        <v/>
      </c>
      <c r="P764">
        <f>IF(B802=0,0,O764/B802)</f>
        <v/>
      </c>
      <c r="Q764">
        <f>IFERROR(1/(IF(Inputs!$B$38="pvp",15,MAX(0.1,Skills!D3-IF(TRUE=TRUE,Inputs!$B$32,0)))*(1-IF(AND(ArtifactsInput!$M$27,Inputs!$B$4="Chapter Hunt"),CHOOSE(ArtifactsInput!$N$27+1,20,24,28,32,36,40),0)/100)),0)</f>
        <v/>
      </c>
      <c r="R764">
        <f>IF(AND(Inputs!$B$38&lt;&gt;"pvp",Inputs!$B$43&gt;0),IF(MAX(0,Inputs!$B$43-B799)&lt;=0,0,(INT(MAX(0,Inputs!$B$43-B799)/(IF(Inputs!$B$38="pvp",15,MAX(0.1,Skills!D3-IF(TRUE=TRUE,Inputs!$B$32,0)))*(1-IF(AND(ArtifactsInput!$M$27,Inputs!$B$4="Chapter Hunt"),CHOOSE(ArtifactsInput!$N$27+1,20,24,28,32,36,40),0)/100)))+1)),0)</f>
        <v/>
      </c>
      <c r="S764">
        <f>IFERROR(O764/N764,0)</f>
        <v/>
      </c>
      <c r="T764">
        <f>IF(C764,(H764*N764*IF(AND(Inputs!$B$38&lt;&gt;"pvp",Inputs!$B$43&gt;0),((Skills!G3*((R764-1)*IF(Skills!H3&gt;0,INT(Skills!I3/Skills!H3+0.000000001),1)+IF(Skills!H3&gt;0,INT(MIN(Skills!I3,MAX(0,MAX(0,Inputs!$B$43-B799)-((R764-1)*(IF(Inputs!$B$38="pvp",15,MAX(0.1,Skills!D3-IF(TRUE=TRUE,Inputs!$B$32,0)))*(1-IF(AND(ArtifactsInput!$M$27,Inputs!$B$4="Chapter Hunt"),CHOOSE(ArtifactsInput!$N$27+1,20,24,28,32,36,40),0)/100)))))/Skills!H3+0.000000001),1)))/Inputs!$B$43),G764*Q764))*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Hunt"),CHOOSE(ArtifactsInput!$N$35+1,15,18,21,24,27,30)*(1-EXP(-(0.2*B794)*5)),0)+IF(AND(ArtifactsInput!$M$22,Inputs!$B$4&lt;&gt;"Chapter Hunt"),CHOOSE(ArtifactsInput!$N$22+1,10,12,14,16,18,20)*((0*(((0.15*B794*5))^0/1)+1*(((0.15*B794*5))^1/1)+2*(((0.15*B794*5))^2/2)+3*(((0.15*B794*5))^3/6)+4*(((0.15*B794*5))^4/24)+5*(((0.15*B794*5))^5/120))/((((0.15*B794*5))^0/1)+(((0.15*B794*5))^1/1)+(((0.15*B794*5))^2/2)+(((0.15*B794*5))^3/6)+(((0.15*B794*5))^4/24)+(((0.15*B794*5))^5/120))),0))+IF(Inputs!$B$3&gt;=54,9*(C764=TRUE)*MIN(1,8*(1+Inputs!$B$34/100)*Q764)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764*(1-MIN(100,(Inputs!$B$9+((C780=TRUE)*(F780-Calc!F19))+B792+(ArtifactsInput!$M$24-ArtifactsInput!$M$24)*CHOOSE(ArtifactsInput!$N$24+1,10,12,14,16,18,20)+(IF(AND(Inputs!$B$38&lt;&gt;"pvp",Inputs!$B$43=0),1,IF(IF(Inputs!$B$38="pvp",15,Inputs!$B$43)-(B799)&lt;=0,1,MAX(0,IF(Inputs!$B$38="pvp",15,Inputs!$B$43)-MAX(5,B799))/(IF(Inputs!$B$38="pvp",15,Inputs!$B$43)-(B799))))*IF(AND(ArtifactsInput!$M$42,((Inputs!$B$9+((C780=TRUE)*(F780-Calc!F19))+B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764*(MIN(100,(Inputs!$B$9+((C780=TRUE)*(F780-Calc!F19))+B792+(ArtifactsInput!$M$24-ArtifactsInput!$M$24)*CHOOSE(ArtifactsInput!$N$24+1,10,12,14,16,18,20)+(IF(AND(Inputs!$B$38&lt;&gt;"pvp",Inputs!$B$43=0),1,IF(IF(Inputs!$B$38="pvp",15,Inputs!$B$43)-(B799)&lt;=0,1,MAX(0,IF(Inputs!$B$38="pvp",15,Inputs!$B$43)-MAX(5,B799))/(IF(Inputs!$B$38="pvp",15,Inputs!$B$43)-(B799))))*IF(AND(ArtifactsInput!$M$42,((Inputs!$B$9+((C780=TRUE)*(F780-Calc!F19))+B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764*(1-MIN(100,(Inputs!$B$9+((C780=TRUE)*(F780-Calc!F19))+B792+(ArtifactsInput!$M$24-ArtifactsInput!$M$24)*CHOOSE(ArtifactsInput!$N$24+1,10,12,14,16,18,20)+(IF(AND(Inputs!$B$38&lt;&gt;"pvp",Inputs!$B$43=0),1,IF(IF(Inputs!$B$38="pvp",15,Inputs!$B$43)-(B799)&lt;=0,1,MAX(0,IF(Inputs!$B$38="pvp",15,Inputs!$B$43)-MAX(5,B799))/(IF(Inputs!$B$38="pvp",15,Inputs!$B$43)-(B799))))*IF(AND(ArtifactsInput!$M$42,((Inputs!$B$9+((C780=TRUE)*(F780-Calc!F19))+B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764*(MIN(100,(Inputs!$B$9+((C780=TRUE)*(F780-Calc!F19))+B792+(ArtifactsInput!$M$24-ArtifactsInput!$M$24)*CHOOSE(ArtifactsInput!$N$24+1,10,12,14,16,18,20)+(IF(AND(Inputs!$B$38&lt;&gt;"pvp",Inputs!$B$43=0),1,IF(IF(Inputs!$B$38="pvp",15,Inputs!$B$43)-(B799)&lt;=0,1,MAX(0,IF(Inputs!$B$38="pvp",15,Inputs!$B$43)-MAX(5,B799))/(IF(Inputs!$B$38="pvp",15,Inputs!$B$43)-(B799))))*IF(AND(ArtifactsInput!$M$42,((Inputs!$B$9+((C780=TRUE)*(F780-Calc!F19))+B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764">
        <f>INDEX(FactorTable!$B$2:$Y$301, MATCH(ROUND(MIN(300,MAX(1,U763)),0), FactorTable!$A$2:$A$301,0), 22)</f>
        <v/>
      </c>
      <c r="V764">
        <f>IF(C764,(H764*N764*IF(AND(Inputs!$B$38&lt;&gt;"pvp",Inputs!$B$43&gt;0),((Skills!G3*((R764-1)*IF(Skills!H3&gt;0,INT(Skills!I3/Skills!H3+0.000000001),1)+IF(Skills!H3&gt;0,INT(MIN(Skills!I3,MAX(0,MAX(0,Inputs!$B$43-B799)-((R764-1)*(IF(Inputs!$B$38="pvp",15,MAX(0.1,Skills!D3-IF(TRUE=TRUE,Inputs!$B$32,0)))*(1-IF(AND(ArtifactsInput!$M$27,Inputs!$B$4="Chapter Hunt"),CHOOSE(ArtifactsInput!$N$27+1,20,24,28,32,36,40),0)/100)))))/Skills!H3+0.000000001),1)))/Inputs!$B$43),G764*Q764))*IF(Inputs!$B$38="pvp",1,(1+(Inputs!$B$21+Skills!Q3+(IF(ArtifactsInput!$M$33,CHOOSE(ArtifactsInput!$N$33+1,30,36,42,48,54,60),0))+(IF(AND(ArtifactsInput!$M$35,Inputs!$B$4&lt;&gt;"Chapter Hunt"),CHOOSE(ArtifactsInput!$N$35+1,15,18,21,24,27,30)*(1-EXP(-(0.2*B794)*5)),0)+IF(AND(ArtifactsInput!$M$22,Inputs!$B$4&lt;&gt;"Chapter Hunt"),CHOOSE(ArtifactsInput!$N$22+1,10,12,14,16,18,20)*((0*(((0.15*B794*5))^0/1)+1*(((0.15*B794*5))^1/1)+2*(((0.15*B794*5))^2/2)+3*(((0.15*B794*5))^3/6)+4*(((0.15*B794*5))^4/24)+5*(((0.15*B794*5))^5/120))/((((0.15*B794*5))^0/1)+(((0.15*B794*5))^1/1)+(((0.15*B794*5))^2/2)+(((0.15*B794*5))^3/6)+(((0.15*B794*5))^4/24)+(((0.15*B794*5))^5/120))),0))+IF(Inputs!$B$3&gt;=54,9*(C764=TRUE)*MIN(1,8*(1+Inputs!$B$34/100)*Q764),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65">
      <c r="A765">
        <f>Skills!A4</f>
        <v/>
      </c>
      <c r="B765">
        <f>Skills!B4</f>
        <v/>
      </c>
      <c r="C765">
        <f>Inputs!$B$3&gt;=35</f>
        <v/>
      </c>
      <c r="D765">
        <f>IF(Skills!C4=1,60+Inputs!$B$25+Inputs!$B$29,IF(Skills!C4=2,90+Inputs!$B$26+Inputs!$B$29,IF(Skills!C4=3,120+Inputs!$B$27+Inputs!$B$29,MAX(0,(Inputs!$B$3-100)*3)+Inputs!$B$28+Inputs!$B$29)))</f>
        <v/>
      </c>
      <c r="E765">
        <f>INDEX(FactorTable!$B$2:$Y$301, MATCH(ROUND(MIN(300,MAX(1,D765)),0), FactorTable!$A$2:$A$301,0), Skills!M4+1)</f>
        <v/>
      </c>
      <c r="F765">
        <f>IF(Skills!N4=TRUE,(Skills!L4/10)*(E765/1000),Skills!L4/10)+Skills!O4</f>
        <v/>
      </c>
      <c r="G765">
        <f>Skills!G4*IF(Skills!H4&gt;0,INT(IF(Inputs!$B$38="pvp",MIN(IF(Inputs!$B$3&gt;=104,MIN(35,20*(1+Inputs!$B$34/100)),20),15),IF(Inputs!$B$3&gt;=104,MIN(35,20*(1+Inputs!$B$34/100)),20))/Skills!H4+0.000000001),1)</f>
        <v/>
      </c>
      <c r="H765">
        <f>1-(1-Skills!J4/100)^Skills!K4</f>
        <v/>
      </c>
      <c r="I765" t="inlineStr">
        <is>
          <t>1</t>
        </is>
      </c>
      <c r="J765">
        <f>((Inputs!$B$6*(1+Inputs!$B$7/100))+(((Inputs!$B$12*(1+Inputs!$B$13/100))-(Inputs!$B$12*(1+Inputs!$B$13/100)))+0.25*(Inputs!$B$14-Inputs!$B$14))*(1+Inputs!$B$7/100))*(F765/100)</f>
        <v/>
      </c>
      <c r="K765">
        <f>J765*(1+((Inputs!$B$12*(1+Inputs!$B$13/100))*0.01+Inputs!$B$14*0.0025)/100)*(1+Inputs!$B$15/100)*(1+Inputs!$B$16/100)*(5000/(6000+Inputs!$B$42*(1-(100*(1-(1-(Inputs!$B$19+0)/100)*(1-CHOOSE(ArtifactsInput!$N$40+1,5,6,7,8,9,10)/100)^(ArtifactsInput!$M$40-ArtifactsInput!$M$40)))/100)))*(1+(Inputs!$B$24+((C787=TRUE)*(F787-Calc!F26))+B798)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777=TRUE,F777,0)/100)*(1+(IF(Skills!A4="EIGHT_LEGS_EASTON",Inputs!$B$17+((C784=TRUE)*(F784-Calc!F23))+((C788=TRUE)*(F788-Calc!F27))+((IF(AND(Inputs!$B$38&lt;&gt;"pvp",Inputs!$B$43=0),1,IF(IF(Inputs!$B$38="pvp",15,Inputs!$B$43)-(B799)&lt;=0,1,MAX(0,IF(Inputs!$B$38="pvp",15,Inputs!$B$43)-MAX(5,B799))/(IF(Inputs!$B$38="pvp",15,Inputs!$B$43)-(B799))))*(IF(AND(ArtifactsInput!$M$42,((Inputs!$B$9+((C780=TRUE)*(F780-Calc!F19))+B792+(ArtifactsInput!$M$24-ArtifactsInput!$M$24)*CHOOSE(ArtifactsInput!$N$24+1,10,12,14,16,18,20)+IF(ArtifactsInput!$M$10,CHOOSE(ArtifactsInput!$N$10+1,15,18,21,24,27,30)*(IF(Inputs!$B$38="pvp",MIN(15,15)/15,IF(AND(Inputs!$B$38&lt;&gt;"pvp",Inputs!$B$43&gt;0),MIN(15,Inputs!$B$43)/(Inputs!$B$43),0))),0)))&gt;=100),MIN(100,((Inputs!$B$9+((C780=TRUE)*(F780-Calc!F19))+B792+(ArtifactsInput!$M$24-ArtifactsInput!$M$24)*CHOOSE(ArtifactsInput!$N$24+1,10,12,14,16,18,20)+IF(ArtifactsInput!$M$10,CHOOSE(ArtifactsInput!$N$10+1,15,18,21,24,27,30)*(IF(Inputs!$B$38="pvp",MIN(15,15)/15,IF(AND(Inputs!$B$38&lt;&gt;"pvp",Inputs!$B$43&gt;0),MIN(15,Inputs!$B$43)/(Inputs!$B$43),0))),0)))-100),0))*CHOOSE(ArtifactsInput!$N$42+1,0.6,0.72,0.84,0.96,1.08,1.2))),(Inputs!$B$18+1)+0+(IF(AND(Inputs!$B$38&lt;&gt;"pvp",Inputs!$B$43=0),1,IF(IF(Inputs!$B$38="pvp",15,Inputs!$B$43)-(B799)&lt;=0,1,MAX(0,IF(Inputs!$B$38="pvp",15,Inputs!$B$43)-MAX(5,B799))/(IF(Inputs!$B$38="pvp",15,Inputs!$B$43)-(B799))))*IF(AND(ArtifactsInput!$M$42,((Inputs!$B$9+((C780=TRUE)*(F780-Calc!F19))+B792+(ArtifactsInput!$M$24-ArtifactsInput!$M$24)*CHOOSE(ArtifactsInput!$N$24+1,10,12,14,16,18,20)+IF(ArtifactsInput!$M$10,CHOOSE(ArtifactsInput!$N$10+1,15,18,21,24,27,30)*(IF(Inputs!$B$38="pvp",MIN(15,15)/15,IF(AND(Inputs!$B$38&lt;&gt;"pvp",Inputs!$B$43&gt;0),MIN(15,Inputs!$B$43)/(Inputs!$B$43),0))),0)))&gt;=100),CHOOSE(ArtifactsInput!$N$42+1,40,48,56,64,72,80),0))))/100)*((1+(((C778=TRUE)*F778*5/7)+((C785=TRUE)*(F785-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765)</f>
        <v/>
      </c>
      <c r="L765">
        <f>K765*(MIN(Inputs!$B$22+((C783=TRUE)*(F783-Calc!F22)),(Inputs!$B$23+0+(IF(ArtifactsInput!$M$15,CHOOSE(ArtifactsInput!$N$15+1,25,30,35,40,45,50)/100*(Inputs!$B$11-Inputs!$B$11),0))))/100+(Inputs!$B$23+0+(IF(ArtifactsInput!$M$15,CHOOSE(ArtifactsInput!$N$15+1,25,30,35,40,45,50)/100*(Inputs!$B$11-Inputs!$B$11),0)))/100)/2</f>
        <v/>
      </c>
      <c r="M765">
        <f>L765*(1+(Inputs!$B$10+((C786=TRUE)*(F786-Calc!F25))+B797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65">
        <f>L765*(1-MIN((Inputs!$B$9+((C780=TRUE)*(F780-Calc!F19))+B792+(ArtifactsInput!$M$24-ArtifactsInput!$M$24)*CHOOSE(ArtifactsInput!$N$24+1,10,12,14,16,18,20)+(IF(AND(Inputs!$B$38&lt;&gt;"pvp",Inputs!$B$43=0),1,IF(IF(Inputs!$B$38="pvp",15,Inputs!$B$43)-(B799)&lt;=0,1,MAX(0,IF(Inputs!$B$38="pvp",15,Inputs!$B$43)-MAX(5,B799))/(IF(Inputs!$B$38="pvp",15,Inputs!$B$43)-(B799))))*IF(AND(ArtifactsInput!$M$42,((Inputs!$B$9+((C780=TRUE)*(F780-Calc!F19))+B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765*(MIN((Inputs!$B$9+((C780=TRUE)*(F780-Calc!F19))+B792+(ArtifactsInput!$M$24-ArtifactsInput!$M$24)*CHOOSE(ArtifactsInput!$N$24+1,10,12,14,16,18,20)+(IF(AND(Inputs!$B$38&lt;&gt;"pvp",Inputs!$B$43=0),1,IF(IF(Inputs!$B$38="pvp",15,Inputs!$B$43)-(B799)&lt;=0,1,MAX(0,IF(Inputs!$B$38="pvp",15,Inputs!$B$43)-MAX(5,B799))/(IF(Inputs!$B$38="pvp",15,Inputs!$B$43)-(B799))))*IF(AND(ArtifactsInput!$M$42,((Inputs!$B$9+((C780=TRUE)*(F780-Calc!F19))+B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65">
        <f>(1-Summary!$B$11)*T765+Summary!$B$11*V765</f>
        <v/>
      </c>
      <c r="P765">
        <f>IF(B802=0,0,O765/B802)</f>
        <v/>
      </c>
      <c r="Q765">
        <f>IFERROR(1/(IF(Inputs!$B$38="pvp",15,MAX(0.1,Skills!D4-IF(TRUE=TRUE,Inputs!$B$32,0)))*(1-IF(AND(ArtifactsInput!$M$27,Inputs!$B$4="Chapter Hunt"),CHOOSE(ArtifactsInput!$N$27+1,20,24,28,32,36,40),0)/100)),0)</f>
        <v/>
      </c>
      <c r="R765">
        <f>IF(AND(Inputs!$B$38&lt;&gt;"pvp",Inputs!$B$43&gt;0),IF(MAX(0,Inputs!$B$43-B799)&lt;=0,0,(INT(MAX(0,Inputs!$B$43-B799)/(IF(Inputs!$B$38="pvp",15,MAX(0.1,Skills!D4-IF(TRUE=TRUE,Inputs!$B$32,0)))*(1-IF(AND(ArtifactsInput!$M$27,Inputs!$B$4="Chapter Hunt"),CHOOSE(ArtifactsInput!$N$27+1,20,24,28,32,36,40),0)/100)))+1)),0)</f>
        <v/>
      </c>
      <c r="S765">
        <f>IFERROR(O765/N765,0)</f>
        <v/>
      </c>
      <c r="T765">
        <f>IF(C765,(H765*N765*IF(AND(Inputs!$B$38&lt;&gt;"pvp",Inputs!$B$43&gt;0),((Skills!G4*((R765-1)*IF(Skills!H4&gt;0,INT(IF(Inputs!$B$3&gt;=104,MIN(35,20*(1+Inputs!$B$34/100)),20)/Skills!H4+0.000000001),1)+IF(Skills!H4&gt;0,INT(MIN(IF(Inputs!$B$3&gt;=104,MIN(35,20*(1+Inputs!$B$34/100)),20),MAX(0,MAX(0,Inputs!$B$43-B799)-((R765-1)*(IF(Inputs!$B$38="pvp",15,MAX(0.1,Skills!D4-IF(TRUE=TRUE,Inputs!$B$32,0)))*(1-IF(AND(ArtifactsInput!$M$27,Inputs!$B$4="Chapter Hunt"),CHOOSE(ArtifactsInput!$N$27+1,20,24,28,32,36,40),0)/100)))))/Skills!H4+0.000000001),1)))/Inputs!$B$43),G765*Q765))*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Hunt"),CHOOSE(ArtifactsInput!$N$35+1,15,18,21,24,27,30)*(1-EXP(-(0.2*B794)*5)),0)+IF(AND(ArtifactsInput!$M$22,Inputs!$B$4&lt;&gt;"Chapter Hunt"),CHOOSE(ArtifactsInput!$N$22+1,10,12,14,16,18,20)*((0*(((0.15*B794*5))^0/1)+1*(((0.15*B794*5))^1/1)+2*(((0.15*B794*5))^2/2)+3*(((0.15*B794*5))^3/6)+4*(((0.15*B794*5))^4/24)+5*(((0.15*B794*5))^5/120))/((((0.15*B794*5))^0/1)+(((0.15*B794*5))^1/1)+(((0.15*B794*5))^2/2)+(((0.15*B794*5))^3/6)+(((0.15*B794*5))^4/24)+(((0.15*B794*5))^5/120))),0))+IF(Inputs!$B$3&gt;=54,9*(C764=TRUE)*MIN(1,8*(1+Inputs!$B$34/100)*Q764)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765*(1-MIN(100,(Inputs!$B$9+((C780=TRUE)*(F780-Calc!F19))+B792+(ArtifactsInput!$M$24-ArtifactsInput!$M$24)*CHOOSE(ArtifactsInput!$N$24+1,10,12,14,16,18,20)+(IF(AND(Inputs!$B$38&lt;&gt;"pvp",Inputs!$B$43=0),1,IF(IF(Inputs!$B$38="pvp",15,Inputs!$B$43)-(B799)&lt;=0,1,MAX(0,IF(Inputs!$B$38="pvp",15,Inputs!$B$43)-MAX(5,B799))/(IF(Inputs!$B$38="pvp",15,Inputs!$B$43)-(B799))))*IF(AND(ArtifactsInput!$M$42,((Inputs!$B$9+((C780=TRUE)*(F780-Calc!F19))+B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765*(MIN(100,(Inputs!$B$9+((C780=TRUE)*(F780-Calc!F19))+B792+(ArtifactsInput!$M$24-ArtifactsInput!$M$24)*CHOOSE(ArtifactsInput!$N$24+1,10,12,14,16,18,20)+(IF(AND(Inputs!$B$38&lt;&gt;"pvp",Inputs!$B$43=0),1,IF(IF(Inputs!$B$38="pvp",15,Inputs!$B$43)-(B799)&lt;=0,1,MAX(0,IF(Inputs!$B$38="pvp",15,Inputs!$B$43)-MAX(5,B799))/(IF(Inputs!$B$38="pvp",15,Inputs!$B$43)-(B799))))*IF(AND(ArtifactsInput!$M$42,((Inputs!$B$9+((C780=TRUE)*(F780-Calc!F19))+B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765*(1-MIN(100,(Inputs!$B$9+((C780=TRUE)*(F780-Calc!F19))+B792+(ArtifactsInput!$M$24-ArtifactsInput!$M$24)*CHOOSE(ArtifactsInput!$N$24+1,10,12,14,16,18,20)+(IF(AND(Inputs!$B$38&lt;&gt;"pvp",Inputs!$B$43=0),1,IF(IF(Inputs!$B$38="pvp",15,Inputs!$B$43)-(B799)&lt;=0,1,MAX(0,IF(Inputs!$B$38="pvp",15,Inputs!$B$43)-MAX(5,B799))/(IF(Inputs!$B$38="pvp",15,Inputs!$B$43)-(B799))))*IF(AND(ArtifactsInput!$M$42,((Inputs!$B$9+((C780=TRUE)*(F780-Calc!F19))+B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765*(MIN(100,(Inputs!$B$9+((C780=TRUE)*(F780-Calc!F19))+B792+(ArtifactsInput!$M$24-ArtifactsInput!$M$24)*CHOOSE(ArtifactsInput!$N$24+1,10,12,14,16,18,20)+(IF(AND(Inputs!$B$38&lt;&gt;"pvp",Inputs!$B$43=0),1,IF(IF(Inputs!$B$38="pvp",15,Inputs!$B$43)-(B799)&lt;=0,1,MAX(0,IF(Inputs!$B$38="pvp",15,Inputs!$B$43)-MAX(5,B799))/(IF(Inputs!$B$38="pvp",15,Inputs!$B$43)-(B799))))*IF(AND(ArtifactsInput!$M$42,((Inputs!$B$9+((C780=TRUE)*(F780-Calc!F19))+B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765">
        <f>290*U764/1000</f>
        <v/>
      </c>
      <c r="V765">
        <f>IF(C765,(H765*N765*IF(AND(Inputs!$B$38&lt;&gt;"pvp",Inputs!$B$43&gt;0),((Skills!G4*((R765-1)*IF(Skills!H4&gt;0,INT(IF(Inputs!$B$3&gt;=104,MIN(35,20*(1+Inputs!$B$34/100)),20)/Skills!H4+0.000000001),1)+IF(Skills!H4&gt;0,INT(MIN(IF(Inputs!$B$3&gt;=104,MIN(35,20*(1+Inputs!$B$34/100)),20),MAX(0,MAX(0,Inputs!$B$43-B799)-((R765-1)*(IF(Inputs!$B$38="pvp",15,MAX(0.1,Skills!D4-IF(TRUE=TRUE,Inputs!$B$32,0)))*(1-IF(AND(ArtifactsInput!$M$27,Inputs!$B$4="Chapter Hunt"),CHOOSE(ArtifactsInput!$N$27+1,20,24,28,32,36,40),0)/100)))))/Skills!H4+0.000000001),1)))/Inputs!$B$43),G765*Q765))*IF(Inputs!$B$38="pvp",1,(1+(Inputs!$B$21+Skills!Q4+(IF(ArtifactsInput!$M$33,CHOOSE(ArtifactsInput!$N$33+1,30,36,42,48,54,60),0))+(IF(AND(ArtifactsInput!$M$35,Inputs!$B$4&lt;&gt;"Chapter Hunt"),CHOOSE(ArtifactsInput!$N$35+1,15,18,21,24,27,30)*(1-EXP(-(0.2*B794)*5)),0)+IF(AND(ArtifactsInput!$M$22,Inputs!$B$4&lt;&gt;"Chapter Hunt"),CHOOSE(ArtifactsInput!$N$22+1,10,12,14,16,18,20)*((0*(((0.15*B794*5))^0/1)+1*(((0.15*B794*5))^1/1)+2*(((0.15*B794*5))^2/2)+3*(((0.15*B794*5))^3/6)+4*(((0.15*B794*5))^4/24)+5*(((0.15*B794*5))^5/120))/((((0.15*B794*5))^0/1)+(((0.15*B794*5))^1/1)+(((0.15*B794*5))^2/2)+(((0.15*B794*5))^3/6)+(((0.15*B794*5))^4/24)+(((0.15*B794*5))^5/120))),0))+IF(Inputs!$B$3&gt;=54,9*(C764=TRUE)*MIN(1,8*(1+Inputs!$B$34/100)*Q764),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66">
      <c r="A766">
        <f>Skills!A5</f>
        <v/>
      </c>
      <c r="B766">
        <f>Skills!B5</f>
        <v/>
      </c>
      <c r="C766">
        <f>Inputs!$B$3&gt;=69</f>
        <v/>
      </c>
      <c r="D766">
        <f>IF(Skills!C5=1,60+Inputs!$B$25+Inputs!$B$29,IF(Skills!C5=2,90+Inputs!$B$26+Inputs!$B$29,IF(Skills!C5=3,120+Inputs!$B$27+Inputs!$B$29,MAX(0,(Inputs!$B$3-100)*3)+Inputs!$B$28+Inputs!$B$29)))</f>
        <v/>
      </c>
      <c r="E766">
        <f>INDEX(FactorTable!$B$2:$Y$301, MATCH(ROUND(MIN(300,MAX(1,D766)),0), FactorTable!$A$2:$A$301,0), Skills!M5+1)</f>
        <v/>
      </c>
      <c r="F766">
        <f>IF(Skills!N5=TRUE,(Skills!L5/10)*(E766/1000),Skills!L5/10)+Skills!O5</f>
        <v/>
      </c>
      <c r="G766">
        <f>Skills!G5*IF(Skills!H5&gt;0,INT(IF(Inputs!$B$38="pvp",MIN(IF(Inputs!$B$3&gt;=104,MIN(35,20*(1+Inputs!$B$34/100)),20),15),IF(Inputs!$B$3&gt;=104,MIN(35,20*(1+Inputs!$B$34/100)),20))/Skills!H5+0.000000001),1)</f>
        <v/>
      </c>
      <c r="H766">
        <f>1-(1-Skills!J5/100)^Skills!K5</f>
        <v/>
      </c>
      <c r="I766" t="inlineStr">
        <is>
          <t>1</t>
        </is>
      </c>
      <c r="J766">
        <f>((Inputs!$B$6*(1+Inputs!$B$7/100))+(((Inputs!$B$12*(1+Inputs!$B$13/100))-(Inputs!$B$12*(1+Inputs!$B$13/100)))+0.25*(Inputs!$B$14-Inputs!$B$14))*(1+Inputs!$B$7/100))*(F766/100)</f>
        <v/>
      </c>
      <c r="K766">
        <f>J766*(1+((Inputs!$B$12*(1+Inputs!$B$13/100))*0.01+Inputs!$B$14*0.0025)/100)*(1+Inputs!$B$15/100)*(1+Inputs!$B$16/100)*(5000/(6000+Inputs!$B$42*(1-(100*(1-(1-(Inputs!$B$19+0)/100)*(1-CHOOSE(ArtifactsInput!$N$40+1,5,6,7,8,9,10)/100)^(ArtifactsInput!$M$40-ArtifactsInput!$M$40)))/100)))*(1+(Inputs!$B$24+((C787=TRUE)*(F787-Calc!F26))+B798)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+0.4*IF(C777=TRUE,F777,0)/100)*(1+(IF(Skills!A5="EIGHT_LEGS_EASTON",Inputs!$B$17+((C784=TRUE)*(F784-Calc!F23))+((C788=TRUE)*(F788-Calc!F27))+((IF(AND(Inputs!$B$38&lt;&gt;"pvp",Inputs!$B$43=0),1,IF(IF(Inputs!$B$38="pvp",15,Inputs!$B$43)-(B799)&lt;=0,1,MAX(0,IF(Inputs!$B$38="pvp",15,Inputs!$B$43)-MAX(5,B799))/(IF(Inputs!$B$38="pvp",15,Inputs!$B$43)-(B799))))*(IF(AND(ArtifactsInput!$M$42,((Inputs!$B$9+((C780=TRUE)*(F780-Calc!F19))+B792+(ArtifactsInput!$M$24-ArtifactsInput!$M$24)*CHOOSE(ArtifactsInput!$N$24+1,10,12,14,16,18,20)+IF(ArtifactsInput!$M$10,CHOOSE(ArtifactsInput!$N$10+1,15,18,21,24,27,30)*(IF(Inputs!$B$38="pvp",MIN(15,15)/15,IF(AND(Inputs!$B$38&lt;&gt;"pvp",Inputs!$B$43&gt;0),MIN(15,Inputs!$B$43)/(Inputs!$B$43),0))),0)))&gt;=100),MIN(100,((Inputs!$B$9+((C780=TRUE)*(F780-Calc!F19))+B792+(ArtifactsInput!$M$24-ArtifactsInput!$M$24)*CHOOSE(ArtifactsInput!$N$24+1,10,12,14,16,18,20)+IF(ArtifactsInput!$M$10,CHOOSE(ArtifactsInput!$N$10+1,15,18,21,24,27,30)*(IF(Inputs!$B$38="pvp",MIN(15,15)/15,IF(AND(Inputs!$B$38&lt;&gt;"pvp",Inputs!$B$43&gt;0),MIN(15,Inputs!$B$43)/(Inputs!$B$43),0))),0)))-100),0))*CHOOSE(ArtifactsInput!$N$42+1,0.6,0.72,0.84,0.96,1.08,1.2))),(Inputs!$B$18+1)+0+(IF(AND(Inputs!$B$38&lt;&gt;"pvp",Inputs!$B$43=0),1,IF(IF(Inputs!$B$38="pvp",15,Inputs!$B$43)-(B799)&lt;=0,1,MAX(0,IF(Inputs!$B$38="pvp",15,Inputs!$B$43)-MAX(5,B799))/(IF(Inputs!$B$38="pvp",15,Inputs!$B$43)-(B799))))*IF(AND(ArtifactsInput!$M$42,((Inputs!$B$9+((C780=TRUE)*(F780-Calc!F19))+B792+(ArtifactsInput!$M$24-ArtifactsInput!$M$24)*CHOOSE(ArtifactsInput!$N$24+1,10,12,14,16,18,20)+IF(ArtifactsInput!$M$10,CHOOSE(ArtifactsInput!$N$10+1,15,18,21,24,27,30)*(IF(Inputs!$B$38="pvp",MIN(15,15)/15,IF(AND(Inputs!$B$38&lt;&gt;"pvp",Inputs!$B$43&gt;0),MIN(15,Inputs!$B$43)/(Inputs!$B$43),0))),0)))&gt;=100),CHOOSE(ArtifactsInput!$N$42+1,40,48,56,64,72,80),0))))/100)*((1+(((C778=TRUE)*F778*5/7)+((C785=TRUE)*(F785-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766)</f>
        <v/>
      </c>
      <c r="L766">
        <f>K766*(MIN(Inputs!$B$22+((C783=TRUE)*(F783-Calc!F22)),(Inputs!$B$23+0+(IF(ArtifactsInput!$M$15,CHOOSE(ArtifactsInput!$N$15+1,25,30,35,40,45,50)/100*(Inputs!$B$11-Inputs!$B$11),0))))/100+(Inputs!$B$23+0+(IF(ArtifactsInput!$M$15,CHOOSE(ArtifactsInput!$N$15+1,25,30,35,40,45,50)/100*(Inputs!$B$11-Inputs!$B$11),0)))/100)/2</f>
        <v/>
      </c>
      <c r="M766">
        <f>L766*(1+(Inputs!$B$10+((C786=TRUE)*(F786-Calc!F25))+B797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66">
        <f>L766*(1-MIN((Inputs!$B$9+((C780=TRUE)*(F780-Calc!F19))+B792+(ArtifactsInput!$M$24-ArtifactsInput!$M$24)*CHOOSE(ArtifactsInput!$N$24+1,10,12,14,16,18,20)+(IF(AND(Inputs!$B$38&lt;&gt;"pvp",Inputs!$B$43=0),1,IF(IF(Inputs!$B$38="pvp",15,Inputs!$B$43)-(B799)&lt;=0,1,MAX(0,IF(Inputs!$B$38="pvp",15,Inputs!$B$43)-MAX(5,B799))/(IF(Inputs!$B$38="pvp",15,Inputs!$B$43)-(B799))))*IF(AND(ArtifactsInput!$M$42,((Inputs!$B$9+((C780=TRUE)*(F780-Calc!F19))+B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766*(MIN((Inputs!$B$9+((C780=TRUE)*(F780-Calc!F19))+B792+(ArtifactsInput!$M$24-ArtifactsInput!$M$24)*CHOOSE(ArtifactsInput!$N$24+1,10,12,14,16,18,20)+(IF(AND(Inputs!$B$38&lt;&gt;"pvp",Inputs!$B$43=0),1,IF(IF(Inputs!$B$38="pvp",15,Inputs!$B$43)-(B799)&lt;=0,1,MAX(0,IF(Inputs!$B$38="pvp",15,Inputs!$B$43)-MAX(5,B799))/(IF(Inputs!$B$38="pvp",15,Inputs!$B$43)-(B799))))*IF(AND(ArtifactsInput!$M$42,((Inputs!$B$9+((C780=TRUE)*(F780-Calc!F19))+B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66">
        <f>(1-Summary!$B$11)*T766+Summary!$B$11*V766</f>
        <v/>
      </c>
      <c r="P766">
        <f>IF(B802=0,0,O766/B802)</f>
        <v/>
      </c>
      <c r="Q766">
        <f>IFERROR(1/(IF(Inputs!$B$38="pvp",15,MAX(0.1,Skills!D5-IF(TRUE=TRUE,Inputs!$B$32,0)))*(1-IF(AND(ArtifactsInput!$M$27,Inputs!$B$4="Chapter Hunt"),CHOOSE(ArtifactsInput!$N$27+1,20,24,28,32,36,40),0)/100)),0)</f>
        <v/>
      </c>
      <c r="R766">
        <f>IF(AND(Inputs!$B$38&lt;&gt;"pvp",Inputs!$B$43&gt;0),IF(MAX(0,Inputs!$B$43-B799)&lt;=0,0,(INT(MAX(0,Inputs!$B$43-B799)/(IF(Inputs!$B$38="pvp",15,MAX(0.1,Skills!D5-IF(TRUE=TRUE,Inputs!$B$32,0)))*(1-IF(AND(ArtifactsInput!$M$27,Inputs!$B$4="Chapter Hunt"),CHOOSE(ArtifactsInput!$N$27+1,20,24,28,32,36,40),0)/100)))+1)),0)</f>
        <v/>
      </c>
      <c r="S766">
        <f>IFERROR(O766/N766,0)</f>
        <v/>
      </c>
      <c r="T766">
        <f>IF(C766,(H766*N766*IF(AND(Inputs!$B$38&lt;&gt;"pvp",Inputs!$B$43&gt;0),((Skills!G5*((R766-1)*IF(Skills!H5&gt;0,INT(IF(Inputs!$B$3&gt;=104,MIN(35,20*(1+Inputs!$B$34/100)),20)/Skills!H5+0.000000001),1)+IF(Skills!H5&gt;0,INT(MIN(IF(Inputs!$B$3&gt;=104,MIN(35,20*(1+Inputs!$B$34/100)),20),MAX(0,MAX(0,Inputs!$B$43-B799)-((R766-1)*(IF(Inputs!$B$38="pvp",15,MAX(0.1,Skills!D5-IF(TRUE=TRUE,Inputs!$B$32,0)))*(1-IF(AND(ArtifactsInput!$M$27,Inputs!$B$4="Chapter Hunt"),CHOOSE(ArtifactsInput!$N$27+1,20,24,28,32,36,40),0)/100)))))/Skills!H5+0.000000001),1)))/Inputs!$B$43),G766*Q766))*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Hunt"),CHOOSE(ArtifactsInput!$N$35+1,15,18,21,24,27,30)*(1-EXP(-(0.2*B794)*5)),0)+IF(AND(ArtifactsInput!$M$22,Inputs!$B$4&lt;&gt;"Chapter Hunt"),CHOOSE(ArtifactsInput!$N$22+1,10,12,14,16,18,20)*((0*(((0.15*B794*5))^0/1)+1*(((0.15*B794*5))^1/1)+2*(((0.15*B794*5))^2/2)+3*(((0.15*B794*5))^3/6)+4*(((0.15*B794*5))^4/24)+5*(((0.15*B794*5))^5/120))/((((0.15*B794*5))^0/1)+(((0.15*B794*5))^1/1)+(((0.15*B794*5))^2/2)+(((0.15*B794*5))^3/6)+(((0.15*B794*5))^4/24)+(((0.15*B794*5))^5/120))),0))+IF(Inputs!$B$3&gt;=54,9*(C764=TRUE)*MIN(1,8*(1+Inputs!$B$34/100)*Q764)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766*(1-MIN(100,(Inputs!$B$9+((C780=TRUE)*(F780-Calc!F19))+B792+(ArtifactsInput!$M$24-ArtifactsInput!$M$24)*CHOOSE(ArtifactsInput!$N$24+1,10,12,14,16,18,20)+(IF(AND(Inputs!$B$38&lt;&gt;"pvp",Inputs!$B$43=0),1,IF(IF(Inputs!$B$38="pvp",15,Inputs!$B$43)-(B799)&lt;=0,1,MAX(0,IF(Inputs!$B$38="pvp",15,Inputs!$B$43)-MAX(5,B799))/(IF(Inputs!$B$38="pvp",15,Inputs!$B$43)-(B799))))*IF(AND(ArtifactsInput!$M$42,((Inputs!$B$9+((C780=TRUE)*(F780-Calc!F19))+B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766*(MIN(100,(Inputs!$B$9+((C780=TRUE)*(F780-Calc!F19))+B792+(ArtifactsInput!$M$24-ArtifactsInput!$M$24)*CHOOSE(ArtifactsInput!$N$24+1,10,12,14,16,18,20)+(IF(AND(Inputs!$B$38&lt;&gt;"pvp",Inputs!$B$43=0),1,IF(IF(Inputs!$B$38="pvp",15,Inputs!$B$43)-(B799)&lt;=0,1,MAX(0,IF(Inputs!$B$38="pvp",15,Inputs!$B$43)-MAX(5,B799))/(IF(Inputs!$B$38="pvp",15,Inputs!$B$43)-(B799))))*IF(AND(ArtifactsInput!$M$42,((Inputs!$B$9+((C780=TRUE)*(F780-Calc!F19))+B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766*(1-MIN(100,(Inputs!$B$9+((C780=TRUE)*(F780-Calc!F19))+B792+(ArtifactsInput!$M$24-ArtifactsInput!$M$24)*CHOOSE(ArtifactsInput!$N$24+1,10,12,14,16,18,20)+(IF(AND(Inputs!$B$38&lt;&gt;"pvp",Inputs!$B$43=0),1,IF(IF(Inputs!$B$38="pvp",15,Inputs!$B$43)-(B799)&lt;=0,1,MAX(0,IF(Inputs!$B$38="pvp",15,Inputs!$B$43)-MAX(5,B799))/(IF(Inputs!$B$38="pvp",15,Inputs!$B$43)-(B799))))*IF(AND(ArtifactsInput!$M$42,((Inputs!$B$9+((C780=TRUE)*(F780-Calc!F19))+B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766*(MIN(100,(Inputs!$B$9+((C780=TRUE)*(F780-Calc!F19))+B792+(ArtifactsInput!$M$24-ArtifactsInput!$M$24)*CHOOSE(ArtifactsInput!$N$24+1,10,12,14,16,18,20)+(IF(AND(Inputs!$B$38&lt;&gt;"pvp",Inputs!$B$43=0),1,IF(IF(Inputs!$B$38="pvp",15,Inputs!$B$43)-(B799)&lt;=0,1,MAX(0,IF(Inputs!$B$38="pvp",15,Inputs!$B$43)-MAX(5,B799))/(IF(Inputs!$B$38="pvp",15,Inputs!$B$43)-(B799))))*IF(AND(ArtifactsInput!$M$42,((Inputs!$B$9+((C780=TRUE)*(F780-Calc!F19))+B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66">
        <f>IF(C766,(H766*N766*IF(AND(Inputs!$B$38&lt;&gt;"pvp",Inputs!$B$43&gt;0),((Skills!G5*((R766-1)*IF(Skills!H5&gt;0,INT(IF(Inputs!$B$3&gt;=104,MIN(35,20*(1+Inputs!$B$34/100)),20)/Skills!H5+0.000000001),1)+IF(Skills!H5&gt;0,INT(MIN(IF(Inputs!$B$3&gt;=104,MIN(35,20*(1+Inputs!$B$34/100)),20),MAX(0,MAX(0,Inputs!$B$43-B799)-((R766-1)*(IF(Inputs!$B$38="pvp",15,MAX(0.1,Skills!D5-IF(TRUE=TRUE,Inputs!$B$32,0)))*(1-IF(AND(ArtifactsInput!$M$27,Inputs!$B$4="Chapter Hunt"),CHOOSE(ArtifactsInput!$N$27+1,20,24,28,32,36,40),0)/100)))))/Skills!H5+0.000000001),1)))/Inputs!$B$43),G766*Q766))*IF(Inputs!$B$38="pvp",1,(1+(Inputs!$B$21+Skills!Q5+(IF(ArtifactsInput!$M$33,CHOOSE(ArtifactsInput!$N$33+1,30,36,42,48,54,60),0))+(IF(AND(ArtifactsInput!$M$35,Inputs!$B$4&lt;&gt;"Chapter Hunt"),CHOOSE(ArtifactsInput!$N$35+1,15,18,21,24,27,30)*(1-EXP(-(0.2*B794)*5)),0)+IF(AND(ArtifactsInput!$M$22,Inputs!$B$4&lt;&gt;"Chapter Hunt"),CHOOSE(ArtifactsInput!$N$22+1,10,12,14,16,18,20)*((0*(((0.15*B794*5))^0/1)+1*(((0.15*B794*5))^1/1)+2*(((0.15*B794*5))^2/2)+3*(((0.15*B794*5))^3/6)+4*(((0.15*B794*5))^4/24)+5*(((0.15*B794*5))^5/120))/((((0.15*B794*5))^0/1)+(((0.15*B794*5))^1/1)+(((0.15*B794*5))^2/2)+(((0.15*B794*5))^3/6)+(((0.15*B794*5))^4/24)+(((0.15*B794*5))^5/120))),0))+IF(Inputs!$B$3&gt;=54,9*(C764=TRUE)*MIN(1,8*(1+Inputs!$B$34/100)*Q764),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67">
      <c r="A767">
        <f>Skills!A6</f>
        <v/>
      </c>
      <c r="B767">
        <f>Skills!B6</f>
        <v/>
      </c>
      <c r="C767">
        <f>Inputs!$B$3&gt;=66</f>
        <v/>
      </c>
      <c r="D767">
        <f>IF(Skills!C6=1,60+Inputs!$B$25+Inputs!$B$29,IF(Skills!C6=2,90+Inputs!$B$26+Inputs!$B$29,IF(Skills!C6=3,120+Inputs!$B$27+Inputs!$B$29,MAX(0,(Inputs!$B$3-100)*3)+Inputs!$B$28+Inputs!$B$29)))</f>
        <v/>
      </c>
      <c r="E767">
        <f>INDEX(FactorTable!$B$2:$Y$301, MATCH(ROUND(MIN(300,MAX(1,D767)),0), FactorTable!$A$2:$A$301,0), Skills!M6+1)</f>
        <v/>
      </c>
      <c r="F767">
        <f>IF(Skills!N6=TRUE,(Skills!L6/10)*(E767/1000),Skills!L6/10)+Skills!O6</f>
        <v/>
      </c>
      <c r="G767">
        <f>Skills!G6*IF(Skills!H6&gt;0,INT(IF(Inputs!$B$38="pvp",MIN(Skills!I6,15),Skills!I6)/Skills!H6+0.000000001),1)</f>
        <v/>
      </c>
      <c r="H767">
        <f>1-(1-Skills!J6/100)^Skills!K6</f>
        <v/>
      </c>
      <c r="I767" t="inlineStr">
        <is>
          <t>1</t>
        </is>
      </c>
      <c r="J767">
        <f>((Inputs!$B$6*(1+Inputs!$B$7/100))+(((Inputs!$B$12*(1+Inputs!$B$13/100))-(Inputs!$B$12*(1+Inputs!$B$13/100)))+0.25*(Inputs!$B$14-Inputs!$B$14))*(1+Inputs!$B$7/100))*(F767/100)</f>
        <v/>
      </c>
      <c r="K767">
        <f>J767*(1+((Inputs!$B$12*(1+Inputs!$B$13/100))*0.01+Inputs!$B$14*0.0025)/100)*(1+Inputs!$B$15/100)*(1+Inputs!$B$16/100)*(5000/(6000+Inputs!$B$42*(1-(100*(1-(1-(Inputs!$B$19+0)/100)*(1-CHOOSE(ArtifactsInput!$N$40+1,5,6,7,8,9,10)/100)^(ArtifactsInput!$M$40-ArtifactsInput!$M$40)))/100)))*(1+(Inputs!$B$24+((C787=TRUE)*(F787-Calc!F26))+B798)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+2.0*IF(C776=TRUE,F776,0)/100)*(1+(IF(Skills!A6="EIGHT_LEGS_EASTON",Inputs!$B$17+((C784=TRUE)*(F784-Calc!F23))+((C788=TRUE)*(F788-Calc!F27))+((IF(AND(Inputs!$B$38&lt;&gt;"pvp",Inputs!$B$43=0),1,IF(IF(Inputs!$B$38="pvp",15,Inputs!$B$43)-(B799)&lt;=0,1,MAX(0,IF(Inputs!$B$38="pvp",15,Inputs!$B$43)-MAX(5,B799))/(IF(Inputs!$B$38="pvp",15,Inputs!$B$43)-(B799))))*(IF(AND(ArtifactsInput!$M$42,((Inputs!$B$9+((C780=TRUE)*(F780-Calc!F19))+B792+(ArtifactsInput!$M$24-ArtifactsInput!$M$24)*CHOOSE(ArtifactsInput!$N$24+1,10,12,14,16,18,20)+IF(ArtifactsInput!$M$10,CHOOSE(ArtifactsInput!$N$10+1,15,18,21,24,27,30)*(IF(Inputs!$B$38="pvp",MIN(15,15)/15,IF(AND(Inputs!$B$38&lt;&gt;"pvp",Inputs!$B$43&gt;0),MIN(15,Inputs!$B$43)/(Inputs!$B$43),0))),0)))&gt;=100),MIN(100,((Inputs!$B$9+((C780=TRUE)*(F780-Calc!F19))+B792+(ArtifactsInput!$M$24-ArtifactsInput!$M$24)*CHOOSE(ArtifactsInput!$N$24+1,10,12,14,16,18,20)+IF(ArtifactsInput!$M$10,CHOOSE(ArtifactsInput!$N$10+1,15,18,21,24,27,30)*(IF(Inputs!$B$38="pvp",MIN(15,15)/15,IF(AND(Inputs!$B$38&lt;&gt;"pvp",Inputs!$B$43&gt;0),MIN(15,Inputs!$B$43)/(Inputs!$B$43),0))),0)))-100),0))*CHOOSE(ArtifactsInput!$N$42+1,0.6,0.72,0.84,0.96,1.08,1.2))),(Inputs!$B$18+1)+0+(IF(AND(Inputs!$B$38&lt;&gt;"pvp",Inputs!$B$43=0),1,IF(IF(Inputs!$B$38="pvp",15,Inputs!$B$43)-(B799)&lt;=0,1,MAX(0,IF(Inputs!$B$38="pvp",15,Inputs!$B$43)-MAX(5,B799))/(IF(Inputs!$B$38="pvp",15,Inputs!$B$43)-(B799))))*IF(AND(ArtifactsInput!$M$42,((Inputs!$B$9+((C780=TRUE)*(F780-Calc!F19))+B792+(ArtifactsInput!$M$24-ArtifactsInput!$M$24)*CHOOSE(ArtifactsInput!$N$24+1,10,12,14,16,18,20)+IF(ArtifactsInput!$M$10,CHOOSE(ArtifactsInput!$N$10+1,15,18,21,24,27,30)*(IF(Inputs!$B$38="pvp",MIN(15,15)/15,IF(AND(Inputs!$B$38&lt;&gt;"pvp",Inputs!$B$43&gt;0),MIN(15,Inputs!$B$43)/(Inputs!$B$43),0))),0)))&gt;=100),CHOOSE(ArtifactsInput!$N$42+1,40,48,56,64,72,80),0))))/100)*((1+(((C778=TRUE)*F778*5/7)+((C785=TRUE)*(F785-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767)</f>
        <v/>
      </c>
      <c r="L767">
        <f>K767*(MIN(Inputs!$B$22+((C783=TRUE)*(F783-Calc!F22)),(Inputs!$B$23+0+(IF(ArtifactsInput!$M$15,CHOOSE(ArtifactsInput!$N$15+1,25,30,35,40,45,50)/100*(Inputs!$B$11-Inputs!$B$11),0))))/100+(Inputs!$B$23+0+(IF(ArtifactsInput!$M$15,CHOOSE(ArtifactsInput!$N$15+1,25,30,35,40,45,50)/100*(Inputs!$B$11-Inputs!$B$11),0)))/100)/2</f>
        <v/>
      </c>
      <c r="M767">
        <f>L767*(1+(Inputs!$B$10+((C786=TRUE)*(F786-Calc!F25))+B797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67">
        <f>L767*(1-MIN((Inputs!$B$9+((C780=TRUE)*(F780-Calc!F19))+B792+(ArtifactsInput!$M$24-ArtifactsInput!$M$24)*CHOOSE(ArtifactsInput!$N$24+1,10,12,14,16,18,20)+(IF(AND(Inputs!$B$38&lt;&gt;"pvp",Inputs!$B$43=0),1,IF(IF(Inputs!$B$38="pvp",15,Inputs!$B$43)-(B799)&lt;=0,1,MAX(0,IF(Inputs!$B$38="pvp",15,Inputs!$B$43)-MAX(5,B799))/(IF(Inputs!$B$38="pvp",15,Inputs!$B$43)-(B799))))*IF(AND(ArtifactsInput!$M$42,((Inputs!$B$9+((C780=TRUE)*(F780-Calc!F19))+B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767*(MIN((Inputs!$B$9+((C780=TRUE)*(F780-Calc!F19))+B792+(ArtifactsInput!$M$24-ArtifactsInput!$M$24)*CHOOSE(ArtifactsInput!$N$24+1,10,12,14,16,18,20)+(IF(AND(Inputs!$B$38&lt;&gt;"pvp",Inputs!$B$43=0),1,IF(IF(Inputs!$B$38="pvp",15,Inputs!$B$43)-(B799)&lt;=0,1,MAX(0,IF(Inputs!$B$38="pvp",15,Inputs!$B$43)-MAX(5,B799))/(IF(Inputs!$B$38="pvp",15,Inputs!$B$43)-(B799))))*IF(AND(ArtifactsInput!$M$42,((Inputs!$B$9+((C780=TRUE)*(F780-Calc!F19))+B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67">
        <f>(1-Summary!$B$11)*T767+Summary!$B$11*V767</f>
        <v/>
      </c>
      <c r="P767">
        <f>IF(B802=0,0,O767/B802)</f>
        <v/>
      </c>
      <c r="Q767">
        <f>IFERROR(1/(IF(Inputs!$B$38="pvp",15,MAX(0.1,Skills!D6-IF(TRUE=TRUE,Inputs!$B$32,0)))*(1-IF(AND(ArtifactsInput!$M$27,Inputs!$B$4="Chapter Hunt"),CHOOSE(ArtifactsInput!$N$27+1,20,24,28,32,36,40),0)/100)),0)</f>
        <v/>
      </c>
      <c r="R767">
        <f>IF(AND(Inputs!$B$38&lt;&gt;"pvp",Inputs!$B$43&gt;0),IF(MAX(0,Inputs!$B$43-B799)&lt;=0,0,(INT(MAX(0,Inputs!$B$43-B799)/(IF(Inputs!$B$38="pvp",15,MAX(0.1,Skills!D6-IF(TRUE=TRUE,Inputs!$B$32,0)))*(1-IF(AND(ArtifactsInput!$M$27,Inputs!$B$4="Chapter Hunt"),CHOOSE(ArtifactsInput!$N$27+1,20,24,28,32,36,40),0)/100)))+1)),0)</f>
        <v/>
      </c>
      <c r="S767">
        <f>IFERROR(O767/N767,0)</f>
        <v/>
      </c>
      <c r="T767">
        <f>IF(C767,(H767*N767*IF(AND(Inputs!$B$38&lt;&gt;"pvp",Inputs!$B$43&gt;0),((Skills!G6*((R767-1)*IF(Skills!H6&gt;0,INT(Skills!I6/Skills!H6+0.000000001),1)+IF(Skills!H6&gt;0,INT(MIN(Skills!I6,MAX(0,MAX(0,Inputs!$B$43-B799)-((R767-1)*(IF(Inputs!$B$38="pvp",15,MAX(0.1,Skills!D6-IF(TRUE=TRUE,Inputs!$B$32,0)))*(1-IF(AND(ArtifactsInput!$M$27,Inputs!$B$4="Chapter Hunt"),CHOOSE(ArtifactsInput!$N$27+1,20,24,28,32,36,40),0)/100)))))/Skills!H6+0.000000001),1)))/Inputs!$B$43),G767*Q767)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Hunt"),CHOOSE(ArtifactsInput!$N$35+1,15,18,21,24,27,30)*(1-EXP(-(0.2*B794)*5)),0)+IF(AND(ArtifactsInput!$M$22,Inputs!$B$4&lt;&gt;"Chapter Hunt"),CHOOSE(ArtifactsInput!$N$22+1,10,12,14,16,18,20)*((0*(((0.15*B794*5))^0/1)+1*(((0.15*B794*5))^1/1)+2*(((0.15*B794*5))^2/2)+3*(((0.15*B794*5))^3/6)+4*(((0.15*B794*5))^4/24)+5*(((0.15*B794*5))^5/120))/((((0.15*B794*5))^0/1)+(((0.15*B794*5))^1/1)+(((0.15*B794*5))^2/2)+(((0.15*B794*5))^3/6)+(((0.15*B794*5))^4/24)+(((0.15*B794*5))^5/120))),0))+IF(Inputs!$B$3&gt;=54,9*(C764=TRUE)*MIN(1,8*(1+Inputs!$B$34/100)*Q764)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767*(1-MIN(100,(Inputs!$B$9+((C780=TRUE)*(F780-Calc!F19))+B792+(ArtifactsInput!$M$24-ArtifactsInput!$M$24)*CHOOSE(ArtifactsInput!$N$24+1,10,12,14,16,18,20)+(IF(AND(Inputs!$B$38&lt;&gt;"pvp",Inputs!$B$43=0),1,IF(IF(Inputs!$B$38="pvp",15,Inputs!$B$43)-(B799)&lt;=0,1,MAX(0,IF(Inputs!$B$38="pvp",15,Inputs!$B$43)-MAX(5,B799))/(IF(Inputs!$B$38="pvp",15,Inputs!$B$43)-(B799))))*IF(AND(ArtifactsInput!$M$42,((Inputs!$B$9+((C780=TRUE)*(F780-Calc!F19))+B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767*(MIN(100,(Inputs!$B$9+((C780=TRUE)*(F780-Calc!F19))+B792+(ArtifactsInput!$M$24-ArtifactsInput!$M$24)*CHOOSE(ArtifactsInput!$N$24+1,10,12,14,16,18,20)+(IF(AND(Inputs!$B$38&lt;&gt;"pvp",Inputs!$B$43=0),1,IF(IF(Inputs!$B$38="pvp",15,Inputs!$B$43)-(B799)&lt;=0,1,MAX(0,IF(Inputs!$B$38="pvp",15,Inputs!$B$43)-MAX(5,B799))/(IF(Inputs!$B$38="pvp",15,Inputs!$B$43)-(B799))))*IF(AND(ArtifactsInput!$M$42,((Inputs!$B$9+((C780=TRUE)*(F780-Calc!F19))+B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767*(1-MIN(100,(Inputs!$B$9+((C780=TRUE)*(F780-Calc!F19))+B792+(ArtifactsInput!$M$24-ArtifactsInput!$M$24)*CHOOSE(ArtifactsInput!$N$24+1,10,12,14,16,18,20)+(IF(AND(Inputs!$B$38&lt;&gt;"pvp",Inputs!$B$43=0),1,IF(IF(Inputs!$B$38="pvp",15,Inputs!$B$43)-(B799)&lt;=0,1,MAX(0,IF(Inputs!$B$38="pvp",15,Inputs!$B$43)-MAX(5,B799))/(IF(Inputs!$B$38="pvp",15,Inputs!$B$43)-(B799))))*IF(AND(ArtifactsInput!$M$42,((Inputs!$B$9+((C780=TRUE)*(F780-Calc!F19))+B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767*(MIN(100,(Inputs!$B$9+((C780=TRUE)*(F780-Calc!F19))+B792+(ArtifactsInput!$M$24-ArtifactsInput!$M$24)*CHOOSE(ArtifactsInput!$N$24+1,10,12,14,16,18,20)+(IF(AND(Inputs!$B$38&lt;&gt;"pvp",Inputs!$B$43=0),1,IF(IF(Inputs!$B$38="pvp",15,Inputs!$B$43)-(B799)&lt;=0,1,MAX(0,IF(Inputs!$B$38="pvp",15,Inputs!$B$43)-MAX(5,B799))/(IF(Inputs!$B$38="pvp",15,Inputs!$B$43)-(B799))))*IF(AND(ArtifactsInput!$M$42,((Inputs!$B$9+((C780=TRUE)*(F780-Calc!F19))+B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67">
        <f>IF(C767,(H767*N767*IF(AND(Inputs!$B$38&lt;&gt;"pvp",Inputs!$B$43&gt;0),((Skills!G6*((R767-1)*IF(Skills!H6&gt;0,INT(Skills!I6/Skills!H6+0.000000001),1)+IF(Skills!H6&gt;0,INT(MIN(Skills!I6,MAX(0,MAX(0,Inputs!$B$43-B799)-((R767-1)*(IF(Inputs!$B$38="pvp",15,MAX(0.1,Skills!D6-IF(TRUE=TRUE,Inputs!$B$32,0)))*(1-IF(AND(ArtifactsInput!$M$27,Inputs!$B$4="Chapter Hunt"),CHOOSE(ArtifactsInput!$N$27+1,20,24,28,32,36,40),0)/100)))))/Skills!H6+0.000000001),1)))/Inputs!$B$43),G767*Q767))*IF(Inputs!$B$38="pvp",1,(1+(Inputs!$B$21+Skills!Q6+(IF(ArtifactsInput!$M$33,CHOOSE(ArtifactsInput!$N$33+1,30,36,42,48,54,60),0))+(IF(AND(ArtifactsInput!$M$35,Inputs!$B$4&lt;&gt;"Chapter Hunt"),CHOOSE(ArtifactsInput!$N$35+1,15,18,21,24,27,30)*(1-EXP(-(0.2*B794)*5)),0)+IF(AND(ArtifactsInput!$M$22,Inputs!$B$4&lt;&gt;"Chapter Hunt"),CHOOSE(ArtifactsInput!$N$22+1,10,12,14,16,18,20)*((0*(((0.15*B794*5))^0/1)+1*(((0.15*B794*5))^1/1)+2*(((0.15*B794*5))^2/2)+3*(((0.15*B794*5))^3/6)+4*(((0.15*B794*5))^4/24)+5*(((0.15*B794*5))^5/120))/((((0.15*B794*5))^0/1)+(((0.15*B794*5))^1/1)+(((0.15*B794*5))^2/2)+(((0.15*B794*5))^3/6)+(((0.15*B794*5))^4/24)+(((0.15*B794*5))^5/120))),0))+IF(Inputs!$B$3&gt;=54,9*(C764=TRUE)*MIN(1,8*(1+Inputs!$B$34/100)*Q764),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68">
      <c r="A768">
        <f>Skills!A7</f>
        <v/>
      </c>
      <c r="B768">
        <f>Skills!B7</f>
        <v/>
      </c>
      <c r="C768">
        <f>Inputs!$B$3&gt;=63</f>
        <v/>
      </c>
      <c r="D768">
        <f>IF(Skills!C7=1,60+Inputs!$B$25+Inputs!$B$29,IF(Skills!C7=2,90+Inputs!$B$26+Inputs!$B$29,IF(Skills!C7=3,120+Inputs!$B$27+Inputs!$B$29,MAX(0,(Inputs!$B$3-100)*3)+Inputs!$B$28+Inputs!$B$29)))</f>
        <v/>
      </c>
      <c r="E768">
        <f>INDEX(FactorTable!$B$2:$Y$301, MATCH(ROUND(MIN(300,MAX(1,D768)),0), FactorTable!$A$2:$A$301,0), Skills!M7+1)</f>
        <v/>
      </c>
      <c r="F768">
        <f>IF(Skills!N7=TRUE,(Skills!L7/10)*(E768/1000),Skills!L7/10)+Skills!O7</f>
        <v/>
      </c>
      <c r="G768">
        <f>Skills!G7*IF(Skills!H7&gt;0,INT(IF(Inputs!$B$38="pvp",MIN(Skills!I7,15),Skills!I7)/Skills!H7+0.000000001),1)</f>
        <v/>
      </c>
      <c r="H768">
        <f>1-(1-Skills!J7/100)^Skills!K7</f>
        <v/>
      </c>
      <c r="I768" t="inlineStr">
        <is>
          <t>1</t>
        </is>
      </c>
      <c r="J768">
        <f>((Inputs!$B$6*(1+Inputs!$B$7/100))+(((Inputs!$B$12*(1+Inputs!$B$13/100))-(Inputs!$B$12*(1+Inputs!$B$13/100)))+0.25*(Inputs!$B$14-Inputs!$B$14))*(1+Inputs!$B$7/100))*(F768/100)</f>
        <v/>
      </c>
      <c r="K768">
        <f>J768*(1+((Inputs!$B$12*(1+Inputs!$B$13/100))*0.01+Inputs!$B$14*0.0025)/100)*(1+Inputs!$B$15/100)*(1+Inputs!$B$16/100)*(5000/(6000+Inputs!$B$42*(1-(100*(1-(1-(Inputs!$B$19+0)/100)*(1-CHOOSE(ArtifactsInput!$N$40+1,5,6,7,8,9,10)/100)^(ArtifactsInput!$M$40-ArtifactsInput!$M$40)))/100)))*(1+(Inputs!$B$24+((C787=TRUE)*(F787-Calc!F26))+B798)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776=TRUE,F776,0)/100)*(1+(IF(Skills!A7="EIGHT_LEGS_EASTON",Inputs!$B$17+((C784=TRUE)*(F784-Calc!F23))+((C788=TRUE)*(F788-Calc!F27))+((IF(AND(Inputs!$B$38&lt;&gt;"pvp",Inputs!$B$43=0),1,IF(IF(Inputs!$B$38="pvp",15,Inputs!$B$43)-(B799)&lt;=0,1,MAX(0,IF(Inputs!$B$38="pvp",15,Inputs!$B$43)-MAX(5,B799))/(IF(Inputs!$B$38="pvp",15,Inputs!$B$43)-(B799))))*(IF(AND(ArtifactsInput!$M$42,((Inputs!$B$9+((C780=TRUE)*(F780-Calc!F19))+B792+(ArtifactsInput!$M$24-ArtifactsInput!$M$24)*CHOOSE(ArtifactsInput!$N$24+1,10,12,14,16,18,20)+IF(ArtifactsInput!$M$10,CHOOSE(ArtifactsInput!$N$10+1,15,18,21,24,27,30)*(IF(Inputs!$B$38="pvp",MIN(15,15)/15,IF(AND(Inputs!$B$38&lt;&gt;"pvp",Inputs!$B$43&gt;0),MIN(15,Inputs!$B$43)/(Inputs!$B$43),0))),0)))&gt;=100),MIN(100,((Inputs!$B$9+((C780=TRUE)*(F780-Calc!F19))+B792+(ArtifactsInput!$M$24-ArtifactsInput!$M$24)*CHOOSE(ArtifactsInput!$N$24+1,10,12,14,16,18,20)+IF(ArtifactsInput!$M$10,CHOOSE(ArtifactsInput!$N$10+1,15,18,21,24,27,30)*(IF(Inputs!$B$38="pvp",MIN(15,15)/15,IF(AND(Inputs!$B$38&lt;&gt;"pvp",Inputs!$B$43&gt;0),MIN(15,Inputs!$B$43)/(Inputs!$B$43),0))),0)))-100),0))*CHOOSE(ArtifactsInput!$N$42+1,0.6,0.72,0.84,0.96,1.08,1.2))),(Inputs!$B$18+1)+0+(IF(AND(Inputs!$B$38&lt;&gt;"pvp",Inputs!$B$43=0),1,IF(IF(Inputs!$B$38="pvp",15,Inputs!$B$43)-(B799)&lt;=0,1,MAX(0,IF(Inputs!$B$38="pvp",15,Inputs!$B$43)-MAX(5,B799))/(IF(Inputs!$B$38="pvp",15,Inputs!$B$43)-(B799))))*IF(AND(ArtifactsInput!$M$42,((Inputs!$B$9+((C780=TRUE)*(F780-Calc!F19))+B792+(ArtifactsInput!$M$24-ArtifactsInput!$M$24)*CHOOSE(ArtifactsInput!$N$24+1,10,12,14,16,18,20)+IF(ArtifactsInput!$M$10,CHOOSE(ArtifactsInput!$N$10+1,15,18,21,24,27,30)*(IF(Inputs!$B$38="pvp",MIN(15,15)/15,IF(AND(Inputs!$B$38&lt;&gt;"pvp",Inputs!$B$43&gt;0),MIN(15,Inputs!$B$43)/(Inputs!$B$43),0))),0)))&gt;=100),CHOOSE(ArtifactsInput!$N$42+1,40,48,56,64,72,80),0))))/100)*((1+(((C778=TRUE)*F778*5/7)+((C785=TRUE)*(F785-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768)</f>
        <v/>
      </c>
      <c r="L768">
        <f>K768*(MIN(Inputs!$B$22+((C783=TRUE)*(F783-Calc!F22)),(Inputs!$B$23+0+(IF(ArtifactsInput!$M$15,CHOOSE(ArtifactsInput!$N$15+1,25,30,35,40,45,50)/100*(Inputs!$B$11-Inputs!$B$11),0))))/100+(Inputs!$B$23+0+(IF(ArtifactsInput!$M$15,CHOOSE(ArtifactsInput!$N$15+1,25,30,35,40,45,50)/100*(Inputs!$B$11-Inputs!$B$11),0)))/100)/2</f>
        <v/>
      </c>
      <c r="M768">
        <f>L768*(1+(Inputs!$B$10+((C786=TRUE)*(F786-Calc!F25))+B797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68">
        <f>L768*(1-MIN((Inputs!$B$9+((C780=TRUE)*(F780-Calc!F19))+B792+(ArtifactsInput!$M$24-ArtifactsInput!$M$24)*CHOOSE(ArtifactsInput!$N$24+1,10,12,14,16,18,20)+(IF(AND(Inputs!$B$38&lt;&gt;"pvp",Inputs!$B$43=0),1,IF(IF(Inputs!$B$38="pvp",15,Inputs!$B$43)-(B799)&lt;=0,1,MAX(0,IF(Inputs!$B$38="pvp",15,Inputs!$B$43)-MAX(5,B799))/(IF(Inputs!$B$38="pvp",15,Inputs!$B$43)-(B799))))*IF(AND(ArtifactsInput!$M$42,((Inputs!$B$9+((C780=TRUE)*(F780-Calc!F19))+B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768*(MIN((Inputs!$B$9+((C780=TRUE)*(F780-Calc!F19))+B792+(ArtifactsInput!$M$24-ArtifactsInput!$M$24)*CHOOSE(ArtifactsInput!$N$24+1,10,12,14,16,18,20)+(IF(AND(Inputs!$B$38&lt;&gt;"pvp",Inputs!$B$43=0),1,IF(IF(Inputs!$B$38="pvp",15,Inputs!$B$43)-(B799)&lt;=0,1,MAX(0,IF(Inputs!$B$38="pvp",15,Inputs!$B$43)-MAX(5,B799))/(IF(Inputs!$B$38="pvp",15,Inputs!$B$43)-(B799))))*IF(AND(ArtifactsInput!$M$42,((Inputs!$B$9+((C780=TRUE)*(F780-Calc!F19))+B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68">
        <f>(1-Summary!$B$11)*T768+Summary!$B$11*V768</f>
        <v/>
      </c>
      <c r="P768">
        <f>IF(B802=0,0,O768/B802)</f>
        <v/>
      </c>
      <c r="Q768">
        <f>IFERROR(1/(IF(Inputs!$B$38="pvp",15,MAX(0.1,Skills!D7-IF(TRUE=TRUE,Inputs!$B$32,0)))*(1-IF(AND(ArtifactsInput!$M$27,Inputs!$B$4="Chapter Hunt"),CHOOSE(ArtifactsInput!$N$27+1,20,24,28,32,36,40),0)/100)),0)</f>
        <v/>
      </c>
      <c r="R768">
        <f>IF(AND(Inputs!$B$38&lt;&gt;"pvp",Inputs!$B$43&gt;0),IF(MAX(0,Inputs!$B$43-B799)&lt;=0,0,(INT(MAX(0,Inputs!$B$43-B799)/(IF(Inputs!$B$38="pvp",15,MAX(0.1,Skills!D7-IF(TRUE=TRUE,Inputs!$B$32,0)))*(1-IF(AND(ArtifactsInput!$M$27,Inputs!$B$4="Chapter Hunt"),CHOOSE(ArtifactsInput!$N$27+1,20,24,28,32,36,40),0)/100)))+1)),0)</f>
        <v/>
      </c>
      <c r="S768">
        <f>IFERROR(O768/N768,0)</f>
        <v/>
      </c>
      <c r="T768">
        <f>IF(C768,(H768*N768*IF(AND(Inputs!$B$38&lt;&gt;"pvp",Inputs!$B$43&gt;0),((Skills!G7*((R768-1)*IF(Skills!H7&gt;0,INT(Skills!I7/Skills!H7+0.000000001),1)+IF(Skills!H7&gt;0,INT(MIN(Skills!I7,MAX(0,MAX(0,Inputs!$B$43-B799)-((R768-1)*(IF(Inputs!$B$38="pvp",15,MAX(0.1,Skills!D7-IF(TRUE=TRUE,Inputs!$B$32,0)))*(1-IF(AND(ArtifactsInput!$M$27,Inputs!$B$4="Chapter Hunt"),CHOOSE(ArtifactsInput!$N$27+1,20,24,28,32,36,40),0)/100)))))/Skills!H7+0.000000001),1)))/Inputs!$B$43),G768*Q768)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Hunt"),CHOOSE(ArtifactsInput!$N$35+1,15,18,21,24,27,30)*(1-EXP(-(0.2*B794)*5)),0)+IF(AND(ArtifactsInput!$M$22,Inputs!$B$4&lt;&gt;"Chapter Hunt"),CHOOSE(ArtifactsInput!$N$22+1,10,12,14,16,18,20)*((0*(((0.15*B794*5))^0/1)+1*(((0.15*B794*5))^1/1)+2*(((0.15*B794*5))^2/2)+3*(((0.15*B794*5))^3/6)+4*(((0.15*B794*5))^4/24)+5*(((0.15*B794*5))^5/120))/((((0.15*B794*5))^0/1)+(((0.15*B794*5))^1/1)+(((0.15*B794*5))^2/2)+(((0.15*B794*5))^3/6)+(((0.15*B794*5))^4/24)+(((0.15*B794*5))^5/120))),0))+IF(Inputs!$B$3&gt;=54,9*(C764=TRUE)*MIN(1,8*(1+Inputs!$B$34/100)*Q764)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768*(1-MIN(100,(Inputs!$B$9+((C780=TRUE)*(F780-Calc!F19))+B792+(ArtifactsInput!$M$24-ArtifactsInput!$M$24)*CHOOSE(ArtifactsInput!$N$24+1,10,12,14,16,18,20)+(IF(AND(Inputs!$B$38&lt;&gt;"pvp",Inputs!$B$43=0),1,IF(IF(Inputs!$B$38="pvp",15,Inputs!$B$43)-(B799)&lt;=0,1,MAX(0,IF(Inputs!$B$38="pvp",15,Inputs!$B$43)-MAX(5,B799))/(IF(Inputs!$B$38="pvp",15,Inputs!$B$43)-(B799))))*IF(AND(ArtifactsInput!$M$42,((Inputs!$B$9+((C780=TRUE)*(F780-Calc!F19))+B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768*(MIN(100,(Inputs!$B$9+((C780=TRUE)*(F780-Calc!F19))+B792+(ArtifactsInput!$M$24-ArtifactsInput!$M$24)*CHOOSE(ArtifactsInput!$N$24+1,10,12,14,16,18,20)+(IF(AND(Inputs!$B$38&lt;&gt;"pvp",Inputs!$B$43=0),1,IF(IF(Inputs!$B$38="pvp",15,Inputs!$B$43)-(B799)&lt;=0,1,MAX(0,IF(Inputs!$B$38="pvp",15,Inputs!$B$43)-MAX(5,B799))/(IF(Inputs!$B$38="pvp",15,Inputs!$B$43)-(B799))))*IF(AND(ArtifactsInput!$M$42,((Inputs!$B$9+((C780=TRUE)*(F780-Calc!F19))+B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768*(1-MIN(100,(Inputs!$B$9+((C780=TRUE)*(F780-Calc!F19))+B792+(ArtifactsInput!$M$24-ArtifactsInput!$M$24)*CHOOSE(ArtifactsInput!$N$24+1,10,12,14,16,18,20)+(IF(AND(Inputs!$B$38&lt;&gt;"pvp",Inputs!$B$43=0),1,IF(IF(Inputs!$B$38="pvp",15,Inputs!$B$43)-(B799)&lt;=0,1,MAX(0,IF(Inputs!$B$38="pvp",15,Inputs!$B$43)-MAX(5,B799))/(IF(Inputs!$B$38="pvp",15,Inputs!$B$43)-(B799))))*IF(AND(ArtifactsInput!$M$42,((Inputs!$B$9+((C780=TRUE)*(F780-Calc!F19))+B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768*(MIN(100,(Inputs!$B$9+((C780=TRUE)*(F780-Calc!F19))+B792+(ArtifactsInput!$M$24-ArtifactsInput!$M$24)*CHOOSE(ArtifactsInput!$N$24+1,10,12,14,16,18,20)+(IF(AND(Inputs!$B$38&lt;&gt;"pvp",Inputs!$B$43=0),1,IF(IF(Inputs!$B$38="pvp",15,Inputs!$B$43)-(B799)&lt;=0,1,MAX(0,IF(Inputs!$B$38="pvp",15,Inputs!$B$43)-MAX(5,B799))/(IF(Inputs!$B$38="pvp",15,Inputs!$B$43)-(B799))))*IF(AND(ArtifactsInput!$M$42,((Inputs!$B$9+((C780=TRUE)*(F780-Calc!F19))+B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68">
        <f>IF(C768,(H768*N768*IF(AND(Inputs!$B$38&lt;&gt;"pvp",Inputs!$B$43&gt;0),((Skills!G7*((R768-1)*IF(Skills!H7&gt;0,INT(Skills!I7/Skills!H7+0.000000001),1)+IF(Skills!H7&gt;0,INT(MIN(Skills!I7,MAX(0,MAX(0,Inputs!$B$43-B799)-((R768-1)*(IF(Inputs!$B$38="pvp",15,MAX(0.1,Skills!D7-IF(TRUE=TRUE,Inputs!$B$32,0)))*(1-IF(AND(ArtifactsInput!$M$27,Inputs!$B$4="Chapter Hunt"),CHOOSE(ArtifactsInput!$N$27+1,20,24,28,32,36,40),0)/100)))))/Skills!H7+0.000000001),1)))/Inputs!$B$43),G768*Q768))*IF(Inputs!$B$38="pvp",1,(1+(Inputs!$B$21+Skills!Q7+(IF(ArtifactsInput!$M$33,CHOOSE(ArtifactsInput!$N$33+1,30,36,42,48,54,60),0))+(IF(AND(ArtifactsInput!$M$35,Inputs!$B$4&lt;&gt;"Chapter Hunt"),CHOOSE(ArtifactsInput!$N$35+1,15,18,21,24,27,30)*(1-EXP(-(0.2*B794)*5)),0)+IF(AND(ArtifactsInput!$M$22,Inputs!$B$4&lt;&gt;"Chapter Hunt"),CHOOSE(ArtifactsInput!$N$22+1,10,12,14,16,18,20)*((0*(((0.15*B794*5))^0/1)+1*(((0.15*B794*5))^1/1)+2*(((0.15*B794*5))^2/2)+3*(((0.15*B794*5))^3/6)+4*(((0.15*B794*5))^4/24)+5*(((0.15*B794*5))^5/120))/((((0.15*B794*5))^0/1)+(((0.15*B794*5))^1/1)+(((0.15*B794*5))^2/2)+(((0.15*B794*5))^3/6)+(((0.15*B794*5))^4/24)+(((0.15*B794*5))^5/120))),0))+IF(Inputs!$B$3&gt;=54,9*(C764=TRUE)*MIN(1,8*(1+Inputs!$B$34/100)*Q764),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69">
      <c r="A769">
        <f>Skills!A8</f>
        <v/>
      </c>
      <c r="B769">
        <f>Skills!B8</f>
        <v/>
      </c>
      <c r="C769">
        <f>Inputs!$B$3&gt;=103</f>
        <v/>
      </c>
      <c r="D769">
        <f>IF(Skills!C8=1,60+Inputs!$B$25+Inputs!$B$29,IF(Skills!C8=2,90+Inputs!$B$26+Inputs!$B$29,IF(Skills!C8=3,120+Inputs!$B$27+Inputs!$B$29,MAX(0,(Inputs!$B$3-100)*3)+Inputs!$B$28+Inputs!$B$29)))</f>
        <v/>
      </c>
      <c r="E769">
        <f>INDEX(FactorTable!$B$2:$Y$301, MATCH(ROUND(MIN(300,MAX(1,D769)),0), FactorTable!$A$2:$A$301,0), Skills!M8+1)</f>
        <v/>
      </c>
      <c r="F769">
        <f>IF(Skills!N8=TRUE,(Skills!L8/10)*(E769/1000),Skills!L8/10)+Skills!O8</f>
        <v/>
      </c>
      <c r="G769">
        <f>Skills!G8*IF(Skills!H8&gt;0,INT(IF(Inputs!$B$38="pvp",MIN(Skills!I8,15),Skills!I8)/Skills!H8+0.000000001),1)</f>
        <v/>
      </c>
      <c r="H769">
        <f>1-(1-Skills!J8/100)^Skills!K8</f>
        <v/>
      </c>
      <c r="I769" t="inlineStr">
        <is>
          <t>1</t>
        </is>
      </c>
      <c r="J769">
        <f>((Inputs!$B$6*(1+Inputs!$B$7/100))+(((Inputs!$B$12*(1+Inputs!$B$13/100))-(Inputs!$B$12*(1+Inputs!$B$13/100)))+0.25*(Inputs!$B$14-Inputs!$B$14))*(1+Inputs!$B$7/100))*(F769/100)</f>
        <v/>
      </c>
      <c r="K769">
        <f>J769*(1+((Inputs!$B$12*(1+Inputs!$B$13/100))*0.01+Inputs!$B$14*0.0025)/100)*(1+Inputs!$B$15/100)*(1+Inputs!$B$16/100)*(5000/(6000+Inputs!$B$42*(1-(100*(1-(1-(Inputs!$B$19+0)/100)*(1-CHOOSE(ArtifactsInput!$N$40+1,5,6,7,8,9,10)/100)^(ArtifactsInput!$M$40-ArtifactsInput!$M$40)))/100)))*(1+(Inputs!$B$24+((C787=TRUE)*(F787-Calc!F26))+B798)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IGHT_LEGS_EASTON",Inputs!$B$17+((C784=TRUE)*(F784-Calc!F23))+((C788=TRUE)*(F788-Calc!F27))+((IF(AND(Inputs!$B$38&lt;&gt;"pvp",Inputs!$B$43=0),1,IF(IF(Inputs!$B$38="pvp",15,Inputs!$B$43)-(B799)&lt;=0,1,MAX(0,IF(Inputs!$B$38="pvp",15,Inputs!$B$43)-MAX(5,B799))/(IF(Inputs!$B$38="pvp",15,Inputs!$B$43)-(B799))))*(IF(AND(ArtifactsInput!$M$42,((Inputs!$B$9+((C780=TRUE)*(F780-Calc!F19))+B792+(ArtifactsInput!$M$24-ArtifactsInput!$M$24)*CHOOSE(ArtifactsInput!$N$24+1,10,12,14,16,18,20)+IF(ArtifactsInput!$M$10,CHOOSE(ArtifactsInput!$N$10+1,15,18,21,24,27,30)*(IF(Inputs!$B$38="pvp",MIN(15,15)/15,IF(AND(Inputs!$B$38&lt;&gt;"pvp",Inputs!$B$43&gt;0),MIN(15,Inputs!$B$43)/(Inputs!$B$43),0))),0)))&gt;=100),MIN(100,((Inputs!$B$9+((C780=TRUE)*(F780-Calc!F19))+B792+(ArtifactsInput!$M$24-ArtifactsInput!$M$24)*CHOOSE(ArtifactsInput!$N$24+1,10,12,14,16,18,20)+IF(ArtifactsInput!$M$10,CHOOSE(ArtifactsInput!$N$10+1,15,18,21,24,27,30)*(IF(Inputs!$B$38="pvp",MIN(15,15)/15,IF(AND(Inputs!$B$38&lt;&gt;"pvp",Inputs!$B$43&gt;0),MIN(15,Inputs!$B$43)/(Inputs!$B$43),0))),0)))-100),0))*CHOOSE(ArtifactsInput!$N$42+1,0.6,0.72,0.84,0.96,1.08,1.2))),(Inputs!$B$18+1)+0+(IF(AND(Inputs!$B$38&lt;&gt;"pvp",Inputs!$B$43=0),1,IF(IF(Inputs!$B$38="pvp",15,Inputs!$B$43)-(B799)&lt;=0,1,MAX(0,IF(Inputs!$B$38="pvp",15,Inputs!$B$43)-MAX(5,B799))/(IF(Inputs!$B$38="pvp",15,Inputs!$B$43)-(B799))))*IF(AND(ArtifactsInput!$M$42,((Inputs!$B$9+((C780=TRUE)*(F780-Calc!F19))+B792+(ArtifactsInput!$M$24-ArtifactsInput!$M$24)*CHOOSE(ArtifactsInput!$N$24+1,10,12,14,16,18,20)+IF(ArtifactsInput!$M$10,CHOOSE(ArtifactsInput!$N$10+1,15,18,21,24,27,30)*(IF(Inputs!$B$38="pvp",MIN(15,15)/15,IF(AND(Inputs!$B$38&lt;&gt;"pvp",Inputs!$B$43&gt;0),MIN(15,Inputs!$B$43)/(Inputs!$B$43),0))),0)))&gt;=100),CHOOSE(ArtifactsInput!$N$42+1,40,48,56,64,72,80),0))))/100)*((1+(((C778=TRUE)*F778*5/7)+((C785=TRUE)*(F785-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769)</f>
        <v/>
      </c>
      <c r="L769">
        <f>K769*(MIN(Inputs!$B$22+((C783=TRUE)*(F783-Calc!F22)),(Inputs!$B$23+0+(IF(ArtifactsInput!$M$15,CHOOSE(ArtifactsInput!$N$15+1,25,30,35,40,45,50)/100*(Inputs!$B$11-Inputs!$B$11),0))))/100+(Inputs!$B$23+0+(IF(ArtifactsInput!$M$15,CHOOSE(ArtifactsInput!$N$15+1,25,30,35,40,45,50)/100*(Inputs!$B$11-Inputs!$B$11),0)))/100)/2</f>
        <v/>
      </c>
      <c r="M769">
        <f>L769*(1+(Inputs!$B$10+((C786=TRUE)*(F786-Calc!F25))+B797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69">
        <f>L769*(1-MIN((Inputs!$B$9+((C780=TRUE)*(F780-Calc!F19))+B792+(ArtifactsInput!$M$24-ArtifactsInput!$M$24)*CHOOSE(ArtifactsInput!$N$24+1,10,12,14,16,18,20)+(IF(AND(Inputs!$B$38&lt;&gt;"pvp",Inputs!$B$43=0),1,IF(IF(Inputs!$B$38="pvp",15,Inputs!$B$43)-(B799)&lt;=0,1,MAX(0,IF(Inputs!$B$38="pvp",15,Inputs!$B$43)-MAX(5,B799))/(IF(Inputs!$B$38="pvp",15,Inputs!$B$43)-(B799))))*IF(AND(ArtifactsInput!$M$42,((Inputs!$B$9+((C780=TRUE)*(F780-Calc!F19))+B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769*(MIN((Inputs!$B$9+((C780=TRUE)*(F780-Calc!F19))+B792+(ArtifactsInput!$M$24-ArtifactsInput!$M$24)*CHOOSE(ArtifactsInput!$N$24+1,10,12,14,16,18,20)+(IF(AND(Inputs!$B$38&lt;&gt;"pvp",Inputs!$B$43=0),1,IF(IF(Inputs!$B$38="pvp",15,Inputs!$B$43)-(B799)&lt;=0,1,MAX(0,IF(Inputs!$B$38="pvp",15,Inputs!$B$43)-MAX(5,B799))/(IF(Inputs!$B$38="pvp",15,Inputs!$B$43)-(B799))))*IF(AND(ArtifactsInput!$M$42,((Inputs!$B$9+((C780=TRUE)*(F780-Calc!F19))+B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69">
        <f>(1-Summary!$B$11)*T769+Summary!$B$11*V769</f>
        <v/>
      </c>
      <c r="P769">
        <f>IF(B802=0,0,O769/B802)</f>
        <v/>
      </c>
      <c r="Q769">
        <f>IFERROR(1/((IF(Inputs!$B$38="pvp",15,MAX(0.1,Skills!D8-IF(TRUE=TRUE,Inputs!$B$32,0)))*(1-IF(AND(ArtifactsInput!$M$27,Inputs!$B$4="Chapter Hunt"),CHOOSE(ArtifactsInput!$N$27+1,20,24,28,32,36,40),0)/100))/B803),0)</f>
        <v/>
      </c>
      <c r="R769">
        <f>IF(AND(Inputs!$B$38&lt;&gt;"pvp",Inputs!$B$43&gt;0),IF(MAX(0,Inputs!$B$43-B799)&lt;=0,0,(INT(MAX(0,Inputs!$B$43-B799)/((IF(Inputs!$B$38="pvp",15,MAX(0.1,Skills!D8-IF(TRUE=TRUE,Inputs!$B$32,0)))*(1-IF(AND(ArtifactsInput!$M$27,Inputs!$B$4="Chapter Hunt"),CHOOSE(ArtifactsInput!$N$27+1,20,24,28,32,36,40),0)/100))/B803))+1)),0)</f>
        <v/>
      </c>
      <c r="S769">
        <f>IFERROR(O769/N769,0)</f>
        <v/>
      </c>
      <c r="T769">
        <f>IF(C769,(H769*N769*IF(AND(Inputs!$B$38&lt;&gt;"pvp",Inputs!$B$43&gt;0),((Skills!G8*((R769-1)*IF(Skills!H8&gt;0,INT(Skills!I8/Skills!H8+0.000000001),1)+IF(Skills!H8&gt;0,INT(MIN(Skills!I8,MAX(0,MAX(0,Inputs!$B$43-B799)-((R769-1)*((IF(Inputs!$B$38="pvp",15,MAX(0.1,Skills!D8-IF(TRUE=TRUE,Inputs!$B$32,0)))*(1-IF(AND(ArtifactsInput!$M$27,Inputs!$B$4="Chapter Hunt"),CHOOSE(ArtifactsInput!$N$27+1,20,24,28,32,36,40),0)/100))/B803))))/Skills!H8+0.000000001),1)))/Inputs!$B$43),G769*Q769))*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Hunt"),CHOOSE(ArtifactsInput!$N$35+1,15,18,21,24,27,30)*(1-EXP(-(0.2*B794)*5)),0)+IF(AND(ArtifactsInput!$M$22,Inputs!$B$4&lt;&gt;"Chapter Hunt"),CHOOSE(ArtifactsInput!$N$22+1,10,12,14,16,18,20)*((0*(((0.15*B794*5))^0/1)+1*(((0.15*B794*5))^1/1)+2*(((0.15*B794*5))^2/2)+3*(((0.15*B794*5))^3/6)+4*(((0.15*B794*5))^4/24)+5*(((0.15*B794*5))^5/120))/((((0.15*B794*5))^0/1)+(((0.15*B794*5))^1/1)+(((0.15*B794*5))^2/2)+(((0.15*B794*5))^3/6)+(((0.15*B794*5))^4/24)+(((0.15*B794*5))^5/120))),0))+IF(Inputs!$B$3&gt;=54,9*(C764=TRUE)*MIN(1,8*(1+Inputs!$B$34/100)*Q764)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769*(1-MIN(100,(Inputs!$B$9+((C780=TRUE)*(F780-Calc!F19))+B792+(ArtifactsInput!$M$24-ArtifactsInput!$M$24)*CHOOSE(ArtifactsInput!$N$24+1,10,12,14,16,18,20)+(IF(AND(Inputs!$B$38&lt;&gt;"pvp",Inputs!$B$43=0),1,IF(IF(Inputs!$B$38="pvp",15,Inputs!$B$43)-(B799)&lt;=0,1,MAX(0,IF(Inputs!$B$38="pvp",15,Inputs!$B$43)-MAX(5,B799))/(IF(Inputs!$B$38="pvp",15,Inputs!$B$43)-(B799))))*IF(AND(ArtifactsInput!$M$42,((Inputs!$B$9+((C780=TRUE)*(F780-Calc!F19))+B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769*(MIN(100,(Inputs!$B$9+((C780=TRUE)*(F780-Calc!F19))+B792+(ArtifactsInput!$M$24-ArtifactsInput!$M$24)*CHOOSE(ArtifactsInput!$N$24+1,10,12,14,16,18,20)+(IF(AND(Inputs!$B$38&lt;&gt;"pvp",Inputs!$B$43=0),1,IF(IF(Inputs!$B$38="pvp",15,Inputs!$B$43)-(B799)&lt;=0,1,MAX(0,IF(Inputs!$B$38="pvp",15,Inputs!$B$43)-MAX(5,B799))/(IF(Inputs!$B$38="pvp",15,Inputs!$B$43)-(B799))))*IF(AND(ArtifactsInput!$M$42,((Inputs!$B$9+((C780=TRUE)*(F780-Calc!F19))+B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769*(1-MIN(100,(Inputs!$B$9+((C780=TRUE)*(F780-Calc!F19))+B792+(ArtifactsInput!$M$24-ArtifactsInput!$M$24)*CHOOSE(ArtifactsInput!$N$24+1,10,12,14,16,18,20)+(IF(AND(Inputs!$B$38&lt;&gt;"pvp",Inputs!$B$43=0),1,IF(IF(Inputs!$B$38="pvp",15,Inputs!$B$43)-(B799)&lt;=0,1,MAX(0,IF(Inputs!$B$38="pvp",15,Inputs!$B$43)-MAX(5,B799))/(IF(Inputs!$B$38="pvp",15,Inputs!$B$43)-(B799))))*IF(AND(ArtifactsInput!$M$42,((Inputs!$B$9+((C780=TRUE)*(F780-Calc!F19))+B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769*(MIN(100,(Inputs!$B$9+((C780=TRUE)*(F780-Calc!F19))+B792+(ArtifactsInput!$M$24-ArtifactsInput!$M$24)*CHOOSE(ArtifactsInput!$N$24+1,10,12,14,16,18,20)+(IF(AND(Inputs!$B$38&lt;&gt;"pvp",Inputs!$B$43=0),1,IF(IF(Inputs!$B$38="pvp",15,Inputs!$B$43)-(B799)&lt;=0,1,MAX(0,IF(Inputs!$B$38="pvp",15,Inputs!$B$43)-MAX(5,B799))/(IF(Inputs!$B$38="pvp",15,Inputs!$B$43)-(B799))))*IF(AND(ArtifactsInput!$M$42,((Inputs!$B$9+((C780=TRUE)*(F780-Calc!F19))+B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69">
        <f>IF(C769,(H769*N769*IF(AND(Inputs!$B$38&lt;&gt;"pvp",Inputs!$B$43&gt;0),((Skills!G8*((R769-1)*IF(Skills!H8&gt;0,INT(Skills!I8/Skills!H8+0.000000001),1)+IF(Skills!H8&gt;0,INT(MIN(Skills!I8,MAX(0,MAX(0,Inputs!$B$43-B799)-((R769-1)*((IF(Inputs!$B$38="pvp",15,MAX(0.1,Skills!D8-IF(TRUE=TRUE,Inputs!$B$32,0)))*(1-IF(AND(ArtifactsInput!$M$27,Inputs!$B$4="Chapter Hunt"),CHOOSE(ArtifactsInput!$N$27+1,20,24,28,32,36,40),0)/100))/B803))))/Skills!H8+0.000000001),1)))/Inputs!$B$43),G769*Q769))*IF(Inputs!$B$38="pvp",1,(1+(Inputs!$B$21+Skills!Q8+(IF(ArtifactsInput!$M$33,CHOOSE(ArtifactsInput!$N$33+1,30,36,42,48,54,60),0))+(IF(AND(ArtifactsInput!$M$35,Inputs!$B$4&lt;&gt;"Chapter Hunt"),CHOOSE(ArtifactsInput!$N$35+1,15,18,21,24,27,30)*(1-EXP(-(0.2*B794)*5)),0)+IF(AND(ArtifactsInput!$M$22,Inputs!$B$4&lt;&gt;"Chapter Hunt"),CHOOSE(ArtifactsInput!$N$22+1,10,12,14,16,18,20)*((0*(((0.15*B794*5))^0/1)+1*(((0.15*B794*5))^1/1)+2*(((0.15*B794*5))^2/2)+3*(((0.15*B794*5))^3/6)+4*(((0.15*B794*5))^4/24)+5*(((0.15*B794*5))^5/120))/((((0.15*B794*5))^0/1)+(((0.15*B794*5))^1/1)+(((0.15*B794*5))^2/2)+(((0.15*B794*5))^3/6)+(((0.15*B794*5))^4/24)+(((0.15*B794*5))^5/120))),0))+IF(Inputs!$B$3&gt;=54,9*(C764=TRUE)*MIN(1,8*(1+Inputs!$B$34/100)*Q764),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70">
      <c r="A770">
        <f>Skills!A9</f>
        <v/>
      </c>
      <c r="B770">
        <f>Skills!B9</f>
        <v/>
      </c>
      <c r="C770">
        <f>Inputs!$B$3&gt;=105</f>
        <v/>
      </c>
      <c r="D770">
        <f>IF(Skills!C9=1,60+Inputs!$B$25+Inputs!$B$29,IF(Skills!C9=2,90+Inputs!$B$26+Inputs!$B$29,IF(Skills!C9=3,120+Inputs!$B$27+Inputs!$B$29,MAX(0,(Inputs!$B$3-100)*3)+Inputs!$B$28+Inputs!$B$29)))</f>
        <v/>
      </c>
      <c r="E770">
        <f>INDEX(FactorTable!$B$2:$Y$301, MATCH(ROUND(MIN(300,MAX(1,D770)),0), FactorTable!$A$2:$A$301,0), Skills!M9+1)</f>
        <v/>
      </c>
      <c r="F770">
        <f>IF(Skills!N9=TRUE,(Skills!L9/10)*(E770/1000),Skills!L9/10)+Skills!O9</f>
        <v/>
      </c>
      <c r="G770">
        <f>Skills!G9*IF(Skills!H9&gt;0,INT(IF(Inputs!$B$38="pvp",MIN(Skills!I9,15),Skills!I9)/Skills!H9+0.000000001),1)</f>
        <v/>
      </c>
      <c r="H770">
        <f>1-(1-Skills!J9/100)^Skills!K9</f>
        <v/>
      </c>
      <c r="I770" t="inlineStr">
        <is>
          <t>1</t>
        </is>
      </c>
      <c r="J770">
        <f>((Inputs!$B$6*(1+Inputs!$B$7/100))+(((Inputs!$B$12*(1+Inputs!$B$13/100))-(Inputs!$B$12*(1+Inputs!$B$13/100)))+0.25*(Inputs!$B$14-Inputs!$B$14))*(1+Inputs!$B$7/100))*(F770/100)</f>
        <v/>
      </c>
      <c r="K770">
        <f>J770*(1+((Inputs!$B$12*(1+Inputs!$B$13/100))*0.01+Inputs!$B$14*0.0025)/100)*(1+Inputs!$B$15/100)*(1+Inputs!$B$16/100)*(5000/(6000+Inputs!$B$42*(1-(100*(1-(1-(Inputs!$B$19+0)/100)*(1-CHOOSE(ArtifactsInput!$N$40+1,5,6,7,8,9,10)/100)^(ArtifactsInput!$M$40-ArtifactsInput!$M$40)))/100)))*(1+(Inputs!$B$24+((C787=TRUE)*(F787-Calc!F26))+B798)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IGHT_LEGS_EASTON",Inputs!$B$17+((C784=TRUE)*(F784-Calc!F23))+((C788=TRUE)*(F788-Calc!F27))+((IF(AND(Inputs!$B$38&lt;&gt;"pvp",Inputs!$B$43=0),1,IF(IF(Inputs!$B$38="pvp",15,Inputs!$B$43)-(B799)&lt;=0,1,MAX(0,IF(Inputs!$B$38="pvp",15,Inputs!$B$43)-MAX(5,B799))/(IF(Inputs!$B$38="pvp",15,Inputs!$B$43)-(B799))))*(IF(AND(ArtifactsInput!$M$42,((Inputs!$B$9+((C780=TRUE)*(F780-Calc!F19))+B792+(ArtifactsInput!$M$24-ArtifactsInput!$M$24)*CHOOSE(ArtifactsInput!$N$24+1,10,12,14,16,18,20)+IF(ArtifactsInput!$M$10,CHOOSE(ArtifactsInput!$N$10+1,15,18,21,24,27,30)*(IF(Inputs!$B$38="pvp",MIN(15,15)/15,IF(AND(Inputs!$B$38&lt;&gt;"pvp",Inputs!$B$43&gt;0),MIN(15,Inputs!$B$43)/(Inputs!$B$43),0))),0)))&gt;=100),MIN(100,((Inputs!$B$9+((C780=TRUE)*(F780-Calc!F19))+B792+(ArtifactsInput!$M$24-ArtifactsInput!$M$24)*CHOOSE(ArtifactsInput!$N$24+1,10,12,14,16,18,20)+IF(ArtifactsInput!$M$10,CHOOSE(ArtifactsInput!$N$10+1,15,18,21,24,27,30)*(IF(Inputs!$B$38="pvp",MIN(15,15)/15,IF(AND(Inputs!$B$38&lt;&gt;"pvp",Inputs!$B$43&gt;0),MIN(15,Inputs!$B$43)/(Inputs!$B$43),0))),0)))-100),0))*CHOOSE(ArtifactsInput!$N$42+1,0.6,0.72,0.84,0.96,1.08,1.2))),(Inputs!$B$18+1)+0+(IF(AND(Inputs!$B$38&lt;&gt;"pvp",Inputs!$B$43=0),1,IF(IF(Inputs!$B$38="pvp",15,Inputs!$B$43)-(B799)&lt;=0,1,MAX(0,IF(Inputs!$B$38="pvp",15,Inputs!$B$43)-MAX(5,B799))/(IF(Inputs!$B$38="pvp",15,Inputs!$B$43)-(B799))))*IF(AND(ArtifactsInput!$M$42,((Inputs!$B$9+((C780=TRUE)*(F780-Calc!F19))+B792+(ArtifactsInput!$M$24-ArtifactsInput!$M$24)*CHOOSE(ArtifactsInput!$N$24+1,10,12,14,16,18,20)+IF(ArtifactsInput!$M$10,CHOOSE(ArtifactsInput!$N$10+1,15,18,21,24,27,30)*(IF(Inputs!$B$38="pvp",MIN(15,15)/15,IF(AND(Inputs!$B$38&lt;&gt;"pvp",Inputs!$B$43&gt;0),MIN(15,Inputs!$B$43)/(Inputs!$B$43),0))),0)))&gt;=100),CHOOSE(ArtifactsInput!$N$42+1,40,48,56,64,72,80),0))))/100)*((1+(((C778=TRUE)*F778*5/7)+((C785=TRUE)*(F785-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770)</f>
        <v/>
      </c>
      <c r="L770">
        <f>K770*(MIN(Inputs!$B$22+((C783=TRUE)*(F783-Calc!F22)),(Inputs!$B$23+0+(IF(ArtifactsInput!$M$15,CHOOSE(ArtifactsInput!$N$15+1,25,30,35,40,45,50)/100*(Inputs!$B$11-Inputs!$B$11),0))))/100+(Inputs!$B$23+0+(IF(ArtifactsInput!$M$15,CHOOSE(ArtifactsInput!$N$15+1,25,30,35,40,45,50)/100*(Inputs!$B$11-Inputs!$B$11),0)))/100)/2</f>
        <v/>
      </c>
      <c r="M770">
        <f>L770*(1+(Inputs!$B$10+((C786=TRUE)*(F786-Calc!F25))+B797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70">
        <f>L770*(1-MIN((Inputs!$B$9+((C780=TRUE)*(F780-Calc!F19))+B792+(ArtifactsInput!$M$24-ArtifactsInput!$M$24)*CHOOSE(ArtifactsInput!$N$24+1,10,12,14,16,18,20)+(IF(AND(Inputs!$B$38&lt;&gt;"pvp",Inputs!$B$43=0),1,IF(IF(Inputs!$B$38="pvp",15,Inputs!$B$43)-(B799)&lt;=0,1,MAX(0,IF(Inputs!$B$38="pvp",15,Inputs!$B$43)-MAX(5,B799))/(IF(Inputs!$B$38="pvp",15,Inputs!$B$43)-(B799))))*IF(AND(ArtifactsInput!$M$42,((Inputs!$B$9+((C780=TRUE)*(F780-Calc!F19))+B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770*(MIN((Inputs!$B$9+((C780=TRUE)*(F780-Calc!F19))+B792+(ArtifactsInput!$M$24-ArtifactsInput!$M$24)*CHOOSE(ArtifactsInput!$N$24+1,10,12,14,16,18,20)+(IF(AND(Inputs!$B$38&lt;&gt;"pvp",Inputs!$B$43=0),1,IF(IF(Inputs!$B$38="pvp",15,Inputs!$B$43)-(B799)&lt;=0,1,MAX(0,IF(Inputs!$B$38="pvp",15,Inputs!$B$43)-MAX(5,B799))/(IF(Inputs!$B$38="pvp",15,Inputs!$B$43)-(B799))))*IF(AND(ArtifactsInput!$M$42,((Inputs!$B$9+((C780=TRUE)*(F780-Calc!F19))+B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70">
        <f>(1-Summary!$B$11)*T770+Summary!$B$11*V770</f>
        <v/>
      </c>
      <c r="P770">
        <f>IF(B802=0,0,O770/B802)</f>
        <v/>
      </c>
      <c r="Q770">
        <f>IFERROR(1/(IF(Inputs!$B$38="pvp",15,MAX(0.1,Skills!D9-IF(TRUE=TRUE,Inputs!$B$32,0)))*(1-IF(AND(ArtifactsInput!$M$27,Inputs!$B$4="Chapter Hunt"),CHOOSE(ArtifactsInput!$N$27+1,20,24,28,32,36,40),0)/100)),0)</f>
        <v/>
      </c>
      <c r="R770">
        <f>IF(AND(Inputs!$B$38&lt;&gt;"pvp",Inputs!$B$43&gt;0),IF(MAX(0,Inputs!$B$43-B799)&lt;=0,0,(INT(MAX(0,Inputs!$B$43-B799)/(IF(Inputs!$B$38="pvp",15,MAX(0.1,Skills!D9-IF(TRUE=TRUE,Inputs!$B$32,0)))*(1-IF(AND(ArtifactsInput!$M$27,Inputs!$B$4="Chapter Hunt"),CHOOSE(ArtifactsInput!$N$27+1,20,24,28,32,36,40),0)/100)))+1)),0)</f>
        <v/>
      </c>
      <c r="S770">
        <f>IFERROR(O770/N770,0)</f>
        <v/>
      </c>
      <c r="T770">
        <f>IF(C770,(H770*N770*IF(AND(Inputs!$B$38&lt;&gt;"pvp",Inputs!$B$43&gt;0),((Skills!G9*((R770-1)*IF(Skills!H9&gt;0,INT(Skills!I9/Skills!H9+0.000000001),1)+IF(Skills!H9&gt;0,INT(MIN(Skills!I9,MAX(0,MAX(0,Inputs!$B$43-B799)-((R770-1)*(IF(Inputs!$B$38="pvp",15,MAX(0.1,Skills!D9-IF(TRUE=TRUE,Inputs!$B$32,0)))*(1-IF(AND(ArtifactsInput!$M$27,Inputs!$B$4="Chapter Hunt"),CHOOSE(ArtifactsInput!$N$27+1,20,24,28,32,36,40),0)/100)))))/Skills!H9+0.000000001),1)))/Inputs!$B$43),G770*Q770)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Hunt"),CHOOSE(ArtifactsInput!$N$35+1,15,18,21,24,27,30)*(1-EXP(-(0.2*B794)*5)),0)+IF(AND(ArtifactsInput!$M$22,Inputs!$B$4&lt;&gt;"Chapter Hunt"),CHOOSE(ArtifactsInput!$N$22+1,10,12,14,16,18,20)*((0*(((0.15*B794*5))^0/1)+1*(((0.15*B794*5))^1/1)+2*(((0.15*B794*5))^2/2)+3*(((0.15*B794*5))^3/6)+4*(((0.15*B794*5))^4/24)+5*(((0.15*B794*5))^5/120))/((((0.15*B794*5))^0/1)+(((0.15*B794*5))^1/1)+(((0.15*B794*5))^2/2)+(((0.15*B794*5))^3/6)+(((0.15*B794*5))^4/24)+(((0.15*B794*5))^5/120))),0))+IF(Inputs!$B$3&gt;=54,9*(C764=TRUE)*MIN(1,8*(1+Inputs!$B$34/100)*Q764)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770*(1-MIN(100,(Inputs!$B$9+((C780=TRUE)*(F780-Calc!F19))+B792+(ArtifactsInput!$M$24-ArtifactsInput!$M$24)*CHOOSE(ArtifactsInput!$N$24+1,10,12,14,16,18,20)+(IF(AND(Inputs!$B$38&lt;&gt;"pvp",Inputs!$B$43=0),1,IF(IF(Inputs!$B$38="pvp",15,Inputs!$B$43)-(B799)&lt;=0,1,MAX(0,IF(Inputs!$B$38="pvp",15,Inputs!$B$43)-MAX(5,B799))/(IF(Inputs!$B$38="pvp",15,Inputs!$B$43)-(B799))))*IF(AND(ArtifactsInput!$M$42,((Inputs!$B$9+((C780=TRUE)*(F780-Calc!F19))+B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770*(MIN(100,(Inputs!$B$9+((C780=TRUE)*(F780-Calc!F19))+B792+(ArtifactsInput!$M$24-ArtifactsInput!$M$24)*CHOOSE(ArtifactsInput!$N$24+1,10,12,14,16,18,20)+(IF(AND(Inputs!$B$38&lt;&gt;"pvp",Inputs!$B$43=0),1,IF(IF(Inputs!$B$38="pvp",15,Inputs!$B$43)-(B799)&lt;=0,1,MAX(0,IF(Inputs!$B$38="pvp",15,Inputs!$B$43)-MAX(5,B799))/(IF(Inputs!$B$38="pvp",15,Inputs!$B$43)-(B799))))*IF(AND(ArtifactsInput!$M$42,((Inputs!$B$9+((C780=TRUE)*(F780-Calc!F19))+B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770*(1-MIN(100,(Inputs!$B$9+((C780=TRUE)*(F780-Calc!F19))+B792+(ArtifactsInput!$M$24-ArtifactsInput!$M$24)*CHOOSE(ArtifactsInput!$N$24+1,10,12,14,16,18,20)+(IF(AND(Inputs!$B$38&lt;&gt;"pvp",Inputs!$B$43=0),1,IF(IF(Inputs!$B$38="pvp",15,Inputs!$B$43)-(B799)&lt;=0,1,MAX(0,IF(Inputs!$B$38="pvp",15,Inputs!$B$43)-MAX(5,B799))/(IF(Inputs!$B$38="pvp",15,Inputs!$B$43)-(B799))))*IF(AND(ArtifactsInput!$M$42,((Inputs!$B$9+((C780=TRUE)*(F780-Calc!F19))+B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770*(MIN(100,(Inputs!$B$9+((C780=TRUE)*(F780-Calc!F19))+B792+(ArtifactsInput!$M$24-ArtifactsInput!$M$24)*CHOOSE(ArtifactsInput!$N$24+1,10,12,14,16,18,20)+(IF(AND(Inputs!$B$38&lt;&gt;"pvp",Inputs!$B$43=0),1,IF(IF(Inputs!$B$38="pvp",15,Inputs!$B$43)-(B799)&lt;=0,1,MAX(0,IF(Inputs!$B$38="pvp",15,Inputs!$B$43)-MAX(5,B799))/(IF(Inputs!$B$38="pvp",15,Inputs!$B$43)-(B799))))*IF(AND(ArtifactsInput!$M$42,((Inputs!$B$9+((C780=TRUE)*(F780-Calc!F19))+B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70">
        <f>IF(C770,(H770*N770*IF(AND(Inputs!$B$38&lt;&gt;"pvp",Inputs!$B$43&gt;0),((Skills!G9*((R770-1)*IF(Skills!H9&gt;0,INT(Skills!I9/Skills!H9+0.000000001),1)+IF(Skills!H9&gt;0,INT(MIN(Skills!I9,MAX(0,MAX(0,Inputs!$B$43-B799)-((R770-1)*(IF(Inputs!$B$38="pvp",15,MAX(0.1,Skills!D9-IF(TRUE=TRUE,Inputs!$B$32,0)))*(1-IF(AND(ArtifactsInput!$M$27,Inputs!$B$4="Chapter Hunt"),CHOOSE(ArtifactsInput!$N$27+1,20,24,28,32,36,40),0)/100)))))/Skills!H9+0.000000001),1)))/Inputs!$B$43),G770*Q770))*IF(Inputs!$B$38="pvp",1,(1+(Inputs!$B$21+Skills!Q9+(IF(ArtifactsInput!$M$33,CHOOSE(ArtifactsInput!$N$33+1,30,36,42,48,54,60),0))+(IF(AND(ArtifactsInput!$M$35,Inputs!$B$4&lt;&gt;"Chapter Hunt"),CHOOSE(ArtifactsInput!$N$35+1,15,18,21,24,27,30)*(1-EXP(-(0.2*B794)*5)),0)+IF(AND(ArtifactsInput!$M$22,Inputs!$B$4&lt;&gt;"Chapter Hunt"),CHOOSE(ArtifactsInput!$N$22+1,10,12,14,16,18,20)*((0*(((0.15*B794*5))^0/1)+1*(((0.15*B794*5))^1/1)+2*(((0.15*B794*5))^2/2)+3*(((0.15*B794*5))^3/6)+4*(((0.15*B794*5))^4/24)+5*(((0.15*B794*5))^5/120))/((((0.15*B794*5))^0/1)+(((0.15*B794*5))^1/1)+(((0.15*B794*5))^2/2)+(((0.15*B794*5))^3/6)+(((0.15*B794*5))^4/24)+(((0.15*B794*5))^5/120))),0))+IF(Inputs!$B$3&gt;=54,9*(C764=TRUE)*MIN(1,8*(1+Inputs!$B$34/100)*Q764),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71">
      <c r="A771">
        <f>Skills!A10</f>
        <v/>
      </c>
      <c r="B771">
        <f>Skills!B10</f>
        <v/>
      </c>
      <c r="C771">
        <f>Inputs!$B$3&gt;=113</f>
        <v/>
      </c>
      <c r="D771">
        <f>IF(Skills!C10=1,60+Inputs!$B$25+Inputs!$B$29,IF(Skills!C10=2,90+Inputs!$B$26+Inputs!$B$29,IF(Skills!C10=3,120+Inputs!$B$27+Inputs!$B$29,MAX(0,(Inputs!$B$3-100)*3)+Inputs!$B$28+Inputs!$B$29)))</f>
        <v/>
      </c>
      <c r="E771">
        <f>INDEX(FactorTable!$B$2:$Y$301, MATCH(ROUND(MIN(300,MAX(1,D771)),0), FactorTable!$A$2:$A$301,0), Skills!M10+1)</f>
        <v/>
      </c>
      <c r="F771">
        <f>IF(Skills!N10=TRUE,(Skills!L10/10)*(E771/1000),Skills!L10/10)+Skills!O10</f>
        <v/>
      </c>
      <c r="G771">
        <f>Skills!G10*IF(Skills!H10&gt;0,INT(IF(Inputs!$B$38="pvp",MIN(Skills!I10,15),Skills!I10)/Skills!H10+0.000000001),1)</f>
        <v/>
      </c>
      <c r="H771">
        <f>1-(1-Skills!J10/100)^Skills!K10</f>
        <v/>
      </c>
      <c r="I771" t="inlineStr">
        <is>
          <t>1</t>
        </is>
      </c>
      <c r="J771">
        <f>((Inputs!$B$6*(1+Inputs!$B$7/100))+(((Inputs!$B$12*(1+Inputs!$B$13/100))-(Inputs!$B$12*(1+Inputs!$B$13/100)))+0.25*(Inputs!$B$14-Inputs!$B$14))*(1+Inputs!$B$7/100))*(F771/100)</f>
        <v/>
      </c>
      <c r="K771">
        <f>J771*(1+((Inputs!$B$12*(1+Inputs!$B$13/100))*0.01+Inputs!$B$14*0.0025)/100)*(1+Inputs!$B$15/100)*(1+Inputs!$B$16/100)*(5000/(6000+Inputs!$B$42*(1-(100*(1-(1-(Inputs!$B$19+0)/100)*(1-CHOOSE(ArtifactsInput!$N$40+1,5,6,7,8,9,10)/100)^(ArtifactsInput!$M$40-ArtifactsInput!$M$40)))/100)))*(1+(Inputs!$B$24+((C787=TRUE)*(F787-Calc!F26))+B798)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IGHT_LEGS_EASTON",Inputs!$B$17+((C784=TRUE)*(F784-Calc!F23))+((C788=TRUE)*(F788-Calc!F27))+((IF(AND(Inputs!$B$38&lt;&gt;"pvp",Inputs!$B$43=0),1,IF(IF(Inputs!$B$38="pvp",15,Inputs!$B$43)-(B799)&lt;=0,1,MAX(0,IF(Inputs!$B$38="pvp",15,Inputs!$B$43)-MAX(5,B799))/(IF(Inputs!$B$38="pvp",15,Inputs!$B$43)-(B799))))*(IF(AND(ArtifactsInput!$M$42,((Inputs!$B$9+((C780=TRUE)*(F780-Calc!F19))+B792+(ArtifactsInput!$M$24-ArtifactsInput!$M$24)*CHOOSE(ArtifactsInput!$N$24+1,10,12,14,16,18,20)+IF(ArtifactsInput!$M$10,CHOOSE(ArtifactsInput!$N$10+1,15,18,21,24,27,30)*(IF(Inputs!$B$38="pvp",MIN(15,15)/15,IF(AND(Inputs!$B$38&lt;&gt;"pvp",Inputs!$B$43&gt;0),MIN(15,Inputs!$B$43)/(Inputs!$B$43),0))),0)))&gt;=100),MIN(100,((Inputs!$B$9+((C780=TRUE)*(F780-Calc!F19))+B792+(ArtifactsInput!$M$24-ArtifactsInput!$M$24)*CHOOSE(ArtifactsInput!$N$24+1,10,12,14,16,18,20)+IF(ArtifactsInput!$M$10,CHOOSE(ArtifactsInput!$N$10+1,15,18,21,24,27,30)*(IF(Inputs!$B$38="pvp",MIN(15,15)/15,IF(AND(Inputs!$B$38&lt;&gt;"pvp",Inputs!$B$43&gt;0),MIN(15,Inputs!$B$43)/(Inputs!$B$43),0))),0)))-100),0))*CHOOSE(ArtifactsInput!$N$42+1,0.6,0.72,0.84,0.96,1.08,1.2))),(Inputs!$B$18+1)+0+(IF(AND(Inputs!$B$38&lt;&gt;"pvp",Inputs!$B$43=0),1,IF(IF(Inputs!$B$38="pvp",15,Inputs!$B$43)-(B799)&lt;=0,1,MAX(0,IF(Inputs!$B$38="pvp",15,Inputs!$B$43)-MAX(5,B799))/(IF(Inputs!$B$38="pvp",15,Inputs!$B$43)-(B799))))*IF(AND(ArtifactsInput!$M$42,((Inputs!$B$9+((C780=TRUE)*(F780-Calc!F19))+B792+(ArtifactsInput!$M$24-ArtifactsInput!$M$24)*CHOOSE(ArtifactsInput!$N$24+1,10,12,14,16,18,20)+IF(ArtifactsInput!$M$10,CHOOSE(ArtifactsInput!$N$10+1,15,18,21,24,27,30)*(IF(Inputs!$B$38="pvp",MIN(15,15)/15,IF(AND(Inputs!$B$38&lt;&gt;"pvp",Inputs!$B$43&gt;0),MIN(15,Inputs!$B$43)/(Inputs!$B$43),0))),0)))&gt;=100),CHOOSE(ArtifactsInput!$N$42+1,40,48,56,64,72,80),0))))/100)*((1+(((C778=TRUE)*F778*5/7)+((C785=TRUE)*(F785-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771)</f>
        <v/>
      </c>
      <c r="L771">
        <f>K771*(MIN(Inputs!$B$22+((C783=TRUE)*(F783-Calc!F22)),(Inputs!$B$23+0+(IF(ArtifactsInput!$M$15,CHOOSE(ArtifactsInput!$N$15+1,25,30,35,40,45,50)/100*(Inputs!$B$11-Inputs!$B$11),0))))/100+(Inputs!$B$23+0+(IF(ArtifactsInput!$M$15,CHOOSE(ArtifactsInput!$N$15+1,25,30,35,40,45,50)/100*(Inputs!$B$11-Inputs!$B$11),0)))/100)/2</f>
        <v/>
      </c>
      <c r="M771">
        <f>L771*(1+(Inputs!$B$10+((C786=TRUE)*(F786-Calc!F25))+B797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71">
        <f>L771*(1-MIN((Inputs!$B$9+((C780=TRUE)*(F780-Calc!F19))+B792+(ArtifactsInput!$M$24-ArtifactsInput!$M$24)*CHOOSE(ArtifactsInput!$N$24+1,10,12,14,16,18,20)+(IF(AND(Inputs!$B$38&lt;&gt;"pvp",Inputs!$B$43=0),1,IF(IF(Inputs!$B$38="pvp",15,Inputs!$B$43)-(B799)&lt;=0,1,MAX(0,IF(Inputs!$B$38="pvp",15,Inputs!$B$43)-MAX(5,B799))/(IF(Inputs!$B$38="pvp",15,Inputs!$B$43)-(B799))))*IF(AND(ArtifactsInput!$M$42,((Inputs!$B$9+((C780=TRUE)*(F780-Calc!F19))+B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771*(MIN((Inputs!$B$9+((C780=TRUE)*(F780-Calc!F19))+B792+(ArtifactsInput!$M$24-ArtifactsInput!$M$24)*CHOOSE(ArtifactsInput!$N$24+1,10,12,14,16,18,20)+(IF(AND(Inputs!$B$38&lt;&gt;"pvp",Inputs!$B$43=0),1,IF(IF(Inputs!$B$38="pvp",15,Inputs!$B$43)-(B799)&lt;=0,1,MAX(0,IF(Inputs!$B$38="pvp",15,Inputs!$B$43)-MAX(5,B799))/(IF(Inputs!$B$38="pvp",15,Inputs!$B$43)-(B799))))*IF(AND(ArtifactsInput!$M$42,((Inputs!$B$9+((C780=TRUE)*(F780-Calc!F19))+B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71">
        <f>(1-Summary!$B$11)*T771+Summary!$B$11*V771</f>
        <v/>
      </c>
      <c r="P771">
        <f>IF(B802=0,0,O771/B802)</f>
        <v/>
      </c>
      <c r="Q771" t="n">
        <v>0</v>
      </c>
      <c r="R771" t="n">
        <v>0</v>
      </c>
      <c r="S771">
        <f>IFERROR(O771/N771,0)</f>
        <v/>
      </c>
      <c r="T771">
        <f>IF(C771,((H771*B804)/(1+Skills!H10*H771*B804)*N771)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Hunt"),CHOOSE(ArtifactsInput!$N$35+1,15,18,21,24,27,30)*(1-EXP(-(0.2*B794)*5)),0)+IF(AND(ArtifactsInput!$M$22,Inputs!$B$4&lt;&gt;"Chapter Hunt"),CHOOSE(ArtifactsInput!$N$22+1,10,12,14,16,18,20)*((0*(((0.15*B794*5))^0/1)+1*(((0.15*B794*5))^1/1)+2*(((0.15*B794*5))^2/2)+3*(((0.15*B794*5))^3/6)+4*(((0.15*B794*5))^4/24)+5*(((0.15*B794*5))^5/120))/((((0.15*B794*5))^0/1)+(((0.15*B794*5))^1/1)+(((0.15*B794*5))^2/2)+(((0.15*B794*5))^3/6)+(((0.15*B794*5))^4/24)+(((0.15*B794*5))^5/120))),0))+IF(Inputs!$B$3&gt;=54,9*(C764=TRUE)*MIN(1,8*(1+Inputs!$B$34/100)*Q764)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771*(1-MIN(100,(Inputs!$B$9+((C780=TRUE)*(F780-Calc!F19))+B792+(ArtifactsInput!$M$24-ArtifactsInput!$M$24)*CHOOSE(ArtifactsInput!$N$24+1,10,12,14,16,18,20)+(IF(AND(Inputs!$B$38&lt;&gt;"pvp",Inputs!$B$43=0),1,IF(IF(Inputs!$B$38="pvp",15,Inputs!$B$43)-(B799)&lt;=0,1,MAX(0,IF(Inputs!$B$38="pvp",15,Inputs!$B$43)-MAX(5,B799))/(IF(Inputs!$B$38="pvp",15,Inputs!$B$43)-(B799))))*IF(AND(ArtifactsInput!$M$42,((Inputs!$B$9+((C780=TRUE)*(F780-Calc!F19))+B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771*(MIN(100,(Inputs!$B$9+((C780=TRUE)*(F780-Calc!F19))+B792+(ArtifactsInput!$M$24-ArtifactsInput!$M$24)*CHOOSE(ArtifactsInput!$N$24+1,10,12,14,16,18,20)+(IF(AND(Inputs!$B$38&lt;&gt;"pvp",Inputs!$B$43=0),1,IF(IF(Inputs!$B$38="pvp",15,Inputs!$B$43)-(B799)&lt;=0,1,MAX(0,IF(Inputs!$B$38="pvp",15,Inputs!$B$43)-MAX(5,B799))/(IF(Inputs!$B$38="pvp",15,Inputs!$B$43)-(B799))))*IF(AND(ArtifactsInput!$M$42,((Inputs!$B$9+((C780=TRUE)*(F780-Calc!F19))+B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771*(1-MIN(100,(Inputs!$B$9+((C780=TRUE)*(F780-Calc!F19))+B792+(ArtifactsInput!$M$24-ArtifactsInput!$M$24)*CHOOSE(ArtifactsInput!$N$24+1,10,12,14,16,18,20)+(IF(AND(Inputs!$B$38&lt;&gt;"pvp",Inputs!$B$43=0),1,IF(IF(Inputs!$B$38="pvp",15,Inputs!$B$43)-(B799)&lt;=0,1,MAX(0,IF(Inputs!$B$38="pvp",15,Inputs!$B$43)-MAX(5,B799))/(IF(Inputs!$B$38="pvp",15,Inputs!$B$43)-(B799))))*IF(AND(ArtifactsInput!$M$42,((Inputs!$B$9+((C780=TRUE)*(F780-Calc!F19))+B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771*(MIN(100,(Inputs!$B$9+((C780=TRUE)*(F780-Calc!F19))+B792+(ArtifactsInput!$M$24-ArtifactsInput!$M$24)*CHOOSE(ArtifactsInput!$N$24+1,10,12,14,16,18,20)+(IF(AND(Inputs!$B$38&lt;&gt;"pvp",Inputs!$B$43=0),1,IF(IF(Inputs!$B$38="pvp",15,Inputs!$B$43)-(B799)&lt;=0,1,MAX(0,IF(Inputs!$B$38="pvp",15,Inputs!$B$43)-MAX(5,B799))/(IF(Inputs!$B$38="pvp",15,Inputs!$B$43)-(B799))))*IF(AND(ArtifactsInput!$M$42,((Inputs!$B$9+((C780=TRUE)*(F780-Calc!F19))+B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71">
        <f>IF(C771,((H771*B804)/(1+Skills!H10*H771*B804)*N771)*IF(Inputs!$B$38="pvp",1,(1+(Inputs!$B$21+Skills!Q10+(IF(ArtifactsInput!$M$33,CHOOSE(ArtifactsInput!$N$33+1,30,36,42,48,54,60),0))+(IF(AND(ArtifactsInput!$M$35,Inputs!$B$4&lt;&gt;"Chapter Hunt"),CHOOSE(ArtifactsInput!$N$35+1,15,18,21,24,27,30)*(1-EXP(-(0.2*B794)*5)),0)+IF(AND(ArtifactsInput!$M$22,Inputs!$B$4&lt;&gt;"Chapter Hunt"),CHOOSE(ArtifactsInput!$N$22+1,10,12,14,16,18,20)*((0*(((0.15*B794*5))^0/1)+1*(((0.15*B794*5))^1/1)+2*(((0.15*B794*5))^2/2)+3*(((0.15*B794*5))^3/6)+4*(((0.15*B794*5))^4/24)+5*(((0.15*B794*5))^5/120))/((((0.15*B794*5))^0/1)+(((0.15*B794*5))^1/1)+(((0.15*B794*5))^2/2)+(((0.15*B794*5))^3/6)+(((0.15*B794*5))^4/24)+(((0.15*B794*5))^5/120))),0))+IF(Inputs!$B$3&gt;=54,9*(C764=TRUE)*MIN(1,8*(1+Inputs!$B$34/100)*Q764),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72">
      <c r="A772">
        <f>Skills!A11</f>
        <v/>
      </c>
      <c r="B772">
        <f>Skills!B11</f>
        <v/>
      </c>
      <c r="C772">
        <f>Inputs!$B$3&gt;=117</f>
        <v/>
      </c>
      <c r="D772">
        <f>IF(Skills!C11=1,60+Inputs!$B$25+Inputs!$B$29,IF(Skills!C11=2,90+Inputs!$B$26+Inputs!$B$29,IF(Skills!C11=3,120+Inputs!$B$27+Inputs!$B$29,MAX(0,(Inputs!$B$3-100)*3)+Inputs!$B$28+Inputs!$B$29)))</f>
        <v/>
      </c>
      <c r="E772">
        <f>INDEX(FactorTable!$B$2:$Y$301, MATCH(ROUND(MIN(300,MAX(1,D772)),0), FactorTable!$A$2:$A$301,0), Skills!M11+1)</f>
        <v/>
      </c>
      <c r="F772">
        <f>IF(Skills!N11=TRUE,(Skills!L11/10)*(E772/1000),Skills!L11/10)+Skills!O11</f>
        <v/>
      </c>
      <c r="G772">
        <f>Skills!G11*IF(Skills!H11&gt;0,INT(IF(Inputs!$B$38="pvp",MIN(Skills!I11,15),Skills!I11)/Skills!H11+0.000000001),1)</f>
        <v/>
      </c>
      <c r="H772">
        <f>1-(1-Skills!J11/100)^Skills!K11</f>
        <v/>
      </c>
      <c r="I772" t="inlineStr">
        <is>
          <t>1</t>
        </is>
      </c>
      <c r="J772">
        <f>((Inputs!$B$6*(1+Inputs!$B$7/100))+(((Inputs!$B$12*(1+Inputs!$B$13/100))-(Inputs!$B$12*(1+Inputs!$B$13/100)))+0.25*(Inputs!$B$14-Inputs!$B$14))*(1+Inputs!$B$7/100))*(F772/100)</f>
        <v/>
      </c>
      <c r="K772">
        <f>J772*(1+((Inputs!$B$12*(1+Inputs!$B$13/100))*0.01+Inputs!$B$14*0.0025)/100)*(1+Inputs!$B$15/100)*(1+Inputs!$B$16/100)*(5000/(6000+Inputs!$B$42*(1-(100*(1-(1-(Inputs!$B$19+0)/100)*(1-CHOOSE(ArtifactsInput!$N$40+1,5,6,7,8,9,10)/100)^(ArtifactsInput!$M$40-ArtifactsInput!$M$40)))/100)))*(1+(Inputs!$B$24+((C787=TRUE)*(F787-Calc!F26))+B798)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IGHT_LEGS_EASTON",Inputs!$B$17+((C784=TRUE)*(F784-Calc!F23))+((C788=TRUE)*(F788-Calc!F27))+((IF(AND(Inputs!$B$38&lt;&gt;"pvp",Inputs!$B$43=0),1,IF(IF(Inputs!$B$38="pvp",15,Inputs!$B$43)-(B799)&lt;=0,1,MAX(0,IF(Inputs!$B$38="pvp",15,Inputs!$B$43)-MAX(5,B799))/(IF(Inputs!$B$38="pvp",15,Inputs!$B$43)-(B799))))*(IF(AND(ArtifactsInput!$M$42,((Inputs!$B$9+((C780=TRUE)*(F780-Calc!F19))+B792+(ArtifactsInput!$M$24-ArtifactsInput!$M$24)*CHOOSE(ArtifactsInput!$N$24+1,10,12,14,16,18,20)+IF(ArtifactsInput!$M$10,CHOOSE(ArtifactsInput!$N$10+1,15,18,21,24,27,30)*(IF(Inputs!$B$38="pvp",MIN(15,15)/15,IF(AND(Inputs!$B$38&lt;&gt;"pvp",Inputs!$B$43&gt;0),MIN(15,Inputs!$B$43)/(Inputs!$B$43),0))),0)))&gt;=100),MIN(100,((Inputs!$B$9+((C780=TRUE)*(F780-Calc!F19))+B792+(ArtifactsInput!$M$24-ArtifactsInput!$M$24)*CHOOSE(ArtifactsInput!$N$24+1,10,12,14,16,18,20)+IF(ArtifactsInput!$M$10,CHOOSE(ArtifactsInput!$N$10+1,15,18,21,24,27,30)*(IF(Inputs!$B$38="pvp",MIN(15,15)/15,IF(AND(Inputs!$B$38&lt;&gt;"pvp",Inputs!$B$43&gt;0),MIN(15,Inputs!$B$43)/(Inputs!$B$43),0))),0)))-100),0))*CHOOSE(ArtifactsInput!$N$42+1,0.6,0.72,0.84,0.96,1.08,1.2))),(Inputs!$B$18+1)+0+(IF(AND(Inputs!$B$38&lt;&gt;"pvp",Inputs!$B$43=0),1,IF(IF(Inputs!$B$38="pvp",15,Inputs!$B$43)-(B799)&lt;=0,1,MAX(0,IF(Inputs!$B$38="pvp",15,Inputs!$B$43)-MAX(5,B799))/(IF(Inputs!$B$38="pvp",15,Inputs!$B$43)-(B799))))*IF(AND(ArtifactsInput!$M$42,((Inputs!$B$9+((C780=TRUE)*(F780-Calc!F19))+B792+(ArtifactsInput!$M$24-ArtifactsInput!$M$24)*CHOOSE(ArtifactsInput!$N$24+1,10,12,14,16,18,20)+IF(ArtifactsInput!$M$10,CHOOSE(ArtifactsInput!$N$10+1,15,18,21,24,27,30)*(IF(Inputs!$B$38="pvp",MIN(15,15)/15,IF(AND(Inputs!$B$38&lt;&gt;"pvp",Inputs!$B$43&gt;0),MIN(15,Inputs!$B$43)/(Inputs!$B$43),0))),0)))&gt;=100),CHOOSE(ArtifactsInput!$N$42+1,40,48,56,64,72,80),0))))/100)*((1+(((C778=TRUE)*F778*5/7)+((C785=TRUE)*(F785-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772)</f>
        <v/>
      </c>
      <c r="L772">
        <f>K772*(MIN(Inputs!$B$22+((C783=TRUE)*(F783-Calc!F22)),(Inputs!$B$23+0+(IF(ArtifactsInput!$M$15,CHOOSE(ArtifactsInput!$N$15+1,25,30,35,40,45,50)/100*(Inputs!$B$11-Inputs!$B$11),0))))/100+(Inputs!$B$23+0+(IF(ArtifactsInput!$M$15,CHOOSE(ArtifactsInput!$N$15+1,25,30,35,40,45,50)/100*(Inputs!$B$11-Inputs!$B$11),0)))/100)/2</f>
        <v/>
      </c>
      <c r="M772">
        <f>L772*(1+(Inputs!$B$10+((C786=TRUE)*(F786-Calc!F25))+B797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72">
        <f>L772*(1-MIN((Inputs!$B$9+((C780=TRUE)*(F780-Calc!F19))+B792+(ArtifactsInput!$M$24-ArtifactsInput!$M$24)*CHOOSE(ArtifactsInput!$N$24+1,10,12,14,16,18,20)+(IF(AND(Inputs!$B$38&lt;&gt;"pvp",Inputs!$B$43=0),1,IF(IF(Inputs!$B$38="pvp",15,Inputs!$B$43)-(B799)&lt;=0,1,MAX(0,IF(Inputs!$B$38="pvp",15,Inputs!$B$43)-MAX(5,B799))/(IF(Inputs!$B$38="pvp",15,Inputs!$B$43)-(B799))))*IF(AND(ArtifactsInput!$M$42,((Inputs!$B$9+((C780=TRUE)*(F780-Calc!F19))+B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772*(MIN((Inputs!$B$9+((C780=TRUE)*(F780-Calc!F19))+B792+(ArtifactsInput!$M$24-ArtifactsInput!$M$24)*CHOOSE(ArtifactsInput!$N$24+1,10,12,14,16,18,20)+(IF(AND(Inputs!$B$38&lt;&gt;"pvp",Inputs!$B$43=0),1,IF(IF(Inputs!$B$38="pvp",15,Inputs!$B$43)-(B799)&lt;=0,1,MAX(0,IF(Inputs!$B$38="pvp",15,Inputs!$B$43)-MAX(5,B799))/(IF(Inputs!$B$38="pvp",15,Inputs!$B$43)-(B799))))*IF(AND(ArtifactsInput!$M$42,((Inputs!$B$9+((C780=TRUE)*(F780-Calc!F19))+B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72">
        <f>(1-Summary!$B$11)*T772+Summary!$B$11*V772</f>
        <v/>
      </c>
      <c r="P772">
        <f>IF(B802=0,0,O772/B802)</f>
        <v/>
      </c>
      <c r="Q772">
        <f>IFERROR(1/((IF(Inputs!$B$38="pvp",15,MAX(0.1,Skills!D11-IF(TRUE=TRUE,Inputs!$B$32,0)))*(1-IF(AND(ArtifactsInput!$M$27,Inputs!$B$4="Chapter Hunt"),CHOOSE(ArtifactsInput!$N$27+1,20,24,28,32,36,40),0)/100))/B803),0)</f>
        <v/>
      </c>
      <c r="R772">
        <f>IF(AND(Inputs!$B$38&lt;&gt;"pvp",Inputs!$B$43&gt;0),IF(MAX(0,Inputs!$B$43-B799)&lt;=0,0,(INT(MAX(0,Inputs!$B$43-B799)/((IF(Inputs!$B$38="pvp",15,MAX(0.1,Skills!D11-IF(TRUE=TRUE,Inputs!$B$32,0)))*(1-IF(AND(ArtifactsInput!$M$27,Inputs!$B$4="Chapter Hunt"),CHOOSE(ArtifactsInput!$N$27+1,20,24,28,32,36,40),0)/100))/B803))+1)),0)</f>
        <v/>
      </c>
      <c r="S772">
        <f>IFERROR(O772/N772,0)</f>
        <v/>
      </c>
      <c r="T772">
        <f>IF(C772,(H772*N772*IF(AND(Inputs!$B$38&lt;&gt;"pvp",Inputs!$B$43&gt;0),((Skills!G11*((R772-1)*IF(Skills!H11&gt;0,INT(Skills!I11/Skills!H11+0.000000001),1)+IF(Skills!H11&gt;0,INT(MIN(Skills!I11,MAX(0,MAX(0,Inputs!$B$43-B799)-((R772-1)*((IF(Inputs!$B$38="pvp",15,MAX(0.1,Skills!D11-IF(TRUE=TRUE,Inputs!$B$32,0)))*(1-IF(AND(ArtifactsInput!$M$27,Inputs!$B$4="Chapter Hunt"),CHOOSE(ArtifactsInput!$N$27+1,20,24,28,32,36,40),0)/100))/B803))))/Skills!H11+0.000000001),1)))/Inputs!$B$43),G772*Q772)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Hunt"),CHOOSE(ArtifactsInput!$N$35+1,15,18,21,24,27,30)*(1-EXP(-(0.2*B794)*5)),0)+IF(AND(ArtifactsInput!$M$22,Inputs!$B$4&lt;&gt;"Chapter Hunt"),CHOOSE(ArtifactsInput!$N$22+1,10,12,14,16,18,20)*((0*(((0.15*B794*5))^0/1)+1*(((0.15*B794*5))^1/1)+2*(((0.15*B794*5))^2/2)+3*(((0.15*B794*5))^3/6)+4*(((0.15*B794*5))^4/24)+5*(((0.15*B794*5))^5/120))/((((0.15*B794*5))^0/1)+(((0.15*B794*5))^1/1)+(((0.15*B794*5))^2/2)+(((0.15*B794*5))^3/6)+(((0.15*B794*5))^4/24)+(((0.15*B794*5))^5/120))),0))+IF(Inputs!$B$3&gt;=54,9*(C764=TRUE)*MIN(1,8*(1+Inputs!$B$34/100)*Q764)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772*(1-MIN(100,(Inputs!$B$9+((C780=TRUE)*(F780-Calc!F19))+B792+(ArtifactsInput!$M$24-ArtifactsInput!$M$24)*CHOOSE(ArtifactsInput!$N$24+1,10,12,14,16,18,20)+(IF(AND(Inputs!$B$38&lt;&gt;"pvp",Inputs!$B$43=0),1,IF(IF(Inputs!$B$38="pvp",15,Inputs!$B$43)-(B799)&lt;=0,1,MAX(0,IF(Inputs!$B$38="pvp",15,Inputs!$B$43)-MAX(5,B799))/(IF(Inputs!$B$38="pvp",15,Inputs!$B$43)-(B799))))*IF(AND(ArtifactsInput!$M$42,((Inputs!$B$9+((C780=TRUE)*(F780-Calc!F19))+B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772*(MIN(100,(Inputs!$B$9+((C780=TRUE)*(F780-Calc!F19))+B792+(ArtifactsInput!$M$24-ArtifactsInput!$M$24)*CHOOSE(ArtifactsInput!$N$24+1,10,12,14,16,18,20)+(IF(AND(Inputs!$B$38&lt;&gt;"pvp",Inputs!$B$43=0),1,IF(IF(Inputs!$B$38="pvp",15,Inputs!$B$43)-(B799)&lt;=0,1,MAX(0,IF(Inputs!$B$38="pvp",15,Inputs!$B$43)-MAX(5,B799))/(IF(Inputs!$B$38="pvp",15,Inputs!$B$43)-(B799))))*IF(AND(ArtifactsInput!$M$42,((Inputs!$B$9+((C780=TRUE)*(F780-Calc!F19))+B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772*(1-MIN(100,(Inputs!$B$9+((C780=TRUE)*(F780-Calc!F19))+B792+(ArtifactsInput!$M$24-ArtifactsInput!$M$24)*CHOOSE(ArtifactsInput!$N$24+1,10,12,14,16,18,20)+(IF(AND(Inputs!$B$38&lt;&gt;"pvp",Inputs!$B$43=0),1,IF(IF(Inputs!$B$38="pvp",15,Inputs!$B$43)-(B799)&lt;=0,1,MAX(0,IF(Inputs!$B$38="pvp",15,Inputs!$B$43)-MAX(5,B799))/(IF(Inputs!$B$38="pvp",15,Inputs!$B$43)-(B799))))*IF(AND(ArtifactsInput!$M$42,((Inputs!$B$9+((C780=TRUE)*(F780-Calc!F19))+B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772*(MIN(100,(Inputs!$B$9+((C780=TRUE)*(F780-Calc!F19))+B792+(ArtifactsInput!$M$24-ArtifactsInput!$M$24)*CHOOSE(ArtifactsInput!$N$24+1,10,12,14,16,18,20)+(IF(AND(Inputs!$B$38&lt;&gt;"pvp",Inputs!$B$43=0),1,IF(IF(Inputs!$B$38="pvp",15,Inputs!$B$43)-(B799)&lt;=0,1,MAX(0,IF(Inputs!$B$38="pvp",15,Inputs!$B$43)-MAX(5,B799))/(IF(Inputs!$B$38="pvp",15,Inputs!$B$43)-(B799))))*IF(AND(ArtifactsInput!$M$42,((Inputs!$B$9+((C780=TRUE)*(F780-Calc!F19))+B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72">
        <f>IF(C772,(H772*N772*IF(AND(Inputs!$B$38&lt;&gt;"pvp",Inputs!$B$43&gt;0),((Skills!G11*((R772-1)*IF(Skills!H11&gt;0,INT(Skills!I11/Skills!H11+0.000000001),1)+IF(Skills!H11&gt;0,INT(MIN(Skills!I11,MAX(0,MAX(0,Inputs!$B$43-B799)-((R772-1)*((IF(Inputs!$B$38="pvp",15,MAX(0.1,Skills!D11-IF(TRUE=TRUE,Inputs!$B$32,0)))*(1-IF(AND(ArtifactsInput!$M$27,Inputs!$B$4="Chapter Hunt"),CHOOSE(ArtifactsInput!$N$27+1,20,24,28,32,36,40),0)/100))/B803))))/Skills!H11+0.000000001),1)))/Inputs!$B$43),G772*Q772))*IF(Inputs!$B$38="pvp",1,(1+(Inputs!$B$21+Skills!Q11+(IF(ArtifactsInput!$M$33,CHOOSE(ArtifactsInput!$N$33+1,30,36,42,48,54,60),0))+(IF(AND(ArtifactsInput!$M$35,Inputs!$B$4&lt;&gt;"Chapter Hunt"),CHOOSE(ArtifactsInput!$N$35+1,15,18,21,24,27,30)*(1-EXP(-(0.2*B794)*5)),0)+IF(AND(ArtifactsInput!$M$22,Inputs!$B$4&lt;&gt;"Chapter Hunt"),CHOOSE(ArtifactsInput!$N$22+1,10,12,14,16,18,20)*((0*(((0.15*B794*5))^0/1)+1*(((0.15*B794*5))^1/1)+2*(((0.15*B794*5))^2/2)+3*(((0.15*B794*5))^3/6)+4*(((0.15*B794*5))^4/24)+5*(((0.15*B794*5))^5/120))/((((0.15*B794*5))^0/1)+(((0.15*B794*5))^1/1)+(((0.15*B794*5))^2/2)+(((0.15*B794*5))^3/6)+(((0.15*B794*5))^4/24)+(((0.15*B794*5))^5/120))),0))+IF(Inputs!$B$3&gt;=54,9*(C764=TRUE)*MIN(1,8*(1+Inputs!$B$34/100)*Q764),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73">
      <c r="A773">
        <f>Skills!A12</f>
        <v/>
      </c>
      <c r="B773">
        <f>Skills!B12</f>
        <v/>
      </c>
      <c r="C773">
        <f>Inputs!$B$3&gt;=110</f>
        <v/>
      </c>
      <c r="D773">
        <f>IF(Skills!C12=1,60+Inputs!$B$25+Inputs!$B$29,IF(Skills!C12=2,90+Inputs!$B$26+Inputs!$B$29,IF(Skills!C12=3,120+Inputs!$B$27+Inputs!$B$29,MAX(0,(Inputs!$B$3-100)*3)+Inputs!$B$28+Inputs!$B$29)))</f>
        <v/>
      </c>
      <c r="E773">
        <f>INDEX(FactorTable!$B$2:$Y$301, MATCH(ROUND(MIN(300,MAX(1,D773)),0), FactorTable!$A$2:$A$301,0), Skills!M12+1)</f>
        <v/>
      </c>
      <c r="F773">
        <f>IF(Skills!N12=TRUE,(Skills!L12/10)*(E773/1000),Skills!L12/10)+Skills!O12</f>
        <v/>
      </c>
      <c r="G773">
        <f>Skills!G12*IF(Skills!H12&gt;0,INT(IF(Inputs!$B$38="pvp",MIN(Skills!I12,15),Skills!I12)/Skills!H12+0.000000001),1)</f>
        <v/>
      </c>
      <c r="H773">
        <f>1-(1-Skills!J12/100)^Skills!K12</f>
        <v/>
      </c>
      <c r="I773" t="inlineStr">
        <is>
          <t>1</t>
        </is>
      </c>
      <c r="J773">
        <f>((Inputs!$B$6*(1+Inputs!$B$7/100))+(((Inputs!$B$12*(1+Inputs!$B$13/100))-(Inputs!$B$12*(1+Inputs!$B$13/100)))+0.25*(Inputs!$B$14-Inputs!$B$14))*(1+Inputs!$B$7/100))*(F773/100)</f>
        <v/>
      </c>
      <c r="K773">
        <f>J773*(1+((Inputs!$B$12*(1+Inputs!$B$13/100))*0.01+Inputs!$B$14*0.0025)/100)*(1+Inputs!$B$15/100)*(1+Inputs!$B$16/100)*(5000/(6000+Inputs!$B$42*(1-(100*(1-(1-(Inputs!$B$19+0)/100)*(1-CHOOSE(ArtifactsInput!$N$40+1,5,6,7,8,9,10)/100)^(ArtifactsInput!$M$40-ArtifactsInput!$M$40)))/100)))*(1+(Inputs!$B$24+((C787=TRUE)*(F787-Calc!F26))+B798)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EIGHT_LEGS_EASTON",Inputs!$B$17+((C784=TRUE)*(F784-Calc!F23))+((C788=TRUE)*(F788-Calc!F27))+((IF(AND(Inputs!$B$38&lt;&gt;"pvp",Inputs!$B$43=0),1,IF(IF(Inputs!$B$38="pvp",15,Inputs!$B$43)-(B799)&lt;=0,1,MAX(0,IF(Inputs!$B$38="pvp",15,Inputs!$B$43)-MAX(5,B799))/(IF(Inputs!$B$38="pvp",15,Inputs!$B$43)-(B799))))*(IF(AND(ArtifactsInput!$M$42,((Inputs!$B$9+((C780=TRUE)*(F780-Calc!F19))+B792+(ArtifactsInput!$M$24-ArtifactsInput!$M$24)*CHOOSE(ArtifactsInput!$N$24+1,10,12,14,16,18,20)+IF(ArtifactsInput!$M$10,CHOOSE(ArtifactsInput!$N$10+1,15,18,21,24,27,30)*(IF(Inputs!$B$38="pvp",MIN(15,15)/15,IF(AND(Inputs!$B$38&lt;&gt;"pvp",Inputs!$B$43&gt;0),MIN(15,Inputs!$B$43)/(Inputs!$B$43),0))),0)))&gt;=100),MIN(100,((Inputs!$B$9+((C780=TRUE)*(F780-Calc!F19))+B792+(ArtifactsInput!$M$24-ArtifactsInput!$M$24)*CHOOSE(ArtifactsInput!$N$24+1,10,12,14,16,18,20)+IF(ArtifactsInput!$M$10,CHOOSE(ArtifactsInput!$N$10+1,15,18,21,24,27,30)*(IF(Inputs!$B$38="pvp",MIN(15,15)/15,IF(AND(Inputs!$B$38&lt;&gt;"pvp",Inputs!$B$43&gt;0),MIN(15,Inputs!$B$43)/(Inputs!$B$43),0))),0)))-100),0))*CHOOSE(ArtifactsInput!$N$42+1,0.6,0.72,0.84,0.96,1.08,1.2))),(Inputs!$B$18+1)+0+(IF(AND(Inputs!$B$38&lt;&gt;"pvp",Inputs!$B$43=0),1,IF(IF(Inputs!$B$38="pvp",15,Inputs!$B$43)-(B799)&lt;=0,1,MAX(0,IF(Inputs!$B$38="pvp",15,Inputs!$B$43)-MAX(5,B799))/(IF(Inputs!$B$38="pvp",15,Inputs!$B$43)-(B799))))*IF(AND(ArtifactsInput!$M$42,((Inputs!$B$9+((C780=TRUE)*(F780-Calc!F19))+B792+(ArtifactsInput!$M$24-ArtifactsInput!$M$24)*CHOOSE(ArtifactsInput!$N$24+1,10,12,14,16,18,20)+IF(ArtifactsInput!$M$10,CHOOSE(ArtifactsInput!$N$10+1,15,18,21,24,27,30)*(IF(Inputs!$B$38="pvp",MIN(15,15)/15,IF(AND(Inputs!$B$38&lt;&gt;"pvp",Inputs!$B$43&gt;0),MIN(15,Inputs!$B$43)/(Inputs!$B$43),0))),0)))&gt;=100),CHOOSE(ArtifactsInput!$N$42+1,40,48,56,64,72,80),0))))/100)*((1+(((C778=TRUE)*F778*5/7)+((C785=TRUE)*(F785-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773)</f>
        <v/>
      </c>
      <c r="L773">
        <f>K773*(MIN(Inputs!$B$22+((C783=TRUE)*(F783-Calc!F22)),(Inputs!$B$23+0+(IF(ArtifactsInput!$M$15,CHOOSE(ArtifactsInput!$N$15+1,25,30,35,40,45,50)/100*(Inputs!$B$11-Inputs!$B$11),0))))/100+(Inputs!$B$23+0+(IF(ArtifactsInput!$M$15,CHOOSE(ArtifactsInput!$N$15+1,25,30,35,40,45,50)/100*(Inputs!$B$11-Inputs!$B$11),0)))/100)/2</f>
        <v/>
      </c>
      <c r="M773">
        <f>L773*(1+(Inputs!$B$10+((C786=TRUE)*(F786-Calc!F25))+B797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73">
        <f>L773*(1-MIN((Inputs!$B$9+((C780=TRUE)*(F780-Calc!F19))+B792+(ArtifactsInput!$M$24-ArtifactsInput!$M$24)*CHOOSE(ArtifactsInput!$N$24+1,10,12,14,16,18,20)+(IF(AND(Inputs!$B$38&lt;&gt;"pvp",Inputs!$B$43=0),1,IF(IF(Inputs!$B$38="pvp",15,Inputs!$B$43)-(B799)&lt;=0,1,MAX(0,IF(Inputs!$B$38="pvp",15,Inputs!$B$43)-MAX(5,B799))/(IF(Inputs!$B$38="pvp",15,Inputs!$B$43)-(B799))))*IF(AND(ArtifactsInput!$M$42,((Inputs!$B$9+((C780=TRUE)*(F780-Calc!F19))+B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773*(MIN((Inputs!$B$9+((C780=TRUE)*(F780-Calc!F19))+B792+(ArtifactsInput!$M$24-ArtifactsInput!$M$24)*CHOOSE(ArtifactsInput!$N$24+1,10,12,14,16,18,20)+(IF(AND(Inputs!$B$38&lt;&gt;"pvp",Inputs!$B$43=0),1,IF(IF(Inputs!$B$38="pvp",15,Inputs!$B$43)-(B799)&lt;=0,1,MAX(0,IF(Inputs!$B$38="pvp",15,Inputs!$B$43)-MAX(5,B799))/(IF(Inputs!$B$38="pvp",15,Inputs!$B$43)-(B799))))*IF(AND(ArtifactsInput!$M$42,((Inputs!$B$9+((C780=TRUE)*(F780-Calc!F19))+B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73">
        <f>(1-Summary!$B$11)*T773+Summary!$B$11*V773</f>
        <v/>
      </c>
      <c r="P773">
        <f>IF(B802=0,0,O773/B802)</f>
        <v/>
      </c>
      <c r="Q773">
        <f>IFERROR(1/(IF(Inputs!$B$38="pvp",15,MAX(0.1,Skills!D12-IF(TRUE=TRUE,Inputs!$B$32,0)))*(1-IF(AND(ArtifactsInput!$M$27,Inputs!$B$4="Chapter Hunt"),CHOOSE(ArtifactsInput!$N$27+1,20,24,28,32,36,40),0)/100)),0)</f>
        <v/>
      </c>
      <c r="R773">
        <f>IF(AND(Inputs!$B$38&lt;&gt;"pvp",Inputs!$B$43&gt;0),IF(MAX(0,Inputs!$B$43-B799)&lt;=0,0,(INT(MAX(0,Inputs!$B$43-B799)/(IF(Inputs!$B$38="pvp",15,MAX(0.1,Skills!D12-IF(TRUE=TRUE,Inputs!$B$32,0)))*(1-IF(AND(ArtifactsInput!$M$27,Inputs!$B$4="Chapter Hunt"),CHOOSE(ArtifactsInput!$N$27+1,20,24,28,32,36,40),0)/100)))+1)),0)</f>
        <v/>
      </c>
      <c r="S773">
        <f>IFERROR(O773/N773,0)</f>
        <v/>
      </c>
      <c r="T773">
        <f>IF(C773,(H773*N773*IF(AND(Inputs!$B$38&lt;&gt;"pvp",Inputs!$B$43&gt;0),((Skills!G12*((R773-1)*IF(Skills!H12&gt;0,INT(Skills!I12/Skills!H12+0.000000001),1)+IF(Skills!H12&gt;0,INT(MIN(Skills!I12,MAX(0,MAX(0,Inputs!$B$43-B799)-((R773-1)*(IF(Inputs!$B$38="pvp",15,MAX(0.1,Skills!D12-IF(TRUE=TRUE,Inputs!$B$32,0)))*(1-IF(AND(ArtifactsInput!$M$27,Inputs!$B$4="Chapter Hunt"),CHOOSE(ArtifactsInput!$N$27+1,20,24,28,32,36,40),0)/100)))))/Skills!H12+0.000000001),1)))/Inputs!$B$43),G773*Q773))*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Hunt"),CHOOSE(ArtifactsInput!$N$35+1,15,18,21,24,27,30)*(1-EXP(-(0.2*B794)*5)),0)+IF(AND(ArtifactsInput!$M$22,Inputs!$B$4&lt;&gt;"Chapter Hunt"),CHOOSE(ArtifactsInput!$N$22+1,10,12,14,16,18,20)*((0*(((0.15*B794*5))^0/1)+1*(((0.15*B794*5))^1/1)+2*(((0.15*B794*5))^2/2)+3*(((0.15*B794*5))^3/6)+4*(((0.15*B794*5))^4/24)+5*(((0.15*B794*5))^5/120))/((((0.15*B794*5))^0/1)+(((0.15*B794*5))^1/1)+(((0.15*B794*5))^2/2)+(((0.15*B794*5))^3/6)+(((0.15*B794*5))^4/24)+(((0.15*B794*5))^5/120))),0))+IF(Inputs!$B$3&gt;=54,9*(C764=TRUE)*MIN(1,8*(1+Inputs!$B$34/100)*Q764)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773*(1-MIN(100,(Inputs!$B$9+((C780=TRUE)*(F780-Calc!F19))+B792+(ArtifactsInput!$M$24-ArtifactsInput!$M$24)*CHOOSE(ArtifactsInput!$N$24+1,10,12,14,16,18,20)+(IF(AND(Inputs!$B$38&lt;&gt;"pvp",Inputs!$B$43=0),1,IF(IF(Inputs!$B$38="pvp",15,Inputs!$B$43)-(B799)&lt;=0,1,MAX(0,IF(Inputs!$B$38="pvp",15,Inputs!$B$43)-MAX(5,B799))/(IF(Inputs!$B$38="pvp",15,Inputs!$B$43)-(B799))))*IF(AND(ArtifactsInput!$M$42,((Inputs!$B$9+((C780=TRUE)*(F780-Calc!F19))+B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773*(MIN(100,(Inputs!$B$9+((C780=TRUE)*(F780-Calc!F19))+B792+(ArtifactsInput!$M$24-ArtifactsInput!$M$24)*CHOOSE(ArtifactsInput!$N$24+1,10,12,14,16,18,20)+(IF(AND(Inputs!$B$38&lt;&gt;"pvp",Inputs!$B$43=0),1,IF(IF(Inputs!$B$38="pvp",15,Inputs!$B$43)-(B799)&lt;=0,1,MAX(0,IF(Inputs!$B$38="pvp",15,Inputs!$B$43)-MAX(5,B799))/(IF(Inputs!$B$38="pvp",15,Inputs!$B$43)-(B799))))*IF(AND(ArtifactsInput!$M$42,((Inputs!$B$9+((C780=TRUE)*(F780-Calc!F19))+B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773*(1-MIN(100,(Inputs!$B$9+((C780=TRUE)*(F780-Calc!F19))+B792+(ArtifactsInput!$M$24-ArtifactsInput!$M$24)*CHOOSE(ArtifactsInput!$N$24+1,10,12,14,16,18,20)+(IF(AND(Inputs!$B$38&lt;&gt;"pvp",Inputs!$B$43=0),1,IF(IF(Inputs!$B$38="pvp",15,Inputs!$B$43)-(B799)&lt;=0,1,MAX(0,IF(Inputs!$B$38="pvp",15,Inputs!$B$43)-MAX(5,B799))/(IF(Inputs!$B$38="pvp",15,Inputs!$B$43)-(B799))))*IF(AND(ArtifactsInput!$M$42,((Inputs!$B$9+((C780=TRUE)*(F780-Calc!F19))+B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773*(MIN(100,(Inputs!$B$9+((C780=TRUE)*(F780-Calc!F19))+B792+(ArtifactsInput!$M$24-ArtifactsInput!$M$24)*CHOOSE(ArtifactsInput!$N$24+1,10,12,14,16,18,20)+(IF(AND(Inputs!$B$38&lt;&gt;"pvp",Inputs!$B$43=0),1,IF(IF(Inputs!$B$38="pvp",15,Inputs!$B$43)-(B799)&lt;=0,1,MAX(0,IF(Inputs!$B$38="pvp",15,Inputs!$B$43)-MAX(5,B799))/(IF(Inputs!$B$38="pvp",15,Inputs!$B$43)-(B799))))*IF(AND(ArtifactsInput!$M$42,((Inputs!$B$9+((C780=TRUE)*(F780-Calc!F19))+B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73">
        <f>IF(C773,(H773*N773*IF(AND(Inputs!$B$38&lt;&gt;"pvp",Inputs!$B$43&gt;0),((Skills!G12*((R773-1)*IF(Skills!H12&gt;0,INT(Skills!I12/Skills!H12+0.000000001),1)+IF(Skills!H12&gt;0,INT(MIN(Skills!I12,MAX(0,MAX(0,Inputs!$B$43-B799)-((R773-1)*(IF(Inputs!$B$38="pvp",15,MAX(0.1,Skills!D12-IF(TRUE=TRUE,Inputs!$B$32,0)))*(1-IF(AND(ArtifactsInput!$M$27,Inputs!$B$4="Chapter Hunt"),CHOOSE(ArtifactsInput!$N$27+1,20,24,28,32,36,40),0)/100)))))/Skills!H12+0.000000001),1)))/Inputs!$B$43),G773*Q773))*IF(Inputs!$B$38="pvp",1,(1+(Inputs!$B$21+Skills!Q12+(IF(ArtifactsInput!$M$33,CHOOSE(ArtifactsInput!$N$33+1,30,36,42,48,54,60),0))+(IF(AND(ArtifactsInput!$M$35,Inputs!$B$4&lt;&gt;"Chapter Hunt"),CHOOSE(ArtifactsInput!$N$35+1,15,18,21,24,27,30)*(1-EXP(-(0.2*B794)*5)),0)+IF(AND(ArtifactsInput!$M$22,Inputs!$B$4&lt;&gt;"Chapter Hunt"),CHOOSE(ArtifactsInput!$N$22+1,10,12,14,16,18,20)*((0*(((0.15*B794*5))^0/1)+1*(((0.15*B794*5))^1/1)+2*(((0.15*B794*5))^2/2)+3*(((0.15*B794*5))^3/6)+4*(((0.15*B794*5))^4/24)+5*(((0.15*B794*5))^5/120))/((((0.15*B794*5))^0/1)+(((0.15*B794*5))^1/1)+(((0.15*B794*5))^2/2)+(((0.15*B794*5))^3/6)+(((0.15*B794*5))^4/24)+(((0.15*B794*5))^5/120))),0))+IF(Inputs!$B$3&gt;=54,9*(C764=TRUE)*MIN(1,8*(1+Inputs!$B$34/100)*Q764),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74">
      <c r="A774">
        <f>Skills!A13</f>
        <v/>
      </c>
      <c r="B774">
        <f>Skills!B13</f>
        <v/>
      </c>
      <c r="C774">
        <f>Inputs!$B$3&gt;=110</f>
        <v/>
      </c>
      <c r="D774">
        <f>IF(Skills!C13=1,60+Inputs!$B$25+Inputs!$B$29,IF(Skills!C13=2,90+Inputs!$B$26+Inputs!$B$29,IF(Skills!C13=3,120+Inputs!$B$27+Inputs!$B$29,MAX(0,(Inputs!$B$3-100)*3)+Inputs!$B$28+Inputs!$B$29)))</f>
        <v/>
      </c>
      <c r="E774">
        <f>INDEX(FactorTable!$B$2:$Y$301, MATCH(ROUND(MIN(300,MAX(1,D774)),0), FactorTable!$A$2:$A$301,0), Skills!M13+1)</f>
        <v/>
      </c>
      <c r="F774">
        <f>IF(Skills!N13=TRUE,(Skills!L13/10)*(E774/1000),Skills!L13/10)+Skills!O13</f>
        <v/>
      </c>
      <c r="G774">
        <f>Skills!G13*IF(Skills!H13&gt;0,INT(IF(Inputs!$B$38="pvp",MIN(Skills!I13,15),Skills!I13)/Skills!H13+0.000000001),1)</f>
        <v/>
      </c>
      <c r="H774">
        <f>1-(1-Skills!J13/100)^Skills!K13</f>
        <v/>
      </c>
      <c r="I774" t="inlineStr">
        <is>
          <t>1</t>
        </is>
      </c>
      <c r="J774">
        <f>((Inputs!$B$6*(1+Inputs!$B$7/100))+(((Inputs!$B$12*(1+Inputs!$B$13/100))-(Inputs!$B$12*(1+Inputs!$B$13/100)))+0.25*(Inputs!$B$14-Inputs!$B$14))*(1+Inputs!$B$7/100))*(F774/100)</f>
        <v/>
      </c>
      <c r="K774">
        <f>J774*(1+((Inputs!$B$12*(1+Inputs!$B$13/100))*0.01+Inputs!$B$14*0.0025)/100)*(1+Inputs!$B$15/100)*(1+Inputs!$B$16/100)*(5000/(6000+Inputs!$B$42*(1-(100*(1-(1-(Inputs!$B$19+0)/100)*(1-CHOOSE(ArtifactsInput!$N$40+1,5,6,7,8,9,10)/100)^(ArtifactsInput!$M$40-ArtifactsInput!$M$40)))/100)))*(1+(Inputs!$B$24+((C787=TRUE)*(F787-Calc!F26))+B798)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EIGHT_LEGS_EASTON",Inputs!$B$17+((C784=TRUE)*(F784-Calc!F23))+((C788=TRUE)*(F788-Calc!F27))+((IF(AND(Inputs!$B$38&lt;&gt;"pvp",Inputs!$B$43=0),1,IF(IF(Inputs!$B$38="pvp",15,Inputs!$B$43)-(B799)&lt;=0,1,MAX(0,IF(Inputs!$B$38="pvp",15,Inputs!$B$43)-MAX(5,B799))/(IF(Inputs!$B$38="pvp",15,Inputs!$B$43)-(B799))))*(IF(AND(ArtifactsInput!$M$42,((Inputs!$B$9+((C780=TRUE)*(F780-Calc!F19))+B792+(ArtifactsInput!$M$24-ArtifactsInput!$M$24)*CHOOSE(ArtifactsInput!$N$24+1,10,12,14,16,18,20)+IF(ArtifactsInput!$M$10,CHOOSE(ArtifactsInput!$N$10+1,15,18,21,24,27,30)*(IF(Inputs!$B$38="pvp",MIN(15,15)/15,IF(AND(Inputs!$B$38&lt;&gt;"pvp",Inputs!$B$43&gt;0),MIN(15,Inputs!$B$43)/(Inputs!$B$43),0))),0)))&gt;=100),MIN(100,((Inputs!$B$9+((C780=TRUE)*(F780-Calc!F19))+B792+(ArtifactsInput!$M$24-ArtifactsInput!$M$24)*CHOOSE(ArtifactsInput!$N$24+1,10,12,14,16,18,20)+IF(ArtifactsInput!$M$10,CHOOSE(ArtifactsInput!$N$10+1,15,18,21,24,27,30)*(IF(Inputs!$B$38="pvp",MIN(15,15)/15,IF(AND(Inputs!$B$38&lt;&gt;"pvp",Inputs!$B$43&gt;0),MIN(15,Inputs!$B$43)/(Inputs!$B$43),0))),0)))-100),0))*CHOOSE(ArtifactsInput!$N$42+1,0.6,0.72,0.84,0.96,1.08,1.2))),(Inputs!$B$18+1)+0+(IF(AND(Inputs!$B$38&lt;&gt;"pvp",Inputs!$B$43=0),1,IF(IF(Inputs!$B$38="pvp",15,Inputs!$B$43)-(B799)&lt;=0,1,MAX(0,IF(Inputs!$B$38="pvp",15,Inputs!$B$43)-MAX(5,B799))/(IF(Inputs!$B$38="pvp",15,Inputs!$B$43)-(B799))))*IF(AND(ArtifactsInput!$M$42,((Inputs!$B$9+((C780=TRUE)*(F780-Calc!F19))+B792+(ArtifactsInput!$M$24-ArtifactsInput!$M$24)*CHOOSE(ArtifactsInput!$N$24+1,10,12,14,16,18,20)+IF(ArtifactsInput!$M$10,CHOOSE(ArtifactsInput!$N$10+1,15,18,21,24,27,30)*(IF(Inputs!$B$38="pvp",MIN(15,15)/15,IF(AND(Inputs!$B$38&lt;&gt;"pvp",Inputs!$B$43&gt;0),MIN(15,Inputs!$B$43)/(Inputs!$B$43),0))),0)))&gt;=100),CHOOSE(ArtifactsInput!$N$42+1,40,48,56,64,72,80),0))))/100)*((1+(((C778=TRUE)*F778*5/7)+((C785=TRUE)*(F785-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774)</f>
        <v/>
      </c>
      <c r="L774">
        <f>K774*(MIN(Inputs!$B$22+((C783=TRUE)*(F783-Calc!F22)),(Inputs!$B$23+0+(IF(ArtifactsInput!$M$15,CHOOSE(ArtifactsInput!$N$15+1,25,30,35,40,45,50)/100*(Inputs!$B$11-Inputs!$B$11),0))))/100+(Inputs!$B$23+0+(IF(ArtifactsInput!$M$15,CHOOSE(ArtifactsInput!$N$15+1,25,30,35,40,45,50)/100*(Inputs!$B$11-Inputs!$B$11),0)))/100)/2</f>
        <v/>
      </c>
      <c r="M774">
        <f>L774*(1+(Inputs!$B$10+((C786=TRUE)*(F786-Calc!F25))+B797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74">
        <f>L774*(1-MIN((Inputs!$B$9+((C780=TRUE)*(F780-Calc!F19))+B792+(ArtifactsInput!$M$24-ArtifactsInput!$M$24)*CHOOSE(ArtifactsInput!$N$24+1,10,12,14,16,18,20)+(IF(AND(Inputs!$B$38&lt;&gt;"pvp",Inputs!$B$43=0),1,IF(IF(Inputs!$B$38="pvp",15,Inputs!$B$43)-(B799)&lt;=0,1,MAX(0,IF(Inputs!$B$38="pvp",15,Inputs!$B$43)-MAX(5,B799))/(IF(Inputs!$B$38="pvp",15,Inputs!$B$43)-(B799))))*IF(AND(ArtifactsInput!$M$42,((Inputs!$B$9+((C780=TRUE)*(F780-Calc!F19))+B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774*(MIN((Inputs!$B$9+((C780=TRUE)*(F780-Calc!F19))+B792+(ArtifactsInput!$M$24-ArtifactsInput!$M$24)*CHOOSE(ArtifactsInput!$N$24+1,10,12,14,16,18,20)+(IF(AND(Inputs!$B$38&lt;&gt;"pvp",Inputs!$B$43=0),1,IF(IF(Inputs!$B$38="pvp",15,Inputs!$B$43)-(B799)&lt;=0,1,MAX(0,IF(Inputs!$B$38="pvp",15,Inputs!$B$43)-MAX(5,B799))/(IF(Inputs!$B$38="pvp",15,Inputs!$B$43)-(B799))))*IF(AND(ArtifactsInput!$M$42,((Inputs!$B$9+((C780=TRUE)*(F780-Calc!F19))+B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74">
        <f>(1-Summary!$B$11)*T774+Summary!$B$11*V774</f>
        <v/>
      </c>
      <c r="P774">
        <f>IF(B802=0,0,O774/B802)</f>
        <v/>
      </c>
      <c r="Q774">
        <f>IFERROR(1/(IF(Inputs!$B$38="pvp",15,MAX(0.1,Skills!D13-IF(TRUE=TRUE,Inputs!$B$32,0)))*(1-IF(AND(ArtifactsInput!$M$27,Inputs!$B$4="Chapter Hunt"),CHOOSE(ArtifactsInput!$N$27+1,20,24,28,32,36,40),0)/100)),0)</f>
        <v/>
      </c>
      <c r="R774">
        <f>IF(AND(Inputs!$B$38&lt;&gt;"pvp",Inputs!$B$43&gt;0),IF(MAX(0,Inputs!$B$43-B799)&lt;=0,0,(INT(MAX(0,Inputs!$B$43-B799)/(IF(Inputs!$B$38="pvp",15,MAX(0.1,Skills!D13-IF(TRUE=TRUE,Inputs!$B$32,0)))*(1-IF(AND(ArtifactsInput!$M$27,Inputs!$B$4="Chapter Hunt"),CHOOSE(ArtifactsInput!$N$27+1,20,24,28,32,36,40),0)/100)))+1)),0)</f>
        <v/>
      </c>
      <c r="S774">
        <f>IFERROR(O774/N774,0)</f>
        <v/>
      </c>
      <c r="T774">
        <f>IF(C774,(H774*N774*IF(AND(Inputs!$B$38&lt;&gt;"pvp",Inputs!$B$43&gt;0),((Skills!G13*((R774-1)*IF(Skills!H13&gt;0,INT(Skills!I13/Skills!H13+0.000000001),1)+IF(Skills!H13&gt;0,INT(MIN(Skills!I13,MAX(0,MAX(0,Inputs!$B$43-B799)-((R774-1)*(IF(Inputs!$B$38="pvp",15,MAX(0.1,Skills!D13-IF(TRUE=TRUE,Inputs!$B$32,0)))*(1-IF(AND(ArtifactsInput!$M$27,Inputs!$B$4="Chapter Hunt"),CHOOSE(ArtifactsInput!$N$27+1,20,24,28,32,36,40),0)/100)))))/Skills!H13+0.000000001),1)))/Inputs!$B$43),G774*Q774))*IF(Inputs!$B$38="pvp",1,1+(Inputs!$B$20+0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Hunt"),CHOOSE(ArtifactsInput!$N$35+1,15,18,21,24,27,30)*(1-EXP(-(0.2*B794)*5)),0)+IF(AND(ArtifactsInput!$M$22,Inputs!$B$4&lt;&gt;"Chapter Hunt"),CHOOSE(ArtifactsInput!$N$22+1,10,12,14,16,18,20)*((0*(((0.15*B794*5))^0/1)+1*(((0.15*B794*5))^1/1)+2*(((0.15*B794*5))^2/2)+3*(((0.15*B794*5))^3/6)+4*(((0.15*B794*5))^4/24)+5*(((0.15*B794*5))^5/120))/((((0.15*B794*5))^0/1)+(((0.15*B794*5))^1/1)+(((0.15*B794*5))^2/2)+(((0.15*B794*5))^3/6)+(((0.15*B794*5))^4/24)+(((0.15*B794*5))^5/120))),0))+IF(Inputs!$B$3&gt;=54,9*(C764=TRUE)*MIN(1,8*(1+Inputs!$B$34/100)*Q764)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774*(1-MIN(100,(Inputs!$B$9+((C780=TRUE)*(F780-Calc!F19))+B792+(ArtifactsInput!$M$24-ArtifactsInput!$M$24)*CHOOSE(ArtifactsInput!$N$24+1,10,12,14,16,18,20)+(IF(AND(Inputs!$B$38&lt;&gt;"pvp",Inputs!$B$43=0),1,IF(IF(Inputs!$B$38="pvp",15,Inputs!$B$43)-(B799)&lt;=0,1,MAX(0,IF(Inputs!$B$38="pvp",15,Inputs!$B$43)-MAX(5,B799))/(IF(Inputs!$B$38="pvp",15,Inputs!$B$43)-(B799))))*IF(AND(ArtifactsInput!$M$42,((Inputs!$B$9+((C780=TRUE)*(F780-Calc!F19))+B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774*(MIN(100,(Inputs!$B$9+((C780=TRUE)*(F780-Calc!F19))+B792+(ArtifactsInput!$M$24-ArtifactsInput!$M$24)*CHOOSE(ArtifactsInput!$N$24+1,10,12,14,16,18,20)+(IF(AND(Inputs!$B$38&lt;&gt;"pvp",Inputs!$B$43=0),1,IF(IF(Inputs!$B$38="pvp",15,Inputs!$B$43)-(B799)&lt;=0,1,MAX(0,IF(Inputs!$B$38="pvp",15,Inputs!$B$43)-MAX(5,B799))/(IF(Inputs!$B$38="pvp",15,Inputs!$B$43)-(B799))))*IF(AND(ArtifactsInput!$M$42,((Inputs!$B$9+((C780=TRUE)*(F780-Calc!F19))+B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774*(1-MIN(100,(Inputs!$B$9+((C780=TRUE)*(F780-Calc!F19))+B792+(ArtifactsInput!$M$24-ArtifactsInput!$M$24)*CHOOSE(ArtifactsInput!$N$24+1,10,12,14,16,18,20)+(IF(AND(Inputs!$B$38&lt;&gt;"pvp",Inputs!$B$43=0),1,IF(IF(Inputs!$B$38="pvp",15,Inputs!$B$43)-(B799)&lt;=0,1,MAX(0,IF(Inputs!$B$38="pvp",15,Inputs!$B$43)-MAX(5,B799))/(IF(Inputs!$B$38="pvp",15,Inputs!$B$43)-(B799))))*IF(AND(ArtifactsInput!$M$42,((Inputs!$B$9+((C780=TRUE)*(F780-Calc!F19))+B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774*(MIN(100,(Inputs!$B$9+((C780=TRUE)*(F780-Calc!F19))+B792+(ArtifactsInput!$M$24-ArtifactsInput!$M$24)*CHOOSE(ArtifactsInput!$N$24+1,10,12,14,16,18,20)+(IF(AND(Inputs!$B$38&lt;&gt;"pvp",Inputs!$B$43=0),1,IF(IF(Inputs!$B$38="pvp",15,Inputs!$B$43)-(B799)&lt;=0,1,MAX(0,IF(Inputs!$B$38="pvp",15,Inputs!$B$43)-MAX(5,B799))/(IF(Inputs!$B$38="pvp",15,Inputs!$B$43)-(B799))))*IF(AND(ArtifactsInput!$M$42,((Inputs!$B$9+((C780=TRUE)*(F780-Calc!F19))+B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74">
        <f>IF(C774,(H774*N774*IF(AND(Inputs!$B$38&lt;&gt;"pvp",Inputs!$B$43&gt;0),((Skills!G13*((R774-1)*IF(Skills!H13&gt;0,INT(Skills!I13/Skills!H13+0.000000001),1)+IF(Skills!H13&gt;0,INT(MIN(Skills!I13,MAX(0,MAX(0,Inputs!$B$43-B799)-((R774-1)*(IF(Inputs!$B$38="pvp",15,MAX(0.1,Skills!D13-IF(TRUE=TRUE,Inputs!$B$32,0)))*(1-IF(AND(ArtifactsInput!$M$27,Inputs!$B$4="Chapter Hunt"),CHOOSE(ArtifactsInput!$N$27+1,20,24,28,32,36,40),0)/100)))))/Skills!H13+0.000000001),1)))/Inputs!$B$43),G774*Q774))*IF(Inputs!$B$38="pvp",1,(1+(Inputs!$B$21+Skills!Q13+(IF(ArtifactsInput!$M$33,CHOOSE(ArtifactsInput!$N$33+1,30,36,42,48,54,60),0))+(IF(AND(ArtifactsInput!$M$35,Inputs!$B$4&lt;&gt;"Chapter Hunt"),CHOOSE(ArtifactsInput!$N$35+1,15,18,21,24,27,30)*(1-EXP(-(0.2*B794)*5)),0)+IF(AND(ArtifactsInput!$M$22,Inputs!$B$4&lt;&gt;"Chapter Hunt"),CHOOSE(ArtifactsInput!$N$22+1,10,12,14,16,18,20)*((0*(((0.15*B794*5))^0/1)+1*(((0.15*B794*5))^1/1)+2*(((0.15*B794*5))^2/2)+3*(((0.15*B794*5))^3/6)+4*(((0.15*B794*5))^4/24)+5*(((0.15*B794*5))^5/120))/((((0.15*B794*5))^0/1)+(((0.15*B794*5))^1/1)+(((0.15*B794*5))^2/2)+(((0.15*B794*5))^3/6)+(((0.15*B794*5))^4/24)+(((0.15*B794*5))^5/120))),0))+IF(Inputs!$B$3&gt;=54,9*(C764=TRUE)*MIN(1,8*(1+Inputs!$B$34/100)*Q764),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75">
      <c r="A775">
        <f>Skills!A14</f>
        <v/>
      </c>
      <c r="B775">
        <f>Skills!B14</f>
        <v/>
      </c>
      <c r="C775">
        <f>Inputs!$B$3&gt;=120</f>
        <v/>
      </c>
      <c r="D775">
        <f>IF(Skills!C14=1,60+Inputs!$B$25+Inputs!$B$29,IF(Skills!C14=2,90+Inputs!$B$26+Inputs!$B$29,IF(Skills!C14=3,120+Inputs!$B$27+Inputs!$B$29,MAX(0,(Inputs!$B$3-100)*3)+Inputs!$B$28+Inputs!$B$29)))</f>
        <v/>
      </c>
      <c r="E775">
        <f>INDEX(FactorTable!$B$2:$Y$301, MATCH(ROUND(MIN(300,MAX(1,D775)),0), FactorTable!$A$2:$A$301,0), Skills!M14+1)</f>
        <v/>
      </c>
      <c r="F775">
        <f>IF(Skills!N14=TRUE,(Skills!L14/10)*(E775/1000),Skills!L14/10)+Skills!O14</f>
        <v/>
      </c>
      <c r="G775">
        <f>Skills!G14*IF(Skills!H14&gt;0,INT(IF(Inputs!$B$38="pvp",MIN(Skills!I14,15),Skills!I14)/Skills!H14+0.000000001),1)</f>
        <v/>
      </c>
      <c r="H775">
        <f>1-(1-Skills!J14/100)^Skills!K14</f>
        <v/>
      </c>
      <c r="I775" t="inlineStr">
        <is>
          <t>1</t>
        </is>
      </c>
      <c r="J775">
        <f>((Inputs!$B$6*(1+Inputs!$B$7/100))+(((Inputs!$B$12*(1+Inputs!$B$13/100))-(Inputs!$B$12*(1+Inputs!$B$13/100)))+0.25*(Inputs!$B$14-Inputs!$B$14))*(1+Inputs!$B$7/100))*(F775/100)</f>
        <v/>
      </c>
      <c r="K775">
        <f>J775*(1+((Inputs!$B$12*(1+Inputs!$B$13/100))*0.01+Inputs!$B$14*0.0025)/100)*(1+Inputs!$B$15/100)*(1+Inputs!$B$16/100)*(5000/(6000+Inputs!$B$42*(1-(100*(1-(1-(Inputs!$B$19+0)/100)*(1-CHOOSE(ArtifactsInput!$N$40+1,5,6,7,8,9,10)/100)^(ArtifactsInput!$M$40-ArtifactsInput!$M$40)))/100)))*(1+(Inputs!$B$24+((C787=TRUE)*(F787-Calc!F26))+B798)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EIGHT_LEGS_EASTON",Inputs!$B$17+((C784=TRUE)*(F784-Calc!F23))+((C788=TRUE)*(F788-Calc!F27))+((IF(AND(Inputs!$B$38&lt;&gt;"pvp",Inputs!$B$43=0),1,IF(IF(Inputs!$B$38="pvp",15,Inputs!$B$43)-(B799)&lt;=0,1,MAX(0,IF(Inputs!$B$38="pvp",15,Inputs!$B$43)-MAX(5,B799))/(IF(Inputs!$B$38="pvp",15,Inputs!$B$43)-(B799))))*(IF(AND(ArtifactsInput!$M$42,((Inputs!$B$9+((C780=TRUE)*(F780-Calc!F19))+B792+(ArtifactsInput!$M$24-ArtifactsInput!$M$24)*CHOOSE(ArtifactsInput!$N$24+1,10,12,14,16,18,20)+IF(ArtifactsInput!$M$10,CHOOSE(ArtifactsInput!$N$10+1,15,18,21,24,27,30)*(IF(Inputs!$B$38="pvp",MIN(15,15)/15,IF(AND(Inputs!$B$38&lt;&gt;"pvp",Inputs!$B$43&gt;0),MIN(15,Inputs!$B$43)/(Inputs!$B$43),0))),0)))&gt;=100),MIN(100,((Inputs!$B$9+((C780=TRUE)*(F780-Calc!F19))+B792+(ArtifactsInput!$M$24-ArtifactsInput!$M$24)*CHOOSE(ArtifactsInput!$N$24+1,10,12,14,16,18,20)+IF(ArtifactsInput!$M$10,CHOOSE(ArtifactsInput!$N$10+1,15,18,21,24,27,30)*(IF(Inputs!$B$38="pvp",MIN(15,15)/15,IF(AND(Inputs!$B$38&lt;&gt;"pvp",Inputs!$B$43&gt;0),MIN(15,Inputs!$B$43)/(Inputs!$B$43),0))),0)))-100),0))*CHOOSE(ArtifactsInput!$N$42+1,0.6,0.72,0.84,0.96,1.08,1.2))),(Inputs!$B$18+1)+0+(IF(AND(Inputs!$B$38&lt;&gt;"pvp",Inputs!$B$43=0),1,IF(IF(Inputs!$B$38="pvp",15,Inputs!$B$43)-(B799)&lt;=0,1,MAX(0,IF(Inputs!$B$38="pvp",15,Inputs!$B$43)-MAX(5,B799))/(IF(Inputs!$B$38="pvp",15,Inputs!$B$43)-(B799))))*IF(AND(ArtifactsInput!$M$42,((Inputs!$B$9+((C780=TRUE)*(F780-Calc!F19))+B792+(ArtifactsInput!$M$24-ArtifactsInput!$M$24)*CHOOSE(ArtifactsInput!$N$24+1,10,12,14,16,18,20)+IF(ArtifactsInput!$M$10,CHOOSE(ArtifactsInput!$N$10+1,15,18,21,24,27,30)*(IF(Inputs!$B$38="pvp",MIN(15,15)/15,IF(AND(Inputs!$B$38&lt;&gt;"pvp",Inputs!$B$43&gt;0),MIN(15,Inputs!$B$43)/(Inputs!$B$43),0))),0)))&gt;=100),CHOOSE(ArtifactsInput!$N$42+1,40,48,56,64,72,80),0))))/100)*((1+(((C778=TRUE)*F778*5/7)+((C785=TRUE)*(F785-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775)</f>
        <v/>
      </c>
      <c r="L775">
        <f>K775*(MIN(Inputs!$B$22+((C783=TRUE)*(F783-Calc!F22)),(Inputs!$B$23+0+(IF(ArtifactsInput!$M$15,CHOOSE(ArtifactsInput!$N$15+1,25,30,35,40,45,50)/100*(Inputs!$B$11-Inputs!$B$11),0))))/100+(Inputs!$B$23+0+(IF(ArtifactsInput!$M$15,CHOOSE(ArtifactsInput!$N$15+1,25,30,35,40,45,50)/100*(Inputs!$B$11-Inputs!$B$11),0)))/100)/2</f>
        <v/>
      </c>
      <c r="M775">
        <f>L775*(1+(Inputs!$B$10+((C786=TRUE)*(F786-Calc!F25))+B797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75">
        <f>L775*(1-MIN((Inputs!$B$9+((C780=TRUE)*(F780-Calc!F19))+B792+(ArtifactsInput!$M$24-ArtifactsInput!$M$24)*CHOOSE(ArtifactsInput!$N$24+1,10,12,14,16,18,20)+(IF(AND(Inputs!$B$38&lt;&gt;"pvp",Inputs!$B$43=0),1,IF(IF(Inputs!$B$38="pvp",15,Inputs!$B$43)-(B799)&lt;=0,1,MAX(0,IF(Inputs!$B$38="pvp",15,Inputs!$B$43)-MAX(5,B799))/(IF(Inputs!$B$38="pvp",15,Inputs!$B$43)-(B799))))*IF(AND(ArtifactsInput!$M$42,((Inputs!$B$9+((C780=TRUE)*(F780-Calc!F19))+B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775*(MIN((Inputs!$B$9+((C780=TRUE)*(F780-Calc!F19))+B792+(ArtifactsInput!$M$24-ArtifactsInput!$M$24)*CHOOSE(ArtifactsInput!$N$24+1,10,12,14,16,18,20)+(IF(AND(Inputs!$B$38&lt;&gt;"pvp",Inputs!$B$43=0),1,IF(IF(Inputs!$B$38="pvp",15,Inputs!$B$43)-(B799)&lt;=0,1,MAX(0,IF(Inputs!$B$38="pvp",15,Inputs!$B$43)-MAX(5,B799))/(IF(Inputs!$B$38="pvp",15,Inputs!$B$43)-(B799))))*IF(AND(ArtifactsInput!$M$42,((Inputs!$B$9+((C780=TRUE)*(F780-Calc!F19))+B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75">
        <f>(1-Summary!$B$11)*T775+Summary!$B$11*V775</f>
        <v/>
      </c>
      <c r="P775">
        <f>IF(B802=0,0,O775/B802)</f>
        <v/>
      </c>
      <c r="Q775" t="n">
        <v>0</v>
      </c>
      <c r="R775" t="n">
        <v>0</v>
      </c>
      <c r="S775">
        <f>IFERROR(O775/N775,0)</f>
        <v/>
      </c>
      <c r="T775">
        <f>IF(C775,((H775*(B796+IF(AND(Inputs!$B$38&lt;&gt;"pvp",Inputs!$B$43&gt;0),((Skills!G8*((R769-1)*IF(Skills!H8&gt;0,INT(Skills!I8/Skills!H8+0.000000001),1)+IF(Skills!H8&gt;0,INT(MIN(Skills!I8,MAX(0,MAX(0,Inputs!$B$43-B799)-((R769-1)*((IF(Inputs!$B$38="pvp",15,MAX(0.1,Skills!D8-IF(TRUE=TRUE,Inputs!$B$32,0)))*(1-IF(AND(ArtifactsInput!$M$27,Inputs!$B$4="Chapter Hunt"),CHOOSE(ArtifactsInput!$N$27+1,20,24,28,32,36,40),0)/100))/B803))))/Skills!H8+0.000000001),1)))/Inputs!$B$43),G769*Q769)+IF(AND(Inputs!$B$38&lt;&gt;"pvp",Inputs!$B$43&gt;0),((Skills!G11*((R772-1)*IF(Skills!H11&gt;0,INT(Skills!I11/Skills!H11+0.000000001),1)+IF(Skills!H11&gt;0,INT(MIN(Skills!I11,MAX(0,MAX(0,Inputs!$B$43-B799)-((R772-1)*((IF(Inputs!$B$38="pvp",15,MAX(0.1,Skills!D11-IF(TRUE=TRUE,Inputs!$B$32,0)))*(1-IF(AND(ArtifactsInput!$M$27,Inputs!$B$4="Chapter Hunt"),CHOOSE(ArtifactsInput!$N$27+1,20,24,28,32,36,40),0)/100))/B803))))/Skills!H11+0.000000001),1)))/Inputs!$B$43),G772*Q772)))/(1+Skills!H14*H775*(B796+IF(AND(Inputs!$B$38&lt;&gt;"pvp",Inputs!$B$43&gt;0),((Skills!G8*((R769-1)*IF(Skills!H8&gt;0,INT(Skills!I8/Skills!H8+0.000000001),1)+IF(Skills!H8&gt;0,INT(MIN(Skills!I8,MAX(0,MAX(0,Inputs!$B$43-B799)-((R769-1)*((IF(Inputs!$B$38="pvp",15,MAX(0.1,Skills!D8-IF(TRUE=TRUE,Inputs!$B$32,0)))*(1-IF(AND(ArtifactsInput!$M$27,Inputs!$B$4="Chapter Hunt"),CHOOSE(ArtifactsInput!$N$27+1,20,24,28,32,36,40),0)/100))/B803))))/Skills!H8+0.000000001),1)))/Inputs!$B$43),G769*Q769)+IF(AND(Inputs!$B$38&lt;&gt;"pvp",Inputs!$B$43&gt;0),((Skills!G11*((R772-1)*IF(Skills!H11&gt;0,INT(Skills!I11/Skills!H11+0.000000001),1)+IF(Skills!H11&gt;0,INT(MIN(Skills!I11,MAX(0,MAX(0,Inputs!$B$43-B799)-((R772-1)*((IF(Inputs!$B$38="pvp",15,MAX(0.1,Skills!D11-IF(TRUE=TRUE,Inputs!$B$32,0)))*(1-IF(AND(ArtifactsInput!$M$27,Inputs!$B$4="Chapter Hunt"),CHOOSE(ArtifactsInput!$N$27+1,20,24,28,32,36,40),0)/100))/B803))))/Skills!H11+0.000000001),1)))/Inputs!$B$43),G772*Q772)))*N775)*IF(Inputs!$B$38="pvp",1,1+(Inputs!$B$20+0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Hunt"),CHOOSE(ArtifactsInput!$N$35+1,15,18,21,24,27,30)*(1-EXP(-(0.2*B794)*5)),0)+IF(AND(ArtifactsInput!$M$22,Inputs!$B$4&lt;&gt;"Chapter Hunt"),CHOOSE(ArtifactsInput!$N$22+1,10,12,14,16,18,20)*((0*(((0.15*B794*5))^0/1)+1*(((0.15*B794*5))^1/1)+2*(((0.15*B794*5))^2/2)+3*(((0.15*B794*5))^3/6)+4*(((0.15*B794*5))^4/24)+5*(((0.15*B794*5))^5/120))/((((0.15*B794*5))^0/1)+(((0.15*B794*5))^1/1)+(((0.15*B794*5))^2/2)+(((0.15*B794*5))^3/6)+(((0.15*B794*5))^4/24)+(((0.15*B794*5))^5/120))),0))+IF(Inputs!$B$3&gt;=54,9*(C764=TRUE)*MIN(1,8*(1+Inputs!$B$34/100)*Q764)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775*(1-MIN(100,(Inputs!$B$9+((C780=TRUE)*(F780-Calc!F19))+B792+(ArtifactsInput!$M$24-ArtifactsInput!$M$24)*CHOOSE(ArtifactsInput!$N$24+1,10,12,14,16,18,20)+(IF(AND(Inputs!$B$38&lt;&gt;"pvp",Inputs!$B$43=0),1,IF(IF(Inputs!$B$38="pvp",15,Inputs!$B$43)-(B799)&lt;=0,1,MAX(0,IF(Inputs!$B$38="pvp",15,Inputs!$B$43)-MAX(5,B799))/(IF(Inputs!$B$38="pvp",15,Inputs!$B$43)-(B799))))*IF(AND(ArtifactsInput!$M$42,((Inputs!$B$9+((C780=TRUE)*(F780-Calc!F19))+B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775*(MIN(100,(Inputs!$B$9+((C780=TRUE)*(F780-Calc!F19))+B792+(ArtifactsInput!$M$24-ArtifactsInput!$M$24)*CHOOSE(ArtifactsInput!$N$24+1,10,12,14,16,18,20)+(IF(AND(Inputs!$B$38&lt;&gt;"pvp",Inputs!$B$43=0),1,IF(IF(Inputs!$B$38="pvp",15,Inputs!$B$43)-(B799)&lt;=0,1,MAX(0,IF(Inputs!$B$38="pvp",15,Inputs!$B$43)-MAX(5,B799))/(IF(Inputs!$B$38="pvp",15,Inputs!$B$43)-(B799))))*IF(AND(ArtifactsInput!$M$42,((Inputs!$B$9+((C780=TRUE)*(F780-Calc!F19))+B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775*(1-MIN(100,(Inputs!$B$9+((C780=TRUE)*(F780-Calc!F19))+B792+(ArtifactsInput!$M$24-ArtifactsInput!$M$24)*CHOOSE(ArtifactsInput!$N$24+1,10,12,14,16,18,20)+(IF(AND(Inputs!$B$38&lt;&gt;"pvp",Inputs!$B$43=0),1,IF(IF(Inputs!$B$38="pvp",15,Inputs!$B$43)-(B799)&lt;=0,1,MAX(0,IF(Inputs!$B$38="pvp",15,Inputs!$B$43)-MAX(5,B799))/(IF(Inputs!$B$38="pvp",15,Inputs!$B$43)-(B799))))*IF(AND(ArtifactsInput!$M$42,((Inputs!$B$9+((C780=TRUE)*(F780-Calc!F19))+B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775*(MIN(100,(Inputs!$B$9+((C780=TRUE)*(F780-Calc!F19))+B792+(ArtifactsInput!$M$24-ArtifactsInput!$M$24)*CHOOSE(ArtifactsInput!$N$24+1,10,12,14,16,18,20)+(IF(AND(Inputs!$B$38&lt;&gt;"pvp",Inputs!$B$43=0),1,IF(IF(Inputs!$B$38="pvp",15,Inputs!$B$43)-(B799)&lt;=0,1,MAX(0,IF(Inputs!$B$38="pvp",15,Inputs!$B$43)-MAX(5,B799))/(IF(Inputs!$B$38="pvp",15,Inputs!$B$43)-(B799))))*IF(AND(ArtifactsInput!$M$42,((Inputs!$B$9+((C780=TRUE)*(F780-Calc!F19))+B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75">
        <f>IF(C775,((H775*(B796+IF(AND(Inputs!$B$38&lt;&gt;"pvp",Inputs!$B$43&gt;0),((Skills!G8*((R769-1)*IF(Skills!H8&gt;0,INT(Skills!I8/Skills!H8+0.000000001),1)+IF(Skills!H8&gt;0,INT(MIN(Skills!I8,MAX(0,MAX(0,Inputs!$B$43-B799)-((R769-1)*((IF(Inputs!$B$38="pvp",15,MAX(0.1,Skills!D8-IF(TRUE=TRUE,Inputs!$B$32,0)))*(1-IF(AND(ArtifactsInput!$M$27,Inputs!$B$4="Chapter Hunt"),CHOOSE(ArtifactsInput!$N$27+1,20,24,28,32,36,40),0)/100))/B803))))/Skills!H8+0.000000001),1)))/Inputs!$B$43),G769*Q769)+IF(AND(Inputs!$B$38&lt;&gt;"pvp",Inputs!$B$43&gt;0),((Skills!G11*((R772-1)*IF(Skills!H11&gt;0,INT(Skills!I11/Skills!H11+0.000000001),1)+IF(Skills!H11&gt;0,INT(MIN(Skills!I11,MAX(0,MAX(0,Inputs!$B$43-B799)-((R772-1)*((IF(Inputs!$B$38="pvp",15,MAX(0.1,Skills!D11-IF(TRUE=TRUE,Inputs!$B$32,0)))*(1-IF(AND(ArtifactsInput!$M$27,Inputs!$B$4="Chapter Hunt"),CHOOSE(ArtifactsInput!$N$27+1,20,24,28,32,36,40),0)/100))/B803))))/Skills!H11+0.000000001),1)))/Inputs!$B$43),G772*Q772)))/(1+Skills!H14*H775*(B796+IF(AND(Inputs!$B$38&lt;&gt;"pvp",Inputs!$B$43&gt;0),((Skills!G8*((R769-1)*IF(Skills!H8&gt;0,INT(Skills!I8/Skills!H8+0.000000001),1)+IF(Skills!H8&gt;0,INT(MIN(Skills!I8,MAX(0,MAX(0,Inputs!$B$43-B799)-((R769-1)*((IF(Inputs!$B$38="pvp",15,MAX(0.1,Skills!D8-IF(TRUE=TRUE,Inputs!$B$32,0)))*(1-IF(AND(ArtifactsInput!$M$27,Inputs!$B$4="Chapter Hunt"),CHOOSE(ArtifactsInput!$N$27+1,20,24,28,32,36,40),0)/100))/B803))))/Skills!H8+0.000000001),1)))/Inputs!$B$43),G769*Q769)+IF(AND(Inputs!$B$38&lt;&gt;"pvp",Inputs!$B$43&gt;0),((Skills!G11*((R772-1)*IF(Skills!H11&gt;0,INT(Skills!I11/Skills!H11+0.000000001),1)+IF(Skills!H11&gt;0,INT(MIN(Skills!I11,MAX(0,MAX(0,Inputs!$B$43-B799)-((R772-1)*((IF(Inputs!$B$38="pvp",15,MAX(0.1,Skills!D11-IF(TRUE=TRUE,Inputs!$B$32,0)))*(1-IF(AND(ArtifactsInput!$M$27,Inputs!$B$4="Chapter Hunt"),CHOOSE(ArtifactsInput!$N$27+1,20,24,28,32,36,40),0)/100))/B803))))/Skills!H11+0.000000001),1)))/Inputs!$B$43),G772*Q772)))*N775)*IF(Inputs!$B$38="pvp",1,(1+(Inputs!$B$21+Skills!Q14+(IF(ArtifactsInput!$M$33,CHOOSE(ArtifactsInput!$N$33+1,30,36,42,48,54,60),0))+(IF(AND(ArtifactsInput!$M$35,Inputs!$B$4&lt;&gt;"Chapter Hunt"),CHOOSE(ArtifactsInput!$N$35+1,15,18,21,24,27,30)*(1-EXP(-(0.2*B794)*5)),0)+IF(AND(ArtifactsInput!$M$22,Inputs!$B$4&lt;&gt;"Chapter Hunt"),CHOOSE(ArtifactsInput!$N$22+1,10,12,14,16,18,20)*((0*(((0.15*B794*5))^0/1)+1*(((0.15*B794*5))^1/1)+2*(((0.15*B794*5))^2/2)+3*(((0.15*B794*5))^3/6)+4*(((0.15*B794*5))^4/24)+5*(((0.15*B794*5))^5/120))/((((0.15*B794*5))^0/1)+(((0.15*B794*5))^1/1)+(((0.15*B794*5))^2/2)+(((0.15*B794*5))^3/6)+(((0.15*B794*5))^4/24)+(((0.15*B794*5))^5/120))),0))+IF(Inputs!$B$3&gt;=54,9*(C764=TRUE)*MIN(1,8*(1+Inputs!$B$34/100)*Q764),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76">
      <c r="A776">
        <f>Skills!A15</f>
        <v/>
      </c>
      <c r="B776">
        <f>Skills!B15</f>
        <v/>
      </c>
      <c r="C776">
        <f>Inputs!$B$3&gt;=100</f>
        <v/>
      </c>
      <c r="D776">
        <f>IF(Skills!C15=1,60+Inputs!$B$25+Inputs!$B$29,IF(Skills!C15=2,90+Inputs!$B$26+Inputs!$B$29,IF(Skills!C15=3,120+Inputs!$B$27+Inputs!$B$29,MAX(0,(Inputs!$B$3-100)*3)+Inputs!$B$28+Inputs!$B$29)))</f>
        <v/>
      </c>
      <c r="E776">
        <f>INDEX(FactorTable!$B$2:$Y$301, MATCH(ROUND(MIN(300,MAX(1,D776)),0), FactorTable!$A$2:$A$301,0), Skills!M15+1)</f>
        <v/>
      </c>
      <c r="F776">
        <f>IF(Skills!N15=TRUE,(Skills!L15/10)*(E776/1000),Skills!L15/10)+Skills!O15</f>
        <v/>
      </c>
      <c r="G776" t="inlineStr"/>
      <c r="H776" t="inlineStr"/>
      <c r="I776" t="inlineStr">
        <is>
          <t>1</t>
        </is>
      </c>
      <c r="J776" t="inlineStr"/>
      <c r="K776" t="inlineStr"/>
      <c r="L776" t="inlineStr"/>
      <c r="M776" t="inlineStr"/>
      <c r="N776" t="inlineStr"/>
      <c r="O776" t="inlineStr"/>
      <c r="P776" t="inlineStr"/>
      <c r="Q776" t="inlineStr"/>
      <c r="R776" t="inlineStr"/>
      <c r="S776" t="inlineStr"/>
    </row>
    <row r="777">
      <c r="A777">
        <f>Skills!A16</f>
        <v/>
      </c>
      <c r="B777">
        <f>Skills!B16</f>
        <v/>
      </c>
      <c r="C777">
        <f>Inputs!$B$3&gt;=107</f>
        <v/>
      </c>
      <c r="D777">
        <f>IF(Skills!C16=1,60+Inputs!$B$25+Inputs!$B$29,IF(Skills!C16=2,90+Inputs!$B$26+Inputs!$B$29,IF(Skills!C16=3,120+Inputs!$B$27+Inputs!$B$29,MAX(0,(Inputs!$B$3-100)*3)+Inputs!$B$28+Inputs!$B$29)))</f>
        <v/>
      </c>
      <c r="E777">
        <f>INDEX(FactorTable!$B$2:$Y$301, MATCH(ROUND(MIN(300,MAX(1,D777)),0), FactorTable!$A$2:$A$301,0), Skills!M16+1)</f>
        <v/>
      </c>
      <c r="F777">
        <f>IF(Skills!N16=TRUE,(Skills!L16/10)*(E777/1000),Skills!L16/10)+Skills!O16</f>
        <v/>
      </c>
      <c r="G777" t="inlineStr"/>
      <c r="H777" t="inlineStr"/>
      <c r="I777" t="inlineStr">
        <is>
          <t>1</t>
        </is>
      </c>
      <c r="J777" t="inlineStr"/>
      <c r="K777" t="inlineStr"/>
      <c r="L777" t="inlineStr"/>
      <c r="M777" t="inlineStr"/>
      <c r="N777" t="inlineStr"/>
      <c r="O777" t="inlineStr"/>
      <c r="P777" t="inlineStr"/>
      <c r="Q777" t="inlineStr"/>
      <c r="R777" t="inlineStr"/>
      <c r="S777" t="inlineStr"/>
    </row>
    <row r="778">
      <c r="A778">
        <f>Skills!A17</f>
        <v/>
      </c>
      <c r="B778">
        <f>Skills!B17</f>
        <v/>
      </c>
      <c r="C778">
        <f>Inputs!$B$3&gt;=74</f>
        <v/>
      </c>
      <c r="D778">
        <f>IF(Skills!C17=1,60+Inputs!$B$25+Inputs!$B$29,IF(Skills!C17=2,90+Inputs!$B$26+Inputs!$B$29,IF(Skills!C17=3,120+Inputs!$B$27+Inputs!$B$29,MAX(0,(Inputs!$B$3-100)*3)+Inputs!$B$28+Inputs!$B$29)))</f>
        <v/>
      </c>
      <c r="E778">
        <f>INDEX(FactorTable!$B$2:$Y$301, MATCH(ROUND(MIN(300,MAX(1,D778)),0), FactorTable!$A$2:$A$301,0), Skills!M17+1)</f>
        <v/>
      </c>
      <c r="F778">
        <f>IF(Skills!N17=TRUE,(Skills!L17/10)*(E778/1000),Skills!L17/10)+Skills!O17</f>
        <v/>
      </c>
      <c r="G778">
        <f>Skills!G17*IF(Skills!H17&gt;0,INT(IF(Inputs!$B$38="pvp",MIN(Skills!I17,15),Skills!I17)/Skills!H17+0.000000001),1)</f>
        <v/>
      </c>
      <c r="H778">
        <f>1-(1-Skills!J17/100)^Skills!K17</f>
        <v/>
      </c>
      <c r="I778" t="inlineStr">
        <is>
          <t>1</t>
        </is>
      </c>
      <c r="J778" t="inlineStr"/>
      <c r="K778" t="inlineStr"/>
      <c r="L778" t="inlineStr"/>
      <c r="M778" t="inlineStr"/>
      <c r="N778" t="inlineStr"/>
      <c r="O778">
        <f>(1-Summary!$B$11)*T778+Summary!$B$11*V778</f>
        <v/>
      </c>
      <c r="P778">
        <f>IF(B802=0,0,O778/B802)</f>
        <v/>
      </c>
      <c r="Q778" t="n">
        <v>0</v>
      </c>
      <c r="R778" t="n">
        <v>0</v>
      </c>
      <c r="S778">
        <f>IFERROR(O778/N778,0)</f>
        <v/>
      </c>
      <c r="T778" t="n">
        <v>0</v>
      </c>
      <c r="V778" t="n">
        <v>0</v>
      </c>
    </row>
    <row r="779">
      <c r="A779">
        <f>Skills!A18</f>
        <v/>
      </c>
      <c r="B779">
        <f>Skills!B18</f>
        <v/>
      </c>
      <c r="C779">
        <f>Inputs!$B$3&gt;=115</f>
        <v/>
      </c>
      <c r="D779">
        <f>IF(Skills!C18=1,60+Inputs!$B$25+Inputs!$B$29,IF(Skills!C18=2,90+Inputs!$B$26+Inputs!$B$29,IF(Skills!C18=3,120+Inputs!$B$27+Inputs!$B$29,MAX(0,(Inputs!$B$3-100)*3)+Inputs!$B$28+Inputs!$B$29)))</f>
        <v/>
      </c>
      <c r="E779">
        <f>INDEX(FactorTable!$B$2:$Y$301, MATCH(ROUND(MIN(300,MAX(1,D779)),0), FactorTable!$A$2:$A$301,0), Skills!M18+1)</f>
        <v/>
      </c>
      <c r="F779">
        <f>IF(Skills!N18=TRUE,(Skills!L18/10)*(E779/1000),Skills!L18/10)+Skills!O18</f>
        <v/>
      </c>
      <c r="G779">
        <f>Skills!G18*IF(Skills!H18&gt;0,INT(IF(Inputs!$B$38="pvp",MIN(Skills!I18,15),Skills!I18)/Skills!H18+0.000000001),1)</f>
        <v/>
      </c>
      <c r="H779">
        <f>1-(1-Skills!J18/100)^Skills!K18</f>
        <v/>
      </c>
      <c r="I779" t="inlineStr">
        <is>
          <t>1</t>
        </is>
      </c>
      <c r="J779" t="inlineStr"/>
      <c r="K779" t="inlineStr"/>
      <c r="L779" t="inlineStr"/>
      <c r="M779" t="inlineStr"/>
      <c r="N779" t="inlineStr"/>
      <c r="O779">
        <f>(1-Summary!$B$11)*T779+Summary!$B$11*V779</f>
        <v/>
      </c>
      <c r="P779">
        <f>IF(B802=0,0,O779/B802)</f>
        <v/>
      </c>
      <c r="Q779">
        <f>IFERROR(1/(IF(Inputs!$B$38="pvp",15,MAX(0.1,Skills!D18-IF(TRUE=TRUE,Inputs!$B$32,0)))*(1-IF(AND(ArtifactsInput!$M$27,Inputs!$B$4="Chapter Hunt"),CHOOSE(ArtifactsInput!$N$27+1,20,24,28,32,36,40),0)/100)),0)</f>
        <v/>
      </c>
      <c r="R779">
        <f>IF(AND(Inputs!$B$38&lt;&gt;"pvp",Inputs!$B$43&gt;0),IF(Inputs!$B$43&lt;=0,0,(INT(Inputs!$B$43/(IF(Inputs!$B$38="pvp",15,MAX(0.1,Skills!D18-IF(TRUE=TRUE,Inputs!$B$32,0)))*(1-IF(AND(ArtifactsInput!$M$27,Inputs!$B$4="Chapter Hunt"),CHOOSE(ArtifactsInput!$N$27+1,20,24,28,32,36,40),0)/100)))+1)),0)</f>
        <v/>
      </c>
      <c r="S779">
        <f>IFERROR(O779/N779,0)</f>
        <v/>
      </c>
      <c r="T779" t="n">
        <v>0</v>
      </c>
      <c r="V779" t="n">
        <v>0</v>
      </c>
    </row>
    <row r="780">
      <c r="A780">
        <f>Skills!A19</f>
        <v/>
      </c>
      <c r="B780">
        <f>Skills!B19</f>
        <v/>
      </c>
      <c r="C780">
        <f>Inputs!$B$3&gt;=10</f>
        <v/>
      </c>
      <c r="D780">
        <f>IF(Skills!C19=1,60+Inputs!$B$25+Inputs!$B$29,IF(Skills!C19=2,90+Inputs!$B$26+Inputs!$B$29,IF(Skills!C19=3,120+Inputs!$B$27+Inputs!$B$29,MAX(0,(Inputs!$B$3-100)*3)+Inputs!$B$28+Inputs!$B$29)))</f>
        <v/>
      </c>
      <c r="E780">
        <f>INDEX(FactorTable!$B$2:$Y$301, MATCH(ROUND(MIN(300,MAX(1,D780)),0), FactorTable!$A$2:$A$301,0), Skills!M19+1)</f>
        <v/>
      </c>
      <c r="F780">
        <f>IF(Skills!N19=TRUE,(Skills!L19/10)*(E780/1000),Skills!L19/10)+Skills!O19</f>
        <v/>
      </c>
      <c r="G780">
        <f>Skills!G19*IF(Skills!H19&gt;0,INT(IF(Inputs!$B$38="pvp",MIN(Skills!I19,15),Skills!I19)/Skills!H19+0.000000001),1)</f>
        <v/>
      </c>
      <c r="H780">
        <f>1-(1-Skills!J19/100)^Skills!K19</f>
        <v/>
      </c>
      <c r="I780" t="inlineStr">
        <is>
          <t>1</t>
        </is>
      </c>
      <c r="J780" t="inlineStr"/>
      <c r="K780" t="inlineStr"/>
      <c r="L780" t="inlineStr"/>
      <c r="M780" t="inlineStr"/>
      <c r="N780" t="inlineStr"/>
      <c r="O780">
        <f>(1-Summary!$B$11)*T780+Summary!$B$11*V780</f>
        <v/>
      </c>
      <c r="P780">
        <f>IF(B802=0,0,O780/B802)</f>
        <v/>
      </c>
      <c r="Q780" t="n">
        <v>0</v>
      </c>
      <c r="R780" t="n">
        <v>0</v>
      </c>
      <c r="S780">
        <f>IFERROR(O780/N780,0)</f>
        <v/>
      </c>
      <c r="T780" t="n">
        <v>0</v>
      </c>
      <c r="V780" t="n">
        <v>0</v>
      </c>
    </row>
    <row r="781">
      <c r="A781">
        <f>Skills!A20</f>
        <v/>
      </c>
      <c r="B781">
        <f>Skills!B20</f>
        <v/>
      </c>
      <c r="C781">
        <f>Inputs!$B$3&gt;=15</f>
        <v/>
      </c>
      <c r="D781">
        <f>IF(Skills!C20=1,60+Inputs!$B$25+Inputs!$B$29,IF(Skills!C20=2,90+Inputs!$B$26+Inputs!$B$29,IF(Skills!C20=3,120+Inputs!$B$27+Inputs!$B$29,MAX(0,(Inputs!$B$3-100)*3)+Inputs!$B$28+Inputs!$B$29)))</f>
        <v/>
      </c>
      <c r="E781">
        <f>INDEX(FactorTable!$B$2:$Y$301, MATCH(ROUND(MIN(300,MAX(1,D781)),0), FactorTable!$A$2:$A$301,0), Skills!M20+1)</f>
        <v/>
      </c>
      <c r="F781">
        <f>IF(Skills!N20=TRUE,(Skills!L20/10)*(E781/1000),Skills!L20/10)+Skills!O20</f>
        <v/>
      </c>
      <c r="G781">
        <f>Skills!G20*IF(Skills!H20&gt;0,INT(IF(Inputs!$B$38="pvp",MIN(Skills!I20,15),Skills!I20)/Skills!H20+0.000000001),1)</f>
        <v/>
      </c>
      <c r="H781">
        <f>1-(1-Skills!J20/100)^Skills!K20</f>
        <v/>
      </c>
      <c r="I781" t="inlineStr">
        <is>
          <t>1</t>
        </is>
      </c>
      <c r="J781" t="inlineStr"/>
      <c r="K781" t="inlineStr"/>
      <c r="L781" t="inlineStr"/>
      <c r="M781" t="inlineStr"/>
      <c r="N781" t="inlineStr"/>
      <c r="O781">
        <f>(1-Summary!$B$11)*T781+Summary!$B$11*V781</f>
        <v/>
      </c>
      <c r="P781">
        <f>IF(B802=0,0,O781/B802)</f>
        <v/>
      </c>
      <c r="Q781" t="n">
        <v>0</v>
      </c>
      <c r="R781" t="n">
        <v>0</v>
      </c>
      <c r="S781">
        <f>IFERROR(O781/N781,0)</f>
        <v/>
      </c>
      <c r="T781" t="n">
        <v>0</v>
      </c>
      <c r="V781" t="n">
        <v>0</v>
      </c>
    </row>
    <row r="782">
      <c r="A782">
        <f>Skills!A21</f>
        <v/>
      </c>
      <c r="B782">
        <f>Skills!B21</f>
        <v/>
      </c>
      <c r="C782">
        <f>Inputs!$B$3&gt;=40</f>
        <v/>
      </c>
      <c r="D782">
        <f>IF(Skills!C21=1,60+Inputs!$B$25+Inputs!$B$29,IF(Skills!C21=2,90+Inputs!$B$26+Inputs!$B$29,IF(Skills!C21=3,120+Inputs!$B$27+Inputs!$B$29,MAX(0,(Inputs!$B$3-100)*3)+Inputs!$B$28+Inputs!$B$29)))</f>
        <v/>
      </c>
      <c r="E782">
        <f>INDEX(FactorTable!$B$2:$Y$301, MATCH(ROUND(MIN(300,MAX(1,D782)),0), FactorTable!$A$2:$A$301,0), Skills!M21+1)</f>
        <v/>
      </c>
      <c r="F782">
        <f>IF(Skills!N21=TRUE,(Skills!L21/10)*(E782/1000),Skills!L21/10)+Skills!O21</f>
        <v/>
      </c>
      <c r="G782">
        <f>Skills!G21*IF(Skills!H21&gt;0,INT(IF(Inputs!$B$38="pvp",MIN(Skills!I21,15),Skills!I21)/Skills!H21+0.000000001),1)</f>
        <v/>
      </c>
      <c r="H782">
        <f>1-(1-Skills!J21/100)^Skills!K21</f>
        <v/>
      </c>
      <c r="I782" t="inlineStr">
        <is>
          <t>1</t>
        </is>
      </c>
      <c r="J782" t="inlineStr"/>
      <c r="K782" t="inlineStr"/>
      <c r="L782" t="inlineStr"/>
      <c r="M782" t="inlineStr"/>
      <c r="N782" t="inlineStr"/>
      <c r="O782">
        <f>(1-Summary!$B$11)*T782+Summary!$B$11*V782</f>
        <v/>
      </c>
      <c r="P782">
        <f>IF(B802=0,0,O782/B802)</f>
        <v/>
      </c>
      <c r="Q782" t="n">
        <v>0</v>
      </c>
      <c r="R782" t="n">
        <v>0</v>
      </c>
      <c r="S782">
        <f>IFERROR(O782/N782,0)</f>
        <v/>
      </c>
      <c r="T782" t="n">
        <v>0</v>
      </c>
      <c r="V782" t="n">
        <v>0</v>
      </c>
    </row>
    <row r="783">
      <c r="A783">
        <f>Skills!A22</f>
        <v/>
      </c>
      <c r="B783">
        <f>Skills!B22</f>
        <v/>
      </c>
      <c r="C783">
        <f>Inputs!$B$3&gt;=43</f>
        <v/>
      </c>
      <c r="D783">
        <f>IF(Skills!C22=1,60+Inputs!$B$25+Inputs!$B$29,IF(Skills!C22=2,90+Inputs!$B$26+Inputs!$B$29,IF(Skills!C22=3,120+Inputs!$B$27+Inputs!$B$29,MAX(0,(Inputs!$B$3-100)*3)+Inputs!$B$28+Inputs!$B$29)))</f>
        <v/>
      </c>
      <c r="E783">
        <f>INDEX(FactorTable!$B$2:$Y$301, MATCH(ROUND(MIN(300,MAX(1,D783)),0), FactorTable!$A$2:$A$301,0), Skills!M22+1)</f>
        <v/>
      </c>
      <c r="F783">
        <f>IF(Skills!N22=TRUE,(Skills!L22/10)*(E783/1000),Skills!L22/10)+Skills!O22</f>
        <v/>
      </c>
      <c r="G783">
        <f>Skills!G22*IF(Skills!H22&gt;0,INT(IF(Inputs!$B$38="pvp",MIN(Skills!I22,15),Skills!I22)/Skills!H22+0.000000001),1)</f>
        <v/>
      </c>
      <c r="H783">
        <f>1-(1-Skills!J22/100)^Skills!K22</f>
        <v/>
      </c>
      <c r="I783" t="inlineStr">
        <is>
          <t>1</t>
        </is>
      </c>
      <c r="J783" t="inlineStr"/>
      <c r="K783" t="inlineStr"/>
      <c r="L783" t="inlineStr"/>
      <c r="M783" t="inlineStr"/>
      <c r="N783" t="inlineStr"/>
      <c r="O783">
        <f>(1-Summary!$B$11)*T783+Summary!$B$11*V783</f>
        <v/>
      </c>
      <c r="P783">
        <f>IF(B802=0,0,O783/B802)</f>
        <v/>
      </c>
      <c r="Q783" t="n">
        <v>0</v>
      </c>
      <c r="R783" t="n">
        <v>0</v>
      </c>
      <c r="S783">
        <f>IFERROR(O783/N783,0)</f>
        <v/>
      </c>
      <c r="T783" t="n">
        <v>0</v>
      </c>
      <c r="V783" t="n">
        <v>0</v>
      </c>
    </row>
    <row r="784">
      <c r="A784">
        <f>Skills!A23</f>
        <v/>
      </c>
      <c r="B784">
        <f>Skills!B23</f>
        <v/>
      </c>
      <c r="C784">
        <f>Inputs!$B$3&gt;=38</f>
        <v/>
      </c>
      <c r="D784">
        <f>IF(Skills!C23=1,60+Inputs!$B$25+Inputs!$B$29,IF(Skills!C23=2,90+Inputs!$B$26+Inputs!$B$29,IF(Skills!C23=3,120+Inputs!$B$27+Inputs!$B$29,MAX(0,(Inputs!$B$3-100)*3)+Inputs!$B$28+Inputs!$B$29)))</f>
        <v/>
      </c>
      <c r="E784">
        <f>INDEX(FactorTable!$B$2:$Y$301, MATCH(ROUND(MIN(300,MAX(1,D784)),0), FactorTable!$A$2:$A$301,0), Skills!M23+1)</f>
        <v/>
      </c>
      <c r="F784">
        <f>IF(Skills!N23=TRUE,(Skills!L23/10)*(E784/1000),Skills!L23/10)+Skills!O23</f>
        <v/>
      </c>
      <c r="G784">
        <f>Skills!G23*IF(Skills!H23&gt;0,INT(IF(Inputs!$B$38="pvp",MIN(Skills!I23,15),Skills!I23)/Skills!H23+0.000000001),1)</f>
        <v/>
      </c>
      <c r="H784">
        <f>1-(1-Skills!J23/100)^Skills!K23</f>
        <v/>
      </c>
      <c r="I784" t="inlineStr">
        <is>
          <t>1</t>
        </is>
      </c>
      <c r="J784" t="inlineStr"/>
      <c r="K784" t="inlineStr"/>
      <c r="L784" t="inlineStr"/>
      <c r="M784" t="inlineStr"/>
      <c r="N784" t="inlineStr"/>
      <c r="O784">
        <f>(1-Summary!$B$11)*T784+Summary!$B$11*V784</f>
        <v/>
      </c>
      <c r="P784">
        <f>IF(B802=0,0,O784/B802)</f>
        <v/>
      </c>
      <c r="Q784" t="n">
        <v>0</v>
      </c>
      <c r="R784" t="n">
        <v>0</v>
      </c>
      <c r="S784">
        <f>IFERROR(O784/N784,0)</f>
        <v/>
      </c>
      <c r="T784" t="n">
        <v>0</v>
      </c>
      <c r="V784" t="n">
        <v>0</v>
      </c>
    </row>
    <row r="785">
      <c r="A785">
        <f>Skills!A24</f>
        <v/>
      </c>
      <c r="B785">
        <f>Skills!B24</f>
        <v/>
      </c>
      <c r="C785">
        <f>Inputs!$B$3&gt;=45</f>
        <v/>
      </c>
      <c r="D785">
        <f>IF(Skills!C24=1,60+Inputs!$B$25+Inputs!$B$29,IF(Skills!C24=2,90+Inputs!$B$26+Inputs!$B$29,IF(Skills!C24=3,120+Inputs!$B$27+Inputs!$B$29,MAX(0,(Inputs!$B$3-100)*3)+Inputs!$B$28+Inputs!$B$29)))</f>
        <v/>
      </c>
      <c r="E785">
        <f>INDEX(FactorTable!$B$2:$Y$301, MATCH(ROUND(MIN(300,MAX(1,D785)),0), FactorTable!$A$2:$A$301,0), Skills!M24+1)</f>
        <v/>
      </c>
      <c r="F785">
        <f>IF(Skills!N24=TRUE,(Skills!L24/10)*(E785/1000),Skills!L24/10)+Skills!O24</f>
        <v/>
      </c>
      <c r="G785">
        <f>Skills!G24*IF(Skills!H24&gt;0,INT(IF(Inputs!$B$38="pvp",MIN(Skills!I24,15),Skills!I24)/Skills!H24+0.000000001),1)</f>
        <v/>
      </c>
      <c r="H785">
        <f>1-(1-Skills!J24/100)^Skills!K24</f>
        <v/>
      </c>
      <c r="I785" t="inlineStr">
        <is>
          <t>1</t>
        </is>
      </c>
      <c r="J785" t="inlineStr"/>
      <c r="K785" t="inlineStr"/>
      <c r="L785" t="inlineStr"/>
      <c r="M785" t="inlineStr"/>
      <c r="N785" t="inlineStr"/>
      <c r="O785">
        <f>(1-Summary!$B$11)*T785+Summary!$B$11*V785</f>
        <v/>
      </c>
      <c r="P785">
        <f>IF(B802=0,0,O785/B802)</f>
        <v/>
      </c>
      <c r="Q785" t="n">
        <v>0</v>
      </c>
      <c r="R785" t="n">
        <v>0</v>
      </c>
      <c r="S785">
        <f>IFERROR(O785/N785,0)</f>
        <v/>
      </c>
      <c r="T785" t="n">
        <v>0</v>
      </c>
      <c r="V785" t="n">
        <v>0</v>
      </c>
    </row>
    <row r="786">
      <c r="A786">
        <f>Skills!A25</f>
        <v/>
      </c>
      <c r="B786">
        <f>Skills!B25</f>
        <v/>
      </c>
      <c r="C786">
        <f>Inputs!$B$3&gt;=72</f>
        <v/>
      </c>
      <c r="D786">
        <f>IF(Skills!C25=1,60+Inputs!$B$25+Inputs!$B$29,IF(Skills!C25=2,90+Inputs!$B$26+Inputs!$B$29,IF(Skills!C25=3,120+Inputs!$B$27+Inputs!$B$29,MAX(0,(Inputs!$B$3-100)*3)+Inputs!$B$28+Inputs!$B$29)))</f>
        <v/>
      </c>
      <c r="E786">
        <f>INDEX(FactorTable!$B$2:$Y$301, MATCH(ROUND(MIN(300,MAX(1,D786)),0), FactorTable!$A$2:$A$301,0), Skills!M25+1)</f>
        <v/>
      </c>
      <c r="F786">
        <f>IF(Skills!N25=TRUE,(Skills!L25/10)*(E786/1000),Skills!L25/10)+Skills!O25</f>
        <v/>
      </c>
      <c r="G786">
        <f>Skills!G25*IF(Skills!H25&gt;0,INT(IF(Inputs!$B$38="pvp",MIN(Skills!I25,15),Skills!I25)/Skills!H25+0.000000001),1)</f>
        <v/>
      </c>
      <c r="H786">
        <f>1-(1-Skills!J25/100)^Skills!K25</f>
        <v/>
      </c>
      <c r="I786" t="inlineStr">
        <is>
          <t>1</t>
        </is>
      </c>
      <c r="J786" t="inlineStr"/>
      <c r="K786" t="inlineStr"/>
      <c r="L786" t="inlineStr"/>
      <c r="M786" t="inlineStr"/>
      <c r="N786" t="inlineStr"/>
      <c r="O786">
        <f>(1-Summary!$B$11)*T786+Summary!$B$11*V786</f>
        <v/>
      </c>
      <c r="P786">
        <f>IF(B802=0,0,O786/B802)</f>
        <v/>
      </c>
      <c r="Q786" t="n">
        <v>0</v>
      </c>
      <c r="R786" t="n">
        <v>0</v>
      </c>
      <c r="S786">
        <f>IFERROR(O786/N786,0)</f>
        <v/>
      </c>
      <c r="T786" t="n">
        <v>0</v>
      </c>
      <c r="V786" t="n">
        <v>0</v>
      </c>
    </row>
    <row r="787">
      <c r="A787">
        <f>Skills!A26</f>
        <v/>
      </c>
      <c r="B787">
        <f>Skills!B26</f>
        <v/>
      </c>
      <c r="C787">
        <f>Inputs!$B$3&gt;=75</f>
        <v/>
      </c>
      <c r="D787">
        <f>IF(Skills!C26=1,60+Inputs!$B$25+Inputs!$B$29,IF(Skills!C26=2,90+Inputs!$B$26+Inputs!$B$29,IF(Skills!C26=3,120+Inputs!$B$27+Inputs!$B$29,MAX(0,(Inputs!$B$3-100)*3)+Inputs!$B$28+Inputs!$B$29)))</f>
        <v/>
      </c>
      <c r="E787">
        <f>INDEX(FactorTable!$B$2:$Y$301, MATCH(ROUND(MIN(300,MAX(1,D787)),0), FactorTable!$A$2:$A$301,0), Skills!M26+1)</f>
        <v/>
      </c>
      <c r="F787">
        <f>IF(Skills!N26=TRUE,(Skills!L26/10)*(E787/1000),Skills!L26/10)+Skills!O26</f>
        <v/>
      </c>
      <c r="G787">
        <f>Skills!G26*IF(Skills!H26&gt;0,INT(IF(Inputs!$B$38="pvp",MIN(Skills!I26,15),Skills!I26)/Skills!H26+0.000000001),1)</f>
        <v/>
      </c>
      <c r="H787">
        <f>1-(1-Skills!J26/100)^Skills!K26</f>
        <v/>
      </c>
      <c r="I787" t="inlineStr">
        <is>
          <t>1</t>
        </is>
      </c>
      <c r="J787" t="inlineStr"/>
      <c r="K787" t="inlineStr"/>
      <c r="L787" t="inlineStr"/>
      <c r="M787" t="inlineStr"/>
      <c r="N787" t="inlineStr"/>
      <c r="O787">
        <f>(1-Summary!$B$11)*T787+Summary!$B$11*V787</f>
        <v/>
      </c>
      <c r="P787">
        <f>IF(B802=0,0,O787/B802)</f>
        <v/>
      </c>
      <c r="Q787" t="n">
        <v>0</v>
      </c>
      <c r="R787" t="n">
        <v>0</v>
      </c>
      <c r="S787">
        <f>IFERROR(O787/N787,0)</f>
        <v/>
      </c>
      <c r="T787" t="n">
        <v>0</v>
      </c>
      <c r="V787" t="n">
        <v>0</v>
      </c>
    </row>
    <row r="788">
      <c r="A788">
        <f>Skills!A27</f>
        <v/>
      </c>
      <c r="B788">
        <f>Skills!B27</f>
        <v/>
      </c>
      <c r="C788">
        <f>Inputs!$B$3&gt;=125</f>
        <v/>
      </c>
      <c r="D788">
        <f>IF(Skills!C27=1,60+Inputs!$B$25+Inputs!$B$29,IF(Skills!C27=2,90+Inputs!$B$26+Inputs!$B$29,IF(Skills!C27=3,120+Inputs!$B$27+Inputs!$B$29,MAX(0,(Inputs!$B$3-100)*3)+Inputs!$B$28+Inputs!$B$29)))</f>
        <v/>
      </c>
      <c r="E788">
        <f>INDEX(FactorTable!$B$2:$Y$301, MATCH(ROUND(MIN(300,MAX(1,D788)),0), FactorTable!$A$2:$A$301,0), Skills!M27+1)</f>
        <v/>
      </c>
      <c r="F788">
        <f>IF(Skills!N27=TRUE,(Skills!L27/10)*(E788/1000),Skills!L27/10)+Skills!O27</f>
        <v/>
      </c>
      <c r="G788">
        <f>Skills!G27*IF(Skills!H27&gt;0,INT(IF(Inputs!$B$38="pvp",MIN(Skills!I27,15),Skills!I27)/Skills!H27+0.000000001),1)</f>
        <v/>
      </c>
      <c r="H788">
        <f>1-(1-Skills!J27/100)^Skills!K27</f>
        <v/>
      </c>
      <c r="I788" t="inlineStr">
        <is>
          <t>1</t>
        </is>
      </c>
      <c r="J788" t="inlineStr"/>
      <c r="K788" t="inlineStr"/>
      <c r="L788" t="inlineStr"/>
      <c r="M788" t="inlineStr"/>
      <c r="N788" t="inlineStr"/>
      <c r="O788">
        <f>(1-Summary!$B$11)*T788+Summary!$B$11*V788</f>
        <v/>
      </c>
      <c r="P788">
        <f>IF(B802=0,0,O788/B802)</f>
        <v/>
      </c>
      <c r="Q788" t="n">
        <v>0</v>
      </c>
      <c r="R788" t="n">
        <v>0</v>
      </c>
      <c r="S788">
        <f>IFERROR(O788/N788,0)</f>
        <v/>
      </c>
      <c r="T788" t="n">
        <v>0</v>
      </c>
      <c r="V788" t="n">
        <v>0</v>
      </c>
    </row>
    <row r="789">
      <c r="A789">
        <f>Skills!A28</f>
        <v/>
      </c>
      <c r="B789">
        <f>Skills!B28</f>
        <v/>
      </c>
      <c r="C789">
        <f>TRUE</f>
        <v/>
      </c>
      <c r="D789">
        <f>IF(Skills!C28=1,60+Inputs!$B$25+Inputs!$B$29,IF(Skills!C28=2,90+Inputs!$B$26+Inputs!$B$29,IF(Skills!C28=3,120+Inputs!$B$27+Inputs!$B$29,MAX(0,(Inputs!$B$3-100)*3)+Inputs!$B$28+Inputs!$B$29)))</f>
        <v/>
      </c>
      <c r="E789">
        <f>INDEX(FactorTable!$B$2:$Y$301, MATCH(ROUND(MIN(300,MAX(1,D789)),0), FactorTable!$A$2:$A$301,0), Skills!M28+1)</f>
        <v/>
      </c>
      <c r="F789">
        <f>IF(Skills!N28=TRUE,(Skills!L28/10)*(E789/1000),Skills!L28/10)+Skills!O28</f>
        <v/>
      </c>
      <c r="G789">
        <f>Skills!G28*IF(Skills!H28&gt;0,INT(IF(Inputs!$B$38="pvp",MIN(Skills!I28,15),Skills!I28)/Skills!H28+0.000000001),1)</f>
        <v/>
      </c>
      <c r="H789">
        <f>1-(1-Skills!J28/100)^Skills!K28</f>
        <v/>
      </c>
      <c r="I789" t="inlineStr">
        <is>
          <t>1</t>
        </is>
      </c>
      <c r="J789" t="inlineStr"/>
      <c r="K789" t="inlineStr"/>
      <c r="L789" t="inlineStr"/>
      <c r="M789" t="inlineStr"/>
      <c r="N789" t="inlineStr"/>
      <c r="O789">
        <f>(1-Summary!$B$11)*T789+Summary!$B$11*V789</f>
        <v/>
      </c>
      <c r="P789">
        <f>IF(B802=0,0,O789/B802)</f>
        <v/>
      </c>
      <c r="Q789">
        <f>IFERROR(1/(IF(Inputs!$B$38="pvp",15,MAX(0.1,Skills!D28-IF(TRUE=TRUE,Inputs!$B$32,0)))*(1-IF(AND(ArtifactsInput!$M$27,Inputs!$B$4="Chapter Hunt"),CHOOSE(ArtifactsInput!$N$27+1,20,24,28,32,36,40),0)/100)),0)</f>
        <v/>
      </c>
      <c r="R789">
        <f>IF(AND(Inputs!$B$38&lt;&gt;"pvp",Inputs!$B$43&gt;0),IF(Inputs!$B$43&lt;=0,0,(INT(Inputs!$B$43/(IF(Inputs!$B$38="pvp",15,MAX(0.1,Skills!D28-IF(TRUE=TRUE,Inputs!$B$32,0)))*(1-IF(AND(ArtifactsInput!$M$27,Inputs!$B$4="Chapter Hunt"),CHOOSE(ArtifactsInput!$N$27+1,20,24,28,32,36,40),0)/100)))+1)),0)</f>
        <v/>
      </c>
      <c r="S789">
        <f>IFERROR(O789/N789,0)</f>
        <v/>
      </c>
      <c r="T789" t="n">
        <v>0</v>
      </c>
      <c r="V789" t="n">
        <v>0</v>
      </c>
    </row>
    <row r="791">
      <c r="A791" t="inlineStr">
        <is>
          <t>Attack% Bucket Multiplier</t>
        </is>
      </c>
      <c r="B791">
        <f>(1+(((C778=TRUE)*F778*5/7)+((C785=TRUE)*(F785-Calc!F24))+(IF(ArtifactsInput!$M$21,CHOOSE(ArtifactsInput!$N$21+1,25,30,35,40,45,50)*(IF(OR(Inputs!$B$4="Chapter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792">
      <c r="A792" t="inlineStr">
        <is>
          <t>Global Crit Rate Bonus %</t>
        </is>
      </c>
      <c r="B792" t="n">
        <v>0</v>
      </c>
    </row>
    <row r="793">
      <c r="A793" t="inlineStr">
        <is>
          <t>Attack Speed Buff Bonus % (Nimble Feet, duty-cycle averaged)</t>
        </is>
      </c>
      <c r="B793">
        <f>((C789=TRUE)*F789*IF(AND(Inputs!$B$38&lt;&gt;"pvp",Inputs!$B$43&gt;0),(((R789-1)*MIN((Skills!T28*(1+Inputs!$B$34/100)),(1/Q789))+MIN((Skills!T28*(1+Inputs!$B$34/100)),MAX(0,Inputs!$B$43-((R789-1)*(1/Q789)))))/Inputs!$B$43),IF(Inputs!$B$38="pvp",MIN((Skills!T28*(1+Inputs!$B$34/100)),15)/15,MIN(1,(Skills!T28*(1+Inputs!$B$34/100))/(1/Q789)))))</f>
        <v/>
      </c>
    </row>
    <row r="794">
      <c r="A794" t="inlineStr">
        <is>
          <t>Actions Per Second</t>
        </is>
      </c>
      <c r="B794">
        <f>1+MIN(150,150*(1-(1-(Inputs!$B$11+((C781=TRUE)*(F781-Calc!F20))+((C782=TRUE)*(F782-Calc!F21)))/150)*(1-B793/150)))/100</f>
        <v/>
      </c>
    </row>
    <row r="795">
      <c r="A795" t="inlineStr">
        <is>
          <t>Skill + Buff Cast Rate</t>
        </is>
      </c>
      <c r="B795">
        <f>IF(AND(Inputs!$B$38&lt;&gt;"pvp",Inputs!$B$43&gt;0),SUMPRODUCT((Skills!E2:E28=TRUE)*(C763:C789=TRUE)*R763:R789*Skills!F2:F28)/Inputs!$B$43,SUMPRODUCT((Skills!E2:E28=TRUE)*(C763:C789=TRUE)*Q763:Q789*Skills!F2:F28))</f>
        <v/>
      </c>
    </row>
    <row r="796">
      <c r="A796" t="inlineStr">
        <is>
          <t>Eight-Legs Easton Casts Per Second</t>
        </is>
      </c>
      <c r="B796">
        <f>MAX(0,B794-B795)</f>
        <v/>
      </c>
    </row>
    <row r="797">
      <c r="A797" t="inlineStr">
        <is>
          <t>Global Critical Damage Bonus % (unused)</t>
        </is>
      </c>
      <c r="B797" t="n">
        <v>0</v>
      </c>
    </row>
    <row r="798">
      <c r="A798" t="inlineStr">
        <is>
          <t>Global Final Damage Bonus % (Jolly Roger + Ahoy Mateys - Final Damage proc)</t>
        </is>
      </c>
      <c r="B798">
        <f>((C779=TRUE)*F779*IF(AND(Inputs!$B$38&lt;&gt;"pvp",Inputs!$B$43&gt;0),(((R779-1)*MIN((Skills!T18*(1+Inputs!$B$34/100)),(1/Q779))+MIN((Skills!T18*(1+Inputs!$B$34/100)),MAX(0,Inputs!$B$43-((R779-1)*(1/Q779)))))/Inputs!$B$43),IF(Inputs!$B$38="pvp",MIN((Skills!T18*(1+Inputs!$B$34/100)),15)/15,MIN(1,(Skills!T18*(1+Inputs!$B$34/100))/(1/Q779)))))+IF(Inputs!$B$3&gt;=122,20*IF(Inputs!$B$38="pvp",MIN((20*(1+Inputs!$B$34/100)),15)/15,MIN(1,(20*(1+Inputs!$B$34/100))/(1/Q765))),0)</f>
        <v/>
      </c>
    </row>
    <row r="799">
      <c r="A799" t="inlineStr">
        <is>
          <t>Buff-Casting Startup Delay (s, fixed-duration only)</t>
        </is>
      </c>
      <c r="B799">
        <f>IF(AND(Inputs!$B$38&lt;&gt;"pvp",Inputs!$B$43&gt;0),SUMPRODUCT((Skills!T2:T28&gt;0)*(Skills!E2:E28=TRUE)*(C763:C789=TRUE))/B794,0)</f>
        <v/>
      </c>
    </row>
    <row r="800">
      <c r="A800" t="inlineStr">
        <is>
          <t>Boss-Only Total DPS (this block's swept value)</t>
        </is>
      </c>
      <c r="B800">
        <f>SUM(T763:T789)</f>
        <v/>
      </c>
    </row>
    <row r="801">
      <c r="A801" t="inlineStr">
        <is>
          <t>Normal-Only Total DPS (this block's swept value)</t>
        </is>
      </c>
      <c r="B801">
        <f>SUM(V763:V789)</f>
        <v/>
      </c>
    </row>
    <row r="802">
      <c r="A802" s="6" t="inlineStr">
        <is>
          <t>TOTAL DPS</t>
        </is>
      </c>
      <c r="B802" s="6">
        <f>SUM(O763:O789)</f>
        <v/>
      </c>
    </row>
    <row r="803">
      <c r="A803" t="inlineStr">
        <is>
          <t>Quickdraw cooldown divisor (this block's own APS / Q)</t>
        </is>
      </c>
      <c r="B803">
        <f>IF(AND(C788=TRUE,Inputs!$B$38&lt;&gt;"pvp"),1+0.25*MAX(0,(B794-(((C764=TRUE)*Q764*1)+((C765=TRUE)*Q765*1)+((C767=TRUE)*Q767*1)+((C768=TRUE)*Q768*1)+((C770=TRUE)*Q770*1)+((C773=TRUE)*Q773*1)+((C779=TRUE)*Q779*1)+((C789=TRUE)*Q789*1))-((C769=TRUE)/(IF(Inputs!$B$38="pvp",15,MAX(0.1,Skills!D8-IF(TRUE=TRUE,Inputs!$B$32,0)))*(1-IF(AND(ArtifactsInput!$M$27,Inputs!$B$4="Chapter Hunt"),CHOOSE(ArtifactsInput!$N$27+1,20,24,28,32,36,40),0)/100))+(C772=TRUE)/(IF(Inputs!$B$38="pvp",15,MAX(0.1,Skills!D11-IF(TRUE=TRUE,Inputs!$B$32,0)))*(1-IF(AND(ArtifactsInput!$M$27,Inputs!$B$4="Chapter Hunt"),CHOOSE(ArtifactsInput!$N$27+1,20,24,28,32,36,40),0)/100))))/(1+0.25*((C769=TRUE)/(IF(Inputs!$B$38="pvp",15,MAX(0.1,Skills!D8-IF(TRUE=TRUE,Inputs!$B$32,0)))*(1-IF(AND(ArtifactsInput!$M$27,Inputs!$B$4="Chapter Hunt"),CHOOSE(ArtifactsInput!$N$27+1,20,24,28,32,36,40),0)/100))+(C772=TRUE)/(IF(Inputs!$B$38="pvp",15,MAX(0.1,Skills!D11-IF(TRUE=TRUE,Inputs!$B$32,0)))*(1-IF(AND(ArtifactsInput!$M$27,Inputs!$B$4="Chapter Hunt"),CHOOSE(ArtifactsInput!$N$27+1,20,24,28,32,36,40),0)/100))))),1)</f>
        <v/>
      </c>
    </row>
    <row r="804">
      <c r="A804" t="inlineStr">
        <is>
          <t>Nautilus Strike - Final Attack trigger rate (this block's own Q/R)</t>
        </is>
      </c>
      <c r="B804">
        <f>IF(AND(Inputs!$B$38&lt;&gt;"pvp",Inputs!$B$43&gt;0),(((C764=TRUE)*R764)+((C767=TRUE)*R767)+((C769=TRUE)*R769)+((C770=TRUE)*R770)+((C772=TRUE)*R772))/Inputs!$B$43,((C764=TRUE)*Q764)+((C767=TRUE)*Q767)+((C769=TRUE)*Q769)+((C770=TRUE)*Q770)+((C772=TRUE)*Q772))+B796</f>
        <v/>
      </c>
    </row>
    <row r="807">
      <c r="A807" s="6" t="inlineStr">
        <is>
          <t>Stat: Skill Level Bonus — 1st Job</t>
        </is>
      </c>
    </row>
    <row r="808">
      <c r="A808" s="5" t="inlineStr">
        <is>
          <t>Key</t>
        </is>
      </c>
      <c r="B808" s="5" t="inlineStr">
        <is>
          <t>Name</t>
        </is>
      </c>
      <c r="C808" s="5" t="inlineStr">
        <is>
          <t>Unlocked</t>
        </is>
      </c>
      <c r="D808" s="5" t="inlineStr">
        <is>
          <t>InputLevel</t>
        </is>
      </c>
      <c r="E808" s="5" t="inlineStr">
        <is>
          <t>Factor</t>
        </is>
      </c>
      <c r="F808" s="5" t="inlineStr">
        <is>
          <t>CoefficientPercent</t>
        </is>
      </c>
      <c r="G808" s="5" t="inlineStr">
        <is>
          <t>EffectiveHits</t>
        </is>
      </c>
      <c r="H808" s="5" t="inlineStr">
        <is>
          <t>ProcProbability</t>
        </is>
      </c>
      <c r="I808" s="5" t="inlineStr">
        <is>
          <t>MapleHeroMultiplier</t>
        </is>
      </c>
      <c r="J808" s="5" t="inlineStr">
        <is>
          <t>BaseDamage</t>
        </is>
      </c>
      <c r="K808" s="5" t="inlineStr">
        <is>
          <t>BaseHitDamage</t>
        </is>
      </c>
      <c r="L808" s="5" t="inlineStr">
        <is>
          <t>NonCritAvg</t>
        </is>
      </c>
      <c r="M808" s="5" t="inlineStr">
        <is>
          <t>CritAvg</t>
        </is>
      </c>
      <c r="N808" s="5" t="inlineStr">
        <is>
          <t>ExpectedDamage(perHit)</t>
        </is>
      </c>
      <c r="O808" s="5" t="inlineStr">
        <is>
          <t>DPS</t>
        </is>
      </c>
      <c r="P808" s="5" t="inlineStr">
        <is>
          <t>% of Total</t>
        </is>
      </c>
      <c r="Q808" s="5" t="inlineStr">
        <is>
          <t>InvCooldown</t>
        </is>
      </c>
      <c r="R808" s="5" t="inlineStr">
        <is>
          <t>CastsInFight</t>
        </is>
      </c>
      <c r="S808" s="5" t="inlineStr">
        <is>
          <t>HitRate(perSec)</t>
        </is>
      </c>
      <c r="U808" t="inlineStr">
        <is>
          <t>helpers</t>
        </is>
      </c>
    </row>
    <row r="809">
      <c r="A809">
        <f>Skills!A2</f>
        <v/>
      </c>
      <c r="B809">
        <f>Skills!B2</f>
        <v/>
      </c>
      <c r="C809">
        <f>Inputs!$B$3&gt;=100</f>
        <v/>
      </c>
      <c r="D809" t="inlineStr"/>
      <c r="E809" t="inlineStr"/>
      <c r="F809">
        <f>U811+Skills!O2</f>
        <v/>
      </c>
      <c r="G809">
        <f>Skills!G2*IF(Skills!H2&gt;0,INT(IF(Inputs!$B$38="pvp",MIN(Skills!I2,15),Skills!I2)/Skills!H2+0.000000001),1)</f>
        <v/>
      </c>
      <c r="H809">
        <f>1-(1-Skills!J2/100)^Skills!K2</f>
        <v/>
      </c>
      <c r="I809" t="inlineStr">
        <is>
          <t>1</t>
        </is>
      </c>
      <c r="J809">
        <f>((Inputs!$B$6*(1+Inputs!$B$7/100))+(((Inputs!$B$12*(1+Inputs!$B$13/100))-(Inputs!$B$12*(1+Inputs!$B$13/100)))+0.25*(Inputs!$B$14-Inputs!$B$14))*(1+Inputs!$B$7/100))*(F809/100)</f>
        <v/>
      </c>
      <c r="K809">
        <f>J809*(1+((Inputs!$B$12*(1+Inputs!$B$13/100))*0.01+Inputs!$B$14*0.0025)/100)*(1+Inputs!$B$15/100)*(1+Inputs!$B$16/100)*(5000/(6000+Inputs!$B$42*(1-(100*(1-(1-(Inputs!$B$19+0)/100)*(1-CHOOSE(ArtifactsInput!$N$40+1,5,6,7,8,9,10)/100)^(ArtifactsInput!$M$40-ArtifactsInput!$M$40)))/100)))*(1+(Inputs!$B$24+((C833=TRUE)*(F833-Calc!F26))+B844)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IGHT_LEGS_EASTON",Inputs!$B$17+((C830=TRUE)*(F830-Calc!F23))+((C834=TRUE)*(F834-Calc!F27))+((IF(AND(Inputs!$B$38&lt;&gt;"pvp",Inputs!$B$43=0),1,IF(IF(Inputs!$B$38="pvp",15,Inputs!$B$43)-(B845)&lt;=0,1,MAX(0,IF(Inputs!$B$38="pvp",15,Inputs!$B$43)-MAX(5,B845))/(IF(Inputs!$B$38="pvp",15,Inputs!$B$43)-(B845))))*(IF(AND(ArtifactsInput!$M$42,((Inputs!$B$9+((C826=TRUE)*(F826-Calc!F19))+B838+(ArtifactsInput!$M$24-ArtifactsInput!$M$24)*CHOOSE(ArtifactsInput!$N$24+1,10,12,14,16,18,20)+IF(ArtifactsInput!$M$10,CHOOSE(ArtifactsInput!$N$10+1,15,18,21,24,27,30)*(IF(Inputs!$B$38="pvp",MIN(15,15)/15,IF(AND(Inputs!$B$38&lt;&gt;"pvp",Inputs!$B$43&gt;0),MIN(15,Inputs!$B$43)/(Inputs!$B$43),0))),0)))&gt;=100),MIN(100,((Inputs!$B$9+((C826=TRUE)*(F826-Calc!F19))+B838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845)&lt;=0,1,MAX(0,IF(Inputs!$B$38="pvp",15,Inputs!$B$43)-MAX(5,B845))/(IF(Inputs!$B$38="pvp",15,Inputs!$B$43)-(B845))))*IF(AND(ArtifactsInput!$M$42,((Inputs!$B$9+((C826=TRUE)*(F826-Calc!F19))+B838+(ArtifactsInput!$M$24-ArtifactsInput!$M$24)*CHOOSE(ArtifactsInput!$N$24+1,10,12,14,16,18,20)+IF(ArtifactsInput!$M$10,CHOOSE(ArtifactsInput!$N$10+1,15,18,21,24,27,30)*(IF(Inputs!$B$38="pvp",MIN(15,15)/15,IF(AND(Inputs!$B$38&lt;&gt;"pvp",Inputs!$B$43&gt;0),MIN(15,Inputs!$B$43)/(Inputs!$B$43),0))),0)))&gt;=100),CHOOSE(ArtifactsInput!$N$42+1,40,48,56,64,72,80),0))))/100)*((1+(((C824=TRUE)*F824*5/7)+((C831=TRUE)*(F831-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809)</f>
        <v/>
      </c>
      <c r="L809">
        <f>K809*(MIN(Inputs!$B$22+((C829=TRUE)*(F829-Calc!F22)),(Inputs!$B$23+0+(IF(ArtifactsInput!$M$15,CHOOSE(ArtifactsInput!$N$15+1,25,30,35,40,45,50)/100*(Inputs!$B$11-Inputs!$B$11),0))))/100+(Inputs!$B$23+0+(IF(ArtifactsInput!$M$15,CHOOSE(ArtifactsInput!$N$15+1,25,30,35,40,45,50)/100*(Inputs!$B$11-Inputs!$B$11),0)))/100)/2</f>
        <v/>
      </c>
      <c r="M809">
        <f>L809*(1+(Inputs!$B$10+((C832=TRUE)*(F832-Calc!F25))+B843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09">
        <f>L809*(1-MIN((Inputs!$B$9+((C826=TRUE)*(F826-Calc!F19))+B838+(ArtifactsInput!$M$24-ArtifactsInput!$M$24)*CHOOSE(ArtifactsInput!$N$24+1,10,12,14,16,18,20)+(IF(AND(Inputs!$B$38&lt;&gt;"pvp",Inputs!$B$43=0),1,IF(IF(Inputs!$B$38="pvp",15,Inputs!$B$43)-(B845)&lt;=0,1,MAX(0,IF(Inputs!$B$38="pvp",15,Inputs!$B$43)-MAX(5,B845))/(IF(Inputs!$B$38="pvp",15,Inputs!$B$43)-(B845))))*IF(AND(ArtifactsInput!$M$42,((Inputs!$B$9+((C826=TRUE)*(F826-Calc!F19))+B838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809*(MIN((Inputs!$B$9+((C826=TRUE)*(F826-Calc!F19))+B838+(ArtifactsInput!$M$24-ArtifactsInput!$M$24)*CHOOSE(ArtifactsInput!$N$24+1,10,12,14,16,18,20)+(IF(AND(Inputs!$B$38&lt;&gt;"pvp",Inputs!$B$43=0),1,IF(IF(Inputs!$B$38="pvp",15,Inputs!$B$43)-(B845)&lt;=0,1,MAX(0,IF(Inputs!$B$38="pvp",15,Inputs!$B$43)-MAX(5,B845))/(IF(Inputs!$B$38="pvp",15,Inputs!$B$43)-(B845))))*IF(AND(ArtifactsInput!$M$42,((Inputs!$B$9+((C826=TRUE)*(F826-Calc!F19))+B838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09">
        <f>(1-Summary!$B$11)*T809+Summary!$B$11*V809</f>
        <v/>
      </c>
      <c r="P809">
        <f>IF(B848=0,0,O809/B848)</f>
        <v/>
      </c>
      <c r="Q809" t="n">
        <v>0</v>
      </c>
      <c r="R809" t="n">
        <v>0</v>
      </c>
      <c r="S809">
        <f>IFERROR(O809/N809,0)</f>
        <v/>
      </c>
      <c r="T809">
        <f>IF(C809,(Skills!G2*N809*B842*(1+IF(C834=TRUE,1/3,0)))*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Hunt"),CHOOSE(ArtifactsInput!$N$35+1,15,18,21,24,27,30)*(1-EXP(-(0.2*B840)*5)),0)+IF(AND(ArtifactsInput!$M$22,Inputs!$B$4&lt;&gt;"Chapter Hunt"),CHOOSE(ArtifactsInput!$N$22+1,10,12,14,16,18,20)*((0*(((0.15*B840*5))^0/1)+1*(((0.15*B840*5))^1/1)+2*(((0.15*B840*5))^2/2)+3*(((0.15*B840*5))^3/6)+4*(((0.15*B840*5))^4/24)+5*(((0.15*B840*5))^5/120))/((((0.15*B840*5))^0/1)+(((0.15*B840*5))^1/1)+(((0.15*B840*5))^2/2)+(((0.15*B840*5))^3/6)+(((0.15*B840*5))^4/24)+(((0.15*B840*5))^5/120))),0))+IF(Inputs!$B$3&gt;=54,9*(C810=TRUE)*MIN(1,8*(1+Inputs!$B$34/100)*Q810)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809*(1-MIN(100,(Inputs!$B$9+((C826=TRUE)*(F826-Calc!F19))+B838+(ArtifactsInput!$M$24-ArtifactsInput!$M$24)*CHOOSE(ArtifactsInput!$N$24+1,10,12,14,16,18,20)+(IF(AND(Inputs!$B$38&lt;&gt;"pvp",Inputs!$B$43=0),1,IF(IF(Inputs!$B$38="pvp",15,Inputs!$B$43)-(B845)&lt;=0,1,MAX(0,IF(Inputs!$B$38="pvp",15,Inputs!$B$43)-MAX(5,B845))/(IF(Inputs!$B$38="pvp",15,Inputs!$B$43)-(B845))))*IF(AND(ArtifactsInput!$M$42,((Inputs!$B$9+((C826=TRUE)*(F826-Calc!F19))+B838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809*(MIN(100,(Inputs!$B$9+((C826=TRUE)*(F826-Calc!F19))+B838+(ArtifactsInput!$M$24-ArtifactsInput!$M$24)*CHOOSE(ArtifactsInput!$N$24+1,10,12,14,16,18,20)+(IF(AND(Inputs!$B$38&lt;&gt;"pvp",Inputs!$B$43=0),1,IF(IF(Inputs!$B$38="pvp",15,Inputs!$B$43)-(B845)&lt;=0,1,MAX(0,IF(Inputs!$B$38="pvp",15,Inputs!$B$43)-MAX(5,B845))/(IF(Inputs!$B$38="pvp",15,Inputs!$B$43)-(B845))))*IF(AND(ArtifactsInput!$M$42,((Inputs!$B$9+((C826=TRUE)*(F826-Calc!F19))+B838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809*(1-MIN(100,(Inputs!$B$9+((C826=TRUE)*(F826-Calc!F19))+B838+(ArtifactsInput!$M$24-ArtifactsInput!$M$24)*CHOOSE(ArtifactsInput!$N$24+1,10,12,14,16,18,20)+(IF(AND(Inputs!$B$38&lt;&gt;"pvp",Inputs!$B$43=0),1,IF(IF(Inputs!$B$38="pvp",15,Inputs!$B$43)-(B845)&lt;=0,1,MAX(0,IF(Inputs!$B$38="pvp",15,Inputs!$B$43)-MAX(5,B845))/(IF(Inputs!$B$38="pvp",15,Inputs!$B$43)-(B845))))*IF(AND(ArtifactsInput!$M$42,((Inputs!$B$9+((C826=TRUE)*(F826-Calc!F19))+B838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809*(MIN(100,(Inputs!$B$9+((C826=TRUE)*(F826-Calc!F19))+B838+(ArtifactsInput!$M$24-ArtifactsInput!$M$24)*CHOOSE(ArtifactsInput!$N$24+1,10,12,14,16,18,20)+(IF(AND(Inputs!$B$38&lt;&gt;"pvp",Inputs!$B$43=0),1,IF(IF(Inputs!$B$38="pvp",15,Inputs!$B$43)-(B845)&lt;=0,1,MAX(0,IF(Inputs!$B$38="pvp",15,Inputs!$B$43)-MAX(5,B845))/(IF(Inputs!$B$38="pvp",15,Inputs!$B$43)-(B845))))*IF(AND(ArtifactsInput!$M$42,((Inputs!$B$9+((C826=TRUE)*(F826-Calc!F19))+B838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809">
        <f>MAX(0,(Inputs!$B$3-100)*3)+Inputs!$B$28+Inputs!$B$29</f>
        <v/>
      </c>
      <c r="V809">
        <f>IF(C809,(Skills!G2*N809*B842*(1+IF(C834=TRUE,1/3,0)))*IF(Inputs!$B$38="pvp",1,(1+(Inputs!$B$21+Skills!Q2+(IF(ArtifactsInput!$M$33,CHOOSE(ArtifactsInput!$N$33+1,30,36,42,48,54,60),0))+(IF(AND(ArtifactsInput!$M$35,Inputs!$B$4&lt;&gt;"Chapter Hunt"),CHOOSE(ArtifactsInput!$N$35+1,15,18,21,24,27,30)*(1-EXP(-(0.2*B840)*5)),0)+IF(AND(ArtifactsInput!$M$22,Inputs!$B$4&lt;&gt;"Chapter Hunt"),CHOOSE(ArtifactsInput!$N$22+1,10,12,14,16,18,20)*((0*(((0.15*B840*5))^0/1)+1*(((0.15*B840*5))^1/1)+2*(((0.15*B840*5))^2/2)+3*(((0.15*B840*5))^3/6)+4*(((0.15*B840*5))^4/24)+5*(((0.15*B840*5))^5/120))/((((0.15*B840*5))^0/1)+(((0.15*B840*5))^1/1)+(((0.15*B840*5))^2/2)+(((0.15*B840*5))^3/6)+(((0.15*B840*5))^4/24)+(((0.15*B840*5))^5/120))),0))+IF(Inputs!$B$3&gt;=54,9*(C810=TRUE)*MIN(1,8*(1+Inputs!$B$34/100)*Q810)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10">
      <c r="A810">
        <f>Skills!A3</f>
        <v/>
      </c>
      <c r="B810">
        <f>Skills!B3</f>
        <v/>
      </c>
      <c r="C810">
        <f>Inputs!$B$3&gt;=33</f>
        <v/>
      </c>
      <c r="D810">
        <f>IF(Skills!C3=1,60+(Inputs!$B$25+1)+Inputs!$B$29,IF(Skills!C3=2,90+Inputs!$B$26+Inputs!$B$29,IF(Skills!C3=3,120+Inputs!$B$27+Inputs!$B$29,MAX(0,(Inputs!$B$3-100)*3)+Inputs!$B$28+Inputs!$B$29)))</f>
        <v/>
      </c>
      <c r="E810">
        <f>INDEX(FactorTable!$B$2:$Y$301, MATCH(ROUND(MIN(300,MAX(1,D810)),0), FactorTable!$A$2:$A$301,0), Skills!M3+1)</f>
        <v/>
      </c>
      <c r="F810">
        <f>IF(Skills!N3=TRUE,(Skills!L3/10)*(E810/1000),Skills!L3/10)+Skills!O3</f>
        <v/>
      </c>
      <c r="G810">
        <f>Skills!G3*IF(Skills!H3&gt;0,INT(IF(Inputs!$B$38="pvp",MIN(Skills!I3,15),Skills!I3)/Skills!H3+0.000000001),1)</f>
        <v/>
      </c>
      <c r="H810">
        <f>1-(1-Skills!J3/100)^Skills!K3</f>
        <v/>
      </c>
      <c r="I810" t="inlineStr">
        <is>
          <t>1</t>
        </is>
      </c>
      <c r="J810">
        <f>((Inputs!$B$6*(1+Inputs!$B$7/100))+(((Inputs!$B$12*(1+Inputs!$B$13/100))-(Inputs!$B$12*(1+Inputs!$B$13/100)))+0.25*(Inputs!$B$14-Inputs!$B$14))*(1+Inputs!$B$7/100))*(F810/100)</f>
        <v/>
      </c>
      <c r="K810">
        <f>J810*(1+((Inputs!$B$12*(1+Inputs!$B$13/100))*0.01+Inputs!$B$14*0.0025)/100)*(1+Inputs!$B$15/100)*(1+Inputs!$B$16/100)*(5000/(6000+Inputs!$B$42*(1-(100*(1-(1-(Inputs!$B$19+0)/100)*(1-CHOOSE(ArtifactsInput!$N$40+1,5,6,7,8,9,10)/100)^(ArtifactsInput!$M$40-ArtifactsInput!$M$40)))/100)))*(1+(Inputs!$B$24+((C833=TRUE)*(F833-Calc!F26))+B844)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822=TRUE,F822,0)/100)*(1+(IF(Skills!A3="EIGHT_LEGS_EASTON",Inputs!$B$17+((C830=TRUE)*(F830-Calc!F23))+((C834=TRUE)*(F834-Calc!F27))+((IF(AND(Inputs!$B$38&lt;&gt;"pvp",Inputs!$B$43=0),1,IF(IF(Inputs!$B$38="pvp",15,Inputs!$B$43)-(B845)&lt;=0,1,MAX(0,IF(Inputs!$B$38="pvp",15,Inputs!$B$43)-MAX(5,B845))/(IF(Inputs!$B$38="pvp",15,Inputs!$B$43)-(B845))))*(IF(AND(ArtifactsInput!$M$42,((Inputs!$B$9+((C826=TRUE)*(F826-Calc!F19))+B838+(ArtifactsInput!$M$24-ArtifactsInput!$M$24)*CHOOSE(ArtifactsInput!$N$24+1,10,12,14,16,18,20)+IF(ArtifactsInput!$M$10,CHOOSE(ArtifactsInput!$N$10+1,15,18,21,24,27,30)*(IF(Inputs!$B$38="pvp",MIN(15,15)/15,IF(AND(Inputs!$B$38&lt;&gt;"pvp",Inputs!$B$43&gt;0),MIN(15,Inputs!$B$43)/(Inputs!$B$43),0))),0)))&gt;=100),MIN(100,((Inputs!$B$9+((C826=TRUE)*(F826-Calc!F19))+B838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845)&lt;=0,1,MAX(0,IF(Inputs!$B$38="pvp",15,Inputs!$B$43)-MAX(5,B845))/(IF(Inputs!$B$38="pvp",15,Inputs!$B$43)-(B845))))*IF(AND(ArtifactsInput!$M$42,((Inputs!$B$9+((C826=TRUE)*(F826-Calc!F19))+B838+(ArtifactsInput!$M$24-ArtifactsInput!$M$24)*CHOOSE(ArtifactsInput!$N$24+1,10,12,14,16,18,20)+IF(ArtifactsInput!$M$10,CHOOSE(ArtifactsInput!$N$10+1,15,18,21,24,27,30)*(IF(Inputs!$B$38="pvp",MIN(15,15)/15,IF(AND(Inputs!$B$38&lt;&gt;"pvp",Inputs!$B$43&gt;0),MIN(15,Inputs!$B$43)/(Inputs!$B$43),0))),0)))&gt;=100),CHOOSE(ArtifactsInput!$N$42+1,40,48,56,64,72,80),0))))/100)*((1+(((C824=TRUE)*F824*5/7)+((C831=TRUE)*(F831-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810)</f>
        <v/>
      </c>
      <c r="L810">
        <f>K810*(MIN(Inputs!$B$22+((C829=TRUE)*(F829-Calc!F22)),(Inputs!$B$23+0+(IF(ArtifactsInput!$M$15,CHOOSE(ArtifactsInput!$N$15+1,25,30,35,40,45,50)/100*(Inputs!$B$11-Inputs!$B$11),0))))/100+(Inputs!$B$23+0+(IF(ArtifactsInput!$M$15,CHOOSE(ArtifactsInput!$N$15+1,25,30,35,40,45,50)/100*(Inputs!$B$11-Inputs!$B$11),0)))/100)/2</f>
        <v/>
      </c>
      <c r="M810">
        <f>L810*(1+(Inputs!$B$10+((C832=TRUE)*(F832-Calc!F25))+B843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10">
        <f>L810*(1-MIN((Inputs!$B$9+((C826=TRUE)*(F826-Calc!F19))+B838+(ArtifactsInput!$M$24-ArtifactsInput!$M$24)*CHOOSE(ArtifactsInput!$N$24+1,10,12,14,16,18,20)+(IF(AND(Inputs!$B$38&lt;&gt;"pvp",Inputs!$B$43=0),1,IF(IF(Inputs!$B$38="pvp",15,Inputs!$B$43)-(B845)&lt;=0,1,MAX(0,IF(Inputs!$B$38="pvp",15,Inputs!$B$43)-MAX(5,B845))/(IF(Inputs!$B$38="pvp",15,Inputs!$B$43)-(B845))))*IF(AND(ArtifactsInput!$M$42,((Inputs!$B$9+((C826=TRUE)*(F826-Calc!F19))+B838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810*(MIN((Inputs!$B$9+((C826=TRUE)*(F826-Calc!F19))+B838+(ArtifactsInput!$M$24-ArtifactsInput!$M$24)*CHOOSE(ArtifactsInput!$N$24+1,10,12,14,16,18,20)+(IF(AND(Inputs!$B$38&lt;&gt;"pvp",Inputs!$B$43=0),1,IF(IF(Inputs!$B$38="pvp",15,Inputs!$B$43)-(B845)&lt;=0,1,MAX(0,IF(Inputs!$B$38="pvp",15,Inputs!$B$43)-MAX(5,B845))/(IF(Inputs!$B$38="pvp",15,Inputs!$B$43)-(B845))))*IF(AND(ArtifactsInput!$M$42,((Inputs!$B$9+((C826=TRUE)*(F826-Calc!F19))+B838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10">
        <f>(1-Summary!$B$11)*T810+Summary!$B$11*V810</f>
        <v/>
      </c>
      <c r="P810">
        <f>IF(B848=0,0,O810/B848)</f>
        <v/>
      </c>
      <c r="Q810">
        <f>IFERROR(1/(IF(Inputs!$B$38="pvp",15,MAX(0.1,Skills!D3-IF(TRUE=TRUE,Inputs!$B$32,0)))*(1-IF(AND(ArtifactsInput!$M$27,Inputs!$B$4="Chapter Hunt"),CHOOSE(ArtifactsInput!$N$27+1,20,24,28,32,36,40),0)/100)),0)</f>
        <v/>
      </c>
      <c r="R810">
        <f>IF(AND(Inputs!$B$38&lt;&gt;"pvp",Inputs!$B$43&gt;0),IF(MAX(0,Inputs!$B$43-B845)&lt;=0,0,(INT(MAX(0,Inputs!$B$43-B845)/(IF(Inputs!$B$38="pvp",15,MAX(0.1,Skills!D3-IF(TRUE=TRUE,Inputs!$B$32,0)))*(1-IF(AND(ArtifactsInput!$M$27,Inputs!$B$4="Chapter Hunt"),CHOOSE(ArtifactsInput!$N$27+1,20,24,28,32,36,40),0)/100)))+1)),0)</f>
        <v/>
      </c>
      <c r="S810">
        <f>IFERROR(O810/N810,0)</f>
        <v/>
      </c>
      <c r="T810">
        <f>IF(C810,(H810*N810*IF(AND(Inputs!$B$38&lt;&gt;"pvp",Inputs!$B$43&gt;0),((Skills!G3*((R810-1)*IF(Skills!H3&gt;0,INT(Skills!I3/Skills!H3+0.000000001),1)+IF(Skills!H3&gt;0,INT(MIN(Skills!I3,MAX(0,MAX(0,Inputs!$B$43-B845)-((R810-1)*(IF(Inputs!$B$38="pvp",15,MAX(0.1,Skills!D3-IF(TRUE=TRUE,Inputs!$B$32,0)))*(1-IF(AND(ArtifactsInput!$M$27,Inputs!$B$4="Chapter Hunt"),CHOOSE(ArtifactsInput!$N$27+1,20,24,28,32,36,40),0)/100)))))/Skills!H3+0.000000001),1)))/Inputs!$B$43),G810*Q810))*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Hunt"),CHOOSE(ArtifactsInput!$N$35+1,15,18,21,24,27,30)*(1-EXP(-(0.2*B840)*5)),0)+IF(AND(ArtifactsInput!$M$22,Inputs!$B$4&lt;&gt;"Chapter Hunt"),CHOOSE(ArtifactsInput!$N$22+1,10,12,14,16,18,20)*((0*(((0.15*B840*5))^0/1)+1*(((0.15*B840*5))^1/1)+2*(((0.15*B840*5))^2/2)+3*(((0.15*B840*5))^3/6)+4*(((0.15*B840*5))^4/24)+5*(((0.15*B840*5))^5/120))/((((0.15*B840*5))^0/1)+(((0.15*B840*5))^1/1)+(((0.15*B840*5))^2/2)+(((0.15*B840*5))^3/6)+(((0.15*B840*5))^4/24)+(((0.15*B840*5))^5/120))),0))+IF(Inputs!$B$3&gt;=54,9*(C810=TRUE)*MIN(1,8*(1+Inputs!$B$34/100)*Q810)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810*(1-MIN(100,(Inputs!$B$9+((C826=TRUE)*(F826-Calc!F19))+B838+(ArtifactsInput!$M$24-ArtifactsInput!$M$24)*CHOOSE(ArtifactsInput!$N$24+1,10,12,14,16,18,20)+(IF(AND(Inputs!$B$38&lt;&gt;"pvp",Inputs!$B$43=0),1,IF(IF(Inputs!$B$38="pvp",15,Inputs!$B$43)-(B845)&lt;=0,1,MAX(0,IF(Inputs!$B$38="pvp",15,Inputs!$B$43)-MAX(5,B845))/(IF(Inputs!$B$38="pvp",15,Inputs!$B$43)-(B845))))*IF(AND(ArtifactsInput!$M$42,((Inputs!$B$9+((C826=TRUE)*(F826-Calc!F19))+B838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810*(MIN(100,(Inputs!$B$9+((C826=TRUE)*(F826-Calc!F19))+B838+(ArtifactsInput!$M$24-ArtifactsInput!$M$24)*CHOOSE(ArtifactsInput!$N$24+1,10,12,14,16,18,20)+(IF(AND(Inputs!$B$38&lt;&gt;"pvp",Inputs!$B$43=0),1,IF(IF(Inputs!$B$38="pvp",15,Inputs!$B$43)-(B845)&lt;=0,1,MAX(0,IF(Inputs!$B$38="pvp",15,Inputs!$B$43)-MAX(5,B845))/(IF(Inputs!$B$38="pvp",15,Inputs!$B$43)-(B845))))*IF(AND(ArtifactsInput!$M$42,((Inputs!$B$9+((C826=TRUE)*(F826-Calc!F19))+B838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810*(1-MIN(100,(Inputs!$B$9+((C826=TRUE)*(F826-Calc!F19))+B838+(ArtifactsInput!$M$24-ArtifactsInput!$M$24)*CHOOSE(ArtifactsInput!$N$24+1,10,12,14,16,18,20)+(IF(AND(Inputs!$B$38&lt;&gt;"pvp",Inputs!$B$43=0),1,IF(IF(Inputs!$B$38="pvp",15,Inputs!$B$43)-(B845)&lt;=0,1,MAX(0,IF(Inputs!$B$38="pvp",15,Inputs!$B$43)-MAX(5,B845))/(IF(Inputs!$B$38="pvp",15,Inputs!$B$43)-(B845))))*IF(AND(ArtifactsInput!$M$42,((Inputs!$B$9+((C826=TRUE)*(F826-Calc!F19))+B838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810*(MIN(100,(Inputs!$B$9+((C826=TRUE)*(F826-Calc!F19))+B838+(ArtifactsInput!$M$24-ArtifactsInput!$M$24)*CHOOSE(ArtifactsInput!$N$24+1,10,12,14,16,18,20)+(IF(AND(Inputs!$B$38&lt;&gt;"pvp",Inputs!$B$43=0),1,IF(IF(Inputs!$B$38="pvp",15,Inputs!$B$43)-(B845)&lt;=0,1,MAX(0,IF(Inputs!$B$38="pvp",15,Inputs!$B$43)-MAX(5,B845))/(IF(Inputs!$B$38="pvp",15,Inputs!$B$43)-(B845))))*IF(AND(ArtifactsInput!$M$42,((Inputs!$B$9+((C826=TRUE)*(F826-Calc!F19))+B838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810">
        <f>INDEX(FactorTable!$B$2:$Y$301, MATCH(ROUND(MIN(300,MAX(1,U809)),0), FactorTable!$A$2:$A$301,0), 22)</f>
        <v/>
      </c>
      <c r="V810">
        <f>IF(C810,(H810*N810*IF(AND(Inputs!$B$38&lt;&gt;"pvp",Inputs!$B$43&gt;0),((Skills!G3*((R810-1)*IF(Skills!H3&gt;0,INT(Skills!I3/Skills!H3+0.000000001),1)+IF(Skills!H3&gt;0,INT(MIN(Skills!I3,MAX(0,MAX(0,Inputs!$B$43-B845)-((R810-1)*(IF(Inputs!$B$38="pvp",15,MAX(0.1,Skills!D3-IF(TRUE=TRUE,Inputs!$B$32,0)))*(1-IF(AND(ArtifactsInput!$M$27,Inputs!$B$4="Chapter Hunt"),CHOOSE(ArtifactsInput!$N$27+1,20,24,28,32,36,40),0)/100)))))/Skills!H3+0.000000001),1)))/Inputs!$B$43),G810*Q810))*IF(Inputs!$B$38="pvp",1,(1+(Inputs!$B$21+Skills!Q3+(IF(ArtifactsInput!$M$33,CHOOSE(ArtifactsInput!$N$33+1,30,36,42,48,54,60),0))+(IF(AND(ArtifactsInput!$M$35,Inputs!$B$4&lt;&gt;"Chapter Hunt"),CHOOSE(ArtifactsInput!$N$35+1,15,18,21,24,27,30)*(1-EXP(-(0.2*B840)*5)),0)+IF(AND(ArtifactsInput!$M$22,Inputs!$B$4&lt;&gt;"Chapter Hunt"),CHOOSE(ArtifactsInput!$N$22+1,10,12,14,16,18,20)*((0*(((0.15*B840*5))^0/1)+1*(((0.15*B840*5))^1/1)+2*(((0.15*B840*5))^2/2)+3*(((0.15*B840*5))^3/6)+4*(((0.15*B840*5))^4/24)+5*(((0.15*B840*5))^5/120))/((((0.15*B840*5))^0/1)+(((0.15*B840*5))^1/1)+(((0.15*B840*5))^2/2)+(((0.15*B840*5))^3/6)+(((0.15*B840*5))^4/24)+(((0.15*B840*5))^5/120))),0))+IF(Inputs!$B$3&gt;=54,9*(C810=TRUE)*MIN(1,8*(1+Inputs!$B$34/100)*Q810)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11">
      <c r="A811">
        <f>Skills!A4</f>
        <v/>
      </c>
      <c r="B811">
        <f>Skills!B4</f>
        <v/>
      </c>
      <c r="C811">
        <f>Inputs!$B$3&gt;=35</f>
        <v/>
      </c>
      <c r="D811">
        <f>IF(Skills!C4=1,60+(Inputs!$B$25+1)+Inputs!$B$29,IF(Skills!C4=2,90+Inputs!$B$26+Inputs!$B$29,IF(Skills!C4=3,120+Inputs!$B$27+Inputs!$B$29,MAX(0,(Inputs!$B$3-100)*3)+Inputs!$B$28+Inputs!$B$29)))</f>
        <v/>
      </c>
      <c r="E811">
        <f>INDEX(FactorTable!$B$2:$Y$301, MATCH(ROUND(MIN(300,MAX(1,D811)),0), FactorTable!$A$2:$A$301,0), Skills!M4+1)</f>
        <v/>
      </c>
      <c r="F811">
        <f>IF(Skills!N4=TRUE,(Skills!L4/10)*(E811/1000),Skills!L4/10)+Skills!O4</f>
        <v/>
      </c>
      <c r="G811">
        <f>Skills!G4*IF(Skills!H4&gt;0,INT(IF(Inputs!$B$38="pvp",MIN(IF(Inputs!$B$3&gt;=104,MIN(35,20*(1+Inputs!$B$34/100)),20),15),IF(Inputs!$B$3&gt;=104,MIN(35,20*(1+Inputs!$B$34/100)),20))/Skills!H4+0.000000001),1)</f>
        <v/>
      </c>
      <c r="H811">
        <f>1-(1-Skills!J4/100)^Skills!K4</f>
        <v/>
      </c>
      <c r="I811" t="inlineStr">
        <is>
          <t>1</t>
        </is>
      </c>
      <c r="J811">
        <f>((Inputs!$B$6*(1+Inputs!$B$7/100))+(((Inputs!$B$12*(1+Inputs!$B$13/100))-(Inputs!$B$12*(1+Inputs!$B$13/100)))+0.25*(Inputs!$B$14-Inputs!$B$14))*(1+Inputs!$B$7/100))*(F811/100)</f>
        <v/>
      </c>
      <c r="K811">
        <f>J811*(1+((Inputs!$B$12*(1+Inputs!$B$13/100))*0.01+Inputs!$B$14*0.0025)/100)*(1+Inputs!$B$15/100)*(1+Inputs!$B$16/100)*(5000/(6000+Inputs!$B$42*(1-(100*(1-(1-(Inputs!$B$19+0)/100)*(1-CHOOSE(ArtifactsInput!$N$40+1,5,6,7,8,9,10)/100)^(ArtifactsInput!$M$40-ArtifactsInput!$M$40)))/100)))*(1+(Inputs!$B$24+((C833=TRUE)*(F833-Calc!F26))+B844)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823=TRUE,F823,0)/100)*(1+(IF(Skills!A4="EIGHT_LEGS_EASTON",Inputs!$B$17+((C830=TRUE)*(F830-Calc!F23))+((C834=TRUE)*(F834-Calc!F27))+((IF(AND(Inputs!$B$38&lt;&gt;"pvp",Inputs!$B$43=0),1,IF(IF(Inputs!$B$38="pvp",15,Inputs!$B$43)-(B845)&lt;=0,1,MAX(0,IF(Inputs!$B$38="pvp",15,Inputs!$B$43)-MAX(5,B845))/(IF(Inputs!$B$38="pvp",15,Inputs!$B$43)-(B845))))*(IF(AND(ArtifactsInput!$M$42,((Inputs!$B$9+((C826=TRUE)*(F826-Calc!F19))+B838+(ArtifactsInput!$M$24-ArtifactsInput!$M$24)*CHOOSE(ArtifactsInput!$N$24+1,10,12,14,16,18,20)+IF(ArtifactsInput!$M$10,CHOOSE(ArtifactsInput!$N$10+1,15,18,21,24,27,30)*(IF(Inputs!$B$38="pvp",MIN(15,15)/15,IF(AND(Inputs!$B$38&lt;&gt;"pvp",Inputs!$B$43&gt;0),MIN(15,Inputs!$B$43)/(Inputs!$B$43),0))),0)))&gt;=100),MIN(100,((Inputs!$B$9+((C826=TRUE)*(F826-Calc!F19))+B838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845)&lt;=0,1,MAX(0,IF(Inputs!$B$38="pvp",15,Inputs!$B$43)-MAX(5,B845))/(IF(Inputs!$B$38="pvp",15,Inputs!$B$43)-(B845))))*IF(AND(ArtifactsInput!$M$42,((Inputs!$B$9+((C826=TRUE)*(F826-Calc!F19))+B838+(ArtifactsInput!$M$24-ArtifactsInput!$M$24)*CHOOSE(ArtifactsInput!$N$24+1,10,12,14,16,18,20)+IF(ArtifactsInput!$M$10,CHOOSE(ArtifactsInput!$N$10+1,15,18,21,24,27,30)*(IF(Inputs!$B$38="pvp",MIN(15,15)/15,IF(AND(Inputs!$B$38&lt;&gt;"pvp",Inputs!$B$43&gt;0),MIN(15,Inputs!$B$43)/(Inputs!$B$43),0))),0)))&gt;=100),CHOOSE(ArtifactsInput!$N$42+1,40,48,56,64,72,80),0))))/100)*((1+(((C824=TRUE)*F824*5/7)+((C831=TRUE)*(F831-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811)</f>
        <v/>
      </c>
      <c r="L811">
        <f>K811*(MIN(Inputs!$B$22+((C829=TRUE)*(F829-Calc!F22)),(Inputs!$B$23+0+(IF(ArtifactsInput!$M$15,CHOOSE(ArtifactsInput!$N$15+1,25,30,35,40,45,50)/100*(Inputs!$B$11-Inputs!$B$11),0))))/100+(Inputs!$B$23+0+(IF(ArtifactsInput!$M$15,CHOOSE(ArtifactsInput!$N$15+1,25,30,35,40,45,50)/100*(Inputs!$B$11-Inputs!$B$11),0)))/100)/2</f>
        <v/>
      </c>
      <c r="M811">
        <f>L811*(1+(Inputs!$B$10+((C832=TRUE)*(F832-Calc!F25))+B843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11">
        <f>L811*(1-MIN((Inputs!$B$9+((C826=TRUE)*(F826-Calc!F19))+B838+(ArtifactsInput!$M$24-ArtifactsInput!$M$24)*CHOOSE(ArtifactsInput!$N$24+1,10,12,14,16,18,20)+(IF(AND(Inputs!$B$38&lt;&gt;"pvp",Inputs!$B$43=0),1,IF(IF(Inputs!$B$38="pvp",15,Inputs!$B$43)-(B845)&lt;=0,1,MAX(0,IF(Inputs!$B$38="pvp",15,Inputs!$B$43)-MAX(5,B845))/(IF(Inputs!$B$38="pvp",15,Inputs!$B$43)-(B845))))*IF(AND(ArtifactsInput!$M$42,((Inputs!$B$9+((C826=TRUE)*(F826-Calc!F19))+B838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811*(MIN((Inputs!$B$9+((C826=TRUE)*(F826-Calc!F19))+B838+(ArtifactsInput!$M$24-ArtifactsInput!$M$24)*CHOOSE(ArtifactsInput!$N$24+1,10,12,14,16,18,20)+(IF(AND(Inputs!$B$38&lt;&gt;"pvp",Inputs!$B$43=0),1,IF(IF(Inputs!$B$38="pvp",15,Inputs!$B$43)-(B845)&lt;=0,1,MAX(0,IF(Inputs!$B$38="pvp",15,Inputs!$B$43)-MAX(5,B845))/(IF(Inputs!$B$38="pvp",15,Inputs!$B$43)-(B845))))*IF(AND(ArtifactsInput!$M$42,((Inputs!$B$9+((C826=TRUE)*(F826-Calc!F19))+B838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11">
        <f>(1-Summary!$B$11)*T811+Summary!$B$11*V811</f>
        <v/>
      </c>
      <c r="P811">
        <f>IF(B848=0,0,O811/B848)</f>
        <v/>
      </c>
      <c r="Q811">
        <f>IFERROR(1/(IF(Inputs!$B$38="pvp",15,MAX(0.1,Skills!D4-IF(TRUE=TRUE,Inputs!$B$32,0)))*(1-IF(AND(ArtifactsInput!$M$27,Inputs!$B$4="Chapter Hunt"),CHOOSE(ArtifactsInput!$N$27+1,20,24,28,32,36,40),0)/100)),0)</f>
        <v/>
      </c>
      <c r="R811">
        <f>IF(AND(Inputs!$B$38&lt;&gt;"pvp",Inputs!$B$43&gt;0),IF(MAX(0,Inputs!$B$43-B845)&lt;=0,0,(INT(MAX(0,Inputs!$B$43-B845)/(IF(Inputs!$B$38="pvp",15,MAX(0.1,Skills!D4-IF(TRUE=TRUE,Inputs!$B$32,0)))*(1-IF(AND(ArtifactsInput!$M$27,Inputs!$B$4="Chapter Hunt"),CHOOSE(ArtifactsInput!$N$27+1,20,24,28,32,36,40),0)/100)))+1)),0)</f>
        <v/>
      </c>
      <c r="S811">
        <f>IFERROR(O811/N811,0)</f>
        <v/>
      </c>
      <c r="T811">
        <f>IF(C811,(H811*N811*IF(AND(Inputs!$B$38&lt;&gt;"pvp",Inputs!$B$43&gt;0),((Skills!G4*((R811-1)*IF(Skills!H4&gt;0,INT(IF(Inputs!$B$3&gt;=104,MIN(35,20*(1+Inputs!$B$34/100)),20)/Skills!H4+0.000000001),1)+IF(Skills!H4&gt;0,INT(MIN(IF(Inputs!$B$3&gt;=104,MIN(35,20*(1+Inputs!$B$34/100)),20),MAX(0,MAX(0,Inputs!$B$43-B845)-((R811-1)*(IF(Inputs!$B$38="pvp",15,MAX(0.1,Skills!D4-IF(TRUE=TRUE,Inputs!$B$32,0)))*(1-IF(AND(ArtifactsInput!$M$27,Inputs!$B$4="Chapter Hunt"),CHOOSE(ArtifactsInput!$N$27+1,20,24,28,32,36,40),0)/100)))))/Skills!H4+0.000000001),1)))/Inputs!$B$43),G811*Q811))*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Hunt"),CHOOSE(ArtifactsInput!$N$35+1,15,18,21,24,27,30)*(1-EXP(-(0.2*B840)*5)),0)+IF(AND(ArtifactsInput!$M$22,Inputs!$B$4&lt;&gt;"Chapter Hunt"),CHOOSE(ArtifactsInput!$N$22+1,10,12,14,16,18,20)*((0*(((0.15*B840*5))^0/1)+1*(((0.15*B840*5))^1/1)+2*(((0.15*B840*5))^2/2)+3*(((0.15*B840*5))^3/6)+4*(((0.15*B840*5))^4/24)+5*(((0.15*B840*5))^5/120))/((((0.15*B840*5))^0/1)+(((0.15*B840*5))^1/1)+(((0.15*B840*5))^2/2)+(((0.15*B840*5))^3/6)+(((0.15*B840*5))^4/24)+(((0.15*B840*5))^5/120))),0))+IF(Inputs!$B$3&gt;=54,9*(C810=TRUE)*MIN(1,8*(1+Inputs!$B$34/100)*Q810)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811*(1-MIN(100,(Inputs!$B$9+((C826=TRUE)*(F826-Calc!F19))+B838+(ArtifactsInput!$M$24-ArtifactsInput!$M$24)*CHOOSE(ArtifactsInput!$N$24+1,10,12,14,16,18,20)+(IF(AND(Inputs!$B$38&lt;&gt;"pvp",Inputs!$B$43=0),1,IF(IF(Inputs!$B$38="pvp",15,Inputs!$B$43)-(B845)&lt;=0,1,MAX(0,IF(Inputs!$B$38="pvp",15,Inputs!$B$43)-MAX(5,B845))/(IF(Inputs!$B$38="pvp",15,Inputs!$B$43)-(B845))))*IF(AND(ArtifactsInput!$M$42,((Inputs!$B$9+((C826=TRUE)*(F826-Calc!F19))+B838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811*(MIN(100,(Inputs!$B$9+((C826=TRUE)*(F826-Calc!F19))+B838+(ArtifactsInput!$M$24-ArtifactsInput!$M$24)*CHOOSE(ArtifactsInput!$N$24+1,10,12,14,16,18,20)+(IF(AND(Inputs!$B$38&lt;&gt;"pvp",Inputs!$B$43=0),1,IF(IF(Inputs!$B$38="pvp",15,Inputs!$B$43)-(B845)&lt;=0,1,MAX(0,IF(Inputs!$B$38="pvp",15,Inputs!$B$43)-MAX(5,B845))/(IF(Inputs!$B$38="pvp",15,Inputs!$B$43)-(B845))))*IF(AND(ArtifactsInput!$M$42,((Inputs!$B$9+((C826=TRUE)*(F826-Calc!F19))+B838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811*(1-MIN(100,(Inputs!$B$9+((C826=TRUE)*(F826-Calc!F19))+B838+(ArtifactsInput!$M$24-ArtifactsInput!$M$24)*CHOOSE(ArtifactsInput!$N$24+1,10,12,14,16,18,20)+(IF(AND(Inputs!$B$38&lt;&gt;"pvp",Inputs!$B$43=0),1,IF(IF(Inputs!$B$38="pvp",15,Inputs!$B$43)-(B845)&lt;=0,1,MAX(0,IF(Inputs!$B$38="pvp",15,Inputs!$B$43)-MAX(5,B845))/(IF(Inputs!$B$38="pvp",15,Inputs!$B$43)-(B845))))*IF(AND(ArtifactsInput!$M$42,((Inputs!$B$9+((C826=TRUE)*(F826-Calc!F19))+B838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811*(MIN(100,(Inputs!$B$9+((C826=TRUE)*(F826-Calc!F19))+B838+(ArtifactsInput!$M$24-ArtifactsInput!$M$24)*CHOOSE(ArtifactsInput!$N$24+1,10,12,14,16,18,20)+(IF(AND(Inputs!$B$38&lt;&gt;"pvp",Inputs!$B$43=0),1,IF(IF(Inputs!$B$38="pvp",15,Inputs!$B$43)-(B845)&lt;=0,1,MAX(0,IF(Inputs!$B$38="pvp",15,Inputs!$B$43)-MAX(5,B845))/(IF(Inputs!$B$38="pvp",15,Inputs!$B$43)-(B845))))*IF(AND(ArtifactsInput!$M$42,((Inputs!$B$9+((C826=TRUE)*(F826-Calc!F19))+B838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811">
        <f>290*U810/1000</f>
        <v/>
      </c>
      <c r="V811">
        <f>IF(C811,(H811*N811*IF(AND(Inputs!$B$38&lt;&gt;"pvp",Inputs!$B$43&gt;0),((Skills!G4*((R811-1)*IF(Skills!H4&gt;0,INT(IF(Inputs!$B$3&gt;=104,MIN(35,20*(1+Inputs!$B$34/100)),20)/Skills!H4+0.000000001),1)+IF(Skills!H4&gt;0,INT(MIN(IF(Inputs!$B$3&gt;=104,MIN(35,20*(1+Inputs!$B$34/100)),20),MAX(0,MAX(0,Inputs!$B$43-B845)-((R811-1)*(IF(Inputs!$B$38="pvp",15,MAX(0.1,Skills!D4-IF(TRUE=TRUE,Inputs!$B$32,0)))*(1-IF(AND(ArtifactsInput!$M$27,Inputs!$B$4="Chapter Hunt"),CHOOSE(ArtifactsInput!$N$27+1,20,24,28,32,36,40),0)/100)))))/Skills!H4+0.000000001),1)))/Inputs!$B$43),G811*Q811))*IF(Inputs!$B$38="pvp",1,(1+(Inputs!$B$21+Skills!Q4+(IF(ArtifactsInput!$M$33,CHOOSE(ArtifactsInput!$N$33+1,30,36,42,48,54,60),0))+(IF(AND(ArtifactsInput!$M$35,Inputs!$B$4&lt;&gt;"Chapter Hunt"),CHOOSE(ArtifactsInput!$N$35+1,15,18,21,24,27,30)*(1-EXP(-(0.2*B840)*5)),0)+IF(AND(ArtifactsInput!$M$22,Inputs!$B$4&lt;&gt;"Chapter Hunt"),CHOOSE(ArtifactsInput!$N$22+1,10,12,14,16,18,20)*((0*(((0.15*B840*5))^0/1)+1*(((0.15*B840*5))^1/1)+2*(((0.15*B840*5))^2/2)+3*(((0.15*B840*5))^3/6)+4*(((0.15*B840*5))^4/24)+5*(((0.15*B840*5))^5/120))/((((0.15*B840*5))^0/1)+(((0.15*B840*5))^1/1)+(((0.15*B840*5))^2/2)+(((0.15*B840*5))^3/6)+(((0.15*B840*5))^4/24)+(((0.15*B840*5))^5/120))),0))+IF(Inputs!$B$3&gt;=54,9*(C810=TRUE)*MIN(1,8*(1+Inputs!$B$34/100)*Q810),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12">
      <c r="A812">
        <f>Skills!A5</f>
        <v/>
      </c>
      <c r="B812">
        <f>Skills!B5</f>
        <v/>
      </c>
      <c r="C812">
        <f>Inputs!$B$3&gt;=69</f>
        <v/>
      </c>
      <c r="D812">
        <f>IF(Skills!C5=1,60+(Inputs!$B$25+1)+Inputs!$B$29,IF(Skills!C5=2,90+Inputs!$B$26+Inputs!$B$29,IF(Skills!C5=3,120+Inputs!$B$27+Inputs!$B$29,MAX(0,(Inputs!$B$3-100)*3)+Inputs!$B$28+Inputs!$B$29)))</f>
        <v/>
      </c>
      <c r="E812">
        <f>INDEX(FactorTable!$B$2:$Y$301, MATCH(ROUND(MIN(300,MAX(1,D812)),0), FactorTable!$A$2:$A$301,0), Skills!M5+1)</f>
        <v/>
      </c>
      <c r="F812">
        <f>IF(Skills!N5=TRUE,(Skills!L5/10)*(E812/1000),Skills!L5/10)+Skills!O5</f>
        <v/>
      </c>
      <c r="G812">
        <f>Skills!G5*IF(Skills!H5&gt;0,INT(IF(Inputs!$B$38="pvp",MIN(IF(Inputs!$B$3&gt;=104,MIN(35,20*(1+Inputs!$B$34/100)),20),15),IF(Inputs!$B$3&gt;=104,MIN(35,20*(1+Inputs!$B$34/100)),20))/Skills!H5+0.000000001),1)</f>
        <v/>
      </c>
      <c r="H812">
        <f>1-(1-Skills!J5/100)^Skills!K5</f>
        <v/>
      </c>
      <c r="I812" t="inlineStr">
        <is>
          <t>1</t>
        </is>
      </c>
      <c r="J812">
        <f>((Inputs!$B$6*(1+Inputs!$B$7/100))+(((Inputs!$B$12*(1+Inputs!$B$13/100))-(Inputs!$B$12*(1+Inputs!$B$13/100)))+0.25*(Inputs!$B$14-Inputs!$B$14))*(1+Inputs!$B$7/100))*(F812/100)</f>
        <v/>
      </c>
      <c r="K812">
        <f>J812*(1+((Inputs!$B$12*(1+Inputs!$B$13/100))*0.01+Inputs!$B$14*0.0025)/100)*(1+Inputs!$B$15/100)*(1+Inputs!$B$16/100)*(5000/(6000+Inputs!$B$42*(1-(100*(1-(1-(Inputs!$B$19+0)/100)*(1-CHOOSE(ArtifactsInput!$N$40+1,5,6,7,8,9,10)/100)^(ArtifactsInput!$M$40-ArtifactsInput!$M$40)))/100)))*(1+(Inputs!$B$24+((C833=TRUE)*(F833-Calc!F26))+B844)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+0.4*IF(C823=TRUE,F823,0)/100)*(1+(IF(Skills!A5="EIGHT_LEGS_EASTON",Inputs!$B$17+((C830=TRUE)*(F830-Calc!F23))+((C834=TRUE)*(F834-Calc!F27))+((IF(AND(Inputs!$B$38&lt;&gt;"pvp",Inputs!$B$43=0),1,IF(IF(Inputs!$B$38="pvp",15,Inputs!$B$43)-(B845)&lt;=0,1,MAX(0,IF(Inputs!$B$38="pvp",15,Inputs!$B$43)-MAX(5,B845))/(IF(Inputs!$B$38="pvp",15,Inputs!$B$43)-(B845))))*(IF(AND(ArtifactsInput!$M$42,((Inputs!$B$9+((C826=TRUE)*(F826-Calc!F19))+B838+(ArtifactsInput!$M$24-ArtifactsInput!$M$24)*CHOOSE(ArtifactsInput!$N$24+1,10,12,14,16,18,20)+IF(ArtifactsInput!$M$10,CHOOSE(ArtifactsInput!$N$10+1,15,18,21,24,27,30)*(IF(Inputs!$B$38="pvp",MIN(15,15)/15,IF(AND(Inputs!$B$38&lt;&gt;"pvp",Inputs!$B$43&gt;0),MIN(15,Inputs!$B$43)/(Inputs!$B$43),0))),0)))&gt;=100),MIN(100,((Inputs!$B$9+((C826=TRUE)*(F826-Calc!F19))+B838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845)&lt;=0,1,MAX(0,IF(Inputs!$B$38="pvp",15,Inputs!$B$43)-MAX(5,B845))/(IF(Inputs!$B$38="pvp",15,Inputs!$B$43)-(B845))))*IF(AND(ArtifactsInput!$M$42,((Inputs!$B$9+((C826=TRUE)*(F826-Calc!F19))+B838+(ArtifactsInput!$M$24-ArtifactsInput!$M$24)*CHOOSE(ArtifactsInput!$N$24+1,10,12,14,16,18,20)+IF(ArtifactsInput!$M$10,CHOOSE(ArtifactsInput!$N$10+1,15,18,21,24,27,30)*(IF(Inputs!$B$38="pvp",MIN(15,15)/15,IF(AND(Inputs!$B$38&lt;&gt;"pvp",Inputs!$B$43&gt;0),MIN(15,Inputs!$B$43)/(Inputs!$B$43),0))),0)))&gt;=100),CHOOSE(ArtifactsInput!$N$42+1,40,48,56,64,72,80),0))))/100)*((1+(((C824=TRUE)*F824*5/7)+((C831=TRUE)*(F831-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812)</f>
        <v/>
      </c>
      <c r="L812">
        <f>K812*(MIN(Inputs!$B$22+((C829=TRUE)*(F829-Calc!F22)),(Inputs!$B$23+0+(IF(ArtifactsInput!$M$15,CHOOSE(ArtifactsInput!$N$15+1,25,30,35,40,45,50)/100*(Inputs!$B$11-Inputs!$B$11),0))))/100+(Inputs!$B$23+0+(IF(ArtifactsInput!$M$15,CHOOSE(ArtifactsInput!$N$15+1,25,30,35,40,45,50)/100*(Inputs!$B$11-Inputs!$B$11),0)))/100)/2</f>
        <v/>
      </c>
      <c r="M812">
        <f>L812*(1+(Inputs!$B$10+((C832=TRUE)*(F832-Calc!F25))+B843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12">
        <f>L812*(1-MIN((Inputs!$B$9+((C826=TRUE)*(F826-Calc!F19))+B838+(ArtifactsInput!$M$24-ArtifactsInput!$M$24)*CHOOSE(ArtifactsInput!$N$24+1,10,12,14,16,18,20)+(IF(AND(Inputs!$B$38&lt;&gt;"pvp",Inputs!$B$43=0),1,IF(IF(Inputs!$B$38="pvp",15,Inputs!$B$43)-(B845)&lt;=0,1,MAX(0,IF(Inputs!$B$38="pvp",15,Inputs!$B$43)-MAX(5,B845))/(IF(Inputs!$B$38="pvp",15,Inputs!$B$43)-(B845))))*IF(AND(ArtifactsInput!$M$42,((Inputs!$B$9+((C826=TRUE)*(F826-Calc!F19))+B838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812*(MIN((Inputs!$B$9+((C826=TRUE)*(F826-Calc!F19))+B838+(ArtifactsInput!$M$24-ArtifactsInput!$M$24)*CHOOSE(ArtifactsInput!$N$24+1,10,12,14,16,18,20)+(IF(AND(Inputs!$B$38&lt;&gt;"pvp",Inputs!$B$43=0),1,IF(IF(Inputs!$B$38="pvp",15,Inputs!$B$43)-(B845)&lt;=0,1,MAX(0,IF(Inputs!$B$38="pvp",15,Inputs!$B$43)-MAX(5,B845))/(IF(Inputs!$B$38="pvp",15,Inputs!$B$43)-(B845))))*IF(AND(ArtifactsInput!$M$42,((Inputs!$B$9+((C826=TRUE)*(F826-Calc!F19))+B838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12">
        <f>(1-Summary!$B$11)*T812+Summary!$B$11*V812</f>
        <v/>
      </c>
      <c r="P812">
        <f>IF(B848=0,0,O812/B848)</f>
        <v/>
      </c>
      <c r="Q812">
        <f>IFERROR(1/(IF(Inputs!$B$38="pvp",15,MAX(0.1,Skills!D5-IF(TRUE=TRUE,Inputs!$B$32,0)))*(1-IF(AND(ArtifactsInput!$M$27,Inputs!$B$4="Chapter Hunt"),CHOOSE(ArtifactsInput!$N$27+1,20,24,28,32,36,40),0)/100)),0)</f>
        <v/>
      </c>
      <c r="R812">
        <f>IF(AND(Inputs!$B$38&lt;&gt;"pvp",Inputs!$B$43&gt;0),IF(MAX(0,Inputs!$B$43-B845)&lt;=0,0,(INT(MAX(0,Inputs!$B$43-B845)/(IF(Inputs!$B$38="pvp",15,MAX(0.1,Skills!D5-IF(TRUE=TRUE,Inputs!$B$32,0)))*(1-IF(AND(ArtifactsInput!$M$27,Inputs!$B$4="Chapter Hunt"),CHOOSE(ArtifactsInput!$N$27+1,20,24,28,32,36,40),0)/100)))+1)),0)</f>
        <v/>
      </c>
      <c r="S812">
        <f>IFERROR(O812/N812,0)</f>
        <v/>
      </c>
      <c r="T812">
        <f>IF(C812,(H812*N812*IF(AND(Inputs!$B$38&lt;&gt;"pvp",Inputs!$B$43&gt;0),((Skills!G5*((R812-1)*IF(Skills!H5&gt;0,INT(IF(Inputs!$B$3&gt;=104,MIN(35,20*(1+Inputs!$B$34/100)),20)/Skills!H5+0.000000001),1)+IF(Skills!H5&gt;0,INT(MIN(IF(Inputs!$B$3&gt;=104,MIN(35,20*(1+Inputs!$B$34/100)),20),MAX(0,MAX(0,Inputs!$B$43-B845)-((R812-1)*(IF(Inputs!$B$38="pvp",15,MAX(0.1,Skills!D5-IF(TRUE=TRUE,Inputs!$B$32,0)))*(1-IF(AND(ArtifactsInput!$M$27,Inputs!$B$4="Chapter Hunt"),CHOOSE(ArtifactsInput!$N$27+1,20,24,28,32,36,40),0)/100)))))/Skills!H5+0.000000001),1)))/Inputs!$B$43),G812*Q812))*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Hunt"),CHOOSE(ArtifactsInput!$N$35+1,15,18,21,24,27,30)*(1-EXP(-(0.2*B840)*5)),0)+IF(AND(ArtifactsInput!$M$22,Inputs!$B$4&lt;&gt;"Chapter Hunt"),CHOOSE(ArtifactsInput!$N$22+1,10,12,14,16,18,20)*((0*(((0.15*B840*5))^0/1)+1*(((0.15*B840*5))^1/1)+2*(((0.15*B840*5))^2/2)+3*(((0.15*B840*5))^3/6)+4*(((0.15*B840*5))^4/24)+5*(((0.15*B840*5))^5/120))/((((0.15*B840*5))^0/1)+(((0.15*B840*5))^1/1)+(((0.15*B840*5))^2/2)+(((0.15*B840*5))^3/6)+(((0.15*B840*5))^4/24)+(((0.15*B840*5))^5/120))),0))+IF(Inputs!$B$3&gt;=54,9*(C810=TRUE)*MIN(1,8*(1+Inputs!$B$34/100)*Q810)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812*(1-MIN(100,(Inputs!$B$9+((C826=TRUE)*(F826-Calc!F19))+B838+(ArtifactsInput!$M$24-ArtifactsInput!$M$24)*CHOOSE(ArtifactsInput!$N$24+1,10,12,14,16,18,20)+(IF(AND(Inputs!$B$38&lt;&gt;"pvp",Inputs!$B$43=0),1,IF(IF(Inputs!$B$38="pvp",15,Inputs!$B$43)-(B845)&lt;=0,1,MAX(0,IF(Inputs!$B$38="pvp",15,Inputs!$B$43)-MAX(5,B845))/(IF(Inputs!$B$38="pvp",15,Inputs!$B$43)-(B845))))*IF(AND(ArtifactsInput!$M$42,((Inputs!$B$9+((C826=TRUE)*(F826-Calc!F19))+B838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812*(MIN(100,(Inputs!$B$9+((C826=TRUE)*(F826-Calc!F19))+B838+(ArtifactsInput!$M$24-ArtifactsInput!$M$24)*CHOOSE(ArtifactsInput!$N$24+1,10,12,14,16,18,20)+(IF(AND(Inputs!$B$38&lt;&gt;"pvp",Inputs!$B$43=0),1,IF(IF(Inputs!$B$38="pvp",15,Inputs!$B$43)-(B845)&lt;=0,1,MAX(0,IF(Inputs!$B$38="pvp",15,Inputs!$B$43)-MAX(5,B845))/(IF(Inputs!$B$38="pvp",15,Inputs!$B$43)-(B845))))*IF(AND(ArtifactsInput!$M$42,((Inputs!$B$9+((C826=TRUE)*(F826-Calc!F19))+B838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812*(1-MIN(100,(Inputs!$B$9+((C826=TRUE)*(F826-Calc!F19))+B838+(ArtifactsInput!$M$24-ArtifactsInput!$M$24)*CHOOSE(ArtifactsInput!$N$24+1,10,12,14,16,18,20)+(IF(AND(Inputs!$B$38&lt;&gt;"pvp",Inputs!$B$43=0),1,IF(IF(Inputs!$B$38="pvp",15,Inputs!$B$43)-(B845)&lt;=0,1,MAX(0,IF(Inputs!$B$38="pvp",15,Inputs!$B$43)-MAX(5,B845))/(IF(Inputs!$B$38="pvp",15,Inputs!$B$43)-(B845))))*IF(AND(ArtifactsInput!$M$42,((Inputs!$B$9+((C826=TRUE)*(F826-Calc!F19))+B838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812*(MIN(100,(Inputs!$B$9+((C826=TRUE)*(F826-Calc!F19))+B838+(ArtifactsInput!$M$24-ArtifactsInput!$M$24)*CHOOSE(ArtifactsInput!$N$24+1,10,12,14,16,18,20)+(IF(AND(Inputs!$B$38&lt;&gt;"pvp",Inputs!$B$43=0),1,IF(IF(Inputs!$B$38="pvp",15,Inputs!$B$43)-(B845)&lt;=0,1,MAX(0,IF(Inputs!$B$38="pvp",15,Inputs!$B$43)-MAX(5,B845))/(IF(Inputs!$B$38="pvp",15,Inputs!$B$43)-(B845))))*IF(AND(ArtifactsInput!$M$42,((Inputs!$B$9+((C826=TRUE)*(F826-Calc!F19))+B838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812">
        <f>IF(C812,(H812*N812*IF(AND(Inputs!$B$38&lt;&gt;"pvp",Inputs!$B$43&gt;0),((Skills!G5*((R812-1)*IF(Skills!H5&gt;0,INT(IF(Inputs!$B$3&gt;=104,MIN(35,20*(1+Inputs!$B$34/100)),20)/Skills!H5+0.000000001),1)+IF(Skills!H5&gt;0,INT(MIN(IF(Inputs!$B$3&gt;=104,MIN(35,20*(1+Inputs!$B$34/100)),20),MAX(0,MAX(0,Inputs!$B$43-B845)-((R812-1)*(IF(Inputs!$B$38="pvp",15,MAX(0.1,Skills!D5-IF(TRUE=TRUE,Inputs!$B$32,0)))*(1-IF(AND(ArtifactsInput!$M$27,Inputs!$B$4="Chapter Hunt"),CHOOSE(ArtifactsInput!$N$27+1,20,24,28,32,36,40),0)/100)))))/Skills!H5+0.000000001),1)))/Inputs!$B$43),G812*Q812))*IF(Inputs!$B$38="pvp",1,(1+(Inputs!$B$21+Skills!Q5+(IF(ArtifactsInput!$M$33,CHOOSE(ArtifactsInput!$N$33+1,30,36,42,48,54,60),0))+(IF(AND(ArtifactsInput!$M$35,Inputs!$B$4&lt;&gt;"Chapter Hunt"),CHOOSE(ArtifactsInput!$N$35+1,15,18,21,24,27,30)*(1-EXP(-(0.2*B840)*5)),0)+IF(AND(ArtifactsInput!$M$22,Inputs!$B$4&lt;&gt;"Chapter Hunt"),CHOOSE(ArtifactsInput!$N$22+1,10,12,14,16,18,20)*((0*(((0.15*B840*5))^0/1)+1*(((0.15*B840*5))^1/1)+2*(((0.15*B840*5))^2/2)+3*(((0.15*B840*5))^3/6)+4*(((0.15*B840*5))^4/24)+5*(((0.15*B840*5))^5/120))/((((0.15*B840*5))^0/1)+(((0.15*B840*5))^1/1)+(((0.15*B840*5))^2/2)+(((0.15*B840*5))^3/6)+(((0.15*B840*5))^4/24)+(((0.15*B840*5))^5/120))),0))+IF(Inputs!$B$3&gt;=54,9*(C810=TRUE)*MIN(1,8*(1+Inputs!$B$34/100)*Q810)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13">
      <c r="A813">
        <f>Skills!A6</f>
        <v/>
      </c>
      <c r="B813">
        <f>Skills!B6</f>
        <v/>
      </c>
      <c r="C813">
        <f>Inputs!$B$3&gt;=66</f>
        <v/>
      </c>
      <c r="D813">
        <f>IF(Skills!C6=1,60+(Inputs!$B$25+1)+Inputs!$B$29,IF(Skills!C6=2,90+Inputs!$B$26+Inputs!$B$29,IF(Skills!C6=3,120+Inputs!$B$27+Inputs!$B$29,MAX(0,(Inputs!$B$3-100)*3)+Inputs!$B$28+Inputs!$B$29)))</f>
        <v/>
      </c>
      <c r="E813">
        <f>INDEX(FactorTable!$B$2:$Y$301, MATCH(ROUND(MIN(300,MAX(1,D813)),0), FactorTable!$A$2:$A$301,0), Skills!M6+1)</f>
        <v/>
      </c>
      <c r="F813">
        <f>IF(Skills!N6=TRUE,(Skills!L6/10)*(E813/1000),Skills!L6/10)+Skills!O6</f>
        <v/>
      </c>
      <c r="G813">
        <f>Skills!G6*IF(Skills!H6&gt;0,INT(IF(Inputs!$B$38="pvp",MIN(Skills!I6,15),Skills!I6)/Skills!H6+0.000000001),1)</f>
        <v/>
      </c>
      <c r="H813">
        <f>1-(1-Skills!J6/100)^Skills!K6</f>
        <v/>
      </c>
      <c r="I813" t="inlineStr">
        <is>
          <t>1</t>
        </is>
      </c>
      <c r="J813">
        <f>((Inputs!$B$6*(1+Inputs!$B$7/100))+(((Inputs!$B$12*(1+Inputs!$B$13/100))-(Inputs!$B$12*(1+Inputs!$B$13/100)))+0.25*(Inputs!$B$14-Inputs!$B$14))*(1+Inputs!$B$7/100))*(F813/100)</f>
        <v/>
      </c>
      <c r="K813">
        <f>J813*(1+((Inputs!$B$12*(1+Inputs!$B$13/100))*0.01+Inputs!$B$14*0.0025)/100)*(1+Inputs!$B$15/100)*(1+Inputs!$B$16/100)*(5000/(6000+Inputs!$B$42*(1-(100*(1-(1-(Inputs!$B$19+0)/100)*(1-CHOOSE(ArtifactsInput!$N$40+1,5,6,7,8,9,10)/100)^(ArtifactsInput!$M$40-ArtifactsInput!$M$40)))/100)))*(1+(Inputs!$B$24+((C833=TRUE)*(F833-Calc!F26))+B844)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+2.0*IF(C822=TRUE,F822,0)/100)*(1+(IF(Skills!A6="EIGHT_LEGS_EASTON",Inputs!$B$17+((C830=TRUE)*(F830-Calc!F23))+((C834=TRUE)*(F834-Calc!F27))+((IF(AND(Inputs!$B$38&lt;&gt;"pvp",Inputs!$B$43=0),1,IF(IF(Inputs!$B$38="pvp",15,Inputs!$B$43)-(B845)&lt;=0,1,MAX(0,IF(Inputs!$B$38="pvp",15,Inputs!$B$43)-MAX(5,B845))/(IF(Inputs!$B$38="pvp",15,Inputs!$B$43)-(B845))))*(IF(AND(ArtifactsInput!$M$42,((Inputs!$B$9+((C826=TRUE)*(F826-Calc!F19))+B838+(ArtifactsInput!$M$24-ArtifactsInput!$M$24)*CHOOSE(ArtifactsInput!$N$24+1,10,12,14,16,18,20)+IF(ArtifactsInput!$M$10,CHOOSE(ArtifactsInput!$N$10+1,15,18,21,24,27,30)*(IF(Inputs!$B$38="pvp",MIN(15,15)/15,IF(AND(Inputs!$B$38&lt;&gt;"pvp",Inputs!$B$43&gt;0),MIN(15,Inputs!$B$43)/(Inputs!$B$43),0))),0)))&gt;=100),MIN(100,((Inputs!$B$9+((C826=TRUE)*(F826-Calc!F19))+B838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845)&lt;=0,1,MAX(0,IF(Inputs!$B$38="pvp",15,Inputs!$B$43)-MAX(5,B845))/(IF(Inputs!$B$38="pvp",15,Inputs!$B$43)-(B845))))*IF(AND(ArtifactsInput!$M$42,((Inputs!$B$9+((C826=TRUE)*(F826-Calc!F19))+B838+(ArtifactsInput!$M$24-ArtifactsInput!$M$24)*CHOOSE(ArtifactsInput!$N$24+1,10,12,14,16,18,20)+IF(ArtifactsInput!$M$10,CHOOSE(ArtifactsInput!$N$10+1,15,18,21,24,27,30)*(IF(Inputs!$B$38="pvp",MIN(15,15)/15,IF(AND(Inputs!$B$38&lt;&gt;"pvp",Inputs!$B$43&gt;0),MIN(15,Inputs!$B$43)/(Inputs!$B$43),0))),0)))&gt;=100),CHOOSE(ArtifactsInput!$N$42+1,40,48,56,64,72,80),0))))/100)*((1+(((C824=TRUE)*F824*5/7)+((C831=TRUE)*(F831-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813)</f>
        <v/>
      </c>
      <c r="L813">
        <f>K813*(MIN(Inputs!$B$22+((C829=TRUE)*(F829-Calc!F22)),(Inputs!$B$23+0+(IF(ArtifactsInput!$M$15,CHOOSE(ArtifactsInput!$N$15+1,25,30,35,40,45,50)/100*(Inputs!$B$11-Inputs!$B$11),0))))/100+(Inputs!$B$23+0+(IF(ArtifactsInput!$M$15,CHOOSE(ArtifactsInput!$N$15+1,25,30,35,40,45,50)/100*(Inputs!$B$11-Inputs!$B$11),0)))/100)/2</f>
        <v/>
      </c>
      <c r="M813">
        <f>L813*(1+(Inputs!$B$10+((C832=TRUE)*(F832-Calc!F25))+B843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13">
        <f>L813*(1-MIN((Inputs!$B$9+((C826=TRUE)*(F826-Calc!F19))+B838+(ArtifactsInput!$M$24-ArtifactsInput!$M$24)*CHOOSE(ArtifactsInput!$N$24+1,10,12,14,16,18,20)+(IF(AND(Inputs!$B$38&lt;&gt;"pvp",Inputs!$B$43=0),1,IF(IF(Inputs!$B$38="pvp",15,Inputs!$B$43)-(B845)&lt;=0,1,MAX(0,IF(Inputs!$B$38="pvp",15,Inputs!$B$43)-MAX(5,B845))/(IF(Inputs!$B$38="pvp",15,Inputs!$B$43)-(B845))))*IF(AND(ArtifactsInput!$M$42,((Inputs!$B$9+((C826=TRUE)*(F826-Calc!F19))+B838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813*(MIN((Inputs!$B$9+((C826=TRUE)*(F826-Calc!F19))+B838+(ArtifactsInput!$M$24-ArtifactsInput!$M$24)*CHOOSE(ArtifactsInput!$N$24+1,10,12,14,16,18,20)+(IF(AND(Inputs!$B$38&lt;&gt;"pvp",Inputs!$B$43=0),1,IF(IF(Inputs!$B$38="pvp",15,Inputs!$B$43)-(B845)&lt;=0,1,MAX(0,IF(Inputs!$B$38="pvp",15,Inputs!$B$43)-MAX(5,B845))/(IF(Inputs!$B$38="pvp",15,Inputs!$B$43)-(B845))))*IF(AND(ArtifactsInput!$M$42,((Inputs!$B$9+((C826=TRUE)*(F826-Calc!F19))+B838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13">
        <f>(1-Summary!$B$11)*T813+Summary!$B$11*V813</f>
        <v/>
      </c>
      <c r="P813">
        <f>IF(B848=0,0,O813/B848)</f>
        <v/>
      </c>
      <c r="Q813">
        <f>IFERROR(1/(IF(Inputs!$B$38="pvp",15,MAX(0.1,Skills!D6-IF(TRUE=TRUE,Inputs!$B$32,0)))*(1-IF(AND(ArtifactsInput!$M$27,Inputs!$B$4="Chapter Hunt"),CHOOSE(ArtifactsInput!$N$27+1,20,24,28,32,36,40),0)/100)),0)</f>
        <v/>
      </c>
      <c r="R813">
        <f>IF(AND(Inputs!$B$38&lt;&gt;"pvp",Inputs!$B$43&gt;0),IF(MAX(0,Inputs!$B$43-B845)&lt;=0,0,(INT(MAX(0,Inputs!$B$43-B845)/(IF(Inputs!$B$38="pvp",15,MAX(0.1,Skills!D6-IF(TRUE=TRUE,Inputs!$B$32,0)))*(1-IF(AND(ArtifactsInput!$M$27,Inputs!$B$4="Chapter Hunt"),CHOOSE(ArtifactsInput!$N$27+1,20,24,28,32,36,40),0)/100)))+1)),0)</f>
        <v/>
      </c>
      <c r="S813">
        <f>IFERROR(O813/N813,0)</f>
        <v/>
      </c>
      <c r="T813">
        <f>IF(C813,(H813*N813*IF(AND(Inputs!$B$38&lt;&gt;"pvp",Inputs!$B$43&gt;0),((Skills!G6*((R813-1)*IF(Skills!H6&gt;0,INT(Skills!I6/Skills!H6+0.000000001),1)+IF(Skills!H6&gt;0,INT(MIN(Skills!I6,MAX(0,MAX(0,Inputs!$B$43-B845)-((R813-1)*(IF(Inputs!$B$38="pvp",15,MAX(0.1,Skills!D6-IF(TRUE=TRUE,Inputs!$B$32,0)))*(1-IF(AND(ArtifactsInput!$M$27,Inputs!$B$4="Chapter Hunt"),CHOOSE(ArtifactsInput!$N$27+1,20,24,28,32,36,40),0)/100)))))/Skills!H6+0.000000001),1)))/Inputs!$B$43),G813*Q813))*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Hunt"),CHOOSE(ArtifactsInput!$N$35+1,15,18,21,24,27,30)*(1-EXP(-(0.2*B840)*5)),0)+IF(AND(ArtifactsInput!$M$22,Inputs!$B$4&lt;&gt;"Chapter Hunt"),CHOOSE(ArtifactsInput!$N$22+1,10,12,14,16,18,20)*((0*(((0.15*B840*5))^0/1)+1*(((0.15*B840*5))^1/1)+2*(((0.15*B840*5))^2/2)+3*(((0.15*B840*5))^3/6)+4*(((0.15*B840*5))^4/24)+5*(((0.15*B840*5))^5/120))/((((0.15*B840*5))^0/1)+(((0.15*B840*5))^1/1)+(((0.15*B840*5))^2/2)+(((0.15*B840*5))^3/6)+(((0.15*B840*5))^4/24)+(((0.15*B840*5))^5/120))),0))+IF(Inputs!$B$3&gt;=54,9*(C810=TRUE)*MIN(1,8*(1+Inputs!$B$34/100)*Q810)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813*(1-MIN(100,(Inputs!$B$9+((C826=TRUE)*(F826-Calc!F19))+B838+(ArtifactsInput!$M$24-ArtifactsInput!$M$24)*CHOOSE(ArtifactsInput!$N$24+1,10,12,14,16,18,20)+(IF(AND(Inputs!$B$38&lt;&gt;"pvp",Inputs!$B$43=0),1,IF(IF(Inputs!$B$38="pvp",15,Inputs!$B$43)-(B845)&lt;=0,1,MAX(0,IF(Inputs!$B$38="pvp",15,Inputs!$B$43)-MAX(5,B845))/(IF(Inputs!$B$38="pvp",15,Inputs!$B$43)-(B845))))*IF(AND(ArtifactsInput!$M$42,((Inputs!$B$9+((C826=TRUE)*(F826-Calc!F19))+B838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813*(MIN(100,(Inputs!$B$9+((C826=TRUE)*(F826-Calc!F19))+B838+(ArtifactsInput!$M$24-ArtifactsInput!$M$24)*CHOOSE(ArtifactsInput!$N$24+1,10,12,14,16,18,20)+(IF(AND(Inputs!$B$38&lt;&gt;"pvp",Inputs!$B$43=0),1,IF(IF(Inputs!$B$38="pvp",15,Inputs!$B$43)-(B845)&lt;=0,1,MAX(0,IF(Inputs!$B$38="pvp",15,Inputs!$B$43)-MAX(5,B845))/(IF(Inputs!$B$38="pvp",15,Inputs!$B$43)-(B845))))*IF(AND(ArtifactsInput!$M$42,((Inputs!$B$9+((C826=TRUE)*(F826-Calc!F19))+B838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813*(1-MIN(100,(Inputs!$B$9+((C826=TRUE)*(F826-Calc!F19))+B838+(ArtifactsInput!$M$24-ArtifactsInput!$M$24)*CHOOSE(ArtifactsInput!$N$24+1,10,12,14,16,18,20)+(IF(AND(Inputs!$B$38&lt;&gt;"pvp",Inputs!$B$43=0),1,IF(IF(Inputs!$B$38="pvp",15,Inputs!$B$43)-(B845)&lt;=0,1,MAX(0,IF(Inputs!$B$38="pvp",15,Inputs!$B$43)-MAX(5,B845))/(IF(Inputs!$B$38="pvp",15,Inputs!$B$43)-(B845))))*IF(AND(ArtifactsInput!$M$42,((Inputs!$B$9+((C826=TRUE)*(F826-Calc!F19))+B838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813*(MIN(100,(Inputs!$B$9+((C826=TRUE)*(F826-Calc!F19))+B838+(ArtifactsInput!$M$24-ArtifactsInput!$M$24)*CHOOSE(ArtifactsInput!$N$24+1,10,12,14,16,18,20)+(IF(AND(Inputs!$B$38&lt;&gt;"pvp",Inputs!$B$43=0),1,IF(IF(Inputs!$B$38="pvp",15,Inputs!$B$43)-(B845)&lt;=0,1,MAX(0,IF(Inputs!$B$38="pvp",15,Inputs!$B$43)-MAX(5,B845))/(IF(Inputs!$B$38="pvp",15,Inputs!$B$43)-(B845))))*IF(AND(ArtifactsInput!$M$42,((Inputs!$B$9+((C826=TRUE)*(F826-Calc!F19))+B838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813">
        <f>IF(C813,(H813*N813*IF(AND(Inputs!$B$38&lt;&gt;"pvp",Inputs!$B$43&gt;0),((Skills!G6*((R813-1)*IF(Skills!H6&gt;0,INT(Skills!I6/Skills!H6+0.000000001),1)+IF(Skills!H6&gt;0,INT(MIN(Skills!I6,MAX(0,MAX(0,Inputs!$B$43-B845)-((R813-1)*(IF(Inputs!$B$38="pvp",15,MAX(0.1,Skills!D6-IF(TRUE=TRUE,Inputs!$B$32,0)))*(1-IF(AND(ArtifactsInput!$M$27,Inputs!$B$4="Chapter Hunt"),CHOOSE(ArtifactsInput!$N$27+1,20,24,28,32,36,40),0)/100)))))/Skills!H6+0.000000001),1)))/Inputs!$B$43),G813*Q813))*IF(Inputs!$B$38="pvp",1,(1+(Inputs!$B$21+Skills!Q6+(IF(ArtifactsInput!$M$33,CHOOSE(ArtifactsInput!$N$33+1,30,36,42,48,54,60),0))+(IF(AND(ArtifactsInput!$M$35,Inputs!$B$4&lt;&gt;"Chapter Hunt"),CHOOSE(ArtifactsInput!$N$35+1,15,18,21,24,27,30)*(1-EXP(-(0.2*B840)*5)),0)+IF(AND(ArtifactsInput!$M$22,Inputs!$B$4&lt;&gt;"Chapter Hunt"),CHOOSE(ArtifactsInput!$N$22+1,10,12,14,16,18,20)*((0*(((0.15*B840*5))^0/1)+1*(((0.15*B840*5))^1/1)+2*(((0.15*B840*5))^2/2)+3*(((0.15*B840*5))^3/6)+4*(((0.15*B840*5))^4/24)+5*(((0.15*B840*5))^5/120))/((((0.15*B840*5))^0/1)+(((0.15*B840*5))^1/1)+(((0.15*B840*5))^2/2)+(((0.15*B840*5))^3/6)+(((0.15*B840*5))^4/24)+(((0.15*B840*5))^5/120))),0))+IF(Inputs!$B$3&gt;=54,9*(C810=TRUE)*MIN(1,8*(1+Inputs!$B$34/100)*Q810)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14">
      <c r="A814">
        <f>Skills!A7</f>
        <v/>
      </c>
      <c r="B814">
        <f>Skills!B7</f>
        <v/>
      </c>
      <c r="C814">
        <f>Inputs!$B$3&gt;=63</f>
        <v/>
      </c>
      <c r="D814">
        <f>IF(Skills!C7=1,60+(Inputs!$B$25+1)+Inputs!$B$29,IF(Skills!C7=2,90+Inputs!$B$26+Inputs!$B$29,IF(Skills!C7=3,120+Inputs!$B$27+Inputs!$B$29,MAX(0,(Inputs!$B$3-100)*3)+Inputs!$B$28+Inputs!$B$29)))</f>
        <v/>
      </c>
      <c r="E814">
        <f>INDEX(FactorTable!$B$2:$Y$301, MATCH(ROUND(MIN(300,MAX(1,D814)),0), FactorTable!$A$2:$A$301,0), Skills!M7+1)</f>
        <v/>
      </c>
      <c r="F814">
        <f>IF(Skills!N7=TRUE,(Skills!L7/10)*(E814/1000),Skills!L7/10)+Skills!O7</f>
        <v/>
      </c>
      <c r="G814">
        <f>Skills!G7*IF(Skills!H7&gt;0,INT(IF(Inputs!$B$38="pvp",MIN(Skills!I7,15),Skills!I7)/Skills!H7+0.000000001),1)</f>
        <v/>
      </c>
      <c r="H814">
        <f>1-(1-Skills!J7/100)^Skills!K7</f>
        <v/>
      </c>
      <c r="I814" t="inlineStr">
        <is>
          <t>1</t>
        </is>
      </c>
      <c r="J814">
        <f>((Inputs!$B$6*(1+Inputs!$B$7/100))+(((Inputs!$B$12*(1+Inputs!$B$13/100))-(Inputs!$B$12*(1+Inputs!$B$13/100)))+0.25*(Inputs!$B$14-Inputs!$B$14))*(1+Inputs!$B$7/100))*(F814/100)</f>
        <v/>
      </c>
      <c r="K814">
        <f>J814*(1+((Inputs!$B$12*(1+Inputs!$B$13/100))*0.01+Inputs!$B$14*0.0025)/100)*(1+Inputs!$B$15/100)*(1+Inputs!$B$16/100)*(5000/(6000+Inputs!$B$42*(1-(100*(1-(1-(Inputs!$B$19+0)/100)*(1-CHOOSE(ArtifactsInput!$N$40+1,5,6,7,8,9,10)/100)^(ArtifactsInput!$M$40-ArtifactsInput!$M$40)))/100)))*(1+(Inputs!$B$24+((C833=TRUE)*(F833-Calc!F26))+B844)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822=TRUE,F822,0)/100)*(1+(IF(Skills!A7="EIGHT_LEGS_EASTON",Inputs!$B$17+((C830=TRUE)*(F830-Calc!F23))+((C834=TRUE)*(F834-Calc!F27))+((IF(AND(Inputs!$B$38&lt;&gt;"pvp",Inputs!$B$43=0),1,IF(IF(Inputs!$B$38="pvp",15,Inputs!$B$43)-(B845)&lt;=0,1,MAX(0,IF(Inputs!$B$38="pvp",15,Inputs!$B$43)-MAX(5,B845))/(IF(Inputs!$B$38="pvp",15,Inputs!$B$43)-(B845))))*(IF(AND(ArtifactsInput!$M$42,((Inputs!$B$9+((C826=TRUE)*(F826-Calc!F19))+B838+(ArtifactsInput!$M$24-ArtifactsInput!$M$24)*CHOOSE(ArtifactsInput!$N$24+1,10,12,14,16,18,20)+IF(ArtifactsInput!$M$10,CHOOSE(ArtifactsInput!$N$10+1,15,18,21,24,27,30)*(IF(Inputs!$B$38="pvp",MIN(15,15)/15,IF(AND(Inputs!$B$38&lt;&gt;"pvp",Inputs!$B$43&gt;0),MIN(15,Inputs!$B$43)/(Inputs!$B$43),0))),0)))&gt;=100),MIN(100,((Inputs!$B$9+((C826=TRUE)*(F826-Calc!F19))+B838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845)&lt;=0,1,MAX(0,IF(Inputs!$B$38="pvp",15,Inputs!$B$43)-MAX(5,B845))/(IF(Inputs!$B$38="pvp",15,Inputs!$B$43)-(B845))))*IF(AND(ArtifactsInput!$M$42,((Inputs!$B$9+((C826=TRUE)*(F826-Calc!F19))+B838+(ArtifactsInput!$M$24-ArtifactsInput!$M$24)*CHOOSE(ArtifactsInput!$N$24+1,10,12,14,16,18,20)+IF(ArtifactsInput!$M$10,CHOOSE(ArtifactsInput!$N$10+1,15,18,21,24,27,30)*(IF(Inputs!$B$38="pvp",MIN(15,15)/15,IF(AND(Inputs!$B$38&lt;&gt;"pvp",Inputs!$B$43&gt;0),MIN(15,Inputs!$B$43)/(Inputs!$B$43),0))),0)))&gt;=100),CHOOSE(ArtifactsInput!$N$42+1,40,48,56,64,72,80),0))))/100)*((1+(((C824=TRUE)*F824*5/7)+((C831=TRUE)*(F831-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814)</f>
        <v/>
      </c>
      <c r="L814">
        <f>K814*(MIN(Inputs!$B$22+((C829=TRUE)*(F829-Calc!F22)),(Inputs!$B$23+0+(IF(ArtifactsInput!$M$15,CHOOSE(ArtifactsInput!$N$15+1,25,30,35,40,45,50)/100*(Inputs!$B$11-Inputs!$B$11),0))))/100+(Inputs!$B$23+0+(IF(ArtifactsInput!$M$15,CHOOSE(ArtifactsInput!$N$15+1,25,30,35,40,45,50)/100*(Inputs!$B$11-Inputs!$B$11),0)))/100)/2</f>
        <v/>
      </c>
      <c r="M814">
        <f>L814*(1+(Inputs!$B$10+((C832=TRUE)*(F832-Calc!F25))+B843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14">
        <f>L814*(1-MIN((Inputs!$B$9+((C826=TRUE)*(F826-Calc!F19))+B838+(ArtifactsInput!$M$24-ArtifactsInput!$M$24)*CHOOSE(ArtifactsInput!$N$24+1,10,12,14,16,18,20)+(IF(AND(Inputs!$B$38&lt;&gt;"pvp",Inputs!$B$43=0),1,IF(IF(Inputs!$B$38="pvp",15,Inputs!$B$43)-(B845)&lt;=0,1,MAX(0,IF(Inputs!$B$38="pvp",15,Inputs!$B$43)-MAX(5,B845))/(IF(Inputs!$B$38="pvp",15,Inputs!$B$43)-(B845))))*IF(AND(ArtifactsInput!$M$42,((Inputs!$B$9+((C826=TRUE)*(F826-Calc!F19))+B838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814*(MIN((Inputs!$B$9+((C826=TRUE)*(F826-Calc!F19))+B838+(ArtifactsInput!$M$24-ArtifactsInput!$M$24)*CHOOSE(ArtifactsInput!$N$24+1,10,12,14,16,18,20)+(IF(AND(Inputs!$B$38&lt;&gt;"pvp",Inputs!$B$43=0),1,IF(IF(Inputs!$B$38="pvp",15,Inputs!$B$43)-(B845)&lt;=0,1,MAX(0,IF(Inputs!$B$38="pvp",15,Inputs!$B$43)-MAX(5,B845))/(IF(Inputs!$B$38="pvp",15,Inputs!$B$43)-(B845))))*IF(AND(ArtifactsInput!$M$42,((Inputs!$B$9+((C826=TRUE)*(F826-Calc!F19))+B838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14">
        <f>(1-Summary!$B$11)*T814+Summary!$B$11*V814</f>
        <v/>
      </c>
      <c r="P814">
        <f>IF(B848=0,0,O814/B848)</f>
        <v/>
      </c>
      <c r="Q814">
        <f>IFERROR(1/(IF(Inputs!$B$38="pvp",15,MAX(0.1,Skills!D7-IF(TRUE=TRUE,Inputs!$B$32,0)))*(1-IF(AND(ArtifactsInput!$M$27,Inputs!$B$4="Chapter Hunt"),CHOOSE(ArtifactsInput!$N$27+1,20,24,28,32,36,40),0)/100)),0)</f>
        <v/>
      </c>
      <c r="R814">
        <f>IF(AND(Inputs!$B$38&lt;&gt;"pvp",Inputs!$B$43&gt;0),IF(MAX(0,Inputs!$B$43-B845)&lt;=0,0,(INT(MAX(0,Inputs!$B$43-B845)/(IF(Inputs!$B$38="pvp",15,MAX(0.1,Skills!D7-IF(TRUE=TRUE,Inputs!$B$32,0)))*(1-IF(AND(ArtifactsInput!$M$27,Inputs!$B$4="Chapter Hunt"),CHOOSE(ArtifactsInput!$N$27+1,20,24,28,32,36,40),0)/100)))+1)),0)</f>
        <v/>
      </c>
      <c r="S814">
        <f>IFERROR(O814/N814,0)</f>
        <v/>
      </c>
      <c r="T814">
        <f>IF(C814,(H814*N814*IF(AND(Inputs!$B$38&lt;&gt;"pvp",Inputs!$B$43&gt;0),((Skills!G7*((R814-1)*IF(Skills!H7&gt;0,INT(Skills!I7/Skills!H7+0.000000001),1)+IF(Skills!H7&gt;0,INT(MIN(Skills!I7,MAX(0,MAX(0,Inputs!$B$43-B845)-((R814-1)*(IF(Inputs!$B$38="pvp",15,MAX(0.1,Skills!D7-IF(TRUE=TRUE,Inputs!$B$32,0)))*(1-IF(AND(ArtifactsInput!$M$27,Inputs!$B$4="Chapter Hunt"),CHOOSE(ArtifactsInput!$N$27+1,20,24,28,32,36,40),0)/100)))))/Skills!H7+0.000000001),1)))/Inputs!$B$43),G814*Q814))*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Hunt"),CHOOSE(ArtifactsInput!$N$35+1,15,18,21,24,27,30)*(1-EXP(-(0.2*B840)*5)),0)+IF(AND(ArtifactsInput!$M$22,Inputs!$B$4&lt;&gt;"Chapter Hunt"),CHOOSE(ArtifactsInput!$N$22+1,10,12,14,16,18,20)*((0*(((0.15*B840*5))^0/1)+1*(((0.15*B840*5))^1/1)+2*(((0.15*B840*5))^2/2)+3*(((0.15*B840*5))^3/6)+4*(((0.15*B840*5))^4/24)+5*(((0.15*B840*5))^5/120))/((((0.15*B840*5))^0/1)+(((0.15*B840*5))^1/1)+(((0.15*B840*5))^2/2)+(((0.15*B840*5))^3/6)+(((0.15*B840*5))^4/24)+(((0.15*B840*5))^5/120))),0))+IF(Inputs!$B$3&gt;=54,9*(C810=TRUE)*MIN(1,8*(1+Inputs!$B$34/100)*Q810)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814*(1-MIN(100,(Inputs!$B$9+((C826=TRUE)*(F826-Calc!F19))+B838+(ArtifactsInput!$M$24-ArtifactsInput!$M$24)*CHOOSE(ArtifactsInput!$N$24+1,10,12,14,16,18,20)+(IF(AND(Inputs!$B$38&lt;&gt;"pvp",Inputs!$B$43=0),1,IF(IF(Inputs!$B$38="pvp",15,Inputs!$B$43)-(B845)&lt;=0,1,MAX(0,IF(Inputs!$B$38="pvp",15,Inputs!$B$43)-MAX(5,B845))/(IF(Inputs!$B$38="pvp",15,Inputs!$B$43)-(B845))))*IF(AND(ArtifactsInput!$M$42,((Inputs!$B$9+((C826=TRUE)*(F826-Calc!F19))+B838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814*(MIN(100,(Inputs!$B$9+((C826=TRUE)*(F826-Calc!F19))+B838+(ArtifactsInput!$M$24-ArtifactsInput!$M$24)*CHOOSE(ArtifactsInput!$N$24+1,10,12,14,16,18,20)+(IF(AND(Inputs!$B$38&lt;&gt;"pvp",Inputs!$B$43=0),1,IF(IF(Inputs!$B$38="pvp",15,Inputs!$B$43)-(B845)&lt;=0,1,MAX(0,IF(Inputs!$B$38="pvp",15,Inputs!$B$43)-MAX(5,B845))/(IF(Inputs!$B$38="pvp",15,Inputs!$B$43)-(B845))))*IF(AND(ArtifactsInput!$M$42,((Inputs!$B$9+((C826=TRUE)*(F826-Calc!F19))+B838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814*(1-MIN(100,(Inputs!$B$9+((C826=TRUE)*(F826-Calc!F19))+B838+(ArtifactsInput!$M$24-ArtifactsInput!$M$24)*CHOOSE(ArtifactsInput!$N$24+1,10,12,14,16,18,20)+(IF(AND(Inputs!$B$38&lt;&gt;"pvp",Inputs!$B$43=0),1,IF(IF(Inputs!$B$38="pvp",15,Inputs!$B$43)-(B845)&lt;=0,1,MAX(0,IF(Inputs!$B$38="pvp",15,Inputs!$B$43)-MAX(5,B845))/(IF(Inputs!$B$38="pvp",15,Inputs!$B$43)-(B845))))*IF(AND(ArtifactsInput!$M$42,((Inputs!$B$9+((C826=TRUE)*(F826-Calc!F19))+B838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814*(MIN(100,(Inputs!$B$9+((C826=TRUE)*(F826-Calc!F19))+B838+(ArtifactsInput!$M$24-ArtifactsInput!$M$24)*CHOOSE(ArtifactsInput!$N$24+1,10,12,14,16,18,20)+(IF(AND(Inputs!$B$38&lt;&gt;"pvp",Inputs!$B$43=0),1,IF(IF(Inputs!$B$38="pvp",15,Inputs!$B$43)-(B845)&lt;=0,1,MAX(0,IF(Inputs!$B$38="pvp",15,Inputs!$B$43)-MAX(5,B845))/(IF(Inputs!$B$38="pvp",15,Inputs!$B$43)-(B845))))*IF(AND(ArtifactsInput!$M$42,((Inputs!$B$9+((C826=TRUE)*(F826-Calc!F19))+B838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814">
        <f>IF(C814,(H814*N814*IF(AND(Inputs!$B$38&lt;&gt;"pvp",Inputs!$B$43&gt;0),((Skills!G7*((R814-1)*IF(Skills!H7&gt;0,INT(Skills!I7/Skills!H7+0.000000001),1)+IF(Skills!H7&gt;0,INT(MIN(Skills!I7,MAX(0,MAX(0,Inputs!$B$43-B845)-((R814-1)*(IF(Inputs!$B$38="pvp",15,MAX(0.1,Skills!D7-IF(TRUE=TRUE,Inputs!$B$32,0)))*(1-IF(AND(ArtifactsInput!$M$27,Inputs!$B$4="Chapter Hunt"),CHOOSE(ArtifactsInput!$N$27+1,20,24,28,32,36,40),0)/100)))))/Skills!H7+0.000000001),1)))/Inputs!$B$43),G814*Q814))*IF(Inputs!$B$38="pvp",1,(1+(Inputs!$B$21+Skills!Q7+(IF(ArtifactsInput!$M$33,CHOOSE(ArtifactsInput!$N$33+1,30,36,42,48,54,60),0))+(IF(AND(ArtifactsInput!$M$35,Inputs!$B$4&lt;&gt;"Chapter Hunt"),CHOOSE(ArtifactsInput!$N$35+1,15,18,21,24,27,30)*(1-EXP(-(0.2*B840)*5)),0)+IF(AND(ArtifactsInput!$M$22,Inputs!$B$4&lt;&gt;"Chapter Hunt"),CHOOSE(ArtifactsInput!$N$22+1,10,12,14,16,18,20)*((0*(((0.15*B840*5))^0/1)+1*(((0.15*B840*5))^1/1)+2*(((0.15*B840*5))^2/2)+3*(((0.15*B840*5))^3/6)+4*(((0.15*B840*5))^4/24)+5*(((0.15*B840*5))^5/120))/((((0.15*B840*5))^0/1)+(((0.15*B840*5))^1/1)+(((0.15*B840*5))^2/2)+(((0.15*B840*5))^3/6)+(((0.15*B840*5))^4/24)+(((0.15*B840*5))^5/120))),0))+IF(Inputs!$B$3&gt;=54,9*(C810=TRUE)*MIN(1,8*(1+Inputs!$B$34/100)*Q810)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15">
      <c r="A815">
        <f>Skills!A8</f>
        <v/>
      </c>
      <c r="B815">
        <f>Skills!B8</f>
        <v/>
      </c>
      <c r="C815">
        <f>Inputs!$B$3&gt;=103</f>
        <v/>
      </c>
      <c r="D815">
        <f>IF(Skills!C8=1,60+(Inputs!$B$25+1)+Inputs!$B$29,IF(Skills!C8=2,90+Inputs!$B$26+Inputs!$B$29,IF(Skills!C8=3,120+Inputs!$B$27+Inputs!$B$29,MAX(0,(Inputs!$B$3-100)*3)+Inputs!$B$28+Inputs!$B$29)))</f>
        <v/>
      </c>
      <c r="E815">
        <f>INDEX(FactorTable!$B$2:$Y$301, MATCH(ROUND(MIN(300,MAX(1,D815)),0), FactorTable!$A$2:$A$301,0), Skills!M8+1)</f>
        <v/>
      </c>
      <c r="F815">
        <f>IF(Skills!N8=TRUE,(Skills!L8/10)*(E815/1000),Skills!L8/10)+Skills!O8</f>
        <v/>
      </c>
      <c r="G815">
        <f>Skills!G8*IF(Skills!H8&gt;0,INT(IF(Inputs!$B$38="pvp",MIN(Skills!I8,15),Skills!I8)/Skills!H8+0.000000001),1)</f>
        <v/>
      </c>
      <c r="H815">
        <f>1-(1-Skills!J8/100)^Skills!K8</f>
        <v/>
      </c>
      <c r="I815" t="inlineStr">
        <is>
          <t>1</t>
        </is>
      </c>
      <c r="J815">
        <f>((Inputs!$B$6*(1+Inputs!$B$7/100))+(((Inputs!$B$12*(1+Inputs!$B$13/100))-(Inputs!$B$12*(1+Inputs!$B$13/100)))+0.25*(Inputs!$B$14-Inputs!$B$14))*(1+Inputs!$B$7/100))*(F815/100)</f>
        <v/>
      </c>
      <c r="K815">
        <f>J815*(1+((Inputs!$B$12*(1+Inputs!$B$13/100))*0.01+Inputs!$B$14*0.0025)/100)*(1+Inputs!$B$15/100)*(1+Inputs!$B$16/100)*(5000/(6000+Inputs!$B$42*(1-(100*(1-(1-(Inputs!$B$19+0)/100)*(1-CHOOSE(ArtifactsInput!$N$40+1,5,6,7,8,9,10)/100)^(ArtifactsInput!$M$40-ArtifactsInput!$M$40)))/100)))*(1+(Inputs!$B$24+((C833=TRUE)*(F833-Calc!F26))+B844)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IGHT_LEGS_EASTON",Inputs!$B$17+((C830=TRUE)*(F830-Calc!F23))+((C834=TRUE)*(F834-Calc!F27))+((IF(AND(Inputs!$B$38&lt;&gt;"pvp",Inputs!$B$43=0),1,IF(IF(Inputs!$B$38="pvp",15,Inputs!$B$43)-(B845)&lt;=0,1,MAX(0,IF(Inputs!$B$38="pvp",15,Inputs!$B$43)-MAX(5,B845))/(IF(Inputs!$B$38="pvp",15,Inputs!$B$43)-(B845))))*(IF(AND(ArtifactsInput!$M$42,((Inputs!$B$9+((C826=TRUE)*(F826-Calc!F19))+B838+(ArtifactsInput!$M$24-ArtifactsInput!$M$24)*CHOOSE(ArtifactsInput!$N$24+1,10,12,14,16,18,20)+IF(ArtifactsInput!$M$10,CHOOSE(ArtifactsInput!$N$10+1,15,18,21,24,27,30)*(IF(Inputs!$B$38="pvp",MIN(15,15)/15,IF(AND(Inputs!$B$38&lt;&gt;"pvp",Inputs!$B$43&gt;0),MIN(15,Inputs!$B$43)/(Inputs!$B$43),0))),0)))&gt;=100),MIN(100,((Inputs!$B$9+((C826=TRUE)*(F826-Calc!F19))+B838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845)&lt;=0,1,MAX(0,IF(Inputs!$B$38="pvp",15,Inputs!$B$43)-MAX(5,B845))/(IF(Inputs!$B$38="pvp",15,Inputs!$B$43)-(B845))))*IF(AND(ArtifactsInput!$M$42,((Inputs!$B$9+((C826=TRUE)*(F826-Calc!F19))+B838+(ArtifactsInput!$M$24-ArtifactsInput!$M$24)*CHOOSE(ArtifactsInput!$N$24+1,10,12,14,16,18,20)+IF(ArtifactsInput!$M$10,CHOOSE(ArtifactsInput!$N$10+1,15,18,21,24,27,30)*(IF(Inputs!$B$38="pvp",MIN(15,15)/15,IF(AND(Inputs!$B$38&lt;&gt;"pvp",Inputs!$B$43&gt;0),MIN(15,Inputs!$B$43)/(Inputs!$B$43),0))),0)))&gt;=100),CHOOSE(ArtifactsInput!$N$42+1,40,48,56,64,72,80),0))))/100)*((1+(((C824=TRUE)*F824*5/7)+((C831=TRUE)*(F831-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815)</f>
        <v/>
      </c>
      <c r="L815">
        <f>K815*(MIN(Inputs!$B$22+((C829=TRUE)*(F829-Calc!F22)),(Inputs!$B$23+0+(IF(ArtifactsInput!$M$15,CHOOSE(ArtifactsInput!$N$15+1,25,30,35,40,45,50)/100*(Inputs!$B$11-Inputs!$B$11),0))))/100+(Inputs!$B$23+0+(IF(ArtifactsInput!$M$15,CHOOSE(ArtifactsInput!$N$15+1,25,30,35,40,45,50)/100*(Inputs!$B$11-Inputs!$B$11),0)))/100)/2</f>
        <v/>
      </c>
      <c r="M815">
        <f>L815*(1+(Inputs!$B$10+((C832=TRUE)*(F832-Calc!F25))+B843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15">
        <f>L815*(1-MIN((Inputs!$B$9+((C826=TRUE)*(F826-Calc!F19))+B838+(ArtifactsInput!$M$24-ArtifactsInput!$M$24)*CHOOSE(ArtifactsInput!$N$24+1,10,12,14,16,18,20)+(IF(AND(Inputs!$B$38&lt;&gt;"pvp",Inputs!$B$43=0),1,IF(IF(Inputs!$B$38="pvp",15,Inputs!$B$43)-(B845)&lt;=0,1,MAX(0,IF(Inputs!$B$38="pvp",15,Inputs!$B$43)-MAX(5,B845))/(IF(Inputs!$B$38="pvp",15,Inputs!$B$43)-(B845))))*IF(AND(ArtifactsInput!$M$42,((Inputs!$B$9+((C826=TRUE)*(F826-Calc!F19))+B838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815*(MIN((Inputs!$B$9+((C826=TRUE)*(F826-Calc!F19))+B838+(ArtifactsInput!$M$24-ArtifactsInput!$M$24)*CHOOSE(ArtifactsInput!$N$24+1,10,12,14,16,18,20)+(IF(AND(Inputs!$B$38&lt;&gt;"pvp",Inputs!$B$43=0),1,IF(IF(Inputs!$B$38="pvp",15,Inputs!$B$43)-(B845)&lt;=0,1,MAX(0,IF(Inputs!$B$38="pvp",15,Inputs!$B$43)-MAX(5,B845))/(IF(Inputs!$B$38="pvp",15,Inputs!$B$43)-(B845))))*IF(AND(ArtifactsInput!$M$42,((Inputs!$B$9+((C826=TRUE)*(F826-Calc!F19))+B838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15">
        <f>(1-Summary!$B$11)*T815+Summary!$B$11*V815</f>
        <v/>
      </c>
      <c r="P815">
        <f>IF(B848=0,0,O815/B848)</f>
        <v/>
      </c>
      <c r="Q815">
        <f>IFERROR(1/((IF(Inputs!$B$38="pvp",15,MAX(0.1,Skills!D8-IF(TRUE=TRUE,Inputs!$B$32,0)))*(1-IF(AND(ArtifactsInput!$M$27,Inputs!$B$4="Chapter Hunt"),CHOOSE(ArtifactsInput!$N$27+1,20,24,28,32,36,40),0)/100))/B849),0)</f>
        <v/>
      </c>
      <c r="R815">
        <f>IF(AND(Inputs!$B$38&lt;&gt;"pvp",Inputs!$B$43&gt;0),IF(MAX(0,Inputs!$B$43-B845)&lt;=0,0,(INT(MAX(0,Inputs!$B$43-B845)/((IF(Inputs!$B$38="pvp",15,MAX(0.1,Skills!D8-IF(TRUE=TRUE,Inputs!$B$32,0)))*(1-IF(AND(ArtifactsInput!$M$27,Inputs!$B$4="Chapter Hunt"),CHOOSE(ArtifactsInput!$N$27+1,20,24,28,32,36,40),0)/100))/B849))+1)),0)</f>
        <v/>
      </c>
      <c r="S815">
        <f>IFERROR(O815/N815,0)</f>
        <v/>
      </c>
      <c r="T815">
        <f>IF(C815,(H815*N815*IF(AND(Inputs!$B$38&lt;&gt;"pvp",Inputs!$B$43&gt;0),((Skills!G8*((R815-1)*IF(Skills!H8&gt;0,INT(Skills!I8/Skills!H8+0.000000001),1)+IF(Skills!H8&gt;0,INT(MIN(Skills!I8,MAX(0,MAX(0,Inputs!$B$43-B845)-((R815-1)*((IF(Inputs!$B$38="pvp",15,MAX(0.1,Skills!D8-IF(TRUE=TRUE,Inputs!$B$32,0)))*(1-IF(AND(ArtifactsInput!$M$27,Inputs!$B$4="Chapter Hunt"),CHOOSE(ArtifactsInput!$N$27+1,20,24,28,32,36,40),0)/100))/B849))))/Skills!H8+0.000000001),1)))/Inputs!$B$43),G815*Q815))*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Hunt"),CHOOSE(ArtifactsInput!$N$35+1,15,18,21,24,27,30)*(1-EXP(-(0.2*B840)*5)),0)+IF(AND(ArtifactsInput!$M$22,Inputs!$B$4&lt;&gt;"Chapter Hunt"),CHOOSE(ArtifactsInput!$N$22+1,10,12,14,16,18,20)*((0*(((0.15*B840*5))^0/1)+1*(((0.15*B840*5))^1/1)+2*(((0.15*B840*5))^2/2)+3*(((0.15*B840*5))^3/6)+4*(((0.15*B840*5))^4/24)+5*(((0.15*B840*5))^5/120))/((((0.15*B840*5))^0/1)+(((0.15*B840*5))^1/1)+(((0.15*B840*5))^2/2)+(((0.15*B840*5))^3/6)+(((0.15*B840*5))^4/24)+(((0.15*B840*5))^5/120))),0))+IF(Inputs!$B$3&gt;=54,9*(C810=TRUE)*MIN(1,8*(1+Inputs!$B$34/100)*Q810)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815*(1-MIN(100,(Inputs!$B$9+((C826=TRUE)*(F826-Calc!F19))+B838+(ArtifactsInput!$M$24-ArtifactsInput!$M$24)*CHOOSE(ArtifactsInput!$N$24+1,10,12,14,16,18,20)+(IF(AND(Inputs!$B$38&lt;&gt;"pvp",Inputs!$B$43=0),1,IF(IF(Inputs!$B$38="pvp",15,Inputs!$B$43)-(B845)&lt;=0,1,MAX(0,IF(Inputs!$B$38="pvp",15,Inputs!$B$43)-MAX(5,B845))/(IF(Inputs!$B$38="pvp",15,Inputs!$B$43)-(B845))))*IF(AND(ArtifactsInput!$M$42,((Inputs!$B$9+((C826=TRUE)*(F826-Calc!F19))+B838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815*(MIN(100,(Inputs!$B$9+((C826=TRUE)*(F826-Calc!F19))+B838+(ArtifactsInput!$M$24-ArtifactsInput!$M$24)*CHOOSE(ArtifactsInput!$N$24+1,10,12,14,16,18,20)+(IF(AND(Inputs!$B$38&lt;&gt;"pvp",Inputs!$B$43=0),1,IF(IF(Inputs!$B$38="pvp",15,Inputs!$B$43)-(B845)&lt;=0,1,MAX(0,IF(Inputs!$B$38="pvp",15,Inputs!$B$43)-MAX(5,B845))/(IF(Inputs!$B$38="pvp",15,Inputs!$B$43)-(B845))))*IF(AND(ArtifactsInput!$M$42,((Inputs!$B$9+((C826=TRUE)*(F826-Calc!F19))+B838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815*(1-MIN(100,(Inputs!$B$9+((C826=TRUE)*(F826-Calc!F19))+B838+(ArtifactsInput!$M$24-ArtifactsInput!$M$24)*CHOOSE(ArtifactsInput!$N$24+1,10,12,14,16,18,20)+(IF(AND(Inputs!$B$38&lt;&gt;"pvp",Inputs!$B$43=0),1,IF(IF(Inputs!$B$38="pvp",15,Inputs!$B$43)-(B845)&lt;=0,1,MAX(0,IF(Inputs!$B$38="pvp",15,Inputs!$B$43)-MAX(5,B845))/(IF(Inputs!$B$38="pvp",15,Inputs!$B$43)-(B845))))*IF(AND(ArtifactsInput!$M$42,((Inputs!$B$9+((C826=TRUE)*(F826-Calc!F19))+B838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815*(MIN(100,(Inputs!$B$9+((C826=TRUE)*(F826-Calc!F19))+B838+(ArtifactsInput!$M$24-ArtifactsInput!$M$24)*CHOOSE(ArtifactsInput!$N$24+1,10,12,14,16,18,20)+(IF(AND(Inputs!$B$38&lt;&gt;"pvp",Inputs!$B$43=0),1,IF(IF(Inputs!$B$38="pvp",15,Inputs!$B$43)-(B845)&lt;=0,1,MAX(0,IF(Inputs!$B$38="pvp",15,Inputs!$B$43)-MAX(5,B845))/(IF(Inputs!$B$38="pvp",15,Inputs!$B$43)-(B845))))*IF(AND(ArtifactsInput!$M$42,((Inputs!$B$9+((C826=TRUE)*(F826-Calc!F19))+B838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815">
        <f>IF(C815,(H815*N815*IF(AND(Inputs!$B$38&lt;&gt;"pvp",Inputs!$B$43&gt;0),((Skills!G8*((R815-1)*IF(Skills!H8&gt;0,INT(Skills!I8/Skills!H8+0.000000001),1)+IF(Skills!H8&gt;0,INT(MIN(Skills!I8,MAX(0,MAX(0,Inputs!$B$43-B845)-((R815-1)*((IF(Inputs!$B$38="pvp",15,MAX(0.1,Skills!D8-IF(TRUE=TRUE,Inputs!$B$32,0)))*(1-IF(AND(ArtifactsInput!$M$27,Inputs!$B$4="Chapter Hunt"),CHOOSE(ArtifactsInput!$N$27+1,20,24,28,32,36,40),0)/100))/B849))))/Skills!H8+0.000000001),1)))/Inputs!$B$43),G815*Q815))*IF(Inputs!$B$38="pvp",1,(1+(Inputs!$B$21+Skills!Q8+(IF(ArtifactsInput!$M$33,CHOOSE(ArtifactsInput!$N$33+1,30,36,42,48,54,60),0))+(IF(AND(ArtifactsInput!$M$35,Inputs!$B$4&lt;&gt;"Chapter Hunt"),CHOOSE(ArtifactsInput!$N$35+1,15,18,21,24,27,30)*(1-EXP(-(0.2*B840)*5)),0)+IF(AND(ArtifactsInput!$M$22,Inputs!$B$4&lt;&gt;"Chapter Hunt"),CHOOSE(ArtifactsInput!$N$22+1,10,12,14,16,18,20)*((0*(((0.15*B840*5))^0/1)+1*(((0.15*B840*5))^1/1)+2*(((0.15*B840*5))^2/2)+3*(((0.15*B840*5))^3/6)+4*(((0.15*B840*5))^4/24)+5*(((0.15*B840*5))^5/120))/((((0.15*B840*5))^0/1)+(((0.15*B840*5))^1/1)+(((0.15*B840*5))^2/2)+(((0.15*B840*5))^3/6)+(((0.15*B840*5))^4/24)+(((0.15*B840*5))^5/120))),0))+IF(Inputs!$B$3&gt;=54,9*(C810=TRUE)*MIN(1,8*(1+Inputs!$B$34/100)*Q810)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16">
      <c r="A816">
        <f>Skills!A9</f>
        <v/>
      </c>
      <c r="B816">
        <f>Skills!B9</f>
        <v/>
      </c>
      <c r="C816">
        <f>Inputs!$B$3&gt;=105</f>
        <v/>
      </c>
      <c r="D816">
        <f>IF(Skills!C9=1,60+(Inputs!$B$25+1)+Inputs!$B$29,IF(Skills!C9=2,90+Inputs!$B$26+Inputs!$B$29,IF(Skills!C9=3,120+Inputs!$B$27+Inputs!$B$29,MAX(0,(Inputs!$B$3-100)*3)+Inputs!$B$28+Inputs!$B$29)))</f>
        <v/>
      </c>
      <c r="E816">
        <f>INDEX(FactorTable!$B$2:$Y$301, MATCH(ROUND(MIN(300,MAX(1,D816)),0), FactorTable!$A$2:$A$301,0), Skills!M9+1)</f>
        <v/>
      </c>
      <c r="F816">
        <f>IF(Skills!N9=TRUE,(Skills!L9/10)*(E816/1000),Skills!L9/10)+Skills!O9</f>
        <v/>
      </c>
      <c r="G816">
        <f>Skills!G9*IF(Skills!H9&gt;0,INT(IF(Inputs!$B$38="pvp",MIN(Skills!I9,15),Skills!I9)/Skills!H9+0.000000001),1)</f>
        <v/>
      </c>
      <c r="H816">
        <f>1-(1-Skills!J9/100)^Skills!K9</f>
        <v/>
      </c>
      <c r="I816" t="inlineStr">
        <is>
          <t>1</t>
        </is>
      </c>
      <c r="J816">
        <f>((Inputs!$B$6*(1+Inputs!$B$7/100))+(((Inputs!$B$12*(1+Inputs!$B$13/100))-(Inputs!$B$12*(1+Inputs!$B$13/100)))+0.25*(Inputs!$B$14-Inputs!$B$14))*(1+Inputs!$B$7/100))*(F816/100)</f>
        <v/>
      </c>
      <c r="K816">
        <f>J816*(1+((Inputs!$B$12*(1+Inputs!$B$13/100))*0.01+Inputs!$B$14*0.0025)/100)*(1+Inputs!$B$15/100)*(1+Inputs!$B$16/100)*(5000/(6000+Inputs!$B$42*(1-(100*(1-(1-(Inputs!$B$19+0)/100)*(1-CHOOSE(ArtifactsInput!$N$40+1,5,6,7,8,9,10)/100)^(ArtifactsInput!$M$40-ArtifactsInput!$M$40)))/100)))*(1+(Inputs!$B$24+((C833=TRUE)*(F833-Calc!F26))+B844)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IGHT_LEGS_EASTON",Inputs!$B$17+((C830=TRUE)*(F830-Calc!F23))+((C834=TRUE)*(F834-Calc!F27))+((IF(AND(Inputs!$B$38&lt;&gt;"pvp",Inputs!$B$43=0),1,IF(IF(Inputs!$B$38="pvp",15,Inputs!$B$43)-(B845)&lt;=0,1,MAX(0,IF(Inputs!$B$38="pvp",15,Inputs!$B$43)-MAX(5,B845))/(IF(Inputs!$B$38="pvp",15,Inputs!$B$43)-(B845))))*(IF(AND(ArtifactsInput!$M$42,((Inputs!$B$9+((C826=TRUE)*(F826-Calc!F19))+B838+(ArtifactsInput!$M$24-ArtifactsInput!$M$24)*CHOOSE(ArtifactsInput!$N$24+1,10,12,14,16,18,20)+IF(ArtifactsInput!$M$10,CHOOSE(ArtifactsInput!$N$10+1,15,18,21,24,27,30)*(IF(Inputs!$B$38="pvp",MIN(15,15)/15,IF(AND(Inputs!$B$38&lt;&gt;"pvp",Inputs!$B$43&gt;0),MIN(15,Inputs!$B$43)/(Inputs!$B$43),0))),0)))&gt;=100),MIN(100,((Inputs!$B$9+((C826=TRUE)*(F826-Calc!F19))+B838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845)&lt;=0,1,MAX(0,IF(Inputs!$B$38="pvp",15,Inputs!$B$43)-MAX(5,B845))/(IF(Inputs!$B$38="pvp",15,Inputs!$B$43)-(B845))))*IF(AND(ArtifactsInput!$M$42,((Inputs!$B$9+((C826=TRUE)*(F826-Calc!F19))+B838+(ArtifactsInput!$M$24-ArtifactsInput!$M$24)*CHOOSE(ArtifactsInput!$N$24+1,10,12,14,16,18,20)+IF(ArtifactsInput!$M$10,CHOOSE(ArtifactsInput!$N$10+1,15,18,21,24,27,30)*(IF(Inputs!$B$38="pvp",MIN(15,15)/15,IF(AND(Inputs!$B$38&lt;&gt;"pvp",Inputs!$B$43&gt;0),MIN(15,Inputs!$B$43)/(Inputs!$B$43),0))),0)))&gt;=100),CHOOSE(ArtifactsInput!$N$42+1,40,48,56,64,72,80),0))))/100)*((1+(((C824=TRUE)*F824*5/7)+((C831=TRUE)*(F831-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816)</f>
        <v/>
      </c>
      <c r="L816">
        <f>K816*(MIN(Inputs!$B$22+((C829=TRUE)*(F829-Calc!F22)),(Inputs!$B$23+0+(IF(ArtifactsInput!$M$15,CHOOSE(ArtifactsInput!$N$15+1,25,30,35,40,45,50)/100*(Inputs!$B$11-Inputs!$B$11),0))))/100+(Inputs!$B$23+0+(IF(ArtifactsInput!$M$15,CHOOSE(ArtifactsInput!$N$15+1,25,30,35,40,45,50)/100*(Inputs!$B$11-Inputs!$B$11),0)))/100)/2</f>
        <v/>
      </c>
      <c r="M816">
        <f>L816*(1+(Inputs!$B$10+((C832=TRUE)*(F832-Calc!F25))+B843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16">
        <f>L816*(1-MIN((Inputs!$B$9+((C826=TRUE)*(F826-Calc!F19))+B838+(ArtifactsInput!$M$24-ArtifactsInput!$M$24)*CHOOSE(ArtifactsInput!$N$24+1,10,12,14,16,18,20)+(IF(AND(Inputs!$B$38&lt;&gt;"pvp",Inputs!$B$43=0),1,IF(IF(Inputs!$B$38="pvp",15,Inputs!$B$43)-(B845)&lt;=0,1,MAX(0,IF(Inputs!$B$38="pvp",15,Inputs!$B$43)-MAX(5,B845))/(IF(Inputs!$B$38="pvp",15,Inputs!$B$43)-(B845))))*IF(AND(ArtifactsInput!$M$42,((Inputs!$B$9+((C826=TRUE)*(F826-Calc!F19))+B838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816*(MIN((Inputs!$B$9+((C826=TRUE)*(F826-Calc!F19))+B838+(ArtifactsInput!$M$24-ArtifactsInput!$M$24)*CHOOSE(ArtifactsInput!$N$24+1,10,12,14,16,18,20)+(IF(AND(Inputs!$B$38&lt;&gt;"pvp",Inputs!$B$43=0),1,IF(IF(Inputs!$B$38="pvp",15,Inputs!$B$43)-(B845)&lt;=0,1,MAX(0,IF(Inputs!$B$38="pvp",15,Inputs!$B$43)-MAX(5,B845))/(IF(Inputs!$B$38="pvp",15,Inputs!$B$43)-(B845))))*IF(AND(ArtifactsInput!$M$42,((Inputs!$B$9+((C826=TRUE)*(F826-Calc!F19))+B838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16">
        <f>(1-Summary!$B$11)*T816+Summary!$B$11*V816</f>
        <v/>
      </c>
      <c r="P816">
        <f>IF(B848=0,0,O816/B848)</f>
        <v/>
      </c>
      <c r="Q816">
        <f>IFERROR(1/(IF(Inputs!$B$38="pvp",15,MAX(0.1,Skills!D9-IF(TRUE=TRUE,Inputs!$B$32,0)))*(1-IF(AND(ArtifactsInput!$M$27,Inputs!$B$4="Chapter Hunt"),CHOOSE(ArtifactsInput!$N$27+1,20,24,28,32,36,40),0)/100)),0)</f>
        <v/>
      </c>
      <c r="R816">
        <f>IF(AND(Inputs!$B$38&lt;&gt;"pvp",Inputs!$B$43&gt;0),IF(MAX(0,Inputs!$B$43-B845)&lt;=0,0,(INT(MAX(0,Inputs!$B$43-B845)/(IF(Inputs!$B$38="pvp",15,MAX(0.1,Skills!D9-IF(TRUE=TRUE,Inputs!$B$32,0)))*(1-IF(AND(ArtifactsInput!$M$27,Inputs!$B$4="Chapter Hunt"),CHOOSE(ArtifactsInput!$N$27+1,20,24,28,32,36,40),0)/100)))+1)),0)</f>
        <v/>
      </c>
      <c r="S816">
        <f>IFERROR(O816/N816,0)</f>
        <v/>
      </c>
      <c r="T816">
        <f>IF(C816,(H816*N816*IF(AND(Inputs!$B$38&lt;&gt;"pvp",Inputs!$B$43&gt;0),((Skills!G9*((R816-1)*IF(Skills!H9&gt;0,INT(Skills!I9/Skills!H9+0.000000001),1)+IF(Skills!H9&gt;0,INT(MIN(Skills!I9,MAX(0,MAX(0,Inputs!$B$43-B845)-((R816-1)*(IF(Inputs!$B$38="pvp",15,MAX(0.1,Skills!D9-IF(TRUE=TRUE,Inputs!$B$32,0)))*(1-IF(AND(ArtifactsInput!$M$27,Inputs!$B$4="Chapter Hunt"),CHOOSE(ArtifactsInput!$N$27+1,20,24,28,32,36,40),0)/100)))))/Skills!H9+0.000000001),1)))/Inputs!$B$43),G816*Q816))*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Hunt"),CHOOSE(ArtifactsInput!$N$35+1,15,18,21,24,27,30)*(1-EXP(-(0.2*B840)*5)),0)+IF(AND(ArtifactsInput!$M$22,Inputs!$B$4&lt;&gt;"Chapter Hunt"),CHOOSE(ArtifactsInput!$N$22+1,10,12,14,16,18,20)*((0*(((0.15*B840*5))^0/1)+1*(((0.15*B840*5))^1/1)+2*(((0.15*B840*5))^2/2)+3*(((0.15*B840*5))^3/6)+4*(((0.15*B840*5))^4/24)+5*(((0.15*B840*5))^5/120))/((((0.15*B840*5))^0/1)+(((0.15*B840*5))^1/1)+(((0.15*B840*5))^2/2)+(((0.15*B840*5))^3/6)+(((0.15*B840*5))^4/24)+(((0.15*B840*5))^5/120))),0))+IF(Inputs!$B$3&gt;=54,9*(C810=TRUE)*MIN(1,8*(1+Inputs!$B$34/100)*Q810)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816*(1-MIN(100,(Inputs!$B$9+((C826=TRUE)*(F826-Calc!F19))+B838+(ArtifactsInput!$M$24-ArtifactsInput!$M$24)*CHOOSE(ArtifactsInput!$N$24+1,10,12,14,16,18,20)+(IF(AND(Inputs!$B$38&lt;&gt;"pvp",Inputs!$B$43=0),1,IF(IF(Inputs!$B$38="pvp",15,Inputs!$B$43)-(B845)&lt;=0,1,MAX(0,IF(Inputs!$B$38="pvp",15,Inputs!$B$43)-MAX(5,B845))/(IF(Inputs!$B$38="pvp",15,Inputs!$B$43)-(B845))))*IF(AND(ArtifactsInput!$M$42,((Inputs!$B$9+((C826=TRUE)*(F826-Calc!F19))+B838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816*(MIN(100,(Inputs!$B$9+((C826=TRUE)*(F826-Calc!F19))+B838+(ArtifactsInput!$M$24-ArtifactsInput!$M$24)*CHOOSE(ArtifactsInput!$N$24+1,10,12,14,16,18,20)+(IF(AND(Inputs!$B$38&lt;&gt;"pvp",Inputs!$B$43=0),1,IF(IF(Inputs!$B$38="pvp",15,Inputs!$B$43)-(B845)&lt;=0,1,MAX(0,IF(Inputs!$B$38="pvp",15,Inputs!$B$43)-MAX(5,B845))/(IF(Inputs!$B$38="pvp",15,Inputs!$B$43)-(B845))))*IF(AND(ArtifactsInput!$M$42,((Inputs!$B$9+((C826=TRUE)*(F826-Calc!F19))+B838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816*(1-MIN(100,(Inputs!$B$9+((C826=TRUE)*(F826-Calc!F19))+B838+(ArtifactsInput!$M$24-ArtifactsInput!$M$24)*CHOOSE(ArtifactsInput!$N$24+1,10,12,14,16,18,20)+(IF(AND(Inputs!$B$38&lt;&gt;"pvp",Inputs!$B$43=0),1,IF(IF(Inputs!$B$38="pvp",15,Inputs!$B$43)-(B845)&lt;=0,1,MAX(0,IF(Inputs!$B$38="pvp",15,Inputs!$B$43)-MAX(5,B845))/(IF(Inputs!$B$38="pvp",15,Inputs!$B$43)-(B845))))*IF(AND(ArtifactsInput!$M$42,((Inputs!$B$9+((C826=TRUE)*(F826-Calc!F19))+B838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816*(MIN(100,(Inputs!$B$9+((C826=TRUE)*(F826-Calc!F19))+B838+(ArtifactsInput!$M$24-ArtifactsInput!$M$24)*CHOOSE(ArtifactsInput!$N$24+1,10,12,14,16,18,20)+(IF(AND(Inputs!$B$38&lt;&gt;"pvp",Inputs!$B$43=0),1,IF(IF(Inputs!$B$38="pvp",15,Inputs!$B$43)-(B845)&lt;=0,1,MAX(0,IF(Inputs!$B$38="pvp",15,Inputs!$B$43)-MAX(5,B845))/(IF(Inputs!$B$38="pvp",15,Inputs!$B$43)-(B845))))*IF(AND(ArtifactsInput!$M$42,((Inputs!$B$9+((C826=TRUE)*(F826-Calc!F19))+B838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816">
        <f>IF(C816,(H816*N816*IF(AND(Inputs!$B$38&lt;&gt;"pvp",Inputs!$B$43&gt;0),((Skills!G9*((R816-1)*IF(Skills!H9&gt;0,INT(Skills!I9/Skills!H9+0.000000001),1)+IF(Skills!H9&gt;0,INT(MIN(Skills!I9,MAX(0,MAX(0,Inputs!$B$43-B845)-((R816-1)*(IF(Inputs!$B$38="pvp",15,MAX(0.1,Skills!D9-IF(TRUE=TRUE,Inputs!$B$32,0)))*(1-IF(AND(ArtifactsInput!$M$27,Inputs!$B$4="Chapter Hunt"),CHOOSE(ArtifactsInput!$N$27+1,20,24,28,32,36,40),0)/100)))))/Skills!H9+0.000000001),1)))/Inputs!$B$43),G816*Q816))*IF(Inputs!$B$38="pvp",1,(1+(Inputs!$B$21+Skills!Q9+(IF(ArtifactsInput!$M$33,CHOOSE(ArtifactsInput!$N$33+1,30,36,42,48,54,60),0))+(IF(AND(ArtifactsInput!$M$35,Inputs!$B$4&lt;&gt;"Chapter Hunt"),CHOOSE(ArtifactsInput!$N$35+1,15,18,21,24,27,30)*(1-EXP(-(0.2*B840)*5)),0)+IF(AND(ArtifactsInput!$M$22,Inputs!$B$4&lt;&gt;"Chapter Hunt"),CHOOSE(ArtifactsInput!$N$22+1,10,12,14,16,18,20)*((0*(((0.15*B840*5))^0/1)+1*(((0.15*B840*5))^1/1)+2*(((0.15*B840*5))^2/2)+3*(((0.15*B840*5))^3/6)+4*(((0.15*B840*5))^4/24)+5*(((0.15*B840*5))^5/120))/((((0.15*B840*5))^0/1)+(((0.15*B840*5))^1/1)+(((0.15*B840*5))^2/2)+(((0.15*B840*5))^3/6)+(((0.15*B840*5))^4/24)+(((0.15*B840*5))^5/120))),0))+IF(Inputs!$B$3&gt;=54,9*(C810=TRUE)*MIN(1,8*(1+Inputs!$B$34/100)*Q810)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17">
      <c r="A817">
        <f>Skills!A10</f>
        <v/>
      </c>
      <c r="B817">
        <f>Skills!B10</f>
        <v/>
      </c>
      <c r="C817">
        <f>Inputs!$B$3&gt;=113</f>
        <v/>
      </c>
      <c r="D817">
        <f>IF(Skills!C10=1,60+(Inputs!$B$25+1)+Inputs!$B$29,IF(Skills!C10=2,90+Inputs!$B$26+Inputs!$B$29,IF(Skills!C10=3,120+Inputs!$B$27+Inputs!$B$29,MAX(0,(Inputs!$B$3-100)*3)+Inputs!$B$28+Inputs!$B$29)))</f>
        <v/>
      </c>
      <c r="E817">
        <f>INDEX(FactorTable!$B$2:$Y$301, MATCH(ROUND(MIN(300,MAX(1,D817)),0), FactorTable!$A$2:$A$301,0), Skills!M10+1)</f>
        <v/>
      </c>
      <c r="F817">
        <f>IF(Skills!N10=TRUE,(Skills!L10/10)*(E817/1000),Skills!L10/10)+Skills!O10</f>
        <v/>
      </c>
      <c r="G817">
        <f>Skills!G10*IF(Skills!H10&gt;0,INT(IF(Inputs!$B$38="pvp",MIN(Skills!I10,15),Skills!I10)/Skills!H10+0.000000001),1)</f>
        <v/>
      </c>
      <c r="H817">
        <f>1-(1-Skills!J10/100)^Skills!K10</f>
        <v/>
      </c>
      <c r="I817" t="inlineStr">
        <is>
          <t>1</t>
        </is>
      </c>
      <c r="J817">
        <f>((Inputs!$B$6*(1+Inputs!$B$7/100))+(((Inputs!$B$12*(1+Inputs!$B$13/100))-(Inputs!$B$12*(1+Inputs!$B$13/100)))+0.25*(Inputs!$B$14-Inputs!$B$14))*(1+Inputs!$B$7/100))*(F817/100)</f>
        <v/>
      </c>
      <c r="K817">
        <f>J817*(1+((Inputs!$B$12*(1+Inputs!$B$13/100))*0.01+Inputs!$B$14*0.0025)/100)*(1+Inputs!$B$15/100)*(1+Inputs!$B$16/100)*(5000/(6000+Inputs!$B$42*(1-(100*(1-(1-(Inputs!$B$19+0)/100)*(1-CHOOSE(ArtifactsInput!$N$40+1,5,6,7,8,9,10)/100)^(ArtifactsInput!$M$40-ArtifactsInput!$M$40)))/100)))*(1+(Inputs!$B$24+((C833=TRUE)*(F833-Calc!F26))+B844)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IGHT_LEGS_EASTON",Inputs!$B$17+((C830=TRUE)*(F830-Calc!F23))+((C834=TRUE)*(F834-Calc!F27))+((IF(AND(Inputs!$B$38&lt;&gt;"pvp",Inputs!$B$43=0),1,IF(IF(Inputs!$B$38="pvp",15,Inputs!$B$43)-(B845)&lt;=0,1,MAX(0,IF(Inputs!$B$38="pvp",15,Inputs!$B$43)-MAX(5,B845))/(IF(Inputs!$B$38="pvp",15,Inputs!$B$43)-(B845))))*(IF(AND(ArtifactsInput!$M$42,((Inputs!$B$9+((C826=TRUE)*(F826-Calc!F19))+B838+(ArtifactsInput!$M$24-ArtifactsInput!$M$24)*CHOOSE(ArtifactsInput!$N$24+1,10,12,14,16,18,20)+IF(ArtifactsInput!$M$10,CHOOSE(ArtifactsInput!$N$10+1,15,18,21,24,27,30)*(IF(Inputs!$B$38="pvp",MIN(15,15)/15,IF(AND(Inputs!$B$38&lt;&gt;"pvp",Inputs!$B$43&gt;0),MIN(15,Inputs!$B$43)/(Inputs!$B$43),0))),0)))&gt;=100),MIN(100,((Inputs!$B$9+((C826=TRUE)*(F826-Calc!F19))+B838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845)&lt;=0,1,MAX(0,IF(Inputs!$B$38="pvp",15,Inputs!$B$43)-MAX(5,B845))/(IF(Inputs!$B$38="pvp",15,Inputs!$B$43)-(B845))))*IF(AND(ArtifactsInput!$M$42,((Inputs!$B$9+((C826=TRUE)*(F826-Calc!F19))+B838+(ArtifactsInput!$M$24-ArtifactsInput!$M$24)*CHOOSE(ArtifactsInput!$N$24+1,10,12,14,16,18,20)+IF(ArtifactsInput!$M$10,CHOOSE(ArtifactsInput!$N$10+1,15,18,21,24,27,30)*(IF(Inputs!$B$38="pvp",MIN(15,15)/15,IF(AND(Inputs!$B$38&lt;&gt;"pvp",Inputs!$B$43&gt;0),MIN(15,Inputs!$B$43)/(Inputs!$B$43),0))),0)))&gt;=100),CHOOSE(ArtifactsInput!$N$42+1,40,48,56,64,72,80),0))))/100)*((1+(((C824=TRUE)*F824*5/7)+((C831=TRUE)*(F831-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817)</f>
        <v/>
      </c>
      <c r="L817">
        <f>K817*(MIN(Inputs!$B$22+((C829=TRUE)*(F829-Calc!F22)),(Inputs!$B$23+0+(IF(ArtifactsInput!$M$15,CHOOSE(ArtifactsInput!$N$15+1,25,30,35,40,45,50)/100*(Inputs!$B$11-Inputs!$B$11),0))))/100+(Inputs!$B$23+0+(IF(ArtifactsInput!$M$15,CHOOSE(ArtifactsInput!$N$15+1,25,30,35,40,45,50)/100*(Inputs!$B$11-Inputs!$B$11),0)))/100)/2</f>
        <v/>
      </c>
      <c r="M817">
        <f>L817*(1+(Inputs!$B$10+((C832=TRUE)*(F832-Calc!F25))+B843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17">
        <f>L817*(1-MIN((Inputs!$B$9+((C826=TRUE)*(F826-Calc!F19))+B838+(ArtifactsInput!$M$24-ArtifactsInput!$M$24)*CHOOSE(ArtifactsInput!$N$24+1,10,12,14,16,18,20)+(IF(AND(Inputs!$B$38&lt;&gt;"pvp",Inputs!$B$43=0),1,IF(IF(Inputs!$B$38="pvp",15,Inputs!$B$43)-(B845)&lt;=0,1,MAX(0,IF(Inputs!$B$38="pvp",15,Inputs!$B$43)-MAX(5,B845))/(IF(Inputs!$B$38="pvp",15,Inputs!$B$43)-(B845))))*IF(AND(ArtifactsInput!$M$42,((Inputs!$B$9+((C826=TRUE)*(F826-Calc!F19))+B838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817*(MIN((Inputs!$B$9+((C826=TRUE)*(F826-Calc!F19))+B838+(ArtifactsInput!$M$24-ArtifactsInput!$M$24)*CHOOSE(ArtifactsInput!$N$24+1,10,12,14,16,18,20)+(IF(AND(Inputs!$B$38&lt;&gt;"pvp",Inputs!$B$43=0),1,IF(IF(Inputs!$B$38="pvp",15,Inputs!$B$43)-(B845)&lt;=0,1,MAX(0,IF(Inputs!$B$38="pvp",15,Inputs!$B$43)-MAX(5,B845))/(IF(Inputs!$B$38="pvp",15,Inputs!$B$43)-(B845))))*IF(AND(ArtifactsInput!$M$42,((Inputs!$B$9+((C826=TRUE)*(F826-Calc!F19))+B838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17">
        <f>(1-Summary!$B$11)*T817+Summary!$B$11*V817</f>
        <v/>
      </c>
      <c r="P817">
        <f>IF(B848=0,0,O817/B848)</f>
        <v/>
      </c>
      <c r="Q817" t="n">
        <v>0</v>
      </c>
      <c r="R817" t="n">
        <v>0</v>
      </c>
      <c r="S817">
        <f>IFERROR(O817/N817,0)</f>
        <v/>
      </c>
      <c r="T817">
        <f>IF(C817,((H817*B850)/(1+Skills!H10*H817*B850)*N817)*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Hunt"),CHOOSE(ArtifactsInput!$N$35+1,15,18,21,24,27,30)*(1-EXP(-(0.2*B840)*5)),0)+IF(AND(ArtifactsInput!$M$22,Inputs!$B$4&lt;&gt;"Chapter Hunt"),CHOOSE(ArtifactsInput!$N$22+1,10,12,14,16,18,20)*((0*(((0.15*B840*5))^0/1)+1*(((0.15*B840*5))^1/1)+2*(((0.15*B840*5))^2/2)+3*(((0.15*B840*5))^3/6)+4*(((0.15*B840*5))^4/24)+5*(((0.15*B840*5))^5/120))/((((0.15*B840*5))^0/1)+(((0.15*B840*5))^1/1)+(((0.15*B840*5))^2/2)+(((0.15*B840*5))^3/6)+(((0.15*B840*5))^4/24)+(((0.15*B840*5))^5/120))),0))+IF(Inputs!$B$3&gt;=54,9*(C810=TRUE)*MIN(1,8*(1+Inputs!$B$34/100)*Q810)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817*(1-MIN(100,(Inputs!$B$9+((C826=TRUE)*(F826-Calc!F19))+B838+(ArtifactsInput!$M$24-ArtifactsInput!$M$24)*CHOOSE(ArtifactsInput!$N$24+1,10,12,14,16,18,20)+(IF(AND(Inputs!$B$38&lt;&gt;"pvp",Inputs!$B$43=0),1,IF(IF(Inputs!$B$38="pvp",15,Inputs!$B$43)-(B845)&lt;=0,1,MAX(0,IF(Inputs!$B$38="pvp",15,Inputs!$B$43)-MAX(5,B845))/(IF(Inputs!$B$38="pvp",15,Inputs!$B$43)-(B845))))*IF(AND(ArtifactsInput!$M$42,((Inputs!$B$9+((C826=TRUE)*(F826-Calc!F19))+B838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817*(MIN(100,(Inputs!$B$9+((C826=TRUE)*(F826-Calc!F19))+B838+(ArtifactsInput!$M$24-ArtifactsInput!$M$24)*CHOOSE(ArtifactsInput!$N$24+1,10,12,14,16,18,20)+(IF(AND(Inputs!$B$38&lt;&gt;"pvp",Inputs!$B$43=0),1,IF(IF(Inputs!$B$38="pvp",15,Inputs!$B$43)-(B845)&lt;=0,1,MAX(0,IF(Inputs!$B$38="pvp",15,Inputs!$B$43)-MAX(5,B845))/(IF(Inputs!$B$38="pvp",15,Inputs!$B$43)-(B845))))*IF(AND(ArtifactsInput!$M$42,((Inputs!$B$9+((C826=TRUE)*(F826-Calc!F19))+B838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817*(1-MIN(100,(Inputs!$B$9+((C826=TRUE)*(F826-Calc!F19))+B838+(ArtifactsInput!$M$24-ArtifactsInput!$M$24)*CHOOSE(ArtifactsInput!$N$24+1,10,12,14,16,18,20)+(IF(AND(Inputs!$B$38&lt;&gt;"pvp",Inputs!$B$43=0),1,IF(IF(Inputs!$B$38="pvp",15,Inputs!$B$43)-(B845)&lt;=0,1,MAX(0,IF(Inputs!$B$38="pvp",15,Inputs!$B$43)-MAX(5,B845))/(IF(Inputs!$B$38="pvp",15,Inputs!$B$43)-(B845))))*IF(AND(ArtifactsInput!$M$42,((Inputs!$B$9+((C826=TRUE)*(F826-Calc!F19))+B838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817*(MIN(100,(Inputs!$B$9+((C826=TRUE)*(F826-Calc!F19))+B838+(ArtifactsInput!$M$24-ArtifactsInput!$M$24)*CHOOSE(ArtifactsInput!$N$24+1,10,12,14,16,18,20)+(IF(AND(Inputs!$B$38&lt;&gt;"pvp",Inputs!$B$43=0),1,IF(IF(Inputs!$B$38="pvp",15,Inputs!$B$43)-(B845)&lt;=0,1,MAX(0,IF(Inputs!$B$38="pvp",15,Inputs!$B$43)-MAX(5,B845))/(IF(Inputs!$B$38="pvp",15,Inputs!$B$43)-(B845))))*IF(AND(ArtifactsInput!$M$42,((Inputs!$B$9+((C826=TRUE)*(F826-Calc!F19))+B838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817">
        <f>IF(C817,((H817*B850)/(1+Skills!H10*H817*B850)*N817)*IF(Inputs!$B$38="pvp",1,(1+(Inputs!$B$21+Skills!Q10+(IF(ArtifactsInput!$M$33,CHOOSE(ArtifactsInput!$N$33+1,30,36,42,48,54,60),0))+(IF(AND(ArtifactsInput!$M$35,Inputs!$B$4&lt;&gt;"Chapter Hunt"),CHOOSE(ArtifactsInput!$N$35+1,15,18,21,24,27,30)*(1-EXP(-(0.2*B840)*5)),0)+IF(AND(ArtifactsInput!$M$22,Inputs!$B$4&lt;&gt;"Chapter Hunt"),CHOOSE(ArtifactsInput!$N$22+1,10,12,14,16,18,20)*((0*(((0.15*B840*5))^0/1)+1*(((0.15*B840*5))^1/1)+2*(((0.15*B840*5))^2/2)+3*(((0.15*B840*5))^3/6)+4*(((0.15*B840*5))^4/24)+5*(((0.15*B840*5))^5/120))/((((0.15*B840*5))^0/1)+(((0.15*B840*5))^1/1)+(((0.15*B840*5))^2/2)+(((0.15*B840*5))^3/6)+(((0.15*B840*5))^4/24)+(((0.15*B840*5))^5/120))),0))+IF(Inputs!$B$3&gt;=54,9*(C810=TRUE)*MIN(1,8*(1+Inputs!$B$34/100)*Q810)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18">
      <c r="A818">
        <f>Skills!A11</f>
        <v/>
      </c>
      <c r="B818">
        <f>Skills!B11</f>
        <v/>
      </c>
      <c r="C818">
        <f>Inputs!$B$3&gt;=117</f>
        <v/>
      </c>
      <c r="D818">
        <f>IF(Skills!C11=1,60+(Inputs!$B$25+1)+Inputs!$B$29,IF(Skills!C11=2,90+Inputs!$B$26+Inputs!$B$29,IF(Skills!C11=3,120+Inputs!$B$27+Inputs!$B$29,MAX(0,(Inputs!$B$3-100)*3)+Inputs!$B$28+Inputs!$B$29)))</f>
        <v/>
      </c>
      <c r="E818">
        <f>INDEX(FactorTable!$B$2:$Y$301, MATCH(ROUND(MIN(300,MAX(1,D818)),0), FactorTable!$A$2:$A$301,0), Skills!M11+1)</f>
        <v/>
      </c>
      <c r="F818">
        <f>IF(Skills!N11=TRUE,(Skills!L11/10)*(E818/1000),Skills!L11/10)+Skills!O11</f>
        <v/>
      </c>
      <c r="G818">
        <f>Skills!G11*IF(Skills!H11&gt;0,INT(IF(Inputs!$B$38="pvp",MIN(Skills!I11,15),Skills!I11)/Skills!H11+0.000000001),1)</f>
        <v/>
      </c>
      <c r="H818">
        <f>1-(1-Skills!J11/100)^Skills!K11</f>
        <v/>
      </c>
      <c r="I818" t="inlineStr">
        <is>
          <t>1</t>
        </is>
      </c>
      <c r="J818">
        <f>((Inputs!$B$6*(1+Inputs!$B$7/100))+(((Inputs!$B$12*(1+Inputs!$B$13/100))-(Inputs!$B$12*(1+Inputs!$B$13/100)))+0.25*(Inputs!$B$14-Inputs!$B$14))*(1+Inputs!$B$7/100))*(F818/100)</f>
        <v/>
      </c>
      <c r="K818">
        <f>J818*(1+((Inputs!$B$12*(1+Inputs!$B$13/100))*0.01+Inputs!$B$14*0.0025)/100)*(1+Inputs!$B$15/100)*(1+Inputs!$B$16/100)*(5000/(6000+Inputs!$B$42*(1-(100*(1-(1-(Inputs!$B$19+0)/100)*(1-CHOOSE(ArtifactsInput!$N$40+1,5,6,7,8,9,10)/100)^(ArtifactsInput!$M$40-ArtifactsInput!$M$40)))/100)))*(1+(Inputs!$B$24+((C833=TRUE)*(F833-Calc!F26))+B844)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IGHT_LEGS_EASTON",Inputs!$B$17+((C830=TRUE)*(F830-Calc!F23))+((C834=TRUE)*(F834-Calc!F27))+((IF(AND(Inputs!$B$38&lt;&gt;"pvp",Inputs!$B$43=0),1,IF(IF(Inputs!$B$38="pvp",15,Inputs!$B$43)-(B845)&lt;=0,1,MAX(0,IF(Inputs!$B$38="pvp",15,Inputs!$B$43)-MAX(5,B845))/(IF(Inputs!$B$38="pvp",15,Inputs!$B$43)-(B845))))*(IF(AND(ArtifactsInput!$M$42,((Inputs!$B$9+((C826=TRUE)*(F826-Calc!F19))+B838+(ArtifactsInput!$M$24-ArtifactsInput!$M$24)*CHOOSE(ArtifactsInput!$N$24+1,10,12,14,16,18,20)+IF(ArtifactsInput!$M$10,CHOOSE(ArtifactsInput!$N$10+1,15,18,21,24,27,30)*(IF(Inputs!$B$38="pvp",MIN(15,15)/15,IF(AND(Inputs!$B$38&lt;&gt;"pvp",Inputs!$B$43&gt;0),MIN(15,Inputs!$B$43)/(Inputs!$B$43),0))),0)))&gt;=100),MIN(100,((Inputs!$B$9+((C826=TRUE)*(F826-Calc!F19))+B838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845)&lt;=0,1,MAX(0,IF(Inputs!$B$38="pvp",15,Inputs!$B$43)-MAX(5,B845))/(IF(Inputs!$B$38="pvp",15,Inputs!$B$43)-(B845))))*IF(AND(ArtifactsInput!$M$42,((Inputs!$B$9+((C826=TRUE)*(F826-Calc!F19))+B838+(ArtifactsInput!$M$24-ArtifactsInput!$M$24)*CHOOSE(ArtifactsInput!$N$24+1,10,12,14,16,18,20)+IF(ArtifactsInput!$M$10,CHOOSE(ArtifactsInput!$N$10+1,15,18,21,24,27,30)*(IF(Inputs!$B$38="pvp",MIN(15,15)/15,IF(AND(Inputs!$B$38&lt;&gt;"pvp",Inputs!$B$43&gt;0),MIN(15,Inputs!$B$43)/(Inputs!$B$43),0))),0)))&gt;=100),CHOOSE(ArtifactsInput!$N$42+1,40,48,56,64,72,80),0))))/100)*((1+(((C824=TRUE)*F824*5/7)+((C831=TRUE)*(F831-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818)</f>
        <v/>
      </c>
      <c r="L818">
        <f>K818*(MIN(Inputs!$B$22+((C829=TRUE)*(F829-Calc!F22)),(Inputs!$B$23+0+(IF(ArtifactsInput!$M$15,CHOOSE(ArtifactsInput!$N$15+1,25,30,35,40,45,50)/100*(Inputs!$B$11-Inputs!$B$11),0))))/100+(Inputs!$B$23+0+(IF(ArtifactsInput!$M$15,CHOOSE(ArtifactsInput!$N$15+1,25,30,35,40,45,50)/100*(Inputs!$B$11-Inputs!$B$11),0)))/100)/2</f>
        <v/>
      </c>
      <c r="M818">
        <f>L818*(1+(Inputs!$B$10+((C832=TRUE)*(F832-Calc!F25))+B843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18">
        <f>L818*(1-MIN((Inputs!$B$9+((C826=TRUE)*(F826-Calc!F19))+B838+(ArtifactsInput!$M$24-ArtifactsInput!$M$24)*CHOOSE(ArtifactsInput!$N$24+1,10,12,14,16,18,20)+(IF(AND(Inputs!$B$38&lt;&gt;"pvp",Inputs!$B$43=0),1,IF(IF(Inputs!$B$38="pvp",15,Inputs!$B$43)-(B845)&lt;=0,1,MAX(0,IF(Inputs!$B$38="pvp",15,Inputs!$B$43)-MAX(5,B845))/(IF(Inputs!$B$38="pvp",15,Inputs!$B$43)-(B845))))*IF(AND(ArtifactsInput!$M$42,((Inputs!$B$9+((C826=TRUE)*(F826-Calc!F19))+B838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818*(MIN((Inputs!$B$9+((C826=TRUE)*(F826-Calc!F19))+B838+(ArtifactsInput!$M$24-ArtifactsInput!$M$24)*CHOOSE(ArtifactsInput!$N$24+1,10,12,14,16,18,20)+(IF(AND(Inputs!$B$38&lt;&gt;"pvp",Inputs!$B$43=0),1,IF(IF(Inputs!$B$38="pvp",15,Inputs!$B$43)-(B845)&lt;=0,1,MAX(0,IF(Inputs!$B$38="pvp",15,Inputs!$B$43)-MAX(5,B845))/(IF(Inputs!$B$38="pvp",15,Inputs!$B$43)-(B845))))*IF(AND(ArtifactsInput!$M$42,((Inputs!$B$9+((C826=TRUE)*(F826-Calc!F19))+B838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18">
        <f>(1-Summary!$B$11)*T818+Summary!$B$11*V818</f>
        <v/>
      </c>
      <c r="P818">
        <f>IF(B848=0,0,O818/B848)</f>
        <v/>
      </c>
      <c r="Q818">
        <f>IFERROR(1/((IF(Inputs!$B$38="pvp",15,MAX(0.1,Skills!D11-IF(TRUE=TRUE,Inputs!$B$32,0)))*(1-IF(AND(ArtifactsInput!$M$27,Inputs!$B$4="Chapter Hunt"),CHOOSE(ArtifactsInput!$N$27+1,20,24,28,32,36,40),0)/100))/B849),0)</f>
        <v/>
      </c>
      <c r="R818">
        <f>IF(AND(Inputs!$B$38&lt;&gt;"pvp",Inputs!$B$43&gt;0),IF(MAX(0,Inputs!$B$43-B845)&lt;=0,0,(INT(MAX(0,Inputs!$B$43-B845)/((IF(Inputs!$B$38="pvp",15,MAX(0.1,Skills!D11-IF(TRUE=TRUE,Inputs!$B$32,0)))*(1-IF(AND(ArtifactsInput!$M$27,Inputs!$B$4="Chapter Hunt"),CHOOSE(ArtifactsInput!$N$27+1,20,24,28,32,36,40),0)/100))/B849))+1)),0)</f>
        <v/>
      </c>
      <c r="S818">
        <f>IFERROR(O818/N818,0)</f>
        <v/>
      </c>
      <c r="T818">
        <f>IF(C818,(H818*N818*IF(AND(Inputs!$B$38&lt;&gt;"pvp",Inputs!$B$43&gt;0),((Skills!G11*((R818-1)*IF(Skills!H11&gt;0,INT(Skills!I11/Skills!H11+0.000000001),1)+IF(Skills!H11&gt;0,INT(MIN(Skills!I11,MAX(0,MAX(0,Inputs!$B$43-B845)-((R818-1)*((IF(Inputs!$B$38="pvp",15,MAX(0.1,Skills!D11-IF(TRUE=TRUE,Inputs!$B$32,0)))*(1-IF(AND(ArtifactsInput!$M$27,Inputs!$B$4="Chapter Hunt"),CHOOSE(ArtifactsInput!$N$27+1,20,24,28,32,36,40),0)/100))/B849))))/Skills!H11+0.000000001),1)))/Inputs!$B$43),G818*Q818))*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Hunt"),CHOOSE(ArtifactsInput!$N$35+1,15,18,21,24,27,30)*(1-EXP(-(0.2*B840)*5)),0)+IF(AND(ArtifactsInput!$M$22,Inputs!$B$4&lt;&gt;"Chapter Hunt"),CHOOSE(ArtifactsInput!$N$22+1,10,12,14,16,18,20)*((0*(((0.15*B840*5))^0/1)+1*(((0.15*B840*5))^1/1)+2*(((0.15*B840*5))^2/2)+3*(((0.15*B840*5))^3/6)+4*(((0.15*B840*5))^4/24)+5*(((0.15*B840*5))^5/120))/((((0.15*B840*5))^0/1)+(((0.15*B840*5))^1/1)+(((0.15*B840*5))^2/2)+(((0.15*B840*5))^3/6)+(((0.15*B840*5))^4/24)+(((0.15*B840*5))^5/120))),0))+IF(Inputs!$B$3&gt;=54,9*(C810=TRUE)*MIN(1,8*(1+Inputs!$B$34/100)*Q810)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818*(1-MIN(100,(Inputs!$B$9+((C826=TRUE)*(F826-Calc!F19))+B838+(ArtifactsInput!$M$24-ArtifactsInput!$M$24)*CHOOSE(ArtifactsInput!$N$24+1,10,12,14,16,18,20)+(IF(AND(Inputs!$B$38&lt;&gt;"pvp",Inputs!$B$43=0),1,IF(IF(Inputs!$B$38="pvp",15,Inputs!$B$43)-(B845)&lt;=0,1,MAX(0,IF(Inputs!$B$38="pvp",15,Inputs!$B$43)-MAX(5,B845))/(IF(Inputs!$B$38="pvp",15,Inputs!$B$43)-(B845))))*IF(AND(ArtifactsInput!$M$42,((Inputs!$B$9+((C826=TRUE)*(F826-Calc!F19))+B838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818*(MIN(100,(Inputs!$B$9+((C826=TRUE)*(F826-Calc!F19))+B838+(ArtifactsInput!$M$24-ArtifactsInput!$M$24)*CHOOSE(ArtifactsInput!$N$24+1,10,12,14,16,18,20)+(IF(AND(Inputs!$B$38&lt;&gt;"pvp",Inputs!$B$43=0),1,IF(IF(Inputs!$B$38="pvp",15,Inputs!$B$43)-(B845)&lt;=0,1,MAX(0,IF(Inputs!$B$38="pvp",15,Inputs!$B$43)-MAX(5,B845))/(IF(Inputs!$B$38="pvp",15,Inputs!$B$43)-(B845))))*IF(AND(ArtifactsInput!$M$42,((Inputs!$B$9+((C826=TRUE)*(F826-Calc!F19))+B838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818*(1-MIN(100,(Inputs!$B$9+((C826=TRUE)*(F826-Calc!F19))+B838+(ArtifactsInput!$M$24-ArtifactsInput!$M$24)*CHOOSE(ArtifactsInput!$N$24+1,10,12,14,16,18,20)+(IF(AND(Inputs!$B$38&lt;&gt;"pvp",Inputs!$B$43=0),1,IF(IF(Inputs!$B$38="pvp",15,Inputs!$B$43)-(B845)&lt;=0,1,MAX(0,IF(Inputs!$B$38="pvp",15,Inputs!$B$43)-MAX(5,B845))/(IF(Inputs!$B$38="pvp",15,Inputs!$B$43)-(B845))))*IF(AND(ArtifactsInput!$M$42,((Inputs!$B$9+((C826=TRUE)*(F826-Calc!F19))+B838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818*(MIN(100,(Inputs!$B$9+((C826=TRUE)*(F826-Calc!F19))+B838+(ArtifactsInput!$M$24-ArtifactsInput!$M$24)*CHOOSE(ArtifactsInput!$N$24+1,10,12,14,16,18,20)+(IF(AND(Inputs!$B$38&lt;&gt;"pvp",Inputs!$B$43=0),1,IF(IF(Inputs!$B$38="pvp",15,Inputs!$B$43)-(B845)&lt;=0,1,MAX(0,IF(Inputs!$B$38="pvp",15,Inputs!$B$43)-MAX(5,B845))/(IF(Inputs!$B$38="pvp",15,Inputs!$B$43)-(B845))))*IF(AND(ArtifactsInput!$M$42,((Inputs!$B$9+((C826=TRUE)*(F826-Calc!F19))+B838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818">
        <f>IF(C818,(H818*N818*IF(AND(Inputs!$B$38&lt;&gt;"pvp",Inputs!$B$43&gt;0),((Skills!G11*((R818-1)*IF(Skills!H11&gt;0,INT(Skills!I11/Skills!H11+0.000000001),1)+IF(Skills!H11&gt;0,INT(MIN(Skills!I11,MAX(0,MAX(0,Inputs!$B$43-B845)-((R818-1)*((IF(Inputs!$B$38="pvp",15,MAX(0.1,Skills!D11-IF(TRUE=TRUE,Inputs!$B$32,0)))*(1-IF(AND(ArtifactsInput!$M$27,Inputs!$B$4="Chapter Hunt"),CHOOSE(ArtifactsInput!$N$27+1,20,24,28,32,36,40),0)/100))/B849))))/Skills!H11+0.000000001),1)))/Inputs!$B$43),G818*Q818))*IF(Inputs!$B$38="pvp",1,(1+(Inputs!$B$21+Skills!Q11+(IF(ArtifactsInput!$M$33,CHOOSE(ArtifactsInput!$N$33+1,30,36,42,48,54,60),0))+(IF(AND(ArtifactsInput!$M$35,Inputs!$B$4&lt;&gt;"Chapter Hunt"),CHOOSE(ArtifactsInput!$N$35+1,15,18,21,24,27,30)*(1-EXP(-(0.2*B840)*5)),0)+IF(AND(ArtifactsInput!$M$22,Inputs!$B$4&lt;&gt;"Chapter Hunt"),CHOOSE(ArtifactsInput!$N$22+1,10,12,14,16,18,20)*((0*(((0.15*B840*5))^0/1)+1*(((0.15*B840*5))^1/1)+2*(((0.15*B840*5))^2/2)+3*(((0.15*B840*5))^3/6)+4*(((0.15*B840*5))^4/24)+5*(((0.15*B840*5))^5/120))/((((0.15*B840*5))^0/1)+(((0.15*B840*5))^1/1)+(((0.15*B840*5))^2/2)+(((0.15*B840*5))^3/6)+(((0.15*B840*5))^4/24)+(((0.15*B840*5))^5/120))),0))+IF(Inputs!$B$3&gt;=54,9*(C810=TRUE)*MIN(1,8*(1+Inputs!$B$34/100)*Q810)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19">
      <c r="A819">
        <f>Skills!A12</f>
        <v/>
      </c>
      <c r="B819">
        <f>Skills!B12</f>
        <v/>
      </c>
      <c r="C819">
        <f>Inputs!$B$3&gt;=110</f>
        <v/>
      </c>
      <c r="D819">
        <f>IF(Skills!C12=1,60+(Inputs!$B$25+1)+Inputs!$B$29,IF(Skills!C12=2,90+Inputs!$B$26+Inputs!$B$29,IF(Skills!C12=3,120+Inputs!$B$27+Inputs!$B$29,MAX(0,(Inputs!$B$3-100)*3)+Inputs!$B$28+Inputs!$B$29)))</f>
        <v/>
      </c>
      <c r="E819">
        <f>INDEX(FactorTable!$B$2:$Y$301, MATCH(ROUND(MIN(300,MAX(1,D819)),0), FactorTable!$A$2:$A$301,0), Skills!M12+1)</f>
        <v/>
      </c>
      <c r="F819">
        <f>IF(Skills!N12=TRUE,(Skills!L12/10)*(E819/1000),Skills!L12/10)+Skills!O12</f>
        <v/>
      </c>
      <c r="G819">
        <f>Skills!G12*IF(Skills!H12&gt;0,INT(IF(Inputs!$B$38="pvp",MIN(Skills!I12,15),Skills!I12)/Skills!H12+0.000000001),1)</f>
        <v/>
      </c>
      <c r="H819">
        <f>1-(1-Skills!J12/100)^Skills!K12</f>
        <v/>
      </c>
      <c r="I819" t="inlineStr">
        <is>
          <t>1</t>
        </is>
      </c>
      <c r="J819">
        <f>((Inputs!$B$6*(1+Inputs!$B$7/100))+(((Inputs!$B$12*(1+Inputs!$B$13/100))-(Inputs!$B$12*(1+Inputs!$B$13/100)))+0.25*(Inputs!$B$14-Inputs!$B$14))*(1+Inputs!$B$7/100))*(F819/100)</f>
        <v/>
      </c>
      <c r="K819">
        <f>J819*(1+((Inputs!$B$12*(1+Inputs!$B$13/100))*0.01+Inputs!$B$14*0.0025)/100)*(1+Inputs!$B$15/100)*(1+Inputs!$B$16/100)*(5000/(6000+Inputs!$B$42*(1-(100*(1-(1-(Inputs!$B$19+0)/100)*(1-CHOOSE(ArtifactsInput!$N$40+1,5,6,7,8,9,10)/100)^(ArtifactsInput!$M$40-ArtifactsInput!$M$40)))/100)))*(1+(Inputs!$B$24+((C833=TRUE)*(F833-Calc!F26))+B844)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EIGHT_LEGS_EASTON",Inputs!$B$17+((C830=TRUE)*(F830-Calc!F23))+((C834=TRUE)*(F834-Calc!F27))+((IF(AND(Inputs!$B$38&lt;&gt;"pvp",Inputs!$B$43=0),1,IF(IF(Inputs!$B$38="pvp",15,Inputs!$B$43)-(B845)&lt;=0,1,MAX(0,IF(Inputs!$B$38="pvp",15,Inputs!$B$43)-MAX(5,B845))/(IF(Inputs!$B$38="pvp",15,Inputs!$B$43)-(B845))))*(IF(AND(ArtifactsInput!$M$42,((Inputs!$B$9+((C826=TRUE)*(F826-Calc!F19))+B838+(ArtifactsInput!$M$24-ArtifactsInput!$M$24)*CHOOSE(ArtifactsInput!$N$24+1,10,12,14,16,18,20)+IF(ArtifactsInput!$M$10,CHOOSE(ArtifactsInput!$N$10+1,15,18,21,24,27,30)*(IF(Inputs!$B$38="pvp",MIN(15,15)/15,IF(AND(Inputs!$B$38&lt;&gt;"pvp",Inputs!$B$43&gt;0),MIN(15,Inputs!$B$43)/(Inputs!$B$43),0))),0)))&gt;=100),MIN(100,((Inputs!$B$9+((C826=TRUE)*(F826-Calc!F19))+B838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845)&lt;=0,1,MAX(0,IF(Inputs!$B$38="pvp",15,Inputs!$B$43)-MAX(5,B845))/(IF(Inputs!$B$38="pvp",15,Inputs!$B$43)-(B845))))*IF(AND(ArtifactsInput!$M$42,((Inputs!$B$9+((C826=TRUE)*(F826-Calc!F19))+B838+(ArtifactsInput!$M$24-ArtifactsInput!$M$24)*CHOOSE(ArtifactsInput!$N$24+1,10,12,14,16,18,20)+IF(ArtifactsInput!$M$10,CHOOSE(ArtifactsInput!$N$10+1,15,18,21,24,27,30)*(IF(Inputs!$B$38="pvp",MIN(15,15)/15,IF(AND(Inputs!$B$38&lt;&gt;"pvp",Inputs!$B$43&gt;0),MIN(15,Inputs!$B$43)/(Inputs!$B$43),0))),0)))&gt;=100),CHOOSE(ArtifactsInput!$N$42+1,40,48,56,64,72,80),0))))/100)*((1+(((C824=TRUE)*F824*5/7)+((C831=TRUE)*(F831-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819)</f>
        <v/>
      </c>
      <c r="L819">
        <f>K819*(MIN(Inputs!$B$22+((C829=TRUE)*(F829-Calc!F22)),(Inputs!$B$23+0+(IF(ArtifactsInput!$M$15,CHOOSE(ArtifactsInput!$N$15+1,25,30,35,40,45,50)/100*(Inputs!$B$11-Inputs!$B$11),0))))/100+(Inputs!$B$23+0+(IF(ArtifactsInput!$M$15,CHOOSE(ArtifactsInput!$N$15+1,25,30,35,40,45,50)/100*(Inputs!$B$11-Inputs!$B$11),0)))/100)/2</f>
        <v/>
      </c>
      <c r="M819">
        <f>L819*(1+(Inputs!$B$10+((C832=TRUE)*(F832-Calc!F25))+B843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19">
        <f>L819*(1-MIN((Inputs!$B$9+((C826=TRUE)*(F826-Calc!F19))+B838+(ArtifactsInput!$M$24-ArtifactsInput!$M$24)*CHOOSE(ArtifactsInput!$N$24+1,10,12,14,16,18,20)+(IF(AND(Inputs!$B$38&lt;&gt;"pvp",Inputs!$B$43=0),1,IF(IF(Inputs!$B$38="pvp",15,Inputs!$B$43)-(B845)&lt;=0,1,MAX(0,IF(Inputs!$B$38="pvp",15,Inputs!$B$43)-MAX(5,B845))/(IF(Inputs!$B$38="pvp",15,Inputs!$B$43)-(B845))))*IF(AND(ArtifactsInput!$M$42,((Inputs!$B$9+((C826=TRUE)*(F826-Calc!F19))+B838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819*(MIN((Inputs!$B$9+((C826=TRUE)*(F826-Calc!F19))+B838+(ArtifactsInput!$M$24-ArtifactsInput!$M$24)*CHOOSE(ArtifactsInput!$N$24+1,10,12,14,16,18,20)+(IF(AND(Inputs!$B$38&lt;&gt;"pvp",Inputs!$B$43=0),1,IF(IF(Inputs!$B$38="pvp",15,Inputs!$B$43)-(B845)&lt;=0,1,MAX(0,IF(Inputs!$B$38="pvp",15,Inputs!$B$43)-MAX(5,B845))/(IF(Inputs!$B$38="pvp",15,Inputs!$B$43)-(B845))))*IF(AND(ArtifactsInput!$M$42,((Inputs!$B$9+((C826=TRUE)*(F826-Calc!F19))+B838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19">
        <f>(1-Summary!$B$11)*T819+Summary!$B$11*V819</f>
        <v/>
      </c>
      <c r="P819">
        <f>IF(B848=0,0,O819/B848)</f>
        <v/>
      </c>
      <c r="Q819">
        <f>IFERROR(1/(IF(Inputs!$B$38="pvp",15,MAX(0.1,Skills!D12-IF(TRUE=TRUE,Inputs!$B$32,0)))*(1-IF(AND(ArtifactsInput!$M$27,Inputs!$B$4="Chapter Hunt"),CHOOSE(ArtifactsInput!$N$27+1,20,24,28,32,36,40),0)/100)),0)</f>
        <v/>
      </c>
      <c r="R819">
        <f>IF(AND(Inputs!$B$38&lt;&gt;"pvp",Inputs!$B$43&gt;0),IF(MAX(0,Inputs!$B$43-B845)&lt;=0,0,(INT(MAX(0,Inputs!$B$43-B845)/(IF(Inputs!$B$38="pvp",15,MAX(0.1,Skills!D12-IF(TRUE=TRUE,Inputs!$B$32,0)))*(1-IF(AND(ArtifactsInput!$M$27,Inputs!$B$4="Chapter Hunt"),CHOOSE(ArtifactsInput!$N$27+1,20,24,28,32,36,40),0)/100)))+1)),0)</f>
        <v/>
      </c>
      <c r="S819">
        <f>IFERROR(O819/N819,0)</f>
        <v/>
      </c>
      <c r="T819">
        <f>IF(C819,(H819*N819*IF(AND(Inputs!$B$38&lt;&gt;"pvp",Inputs!$B$43&gt;0),((Skills!G12*((R819-1)*IF(Skills!H12&gt;0,INT(Skills!I12/Skills!H12+0.000000001),1)+IF(Skills!H12&gt;0,INT(MIN(Skills!I12,MAX(0,MAX(0,Inputs!$B$43-B845)-((R819-1)*(IF(Inputs!$B$38="pvp",15,MAX(0.1,Skills!D12-IF(TRUE=TRUE,Inputs!$B$32,0)))*(1-IF(AND(ArtifactsInput!$M$27,Inputs!$B$4="Chapter Hunt"),CHOOSE(ArtifactsInput!$N$27+1,20,24,28,32,36,40),0)/100)))))/Skills!H12+0.000000001),1)))/Inputs!$B$43),G819*Q819))*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Hunt"),CHOOSE(ArtifactsInput!$N$35+1,15,18,21,24,27,30)*(1-EXP(-(0.2*B840)*5)),0)+IF(AND(ArtifactsInput!$M$22,Inputs!$B$4&lt;&gt;"Chapter Hunt"),CHOOSE(ArtifactsInput!$N$22+1,10,12,14,16,18,20)*((0*(((0.15*B840*5))^0/1)+1*(((0.15*B840*5))^1/1)+2*(((0.15*B840*5))^2/2)+3*(((0.15*B840*5))^3/6)+4*(((0.15*B840*5))^4/24)+5*(((0.15*B840*5))^5/120))/((((0.15*B840*5))^0/1)+(((0.15*B840*5))^1/1)+(((0.15*B840*5))^2/2)+(((0.15*B840*5))^3/6)+(((0.15*B840*5))^4/24)+(((0.15*B840*5))^5/120))),0))+IF(Inputs!$B$3&gt;=54,9*(C810=TRUE)*MIN(1,8*(1+Inputs!$B$34/100)*Q810)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819*(1-MIN(100,(Inputs!$B$9+((C826=TRUE)*(F826-Calc!F19))+B838+(ArtifactsInput!$M$24-ArtifactsInput!$M$24)*CHOOSE(ArtifactsInput!$N$24+1,10,12,14,16,18,20)+(IF(AND(Inputs!$B$38&lt;&gt;"pvp",Inputs!$B$43=0),1,IF(IF(Inputs!$B$38="pvp",15,Inputs!$B$43)-(B845)&lt;=0,1,MAX(0,IF(Inputs!$B$38="pvp",15,Inputs!$B$43)-MAX(5,B845))/(IF(Inputs!$B$38="pvp",15,Inputs!$B$43)-(B845))))*IF(AND(ArtifactsInput!$M$42,((Inputs!$B$9+((C826=TRUE)*(F826-Calc!F19))+B838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819*(MIN(100,(Inputs!$B$9+((C826=TRUE)*(F826-Calc!F19))+B838+(ArtifactsInput!$M$24-ArtifactsInput!$M$24)*CHOOSE(ArtifactsInput!$N$24+1,10,12,14,16,18,20)+(IF(AND(Inputs!$B$38&lt;&gt;"pvp",Inputs!$B$43=0),1,IF(IF(Inputs!$B$38="pvp",15,Inputs!$B$43)-(B845)&lt;=0,1,MAX(0,IF(Inputs!$B$38="pvp",15,Inputs!$B$43)-MAX(5,B845))/(IF(Inputs!$B$38="pvp",15,Inputs!$B$43)-(B845))))*IF(AND(ArtifactsInput!$M$42,((Inputs!$B$9+((C826=TRUE)*(F826-Calc!F19))+B838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819*(1-MIN(100,(Inputs!$B$9+((C826=TRUE)*(F826-Calc!F19))+B838+(ArtifactsInput!$M$24-ArtifactsInput!$M$24)*CHOOSE(ArtifactsInput!$N$24+1,10,12,14,16,18,20)+(IF(AND(Inputs!$B$38&lt;&gt;"pvp",Inputs!$B$43=0),1,IF(IF(Inputs!$B$38="pvp",15,Inputs!$B$43)-(B845)&lt;=0,1,MAX(0,IF(Inputs!$B$38="pvp",15,Inputs!$B$43)-MAX(5,B845))/(IF(Inputs!$B$38="pvp",15,Inputs!$B$43)-(B845))))*IF(AND(ArtifactsInput!$M$42,((Inputs!$B$9+((C826=TRUE)*(F826-Calc!F19))+B838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819*(MIN(100,(Inputs!$B$9+((C826=TRUE)*(F826-Calc!F19))+B838+(ArtifactsInput!$M$24-ArtifactsInput!$M$24)*CHOOSE(ArtifactsInput!$N$24+1,10,12,14,16,18,20)+(IF(AND(Inputs!$B$38&lt;&gt;"pvp",Inputs!$B$43=0),1,IF(IF(Inputs!$B$38="pvp",15,Inputs!$B$43)-(B845)&lt;=0,1,MAX(0,IF(Inputs!$B$38="pvp",15,Inputs!$B$43)-MAX(5,B845))/(IF(Inputs!$B$38="pvp",15,Inputs!$B$43)-(B845))))*IF(AND(ArtifactsInput!$M$42,((Inputs!$B$9+((C826=TRUE)*(F826-Calc!F19))+B838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819">
        <f>IF(C819,(H819*N819*IF(AND(Inputs!$B$38&lt;&gt;"pvp",Inputs!$B$43&gt;0),((Skills!G12*((R819-1)*IF(Skills!H12&gt;0,INT(Skills!I12/Skills!H12+0.000000001),1)+IF(Skills!H12&gt;0,INT(MIN(Skills!I12,MAX(0,MAX(0,Inputs!$B$43-B845)-((R819-1)*(IF(Inputs!$B$38="pvp",15,MAX(0.1,Skills!D12-IF(TRUE=TRUE,Inputs!$B$32,0)))*(1-IF(AND(ArtifactsInput!$M$27,Inputs!$B$4="Chapter Hunt"),CHOOSE(ArtifactsInput!$N$27+1,20,24,28,32,36,40),0)/100)))))/Skills!H12+0.000000001),1)))/Inputs!$B$43),G819*Q819))*IF(Inputs!$B$38="pvp",1,(1+(Inputs!$B$21+Skills!Q12+(IF(ArtifactsInput!$M$33,CHOOSE(ArtifactsInput!$N$33+1,30,36,42,48,54,60),0))+(IF(AND(ArtifactsInput!$M$35,Inputs!$B$4&lt;&gt;"Chapter Hunt"),CHOOSE(ArtifactsInput!$N$35+1,15,18,21,24,27,30)*(1-EXP(-(0.2*B840)*5)),0)+IF(AND(ArtifactsInput!$M$22,Inputs!$B$4&lt;&gt;"Chapter Hunt"),CHOOSE(ArtifactsInput!$N$22+1,10,12,14,16,18,20)*((0*(((0.15*B840*5))^0/1)+1*(((0.15*B840*5))^1/1)+2*(((0.15*B840*5))^2/2)+3*(((0.15*B840*5))^3/6)+4*(((0.15*B840*5))^4/24)+5*(((0.15*B840*5))^5/120))/((((0.15*B840*5))^0/1)+(((0.15*B840*5))^1/1)+(((0.15*B840*5))^2/2)+(((0.15*B840*5))^3/6)+(((0.15*B840*5))^4/24)+(((0.15*B840*5))^5/120))),0))+IF(Inputs!$B$3&gt;=54,9*(C810=TRUE)*MIN(1,8*(1+Inputs!$B$34/100)*Q810),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20">
      <c r="A820">
        <f>Skills!A13</f>
        <v/>
      </c>
      <c r="B820">
        <f>Skills!B13</f>
        <v/>
      </c>
      <c r="C820">
        <f>Inputs!$B$3&gt;=110</f>
        <v/>
      </c>
      <c r="D820">
        <f>IF(Skills!C13=1,60+(Inputs!$B$25+1)+Inputs!$B$29,IF(Skills!C13=2,90+Inputs!$B$26+Inputs!$B$29,IF(Skills!C13=3,120+Inputs!$B$27+Inputs!$B$29,MAX(0,(Inputs!$B$3-100)*3)+Inputs!$B$28+Inputs!$B$29)))</f>
        <v/>
      </c>
      <c r="E820">
        <f>INDEX(FactorTable!$B$2:$Y$301, MATCH(ROUND(MIN(300,MAX(1,D820)),0), FactorTable!$A$2:$A$301,0), Skills!M13+1)</f>
        <v/>
      </c>
      <c r="F820">
        <f>IF(Skills!N13=TRUE,(Skills!L13/10)*(E820/1000),Skills!L13/10)+Skills!O13</f>
        <v/>
      </c>
      <c r="G820">
        <f>Skills!G13*IF(Skills!H13&gt;0,INT(IF(Inputs!$B$38="pvp",MIN(Skills!I13,15),Skills!I13)/Skills!H13+0.000000001),1)</f>
        <v/>
      </c>
      <c r="H820">
        <f>1-(1-Skills!J13/100)^Skills!K13</f>
        <v/>
      </c>
      <c r="I820" t="inlineStr">
        <is>
          <t>1</t>
        </is>
      </c>
      <c r="J820">
        <f>((Inputs!$B$6*(1+Inputs!$B$7/100))+(((Inputs!$B$12*(1+Inputs!$B$13/100))-(Inputs!$B$12*(1+Inputs!$B$13/100)))+0.25*(Inputs!$B$14-Inputs!$B$14))*(1+Inputs!$B$7/100))*(F820/100)</f>
        <v/>
      </c>
      <c r="K820">
        <f>J820*(1+((Inputs!$B$12*(1+Inputs!$B$13/100))*0.01+Inputs!$B$14*0.0025)/100)*(1+Inputs!$B$15/100)*(1+Inputs!$B$16/100)*(5000/(6000+Inputs!$B$42*(1-(100*(1-(1-(Inputs!$B$19+0)/100)*(1-CHOOSE(ArtifactsInput!$N$40+1,5,6,7,8,9,10)/100)^(ArtifactsInput!$M$40-ArtifactsInput!$M$40)))/100)))*(1+(Inputs!$B$24+((C833=TRUE)*(F833-Calc!F26))+B844)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EIGHT_LEGS_EASTON",Inputs!$B$17+((C830=TRUE)*(F830-Calc!F23))+((C834=TRUE)*(F834-Calc!F27))+((IF(AND(Inputs!$B$38&lt;&gt;"pvp",Inputs!$B$43=0),1,IF(IF(Inputs!$B$38="pvp",15,Inputs!$B$43)-(B845)&lt;=0,1,MAX(0,IF(Inputs!$B$38="pvp",15,Inputs!$B$43)-MAX(5,B845))/(IF(Inputs!$B$38="pvp",15,Inputs!$B$43)-(B845))))*(IF(AND(ArtifactsInput!$M$42,((Inputs!$B$9+((C826=TRUE)*(F826-Calc!F19))+B838+(ArtifactsInput!$M$24-ArtifactsInput!$M$24)*CHOOSE(ArtifactsInput!$N$24+1,10,12,14,16,18,20)+IF(ArtifactsInput!$M$10,CHOOSE(ArtifactsInput!$N$10+1,15,18,21,24,27,30)*(IF(Inputs!$B$38="pvp",MIN(15,15)/15,IF(AND(Inputs!$B$38&lt;&gt;"pvp",Inputs!$B$43&gt;0),MIN(15,Inputs!$B$43)/(Inputs!$B$43),0))),0)))&gt;=100),MIN(100,((Inputs!$B$9+((C826=TRUE)*(F826-Calc!F19))+B838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845)&lt;=0,1,MAX(0,IF(Inputs!$B$38="pvp",15,Inputs!$B$43)-MAX(5,B845))/(IF(Inputs!$B$38="pvp",15,Inputs!$B$43)-(B845))))*IF(AND(ArtifactsInput!$M$42,((Inputs!$B$9+((C826=TRUE)*(F826-Calc!F19))+B838+(ArtifactsInput!$M$24-ArtifactsInput!$M$24)*CHOOSE(ArtifactsInput!$N$24+1,10,12,14,16,18,20)+IF(ArtifactsInput!$M$10,CHOOSE(ArtifactsInput!$N$10+1,15,18,21,24,27,30)*(IF(Inputs!$B$38="pvp",MIN(15,15)/15,IF(AND(Inputs!$B$38&lt;&gt;"pvp",Inputs!$B$43&gt;0),MIN(15,Inputs!$B$43)/(Inputs!$B$43),0))),0)))&gt;=100),CHOOSE(ArtifactsInput!$N$42+1,40,48,56,64,72,80),0))))/100)*((1+(((C824=TRUE)*F824*5/7)+((C831=TRUE)*(F831-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820)</f>
        <v/>
      </c>
      <c r="L820">
        <f>K820*(MIN(Inputs!$B$22+((C829=TRUE)*(F829-Calc!F22)),(Inputs!$B$23+0+(IF(ArtifactsInput!$M$15,CHOOSE(ArtifactsInput!$N$15+1,25,30,35,40,45,50)/100*(Inputs!$B$11-Inputs!$B$11),0))))/100+(Inputs!$B$23+0+(IF(ArtifactsInput!$M$15,CHOOSE(ArtifactsInput!$N$15+1,25,30,35,40,45,50)/100*(Inputs!$B$11-Inputs!$B$11),0)))/100)/2</f>
        <v/>
      </c>
      <c r="M820">
        <f>L820*(1+(Inputs!$B$10+((C832=TRUE)*(F832-Calc!F25))+B843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20">
        <f>L820*(1-MIN((Inputs!$B$9+((C826=TRUE)*(F826-Calc!F19))+B838+(ArtifactsInput!$M$24-ArtifactsInput!$M$24)*CHOOSE(ArtifactsInput!$N$24+1,10,12,14,16,18,20)+(IF(AND(Inputs!$B$38&lt;&gt;"pvp",Inputs!$B$43=0),1,IF(IF(Inputs!$B$38="pvp",15,Inputs!$B$43)-(B845)&lt;=0,1,MAX(0,IF(Inputs!$B$38="pvp",15,Inputs!$B$43)-MAX(5,B845))/(IF(Inputs!$B$38="pvp",15,Inputs!$B$43)-(B845))))*IF(AND(ArtifactsInput!$M$42,((Inputs!$B$9+((C826=TRUE)*(F826-Calc!F19))+B838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820*(MIN((Inputs!$B$9+((C826=TRUE)*(F826-Calc!F19))+B838+(ArtifactsInput!$M$24-ArtifactsInput!$M$24)*CHOOSE(ArtifactsInput!$N$24+1,10,12,14,16,18,20)+(IF(AND(Inputs!$B$38&lt;&gt;"pvp",Inputs!$B$43=0),1,IF(IF(Inputs!$B$38="pvp",15,Inputs!$B$43)-(B845)&lt;=0,1,MAX(0,IF(Inputs!$B$38="pvp",15,Inputs!$B$43)-MAX(5,B845))/(IF(Inputs!$B$38="pvp",15,Inputs!$B$43)-(B845))))*IF(AND(ArtifactsInput!$M$42,((Inputs!$B$9+((C826=TRUE)*(F826-Calc!F19))+B838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20">
        <f>(1-Summary!$B$11)*T820+Summary!$B$11*V820</f>
        <v/>
      </c>
      <c r="P820">
        <f>IF(B848=0,0,O820/B848)</f>
        <v/>
      </c>
      <c r="Q820">
        <f>IFERROR(1/(IF(Inputs!$B$38="pvp",15,MAX(0.1,Skills!D13-IF(TRUE=TRUE,Inputs!$B$32,0)))*(1-IF(AND(ArtifactsInput!$M$27,Inputs!$B$4="Chapter Hunt"),CHOOSE(ArtifactsInput!$N$27+1,20,24,28,32,36,40),0)/100)),0)</f>
        <v/>
      </c>
      <c r="R820">
        <f>IF(AND(Inputs!$B$38&lt;&gt;"pvp",Inputs!$B$43&gt;0),IF(MAX(0,Inputs!$B$43-B845)&lt;=0,0,(INT(MAX(0,Inputs!$B$43-B845)/(IF(Inputs!$B$38="pvp",15,MAX(0.1,Skills!D13-IF(TRUE=TRUE,Inputs!$B$32,0)))*(1-IF(AND(ArtifactsInput!$M$27,Inputs!$B$4="Chapter Hunt"),CHOOSE(ArtifactsInput!$N$27+1,20,24,28,32,36,40),0)/100)))+1)),0)</f>
        <v/>
      </c>
      <c r="S820">
        <f>IFERROR(O820/N820,0)</f>
        <v/>
      </c>
      <c r="T820">
        <f>IF(C820,(H820*N820*IF(AND(Inputs!$B$38&lt;&gt;"pvp",Inputs!$B$43&gt;0),((Skills!G13*((R820-1)*IF(Skills!H13&gt;0,INT(Skills!I13/Skills!H13+0.000000001),1)+IF(Skills!H13&gt;0,INT(MIN(Skills!I13,MAX(0,MAX(0,Inputs!$B$43-B845)-((R820-1)*(IF(Inputs!$B$38="pvp",15,MAX(0.1,Skills!D13-IF(TRUE=TRUE,Inputs!$B$32,0)))*(1-IF(AND(ArtifactsInput!$M$27,Inputs!$B$4="Chapter Hunt"),CHOOSE(ArtifactsInput!$N$27+1,20,24,28,32,36,40),0)/100)))))/Skills!H13+0.000000001),1)))/Inputs!$B$43),G820*Q820))*IF(Inputs!$B$38="pvp",1,1+(Inputs!$B$20+0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Hunt"),CHOOSE(ArtifactsInput!$N$35+1,15,18,21,24,27,30)*(1-EXP(-(0.2*B840)*5)),0)+IF(AND(ArtifactsInput!$M$22,Inputs!$B$4&lt;&gt;"Chapter Hunt"),CHOOSE(ArtifactsInput!$N$22+1,10,12,14,16,18,20)*((0*(((0.15*B840*5))^0/1)+1*(((0.15*B840*5))^1/1)+2*(((0.15*B840*5))^2/2)+3*(((0.15*B840*5))^3/6)+4*(((0.15*B840*5))^4/24)+5*(((0.15*B840*5))^5/120))/((((0.15*B840*5))^0/1)+(((0.15*B840*5))^1/1)+(((0.15*B840*5))^2/2)+(((0.15*B840*5))^3/6)+(((0.15*B840*5))^4/24)+(((0.15*B840*5))^5/120))),0))+IF(Inputs!$B$3&gt;=54,9*(C810=TRUE)*MIN(1,8*(1+Inputs!$B$34/100)*Q810)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820*(1-MIN(100,(Inputs!$B$9+((C826=TRUE)*(F826-Calc!F19))+B838+(ArtifactsInput!$M$24-ArtifactsInput!$M$24)*CHOOSE(ArtifactsInput!$N$24+1,10,12,14,16,18,20)+(IF(AND(Inputs!$B$38&lt;&gt;"pvp",Inputs!$B$43=0),1,IF(IF(Inputs!$B$38="pvp",15,Inputs!$B$43)-(B845)&lt;=0,1,MAX(0,IF(Inputs!$B$38="pvp",15,Inputs!$B$43)-MAX(5,B845))/(IF(Inputs!$B$38="pvp",15,Inputs!$B$43)-(B845))))*IF(AND(ArtifactsInput!$M$42,((Inputs!$B$9+((C826=TRUE)*(F826-Calc!F19))+B838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820*(MIN(100,(Inputs!$B$9+((C826=TRUE)*(F826-Calc!F19))+B838+(ArtifactsInput!$M$24-ArtifactsInput!$M$24)*CHOOSE(ArtifactsInput!$N$24+1,10,12,14,16,18,20)+(IF(AND(Inputs!$B$38&lt;&gt;"pvp",Inputs!$B$43=0),1,IF(IF(Inputs!$B$38="pvp",15,Inputs!$B$43)-(B845)&lt;=0,1,MAX(0,IF(Inputs!$B$38="pvp",15,Inputs!$B$43)-MAX(5,B845))/(IF(Inputs!$B$38="pvp",15,Inputs!$B$43)-(B845))))*IF(AND(ArtifactsInput!$M$42,((Inputs!$B$9+((C826=TRUE)*(F826-Calc!F19))+B838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820*(1-MIN(100,(Inputs!$B$9+((C826=TRUE)*(F826-Calc!F19))+B838+(ArtifactsInput!$M$24-ArtifactsInput!$M$24)*CHOOSE(ArtifactsInput!$N$24+1,10,12,14,16,18,20)+(IF(AND(Inputs!$B$38&lt;&gt;"pvp",Inputs!$B$43=0),1,IF(IF(Inputs!$B$38="pvp",15,Inputs!$B$43)-(B845)&lt;=0,1,MAX(0,IF(Inputs!$B$38="pvp",15,Inputs!$B$43)-MAX(5,B845))/(IF(Inputs!$B$38="pvp",15,Inputs!$B$43)-(B845))))*IF(AND(ArtifactsInput!$M$42,((Inputs!$B$9+((C826=TRUE)*(F826-Calc!F19))+B838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820*(MIN(100,(Inputs!$B$9+((C826=TRUE)*(F826-Calc!F19))+B838+(ArtifactsInput!$M$24-ArtifactsInput!$M$24)*CHOOSE(ArtifactsInput!$N$24+1,10,12,14,16,18,20)+(IF(AND(Inputs!$B$38&lt;&gt;"pvp",Inputs!$B$43=0),1,IF(IF(Inputs!$B$38="pvp",15,Inputs!$B$43)-(B845)&lt;=0,1,MAX(0,IF(Inputs!$B$38="pvp",15,Inputs!$B$43)-MAX(5,B845))/(IF(Inputs!$B$38="pvp",15,Inputs!$B$43)-(B845))))*IF(AND(ArtifactsInput!$M$42,((Inputs!$B$9+((C826=TRUE)*(F826-Calc!F19))+B838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820">
        <f>IF(C820,(H820*N820*IF(AND(Inputs!$B$38&lt;&gt;"pvp",Inputs!$B$43&gt;0),((Skills!G13*((R820-1)*IF(Skills!H13&gt;0,INT(Skills!I13/Skills!H13+0.000000001),1)+IF(Skills!H13&gt;0,INT(MIN(Skills!I13,MAX(0,MAX(0,Inputs!$B$43-B845)-((R820-1)*(IF(Inputs!$B$38="pvp",15,MAX(0.1,Skills!D13-IF(TRUE=TRUE,Inputs!$B$32,0)))*(1-IF(AND(ArtifactsInput!$M$27,Inputs!$B$4="Chapter Hunt"),CHOOSE(ArtifactsInput!$N$27+1,20,24,28,32,36,40),0)/100)))))/Skills!H13+0.000000001),1)))/Inputs!$B$43),G820*Q820))*IF(Inputs!$B$38="pvp",1,(1+(Inputs!$B$21+Skills!Q13+(IF(ArtifactsInput!$M$33,CHOOSE(ArtifactsInput!$N$33+1,30,36,42,48,54,60),0))+(IF(AND(ArtifactsInput!$M$35,Inputs!$B$4&lt;&gt;"Chapter Hunt"),CHOOSE(ArtifactsInput!$N$35+1,15,18,21,24,27,30)*(1-EXP(-(0.2*B840)*5)),0)+IF(AND(ArtifactsInput!$M$22,Inputs!$B$4&lt;&gt;"Chapter Hunt"),CHOOSE(ArtifactsInput!$N$22+1,10,12,14,16,18,20)*((0*(((0.15*B840*5))^0/1)+1*(((0.15*B840*5))^1/1)+2*(((0.15*B840*5))^2/2)+3*(((0.15*B840*5))^3/6)+4*(((0.15*B840*5))^4/24)+5*(((0.15*B840*5))^5/120))/((((0.15*B840*5))^0/1)+(((0.15*B840*5))^1/1)+(((0.15*B840*5))^2/2)+(((0.15*B840*5))^3/6)+(((0.15*B840*5))^4/24)+(((0.15*B840*5))^5/120))),0))+IF(Inputs!$B$3&gt;=54,9*(C810=TRUE)*MIN(1,8*(1+Inputs!$B$34/100)*Q810),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21">
      <c r="A821">
        <f>Skills!A14</f>
        <v/>
      </c>
      <c r="B821">
        <f>Skills!B14</f>
        <v/>
      </c>
      <c r="C821">
        <f>Inputs!$B$3&gt;=120</f>
        <v/>
      </c>
      <c r="D821">
        <f>IF(Skills!C14=1,60+(Inputs!$B$25+1)+Inputs!$B$29,IF(Skills!C14=2,90+Inputs!$B$26+Inputs!$B$29,IF(Skills!C14=3,120+Inputs!$B$27+Inputs!$B$29,MAX(0,(Inputs!$B$3-100)*3)+Inputs!$B$28+Inputs!$B$29)))</f>
        <v/>
      </c>
      <c r="E821">
        <f>INDEX(FactorTable!$B$2:$Y$301, MATCH(ROUND(MIN(300,MAX(1,D821)),0), FactorTable!$A$2:$A$301,0), Skills!M14+1)</f>
        <v/>
      </c>
      <c r="F821">
        <f>IF(Skills!N14=TRUE,(Skills!L14/10)*(E821/1000),Skills!L14/10)+Skills!O14</f>
        <v/>
      </c>
      <c r="G821">
        <f>Skills!G14*IF(Skills!H14&gt;0,INT(IF(Inputs!$B$38="pvp",MIN(Skills!I14,15),Skills!I14)/Skills!H14+0.000000001),1)</f>
        <v/>
      </c>
      <c r="H821">
        <f>1-(1-Skills!J14/100)^Skills!K14</f>
        <v/>
      </c>
      <c r="I821" t="inlineStr">
        <is>
          <t>1</t>
        </is>
      </c>
      <c r="J821">
        <f>((Inputs!$B$6*(1+Inputs!$B$7/100))+(((Inputs!$B$12*(1+Inputs!$B$13/100))-(Inputs!$B$12*(1+Inputs!$B$13/100)))+0.25*(Inputs!$B$14-Inputs!$B$14))*(1+Inputs!$B$7/100))*(F821/100)</f>
        <v/>
      </c>
      <c r="K821">
        <f>J821*(1+((Inputs!$B$12*(1+Inputs!$B$13/100))*0.01+Inputs!$B$14*0.0025)/100)*(1+Inputs!$B$15/100)*(1+Inputs!$B$16/100)*(5000/(6000+Inputs!$B$42*(1-(100*(1-(1-(Inputs!$B$19+0)/100)*(1-CHOOSE(ArtifactsInput!$N$40+1,5,6,7,8,9,10)/100)^(ArtifactsInput!$M$40-ArtifactsInput!$M$40)))/100)))*(1+(Inputs!$B$24+((C833=TRUE)*(F833-Calc!F26))+B844)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EIGHT_LEGS_EASTON",Inputs!$B$17+((C830=TRUE)*(F830-Calc!F23))+((C834=TRUE)*(F834-Calc!F27))+((IF(AND(Inputs!$B$38&lt;&gt;"pvp",Inputs!$B$43=0),1,IF(IF(Inputs!$B$38="pvp",15,Inputs!$B$43)-(B845)&lt;=0,1,MAX(0,IF(Inputs!$B$38="pvp",15,Inputs!$B$43)-MAX(5,B845))/(IF(Inputs!$B$38="pvp",15,Inputs!$B$43)-(B845))))*(IF(AND(ArtifactsInput!$M$42,((Inputs!$B$9+((C826=TRUE)*(F826-Calc!F19))+B838+(ArtifactsInput!$M$24-ArtifactsInput!$M$24)*CHOOSE(ArtifactsInput!$N$24+1,10,12,14,16,18,20)+IF(ArtifactsInput!$M$10,CHOOSE(ArtifactsInput!$N$10+1,15,18,21,24,27,30)*(IF(Inputs!$B$38="pvp",MIN(15,15)/15,IF(AND(Inputs!$B$38&lt;&gt;"pvp",Inputs!$B$43&gt;0),MIN(15,Inputs!$B$43)/(Inputs!$B$43),0))),0)))&gt;=100),MIN(100,((Inputs!$B$9+((C826=TRUE)*(F826-Calc!F19))+B838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845)&lt;=0,1,MAX(0,IF(Inputs!$B$38="pvp",15,Inputs!$B$43)-MAX(5,B845))/(IF(Inputs!$B$38="pvp",15,Inputs!$B$43)-(B845))))*IF(AND(ArtifactsInput!$M$42,((Inputs!$B$9+((C826=TRUE)*(F826-Calc!F19))+B838+(ArtifactsInput!$M$24-ArtifactsInput!$M$24)*CHOOSE(ArtifactsInput!$N$24+1,10,12,14,16,18,20)+IF(ArtifactsInput!$M$10,CHOOSE(ArtifactsInput!$N$10+1,15,18,21,24,27,30)*(IF(Inputs!$B$38="pvp",MIN(15,15)/15,IF(AND(Inputs!$B$38&lt;&gt;"pvp",Inputs!$B$43&gt;0),MIN(15,Inputs!$B$43)/(Inputs!$B$43),0))),0)))&gt;=100),CHOOSE(ArtifactsInput!$N$42+1,40,48,56,64,72,80),0))))/100)*((1+(((C824=TRUE)*F824*5/7)+((C831=TRUE)*(F831-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821)</f>
        <v/>
      </c>
      <c r="L821">
        <f>K821*(MIN(Inputs!$B$22+((C829=TRUE)*(F829-Calc!F22)),(Inputs!$B$23+0+(IF(ArtifactsInput!$M$15,CHOOSE(ArtifactsInput!$N$15+1,25,30,35,40,45,50)/100*(Inputs!$B$11-Inputs!$B$11),0))))/100+(Inputs!$B$23+0+(IF(ArtifactsInput!$M$15,CHOOSE(ArtifactsInput!$N$15+1,25,30,35,40,45,50)/100*(Inputs!$B$11-Inputs!$B$11),0)))/100)/2</f>
        <v/>
      </c>
      <c r="M821">
        <f>L821*(1+(Inputs!$B$10+((C832=TRUE)*(F832-Calc!F25))+B843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21">
        <f>L821*(1-MIN((Inputs!$B$9+((C826=TRUE)*(F826-Calc!F19))+B838+(ArtifactsInput!$M$24-ArtifactsInput!$M$24)*CHOOSE(ArtifactsInput!$N$24+1,10,12,14,16,18,20)+(IF(AND(Inputs!$B$38&lt;&gt;"pvp",Inputs!$B$43=0),1,IF(IF(Inputs!$B$38="pvp",15,Inputs!$B$43)-(B845)&lt;=0,1,MAX(0,IF(Inputs!$B$38="pvp",15,Inputs!$B$43)-MAX(5,B845))/(IF(Inputs!$B$38="pvp",15,Inputs!$B$43)-(B845))))*IF(AND(ArtifactsInput!$M$42,((Inputs!$B$9+((C826=TRUE)*(F826-Calc!F19))+B838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821*(MIN((Inputs!$B$9+((C826=TRUE)*(F826-Calc!F19))+B838+(ArtifactsInput!$M$24-ArtifactsInput!$M$24)*CHOOSE(ArtifactsInput!$N$24+1,10,12,14,16,18,20)+(IF(AND(Inputs!$B$38&lt;&gt;"pvp",Inputs!$B$43=0),1,IF(IF(Inputs!$B$38="pvp",15,Inputs!$B$43)-(B845)&lt;=0,1,MAX(0,IF(Inputs!$B$38="pvp",15,Inputs!$B$43)-MAX(5,B845))/(IF(Inputs!$B$38="pvp",15,Inputs!$B$43)-(B845))))*IF(AND(ArtifactsInput!$M$42,((Inputs!$B$9+((C826=TRUE)*(F826-Calc!F19))+B838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21">
        <f>(1-Summary!$B$11)*T821+Summary!$B$11*V821</f>
        <v/>
      </c>
      <c r="P821">
        <f>IF(B848=0,0,O821/B848)</f>
        <v/>
      </c>
      <c r="Q821" t="n">
        <v>0</v>
      </c>
      <c r="R821" t="n">
        <v>0</v>
      </c>
      <c r="S821">
        <f>IFERROR(O821/N821,0)</f>
        <v/>
      </c>
      <c r="T821">
        <f>IF(C821,((H821*(B842+IF(AND(Inputs!$B$38&lt;&gt;"pvp",Inputs!$B$43&gt;0),((Skills!G8*((R815-1)*IF(Skills!H8&gt;0,INT(Skills!I8/Skills!H8+0.000000001),1)+IF(Skills!H8&gt;0,INT(MIN(Skills!I8,MAX(0,MAX(0,Inputs!$B$43-B845)-((R815-1)*((IF(Inputs!$B$38="pvp",15,MAX(0.1,Skills!D8-IF(TRUE=TRUE,Inputs!$B$32,0)))*(1-IF(AND(ArtifactsInput!$M$27,Inputs!$B$4="Chapter Hunt"),CHOOSE(ArtifactsInput!$N$27+1,20,24,28,32,36,40),0)/100))/B849))))/Skills!H8+0.000000001),1)))/Inputs!$B$43),G815*Q815)+IF(AND(Inputs!$B$38&lt;&gt;"pvp",Inputs!$B$43&gt;0),((Skills!G11*((R818-1)*IF(Skills!H11&gt;0,INT(Skills!I11/Skills!H11+0.000000001),1)+IF(Skills!H11&gt;0,INT(MIN(Skills!I11,MAX(0,MAX(0,Inputs!$B$43-B845)-((R818-1)*((IF(Inputs!$B$38="pvp",15,MAX(0.1,Skills!D11-IF(TRUE=TRUE,Inputs!$B$32,0)))*(1-IF(AND(ArtifactsInput!$M$27,Inputs!$B$4="Chapter Hunt"),CHOOSE(ArtifactsInput!$N$27+1,20,24,28,32,36,40),0)/100))/B849))))/Skills!H11+0.000000001),1)))/Inputs!$B$43),G818*Q818)))/(1+Skills!H14*H821*(B842+IF(AND(Inputs!$B$38&lt;&gt;"pvp",Inputs!$B$43&gt;0),((Skills!G8*((R815-1)*IF(Skills!H8&gt;0,INT(Skills!I8/Skills!H8+0.000000001),1)+IF(Skills!H8&gt;0,INT(MIN(Skills!I8,MAX(0,MAX(0,Inputs!$B$43-B845)-((R815-1)*((IF(Inputs!$B$38="pvp",15,MAX(0.1,Skills!D8-IF(TRUE=TRUE,Inputs!$B$32,0)))*(1-IF(AND(ArtifactsInput!$M$27,Inputs!$B$4="Chapter Hunt"),CHOOSE(ArtifactsInput!$N$27+1,20,24,28,32,36,40),0)/100))/B849))))/Skills!H8+0.000000001),1)))/Inputs!$B$43),G815*Q815)+IF(AND(Inputs!$B$38&lt;&gt;"pvp",Inputs!$B$43&gt;0),((Skills!G11*((R818-1)*IF(Skills!H11&gt;0,INT(Skills!I11/Skills!H11+0.000000001),1)+IF(Skills!H11&gt;0,INT(MIN(Skills!I11,MAX(0,MAX(0,Inputs!$B$43-B845)-((R818-1)*((IF(Inputs!$B$38="pvp",15,MAX(0.1,Skills!D11-IF(TRUE=TRUE,Inputs!$B$32,0)))*(1-IF(AND(ArtifactsInput!$M$27,Inputs!$B$4="Chapter Hunt"),CHOOSE(ArtifactsInput!$N$27+1,20,24,28,32,36,40),0)/100))/B849))))/Skills!H11+0.000000001),1)))/Inputs!$B$43),G818*Q818)))*N821)*IF(Inputs!$B$38="pvp",1,1+(Inputs!$B$20+0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Hunt"),CHOOSE(ArtifactsInput!$N$35+1,15,18,21,24,27,30)*(1-EXP(-(0.2*B840)*5)),0)+IF(AND(ArtifactsInput!$M$22,Inputs!$B$4&lt;&gt;"Chapter Hunt"),CHOOSE(ArtifactsInput!$N$22+1,10,12,14,16,18,20)*((0*(((0.15*B840*5))^0/1)+1*(((0.15*B840*5))^1/1)+2*(((0.15*B840*5))^2/2)+3*(((0.15*B840*5))^3/6)+4*(((0.15*B840*5))^4/24)+5*(((0.15*B840*5))^5/120))/((((0.15*B840*5))^0/1)+(((0.15*B840*5))^1/1)+(((0.15*B840*5))^2/2)+(((0.15*B840*5))^3/6)+(((0.15*B840*5))^4/24)+(((0.15*B840*5))^5/120))),0))+IF(Inputs!$B$3&gt;=54,9*(C810=TRUE)*MIN(1,8*(1+Inputs!$B$34/100)*Q810)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821*(1-MIN(100,(Inputs!$B$9+((C826=TRUE)*(F826-Calc!F19))+B838+(ArtifactsInput!$M$24-ArtifactsInput!$M$24)*CHOOSE(ArtifactsInput!$N$24+1,10,12,14,16,18,20)+(IF(AND(Inputs!$B$38&lt;&gt;"pvp",Inputs!$B$43=0),1,IF(IF(Inputs!$B$38="pvp",15,Inputs!$B$43)-(B845)&lt;=0,1,MAX(0,IF(Inputs!$B$38="pvp",15,Inputs!$B$43)-MAX(5,B845))/(IF(Inputs!$B$38="pvp",15,Inputs!$B$43)-(B845))))*IF(AND(ArtifactsInput!$M$42,((Inputs!$B$9+((C826=TRUE)*(F826-Calc!F19))+B838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821*(MIN(100,(Inputs!$B$9+((C826=TRUE)*(F826-Calc!F19))+B838+(ArtifactsInput!$M$24-ArtifactsInput!$M$24)*CHOOSE(ArtifactsInput!$N$24+1,10,12,14,16,18,20)+(IF(AND(Inputs!$B$38&lt;&gt;"pvp",Inputs!$B$43=0),1,IF(IF(Inputs!$B$38="pvp",15,Inputs!$B$43)-(B845)&lt;=0,1,MAX(0,IF(Inputs!$B$38="pvp",15,Inputs!$B$43)-MAX(5,B845))/(IF(Inputs!$B$38="pvp",15,Inputs!$B$43)-(B845))))*IF(AND(ArtifactsInput!$M$42,((Inputs!$B$9+((C826=TRUE)*(F826-Calc!F19))+B838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821*(1-MIN(100,(Inputs!$B$9+((C826=TRUE)*(F826-Calc!F19))+B838+(ArtifactsInput!$M$24-ArtifactsInput!$M$24)*CHOOSE(ArtifactsInput!$N$24+1,10,12,14,16,18,20)+(IF(AND(Inputs!$B$38&lt;&gt;"pvp",Inputs!$B$43=0),1,IF(IF(Inputs!$B$38="pvp",15,Inputs!$B$43)-(B845)&lt;=0,1,MAX(0,IF(Inputs!$B$38="pvp",15,Inputs!$B$43)-MAX(5,B845))/(IF(Inputs!$B$38="pvp",15,Inputs!$B$43)-(B845))))*IF(AND(ArtifactsInput!$M$42,((Inputs!$B$9+((C826=TRUE)*(F826-Calc!F19))+B838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821*(MIN(100,(Inputs!$B$9+((C826=TRUE)*(F826-Calc!F19))+B838+(ArtifactsInput!$M$24-ArtifactsInput!$M$24)*CHOOSE(ArtifactsInput!$N$24+1,10,12,14,16,18,20)+(IF(AND(Inputs!$B$38&lt;&gt;"pvp",Inputs!$B$43=0),1,IF(IF(Inputs!$B$38="pvp",15,Inputs!$B$43)-(B845)&lt;=0,1,MAX(0,IF(Inputs!$B$38="pvp",15,Inputs!$B$43)-MAX(5,B845))/(IF(Inputs!$B$38="pvp",15,Inputs!$B$43)-(B845))))*IF(AND(ArtifactsInput!$M$42,((Inputs!$B$9+((C826=TRUE)*(F826-Calc!F19))+B838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821">
        <f>IF(C821,((H821*(B842+IF(AND(Inputs!$B$38&lt;&gt;"pvp",Inputs!$B$43&gt;0),((Skills!G8*((R815-1)*IF(Skills!H8&gt;0,INT(Skills!I8/Skills!H8+0.000000001),1)+IF(Skills!H8&gt;0,INT(MIN(Skills!I8,MAX(0,MAX(0,Inputs!$B$43-B845)-((R815-1)*((IF(Inputs!$B$38="pvp",15,MAX(0.1,Skills!D8-IF(TRUE=TRUE,Inputs!$B$32,0)))*(1-IF(AND(ArtifactsInput!$M$27,Inputs!$B$4="Chapter Hunt"),CHOOSE(ArtifactsInput!$N$27+1,20,24,28,32,36,40),0)/100))/B849))))/Skills!H8+0.000000001),1)))/Inputs!$B$43),G815*Q815)+IF(AND(Inputs!$B$38&lt;&gt;"pvp",Inputs!$B$43&gt;0),((Skills!G11*((R818-1)*IF(Skills!H11&gt;0,INT(Skills!I11/Skills!H11+0.000000001),1)+IF(Skills!H11&gt;0,INT(MIN(Skills!I11,MAX(0,MAX(0,Inputs!$B$43-B845)-((R818-1)*((IF(Inputs!$B$38="pvp",15,MAX(0.1,Skills!D11-IF(TRUE=TRUE,Inputs!$B$32,0)))*(1-IF(AND(ArtifactsInput!$M$27,Inputs!$B$4="Chapter Hunt"),CHOOSE(ArtifactsInput!$N$27+1,20,24,28,32,36,40),0)/100))/B849))))/Skills!H11+0.000000001),1)))/Inputs!$B$43),G818*Q818)))/(1+Skills!H14*H821*(B842+IF(AND(Inputs!$B$38&lt;&gt;"pvp",Inputs!$B$43&gt;0),((Skills!G8*((R815-1)*IF(Skills!H8&gt;0,INT(Skills!I8/Skills!H8+0.000000001),1)+IF(Skills!H8&gt;0,INT(MIN(Skills!I8,MAX(0,MAX(0,Inputs!$B$43-B845)-((R815-1)*((IF(Inputs!$B$38="pvp",15,MAX(0.1,Skills!D8-IF(TRUE=TRUE,Inputs!$B$32,0)))*(1-IF(AND(ArtifactsInput!$M$27,Inputs!$B$4="Chapter Hunt"),CHOOSE(ArtifactsInput!$N$27+1,20,24,28,32,36,40),0)/100))/B849))))/Skills!H8+0.000000001),1)))/Inputs!$B$43),G815*Q815)+IF(AND(Inputs!$B$38&lt;&gt;"pvp",Inputs!$B$43&gt;0),((Skills!G11*((R818-1)*IF(Skills!H11&gt;0,INT(Skills!I11/Skills!H11+0.000000001),1)+IF(Skills!H11&gt;0,INT(MIN(Skills!I11,MAX(0,MAX(0,Inputs!$B$43-B845)-((R818-1)*((IF(Inputs!$B$38="pvp",15,MAX(0.1,Skills!D11-IF(TRUE=TRUE,Inputs!$B$32,0)))*(1-IF(AND(ArtifactsInput!$M$27,Inputs!$B$4="Chapter Hunt"),CHOOSE(ArtifactsInput!$N$27+1,20,24,28,32,36,40),0)/100))/B849))))/Skills!H11+0.000000001),1)))/Inputs!$B$43),G818*Q818)))*N821)*IF(Inputs!$B$38="pvp",1,(1+(Inputs!$B$21+Skills!Q14+(IF(ArtifactsInput!$M$33,CHOOSE(ArtifactsInput!$N$33+1,30,36,42,48,54,60),0))+(IF(AND(ArtifactsInput!$M$35,Inputs!$B$4&lt;&gt;"Chapter Hunt"),CHOOSE(ArtifactsInput!$N$35+1,15,18,21,24,27,30)*(1-EXP(-(0.2*B840)*5)),0)+IF(AND(ArtifactsInput!$M$22,Inputs!$B$4&lt;&gt;"Chapter Hunt"),CHOOSE(ArtifactsInput!$N$22+1,10,12,14,16,18,20)*((0*(((0.15*B840*5))^0/1)+1*(((0.15*B840*5))^1/1)+2*(((0.15*B840*5))^2/2)+3*(((0.15*B840*5))^3/6)+4*(((0.15*B840*5))^4/24)+5*(((0.15*B840*5))^5/120))/((((0.15*B840*5))^0/1)+(((0.15*B840*5))^1/1)+(((0.15*B840*5))^2/2)+(((0.15*B840*5))^3/6)+(((0.15*B840*5))^4/24)+(((0.15*B840*5))^5/120))),0))+IF(Inputs!$B$3&gt;=54,9*(C810=TRUE)*MIN(1,8*(1+Inputs!$B$34/100)*Q810),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22">
      <c r="A822">
        <f>Skills!A15</f>
        <v/>
      </c>
      <c r="B822">
        <f>Skills!B15</f>
        <v/>
      </c>
      <c r="C822">
        <f>Inputs!$B$3&gt;=100</f>
        <v/>
      </c>
      <c r="D822">
        <f>IF(Skills!C15=1,60+(Inputs!$B$25+1)+Inputs!$B$29,IF(Skills!C15=2,90+Inputs!$B$26+Inputs!$B$29,IF(Skills!C15=3,120+Inputs!$B$27+Inputs!$B$29,MAX(0,(Inputs!$B$3-100)*3)+Inputs!$B$28+Inputs!$B$29)))</f>
        <v/>
      </c>
      <c r="E822">
        <f>INDEX(FactorTable!$B$2:$Y$301, MATCH(ROUND(MIN(300,MAX(1,D822)),0), FactorTable!$A$2:$A$301,0), Skills!M15+1)</f>
        <v/>
      </c>
      <c r="F822">
        <f>IF(Skills!N15=TRUE,(Skills!L15/10)*(E822/1000),Skills!L15/10)+Skills!O15</f>
        <v/>
      </c>
      <c r="G822" t="inlineStr"/>
      <c r="H822" t="inlineStr"/>
      <c r="I822" t="inlineStr">
        <is>
          <t>1</t>
        </is>
      </c>
      <c r="J822" t="inlineStr"/>
      <c r="K822" t="inlineStr"/>
      <c r="L822" t="inlineStr"/>
      <c r="M822" t="inlineStr"/>
      <c r="N822" t="inlineStr"/>
      <c r="O822" t="inlineStr"/>
      <c r="P822" t="inlineStr"/>
      <c r="Q822" t="inlineStr"/>
      <c r="R822" t="inlineStr"/>
      <c r="S822" t="inlineStr"/>
    </row>
    <row r="823">
      <c r="A823">
        <f>Skills!A16</f>
        <v/>
      </c>
      <c r="B823">
        <f>Skills!B16</f>
        <v/>
      </c>
      <c r="C823">
        <f>Inputs!$B$3&gt;=107</f>
        <v/>
      </c>
      <c r="D823">
        <f>IF(Skills!C16=1,60+(Inputs!$B$25+1)+Inputs!$B$29,IF(Skills!C16=2,90+Inputs!$B$26+Inputs!$B$29,IF(Skills!C16=3,120+Inputs!$B$27+Inputs!$B$29,MAX(0,(Inputs!$B$3-100)*3)+Inputs!$B$28+Inputs!$B$29)))</f>
        <v/>
      </c>
      <c r="E823">
        <f>INDEX(FactorTable!$B$2:$Y$301, MATCH(ROUND(MIN(300,MAX(1,D823)),0), FactorTable!$A$2:$A$301,0), Skills!M16+1)</f>
        <v/>
      </c>
      <c r="F823">
        <f>IF(Skills!N16=TRUE,(Skills!L16/10)*(E823/1000),Skills!L16/10)+Skills!O16</f>
        <v/>
      </c>
      <c r="G823" t="inlineStr"/>
      <c r="H823" t="inlineStr"/>
      <c r="I823" t="inlineStr">
        <is>
          <t>1</t>
        </is>
      </c>
      <c r="J823" t="inlineStr"/>
      <c r="K823" t="inlineStr"/>
      <c r="L823" t="inlineStr"/>
      <c r="M823" t="inlineStr"/>
      <c r="N823" t="inlineStr"/>
      <c r="O823" t="inlineStr"/>
      <c r="P823" t="inlineStr"/>
      <c r="Q823" t="inlineStr"/>
      <c r="R823" t="inlineStr"/>
      <c r="S823" t="inlineStr"/>
    </row>
    <row r="824">
      <c r="A824">
        <f>Skills!A17</f>
        <v/>
      </c>
      <c r="B824">
        <f>Skills!B17</f>
        <v/>
      </c>
      <c r="C824">
        <f>Inputs!$B$3&gt;=74</f>
        <v/>
      </c>
      <c r="D824">
        <f>IF(Skills!C17=1,60+(Inputs!$B$25+1)+Inputs!$B$29,IF(Skills!C17=2,90+Inputs!$B$26+Inputs!$B$29,IF(Skills!C17=3,120+Inputs!$B$27+Inputs!$B$29,MAX(0,(Inputs!$B$3-100)*3)+Inputs!$B$28+Inputs!$B$29)))</f>
        <v/>
      </c>
      <c r="E824">
        <f>INDEX(FactorTable!$B$2:$Y$301, MATCH(ROUND(MIN(300,MAX(1,D824)),0), FactorTable!$A$2:$A$301,0), Skills!M17+1)</f>
        <v/>
      </c>
      <c r="F824">
        <f>IF(Skills!N17=TRUE,(Skills!L17/10)*(E824/1000),Skills!L17/10)+Skills!O17</f>
        <v/>
      </c>
      <c r="G824">
        <f>Skills!G17*IF(Skills!H17&gt;0,INT(IF(Inputs!$B$38="pvp",MIN(Skills!I17,15),Skills!I17)/Skills!H17+0.000000001),1)</f>
        <v/>
      </c>
      <c r="H824">
        <f>1-(1-Skills!J17/100)^Skills!K17</f>
        <v/>
      </c>
      <c r="I824" t="inlineStr">
        <is>
          <t>1</t>
        </is>
      </c>
      <c r="J824" t="inlineStr"/>
      <c r="K824" t="inlineStr"/>
      <c r="L824" t="inlineStr"/>
      <c r="M824" t="inlineStr"/>
      <c r="N824" t="inlineStr"/>
      <c r="O824">
        <f>(1-Summary!$B$11)*T824+Summary!$B$11*V824</f>
        <v/>
      </c>
      <c r="P824">
        <f>IF(B848=0,0,O824/B848)</f>
        <v/>
      </c>
      <c r="Q824" t="n">
        <v>0</v>
      </c>
      <c r="R824" t="n">
        <v>0</v>
      </c>
      <c r="S824">
        <f>IFERROR(O824/N824,0)</f>
        <v/>
      </c>
      <c r="T824" t="n">
        <v>0</v>
      </c>
      <c r="V824" t="n">
        <v>0</v>
      </c>
    </row>
    <row r="825">
      <c r="A825">
        <f>Skills!A18</f>
        <v/>
      </c>
      <c r="B825">
        <f>Skills!B18</f>
        <v/>
      </c>
      <c r="C825">
        <f>Inputs!$B$3&gt;=115</f>
        <v/>
      </c>
      <c r="D825">
        <f>IF(Skills!C18=1,60+(Inputs!$B$25+1)+Inputs!$B$29,IF(Skills!C18=2,90+Inputs!$B$26+Inputs!$B$29,IF(Skills!C18=3,120+Inputs!$B$27+Inputs!$B$29,MAX(0,(Inputs!$B$3-100)*3)+Inputs!$B$28+Inputs!$B$29)))</f>
        <v/>
      </c>
      <c r="E825">
        <f>INDEX(FactorTable!$B$2:$Y$301, MATCH(ROUND(MIN(300,MAX(1,D825)),0), FactorTable!$A$2:$A$301,0), Skills!M18+1)</f>
        <v/>
      </c>
      <c r="F825">
        <f>IF(Skills!N18=TRUE,(Skills!L18/10)*(E825/1000),Skills!L18/10)+Skills!O18</f>
        <v/>
      </c>
      <c r="G825">
        <f>Skills!G18*IF(Skills!H18&gt;0,INT(IF(Inputs!$B$38="pvp",MIN(Skills!I18,15),Skills!I18)/Skills!H18+0.000000001),1)</f>
        <v/>
      </c>
      <c r="H825">
        <f>1-(1-Skills!J18/100)^Skills!K18</f>
        <v/>
      </c>
      <c r="I825" t="inlineStr">
        <is>
          <t>1</t>
        </is>
      </c>
      <c r="J825" t="inlineStr"/>
      <c r="K825" t="inlineStr"/>
      <c r="L825" t="inlineStr"/>
      <c r="M825" t="inlineStr"/>
      <c r="N825" t="inlineStr"/>
      <c r="O825">
        <f>(1-Summary!$B$11)*T825+Summary!$B$11*V825</f>
        <v/>
      </c>
      <c r="P825">
        <f>IF(B848=0,0,O825/B848)</f>
        <v/>
      </c>
      <c r="Q825">
        <f>IFERROR(1/(IF(Inputs!$B$38="pvp",15,MAX(0.1,Skills!D18-IF(TRUE=TRUE,Inputs!$B$32,0)))*(1-IF(AND(ArtifactsInput!$M$27,Inputs!$B$4="Chapter Hunt"),CHOOSE(ArtifactsInput!$N$27+1,20,24,28,32,36,40),0)/100)),0)</f>
        <v/>
      </c>
      <c r="R825">
        <f>IF(AND(Inputs!$B$38&lt;&gt;"pvp",Inputs!$B$43&gt;0),IF(Inputs!$B$43&lt;=0,0,(INT(Inputs!$B$43/(IF(Inputs!$B$38="pvp",15,MAX(0.1,Skills!D18-IF(TRUE=TRUE,Inputs!$B$32,0)))*(1-IF(AND(ArtifactsInput!$M$27,Inputs!$B$4="Chapter Hunt"),CHOOSE(ArtifactsInput!$N$27+1,20,24,28,32,36,40),0)/100)))+1)),0)</f>
        <v/>
      </c>
      <c r="S825">
        <f>IFERROR(O825/N825,0)</f>
        <v/>
      </c>
      <c r="T825" t="n">
        <v>0</v>
      </c>
      <c r="V825" t="n">
        <v>0</v>
      </c>
    </row>
    <row r="826">
      <c r="A826">
        <f>Skills!A19</f>
        <v/>
      </c>
      <c r="B826">
        <f>Skills!B19</f>
        <v/>
      </c>
      <c r="C826">
        <f>Inputs!$B$3&gt;=10</f>
        <v/>
      </c>
      <c r="D826">
        <f>IF(Skills!C19=1,60+(Inputs!$B$25+1)+Inputs!$B$29,IF(Skills!C19=2,90+Inputs!$B$26+Inputs!$B$29,IF(Skills!C19=3,120+Inputs!$B$27+Inputs!$B$29,MAX(0,(Inputs!$B$3-100)*3)+Inputs!$B$28+Inputs!$B$29)))</f>
        <v/>
      </c>
      <c r="E826">
        <f>INDEX(FactorTable!$B$2:$Y$301, MATCH(ROUND(MIN(300,MAX(1,D826)),0), FactorTable!$A$2:$A$301,0), Skills!M19+1)</f>
        <v/>
      </c>
      <c r="F826">
        <f>IF(Skills!N19=TRUE,(Skills!L19/10)*(E826/1000),Skills!L19/10)+Skills!O19</f>
        <v/>
      </c>
      <c r="G826">
        <f>Skills!G19*IF(Skills!H19&gt;0,INT(IF(Inputs!$B$38="pvp",MIN(Skills!I19,15),Skills!I19)/Skills!H19+0.000000001),1)</f>
        <v/>
      </c>
      <c r="H826">
        <f>1-(1-Skills!J19/100)^Skills!K19</f>
        <v/>
      </c>
      <c r="I826" t="inlineStr">
        <is>
          <t>1</t>
        </is>
      </c>
      <c r="J826" t="inlineStr"/>
      <c r="K826" t="inlineStr"/>
      <c r="L826" t="inlineStr"/>
      <c r="M826" t="inlineStr"/>
      <c r="N826" t="inlineStr"/>
      <c r="O826">
        <f>(1-Summary!$B$11)*T826+Summary!$B$11*V826</f>
        <v/>
      </c>
      <c r="P826">
        <f>IF(B848=0,0,O826/B848)</f>
        <v/>
      </c>
      <c r="Q826" t="n">
        <v>0</v>
      </c>
      <c r="R826" t="n">
        <v>0</v>
      </c>
      <c r="S826">
        <f>IFERROR(O826/N826,0)</f>
        <v/>
      </c>
      <c r="T826" t="n">
        <v>0</v>
      </c>
      <c r="V826" t="n">
        <v>0</v>
      </c>
    </row>
    <row r="827">
      <c r="A827">
        <f>Skills!A20</f>
        <v/>
      </c>
      <c r="B827">
        <f>Skills!B20</f>
        <v/>
      </c>
      <c r="C827">
        <f>Inputs!$B$3&gt;=15</f>
        <v/>
      </c>
      <c r="D827">
        <f>IF(Skills!C20=1,60+(Inputs!$B$25+1)+Inputs!$B$29,IF(Skills!C20=2,90+Inputs!$B$26+Inputs!$B$29,IF(Skills!C20=3,120+Inputs!$B$27+Inputs!$B$29,MAX(0,(Inputs!$B$3-100)*3)+Inputs!$B$28+Inputs!$B$29)))</f>
        <v/>
      </c>
      <c r="E827">
        <f>INDEX(FactorTable!$B$2:$Y$301, MATCH(ROUND(MIN(300,MAX(1,D827)),0), FactorTable!$A$2:$A$301,0), Skills!M20+1)</f>
        <v/>
      </c>
      <c r="F827">
        <f>IF(Skills!N20=TRUE,(Skills!L20/10)*(E827/1000),Skills!L20/10)+Skills!O20</f>
        <v/>
      </c>
      <c r="G827">
        <f>Skills!G20*IF(Skills!H20&gt;0,INT(IF(Inputs!$B$38="pvp",MIN(Skills!I20,15),Skills!I20)/Skills!H20+0.000000001),1)</f>
        <v/>
      </c>
      <c r="H827">
        <f>1-(1-Skills!J20/100)^Skills!K20</f>
        <v/>
      </c>
      <c r="I827" t="inlineStr">
        <is>
          <t>1</t>
        </is>
      </c>
      <c r="J827" t="inlineStr"/>
      <c r="K827" t="inlineStr"/>
      <c r="L827" t="inlineStr"/>
      <c r="M827" t="inlineStr"/>
      <c r="N827" t="inlineStr"/>
      <c r="O827">
        <f>(1-Summary!$B$11)*T827+Summary!$B$11*V827</f>
        <v/>
      </c>
      <c r="P827">
        <f>IF(B848=0,0,O827/B848)</f>
        <v/>
      </c>
      <c r="Q827" t="n">
        <v>0</v>
      </c>
      <c r="R827" t="n">
        <v>0</v>
      </c>
      <c r="S827">
        <f>IFERROR(O827/N827,0)</f>
        <v/>
      </c>
      <c r="T827" t="n">
        <v>0</v>
      </c>
      <c r="V827" t="n">
        <v>0</v>
      </c>
    </row>
    <row r="828">
      <c r="A828">
        <f>Skills!A21</f>
        <v/>
      </c>
      <c r="B828">
        <f>Skills!B21</f>
        <v/>
      </c>
      <c r="C828">
        <f>Inputs!$B$3&gt;=40</f>
        <v/>
      </c>
      <c r="D828">
        <f>IF(Skills!C21=1,60+(Inputs!$B$25+1)+Inputs!$B$29,IF(Skills!C21=2,90+Inputs!$B$26+Inputs!$B$29,IF(Skills!C21=3,120+Inputs!$B$27+Inputs!$B$29,MAX(0,(Inputs!$B$3-100)*3)+Inputs!$B$28+Inputs!$B$29)))</f>
        <v/>
      </c>
      <c r="E828">
        <f>INDEX(FactorTable!$B$2:$Y$301, MATCH(ROUND(MIN(300,MAX(1,D828)),0), FactorTable!$A$2:$A$301,0), Skills!M21+1)</f>
        <v/>
      </c>
      <c r="F828">
        <f>IF(Skills!N21=TRUE,(Skills!L21/10)*(E828/1000),Skills!L21/10)+Skills!O21</f>
        <v/>
      </c>
      <c r="G828">
        <f>Skills!G21*IF(Skills!H21&gt;0,INT(IF(Inputs!$B$38="pvp",MIN(Skills!I21,15),Skills!I21)/Skills!H21+0.000000001),1)</f>
        <v/>
      </c>
      <c r="H828">
        <f>1-(1-Skills!J21/100)^Skills!K21</f>
        <v/>
      </c>
      <c r="I828" t="inlineStr">
        <is>
          <t>1</t>
        </is>
      </c>
      <c r="J828" t="inlineStr"/>
      <c r="K828" t="inlineStr"/>
      <c r="L828" t="inlineStr"/>
      <c r="M828" t="inlineStr"/>
      <c r="N828" t="inlineStr"/>
      <c r="O828">
        <f>(1-Summary!$B$11)*T828+Summary!$B$11*V828</f>
        <v/>
      </c>
      <c r="P828">
        <f>IF(B848=0,0,O828/B848)</f>
        <v/>
      </c>
      <c r="Q828" t="n">
        <v>0</v>
      </c>
      <c r="R828" t="n">
        <v>0</v>
      </c>
      <c r="S828">
        <f>IFERROR(O828/N828,0)</f>
        <v/>
      </c>
      <c r="T828" t="n">
        <v>0</v>
      </c>
      <c r="V828" t="n">
        <v>0</v>
      </c>
    </row>
    <row r="829">
      <c r="A829">
        <f>Skills!A22</f>
        <v/>
      </c>
      <c r="B829">
        <f>Skills!B22</f>
        <v/>
      </c>
      <c r="C829">
        <f>Inputs!$B$3&gt;=43</f>
        <v/>
      </c>
      <c r="D829">
        <f>IF(Skills!C22=1,60+(Inputs!$B$25+1)+Inputs!$B$29,IF(Skills!C22=2,90+Inputs!$B$26+Inputs!$B$29,IF(Skills!C22=3,120+Inputs!$B$27+Inputs!$B$29,MAX(0,(Inputs!$B$3-100)*3)+Inputs!$B$28+Inputs!$B$29)))</f>
        <v/>
      </c>
      <c r="E829">
        <f>INDEX(FactorTable!$B$2:$Y$301, MATCH(ROUND(MIN(300,MAX(1,D829)),0), FactorTable!$A$2:$A$301,0), Skills!M22+1)</f>
        <v/>
      </c>
      <c r="F829">
        <f>IF(Skills!N22=TRUE,(Skills!L22/10)*(E829/1000),Skills!L22/10)+Skills!O22</f>
        <v/>
      </c>
      <c r="G829">
        <f>Skills!G22*IF(Skills!H22&gt;0,INT(IF(Inputs!$B$38="pvp",MIN(Skills!I22,15),Skills!I22)/Skills!H22+0.000000001),1)</f>
        <v/>
      </c>
      <c r="H829">
        <f>1-(1-Skills!J22/100)^Skills!K22</f>
        <v/>
      </c>
      <c r="I829" t="inlineStr">
        <is>
          <t>1</t>
        </is>
      </c>
      <c r="J829" t="inlineStr"/>
      <c r="K829" t="inlineStr"/>
      <c r="L829" t="inlineStr"/>
      <c r="M829" t="inlineStr"/>
      <c r="N829" t="inlineStr"/>
      <c r="O829">
        <f>(1-Summary!$B$11)*T829+Summary!$B$11*V829</f>
        <v/>
      </c>
      <c r="P829">
        <f>IF(B848=0,0,O829/B848)</f>
        <v/>
      </c>
      <c r="Q829" t="n">
        <v>0</v>
      </c>
      <c r="R829" t="n">
        <v>0</v>
      </c>
      <c r="S829">
        <f>IFERROR(O829/N829,0)</f>
        <v/>
      </c>
      <c r="T829" t="n">
        <v>0</v>
      </c>
      <c r="V829" t="n">
        <v>0</v>
      </c>
    </row>
    <row r="830">
      <c r="A830">
        <f>Skills!A23</f>
        <v/>
      </c>
      <c r="B830">
        <f>Skills!B23</f>
        <v/>
      </c>
      <c r="C830">
        <f>Inputs!$B$3&gt;=38</f>
        <v/>
      </c>
      <c r="D830">
        <f>IF(Skills!C23=1,60+(Inputs!$B$25+1)+Inputs!$B$29,IF(Skills!C23=2,90+Inputs!$B$26+Inputs!$B$29,IF(Skills!C23=3,120+Inputs!$B$27+Inputs!$B$29,MAX(0,(Inputs!$B$3-100)*3)+Inputs!$B$28+Inputs!$B$29)))</f>
        <v/>
      </c>
      <c r="E830">
        <f>INDEX(FactorTable!$B$2:$Y$301, MATCH(ROUND(MIN(300,MAX(1,D830)),0), FactorTable!$A$2:$A$301,0), Skills!M23+1)</f>
        <v/>
      </c>
      <c r="F830">
        <f>IF(Skills!N23=TRUE,(Skills!L23/10)*(E830/1000),Skills!L23/10)+Skills!O23</f>
        <v/>
      </c>
      <c r="G830">
        <f>Skills!G23*IF(Skills!H23&gt;0,INT(IF(Inputs!$B$38="pvp",MIN(Skills!I23,15),Skills!I23)/Skills!H23+0.000000001),1)</f>
        <v/>
      </c>
      <c r="H830">
        <f>1-(1-Skills!J23/100)^Skills!K23</f>
        <v/>
      </c>
      <c r="I830" t="inlineStr">
        <is>
          <t>1</t>
        </is>
      </c>
      <c r="J830" t="inlineStr"/>
      <c r="K830" t="inlineStr"/>
      <c r="L830" t="inlineStr"/>
      <c r="M830" t="inlineStr"/>
      <c r="N830" t="inlineStr"/>
      <c r="O830">
        <f>(1-Summary!$B$11)*T830+Summary!$B$11*V830</f>
        <v/>
      </c>
      <c r="P830">
        <f>IF(B848=0,0,O830/B848)</f>
        <v/>
      </c>
      <c r="Q830" t="n">
        <v>0</v>
      </c>
      <c r="R830" t="n">
        <v>0</v>
      </c>
      <c r="S830">
        <f>IFERROR(O830/N830,0)</f>
        <v/>
      </c>
      <c r="T830" t="n">
        <v>0</v>
      </c>
      <c r="V830" t="n">
        <v>0</v>
      </c>
    </row>
    <row r="831">
      <c r="A831">
        <f>Skills!A24</f>
        <v/>
      </c>
      <c r="B831">
        <f>Skills!B24</f>
        <v/>
      </c>
      <c r="C831">
        <f>Inputs!$B$3&gt;=45</f>
        <v/>
      </c>
      <c r="D831">
        <f>IF(Skills!C24=1,60+(Inputs!$B$25+1)+Inputs!$B$29,IF(Skills!C24=2,90+Inputs!$B$26+Inputs!$B$29,IF(Skills!C24=3,120+Inputs!$B$27+Inputs!$B$29,MAX(0,(Inputs!$B$3-100)*3)+Inputs!$B$28+Inputs!$B$29)))</f>
        <v/>
      </c>
      <c r="E831">
        <f>INDEX(FactorTable!$B$2:$Y$301, MATCH(ROUND(MIN(300,MAX(1,D831)),0), FactorTable!$A$2:$A$301,0), Skills!M24+1)</f>
        <v/>
      </c>
      <c r="F831">
        <f>IF(Skills!N24=TRUE,(Skills!L24/10)*(E831/1000),Skills!L24/10)+Skills!O24</f>
        <v/>
      </c>
      <c r="G831">
        <f>Skills!G24*IF(Skills!H24&gt;0,INT(IF(Inputs!$B$38="pvp",MIN(Skills!I24,15),Skills!I24)/Skills!H24+0.000000001),1)</f>
        <v/>
      </c>
      <c r="H831">
        <f>1-(1-Skills!J24/100)^Skills!K24</f>
        <v/>
      </c>
      <c r="I831" t="inlineStr">
        <is>
          <t>1</t>
        </is>
      </c>
      <c r="J831" t="inlineStr"/>
      <c r="K831" t="inlineStr"/>
      <c r="L831" t="inlineStr"/>
      <c r="M831" t="inlineStr"/>
      <c r="N831" t="inlineStr"/>
      <c r="O831">
        <f>(1-Summary!$B$11)*T831+Summary!$B$11*V831</f>
        <v/>
      </c>
      <c r="P831">
        <f>IF(B848=0,0,O831/B848)</f>
        <v/>
      </c>
      <c r="Q831" t="n">
        <v>0</v>
      </c>
      <c r="R831" t="n">
        <v>0</v>
      </c>
      <c r="S831">
        <f>IFERROR(O831/N831,0)</f>
        <v/>
      </c>
      <c r="T831" t="n">
        <v>0</v>
      </c>
      <c r="V831" t="n">
        <v>0</v>
      </c>
    </row>
    <row r="832">
      <c r="A832">
        <f>Skills!A25</f>
        <v/>
      </c>
      <c r="B832">
        <f>Skills!B25</f>
        <v/>
      </c>
      <c r="C832">
        <f>Inputs!$B$3&gt;=72</f>
        <v/>
      </c>
      <c r="D832">
        <f>IF(Skills!C25=1,60+(Inputs!$B$25+1)+Inputs!$B$29,IF(Skills!C25=2,90+Inputs!$B$26+Inputs!$B$29,IF(Skills!C25=3,120+Inputs!$B$27+Inputs!$B$29,MAX(0,(Inputs!$B$3-100)*3)+Inputs!$B$28+Inputs!$B$29)))</f>
        <v/>
      </c>
      <c r="E832">
        <f>INDEX(FactorTable!$B$2:$Y$301, MATCH(ROUND(MIN(300,MAX(1,D832)),0), FactorTable!$A$2:$A$301,0), Skills!M25+1)</f>
        <v/>
      </c>
      <c r="F832">
        <f>IF(Skills!N25=TRUE,(Skills!L25/10)*(E832/1000),Skills!L25/10)+Skills!O25</f>
        <v/>
      </c>
      <c r="G832">
        <f>Skills!G25*IF(Skills!H25&gt;0,INT(IF(Inputs!$B$38="pvp",MIN(Skills!I25,15),Skills!I25)/Skills!H25+0.000000001),1)</f>
        <v/>
      </c>
      <c r="H832">
        <f>1-(1-Skills!J25/100)^Skills!K25</f>
        <v/>
      </c>
      <c r="I832" t="inlineStr">
        <is>
          <t>1</t>
        </is>
      </c>
      <c r="J832" t="inlineStr"/>
      <c r="K832" t="inlineStr"/>
      <c r="L832" t="inlineStr"/>
      <c r="M832" t="inlineStr"/>
      <c r="N832" t="inlineStr"/>
      <c r="O832">
        <f>(1-Summary!$B$11)*T832+Summary!$B$11*V832</f>
        <v/>
      </c>
      <c r="P832">
        <f>IF(B848=0,0,O832/B848)</f>
        <v/>
      </c>
      <c r="Q832" t="n">
        <v>0</v>
      </c>
      <c r="R832" t="n">
        <v>0</v>
      </c>
      <c r="S832">
        <f>IFERROR(O832/N832,0)</f>
        <v/>
      </c>
      <c r="T832" t="n">
        <v>0</v>
      </c>
      <c r="V832" t="n">
        <v>0</v>
      </c>
    </row>
    <row r="833">
      <c r="A833">
        <f>Skills!A26</f>
        <v/>
      </c>
      <c r="B833">
        <f>Skills!B26</f>
        <v/>
      </c>
      <c r="C833">
        <f>Inputs!$B$3&gt;=75</f>
        <v/>
      </c>
      <c r="D833">
        <f>IF(Skills!C26=1,60+(Inputs!$B$25+1)+Inputs!$B$29,IF(Skills!C26=2,90+Inputs!$B$26+Inputs!$B$29,IF(Skills!C26=3,120+Inputs!$B$27+Inputs!$B$29,MAX(0,(Inputs!$B$3-100)*3)+Inputs!$B$28+Inputs!$B$29)))</f>
        <v/>
      </c>
      <c r="E833">
        <f>INDEX(FactorTable!$B$2:$Y$301, MATCH(ROUND(MIN(300,MAX(1,D833)),0), FactorTable!$A$2:$A$301,0), Skills!M26+1)</f>
        <v/>
      </c>
      <c r="F833">
        <f>IF(Skills!N26=TRUE,(Skills!L26/10)*(E833/1000),Skills!L26/10)+Skills!O26</f>
        <v/>
      </c>
      <c r="G833">
        <f>Skills!G26*IF(Skills!H26&gt;0,INT(IF(Inputs!$B$38="pvp",MIN(Skills!I26,15),Skills!I26)/Skills!H26+0.000000001),1)</f>
        <v/>
      </c>
      <c r="H833">
        <f>1-(1-Skills!J26/100)^Skills!K26</f>
        <v/>
      </c>
      <c r="I833" t="inlineStr">
        <is>
          <t>1</t>
        </is>
      </c>
      <c r="J833" t="inlineStr"/>
      <c r="K833" t="inlineStr"/>
      <c r="L833" t="inlineStr"/>
      <c r="M833" t="inlineStr"/>
      <c r="N833" t="inlineStr"/>
      <c r="O833">
        <f>(1-Summary!$B$11)*T833+Summary!$B$11*V833</f>
        <v/>
      </c>
      <c r="P833">
        <f>IF(B848=0,0,O833/B848)</f>
        <v/>
      </c>
      <c r="Q833" t="n">
        <v>0</v>
      </c>
      <c r="R833" t="n">
        <v>0</v>
      </c>
      <c r="S833">
        <f>IFERROR(O833/N833,0)</f>
        <v/>
      </c>
      <c r="T833" t="n">
        <v>0</v>
      </c>
      <c r="V833" t="n">
        <v>0</v>
      </c>
    </row>
    <row r="834">
      <c r="A834">
        <f>Skills!A27</f>
        <v/>
      </c>
      <c r="B834">
        <f>Skills!B27</f>
        <v/>
      </c>
      <c r="C834">
        <f>Inputs!$B$3&gt;=125</f>
        <v/>
      </c>
      <c r="D834">
        <f>IF(Skills!C27=1,60+(Inputs!$B$25+1)+Inputs!$B$29,IF(Skills!C27=2,90+Inputs!$B$26+Inputs!$B$29,IF(Skills!C27=3,120+Inputs!$B$27+Inputs!$B$29,MAX(0,(Inputs!$B$3-100)*3)+Inputs!$B$28+Inputs!$B$29)))</f>
        <v/>
      </c>
      <c r="E834">
        <f>INDEX(FactorTable!$B$2:$Y$301, MATCH(ROUND(MIN(300,MAX(1,D834)),0), FactorTable!$A$2:$A$301,0), Skills!M27+1)</f>
        <v/>
      </c>
      <c r="F834">
        <f>IF(Skills!N27=TRUE,(Skills!L27/10)*(E834/1000),Skills!L27/10)+Skills!O27</f>
        <v/>
      </c>
      <c r="G834">
        <f>Skills!G27*IF(Skills!H27&gt;0,INT(IF(Inputs!$B$38="pvp",MIN(Skills!I27,15),Skills!I27)/Skills!H27+0.000000001),1)</f>
        <v/>
      </c>
      <c r="H834">
        <f>1-(1-Skills!J27/100)^Skills!K27</f>
        <v/>
      </c>
      <c r="I834" t="inlineStr">
        <is>
          <t>1</t>
        </is>
      </c>
      <c r="J834" t="inlineStr"/>
      <c r="K834" t="inlineStr"/>
      <c r="L834" t="inlineStr"/>
      <c r="M834" t="inlineStr"/>
      <c r="N834" t="inlineStr"/>
      <c r="O834">
        <f>(1-Summary!$B$11)*T834+Summary!$B$11*V834</f>
        <v/>
      </c>
      <c r="P834">
        <f>IF(B848=0,0,O834/B848)</f>
        <v/>
      </c>
      <c r="Q834" t="n">
        <v>0</v>
      </c>
      <c r="R834" t="n">
        <v>0</v>
      </c>
      <c r="S834">
        <f>IFERROR(O834/N834,0)</f>
        <v/>
      </c>
      <c r="T834" t="n">
        <v>0</v>
      </c>
      <c r="V834" t="n">
        <v>0</v>
      </c>
    </row>
    <row r="835">
      <c r="A835">
        <f>Skills!A28</f>
        <v/>
      </c>
      <c r="B835">
        <f>Skills!B28</f>
        <v/>
      </c>
      <c r="C835">
        <f>TRUE</f>
        <v/>
      </c>
      <c r="D835">
        <f>IF(Skills!C28=1,60+(Inputs!$B$25+1)+Inputs!$B$29,IF(Skills!C28=2,90+Inputs!$B$26+Inputs!$B$29,IF(Skills!C28=3,120+Inputs!$B$27+Inputs!$B$29,MAX(0,(Inputs!$B$3-100)*3)+Inputs!$B$28+Inputs!$B$29)))</f>
        <v/>
      </c>
      <c r="E835">
        <f>INDEX(FactorTable!$B$2:$Y$301, MATCH(ROUND(MIN(300,MAX(1,D835)),0), FactorTable!$A$2:$A$301,0), Skills!M28+1)</f>
        <v/>
      </c>
      <c r="F835">
        <f>IF(Skills!N28=TRUE,(Skills!L28/10)*(E835/1000),Skills!L28/10)+Skills!O28</f>
        <v/>
      </c>
      <c r="G835">
        <f>Skills!G28*IF(Skills!H28&gt;0,INT(IF(Inputs!$B$38="pvp",MIN(Skills!I28,15),Skills!I28)/Skills!H28+0.000000001),1)</f>
        <v/>
      </c>
      <c r="H835">
        <f>1-(1-Skills!J28/100)^Skills!K28</f>
        <v/>
      </c>
      <c r="I835" t="inlineStr">
        <is>
          <t>1</t>
        </is>
      </c>
      <c r="J835" t="inlineStr"/>
      <c r="K835" t="inlineStr"/>
      <c r="L835" t="inlineStr"/>
      <c r="M835" t="inlineStr"/>
      <c r="N835" t="inlineStr"/>
      <c r="O835">
        <f>(1-Summary!$B$11)*T835+Summary!$B$11*V835</f>
        <v/>
      </c>
      <c r="P835">
        <f>IF(B848=0,0,O835/B848)</f>
        <v/>
      </c>
      <c r="Q835">
        <f>IFERROR(1/(IF(Inputs!$B$38="pvp",15,MAX(0.1,Skills!D28-IF(TRUE=TRUE,Inputs!$B$32,0)))*(1-IF(AND(ArtifactsInput!$M$27,Inputs!$B$4="Chapter Hunt"),CHOOSE(ArtifactsInput!$N$27+1,20,24,28,32,36,40),0)/100)),0)</f>
        <v/>
      </c>
      <c r="R835">
        <f>IF(AND(Inputs!$B$38&lt;&gt;"pvp",Inputs!$B$43&gt;0),IF(Inputs!$B$43&lt;=0,0,(INT(Inputs!$B$43/(IF(Inputs!$B$38="pvp",15,MAX(0.1,Skills!D28-IF(TRUE=TRUE,Inputs!$B$32,0)))*(1-IF(AND(ArtifactsInput!$M$27,Inputs!$B$4="Chapter Hunt"),CHOOSE(ArtifactsInput!$N$27+1,20,24,28,32,36,40),0)/100)))+1)),0)</f>
        <v/>
      </c>
      <c r="S835">
        <f>IFERROR(O835/N835,0)</f>
        <v/>
      </c>
      <c r="T835" t="n">
        <v>0</v>
      </c>
      <c r="V835" t="n">
        <v>0</v>
      </c>
    </row>
    <row r="837">
      <c r="A837" t="inlineStr">
        <is>
          <t>Attack% Bucket Multiplier</t>
        </is>
      </c>
      <c r="B837">
        <f>(1+(((C824=TRUE)*F824*5/7)+((C831=TRUE)*(F831-Calc!F24))+(IF(ArtifactsInput!$M$21,CHOOSE(ArtifactsInput!$N$21+1,25,30,35,40,45,50)*(IF(OR(Inputs!$B$4="Chapter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838">
      <c r="A838" t="inlineStr">
        <is>
          <t>Global Crit Rate Bonus %</t>
        </is>
      </c>
      <c r="B838" t="n">
        <v>0</v>
      </c>
    </row>
    <row r="839">
      <c r="A839" t="inlineStr">
        <is>
          <t>Attack Speed Buff Bonus % (Nimble Feet, duty-cycle averaged)</t>
        </is>
      </c>
      <c r="B839">
        <f>((C835=TRUE)*F835*IF(AND(Inputs!$B$38&lt;&gt;"pvp",Inputs!$B$43&gt;0),(((R835-1)*MIN((Skills!T28*(1+Inputs!$B$34/100)),(1/Q835))+MIN((Skills!T28*(1+Inputs!$B$34/100)),MAX(0,Inputs!$B$43-((R835-1)*(1/Q835)))))/Inputs!$B$43),IF(Inputs!$B$38="pvp",MIN((Skills!T28*(1+Inputs!$B$34/100)),15)/15,MIN(1,(Skills!T28*(1+Inputs!$B$34/100))/(1/Q835)))))</f>
        <v/>
      </c>
    </row>
    <row r="840">
      <c r="A840" t="inlineStr">
        <is>
          <t>Actions Per Second</t>
        </is>
      </c>
      <c r="B840">
        <f>1+MIN(150,150*(1-(1-(Inputs!$B$11+((C827=TRUE)*(F827-Calc!F20))+((C828=TRUE)*(F828-Calc!F21)))/150)*(1-B839/150)))/100</f>
        <v/>
      </c>
    </row>
    <row r="841">
      <c r="A841" t="inlineStr">
        <is>
          <t>Skill + Buff Cast Rate</t>
        </is>
      </c>
      <c r="B841">
        <f>IF(AND(Inputs!$B$38&lt;&gt;"pvp",Inputs!$B$43&gt;0),SUMPRODUCT((Skills!E2:E28=TRUE)*(C809:C835=TRUE)*R809:R835*Skills!F2:F28)/Inputs!$B$43,SUMPRODUCT((Skills!E2:E28=TRUE)*(C809:C835=TRUE)*Q809:Q835*Skills!F2:F28))</f>
        <v/>
      </c>
    </row>
    <row r="842">
      <c r="A842" t="inlineStr">
        <is>
          <t>Eight-Legs Easton Casts Per Second</t>
        </is>
      </c>
      <c r="B842">
        <f>MAX(0,B840-B841)</f>
        <v/>
      </c>
    </row>
    <row r="843">
      <c r="A843" t="inlineStr">
        <is>
          <t>Global Critical Damage Bonus % (unused)</t>
        </is>
      </c>
      <c r="B843" t="n">
        <v>0</v>
      </c>
    </row>
    <row r="844">
      <c r="A844" t="inlineStr">
        <is>
          <t>Global Final Damage Bonus % (Jolly Roger + Ahoy Mateys - Final Damage proc)</t>
        </is>
      </c>
      <c r="B844">
        <f>((C825=TRUE)*F825*IF(AND(Inputs!$B$38&lt;&gt;"pvp",Inputs!$B$43&gt;0),(((R825-1)*MIN((Skills!T18*(1+Inputs!$B$34/100)),(1/Q825))+MIN((Skills!T18*(1+Inputs!$B$34/100)),MAX(0,Inputs!$B$43-((R825-1)*(1/Q825)))))/Inputs!$B$43),IF(Inputs!$B$38="pvp",MIN((Skills!T18*(1+Inputs!$B$34/100)),15)/15,MIN(1,(Skills!T18*(1+Inputs!$B$34/100))/(1/Q825)))))+IF(Inputs!$B$3&gt;=122,20*IF(Inputs!$B$38="pvp",MIN((20*(1+Inputs!$B$34/100)),15)/15,MIN(1,(20*(1+Inputs!$B$34/100))/(1/Q811))),0)</f>
        <v/>
      </c>
    </row>
    <row r="845">
      <c r="A845" t="inlineStr">
        <is>
          <t>Buff-Casting Startup Delay (s, fixed-duration only)</t>
        </is>
      </c>
      <c r="B845">
        <f>IF(AND(Inputs!$B$38&lt;&gt;"pvp",Inputs!$B$43&gt;0),SUMPRODUCT((Skills!T2:T28&gt;0)*(Skills!E2:E28=TRUE)*(C809:C835=TRUE))/B840,0)</f>
        <v/>
      </c>
    </row>
    <row r="846">
      <c r="A846" t="inlineStr">
        <is>
          <t>Boss-Only Total DPS (this block's swept value)</t>
        </is>
      </c>
      <c r="B846">
        <f>SUM(T809:T835)</f>
        <v/>
      </c>
    </row>
    <row r="847">
      <c r="A847" t="inlineStr">
        <is>
          <t>Normal-Only Total DPS (this block's swept value)</t>
        </is>
      </c>
      <c r="B847">
        <f>SUM(V809:V835)</f>
        <v/>
      </c>
    </row>
    <row r="848">
      <c r="A848" s="6" t="inlineStr">
        <is>
          <t>TOTAL DPS</t>
        </is>
      </c>
      <c r="B848" s="6">
        <f>SUM(O809:O835)</f>
        <v/>
      </c>
    </row>
    <row r="849">
      <c r="A849" t="inlineStr">
        <is>
          <t>Quickdraw cooldown divisor (this block's own APS / Q)</t>
        </is>
      </c>
      <c r="B849">
        <f>IF(AND(C834=TRUE,Inputs!$B$38&lt;&gt;"pvp"),1+0.25*MAX(0,(B840-(((C810=TRUE)*Q810*1)+((C811=TRUE)*Q811*1)+((C813=TRUE)*Q813*1)+((C814=TRUE)*Q814*1)+((C816=TRUE)*Q816*1)+((C819=TRUE)*Q819*1)+((C825=TRUE)*Q825*1)+((C835=TRUE)*Q835*1))-((C815=TRUE)/(IF(Inputs!$B$38="pvp",15,MAX(0.1,Skills!D8-IF(TRUE=TRUE,Inputs!$B$32,0)))*(1-IF(AND(ArtifactsInput!$M$27,Inputs!$B$4="Chapter Hunt"),CHOOSE(ArtifactsInput!$N$27+1,20,24,28,32,36,40),0)/100))+(C818=TRUE)/(IF(Inputs!$B$38="pvp",15,MAX(0.1,Skills!D11-IF(TRUE=TRUE,Inputs!$B$32,0)))*(1-IF(AND(ArtifactsInput!$M$27,Inputs!$B$4="Chapter Hunt"),CHOOSE(ArtifactsInput!$N$27+1,20,24,28,32,36,40),0)/100))))/(1+0.25*((C815=TRUE)/(IF(Inputs!$B$38="pvp",15,MAX(0.1,Skills!D8-IF(TRUE=TRUE,Inputs!$B$32,0)))*(1-IF(AND(ArtifactsInput!$M$27,Inputs!$B$4="Chapter Hunt"),CHOOSE(ArtifactsInput!$N$27+1,20,24,28,32,36,40),0)/100))+(C818=TRUE)/(IF(Inputs!$B$38="pvp",15,MAX(0.1,Skills!D11-IF(TRUE=TRUE,Inputs!$B$32,0)))*(1-IF(AND(ArtifactsInput!$M$27,Inputs!$B$4="Chapter Hunt"),CHOOSE(ArtifactsInput!$N$27+1,20,24,28,32,36,40),0)/100))))),1)</f>
        <v/>
      </c>
    </row>
    <row r="850">
      <c r="A850" t="inlineStr">
        <is>
          <t>Nautilus Strike - Final Attack trigger rate (this block's own Q/R)</t>
        </is>
      </c>
      <c r="B850">
        <f>IF(AND(Inputs!$B$38&lt;&gt;"pvp",Inputs!$B$43&gt;0),(((C810=TRUE)*R810)+((C813=TRUE)*R813)+((C815=TRUE)*R815)+((C816=TRUE)*R816)+((C818=TRUE)*R818))/Inputs!$B$43,((C810=TRUE)*Q810)+((C813=TRUE)*Q813)+((C815=TRUE)*Q815)+((C816=TRUE)*Q816)+((C818=TRUE)*Q818))+B842</f>
        <v/>
      </c>
    </row>
    <row r="853">
      <c r="A853" s="6" t="inlineStr">
        <is>
          <t>Stat: Skill Level Bonus — 2nd Job</t>
        </is>
      </c>
    </row>
    <row r="854">
      <c r="A854" s="5" t="inlineStr">
        <is>
          <t>Key</t>
        </is>
      </c>
      <c r="B854" s="5" t="inlineStr">
        <is>
          <t>Name</t>
        </is>
      </c>
      <c r="C854" s="5" t="inlineStr">
        <is>
          <t>Unlocked</t>
        </is>
      </c>
      <c r="D854" s="5" t="inlineStr">
        <is>
          <t>InputLevel</t>
        </is>
      </c>
      <c r="E854" s="5" t="inlineStr">
        <is>
          <t>Factor</t>
        </is>
      </c>
      <c r="F854" s="5" t="inlineStr">
        <is>
          <t>CoefficientPercent</t>
        </is>
      </c>
      <c r="G854" s="5" t="inlineStr">
        <is>
          <t>EffectiveHits</t>
        </is>
      </c>
      <c r="H854" s="5" t="inlineStr">
        <is>
          <t>ProcProbability</t>
        </is>
      </c>
      <c r="I854" s="5" t="inlineStr">
        <is>
          <t>MapleHeroMultiplier</t>
        </is>
      </c>
      <c r="J854" s="5" t="inlineStr">
        <is>
          <t>BaseDamage</t>
        </is>
      </c>
      <c r="K854" s="5" t="inlineStr">
        <is>
          <t>BaseHitDamage</t>
        </is>
      </c>
      <c r="L854" s="5" t="inlineStr">
        <is>
          <t>NonCritAvg</t>
        </is>
      </c>
      <c r="M854" s="5" t="inlineStr">
        <is>
          <t>CritAvg</t>
        </is>
      </c>
      <c r="N854" s="5" t="inlineStr">
        <is>
          <t>ExpectedDamage(perHit)</t>
        </is>
      </c>
      <c r="O854" s="5" t="inlineStr">
        <is>
          <t>DPS</t>
        </is>
      </c>
      <c r="P854" s="5" t="inlineStr">
        <is>
          <t>% of Total</t>
        </is>
      </c>
      <c r="Q854" s="5" t="inlineStr">
        <is>
          <t>InvCooldown</t>
        </is>
      </c>
      <c r="R854" s="5" t="inlineStr">
        <is>
          <t>CastsInFight</t>
        </is>
      </c>
      <c r="S854" s="5" t="inlineStr">
        <is>
          <t>HitRate(perSec)</t>
        </is>
      </c>
      <c r="U854" t="inlineStr">
        <is>
          <t>helpers</t>
        </is>
      </c>
    </row>
    <row r="855">
      <c r="A855">
        <f>Skills!A2</f>
        <v/>
      </c>
      <c r="B855">
        <f>Skills!B2</f>
        <v/>
      </c>
      <c r="C855">
        <f>Inputs!$B$3&gt;=100</f>
        <v/>
      </c>
      <c r="D855" t="inlineStr"/>
      <c r="E855" t="inlineStr"/>
      <c r="F855">
        <f>U857+Skills!O2</f>
        <v/>
      </c>
      <c r="G855">
        <f>Skills!G2*IF(Skills!H2&gt;0,INT(IF(Inputs!$B$38="pvp",MIN(Skills!I2,15),Skills!I2)/Skills!H2+0.000000001),1)</f>
        <v/>
      </c>
      <c r="H855">
        <f>1-(1-Skills!J2/100)^Skills!K2</f>
        <v/>
      </c>
      <c r="I855" t="inlineStr">
        <is>
          <t>1</t>
        </is>
      </c>
      <c r="J855">
        <f>((Inputs!$B$6*(1+Inputs!$B$7/100))+(((Inputs!$B$12*(1+Inputs!$B$13/100))-(Inputs!$B$12*(1+Inputs!$B$13/100)))+0.25*(Inputs!$B$14-Inputs!$B$14))*(1+Inputs!$B$7/100))*(F855/100)</f>
        <v/>
      </c>
      <c r="K855">
        <f>J855*(1+((Inputs!$B$12*(1+Inputs!$B$13/100))*0.01+Inputs!$B$14*0.0025)/100)*(1+Inputs!$B$15/100)*(1+Inputs!$B$16/100)*(5000/(6000+Inputs!$B$42*(1-(100*(1-(1-(Inputs!$B$19+0)/100)*(1-CHOOSE(ArtifactsInput!$N$40+1,5,6,7,8,9,10)/100)^(ArtifactsInput!$M$40-ArtifactsInput!$M$40)))/100)))*(1+(Inputs!$B$24+((C879=TRUE)*(F879-Calc!F26))+B890)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IGHT_LEGS_EASTON",Inputs!$B$17+((C876=TRUE)*(F876-Calc!F23))+((C880=TRUE)*(F880-Calc!F27))+((IF(AND(Inputs!$B$38&lt;&gt;"pvp",Inputs!$B$43=0),1,IF(IF(Inputs!$B$38="pvp",15,Inputs!$B$43)-(B891)&lt;=0,1,MAX(0,IF(Inputs!$B$38="pvp",15,Inputs!$B$43)-MAX(5,B891))/(IF(Inputs!$B$38="pvp",15,Inputs!$B$43)-(B891))))*(IF(AND(ArtifactsInput!$M$42,((Inputs!$B$9+((C872=TRUE)*(F872-Calc!F19))+B884+(ArtifactsInput!$M$24-ArtifactsInput!$M$24)*CHOOSE(ArtifactsInput!$N$24+1,10,12,14,16,18,20)+IF(ArtifactsInput!$M$10,CHOOSE(ArtifactsInput!$N$10+1,15,18,21,24,27,30)*(IF(Inputs!$B$38="pvp",MIN(15,15)/15,IF(AND(Inputs!$B$38&lt;&gt;"pvp",Inputs!$B$43&gt;0),MIN(15,Inputs!$B$43)/(Inputs!$B$43),0))),0)))&gt;=100),MIN(100,((Inputs!$B$9+((C872=TRUE)*(F872-Calc!F19))+B884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891)&lt;=0,1,MAX(0,IF(Inputs!$B$38="pvp",15,Inputs!$B$43)-MAX(5,B891))/(IF(Inputs!$B$38="pvp",15,Inputs!$B$43)-(B891))))*IF(AND(ArtifactsInput!$M$42,((Inputs!$B$9+((C872=TRUE)*(F872-Calc!F19))+B884+(ArtifactsInput!$M$24-ArtifactsInput!$M$24)*CHOOSE(ArtifactsInput!$N$24+1,10,12,14,16,18,20)+IF(ArtifactsInput!$M$10,CHOOSE(ArtifactsInput!$N$10+1,15,18,21,24,27,30)*(IF(Inputs!$B$38="pvp",MIN(15,15)/15,IF(AND(Inputs!$B$38&lt;&gt;"pvp",Inputs!$B$43&gt;0),MIN(15,Inputs!$B$43)/(Inputs!$B$43),0))),0)))&gt;=100),CHOOSE(ArtifactsInput!$N$42+1,40,48,56,64,72,80),0))))/100)*((1+(((C870=TRUE)*F870*5/7)+((C877=TRUE)*(F877-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855)</f>
        <v/>
      </c>
      <c r="L855">
        <f>K855*(MIN(Inputs!$B$22+((C875=TRUE)*(F875-Calc!F22)),(Inputs!$B$23+0+(IF(ArtifactsInput!$M$15,CHOOSE(ArtifactsInput!$N$15+1,25,30,35,40,45,50)/100*(Inputs!$B$11-Inputs!$B$11),0))))/100+(Inputs!$B$23+0+(IF(ArtifactsInput!$M$15,CHOOSE(ArtifactsInput!$N$15+1,25,30,35,40,45,50)/100*(Inputs!$B$11-Inputs!$B$11),0)))/100)/2</f>
        <v/>
      </c>
      <c r="M855">
        <f>L855*(1+(Inputs!$B$10+((C878=TRUE)*(F878-Calc!F25))+B889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55">
        <f>L855*(1-MIN((Inputs!$B$9+((C872=TRUE)*(F872-Calc!F19))+B884+(ArtifactsInput!$M$24-ArtifactsInput!$M$24)*CHOOSE(ArtifactsInput!$N$24+1,10,12,14,16,18,20)+(IF(AND(Inputs!$B$38&lt;&gt;"pvp",Inputs!$B$43=0),1,IF(IF(Inputs!$B$38="pvp",15,Inputs!$B$43)-(B891)&lt;=0,1,MAX(0,IF(Inputs!$B$38="pvp",15,Inputs!$B$43)-MAX(5,B891))/(IF(Inputs!$B$38="pvp",15,Inputs!$B$43)-(B891))))*IF(AND(ArtifactsInput!$M$42,((Inputs!$B$9+((C872=TRUE)*(F872-Calc!F19))+B884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855*(MIN((Inputs!$B$9+((C872=TRUE)*(F872-Calc!F19))+B884+(ArtifactsInput!$M$24-ArtifactsInput!$M$24)*CHOOSE(ArtifactsInput!$N$24+1,10,12,14,16,18,20)+(IF(AND(Inputs!$B$38&lt;&gt;"pvp",Inputs!$B$43=0),1,IF(IF(Inputs!$B$38="pvp",15,Inputs!$B$43)-(B891)&lt;=0,1,MAX(0,IF(Inputs!$B$38="pvp",15,Inputs!$B$43)-MAX(5,B891))/(IF(Inputs!$B$38="pvp",15,Inputs!$B$43)-(B891))))*IF(AND(ArtifactsInput!$M$42,((Inputs!$B$9+((C872=TRUE)*(F872-Calc!F19))+B884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55">
        <f>(1-Summary!$B$11)*T855+Summary!$B$11*V855</f>
        <v/>
      </c>
      <c r="P855">
        <f>IF(B894=0,0,O855/B894)</f>
        <v/>
      </c>
      <c r="Q855" t="n">
        <v>0</v>
      </c>
      <c r="R855" t="n">
        <v>0</v>
      </c>
      <c r="S855">
        <f>IFERROR(O855/N855,0)</f>
        <v/>
      </c>
      <c r="T855">
        <f>IF(C855,(Skills!G2*N855*B888*(1+IF(C880=TRUE,1/3,0)))*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Hunt"),CHOOSE(ArtifactsInput!$N$35+1,15,18,21,24,27,30)*(1-EXP(-(0.2*B886)*5)),0)+IF(AND(ArtifactsInput!$M$22,Inputs!$B$4&lt;&gt;"Chapter Hunt"),CHOOSE(ArtifactsInput!$N$22+1,10,12,14,16,18,20)*((0*(((0.15*B886*5))^0/1)+1*(((0.15*B886*5))^1/1)+2*(((0.15*B886*5))^2/2)+3*(((0.15*B886*5))^3/6)+4*(((0.15*B886*5))^4/24)+5*(((0.15*B886*5))^5/120))/((((0.15*B886*5))^0/1)+(((0.15*B886*5))^1/1)+(((0.15*B886*5))^2/2)+(((0.15*B886*5))^3/6)+(((0.15*B886*5))^4/24)+(((0.15*B886*5))^5/120))),0))+IF(Inputs!$B$3&gt;=54,9*(C856=TRUE)*MIN(1,8*(1+Inputs!$B$34/100)*Q856)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855*(1-MIN(100,(Inputs!$B$9+((C872=TRUE)*(F872-Calc!F19))+B884+(ArtifactsInput!$M$24-ArtifactsInput!$M$24)*CHOOSE(ArtifactsInput!$N$24+1,10,12,14,16,18,20)+(IF(AND(Inputs!$B$38&lt;&gt;"pvp",Inputs!$B$43=0),1,IF(IF(Inputs!$B$38="pvp",15,Inputs!$B$43)-(B891)&lt;=0,1,MAX(0,IF(Inputs!$B$38="pvp",15,Inputs!$B$43)-MAX(5,B891))/(IF(Inputs!$B$38="pvp",15,Inputs!$B$43)-(B891))))*IF(AND(ArtifactsInput!$M$42,((Inputs!$B$9+((C872=TRUE)*(F872-Calc!F19))+B884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855*(MIN(100,(Inputs!$B$9+((C872=TRUE)*(F872-Calc!F19))+B884+(ArtifactsInput!$M$24-ArtifactsInput!$M$24)*CHOOSE(ArtifactsInput!$N$24+1,10,12,14,16,18,20)+(IF(AND(Inputs!$B$38&lt;&gt;"pvp",Inputs!$B$43=0),1,IF(IF(Inputs!$B$38="pvp",15,Inputs!$B$43)-(B891)&lt;=0,1,MAX(0,IF(Inputs!$B$38="pvp",15,Inputs!$B$43)-MAX(5,B891))/(IF(Inputs!$B$38="pvp",15,Inputs!$B$43)-(B891))))*IF(AND(ArtifactsInput!$M$42,((Inputs!$B$9+((C872=TRUE)*(F872-Calc!F19))+B884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855*(1-MIN(100,(Inputs!$B$9+((C872=TRUE)*(F872-Calc!F19))+B884+(ArtifactsInput!$M$24-ArtifactsInput!$M$24)*CHOOSE(ArtifactsInput!$N$24+1,10,12,14,16,18,20)+(IF(AND(Inputs!$B$38&lt;&gt;"pvp",Inputs!$B$43=0),1,IF(IF(Inputs!$B$38="pvp",15,Inputs!$B$43)-(B891)&lt;=0,1,MAX(0,IF(Inputs!$B$38="pvp",15,Inputs!$B$43)-MAX(5,B891))/(IF(Inputs!$B$38="pvp",15,Inputs!$B$43)-(B891))))*IF(AND(ArtifactsInput!$M$42,((Inputs!$B$9+((C872=TRUE)*(F872-Calc!F19))+B884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855*(MIN(100,(Inputs!$B$9+((C872=TRUE)*(F872-Calc!F19))+B884+(ArtifactsInput!$M$24-ArtifactsInput!$M$24)*CHOOSE(ArtifactsInput!$N$24+1,10,12,14,16,18,20)+(IF(AND(Inputs!$B$38&lt;&gt;"pvp",Inputs!$B$43=0),1,IF(IF(Inputs!$B$38="pvp",15,Inputs!$B$43)-(B891)&lt;=0,1,MAX(0,IF(Inputs!$B$38="pvp",15,Inputs!$B$43)-MAX(5,B891))/(IF(Inputs!$B$38="pvp",15,Inputs!$B$43)-(B891))))*IF(AND(ArtifactsInput!$M$42,((Inputs!$B$9+((C872=TRUE)*(F872-Calc!F19))+B884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855">
        <f>MAX(0,(Inputs!$B$3-100)*3)+Inputs!$B$28+Inputs!$B$29</f>
        <v/>
      </c>
      <c r="V855">
        <f>IF(C855,(Skills!G2*N855*B888*(1+IF(C880=TRUE,1/3,0)))*IF(Inputs!$B$38="pvp",1,(1+(Inputs!$B$21+Skills!Q2+(IF(ArtifactsInput!$M$33,CHOOSE(ArtifactsInput!$N$33+1,30,36,42,48,54,60),0))+(IF(AND(ArtifactsInput!$M$35,Inputs!$B$4&lt;&gt;"Chapter Hunt"),CHOOSE(ArtifactsInput!$N$35+1,15,18,21,24,27,30)*(1-EXP(-(0.2*B886)*5)),0)+IF(AND(ArtifactsInput!$M$22,Inputs!$B$4&lt;&gt;"Chapter Hunt"),CHOOSE(ArtifactsInput!$N$22+1,10,12,14,16,18,20)*((0*(((0.15*B886*5))^0/1)+1*(((0.15*B886*5))^1/1)+2*(((0.15*B886*5))^2/2)+3*(((0.15*B886*5))^3/6)+4*(((0.15*B886*5))^4/24)+5*(((0.15*B886*5))^5/120))/((((0.15*B886*5))^0/1)+(((0.15*B886*5))^1/1)+(((0.15*B886*5))^2/2)+(((0.15*B886*5))^3/6)+(((0.15*B886*5))^4/24)+(((0.15*B886*5))^5/120))),0))+IF(Inputs!$B$3&gt;=54,9*(C856=TRUE)*MIN(1,8*(1+Inputs!$B$34/100)*Q856),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56">
      <c r="A856">
        <f>Skills!A3</f>
        <v/>
      </c>
      <c r="B856">
        <f>Skills!B3</f>
        <v/>
      </c>
      <c r="C856">
        <f>Inputs!$B$3&gt;=33</f>
        <v/>
      </c>
      <c r="D856">
        <f>IF(Skills!C3=1,60+Inputs!$B$25+Inputs!$B$29,IF(Skills!C3=2,90+(Inputs!$B$26+1)+Inputs!$B$29,IF(Skills!C3=3,120+Inputs!$B$27+Inputs!$B$29,MAX(0,(Inputs!$B$3-100)*3)+Inputs!$B$28+Inputs!$B$29)))</f>
        <v/>
      </c>
      <c r="E856">
        <f>INDEX(FactorTable!$B$2:$Y$301, MATCH(ROUND(MIN(300,MAX(1,D856)),0), FactorTable!$A$2:$A$301,0), Skills!M3+1)</f>
        <v/>
      </c>
      <c r="F856">
        <f>IF(Skills!N3=TRUE,(Skills!L3/10)*(E856/1000),Skills!L3/10)+Skills!O3</f>
        <v/>
      </c>
      <c r="G856">
        <f>Skills!G3*IF(Skills!H3&gt;0,INT(IF(Inputs!$B$38="pvp",MIN(Skills!I3,15),Skills!I3)/Skills!H3+0.000000001),1)</f>
        <v/>
      </c>
      <c r="H856">
        <f>1-(1-Skills!J3/100)^Skills!K3</f>
        <v/>
      </c>
      <c r="I856" t="inlineStr">
        <is>
          <t>1</t>
        </is>
      </c>
      <c r="J856">
        <f>((Inputs!$B$6*(1+Inputs!$B$7/100))+(((Inputs!$B$12*(1+Inputs!$B$13/100))-(Inputs!$B$12*(1+Inputs!$B$13/100)))+0.25*(Inputs!$B$14-Inputs!$B$14))*(1+Inputs!$B$7/100))*(F856/100)</f>
        <v/>
      </c>
      <c r="K856">
        <f>J856*(1+((Inputs!$B$12*(1+Inputs!$B$13/100))*0.01+Inputs!$B$14*0.0025)/100)*(1+Inputs!$B$15/100)*(1+Inputs!$B$16/100)*(5000/(6000+Inputs!$B$42*(1-(100*(1-(1-(Inputs!$B$19+0)/100)*(1-CHOOSE(ArtifactsInput!$N$40+1,5,6,7,8,9,10)/100)^(ArtifactsInput!$M$40-ArtifactsInput!$M$40)))/100)))*(1+(Inputs!$B$24+((C879=TRUE)*(F879-Calc!F26))+B890)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868=TRUE,F868,0)/100)*(1+(IF(Skills!A3="EIGHT_LEGS_EASTON",Inputs!$B$17+((C876=TRUE)*(F876-Calc!F23))+((C880=TRUE)*(F880-Calc!F27))+((IF(AND(Inputs!$B$38&lt;&gt;"pvp",Inputs!$B$43=0),1,IF(IF(Inputs!$B$38="pvp",15,Inputs!$B$43)-(B891)&lt;=0,1,MAX(0,IF(Inputs!$B$38="pvp",15,Inputs!$B$43)-MAX(5,B891))/(IF(Inputs!$B$38="pvp",15,Inputs!$B$43)-(B891))))*(IF(AND(ArtifactsInput!$M$42,((Inputs!$B$9+((C872=TRUE)*(F872-Calc!F19))+B884+(ArtifactsInput!$M$24-ArtifactsInput!$M$24)*CHOOSE(ArtifactsInput!$N$24+1,10,12,14,16,18,20)+IF(ArtifactsInput!$M$10,CHOOSE(ArtifactsInput!$N$10+1,15,18,21,24,27,30)*(IF(Inputs!$B$38="pvp",MIN(15,15)/15,IF(AND(Inputs!$B$38&lt;&gt;"pvp",Inputs!$B$43&gt;0),MIN(15,Inputs!$B$43)/(Inputs!$B$43),0))),0)))&gt;=100),MIN(100,((Inputs!$B$9+((C872=TRUE)*(F872-Calc!F19))+B884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891)&lt;=0,1,MAX(0,IF(Inputs!$B$38="pvp",15,Inputs!$B$43)-MAX(5,B891))/(IF(Inputs!$B$38="pvp",15,Inputs!$B$43)-(B891))))*IF(AND(ArtifactsInput!$M$42,((Inputs!$B$9+((C872=TRUE)*(F872-Calc!F19))+B884+(ArtifactsInput!$M$24-ArtifactsInput!$M$24)*CHOOSE(ArtifactsInput!$N$24+1,10,12,14,16,18,20)+IF(ArtifactsInput!$M$10,CHOOSE(ArtifactsInput!$N$10+1,15,18,21,24,27,30)*(IF(Inputs!$B$38="pvp",MIN(15,15)/15,IF(AND(Inputs!$B$38&lt;&gt;"pvp",Inputs!$B$43&gt;0),MIN(15,Inputs!$B$43)/(Inputs!$B$43),0))),0)))&gt;=100),CHOOSE(ArtifactsInput!$N$42+1,40,48,56,64,72,80),0))))/100)*((1+(((C870=TRUE)*F870*5/7)+((C877=TRUE)*(F877-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856)</f>
        <v/>
      </c>
      <c r="L856">
        <f>K856*(MIN(Inputs!$B$22+((C875=TRUE)*(F875-Calc!F22)),(Inputs!$B$23+0+(IF(ArtifactsInput!$M$15,CHOOSE(ArtifactsInput!$N$15+1,25,30,35,40,45,50)/100*(Inputs!$B$11-Inputs!$B$11),0))))/100+(Inputs!$B$23+0+(IF(ArtifactsInput!$M$15,CHOOSE(ArtifactsInput!$N$15+1,25,30,35,40,45,50)/100*(Inputs!$B$11-Inputs!$B$11),0)))/100)/2</f>
        <v/>
      </c>
      <c r="M856">
        <f>L856*(1+(Inputs!$B$10+((C878=TRUE)*(F878-Calc!F25))+B889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56">
        <f>L856*(1-MIN((Inputs!$B$9+((C872=TRUE)*(F872-Calc!F19))+B884+(ArtifactsInput!$M$24-ArtifactsInput!$M$24)*CHOOSE(ArtifactsInput!$N$24+1,10,12,14,16,18,20)+(IF(AND(Inputs!$B$38&lt;&gt;"pvp",Inputs!$B$43=0),1,IF(IF(Inputs!$B$38="pvp",15,Inputs!$B$43)-(B891)&lt;=0,1,MAX(0,IF(Inputs!$B$38="pvp",15,Inputs!$B$43)-MAX(5,B891))/(IF(Inputs!$B$38="pvp",15,Inputs!$B$43)-(B891))))*IF(AND(ArtifactsInput!$M$42,((Inputs!$B$9+((C872=TRUE)*(F872-Calc!F19))+B884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856*(MIN((Inputs!$B$9+((C872=TRUE)*(F872-Calc!F19))+B884+(ArtifactsInput!$M$24-ArtifactsInput!$M$24)*CHOOSE(ArtifactsInput!$N$24+1,10,12,14,16,18,20)+(IF(AND(Inputs!$B$38&lt;&gt;"pvp",Inputs!$B$43=0),1,IF(IF(Inputs!$B$38="pvp",15,Inputs!$B$43)-(B891)&lt;=0,1,MAX(0,IF(Inputs!$B$38="pvp",15,Inputs!$B$43)-MAX(5,B891))/(IF(Inputs!$B$38="pvp",15,Inputs!$B$43)-(B891))))*IF(AND(ArtifactsInput!$M$42,((Inputs!$B$9+((C872=TRUE)*(F872-Calc!F19))+B884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56">
        <f>(1-Summary!$B$11)*T856+Summary!$B$11*V856</f>
        <v/>
      </c>
      <c r="P856">
        <f>IF(B894=0,0,O856/B894)</f>
        <v/>
      </c>
      <c r="Q856">
        <f>IFERROR(1/(IF(Inputs!$B$38="pvp",15,MAX(0.1,Skills!D3-IF(TRUE=TRUE,Inputs!$B$32,0)))*(1-IF(AND(ArtifactsInput!$M$27,Inputs!$B$4="Chapter Hunt"),CHOOSE(ArtifactsInput!$N$27+1,20,24,28,32,36,40),0)/100)),0)</f>
        <v/>
      </c>
      <c r="R856">
        <f>IF(AND(Inputs!$B$38&lt;&gt;"pvp",Inputs!$B$43&gt;0),IF(MAX(0,Inputs!$B$43-B891)&lt;=0,0,(INT(MAX(0,Inputs!$B$43-B891)/(IF(Inputs!$B$38="pvp",15,MAX(0.1,Skills!D3-IF(TRUE=TRUE,Inputs!$B$32,0)))*(1-IF(AND(ArtifactsInput!$M$27,Inputs!$B$4="Chapter Hunt"),CHOOSE(ArtifactsInput!$N$27+1,20,24,28,32,36,40),0)/100)))+1)),0)</f>
        <v/>
      </c>
      <c r="S856">
        <f>IFERROR(O856/N856,0)</f>
        <v/>
      </c>
      <c r="T856">
        <f>IF(C856,(H856*N856*IF(AND(Inputs!$B$38&lt;&gt;"pvp",Inputs!$B$43&gt;0),((Skills!G3*((R856-1)*IF(Skills!H3&gt;0,INT(Skills!I3/Skills!H3+0.000000001),1)+IF(Skills!H3&gt;0,INT(MIN(Skills!I3,MAX(0,MAX(0,Inputs!$B$43-B891)-((R856-1)*(IF(Inputs!$B$38="pvp",15,MAX(0.1,Skills!D3-IF(TRUE=TRUE,Inputs!$B$32,0)))*(1-IF(AND(ArtifactsInput!$M$27,Inputs!$B$4="Chapter Hunt"),CHOOSE(ArtifactsInput!$N$27+1,20,24,28,32,36,40),0)/100)))))/Skills!H3+0.000000001),1)))/Inputs!$B$43),G856*Q856))*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Hunt"),CHOOSE(ArtifactsInput!$N$35+1,15,18,21,24,27,30)*(1-EXP(-(0.2*B886)*5)),0)+IF(AND(ArtifactsInput!$M$22,Inputs!$B$4&lt;&gt;"Chapter Hunt"),CHOOSE(ArtifactsInput!$N$22+1,10,12,14,16,18,20)*((0*(((0.15*B886*5))^0/1)+1*(((0.15*B886*5))^1/1)+2*(((0.15*B886*5))^2/2)+3*(((0.15*B886*5))^3/6)+4*(((0.15*B886*5))^4/24)+5*(((0.15*B886*5))^5/120))/((((0.15*B886*5))^0/1)+(((0.15*B886*5))^1/1)+(((0.15*B886*5))^2/2)+(((0.15*B886*5))^3/6)+(((0.15*B886*5))^4/24)+(((0.15*B886*5))^5/120))),0))+IF(Inputs!$B$3&gt;=54,9*(C856=TRUE)*MIN(1,8*(1+Inputs!$B$34/100)*Q856)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856*(1-MIN(100,(Inputs!$B$9+((C872=TRUE)*(F872-Calc!F19))+B884+(ArtifactsInput!$M$24-ArtifactsInput!$M$24)*CHOOSE(ArtifactsInput!$N$24+1,10,12,14,16,18,20)+(IF(AND(Inputs!$B$38&lt;&gt;"pvp",Inputs!$B$43=0),1,IF(IF(Inputs!$B$38="pvp",15,Inputs!$B$43)-(B891)&lt;=0,1,MAX(0,IF(Inputs!$B$38="pvp",15,Inputs!$B$43)-MAX(5,B891))/(IF(Inputs!$B$38="pvp",15,Inputs!$B$43)-(B891))))*IF(AND(ArtifactsInput!$M$42,((Inputs!$B$9+((C872=TRUE)*(F872-Calc!F19))+B884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856*(MIN(100,(Inputs!$B$9+((C872=TRUE)*(F872-Calc!F19))+B884+(ArtifactsInput!$M$24-ArtifactsInput!$M$24)*CHOOSE(ArtifactsInput!$N$24+1,10,12,14,16,18,20)+(IF(AND(Inputs!$B$38&lt;&gt;"pvp",Inputs!$B$43=0),1,IF(IF(Inputs!$B$38="pvp",15,Inputs!$B$43)-(B891)&lt;=0,1,MAX(0,IF(Inputs!$B$38="pvp",15,Inputs!$B$43)-MAX(5,B891))/(IF(Inputs!$B$38="pvp",15,Inputs!$B$43)-(B891))))*IF(AND(ArtifactsInput!$M$42,((Inputs!$B$9+((C872=TRUE)*(F872-Calc!F19))+B884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856*(1-MIN(100,(Inputs!$B$9+((C872=TRUE)*(F872-Calc!F19))+B884+(ArtifactsInput!$M$24-ArtifactsInput!$M$24)*CHOOSE(ArtifactsInput!$N$24+1,10,12,14,16,18,20)+(IF(AND(Inputs!$B$38&lt;&gt;"pvp",Inputs!$B$43=0),1,IF(IF(Inputs!$B$38="pvp",15,Inputs!$B$43)-(B891)&lt;=0,1,MAX(0,IF(Inputs!$B$38="pvp",15,Inputs!$B$43)-MAX(5,B891))/(IF(Inputs!$B$38="pvp",15,Inputs!$B$43)-(B891))))*IF(AND(ArtifactsInput!$M$42,((Inputs!$B$9+((C872=TRUE)*(F872-Calc!F19))+B884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856*(MIN(100,(Inputs!$B$9+((C872=TRUE)*(F872-Calc!F19))+B884+(ArtifactsInput!$M$24-ArtifactsInput!$M$24)*CHOOSE(ArtifactsInput!$N$24+1,10,12,14,16,18,20)+(IF(AND(Inputs!$B$38&lt;&gt;"pvp",Inputs!$B$43=0),1,IF(IF(Inputs!$B$38="pvp",15,Inputs!$B$43)-(B891)&lt;=0,1,MAX(0,IF(Inputs!$B$38="pvp",15,Inputs!$B$43)-MAX(5,B891))/(IF(Inputs!$B$38="pvp",15,Inputs!$B$43)-(B891))))*IF(AND(ArtifactsInput!$M$42,((Inputs!$B$9+((C872=TRUE)*(F872-Calc!F19))+B884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856">
        <f>INDEX(FactorTable!$B$2:$Y$301, MATCH(ROUND(MIN(300,MAX(1,U855)),0), FactorTable!$A$2:$A$301,0), 22)</f>
        <v/>
      </c>
      <c r="V856">
        <f>IF(C856,(H856*N856*IF(AND(Inputs!$B$38&lt;&gt;"pvp",Inputs!$B$43&gt;0),((Skills!G3*((R856-1)*IF(Skills!H3&gt;0,INT(Skills!I3/Skills!H3+0.000000001),1)+IF(Skills!H3&gt;0,INT(MIN(Skills!I3,MAX(0,MAX(0,Inputs!$B$43-B891)-((R856-1)*(IF(Inputs!$B$38="pvp",15,MAX(0.1,Skills!D3-IF(TRUE=TRUE,Inputs!$B$32,0)))*(1-IF(AND(ArtifactsInput!$M$27,Inputs!$B$4="Chapter Hunt"),CHOOSE(ArtifactsInput!$N$27+1,20,24,28,32,36,40),0)/100)))))/Skills!H3+0.000000001),1)))/Inputs!$B$43),G856*Q856))*IF(Inputs!$B$38="pvp",1,(1+(Inputs!$B$21+Skills!Q3+(IF(ArtifactsInput!$M$33,CHOOSE(ArtifactsInput!$N$33+1,30,36,42,48,54,60),0))+(IF(AND(ArtifactsInput!$M$35,Inputs!$B$4&lt;&gt;"Chapter Hunt"),CHOOSE(ArtifactsInput!$N$35+1,15,18,21,24,27,30)*(1-EXP(-(0.2*B886)*5)),0)+IF(AND(ArtifactsInput!$M$22,Inputs!$B$4&lt;&gt;"Chapter Hunt"),CHOOSE(ArtifactsInput!$N$22+1,10,12,14,16,18,20)*((0*(((0.15*B886*5))^0/1)+1*(((0.15*B886*5))^1/1)+2*(((0.15*B886*5))^2/2)+3*(((0.15*B886*5))^3/6)+4*(((0.15*B886*5))^4/24)+5*(((0.15*B886*5))^5/120))/((((0.15*B886*5))^0/1)+(((0.15*B886*5))^1/1)+(((0.15*B886*5))^2/2)+(((0.15*B886*5))^3/6)+(((0.15*B886*5))^4/24)+(((0.15*B886*5))^5/120))),0))+IF(Inputs!$B$3&gt;=54,9*(C856=TRUE)*MIN(1,8*(1+Inputs!$B$34/100)*Q856),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57">
      <c r="A857">
        <f>Skills!A4</f>
        <v/>
      </c>
      <c r="B857">
        <f>Skills!B4</f>
        <v/>
      </c>
      <c r="C857">
        <f>Inputs!$B$3&gt;=35</f>
        <v/>
      </c>
      <c r="D857">
        <f>IF(Skills!C4=1,60+Inputs!$B$25+Inputs!$B$29,IF(Skills!C4=2,90+(Inputs!$B$26+1)+Inputs!$B$29,IF(Skills!C4=3,120+Inputs!$B$27+Inputs!$B$29,MAX(0,(Inputs!$B$3-100)*3)+Inputs!$B$28+Inputs!$B$29)))</f>
        <v/>
      </c>
      <c r="E857">
        <f>INDEX(FactorTable!$B$2:$Y$301, MATCH(ROUND(MIN(300,MAX(1,D857)),0), FactorTable!$A$2:$A$301,0), Skills!M4+1)</f>
        <v/>
      </c>
      <c r="F857">
        <f>IF(Skills!N4=TRUE,(Skills!L4/10)*(E857/1000),Skills!L4/10)+Skills!O4</f>
        <v/>
      </c>
      <c r="G857">
        <f>Skills!G4*IF(Skills!H4&gt;0,INT(IF(Inputs!$B$38="pvp",MIN(IF(Inputs!$B$3&gt;=104,MIN(35,20*(1+Inputs!$B$34/100)),20),15),IF(Inputs!$B$3&gt;=104,MIN(35,20*(1+Inputs!$B$34/100)),20))/Skills!H4+0.000000001),1)</f>
        <v/>
      </c>
      <c r="H857">
        <f>1-(1-Skills!J4/100)^Skills!K4</f>
        <v/>
      </c>
      <c r="I857" t="inlineStr">
        <is>
          <t>1</t>
        </is>
      </c>
      <c r="J857">
        <f>((Inputs!$B$6*(1+Inputs!$B$7/100))+(((Inputs!$B$12*(1+Inputs!$B$13/100))-(Inputs!$B$12*(1+Inputs!$B$13/100)))+0.25*(Inputs!$B$14-Inputs!$B$14))*(1+Inputs!$B$7/100))*(F857/100)</f>
        <v/>
      </c>
      <c r="K857">
        <f>J857*(1+((Inputs!$B$12*(1+Inputs!$B$13/100))*0.01+Inputs!$B$14*0.0025)/100)*(1+Inputs!$B$15/100)*(1+Inputs!$B$16/100)*(5000/(6000+Inputs!$B$42*(1-(100*(1-(1-(Inputs!$B$19+0)/100)*(1-CHOOSE(ArtifactsInput!$N$40+1,5,6,7,8,9,10)/100)^(ArtifactsInput!$M$40-ArtifactsInput!$M$40)))/100)))*(1+(Inputs!$B$24+((C879=TRUE)*(F879-Calc!F26))+B890)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869=TRUE,F869,0)/100)*(1+(IF(Skills!A4="EIGHT_LEGS_EASTON",Inputs!$B$17+((C876=TRUE)*(F876-Calc!F23))+((C880=TRUE)*(F880-Calc!F27))+((IF(AND(Inputs!$B$38&lt;&gt;"pvp",Inputs!$B$43=0),1,IF(IF(Inputs!$B$38="pvp",15,Inputs!$B$43)-(B891)&lt;=0,1,MAX(0,IF(Inputs!$B$38="pvp",15,Inputs!$B$43)-MAX(5,B891))/(IF(Inputs!$B$38="pvp",15,Inputs!$B$43)-(B891))))*(IF(AND(ArtifactsInput!$M$42,((Inputs!$B$9+((C872=TRUE)*(F872-Calc!F19))+B884+(ArtifactsInput!$M$24-ArtifactsInput!$M$24)*CHOOSE(ArtifactsInput!$N$24+1,10,12,14,16,18,20)+IF(ArtifactsInput!$M$10,CHOOSE(ArtifactsInput!$N$10+1,15,18,21,24,27,30)*(IF(Inputs!$B$38="pvp",MIN(15,15)/15,IF(AND(Inputs!$B$38&lt;&gt;"pvp",Inputs!$B$43&gt;0),MIN(15,Inputs!$B$43)/(Inputs!$B$43),0))),0)))&gt;=100),MIN(100,((Inputs!$B$9+((C872=TRUE)*(F872-Calc!F19))+B884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891)&lt;=0,1,MAX(0,IF(Inputs!$B$38="pvp",15,Inputs!$B$43)-MAX(5,B891))/(IF(Inputs!$B$38="pvp",15,Inputs!$B$43)-(B891))))*IF(AND(ArtifactsInput!$M$42,((Inputs!$B$9+((C872=TRUE)*(F872-Calc!F19))+B884+(ArtifactsInput!$M$24-ArtifactsInput!$M$24)*CHOOSE(ArtifactsInput!$N$24+1,10,12,14,16,18,20)+IF(ArtifactsInput!$M$10,CHOOSE(ArtifactsInput!$N$10+1,15,18,21,24,27,30)*(IF(Inputs!$B$38="pvp",MIN(15,15)/15,IF(AND(Inputs!$B$38&lt;&gt;"pvp",Inputs!$B$43&gt;0),MIN(15,Inputs!$B$43)/(Inputs!$B$43),0))),0)))&gt;=100),CHOOSE(ArtifactsInput!$N$42+1,40,48,56,64,72,80),0))))/100)*((1+(((C870=TRUE)*F870*5/7)+((C877=TRUE)*(F877-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857)</f>
        <v/>
      </c>
      <c r="L857">
        <f>K857*(MIN(Inputs!$B$22+((C875=TRUE)*(F875-Calc!F22)),(Inputs!$B$23+0+(IF(ArtifactsInput!$M$15,CHOOSE(ArtifactsInput!$N$15+1,25,30,35,40,45,50)/100*(Inputs!$B$11-Inputs!$B$11),0))))/100+(Inputs!$B$23+0+(IF(ArtifactsInput!$M$15,CHOOSE(ArtifactsInput!$N$15+1,25,30,35,40,45,50)/100*(Inputs!$B$11-Inputs!$B$11),0)))/100)/2</f>
        <v/>
      </c>
      <c r="M857">
        <f>L857*(1+(Inputs!$B$10+((C878=TRUE)*(F878-Calc!F25))+B889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57">
        <f>L857*(1-MIN((Inputs!$B$9+((C872=TRUE)*(F872-Calc!F19))+B884+(ArtifactsInput!$M$24-ArtifactsInput!$M$24)*CHOOSE(ArtifactsInput!$N$24+1,10,12,14,16,18,20)+(IF(AND(Inputs!$B$38&lt;&gt;"pvp",Inputs!$B$43=0),1,IF(IF(Inputs!$B$38="pvp",15,Inputs!$B$43)-(B891)&lt;=0,1,MAX(0,IF(Inputs!$B$38="pvp",15,Inputs!$B$43)-MAX(5,B891))/(IF(Inputs!$B$38="pvp",15,Inputs!$B$43)-(B891))))*IF(AND(ArtifactsInput!$M$42,((Inputs!$B$9+((C872=TRUE)*(F872-Calc!F19))+B884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857*(MIN((Inputs!$B$9+((C872=TRUE)*(F872-Calc!F19))+B884+(ArtifactsInput!$M$24-ArtifactsInput!$M$24)*CHOOSE(ArtifactsInput!$N$24+1,10,12,14,16,18,20)+(IF(AND(Inputs!$B$38&lt;&gt;"pvp",Inputs!$B$43=0),1,IF(IF(Inputs!$B$38="pvp",15,Inputs!$B$43)-(B891)&lt;=0,1,MAX(0,IF(Inputs!$B$38="pvp",15,Inputs!$B$43)-MAX(5,B891))/(IF(Inputs!$B$38="pvp",15,Inputs!$B$43)-(B891))))*IF(AND(ArtifactsInput!$M$42,((Inputs!$B$9+((C872=TRUE)*(F872-Calc!F19))+B884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57">
        <f>(1-Summary!$B$11)*T857+Summary!$B$11*V857</f>
        <v/>
      </c>
      <c r="P857">
        <f>IF(B894=0,0,O857/B894)</f>
        <v/>
      </c>
      <c r="Q857">
        <f>IFERROR(1/(IF(Inputs!$B$38="pvp",15,MAX(0.1,Skills!D4-IF(TRUE=TRUE,Inputs!$B$32,0)))*(1-IF(AND(ArtifactsInput!$M$27,Inputs!$B$4="Chapter Hunt"),CHOOSE(ArtifactsInput!$N$27+1,20,24,28,32,36,40),0)/100)),0)</f>
        <v/>
      </c>
      <c r="R857">
        <f>IF(AND(Inputs!$B$38&lt;&gt;"pvp",Inputs!$B$43&gt;0),IF(MAX(0,Inputs!$B$43-B891)&lt;=0,0,(INT(MAX(0,Inputs!$B$43-B891)/(IF(Inputs!$B$38="pvp",15,MAX(0.1,Skills!D4-IF(TRUE=TRUE,Inputs!$B$32,0)))*(1-IF(AND(ArtifactsInput!$M$27,Inputs!$B$4="Chapter Hunt"),CHOOSE(ArtifactsInput!$N$27+1,20,24,28,32,36,40),0)/100)))+1)),0)</f>
        <v/>
      </c>
      <c r="S857">
        <f>IFERROR(O857/N857,0)</f>
        <v/>
      </c>
      <c r="T857">
        <f>IF(C857,(H857*N857*IF(AND(Inputs!$B$38&lt;&gt;"pvp",Inputs!$B$43&gt;0),((Skills!G4*((R857-1)*IF(Skills!H4&gt;0,INT(IF(Inputs!$B$3&gt;=104,MIN(35,20*(1+Inputs!$B$34/100)),20)/Skills!H4+0.000000001),1)+IF(Skills!H4&gt;0,INT(MIN(IF(Inputs!$B$3&gt;=104,MIN(35,20*(1+Inputs!$B$34/100)),20),MAX(0,MAX(0,Inputs!$B$43-B891)-((R857-1)*(IF(Inputs!$B$38="pvp",15,MAX(0.1,Skills!D4-IF(TRUE=TRUE,Inputs!$B$32,0)))*(1-IF(AND(ArtifactsInput!$M$27,Inputs!$B$4="Chapter Hunt"),CHOOSE(ArtifactsInput!$N$27+1,20,24,28,32,36,40),0)/100)))))/Skills!H4+0.000000001),1)))/Inputs!$B$43),G857*Q857))*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Hunt"),CHOOSE(ArtifactsInput!$N$35+1,15,18,21,24,27,30)*(1-EXP(-(0.2*B886)*5)),0)+IF(AND(ArtifactsInput!$M$22,Inputs!$B$4&lt;&gt;"Chapter Hunt"),CHOOSE(ArtifactsInput!$N$22+1,10,12,14,16,18,20)*((0*(((0.15*B886*5))^0/1)+1*(((0.15*B886*5))^1/1)+2*(((0.15*B886*5))^2/2)+3*(((0.15*B886*5))^3/6)+4*(((0.15*B886*5))^4/24)+5*(((0.15*B886*5))^5/120))/((((0.15*B886*5))^0/1)+(((0.15*B886*5))^1/1)+(((0.15*B886*5))^2/2)+(((0.15*B886*5))^3/6)+(((0.15*B886*5))^4/24)+(((0.15*B886*5))^5/120))),0))+IF(Inputs!$B$3&gt;=54,9*(C856=TRUE)*MIN(1,8*(1+Inputs!$B$34/100)*Q856)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857*(1-MIN(100,(Inputs!$B$9+((C872=TRUE)*(F872-Calc!F19))+B884+(ArtifactsInput!$M$24-ArtifactsInput!$M$24)*CHOOSE(ArtifactsInput!$N$24+1,10,12,14,16,18,20)+(IF(AND(Inputs!$B$38&lt;&gt;"pvp",Inputs!$B$43=0),1,IF(IF(Inputs!$B$38="pvp",15,Inputs!$B$43)-(B891)&lt;=0,1,MAX(0,IF(Inputs!$B$38="pvp",15,Inputs!$B$43)-MAX(5,B891))/(IF(Inputs!$B$38="pvp",15,Inputs!$B$43)-(B891))))*IF(AND(ArtifactsInput!$M$42,((Inputs!$B$9+((C872=TRUE)*(F872-Calc!F19))+B884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857*(MIN(100,(Inputs!$B$9+((C872=TRUE)*(F872-Calc!F19))+B884+(ArtifactsInput!$M$24-ArtifactsInput!$M$24)*CHOOSE(ArtifactsInput!$N$24+1,10,12,14,16,18,20)+(IF(AND(Inputs!$B$38&lt;&gt;"pvp",Inputs!$B$43=0),1,IF(IF(Inputs!$B$38="pvp",15,Inputs!$B$43)-(B891)&lt;=0,1,MAX(0,IF(Inputs!$B$38="pvp",15,Inputs!$B$43)-MAX(5,B891))/(IF(Inputs!$B$38="pvp",15,Inputs!$B$43)-(B891))))*IF(AND(ArtifactsInput!$M$42,((Inputs!$B$9+((C872=TRUE)*(F872-Calc!F19))+B884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857*(1-MIN(100,(Inputs!$B$9+((C872=TRUE)*(F872-Calc!F19))+B884+(ArtifactsInput!$M$24-ArtifactsInput!$M$24)*CHOOSE(ArtifactsInput!$N$24+1,10,12,14,16,18,20)+(IF(AND(Inputs!$B$38&lt;&gt;"pvp",Inputs!$B$43=0),1,IF(IF(Inputs!$B$38="pvp",15,Inputs!$B$43)-(B891)&lt;=0,1,MAX(0,IF(Inputs!$B$38="pvp",15,Inputs!$B$43)-MAX(5,B891))/(IF(Inputs!$B$38="pvp",15,Inputs!$B$43)-(B891))))*IF(AND(ArtifactsInput!$M$42,((Inputs!$B$9+((C872=TRUE)*(F872-Calc!F19))+B884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857*(MIN(100,(Inputs!$B$9+((C872=TRUE)*(F872-Calc!F19))+B884+(ArtifactsInput!$M$24-ArtifactsInput!$M$24)*CHOOSE(ArtifactsInput!$N$24+1,10,12,14,16,18,20)+(IF(AND(Inputs!$B$38&lt;&gt;"pvp",Inputs!$B$43=0),1,IF(IF(Inputs!$B$38="pvp",15,Inputs!$B$43)-(B891)&lt;=0,1,MAX(0,IF(Inputs!$B$38="pvp",15,Inputs!$B$43)-MAX(5,B891))/(IF(Inputs!$B$38="pvp",15,Inputs!$B$43)-(B891))))*IF(AND(ArtifactsInput!$M$42,((Inputs!$B$9+((C872=TRUE)*(F872-Calc!F19))+B884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857">
        <f>290*U856/1000</f>
        <v/>
      </c>
      <c r="V857">
        <f>IF(C857,(H857*N857*IF(AND(Inputs!$B$38&lt;&gt;"pvp",Inputs!$B$43&gt;0),((Skills!G4*((R857-1)*IF(Skills!H4&gt;0,INT(IF(Inputs!$B$3&gt;=104,MIN(35,20*(1+Inputs!$B$34/100)),20)/Skills!H4+0.000000001),1)+IF(Skills!H4&gt;0,INT(MIN(IF(Inputs!$B$3&gt;=104,MIN(35,20*(1+Inputs!$B$34/100)),20),MAX(0,MAX(0,Inputs!$B$43-B891)-((R857-1)*(IF(Inputs!$B$38="pvp",15,MAX(0.1,Skills!D4-IF(TRUE=TRUE,Inputs!$B$32,0)))*(1-IF(AND(ArtifactsInput!$M$27,Inputs!$B$4="Chapter Hunt"),CHOOSE(ArtifactsInput!$N$27+1,20,24,28,32,36,40),0)/100)))))/Skills!H4+0.000000001),1)))/Inputs!$B$43),G857*Q857))*IF(Inputs!$B$38="pvp",1,(1+(Inputs!$B$21+Skills!Q4+(IF(ArtifactsInput!$M$33,CHOOSE(ArtifactsInput!$N$33+1,30,36,42,48,54,60),0))+(IF(AND(ArtifactsInput!$M$35,Inputs!$B$4&lt;&gt;"Chapter Hunt"),CHOOSE(ArtifactsInput!$N$35+1,15,18,21,24,27,30)*(1-EXP(-(0.2*B886)*5)),0)+IF(AND(ArtifactsInput!$M$22,Inputs!$B$4&lt;&gt;"Chapter Hunt"),CHOOSE(ArtifactsInput!$N$22+1,10,12,14,16,18,20)*((0*(((0.15*B886*5))^0/1)+1*(((0.15*B886*5))^1/1)+2*(((0.15*B886*5))^2/2)+3*(((0.15*B886*5))^3/6)+4*(((0.15*B886*5))^4/24)+5*(((0.15*B886*5))^5/120))/((((0.15*B886*5))^0/1)+(((0.15*B886*5))^1/1)+(((0.15*B886*5))^2/2)+(((0.15*B886*5))^3/6)+(((0.15*B886*5))^4/24)+(((0.15*B886*5))^5/120))),0))+IF(Inputs!$B$3&gt;=54,9*(C856=TRUE)*MIN(1,8*(1+Inputs!$B$34/100)*Q856),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58">
      <c r="A858">
        <f>Skills!A5</f>
        <v/>
      </c>
      <c r="B858">
        <f>Skills!B5</f>
        <v/>
      </c>
      <c r="C858">
        <f>Inputs!$B$3&gt;=69</f>
        <v/>
      </c>
      <c r="D858">
        <f>IF(Skills!C5=1,60+Inputs!$B$25+Inputs!$B$29,IF(Skills!C5=2,90+(Inputs!$B$26+1)+Inputs!$B$29,IF(Skills!C5=3,120+Inputs!$B$27+Inputs!$B$29,MAX(0,(Inputs!$B$3-100)*3)+Inputs!$B$28+Inputs!$B$29)))</f>
        <v/>
      </c>
      <c r="E858">
        <f>INDEX(FactorTable!$B$2:$Y$301, MATCH(ROUND(MIN(300,MAX(1,D858)),0), FactorTable!$A$2:$A$301,0), Skills!M5+1)</f>
        <v/>
      </c>
      <c r="F858">
        <f>IF(Skills!N5=TRUE,(Skills!L5/10)*(E858/1000),Skills!L5/10)+Skills!O5</f>
        <v/>
      </c>
      <c r="G858">
        <f>Skills!G5*IF(Skills!H5&gt;0,INT(IF(Inputs!$B$38="pvp",MIN(IF(Inputs!$B$3&gt;=104,MIN(35,20*(1+Inputs!$B$34/100)),20),15),IF(Inputs!$B$3&gt;=104,MIN(35,20*(1+Inputs!$B$34/100)),20))/Skills!H5+0.000000001),1)</f>
        <v/>
      </c>
      <c r="H858">
        <f>1-(1-Skills!J5/100)^Skills!K5</f>
        <v/>
      </c>
      <c r="I858" t="inlineStr">
        <is>
          <t>1</t>
        </is>
      </c>
      <c r="J858">
        <f>((Inputs!$B$6*(1+Inputs!$B$7/100))+(((Inputs!$B$12*(1+Inputs!$B$13/100))-(Inputs!$B$12*(1+Inputs!$B$13/100)))+0.25*(Inputs!$B$14-Inputs!$B$14))*(1+Inputs!$B$7/100))*(F858/100)</f>
        <v/>
      </c>
      <c r="K858">
        <f>J858*(1+((Inputs!$B$12*(1+Inputs!$B$13/100))*0.01+Inputs!$B$14*0.0025)/100)*(1+Inputs!$B$15/100)*(1+Inputs!$B$16/100)*(5000/(6000+Inputs!$B$42*(1-(100*(1-(1-(Inputs!$B$19+0)/100)*(1-CHOOSE(ArtifactsInput!$N$40+1,5,6,7,8,9,10)/100)^(ArtifactsInput!$M$40-ArtifactsInput!$M$40)))/100)))*(1+(Inputs!$B$24+((C879=TRUE)*(F879-Calc!F26))+B890)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+0.4*IF(C869=TRUE,F869,0)/100)*(1+(IF(Skills!A5="EIGHT_LEGS_EASTON",Inputs!$B$17+((C876=TRUE)*(F876-Calc!F23))+((C880=TRUE)*(F880-Calc!F27))+((IF(AND(Inputs!$B$38&lt;&gt;"pvp",Inputs!$B$43=0),1,IF(IF(Inputs!$B$38="pvp",15,Inputs!$B$43)-(B891)&lt;=0,1,MAX(0,IF(Inputs!$B$38="pvp",15,Inputs!$B$43)-MAX(5,B891))/(IF(Inputs!$B$38="pvp",15,Inputs!$B$43)-(B891))))*(IF(AND(ArtifactsInput!$M$42,((Inputs!$B$9+((C872=TRUE)*(F872-Calc!F19))+B884+(ArtifactsInput!$M$24-ArtifactsInput!$M$24)*CHOOSE(ArtifactsInput!$N$24+1,10,12,14,16,18,20)+IF(ArtifactsInput!$M$10,CHOOSE(ArtifactsInput!$N$10+1,15,18,21,24,27,30)*(IF(Inputs!$B$38="pvp",MIN(15,15)/15,IF(AND(Inputs!$B$38&lt;&gt;"pvp",Inputs!$B$43&gt;0),MIN(15,Inputs!$B$43)/(Inputs!$B$43),0))),0)))&gt;=100),MIN(100,((Inputs!$B$9+((C872=TRUE)*(F872-Calc!F19))+B884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891)&lt;=0,1,MAX(0,IF(Inputs!$B$38="pvp",15,Inputs!$B$43)-MAX(5,B891))/(IF(Inputs!$B$38="pvp",15,Inputs!$B$43)-(B891))))*IF(AND(ArtifactsInput!$M$42,((Inputs!$B$9+((C872=TRUE)*(F872-Calc!F19))+B884+(ArtifactsInput!$M$24-ArtifactsInput!$M$24)*CHOOSE(ArtifactsInput!$N$24+1,10,12,14,16,18,20)+IF(ArtifactsInput!$M$10,CHOOSE(ArtifactsInput!$N$10+1,15,18,21,24,27,30)*(IF(Inputs!$B$38="pvp",MIN(15,15)/15,IF(AND(Inputs!$B$38&lt;&gt;"pvp",Inputs!$B$43&gt;0),MIN(15,Inputs!$B$43)/(Inputs!$B$43),0))),0)))&gt;=100),CHOOSE(ArtifactsInput!$N$42+1,40,48,56,64,72,80),0))))/100)*((1+(((C870=TRUE)*F870*5/7)+((C877=TRUE)*(F877-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858)</f>
        <v/>
      </c>
      <c r="L858">
        <f>K858*(MIN(Inputs!$B$22+((C875=TRUE)*(F875-Calc!F22)),(Inputs!$B$23+0+(IF(ArtifactsInput!$M$15,CHOOSE(ArtifactsInput!$N$15+1,25,30,35,40,45,50)/100*(Inputs!$B$11-Inputs!$B$11),0))))/100+(Inputs!$B$23+0+(IF(ArtifactsInput!$M$15,CHOOSE(ArtifactsInput!$N$15+1,25,30,35,40,45,50)/100*(Inputs!$B$11-Inputs!$B$11),0)))/100)/2</f>
        <v/>
      </c>
      <c r="M858">
        <f>L858*(1+(Inputs!$B$10+((C878=TRUE)*(F878-Calc!F25))+B889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58">
        <f>L858*(1-MIN((Inputs!$B$9+((C872=TRUE)*(F872-Calc!F19))+B884+(ArtifactsInput!$M$24-ArtifactsInput!$M$24)*CHOOSE(ArtifactsInput!$N$24+1,10,12,14,16,18,20)+(IF(AND(Inputs!$B$38&lt;&gt;"pvp",Inputs!$B$43=0),1,IF(IF(Inputs!$B$38="pvp",15,Inputs!$B$43)-(B891)&lt;=0,1,MAX(0,IF(Inputs!$B$38="pvp",15,Inputs!$B$43)-MAX(5,B891))/(IF(Inputs!$B$38="pvp",15,Inputs!$B$43)-(B891))))*IF(AND(ArtifactsInput!$M$42,((Inputs!$B$9+((C872=TRUE)*(F872-Calc!F19))+B884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858*(MIN((Inputs!$B$9+((C872=TRUE)*(F872-Calc!F19))+B884+(ArtifactsInput!$M$24-ArtifactsInput!$M$24)*CHOOSE(ArtifactsInput!$N$24+1,10,12,14,16,18,20)+(IF(AND(Inputs!$B$38&lt;&gt;"pvp",Inputs!$B$43=0),1,IF(IF(Inputs!$B$38="pvp",15,Inputs!$B$43)-(B891)&lt;=0,1,MAX(0,IF(Inputs!$B$38="pvp",15,Inputs!$B$43)-MAX(5,B891))/(IF(Inputs!$B$38="pvp",15,Inputs!$B$43)-(B891))))*IF(AND(ArtifactsInput!$M$42,((Inputs!$B$9+((C872=TRUE)*(F872-Calc!F19))+B884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58">
        <f>(1-Summary!$B$11)*T858+Summary!$B$11*V858</f>
        <v/>
      </c>
      <c r="P858">
        <f>IF(B894=0,0,O858/B894)</f>
        <v/>
      </c>
      <c r="Q858">
        <f>IFERROR(1/(IF(Inputs!$B$38="pvp",15,MAX(0.1,Skills!D5-IF(TRUE=TRUE,Inputs!$B$32,0)))*(1-IF(AND(ArtifactsInput!$M$27,Inputs!$B$4="Chapter Hunt"),CHOOSE(ArtifactsInput!$N$27+1,20,24,28,32,36,40),0)/100)),0)</f>
        <v/>
      </c>
      <c r="R858">
        <f>IF(AND(Inputs!$B$38&lt;&gt;"pvp",Inputs!$B$43&gt;0),IF(MAX(0,Inputs!$B$43-B891)&lt;=0,0,(INT(MAX(0,Inputs!$B$43-B891)/(IF(Inputs!$B$38="pvp",15,MAX(0.1,Skills!D5-IF(TRUE=TRUE,Inputs!$B$32,0)))*(1-IF(AND(ArtifactsInput!$M$27,Inputs!$B$4="Chapter Hunt"),CHOOSE(ArtifactsInput!$N$27+1,20,24,28,32,36,40),0)/100)))+1)),0)</f>
        <v/>
      </c>
      <c r="S858">
        <f>IFERROR(O858/N858,0)</f>
        <v/>
      </c>
      <c r="T858">
        <f>IF(C858,(H858*N858*IF(AND(Inputs!$B$38&lt;&gt;"pvp",Inputs!$B$43&gt;0),((Skills!G5*((R858-1)*IF(Skills!H5&gt;0,INT(IF(Inputs!$B$3&gt;=104,MIN(35,20*(1+Inputs!$B$34/100)),20)/Skills!H5+0.000000001),1)+IF(Skills!H5&gt;0,INT(MIN(IF(Inputs!$B$3&gt;=104,MIN(35,20*(1+Inputs!$B$34/100)),20),MAX(0,MAX(0,Inputs!$B$43-B891)-((R858-1)*(IF(Inputs!$B$38="pvp",15,MAX(0.1,Skills!D5-IF(TRUE=TRUE,Inputs!$B$32,0)))*(1-IF(AND(ArtifactsInput!$M$27,Inputs!$B$4="Chapter Hunt"),CHOOSE(ArtifactsInput!$N$27+1,20,24,28,32,36,40),0)/100)))))/Skills!H5+0.000000001),1)))/Inputs!$B$43),G858*Q858))*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Hunt"),CHOOSE(ArtifactsInput!$N$35+1,15,18,21,24,27,30)*(1-EXP(-(0.2*B886)*5)),0)+IF(AND(ArtifactsInput!$M$22,Inputs!$B$4&lt;&gt;"Chapter Hunt"),CHOOSE(ArtifactsInput!$N$22+1,10,12,14,16,18,20)*((0*(((0.15*B886*5))^0/1)+1*(((0.15*B886*5))^1/1)+2*(((0.15*B886*5))^2/2)+3*(((0.15*B886*5))^3/6)+4*(((0.15*B886*5))^4/24)+5*(((0.15*B886*5))^5/120))/((((0.15*B886*5))^0/1)+(((0.15*B886*5))^1/1)+(((0.15*B886*5))^2/2)+(((0.15*B886*5))^3/6)+(((0.15*B886*5))^4/24)+(((0.15*B886*5))^5/120))),0))+IF(Inputs!$B$3&gt;=54,9*(C856=TRUE)*MIN(1,8*(1+Inputs!$B$34/100)*Q856)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858*(1-MIN(100,(Inputs!$B$9+((C872=TRUE)*(F872-Calc!F19))+B884+(ArtifactsInput!$M$24-ArtifactsInput!$M$24)*CHOOSE(ArtifactsInput!$N$24+1,10,12,14,16,18,20)+(IF(AND(Inputs!$B$38&lt;&gt;"pvp",Inputs!$B$43=0),1,IF(IF(Inputs!$B$38="pvp",15,Inputs!$B$43)-(B891)&lt;=0,1,MAX(0,IF(Inputs!$B$38="pvp",15,Inputs!$B$43)-MAX(5,B891))/(IF(Inputs!$B$38="pvp",15,Inputs!$B$43)-(B891))))*IF(AND(ArtifactsInput!$M$42,((Inputs!$B$9+((C872=TRUE)*(F872-Calc!F19))+B884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858*(MIN(100,(Inputs!$B$9+((C872=TRUE)*(F872-Calc!F19))+B884+(ArtifactsInput!$M$24-ArtifactsInput!$M$24)*CHOOSE(ArtifactsInput!$N$24+1,10,12,14,16,18,20)+(IF(AND(Inputs!$B$38&lt;&gt;"pvp",Inputs!$B$43=0),1,IF(IF(Inputs!$B$38="pvp",15,Inputs!$B$43)-(B891)&lt;=0,1,MAX(0,IF(Inputs!$B$38="pvp",15,Inputs!$B$43)-MAX(5,B891))/(IF(Inputs!$B$38="pvp",15,Inputs!$B$43)-(B891))))*IF(AND(ArtifactsInput!$M$42,((Inputs!$B$9+((C872=TRUE)*(F872-Calc!F19))+B884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858*(1-MIN(100,(Inputs!$B$9+((C872=TRUE)*(F872-Calc!F19))+B884+(ArtifactsInput!$M$24-ArtifactsInput!$M$24)*CHOOSE(ArtifactsInput!$N$24+1,10,12,14,16,18,20)+(IF(AND(Inputs!$B$38&lt;&gt;"pvp",Inputs!$B$43=0),1,IF(IF(Inputs!$B$38="pvp",15,Inputs!$B$43)-(B891)&lt;=0,1,MAX(0,IF(Inputs!$B$38="pvp",15,Inputs!$B$43)-MAX(5,B891))/(IF(Inputs!$B$38="pvp",15,Inputs!$B$43)-(B891))))*IF(AND(ArtifactsInput!$M$42,((Inputs!$B$9+((C872=TRUE)*(F872-Calc!F19))+B884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858*(MIN(100,(Inputs!$B$9+((C872=TRUE)*(F872-Calc!F19))+B884+(ArtifactsInput!$M$24-ArtifactsInput!$M$24)*CHOOSE(ArtifactsInput!$N$24+1,10,12,14,16,18,20)+(IF(AND(Inputs!$B$38&lt;&gt;"pvp",Inputs!$B$43=0),1,IF(IF(Inputs!$B$38="pvp",15,Inputs!$B$43)-(B891)&lt;=0,1,MAX(0,IF(Inputs!$B$38="pvp",15,Inputs!$B$43)-MAX(5,B891))/(IF(Inputs!$B$38="pvp",15,Inputs!$B$43)-(B891))))*IF(AND(ArtifactsInput!$M$42,((Inputs!$B$9+((C872=TRUE)*(F872-Calc!F19))+B884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858">
        <f>IF(C858,(H858*N858*IF(AND(Inputs!$B$38&lt;&gt;"pvp",Inputs!$B$43&gt;0),((Skills!G5*((R858-1)*IF(Skills!H5&gt;0,INT(IF(Inputs!$B$3&gt;=104,MIN(35,20*(1+Inputs!$B$34/100)),20)/Skills!H5+0.000000001),1)+IF(Skills!H5&gt;0,INT(MIN(IF(Inputs!$B$3&gt;=104,MIN(35,20*(1+Inputs!$B$34/100)),20),MAX(0,MAX(0,Inputs!$B$43-B891)-((R858-1)*(IF(Inputs!$B$38="pvp",15,MAX(0.1,Skills!D5-IF(TRUE=TRUE,Inputs!$B$32,0)))*(1-IF(AND(ArtifactsInput!$M$27,Inputs!$B$4="Chapter Hunt"),CHOOSE(ArtifactsInput!$N$27+1,20,24,28,32,36,40),0)/100)))))/Skills!H5+0.000000001),1)))/Inputs!$B$43),G858*Q858))*IF(Inputs!$B$38="pvp",1,(1+(Inputs!$B$21+Skills!Q5+(IF(ArtifactsInput!$M$33,CHOOSE(ArtifactsInput!$N$33+1,30,36,42,48,54,60),0))+(IF(AND(ArtifactsInput!$M$35,Inputs!$B$4&lt;&gt;"Chapter Hunt"),CHOOSE(ArtifactsInput!$N$35+1,15,18,21,24,27,30)*(1-EXP(-(0.2*B886)*5)),0)+IF(AND(ArtifactsInput!$M$22,Inputs!$B$4&lt;&gt;"Chapter Hunt"),CHOOSE(ArtifactsInput!$N$22+1,10,12,14,16,18,20)*((0*(((0.15*B886*5))^0/1)+1*(((0.15*B886*5))^1/1)+2*(((0.15*B886*5))^2/2)+3*(((0.15*B886*5))^3/6)+4*(((0.15*B886*5))^4/24)+5*(((0.15*B886*5))^5/120))/((((0.15*B886*5))^0/1)+(((0.15*B886*5))^1/1)+(((0.15*B886*5))^2/2)+(((0.15*B886*5))^3/6)+(((0.15*B886*5))^4/24)+(((0.15*B886*5))^5/120))),0))+IF(Inputs!$B$3&gt;=54,9*(C856=TRUE)*MIN(1,8*(1+Inputs!$B$34/100)*Q856),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59">
      <c r="A859">
        <f>Skills!A6</f>
        <v/>
      </c>
      <c r="B859">
        <f>Skills!B6</f>
        <v/>
      </c>
      <c r="C859">
        <f>Inputs!$B$3&gt;=66</f>
        <v/>
      </c>
      <c r="D859">
        <f>IF(Skills!C6=1,60+Inputs!$B$25+Inputs!$B$29,IF(Skills!C6=2,90+(Inputs!$B$26+1)+Inputs!$B$29,IF(Skills!C6=3,120+Inputs!$B$27+Inputs!$B$29,MAX(0,(Inputs!$B$3-100)*3)+Inputs!$B$28+Inputs!$B$29)))</f>
        <v/>
      </c>
      <c r="E859">
        <f>INDEX(FactorTable!$B$2:$Y$301, MATCH(ROUND(MIN(300,MAX(1,D859)),0), FactorTable!$A$2:$A$301,0), Skills!M6+1)</f>
        <v/>
      </c>
      <c r="F859">
        <f>IF(Skills!N6=TRUE,(Skills!L6/10)*(E859/1000),Skills!L6/10)+Skills!O6</f>
        <v/>
      </c>
      <c r="G859">
        <f>Skills!G6*IF(Skills!H6&gt;0,INT(IF(Inputs!$B$38="pvp",MIN(Skills!I6,15),Skills!I6)/Skills!H6+0.000000001),1)</f>
        <v/>
      </c>
      <c r="H859">
        <f>1-(1-Skills!J6/100)^Skills!K6</f>
        <v/>
      </c>
      <c r="I859" t="inlineStr">
        <is>
          <t>1</t>
        </is>
      </c>
      <c r="J859">
        <f>((Inputs!$B$6*(1+Inputs!$B$7/100))+(((Inputs!$B$12*(1+Inputs!$B$13/100))-(Inputs!$B$12*(1+Inputs!$B$13/100)))+0.25*(Inputs!$B$14-Inputs!$B$14))*(1+Inputs!$B$7/100))*(F859/100)</f>
        <v/>
      </c>
      <c r="K859">
        <f>J859*(1+((Inputs!$B$12*(1+Inputs!$B$13/100))*0.01+Inputs!$B$14*0.0025)/100)*(1+Inputs!$B$15/100)*(1+Inputs!$B$16/100)*(5000/(6000+Inputs!$B$42*(1-(100*(1-(1-(Inputs!$B$19+0)/100)*(1-CHOOSE(ArtifactsInput!$N$40+1,5,6,7,8,9,10)/100)^(ArtifactsInput!$M$40-ArtifactsInput!$M$40)))/100)))*(1+(Inputs!$B$24+((C879=TRUE)*(F879-Calc!F26))+B890)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+2.0*IF(C868=TRUE,F868,0)/100)*(1+(IF(Skills!A6="EIGHT_LEGS_EASTON",Inputs!$B$17+((C876=TRUE)*(F876-Calc!F23))+((C880=TRUE)*(F880-Calc!F27))+((IF(AND(Inputs!$B$38&lt;&gt;"pvp",Inputs!$B$43=0),1,IF(IF(Inputs!$B$38="pvp",15,Inputs!$B$43)-(B891)&lt;=0,1,MAX(0,IF(Inputs!$B$38="pvp",15,Inputs!$B$43)-MAX(5,B891))/(IF(Inputs!$B$38="pvp",15,Inputs!$B$43)-(B891))))*(IF(AND(ArtifactsInput!$M$42,((Inputs!$B$9+((C872=TRUE)*(F872-Calc!F19))+B884+(ArtifactsInput!$M$24-ArtifactsInput!$M$24)*CHOOSE(ArtifactsInput!$N$24+1,10,12,14,16,18,20)+IF(ArtifactsInput!$M$10,CHOOSE(ArtifactsInput!$N$10+1,15,18,21,24,27,30)*(IF(Inputs!$B$38="pvp",MIN(15,15)/15,IF(AND(Inputs!$B$38&lt;&gt;"pvp",Inputs!$B$43&gt;0),MIN(15,Inputs!$B$43)/(Inputs!$B$43),0))),0)))&gt;=100),MIN(100,((Inputs!$B$9+((C872=TRUE)*(F872-Calc!F19))+B884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891)&lt;=0,1,MAX(0,IF(Inputs!$B$38="pvp",15,Inputs!$B$43)-MAX(5,B891))/(IF(Inputs!$B$38="pvp",15,Inputs!$B$43)-(B891))))*IF(AND(ArtifactsInput!$M$42,((Inputs!$B$9+((C872=TRUE)*(F872-Calc!F19))+B884+(ArtifactsInput!$M$24-ArtifactsInput!$M$24)*CHOOSE(ArtifactsInput!$N$24+1,10,12,14,16,18,20)+IF(ArtifactsInput!$M$10,CHOOSE(ArtifactsInput!$N$10+1,15,18,21,24,27,30)*(IF(Inputs!$B$38="pvp",MIN(15,15)/15,IF(AND(Inputs!$B$38&lt;&gt;"pvp",Inputs!$B$43&gt;0),MIN(15,Inputs!$B$43)/(Inputs!$B$43),0))),0)))&gt;=100),CHOOSE(ArtifactsInput!$N$42+1,40,48,56,64,72,80),0))))/100)*((1+(((C870=TRUE)*F870*5/7)+((C877=TRUE)*(F877-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859)</f>
        <v/>
      </c>
      <c r="L859">
        <f>K859*(MIN(Inputs!$B$22+((C875=TRUE)*(F875-Calc!F22)),(Inputs!$B$23+0+(IF(ArtifactsInput!$M$15,CHOOSE(ArtifactsInput!$N$15+1,25,30,35,40,45,50)/100*(Inputs!$B$11-Inputs!$B$11),0))))/100+(Inputs!$B$23+0+(IF(ArtifactsInput!$M$15,CHOOSE(ArtifactsInput!$N$15+1,25,30,35,40,45,50)/100*(Inputs!$B$11-Inputs!$B$11),0)))/100)/2</f>
        <v/>
      </c>
      <c r="M859">
        <f>L859*(1+(Inputs!$B$10+((C878=TRUE)*(F878-Calc!F25))+B889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59">
        <f>L859*(1-MIN((Inputs!$B$9+((C872=TRUE)*(F872-Calc!F19))+B884+(ArtifactsInput!$M$24-ArtifactsInput!$M$24)*CHOOSE(ArtifactsInput!$N$24+1,10,12,14,16,18,20)+(IF(AND(Inputs!$B$38&lt;&gt;"pvp",Inputs!$B$43=0),1,IF(IF(Inputs!$B$38="pvp",15,Inputs!$B$43)-(B891)&lt;=0,1,MAX(0,IF(Inputs!$B$38="pvp",15,Inputs!$B$43)-MAX(5,B891))/(IF(Inputs!$B$38="pvp",15,Inputs!$B$43)-(B891))))*IF(AND(ArtifactsInput!$M$42,((Inputs!$B$9+((C872=TRUE)*(F872-Calc!F19))+B884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859*(MIN((Inputs!$B$9+((C872=TRUE)*(F872-Calc!F19))+B884+(ArtifactsInput!$M$24-ArtifactsInput!$M$24)*CHOOSE(ArtifactsInput!$N$24+1,10,12,14,16,18,20)+(IF(AND(Inputs!$B$38&lt;&gt;"pvp",Inputs!$B$43=0),1,IF(IF(Inputs!$B$38="pvp",15,Inputs!$B$43)-(B891)&lt;=0,1,MAX(0,IF(Inputs!$B$38="pvp",15,Inputs!$B$43)-MAX(5,B891))/(IF(Inputs!$B$38="pvp",15,Inputs!$B$43)-(B891))))*IF(AND(ArtifactsInput!$M$42,((Inputs!$B$9+((C872=TRUE)*(F872-Calc!F19))+B884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59">
        <f>(1-Summary!$B$11)*T859+Summary!$B$11*V859</f>
        <v/>
      </c>
      <c r="P859">
        <f>IF(B894=0,0,O859/B894)</f>
        <v/>
      </c>
      <c r="Q859">
        <f>IFERROR(1/(IF(Inputs!$B$38="pvp",15,MAX(0.1,Skills!D6-IF(TRUE=TRUE,Inputs!$B$32,0)))*(1-IF(AND(ArtifactsInput!$M$27,Inputs!$B$4="Chapter Hunt"),CHOOSE(ArtifactsInput!$N$27+1,20,24,28,32,36,40),0)/100)),0)</f>
        <v/>
      </c>
      <c r="R859">
        <f>IF(AND(Inputs!$B$38&lt;&gt;"pvp",Inputs!$B$43&gt;0),IF(MAX(0,Inputs!$B$43-B891)&lt;=0,0,(INT(MAX(0,Inputs!$B$43-B891)/(IF(Inputs!$B$38="pvp",15,MAX(0.1,Skills!D6-IF(TRUE=TRUE,Inputs!$B$32,0)))*(1-IF(AND(ArtifactsInput!$M$27,Inputs!$B$4="Chapter Hunt"),CHOOSE(ArtifactsInput!$N$27+1,20,24,28,32,36,40),0)/100)))+1)),0)</f>
        <v/>
      </c>
      <c r="S859">
        <f>IFERROR(O859/N859,0)</f>
        <v/>
      </c>
      <c r="T859">
        <f>IF(C859,(H859*N859*IF(AND(Inputs!$B$38&lt;&gt;"pvp",Inputs!$B$43&gt;0),((Skills!G6*((R859-1)*IF(Skills!H6&gt;0,INT(Skills!I6/Skills!H6+0.000000001),1)+IF(Skills!H6&gt;0,INT(MIN(Skills!I6,MAX(0,MAX(0,Inputs!$B$43-B891)-((R859-1)*(IF(Inputs!$B$38="pvp",15,MAX(0.1,Skills!D6-IF(TRUE=TRUE,Inputs!$B$32,0)))*(1-IF(AND(ArtifactsInput!$M$27,Inputs!$B$4="Chapter Hunt"),CHOOSE(ArtifactsInput!$N$27+1,20,24,28,32,36,40),0)/100)))))/Skills!H6+0.000000001),1)))/Inputs!$B$43),G859*Q859))*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Hunt"),CHOOSE(ArtifactsInput!$N$35+1,15,18,21,24,27,30)*(1-EXP(-(0.2*B886)*5)),0)+IF(AND(ArtifactsInput!$M$22,Inputs!$B$4&lt;&gt;"Chapter Hunt"),CHOOSE(ArtifactsInput!$N$22+1,10,12,14,16,18,20)*((0*(((0.15*B886*5))^0/1)+1*(((0.15*B886*5))^1/1)+2*(((0.15*B886*5))^2/2)+3*(((0.15*B886*5))^3/6)+4*(((0.15*B886*5))^4/24)+5*(((0.15*B886*5))^5/120))/((((0.15*B886*5))^0/1)+(((0.15*B886*5))^1/1)+(((0.15*B886*5))^2/2)+(((0.15*B886*5))^3/6)+(((0.15*B886*5))^4/24)+(((0.15*B886*5))^5/120))),0))+IF(Inputs!$B$3&gt;=54,9*(C856=TRUE)*MIN(1,8*(1+Inputs!$B$34/100)*Q856)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859*(1-MIN(100,(Inputs!$B$9+((C872=TRUE)*(F872-Calc!F19))+B884+(ArtifactsInput!$M$24-ArtifactsInput!$M$24)*CHOOSE(ArtifactsInput!$N$24+1,10,12,14,16,18,20)+(IF(AND(Inputs!$B$38&lt;&gt;"pvp",Inputs!$B$43=0),1,IF(IF(Inputs!$B$38="pvp",15,Inputs!$B$43)-(B891)&lt;=0,1,MAX(0,IF(Inputs!$B$38="pvp",15,Inputs!$B$43)-MAX(5,B891))/(IF(Inputs!$B$38="pvp",15,Inputs!$B$43)-(B891))))*IF(AND(ArtifactsInput!$M$42,((Inputs!$B$9+((C872=TRUE)*(F872-Calc!F19))+B884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859*(MIN(100,(Inputs!$B$9+((C872=TRUE)*(F872-Calc!F19))+B884+(ArtifactsInput!$M$24-ArtifactsInput!$M$24)*CHOOSE(ArtifactsInput!$N$24+1,10,12,14,16,18,20)+(IF(AND(Inputs!$B$38&lt;&gt;"pvp",Inputs!$B$43=0),1,IF(IF(Inputs!$B$38="pvp",15,Inputs!$B$43)-(B891)&lt;=0,1,MAX(0,IF(Inputs!$B$38="pvp",15,Inputs!$B$43)-MAX(5,B891))/(IF(Inputs!$B$38="pvp",15,Inputs!$B$43)-(B891))))*IF(AND(ArtifactsInput!$M$42,((Inputs!$B$9+((C872=TRUE)*(F872-Calc!F19))+B884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859*(1-MIN(100,(Inputs!$B$9+((C872=TRUE)*(F872-Calc!F19))+B884+(ArtifactsInput!$M$24-ArtifactsInput!$M$24)*CHOOSE(ArtifactsInput!$N$24+1,10,12,14,16,18,20)+(IF(AND(Inputs!$B$38&lt;&gt;"pvp",Inputs!$B$43=0),1,IF(IF(Inputs!$B$38="pvp",15,Inputs!$B$43)-(B891)&lt;=0,1,MAX(0,IF(Inputs!$B$38="pvp",15,Inputs!$B$43)-MAX(5,B891))/(IF(Inputs!$B$38="pvp",15,Inputs!$B$43)-(B891))))*IF(AND(ArtifactsInput!$M$42,((Inputs!$B$9+((C872=TRUE)*(F872-Calc!F19))+B884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859*(MIN(100,(Inputs!$B$9+((C872=TRUE)*(F872-Calc!F19))+B884+(ArtifactsInput!$M$24-ArtifactsInput!$M$24)*CHOOSE(ArtifactsInput!$N$24+1,10,12,14,16,18,20)+(IF(AND(Inputs!$B$38&lt;&gt;"pvp",Inputs!$B$43=0),1,IF(IF(Inputs!$B$38="pvp",15,Inputs!$B$43)-(B891)&lt;=0,1,MAX(0,IF(Inputs!$B$38="pvp",15,Inputs!$B$43)-MAX(5,B891))/(IF(Inputs!$B$38="pvp",15,Inputs!$B$43)-(B891))))*IF(AND(ArtifactsInput!$M$42,((Inputs!$B$9+((C872=TRUE)*(F872-Calc!F19))+B884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859">
        <f>IF(C859,(H859*N859*IF(AND(Inputs!$B$38&lt;&gt;"pvp",Inputs!$B$43&gt;0),((Skills!G6*((R859-1)*IF(Skills!H6&gt;0,INT(Skills!I6/Skills!H6+0.000000001),1)+IF(Skills!H6&gt;0,INT(MIN(Skills!I6,MAX(0,MAX(0,Inputs!$B$43-B891)-((R859-1)*(IF(Inputs!$B$38="pvp",15,MAX(0.1,Skills!D6-IF(TRUE=TRUE,Inputs!$B$32,0)))*(1-IF(AND(ArtifactsInput!$M$27,Inputs!$B$4="Chapter Hunt"),CHOOSE(ArtifactsInput!$N$27+1,20,24,28,32,36,40),0)/100)))))/Skills!H6+0.000000001),1)))/Inputs!$B$43),G859*Q859))*IF(Inputs!$B$38="pvp",1,(1+(Inputs!$B$21+Skills!Q6+(IF(ArtifactsInput!$M$33,CHOOSE(ArtifactsInput!$N$33+1,30,36,42,48,54,60),0))+(IF(AND(ArtifactsInput!$M$35,Inputs!$B$4&lt;&gt;"Chapter Hunt"),CHOOSE(ArtifactsInput!$N$35+1,15,18,21,24,27,30)*(1-EXP(-(0.2*B886)*5)),0)+IF(AND(ArtifactsInput!$M$22,Inputs!$B$4&lt;&gt;"Chapter Hunt"),CHOOSE(ArtifactsInput!$N$22+1,10,12,14,16,18,20)*((0*(((0.15*B886*5))^0/1)+1*(((0.15*B886*5))^1/1)+2*(((0.15*B886*5))^2/2)+3*(((0.15*B886*5))^3/6)+4*(((0.15*B886*5))^4/24)+5*(((0.15*B886*5))^5/120))/((((0.15*B886*5))^0/1)+(((0.15*B886*5))^1/1)+(((0.15*B886*5))^2/2)+(((0.15*B886*5))^3/6)+(((0.15*B886*5))^4/24)+(((0.15*B886*5))^5/120))),0))+IF(Inputs!$B$3&gt;=54,9*(C856=TRUE)*MIN(1,8*(1+Inputs!$B$34/100)*Q856),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60">
      <c r="A860">
        <f>Skills!A7</f>
        <v/>
      </c>
      <c r="B860">
        <f>Skills!B7</f>
        <v/>
      </c>
      <c r="C860">
        <f>Inputs!$B$3&gt;=63</f>
        <v/>
      </c>
      <c r="D860">
        <f>IF(Skills!C7=1,60+Inputs!$B$25+Inputs!$B$29,IF(Skills!C7=2,90+(Inputs!$B$26+1)+Inputs!$B$29,IF(Skills!C7=3,120+Inputs!$B$27+Inputs!$B$29,MAX(0,(Inputs!$B$3-100)*3)+Inputs!$B$28+Inputs!$B$29)))</f>
        <v/>
      </c>
      <c r="E860">
        <f>INDEX(FactorTable!$B$2:$Y$301, MATCH(ROUND(MIN(300,MAX(1,D860)),0), FactorTable!$A$2:$A$301,0), Skills!M7+1)</f>
        <v/>
      </c>
      <c r="F860">
        <f>IF(Skills!N7=TRUE,(Skills!L7/10)*(E860/1000),Skills!L7/10)+Skills!O7</f>
        <v/>
      </c>
      <c r="G860">
        <f>Skills!G7*IF(Skills!H7&gt;0,INT(IF(Inputs!$B$38="pvp",MIN(Skills!I7,15),Skills!I7)/Skills!H7+0.000000001),1)</f>
        <v/>
      </c>
      <c r="H860">
        <f>1-(1-Skills!J7/100)^Skills!K7</f>
        <v/>
      </c>
      <c r="I860" t="inlineStr">
        <is>
          <t>1</t>
        </is>
      </c>
      <c r="J860">
        <f>((Inputs!$B$6*(1+Inputs!$B$7/100))+(((Inputs!$B$12*(1+Inputs!$B$13/100))-(Inputs!$B$12*(1+Inputs!$B$13/100)))+0.25*(Inputs!$B$14-Inputs!$B$14))*(1+Inputs!$B$7/100))*(F860/100)</f>
        <v/>
      </c>
      <c r="K860">
        <f>J860*(1+((Inputs!$B$12*(1+Inputs!$B$13/100))*0.01+Inputs!$B$14*0.0025)/100)*(1+Inputs!$B$15/100)*(1+Inputs!$B$16/100)*(5000/(6000+Inputs!$B$42*(1-(100*(1-(1-(Inputs!$B$19+0)/100)*(1-CHOOSE(ArtifactsInput!$N$40+1,5,6,7,8,9,10)/100)^(ArtifactsInput!$M$40-ArtifactsInput!$M$40)))/100)))*(1+(Inputs!$B$24+((C879=TRUE)*(F879-Calc!F26))+B890)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868=TRUE,F868,0)/100)*(1+(IF(Skills!A7="EIGHT_LEGS_EASTON",Inputs!$B$17+((C876=TRUE)*(F876-Calc!F23))+((C880=TRUE)*(F880-Calc!F27))+((IF(AND(Inputs!$B$38&lt;&gt;"pvp",Inputs!$B$43=0),1,IF(IF(Inputs!$B$38="pvp",15,Inputs!$B$43)-(B891)&lt;=0,1,MAX(0,IF(Inputs!$B$38="pvp",15,Inputs!$B$43)-MAX(5,B891))/(IF(Inputs!$B$38="pvp",15,Inputs!$B$43)-(B891))))*(IF(AND(ArtifactsInput!$M$42,((Inputs!$B$9+((C872=TRUE)*(F872-Calc!F19))+B884+(ArtifactsInput!$M$24-ArtifactsInput!$M$24)*CHOOSE(ArtifactsInput!$N$24+1,10,12,14,16,18,20)+IF(ArtifactsInput!$M$10,CHOOSE(ArtifactsInput!$N$10+1,15,18,21,24,27,30)*(IF(Inputs!$B$38="pvp",MIN(15,15)/15,IF(AND(Inputs!$B$38&lt;&gt;"pvp",Inputs!$B$43&gt;0),MIN(15,Inputs!$B$43)/(Inputs!$B$43),0))),0)))&gt;=100),MIN(100,((Inputs!$B$9+((C872=TRUE)*(F872-Calc!F19))+B884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891)&lt;=0,1,MAX(0,IF(Inputs!$B$38="pvp",15,Inputs!$B$43)-MAX(5,B891))/(IF(Inputs!$B$38="pvp",15,Inputs!$B$43)-(B891))))*IF(AND(ArtifactsInput!$M$42,((Inputs!$B$9+((C872=TRUE)*(F872-Calc!F19))+B884+(ArtifactsInput!$M$24-ArtifactsInput!$M$24)*CHOOSE(ArtifactsInput!$N$24+1,10,12,14,16,18,20)+IF(ArtifactsInput!$M$10,CHOOSE(ArtifactsInput!$N$10+1,15,18,21,24,27,30)*(IF(Inputs!$B$38="pvp",MIN(15,15)/15,IF(AND(Inputs!$B$38&lt;&gt;"pvp",Inputs!$B$43&gt;0),MIN(15,Inputs!$B$43)/(Inputs!$B$43),0))),0)))&gt;=100),CHOOSE(ArtifactsInput!$N$42+1,40,48,56,64,72,80),0))))/100)*((1+(((C870=TRUE)*F870*5/7)+((C877=TRUE)*(F877-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860)</f>
        <v/>
      </c>
      <c r="L860">
        <f>K860*(MIN(Inputs!$B$22+((C875=TRUE)*(F875-Calc!F22)),(Inputs!$B$23+0+(IF(ArtifactsInput!$M$15,CHOOSE(ArtifactsInput!$N$15+1,25,30,35,40,45,50)/100*(Inputs!$B$11-Inputs!$B$11),0))))/100+(Inputs!$B$23+0+(IF(ArtifactsInput!$M$15,CHOOSE(ArtifactsInput!$N$15+1,25,30,35,40,45,50)/100*(Inputs!$B$11-Inputs!$B$11),0)))/100)/2</f>
        <v/>
      </c>
      <c r="M860">
        <f>L860*(1+(Inputs!$B$10+((C878=TRUE)*(F878-Calc!F25))+B889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60">
        <f>L860*(1-MIN((Inputs!$B$9+((C872=TRUE)*(F872-Calc!F19))+B884+(ArtifactsInput!$M$24-ArtifactsInput!$M$24)*CHOOSE(ArtifactsInput!$N$24+1,10,12,14,16,18,20)+(IF(AND(Inputs!$B$38&lt;&gt;"pvp",Inputs!$B$43=0),1,IF(IF(Inputs!$B$38="pvp",15,Inputs!$B$43)-(B891)&lt;=0,1,MAX(0,IF(Inputs!$B$38="pvp",15,Inputs!$B$43)-MAX(5,B891))/(IF(Inputs!$B$38="pvp",15,Inputs!$B$43)-(B891))))*IF(AND(ArtifactsInput!$M$42,((Inputs!$B$9+((C872=TRUE)*(F872-Calc!F19))+B884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860*(MIN((Inputs!$B$9+((C872=TRUE)*(F872-Calc!F19))+B884+(ArtifactsInput!$M$24-ArtifactsInput!$M$24)*CHOOSE(ArtifactsInput!$N$24+1,10,12,14,16,18,20)+(IF(AND(Inputs!$B$38&lt;&gt;"pvp",Inputs!$B$43=0),1,IF(IF(Inputs!$B$38="pvp",15,Inputs!$B$43)-(B891)&lt;=0,1,MAX(0,IF(Inputs!$B$38="pvp",15,Inputs!$B$43)-MAX(5,B891))/(IF(Inputs!$B$38="pvp",15,Inputs!$B$43)-(B891))))*IF(AND(ArtifactsInput!$M$42,((Inputs!$B$9+((C872=TRUE)*(F872-Calc!F19))+B884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60">
        <f>(1-Summary!$B$11)*T860+Summary!$B$11*V860</f>
        <v/>
      </c>
      <c r="P860">
        <f>IF(B894=0,0,O860/B894)</f>
        <v/>
      </c>
      <c r="Q860">
        <f>IFERROR(1/(IF(Inputs!$B$38="pvp",15,MAX(0.1,Skills!D7-IF(TRUE=TRUE,Inputs!$B$32,0)))*(1-IF(AND(ArtifactsInput!$M$27,Inputs!$B$4="Chapter Hunt"),CHOOSE(ArtifactsInput!$N$27+1,20,24,28,32,36,40),0)/100)),0)</f>
        <v/>
      </c>
      <c r="R860">
        <f>IF(AND(Inputs!$B$38&lt;&gt;"pvp",Inputs!$B$43&gt;0),IF(MAX(0,Inputs!$B$43-B891)&lt;=0,0,(INT(MAX(0,Inputs!$B$43-B891)/(IF(Inputs!$B$38="pvp",15,MAX(0.1,Skills!D7-IF(TRUE=TRUE,Inputs!$B$32,0)))*(1-IF(AND(ArtifactsInput!$M$27,Inputs!$B$4="Chapter Hunt"),CHOOSE(ArtifactsInput!$N$27+1,20,24,28,32,36,40),0)/100)))+1)),0)</f>
        <v/>
      </c>
      <c r="S860">
        <f>IFERROR(O860/N860,0)</f>
        <v/>
      </c>
      <c r="T860">
        <f>IF(C860,(H860*N860*IF(AND(Inputs!$B$38&lt;&gt;"pvp",Inputs!$B$43&gt;0),((Skills!G7*((R860-1)*IF(Skills!H7&gt;0,INT(Skills!I7/Skills!H7+0.000000001),1)+IF(Skills!H7&gt;0,INT(MIN(Skills!I7,MAX(0,MAX(0,Inputs!$B$43-B891)-((R860-1)*(IF(Inputs!$B$38="pvp",15,MAX(0.1,Skills!D7-IF(TRUE=TRUE,Inputs!$B$32,0)))*(1-IF(AND(ArtifactsInput!$M$27,Inputs!$B$4="Chapter Hunt"),CHOOSE(ArtifactsInput!$N$27+1,20,24,28,32,36,40),0)/100)))))/Skills!H7+0.000000001),1)))/Inputs!$B$43),G860*Q860))*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Hunt"),CHOOSE(ArtifactsInput!$N$35+1,15,18,21,24,27,30)*(1-EXP(-(0.2*B886)*5)),0)+IF(AND(ArtifactsInput!$M$22,Inputs!$B$4&lt;&gt;"Chapter Hunt"),CHOOSE(ArtifactsInput!$N$22+1,10,12,14,16,18,20)*((0*(((0.15*B886*5))^0/1)+1*(((0.15*B886*5))^1/1)+2*(((0.15*B886*5))^2/2)+3*(((0.15*B886*5))^3/6)+4*(((0.15*B886*5))^4/24)+5*(((0.15*B886*5))^5/120))/((((0.15*B886*5))^0/1)+(((0.15*B886*5))^1/1)+(((0.15*B886*5))^2/2)+(((0.15*B886*5))^3/6)+(((0.15*B886*5))^4/24)+(((0.15*B886*5))^5/120))),0))+IF(Inputs!$B$3&gt;=54,9*(C856=TRUE)*MIN(1,8*(1+Inputs!$B$34/100)*Q856)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860*(1-MIN(100,(Inputs!$B$9+((C872=TRUE)*(F872-Calc!F19))+B884+(ArtifactsInput!$M$24-ArtifactsInput!$M$24)*CHOOSE(ArtifactsInput!$N$24+1,10,12,14,16,18,20)+(IF(AND(Inputs!$B$38&lt;&gt;"pvp",Inputs!$B$43=0),1,IF(IF(Inputs!$B$38="pvp",15,Inputs!$B$43)-(B891)&lt;=0,1,MAX(0,IF(Inputs!$B$38="pvp",15,Inputs!$B$43)-MAX(5,B891))/(IF(Inputs!$B$38="pvp",15,Inputs!$B$43)-(B891))))*IF(AND(ArtifactsInput!$M$42,((Inputs!$B$9+((C872=TRUE)*(F872-Calc!F19))+B884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860*(MIN(100,(Inputs!$B$9+((C872=TRUE)*(F872-Calc!F19))+B884+(ArtifactsInput!$M$24-ArtifactsInput!$M$24)*CHOOSE(ArtifactsInput!$N$24+1,10,12,14,16,18,20)+(IF(AND(Inputs!$B$38&lt;&gt;"pvp",Inputs!$B$43=0),1,IF(IF(Inputs!$B$38="pvp",15,Inputs!$B$43)-(B891)&lt;=0,1,MAX(0,IF(Inputs!$B$38="pvp",15,Inputs!$B$43)-MAX(5,B891))/(IF(Inputs!$B$38="pvp",15,Inputs!$B$43)-(B891))))*IF(AND(ArtifactsInput!$M$42,((Inputs!$B$9+((C872=TRUE)*(F872-Calc!F19))+B884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860*(1-MIN(100,(Inputs!$B$9+((C872=TRUE)*(F872-Calc!F19))+B884+(ArtifactsInput!$M$24-ArtifactsInput!$M$24)*CHOOSE(ArtifactsInput!$N$24+1,10,12,14,16,18,20)+(IF(AND(Inputs!$B$38&lt;&gt;"pvp",Inputs!$B$43=0),1,IF(IF(Inputs!$B$38="pvp",15,Inputs!$B$43)-(B891)&lt;=0,1,MAX(0,IF(Inputs!$B$38="pvp",15,Inputs!$B$43)-MAX(5,B891))/(IF(Inputs!$B$38="pvp",15,Inputs!$B$43)-(B891))))*IF(AND(ArtifactsInput!$M$42,((Inputs!$B$9+((C872=TRUE)*(F872-Calc!F19))+B884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860*(MIN(100,(Inputs!$B$9+((C872=TRUE)*(F872-Calc!F19))+B884+(ArtifactsInput!$M$24-ArtifactsInput!$M$24)*CHOOSE(ArtifactsInput!$N$24+1,10,12,14,16,18,20)+(IF(AND(Inputs!$B$38&lt;&gt;"pvp",Inputs!$B$43=0),1,IF(IF(Inputs!$B$38="pvp",15,Inputs!$B$43)-(B891)&lt;=0,1,MAX(0,IF(Inputs!$B$38="pvp",15,Inputs!$B$43)-MAX(5,B891))/(IF(Inputs!$B$38="pvp",15,Inputs!$B$43)-(B891))))*IF(AND(ArtifactsInput!$M$42,((Inputs!$B$9+((C872=TRUE)*(F872-Calc!F19))+B884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860">
        <f>IF(C860,(H860*N860*IF(AND(Inputs!$B$38&lt;&gt;"pvp",Inputs!$B$43&gt;0),((Skills!G7*((R860-1)*IF(Skills!H7&gt;0,INT(Skills!I7/Skills!H7+0.000000001),1)+IF(Skills!H7&gt;0,INT(MIN(Skills!I7,MAX(0,MAX(0,Inputs!$B$43-B891)-((R860-1)*(IF(Inputs!$B$38="pvp",15,MAX(0.1,Skills!D7-IF(TRUE=TRUE,Inputs!$B$32,0)))*(1-IF(AND(ArtifactsInput!$M$27,Inputs!$B$4="Chapter Hunt"),CHOOSE(ArtifactsInput!$N$27+1,20,24,28,32,36,40),0)/100)))))/Skills!H7+0.000000001),1)))/Inputs!$B$43),G860*Q860))*IF(Inputs!$B$38="pvp",1,(1+(Inputs!$B$21+Skills!Q7+(IF(ArtifactsInput!$M$33,CHOOSE(ArtifactsInput!$N$33+1,30,36,42,48,54,60),0))+(IF(AND(ArtifactsInput!$M$35,Inputs!$B$4&lt;&gt;"Chapter Hunt"),CHOOSE(ArtifactsInput!$N$35+1,15,18,21,24,27,30)*(1-EXP(-(0.2*B886)*5)),0)+IF(AND(ArtifactsInput!$M$22,Inputs!$B$4&lt;&gt;"Chapter Hunt"),CHOOSE(ArtifactsInput!$N$22+1,10,12,14,16,18,20)*((0*(((0.15*B886*5))^0/1)+1*(((0.15*B886*5))^1/1)+2*(((0.15*B886*5))^2/2)+3*(((0.15*B886*5))^3/6)+4*(((0.15*B886*5))^4/24)+5*(((0.15*B886*5))^5/120))/((((0.15*B886*5))^0/1)+(((0.15*B886*5))^1/1)+(((0.15*B886*5))^2/2)+(((0.15*B886*5))^3/6)+(((0.15*B886*5))^4/24)+(((0.15*B886*5))^5/120))),0))+IF(Inputs!$B$3&gt;=54,9*(C856=TRUE)*MIN(1,8*(1+Inputs!$B$34/100)*Q856),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61">
      <c r="A861">
        <f>Skills!A8</f>
        <v/>
      </c>
      <c r="B861">
        <f>Skills!B8</f>
        <v/>
      </c>
      <c r="C861">
        <f>Inputs!$B$3&gt;=103</f>
        <v/>
      </c>
      <c r="D861">
        <f>IF(Skills!C8=1,60+Inputs!$B$25+Inputs!$B$29,IF(Skills!C8=2,90+(Inputs!$B$26+1)+Inputs!$B$29,IF(Skills!C8=3,120+Inputs!$B$27+Inputs!$B$29,MAX(0,(Inputs!$B$3-100)*3)+Inputs!$B$28+Inputs!$B$29)))</f>
        <v/>
      </c>
      <c r="E861">
        <f>INDEX(FactorTable!$B$2:$Y$301, MATCH(ROUND(MIN(300,MAX(1,D861)),0), FactorTable!$A$2:$A$301,0), Skills!M8+1)</f>
        <v/>
      </c>
      <c r="F861">
        <f>IF(Skills!N8=TRUE,(Skills!L8/10)*(E861/1000),Skills!L8/10)+Skills!O8</f>
        <v/>
      </c>
      <c r="G861">
        <f>Skills!G8*IF(Skills!H8&gt;0,INT(IF(Inputs!$B$38="pvp",MIN(Skills!I8,15),Skills!I8)/Skills!H8+0.000000001),1)</f>
        <v/>
      </c>
      <c r="H861">
        <f>1-(1-Skills!J8/100)^Skills!K8</f>
        <v/>
      </c>
      <c r="I861" t="inlineStr">
        <is>
          <t>1</t>
        </is>
      </c>
      <c r="J861">
        <f>((Inputs!$B$6*(1+Inputs!$B$7/100))+(((Inputs!$B$12*(1+Inputs!$B$13/100))-(Inputs!$B$12*(1+Inputs!$B$13/100)))+0.25*(Inputs!$B$14-Inputs!$B$14))*(1+Inputs!$B$7/100))*(F861/100)</f>
        <v/>
      </c>
      <c r="K861">
        <f>J861*(1+((Inputs!$B$12*(1+Inputs!$B$13/100))*0.01+Inputs!$B$14*0.0025)/100)*(1+Inputs!$B$15/100)*(1+Inputs!$B$16/100)*(5000/(6000+Inputs!$B$42*(1-(100*(1-(1-(Inputs!$B$19+0)/100)*(1-CHOOSE(ArtifactsInput!$N$40+1,5,6,7,8,9,10)/100)^(ArtifactsInput!$M$40-ArtifactsInput!$M$40)))/100)))*(1+(Inputs!$B$24+((C879=TRUE)*(F879-Calc!F26))+B890)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IGHT_LEGS_EASTON",Inputs!$B$17+((C876=TRUE)*(F876-Calc!F23))+((C880=TRUE)*(F880-Calc!F27))+((IF(AND(Inputs!$B$38&lt;&gt;"pvp",Inputs!$B$43=0),1,IF(IF(Inputs!$B$38="pvp",15,Inputs!$B$43)-(B891)&lt;=0,1,MAX(0,IF(Inputs!$B$38="pvp",15,Inputs!$B$43)-MAX(5,B891))/(IF(Inputs!$B$38="pvp",15,Inputs!$B$43)-(B891))))*(IF(AND(ArtifactsInput!$M$42,((Inputs!$B$9+((C872=TRUE)*(F872-Calc!F19))+B884+(ArtifactsInput!$M$24-ArtifactsInput!$M$24)*CHOOSE(ArtifactsInput!$N$24+1,10,12,14,16,18,20)+IF(ArtifactsInput!$M$10,CHOOSE(ArtifactsInput!$N$10+1,15,18,21,24,27,30)*(IF(Inputs!$B$38="pvp",MIN(15,15)/15,IF(AND(Inputs!$B$38&lt;&gt;"pvp",Inputs!$B$43&gt;0),MIN(15,Inputs!$B$43)/(Inputs!$B$43),0))),0)))&gt;=100),MIN(100,((Inputs!$B$9+((C872=TRUE)*(F872-Calc!F19))+B884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891)&lt;=0,1,MAX(0,IF(Inputs!$B$38="pvp",15,Inputs!$B$43)-MAX(5,B891))/(IF(Inputs!$B$38="pvp",15,Inputs!$B$43)-(B891))))*IF(AND(ArtifactsInput!$M$42,((Inputs!$B$9+((C872=TRUE)*(F872-Calc!F19))+B884+(ArtifactsInput!$M$24-ArtifactsInput!$M$24)*CHOOSE(ArtifactsInput!$N$24+1,10,12,14,16,18,20)+IF(ArtifactsInput!$M$10,CHOOSE(ArtifactsInput!$N$10+1,15,18,21,24,27,30)*(IF(Inputs!$B$38="pvp",MIN(15,15)/15,IF(AND(Inputs!$B$38&lt;&gt;"pvp",Inputs!$B$43&gt;0),MIN(15,Inputs!$B$43)/(Inputs!$B$43),0))),0)))&gt;=100),CHOOSE(ArtifactsInput!$N$42+1,40,48,56,64,72,80),0))))/100)*((1+(((C870=TRUE)*F870*5/7)+((C877=TRUE)*(F877-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861)</f>
        <v/>
      </c>
      <c r="L861">
        <f>K861*(MIN(Inputs!$B$22+((C875=TRUE)*(F875-Calc!F22)),(Inputs!$B$23+0+(IF(ArtifactsInput!$M$15,CHOOSE(ArtifactsInput!$N$15+1,25,30,35,40,45,50)/100*(Inputs!$B$11-Inputs!$B$11),0))))/100+(Inputs!$B$23+0+(IF(ArtifactsInput!$M$15,CHOOSE(ArtifactsInput!$N$15+1,25,30,35,40,45,50)/100*(Inputs!$B$11-Inputs!$B$11),0)))/100)/2</f>
        <v/>
      </c>
      <c r="M861">
        <f>L861*(1+(Inputs!$B$10+((C878=TRUE)*(F878-Calc!F25))+B889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61">
        <f>L861*(1-MIN((Inputs!$B$9+((C872=TRUE)*(F872-Calc!F19))+B884+(ArtifactsInput!$M$24-ArtifactsInput!$M$24)*CHOOSE(ArtifactsInput!$N$24+1,10,12,14,16,18,20)+(IF(AND(Inputs!$B$38&lt;&gt;"pvp",Inputs!$B$43=0),1,IF(IF(Inputs!$B$38="pvp",15,Inputs!$B$43)-(B891)&lt;=0,1,MAX(0,IF(Inputs!$B$38="pvp",15,Inputs!$B$43)-MAX(5,B891))/(IF(Inputs!$B$38="pvp",15,Inputs!$B$43)-(B891))))*IF(AND(ArtifactsInput!$M$42,((Inputs!$B$9+((C872=TRUE)*(F872-Calc!F19))+B884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861*(MIN((Inputs!$B$9+((C872=TRUE)*(F872-Calc!F19))+B884+(ArtifactsInput!$M$24-ArtifactsInput!$M$24)*CHOOSE(ArtifactsInput!$N$24+1,10,12,14,16,18,20)+(IF(AND(Inputs!$B$38&lt;&gt;"pvp",Inputs!$B$43=0),1,IF(IF(Inputs!$B$38="pvp",15,Inputs!$B$43)-(B891)&lt;=0,1,MAX(0,IF(Inputs!$B$38="pvp",15,Inputs!$B$43)-MAX(5,B891))/(IF(Inputs!$B$38="pvp",15,Inputs!$B$43)-(B891))))*IF(AND(ArtifactsInput!$M$42,((Inputs!$B$9+((C872=TRUE)*(F872-Calc!F19))+B884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61">
        <f>(1-Summary!$B$11)*T861+Summary!$B$11*V861</f>
        <v/>
      </c>
      <c r="P861">
        <f>IF(B894=0,0,O861/B894)</f>
        <v/>
      </c>
      <c r="Q861">
        <f>IFERROR(1/((IF(Inputs!$B$38="pvp",15,MAX(0.1,Skills!D8-IF(TRUE=TRUE,Inputs!$B$32,0)))*(1-IF(AND(ArtifactsInput!$M$27,Inputs!$B$4="Chapter Hunt"),CHOOSE(ArtifactsInput!$N$27+1,20,24,28,32,36,40),0)/100))/B895),0)</f>
        <v/>
      </c>
      <c r="R861">
        <f>IF(AND(Inputs!$B$38&lt;&gt;"pvp",Inputs!$B$43&gt;0),IF(MAX(0,Inputs!$B$43-B891)&lt;=0,0,(INT(MAX(0,Inputs!$B$43-B891)/((IF(Inputs!$B$38="pvp",15,MAX(0.1,Skills!D8-IF(TRUE=TRUE,Inputs!$B$32,0)))*(1-IF(AND(ArtifactsInput!$M$27,Inputs!$B$4="Chapter Hunt"),CHOOSE(ArtifactsInput!$N$27+1,20,24,28,32,36,40),0)/100))/B895))+1)),0)</f>
        <v/>
      </c>
      <c r="S861">
        <f>IFERROR(O861/N861,0)</f>
        <v/>
      </c>
      <c r="T861">
        <f>IF(C861,(H861*N861*IF(AND(Inputs!$B$38&lt;&gt;"pvp",Inputs!$B$43&gt;0),((Skills!G8*((R861-1)*IF(Skills!H8&gt;0,INT(Skills!I8/Skills!H8+0.000000001),1)+IF(Skills!H8&gt;0,INT(MIN(Skills!I8,MAX(0,MAX(0,Inputs!$B$43-B891)-((R861-1)*((IF(Inputs!$B$38="pvp",15,MAX(0.1,Skills!D8-IF(TRUE=TRUE,Inputs!$B$32,0)))*(1-IF(AND(ArtifactsInput!$M$27,Inputs!$B$4="Chapter Hunt"),CHOOSE(ArtifactsInput!$N$27+1,20,24,28,32,36,40),0)/100))/B895))))/Skills!H8+0.000000001),1)))/Inputs!$B$43),G861*Q861))*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Hunt"),CHOOSE(ArtifactsInput!$N$35+1,15,18,21,24,27,30)*(1-EXP(-(0.2*B886)*5)),0)+IF(AND(ArtifactsInput!$M$22,Inputs!$B$4&lt;&gt;"Chapter Hunt"),CHOOSE(ArtifactsInput!$N$22+1,10,12,14,16,18,20)*((0*(((0.15*B886*5))^0/1)+1*(((0.15*B886*5))^1/1)+2*(((0.15*B886*5))^2/2)+3*(((0.15*B886*5))^3/6)+4*(((0.15*B886*5))^4/24)+5*(((0.15*B886*5))^5/120))/((((0.15*B886*5))^0/1)+(((0.15*B886*5))^1/1)+(((0.15*B886*5))^2/2)+(((0.15*B886*5))^3/6)+(((0.15*B886*5))^4/24)+(((0.15*B886*5))^5/120))),0))+IF(Inputs!$B$3&gt;=54,9*(C856=TRUE)*MIN(1,8*(1+Inputs!$B$34/100)*Q856)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861*(1-MIN(100,(Inputs!$B$9+((C872=TRUE)*(F872-Calc!F19))+B884+(ArtifactsInput!$M$24-ArtifactsInput!$M$24)*CHOOSE(ArtifactsInput!$N$24+1,10,12,14,16,18,20)+(IF(AND(Inputs!$B$38&lt;&gt;"pvp",Inputs!$B$43=0),1,IF(IF(Inputs!$B$38="pvp",15,Inputs!$B$43)-(B891)&lt;=0,1,MAX(0,IF(Inputs!$B$38="pvp",15,Inputs!$B$43)-MAX(5,B891))/(IF(Inputs!$B$38="pvp",15,Inputs!$B$43)-(B891))))*IF(AND(ArtifactsInput!$M$42,((Inputs!$B$9+((C872=TRUE)*(F872-Calc!F19))+B884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861*(MIN(100,(Inputs!$B$9+((C872=TRUE)*(F872-Calc!F19))+B884+(ArtifactsInput!$M$24-ArtifactsInput!$M$24)*CHOOSE(ArtifactsInput!$N$24+1,10,12,14,16,18,20)+(IF(AND(Inputs!$B$38&lt;&gt;"pvp",Inputs!$B$43=0),1,IF(IF(Inputs!$B$38="pvp",15,Inputs!$B$43)-(B891)&lt;=0,1,MAX(0,IF(Inputs!$B$38="pvp",15,Inputs!$B$43)-MAX(5,B891))/(IF(Inputs!$B$38="pvp",15,Inputs!$B$43)-(B891))))*IF(AND(ArtifactsInput!$M$42,((Inputs!$B$9+((C872=TRUE)*(F872-Calc!F19))+B884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861*(1-MIN(100,(Inputs!$B$9+((C872=TRUE)*(F872-Calc!F19))+B884+(ArtifactsInput!$M$24-ArtifactsInput!$M$24)*CHOOSE(ArtifactsInput!$N$24+1,10,12,14,16,18,20)+(IF(AND(Inputs!$B$38&lt;&gt;"pvp",Inputs!$B$43=0),1,IF(IF(Inputs!$B$38="pvp",15,Inputs!$B$43)-(B891)&lt;=0,1,MAX(0,IF(Inputs!$B$38="pvp",15,Inputs!$B$43)-MAX(5,B891))/(IF(Inputs!$B$38="pvp",15,Inputs!$B$43)-(B891))))*IF(AND(ArtifactsInput!$M$42,((Inputs!$B$9+((C872=TRUE)*(F872-Calc!F19))+B884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861*(MIN(100,(Inputs!$B$9+((C872=TRUE)*(F872-Calc!F19))+B884+(ArtifactsInput!$M$24-ArtifactsInput!$M$24)*CHOOSE(ArtifactsInput!$N$24+1,10,12,14,16,18,20)+(IF(AND(Inputs!$B$38&lt;&gt;"pvp",Inputs!$B$43=0),1,IF(IF(Inputs!$B$38="pvp",15,Inputs!$B$43)-(B891)&lt;=0,1,MAX(0,IF(Inputs!$B$38="pvp",15,Inputs!$B$43)-MAX(5,B891))/(IF(Inputs!$B$38="pvp",15,Inputs!$B$43)-(B891))))*IF(AND(ArtifactsInput!$M$42,((Inputs!$B$9+((C872=TRUE)*(F872-Calc!F19))+B884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861">
        <f>IF(C861,(H861*N861*IF(AND(Inputs!$B$38&lt;&gt;"pvp",Inputs!$B$43&gt;0),((Skills!G8*((R861-1)*IF(Skills!H8&gt;0,INT(Skills!I8/Skills!H8+0.000000001),1)+IF(Skills!H8&gt;0,INT(MIN(Skills!I8,MAX(0,MAX(0,Inputs!$B$43-B891)-((R861-1)*((IF(Inputs!$B$38="pvp",15,MAX(0.1,Skills!D8-IF(TRUE=TRUE,Inputs!$B$32,0)))*(1-IF(AND(ArtifactsInput!$M$27,Inputs!$B$4="Chapter Hunt"),CHOOSE(ArtifactsInput!$N$27+1,20,24,28,32,36,40),0)/100))/B895))))/Skills!H8+0.000000001),1)))/Inputs!$B$43),G861*Q861))*IF(Inputs!$B$38="pvp",1,(1+(Inputs!$B$21+Skills!Q8+(IF(ArtifactsInput!$M$33,CHOOSE(ArtifactsInput!$N$33+1,30,36,42,48,54,60),0))+(IF(AND(ArtifactsInput!$M$35,Inputs!$B$4&lt;&gt;"Chapter Hunt"),CHOOSE(ArtifactsInput!$N$35+1,15,18,21,24,27,30)*(1-EXP(-(0.2*B886)*5)),0)+IF(AND(ArtifactsInput!$M$22,Inputs!$B$4&lt;&gt;"Chapter Hunt"),CHOOSE(ArtifactsInput!$N$22+1,10,12,14,16,18,20)*((0*(((0.15*B886*5))^0/1)+1*(((0.15*B886*5))^1/1)+2*(((0.15*B886*5))^2/2)+3*(((0.15*B886*5))^3/6)+4*(((0.15*B886*5))^4/24)+5*(((0.15*B886*5))^5/120))/((((0.15*B886*5))^0/1)+(((0.15*B886*5))^1/1)+(((0.15*B886*5))^2/2)+(((0.15*B886*5))^3/6)+(((0.15*B886*5))^4/24)+(((0.15*B886*5))^5/120))),0))+IF(Inputs!$B$3&gt;=54,9*(C856=TRUE)*MIN(1,8*(1+Inputs!$B$34/100)*Q856),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62">
      <c r="A862">
        <f>Skills!A9</f>
        <v/>
      </c>
      <c r="B862">
        <f>Skills!B9</f>
        <v/>
      </c>
      <c r="C862">
        <f>Inputs!$B$3&gt;=105</f>
        <v/>
      </c>
      <c r="D862">
        <f>IF(Skills!C9=1,60+Inputs!$B$25+Inputs!$B$29,IF(Skills!C9=2,90+(Inputs!$B$26+1)+Inputs!$B$29,IF(Skills!C9=3,120+Inputs!$B$27+Inputs!$B$29,MAX(0,(Inputs!$B$3-100)*3)+Inputs!$B$28+Inputs!$B$29)))</f>
        <v/>
      </c>
      <c r="E862">
        <f>INDEX(FactorTable!$B$2:$Y$301, MATCH(ROUND(MIN(300,MAX(1,D862)),0), FactorTable!$A$2:$A$301,0), Skills!M9+1)</f>
        <v/>
      </c>
      <c r="F862">
        <f>IF(Skills!N9=TRUE,(Skills!L9/10)*(E862/1000),Skills!L9/10)+Skills!O9</f>
        <v/>
      </c>
      <c r="G862">
        <f>Skills!G9*IF(Skills!H9&gt;0,INT(IF(Inputs!$B$38="pvp",MIN(Skills!I9,15),Skills!I9)/Skills!H9+0.000000001),1)</f>
        <v/>
      </c>
      <c r="H862">
        <f>1-(1-Skills!J9/100)^Skills!K9</f>
        <v/>
      </c>
      <c r="I862" t="inlineStr">
        <is>
          <t>1</t>
        </is>
      </c>
      <c r="J862">
        <f>((Inputs!$B$6*(1+Inputs!$B$7/100))+(((Inputs!$B$12*(1+Inputs!$B$13/100))-(Inputs!$B$12*(1+Inputs!$B$13/100)))+0.25*(Inputs!$B$14-Inputs!$B$14))*(1+Inputs!$B$7/100))*(F862/100)</f>
        <v/>
      </c>
      <c r="K862">
        <f>J862*(1+((Inputs!$B$12*(1+Inputs!$B$13/100))*0.01+Inputs!$B$14*0.0025)/100)*(1+Inputs!$B$15/100)*(1+Inputs!$B$16/100)*(5000/(6000+Inputs!$B$42*(1-(100*(1-(1-(Inputs!$B$19+0)/100)*(1-CHOOSE(ArtifactsInput!$N$40+1,5,6,7,8,9,10)/100)^(ArtifactsInput!$M$40-ArtifactsInput!$M$40)))/100)))*(1+(Inputs!$B$24+((C879=TRUE)*(F879-Calc!F26))+B890)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IGHT_LEGS_EASTON",Inputs!$B$17+((C876=TRUE)*(F876-Calc!F23))+((C880=TRUE)*(F880-Calc!F27))+((IF(AND(Inputs!$B$38&lt;&gt;"pvp",Inputs!$B$43=0),1,IF(IF(Inputs!$B$38="pvp",15,Inputs!$B$43)-(B891)&lt;=0,1,MAX(0,IF(Inputs!$B$38="pvp",15,Inputs!$B$43)-MAX(5,B891))/(IF(Inputs!$B$38="pvp",15,Inputs!$B$43)-(B891))))*(IF(AND(ArtifactsInput!$M$42,((Inputs!$B$9+((C872=TRUE)*(F872-Calc!F19))+B884+(ArtifactsInput!$M$24-ArtifactsInput!$M$24)*CHOOSE(ArtifactsInput!$N$24+1,10,12,14,16,18,20)+IF(ArtifactsInput!$M$10,CHOOSE(ArtifactsInput!$N$10+1,15,18,21,24,27,30)*(IF(Inputs!$B$38="pvp",MIN(15,15)/15,IF(AND(Inputs!$B$38&lt;&gt;"pvp",Inputs!$B$43&gt;0),MIN(15,Inputs!$B$43)/(Inputs!$B$43),0))),0)))&gt;=100),MIN(100,((Inputs!$B$9+((C872=TRUE)*(F872-Calc!F19))+B884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891)&lt;=0,1,MAX(0,IF(Inputs!$B$38="pvp",15,Inputs!$B$43)-MAX(5,B891))/(IF(Inputs!$B$38="pvp",15,Inputs!$B$43)-(B891))))*IF(AND(ArtifactsInput!$M$42,((Inputs!$B$9+((C872=TRUE)*(F872-Calc!F19))+B884+(ArtifactsInput!$M$24-ArtifactsInput!$M$24)*CHOOSE(ArtifactsInput!$N$24+1,10,12,14,16,18,20)+IF(ArtifactsInput!$M$10,CHOOSE(ArtifactsInput!$N$10+1,15,18,21,24,27,30)*(IF(Inputs!$B$38="pvp",MIN(15,15)/15,IF(AND(Inputs!$B$38&lt;&gt;"pvp",Inputs!$B$43&gt;0),MIN(15,Inputs!$B$43)/(Inputs!$B$43),0))),0)))&gt;=100),CHOOSE(ArtifactsInput!$N$42+1,40,48,56,64,72,80),0))))/100)*((1+(((C870=TRUE)*F870*5/7)+((C877=TRUE)*(F877-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862)</f>
        <v/>
      </c>
      <c r="L862">
        <f>K862*(MIN(Inputs!$B$22+((C875=TRUE)*(F875-Calc!F22)),(Inputs!$B$23+0+(IF(ArtifactsInput!$M$15,CHOOSE(ArtifactsInput!$N$15+1,25,30,35,40,45,50)/100*(Inputs!$B$11-Inputs!$B$11),0))))/100+(Inputs!$B$23+0+(IF(ArtifactsInput!$M$15,CHOOSE(ArtifactsInput!$N$15+1,25,30,35,40,45,50)/100*(Inputs!$B$11-Inputs!$B$11),0)))/100)/2</f>
        <v/>
      </c>
      <c r="M862">
        <f>L862*(1+(Inputs!$B$10+((C878=TRUE)*(F878-Calc!F25))+B889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62">
        <f>L862*(1-MIN((Inputs!$B$9+((C872=TRUE)*(F872-Calc!F19))+B884+(ArtifactsInput!$M$24-ArtifactsInput!$M$24)*CHOOSE(ArtifactsInput!$N$24+1,10,12,14,16,18,20)+(IF(AND(Inputs!$B$38&lt;&gt;"pvp",Inputs!$B$43=0),1,IF(IF(Inputs!$B$38="pvp",15,Inputs!$B$43)-(B891)&lt;=0,1,MAX(0,IF(Inputs!$B$38="pvp",15,Inputs!$B$43)-MAX(5,B891))/(IF(Inputs!$B$38="pvp",15,Inputs!$B$43)-(B891))))*IF(AND(ArtifactsInput!$M$42,((Inputs!$B$9+((C872=TRUE)*(F872-Calc!F19))+B884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862*(MIN((Inputs!$B$9+((C872=TRUE)*(F872-Calc!F19))+B884+(ArtifactsInput!$M$24-ArtifactsInput!$M$24)*CHOOSE(ArtifactsInput!$N$24+1,10,12,14,16,18,20)+(IF(AND(Inputs!$B$38&lt;&gt;"pvp",Inputs!$B$43=0),1,IF(IF(Inputs!$B$38="pvp",15,Inputs!$B$43)-(B891)&lt;=0,1,MAX(0,IF(Inputs!$B$38="pvp",15,Inputs!$B$43)-MAX(5,B891))/(IF(Inputs!$B$38="pvp",15,Inputs!$B$43)-(B891))))*IF(AND(ArtifactsInput!$M$42,((Inputs!$B$9+((C872=TRUE)*(F872-Calc!F19))+B884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62">
        <f>(1-Summary!$B$11)*T862+Summary!$B$11*V862</f>
        <v/>
      </c>
      <c r="P862">
        <f>IF(B894=0,0,O862/B894)</f>
        <v/>
      </c>
      <c r="Q862">
        <f>IFERROR(1/(IF(Inputs!$B$38="pvp",15,MAX(0.1,Skills!D9-IF(TRUE=TRUE,Inputs!$B$32,0)))*(1-IF(AND(ArtifactsInput!$M$27,Inputs!$B$4="Chapter Hunt"),CHOOSE(ArtifactsInput!$N$27+1,20,24,28,32,36,40),0)/100)),0)</f>
        <v/>
      </c>
      <c r="R862">
        <f>IF(AND(Inputs!$B$38&lt;&gt;"pvp",Inputs!$B$43&gt;0),IF(MAX(0,Inputs!$B$43-B891)&lt;=0,0,(INT(MAX(0,Inputs!$B$43-B891)/(IF(Inputs!$B$38="pvp",15,MAX(0.1,Skills!D9-IF(TRUE=TRUE,Inputs!$B$32,0)))*(1-IF(AND(ArtifactsInput!$M$27,Inputs!$B$4="Chapter Hunt"),CHOOSE(ArtifactsInput!$N$27+1,20,24,28,32,36,40),0)/100)))+1)),0)</f>
        <v/>
      </c>
      <c r="S862">
        <f>IFERROR(O862/N862,0)</f>
        <v/>
      </c>
      <c r="T862">
        <f>IF(C862,(H862*N862*IF(AND(Inputs!$B$38&lt;&gt;"pvp",Inputs!$B$43&gt;0),((Skills!G9*((R862-1)*IF(Skills!H9&gt;0,INT(Skills!I9/Skills!H9+0.000000001),1)+IF(Skills!H9&gt;0,INT(MIN(Skills!I9,MAX(0,MAX(0,Inputs!$B$43-B891)-((R862-1)*(IF(Inputs!$B$38="pvp",15,MAX(0.1,Skills!D9-IF(TRUE=TRUE,Inputs!$B$32,0)))*(1-IF(AND(ArtifactsInput!$M$27,Inputs!$B$4="Chapter Hunt"),CHOOSE(ArtifactsInput!$N$27+1,20,24,28,32,36,40),0)/100)))))/Skills!H9+0.000000001),1)))/Inputs!$B$43),G862*Q862))*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Hunt"),CHOOSE(ArtifactsInput!$N$35+1,15,18,21,24,27,30)*(1-EXP(-(0.2*B886)*5)),0)+IF(AND(ArtifactsInput!$M$22,Inputs!$B$4&lt;&gt;"Chapter Hunt"),CHOOSE(ArtifactsInput!$N$22+1,10,12,14,16,18,20)*((0*(((0.15*B886*5))^0/1)+1*(((0.15*B886*5))^1/1)+2*(((0.15*B886*5))^2/2)+3*(((0.15*B886*5))^3/6)+4*(((0.15*B886*5))^4/24)+5*(((0.15*B886*5))^5/120))/((((0.15*B886*5))^0/1)+(((0.15*B886*5))^1/1)+(((0.15*B886*5))^2/2)+(((0.15*B886*5))^3/6)+(((0.15*B886*5))^4/24)+(((0.15*B886*5))^5/120))),0))+IF(Inputs!$B$3&gt;=54,9*(C856=TRUE)*MIN(1,8*(1+Inputs!$B$34/100)*Q856)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862*(1-MIN(100,(Inputs!$B$9+((C872=TRUE)*(F872-Calc!F19))+B884+(ArtifactsInput!$M$24-ArtifactsInput!$M$24)*CHOOSE(ArtifactsInput!$N$24+1,10,12,14,16,18,20)+(IF(AND(Inputs!$B$38&lt;&gt;"pvp",Inputs!$B$43=0),1,IF(IF(Inputs!$B$38="pvp",15,Inputs!$B$43)-(B891)&lt;=0,1,MAX(0,IF(Inputs!$B$38="pvp",15,Inputs!$B$43)-MAX(5,B891))/(IF(Inputs!$B$38="pvp",15,Inputs!$B$43)-(B891))))*IF(AND(ArtifactsInput!$M$42,((Inputs!$B$9+((C872=TRUE)*(F872-Calc!F19))+B884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862*(MIN(100,(Inputs!$B$9+((C872=TRUE)*(F872-Calc!F19))+B884+(ArtifactsInput!$M$24-ArtifactsInput!$M$24)*CHOOSE(ArtifactsInput!$N$24+1,10,12,14,16,18,20)+(IF(AND(Inputs!$B$38&lt;&gt;"pvp",Inputs!$B$43=0),1,IF(IF(Inputs!$B$38="pvp",15,Inputs!$B$43)-(B891)&lt;=0,1,MAX(0,IF(Inputs!$B$38="pvp",15,Inputs!$B$43)-MAX(5,B891))/(IF(Inputs!$B$38="pvp",15,Inputs!$B$43)-(B891))))*IF(AND(ArtifactsInput!$M$42,((Inputs!$B$9+((C872=TRUE)*(F872-Calc!F19))+B884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862*(1-MIN(100,(Inputs!$B$9+((C872=TRUE)*(F872-Calc!F19))+B884+(ArtifactsInput!$M$24-ArtifactsInput!$M$24)*CHOOSE(ArtifactsInput!$N$24+1,10,12,14,16,18,20)+(IF(AND(Inputs!$B$38&lt;&gt;"pvp",Inputs!$B$43=0),1,IF(IF(Inputs!$B$38="pvp",15,Inputs!$B$43)-(B891)&lt;=0,1,MAX(0,IF(Inputs!$B$38="pvp",15,Inputs!$B$43)-MAX(5,B891))/(IF(Inputs!$B$38="pvp",15,Inputs!$B$43)-(B891))))*IF(AND(ArtifactsInput!$M$42,((Inputs!$B$9+((C872=TRUE)*(F872-Calc!F19))+B884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862*(MIN(100,(Inputs!$B$9+((C872=TRUE)*(F872-Calc!F19))+B884+(ArtifactsInput!$M$24-ArtifactsInput!$M$24)*CHOOSE(ArtifactsInput!$N$24+1,10,12,14,16,18,20)+(IF(AND(Inputs!$B$38&lt;&gt;"pvp",Inputs!$B$43=0),1,IF(IF(Inputs!$B$38="pvp",15,Inputs!$B$43)-(B891)&lt;=0,1,MAX(0,IF(Inputs!$B$38="pvp",15,Inputs!$B$43)-MAX(5,B891))/(IF(Inputs!$B$38="pvp",15,Inputs!$B$43)-(B891))))*IF(AND(ArtifactsInput!$M$42,((Inputs!$B$9+((C872=TRUE)*(F872-Calc!F19))+B884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862">
        <f>IF(C862,(H862*N862*IF(AND(Inputs!$B$38&lt;&gt;"pvp",Inputs!$B$43&gt;0),((Skills!G9*((R862-1)*IF(Skills!H9&gt;0,INT(Skills!I9/Skills!H9+0.000000001),1)+IF(Skills!H9&gt;0,INT(MIN(Skills!I9,MAX(0,MAX(0,Inputs!$B$43-B891)-((R862-1)*(IF(Inputs!$B$38="pvp",15,MAX(0.1,Skills!D9-IF(TRUE=TRUE,Inputs!$B$32,0)))*(1-IF(AND(ArtifactsInput!$M$27,Inputs!$B$4="Chapter Hunt"),CHOOSE(ArtifactsInput!$N$27+1,20,24,28,32,36,40),0)/100)))))/Skills!H9+0.000000001),1)))/Inputs!$B$43),G862*Q862))*IF(Inputs!$B$38="pvp",1,(1+(Inputs!$B$21+Skills!Q9+(IF(ArtifactsInput!$M$33,CHOOSE(ArtifactsInput!$N$33+1,30,36,42,48,54,60),0))+(IF(AND(ArtifactsInput!$M$35,Inputs!$B$4&lt;&gt;"Chapter Hunt"),CHOOSE(ArtifactsInput!$N$35+1,15,18,21,24,27,30)*(1-EXP(-(0.2*B886)*5)),0)+IF(AND(ArtifactsInput!$M$22,Inputs!$B$4&lt;&gt;"Chapter Hunt"),CHOOSE(ArtifactsInput!$N$22+1,10,12,14,16,18,20)*((0*(((0.15*B886*5))^0/1)+1*(((0.15*B886*5))^1/1)+2*(((0.15*B886*5))^2/2)+3*(((0.15*B886*5))^3/6)+4*(((0.15*B886*5))^4/24)+5*(((0.15*B886*5))^5/120))/((((0.15*B886*5))^0/1)+(((0.15*B886*5))^1/1)+(((0.15*B886*5))^2/2)+(((0.15*B886*5))^3/6)+(((0.15*B886*5))^4/24)+(((0.15*B886*5))^5/120))),0))+IF(Inputs!$B$3&gt;=54,9*(C856=TRUE)*MIN(1,8*(1+Inputs!$B$34/100)*Q856),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63">
      <c r="A863">
        <f>Skills!A10</f>
        <v/>
      </c>
      <c r="B863">
        <f>Skills!B10</f>
        <v/>
      </c>
      <c r="C863">
        <f>Inputs!$B$3&gt;=113</f>
        <v/>
      </c>
      <c r="D863">
        <f>IF(Skills!C10=1,60+Inputs!$B$25+Inputs!$B$29,IF(Skills!C10=2,90+(Inputs!$B$26+1)+Inputs!$B$29,IF(Skills!C10=3,120+Inputs!$B$27+Inputs!$B$29,MAX(0,(Inputs!$B$3-100)*3)+Inputs!$B$28+Inputs!$B$29)))</f>
        <v/>
      </c>
      <c r="E863">
        <f>INDEX(FactorTable!$B$2:$Y$301, MATCH(ROUND(MIN(300,MAX(1,D863)),0), FactorTable!$A$2:$A$301,0), Skills!M10+1)</f>
        <v/>
      </c>
      <c r="F863">
        <f>IF(Skills!N10=TRUE,(Skills!L10/10)*(E863/1000),Skills!L10/10)+Skills!O10</f>
        <v/>
      </c>
      <c r="G863">
        <f>Skills!G10*IF(Skills!H10&gt;0,INT(IF(Inputs!$B$38="pvp",MIN(Skills!I10,15),Skills!I10)/Skills!H10+0.000000001),1)</f>
        <v/>
      </c>
      <c r="H863">
        <f>1-(1-Skills!J10/100)^Skills!K10</f>
        <v/>
      </c>
      <c r="I863" t="inlineStr">
        <is>
          <t>1</t>
        </is>
      </c>
      <c r="J863">
        <f>((Inputs!$B$6*(1+Inputs!$B$7/100))+(((Inputs!$B$12*(1+Inputs!$B$13/100))-(Inputs!$B$12*(1+Inputs!$B$13/100)))+0.25*(Inputs!$B$14-Inputs!$B$14))*(1+Inputs!$B$7/100))*(F863/100)</f>
        <v/>
      </c>
      <c r="K863">
        <f>J863*(1+((Inputs!$B$12*(1+Inputs!$B$13/100))*0.01+Inputs!$B$14*0.0025)/100)*(1+Inputs!$B$15/100)*(1+Inputs!$B$16/100)*(5000/(6000+Inputs!$B$42*(1-(100*(1-(1-(Inputs!$B$19+0)/100)*(1-CHOOSE(ArtifactsInput!$N$40+1,5,6,7,8,9,10)/100)^(ArtifactsInput!$M$40-ArtifactsInput!$M$40)))/100)))*(1+(Inputs!$B$24+((C879=TRUE)*(F879-Calc!F26))+B890)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IGHT_LEGS_EASTON",Inputs!$B$17+((C876=TRUE)*(F876-Calc!F23))+((C880=TRUE)*(F880-Calc!F27))+((IF(AND(Inputs!$B$38&lt;&gt;"pvp",Inputs!$B$43=0),1,IF(IF(Inputs!$B$38="pvp",15,Inputs!$B$43)-(B891)&lt;=0,1,MAX(0,IF(Inputs!$B$38="pvp",15,Inputs!$B$43)-MAX(5,B891))/(IF(Inputs!$B$38="pvp",15,Inputs!$B$43)-(B891))))*(IF(AND(ArtifactsInput!$M$42,((Inputs!$B$9+((C872=TRUE)*(F872-Calc!F19))+B884+(ArtifactsInput!$M$24-ArtifactsInput!$M$24)*CHOOSE(ArtifactsInput!$N$24+1,10,12,14,16,18,20)+IF(ArtifactsInput!$M$10,CHOOSE(ArtifactsInput!$N$10+1,15,18,21,24,27,30)*(IF(Inputs!$B$38="pvp",MIN(15,15)/15,IF(AND(Inputs!$B$38&lt;&gt;"pvp",Inputs!$B$43&gt;0),MIN(15,Inputs!$B$43)/(Inputs!$B$43),0))),0)))&gt;=100),MIN(100,((Inputs!$B$9+((C872=TRUE)*(F872-Calc!F19))+B884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891)&lt;=0,1,MAX(0,IF(Inputs!$B$38="pvp",15,Inputs!$B$43)-MAX(5,B891))/(IF(Inputs!$B$38="pvp",15,Inputs!$B$43)-(B891))))*IF(AND(ArtifactsInput!$M$42,((Inputs!$B$9+((C872=TRUE)*(F872-Calc!F19))+B884+(ArtifactsInput!$M$24-ArtifactsInput!$M$24)*CHOOSE(ArtifactsInput!$N$24+1,10,12,14,16,18,20)+IF(ArtifactsInput!$M$10,CHOOSE(ArtifactsInput!$N$10+1,15,18,21,24,27,30)*(IF(Inputs!$B$38="pvp",MIN(15,15)/15,IF(AND(Inputs!$B$38&lt;&gt;"pvp",Inputs!$B$43&gt;0),MIN(15,Inputs!$B$43)/(Inputs!$B$43),0))),0)))&gt;=100),CHOOSE(ArtifactsInput!$N$42+1,40,48,56,64,72,80),0))))/100)*((1+(((C870=TRUE)*F870*5/7)+((C877=TRUE)*(F877-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863)</f>
        <v/>
      </c>
      <c r="L863">
        <f>K863*(MIN(Inputs!$B$22+((C875=TRUE)*(F875-Calc!F22)),(Inputs!$B$23+0+(IF(ArtifactsInput!$M$15,CHOOSE(ArtifactsInput!$N$15+1,25,30,35,40,45,50)/100*(Inputs!$B$11-Inputs!$B$11),0))))/100+(Inputs!$B$23+0+(IF(ArtifactsInput!$M$15,CHOOSE(ArtifactsInput!$N$15+1,25,30,35,40,45,50)/100*(Inputs!$B$11-Inputs!$B$11),0)))/100)/2</f>
        <v/>
      </c>
      <c r="M863">
        <f>L863*(1+(Inputs!$B$10+((C878=TRUE)*(F878-Calc!F25))+B889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63">
        <f>L863*(1-MIN((Inputs!$B$9+((C872=TRUE)*(F872-Calc!F19))+B884+(ArtifactsInput!$M$24-ArtifactsInput!$M$24)*CHOOSE(ArtifactsInput!$N$24+1,10,12,14,16,18,20)+(IF(AND(Inputs!$B$38&lt;&gt;"pvp",Inputs!$B$43=0),1,IF(IF(Inputs!$B$38="pvp",15,Inputs!$B$43)-(B891)&lt;=0,1,MAX(0,IF(Inputs!$B$38="pvp",15,Inputs!$B$43)-MAX(5,B891))/(IF(Inputs!$B$38="pvp",15,Inputs!$B$43)-(B891))))*IF(AND(ArtifactsInput!$M$42,((Inputs!$B$9+((C872=TRUE)*(F872-Calc!F19))+B884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863*(MIN((Inputs!$B$9+((C872=TRUE)*(F872-Calc!F19))+B884+(ArtifactsInput!$M$24-ArtifactsInput!$M$24)*CHOOSE(ArtifactsInput!$N$24+1,10,12,14,16,18,20)+(IF(AND(Inputs!$B$38&lt;&gt;"pvp",Inputs!$B$43=0),1,IF(IF(Inputs!$B$38="pvp",15,Inputs!$B$43)-(B891)&lt;=0,1,MAX(0,IF(Inputs!$B$38="pvp",15,Inputs!$B$43)-MAX(5,B891))/(IF(Inputs!$B$38="pvp",15,Inputs!$B$43)-(B891))))*IF(AND(ArtifactsInput!$M$42,((Inputs!$B$9+((C872=TRUE)*(F872-Calc!F19))+B884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63">
        <f>(1-Summary!$B$11)*T863+Summary!$B$11*V863</f>
        <v/>
      </c>
      <c r="P863">
        <f>IF(B894=0,0,O863/B894)</f>
        <v/>
      </c>
      <c r="Q863" t="n">
        <v>0</v>
      </c>
      <c r="R863" t="n">
        <v>0</v>
      </c>
      <c r="S863">
        <f>IFERROR(O863/N863,0)</f>
        <v/>
      </c>
      <c r="T863">
        <f>IF(C863,((H863*B896)/(1+Skills!H10*H863*B896)*N863)*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Hunt"),CHOOSE(ArtifactsInput!$N$35+1,15,18,21,24,27,30)*(1-EXP(-(0.2*B886)*5)),0)+IF(AND(ArtifactsInput!$M$22,Inputs!$B$4&lt;&gt;"Chapter Hunt"),CHOOSE(ArtifactsInput!$N$22+1,10,12,14,16,18,20)*((0*(((0.15*B886*5))^0/1)+1*(((0.15*B886*5))^1/1)+2*(((0.15*B886*5))^2/2)+3*(((0.15*B886*5))^3/6)+4*(((0.15*B886*5))^4/24)+5*(((0.15*B886*5))^5/120))/((((0.15*B886*5))^0/1)+(((0.15*B886*5))^1/1)+(((0.15*B886*5))^2/2)+(((0.15*B886*5))^3/6)+(((0.15*B886*5))^4/24)+(((0.15*B886*5))^5/120))),0))+IF(Inputs!$B$3&gt;=54,9*(C856=TRUE)*MIN(1,8*(1+Inputs!$B$34/100)*Q856)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863*(1-MIN(100,(Inputs!$B$9+((C872=TRUE)*(F872-Calc!F19))+B884+(ArtifactsInput!$M$24-ArtifactsInput!$M$24)*CHOOSE(ArtifactsInput!$N$24+1,10,12,14,16,18,20)+(IF(AND(Inputs!$B$38&lt;&gt;"pvp",Inputs!$B$43=0),1,IF(IF(Inputs!$B$38="pvp",15,Inputs!$B$43)-(B891)&lt;=0,1,MAX(0,IF(Inputs!$B$38="pvp",15,Inputs!$B$43)-MAX(5,B891))/(IF(Inputs!$B$38="pvp",15,Inputs!$B$43)-(B891))))*IF(AND(ArtifactsInput!$M$42,((Inputs!$B$9+((C872=TRUE)*(F872-Calc!F19))+B884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863*(MIN(100,(Inputs!$B$9+((C872=TRUE)*(F872-Calc!F19))+B884+(ArtifactsInput!$M$24-ArtifactsInput!$M$24)*CHOOSE(ArtifactsInput!$N$24+1,10,12,14,16,18,20)+(IF(AND(Inputs!$B$38&lt;&gt;"pvp",Inputs!$B$43=0),1,IF(IF(Inputs!$B$38="pvp",15,Inputs!$B$43)-(B891)&lt;=0,1,MAX(0,IF(Inputs!$B$38="pvp",15,Inputs!$B$43)-MAX(5,B891))/(IF(Inputs!$B$38="pvp",15,Inputs!$B$43)-(B891))))*IF(AND(ArtifactsInput!$M$42,((Inputs!$B$9+((C872=TRUE)*(F872-Calc!F19))+B884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863*(1-MIN(100,(Inputs!$B$9+((C872=TRUE)*(F872-Calc!F19))+B884+(ArtifactsInput!$M$24-ArtifactsInput!$M$24)*CHOOSE(ArtifactsInput!$N$24+1,10,12,14,16,18,20)+(IF(AND(Inputs!$B$38&lt;&gt;"pvp",Inputs!$B$43=0),1,IF(IF(Inputs!$B$38="pvp",15,Inputs!$B$43)-(B891)&lt;=0,1,MAX(0,IF(Inputs!$B$38="pvp",15,Inputs!$B$43)-MAX(5,B891))/(IF(Inputs!$B$38="pvp",15,Inputs!$B$43)-(B891))))*IF(AND(ArtifactsInput!$M$42,((Inputs!$B$9+((C872=TRUE)*(F872-Calc!F19))+B884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863*(MIN(100,(Inputs!$B$9+((C872=TRUE)*(F872-Calc!F19))+B884+(ArtifactsInput!$M$24-ArtifactsInput!$M$24)*CHOOSE(ArtifactsInput!$N$24+1,10,12,14,16,18,20)+(IF(AND(Inputs!$B$38&lt;&gt;"pvp",Inputs!$B$43=0),1,IF(IF(Inputs!$B$38="pvp",15,Inputs!$B$43)-(B891)&lt;=0,1,MAX(0,IF(Inputs!$B$38="pvp",15,Inputs!$B$43)-MAX(5,B891))/(IF(Inputs!$B$38="pvp",15,Inputs!$B$43)-(B891))))*IF(AND(ArtifactsInput!$M$42,((Inputs!$B$9+((C872=TRUE)*(F872-Calc!F19))+B884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863">
        <f>IF(C863,((H863*B896)/(1+Skills!H10*H863*B896)*N863)*IF(Inputs!$B$38="pvp",1,(1+(Inputs!$B$21+Skills!Q10+(IF(ArtifactsInput!$M$33,CHOOSE(ArtifactsInput!$N$33+1,30,36,42,48,54,60),0))+(IF(AND(ArtifactsInput!$M$35,Inputs!$B$4&lt;&gt;"Chapter Hunt"),CHOOSE(ArtifactsInput!$N$35+1,15,18,21,24,27,30)*(1-EXP(-(0.2*B886)*5)),0)+IF(AND(ArtifactsInput!$M$22,Inputs!$B$4&lt;&gt;"Chapter Hunt"),CHOOSE(ArtifactsInput!$N$22+1,10,12,14,16,18,20)*((0*(((0.15*B886*5))^0/1)+1*(((0.15*B886*5))^1/1)+2*(((0.15*B886*5))^2/2)+3*(((0.15*B886*5))^3/6)+4*(((0.15*B886*5))^4/24)+5*(((0.15*B886*5))^5/120))/((((0.15*B886*5))^0/1)+(((0.15*B886*5))^1/1)+(((0.15*B886*5))^2/2)+(((0.15*B886*5))^3/6)+(((0.15*B886*5))^4/24)+(((0.15*B886*5))^5/120))),0))+IF(Inputs!$B$3&gt;=54,9*(C856=TRUE)*MIN(1,8*(1+Inputs!$B$34/100)*Q856),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64">
      <c r="A864">
        <f>Skills!A11</f>
        <v/>
      </c>
      <c r="B864">
        <f>Skills!B11</f>
        <v/>
      </c>
      <c r="C864">
        <f>Inputs!$B$3&gt;=117</f>
        <v/>
      </c>
      <c r="D864">
        <f>IF(Skills!C11=1,60+Inputs!$B$25+Inputs!$B$29,IF(Skills!C11=2,90+(Inputs!$B$26+1)+Inputs!$B$29,IF(Skills!C11=3,120+Inputs!$B$27+Inputs!$B$29,MAX(0,(Inputs!$B$3-100)*3)+Inputs!$B$28+Inputs!$B$29)))</f>
        <v/>
      </c>
      <c r="E864">
        <f>INDEX(FactorTable!$B$2:$Y$301, MATCH(ROUND(MIN(300,MAX(1,D864)),0), FactorTable!$A$2:$A$301,0), Skills!M11+1)</f>
        <v/>
      </c>
      <c r="F864">
        <f>IF(Skills!N11=TRUE,(Skills!L11/10)*(E864/1000),Skills!L11/10)+Skills!O11</f>
        <v/>
      </c>
      <c r="G864">
        <f>Skills!G11*IF(Skills!H11&gt;0,INT(IF(Inputs!$B$38="pvp",MIN(Skills!I11,15),Skills!I11)/Skills!H11+0.000000001),1)</f>
        <v/>
      </c>
      <c r="H864">
        <f>1-(1-Skills!J11/100)^Skills!K11</f>
        <v/>
      </c>
      <c r="I864" t="inlineStr">
        <is>
          <t>1</t>
        </is>
      </c>
      <c r="J864">
        <f>((Inputs!$B$6*(1+Inputs!$B$7/100))+(((Inputs!$B$12*(1+Inputs!$B$13/100))-(Inputs!$B$12*(1+Inputs!$B$13/100)))+0.25*(Inputs!$B$14-Inputs!$B$14))*(1+Inputs!$B$7/100))*(F864/100)</f>
        <v/>
      </c>
      <c r="K864">
        <f>J864*(1+((Inputs!$B$12*(1+Inputs!$B$13/100))*0.01+Inputs!$B$14*0.0025)/100)*(1+Inputs!$B$15/100)*(1+Inputs!$B$16/100)*(5000/(6000+Inputs!$B$42*(1-(100*(1-(1-(Inputs!$B$19+0)/100)*(1-CHOOSE(ArtifactsInput!$N$40+1,5,6,7,8,9,10)/100)^(ArtifactsInput!$M$40-ArtifactsInput!$M$40)))/100)))*(1+(Inputs!$B$24+((C879=TRUE)*(F879-Calc!F26))+B890)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IGHT_LEGS_EASTON",Inputs!$B$17+((C876=TRUE)*(F876-Calc!F23))+((C880=TRUE)*(F880-Calc!F27))+((IF(AND(Inputs!$B$38&lt;&gt;"pvp",Inputs!$B$43=0),1,IF(IF(Inputs!$B$38="pvp",15,Inputs!$B$43)-(B891)&lt;=0,1,MAX(0,IF(Inputs!$B$38="pvp",15,Inputs!$B$43)-MAX(5,B891))/(IF(Inputs!$B$38="pvp",15,Inputs!$B$43)-(B891))))*(IF(AND(ArtifactsInput!$M$42,((Inputs!$B$9+((C872=TRUE)*(F872-Calc!F19))+B884+(ArtifactsInput!$M$24-ArtifactsInput!$M$24)*CHOOSE(ArtifactsInput!$N$24+1,10,12,14,16,18,20)+IF(ArtifactsInput!$M$10,CHOOSE(ArtifactsInput!$N$10+1,15,18,21,24,27,30)*(IF(Inputs!$B$38="pvp",MIN(15,15)/15,IF(AND(Inputs!$B$38&lt;&gt;"pvp",Inputs!$B$43&gt;0),MIN(15,Inputs!$B$43)/(Inputs!$B$43),0))),0)))&gt;=100),MIN(100,((Inputs!$B$9+((C872=TRUE)*(F872-Calc!F19))+B884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891)&lt;=0,1,MAX(0,IF(Inputs!$B$38="pvp",15,Inputs!$B$43)-MAX(5,B891))/(IF(Inputs!$B$38="pvp",15,Inputs!$B$43)-(B891))))*IF(AND(ArtifactsInput!$M$42,((Inputs!$B$9+((C872=TRUE)*(F872-Calc!F19))+B884+(ArtifactsInput!$M$24-ArtifactsInput!$M$24)*CHOOSE(ArtifactsInput!$N$24+1,10,12,14,16,18,20)+IF(ArtifactsInput!$M$10,CHOOSE(ArtifactsInput!$N$10+1,15,18,21,24,27,30)*(IF(Inputs!$B$38="pvp",MIN(15,15)/15,IF(AND(Inputs!$B$38&lt;&gt;"pvp",Inputs!$B$43&gt;0),MIN(15,Inputs!$B$43)/(Inputs!$B$43),0))),0)))&gt;=100),CHOOSE(ArtifactsInput!$N$42+1,40,48,56,64,72,80),0))))/100)*((1+(((C870=TRUE)*F870*5/7)+((C877=TRUE)*(F877-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864)</f>
        <v/>
      </c>
      <c r="L864">
        <f>K864*(MIN(Inputs!$B$22+((C875=TRUE)*(F875-Calc!F22)),(Inputs!$B$23+0+(IF(ArtifactsInput!$M$15,CHOOSE(ArtifactsInput!$N$15+1,25,30,35,40,45,50)/100*(Inputs!$B$11-Inputs!$B$11),0))))/100+(Inputs!$B$23+0+(IF(ArtifactsInput!$M$15,CHOOSE(ArtifactsInput!$N$15+1,25,30,35,40,45,50)/100*(Inputs!$B$11-Inputs!$B$11),0)))/100)/2</f>
        <v/>
      </c>
      <c r="M864">
        <f>L864*(1+(Inputs!$B$10+((C878=TRUE)*(F878-Calc!F25))+B889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64">
        <f>L864*(1-MIN((Inputs!$B$9+((C872=TRUE)*(F872-Calc!F19))+B884+(ArtifactsInput!$M$24-ArtifactsInput!$M$24)*CHOOSE(ArtifactsInput!$N$24+1,10,12,14,16,18,20)+(IF(AND(Inputs!$B$38&lt;&gt;"pvp",Inputs!$B$43=0),1,IF(IF(Inputs!$B$38="pvp",15,Inputs!$B$43)-(B891)&lt;=0,1,MAX(0,IF(Inputs!$B$38="pvp",15,Inputs!$B$43)-MAX(5,B891))/(IF(Inputs!$B$38="pvp",15,Inputs!$B$43)-(B891))))*IF(AND(ArtifactsInput!$M$42,((Inputs!$B$9+((C872=TRUE)*(F872-Calc!F19))+B884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864*(MIN((Inputs!$B$9+((C872=TRUE)*(F872-Calc!F19))+B884+(ArtifactsInput!$M$24-ArtifactsInput!$M$24)*CHOOSE(ArtifactsInput!$N$24+1,10,12,14,16,18,20)+(IF(AND(Inputs!$B$38&lt;&gt;"pvp",Inputs!$B$43=0),1,IF(IF(Inputs!$B$38="pvp",15,Inputs!$B$43)-(B891)&lt;=0,1,MAX(0,IF(Inputs!$B$38="pvp",15,Inputs!$B$43)-MAX(5,B891))/(IF(Inputs!$B$38="pvp",15,Inputs!$B$43)-(B891))))*IF(AND(ArtifactsInput!$M$42,((Inputs!$B$9+((C872=TRUE)*(F872-Calc!F19))+B884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64">
        <f>(1-Summary!$B$11)*T864+Summary!$B$11*V864</f>
        <v/>
      </c>
      <c r="P864">
        <f>IF(B894=0,0,O864/B894)</f>
        <v/>
      </c>
      <c r="Q864">
        <f>IFERROR(1/((IF(Inputs!$B$38="pvp",15,MAX(0.1,Skills!D11-IF(TRUE=TRUE,Inputs!$B$32,0)))*(1-IF(AND(ArtifactsInput!$M$27,Inputs!$B$4="Chapter Hunt"),CHOOSE(ArtifactsInput!$N$27+1,20,24,28,32,36,40),0)/100))/B895),0)</f>
        <v/>
      </c>
      <c r="R864">
        <f>IF(AND(Inputs!$B$38&lt;&gt;"pvp",Inputs!$B$43&gt;0),IF(MAX(0,Inputs!$B$43-B891)&lt;=0,0,(INT(MAX(0,Inputs!$B$43-B891)/((IF(Inputs!$B$38="pvp",15,MAX(0.1,Skills!D11-IF(TRUE=TRUE,Inputs!$B$32,0)))*(1-IF(AND(ArtifactsInput!$M$27,Inputs!$B$4="Chapter Hunt"),CHOOSE(ArtifactsInput!$N$27+1,20,24,28,32,36,40),0)/100))/B895))+1)),0)</f>
        <v/>
      </c>
      <c r="S864">
        <f>IFERROR(O864/N864,0)</f>
        <v/>
      </c>
      <c r="T864">
        <f>IF(C864,(H864*N864*IF(AND(Inputs!$B$38&lt;&gt;"pvp",Inputs!$B$43&gt;0),((Skills!G11*((R864-1)*IF(Skills!H11&gt;0,INT(Skills!I11/Skills!H11+0.000000001),1)+IF(Skills!H11&gt;0,INT(MIN(Skills!I11,MAX(0,MAX(0,Inputs!$B$43-B891)-((R864-1)*((IF(Inputs!$B$38="pvp",15,MAX(0.1,Skills!D11-IF(TRUE=TRUE,Inputs!$B$32,0)))*(1-IF(AND(ArtifactsInput!$M$27,Inputs!$B$4="Chapter Hunt"),CHOOSE(ArtifactsInput!$N$27+1,20,24,28,32,36,40),0)/100))/B895))))/Skills!H11+0.000000001),1)))/Inputs!$B$43),G864*Q864))*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Hunt"),CHOOSE(ArtifactsInput!$N$35+1,15,18,21,24,27,30)*(1-EXP(-(0.2*B886)*5)),0)+IF(AND(ArtifactsInput!$M$22,Inputs!$B$4&lt;&gt;"Chapter Hunt"),CHOOSE(ArtifactsInput!$N$22+1,10,12,14,16,18,20)*((0*(((0.15*B886*5))^0/1)+1*(((0.15*B886*5))^1/1)+2*(((0.15*B886*5))^2/2)+3*(((0.15*B886*5))^3/6)+4*(((0.15*B886*5))^4/24)+5*(((0.15*B886*5))^5/120))/((((0.15*B886*5))^0/1)+(((0.15*B886*5))^1/1)+(((0.15*B886*5))^2/2)+(((0.15*B886*5))^3/6)+(((0.15*B886*5))^4/24)+(((0.15*B886*5))^5/120))),0))+IF(Inputs!$B$3&gt;=54,9*(C856=TRUE)*MIN(1,8*(1+Inputs!$B$34/100)*Q856)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864*(1-MIN(100,(Inputs!$B$9+((C872=TRUE)*(F872-Calc!F19))+B884+(ArtifactsInput!$M$24-ArtifactsInput!$M$24)*CHOOSE(ArtifactsInput!$N$24+1,10,12,14,16,18,20)+(IF(AND(Inputs!$B$38&lt;&gt;"pvp",Inputs!$B$43=0),1,IF(IF(Inputs!$B$38="pvp",15,Inputs!$B$43)-(B891)&lt;=0,1,MAX(0,IF(Inputs!$B$38="pvp",15,Inputs!$B$43)-MAX(5,B891))/(IF(Inputs!$B$38="pvp",15,Inputs!$B$43)-(B891))))*IF(AND(ArtifactsInput!$M$42,((Inputs!$B$9+((C872=TRUE)*(F872-Calc!F19))+B884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864*(MIN(100,(Inputs!$B$9+((C872=TRUE)*(F872-Calc!F19))+B884+(ArtifactsInput!$M$24-ArtifactsInput!$M$24)*CHOOSE(ArtifactsInput!$N$24+1,10,12,14,16,18,20)+(IF(AND(Inputs!$B$38&lt;&gt;"pvp",Inputs!$B$43=0),1,IF(IF(Inputs!$B$38="pvp",15,Inputs!$B$43)-(B891)&lt;=0,1,MAX(0,IF(Inputs!$B$38="pvp",15,Inputs!$B$43)-MAX(5,B891))/(IF(Inputs!$B$38="pvp",15,Inputs!$B$43)-(B891))))*IF(AND(ArtifactsInput!$M$42,((Inputs!$B$9+((C872=TRUE)*(F872-Calc!F19))+B884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864*(1-MIN(100,(Inputs!$B$9+((C872=TRUE)*(F872-Calc!F19))+B884+(ArtifactsInput!$M$24-ArtifactsInput!$M$24)*CHOOSE(ArtifactsInput!$N$24+1,10,12,14,16,18,20)+(IF(AND(Inputs!$B$38&lt;&gt;"pvp",Inputs!$B$43=0),1,IF(IF(Inputs!$B$38="pvp",15,Inputs!$B$43)-(B891)&lt;=0,1,MAX(0,IF(Inputs!$B$38="pvp",15,Inputs!$B$43)-MAX(5,B891))/(IF(Inputs!$B$38="pvp",15,Inputs!$B$43)-(B891))))*IF(AND(ArtifactsInput!$M$42,((Inputs!$B$9+((C872=TRUE)*(F872-Calc!F19))+B884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864*(MIN(100,(Inputs!$B$9+((C872=TRUE)*(F872-Calc!F19))+B884+(ArtifactsInput!$M$24-ArtifactsInput!$M$24)*CHOOSE(ArtifactsInput!$N$24+1,10,12,14,16,18,20)+(IF(AND(Inputs!$B$38&lt;&gt;"pvp",Inputs!$B$43=0),1,IF(IF(Inputs!$B$38="pvp",15,Inputs!$B$43)-(B891)&lt;=0,1,MAX(0,IF(Inputs!$B$38="pvp",15,Inputs!$B$43)-MAX(5,B891))/(IF(Inputs!$B$38="pvp",15,Inputs!$B$43)-(B891))))*IF(AND(ArtifactsInput!$M$42,((Inputs!$B$9+((C872=TRUE)*(F872-Calc!F19))+B884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864">
        <f>IF(C864,(H864*N864*IF(AND(Inputs!$B$38&lt;&gt;"pvp",Inputs!$B$43&gt;0),((Skills!G11*((R864-1)*IF(Skills!H11&gt;0,INT(Skills!I11/Skills!H11+0.000000001),1)+IF(Skills!H11&gt;0,INT(MIN(Skills!I11,MAX(0,MAX(0,Inputs!$B$43-B891)-((R864-1)*((IF(Inputs!$B$38="pvp",15,MAX(0.1,Skills!D11-IF(TRUE=TRUE,Inputs!$B$32,0)))*(1-IF(AND(ArtifactsInput!$M$27,Inputs!$B$4="Chapter Hunt"),CHOOSE(ArtifactsInput!$N$27+1,20,24,28,32,36,40),0)/100))/B895))))/Skills!H11+0.000000001),1)))/Inputs!$B$43),G864*Q864))*IF(Inputs!$B$38="pvp",1,(1+(Inputs!$B$21+Skills!Q11+(IF(ArtifactsInput!$M$33,CHOOSE(ArtifactsInput!$N$33+1,30,36,42,48,54,60),0))+(IF(AND(ArtifactsInput!$M$35,Inputs!$B$4&lt;&gt;"Chapter Hunt"),CHOOSE(ArtifactsInput!$N$35+1,15,18,21,24,27,30)*(1-EXP(-(0.2*B886)*5)),0)+IF(AND(ArtifactsInput!$M$22,Inputs!$B$4&lt;&gt;"Chapter Hunt"),CHOOSE(ArtifactsInput!$N$22+1,10,12,14,16,18,20)*((0*(((0.15*B886*5))^0/1)+1*(((0.15*B886*5))^1/1)+2*(((0.15*B886*5))^2/2)+3*(((0.15*B886*5))^3/6)+4*(((0.15*B886*5))^4/24)+5*(((0.15*B886*5))^5/120))/((((0.15*B886*5))^0/1)+(((0.15*B886*5))^1/1)+(((0.15*B886*5))^2/2)+(((0.15*B886*5))^3/6)+(((0.15*B886*5))^4/24)+(((0.15*B886*5))^5/120))),0))+IF(Inputs!$B$3&gt;=54,9*(C856=TRUE)*MIN(1,8*(1+Inputs!$B$34/100)*Q856),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65">
      <c r="A865">
        <f>Skills!A12</f>
        <v/>
      </c>
      <c r="B865">
        <f>Skills!B12</f>
        <v/>
      </c>
      <c r="C865">
        <f>Inputs!$B$3&gt;=110</f>
        <v/>
      </c>
      <c r="D865">
        <f>IF(Skills!C12=1,60+Inputs!$B$25+Inputs!$B$29,IF(Skills!C12=2,90+(Inputs!$B$26+1)+Inputs!$B$29,IF(Skills!C12=3,120+Inputs!$B$27+Inputs!$B$29,MAX(0,(Inputs!$B$3-100)*3)+Inputs!$B$28+Inputs!$B$29)))</f>
        <v/>
      </c>
      <c r="E865">
        <f>INDEX(FactorTable!$B$2:$Y$301, MATCH(ROUND(MIN(300,MAX(1,D865)),0), FactorTable!$A$2:$A$301,0), Skills!M12+1)</f>
        <v/>
      </c>
      <c r="F865">
        <f>IF(Skills!N12=TRUE,(Skills!L12/10)*(E865/1000),Skills!L12/10)+Skills!O12</f>
        <v/>
      </c>
      <c r="G865">
        <f>Skills!G12*IF(Skills!H12&gt;0,INT(IF(Inputs!$B$38="pvp",MIN(Skills!I12,15),Skills!I12)/Skills!H12+0.000000001),1)</f>
        <v/>
      </c>
      <c r="H865">
        <f>1-(1-Skills!J12/100)^Skills!K12</f>
        <v/>
      </c>
      <c r="I865" t="inlineStr">
        <is>
          <t>1</t>
        </is>
      </c>
      <c r="J865">
        <f>((Inputs!$B$6*(1+Inputs!$B$7/100))+(((Inputs!$B$12*(1+Inputs!$B$13/100))-(Inputs!$B$12*(1+Inputs!$B$13/100)))+0.25*(Inputs!$B$14-Inputs!$B$14))*(1+Inputs!$B$7/100))*(F865/100)</f>
        <v/>
      </c>
      <c r="K865">
        <f>J865*(1+((Inputs!$B$12*(1+Inputs!$B$13/100))*0.01+Inputs!$B$14*0.0025)/100)*(1+Inputs!$B$15/100)*(1+Inputs!$B$16/100)*(5000/(6000+Inputs!$B$42*(1-(100*(1-(1-(Inputs!$B$19+0)/100)*(1-CHOOSE(ArtifactsInput!$N$40+1,5,6,7,8,9,10)/100)^(ArtifactsInput!$M$40-ArtifactsInput!$M$40)))/100)))*(1+(Inputs!$B$24+((C879=TRUE)*(F879-Calc!F26))+B890)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EIGHT_LEGS_EASTON",Inputs!$B$17+((C876=TRUE)*(F876-Calc!F23))+((C880=TRUE)*(F880-Calc!F27))+((IF(AND(Inputs!$B$38&lt;&gt;"pvp",Inputs!$B$43=0),1,IF(IF(Inputs!$B$38="pvp",15,Inputs!$B$43)-(B891)&lt;=0,1,MAX(0,IF(Inputs!$B$38="pvp",15,Inputs!$B$43)-MAX(5,B891))/(IF(Inputs!$B$38="pvp",15,Inputs!$B$43)-(B891))))*(IF(AND(ArtifactsInput!$M$42,((Inputs!$B$9+((C872=TRUE)*(F872-Calc!F19))+B884+(ArtifactsInput!$M$24-ArtifactsInput!$M$24)*CHOOSE(ArtifactsInput!$N$24+1,10,12,14,16,18,20)+IF(ArtifactsInput!$M$10,CHOOSE(ArtifactsInput!$N$10+1,15,18,21,24,27,30)*(IF(Inputs!$B$38="pvp",MIN(15,15)/15,IF(AND(Inputs!$B$38&lt;&gt;"pvp",Inputs!$B$43&gt;0),MIN(15,Inputs!$B$43)/(Inputs!$B$43),0))),0)))&gt;=100),MIN(100,((Inputs!$B$9+((C872=TRUE)*(F872-Calc!F19))+B884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891)&lt;=0,1,MAX(0,IF(Inputs!$B$38="pvp",15,Inputs!$B$43)-MAX(5,B891))/(IF(Inputs!$B$38="pvp",15,Inputs!$B$43)-(B891))))*IF(AND(ArtifactsInput!$M$42,((Inputs!$B$9+((C872=TRUE)*(F872-Calc!F19))+B884+(ArtifactsInput!$M$24-ArtifactsInput!$M$24)*CHOOSE(ArtifactsInput!$N$24+1,10,12,14,16,18,20)+IF(ArtifactsInput!$M$10,CHOOSE(ArtifactsInput!$N$10+1,15,18,21,24,27,30)*(IF(Inputs!$B$38="pvp",MIN(15,15)/15,IF(AND(Inputs!$B$38&lt;&gt;"pvp",Inputs!$B$43&gt;0),MIN(15,Inputs!$B$43)/(Inputs!$B$43),0))),0)))&gt;=100),CHOOSE(ArtifactsInput!$N$42+1,40,48,56,64,72,80),0))))/100)*((1+(((C870=TRUE)*F870*5/7)+((C877=TRUE)*(F877-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865)</f>
        <v/>
      </c>
      <c r="L865">
        <f>K865*(MIN(Inputs!$B$22+((C875=TRUE)*(F875-Calc!F22)),(Inputs!$B$23+0+(IF(ArtifactsInput!$M$15,CHOOSE(ArtifactsInput!$N$15+1,25,30,35,40,45,50)/100*(Inputs!$B$11-Inputs!$B$11),0))))/100+(Inputs!$B$23+0+(IF(ArtifactsInput!$M$15,CHOOSE(ArtifactsInput!$N$15+1,25,30,35,40,45,50)/100*(Inputs!$B$11-Inputs!$B$11),0)))/100)/2</f>
        <v/>
      </c>
      <c r="M865">
        <f>L865*(1+(Inputs!$B$10+((C878=TRUE)*(F878-Calc!F25))+B889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65">
        <f>L865*(1-MIN((Inputs!$B$9+((C872=TRUE)*(F872-Calc!F19))+B884+(ArtifactsInput!$M$24-ArtifactsInput!$M$24)*CHOOSE(ArtifactsInput!$N$24+1,10,12,14,16,18,20)+(IF(AND(Inputs!$B$38&lt;&gt;"pvp",Inputs!$B$43=0),1,IF(IF(Inputs!$B$38="pvp",15,Inputs!$B$43)-(B891)&lt;=0,1,MAX(0,IF(Inputs!$B$38="pvp",15,Inputs!$B$43)-MAX(5,B891))/(IF(Inputs!$B$38="pvp",15,Inputs!$B$43)-(B891))))*IF(AND(ArtifactsInput!$M$42,((Inputs!$B$9+((C872=TRUE)*(F872-Calc!F19))+B884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865*(MIN((Inputs!$B$9+((C872=TRUE)*(F872-Calc!F19))+B884+(ArtifactsInput!$M$24-ArtifactsInput!$M$24)*CHOOSE(ArtifactsInput!$N$24+1,10,12,14,16,18,20)+(IF(AND(Inputs!$B$38&lt;&gt;"pvp",Inputs!$B$43=0),1,IF(IF(Inputs!$B$38="pvp",15,Inputs!$B$43)-(B891)&lt;=0,1,MAX(0,IF(Inputs!$B$38="pvp",15,Inputs!$B$43)-MAX(5,B891))/(IF(Inputs!$B$38="pvp",15,Inputs!$B$43)-(B891))))*IF(AND(ArtifactsInput!$M$42,((Inputs!$B$9+((C872=TRUE)*(F872-Calc!F19))+B884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65">
        <f>(1-Summary!$B$11)*T865+Summary!$B$11*V865</f>
        <v/>
      </c>
      <c r="P865">
        <f>IF(B894=0,0,O865/B894)</f>
        <v/>
      </c>
      <c r="Q865">
        <f>IFERROR(1/(IF(Inputs!$B$38="pvp",15,MAX(0.1,Skills!D12-IF(TRUE=TRUE,Inputs!$B$32,0)))*(1-IF(AND(ArtifactsInput!$M$27,Inputs!$B$4="Chapter Hunt"),CHOOSE(ArtifactsInput!$N$27+1,20,24,28,32,36,40),0)/100)),0)</f>
        <v/>
      </c>
      <c r="R865">
        <f>IF(AND(Inputs!$B$38&lt;&gt;"pvp",Inputs!$B$43&gt;0),IF(MAX(0,Inputs!$B$43-B891)&lt;=0,0,(INT(MAX(0,Inputs!$B$43-B891)/(IF(Inputs!$B$38="pvp",15,MAX(0.1,Skills!D12-IF(TRUE=TRUE,Inputs!$B$32,0)))*(1-IF(AND(ArtifactsInput!$M$27,Inputs!$B$4="Chapter Hunt"),CHOOSE(ArtifactsInput!$N$27+1,20,24,28,32,36,40),0)/100)))+1)),0)</f>
        <v/>
      </c>
      <c r="S865">
        <f>IFERROR(O865/N865,0)</f>
        <v/>
      </c>
      <c r="T865">
        <f>IF(C865,(H865*N865*IF(AND(Inputs!$B$38&lt;&gt;"pvp",Inputs!$B$43&gt;0),((Skills!G12*((R865-1)*IF(Skills!H12&gt;0,INT(Skills!I12/Skills!H12+0.000000001),1)+IF(Skills!H12&gt;0,INT(MIN(Skills!I12,MAX(0,MAX(0,Inputs!$B$43-B891)-((R865-1)*(IF(Inputs!$B$38="pvp",15,MAX(0.1,Skills!D12-IF(TRUE=TRUE,Inputs!$B$32,0)))*(1-IF(AND(ArtifactsInput!$M$27,Inputs!$B$4="Chapter Hunt"),CHOOSE(ArtifactsInput!$N$27+1,20,24,28,32,36,40),0)/100)))))/Skills!H12+0.000000001),1)))/Inputs!$B$43),G865*Q865))*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Hunt"),CHOOSE(ArtifactsInput!$N$35+1,15,18,21,24,27,30)*(1-EXP(-(0.2*B886)*5)),0)+IF(AND(ArtifactsInput!$M$22,Inputs!$B$4&lt;&gt;"Chapter Hunt"),CHOOSE(ArtifactsInput!$N$22+1,10,12,14,16,18,20)*((0*(((0.15*B886*5))^0/1)+1*(((0.15*B886*5))^1/1)+2*(((0.15*B886*5))^2/2)+3*(((0.15*B886*5))^3/6)+4*(((0.15*B886*5))^4/24)+5*(((0.15*B886*5))^5/120))/((((0.15*B886*5))^0/1)+(((0.15*B886*5))^1/1)+(((0.15*B886*5))^2/2)+(((0.15*B886*5))^3/6)+(((0.15*B886*5))^4/24)+(((0.15*B886*5))^5/120))),0))+IF(Inputs!$B$3&gt;=54,9*(C856=TRUE)*MIN(1,8*(1+Inputs!$B$34/100)*Q856)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865*(1-MIN(100,(Inputs!$B$9+((C872=TRUE)*(F872-Calc!F19))+B884+(ArtifactsInput!$M$24-ArtifactsInput!$M$24)*CHOOSE(ArtifactsInput!$N$24+1,10,12,14,16,18,20)+(IF(AND(Inputs!$B$38&lt;&gt;"pvp",Inputs!$B$43=0),1,IF(IF(Inputs!$B$38="pvp",15,Inputs!$B$43)-(B891)&lt;=0,1,MAX(0,IF(Inputs!$B$38="pvp",15,Inputs!$B$43)-MAX(5,B891))/(IF(Inputs!$B$38="pvp",15,Inputs!$B$43)-(B891))))*IF(AND(ArtifactsInput!$M$42,((Inputs!$B$9+((C872=TRUE)*(F872-Calc!F19))+B884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865*(MIN(100,(Inputs!$B$9+((C872=TRUE)*(F872-Calc!F19))+B884+(ArtifactsInput!$M$24-ArtifactsInput!$M$24)*CHOOSE(ArtifactsInput!$N$24+1,10,12,14,16,18,20)+(IF(AND(Inputs!$B$38&lt;&gt;"pvp",Inputs!$B$43=0),1,IF(IF(Inputs!$B$38="pvp",15,Inputs!$B$43)-(B891)&lt;=0,1,MAX(0,IF(Inputs!$B$38="pvp",15,Inputs!$B$43)-MAX(5,B891))/(IF(Inputs!$B$38="pvp",15,Inputs!$B$43)-(B891))))*IF(AND(ArtifactsInput!$M$42,((Inputs!$B$9+((C872=TRUE)*(F872-Calc!F19))+B884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865*(1-MIN(100,(Inputs!$B$9+((C872=TRUE)*(F872-Calc!F19))+B884+(ArtifactsInput!$M$24-ArtifactsInput!$M$24)*CHOOSE(ArtifactsInput!$N$24+1,10,12,14,16,18,20)+(IF(AND(Inputs!$B$38&lt;&gt;"pvp",Inputs!$B$43=0),1,IF(IF(Inputs!$B$38="pvp",15,Inputs!$B$43)-(B891)&lt;=0,1,MAX(0,IF(Inputs!$B$38="pvp",15,Inputs!$B$43)-MAX(5,B891))/(IF(Inputs!$B$38="pvp",15,Inputs!$B$43)-(B891))))*IF(AND(ArtifactsInput!$M$42,((Inputs!$B$9+((C872=TRUE)*(F872-Calc!F19))+B884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865*(MIN(100,(Inputs!$B$9+((C872=TRUE)*(F872-Calc!F19))+B884+(ArtifactsInput!$M$24-ArtifactsInput!$M$24)*CHOOSE(ArtifactsInput!$N$24+1,10,12,14,16,18,20)+(IF(AND(Inputs!$B$38&lt;&gt;"pvp",Inputs!$B$43=0),1,IF(IF(Inputs!$B$38="pvp",15,Inputs!$B$43)-(B891)&lt;=0,1,MAX(0,IF(Inputs!$B$38="pvp",15,Inputs!$B$43)-MAX(5,B891))/(IF(Inputs!$B$38="pvp",15,Inputs!$B$43)-(B891))))*IF(AND(ArtifactsInput!$M$42,((Inputs!$B$9+((C872=TRUE)*(F872-Calc!F19))+B884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865">
        <f>IF(C865,(H865*N865*IF(AND(Inputs!$B$38&lt;&gt;"pvp",Inputs!$B$43&gt;0),((Skills!G12*((R865-1)*IF(Skills!H12&gt;0,INT(Skills!I12/Skills!H12+0.000000001),1)+IF(Skills!H12&gt;0,INT(MIN(Skills!I12,MAX(0,MAX(0,Inputs!$B$43-B891)-((R865-1)*(IF(Inputs!$B$38="pvp",15,MAX(0.1,Skills!D12-IF(TRUE=TRUE,Inputs!$B$32,0)))*(1-IF(AND(ArtifactsInput!$M$27,Inputs!$B$4="Chapter Hunt"),CHOOSE(ArtifactsInput!$N$27+1,20,24,28,32,36,40),0)/100)))))/Skills!H12+0.000000001),1)))/Inputs!$B$43),G865*Q865))*IF(Inputs!$B$38="pvp",1,(1+(Inputs!$B$21+Skills!Q12+(IF(ArtifactsInput!$M$33,CHOOSE(ArtifactsInput!$N$33+1,30,36,42,48,54,60),0))+(IF(AND(ArtifactsInput!$M$35,Inputs!$B$4&lt;&gt;"Chapter Hunt"),CHOOSE(ArtifactsInput!$N$35+1,15,18,21,24,27,30)*(1-EXP(-(0.2*B886)*5)),0)+IF(AND(ArtifactsInput!$M$22,Inputs!$B$4&lt;&gt;"Chapter Hunt"),CHOOSE(ArtifactsInput!$N$22+1,10,12,14,16,18,20)*((0*(((0.15*B886*5))^0/1)+1*(((0.15*B886*5))^1/1)+2*(((0.15*B886*5))^2/2)+3*(((0.15*B886*5))^3/6)+4*(((0.15*B886*5))^4/24)+5*(((0.15*B886*5))^5/120))/((((0.15*B886*5))^0/1)+(((0.15*B886*5))^1/1)+(((0.15*B886*5))^2/2)+(((0.15*B886*5))^3/6)+(((0.15*B886*5))^4/24)+(((0.15*B886*5))^5/120))),0))+IF(Inputs!$B$3&gt;=54,9*(C856=TRUE)*MIN(1,8*(1+Inputs!$B$34/100)*Q856),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66">
      <c r="A866">
        <f>Skills!A13</f>
        <v/>
      </c>
      <c r="B866">
        <f>Skills!B13</f>
        <v/>
      </c>
      <c r="C866">
        <f>Inputs!$B$3&gt;=110</f>
        <v/>
      </c>
      <c r="D866">
        <f>IF(Skills!C13=1,60+Inputs!$B$25+Inputs!$B$29,IF(Skills!C13=2,90+(Inputs!$B$26+1)+Inputs!$B$29,IF(Skills!C13=3,120+Inputs!$B$27+Inputs!$B$29,MAX(0,(Inputs!$B$3-100)*3)+Inputs!$B$28+Inputs!$B$29)))</f>
        <v/>
      </c>
      <c r="E866">
        <f>INDEX(FactorTable!$B$2:$Y$301, MATCH(ROUND(MIN(300,MAX(1,D866)),0), FactorTable!$A$2:$A$301,0), Skills!M13+1)</f>
        <v/>
      </c>
      <c r="F866">
        <f>IF(Skills!N13=TRUE,(Skills!L13/10)*(E866/1000),Skills!L13/10)+Skills!O13</f>
        <v/>
      </c>
      <c r="G866">
        <f>Skills!G13*IF(Skills!H13&gt;0,INT(IF(Inputs!$B$38="pvp",MIN(Skills!I13,15),Skills!I13)/Skills!H13+0.000000001),1)</f>
        <v/>
      </c>
      <c r="H866">
        <f>1-(1-Skills!J13/100)^Skills!K13</f>
        <v/>
      </c>
      <c r="I866" t="inlineStr">
        <is>
          <t>1</t>
        </is>
      </c>
      <c r="J866">
        <f>((Inputs!$B$6*(1+Inputs!$B$7/100))+(((Inputs!$B$12*(1+Inputs!$B$13/100))-(Inputs!$B$12*(1+Inputs!$B$13/100)))+0.25*(Inputs!$B$14-Inputs!$B$14))*(1+Inputs!$B$7/100))*(F866/100)</f>
        <v/>
      </c>
      <c r="K866">
        <f>J866*(1+((Inputs!$B$12*(1+Inputs!$B$13/100))*0.01+Inputs!$B$14*0.0025)/100)*(1+Inputs!$B$15/100)*(1+Inputs!$B$16/100)*(5000/(6000+Inputs!$B$42*(1-(100*(1-(1-(Inputs!$B$19+0)/100)*(1-CHOOSE(ArtifactsInput!$N$40+1,5,6,7,8,9,10)/100)^(ArtifactsInput!$M$40-ArtifactsInput!$M$40)))/100)))*(1+(Inputs!$B$24+((C879=TRUE)*(F879-Calc!F26))+B890)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EIGHT_LEGS_EASTON",Inputs!$B$17+((C876=TRUE)*(F876-Calc!F23))+((C880=TRUE)*(F880-Calc!F27))+((IF(AND(Inputs!$B$38&lt;&gt;"pvp",Inputs!$B$43=0),1,IF(IF(Inputs!$B$38="pvp",15,Inputs!$B$43)-(B891)&lt;=0,1,MAX(0,IF(Inputs!$B$38="pvp",15,Inputs!$B$43)-MAX(5,B891))/(IF(Inputs!$B$38="pvp",15,Inputs!$B$43)-(B891))))*(IF(AND(ArtifactsInput!$M$42,((Inputs!$B$9+((C872=TRUE)*(F872-Calc!F19))+B884+(ArtifactsInput!$M$24-ArtifactsInput!$M$24)*CHOOSE(ArtifactsInput!$N$24+1,10,12,14,16,18,20)+IF(ArtifactsInput!$M$10,CHOOSE(ArtifactsInput!$N$10+1,15,18,21,24,27,30)*(IF(Inputs!$B$38="pvp",MIN(15,15)/15,IF(AND(Inputs!$B$38&lt;&gt;"pvp",Inputs!$B$43&gt;0),MIN(15,Inputs!$B$43)/(Inputs!$B$43),0))),0)))&gt;=100),MIN(100,((Inputs!$B$9+((C872=TRUE)*(F872-Calc!F19))+B884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891)&lt;=0,1,MAX(0,IF(Inputs!$B$38="pvp",15,Inputs!$B$43)-MAX(5,B891))/(IF(Inputs!$B$38="pvp",15,Inputs!$B$43)-(B891))))*IF(AND(ArtifactsInput!$M$42,((Inputs!$B$9+((C872=TRUE)*(F872-Calc!F19))+B884+(ArtifactsInput!$M$24-ArtifactsInput!$M$24)*CHOOSE(ArtifactsInput!$N$24+1,10,12,14,16,18,20)+IF(ArtifactsInput!$M$10,CHOOSE(ArtifactsInput!$N$10+1,15,18,21,24,27,30)*(IF(Inputs!$B$38="pvp",MIN(15,15)/15,IF(AND(Inputs!$B$38&lt;&gt;"pvp",Inputs!$B$43&gt;0),MIN(15,Inputs!$B$43)/(Inputs!$B$43),0))),0)))&gt;=100),CHOOSE(ArtifactsInput!$N$42+1,40,48,56,64,72,80),0))))/100)*((1+(((C870=TRUE)*F870*5/7)+((C877=TRUE)*(F877-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866)</f>
        <v/>
      </c>
      <c r="L866">
        <f>K866*(MIN(Inputs!$B$22+((C875=TRUE)*(F875-Calc!F22)),(Inputs!$B$23+0+(IF(ArtifactsInput!$M$15,CHOOSE(ArtifactsInput!$N$15+1,25,30,35,40,45,50)/100*(Inputs!$B$11-Inputs!$B$11),0))))/100+(Inputs!$B$23+0+(IF(ArtifactsInput!$M$15,CHOOSE(ArtifactsInput!$N$15+1,25,30,35,40,45,50)/100*(Inputs!$B$11-Inputs!$B$11),0)))/100)/2</f>
        <v/>
      </c>
      <c r="M866">
        <f>L866*(1+(Inputs!$B$10+((C878=TRUE)*(F878-Calc!F25))+B889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66">
        <f>L866*(1-MIN((Inputs!$B$9+((C872=TRUE)*(F872-Calc!F19))+B884+(ArtifactsInput!$M$24-ArtifactsInput!$M$24)*CHOOSE(ArtifactsInput!$N$24+1,10,12,14,16,18,20)+(IF(AND(Inputs!$B$38&lt;&gt;"pvp",Inputs!$B$43=0),1,IF(IF(Inputs!$B$38="pvp",15,Inputs!$B$43)-(B891)&lt;=0,1,MAX(0,IF(Inputs!$B$38="pvp",15,Inputs!$B$43)-MAX(5,B891))/(IF(Inputs!$B$38="pvp",15,Inputs!$B$43)-(B891))))*IF(AND(ArtifactsInput!$M$42,((Inputs!$B$9+((C872=TRUE)*(F872-Calc!F19))+B884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866*(MIN((Inputs!$B$9+((C872=TRUE)*(F872-Calc!F19))+B884+(ArtifactsInput!$M$24-ArtifactsInput!$M$24)*CHOOSE(ArtifactsInput!$N$24+1,10,12,14,16,18,20)+(IF(AND(Inputs!$B$38&lt;&gt;"pvp",Inputs!$B$43=0),1,IF(IF(Inputs!$B$38="pvp",15,Inputs!$B$43)-(B891)&lt;=0,1,MAX(0,IF(Inputs!$B$38="pvp",15,Inputs!$B$43)-MAX(5,B891))/(IF(Inputs!$B$38="pvp",15,Inputs!$B$43)-(B891))))*IF(AND(ArtifactsInput!$M$42,((Inputs!$B$9+((C872=TRUE)*(F872-Calc!F19))+B884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66">
        <f>(1-Summary!$B$11)*T866+Summary!$B$11*V866</f>
        <v/>
      </c>
      <c r="P866">
        <f>IF(B894=0,0,O866/B894)</f>
        <v/>
      </c>
      <c r="Q866">
        <f>IFERROR(1/(IF(Inputs!$B$38="pvp",15,MAX(0.1,Skills!D13-IF(TRUE=TRUE,Inputs!$B$32,0)))*(1-IF(AND(ArtifactsInput!$M$27,Inputs!$B$4="Chapter Hunt"),CHOOSE(ArtifactsInput!$N$27+1,20,24,28,32,36,40),0)/100)),0)</f>
        <v/>
      </c>
      <c r="R866">
        <f>IF(AND(Inputs!$B$38&lt;&gt;"pvp",Inputs!$B$43&gt;0),IF(MAX(0,Inputs!$B$43-B891)&lt;=0,0,(INT(MAX(0,Inputs!$B$43-B891)/(IF(Inputs!$B$38="pvp",15,MAX(0.1,Skills!D13-IF(TRUE=TRUE,Inputs!$B$32,0)))*(1-IF(AND(ArtifactsInput!$M$27,Inputs!$B$4="Chapter Hunt"),CHOOSE(ArtifactsInput!$N$27+1,20,24,28,32,36,40),0)/100)))+1)),0)</f>
        <v/>
      </c>
      <c r="S866">
        <f>IFERROR(O866/N866,0)</f>
        <v/>
      </c>
      <c r="T866">
        <f>IF(C866,(H866*N866*IF(AND(Inputs!$B$38&lt;&gt;"pvp",Inputs!$B$43&gt;0),((Skills!G13*((R866-1)*IF(Skills!H13&gt;0,INT(Skills!I13/Skills!H13+0.000000001),1)+IF(Skills!H13&gt;0,INT(MIN(Skills!I13,MAX(0,MAX(0,Inputs!$B$43-B891)-((R866-1)*(IF(Inputs!$B$38="pvp",15,MAX(0.1,Skills!D13-IF(TRUE=TRUE,Inputs!$B$32,0)))*(1-IF(AND(ArtifactsInput!$M$27,Inputs!$B$4="Chapter Hunt"),CHOOSE(ArtifactsInput!$N$27+1,20,24,28,32,36,40),0)/100)))))/Skills!H13+0.000000001),1)))/Inputs!$B$43),G866*Q866))*IF(Inputs!$B$38="pvp",1,1+(Inputs!$B$20+0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Hunt"),CHOOSE(ArtifactsInput!$N$35+1,15,18,21,24,27,30)*(1-EXP(-(0.2*B886)*5)),0)+IF(AND(ArtifactsInput!$M$22,Inputs!$B$4&lt;&gt;"Chapter Hunt"),CHOOSE(ArtifactsInput!$N$22+1,10,12,14,16,18,20)*((0*(((0.15*B886*5))^0/1)+1*(((0.15*B886*5))^1/1)+2*(((0.15*B886*5))^2/2)+3*(((0.15*B886*5))^3/6)+4*(((0.15*B886*5))^4/24)+5*(((0.15*B886*5))^5/120))/((((0.15*B886*5))^0/1)+(((0.15*B886*5))^1/1)+(((0.15*B886*5))^2/2)+(((0.15*B886*5))^3/6)+(((0.15*B886*5))^4/24)+(((0.15*B886*5))^5/120))),0))+IF(Inputs!$B$3&gt;=54,9*(C856=TRUE)*MIN(1,8*(1+Inputs!$B$34/100)*Q856)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866*(1-MIN(100,(Inputs!$B$9+((C872=TRUE)*(F872-Calc!F19))+B884+(ArtifactsInput!$M$24-ArtifactsInput!$M$24)*CHOOSE(ArtifactsInput!$N$24+1,10,12,14,16,18,20)+(IF(AND(Inputs!$B$38&lt;&gt;"pvp",Inputs!$B$43=0),1,IF(IF(Inputs!$B$38="pvp",15,Inputs!$B$43)-(B891)&lt;=0,1,MAX(0,IF(Inputs!$B$38="pvp",15,Inputs!$B$43)-MAX(5,B891))/(IF(Inputs!$B$38="pvp",15,Inputs!$B$43)-(B891))))*IF(AND(ArtifactsInput!$M$42,((Inputs!$B$9+((C872=TRUE)*(F872-Calc!F19))+B884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866*(MIN(100,(Inputs!$B$9+((C872=TRUE)*(F872-Calc!F19))+B884+(ArtifactsInput!$M$24-ArtifactsInput!$M$24)*CHOOSE(ArtifactsInput!$N$24+1,10,12,14,16,18,20)+(IF(AND(Inputs!$B$38&lt;&gt;"pvp",Inputs!$B$43=0),1,IF(IF(Inputs!$B$38="pvp",15,Inputs!$B$43)-(B891)&lt;=0,1,MAX(0,IF(Inputs!$B$38="pvp",15,Inputs!$B$43)-MAX(5,B891))/(IF(Inputs!$B$38="pvp",15,Inputs!$B$43)-(B891))))*IF(AND(ArtifactsInput!$M$42,((Inputs!$B$9+((C872=TRUE)*(F872-Calc!F19))+B884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866*(1-MIN(100,(Inputs!$B$9+((C872=TRUE)*(F872-Calc!F19))+B884+(ArtifactsInput!$M$24-ArtifactsInput!$M$24)*CHOOSE(ArtifactsInput!$N$24+1,10,12,14,16,18,20)+(IF(AND(Inputs!$B$38&lt;&gt;"pvp",Inputs!$B$43=0),1,IF(IF(Inputs!$B$38="pvp",15,Inputs!$B$43)-(B891)&lt;=0,1,MAX(0,IF(Inputs!$B$38="pvp",15,Inputs!$B$43)-MAX(5,B891))/(IF(Inputs!$B$38="pvp",15,Inputs!$B$43)-(B891))))*IF(AND(ArtifactsInput!$M$42,((Inputs!$B$9+((C872=TRUE)*(F872-Calc!F19))+B884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866*(MIN(100,(Inputs!$B$9+((C872=TRUE)*(F872-Calc!F19))+B884+(ArtifactsInput!$M$24-ArtifactsInput!$M$24)*CHOOSE(ArtifactsInput!$N$24+1,10,12,14,16,18,20)+(IF(AND(Inputs!$B$38&lt;&gt;"pvp",Inputs!$B$43=0),1,IF(IF(Inputs!$B$38="pvp",15,Inputs!$B$43)-(B891)&lt;=0,1,MAX(0,IF(Inputs!$B$38="pvp",15,Inputs!$B$43)-MAX(5,B891))/(IF(Inputs!$B$38="pvp",15,Inputs!$B$43)-(B891))))*IF(AND(ArtifactsInput!$M$42,((Inputs!$B$9+((C872=TRUE)*(F872-Calc!F19))+B884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866">
        <f>IF(C866,(H866*N866*IF(AND(Inputs!$B$38&lt;&gt;"pvp",Inputs!$B$43&gt;0),((Skills!G13*((R866-1)*IF(Skills!H13&gt;0,INT(Skills!I13/Skills!H13+0.000000001),1)+IF(Skills!H13&gt;0,INT(MIN(Skills!I13,MAX(0,MAX(0,Inputs!$B$43-B891)-((R866-1)*(IF(Inputs!$B$38="pvp",15,MAX(0.1,Skills!D13-IF(TRUE=TRUE,Inputs!$B$32,0)))*(1-IF(AND(ArtifactsInput!$M$27,Inputs!$B$4="Chapter Hunt"),CHOOSE(ArtifactsInput!$N$27+1,20,24,28,32,36,40),0)/100)))))/Skills!H13+0.000000001),1)))/Inputs!$B$43),G866*Q866))*IF(Inputs!$B$38="pvp",1,(1+(Inputs!$B$21+Skills!Q13+(IF(ArtifactsInput!$M$33,CHOOSE(ArtifactsInput!$N$33+1,30,36,42,48,54,60),0))+(IF(AND(ArtifactsInput!$M$35,Inputs!$B$4&lt;&gt;"Chapter Hunt"),CHOOSE(ArtifactsInput!$N$35+1,15,18,21,24,27,30)*(1-EXP(-(0.2*B886)*5)),0)+IF(AND(ArtifactsInput!$M$22,Inputs!$B$4&lt;&gt;"Chapter Hunt"),CHOOSE(ArtifactsInput!$N$22+1,10,12,14,16,18,20)*((0*(((0.15*B886*5))^0/1)+1*(((0.15*B886*5))^1/1)+2*(((0.15*B886*5))^2/2)+3*(((0.15*B886*5))^3/6)+4*(((0.15*B886*5))^4/24)+5*(((0.15*B886*5))^5/120))/((((0.15*B886*5))^0/1)+(((0.15*B886*5))^1/1)+(((0.15*B886*5))^2/2)+(((0.15*B886*5))^3/6)+(((0.15*B886*5))^4/24)+(((0.15*B886*5))^5/120))),0))+IF(Inputs!$B$3&gt;=54,9*(C856=TRUE)*MIN(1,8*(1+Inputs!$B$34/100)*Q856),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67">
      <c r="A867">
        <f>Skills!A14</f>
        <v/>
      </c>
      <c r="B867">
        <f>Skills!B14</f>
        <v/>
      </c>
      <c r="C867">
        <f>Inputs!$B$3&gt;=120</f>
        <v/>
      </c>
      <c r="D867">
        <f>IF(Skills!C14=1,60+Inputs!$B$25+Inputs!$B$29,IF(Skills!C14=2,90+(Inputs!$B$26+1)+Inputs!$B$29,IF(Skills!C14=3,120+Inputs!$B$27+Inputs!$B$29,MAX(0,(Inputs!$B$3-100)*3)+Inputs!$B$28+Inputs!$B$29)))</f>
        <v/>
      </c>
      <c r="E867">
        <f>INDEX(FactorTable!$B$2:$Y$301, MATCH(ROUND(MIN(300,MAX(1,D867)),0), FactorTable!$A$2:$A$301,0), Skills!M14+1)</f>
        <v/>
      </c>
      <c r="F867">
        <f>IF(Skills!N14=TRUE,(Skills!L14/10)*(E867/1000),Skills!L14/10)+Skills!O14</f>
        <v/>
      </c>
      <c r="G867">
        <f>Skills!G14*IF(Skills!H14&gt;0,INT(IF(Inputs!$B$38="pvp",MIN(Skills!I14,15),Skills!I14)/Skills!H14+0.000000001),1)</f>
        <v/>
      </c>
      <c r="H867">
        <f>1-(1-Skills!J14/100)^Skills!K14</f>
        <v/>
      </c>
      <c r="I867" t="inlineStr">
        <is>
          <t>1</t>
        </is>
      </c>
      <c r="J867">
        <f>((Inputs!$B$6*(1+Inputs!$B$7/100))+(((Inputs!$B$12*(1+Inputs!$B$13/100))-(Inputs!$B$12*(1+Inputs!$B$13/100)))+0.25*(Inputs!$B$14-Inputs!$B$14))*(1+Inputs!$B$7/100))*(F867/100)</f>
        <v/>
      </c>
      <c r="K867">
        <f>J867*(1+((Inputs!$B$12*(1+Inputs!$B$13/100))*0.01+Inputs!$B$14*0.0025)/100)*(1+Inputs!$B$15/100)*(1+Inputs!$B$16/100)*(5000/(6000+Inputs!$B$42*(1-(100*(1-(1-(Inputs!$B$19+0)/100)*(1-CHOOSE(ArtifactsInput!$N$40+1,5,6,7,8,9,10)/100)^(ArtifactsInput!$M$40-ArtifactsInput!$M$40)))/100)))*(1+(Inputs!$B$24+((C879=TRUE)*(F879-Calc!F26))+B890)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EIGHT_LEGS_EASTON",Inputs!$B$17+((C876=TRUE)*(F876-Calc!F23))+((C880=TRUE)*(F880-Calc!F27))+((IF(AND(Inputs!$B$38&lt;&gt;"pvp",Inputs!$B$43=0),1,IF(IF(Inputs!$B$38="pvp",15,Inputs!$B$43)-(B891)&lt;=0,1,MAX(0,IF(Inputs!$B$38="pvp",15,Inputs!$B$43)-MAX(5,B891))/(IF(Inputs!$B$38="pvp",15,Inputs!$B$43)-(B891))))*(IF(AND(ArtifactsInput!$M$42,((Inputs!$B$9+((C872=TRUE)*(F872-Calc!F19))+B884+(ArtifactsInput!$M$24-ArtifactsInput!$M$24)*CHOOSE(ArtifactsInput!$N$24+1,10,12,14,16,18,20)+IF(ArtifactsInput!$M$10,CHOOSE(ArtifactsInput!$N$10+1,15,18,21,24,27,30)*(IF(Inputs!$B$38="pvp",MIN(15,15)/15,IF(AND(Inputs!$B$38&lt;&gt;"pvp",Inputs!$B$43&gt;0),MIN(15,Inputs!$B$43)/(Inputs!$B$43),0))),0)))&gt;=100),MIN(100,((Inputs!$B$9+((C872=TRUE)*(F872-Calc!F19))+B884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891)&lt;=0,1,MAX(0,IF(Inputs!$B$38="pvp",15,Inputs!$B$43)-MAX(5,B891))/(IF(Inputs!$B$38="pvp",15,Inputs!$B$43)-(B891))))*IF(AND(ArtifactsInput!$M$42,((Inputs!$B$9+((C872=TRUE)*(F872-Calc!F19))+B884+(ArtifactsInput!$M$24-ArtifactsInput!$M$24)*CHOOSE(ArtifactsInput!$N$24+1,10,12,14,16,18,20)+IF(ArtifactsInput!$M$10,CHOOSE(ArtifactsInput!$N$10+1,15,18,21,24,27,30)*(IF(Inputs!$B$38="pvp",MIN(15,15)/15,IF(AND(Inputs!$B$38&lt;&gt;"pvp",Inputs!$B$43&gt;0),MIN(15,Inputs!$B$43)/(Inputs!$B$43),0))),0)))&gt;=100),CHOOSE(ArtifactsInput!$N$42+1,40,48,56,64,72,80),0))))/100)*((1+(((C870=TRUE)*F870*5/7)+((C877=TRUE)*(F877-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867)</f>
        <v/>
      </c>
      <c r="L867">
        <f>K867*(MIN(Inputs!$B$22+((C875=TRUE)*(F875-Calc!F22)),(Inputs!$B$23+0+(IF(ArtifactsInput!$M$15,CHOOSE(ArtifactsInput!$N$15+1,25,30,35,40,45,50)/100*(Inputs!$B$11-Inputs!$B$11),0))))/100+(Inputs!$B$23+0+(IF(ArtifactsInput!$M$15,CHOOSE(ArtifactsInput!$N$15+1,25,30,35,40,45,50)/100*(Inputs!$B$11-Inputs!$B$11),0)))/100)/2</f>
        <v/>
      </c>
      <c r="M867">
        <f>L867*(1+(Inputs!$B$10+((C878=TRUE)*(F878-Calc!F25))+B889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67">
        <f>L867*(1-MIN((Inputs!$B$9+((C872=TRUE)*(F872-Calc!F19))+B884+(ArtifactsInput!$M$24-ArtifactsInput!$M$24)*CHOOSE(ArtifactsInput!$N$24+1,10,12,14,16,18,20)+(IF(AND(Inputs!$B$38&lt;&gt;"pvp",Inputs!$B$43=0),1,IF(IF(Inputs!$B$38="pvp",15,Inputs!$B$43)-(B891)&lt;=0,1,MAX(0,IF(Inputs!$B$38="pvp",15,Inputs!$B$43)-MAX(5,B891))/(IF(Inputs!$B$38="pvp",15,Inputs!$B$43)-(B891))))*IF(AND(ArtifactsInput!$M$42,((Inputs!$B$9+((C872=TRUE)*(F872-Calc!F19))+B884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867*(MIN((Inputs!$B$9+((C872=TRUE)*(F872-Calc!F19))+B884+(ArtifactsInput!$M$24-ArtifactsInput!$M$24)*CHOOSE(ArtifactsInput!$N$24+1,10,12,14,16,18,20)+(IF(AND(Inputs!$B$38&lt;&gt;"pvp",Inputs!$B$43=0),1,IF(IF(Inputs!$B$38="pvp",15,Inputs!$B$43)-(B891)&lt;=0,1,MAX(0,IF(Inputs!$B$38="pvp",15,Inputs!$B$43)-MAX(5,B891))/(IF(Inputs!$B$38="pvp",15,Inputs!$B$43)-(B891))))*IF(AND(ArtifactsInput!$M$42,((Inputs!$B$9+((C872=TRUE)*(F872-Calc!F19))+B884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67">
        <f>(1-Summary!$B$11)*T867+Summary!$B$11*V867</f>
        <v/>
      </c>
      <c r="P867">
        <f>IF(B894=0,0,O867/B894)</f>
        <v/>
      </c>
      <c r="Q867" t="n">
        <v>0</v>
      </c>
      <c r="R867" t="n">
        <v>0</v>
      </c>
      <c r="S867">
        <f>IFERROR(O867/N867,0)</f>
        <v/>
      </c>
      <c r="T867">
        <f>IF(C867,((H867*(B888+IF(AND(Inputs!$B$38&lt;&gt;"pvp",Inputs!$B$43&gt;0),((Skills!G8*((R861-1)*IF(Skills!H8&gt;0,INT(Skills!I8/Skills!H8+0.000000001),1)+IF(Skills!H8&gt;0,INT(MIN(Skills!I8,MAX(0,MAX(0,Inputs!$B$43-B891)-((R861-1)*((IF(Inputs!$B$38="pvp",15,MAX(0.1,Skills!D8-IF(TRUE=TRUE,Inputs!$B$32,0)))*(1-IF(AND(ArtifactsInput!$M$27,Inputs!$B$4="Chapter Hunt"),CHOOSE(ArtifactsInput!$N$27+1,20,24,28,32,36,40),0)/100))/B895))))/Skills!H8+0.000000001),1)))/Inputs!$B$43),G861*Q861)+IF(AND(Inputs!$B$38&lt;&gt;"pvp",Inputs!$B$43&gt;0),((Skills!G11*((R864-1)*IF(Skills!H11&gt;0,INT(Skills!I11/Skills!H11+0.000000001),1)+IF(Skills!H11&gt;0,INT(MIN(Skills!I11,MAX(0,MAX(0,Inputs!$B$43-B891)-((R864-1)*((IF(Inputs!$B$38="pvp",15,MAX(0.1,Skills!D11-IF(TRUE=TRUE,Inputs!$B$32,0)))*(1-IF(AND(ArtifactsInput!$M$27,Inputs!$B$4="Chapter Hunt"),CHOOSE(ArtifactsInput!$N$27+1,20,24,28,32,36,40),0)/100))/B895))))/Skills!H11+0.000000001),1)))/Inputs!$B$43),G864*Q864)))/(1+Skills!H14*H867*(B888+IF(AND(Inputs!$B$38&lt;&gt;"pvp",Inputs!$B$43&gt;0),((Skills!G8*((R861-1)*IF(Skills!H8&gt;0,INT(Skills!I8/Skills!H8+0.000000001),1)+IF(Skills!H8&gt;0,INT(MIN(Skills!I8,MAX(0,MAX(0,Inputs!$B$43-B891)-((R861-1)*((IF(Inputs!$B$38="pvp",15,MAX(0.1,Skills!D8-IF(TRUE=TRUE,Inputs!$B$32,0)))*(1-IF(AND(ArtifactsInput!$M$27,Inputs!$B$4="Chapter Hunt"),CHOOSE(ArtifactsInput!$N$27+1,20,24,28,32,36,40),0)/100))/B895))))/Skills!H8+0.000000001),1)))/Inputs!$B$43),G861*Q861)+IF(AND(Inputs!$B$38&lt;&gt;"pvp",Inputs!$B$43&gt;0),((Skills!G11*((R864-1)*IF(Skills!H11&gt;0,INT(Skills!I11/Skills!H11+0.000000001),1)+IF(Skills!H11&gt;0,INT(MIN(Skills!I11,MAX(0,MAX(0,Inputs!$B$43-B891)-((R864-1)*((IF(Inputs!$B$38="pvp",15,MAX(0.1,Skills!D11-IF(TRUE=TRUE,Inputs!$B$32,0)))*(1-IF(AND(ArtifactsInput!$M$27,Inputs!$B$4="Chapter Hunt"),CHOOSE(ArtifactsInput!$N$27+1,20,24,28,32,36,40),0)/100))/B895))))/Skills!H11+0.000000001),1)))/Inputs!$B$43),G864*Q864)))*N867)*IF(Inputs!$B$38="pvp",1,1+(Inputs!$B$20+0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Hunt"),CHOOSE(ArtifactsInput!$N$35+1,15,18,21,24,27,30)*(1-EXP(-(0.2*B886)*5)),0)+IF(AND(ArtifactsInput!$M$22,Inputs!$B$4&lt;&gt;"Chapter Hunt"),CHOOSE(ArtifactsInput!$N$22+1,10,12,14,16,18,20)*((0*(((0.15*B886*5))^0/1)+1*(((0.15*B886*5))^1/1)+2*(((0.15*B886*5))^2/2)+3*(((0.15*B886*5))^3/6)+4*(((0.15*B886*5))^4/24)+5*(((0.15*B886*5))^5/120))/((((0.15*B886*5))^0/1)+(((0.15*B886*5))^1/1)+(((0.15*B886*5))^2/2)+(((0.15*B886*5))^3/6)+(((0.15*B886*5))^4/24)+(((0.15*B886*5))^5/120))),0))+IF(Inputs!$B$3&gt;=54,9*(C856=TRUE)*MIN(1,8*(1+Inputs!$B$34/100)*Q856)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867*(1-MIN(100,(Inputs!$B$9+((C872=TRUE)*(F872-Calc!F19))+B884+(ArtifactsInput!$M$24-ArtifactsInput!$M$24)*CHOOSE(ArtifactsInput!$N$24+1,10,12,14,16,18,20)+(IF(AND(Inputs!$B$38&lt;&gt;"pvp",Inputs!$B$43=0),1,IF(IF(Inputs!$B$38="pvp",15,Inputs!$B$43)-(B891)&lt;=0,1,MAX(0,IF(Inputs!$B$38="pvp",15,Inputs!$B$43)-MAX(5,B891))/(IF(Inputs!$B$38="pvp",15,Inputs!$B$43)-(B891))))*IF(AND(ArtifactsInput!$M$42,((Inputs!$B$9+((C872=TRUE)*(F872-Calc!F19))+B884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867*(MIN(100,(Inputs!$B$9+((C872=TRUE)*(F872-Calc!F19))+B884+(ArtifactsInput!$M$24-ArtifactsInput!$M$24)*CHOOSE(ArtifactsInput!$N$24+1,10,12,14,16,18,20)+(IF(AND(Inputs!$B$38&lt;&gt;"pvp",Inputs!$B$43=0),1,IF(IF(Inputs!$B$38="pvp",15,Inputs!$B$43)-(B891)&lt;=0,1,MAX(0,IF(Inputs!$B$38="pvp",15,Inputs!$B$43)-MAX(5,B891))/(IF(Inputs!$B$38="pvp",15,Inputs!$B$43)-(B891))))*IF(AND(ArtifactsInput!$M$42,((Inputs!$B$9+((C872=TRUE)*(F872-Calc!F19))+B884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867*(1-MIN(100,(Inputs!$B$9+((C872=TRUE)*(F872-Calc!F19))+B884+(ArtifactsInput!$M$24-ArtifactsInput!$M$24)*CHOOSE(ArtifactsInput!$N$24+1,10,12,14,16,18,20)+(IF(AND(Inputs!$B$38&lt;&gt;"pvp",Inputs!$B$43=0),1,IF(IF(Inputs!$B$38="pvp",15,Inputs!$B$43)-(B891)&lt;=0,1,MAX(0,IF(Inputs!$B$38="pvp",15,Inputs!$B$43)-MAX(5,B891))/(IF(Inputs!$B$38="pvp",15,Inputs!$B$43)-(B891))))*IF(AND(ArtifactsInput!$M$42,((Inputs!$B$9+((C872=TRUE)*(F872-Calc!F19))+B884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867*(MIN(100,(Inputs!$B$9+((C872=TRUE)*(F872-Calc!F19))+B884+(ArtifactsInput!$M$24-ArtifactsInput!$M$24)*CHOOSE(ArtifactsInput!$N$24+1,10,12,14,16,18,20)+(IF(AND(Inputs!$B$38&lt;&gt;"pvp",Inputs!$B$43=0),1,IF(IF(Inputs!$B$38="pvp",15,Inputs!$B$43)-(B891)&lt;=0,1,MAX(0,IF(Inputs!$B$38="pvp",15,Inputs!$B$43)-MAX(5,B891))/(IF(Inputs!$B$38="pvp",15,Inputs!$B$43)-(B891))))*IF(AND(ArtifactsInput!$M$42,((Inputs!$B$9+((C872=TRUE)*(F872-Calc!F19))+B884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867">
        <f>IF(C867,((H867*(B888+IF(AND(Inputs!$B$38&lt;&gt;"pvp",Inputs!$B$43&gt;0),((Skills!G8*((R861-1)*IF(Skills!H8&gt;0,INT(Skills!I8/Skills!H8+0.000000001),1)+IF(Skills!H8&gt;0,INT(MIN(Skills!I8,MAX(0,MAX(0,Inputs!$B$43-B891)-((R861-1)*((IF(Inputs!$B$38="pvp",15,MAX(0.1,Skills!D8-IF(TRUE=TRUE,Inputs!$B$32,0)))*(1-IF(AND(ArtifactsInput!$M$27,Inputs!$B$4="Chapter Hunt"),CHOOSE(ArtifactsInput!$N$27+1,20,24,28,32,36,40),0)/100))/B895))))/Skills!H8+0.000000001),1)))/Inputs!$B$43),G861*Q861)+IF(AND(Inputs!$B$38&lt;&gt;"pvp",Inputs!$B$43&gt;0),((Skills!G11*((R864-1)*IF(Skills!H11&gt;0,INT(Skills!I11/Skills!H11+0.000000001),1)+IF(Skills!H11&gt;0,INT(MIN(Skills!I11,MAX(0,MAX(0,Inputs!$B$43-B891)-((R864-1)*((IF(Inputs!$B$38="pvp",15,MAX(0.1,Skills!D11-IF(TRUE=TRUE,Inputs!$B$32,0)))*(1-IF(AND(ArtifactsInput!$M$27,Inputs!$B$4="Chapter Hunt"),CHOOSE(ArtifactsInput!$N$27+1,20,24,28,32,36,40),0)/100))/B895))))/Skills!H11+0.000000001),1)))/Inputs!$B$43),G864*Q864)))/(1+Skills!H14*H867*(B888+IF(AND(Inputs!$B$38&lt;&gt;"pvp",Inputs!$B$43&gt;0),((Skills!G8*((R861-1)*IF(Skills!H8&gt;0,INT(Skills!I8/Skills!H8+0.000000001),1)+IF(Skills!H8&gt;0,INT(MIN(Skills!I8,MAX(0,MAX(0,Inputs!$B$43-B891)-((R861-1)*((IF(Inputs!$B$38="pvp",15,MAX(0.1,Skills!D8-IF(TRUE=TRUE,Inputs!$B$32,0)))*(1-IF(AND(ArtifactsInput!$M$27,Inputs!$B$4="Chapter Hunt"),CHOOSE(ArtifactsInput!$N$27+1,20,24,28,32,36,40),0)/100))/B895))))/Skills!H8+0.000000001),1)))/Inputs!$B$43),G861*Q861)+IF(AND(Inputs!$B$38&lt;&gt;"pvp",Inputs!$B$43&gt;0),((Skills!G11*((R864-1)*IF(Skills!H11&gt;0,INT(Skills!I11/Skills!H11+0.000000001),1)+IF(Skills!H11&gt;0,INT(MIN(Skills!I11,MAX(0,MAX(0,Inputs!$B$43-B891)-((R864-1)*((IF(Inputs!$B$38="pvp",15,MAX(0.1,Skills!D11-IF(TRUE=TRUE,Inputs!$B$32,0)))*(1-IF(AND(ArtifactsInput!$M$27,Inputs!$B$4="Chapter Hunt"),CHOOSE(ArtifactsInput!$N$27+1,20,24,28,32,36,40),0)/100))/B895))))/Skills!H11+0.000000001),1)))/Inputs!$B$43),G864*Q864)))*N867)*IF(Inputs!$B$38="pvp",1,(1+(Inputs!$B$21+Skills!Q14+(IF(ArtifactsInput!$M$33,CHOOSE(ArtifactsInput!$N$33+1,30,36,42,48,54,60),0))+(IF(AND(ArtifactsInput!$M$35,Inputs!$B$4&lt;&gt;"Chapter Hunt"),CHOOSE(ArtifactsInput!$N$35+1,15,18,21,24,27,30)*(1-EXP(-(0.2*B886)*5)),0)+IF(AND(ArtifactsInput!$M$22,Inputs!$B$4&lt;&gt;"Chapter Hunt"),CHOOSE(ArtifactsInput!$N$22+1,10,12,14,16,18,20)*((0*(((0.15*B886*5))^0/1)+1*(((0.15*B886*5))^1/1)+2*(((0.15*B886*5))^2/2)+3*(((0.15*B886*5))^3/6)+4*(((0.15*B886*5))^4/24)+5*(((0.15*B886*5))^5/120))/((((0.15*B886*5))^0/1)+(((0.15*B886*5))^1/1)+(((0.15*B886*5))^2/2)+(((0.15*B886*5))^3/6)+(((0.15*B886*5))^4/24)+(((0.15*B886*5))^5/120))),0))+IF(Inputs!$B$3&gt;=54,9*(C856=TRUE)*MIN(1,8*(1+Inputs!$B$34/100)*Q856),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68">
      <c r="A868">
        <f>Skills!A15</f>
        <v/>
      </c>
      <c r="B868">
        <f>Skills!B15</f>
        <v/>
      </c>
      <c r="C868">
        <f>Inputs!$B$3&gt;=100</f>
        <v/>
      </c>
      <c r="D868">
        <f>IF(Skills!C15=1,60+Inputs!$B$25+Inputs!$B$29,IF(Skills!C15=2,90+(Inputs!$B$26+1)+Inputs!$B$29,IF(Skills!C15=3,120+Inputs!$B$27+Inputs!$B$29,MAX(0,(Inputs!$B$3-100)*3)+Inputs!$B$28+Inputs!$B$29)))</f>
        <v/>
      </c>
      <c r="E868">
        <f>INDEX(FactorTable!$B$2:$Y$301, MATCH(ROUND(MIN(300,MAX(1,D868)),0), FactorTable!$A$2:$A$301,0), Skills!M15+1)</f>
        <v/>
      </c>
      <c r="F868">
        <f>IF(Skills!N15=TRUE,(Skills!L15/10)*(E868/1000),Skills!L15/10)+Skills!O15</f>
        <v/>
      </c>
      <c r="G868" t="inlineStr"/>
      <c r="H868" t="inlineStr"/>
      <c r="I868" t="inlineStr">
        <is>
          <t>1</t>
        </is>
      </c>
      <c r="J868" t="inlineStr"/>
      <c r="K868" t="inlineStr"/>
      <c r="L868" t="inlineStr"/>
      <c r="M868" t="inlineStr"/>
      <c r="N868" t="inlineStr"/>
      <c r="O868" t="inlineStr"/>
      <c r="P868" t="inlineStr"/>
      <c r="Q868" t="inlineStr"/>
      <c r="R868" t="inlineStr"/>
      <c r="S868" t="inlineStr"/>
    </row>
    <row r="869">
      <c r="A869">
        <f>Skills!A16</f>
        <v/>
      </c>
      <c r="B869">
        <f>Skills!B16</f>
        <v/>
      </c>
      <c r="C869">
        <f>Inputs!$B$3&gt;=107</f>
        <v/>
      </c>
      <c r="D869">
        <f>IF(Skills!C16=1,60+Inputs!$B$25+Inputs!$B$29,IF(Skills!C16=2,90+(Inputs!$B$26+1)+Inputs!$B$29,IF(Skills!C16=3,120+Inputs!$B$27+Inputs!$B$29,MAX(0,(Inputs!$B$3-100)*3)+Inputs!$B$28+Inputs!$B$29)))</f>
        <v/>
      </c>
      <c r="E869">
        <f>INDEX(FactorTable!$B$2:$Y$301, MATCH(ROUND(MIN(300,MAX(1,D869)),0), FactorTable!$A$2:$A$301,0), Skills!M16+1)</f>
        <v/>
      </c>
      <c r="F869">
        <f>IF(Skills!N16=TRUE,(Skills!L16/10)*(E869/1000),Skills!L16/10)+Skills!O16</f>
        <v/>
      </c>
      <c r="G869" t="inlineStr"/>
      <c r="H869" t="inlineStr"/>
      <c r="I869" t="inlineStr">
        <is>
          <t>1</t>
        </is>
      </c>
      <c r="J869" t="inlineStr"/>
      <c r="K869" t="inlineStr"/>
      <c r="L869" t="inlineStr"/>
      <c r="M869" t="inlineStr"/>
      <c r="N869" t="inlineStr"/>
      <c r="O869" t="inlineStr"/>
      <c r="P869" t="inlineStr"/>
      <c r="Q869" t="inlineStr"/>
      <c r="R869" t="inlineStr"/>
      <c r="S869" t="inlineStr"/>
    </row>
    <row r="870">
      <c r="A870">
        <f>Skills!A17</f>
        <v/>
      </c>
      <c r="B870">
        <f>Skills!B17</f>
        <v/>
      </c>
      <c r="C870">
        <f>Inputs!$B$3&gt;=74</f>
        <v/>
      </c>
      <c r="D870">
        <f>IF(Skills!C17=1,60+Inputs!$B$25+Inputs!$B$29,IF(Skills!C17=2,90+(Inputs!$B$26+1)+Inputs!$B$29,IF(Skills!C17=3,120+Inputs!$B$27+Inputs!$B$29,MAX(0,(Inputs!$B$3-100)*3)+Inputs!$B$28+Inputs!$B$29)))</f>
        <v/>
      </c>
      <c r="E870">
        <f>INDEX(FactorTable!$B$2:$Y$301, MATCH(ROUND(MIN(300,MAX(1,D870)),0), FactorTable!$A$2:$A$301,0), Skills!M17+1)</f>
        <v/>
      </c>
      <c r="F870">
        <f>IF(Skills!N17=TRUE,(Skills!L17/10)*(E870/1000),Skills!L17/10)+Skills!O17</f>
        <v/>
      </c>
      <c r="G870">
        <f>Skills!G17*IF(Skills!H17&gt;0,INT(IF(Inputs!$B$38="pvp",MIN(Skills!I17,15),Skills!I17)/Skills!H17+0.000000001),1)</f>
        <v/>
      </c>
      <c r="H870">
        <f>1-(1-Skills!J17/100)^Skills!K17</f>
        <v/>
      </c>
      <c r="I870" t="inlineStr">
        <is>
          <t>1</t>
        </is>
      </c>
      <c r="J870" t="inlineStr"/>
      <c r="K870" t="inlineStr"/>
      <c r="L870" t="inlineStr"/>
      <c r="M870" t="inlineStr"/>
      <c r="N870" t="inlineStr"/>
      <c r="O870">
        <f>(1-Summary!$B$11)*T870+Summary!$B$11*V870</f>
        <v/>
      </c>
      <c r="P870">
        <f>IF(B894=0,0,O870/B894)</f>
        <v/>
      </c>
      <c r="Q870" t="n">
        <v>0</v>
      </c>
      <c r="R870" t="n">
        <v>0</v>
      </c>
      <c r="S870">
        <f>IFERROR(O870/N870,0)</f>
        <v/>
      </c>
      <c r="T870" t="n">
        <v>0</v>
      </c>
      <c r="V870" t="n">
        <v>0</v>
      </c>
    </row>
    <row r="871">
      <c r="A871">
        <f>Skills!A18</f>
        <v/>
      </c>
      <c r="B871">
        <f>Skills!B18</f>
        <v/>
      </c>
      <c r="C871">
        <f>Inputs!$B$3&gt;=115</f>
        <v/>
      </c>
      <c r="D871">
        <f>IF(Skills!C18=1,60+Inputs!$B$25+Inputs!$B$29,IF(Skills!C18=2,90+(Inputs!$B$26+1)+Inputs!$B$29,IF(Skills!C18=3,120+Inputs!$B$27+Inputs!$B$29,MAX(0,(Inputs!$B$3-100)*3)+Inputs!$B$28+Inputs!$B$29)))</f>
        <v/>
      </c>
      <c r="E871">
        <f>INDEX(FactorTable!$B$2:$Y$301, MATCH(ROUND(MIN(300,MAX(1,D871)),0), FactorTable!$A$2:$A$301,0), Skills!M18+1)</f>
        <v/>
      </c>
      <c r="F871">
        <f>IF(Skills!N18=TRUE,(Skills!L18/10)*(E871/1000),Skills!L18/10)+Skills!O18</f>
        <v/>
      </c>
      <c r="G871">
        <f>Skills!G18*IF(Skills!H18&gt;0,INT(IF(Inputs!$B$38="pvp",MIN(Skills!I18,15),Skills!I18)/Skills!H18+0.000000001),1)</f>
        <v/>
      </c>
      <c r="H871">
        <f>1-(1-Skills!J18/100)^Skills!K18</f>
        <v/>
      </c>
      <c r="I871" t="inlineStr">
        <is>
          <t>1</t>
        </is>
      </c>
      <c r="J871" t="inlineStr"/>
      <c r="K871" t="inlineStr"/>
      <c r="L871" t="inlineStr"/>
      <c r="M871" t="inlineStr"/>
      <c r="N871" t="inlineStr"/>
      <c r="O871">
        <f>(1-Summary!$B$11)*T871+Summary!$B$11*V871</f>
        <v/>
      </c>
      <c r="P871">
        <f>IF(B894=0,0,O871/B894)</f>
        <v/>
      </c>
      <c r="Q871">
        <f>IFERROR(1/(IF(Inputs!$B$38="pvp",15,MAX(0.1,Skills!D18-IF(TRUE=TRUE,Inputs!$B$32,0)))*(1-IF(AND(ArtifactsInput!$M$27,Inputs!$B$4="Chapter Hunt"),CHOOSE(ArtifactsInput!$N$27+1,20,24,28,32,36,40),0)/100)),0)</f>
        <v/>
      </c>
      <c r="R871">
        <f>IF(AND(Inputs!$B$38&lt;&gt;"pvp",Inputs!$B$43&gt;0),IF(Inputs!$B$43&lt;=0,0,(INT(Inputs!$B$43/(IF(Inputs!$B$38="pvp",15,MAX(0.1,Skills!D18-IF(TRUE=TRUE,Inputs!$B$32,0)))*(1-IF(AND(ArtifactsInput!$M$27,Inputs!$B$4="Chapter Hunt"),CHOOSE(ArtifactsInput!$N$27+1,20,24,28,32,36,40),0)/100)))+1)),0)</f>
        <v/>
      </c>
      <c r="S871">
        <f>IFERROR(O871/N871,0)</f>
        <v/>
      </c>
      <c r="T871" t="n">
        <v>0</v>
      </c>
      <c r="V871" t="n">
        <v>0</v>
      </c>
    </row>
    <row r="872">
      <c r="A872">
        <f>Skills!A19</f>
        <v/>
      </c>
      <c r="B872">
        <f>Skills!B19</f>
        <v/>
      </c>
      <c r="C872">
        <f>Inputs!$B$3&gt;=10</f>
        <v/>
      </c>
      <c r="D872">
        <f>IF(Skills!C19=1,60+Inputs!$B$25+Inputs!$B$29,IF(Skills!C19=2,90+(Inputs!$B$26+1)+Inputs!$B$29,IF(Skills!C19=3,120+Inputs!$B$27+Inputs!$B$29,MAX(0,(Inputs!$B$3-100)*3)+Inputs!$B$28+Inputs!$B$29)))</f>
        <v/>
      </c>
      <c r="E872">
        <f>INDEX(FactorTable!$B$2:$Y$301, MATCH(ROUND(MIN(300,MAX(1,D872)),0), FactorTable!$A$2:$A$301,0), Skills!M19+1)</f>
        <v/>
      </c>
      <c r="F872">
        <f>IF(Skills!N19=TRUE,(Skills!L19/10)*(E872/1000),Skills!L19/10)+Skills!O19</f>
        <v/>
      </c>
      <c r="G872">
        <f>Skills!G19*IF(Skills!H19&gt;0,INT(IF(Inputs!$B$38="pvp",MIN(Skills!I19,15),Skills!I19)/Skills!H19+0.000000001),1)</f>
        <v/>
      </c>
      <c r="H872">
        <f>1-(1-Skills!J19/100)^Skills!K19</f>
        <v/>
      </c>
      <c r="I872" t="inlineStr">
        <is>
          <t>1</t>
        </is>
      </c>
      <c r="J872" t="inlineStr"/>
      <c r="K872" t="inlineStr"/>
      <c r="L872" t="inlineStr"/>
      <c r="M872" t="inlineStr"/>
      <c r="N872" t="inlineStr"/>
      <c r="O872">
        <f>(1-Summary!$B$11)*T872+Summary!$B$11*V872</f>
        <v/>
      </c>
      <c r="P872">
        <f>IF(B894=0,0,O872/B894)</f>
        <v/>
      </c>
      <c r="Q872" t="n">
        <v>0</v>
      </c>
      <c r="R872" t="n">
        <v>0</v>
      </c>
      <c r="S872">
        <f>IFERROR(O872/N872,0)</f>
        <v/>
      </c>
      <c r="T872" t="n">
        <v>0</v>
      </c>
      <c r="V872" t="n">
        <v>0</v>
      </c>
    </row>
    <row r="873">
      <c r="A873">
        <f>Skills!A20</f>
        <v/>
      </c>
      <c r="B873">
        <f>Skills!B20</f>
        <v/>
      </c>
      <c r="C873">
        <f>Inputs!$B$3&gt;=15</f>
        <v/>
      </c>
      <c r="D873">
        <f>IF(Skills!C20=1,60+Inputs!$B$25+Inputs!$B$29,IF(Skills!C20=2,90+(Inputs!$B$26+1)+Inputs!$B$29,IF(Skills!C20=3,120+Inputs!$B$27+Inputs!$B$29,MAX(0,(Inputs!$B$3-100)*3)+Inputs!$B$28+Inputs!$B$29)))</f>
        <v/>
      </c>
      <c r="E873">
        <f>INDEX(FactorTable!$B$2:$Y$301, MATCH(ROUND(MIN(300,MAX(1,D873)),0), FactorTable!$A$2:$A$301,0), Skills!M20+1)</f>
        <v/>
      </c>
      <c r="F873">
        <f>IF(Skills!N20=TRUE,(Skills!L20/10)*(E873/1000),Skills!L20/10)+Skills!O20</f>
        <v/>
      </c>
      <c r="G873">
        <f>Skills!G20*IF(Skills!H20&gt;0,INT(IF(Inputs!$B$38="pvp",MIN(Skills!I20,15),Skills!I20)/Skills!H20+0.000000001),1)</f>
        <v/>
      </c>
      <c r="H873">
        <f>1-(1-Skills!J20/100)^Skills!K20</f>
        <v/>
      </c>
      <c r="I873" t="inlineStr">
        <is>
          <t>1</t>
        </is>
      </c>
      <c r="J873" t="inlineStr"/>
      <c r="K873" t="inlineStr"/>
      <c r="L873" t="inlineStr"/>
      <c r="M873" t="inlineStr"/>
      <c r="N873" t="inlineStr"/>
      <c r="O873">
        <f>(1-Summary!$B$11)*T873+Summary!$B$11*V873</f>
        <v/>
      </c>
      <c r="P873">
        <f>IF(B894=0,0,O873/B894)</f>
        <v/>
      </c>
      <c r="Q873" t="n">
        <v>0</v>
      </c>
      <c r="R873" t="n">
        <v>0</v>
      </c>
      <c r="S873">
        <f>IFERROR(O873/N873,0)</f>
        <v/>
      </c>
      <c r="T873" t="n">
        <v>0</v>
      </c>
      <c r="V873" t="n">
        <v>0</v>
      </c>
    </row>
    <row r="874">
      <c r="A874">
        <f>Skills!A21</f>
        <v/>
      </c>
      <c r="B874">
        <f>Skills!B21</f>
        <v/>
      </c>
      <c r="C874">
        <f>Inputs!$B$3&gt;=40</f>
        <v/>
      </c>
      <c r="D874">
        <f>IF(Skills!C21=1,60+Inputs!$B$25+Inputs!$B$29,IF(Skills!C21=2,90+(Inputs!$B$26+1)+Inputs!$B$29,IF(Skills!C21=3,120+Inputs!$B$27+Inputs!$B$29,MAX(0,(Inputs!$B$3-100)*3)+Inputs!$B$28+Inputs!$B$29)))</f>
        <v/>
      </c>
      <c r="E874">
        <f>INDEX(FactorTable!$B$2:$Y$301, MATCH(ROUND(MIN(300,MAX(1,D874)),0), FactorTable!$A$2:$A$301,0), Skills!M21+1)</f>
        <v/>
      </c>
      <c r="F874">
        <f>IF(Skills!N21=TRUE,(Skills!L21/10)*(E874/1000),Skills!L21/10)+Skills!O21</f>
        <v/>
      </c>
      <c r="G874">
        <f>Skills!G21*IF(Skills!H21&gt;0,INT(IF(Inputs!$B$38="pvp",MIN(Skills!I21,15),Skills!I21)/Skills!H21+0.000000001),1)</f>
        <v/>
      </c>
      <c r="H874">
        <f>1-(1-Skills!J21/100)^Skills!K21</f>
        <v/>
      </c>
      <c r="I874" t="inlineStr">
        <is>
          <t>1</t>
        </is>
      </c>
      <c r="J874" t="inlineStr"/>
      <c r="K874" t="inlineStr"/>
      <c r="L874" t="inlineStr"/>
      <c r="M874" t="inlineStr"/>
      <c r="N874" t="inlineStr"/>
      <c r="O874">
        <f>(1-Summary!$B$11)*T874+Summary!$B$11*V874</f>
        <v/>
      </c>
      <c r="P874">
        <f>IF(B894=0,0,O874/B894)</f>
        <v/>
      </c>
      <c r="Q874" t="n">
        <v>0</v>
      </c>
      <c r="R874" t="n">
        <v>0</v>
      </c>
      <c r="S874">
        <f>IFERROR(O874/N874,0)</f>
        <v/>
      </c>
      <c r="T874" t="n">
        <v>0</v>
      </c>
      <c r="V874" t="n">
        <v>0</v>
      </c>
    </row>
    <row r="875">
      <c r="A875">
        <f>Skills!A22</f>
        <v/>
      </c>
      <c r="B875">
        <f>Skills!B22</f>
        <v/>
      </c>
      <c r="C875">
        <f>Inputs!$B$3&gt;=43</f>
        <v/>
      </c>
      <c r="D875">
        <f>IF(Skills!C22=1,60+Inputs!$B$25+Inputs!$B$29,IF(Skills!C22=2,90+(Inputs!$B$26+1)+Inputs!$B$29,IF(Skills!C22=3,120+Inputs!$B$27+Inputs!$B$29,MAX(0,(Inputs!$B$3-100)*3)+Inputs!$B$28+Inputs!$B$29)))</f>
        <v/>
      </c>
      <c r="E875">
        <f>INDEX(FactorTable!$B$2:$Y$301, MATCH(ROUND(MIN(300,MAX(1,D875)),0), FactorTable!$A$2:$A$301,0), Skills!M22+1)</f>
        <v/>
      </c>
      <c r="F875">
        <f>IF(Skills!N22=TRUE,(Skills!L22/10)*(E875/1000),Skills!L22/10)+Skills!O22</f>
        <v/>
      </c>
      <c r="G875">
        <f>Skills!G22*IF(Skills!H22&gt;0,INT(IF(Inputs!$B$38="pvp",MIN(Skills!I22,15),Skills!I22)/Skills!H22+0.000000001),1)</f>
        <v/>
      </c>
      <c r="H875">
        <f>1-(1-Skills!J22/100)^Skills!K22</f>
        <v/>
      </c>
      <c r="I875" t="inlineStr">
        <is>
          <t>1</t>
        </is>
      </c>
      <c r="J875" t="inlineStr"/>
      <c r="K875" t="inlineStr"/>
      <c r="L875" t="inlineStr"/>
      <c r="M875" t="inlineStr"/>
      <c r="N875" t="inlineStr"/>
      <c r="O875">
        <f>(1-Summary!$B$11)*T875+Summary!$B$11*V875</f>
        <v/>
      </c>
      <c r="P875">
        <f>IF(B894=0,0,O875/B894)</f>
        <v/>
      </c>
      <c r="Q875" t="n">
        <v>0</v>
      </c>
      <c r="R875" t="n">
        <v>0</v>
      </c>
      <c r="S875">
        <f>IFERROR(O875/N875,0)</f>
        <v/>
      </c>
      <c r="T875" t="n">
        <v>0</v>
      </c>
      <c r="V875" t="n">
        <v>0</v>
      </c>
    </row>
    <row r="876">
      <c r="A876">
        <f>Skills!A23</f>
        <v/>
      </c>
      <c r="B876">
        <f>Skills!B23</f>
        <v/>
      </c>
      <c r="C876">
        <f>Inputs!$B$3&gt;=38</f>
        <v/>
      </c>
      <c r="D876">
        <f>IF(Skills!C23=1,60+Inputs!$B$25+Inputs!$B$29,IF(Skills!C23=2,90+(Inputs!$B$26+1)+Inputs!$B$29,IF(Skills!C23=3,120+Inputs!$B$27+Inputs!$B$29,MAX(0,(Inputs!$B$3-100)*3)+Inputs!$B$28+Inputs!$B$29)))</f>
        <v/>
      </c>
      <c r="E876">
        <f>INDEX(FactorTable!$B$2:$Y$301, MATCH(ROUND(MIN(300,MAX(1,D876)),0), FactorTable!$A$2:$A$301,0), Skills!M23+1)</f>
        <v/>
      </c>
      <c r="F876">
        <f>IF(Skills!N23=TRUE,(Skills!L23/10)*(E876/1000),Skills!L23/10)+Skills!O23</f>
        <v/>
      </c>
      <c r="G876">
        <f>Skills!G23*IF(Skills!H23&gt;0,INT(IF(Inputs!$B$38="pvp",MIN(Skills!I23,15),Skills!I23)/Skills!H23+0.000000001),1)</f>
        <v/>
      </c>
      <c r="H876">
        <f>1-(1-Skills!J23/100)^Skills!K23</f>
        <v/>
      </c>
      <c r="I876" t="inlineStr">
        <is>
          <t>1</t>
        </is>
      </c>
      <c r="J876" t="inlineStr"/>
      <c r="K876" t="inlineStr"/>
      <c r="L876" t="inlineStr"/>
      <c r="M876" t="inlineStr"/>
      <c r="N876" t="inlineStr"/>
      <c r="O876">
        <f>(1-Summary!$B$11)*T876+Summary!$B$11*V876</f>
        <v/>
      </c>
      <c r="P876">
        <f>IF(B894=0,0,O876/B894)</f>
        <v/>
      </c>
      <c r="Q876" t="n">
        <v>0</v>
      </c>
      <c r="R876" t="n">
        <v>0</v>
      </c>
      <c r="S876">
        <f>IFERROR(O876/N876,0)</f>
        <v/>
      </c>
      <c r="T876" t="n">
        <v>0</v>
      </c>
      <c r="V876" t="n">
        <v>0</v>
      </c>
    </row>
    <row r="877">
      <c r="A877">
        <f>Skills!A24</f>
        <v/>
      </c>
      <c r="B877">
        <f>Skills!B24</f>
        <v/>
      </c>
      <c r="C877">
        <f>Inputs!$B$3&gt;=45</f>
        <v/>
      </c>
      <c r="D877">
        <f>IF(Skills!C24=1,60+Inputs!$B$25+Inputs!$B$29,IF(Skills!C24=2,90+(Inputs!$B$26+1)+Inputs!$B$29,IF(Skills!C24=3,120+Inputs!$B$27+Inputs!$B$29,MAX(0,(Inputs!$B$3-100)*3)+Inputs!$B$28+Inputs!$B$29)))</f>
        <v/>
      </c>
      <c r="E877">
        <f>INDEX(FactorTable!$B$2:$Y$301, MATCH(ROUND(MIN(300,MAX(1,D877)),0), FactorTable!$A$2:$A$301,0), Skills!M24+1)</f>
        <v/>
      </c>
      <c r="F877">
        <f>IF(Skills!N24=TRUE,(Skills!L24/10)*(E877/1000),Skills!L24/10)+Skills!O24</f>
        <v/>
      </c>
      <c r="G877">
        <f>Skills!G24*IF(Skills!H24&gt;0,INT(IF(Inputs!$B$38="pvp",MIN(Skills!I24,15),Skills!I24)/Skills!H24+0.000000001),1)</f>
        <v/>
      </c>
      <c r="H877">
        <f>1-(1-Skills!J24/100)^Skills!K24</f>
        <v/>
      </c>
      <c r="I877" t="inlineStr">
        <is>
          <t>1</t>
        </is>
      </c>
      <c r="J877" t="inlineStr"/>
      <c r="K877" t="inlineStr"/>
      <c r="L877" t="inlineStr"/>
      <c r="M877" t="inlineStr"/>
      <c r="N877" t="inlineStr"/>
      <c r="O877">
        <f>(1-Summary!$B$11)*T877+Summary!$B$11*V877</f>
        <v/>
      </c>
      <c r="P877">
        <f>IF(B894=0,0,O877/B894)</f>
        <v/>
      </c>
      <c r="Q877" t="n">
        <v>0</v>
      </c>
      <c r="R877" t="n">
        <v>0</v>
      </c>
      <c r="S877">
        <f>IFERROR(O877/N877,0)</f>
        <v/>
      </c>
      <c r="T877" t="n">
        <v>0</v>
      </c>
      <c r="V877" t="n">
        <v>0</v>
      </c>
    </row>
    <row r="878">
      <c r="A878">
        <f>Skills!A25</f>
        <v/>
      </c>
      <c r="B878">
        <f>Skills!B25</f>
        <v/>
      </c>
      <c r="C878">
        <f>Inputs!$B$3&gt;=72</f>
        <v/>
      </c>
      <c r="D878">
        <f>IF(Skills!C25=1,60+Inputs!$B$25+Inputs!$B$29,IF(Skills!C25=2,90+(Inputs!$B$26+1)+Inputs!$B$29,IF(Skills!C25=3,120+Inputs!$B$27+Inputs!$B$29,MAX(0,(Inputs!$B$3-100)*3)+Inputs!$B$28+Inputs!$B$29)))</f>
        <v/>
      </c>
      <c r="E878">
        <f>INDEX(FactorTable!$B$2:$Y$301, MATCH(ROUND(MIN(300,MAX(1,D878)),0), FactorTable!$A$2:$A$301,0), Skills!M25+1)</f>
        <v/>
      </c>
      <c r="F878">
        <f>IF(Skills!N25=TRUE,(Skills!L25/10)*(E878/1000),Skills!L25/10)+Skills!O25</f>
        <v/>
      </c>
      <c r="G878">
        <f>Skills!G25*IF(Skills!H25&gt;0,INT(IF(Inputs!$B$38="pvp",MIN(Skills!I25,15),Skills!I25)/Skills!H25+0.000000001),1)</f>
        <v/>
      </c>
      <c r="H878">
        <f>1-(1-Skills!J25/100)^Skills!K25</f>
        <v/>
      </c>
      <c r="I878" t="inlineStr">
        <is>
          <t>1</t>
        </is>
      </c>
      <c r="J878" t="inlineStr"/>
      <c r="K878" t="inlineStr"/>
      <c r="L878" t="inlineStr"/>
      <c r="M878" t="inlineStr"/>
      <c r="N878" t="inlineStr"/>
      <c r="O878">
        <f>(1-Summary!$B$11)*T878+Summary!$B$11*V878</f>
        <v/>
      </c>
      <c r="P878">
        <f>IF(B894=0,0,O878/B894)</f>
        <v/>
      </c>
      <c r="Q878" t="n">
        <v>0</v>
      </c>
      <c r="R878" t="n">
        <v>0</v>
      </c>
      <c r="S878">
        <f>IFERROR(O878/N878,0)</f>
        <v/>
      </c>
      <c r="T878" t="n">
        <v>0</v>
      </c>
      <c r="V878" t="n">
        <v>0</v>
      </c>
    </row>
    <row r="879">
      <c r="A879">
        <f>Skills!A26</f>
        <v/>
      </c>
      <c r="B879">
        <f>Skills!B26</f>
        <v/>
      </c>
      <c r="C879">
        <f>Inputs!$B$3&gt;=75</f>
        <v/>
      </c>
      <c r="D879">
        <f>IF(Skills!C26=1,60+Inputs!$B$25+Inputs!$B$29,IF(Skills!C26=2,90+(Inputs!$B$26+1)+Inputs!$B$29,IF(Skills!C26=3,120+Inputs!$B$27+Inputs!$B$29,MAX(0,(Inputs!$B$3-100)*3)+Inputs!$B$28+Inputs!$B$29)))</f>
        <v/>
      </c>
      <c r="E879">
        <f>INDEX(FactorTable!$B$2:$Y$301, MATCH(ROUND(MIN(300,MAX(1,D879)),0), FactorTable!$A$2:$A$301,0), Skills!M26+1)</f>
        <v/>
      </c>
      <c r="F879">
        <f>IF(Skills!N26=TRUE,(Skills!L26/10)*(E879/1000),Skills!L26/10)+Skills!O26</f>
        <v/>
      </c>
      <c r="G879">
        <f>Skills!G26*IF(Skills!H26&gt;0,INT(IF(Inputs!$B$38="pvp",MIN(Skills!I26,15),Skills!I26)/Skills!H26+0.000000001),1)</f>
        <v/>
      </c>
      <c r="H879">
        <f>1-(1-Skills!J26/100)^Skills!K26</f>
        <v/>
      </c>
      <c r="I879" t="inlineStr">
        <is>
          <t>1</t>
        </is>
      </c>
      <c r="J879" t="inlineStr"/>
      <c r="K879" t="inlineStr"/>
      <c r="L879" t="inlineStr"/>
      <c r="M879" t="inlineStr"/>
      <c r="N879" t="inlineStr"/>
      <c r="O879">
        <f>(1-Summary!$B$11)*T879+Summary!$B$11*V879</f>
        <v/>
      </c>
      <c r="P879">
        <f>IF(B894=0,0,O879/B894)</f>
        <v/>
      </c>
      <c r="Q879" t="n">
        <v>0</v>
      </c>
      <c r="R879" t="n">
        <v>0</v>
      </c>
      <c r="S879">
        <f>IFERROR(O879/N879,0)</f>
        <v/>
      </c>
      <c r="T879" t="n">
        <v>0</v>
      </c>
      <c r="V879" t="n">
        <v>0</v>
      </c>
    </row>
    <row r="880">
      <c r="A880">
        <f>Skills!A27</f>
        <v/>
      </c>
      <c r="B880">
        <f>Skills!B27</f>
        <v/>
      </c>
      <c r="C880">
        <f>Inputs!$B$3&gt;=125</f>
        <v/>
      </c>
      <c r="D880">
        <f>IF(Skills!C27=1,60+Inputs!$B$25+Inputs!$B$29,IF(Skills!C27=2,90+(Inputs!$B$26+1)+Inputs!$B$29,IF(Skills!C27=3,120+Inputs!$B$27+Inputs!$B$29,MAX(0,(Inputs!$B$3-100)*3)+Inputs!$B$28+Inputs!$B$29)))</f>
        <v/>
      </c>
      <c r="E880">
        <f>INDEX(FactorTable!$B$2:$Y$301, MATCH(ROUND(MIN(300,MAX(1,D880)),0), FactorTable!$A$2:$A$301,0), Skills!M27+1)</f>
        <v/>
      </c>
      <c r="F880">
        <f>IF(Skills!N27=TRUE,(Skills!L27/10)*(E880/1000),Skills!L27/10)+Skills!O27</f>
        <v/>
      </c>
      <c r="G880">
        <f>Skills!G27*IF(Skills!H27&gt;0,INT(IF(Inputs!$B$38="pvp",MIN(Skills!I27,15),Skills!I27)/Skills!H27+0.000000001),1)</f>
        <v/>
      </c>
      <c r="H880">
        <f>1-(1-Skills!J27/100)^Skills!K27</f>
        <v/>
      </c>
      <c r="I880" t="inlineStr">
        <is>
          <t>1</t>
        </is>
      </c>
      <c r="J880" t="inlineStr"/>
      <c r="K880" t="inlineStr"/>
      <c r="L880" t="inlineStr"/>
      <c r="M880" t="inlineStr"/>
      <c r="N880" t="inlineStr"/>
      <c r="O880">
        <f>(1-Summary!$B$11)*T880+Summary!$B$11*V880</f>
        <v/>
      </c>
      <c r="P880">
        <f>IF(B894=0,0,O880/B894)</f>
        <v/>
      </c>
      <c r="Q880" t="n">
        <v>0</v>
      </c>
      <c r="R880" t="n">
        <v>0</v>
      </c>
      <c r="S880">
        <f>IFERROR(O880/N880,0)</f>
        <v/>
      </c>
      <c r="T880" t="n">
        <v>0</v>
      </c>
      <c r="V880" t="n">
        <v>0</v>
      </c>
    </row>
    <row r="881">
      <c r="A881">
        <f>Skills!A28</f>
        <v/>
      </c>
      <c r="B881">
        <f>Skills!B28</f>
        <v/>
      </c>
      <c r="C881">
        <f>TRUE</f>
        <v/>
      </c>
      <c r="D881">
        <f>IF(Skills!C28=1,60+Inputs!$B$25+Inputs!$B$29,IF(Skills!C28=2,90+(Inputs!$B$26+1)+Inputs!$B$29,IF(Skills!C28=3,120+Inputs!$B$27+Inputs!$B$29,MAX(0,(Inputs!$B$3-100)*3)+Inputs!$B$28+Inputs!$B$29)))</f>
        <v/>
      </c>
      <c r="E881">
        <f>INDEX(FactorTable!$B$2:$Y$301, MATCH(ROUND(MIN(300,MAX(1,D881)),0), FactorTable!$A$2:$A$301,0), Skills!M28+1)</f>
        <v/>
      </c>
      <c r="F881">
        <f>IF(Skills!N28=TRUE,(Skills!L28/10)*(E881/1000),Skills!L28/10)+Skills!O28</f>
        <v/>
      </c>
      <c r="G881">
        <f>Skills!G28*IF(Skills!H28&gt;0,INT(IF(Inputs!$B$38="pvp",MIN(Skills!I28,15),Skills!I28)/Skills!H28+0.000000001),1)</f>
        <v/>
      </c>
      <c r="H881">
        <f>1-(1-Skills!J28/100)^Skills!K28</f>
        <v/>
      </c>
      <c r="I881" t="inlineStr">
        <is>
          <t>1</t>
        </is>
      </c>
      <c r="J881" t="inlineStr"/>
      <c r="K881" t="inlineStr"/>
      <c r="L881" t="inlineStr"/>
      <c r="M881" t="inlineStr"/>
      <c r="N881" t="inlineStr"/>
      <c r="O881">
        <f>(1-Summary!$B$11)*T881+Summary!$B$11*V881</f>
        <v/>
      </c>
      <c r="P881">
        <f>IF(B894=0,0,O881/B894)</f>
        <v/>
      </c>
      <c r="Q881">
        <f>IFERROR(1/(IF(Inputs!$B$38="pvp",15,MAX(0.1,Skills!D28-IF(TRUE=TRUE,Inputs!$B$32,0)))*(1-IF(AND(ArtifactsInput!$M$27,Inputs!$B$4="Chapter Hunt"),CHOOSE(ArtifactsInput!$N$27+1,20,24,28,32,36,40),0)/100)),0)</f>
        <v/>
      </c>
      <c r="R881">
        <f>IF(AND(Inputs!$B$38&lt;&gt;"pvp",Inputs!$B$43&gt;0),IF(Inputs!$B$43&lt;=0,0,(INT(Inputs!$B$43/(IF(Inputs!$B$38="pvp",15,MAX(0.1,Skills!D28-IF(TRUE=TRUE,Inputs!$B$32,0)))*(1-IF(AND(ArtifactsInput!$M$27,Inputs!$B$4="Chapter Hunt"),CHOOSE(ArtifactsInput!$N$27+1,20,24,28,32,36,40),0)/100)))+1)),0)</f>
        <v/>
      </c>
      <c r="S881">
        <f>IFERROR(O881/N881,0)</f>
        <v/>
      </c>
      <c r="T881" t="n">
        <v>0</v>
      </c>
      <c r="V881" t="n">
        <v>0</v>
      </c>
    </row>
    <row r="883">
      <c r="A883" t="inlineStr">
        <is>
          <t>Attack% Bucket Multiplier</t>
        </is>
      </c>
      <c r="B883">
        <f>(1+(((C870=TRUE)*F870*5/7)+((C877=TRUE)*(F877-Calc!F24))+(IF(ArtifactsInput!$M$21,CHOOSE(ArtifactsInput!$N$21+1,25,30,35,40,45,50)*(IF(OR(Inputs!$B$4="Chapter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884">
      <c r="A884" t="inlineStr">
        <is>
          <t>Global Crit Rate Bonus %</t>
        </is>
      </c>
      <c r="B884" t="n">
        <v>0</v>
      </c>
    </row>
    <row r="885">
      <c r="A885" t="inlineStr">
        <is>
          <t>Attack Speed Buff Bonus % (Nimble Feet, duty-cycle averaged)</t>
        </is>
      </c>
      <c r="B885">
        <f>((C881=TRUE)*F881*IF(AND(Inputs!$B$38&lt;&gt;"pvp",Inputs!$B$43&gt;0),(((R881-1)*MIN((Skills!T28*(1+Inputs!$B$34/100)),(1/Q881))+MIN((Skills!T28*(1+Inputs!$B$34/100)),MAX(0,Inputs!$B$43-((R881-1)*(1/Q881)))))/Inputs!$B$43),IF(Inputs!$B$38="pvp",MIN((Skills!T28*(1+Inputs!$B$34/100)),15)/15,MIN(1,(Skills!T28*(1+Inputs!$B$34/100))/(1/Q881)))))</f>
        <v/>
      </c>
    </row>
    <row r="886">
      <c r="A886" t="inlineStr">
        <is>
          <t>Actions Per Second</t>
        </is>
      </c>
      <c r="B886">
        <f>1+MIN(150,150*(1-(1-(Inputs!$B$11+((C873=TRUE)*(F873-Calc!F20))+((C874=TRUE)*(F874-Calc!F21)))/150)*(1-B885/150)))/100</f>
        <v/>
      </c>
    </row>
    <row r="887">
      <c r="A887" t="inlineStr">
        <is>
          <t>Skill + Buff Cast Rate</t>
        </is>
      </c>
      <c r="B887">
        <f>IF(AND(Inputs!$B$38&lt;&gt;"pvp",Inputs!$B$43&gt;0),SUMPRODUCT((Skills!E2:E28=TRUE)*(C855:C881=TRUE)*R855:R881*Skills!F2:F28)/Inputs!$B$43,SUMPRODUCT((Skills!E2:E28=TRUE)*(C855:C881=TRUE)*Q855:Q881*Skills!F2:F28))</f>
        <v/>
      </c>
    </row>
    <row r="888">
      <c r="A888" t="inlineStr">
        <is>
          <t>Eight-Legs Easton Casts Per Second</t>
        </is>
      </c>
      <c r="B888">
        <f>MAX(0,B886-B887)</f>
        <v/>
      </c>
    </row>
    <row r="889">
      <c r="A889" t="inlineStr">
        <is>
          <t>Global Critical Damage Bonus % (unused)</t>
        </is>
      </c>
      <c r="B889" t="n">
        <v>0</v>
      </c>
    </row>
    <row r="890">
      <c r="A890" t="inlineStr">
        <is>
          <t>Global Final Damage Bonus % (Jolly Roger + Ahoy Mateys - Final Damage proc)</t>
        </is>
      </c>
      <c r="B890">
        <f>((C871=TRUE)*F871*IF(AND(Inputs!$B$38&lt;&gt;"pvp",Inputs!$B$43&gt;0),(((R871-1)*MIN((Skills!T18*(1+Inputs!$B$34/100)),(1/Q871))+MIN((Skills!T18*(1+Inputs!$B$34/100)),MAX(0,Inputs!$B$43-((R871-1)*(1/Q871)))))/Inputs!$B$43),IF(Inputs!$B$38="pvp",MIN((Skills!T18*(1+Inputs!$B$34/100)),15)/15,MIN(1,(Skills!T18*(1+Inputs!$B$34/100))/(1/Q871)))))+IF(Inputs!$B$3&gt;=122,20*IF(Inputs!$B$38="pvp",MIN((20*(1+Inputs!$B$34/100)),15)/15,MIN(1,(20*(1+Inputs!$B$34/100))/(1/Q857))),0)</f>
        <v/>
      </c>
    </row>
    <row r="891">
      <c r="A891" t="inlineStr">
        <is>
          <t>Buff-Casting Startup Delay (s, fixed-duration only)</t>
        </is>
      </c>
      <c r="B891">
        <f>IF(AND(Inputs!$B$38&lt;&gt;"pvp",Inputs!$B$43&gt;0),SUMPRODUCT((Skills!T2:T28&gt;0)*(Skills!E2:E28=TRUE)*(C855:C881=TRUE))/B886,0)</f>
        <v/>
      </c>
    </row>
    <row r="892">
      <c r="A892" t="inlineStr">
        <is>
          <t>Boss-Only Total DPS (this block's swept value)</t>
        </is>
      </c>
      <c r="B892">
        <f>SUM(T855:T881)</f>
        <v/>
      </c>
    </row>
    <row r="893">
      <c r="A893" t="inlineStr">
        <is>
          <t>Normal-Only Total DPS (this block's swept value)</t>
        </is>
      </c>
      <c r="B893">
        <f>SUM(V855:V881)</f>
        <v/>
      </c>
    </row>
    <row r="894">
      <c r="A894" s="6" t="inlineStr">
        <is>
          <t>TOTAL DPS</t>
        </is>
      </c>
      <c r="B894" s="6">
        <f>SUM(O855:O881)</f>
        <v/>
      </c>
    </row>
    <row r="895">
      <c r="A895" t="inlineStr">
        <is>
          <t>Quickdraw cooldown divisor (this block's own APS / Q)</t>
        </is>
      </c>
      <c r="B895">
        <f>IF(AND(C880=TRUE,Inputs!$B$38&lt;&gt;"pvp"),1+0.25*MAX(0,(B886-(((C856=TRUE)*Q856*1)+((C857=TRUE)*Q857*1)+((C859=TRUE)*Q859*1)+((C860=TRUE)*Q860*1)+((C862=TRUE)*Q862*1)+((C865=TRUE)*Q865*1)+((C871=TRUE)*Q871*1)+((C881=TRUE)*Q881*1))-((C861=TRUE)/(IF(Inputs!$B$38="pvp",15,MAX(0.1,Skills!D8-IF(TRUE=TRUE,Inputs!$B$32,0)))*(1-IF(AND(ArtifactsInput!$M$27,Inputs!$B$4="Chapter Hunt"),CHOOSE(ArtifactsInput!$N$27+1,20,24,28,32,36,40),0)/100))+(C864=TRUE)/(IF(Inputs!$B$38="pvp",15,MAX(0.1,Skills!D11-IF(TRUE=TRUE,Inputs!$B$32,0)))*(1-IF(AND(ArtifactsInput!$M$27,Inputs!$B$4="Chapter Hunt"),CHOOSE(ArtifactsInput!$N$27+1,20,24,28,32,36,40),0)/100))))/(1+0.25*((C861=TRUE)/(IF(Inputs!$B$38="pvp",15,MAX(0.1,Skills!D8-IF(TRUE=TRUE,Inputs!$B$32,0)))*(1-IF(AND(ArtifactsInput!$M$27,Inputs!$B$4="Chapter Hunt"),CHOOSE(ArtifactsInput!$N$27+1,20,24,28,32,36,40),0)/100))+(C864=TRUE)/(IF(Inputs!$B$38="pvp",15,MAX(0.1,Skills!D11-IF(TRUE=TRUE,Inputs!$B$32,0)))*(1-IF(AND(ArtifactsInput!$M$27,Inputs!$B$4="Chapter Hunt"),CHOOSE(ArtifactsInput!$N$27+1,20,24,28,32,36,40),0)/100))))),1)</f>
        <v/>
      </c>
    </row>
    <row r="896">
      <c r="A896" t="inlineStr">
        <is>
          <t>Nautilus Strike - Final Attack trigger rate (this block's own Q/R)</t>
        </is>
      </c>
      <c r="B896">
        <f>IF(AND(Inputs!$B$38&lt;&gt;"pvp",Inputs!$B$43&gt;0),(((C856=TRUE)*R856)+((C859=TRUE)*R859)+((C861=TRUE)*R861)+((C862=TRUE)*R862)+((C864=TRUE)*R864))/Inputs!$B$43,((C856=TRUE)*Q856)+((C859=TRUE)*Q859)+((C861=TRUE)*Q861)+((C862=TRUE)*Q862)+((C864=TRUE)*Q864))+B888</f>
        <v/>
      </c>
    </row>
    <row r="899">
      <c r="A899" s="6" t="inlineStr">
        <is>
          <t>Stat: Skill Level Bonus — 3rd Job</t>
        </is>
      </c>
    </row>
    <row r="900">
      <c r="A900" s="5" t="inlineStr">
        <is>
          <t>Key</t>
        </is>
      </c>
      <c r="B900" s="5" t="inlineStr">
        <is>
          <t>Name</t>
        </is>
      </c>
      <c r="C900" s="5" t="inlineStr">
        <is>
          <t>Unlocked</t>
        </is>
      </c>
      <c r="D900" s="5" t="inlineStr">
        <is>
          <t>InputLevel</t>
        </is>
      </c>
      <c r="E900" s="5" t="inlineStr">
        <is>
          <t>Factor</t>
        </is>
      </c>
      <c r="F900" s="5" t="inlineStr">
        <is>
          <t>CoefficientPercent</t>
        </is>
      </c>
      <c r="G900" s="5" t="inlineStr">
        <is>
          <t>EffectiveHits</t>
        </is>
      </c>
      <c r="H900" s="5" t="inlineStr">
        <is>
          <t>ProcProbability</t>
        </is>
      </c>
      <c r="I900" s="5" t="inlineStr">
        <is>
          <t>MapleHeroMultiplier</t>
        </is>
      </c>
      <c r="J900" s="5" t="inlineStr">
        <is>
          <t>BaseDamage</t>
        </is>
      </c>
      <c r="K900" s="5" t="inlineStr">
        <is>
          <t>BaseHitDamage</t>
        </is>
      </c>
      <c r="L900" s="5" t="inlineStr">
        <is>
          <t>NonCritAvg</t>
        </is>
      </c>
      <c r="M900" s="5" t="inlineStr">
        <is>
          <t>CritAvg</t>
        </is>
      </c>
      <c r="N900" s="5" t="inlineStr">
        <is>
          <t>ExpectedDamage(perHit)</t>
        </is>
      </c>
      <c r="O900" s="5" t="inlineStr">
        <is>
          <t>DPS</t>
        </is>
      </c>
      <c r="P900" s="5" t="inlineStr">
        <is>
          <t>% of Total</t>
        </is>
      </c>
      <c r="Q900" s="5" t="inlineStr">
        <is>
          <t>InvCooldown</t>
        </is>
      </c>
      <c r="R900" s="5" t="inlineStr">
        <is>
          <t>CastsInFight</t>
        </is>
      </c>
      <c r="S900" s="5" t="inlineStr">
        <is>
          <t>HitRate(perSec)</t>
        </is>
      </c>
      <c r="U900" t="inlineStr">
        <is>
          <t>helpers</t>
        </is>
      </c>
    </row>
    <row r="901">
      <c r="A901">
        <f>Skills!A2</f>
        <v/>
      </c>
      <c r="B901">
        <f>Skills!B2</f>
        <v/>
      </c>
      <c r="C901">
        <f>Inputs!$B$3&gt;=100</f>
        <v/>
      </c>
      <c r="D901" t="inlineStr"/>
      <c r="E901" t="inlineStr"/>
      <c r="F901">
        <f>U903+Skills!O2</f>
        <v/>
      </c>
      <c r="G901">
        <f>Skills!G2*IF(Skills!H2&gt;0,INT(IF(Inputs!$B$38="pvp",MIN(Skills!I2,15),Skills!I2)/Skills!H2+0.000000001),1)</f>
        <v/>
      </c>
      <c r="H901">
        <f>1-(1-Skills!J2/100)^Skills!K2</f>
        <v/>
      </c>
      <c r="I901" t="inlineStr">
        <is>
          <t>1</t>
        </is>
      </c>
      <c r="J901">
        <f>((Inputs!$B$6*(1+Inputs!$B$7/100))+(((Inputs!$B$12*(1+Inputs!$B$13/100))-(Inputs!$B$12*(1+Inputs!$B$13/100)))+0.25*(Inputs!$B$14-Inputs!$B$14))*(1+Inputs!$B$7/100))*(F901/100)</f>
        <v/>
      </c>
      <c r="K901">
        <f>J901*(1+((Inputs!$B$12*(1+Inputs!$B$13/100))*0.01+Inputs!$B$14*0.0025)/100)*(1+Inputs!$B$15/100)*(1+Inputs!$B$16/100)*(5000/(6000+Inputs!$B$42*(1-(100*(1-(1-(Inputs!$B$19+0)/100)*(1-CHOOSE(ArtifactsInput!$N$40+1,5,6,7,8,9,10)/100)^(ArtifactsInput!$M$40-ArtifactsInput!$M$40)))/100)))*(1+(Inputs!$B$24+((C925=TRUE)*(F925-Calc!F26))+B936)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IGHT_LEGS_EASTON",Inputs!$B$17+((C922=TRUE)*(F922-Calc!F23))+((C926=TRUE)*(F926-Calc!F27))+((IF(AND(Inputs!$B$38&lt;&gt;"pvp",Inputs!$B$43=0),1,IF(IF(Inputs!$B$38="pvp",15,Inputs!$B$43)-(B937)&lt;=0,1,MAX(0,IF(Inputs!$B$38="pvp",15,Inputs!$B$43)-MAX(5,B937))/(IF(Inputs!$B$38="pvp",15,Inputs!$B$43)-(B937))))*(IF(AND(ArtifactsInput!$M$42,((Inputs!$B$9+((C918=TRUE)*(F918-Calc!F19))+B930+(ArtifactsInput!$M$24-ArtifactsInput!$M$24)*CHOOSE(ArtifactsInput!$N$24+1,10,12,14,16,18,20)+IF(ArtifactsInput!$M$10,CHOOSE(ArtifactsInput!$N$10+1,15,18,21,24,27,30)*(IF(Inputs!$B$38="pvp",MIN(15,15)/15,IF(AND(Inputs!$B$38&lt;&gt;"pvp",Inputs!$B$43&gt;0),MIN(15,Inputs!$B$43)/(Inputs!$B$43),0))),0)))&gt;=100),MIN(100,((Inputs!$B$9+((C918=TRUE)*(F918-Calc!F19))+B930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937)&lt;=0,1,MAX(0,IF(Inputs!$B$38="pvp",15,Inputs!$B$43)-MAX(5,B937))/(IF(Inputs!$B$38="pvp",15,Inputs!$B$43)-(B937))))*IF(AND(ArtifactsInput!$M$42,((Inputs!$B$9+((C918=TRUE)*(F918-Calc!F19))+B930+(ArtifactsInput!$M$24-ArtifactsInput!$M$24)*CHOOSE(ArtifactsInput!$N$24+1,10,12,14,16,18,20)+IF(ArtifactsInput!$M$10,CHOOSE(ArtifactsInput!$N$10+1,15,18,21,24,27,30)*(IF(Inputs!$B$38="pvp",MIN(15,15)/15,IF(AND(Inputs!$B$38&lt;&gt;"pvp",Inputs!$B$43&gt;0),MIN(15,Inputs!$B$43)/(Inputs!$B$43),0))),0)))&gt;=100),CHOOSE(ArtifactsInput!$N$42+1,40,48,56,64,72,80),0))))/100)*((1+(((C916=TRUE)*F916*5/7)+((C923=TRUE)*(F923-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901)</f>
        <v/>
      </c>
      <c r="L901">
        <f>K901*(MIN(Inputs!$B$22+((C921=TRUE)*(F921-Calc!F22)),(Inputs!$B$23+0+(IF(ArtifactsInput!$M$15,CHOOSE(ArtifactsInput!$N$15+1,25,30,35,40,45,50)/100*(Inputs!$B$11-Inputs!$B$11),0))))/100+(Inputs!$B$23+0+(IF(ArtifactsInput!$M$15,CHOOSE(ArtifactsInput!$N$15+1,25,30,35,40,45,50)/100*(Inputs!$B$11-Inputs!$B$11),0)))/100)/2</f>
        <v/>
      </c>
      <c r="M901">
        <f>L901*(1+(Inputs!$B$10+((C924=TRUE)*(F924-Calc!F25))+B935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01">
        <f>L901*(1-MIN((Inputs!$B$9+((C918=TRUE)*(F918-Calc!F19))+B930+(ArtifactsInput!$M$24-ArtifactsInput!$M$24)*CHOOSE(ArtifactsInput!$N$24+1,10,12,14,16,18,20)+(IF(AND(Inputs!$B$38&lt;&gt;"pvp",Inputs!$B$43=0),1,IF(IF(Inputs!$B$38="pvp",15,Inputs!$B$43)-(B937)&lt;=0,1,MAX(0,IF(Inputs!$B$38="pvp",15,Inputs!$B$43)-MAX(5,B937))/(IF(Inputs!$B$38="pvp",15,Inputs!$B$43)-(B937))))*IF(AND(ArtifactsInput!$M$42,((Inputs!$B$9+((C918=TRUE)*(F918-Calc!F19))+B930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901*(MIN((Inputs!$B$9+((C918=TRUE)*(F918-Calc!F19))+B930+(ArtifactsInput!$M$24-ArtifactsInput!$M$24)*CHOOSE(ArtifactsInput!$N$24+1,10,12,14,16,18,20)+(IF(AND(Inputs!$B$38&lt;&gt;"pvp",Inputs!$B$43=0),1,IF(IF(Inputs!$B$38="pvp",15,Inputs!$B$43)-(B937)&lt;=0,1,MAX(0,IF(Inputs!$B$38="pvp",15,Inputs!$B$43)-MAX(5,B937))/(IF(Inputs!$B$38="pvp",15,Inputs!$B$43)-(B937))))*IF(AND(ArtifactsInput!$M$42,((Inputs!$B$9+((C918=TRUE)*(F918-Calc!F19))+B930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01">
        <f>(1-Summary!$B$11)*T901+Summary!$B$11*V901</f>
        <v/>
      </c>
      <c r="P901">
        <f>IF(B940=0,0,O901/B940)</f>
        <v/>
      </c>
      <c r="Q901" t="n">
        <v>0</v>
      </c>
      <c r="R901" t="n">
        <v>0</v>
      </c>
      <c r="S901">
        <f>IFERROR(O901/N901,0)</f>
        <v/>
      </c>
      <c r="T901">
        <f>IF(C901,(Skills!G2*N901*B934*(1+IF(C926=TRUE,1/3,0)))*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Hunt"),CHOOSE(ArtifactsInput!$N$35+1,15,18,21,24,27,30)*(1-EXP(-(0.2*B932)*5)),0)+IF(AND(ArtifactsInput!$M$22,Inputs!$B$4&lt;&gt;"Chapter Hunt"),CHOOSE(ArtifactsInput!$N$22+1,10,12,14,16,18,20)*((0*(((0.15*B932*5))^0/1)+1*(((0.15*B932*5))^1/1)+2*(((0.15*B932*5))^2/2)+3*(((0.15*B932*5))^3/6)+4*(((0.15*B932*5))^4/24)+5*(((0.15*B932*5))^5/120))/((((0.15*B932*5))^0/1)+(((0.15*B932*5))^1/1)+(((0.15*B932*5))^2/2)+(((0.15*B932*5))^3/6)+(((0.15*B932*5))^4/24)+(((0.15*B932*5))^5/120))),0))+IF(Inputs!$B$3&gt;=54,9*(C902=TRUE)*MIN(1,8*(1+Inputs!$B$34/100)*Q902)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901*(1-MIN(100,(Inputs!$B$9+((C918=TRUE)*(F918-Calc!F19))+B930+(ArtifactsInput!$M$24-ArtifactsInput!$M$24)*CHOOSE(ArtifactsInput!$N$24+1,10,12,14,16,18,20)+(IF(AND(Inputs!$B$38&lt;&gt;"pvp",Inputs!$B$43=0),1,IF(IF(Inputs!$B$38="pvp",15,Inputs!$B$43)-(B937)&lt;=0,1,MAX(0,IF(Inputs!$B$38="pvp",15,Inputs!$B$43)-MAX(5,B937))/(IF(Inputs!$B$38="pvp",15,Inputs!$B$43)-(B937))))*IF(AND(ArtifactsInput!$M$42,((Inputs!$B$9+((C918=TRUE)*(F918-Calc!F19))+B930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901*(MIN(100,(Inputs!$B$9+((C918=TRUE)*(F918-Calc!F19))+B930+(ArtifactsInput!$M$24-ArtifactsInput!$M$24)*CHOOSE(ArtifactsInput!$N$24+1,10,12,14,16,18,20)+(IF(AND(Inputs!$B$38&lt;&gt;"pvp",Inputs!$B$43=0),1,IF(IF(Inputs!$B$38="pvp",15,Inputs!$B$43)-(B937)&lt;=0,1,MAX(0,IF(Inputs!$B$38="pvp",15,Inputs!$B$43)-MAX(5,B937))/(IF(Inputs!$B$38="pvp",15,Inputs!$B$43)-(B937))))*IF(AND(ArtifactsInput!$M$42,((Inputs!$B$9+((C918=TRUE)*(F918-Calc!F19))+B930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901*(1-MIN(100,(Inputs!$B$9+((C918=TRUE)*(F918-Calc!F19))+B930+(ArtifactsInput!$M$24-ArtifactsInput!$M$24)*CHOOSE(ArtifactsInput!$N$24+1,10,12,14,16,18,20)+(IF(AND(Inputs!$B$38&lt;&gt;"pvp",Inputs!$B$43=0),1,IF(IF(Inputs!$B$38="pvp",15,Inputs!$B$43)-(B937)&lt;=0,1,MAX(0,IF(Inputs!$B$38="pvp",15,Inputs!$B$43)-MAX(5,B937))/(IF(Inputs!$B$38="pvp",15,Inputs!$B$43)-(B937))))*IF(AND(ArtifactsInput!$M$42,((Inputs!$B$9+((C918=TRUE)*(F918-Calc!F19))+B930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901*(MIN(100,(Inputs!$B$9+((C918=TRUE)*(F918-Calc!F19))+B930+(ArtifactsInput!$M$24-ArtifactsInput!$M$24)*CHOOSE(ArtifactsInput!$N$24+1,10,12,14,16,18,20)+(IF(AND(Inputs!$B$38&lt;&gt;"pvp",Inputs!$B$43=0),1,IF(IF(Inputs!$B$38="pvp",15,Inputs!$B$43)-(B937)&lt;=0,1,MAX(0,IF(Inputs!$B$38="pvp",15,Inputs!$B$43)-MAX(5,B937))/(IF(Inputs!$B$38="pvp",15,Inputs!$B$43)-(B937))))*IF(AND(ArtifactsInput!$M$42,((Inputs!$B$9+((C918=TRUE)*(F918-Calc!F19))+B930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901">
        <f>MAX(0,(Inputs!$B$3-100)*3)+Inputs!$B$28+Inputs!$B$29</f>
        <v/>
      </c>
      <c r="V901">
        <f>IF(C901,(Skills!G2*N901*B934*(1+IF(C926=TRUE,1/3,0)))*IF(Inputs!$B$38="pvp",1,(1+(Inputs!$B$21+Skills!Q2+(IF(ArtifactsInput!$M$33,CHOOSE(ArtifactsInput!$N$33+1,30,36,42,48,54,60),0))+(IF(AND(ArtifactsInput!$M$35,Inputs!$B$4&lt;&gt;"Chapter Hunt"),CHOOSE(ArtifactsInput!$N$35+1,15,18,21,24,27,30)*(1-EXP(-(0.2*B932)*5)),0)+IF(AND(ArtifactsInput!$M$22,Inputs!$B$4&lt;&gt;"Chapter Hunt"),CHOOSE(ArtifactsInput!$N$22+1,10,12,14,16,18,20)*((0*(((0.15*B932*5))^0/1)+1*(((0.15*B932*5))^1/1)+2*(((0.15*B932*5))^2/2)+3*(((0.15*B932*5))^3/6)+4*(((0.15*B932*5))^4/24)+5*(((0.15*B932*5))^5/120))/((((0.15*B932*5))^0/1)+(((0.15*B932*5))^1/1)+(((0.15*B932*5))^2/2)+(((0.15*B932*5))^3/6)+(((0.15*B932*5))^4/24)+(((0.15*B932*5))^5/120))),0))+IF(Inputs!$B$3&gt;=54,9*(C902=TRUE)*MIN(1,8*(1+Inputs!$B$34/100)*Q902),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02">
      <c r="A902">
        <f>Skills!A3</f>
        <v/>
      </c>
      <c r="B902">
        <f>Skills!B3</f>
        <v/>
      </c>
      <c r="C902">
        <f>Inputs!$B$3&gt;=33</f>
        <v/>
      </c>
      <c r="D902">
        <f>IF(Skills!C3=1,60+Inputs!$B$25+Inputs!$B$29,IF(Skills!C3=2,90+Inputs!$B$26+Inputs!$B$29,IF(Skills!C3=3,120+(Inputs!$B$27+1)+Inputs!$B$29,MAX(0,(Inputs!$B$3-100)*3)+Inputs!$B$28+Inputs!$B$29)))</f>
        <v/>
      </c>
      <c r="E902">
        <f>INDEX(FactorTable!$B$2:$Y$301, MATCH(ROUND(MIN(300,MAX(1,D902)),0), FactorTable!$A$2:$A$301,0), Skills!M3+1)</f>
        <v/>
      </c>
      <c r="F902">
        <f>IF(Skills!N3=TRUE,(Skills!L3/10)*(E902/1000),Skills!L3/10)+Skills!O3</f>
        <v/>
      </c>
      <c r="G902">
        <f>Skills!G3*IF(Skills!H3&gt;0,INT(IF(Inputs!$B$38="pvp",MIN(Skills!I3,15),Skills!I3)/Skills!H3+0.000000001),1)</f>
        <v/>
      </c>
      <c r="H902">
        <f>1-(1-Skills!J3/100)^Skills!K3</f>
        <v/>
      </c>
      <c r="I902" t="inlineStr">
        <is>
          <t>1</t>
        </is>
      </c>
      <c r="J902">
        <f>((Inputs!$B$6*(1+Inputs!$B$7/100))+(((Inputs!$B$12*(1+Inputs!$B$13/100))-(Inputs!$B$12*(1+Inputs!$B$13/100)))+0.25*(Inputs!$B$14-Inputs!$B$14))*(1+Inputs!$B$7/100))*(F902/100)</f>
        <v/>
      </c>
      <c r="K902">
        <f>J902*(1+((Inputs!$B$12*(1+Inputs!$B$13/100))*0.01+Inputs!$B$14*0.0025)/100)*(1+Inputs!$B$15/100)*(1+Inputs!$B$16/100)*(5000/(6000+Inputs!$B$42*(1-(100*(1-(1-(Inputs!$B$19+0)/100)*(1-CHOOSE(ArtifactsInput!$N$40+1,5,6,7,8,9,10)/100)^(ArtifactsInput!$M$40-ArtifactsInput!$M$40)))/100)))*(1+(Inputs!$B$24+((C925=TRUE)*(F925-Calc!F26))+B936)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914=TRUE,F914,0)/100)*(1+(IF(Skills!A3="EIGHT_LEGS_EASTON",Inputs!$B$17+((C922=TRUE)*(F922-Calc!F23))+((C926=TRUE)*(F926-Calc!F27))+((IF(AND(Inputs!$B$38&lt;&gt;"pvp",Inputs!$B$43=0),1,IF(IF(Inputs!$B$38="pvp",15,Inputs!$B$43)-(B937)&lt;=0,1,MAX(0,IF(Inputs!$B$38="pvp",15,Inputs!$B$43)-MAX(5,B937))/(IF(Inputs!$B$38="pvp",15,Inputs!$B$43)-(B937))))*(IF(AND(ArtifactsInput!$M$42,((Inputs!$B$9+((C918=TRUE)*(F918-Calc!F19))+B930+(ArtifactsInput!$M$24-ArtifactsInput!$M$24)*CHOOSE(ArtifactsInput!$N$24+1,10,12,14,16,18,20)+IF(ArtifactsInput!$M$10,CHOOSE(ArtifactsInput!$N$10+1,15,18,21,24,27,30)*(IF(Inputs!$B$38="pvp",MIN(15,15)/15,IF(AND(Inputs!$B$38&lt;&gt;"pvp",Inputs!$B$43&gt;0),MIN(15,Inputs!$B$43)/(Inputs!$B$43),0))),0)))&gt;=100),MIN(100,((Inputs!$B$9+((C918=TRUE)*(F918-Calc!F19))+B930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937)&lt;=0,1,MAX(0,IF(Inputs!$B$38="pvp",15,Inputs!$B$43)-MAX(5,B937))/(IF(Inputs!$B$38="pvp",15,Inputs!$B$43)-(B937))))*IF(AND(ArtifactsInput!$M$42,((Inputs!$B$9+((C918=TRUE)*(F918-Calc!F19))+B930+(ArtifactsInput!$M$24-ArtifactsInput!$M$24)*CHOOSE(ArtifactsInput!$N$24+1,10,12,14,16,18,20)+IF(ArtifactsInput!$M$10,CHOOSE(ArtifactsInput!$N$10+1,15,18,21,24,27,30)*(IF(Inputs!$B$38="pvp",MIN(15,15)/15,IF(AND(Inputs!$B$38&lt;&gt;"pvp",Inputs!$B$43&gt;0),MIN(15,Inputs!$B$43)/(Inputs!$B$43),0))),0)))&gt;=100),CHOOSE(ArtifactsInput!$N$42+1,40,48,56,64,72,80),0))))/100)*((1+(((C916=TRUE)*F916*5/7)+((C923=TRUE)*(F923-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902)</f>
        <v/>
      </c>
      <c r="L902">
        <f>K902*(MIN(Inputs!$B$22+((C921=TRUE)*(F921-Calc!F22)),(Inputs!$B$23+0+(IF(ArtifactsInput!$M$15,CHOOSE(ArtifactsInput!$N$15+1,25,30,35,40,45,50)/100*(Inputs!$B$11-Inputs!$B$11),0))))/100+(Inputs!$B$23+0+(IF(ArtifactsInput!$M$15,CHOOSE(ArtifactsInput!$N$15+1,25,30,35,40,45,50)/100*(Inputs!$B$11-Inputs!$B$11),0)))/100)/2</f>
        <v/>
      </c>
      <c r="M902">
        <f>L902*(1+(Inputs!$B$10+((C924=TRUE)*(F924-Calc!F25))+B935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02">
        <f>L902*(1-MIN((Inputs!$B$9+((C918=TRUE)*(F918-Calc!F19))+B930+(ArtifactsInput!$M$24-ArtifactsInput!$M$24)*CHOOSE(ArtifactsInput!$N$24+1,10,12,14,16,18,20)+(IF(AND(Inputs!$B$38&lt;&gt;"pvp",Inputs!$B$43=0),1,IF(IF(Inputs!$B$38="pvp",15,Inputs!$B$43)-(B937)&lt;=0,1,MAX(0,IF(Inputs!$B$38="pvp",15,Inputs!$B$43)-MAX(5,B937))/(IF(Inputs!$B$38="pvp",15,Inputs!$B$43)-(B937))))*IF(AND(ArtifactsInput!$M$42,((Inputs!$B$9+((C918=TRUE)*(F918-Calc!F19))+B930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902*(MIN((Inputs!$B$9+((C918=TRUE)*(F918-Calc!F19))+B930+(ArtifactsInput!$M$24-ArtifactsInput!$M$24)*CHOOSE(ArtifactsInput!$N$24+1,10,12,14,16,18,20)+(IF(AND(Inputs!$B$38&lt;&gt;"pvp",Inputs!$B$43=0),1,IF(IF(Inputs!$B$38="pvp",15,Inputs!$B$43)-(B937)&lt;=0,1,MAX(0,IF(Inputs!$B$38="pvp",15,Inputs!$B$43)-MAX(5,B937))/(IF(Inputs!$B$38="pvp",15,Inputs!$B$43)-(B937))))*IF(AND(ArtifactsInput!$M$42,((Inputs!$B$9+((C918=TRUE)*(F918-Calc!F19))+B930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02">
        <f>(1-Summary!$B$11)*T902+Summary!$B$11*V902</f>
        <v/>
      </c>
      <c r="P902">
        <f>IF(B940=0,0,O902/B940)</f>
        <v/>
      </c>
      <c r="Q902">
        <f>IFERROR(1/(IF(Inputs!$B$38="pvp",15,MAX(0.1,Skills!D3-IF(TRUE=TRUE,Inputs!$B$32,0)))*(1-IF(AND(ArtifactsInput!$M$27,Inputs!$B$4="Chapter Hunt"),CHOOSE(ArtifactsInput!$N$27+1,20,24,28,32,36,40),0)/100)),0)</f>
        <v/>
      </c>
      <c r="R902">
        <f>IF(AND(Inputs!$B$38&lt;&gt;"pvp",Inputs!$B$43&gt;0),IF(MAX(0,Inputs!$B$43-B937)&lt;=0,0,(INT(MAX(0,Inputs!$B$43-B937)/(IF(Inputs!$B$38="pvp",15,MAX(0.1,Skills!D3-IF(TRUE=TRUE,Inputs!$B$32,0)))*(1-IF(AND(ArtifactsInput!$M$27,Inputs!$B$4="Chapter Hunt"),CHOOSE(ArtifactsInput!$N$27+1,20,24,28,32,36,40),0)/100)))+1)),0)</f>
        <v/>
      </c>
      <c r="S902">
        <f>IFERROR(O902/N902,0)</f>
        <v/>
      </c>
      <c r="T902">
        <f>IF(C902,(H902*N902*IF(AND(Inputs!$B$38&lt;&gt;"pvp",Inputs!$B$43&gt;0),((Skills!G3*((R902-1)*IF(Skills!H3&gt;0,INT(Skills!I3/Skills!H3+0.000000001),1)+IF(Skills!H3&gt;0,INT(MIN(Skills!I3,MAX(0,MAX(0,Inputs!$B$43-B937)-((R902-1)*(IF(Inputs!$B$38="pvp",15,MAX(0.1,Skills!D3-IF(TRUE=TRUE,Inputs!$B$32,0)))*(1-IF(AND(ArtifactsInput!$M$27,Inputs!$B$4="Chapter Hunt"),CHOOSE(ArtifactsInput!$N$27+1,20,24,28,32,36,40),0)/100)))))/Skills!H3+0.000000001),1)))/Inputs!$B$43),G902*Q902))*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Hunt"),CHOOSE(ArtifactsInput!$N$35+1,15,18,21,24,27,30)*(1-EXP(-(0.2*B932)*5)),0)+IF(AND(ArtifactsInput!$M$22,Inputs!$B$4&lt;&gt;"Chapter Hunt"),CHOOSE(ArtifactsInput!$N$22+1,10,12,14,16,18,20)*((0*(((0.15*B932*5))^0/1)+1*(((0.15*B932*5))^1/1)+2*(((0.15*B932*5))^2/2)+3*(((0.15*B932*5))^3/6)+4*(((0.15*B932*5))^4/24)+5*(((0.15*B932*5))^5/120))/((((0.15*B932*5))^0/1)+(((0.15*B932*5))^1/1)+(((0.15*B932*5))^2/2)+(((0.15*B932*5))^3/6)+(((0.15*B932*5))^4/24)+(((0.15*B932*5))^5/120))),0))+IF(Inputs!$B$3&gt;=54,9*(C902=TRUE)*MIN(1,8*(1+Inputs!$B$34/100)*Q902)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902*(1-MIN(100,(Inputs!$B$9+((C918=TRUE)*(F918-Calc!F19))+B930+(ArtifactsInput!$M$24-ArtifactsInput!$M$24)*CHOOSE(ArtifactsInput!$N$24+1,10,12,14,16,18,20)+(IF(AND(Inputs!$B$38&lt;&gt;"pvp",Inputs!$B$43=0),1,IF(IF(Inputs!$B$38="pvp",15,Inputs!$B$43)-(B937)&lt;=0,1,MAX(0,IF(Inputs!$B$38="pvp",15,Inputs!$B$43)-MAX(5,B937))/(IF(Inputs!$B$38="pvp",15,Inputs!$B$43)-(B937))))*IF(AND(ArtifactsInput!$M$42,((Inputs!$B$9+((C918=TRUE)*(F918-Calc!F19))+B930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902*(MIN(100,(Inputs!$B$9+((C918=TRUE)*(F918-Calc!F19))+B930+(ArtifactsInput!$M$24-ArtifactsInput!$M$24)*CHOOSE(ArtifactsInput!$N$24+1,10,12,14,16,18,20)+(IF(AND(Inputs!$B$38&lt;&gt;"pvp",Inputs!$B$43=0),1,IF(IF(Inputs!$B$38="pvp",15,Inputs!$B$43)-(B937)&lt;=0,1,MAX(0,IF(Inputs!$B$38="pvp",15,Inputs!$B$43)-MAX(5,B937))/(IF(Inputs!$B$38="pvp",15,Inputs!$B$43)-(B937))))*IF(AND(ArtifactsInput!$M$42,((Inputs!$B$9+((C918=TRUE)*(F918-Calc!F19))+B930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902*(1-MIN(100,(Inputs!$B$9+((C918=TRUE)*(F918-Calc!F19))+B930+(ArtifactsInput!$M$24-ArtifactsInput!$M$24)*CHOOSE(ArtifactsInput!$N$24+1,10,12,14,16,18,20)+(IF(AND(Inputs!$B$38&lt;&gt;"pvp",Inputs!$B$43=0),1,IF(IF(Inputs!$B$38="pvp",15,Inputs!$B$43)-(B937)&lt;=0,1,MAX(0,IF(Inputs!$B$38="pvp",15,Inputs!$B$43)-MAX(5,B937))/(IF(Inputs!$B$38="pvp",15,Inputs!$B$43)-(B937))))*IF(AND(ArtifactsInput!$M$42,((Inputs!$B$9+((C918=TRUE)*(F918-Calc!F19))+B930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902*(MIN(100,(Inputs!$B$9+((C918=TRUE)*(F918-Calc!F19))+B930+(ArtifactsInput!$M$24-ArtifactsInput!$M$24)*CHOOSE(ArtifactsInput!$N$24+1,10,12,14,16,18,20)+(IF(AND(Inputs!$B$38&lt;&gt;"pvp",Inputs!$B$43=0),1,IF(IF(Inputs!$B$38="pvp",15,Inputs!$B$43)-(B937)&lt;=0,1,MAX(0,IF(Inputs!$B$38="pvp",15,Inputs!$B$43)-MAX(5,B937))/(IF(Inputs!$B$38="pvp",15,Inputs!$B$43)-(B937))))*IF(AND(ArtifactsInput!$M$42,((Inputs!$B$9+((C918=TRUE)*(F918-Calc!F19))+B930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902">
        <f>INDEX(FactorTable!$B$2:$Y$301, MATCH(ROUND(MIN(300,MAX(1,U901)),0), FactorTable!$A$2:$A$301,0), 22)</f>
        <v/>
      </c>
      <c r="V902">
        <f>IF(C902,(H902*N902*IF(AND(Inputs!$B$38&lt;&gt;"pvp",Inputs!$B$43&gt;0),((Skills!G3*((R902-1)*IF(Skills!H3&gt;0,INT(Skills!I3/Skills!H3+0.000000001),1)+IF(Skills!H3&gt;0,INT(MIN(Skills!I3,MAX(0,MAX(0,Inputs!$B$43-B937)-((R902-1)*(IF(Inputs!$B$38="pvp",15,MAX(0.1,Skills!D3-IF(TRUE=TRUE,Inputs!$B$32,0)))*(1-IF(AND(ArtifactsInput!$M$27,Inputs!$B$4="Chapter Hunt"),CHOOSE(ArtifactsInput!$N$27+1,20,24,28,32,36,40),0)/100)))))/Skills!H3+0.000000001),1)))/Inputs!$B$43),G902*Q902))*IF(Inputs!$B$38="pvp",1,(1+(Inputs!$B$21+Skills!Q3+(IF(ArtifactsInput!$M$33,CHOOSE(ArtifactsInput!$N$33+1,30,36,42,48,54,60),0))+(IF(AND(ArtifactsInput!$M$35,Inputs!$B$4&lt;&gt;"Chapter Hunt"),CHOOSE(ArtifactsInput!$N$35+1,15,18,21,24,27,30)*(1-EXP(-(0.2*B932)*5)),0)+IF(AND(ArtifactsInput!$M$22,Inputs!$B$4&lt;&gt;"Chapter Hunt"),CHOOSE(ArtifactsInput!$N$22+1,10,12,14,16,18,20)*((0*(((0.15*B932*5))^0/1)+1*(((0.15*B932*5))^1/1)+2*(((0.15*B932*5))^2/2)+3*(((0.15*B932*5))^3/6)+4*(((0.15*B932*5))^4/24)+5*(((0.15*B932*5))^5/120))/((((0.15*B932*5))^0/1)+(((0.15*B932*5))^1/1)+(((0.15*B932*5))^2/2)+(((0.15*B932*5))^3/6)+(((0.15*B932*5))^4/24)+(((0.15*B932*5))^5/120))),0))+IF(Inputs!$B$3&gt;=54,9*(C902=TRUE)*MIN(1,8*(1+Inputs!$B$34/100)*Q902),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03">
      <c r="A903">
        <f>Skills!A4</f>
        <v/>
      </c>
      <c r="B903">
        <f>Skills!B4</f>
        <v/>
      </c>
      <c r="C903">
        <f>Inputs!$B$3&gt;=35</f>
        <v/>
      </c>
      <c r="D903">
        <f>IF(Skills!C4=1,60+Inputs!$B$25+Inputs!$B$29,IF(Skills!C4=2,90+Inputs!$B$26+Inputs!$B$29,IF(Skills!C4=3,120+(Inputs!$B$27+1)+Inputs!$B$29,MAX(0,(Inputs!$B$3-100)*3)+Inputs!$B$28+Inputs!$B$29)))</f>
        <v/>
      </c>
      <c r="E903">
        <f>INDEX(FactorTable!$B$2:$Y$301, MATCH(ROUND(MIN(300,MAX(1,D903)),0), FactorTable!$A$2:$A$301,0), Skills!M4+1)</f>
        <v/>
      </c>
      <c r="F903">
        <f>IF(Skills!N4=TRUE,(Skills!L4/10)*(E903/1000),Skills!L4/10)+Skills!O4</f>
        <v/>
      </c>
      <c r="G903">
        <f>Skills!G4*IF(Skills!H4&gt;0,INT(IF(Inputs!$B$38="pvp",MIN(IF(Inputs!$B$3&gt;=104,MIN(35,20*(1+Inputs!$B$34/100)),20),15),IF(Inputs!$B$3&gt;=104,MIN(35,20*(1+Inputs!$B$34/100)),20))/Skills!H4+0.000000001),1)</f>
        <v/>
      </c>
      <c r="H903">
        <f>1-(1-Skills!J4/100)^Skills!K4</f>
        <v/>
      </c>
      <c r="I903" t="inlineStr">
        <is>
          <t>1</t>
        </is>
      </c>
      <c r="J903">
        <f>((Inputs!$B$6*(1+Inputs!$B$7/100))+(((Inputs!$B$12*(1+Inputs!$B$13/100))-(Inputs!$B$12*(1+Inputs!$B$13/100)))+0.25*(Inputs!$B$14-Inputs!$B$14))*(1+Inputs!$B$7/100))*(F903/100)</f>
        <v/>
      </c>
      <c r="K903">
        <f>J903*(1+((Inputs!$B$12*(1+Inputs!$B$13/100))*0.01+Inputs!$B$14*0.0025)/100)*(1+Inputs!$B$15/100)*(1+Inputs!$B$16/100)*(5000/(6000+Inputs!$B$42*(1-(100*(1-(1-(Inputs!$B$19+0)/100)*(1-CHOOSE(ArtifactsInput!$N$40+1,5,6,7,8,9,10)/100)^(ArtifactsInput!$M$40-ArtifactsInput!$M$40)))/100)))*(1+(Inputs!$B$24+((C925=TRUE)*(F925-Calc!F26))+B936)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915=TRUE,F915,0)/100)*(1+(IF(Skills!A4="EIGHT_LEGS_EASTON",Inputs!$B$17+((C922=TRUE)*(F922-Calc!F23))+((C926=TRUE)*(F926-Calc!F27))+((IF(AND(Inputs!$B$38&lt;&gt;"pvp",Inputs!$B$43=0),1,IF(IF(Inputs!$B$38="pvp",15,Inputs!$B$43)-(B937)&lt;=0,1,MAX(0,IF(Inputs!$B$38="pvp",15,Inputs!$B$43)-MAX(5,B937))/(IF(Inputs!$B$38="pvp",15,Inputs!$B$43)-(B937))))*(IF(AND(ArtifactsInput!$M$42,((Inputs!$B$9+((C918=TRUE)*(F918-Calc!F19))+B930+(ArtifactsInput!$M$24-ArtifactsInput!$M$24)*CHOOSE(ArtifactsInput!$N$24+1,10,12,14,16,18,20)+IF(ArtifactsInput!$M$10,CHOOSE(ArtifactsInput!$N$10+1,15,18,21,24,27,30)*(IF(Inputs!$B$38="pvp",MIN(15,15)/15,IF(AND(Inputs!$B$38&lt;&gt;"pvp",Inputs!$B$43&gt;0),MIN(15,Inputs!$B$43)/(Inputs!$B$43),0))),0)))&gt;=100),MIN(100,((Inputs!$B$9+((C918=TRUE)*(F918-Calc!F19))+B930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937)&lt;=0,1,MAX(0,IF(Inputs!$B$38="pvp",15,Inputs!$B$43)-MAX(5,B937))/(IF(Inputs!$B$38="pvp",15,Inputs!$B$43)-(B937))))*IF(AND(ArtifactsInput!$M$42,((Inputs!$B$9+((C918=TRUE)*(F918-Calc!F19))+B930+(ArtifactsInput!$M$24-ArtifactsInput!$M$24)*CHOOSE(ArtifactsInput!$N$24+1,10,12,14,16,18,20)+IF(ArtifactsInput!$M$10,CHOOSE(ArtifactsInput!$N$10+1,15,18,21,24,27,30)*(IF(Inputs!$B$38="pvp",MIN(15,15)/15,IF(AND(Inputs!$B$38&lt;&gt;"pvp",Inputs!$B$43&gt;0),MIN(15,Inputs!$B$43)/(Inputs!$B$43),0))),0)))&gt;=100),CHOOSE(ArtifactsInput!$N$42+1,40,48,56,64,72,80),0))))/100)*((1+(((C916=TRUE)*F916*5/7)+((C923=TRUE)*(F923-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903)</f>
        <v/>
      </c>
      <c r="L903">
        <f>K903*(MIN(Inputs!$B$22+((C921=TRUE)*(F921-Calc!F22)),(Inputs!$B$23+0+(IF(ArtifactsInput!$M$15,CHOOSE(ArtifactsInput!$N$15+1,25,30,35,40,45,50)/100*(Inputs!$B$11-Inputs!$B$11),0))))/100+(Inputs!$B$23+0+(IF(ArtifactsInput!$M$15,CHOOSE(ArtifactsInput!$N$15+1,25,30,35,40,45,50)/100*(Inputs!$B$11-Inputs!$B$11),0)))/100)/2</f>
        <v/>
      </c>
      <c r="M903">
        <f>L903*(1+(Inputs!$B$10+((C924=TRUE)*(F924-Calc!F25))+B935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03">
        <f>L903*(1-MIN((Inputs!$B$9+((C918=TRUE)*(F918-Calc!F19))+B930+(ArtifactsInput!$M$24-ArtifactsInput!$M$24)*CHOOSE(ArtifactsInput!$N$24+1,10,12,14,16,18,20)+(IF(AND(Inputs!$B$38&lt;&gt;"pvp",Inputs!$B$43=0),1,IF(IF(Inputs!$B$38="pvp",15,Inputs!$B$43)-(B937)&lt;=0,1,MAX(0,IF(Inputs!$B$38="pvp",15,Inputs!$B$43)-MAX(5,B937))/(IF(Inputs!$B$38="pvp",15,Inputs!$B$43)-(B937))))*IF(AND(ArtifactsInput!$M$42,((Inputs!$B$9+((C918=TRUE)*(F918-Calc!F19))+B930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903*(MIN((Inputs!$B$9+((C918=TRUE)*(F918-Calc!F19))+B930+(ArtifactsInput!$M$24-ArtifactsInput!$M$24)*CHOOSE(ArtifactsInput!$N$24+1,10,12,14,16,18,20)+(IF(AND(Inputs!$B$38&lt;&gt;"pvp",Inputs!$B$43=0),1,IF(IF(Inputs!$B$38="pvp",15,Inputs!$B$43)-(B937)&lt;=0,1,MAX(0,IF(Inputs!$B$38="pvp",15,Inputs!$B$43)-MAX(5,B937))/(IF(Inputs!$B$38="pvp",15,Inputs!$B$43)-(B937))))*IF(AND(ArtifactsInput!$M$42,((Inputs!$B$9+((C918=TRUE)*(F918-Calc!F19))+B930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03">
        <f>(1-Summary!$B$11)*T903+Summary!$B$11*V903</f>
        <v/>
      </c>
      <c r="P903">
        <f>IF(B940=0,0,O903/B940)</f>
        <v/>
      </c>
      <c r="Q903">
        <f>IFERROR(1/(IF(Inputs!$B$38="pvp",15,MAX(0.1,Skills!D4-IF(TRUE=TRUE,Inputs!$B$32,0)))*(1-IF(AND(ArtifactsInput!$M$27,Inputs!$B$4="Chapter Hunt"),CHOOSE(ArtifactsInput!$N$27+1,20,24,28,32,36,40),0)/100)),0)</f>
        <v/>
      </c>
      <c r="R903">
        <f>IF(AND(Inputs!$B$38&lt;&gt;"pvp",Inputs!$B$43&gt;0),IF(MAX(0,Inputs!$B$43-B937)&lt;=0,0,(INT(MAX(0,Inputs!$B$43-B937)/(IF(Inputs!$B$38="pvp",15,MAX(0.1,Skills!D4-IF(TRUE=TRUE,Inputs!$B$32,0)))*(1-IF(AND(ArtifactsInput!$M$27,Inputs!$B$4="Chapter Hunt"),CHOOSE(ArtifactsInput!$N$27+1,20,24,28,32,36,40),0)/100)))+1)),0)</f>
        <v/>
      </c>
      <c r="S903">
        <f>IFERROR(O903/N903,0)</f>
        <v/>
      </c>
      <c r="T903">
        <f>IF(C903,(H903*N903*IF(AND(Inputs!$B$38&lt;&gt;"pvp",Inputs!$B$43&gt;0),((Skills!G4*((R903-1)*IF(Skills!H4&gt;0,INT(IF(Inputs!$B$3&gt;=104,MIN(35,20*(1+Inputs!$B$34/100)),20)/Skills!H4+0.000000001),1)+IF(Skills!H4&gt;0,INT(MIN(IF(Inputs!$B$3&gt;=104,MIN(35,20*(1+Inputs!$B$34/100)),20),MAX(0,MAX(0,Inputs!$B$43-B937)-((R903-1)*(IF(Inputs!$B$38="pvp",15,MAX(0.1,Skills!D4-IF(TRUE=TRUE,Inputs!$B$32,0)))*(1-IF(AND(ArtifactsInput!$M$27,Inputs!$B$4="Chapter Hunt"),CHOOSE(ArtifactsInput!$N$27+1,20,24,28,32,36,40),0)/100)))))/Skills!H4+0.000000001),1)))/Inputs!$B$43),G903*Q903))*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Hunt"),CHOOSE(ArtifactsInput!$N$35+1,15,18,21,24,27,30)*(1-EXP(-(0.2*B932)*5)),0)+IF(AND(ArtifactsInput!$M$22,Inputs!$B$4&lt;&gt;"Chapter Hunt"),CHOOSE(ArtifactsInput!$N$22+1,10,12,14,16,18,20)*((0*(((0.15*B932*5))^0/1)+1*(((0.15*B932*5))^1/1)+2*(((0.15*B932*5))^2/2)+3*(((0.15*B932*5))^3/6)+4*(((0.15*B932*5))^4/24)+5*(((0.15*B932*5))^5/120))/((((0.15*B932*5))^0/1)+(((0.15*B932*5))^1/1)+(((0.15*B932*5))^2/2)+(((0.15*B932*5))^3/6)+(((0.15*B932*5))^4/24)+(((0.15*B932*5))^5/120))),0))+IF(Inputs!$B$3&gt;=54,9*(C902=TRUE)*MIN(1,8*(1+Inputs!$B$34/100)*Q902)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903*(1-MIN(100,(Inputs!$B$9+((C918=TRUE)*(F918-Calc!F19))+B930+(ArtifactsInput!$M$24-ArtifactsInput!$M$24)*CHOOSE(ArtifactsInput!$N$24+1,10,12,14,16,18,20)+(IF(AND(Inputs!$B$38&lt;&gt;"pvp",Inputs!$B$43=0),1,IF(IF(Inputs!$B$38="pvp",15,Inputs!$B$43)-(B937)&lt;=0,1,MAX(0,IF(Inputs!$B$38="pvp",15,Inputs!$B$43)-MAX(5,B937))/(IF(Inputs!$B$38="pvp",15,Inputs!$B$43)-(B937))))*IF(AND(ArtifactsInput!$M$42,((Inputs!$B$9+((C918=TRUE)*(F918-Calc!F19))+B930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903*(MIN(100,(Inputs!$B$9+((C918=TRUE)*(F918-Calc!F19))+B930+(ArtifactsInput!$M$24-ArtifactsInput!$M$24)*CHOOSE(ArtifactsInput!$N$24+1,10,12,14,16,18,20)+(IF(AND(Inputs!$B$38&lt;&gt;"pvp",Inputs!$B$43=0),1,IF(IF(Inputs!$B$38="pvp",15,Inputs!$B$43)-(B937)&lt;=0,1,MAX(0,IF(Inputs!$B$38="pvp",15,Inputs!$B$43)-MAX(5,B937))/(IF(Inputs!$B$38="pvp",15,Inputs!$B$43)-(B937))))*IF(AND(ArtifactsInput!$M$42,((Inputs!$B$9+((C918=TRUE)*(F918-Calc!F19))+B930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903*(1-MIN(100,(Inputs!$B$9+((C918=TRUE)*(F918-Calc!F19))+B930+(ArtifactsInput!$M$24-ArtifactsInput!$M$24)*CHOOSE(ArtifactsInput!$N$24+1,10,12,14,16,18,20)+(IF(AND(Inputs!$B$38&lt;&gt;"pvp",Inputs!$B$43=0),1,IF(IF(Inputs!$B$38="pvp",15,Inputs!$B$43)-(B937)&lt;=0,1,MAX(0,IF(Inputs!$B$38="pvp",15,Inputs!$B$43)-MAX(5,B937))/(IF(Inputs!$B$38="pvp",15,Inputs!$B$43)-(B937))))*IF(AND(ArtifactsInput!$M$42,((Inputs!$B$9+((C918=TRUE)*(F918-Calc!F19))+B930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903*(MIN(100,(Inputs!$B$9+((C918=TRUE)*(F918-Calc!F19))+B930+(ArtifactsInput!$M$24-ArtifactsInput!$M$24)*CHOOSE(ArtifactsInput!$N$24+1,10,12,14,16,18,20)+(IF(AND(Inputs!$B$38&lt;&gt;"pvp",Inputs!$B$43=0),1,IF(IF(Inputs!$B$38="pvp",15,Inputs!$B$43)-(B937)&lt;=0,1,MAX(0,IF(Inputs!$B$38="pvp",15,Inputs!$B$43)-MAX(5,B937))/(IF(Inputs!$B$38="pvp",15,Inputs!$B$43)-(B937))))*IF(AND(ArtifactsInput!$M$42,((Inputs!$B$9+((C918=TRUE)*(F918-Calc!F19))+B930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903">
        <f>290*U902/1000</f>
        <v/>
      </c>
      <c r="V903">
        <f>IF(C903,(H903*N903*IF(AND(Inputs!$B$38&lt;&gt;"pvp",Inputs!$B$43&gt;0),((Skills!G4*((R903-1)*IF(Skills!H4&gt;0,INT(IF(Inputs!$B$3&gt;=104,MIN(35,20*(1+Inputs!$B$34/100)),20)/Skills!H4+0.000000001),1)+IF(Skills!H4&gt;0,INT(MIN(IF(Inputs!$B$3&gt;=104,MIN(35,20*(1+Inputs!$B$34/100)),20),MAX(0,MAX(0,Inputs!$B$43-B937)-((R903-1)*(IF(Inputs!$B$38="pvp",15,MAX(0.1,Skills!D4-IF(TRUE=TRUE,Inputs!$B$32,0)))*(1-IF(AND(ArtifactsInput!$M$27,Inputs!$B$4="Chapter Hunt"),CHOOSE(ArtifactsInput!$N$27+1,20,24,28,32,36,40),0)/100)))))/Skills!H4+0.000000001),1)))/Inputs!$B$43),G903*Q903))*IF(Inputs!$B$38="pvp",1,(1+(Inputs!$B$21+Skills!Q4+(IF(ArtifactsInput!$M$33,CHOOSE(ArtifactsInput!$N$33+1,30,36,42,48,54,60),0))+(IF(AND(ArtifactsInput!$M$35,Inputs!$B$4&lt;&gt;"Chapter Hunt"),CHOOSE(ArtifactsInput!$N$35+1,15,18,21,24,27,30)*(1-EXP(-(0.2*B932)*5)),0)+IF(AND(ArtifactsInput!$M$22,Inputs!$B$4&lt;&gt;"Chapter Hunt"),CHOOSE(ArtifactsInput!$N$22+1,10,12,14,16,18,20)*((0*(((0.15*B932*5))^0/1)+1*(((0.15*B932*5))^1/1)+2*(((0.15*B932*5))^2/2)+3*(((0.15*B932*5))^3/6)+4*(((0.15*B932*5))^4/24)+5*(((0.15*B932*5))^5/120))/((((0.15*B932*5))^0/1)+(((0.15*B932*5))^1/1)+(((0.15*B932*5))^2/2)+(((0.15*B932*5))^3/6)+(((0.15*B932*5))^4/24)+(((0.15*B932*5))^5/120))),0))+IF(Inputs!$B$3&gt;=54,9*(C902=TRUE)*MIN(1,8*(1+Inputs!$B$34/100)*Q902),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04">
      <c r="A904">
        <f>Skills!A5</f>
        <v/>
      </c>
      <c r="B904">
        <f>Skills!B5</f>
        <v/>
      </c>
      <c r="C904">
        <f>Inputs!$B$3&gt;=69</f>
        <v/>
      </c>
      <c r="D904">
        <f>IF(Skills!C5=1,60+Inputs!$B$25+Inputs!$B$29,IF(Skills!C5=2,90+Inputs!$B$26+Inputs!$B$29,IF(Skills!C5=3,120+(Inputs!$B$27+1)+Inputs!$B$29,MAX(0,(Inputs!$B$3-100)*3)+Inputs!$B$28+Inputs!$B$29)))</f>
        <v/>
      </c>
      <c r="E904">
        <f>INDEX(FactorTable!$B$2:$Y$301, MATCH(ROUND(MIN(300,MAX(1,D904)),0), FactorTable!$A$2:$A$301,0), Skills!M5+1)</f>
        <v/>
      </c>
      <c r="F904">
        <f>IF(Skills!N5=TRUE,(Skills!L5/10)*(E904/1000),Skills!L5/10)+Skills!O5</f>
        <v/>
      </c>
      <c r="G904">
        <f>Skills!G5*IF(Skills!H5&gt;0,INT(IF(Inputs!$B$38="pvp",MIN(IF(Inputs!$B$3&gt;=104,MIN(35,20*(1+Inputs!$B$34/100)),20),15),IF(Inputs!$B$3&gt;=104,MIN(35,20*(1+Inputs!$B$34/100)),20))/Skills!H5+0.000000001),1)</f>
        <v/>
      </c>
      <c r="H904">
        <f>1-(1-Skills!J5/100)^Skills!K5</f>
        <v/>
      </c>
      <c r="I904" t="inlineStr">
        <is>
          <t>1</t>
        </is>
      </c>
      <c r="J904">
        <f>((Inputs!$B$6*(1+Inputs!$B$7/100))+(((Inputs!$B$12*(1+Inputs!$B$13/100))-(Inputs!$B$12*(1+Inputs!$B$13/100)))+0.25*(Inputs!$B$14-Inputs!$B$14))*(1+Inputs!$B$7/100))*(F904/100)</f>
        <v/>
      </c>
      <c r="K904">
        <f>J904*(1+((Inputs!$B$12*(1+Inputs!$B$13/100))*0.01+Inputs!$B$14*0.0025)/100)*(1+Inputs!$B$15/100)*(1+Inputs!$B$16/100)*(5000/(6000+Inputs!$B$42*(1-(100*(1-(1-(Inputs!$B$19+0)/100)*(1-CHOOSE(ArtifactsInput!$N$40+1,5,6,7,8,9,10)/100)^(ArtifactsInput!$M$40-ArtifactsInput!$M$40)))/100)))*(1+(Inputs!$B$24+((C925=TRUE)*(F925-Calc!F26))+B936)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+0.4*IF(C915=TRUE,F915,0)/100)*(1+(IF(Skills!A5="EIGHT_LEGS_EASTON",Inputs!$B$17+((C922=TRUE)*(F922-Calc!F23))+((C926=TRUE)*(F926-Calc!F27))+((IF(AND(Inputs!$B$38&lt;&gt;"pvp",Inputs!$B$43=0),1,IF(IF(Inputs!$B$38="pvp",15,Inputs!$B$43)-(B937)&lt;=0,1,MAX(0,IF(Inputs!$B$38="pvp",15,Inputs!$B$43)-MAX(5,B937))/(IF(Inputs!$B$38="pvp",15,Inputs!$B$43)-(B937))))*(IF(AND(ArtifactsInput!$M$42,((Inputs!$B$9+((C918=TRUE)*(F918-Calc!F19))+B930+(ArtifactsInput!$M$24-ArtifactsInput!$M$24)*CHOOSE(ArtifactsInput!$N$24+1,10,12,14,16,18,20)+IF(ArtifactsInput!$M$10,CHOOSE(ArtifactsInput!$N$10+1,15,18,21,24,27,30)*(IF(Inputs!$B$38="pvp",MIN(15,15)/15,IF(AND(Inputs!$B$38&lt;&gt;"pvp",Inputs!$B$43&gt;0),MIN(15,Inputs!$B$43)/(Inputs!$B$43),0))),0)))&gt;=100),MIN(100,((Inputs!$B$9+((C918=TRUE)*(F918-Calc!F19))+B930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937)&lt;=0,1,MAX(0,IF(Inputs!$B$38="pvp",15,Inputs!$B$43)-MAX(5,B937))/(IF(Inputs!$B$38="pvp",15,Inputs!$B$43)-(B937))))*IF(AND(ArtifactsInput!$M$42,((Inputs!$B$9+((C918=TRUE)*(F918-Calc!F19))+B930+(ArtifactsInput!$M$24-ArtifactsInput!$M$24)*CHOOSE(ArtifactsInput!$N$24+1,10,12,14,16,18,20)+IF(ArtifactsInput!$M$10,CHOOSE(ArtifactsInput!$N$10+1,15,18,21,24,27,30)*(IF(Inputs!$B$38="pvp",MIN(15,15)/15,IF(AND(Inputs!$B$38&lt;&gt;"pvp",Inputs!$B$43&gt;0),MIN(15,Inputs!$B$43)/(Inputs!$B$43),0))),0)))&gt;=100),CHOOSE(ArtifactsInput!$N$42+1,40,48,56,64,72,80),0))))/100)*((1+(((C916=TRUE)*F916*5/7)+((C923=TRUE)*(F923-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904)</f>
        <v/>
      </c>
      <c r="L904">
        <f>K904*(MIN(Inputs!$B$22+((C921=TRUE)*(F921-Calc!F22)),(Inputs!$B$23+0+(IF(ArtifactsInput!$M$15,CHOOSE(ArtifactsInput!$N$15+1,25,30,35,40,45,50)/100*(Inputs!$B$11-Inputs!$B$11),0))))/100+(Inputs!$B$23+0+(IF(ArtifactsInput!$M$15,CHOOSE(ArtifactsInput!$N$15+1,25,30,35,40,45,50)/100*(Inputs!$B$11-Inputs!$B$11),0)))/100)/2</f>
        <v/>
      </c>
      <c r="M904">
        <f>L904*(1+(Inputs!$B$10+((C924=TRUE)*(F924-Calc!F25))+B935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04">
        <f>L904*(1-MIN((Inputs!$B$9+((C918=TRUE)*(F918-Calc!F19))+B930+(ArtifactsInput!$M$24-ArtifactsInput!$M$24)*CHOOSE(ArtifactsInput!$N$24+1,10,12,14,16,18,20)+(IF(AND(Inputs!$B$38&lt;&gt;"pvp",Inputs!$B$43=0),1,IF(IF(Inputs!$B$38="pvp",15,Inputs!$B$43)-(B937)&lt;=0,1,MAX(0,IF(Inputs!$B$38="pvp",15,Inputs!$B$43)-MAX(5,B937))/(IF(Inputs!$B$38="pvp",15,Inputs!$B$43)-(B937))))*IF(AND(ArtifactsInput!$M$42,((Inputs!$B$9+((C918=TRUE)*(F918-Calc!F19))+B930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904*(MIN((Inputs!$B$9+((C918=TRUE)*(F918-Calc!F19))+B930+(ArtifactsInput!$M$24-ArtifactsInput!$M$24)*CHOOSE(ArtifactsInput!$N$24+1,10,12,14,16,18,20)+(IF(AND(Inputs!$B$38&lt;&gt;"pvp",Inputs!$B$43=0),1,IF(IF(Inputs!$B$38="pvp",15,Inputs!$B$43)-(B937)&lt;=0,1,MAX(0,IF(Inputs!$B$38="pvp",15,Inputs!$B$43)-MAX(5,B937))/(IF(Inputs!$B$38="pvp",15,Inputs!$B$43)-(B937))))*IF(AND(ArtifactsInput!$M$42,((Inputs!$B$9+((C918=TRUE)*(F918-Calc!F19))+B930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04">
        <f>(1-Summary!$B$11)*T904+Summary!$B$11*V904</f>
        <v/>
      </c>
      <c r="P904">
        <f>IF(B940=0,0,O904/B940)</f>
        <v/>
      </c>
      <c r="Q904">
        <f>IFERROR(1/(IF(Inputs!$B$38="pvp",15,MAX(0.1,Skills!D5-IF(TRUE=TRUE,Inputs!$B$32,0)))*(1-IF(AND(ArtifactsInput!$M$27,Inputs!$B$4="Chapter Hunt"),CHOOSE(ArtifactsInput!$N$27+1,20,24,28,32,36,40),0)/100)),0)</f>
        <v/>
      </c>
      <c r="R904">
        <f>IF(AND(Inputs!$B$38&lt;&gt;"pvp",Inputs!$B$43&gt;0),IF(MAX(0,Inputs!$B$43-B937)&lt;=0,0,(INT(MAX(0,Inputs!$B$43-B937)/(IF(Inputs!$B$38="pvp",15,MAX(0.1,Skills!D5-IF(TRUE=TRUE,Inputs!$B$32,0)))*(1-IF(AND(ArtifactsInput!$M$27,Inputs!$B$4="Chapter Hunt"),CHOOSE(ArtifactsInput!$N$27+1,20,24,28,32,36,40),0)/100)))+1)),0)</f>
        <v/>
      </c>
      <c r="S904">
        <f>IFERROR(O904/N904,0)</f>
        <v/>
      </c>
      <c r="T904">
        <f>IF(C904,(H904*N904*IF(AND(Inputs!$B$38&lt;&gt;"pvp",Inputs!$B$43&gt;0),((Skills!G5*((R904-1)*IF(Skills!H5&gt;0,INT(IF(Inputs!$B$3&gt;=104,MIN(35,20*(1+Inputs!$B$34/100)),20)/Skills!H5+0.000000001),1)+IF(Skills!H5&gt;0,INT(MIN(IF(Inputs!$B$3&gt;=104,MIN(35,20*(1+Inputs!$B$34/100)),20),MAX(0,MAX(0,Inputs!$B$43-B937)-((R904-1)*(IF(Inputs!$B$38="pvp",15,MAX(0.1,Skills!D5-IF(TRUE=TRUE,Inputs!$B$32,0)))*(1-IF(AND(ArtifactsInput!$M$27,Inputs!$B$4="Chapter Hunt"),CHOOSE(ArtifactsInput!$N$27+1,20,24,28,32,36,40),0)/100)))))/Skills!H5+0.000000001),1)))/Inputs!$B$43),G904*Q904))*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Hunt"),CHOOSE(ArtifactsInput!$N$35+1,15,18,21,24,27,30)*(1-EXP(-(0.2*B932)*5)),0)+IF(AND(ArtifactsInput!$M$22,Inputs!$B$4&lt;&gt;"Chapter Hunt"),CHOOSE(ArtifactsInput!$N$22+1,10,12,14,16,18,20)*((0*(((0.15*B932*5))^0/1)+1*(((0.15*B932*5))^1/1)+2*(((0.15*B932*5))^2/2)+3*(((0.15*B932*5))^3/6)+4*(((0.15*B932*5))^4/24)+5*(((0.15*B932*5))^5/120))/((((0.15*B932*5))^0/1)+(((0.15*B932*5))^1/1)+(((0.15*B932*5))^2/2)+(((0.15*B932*5))^3/6)+(((0.15*B932*5))^4/24)+(((0.15*B932*5))^5/120))),0))+IF(Inputs!$B$3&gt;=54,9*(C902=TRUE)*MIN(1,8*(1+Inputs!$B$34/100)*Q902)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904*(1-MIN(100,(Inputs!$B$9+((C918=TRUE)*(F918-Calc!F19))+B930+(ArtifactsInput!$M$24-ArtifactsInput!$M$24)*CHOOSE(ArtifactsInput!$N$24+1,10,12,14,16,18,20)+(IF(AND(Inputs!$B$38&lt;&gt;"pvp",Inputs!$B$43=0),1,IF(IF(Inputs!$B$38="pvp",15,Inputs!$B$43)-(B937)&lt;=0,1,MAX(0,IF(Inputs!$B$38="pvp",15,Inputs!$B$43)-MAX(5,B937))/(IF(Inputs!$B$38="pvp",15,Inputs!$B$43)-(B937))))*IF(AND(ArtifactsInput!$M$42,((Inputs!$B$9+((C918=TRUE)*(F918-Calc!F19))+B930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904*(MIN(100,(Inputs!$B$9+((C918=TRUE)*(F918-Calc!F19))+B930+(ArtifactsInput!$M$24-ArtifactsInput!$M$24)*CHOOSE(ArtifactsInput!$N$24+1,10,12,14,16,18,20)+(IF(AND(Inputs!$B$38&lt;&gt;"pvp",Inputs!$B$43=0),1,IF(IF(Inputs!$B$38="pvp",15,Inputs!$B$43)-(B937)&lt;=0,1,MAX(0,IF(Inputs!$B$38="pvp",15,Inputs!$B$43)-MAX(5,B937))/(IF(Inputs!$B$38="pvp",15,Inputs!$B$43)-(B937))))*IF(AND(ArtifactsInput!$M$42,((Inputs!$B$9+((C918=TRUE)*(F918-Calc!F19))+B930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904*(1-MIN(100,(Inputs!$B$9+((C918=TRUE)*(F918-Calc!F19))+B930+(ArtifactsInput!$M$24-ArtifactsInput!$M$24)*CHOOSE(ArtifactsInput!$N$24+1,10,12,14,16,18,20)+(IF(AND(Inputs!$B$38&lt;&gt;"pvp",Inputs!$B$43=0),1,IF(IF(Inputs!$B$38="pvp",15,Inputs!$B$43)-(B937)&lt;=0,1,MAX(0,IF(Inputs!$B$38="pvp",15,Inputs!$B$43)-MAX(5,B937))/(IF(Inputs!$B$38="pvp",15,Inputs!$B$43)-(B937))))*IF(AND(ArtifactsInput!$M$42,((Inputs!$B$9+((C918=TRUE)*(F918-Calc!F19))+B930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904*(MIN(100,(Inputs!$B$9+((C918=TRUE)*(F918-Calc!F19))+B930+(ArtifactsInput!$M$24-ArtifactsInput!$M$24)*CHOOSE(ArtifactsInput!$N$24+1,10,12,14,16,18,20)+(IF(AND(Inputs!$B$38&lt;&gt;"pvp",Inputs!$B$43=0),1,IF(IF(Inputs!$B$38="pvp",15,Inputs!$B$43)-(B937)&lt;=0,1,MAX(0,IF(Inputs!$B$38="pvp",15,Inputs!$B$43)-MAX(5,B937))/(IF(Inputs!$B$38="pvp",15,Inputs!$B$43)-(B937))))*IF(AND(ArtifactsInput!$M$42,((Inputs!$B$9+((C918=TRUE)*(F918-Calc!F19))+B930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904">
        <f>IF(C904,(H904*N904*IF(AND(Inputs!$B$38&lt;&gt;"pvp",Inputs!$B$43&gt;0),((Skills!G5*((R904-1)*IF(Skills!H5&gt;0,INT(IF(Inputs!$B$3&gt;=104,MIN(35,20*(1+Inputs!$B$34/100)),20)/Skills!H5+0.000000001),1)+IF(Skills!H5&gt;0,INT(MIN(IF(Inputs!$B$3&gt;=104,MIN(35,20*(1+Inputs!$B$34/100)),20),MAX(0,MAX(0,Inputs!$B$43-B937)-((R904-1)*(IF(Inputs!$B$38="pvp",15,MAX(0.1,Skills!D5-IF(TRUE=TRUE,Inputs!$B$32,0)))*(1-IF(AND(ArtifactsInput!$M$27,Inputs!$B$4="Chapter Hunt"),CHOOSE(ArtifactsInput!$N$27+1,20,24,28,32,36,40),0)/100)))))/Skills!H5+0.000000001),1)))/Inputs!$B$43),G904*Q904))*IF(Inputs!$B$38="pvp",1,(1+(Inputs!$B$21+Skills!Q5+(IF(ArtifactsInput!$M$33,CHOOSE(ArtifactsInput!$N$33+1,30,36,42,48,54,60),0))+(IF(AND(ArtifactsInput!$M$35,Inputs!$B$4&lt;&gt;"Chapter Hunt"),CHOOSE(ArtifactsInput!$N$35+1,15,18,21,24,27,30)*(1-EXP(-(0.2*B932)*5)),0)+IF(AND(ArtifactsInput!$M$22,Inputs!$B$4&lt;&gt;"Chapter Hunt"),CHOOSE(ArtifactsInput!$N$22+1,10,12,14,16,18,20)*((0*(((0.15*B932*5))^0/1)+1*(((0.15*B932*5))^1/1)+2*(((0.15*B932*5))^2/2)+3*(((0.15*B932*5))^3/6)+4*(((0.15*B932*5))^4/24)+5*(((0.15*B932*5))^5/120))/((((0.15*B932*5))^0/1)+(((0.15*B932*5))^1/1)+(((0.15*B932*5))^2/2)+(((0.15*B932*5))^3/6)+(((0.15*B932*5))^4/24)+(((0.15*B932*5))^5/120))),0))+IF(Inputs!$B$3&gt;=54,9*(C902=TRUE)*MIN(1,8*(1+Inputs!$B$34/100)*Q902),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05">
      <c r="A905">
        <f>Skills!A6</f>
        <v/>
      </c>
      <c r="B905">
        <f>Skills!B6</f>
        <v/>
      </c>
      <c r="C905">
        <f>Inputs!$B$3&gt;=66</f>
        <v/>
      </c>
      <c r="D905">
        <f>IF(Skills!C6=1,60+Inputs!$B$25+Inputs!$B$29,IF(Skills!C6=2,90+Inputs!$B$26+Inputs!$B$29,IF(Skills!C6=3,120+(Inputs!$B$27+1)+Inputs!$B$29,MAX(0,(Inputs!$B$3-100)*3)+Inputs!$B$28+Inputs!$B$29)))</f>
        <v/>
      </c>
      <c r="E905">
        <f>INDEX(FactorTable!$B$2:$Y$301, MATCH(ROUND(MIN(300,MAX(1,D905)),0), FactorTable!$A$2:$A$301,0), Skills!M6+1)</f>
        <v/>
      </c>
      <c r="F905">
        <f>IF(Skills!N6=TRUE,(Skills!L6/10)*(E905/1000),Skills!L6/10)+Skills!O6</f>
        <v/>
      </c>
      <c r="G905">
        <f>Skills!G6*IF(Skills!H6&gt;0,INT(IF(Inputs!$B$38="pvp",MIN(Skills!I6,15),Skills!I6)/Skills!H6+0.000000001),1)</f>
        <v/>
      </c>
      <c r="H905">
        <f>1-(1-Skills!J6/100)^Skills!K6</f>
        <v/>
      </c>
      <c r="I905" t="inlineStr">
        <is>
          <t>1</t>
        </is>
      </c>
      <c r="J905">
        <f>((Inputs!$B$6*(1+Inputs!$B$7/100))+(((Inputs!$B$12*(1+Inputs!$B$13/100))-(Inputs!$B$12*(1+Inputs!$B$13/100)))+0.25*(Inputs!$B$14-Inputs!$B$14))*(1+Inputs!$B$7/100))*(F905/100)</f>
        <v/>
      </c>
      <c r="K905">
        <f>J905*(1+((Inputs!$B$12*(1+Inputs!$B$13/100))*0.01+Inputs!$B$14*0.0025)/100)*(1+Inputs!$B$15/100)*(1+Inputs!$B$16/100)*(5000/(6000+Inputs!$B$42*(1-(100*(1-(1-(Inputs!$B$19+0)/100)*(1-CHOOSE(ArtifactsInput!$N$40+1,5,6,7,8,9,10)/100)^(ArtifactsInput!$M$40-ArtifactsInput!$M$40)))/100)))*(1+(Inputs!$B$24+((C925=TRUE)*(F925-Calc!F26))+B936)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+2.0*IF(C914=TRUE,F914,0)/100)*(1+(IF(Skills!A6="EIGHT_LEGS_EASTON",Inputs!$B$17+((C922=TRUE)*(F922-Calc!F23))+((C926=TRUE)*(F926-Calc!F27))+((IF(AND(Inputs!$B$38&lt;&gt;"pvp",Inputs!$B$43=0),1,IF(IF(Inputs!$B$38="pvp",15,Inputs!$B$43)-(B937)&lt;=0,1,MAX(0,IF(Inputs!$B$38="pvp",15,Inputs!$B$43)-MAX(5,B937))/(IF(Inputs!$B$38="pvp",15,Inputs!$B$43)-(B937))))*(IF(AND(ArtifactsInput!$M$42,((Inputs!$B$9+((C918=TRUE)*(F918-Calc!F19))+B930+(ArtifactsInput!$M$24-ArtifactsInput!$M$24)*CHOOSE(ArtifactsInput!$N$24+1,10,12,14,16,18,20)+IF(ArtifactsInput!$M$10,CHOOSE(ArtifactsInput!$N$10+1,15,18,21,24,27,30)*(IF(Inputs!$B$38="pvp",MIN(15,15)/15,IF(AND(Inputs!$B$38&lt;&gt;"pvp",Inputs!$B$43&gt;0),MIN(15,Inputs!$B$43)/(Inputs!$B$43),0))),0)))&gt;=100),MIN(100,((Inputs!$B$9+((C918=TRUE)*(F918-Calc!F19))+B930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937)&lt;=0,1,MAX(0,IF(Inputs!$B$38="pvp",15,Inputs!$B$43)-MAX(5,B937))/(IF(Inputs!$B$38="pvp",15,Inputs!$B$43)-(B937))))*IF(AND(ArtifactsInput!$M$42,((Inputs!$B$9+((C918=TRUE)*(F918-Calc!F19))+B930+(ArtifactsInput!$M$24-ArtifactsInput!$M$24)*CHOOSE(ArtifactsInput!$N$24+1,10,12,14,16,18,20)+IF(ArtifactsInput!$M$10,CHOOSE(ArtifactsInput!$N$10+1,15,18,21,24,27,30)*(IF(Inputs!$B$38="pvp",MIN(15,15)/15,IF(AND(Inputs!$B$38&lt;&gt;"pvp",Inputs!$B$43&gt;0),MIN(15,Inputs!$B$43)/(Inputs!$B$43),0))),0)))&gt;=100),CHOOSE(ArtifactsInput!$N$42+1,40,48,56,64,72,80),0))))/100)*((1+(((C916=TRUE)*F916*5/7)+((C923=TRUE)*(F923-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905)</f>
        <v/>
      </c>
      <c r="L905">
        <f>K905*(MIN(Inputs!$B$22+((C921=TRUE)*(F921-Calc!F22)),(Inputs!$B$23+0+(IF(ArtifactsInput!$M$15,CHOOSE(ArtifactsInput!$N$15+1,25,30,35,40,45,50)/100*(Inputs!$B$11-Inputs!$B$11),0))))/100+(Inputs!$B$23+0+(IF(ArtifactsInput!$M$15,CHOOSE(ArtifactsInput!$N$15+1,25,30,35,40,45,50)/100*(Inputs!$B$11-Inputs!$B$11),0)))/100)/2</f>
        <v/>
      </c>
      <c r="M905">
        <f>L905*(1+(Inputs!$B$10+((C924=TRUE)*(F924-Calc!F25))+B935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05">
        <f>L905*(1-MIN((Inputs!$B$9+((C918=TRUE)*(F918-Calc!F19))+B930+(ArtifactsInput!$M$24-ArtifactsInput!$M$24)*CHOOSE(ArtifactsInput!$N$24+1,10,12,14,16,18,20)+(IF(AND(Inputs!$B$38&lt;&gt;"pvp",Inputs!$B$43=0),1,IF(IF(Inputs!$B$38="pvp",15,Inputs!$B$43)-(B937)&lt;=0,1,MAX(0,IF(Inputs!$B$38="pvp",15,Inputs!$B$43)-MAX(5,B937))/(IF(Inputs!$B$38="pvp",15,Inputs!$B$43)-(B937))))*IF(AND(ArtifactsInput!$M$42,((Inputs!$B$9+((C918=TRUE)*(F918-Calc!F19))+B930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905*(MIN((Inputs!$B$9+((C918=TRUE)*(F918-Calc!F19))+B930+(ArtifactsInput!$M$24-ArtifactsInput!$M$24)*CHOOSE(ArtifactsInput!$N$24+1,10,12,14,16,18,20)+(IF(AND(Inputs!$B$38&lt;&gt;"pvp",Inputs!$B$43=0),1,IF(IF(Inputs!$B$38="pvp",15,Inputs!$B$43)-(B937)&lt;=0,1,MAX(0,IF(Inputs!$B$38="pvp",15,Inputs!$B$43)-MAX(5,B937))/(IF(Inputs!$B$38="pvp",15,Inputs!$B$43)-(B937))))*IF(AND(ArtifactsInput!$M$42,((Inputs!$B$9+((C918=TRUE)*(F918-Calc!F19))+B930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05">
        <f>(1-Summary!$B$11)*T905+Summary!$B$11*V905</f>
        <v/>
      </c>
      <c r="P905">
        <f>IF(B940=0,0,O905/B940)</f>
        <v/>
      </c>
      <c r="Q905">
        <f>IFERROR(1/(IF(Inputs!$B$38="pvp",15,MAX(0.1,Skills!D6-IF(TRUE=TRUE,Inputs!$B$32,0)))*(1-IF(AND(ArtifactsInput!$M$27,Inputs!$B$4="Chapter Hunt"),CHOOSE(ArtifactsInput!$N$27+1,20,24,28,32,36,40),0)/100)),0)</f>
        <v/>
      </c>
      <c r="R905">
        <f>IF(AND(Inputs!$B$38&lt;&gt;"pvp",Inputs!$B$43&gt;0),IF(MAX(0,Inputs!$B$43-B937)&lt;=0,0,(INT(MAX(0,Inputs!$B$43-B937)/(IF(Inputs!$B$38="pvp",15,MAX(0.1,Skills!D6-IF(TRUE=TRUE,Inputs!$B$32,0)))*(1-IF(AND(ArtifactsInput!$M$27,Inputs!$B$4="Chapter Hunt"),CHOOSE(ArtifactsInput!$N$27+1,20,24,28,32,36,40),0)/100)))+1)),0)</f>
        <v/>
      </c>
      <c r="S905">
        <f>IFERROR(O905/N905,0)</f>
        <v/>
      </c>
      <c r="T905">
        <f>IF(C905,(H905*N905*IF(AND(Inputs!$B$38&lt;&gt;"pvp",Inputs!$B$43&gt;0),((Skills!G6*((R905-1)*IF(Skills!H6&gt;0,INT(Skills!I6/Skills!H6+0.000000001),1)+IF(Skills!H6&gt;0,INT(MIN(Skills!I6,MAX(0,MAX(0,Inputs!$B$43-B937)-((R905-1)*(IF(Inputs!$B$38="pvp",15,MAX(0.1,Skills!D6-IF(TRUE=TRUE,Inputs!$B$32,0)))*(1-IF(AND(ArtifactsInput!$M$27,Inputs!$B$4="Chapter Hunt"),CHOOSE(ArtifactsInput!$N$27+1,20,24,28,32,36,40),0)/100)))))/Skills!H6+0.000000001),1)))/Inputs!$B$43),G905*Q905))*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Hunt"),CHOOSE(ArtifactsInput!$N$35+1,15,18,21,24,27,30)*(1-EXP(-(0.2*B932)*5)),0)+IF(AND(ArtifactsInput!$M$22,Inputs!$B$4&lt;&gt;"Chapter Hunt"),CHOOSE(ArtifactsInput!$N$22+1,10,12,14,16,18,20)*((0*(((0.15*B932*5))^0/1)+1*(((0.15*B932*5))^1/1)+2*(((0.15*B932*5))^2/2)+3*(((0.15*B932*5))^3/6)+4*(((0.15*B932*5))^4/24)+5*(((0.15*B932*5))^5/120))/((((0.15*B932*5))^0/1)+(((0.15*B932*5))^1/1)+(((0.15*B932*5))^2/2)+(((0.15*B932*5))^3/6)+(((0.15*B932*5))^4/24)+(((0.15*B932*5))^5/120))),0))+IF(Inputs!$B$3&gt;=54,9*(C902=TRUE)*MIN(1,8*(1+Inputs!$B$34/100)*Q902)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905*(1-MIN(100,(Inputs!$B$9+((C918=TRUE)*(F918-Calc!F19))+B930+(ArtifactsInput!$M$24-ArtifactsInput!$M$24)*CHOOSE(ArtifactsInput!$N$24+1,10,12,14,16,18,20)+(IF(AND(Inputs!$B$38&lt;&gt;"pvp",Inputs!$B$43=0),1,IF(IF(Inputs!$B$38="pvp",15,Inputs!$B$43)-(B937)&lt;=0,1,MAX(0,IF(Inputs!$B$38="pvp",15,Inputs!$B$43)-MAX(5,B937))/(IF(Inputs!$B$38="pvp",15,Inputs!$B$43)-(B937))))*IF(AND(ArtifactsInput!$M$42,((Inputs!$B$9+((C918=TRUE)*(F918-Calc!F19))+B930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905*(MIN(100,(Inputs!$B$9+((C918=TRUE)*(F918-Calc!F19))+B930+(ArtifactsInput!$M$24-ArtifactsInput!$M$24)*CHOOSE(ArtifactsInput!$N$24+1,10,12,14,16,18,20)+(IF(AND(Inputs!$B$38&lt;&gt;"pvp",Inputs!$B$43=0),1,IF(IF(Inputs!$B$38="pvp",15,Inputs!$B$43)-(B937)&lt;=0,1,MAX(0,IF(Inputs!$B$38="pvp",15,Inputs!$B$43)-MAX(5,B937))/(IF(Inputs!$B$38="pvp",15,Inputs!$B$43)-(B937))))*IF(AND(ArtifactsInput!$M$42,((Inputs!$B$9+((C918=TRUE)*(F918-Calc!F19))+B930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905*(1-MIN(100,(Inputs!$B$9+((C918=TRUE)*(F918-Calc!F19))+B930+(ArtifactsInput!$M$24-ArtifactsInput!$M$24)*CHOOSE(ArtifactsInput!$N$24+1,10,12,14,16,18,20)+(IF(AND(Inputs!$B$38&lt;&gt;"pvp",Inputs!$B$43=0),1,IF(IF(Inputs!$B$38="pvp",15,Inputs!$B$43)-(B937)&lt;=0,1,MAX(0,IF(Inputs!$B$38="pvp",15,Inputs!$B$43)-MAX(5,B937))/(IF(Inputs!$B$38="pvp",15,Inputs!$B$43)-(B937))))*IF(AND(ArtifactsInput!$M$42,((Inputs!$B$9+((C918=TRUE)*(F918-Calc!F19))+B930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905*(MIN(100,(Inputs!$B$9+((C918=TRUE)*(F918-Calc!F19))+B930+(ArtifactsInput!$M$24-ArtifactsInput!$M$24)*CHOOSE(ArtifactsInput!$N$24+1,10,12,14,16,18,20)+(IF(AND(Inputs!$B$38&lt;&gt;"pvp",Inputs!$B$43=0),1,IF(IF(Inputs!$B$38="pvp",15,Inputs!$B$43)-(B937)&lt;=0,1,MAX(0,IF(Inputs!$B$38="pvp",15,Inputs!$B$43)-MAX(5,B937))/(IF(Inputs!$B$38="pvp",15,Inputs!$B$43)-(B937))))*IF(AND(ArtifactsInput!$M$42,((Inputs!$B$9+((C918=TRUE)*(F918-Calc!F19))+B930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905">
        <f>IF(C905,(H905*N905*IF(AND(Inputs!$B$38&lt;&gt;"pvp",Inputs!$B$43&gt;0),((Skills!G6*((R905-1)*IF(Skills!H6&gt;0,INT(Skills!I6/Skills!H6+0.000000001),1)+IF(Skills!H6&gt;0,INT(MIN(Skills!I6,MAX(0,MAX(0,Inputs!$B$43-B937)-((R905-1)*(IF(Inputs!$B$38="pvp",15,MAX(0.1,Skills!D6-IF(TRUE=TRUE,Inputs!$B$32,0)))*(1-IF(AND(ArtifactsInput!$M$27,Inputs!$B$4="Chapter Hunt"),CHOOSE(ArtifactsInput!$N$27+1,20,24,28,32,36,40),0)/100)))))/Skills!H6+0.000000001),1)))/Inputs!$B$43),G905*Q905))*IF(Inputs!$B$38="pvp",1,(1+(Inputs!$B$21+Skills!Q6+(IF(ArtifactsInput!$M$33,CHOOSE(ArtifactsInput!$N$33+1,30,36,42,48,54,60),0))+(IF(AND(ArtifactsInput!$M$35,Inputs!$B$4&lt;&gt;"Chapter Hunt"),CHOOSE(ArtifactsInput!$N$35+1,15,18,21,24,27,30)*(1-EXP(-(0.2*B932)*5)),0)+IF(AND(ArtifactsInput!$M$22,Inputs!$B$4&lt;&gt;"Chapter Hunt"),CHOOSE(ArtifactsInput!$N$22+1,10,12,14,16,18,20)*((0*(((0.15*B932*5))^0/1)+1*(((0.15*B932*5))^1/1)+2*(((0.15*B932*5))^2/2)+3*(((0.15*B932*5))^3/6)+4*(((0.15*B932*5))^4/24)+5*(((0.15*B932*5))^5/120))/((((0.15*B932*5))^0/1)+(((0.15*B932*5))^1/1)+(((0.15*B932*5))^2/2)+(((0.15*B932*5))^3/6)+(((0.15*B932*5))^4/24)+(((0.15*B932*5))^5/120))),0))+IF(Inputs!$B$3&gt;=54,9*(C902=TRUE)*MIN(1,8*(1+Inputs!$B$34/100)*Q902),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06">
      <c r="A906">
        <f>Skills!A7</f>
        <v/>
      </c>
      <c r="B906">
        <f>Skills!B7</f>
        <v/>
      </c>
      <c r="C906">
        <f>Inputs!$B$3&gt;=63</f>
        <v/>
      </c>
      <c r="D906">
        <f>IF(Skills!C7=1,60+Inputs!$B$25+Inputs!$B$29,IF(Skills!C7=2,90+Inputs!$B$26+Inputs!$B$29,IF(Skills!C7=3,120+(Inputs!$B$27+1)+Inputs!$B$29,MAX(0,(Inputs!$B$3-100)*3)+Inputs!$B$28+Inputs!$B$29)))</f>
        <v/>
      </c>
      <c r="E906">
        <f>INDEX(FactorTable!$B$2:$Y$301, MATCH(ROUND(MIN(300,MAX(1,D906)),0), FactorTable!$A$2:$A$301,0), Skills!M7+1)</f>
        <v/>
      </c>
      <c r="F906">
        <f>IF(Skills!N7=TRUE,(Skills!L7/10)*(E906/1000),Skills!L7/10)+Skills!O7</f>
        <v/>
      </c>
      <c r="G906">
        <f>Skills!G7*IF(Skills!H7&gt;0,INT(IF(Inputs!$B$38="pvp",MIN(Skills!I7,15),Skills!I7)/Skills!H7+0.000000001),1)</f>
        <v/>
      </c>
      <c r="H906">
        <f>1-(1-Skills!J7/100)^Skills!K7</f>
        <v/>
      </c>
      <c r="I906" t="inlineStr">
        <is>
          <t>1</t>
        </is>
      </c>
      <c r="J906">
        <f>((Inputs!$B$6*(1+Inputs!$B$7/100))+(((Inputs!$B$12*(1+Inputs!$B$13/100))-(Inputs!$B$12*(1+Inputs!$B$13/100)))+0.25*(Inputs!$B$14-Inputs!$B$14))*(1+Inputs!$B$7/100))*(F906/100)</f>
        <v/>
      </c>
      <c r="K906">
        <f>J906*(1+((Inputs!$B$12*(1+Inputs!$B$13/100))*0.01+Inputs!$B$14*0.0025)/100)*(1+Inputs!$B$15/100)*(1+Inputs!$B$16/100)*(5000/(6000+Inputs!$B$42*(1-(100*(1-(1-(Inputs!$B$19+0)/100)*(1-CHOOSE(ArtifactsInput!$N$40+1,5,6,7,8,9,10)/100)^(ArtifactsInput!$M$40-ArtifactsInput!$M$40)))/100)))*(1+(Inputs!$B$24+((C925=TRUE)*(F925-Calc!F26))+B936)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914=TRUE,F914,0)/100)*(1+(IF(Skills!A7="EIGHT_LEGS_EASTON",Inputs!$B$17+((C922=TRUE)*(F922-Calc!F23))+((C926=TRUE)*(F926-Calc!F27))+((IF(AND(Inputs!$B$38&lt;&gt;"pvp",Inputs!$B$43=0),1,IF(IF(Inputs!$B$38="pvp",15,Inputs!$B$43)-(B937)&lt;=0,1,MAX(0,IF(Inputs!$B$38="pvp",15,Inputs!$B$43)-MAX(5,B937))/(IF(Inputs!$B$38="pvp",15,Inputs!$B$43)-(B937))))*(IF(AND(ArtifactsInput!$M$42,((Inputs!$B$9+((C918=TRUE)*(F918-Calc!F19))+B930+(ArtifactsInput!$M$24-ArtifactsInput!$M$24)*CHOOSE(ArtifactsInput!$N$24+1,10,12,14,16,18,20)+IF(ArtifactsInput!$M$10,CHOOSE(ArtifactsInput!$N$10+1,15,18,21,24,27,30)*(IF(Inputs!$B$38="pvp",MIN(15,15)/15,IF(AND(Inputs!$B$38&lt;&gt;"pvp",Inputs!$B$43&gt;0),MIN(15,Inputs!$B$43)/(Inputs!$B$43),0))),0)))&gt;=100),MIN(100,((Inputs!$B$9+((C918=TRUE)*(F918-Calc!F19))+B930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937)&lt;=0,1,MAX(0,IF(Inputs!$B$38="pvp",15,Inputs!$B$43)-MAX(5,B937))/(IF(Inputs!$B$38="pvp",15,Inputs!$B$43)-(B937))))*IF(AND(ArtifactsInput!$M$42,((Inputs!$B$9+((C918=TRUE)*(F918-Calc!F19))+B930+(ArtifactsInput!$M$24-ArtifactsInput!$M$24)*CHOOSE(ArtifactsInput!$N$24+1,10,12,14,16,18,20)+IF(ArtifactsInput!$M$10,CHOOSE(ArtifactsInput!$N$10+1,15,18,21,24,27,30)*(IF(Inputs!$B$38="pvp",MIN(15,15)/15,IF(AND(Inputs!$B$38&lt;&gt;"pvp",Inputs!$B$43&gt;0),MIN(15,Inputs!$B$43)/(Inputs!$B$43),0))),0)))&gt;=100),CHOOSE(ArtifactsInput!$N$42+1,40,48,56,64,72,80),0))))/100)*((1+(((C916=TRUE)*F916*5/7)+((C923=TRUE)*(F923-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906)</f>
        <v/>
      </c>
      <c r="L906">
        <f>K906*(MIN(Inputs!$B$22+((C921=TRUE)*(F921-Calc!F22)),(Inputs!$B$23+0+(IF(ArtifactsInput!$M$15,CHOOSE(ArtifactsInput!$N$15+1,25,30,35,40,45,50)/100*(Inputs!$B$11-Inputs!$B$11),0))))/100+(Inputs!$B$23+0+(IF(ArtifactsInput!$M$15,CHOOSE(ArtifactsInput!$N$15+1,25,30,35,40,45,50)/100*(Inputs!$B$11-Inputs!$B$11),0)))/100)/2</f>
        <v/>
      </c>
      <c r="M906">
        <f>L906*(1+(Inputs!$B$10+((C924=TRUE)*(F924-Calc!F25))+B935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06">
        <f>L906*(1-MIN((Inputs!$B$9+((C918=TRUE)*(F918-Calc!F19))+B930+(ArtifactsInput!$M$24-ArtifactsInput!$M$24)*CHOOSE(ArtifactsInput!$N$24+1,10,12,14,16,18,20)+(IF(AND(Inputs!$B$38&lt;&gt;"pvp",Inputs!$B$43=0),1,IF(IF(Inputs!$B$38="pvp",15,Inputs!$B$43)-(B937)&lt;=0,1,MAX(0,IF(Inputs!$B$38="pvp",15,Inputs!$B$43)-MAX(5,B937))/(IF(Inputs!$B$38="pvp",15,Inputs!$B$43)-(B937))))*IF(AND(ArtifactsInput!$M$42,((Inputs!$B$9+((C918=TRUE)*(F918-Calc!F19))+B930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906*(MIN((Inputs!$B$9+((C918=TRUE)*(F918-Calc!F19))+B930+(ArtifactsInput!$M$24-ArtifactsInput!$M$24)*CHOOSE(ArtifactsInput!$N$24+1,10,12,14,16,18,20)+(IF(AND(Inputs!$B$38&lt;&gt;"pvp",Inputs!$B$43=0),1,IF(IF(Inputs!$B$38="pvp",15,Inputs!$B$43)-(B937)&lt;=0,1,MAX(0,IF(Inputs!$B$38="pvp",15,Inputs!$B$43)-MAX(5,B937))/(IF(Inputs!$B$38="pvp",15,Inputs!$B$43)-(B937))))*IF(AND(ArtifactsInput!$M$42,((Inputs!$B$9+((C918=TRUE)*(F918-Calc!F19))+B930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06">
        <f>(1-Summary!$B$11)*T906+Summary!$B$11*V906</f>
        <v/>
      </c>
      <c r="P906">
        <f>IF(B940=0,0,O906/B940)</f>
        <v/>
      </c>
      <c r="Q906">
        <f>IFERROR(1/(IF(Inputs!$B$38="pvp",15,MAX(0.1,Skills!D7-IF(TRUE=TRUE,Inputs!$B$32,0)))*(1-IF(AND(ArtifactsInput!$M$27,Inputs!$B$4="Chapter Hunt"),CHOOSE(ArtifactsInput!$N$27+1,20,24,28,32,36,40),0)/100)),0)</f>
        <v/>
      </c>
      <c r="R906">
        <f>IF(AND(Inputs!$B$38&lt;&gt;"pvp",Inputs!$B$43&gt;0),IF(MAX(0,Inputs!$B$43-B937)&lt;=0,0,(INT(MAX(0,Inputs!$B$43-B937)/(IF(Inputs!$B$38="pvp",15,MAX(0.1,Skills!D7-IF(TRUE=TRUE,Inputs!$B$32,0)))*(1-IF(AND(ArtifactsInput!$M$27,Inputs!$B$4="Chapter Hunt"),CHOOSE(ArtifactsInput!$N$27+1,20,24,28,32,36,40),0)/100)))+1)),0)</f>
        <v/>
      </c>
      <c r="S906">
        <f>IFERROR(O906/N906,0)</f>
        <v/>
      </c>
      <c r="T906">
        <f>IF(C906,(H906*N906*IF(AND(Inputs!$B$38&lt;&gt;"pvp",Inputs!$B$43&gt;0),((Skills!G7*((R906-1)*IF(Skills!H7&gt;0,INT(Skills!I7/Skills!H7+0.000000001),1)+IF(Skills!H7&gt;0,INT(MIN(Skills!I7,MAX(0,MAX(0,Inputs!$B$43-B937)-((R906-1)*(IF(Inputs!$B$38="pvp",15,MAX(0.1,Skills!D7-IF(TRUE=TRUE,Inputs!$B$32,0)))*(1-IF(AND(ArtifactsInput!$M$27,Inputs!$B$4="Chapter Hunt"),CHOOSE(ArtifactsInput!$N$27+1,20,24,28,32,36,40),0)/100)))))/Skills!H7+0.000000001),1)))/Inputs!$B$43),G906*Q906))*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Hunt"),CHOOSE(ArtifactsInput!$N$35+1,15,18,21,24,27,30)*(1-EXP(-(0.2*B932)*5)),0)+IF(AND(ArtifactsInput!$M$22,Inputs!$B$4&lt;&gt;"Chapter Hunt"),CHOOSE(ArtifactsInput!$N$22+1,10,12,14,16,18,20)*((0*(((0.15*B932*5))^0/1)+1*(((0.15*B932*5))^1/1)+2*(((0.15*B932*5))^2/2)+3*(((0.15*B932*5))^3/6)+4*(((0.15*B932*5))^4/24)+5*(((0.15*B932*5))^5/120))/((((0.15*B932*5))^0/1)+(((0.15*B932*5))^1/1)+(((0.15*B932*5))^2/2)+(((0.15*B932*5))^3/6)+(((0.15*B932*5))^4/24)+(((0.15*B932*5))^5/120))),0))+IF(Inputs!$B$3&gt;=54,9*(C902=TRUE)*MIN(1,8*(1+Inputs!$B$34/100)*Q902)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906*(1-MIN(100,(Inputs!$B$9+((C918=TRUE)*(F918-Calc!F19))+B930+(ArtifactsInput!$M$24-ArtifactsInput!$M$24)*CHOOSE(ArtifactsInput!$N$24+1,10,12,14,16,18,20)+(IF(AND(Inputs!$B$38&lt;&gt;"pvp",Inputs!$B$43=0),1,IF(IF(Inputs!$B$38="pvp",15,Inputs!$B$43)-(B937)&lt;=0,1,MAX(0,IF(Inputs!$B$38="pvp",15,Inputs!$B$43)-MAX(5,B937))/(IF(Inputs!$B$38="pvp",15,Inputs!$B$43)-(B937))))*IF(AND(ArtifactsInput!$M$42,((Inputs!$B$9+((C918=TRUE)*(F918-Calc!F19))+B930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906*(MIN(100,(Inputs!$B$9+((C918=TRUE)*(F918-Calc!F19))+B930+(ArtifactsInput!$M$24-ArtifactsInput!$M$24)*CHOOSE(ArtifactsInput!$N$24+1,10,12,14,16,18,20)+(IF(AND(Inputs!$B$38&lt;&gt;"pvp",Inputs!$B$43=0),1,IF(IF(Inputs!$B$38="pvp",15,Inputs!$B$43)-(B937)&lt;=0,1,MAX(0,IF(Inputs!$B$38="pvp",15,Inputs!$B$43)-MAX(5,B937))/(IF(Inputs!$B$38="pvp",15,Inputs!$B$43)-(B937))))*IF(AND(ArtifactsInput!$M$42,((Inputs!$B$9+((C918=TRUE)*(F918-Calc!F19))+B930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906*(1-MIN(100,(Inputs!$B$9+((C918=TRUE)*(F918-Calc!F19))+B930+(ArtifactsInput!$M$24-ArtifactsInput!$M$24)*CHOOSE(ArtifactsInput!$N$24+1,10,12,14,16,18,20)+(IF(AND(Inputs!$B$38&lt;&gt;"pvp",Inputs!$B$43=0),1,IF(IF(Inputs!$B$38="pvp",15,Inputs!$B$43)-(B937)&lt;=0,1,MAX(0,IF(Inputs!$B$38="pvp",15,Inputs!$B$43)-MAX(5,B937))/(IF(Inputs!$B$38="pvp",15,Inputs!$B$43)-(B937))))*IF(AND(ArtifactsInput!$M$42,((Inputs!$B$9+((C918=TRUE)*(F918-Calc!F19))+B930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906*(MIN(100,(Inputs!$B$9+((C918=TRUE)*(F918-Calc!F19))+B930+(ArtifactsInput!$M$24-ArtifactsInput!$M$24)*CHOOSE(ArtifactsInput!$N$24+1,10,12,14,16,18,20)+(IF(AND(Inputs!$B$38&lt;&gt;"pvp",Inputs!$B$43=0),1,IF(IF(Inputs!$B$38="pvp",15,Inputs!$B$43)-(B937)&lt;=0,1,MAX(0,IF(Inputs!$B$38="pvp",15,Inputs!$B$43)-MAX(5,B937))/(IF(Inputs!$B$38="pvp",15,Inputs!$B$43)-(B937))))*IF(AND(ArtifactsInput!$M$42,((Inputs!$B$9+((C918=TRUE)*(F918-Calc!F19))+B930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906">
        <f>IF(C906,(H906*N906*IF(AND(Inputs!$B$38&lt;&gt;"pvp",Inputs!$B$43&gt;0),((Skills!G7*((R906-1)*IF(Skills!H7&gt;0,INT(Skills!I7/Skills!H7+0.000000001),1)+IF(Skills!H7&gt;0,INT(MIN(Skills!I7,MAX(0,MAX(0,Inputs!$B$43-B937)-((R906-1)*(IF(Inputs!$B$38="pvp",15,MAX(0.1,Skills!D7-IF(TRUE=TRUE,Inputs!$B$32,0)))*(1-IF(AND(ArtifactsInput!$M$27,Inputs!$B$4="Chapter Hunt"),CHOOSE(ArtifactsInput!$N$27+1,20,24,28,32,36,40),0)/100)))))/Skills!H7+0.000000001),1)))/Inputs!$B$43),G906*Q906))*IF(Inputs!$B$38="pvp",1,(1+(Inputs!$B$21+Skills!Q7+(IF(ArtifactsInput!$M$33,CHOOSE(ArtifactsInput!$N$33+1,30,36,42,48,54,60),0))+(IF(AND(ArtifactsInput!$M$35,Inputs!$B$4&lt;&gt;"Chapter Hunt"),CHOOSE(ArtifactsInput!$N$35+1,15,18,21,24,27,30)*(1-EXP(-(0.2*B932)*5)),0)+IF(AND(ArtifactsInput!$M$22,Inputs!$B$4&lt;&gt;"Chapter Hunt"),CHOOSE(ArtifactsInput!$N$22+1,10,12,14,16,18,20)*((0*(((0.15*B932*5))^0/1)+1*(((0.15*B932*5))^1/1)+2*(((0.15*B932*5))^2/2)+3*(((0.15*B932*5))^3/6)+4*(((0.15*B932*5))^4/24)+5*(((0.15*B932*5))^5/120))/((((0.15*B932*5))^0/1)+(((0.15*B932*5))^1/1)+(((0.15*B932*5))^2/2)+(((0.15*B932*5))^3/6)+(((0.15*B932*5))^4/24)+(((0.15*B932*5))^5/120))),0))+IF(Inputs!$B$3&gt;=54,9*(C902=TRUE)*MIN(1,8*(1+Inputs!$B$34/100)*Q902),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07">
      <c r="A907">
        <f>Skills!A8</f>
        <v/>
      </c>
      <c r="B907">
        <f>Skills!B8</f>
        <v/>
      </c>
      <c r="C907">
        <f>Inputs!$B$3&gt;=103</f>
        <v/>
      </c>
      <c r="D907">
        <f>IF(Skills!C8=1,60+Inputs!$B$25+Inputs!$B$29,IF(Skills!C8=2,90+Inputs!$B$26+Inputs!$B$29,IF(Skills!C8=3,120+(Inputs!$B$27+1)+Inputs!$B$29,MAX(0,(Inputs!$B$3-100)*3)+Inputs!$B$28+Inputs!$B$29)))</f>
        <v/>
      </c>
      <c r="E907">
        <f>INDEX(FactorTable!$B$2:$Y$301, MATCH(ROUND(MIN(300,MAX(1,D907)),0), FactorTable!$A$2:$A$301,0), Skills!M8+1)</f>
        <v/>
      </c>
      <c r="F907">
        <f>IF(Skills!N8=TRUE,(Skills!L8/10)*(E907/1000),Skills!L8/10)+Skills!O8</f>
        <v/>
      </c>
      <c r="G907">
        <f>Skills!G8*IF(Skills!H8&gt;0,INT(IF(Inputs!$B$38="pvp",MIN(Skills!I8,15),Skills!I8)/Skills!H8+0.000000001),1)</f>
        <v/>
      </c>
      <c r="H907">
        <f>1-(1-Skills!J8/100)^Skills!K8</f>
        <v/>
      </c>
      <c r="I907" t="inlineStr">
        <is>
          <t>1</t>
        </is>
      </c>
      <c r="J907">
        <f>((Inputs!$B$6*(1+Inputs!$B$7/100))+(((Inputs!$B$12*(1+Inputs!$B$13/100))-(Inputs!$B$12*(1+Inputs!$B$13/100)))+0.25*(Inputs!$B$14-Inputs!$B$14))*(1+Inputs!$B$7/100))*(F907/100)</f>
        <v/>
      </c>
      <c r="K907">
        <f>J907*(1+((Inputs!$B$12*(1+Inputs!$B$13/100))*0.01+Inputs!$B$14*0.0025)/100)*(1+Inputs!$B$15/100)*(1+Inputs!$B$16/100)*(5000/(6000+Inputs!$B$42*(1-(100*(1-(1-(Inputs!$B$19+0)/100)*(1-CHOOSE(ArtifactsInput!$N$40+1,5,6,7,8,9,10)/100)^(ArtifactsInput!$M$40-ArtifactsInput!$M$40)))/100)))*(1+(Inputs!$B$24+((C925=TRUE)*(F925-Calc!F26))+B936)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IGHT_LEGS_EASTON",Inputs!$B$17+((C922=TRUE)*(F922-Calc!F23))+((C926=TRUE)*(F926-Calc!F27))+((IF(AND(Inputs!$B$38&lt;&gt;"pvp",Inputs!$B$43=0),1,IF(IF(Inputs!$B$38="pvp",15,Inputs!$B$43)-(B937)&lt;=0,1,MAX(0,IF(Inputs!$B$38="pvp",15,Inputs!$B$43)-MAX(5,B937))/(IF(Inputs!$B$38="pvp",15,Inputs!$B$43)-(B937))))*(IF(AND(ArtifactsInput!$M$42,((Inputs!$B$9+((C918=TRUE)*(F918-Calc!F19))+B930+(ArtifactsInput!$M$24-ArtifactsInput!$M$24)*CHOOSE(ArtifactsInput!$N$24+1,10,12,14,16,18,20)+IF(ArtifactsInput!$M$10,CHOOSE(ArtifactsInput!$N$10+1,15,18,21,24,27,30)*(IF(Inputs!$B$38="pvp",MIN(15,15)/15,IF(AND(Inputs!$B$38&lt;&gt;"pvp",Inputs!$B$43&gt;0),MIN(15,Inputs!$B$43)/(Inputs!$B$43),0))),0)))&gt;=100),MIN(100,((Inputs!$B$9+((C918=TRUE)*(F918-Calc!F19))+B930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937)&lt;=0,1,MAX(0,IF(Inputs!$B$38="pvp",15,Inputs!$B$43)-MAX(5,B937))/(IF(Inputs!$B$38="pvp",15,Inputs!$B$43)-(B937))))*IF(AND(ArtifactsInput!$M$42,((Inputs!$B$9+((C918=TRUE)*(F918-Calc!F19))+B930+(ArtifactsInput!$M$24-ArtifactsInput!$M$24)*CHOOSE(ArtifactsInput!$N$24+1,10,12,14,16,18,20)+IF(ArtifactsInput!$M$10,CHOOSE(ArtifactsInput!$N$10+1,15,18,21,24,27,30)*(IF(Inputs!$B$38="pvp",MIN(15,15)/15,IF(AND(Inputs!$B$38&lt;&gt;"pvp",Inputs!$B$43&gt;0),MIN(15,Inputs!$B$43)/(Inputs!$B$43),0))),0)))&gt;=100),CHOOSE(ArtifactsInput!$N$42+1,40,48,56,64,72,80),0))))/100)*((1+(((C916=TRUE)*F916*5/7)+((C923=TRUE)*(F923-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907)</f>
        <v/>
      </c>
      <c r="L907">
        <f>K907*(MIN(Inputs!$B$22+((C921=TRUE)*(F921-Calc!F22)),(Inputs!$B$23+0+(IF(ArtifactsInput!$M$15,CHOOSE(ArtifactsInput!$N$15+1,25,30,35,40,45,50)/100*(Inputs!$B$11-Inputs!$B$11),0))))/100+(Inputs!$B$23+0+(IF(ArtifactsInput!$M$15,CHOOSE(ArtifactsInput!$N$15+1,25,30,35,40,45,50)/100*(Inputs!$B$11-Inputs!$B$11),0)))/100)/2</f>
        <v/>
      </c>
      <c r="M907">
        <f>L907*(1+(Inputs!$B$10+((C924=TRUE)*(F924-Calc!F25))+B935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07">
        <f>L907*(1-MIN((Inputs!$B$9+((C918=TRUE)*(F918-Calc!F19))+B930+(ArtifactsInput!$M$24-ArtifactsInput!$M$24)*CHOOSE(ArtifactsInput!$N$24+1,10,12,14,16,18,20)+(IF(AND(Inputs!$B$38&lt;&gt;"pvp",Inputs!$B$43=0),1,IF(IF(Inputs!$B$38="pvp",15,Inputs!$B$43)-(B937)&lt;=0,1,MAX(0,IF(Inputs!$B$38="pvp",15,Inputs!$B$43)-MAX(5,B937))/(IF(Inputs!$B$38="pvp",15,Inputs!$B$43)-(B937))))*IF(AND(ArtifactsInput!$M$42,((Inputs!$B$9+((C918=TRUE)*(F918-Calc!F19))+B930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907*(MIN((Inputs!$B$9+((C918=TRUE)*(F918-Calc!F19))+B930+(ArtifactsInput!$M$24-ArtifactsInput!$M$24)*CHOOSE(ArtifactsInput!$N$24+1,10,12,14,16,18,20)+(IF(AND(Inputs!$B$38&lt;&gt;"pvp",Inputs!$B$43=0),1,IF(IF(Inputs!$B$38="pvp",15,Inputs!$B$43)-(B937)&lt;=0,1,MAX(0,IF(Inputs!$B$38="pvp",15,Inputs!$B$43)-MAX(5,B937))/(IF(Inputs!$B$38="pvp",15,Inputs!$B$43)-(B937))))*IF(AND(ArtifactsInput!$M$42,((Inputs!$B$9+((C918=TRUE)*(F918-Calc!F19))+B930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07">
        <f>(1-Summary!$B$11)*T907+Summary!$B$11*V907</f>
        <v/>
      </c>
      <c r="P907">
        <f>IF(B940=0,0,O907/B940)</f>
        <v/>
      </c>
      <c r="Q907">
        <f>IFERROR(1/((IF(Inputs!$B$38="pvp",15,MAX(0.1,Skills!D8-IF(TRUE=TRUE,Inputs!$B$32,0)))*(1-IF(AND(ArtifactsInput!$M$27,Inputs!$B$4="Chapter Hunt"),CHOOSE(ArtifactsInput!$N$27+1,20,24,28,32,36,40),0)/100))/B941),0)</f>
        <v/>
      </c>
      <c r="R907">
        <f>IF(AND(Inputs!$B$38&lt;&gt;"pvp",Inputs!$B$43&gt;0),IF(MAX(0,Inputs!$B$43-B937)&lt;=0,0,(INT(MAX(0,Inputs!$B$43-B937)/((IF(Inputs!$B$38="pvp",15,MAX(0.1,Skills!D8-IF(TRUE=TRUE,Inputs!$B$32,0)))*(1-IF(AND(ArtifactsInput!$M$27,Inputs!$B$4="Chapter Hunt"),CHOOSE(ArtifactsInput!$N$27+1,20,24,28,32,36,40),0)/100))/B941))+1)),0)</f>
        <v/>
      </c>
      <c r="S907">
        <f>IFERROR(O907/N907,0)</f>
        <v/>
      </c>
      <c r="T907">
        <f>IF(C907,(H907*N907*IF(AND(Inputs!$B$38&lt;&gt;"pvp",Inputs!$B$43&gt;0),((Skills!G8*((R907-1)*IF(Skills!H8&gt;0,INT(Skills!I8/Skills!H8+0.000000001),1)+IF(Skills!H8&gt;0,INT(MIN(Skills!I8,MAX(0,MAX(0,Inputs!$B$43-B937)-((R907-1)*((IF(Inputs!$B$38="pvp",15,MAX(0.1,Skills!D8-IF(TRUE=TRUE,Inputs!$B$32,0)))*(1-IF(AND(ArtifactsInput!$M$27,Inputs!$B$4="Chapter Hunt"),CHOOSE(ArtifactsInput!$N$27+1,20,24,28,32,36,40),0)/100))/B941))))/Skills!H8+0.000000001),1)))/Inputs!$B$43),G907*Q907))*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Hunt"),CHOOSE(ArtifactsInput!$N$35+1,15,18,21,24,27,30)*(1-EXP(-(0.2*B932)*5)),0)+IF(AND(ArtifactsInput!$M$22,Inputs!$B$4&lt;&gt;"Chapter Hunt"),CHOOSE(ArtifactsInput!$N$22+1,10,12,14,16,18,20)*((0*(((0.15*B932*5))^0/1)+1*(((0.15*B932*5))^1/1)+2*(((0.15*B932*5))^2/2)+3*(((0.15*B932*5))^3/6)+4*(((0.15*B932*5))^4/24)+5*(((0.15*B932*5))^5/120))/((((0.15*B932*5))^0/1)+(((0.15*B932*5))^1/1)+(((0.15*B932*5))^2/2)+(((0.15*B932*5))^3/6)+(((0.15*B932*5))^4/24)+(((0.15*B932*5))^5/120))),0))+IF(Inputs!$B$3&gt;=54,9*(C902=TRUE)*MIN(1,8*(1+Inputs!$B$34/100)*Q902)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907*(1-MIN(100,(Inputs!$B$9+((C918=TRUE)*(F918-Calc!F19))+B930+(ArtifactsInput!$M$24-ArtifactsInput!$M$24)*CHOOSE(ArtifactsInput!$N$24+1,10,12,14,16,18,20)+(IF(AND(Inputs!$B$38&lt;&gt;"pvp",Inputs!$B$43=0),1,IF(IF(Inputs!$B$38="pvp",15,Inputs!$B$43)-(B937)&lt;=0,1,MAX(0,IF(Inputs!$B$38="pvp",15,Inputs!$B$43)-MAX(5,B937))/(IF(Inputs!$B$38="pvp",15,Inputs!$B$43)-(B937))))*IF(AND(ArtifactsInput!$M$42,((Inputs!$B$9+((C918=TRUE)*(F918-Calc!F19))+B930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907*(MIN(100,(Inputs!$B$9+((C918=TRUE)*(F918-Calc!F19))+B930+(ArtifactsInput!$M$24-ArtifactsInput!$M$24)*CHOOSE(ArtifactsInput!$N$24+1,10,12,14,16,18,20)+(IF(AND(Inputs!$B$38&lt;&gt;"pvp",Inputs!$B$43=0),1,IF(IF(Inputs!$B$38="pvp",15,Inputs!$B$43)-(B937)&lt;=0,1,MAX(0,IF(Inputs!$B$38="pvp",15,Inputs!$B$43)-MAX(5,B937))/(IF(Inputs!$B$38="pvp",15,Inputs!$B$43)-(B937))))*IF(AND(ArtifactsInput!$M$42,((Inputs!$B$9+((C918=TRUE)*(F918-Calc!F19))+B930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907*(1-MIN(100,(Inputs!$B$9+((C918=TRUE)*(F918-Calc!F19))+B930+(ArtifactsInput!$M$24-ArtifactsInput!$M$24)*CHOOSE(ArtifactsInput!$N$24+1,10,12,14,16,18,20)+(IF(AND(Inputs!$B$38&lt;&gt;"pvp",Inputs!$B$43=0),1,IF(IF(Inputs!$B$38="pvp",15,Inputs!$B$43)-(B937)&lt;=0,1,MAX(0,IF(Inputs!$B$38="pvp",15,Inputs!$B$43)-MAX(5,B937))/(IF(Inputs!$B$38="pvp",15,Inputs!$B$43)-(B937))))*IF(AND(ArtifactsInput!$M$42,((Inputs!$B$9+((C918=TRUE)*(F918-Calc!F19))+B930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907*(MIN(100,(Inputs!$B$9+((C918=TRUE)*(F918-Calc!F19))+B930+(ArtifactsInput!$M$24-ArtifactsInput!$M$24)*CHOOSE(ArtifactsInput!$N$24+1,10,12,14,16,18,20)+(IF(AND(Inputs!$B$38&lt;&gt;"pvp",Inputs!$B$43=0),1,IF(IF(Inputs!$B$38="pvp",15,Inputs!$B$43)-(B937)&lt;=0,1,MAX(0,IF(Inputs!$B$38="pvp",15,Inputs!$B$43)-MAX(5,B937))/(IF(Inputs!$B$38="pvp",15,Inputs!$B$43)-(B937))))*IF(AND(ArtifactsInput!$M$42,((Inputs!$B$9+((C918=TRUE)*(F918-Calc!F19))+B930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907">
        <f>IF(C907,(H907*N907*IF(AND(Inputs!$B$38&lt;&gt;"pvp",Inputs!$B$43&gt;0),((Skills!G8*((R907-1)*IF(Skills!H8&gt;0,INT(Skills!I8/Skills!H8+0.000000001),1)+IF(Skills!H8&gt;0,INT(MIN(Skills!I8,MAX(0,MAX(0,Inputs!$B$43-B937)-((R907-1)*((IF(Inputs!$B$38="pvp",15,MAX(0.1,Skills!D8-IF(TRUE=TRUE,Inputs!$B$32,0)))*(1-IF(AND(ArtifactsInput!$M$27,Inputs!$B$4="Chapter Hunt"),CHOOSE(ArtifactsInput!$N$27+1,20,24,28,32,36,40),0)/100))/B941))))/Skills!H8+0.000000001),1)))/Inputs!$B$43),G907*Q907))*IF(Inputs!$B$38="pvp",1,(1+(Inputs!$B$21+Skills!Q8+(IF(ArtifactsInput!$M$33,CHOOSE(ArtifactsInput!$N$33+1,30,36,42,48,54,60),0))+(IF(AND(ArtifactsInput!$M$35,Inputs!$B$4&lt;&gt;"Chapter Hunt"),CHOOSE(ArtifactsInput!$N$35+1,15,18,21,24,27,30)*(1-EXP(-(0.2*B932)*5)),0)+IF(AND(ArtifactsInput!$M$22,Inputs!$B$4&lt;&gt;"Chapter Hunt"),CHOOSE(ArtifactsInput!$N$22+1,10,12,14,16,18,20)*((0*(((0.15*B932*5))^0/1)+1*(((0.15*B932*5))^1/1)+2*(((0.15*B932*5))^2/2)+3*(((0.15*B932*5))^3/6)+4*(((0.15*B932*5))^4/24)+5*(((0.15*B932*5))^5/120))/((((0.15*B932*5))^0/1)+(((0.15*B932*5))^1/1)+(((0.15*B932*5))^2/2)+(((0.15*B932*5))^3/6)+(((0.15*B932*5))^4/24)+(((0.15*B932*5))^5/120))),0))+IF(Inputs!$B$3&gt;=54,9*(C902=TRUE)*MIN(1,8*(1+Inputs!$B$34/100)*Q902),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08">
      <c r="A908">
        <f>Skills!A9</f>
        <v/>
      </c>
      <c r="B908">
        <f>Skills!B9</f>
        <v/>
      </c>
      <c r="C908">
        <f>Inputs!$B$3&gt;=105</f>
        <v/>
      </c>
      <c r="D908">
        <f>IF(Skills!C9=1,60+Inputs!$B$25+Inputs!$B$29,IF(Skills!C9=2,90+Inputs!$B$26+Inputs!$B$29,IF(Skills!C9=3,120+(Inputs!$B$27+1)+Inputs!$B$29,MAX(0,(Inputs!$B$3-100)*3)+Inputs!$B$28+Inputs!$B$29)))</f>
        <v/>
      </c>
      <c r="E908">
        <f>INDEX(FactorTable!$B$2:$Y$301, MATCH(ROUND(MIN(300,MAX(1,D908)),0), FactorTable!$A$2:$A$301,0), Skills!M9+1)</f>
        <v/>
      </c>
      <c r="F908">
        <f>IF(Skills!N9=TRUE,(Skills!L9/10)*(E908/1000),Skills!L9/10)+Skills!O9</f>
        <v/>
      </c>
      <c r="G908">
        <f>Skills!G9*IF(Skills!H9&gt;0,INT(IF(Inputs!$B$38="pvp",MIN(Skills!I9,15),Skills!I9)/Skills!H9+0.000000001),1)</f>
        <v/>
      </c>
      <c r="H908">
        <f>1-(1-Skills!J9/100)^Skills!K9</f>
        <v/>
      </c>
      <c r="I908" t="inlineStr">
        <is>
          <t>1</t>
        </is>
      </c>
      <c r="J908">
        <f>((Inputs!$B$6*(1+Inputs!$B$7/100))+(((Inputs!$B$12*(1+Inputs!$B$13/100))-(Inputs!$B$12*(1+Inputs!$B$13/100)))+0.25*(Inputs!$B$14-Inputs!$B$14))*(1+Inputs!$B$7/100))*(F908/100)</f>
        <v/>
      </c>
      <c r="K908">
        <f>J908*(1+((Inputs!$B$12*(1+Inputs!$B$13/100))*0.01+Inputs!$B$14*0.0025)/100)*(1+Inputs!$B$15/100)*(1+Inputs!$B$16/100)*(5000/(6000+Inputs!$B$42*(1-(100*(1-(1-(Inputs!$B$19+0)/100)*(1-CHOOSE(ArtifactsInput!$N$40+1,5,6,7,8,9,10)/100)^(ArtifactsInput!$M$40-ArtifactsInput!$M$40)))/100)))*(1+(Inputs!$B$24+((C925=TRUE)*(F925-Calc!F26))+B936)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IGHT_LEGS_EASTON",Inputs!$B$17+((C922=TRUE)*(F922-Calc!F23))+((C926=TRUE)*(F926-Calc!F27))+((IF(AND(Inputs!$B$38&lt;&gt;"pvp",Inputs!$B$43=0),1,IF(IF(Inputs!$B$38="pvp",15,Inputs!$B$43)-(B937)&lt;=0,1,MAX(0,IF(Inputs!$B$38="pvp",15,Inputs!$B$43)-MAX(5,B937))/(IF(Inputs!$B$38="pvp",15,Inputs!$B$43)-(B937))))*(IF(AND(ArtifactsInput!$M$42,((Inputs!$B$9+((C918=TRUE)*(F918-Calc!F19))+B930+(ArtifactsInput!$M$24-ArtifactsInput!$M$24)*CHOOSE(ArtifactsInput!$N$24+1,10,12,14,16,18,20)+IF(ArtifactsInput!$M$10,CHOOSE(ArtifactsInput!$N$10+1,15,18,21,24,27,30)*(IF(Inputs!$B$38="pvp",MIN(15,15)/15,IF(AND(Inputs!$B$38&lt;&gt;"pvp",Inputs!$B$43&gt;0),MIN(15,Inputs!$B$43)/(Inputs!$B$43),0))),0)))&gt;=100),MIN(100,((Inputs!$B$9+((C918=TRUE)*(F918-Calc!F19))+B930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937)&lt;=0,1,MAX(0,IF(Inputs!$B$38="pvp",15,Inputs!$B$43)-MAX(5,B937))/(IF(Inputs!$B$38="pvp",15,Inputs!$B$43)-(B937))))*IF(AND(ArtifactsInput!$M$42,((Inputs!$B$9+((C918=TRUE)*(F918-Calc!F19))+B930+(ArtifactsInput!$M$24-ArtifactsInput!$M$24)*CHOOSE(ArtifactsInput!$N$24+1,10,12,14,16,18,20)+IF(ArtifactsInput!$M$10,CHOOSE(ArtifactsInput!$N$10+1,15,18,21,24,27,30)*(IF(Inputs!$B$38="pvp",MIN(15,15)/15,IF(AND(Inputs!$B$38&lt;&gt;"pvp",Inputs!$B$43&gt;0),MIN(15,Inputs!$B$43)/(Inputs!$B$43),0))),0)))&gt;=100),CHOOSE(ArtifactsInput!$N$42+1,40,48,56,64,72,80),0))))/100)*((1+(((C916=TRUE)*F916*5/7)+((C923=TRUE)*(F923-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908)</f>
        <v/>
      </c>
      <c r="L908">
        <f>K908*(MIN(Inputs!$B$22+((C921=TRUE)*(F921-Calc!F22)),(Inputs!$B$23+0+(IF(ArtifactsInput!$M$15,CHOOSE(ArtifactsInput!$N$15+1,25,30,35,40,45,50)/100*(Inputs!$B$11-Inputs!$B$11),0))))/100+(Inputs!$B$23+0+(IF(ArtifactsInput!$M$15,CHOOSE(ArtifactsInput!$N$15+1,25,30,35,40,45,50)/100*(Inputs!$B$11-Inputs!$B$11),0)))/100)/2</f>
        <v/>
      </c>
      <c r="M908">
        <f>L908*(1+(Inputs!$B$10+((C924=TRUE)*(F924-Calc!F25))+B935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08">
        <f>L908*(1-MIN((Inputs!$B$9+((C918=TRUE)*(F918-Calc!F19))+B930+(ArtifactsInput!$M$24-ArtifactsInput!$M$24)*CHOOSE(ArtifactsInput!$N$24+1,10,12,14,16,18,20)+(IF(AND(Inputs!$B$38&lt;&gt;"pvp",Inputs!$B$43=0),1,IF(IF(Inputs!$B$38="pvp",15,Inputs!$B$43)-(B937)&lt;=0,1,MAX(0,IF(Inputs!$B$38="pvp",15,Inputs!$B$43)-MAX(5,B937))/(IF(Inputs!$B$38="pvp",15,Inputs!$B$43)-(B937))))*IF(AND(ArtifactsInput!$M$42,((Inputs!$B$9+((C918=TRUE)*(F918-Calc!F19))+B930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908*(MIN((Inputs!$B$9+((C918=TRUE)*(F918-Calc!F19))+B930+(ArtifactsInput!$M$24-ArtifactsInput!$M$24)*CHOOSE(ArtifactsInput!$N$24+1,10,12,14,16,18,20)+(IF(AND(Inputs!$B$38&lt;&gt;"pvp",Inputs!$B$43=0),1,IF(IF(Inputs!$B$38="pvp",15,Inputs!$B$43)-(B937)&lt;=0,1,MAX(0,IF(Inputs!$B$38="pvp",15,Inputs!$B$43)-MAX(5,B937))/(IF(Inputs!$B$38="pvp",15,Inputs!$B$43)-(B937))))*IF(AND(ArtifactsInput!$M$42,((Inputs!$B$9+((C918=TRUE)*(F918-Calc!F19))+B930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08">
        <f>(1-Summary!$B$11)*T908+Summary!$B$11*V908</f>
        <v/>
      </c>
      <c r="P908">
        <f>IF(B940=0,0,O908/B940)</f>
        <v/>
      </c>
      <c r="Q908">
        <f>IFERROR(1/(IF(Inputs!$B$38="pvp",15,MAX(0.1,Skills!D9-IF(TRUE=TRUE,Inputs!$B$32,0)))*(1-IF(AND(ArtifactsInput!$M$27,Inputs!$B$4="Chapter Hunt"),CHOOSE(ArtifactsInput!$N$27+1,20,24,28,32,36,40),0)/100)),0)</f>
        <v/>
      </c>
      <c r="R908">
        <f>IF(AND(Inputs!$B$38&lt;&gt;"pvp",Inputs!$B$43&gt;0),IF(MAX(0,Inputs!$B$43-B937)&lt;=0,0,(INT(MAX(0,Inputs!$B$43-B937)/(IF(Inputs!$B$38="pvp",15,MAX(0.1,Skills!D9-IF(TRUE=TRUE,Inputs!$B$32,0)))*(1-IF(AND(ArtifactsInput!$M$27,Inputs!$B$4="Chapter Hunt"),CHOOSE(ArtifactsInput!$N$27+1,20,24,28,32,36,40),0)/100)))+1)),0)</f>
        <v/>
      </c>
      <c r="S908">
        <f>IFERROR(O908/N908,0)</f>
        <v/>
      </c>
      <c r="T908">
        <f>IF(C908,(H908*N908*IF(AND(Inputs!$B$38&lt;&gt;"pvp",Inputs!$B$43&gt;0),((Skills!G9*((R908-1)*IF(Skills!H9&gt;0,INT(Skills!I9/Skills!H9+0.000000001),1)+IF(Skills!H9&gt;0,INT(MIN(Skills!I9,MAX(0,MAX(0,Inputs!$B$43-B937)-((R908-1)*(IF(Inputs!$B$38="pvp",15,MAX(0.1,Skills!D9-IF(TRUE=TRUE,Inputs!$B$32,0)))*(1-IF(AND(ArtifactsInput!$M$27,Inputs!$B$4="Chapter Hunt"),CHOOSE(ArtifactsInput!$N$27+1,20,24,28,32,36,40),0)/100)))))/Skills!H9+0.000000001),1)))/Inputs!$B$43),G908*Q908))*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Hunt"),CHOOSE(ArtifactsInput!$N$35+1,15,18,21,24,27,30)*(1-EXP(-(0.2*B932)*5)),0)+IF(AND(ArtifactsInput!$M$22,Inputs!$B$4&lt;&gt;"Chapter Hunt"),CHOOSE(ArtifactsInput!$N$22+1,10,12,14,16,18,20)*((0*(((0.15*B932*5))^0/1)+1*(((0.15*B932*5))^1/1)+2*(((0.15*B932*5))^2/2)+3*(((0.15*B932*5))^3/6)+4*(((0.15*B932*5))^4/24)+5*(((0.15*B932*5))^5/120))/((((0.15*B932*5))^0/1)+(((0.15*B932*5))^1/1)+(((0.15*B932*5))^2/2)+(((0.15*B932*5))^3/6)+(((0.15*B932*5))^4/24)+(((0.15*B932*5))^5/120))),0))+IF(Inputs!$B$3&gt;=54,9*(C902=TRUE)*MIN(1,8*(1+Inputs!$B$34/100)*Q902)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908*(1-MIN(100,(Inputs!$B$9+((C918=TRUE)*(F918-Calc!F19))+B930+(ArtifactsInput!$M$24-ArtifactsInput!$M$24)*CHOOSE(ArtifactsInput!$N$24+1,10,12,14,16,18,20)+(IF(AND(Inputs!$B$38&lt;&gt;"pvp",Inputs!$B$43=0),1,IF(IF(Inputs!$B$38="pvp",15,Inputs!$B$43)-(B937)&lt;=0,1,MAX(0,IF(Inputs!$B$38="pvp",15,Inputs!$B$43)-MAX(5,B937))/(IF(Inputs!$B$38="pvp",15,Inputs!$B$43)-(B937))))*IF(AND(ArtifactsInput!$M$42,((Inputs!$B$9+((C918=TRUE)*(F918-Calc!F19))+B930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908*(MIN(100,(Inputs!$B$9+((C918=TRUE)*(F918-Calc!F19))+B930+(ArtifactsInput!$M$24-ArtifactsInput!$M$24)*CHOOSE(ArtifactsInput!$N$24+1,10,12,14,16,18,20)+(IF(AND(Inputs!$B$38&lt;&gt;"pvp",Inputs!$B$43=0),1,IF(IF(Inputs!$B$38="pvp",15,Inputs!$B$43)-(B937)&lt;=0,1,MAX(0,IF(Inputs!$B$38="pvp",15,Inputs!$B$43)-MAX(5,B937))/(IF(Inputs!$B$38="pvp",15,Inputs!$B$43)-(B937))))*IF(AND(ArtifactsInput!$M$42,((Inputs!$B$9+((C918=TRUE)*(F918-Calc!F19))+B930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908*(1-MIN(100,(Inputs!$B$9+((C918=TRUE)*(F918-Calc!F19))+B930+(ArtifactsInput!$M$24-ArtifactsInput!$M$24)*CHOOSE(ArtifactsInput!$N$24+1,10,12,14,16,18,20)+(IF(AND(Inputs!$B$38&lt;&gt;"pvp",Inputs!$B$43=0),1,IF(IF(Inputs!$B$38="pvp",15,Inputs!$B$43)-(B937)&lt;=0,1,MAX(0,IF(Inputs!$B$38="pvp",15,Inputs!$B$43)-MAX(5,B937))/(IF(Inputs!$B$38="pvp",15,Inputs!$B$43)-(B937))))*IF(AND(ArtifactsInput!$M$42,((Inputs!$B$9+((C918=TRUE)*(F918-Calc!F19))+B930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908*(MIN(100,(Inputs!$B$9+((C918=TRUE)*(F918-Calc!F19))+B930+(ArtifactsInput!$M$24-ArtifactsInput!$M$24)*CHOOSE(ArtifactsInput!$N$24+1,10,12,14,16,18,20)+(IF(AND(Inputs!$B$38&lt;&gt;"pvp",Inputs!$B$43=0),1,IF(IF(Inputs!$B$38="pvp",15,Inputs!$B$43)-(B937)&lt;=0,1,MAX(0,IF(Inputs!$B$38="pvp",15,Inputs!$B$43)-MAX(5,B937))/(IF(Inputs!$B$38="pvp",15,Inputs!$B$43)-(B937))))*IF(AND(ArtifactsInput!$M$42,((Inputs!$B$9+((C918=TRUE)*(F918-Calc!F19))+B930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908">
        <f>IF(C908,(H908*N908*IF(AND(Inputs!$B$38&lt;&gt;"pvp",Inputs!$B$43&gt;0),((Skills!G9*((R908-1)*IF(Skills!H9&gt;0,INT(Skills!I9/Skills!H9+0.000000001),1)+IF(Skills!H9&gt;0,INT(MIN(Skills!I9,MAX(0,MAX(0,Inputs!$B$43-B937)-((R908-1)*(IF(Inputs!$B$38="pvp",15,MAX(0.1,Skills!D9-IF(TRUE=TRUE,Inputs!$B$32,0)))*(1-IF(AND(ArtifactsInput!$M$27,Inputs!$B$4="Chapter Hunt"),CHOOSE(ArtifactsInput!$N$27+1,20,24,28,32,36,40),0)/100)))))/Skills!H9+0.000000001),1)))/Inputs!$B$43),G908*Q908))*IF(Inputs!$B$38="pvp",1,(1+(Inputs!$B$21+Skills!Q9+(IF(ArtifactsInput!$M$33,CHOOSE(ArtifactsInput!$N$33+1,30,36,42,48,54,60),0))+(IF(AND(ArtifactsInput!$M$35,Inputs!$B$4&lt;&gt;"Chapter Hunt"),CHOOSE(ArtifactsInput!$N$35+1,15,18,21,24,27,30)*(1-EXP(-(0.2*B932)*5)),0)+IF(AND(ArtifactsInput!$M$22,Inputs!$B$4&lt;&gt;"Chapter Hunt"),CHOOSE(ArtifactsInput!$N$22+1,10,12,14,16,18,20)*((0*(((0.15*B932*5))^0/1)+1*(((0.15*B932*5))^1/1)+2*(((0.15*B932*5))^2/2)+3*(((0.15*B932*5))^3/6)+4*(((0.15*B932*5))^4/24)+5*(((0.15*B932*5))^5/120))/((((0.15*B932*5))^0/1)+(((0.15*B932*5))^1/1)+(((0.15*B932*5))^2/2)+(((0.15*B932*5))^3/6)+(((0.15*B932*5))^4/24)+(((0.15*B932*5))^5/120))),0))+IF(Inputs!$B$3&gt;=54,9*(C902=TRUE)*MIN(1,8*(1+Inputs!$B$34/100)*Q902),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09">
      <c r="A909">
        <f>Skills!A10</f>
        <v/>
      </c>
      <c r="B909">
        <f>Skills!B10</f>
        <v/>
      </c>
      <c r="C909">
        <f>Inputs!$B$3&gt;=113</f>
        <v/>
      </c>
      <c r="D909">
        <f>IF(Skills!C10=1,60+Inputs!$B$25+Inputs!$B$29,IF(Skills!C10=2,90+Inputs!$B$26+Inputs!$B$29,IF(Skills!C10=3,120+(Inputs!$B$27+1)+Inputs!$B$29,MAX(0,(Inputs!$B$3-100)*3)+Inputs!$B$28+Inputs!$B$29)))</f>
        <v/>
      </c>
      <c r="E909">
        <f>INDEX(FactorTable!$B$2:$Y$301, MATCH(ROUND(MIN(300,MAX(1,D909)),0), FactorTable!$A$2:$A$301,0), Skills!M10+1)</f>
        <v/>
      </c>
      <c r="F909">
        <f>IF(Skills!N10=TRUE,(Skills!L10/10)*(E909/1000),Skills!L10/10)+Skills!O10</f>
        <v/>
      </c>
      <c r="G909">
        <f>Skills!G10*IF(Skills!H10&gt;0,INT(IF(Inputs!$B$38="pvp",MIN(Skills!I10,15),Skills!I10)/Skills!H10+0.000000001),1)</f>
        <v/>
      </c>
      <c r="H909">
        <f>1-(1-Skills!J10/100)^Skills!K10</f>
        <v/>
      </c>
      <c r="I909" t="inlineStr">
        <is>
          <t>1</t>
        </is>
      </c>
      <c r="J909">
        <f>((Inputs!$B$6*(1+Inputs!$B$7/100))+(((Inputs!$B$12*(1+Inputs!$B$13/100))-(Inputs!$B$12*(1+Inputs!$B$13/100)))+0.25*(Inputs!$B$14-Inputs!$B$14))*(1+Inputs!$B$7/100))*(F909/100)</f>
        <v/>
      </c>
      <c r="K909">
        <f>J909*(1+((Inputs!$B$12*(1+Inputs!$B$13/100))*0.01+Inputs!$B$14*0.0025)/100)*(1+Inputs!$B$15/100)*(1+Inputs!$B$16/100)*(5000/(6000+Inputs!$B$42*(1-(100*(1-(1-(Inputs!$B$19+0)/100)*(1-CHOOSE(ArtifactsInput!$N$40+1,5,6,7,8,9,10)/100)^(ArtifactsInput!$M$40-ArtifactsInput!$M$40)))/100)))*(1+(Inputs!$B$24+((C925=TRUE)*(F925-Calc!F26))+B936)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IGHT_LEGS_EASTON",Inputs!$B$17+((C922=TRUE)*(F922-Calc!F23))+((C926=TRUE)*(F926-Calc!F27))+((IF(AND(Inputs!$B$38&lt;&gt;"pvp",Inputs!$B$43=0),1,IF(IF(Inputs!$B$38="pvp",15,Inputs!$B$43)-(B937)&lt;=0,1,MAX(0,IF(Inputs!$B$38="pvp",15,Inputs!$B$43)-MAX(5,B937))/(IF(Inputs!$B$38="pvp",15,Inputs!$B$43)-(B937))))*(IF(AND(ArtifactsInput!$M$42,((Inputs!$B$9+((C918=TRUE)*(F918-Calc!F19))+B930+(ArtifactsInput!$M$24-ArtifactsInput!$M$24)*CHOOSE(ArtifactsInput!$N$24+1,10,12,14,16,18,20)+IF(ArtifactsInput!$M$10,CHOOSE(ArtifactsInput!$N$10+1,15,18,21,24,27,30)*(IF(Inputs!$B$38="pvp",MIN(15,15)/15,IF(AND(Inputs!$B$38&lt;&gt;"pvp",Inputs!$B$43&gt;0),MIN(15,Inputs!$B$43)/(Inputs!$B$43),0))),0)))&gt;=100),MIN(100,((Inputs!$B$9+((C918=TRUE)*(F918-Calc!F19))+B930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937)&lt;=0,1,MAX(0,IF(Inputs!$B$38="pvp",15,Inputs!$B$43)-MAX(5,B937))/(IF(Inputs!$B$38="pvp",15,Inputs!$B$43)-(B937))))*IF(AND(ArtifactsInput!$M$42,((Inputs!$B$9+((C918=TRUE)*(F918-Calc!F19))+B930+(ArtifactsInput!$M$24-ArtifactsInput!$M$24)*CHOOSE(ArtifactsInput!$N$24+1,10,12,14,16,18,20)+IF(ArtifactsInput!$M$10,CHOOSE(ArtifactsInput!$N$10+1,15,18,21,24,27,30)*(IF(Inputs!$B$38="pvp",MIN(15,15)/15,IF(AND(Inputs!$B$38&lt;&gt;"pvp",Inputs!$B$43&gt;0),MIN(15,Inputs!$B$43)/(Inputs!$B$43),0))),0)))&gt;=100),CHOOSE(ArtifactsInput!$N$42+1,40,48,56,64,72,80),0))))/100)*((1+(((C916=TRUE)*F916*5/7)+((C923=TRUE)*(F923-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909)</f>
        <v/>
      </c>
      <c r="L909">
        <f>K909*(MIN(Inputs!$B$22+((C921=TRUE)*(F921-Calc!F22)),(Inputs!$B$23+0+(IF(ArtifactsInput!$M$15,CHOOSE(ArtifactsInput!$N$15+1,25,30,35,40,45,50)/100*(Inputs!$B$11-Inputs!$B$11),0))))/100+(Inputs!$B$23+0+(IF(ArtifactsInput!$M$15,CHOOSE(ArtifactsInput!$N$15+1,25,30,35,40,45,50)/100*(Inputs!$B$11-Inputs!$B$11),0)))/100)/2</f>
        <v/>
      </c>
      <c r="M909">
        <f>L909*(1+(Inputs!$B$10+((C924=TRUE)*(F924-Calc!F25))+B935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09">
        <f>L909*(1-MIN((Inputs!$B$9+((C918=TRUE)*(F918-Calc!F19))+B930+(ArtifactsInput!$M$24-ArtifactsInput!$M$24)*CHOOSE(ArtifactsInput!$N$24+1,10,12,14,16,18,20)+(IF(AND(Inputs!$B$38&lt;&gt;"pvp",Inputs!$B$43=0),1,IF(IF(Inputs!$B$38="pvp",15,Inputs!$B$43)-(B937)&lt;=0,1,MAX(0,IF(Inputs!$B$38="pvp",15,Inputs!$B$43)-MAX(5,B937))/(IF(Inputs!$B$38="pvp",15,Inputs!$B$43)-(B937))))*IF(AND(ArtifactsInput!$M$42,((Inputs!$B$9+((C918=TRUE)*(F918-Calc!F19))+B930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909*(MIN((Inputs!$B$9+((C918=TRUE)*(F918-Calc!F19))+B930+(ArtifactsInput!$M$24-ArtifactsInput!$M$24)*CHOOSE(ArtifactsInput!$N$24+1,10,12,14,16,18,20)+(IF(AND(Inputs!$B$38&lt;&gt;"pvp",Inputs!$B$43=0),1,IF(IF(Inputs!$B$38="pvp",15,Inputs!$B$43)-(B937)&lt;=0,1,MAX(0,IF(Inputs!$B$38="pvp",15,Inputs!$B$43)-MAX(5,B937))/(IF(Inputs!$B$38="pvp",15,Inputs!$B$43)-(B937))))*IF(AND(ArtifactsInput!$M$42,((Inputs!$B$9+((C918=TRUE)*(F918-Calc!F19))+B930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09">
        <f>(1-Summary!$B$11)*T909+Summary!$B$11*V909</f>
        <v/>
      </c>
      <c r="P909">
        <f>IF(B940=0,0,O909/B940)</f>
        <v/>
      </c>
      <c r="Q909" t="n">
        <v>0</v>
      </c>
      <c r="R909" t="n">
        <v>0</v>
      </c>
      <c r="S909">
        <f>IFERROR(O909/N909,0)</f>
        <v/>
      </c>
      <c r="T909">
        <f>IF(C909,((H909*B942)/(1+Skills!H10*H909*B942)*N909)*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Hunt"),CHOOSE(ArtifactsInput!$N$35+1,15,18,21,24,27,30)*(1-EXP(-(0.2*B932)*5)),0)+IF(AND(ArtifactsInput!$M$22,Inputs!$B$4&lt;&gt;"Chapter Hunt"),CHOOSE(ArtifactsInput!$N$22+1,10,12,14,16,18,20)*((0*(((0.15*B932*5))^0/1)+1*(((0.15*B932*5))^1/1)+2*(((0.15*B932*5))^2/2)+3*(((0.15*B932*5))^3/6)+4*(((0.15*B932*5))^4/24)+5*(((0.15*B932*5))^5/120))/((((0.15*B932*5))^0/1)+(((0.15*B932*5))^1/1)+(((0.15*B932*5))^2/2)+(((0.15*B932*5))^3/6)+(((0.15*B932*5))^4/24)+(((0.15*B932*5))^5/120))),0))+IF(Inputs!$B$3&gt;=54,9*(C902=TRUE)*MIN(1,8*(1+Inputs!$B$34/100)*Q902)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909*(1-MIN(100,(Inputs!$B$9+((C918=TRUE)*(F918-Calc!F19))+B930+(ArtifactsInput!$M$24-ArtifactsInput!$M$24)*CHOOSE(ArtifactsInput!$N$24+1,10,12,14,16,18,20)+(IF(AND(Inputs!$B$38&lt;&gt;"pvp",Inputs!$B$43=0),1,IF(IF(Inputs!$B$38="pvp",15,Inputs!$B$43)-(B937)&lt;=0,1,MAX(0,IF(Inputs!$B$38="pvp",15,Inputs!$B$43)-MAX(5,B937))/(IF(Inputs!$B$38="pvp",15,Inputs!$B$43)-(B937))))*IF(AND(ArtifactsInput!$M$42,((Inputs!$B$9+((C918=TRUE)*(F918-Calc!F19))+B930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909*(MIN(100,(Inputs!$B$9+((C918=TRUE)*(F918-Calc!F19))+B930+(ArtifactsInput!$M$24-ArtifactsInput!$M$24)*CHOOSE(ArtifactsInput!$N$24+1,10,12,14,16,18,20)+(IF(AND(Inputs!$B$38&lt;&gt;"pvp",Inputs!$B$43=0),1,IF(IF(Inputs!$B$38="pvp",15,Inputs!$B$43)-(B937)&lt;=0,1,MAX(0,IF(Inputs!$B$38="pvp",15,Inputs!$B$43)-MAX(5,B937))/(IF(Inputs!$B$38="pvp",15,Inputs!$B$43)-(B937))))*IF(AND(ArtifactsInput!$M$42,((Inputs!$B$9+((C918=TRUE)*(F918-Calc!F19))+B930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909*(1-MIN(100,(Inputs!$B$9+((C918=TRUE)*(F918-Calc!F19))+B930+(ArtifactsInput!$M$24-ArtifactsInput!$M$24)*CHOOSE(ArtifactsInput!$N$24+1,10,12,14,16,18,20)+(IF(AND(Inputs!$B$38&lt;&gt;"pvp",Inputs!$B$43=0),1,IF(IF(Inputs!$B$38="pvp",15,Inputs!$B$43)-(B937)&lt;=0,1,MAX(0,IF(Inputs!$B$38="pvp",15,Inputs!$B$43)-MAX(5,B937))/(IF(Inputs!$B$38="pvp",15,Inputs!$B$43)-(B937))))*IF(AND(ArtifactsInput!$M$42,((Inputs!$B$9+((C918=TRUE)*(F918-Calc!F19))+B930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909*(MIN(100,(Inputs!$B$9+((C918=TRUE)*(F918-Calc!F19))+B930+(ArtifactsInput!$M$24-ArtifactsInput!$M$24)*CHOOSE(ArtifactsInput!$N$24+1,10,12,14,16,18,20)+(IF(AND(Inputs!$B$38&lt;&gt;"pvp",Inputs!$B$43=0),1,IF(IF(Inputs!$B$38="pvp",15,Inputs!$B$43)-(B937)&lt;=0,1,MAX(0,IF(Inputs!$B$38="pvp",15,Inputs!$B$43)-MAX(5,B937))/(IF(Inputs!$B$38="pvp",15,Inputs!$B$43)-(B937))))*IF(AND(ArtifactsInput!$M$42,((Inputs!$B$9+((C918=TRUE)*(F918-Calc!F19))+B930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909">
        <f>IF(C909,((H909*B942)/(1+Skills!H10*H909*B942)*N909)*IF(Inputs!$B$38="pvp",1,(1+(Inputs!$B$21+Skills!Q10+(IF(ArtifactsInput!$M$33,CHOOSE(ArtifactsInput!$N$33+1,30,36,42,48,54,60),0))+(IF(AND(ArtifactsInput!$M$35,Inputs!$B$4&lt;&gt;"Chapter Hunt"),CHOOSE(ArtifactsInput!$N$35+1,15,18,21,24,27,30)*(1-EXP(-(0.2*B932)*5)),0)+IF(AND(ArtifactsInput!$M$22,Inputs!$B$4&lt;&gt;"Chapter Hunt"),CHOOSE(ArtifactsInput!$N$22+1,10,12,14,16,18,20)*((0*(((0.15*B932*5))^0/1)+1*(((0.15*B932*5))^1/1)+2*(((0.15*B932*5))^2/2)+3*(((0.15*B932*5))^3/6)+4*(((0.15*B932*5))^4/24)+5*(((0.15*B932*5))^5/120))/((((0.15*B932*5))^0/1)+(((0.15*B932*5))^1/1)+(((0.15*B932*5))^2/2)+(((0.15*B932*5))^3/6)+(((0.15*B932*5))^4/24)+(((0.15*B932*5))^5/120))),0))+IF(Inputs!$B$3&gt;=54,9*(C902=TRUE)*MIN(1,8*(1+Inputs!$B$34/100)*Q902),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10">
      <c r="A910">
        <f>Skills!A11</f>
        <v/>
      </c>
      <c r="B910">
        <f>Skills!B11</f>
        <v/>
      </c>
      <c r="C910">
        <f>Inputs!$B$3&gt;=117</f>
        <v/>
      </c>
      <c r="D910">
        <f>IF(Skills!C11=1,60+Inputs!$B$25+Inputs!$B$29,IF(Skills!C11=2,90+Inputs!$B$26+Inputs!$B$29,IF(Skills!C11=3,120+(Inputs!$B$27+1)+Inputs!$B$29,MAX(0,(Inputs!$B$3-100)*3)+Inputs!$B$28+Inputs!$B$29)))</f>
        <v/>
      </c>
      <c r="E910">
        <f>INDEX(FactorTable!$B$2:$Y$301, MATCH(ROUND(MIN(300,MAX(1,D910)),0), FactorTable!$A$2:$A$301,0), Skills!M11+1)</f>
        <v/>
      </c>
      <c r="F910">
        <f>IF(Skills!N11=TRUE,(Skills!L11/10)*(E910/1000),Skills!L11/10)+Skills!O11</f>
        <v/>
      </c>
      <c r="G910">
        <f>Skills!G11*IF(Skills!H11&gt;0,INT(IF(Inputs!$B$38="pvp",MIN(Skills!I11,15),Skills!I11)/Skills!H11+0.000000001),1)</f>
        <v/>
      </c>
      <c r="H910">
        <f>1-(1-Skills!J11/100)^Skills!K11</f>
        <v/>
      </c>
      <c r="I910" t="inlineStr">
        <is>
          <t>1</t>
        </is>
      </c>
      <c r="J910">
        <f>((Inputs!$B$6*(1+Inputs!$B$7/100))+(((Inputs!$B$12*(1+Inputs!$B$13/100))-(Inputs!$B$12*(1+Inputs!$B$13/100)))+0.25*(Inputs!$B$14-Inputs!$B$14))*(1+Inputs!$B$7/100))*(F910/100)</f>
        <v/>
      </c>
      <c r="K910">
        <f>J910*(1+((Inputs!$B$12*(1+Inputs!$B$13/100))*0.01+Inputs!$B$14*0.0025)/100)*(1+Inputs!$B$15/100)*(1+Inputs!$B$16/100)*(5000/(6000+Inputs!$B$42*(1-(100*(1-(1-(Inputs!$B$19+0)/100)*(1-CHOOSE(ArtifactsInput!$N$40+1,5,6,7,8,9,10)/100)^(ArtifactsInput!$M$40-ArtifactsInput!$M$40)))/100)))*(1+(Inputs!$B$24+((C925=TRUE)*(F925-Calc!F26))+B936)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IGHT_LEGS_EASTON",Inputs!$B$17+((C922=TRUE)*(F922-Calc!F23))+((C926=TRUE)*(F926-Calc!F27))+((IF(AND(Inputs!$B$38&lt;&gt;"pvp",Inputs!$B$43=0),1,IF(IF(Inputs!$B$38="pvp",15,Inputs!$B$43)-(B937)&lt;=0,1,MAX(0,IF(Inputs!$B$38="pvp",15,Inputs!$B$43)-MAX(5,B937))/(IF(Inputs!$B$38="pvp",15,Inputs!$B$43)-(B937))))*(IF(AND(ArtifactsInput!$M$42,((Inputs!$B$9+((C918=TRUE)*(F918-Calc!F19))+B930+(ArtifactsInput!$M$24-ArtifactsInput!$M$24)*CHOOSE(ArtifactsInput!$N$24+1,10,12,14,16,18,20)+IF(ArtifactsInput!$M$10,CHOOSE(ArtifactsInput!$N$10+1,15,18,21,24,27,30)*(IF(Inputs!$B$38="pvp",MIN(15,15)/15,IF(AND(Inputs!$B$38&lt;&gt;"pvp",Inputs!$B$43&gt;0),MIN(15,Inputs!$B$43)/(Inputs!$B$43),0))),0)))&gt;=100),MIN(100,((Inputs!$B$9+((C918=TRUE)*(F918-Calc!F19))+B930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937)&lt;=0,1,MAX(0,IF(Inputs!$B$38="pvp",15,Inputs!$B$43)-MAX(5,B937))/(IF(Inputs!$B$38="pvp",15,Inputs!$B$43)-(B937))))*IF(AND(ArtifactsInput!$M$42,((Inputs!$B$9+((C918=TRUE)*(F918-Calc!F19))+B930+(ArtifactsInput!$M$24-ArtifactsInput!$M$24)*CHOOSE(ArtifactsInput!$N$24+1,10,12,14,16,18,20)+IF(ArtifactsInput!$M$10,CHOOSE(ArtifactsInput!$N$10+1,15,18,21,24,27,30)*(IF(Inputs!$B$38="pvp",MIN(15,15)/15,IF(AND(Inputs!$B$38&lt;&gt;"pvp",Inputs!$B$43&gt;0),MIN(15,Inputs!$B$43)/(Inputs!$B$43),0))),0)))&gt;=100),CHOOSE(ArtifactsInput!$N$42+1,40,48,56,64,72,80),0))))/100)*((1+(((C916=TRUE)*F916*5/7)+((C923=TRUE)*(F923-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910)</f>
        <v/>
      </c>
      <c r="L910">
        <f>K910*(MIN(Inputs!$B$22+((C921=TRUE)*(F921-Calc!F22)),(Inputs!$B$23+0+(IF(ArtifactsInput!$M$15,CHOOSE(ArtifactsInput!$N$15+1,25,30,35,40,45,50)/100*(Inputs!$B$11-Inputs!$B$11),0))))/100+(Inputs!$B$23+0+(IF(ArtifactsInput!$M$15,CHOOSE(ArtifactsInput!$N$15+1,25,30,35,40,45,50)/100*(Inputs!$B$11-Inputs!$B$11),0)))/100)/2</f>
        <v/>
      </c>
      <c r="M910">
        <f>L910*(1+(Inputs!$B$10+((C924=TRUE)*(F924-Calc!F25))+B935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10">
        <f>L910*(1-MIN((Inputs!$B$9+((C918=TRUE)*(F918-Calc!F19))+B930+(ArtifactsInput!$M$24-ArtifactsInput!$M$24)*CHOOSE(ArtifactsInput!$N$24+1,10,12,14,16,18,20)+(IF(AND(Inputs!$B$38&lt;&gt;"pvp",Inputs!$B$43=0),1,IF(IF(Inputs!$B$38="pvp",15,Inputs!$B$43)-(B937)&lt;=0,1,MAX(0,IF(Inputs!$B$38="pvp",15,Inputs!$B$43)-MAX(5,B937))/(IF(Inputs!$B$38="pvp",15,Inputs!$B$43)-(B937))))*IF(AND(ArtifactsInput!$M$42,((Inputs!$B$9+((C918=TRUE)*(F918-Calc!F19))+B930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910*(MIN((Inputs!$B$9+((C918=TRUE)*(F918-Calc!F19))+B930+(ArtifactsInput!$M$24-ArtifactsInput!$M$24)*CHOOSE(ArtifactsInput!$N$24+1,10,12,14,16,18,20)+(IF(AND(Inputs!$B$38&lt;&gt;"pvp",Inputs!$B$43=0),1,IF(IF(Inputs!$B$38="pvp",15,Inputs!$B$43)-(B937)&lt;=0,1,MAX(0,IF(Inputs!$B$38="pvp",15,Inputs!$B$43)-MAX(5,B937))/(IF(Inputs!$B$38="pvp",15,Inputs!$B$43)-(B937))))*IF(AND(ArtifactsInput!$M$42,((Inputs!$B$9+((C918=TRUE)*(F918-Calc!F19))+B930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10">
        <f>(1-Summary!$B$11)*T910+Summary!$B$11*V910</f>
        <v/>
      </c>
      <c r="P910">
        <f>IF(B940=0,0,O910/B940)</f>
        <v/>
      </c>
      <c r="Q910">
        <f>IFERROR(1/((IF(Inputs!$B$38="pvp",15,MAX(0.1,Skills!D11-IF(TRUE=TRUE,Inputs!$B$32,0)))*(1-IF(AND(ArtifactsInput!$M$27,Inputs!$B$4="Chapter Hunt"),CHOOSE(ArtifactsInput!$N$27+1,20,24,28,32,36,40),0)/100))/B941),0)</f>
        <v/>
      </c>
      <c r="R910">
        <f>IF(AND(Inputs!$B$38&lt;&gt;"pvp",Inputs!$B$43&gt;0),IF(MAX(0,Inputs!$B$43-B937)&lt;=0,0,(INT(MAX(0,Inputs!$B$43-B937)/((IF(Inputs!$B$38="pvp",15,MAX(0.1,Skills!D11-IF(TRUE=TRUE,Inputs!$B$32,0)))*(1-IF(AND(ArtifactsInput!$M$27,Inputs!$B$4="Chapter Hunt"),CHOOSE(ArtifactsInput!$N$27+1,20,24,28,32,36,40),0)/100))/B941))+1)),0)</f>
        <v/>
      </c>
      <c r="S910">
        <f>IFERROR(O910/N910,0)</f>
        <v/>
      </c>
      <c r="T910">
        <f>IF(C910,(H910*N910*IF(AND(Inputs!$B$38&lt;&gt;"pvp",Inputs!$B$43&gt;0),((Skills!G11*((R910-1)*IF(Skills!H11&gt;0,INT(Skills!I11/Skills!H11+0.000000001),1)+IF(Skills!H11&gt;0,INT(MIN(Skills!I11,MAX(0,MAX(0,Inputs!$B$43-B937)-((R910-1)*((IF(Inputs!$B$38="pvp",15,MAX(0.1,Skills!D11-IF(TRUE=TRUE,Inputs!$B$32,0)))*(1-IF(AND(ArtifactsInput!$M$27,Inputs!$B$4="Chapter Hunt"),CHOOSE(ArtifactsInput!$N$27+1,20,24,28,32,36,40),0)/100))/B941))))/Skills!H11+0.000000001),1)))/Inputs!$B$43),G910*Q910))*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Hunt"),CHOOSE(ArtifactsInput!$N$35+1,15,18,21,24,27,30)*(1-EXP(-(0.2*B932)*5)),0)+IF(AND(ArtifactsInput!$M$22,Inputs!$B$4&lt;&gt;"Chapter Hunt"),CHOOSE(ArtifactsInput!$N$22+1,10,12,14,16,18,20)*((0*(((0.15*B932*5))^0/1)+1*(((0.15*B932*5))^1/1)+2*(((0.15*B932*5))^2/2)+3*(((0.15*B932*5))^3/6)+4*(((0.15*B932*5))^4/24)+5*(((0.15*B932*5))^5/120))/((((0.15*B932*5))^0/1)+(((0.15*B932*5))^1/1)+(((0.15*B932*5))^2/2)+(((0.15*B932*5))^3/6)+(((0.15*B932*5))^4/24)+(((0.15*B932*5))^5/120))),0))+IF(Inputs!$B$3&gt;=54,9*(C902=TRUE)*MIN(1,8*(1+Inputs!$B$34/100)*Q902)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910*(1-MIN(100,(Inputs!$B$9+((C918=TRUE)*(F918-Calc!F19))+B930+(ArtifactsInput!$M$24-ArtifactsInput!$M$24)*CHOOSE(ArtifactsInput!$N$24+1,10,12,14,16,18,20)+(IF(AND(Inputs!$B$38&lt;&gt;"pvp",Inputs!$B$43=0),1,IF(IF(Inputs!$B$38="pvp",15,Inputs!$B$43)-(B937)&lt;=0,1,MAX(0,IF(Inputs!$B$38="pvp",15,Inputs!$B$43)-MAX(5,B937))/(IF(Inputs!$B$38="pvp",15,Inputs!$B$43)-(B937))))*IF(AND(ArtifactsInput!$M$42,((Inputs!$B$9+((C918=TRUE)*(F918-Calc!F19))+B930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910*(MIN(100,(Inputs!$B$9+((C918=TRUE)*(F918-Calc!F19))+B930+(ArtifactsInput!$M$24-ArtifactsInput!$M$24)*CHOOSE(ArtifactsInput!$N$24+1,10,12,14,16,18,20)+(IF(AND(Inputs!$B$38&lt;&gt;"pvp",Inputs!$B$43=0),1,IF(IF(Inputs!$B$38="pvp",15,Inputs!$B$43)-(B937)&lt;=0,1,MAX(0,IF(Inputs!$B$38="pvp",15,Inputs!$B$43)-MAX(5,B937))/(IF(Inputs!$B$38="pvp",15,Inputs!$B$43)-(B937))))*IF(AND(ArtifactsInput!$M$42,((Inputs!$B$9+((C918=TRUE)*(F918-Calc!F19))+B930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910*(1-MIN(100,(Inputs!$B$9+((C918=TRUE)*(F918-Calc!F19))+B930+(ArtifactsInput!$M$24-ArtifactsInput!$M$24)*CHOOSE(ArtifactsInput!$N$24+1,10,12,14,16,18,20)+(IF(AND(Inputs!$B$38&lt;&gt;"pvp",Inputs!$B$43=0),1,IF(IF(Inputs!$B$38="pvp",15,Inputs!$B$43)-(B937)&lt;=0,1,MAX(0,IF(Inputs!$B$38="pvp",15,Inputs!$B$43)-MAX(5,B937))/(IF(Inputs!$B$38="pvp",15,Inputs!$B$43)-(B937))))*IF(AND(ArtifactsInput!$M$42,((Inputs!$B$9+((C918=TRUE)*(F918-Calc!F19))+B930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910*(MIN(100,(Inputs!$B$9+((C918=TRUE)*(F918-Calc!F19))+B930+(ArtifactsInput!$M$24-ArtifactsInput!$M$24)*CHOOSE(ArtifactsInput!$N$24+1,10,12,14,16,18,20)+(IF(AND(Inputs!$B$38&lt;&gt;"pvp",Inputs!$B$43=0),1,IF(IF(Inputs!$B$38="pvp",15,Inputs!$B$43)-(B937)&lt;=0,1,MAX(0,IF(Inputs!$B$38="pvp",15,Inputs!$B$43)-MAX(5,B937))/(IF(Inputs!$B$38="pvp",15,Inputs!$B$43)-(B937))))*IF(AND(ArtifactsInput!$M$42,((Inputs!$B$9+((C918=TRUE)*(F918-Calc!F19))+B930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910">
        <f>IF(C910,(H910*N910*IF(AND(Inputs!$B$38&lt;&gt;"pvp",Inputs!$B$43&gt;0),((Skills!G11*((R910-1)*IF(Skills!H11&gt;0,INT(Skills!I11/Skills!H11+0.000000001),1)+IF(Skills!H11&gt;0,INT(MIN(Skills!I11,MAX(0,MAX(0,Inputs!$B$43-B937)-((R910-1)*((IF(Inputs!$B$38="pvp",15,MAX(0.1,Skills!D11-IF(TRUE=TRUE,Inputs!$B$32,0)))*(1-IF(AND(ArtifactsInput!$M$27,Inputs!$B$4="Chapter Hunt"),CHOOSE(ArtifactsInput!$N$27+1,20,24,28,32,36,40),0)/100))/B941))))/Skills!H11+0.000000001),1)))/Inputs!$B$43),G910*Q910))*IF(Inputs!$B$38="pvp",1,(1+(Inputs!$B$21+Skills!Q11+(IF(ArtifactsInput!$M$33,CHOOSE(ArtifactsInput!$N$33+1,30,36,42,48,54,60),0))+(IF(AND(ArtifactsInput!$M$35,Inputs!$B$4&lt;&gt;"Chapter Hunt"),CHOOSE(ArtifactsInput!$N$35+1,15,18,21,24,27,30)*(1-EXP(-(0.2*B932)*5)),0)+IF(AND(ArtifactsInput!$M$22,Inputs!$B$4&lt;&gt;"Chapter Hunt"),CHOOSE(ArtifactsInput!$N$22+1,10,12,14,16,18,20)*((0*(((0.15*B932*5))^0/1)+1*(((0.15*B932*5))^1/1)+2*(((0.15*B932*5))^2/2)+3*(((0.15*B932*5))^3/6)+4*(((0.15*B932*5))^4/24)+5*(((0.15*B932*5))^5/120))/((((0.15*B932*5))^0/1)+(((0.15*B932*5))^1/1)+(((0.15*B932*5))^2/2)+(((0.15*B932*5))^3/6)+(((0.15*B932*5))^4/24)+(((0.15*B932*5))^5/120))),0))+IF(Inputs!$B$3&gt;=54,9*(C902=TRUE)*MIN(1,8*(1+Inputs!$B$34/100)*Q902),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11">
      <c r="A911">
        <f>Skills!A12</f>
        <v/>
      </c>
      <c r="B911">
        <f>Skills!B12</f>
        <v/>
      </c>
      <c r="C911">
        <f>Inputs!$B$3&gt;=110</f>
        <v/>
      </c>
      <c r="D911">
        <f>IF(Skills!C12=1,60+Inputs!$B$25+Inputs!$B$29,IF(Skills!C12=2,90+Inputs!$B$26+Inputs!$B$29,IF(Skills!C12=3,120+(Inputs!$B$27+1)+Inputs!$B$29,MAX(0,(Inputs!$B$3-100)*3)+Inputs!$B$28+Inputs!$B$29)))</f>
        <v/>
      </c>
      <c r="E911">
        <f>INDEX(FactorTable!$B$2:$Y$301, MATCH(ROUND(MIN(300,MAX(1,D911)),0), FactorTable!$A$2:$A$301,0), Skills!M12+1)</f>
        <v/>
      </c>
      <c r="F911">
        <f>IF(Skills!N12=TRUE,(Skills!L12/10)*(E911/1000),Skills!L12/10)+Skills!O12</f>
        <v/>
      </c>
      <c r="G911">
        <f>Skills!G12*IF(Skills!H12&gt;0,INT(IF(Inputs!$B$38="pvp",MIN(Skills!I12,15),Skills!I12)/Skills!H12+0.000000001),1)</f>
        <v/>
      </c>
      <c r="H911">
        <f>1-(1-Skills!J12/100)^Skills!K12</f>
        <v/>
      </c>
      <c r="I911" t="inlineStr">
        <is>
          <t>1</t>
        </is>
      </c>
      <c r="J911">
        <f>((Inputs!$B$6*(1+Inputs!$B$7/100))+(((Inputs!$B$12*(1+Inputs!$B$13/100))-(Inputs!$B$12*(1+Inputs!$B$13/100)))+0.25*(Inputs!$B$14-Inputs!$B$14))*(1+Inputs!$B$7/100))*(F911/100)</f>
        <v/>
      </c>
      <c r="K911">
        <f>J911*(1+((Inputs!$B$12*(1+Inputs!$B$13/100))*0.01+Inputs!$B$14*0.0025)/100)*(1+Inputs!$B$15/100)*(1+Inputs!$B$16/100)*(5000/(6000+Inputs!$B$42*(1-(100*(1-(1-(Inputs!$B$19+0)/100)*(1-CHOOSE(ArtifactsInput!$N$40+1,5,6,7,8,9,10)/100)^(ArtifactsInput!$M$40-ArtifactsInput!$M$40)))/100)))*(1+(Inputs!$B$24+((C925=TRUE)*(F925-Calc!F26))+B936)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EIGHT_LEGS_EASTON",Inputs!$B$17+((C922=TRUE)*(F922-Calc!F23))+((C926=TRUE)*(F926-Calc!F27))+((IF(AND(Inputs!$B$38&lt;&gt;"pvp",Inputs!$B$43=0),1,IF(IF(Inputs!$B$38="pvp",15,Inputs!$B$43)-(B937)&lt;=0,1,MAX(0,IF(Inputs!$B$38="pvp",15,Inputs!$B$43)-MAX(5,B937))/(IF(Inputs!$B$38="pvp",15,Inputs!$B$43)-(B937))))*(IF(AND(ArtifactsInput!$M$42,((Inputs!$B$9+((C918=TRUE)*(F918-Calc!F19))+B930+(ArtifactsInput!$M$24-ArtifactsInput!$M$24)*CHOOSE(ArtifactsInput!$N$24+1,10,12,14,16,18,20)+IF(ArtifactsInput!$M$10,CHOOSE(ArtifactsInput!$N$10+1,15,18,21,24,27,30)*(IF(Inputs!$B$38="pvp",MIN(15,15)/15,IF(AND(Inputs!$B$38&lt;&gt;"pvp",Inputs!$B$43&gt;0),MIN(15,Inputs!$B$43)/(Inputs!$B$43),0))),0)))&gt;=100),MIN(100,((Inputs!$B$9+((C918=TRUE)*(F918-Calc!F19))+B930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937)&lt;=0,1,MAX(0,IF(Inputs!$B$38="pvp",15,Inputs!$B$43)-MAX(5,B937))/(IF(Inputs!$B$38="pvp",15,Inputs!$B$43)-(B937))))*IF(AND(ArtifactsInput!$M$42,((Inputs!$B$9+((C918=TRUE)*(F918-Calc!F19))+B930+(ArtifactsInput!$M$24-ArtifactsInput!$M$24)*CHOOSE(ArtifactsInput!$N$24+1,10,12,14,16,18,20)+IF(ArtifactsInput!$M$10,CHOOSE(ArtifactsInput!$N$10+1,15,18,21,24,27,30)*(IF(Inputs!$B$38="pvp",MIN(15,15)/15,IF(AND(Inputs!$B$38&lt;&gt;"pvp",Inputs!$B$43&gt;0),MIN(15,Inputs!$B$43)/(Inputs!$B$43),0))),0)))&gt;=100),CHOOSE(ArtifactsInput!$N$42+1,40,48,56,64,72,80),0))))/100)*((1+(((C916=TRUE)*F916*5/7)+((C923=TRUE)*(F923-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911)</f>
        <v/>
      </c>
      <c r="L911">
        <f>K911*(MIN(Inputs!$B$22+((C921=TRUE)*(F921-Calc!F22)),(Inputs!$B$23+0+(IF(ArtifactsInput!$M$15,CHOOSE(ArtifactsInput!$N$15+1,25,30,35,40,45,50)/100*(Inputs!$B$11-Inputs!$B$11),0))))/100+(Inputs!$B$23+0+(IF(ArtifactsInput!$M$15,CHOOSE(ArtifactsInput!$N$15+1,25,30,35,40,45,50)/100*(Inputs!$B$11-Inputs!$B$11),0)))/100)/2</f>
        <v/>
      </c>
      <c r="M911">
        <f>L911*(1+(Inputs!$B$10+((C924=TRUE)*(F924-Calc!F25))+B935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11">
        <f>L911*(1-MIN((Inputs!$B$9+((C918=TRUE)*(F918-Calc!F19))+B930+(ArtifactsInput!$M$24-ArtifactsInput!$M$24)*CHOOSE(ArtifactsInput!$N$24+1,10,12,14,16,18,20)+(IF(AND(Inputs!$B$38&lt;&gt;"pvp",Inputs!$B$43=0),1,IF(IF(Inputs!$B$38="pvp",15,Inputs!$B$43)-(B937)&lt;=0,1,MAX(0,IF(Inputs!$B$38="pvp",15,Inputs!$B$43)-MAX(5,B937))/(IF(Inputs!$B$38="pvp",15,Inputs!$B$43)-(B937))))*IF(AND(ArtifactsInput!$M$42,((Inputs!$B$9+((C918=TRUE)*(F918-Calc!F19))+B930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911*(MIN((Inputs!$B$9+((C918=TRUE)*(F918-Calc!F19))+B930+(ArtifactsInput!$M$24-ArtifactsInput!$M$24)*CHOOSE(ArtifactsInput!$N$24+1,10,12,14,16,18,20)+(IF(AND(Inputs!$B$38&lt;&gt;"pvp",Inputs!$B$43=0),1,IF(IF(Inputs!$B$38="pvp",15,Inputs!$B$43)-(B937)&lt;=0,1,MAX(0,IF(Inputs!$B$38="pvp",15,Inputs!$B$43)-MAX(5,B937))/(IF(Inputs!$B$38="pvp",15,Inputs!$B$43)-(B937))))*IF(AND(ArtifactsInput!$M$42,((Inputs!$B$9+((C918=TRUE)*(F918-Calc!F19))+B930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11">
        <f>(1-Summary!$B$11)*T911+Summary!$B$11*V911</f>
        <v/>
      </c>
      <c r="P911">
        <f>IF(B940=0,0,O911/B940)</f>
        <v/>
      </c>
      <c r="Q911">
        <f>IFERROR(1/(IF(Inputs!$B$38="pvp",15,MAX(0.1,Skills!D12-IF(TRUE=TRUE,Inputs!$B$32,0)))*(1-IF(AND(ArtifactsInput!$M$27,Inputs!$B$4="Chapter Hunt"),CHOOSE(ArtifactsInput!$N$27+1,20,24,28,32,36,40),0)/100)),0)</f>
        <v/>
      </c>
      <c r="R911">
        <f>IF(AND(Inputs!$B$38&lt;&gt;"pvp",Inputs!$B$43&gt;0),IF(MAX(0,Inputs!$B$43-B937)&lt;=0,0,(INT(MAX(0,Inputs!$B$43-B937)/(IF(Inputs!$B$38="pvp",15,MAX(0.1,Skills!D12-IF(TRUE=TRUE,Inputs!$B$32,0)))*(1-IF(AND(ArtifactsInput!$M$27,Inputs!$B$4="Chapter Hunt"),CHOOSE(ArtifactsInput!$N$27+1,20,24,28,32,36,40),0)/100)))+1)),0)</f>
        <v/>
      </c>
      <c r="S911">
        <f>IFERROR(O911/N911,0)</f>
        <v/>
      </c>
      <c r="T911">
        <f>IF(C911,(H911*N911*IF(AND(Inputs!$B$38&lt;&gt;"pvp",Inputs!$B$43&gt;0),((Skills!G12*((R911-1)*IF(Skills!H12&gt;0,INT(Skills!I12/Skills!H12+0.000000001),1)+IF(Skills!H12&gt;0,INT(MIN(Skills!I12,MAX(0,MAX(0,Inputs!$B$43-B937)-((R911-1)*(IF(Inputs!$B$38="pvp",15,MAX(0.1,Skills!D12-IF(TRUE=TRUE,Inputs!$B$32,0)))*(1-IF(AND(ArtifactsInput!$M$27,Inputs!$B$4="Chapter Hunt"),CHOOSE(ArtifactsInput!$N$27+1,20,24,28,32,36,40),0)/100)))))/Skills!H12+0.000000001),1)))/Inputs!$B$43),G911*Q911))*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Hunt"),CHOOSE(ArtifactsInput!$N$35+1,15,18,21,24,27,30)*(1-EXP(-(0.2*B932)*5)),0)+IF(AND(ArtifactsInput!$M$22,Inputs!$B$4&lt;&gt;"Chapter Hunt"),CHOOSE(ArtifactsInput!$N$22+1,10,12,14,16,18,20)*((0*(((0.15*B932*5))^0/1)+1*(((0.15*B932*5))^1/1)+2*(((0.15*B932*5))^2/2)+3*(((0.15*B932*5))^3/6)+4*(((0.15*B932*5))^4/24)+5*(((0.15*B932*5))^5/120))/((((0.15*B932*5))^0/1)+(((0.15*B932*5))^1/1)+(((0.15*B932*5))^2/2)+(((0.15*B932*5))^3/6)+(((0.15*B932*5))^4/24)+(((0.15*B932*5))^5/120))),0))+IF(Inputs!$B$3&gt;=54,9*(C902=TRUE)*MIN(1,8*(1+Inputs!$B$34/100)*Q902)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911*(1-MIN(100,(Inputs!$B$9+((C918=TRUE)*(F918-Calc!F19))+B930+(ArtifactsInput!$M$24-ArtifactsInput!$M$24)*CHOOSE(ArtifactsInput!$N$24+1,10,12,14,16,18,20)+(IF(AND(Inputs!$B$38&lt;&gt;"pvp",Inputs!$B$43=0),1,IF(IF(Inputs!$B$38="pvp",15,Inputs!$B$43)-(B937)&lt;=0,1,MAX(0,IF(Inputs!$B$38="pvp",15,Inputs!$B$43)-MAX(5,B937))/(IF(Inputs!$B$38="pvp",15,Inputs!$B$43)-(B937))))*IF(AND(ArtifactsInput!$M$42,((Inputs!$B$9+((C918=TRUE)*(F918-Calc!F19))+B930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911*(MIN(100,(Inputs!$B$9+((C918=TRUE)*(F918-Calc!F19))+B930+(ArtifactsInput!$M$24-ArtifactsInput!$M$24)*CHOOSE(ArtifactsInput!$N$24+1,10,12,14,16,18,20)+(IF(AND(Inputs!$B$38&lt;&gt;"pvp",Inputs!$B$43=0),1,IF(IF(Inputs!$B$38="pvp",15,Inputs!$B$43)-(B937)&lt;=0,1,MAX(0,IF(Inputs!$B$38="pvp",15,Inputs!$B$43)-MAX(5,B937))/(IF(Inputs!$B$38="pvp",15,Inputs!$B$43)-(B937))))*IF(AND(ArtifactsInput!$M$42,((Inputs!$B$9+((C918=TRUE)*(F918-Calc!F19))+B930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911*(1-MIN(100,(Inputs!$B$9+((C918=TRUE)*(F918-Calc!F19))+B930+(ArtifactsInput!$M$24-ArtifactsInput!$M$24)*CHOOSE(ArtifactsInput!$N$24+1,10,12,14,16,18,20)+(IF(AND(Inputs!$B$38&lt;&gt;"pvp",Inputs!$B$43=0),1,IF(IF(Inputs!$B$38="pvp",15,Inputs!$B$43)-(B937)&lt;=0,1,MAX(0,IF(Inputs!$B$38="pvp",15,Inputs!$B$43)-MAX(5,B937))/(IF(Inputs!$B$38="pvp",15,Inputs!$B$43)-(B937))))*IF(AND(ArtifactsInput!$M$42,((Inputs!$B$9+((C918=TRUE)*(F918-Calc!F19))+B930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911*(MIN(100,(Inputs!$B$9+((C918=TRUE)*(F918-Calc!F19))+B930+(ArtifactsInput!$M$24-ArtifactsInput!$M$24)*CHOOSE(ArtifactsInput!$N$24+1,10,12,14,16,18,20)+(IF(AND(Inputs!$B$38&lt;&gt;"pvp",Inputs!$B$43=0),1,IF(IF(Inputs!$B$38="pvp",15,Inputs!$B$43)-(B937)&lt;=0,1,MAX(0,IF(Inputs!$B$38="pvp",15,Inputs!$B$43)-MAX(5,B937))/(IF(Inputs!$B$38="pvp",15,Inputs!$B$43)-(B937))))*IF(AND(ArtifactsInput!$M$42,((Inputs!$B$9+((C918=TRUE)*(F918-Calc!F19))+B930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911">
        <f>IF(C911,(H911*N911*IF(AND(Inputs!$B$38&lt;&gt;"pvp",Inputs!$B$43&gt;0),((Skills!G12*((R911-1)*IF(Skills!H12&gt;0,INT(Skills!I12/Skills!H12+0.000000001),1)+IF(Skills!H12&gt;0,INT(MIN(Skills!I12,MAX(0,MAX(0,Inputs!$B$43-B937)-((R911-1)*(IF(Inputs!$B$38="pvp",15,MAX(0.1,Skills!D12-IF(TRUE=TRUE,Inputs!$B$32,0)))*(1-IF(AND(ArtifactsInput!$M$27,Inputs!$B$4="Chapter Hunt"),CHOOSE(ArtifactsInput!$N$27+1,20,24,28,32,36,40),0)/100)))))/Skills!H12+0.000000001),1)))/Inputs!$B$43),G911*Q911))*IF(Inputs!$B$38="pvp",1,(1+(Inputs!$B$21+Skills!Q12+(IF(ArtifactsInput!$M$33,CHOOSE(ArtifactsInput!$N$33+1,30,36,42,48,54,60),0))+(IF(AND(ArtifactsInput!$M$35,Inputs!$B$4&lt;&gt;"Chapter Hunt"),CHOOSE(ArtifactsInput!$N$35+1,15,18,21,24,27,30)*(1-EXP(-(0.2*B932)*5)),0)+IF(AND(ArtifactsInput!$M$22,Inputs!$B$4&lt;&gt;"Chapter Hunt"),CHOOSE(ArtifactsInput!$N$22+1,10,12,14,16,18,20)*((0*(((0.15*B932*5))^0/1)+1*(((0.15*B932*5))^1/1)+2*(((0.15*B932*5))^2/2)+3*(((0.15*B932*5))^3/6)+4*(((0.15*B932*5))^4/24)+5*(((0.15*B932*5))^5/120))/((((0.15*B932*5))^0/1)+(((0.15*B932*5))^1/1)+(((0.15*B932*5))^2/2)+(((0.15*B932*5))^3/6)+(((0.15*B932*5))^4/24)+(((0.15*B932*5))^5/120))),0))+IF(Inputs!$B$3&gt;=54,9*(C902=TRUE)*MIN(1,8*(1+Inputs!$B$34/100)*Q902),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12">
      <c r="A912">
        <f>Skills!A13</f>
        <v/>
      </c>
      <c r="B912">
        <f>Skills!B13</f>
        <v/>
      </c>
      <c r="C912">
        <f>Inputs!$B$3&gt;=110</f>
        <v/>
      </c>
      <c r="D912">
        <f>IF(Skills!C13=1,60+Inputs!$B$25+Inputs!$B$29,IF(Skills!C13=2,90+Inputs!$B$26+Inputs!$B$29,IF(Skills!C13=3,120+(Inputs!$B$27+1)+Inputs!$B$29,MAX(0,(Inputs!$B$3-100)*3)+Inputs!$B$28+Inputs!$B$29)))</f>
        <v/>
      </c>
      <c r="E912">
        <f>INDEX(FactorTable!$B$2:$Y$301, MATCH(ROUND(MIN(300,MAX(1,D912)),0), FactorTable!$A$2:$A$301,0), Skills!M13+1)</f>
        <v/>
      </c>
      <c r="F912">
        <f>IF(Skills!N13=TRUE,(Skills!L13/10)*(E912/1000),Skills!L13/10)+Skills!O13</f>
        <v/>
      </c>
      <c r="G912">
        <f>Skills!G13*IF(Skills!H13&gt;0,INT(IF(Inputs!$B$38="pvp",MIN(Skills!I13,15),Skills!I13)/Skills!H13+0.000000001),1)</f>
        <v/>
      </c>
      <c r="H912">
        <f>1-(1-Skills!J13/100)^Skills!K13</f>
        <v/>
      </c>
      <c r="I912" t="inlineStr">
        <is>
          <t>1</t>
        </is>
      </c>
      <c r="J912">
        <f>((Inputs!$B$6*(1+Inputs!$B$7/100))+(((Inputs!$B$12*(1+Inputs!$B$13/100))-(Inputs!$B$12*(1+Inputs!$B$13/100)))+0.25*(Inputs!$B$14-Inputs!$B$14))*(1+Inputs!$B$7/100))*(F912/100)</f>
        <v/>
      </c>
      <c r="K912">
        <f>J912*(1+((Inputs!$B$12*(1+Inputs!$B$13/100))*0.01+Inputs!$B$14*0.0025)/100)*(1+Inputs!$B$15/100)*(1+Inputs!$B$16/100)*(5000/(6000+Inputs!$B$42*(1-(100*(1-(1-(Inputs!$B$19+0)/100)*(1-CHOOSE(ArtifactsInput!$N$40+1,5,6,7,8,9,10)/100)^(ArtifactsInput!$M$40-ArtifactsInput!$M$40)))/100)))*(1+(Inputs!$B$24+((C925=TRUE)*(F925-Calc!F26))+B936)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EIGHT_LEGS_EASTON",Inputs!$B$17+((C922=TRUE)*(F922-Calc!F23))+((C926=TRUE)*(F926-Calc!F27))+((IF(AND(Inputs!$B$38&lt;&gt;"pvp",Inputs!$B$43=0),1,IF(IF(Inputs!$B$38="pvp",15,Inputs!$B$43)-(B937)&lt;=0,1,MAX(0,IF(Inputs!$B$38="pvp",15,Inputs!$B$43)-MAX(5,B937))/(IF(Inputs!$B$38="pvp",15,Inputs!$B$43)-(B937))))*(IF(AND(ArtifactsInput!$M$42,((Inputs!$B$9+((C918=TRUE)*(F918-Calc!F19))+B930+(ArtifactsInput!$M$24-ArtifactsInput!$M$24)*CHOOSE(ArtifactsInput!$N$24+1,10,12,14,16,18,20)+IF(ArtifactsInput!$M$10,CHOOSE(ArtifactsInput!$N$10+1,15,18,21,24,27,30)*(IF(Inputs!$B$38="pvp",MIN(15,15)/15,IF(AND(Inputs!$B$38&lt;&gt;"pvp",Inputs!$B$43&gt;0),MIN(15,Inputs!$B$43)/(Inputs!$B$43),0))),0)))&gt;=100),MIN(100,((Inputs!$B$9+((C918=TRUE)*(F918-Calc!F19))+B930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937)&lt;=0,1,MAX(0,IF(Inputs!$B$38="pvp",15,Inputs!$B$43)-MAX(5,B937))/(IF(Inputs!$B$38="pvp",15,Inputs!$B$43)-(B937))))*IF(AND(ArtifactsInput!$M$42,((Inputs!$B$9+((C918=TRUE)*(F918-Calc!F19))+B930+(ArtifactsInput!$M$24-ArtifactsInput!$M$24)*CHOOSE(ArtifactsInput!$N$24+1,10,12,14,16,18,20)+IF(ArtifactsInput!$M$10,CHOOSE(ArtifactsInput!$N$10+1,15,18,21,24,27,30)*(IF(Inputs!$B$38="pvp",MIN(15,15)/15,IF(AND(Inputs!$B$38&lt;&gt;"pvp",Inputs!$B$43&gt;0),MIN(15,Inputs!$B$43)/(Inputs!$B$43),0))),0)))&gt;=100),CHOOSE(ArtifactsInput!$N$42+1,40,48,56,64,72,80),0))))/100)*((1+(((C916=TRUE)*F916*5/7)+((C923=TRUE)*(F923-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912)</f>
        <v/>
      </c>
      <c r="L912">
        <f>K912*(MIN(Inputs!$B$22+((C921=TRUE)*(F921-Calc!F22)),(Inputs!$B$23+0+(IF(ArtifactsInput!$M$15,CHOOSE(ArtifactsInput!$N$15+1,25,30,35,40,45,50)/100*(Inputs!$B$11-Inputs!$B$11),0))))/100+(Inputs!$B$23+0+(IF(ArtifactsInput!$M$15,CHOOSE(ArtifactsInput!$N$15+1,25,30,35,40,45,50)/100*(Inputs!$B$11-Inputs!$B$11),0)))/100)/2</f>
        <v/>
      </c>
      <c r="M912">
        <f>L912*(1+(Inputs!$B$10+((C924=TRUE)*(F924-Calc!F25))+B935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12">
        <f>L912*(1-MIN((Inputs!$B$9+((C918=TRUE)*(F918-Calc!F19))+B930+(ArtifactsInput!$M$24-ArtifactsInput!$M$24)*CHOOSE(ArtifactsInput!$N$24+1,10,12,14,16,18,20)+(IF(AND(Inputs!$B$38&lt;&gt;"pvp",Inputs!$B$43=0),1,IF(IF(Inputs!$B$38="pvp",15,Inputs!$B$43)-(B937)&lt;=0,1,MAX(0,IF(Inputs!$B$38="pvp",15,Inputs!$B$43)-MAX(5,B937))/(IF(Inputs!$B$38="pvp",15,Inputs!$B$43)-(B937))))*IF(AND(ArtifactsInput!$M$42,((Inputs!$B$9+((C918=TRUE)*(F918-Calc!F19))+B930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912*(MIN((Inputs!$B$9+((C918=TRUE)*(F918-Calc!F19))+B930+(ArtifactsInput!$M$24-ArtifactsInput!$M$24)*CHOOSE(ArtifactsInput!$N$24+1,10,12,14,16,18,20)+(IF(AND(Inputs!$B$38&lt;&gt;"pvp",Inputs!$B$43=0),1,IF(IF(Inputs!$B$38="pvp",15,Inputs!$B$43)-(B937)&lt;=0,1,MAX(0,IF(Inputs!$B$38="pvp",15,Inputs!$B$43)-MAX(5,B937))/(IF(Inputs!$B$38="pvp",15,Inputs!$B$43)-(B937))))*IF(AND(ArtifactsInput!$M$42,((Inputs!$B$9+((C918=TRUE)*(F918-Calc!F19))+B930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12">
        <f>(1-Summary!$B$11)*T912+Summary!$B$11*V912</f>
        <v/>
      </c>
      <c r="P912">
        <f>IF(B940=0,0,O912/B940)</f>
        <v/>
      </c>
      <c r="Q912">
        <f>IFERROR(1/(IF(Inputs!$B$38="pvp",15,MAX(0.1,Skills!D13-IF(TRUE=TRUE,Inputs!$B$32,0)))*(1-IF(AND(ArtifactsInput!$M$27,Inputs!$B$4="Chapter Hunt"),CHOOSE(ArtifactsInput!$N$27+1,20,24,28,32,36,40),0)/100)),0)</f>
        <v/>
      </c>
      <c r="R912">
        <f>IF(AND(Inputs!$B$38&lt;&gt;"pvp",Inputs!$B$43&gt;0),IF(MAX(0,Inputs!$B$43-B937)&lt;=0,0,(INT(MAX(0,Inputs!$B$43-B937)/(IF(Inputs!$B$38="pvp",15,MAX(0.1,Skills!D13-IF(TRUE=TRUE,Inputs!$B$32,0)))*(1-IF(AND(ArtifactsInput!$M$27,Inputs!$B$4="Chapter Hunt"),CHOOSE(ArtifactsInput!$N$27+1,20,24,28,32,36,40),0)/100)))+1)),0)</f>
        <v/>
      </c>
      <c r="S912">
        <f>IFERROR(O912/N912,0)</f>
        <v/>
      </c>
      <c r="T912">
        <f>IF(C912,(H912*N912*IF(AND(Inputs!$B$38&lt;&gt;"pvp",Inputs!$B$43&gt;0),((Skills!G13*((R912-1)*IF(Skills!H13&gt;0,INT(Skills!I13/Skills!H13+0.000000001),1)+IF(Skills!H13&gt;0,INT(MIN(Skills!I13,MAX(0,MAX(0,Inputs!$B$43-B937)-((R912-1)*(IF(Inputs!$B$38="pvp",15,MAX(0.1,Skills!D13-IF(TRUE=TRUE,Inputs!$B$32,0)))*(1-IF(AND(ArtifactsInput!$M$27,Inputs!$B$4="Chapter Hunt"),CHOOSE(ArtifactsInput!$N$27+1,20,24,28,32,36,40),0)/100)))))/Skills!H13+0.000000001),1)))/Inputs!$B$43),G912*Q912))*IF(Inputs!$B$38="pvp",1,1+(Inputs!$B$20+0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Hunt"),CHOOSE(ArtifactsInput!$N$35+1,15,18,21,24,27,30)*(1-EXP(-(0.2*B932)*5)),0)+IF(AND(ArtifactsInput!$M$22,Inputs!$B$4&lt;&gt;"Chapter Hunt"),CHOOSE(ArtifactsInput!$N$22+1,10,12,14,16,18,20)*((0*(((0.15*B932*5))^0/1)+1*(((0.15*B932*5))^1/1)+2*(((0.15*B932*5))^2/2)+3*(((0.15*B932*5))^3/6)+4*(((0.15*B932*5))^4/24)+5*(((0.15*B932*5))^5/120))/((((0.15*B932*5))^0/1)+(((0.15*B932*5))^1/1)+(((0.15*B932*5))^2/2)+(((0.15*B932*5))^3/6)+(((0.15*B932*5))^4/24)+(((0.15*B932*5))^5/120))),0))+IF(Inputs!$B$3&gt;=54,9*(C902=TRUE)*MIN(1,8*(1+Inputs!$B$34/100)*Q902)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912*(1-MIN(100,(Inputs!$B$9+((C918=TRUE)*(F918-Calc!F19))+B930+(ArtifactsInput!$M$24-ArtifactsInput!$M$24)*CHOOSE(ArtifactsInput!$N$24+1,10,12,14,16,18,20)+(IF(AND(Inputs!$B$38&lt;&gt;"pvp",Inputs!$B$43=0),1,IF(IF(Inputs!$B$38="pvp",15,Inputs!$B$43)-(B937)&lt;=0,1,MAX(0,IF(Inputs!$B$38="pvp",15,Inputs!$B$43)-MAX(5,B937))/(IF(Inputs!$B$38="pvp",15,Inputs!$B$43)-(B937))))*IF(AND(ArtifactsInput!$M$42,((Inputs!$B$9+((C918=TRUE)*(F918-Calc!F19))+B930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912*(MIN(100,(Inputs!$B$9+((C918=TRUE)*(F918-Calc!F19))+B930+(ArtifactsInput!$M$24-ArtifactsInput!$M$24)*CHOOSE(ArtifactsInput!$N$24+1,10,12,14,16,18,20)+(IF(AND(Inputs!$B$38&lt;&gt;"pvp",Inputs!$B$43=0),1,IF(IF(Inputs!$B$38="pvp",15,Inputs!$B$43)-(B937)&lt;=0,1,MAX(0,IF(Inputs!$B$38="pvp",15,Inputs!$B$43)-MAX(5,B937))/(IF(Inputs!$B$38="pvp",15,Inputs!$B$43)-(B937))))*IF(AND(ArtifactsInput!$M$42,((Inputs!$B$9+((C918=TRUE)*(F918-Calc!F19))+B930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912*(1-MIN(100,(Inputs!$B$9+((C918=TRUE)*(F918-Calc!F19))+B930+(ArtifactsInput!$M$24-ArtifactsInput!$M$24)*CHOOSE(ArtifactsInput!$N$24+1,10,12,14,16,18,20)+(IF(AND(Inputs!$B$38&lt;&gt;"pvp",Inputs!$B$43=0),1,IF(IF(Inputs!$B$38="pvp",15,Inputs!$B$43)-(B937)&lt;=0,1,MAX(0,IF(Inputs!$B$38="pvp",15,Inputs!$B$43)-MAX(5,B937))/(IF(Inputs!$B$38="pvp",15,Inputs!$B$43)-(B937))))*IF(AND(ArtifactsInput!$M$42,((Inputs!$B$9+((C918=TRUE)*(F918-Calc!F19))+B930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912*(MIN(100,(Inputs!$B$9+((C918=TRUE)*(F918-Calc!F19))+B930+(ArtifactsInput!$M$24-ArtifactsInput!$M$24)*CHOOSE(ArtifactsInput!$N$24+1,10,12,14,16,18,20)+(IF(AND(Inputs!$B$38&lt;&gt;"pvp",Inputs!$B$43=0),1,IF(IF(Inputs!$B$38="pvp",15,Inputs!$B$43)-(B937)&lt;=0,1,MAX(0,IF(Inputs!$B$38="pvp",15,Inputs!$B$43)-MAX(5,B937))/(IF(Inputs!$B$38="pvp",15,Inputs!$B$43)-(B937))))*IF(AND(ArtifactsInput!$M$42,((Inputs!$B$9+((C918=TRUE)*(F918-Calc!F19))+B930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912">
        <f>IF(C912,(H912*N912*IF(AND(Inputs!$B$38&lt;&gt;"pvp",Inputs!$B$43&gt;0),((Skills!G13*((R912-1)*IF(Skills!H13&gt;0,INT(Skills!I13/Skills!H13+0.000000001),1)+IF(Skills!H13&gt;0,INT(MIN(Skills!I13,MAX(0,MAX(0,Inputs!$B$43-B937)-((R912-1)*(IF(Inputs!$B$38="pvp",15,MAX(0.1,Skills!D13-IF(TRUE=TRUE,Inputs!$B$32,0)))*(1-IF(AND(ArtifactsInput!$M$27,Inputs!$B$4="Chapter Hunt"),CHOOSE(ArtifactsInput!$N$27+1,20,24,28,32,36,40),0)/100)))))/Skills!H13+0.000000001),1)))/Inputs!$B$43),G912*Q912))*IF(Inputs!$B$38="pvp",1,(1+(Inputs!$B$21+Skills!Q13+(IF(ArtifactsInput!$M$33,CHOOSE(ArtifactsInput!$N$33+1,30,36,42,48,54,60),0))+(IF(AND(ArtifactsInput!$M$35,Inputs!$B$4&lt;&gt;"Chapter Hunt"),CHOOSE(ArtifactsInput!$N$35+1,15,18,21,24,27,30)*(1-EXP(-(0.2*B932)*5)),0)+IF(AND(ArtifactsInput!$M$22,Inputs!$B$4&lt;&gt;"Chapter Hunt"),CHOOSE(ArtifactsInput!$N$22+1,10,12,14,16,18,20)*((0*(((0.15*B932*5))^0/1)+1*(((0.15*B932*5))^1/1)+2*(((0.15*B932*5))^2/2)+3*(((0.15*B932*5))^3/6)+4*(((0.15*B932*5))^4/24)+5*(((0.15*B932*5))^5/120))/((((0.15*B932*5))^0/1)+(((0.15*B932*5))^1/1)+(((0.15*B932*5))^2/2)+(((0.15*B932*5))^3/6)+(((0.15*B932*5))^4/24)+(((0.15*B932*5))^5/120))),0))+IF(Inputs!$B$3&gt;=54,9*(C902=TRUE)*MIN(1,8*(1+Inputs!$B$34/100)*Q902),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13">
      <c r="A913">
        <f>Skills!A14</f>
        <v/>
      </c>
      <c r="B913">
        <f>Skills!B14</f>
        <v/>
      </c>
      <c r="C913">
        <f>Inputs!$B$3&gt;=120</f>
        <v/>
      </c>
      <c r="D913">
        <f>IF(Skills!C14=1,60+Inputs!$B$25+Inputs!$B$29,IF(Skills!C14=2,90+Inputs!$B$26+Inputs!$B$29,IF(Skills!C14=3,120+(Inputs!$B$27+1)+Inputs!$B$29,MAX(0,(Inputs!$B$3-100)*3)+Inputs!$B$28+Inputs!$B$29)))</f>
        <v/>
      </c>
      <c r="E913">
        <f>INDEX(FactorTable!$B$2:$Y$301, MATCH(ROUND(MIN(300,MAX(1,D913)),0), FactorTable!$A$2:$A$301,0), Skills!M14+1)</f>
        <v/>
      </c>
      <c r="F913">
        <f>IF(Skills!N14=TRUE,(Skills!L14/10)*(E913/1000),Skills!L14/10)+Skills!O14</f>
        <v/>
      </c>
      <c r="G913">
        <f>Skills!G14*IF(Skills!H14&gt;0,INT(IF(Inputs!$B$38="pvp",MIN(Skills!I14,15),Skills!I14)/Skills!H14+0.000000001),1)</f>
        <v/>
      </c>
      <c r="H913">
        <f>1-(1-Skills!J14/100)^Skills!K14</f>
        <v/>
      </c>
      <c r="I913" t="inlineStr">
        <is>
          <t>1</t>
        </is>
      </c>
      <c r="J913">
        <f>((Inputs!$B$6*(1+Inputs!$B$7/100))+(((Inputs!$B$12*(1+Inputs!$B$13/100))-(Inputs!$B$12*(1+Inputs!$B$13/100)))+0.25*(Inputs!$B$14-Inputs!$B$14))*(1+Inputs!$B$7/100))*(F913/100)</f>
        <v/>
      </c>
      <c r="K913">
        <f>J913*(1+((Inputs!$B$12*(1+Inputs!$B$13/100))*0.01+Inputs!$B$14*0.0025)/100)*(1+Inputs!$B$15/100)*(1+Inputs!$B$16/100)*(5000/(6000+Inputs!$B$42*(1-(100*(1-(1-(Inputs!$B$19+0)/100)*(1-CHOOSE(ArtifactsInput!$N$40+1,5,6,7,8,9,10)/100)^(ArtifactsInput!$M$40-ArtifactsInput!$M$40)))/100)))*(1+(Inputs!$B$24+((C925=TRUE)*(F925-Calc!F26))+B936)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EIGHT_LEGS_EASTON",Inputs!$B$17+((C922=TRUE)*(F922-Calc!F23))+((C926=TRUE)*(F926-Calc!F27))+((IF(AND(Inputs!$B$38&lt;&gt;"pvp",Inputs!$B$43=0),1,IF(IF(Inputs!$B$38="pvp",15,Inputs!$B$43)-(B937)&lt;=0,1,MAX(0,IF(Inputs!$B$38="pvp",15,Inputs!$B$43)-MAX(5,B937))/(IF(Inputs!$B$38="pvp",15,Inputs!$B$43)-(B937))))*(IF(AND(ArtifactsInput!$M$42,((Inputs!$B$9+((C918=TRUE)*(F918-Calc!F19))+B930+(ArtifactsInput!$M$24-ArtifactsInput!$M$24)*CHOOSE(ArtifactsInput!$N$24+1,10,12,14,16,18,20)+IF(ArtifactsInput!$M$10,CHOOSE(ArtifactsInput!$N$10+1,15,18,21,24,27,30)*(IF(Inputs!$B$38="pvp",MIN(15,15)/15,IF(AND(Inputs!$B$38&lt;&gt;"pvp",Inputs!$B$43&gt;0),MIN(15,Inputs!$B$43)/(Inputs!$B$43),0))),0)))&gt;=100),MIN(100,((Inputs!$B$9+((C918=TRUE)*(F918-Calc!F19))+B930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937)&lt;=0,1,MAX(0,IF(Inputs!$B$38="pvp",15,Inputs!$B$43)-MAX(5,B937))/(IF(Inputs!$B$38="pvp",15,Inputs!$B$43)-(B937))))*IF(AND(ArtifactsInput!$M$42,((Inputs!$B$9+((C918=TRUE)*(F918-Calc!F19))+B930+(ArtifactsInput!$M$24-ArtifactsInput!$M$24)*CHOOSE(ArtifactsInput!$N$24+1,10,12,14,16,18,20)+IF(ArtifactsInput!$M$10,CHOOSE(ArtifactsInput!$N$10+1,15,18,21,24,27,30)*(IF(Inputs!$B$38="pvp",MIN(15,15)/15,IF(AND(Inputs!$B$38&lt;&gt;"pvp",Inputs!$B$43&gt;0),MIN(15,Inputs!$B$43)/(Inputs!$B$43),0))),0)))&gt;=100),CHOOSE(ArtifactsInput!$N$42+1,40,48,56,64,72,80),0))))/100)*((1+(((C916=TRUE)*F916*5/7)+((C923=TRUE)*(F923-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913)</f>
        <v/>
      </c>
      <c r="L913">
        <f>K913*(MIN(Inputs!$B$22+((C921=TRUE)*(F921-Calc!F22)),(Inputs!$B$23+0+(IF(ArtifactsInput!$M$15,CHOOSE(ArtifactsInput!$N$15+1,25,30,35,40,45,50)/100*(Inputs!$B$11-Inputs!$B$11),0))))/100+(Inputs!$B$23+0+(IF(ArtifactsInput!$M$15,CHOOSE(ArtifactsInput!$N$15+1,25,30,35,40,45,50)/100*(Inputs!$B$11-Inputs!$B$11),0)))/100)/2</f>
        <v/>
      </c>
      <c r="M913">
        <f>L913*(1+(Inputs!$B$10+((C924=TRUE)*(F924-Calc!F25))+B935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13">
        <f>L913*(1-MIN((Inputs!$B$9+((C918=TRUE)*(F918-Calc!F19))+B930+(ArtifactsInput!$M$24-ArtifactsInput!$M$24)*CHOOSE(ArtifactsInput!$N$24+1,10,12,14,16,18,20)+(IF(AND(Inputs!$B$38&lt;&gt;"pvp",Inputs!$B$43=0),1,IF(IF(Inputs!$B$38="pvp",15,Inputs!$B$43)-(B937)&lt;=0,1,MAX(0,IF(Inputs!$B$38="pvp",15,Inputs!$B$43)-MAX(5,B937))/(IF(Inputs!$B$38="pvp",15,Inputs!$B$43)-(B937))))*IF(AND(ArtifactsInput!$M$42,((Inputs!$B$9+((C918=TRUE)*(F918-Calc!F19))+B930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913*(MIN((Inputs!$B$9+((C918=TRUE)*(F918-Calc!F19))+B930+(ArtifactsInput!$M$24-ArtifactsInput!$M$24)*CHOOSE(ArtifactsInput!$N$24+1,10,12,14,16,18,20)+(IF(AND(Inputs!$B$38&lt;&gt;"pvp",Inputs!$B$43=0),1,IF(IF(Inputs!$B$38="pvp",15,Inputs!$B$43)-(B937)&lt;=0,1,MAX(0,IF(Inputs!$B$38="pvp",15,Inputs!$B$43)-MAX(5,B937))/(IF(Inputs!$B$38="pvp",15,Inputs!$B$43)-(B937))))*IF(AND(ArtifactsInput!$M$42,((Inputs!$B$9+((C918=TRUE)*(F918-Calc!F19))+B930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13">
        <f>(1-Summary!$B$11)*T913+Summary!$B$11*V913</f>
        <v/>
      </c>
      <c r="P913">
        <f>IF(B940=0,0,O913/B940)</f>
        <v/>
      </c>
      <c r="Q913" t="n">
        <v>0</v>
      </c>
      <c r="R913" t="n">
        <v>0</v>
      </c>
      <c r="S913">
        <f>IFERROR(O913/N913,0)</f>
        <v/>
      </c>
      <c r="T913">
        <f>IF(C913,((H913*(B934+IF(AND(Inputs!$B$38&lt;&gt;"pvp",Inputs!$B$43&gt;0),((Skills!G8*((R907-1)*IF(Skills!H8&gt;0,INT(Skills!I8/Skills!H8+0.000000001),1)+IF(Skills!H8&gt;0,INT(MIN(Skills!I8,MAX(0,MAX(0,Inputs!$B$43-B937)-((R907-1)*((IF(Inputs!$B$38="pvp",15,MAX(0.1,Skills!D8-IF(TRUE=TRUE,Inputs!$B$32,0)))*(1-IF(AND(ArtifactsInput!$M$27,Inputs!$B$4="Chapter Hunt"),CHOOSE(ArtifactsInput!$N$27+1,20,24,28,32,36,40),0)/100))/B941))))/Skills!H8+0.000000001),1)))/Inputs!$B$43),G907*Q907)+IF(AND(Inputs!$B$38&lt;&gt;"pvp",Inputs!$B$43&gt;0),((Skills!G11*((R910-1)*IF(Skills!H11&gt;0,INT(Skills!I11/Skills!H11+0.000000001),1)+IF(Skills!H11&gt;0,INT(MIN(Skills!I11,MAX(0,MAX(0,Inputs!$B$43-B937)-((R910-1)*((IF(Inputs!$B$38="pvp",15,MAX(0.1,Skills!D11-IF(TRUE=TRUE,Inputs!$B$32,0)))*(1-IF(AND(ArtifactsInput!$M$27,Inputs!$B$4="Chapter Hunt"),CHOOSE(ArtifactsInput!$N$27+1,20,24,28,32,36,40),0)/100))/B941))))/Skills!H11+0.000000001),1)))/Inputs!$B$43),G910*Q910)))/(1+Skills!H14*H913*(B934+IF(AND(Inputs!$B$38&lt;&gt;"pvp",Inputs!$B$43&gt;0),((Skills!G8*((R907-1)*IF(Skills!H8&gt;0,INT(Skills!I8/Skills!H8+0.000000001),1)+IF(Skills!H8&gt;0,INT(MIN(Skills!I8,MAX(0,MAX(0,Inputs!$B$43-B937)-((R907-1)*((IF(Inputs!$B$38="pvp",15,MAX(0.1,Skills!D8-IF(TRUE=TRUE,Inputs!$B$32,0)))*(1-IF(AND(ArtifactsInput!$M$27,Inputs!$B$4="Chapter Hunt"),CHOOSE(ArtifactsInput!$N$27+1,20,24,28,32,36,40),0)/100))/B941))))/Skills!H8+0.000000001),1)))/Inputs!$B$43),G907*Q907)+IF(AND(Inputs!$B$38&lt;&gt;"pvp",Inputs!$B$43&gt;0),((Skills!G11*((R910-1)*IF(Skills!H11&gt;0,INT(Skills!I11/Skills!H11+0.000000001),1)+IF(Skills!H11&gt;0,INT(MIN(Skills!I11,MAX(0,MAX(0,Inputs!$B$43-B937)-((R910-1)*((IF(Inputs!$B$38="pvp",15,MAX(0.1,Skills!D11-IF(TRUE=TRUE,Inputs!$B$32,0)))*(1-IF(AND(ArtifactsInput!$M$27,Inputs!$B$4="Chapter Hunt"),CHOOSE(ArtifactsInput!$N$27+1,20,24,28,32,36,40),0)/100))/B941))))/Skills!H11+0.000000001),1)))/Inputs!$B$43),G910*Q910)))*N913)*IF(Inputs!$B$38="pvp",1,1+(Inputs!$B$20+0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Hunt"),CHOOSE(ArtifactsInput!$N$35+1,15,18,21,24,27,30)*(1-EXP(-(0.2*B932)*5)),0)+IF(AND(ArtifactsInput!$M$22,Inputs!$B$4&lt;&gt;"Chapter Hunt"),CHOOSE(ArtifactsInput!$N$22+1,10,12,14,16,18,20)*((0*(((0.15*B932*5))^0/1)+1*(((0.15*B932*5))^1/1)+2*(((0.15*B932*5))^2/2)+3*(((0.15*B932*5))^3/6)+4*(((0.15*B932*5))^4/24)+5*(((0.15*B932*5))^5/120))/((((0.15*B932*5))^0/1)+(((0.15*B932*5))^1/1)+(((0.15*B932*5))^2/2)+(((0.15*B932*5))^3/6)+(((0.15*B932*5))^4/24)+(((0.15*B932*5))^5/120))),0))+IF(Inputs!$B$3&gt;=54,9*(C902=TRUE)*MIN(1,8*(1+Inputs!$B$34/100)*Q902)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913*(1-MIN(100,(Inputs!$B$9+((C918=TRUE)*(F918-Calc!F19))+B930+(ArtifactsInput!$M$24-ArtifactsInput!$M$24)*CHOOSE(ArtifactsInput!$N$24+1,10,12,14,16,18,20)+(IF(AND(Inputs!$B$38&lt;&gt;"pvp",Inputs!$B$43=0),1,IF(IF(Inputs!$B$38="pvp",15,Inputs!$B$43)-(B937)&lt;=0,1,MAX(0,IF(Inputs!$B$38="pvp",15,Inputs!$B$43)-MAX(5,B937))/(IF(Inputs!$B$38="pvp",15,Inputs!$B$43)-(B937))))*IF(AND(ArtifactsInput!$M$42,((Inputs!$B$9+((C918=TRUE)*(F918-Calc!F19))+B930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913*(MIN(100,(Inputs!$B$9+((C918=TRUE)*(F918-Calc!F19))+B930+(ArtifactsInput!$M$24-ArtifactsInput!$M$24)*CHOOSE(ArtifactsInput!$N$24+1,10,12,14,16,18,20)+(IF(AND(Inputs!$B$38&lt;&gt;"pvp",Inputs!$B$43=0),1,IF(IF(Inputs!$B$38="pvp",15,Inputs!$B$43)-(B937)&lt;=0,1,MAX(0,IF(Inputs!$B$38="pvp",15,Inputs!$B$43)-MAX(5,B937))/(IF(Inputs!$B$38="pvp",15,Inputs!$B$43)-(B937))))*IF(AND(ArtifactsInput!$M$42,((Inputs!$B$9+((C918=TRUE)*(F918-Calc!F19))+B930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913*(1-MIN(100,(Inputs!$B$9+((C918=TRUE)*(F918-Calc!F19))+B930+(ArtifactsInput!$M$24-ArtifactsInput!$M$24)*CHOOSE(ArtifactsInput!$N$24+1,10,12,14,16,18,20)+(IF(AND(Inputs!$B$38&lt;&gt;"pvp",Inputs!$B$43=0),1,IF(IF(Inputs!$B$38="pvp",15,Inputs!$B$43)-(B937)&lt;=0,1,MAX(0,IF(Inputs!$B$38="pvp",15,Inputs!$B$43)-MAX(5,B937))/(IF(Inputs!$B$38="pvp",15,Inputs!$B$43)-(B937))))*IF(AND(ArtifactsInput!$M$42,((Inputs!$B$9+((C918=TRUE)*(F918-Calc!F19))+B930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913*(MIN(100,(Inputs!$B$9+((C918=TRUE)*(F918-Calc!F19))+B930+(ArtifactsInput!$M$24-ArtifactsInput!$M$24)*CHOOSE(ArtifactsInput!$N$24+1,10,12,14,16,18,20)+(IF(AND(Inputs!$B$38&lt;&gt;"pvp",Inputs!$B$43=0),1,IF(IF(Inputs!$B$38="pvp",15,Inputs!$B$43)-(B937)&lt;=0,1,MAX(0,IF(Inputs!$B$38="pvp",15,Inputs!$B$43)-MAX(5,B937))/(IF(Inputs!$B$38="pvp",15,Inputs!$B$43)-(B937))))*IF(AND(ArtifactsInput!$M$42,((Inputs!$B$9+((C918=TRUE)*(F918-Calc!F19))+B930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913">
        <f>IF(C913,((H913*(B934+IF(AND(Inputs!$B$38&lt;&gt;"pvp",Inputs!$B$43&gt;0),((Skills!G8*((R907-1)*IF(Skills!H8&gt;0,INT(Skills!I8/Skills!H8+0.000000001),1)+IF(Skills!H8&gt;0,INT(MIN(Skills!I8,MAX(0,MAX(0,Inputs!$B$43-B937)-((R907-1)*((IF(Inputs!$B$38="pvp",15,MAX(0.1,Skills!D8-IF(TRUE=TRUE,Inputs!$B$32,0)))*(1-IF(AND(ArtifactsInput!$M$27,Inputs!$B$4="Chapter Hunt"),CHOOSE(ArtifactsInput!$N$27+1,20,24,28,32,36,40),0)/100))/B941))))/Skills!H8+0.000000001),1)))/Inputs!$B$43),G907*Q907)+IF(AND(Inputs!$B$38&lt;&gt;"pvp",Inputs!$B$43&gt;0),((Skills!G11*((R910-1)*IF(Skills!H11&gt;0,INT(Skills!I11/Skills!H11+0.000000001),1)+IF(Skills!H11&gt;0,INT(MIN(Skills!I11,MAX(0,MAX(0,Inputs!$B$43-B937)-((R910-1)*((IF(Inputs!$B$38="pvp",15,MAX(0.1,Skills!D11-IF(TRUE=TRUE,Inputs!$B$32,0)))*(1-IF(AND(ArtifactsInput!$M$27,Inputs!$B$4="Chapter Hunt"),CHOOSE(ArtifactsInput!$N$27+1,20,24,28,32,36,40),0)/100))/B941))))/Skills!H11+0.000000001),1)))/Inputs!$B$43),G910*Q910)))/(1+Skills!H14*H913*(B934+IF(AND(Inputs!$B$38&lt;&gt;"pvp",Inputs!$B$43&gt;0),((Skills!G8*((R907-1)*IF(Skills!H8&gt;0,INT(Skills!I8/Skills!H8+0.000000001),1)+IF(Skills!H8&gt;0,INT(MIN(Skills!I8,MAX(0,MAX(0,Inputs!$B$43-B937)-((R907-1)*((IF(Inputs!$B$38="pvp",15,MAX(0.1,Skills!D8-IF(TRUE=TRUE,Inputs!$B$32,0)))*(1-IF(AND(ArtifactsInput!$M$27,Inputs!$B$4="Chapter Hunt"),CHOOSE(ArtifactsInput!$N$27+1,20,24,28,32,36,40),0)/100))/B941))))/Skills!H8+0.000000001),1)))/Inputs!$B$43),G907*Q907)+IF(AND(Inputs!$B$38&lt;&gt;"pvp",Inputs!$B$43&gt;0),((Skills!G11*((R910-1)*IF(Skills!H11&gt;0,INT(Skills!I11/Skills!H11+0.000000001),1)+IF(Skills!H11&gt;0,INT(MIN(Skills!I11,MAX(0,MAX(0,Inputs!$B$43-B937)-((R910-1)*((IF(Inputs!$B$38="pvp",15,MAX(0.1,Skills!D11-IF(TRUE=TRUE,Inputs!$B$32,0)))*(1-IF(AND(ArtifactsInput!$M$27,Inputs!$B$4="Chapter Hunt"),CHOOSE(ArtifactsInput!$N$27+1,20,24,28,32,36,40),0)/100))/B941))))/Skills!H11+0.000000001),1)))/Inputs!$B$43),G910*Q910)))*N913)*IF(Inputs!$B$38="pvp",1,(1+(Inputs!$B$21+Skills!Q14+(IF(ArtifactsInput!$M$33,CHOOSE(ArtifactsInput!$N$33+1,30,36,42,48,54,60),0))+(IF(AND(ArtifactsInput!$M$35,Inputs!$B$4&lt;&gt;"Chapter Hunt"),CHOOSE(ArtifactsInput!$N$35+1,15,18,21,24,27,30)*(1-EXP(-(0.2*B932)*5)),0)+IF(AND(ArtifactsInput!$M$22,Inputs!$B$4&lt;&gt;"Chapter Hunt"),CHOOSE(ArtifactsInput!$N$22+1,10,12,14,16,18,20)*((0*(((0.15*B932*5))^0/1)+1*(((0.15*B932*5))^1/1)+2*(((0.15*B932*5))^2/2)+3*(((0.15*B932*5))^3/6)+4*(((0.15*B932*5))^4/24)+5*(((0.15*B932*5))^5/120))/((((0.15*B932*5))^0/1)+(((0.15*B932*5))^1/1)+(((0.15*B932*5))^2/2)+(((0.15*B932*5))^3/6)+(((0.15*B932*5))^4/24)+(((0.15*B932*5))^5/120))),0))+IF(Inputs!$B$3&gt;=54,9*(C902=TRUE)*MIN(1,8*(1+Inputs!$B$34/100)*Q902),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14">
      <c r="A914">
        <f>Skills!A15</f>
        <v/>
      </c>
      <c r="B914">
        <f>Skills!B15</f>
        <v/>
      </c>
      <c r="C914">
        <f>Inputs!$B$3&gt;=100</f>
        <v/>
      </c>
      <c r="D914">
        <f>IF(Skills!C15=1,60+Inputs!$B$25+Inputs!$B$29,IF(Skills!C15=2,90+Inputs!$B$26+Inputs!$B$29,IF(Skills!C15=3,120+(Inputs!$B$27+1)+Inputs!$B$29,MAX(0,(Inputs!$B$3-100)*3)+Inputs!$B$28+Inputs!$B$29)))</f>
        <v/>
      </c>
      <c r="E914">
        <f>INDEX(FactorTable!$B$2:$Y$301, MATCH(ROUND(MIN(300,MAX(1,D914)),0), FactorTable!$A$2:$A$301,0), Skills!M15+1)</f>
        <v/>
      </c>
      <c r="F914">
        <f>IF(Skills!N15=TRUE,(Skills!L15/10)*(E914/1000),Skills!L15/10)+Skills!O15</f>
        <v/>
      </c>
      <c r="G914" t="inlineStr"/>
      <c r="H914" t="inlineStr"/>
      <c r="I914" t="inlineStr">
        <is>
          <t>1</t>
        </is>
      </c>
      <c r="J914" t="inlineStr"/>
      <c r="K914" t="inlineStr"/>
      <c r="L914" t="inlineStr"/>
      <c r="M914" t="inlineStr"/>
      <c r="N914" t="inlineStr"/>
      <c r="O914" t="inlineStr"/>
      <c r="P914" t="inlineStr"/>
      <c r="Q914" t="inlineStr"/>
      <c r="R914" t="inlineStr"/>
      <c r="S914" t="inlineStr"/>
    </row>
    <row r="915">
      <c r="A915">
        <f>Skills!A16</f>
        <v/>
      </c>
      <c r="B915">
        <f>Skills!B16</f>
        <v/>
      </c>
      <c r="C915">
        <f>Inputs!$B$3&gt;=107</f>
        <v/>
      </c>
      <c r="D915">
        <f>IF(Skills!C16=1,60+Inputs!$B$25+Inputs!$B$29,IF(Skills!C16=2,90+Inputs!$B$26+Inputs!$B$29,IF(Skills!C16=3,120+(Inputs!$B$27+1)+Inputs!$B$29,MAX(0,(Inputs!$B$3-100)*3)+Inputs!$B$28+Inputs!$B$29)))</f>
        <v/>
      </c>
      <c r="E915">
        <f>INDEX(FactorTable!$B$2:$Y$301, MATCH(ROUND(MIN(300,MAX(1,D915)),0), FactorTable!$A$2:$A$301,0), Skills!M16+1)</f>
        <v/>
      </c>
      <c r="F915">
        <f>IF(Skills!N16=TRUE,(Skills!L16/10)*(E915/1000),Skills!L16/10)+Skills!O16</f>
        <v/>
      </c>
      <c r="G915" t="inlineStr"/>
      <c r="H915" t="inlineStr"/>
      <c r="I915" t="inlineStr">
        <is>
          <t>1</t>
        </is>
      </c>
      <c r="J915" t="inlineStr"/>
      <c r="K915" t="inlineStr"/>
      <c r="L915" t="inlineStr"/>
      <c r="M915" t="inlineStr"/>
      <c r="N915" t="inlineStr"/>
      <c r="O915" t="inlineStr"/>
      <c r="P915" t="inlineStr"/>
      <c r="Q915" t="inlineStr"/>
      <c r="R915" t="inlineStr"/>
      <c r="S915" t="inlineStr"/>
    </row>
    <row r="916">
      <c r="A916">
        <f>Skills!A17</f>
        <v/>
      </c>
      <c r="B916">
        <f>Skills!B17</f>
        <v/>
      </c>
      <c r="C916">
        <f>Inputs!$B$3&gt;=74</f>
        <v/>
      </c>
      <c r="D916">
        <f>IF(Skills!C17=1,60+Inputs!$B$25+Inputs!$B$29,IF(Skills!C17=2,90+Inputs!$B$26+Inputs!$B$29,IF(Skills!C17=3,120+(Inputs!$B$27+1)+Inputs!$B$29,MAX(0,(Inputs!$B$3-100)*3)+Inputs!$B$28+Inputs!$B$29)))</f>
        <v/>
      </c>
      <c r="E916">
        <f>INDEX(FactorTable!$B$2:$Y$301, MATCH(ROUND(MIN(300,MAX(1,D916)),0), FactorTable!$A$2:$A$301,0), Skills!M17+1)</f>
        <v/>
      </c>
      <c r="F916">
        <f>IF(Skills!N17=TRUE,(Skills!L17/10)*(E916/1000),Skills!L17/10)+Skills!O17</f>
        <v/>
      </c>
      <c r="G916">
        <f>Skills!G17*IF(Skills!H17&gt;0,INT(IF(Inputs!$B$38="pvp",MIN(Skills!I17,15),Skills!I17)/Skills!H17+0.000000001),1)</f>
        <v/>
      </c>
      <c r="H916">
        <f>1-(1-Skills!J17/100)^Skills!K17</f>
        <v/>
      </c>
      <c r="I916" t="inlineStr">
        <is>
          <t>1</t>
        </is>
      </c>
      <c r="J916" t="inlineStr"/>
      <c r="K916" t="inlineStr"/>
      <c r="L916" t="inlineStr"/>
      <c r="M916" t="inlineStr"/>
      <c r="N916" t="inlineStr"/>
      <c r="O916">
        <f>(1-Summary!$B$11)*T916+Summary!$B$11*V916</f>
        <v/>
      </c>
      <c r="P916">
        <f>IF(B940=0,0,O916/B940)</f>
        <v/>
      </c>
      <c r="Q916" t="n">
        <v>0</v>
      </c>
      <c r="R916" t="n">
        <v>0</v>
      </c>
      <c r="S916">
        <f>IFERROR(O916/N916,0)</f>
        <v/>
      </c>
      <c r="T916" t="n">
        <v>0</v>
      </c>
      <c r="V916" t="n">
        <v>0</v>
      </c>
    </row>
    <row r="917">
      <c r="A917">
        <f>Skills!A18</f>
        <v/>
      </c>
      <c r="B917">
        <f>Skills!B18</f>
        <v/>
      </c>
      <c r="C917">
        <f>Inputs!$B$3&gt;=115</f>
        <v/>
      </c>
      <c r="D917">
        <f>IF(Skills!C18=1,60+Inputs!$B$25+Inputs!$B$29,IF(Skills!C18=2,90+Inputs!$B$26+Inputs!$B$29,IF(Skills!C18=3,120+(Inputs!$B$27+1)+Inputs!$B$29,MAX(0,(Inputs!$B$3-100)*3)+Inputs!$B$28+Inputs!$B$29)))</f>
        <v/>
      </c>
      <c r="E917">
        <f>INDEX(FactorTable!$B$2:$Y$301, MATCH(ROUND(MIN(300,MAX(1,D917)),0), FactorTable!$A$2:$A$301,0), Skills!M18+1)</f>
        <v/>
      </c>
      <c r="F917">
        <f>IF(Skills!N18=TRUE,(Skills!L18/10)*(E917/1000),Skills!L18/10)+Skills!O18</f>
        <v/>
      </c>
      <c r="G917">
        <f>Skills!G18*IF(Skills!H18&gt;0,INT(IF(Inputs!$B$38="pvp",MIN(Skills!I18,15),Skills!I18)/Skills!H18+0.000000001),1)</f>
        <v/>
      </c>
      <c r="H917">
        <f>1-(1-Skills!J18/100)^Skills!K18</f>
        <v/>
      </c>
      <c r="I917" t="inlineStr">
        <is>
          <t>1</t>
        </is>
      </c>
      <c r="J917" t="inlineStr"/>
      <c r="K917" t="inlineStr"/>
      <c r="L917" t="inlineStr"/>
      <c r="M917" t="inlineStr"/>
      <c r="N917" t="inlineStr"/>
      <c r="O917">
        <f>(1-Summary!$B$11)*T917+Summary!$B$11*V917</f>
        <v/>
      </c>
      <c r="P917">
        <f>IF(B940=0,0,O917/B940)</f>
        <v/>
      </c>
      <c r="Q917">
        <f>IFERROR(1/(IF(Inputs!$B$38="pvp",15,MAX(0.1,Skills!D18-IF(TRUE=TRUE,Inputs!$B$32,0)))*(1-IF(AND(ArtifactsInput!$M$27,Inputs!$B$4="Chapter Hunt"),CHOOSE(ArtifactsInput!$N$27+1,20,24,28,32,36,40),0)/100)),0)</f>
        <v/>
      </c>
      <c r="R917">
        <f>IF(AND(Inputs!$B$38&lt;&gt;"pvp",Inputs!$B$43&gt;0),IF(Inputs!$B$43&lt;=0,0,(INT(Inputs!$B$43/(IF(Inputs!$B$38="pvp",15,MAX(0.1,Skills!D18-IF(TRUE=TRUE,Inputs!$B$32,0)))*(1-IF(AND(ArtifactsInput!$M$27,Inputs!$B$4="Chapter Hunt"),CHOOSE(ArtifactsInput!$N$27+1,20,24,28,32,36,40),0)/100)))+1)),0)</f>
        <v/>
      </c>
      <c r="S917">
        <f>IFERROR(O917/N917,0)</f>
        <v/>
      </c>
      <c r="T917" t="n">
        <v>0</v>
      </c>
      <c r="V917" t="n">
        <v>0</v>
      </c>
    </row>
    <row r="918">
      <c r="A918">
        <f>Skills!A19</f>
        <v/>
      </c>
      <c r="B918">
        <f>Skills!B19</f>
        <v/>
      </c>
      <c r="C918">
        <f>Inputs!$B$3&gt;=10</f>
        <v/>
      </c>
      <c r="D918">
        <f>IF(Skills!C19=1,60+Inputs!$B$25+Inputs!$B$29,IF(Skills!C19=2,90+Inputs!$B$26+Inputs!$B$29,IF(Skills!C19=3,120+(Inputs!$B$27+1)+Inputs!$B$29,MAX(0,(Inputs!$B$3-100)*3)+Inputs!$B$28+Inputs!$B$29)))</f>
        <v/>
      </c>
      <c r="E918">
        <f>INDEX(FactorTable!$B$2:$Y$301, MATCH(ROUND(MIN(300,MAX(1,D918)),0), FactorTable!$A$2:$A$301,0), Skills!M19+1)</f>
        <v/>
      </c>
      <c r="F918">
        <f>IF(Skills!N19=TRUE,(Skills!L19/10)*(E918/1000),Skills!L19/10)+Skills!O19</f>
        <v/>
      </c>
      <c r="G918">
        <f>Skills!G19*IF(Skills!H19&gt;0,INT(IF(Inputs!$B$38="pvp",MIN(Skills!I19,15),Skills!I19)/Skills!H19+0.000000001),1)</f>
        <v/>
      </c>
      <c r="H918">
        <f>1-(1-Skills!J19/100)^Skills!K19</f>
        <v/>
      </c>
      <c r="I918" t="inlineStr">
        <is>
          <t>1</t>
        </is>
      </c>
      <c r="J918" t="inlineStr"/>
      <c r="K918" t="inlineStr"/>
      <c r="L918" t="inlineStr"/>
      <c r="M918" t="inlineStr"/>
      <c r="N918" t="inlineStr"/>
      <c r="O918">
        <f>(1-Summary!$B$11)*T918+Summary!$B$11*V918</f>
        <v/>
      </c>
      <c r="P918">
        <f>IF(B940=0,0,O918/B940)</f>
        <v/>
      </c>
      <c r="Q918" t="n">
        <v>0</v>
      </c>
      <c r="R918" t="n">
        <v>0</v>
      </c>
      <c r="S918">
        <f>IFERROR(O918/N918,0)</f>
        <v/>
      </c>
      <c r="T918" t="n">
        <v>0</v>
      </c>
      <c r="V918" t="n">
        <v>0</v>
      </c>
    </row>
    <row r="919">
      <c r="A919">
        <f>Skills!A20</f>
        <v/>
      </c>
      <c r="B919">
        <f>Skills!B20</f>
        <v/>
      </c>
      <c r="C919">
        <f>Inputs!$B$3&gt;=15</f>
        <v/>
      </c>
      <c r="D919">
        <f>IF(Skills!C20=1,60+Inputs!$B$25+Inputs!$B$29,IF(Skills!C20=2,90+Inputs!$B$26+Inputs!$B$29,IF(Skills!C20=3,120+(Inputs!$B$27+1)+Inputs!$B$29,MAX(0,(Inputs!$B$3-100)*3)+Inputs!$B$28+Inputs!$B$29)))</f>
        <v/>
      </c>
      <c r="E919">
        <f>INDEX(FactorTable!$B$2:$Y$301, MATCH(ROUND(MIN(300,MAX(1,D919)),0), FactorTable!$A$2:$A$301,0), Skills!M20+1)</f>
        <v/>
      </c>
      <c r="F919">
        <f>IF(Skills!N20=TRUE,(Skills!L20/10)*(E919/1000),Skills!L20/10)+Skills!O20</f>
        <v/>
      </c>
      <c r="G919">
        <f>Skills!G20*IF(Skills!H20&gt;0,INT(IF(Inputs!$B$38="pvp",MIN(Skills!I20,15),Skills!I20)/Skills!H20+0.000000001),1)</f>
        <v/>
      </c>
      <c r="H919">
        <f>1-(1-Skills!J20/100)^Skills!K20</f>
        <v/>
      </c>
      <c r="I919" t="inlineStr">
        <is>
          <t>1</t>
        </is>
      </c>
      <c r="J919" t="inlineStr"/>
      <c r="K919" t="inlineStr"/>
      <c r="L919" t="inlineStr"/>
      <c r="M919" t="inlineStr"/>
      <c r="N919" t="inlineStr"/>
      <c r="O919">
        <f>(1-Summary!$B$11)*T919+Summary!$B$11*V919</f>
        <v/>
      </c>
      <c r="P919">
        <f>IF(B940=0,0,O919/B940)</f>
        <v/>
      </c>
      <c r="Q919" t="n">
        <v>0</v>
      </c>
      <c r="R919" t="n">
        <v>0</v>
      </c>
      <c r="S919">
        <f>IFERROR(O919/N919,0)</f>
        <v/>
      </c>
      <c r="T919" t="n">
        <v>0</v>
      </c>
      <c r="V919" t="n">
        <v>0</v>
      </c>
    </row>
    <row r="920">
      <c r="A920">
        <f>Skills!A21</f>
        <v/>
      </c>
      <c r="B920">
        <f>Skills!B21</f>
        <v/>
      </c>
      <c r="C920">
        <f>Inputs!$B$3&gt;=40</f>
        <v/>
      </c>
      <c r="D920">
        <f>IF(Skills!C21=1,60+Inputs!$B$25+Inputs!$B$29,IF(Skills!C21=2,90+Inputs!$B$26+Inputs!$B$29,IF(Skills!C21=3,120+(Inputs!$B$27+1)+Inputs!$B$29,MAX(0,(Inputs!$B$3-100)*3)+Inputs!$B$28+Inputs!$B$29)))</f>
        <v/>
      </c>
      <c r="E920">
        <f>INDEX(FactorTable!$B$2:$Y$301, MATCH(ROUND(MIN(300,MAX(1,D920)),0), FactorTable!$A$2:$A$301,0), Skills!M21+1)</f>
        <v/>
      </c>
      <c r="F920">
        <f>IF(Skills!N21=TRUE,(Skills!L21/10)*(E920/1000),Skills!L21/10)+Skills!O21</f>
        <v/>
      </c>
      <c r="G920">
        <f>Skills!G21*IF(Skills!H21&gt;0,INT(IF(Inputs!$B$38="pvp",MIN(Skills!I21,15),Skills!I21)/Skills!H21+0.000000001),1)</f>
        <v/>
      </c>
      <c r="H920">
        <f>1-(1-Skills!J21/100)^Skills!K21</f>
        <v/>
      </c>
      <c r="I920" t="inlineStr">
        <is>
          <t>1</t>
        </is>
      </c>
      <c r="J920" t="inlineStr"/>
      <c r="K920" t="inlineStr"/>
      <c r="L920" t="inlineStr"/>
      <c r="M920" t="inlineStr"/>
      <c r="N920" t="inlineStr"/>
      <c r="O920">
        <f>(1-Summary!$B$11)*T920+Summary!$B$11*V920</f>
        <v/>
      </c>
      <c r="P920">
        <f>IF(B940=0,0,O920/B940)</f>
        <v/>
      </c>
      <c r="Q920" t="n">
        <v>0</v>
      </c>
      <c r="R920" t="n">
        <v>0</v>
      </c>
      <c r="S920">
        <f>IFERROR(O920/N920,0)</f>
        <v/>
      </c>
      <c r="T920" t="n">
        <v>0</v>
      </c>
      <c r="V920" t="n">
        <v>0</v>
      </c>
    </row>
    <row r="921">
      <c r="A921">
        <f>Skills!A22</f>
        <v/>
      </c>
      <c r="B921">
        <f>Skills!B22</f>
        <v/>
      </c>
      <c r="C921">
        <f>Inputs!$B$3&gt;=43</f>
        <v/>
      </c>
      <c r="D921">
        <f>IF(Skills!C22=1,60+Inputs!$B$25+Inputs!$B$29,IF(Skills!C22=2,90+Inputs!$B$26+Inputs!$B$29,IF(Skills!C22=3,120+(Inputs!$B$27+1)+Inputs!$B$29,MAX(0,(Inputs!$B$3-100)*3)+Inputs!$B$28+Inputs!$B$29)))</f>
        <v/>
      </c>
      <c r="E921">
        <f>INDEX(FactorTable!$B$2:$Y$301, MATCH(ROUND(MIN(300,MAX(1,D921)),0), FactorTable!$A$2:$A$301,0), Skills!M22+1)</f>
        <v/>
      </c>
      <c r="F921">
        <f>IF(Skills!N22=TRUE,(Skills!L22/10)*(E921/1000),Skills!L22/10)+Skills!O22</f>
        <v/>
      </c>
      <c r="G921">
        <f>Skills!G22*IF(Skills!H22&gt;0,INT(IF(Inputs!$B$38="pvp",MIN(Skills!I22,15),Skills!I22)/Skills!H22+0.000000001),1)</f>
        <v/>
      </c>
      <c r="H921">
        <f>1-(1-Skills!J22/100)^Skills!K22</f>
        <v/>
      </c>
      <c r="I921" t="inlineStr">
        <is>
          <t>1</t>
        </is>
      </c>
      <c r="J921" t="inlineStr"/>
      <c r="K921" t="inlineStr"/>
      <c r="L921" t="inlineStr"/>
      <c r="M921" t="inlineStr"/>
      <c r="N921" t="inlineStr"/>
      <c r="O921">
        <f>(1-Summary!$B$11)*T921+Summary!$B$11*V921</f>
        <v/>
      </c>
      <c r="P921">
        <f>IF(B940=0,0,O921/B940)</f>
        <v/>
      </c>
      <c r="Q921" t="n">
        <v>0</v>
      </c>
      <c r="R921" t="n">
        <v>0</v>
      </c>
      <c r="S921">
        <f>IFERROR(O921/N921,0)</f>
        <v/>
      </c>
      <c r="T921" t="n">
        <v>0</v>
      </c>
      <c r="V921" t="n">
        <v>0</v>
      </c>
    </row>
    <row r="922">
      <c r="A922">
        <f>Skills!A23</f>
        <v/>
      </c>
      <c r="B922">
        <f>Skills!B23</f>
        <v/>
      </c>
      <c r="C922">
        <f>Inputs!$B$3&gt;=38</f>
        <v/>
      </c>
      <c r="D922">
        <f>IF(Skills!C23=1,60+Inputs!$B$25+Inputs!$B$29,IF(Skills!C23=2,90+Inputs!$B$26+Inputs!$B$29,IF(Skills!C23=3,120+(Inputs!$B$27+1)+Inputs!$B$29,MAX(0,(Inputs!$B$3-100)*3)+Inputs!$B$28+Inputs!$B$29)))</f>
        <v/>
      </c>
      <c r="E922">
        <f>INDEX(FactorTable!$B$2:$Y$301, MATCH(ROUND(MIN(300,MAX(1,D922)),0), FactorTable!$A$2:$A$301,0), Skills!M23+1)</f>
        <v/>
      </c>
      <c r="F922">
        <f>IF(Skills!N23=TRUE,(Skills!L23/10)*(E922/1000),Skills!L23/10)+Skills!O23</f>
        <v/>
      </c>
      <c r="G922">
        <f>Skills!G23*IF(Skills!H23&gt;0,INT(IF(Inputs!$B$38="pvp",MIN(Skills!I23,15),Skills!I23)/Skills!H23+0.000000001),1)</f>
        <v/>
      </c>
      <c r="H922">
        <f>1-(1-Skills!J23/100)^Skills!K23</f>
        <v/>
      </c>
      <c r="I922" t="inlineStr">
        <is>
          <t>1</t>
        </is>
      </c>
      <c r="J922" t="inlineStr"/>
      <c r="K922" t="inlineStr"/>
      <c r="L922" t="inlineStr"/>
      <c r="M922" t="inlineStr"/>
      <c r="N922" t="inlineStr"/>
      <c r="O922">
        <f>(1-Summary!$B$11)*T922+Summary!$B$11*V922</f>
        <v/>
      </c>
      <c r="P922">
        <f>IF(B940=0,0,O922/B940)</f>
        <v/>
      </c>
      <c r="Q922" t="n">
        <v>0</v>
      </c>
      <c r="R922" t="n">
        <v>0</v>
      </c>
      <c r="S922">
        <f>IFERROR(O922/N922,0)</f>
        <v/>
      </c>
      <c r="T922" t="n">
        <v>0</v>
      </c>
      <c r="V922" t="n">
        <v>0</v>
      </c>
    </row>
    <row r="923">
      <c r="A923">
        <f>Skills!A24</f>
        <v/>
      </c>
      <c r="B923">
        <f>Skills!B24</f>
        <v/>
      </c>
      <c r="C923">
        <f>Inputs!$B$3&gt;=45</f>
        <v/>
      </c>
      <c r="D923">
        <f>IF(Skills!C24=1,60+Inputs!$B$25+Inputs!$B$29,IF(Skills!C24=2,90+Inputs!$B$26+Inputs!$B$29,IF(Skills!C24=3,120+(Inputs!$B$27+1)+Inputs!$B$29,MAX(0,(Inputs!$B$3-100)*3)+Inputs!$B$28+Inputs!$B$29)))</f>
        <v/>
      </c>
      <c r="E923">
        <f>INDEX(FactorTable!$B$2:$Y$301, MATCH(ROUND(MIN(300,MAX(1,D923)),0), FactorTable!$A$2:$A$301,0), Skills!M24+1)</f>
        <v/>
      </c>
      <c r="F923">
        <f>IF(Skills!N24=TRUE,(Skills!L24/10)*(E923/1000),Skills!L24/10)+Skills!O24</f>
        <v/>
      </c>
      <c r="G923">
        <f>Skills!G24*IF(Skills!H24&gt;0,INT(IF(Inputs!$B$38="pvp",MIN(Skills!I24,15),Skills!I24)/Skills!H24+0.000000001),1)</f>
        <v/>
      </c>
      <c r="H923">
        <f>1-(1-Skills!J24/100)^Skills!K24</f>
        <v/>
      </c>
      <c r="I923" t="inlineStr">
        <is>
          <t>1</t>
        </is>
      </c>
      <c r="J923" t="inlineStr"/>
      <c r="K923" t="inlineStr"/>
      <c r="L923" t="inlineStr"/>
      <c r="M923" t="inlineStr"/>
      <c r="N923" t="inlineStr"/>
      <c r="O923">
        <f>(1-Summary!$B$11)*T923+Summary!$B$11*V923</f>
        <v/>
      </c>
      <c r="P923">
        <f>IF(B940=0,0,O923/B940)</f>
        <v/>
      </c>
      <c r="Q923" t="n">
        <v>0</v>
      </c>
      <c r="R923" t="n">
        <v>0</v>
      </c>
      <c r="S923">
        <f>IFERROR(O923/N923,0)</f>
        <v/>
      </c>
      <c r="T923" t="n">
        <v>0</v>
      </c>
      <c r="V923" t="n">
        <v>0</v>
      </c>
    </row>
    <row r="924">
      <c r="A924">
        <f>Skills!A25</f>
        <v/>
      </c>
      <c r="B924">
        <f>Skills!B25</f>
        <v/>
      </c>
      <c r="C924">
        <f>Inputs!$B$3&gt;=72</f>
        <v/>
      </c>
      <c r="D924">
        <f>IF(Skills!C25=1,60+Inputs!$B$25+Inputs!$B$29,IF(Skills!C25=2,90+Inputs!$B$26+Inputs!$B$29,IF(Skills!C25=3,120+(Inputs!$B$27+1)+Inputs!$B$29,MAX(0,(Inputs!$B$3-100)*3)+Inputs!$B$28+Inputs!$B$29)))</f>
        <v/>
      </c>
      <c r="E924">
        <f>INDEX(FactorTable!$B$2:$Y$301, MATCH(ROUND(MIN(300,MAX(1,D924)),0), FactorTable!$A$2:$A$301,0), Skills!M25+1)</f>
        <v/>
      </c>
      <c r="F924">
        <f>IF(Skills!N25=TRUE,(Skills!L25/10)*(E924/1000),Skills!L25/10)+Skills!O25</f>
        <v/>
      </c>
      <c r="G924">
        <f>Skills!G25*IF(Skills!H25&gt;0,INT(IF(Inputs!$B$38="pvp",MIN(Skills!I25,15),Skills!I25)/Skills!H25+0.000000001),1)</f>
        <v/>
      </c>
      <c r="H924">
        <f>1-(1-Skills!J25/100)^Skills!K25</f>
        <v/>
      </c>
      <c r="I924" t="inlineStr">
        <is>
          <t>1</t>
        </is>
      </c>
      <c r="J924" t="inlineStr"/>
      <c r="K924" t="inlineStr"/>
      <c r="L924" t="inlineStr"/>
      <c r="M924" t="inlineStr"/>
      <c r="N924" t="inlineStr"/>
      <c r="O924">
        <f>(1-Summary!$B$11)*T924+Summary!$B$11*V924</f>
        <v/>
      </c>
      <c r="P924">
        <f>IF(B940=0,0,O924/B940)</f>
        <v/>
      </c>
      <c r="Q924" t="n">
        <v>0</v>
      </c>
      <c r="R924" t="n">
        <v>0</v>
      </c>
      <c r="S924">
        <f>IFERROR(O924/N924,0)</f>
        <v/>
      </c>
      <c r="T924" t="n">
        <v>0</v>
      </c>
      <c r="V924" t="n">
        <v>0</v>
      </c>
    </row>
    <row r="925">
      <c r="A925">
        <f>Skills!A26</f>
        <v/>
      </c>
      <c r="B925">
        <f>Skills!B26</f>
        <v/>
      </c>
      <c r="C925">
        <f>Inputs!$B$3&gt;=75</f>
        <v/>
      </c>
      <c r="D925">
        <f>IF(Skills!C26=1,60+Inputs!$B$25+Inputs!$B$29,IF(Skills!C26=2,90+Inputs!$B$26+Inputs!$B$29,IF(Skills!C26=3,120+(Inputs!$B$27+1)+Inputs!$B$29,MAX(0,(Inputs!$B$3-100)*3)+Inputs!$B$28+Inputs!$B$29)))</f>
        <v/>
      </c>
      <c r="E925">
        <f>INDEX(FactorTable!$B$2:$Y$301, MATCH(ROUND(MIN(300,MAX(1,D925)),0), FactorTable!$A$2:$A$301,0), Skills!M26+1)</f>
        <v/>
      </c>
      <c r="F925">
        <f>IF(Skills!N26=TRUE,(Skills!L26/10)*(E925/1000),Skills!L26/10)+Skills!O26</f>
        <v/>
      </c>
      <c r="G925">
        <f>Skills!G26*IF(Skills!H26&gt;0,INT(IF(Inputs!$B$38="pvp",MIN(Skills!I26,15),Skills!I26)/Skills!H26+0.000000001),1)</f>
        <v/>
      </c>
      <c r="H925">
        <f>1-(1-Skills!J26/100)^Skills!K26</f>
        <v/>
      </c>
      <c r="I925" t="inlineStr">
        <is>
          <t>1</t>
        </is>
      </c>
      <c r="J925" t="inlineStr"/>
      <c r="K925" t="inlineStr"/>
      <c r="L925" t="inlineStr"/>
      <c r="M925" t="inlineStr"/>
      <c r="N925" t="inlineStr"/>
      <c r="O925">
        <f>(1-Summary!$B$11)*T925+Summary!$B$11*V925</f>
        <v/>
      </c>
      <c r="P925">
        <f>IF(B940=0,0,O925/B940)</f>
        <v/>
      </c>
      <c r="Q925" t="n">
        <v>0</v>
      </c>
      <c r="R925" t="n">
        <v>0</v>
      </c>
      <c r="S925">
        <f>IFERROR(O925/N925,0)</f>
        <v/>
      </c>
      <c r="T925" t="n">
        <v>0</v>
      </c>
      <c r="V925" t="n">
        <v>0</v>
      </c>
    </row>
    <row r="926">
      <c r="A926">
        <f>Skills!A27</f>
        <v/>
      </c>
      <c r="B926">
        <f>Skills!B27</f>
        <v/>
      </c>
      <c r="C926">
        <f>Inputs!$B$3&gt;=125</f>
        <v/>
      </c>
      <c r="D926">
        <f>IF(Skills!C27=1,60+Inputs!$B$25+Inputs!$B$29,IF(Skills!C27=2,90+Inputs!$B$26+Inputs!$B$29,IF(Skills!C27=3,120+(Inputs!$B$27+1)+Inputs!$B$29,MAX(0,(Inputs!$B$3-100)*3)+Inputs!$B$28+Inputs!$B$29)))</f>
        <v/>
      </c>
      <c r="E926">
        <f>INDEX(FactorTable!$B$2:$Y$301, MATCH(ROUND(MIN(300,MAX(1,D926)),0), FactorTable!$A$2:$A$301,0), Skills!M27+1)</f>
        <v/>
      </c>
      <c r="F926">
        <f>IF(Skills!N27=TRUE,(Skills!L27/10)*(E926/1000),Skills!L27/10)+Skills!O27</f>
        <v/>
      </c>
      <c r="G926">
        <f>Skills!G27*IF(Skills!H27&gt;0,INT(IF(Inputs!$B$38="pvp",MIN(Skills!I27,15),Skills!I27)/Skills!H27+0.000000001),1)</f>
        <v/>
      </c>
      <c r="H926">
        <f>1-(1-Skills!J27/100)^Skills!K27</f>
        <v/>
      </c>
      <c r="I926" t="inlineStr">
        <is>
          <t>1</t>
        </is>
      </c>
      <c r="J926" t="inlineStr"/>
      <c r="K926" t="inlineStr"/>
      <c r="L926" t="inlineStr"/>
      <c r="M926" t="inlineStr"/>
      <c r="N926" t="inlineStr"/>
      <c r="O926">
        <f>(1-Summary!$B$11)*T926+Summary!$B$11*V926</f>
        <v/>
      </c>
      <c r="P926">
        <f>IF(B940=0,0,O926/B940)</f>
        <v/>
      </c>
      <c r="Q926" t="n">
        <v>0</v>
      </c>
      <c r="R926" t="n">
        <v>0</v>
      </c>
      <c r="S926">
        <f>IFERROR(O926/N926,0)</f>
        <v/>
      </c>
      <c r="T926" t="n">
        <v>0</v>
      </c>
      <c r="V926" t="n">
        <v>0</v>
      </c>
    </row>
    <row r="927">
      <c r="A927">
        <f>Skills!A28</f>
        <v/>
      </c>
      <c r="B927">
        <f>Skills!B28</f>
        <v/>
      </c>
      <c r="C927">
        <f>TRUE</f>
        <v/>
      </c>
      <c r="D927">
        <f>IF(Skills!C28=1,60+Inputs!$B$25+Inputs!$B$29,IF(Skills!C28=2,90+Inputs!$B$26+Inputs!$B$29,IF(Skills!C28=3,120+(Inputs!$B$27+1)+Inputs!$B$29,MAX(0,(Inputs!$B$3-100)*3)+Inputs!$B$28+Inputs!$B$29)))</f>
        <v/>
      </c>
      <c r="E927">
        <f>INDEX(FactorTable!$B$2:$Y$301, MATCH(ROUND(MIN(300,MAX(1,D927)),0), FactorTable!$A$2:$A$301,0), Skills!M28+1)</f>
        <v/>
      </c>
      <c r="F927">
        <f>IF(Skills!N28=TRUE,(Skills!L28/10)*(E927/1000),Skills!L28/10)+Skills!O28</f>
        <v/>
      </c>
      <c r="G927">
        <f>Skills!G28*IF(Skills!H28&gt;0,INT(IF(Inputs!$B$38="pvp",MIN(Skills!I28,15),Skills!I28)/Skills!H28+0.000000001),1)</f>
        <v/>
      </c>
      <c r="H927">
        <f>1-(1-Skills!J28/100)^Skills!K28</f>
        <v/>
      </c>
      <c r="I927" t="inlineStr">
        <is>
          <t>1</t>
        </is>
      </c>
      <c r="J927" t="inlineStr"/>
      <c r="K927" t="inlineStr"/>
      <c r="L927" t="inlineStr"/>
      <c r="M927" t="inlineStr"/>
      <c r="N927" t="inlineStr"/>
      <c r="O927">
        <f>(1-Summary!$B$11)*T927+Summary!$B$11*V927</f>
        <v/>
      </c>
      <c r="P927">
        <f>IF(B940=0,0,O927/B940)</f>
        <v/>
      </c>
      <c r="Q927">
        <f>IFERROR(1/(IF(Inputs!$B$38="pvp",15,MAX(0.1,Skills!D28-IF(TRUE=TRUE,Inputs!$B$32,0)))*(1-IF(AND(ArtifactsInput!$M$27,Inputs!$B$4="Chapter Hunt"),CHOOSE(ArtifactsInput!$N$27+1,20,24,28,32,36,40),0)/100)),0)</f>
        <v/>
      </c>
      <c r="R927">
        <f>IF(AND(Inputs!$B$38&lt;&gt;"pvp",Inputs!$B$43&gt;0),IF(Inputs!$B$43&lt;=0,0,(INT(Inputs!$B$43/(IF(Inputs!$B$38="pvp",15,MAX(0.1,Skills!D28-IF(TRUE=TRUE,Inputs!$B$32,0)))*(1-IF(AND(ArtifactsInput!$M$27,Inputs!$B$4="Chapter Hunt"),CHOOSE(ArtifactsInput!$N$27+1,20,24,28,32,36,40),0)/100)))+1)),0)</f>
        <v/>
      </c>
      <c r="S927">
        <f>IFERROR(O927/N927,0)</f>
        <v/>
      </c>
      <c r="T927" t="n">
        <v>0</v>
      </c>
      <c r="V927" t="n">
        <v>0</v>
      </c>
    </row>
    <row r="929">
      <c r="A929" t="inlineStr">
        <is>
          <t>Attack% Bucket Multiplier</t>
        </is>
      </c>
      <c r="B929">
        <f>(1+(((C916=TRUE)*F916*5/7)+((C923=TRUE)*(F923-Calc!F24))+(IF(ArtifactsInput!$M$21,CHOOSE(ArtifactsInput!$N$21+1,25,30,35,40,45,50)*(IF(OR(Inputs!$B$4="Chapter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930">
      <c r="A930" t="inlineStr">
        <is>
          <t>Global Crit Rate Bonus %</t>
        </is>
      </c>
      <c r="B930" t="n">
        <v>0</v>
      </c>
    </row>
    <row r="931">
      <c r="A931" t="inlineStr">
        <is>
          <t>Attack Speed Buff Bonus % (Nimble Feet, duty-cycle averaged)</t>
        </is>
      </c>
      <c r="B931">
        <f>((C927=TRUE)*F927*IF(AND(Inputs!$B$38&lt;&gt;"pvp",Inputs!$B$43&gt;0),(((R927-1)*MIN((Skills!T28*(1+Inputs!$B$34/100)),(1/Q927))+MIN((Skills!T28*(1+Inputs!$B$34/100)),MAX(0,Inputs!$B$43-((R927-1)*(1/Q927)))))/Inputs!$B$43),IF(Inputs!$B$38="pvp",MIN((Skills!T28*(1+Inputs!$B$34/100)),15)/15,MIN(1,(Skills!T28*(1+Inputs!$B$34/100))/(1/Q927)))))</f>
        <v/>
      </c>
    </row>
    <row r="932">
      <c r="A932" t="inlineStr">
        <is>
          <t>Actions Per Second</t>
        </is>
      </c>
      <c r="B932">
        <f>1+MIN(150,150*(1-(1-(Inputs!$B$11+((C919=TRUE)*(F919-Calc!F20))+((C920=TRUE)*(F920-Calc!F21)))/150)*(1-B931/150)))/100</f>
        <v/>
      </c>
    </row>
    <row r="933">
      <c r="A933" t="inlineStr">
        <is>
          <t>Skill + Buff Cast Rate</t>
        </is>
      </c>
      <c r="B933">
        <f>IF(AND(Inputs!$B$38&lt;&gt;"pvp",Inputs!$B$43&gt;0),SUMPRODUCT((Skills!E2:E28=TRUE)*(C901:C927=TRUE)*R901:R927*Skills!F2:F28)/Inputs!$B$43,SUMPRODUCT((Skills!E2:E28=TRUE)*(C901:C927=TRUE)*Q901:Q927*Skills!F2:F28))</f>
        <v/>
      </c>
    </row>
    <row r="934">
      <c r="A934" t="inlineStr">
        <is>
          <t>Eight-Legs Easton Casts Per Second</t>
        </is>
      </c>
      <c r="B934">
        <f>MAX(0,B932-B933)</f>
        <v/>
      </c>
    </row>
    <row r="935">
      <c r="A935" t="inlineStr">
        <is>
          <t>Global Critical Damage Bonus % (unused)</t>
        </is>
      </c>
      <c r="B935" t="n">
        <v>0</v>
      </c>
    </row>
    <row r="936">
      <c r="A936" t="inlineStr">
        <is>
          <t>Global Final Damage Bonus % (Jolly Roger + Ahoy Mateys - Final Damage proc)</t>
        </is>
      </c>
      <c r="B936">
        <f>((C917=TRUE)*F917*IF(AND(Inputs!$B$38&lt;&gt;"pvp",Inputs!$B$43&gt;0),(((R917-1)*MIN((Skills!T18*(1+Inputs!$B$34/100)),(1/Q917))+MIN((Skills!T18*(1+Inputs!$B$34/100)),MAX(0,Inputs!$B$43-((R917-1)*(1/Q917)))))/Inputs!$B$43),IF(Inputs!$B$38="pvp",MIN((Skills!T18*(1+Inputs!$B$34/100)),15)/15,MIN(1,(Skills!T18*(1+Inputs!$B$34/100))/(1/Q917)))))+IF(Inputs!$B$3&gt;=122,20*IF(Inputs!$B$38="pvp",MIN((20*(1+Inputs!$B$34/100)),15)/15,MIN(1,(20*(1+Inputs!$B$34/100))/(1/Q903))),0)</f>
        <v/>
      </c>
    </row>
    <row r="937">
      <c r="A937" t="inlineStr">
        <is>
          <t>Buff-Casting Startup Delay (s, fixed-duration only)</t>
        </is>
      </c>
      <c r="B937">
        <f>IF(AND(Inputs!$B$38&lt;&gt;"pvp",Inputs!$B$43&gt;0),SUMPRODUCT((Skills!T2:T28&gt;0)*(Skills!E2:E28=TRUE)*(C901:C927=TRUE))/B932,0)</f>
        <v/>
      </c>
    </row>
    <row r="938">
      <c r="A938" t="inlineStr">
        <is>
          <t>Boss-Only Total DPS (this block's swept value)</t>
        </is>
      </c>
      <c r="B938">
        <f>SUM(T901:T927)</f>
        <v/>
      </c>
    </row>
    <row r="939">
      <c r="A939" t="inlineStr">
        <is>
          <t>Normal-Only Total DPS (this block's swept value)</t>
        </is>
      </c>
      <c r="B939">
        <f>SUM(V901:V927)</f>
        <v/>
      </c>
    </row>
    <row r="940">
      <c r="A940" s="6" t="inlineStr">
        <is>
          <t>TOTAL DPS</t>
        </is>
      </c>
      <c r="B940" s="6">
        <f>SUM(O901:O927)</f>
        <v/>
      </c>
    </row>
    <row r="941">
      <c r="A941" t="inlineStr">
        <is>
          <t>Quickdraw cooldown divisor (this block's own APS / Q)</t>
        </is>
      </c>
      <c r="B941">
        <f>IF(AND(C926=TRUE,Inputs!$B$38&lt;&gt;"pvp"),1+0.25*MAX(0,(B932-(((C902=TRUE)*Q902*1)+((C903=TRUE)*Q903*1)+((C905=TRUE)*Q905*1)+((C906=TRUE)*Q906*1)+((C908=TRUE)*Q908*1)+((C911=TRUE)*Q911*1)+((C917=TRUE)*Q917*1)+((C927=TRUE)*Q927*1))-((C907=TRUE)/(IF(Inputs!$B$38="pvp",15,MAX(0.1,Skills!D8-IF(TRUE=TRUE,Inputs!$B$32,0)))*(1-IF(AND(ArtifactsInput!$M$27,Inputs!$B$4="Chapter Hunt"),CHOOSE(ArtifactsInput!$N$27+1,20,24,28,32,36,40),0)/100))+(C910=TRUE)/(IF(Inputs!$B$38="pvp",15,MAX(0.1,Skills!D11-IF(TRUE=TRUE,Inputs!$B$32,0)))*(1-IF(AND(ArtifactsInput!$M$27,Inputs!$B$4="Chapter Hunt"),CHOOSE(ArtifactsInput!$N$27+1,20,24,28,32,36,40),0)/100))))/(1+0.25*((C907=TRUE)/(IF(Inputs!$B$38="pvp",15,MAX(0.1,Skills!D8-IF(TRUE=TRUE,Inputs!$B$32,0)))*(1-IF(AND(ArtifactsInput!$M$27,Inputs!$B$4="Chapter Hunt"),CHOOSE(ArtifactsInput!$N$27+1,20,24,28,32,36,40),0)/100))+(C910=TRUE)/(IF(Inputs!$B$38="pvp",15,MAX(0.1,Skills!D11-IF(TRUE=TRUE,Inputs!$B$32,0)))*(1-IF(AND(ArtifactsInput!$M$27,Inputs!$B$4="Chapter Hunt"),CHOOSE(ArtifactsInput!$N$27+1,20,24,28,32,36,40),0)/100))))),1)</f>
        <v/>
      </c>
    </row>
    <row r="942">
      <c r="A942" t="inlineStr">
        <is>
          <t>Nautilus Strike - Final Attack trigger rate (this block's own Q/R)</t>
        </is>
      </c>
      <c r="B942">
        <f>IF(AND(Inputs!$B$38&lt;&gt;"pvp",Inputs!$B$43&gt;0),(((C902=TRUE)*R902)+((C905=TRUE)*R905)+((C907=TRUE)*R907)+((C908=TRUE)*R908)+((C910=TRUE)*R910))/Inputs!$B$43,((C902=TRUE)*Q902)+((C905=TRUE)*Q905)+((C907=TRUE)*Q907)+((C908=TRUE)*Q908)+((C910=TRUE)*Q910))+B934</f>
        <v/>
      </c>
    </row>
    <row r="945">
      <c r="A945" s="6" t="inlineStr">
        <is>
          <t>Stat: Skill Level Bonus — 4th Job</t>
        </is>
      </c>
    </row>
    <row r="946">
      <c r="A946" s="5" t="inlineStr">
        <is>
          <t>Key</t>
        </is>
      </c>
      <c r="B946" s="5" t="inlineStr">
        <is>
          <t>Name</t>
        </is>
      </c>
      <c r="C946" s="5" t="inlineStr">
        <is>
          <t>Unlocked</t>
        </is>
      </c>
      <c r="D946" s="5" t="inlineStr">
        <is>
          <t>InputLevel</t>
        </is>
      </c>
      <c r="E946" s="5" t="inlineStr">
        <is>
          <t>Factor</t>
        </is>
      </c>
      <c r="F946" s="5" t="inlineStr">
        <is>
          <t>CoefficientPercent</t>
        </is>
      </c>
      <c r="G946" s="5" t="inlineStr">
        <is>
          <t>EffectiveHits</t>
        </is>
      </c>
      <c r="H946" s="5" t="inlineStr">
        <is>
          <t>ProcProbability</t>
        </is>
      </c>
      <c r="I946" s="5" t="inlineStr">
        <is>
          <t>MapleHeroMultiplier</t>
        </is>
      </c>
      <c r="J946" s="5" t="inlineStr">
        <is>
          <t>BaseDamage</t>
        </is>
      </c>
      <c r="K946" s="5" t="inlineStr">
        <is>
          <t>BaseHitDamage</t>
        </is>
      </c>
      <c r="L946" s="5" t="inlineStr">
        <is>
          <t>NonCritAvg</t>
        </is>
      </c>
      <c r="M946" s="5" t="inlineStr">
        <is>
          <t>CritAvg</t>
        </is>
      </c>
      <c r="N946" s="5" t="inlineStr">
        <is>
          <t>ExpectedDamage(perHit)</t>
        </is>
      </c>
      <c r="O946" s="5" t="inlineStr">
        <is>
          <t>DPS</t>
        </is>
      </c>
      <c r="P946" s="5" t="inlineStr">
        <is>
          <t>% of Total</t>
        </is>
      </c>
      <c r="Q946" s="5" t="inlineStr">
        <is>
          <t>InvCooldown</t>
        </is>
      </c>
      <c r="R946" s="5" t="inlineStr">
        <is>
          <t>CastsInFight</t>
        </is>
      </c>
      <c r="S946" s="5" t="inlineStr">
        <is>
          <t>HitRate(perSec)</t>
        </is>
      </c>
      <c r="U946" t="inlineStr">
        <is>
          <t>helpers</t>
        </is>
      </c>
    </row>
    <row r="947">
      <c r="A947">
        <f>Skills!A2</f>
        <v/>
      </c>
      <c r="B947">
        <f>Skills!B2</f>
        <v/>
      </c>
      <c r="C947">
        <f>Inputs!$B$3&gt;=100</f>
        <v/>
      </c>
      <c r="D947" t="inlineStr"/>
      <c r="E947" t="inlineStr"/>
      <c r="F947">
        <f>U949+Skills!O2</f>
        <v/>
      </c>
      <c r="G947">
        <f>Skills!G2*IF(Skills!H2&gt;0,INT(IF(Inputs!$B$38="pvp",MIN(Skills!I2,15),Skills!I2)/Skills!H2+0.000000001),1)</f>
        <v/>
      </c>
      <c r="H947">
        <f>1-(1-Skills!J2/100)^Skills!K2</f>
        <v/>
      </c>
      <c r="I947" t="inlineStr">
        <is>
          <t>1</t>
        </is>
      </c>
      <c r="J947">
        <f>((Inputs!$B$6*(1+Inputs!$B$7/100))+(((Inputs!$B$12*(1+Inputs!$B$13/100))-(Inputs!$B$12*(1+Inputs!$B$13/100)))+0.25*(Inputs!$B$14-Inputs!$B$14))*(1+Inputs!$B$7/100))*(F947/100)</f>
        <v/>
      </c>
      <c r="K947">
        <f>J947*(1+((Inputs!$B$12*(1+Inputs!$B$13/100))*0.01+Inputs!$B$14*0.0025)/100)*(1+Inputs!$B$15/100)*(1+Inputs!$B$16/100)*(5000/(6000+Inputs!$B$42*(1-(100*(1-(1-(Inputs!$B$19+0)/100)*(1-CHOOSE(ArtifactsInput!$N$40+1,5,6,7,8,9,10)/100)^(ArtifactsInput!$M$40-ArtifactsInput!$M$40)))/100)))*(1+(Inputs!$B$24+((C971=TRUE)*(F971-Calc!F26))+B982)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IGHT_LEGS_EASTON",Inputs!$B$17+((C968=TRUE)*(F968-Calc!F23))+((C972=TRUE)*(F972-Calc!F27))+((IF(AND(Inputs!$B$38&lt;&gt;"pvp",Inputs!$B$43=0),1,IF(IF(Inputs!$B$38="pvp",15,Inputs!$B$43)-(B983)&lt;=0,1,MAX(0,IF(Inputs!$B$38="pvp",15,Inputs!$B$43)-MAX(5,B983))/(IF(Inputs!$B$38="pvp",15,Inputs!$B$43)-(B983))))*(IF(AND(ArtifactsInput!$M$42,((Inputs!$B$9+((C964=TRUE)*(F964-Calc!F19))+B976+(ArtifactsInput!$M$24-ArtifactsInput!$M$24)*CHOOSE(ArtifactsInput!$N$24+1,10,12,14,16,18,20)+IF(ArtifactsInput!$M$10,CHOOSE(ArtifactsInput!$N$10+1,15,18,21,24,27,30)*(IF(Inputs!$B$38="pvp",MIN(15,15)/15,IF(AND(Inputs!$B$38&lt;&gt;"pvp",Inputs!$B$43&gt;0),MIN(15,Inputs!$B$43)/(Inputs!$B$43),0))),0)))&gt;=100),MIN(100,((Inputs!$B$9+((C964=TRUE)*(F964-Calc!F19))+B976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983)&lt;=0,1,MAX(0,IF(Inputs!$B$38="pvp",15,Inputs!$B$43)-MAX(5,B983))/(IF(Inputs!$B$38="pvp",15,Inputs!$B$43)-(B983))))*IF(AND(ArtifactsInput!$M$42,((Inputs!$B$9+((C964=TRUE)*(F964-Calc!F19))+B976+(ArtifactsInput!$M$24-ArtifactsInput!$M$24)*CHOOSE(ArtifactsInput!$N$24+1,10,12,14,16,18,20)+IF(ArtifactsInput!$M$10,CHOOSE(ArtifactsInput!$N$10+1,15,18,21,24,27,30)*(IF(Inputs!$B$38="pvp",MIN(15,15)/15,IF(AND(Inputs!$B$38&lt;&gt;"pvp",Inputs!$B$43&gt;0),MIN(15,Inputs!$B$43)/(Inputs!$B$43),0))),0)))&gt;=100),CHOOSE(ArtifactsInput!$N$42+1,40,48,56,64,72,80),0))))/100)*((1+(((C962=TRUE)*F962*5/7)+((C969=TRUE)*(F969-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947)</f>
        <v/>
      </c>
      <c r="L947">
        <f>K947*(MIN(Inputs!$B$22+((C967=TRUE)*(F967-Calc!F22)),(Inputs!$B$23+0+(IF(ArtifactsInput!$M$15,CHOOSE(ArtifactsInput!$N$15+1,25,30,35,40,45,50)/100*(Inputs!$B$11-Inputs!$B$11),0))))/100+(Inputs!$B$23+0+(IF(ArtifactsInput!$M$15,CHOOSE(ArtifactsInput!$N$15+1,25,30,35,40,45,50)/100*(Inputs!$B$11-Inputs!$B$11),0)))/100)/2</f>
        <v/>
      </c>
      <c r="M947">
        <f>L947*(1+(Inputs!$B$10+((C970=TRUE)*(F970-Calc!F25))+B981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47">
        <f>L947*(1-MIN((Inputs!$B$9+((C964=TRUE)*(F964-Calc!F19))+B976+(ArtifactsInput!$M$24-ArtifactsInput!$M$24)*CHOOSE(ArtifactsInput!$N$24+1,10,12,14,16,18,20)+(IF(AND(Inputs!$B$38&lt;&gt;"pvp",Inputs!$B$43=0),1,IF(IF(Inputs!$B$38="pvp",15,Inputs!$B$43)-(B983)&lt;=0,1,MAX(0,IF(Inputs!$B$38="pvp",15,Inputs!$B$43)-MAX(5,B983))/(IF(Inputs!$B$38="pvp",15,Inputs!$B$43)-(B983))))*IF(AND(ArtifactsInput!$M$42,((Inputs!$B$9+((C964=TRUE)*(F964-Calc!F19))+B976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947*(MIN((Inputs!$B$9+((C964=TRUE)*(F964-Calc!F19))+B976+(ArtifactsInput!$M$24-ArtifactsInput!$M$24)*CHOOSE(ArtifactsInput!$N$24+1,10,12,14,16,18,20)+(IF(AND(Inputs!$B$38&lt;&gt;"pvp",Inputs!$B$43=0),1,IF(IF(Inputs!$B$38="pvp",15,Inputs!$B$43)-(B983)&lt;=0,1,MAX(0,IF(Inputs!$B$38="pvp",15,Inputs!$B$43)-MAX(5,B983))/(IF(Inputs!$B$38="pvp",15,Inputs!$B$43)-(B983))))*IF(AND(ArtifactsInput!$M$42,((Inputs!$B$9+((C964=TRUE)*(F964-Calc!F19))+B976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47">
        <f>(1-Summary!$B$11)*T947+Summary!$B$11*V947</f>
        <v/>
      </c>
      <c r="P947">
        <f>IF(B986=0,0,O947/B986)</f>
        <v/>
      </c>
      <c r="Q947" t="n">
        <v>0</v>
      </c>
      <c r="R947" t="n">
        <v>0</v>
      </c>
      <c r="S947">
        <f>IFERROR(O947/N947,0)</f>
        <v/>
      </c>
      <c r="T947">
        <f>IF(C947,(Skills!G2*N947*B980*(1+IF(C972=TRUE,1/3,0)))*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Hunt"),CHOOSE(ArtifactsInput!$N$35+1,15,18,21,24,27,30)*(1-EXP(-(0.2*B978)*5)),0)+IF(AND(ArtifactsInput!$M$22,Inputs!$B$4&lt;&gt;"Chapter Hunt"),CHOOSE(ArtifactsInput!$N$22+1,10,12,14,16,18,20)*((0*(((0.15*B978*5))^0/1)+1*(((0.15*B978*5))^1/1)+2*(((0.15*B978*5))^2/2)+3*(((0.15*B978*5))^3/6)+4*(((0.15*B978*5))^4/24)+5*(((0.15*B978*5))^5/120))/((((0.15*B978*5))^0/1)+(((0.15*B978*5))^1/1)+(((0.15*B978*5))^2/2)+(((0.15*B978*5))^3/6)+(((0.15*B978*5))^4/24)+(((0.15*B978*5))^5/120))),0))+IF(Inputs!$B$3&gt;=54,9*(C948=TRUE)*MIN(1,8*(1+Inputs!$B$34/100)*Q948)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947*(1-MIN(100,(Inputs!$B$9+((C964=TRUE)*(F964-Calc!F19))+B976+(ArtifactsInput!$M$24-ArtifactsInput!$M$24)*CHOOSE(ArtifactsInput!$N$24+1,10,12,14,16,18,20)+(IF(AND(Inputs!$B$38&lt;&gt;"pvp",Inputs!$B$43=0),1,IF(IF(Inputs!$B$38="pvp",15,Inputs!$B$43)-(B983)&lt;=0,1,MAX(0,IF(Inputs!$B$38="pvp",15,Inputs!$B$43)-MAX(5,B983))/(IF(Inputs!$B$38="pvp",15,Inputs!$B$43)-(B983))))*IF(AND(ArtifactsInput!$M$42,((Inputs!$B$9+((C964=TRUE)*(F964-Calc!F19))+B976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947*(MIN(100,(Inputs!$B$9+((C964=TRUE)*(F964-Calc!F19))+B976+(ArtifactsInput!$M$24-ArtifactsInput!$M$24)*CHOOSE(ArtifactsInput!$N$24+1,10,12,14,16,18,20)+(IF(AND(Inputs!$B$38&lt;&gt;"pvp",Inputs!$B$43=0),1,IF(IF(Inputs!$B$38="pvp",15,Inputs!$B$43)-(B983)&lt;=0,1,MAX(0,IF(Inputs!$B$38="pvp",15,Inputs!$B$43)-MAX(5,B983))/(IF(Inputs!$B$38="pvp",15,Inputs!$B$43)-(B983))))*IF(AND(ArtifactsInput!$M$42,((Inputs!$B$9+((C964=TRUE)*(F964-Calc!F19))+B976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947*(1-MIN(100,(Inputs!$B$9+((C964=TRUE)*(F964-Calc!F19))+B976+(ArtifactsInput!$M$24-ArtifactsInput!$M$24)*CHOOSE(ArtifactsInput!$N$24+1,10,12,14,16,18,20)+(IF(AND(Inputs!$B$38&lt;&gt;"pvp",Inputs!$B$43=0),1,IF(IF(Inputs!$B$38="pvp",15,Inputs!$B$43)-(B983)&lt;=0,1,MAX(0,IF(Inputs!$B$38="pvp",15,Inputs!$B$43)-MAX(5,B983))/(IF(Inputs!$B$38="pvp",15,Inputs!$B$43)-(B983))))*IF(AND(ArtifactsInput!$M$42,((Inputs!$B$9+((C964=TRUE)*(F964-Calc!F19))+B976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947*(MIN(100,(Inputs!$B$9+((C964=TRUE)*(F964-Calc!F19))+B976+(ArtifactsInput!$M$24-ArtifactsInput!$M$24)*CHOOSE(ArtifactsInput!$N$24+1,10,12,14,16,18,20)+(IF(AND(Inputs!$B$38&lt;&gt;"pvp",Inputs!$B$43=0),1,IF(IF(Inputs!$B$38="pvp",15,Inputs!$B$43)-(B983)&lt;=0,1,MAX(0,IF(Inputs!$B$38="pvp",15,Inputs!$B$43)-MAX(5,B983))/(IF(Inputs!$B$38="pvp",15,Inputs!$B$43)-(B983))))*IF(AND(ArtifactsInput!$M$42,((Inputs!$B$9+((C964=TRUE)*(F964-Calc!F19))+B976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947">
        <f>MAX(0,(Inputs!$B$3-100)*3)+(Inputs!$B$28+1)+Inputs!$B$29</f>
        <v/>
      </c>
      <c r="V947">
        <f>IF(C947,(Skills!G2*N947*B980*(1+IF(C972=TRUE,1/3,0)))*IF(Inputs!$B$38="pvp",1,(1+(Inputs!$B$21+Skills!Q2+(IF(ArtifactsInput!$M$33,CHOOSE(ArtifactsInput!$N$33+1,30,36,42,48,54,60),0))+(IF(AND(ArtifactsInput!$M$35,Inputs!$B$4&lt;&gt;"Chapter Hunt"),CHOOSE(ArtifactsInput!$N$35+1,15,18,21,24,27,30)*(1-EXP(-(0.2*B978)*5)),0)+IF(AND(ArtifactsInput!$M$22,Inputs!$B$4&lt;&gt;"Chapter Hunt"),CHOOSE(ArtifactsInput!$N$22+1,10,12,14,16,18,20)*((0*(((0.15*B978*5))^0/1)+1*(((0.15*B978*5))^1/1)+2*(((0.15*B978*5))^2/2)+3*(((0.15*B978*5))^3/6)+4*(((0.15*B978*5))^4/24)+5*(((0.15*B978*5))^5/120))/((((0.15*B978*5))^0/1)+(((0.15*B978*5))^1/1)+(((0.15*B978*5))^2/2)+(((0.15*B978*5))^3/6)+(((0.15*B978*5))^4/24)+(((0.15*B978*5))^5/120))),0))+IF(Inputs!$B$3&gt;=54,9*(C948=TRUE)*MIN(1,8*(1+Inputs!$B$34/100)*Q948),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48">
      <c r="A948">
        <f>Skills!A3</f>
        <v/>
      </c>
      <c r="B948">
        <f>Skills!B3</f>
        <v/>
      </c>
      <c r="C948">
        <f>Inputs!$B$3&gt;=33</f>
        <v/>
      </c>
      <c r="D948">
        <f>IF(Skills!C3=1,60+Inputs!$B$25+Inputs!$B$29,IF(Skills!C3=2,90+Inputs!$B$26+Inputs!$B$29,IF(Skills!C3=3,120+Inputs!$B$27+Inputs!$B$29,MAX(0,(Inputs!$B$3-100)*3)+(Inputs!$B$28+1)+Inputs!$B$29)))</f>
        <v/>
      </c>
      <c r="E948">
        <f>INDEX(FactorTable!$B$2:$Y$301, MATCH(ROUND(MIN(300,MAX(1,D948)),0), FactorTable!$A$2:$A$301,0), Skills!M3+1)</f>
        <v/>
      </c>
      <c r="F948">
        <f>IF(Skills!N3=TRUE,(Skills!L3/10)*(E948/1000),Skills!L3/10)+Skills!O3</f>
        <v/>
      </c>
      <c r="G948">
        <f>Skills!G3*IF(Skills!H3&gt;0,INT(IF(Inputs!$B$38="pvp",MIN(Skills!I3,15),Skills!I3)/Skills!H3+0.000000001),1)</f>
        <v/>
      </c>
      <c r="H948">
        <f>1-(1-Skills!J3/100)^Skills!K3</f>
        <v/>
      </c>
      <c r="I948" t="inlineStr">
        <is>
          <t>1</t>
        </is>
      </c>
      <c r="J948">
        <f>((Inputs!$B$6*(1+Inputs!$B$7/100))+(((Inputs!$B$12*(1+Inputs!$B$13/100))-(Inputs!$B$12*(1+Inputs!$B$13/100)))+0.25*(Inputs!$B$14-Inputs!$B$14))*(1+Inputs!$B$7/100))*(F948/100)</f>
        <v/>
      </c>
      <c r="K948">
        <f>J948*(1+((Inputs!$B$12*(1+Inputs!$B$13/100))*0.01+Inputs!$B$14*0.0025)/100)*(1+Inputs!$B$15/100)*(1+Inputs!$B$16/100)*(5000/(6000+Inputs!$B$42*(1-(100*(1-(1-(Inputs!$B$19+0)/100)*(1-CHOOSE(ArtifactsInput!$N$40+1,5,6,7,8,9,10)/100)^(ArtifactsInput!$M$40-ArtifactsInput!$M$40)))/100)))*(1+(Inputs!$B$24+((C971=TRUE)*(F971-Calc!F26))+B982)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960=TRUE,F960,0)/100)*(1+(IF(Skills!A3="EIGHT_LEGS_EASTON",Inputs!$B$17+((C968=TRUE)*(F968-Calc!F23))+((C972=TRUE)*(F972-Calc!F27))+((IF(AND(Inputs!$B$38&lt;&gt;"pvp",Inputs!$B$43=0),1,IF(IF(Inputs!$B$38="pvp",15,Inputs!$B$43)-(B983)&lt;=0,1,MAX(0,IF(Inputs!$B$38="pvp",15,Inputs!$B$43)-MAX(5,B983))/(IF(Inputs!$B$38="pvp",15,Inputs!$B$43)-(B983))))*(IF(AND(ArtifactsInput!$M$42,((Inputs!$B$9+((C964=TRUE)*(F964-Calc!F19))+B976+(ArtifactsInput!$M$24-ArtifactsInput!$M$24)*CHOOSE(ArtifactsInput!$N$24+1,10,12,14,16,18,20)+IF(ArtifactsInput!$M$10,CHOOSE(ArtifactsInput!$N$10+1,15,18,21,24,27,30)*(IF(Inputs!$B$38="pvp",MIN(15,15)/15,IF(AND(Inputs!$B$38&lt;&gt;"pvp",Inputs!$B$43&gt;0),MIN(15,Inputs!$B$43)/(Inputs!$B$43),0))),0)))&gt;=100),MIN(100,((Inputs!$B$9+((C964=TRUE)*(F964-Calc!F19))+B976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983)&lt;=0,1,MAX(0,IF(Inputs!$B$38="pvp",15,Inputs!$B$43)-MAX(5,B983))/(IF(Inputs!$B$38="pvp",15,Inputs!$B$43)-(B983))))*IF(AND(ArtifactsInput!$M$42,((Inputs!$B$9+((C964=TRUE)*(F964-Calc!F19))+B976+(ArtifactsInput!$M$24-ArtifactsInput!$M$24)*CHOOSE(ArtifactsInput!$N$24+1,10,12,14,16,18,20)+IF(ArtifactsInput!$M$10,CHOOSE(ArtifactsInput!$N$10+1,15,18,21,24,27,30)*(IF(Inputs!$B$38="pvp",MIN(15,15)/15,IF(AND(Inputs!$B$38&lt;&gt;"pvp",Inputs!$B$43&gt;0),MIN(15,Inputs!$B$43)/(Inputs!$B$43),0))),0)))&gt;=100),CHOOSE(ArtifactsInput!$N$42+1,40,48,56,64,72,80),0))))/100)*((1+(((C962=TRUE)*F962*5/7)+((C969=TRUE)*(F969-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948)</f>
        <v/>
      </c>
      <c r="L948">
        <f>K948*(MIN(Inputs!$B$22+((C967=TRUE)*(F967-Calc!F22)),(Inputs!$B$23+0+(IF(ArtifactsInput!$M$15,CHOOSE(ArtifactsInput!$N$15+1,25,30,35,40,45,50)/100*(Inputs!$B$11-Inputs!$B$11),0))))/100+(Inputs!$B$23+0+(IF(ArtifactsInput!$M$15,CHOOSE(ArtifactsInput!$N$15+1,25,30,35,40,45,50)/100*(Inputs!$B$11-Inputs!$B$11),0)))/100)/2</f>
        <v/>
      </c>
      <c r="M948">
        <f>L948*(1+(Inputs!$B$10+((C970=TRUE)*(F970-Calc!F25))+B981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48">
        <f>L948*(1-MIN((Inputs!$B$9+((C964=TRUE)*(F964-Calc!F19))+B976+(ArtifactsInput!$M$24-ArtifactsInput!$M$24)*CHOOSE(ArtifactsInput!$N$24+1,10,12,14,16,18,20)+(IF(AND(Inputs!$B$38&lt;&gt;"pvp",Inputs!$B$43=0),1,IF(IF(Inputs!$B$38="pvp",15,Inputs!$B$43)-(B983)&lt;=0,1,MAX(0,IF(Inputs!$B$38="pvp",15,Inputs!$B$43)-MAX(5,B983))/(IF(Inputs!$B$38="pvp",15,Inputs!$B$43)-(B983))))*IF(AND(ArtifactsInput!$M$42,((Inputs!$B$9+((C964=TRUE)*(F964-Calc!F19))+B976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948*(MIN((Inputs!$B$9+((C964=TRUE)*(F964-Calc!F19))+B976+(ArtifactsInput!$M$24-ArtifactsInput!$M$24)*CHOOSE(ArtifactsInput!$N$24+1,10,12,14,16,18,20)+(IF(AND(Inputs!$B$38&lt;&gt;"pvp",Inputs!$B$43=0),1,IF(IF(Inputs!$B$38="pvp",15,Inputs!$B$43)-(B983)&lt;=0,1,MAX(0,IF(Inputs!$B$38="pvp",15,Inputs!$B$43)-MAX(5,B983))/(IF(Inputs!$B$38="pvp",15,Inputs!$B$43)-(B983))))*IF(AND(ArtifactsInput!$M$42,((Inputs!$B$9+((C964=TRUE)*(F964-Calc!F19))+B976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48">
        <f>(1-Summary!$B$11)*T948+Summary!$B$11*V948</f>
        <v/>
      </c>
      <c r="P948">
        <f>IF(B986=0,0,O948/B986)</f>
        <v/>
      </c>
      <c r="Q948">
        <f>IFERROR(1/(IF(Inputs!$B$38="pvp",15,MAX(0.1,Skills!D3-IF(TRUE=TRUE,Inputs!$B$32,0)))*(1-IF(AND(ArtifactsInput!$M$27,Inputs!$B$4="Chapter Hunt"),CHOOSE(ArtifactsInput!$N$27+1,20,24,28,32,36,40),0)/100)),0)</f>
        <v/>
      </c>
      <c r="R948">
        <f>IF(AND(Inputs!$B$38&lt;&gt;"pvp",Inputs!$B$43&gt;0),IF(MAX(0,Inputs!$B$43-B983)&lt;=0,0,(INT(MAX(0,Inputs!$B$43-B983)/(IF(Inputs!$B$38="pvp",15,MAX(0.1,Skills!D3-IF(TRUE=TRUE,Inputs!$B$32,0)))*(1-IF(AND(ArtifactsInput!$M$27,Inputs!$B$4="Chapter Hunt"),CHOOSE(ArtifactsInput!$N$27+1,20,24,28,32,36,40),0)/100)))+1)),0)</f>
        <v/>
      </c>
      <c r="S948">
        <f>IFERROR(O948/N948,0)</f>
        <v/>
      </c>
      <c r="T948">
        <f>IF(C948,(H948*N948*IF(AND(Inputs!$B$38&lt;&gt;"pvp",Inputs!$B$43&gt;0),((Skills!G3*((R948-1)*IF(Skills!H3&gt;0,INT(Skills!I3/Skills!H3+0.000000001),1)+IF(Skills!H3&gt;0,INT(MIN(Skills!I3,MAX(0,MAX(0,Inputs!$B$43-B983)-((R948-1)*(IF(Inputs!$B$38="pvp",15,MAX(0.1,Skills!D3-IF(TRUE=TRUE,Inputs!$B$32,0)))*(1-IF(AND(ArtifactsInput!$M$27,Inputs!$B$4="Chapter Hunt"),CHOOSE(ArtifactsInput!$N$27+1,20,24,28,32,36,40),0)/100)))))/Skills!H3+0.000000001),1)))/Inputs!$B$43),G948*Q948))*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Hunt"),CHOOSE(ArtifactsInput!$N$35+1,15,18,21,24,27,30)*(1-EXP(-(0.2*B978)*5)),0)+IF(AND(ArtifactsInput!$M$22,Inputs!$B$4&lt;&gt;"Chapter Hunt"),CHOOSE(ArtifactsInput!$N$22+1,10,12,14,16,18,20)*((0*(((0.15*B978*5))^0/1)+1*(((0.15*B978*5))^1/1)+2*(((0.15*B978*5))^2/2)+3*(((0.15*B978*5))^3/6)+4*(((0.15*B978*5))^4/24)+5*(((0.15*B978*5))^5/120))/((((0.15*B978*5))^0/1)+(((0.15*B978*5))^1/1)+(((0.15*B978*5))^2/2)+(((0.15*B978*5))^3/6)+(((0.15*B978*5))^4/24)+(((0.15*B978*5))^5/120))),0))+IF(Inputs!$B$3&gt;=54,9*(C948=TRUE)*MIN(1,8*(1+Inputs!$B$34/100)*Q948)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948*(1-MIN(100,(Inputs!$B$9+((C964=TRUE)*(F964-Calc!F19))+B976+(ArtifactsInput!$M$24-ArtifactsInput!$M$24)*CHOOSE(ArtifactsInput!$N$24+1,10,12,14,16,18,20)+(IF(AND(Inputs!$B$38&lt;&gt;"pvp",Inputs!$B$43=0),1,IF(IF(Inputs!$B$38="pvp",15,Inputs!$B$43)-(B983)&lt;=0,1,MAX(0,IF(Inputs!$B$38="pvp",15,Inputs!$B$43)-MAX(5,B983))/(IF(Inputs!$B$38="pvp",15,Inputs!$B$43)-(B983))))*IF(AND(ArtifactsInput!$M$42,((Inputs!$B$9+((C964=TRUE)*(F964-Calc!F19))+B976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948*(MIN(100,(Inputs!$B$9+((C964=TRUE)*(F964-Calc!F19))+B976+(ArtifactsInput!$M$24-ArtifactsInput!$M$24)*CHOOSE(ArtifactsInput!$N$24+1,10,12,14,16,18,20)+(IF(AND(Inputs!$B$38&lt;&gt;"pvp",Inputs!$B$43=0),1,IF(IF(Inputs!$B$38="pvp",15,Inputs!$B$43)-(B983)&lt;=0,1,MAX(0,IF(Inputs!$B$38="pvp",15,Inputs!$B$43)-MAX(5,B983))/(IF(Inputs!$B$38="pvp",15,Inputs!$B$43)-(B983))))*IF(AND(ArtifactsInput!$M$42,((Inputs!$B$9+((C964=TRUE)*(F964-Calc!F19))+B976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948*(1-MIN(100,(Inputs!$B$9+((C964=TRUE)*(F964-Calc!F19))+B976+(ArtifactsInput!$M$24-ArtifactsInput!$M$24)*CHOOSE(ArtifactsInput!$N$24+1,10,12,14,16,18,20)+(IF(AND(Inputs!$B$38&lt;&gt;"pvp",Inputs!$B$43=0),1,IF(IF(Inputs!$B$38="pvp",15,Inputs!$B$43)-(B983)&lt;=0,1,MAX(0,IF(Inputs!$B$38="pvp",15,Inputs!$B$43)-MAX(5,B983))/(IF(Inputs!$B$38="pvp",15,Inputs!$B$43)-(B983))))*IF(AND(ArtifactsInput!$M$42,((Inputs!$B$9+((C964=TRUE)*(F964-Calc!F19))+B976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948*(MIN(100,(Inputs!$B$9+((C964=TRUE)*(F964-Calc!F19))+B976+(ArtifactsInput!$M$24-ArtifactsInput!$M$24)*CHOOSE(ArtifactsInput!$N$24+1,10,12,14,16,18,20)+(IF(AND(Inputs!$B$38&lt;&gt;"pvp",Inputs!$B$43=0),1,IF(IF(Inputs!$B$38="pvp",15,Inputs!$B$43)-(B983)&lt;=0,1,MAX(0,IF(Inputs!$B$38="pvp",15,Inputs!$B$43)-MAX(5,B983))/(IF(Inputs!$B$38="pvp",15,Inputs!$B$43)-(B983))))*IF(AND(ArtifactsInput!$M$42,((Inputs!$B$9+((C964=TRUE)*(F964-Calc!F19))+B976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948">
        <f>INDEX(FactorTable!$B$2:$Y$301, MATCH(ROUND(MIN(300,MAX(1,U947)),0), FactorTable!$A$2:$A$301,0), 22)</f>
        <v/>
      </c>
      <c r="V948">
        <f>IF(C948,(H948*N948*IF(AND(Inputs!$B$38&lt;&gt;"pvp",Inputs!$B$43&gt;0),((Skills!G3*((R948-1)*IF(Skills!H3&gt;0,INT(Skills!I3/Skills!H3+0.000000001),1)+IF(Skills!H3&gt;0,INT(MIN(Skills!I3,MAX(0,MAX(0,Inputs!$B$43-B983)-((R948-1)*(IF(Inputs!$B$38="pvp",15,MAX(0.1,Skills!D3-IF(TRUE=TRUE,Inputs!$B$32,0)))*(1-IF(AND(ArtifactsInput!$M$27,Inputs!$B$4="Chapter Hunt"),CHOOSE(ArtifactsInput!$N$27+1,20,24,28,32,36,40),0)/100)))))/Skills!H3+0.000000001),1)))/Inputs!$B$43),G948*Q948))*IF(Inputs!$B$38="pvp",1,(1+(Inputs!$B$21+Skills!Q3+(IF(ArtifactsInput!$M$33,CHOOSE(ArtifactsInput!$N$33+1,30,36,42,48,54,60),0))+(IF(AND(ArtifactsInput!$M$35,Inputs!$B$4&lt;&gt;"Chapter Hunt"),CHOOSE(ArtifactsInput!$N$35+1,15,18,21,24,27,30)*(1-EXP(-(0.2*B978)*5)),0)+IF(AND(ArtifactsInput!$M$22,Inputs!$B$4&lt;&gt;"Chapter Hunt"),CHOOSE(ArtifactsInput!$N$22+1,10,12,14,16,18,20)*((0*(((0.15*B978*5))^0/1)+1*(((0.15*B978*5))^1/1)+2*(((0.15*B978*5))^2/2)+3*(((0.15*B978*5))^3/6)+4*(((0.15*B978*5))^4/24)+5*(((0.15*B978*5))^5/120))/((((0.15*B978*5))^0/1)+(((0.15*B978*5))^1/1)+(((0.15*B978*5))^2/2)+(((0.15*B978*5))^3/6)+(((0.15*B978*5))^4/24)+(((0.15*B978*5))^5/120))),0))+IF(Inputs!$B$3&gt;=54,9*(C948=TRUE)*MIN(1,8*(1+Inputs!$B$34/100)*Q948),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49">
      <c r="A949">
        <f>Skills!A4</f>
        <v/>
      </c>
      <c r="B949">
        <f>Skills!B4</f>
        <v/>
      </c>
      <c r="C949">
        <f>Inputs!$B$3&gt;=35</f>
        <v/>
      </c>
      <c r="D949">
        <f>IF(Skills!C4=1,60+Inputs!$B$25+Inputs!$B$29,IF(Skills!C4=2,90+Inputs!$B$26+Inputs!$B$29,IF(Skills!C4=3,120+Inputs!$B$27+Inputs!$B$29,MAX(0,(Inputs!$B$3-100)*3)+(Inputs!$B$28+1)+Inputs!$B$29)))</f>
        <v/>
      </c>
      <c r="E949">
        <f>INDEX(FactorTable!$B$2:$Y$301, MATCH(ROUND(MIN(300,MAX(1,D949)),0), FactorTable!$A$2:$A$301,0), Skills!M4+1)</f>
        <v/>
      </c>
      <c r="F949">
        <f>IF(Skills!N4=TRUE,(Skills!L4/10)*(E949/1000),Skills!L4/10)+Skills!O4</f>
        <v/>
      </c>
      <c r="G949">
        <f>Skills!G4*IF(Skills!H4&gt;0,INT(IF(Inputs!$B$38="pvp",MIN(IF(Inputs!$B$3&gt;=104,MIN(35,20*(1+Inputs!$B$34/100)),20),15),IF(Inputs!$B$3&gt;=104,MIN(35,20*(1+Inputs!$B$34/100)),20))/Skills!H4+0.000000001),1)</f>
        <v/>
      </c>
      <c r="H949">
        <f>1-(1-Skills!J4/100)^Skills!K4</f>
        <v/>
      </c>
      <c r="I949" t="inlineStr">
        <is>
          <t>1</t>
        </is>
      </c>
      <c r="J949">
        <f>((Inputs!$B$6*(1+Inputs!$B$7/100))+(((Inputs!$B$12*(1+Inputs!$B$13/100))-(Inputs!$B$12*(1+Inputs!$B$13/100)))+0.25*(Inputs!$B$14-Inputs!$B$14))*(1+Inputs!$B$7/100))*(F949/100)</f>
        <v/>
      </c>
      <c r="K949">
        <f>J949*(1+((Inputs!$B$12*(1+Inputs!$B$13/100))*0.01+Inputs!$B$14*0.0025)/100)*(1+Inputs!$B$15/100)*(1+Inputs!$B$16/100)*(5000/(6000+Inputs!$B$42*(1-(100*(1-(1-(Inputs!$B$19+0)/100)*(1-CHOOSE(ArtifactsInput!$N$40+1,5,6,7,8,9,10)/100)^(ArtifactsInput!$M$40-ArtifactsInput!$M$40)))/100)))*(1+(Inputs!$B$24+((C971=TRUE)*(F971-Calc!F26))+B982)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961=TRUE,F961,0)/100)*(1+(IF(Skills!A4="EIGHT_LEGS_EASTON",Inputs!$B$17+((C968=TRUE)*(F968-Calc!F23))+((C972=TRUE)*(F972-Calc!F27))+((IF(AND(Inputs!$B$38&lt;&gt;"pvp",Inputs!$B$43=0),1,IF(IF(Inputs!$B$38="pvp",15,Inputs!$B$43)-(B983)&lt;=0,1,MAX(0,IF(Inputs!$B$38="pvp",15,Inputs!$B$43)-MAX(5,B983))/(IF(Inputs!$B$38="pvp",15,Inputs!$B$43)-(B983))))*(IF(AND(ArtifactsInput!$M$42,((Inputs!$B$9+((C964=TRUE)*(F964-Calc!F19))+B976+(ArtifactsInput!$M$24-ArtifactsInput!$M$24)*CHOOSE(ArtifactsInput!$N$24+1,10,12,14,16,18,20)+IF(ArtifactsInput!$M$10,CHOOSE(ArtifactsInput!$N$10+1,15,18,21,24,27,30)*(IF(Inputs!$B$38="pvp",MIN(15,15)/15,IF(AND(Inputs!$B$38&lt;&gt;"pvp",Inputs!$B$43&gt;0),MIN(15,Inputs!$B$43)/(Inputs!$B$43),0))),0)))&gt;=100),MIN(100,((Inputs!$B$9+((C964=TRUE)*(F964-Calc!F19))+B976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983)&lt;=0,1,MAX(0,IF(Inputs!$B$38="pvp",15,Inputs!$B$43)-MAX(5,B983))/(IF(Inputs!$B$38="pvp",15,Inputs!$B$43)-(B983))))*IF(AND(ArtifactsInput!$M$42,((Inputs!$B$9+((C964=TRUE)*(F964-Calc!F19))+B976+(ArtifactsInput!$M$24-ArtifactsInput!$M$24)*CHOOSE(ArtifactsInput!$N$24+1,10,12,14,16,18,20)+IF(ArtifactsInput!$M$10,CHOOSE(ArtifactsInput!$N$10+1,15,18,21,24,27,30)*(IF(Inputs!$B$38="pvp",MIN(15,15)/15,IF(AND(Inputs!$B$38&lt;&gt;"pvp",Inputs!$B$43&gt;0),MIN(15,Inputs!$B$43)/(Inputs!$B$43),0))),0)))&gt;=100),CHOOSE(ArtifactsInput!$N$42+1,40,48,56,64,72,80),0))))/100)*((1+(((C962=TRUE)*F962*5/7)+((C969=TRUE)*(F969-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949)</f>
        <v/>
      </c>
      <c r="L949">
        <f>K949*(MIN(Inputs!$B$22+((C967=TRUE)*(F967-Calc!F22)),(Inputs!$B$23+0+(IF(ArtifactsInput!$M$15,CHOOSE(ArtifactsInput!$N$15+1,25,30,35,40,45,50)/100*(Inputs!$B$11-Inputs!$B$11),0))))/100+(Inputs!$B$23+0+(IF(ArtifactsInput!$M$15,CHOOSE(ArtifactsInput!$N$15+1,25,30,35,40,45,50)/100*(Inputs!$B$11-Inputs!$B$11),0)))/100)/2</f>
        <v/>
      </c>
      <c r="M949">
        <f>L949*(1+(Inputs!$B$10+((C970=TRUE)*(F970-Calc!F25))+B981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49">
        <f>L949*(1-MIN((Inputs!$B$9+((C964=TRUE)*(F964-Calc!F19))+B976+(ArtifactsInput!$M$24-ArtifactsInput!$M$24)*CHOOSE(ArtifactsInput!$N$24+1,10,12,14,16,18,20)+(IF(AND(Inputs!$B$38&lt;&gt;"pvp",Inputs!$B$43=0),1,IF(IF(Inputs!$B$38="pvp",15,Inputs!$B$43)-(B983)&lt;=0,1,MAX(0,IF(Inputs!$B$38="pvp",15,Inputs!$B$43)-MAX(5,B983))/(IF(Inputs!$B$38="pvp",15,Inputs!$B$43)-(B983))))*IF(AND(ArtifactsInput!$M$42,((Inputs!$B$9+((C964=TRUE)*(F964-Calc!F19))+B976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949*(MIN((Inputs!$B$9+((C964=TRUE)*(F964-Calc!F19))+B976+(ArtifactsInput!$M$24-ArtifactsInput!$M$24)*CHOOSE(ArtifactsInput!$N$24+1,10,12,14,16,18,20)+(IF(AND(Inputs!$B$38&lt;&gt;"pvp",Inputs!$B$43=0),1,IF(IF(Inputs!$B$38="pvp",15,Inputs!$B$43)-(B983)&lt;=0,1,MAX(0,IF(Inputs!$B$38="pvp",15,Inputs!$B$43)-MAX(5,B983))/(IF(Inputs!$B$38="pvp",15,Inputs!$B$43)-(B983))))*IF(AND(ArtifactsInput!$M$42,((Inputs!$B$9+((C964=TRUE)*(F964-Calc!F19))+B976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49">
        <f>(1-Summary!$B$11)*T949+Summary!$B$11*V949</f>
        <v/>
      </c>
      <c r="P949">
        <f>IF(B986=0,0,O949/B986)</f>
        <v/>
      </c>
      <c r="Q949">
        <f>IFERROR(1/(IF(Inputs!$B$38="pvp",15,MAX(0.1,Skills!D4-IF(TRUE=TRUE,Inputs!$B$32,0)))*(1-IF(AND(ArtifactsInput!$M$27,Inputs!$B$4="Chapter Hunt"),CHOOSE(ArtifactsInput!$N$27+1,20,24,28,32,36,40),0)/100)),0)</f>
        <v/>
      </c>
      <c r="R949">
        <f>IF(AND(Inputs!$B$38&lt;&gt;"pvp",Inputs!$B$43&gt;0),IF(MAX(0,Inputs!$B$43-B983)&lt;=0,0,(INT(MAX(0,Inputs!$B$43-B983)/(IF(Inputs!$B$38="pvp",15,MAX(0.1,Skills!D4-IF(TRUE=TRUE,Inputs!$B$32,0)))*(1-IF(AND(ArtifactsInput!$M$27,Inputs!$B$4="Chapter Hunt"),CHOOSE(ArtifactsInput!$N$27+1,20,24,28,32,36,40),0)/100)))+1)),0)</f>
        <v/>
      </c>
      <c r="S949">
        <f>IFERROR(O949/N949,0)</f>
        <v/>
      </c>
      <c r="T949">
        <f>IF(C949,(H949*N949*IF(AND(Inputs!$B$38&lt;&gt;"pvp",Inputs!$B$43&gt;0),((Skills!G4*((R949-1)*IF(Skills!H4&gt;0,INT(IF(Inputs!$B$3&gt;=104,MIN(35,20*(1+Inputs!$B$34/100)),20)/Skills!H4+0.000000001),1)+IF(Skills!H4&gt;0,INT(MIN(IF(Inputs!$B$3&gt;=104,MIN(35,20*(1+Inputs!$B$34/100)),20),MAX(0,MAX(0,Inputs!$B$43-B983)-((R949-1)*(IF(Inputs!$B$38="pvp",15,MAX(0.1,Skills!D4-IF(TRUE=TRUE,Inputs!$B$32,0)))*(1-IF(AND(ArtifactsInput!$M$27,Inputs!$B$4="Chapter Hunt"),CHOOSE(ArtifactsInput!$N$27+1,20,24,28,32,36,40),0)/100)))))/Skills!H4+0.000000001),1)))/Inputs!$B$43),G949*Q949))*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Hunt"),CHOOSE(ArtifactsInput!$N$35+1,15,18,21,24,27,30)*(1-EXP(-(0.2*B978)*5)),0)+IF(AND(ArtifactsInput!$M$22,Inputs!$B$4&lt;&gt;"Chapter Hunt"),CHOOSE(ArtifactsInput!$N$22+1,10,12,14,16,18,20)*((0*(((0.15*B978*5))^0/1)+1*(((0.15*B978*5))^1/1)+2*(((0.15*B978*5))^2/2)+3*(((0.15*B978*5))^3/6)+4*(((0.15*B978*5))^4/24)+5*(((0.15*B978*5))^5/120))/((((0.15*B978*5))^0/1)+(((0.15*B978*5))^1/1)+(((0.15*B978*5))^2/2)+(((0.15*B978*5))^3/6)+(((0.15*B978*5))^4/24)+(((0.15*B978*5))^5/120))),0))+IF(Inputs!$B$3&gt;=54,9*(C948=TRUE)*MIN(1,8*(1+Inputs!$B$34/100)*Q948)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949*(1-MIN(100,(Inputs!$B$9+((C964=TRUE)*(F964-Calc!F19))+B976+(ArtifactsInput!$M$24-ArtifactsInput!$M$24)*CHOOSE(ArtifactsInput!$N$24+1,10,12,14,16,18,20)+(IF(AND(Inputs!$B$38&lt;&gt;"pvp",Inputs!$B$43=0),1,IF(IF(Inputs!$B$38="pvp",15,Inputs!$B$43)-(B983)&lt;=0,1,MAX(0,IF(Inputs!$B$38="pvp",15,Inputs!$B$43)-MAX(5,B983))/(IF(Inputs!$B$38="pvp",15,Inputs!$B$43)-(B983))))*IF(AND(ArtifactsInput!$M$42,((Inputs!$B$9+((C964=TRUE)*(F964-Calc!F19))+B976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949*(MIN(100,(Inputs!$B$9+((C964=TRUE)*(F964-Calc!F19))+B976+(ArtifactsInput!$M$24-ArtifactsInput!$M$24)*CHOOSE(ArtifactsInput!$N$24+1,10,12,14,16,18,20)+(IF(AND(Inputs!$B$38&lt;&gt;"pvp",Inputs!$B$43=0),1,IF(IF(Inputs!$B$38="pvp",15,Inputs!$B$43)-(B983)&lt;=0,1,MAX(0,IF(Inputs!$B$38="pvp",15,Inputs!$B$43)-MAX(5,B983))/(IF(Inputs!$B$38="pvp",15,Inputs!$B$43)-(B983))))*IF(AND(ArtifactsInput!$M$42,((Inputs!$B$9+((C964=TRUE)*(F964-Calc!F19))+B976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949*(1-MIN(100,(Inputs!$B$9+((C964=TRUE)*(F964-Calc!F19))+B976+(ArtifactsInput!$M$24-ArtifactsInput!$M$24)*CHOOSE(ArtifactsInput!$N$24+1,10,12,14,16,18,20)+(IF(AND(Inputs!$B$38&lt;&gt;"pvp",Inputs!$B$43=0),1,IF(IF(Inputs!$B$38="pvp",15,Inputs!$B$43)-(B983)&lt;=0,1,MAX(0,IF(Inputs!$B$38="pvp",15,Inputs!$B$43)-MAX(5,B983))/(IF(Inputs!$B$38="pvp",15,Inputs!$B$43)-(B983))))*IF(AND(ArtifactsInput!$M$42,((Inputs!$B$9+((C964=TRUE)*(F964-Calc!F19))+B976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949*(MIN(100,(Inputs!$B$9+((C964=TRUE)*(F964-Calc!F19))+B976+(ArtifactsInput!$M$24-ArtifactsInput!$M$24)*CHOOSE(ArtifactsInput!$N$24+1,10,12,14,16,18,20)+(IF(AND(Inputs!$B$38&lt;&gt;"pvp",Inputs!$B$43=0),1,IF(IF(Inputs!$B$38="pvp",15,Inputs!$B$43)-(B983)&lt;=0,1,MAX(0,IF(Inputs!$B$38="pvp",15,Inputs!$B$43)-MAX(5,B983))/(IF(Inputs!$B$38="pvp",15,Inputs!$B$43)-(B983))))*IF(AND(ArtifactsInput!$M$42,((Inputs!$B$9+((C964=TRUE)*(F964-Calc!F19))+B976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949">
        <f>290*U948/1000</f>
        <v/>
      </c>
      <c r="V949">
        <f>IF(C949,(H949*N949*IF(AND(Inputs!$B$38&lt;&gt;"pvp",Inputs!$B$43&gt;0),((Skills!G4*((R949-1)*IF(Skills!H4&gt;0,INT(IF(Inputs!$B$3&gt;=104,MIN(35,20*(1+Inputs!$B$34/100)),20)/Skills!H4+0.000000001),1)+IF(Skills!H4&gt;0,INT(MIN(IF(Inputs!$B$3&gt;=104,MIN(35,20*(1+Inputs!$B$34/100)),20),MAX(0,MAX(0,Inputs!$B$43-B983)-((R949-1)*(IF(Inputs!$B$38="pvp",15,MAX(0.1,Skills!D4-IF(TRUE=TRUE,Inputs!$B$32,0)))*(1-IF(AND(ArtifactsInput!$M$27,Inputs!$B$4="Chapter Hunt"),CHOOSE(ArtifactsInput!$N$27+1,20,24,28,32,36,40),0)/100)))))/Skills!H4+0.000000001),1)))/Inputs!$B$43),G949*Q949))*IF(Inputs!$B$38="pvp",1,(1+(Inputs!$B$21+Skills!Q4+(IF(ArtifactsInput!$M$33,CHOOSE(ArtifactsInput!$N$33+1,30,36,42,48,54,60),0))+(IF(AND(ArtifactsInput!$M$35,Inputs!$B$4&lt;&gt;"Chapter Hunt"),CHOOSE(ArtifactsInput!$N$35+1,15,18,21,24,27,30)*(1-EXP(-(0.2*B978)*5)),0)+IF(AND(ArtifactsInput!$M$22,Inputs!$B$4&lt;&gt;"Chapter Hunt"),CHOOSE(ArtifactsInput!$N$22+1,10,12,14,16,18,20)*((0*(((0.15*B978*5))^0/1)+1*(((0.15*B978*5))^1/1)+2*(((0.15*B978*5))^2/2)+3*(((0.15*B978*5))^3/6)+4*(((0.15*B978*5))^4/24)+5*(((0.15*B978*5))^5/120))/((((0.15*B978*5))^0/1)+(((0.15*B978*5))^1/1)+(((0.15*B978*5))^2/2)+(((0.15*B978*5))^3/6)+(((0.15*B978*5))^4/24)+(((0.15*B978*5))^5/120))),0))+IF(Inputs!$B$3&gt;=54,9*(C948=TRUE)*MIN(1,8*(1+Inputs!$B$34/100)*Q948),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50">
      <c r="A950">
        <f>Skills!A5</f>
        <v/>
      </c>
      <c r="B950">
        <f>Skills!B5</f>
        <v/>
      </c>
      <c r="C950">
        <f>Inputs!$B$3&gt;=69</f>
        <v/>
      </c>
      <c r="D950">
        <f>IF(Skills!C5=1,60+Inputs!$B$25+Inputs!$B$29,IF(Skills!C5=2,90+Inputs!$B$26+Inputs!$B$29,IF(Skills!C5=3,120+Inputs!$B$27+Inputs!$B$29,MAX(0,(Inputs!$B$3-100)*3)+(Inputs!$B$28+1)+Inputs!$B$29)))</f>
        <v/>
      </c>
      <c r="E950">
        <f>INDEX(FactorTable!$B$2:$Y$301, MATCH(ROUND(MIN(300,MAX(1,D950)),0), FactorTable!$A$2:$A$301,0), Skills!M5+1)</f>
        <v/>
      </c>
      <c r="F950">
        <f>IF(Skills!N5=TRUE,(Skills!L5/10)*(E950/1000),Skills!L5/10)+Skills!O5</f>
        <v/>
      </c>
      <c r="G950">
        <f>Skills!G5*IF(Skills!H5&gt;0,INT(IF(Inputs!$B$38="pvp",MIN(IF(Inputs!$B$3&gt;=104,MIN(35,20*(1+Inputs!$B$34/100)),20),15),IF(Inputs!$B$3&gt;=104,MIN(35,20*(1+Inputs!$B$34/100)),20))/Skills!H5+0.000000001),1)</f>
        <v/>
      </c>
      <c r="H950">
        <f>1-(1-Skills!J5/100)^Skills!K5</f>
        <v/>
      </c>
      <c r="I950" t="inlineStr">
        <is>
          <t>1</t>
        </is>
      </c>
      <c r="J950">
        <f>((Inputs!$B$6*(1+Inputs!$B$7/100))+(((Inputs!$B$12*(1+Inputs!$B$13/100))-(Inputs!$B$12*(1+Inputs!$B$13/100)))+0.25*(Inputs!$B$14-Inputs!$B$14))*(1+Inputs!$B$7/100))*(F950/100)</f>
        <v/>
      </c>
      <c r="K950">
        <f>J950*(1+((Inputs!$B$12*(1+Inputs!$B$13/100))*0.01+Inputs!$B$14*0.0025)/100)*(1+Inputs!$B$15/100)*(1+Inputs!$B$16/100)*(5000/(6000+Inputs!$B$42*(1-(100*(1-(1-(Inputs!$B$19+0)/100)*(1-CHOOSE(ArtifactsInput!$N$40+1,5,6,7,8,9,10)/100)^(ArtifactsInput!$M$40-ArtifactsInput!$M$40)))/100)))*(1+(Inputs!$B$24+((C971=TRUE)*(F971-Calc!F26))+B982)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+0.4*IF(C961=TRUE,F961,0)/100)*(1+(IF(Skills!A5="EIGHT_LEGS_EASTON",Inputs!$B$17+((C968=TRUE)*(F968-Calc!F23))+((C972=TRUE)*(F972-Calc!F27))+((IF(AND(Inputs!$B$38&lt;&gt;"pvp",Inputs!$B$43=0),1,IF(IF(Inputs!$B$38="pvp",15,Inputs!$B$43)-(B983)&lt;=0,1,MAX(0,IF(Inputs!$B$38="pvp",15,Inputs!$B$43)-MAX(5,B983))/(IF(Inputs!$B$38="pvp",15,Inputs!$B$43)-(B983))))*(IF(AND(ArtifactsInput!$M$42,((Inputs!$B$9+((C964=TRUE)*(F964-Calc!F19))+B976+(ArtifactsInput!$M$24-ArtifactsInput!$M$24)*CHOOSE(ArtifactsInput!$N$24+1,10,12,14,16,18,20)+IF(ArtifactsInput!$M$10,CHOOSE(ArtifactsInput!$N$10+1,15,18,21,24,27,30)*(IF(Inputs!$B$38="pvp",MIN(15,15)/15,IF(AND(Inputs!$B$38&lt;&gt;"pvp",Inputs!$B$43&gt;0),MIN(15,Inputs!$B$43)/(Inputs!$B$43),0))),0)))&gt;=100),MIN(100,((Inputs!$B$9+((C964=TRUE)*(F964-Calc!F19))+B976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983)&lt;=0,1,MAX(0,IF(Inputs!$B$38="pvp",15,Inputs!$B$43)-MAX(5,B983))/(IF(Inputs!$B$38="pvp",15,Inputs!$B$43)-(B983))))*IF(AND(ArtifactsInput!$M$42,((Inputs!$B$9+((C964=TRUE)*(F964-Calc!F19))+B976+(ArtifactsInput!$M$24-ArtifactsInput!$M$24)*CHOOSE(ArtifactsInput!$N$24+1,10,12,14,16,18,20)+IF(ArtifactsInput!$M$10,CHOOSE(ArtifactsInput!$N$10+1,15,18,21,24,27,30)*(IF(Inputs!$B$38="pvp",MIN(15,15)/15,IF(AND(Inputs!$B$38&lt;&gt;"pvp",Inputs!$B$43&gt;0),MIN(15,Inputs!$B$43)/(Inputs!$B$43),0))),0)))&gt;=100),CHOOSE(ArtifactsInput!$N$42+1,40,48,56,64,72,80),0))))/100)*((1+(((C962=TRUE)*F962*5/7)+((C969=TRUE)*(F969-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950)</f>
        <v/>
      </c>
      <c r="L950">
        <f>K950*(MIN(Inputs!$B$22+((C967=TRUE)*(F967-Calc!F22)),(Inputs!$B$23+0+(IF(ArtifactsInput!$M$15,CHOOSE(ArtifactsInput!$N$15+1,25,30,35,40,45,50)/100*(Inputs!$B$11-Inputs!$B$11),0))))/100+(Inputs!$B$23+0+(IF(ArtifactsInput!$M$15,CHOOSE(ArtifactsInput!$N$15+1,25,30,35,40,45,50)/100*(Inputs!$B$11-Inputs!$B$11),0)))/100)/2</f>
        <v/>
      </c>
      <c r="M950">
        <f>L950*(1+(Inputs!$B$10+((C970=TRUE)*(F970-Calc!F25))+B981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50">
        <f>L950*(1-MIN((Inputs!$B$9+((C964=TRUE)*(F964-Calc!F19))+B976+(ArtifactsInput!$M$24-ArtifactsInput!$M$24)*CHOOSE(ArtifactsInput!$N$24+1,10,12,14,16,18,20)+(IF(AND(Inputs!$B$38&lt;&gt;"pvp",Inputs!$B$43=0),1,IF(IF(Inputs!$B$38="pvp",15,Inputs!$B$43)-(B983)&lt;=0,1,MAX(0,IF(Inputs!$B$38="pvp",15,Inputs!$B$43)-MAX(5,B983))/(IF(Inputs!$B$38="pvp",15,Inputs!$B$43)-(B983))))*IF(AND(ArtifactsInput!$M$42,((Inputs!$B$9+((C964=TRUE)*(F964-Calc!F19))+B976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950*(MIN((Inputs!$B$9+((C964=TRUE)*(F964-Calc!F19))+B976+(ArtifactsInput!$M$24-ArtifactsInput!$M$24)*CHOOSE(ArtifactsInput!$N$24+1,10,12,14,16,18,20)+(IF(AND(Inputs!$B$38&lt;&gt;"pvp",Inputs!$B$43=0),1,IF(IF(Inputs!$B$38="pvp",15,Inputs!$B$43)-(B983)&lt;=0,1,MAX(0,IF(Inputs!$B$38="pvp",15,Inputs!$B$43)-MAX(5,B983))/(IF(Inputs!$B$38="pvp",15,Inputs!$B$43)-(B983))))*IF(AND(ArtifactsInput!$M$42,((Inputs!$B$9+((C964=TRUE)*(F964-Calc!F19))+B976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50">
        <f>(1-Summary!$B$11)*T950+Summary!$B$11*V950</f>
        <v/>
      </c>
      <c r="P950">
        <f>IF(B986=0,0,O950/B986)</f>
        <v/>
      </c>
      <c r="Q950">
        <f>IFERROR(1/(IF(Inputs!$B$38="pvp",15,MAX(0.1,Skills!D5-IF(TRUE=TRUE,Inputs!$B$32,0)))*(1-IF(AND(ArtifactsInput!$M$27,Inputs!$B$4="Chapter Hunt"),CHOOSE(ArtifactsInput!$N$27+1,20,24,28,32,36,40),0)/100)),0)</f>
        <v/>
      </c>
      <c r="R950">
        <f>IF(AND(Inputs!$B$38&lt;&gt;"pvp",Inputs!$B$43&gt;0),IF(MAX(0,Inputs!$B$43-B983)&lt;=0,0,(INT(MAX(0,Inputs!$B$43-B983)/(IF(Inputs!$B$38="pvp",15,MAX(0.1,Skills!D5-IF(TRUE=TRUE,Inputs!$B$32,0)))*(1-IF(AND(ArtifactsInput!$M$27,Inputs!$B$4="Chapter Hunt"),CHOOSE(ArtifactsInput!$N$27+1,20,24,28,32,36,40),0)/100)))+1)),0)</f>
        <v/>
      </c>
      <c r="S950">
        <f>IFERROR(O950/N950,0)</f>
        <v/>
      </c>
      <c r="T950">
        <f>IF(C950,(H950*N950*IF(AND(Inputs!$B$38&lt;&gt;"pvp",Inputs!$B$43&gt;0),((Skills!G5*((R950-1)*IF(Skills!H5&gt;0,INT(IF(Inputs!$B$3&gt;=104,MIN(35,20*(1+Inputs!$B$34/100)),20)/Skills!H5+0.000000001),1)+IF(Skills!H5&gt;0,INT(MIN(IF(Inputs!$B$3&gt;=104,MIN(35,20*(1+Inputs!$B$34/100)),20),MAX(0,MAX(0,Inputs!$B$43-B983)-((R950-1)*(IF(Inputs!$B$38="pvp",15,MAX(0.1,Skills!D5-IF(TRUE=TRUE,Inputs!$B$32,0)))*(1-IF(AND(ArtifactsInput!$M$27,Inputs!$B$4="Chapter Hunt"),CHOOSE(ArtifactsInput!$N$27+1,20,24,28,32,36,40),0)/100)))))/Skills!H5+0.000000001),1)))/Inputs!$B$43),G950*Q950))*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Hunt"),CHOOSE(ArtifactsInput!$N$35+1,15,18,21,24,27,30)*(1-EXP(-(0.2*B978)*5)),0)+IF(AND(ArtifactsInput!$M$22,Inputs!$B$4&lt;&gt;"Chapter Hunt"),CHOOSE(ArtifactsInput!$N$22+1,10,12,14,16,18,20)*((0*(((0.15*B978*5))^0/1)+1*(((0.15*B978*5))^1/1)+2*(((0.15*B978*5))^2/2)+3*(((0.15*B978*5))^3/6)+4*(((0.15*B978*5))^4/24)+5*(((0.15*B978*5))^5/120))/((((0.15*B978*5))^0/1)+(((0.15*B978*5))^1/1)+(((0.15*B978*5))^2/2)+(((0.15*B978*5))^3/6)+(((0.15*B978*5))^4/24)+(((0.15*B978*5))^5/120))),0))+IF(Inputs!$B$3&gt;=54,9*(C948=TRUE)*MIN(1,8*(1+Inputs!$B$34/100)*Q948)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950*(1-MIN(100,(Inputs!$B$9+((C964=TRUE)*(F964-Calc!F19))+B976+(ArtifactsInput!$M$24-ArtifactsInput!$M$24)*CHOOSE(ArtifactsInput!$N$24+1,10,12,14,16,18,20)+(IF(AND(Inputs!$B$38&lt;&gt;"pvp",Inputs!$B$43=0),1,IF(IF(Inputs!$B$38="pvp",15,Inputs!$B$43)-(B983)&lt;=0,1,MAX(0,IF(Inputs!$B$38="pvp",15,Inputs!$B$43)-MAX(5,B983))/(IF(Inputs!$B$38="pvp",15,Inputs!$B$43)-(B983))))*IF(AND(ArtifactsInput!$M$42,((Inputs!$B$9+((C964=TRUE)*(F964-Calc!F19))+B976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950*(MIN(100,(Inputs!$B$9+((C964=TRUE)*(F964-Calc!F19))+B976+(ArtifactsInput!$M$24-ArtifactsInput!$M$24)*CHOOSE(ArtifactsInput!$N$24+1,10,12,14,16,18,20)+(IF(AND(Inputs!$B$38&lt;&gt;"pvp",Inputs!$B$43=0),1,IF(IF(Inputs!$B$38="pvp",15,Inputs!$B$43)-(B983)&lt;=0,1,MAX(0,IF(Inputs!$B$38="pvp",15,Inputs!$B$43)-MAX(5,B983))/(IF(Inputs!$B$38="pvp",15,Inputs!$B$43)-(B983))))*IF(AND(ArtifactsInput!$M$42,((Inputs!$B$9+((C964=TRUE)*(F964-Calc!F19))+B976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950*(1-MIN(100,(Inputs!$B$9+((C964=TRUE)*(F964-Calc!F19))+B976+(ArtifactsInput!$M$24-ArtifactsInput!$M$24)*CHOOSE(ArtifactsInput!$N$24+1,10,12,14,16,18,20)+(IF(AND(Inputs!$B$38&lt;&gt;"pvp",Inputs!$B$43=0),1,IF(IF(Inputs!$B$38="pvp",15,Inputs!$B$43)-(B983)&lt;=0,1,MAX(0,IF(Inputs!$B$38="pvp",15,Inputs!$B$43)-MAX(5,B983))/(IF(Inputs!$B$38="pvp",15,Inputs!$B$43)-(B983))))*IF(AND(ArtifactsInput!$M$42,((Inputs!$B$9+((C964=TRUE)*(F964-Calc!F19))+B976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950*(MIN(100,(Inputs!$B$9+((C964=TRUE)*(F964-Calc!F19))+B976+(ArtifactsInput!$M$24-ArtifactsInput!$M$24)*CHOOSE(ArtifactsInput!$N$24+1,10,12,14,16,18,20)+(IF(AND(Inputs!$B$38&lt;&gt;"pvp",Inputs!$B$43=0),1,IF(IF(Inputs!$B$38="pvp",15,Inputs!$B$43)-(B983)&lt;=0,1,MAX(0,IF(Inputs!$B$38="pvp",15,Inputs!$B$43)-MAX(5,B983))/(IF(Inputs!$B$38="pvp",15,Inputs!$B$43)-(B983))))*IF(AND(ArtifactsInput!$M$42,((Inputs!$B$9+((C964=TRUE)*(F964-Calc!F19))+B976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950">
        <f>IF(C950,(H950*N950*IF(AND(Inputs!$B$38&lt;&gt;"pvp",Inputs!$B$43&gt;0),((Skills!G5*((R950-1)*IF(Skills!H5&gt;0,INT(IF(Inputs!$B$3&gt;=104,MIN(35,20*(1+Inputs!$B$34/100)),20)/Skills!H5+0.000000001),1)+IF(Skills!H5&gt;0,INT(MIN(IF(Inputs!$B$3&gt;=104,MIN(35,20*(1+Inputs!$B$34/100)),20),MAX(0,MAX(0,Inputs!$B$43-B983)-((R950-1)*(IF(Inputs!$B$38="pvp",15,MAX(0.1,Skills!D5-IF(TRUE=TRUE,Inputs!$B$32,0)))*(1-IF(AND(ArtifactsInput!$M$27,Inputs!$B$4="Chapter Hunt"),CHOOSE(ArtifactsInput!$N$27+1,20,24,28,32,36,40),0)/100)))))/Skills!H5+0.000000001),1)))/Inputs!$B$43),G950*Q950))*IF(Inputs!$B$38="pvp",1,(1+(Inputs!$B$21+Skills!Q5+(IF(ArtifactsInput!$M$33,CHOOSE(ArtifactsInput!$N$33+1,30,36,42,48,54,60),0))+(IF(AND(ArtifactsInput!$M$35,Inputs!$B$4&lt;&gt;"Chapter Hunt"),CHOOSE(ArtifactsInput!$N$35+1,15,18,21,24,27,30)*(1-EXP(-(0.2*B978)*5)),0)+IF(AND(ArtifactsInput!$M$22,Inputs!$B$4&lt;&gt;"Chapter Hunt"),CHOOSE(ArtifactsInput!$N$22+1,10,12,14,16,18,20)*((0*(((0.15*B978*5))^0/1)+1*(((0.15*B978*5))^1/1)+2*(((0.15*B978*5))^2/2)+3*(((0.15*B978*5))^3/6)+4*(((0.15*B978*5))^4/24)+5*(((0.15*B978*5))^5/120))/((((0.15*B978*5))^0/1)+(((0.15*B978*5))^1/1)+(((0.15*B978*5))^2/2)+(((0.15*B978*5))^3/6)+(((0.15*B978*5))^4/24)+(((0.15*B978*5))^5/120))),0))+IF(Inputs!$B$3&gt;=54,9*(C948=TRUE)*MIN(1,8*(1+Inputs!$B$34/100)*Q948),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51">
      <c r="A951">
        <f>Skills!A6</f>
        <v/>
      </c>
      <c r="B951">
        <f>Skills!B6</f>
        <v/>
      </c>
      <c r="C951">
        <f>Inputs!$B$3&gt;=66</f>
        <v/>
      </c>
      <c r="D951">
        <f>IF(Skills!C6=1,60+Inputs!$B$25+Inputs!$B$29,IF(Skills!C6=2,90+Inputs!$B$26+Inputs!$B$29,IF(Skills!C6=3,120+Inputs!$B$27+Inputs!$B$29,MAX(0,(Inputs!$B$3-100)*3)+(Inputs!$B$28+1)+Inputs!$B$29)))</f>
        <v/>
      </c>
      <c r="E951">
        <f>INDEX(FactorTable!$B$2:$Y$301, MATCH(ROUND(MIN(300,MAX(1,D951)),0), FactorTable!$A$2:$A$301,0), Skills!M6+1)</f>
        <v/>
      </c>
      <c r="F951">
        <f>IF(Skills!N6=TRUE,(Skills!L6/10)*(E951/1000),Skills!L6/10)+Skills!O6</f>
        <v/>
      </c>
      <c r="G951">
        <f>Skills!G6*IF(Skills!H6&gt;0,INT(IF(Inputs!$B$38="pvp",MIN(Skills!I6,15),Skills!I6)/Skills!H6+0.000000001),1)</f>
        <v/>
      </c>
      <c r="H951">
        <f>1-(1-Skills!J6/100)^Skills!K6</f>
        <v/>
      </c>
      <c r="I951" t="inlineStr">
        <is>
          <t>1</t>
        </is>
      </c>
      <c r="J951">
        <f>((Inputs!$B$6*(1+Inputs!$B$7/100))+(((Inputs!$B$12*(1+Inputs!$B$13/100))-(Inputs!$B$12*(1+Inputs!$B$13/100)))+0.25*(Inputs!$B$14-Inputs!$B$14))*(1+Inputs!$B$7/100))*(F951/100)</f>
        <v/>
      </c>
      <c r="K951">
        <f>J951*(1+((Inputs!$B$12*(1+Inputs!$B$13/100))*0.01+Inputs!$B$14*0.0025)/100)*(1+Inputs!$B$15/100)*(1+Inputs!$B$16/100)*(5000/(6000+Inputs!$B$42*(1-(100*(1-(1-(Inputs!$B$19+0)/100)*(1-CHOOSE(ArtifactsInput!$N$40+1,5,6,7,8,9,10)/100)^(ArtifactsInput!$M$40-ArtifactsInput!$M$40)))/100)))*(1+(Inputs!$B$24+((C971=TRUE)*(F971-Calc!F26))+B982)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+2.0*IF(C960=TRUE,F960,0)/100)*(1+(IF(Skills!A6="EIGHT_LEGS_EASTON",Inputs!$B$17+((C968=TRUE)*(F968-Calc!F23))+((C972=TRUE)*(F972-Calc!F27))+((IF(AND(Inputs!$B$38&lt;&gt;"pvp",Inputs!$B$43=0),1,IF(IF(Inputs!$B$38="pvp",15,Inputs!$B$43)-(B983)&lt;=0,1,MAX(0,IF(Inputs!$B$38="pvp",15,Inputs!$B$43)-MAX(5,B983))/(IF(Inputs!$B$38="pvp",15,Inputs!$B$43)-(B983))))*(IF(AND(ArtifactsInput!$M$42,((Inputs!$B$9+((C964=TRUE)*(F964-Calc!F19))+B976+(ArtifactsInput!$M$24-ArtifactsInput!$M$24)*CHOOSE(ArtifactsInput!$N$24+1,10,12,14,16,18,20)+IF(ArtifactsInput!$M$10,CHOOSE(ArtifactsInput!$N$10+1,15,18,21,24,27,30)*(IF(Inputs!$B$38="pvp",MIN(15,15)/15,IF(AND(Inputs!$B$38&lt;&gt;"pvp",Inputs!$B$43&gt;0),MIN(15,Inputs!$B$43)/(Inputs!$B$43),0))),0)))&gt;=100),MIN(100,((Inputs!$B$9+((C964=TRUE)*(F964-Calc!F19))+B976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983)&lt;=0,1,MAX(0,IF(Inputs!$B$38="pvp",15,Inputs!$B$43)-MAX(5,B983))/(IF(Inputs!$B$38="pvp",15,Inputs!$B$43)-(B983))))*IF(AND(ArtifactsInput!$M$42,((Inputs!$B$9+((C964=TRUE)*(F964-Calc!F19))+B976+(ArtifactsInput!$M$24-ArtifactsInput!$M$24)*CHOOSE(ArtifactsInput!$N$24+1,10,12,14,16,18,20)+IF(ArtifactsInput!$M$10,CHOOSE(ArtifactsInput!$N$10+1,15,18,21,24,27,30)*(IF(Inputs!$B$38="pvp",MIN(15,15)/15,IF(AND(Inputs!$B$38&lt;&gt;"pvp",Inputs!$B$43&gt;0),MIN(15,Inputs!$B$43)/(Inputs!$B$43),0))),0)))&gt;=100),CHOOSE(ArtifactsInput!$N$42+1,40,48,56,64,72,80),0))))/100)*((1+(((C962=TRUE)*F962*5/7)+((C969=TRUE)*(F969-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951)</f>
        <v/>
      </c>
      <c r="L951">
        <f>K951*(MIN(Inputs!$B$22+((C967=TRUE)*(F967-Calc!F22)),(Inputs!$B$23+0+(IF(ArtifactsInput!$M$15,CHOOSE(ArtifactsInput!$N$15+1,25,30,35,40,45,50)/100*(Inputs!$B$11-Inputs!$B$11),0))))/100+(Inputs!$B$23+0+(IF(ArtifactsInput!$M$15,CHOOSE(ArtifactsInput!$N$15+1,25,30,35,40,45,50)/100*(Inputs!$B$11-Inputs!$B$11),0)))/100)/2</f>
        <v/>
      </c>
      <c r="M951">
        <f>L951*(1+(Inputs!$B$10+((C970=TRUE)*(F970-Calc!F25))+B981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51">
        <f>L951*(1-MIN((Inputs!$B$9+((C964=TRUE)*(F964-Calc!F19))+B976+(ArtifactsInput!$M$24-ArtifactsInput!$M$24)*CHOOSE(ArtifactsInput!$N$24+1,10,12,14,16,18,20)+(IF(AND(Inputs!$B$38&lt;&gt;"pvp",Inputs!$B$43=0),1,IF(IF(Inputs!$B$38="pvp",15,Inputs!$B$43)-(B983)&lt;=0,1,MAX(0,IF(Inputs!$B$38="pvp",15,Inputs!$B$43)-MAX(5,B983))/(IF(Inputs!$B$38="pvp",15,Inputs!$B$43)-(B983))))*IF(AND(ArtifactsInput!$M$42,((Inputs!$B$9+((C964=TRUE)*(F964-Calc!F19))+B976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951*(MIN((Inputs!$B$9+((C964=TRUE)*(F964-Calc!F19))+B976+(ArtifactsInput!$M$24-ArtifactsInput!$M$24)*CHOOSE(ArtifactsInput!$N$24+1,10,12,14,16,18,20)+(IF(AND(Inputs!$B$38&lt;&gt;"pvp",Inputs!$B$43=0),1,IF(IF(Inputs!$B$38="pvp",15,Inputs!$B$43)-(B983)&lt;=0,1,MAX(0,IF(Inputs!$B$38="pvp",15,Inputs!$B$43)-MAX(5,B983))/(IF(Inputs!$B$38="pvp",15,Inputs!$B$43)-(B983))))*IF(AND(ArtifactsInput!$M$42,((Inputs!$B$9+((C964=TRUE)*(F964-Calc!F19))+B976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51">
        <f>(1-Summary!$B$11)*T951+Summary!$B$11*V951</f>
        <v/>
      </c>
      <c r="P951">
        <f>IF(B986=0,0,O951/B986)</f>
        <v/>
      </c>
      <c r="Q951">
        <f>IFERROR(1/(IF(Inputs!$B$38="pvp",15,MAX(0.1,Skills!D6-IF(TRUE=TRUE,Inputs!$B$32,0)))*(1-IF(AND(ArtifactsInput!$M$27,Inputs!$B$4="Chapter Hunt"),CHOOSE(ArtifactsInput!$N$27+1,20,24,28,32,36,40),0)/100)),0)</f>
        <v/>
      </c>
      <c r="R951">
        <f>IF(AND(Inputs!$B$38&lt;&gt;"pvp",Inputs!$B$43&gt;0),IF(MAX(0,Inputs!$B$43-B983)&lt;=0,0,(INT(MAX(0,Inputs!$B$43-B983)/(IF(Inputs!$B$38="pvp",15,MAX(0.1,Skills!D6-IF(TRUE=TRUE,Inputs!$B$32,0)))*(1-IF(AND(ArtifactsInput!$M$27,Inputs!$B$4="Chapter Hunt"),CHOOSE(ArtifactsInput!$N$27+1,20,24,28,32,36,40),0)/100)))+1)),0)</f>
        <v/>
      </c>
      <c r="S951">
        <f>IFERROR(O951/N951,0)</f>
        <v/>
      </c>
      <c r="T951">
        <f>IF(C951,(H951*N951*IF(AND(Inputs!$B$38&lt;&gt;"pvp",Inputs!$B$43&gt;0),((Skills!G6*((R951-1)*IF(Skills!H6&gt;0,INT(Skills!I6/Skills!H6+0.000000001),1)+IF(Skills!H6&gt;0,INT(MIN(Skills!I6,MAX(0,MAX(0,Inputs!$B$43-B983)-((R951-1)*(IF(Inputs!$B$38="pvp",15,MAX(0.1,Skills!D6-IF(TRUE=TRUE,Inputs!$B$32,0)))*(1-IF(AND(ArtifactsInput!$M$27,Inputs!$B$4="Chapter Hunt"),CHOOSE(ArtifactsInput!$N$27+1,20,24,28,32,36,40),0)/100)))))/Skills!H6+0.000000001),1)))/Inputs!$B$43),G951*Q951))*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Hunt"),CHOOSE(ArtifactsInput!$N$35+1,15,18,21,24,27,30)*(1-EXP(-(0.2*B978)*5)),0)+IF(AND(ArtifactsInput!$M$22,Inputs!$B$4&lt;&gt;"Chapter Hunt"),CHOOSE(ArtifactsInput!$N$22+1,10,12,14,16,18,20)*((0*(((0.15*B978*5))^0/1)+1*(((0.15*B978*5))^1/1)+2*(((0.15*B978*5))^2/2)+3*(((0.15*B978*5))^3/6)+4*(((0.15*B978*5))^4/24)+5*(((0.15*B978*5))^5/120))/((((0.15*B978*5))^0/1)+(((0.15*B978*5))^1/1)+(((0.15*B978*5))^2/2)+(((0.15*B978*5))^3/6)+(((0.15*B978*5))^4/24)+(((0.15*B978*5))^5/120))),0))+IF(Inputs!$B$3&gt;=54,9*(C948=TRUE)*MIN(1,8*(1+Inputs!$B$34/100)*Q948)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951*(1-MIN(100,(Inputs!$B$9+((C964=TRUE)*(F964-Calc!F19))+B976+(ArtifactsInput!$M$24-ArtifactsInput!$M$24)*CHOOSE(ArtifactsInput!$N$24+1,10,12,14,16,18,20)+(IF(AND(Inputs!$B$38&lt;&gt;"pvp",Inputs!$B$43=0),1,IF(IF(Inputs!$B$38="pvp",15,Inputs!$B$43)-(B983)&lt;=0,1,MAX(0,IF(Inputs!$B$38="pvp",15,Inputs!$B$43)-MAX(5,B983))/(IF(Inputs!$B$38="pvp",15,Inputs!$B$43)-(B983))))*IF(AND(ArtifactsInput!$M$42,((Inputs!$B$9+((C964=TRUE)*(F964-Calc!F19))+B976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951*(MIN(100,(Inputs!$B$9+((C964=TRUE)*(F964-Calc!F19))+B976+(ArtifactsInput!$M$24-ArtifactsInput!$M$24)*CHOOSE(ArtifactsInput!$N$24+1,10,12,14,16,18,20)+(IF(AND(Inputs!$B$38&lt;&gt;"pvp",Inputs!$B$43=0),1,IF(IF(Inputs!$B$38="pvp",15,Inputs!$B$43)-(B983)&lt;=0,1,MAX(0,IF(Inputs!$B$38="pvp",15,Inputs!$B$43)-MAX(5,B983))/(IF(Inputs!$B$38="pvp",15,Inputs!$B$43)-(B983))))*IF(AND(ArtifactsInput!$M$42,((Inputs!$B$9+((C964=TRUE)*(F964-Calc!F19))+B976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951*(1-MIN(100,(Inputs!$B$9+((C964=TRUE)*(F964-Calc!F19))+B976+(ArtifactsInput!$M$24-ArtifactsInput!$M$24)*CHOOSE(ArtifactsInput!$N$24+1,10,12,14,16,18,20)+(IF(AND(Inputs!$B$38&lt;&gt;"pvp",Inputs!$B$43=0),1,IF(IF(Inputs!$B$38="pvp",15,Inputs!$B$43)-(B983)&lt;=0,1,MAX(0,IF(Inputs!$B$38="pvp",15,Inputs!$B$43)-MAX(5,B983))/(IF(Inputs!$B$38="pvp",15,Inputs!$B$43)-(B983))))*IF(AND(ArtifactsInput!$M$42,((Inputs!$B$9+((C964=TRUE)*(F964-Calc!F19))+B976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951*(MIN(100,(Inputs!$B$9+((C964=TRUE)*(F964-Calc!F19))+B976+(ArtifactsInput!$M$24-ArtifactsInput!$M$24)*CHOOSE(ArtifactsInput!$N$24+1,10,12,14,16,18,20)+(IF(AND(Inputs!$B$38&lt;&gt;"pvp",Inputs!$B$43=0),1,IF(IF(Inputs!$B$38="pvp",15,Inputs!$B$43)-(B983)&lt;=0,1,MAX(0,IF(Inputs!$B$38="pvp",15,Inputs!$B$43)-MAX(5,B983))/(IF(Inputs!$B$38="pvp",15,Inputs!$B$43)-(B983))))*IF(AND(ArtifactsInput!$M$42,((Inputs!$B$9+((C964=TRUE)*(F964-Calc!F19))+B976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951">
        <f>IF(C951,(H951*N951*IF(AND(Inputs!$B$38&lt;&gt;"pvp",Inputs!$B$43&gt;0),((Skills!G6*((R951-1)*IF(Skills!H6&gt;0,INT(Skills!I6/Skills!H6+0.000000001),1)+IF(Skills!H6&gt;0,INT(MIN(Skills!I6,MAX(0,MAX(0,Inputs!$B$43-B983)-((R951-1)*(IF(Inputs!$B$38="pvp",15,MAX(0.1,Skills!D6-IF(TRUE=TRUE,Inputs!$B$32,0)))*(1-IF(AND(ArtifactsInput!$M$27,Inputs!$B$4="Chapter Hunt"),CHOOSE(ArtifactsInput!$N$27+1,20,24,28,32,36,40),0)/100)))))/Skills!H6+0.000000001),1)))/Inputs!$B$43),G951*Q951))*IF(Inputs!$B$38="pvp",1,(1+(Inputs!$B$21+Skills!Q6+(IF(ArtifactsInput!$M$33,CHOOSE(ArtifactsInput!$N$33+1,30,36,42,48,54,60),0))+(IF(AND(ArtifactsInput!$M$35,Inputs!$B$4&lt;&gt;"Chapter Hunt"),CHOOSE(ArtifactsInput!$N$35+1,15,18,21,24,27,30)*(1-EXP(-(0.2*B978)*5)),0)+IF(AND(ArtifactsInput!$M$22,Inputs!$B$4&lt;&gt;"Chapter Hunt"),CHOOSE(ArtifactsInput!$N$22+1,10,12,14,16,18,20)*((0*(((0.15*B978*5))^0/1)+1*(((0.15*B978*5))^1/1)+2*(((0.15*B978*5))^2/2)+3*(((0.15*B978*5))^3/6)+4*(((0.15*B978*5))^4/24)+5*(((0.15*B978*5))^5/120))/((((0.15*B978*5))^0/1)+(((0.15*B978*5))^1/1)+(((0.15*B978*5))^2/2)+(((0.15*B978*5))^3/6)+(((0.15*B978*5))^4/24)+(((0.15*B978*5))^5/120))),0))+IF(Inputs!$B$3&gt;=54,9*(C948=TRUE)*MIN(1,8*(1+Inputs!$B$34/100)*Q948),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52">
      <c r="A952">
        <f>Skills!A7</f>
        <v/>
      </c>
      <c r="B952">
        <f>Skills!B7</f>
        <v/>
      </c>
      <c r="C952">
        <f>Inputs!$B$3&gt;=63</f>
        <v/>
      </c>
      <c r="D952">
        <f>IF(Skills!C7=1,60+Inputs!$B$25+Inputs!$B$29,IF(Skills!C7=2,90+Inputs!$B$26+Inputs!$B$29,IF(Skills!C7=3,120+Inputs!$B$27+Inputs!$B$29,MAX(0,(Inputs!$B$3-100)*3)+(Inputs!$B$28+1)+Inputs!$B$29)))</f>
        <v/>
      </c>
      <c r="E952">
        <f>INDEX(FactorTable!$B$2:$Y$301, MATCH(ROUND(MIN(300,MAX(1,D952)),0), FactorTable!$A$2:$A$301,0), Skills!M7+1)</f>
        <v/>
      </c>
      <c r="F952">
        <f>IF(Skills!N7=TRUE,(Skills!L7/10)*(E952/1000),Skills!L7/10)+Skills!O7</f>
        <v/>
      </c>
      <c r="G952">
        <f>Skills!G7*IF(Skills!H7&gt;0,INT(IF(Inputs!$B$38="pvp",MIN(Skills!I7,15),Skills!I7)/Skills!H7+0.000000001),1)</f>
        <v/>
      </c>
      <c r="H952">
        <f>1-(1-Skills!J7/100)^Skills!K7</f>
        <v/>
      </c>
      <c r="I952" t="inlineStr">
        <is>
          <t>1</t>
        </is>
      </c>
      <c r="J952">
        <f>((Inputs!$B$6*(1+Inputs!$B$7/100))+(((Inputs!$B$12*(1+Inputs!$B$13/100))-(Inputs!$B$12*(1+Inputs!$B$13/100)))+0.25*(Inputs!$B$14-Inputs!$B$14))*(1+Inputs!$B$7/100))*(F952/100)</f>
        <v/>
      </c>
      <c r="K952">
        <f>J952*(1+((Inputs!$B$12*(1+Inputs!$B$13/100))*0.01+Inputs!$B$14*0.0025)/100)*(1+Inputs!$B$15/100)*(1+Inputs!$B$16/100)*(5000/(6000+Inputs!$B$42*(1-(100*(1-(1-(Inputs!$B$19+0)/100)*(1-CHOOSE(ArtifactsInput!$N$40+1,5,6,7,8,9,10)/100)^(ArtifactsInput!$M$40-ArtifactsInput!$M$40)))/100)))*(1+(Inputs!$B$24+((C971=TRUE)*(F971-Calc!F26))+B982)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960=TRUE,F960,0)/100)*(1+(IF(Skills!A7="EIGHT_LEGS_EASTON",Inputs!$B$17+((C968=TRUE)*(F968-Calc!F23))+((C972=TRUE)*(F972-Calc!F27))+((IF(AND(Inputs!$B$38&lt;&gt;"pvp",Inputs!$B$43=0),1,IF(IF(Inputs!$B$38="pvp",15,Inputs!$B$43)-(B983)&lt;=0,1,MAX(0,IF(Inputs!$B$38="pvp",15,Inputs!$B$43)-MAX(5,B983))/(IF(Inputs!$B$38="pvp",15,Inputs!$B$43)-(B983))))*(IF(AND(ArtifactsInput!$M$42,((Inputs!$B$9+((C964=TRUE)*(F964-Calc!F19))+B976+(ArtifactsInput!$M$24-ArtifactsInput!$M$24)*CHOOSE(ArtifactsInput!$N$24+1,10,12,14,16,18,20)+IF(ArtifactsInput!$M$10,CHOOSE(ArtifactsInput!$N$10+1,15,18,21,24,27,30)*(IF(Inputs!$B$38="pvp",MIN(15,15)/15,IF(AND(Inputs!$B$38&lt;&gt;"pvp",Inputs!$B$43&gt;0),MIN(15,Inputs!$B$43)/(Inputs!$B$43),0))),0)))&gt;=100),MIN(100,((Inputs!$B$9+((C964=TRUE)*(F964-Calc!F19))+B976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983)&lt;=0,1,MAX(0,IF(Inputs!$B$38="pvp",15,Inputs!$B$43)-MAX(5,B983))/(IF(Inputs!$B$38="pvp",15,Inputs!$B$43)-(B983))))*IF(AND(ArtifactsInput!$M$42,((Inputs!$B$9+((C964=TRUE)*(F964-Calc!F19))+B976+(ArtifactsInput!$M$24-ArtifactsInput!$M$24)*CHOOSE(ArtifactsInput!$N$24+1,10,12,14,16,18,20)+IF(ArtifactsInput!$M$10,CHOOSE(ArtifactsInput!$N$10+1,15,18,21,24,27,30)*(IF(Inputs!$B$38="pvp",MIN(15,15)/15,IF(AND(Inputs!$B$38&lt;&gt;"pvp",Inputs!$B$43&gt;0),MIN(15,Inputs!$B$43)/(Inputs!$B$43),0))),0)))&gt;=100),CHOOSE(ArtifactsInput!$N$42+1,40,48,56,64,72,80),0))))/100)*((1+(((C962=TRUE)*F962*5/7)+((C969=TRUE)*(F969-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952)</f>
        <v/>
      </c>
      <c r="L952">
        <f>K952*(MIN(Inputs!$B$22+((C967=TRUE)*(F967-Calc!F22)),(Inputs!$B$23+0+(IF(ArtifactsInput!$M$15,CHOOSE(ArtifactsInput!$N$15+1,25,30,35,40,45,50)/100*(Inputs!$B$11-Inputs!$B$11),0))))/100+(Inputs!$B$23+0+(IF(ArtifactsInput!$M$15,CHOOSE(ArtifactsInput!$N$15+1,25,30,35,40,45,50)/100*(Inputs!$B$11-Inputs!$B$11),0)))/100)/2</f>
        <v/>
      </c>
      <c r="M952">
        <f>L952*(1+(Inputs!$B$10+((C970=TRUE)*(F970-Calc!F25))+B981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52">
        <f>L952*(1-MIN((Inputs!$B$9+((C964=TRUE)*(F964-Calc!F19))+B976+(ArtifactsInput!$M$24-ArtifactsInput!$M$24)*CHOOSE(ArtifactsInput!$N$24+1,10,12,14,16,18,20)+(IF(AND(Inputs!$B$38&lt;&gt;"pvp",Inputs!$B$43=0),1,IF(IF(Inputs!$B$38="pvp",15,Inputs!$B$43)-(B983)&lt;=0,1,MAX(0,IF(Inputs!$B$38="pvp",15,Inputs!$B$43)-MAX(5,B983))/(IF(Inputs!$B$38="pvp",15,Inputs!$B$43)-(B983))))*IF(AND(ArtifactsInput!$M$42,((Inputs!$B$9+((C964=TRUE)*(F964-Calc!F19))+B976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952*(MIN((Inputs!$B$9+((C964=TRUE)*(F964-Calc!F19))+B976+(ArtifactsInput!$M$24-ArtifactsInput!$M$24)*CHOOSE(ArtifactsInput!$N$24+1,10,12,14,16,18,20)+(IF(AND(Inputs!$B$38&lt;&gt;"pvp",Inputs!$B$43=0),1,IF(IF(Inputs!$B$38="pvp",15,Inputs!$B$43)-(B983)&lt;=0,1,MAX(0,IF(Inputs!$B$38="pvp",15,Inputs!$B$43)-MAX(5,B983))/(IF(Inputs!$B$38="pvp",15,Inputs!$B$43)-(B983))))*IF(AND(ArtifactsInput!$M$42,((Inputs!$B$9+((C964=TRUE)*(F964-Calc!F19))+B976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52">
        <f>(1-Summary!$B$11)*T952+Summary!$B$11*V952</f>
        <v/>
      </c>
      <c r="P952">
        <f>IF(B986=0,0,O952/B986)</f>
        <v/>
      </c>
      <c r="Q952">
        <f>IFERROR(1/(IF(Inputs!$B$38="pvp",15,MAX(0.1,Skills!D7-IF(TRUE=TRUE,Inputs!$B$32,0)))*(1-IF(AND(ArtifactsInput!$M$27,Inputs!$B$4="Chapter Hunt"),CHOOSE(ArtifactsInput!$N$27+1,20,24,28,32,36,40),0)/100)),0)</f>
        <v/>
      </c>
      <c r="R952">
        <f>IF(AND(Inputs!$B$38&lt;&gt;"pvp",Inputs!$B$43&gt;0),IF(MAX(0,Inputs!$B$43-B983)&lt;=0,0,(INT(MAX(0,Inputs!$B$43-B983)/(IF(Inputs!$B$38="pvp",15,MAX(0.1,Skills!D7-IF(TRUE=TRUE,Inputs!$B$32,0)))*(1-IF(AND(ArtifactsInput!$M$27,Inputs!$B$4="Chapter Hunt"),CHOOSE(ArtifactsInput!$N$27+1,20,24,28,32,36,40),0)/100)))+1)),0)</f>
        <v/>
      </c>
      <c r="S952">
        <f>IFERROR(O952/N952,0)</f>
        <v/>
      </c>
      <c r="T952">
        <f>IF(C952,(H952*N952*IF(AND(Inputs!$B$38&lt;&gt;"pvp",Inputs!$B$43&gt;0),((Skills!G7*((R952-1)*IF(Skills!H7&gt;0,INT(Skills!I7/Skills!H7+0.000000001),1)+IF(Skills!H7&gt;0,INT(MIN(Skills!I7,MAX(0,MAX(0,Inputs!$B$43-B983)-((R952-1)*(IF(Inputs!$B$38="pvp",15,MAX(0.1,Skills!D7-IF(TRUE=TRUE,Inputs!$B$32,0)))*(1-IF(AND(ArtifactsInput!$M$27,Inputs!$B$4="Chapter Hunt"),CHOOSE(ArtifactsInput!$N$27+1,20,24,28,32,36,40),0)/100)))))/Skills!H7+0.000000001),1)))/Inputs!$B$43),G952*Q952))*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Hunt"),CHOOSE(ArtifactsInput!$N$35+1,15,18,21,24,27,30)*(1-EXP(-(0.2*B978)*5)),0)+IF(AND(ArtifactsInput!$M$22,Inputs!$B$4&lt;&gt;"Chapter Hunt"),CHOOSE(ArtifactsInput!$N$22+1,10,12,14,16,18,20)*((0*(((0.15*B978*5))^0/1)+1*(((0.15*B978*5))^1/1)+2*(((0.15*B978*5))^2/2)+3*(((0.15*B978*5))^3/6)+4*(((0.15*B978*5))^4/24)+5*(((0.15*B978*5))^5/120))/((((0.15*B978*5))^0/1)+(((0.15*B978*5))^1/1)+(((0.15*B978*5))^2/2)+(((0.15*B978*5))^3/6)+(((0.15*B978*5))^4/24)+(((0.15*B978*5))^5/120))),0))+IF(Inputs!$B$3&gt;=54,9*(C948=TRUE)*MIN(1,8*(1+Inputs!$B$34/100)*Q948)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952*(1-MIN(100,(Inputs!$B$9+((C964=TRUE)*(F964-Calc!F19))+B976+(ArtifactsInput!$M$24-ArtifactsInput!$M$24)*CHOOSE(ArtifactsInput!$N$24+1,10,12,14,16,18,20)+(IF(AND(Inputs!$B$38&lt;&gt;"pvp",Inputs!$B$43=0),1,IF(IF(Inputs!$B$38="pvp",15,Inputs!$B$43)-(B983)&lt;=0,1,MAX(0,IF(Inputs!$B$38="pvp",15,Inputs!$B$43)-MAX(5,B983))/(IF(Inputs!$B$38="pvp",15,Inputs!$B$43)-(B983))))*IF(AND(ArtifactsInput!$M$42,((Inputs!$B$9+((C964=TRUE)*(F964-Calc!F19))+B976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952*(MIN(100,(Inputs!$B$9+((C964=TRUE)*(F964-Calc!F19))+B976+(ArtifactsInput!$M$24-ArtifactsInput!$M$24)*CHOOSE(ArtifactsInput!$N$24+1,10,12,14,16,18,20)+(IF(AND(Inputs!$B$38&lt;&gt;"pvp",Inputs!$B$43=0),1,IF(IF(Inputs!$B$38="pvp",15,Inputs!$B$43)-(B983)&lt;=0,1,MAX(0,IF(Inputs!$B$38="pvp",15,Inputs!$B$43)-MAX(5,B983))/(IF(Inputs!$B$38="pvp",15,Inputs!$B$43)-(B983))))*IF(AND(ArtifactsInput!$M$42,((Inputs!$B$9+((C964=TRUE)*(F964-Calc!F19))+B976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952*(1-MIN(100,(Inputs!$B$9+((C964=TRUE)*(F964-Calc!F19))+B976+(ArtifactsInput!$M$24-ArtifactsInput!$M$24)*CHOOSE(ArtifactsInput!$N$24+1,10,12,14,16,18,20)+(IF(AND(Inputs!$B$38&lt;&gt;"pvp",Inputs!$B$43=0),1,IF(IF(Inputs!$B$38="pvp",15,Inputs!$B$43)-(B983)&lt;=0,1,MAX(0,IF(Inputs!$B$38="pvp",15,Inputs!$B$43)-MAX(5,B983))/(IF(Inputs!$B$38="pvp",15,Inputs!$B$43)-(B983))))*IF(AND(ArtifactsInput!$M$42,((Inputs!$B$9+((C964=TRUE)*(F964-Calc!F19))+B976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952*(MIN(100,(Inputs!$B$9+((C964=TRUE)*(F964-Calc!F19))+B976+(ArtifactsInput!$M$24-ArtifactsInput!$M$24)*CHOOSE(ArtifactsInput!$N$24+1,10,12,14,16,18,20)+(IF(AND(Inputs!$B$38&lt;&gt;"pvp",Inputs!$B$43=0),1,IF(IF(Inputs!$B$38="pvp",15,Inputs!$B$43)-(B983)&lt;=0,1,MAX(0,IF(Inputs!$B$38="pvp",15,Inputs!$B$43)-MAX(5,B983))/(IF(Inputs!$B$38="pvp",15,Inputs!$B$43)-(B983))))*IF(AND(ArtifactsInput!$M$42,((Inputs!$B$9+((C964=TRUE)*(F964-Calc!F19))+B976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952">
        <f>IF(C952,(H952*N952*IF(AND(Inputs!$B$38&lt;&gt;"pvp",Inputs!$B$43&gt;0),((Skills!G7*((R952-1)*IF(Skills!H7&gt;0,INT(Skills!I7/Skills!H7+0.000000001),1)+IF(Skills!H7&gt;0,INT(MIN(Skills!I7,MAX(0,MAX(0,Inputs!$B$43-B983)-((R952-1)*(IF(Inputs!$B$38="pvp",15,MAX(0.1,Skills!D7-IF(TRUE=TRUE,Inputs!$B$32,0)))*(1-IF(AND(ArtifactsInput!$M$27,Inputs!$B$4="Chapter Hunt"),CHOOSE(ArtifactsInput!$N$27+1,20,24,28,32,36,40),0)/100)))))/Skills!H7+0.000000001),1)))/Inputs!$B$43),G952*Q952))*IF(Inputs!$B$38="pvp",1,(1+(Inputs!$B$21+Skills!Q7+(IF(ArtifactsInput!$M$33,CHOOSE(ArtifactsInput!$N$33+1,30,36,42,48,54,60),0))+(IF(AND(ArtifactsInput!$M$35,Inputs!$B$4&lt;&gt;"Chapter Hunt"),CHOOSE(ArtifactsInput!$N$35+1,15,18,21,24,27,30)*(1-EXP(-(0.2*B978)*5)),0)+IF(AND(ArtifactsInput!$M$22,Inputs!$B$4&lt;&gt;"Chapter Hunt"),CHOOSE(ArtifactsInput!$N$22+1,10,12,14,16,18,20)*((0*(((0.15*B978*5))^0/1)+1*(((0.15*B978*5))^1/1)+2*(((0.15*B978*5))^2/2)+3*(((0.15*B978*5))^3/6)+4*(((0.15*B978*5))^4/24)+5*(((0.15*B978*5))^5/120))/((((0.15*B978*5))^0/1)+(((0.15*B978*5))^1/1)+(((0.15*B978*5))^2/2)+(((0.15*B978*5))^3/6)+(((0.15*B978*5))^4/24)+(((0.15*B978*5))^5/120))),0))+IF(Inputs!$B$3&gt;=54,9*(C948=TRUE)*MIN(1,8*(1+Inputs!$B$34/100)*Q948),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53">
      <c r="A953">
        <f>Skills!A8</f>
        <v/>
      </c>
      <c r="B953">
        <f>Skills!B8</f>
        <v/>
      </c>
      <c r="C953">
        <f>Inputs!$B$3&gt;=103</f>
        <v/>
      </c>
      <c r="D953">
        <f>IF(Skills!C8=1,60+Inputs!$B$25+Inputs!$B$29,IF(Skills!C8=2,90+Inputs!$B$26+Inputs!$B$29,IF(Skills!C8=3,120+Inputs!$B$27+Inputs!$B$29,MAX(0,(Inputs!$B$3-100)*3)+(Inputs!$B$28+1)+Inputs!$B$29)))</f>
        <v/>
      </c>
      <c r="E953">
        <f>INDEX(FactorTable!$B$2:$Y$301, MATCH(ROUND(MIN(300,MAX(1,D953)),0), FactorTable!$A$2:$A$301,0), Skills!M8+1)</f>
        <v/>
      </c>
      <c r="F953">
        <f>IF(Skills!N8=TRUE,(Skills!L8/10)*(E953/1000),Skills!L8/10)+Skills!O8</f>
        <v/>
      </c>
      <c r="G953">
        <f>Skills!G8*IF(Skills!H8&gt;0,INT(IF(Inputs!$B$38="pvp",MIN(Skills!I8,15),Skills!I8)/Skills!H8+0.000000001),1)</f>
        <v/>
      </c>
      <c r="H953">
        <f>1-(1-Skills!J8/100)^Skills!K8</f>
        <v/>
      </c>
      <c r="I953" t="inlineStr">
        <is>
          <t>1</t>
        </is>
      </c>
      <c r="J953">
        <f>((Inputs!$B$6*(1+Inputs!$B$7/100))+(((Inputs!$B$12*(1+Inputs!$B$13/100))-(Inputs!$B$12*(1+Inputs!$B$13/100)))+0.25*(Inputs!$B$14-Inputs!$B$14))*(1+Inputs!$B$7/100))*(F953/100)</f>
        <v/>
      </c>
      <c r="K953">
        <f>J953*(1+((Inputs!$B$12*(1+Inputs!$B$13/100))*0.01+Inputs!$B$14*0.0025)/100)*(1+Inputs!$B$15/100)*(1+Inputs!$B$16/100)*(5000/(6000+Inputs!$B$42*(1-(100*(1-(1-(Inputs!$B$19+0)/100)*(1-CHOOSE(ArtifactsInput!$N$40+1,5,6,7,8,9,10)/100)^(ArtifactsInput!$M$40-ArtifactsInput!$M$40)))/100)))*(1+(Inputs!$B$24+((C971=TRUE)*(F971-Calc!F26))+B982)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IGHT_LEGS_EASTON",Inputs!$B$17+((C968=TRUE)*(F968-Calc!F23))+((C972=TRUE)*(F972-Calc!F27))+((IF(AND(Inputs!$B$38&lt;&gt;"pvp",Inputs!$B$43=0),1,IF(IF(Inputs!$B$38="pvp",15,Inputs!$B$43)-(B983)&lt;=0,1,MAX(0,IF(Inputs!$B$38="pvp",15,Inputs!$B$43)-MAX(5,B983))/(IF(Inputs!$B$38="pvp",15,Inputs!$B$43)-(B983))))*(IF(AND(ArtifactsInput!$M$42,((Inputs!$B$9+((C964=TRUE)*(F964-Calc!F19))+B976+(ArtifactsInput!$M$24-ArtifactsInput!$M$24)*CHOOSE(ArtifactsInput!$N$24+1,10,12,14,16,18,20)+IF(ArtifactsInput!$M$10,CHOOSE(ArtifactsInput!$N$10+1,15,18,21,24,27,30)*(IF(Inputs!$B$38="pvp",MIN(15,15)/15,IF(AND(Inputs!$B$38&lt;&gt;"pvp",Inputs!$B$43&gt;0),MIN(15,Inputs!$B$43)/(Inputs!$B$43),0))),0)))&gt;=100),MIN(100,((Inputs!$B$9+((C964=TRUE)*(F964-Calc!F19))+B976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983)&lt;=0,1,MAX(0,IF(Inputs!$B$38="pvp",15,Inputs!$B$43)-MAX(5,B983))/(IF(Inputs!$B$38="pvp",15,Inputs!$B$43)-(B983))))*IF(AND(ArtifactsInput!$M$42,((Inputs!$B$9+((C964=TRUE)*(F964-Calc!F19))+B976+(ArtifactsInput!$M$24-ArtifactsInput!$M$24)*CHOOSE(ArtifactsInput!$N$24+1,10,12,14,16,18,20)+IF(ArtifactsInput!$M$10,CHOOSE(ArtifactsInput!$N$10+1,15,18,21,24,27,30)*(IF(Inputs!$B$38="pvp",MIN(15,15)/15,IF(AND(Inputs!$B$38&lt;&gt;"pvp",Inputs!$B$43&gt;0),MIN(15,Inputs!$B$43)/(Inputs!$B$43),0))),0)))&gt;=100),CHOOSE(ArtifactsInput!$N$42+1,40,48,56,64,72,80),0))))/100)*((1+(((C962=TRUE)*F962*5/7)+((C969=TRUE)*(F969-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953)</f>
        <v/>
      </c>
      <c r="L953">
        <f>K953*(MIN(Inputs!$B$22+((C967=TRUE)*(F967-Calc!F22)),(Inputs!$B$23+0+(IF(ArtifactsInput!$M$15,CHOOSE(ArtifactsInput!$N$15+1,25,30,35,40,45,50)/100*(Inputs!$B$11-Inputs!$B$11),0))))/100+(Inputs!$B$23+0+(IF(ArtifactsInput!$M$15,CHOOSE(ArtifactsInput!$N$15+1,25,30,35,40,45,50)/100*(Inputs!$B$11-Inputs!$B$11),0)))/100)/2</f>
        <v/>
      </c>
      <c r="M953">
        <f>L953*(1+(Inputs!$B$10+((C970=TRUE)*(F970-Calc!F25))+B981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53">
        <f>L953*(1-MIN((Inputs!$B$9+((C964=TRUE)*(F964-Calc!F19))+B976+(ArtifactsInput!$M$24-ArtifactsInput!$M$24)*CHOOSE(ArtifactsInput!$N$24+1,10,12,14,16,18,20)+(IF(AND(Inputs!$B$38&lt;&gt;"pvp",Inputs!$B$43=0),1,IF(IF(Inputs!$B$38="pvp",15,Inputs!$B$43)-(B983)&lt;=0,1,MAX(0,IF(Inputs!$B$38="pvp",15,Inputs!$B$43)-MAX(5,B983))/(IF(Inputs!$B$38="pvp",15,Inputs!$B$43)-(B983))))*IF(AND(ArtifactsInput!$M$42,((Inputs!$B$9+((C964=TRUE)*(F964-Calc!F19))+B976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953*(MIN((Inputs!$B$9+((C964=TRUE)*(F964-Calc!F19))+B976+(ArtifactsInput!$M$24-ArtifactsInput!$M$24)*CHOOSE(ArtifactsInput!$N$24+1,10,12,14,16,18,20)+(IF(AND(Inputs!$B$38&lt;&gt;"pvp",Inputs!$B$43=0),1,IF(IF(Inputs!$B$38="pvp",15,Inputs!$B$43)-(B983)&lt;=0,1,MAX(0,IF(Inputs!$B$38="pvp",15,Inputs!$B$43)-MAX(5,B983))/(IF(Inputs!$B$38="pvp",15,Inputs!$B$43)-(B983))))*IF(AND(ArtifactsInput!$M$42,((Inputs!$B$9+((C964=TRUE)*(F964-Calc!F19))+B976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53">
        <f>(1-Summary!$B$11)*T953+Summary!$B$11*V953</f>
        <v/>
      </c>
      <c r="P953">
        <f>IF(B986=0,0,O953/B986)</f>
        <v/>
      </c>
      <c r="Q953">
        <f>IFERROR(1/((IF(Inputs!$B$38="pvp",15,MAX(0.1,Skills!D8-IF(TRUE=TRUE,Inputs!$B$32,0)))*(1-IF(AND(ArtifactsInput!$M$27,Inputs!$B$4="Chapter Hunt"),CHOOSE(ArtifactsInput!$N$27+1,20,24,28,32,36,40),0)/100))/B987),0)</f>
        <v/>
      </c>
      <c r="R953">
        <f>IF(AND(Inputs!$B$38&lt;&gt;"pvp",Inputs!$B$43&gt;0),IF(MAX(0,Inputs!$B$43-B983)&lt;=0,0,(INT(MAX(0,Inputs!$B$43-B983)/((IF(Inputs!$B$38="pvp",15,MAX(0.1,Skills!D8-IF(TRUE=TRUE,Inputs!$B$32,0)))*(1-IF(AND(ArtifactsInput!$M$27,Inputs!$B$4="Chapter Hunt"),CHOOSE(ArtifactsInput!$N$27+1,20,24,28,32,36,40),0)/100))/B987))+1)),0)</f>
        <v/>
      </c>
      <c r="S953">
        <f>IFERROR(O953/N953,0)</f>
        <v/>
      </c>
      <c r="T953">
        <f>IF(C953,(H953*N953*IF(AND(Inputs!$B$38&lt;&gt;"pvp",Inputs!$B$43&gt;0),((Skills!G8*((R953-1)*IF(Skills!H8&gt;0,INT(Skills!I8/Skills!H8+0.000000001),1)+IF(Skills!H8&gt;0,INT(MIN(Skills!I8,MAX(0,MAX(0,Inputs!$B$43-B983)-((R953-1)*((IF(Inputs!$B$38="pvp",15,MAX(0.1,Skills!D8-IF(TRUE=TRUE,Inputs!$B$32,0)))*(1-IF(AND(ArtifactsInput!$M$27,Inputs!$B$4="Chapter Hunt"),CHOOSE(ArtifactsInput!$N$27+1,20,24,28,32,36,40),0)/100))/B987))))/Skills!H8+0.000000001),1)))/Inputs!$B$43),G953*Q953))*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Hunt"),CHOOSE(ArtifactsInput!$N$35+1,15,18,21,24,27,30)*(1-EXP(-(0.2*B978)*5)),0)+IF(AND(ArtifactsInput!$M$22,Inputs!$B$4&lt;&gt;"Chapter Hunt"),CHOOSE(ArtifactsInput!$N$22+1,10,12,14,16,18,20)*((0*(((0.15*B978*5))^0/1)+1*(((0.15*B978*5))^1/1)+2*(((0.15*B978*5))^2/2)+3*(((0.15*B978*5))^3/6)+4*(((0.15*B978*5))^4/24)+5*(((0.15*B978*5))^5/120))/((((0.15*B978*5))^0/1)+(((0.15*B978*5))^1/1)+(((0.15*B978*5))^2/2)+(((0.15*B978*5))^3/6)+(((0.15*B978*5))^4/24)+(((0.15*B978*5))^5/120))),0))+IF(Inputs!$B$3&gt;=54,9*(C948=TRUE)*MIN(1,8*(1+Inputs!$B$34/100)*Q948)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953*(1-MIN(100,(Inputs!$B$9+((C964=TRUE)*(F964-Calc!F19))+B976+(ArtifactsInput!$M$24-ArtifactsInput!$M$24)*CHOOSE(ArtifactsInput!$N$24+1,10,12,14,16,18,20)+(IF(AND(Inputs!$B$38&lt;&gt;"pvp",Inputs!$B$43=0),1,IF(IF(Inputs!$B$38="pvp",15,Inputs!$B$43)-(B983)&lt;=0,1,MAX(0,IF(Inputs!$B$38="pvp",15,Inputs!$B$43)-MAX(5,B983))/(IF(Inputs!$B$38="pvp",15,Inputs!$B$43)-(B983))))*IF(AND(ArtifactsInput!$M$42,((Inputs!$B$9+((C964=TRUE)*(F964-Calc!F19))+B976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953*(MIN(100,(Inputs!$B$9+((C964=TRUE)*(F964-Calc!F19))+B976+(ArtifactsInput!$M$24-ArtifactsInput!$M$24)*CHOOSE(ArtifactsInput!$N$24+1,10,12,14,16,18,20)+(IF(AND(Inputs!$B$38&lt;&gt;"pvp",Inputs!$B$43=0),1,IF(IF(Inputs!$B$38="pvp",15,Inputs!$B$43)-(B983)&lt;=0,1,MAX(0,IF(Inputs!$B$38="pvp",15,Inputs!$B$43)-MAX(5,B983))/(IF(Inputs!$B$38="pvp",15,Inputs!$B$43)-(B983))))*IF(AND(ArtifactsInput!$M$42,((Inputs!$B$9+((C964=TRUE)*(F964-Calc!F19))+B976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953*(1-MIN(100,(Inputs!$B$9+((C964=TRUE)*(F964-Calc!F19))+B976+(ArtifactsInput!$M$24-ArtifactsInput!$M$24)*CHOOSE(ArtifactsInput!$N$24+1,10,12,14,16,18,20)+(IF(AND(Inputs!$B$38&lt;&gt;"pvp",Inputs!$B$43=0),1,IF(IF(Inputs!$B$38="pvp",15,Inputs!$B$43)-(B983)&lt;=0,1,MAX(0,IF(Inputs!$B$38="pvp",15,Inputs!$B$43)-MAX(5,B983))/(IF(Inputs!$B$38="pvp",15,Inputs!$B$43)-(B983))))*IF(AND(ArtifactsInput!$M$42,((Inputs!$B$9+((C964=TRUE)*(F964-Calc!F19))+B976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953*(MIN(100,(Inputs!$B$9+((C964=TRUE)*(F964-Calc!F19))+B976+(ArtifactsInput!$M$24-ArtifactsInput!$M$24)*CHOOSE(ArtifactsInput!$N$24+1,10,12,14,16,18,20)+(IF(AND(Inputs!$B$38&lt;&gt;"pvp",Inputs!$B$43=0),1,IF(IF(Inputs!$B$38="pvp",15,Inputs!$B$43)-(B983)&lt;=0,1,MAX(0,IF(Inputs!$B$38="pvp",15,Inputs!$B$43)-MAX(5,B983))/(IF(Inputs!$B$38="pvp",15,Inputs!$B$43)-(B983))))*IF(AND(ArtifactsInput!$M$42,((Inputs!$B$9+((C964=TRUE)*(F964-Calc!F19))+B976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953">
        <f>IF(C953,(H953*N953*IF(AND(Inputs!$B$38&lt;&gt;"pvp",Inputs!$B$43&gt;0),((Skills!G8*((R953-1)*IF(Skills!H8&gt;0,INT(Skills!I8/Skills!H8+0.000000001),1)+IF(Skills!H8&gt;0,INT(MIN(Skills!I8,MAX(0,MAX(0,Inputs!$B$43-B983)-((R953-1)*((IF(Inputs!$B$38="pvp",15,MAX(0.1,Skills!D8-IF(TRUE=TRUE,Inputs!$B$32,0)))*(1-IF(AND(ArtifactsInput!$M$27,Inputs!$B$4="Chapter Hunt"),CHOOSE(ArtifactsInput!$N$27+1,20,24,28,32,36,40),0)/100))/B987))))/Skills!H8+0.000000001),1)))/Inputs!$B$43),G953*Q953))*IF(Inputs!$B$38="pvp",1,(1+(Inputs!$B$21+Skills!Q8+(IF(ArtifactsInput!$M$33,CHOOSE(ArtifactsInput!$N$33+1,30,36,42,48,54,60),0))+(IF(AND(ArtifactsInput!$M$35,Inputs!$B$4&lt;&gt;"Chapter Hunt"),CHOOSE(ArtifactsInput!$N$35+1,15,18,21,24,27,30)*(1-EXP(-(0.2*B978)*5)),0)+IF(AND(ArtifactsInput!$M$22,Inputs!$B$4&lt;&gt;"Chapter Hunt"),CHOOSE(ArtifactsInput!$N$22+1,10,12,14,16,18,20)*((0*(((0.15*B978*5))^0/1)+1*(((0.15*B978*5))^1/1)+2*(((0.15*B978*5))^2/2)+3*(((0.15*B978*5))^3/6)+4*(((0.15*B978*5))^4/24)+5*(((0.15*B978*5))^5/120))/((((0.15*B978*5))^0/1)+(((0.15*B978*5))^1/1)+(((0.15*B978*5))^2/2)+(((0.15*B978*5))^3/6)+(((0.15*B978*5))^4/24)+(((0.15*B978*5))^5/120))),0))+IF(Inputs!$B$3&gt;=54,9*(C948=TRUE)*MIN(1,8*(1+Inputs!$B$34/100)*Q948),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54">
      <c r="A954">
        <f>Skills!A9</f>
        <v/>
      </c>
      <c r="B954">
        <f>Skills!B9</f>
        <v/>
      </c>
      <c r="C954">
        <f>Inputs!$B$3&gt;=105</f>
        <v/>
      </c>
      <c r="D954">
        <f>IF(Skills!C9=1,60+Inputs!$B$25+Inputs!$B$29,IF(Skills!C9=2,90+Inputs!$B$26+Inputs!$B$29,IF(Skills!C9=3,120+Inputs!$B$27+Inputs!$B$29,MAX(0,(Inputs!$B$3-100)*3)+(Inputs!$B$28+1)+Inputs!$B$29)))</f>
        <v/>
      </c>
      <c r="E954">
        <f>INDEX(FactorTable!$B$2:$Y$301, MATCH(ROUND(MIN(300,MAX(1,D954)),0), FactorTable!$A$2:$A$301,0), Skills!M9+1)</f>
        <v/>
      </c>
      <c r="F954">
        <f>IF(Skills!N9=TRUE,(Skills!L9/10)*(E954/1000),Skills!L9/10)+Skills!O9</f>
        <v/>
      </c>
      <c r="G954">
        <f>Skills!G9*IF(Skills!H9&gt;0,INT(IF(Inputs!$B$38="pvp",MIN(Skills!I9,15),Skills!I9)/Skills!H9+0.000000001),1)</f>
        <v/>
      </c>
      <c r="H954">
        <f>1-(1-Skills!J9/100)^Skills!K9</f>
        <v/>
      </c>
      <c r="I954" t="inlineStr">
        <is>
          <t>1</t>
        </is>
      </c>
      <c r="J954">
        <f>((Inputs!$B$6*(1+Inputs!$B$7/100))+(((Inputs!$B$12*(1+Inputs!$B$13/100))-(Inputs!$B$12*(1+Inputs!$B$13/100)))+0.25*(Inputs!$B$14-Inputs!$B$14))*(1+Inputs!$B$7/100))*(F954/100)</f>
        <v/>
      </c>
      <c r="K954">
        <f>J954*(1+((Inputs!$B$12*(1+Inputs!$B$13/100))*0.01+Inputs!$B$14*0.0025)/100)*(1+Inputs!$B$15/100)*(1+Inputs!$B$16/100)*(5000/(6000+Inputs!$B$42*(1-(100*(1-(1-(Inputs!$B$19+0)/100)*(1-CHOOSE(ArtifactsInput!$N$40+1,5,6,7,8,9,10)/100)^(ArtifactsInput!$M$40-ArtifactsInput!$M$40)))/100)))*(1+(Inputs!$B$24+((C971=TRUE)*(F971-Calc!F26))+B982)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IGHT_LEGS_EASTON",Inputs!$B$17+((C968=TRUE)*(F968-Calc!F23))+((C972=TRUE)*(F972-Calc!F27))+((IF(AND(Inputs!$B$38&lt;&gt;"pvp",Inputs!$B$43=0),1,IF(IF(Inputs!$B$38="pvp",15,Inputs!$B$43)-(B983)&lt;=0,1,MAX(0,IF(Inputs!$B$38="pvp",15,Inputs!$B$43)-MAX(5,B983))/(IF(Inputs!$B$38="pvp",15,Inputs!$B$43)-(B983))))*(IF(AND(ArtifactsInput!$M$42,((Inputs!$B$9+((C964=TRUE)*(F964-Calc!F19))+B976+(ArtifactsInput!$M$24-ArtifactsInput!$M$24)*CHOOSE(ArtifactsInput!$N$24+1,10,12,14,16,18,20)+IF(ArtifactsInput!$M$10,CHOOSE(ArtifactsInput!$N$10+1,15,18,21,24,27,30)*(IF(Inputs!$B$38="pvp",MIN(15,15)/15,IF(AND(Inputs!$B$38&lt;&gt;"pvp",Inputs!$B$43&gt;0),MIN(15,Inputs!$B$43)/(Inputs!$B$43),0))),0)))&gt;=100),MIN(100,((Inputs!$B$9+((C964=TRUE)*(F964-Calc!F19))+B976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983)&lt;=0,1,MAX(0,IF(Inputs!$B$38="pvp",15,Inputs!$B$43)-MAX(5,B983))/(IF(Inputs!$B$38="pvp",15,Inputs!$B$43)-(B983))))*IF(AND(ArtifactsInput!$M$42,((Inputs!$B$9+((C964=TRUE)*(F964-Calc!F19))+B976+(ArtifactsInput!$M$24-ArtifactsInput!$M$24)*CHOOSE(ArtifactsInput!$N$24+1,10,12,14,16,18,20)+IF(ArtifactsInput!$M$10,CHOOSE(ArtifactsInput!$N$10+1,15,18,21,24,27,30)*(IF(Inputs!$B$38="pvp",MIN(15,15)/15,IF(AND(Inputs!$B$38&lt;&gt;"pvp",Inputs!$B$43&gt;0),MIN(15,Inputs!$B$43)/(Inputs!$B$43),0))),0)))&gt;=100),CHOOSE(ArtifactsInput!$N$42+1,40,48,56,64,72,80),0))))/100)*((1+(((C962=TRUE)*F962*5/7)+((C969=TRUE)*(F969-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954)</f>
        <v/>
      </c>
      <c r="L954">
        <f>K954*(MIN(Inputs!$B$22+((C967=TRUE)*(F967-Calc!F22)),(Inputs!$B$23+0+(IF(ArtifactsInput!$M$15,CHOOSE(ArtifactsInput!$N$15+1,25,30,35,40,45,50)/100*(Inputs!$B$11-Inputs!$B$11),0))))/100+(Inputs!$B$23+0+(IF(ArtifactsInput!$M$15,CHOOSE(ArtifactsInput!$N$15+1,25,30,35,40,45,50)/100*(Inputs!$B$11-Inputs!$B$11),0)))/100)/2</f>
        <v/>
      </c>
      <c r="M954">
        <f>L954*(1+(Inputs!$B$10+((C970=TRUE)*(F970-Calc!F25))+B981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54">
        <f>L954*(1-MIN((Inputs!$B$9+((C964=TRUE)*(F964-Calc!F19))+B976+(ArtifactsInput!$M$24-ArtifactsInput!$M$24)*CHOOSE(ArtifactsInput!$N$24+1,10,12,14,16,18,20)+(IF(AND(Inputs!$B$38&lt;&gt;"pvp",Inputs!$B$43=0),1,IF(IF(Inputs!$B$38="pvp",15,Inputs!$B$43)-(B983)&lt;=0,1,MAX(0,IF(Inputs!$B$38="pvp",15,Inputs!$B$43)-MAX(5,B983))/(IF(Inputs!$B$38="pvp",15,Inputs!$B$43)-(B983))))*IF(AND(ArtifactsInput!$M$42,((Inputs!$B$9+((C964=TRUE)*(F964-Calc!F19))+B976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954*(MIN((Inputs!$B$9+((C964=TRUE)*(F964-Calc!F19))+B976+(ArtifactsInput!$M$24-ArtifactsInput!$M$24)*CHOOSE(ArtifactsInput!$N$24+1,10,12,14,16,18,20)+(IF(AND(Inputs!$B$38&lt;&gt;"pvp",Inputs!$B$43=0),1,IF(IF(Inputs!$B$38="pvp",15,Inputs!$B$43)-(B983)&lt;=0,1,MAX(0,IF(Inputs!$B$38="pvp",15,Inputs!$B$43)-MAX(5,B983))/(IF(Inputs!$B$38="pvp",15,Inputs!$B$43)-(B983))))*IF(AND(ArtifactsInput!$M$42,((Inputs!$B$9+((C964=TRUE)*(F964-Calc!F19))+B976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54">
        <f>(1-Summary!$B$11)*T954+Summary!$B$11*V954</f>
        <v/>
      </c>
      <c r="P954">
        <f>IF(B986=0,0,O954/B986)</f>
        <v/>
      </c>
      <c r="Q954">
        <f>IFERROR(1/(IF(Inputs!$B$38="pvp",15,MAX(0.1,Skills!D9-IF(TRUE=TRUE,Inputs!$B$32,0)))*(1-IF(AND(ArtifactsInput!$M$27,Inputs!$B$4="Chapter Hunt"),CHOOSE(ArtifactsInput!$N$27+1,20,24,28,32,36,40),0)/100)),0)</f>
        <v/>
      </c>
      <c r="R954">
        <f>IF(AND(Inputs!$B$38&lt;&gt;"pvp",Inputs!$B$43&gt;0),IF(MAX(0,Inputs!$B$43-B983)&lt;=0,0,(INT(MAX(0,Inputs!$B$43-B983)/(IF(Inputs!$B$38="pvp",15,MAX(0.1,Skills!D9-IF(TRUE=TRUE,Inputs!$B$32,0)))*(1-IF(AND(ArtifactsInput!$M$27,Inputs!$B$4="Chapter Hunt"),CHOOSE(ArtifactsInput!$N$27+1,20,24,28,32,36,40),0)/100)))+1)),0)</f>
        <v/>
      </c>
      <c r="S954">
        <f>IFERROR(O954/N954,0)</f>
        <v/>
      </c>
      <c r="T954">
        <f>IF(C954,(H954*N954*IF(AND(Inputs!$B$38&lt;&gt;"pvp",Inputs!$B$43&gt;0),((Skills!G9*((R954-1)*IF(Skills!H9&gt;0,INT(Skills!I9/Skills!H9+0.000000001),1)+IF(Skills!H9&gt;0,INT(MIN(Skills!I9,MAX(0,MAX(0,Inputs!$B$43-B983)-((R954-1)*(IF(Inputs!$B$38="pvp",15,MAX(0.1,Skills!D9-IF(TRUE=TRUE,Inputs!$B$32,0)))*(1-IF(AND(ArtifactsInput!$M$27,Inputs!$B$4="Chapter Hunt"),CHOOSE(ArtifactsInput!$N$27+1,20,24,28,32,36,40),0)/100)))))/Skills!H9+0.000000001),1)))/Inputs!$B$43),G954*Q954))*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Hunt"),CHOOSE(ArtifactsInput!$N$35+1,15,18,21,24,27,30)*(1-EXP(-(0.2*B978)*5)),0)+IF(AND(ArtifactsInput!$M$22,Inputs!$B$4&lt;&gt;"Chapter Hunt"),CHOOSE(ArtifactsInput!$N$22+1,10,12,14,16,18,20)*((0*(((0.15*B978*5))^0/1)+1*(((0.15*B978*5))^1/1)+2*(((0.15*B978*5))^2/2)+3*(((0.15*B978*5))^3/6)+4*(((0.15*B978*5))^4/24)+5*(((0.15*B978*5))^5/120))/((((0.15*B978*5))^0/1)+(((0.15*B978*5))^1/1)+(((0.15*B978*5))^2/2)+(((0.15*B978*5))^3/6)+(((0.15*B978*5))^4/24)+(((0.15*B978*5))^5/120))),0))+IF(Inputs!$B$3&gt;=54,9*(C948=TRUE)*MIN(1,8*(1+Inputs!$B$34/100)*Q948)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954*(1-MIN(100,(Inputs!$B$9+((C964=TRUE)*(F964-Calc!F19))+B976+(ArtifactsInput!$M$24-ArtifactsInput!$M$24)*CHOOSE(ArtifactsInput!$N$24+1,10,12,14,16,18,20)+(IF(AND(Inputs!$B$38&lt;&gt;"pvp",Inputs!$B$43=0),1,IF(IF(Inputs!$B$38="pvp",15,Inputs!$B$43)-(B983)&lt;=0,1,MAX(0,IF(Inputs!$B$38="pvp",15,Inputs!$B$43)-MAX(5,B983))/(IF(Inputs!$B$38="pvp",15,Inputs!$B$43)-(B983))))*IF(AND(ArtifactsInput!$M$42,((Inputs!$B$9+((C964=TRUE)*(F964-Calc!F19))+B976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954*(MIN(100,(Inputs!$B$9+((C964=TRUE)*(F964-Calc!F19))+B976+(ArtifactsInput!$M$24-ArtifactsInput!$M$24)*CHOOSE(ArtifactsInput!$N$24+1,10,12,14,16,18,20)+(IF(AND(Inputs!$B$38&lt;&gt;"pvp",Inputs!$B$43=0),1,IF(IF(Inputs!$B$38="pvp",15,Inputs!$B$43)-(B983)&lt;=0,1,MAX(0,IF(Inputs!$B$38="pvp",15,Inputs!$B$43)-MAX(5,B983))/(IF(Inputs!$B$38="pvp",15,Inputs!$B$43)-(B983))))*IF(AND(ArtifactsInput!$M$42,((Inputs!$B$9+((C964=TRUE)*(F964-Calc!F19))+B976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954*(1-MIN(100,(Inputs!$B$9+((C964=TRUE)*(F964-Calc!F19))+B976+(ArtifactsInput!$M$24-ArtifactsInput!$M$24)*CHOOSE(ArtifactsInput!$N$24+1,10,12,14,16,18,20)+(IF(AND(Inputs!$B$38&lt;&gt;"pvp",Inputs!$B$43=0),1,IF(IF(Inputs!$B$38="pvp",15,Inputs!$B$43)-(B983)&lt;=0,1,MAX(0,IF(Inputs!$B$38="pvp",15,Inputs!$B$43)-MAX(5,B983))/(IF(Inputs!$B$38="pvp",15,Inputs!$B$43)-(B983))))*IF(AND(ArtifactsInput!$M$42,((Inputs!$B$9+((C964=TRUE)*(F964-Calc!F19))+B976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954*(MIN(100,(Inputs!$B$9+((C964=TRUE)*(F964-Calc!F19))+B976+(ArtifactsInput!$M$24-ArtifactsInput!$M$24)*CHOOSE(ArtifactsInput!$N$24+1,10,12,14,16,18,20)+(IF(AND(Inputs!$B$38&lt;&gt;"pvp",Inputs!$B$43=0),1,IF(IF(Inputs!$B$38="pvp",15,Inputs!$B$43)-(B983)&lt;=0,1,MAX(0,IF(Inputs!$B$38="pvp",15,Inputs!$B$43)-MAX(5,B983))/(IF(Inputs!$B$38="pvp",15,Inputs!$B$43)-(B983))))*IF(AND(ArtifactsInput!$M$42,((Inputs!$B$9+((C964=TRUE)*(F964-Calc!F19))+B976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954">
        <f>IF(C954,(H954*N954*IF(AND(Inputs!$B$38&lt;&gt;"pvp",Inputs!$B$43&gt;0),((Skills!G9*((R954-1)*IF(Skills!H9&gt;0,INT(Skills!I9/Skills!H9+0.000000001),1)+IF(Skills!H9&gt;0,INT(MIN(Skills!I9,MAX(0,MAX(0,Inputs!$B$43-B983)-((R954-1)*(IF(Inputs!$B$38="pvp",15,MAX(0.1,Skills!D9-IF(TRUE=TRUE,Inputs!$B$32,0)))*(1-IF(AND(ArtifactsInput!$M$27,Inputs!$B$4="Chapter Hunt"),CHOOSE(ArtifactsInput!$N$27+1,20,24,28,32,36,40),0)/100)))))/Skills!H9+0.000000001),1)))/Inputs!$B$43),G954*Q954))*IF(Inputs!$B$38="pvp",1,(1+(Inputs!$B$21+Skills!Q9+(IF(ArtifactsInput!$M$33,CHOOSE(ArtifactsInput!$N$33+1,30,36,42,48,54,60),0))+(IF(AND(ArtifactsInput!$M$35,Inputs!$B$4&lt;&gt;"Chapter Hunt"),CHOOSE(ArtifactsInput!$N$35+1,15,18,21,24,27,30)*(1-EXP(-(0.2*B978)*5)),0)+IF(AND(ArtifactsInput!$M$22,Inputs!$B$4&lt;&gt;"Chapter Hunt"),CHOOSE(ArtifactsInput!$N$22+1,10,12,14,16,18,20)*((0*(((0.15*B978*5))^0/1)+1*(((0.15*B978*5))^1/1)+2*(((0.15*B978*5))^2/2)+3*(((0.15*B978*5))^3/6)+4*(((0.15*B978*5))^4/24)+5*(((0.15*B978*5))^5/120))/((((0.15*B978*5))^0/1)+(((0.15*B978*5))^1/1)+(((0.15*B978*5))^2/2)+(((0.15*B978*5))^3/6)+(((0.15*B978*5))^4/24)+(((0.15*B978*5))^5/120))),0))+IF(Inputs!$B$3&gt;=54,9*(C948=TRUE)*MIN(1,8*(1+Inputs!$B$34/100)*Q948),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55">
      <c r="A955">
        <f>Skills!A10</f>
        <v/>
      </c>
      <c r="B955">
        <f>Skills!B10</f>
        <v/>
      </c>
      <c r="C955">
        <f>Inputs!$B$3&gt;=113</f>
        <v/>
      </c>
      <c r="D955">
        <f>IF(Skills!C10=1,60+Inputs!$B$25+Inputs!$B$29,IF(Skills!C10=2,90+Inputs!$B$26+Inputs!$B$29,IF(Skills!C10=3,120+Inputs!$B$27+Inputs!$B$29,MAX(0,(Inputs!$B$3-100)*3)+(Inputs!$B$28+1)+Inputs!$B$29)))</f>
        <v/>
      </c>
      <c r="E955">
        <f>INDEX(FactorTable!$B$2:$Y$301, MATCH(ROUND(MIN(300,MAX(1,D955)),0), FactorTable!$A$2:$A$301,0), Skills!M10+1)</f>
        <v/>
      </c>
      <c r="F955">
        <f>IF(Skills!N10=TRUE,(Skills!L10/10)*(E955/1000),Skills!L10/10)+Skills!O10</f>
        <v/>
      </c>
      <c r="G955">
        <f>Skills!G10*IF(Skills!H10&gt;0,INT(IF(Inputs!$B$38="pvp",MIN(Skills!I10,15),Skills!I10)/Skills!H10+0.000000001),1)</f>
        <v/>
      </c>
      <c r="H955">
        <f>1-(1-Skills!J10/100)^Skills!K10</f>
        <v/>
      </c>
      <c r="I955" t="inlineStr">
        <is>
          <t>1</t>
        </is>
      </c>
      <c r="J955">
        <f>((Inputs!$B$6*(1+Inputs!$B$7/100))+(((Inputs!$B$12*(1+Inputs!$B$13/100))-(Inputs!$B$12*(1+Inputs!$B$13/100)))+0.25*(Inputs!$B$14-Inputs!$B$14))*(1+Inputs!$B$7/100))*(F955/100)</f>
        <v/>
      </c>
      <c r="K955">
        <f>J955*(1+((Inputs!$B$12*(1+Inputs!$B$13/100))*0.01+Inputs!$B$14*0.0025)/100)*(1+Inputs!$B$15/100)*(1+Inputs!$B$16/100)*(5000/(6000+Inputs!$B$42*(1-(100*(1-(1-(Inputs!$B$19+0)/100)*(1-CHOOSE(ArtifactsInput!$N$40+1,5,6,7,8,9,10)/100)^(ArtifactsInput!$M$40-ArtifactsInput!$M$40)))/100)))*(1+(Inputs!$B$24+((C971=TRUE)*(F971-Calc!F26))+B982)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IGHT_LEGS_EASTON",Inputs!$B$17+((C968=TRUE)*(F968-Calc!F23))+((C972=TRUE)*(F972-Calc!F27))+((IF(AND(Inputs!$B$38&lt;&gt;"pvp",Inputs!$B$43=0),1,IF(IF(Inputs!$B$38="pvp",15,Inputs!$B$43)-(B983)&lt;=0,1,MAX(0,IF(Inputs!$B$38="pvp",15,Inputs!$B$43)-MAX(5,B983))/(IF(Inputs!$B$38="pvp",15,Inputs!$B$43)-(B983))))*(IF(AND(ArtifactsInput!$M$42,((Inputs!$B$9+((C964=TRUE)*(F964-Calc!F19))+B976+(ArtifactsInput!$M$24-ArtifactsInput!$M$24)*CHOOSE(ArtifactsInput!$N$24+1,10,12,14,16,18,20)+IF(ArtifactsInput!$M$10,CHOOSE(ArtifactsInput!$N$10+1,15,18,21,24,27,30)*(IF(Inputs!$B$38="pvp",MIN(15,15)/15,IF(AND(Inputs!$B$38&lt;&gt;"pvp",Inputs!$B$43&gt;0),MIN(15,Inputs!$B$43)/(Inputs!$B$43),0))),0)))&gt;=100),MIN(100,((Inputs!$B$9+((C964=TRUE)*(F964-Calc!F19))+B976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983)&lt;=0,1,MAX(0,IF(Inputs!$B$38="pvp",15,Inputs!$B$43)-MAX(5,B983))/(IF(Inputs!$B$38="pvp",15,Inputs!$B$43)-(B983))))*IF(AND(ArtifactsInput!$M$42,((Inputs!$B$9+((C964=TRUE)*(F964-Calc!F19))+B976+(ArtifactsInput!$M$24-ArtifactsInput!$M$24)*CHOOSE(ArtifactsInput!$N$24+1,10,12,14,16,18,20)+IF(ArtifactsInput!$M$10,CHOOSE(ArtifactsInput!$N$10+1,15,18,21,24,27,30)*(IF(Inputs!$B$38="pvp",MIN(15,15)/15,IF(AND(Inputs!$B$38&lt;&gt;"pvp",Inputs!$B$43&gt;0),MIN(15,Inputs!$B$43)/(Inputs!$B$43),0))),0)))&gt;=100),CHOOSE(ArtifactsInput!$N$42+1,40,48,56,64,72,80),0))))/100)*((1+(((C962=TRUE)*F962*5/7)+((C969=TRUE)*(F969-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955)</f>
        <v/>
      </c>
      <c r="L955">
        <f>K955*(MIN(Inputs!$B$22+((C967=TRUE)*(F967-Calc!F22)),(Inputs!$B$23+0+(IF(ArtifactsInput!$M$15,CHOOSE(ArtifactsInput!$N$15+1,25,30,35,40,45,50)/100*(Inputs!$B$11-Inputs!$B$11),0))))/100+(Inputs!$B$23+0+(IF(ArtifactsInput!$M$15,CHOOSE(ArtifactsInput!$N$15+1,25,30,35,40,45,50)/100*(Inputs!$B$11-Inputs!$B$11),0)))/100)/2</f>
        <v/>
      </c>
      <c r="M955">
        <f>L955*(1+(Inputs!$B$10+((C970=TRUE)*(F970-Calc!F25))+B981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55">
        <f>L955*(1-MIN((Inputs!$B$9+((C964=TRUE)*(F964-Calc!F19))+B976+(ArtifactsInput!$M$24-ArtifactsInput!$M$24)*CHOOSE(ArtifactsInput!$N$24+1,10,12,14,16,18,20)+(IF(AND(Inputs!$B$38&lt;&gt;"pvp",Inputs!$B$43=0),1,IF(IF(Inputs!$B$38="pvp",15,Inputs!$B$43)-(B983)&lt;=0,1,MAX(0,IF(Inputs!$B$38="pvp",15,Inputs!$B$43)-MAX(5,B983))/(IF(Inputs!$B$38="pvp",15,Inputs!$B$43)-(B983))))*IF(AND(ArtifactsInput!$M$42,((Inputs!$B$9+((C964=TRUE)*(F964-Calc!F19))+B976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955*(MIN((Inputs!$B$9+((C964=TRUE)*(F964-Calc!F19))+B976+(ArtifactsInput!$M$24-ArtifactsInput!$M$24)*CHOOSE(ArtifactsInput!$N$24+1,10,12,14,16,18,20)+(IF(AND(Inputs!$B$38&lt;&gt;"pvp",Inputs!$B$43=0),1,IF(IF(Inputs!$B$38="pvp",15,Inputs!$B$43)-(B983)&lt;=0,1,MAX(0,IF(Inputs!$B$38="pvp",15,Inputs!$B$43)-MAX(5,B983))/(IF(Inputs!$B$38="pvp",15,Inputs!$B$43)-(B983))))*IF(AND(ArtifactsInput!$M$42,((Inputs!$B$9+((C964=TRUE)*(F964-Calc!F19))+B976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55">
        <f>(1-Summary!$B$11)*T955+Summary!$B$11*V955</f>
        <v/>
      </c>
      <c r="P955">
        <f>IF(B986=0,0,O955/B986)</f>
        <v/>
      </c>
      <c r="Q955" t="n">
        <v>0</v>
      </c>
      <c r="R955" t="n">
        <v>0</v>
      </c>
      <c r="S955">
        <f>IFERROR(O955/N955,0)</f>
        <v/>
      </c>
      <c r="T955">
        <f>IF(C955,((H955*B988)/(1+Skills!H10*H955*B988)*N955)*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Hunt"),CHOOSE(ArtifactsInput!$N$35+1,15,18,21,24,27,30)*(1-EXP(-(0.2*B978)*5)),0)+IF(AND(ArtifactsInput!$M$22,Inputs!$B$4&lt;&gt;"Chapter Hunt"),CHOOSE(ArtifactsInput!$N$22+1,10,12,14,16,18,20)*((0*(((0.15*B978*5))^0/1)+1*(((0.15*B978*5))^1/1)+2*(((0.15*B978*5))^2/2)+3*(((0.15*B978*5))^3/6)+4*(((0.15*B978*5))^4/24)+5*(((0.15*B978*5))^5/120))/((((0.15*B978*5))^0/1)+(((0.15*B978*5))^1/1)+(((0.15*B978*5))^2/2)+(((0.15*B978*5))^3/6)+(((0.15*B978*5))^4/24)+(((0.15*B978*5))^5/120))),0))+IF(Inputs!$B$3&gt;=54,9*(C948=TRUE)*MIN(1,8*(1+Inputs!$B$34/100)*Q948)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955*(1-MIN(100,(Inputs!$B$9+((C964=TRUE)*(F964-Calc!F19))+B976+(ArtifactsInput!$M$24-ArtifactsInput!$M$24)*CHOOSE(ArtifactsInput!$N$24+1,10,12,14,16,18,20)+(IF(AND(Inputs!$B$38&lt;&gt;"pvp",Inputs!$B$43=0),1,IF(IF(Inputs!$B$38="pvp",15,Inputs!$B$43)-(B983)&lt;=0,1,MAX(0,IF(Inputs!$B$38="pvp",15,Inputs!$B$43)-MAX(5,B983))/(IF(Inputs!$B$38="pvp",15,Inputs!$B$43)-(B983))))*IF(AND(ArtifactsInput!$M$42,((Inputs!$B$9+((C964=TRUE)*(F964-Calc!F19))+B976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955*(MIN(100,(Inputs!$B$9+((C964=TRUE)*(F964-Calc!F19))+B976+(ArtifactsInput!$M$24-ArtifactsInput!$M$24)*CHOOSE(ArtifactsInput!$N$24+1,10,12,14,16,18,20)+(IF(AND(Inputs!$B$38&lt;&gt;"pvp",Inputs!$B$43=0),1,IF(IF(Inputs!$B$38="pvp",15,Inputs!$B$43)-(B983)&lt;=0,1,MAX(0,IF(Inputs!$B$38="pvp",15,Inputs!$B$43)-MAX(5,B983))/(IF(Inputs!$B$38="pvp",15,Inputs!$B$43)-(B983))))*IF(AND(ArtifactsInput!$M$42,((Inputs!$B$9+((C964=TRUE)*(F964-Calc!F19))+B976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955*(1-MIN(100,(Inputs!$B$9+((C964=TRUE)*(F964-Calc!F19))+B976+(ArtifactsInput!$M$24-ArtifactsInput!$M$24)*CHOOSE(ArtifactsInput!$N$24+1,10,12,14,16,18,20)+(IF(AND(Inputs!$B$38&lt;&gt;"pvp",Inputs!$B$43=0),1,IF(IF(Inputs!$B$38="pvp",15,Inputs!$B$43)-(B983)&lt;=0,1,MAX(0,IF(Inputs!$B$38="pvp",15,Inputs!$B$43)-MAX(5,B983))/(IF(Inputs!$B$38="pvp",15,Inputs!$B$43)-(B983))))*IF(AND(ArtifactsInput!$M$42,((Inputs!$B$9+((C964=TRUE)*(F964-Calc!F19))+B976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955*(MIN(100,(Inputs!$B$9+((C964=TRUE)*(F964-Calc!F19))+B976+(ArtifactsInput!$M$24-ArtifactsInput!$M$24)*CHOOSE(ArtifactsInput!$N$24+1,10,12,14,16,18,20)+(IF(AND(Inputs!$B$38&lt;&gt;"pvp",Inputs!$B$43=0),1,IF(IF(Inputs!$B$38="pvp",15,Inputs!$B$43)-(B983)&lt;=0,1,MAX(0,IF(Inputs!$B$38="pvp",15,Inputs!$B$43)-MAX(5,B983))/(IF(Inputs!$B$38="pvp",15,Inputs!$B$43)-(B983))))*IF(AND(ArtifactsInput!$M$42,((Inputs!$B$9+((C964=TRUE)*(F964-Calc!F19))+B976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955">
        <f>IF(C955,((H955*B988)/(1+Skills!H10*H955*B988)*N955)*IF(Inputs!$B$38="pvp",1,(1+(Inputs!$B$21+Skills!Q10+(IF(ArtifactsInput!$M$33,CHOOSE(ArtifactsInput!$N$33+1,30,36,42,48,54,60),0))+(IF(AND(ArtifactsInput!$M$35,Inputs!$B$4&lt;&gt;"Chapter Hunt"),CHOOSE(ArtifactsInput!$N$35+1,15,18,21,24,27,30)*(1-EXP(-(0.2*B978)*5)),0)+IF(AND(ArtifactsInput!$M$22,Inputs!$B$4&lt;&gt;"Chapter Hunt"),CHOOSE(ArtifactsInput!$N$22+1,10,12,14,16,18,20)*((0*(((0.15*B978*5))^0/1)+1*(((0.15*B978*5))^1/1)+2*(((0.15*B978*5))^2/2)+3*(((0.15*B978*5))^3/6)+4*(((0.15*B978*5))^4/24)+5*(((0.15*B978*5))^5/120))/((((0.15*B978*5))^0/1)+(((0.15*B978*5))^1/1)+(((0.15*B978*5))^2/2)+(((0.15*B978*5))^3/6)+(((0.15*B978*5))^4/24)+(((0.15*B978*5))^5/120))),0))+IF(Inputs!$B$3&gt;=54,9*(C948=TRUE)*MIN(1,8*(1+Inputs!$B$34/100)*Q948),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56">
      <c r="A956">
        <f>Skills!A11</f>
        <v/>
      </c>
      <c r="B956">
        <f>Skills!B11</f>
        <v/>
      </c>
      <c r="C956">
        <f>Inputs!$B$3&gt;=117</f>
        <v/>
      </c>
      <c r="D956">
        <f>IF(Skills!C11=1,60+Inputs!$B$25+Inputs!$B$29,IF(Skills!C11=2,90+Inputs!$B$26+Inputs!$B$29,IF(Skills!C11=3,120+Inputs!$B$27+Inputs!$B$29,MAX(0,(Inputs!$B$3-100)*3)+(Inputs!$B$28+1)+Inputs!$B$29)))</f>
        <v/>
      </c>
      <c r="E956">
        <f>INDEX(FactorTable!$B$2:$Y$301, MATCH(ROUND(MIN(300,MAX(1,D956)),0), FactorTable!$A$2:$A$301,0), Skills!M11+1)</f>
        <v/>
      </c>
      <c r="F956">
        <f>IF(Skills!N11=TRUE,(Skills!L11/10)*(E956/1000),Skills!L11/10)+Skills!O11</f>
        <v/>
      </c>
      <c r="G956">
        <f>Skills!G11*IF(Skills!H11&gt;0,INT(IF(Inputs!$B$38="pvp",MIN(Skills!I11,15),Skills!I11)/Skills!H11+0.000000001),1)</f>
        <v/>
      </c>
      <c r="H956">
        <f>1-(1-Skills!J11/100)^Skills!K11</f>
        <v/>
      </c>
      <c r="I956" t="inlineStr">
        <is>
          <t>1</t>
        </is>
      </c>
      <c r="J956">
        <f>((Inputs!$B$6*(1+Inputs!$B$7/100))+(((Inputs!$B$12*(1+Inputs!$B$13/100))-(Inputs!$B$12*(1+Inputs!$B$13/100)))+0.25*(Inputs!$B$14-Inputs!$B$14))*(1+Inputs!$B$7/100))*(F956/100)</f>
        <v/>
      </c>
      <c r="K956">
        <f>J956*(1+((Inputs!$B$12*(1+Inputs!$B$13/100))*0.01+Inputs!$B$14*0.0025)/100)*(1+Inputs!$B$15/100)*(1+Inputs!$B$16/100)*(5000/(6000+Inputs!$B$42*(1-(100*(1-(1-(Inputs!$B$19+0)/100)*(1-CHOOSE(ArtifactsInput!$N$40+1,5,6,7,8,9,10)/100)^(ArtifactsInput!$M$40-ArtifactsInput!$M$40)))/100)))*(1+(Inputs!$B$24+((C971=TRUE)*(F971-Calc!F26))+B982)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IGHT_LEGS_EASTON",Inputs!$B$17+((C968=TRUE)*(F968-Calc!F23))+((C972=TRUE)*(F972-Calc!F27))+((IF(AND(Inputs!$B$38&lt;&gt;"pvp",Inputs!$B$43=0),1,IF(IF(Inputs!$B$38="pvp",15,Inputs!$B$43)-(B983)&lt;=0,1,MAX(0,IF(Inputs!$B$38="pvp",15,Inputs!$B$43)-MAX(5,B983))/(IF(Inputs!$B$38="pvp",15,Inputs!$B$43)-(B983))))*(IF(AND(ArtifactsInput!$M$42,((Inputs!$B$9+((C964=TRUE)*(F964-Calc!F19))+B976+(ArtifactsInput!$M$24-ArtifactsInput!$M$24)*CHOOSE(ArtifactsInput!$N$24+1,10,12,14,16,18,20)+IF(ArtifactsInput!$M$10,CHOOSE(ArtifactsInput!$N$10+1,15,18,21,24,27,30)*(IF(Inputs!$B$38="pvp",MIN(15,15)/15,IF(AND(Inputs!$B$38&lt;&gt;"pvp",Inputs!$B$43&gt;0),MIN(15,Inputs!$B$43)/(Inputs!$B$43),0))),0)))&gt;=100),MIN(100,((Inputs!$B$9+((C964=TRUE)*(F964-Calc!F19))+B976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983)&lt;=0,1,MAX(0,IF(Inputs!$B$38="pvp",15,Inputs!$B$43)-MAX(5,B983))/(IF(Inputs!$B$38="pvp",15,Inputs!$B$43)-(B983))))*IF(AND(ArtifactsInput!$M$42,((Inputs!$B$9+((C964=TRUE)*(F964-Calc!F19))+B976+(ArtifactsInput!$M$24-ArtifactsInput!$M$24)*CHOOSE(ArtifactsInput!$N$24+1,10,12,14,16,18,20)+IF(ArtifactsInput!$M$10,CHOOSE(ArtifactsInput!$N$10+1,15,18,21,24,27,30)*(IF(Inputs!$B$38="pvp",MIN(15,15)/15,IF(AND(Inputs!$B$38&lt;&gt;"pvp",Inputs!$B$43&gt;0),MIN(15,Inputs!$B$43)/(Inputs!$B$43),0))),0)))&gt;=100),CHOOSE(ArtifactsInput!$N$42+1,40,48,56,64,72,80),0))))/100)*((1+(((C962=TRUE)*F962*5/7)+((C969=TRUE)*(F969-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956)</f>
        <v/>
      </c>
      <c r="L956">
        <f>K956*(MIN(Inputs!$B$22+((C967=TRUE)*(F967-Calc!F22)),(Inputs!$B$23+0+(IF(ArtifactsInput!$M$15,CHOOSE(ArtifactsInput!$N$15+1,25,30,35,40,45,50)/100*(Inputs!$B$11-Inputs!$B$11),0))))/100+(Inputs!$B$23+0+(IF(ArtifactsInput!$M$15,CHOOSE(ArtifactsInput!$N$15+1,25,30,35,40,45,50)/100*(Inputs!$B$11-Inputs!$B$11),0)))/100)/2</f>
        <v/>
      </c>
      <c r="M956">
        <f>L956*(1+(Inputs!$B$10+((C970=TRUE)*(F970-Calc!F25))+B981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56">
        <f>L956*(1-MIN((Inputs!$B$9+((C964=TRUE)*(F964-Calc!F19))+B976+(ArtifactsInput!$M$24-ArtifactsInput!$M$24)*CHOOSE(ArtifactsInput!$N$24+1,10,12,14,16,18,20)+(IF(AND(Inputs!$B$38&lt;&gt;"pvp",Inputs!$B$43=0),1,IF(IF(Inputs!$B$38="pvp",15,Inputs!$B$43)-(B983)&lt;=0,1,MAX(0,IF(Inputs!$B$38="pvp",15,Inputs!$B$43)-MAX(5,B983))/(IF(Inputs!$B$38="pvp",15,Inputs!$B$43)-(B983))))*IF(AND(ArtifactsInput!$M$42,((Inputs!$B$9+((C964=TRUE)*(F964-Calc!F19))+B976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956*(MIN((Inputs!$B$9+((C964=TRUE)*(F964-Calc!F19))+B976+(ArtifactsInput!$M$24-ArtifactsInput!$M$24)*CHOOSE(ArtifactsInput!$N$24+1,10,12,14,16,18,20)+(IF(AND(Inputs!$B$38&lt;&gt;"pvp",Inputs!$B$43=0),1,IF(IF(Inputs!$B$38="pvp",15,Inputs!$B$43)-(B983)&lt;=0,1,MAX(0,IF(Inputs!$B$38="pvp",15,Inputs!$B$43)-MAX(5,B983))/(IF(Inputs!$B$38="pvp",15,Inputs!$B$43)-(B983))))*IF(AND(ArtifactsInput!$M$42,((Inputs!$B$9+((C964=TRUE)*(F964-Calc!F19))+B976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56">
        <f>(1-Summary!$B$11)*T956+Summary!$B$11*V956</f>
        <v/>
      </c>
      <c r="P956">
        <f>IF(B986=0,0,O956/B986)</f>
        <v/>
      </c>
      <c r="Q956">
        <f>IFERROR(1/((IF(Inputs!$B$38="pvp",15,MAX(0.1,Skills!D11-IF(TRUE=TRUE,Inputs!$B$32,0)))*(1-IF(AND(ArtifactsInput!$M$27,Inputs!$B$4="Chapter Hunt"),CHOOSE(ArtifactsInput!$N$27+1,20,24,28,32,36,40),0)/100))/B987),0)</f>
        <v/>
      </c>
      <c r="R956">
        <f>IF(AND(Inputs!$B$38&lt;&gt;"pvp",Inputs!$B$43&gt;0),IF(MAX(0,Inputs!$B$43-B983)&lt;=0,0,(INT(MAX(0,Inputs!$B$43-B983)/((IF(Inputs!$B$38="pvp",15,MAX(0.1,Skills!D11-IF(TRUE=TRUE,Inputs!$B$32,0)))*(1-IF(AND(ArtifactsInput!$M$27,Inputs!$B$4="Chapter Hunt"),CHOOSE(ArtifactsInput!$N$27+1,20,24,28,32,36,40),0)/100))/B987))+1)),0)</f>
        <v/>
      </c>
      <c r="S956">
        <f>IFERROR(O956/N956,0)</f>
        <v/>
      </c>
      <c r="T956">
        <f>IF(C956,(H956*N956*IF(AND(Inputs!$B$38&lt;&gt;"pvp",Inputs!$B$43&gt;0),((Skills!G11*((R956-1)*IF(Skills!H11&gt;0,INT(Skills!I11/Skills!H11+0.000000001),1)+IF(Skills!H11&gt;0,INT(MIN(Skills!I11,MAX(0,MAX(0,Inputs!$B$43-B983)-((R956-1)*((IF(Inputs!$B$38="pvp",15,MAX(0.1,Skills!D11-IF(TRUE=TRUE,Inputs!$B$32,0)))*(1-IF(AND(ArtifactsInput!$M$27,Inputs!$B$4="Chapter Hunt"),CHOOSE(ArtifactsInput!$N$27+1,20,24,28,32,36,40),0)/100))/B987))))/Skills!H11+0.000000001),1)))/Inputs!$B$43),G956*Q956))*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Hunt"),CHOOSE(ArtifactsInput!$N$35+1,15,18,21,24,27,30)*(1-EXP(-(0.2*B978)*5)),0)+IF(AND(ArtifactsInput!$M$22,Inputs!$B$4&lt;&gt;"Chapter Hunt"),CHOOSE(ArtifactsInput!$N$22+1,10,12,14,16,18,20)*((0*(((0.15*B978*5))^0/1)+1*(((0.15*B978*5))^1/1)+2*(((0.15*B978*5))^2/2)+3*(((0.15*B978*5))^3/6)+4*(((0.15*B978*5))^4/24)+5*(((0.15*B978*5))^5/120))/((((0.15*B978*5))^0/1)+(((0.15*B978*5))^1/1)+(((0.15*B978*5))^2/2)+(((0.15*B978*5))^3/6)+(((0.15*B978*5))^4/24)+(((0.15*B978*5))^5/120))),0))+IF(Inputs!$B$3&gt;=54,9*(C948=TRUE)*MIN(1,8*(1+Inputs!$B$34/100)*Q948)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956*(1-MIN(100,(Inputs!$B$9+((C964=TRUE)*(F964-Calc!F19))+B976+(ArtifactsInput!$M$24-ArtifactsInput!$M$24)*CHOOSE(ArtifactsInput!$N$24+1,10,12,14,16,18,20)+(IF(AND(Inputs!$B$38&lt;&gt;"pvp",Inputs!$B$43=0),1,IF(IF(Inputs!$B$38="pvp",15,Inputs!$B$43)-(B983)&lt;=0,1,MAX(0,IF(Inputs!$B$38="pvp",15,Inputs!$B$43)-MAX(5,B983))/(IF(Inputs!$B$38="pvp",15,Inputs!$B$43)-(B983))))*IF(AND(ArtifactsInput!$M$42,((Inputs!$B$9+((C964=TRUE)*(F964-Calc!F19))+B976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956*(MIN(100,(Inputs!$B$9+((C964=TRUE)*(F964-Calc!F19))+B976+(ArtifactsInput!$M$24-ArtifactsInput!$M$24)*CHOOSE(ArtifactsInput!$N$24+1,10,12,14,16,18,20)+(IF(AND(Inputs!$B$38&lt;&gt;"pvp",Inputs!$B$43=0),1,IF(IF(Inputs!$B$38="pvp",15,Inputs!$B$43)-(B983)&lt;=0,1,MAX(0,IF(Inputs!$B$38="pvp",15,Inputs!$B$43)-MAX(5,B983))/(IF(Inputs!$B$38="pvp",15,Inputs!$B$43)-(B983))))*IF(AND(ArtifactsInput!$M$42,((Inputs!$B$9+((C964=TRUE)*(F964-Calc!F19))+B976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956*(1-MIN(100,(Inputs!$B$9+((C964=TRUE)*(F964-Calc!F19))+B976+(ArtifactsInput!$M$24-ArtifactsInput!$M$24)*CHOOSE(ArtifactsInput!$N$24+1,10,12,14,16,18,20)+(IF(AND(Inputs!$B$38&lt;&gt;"pvp",Inputs!$B$43=0),1,IF(IF(Inputs!$B$38="pvp",15,Inputs!$B$43)-(B983)&lt;=0,1,MAX(0,IF(Inputs!$B$38="pvp",15,Inputs!$B$43)-MAX(5,B983))/(IF(Inputs!$B$38="pvp",15,Inputs!$B$43)-(B983))))*IF(AND(ArtifactsInput!$M$42,((Inputs!$B$9+((C964=TRUE)*(F964-Calc!F19))+B976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956*(MIN(100,(Inputs!$B$9+((C964=TRUE)*(F964-Calc!F19))+B976+(ArtifactsInput!$M$24-ArtifactsInput!$M$24)*CHOOSE(ArtifactsInput!$N$24+1,10,12,14,16,18,20)+(IF(AND(Inputs!$B$38&lt;&gt;"pvp",Inputs!$B$43=0),1,IF(IF(Inputs!$B$38="pvp",15,Inputs!$B$43)-(B983)&lt;=0,1,MAX(0,IF(Inputs!$B$38="pvp",15,Inputs!$B$43)-MAX(5,B983))/(IF(Inputs!$B$38="pvp",15,Inputs!$B$43)-(B983))))*IF(AND(ArtifactsInput!$M$42,((Inputs!$B$9+((C964=TRUE)*(F964-Calc!F19))+B976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956">
        <f>IF(C956,(H956*N956*IF(AND(Inputs!$B$38&lt;&gt;"pvp",Inputs!$B$43&gt;0),((Skills!G11*((R956-1)*IF(Skills!H11&gt;0,INT(Skills!I11/Skills!H11+0.000000001),1)+IF(Skills!H11&gt;0,INT(MIN(Skills!I11,MAX(0,MAX(0,Inputs!$B$43-B983)-((R956-1)*((IF(Inputs!$B$38="pvp",15,MAX(0.1,Skills!D11-IF(TRUE=TRUE,Inputs!$B$32,0)))*(1-IF(AND(ArtifactsInput!$M$27,Inputs!$B$4="Chapter Hunt"),CHOOSE(ArtifactsInput!$N$27+1,20,24,28,32,36,40),0)/100))/B987))))/Skills!H11+0.000000001),1)))/Inputs!$B$43),G956*Q956))*IF(Inputs!$B$38="pvp",1,(1+(Inputs!$B$21+Skills!Q11+(IF(ArtifactsInput!$M$33,CHOOSE(ArtifactsInput!$N$33+1,30,36,42,48,54,60),0))+(IF(AND(ArtifactsInput!$M$35,Inputs!$B$4&lt;&gt;"Chapter Hunt"),CHOOSE(ArtifactsInput!$N$35+1,15,18,21,24,27,30)*(1-EXP(-(0.2*B978)*5)),0)+IF(AND(ArtifactsInput!$M$22,Inputs!$B$4&lt;&gt;"Chapter Hunt"),CHOOSE(ArtifactsInput!$N$22+1,10,12,14,16,18,20)*((0*(((0.15*B978*5))^0/1)+1*(((0.15*B978*5))^1/1)+2*(((0.15*B978*5))^2/2)+3*(((0.15*B978*5))^3/6)+4*(((0.15*B978*5))^4/24)+5*(((0.15*B978*5))^5/120))/((((0.15*B978*5))^0/1)+(((0.15*B978*5))^1/1)+(((0.15*B978*5))^2/2)+(((0.15*B978*5))^3/6)+(((0.15*B978*5))^4/24)+(((0.15*B978*5))^5/120))),0))+IF(Inputs!$B$3&gt;=54,9*(C948=TRUE)*MIN(1,8*(1+Inputs!$B$34/100)*Q948),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57">
      <c r="A957">
        <f>Skills!A12</f>
        <v/>
      </c>
      <c r="B957">
        <f>Skills!B12</f>
        <v/>
      </c>
      <c r="C957">
        <f>Inputs!$B$3&gt;=110</f>
        <v/>
      </c>
      <c r="D957">
        <f>IF(Skills!C12=1,60+Inputs!$B$25+Inputs!$B$29,IF(Skills!C12=2,90+Inputs!$B$26+Inputs!$B$29,IF(Skills!C12=3,120+Inputs!$B$27+Inputs!$B$29,MAX(0,(Inputs!$B$3-100)*3)+(Inputs!$B$28+1)+Inputs!$B$29)))</f>
        <v/>
      </c>
      <c r="E957">
        <f>INDEX(FactorTable!$B$2:$Y$301, MATCH(ROUND(MIN(300,MAX(1,D957)),0), FactorTable!$A$2:$A$301,0), Skills!M12+1)</f>
        <v/>
      </c>
      <c r="F957">
        <f>IF(Skills!N12=TRUE,(Skills!L12/10)*(E957/1000),Skills!L12/10)+Skills!O12</f>
        <v/>
      </c>
      <c r="G957">
        <f>Skills!G12*IF(Skills!H12&gt;0,INT(IF(Inputs!$B$38="pvp",MIN(Skills!I12,15),Skills!I12)/Skills!H12+0.000000001),1)</f>
        <v/>
      </c>
      <c r="H957">
        <f>1-(1-Skills!J12/100)^Skills!K12</f>
        <v/>
      </c>
      <c r="I957" t="inlineStr">
        <is>
          <t>1</t>
        </is>
      </c>
      <c r="J957">
        <f>((Inputs!$B$6*(1+Inputs!$B$7/100))+(((Inputs!$B$12*(1+Inputs!$B$13/100))-(Inputs!$B$12*(1+Inputs!$B$13/100)))+0.25*(Inputs!$B$14-Inputs!$B$14))*(1+Inputs!$B$7/100))*(F957/100)</f>
        <v/>
      </c>
      <c r="K957">
        <f>J957*(1+((Inputs!$B$12*(1+Inputs!$B$13/100))*0.01+Inputs!$B$14*0.0025)/100)*(1+Inputs!$B$15/100)*(1+Inputs!$B$16/100)*(5000/(6000+Inputs!$B$42*(1-(100*(1-(1-(Inputs!$B$19+0)/100)*(1-CHOOSE(ArtifactsInput!$N$40+1,5,6,7,8,9,10)/100)^(ArtifactsInput!$M$40-ArtifactsInput!$M$40)))/100)))*(1+(Inputs!$B$24+((C971=TRUE)*(F971-Calc!F26))+B982)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EIGHT_LEGS_EASTON",Inputs!$B$17+((C968=TRUE)*(F968-Calc!F23))+((C972=TRUE)*(F972-Calc!F27))+((IF(AND(Inputs!$B$38&lt;&gt;"pvp",Inputs!$B$43=0),1,IF(IF(Inputs!$B$38="pvp",15,Inputs!$B$43)-(B983)&lt;=0,1,MAX(0,IF(Inputs!$B$38="pvp",15,Inputs!$B$43)-MAX(5,B983))/(IF(Inputs!$B$38="pvp",15,Inputs!$B$43)-(B983))))*(IF(AND(ArtifactsInput!$M$42,((Inputs!$B$9+((C964=TRUE)*(F964-Calc!F19))+B976+(ArtifactsInput!$M$24-ArtifactsInput!$M$24)*CHOOSE(ArtifactsInput!$N$24+1,10,12,14,16,18,20)+IF(ArtifactsInput!$M$10,CHOOSE(ArtifactsInput!$N$10+1,15,18,21,24,27,30)*(IF(Inputs!$B$38="pvp",MIN(15,15)/15,IF(AND(Inputs!$B$38&lt;&gt;"pvp",Inputs!$B$43&gt;0),MIN(15,Inputs!$B$43)/(Inputs!$B$43),0))),0)))&gt;=100),MIN(100,((Inputs!$B$9+((C964=TRUE)*(F964-Calc!F19))+B976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983)&lt;=0,1,MAX(0,IF(Inputs!$B$38="pvp",15,Inputs!$B$43)-MAX(5,B983))/(IF(Inputs!$B$38="pvp",15,Inputs!$B$43)-(B983))))*IF(AND(ArtifactsInput!$M$42,((Inputs!$B$9+((C964=TRUE)*(F964-Calc!F19))+B976+(ArtifactsInput!$M$24-ArtifactsInput!$M$24)*CHOOSE(ArtifactsInput!$N$24+1,10,12,14,16,18,20)+IF(ArtifactsInput!$M$10,CHOOSE(ArtifactsInput!$N$10+1,15,18,21,24,27,30)*(IF(Inputs!$B$38="pvp",MIN(15,15)/15,IF(AND(Inputs!$B$38&lt;&gt;"pvp",Inputs!$B$43&gt;0),MIN(15,Inputs!$B$43)/(Inputs!$B$43),0))),0)))&gt;=100),CHOOSE(ArtifactsInput!$N$42+1,40,48,56,64,72,80),0))))/100)*((1+(((C962=TRUE)*F962*5/7)+((C969=TRUE)*(F969-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957)</f>
        <v/>
      </c>
      <c r="L957">
        <f>K957*(MIN(Inputs!$B$22+((C967=TRUE)*(F967-Calc!F22)),(Inputs!$B$23+0+(IF(ArtifactsInput!$M$15,CHOOSE(ArtifactsInput!$N$15+1,25,30,35,40,45,50)/100*(Inputs!$B$11-Inputs!$B$11),0))))/100+(Inputs!$B$23+0+(IF(ArtifactsInput!$M$15,CHOOSE(ArtifactsInput!$N$15+1,25,30,35,40,45,50)/100*(Inputs!$B$11-Inputs!$B$11),0)))/100)/2</f>
        <v/>
      </c>
      <c r="M957">
        <f>L957*(1+(Inputs!$B$10+((C970=TRUE)*(F970-Calc!F25))+B981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57">
        <f>L957*(1-MIN((Inputs!$B$9+((C964=TRUE)*(F964-Calc!F19))+B976+(ArtifactsInput!$M$24-ArtifactsInput!$M$24)*CHOOSE(ArtifactsInput!$N$24+1,10,12,14,16,18,20)+(IF(AND(Inputs!$B$38&lt;&gt;"pvp",Inputs!$B$43=0),1,IF(IF(Inputs!$B$38="pvp",15,Inputs!$B$43)-(B983)&lt;=0,1,MAX(0,IF(Inputs!$B$38="pvp",15,Inputs!$B$43)-MAX(5,B983))/(IF(Inputs!$B$38="pvp",15,Inputs!$B$43)-(B983))))*IF(AND(ArtifactsInput!$M$42,((Inputs!$B$9+((C964=TRUE)*(F964-Calc!F19))+B976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957*(MIN((Inputs!$B$9+((C964=TRUE)*(F964-Calc!F19))+B976+(ArtifactsInput!$M$24-ArtifactsInput!$M$24)*CHOOSE(ArtifactsInput!$N$24+1,10,12,14,16,18,20)+(IF(AND(Inputs!$B$38&lt;&gt;"pvp",Inputs!$B$43=0),1,IF(IF(Inputs!$B$38="pvp",15,Inputs!$B$43)-(B983)&lt;=0,1,MAX(0,IF(Inputs!$B$38="pvp",15,Inputs!$B$43)-MAX(5,B983))/(IF(Inputs!$B$38="pvp",15,Inputs!$B$43)-(B983))))*IF(AND(ArtifactsInput!$M$42,((Inputs!$B$9+((C964=TRUE)*(F964-Calc!F19))+B976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57">
        <f>(1-Summary!$B$11)*T957+Summary!$B$11*V957</f>
        <v/>
      </c>
      <c r="P957">
        <f>IF(B986=0,0,O957/B986)</f>
        <v/>
      </c>
      <c r="Q957">
        <f>IFERROR(1/(IF(Inputs!$B$38="pvp",15,MAX(0.1,Skills!D12-IF(TRUE=TRUE,Inputs!$B$32,0)))*(1-IF(AND(ArtifactsInput!$M$27,Inputs!$B$4="Chapter Hunt"),CHOOSE(ArtifactsInput!$N$27+1,20,24,28,32,36,40),0)/100)),0)</f>
        <v/>
      </c>
      <c r="R957">
        <f>IF(AND(Inputs!$B$38&lt;&gt;"pvp",Inputs!$B$43&gt;0),IF(MAX(0,Inputs!$B$43-B983)&lt;=0,0,(INT(MAX(0,Inputs!$B$43-B983)/(IF(Inputs!$B$38="pvp",15,MAX(0.1,Skills!D12-IF(TRUE=TRUE,Inputs!$B$32,0)))*(1-IF(AND(ArtifactsInput!$M$27,Inputs!$B$4="Chapter Hunt"),CHOOSE(ArtifactsInput!$N$27+1,20,24,28,32,36,40),0)/100)))+1)),0)</f>
        <v/>
      </c>
      <c r="S957">
        <f>IFERROR(O957/N957,0)</f>
        <v/>
      </c>
      <c r="T957">
        <f>IF(C957,(H957*N957*IF(AND(Inputs!$B$38&lt;&gt;"pvp",Inputs!$B$43&gt;0),((Skills!G12*((R957-1)*IF(Skills!H12&gt;0,INT(Skills!I12/Skills!H12+0.000000001),1)+IF(Skills!H12&gt;0,INT(MIN(Skills!I12,MAX(0,MAX(0,Inputs!$B$43-B983)-((R957-1)*(IF(Inputs!$B$38="pvp",15,MAX(0.1,Skills!D12-IF(TRUE=TRUE,Inputs!$B$32,0)))*(1-IF(AND(ArtifactsInput!$M$27,Inputs!$B$4="Chapter Hunt"),CHOOSE(ArtifactsInput!$N$27+1,20,24,28,32,36,40),0)/100)))))/Skills!H12+0.000000001),1)))/Inputs!$B$43),G957*Q957))*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Hunt"),CHOOSE(ArtifactsInput!$N$35+1,15,18,21,24,27,30)*(1-EXP(-(0.2*B978)*5)),0)+IF(AND(ArtifactsInput!$M$22,Inputs!$B$4&lt;&gt;"Chapter Hunt"),CHOOSE(ArtifactsInput!$N$22+1,10,12,14,16,18,20)*((0*(((0.15*B978*5))^0/1)+1*(((0.15*B978*5))^1/1)+2*(((0.15*B978*5))^2/2)+3*(((0.15*B978*5))^3/6)+4*(((0.15*B978*5))^4/24)+5*(((0.15*B978*5))^5/120))/((((0.15*B978*5))^0/1)+(((0.15*B978*5))^1/1)+(((0.15*B978*5))^2/2)+(((0.15*B978*5))^3/6)+(((0.15*B978*5))^4/24)+(((0.15*B978*5))^5/120))),0))+IF(Inputs!$B$3&gt;=54,9*(C948=TRUE)*MIN(1,8*(1+Inputs!$B$34/100)*Q948)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957*(1-MIN(100,(Inputs!$B$9+((C964=TRUE)*(F964-Calc!F19))+B976+(ArtifactsInput!$M$24-ArtifactsInput!$M$24)*CHOOSE(ArtifactsInput!$N$24+1,10,12,14,16,18,20)+(IF(AND(Inputs!$B$38&lt;&gt;"pvp",Inputs!$B$43=0),1,IF(IF(Inputs!$B$38="pvp",15,Inputs!$B$43)-(B983)&lt;=0,1,MAX(0,IF(Inputs!$B$38="pvp",15,Inputs!$B$43)-MAX(5,B983))/(IF(Inputs!$B$38="pvp",15,Inputs!$B$43)-(B983))))*IF(AND(ArtifactsInput!$M$42,((Inputs!$B$9+((C964=TRUE)*(F964-Calc!F19))+B976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957*(MIN(100,(Inputs!$B$9+((C964=TRUE)*(F964-Calc!F19))+B976+(ArtifactsInput!$M$24-ArtifactsInput!$M$24)*CHOOSE(ArtifactsInput!$N$24+1,10,12,14,16,18,20)+(IF(AND(Inputs!$B$38&lt;&gt;"pvp",Inputs!$B$43=0),1,IF(IF(Inputs!$B$38="pvp",15,Inputs!$B$43)-(B983)&lt;=0,1,MAX(0,IF(Inputs!$B$38="pvp",15,Inputs!$B$43)-MAX(5,B983))/(IF(Inputs!$B$38="pvp",15,Inputs!$B$43)-(B983))))*IF(AND(ArtifactsInput!$M$42,((Inputs!$B$9+((C964=TRUE)*(F964-Calc!F19))+B976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957*(1-MIN(100,(Inputs!$B$9+((C964=TRUE)*(F964-Calc!F19))+B976+(ArtifactsInput!$M$24-ArtifactsInput!$M$24)*CHOOSE(ArtifactsInput!$N$24+1,10,12,14,16,18,20)+(IF(AND(Inputs!$B$38&lt;&gt;"pvp",Inputs!$B$43=0),1,IF(IF(Inputs!$B$38="pvp",15,Inputs!$B$43)-(B983)&lt;=0,1,MAX(0,IF(Inputs!$B$38="pvp",15,Inputs!$B$43)-MAX(5,B983))/(IF(Inputs!$B$38="pvp",15,Inputs!$B$43)-(B983))))*IF(AND(ArtifactsInput!$M$42,((Inputs!$B$9+((C964=TRUE)*(F964-Calc!F19))+B976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957*(MIN(100,(Inputs!$B$9+((C964=TRUE)*(F964-Calc!F19))+B976+(ArtifactsInput!$M$24-ArtifactsInput!$M$24)*CHOOSE(ArtifactsInput!$N$24+1,10,12,14,16,18,20)+(IF(AND(Inputs!$B$38&lt;&gt;"pvp",Inputs!$B$43=0),1,IF(IF(Inputs!$B$38="pvp",15,Inputs!$B$43)-(B983)&lt;=0,1,MAX(0,IF(Inputs!$B$38="pvp",15,Inputs!$B$43)-MAX(5,B983))/(IF(Inputs!$B$38="pvp",15,Inputs!$B$43)-(B983))))*IF(AND(ArtifactsInput!$M$42,((Inputs!$B$9+((C964=TRUE)*(F964-Calc!F19))+B976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957">
        <f>IF(C957,(H957*N957*IF(AND(Inputs!$B$38&lt;&gt;"pvp",Inputs!$B$43&gt;0),((Skills!G12*((R957-1)*IF(Skills!H12&gt;0,INT(Skills!I12/Skills!H12+0.000000001),1)+IF(Skills!H12&gt;0,INT(MIN(Skills!I12,MAX(0,MAX(0,Inputs!$B$43-B983)-((R957-1)*(IF(Inputs!$B$38="pvp",15,MAX(0.1,Skills!D12-IF(TRUE=TRUE,Inputs!$B$32,0)))*(1-IF(AND(ArtifactsInput!$M$27,Inputs!$B$4="Chapter Hunt"),CHOOSE(ArtifactsInput!$N$27+1,20,24,28,32,36,40),0)/100)))))/Skills!H12+0.000000001),1)))/Inputs!$B$43),G957*Q957))*IF(Inputs!$B$38="pvp",1,(1+(Inputs!$B$21+Skills!Q12+(IF(ArtifactsInput!$M$33,CHOOSE(ArtifactsInput!$N$33+1,30,36,42,48,54,60),0))+(IF(AND(ArtifactsInput!$M$35,Inputs!$B$4&lt;&gt;"Chapter Hunt"),CHOOSE(ArtifactsInput!$N$35+1,15,18,21,24,27,30)*(1-EXP(-(0.2*B978)*5)),0)+IF(AND(ArtifactsInput!$M$22,Inputs!$B$4&lt;&gt;"Chapter Hunt"),CHOOSE(ArtifactsInput!$N$22+1,10,12,14,16,18,20)*((0*(((0.15*B978*5))^0/1)+1*(((0.15*B978*5))^1/1)+2*(((0.15*B978*5))^2/2)+3*(((0.15*B978*5))^3/6)+4*(((0.15*B978*5))^4/24)+5*(((0.15*B978*5))^5/120))/((((0.15*B978*5))^0/1)+(((0.15*B978*5))^1/1)+(((0.15*B978*5))^2/2)+(((0.15*B978*5))^3/6)+(((0.15*B978*5))^4/24)+(((0.15*B978*5))^5/120))),0))+IF(Inputs!$B$3&gt;=54,9*(C948=TRUE)*MIN(1,8*(1+Inputs!$B$34/100)*Q948),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58">
      <c r="A958">
        <f>Skills!A13</f>
        <v/>
      </c>
      <c r="B958">
        <f>Skills!B13</f>
        <v/>
      </c>
      <c r="C958">
        <f>Inputs!$B$3&gt;=110</f>
        <v/>
      </c>
      <c r="D958">
        <f>IF(Skills!C13=1,60+Inputs!$B$25+Inputs!$B$29,IF(Skills!C13=2,90+Inputs!$B$26+Inputs!$B$29,IF(Skills!C13=3,120+Inputs!$B$27+Inputs!$B$29,MAX(0,(Inputs!$B$3-100)*3)+(Inputs!$B$28+1)+Inputs!$B$29)))</f>
        <v/>
      </c>
      <c r="E958">
        <f>INDEX(FactorTable!$B$2:$Y$301, MATCH(ROUND(MIN(300,MAX(1,D958)),0), FactorTable!$A$2:$A$301,0), Skills!M13+1)</f>
        <v/>
      </c>
      <c r="F958">
        <f>IF(Skills!N13=TRUE,(Skills!L13/10)*(E958/1000),Skills!L13/10)+Skills!O13</f>
        <v/>
      </c>
      <c r="G958">
        <f>Skills!G13*IF(Skills!H13&gt;0,INT(IF(Inputs!$B$38="pvp",MIN(Skills!I13,15),Skills!I13)/Skills!H13+0.000000001),1)</f>
        <v/>
      </c>
      <c r="H958">
        <f>1-(1-Skills!J13/100)^Skills!K13</f>
        <v/>
      </c>
      <c r="I958" t="inlineStr">
        <is>
          <t>1</t>
        </is>
      </c>
      <c r="J958">
        <f>((Inputs!$B$6*(1+Inputs!$B$7/100))+(((Inputs!$B$12*(1+Inputs!$B$13/100))-(Inputs!$B$12*(1+Inputs!$B$13/100)))+0.25*(Inputs!$B$14-Inputs!$B$14))*(1+Inputs!$B$7/100))*(F958/100)</f>
        <v/>
      </c>
      <c r="K958">
        <f>J958*(1+((Inputs!$B$12*(1+Inputs!$B$13/100))*0.01+Inputs!$B$14*0.0025)/100)*(1+Inputs!$B$15/100)*(1+Inputs!$B$16/100)*(5000/(6000+Inputs!$B$42*(1-(100*(1-(1-(Inputs!$B$19+0)/100)*(1-CHOOSE(ArtifactsInput!$N$40+1,5,6,7,8,9,10)/100)^(ArtifactsInput!$M$40-ArtifactsInput!$M$40)))/100)))*(1+(Inputs!$B$24+((C971=TRUE)*(F971-Calc!F26))+B982)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EIGHT_LEGS_EASTON",Inputs!$B$17+((C968=TRUE)*(F968-Calc!F23))+((C972=TRUE)*(F972-Calc!F27))+((IF(AND(Inputs!$B$38&lt;&gt;"pvp",Inputs!$B$43=0),1,IF(IF(Inputs!$B$38="pvp",15,Inputs!$B$43)-(B983)&lt;=0,1,MAX(0,IF(Inputs!$B$38="pvp",15,Inputs!$B$43)-MAX(5,B983))/(IF(Inputs!$B$38="pvp",15,Inputs!$B$43)-(B983))))*(IF(AND(ArtifactsInput!$M$42,((Inputs!$B$9+((C964=TRUE)*(F964-Calc!F19))+B976+(ArtifactsInput!$M$24-ArtifactsInput!$M$24)*CHOOSE(ArtifactsInput!$N$24+1,10,12,14,16,18,20)+IF(ArtifactsInput!$M$10,CHOOSE(ArtifactsInput!$N$10+1,15,18,21,24,27,30)*(IF(Inputs!$B$38="pvp",MIN(15,15)/15,IF(AND(Inputs!$B$38&lt;&gt;"pvp",Inputs!$B$43&gt;0),MIN(15,Inputs!$B$43)/(Inputs!$B$43),0))),0)))&gt;=100),MIN(100,((Inputs!$B$9+((C964=TRUE)*(F964-Calc!F19))+B976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983)&lt;=0,1,MAX(0,IF(Inputs!$B$38="pvp",15,Inputs!$B$43)-MAX(5,B983))/(IF(Inputs!$B$38="pvp",15,Inputs!$B$43)-(B983))))*IF(AND(ArtifactsInput!$M$42,((Inputs!$B$9+((C964=TRUE)*(F964-Calc!F19))+B976+(ArtifactsInput!$M$24-ArtifactsInput!$M$24)*CHOOSE(ArtifactsInput!$N$24+1,10,12,14,16,18,20)+IF(ArtifactsInput!$M$10,CHOOSE(ArtifactsInput!$N$10+1,15,18,21,24,27,30)*(IF(Inputs!$B$38="pvp",MIN(15,15)/15,IF(AND(Inputs!$B$38&lt;&gt;"pvp",Inputs!$B$43&gt;0),MIN(15,Inputs!$B$43)/(Inputs!$B$43),0))),0)))&gt;=100),CHOOSE(ArtifactsInput!$N$42+1,40,48,56,64,72,80),0))))/100)*((1+(((C962=TRUE)*F962*5/7)+((C969=TRUE)*(F969-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958)</f>
        <v/>
      </c>
      <c r="L958">
        <f>K958*(MIN(Inputs!$B$22+((C967=TRUE)*(F967-Calc!F22)),(Inputs!$B$23+0+(IF(ArtifactsInput!$M$15,CHOOSE(ArtifactsInput!$N$15+1,25,30,35,40,45,50)/100*(Inputs!$B$11-Inputs!$B$11),0))))/100+(Inputs!$B$23+0+(IF(ArtifactsInput!$M$15,CHOOSE(ArtifactsInput!$N$15+1,25,30,35,40,45,50)/100*(Inputs!$B$11-Inputs!$B$11),0)))/100)/2</f>
        <v/>
      </c>
      <c r="M958">
        <f>L958*(1+(Inputs!$B$10+((C970=TRUE)*(F970-Calc!F25))+B981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58">
        <f>L958*(1-MIN((Inputs!$B$9+((C964=TRUE)*(F964-Calc!F19))+B976+(ArtifactsInput!$M$24-ArtifactsInput!$M$24)*CHOOSE(ArtifactsInput!$N$24+1,10,12,14,16,18,20)+(IF(AND(Inputs!$B$38&lt;&gt;"pvp",Inputs!$B$43=0),1,IF(IF(Inputs!$B$38="pvp",15,Inputs!$B$43)-(B983)&lt;=0,1,MAX(0,IF(Inputs!$B$38="pvp",15,Inputs!$B$43)-MAX(5,B983))/(IF(Inputs!$B$38="pvp",15,Inputs!$B$43)-(B983))))*IF(AND(ArtifactsInput!$M$42,((Inputs!$B$9+((C964=TRUE)*(F964-Calc!F19))+B976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958*(MIN((Inputs!$B$9+((C964=TRUE)*(F964-Calc!F19))+B976+(ArtifactsInput!$M$24-ArtifactsInput!$M$24)*CHOOSE(ArtifactsInput!$N$24+1,10,12,14,16,18,20)+(IF(AND(Inputs!$B$38&lt;&gt;"pvp",Inputs!$B$43=0),1,IF(IF(Inputs!$B$38="pvp",15,Inputs!$B$43)-(B983)&lt;=0,1,MAX(0,IF(Inputs!$B$38="pvp",15,Inputs!$B$43)-MAX(5,B983))/(IF(Inputs!$B$38="pvp",15,Inputs!$B$43)-(B983))))*IF(AND(ArtifactsInput!$M$42,((Inputs!$B$9+((C964=TRUE)*(F964-Calc!F19))+B976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58">
        <f>(1-Summary!$B$11)*T958+Summary!$B$11*V958</f>
        <v/>
      </c>
      <c r="P958">
        <f>IF(B986=0,0,O958/B986)</f>
        <v/>
      </c>
      <c r="Q958">
        <f>IFERROR(1/(IF(Inputs!$B$38="pvp",15,MAX(0.1,Skills!D13-IF(TRUE=TRUE,Inputs!$B$32,0)))*(1-IF(AND(ArtifactsInput!$M$27,Inputs!$B$4="Chapter Hunt"),CHOOSE(ArtifactsInput!$N$27+1,20,24,28,32,36,40),0)/100)),0)</f>
        <v/>
      </c>
      <c r="R958">
        <f>IF(AND(Inputs!$B$38&lt;&gt;"pvp",Inputs!$B$43&gt;0),IF(MAX(0,Inputs!$B$43-B983)&lt;=0,0,(INT(MAX(0,Inputs!$B$43-B983)/(IF(Inputs!$B$38="pvp",15,MAX(0.1,Skills!D13-IF(TRUE=TRUE,Inputs!$B$32,0)))*(1-IF(AND(ArtifactsInput!$M$27,Inputs!$B$4="Chapter Hunt"),CHOOSE(ArtifactsInput!$N$27+1,20,24,28,32,36,40),0)/100)))+1)),0)</f>
        <v/>
      </c>
      <c r="S958">
        <f>IFERROR(O958/N958,0)</f>
        <v/>
      </c>
      <c r="T958">
        <f>IF(C958,(H958*N958*IF(AND(Inputs!$B$38&lt;&gt;"pvp",Inputs!$B$43&gt;0),((Skills!G13*((R958-1)*IF(Skills!H13&gt;0,INT(Skills!I13/Skills!H13+0.000000001),1)+IF(Skills!H13&gt;0,INT(MIN(Skills!I13,MAX(0,MAX(0,Inputs!$B$43-B983)-((R958-1)*(IF(Inputs!$B$38="pvp",15,MAX(0.1,Skills!D13-IF(TRUE=TRUE,Inputs!$B$32,0)))*(1-IF(AND(ArtifactsInput!$M$27,Inputs!$B$4="Chapter Hunt"),CHOOSE(ArtifactsInput!$N$27+1,20,24,28,32,36,40),0)/100)))))/Skills!H13+0.000000001),1)))/Inputs!$B$43),G958*Q958))*IF(Inputs!$B$38="pvp",1,1+(Inputs!$B$20+0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Hunt"),CHOOSE(ArtifactsInput!$N$35+1,15,18,21,24,27,30)*(1-EXP(-(0.2*B978)*5)),0)+IF(AND(ArtifactsInput!$M$22,Inputs!$B$4&lt;&gt;"Chapter Hunt"),CHOOSE(ArtifactsInput!$N$22+1,10,12,14,16,18,20)*((0*(((0.15*B978*5))^0/1)+1*(((0.15*B978*5))^1/1)+2*(((0.15*B978*5))^2/2)+3*(((0.15*B978*5))^3/6)+4*(((0.15*B978*5))^4/24)+5*(((0.15*B978*5))^5/120))/((((0.15*B978*5))^0/1)+(((0.15*B978*5))^1/1)+(((0.15*B978*5))^2/2)+(((0.15*B978*5))^3/6)+(((0.15*B978*5))^4/24)+(((0.15*B978*5))^5/120))),0))+IF(Inputs!$B$3&gt;=54,9*(C948=TRUE)*MIN(1,8*(1+Inputs!$B$34/100)*Q948)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958*(1-MIN(100,(Inputs!$B$9+((C964=TRUE)*(F964-Calc!F19))+B976+(ArtifactsInput!$M$24-ArtifactsInput!$M$24)*CHOOSE(ArtifactsInput!$N$24+1,10,12,14,16,18,20)+(IF(AND(Inputs!$B$38&lt;&gt;"pvp",Inputs!$B$43=0),1,IF(IF(Inputs!$B$38="pvp",15,Inputs!$B$43)-(B983)&lt;=0,1,MAX(0,IF(Inputs!$B$38="pvp",15,Inputs!$B$43)-MAX(5,B983))/(IF(Inputs!$B$38="pvp",15,Inputs!$B$43)-(B983))))*IF(AND(ArtifactsInput!$M$42,((Inputs!$B$9+((C964=TRUE)*(F964-Calc!F19))+B976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958*(MIN(100,(Inputs!$B$9+((C964=TRUE)*(F964-Calc!F19))+B976+(ArtifactsInput!$M$24-ArtifactsInput!$M$24)*CHOOSE(ArtifactsInput!$N$24+1,10,12,14,16,18,20)+(IF(AND(Inputs!$B$38&lt;&gt;"pvp",Inputs!$B$43=0),1,IF(IF(Inputs!$B$38="pvp",15,Inputs!$B$43)-(B983)&lt;=0,1,MAX(0,IF(Inputs!$B$38="pvp",15,Inputs!$B$43)-MAX(5,B983))/(IF(Inputs!$B$38="pvp",15,Inputs!$B$43)-(B983))))*IF(AND(ArtifactsInput!$M$42,((Inputs!$B$9+((C964=TRUE)*(F964-Calc!F19))+B976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958*(1-MIN(100,(Inputs!$B$9+((C964=TRUE)*(F964-Calc!F19))+B976+(ArtifactsInput!$M$24-ArtifactsInput!$M$24)*CHOOSE(ArtifactsInput!$N$24+1,10,12,14,16,18,20)+(IF(AND(Inputs!$B$38&lt;&gt;"pvp",Inputs!$B$43=0),1,IF(IF(Inputs!$B$38="pvp",15,Inputs!$B$43)-(B983)&lt;=0,1,MAX(0,IF(Inputs!$B$38="pvp",15,Inputs!$B$43)-MAX(5,B983))/(IF(Inputs!$B$38="pvp",15,Inputs!$B$43)-(B983))))*IF(AND(ArtifactsInput!$M$42,((Inputs!$B$9+((C964=TRUE)*(F964-Calc!F19))+B976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958*(MIN(100,(Inputs!$B$9+((C964=TRUE)*(F964-Calc!F19))+B976+(ArtifactsInput!$M$24-ArtifactsInput!$M$24)*CHOOSE(ArtifactsInput!$N$24+1,10,12,14,16,18,20)+(IF(AND(Inputs!$B$38&lt;&gt;"pvp",Inputs!$B$43=0),1,IF(IF(Inputs!$B$38="pvp",15,Inputs!$B$43)-(B983)&lt;=0,1,MAX(0,IF(Inputs!$B$38="pvp",15,Inputs!$B$43)-MAX(5,B983))/(IF(Inputs!$B$38="pvp",15,Inputs!$B$43)-(B983))))*IF(AND(ArtifactsInput!$M$42,((Inputs!$B$9+((C964=TRUE)*(F964-Calc!F19))+B976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958">
        <f>IF(C958,(H958*N958*IF(AND(Inputs!$B$38&lt;&gt;"pvp",Inputs!$B$43&gt;0),((Skills!G13*((R958-1)*IF(Skills!H13&gt;0,INT(Skills!I13/Skills!H13+0.000000001),1)+IF(Skills!H13&gt;0,INT(MIN(Skills!I13,MAX(0,MAX(0,Inputs!$B$43-B983)-((R958-1)*(IF(Inputs!$B$38="pvp",15,MAX(0.1,Skills!D13-IF(TRUE=TRUE,Inputs!$B$32,0)))*(1-IF(AND(ArtifactsInput!$M$27,Inputs!$B$4="Chapter Hunt"),CHOOSE(ArtifactsInput!$N$27+1,20,24,28,32,36,40),0)/100)))))/Skills!H13+0.000000001),1)))/Inputs!$B$43),G958*Q958))*IF(Inputs!$B$38="pvp",1,(1+(Inputs!$B$21+Skills!Q13+(IF(ArtifactsInput!$M$33,CHOOSE(ArtifactsInput!$N$33+1,30,36,42,48,54,60),0))+(IF(AND(ArtifactsInput!$M$35,Inputs!$B$4&lt;&gt;"Chapter Hunt"),CHOOSE(ArtifactsInput!$N$35+1,15,18,21,24,27,30)*(1-EXP(-(0.2*B978)*5)),0)+IF(AND(ArtifactsInput!$M$22,Inputs!$B$4&lt;&gt;"Chapter Hunt"),CHOOSE(ArtifactsInput!$N$22+1,10,12,14,16,18,20)*((0*(((0.15*B978*5))^0/1)+1*(((0.15*B978*5))^1/1)+2*(((0.15*B978*5))^2/2)+3*(((0.15*B978*5))^3/6)+4*(((0.15*B978*5))^4/24)+5*(((0.15*B978*5))^5/120))/((((0.15*B978*5))^0/1)+(((0.15*B978*5))^1/1)+(((0.15*B978*5))^2/2)+(((0.15*B978*5))^3/6)+(((0.15*B978*5))^4/24)+(((0.15*B978*5))^5/120))),0))+IF(Inputs!$B$3&gt;=54,9*(C948=TRUE)*MIN(1,8*(1+Inputs!$B$34/100)*Q948),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59">
      <c r="A959">
        <f>Skills!A14</f>
        <v/>
      </c>
      <c r="B959">
        <f>Skills!B14</f>
        <v/>
      </c>
      <c r="C959">
        <f>Inputs!$B$3&gt;=120</f>
        <v/>
      </c>
      <c r="D959">
        <f>IF(Skills!C14=1,60+Inputs!$B$25+Inputs!$B$29,IF(Skills!C14=2,90+Inputs!$B$26+Inputs!$B$29,IF(Skills!C14=3,120+Inputs!$B$27+Inputs!$B$29,MAX(0,(Inputs!$B$3-100)*3)+(Inputs!$B$28+1)+Inputs!$B$29)))</f>
        <v/>
      </c>
      <c r="E959">
        <f>INDEX(FactorTable!$B$2:$Y$301, MATCH(ROUND(MIN(300,MAX(1,D959)),0), FactorTable!$A$2:$A$301,0), Skills!M14+1)</f>
        <v/>
      </c>
      <c r="F959">
        <f>IF(Skills!N14=TRUE,(Skills!L14/10)*(E959/1000),Skills!L14/10)+Skills!O14</f>
        <v/>
      </c>
      <c r="G959">
        <f>Skills!G14*IF(Skills!H14&gt;0,INT(IF(Inputs!$B$38="pvp",MIN(Skills!I14,15),Skills!I14)/Skills!H14+0.000000001),1)</f>
        <v/>
      </c>
      <c r="H959">
        <f>1-(1-Skills!J14/100)^Skills!K14</f>
        <v/>
      </c>
      <c r="I959" t="inlineStr">
        <is>
          <t>1</t>
        </is>
      </c>
      <c r="J959">
        <f>((Inputs!$B$6*(1+Inputs!$B$7/100))+(((Inputs!$B$12*(1+Inputs!$B$13/100))-(Inputs!$B$12*(1+Inputs!$B$13/100)))+0.25*(Inputs!$B$14-Inputs!$B$14))*(1+Inputs!$B$7/100))*(F959/100)</f>
        <v/>
      </c>
      <c r="K959">
        <f>J959*(1+((Inputs!$B$12*(1+Inputs!$B$13/100))*0.01+Inputs!$B$14*0.0025)/100)*(1+Inputs!$B$15/100)*(1+Inputs!$B$16/100)*(5000/(6000+Inputs!$B$42*(1-(100*(1-(1-(Inputs!$B$19+0)/100)*(1-CHOOSE(ArtifactsInput!$N$40+1,5,6,7,8,9,10)/100)^(ArtifactsInput!$M$40-ArtifactsInput!$M$40)))/100)))*(1+(Inputs!$B$24+((C971=TRUE)*(F971-Calc!F26))+B982)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EIGHT_LEGS_EASTON",Inputs!$B$17+((C968=TRUE)*(F968-Calc!F23))+((C972=TRUE)*(F972-Calc!F27))+((IF(AND(Inputs!$B$38&lt;&gt;"pvp",Inputs!$B$43=0),1,IF(IF(Inputs!$B$38="pvp",15,Inputs!$B$43)-(B983)&lt;=0,1,MAX(0,IF(Inputs!$B$38="pvp",15,Inputs!$B$43)-MAX(5,B983))/(IF(Inputs!$B$38="pvp",15,Inputs!$B$43)-(B983))))*(IF(AND(ArtifactsInput!$M$42,((Inputs!$B$9+((C964=TRUE)*(F964-Calc!F19))+B976+(ArtifactsInput!$M$24-ArtifactsInput!$M$24)*CHOOSE(ArtifactsInput!$N$24+1,10,12,14,16,18,20)+IF(ArtifactsInput!$M$10,CHOOSE(ArtifactsInput!$N$10+1,15,18,21,24,27,30)*(IF(Inputs!$B$38="pvp",MIN(15,15)/15,IF(AND(Inputs!$B$38&lt;&gt;"pvp",Inputs!$B$43&gt;0),MIN(15,Inputs!$B$43)/(Inputs!$B$43),0))),0)))&gt;=100),MIN(100,((Inputs!$B$9+((C964=TRUE)*(F964-Calc!F19))+B976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983)&lt;=0,1,MAX(0,IF(Inputs!$B$38="pvp",15,Inputs!$B$43)-MAX(5,B983))/(IF(Inputs!$B$38="pvp",15,Inputs!$B$43)-(B983))))*IF(AND(ArtifactsInput!$M$42,((Inputs!$B$9+((C964=TRUE)*(F964-Calc!F19))+B976+(ArtifactsInput!$M$24-ArtifactsInput!$M$24)*CHOOSE(ArtifactsInput!$N$24+1,10,12,14,16,18,20)+IF(ArtifactsInput!$M$10,CHOOSE(ArtifactsInput!$N$10+1,15,18,21,24,27,30)*(IF(Inputs!$B$38="pvp",MIN(15,15)/15,IF(AND(Inputs!$B$38&lt;&gt;"pvp",Inputs!$B$43&gt;0),MIN(15,Inputs!$B$43)/(Inputs!$B$43),0))),0)))&gt;=100),CHOOSE(ArtifactsInput!$N$42+1,40,48,56,64,72,80),0))))/100)*((1+(((C962=TRUE)*F962*5/7)+((C969=TRUE)*(F969-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959)</f>
        <v/>
      </c>
      <c r="L959">
        <f>K959*(MIN(Inputs!$B$22+((C967=TRUE)*(F967-Calc!F22)),(Inputs!$B$23+0+(IF(ArtifactsInput!$M$15,CHOOSE(ArtifactsInput!$N$15+1,25,30,35,40,45,50)/100*(Inputs!$B$11-Inputs!$B$11),0))))/100+(Inputs!$B$23+0+(IF(ArtifactsInput!$M$15,CHOOSE(ArtifactsInput!$N$15+1,25,30,35,40,45,50)/100*(Inputs!$B$11-Inputs!$B$11),0)))/100)/2</f>
        <v/>
      </c>
      <c r="M959">
        <f>L959*(1+(Inputs!$B$10+((C970=TRUE)*(F970-Calc!F25))+B981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59">
        <f>L959*(1-MIN((Inputs!$B$9+((C964=TRUE)*(F964-Calc!F19))+B976+(ArtifactsInput!$M$24-ArtifactsInput!$M$24)*CHOOSE(ArtifactsInput!$N$24+1,10,12,14,16,18,20)+(IF(AND(Inputs!$B$38&lt;&gt;"pvp",Inputs!$B$43=0),1,IF(IF(Inputs!$B$38="pvp",15,Inputs!$B$43)-(B983)&lt;=0,1,MAX(0,IF(Inputs!$B$38="pvp",15,Inputs!$B$43)-MAX(5,B983))/(IF(Inputs!$B$38="pvp",15,Inputs!$B$43)-(B983))))*IF(AND(ArtifactsInput!$M$42,((Inputs!$B$9+((C964=TRUE)*(F964-Calc!F19))+B976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959*(MIN((Inputs!$B$9+((C964=TRUE)*(F964-Calc!F19))+B976+(ArtifactsInput!$M$24-ArtifactsInput!$M$24)*CHOOSE(ArtifactsInput!$N$24+1,10,12,14,16,18,20)+(IF(AND(Inputs!$B$38&lt;&gt;"pvp",Inputs!$B$43=0),1,IF(IF(Inputs!$B$38="pvp",15,Inputs!$B$43)-(B983)&lt;=0,1,MAX(0,IF(Inputs!$B$38="pvp",15,Inputs!$B$43)-MAX(5,B983))/(IF(Inputs!$B$38="pvp",15,Inputs!$B$43)-(B983))))*IF(AND(ArtifactsInput!$M$42,((Inputs!$B$9+((C964=TRUE)*(F964-Calc!F19))+B976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59">
        <f>(1-Summary!$B$11)*T959+Summary!$B$11*V959</f>
        <v/>
      </c>
      <c r="P959">
        <f>IF(B986=0,0,O959/B986)</f>
        <v/>
      </c>
      <c r="Q959" t="n">
        <v>0</v>
      </c>
      <c r="R959" t="n">
        <v>0</v>
      </c>
      <c r="S959">
        <f>IFERROR(O959/N959,0)</f>
        <v/>
      </c>
      <c r="T959">
        <f>IF(C959,((H959*(B980+IF(AND(Inputs!$B$38&lt;&gt;"pvp",Inputs!$B$43&gt;0),((Skills!G8*((R953-1)*IF(Skills!H8&gt;0,INT(Skills!I8/Skills!H8+0.000000001),1)+IF(Skills!H8&gt;0,INT(MIN(Skills!I8,MAX(0,MAX(0,Inputs!$B$43-B983)-((R953-1)*((IF(Inputs!$B$38="pvp",15,MAX(0.1,Skills!D8-IF(TRUE=TRUE,Inputs!$B$32,0)))*(1-IF(AND(ArtifactsInput!$M$27,Inputs!$B$4="Chapter Hunt"),CHOOSE(ArtifactsInput!$N$27+1,20,24,28,32,36,40),0)/100))/B987))))/Skills!H8+0.000000001),1)))/Inputs!$B$43),G953*Q953)+IF(AND(Inputs!$B$38&lt;&gt;"pvp",Inputs!$B$43&gt;0),((Skills!G11*((R956-1)*IF(Skills!H11&gt;0,INT(Skills!I11/Skills!H11+0.000000001),1)+IF(Skills!H11&gt;0,INT(MIN(Skills!I11,MAX(0,MAX(0,Inputs!$B$43-B983)-((R956-1)*((IF(Inputs!$B$38="pvp",15,MAX(0.1,Skills!D11-IF(TRUE=TRUE,Inputs!$B$32,0)))*(1-IF(AND(ArtifactsInput!$M$27,Inputs!$B$4="Chapter Hunt"),CHOOSE(ArtifactsInput!$N$27+1,20,24,28,32,36,40),0)/100))/B987))))/Skills!H11+0.000000001),1)))/Inputs!$B$43),G956*Q956)))/(1+Skills!H14*H959*(B980+IF(AND(Inputs!$B$38&lt;&gt;"pvp",Inputs!$B$43&gt;0),((Skills!G8*((R953-1)*IF(Skills!H8&gt;0,INT(Skills!I8/Skills!H8+0.000000001),1)+IF(Skills!H8&gt;0,INT(MIN(Skills!I8,MAX(0,MAX(0,Inputs!$B$43-B983)-((R953-1)*((IF(Inputs!$B$38="pvp",15,MAX(0.1,Skills!D8-IF(TRUE=TRUE,Inputs!$B$32,0)))*(1-IF(AND(ArtifactsInput!$M$27,Inputs!$B$4="Chapter Hunt"),CHOOSE(ArtifactsInput!$N$27+1,20,24,28,32,36,40),0)/100))/B987))))/Skills!H8+0.000000001),1)))/Inputs!$B$43),G953*Q953)+IF(AND(Inputs!$B$38&lt;&gt;"pvp",Inputs!$B$43&gt;0),((Skills!G11*((R956-1)*IF(Skills!H11&gt;0,INT(Skills!I11/Skills!H11+0.000000001),1)+IF(Skills!H11&gt;0,INT(MIN(Skills!I11,MAX(0,MAX(0,Inputs!$B$43-B983)-((R956-1)*((IF(Inputs!$B$38="pvp",15,MAX(0.1,Skills!D11-IF(TRUE=TRUE,Inputs!$B$32,0)))*(1-IF(AND(ArtifactsInput!$M$27,Inputs!$B$4="Chapter Hunt"),CHOOSE(ArtifactsInput!$N$27+1,20,24,28,32,36,40),0)/100))/B987))))/Skills!H11+0.000000001),1)))/Inputs!$B$43),G956*Q956)))*N959)*IF(Inputs!$B$38="pvp",1,1+(Inputs!$B$20+0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Hunt"),CHOOSE(ArtifactsInput!$N$35+1,15,18,21,24,27,30)*(1-EXP(-(0.2*B978)*5)),0)+IF(AND(ArtifactsInput!$M$22,Inputs!$B$4&lt;&gt;"Chapter Hunt"),CHOOSE(ArtifactsInput!$N$22+1,10,12,14,16,18,20)*((0*(((0.15*B978*5))^0/1)+1*(((0.15*B978*5))^1/1)+2*(((0.15*B978*5))^2/2)+3*(((0.15*B978*5))^3/6)+4*(((0.15*B978*5))^4/24)+5*(((0.15*B978*5))^5/120))/((((0.15*B978*5))^0/1)+(((0.15*B978*5))^1/1)+(((0.15*B978*5))^2/2)+(((0.15*B978*5))^3/6)+(((0.15*B978*5))^4/24)+(((0.15*B978*5))^5/120))),0))+IF(Inputs!$B$3&gt;=54,9*(C948=TRUE)*MIN(1,8*(1+Inputs!$B$34/100)*Q948)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959*(1-MIN(100,(Inputs!$B$9+((C964=TRUE)*(F964-Calc!F19))+B976+(ArtifactsInput!$M$24-ArtifactsInput!$M$24)*CHOOSE(ArtifactsInput!$N$24+1,10,12,14,16,18,20)+(IF(AND(Inputs!$B$38&lt;&gt;"pvp",Inputs!$B$43=0),1,IF(IF(Inputs!$B$38="pvp",15,Inputs!$B$43)-(B983)&lt;=0,1,MAX(0,IF(Inputs!$B$38="pvp",15,Inputs!$B$43)-MAX(5,B983))/(IF(Inputs!$B$38="pvp",15,Inputs!$B$43)-(B983))))*IF(AND(ArtifactsInput!$M$42,((Inputs!$B$9+((C964=TRUE)*(F964-Calc!F19))+B976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959*(MIN(100,(Inputs!$B$9+((C964=TRUE)*(F964-Calc!F19))+B976+(ArtifactsInput!$M$24-ArtifactsInput!$M$24)*CHOOSE(ArtifactsInput!$N$24+1,10,12,14,16,18,20)+(IF(AND(Inputs!$B$38&lt;&gt;"pvp",Inputs!$B$43=0),1,IF(IF(Inputs!$B$38="pvp",15,Inputs!$B$43)-(B983)&lt;=0,1,MAX(0,IF(Inputs!$B$38="pvp",15,Inputs!$B$43)-MAX(5,B983))/(IF(Inputs!$B$38="pvp",15,Inputs!$B$43)-(B983))))*IF(AND(ArtifactsInput!$M$42,((Inputs!$B$9+((C964=TRUE)*(F964-Calc!F19))+B976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959*(1-MIN(100,(Inputs!$B$9+((C964=TRUE)*(F964-Calc!F19))+B976+(ArtifactsInput!$M$24-ArtifactsInput!$M$24)*CHOOSE(ArtifactsInput!$N$24+1,10,12,14,16,18,20)+(IF(AND(Inputs!$B$38&lt;&gt;"pvp",Inputs!$B$43=0),1,IF(IF(Inputs!$B$38="pvp",15,Inputs!$B$43)-(B983)&lt;=0,1,MAX(0,IF(Inputs!$B$38="pvp",15,Inputs!$B$43)-MAX(5,B983))/(IF(Inputs!$B$38="pvp",15,Inputs!$B$43)-(B983))))*IF(AND(ArtifactsInput!$M$42,((Inputs!$B$9+((C964=TRUE)*(F964-Calc!F19))+B976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959*(MIN(100,(Inputs!$B$9+((C964=TRUE)*(F964-Calc!F19))+B976+(ArtifactsInput!$M$24-ArtifactsInput!$M$24)*CHOOSE(ArtifactsInput!$N$24+1,10,12,14,16,18,20)+(IF(AND(Inputs!$B$38&lt;&gt;"pvp",Inputs!$B$43=0),1,IF(IF(Inputs!$B$38="pvp",15,Inputs!$B$43)-(B983)&lt;=0,1,MAX(0,IF(Inputs!$B$38="pvp",15,Inputs!$B$43)-MAX(5,B983))/(IF(Inputs!$B$38="pvp",15,Inputs!$B$43)-(B983))))*IF(AND(ArtifactsInput!$M$42,((Inputs!$B$9+((C964=TRUE)*(F964-Calc!F19))+B976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959">
        <f>IF(C959,((H959*(B980+IF(AND(Inputs!$B$38&lt;&gt;"pvp",Inputs!$B$43&gt;0),((Skills!G8*((R953-1)*IF(Skills!H8&gt;0,INT(Skills!I8/Skills!H8+0.000000001),1)+IF(Skills!H8&gt;0,INT(MIN(Skills!I8,MAX(0,MAX(0,Inputs!$B$43-B983)-((R953-1)*((IF(Inputs!$B$38="pvp",15,MAX(0.1,Skills!D8-IF(TRUE=TRUE,Inputs!$B$32,0)))*(1-IF(AND(ArtifactsInput!$M$27,Inputs!$B$4="Chapter Hunt"),CHOOSE(ArtifactsInput!$N$27+1,20,24,28,32,36,40),0)/100))/B987))))/Skills!H8+0.000000001),1)))/Inputs!$B$43),G953*Q953)+IF(AND(Inputs!$B$38&lt;&gt;"pvp",Inputs!$B$43&gt;0),((Skills!G11*((R956-1)*IF(Skills!H11&gt;0,INT(Skills!I11/Skills!H11+0.000000001),1)+IF(Skills!H11&gt;0,INT(MIN(Skills!I11,MAX(0,MAX(0,Inputs!$B$43-B983)-((R956-1)*((IF(Inputs!$B$38="pvp",15,MAX(0.1,Skills!D11-IF(TRUE=TRUE,Inputs!$B$32,0)))*(1-IF(AND(ArtifactsInput!$M$27,Inputs!$B$4="Chapter Hunt"),CHOOSE(ArtifactsInput!$N$27+1,20,24,28,32,36,40),0)/100))/B987))))/Skills!H11+0.000000001),1)))/Inputs!$B$43),G956*Q956)))/(1+Skills!H14*H959*(B980+IF(AND(Inputs!$B$38&lt;&gt;"pvp",Inputs!$B$43&gt;0),((Skills!G8*((R953-1)*IF(Skills!H8&gt;0,INT(Skills!I8/Skills!H8+0.000000001),1)+IF(Skills!H8&gt;0,INT(MIN(Skills!I8,MAX(0,MAX(0,Inputs!$B$43-B983)-((R953-1)*((IF(Inputs!$B$38="pvp",15,MAX(0.1,Skills!D8-IF(TRUE=TRUE,Inputs!$B$32,0)))*(1-IF(AND(ArtifactsInput!$M$27,Inputs!$B$4="Chapter Hunt"),CHOOSE(ArtifactsInput!$N$27+1,20,24,28,32,36,40),0)/100))/B987))))/Skills!H8+0.000000001),1)))/Inputs!$B$43),G953*Q953)+IF(AND(Inputs!$B$38&lt;&gt;"pvp",Inputs!$B$43&gt;0),((Skills!G11*((R956-1)*IF(Skills!H11&gt;0,INT(Skills!I11/Skills!H11+0.000000001),1)+IF(Skills!H11&gt;0,INT(MIN(Skills!I11,MAX(0,MAX(0,Inputs!$B$43-B983)-((R956-1)*((IF(Inputs!$B$38="pvp",15,MAX(0.1,Skills!D11-IF(TRUE=TRUE,Inputs!$B$32,0)))*(1-IF(AND(ArtifactsInput!$M$27,Inputs!$B$4="Chapter Hunt"),CHOOSE(ArtifactsInput!$N$27+1,20,24,28,32,36,40),0)/100))/B987))))/Skills!H11+0.000000001),1)))/Inputs!$B$43),G956*Q956)))*N959)*IF(Inputs!$B$38="pvp",1,(1+(Inputs!$B$21+Skills!Q14+(IF(ArtifactsInput!$M$33,CHOOSE(ArtifactsInput!$N$33+1,30,36,42,48,54,60),0))+(IF(AND(ArtifactsInput!$M$35,Inputs!$B$4&lt;&gt;"Chapter Hunt"),CHOOSE(ArtifactsInput!$N$35+1,15,18,21,24,27,30)*(1-EXP(-(0.2*B978)*5)),0)+IF(AND(ArtifactsInput!$M$22,Inputs!$B$4&lt;&gt;"Chapter Hunt"),CHOOSE(ArtifactsInput!$N$22+1,10,12,14,16,18,20)*((0*(((0.15*B978*5))^0/1)+1*(((0.15*B978*5))^1/1)+2*(((0.15*B978*5))^2/2)+3*(((0.15*B978*5))^3/6)+4*(((0.15*B978*5))^4/24)+5*(((0.15*B978*5))^5/120))/((((0.15*B978*5))^0/1)+(((0.15*B978*5))^1/1)+(((0.15*B978*5))^2/2)+(((0.15*B978*5))^3/6)+(((0.15*B978*5))^4/24)+(((0.15*B978*5))^5/120))),0))+IF(Inputs!$B$3&gt;=54,9*(C948=TRUE)*MIN(1,8*(1+Inputs!$B$34/100)*Q948),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60">
      <c r="A960">
        <f>Skills!A15</f>
        <v/>
      </c>
      <c r="B960">
        <f>Skills!B15</f>
        <v/>
      </c>
      <c r="C960">
        <f>Inputs!$B$3&gt;=100</f>
        <v/>
      </c>
      <c r="D960">
        <f>IF(Skills!C15=1,60+Inputs!$B$25+Inputs!$B$29,IF(Skills!C15=2,90+Inputs!$B$26+Inputs!$B$29,IF(Skills!C15=3,120+Inputs!$B$27+Inputs!$B$29,MAX(0,(Inputs!$B$3-100)*3)+(Inputs!$B$28+1)+Inputs!$B$29)))</f>
        <v/>
      </c>
      <c r="E960">
        <f>INDEX(FactorTable!$B$2:$Y$301, MATCH(ROUND(MIN(300,MAX(1,D960)),0), FactorTable!$A$2:$A$301,0), Skills!M15+1)</f>
        <v/>
      </c>
      <c r="F960">
        <f>IF(Skills!N15=TRUE,(Skills!L15/10)*(E960/1000),Skills!L15/10)+Skills!O15</f>
        <v/>
      </c>
      <c r="G960" t="inlineStr"/>
      <c r="H960" t="inlineStr"/>
      <c r="I960" t="inlineStr">
        <is>
          <t>1</t>
        </is>
      </c>
      <c r="J960" t="inlineStr"/>
      <c r="K960" t="inlineStr"/>
      <c r="L960" t="inlineStr"/>
      <c r="M960" t="inlineStr"/>
      <c r="N960" t="inlineStr"/>
      <c r="O960" t="inlineStr"/>
      <c r="P960" t="inlineStr"/>
      <c r="Q960" t="inlineStr"/>
      <c r="R960" t="inlineStr"/>
      <c r="S960" t="inlineStr"/>
    </row>
    <row r="961">
      <c r="A961">
        <f>Skills!A16</f>
        <v/>
      </c>
      <c r="B961">
        <f>Skills!B16</f>
        <v/>
      </c>
      <c r="C961">
        <f>Inputs!$B$3&gt;=107</f>
        <v/>
      </c>
      <c r="D961">
        <f>IF(Skills!C16=1,60+Inputs!$B$25+Inputs!$B$29,IF(Skills!C16=2,90+Inputs!$B$26+Inputs!$B$29,IF(Skills!C16=3,120+Inputs!$B$27+Inputs!$B$29,MAX(0,(Inputs!$B$3-100)*3)+(Inputs!$B$28+1)+Inputs!$B$29)))</f>
        <v/>
      </c>
      <c r="E961">
        <f>INDEX(FactorTable!$B$2:$Y$301, MATCH(ROUND(MIN(300,MAX(1,D961)),0), FactorTable!$A$2:$A$301,0), Skills!M16+1)</f>
        <v/>
      </c>
      <c r="F961">
        <f>IF(Skills!N16=TRUE,(Skills!L16/10)*(E961/1000),Skills!L16/10)+Skills!O16</f>
        <v/>
      </c>
      <c r="G961" t="inlineStr"/>
      <c r="H961" t="inlineStr"/>
      <c r="I961" t="inlineStr">
        <is>
          <t>1</t>
        </is>
      </c>
      <c r="J961" t="inlineStr"/>
      <c r="K961" t="inlineStr"/>
      <c r="L961" t="inlineStr"/>
      <c r="M961" t="inlineStr"/>
      <c r="N961" t="inlineStr"/>
      <c r="O961" t="inlineStr"/>
      <c r="P961" t="inlineStr"/>
      <c r="Q961" t="inlineStr"/>
      <c r="R961" t="inlineStr"/>
      <c r="S961" t="inlineStr"/>
    </row>
    <row r="962">
      <c r="A962">
        <f>Skills!A17</f>
        <v/>
      </c>
      <c r="B962">
        <f>Skills!B17</f>
        <v/>
      </c>
      <c r="C962">
        <f>Inputs!$B$3&gt;=74</f>
        <v/>
      </c>
      <c r="D962">
        <f>IF(Skills!C17=1,60+Inputs!$B$25+Inputs!$B$29,IF(Skills!C17=2,90+Inputs!$B$26+Inputs!$B$29,IF(Skills!C17=3,120+Inputs!$B$27+Inputs!$B$29,MAX(0,(Inputs!$B$3-100)*3)+(Inputs!$B$28+1)+Inputs!$B$29)))</f>
        <v/>
      </c>
      <c r="E962">
        <f>INDEX(FactorTable!$B$2:$Y$301, MATCH(ROUND(MIN(300,MAX(1,D962)),0), FactorTable!$A$2:$A$301,0), Skills!M17+1)</f>
        <v/>
      </c>
      <c r="F962">
        <f>IF(Skills!N17=TRUE,(Skills!L17/10)*(E962/1000),Skills!L17/10)+Skills!O17</f>
        <v/>
      </c>
      <c r="G962">
        <f>Skills!G17*IF(Skills!H17&gt;0,INT(IF(Inputs!$B$38="pvp",MIN(Skills!I17,15),Skills!I17)/Skills!H17+0.000000001),1)</f>
        <v/>
      </c>
      <c r="H962">
        <f>1-(1-Skills!J17/100)^Skills!K17</f>
        <v/>
      </c>
      <c r="I962" t="inlineStr">
        <is>
          <t>1</t>
        </is>
      </c>
      <c r="J962" t="inlineStr"/>
      <c r="K962" t="inlineStr"/>
      <c r="L962" t="inlineStr"/>
      <c r="M962" t="inlineStr"/>
      <c r="N962" t="inlineStr"/>
      <c r="O962">
        <f>(1-Summary!$B$11)*T962+Summary!$B$11*V962</f>
        <v/>
      </c>
      <c r="P962">
        <f>IF(B986=0,0,O962/B986)</f>
        <v/>
      </c>
      <c r="Q962" t="n">
        <v>0</v>
      </c>
      <c r="R962" t="n">
        <v>0</v>
      </c>
      <c r="S962">
        <f>IFERROR(O962/N962,0)</f>
        <v/>
      </c>
      <c r="T962" t="n">
        <v>0</v>
      </c>
      <c r="V962" t="n">
        <v>0</v>
      </c>
    </row>
    <row r="963">
      <c r="A963">
        <f>Skills!A18</f>
        <v/>
      </c>
      <c r="B963">
        <f>Skills!B18</f>
        <v/>
      </c>
      <c r="C963">
        <f>Inputs!$B$3&gt;=115</f>
        <v/>
      </c>
      <c r="D963">
        <f>IF(Skills!C18=1,60+Inputs!$B$25+Inputs!$B$29,IF(Skills!C18=2,90+Inputs!$B$26+Inputs!$B$29,IF(Skills!C18=3,120+Inputs!$B$27+Inputs!$B$29,MAX(0,(Inputs!$B$3-100)*3)+(Inputs!$B$28+1)+Inputs!$B$29)))</f>
        <v/>
      </c>
      <c r="E963">
        <f>INDEX(FactorTable!$B$2:$Y$301, MATCH(ROUND(MIN(300,MAX(1,D963)),0), FactorTable!$A$2:$A$301,0), Skills!M18+1)</f>
        <v/>
      </c>
      <c r="F963">
        <f>IF(Skills!N18=TRUE,(Skills!L18/10)*(E963/1000),Skills!L18/10)+Skills!O18</f>
        <v/>
      </c>
      <c r="G963">
        <f>Skills!G18*IF(Skills!H18&gt;0,INT(IF(Inputs!$B$38="pvp",MIN(Skills!I18,15),Skills!I18)/Skills!H18+0.000000001),1)</f>
        <v/>
      </c>
      <c r="H963">
        <f>1-(1-Skills!J18/100)^Skills!K18</f>
        <v/>
      </c>
      <c r="I963" t="inlineStr">
        <is>
          <t>1</t>
        </is>
      </c>
      <c r="J963" t="inlineStr"/>
      <c r="K963" t="inlineStr"/>
      <c r="L963" t="inlineStr"/>
      <c r="M963" t="inlineStr"/>
      <c r="N963" t="inlineStr"/>
      <c r="O963">
        <f>(1-Summary!$B$11)*T963+Summary!$B$11*V963</f>
        <v/>
      </c>
      <c r="P963">
        <f>IF(B986=0,0,O963/B986)</f>
        <v/>
      </c>
      <c r="Q963">
        <f>IFERROR(1/(IF(Inputs!$B$38="pvp",15,MAX(0.1,Skills!D18-IF(TRUE=TRUE,Inputs!$B$32,0)))*(1-IF(AND(ArtifactsInput!$M$27,Inputs!$B$4="Chapter Hunt"),CHOOSE(ArtifactsInput!$N$27+1,20,24,28,32,36,40),0)/100)),0)</f>
        <v/>
      </c>
      <c r="R963">
        <f>IF(AND(Inputs!$B$38&lt;&gt;"pvp",Inputs!$B$43&gt;0),IF(Inputs!$B$43&lt;=0,0,(INT(Inputs!$B$43/(IF(Inputs!$B$38="pvp",15,MAX(0.1,Skills!D18-IF(TRUE=TRUE,Inputs!$B$32,0)))*(1-IF(AND(ArtifactsInput!$M$27,Inputs!$B$4="Chapter Hunt"),CHOOSE(ArtifactsInput!$N$27+1,20,24,28,32,36,40),0)/100)))+1)),0)</f>
        <v/>
      </c>
      <c r="S963">
        <f>IFERROR(O963/N963,0)</f>
        <v/>
      </c>
      <c r="T963" t="n">
        <v>0</v>
      </c>
      <c r="V963" t="n">
        <v>0</v>
      </c>
    </row>
    <row r="964">
      <c r="A964">
        <f>Skills!A19</f>
        <v/>
      </c>
      <c r="B964">
        <f>Skills!B19</f>
        <v/>
      </c>
      <c r="C964">
        <f>Inputs!$B$3&gt;=10</f>
        <v/>
      </c>
      <c r="D964">
        <f>IF(Skills!C19=1,60+Inputs!$B$25+Inputs!$B$29,IF(Skills!C19=2,90+Inputs!$B$26+Inputs!$B$29,IF(Skills!C19=3,120+Inputs!$B$27+Inputs!$B$29,MAX(0,(Inputs!$B$3-100)*3)+(Inputs!$B$28+1)+Inputs!$B$29)))</f>
        <v/>
      </c>
      <c r="E964">
        <f>INDEX(FactorTable!$B$2:$Y$301, MATCH(ROUND(MIN(300,MAX(1,D964)),0), FactorTable!$A$2:$A$301,0), Skills!M19+1)</f>
        <v/>
      </c>
      <c r="F964">
        <f>IF(Skills!N19=TRUE,(Skills!L19/10)*(E964/1000),Skills!L19/10)+Skills!O19</f>
        <v/>
      </c>
      <c r="G964">
        <f>Skills!G19*IF(Skills!H19&gt;0,INT(IF(Inputs!$B$38="pvp",MIN(Skills!I19,15),Skills!I19)/Skills!H19+0.000000001),1)</f>
        <v/>
      </c>
      <c r="H964">
        <f>1-(1-Skills!J19/100)^Skills!K19</f>
        <v/>
      </c>
      <c r="I964" t="inlineStr">
        <is>
          <t>1</t>
        </is>
      </c>
      <c r="J964" t="inlineStr"/>
      <c r="K964" t="inlineStr"/>
      <c r="L964" t="inlineStr"/>
      <c r="M964" t="inlineStr"/>
      <c r="N964" t="inlineStr"/>
      <c r="O964">
        <f>(1-Summary!$B$11)*T964+Summary!$B$11*V964</f>
        <v/>
      </c>
      <c r="P964">
        <f>IF(B986=0,0,O964/B986)</f>
        <v/>
      </c>
      <c r="Q964" t="n">
        <v>0</v>
      </c>
      <c r="R964" t="n">
        <v>0</v>
      </c>
      <c r="S964">
        <f>IFERROR(O964/N964,0)</f>
        <v/>
      </c>
      <c r="T964" t="n">
        <v>0</v>
      </c>
      <c r="V964" t="n">
        <v>0</v>
      </c>
    </row>
    <row r="965">
      <c r="A965">
        <f>Skills!A20</f>
        <v/>
      </c>
      <c r="B965">
        <f>Skills!B20</f>
        <v/>
      </c>
      <c r="C965">
        <f>Inputs!$B$3&gt;=15</f>
        <v/>
      </c>
      <c r="D965">
        <f>IF(Skills!C20=1,60+Inputs!$B$25+Inputs!$B$29,IF(Skills!C20=2,90+Inputs!$B$26+Inputs!$B$29,IF(Skills!C20=3,120+Inputs!$B$27+Inputs!$B$29,MAX(0,(Inputs!$B$3-100)*3)+(Inputs!$B$28+1)+Inputs!$B$29)))</f>
        <v/>
      </c>
      <c r="E965">
        <f>INDEX(FactorTable!$B$2:$Y$301, MATCH(ROUND(MIN(300,MAX(1,D965)),0), FactorTable!$A$2:$A$301,0), Skills!M20+1)</f>
        <v/>
      </c>
      <c r="F965">
        <f>IF(Skills!N20=TRUE,(Skills!L20/10)*(E965/1000),Skills!L20/10)+Skills!O20</f>
        <v/>
      </c>
      <c r="G965">
        <f>Skills!G20*IF(Skills!H20&gt;0,INT(IF(Inputs!$B$38="pvp",MIN(Skills!I20,15),Skills!I20)/Skills!H20+0.000000001),1)</f>
        <v/>
      </c>
      <c r="H965">
        <f>1-(1-Skills!J20/100)^Skills!K20</f>
        <v/>
      </c>
      <c r="I965" t="inlineStr">
        <is>
          <t>1</t>
        </is>
      </c>
      <c r="J965" t="inlineStr"/>
      <c r="K965" t="inlineStr"/>
      <c r="L965" t="inlineStr"/>
      <c r="M965" t="inlineStr"/>
      <c r="N965" t="inlineStr"/>
      <c r="O965">
        <f>(1-Summary!$B$11)*T965+Summary!$B$11*V965</f>
        <v/>
      </c>
      <c r="P965">
        <f>IF(B986=0,0,O965/B986)</f>
        <v/>
      </c>
      <c r="Q965" t="n">
        <v>0</v>
      </c>
      <c r="R965" t="n">
        <v>0</v>
      </c>
      <c r="S965">
        <f>IFERROR(O965/N965,0)</f>
        <v/>
      </c>
      <c r="T965" t="n">
        <v>0</v>
      </c>
      <c r="V965" t="n">
        <v>0</v>
      </c>
    </row>
    <row r="966">
      <c r="A966">
        <f>Skills!A21</f>
        <v/>
      </c>
      <c r="B966">
        <f>Skills!B21</f>
        <v/>
      </c>
      <c r="C966">
        <f>Inputs!$B$3&gt;=40</f>
        <v/>
      </c>
      <c r="D966">
        <f>IF(Skills!C21=1,60+Inputs!$B$25+Inputs!$B$29,IF(Skills!C21=2,90+Inputs!$B$26+Inputs!$B$29,IF(Skills!C21=3,120+Inputs!$B$27+Inputs!$B$29,MAX(0,(Inputs!$B$3-100)*3)+(Inputs!$B$28+1)+Inputs!$B$29)))</f>
        <v/>
      </c>
      <c r="E966">
        <f>INDEX(FactorTable!$B$2:$Y$301, MATCH(ROUND(MIN(300,MAX(1,D966)),0), FactorTable!$A$2:$A$301,0), Skills!M21+1)</f>
        <v/>
      </c>
      <c r="F966">
        <f>IF(Skills!N21=TRUE,(Skills!L21/10)*(E966/1000),Skills!L21/10)+Skills!O21</f>
        <v/>
      </c>
      <c r="G966">
        <f>Skills!G21*IF(Skills!H21&gt;0,INT(IF(Inputs!$B$38="pvp",MIN(Skills!I21,15),Skills!I21)/Skills!H21+0.000000001),1)</f>
        <v/>
      </c>
      <c r="H966">
        <f>1-(1-Skills!J21/100)^Skills!K21</f>
        <v/>
      </c>
      <c r="I966" t="inlineStr">
        <is>
          <t>1</t>
        </is>
      </c>
      <c r="J966" t="inlineStr"/>
      <c r="K966" t="inlineStr"/>
      <c r="L966" t="inlineStr"/>
      <c r="M966" t="inlineStr"/>
      <c r="N966" t="inlineStr"/>
      <c r="O966">
        <f>(1-Summary!$B$11)*T966+Summary!$B$11*V966</f>
        <v/>
      </c>
      <c r="P966">
        <f>IF(B986=0,0,O966/B986)</f>
        <v/>
      </c>
      <c r="Q966" t="n">
        <v>0</v>
      </c>
      <c r="R966" t="n">
        <v>0</v>
      </c>
      <c r="S966">
        <f>IFERROR(O966/N966,0)</f>
        <v/>
      </c>
      <c r="T966" t="n">
        <v>0</v>
      </c>
      <c r="V966" t="n">
        <v>0</v>
      </c>
    </row>
    <row r="967">
      <c r="A967">
        <f>Skills!A22</f>
        <v/>
      </c>
      <c r="B967">
        <f>Skills!B22</f>
        <v/>
      </c>
      <c r="C967">
        <f>Inputs!$B$3&gt;=43</f>
        <v/>
      </c>
      <c r="D967">
        <f>IF(Skills!C22=1,60+Inputs!$B$25+Inputs!$B$29,IF(Skills!C22=2,90+Inputs!$B$26+Inputs!$B$29,IF(Skills!C22=3,120+Inputs!$B$27+Inputs!$B$29,MAX(0,(Inputs!$B$3-100)*3)+(Inputs!$B$28+1)+Inputs!$B$29)))</f>
        <v/>
      </c>
      <c r="E967">
        <f>INDEX(FactorTable!$B$2:$Y$301, MATCH(ROUND(MIN(300,MAX(1,D967)),0), FactorTable!$A$2:$A$301,0), Skills!M22+1)</f>
        <v/>
      </c>
      <c r="F967">
        <f>IF(Skills!N22=TRUE,(Skills!L22/10)*(E967/1000),Skills!L22/10)+Skills!O22</f>
        <v/>
      </c>
      <c r="G967">
        <f>Skills!G22*IF(Skills!H22&gt;0,INT(IF(Inputs!$B$38="pvp",MIN(Skills!I22,15),Skills!I22)/Skills!H22+0.000000001),1)</f>
        <v/>
      </c>
      <c r="H967">
        <f>1-(1-Skills!J22/100)^Skills!K22</f>
        <v/>
      </c>
      <c r="I967" t="inlineStr">
        <is>
          <t>1</t>
        </is>
      </c>
      <c r="J967" t="inlineStr"/>
      <c r="K967" t="inlineStr"/>
      <c r="L967" t="inlineStr"/>
      <c r="M967" t="inlineStr"/>
      <c r="N967" t="inlineStr"/>
      <c r="O967">
        <f>(1-Summary!$B$11)*T967+Summary!$B$11*V967</f>
        <v/>
      </c>
      <c r="P967">
        <f>IF(B986=0,0,O967/B986)</f>
        <v/>
      </c>
      <c r="Q967" t="n">
        <v>0</v>
      </c>
      <c r="R967" t="n">
        <v>0</v>
      </c>
      <c r="S967">
        <f>IFERROR(O967/N967,0)</f>
        <v/>
      </c>
      <c r="T967" t="n">
        <v>0</v>
      </c>
      <c r="V967" t="n">
        <v>0</v>
      </c>
    </row>
    <row r="968">
      <c r="A968">
        <f>Skills!A23</f>
        <v/>
      </c>
      <c r="B968">
        <f>Skills!B23</f>
        <v/>
      </c>
      <c r="C968">
        <f>Inputs!$B$3&gt;=38</f>
        <v/>
      </c>
      <c r="D968">
        <f>IF(Skills!C23=1,60+Inputs!$B$25+Inputs!$B$29,IF(Skills!C23=2,90+Inputs!$B$26+Inputs!$B$29,IF(Skills!C23=3,120+Inputs!$B$27+Inputs!$B$29,MAX(0,(Inputs!$B$3-100)*3)+(Inputs!$B$28+1)+Inputs!$B$29)))</f>
        <v/>
      </c>
      <c r="E968">
        <f>INDEX(FactorTable!$B$2:$Y$301, MATCH(ROUND(MIN(300,MAX(1,D968)),0), FactorTable!$A$2:$A$301,0), Skills!M23+1)</f>
        <v/>
      </c>
      <c r="F968">
        <f>IF(Skills!N23=TRUE,(Skills!L23/10)*(E968/1000),Skills!L23/10)+Skills!O23</f>
        <v/>
      </c>
      <c r="G968">
        <f>Skills!G23*IF(Skills!H23&gt;0,INT(IF(Inputs!$B$38="pvp",MIN(Skills!I23,15),Skills!I23)/Skills!H23+0.000000001),1)</f>
        <v/>
      </c>
      <c r="H968">
        <f>1-(1-Skills!J23/100)^Skills!K23</f>
        <v/>
      </c>
      <c r="I968" t="inlineStr">
        <is>
          <t>1</t>
        </is>
      </c>
      <c r="J968" t="inlineStr"/>
      <c r="K968" t="inlineStr"/>
      <c r="L968" t="inlineStr"/>
      <c r="M968" t="inlineStr"/>
      <c r="N968" t="inlineStr"/>
      <c r="O968">
        <f>(1-Summary!$B$11)*T968+Summary!$B$11*V968</f>
        <v/>
      </c>
      <c r="P968">
        <f>IF(B986=0,0,O968/B986)</f>
        <v/>
      </c>
      <c r="Q968" t="n">
        <v>0</v>
      </c>
      <c r="R968" t="n">
        <v>0</v>
      </c>
      <c r="S968">
        <f>IFERROR(O968/N968,0)</f>
        <v/>
      </c>
      <c r="T968" t="n">
        <v>0</v>
      </c>
      <c r="V968" t="n">
        <v>0</v>
      </c>
    </row>
    <row r="969">
      <c r="A969">
        <f>Skills!A24</f>
        <v/>
      </c>
      <c r="B969">
        <f>Skills!B24</f>
        <v/>
      </c>
      <c r="C969">
        <f>Inputs!$B$3&gt;=45</f>
        <v/>
      </c>
      <c r="D969">
        <f>IF(Skills!C24=1,60+Inputs!$B$25+Inputs!$B$29,IF(Skills!C24=2,90+Inputs!$B$26+Inputs!$B$29,IF(Skills!C24=3,120+Inputs!$B$27+Inputs!$B$29,MAX(0,(Inputs!$B$3-100)*3)+(Inputs!$B$28+1)+Inputs!$B$29)))</f>
        <v/>
      </c>
      <c r="E969">
        <f>INDEX(FactorTable!$B$2:$Y$301, MATCH(ROUND(MIN(300,MAX(1,D969)),0), FactorTable!$A$2:$A$301,0), Skills!M24+1)</f>
        <v/>
      </c>
      <c r="F969">
        <f>IF(Skills!N24=TRUE,(Skills!L24/10)*(E969/1000),Skills!L24/10)+Skills!O24</f>
        <v/>
      </c>
      <c r="G969">
        <f>Skills!G24*IF(Skills!H24&gt;0,INT(IF(Inputs!$B$38="pvp",MIN(Skills!I24,15),Skills!I24)/Skills!H24+0.000000001),1)</f>
        <v/>
      </c>
      <c r="H969">
        <f>1-(1-Skills!J24/100)^Skills!K24</f>
        <v/>
      </c>
      <c r="I969" t="inlineStr">
        <is>
          <t>1</t>
        </is>
      </c>
      <c r="J969" t="inlineStr"/>
      <c r="K969" t="inlineStr"/>
      <c r="L969" t="inlineStr"/>
      <c r="M969" t="inlineStr"/>
      <c r="N969" t="inlineStr"/>
      <c r="O969">
        <f>(1-Summary!$B$11)*T969+Summary!$B$11*V969</f>
        <v/>
      </c>
      <c r="P969">
        <f>IF(B986=0,0,O969/B986)</f>
        <v/>
      </c>
      <c r="Q969" t="n">
        <v>0</v>
      </c>
      <c r="R969" t="n">
        <v>0</v>
      </c>
      <c r="S969">
        <f>IFERROR(O969/N969,0)</f>
        <v/>
      </c>
      <c r="T969" t="n">
        <v>0</v>
      </c>
      <c r="V969" t="n">
        <v>0</v>
      </c>
    </row>
    <row r="970">
      <c r="A970">
        <f>Skills!A25</f>
        <v/>
      </c>
      <c r="B970">
        <f>Skills!B25</f>
        <v/>
      </c>
      <c r="C970">
        <f>Inputs!$B$3&gt;=72</f>
        <v/>
      </c>
      <c r="D970">
        <f>IF(Skills!C25=1,60+Inputs!$B$25+Inputs!$B$29,IF(Skills!C25=2,90+Inputs!$B$26+Inputs!$B$29,IF(Skills!C25=3,120+Inputs!$B$27+Inputs!$B$29,MAX(0,(Inputs!$B$3-100)*3)+(Inputs!$B$28+1)+Inputs!$B$29)))</f>
        <v/>
      </c>
      <c r="E970">
        <f>INDEX(FactorTable!$B$2:$Y$301, MATCH(ROUND(MIN(300,MAX(1,D970)),0), FactorTable!$A$2:$A$301,0), Skills!M25+1)</f>
        <v/>
      </c>
      <c r="F970">
        <f>IF(Skills!N25=TRUE,(Skills!L25/10)*(E970/1000),Skills!L25/10)+Skills!O25</f>
        <v/>
      </c>
      <c r="G970">
        <f>Skills!G25*IF(Skills!H25&gt;0,INT(IF(Inputs!$B$38="pvp",MIN(Skills!I25,15),Skills!I25)/Skills!H25+0.000000001),1)</f>
        <v/>
      </c>
      <c r="H970">
        <f>1-(1-Skills!J25/100)^Skills!K25</f>
        <v/>
      </c>
      <c r="I970" t="inlineStr">
        <is>
          <t>1</t>
        </is>
      </c>
      <c r="J970" t="inlineStr"/>
      <c r="K970" t="inlineStr"/>
      <c r="L970" t="inlineStr"/>
      <c r="M970" t="inlineStr"/>
      <c r="N970" t="inlineStr"/>
      <c r="O970">
        <f>(1-Summary!$B$11)*T970+Summary!$B$11*V970</f>
        <v/>
      </c>
      <c r="P970">
        <f>IF(B986=0,0,O970/B986)</f>
        <v/>
      </c>
      <c r="Q970" t="n">
        <v>0</v>
      </c>
      <c r="R970" t="n">
        <v>0</v>
      </c>
      <c r="S970">
        <f>IFERROR(O970/N970,0)</f>
        <v/>
      </c>
      <c r="T970" t="n">
        <v>0</v>
      </c>
      <c r="V970" t="n">
        <v>0</v>
      </c>
    </row>
    <row r="971">
      <c r="A971">
        <f>Skills!A26</f>
        <v/>
      </c>
      <c r="B971">
        <f>Skills!B26</f>
        <v/>
      </c>
      <c r="C971">
        <f>Inputs!$B$3&gt;=75</f>
        <v/>
      </c>
      <c r="D971">
        <f>IF(Skills!C26=1,60+Inputs!$B$25+Inputs!$B$29,IF(Skills!C26=2,90+Inputs!$B$26+Inputs!$B$29,IF(Skills!C26=3,120+Inputs!$B$27+Inputs!$B$29,MAX(0,(Inputs!$B$3-100)*3)+(Inputs!$B$28+1)+Inputs!$B$29)))</f>
        <v/>
      </c>
      <c r="E971">
        <f>INDEX(FactorTable!$B$2:$Y$301, MATCH(ROUND(MIN(300,MAX(1,D971)),0), FactorTable!$A$2:$A$301,0), Skills!M26+1)</f>
        <v/>
      </c>
      <c r="F971">
        <f>IF(Skills!N26=TRUE,(Skills!L26/10)*(E971/1000),Skills!L26/10)+Skills!O26</f>
        <v/>
      </c>
      <c r="G971">
        <f>Skills!G26*IF(Skills!H26&gt;0,INT(IF(Inputs!$B$38="pvp",MIN(Skills!I26,15),Skills!I26)/Skills!H26+0.000000001),1)</f>
        <v/>
      </c>
      <c r="H971">
        <f>1-(1-Skills!J26/100)^Skills!K26</f>
        <v/>
      </c>
      <c r="I971" t="inlineStr">
        <is>
          <t>1</t>
        </is>
      </c>
      <c r="J971" t="inlineStr"/>
      <c r="K971" t="inlineStr"/>
      <c r="L971" t="inlineStr"/>
      <c r="M971" t="inlineStr"/>
      <c r="N971" t="inlineStr"/>
      <c r="O971">
        <f>(1-Summary!$B$11)*T971+Summary!$B$11*V971</f>
        <v/>
      </c>
      <c r="P971">
        <f>IF(B986=0,0,O971/B986)</f>
        <v/>
      </c>
      <c r="Q971" t="n">
        <v>0</v>
      </c>
      <c r="R971" t="n">
        <v>0</v>
      </c>
      <c r="S971">
        <f>IFERROR(O971/N971,0)</f>
        <v/>
      </c>
      <c r="T971" t="n">
        <v>0</v>
      </c>
      <c r="V971" t="n">
        <v>0</v>
      </c>
    </row>
    <row r="972">
      <c r="A972">
        <f>Skills!A27</f>
        <v/>
      </c>
      <c r="B972">
        <f>Skills!B27</f>
        <v/>
      </c>
      <c r="C972">
        <f>Inputs!$B$3&gt;=125</f>
        <v/>
      </c>
      <c r="D972">
        <f>IF(Skills!C27=1,60+Inputs!$B$25+Inputs!$B$29,IF(Skills!C27=2,90+Inputs!$B$26+Inputs!$B$29,IF(Skills!C27=3,120+Inputs!$B$27+Inputs!$B$29,MAX(0,(Inputs!$B$3-100)*3)+(Inputs!$B$28+1)+Inputs!$B$29)))</f>
        <v/>
      </c>
      <c r="E972">
        <f>INDEX(FactorTable!$B$2:$Y$301, MATCH(ROUND(MIN(300,MAX(1,D972)),0), FactorTable!$A$2:$A$301,0), Skills!M27+1)</f>
        <v/>
      </c>
      <c r="F972">
        <f>IF(Skills!N27=TRUE,(Skills!L27/10)*(E972/1000),Skills!L27/10)+Skills!O27</f>
        <v/>
      </c>
      <c r="G972">
        <f>Skills!G27*IF(Skills!H27&gt;0,INT(IF(Inputs!$B$38="pvp",MIN(Skills!I27,15),Skills!I27)/Skills!H27+0.000000001),1)</f>
        <v/>
      </c>
      <c r="H972">
        <f>1-(1-Skills!J27/100)^Skills!K27</f>
        <v/>
      </c>
      <c r="I972" t="inlineStr">
        <is>
          <t>1</t>
        </is>
      </c>
      <c r="J972" t="inlineStr"/>
      <c r="K972" t="inlineStr"/>
      <c r="L972" t="inlineStr"/>
      <c r="M972" t="inlineStr"/>
      <c r="N972" t="inlineStr"/>
      <c r="O972">
        <f>(1-Summary!$B$11)*T972+Summary!$B$11*V972</f>
        <v/>
      </c>
      <c r="P972">
        <f>IF(B986=0,0,O972/B986)</f>
        <v/>
      </c>
      <c r="Q972" t="n">
        <v>0</v>
      </c>
      <c r="R972" t="n">
        <v>0</v>
      </c>
      <c r="S972">
        <f>IFERROR(O972/N972,0)</f>
        <v/>
      </c>
      <c r="T972" t="n">
        <v>0</v>
      </c>
      <c r="V972" t="n">
        <v>0</v>
      </c>
    </row>
    <row r="973">
      <c r="A973">
        <f>Skills!A28</f>
        <v/>
      </c>
      <c r="B973">
        <f>Skills!B28</f>
        <v/>
      </c>
      <c r="C973">
        <f>TRUE</f>
        <v/>
      </c>
      <c r="D973">
        <f>IF(Skills!C28=1,60+Inputs!$B$25+Inputs!$B$29,IF(Skills!C28=2,90+Inputs!$B$26+Inputs!$B$29,IF(Skills!C28=3,120+Inputs!$B$27+Inputs!$B$29,MAX(0,(Inputs!$B$3-100)*3)+(Inputs!$B$28+1)+Inputs!$B$29)))</f>
        <v/>
      </c>
      <c r="E973">
        <f>INDEX(FactorTable!$B$2:$Y$301, MATCH(ROUND(MIN(300,MAX(1,D973)),0), FactorTable!$A$2:$A$301,0), Skills!M28+1)</f>
        <v/>
      </c>
      <c r="F973">
        <f>IF(Skills!N28=TRUE,(Skills!L28/10)*(E973/1000),Skills!L28/10)+Skills!O28</f>
        <v/>
      </c>
      <c r="G973">
        <f>Skills!G28*IF(Skills!H28&gt;0,INT(IF(Inputs!$B$38="pvp",MIN(Skills!I28,15),Skills!I28)/Skills!H28+0.000000001),1)</f>
        <v/>
      </c>
      <c r="H973">
        <f>1-(1-Skills!J28/100)^Skills!K28</f>
        <v/>
      </c>
      <c r="I973" t="inlineStr">
        <is>
          <t>1</t>
        </is>
      </c>
      <c r="J973" t="inlineStr"/>
      <c r="K973" t="inlineStr"/>
      <c r="L973" t="inlineStr"/>
      <c r="M973" t="inlineStr"/>
      <c r="N973" t="inlineStr"/>
      <c r="O973">
        <f>(1-Summary!$B$11)*T973+Summary!$B$11*V973</f>
        <v/>
      </c>
      <c r="P973">
        <f>IF(B986=0,0,O973/B986)</f>
        <v/>
      </c>
      <c r="Q973">
        <f>IFERROR(1/(IF(Inputs!$B$38="pvp",15,MAX(0.1,Skills!D28-IF(TRUE=TRUE,Inputs!$B$32,0)))*(1-IF(AND(ArtifactsInput!$M$27,Inputs!$B$4="Chapter Hunt"),CHOOSE(ArtifactsInput!$N$27+1,20,24,28,32,36,40),0)/100)),0)</f>
        <v/>
      </c>
      <c r="R973">
        <f>IF(AND(Inputs!$B$38&lt;&gt;"pvp",Inputs!$B$43&gt;0),IF(Inputs!$B$43&lt;=0,0,(INT(Inputs!$B$43/(IF(Inputs!$B$38="pvp",15,MAX(0.1,Skills!D28-IF(TRUE=TRUE,Inputs!$B$32,0)))*(1-IF(AND(ArtifactsInput!$M$27,Inputs!$B$4="Chapter Hunt"),CHOOSE(ArtifactsInput!$N$27+1,20,24,28,32,36,40),0)/100)))+1)),0)</f>
        <v/>
      </c>
      <c r="S973">
        <f>IFERROR(O973/N973,0)</f>
        <v/>
      </c>
      <c r="T973" t="n">
        <v>0</v>
      </c>
      <c r="V973" t="n">
        <v>0</v>
      </c>
    </row>
    <row r="975">
      <c r="A975" t="inlineStr">
        <is>
          <t>Attack% Bucket Multiplier</t>
        </is>
      </c>
      <c r="B975">
        <f>(1+(((C962=TRUE)*F962*5/7)+((C969=TRUE)*(F969-Calc!F24))+(IF(ArtifactsInput!$M$21,CHOOSE(ArtifactsInput!$N$21+1,25,30,35,40,45,50)*(IF(OR(Inputs!$B$4="Chapter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976">
      <c r="A976" t="inlineStr">
        <is>
          <t>Global Crit Rate Bonus %</t>
        </is>
      </c>
      <c r="B976" t="n">
        <v>0</v>
      </c>
    </row>
    <row r="977">
      <c r="A977" t="inlineStr">
        <is>
          <t>Attack Speed Buff Bonus % (Nimble Feet, duty-cycle averaged)</t>
        </is>
      </c>
      <c r="B977">
        <f>((C973=TRUE)*F973*IF(AND(Inputs!$B$38&lt;&gt;"pvp",Inputs!$B$43&gt;0),(((R973-1)*MIN((Skills!T28*(1+Inputs!$B$34/100)),(1/Q973))+MIN((Skills!T28*(1+Inputs!$B$34/100)),MAX(0,Inputs!$B$43-((R973-1)*(1/Q973)))))/Inputs!$B$43),IF(Inputs!$B$38="pvp",MIN((Skills!T28*(1+Inputs!$B$34/100)),15)/15,MIN(1,(Skills!T28*(1+Inputs!$B$34/100))/(1/Q973)))))</f>
        <v/>
      </c>
    </row>
    <row r="978">
      <c r="A978" t="inlineStr">
        <is>
          <t>Actions Per Second</t>
        </is>
      </c>
      <c r="B978">
        <f>1+MIN(150,150*(1-(1-(Inputs!$B$11+((C965=TRUE)*(F965-Calc!F20))+((C966=TRUE)*(F966-Calc!F21)))/150)*(1-B977/150)))/100</f>
        <v/>
      </c>
    </row>
    <row r="979">
      <c r="A979" t="inlineStr">
        <is>
          <t>Skill + Buff Cast Rate</t>
        </is>
      </c>
      <c r="B979">
        <f>IF(AND(Inputs!$B$38&lt;&gt;"pvp",Inputs!$B$43&gt;0),SUMPRODUCT((Skills!E2:E28=TRUE)*(C947:C973=TRUE)*R947:R973*Skills!F2:F28)/Inputs!$B$43,SUMPRODUCT((Skills!E2:E28=TRUE)*(C947:C973=TRUE)*Q947:Q973*Skills!F2:F28))</f>
        <v/>
      </c>
    </row>
    <row r="980">
      <c r="A980" t="inlineStr">
        <is>
          <t>Eight-Legs Easton Casts Per Second</t>
        </is>
      </c>
      <c r="B980">
        <f>MAX(0,B978-B979)</f>
        <v/>
      </c>
    </row>
    <row r="981">
      <c r="A981" t="inlineStr">
        <is>
          <t>Global Critical Damage Bonus % (unused)</t>
        </is>
      </c>
      <c r="B981" t="n">
        <v>0</v>
      </c>
    </row>
    <row r="982">
      <c r="A982" t="inlineStr">
        <is>
          <t>Global Final Damage Bonus % (Jolly Roger + Ahoy Mateys - Final Damage proc)</t>
        </is>
      </c>
      <c r="B982">
        <f>((C963=TRUE)*F963*IF(AND(Inputs!$B$38&lt;&gt;"pvp",Inputs!$B$43&gt;0),(((R963-1)*MIN((Skills!T18*(1+Inputs!$B$34/100)),(1/Q963))+MIN((Skills!T18*(1+Inputs!$B$34/100)),MAX(0,Inputs!$B$43-((R963-1)*(1/Q963)))))/Inputs!$B$43),IF(Inputs!$B$38="pvp",MIN((Skills!T18*(1+Inputs!$B$34/100)),15)/15,MIN(1,(Skills!T18*(1+Inputs!$B$34/100))/(1/Q963)))))+IF(Inputs!$B$3&gt;=122,20*IF(Inputs!$B$38="pvp",MIN((20*(1+Inputs!$B$34/100)),15)/15,MIN(1,(20*(1+Inputs!$B$34/100))/(1/Q949))),0)</f>
        <v/>
      </c>
    </row>
    <row r="983">
      <c r="A983" t="inlineStr">
        <is>
          <t>Buff-Casting Startup Delay (s, fixed-duration only)</t>
        </is>
      </c>
      <c r="B983">
        <f>IF(AND(Inputs!$B$38&lt;&gt;"pvp",Inputs!$B$43&gt;0),SUMPRODUCT((Skills!T2:T28&gt;0)*(Skills!E2:E28=TRUE)*(C947:C973=TRUE))/B978,0)</f>
        <v/>
      </c>
    </row>
    <row r="984">
      <c r="A984" t="inlineStr">
        <is>
          <t>Boss-Only Total DPS (this block's swept value)</t>
        </is>
      </c>
      <c r="B984">
        <f>SUM(T947:T973)</f>
        <v/>
      </c>
    </row>
    <row r="985">
      <c r="A985" t="inlineStr">
        <is>
          <t>Normal-Only Total DPS (this block's swept value)</t>
        </is>
      </c>
      <c r="B985">
        <f>SUM(V947:V973)</f>
        <v/>
      </c>
    </row>
    <row r="986">
      <c r="A986" s="6" t="inlineStr">
        <is>
          <t>TOTAL DPS</t>
        </is>
      </c>
      <c r="B986" s="6">
        <f>SUM(O947:O973)</f>
        <v/>
      </c>
    </row>
    <row r="987">
      <c r="A987" t="inlineStr">
        <is>
          <t>Quickdraw cooldown divisor (this block's own APS / Q)</t>
        </is>
      </c>
      <c r="B987">
        <f>IF(AND(C972=TRUE,Inputs!$B$38&lt;&gt;"pvp"),1+0.25*MAX(0,(B978-(((C948=TRUE)*Q948*1)+((C949=TRUE)*Q949*1)+((C951=TRUE)*Q951*1)+((C952=TRUE)*Q952*1)+((C954=TRUE)*Q954*1)+((C957=TRUE)*Q957*1)+((C963=TRUE)*Q963*1)+((C973=TRUE)*Q973*1))-((C953=TRUE)/(IF(Inputs!$B$38="pvp",15,MAX(0.1,Skills!D8-IF(TRUE=TRUE,Inputs!$B$32,0)))*(1-IF(AND(ArtifactsInput!$M$27,Inputs!$B$4="Chapter Hunt"),CHOOSE(ArtifactsInput!$N$27+1,20,24,28,32,36,40),0)/100))+(C956=TRUE)/(IF(Inputs!$B$38="pvp",15,MAX(0.1,Skills!D11-IF(TRUE=TRUE,Inputs!$B$32,0)))*(1-IF(AND(ArtifactsInput!$M$27,Inputs!$B$4="Chapter Hunt"),CHOOSE(ArtifactsInput!$N$27+1,20,24,28,32,36,40),0)/100))))/(1+0.25*((C953=TRUE)/(IF(Inputs!$B$38="pvp",15,MAX(0.1,Skills!D8-IF(TRUE=TRUE,Inputs!$B$32,0)))*(1-IF(AND(ArtifactsInput!$M$27,Inputs!$B$4="Chapter Hunt"),CHOOSE(ArtifactsInput!$N$27+1,20,24,28,32,36,40),0)/100))+(C956=TRUE)/(IF(Inputs!$B$38="pvp",15,MAX(0.1,Skills!D11-IF(TRUE=TRUE,Inputs!$B$32,0)))*(1-IF(AND(ArtifactsInput!$M$27,Inputs!$B$4="Chapter Hunt"),CHOOSE(ArtifactsInput!$N$27+1,20,24,28,32,36,40),0)/100))))),1)</f>
        <v/>
      </c>
    </row>
    <row r="988">
      <c r="A988" t="inlineStr">
        <is>
          <t>Nautilus Strike - Final Attack trigger rate (this block's own Q/R)</t>
        </is>
      </c>
      <c r="B988">
        <f>IF(AND(Inputs!$B$38&lt;&gt;"pvp",Inputs!$B$43&gt;0),(((C948=TRUE)*R948)+((C951=TRUE)*R951)+((C953=TRUE)*R953)+((C954=TRUE)*R954)+((C956=TRUE)*R956))/Inputs!$B$43,((C948=TRUE)*Q948)+((C951=TRUE)*Q951)+((C953=TRUE)*Q953)+((C954=TRUE)*Q954)+((C956=TRUE)*Q956))+B980</f>
        <v/>
      </c>
    </row>
    <row r="991">
      <c r="A991" s="6" t="inlineStr">
        <is>
          <t>Stat: Skill Level Bonus — All Skills</t>
        </is>
      </c>
    </row>
    <row r="992">
      <c r="A992" s="5" t="inlineStr">
        <is>
          <t>Key</t>
        </is>
      </c>
      <c r="B992" s="5" t="inlineStr">
        <is>
          <t>Name</t>
        </is>
      </c>
      <c r="C992" s="5" t="inlineStr">
        <is>
          <t>Unlocked</t>
        </is>
      </c>
      <c r="D992" s="5" t="inlineStr">
        <is>
          <t>InputLevel</t>
        </is>
      </c>
      <c r="E992" s="5" t="inlineStr">
        <is>
          <t>Factor</t>
        </is>
      </c>
      <c r="F992" s="5" t="inlineStr">
        <is>
          <t>CoefficientPercent</t>
        </is>
      </c>
      <c r="G992" s="5" t="inlineStr">
        <is>
          <t>EffectiveHits</t>
        </is>
      </c>
      <c r="H992" s="5" t="inlineStr">
        <is>
          <t>ProcProbability</t>
        </is>
      </c>
      <c r="I992" s="5" t="inlineStr">
        <is>
          <t>MapleHeroMultiplier</t>
        </is>
      </c>
      <c r="J992" s="5" t="inlineStr">
        <is>
          <t>BaseDamage</t>
        </is>
      </c>
      <c r="K992" s="5" t="inlineStr">
        <is>
          <t>BaseHitDamage</t>
        </is>
      </c>
      <c r="L992" s="5" t="inlineStr">
        <is>
          <t>NonCritAvg</t>
        </is>
      </c>
      <c r="M992" s="5" t="inlineStr">
        <is>
          <t>CritAvg</t>
        </is>
      </c>
      <c r="N992" s="5" t="inlineStr">
        <is>
          <t>ExpectedDamage(perHit)</t>
        </is>
      </c>
      <c r="O992" s="5" t="inlineStr">
        <is>
          <t>DPS</t>
        </is>
      </c>
      <c r="P992" s="5" t="inlineStr">
        <is>
          <t>% of Total</t>
        </is>
      </c>
      <c r="Q992" s="5" t="inlineStr">
        <is>
          <t>InvCooldown</t>
        </is>
      </c>
      <c r="R992" s="5" t="inlineStr">
        <is>
          <t>CastsInFight</t>
        </is>
      </c>
      <c r="S992" s="5" t="inlineStr">
        <is>
          <t>HitRate(perSec)</t>
        </is>
      </c>
      <c r="U992" t="inlineStr">
        <is>
          <t>helpers</t>
        </is>
      </c>
    </row>
    <row r="993">
      <c r="A993">
        <f>Skills!A2</f>
        <v/>
      </c>
      <c r="B993">
        <f>Skills!B2</f>
        <v/>
      </c>
      <c r="C993">
        <f>Inputs!$B$3&gt;=100</f>
        <v/>
      </c>
      <c r="D993" t="inlineStr"/>
      <c r="E993" t="inlineStr"/>
      <c r="F993">
        <f>U995+Skills!O2</f>
        <v/>
      </c>
      <c r="G993">
        <f>Skills!G2*IF(Skills!H2&gt;0,INT(IF(Inputs!$B$38="pvp",MIN(Skills!I2,15),Skills!I2)/Skills!H2+0.000000001),1)</f>
        <v/>
      </c>
      <c r="H993">
        <f>1-(1-Skills!J2/100)^Skills!K2</f>
        <v/>
      </c>
      <c r="I993" t="inlineStr">
        <is>
          <t>1</t>
        </is>
      </c>
      <c r="J993">
        <f>((Inputs!$B$6*(1+Inputs!$B$7/100))+(((Inputs!$B$12*(1+Inputs!$B$13/100))-(Inputs!$B$12*(1+Inputs!$B$13/100)))+0.25*(Inputs!$B$14-Inputs!$B$14))*(1+Inputs!$B$7/100))*(F993/100)</f>
        <v/>
      </c>
      <c r="K993">
        <f>J993*(1+((Inputs!$B$12*(1+Inputs!$B$13/100))*0.01+Inputs!$B$14*0.0025)/100)*(1+Inputs!$B$15/100)*(1+Inputs!$B$16/100)*(5000/(6000+Inputs!$B$42*(1-(100*(1-(1-(Inputs!$B$19+0)/100)*(1-CHOOSE(ArtifactsInput!$N$40+1,5,6,7,8,9,10)/100)^(ArtifactsInput!$M$40-ArtifactsInput!$M$40)))/100)))*(1+(Inputs!$B$24+((C1017=TRUE)*(F1017-Calc!F26))+B1028)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IGHT_LEGS_EASTON",Inputs!$B$17+((C1014=TRUE)*(F1014-Calc!F23))+((C1018=TRUE)*(F1018-Calc!F27))+((IF(AND(Inputs!$B$38&lt;&gt;"pvp",Inputs!$B$43=0),1,IF(IF(Inputs!$B$38="pvp",15,Inputs!$B$43)-(B1029)&lt;=0,1,MAX(0,IF(Inputs!$B$38="pvp",15,Inputs!$B$43)-MAX(5,B1029))/(IF(Inputs!$B$38="pvp",15,Inputs!$B$43)-(B1029))))*(IF(AND(ArtifactsInput!$M$42,((Inputs!$B$9+((C1010=TRUE)*(F1010-Calc!F19))+B1022+(ArtifactsInput!$M$24-ArtifactsInput!$M$24)*CHOOSE(ArtifactsInput!$N$24+1,10,12,14,16,18,20)+IF(ArtifactsInput!$M$10,CHOOSE(ArtifactsInput!$N$10+1,15,18,21,24,27,30)*(IF(Inputs!$B$38="pvp",MIN(15,15)/15,IF(AND(Inputs!$B$38&lt;&gt;"pvp",Inputs!$B$43&gt;0),MIN(15,Inputs!$B$43)/(Inputs!$B$43),0))),0)))&gt;=100),MIN(100,((Inputs!$B$9+((C1010=TRUE)*(F1010-Calc!F19))+B1022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1029)&lt;=0,1,MAX(0,IF(Inputs!$B$38="pvp",15,Inputs!$B$43)-MAX(5,B1029))/(IF(Inputs!$B$38="pvp",15,Inputs!$B$43)-(B1029))))*IF(AND(ArtifactsInput!$M$42,((Inputs!$B$9+((C1010=TRUE)*(F1010-Calc!F19))+B1022+(ArtifactsInput!$M$24-ArtifactsInput!$M$24)*CHOOSE(ArtifactsInput!$N$24+1,10,12,14,16,18,20)+IF(ArtifactsInput!$M$10,CHOOSE(ArtifactsInput!$N$10+1,15,18,21,24,27,30)*(IF(Inputs!$B$38="pvp",MIN(15,15)/15,IF(AND(Inputs!$B$38&lt;&gt;"pvp",Inputs!$B$43&gt;0),MIN(15,Inputs!$B$43)/(Inputs!$B$43),0))),0)))&gt;=100),CHOOSE(ArtifactsInput!$N$42+1,40,48,56,64,72,80),0))))/100)*((1+(((C1008=TRUE)*F1008*5/7)+((C1015=TRUE)*(F1015-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993)</f>
        <v/>
      </c>
      <c r="L993">
        <f>K993*(MIN(Inputs!$B$22+((C1013=TRUE)*(F1013-Calc!F22)),(Inputs!$B$23+0+(IF(ArtifactsInput!$M$15,CHOOSE(ArtifactsInput!$N$15+1,25,30,35,40,45,50)/100*(Inputs!$B$11-Inputs!$B$11),0))))/100+(Inputs!$B$23+0+(IF(ArtifactsInput!$M$15,CHOOSE(ArtifactsInput!$N$15+1,25,30,35,40,45,50)/100*(Inputs!$B$11-Inputs!$B$11),0)))/100)/2</f>
        <v/>
      </c>
      <c r="M993">
        <f>L993*(1+(Inputs!$B$10+((C1016=TRUE)*(F1016-Calc!F25))+B1027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93">
        <f>L993*(1-MIN((Inputs!$B$9+((C1010=TRUE)*(F1010-Calc!F19))+B1022+(ArtifactsInput!$M$24-ArtifactsInput!$M$24)*CHOOSE(ArtifactsInput!$N$24+1,10,12,14,16,18,20)+(IF(AND(Inputs!$B$38&lt;&gt;"pvp",Inputs!$B$43=0),1,IF(IF(Inputs!$B$38="pvp",15,Inputs!$B$43)-(B1029)&lt;=0,1,MAX(0,IF(Inputs!$B$38="pvp",15,Inputs!$B$43)-MAX(5,B1029))/(IF(Inputs!$B$38="pvp",15,Inputs!$B$43)-(B1029))))*IF(AND(ArtifactsInput!$M$42,((Inputs!$B$9+((C1010=TRUE)*(F1010-Calc!F19))+B1022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993*(MIN((Inputs!$B$9+((C1010=TRUE)*(F1010-Calc!F19))+B1022+(ArtifactsInput!$M$24-ArtifactsInput!$M$24)*CHOOSE(ArtifactsInput!$N$24+1,10,12,14,16,18,20)+(IF(AND(Inputs!$B$38&lt;&gt;"pvp",Inputs!$B$43=0),1,IF(IF(Inputs!$B$38="pvp",15,Inputs!$B$43)-(B1029)&lt;=0,1,MAX(0,IF(Inputs!$B$38="pvp",15,Inputs!$B$43)-MAX(5,B1029))/(IF(Inputs!$B$38="pvp",15,Inputs!$B$43)-(B1029))))*IF(AND(ArtifactsInput!$M$42,((Inputs!$B$9+((C1010=TRUE)*(F1010-Calc!F19))+B1022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93">
        <f>(1-Summary!$B$11)*T993+Summary!$B$11*V993</f>
        <v/>
      </c>
      <c r="P993">
        <f>IF(B1032=0,0,O993/B1032)</f>
        <v/>
      </c>
      <c r="Q993" t="n">
        <v>0</v>
      </c>
      <c r="R993" t="n">
        <v>0</v>
      </c>
      <c r="S993">
        <f>IFERROR(O993/N993,0)</f>
        <v/>
      </c>
      <c r="T993">
        <f>IF(C993,(Skills!G2*N993*B1026*(1+IF(C1018=TRUE,1/3,0)))*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Hunt"),CHOOSE(ArtifactsInput!$N$35+1,15,18,21,24,27,30)*(1-EXP(-(0.2*B1024)*5)),0)+IF(AND(ArtifactsInput!$M$22,Inputs!$B$4&lt;&gt;"Chapter Hunt"),CHOOSE(ArtifactsInput!$N$22+1,10,12,14,16,18,20)*((0*(((0.15*B1024*5))^0/1)+1*(((0.15*B1024*5))^1/1)+2*(((0.15*B1024*5))^2/2)+3*(((0.15*B1024*5))^3/6)+4*(((0.15*B1024*5))^4/24)+5*(((0.15*B1024*5))^5/120))/((((0.15*B1024*5))^0/1)+(((0.15*B1024*5))^1/1)+(((0.15*B1024*5))^2/2)+(((0.15*B1024*5))^3/6)+(((0.15*B1024*5))^4/24)+(((0.15*B1024*5))^5/120))),0))+IF(Inputs!$B$3&gt;=54,9*(C994=TRUE)*MIN(1,8*(1+Inputs!$B$34/100)*Q994)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993*(1-MIN(100,(Inputs!$B$9+((C1010=TRUE)*(F1010-Calc!F19))+B1022+(ArtifactsInput!$M$24-ArtifactsInput!$M$24)*CHOOSE(ArtifactsInput!$N$24+1,10,12,14,16,18,20)+(IF(AND(Inputs!$B$38&lt;&gt;"pvp",Inputs!$B$43=0),1,IF(IF(Inputs!$B$38="pvp",15,Inputs!$B$43)-(B1029)&lt;=0,1,MAX(0,IF(Inputs!$B$38="pvp",15,Inputs!$B$43)-MAX(5,B1029))/(IF(Inputs!$B$38="pvp",15,Inputs!$B$43)-(B1029))))*IF(AND(ArtifactsInput!$M$42,((Inputs!$B$9+((C1010=TRUE)*(F1010-Calc!F19))+B1022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993*(MIN(100,(Inputs!$B$9+((C1010=TRUE)*(F1010-Calc!F19))+B1022+(ArtifactsInput!$M$24-ArtifactsInput!$M$24)*CHOOSE(ArtifactsInput!$N$24+1,10,12,14,16,18,20)+(IF(AND(Inputs!$B$38&lt;&gt;"pvp",Inputs!$B$43=0),1,IF(IF(Inputs!$B$38="pvp",15,Inputs!$B$43)-(B1029)&lt;=0,1,MAX(0,IF(Inputs!$B$38="pvp",15,Inputs!$B$43)-MAX(5,B1029))/(IF(Inputs!$B$38="pvp",15,Inputs!$B$43)-(B1029))))*IF(AND(ArtifactsInput!$M$42,((Inputs!$B$9+((C1010=TRUE)*(F1010-Calc!F19))+B1022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993*(1-MIN(100,(Inputs!$B$9+((C1010=TRUE)*(F1010-Calc!F19))+B1022+(ArtifactsInput!$M$24-ArtifactsInput!$M$24)*CHOOSE(ArtifactsInput!$N$24+1,10,12,14,16,18,20)+(IF(AND(Inputs!$B$38&lt;&gt;"pvp",Inputs!$B$43=0),1,IF(IF(Inputs!$B$38="pvp",15,Inputs!$B$43)-(B1029)&lt;=0,1,MAX(0,IF(Inputs!$B$38="pvp",15,Inputs!$B$43)-MAX(5,B1029))/(IF(Inputs!$B$38="pvp",15,Inputs!$B$43)-(B1029))))*IF(AND(ArtifactsInput!$M$42,((Inputs!$B$9+((C1010=TRUE)*(F1010-Calc!F19))+B1022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993*(MIN(100,(Inputs!$B$9+((C1010=TRUE)*(F1010-Calc!F19))+B1022+(ArtifactsInput!$M$24-ArtifactsInput!$M$24)*CHOOSE(ArtifactsInput!$N$24+1,10,12,14,16,18,20)+(IF(AND(Inputs!$B$38&lt;&gt;"pvp",Inputs!$B$43=0),1,IF(IF(Inputs!$B$38="pvp",15,Inputs!$B$43)-(B1029)&lt;=0,1,MAX(0,IF(Inputs!$B$38="pvp",15,Inputs!$B$43)-MAX(5,B1029))/(IF(Inputs!$B$38="pvp",15,Inputs!$B$43)-(B1029))))*IF(AND(ArtifactsInput!$M$42,((Inputs!$B$9+((C1010=TRUE)*(F1010-Calc!F19))+B1022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993">
        <f>MAX(0,(Inputs!$B$3-100)*3)+Inputs!$B$28+(Inputs!$B$29+1)</f>
        <v/>
      </c>
      <c r="V993">
        <f>IF(C993,(Skills!G2*N993*B1026*(1+IF(C1018=TRUE,1/3,0)))*IF(Inputs!$B$38="pvp",1,(1+(Inputs!$B$21+Skills!Q2+(IF(ArtifactsInput!$M$33,CHOOSE(ArtifactsInput!$N$33+1,30,36,42,48,54,60),0))+(IF(AND(ArtifactsInput!$M$35,Inputs!$B$4&lt;&gt;"Chapter Hunt"),CHOOSE(ArtifactsInput!$N$35+1,15,18,21,24,27,30)*(1-EXP(-(0.2*B1024)*5)),0)+IF(AND(ArtifactsInput!$M$22,Inputs!$B$4&lt;&gt;"Chapter Hunt"),CHOOSE(ArtifactsInput!$N$22+1,10,12,14,16,18,20)*((0*(((0.15*B1024*5))^0/1)+1*(((0.15*B1024*5))^1/1)+2*(((0.15*B1024*5))^2/2)+3*(((0.15*B1024*5))^3/6)+4*(((0.15*B1024*5))^4/24)+5*(((0.15*B1024*5))^5/120))/((((0.15*B1024*5))^0/1)+(((0.15*B1024*5))^1/1)+(((0.15*B1024*5))^2/2)+(((0.15*B1024*5))^3/6)+(((0.15*B1024*5))^4/24)+(((0.15*B1024*5))^5/120))),0))+IF(Inputs!$B$3&gt;=54,9*(C994=TRUE)*MIN(1,8*(1+Inputs!$B$34/100)*Q994),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94">
      <c r="A994">
        <f>Skills!A3</f>
        <v/>
      </c>
      <c r="B994">
        <f>Skills!B3</f>
        <v/>
      </c>
      <c r="C994">
        <f>Inputs!$B$3&gt;=33</f>
        <v/>
      </c>
      <c r="D994">
        <f>IF(Skills!C3=1,60+Inputs!$B$25+(Inputs!$B$29+1),IF(Skills!C3=2,90+Inputs!$B$26+(Inputs!$B$29+1),IF(Skills!C3=3,120+Inputs!$B$27+(Inputs!$B$29+1),MAX(0,(Inputs!$B$3-100)*3)+Inputs!$B$28+(Inputs!$B$29+1))))</f>
        <v/>
      </c>
      <c r="E994">
        <f>INDEX(FactorTable!$B$2:$Y$301, MATCH(ROUND(MIN(300,MAX(1,D994)),0), FactorTable!$A$2:$A$301,0), Skills!M3+1)</f>
        <v/>
      </c>
      <c r="F994">
        <f>IF(Skills!N3=TRUE,(Skills!L3/10)*(E994/1000),Skills!L3/10)+Skills!O3</f>
        <v/>
      </c>
      <c r="G994">
        <f>Skills!G3*IF(Skills!H3&gt;0,INT(IF(Inputs!$B$38="pvp",MIN(Skills!I3,15),Skills!I3)/Skills!H3+0.000000001),1)</f>
        <v/>
      </c>
      <c r="H994">
        <f>1-(1-Skills!J3/100)^Skills!K3</f>
        <v/>
      </c>
      <c r="I994" t="inlineStr">
        <is>
          <t>1</t>
        </is>
      </c>
      <c r="J994">
        <f>((Inputs!$B$6*(1+Inputs!$B$7/100))+(((Inputs!$B$12*(1+Inputs!$B$13/100))-(Inputs!$B$12*(1+Inputs!$B$13/100)))+0.25*(Inputs!$B$14-Inputs!$B$14))*(1+Inputs!$B$7/100))*(F994/100)</f>
        <v/>
      </c>
      <c r="K994">
        <f>J994*(1+((Inputs!$B$12*(1+Inputs!$B$13/100))*0.01+Inputs!$B$14*0.0025)/100)*(1+Inputs!$B$15/100)*(1+Inputs!$B$16/100)*(5000/(6000+Inputs!$B$42*(1-(100*(1-(1-(Inputs!$B$19+0)/100)*(1-CHOOSE(ArtifactsInput!$N$40+1,5,6,7,8,9,10)/100)^(ArtifactsInput!$M$40-ArtifactsInput!$M$40)))/100)))*(1+(Inputs!$B$24+((C1017=TRUE)*(F1017-Calc!F26))+B1028)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1006=TRUE,F1006,0)/100)*(1+(IF(Skills!A3="EIGHT_LEGS_EASTON",Inputs!$B$17+((C1014=TRUE)*(F1014-Calc!F23))+((C1018=TRUE)*(F1018-Calc!F27))+((IF(AND(Inputs!$B$38&lt;&gt;"pvp",Inputs!$B$43=0),1,IF(IF(Inputs!$B$38="pvp",15,Inputs!$B$43)-(B1029)&lt;=0,1,MAX(0,IF(Inputs!$B$38="pvp",15,Inputs!$B$43)-MAX(5,B1029))/(IF(Inputs!$B$38="pvp",15,Inputs!$B$43)-(B1029))))*(IF(AND(ArtifactsInput!$M$42,((Inputs!$B$9+((C1010=TRUE)*(F1010-Calc!F19))+B1022+(ArtifactsInput!$M$24-ArtifactsInput!$M$24)*CHOOSE(ArtifactsInput!$N$24+1,10,12,14,16,18,20)+IF(ArtifactsInput!$M$10,CHOOSE(ArtifactsInput!$N$10+1,15,18,21,24,27,30)*(IF(Inputs!$B$38="pvp",MIN(15,15)/15,IF(AND(Inputs!$B$38&lt;&gt;"pvp",Inputs!$B$43&gt;0),MIN(15,Inputs!$B$43)/(Inputs!$B$43),0))),0)))&gt;=100),MIN(100,((Inputs!$B$9+((C1010=TRUE)*(F1010-Calc!F19))+B1022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1029)&lt;=0,1,MAX(0,IF(Inputs!$B$38="pvp",15,Inputs!$B$43)-MAX(5,B1029))/(IF(Inputs!$B$38="pvp",15,Inputs!$B$43)-(B1029))))*IF(AND(ArtifactsInput!$M$42,((Inputs!$B$9+((C1010=TRUE)*(F1010-Calc!F19))+B1022+(ArtifactsInput!$M$24-ArtifactsInput!$M$24)*CHOOSE(ArtifactsInput!$N$24+1,10,12,14,16,18,20)+IF(ArtifactsInput!$M$10,CHOOSE(ArtifactsInput!$N$10+1,15,18,21,24,27,30)*(IF(Inputs!$B$38="pvp",MIN(15,15)/15,IF(AND(Inputs!$B$38&lt;&gt;"pvp",Inputs!$B$43&gt;0),MIN(15,Inputs!$B$43)/(Inputs!$B$43),0))),0)))&gt;=100),CHOOSE(ArtifactsInput!$N$42+1,40,48,56,64,72,80),0))))/100)*((1+(((C1008=TRUE)*F1008*5/7)+((C1015=TRUE)*(F1015-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994)</f>
        <v/>
      </c>
      <c r="L994">
        <f>K994*(MIN(Inputs!$B$22+((C1013=TRUE)*(F1013-Calc!F22)),(Inputs!$B$23+0+(IF(ArtifactsInput!$M$15,CHOOSE(ArtifactsInput!$N$15+1,25,30,35,40,45,50)/100*(Inputs!$B$11-Inputs!$B$11),0))))/100+(Inputs!$B$23+0+(IF(ArtifactsInput!$M$15,CHOOSE(ArtifactsInput!$N$15+1,25,30,35,40,45,50)/100*(Inputs!$B$11-Inputs!$B$11),0)))/100)/2</f>
        <v/>
      </c>
      <c r="M994">
        <f>L994*(1+(Inputs!$B$10+((C1016=TRUE)*(F1016-Calc!F25))+B1027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94">
        <f>L994*(1-MIN((Inputs!$B$9+((C1010=TRUE)*(F1010-Calc!F19))+B1022+(ArtifactsInput!$M$24-ArtifactsInput!$M$24)*CHOOSE(ArtifactsInput!$N$24+1,10,12,14,16,18,20)+(IF(AND(Inputs!$B$38&lt;&gt;"pvp",Inputs!$B$43=0),1,IF(IF(Inputs!$B$38="pvp",15,Inputs!$B$43)-(B1029)&lt;=0,1,MAX(0,IF(Inputs!$B$38="pvp",15,Inputs!$B$43)-MAX(5,B1029))/(IF(Inputs!$B$38="pvp",15,Inputs!$B$43)-(B1029))))*IF(AND(ArtifactsInput!$M$42,((Inputs!$B$9+((C1010=TRUE)*(F1010-Calc!F19))+B1022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994*(MIN((Inputs!$B$9+((C1010=TRUE)*(F1010-Calc!F19))+B1022+(ArtifactsInput!$M$24-ArtifactsInput!$M$24)*CHOOSE(ArtifactsInput!$N$24+1,10,12,14,16,18,20)+(IF(AND(Inputs!$B$38&lt;&gt;"pvp",Inputs!$B$43=0),1,IF(IF(Inputs!$B$38="pvp",15,Inputs!$B$43)-(B1029)&lt;=0,1,MAX(0,IF(Inputs!$B$38="pvp",15,Inputs!$B$43)-MAX(5,B1029))/(IF(Inputs!$B$38="pvp",15,Inputs!$B$43)-(B1029))))*IF(AND(ArtifactsInput!$M$42,((Inputs!$B$9+((C1010=TRUE)*(F1010-Calc!F19))+B1022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94">
        <f>(1-Summary!$B$11)*T994+Summary!$B$11*V994</f>
        <v/>
      </c>
      <c r="P994">
        <f>IF(B1032=0,0,O994/B1032)</f>
        <v/>
      </c>
      <c r="Q994">
        <f>IFERROR(1/(IF(Inputs!$B$38="pvp",15,MAX(0.1,Skills!D3-IF(TRUE=TRUE,Inputs!$B$32,0)))*(1-IF(AND(ArtifactsInput!$M$27,Inputs!$B$4="Chapter Hunt"),CHOOSE(ArtifactsInput!$N$27+1,20,24,28,32,36,40),0)/100)),0)</f>
        <v/>
      </c>
      <c r="R994">
        <f>IF(AND(Inputs!$B$38&lt;&gt;"pvp",Inputs!$B$43&gt;0),IF(MAX(0,Inputs!$B$43-B1029)&lt;=0,0,(INT(MAX(0,Inputs!$B$43-B1029)/(IF(Inputs!$B$38="pvp",15,MAX(0.1,Skills!D3-IF(TRUE=TRUE,Inputs!$B$32,0)))*(1-IF(AND(ArtifactsInput!$M$27,Inputs!$B$4="Chapter Hunt"),CHOOSE(ArtifactsInput!$N$27+1,20,24,28,32,36,40),0)/100)))+1)),0)</f>
        <v/>
      </c>
      <c r="S994">
        <f>IFERROR(O994/N994,0)</f>
        <v/>
      </c>
      <c r="T994">
        <f>IF(C994,(H994*N994*IF(AND(Inputs!$B$38&lt;&gt;"pvp",Inputs!$B$43&gt;0),((Skills!G3*((R994-1)*IF(Skills!H3&gt;0,INT(Skills!I3/Skills!H3+0.000000001),1)+IF(Skills!H3&gt;0,INT(MIN(Skills!I3,MAX(0,MAX(0,Inputs!$B$43-B1029)-((R994-1)*(IF(Inputs!$B$38="pvp",15,MAX(0.1,Skills!D3-IF(TRUE=TRUE,Inputs!$B$32,0)))*(1-IF(AND(ArtifactsInput!$M$27,Inputs!$B$4="Chapter Hunt"),CHOOSE(ArtifactsInput!$N$27+1,20,24,28,32,36,40),0)/100)))))/Skills!H3+0.000000001),1)))/Inputs!$B$43),G994*Q994))*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Hunt"),CHOOSE(ArtifactsInput!$N$35+1,15,18,21,24,27,30)*(1-EXP(-(0.2*B1024)*5)),0)+IF(AND(ArtifactsInput!$M$22,Inputs!$B$4&lt;&gt;"Chapter Hunt"),CHOOSE(ArtifactsInput!$N$22+1,10,12,14,16,18,20)*((0*(((0.15*B1024*5))^0/1)+1*(((0.15*B1024*5))^1/1)+2*(((0.15*B1024*5))^2/2)+3*(((0.15*B1024*5))^3/6)+4*(((0.15*B1024*5))^4/24)+5*(((0.15*B1024*5))^5/120))/((((0.15*B1024*5))^0/1)+(((0.15*B1024*5))^1/1)+(((0.15*B1024*5))^2/2)+(((0.15*B1024*5))^3/6)+(((0.15*B1024*5))^4/24)+(((0.15*B1024*5))^5/120))),0))+IF(Inputs!$B$3&gt;=54,9*(C994=TRUE)*MIN(1,8*(1+Inputs!$B$34/100)*Q994)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994*(1-MIN(100,(Inputs!$B$9+((C1010=TRUE)*(F1010-Calc!F19))+B1022+(ArtifactsInput!$M$24-ArtifactsInput!$M$24)*CHOOSE(ArtifactsInput!$N$24+1,10,12,14,16,18,20)+(IF(AND(Inputs!$B$38&lt;&gt;"pvp",Inputs!$B$43=0),1,IF(IF(Inputs!$B$38="pvp",15,Inputs!$B$43)-(B1029)&lt;=0,1,MAX(0,IF(Inputs!$B$38="pvp",15,Inputs!$B$43)-MAX(5,B1029))/(IF(Inputs!$B$38="pvp",15,Inputs!$B$43)-(B1029))))*IF(AND(ArtifactsInput!$M$42,((Inputs!$B$9+((C1010=TRUE)*(F1010-Calc!F19))+B1022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994*(MIN(100,(Inputs!$B$9+((C1010=TRUE)*(F1010-Calc!F19))+B1022+(ArtifactsInput!$M$24-ArtifactsInput!$M$24)*CHOOSE(ArtifactsInput!$N$24+1,10,12,14,16,18,20)+(IF(AND(Inputs!$B$38&lt;&gt;"pvp",Inputs!$B$43=0),1,IF(IF(Inputs!$B$38="pvp",15,Inputs!$B$43)-(B1029)&lt;=0,1,MAX(0,IF(Inputs!$B$38="pvp",15,Inputs!$B$43)-MAX(5,B1029))/(IF(Inputs!$B$38="pvp",15,Inputs!$B$43)-(B1029))))*IF(AND(ArtifactsInput!$M$42,((Inputs!$B$9+((C1010=TRUE)*(F1010-Calc!F19))+B1022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994*(1-MIN(100,(Inputs!$B$9+((C1010=TRUE)*(F1010-Calc!F19))+B1022+(ArtifactsInput!$M$24-ArtifactsInput!$M$24)*CHOOSE(ArtifactsInput!$N$24+1,10,12,14,16,18,20)+(IF(AND(Inputs!$B$38&lt;&gt;"pvp",Inputs!$B$43=0),1,IF(IF(Inputs!$B$38="pvp",15,Inputs!$B$43)-(B1029)&lt;=0,1,MAX(0,IF(Inputs!$B$38="pvp",15,Inputs!$B$43)-MAX(5,B1029))/(IF(Inputs!$B$38="pvp",15,Inputs!$B$43)-(B1029))))*IF(AND(ArtifactsInput!$M$42,((Inputs!$B$9+((C1010=TRUE)*(F1010-Calc!F19))+B1022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994*(MIN(100,(Inputs!$B$9+((C1010=TRUE)*(F1010-Calc!F19))+B1022+(ArtifactsInput!$M$24-ArtifactsInput!$M$24)*CHOOSE(ArtifactsInput!$N$24+1,10,12,14,16,18,20)+(IF(AND(Inputs!$B$38&lt;&gt;"pvp",Inputs!$B$43=0),1,IF(IF(Inputs!$B$38="pvp",15,Inputs!$B$43)-(B1029)&lt;=0,1,MAX(0,IF(Inputs!$B$38="pvp",15,Inputs!$B$43)-MAX(5,B1029))/(IF(Inputs!$B$38="pvp",15,Inputs!$B$43)-(B1029))))*IF(AND(ArtifactsInput!$M$42,((Inputs!$B$9+((C1010=TRUE)*(F1010-Calc!F19))+B1022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994">
        <f>INDEX(FactorTable!$B$2:$Y$301, MATCH(ROUND(MIN(300,MAX(1,U993)),0), FactorTable!$A$2:$A$301,0), 22)</f>
        <v/>
      </c>
      <c r="V994">
        <f>IF(C994,(H994*N994*IF(AND(Inputs!$B$38&lt;&gt;"pvp",Inputs!$B$43&gt;0),((Skills!G3*((R994-1)*IF(Skills!H3&gt;0,INT(Skills!I3/Skills!H3+0.000000001),1)+IF(Skills!H3&gt;0,INT(MIN(Skills!I3,MAX(0,MAX(0,Inputs!$B$43-B1029)-((R994-1)*(IF(Inputs!$B$38="pvp",15,MAX(0.1,Skills!D3-IF(TRUE=TRUE,Inputs!$B$32,0)))*(1-IF(AND(ArtifactsInput!$M$27,Inputs!$B$4="Chapter Hunt"),CHOOSE(ArtifactsInput!$N$27+1,20,24,28,32,36,40),0)/100)))))/Skills!H3+0.000000001),1)))/Inputs!$B$43),G994*Q994))*IF(Inputs!$B$38="pvp",1,(1+(Inputs!$B$21+Skills!Q3+(IF(ArtifactsInput!$M$33,CHOOSE(ArtifactsInput!$N$33+1,30,36,42,48,54,60),0))+(IF(AND(ArtifactsInput!$M$35,Inputs!$B$4&lt;&gt;"Chapter Hunt"),CHOOSE(ArtifactsInput!$N$35+1,15,18,21,24,27,30)*(1-EXP(-(0.2*B1024)*5)),0)+IF(AND(ArtifactsInput!$M$22,Inputs!$B$4&lt;&gt;"Chapter Hunt"),CHOOSE(ArtifactsInput!$N$22+1,10,12,14,16,18,20)*((0*(((0.15*B1024*5))^0/1)+1*(((0.15*B1024*5))^1/1)+2*(((0.15*B1024*5))^2/2)+3*(((0.15*B1024*5))^3/6)+4*(((0.15*B1024*5))^4/24)+5*(((0.15*B1024*5))^5/120))/((((0.15*B1024*5))^0/1)+(((0.15*B1024*5))^1/1)+(((0.15*B1024*5))^2/2)+(((0.15*B1024*5))^3/6)+(((0.15*B1024*5))^4/24)+(((0.15*B1024*5))^5/120))),0))+IF(Inputs!$B$3&gt;=54,9*(C994=TRUE)*MIN(1,8*(1+Inputs!$B$34/100)*Q994),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95">
      <c r="A995">
        <f>Skills!A4</f>
        <v/>
      </c>
      <c r="B995">
        <f>Skills!B4</f>
        <v/>
      </c>
      <c r="C995">
        <f>Inputs!$B$3&gt;=35</f>
        <v/>
      </c>
      <c r="D995">
        <f>IF(Skills!C4=1,60+Inputs!$B$25+(Inputs!$B$29+1),IF(Skills!C4=2,90+Inputs!$B$26+(Inputs!$B$29+1),IF(Skills!C4=3,120+Inputs!$B$27+(Inputs!$B$29+1),MAX(0,(Inputs!$B$3-100)*3)+Inputs!$B$28+(Inputs!$B$29+1))))</f>
        <v/>
      </c>
      <c r="E995">
        <f>INDEX(FactorTable!$B$2:$Y$301, MATCH(ROUND(MIN(300,MAX(1,D995)),0), FactorTable!$A$2:$A$301,0), Skills!M4+1)</f>
        <v/>
      </c>
      <c r="F995">
        <f>IF(Skills!N4=TRUE,(Skills!L4/10)*(E995/1000),Skills!L4/10)+Skills!O4</f>
        <v/>
      </c>
      <c r="G995">
        <f>Skills!G4*IF(Skills!H4&gt;0,INT(IF(Inputs!$B$38="pvp",MIN(IF(Inputs!$B$3&gt;=104,MIN(35,20*(1+Inputs!$B$34/100)),20),15),IF(Inputs!$B$3&gt;=104,MIN(35,20*(1+Inputs!$B$34/100)),20))/Skills!H4+0.000000001),1)</f>
        <v/>
      </c>
      <c r="H995">
        <f>1-(1-Skills!J4/100)^Skills!K4</f>
        <v/>
      </c>
      <c r="I995" t="inlineStr">
        <is>
          <t>1</t>
        </is>
      </c>
      <c r="J995">
        <f>((Inputs!$B$6*(1+Inputs!$B$7/100))+(((Inputs!$B$12*(1+Inputs!$B$13/100))-(Inputs!$B$12*(1+Inputs!$B$13/100)))+0.25*(Inputs!$B$14-Inputs!$B$14))*(1+Inputs!$B$7/100))*(F995/100)</f>
        <v/>
      </c>
      <c r="K995">
        <f>J995*(1+((Inputs!$B$12*(1+Inputs!$B$13/100))*0.01+Inputs!$B$14*0.0025)/100)*(1+Inputs!$B$15/100)*(1+Inputs!$B$16/100)*(5000/(6000+Inputs!$B$42*(1-(100*(1-(1-(Inputs!$B$19+0)/100)*(1-CHOOSE(ArtifactsInput!$N$40+1,5,6,7,8,9,10)/100)^(ArtifactsInput!$M$40-ArtifactsInput!$M$40)))/100)))*(1+(Inputs!$B$24+((C1017=TRUE)*(F1017-Calc!F26))+B1028)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1007=TRUE,F1007,0)/100)*(1+(IF(Skills!A4="EIGHT_LEGS_EASTON",Inputs!$B$17+((C1014=TRUE)*(F1014-Calc!F23))+((C1018=TRUE)*(F1018-Calc!F27))+((IF(AND(Inputs!$B$38&lt;&gt;"pvp",Inputs!$B$43=0),1,IF(IF(Inputs!$B$38="pvp",15,Inputs!$B$43)-(B1029)&lt;=0,1,MAX(0,IF(Inputs!$B$38="pvp",15,Inputs!$B$43)-MAX(5,B1029))/(IF(Inputs!$B$38="pvp",15,Inputs!$B$43)-(B1029))))*(IF(AND(ArtifactsInput!$M$42,((Inputs!$B$9+((C1010=TRUE)*(F1010-Calc!F19))+B1022+(ArtifactsInput!$M$24-ArtifactsInput!$M$24)*CHOOSE(ArtifactsInput!$N$24+1,10,12,14,16,18,20)+IF(ArtifactsInput!$M$10,CHOOSE(ArtifactsInput!$N$10+1,15,18,21,24,27,30)*(IF(Inputs!$B$38="pvp",MIN(15,15)/15,IF(AND(Inputs!$B$38&lt;&gt;"pvp",Inputs!$B$43&gt;0),MIN(15,Inputs!$B$43)/(Inputs!$B$43),0))),0)))&gt;=100),MIN(100,((Inputs!$B$9+((C1010=TRUE)*(F1010-Calc!F19))+B1022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1029)&lt;=0,1,MAX(0,IF(Inputs!$B$38="pvp",15,Inputs!$B$43)-MAX(5,B1029))/(IF(Inputs!$B$38="pvp",15,Inputs!$B$43)-(B1029))))*IF(AND(ArtifactsInput!$M$42,((Inputs!$B$9+((C1010=TRUE)*(F1010-Calc!F19))+B1022+(ArtifactsInput!$M$24-ArtifactsInput!$M$24)*CHOOSE(ArtifactsInput!$N$24+1,10,12,14,16,18,20)+IF(ArtifactsInput!$M$10,CHOOSE(ArtifactsInput!$N$10+1,15,18,21,24,27,30)*(IF(Inputs!$B$38="pvp",MIN(15,15)/15,IF(AND(Inputs!$B$38&lt;&gt;"pvp",Inputs!$B$43&gt;0),MIN(15,Inputs!$B$43)/(Inputs!$B$43),0))),0)))&gt;=100),CHOOSE(ArtifactsInput!$N$42+1,40,48,56,64,72,80),0))))/100)*((1+(((C1008=TRUE)*F1008*5/7)+((C1015=TRUE)*(F1015-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995)</f>
        <v/>
      </c>
      <c r="L995">
        <f>K995*(MIN(Inputs!$B$22+((C1013=TRUE)*(F1013-Calc!F22)),(Inputs!$B$23+0+(IF(ArtifactsInput!$M$15,CHOOSE(ArtifactsInput!$N$15+1,25,30,35,40,45,50)/100*(Inputs!$B$11-Inputs!$B$11),0))))/100+(Inputs!$B$23+0+(IF(ArtifactsInput!$M$15,CHOOSE(ArtifactsInput!$N$15+1,25,30,35,40,45,50)/100*(Inputs!$B$11-Inputs!$B$11),0)))/100)/2</f>
        <v/>
      </c>
      <c r="M995">
        <f>L995*(1+(Inputs!$B$10+((C1016=TRUE)*(F1016-Calc!F25))+B1027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95">
        <f>L995*(1-MIN((Inputs!$B$9+((C1010=TRUE)*(F1010-Calc!F19))+B1022+(ArtifactsInput!$M$24-ArtifactsInput!$M$24)*CHOOSE(ArtifactsInput!$N$24+1,10,12,14,16,18,20)+(IF(AND(Inputs!$B$38&lt;&gt;"pvp",Inputs!$B$43=0),1,IF(IF(Inputs!$B$38="pvp",15,Inputs!$B$43)-(B1029)&lt;=0,1,MAX(0,IF(Inputs!$B$38="pvp",15,Inputs!$B$43)-MAX(5,B1029))/(IF(Inputs!$B$38="pvp",15,Inputs!$B$43)-(B1029))))*IF(AND(ArtifactsInput!$M$42,((Inputs!$B$9+((C1010=TRUE)*(F1010-Calc!F19))+B1022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995*(MIN((Inputs!$B$9+((C1010=TRUE)*(F1010-Calc!F19))+B1022+(ArtifactsInput!$M$24-ArtifactsInput!$M$24)*CHOOSE(ArtifactsInput!$N$24+1,10,12,14,16,18,20)+(IF(AND(Inputs!$B$38&lt;&gt;"pvp",Inputs!$B$43=0),1,IF(IF(Inputs!$B$38="pvp",15,Inputs!$B$43)-(B1029)&lt;=0,1,MAX(0,IF(Inputs!$B$38="pvp",15,Inputs!$B$43)-MAX(5,B1029))/(IF(Inputs!$B$38="pvp",15,Inputs!$B$43)-(B1029))))*IF(AND(ArtifactsInput!$M$42,((Inputs!$B$9+((C1010=TRUE)*(F1010-Calc!F19))+B1022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95">
        <f>(1-Summary!$B$11)*T995+Summary!$B$11*V995</f>
        <v/>
      </c>
      <c r="P995">
        <f>IF(B1032=0,0,O995/B1032)</f>
        <v/>
      </c>
      <c r="Q995">
        <f>IFERROR(1/(IF(Inputs!$B$38="pvp",15,MAX(0.1,Skills!D4-IF(TRUE=TRUE,Inputs!$B$32,0)))*(1-IF(AND(ArtifactsInput!$M$27,Inputs!$B$4="Chapter Hunt"),CHOOSE(ArtifactsInput!$N$27+1,20,24,28,32,36,40),0)/100)),0)</f>
        <v/>
      </c>
      <c r="R995">
        <f>IF(AND(Inputs!$B$38&lt;&gt;"pvp",Inputs!$B$43&gt;0),IF(MAX(0,Inputs!$B$43-B1029)&lt;=0,0,(INT(MAX(0,Inputs!$B$43-B1029)/(IF(Inputs!$B$38="pvp",15,MAX(0.1,Skills!D4-IF(TRUE=TRUE,Inputs!$B$32,0)))*(1-IF(AND(ArtifactsInput!$M$27,Inputs!$B$4="Chapter Hunt"),CHOOSE(ArtifactsInput!$N$27+1,20,24,28,32,36,40),0)/100)))+1)),0)</f>
        <v/>
      </c>
      <c r="S995">
        <f>IFERROR(O995/N995,0)</f>
        <v/>
      </c>
      <c r="T995">
        <f>IF(C995,(H995*N995*IF(AND(Inputs!$B$38&lt;&gt;"pvp",Inputs!$B$43&gt;0),((Skills!G4*((R995-1)*IF(Skills!H4&gt;0,INT(IF(Inputs!$B$3&gt;=104,MIN(35,20*(1+Inputs!$B$34/100)),20)/Skills!H4+0.000000001),1)+IF(Skills!H4&gt;0,INT(MIN(IF(Inputs!$B$3&gt;=104,MIN(35,20*(1+Inputs!$B$34/100)),20),MAX(0,MAX(0,Inputs!$B$43-B1029)-((R995-1)*(IF(Inputs!$B$38="pvp",15,MAX(0.1,Skills!D4-IF(TRUE=TRUE,Inputs!$B$32,0)))*(1-IF(AND(ArtifactsInput!$M$27,Inputs!$B$4="Chapter Hunt"),CHOOSE(ArtifactsInput!$N$27+1,20,24,28,32,36,40),0)/100)))))/Skills!H4+0.000000001),1)))/Inputs!$B$43),G995*Q995))*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Hunt"),CHOOSE(ArtifactsInput!$N$35+1,15,18,21,24,27,30)*(1-EXP(-(0.2*B1024)*5)),0)+IF(AND(ArtifactsInput!$M$22,Inputs!$B$4&lt;&gt;"Chapter Hunt"),CHOOSE(ArtifactsInput!$N$22+1,10,12,14,16,18,20)*((0*(((0.15*B1024*5))^0/1)+1*(((0.15*B1024*5))^1/1)+2*(((0.15*B1024*5))^2/2)+3*(((0.15*B1024*5))^3/6)+4*(((0.15*B1024*5))^4/24)+5*(((0.15*B1024*5))^5/120))/((((0.15*B1024*5))^0/1)+(((0.15*B1024*5))^1/1)+(((0.15*B1024*5))^2/2)+(((0.15*B1024*5))^3/6)+(((0.15*B1024*5))^4/24)+(((0.15*B1024*5))^5/120))),0))+IF(Inputs!$B$3&gt;=54,9*(C994=TRUE)*MIN(1,8*(1+Inputs!$B$34/100)*Q994)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995*(1-MIN(100,(Inputs!$B$9+((C1010=TRUE)*(F1010-Calc!F19))+B1022+(ArtifactsInput!$M$24-ArtifactsInput!$M$24)*CHOOSE(ArtifactsInput!$N$24+1,10,12,14,16,18,20)+(IF(AND(Inputs!$B$38&lt;&gt;"pvp",Inputs!$B$43=0),1,IF(IF(Inputs!$B$38="pvp",15,Inputs!$B$43)-(B1029)&lt;=0,1,MAX(0,IF(Inputs!$B$38="pvp",15,Inputs!$B$43)-MAX(5,B1029))/(IF(Inputs!$B$38="pvp",15,Inputs!$B$43)-(B1029))))*IF(AND(ArtifactsInput!$M$42,((Inputs!$B$9+((C1010=TRUE)*(F1010-Calc!F19))+B1022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995*(MIN(100,(Inputs!$B$9+((C1010=TRUE)*(F1010-Calc!F19))+B1022+(ArtifactsInput!$M$24-ArtifactsInput!$M$24)*CHOOSE(ArtifactsInput!$N$24+1,10,12,14,16,18,20)+(IF(AND(Inputs!$B$38&lt;&gt;"pvp",Inputs!$B$43=0),1,IF(IF(Inputs!$B$38="pvp",15,Inputs!$B$43)-(B1029)&lt;=0,1,MAX(0,IF(Inputs!$B$38="pvp",15,Inputs!$B$43)-MAX(5,B1029))/(IF(Inputs!$B$38="pvp",15,Inputs!$B$43)-(B1029))))*IF(AND(ArtifactsInput!$M$42,((Inputs!$B$9+((C1010=TRUE)*(F1010-Calc!F19))+B1022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995*(1-MIN(100,(Inputs!$B$9+((C1010=TRUE)*(F1010-Calc!F19))+B1022+(ArtifactsInput!$M$24-ArtifactsInput!$M$24)*CHOOSE(ArtifactsInput!$N$24+1,10,12,14,16,18,20)+(IF(AND(Inputs!$B$38&lt;&gt;"pvp",Inputs!$B$43=0),1,IF(IF(Inputs!$B$38="pvp",15,Inputs!$B$43)-(B1029)&lt;=0,1,MAX(0,IF(Inputs!$B$38="pvp",15,Inputs!$B$43)-MAX(5,B1029))/(IF(Inputs!$B$38="pvp",15,Inputs!$B$43)-(B1029))))*IF(AND(ArtifactsInput!$M$42,((Inputs!$B$9+((C1010=TRUE)*(F1010-Calc!F19))+B1022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995*(MIN(100,(Inputs!$B$9+((C1010=TRUE)*(F1010-Calc!F19))+B1022+(ArtifactsInput!$M$24-ArtifactsInput!$M$24)*CHOOSE(ArtifactsInput!$N$24+1,10,12,14,16,18,20)+(IF(AND(Inputs!$B$38&lt;&gt;"pvp",Inputs!$B$43=0),1,IF(IF(Inputs!$B$38="pvp",15,Inputs!$B$43)-(B1029)&lt;=0,1,MAX(0,IF(Inputs!$B$38="pvp",15,Inputs!$B$43)-MAX(5,B1029))/(IF(Inputs!$B$38="pvp",15,Inputs!$B$43)-(B1029))))*IF(AND(ArtifactsInput!$M$42,((Inputs!$B$9+((C1010=TRUE)*(F1010-Calc!F19))+B1022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995">
        <f>290*U994/1000</f>
        <v/>
      </c>
      <c r="V995">
        <f>IF(C995,(H995*N995*IF(AND(Inputs!$B$38&lt;&gt;"pvp",Inputs!$B$43&gt;0),((Skills!G4*((R995-1)*IF(Skills!H4&gt;0,INT(IF(Inputs!$B$3&gt;=104,MIN(35,20*(1+Inputs!$B$34/100)),20)/Skills!H4+0.000000001),1)+IF(Skills!H4&gt;0,INT(MIN(IF(Inputs!$B$3&gt;=104,MIN(35,20*(1+Inputs!$B$34/100)),20),MAX(0,MAX(0,Inputs!$B$43-B1029)-((R995-1)*(IF(Inputs!$B$38="pvp",15,MAX(0.1,Skills!D4-IF(TRUE=TRUE,Inputs!$B$32,0)))*(1-IF(AND(ArtifactsInput!$M$27,Inputs!$B$4="Chapter Hunt"),CHOOSE(ArtifactsInput!$N$27+1,20,24,28,32,36,40),0)/100)))))/Skills!H4+0.000000001),1)))/Inputs!$B$43),G995*Q995))*IF(Inputs!$B$38="pvp",1,(1+(Inputs!$B$21+Skills!Q4+(IF(ArtifactsInput!$M$33,CHOOSE(ArtifactsInput!$N$33+1,30,36,42,48,54,60),0))+(IF(AND(ArtifactsInput!$M$35,Inputs!$B$4&lt;&gt;"Chapter Hunt"),CHOOSE(ArtifactsInput!$N$35+1,15,18,21,24,27,30)*(1-EXP(-(0.2*B1024)*5)),0)+IF(AND(ArtifactsInput!$M$22,Inputs!$B$4&lt;&gt;"Chapter Hunt"),CHOOSE(ArtifactsInput!$N$22+1,10,12,14,16,18,20)*((0*(((0.15*B1024*5))^0/1)+1*(((0.15*B1024*5))^1/1)+2*(((0.15*B1024*5))^2/2)+3*(((0.15*B1024*5))^3/6)+4*(((0.15*B1024*5))^4/24)+5*(((0.15*B1024*5))^5/120))/((((0.15*B1024*5))^0/1)+(((0.15*B1024*5))^1/1)+(((0.15*B1024*5))^2/2)+(((0.15*B1024*5))^3/6)+(((0.15*B1024*5))^4/24)+(((0.15*B1024*5))^5/120))),0))+IF(Inputs!$B$3&gt;=54,9*(C994=TRUE)*MIN(1,8*(1+Inputs!$B$34/100)*Q994),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96">
      <c r="A996">
        <f>Skills!A5</f>
        <v/>
      </c>
      <c r="B996">
        <f>Skills!B5</f>
        <v/>
      </c>
      <c r="C996">
        <f>Inputs!$B$3&gt;=69</f>
        <v/>
      </c>
      <c r="D996">
        <f>IF(Skills!C5=1,60+Inputs!$B$25+(Inputs!$B$29+1),IF(Skills!C5=2,90+Inputs!$B$26+(Inputs!$B$29+1),IF(Skills!C5=3,120+Inputs!$B$27+(Inputs!$B$29+1),MAX(0,(Inputs!$B$3-100)*3)+Inputs!$B$28+(Inputs!$B$29+1))))</f>
        <v/>
      </c>
      <c r="E996">
        <f>INDEX(FactorTable!$B$2:$Y$301, MATCH(ROUND(MIN(300,MAX(1,D996)),0), FactorTable!$A$2:$A$301,0), Skills!M5+1)</f>
        <v/>
      </c>
      <c r="F996">
        <f>IF(Skills!N5=TRUE,(Skills!L5/10)*(E996/1000),Skills!L5/10)+Skills!O5</f>
        <v/>
      </c>
      <c r="G996">
        <f>Skills!G5*IF(Skills!H5&gt;0,INT(IF(Inputs!$B$38="pvp",MIN(IF(Inputs!$B$3&gt;=104,MIN(35,20*(1+Inputs!$B$34/100)),20),15),IF(Inputs!$B$3&gt;=104,MIN(35,20*(1+Inputs!$B$34/100)),20))/Skills!H5+0.000000001),1)</f>
        <v/>
      </c>
      <c r="H996">
        <f>1-(1-Skills!J5/100)^Skills!K5</f>
        <v/>
      </c>
      <c r="I996" t="inlineStr">
        <is>
          <t>1</t>
        </is>
      </c>
      <c r="J996">
        <f>((Inputs!$B$6*(1+Inputs!$B$7/100))+(((Inputs!$B$12*(1+Inputs!$B$13/100))-(Inputs!$B$12*(1+Inputs!$B$13/100)))+0.25*(Inputs!$B$14-Inputs!$B$14))*(1+Inputs!$B$7/100))*(F996/100)</f>
        <v/>
      </c>
      <c r="K996">
        <f>J996*(1+((Inputs!$B$12*(1+Inputs!$B$13/100))*0.01+Inputs!$B$14*0.0025)/100)*(1+Inputs!$B$15/100)*(1+Inputs!$B$16/100)*(5000/(6000+Inputs!$B$42*(1-(100*(1-(1-(Inputs!$B$19+0)/100)*(1-CHOOSE(ArtifactsInput!$N$40+1,5,6,7,8,9,10)/100)^(ArtifactsInput!$M$40-ArtifactsInput!$M$40)))/100)))*(1+(Inputs!$B$24+((C1017=TRUE)*(F1017-Calc!F26))+B1028)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+0.4*IF(C1007=TRUE,F1007,0)/100)*(1+(IF(Skills!A5="EIGHT_LEGS_EASTON",Inputs!$B$17+((C1014=TRUE)*(F1014-Calc!F23))+((C1018=TRUE)*(F1018-Calc!F27))+((IF(AND(Inputs!$B$38&lt;&gt;"pvp",Inputs!$B$43=0),1,IF(IF(Inputs!$B$38="pvp",15,Inputs!$B$43)-(B1029)&lt;=0,1,MAX(0,IF(Inputs!$B$38="pvp",15,Inputs!$B$43)-MAX(5,B1029))/(IF(Inputs!$B$38="pvp",15,Inputs!$B$43)-(B1029))))*(IF(AND(ArtifactsInput!$M$42,((Inputs!$B$9+((C1010=TRUE)*(F1010-Calc!F19))+B1022+(ArtifactsInput!$M$24-ArtifactsInput!$M$24)*CHOOSE(ArtifactsInput!$N$24+1,10,12,14,16,18,20)+IF(ArtifactsInput!$M$10,CHOOSE(ArtifactsInput!$N$10+1,15,18,21,24,27,30)*(IF(Inputs!$B$38="pvp",MIN(15,15)/15,IF(AND(Inputs!$B$38&lt;&gt;"pvp",Inputs!$B$43&gt;0),MIN(15,Inputs!$B$43)/(Inputs!$B$43),0))),0)))&gt;=100),MIN(100,((Inputs!$B$9+((C1010=TRUE)*(F1010-Calc!F19))+B1022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1029)&lt;=0,1,MAX(0,IF(Inputs!$B$38="pvp",15,Inputs!$B$43)-MAX(5,B1029))/(IF(Inputs!$B$38="pvp",15,Inputs!$B$43)-(B1029))))*IF(AND(ArtifactsInput!$M$42,((Inputs!$B$9+((C1010=TRUE)*(F1010-Calc!F19))+B1022+(ArtifactsInput!$M$24-ArtifactsInput!$M$24)*CHOOSE(ArtifactsInput!$N$24+1,10,12,14,16,18,20)+IF(ArtifactsInput!$M$10,CHOOSE(ArtifactsInput!$N$10+1,15,18,21,24,27,30)*(IF(Inputs!$B$38="pvp",MIN(15,15)/15,IF(AND(Inputs!$B$38&lt;&gt;"pvp",Inputs!$B$43&gt;0),MIN(15,Inputs!$B$43)/(Inputs!$B$43),0))),0)))&gt;=100),CHOOSE(ArtifactsInput!$N$42+1,40,48,56,64,72,80),0))))/100)*((1+(((C1008=TRUE)*F1008*5/7)+((C1015=TRUE)*(F1015-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996)</f>
        <v/>
      </c>
      <c r="L996">
        <f>K996*(MIN(Inputs!$B$22+((C1013=TRUE)*(F1013-Calc!F22)),(Inputs!$B$23+0+(IF(ArtifactsInput!$M$15,CHOOSE(ArtifactsInput!$N$15+1,25,30,35,40,45,50)/100*(Inputs!$B$11-Inputs!$B$11),0))))/100+(Inputs!$B$23+0+(IF(ArtifactsInput!$M$15,CHOOSE(ArtifactsInput!$N$15+1,25,30,35,40,45,50)/100*(Inputs!$B$11-Inputs!$B$11),0)))/100)/2</f>
        <v/>
      </c>
      <c r="M996">
        <f>L996*(1+(Inputs!$B$10+((C1016=TRUE)*(F1016-Calc!F25))+B1027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96">
        <f>L996*(1-MIN((Inputs!$B$9+((C1010=TRUE)*(F1010-Calc!F19))+B1022+(ArtifactsInput!$M$24-ArtifactsInput!$M$24)*CHOOSE(ArtifactsInput!$N$24+1,10,12,14,16,18,20)+(IF(AND(Inputs!$B$38&lt;&gt;"pvp",Inputs!$B$43=0),1,IF(IF(Inputs!$B$38="pvp",15,Inputs!$B$43)-(B1029)&lt;=0,1,MAX(0,IF(Inputs!$B$38="pvp",15,Inputs!$B$43)-MAX(5,B1029))/(IF(Inputs!$B$38="pvp",15,Inputs!$B$43)-(B1029))))*IF(AND(ArtifactsInput!$M$42,((Inputs!$B$9+((C1010=TRUE)*(F1010-Calc!F19))+B1022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996*(MIN((Inputs!$B$9+((C1010=TRUE)*(F1010-Calc!F19))+B1022+(ArtifactsInput!$M$24-ArtifactsInput!$M$24)*CHOOSE(ArtifactsInput!$N$24+1,10,12,14,16,18,20)+(IF(AND(Inputs!$B$38&lt;&gt;"pvp",Inputs!$B$43=0),1,IF(IF(Inputs!$B$38="pvp",15,Inputs!$B$43)-(B1029)&lt;=0,1,MAX(0,IF(Inputs!$B$38="pvp",15,Inputs!$B$43)-MAX(5,B1029))/(IF(Inputs!$B$38="pvp",15,Inputs!$B$43)-(B1029))))*IF(AND(ArtifactsInput!$M$42,((Inputs!$B$9+((C1010=TRUE)*(F1010-Calc!F19))+B1022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96">
        <f>(1-Summary!$B$11)*T996+Summary!$B$11*V996</f>
        <v/>
      </c>
      <c r="P996">
        <f>IF(B1032=0,0,O996/B1032)</f>
        <v/>
      </c>
      <c r="Q996">
        <f>IFERROR(1/(IF(Inputs!$B$38="pvp",15,MAX(0.1,Skills!D5-IF(TRUE=TRUE,Inputs!$B$32,0)))*(1-IF(AND(ArtifactsInput!$M$27,Inputs!$B$4="Chapter Hunt"),CHOOSE(ArtifactsInput!$N$27+1,20,24,28,32,36,40),0)/100)),0)</f>
        <v/>
      </c>
      <c r="R996">
        <f>IF(AND(Inputs!$B$38&lt;&gt;"pvp",Inputs!$B$43&gt;0),IF(MAX(0,Inputs!$B$43-B1029)&lt;=0,0,(INT(MAX(0,Inputs!$B$43-B1029)/(IF(Inputs!$B$38="pvp",15,MAX(0.1,Skills!D5-IF(TRUE=TRUE,Inputs!$B$32,0)))*(1-IF(AND(ArtifactsInput!$M$27,Inputs!$B$4="Chapter Hunt"),CHOOSE(ArtifactsInput!$N$27+1,20,24,28,32,36,40),0)/100)))+1)),0)</f>
        <v/>
      </c>
      <c r="S996">
        <f>IFERROR(O996/N996,0)</f>
        <v/>
      </c>
      <c r="T996">
        <f>IF(C996,(H996*N996*IF(AND(Inputs!$B$38&lt;&gt;"pvp",Inputs!$B$43&gt;0),((Skills!G5*((R996-1)*IF(Skills!H5&gt;0,INT(IF(Inputs!$B$3&gt;=104,MIN(35,20*(1+Inputs!$B$34/100)),20)/Skills!H5+0.000000001),1)+IF(Skills!H5&gt;0,INT(MIN(IF(Inputs!$B$3&gt;=104,MIN(35,20*(1+Inputs!$B$34/100)),20),MAX(0,MAX(0,Inputs!$B$43-B1029)-((R996-1)*(IF(Inputs!$B$38="pvp",15,MAX(0.1,Skills!D5-IF(TRUE=TRUE,Inputs!$B$32,0)))*(1-IF(AND(ArtifactsInput!$M$27,Inputs!$B$4="Chapter Hunt"),CHOOSE(ArtifactsInput!$N$27+1,20,24,28,32,36,40),0)/100)))))/Skills!H5+0.000000001),1)))/Inputs!$B$43),G996*Q996))*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Hunt"),CHOOSE(ArtifactsInput!$N$35+1,15,18,21,24,27,30)*(1-EXP(-(0.2*B1024)*5)),0)+IF(AND(ArtifactsInput!$M$22,Inputs!$B$4&lt;&gt;"Chapter Hunt"),CHOOSE(ArtifactsInput!$N$22+1,10,12,14,16,18,20)*((0*(((0.15*B1024*5))^0/1)+1*(((0.15*B1024*5))^1/1)+2*(((0.15*B1024*5))^2/2)+3*(((0.15*B1024*5))^3/6)+4*(((0.15*B1024*5))^4/24)+5*(((0.15*B1024*5))^5/120))/((((0.15*B1024*5))^0/1)+(((0.15*B1024*5))^1/1)+(((0.15*B1024*5))^2/2)+(((0.15*B1024*5))^3/6)+(((0.15*B1024*5))^4/24)+(((0.15*B1024*5))^5/120))),0))+IF(Inputs!$B$3&gt;=54,9*(C994=TRUE)*MIN(1,8*(1+Inputs!$B$34/100)*Q994)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996*(1-MIN(100,(Inputs!$B$9+((C1010=TRUE)*(F1010-Calc!F19))+B1022+(ArtifactsInput!$M$24-ArtifactsInput!$M$24)*CHOOSE(ArtifactsInput!$N$24+1,10,12,14,16,18,20)+(IF(AND(Inputs!$B$38&lt;&gt;"pvp",Inputs!$B$43=0),1,IF(IF(Inputs!$B$38="pvp",15,Inputs!$B$43)-(B1029)&lt;=0,1,MAX(0,IF(Inputs!$B$38="pvp",15,Inputs!$B$43)-MAX(5,B1029))/(IF(Inputs!$B$38="pvp",15,Inputs!$B$43)-(B1029))))*IF(AND(ArtifactsInput!$M$42,((Inputs!$B$9+((C1010=TRUE)*(F1010-Calc!F19))+B1022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996*(MIN(100,(Inputs!$B$9+((C1010=TRUE)*(F1010-Calc!F19))+B1022+(ArtifactsInput!$M$24-ArtifactsInput!$M$24)*CHOOSE(ArtifactsInput!$N$24+1,10,12,14,16,18,20)+(IF(AND(Inputs!$B$38&lt;&gt;"pvp",Inputs!$B$43=0),1,IF(IF(Inputs!$B$38="pvp",15,Inputs!$B$43)-(B1029)&lt;=0,1,MAX(0,IF(Inputs!$B$38="pvp",15,Inputs!$B$43)-MAX(5,B1029))/(IF(Inputs!$B$38="pvp",15,Inputs!$B$43)-(B1029))))*IF(AND(ArtifactsInput!$M$42,((Inputs!$B$9+((C1010=TRUE)*(F1010-Calc!F19))+B1022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996*(1-MIN(100,(Inputs!$B$9+((C1010=TRUE)*(F1010-Calc!F19))+B1022+(ArtifactsInput!$M$24-ArtifactsInput!$M$24)*CHOOSE(ArtifactsInput!$N$24+1,10,12,14,16,18,20)+(IF(AND(Inputs!$B$38&lt;&gt;"pvp",Inputs!$B$43=0),1,IF(IF(Inputs!$B$38="pvp",15,Inputs!$B$43)-(B1029)&lt;=0,1,MAX(0,IF(Inputs!$B$38="pvp",15,Inputs!$B$43)-MAX(5,B1029))/(IF(Inputs!$B$38="pvp",15,Inputs!$B$43)-(B1029))))*IF(AND(ArtifactsInput!$M$42,((Inputs!$B$9+((C1010=TRUE)*(F1010-Calc!F19))+B1022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996*(MIN(100,(Inputs!$B$9+((C1010=TRUE)*(F1010-Calc!F19))+B1022+(ArtifactsInput!$M$24-ArtifactsInput!$M$24)*CHOOSE(ArtifactsInput!$N$24+1,10,12,14,16,18,20)+(IF(AND(Inputs!$B$38&lt;&gt;"pvp",Inputs!$B$43=0),1,IF(IF(Inputs!$B$38="pvp",15,Inputs!$B$43)-(B1029)&lt;=0,1,MAX(0,IF(Inputs!$B$38="pvp",15,Inputs!$B$43)-MAX(5,B1029))/(IF(Inputs!$B$38="pvp",15,Inputs!$B$43)-(B1029))))*IF(AND(ArtifactsInput!$M$42,((Inputs!$B$9+((C1010=TRUE)*(F1010-Calc!F19))+B1022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996">
        <f>IF(C996,(H996*N996*IF(AND(Inputs!$B$38&lt;&gt;"pvp",Inputs!$B$43&gt;0),((Skills!G5*((R996-1)*IF(Skills!H5&gt;0,INT(IF(Inputs!$B$3&gt;=104,MIN(35,20*(1+Inputs!$B$34/100)),20)/Skills!H5+0.000000001),1)+IF(Skills!H5&gt;0,INT(MIN(IF(Inputs!$B$3&gt;=104,MIN(35,20*(1+Inputs!$B$34/100)),20),MAX(0,MAX(0,Inputs!$B$43-B1029)-((R996-1)*(IF(Inputs!$B$38="pvp",15,MAX(0.1,Skills!D5-IF(TRUE=TRUE,Inputs!$B$32,0)))*(1-IF(AND(ArtifactsInput!$M$27,Inputs!$B$4="Chapter Hunt"),CHOOSE(ArtifactsInput!$N$27+1,20,24,28,32,36,40),0)/100)))))/Skills!H5+0.000000001),1)))/Inputs!$B$43),G996*Q996))*IF(Inputs!$B$38="pvp",1,(1+(Inputs!$B$21+Skills!Q5+(IF(ArtifactsInput!$M$33,CHOOSE(ArtifactsInput!$N$33+1,30,36,42,48,54,60),0))+(IF(AND(ArtifactsInput!$M$35,Inputs!$B$4&lt;&gt;"Chapter Hunt"),CHOOSE(ArtifactsInput!$N$35+1,15,18,21,24,27,30)*(1-EXP(-(0.2*B1024)*5)),0)+IF(AND(ArtifactsInput!$M$22,Inputs!$B$4&lt;&gt;"Chapter Hunt"),CHOOSE(ArtifactsInput!$N$22+1,10,12,14,16,18,20)*((0*(((0.15*B1024*5))^0/1)+1*(((0.15*B1024*5))^1/1)+2*(((0.15*B1024*5))^2/2)+3*(((0.15*B1024*5))^3/6)+4*(((0.15*B1024*5))^4/24)+5*(((0.15*B1024*5))^5/120))/((((0.15*B1024*5))^0/1)+(((0.15*B1024*5))^1/1)+(((0.15*B1024*5))^2/2)+(((0.15*B1024*5))^3/6)+(((0.15*B1024*5))^4/24)+(((0.15*B1024*5))^5/120))),0))+IF(Inputs!$B$3&gt;=54,9*(C994=TRUE)*MIN(1,8*(1+Inputs!$B$34/100)*Q994),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97">
      <c r="A997">
        <f>Skills!A6</f>
        <v/>
      </c>
      <c r="B997">
        <f>Skills!B6</f>
        <v/>
      </c>
      <c r="C997">
        <f>Inputs!$B$3&gt;=66</f>
        <v/>
      </c>
      <c r="D997">
        <f>IF(Skills!C6=1,60+Inputs!$B$25+(Inputs!$B$29+1),IF(Skills!C6=2,90+Inputs!$B$26+(Inputs!$B$29+1),IF(Skills!C6=3,120+Inputs!$B$27+(Inputs!$B$29+1),MAX(0,(Inputs!$B$3-100)*3)+Inputs!$B$28+(Inputs!$B$29+1))))</f>
        <v/>
      </c>
      <c r="E997">
        <f>INDEX(FactorTable!$B$2:$Y$301, MATCH(ROUND(MIN(300,MAX(1,D997)),0), FactorTable!$A$2:$A$301,0), Skills!M6+1)</f>
        <v/>
      </c>
      <c r="F997">
        <f>IF(Skills!N6=TRUE,(Skills!L6/10)*(E997/1000),Skills!L6/10)+Skills!O6</f>
        <v/>
      </c>
      <c r="G997">
        <f>Skills!G6*IF(Skills!H6&gt;0,INT(IF(Inputs!$B$38="pvp",MIN(Skills!I6,15),Skills!I6)/Skills!H6+0.000000001),1)</f>
        <v/>
      </c>
      <c r="H997">
        <f>1-(1-Skills!J6/100)^Skills!K6</f>
        <v/>
      </c>
      <c r="I997" t="inlineStr">
        <is>
          <t>1</t>
        </is>
      </c>
      <c r="J997">
        <f>((Inputs!$B$6*(1+Inputs!$B$7/100))+(((Inputs!$B$12*(1+Inputs!$B$13/100))-(Inputs!$B$12*(1+Inputs!$B$13/100)))+0.25*(Inputs!$B$14-Inputs!$B$14))*(1+Inputs!$B$7/100))*(F997/100)</f>
        <v/>
      </c>
      <c r="K997">
        <f>J997*(1+((Inputs!$B$12*(1+Inputs!$B$13/100))*0.01+Inputs!$B$14*0.0025)/100)*(1+Inputs!$B$15/100)*(1+Inputs!$B$16/100)*(5000/(6000+Inputs!$B$42*(1-(100*(1-(1-(Inputs!$B$19+0)/100)*(1-CHOOSE(ArtifactsInput!$N$40+1,5,6,7,8,9,10)/100)^(ArtifactsInput!$M$40-ArtifactsInput!$M$40)))/100)))*(1+(Inputs!$B$24+((C1017=TRUE)*(F1017-Calc!F26))+B1028)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+2.0*IF(C1006=TRUE,F1006,0)/100)*(1+(IF(Skills!A6="EIGHT_LEGS_EASTON",Inputs!$B$17+((C1014=TRUE)*(F1014-Calc!F23))+((C1018=TRUE)*(F1018-Calc!F27))+((IF(AND(Inputs!$B$38&lt;&gt;"pvp",Inputs!$B$43=0),1,IF(IF(Inputs!$B$38="pvp",15,Inputs!$B$43)-(B1029)&lt;=0,1,MAX(0,IF(Inputs!$B$38="pvp",15,Inputs!$B$43)-MAX(5,B1029))/(IF(Inputs!$B$38="pvp",15,Inputs!$B$43)-(B1029))))*(IF(AND(ArtifactsInput!$M$42,((Inputs!$B$9+((C1010=TRUE)*(F1010-Calc!F19))+B1022+(ArtifactsInput!$M$24-ArtifactsInput!$M$24)*CHOOSE(ArtifactsInput!$N$24+1,10,12,14,16,18,20)+IF(ArtifactsInput!$M$10,CHOOSE(ArtifactsInput!$N$10+1,15,18,21,24,27,30)*(IF(Inputs!$B$38="pvp",MIN(15,15)/15,IF(AND(Inputs!$B$38&lt;&gt;"pvp",Inputs!$B$43&gt;0),MIN(15,Inputs!$B$43)/(Inputs!$B$43),0))),0)))&gt;=100),MIN(100,((Inputs!$B$9+((C1010=TRUE)*(F1010-Calc!F19))+B1022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1029)&lt;=0,1,MAX(0,IF(Inputs!$B$38="pvp",15,Inputs!$B$43)-MAX(5,B1029))/(IF(Inputs!$B$38="pvp",15,Inputs!$B$43)-(B1029))))*IF(AND(ArtifactsInput!$M$42,((Inputs!$B$9+((C1010=TRUE)*(F1010-Calc!F19))+B1022+(ArtifactsInput!$M$24-ArtifactsInput!$M$24)*CHOOSE(ArtifactsInput!$N$24+1,10,12,14,16,18,20)+IF(ArtifactsInput!$M$10,CHOOSE(ArtifactsInput!$N$10+1,15,18,21,24,27,30)*(IF(Inputs!$B$38="pvp",MIN(15,15)/15,IF(AND(Inputs!$B$38&lt;&gt;"pvp",Inputs!$B$43&gt;0),MIN(15,Inputs!$B$43)/(Inputs!$B$43),0))),0)))&gt;=100),CHOOSE(ArtifactsInput!$N$42+1,40,48,56,64,72,80),0))))/100)*((1+(((C1008=TRUE)*F1008*5/7)+((C1015=TRUE)*(F1015-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997)</f>
        <v/>
      </c>
      <c r="L997">
        <f>K997*(MIN(Inputs!$B$22+((C1013=TRUE)*(F1013-Calc!F22)),(Inputs!$B$23+0+(IF(ArtifactsInput!$M$15,CHOOSE(ArtifactsInput!$N$15+1,25,30,35,40,45,50)/100*(Inputs!$B$11-Inputs!$B$11),0))))/100+(Inputs!$B$23+0+(IF(ArtifactsInput!$M$15,CHOOSE(ArtifactsInput!$N$15+1,25,30,35,40,45,50)/100*(Inputs!$B$11-Inputs!$B$11),0)))/100)/2</f>
        <v/>
      </c>
      <c r="M997">
        <f>L997*(1+(Inputs!$B$10+((C1016=TRUE)*(F1016-Calc!F25))+B1027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97">
        <f>L997*(1-MIN((Inputs!$B$9+((C1010=TRUE)*(F1010-Calc!F19))+B1022+(ArtifactsInput!$M$24-ArtifactsInput!$M$24)*CHOOSE(ArtifactsInput!$N$24+1,10,12,14,16,18,20)+(IF(AND(Inputs!$B$38&lt;&gt;"pvp",Inputs!$B$43=0),1,IF(IF(Inputs!$B$38="pvp",15,Inputs!$B$43)-(B1029)&lt;=0,1,MAX(0,IF(Inputs!$B$38="pvp",15,Inputs!$B$43)-MAX(5,B1029))/(IF(Inputs!$B$38="pvp",15,Inputs!$B$43)-(B1029))))*IF(AND(ArtifactsInput!$M$42,((Inputs!$B$9+((C1010=TRUE)*(F1010-Calc!F19))+B1022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997*(MIN((Inputs!$B$9+((C1010=TRUE)*(F1010-Calc!F19))+B1022+(ArtifactsInput!$M$24-ArtifactsInput!$M$24)*CHOOSE(ArtifactsInput!$N$24+1,10,12,14,16,18,20)+(IF(AND(Inputs!$B$38&lt;&gt;"pvp",Inputs!$B$43=0),1,IF(IF(Inputs!$B$38="pvp",15,Inputs!$B$43)-(B1029)&lt;=0,1,MAX(0,IF(Inputs!$B$38="pvp",15,Inputs!$B$43)-MAX(5,B1029))/(IF(Inputs!$B$38="pvp",15,Inputs!$B$43)-(B1029))))*IF(AND(ArtifactsInput!$M$42,((Inputs!$B$9+((C1010=TRUE)*(F1010-Calc!F19))+B1022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97">
        <f>(1-Summary!$B$11)*T997+Summary!$B$11*V997</f>
        <v/>
      </c>
      <c r="P997">
        <f>IF(B1032=0,0,O997/B1032)</f>
        <v/>
      </c>
      <c r="Q997">
        <f>IFERROR(1/(IF(Inputs!$B$38="pvp",15,MAX(0.1,Skills!D6-IF(TRUE=TRUE,Inputs!$B$32,0)))*(1-IF(AND(ArtifactsInput!$M$27,Inputs!$B$4="Chapter Hunt"),CHOOSE(ArtifactsInput!$N$27+1,20,24,28,32,36,40),0)/100)),0)</f>
        <v/>
      </c>
      <c r="R997">
        <f>IF(AND(Inputs!$B$38&lt;&gt;"pvp",Inputs!$B$43&gt;0),IF(MAX(0,Inputs!$B$43-B1029)&lt;=0,0,(INT(MAX(0,Inputs!$B$43-B1029)/(IF(Inputs!$B$38="pvp",15,MAX(0.1,Skills!D6-IF(TRUE=TRUE,Inputs!$B$32,0)))*(1-IF(AND(ArtifactsInput!$M$27,Inputs!$B$4="Chapter Hunt"),CHOOSE(ArtifactsInput!$N$27+1,20,24,28,32,36,40),0)/100)))+1)),0)</f>
        <v/>
      </c>
      <c r="S997">
        <f>IFERROR(O997/N997,0)</f>
        <v/>
      </c>
      <c r="T997">
        <f>IF(C997,(H997*N997*IF(AND(Inputs!$B$38&lt;&gt;"pvp",Inputs!$B$43&gt;0),((Skills!G6*((R997-1)*IF(Skills!H6&gt;0,INT(Skills!I6/Skills!H6+0.000000001),1)+IF(Skills!H6&gt;0,INT(MIN(Skills!I6,MAX(0,MAX(0,Inputs!$B$43-B1029)-((R997-1)*(IF(Inputs!$B$38="pvp",15,MAX(0.1,Skills!D6-IF(TRUE=TRUE,Inputs!$B$32,0)))*(1-IF(AND(ArtifactsInput!$M$27,Inputs!$B$4="Chapter Hunt"),CHOOSE(ArtifactsInput!$N$27+1,20,24,28,32,36,40),0)/100)))))/Skills!H6+0.000000001),1)))/Inputs!$B$43),G997*Q997)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Hunt"),CHOOSE(ArtifactsInput!$N$35+1,15,18,21,24,27,30)*(1-EXP(-(0.2*B1024)*5)),0)+IF(AND(ArtifactsInput!$M$22,Inputs!$B$4&lt;&gt;"Chapter Hunt"),CHOOSE(ArtifactsInput!$N$22+1,10,12,14,16,18,20)*((0*(((0.15*B1024*5))^0/1)+1*(((0.15*B1024*5))^1/1)+2*(((0.15*B1024*5))^2/2)+3*(((0.15*B1024*5))^3/6)+4*(((0.15*B1024*5))^4/24)+5*(((0.15*B1024*5))^5/120))/((((0.15*B1024*5))^0/1)+(((0.15*B1024*5))^1/1)+(((0.15*B1024*5))^2/2)+(((0.15*B1024*5))^3/6)+(((0.15*B1024*5))^4/24)+(((0.15*B1024*5))^5/120))),0))+IF(Inputs!$B$3&gt;=54,9*(C994=TRUE)*MIN(1,8*(1+Inputs!$B$34/100)*Q994)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997*(1-MIN(100,(Inputs!$B$9+((C1010=TRUE)*(F1010-Calc!F19))+B1022+(ArtifactsInput!$M$24-ArtifactsInput!$M$24)*CHOOSE(ArtifactsInput!$N$24+1,10,12,14,16,18,20)+(IF(AND(Inputs!$B$38&lt;&gt;"pvp",Inputs!$B$43=0),1,IF(IF(Inputs!$B$38="pvp",15,Inputs!$B$43)-(B1029)&lt;=0,1,MAX(0,IF(Inputs!$B$38="pvp",15,Inputs!$B$43)-MAX(5,B1029))/(IF(Inputs!$B$38="pvp",15,Inputs!$B$43)-(B1029))))*IF(AND(ArtifactsInput!$M$42,((Inputs!$B$9+((C1010=TRUE)*(F1010-Calc!F19))+B1022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997*(MIN(100,(Inputs!$B$9+((C1010=TRUE)*(F1010-Calc!F19))+B1022+(ArtifactsInput!$M$24-ArtifactsInput!$M$24)*CHOOSE(ArtifactsInput!$N$24+1,10,12,14,16,18,20)+(IF(AND(Inputs!$B$38&lt;&gt;"pvp",Inputs!$B$43=0),1,IF(IF(Inputs!$B$38="pvp",15,Inputs!$B$43)-(B1029)&lt;=0,1,MAX(0,IF(Inputs!$B$38="pvp",15,Inputs!$B$43)-MAX(5,B1029))/(IF(Inputs!$B$38="pvp",15,Inputs!$B$43)-(B1029))))*IF(AND(ArtifactsInput!$M$42,((Inputs!$B$9+((C1010=TRUE)*(F1010-Calc!F19))+B1022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997*(1-MIN(100,(Inputs!$B$9+((C1010=TRUE)*(F1010-Calc!F19))+B1022+(ArtifactsInput!$M$24-ArtifactsInput!$M$24)*CHOOSE(ArtifactsInput!$N$24+1,10,12,14,16,18,20)+(IF(AND(Inputs!$B$38&lt;&gt;"pvp",Inputs!$B$43=0),1,IF(IF(Inputs!$B$38="pvp",15,Inputs!$B$43)-(B1029)&lt;=0,1,MAX(0,IF(Inputs!$B$38="pvp",15,Inputs!$B$43)-MAX(5,B1029))/(IF(Inputs!$B$38="pvp",15,Inputs!$B$43)-(B1029))))*IF(AND(ArtifactsInput!$M$42,((Inputs!$B$9+((C1010=TRUE)*(F1010-Calc!F19))+B1022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997*(MIN(100,(Inputs!$B$9+((C1010=TRUE)*(F1010-Calc!F19))+B1022+(ArtifactsInput!$M$24-ArtifactsInput!$M$24)*CHOOSE(ArtifactsInput!$N$24+1,10,12,14,16,18,20)+(IF(AND(Inputs!$B$38&lt;&gt;"pvp",Inputs!$B$43=0),1,IF(IF(Inputs!$B$38="pvp",15,Inputs!$B$43)-(B1029)&lt;=0,1,MAX(0,IF(Inputs!$B$38="pvp",15,Inputs!$B$43)-MAX(5,B1029))/(IF(Inputs!$B$38="pvp",15,Inputs!$B$43)-(B1029))))*IF(AND(ArtifactsInput!$M$42,((Inputs!$B$9+((C1010=TRUE)*(F1010-Calc!F19))+B1022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997">
        <f>IF(C997,(H997*N997*IF(AND(Inputs!$B$38&lt;&gt;"pvp",Inputs!$B$43&gt;0),((Skills!G6*((R997-1)*IF(Skills!H6&gt;0,INT(Skills!I6/Skills!H6+0.000000001),1)+IF(Skills!H6&gt;0,INT(MIN(Skills!I6,MAX(0,MAX(0,Inputs!$B$43-B1029)-((R997-1)*(IF(Inputs!$B$38="pvp",15,MAX(0.1,Skills!D6-IF(TRUE=TRUE,Inputs!$B$32,0)))*(1-IF(AND(ArtifactsInput!$M$27,Inputs!$B$4="Chapter Hunt"),CHOOSE(ArtifactsInput!$N$27+1,20,24,28,32,36,40),0)/100)))))/Skills!H6+0.000000001),1)))/Inputs!$B$43),G997*Q997))*IF(Inputs!$B$38="pvp",1,(1+(Inputs!$B$21+Skills!Q6+(IF(ArtifactsInput!$M$33,CHOOSE(ArtifactsInput!$N$33+1,30,36,42,48,54,60),0))+(IF(AND(ArtifactsInput!$M$35,Inputs!$B$4&lt;&gt;"Chapter Hunt"),CHOOSE(ArtifactsInput!$N$35+1,15,18,21,24,27,30)*(1-EXP(-(0.2*B1024)*5)),0)+IF(AND(ArtifactsInput!$M$22,Inputs!$B$4&lt;&gt;"Chapter Hunt"),CHOOSE(ArtifactsInput!$N$22+1,10,12,14,16,18,20)*((0*(((0.15*B1024*5))^0/1)+1*(((0.15*B1024*5))^1/1)+2*(((0.15*B1024*5))^2/2)+3*(((0.15*B1024*5))^3/6)+4*(((0.15*B1024*5))^4/24)+5*(((0.15*B1024*5))^5/120))/((((0.15*B1024*5))^0/1)+(((0.15*B1024*5))^1/1)+(((0.15*B1024*5))^2/2)+(((0.15*B1024*5))^3/6)+(((0.15*B1024*5))^4/24)+(((0.15*B1024*5))^5/120))),0))+IF(Inputs!$B$3&gt;=54,9*(C994=TRUE)*MIN(1,8*(1+Inputs!$B$34/100)*Q994),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98">
      <c r="A998">
        <f>Skills!A7</f>
        <v/>
      </c>
      <c r="B998">
        <f>Skills!B7</f>
        <v/>
      </c>
      <c r="C998">
        <f>Inputs!$B$3&gt;=63</f>
        <v/>
      </c>
      <c r="D998">
        <f>IF(Skills!C7=1,60+Inputs!$B$25+(Inputs!$B$29+1),IF(Skills!C7=2,90+Inputs!$B$26+(Inputs!$B$29+1),IF(Skills!C7=3,120+Inputs!$B$27+(Inputs!$B$29+1),MAX(0,(Inputs!$B$3-100)*3)+Inputs!$B$28+(Inputs!$B$29+1))))</f>
        <v/>
      </c>
      <c r="E998">
        <f>INDEX(FactorTable!$B$2:$Y$301, MATCH(ROUND(MIN(300,MAX(1,D998)),0), FactorTable!$A$2:$A$301,0), Skills!M7+1)</f>
        <v/>
      </c>
      <c r="F998">
        <f>IF(Skills!N7=TRUE,(Skills!L7/10)*(E998/1000),Skills!L7/10)+Skills!O7</f>
        <v/>
      </c>
      <c r="G998">
        <f>Skills!G7*IF(Skills!H7&gt;0,INT(IF(Inputs!$B$38="pvp",MIN(Skills!I7,15),Skills!I7)/Skills!H7+0.000000001),1)</f>
        <v/>
      </c>
      <c r="H998">
        <f>1-(1-Skills!J7/100)^Skills!K7</f>
        <v/>
      </c>
      <c r="I998" t="inlineStr">
        <is>
          <t>1</t>
        </is>
      </c>
      <c r="J998">
        <f>((Inputs!$B$6*(1+Inputs!$B$7/100))+(((Inputs!$B$12*(1+Inputs!$B$13/100))-(Inputs!$B$12*(1+Inputs!$B$13/100)))+0.25*(Inputs!$B$14-Inputs!$B$14))*(1+Inputs!$B$7/100))*(F998/100)</f>
        <v/>
      </c>
      <c r="K998">
        <f>J998*(1+((Inputs!$B$12*(1+Inputs!$B$13/100))*0.01+Inputs!$B$14*0.0025)/100)*(1+Inputs!$B$15/100)*(1+Inputs!$B$16/100)*(5000/(6000+Inputs!$B$42*(1-(100*(1-(1-(Inputs!$B$19+0)/100)*(1-CHOOSE(ArtifactsInput!$N$40+1,5,6,7,8,9,10)/100)^(ArtifactsInput!$M$40-ArtifactsInput!$M$40)))/100)))*(1+(Inputs!$B$24+((C1017=TRUE)*(F1017-Calc!F26))+B1028)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1006=TRUE,F1006,0)/100)*(1+(IF(Skills!A7="EIGHT_LEGS_EASTON",Inputs!$B$17+((C1014=TRUE)*(F1014-Calc!F23))+((C1018=TRUE)*(F1018-Calc!F27))+((IF(AND(Inputs!$B$38&lt;&gt;"pvp",Inputs!$B$43=0),1,IF(IF(Inputs!$B$38="pvp",15,Inputs!$B$43)-(B1029)&lt;=0,1,MAX(0,IF(Inputs!$B$38="pvp",15,Inputs!$B$43)-MAX(5,B1029))/(IF(Inputs!$B$38="pvp",15,Inputs!$B$43)-(B1029))))*(IF(AND(ArtifactsInput!$M$42,((Inputs!$B$9+((C1010=TRUE)*(F1010-Calc!F19))+B1022+(ArtifactsInput!$M$24-ArtifactsInput!$M$24)*CHOOSE(ArtifactsInput!$N$24+1,10,12,14,16,18,20)+IF(ArtifactsInput!$M$10,CHOOSE(ArtifactsInput!$N$10+1,15,18,21,24,27,30)*(IF(Inputs!$B$38="pvp",MIN(15,15)/15,IF(AND(Inputs!$B$38&lt;&gt;"pvp",Inputs!$B$43&gt;0),MIN(15,Inputs!$B$43)/(Inputs!$B$43),0))),0)))&gt;=100),MIN(100,((Inputs!$B$9+((C1010=TRUE)*(F1010-Calc!F19))+B1022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1029)&lt;=0,1,MAX(0,IF(Inputs!$B$38="pvp",15,Inputs!$B$43)-MAX(5,B1029))/(IF(Inputs!$B$38="pvp",15,Inputs!$B$43)-(B1029))))*IF(AND(ArtifactsInput!$M$42,((Inputs!$B$9+((C1010=TRUE)*(F1010-Calc!F19))+B1022+(ArtifactsInput!$M$24-ArtifactsInput!$M$24)*CHOOSE(ArtifactsInput!$N$24+1,10,12,14,16,18,20)+IF(ArtifactsInput!$M$10,CHOOSE(ArtifactsInput!$N$10+1,15,18,21,24,27,30)*(IF(Inputs!$B$38="pvp",MIN(15,15)/15,IF(AND(Inputs!$B$38&lt;&gt;"pvp",Inputs!$B$43&gt;0),MIN(15,Inputs!$B$43)/(Inputs!$B$43),0))),0)))&gt;=100),CHOOSE(ArtifactsInput!$N$42+1,40,48,56,64,72,80),0))))/100)*((1+(((C1008=TRUE)*F1008*5/7)+((C1015=TRUE)*(F1015-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998)</f>
        <v/>
      </c>
      <c r="L998">
        <f>K998*(MIN(Inputs!$B$22+((C1013=TRUE)*(F1013-Calc!F22)),(Inputs!$B$23+0+(IF(ArtifactsInput!$M$15,CHOOSE(ArtifactsInput!$N$15+1,25,30,35,40,45,50)/100*(Inputs!$B$11-Inputs!$B$11),0))))/100+(Inputs!$B$23+0+(IF(ArtifactsInput!$M$15,CHOOSE(ArtifactsInput!$N$15+1,25,30,35,40,45,50)/100*(Inputs!$B$11-Inputs!$B$11),0)))/100)/2</f>
        <v/>
      </c>
      <c r="M998">
        <f>L998*(1+(Inputs!$B$10+((C1016=TRUE)*(F1016-Calc!F25))+B1027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98">
        <f>L998*(1-MIN((Inputs!$B$9+((C1010=TRUE)*(F1010-Calc!F19))+B1022+(ArtifactsInput!$M$24-ArtifactsInput!$M$24)*CHOOSE(ArtifactsInput!$N$24+1,10,12,14,16,18,20)+(IF(AND(Inputs!$B$38&lt;&gt;"pvp",Inputs!$B$43=0),1,IF(IF(Inputs!$B$38="pvp",15,Inputs!$B$43)-(B1029)&lt;=0,1,MAX(0,IF(Inputs!$B$38="pvp",15,Inputs!$B$43)-MAX(5,B1029))/(IF(Inputs!$B$38="pvp",15,Inputs!$B$43)-(B1029))))*IF(AND(ArtifactsInput!$M$42,((Inputs!$B$9+((C1010=TRUE)*(F1010-Calc!F19))+B1022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998*(MIN((Inputs!$B$9+((C1010=TRUE)*(F1010-Calc!F19))+B1022+(ArtifactsInput!$M$24-ArtifactsInput!$M$24)*CHOOSE(ArtifactsInput!$N$24+1,10,12,14,16,18,20)+(IF(AND(Inputs!$B$38&lt;&gt;"pvp",Inputs!$B$43=0),1,IF(IF(Inputs!$B$38="pvp",15,Inputs!$B$43)-(B1029)&lt;=0,1,MAX(0,IF(Inputs!$B$38="pvp",15,Inputs!$B$43)-MAX(5,B1029))/(IF(Inputs!$B$38="pvp",15,Inputs!$B$43)-(B1029))))*IF(AND(ArtifactsInput!$M$42,((Inputs!$B$9+((C1010=TRUE)*(F1010-Calc!F19))+B1022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98">
        <f>(1-Summary!$B$11)*T998+Summary!$B$11*V998</f>
        <v/>
      </c>
      <c r="P998">
        <f>IF(B1032=0,0,O998/B1032)</f>
        <v/>
      </c>
      <c r="Q998">
        <f>IFERROR(1/(IF(Inputs!$B$38="pvp",15,MAX(0.1,Skills!D7-IF(TRUE=TRUE,Inputs!$B$32,0)))*(1-IF(AND(ArtifactsInput!$M$27,Inputs!$B$4="Chapter Hunt"),CHOOSE(ArtifactsInput!$N$27+1,20,24,28,32,36,40),0)/100)),0)</f>
        <v/>
      </c>
      <c r="R998">
        <f>IF(AND(Inputs!$B$38&lt;&gt;"pvp",Inputs!$B$43&gt;0),IF(MAX(0,Inputs!$B$43-B1029)&lt;=0,0,(INT(MAX(0,Inputs!$B$43-B1029)/(IF(Inputs!$B$38="pvp",15,MAX(0.1,Skills!D7-IF(TRUE=TRUE,Inputs!$B$32,0)))*(1-IF(AND(ArtifactsInput!$M$27,Inputs!$B$4="Chapter Hunt"),CHOOSE(ArtifactsInput!$N$27+1,20,24,28,32,36,40),0)/100)))+1)),0)</f>
        <v/>
      </c>
      <c r="S998">
        <f>IFERROR(O998/N998,0)</f>
        <v/>
      </c>
      <c r="T998">
        <f>IF(C998,(H998*N998*IF(AND(Inputs!$B$38&lt;&gt;"pvp",Inputs!$B$43&gt;0),((Skills!G7*((R998-1)*IF(Skills!H7&gt;0,INT(Skills!I7/Skills!H7+0.000000001),1)+IF(Skills!H7&gt;0,INT(MIN(Skills!I7,MAX(0,MAX(0,Inputs!$B$43-B1029)-((R998-1)*(IF(Inputs!$B$38="pvp",15,MAX(0.1,Skills!D7-IF(TRUE=TRUE,Inputs!$B$32,0)))*(1-IF(AND(ArtifactsInput!$M$27,Inputs!$B$4="Chapter Hunt"),CHOOSE(ArtifactsInput!$N$27+1,20,24,28,32,36,40),0)/100)))))/Skills!H7+0.000000001),1)))/Inputs!$B$43),G998*Q998)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Hunt"),CHOOSE(ArtifactsInput!$N$35+1,15,18,21,24,27,30)*(1-EXP(-(0.2*B1024)*5)),0)+IF(AND(ArtifactsInput!$M$22,Inputs!$B$4&lt;&gt;"Chapter Hunt"),CHOOSE(ArtifactsInput!$N$22+1,10,12,14,16,18,20)*((0*(((0.15*B1024*5))^0/1)+1*(((0.15*B1024*5))^1/1)+2*(((0.15*B1024*5))^2/2)+3*(((0.15*B1024*5))^3/6)+4*(((0.15*B1024*5))^4/24)+5*(((0.15*B1024*5))^5/120))/((((0.15*B1024*5))^0/1)+(((0.15*B1024*5))^1/1)+(((0.15*B1024*5))^2/2)+(((0.15*B1024*5))^3/6)+(((0.15*B1024*5))^4/24)+(((0.15*B1024*5))^5/120))),0))+IF(Inputs!$B$3&gt;=54,9*(C994=TRUE)*MIN(1,8*(1+Inputs!$B$34/100)*Q994)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998*(1-MIN(100,(Inputs!$B$9+((C1010=TRUE)*(F1010-Calc!F19))+B1022+(ArtifactsInput!$M$24-ArtifactsInput!$M$24)*CHOOSE(ArtifactsInput!$N$24+1,10,12,14,16,18,20)+(IF(AND(Inputs!$B$38&lt;&gt;"pvp",Inputs!$B$43=0),1,IF(IF(Inputs!$B$38="pvp",15,Inputs!$B$43)-(B1029)&lt;=0,1,MAX(0,IF(Inputs!$B$38="pvp",15,Inputs!$B$43)-MAX(5,B1029))/(IF(Inputs!$B$38="pvp",15,Inputs!$B$43)-(B1029))))*IF(AND(ArtifactsInput!$M$42,((Inputs!$B$9+((C1010=TRUE)*(F1010-Calc!F19))+B1022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998*(MIN(100,(Inputs!$B$9+((C1010=TRUE)*(F1010-Calc!F19))+B1022+(ArtifactsInput!$M$24-ArtifactsInput!$M$24)*CHOOSE(ArtifactsInput!$N$24+1,10,12,14,16,18,20)+(IF(AND(Inputs!$B$38&lt;&gt;"pvp",Inputs!$B$43=0),1,IF(IF(Inputs!$B$38="pvp",15,Inputs!$B$43)-(B1029)&lt;=0,1,MAX(0,IF(Inputs!$B$38="pvp",15,Inputs!$B$43)-MAX(5,B1029))/(IF(Inputs!$B$38="pvp",15,Inputs!$B$43)-(B1029))))*IF(AND(ArtifactsInput!$M$42,((Inputs!$B$9+((C1010=TRUE)*(F1010-Calc!F19))+B1022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998*(1-MIN(100,(Inputs!$B$9+((C1010=TRUE)*(F1010-Calc!F19))+B1022+(ArtifactsInput!$M$24-ArtifactsInput!$M$24)*CHOOSE(ArtifactsInput!$N$24+1,10,12,14,16,18,20)+(IF(AND(Inputs!$B$38&lt;&gt;"pvp",Inputs!$B$43=0),1,IF(IF(Inputs!$B$38="pvp",15,Inputs!$B$43)-(B1029)&lt;=0,1,MAX(0,IF(Inputs!$B$38="pvp",15,Inputs!$B$43)-MAX(5,B1029))/(IF(Inputs!$B$38="pvp",15,Inputs!$B$43)-(B1029))))*IF(AND(ArtifactsInput!$M$42,((Inputs!$B$9+((C1010=TRUE)*(F1010-Calc!F19))+B1022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998*(MIN(100,(Inputs!$B$9+((C1010=TRUE)*(F1010-Calc!F19))+B1022+(ArtifactsInput!$M$24-ArtifactsInput!$M$24)*CHOOSE(ArtifactsInput!$N$24+1,10,12,14,16,18,20)+(IF(AND(Inputs!$B$38&lt;&gt;"pvp",Inputs!$B$43=0),1,IF(IF(Inputs!$B$38="pvp",15,Inputs!$B$43)-(B1029)&lt;=0,1,MAX(0,IF(Inputs!$B$38="pvp",15,Inputs!$B$43)-MAX(5,B1029))/(IF(Inputs!$B$38="pvp",15,Inputs!$B$43)-(B1029))))*IF(AND(ArtifactsInput!$M$42,((Inputs!$B$9+((C1010=TRUE)*(F1010-Calc!F19))+B1022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998">
        <f>IF(C998,(H998*N998*IF(AND(Inputs!$B$38&lt;&gt;"pvp",Inputs!$B$43&gt;0),((Skills!G7*((R998-1)*IF(Skills!H7&gt;0,INT(Skills!I7/Skills!H7+0.000000001),1)+IF(Skills!H7&gt;0,INT(MIN(Skills!I7,MAX(0,MAX(0,Inputs!$B$43-B1029)-((R998-1)*(IF(Inputs!$B$38="pvp",15,MAX(0.1,Skills!D7-IF(TRUE=TRUE,Inputs!$B$32,0)))*(1-IF(AND(ArtifactsInput!$M$27,Inputs!$B$4="Chapter Hunt"),CHOOSE(ArtifactsInput!$N$27+1,20,24,28,32,36,40),0)/100)))))/Skills!H7+0.000000001),1)))/Inputs!$B$43),G998*Q998))*IF(Inputs!$B$38="pvp",1,(1+(Inputs!$B$21+Skills!Q7+(IF(ArtifactsInput!$M$33,CHOOSE(ArtifactsInput!$N$33+1,30,36,42,48,54,60),0))+(IF(AND(ArtifactsInput!$M$35,Inputs!$B$4&lt;&gt;"Chapter Hunt"),CHOOSE(ArtifactsInput!$N$35+1,15,18,21,24,27,30)*(1-EXP(-(0.2*B1024)*5)),0)+IF(AND(ArtifactsInput!$M$22,Inputs!$B$4&lt;&gt;"Chapter Hunt"),CHOOSE(ArtifactsInput!$N$22+1,10,12,14,16,18,20)*((0*(((0.15*B1024*5))^0/1)+1*(((0.15*B1024*5))^1/1)+2*(((0.15*B1024*5))^2/2)+3*(((0.15*B1024*5))^3/6)+4*(((0.15*B1024*5))^4/24)+5*(((0.15*B1024*5))^5/120))/((((0.15*B1024*5))^0/1)+(((0.15*B1024*5))^1/1)+(((0.15*B1024*5))^2/2)+(((0.15*B1024*5))^3/6)+(((0.15*B1024*5))^4/24)+(((0.15*B1024*5))^5/120))),0))+IF(Inputs!$B$3&gt;=54,9*(C994=TRUE)*MIN(1,8*(1+Inputs!$B$34/100)*Q994),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99">
      <c r="A999">
        <f>Skills!A8</f>
        <v/>
      </c>
      <c r="B999">
        <f>Skills!B8</f>
        <v/>
      </c>
      <c r="C999">
        <f>Inputs!$B$3&gt;=103</f>
        <v/>
      </c>
      <c r="D999">
        <f>IF(Skills!C8=1,60+Inputs!$B$25+(Inputs!$B$29+1),IF(Skills!C8=2,90+Inputs!$B$26+(Inputs!$B$29+1),IF(Skills!C8=3,120+Inputs!$B$27+(Inputs!$B$29+1),MAX(0,(Inputs!$B$3-100)*3)+Inputs!$B$28+(Inputs!$B$29+1))))</f>
        <v/>
      </c>
      <c r="E999">
        <f>INDEX(FactorTable!$B$2:$Y$301, MATCH(ROUND(MIN(300,MAX(1,D999)),0), FactorTable!$A$2:$A$301,0), Skills!M8+1)</f>
        <v/>
      </c>
      <c r="F999">
        <f>IF(Skills!N8=TRUE,(Skills!L8/10)*(E999/1000),Skills!L8/10)+Skills!O8</f>
        <v/>
      </c>
      <c r="G999">
        <f>Skills!G8*IF(Skills!H8&gt;0,INT(IF(Inputs!$B$38="pvp",MIN(Skills!I8,15),Skills!I8)/Skills!H8+0.000000001),1)</f>
        <v/>
      </c>
      <c r="H999">
        <f>1-(1-Skills!J8/100)^Skills!K8</f>
        <v/>
      </c>
      <c r="I999" t="inlineStr">
        <is>
          <t>1</t>
        </is>
      </c>
      <c r="J999">
        <f>((Inputs!$B$6*(1+Inputs!$B$7/100))+(((Inputs!$B$12*(1+Inputs!$B$13/100))-(Inputs!$B$12*(1+Inputs!$B$13/100)))+0.25*(Inputs!$B$14-Inputs!$B$14))*(1+Inputs!$B$7/100))*(F999/100)</f>
        <v/>
      </c>
      <c r="K999">
        <f>J999*(1+((Inputs!$B$12*(1+Inputs!$B$13/100))*0.01+Inputs!$B$14*0.0025)/100)*(1+Inputs!$B$15/100)*(1+Inputs!$B$16/100)*(5000/(6000+Inputs!$B$42*(1-(100*(1-(1-(Inputs!$B$19+0)/100)*(1-CHOOSE(ArtifactsInput!$N$40+1,5,6,7,8,9,10)/100)^(ArtifactsInput!$M$40-ArtifactsInput!$M$40)))/100)))*(1+(Inputs!$B$24+((C1017=TRUE)*(F1017-Calc!F26))+B1028)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IGHT_LEGS_EASTON",Inputs!$B$17+((C1014=TRUE)*(F1014-Calc!F23))+((C1018=TRUE)*(F1018-Calc!F27))+((IF(AND(Inputs!$B$38&lt;&gt;"pvp",Inputs!$B$43=0),1,IF(IF(Inputs!$B$38="pvp",15,Inputs!$B$43)-(B1029)&lt;=0,1,MAX(0,IF(Inputs!$B$38="pvp",15,Inputs!$B$43)-MAX(5,B1029))/(IF(Inputs!$B$38="pvp",15,Inputs!$B$43)-(B1029))))*(IF(AND(ArtifactsInput!$M$42,((Inputs!$B$9+((C1010=TRUE)*(F1010-Calc!F19))+B1022+(ArtifactsInput!$M$24-ArtifactsInput!$M$24)*CHOOSE(ArtifactsInput!$N$24+1,10,12,14,16,18,20)+IF(ArtifactsInput!$M$10,CHOOSE(ArtifactsInput!$N$10+1,15,18,21,24,27,30)*(IF(Inputs!$B$38="pvp",MIN(15,15)/15,IF(AND(Inputs!$B$38&lt;&gt;"pvp",Inputs!$B$43&gt;0),MIN(15,Inputs!$B$43)/(Inputs!$B$43),0))),0)))&gt;=100),MIN(100,((Inputs!$B$9+((C1010=TRUE)*(F1010-Calc!F19))+B1022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1029)&lt;=0,1,MAX(0,IF(Inputs!$B$38="pvp",15,Inputs!$B$43)-MAX(5,B1029))/(IF(Inputs!$B$38="pvp",15,Inputs!$B$43)-(B1029))))*IF(AND(ArtifactsInput!$M$42,((Inputs!$B$9+((C1010=TRUE)*(F1010-Calc!F19))+B1022+(ArtifactsInput!$M$24-ArtifactsInput!$M$24)*CHOOSE(ArtifactsInput!$N$24+1,10,12,14,16,18,20)+IF(ArtifactsInput!$M$10,CHOOSE(ArtifactsInput!$N$10+1,15,18,21,24,27,30)*(IF(Inputs!$B$38="pvp",MIN(15,15)/15,IF(AND(Inputs!$B$38&lt;&gt;"pvp",Inputs!$B$43&gt;0),MIN(15,Inputs!$B$43)/(Inputs!$B$43),0))),0)))&gt;=100),CHOOSE(ArtifactsInput!$N$42+1,40,48,56,64,72,80),0))))/100)*((1+(((C1008=TRUE)*F1008*5/7)+((C1015=TRUE)*(F1015-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999)</f>
        <v/>
      </c>
      <c r="L999">
        <f>K999*(MIN(Inputs!$B$22+((C1013=TRUE)*(F1013-Calc!F22)),(Inputs!$B$23+0+(IF(ArtifactsInput!$M$15,CHOOSE(ArtifactsInput!$N$15+1,25,30,35,40,45,50)/100*(Inputs!$B$11-Inputs!$B$11),0))))/100+(Inputs!$B$23+0+(IF(ArtifactsInput!$M$15,CHOOSE(ArtifactsInput!$N$15+1,25,30,35,40,45,50)/100*(Inputs!$B$11-Inputs!$B$11),0)))/100)/2</f>
        <v/>
      </c>
      <c r="M999">
        <f>L999*(1+(Inputs!$B$10+((C1016=TRUE)*(F1016-Calc!F25))+B1027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99">
        <f>L999*(1-MIN((Inputs!$B$9+((C1010=TRUE)*(F1010-Calc!F19))+B1022+(ArtifactsInput!$M$24-ArtifactsInput!$M$24)*CHOOSE(ArtifactsInput!$N$24+1,10,12,14,16,18,20)+(IF(AND(Inputs!$B$38&lt;&gt;"pvp",Inputs!$B$43=0),1,IF(IF(Inputs!$B$38="pvp",15,Inputs!$B$43)-(B1029)&lt;=0,1,MAX(0,IF(Inputs!$B$38="pvp",15,Inputs!$B$43)-MAX(5,B1029))/(IF(Inputs!$B$38="pvp",15,Inputs!$B$43)-(B1029))))*IF(AND(ArtifactsInput!$M$42,((Inputs!$B$9+((C1010=TRUE)*(F1010-Calc!F19))+B1022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999*(MIN((Inputs!$B$9+((C1010=TRUE)*(F1010-Calc!F19))+B1022+(ArtifactsInput!$M$24-ArtifactsInput!$M$24)*CHOOSE(ArtifactsInput!$N$24+1,10,12,14,16,18,20)+(IF(AND(Inputs!$B$38&lt;&gt;"pvp",Inputs!$B$43=0),1,IF(IF(Inputs!$B$38="pvp",15,Inputs!$B$43)-(B1029)&lt;=0,1,MAX(0,IF(Inputs!$B$38="pvp",15,Inputs!$B$43)-MAX(5,B1029))/(IF(Inputs!$B$38="pvp",15,Inputs!$B$43)-(B1029))))*IF(AND(ArtifactsInput!$M$42,((Inputs!$B$9+((C1010=TRUE)*(F1010-Calc!F19))+B1022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99">
        <f>(1-Summary!$B$11)*T999+Summary!$B$11*V999</f>
        <v/>
      </c>
      <c r="P999">
        <f>IF(B1032=0,0,O999/B1032)</f>
        <v/>
      </c>
      <c r="Q999">
        <f>IFERROR(1/((IF(Inputs!$B$38="pvp",15,MAX(0.1,Skills!D8-IF(TRUE=TRUE,Inputs!$B$32,0)))*(1-IF(AND(ArtifactsInput!$M$27,Inputs!$B$4="Chapter Hunt"),CHOOSE(ArtifactsInput!$N$27+1,20,24,28,32,36,40),0)/100))/B1033),0)</f>
        <v/>
      </c>
      <c r="R999">
        <f>IF(AND(Inputs!$B$38&lt;&gt;"pvp",Inputs!$B$43&gt;0),IF(MAX(0,Inputs!$B$43-B1029)&lt;=0,0,(INT(MAX(0,Inputs!$B$43-B1029)/((IF(Inputs!$B$38="pvp",15,MAX(0.1,Skills!D8-IF(TRUE=TRUE,Inputs!$B$32,0)))*(1-IF(AND(ArtifactsInput!$M$27,Inputs!$B$4="Chapter Hunt"),CHOOSE(ArtifactsInput!$N$27+1,20,24,28,32,36,40),0)/100))/B1033))+1)),0)</f>
        <v/>
      </c>
      <c r="S999">
        <f>IFERROR(O999/N999,0)</f>
        <v/>
      </c>
      <c r="T999">
        <f>IF(C999,(H999*N999*IF(AND(Inputs!$B$38&lt;&gt;"pvp",Inputs!$B$43&gt;0),((Skills!G8*((R999-1)*IF(Skills!H8&gt;0,INT(Skills!I8/Skills!H8+0.000000001),1)+IF(Skills!H8&gt;0,INT(MIN(Skills!I8,MAX(0,MAX(0,Inputs!$B$43-B1029)-((R999-1)*((IF(Inputs!$B$38="pvp",15,MAX(0.1,Skills!D8-IF(TRUE=TRUE,Inputs!$B$32,0)))*(1-IF(AND(ArtifactsInput!$M$27,Inputs!$B$4="Chapter Hunt"),CHOOSE(ArtifactsInput!$N$27+1,20,24,28,32,36,40),0)/100))/B1033))))/Skills!H8+0.000000001),1)))/Inputs!$B$43),G999*Q999))*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Hunt"),CHOOSE(ArtifactsInput!$N$35+1,15,18,21,24,27,30)*(1-EXP(-(0.2*B1024)*5)),0)+IF(AND(ArtifactsInput!$M$22,Inputs!$B$4&lt;&gt;"Chapter Hunt"),CHOOSE(ArtifactsInput!$N$22+1,10,12,14,16,18,20)*((0*(((0.15*B1024*5))^0/1)+1*(((0.15*B1024*5))^1/1)+2*(((0.15*B1024*5))^2/2)+3*(((0.15*B1024*5))^3/6)+4*(((0.15*B1024*5))^4/24)+5*(((0.15*B1024*5))^5/120))/((((0.15*B1024*5))^0/1)+(((0.15*B1024*5))^1/1)+(((0.15*B1024*5))^2/2)+(((0.15*B1024*5))^3/6)+(((0.15*B1024*5))^4/24)+(((0.15*B1024*5))^5/120))),0))+IF(Inputs!$B$3&gt;=54,9*(C994=TRUE)*MIN(1,8*(1+Inputs!$B$34/100)*Q994)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999*(1-MIN(100,(Inputs!$B$9+((C1010=TRUE)*(F1010-Calc!F19))+B1022+(ArtifactsInput!$M$24-ArtifactsInput!$M$24)*CHOOSE(ArtifactsInput!$N$24+1,10,12,14,16,18,20)+(IF(AND(Inputs!$B$38&lt;&gt;"pvp",Inputs!$B$43=0),1,IF(IF(Inputs!$B$38="pvp",15,Inputs!$B$43)-(B1029)&lt;=0,1,MAX(0,IF(Inputs!$B$38="pvp",15,Inputs!$B$43)-MAX(5,B1029))/(IF(Inputs!$B$38="pvp",15,Inputs!$B$43)-(B1029))))*IF(AND(ArtifactsInput!$M$42,((Inputs!$B$9+((C1010=TRUE)*(F1010-Calc!F19))+B1022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999*(MIN(100,(Inputs!$B$9+((C1010=TRUE)*(F1010-Calc!F19))+B1022+(ArtifactsInput!$M$24-ArtifactsInput!$M$24)*CHOOSE(ArtifactsInput!$N$24+1,10,12,14,16,18,20)+(IF(AND(Inputs!$B$38&lt;&gt;"pvp",Inputs!$B$43=0),1,IF(IF(Inputs!$B$38="pvp",15,Inputs!$B$43)-(B1029)&lt;=0,1,MAX(0,IF(Inputs!$B$38="pvp",15,Inputs!$B$43)-MAX(5,B1029))/(IF(Inputs!$B$38="pvp",15,Inputs!$B$43)-(B1029))))*IF(AND(ArtifactsInput!$M$42,((Inputs!$B$9+((C1010=TRUE)*(F1010-Calc!F19))+B1022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999*(1-MIN(100,(Inputs!$B$9+((C1010=TRUE)*(F1010-Calc!F19))+B1022+(ArtifactsInput!$M$24-ArtifactsInput!$M$24)*CHOOSE(ArtifactsInput!$N$24+1,10,12,14,16,18,20)+(IF(AND(Inputs!$B$38&lt;&gt;"pvp",Inputs!$B$43=0),1,IF(IF(Inputs!$B$38="pvp",15,Inputs!$B$43)-(B1029)&lt;=0,1,MAX(0,IF(Inputs!$B$38="pvp",15,Inputs!$B$43)-MAX(5,B1029))/(IF(Inputs!$B$38="pvp",15,Inputs!$B$43)-(B1029))))*IF(AND(ArtifactsInput!$M$42,((Inputs!$B$9+((C1010=TRUE)*(F1010-Calc!F19))+B1022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999*(MIN(100,(Inputs!$B$9+((C1010=TRUE)*(F1010-Calc!F19))+B1022+(ArtifactsInput!$M$24-ArtifactsInput!$M$24)*CHOOSE(ArtifactsInput!$N$24+1,10,12,14,16,18,20)+(IF(AND(Inputs!$B$38&lt;&gt;"pvp",Inputs!$B$43=0),1,IF(IF(Inputs!$B$38="pvp",15,Inputs!$B$43)-(B1029)&lt;=0,1,MAX(0,IF(Inputs!$B$38="pvp",15,Inputs!$B$43)-MAX(5,B1029))/(IF(Inputs!$B$38="pvp",15,Inputs!$B$43)-(B1029))))*IF(AND(ArtifactsInput!$M$42,((Inputs!$B$9+((C1010=TRUE)*(F1010-Calc!F19))+B1022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999">
        <f>IF(C999,(H999*N999*IF(AND(Inputs!$B$38&lt;&gt;"pvp",Inputs!$B$43&gt;0),((Skills!G8*((R999-1)*IF(Skills!H8&gt;0,INT(Skills!I8/Skills!H8+0.000000001),1)+IF(Skills!H8&gt;0,INT(MIN(Skills!I8,MAX(0,MAX(0,Inputs!$B$43-B1029)-((R999-1)*((IF(Inputs!$B$38="pvp",15,MAX(0.1,Skills!D8-IF(TRUE=TRUE,Inputs!$B$32,0)))*(1-IF(AND(ArtifactsInput!$M$27,Inputs!$B$4="Chapter Hunt"),CHOOSE(ArtifactsInput!$N$27+1,20,24,28,32,36,40),0)/100))/B1033))))/Skills!H8+0.000000001),1)))/Inputs!$B$43),G999*Q999))*IF(Inputs!$B$38="pvp",1,(1+(Inputs!$B$21+Skills!Q8+(IF(ArtifactsInput!$M$33,CHOOSE(ArtifactsInput!$N$33+1,30,36,42,48,54,60),0))+(IF(AND(ArtifactsInput!$M$35,Inputs!$B$4&lt;&gt;"Chapter Hunt"),CHOOSE(ArtifactsInput!$N$35+1,15,18,21,24,27,30)*(1-EXP(-(0.2*B1024)*5)),0)+IF(AND(ArtifactsInput!$M$22,Inputs!$B$4&lt;&gt;"Chapter Hunt"),CHOOSE(ArtifactsInput!$N$22+1,10,12,14,16,18,20)*((0*(((0.15*B1024*5))^0/1)+1*(((0.15*B1024*5))^1/1)+2*(((0.15*B1024*5))^2/2)+3*(((0.15*B1024*5))^3/6)+4*(((0.15*B1024*5))^4/24)+5*(((0.15*B1024*5))^5/120))/((((0.15*B1024*5))^0/1)+(((0.15*B1024*5))^1/1)+(((0.15*B1024*5))^2/2)+(((0.15*B1024*5))^3/6)+(((0.15*B1024*5))^4/24)+(((0.15*B1024*5))^5/120))),0))+IF(Inputs!$B$3&gt;=54,9*(C994=TRUE)*MIN(1,8*(1+Inputs!$B$34/100)*Q994),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00">
      <c r="A1000">
        <f>Skills!A9</f>
        <v/>
      </c>
      <c r="B1000">
        <f>Skills!B9</f>
        <v/>
      </c>
      <c r="C1000">
        <f>Inputs!$B$3&gt;=105</f>
        <v/>
      </c>
      <c r="D1000">
        <f>IF(Skills!C9=1,60+Inputs!$B$25+(Inputs!$B$29+1),IF(Skills!C9=2,90+Inputs!$B$26+(Inputs!$B$29+1),IF(Skills!C9=3,120+Inputs!$B$27+(Inputs!$B$29+1),MAX(0,(Inputs!$B$3-100)*3)+Inputs!$B$28+(Inputs!$B$29+1))))</f>
        <v/>
      </c>
      <c r="E1000">
        <f>INDEX(FactorTable!$B$2:$Y$301, MATCH(ROUND(MIN(300,MAX(1,D1000)),0), FactorTable!$A$2:$A$301,0), Skills!M9+1)</f>
        <v/>
      </c>
      <c r="F1000">
        <f>IF(Skills!N9=TRUE,(Skills!L9/10)*(E1000/1000),Skills!L9/10)+Skills!O9</f>
        <v/>
      </c>
      <c r="G1000">
        <f>Skills!G9*IF(Skills!H9&gt;0,INT(IF(Inputs!$B$38="pvp",MIN(Skills!I9,15),Skills!I9)/Skills!H9+0.000000001),1)</f>
        <v/>
      </c>
      <c r="H1000">
        <f>1-(1-Skills!J9/100)^Skills!K9</f>
        <v/>
      </c>
      <c r="I1000" t="inlineStr">
        <is>
          <t>1</t>
        </is>
      </c>
      <c r="J1000">
        <f>((Inputs!$B$6*(1+Inputs!$B$7/100))+(((Inputs!$B$12*(1+Inputs!$B$13/100))-(Inputs!$B$12*(1+Inputs!$B$13/100)))+0.25*(Inputs!$B$14-Inputs!$B$14))*(1+Inputs!$B$7/100))*(F1000/100)</f>
        <v/>
      </c>
      <c r="K1000">
        <f>J1000*(1+((Inputs!$B$12*(1+Inputs!$B$13/100))*0.01+Inputs!$B$14*0.0025)/100)*(1+Inputs!$B$15/100)*(1+Inputs!$B$16/100)*(5000/(6000+Inputs!$B$42*(1-(100*(1-(1-(Inputs!$B$19+0)/100)*(1-CHOOSE(ArtifactsInput!$N$40+1,5,6,7,8,9,10)/100)^(ArtifactsInput!$M$40-ArtifactsInput!$M$40)))/100)))*(1+(Inputs!$B$24+((C1017=TRUE)*(F1017-Calc!F26))+B1028)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IGHT_LEGS_EASTON",Inputs!$B$17+((C1014=TRUE)*(F1014-Calc!F23))+((C1018=TRUE)*(F1018-Calc!F27))+((IF(AND(Inputs!$B$38&lt;&gt;"pvp",Inputs!$B$43=0),1,IF(IF(Inputs!$B$38="pvp",15,Inputs!$B$43)-(B1029)&lt;=0,1,MAX(0,IF(Inputs!$B$38="pvp",15,Inputs!$B$43)-MAX(5,B1029))/(IF(Inputs!$B$38="pvp",15,Inputs!$B$43)-(B1029))))*(IF(AND(ArtifactsInput!$M$42,((Inputs!$B$9+((C1010=TRUE)*(F1010-Calc!F19))+B1022+(ArtifactsInput!$M$24-ArtifactsInput!$M$24)*CHOOSE(ArtifactsInput!$N$24+1,10,12,14,16,18,20)+IF(ArtifactsInput!$M$10,CHOOSE(ArtifactsInput!$N$10+1,15,18,21,24,27,30)*(IF(Inputs!$B$38="pvp",MIN(15,15)/15,IF(AND(Inputs!$B$38&lt;&gt;"pvp",Inputs!$B$43&gt;0),MIN(15,Inputs!$B$43)/(Inputs!$B$43),0))),0)))&gt;=100),MIN(100,((Inputs!$B$9+((C1010=TRUE)*(F1010-Calc!F19))+B1022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1029)&lt;=0,1,MAX(0,IF(Inputs!$B$38="pvp",15,Inputs!$B$43)-MAX(5,B1029))/(IF(Inputs!$B$38="pvp",15,Inputs!$B$43)-(B1029))))*IF(AND(ArtifactsInput!$M$42,((Inputs!$B$9+((C1010=TRUE)*(F1010-Calc!F19))+B1022+(ArtifactsInput!$M$24-ArtifactsInput!$M$24)*CHOOSE(ArtifactsInput!$N$24+1,10,12,14,16,18,20)+IF(ArtifactsInput!$M$10,CHOOSE(ArtifactsInput!$N$10+1,15,18,21,24,27,30)*(IF(Inputs!$B$38="pvp",MIN(15,15)/15,IF(AND(Inputs!$B$38&lt;&gt;"pvp",Inputs!$B$43&gt;0),MIN(15,Inputs!$B$43)/(Inputs!$B$43),0))),0)))&gt;=100),CHOOSE(ArtifactsInput!$N$42+1,40,48,56,64,72,80),0))))/100)*((1+(((C1008=TRUE)*F1008*5/7)+((C1015=TRUE)*(F1015-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1000)</f>
        <v/>
      </c>
      <c r="L1000">
        <f>K1000*(MIN(Inputs!$B$22+((C1013=TRUE)*(F1013-Calc!F22)),(Inputs!$B$23+0+(IF(ArtifactsInput!$M$15,CHOOSE(ArtifactsInput!$N$15+1,25,30,35,40,45,50)/100*(Inputs!$B$11-Inputs!$B$11),0))))/100+(Inputs!$B$23+0+(IF(ArtifactsInput!$M$15,CHOOSE(ArtifactsInput!$N$15+1,25,30,35,40,45,50)/100*(Inputs!$B$11-Inputs!$B$11),0)))/100)/2</f>
        <v/>
      </c>
      <c r="M1000">
        <f>L1000*(1+(Inputs!$B$10+((C1016=TRUE)*(F1016-Calc!F25))+B1027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00">
        <f>L1000*(1-MIN((Inputs!$B$9+((C1010=TRUE)*(F1010-Calc!F19))+B1022+(ArtifactsInput!$M$24-ArtifactsInput!$M$24)*CHOOSE(ArtifactsInput!$N$24+1,10,12,14,16,18,20)+(IF(AND(Inputs!$B$38&lt;&gt;"pvp",Inputs!$B$43=0),1,IF(IF(Inputs!$B$38="pvp",15,Inputs!$B$43)-(B1029)&lt;=0,1,MAX(0,IF(Inputs!$B$38="pvp",15,Inputs!$B$43)-MAX(5,B1029))/(IF(Inputs!$B$38="pvp",15,Inputs!$B$43)-(B1029))))*IF(AND(ArtifactsInput!$M$42,((Inputs!$B$9+((C1010=TRUE)*(F1010-Calc!F19))+B1022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1000*(MIN((Inputs!$B$9+((C1010=TRUE)*(F1010-Calc!F19))+B1022+(ArtifactsInput!$M$24-ArtifactsInput!$M$24)*CHOOSE(ArtifactsInput!$N$24+1,10,12,14,16,18,20)+(IF(AND(Inputs!$B$38&lt;&gt;"pvp",Inputs!$B$43=0),1,IF(IF(Inputs!$B$38="pvp",15,Inputs!$B$43)-(B1029)&lt;=0,1,MAX(0,IF(Inputs!$B$38="pvp",15,Inputs!$B$43)-MAX(5,B1029))/(IF(Inputs!$B$38="pvp",15,Inputs!$B$43)-(B1029))))*IF(AND(ArtifactsInput!$M$42,((Inputs!$B$9+((C1010=TRUE)*(F1010-Calc!F19))+B1022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00">
        <f>(1-Summary!$B$11)*T1000+Summary!$B$11*V1000</f>
        <v/>
      </c>
      <c r="P1000">
        <f>IF(B1032=0,0,O1000/B1032)</f>
        <v/>
      </c>
      <c r="Q1000">
        <f>IFERROR(1/(IF(Inputs!$B$38="pvp",15,MAX(0.1,Skills!D9-IF(TRUE=TRUE,Inputs!$B$32,0)))*(1-IF(AND(ArtifactsInput!$M$27,Inputs!$B$4="Chapter Hunt"),CHOOSE(ArtifactsInput!$N$27+1,20,24,28,32,36,40),0)/100)),0)</f>
        <v/>
      </c>
      <c r="R1000">
        <f>IF(AND(Inputs!$B$38&lt;&gt;"pvp",Inputs!$B$43&gt;0),IF(MAX(0,Inputs!$B$43-B1029)&lt;=0,0,(INT(MAX(0,Inputs!$B$43-B1029)/(IF(Inputs!$B$38="pvp",15,MAX(0.1,Skills!D9-IF(TRUE=TRUE,Inputs!$B$32,0)))*(1-IF(AND(ArtifactsInput!$M$27,Inputs!$B$4="Chapter Hunt"),CHOOSE(ArtifactsInput!$N$27+1,20,24,28,32,36,40),0)/100)))+1)),0)</f>
        <v/>
      </c>
      <c r="S1000">
        <f>IFERROR(O1000/N1000,0)</f>
        <v/>
      </c>
      <c r="T1000">
        <f>IF(C1000,(H1000*N1000*IF(AND(Inputs!$B$38&lt;&gt;"pvp",Inputs!$B$43&gt;0),((Skills!G9*((R1000-1)*IF(Skills!H9&gt;0,INT(Skills!I9/Skills!H9+0.000000001),1)+IF(Skills!H9&gt;0,INT(MIN(Skills!I9,MAX(0,MAX(0,Inputs!$B$43-B1029)-((R1000-1)*(IF(Inputs!$B$38="pvp",15,MAX(0.1,Skills!D9-IF(TRUE=TRUE,Inputs!$B$32,0)))*(1-IF(AND(ArtifactsInput!$M$27,Inputs!$B$4="Chapter Hunt"),CHOOSE(ArtifactsInput!$N$27+1,20,24,28,32,36,40),0)/100)))))/Skills!H9+0.000000001),1)))/Inputs!$B$43),G1000*Q1000)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Hunt"),CHOOSE(ArtifactsInput!$N$35+1,15,18,21,24,27,30)*(1-EXP(-(0.2*B1024)*5)),0)+IF(AND(ArtifactsInput!$M$22,Inputs!$B$4&lt;&gt;"Chapter Hunt"),CHOOSE(ArtifactsInput!$N$22+1,10,12,14,16,18,20)*((0*(((0.15*B1024*5))^0/1)+1*(((0.15*B1024*5))^1/1)+2*(((0.15*B1024*5))^2/2)+3*(((0.15*B1024*5))^3/6)+4*(((0.15*B1024*5))^4/24)+5*(((0.15*B1024*5))^5/120))/((((0.15*B1024*5))^0/1)+(((0.15*B1024*5))^1/1)+(((0.15*B1024*5))^2/2)+(((0.15*B1024*5))^3/6)+(((0.15*B1024*5))^4/24)+(((0.15*B1024*5))^5/120))),0))+IF(Inputs!$B$3&gt;=54,9*(C994=TRUE)*MIN(1,8*(1+Inputs!$B$34/100)*Q994)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1000*(1-MIN(100,(Inputs!$B$9+((C1010=TRUE)*(F1010-Calc!F19))+B1022+(ArtifactsInput!$M$24-ArtifactsInput!$M$24)*CHOOSE(ArtifactsInput!$N$24+1,10,12,14,16,18,20)+(IF(AND(Inputs!$B$38&lt;&gt;"pvp",Inputs!$B$43=0),1,IF(IF(Inputs!$B$38="pvp",15,Inputs!$B$43)-(B1029)&lt;=0,1,MAX(0,IF(Inputs!$B$38="pvp",15,Inputs!$B$43)-MAX(5,B1029))/(IF(Inputs!$B$38="pvp",15,Inputs!$B$43)-(B1029))))*IF(AND(ArtifactsInput!$M$42,((Inputs!$B$9+((C1010=TRUE)*(F1010-Calc!F19))+B1022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1000*(MIN(100,(Inputs!$B$9+((C1010=TRUE)*(F1010-Calc!F19))+B1022+(ArtifactsInput!$M$24-ArtifactsInput!$M$24)*CHOOSE(ArtifactsInput!$N$24+1,10,12,14,16,18,20)+(IF(AND(Inputs!$B$38&lt;&gt;"pvp",Inputs!$B$43=0),1,IF(IF(Inputs!$B$38="pvp",15,Inputs!$B$43)-(B1029)&lt;=0,1,MAX(0,IF(Inputs!$B$38="pvp",15,Inputs!$B$43)-MAX(5,B1029))/(IF(Inputs!$B$38="pvp",15,Inputs!$B$43)-(B1029))))*IF(AND(ArtifactsInput!$M$42,((Inputs!$B$9+((C1010=TRUE)*(F1010-Calc!F19))+B1022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1000*(1-MIN(100,(Inputs!$B$9+((C1010=TRUE)*(F1010-Calc!F19))+B1022+(ArtifactsInput!$M$24-ArtifactsInput!$M$24)*CHOOSE(ArtifactsInput!$N$24+1,10,12,14,16,18,20)+(IF(AND(Inputs!$B$38&lt;&gt;"pvp",Inputs!$B$43=0),1,IF(IF(Inputs!$B$38="pvp",15,Inputs!$B$43)-(B1029)&lt;=0,1,MAX(0,IF(Inputs!$B$38="pvp",15,Inputs!$B$43)-MAX(5,B1029))/(IF(Inputs!$B$38="pvp",15,Inputs!$B$43)-(B1029))))*IF(AND(ArtifactsInput!$M$42,((Inputs!$B$9+((C1010=TRUE)*(F1010-Calc!F19))+B1022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1000*(MIN(100,(Inputs!$B$9+((C1010=TRUE)*(F1010-Calc!F19))+B1022+(ArtifactsInput!$M$24-ArtifactsInput!$M$24)*CHOOSE(ArtifactsInput!$N$24+1,10,12,14,16,18,20)+(IF(AND(Inputs!$B$38&lt;&gt;"pvp",Inputs!$B$43=0),1,IF(IF(Inputs!$B$38="pvp",15,Inputs!$B$43)-(B1029)&lt;=0,1,MAX(0,IF(Inputs!$B$38="pvp",15,Inputs!$B$43)-MAX(5,B1029))/(IF(Inputs!$B$38="pvp",15,Inputs!$B$43)-(B1029))))*IF(AND(ArtifactsInput!$M$42,((Inputs!$B$9+((C1010=TRUE)*(F1010-Calc!F19))+B1022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000">
        <f>IF(C1000,(H1000*N1000*IF(AND(Inputs!$B$38&lt;&gt;"pvp",Inputs!$B$43&gt;0),((Skills!G9*((R1000-1)*IF(Skills!H9&gt;0,INT(Skills!I9/Skills!H9+0.000000001),1)+IF(Skills!H9&gt;0,INT(MIN(Skills!I9,MAX(0,MAX(0,Inputs!$B$43-B1029)-((R1000-1)*(IF(Inputs!$B$38="pvp",15,MAX(0.1,Skills!D9-IF(TRUE=TRUE,Inputs!$B$32,0)))*(1-IF(AND(ArtifactsInput!$M$27,Inputs!$B$4="Chapter Hunt"),CHOOSE(ArtifactsInput!$N$27+1,20,24,28,32,36,40),0)/100)))))/Skills!H9+0.000000001),1)))/Inputs!$B$43),G1000*Q1000))*IF(Inputs!$B$38="pvp",1,(1+(Inputs!$B$21+Skills!Q9+(IF(ArtifactsInput!$M$33,CHOOSE(ArtifactsInput!$N$33+1,30,36,42,48,54,60),0))+(IF(AND(ArtifactsInput!$M$35,Inputs!$B$4&lt;&gt;"Chapter Hunt"),CHOOSE(ArtifactsInput!$N$35+1,15,18,21,24,27,30)*(1-EXP(-(0.2*B1024)*5)),0)+IF(AND(ArtifactsInput!$M$22,Inputs!$B$4&lt;&gt;"Chapter Hunt"),CHOOSE(ArtifactsInput!$N$22+1,10,12,14,16,18,20)*((0*(((0.15*B1024*5))^0/1)+1*(((0.15*B1024*5))^1/1)+2*(((0.15*B1024*5))^2/2)+3*(((0.15*B1024*5))^3/6)+4*(((0.15*B1024*5))^4/24)+5*(((0.15*B1024*5))^5/120))/((((0.15*B1024*5))^0/1)+(((0.15*B1024*5))^1/1)+(((0.15*B1024*5))^2/2)+(((0.15*B1024*5))^3/6)+(((0.15*B1024*5))^4/24)+(((0.15*B1024*5))^5/120))),0))+IF(Inputs!$B$3&gt;=54,9*(C994=TRUE)*MIN(1,8*(1+Inputs!$B$34/100)*Q994),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01">
      <c r="A1001">
        <f>Skills!A10</f>
        <v/>
      </c>
      <c r="B1001">
        <f>Skills!B10</f>
        <v/>
      </c>
      <c r="C1001">
        <f>Inputs!$B$3&gt;=113</f>
        <v/>
      </c>
      <c r="D1001">
        <f>IF(Skills!C10=1,60+Inputs!$B$25+(Inputs!$B$29+1),IF(Skills!C10=2,90+Inputs!$B$26+(Inputs!$B$29+1),IF(Skills!C10=3,120+Inputs!$B$27+(Inputs!$B$29+1),MAX(0,(Inputs!$B$3-100)*3)+Inputs!$B$28+(Inputs!$B$29+1))))</f>
        <v/>
      </c>
      <c r="E1001">
        <f>INDEX(FactorTable!$B$2:$Y$301, MATCH(ROUND(MIN(300,MAX(1,D1001)),0), FactorTable!$A$2:$A$301,0), Skills!M10+1)</f>
        <v/>
      </c>
      <c r="F1001">
        <f>IF(Skills!N10=TRUE,(Skills!L10/10)*(E1001/1000),Skills!L10/10)+Skills!O10</f>
        <v/>
      </c>
      <c r="G1001">
        <f>Skills!G10*IF(Skills!H10&gt;0,INT(IF(Inputs!$B$38="pvp",MIN(Skills!I10,15),Skills!I10)/Skills!H10+0.000000001),1)</f>
        <v/>
      </c>
      <c r="H1001">
        <f>1-(1-Skills!J10/100)^Skills!K10</f>
        <v/>
      </c>
      <c r="I1001" t="inlineStr">
        <is>
          <t>1</t>
        </is>
      </c>
      <c r="J1001">
        <f>((Inputs!$B$6*(1+Inputs!$B$7/100))+(((Inputs!$B$12*(1+Inputs!$B$13/100))-(Inputs!$B$12*(1+Inputs!$B$13/100)))+0.25*(Inputs!$B$14-Inputs!$B$14))*(1+Inputs!$B$7/100))*(F1001/100)</f>
        <v/>
      </c>
      <c r="K1001">
        <f>J1001*(1+((Inputs!$B$12*(1+Inputs!$B$13/100))*0.01+Inputs!$B$14*0.0025)/100)*(1+Inputs!$B$15/100)*(1+Inputs!$B$16/100)*(5000/(6000+Inputs!$B$42*(1-(100*(1-(1-(Inputs!$B$19+0)/100)*(1-CHOOSE(ArtifactsInput!$N$40+1,5,6,7,8,9,10)/100)^(ArtifactsInput!$M$40-ArtifactsInput!$M$40)))/100)))*(1+(Inputs!$B$24+((C1017=TRUE)*(F1017-Calc!F26))+B1028)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IGHT_LEGS_EASTON",Inputs!$B$17+((C1014=TRUE)*(F1014-Calc!F23))+((C1018=TRUE)*(F1018-Calc!F27))+((IF(AND(Inputs!$B$38&lt;&gt;"pvp",Inputs!$B$43=0),1,IF(IF(Inputs!$B$38="pvp",15,Inputs!$B$43)-(B1029)&lt;=0,1,MAX(0,IF(Inputs!$B$38="pvp",15,Inputs!$B$43)-MAX(5,B1029))/(IF(Inputs!$B$38="pvp",15,Inputs!$B$43)-(B1029))))*(IF(AND(ArtifactsInput!$M$42,((Inputs!$B$9+((C1010=TRUE)*(F1010-Calc!F19))+B1022+(ArtifactsInput!$M$24-ArtifactsInput!$M$24)*CHOOSE(ArtifactsInput!$N$24+1,10,12,14,16,18,20)+IF(ArtifactsInput!$M$10,CHOOSE(ArtifactsInput!$N$10+1,15,18,21,24,27,30)*(IF(Inputs!$B$38="pvp",MIN(15,15)/15,IF(AND(Inputs!$B$38&lt;&gt;"pvp",Inputs!$B$43&gt;0),MIN(15,Inputs!$B$43)/(Inputs!$B$43),0))),0)))&gt;=100),MIN(100,((Inputs!$B$9+((C1010=TRUE)*(F1010-Calc!F19))+B1022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1029)&lt;=0,1,MAX(0,IF(Inputs!$B$38="pvp",15,Inputs!$B$43)-MAX(5,B1029))/(IF(Inputs!$B$38="pvp",15,Inputs!$B$43)-(B1029))))*IF(AND(ArtifactsInput!$M$42,((Inputs!$B$9+((C1010=TRUE)*(F1010-Calc!F19))+B1022+(ArtifactsInput!$M$24-ArtifactsInput!$M$24)*CHOOSE(ArtifactsInput!$N$24+1,10,12,14,16,18,20)+IF(ArtifactsInput!$M$10,CHOOSE(ArtifactsInput!$N$10+1,15,18,21,24,27,30)*(IF(Inputs!$B$38="pvp",MIN(15,15)/15,IF(AND(Inputs!$B$38&lt;&gt;"pvp",Inputs!$B$43&gt;0),MIN(15,Inputs!$B$43)/(Inputs!$B$43),0))),0)))&gt;=100),CHOOSE(ArtifactsInput!$N$42+1,40,48,56,64,72,80),0))))/100)*((1+(((C1008=TRUE)*F1008*5/7)+((C1015=TRUE)*(F1015-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1001)</f>
        <v/>
      </c>
      <c r="L1001">
        <f>K1001*(MIN(Inputs!$B$22+((C1013=TRUE)*(F1013-Calc!F22)),(Inputs!$B$23+0+(IF(ArtifactsInput!$M$15,CHOOSE(ArtifactsInput!$N$15+1,25,30,35,40,45,50)/100*(Inputs!$B$11-Inputs!$B$11),0))))/100+(Inputs!$B$23+0+(IF(ArtifactsInput!$M$15,CHOOSE(ArtifactsInput!$N$15+1,25,30,35,40,45,50)/100*(Inputs!$B$11-Inputs!$B$11),0)))/100)/2</f>
        <v/>
      </c>
      <c r="M1001">
        <f>L1001*(1+(Inputs!$B$10+((C1016=TRUE)*(F1016-Calc!F25))+B1027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01">
        <f>L1001*(1-MIN((Inputs!$B$9+((C1010=TRUE)*(F1010-Calc!F19))+B1022+(ArtifactsInput!$M$24-ArtifactsInput!$M$24)*CHOOSE(ArtifactsInput!$N$24+1,10,12,14,16,18,20)+(IF(AND(Inputs!$B$38&lt;&gt;"pvp",Inputs!$B$43=0),1,IF(IF(Inputs!$B$38="pvp",15,Inputs!$B$43)-(B1029)&lt;=0,1,MAX(0,IF(Inputs!$B$38="pvp",15,Inputs!$B$43)-MAX(5,B1029))/(IF(Inputs!$B$38="pvp",15,Inputs!$B$43)-(B1029))))*IF(AND(ArtifactsInput!$M$42,((Inputs!$B$9+((C1010=TRUE)*(F1010-Calc!F19))+B1022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1001*(MIN((Inputs!$B$9+((C1010=TRUE)*(F1010-Calc!F19))+B1022+(ArtifactsInput!$M$24-ArtifactsInput!$M$24)*CHOOSE(ArtifactsInput!$N$24+1,10,12,14,16,18,20)+(IF(AND(Inputs!$B$38&lt;&gt;"pvp",Inputs!$B$43=0),1,IF(IF(Inputs!$B$38="pvp",15,Inputs!$B$43)-(B1029)&lt;=0,1,MAX(0,IF(Inputs!$B$38="pvp",15,Inputs!$B$43)-MAX(5,B1029))/(IF(Inputs!$B$38="pvp",15,Inputs!$B$43)-(B1029))))*IF(AND(ArtifactsInput!$M$42,((Inputs!$B$9+((C1010=TRUE)*(F1010-Calc!F19))+B1022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01">
        <f>(1-Summary!$B$11)*T1001+Summary!$B$11*V1001</f>
        <v/>
      </c>
      <c r="P1001">
        <f>IF(B1032=0,0,O1001/B1032)</f>
        <v/>
      </c>
      <c r="Q1001" t="n">
        <v>0</v>
      </c>
      <c r="R1001" t="n">
        <v>0</v>
      </c>
      <c r="S1001">
        <f>IFERROR(O1001/N1001,0)</f>
        <v/>
      </c>
      <c r="T1001">
        <f>IF(C1001,((H1001*B1034)/(1+Skills!H10*H1001*B1034)*N1001)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Hunt"),CHOOSE(ArtifactsInput!$N$35+1,15,18,21,24,27,30)*(1-EXP(-(0.2*B1024)*5)),0)+IF(AND(ArtifactsInput!$M$22,Inputs!$B$4&lt;&gt;"Chapter Hunt"),CHOOSE(ArtifactsInput!$N$22+1,10,12,14,16,18,20)*((0*(((0.15*B1024*5))^0/1)+1*(((0.15*B1024*5))^1/1)+2*(((0.15*B1024*5))^2/2)+3*(((0.15*B1024*5))^3/6)+4*(((0.15*B1024*5))^4/24)+5*(((0.15*B1024*5))^5/120))/((((0.15*B1024*5))^0/1)+(((0.15*B1024*5))^1/1)+(((0.15*B1024*5))^2/2)+(((0.15*B1024*5))^3/6)+(((0.15*B1024*5))^4/24)+(((0.15*B1024*5))^5/120))),0))+IF(Inputs!$B$3&gt;=54,9*(C994=TRUE)*MIN(1,8*(1+Inputs!$B$34/100)*Q994)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1001*(1-MIN(100,(Inputs!$B$9+((C1010=TRUE)*(F1010-Calc!F19))+B1022+(ArtifactsInput!$M$24-ArtifactsInput!$M$24)*CHOOSE(ArtifactsInput!$N$24+1,10,12,14,16,18,20)+(IF(AND(Inputs!$B$38&lt;&gt;"pvp",Inputs!$B$43=0),1,IF(IF(Inputs!$B$38="pvp",15,Inputs!$B$43)-(B1029)&lt;=0,1,MAX(0,IF(Inputs!$B$38="pvp",15,Inputs!$B$43)-MAX(5,B1029))/(IF(Inputs!$B$38="pvp",15,Inputs!$B$43)-(B1029))))*IF(AND(ArtifactsInput!$M$42,((Inputs!$B$9+((C1010=TRUE)*(F1010-Calc!F19))+B1022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1001*(MIN(100,(Inputs!$B$9+((C1010=TRUE)*(F1010-Calc!F19))+B1022+(ArtifactsInput!$M$24-ArtifactsInput!$M$24)*CHOOSE(ArtifactsInput!$N$24+1,10,12,14,16,18,20)+(IF(AND(Inputs!$B$38&lt;&gt;"pvp",Inputs!$B$43=0),1,IF(IF(Inputs!$B$38="pvp",15,Inputs!$B$43)-(B1029)&lt;=0,1,MAX(0,IF(Inputs!$B$38="pvp",15,Inputs!$B$43)-MAX(5,B1029))/(IF(Inputs!$B$38="pvp",15,Inputs!$B$43)-(B1029))))*IF(AND(ArtifactsInput!$M$42,((Inputs!$B$9+((C1010=TRUE)*(F1010-Calc!F19))+B1022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1001*(1-MIN(100,(Inputs!$B$9+((C1010=TRUE)*(F1010-Calc!F19))+B1022+(ArtifactsInput!$M$24-ArtifactsInput!$M$24)*CHOOSE(ArtifactsInput!$N$24+1,10,12,14,16,18,20)+(IF(AND(Inputs!$B$38&lt;&gt;"pvp",Inputs!$B$43=0),1,IF(IF(Inputs!$B$38="pvp",15,Inputs!$B$43)-(B1029)&lt;=0,1,MAX(0,IF(Inputs!$B$38="pvp",15,Inputs!$B$43)-MAX(5,B1029))/(IF(Inputs!$B$38="pvp",15,Inputs!$B$43)-(B1029))))*IF(AND(ArtifactsInput!$M$42,((Inputs!$B$9+((C1010=TRUE)*(F1010-Calc!F19))+B1022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1001*(MIN(100,(Inputs!$B$9+((C1010=TRUE)*(F1010-Calc!F19))+B1022+(ArtifactsInput!$M$24-ArtifactsInput!$M$24)*CHOOSE(ArtifactsInput!$N$24+1,10,12,14,16,18,20)+(IF(AND(Inputs!$B$38&lt;&gt;"pvp",Inputs!$B$43=0),1,IF(IF(Inputs!$B$38="pvp",15,Inputs!$B$43)-(B1029)&lt;=0,1,MAX(0,IF(Inputs!$B$38="pvp",15,Inputs!$B$43)-MAX(5,B1029))/(IF(Inputs!$B$38="pvp",15,Inputs!$B$43)-(B1029))))*IF(AND(ArtifactsInput!$M$42,((Inputs!$B$9+((C1010=TRUE)*(F1010-Calc!F19))+B1022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001">
        <f>IF(C1001,((H1001*B1034)/(1+Skills!H10*H1001*B1034)*N1001)*IF(Inputs!$B$38="pvp",1,(1+(Inputs!$B$21+Skills!Q10+(IF(ArtifactsInput!$M$33,CHOOSE(ArtifactsInput!$N$33+1,30,36,42,48,54,60),0))+(IF(AND(ArtifactsInput!$M$35,Inputs!$B$4&lt;&gt;"Chapter Hunt"),CHOOSE(ArtifactsInput!$N$35+1,15,18,21,24,27,30)*(1-EXP(-(0.2*B1024)*5)),0)+IF(AND(ArtifactsInput!$M$22,Inputs!$B$4&lt;&gt;"Chapter Hunt"),CHOOSE(ArtifactsInput!$N$22+1,10,12,14,16,18,20)*((0*(((0.15*B1024*5))^0/1)+1*(((0.15*B1024*5))^1/1)+2*(((0.15*B1024*5))^2/2)+3*(((0.15*B1024*5))^3/6)+4*(((0.15*B1024*5))^4/24)+5*(((0.15*B1024*5))^5/120))/((((0.15*B1024*5))^0/1)+(((0.15*B1024*5))^1/1)+(((0.15*B1024*5))^2/2)+(((0.15*B1024*5))^3/6)+(((0.15*B1024*5))^4/24)+(((0.15*B1024*5))^5/120))),0))+IF(Inputs!$B$3&gt;=54,9*(C994=TRUE)*MIN(1,8*(1+Inputs!$B$34/100)*Q994),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02">
      <c r="A1002">
        <f>Skills!A11</f>
        <v/>
      </c>
      <c r="B1002">
        <f>Skills!B11</f>
        <v/>
      </c>
      <c r="C1002">
        <f>Inputs!$B$3&gt;=117</f>
        <v/>
      </c>
      <c r="D1002">
        <f>IF(Skills!C11=1,60+Inputs!$B$25+(Inputs!$B$29+1),IF(Skills!C11=2,90+Inputs!$B$26+(Inputs!$B$29+1),IF(Skills!C11=3,120+Inputs!$B$27+(Inputs!$B$29+1),MAX(0,(Inputs!$B$3-100)*3)+Inputs!$B$28+(Inputs!$B$29+1))))</f>
        <v/>
      </c>
      <c r="E1002">
        <f>INDEX(FactorTable!$B$2:$Y$301, MATCH(ROUND(MIN(300,MAX(1,D1002)),0), FactorTable!$A$2:$A$301,0), Skills!M11+1)</f>
        <v/>
      </c>
      <c r="F1002">
        <f>IF(Skills!N11=TRUE,(Skills!L11/10)*(E1002/1000),Skills!L11/10)+Skills!O11</f>
        <v/>
      </c>
      <c r="G1002">
        <f>Skills!G11*IF(Skills!H11&gt;0,INT(IF(Inputs!$B$38="pvp",MIN(Skills!I11,15),Skills!I11)/Skills!H11+0.000000001),1)</f>
        <v/>
      </c>
      <c r="H1002">
        <f>1-(1-Skills!J11/100)^Skills!K11</f>
        <v/>
      </c>
      <c r="I1002" t="inlineStr">
        <is>
          <t>1</t>
        </is>
      </c>
      <c r="J1002">
        <f>((Inputs!$B$6*(1+Inputs!$B$7/100))+(((Inputs!$B$12*(1+Inputs!$B$13/100))-(Inputs!$B$12*(1+Inputs!$B$13/100)))+0.25*(Inputs!$B$14-Inputs!$B$14))*(1+Inputs!$B$7/100))*(F1002/100)</f>
        <v/>
      </c>
      <c r="K1002">
        <f>J1002*(1+((Inputs!$B$12*(1+Inputs!$B$13/100))*0.01+Inputs!$B$14*0.0025)/100)*(1+Inputs!$B$15/100)*(1+Inputs!$B$16/100)*(5000/(6000+Inputs!$B$42*(1-(100*(1-(1-(Inputs!$B$19+0)/100)*(1-CHOOSE(ArtifactsInput!$N$40+1,5,6,7,8,9,10)/100)^(ArtifactsInput!$M$40-ArtifactsInput!$M$40)))/100)))*(1+(Inputs!$B$24+((C1017=TRUE)*(F1017-Calc!F26))+B1028)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IGHT_LEGS_EASTON",Inputs!$B$17+((C1014=TRUE)*(F1014-Calc!F23))+((C1018=TRUE)*(F1018-Calc!F27))+((IF(AND(Inputs!$B$38&lt;&gt;"pvp",Inputs!$B$43=0),1,IF(IF(Inputs!$B$38="pvp",15,Inputs!$B$43)-(B1029)&lt;=0,1,MAX(0,IF(Inputs!$B$38="pvp",15,Inputs!$B$43)-MAX(5,B1029))/(IF(Inputs!$B$38="pvp",15,Inputs!$B$43)-(B1029))))*(IF(AND(ArtifactsInput!$M$42,((Inputs!$B$9+((C1010=TRUE)*(F1010-Calc!F19))+B1022+(ArtifactsInput!$M$24-ArtifactsInput!$M$24)*CHOOSE(ArtifactsInput!$N$24+1,10,12,14,16,18,20)+IF(ArtifactsInput!$M$10,CHOOSE(ArtifactsInput!$N$10+1,15,18,21,24,27,30)*(IF(Inputs!$B$38="pvp",MIN(15,15)/15,IF(AND(Inputs!$B$38&lt;&gt;"pvp",Inputs!$B$43&gt;0),MIN(15,Inputs!$B$43)/(Inputs!$B$43),0))),0)))&gt;=100),MIN(100,((Inputs!$B$9+((C1010=TRUE)*(F1010-Calc!F19))+B1022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1029)&lt;=0,1,MAX(0,IF(Inputs!$B$38="pvp",15,Inputs!$B$43)-MAX(5,B1029))/(IF(Inputs!$B$38="pvp",15,Inputs!$B$43)-(B1029))))*IF(AND(ArtifactsInput!$M$42,((Inputs!$B$9+((C1010=TRUE)*(F1010-Calc!F19))+B1022+(ArtifactsInput!$M$24-ArtifactsInput!$M$24)*CHOOSE(ArtifactsInput!$N$24+1,10,12,14,16,18,20)+IF(ArtifactsInput!$M$10,CHOOSE(ArtifactsInput!$N$10+1,15,18,21,24,27,30)*(IF(Inputs!$B$38="pvp",MIN(15,15)/15,IF(AND(Inputs!$B$38&lt;&gt;"pvp",Inputs!$B$43&gt;0),MIN(15,Inputs!$B$43)/(Inputs!$B$43),0))),0)))&gt;=100),CHOOSE(ArtifactsInput!$N$42+1,40,48,56,64,72,80),0))))/100)*((1+(((C1008=TRUE)*F1008*5/7)+((C1015=TRUE)*(F1015-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1002)</f>
        <v/>
      </c>
      <c r="L1002">
        <f>K1002*(MIN(Inputs!$B$22+((C1013=TRUE)*(F1013-Calc!F22)),(Inputs!$B$23+0+(IF(ArtifactsInput!$M$15,CHOOSE(ArtifactsInput!$N$15+1,25,30,35,40,45,50)/100*(Inputs!$B$11-Inputs!$B$11),0))))/100+(Inputs!$B$23+0+(IF(ArtifactsInput!$M$15,CHOOSE(ArtifactsInput!$N$15+1,25,30,35,40,45,50)/100*(Inputs!$B$11-Inputs!$B$11),0)))/100)/2</f>
        <v/>
      </c>
      <c r="M1002">
        <f>L1002*(1+(Inputs!$B$10+((C1016=TRUE)*(F1016-Calc!F25))+B1027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02">
        <f>L1002*(1-MIN((Inputs!$B$9+((C1010=TRUE)*(F1010-Calc!F19))+B1022+(ArtifactsInput!$M$24-ArtifactsInput!$M$24)*CHOOSE(ArtifactsInput!$N$24+1,10,12,14,16,18,20)+(IF(AND(Inputs!$B$38&lt;&gt;"pvp",Inputs!$B$43=0),1,IF(IF(Inputs!$B$38="pvp",15,Inputs!$B$43)-(B1029)&lt;=0,1,MAX(0,IF(Inputs!$B$38="pvp",15,Inputs!$B$43)-MAX(5,B1029))/(IF(Inputs!$B$38="pvp",15,Inputs!$B$43)-(B1029))))*IF(AND(ArtifactsInput!$M$42,((Inputs!$B$9+((C1010=TRUE)*(F1010-Calc!F19))+B1022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1002*(MIN((Inputs!$B$9+((C1010=TRUE)*(F1010-Calc!F19))+B1022+(ArtifactsInput!$M$24-ArtifactsInput!$M$24)*CHOOSE(ArtifactsInput!$N$24+1,10,12,14,16,18,20)+(IF(AND(Inputs!$B$38&lt;&gt;"pvp",Inputs!$B$43=0),1,IF(IF(Inputs!$B$38="pvp",15,Inputs!$B$43)-(B1029)&lt;=0,1,MAX(0,IF(Inputs!$B$38="pvp",15,Inputs!$B$43)-MAX(5,B1029))/(IF(Inputs!$B$38="pvp",15,Inputs!$B$43)-(B1029))))*IF(AND(ArtifactsInput!$M$42,((Inputs!$B$9+((C1010=TRUE)*(F1010-Calc!F19))+B1022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02">
        <f>(1-Summary!$B$11)*T1002+Summary!$B$11*V1002</f>
        <v/>
      </c>
      <c r="P1002">
        <f>IF(B1032=0,0,O1002/B1032)</f>
        <v/>
      </c>
      <c r="Q1002">
        <f>IFERROR(1/((IF(Inputs!$B$38="pvp",15,MAX(0.1,Skills!D11-IF(TRUE=TRUE,Inputs!$B$32,0)))*(1-IF(AND(ArtifactsInput!$M$27,Inputs!$B$4="Chapter Hunt"),CHOOSE(ArtifactsInput!$N$27+1,20,24,28,32,36,40),0)/100))/B1033),0)</f>
        <v/>
      </c>
      <c r="R1002">
        <f>IF(AND(Inputs!$B$38&lt;&gt;"pvp",Inputs!$B$43&gt;0),IF(MAX(0,Inputs!$B$43-B1029)&lt;=0,0,(INT(MAX(0,Inputs!$B$43-B1029)/((IF(Inputs!$B$38="pvp",15,MAX(0.1,Skills!D11-IF(TRUE=TRUE,Inputs!$B$32,0)))*(1-IF(AND(ArtifactsInput!$M$27,Inputs!$B$4="Chapter Hunt"),CHOOSE(ArtifactsInput!$N$27+1,20,24,28,32,36,40),0)/100))/B1033))+1)),0)</f>
        <v/>
      </c>
      <c r="S1002">
        <f>IFERROR(O1002/N1002,0)</f>
        <v/>
      </c>
      <c r="T1002">
        <f>IF(C1002,(H1002*N1002*IF(AND(Inputs!$B$38&lt;&gt;"pvp",Inputs!$B$43&gt;0),((Skills!G11*((R1002-1)*IF(Skills!H11&gt;0,INT(Skills!I11/Skills!H11+0.000000001),1)+IF(Skills!H11&gt;0,INT(MIN(Skills!I11,MAX(0,MAX(0,Inputs!$B$43-B1029)-((R1002-1)*((IF(Inputs!$B$38="pvp",15,MAX(0.1,Skills!D11-IF(TRUE=TRUE,Inputs!$B$32,0)))*(1-IF(AND(ArtifactsInput!$M$27,Inputs!$B$4="Chapter Hunt"),CHOOSE(ArtifactsInput!$N$27+1,20,24,28,32,36,40),0)/100))/B1033))))/Skills!H11+0.000000001),1)))/Inputs!$B$43),G1002*Q1002)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Hunt"),CHOOSE(ArtifactsInput!$N$35+1,15,18,21,24,27,30)*(1-EXP(-(0.2*B1024)*5)),0)+IF(AND(ArtifactsInput!$M$22,Inputs!$B$4&lt;&gt;"Chapter Hunt"),CHOOSE(ArtifactsInput!$N$22+1,10,12,14,16,18,20)*((0*(((0.15*B1024*5))^0/1)+1*(((0.15*B1024*5))^1/1)+2*(((0.15*B1024*5))^2/2)+3*(((0.15*B1024*5))^3/6)+4*(((0.15*B1024*5))^4/24)+5*(((0.15*B1024*5))^5/120))/((((0.15*B1024*5))^0/1)+(((0.15*B1024*5))^1/1)+(((0.15*B1024*5))^2/2)+(((0.15*B1024*5))^3/6)+(((0.15*B1024*5))^4/24)+(((0.15*B1024*5))^5/120))),0))+IF(Inputs!$B$3&gt;=54,9*(C994=TRUE)*MIN(1,8*(1+Inputs!$B$34/100)*Q994)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1002*(1-MIN(100,(Inputs!$B$9+((C1010=TRUE)*(F1010-Calc!F19))+B1022+(ArtifactsInput!$M$24-ArtifactsInput!$M$24)*CHOOSE(ArtifactsInput!$N$24+1,10,12,14,16,18,20)+(IF(AND(Inputs!$B$38&lt;&gt;"pvp",Inputs!$B$43=0),1,IF(IF(Inputs!$B$38="pvp",15,Inputs!$B$43)-(B1029)&lt;=0,1,MAX(0,IF(Inputs!$B$38="pvp",15,Inputs!$B$43)-MAX(5,B1029))/(IF(Inputs!$B$38="pvp",15,Inputs!$B$43)-(B1029))))*IF(AND(ArtifactsInput!$M$42,((Inputs!$B$9+((C1010=TRUE)*(F1010-Calc!F19))+B1022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1002*(MIN(100,(Inputs!$B$9+((C1010=TRUE)*(F1010-Calc!F19))+B1022+(ArtifactsInput!$M$24-ArtifactsInput!$M$24)*CHOOSE(ArtifactsInput!$N$24+1,10,12,14,16,18,20)+(IF(AND(Inputs!$B$38&lt;&gt;"pvp",Inputs!$B$43=0),1,IF(IF(Inputs!$B$38="pvp",15,Inputs!$B$43)-(B1029)&lt;=0,1,MAX(0,IF(Inputs!$B$38="pvp",15,Inputs!$B$43)-MAX(5,B1029))/(IF(Inputs!$B$38="pvp",15,Inputs!$B$43)-(B1029))))*IF(AND(ArtifactsInput!$M$42,((Inputs!$B$9+((C1010=TRUE)*(F1010-Calc!F19))+B1022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1002*(1-MIN(100,(Inputs!$B$9+((C1010=TRUE)*(F1010-Calc!F19))+B1022+(ArtifactsInput!$M$24-ArtifactsInput!$M$24)*CHOOSE(ArtifactsInput!$N$24+1,10,12,14,16,18,20)+(IF(AND(Inputs!$B$38&lt;&gt;"pvp",Inputs!$B$43=0),1,IF(IF(Inputs!$B$38="pvp",15,Inputs!$B$43)-(B1029)&lt;=0,1,MAX(0,IF(Inputs!$B$38="pvp",15,Inputs!$B$43)-MAX(5,B1029))/(IF(Inputs!$B$38="pvp",15,Inputs!$B$43)-(B1029))))*IF(AND(ArtifactsInput!$M$42,((Inputs!$B$9+((C1010=TRUE)*(F1010-Calc!F19))+B1022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1002*(MIN(100,(Inputs!$B$9+((C1010=TRUE)*(F1010-Calc!F19))+B1022+(ArtifactsInput!$M$24-ArtifactsInput!$M$24)*CHOOSE(ArtifactsInput!$N$24+1,10,12,14,16,18,20)+(IF(AND(Inputs!$B$38&lt;&gt;"pvp",Inputs!$B$43=0),1,IF(IF(Inputs!$B$38="pvp",15,Inputs!$B$43)-(B1029)&lt;=0,1,MAX(0,IF(Inputs!$B$38="pvp",15,Inputs!$B$43)-MAX(5,B1029))/(IF(Inputs!$B$38="pvp",15,Inputs!$B$43)-(B1029))))*IF(AND(ArtifactsInput!$M$42,((Inputs!$B$9+((C1010=TRUE)*(F1010-Calc!F19))+B1022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002">
        <f>IF(C1002,(H1002*N1002*IF(AND(Inputs!$B$38&lt;&gt;"pvp",Inputs!$B$43&gt;0),((Skills!G11*((R1002-1)*IF(Skills!H11&gt;0,INT(Skills!I11/Skills!H11+0.000000001),1)+IF(Skills!H11&gt;0,INT(MIN(Skills!I11,MAX(0,MAX(0,Inputs!$B$43-B1029)-((R1002-1)*((IF(Inputs!$B$38="pvp",15,MAX(0.1,Skills!D11-IF(TRUE=TRUE,Inputs!$B$32,0)))*(1-IF(AND(ArtifactsInput!$M$27,Inputs!$B$4="Chapter Hunt"),CHOOSE(ArtifactsInput!$N$27+1,20,24,28,32,36,40),0)/100))/B1033))))/Skills!H11+0.000000001),1)))/Inputs!$B$43),G1002*Q1002))*IF(Inputs!$B$38="pvp",1,(1+(Inputs!$B$21+Skills!Q11+(IF(ArtifactsInput!$M$33,CHOOSE(ArtifactsInput!$N$33+1,30,36,42,48,54,60),0))+(IF(AND(ArtifactsInput!$M$35,Inputs!$B$4&lt;&gt;"Chapter Hunt"),CHOOSE(ArtifactsInput!$N$35+1,15,18,21,24,27,30)*(1-EXP(-(0.2*B1024)*5)),0)+IF(AND(ArtifactsInput!$M$22,Inputs!$B$4&lt;&gt;"Chapter Hunt"),CHOOSE(ArtifactsInput!$N$22+1,10,12,14,16,18,20)*((0*(((0.15*B1024*5))^0/1)+1*(((0.15*B1024*5))^1/1)+2*(((0.15*B1024*5))^2/2)+3*(((0.15*B1024*5))^3/6)+4*(((0.15*B1024*5))^4/24)+5*(((0.15*B1024*5))^5/120))/((((0.15*B1024*5))^0/1)+(((0.15*B1024*5))^1/1)+(((0.15*B1024*5))^2/2)+(((0.15*B1024*5))^3/6)+(((0.15*B1024*5))^4/24)+(((0.15*B1024*5))^5/120))),0))+IF(Inputs!$B$3&gt;=54,9*(C994=TRUE)*MIN(1,8*(1+Inputs!$B$34/100)*Q994),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03">
      <c r="A1003">
        <f>Skills!A12</f>
        <v/>
      </c>
      <c r="B1003">
        <f>Skills!B12</f>
        <v/>
      </c>
      <c r="C1003">
        <f>Inputs!$B$3&gt;=110</f>
        <v/>
      </c>
      <c r="D1003">
        <f>IF(Skills!C12=1,60+Inputs!$B$25+(Inputs!$B$29+1),IF(Skills!C12=2,90+Inputs!$B$26+(Inputs!$B$29+1),IF(Skills!C12=3,120+Inputs!$B$27+(Inputs!$B$29+1),MAX(0,(Inputs!$B$3-100)*3)+Inputs!$B$28+(Inputs!$B$29+1))))</f>
        <v/>
      </c>
      <c r="E1003">
        <f>INDEX(FactorTable!$B$2:$Y$301, MATCH(ROUND(MIN(300,MAX(1,D1003)),0), FactorTable!$A$2:$A$301,0), Skills!M12+1)</f>
        <v/>
      </c>
      <c r="F1003">
        <f>IF(Skills!N12=TRUE,(Skills!L12/10)*(E1003/1000),Skills!L12/10)+Skills!O12</f>
        <v/>
      </c>
      <c r="G1003">
        <f>Skills!G12*IF(Skills!H12&gt;0,INT(IF(Inputs!$B$38="pvp",MIN(Skills!I12,15),Skills!I12)/Skills!H12+0.000000001),1)</f>
        <v/>
      </c>
      <c r="H1003">
        <f>1-(1-Skills!J12/100)^Skills!K12</f>
        <v/>
      </c>
      <c r="I1003" t="inlineStr">
        <is>
          <t>1</t>
        </is>
      </c>
      <c r="J1003">
        <f>((Inputs!$B$6*(1+Inputs!$B$7/100))+(((Inputs!$B$12*(1+Inputs!$B$13/100))-(Inputs!$B$12*(1+Inputs!$B$13/100)))+0.25*(Inputs!$B$14-Inputs!$B$14))*(1+Inputs!$B$7/100))*(F1003/100)</f>
        <v/>
      </c>
      <c r="K1003">
        <f>J1003*(1+((Inputs!$B$12*(1+Inputs!$B$13/100))*0.01+Inputs!$B$14*0.0025)/100)*(1+Inputs!$B$15/100)*(1+Inputs!$B$16/100)*(5000/(6000+Inputs!$B$42*(1-(100*(1-(1-(Inputs!$B$19+0)/100)*(1-CHOOSE(ArtifactsInput!$N$40+1,5,6,7,8,9,10)/100)^(ArtifactsInput!$M$40-ArtifactsInput!$M$40)))/100)))*(1+(Inputs!$B$24+((C1017=TRUE)*(F1017-Calc!F26))+B1028)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EIGHT_LEGS_EASTON",Inputs!$B$17+((C1014=TRUE)*(F1014-Calc!F23))+((C1018=TRUE)*(F1018-Calc!F27))+((IF(AND(Inputs!$B$38&lt;&gt;"pvp",Inputs!$B$43=0),1,IF(IF(Inputs!$B$38="pvp",15,Inputs!$B$43)-(B1029)&lt;=0,1,MAX(0,IF(Inputs!$B$38="pvp",15,Inputs!$B$43)-MAX(5,B1029))/(IF(Inputs!$B$38="pvp",15,Inputs!$B$43)-(B1029))))*(IF(AND(ArtifactsInput!$M$42,((Inputs!$B$9+((C1010=TRUE)*(F1010-Calc!F19))+B1022+(ArtifactsInput!$M$24-ArtifactsInput!$M$24)*CHOOSE(ArtifactsInput!$N$24+1,10,12,14,16,18,20)+IF(ArtifactsInput!$M$10,CHOOSE(ArtifactsInput!$N$10+1,15,18,21,24,27,30)*(IF(Inputs!$B$38="pvp",MIN(15,15)/15,IF(AND(Inputs!$B$38&lt;&gt;"pvp",Inputs!$B$43&gt;0),MIN(15,Inputs!$B$43)/(Inputs!$B$43),0))),0)))&gt;=100),MIN(100,((Inputs!$B$9+((C1010=TRUE)*(F1010-Calc!F19))+B1022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1029)&lt;=0,1,MAX(0,IF(Inputs!$B$38="pvp",15,Inputs!$B$43)-MAX(5,B1029))/(IF(Inputs!$B$38="pvp",15,Inputs!$B$43)-(B1029))))*IF(AND(ArtifactsInput!$M$42,((Inputs!$B$9+((C1010=TRUE)*(F1010-Calc!F19))+B1022+(ArtifactsInput!$M$24-ArtifactsInput!$M$24)*CHOOSE(ArtifactsInput!$N$24+1,10,12,14,16,18,20)+IF(ArtifactsInput!$M$10,CHOOSE(ArtifactsInput!$N$10+1,15,18,21,24,27,30)*(IF(Inputs!$B$38="pvp",MIN(15,15)/15,IF(AND(Inputs!$B$38&lt;&gt;"pvp",Inputs!$B$43&gt;0),MIN(15,Inputs!$B$43)/(Inputs!$B$43),0))),0)))&gt;=100),CHOOSE(ArtifactsInput!$N$42+1,40,48,56,64,72,80),0))))/100)*((1+(((C1008=TRUE)*F1008*5/7)+((C1015=TRUE)*(F1015-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1003)</f>
        <v/>
      </c>
      <c r="L1003">
        <f>K1003*(MIN(Inputs!$B$22+((C1013=TRUE)*(F1013-Calc!F22)),(Inputs!$B$23+0+(IF(ArtifactsInput!$M$15,CHOOSE(ArtifactsInput!$N$15+1,25,30,35,40,45,50)/100*(Inputs!$B$11-Inputs!$B$11),0))))/100+(Inputs!$B$23+0+(IF(ArtifactsInput!$M$15,CHOOSE(ArtifactsInput!$N$15+1,25,30,35,40,45,50)/100*(Inputs!$B$11-Inputs!$B$11),0)))/100)/2</f>
        <v/>
      </c>
      <c r="M1003">
        <f>L1003*(1+(Inputs!$B$10+((C1016=TRUE)*(F1016-Calc!F25))+B1027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03">
        <f>L1003*(1-MIN((Inputs!$B$9+((C1010=TRUE)*(F1010-Calc!F19))+B1022+(ArtifactsInput!$M$24-ArtifactsInput!$M$24)*CHOOSE(ArtifactsInput!$N$24+1,10,12,14,16,18,20)+(IF(AND(Inputs!$B$38&lt;&gt;"pvp",Inputs!$B$43=0),1,IF(IF(Inputs!$B$38="pvp",15,Inputs!$B$43)-(B1029)&lt;=0,1,MAX(0,IF(Inputs!$B$38="pvp",15,Inputs!$B$43)-MAX(5,B1029))/(IF(Inputs!$B$38="pvp",15,Inputs!$B$43)-(B1029))))*IF(AND(ArtifactsInput!$M$42,((Inputs!$B$9+((C1010=TRUE)*(F1010-Calc!F19))+B1022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1003*(MIN((Inputs!$B$9+((C1010=TRUE)*(F1010-Calc!F19))+B1022+(ArtifactsInput!$M$24-ArtifactsInput!$M$24)*CHOOSE(ArtifactsInput!$N$24+1,10,12,14,16,18,20)+(IF(AND(Inputs!$B$38&lt;&gt;"pvp",Inputs!$B$43=0),1,IF(IF(Inputs!$B$38="pvp",15,Inputs!$B$43)-(B1029)&lt;=0,1,MAX(0,IF(Inputs!$B$38="pvp",15,Inputs!$B$43)-MAX(5,B1029))/(IF(Inputs!$B$38="pvp",15,Inputs!$B$43)-(B1029))))*IF(AND(ArtifactsInput!$M$42,((Inputs!$B$9+((C1010=TRUE)*(F1010-Calc!F19))+B1022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03">
        <f>(1-Summary!$B$11)*T1003+Summary!$B$11*V1003</f>
        <v/>
      </c>
      <c r="P1003">
        <f>IF(B1032=0,0,O1003/B1032)</f>
        <v/>
      </c>
      <c r="Q1003">
        <f>IFERROR(1/(IF(Inputs!$B$38="pvp",15,MAX(0.1,Skills!D12-IF(TRUE=TRUE,Inputs!$B$32,0)))*(1-IF(AND(ArtifactsInput!$M$27,Inputs!$B$4="Chapter Hunt"),CHOOSE(ArtifactsInput!$N$27+1,20,24,28,32,36,40),0)/100)),0)</f>
        <v/>
      </c>
      <c r="R1003">
        <f>IF(AND(Inputs!$B$38&lt;&gt;"pvp",Inputs!$B$43&gt;0),IF(MAX(0,Inputs!$B$43-B1029)&lt;=0,0,(INT(MAX(0,Inputs!$B$43-B1029)/(IF(Inputs!$B$38="pvp",15,MAX(0.1,Skills!D12-IF(TRUE=TRUE,Inputs!$B$32,0)))*(1-IF(AND(ArtifactsInput!$M$27,Inputs!$B$4="Chapter Hunt"),CHOOSE(ArtifactsInput!$N$27+1,20,24,28,32,36,40),0)/100)))+1)),0)</f>
        <v/>
      </c>
      <c r="S1003">
        <f>IFERROR(O1003/N1003,0)</f>
        <v/>
      </c>
      <c r="T1003">
        <f>IF(C1003,(H1003*N1003*IF(AND(Inputs!$B$38&lt;&gt;"pvp",Inputs!$B$43&gt;0),((Skills!G12*((R1003-1)*IF(Skills!H12&gt;0,INT(Skills!I12/Skills!H12+0.000000001),1)+IF(Skills!H12&gt;0,INT(MIN(Skills!I12,MAX(0,MAX(0,Inputs!$B$43-B1029)-((R1003-1)*(IF(Inputs!$B$38="pvp",15,MAX(0.1,Skills!D12-IF(TRUE=TRUE,Inputs!$B$32,0)))*(1-IF(AND(ArtifactsInput!$M$27,Inputs!$B$4="Chapter Hunt"),CHOOSE(ArtifactsInput!$N$27+1,20,24,28,32,36,40),0)/100)))))/Skills!H12+0.000000001),1)))/Inputs!$B$43),G1003*Q1003))*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Hunt"),CHOOSE(ArtifactsInput!$N$35+1,15,18,21,24,27,30)*(1-EXP(-(0.2*B1024)*5)),0)+IF(AND(ArtifactsInput!$M$22,Inputs!$B$4&lt;&gt;"Chapter Hunt"),CHOOSE(ArtifactsInput!$N$22+1,10,12,14,16,18,20)*((0*(((0.15*B1024*5))^0/1)+1*(((0.15*B1024*5))^1/1)+2*(((0.15*B1024*5))^2/2)+3*(((0.15*B1024*5))^3/6)+4*(((0.15*B1024*5))^4/24)+5*(((0.15*B1024*5))^5/120))/((((0.15*B1024*5))^0/1)+(((0.15*B1024*5))^1/1)+(((0.15*B1024*5))^2/2)+(((0.15*B1024*5))^3/6)+(((0.15*B1024*5))^4/24)+(((0.15*B1024*5))^5/120))),0))+IF(Inputs!$B$3&gt;=54,9*(C994=TRUE)*MIN(1,8*(1+Inputs!$B$34/100)*Q994)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1003*(1-MIN(100,(Inputs!$B$9+((C1010=TRUE)*(F1010-Calc!F19))+B1022+(ArtifactsInput!$M$24-ArtifactsInput!$M$24)*CHOOSE(ArtifactsInput!$N$24+1,10,12,14,16,18,20)+(IF(AND(Inputs!$B$38&lt;&gt;"pvp",Inputs!$B$43=0),1,IF(IF(Inputs!$B$38="pvp",15,Inputs!$B$43)-(B1029)&lt;=0,1,MAX(0,IF(Inputs!$B$38="pvp",15,Inputs!$B$43)-MAX(5,B1029))/(IF(Inputs!$B$38="pvp",15,Inputs!$B$43)-(B1029))))*IF(AND(ArtifactsInput!$M$42,((Inputs!$B$9+((C1010=TRUE)*(F1010-Calc!F19))+B1022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1003*(MIN(100,(Inputs!$B$9+((C1010=TRUE)*(F1010-Calc!F19))+B1022+(ArtifactsInput!$M$24-ArtifactsInput!$M$24)*CHOOSE(ArtifactsInput!$N$24+1,10,12,14,16,18,20)+(IF(AND(Inputs!$B$38&lt;&gt;"pvp",Inputs!$B$43=0),1,IF(IF(Inputs!$B$38="pvp",15,Inputs!$B$43)-(B1029)&lt;=0,1,MAX(0,IF(Inputs!$B$38="pvp",15,Inputs!$B$43)-MAX(5,B1029))/(IF(Inputs!$B$38="pvp",15,Inputs!$B$43)-(B1029))))*IF(AND(ArtifactsInput!$M$42,((Inputs!$B$9+((C1010=TRUE)*(F1010-Calc!F19))+B1022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1003*(1-MIN(100,(Inputs!$B$9+((C1010=TRUE)*(F1010-Calc!F19))+B1022+(ArtifactsInput!$M$24-ArtifactsInput!$M$24)*CHOOSE(ArtifactsInput!$N$24+1,10,12,14,16,18,20)+(IF(AND(Inputs!$B$38&lt;&gt;"pvp",Inputs!$B$43=0),1,IF(IF(Inputs!$B$38="pvp",15,Inputs!$B$43)-(B1029)&lt;=0,1,MAX(0,IF(Inputs!$B$38="pvp",15,Inputs!$B$43)-MAX(5,B1029))/(IF(Inputs!$B$38="pvp",15,Inputs!$B$43)-(B1029))))*IF(AND(ArtifactsInput!$M$42,((Inputs!$B$9+((C1010=TRUE)*(F1010-Calc!F19))+B1022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1003*(MIN(100,(Inputs!$B$9+((C1010=TRUE)*(F1010-Calc!F19))+B1022+(ArtifactsInput!$M$24-ArtifactsInput!$M$24)*CHOOSE(ArtifactsInput!$N$24+1,10,12,14,16,18,20)+(IF(AND(Inputs!$B$38&lt;&gt;"pvp",Inputs!$B$43=0),1,IF(IF(Inputs!$B$38="pvp",15,Inputs!$B$43)-(B1029)&lt;=0,1,MAX(0,IF(Inputs!$B$38="pvp",15,Inputs!$B$43)-MAX(5,B1029))/(IF(Inputs!$B$38="pvp",15,Inputs!$B$43)-(B1029))))*IF(AND(ArtifactsInput!$M$42,((Inputs!$B$9+((C1010=TRUE)*(F1010-Calc!F19))+B1022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003">
        <f>IF(C1003,(H1003*N1003*IF(AND(Inputs!$B$38&lt;&gt;"pvp",Inputs!$B$43&gt;0),((Skills!G12*((R1003-1)*IF(Skills!H12&gt;0,INT(Skills!I12/Skills!H12+0.000000001),1)+IF(Skills!H12&gt;0,INT(MIN(Skills!I12,MAX(0,MAX(0,Inputs!$B$43-B1029)-((R1003-1)*(IF(Inputs!$B$38="pvp",15,MAX(0.1,Skills!D12-IF(TRUE=TRUE,Inputs!$B$32,0)))*(1-IF(AND(ArtifactsInput!$M$27,Inputs!$B$4="Chapter Hunt"),CHOOSE(ArtifactsInput!$N$27+1,20,24,28,32,36,40),0)/100)))))/Skills!H12+0.000000001),1)))/Inputs!$B$43),G1003*Q1003))*IF(Inputs!$B$38="pvp",1,(1+(Inputs!$B$21+Skills!Q12+(IF(ArtifactsInput!$M$33,CHOOSE(ArtifactsInput!$N$33+1,30,36,42,48,54,60),0))+(IF(AND(ArtifactsInput!$M$35,Inputs!$B$4&lt;&gt;"Chapter Hunt"),CHOOSE(ArtifactsInput!$N$35+1,15,18,21,24,27,30)*(1-EXP(-(0.2*B1024)*5)),0)+IF(AND(ArtifactsInput!$M$22,Inputs!$B$4&lt;&gt;"Chapter Hunt"),CHOOSE(ArtifactsInput!$N$22+1,10,12,14,16,18,20)*((0*(((0.15*B1024*5))^0/1)+1*(((0.15*B1024*5))^1/1)+2*(((0.15*B1024*5))^2/2)+3*(((0.15*B1024*5))^3/6)+4*(((0.15*B1024*5))^4/24)+5*(((0.15*B1024*5))^5/120))/((((0.15*B1024*5))^0/1)+(((0.15*B1024*5))^1/1)+(((0.15*B1024*5))^2/2)+(((0.15*B1024*5))^3/6)+(((0.15*B1024*5))^4/24)+(((0.15*B1024*5))^5/120))),0))+IF(Inputs!$B$3&gt;=54,9*(C994=TRUE)*MIN(1,8*(1+Inputs!$B$34/100)*Q994),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04">
      <c r="A1004">
        <f>Skills!A13</f>
        <v/>
      </c>
      <c r="B1004">
        <f>Skills!B13</f>
        <v/>
      </c>
      <c r="C1004">
        <f>Inputs!$B$3&gt;=110</f>
        <v/>
      </c>
      <c r="D1004">
        <f>IF(Skills!C13=1,60+Inputs!$B$25+(Inputs!$B$29+1),IF(Skills!C13=2,90+Inputs!$B$26+(Inputs!$B$29+1),IF(Skills!C13=3,120+Inputs!$B$27+(Inputs!$B$29+1),MAX(0,(Inputs!$B$3-100)*3)+Inputs!$B$28+(Inputs!$B$29+1))))</f>
        <v/>
      </c>
      <c r="E1004">
        <f>INDEX(FactorTable!$B$2:$Y$301, MATCH(ROUND(MIN(300,MAX(1,D1004)),0), FactorTable!$A$2:$A$301,0), Skills!M13+1)</f>
        <v/>
      </c>
      <c r="F1004">
        <f>IF(Skills!N13=TRUE,(Skills!L13/10)*(E1004/1000),Skills!L13/10)+Skills!O13</f>
        <v/>
      </c>
      <c r="G1004">
        <f>Skills!G13*IF(Skills!H13&gt;0,INT(IF(Inputs!$B$38="pvp",MIN(Skills!I13,15),Skills!I13)/Skills!H13+0.000000001),1)</f>
        <v/>
      </c>
      <c r="H1004">
        <f>1-(1-Skills!J13/100)^Skills!K13</f>
        <v/>
      </c>
      <c r="I1004" t="inlineStr">
        <is>
          <t>1</t>
        </is>
      </c>
      <c r="J1004">
        <f>((Inputs!$B$6*(1+Inputs!$B$7/100))+(((Inputs!$B$12*(1+Inputs!$B$13/100))-(Inputs!$B$12*(1+Inputs!$B$13/100)))+0.25*(Inputs!$B$14-Inputs!$B$14))*(1+Inputs!$B$7/100))*(F1004/100)</f>
        <v/>
      </c>
      <c r="K1004">
        <f>J1004*(1+((Inputs!$B$12*(1+Inputs!$B$13/100))*0.01+Inputs!$B$14*0.0025)/100)*(1+Inputs!$B$15/100)*(1+Inputs!$B$16/100)*(5000/(6000+Inputs!$B$42*(1-(100*(1-(1-(Inputs!$B$19+0)/100)*(1-CHOOSE(ArtifactsInput!$N$40+1,5,6,7,8,9,10)/100)^(ArtifactsInput!$M$40-ArtifactsInput!$M$40)))/100)))*(1+(Inputs!$B$24+((C1017=TRUE)*(F1017-Calc!F26))+B1028)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EIGHT_LEGS_EASTON",Inputs!$B$17+((C1014=TRUE)*(F1014-Calc!F23))+((C1018=TRUE)*(F1018-Calc!F27))+((IF(AND(Inputs!$B$38&lt;&gt;"pvp",Inputs!$B$43=0),1,IF(IF(Inputs!$B$38="pvp",15,Inputs!$B$43)-(B1029)&lt;=0,1,MAX(0,IF(Inputs!$B$38="pvp",15,Inputs!$B$43)-MAX(5,B1029))/(IF(Inputs!$B$38="pvp",15,Inputs!$B$43)-(B1029))))*(IF(AND(ArtifactsInput!$M$42,((Inputs!$B$9+((C1010=TRUE)*(F1010-Calc!F19))+B1022+(ArtifactsInput!$M$24-ArtifactsInput!$M$24)*CHOOSE(ArtifactsInput!$N$24+1,10,12,14,16,18,20)+IF(ArtifactsInput!$M$10,CHOOSE(ArtifactsInput!$N$10+1,15,18,21,24,27,30)*(IF(Inputs!$B$38="pvp",MIN(15,15)/15,IF(AND(Inputs!$B$38&lt;&gt;"pvp",Inputs!$B$43&gt;0),MIN(15,Inputs!$B$43)/(Inputs!$B$43),0))),0)))&gt;=100),MIN(100,((Inputs!$B$9+((C1010=TRUE)*(F1010-Calc!F19))+B1022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1029)&lt;=0,1,MAX(0,IF(Inputs!$B$38="pvp",15,Inputs!$B$43)-MAX(5,B1029))/(IF(Inputs!$B$38="pvp",15,Inputs!$B$43)-(B1029))))*IF(AND(ArtifactsInput!$M$42,((Inputs!$B$9+((C1010=TRUE)*(F1010-Calc!F19))+B1022+(ArtifactsInput!$M$24-ArtifactsInput!$M$24)*CHOOSE(ArtifactsInput!$N$24+1,10,12,14,16,18,20)+IF(ArtifactsInput!$M$10,CHOOSE(ArtifactsInput!$N$10+1,15,18,21,24,27,30)*(IF(Inputs!$B$38="pvp",MIN(15,15)/15,IF(AND(Inputs!$B$38&lt;&gt;"pvp",Inputs!$B$43&gt;0),MIN(15,Inputs!$B$43)/(Inputs!$B$43),0))),0)))&gt;=100),CHOOSE(ArtifactsInput!$N$42+1,40,48,56,64,72,80),0))))/100)*((1+(((C1008=TRUE)*F1008*5/7)+((C1015=TRUE)*(F1015-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1004)</f>
        <v/>
      </c>
      <c r="L1004">
        <f>K1004*(MIN(Inputs!$B$22+((C1013=TRUE)*(F1013-Calc!F22)),(Inputs!$B$23+0+(IF(ArtifactsInput!$M$15,CHOOSE(ArtifactsInput!$N$15+1,25,30,35,40,45,50)/100*(Inputs!$B$11-Inputs!$B$11),0))))/100+(Inputs!$B$23+0+(IF(ArtifactsInput!$M$15,CHOOSE(ArtifactsInput!$N$15+1,25,30,35,40,45,50)/100*(Inputs!$B$11-Inputs!$B$11),0)))/100)/2</f>
        <v/>
      </c>
      <c r="M1004">
        <f>L1004*(1+(Inputs!$B$10+((C1016=TRUE)*(F1016-Calc!F25))+B1027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04">
        <f>L1004*(1-MIN((Inputs!$B$9+((C1010=TRUE)*(F1010-Calc!F19))+B1022+(ArtifactsInput!$M$24-ArtifactsInput!$M$24)*CHOOSE(ArtifactsInput!$N$24+1,10,12,14,16,18,20)+(IF(AND(Inputs!$B$38&lt;&gt;"pvp",Inputs!$B$43=0),1,IF(IF(Inputs!$B$38="pvp",15,Inputs!$B$43)-(B1029)&lt;=0,1,MAX(0,IF(Inputs!$B$38="pvp",15,Inputs!$B$43)-MAX(5,B1029))/(IF(Inputs!$B$38="pvp",15,Inputs!$B$43)-(B1029))))*IF(AND(ArtifactsInput!$M$42,((Inputs!$B$9+((C1010=TRUE)*(F1010-Calc!F19))+B1022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1004*(MIN((Inputs!$B$9+((C1010=TRUE)*(F1010-Calc!F19))+B1022+(ArtifactsInput!$M$24-ArtifactsInput!$M$24)*CHOOSE(ArtifactsInput!$N$24+1,10,12,14,16,18,20)+(IF(AND(Inputs!$B$38&lt;&gt;"pvp",Inputs!$B$43=0),1,IF(IF(Inputs!$B$38="pvp",15,Inputs!$B$43)-(B1029)&lt;=0,1,MAX(0,IF(Inputs!$B$38="pvp",15,Inputs!$B$43)-MAX(5,B1029))/(IF(Inputs!$B$38="pvp",15,Inputs!$B$43)-(B1029))))*IF(AND(ArtifactsInput!$M$42,((Inputs!$B$9+((C1010=TRUE)*(F1010-Calc!F19))+B1022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04">
        <f>(1-Summary!$B$11)*T1004+Summary!$B$11*V1004</f>
        <v/>
      </c>
      <c r="P1004">
        <f>IF(B1032=0,0,O1004/B1032)</f>
        <v/>
      </c>
      <c r="Q1004">
        <f>IFERROR(1/(IF(Inputs!$B$38="pvp",15,MAX(0.1,Skills!D13-IF(TRUE=TRUE,Inputs!$B$32,0)))*(1-IF(AND(ArtifactsInput!$M$27,Inputs!$B$4="Chapter Hunt"),CHOOSE(ArtifactsInput!$N$27+1,20,24,28,32,36,40),0)/100)),0)</f>
        <v/>
      </c>
      <c r="R1004">
        <f>IF(AND(Inputs!$B$38&lt;&gt;"pvp",Inputs!$B$43&gt;0),IF(MAX(0,Inputs!$B$43-B1029)&lt;=0,0,(INT(MAX(0,Inputs!$B$43-B1029)/(IF(Inputs!$B$38="pvp",15,MAX(0.1,Skills!D13-IF(TRUE=TRUE,Inputs!$B$32,0)))*(1-IF(AND(ArtifactsInput!$M$27,Inputs!$B$4="Chapter Hunt"),CHOOSE(ArtifactsInput!$N$27+1,20,24,28,32,36,40),0)/100)))+1)),0)</f>
        <v/>
      </c>
      <c r="S1004">
        <f>IFERROR(O1004/N1004,0)</f>
        <v/>
      </c>
      <c r="T1004">
        <f>IF(C1004,(H1004*N1004*IF(AND(Inputs!$B$38&lt;&gt;"pvp",Inputs!$B$43&gt;0),((Skills!G13*((R1004-1)*IF(Skills!H13&gt;0,INT(Skills!I13/Skills!H13+0.000000001),1)+IF(Skills!H13&gt;0,INT(MIN(Skills!I13,MAX(0,MAX(0,Inputs!$B$43-B1029)-((R1004-1)*(IF(Inputs!$B$38="pvp",15,MAX(0.1,Skills!D13-IF(TRUE=TRUE,Inputs!$B$32,0)))*(1-IF(AND(ArtifactsInput!$M$27,Inputs!$B$4="Chapter Hunt"),CHOOSE(ArtifactsInput!$N$27+1,20,24,28,32,36,40),0)/100)))))/Skills!H13+0.000000001),1)))/Inputs!$B$43),G1004*Q1004))*IF(Inputs!$B$38="pvp",1,1+(Inputs!$B$20+0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Hunt"),CHOOSE(ArtifactsInput!$N$35+1,15,18,21,24,27,30)*(1-EXP(-(0.2*B1024)*5)),0)+IF(AND(ArtifactsInput!$M$22,Inputs!$B$4&lt;&gt;"Chapter Hunt"),CHOOSE(ArtifactsInput!$N$22+1,10,12,14,16,18,20)*((0*(((0.15*B1024*5))^0/1)+1*(((0.15*B1024*5))^1/1)+2*(((0.15*B1024*5))^2/2)+3*(((0.15*B1024*5))^3/6)+4*(((0.15*B1024*5))^4/24)+5*(((0.15*B1024*5))^5/120))/((((0.15*B1024*5))^0/1)+(((0.15*B1024*5))^1/1)+(((0.15*B1024*5))^2/2)+(((0.15*B1024*5))^3/6)+(((0.15*B1024*5))^4/24)+(((0.15*B1024*5))^5/120))),0))+IF(Inputs!$B$3&gt;=54,9*(C994=TRUE)*MIN(1,8*(1+Inputs!$B$34/100)*Q994)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1004*(1-MIN(100,(Inputs!$B$9+((C1010=TRUE)*(F1010-Calc!F19))+B1022+(ArtifactsInput!$M$24-ArtifactsInput!$M$24)*CHOOSE(ArtifactsInput!$N$24+1,10,12,14,16,18,20)+(IF(AND(Inputs!$B$38&lt;&gt;"pvp",Inputs!$B$43=0),1,IF(IF(Inputs!$B$38="pvp",15,Inputs!$B$43)-(B1029)&lt;=0,1,MAX(0,IF(Inputs!$B$38="pvp",15,Inputs!$B$43)-MAX(5,B1029))/(IF(Inputs!$B$38="pvp",15,Inputs!$B$43)-(B1029))))*IF(AND(ArtifactsInput!$M$42,((Inputs!$B$9+((C1010=TRUE)*(F1010-Calc!F19))+B1022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1004*(MIN(100,(Inputs!$B$9+((C1010=TRUE)*(F1010-Calc!F19))+B1022+(ArtifactsInput!$M$24-ArtifactsInput!$M$24)*CHOOSE(ArtifactsInput!$N$24+1,10,12,14,16,18,20)+(IF(AND(Inputs!$B$38&lt;&gt;"pvp",Inputs!$B$43=0),1,IF(IF(Inputs!$B$38="pvp",15,Inputs!$B$43)-(B1029)&lt;=0,1,MAX(0,IF(Inputs!$B$38="pvp",15,Inputs!$B$43)-MAX(5,B1029))/(IF(Inputs!$B$38="pvp",15,Inputs!$B$43)-(B1029))))*IF(AND(ArtifactsInput!$M$42,((Inputs!$B$9+((C1010=TRUE)*(F1010-Calc!F19))+B1022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1004*(1-MIN(100,(Inputs!$B$9+((C1010=TRUE)*(F1010-Calc!F19))+B1022+(ArtifactsInput!$M$24-ArtifactsInput!$M$24)*CHOOSE(ArtifactsInput!$N$24+1,10,12,14,16,18,20)+(IF(AND(Inputs!$B$38&lt;&gt;"pvp",Inputs!$B$43=0),1,IF(IF(Inputs!$B$38="pvp",15,Inputs!$B$43)-(B1029)&lt;=0,1,MAX(0,IF(Inputs!$B$38="pvp",15,Inputs!$B$43)-MAX(5,B1029))/(IF(Inputs!$B$38="pvp",15,Inputs!$B$43)-(B1029))))*IF(AND(ArtifactsInput!$M$42,((Inputs!$B$9+((C1010=TRUE)*(F1010-Calc!F19))+B1022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1004*(MIN(100,(Inputs!$B$9+((C1010=TRUE)*(F1010-Calc!F19))+B1022+(ArtifactsInput!$M$24-ArtifactsInput!$M$24)*CHOOSE(ArtifactsInput!$N$24+1,10,12,14,16,18,20)+(IF(AND(Inputs!$B$38&lt;&gt;"pvp",Inputs!$B$43=0),1,IF(IF(Inputs!$B$38="pvp",15,Inputs!$B$43)-(B1029)&lt;=0,1,MAX(0,IF(Inputs!$B$38="pvp",15,Inputs!$B$43)-MAX(5,B1029))/(IF(Inputs!$B$38="pvp",15,Inputs!$B$43)-(B1029))))*IF(AND(ArtifactsInput!$M$42,((Inputs!$B$9+((C1010=TRUE)*(F1010-Calc!F19))+B1022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004">
        <f>IF(C1004,(H1004*N1004*IF(AND(Inputs!$B$38&lt;&gt;"pvp",Inputs!$B$43&gt;0),((Skills!G13*((R1004-1)*IF(Skills!H13&gt;0,INT(Skills!I13/Skills!H13+0.000000001),1)+IF(Skills!H13&gt;0,INT(MIN(Skills!I13,MAX(0,MAX(0,Inputs!$B$43-B1029)-((R1004-1)*(IF(Inputs!$B$38="pvp",15,MAX(0.1,Skills!D13-IF(TRUE=TRUE,Inputs!$B$32,0)))*(1-IF(AND(ArtifactsInput!$M$27,Inputs!$B$4="Chapter Hunt"),CHOOSE(ArtifactsInput!$N$27+1,20,24,28,32,36,40),0)/100)))))/Skills!H13+0.000000001),1)))/Inputs!$B$43),G1004*Q1004))*IF(Inputs!$B$38="pvp",1,(1+(Inputs!$B$21+Skills!Q13+(IF(ArtifactsInput!$M$33,CHOOSE(ArtifactsInput!$N$33+1,30,36,42,48,54,60),0))+(IF(AND(ArtifactsInput!$M$35,Inputs!$B$4&lt;&gt;"Chapter Hunt"),CHOOSE(ArtifactsInput!$N$35+1,15,18,21,24,27,30)*(1-EXP(-(0.2*B1024)*5)),0)+IF(AND(ArtifactsInput!$M$22,Inputs!$B$4&lt;&gt;"Chapter Hunt"),CHOOSE(ArtifactsInput!$N$22+1,10,12,14,16,18,20)*((0*(((0.15*B1024*5))^0/1)+1*(((0.15*B1024*5))^1/1)+2*(((0.15*B1024*5))^2/2)+3*(((0.15*B1024*5))^3/6)+4*(((0.15*B1024*5))^4/24)+5*(((0.15*B1024*5))^5/120))/((((0.15*B1024*5))^0/1)+(((0.15*B1024*5))^1/1)+(((0.15*B1024*5))^2/2)+(((0.15*B1024*5))^3/6)+(((0.15*B1024*5))^4/24)+(((0.15*B1024*5))^5/120))),0))+IF(Inputs!$B$3&gt;=54,9*(C994=TRUE)*MIN(1,8*(1+Inputs!$B$34/100)*Q994),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05">
      <c r="A1005">
        <f>Skills!A14</f>
        <v/>
      </c>
      <c r="B1005">
        <f>Skills!B14</f>
        <v/>
      </c>
      <c r="C1005">
        <f>Inputs!$B$3&gt;=120</f>
        <v/>
      </c>
      <c r="D1005">
        <f>IF(Skills!C14=1,60+Inputs!$B$25+(Inputs!$B$29+1),IF(Skills!C14=2,90+Inputs!$B$26+(Inputs!$B$29+1),IF(Skills!C14=3,120+Inputs!$B$27+(Inputs!$B$29+1),MAX(0,(Inputs!$B$3-100)*3)+Inputs!$B$28+(Inputs!$B$29+1))))</f>
        <v/>
      </c>
      <c r="E1005">
        <f>INDEX(FactorTable!$B$2:$Y$301, MATCH(ROUND(MIN(300,MAX(1,D1005)),0), FactorTable!$A$2:$A$301,0), Skills!M14+1)</f>
        <v/>
      </c>
      <c r="F1005">
        <f>IF(Skills!N14=TRUE,(Skills!L14/10)*(E1005/1000),Skills!L14/10)+Skills!O14</f>
        <v/>
      </c>
      <c r="G1005">
        <f>Skills!G14*IF(Skills!H14&gt;0,INT(IF(Inputs!$B$38="pvp",MIN(Skills!I14,15),Skills!I14)/Skills!H14+0.000000001),1)</f>
        <v/>
      </c>
      <c r="H1005">
        <f>1-(1-Skills!J14/100)^Skills!K14</f>
        <v/>
      </c>
      <c r="I1005" t="inlineStr">
        <is>
          <t>1</t>
        </is>
      </c>
      <c r="J1005">
        <f>((Inputs!$B$6*(1+Inputs!$B$7/100))+(((Inputs!$B$12*(1+Inputs!$B$13/100))-(Inputs!$B$12*(1+Inputs!$B$13/100)))+0.25*(Inputs!$B$14-Inputs!$B$14))*(1+Inputs!$B$7/100))*(F1005/100)</f>
        <v/>
      </c>
      <c r="K1005">
        <f>J1005*(1+((Inputs!$B$12*(1+Inputs!$B$13/100))*0.01+Inputs!$B$14*0.0025)/100)*(1+Inputs!$B$15/100)*(1+Inputs!$B$16/100)*(5000/(6000+Inputs!$B$42*(1-(100*(1-(1-(Inputs!$B$19+0)/100)*(1-CHOOSE(ArtifactsInput!$N$40+1,5,6,7,8,9,10)/100)^(ArtifactsInput!$M$40-ArtifactsInput!$M$40)))/100)))*(1+(Inputs!$B$24+((C1017=TRUE)*(F1017-Calc!F26))+B1028)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EIGHT_LEGS_EASTON",Inputs!$B$17+((C1014=TRUE)*(F1014-Calc!F23))+((C1018=TRUE)*(F1018-Calc!F27))+((IF(AND(Inputs!$B$38&lt;&gt;"pvp",Inputs!$B$43=0),1,IF(IF(Inputs!$B$38="pvp",15,Inputs!$B$43)-(B1029)&lt;=0,1,MAX(0,IF(Inputs!$B$38="pvp",15,Inputs!$B$43)-MAX(5,B1029))/(IF(Inputs!$B$38="pvp",15,Inputs!$B$43)-(B1029))))*(IF(AND(ArtifactsInput!$M$42,((Inputs!$B$9+((C1010=TRUE)*(F1010-Calc!F19))+B1022+(ArtifactsInput!$M$24-ArtifactsInput!$M$24)*CHOOSE(ArtifactsInput!$N$24+1,10,12,14,16,18,20)+IF(ArtifactsInput!$M$10,CHOOSE(ArtifactsInput!$N$10+1,15,18,21,24,27,30)*(IF(Inputs!$B$38="pvp",MIN(15,15)/15,IF(AND(Inputs!$B$38&lt;&gt;"pvp",Inputs!$B$43&gt;0),MIN(15,Inputs!$B$43)/(Inputs!$B$43),0))),0)))&gt;=100),MIN(100,((Inputs!$B$9+((C1010=TRUE)*(F1010-Calc!F19))+B1022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1029)&lt;=0,1,MAX(0,IF(Inputs!$B$38="pvp",15,Inputs!$B$43)-MAX(5,B1029))/(IF(Inputs!$B$38="pvp",15,Inputs!$B$43)-(B1029))))*IF(AND(ArtifactsInput!$M$42,((Inputs!$B$9+((C1010=TRUE)*(F1010-Calc!F19))+B1022+(ArtifactsInput!$M$24-ArtifactsInput!$M$24)*CHOOSE(ArtifactsInput!$N$24+1,10,12,14,16,18,20)+IF(ArtifactsInput!$M$10,CHOOSE(ArtifactsInput!$N$10+1,15,18,21,24,27,30)*(IF(Inputs!$B$38="pvp",MIN(15,15)/15,IF(AND(Inputs!$B$38&lt;&gt;"pvp",Inputs!$B$43&gt;0),MIN(15,Inputs!$B$43)/(Inputs!$B$43),0))),0)))&gt;=100),CHOOSE(ArtifactsInput!$N$42+1,40,48,56,64,72,80),0))))/100)*((1+(((C1008=TRUE)*F1008*5/7)+((C1015=TRUE)*(F1015-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1005)</f>
        <v/>
      </c>
      <c r="L1005">
        <f>K1005*(MIN(Inputs!$B$22+((C1013=TRUE)*(F1013-Calc!F22)),(Inputs!$B$23+0+(IF(ArtifactsInput!$M$15,CHOOSE(ArtifactsInput!$N$15+1,25,30,35,40,45,50)/100*(Inputs!$B$11-Inputs!$B$11),0))))/100+(Inputs!$B$23+0+(IF(ArtifactsInput!$M$15,CHOOSE(ArtifactsInput!$N$15+1,25,30,35,40,45,50)/100*(Inputs!$B$11-Inputs!$B$11),0)))/100)/2</f>
        <v/>
      </c>
      <c r="M1005">
        <f>L1005*(1+(Inputs!$B$10+((C1016=TRUE)*(F1016-Calc!F25))+B1027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05">
        <f>L1005*(1-MIN((Inputs!$B$9+((C1010=TRUE)*(F1010-Calc!F19))+B1022+(ArtifactsInput!$M$24-ArtifactsInput!$M$24)*CHOOSE(ArtifactsInput!$N$24+1,10,12,14,16,18,20)+(IF(AND(Inputs!$B$38&lt;&gt;"pvp",Inputs!$B$43=0),1,IF(IF(Inputs!$B$38="pvp",15,Inputs!$B$43)-(B1029)&lt;=0,1,MAX(0,IF(Inputs!$B$38="pvp",15,Inputs!$B$43)-MAX(5,B1029))/(IF(Inputs!$B$38="pvp",15,Inputs!$B$43)-(B1029))))*IF(AND(ArtifactsInput!$M$42,((Inputs!$B$9+((C1010=TRUE)*(F1010-Calc!F19))+B1022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1005*(MIN((Inputs!$B$9+((C1010=TRUE)*(F1010-Calc!F19))+B1022+(ArtifactsInput!$M$24-ArtifactsInput!$M$24)*CHOOSE(ArtifactsInput!$N$24+1,10,12,14,16,18,20)+(IF(AND(Inputs!$B$38&lt;&gt;"pvp",Inputs!$B$43=0),1,IF(IF(Inputs!$B$38="pvp",15,Inputs!$B$43)-(B1029)&lt;=0,1,MAX(0,IF(Inputs!$B$38="pvp",15,Inputs!$B$43)-MAX(5,B1029))/(IF(Inputs!$B$38="pvp",15,Inputs!$B$43)-(B1029))))*IF(AND(ArtifactsInput!$M$42,((Inputs!$B$9+((C1010=TRUE)*(F1010-Calc!F19))+B1022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05">
        <f>(1-Summary!$B$11)*T1005+Summary!$B$11*V1005</f>
        <v/>
      </c>
      <c r="P1005">
        <f>IF(B1032=0,0,O1005/B1032)</f>
        <v/>
      </c>
      <c r="Q1005" t="n">
        <v>0</v>
      </c>
      <c r="R1005" t="n">
        <v>0</v>
      </c>
      <c r="S1005">
        <f>IFERROR(O1005/N1005,0)</f>
        <v/>
      </c>
      <c r="T1005">
        <f>IF(C1005,((H1005*(B1026+IF(AND(Inputs!$B$38&lt;&gt;"pvp",Inputs!$B$43&gt;0),((Skills!G8*((R999-1)*IF(Skills!H8&gt;0,INT(Skills!I8/Skills!H8+0.000000001),1)+IF(Skills!H8&gt;0,INT(MIN(Skills!I8,MAX(0,MAX(0,Inputs!$B$43-B1029)-((R999-1)*((IF(Inputs!$B$38="pvp",15,MAX(0.1,Skills!D8-IF(TRUE=TRUE,Inputs!$B$32,0)))*(1-IF(AND(ArtifactsInput!$M$27,Inputs!$B$4="Chapter Hunt"),CHOOSE(ArtifactsInput!$N$27+1,20,24,28,32,36,40),0)/100))/B1033))))/Skills!H8+0.000000001),1)))/Inputs!$B$43),G999*Q999)+IF(AND(Inputs!$B$38&lt;&gt;"pvp",Inputs!$B$43&gt;0),((Skills!G11*((R1002-1)*IF(Skills!H11&gt;0,INT(Skills!I11/Skills!H11+0.000000001),1)+IF(Skills!H11&gt;0,INT(MIN(Skills!I11,MAX(0,MAX(0,Inputs!$B$43-B1029)-((R1002-1)*((IF(Inputs!$B$38="pvp",15,MAX(0.1,Skills!D11-IF(TRUE=TRUE,Inputs!$B$32,0)))*(1-IF(AND(ArtifactsInput!$M$27,Inputs!$B$4="Chapter Hunt"),CHOOSE(ArtifactsInput!$N$27+1,20,24,28,32,36,40),0)/100))/B1033))))/Skills!H11+0.000000001),1)))/Inputs!$B$43),G1002*Q1002)))/(1+Skills!H14*H1005*(B1026+IF(AND(Inputs!$B$38&lt;&gt;"pvp",Inputs!$B$43&gt;0),((Skills!G8*((R999-1)*IF(Skills!H8&gt;0,INT(Skills!I8/Skills!H8+0.000000001),1)+IF(Skills!H8&gt;0,INT(MIN(Skills!I8,MAX(0,MAX(0,Inputs!$B$43-B1029)-((R999-1)*((IF(Inputs!$B$38="pvp",15,MAX(0.1,Skills!D8-IF(TRUE=TRUE,Inputs!$B$32,0)))*(1-IF(AND(ArtifactsInput!$M$27,Inputs!$B$4="Chapter Hunt"),CHOOSE(ArtifactsInput!$N$27+1,20,24,28,32,36,40),0)/100))/B1033))))/Skills!H8+0.000000001),1)))/Inputs!$B$43),G999*Q999)+IF(AND(Inputs!$B$38&lt;&gt;"pvp",Inputs!$B$43&gt;0),((Skills!G11*((R1002-1)*IF(Skills!H11&gt;0,INT(Skills!I11/Skills!H11+0.000000001),1)+IF(Skills!H11&gt;0,INT(MIN(Skills!I11,MAX(0,MAX(0,Inputs!$B$43-B1029)-((R1002-1)*((IF(Inputs!$B$38="pvp",15,MAX(0.1,Skills!D11-IF(TRUE=TRUE,Inputs!$B$32,0)))*(1-IF(AND(ArtifactsInput!$M$27,Inputs!$B$4="Chapter Hunt"),CHOOSE(ArtifactsInput!$N$27+1,20,24,28,32,36,40),0)/100))/B1033))))/Skills!H11+0.000000001),1)))/Inputs!$B$43),G1002*Q1002)))*N1005)*IF(Inputs!$B$38="pvp",1,1+(Inputs!$B$20+0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Hunt"),CHOOSE(ArtifactsInput!$N$35+1,15,18,21,24,27,30)*(1-EXP(-(0.2*B1024)*5)),0)+IF(AND(ArtifactsInput!$M$22,Inputs!$B$4&lt;&gt;"Chapter Hunt"),CHOOSE(ArtifactsInput!$N$22+1,10,12,14,16,18,20)*((0*(((0.15*B1024*5))^0/1)+1*(((0.15*B1024*5))^1/1)+2*(((0.15*B1024*5))^2/2)+3*(((0.15*B1024*5))^3/6)+4*(((0.15*B1024*5))^4/24)+5*(((0.15*B1024*5))^5/120))/((((0.15*B1024*5))^0/1)+(((0.15*B1024*5))^1/1)+(((0.15*B1024*5))^2/2)+(((0.15*B1024*5))^3/6)+(((0.15*B1024*5))^4/24)+(((0.15*B1024*5))^5/120))),0))+IF(Inputs!$B$3&gt;=54,9*(C994=TRUE)*MIN(1,8*(1+Inputs!$B$34/100)*Q994)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1005*(1-MIN(100,(Inputs!$B$9+((C1010=TRUE)*(F1010-Calc!F19))+B1022+(ArtifactsInput!$M$24-ArtifactsInput!$M$24)*CHOOSE(ArtifactsInput!$N$24+1,10,12,14,16,18,20)+(IF(AND(Inputs!$B$38&lt;&gt;"pvp",Inputs!$B$43=0),1,IF(IF(Inputs!$B$38="pvp",15,Inputs!$B$43)-(B1029)&lt;=0,1,MAX(0,IF(Inputs!$B$38="pvp",15,Inputs!$B$43)-MAX(5,B1029))/(IF(Inputs!$B$38="pvp",15,Inputs!$B$43)-(B1029))))*IF(AND(ArtifactsInput!$M$42,((Inputs!$B$9+((C1010=TRUE)*(F1010-Calc!F19))+B1022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1005*(MIN(100,(Inputs!$B$9+((C1010=TRUE)*(F1010-Calc!F19))+B1022+(ArtifactsInput!$M$24-ArtifactsInput!$M$24)*CHOOSE(ArtifactsInput!$N$24+1,10,12,14,16,18,20)+(IF(AND(Inputs!$B$38&lt;&gt;"pvp",Inputs!$B$43=0),1,IF(IF(Inputs!$B$38="pvp",15,Inputs!$B$43)-(B1029)&lt;=0,1,MAX(0,IF(Inputs!$B$38="pvp",15,Inputs!$B$43)-MAX(5,B1029))/(IF(Inputs!$B$38="pvp",15,Inputs!$B$43)-(B1029))))*IF(AND(ArtifactsInput!$M$42,((Inputs!$B$9+((C1010=TRUE)*(F1010-Calc!F19))+B1022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1005*(1-MIN(100,(Inputs!$B$9+((C1010=TRUE)*(F1010-Calc!F19))+B1022+(ArtifactsInput!$M$24-ArtifactsInput!$M$24)*CHOOSE(ArtifactsInput!$N$24+1,10,12,14,16,18,20)+(IF(AND(Inputs!$B$38&lt;&gt;"pvp",Inputs!$B$43=0),1,IF(IF(Inputs!$B$38="pvp",15,Inputs!$B$43)-(B1029)&lt;=0,1,MAX(0,IF(Inputs!$B$38="pvp",15,Inputs!$B$43)-MAX(5,B1029))/(IF(Inputs!$B$38="pvp",15,Inputs!$B$43)-(B1029))))*IF(AND(ArtifactsInput!$M$42,((Inputs!$B$9+((C1010=TRUE)*(F1010-Calc!F19))+B1022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1005*(MIN(100,(Inputs!$B$9+((C1010=TRUE)*(F1010-Calc!F19))+B1022+(ArtifactsInput!$M$24-ArtifactsInput!$M$24)*CHOOSE(ArtifactsInput!$N$24+1,10,12,14,16,18,20)+(IF(AND(Inputs!$B$38&lt;&gt;"pvp",Inputs!$B$43=0),1,IF(IF(Inputs!$B$38="pvp",15,Inputs!$B$43)-(B1029)&lt;=0,1,MAX(0,IF(Inputs!$B$38="pvp",15,Inputs!$B$43)-MAX(5,B1029))/(IF(Inputs!$B$38="pvp",15,Inputs!$B$43)-(B1029))))*IF(AND(ArtifactsInput!$M$42,((Inputs!$B$9+((C1010=TRUE)*(F1010-Calc!F19))+B1022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005">
        <f>IF(C1005,((H1005*(B1026+IF(AND(Inputs!$B$38&lt;&gt;"pvp",Inputs!$B$43&gt;0),((Skills!G8*((R999-1)*IF(Skills!H8&gt;0,INT(Skills!I8/Skills!H8+0.000000001),1)+IF(Skills!H8&gt;0,INT(MIN(Skills!I8,MAX(0,MAX(0,Inputs!$B$43-B1029)-((R999-1)*((IF(Inputs!$B$38="pvp",15,MAX(0.1,Skills!D8-IF(TRUE=TRUE,Inputs!$B$32,0)))*(1-IF(AND(ArtifactsInput!$M$27,Inputs!$B$4="Chapter Hunt"),CHOOSE(ArtifactsInput!$N$27+1,20,24,28,32,36,40),0)/100))/B1033))))/Skills!H8+0.000000001),1)))/Inputs!$B$43),G999*Q999)+IF(AND(Inputs!$B$38&lt;&gt;"pvp",Inputs!$B$43&gt;0),((Skills!G11*((R1002-1)*IF(Skills!H11&gt;0,INT(Skills!I11/Skills!H11+0.000000001),1)+IF(Skills!H11&gt;0,INT(MIN(Skills!I11,MAX(0,MAX(0,Inputs!$B$43-B1029)-((R1002-1)*((IF(Inputs!$B$38="pvp",15,MAX(0.1,Skills!D11-IF(TRUE=TRUE,Inputs!$B$32,0)))*(1-IF(AND(ArtifactsInput!$M$27,Inputs!$B$4="Chapter Hunt"),CHOOSE(ArtifactsInput!$N$27+1,20,24,28,32,36,40),0)/100))/B1033))))/Skills!H11+0.000000001),1)))/Inputs!$B$43),G1002*Q1002)))/(1+Skills!H14*H1005*(B1026+IF(AND(Inputs!$B$38&lt;&gt;"pvp",Inputs!$B$43&gt;0),((Skills!G8*((R999-1)*IF(Skills!H8&gt;0,INT(Skills!I8/Skills!H8+0.000000001),1)+IF(Skills!H8&gt;0,INT(MIN(Skills!I8,MAX(0,MAX(0,Inputs!$B$43-B1029)-((R999-1)*((IF(Inputs!$B$38="pvp",15,MAX(0.1,Skills!D8-IF(TRUE=TRUE,Inputs!$B$32,0)))*(1-IF(AND(ArtifactsInput!$M$27,Inputs!$B$4="Chapter Hunt"),CHOOSE(ArtifactsInput!$N$27+1,20,24,28,32,36,40),0)/100))/B1033))))/Skills!H8+0.000000001),1)))/Inputs!$B$43),G999*Q999)+IF(AND(Inputs!$B$38&lt;&gt;"pvp",Inputs!$B$43&gt;0),((Skills!G11*((R1002-1)*IF(Skills!H11&gt;0,INT(Skills!I11/Skills!H11+0.000000001),1)+IF(Skills!H11&gt;0,INT(MIN(Skills!I11,MAX(0,MAX(0,Inputs!$B$43-B1029)-((R1002-1)*((IF(Inputs!$B$38="pvp",15,MAX(0.1,Skills!D11-IF(TRUE=TRUE,Inputs!$B$32,0)))*(1-IF(AND(ArtifactsInput!$M$27,Inputs!$B$4="Chapter Hunt"),CHOOSE(ArtifactsInput!$N$27+1,20,24,28,32,36,40),0)/100))/B1033))))/Skills!H11+0.000000001),1)))/Inputs!$B$43),G1002*Q1002)))*N1005)*IF(Inputs!$B$38="pvp",1,(1+(Inputs!$B$21+Skills!Q14+(IF(ArtifactsInput!$M$33,CHOOSE(ArtifactsInput!$N$33+1,30,36,42,48,54,60),0))+(IF(AND(ArtifactsInput!$M$35,Inputs!$B$4&lt;&gt;"Chapter Hunt"),CHOOSE(ArtifactsInput!$N$35+1,15,18,21,24,27,30)*(1-EXP(-(0.2*B1024)*5)),0)+IF(AND(ArtifactsInput!$M$22,Inputs!$B$4&lt;&gt;"Chapter Hunt"),CHOOSE(ArtifactsInput!$N$22+1,10,12,14,16,18,20)*((0*(((0.15*B1024*5))^0/1)+1*(((0.15*B1024*5))^1/1)+2*(((0.15*B1024*5))^2/2)+3*(((0.15*B1024*5))^3/6)+4*(((0.15*B1024*5))^4/24)+5*(((0.15*B1024*5))^5/120))/((((0.15*B1024*5))^0/1)+(((0.15*B1024*5))^1/1)+(((0.15*B1024*5))^2/2)+(((0.15*B1024*5))^3/6)+(((0.15*B1024*5))^4/24)+(((0.15*B1024*5))^5/120))),0))+IF(Inputs!$B$3&gt;=54,9*(C994=TRUE)*MIN(1,8*(1+Inputs!$B$34/100)*Q994),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06">
      <c r="A1006">
        <f>Skills!A15</f>
        <v/>
      </c>
      <c r="B1006">
        <f>Skills!B15</f>
        <v/>
      </c>
      <c r="C1006">
        <f>Inputs!$B$3&gt;=100</f>
        <v/>
      </c>
      <c r="D1006">
        <f>IF(Skills!C15=1,60+Inputs!$B$25+(Inputs!$B$29+1),IF(Skills!C15=2,90+Inputs!$B$26+(Inputs!$B$29+1),IF(Skills!C15=3,120+Inputs!$B$27+(Inputs!$B$29+1),MAX(0,(Inputs!$B$3-100)*3)+Inputs!$B$28+(Inputs!$B$29+1))))</f>
        <v/>
      </c>
      <c r="E1006">
        <f>INDEX(FactorTable!$B$2:$Y$301, MATCH(ROUND(MIN(300,MAX(1,D1006)),0), FactorTable!$A$2:$A$301,0), Skills!M15+1)</f>
        <v/>
      </c>
      <c r="F1006">
        <f>IF(Skills!N15=TRUE,(Skills!L15/10)*(E1006/1000),Skills!L15/10)+Skills!O15</f>
        <v/>
      </c>
      <c r="G1006" t="inlineStr"/>
      <c r="H1006" t="inlineStr"/>
      <c r="I1006" t="inlineStr">
        <is>
          <t>1</t>
        </is>
      </c>
      <c r="J1006" t="inlineStr"/>
      <c r="K1006" t="inlineStr"/>
      <c r="L1006" t="inlineStr"/>
      <c r="M1006" t="inlineStr"/>
      <c r="N1006" t="inlineStr"/>
      <c r="O1006" t="inlineStr"/>
      <c r="P1006" t="inlineStr"/>
      <c r="Q1006" t="inlineStr"/>
      <c r="R1006" t="inlineStr"/>
      <c r="S1006" t="inlineStr"/>
    </row>
    <row r="1007">
      <c r="A1007">
        <f>Skills!A16</f>
        <v/>
      </c>
      <c r="B1007">
        <f>Skills!B16</f>
        <v/>
      </c>
      <c r="C1007">
        <f>Inputs!$B$3&gt;=107</f>
        <v/>
      </c>
      <c r="D1007">
        <f>IF(Skills!C16=1,60+Inputs!$B$25+(Inputs!$B$29+1),IF(Skills!C16=2,90+Inputs!$B$26+(Inputs!$B$29+1),IF(Skills!C16=3,120+Inputs!$B$27+(Inputs!$B$29+1),MAX(0,(Inputs!$B$3-100)*3)+Inputs!$B$28+(Inputs!$B$29+1))))</f>
        <v/>
      </c>
      <c r="E1007">
        <f>INDEX(FactorTable!$B$2:$Y$301, MATCH(ROUND(MIN(300,MAX(1,D1007)),0), FactorTable!$A$2:$A$301,0), Skills!M16+1)</f>
        <v/>
      </c>
      <c r="F1007">
        <f>IF(Skills!N16=TRUE,(Skills!L16/10)*(E1007/1000),Skills!L16/10)+Skills!O16</f>
        <v/>
      </c>
      <c r="G1007" t="inlineStr"/>
      <c r="H1007" t="inlineStr"/>
      <c r="I1007" t="inlineStr">
        <is>
          <t>1</t>
        </is>
      </c>
      <c r="J1007" t="inlineStr"/>
      <c r="K1007" t="inlineStr"/>
      <c r="L1007" t="inlineStr"/>
      <c r="M1007" t="inlineStr"/>
      <c r="N1007" t="inlineStr"/>
      <c r="O1007" t="inlineStr"/>
      <c r="P1007" t="inlineStr"/>
      <c r="Q1007" t="inlineStr"/>
      <c r="R1007" t="inlineStr"/>
      <c r="S1007" t="inlineStr"/>
    </row>
    <row r="1008">
      <c r="A1008">
        <f>Skills!A17</f>
        <v/>
      </c>
      <c r="B1008">
        <f>Skills!B17</f>
        <v/>
      </c>
      <c r="C1008">
        <f>Inputs!$B$3&gt;=74</f>
        <v/>
      </c>
      <c r="D1008">
        <f>IF(Skills!C17=1,60+Inputs!$B$25+(Inputs!$B$29+1),IF(Skills!C17=2,90+Inputs!$B$26+(Inputs!$B$29+1),IF(Skills!C17=3,120+Inputs!$B$27+(Inputs!$B$29+1),MAX(0,(Inputs!$B$3-100)*3)+Inputs!$B$28+(Inputs!$B$29+1))))</f>
        <v/>
      </c>
      <c r="E1008">
        <f>INDEX(FactorTable!$B$2:$Y$301, MATCH(ROUND(MIN(300,MAX(1,D1008)),0), FactorTable!$A$2:$A$301,0), Skills!M17+1)</f>
        <v/>
      </c>
      <c r="F1008">
        <f>IF(Skills!N17=TRUE,(Skills!L17/10)*(E1008/1000),Skills!L17/10)+Skills!O17</f>
        <v/>
      </c>
      <c r="G1008">
        <f>Skills!G17*IF(Skills!H17&gt;0,INT(IF(Inputs!$B$38="pvp",MIN(Skills!I17,15),Skills!I17)/Skills!H17+0.000000001),1)</f>
        <v/>
      </c>
      <c r="H1008">
        <f>1-(1-Skills!J17/100)^Skills!K17</f>
        <v/>
      </c>
      <c r="I1008" t="inlineStr">
        <is>
          <t>1</t>
        </is>
      </c>
      <c r="J1008" t="inlineStr"/>
      <c r="K1008" t="inlineStr"/>
      <c r="L1008" t="inlineStr"/>
      <c r="M1008" t="inlineStr"/>
      <c r="N1008" t="inlineStr"/>
      <c r="O1008">
        <f>(1-Summary!$B$11)*T1008+Summary!$B$11*V1008</f>
        <v/>
      </c>
      <c r="P1008">
        <f>IF(B1032=0,0,O1008/B1032)</f>
        <v/>
      </c>
      <c r="Q1008" t="n">
        <v>0</v>
      </c>
      <c r="R1008" t="n">
        <v>0</v>
      </c>
      <c r="S1008">
        <f>IFERROR(O1008/N1008,0)</f>
        <v/>
      </c>
      <c r="T1008" t="n">
        <v>0</v>
      </c>
      <c r="V1008" t="n">
        <v>0</v>
      </c>
    </row>
    <row r="1009">
      <c r="A1009">
        <f>Skills!A18</f>
        <v/>
      </c>
      <c r="B1009">
        <f>Skills!B18</f>
        <v/>
      </c>
      <c r="C1009">
        <f>Inputs!$B$3&gt;=115</f>
        <v/>
      </c>
      <c r="D1009">
        <f>IF(Skills!C18=1,60+Inputs!$B$25+(Inputs!$B$29+1),IF(Skills!C18=2,90+Inputs!$B$26+(Inputs!$B$29+1),IF(Skills!C18=3,120+Inputs!$B$27+(Inputs!$B$29+1),MAX(0,(Inputs!$B$3-100)*3)+Inputs!$B$28+(Inputs!$B$29+1))))</f>
        <v/>
      </c>
      <c r="E1009">
        <f>INDEX(FactorTable!$B$2:$Y$301, MATCH(ROUND(MIN(300,MAX(1,D1009)),0), FactorTable!$A$2:$A$301,0), Skills!M18+1)</f>
        <v/>
      </c>
      <c r="F1009">
        <f>IF(Skills!N18=TRUE,(Skills!L18/10)*(E1009/1000),Skills!L18/10)+Skills!O18</f>
        <v/>
      </c>
      <c r="G1009">
        <f>Skills!G18*IF(Skills!H18&gt;0,INT(IF(Inputs!$B$38="pvp",MIN(Skills!I18,15),Skills!I18)/Skills!H18+0.000000001),1)</f>
        <v/>
      </c>
      <c r="H1009">
        <f>1-(1-Skills!J18/100)^Skills!K18</f>
        <v/>
      </c>
      <c r="I1009" t="inlineStr">
        <is>
          <t>1</t>
        </is>
      </c>
      <c r="J1009" t="inlineStr"/>
      <c r="K1009" t="inlineStr"/>
      <c r="L1009" t="inlineStr"/>
      <c r="M1009" t="inlineStr"/>
      <c r="N1009" t="inlineStr"/>
      <c r="O1009">
        <f>(1-Summary!$B$11)*T1009+Summary!$B$11*V1009</f>
        <v/>
      </c>
      <c r="P1009">
        <f>IF(B1032=0,0,O1009/B1032)</f>
        <v/>
      </c>
      <c r="Q1009">
        <f>IFERROR(1/(IF(Inputs!$B$38="pvp",15,MAX(0.1,Skills!D18-IF(TRUE=TRUE,Inputs!$B$32,0)))*(1-IF(AND(ArtifactsInput!$M$27,Inputs!$B$4="Chapter Hunt"),CHOOSE(ArtifactsInput!$N$27+1,20,24,28,32,36,40),0)/100)),0)</f>
        <v/>
      </c>
      <c r="R1009">
        <f>IF(AND(Inputs!$B$38&lt;&gt;"pvp",Inputs!$B$43&gt;0),IF(Inputs!$B$43&lt;=0,0,(INT(Inputs!$B$43/(IF(Inputs!$B$38="pvp",15,MAX(0.1,Skills!D18-IF(TRUE=TRUE,Inputs!$B$32,0)))*(1-IF(AND(ArtifactsInput!$M$27,Inputs!$B$4="Chapter Hunt"),CHOOSE(ArtifactsInput!$N$27+1,20,24,28,32,36,40),0)/100)))+1)),0)</f>
        <v/>
      </c>
      <c r="S1009">
        <f>IFERROR(O1009/N1009,0)</f>
        <v/>
      </c>
      <c r="T1009" t="n">
        <v>0</v>
      </c>
      <c r="V1009" t="n">
        <v>0</v>
      </c>
    </row>
    <row r="1010">
      <c r="A1010">
        <f>Skills!A19</f>
        <v/>
      </c>
      <c r="B1010">
        <f>Skills!B19</f>
        <v/>
      </c>
      <c r="C1010">
        <f>Inputs!$B$3&gt;=10</f>
        <v/>
      </c>
      <c r="D1010">
        <f>IF(Skills!C19=1,60+Inputs!$B$25+(Inputs!$B$29+1),IF(Skills!C19=2,90+Inputs!$B$26+(Inputs!$B$29+1),IF(Skills!C19=3,120+Inputs!$B$27+(Inputs!$B$29+1),MAX(0,(Inputs!$B$3-100)*3)+Inputs!$B$28+(Inputs!$B$29+1))))</f>
        <v/>
      </c>
      <c r="E1010">
        <f>INDEX(FactorTable!$B$2:$Y$301, MATCH(ROUND(MIN(300,MAX(1,D1010)),0), FactorTable!$A$2:$A$301,0), Skills!M19+1)</f>
        <v/>
      </c>
      <c r="F1010">
        <f>IF(Skills!N19=TRUE,(Skills!L19/10)*(E1010/1000),Skills!L19/10)+Skills!O19</f>
        <v/>
      </c>
      <c r="G1010">
        <f>Skills!G19*IF(Skills!H19&gt;0,INT(IF(Inputs!$B$38="pvp",MIN(Skills!I19,15),Skills!I19)/Skills!H19+0.000000001),1)</f>
        <v/>
      </c>
      <c r="H1010">
        <f>1-(1-Skills!J19/100)^Skills!K19</f>
        <v/>
      </c>
      <c r="I1010" t="inlineStr">
        <is>
          <t>1</t>
        </is>
      </c>
      <c r="J1010" t="inlineStr"/>
      <c r="K1010" t="inlineStr"/>
      <c r="L1010" t="inlineStr"/>
      <c r="M1010" t="inlineStr"/>
      <c r="N1010" t="inlineStr"/>
      <c r="O1010">
        <f>(1-Summary!$B$11)*T1010+Summary!$B$11*V1010</f>
        <v/>
      </c>
      <c r="P1010">
        <f>IF(B1032=0,0,O1010/B1032)</f>
        <v/>
      </c>
      <c r="Q1010" t="n">
        <v>0</v>
      </c>
      <c r="R1010" t="n">
        <v>0</v>
      </c>
      <c r="S1010">
        <f>IFERROR(O1010/N1010,0)</f>
        <v/>
      </c>
      <c r="T1010" t="n">
        <v>0</v>
      </c>
      <c r="V1010" t="n">
        <v>0</v>
      </c>
    </row>
    <row r="1011">
      <c r="A1011">
        <f>Skills!A20</f>
        <v/>
      </c>
      <c r="B1011">
        <f>Skills!B20</f>
        <v/>
      </c>
      <c r="C1011">
        <f>Inputs!$B$3&gt;=15</f>
        <v/>
      </c>
      <c r="D1011">
        <f>IF(Skills!C20=1,60+Inputs!$B$25+(Inputs!$B$29+1),IF(Skills!C20=2,90+Inputs!$B$26+(Inputs!$B$29+1),IF(Skills!C20=3,120+Inputs!$B$27+(Inputs!$B$29+1),MAX(0,(Inputs!$B$3-100)*3)+Inputs!$B$28+(Inputs!$B$29+1))))</f>
        <v/>
      </c>
      <c r="E1011">
        <f>INDEX(FactorTable!$B$2:$Y$301, MATCH(ROUND(MIN(300,MAX(1,D1011)),0), FactorTable!$A$2:$A$301,0), Skills!M20+1)</f>
        <v/>
      </c>
      <c r="F1011">
        <f>IF(Skills!N20=TRUE,(Skills!L20/10)*(E1011/1000),Skills!L20/10)+Skills!O20</f>
        <v/>
      </c>
      <c r="G1011">
        <f>Skills!G20*IF(Skills!H20&gt;0,INT(IF(Inputs!$B$38="pvp",MIN(Skills!I20,15),Skills!I20)/Skills!H20+0.000000001),1)</f>
        <v/>
      </c>
      <c r="H1011">
        <f>1-(1-Skills!J20/100)^Skills!K20</f>
        <v/>
      </c>
      <c r="I1011" t="inlineStr">
        <is>
          <t>1</t>
        </is>
      </c>
      <c r="J1011" t="inlineStr"/>
      <c r="K1011" t="inlineStr"/>
      <c r="L1011" t="inlineStr"/>
      <c r="M1011" t="inlineStr"/>
      <c r="N1011" t="inlineStr"/>
      <c r="O1011">
        <f>(1-Summary!$B$11)*T1011+Summary!$B$11*V1011</f>
        <v/>
      </c>
      <c r="P1011">
        <f>IF(B1032=0,0,O1011/B1032)</f>
        <v/>
      </c>
      <c r="Q1011" t="n">
        <v>0</v>
      </c>
      <c r="R1011" t="n">
        <v>0</v>
      </c>
      <c r="S1011">
        <f>IFERROR(O1011/N1011,0)</f>
        <v/>
      </c>
      <c r="T1011" t="n">
        <v>0</v>
      </c>
      <c r="V1011" t="n">
        <v>0</v>
      </c>
    </row>
    <row r="1012">
      <c r="A1012">
        <f>Skills!A21</f>
        <v/>
      </c>
      <c r="B1012">
        <f>Skills!B21</f>
        <v/>
      </c>
      <c r="C1012">
        <f>Inputs!$B$3&gt;=40</f>
        <v/>
      </c>
      <c r="D1012">
        <f>IF(Skills!C21=1,60+Inputs!$B$25+(Inputs!$B$29+1),IF(Skills!C21=2,90+Inputs!$B$26+(Inputs!$B$29+1),IF(Skills!C21=3,120+Inputs!$B$27+(Inputs!$B$29+1),MAX(0,(Inputs!$B$3-100)*3)+Inputs!$B$28+(Inputs!$B$29+1))))</f>
        <v/>
      </c>
      <c r="E1012">
        <f>INDEX(FactorTable!$B$2:$Y$301, MATCH(ROUND(MIN(300,MAX(1,D1012)),0), FactorTable!$A$2:$A$301,0), Skills!M21+1)</f>
        <v/>
      </c>
      <c r="F1012">
        <f>IF(Skills!N21=TRUE,(Skills!L21/10)*(E1012/1000),Skills!L21/10)+Skills!O21</f>
        <v/>
      </c>
      <c r="G1012">
        <f>Skills!G21*IF(Skills!H21&gt;0,INT(IF(Inputs!$B$38="pvp",MIN(Skills!I21,15),Skills!I21)/Skills!H21+0.000000001),1)</f>
        <v/>
      </c>
      <c r="H1012">
        <f>1-(1-Skills!J21/100)^Skills!K21</f>
        <v/>
      </c>
      <c r="I1012" t="inlineStr">
        <is>
          <t>1</t>
        </is>
      </c>
      <c r="J1012" t="inlineStr"/>
      <c r="K1012" t="inlineStr"/>
      <c r="L1012" t="inlineStr"/>
      <c r="M1012" t="inlineStr"/>
      <c r="N1012" t="inlineStr"/>
      <c r="O1012">
        <f>(1-Summary!$B$11)*T1012+Summary!$B$11*V1012</f>
        <v/>
      </c>
      <c r="P1012">
        <f>IF(B1032=0,0,O1012/B1032)</f>
        <v/>
      </c>
      <c r="Q1012" t="n">
        <v>0</v>
      </c>
      <c r="R1012" t="n">
        <v>0</v>
      </c>
      <c r="S1012">
        <f>IFERROR(O1012/N1012,0)</f>
        <v/>
      </c>
      <c r="T1012" t="n">
        <v>0</v>
      </c>
      <c r="V1012" t="n">
        <v>0</v>
      </c>
    </row>
    <row r="1013">
      <c r="A1013">
        <f>Skills!A22</f>
        <v/>
      </c>
      <c r="B1013">
        <f>Skills!B22</f>
        <v/>
      </c>
      <c r="C1013">
        <f>Inputs!$B$3&gt;=43</f>
        <v/>
      </c>
      <c r="D1013">
        <f>IF(Skills!C22=1,60+Inputs!$B$25+(Inputs!$B$29+1),IF(Skills!C22=2,90+Inputs!$B$26+(Inputs!$B$29+1),IF(Skills!C22=3,120+Inputs!$B$27+(Inputs!$B$29+1),MAX(0,(Inputs!$B$3-100)*3)+Inputs!$B$28+(Inputs!$B$29+1))))</f>
        <v/>
      </c>
      <c r="E1013">
        <f>INDEX(FactorTable!$B$2:$Y$301, MATCH(ROUND(MIN(300,MAX(1,D1013)),0), FactorTable!$A$2:$A$301,0), Skills!M22+1)</f>
        <v/>
      </c>
      <c r="F1013">
        <f>IF(Skills!N22=TRUE,(Skills!L22/10)*(E1013/1000),Skills!L22/10)+Skills!O22</f>
        <v/>
      </c>
      <c r="G1013">
        <f>Skills!G22*IF(Skills!H22&gt;0,INT(IF(Inputs!$B$38="pvp",MIN(Skills!I22,15),Skills!I22)/Skills!H22+0.000000001),1)</f>
        <v/>
      </c>
      <c r="H1013">
        <f>1-(1-Skills!J22/100)^Skills!K22</f>
        <v/>
      </c>
      <c r="I1013" t="inlineStr">
        <is>
          <t>1</t>
        </is>
      </c>
      <c r="J1013" t="inlineStr"/>
      <c r="K1013" t="inlineStr"/>
      <c r="L1013" t="inlineStr"/>
      <c r="M1013" t="inlineStr"/>
      <c r="N1013" t="inlineStr"/>
      <c r="O1013">
        <f>(1-Summary!$B$11)*T1013+Summary!$B$11*V1013</f>
        <v/>
      </c>
      <c r="P1013">
        <f>IF(B1032=0,0,O1013/B1032)</f>
        <v/>
      </c>
      <c r="Q1013" t="n">
        <v>0</v>
      </c>
      <c r="R1013" t="n">
        <v>0</v>
      </c>
      <c r="S1013">
        <f>IFERROR(O1013/N1013,0)</f>
        <v/>
      </c>
      <c r="T1013" t="n">
        <v>0</v>
      </c>
      <c r="V1013" t="n">
        <v>0</v>
      </c>
    </row>
    <row r="1014">
      <c r="A1014">
        <f>Skills!A23</f>
        <v/>
      </c>
      <c r="B1014">
        <f>Skills!B23</f>
        <v/>
      </c>
      <c r="C1014">
        <f>Inputs!$B$3&gt;=38</f>
        <v/>
      </c>
      <c r="D1014">
        <f>IF(Skills!C23=1,60+Inputs!$B$25+(Inputs!$B$29+1),IF(Skills!C23=2,90+Inputs!$B$26+(Inputs!$B$29+1),IF(Skills!C23=3,120+Inputs!$B$27+(Inputs!$B$29+1),MAX(0,(Inputs!$B$3-100)*3)+Inputs!$B$28+(Inputs!$B$29+1))))</f>
        <v/>
      </c>
      <c r="E1014">
        <f>INDEX(FactorTable!$B$2:$Y$301, MATCH(ROUND(MIN(300,MAX(1,D1014)),0), FactorTable!$A$2:$A$301,0), Skills!M23+1)</f>
        <v/>
      </c>
      <c r="F1014">
        <f>IF(Skills!N23=TRUE,(Skills!L23/10)*(E1014/1000),Skills!L23/10)+Skills!O23</f>
        <v/>
      </c>
      <c r="G1014">
        <f>Skills!G23*IF(Skills!H23&gt;0,INT(IF(Inputs!$B$38="pvp",MIN(Skills!I23,15),Skills!I23)/Skills!H23+0.000000001),1)</f>
        <v/>
      </c>
      <c r="H1014">
        <f>1-(1-Skills!J23/100)^Skills!K23</f>
        <v/>
      </c>
      <c r="I1014" t="inlineStr">
        <is>
          <t>1</t>
        </is>
      </c>
      <c r="J1014" t="inlineStr"/>
      <c r="K1014" t="inlineStr"/>
      <c r="L1014" t="inlineStr"/>
      <c r="M1014" t="inlineStr"/>
      <c r="N1014" t="inlineStr"/>
      <c r="O1014">
        <f>(1-Summary!$B$11)*T1014+Summary!$B$11*V1014</f>
        <v/>
      </c>
      <c r="P1014">
        <f>IF(B1032=0,0,O1014/B1032)</f>
        <v/>
      </c>
      <c r="Q1014" t="n">
        <v>0</v>
      </c>
      <c r="R1014" t="n">
        <v>0</v>
      </c>
      <c r="S1014">
        <f>IFERROR(O1014/N1014,0)</f>
        <v/>
      </c>
      <c r="T1014" t="n">
        <v>0</v>
      </c>
      <c r="V1014" t="n">
        <v>0</v>
      </c>
    </row>
    <row r="1015">
      <c r="A1015">
        <f>Skills!A24</f>
        <v/>
      </c>
      <c r="B1015">
        <f>Skills!B24</f>
        <v/>
      </c>
      <c r="C1015">
        <f>Inputs!$B$3&gt;=45</f>
        <v/>
      </c>
      <c r="D1015">
        <f>IF(Skills!C24=1,60+Inputs!$B$25+(Inputs!$B$29+1),IF(Skills!C24=2,90+Inputs!$B$26+(Inputs!$B$29+1),IF(Skills!C24=3,120+Inputs!$B$27+(Inputs!$B$29+1),MAX(0,(Inputs!$B$3-100)*3)+Inputs!$B$28+(Inputs!$B$29+1))))</f>
        <v/>
      </c>
      <c r="E1015">
        <f>INDEX(FactorTable!$B$2:$Y$301, MATCH(ROUND(MIN(300,MAX(1,D1015)),0), FactorTable!$A$2:$A$301,0), Skills!M24+1)</f>
        <v/>
      </c>
      <c r="F1015">
        <f>IF(Skills!N24=TRUE,(Skills!L24/10)*(E1015/1000),Skills!L24/10)+Skills!O24</f>
        <v/>
      </c>
      <c r="G1015">
        <f>Skills!G24*IF(Skills!H24&gt;0,INT(IF(Inputs!$B$38="pvp",MIN(Skills!I24,15),Skills!I24)/Skills!H24+0.000000001),1)</f>
        <v/>
      </c>
      <c r="H1015">
        <f>1-(1-Skills!J24/100)^Skills!K24</f>
        <v/>
      </c>
      <c r="I1015" t="inlineStr">
        <is>
          <t>1</t>
        </is>
      </c>
      <c r="J1015" t="inlineStr"/>
      <c r="K1015" t="inlineStr"/>
      <c r="L1015" t="inlineStr"/>
      <c r="M1015" t="inlineStr"/>
      <c r="N1015" t="inlineStr"/>
      <c r="O1015">
        <f>(1-Summary!$B$11)*T1015+Summary!$B$11*V1015</f>
        <v/>
      </c>
      <c r="P1015">
        <f>IF(B1032=0,0,O1015/B1032)</f>
        <v/>
      </c>
      <c r="Q1015" t="n">
        <v>0</v>
      </c>
      <c r="R1015" t="n">
        <v>0</v>
      </c>
      <c r="S1015">
        <f>IFERROR(O1015/N1015,0)</f>
        <v/>
      </c>
      <c r="T1015" t="n">
        <v>0</v>
      </c>
      <c r="V1015" t="n">
        <v>0</v>
      </c>
    </row>
    <row r="1016">
      <c r="A1016">
        <f>Skills!A25</f>
        <v/>
      </c>
      <c r="B1016">
        <f>Skills!B25</f>
        <v/>
      </c>
      <c r="C1016">
        <f>Inputs!$B$3&gt;=72</f>
        <v/>
      </c>
      <c r="D1016">
        <f>IF(Skills!C25=1,60+Inputs!$B$25+(Inputs!$B$29+1),IF(Skills!C25=2,90+Inputs!$B$26+(Inputs!$B$29+1),IF(Skills!C25=3,120+Inputs!$B$27+(Inputs!$B$29+1),MAX(0,(Inputs!$B$3-100)*3)+Inputs!$B$28+(Inputs!$B$29+1))))</f>
        <v/>
      </c>
      <c r="E1016">
        <f>INDEX(FactorTable!$B$2:$Y$301, MATCH(ROUND(MIN(300,MAX(1,D1016)),0), FactorTable!$A$2:$A$301,0), Skills!M25+1)</f>
        <v/>
      </c>
      <c r="F1016">
        <f>IF(Skills!N25=TRUE,(Skills!L25/10)*(E1016/1000),Skills!L25/10)+Skills!O25</f>
        <v/>
      </c>
      <c r="G1016">
        <f>Skills!G25*IF(Skills!H25&gt;0,INT(IF(Inputs!$B$38="pvp",MIN(Skills!I25,15),Skills!I25)/Skills!H25+0.000000001),1)</f>
        <v/>
      </c>
      <c r="H1016">
        <f>1-(1-Skills!J25/100)^Skills!K25</f>
        <v/>
      </c>
      <c r="I1016" t="inlineStr">
        <is>
          <t>1</t>
        </is>
      </c>
      <c r="J1016" t="inlineStr"/>
      <c r="K1016" t="inlineStr"/>
      <c r="L1016" t="inlineStr"/>
      <c r="M1016" t="inlineStr"/>
      <c r="N1016" t="inlineStr"/>
      <c r="O1016">
        <f>(1-Summary!$B$11)*T1016+Summary!$B$11*V1016</f>
        <v/>
      </c>
      <c r="P1016">
        <f>IF(B1032=0,0,O1016/B1032)</f>
        <v/>
      </c>
      <c r="Q1016" t="n">
        <v>0</v>
      </c>
      <c r="R1016" t="n">
        <v>0</v>
      </c>
      <c r="S1016">
        <f>IFERROR(O1016/N1016,0)</f>
        <v/>
      </c>
      <c r="T1016" t="n">
        <v>0</v>
      </c>
      <c r="V1016" t="n">
        <v>0</v>
      </c>
    </row>
    <row r="1017">
      <c r="A1017">
        <f>Skills!A26</f>
        <v/>
      </c>
      <c r="B1017">
        <f>Skills!B26</f>
        <v/>
      </c>
      <c r="C1017">
        <f>Inputs!$B$3&gt;=75</f>
        <v/>
      </c>
      <c r="D1017">
        <f>IF(Skills!C26=1,60+Inputs!$B$25+(Inputs!$B$29+1),IF(Skills!C26=2,90+Inputs!$B$26+(Inputs!$B$29+1),IF(Skills!C26=3,120+Inputs!$B$27+(Inputs!$B$29+1),MAX(0,(Inputs!$B$3-100)*3)+Inputs!$B$28+(Inputs!$B$29+1))))</f>
        <v/>
      </c>
      <c r="E1017">
        <f>INDEX(FactorTable!$B$2:$Y$301, MATCH(ROUND(MIN(300,MAX(1,D1017)),0), FactorTable!$A$2:$A$301,0), Skills!M26+1)</f>
        <v/>
      </c>
      <c r="F1017">
        <f>IF(Skills!N26=TRUE,(Skills!L26/10)*(E1017/1000),Skills!L26/10)+Skills!O26</f>
        <v/>
      </c>
      <c r="G1017">
        <f>Skills!G26*IF(Skills!H26&gt;0,INT(IF(Inputs!$B$38="pvp",MIN(Skills!I26,15),Skills!I26)/Skills!H26+0.000000001),1)</f>
        <v/>
      </c>
      <c r="H1017">
        <f>1-(1-Skills!J26/100)^Skills!K26</f>
        <v/>
      </c>
      <c r="I1017" t="inlineStr">
        <is>
          <t>1</t>
        </is>
      </c>
      <c r="J1017" t="inlineStr"/>
      <c r="K1017" t="inlineStr"/>
      <c r="L1017" t="inlineStr"/>
      <c r="M1017" t="inlineStr"/>
      <c r="N1017" t="inlineStr"/>
      <c r="O1017">
        <f>(1-Summary!$B$11)*T1017+Summary!$B$11*V1017</f>
        <v/>
      </c>
      <c r="P1017">
        <f>IF(B1032=0,0,O1017/B1032)</f>
        <v/>
      </c>
      <c r="Q1017" t="n">
        <v>0</v>
      </c>
      <c r="R1017" t="n">
        <v>0</v>
      </c>
      <c r="S1017">
        <f>IFERROR(O1017/N1017,0)</f>
        <v/>
      </c>
      <c r="T1017" t="n">
        <v>0</v>
      </c>
      <c r="V1017" t="n">
        <v>0</v>
      </c>
    </row>
    <row r="1018">
      <c r="A1018">
        <f>Skills!A27</f>
        <v/>
      </c>
      <c r="B1018">
        <f>Skills!B27</f>
        <v/>
      </c>
      <c r="C1018">
        <f>Inputs!$B$3&gt;=125</f>
        <v/>
      </c>
      <c r="D1018">
        <f>IF(Skills!C27=1,60+Inputs!$B$25+(Inputs!$B$29+1),IF(Skills!C27=2,90+Inputs!$B$26+(Inputs!$B$29+1),IF(Skills!C27=3,120+Inputs!$B$27+(Inputs!$B$29+1),MAX(0,(Inputs!$B$3-100)*3)+Inputs!$B$28+(Inputs!$B$29+1))))</f>
        <v/>
      </c>
      <c r="E1018">
        <f>INDEX(FactorTable!$B$2:$Y$301, MATCH(ROUND(MIN(300,MAX(1,D1018)),0), FactorTable!$A$2:$A$301,0), Skills!M27+1)</f>
        <v/>
      </c>
      <c r="F1018">
        <f>IF(Skills!N27=TRUE,(Skills!L27/10)*(E1018/1000),Skills!L27/10)+Skills!O27</f>
        <v/>
      </c>
      <c r="G1018">
        <f>Skills!G27*IF(Skills!H27&gt;0,INT(IF(Inputs!$B$38="pvp",MIN(Skills!I27,15),Skills!I27)/Skills!H27+0.000000001),1)</f>
        <v/>
      </c>
      <c r="H1018">
        <f>1-(1-Skills!J27/100)^Skills!K27</f>
        <v/>
      </c>
      <c r="I1018" t="inlineStr">
        <is>
          <t>1</t>
        </is>
      </c>
      <c r="J1018" t="inlineStr"/>
      <c r="K1018" t="inlineStr"/>
      <c r="L1018" t="inlineStr"/>
      <c r="M1018" t="inlineStr"/>
      <c r="N1018" t="inlineStr"/>
      <c r="O1018">
        <f>(1-Summary!$B$11)*T1018+Summary!$B$11*V1018</f>
        <v/>
      </c>
      <c r="P1018">
        <f>IF(B1032=0,0,O1018/B1032)</f>
        <v/>
      </c>
      <c r="Q1018" t="n">
        <v>0</v>
      </c>
      <c r="R1018" t="n">
        <v>0</v>
      </c>
      <c r="S1018">
        <f>IFERROR(O1018/N1018,0)</f>
        <v/>
      </c>
      <c r="T1018" t="n">
        <v>0</v>
      </c>
      <c r="V1018" t="n">
        <v>0</v>
      </c>
    </row>
    <row r="1019">
      <c r="A1019">
        <f>Skills!A28</f>
        <v/>
      </c>
      <c r="B1019">
        <f>Skills!B28</f>
        <v/>
      </c>
      <c r="C1019">
        <f>TRUE</f>
        <v/>
      </c>
      <c r="D1019">
        <f>IF(Skills!C28=1,60+Inputs!$B$25+(Inputs!$B$29+1),IF(Skills!C28=2,90+Inputs!$B$26+(Inputs!$B$29+1),IF(Skills!C28=3,120+Inputs!$B$27+(Inputs!$B$29+1),MAX(0,(Inputs!$B$3-100)*3)+Inputs!$B$28+(Inputs!$B$29+1))))</f>
        <v/>
      </c>
      <c r="E1019">
        <f>INDEX(FactorTable!$B$2:$Y$301, MATCH(ROUND(MIN(300,MAX(1,D1019)),0), FactorTable!$A$2:$A$301,0), Skills!M28+1)</f>
        <v/>
      </c>
      <c r="F1019">
        <f>IF(Skills!N28=TRUE,(Skills!L28/10)*(E1019/1000),Skills!L28/10)+Skills!O28</f>
        <v/>
      </c>
      <c r="G1019">
        <f>Skills!G28*IF(Skills!H28&gt;0,INT(IF(Inputs!$B$38="pvp",MIN(Skills!I28,15),Skills!I28)/Skills!H28+0.000000001),1)</f>
        <v/>
      </c>
      <c r="H1019">
        <f>1-(1-Skills!J28/100)^Skills!K28</f>
        <v/>
      </c>
      <c r="I1019" t="inlineStr">
        <is>
          <t>1</t>
        </is>
      </c>
      <c r="J1019" t="inlineStr"/>
      <c r="K1019" t="inlineStr"/>
      <c r="L1019" t="inlineStr"/>
      <c r="M1019" t="inlineStr"/>
      <c r="N1019" t="inlineStr"/>
      <c r="O1019">
        <f>(1-Summary!$B$11)*T1019+Summary!$B$11*V1019</f>
        <v/>
      </c>
      <c r="P1019">
        <f>IF(B1032=0,0,O1019/B1032)</f>
        <v/>
      </c>
      <c r="Q1019">
        <f>IFERROR(1/(IF(Inputs!$B$38="pvp",15,MAX(0.1,Skills!D28-IF(TRUE=TRUE,Inputs!$B$32,0)))*(1-IF(AND(ArtifactsInput!$M$27,Inputs!$B$4="Chapter Hunt"),CHOOSE(ArtifactsInput!$N$27+1,20,24,28,32,36,40),0)/100)),0)</f>
        <v/>
      </c>
      <c r="R1019">
        <f>IF(AND(Inputs!$B$38&lt;&gt;"pvp",Inputs!$B$43&gt;0),IF(Inputs!$B$43&lt;=0,0,(INT(Inputs!$B$43/(IF(Inputs!$B$38="pvp",15,MAX(0.1,Skills!D28-IF(TRUE=TRUE,Inputs!$B$32,0)))*(1-IF(AND(ArtifactsInput!$M$27,Inputs!$B$4="Chapter Hunt"),CHOOSE(ArtifactsInput!$N$27+1,20,24,28,32,36,40),0)/100)))+1)),0)</f>
        <v/>
      </c>
      <c r="S1019">
        <f>IFERROR(O1019/N1019,0)</f>
        <v/>
      </c>
      <c r="T1019" t="n">
        <v>0</v>
      </c>
      <c r="V1019" t="n">
        <v>0</v>
      </c>
    </row>
    <row r="1021">
      <c r="A1021" t="inlineStr">
        <is>
          <t>Attack% Bucket Multiplier</t>
        </is>
      </c>
      <c r="B1021">
        <f>(1+(((C1008=TRUE)*F1008*5/7)+((C1015=TRUE)*(F1015-Calc!F24))+(IF(ArtifactsInput!$M$21,CHOOSE(ArtifactsInput!$N$21+1,25,30,35,40,45,50)*(IF(OR(Inputs!$B$4="Chapter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022">
      <c r="A1022" t="inlineStr">
        <is>
          <t>Global Crit Rate Bonus %</t>
        </is>
      </c>
      <c r="B1022" t="n">
        <v>0</v>
      </c>
    </row>
    <row r="1023">
      <c r="A1023" t="inlineStr">
        <is>
          <t>Attack Speed Buff Bonus % (Nimble Feet, duty-cycle averaged)</t>
        </is>
      </c>
      <c r="B1023">
        <f>((C1019=TRUE)*F1019*IF(AND(Inputs!$B$38&lt;&gt;"pvp",Inputs!$B$43&gt;0),(((R1019-1)*MIN((Skills!T28*(1+Inputs!$B$34/100)),(1/Q1019))+MIN((Skills!T28*(1+Inputs!$B$34/100)),MAX(0,Inputs!$B$43-((R1019-1)*(1/Q1019)))))/Inputs!$B$43),IF(Inputs!$B$38="pvp",MIN((Skills!T28*(1+Inputs!$B$34/100)),15)/15,MIN(1,(Skills!T28*(1+Inputs!$B$34/100))/(1/Q1019)))))</f>
        <v/>
      </c>
    </row>
    <row r="1024">
      <c r="A1024" t="inlineStr">
        <is>
          <t>Actions Per Second</t>
        </is>
      </c>
      <c r="B1024">
        <f>1+MIN(150,150*(1-(1-(Inputs!$B$11+((C1011=TRUE)*(F1011-Calc!F20))+((C1012=TRUE)*(F1012-Calc!F21)))/150)*(1-B1023/150)))/100</f>
        <v/>
      </c>
    </row>
    <row r="1025">
      <c r="A1025" t="inlineStr">
        <is>
          <t>Skill + Buff Cast Rate</t>
        </is>
      </c>
      <c r="B1025">
        <f>IF(AND(Inputs!$B$38&lt;&gt;"pvp",Inputs!$B$43&gt;0),SUMPRODUCT((Skills!E2:E28=TRUE)*(C993:C1019=TRUE)*R993:R1019*Skills!F2:F28)/Inputs!$B$43,SUMPRODUCT((Skills!E2:E28=TRUE)*(C993:C1019=TRUE)*Q993:Q1019*Skills!F2:F28))</f>
        <v/>
      </c>
    </row>
    <row r="1026">
      <c r="A1026" t="inlineStr">
        <is>
          <t>Eight-Legs Easton Casts Per Second</t>
        </is>
      </c>
      <c r="B1026">
        <f>MAX(0,B1024-B1025)</f>
        <v/>
      </c>
    </row>
    <row r="1027">
      <c r="A1027" t="inlineStr">
        <is>
          <t>Global Critical Damage Bonus % (unused)</t>
        </is>
      </c>
      <c r="B1027" t="n">
        <v>0</v>
      </c>
    </row>
    <row r="1028">
      <c r="A1028" t="inlineStr">
        <is>
          <t>Global Final Damage Bonus % (Jolly Roger + Ahoy Mateys - Final Damage proc)</t>
        </is>
      </c>
      <c r="B1028">
        <f>((C1009=TRUE)*F1009*IF(AND(Inputs!$B$38&lt;&gt;"pvp",Inputs!$B$43&gt;0),(((R1009-1)*MIN((Skills!T18*(1+Inputs!$B$34/100)),(1/Q1009))+MIN((Skills!T18*(1+Inputs!$B$34/100)),MAX(0,Inputs!$B$43-((R1009-1)*(1/Q1009)))))/Inputs!$B$43),IF(Inputs!$B$38="pvp",MIN((Skills!T18*(1+Inputs!$B$34/100)),15)/15,MIN(1,(Skills!T18*(1+Inputs!$B$34/100))/(1/Q1009)))))+IF(Inputs!$B$3&gt;=122,20*IF(Inputs!$B$38="pvp",MIN((20*(1+Inputs!$B$34/100)),15)/15,MIN(1,(20*(1+Inputs!$B$34/100))/(1/Q995))),0)</f>
        <v/>
      </c>
    </row>
    <row r="1029">
      <c r="A1029" t="inlineStr">
        <is>
          <t>Buff-Casting Startup Delay (s, fixed-duration only)</t>
        </is>
      </c>
      <c r="B1029">
        <f>IF(AND(Inputs!$B$38&lt;&gt;"pvp",Inputs!$B$43&gt;0),SUMPRODUCT((Skills!T2:T28&gt;0)*(Skills!E2:E28=TRUE)*(C993:C1019=TRUE))/B1024,0)</f>
        <v/>
      </c>
    </row>
    <row r="1030">
      <c r="A1030" t="inlineStr">
        <is>
          <t>Boss-Only Total DPS (this block's swept value)</t>
        </is>
      </c>
      <c r="B1030">
        <f>SUM(T993:T1019)</f>
        <v/>
      </c>
    </row>
    <row r="1031">
      <c r="A1031" t="inlineStr">
        <is>
          <t>Normal-Only Total DPS (this block's swept value)</t>
        </is>
      </c>
      <c r="B1031">
        <f>SUM(V993:V1019)</f>
        <v/>
      </c>
    </row>
    <row r="1032">
      <c r="A1032" s="6" t="inlineStr">
        <is>
          <t>TOTAL DPS</t>
        </is>
      </c>
      <c r="B1032" s="6">
        <f>SUM(O993:O1019)</f>
        <v/>
      </c>
    </row>
    <row r="1033">
      <c r="A1033" t="inlineStr">
        <is>
          <t>Quickdraw cooldown divisor (this block's own APS / Q)</t>
        </is>
      </c>
      <c r="B1033">
        <f>IF(AND(C1018=TRUE,Inputs!$B$38&lt;&gt;"pvp"),1+0.25*MAX(0,(B1024-(((C994=TRUE)*Q994*1)+((C995=TRUE)*Q995*1)+((C997=TRUE)*Q997*1)+((C998=TRUE)*Q998*1)+((C1000=TRUE)*Q1000*1)+((C1003=TRUE)*Q1003*1)+((C1009=TRUE)*Q1009*1)+((C1019=TRUE)*Q1019*1))-((C999=TRUE)/(IF(Inputs!$B$38="pvp",15,MAX(0.1,Skills!D8-IF(TRUE=TRUE,Inputs!$B$32,0)))*(1-IF(AND(ArtifactsInput!$M$27,Inputs!$B$4="Chapter Hunt"),CHOOSE(ArtifactsInput!$N$27+1,20,24,28,32,36,40),0)/100))+(C1002=TRUE)/(IF(Inputs!$B$38="pvp",15,MAX(0.1,Skills!D11-IF(TRUE=TRUE,Inputs!$B$32,0)))*(1-IF(AND(ArtifactsInput!$M$27,Inputs!$B$4="Chapter Hunt"),CHOOSE(ArtifactsInput!$N$27+1,20,24,28,32,36,40),0)/100))))/(1+0.25*((C999=TRUE)/(IF(Inputs!$B$38="pvp",15,MAX(0.1,Skills!D8-IF(TRUE=TRUE,Inputs!$B$32,0)))*(1-IF(AND(ArtifactsInput!$M$27,Inputs!$B$4="Chapter Hunt"),CHOOSE(ArtifactsInput!$N$27+1,20,24,28,32,36,40),0)/100))+(C1002=TRUE)/(IF(Inputs!$B$38="pvp",15,MAX(0.1,Skills!D11-IF(TRUE=TRUE,Inputs!$B$32,0)))*(1-IF(AND(ArtifactsInput!$M$27,Inputs!$B$4="Chapter Hunt"),CHOOSE(ArtifactsInput!$N$27+1,20,24,28,32,36,40),0)/100))))),1)</f>
        <v/>
      </c>
    </row>
    <row r="1034">
      <c r="A1034" t="inlineStr">
        <is>
          <t>Nautilus Strike - Final Attack trigger rate (this block's own Q/R)</t>
        </is>
      </c>
      <c r="B1034">
        <f>IF(AND(Inputs!$B$38&lt;&gt;"pvp",Inputs!$B$43&gt;0),(((C994=TRUE)*R994)+((C997=TRUE)*R997)+((C999=TRUE)*R999)+((C1000=TRUE)*R1000)+((C1002=TRUE)*R1002))/Inputs!$B$43,((C994=TRUE)*Q994)+((C997=TRUE)*Q997)+((C999=TRUE)*Q999)+((C1000=TRUE)*Q1000)+((C1002=TRUE)*Q1002))+B1026</f>
        <v/>
      </c>
    </row>
    <row r="1037">
      <c r="A1037" s="6" t="inlineStr">
        <is>
          <t>Stat: Flat ATTACK</t>
        </is>
      </c>
    </row>
    <row r="1038">
      <c r="A1038" s="5" t="inlineStr">
        <is>
          <t>Key</t>
        </is>
      </c>
      <c r="B1038" s="5" t="inlineStr">
        <is>
          <t>Name</t>
        </is>
      </c>
      <c r="C1038" s="5" t="inlineStr">
        <is>
          <t>Unlocked</t>
        </is>
      </c>
      <c r="D1038" s="5" t="inlineStr">
        <is>
          <t>InputLevel</t>
        </is>
      </c>
      <c r="E1038" s="5" t="inlineStr">
        <is>
          <t>Factor</t>
        </is>
      </c>
      <c r="F1038" s="5" t="inlineStr">
        <is>
          <t>CoefficientPercent</t>
        </is>
      </c>
      <c r="G1038" s="5" t="inlineStr">
        <is>
          <t>EffectiveHits</t>
        </is>
      </c>
      <c r="H1038" s="5" t="inlineStr">
        <is>
          <t>ProcProbability</t>
        </is>
      </c>
      <c r="I1038" s="5" t="inlineStr">
        <is>
          <t>MapleHeroMultiplier</t>
        </is>
      </c>
      <c r="J1038" s="5" t="inlineStr">
        <is>
          <t>BaseDamage</t>
        </is>
      </c>
      <c r="K1038" s="5" t="inlineStr">
        <is>
          <t>BaseHitDamage</t>
        </is>
      </c>
      <c r="L1038" s="5" t="inlineStr">
        <is>
          <t>NonCritAvg</t>
        </is>
      </c>
      <c r="M1038" s="5" t="inlineStr">
        <is>
          <t>CritAvg</t>
        </is>
      </c>
      <c r="N1038" s="5" t="inlineStr">
        <is>
          <t>ExpectedDamage(perHit)</t>
        </is>
      </c>
      <c r="O1038" s="5" t="inlineStr">
        <is>
          <t>DPS</t>
        </is>
      </c>
      <c r="P1038" s="5" t="inlineStr">
        <is>
          <t>% of Total</t>
        </is>
      </c>
      <c r="Q1038" s="5" t="inlineStr">
        <is>
          <t>InvCooldown</t>
        </is>
      </c>
      <c r="R1038" s="5" t="inlineStr">
        <is>
          <t>CastsInFight</t>
        </is>
      </c>
      <c r="S1038" s="5" t="inlineStr">
        <is>
          <t>HitRate(perSec)</t>
        </is>
      </c>
      <c r="U1038" t="inlineStr">
        <is>
          <t>helpers</t>
        </is>
      </c>
    </row>
    <row r="1039">
      <c r="A1039">
        <f>Skills!A2</f>
        <v/>
      </c>
      <c r="B1039">
        <f>Skills!B2</f>
        <v/>
      </c>
      <c r="C1039">
        <f>Inputs!$B$3&gt;=100</f>
        <v/>
      </c>
      <c r="D1039" t="inlineStr"/>
      <c r="E1039" t="inlineStr"/>
      <c r="F1039">
        <f>U1041+Skills!O2</f>
        <v/>
      </c>
      <c r="G1039">
        <f>Skills!G2*IF(Skills!H2&gt;0,INT(IF(Inputs!$B$38="pvp",MIN(Skills!I2,15),Skills!I2)/Skills!H2+0.000000001),1)</f>
        <v/>
      </c>
      <c r="H1039">
        <f>1-(1-Skills!J2/100)^Skills!K2</f>
        <v/>
      </c>
      <c r="I1039" t="inlineStr">
        <is>
          <t>1</t>
        </is>
      </c>
      <c r="J1039">
        <f>(((Inputs!$B$6+1)*(1+Inputs!$B$7/100))+(((Inputs!$B$12*(1+Inputs!$B$13/100))-(Inputs!$B$12*(1+Inputs!$B$13/100)))+0.25*(Inputs!$B$14-Inputs!$B$14))*(1+Inputs!$B$7/100))*(F1039/100)</f>
        <v/>
      </c>
      <c r="K1039">
        <f>J1039*(1+((Inputs!$B$12*(1+Inputs!$B$13/100))*0.01+Inputs!$B$14*0.0025)/100)*(1+Inputs!$B$15/100)*(1+Inputs!$B$16/100)*(5000/(6000+Inputs!$B$42*(1-(100*(1-(1-(Inputs!$B$19+0)/100)*(1-CHOOSE(ArtifactsInput!$N$40+1,5,6,7,8,9,10)/100)^(ArtifactsInput!$M$40-ArtifactsInput!$M$40)))/100)))*(1+(Inputs!$B$24+((C1063=TRUE)*(F1063-Calc!F26))+B1074)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IGHT_LEGS_EASTON",Inputs!$B$17+((C1060=TRUE)*(F1060-Calc!F23))+((C1064=TRUE)*(F1064-Calc!F27))+((IF(AND(Inputs!$B$38&lt;&gt;"pvp",Inputs!$B$43=0),1,IF(IF(Inputs!$B$38="pvp",15,Inputs!$B$43)-(B1075)&lt;=0,1,MAX(0,IF(Inputs!$B$38="pvp",15,Inputs!$B$43)-MAX(5,B1075))/(IF(Inputs!$B$38="pvp",15,Inputs!$B$43)-(B1075))))*(IF(AND(ArtifactsInput!$M$42,((Inputs!$B$9+((C1056=TRUE)*(F1056-Calc!F19))+B1068+(ArtifactsInput!$M$24-ArtifactsInput!$M$24)*CHOOSE(ArtifactsInput!$N$24+1,10,12,14,16,18,20)+IF(ArtifactsInput!$M$10,CHOOSE(ArtifactsInput!$N$10+1,15,18,21,24,27,30)*(IF(Inputs!$B$38="pvp",MIN(15,15)/15,IF(AND(Inputs!$B$38&lt;&gt;"pvp",Inputs!$B$43&gt;0),MIN(15,Inputs!$B$43)/(Inputs!$B$43),0))),0)))&gt;=100),MIN(100,((Inputs!$B$9+((C1056=TRUE)*(F1056-Calc!F19))+B1068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1075)&lt;=0,1,MAX(0,IF(Inputs!$B$38="pvp",15,Inputs!$B$43)-MAX(5,B1075))/(IF(Inputs!$B$38="pvp",15,Inputs!$B$43)-(B1075))))*IF(AND(ArtifactsInput!$M$42,((Inputs!$B$9+((C1056=TRUE)*(F1056-Calc!F19))+B1068+(ArtifactsInput!$M$24-ArtifactsInput!$M$24)*CHOOSE(ArtifactsInput!$N$24+1,10,12,14,16,18,20)+IF(ArtifactsInput!$M$10,CHOOSE(ArtifactsInput!$N$10+1,15,18,21,24,27,30)*(IF(Inputs!$B$38="pvp",MIN(15,15)/15,IF(AND(Inputs!$B$38&lt;&gt;"pvp",Inputs!$B$43&gt;0),MIN(15,Inputs!$B$43)/(Inputs!$B$43),0))),0)))&gt;=100),CHOOSE(ArtifactsInput!$N$42+1,40,48,56,64,72,80),0))))/100)*((1+(((C1054=TRUE)*F1054*5/7)+((C1061=TRUE)*(F1061-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1039)</f>
        <v/>
      </c>
      <c r="L1039">
        <f>K1039*(MIN(Inputs!$B$22+((C1059=TRUE)*(F1059-Calc!F22)),(Inputs!$B$23+0+(IF(ArtifactsInput!$M$15,CHOOSE(ArtifactsInput!$N$15+1,25,30,35,40,45,50)/100*(Inputs!$B$11-Inputs!$B$11),0))))/100+(Inputs!$B$23+0+(IF(ArtifactsInput!$M$15,CHOOSE(ArtifactsInput!$N$15+1,25,30,35,40,45,50)/100*(Inputs!$B$11-Inputs!$B$11),0)))/100)/2</f>
        <v/>
      </c>
      <c r="M1039">
        <f>L1039*(1+(Inputs!$B$10+((C1062=TRUE)*(F1062-Calc!F25))+B1073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39">
        <f>L1039*(1-MIN((Inputs!$B$9+((C1056=TRUE)*(F1056-Calc!F19))+B1068+(ArtifactsInput!$M$24-ArtifactsInput!$M$24)*CHOOSE(ArtifactsInput!$N$24+1,10,12,14,16,18,20)+(IF(AND(Inputs!$B$38&lt;&gt;"pvp",Inputs!$B$43=0),1,IF(IF(Inputs!$B$38="pvp",15,Inputs!$B$43)-(B1075)&lt;=0,1,MAX(0,IF(Inputs!$B$38="pvp",15,Inputs!$B$43)-MAX(5,B1075))/(IF(Inputs!$B$38="pvp",15,Inputs!$B$43)-(B1075))))*IF(AND(ArtifactsInput!$M$42,((Inputs!$B$9+((C1056=TRUE)*(F1056-Calc!F19))+B1068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1039*(MIN((Inputs!$B$9+((C1056=TRUE)*(F1056-Calc!F19))+B1068+(ArtifactsInput!$M$24-ArtifactsInput!$M$24)*CHOOSE(ArtifactsInput!$N$24+1,10,12,14,16,18,20)+(IF(AND(Inputs!$B$38&lt;&gt;"pvp",Inputs!$B$43=0),1,IF(IF(Inputs!$B$38="pvp",15,Inputs!$B$43)-(B1075)&lt;=0,1,MAX(0,IF(Inputs!$B$38="pvp",15,Inputs!$B$43)-MAX(5,B1075))/(IF(Inputs!$B$38="pvp",15,Inputs!$B$43)-(B1075))))*IF(AND(ArtifactsInput!$M$42,((Inputs!$B$9+((C1056=TRUE)*(F1056-Calc!F19))+B1068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39">
        <f>(1-Summary!$B$11)*T1039+Summary!$B$11*V1039</f>
        <v/>
      </c>
      <c r="P1039">
        <f>IF(B1078=0,0,O1039/B1078)</f>
        <v/>
      </c>
      <c r="Q1039" t="n">
        <v>0</v>
      </c>
      <c r="R1039" t="n">
        <v>0</v>
      </c>
      <c r="S1039">
        <f>IFERROR(O1039/N1039,0)</f>
        <v/>
      </c>
      <c r="T1039">
        <f>IF(C1039,(Skills!G2*N1039*B1072*(1+IF(C1064=TRUE,1/3,0)))*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Hunt"),CHOOSE(ArtifactsInput!$N$35+1,15,18,21,24,27,30)*(1-EXP(-(0.2*B1070)*5)),0)+IF(AND(ArtifactsInput!$M$22,Inputs!$B$4&lt;&gt;"Chapter Hunt"),CHOOSE(ArtifactsInput!$N$22+1,10,12,14,16,18,20)*((0*(((0.15*B1070*5))^0/1)+1*(((0.15*B1070*5))^1/1)+2*(((0.15*B1070*5))^2/2)+3*(((0.15*B1070*5))^3/6)+4*(((0.15*B1070*5))^4/24)+5*(((0.15*B1070*5))^5/120))/((((0.15*B1070*5))^0/1)+(((0.15*B1070*5))^1/1)+(((0.15*B1070*5))^2/2)+(((0.15*B1070*5))^3/6)+(((0.15*B1070*5))^4/24)+(((0.15*B1070*5))^5/120))),0))+IF(Inputs!$B$3&gt;=54,9*(C1040=TRUE)*MIN(1,8*(1+Inputs!$B$34/100)*Q1040)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1039*(1-MIN(100,(Inputs!$B$9+((C1056=TRUE)*(F1056-Calc!F19))+B1068+(ArtifactsInput!$M$24-ArtifactsInput!$M$24)*CHOOSE(ArtifactsInput!$N$24+1,10,12,14,16,18,20)+(IF(AND(Inputs!$B$38&lt;&gt;"pvp",Inputs!$B$43=0),1,IF(IF(Inputs!$B$38="pvp",15,Inputs!$B$43)-(B1075)&lt;=0,1,MAX(0,IF(Inputs!$B$38="pvp",15,Inputs!$B$43)-MAX(5,B1075))/(IF(Inputs!$B$38="pvp",15,Inputs!$B$43)-(B1075))))*IF(AND(ArtifactsInput!$M$42,((Inputs!$B$9+((C1056=TRUE)*(F1056-Calc!F19))+B1068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1039*(MIN(100,(Inputs!$B$9+((C1056=TRUE)*(F1056-Calc!F19))+B1068+(ArtifactsInput!$M$24-ArtifactsInput!$M$24)*CHOOSE(ArtifactsInput!$N$24+1,10,12,14,16,18,20)+(IF(AND(Inputs!$B$38&lt;&gt;"pvp",Inputs!$B$43=0),1,IF(IF(Inputs!$B$38="pvp",15,Inputs!$B$43)-(B1075)&lt;=0,1,MAX(0,IF(Inputs!$B$38="pvp",15,Inputs!$B$43)-MAX(5,B1075))/(IF(Inputs!$B$38="pvp",15,Inputs!$B$43)-(B1075))))*IF(AND(ArtifactsInput!$M$42,((Inputs!$B$9+((C1056=TRUE)*(F1056-Calc!F19))+B1068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1039*(1-MIN(100,(Inputs!$B$9+((C1056=TRUE)*(F1056-Calc!F19))+B1068+(ArtifactsInput!$M$24-ArtifactsInput!$M$24)*CHOOSE(ArtifactsInput!$N$24+1,10,12,14,16,18,20)+(IF(AND(Inputs!$B$38&lt;&gt;"pvp",Inputs!$B$43=0),1,IF(IF(Inputs!$B$38="pvp",15,Inputs!$B$43)-(B1075)&lt;=0,1,MAX(0,IF(Inputs!$B$38="pvp",15,Inputs!$B$43)-MAX(5,B1075))/(IF(Inputs!$B$38="pvp",15,Inputs!$B$43)-(B1075))))*IF(AND(ArtifactsInput!$M$42,((Inputs!$B$9+((C1056=TRUE)*(F1056-Calc!F19))+B1068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1039*(MIN(100,(Inputs!$B$9+((C1056=TRUE)*(F1056-Calc!F19))+B1068+(ArtifactsInput!$M$24-ArtifactsInput!$M$24)*CHOOSE(ArtifactsInput!$N$24+1,10,12,14,16,18,20)+(IF(AND(Inputs!$B$38&lt;&gt;"pvp",Inputs!$B$43=0),1,IF(IF(Inputs!$B$38="pvp",15,Inputs!$B$43)-(B1075)&lt;=0,1,MAX(0,IF(Inputs!$B$38="pvp",15,Inputs!$B$43)-MAX(5,B1075))/(IF(Inputs!$B$38="pvp",15,Inputs!$B$43)-(B1075))))*IF(AND(ArtifactsInput!$M$42,((Inputs!$B$9+((C1056=TRUE)*(F1056-Calc!F19))+B1068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039">
        <f>MAX(0,(Inputs!$B$3-100)*3)+Inputs!$B$28+Inputs!$B$29</f>
        <v/>
      </c>
      <c r="V1039">
        <f>IF(C1039,(Skills!G2*N1039*B1072*(1+IF(C1064=TRUE,1/3,0)))*IF(Inputs!$B$38="pvp",1,(1+(Inputs!$B$21+Skills!Q2+(IF(ArtifactsInput!$M$33,CHOOSE(ArtifactsInput!$N$33+1,30,36,42,48,54,60),0))+(IF(AND(ArtifactsInput!$M$35,Inputs!$B$4&lt;&gt;"Chapter Hunt"),CHOOSE(ArtifactsInput!$N$35+1,15,18,21,24,27,30)*(1-EXP(-(0.2*B1070)*5)),0)+IF(AND(ArtifactsInput!$M$22,Inputs!$B$4&lt;&gt;"Chapter Hunt"),CHOOSE(ArtifactsInput!$N$22+1,10,12,14,16,18,20)*((0*(((0.15*B1070*5))^0/1)+1*(((0.15*B1070*5))^1/1)+2*(((0.15*B1070*5))^2/2)+3*(((0.15*B1070*5))^3/6)+4*(((0.15*B1070*5))^4/24)+5*(((0.15*B1070*5))^5/120))/((((0.15*B1070*5))^0/1)+(((0.15*B1070*5))^1/1)+(((0.15*B1070*5))^2/2)+(((0.15*B1070*5))^3/6)+(((0.15*B1070*5))^4/24)+(((0.15*B1070*5))^5/120))),0))+IF(Inputs!$B$3&gt;=54,9*(C1040=TRUE)*MIN(1,8*(1+Inputs!$B$34/100)*Q1040)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40">
      <c r="A1040">
        <f>Skills!A3</f>
        <v/>
      </c>
      <c r="B1040">
        <f>Skills!B3</f>
        <v/>
      </c>
      <c r="C1040">
        <f>Inputs!$B$3&gt;=33</f>
        <v/>
      </c>
      <c r="D1040">
        <f>IF(Skills!C3=1,60+Inputs!$B$25+Inputs!$B$29,IF(Skills!C3=2,90+Inputs!$B$26+Inputs!$B$29,IF(Skills!C3=3,120+Inputs!$B$27+Inputs!$B$29,MAX(0,(Inputs!$B$3-100)*3)+Inputs!$B$28+Inputs!$B$29)))</f>
        <v/>
      </c>
      <c r="E1040">
        <f>INDEX(FactorTable!$B$2:$Y$301, MATCH(ROUND(MIN(300,MAX(1,D1040)),0), FactorTable!$A$2:$A$301,0), Skills!M3+1)</f>
        <v/>
      </c>
      <c r="F1040">
        <f>IF(Skills!N3=TRUE,(Skills!L3/10)*(E1040/1000),Skills!L3/10)+Skills!O3</f>
        <v/>
      </c>
      <c r="G1040">
        <f>Skills!G3*IF(Skills!H3&gt;0,INT(IF(Inputs!$B$38="pvp",MIN(Skills!I3,15),Skills!I3)/Skills!H3+0.000000001),1)</f>
        <v/>
      </c>
      <c r="H1040">
        <f>1-(1-Skills!J3/100)^Skills!K3</f>
        <v/>
      </c>
      <c r="I1040" t="inlineStr">
        <is>
          <t>1</t>
        </is>
      </c>
      <c r="J1040">
        <f>(((Inputs!$B$6+1)*(1+Inputs!$B$7/100))+(((Inputs!$B$12*(1+Inputs!$B$13/100))-(Inputs!$B$12*(1+Inputs!$B$13/100)))+0.25*(Inputs!$B$14-Inputs!$B$14))*(1+Inputs!$B$7/100))*(F1040/100)</f>
        <v/>
      </c>
      <c r="K1040">
        <f>J1040*(1+((Inputs!$B$12*(1+Inputs!$B$13/100))*0.01+Inputs!$B$14*0.0025)/100)*(1+Inputs!$B$15/100)*(1+Inputs!$B$16/100)*(5000/(6000+Inputs!$B$42*(1-(100*(1-(1-(Inputs!$B$19+0)/100)*(1-CHOOSE(ArtifactsInput!$N$40+1,5,6,7,8,9,10)/100)^(ArtifactsInput!$M$40-ArtifactsInput!$M$40)))/100)))*(1+(Inputs!$B$24+((C1063=TRUE)*(F1063-Calc!F26))+B1074)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1052=TRUE,F1052,0)/100)*(1+(IF(Skills!A3="EIGHT_LEGS_EASTON",Inputs!$B$17+((C1060=TRUE)*(F1060-Calc!F23))+((C1064=TRUE)*(F1064-Calc!F27))+((IF(AND(Inputs!$B$38&lt;&gt;"pvp",Inputs!$B$43=0),1,IF(IF(Inputs!$B$38="pvp",15,Inputs!$B$43)-(B1075)&lt;=0,1,MAX(0,IF(Inputs!$B$38="pvp",15,Inputs!$B$43)-MAX(5,B1075))/(IF(Inputs!$B$38="pvp",15,Inputs!$B$43)-(B1075))))*(IF(AND(ArtifactsInput!$M$42,((Inputs!$B$9+((C1056=TRUE)*(F1056-Calc!F19))+B1068+(ArtifactsInput!$M$24-ArtifactsInput!$M$24)*CHOOSE(ArtifactsInput!$N$24+1,10,12,14,16,18,20)+IF(ArtifactsInput!$M$10,CHOOSE(ArtifactsInput!$N$10+1,15,18,21,24,27,30)*(IF(Inputs!$B$38="pvp",MIN(15,15)/15,IF(AND(Inputs!$B$38&lt;&gt;"pvp",Inputs!$B$43&gt;0),MIN(15,Inputs!$B$43)/(Inputs!$B$43),0))),0)))&gt;=100),MIN(100,((Inputs!$B$9+((C1056=TRUE)*(F1056-Calc!F19))+B1068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1075)&lt;=0,1,MAX(0,IF(Inputs!$B$38="pvp",15,Inputs!$B$43)-MAX(5,B1075))/(IF(Inputs!$B$38="pvp",15,Inputs!$B$43)-(B1075))))*IF(AND(ArtifactsInput!$M$42,((Inputs!$B$9+((C1056=TRUE)*(F1056-Calc!F19))+B1068+(ArtifactsInput!$M$24-ArtifactsInput!$M$24)*CHOOSE(ArtifactsInput!$N$24+1,10,12,14,16,18,20)+IF(ArtifactsInput!$M$10,CHOOSE(ArtifactsInput!$N$10+1,15,18,21,24,27,30)*(IF(Inputs!$B$38="pvp",MIN(15,15)/15,IF(AND(Inputs!$B$38&lt;&gt;"pvp",Inputs!$B$43&gt;0),MIN(15,Inputs!$B$43)/(Inputs!$B$43),0))),0)))&gt;=100),CHOOSE(ArtifactsInput!$N$42+1,40,48,56,64,72,80),0))))/100)*((1+(((C1054=TRUE)*F1054*5/7)+((C1061=TRUE)*(F1061-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1040)</f>
        <v/>
      </c>
      <c r="L1040">
        <f>K1040*(MIN(Inputs!$B$22+((C1059=TRUE)*(F1059-Calc!F22)),(Inputs!$B$23+0+(IF(ArtifactsInput!$M$15,CHOOSE(ArtifactsInput!$N$15+1,25,30,35,40,45,50)/100*(Inputs!$B$11-Inputs!$B$11),0))))/100+(Inputs!$B$23+0+(IF(ArtifactsInput!$M$15,CHOOSE(ArtifactsInput!$N$15+1,25,30,35,40,45,50)/100*(Inputs!$B$11-Inputs!$B$11),0)))/100)/2</f>
        <v/>
      </c>
      <c r="M1040">
        <f>L1040*(1+(Inputs!$B$10+((C1062=TRUE)*(F1062-Calc!F25))+B1073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40">
        <f>L1040*(1-MIN((Inputs!$B$9+((C1056=TRUE)*(F1056-Calc!F19))+B1068+(ArtifactsInput!$M$24-ArtifactsInput!$M$24)*CHOOSE(ArtifactsInput!$N$24+1,10,12,14,16,18,20)+(IF(AND(Inputs!$B$38&lt;&gt;"pvp",Inputs!$B$43=0),1,IF(IF(Inputs!$B$38="pvp",15,Inputs!$B$43)-(B1075)&lt;=0,1,MAX(0,IF(Inputs!$B$38="pvp",15,Inputs!$B$43)-MAX(5,B1075))/(IF(Inputs!$B$38="pvp",15,Inputs!$B$43)-(B1075))))*IF(AND(ArtifactsInput!$M$42,((Inputs!$B$9+((C1056=TRUE)*(F1056-Calc!F19))+B1068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1040*(MIN((Inputs!$B$9+((C1056=TRUE)*(F1056-Calc!F19))+B1068+(ArtifactsInput!$M$24-ArtifactsInput!$M$24)*CHOOSE(ArtifactsInput!$N$24+1,10,12,14,16,18,20)+(IF(AND(Inputs!$B$38&lt;&gt;"pvp",Inputs!$B$43=0),1,IF(IF(Inputs!$B$38="pvp",15,Inputs!$B$43)-(B1075)&lt;=0,1,MAX(0,IF(Inputs!$B$38="pvp",15,Inputs!$B$43)-MAX(5,B1075))/(IF(Inputs!$B$38="pvp",15,Inputs!$B$43)-(B1075))))*IF(AND(ArtifactsInput!$M$42,((Inputs!$B$9+((C1056=TRUE)*(F1056-Calc!F19))+B1068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40">
        <f>(1-Summary!$B$11)*T1040+Summary!$B$11*V1040</f>
        <v/>
      </c>
      <c r="P1040">
        <f>IF(B1078=0,0,O1040/B1078)</f>
        <v/>
      </c>
      <c r="Q1040">
        <f>IFERROR(1/(IF(Inputs!$B$38="pvp",15,MAX(0.1,Skills!D3-IF(TRUE=TRUE,Inputs!$B$32,0)))*(1-IF(AND(ArtifactsInput!$M$27,Inputs!$B$4="Chapter Hunt"),CHOOSE(ArtifactsInput!$N$27+1,20,24,28,32,36,40),0)/100)),0)</f>
        <v/>
      </c>
      <c r="R1040">
        <f>IF(AND(Inputs!$B$38&lt;&gt;"pvp",Inputs!$B$43&gt;0),IF(MAX(0,Inputs!$B$43-B1075)&lt;=0,0,(INT(MAX(0,Inputs!$B$43-B1075)/(IF(Inputs!$B$38="pvp",15,MAX(0.1,Skills!D3-IF(TRUE=TRUE,Inputs!$B$32,0)))*(1-IF(AND(ArtifactsInput!$M$27,Inputs!$B$4="Chapter Hunt"),CHOOSE(ArtifactsInput!$N$27+1,20,24,28,32,36,40),0)/100)))+1)),0)</f>
        <v/>
      </c>
      <c r="S1040">
        <f>IFERROR(O1040/N1040,0)</f>
        <v/>
      </c>
      <c r="T1040">
        <f>IF(C1040,(H1040*N1040*IF(AND(Inputs!$B$38&lt;&gt;"pvp",Inputs!$B$43&gt;0),((Skills!G3*((R1040-1)*IF(Skills!H3&gt;0,INT(Skills!I3/Skills!H3+0.000000001),1)+IF(Skills!H3&gt;0,INT(MIN(Skills!I3,MAX(0,MAX(0,Inputs!$B$43-B1075)-((R1040-1)*(IF(Inputs!$B$38="pvp",15,MAX(0.1,Skills!D3-IF(TRUE=TRUE,Inputs!$B$32,0)))*(1-IF(AND(ArtifactsInput!$M$27,Inputs!$B$4="Chapter Hunt"),CHOOSE(ArtifactsInput!$N$27+1,20,24,28,32,36,40),0)/100)))))/Skills!H3+0.000000001),1)))/Inputs!$B$43),G1040*Q1040))*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Hunt"),CHOOSE(ArtifactsInput!$N$35+1,15,18,21,24,27,30)*(1-EXP(-(0.2*B1070)*5)),0)+IF(AND(ArtifactsInput!$M$22,Inputs!$B$4&lt;&gt;"Chapter Hunt"),CHOOSE(ArtifactsInput!$N$22+1,10,12,14,16,18,20)*((0*(((0.15*B1070*5))^0/1)+1*(((0.15*B1070*5))^1/1)+2*(((0.15*B1070*5))^2/2)+3*(((0.15*B1070*5))^3/6)+4*(((0.15*B1070*5))^4/24)+5*(((0.15*B1070*5))^5/120))/((((0.15*B1070*5))^0/1)+(((0.15*B1070*5))^1/1)+(((0.15*B1070*5))^2/2)+(((0.15*B1070*5))^3/6)+(((0.15*B1070*5))^4/24)+(((0.15*B1070*5))^5/120))),0))+IF(Inputs!$B$3&gt;=54,9*(C1040=TRUE)*MIN(1,8*(1+Inputs!$B$34/100)*Q1040)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1040*(1-MIN(100,(Inputs!$B$9+((C1056=TRUE)*(F1056-Calc!F19))+B1068+(ArtifactsInput!$M$24-ArtifactsInput!$M$24)*CHOOSE(ArtifactsInput!$N$24+1,10,12,14,16,18,20)+(IF(AND(Inputs!$B$38&lt;&gt;"pvp",Inputs!$B$43=0),1,IF(IF(Inputs!$B$38="pvp",15,Inputs!$B$43)-(B1075)&lt;=0,1,MAX(0,IF(Inputs!$B$38="pvp",15,Inputs!$B$43)-MAX(5,B1075))/(IF(Inputs!$B$38="pvp",15,Inputs!$B$43)-(B1075))))*IF(AND(ArtifactsInput!$M$42,((Inputs!$B$9+((C1056=TRUE)*(F1056-Calc!F19))+B1068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1040*(MIN(100,(Inputs!$B$9+((C1056=TRUE)*(F1056-Calc!F19))+B1068+(ArtifactsInput!$M$24-ArtifactsInput!$M$24)*CHOOSE(ArtifactsInput!$N$24+1,10,12,14,16,18,20)+(IF(AND(Inputs!$B$38&lt;&gt;"pvp",Inputs!$B$43=0),1,IF(IF(Inputs!$B$38="pvp",15,Inputs!$B$43)-(B1075)&lt;=0,1,MAX(0,IF(Inputs!$B$38="pvp",15,Inputs!$B$43)-MAX(5,B1075))/(IF(Inputs!$B$38="pvp",15,Inputs!$B$43)-(B1075))))*IF(AND(ArtifactsInput!$M$42,((Inputs!$B$9+((C1056=TRUE)*(F1056-Calc!F19))+B1068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1040*(1-MIN(100,(Inputs!$B$9+((C1056=TRUE)*(F1056-Calc!F19))+B1068+(ArtifactsInput!$M$24-ArtifactsInput!$M$24)*CHOOSE(ArtifactsInput!$N$24+1,10,12,14,16,18,20)+(IF(AND(Inputs!$B$38&lt;&gt;"pvp",Inputs!$B$43=0),1,IF(IF(Inputs!$B$38="pvp",15,Inputs!$B$43)-(B1075)&lt;=0,1,MAX(0,IF(Inputs!$B$38="pvp",15,Inputs!$B$43)-MAX(5,B1075))/(IF(Inputs!$B$38="pvp",15,Inputs!$B$43)-(B1075))))*IF(AND(ArtifactsInput!$M$42,((Inputs!$B$9+((C1056=TRUE)*(F1056-Calc!F19))+B1068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1040*(MIN(100,(Inputs!$B$9+((C1056=TRUE)*(F1056-Calc!F19))+B1068+(ArtifactsInput!$M$24-ArtifactsInput!$M$24)*CHOOSE(ArtifactsInput!$N$24+1,10,12,14,16,18,20)+(IF(AND(Inputs!$B$38&lt;&gt;"pvp",Inputs!$B$43=0),1,IF(IF(Inputs!$B$38="pvp",15,Inputs!$B$43)-(B1075)&lt;=0,1,MAX(0,IF(Inputs!$B$38="pvp",15,Inputs!$B$43)-MAX(5,B1075))/(IF(Inputs!$B$38="pvp",15,Inputs!$B$43)-(B1075))))*IF(AND(ArtifactsInput!$M$42,((Inputs!$B$9+((C1056=TRUE)*(F1056-Calc!F19))+B1068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040">
        <f>INDEX(FactorTable!$B$2:$Y$301, MATCH(ROUND(MIN(300,MAX(1,U1039)),0), FactorTable!$A$2:$A$301,0), 22)</f>
        <v/>
      </c>
      <c r="V1040">
        <f>IF(C1040,(H1040*N1040*IF(AND(Inputs!$B$38&lt;&gt;"pvp",Inputs!$B$43&gt;0),((Skills!G3*((R1040-1)*IF(Skills!H3&gt;0,INT(Skills!I3/Skills!H3+0.000000001),1)+IF(Skills!H3&gt;0,INT(MIN(Skills!I3,MAX(0,MAX(0,Inputs!$B$43-B1075)-((R1040-1)*(IF(Inputs!$B$38="pvp",15,MAX(0.1,Skills!D3-IF(TRUE=TRUE,Inputs!$B$32,0)))*(1-IF(AND(ArtifactsInput!$M$27,Inputs!$B$4="Chapter Hunt"),CHOOSE(ArtifactsInput!$N$27+1,20,24,28,32,36,40),0)/100)))))/Skills!H3+0.000000001),1)))/Inputs!$B$43),G1040*Q1040))*IF(Inputs!$B$38="pvp",1,(1+(Inputs!$B$21+Skills!Q3+(IF(ArtifactsInput!$M$33,CHOOSE(ArtifactsInput!$N$33+1,30,36,42,48,54,60),0))+(IF(AND(ArtifactsInput!$M$35,Inputs!$B$4&lt;&gt;"Chapter Hunt"),CHOOSE(ArtifactsInput!$N$35+1,15,18,21,24,27,30)*(1-EXP(-(0.2*B1070)*5)),0)+IF(AND(ArtifactsInput!$M$22,Inputs!$B$4&lt;&gt;"Chapter Hunt"),CHOOSE(ArtifactsInput!$N$22+1,10,12,14,16,18,20)*((0*(((0.15*B1070*5))^0/1)+1*(((0.15*B1070*5))^1/1)+2*(((0.15*B1070*5))^2/2)+3*(((0.15*B1070*5))^3/6)+4*(((0.15*B1070*5))^4/24)+5*(((0.15*B1070*5))^5/120))/((((0.15*B1070*5))^0/1)+(((0.15*B1070*5))^1/1)+(((0.15*B1070*5))^2/2)+(((0.15*B1070*5))^3/6)+(((0.15*B1070*5))^4/24)+(((0.15*B1070*5))^5/120))),0))+IF(Inputs!$B$3&gt;=54,9*(C1040=TRUE)*MIN(1,8*(1+Inputs!$B$34/100)*Q1040)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41">
      <c r="A1041">
        <f>Skills!A4</f>
        <v/>
      </c>
      <c r="B1041">
        <f>Skills!B4</f>
        <v/>
      </c>
      <c r="C1041">
        <f>Inputs!$B$3&gt;=35</f>
        <v/>
      </c>
      <c r="D1041">
        <f>IF(Skills!C4=1,60+Inputs!$B$25+Inputs!$B$29,IF(Skills!C4=2,90+Inputs!$B$26+Inputs!$B$29,IF(Skills!C4=3,120+Inputs!$B$27+Inputs!$B$29,MAX(0,(Inputs!$B$3-100)*3)+Inputs!$B$28+Inputs!$B$29)))</f>
        <v/>
      </c>
      <c r="E1041">
        <f>INDEX(FactorTable!$B$2:$Y$301, MATCH(ROUND(MIN(300,MAX(1,D1041)),0), FactorTable!$A$2:$A$301,0), Skills!M4+1)</f>
        <v/>
      </c>
      <c r="F1041">
        <f>IF(Skills!N4=TRUE,(Skills!L4/10)*(E1041/1000),Skills!L4/10)+Skills!O4</f>
        <v/>
      </c>
      <c r="G1041">
        <f>Skills!G4*IF(Skills!H4&gt;0,INT(IF(Inputs!$B$38="pvp",MIN(IF(Inputs!$B$3&gt;=104,MIN(35,20*(1+Inputs!$B$34/100)),20),15),IF(Inputs!$B$3&gt;=104,MIN(35,20*(1+Inputs!$B$34/100)),20))/Skills!H4+0.000000001),1)</f>
        <v/>
      </c>
      <c r="H1041">
        <f>1-(1-Skills!J4/100)^Skills!K4</f>
        <v/>
      </c>
      <c r="I1041" t="inlineStr">
        <is>
          <t>1</t>
        </is>
      </c>
      <c r="J1041">
        <f>(((Inputs!$B$6+1)*(1+Inputs!$B$7/100))+(((Inputs!$B$12*(1+Inputs!$B$13/100))-(Inputs!$B$12*(1+Inputs!$B$13/100)))+0.25*(Inputs!$B$14-Inputs!$B$14))*(1+Inputs!$B$7/100))*(F1041/100)</f>
        <v/>
      </c>
      <c r="K1041">
        <f>J1041*(1+((Inputs!$B$12*(1+Inputs!$B$13/100))*0.01+Inputs!$B$14*0.0025)/100)*(1+Inputs!$B$15/100)*(1+Inputs!$B$16/100)*(5000/(6000+Inputs!$B$42*(1-(100*(1-(1-(Inputs!$B$19+0)/100)*(1-CHOOSE(ArtifactsInput!$N$40+1,5,6,7,8,9,10)/100)^(ArtifactsInput!$M$40-ArtifactsInput!$M$40)))/100)))*(1+(Inputs!$B$24+((C1063=TRUE)*(F1063-Calc!F26))+B1074)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1053=TRUE,F1053,0)/100)*(1+(IF(Skills!A4="EIGHT_LEGS_EASTON",Inputs!$B$17+((C1060=TRUE)*(F1060-Calc!F23))+((C1064=TRUE)*(F1064-Calc!F27))+((IF(AND(Inputs!$B$38&lt;&gt;"pvp",Inputs!$B$43=0),1,IF(IF(Inputs!$B$38="pvp",15,Inputs!$B$43)-(B1075)&lt;=0,1,MAX(0,IF(Inputs!$B$38="pvp",15,Inputs!$B$43)-MAX(5,B1075))/(IF(Inputs!$B$38="pvp",15,Inputs!$B$43)-(B1075))))*(IF(AND(ArtifactsInput!$M$42,((Inputs!$B$9+((C1056=TRUE)*(F1056-Calc!F19))+B1068+(ArtifactsInput!$M$24-ArtifactsInput!$M$24)*CHOOSE(ArtifactsInput!$N$24+1,10,12,14,16,18,20)+IF(ArtifactsInput!$M$10,CHOOSE(ArtifactsInput!$N$10+1,15,18,21,24,27,30)*(IF(Inputs!$B$38="pvp",MIN(15,15)/15,IF(AND(Inputs!$B$38&lt;&gt;"pvp",Inputs!$B$43&gt;0),MIN(15,Inputs!$B$43)/(Inputs!$B$43),0))),0)))&gt;=100),MIN(100,((Inputs!$B$9+((C1056=TRUE)*(F1056-Calc!F19))+B1068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1075)&lt;=0,1,MAX(0,IF(Inputs!$B$38="pvp",15,Inputs!$B$43)-MAX(5,B1075))/(IF(Inputs!$B$38="pvp",15,Inputs!$B$43)-(B1075))))*IF(AND(ArtifactsInput!$M$42,((Inputs!$B$9+((C1056=TRUE)*(F1056-Calc!F19))+B1068+(ArtifactsInput!$M$24-ArtifactsInput!$M$24)*CHOOSE(ArtifactsInput!$N$24+1,10,12,14,16,18,20)+IF(ArtifactsInput!$M$10,CHOOSE(ArtifactsInput!$N$10+1,15,18,21,24,27,30)*(IF(Inputs!$B$38="pvp",MIN(15,15)/15,IF(AND(Inputs!$B$38&lt;&gt;"pvp",Inputs!$B$43&gt;0),MIN(15,Inputs!$B$43)/(Inputs!$B$43),0))),0)))&gt;=100),CHOOSE(ArtifactsInput!$N$42+1,40,48,56,64,72,80),0))))/100)*((1+(((C1054=TRUE)*F1054*5/7)+((C1061=TRUE)*(F1061-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1041)</f>
        <v/>
      </c>
      <c r="L1041">
        <f>K1041*(MIN(Inputs!$B$22+((C1059=TRUE)*(F1059-Calc!F22)),(Inputs!$B$23+0+(IF(ArtifactsInput!$M$15,CHOOSE(ArtifactsInput!$N$15+1,25,30,35,40,45,50)/100*(Inputs!$B$11-Inputs!$B$11),0))))/100+(Inputs!$B$23+0+(IF(ArtifactsInput!$M$15,CHOOSE(ArtifactsInput!$N$15+1,25,30,35,40,45,50)/100*(Inputs!$B$11-Inputs!$B$11),0)))/100)/2</f>
        <v/>
      </c>
      <c r="M1041">
        <f>L1041*(1+(Inputs!$B$10+((C1062=TRUE)*(F1062-Calc!F25))+B1073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41">
        <f>L1041*(1-MIN((Inputs!$B$9+((C1056=TRUE)*(F1056-Calc!F19))+B1068+(ArtifactsInput!$M$24-ArtifactsInput!$M$24)*CHOOSE(ArtifactsInput!$N$24+1,10,12,14,16,18,20)+(IF(AND(Inputs!$B$38&lt;&gt;"pvp",Inputs!$B$43=0),1,IF(IF(Inputs!$B$38="pvp",15,Inputs!$B$43)-(B1075)&lt;=0,1,MAX(0,IF(Inputs!$B$38="pvp",15,Inputs!$B$43)-MAX(5,B1075))/(IF(Inputs!$B$38="pvp",15,Inputs!$B$43)-(B1075))))*IF(AND(ArtifactsInput!$M$42,((Inputs!$B$9+((C1056=TRUE)*(F1056-Calc!F19))+B1068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1041*(MIN((Inputs!$B$9+((C1056=TRUE)*(F1056-Calc!F19))+B1068+(ArtifactsInput!$M$24-ArtifactsInput!$M$24)*CHOOSE(ArtifactsInput!$N$24+1,10,12,14,16,18,20)+(IF(AND(Inputs!$B$38&lt;&gt;"pvp",Inputs!$B$43=0),1,IF(IF(Inputs!$B$38="pvp",15,Inputs!$B$43)-(B1075)&lt;=0,1,MAX(0,IF(Inputs!$B$38="pvp",15,Inputs!$B$43)-MAX(5,B1075))/(IF(Inputs!$B$38="pvp",15,Inputs!$B$43)-(B1075))))*IF(AND(ArtifactsInput!$M$42,((Inputs!$B$9+((C1056=TRUE)*(F1056-Calc!F19))+B1068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41">
        <f>(1-Summary!$B$11)*T1041+Summary!$B$11*V1041</f>
        <v/>
      </c>
      <c r="P1041">
        <f>IF(B1078=0,0,O1041/B1078)</f>
        <v/>
      </c>
      <c r="Q1041">
        <f>IFERROR(1/(IF(Inputs!$B$38="pvp",15,MAX(0.1,Skills!D4-IF(TRUE=TRUE,Inputs!$B$32,0)))*(1-IF(AND(ArtifactsInput!$M$27,Inputs!$B$4="Chapter Hunt"),CHOOSE(ArtifactsInput!$N$27+1,20,24,28,32,36,40),0)/100)),0)</f>
        <v/>
      </c>
      <c r="R1041">
        <f>IF(AND(Inputs!$B$38&lt;&gt;"pvp",Inputs!$B$43&gt;0),IF(MAX(0,Inputs!$B$43-B1075)&lt;=0,0,(INT(MAX(0,Inputs!$B$43-B1075)/(IF(Inputs!$B$38="pvp",15,MAX(0.1,Skills!D4-IF(TRUE=TRUE,Inputs!$B$32,0)))*(1-IF(AND(ArtifactsInput!$M$27,Inputs!$B$4="Chapter Hunt"),CHOOSE(ArtifactsInput!$N$27+1,20,24,28,32,36,40),0)/100)))+1)),0)</f>
        <v/>
      </c>
      <c r="S1041">
        <f>IFERROR(O1041/N1041,0)</f>
        <v/>
      </c>
      <c r="T1041">
        <f>IF(C1041,(H1041*N1041*IF(AND(Inputs!$B$38&lt;&gt;"pvp",Inputs!$B$43&gt;0),((Skills!G4*((R1041-1)*IF(Skills!H4&gt;0,INT(IF(Inputs!$B$3&gt;=104,MIN(35,20*(1+Inputs!$B$34/100)),20)/Skills!H4+0.000000001),1)+IF(Skills!H4&gt;0,INT(MIN(IF(Inputs!$B$3&gt;=104,MIN(35,20*(1+Inputs!$B$34/100)),20),MAX(0,MAX(0,Inputs!$B$43-B1075)-((R1041-1)*(IF(Inputs!$B$38="pvp",15,MAX(0.1,Skills!D4-IF(TRUE=TRUE,Inputs!$B$32,0)))*(1-IF(AND(ArtifactsInput!$M$27,Inputs!$B$4="Chapter Hunt"),CHOOSE(ArtifactsInput!$N$27+1,20,24,28,32,36,40),0)/100)))))/Skills!H4+0.000000001),1)))/Inputs!$B$43),G1041*Q1041))*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Hunt"),CHOOSE(ArtifactsInput!$N$35+1,15,18,21,24,27,30)*(1-EXP(-(0.2*B1070)*5)),0)+IF(AND(ArtifactsInput!$M$22,Inputs!$B$4&lt;&gt;"Chapter Hunt"),CHOOSE(ArtifactsInput!$N$22+1,10,12,14,16,18,20)*((0*(((0.15*B1070*5))^0/1)+1*(((0.15*B1070*5))^1/1)+2*(((0.15*B1070*5))^2/2)+3*(((0.15*B1070*5))^3/6)+4*(((0.15*B1070*5))^4/24)+5*(((0.15*B1070*5))^5/120))/((((0.15*B1070*5))^0/1)+(((0.15*B1070*5))^1/1)+(((0.15*B1070*5))^2/2)+(((0.15*B1070*5))^3/6)+(((0.15*B1070*5))^4/24)+(((0.15*B1070*5))^5/120))),0))+IF(Inputs!$B$3&gt;=54,9*(C1040=TRUE)*MIN(1,8*(1+Inputs!$B$34/100)*Q1040)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1041*(1-MIN(100,(Inputs!$B$9+((C1056=TRUE)*(F1056-Calc!F19))+B1068+(ArtifactsInput!$M$24-ArtifactsInput!$M$24)*CHOOSE(ArtifactsInput!$N$24+1,10,12,14,16,18,20)+(IF(AND(Inputs!$B$38&lt;&gt;"pvp",Inputs!$B$43=0),1,IF(IF(Inputs!$B$38="pvp",15,Inputs!$B$43)-(B1075)&lt;=0,1,MAX(0,IF(Inputs!$B$38="pvp",15,Inputs!$B$43)-MAX(5,B1075))/(IF(Inputs!$B$38="pvp",15,Inputs!$B$43)-(B1075))))*IF(AND(ArtifactsInput!$M$42,((Inputs!$B$9+((C1056=TRUE)*(F1056-Calc!F19))+B1068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1041*(MIN(100,(Inputs!$B$9+((C1056=TRUE)*(F1056-Calc!F19))+B1068+(ArtifactsInput!$M$24-ArtifactsInput!$M$24)*CHOOSE(ArtifactsInput!$N$24+1,10,12,14,16,18,20)+(IF(AND(Inputs!$B$38&lt;&gt;"pvp",Inputs!$B$43=0),1,IF(IF(Inputs!$B$38="pvp",15,Inputs!$B$43)-(B1075)&lt;=0,1,MAX(0,IF(Inputs!$B$38="pvp",15,Inputs!$B$43)-MAX(5,B1075))/(IF(Inputs!$B$38="pvp",15,Inputs!$B$43)-(B1075))))*IF(AND(ArtifactsInput!$M$42,((Inputs!$B$9+((C1056=TRUE)*(F1056-Calc!F19))+B1068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1041*(1-MIN(100,(Inputs!$B$9+((C1056=TRUE)*(F1056-Calc!F19))+B1068+(ArtifactsInput!$M$24-ArtifactsInput!$M$24)*CHOOSE(ArtifactsInput!$N$24+1,10,12,14,16,18,20)+(IF(AND(Inputs!$B$38&lt;&gt;"pvp",Inputs!$B$43=0),1,IF(IF(Inputs!$B$38="pvp",15,Inputs!$B$43)-(B1075)&lt;=0,1,MAX(0,IF(Inputs!$B$38="pvp",15,Inputs!$B$43)-MAX(5,B1075))/(IF(Inputs!$B$38="pvp",15,Inputs!$B$43)-(B1075))))*IF(AND(ArtifactsInput!$M$42,((Inputs!$B$9+((C1056=TRUE)*(F1056-Calc!F19))+B1068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1041*(MIN(100,(Inputs!$B$9+((C1056=TRUE)*(F1056-Calc!F19))+B1068+(ArtifactsInput!$M$24-ArtifactsInput!$M$24)*CHOOSE(ArtifactsInput!$N$24+1,10,12,14,16,18,20)+(IF(AND(Inputs!$B$38&lt;&gt;"pvp",Inputs!$B$43=0),1,IF(IF(Inputs!$B$38="pvp",15,Inputs!$B$43)-(B1075)&lt;=0,1,MAX(0,IF(Inputs!$B$38="pvp",15,Inputs!$B$43)-MAX(5,B1075))/(IF(Inputs!$B$38="pvp",15,Inputs!$B$43)-(B1075))))*IF(AND(ArtifactsInput!$M$42,((Inputs!$B$9+((C1056=TRUE)*(F1056-Calc!F19))+B1068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041">
        <f>290*U1040/1000</f>
        <v/>
      </c>
      <c r="V1041">
        <f>IF(C1041,(H1041*N1041*IF(AND(Inputs!$B$38&lt;&gt;"pvp",Inputs!$B$43&gt;0),((Skills!G4*((R1041-1)*IF(Skills!H4&gt;0,INT(IF(Inputs!$B$3&gt;=104,MIN(35,20*(1+Inputs!$B$34/100)),20)/Skills!H4+0.000000001),1)+IF(Skills!H4&gt;0,INT(MIN(IF(Inputs!$B$3&gt;=104,MIN(35,20*(1+Inputs!$B$34/100)),20),MAX(0,MAX(0,Inputs!$B$43-B1075)-((R1041-1)*(IF(Inputs!$B$38="pvp",15,MAX(0.1,Skills!D4-IF(TRUE=TRUE,Inputs!$B$32,0)))*(1-IF(AND(ArtifactsInput!$M$27,Inputs!$B$4="Chapter Hunt"),CHOOSE(ArtifactsInput!$N$27+1,20,24,28,32,36,40),0)/100)))))/Skills!H4+0.000000001),1)))/Inputs!$B$43),G1041*Q1041))*IF(Inputs!$B$38="pvp",1,(1+(Inputs!$B$21+Skills!Q4+(IF(ArtifactsInput!$M$33,CHOOSE(ArtifactsInput!$N$33+1,30,36,42,48,54,60),0))+(IF(AND(ArtifactsInput!$M$35,Inputs!$B$4&lt;&gt;"Chapter Hunt"),CHOOSE(ArtifactsInput!$N$35+1,15,18,21,24,27,30)*(1-EXP(-(0.2*B1070)*5)),0)+IF(AND(ArtifactsInput!$M$22,Inputs!$B$4&lt;&gt;"Chapter Hunt"),CHOOSE(ArtifactsInput!$N$22+1,10,12,14,16,18,20)*((0*(((0.15*B1070*5))^0/1)+1*(((0.15*B1070*5))^1/1)+2*(((0.15*B1070*5))^2/2)+3*(((0.15*B1070*5))^3/6)+4*(((0.15*B1070*5))^4/24)+5*(((0.15*B1070*5))^5/120))/((((0.15*B1070*5))^0/1)+(((0.15*B1070*5))^1/1)+(((0.15*B1070*5))^2/2)+(((0.15*B1070*5))^3/6)+(((0.15*B1070*5))^4/24)+(((0.15*B1070*5))^5/120))),0))+IF(Inputs!$B$3&gt;=54,9*(C1040=TRUE)*MIN(1,8*(1+Inputs!$B$34/100)*Q1040),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42">
      <c r="A1042">
        <f>Skills!A5</f>
        <v/>
      </c>
      <c r="B1042">
        <f>Skills!B5</f>
        <v/>
      </c>
      <c r="C1042">
        <f>Inputs!$B$3&gt;=69</f>
        <v/>
      </c>
      <c r="D1042">
        <f>IF(Skills!C5=1,60+Inputs!$B$25+Inputs!$B$29,IF(Skills!C5=2,90+Inputs!$B$26+Inputs!$B$29,IF(Skills!C5=3,120+Inputs!$B$27+Inputs!$B$29,MAX(0,(Inputs!$B$3-100)*3)+Inputs!$B$28+Inputs!$B$29)))</f>
        <v/>
      </c>
      <c r="E1042">
        <f>INDEX(FactorTable!$B$2:$Y$301, MATCH(ROUND(MIN(300,MAX(1,D1042)),0), FactorTable!$A$2:$A$301,0), Skills!M5+1)</f>
        <v/>
      </c>
      <c r="F1042">
        <f>IF(Skills!N5=TRUE,(Skills!L5/10)*(E1042/1000),Skills!L5/10)+Skills!O5</f>
        <v/>
      </c>
      <c r="G1042">
        <f>Skills!G5*IF(Skills!H5&gt;0,INT(IF(Inputs!$B$38="pvp",MIN(IF(Inputs!$B$3&gt;=104,MIN(35,20*(1+Inputs!$B$34/100)),20),15),IF(Inputs!$B$3&gt;=104,MIN(35,20*(1+Inputs!$B$34/100)),20))/Skills!H5+0.000000001),1)</f>
        <v/>
      </c>
      <c r="H1042">
        <f>1-(1-Skills!J5/100)^Skills!K5</f>
        <v/>
      </c>
      <c r="I1042" t="inlineStr">
        <is>
          <t>1</t>
        </is>
      </c>
      <c r="J1042">
        <f>(((Inputs!$B$6+1)*(1+Inputs!$B$7/100))+(((Inputs!$B$12*(1+Inputs!$B$13/100))-(Inputs!$B$12*(1+Inputs!$B$13/100)))+0.25*(Inputs!$B$14-Inputs!$B$14))*(1+Inputs!$B$7/100))*(F1042/100)</f>
        <v/>
      </c>
      <c r="K1042">
        <f>J1042*(1+((Inputs!$B$12*(1+Inputs!$B$13/100))*0.01+Inputs!$B$14*0.0025)/100)*(1+Inputs!$B$15/100)*(1+Inputs!$B$16/100)*(5000/(6000+Inputs!$B$42*(1-(100*(1-(1-(Inputs!$B$19+0)/100)*(1-CHOOSE(ArtifactsInput!$N$40+1,5,6,7,8,9,10)/100)^(ArtifactsInput!$M$40-ArtifactsInput!$M$40)))/100)))*(1+(Inputs!$B$24+((C1063=TRUE)*(F1063-Calc!F26))+B1074)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+0.4*IF(C1053=TRUE,F1053,0)/100)*(1+(IF(Skills!A5="EIGHT_LEGS_EASTON",Inputs!$B$17+((C1060=TRUE)*(F1060-Calc!F23))+((C1064=TRUE)*(F1064-Calc!F27))+((IF(AND(Inputs!$B$38&lt;&gt;"pvp",Inputs!$B$43=0),1,IF(IF(Inputs!$B$38="pvp",15,Inputs!$B$43)-(B1075)&lt;=0,1,MAX(0,IF(Inputs!$B$38="pvp",15,Inputs!$B$43)-MAX(5,B1075))/(IF(Inputs!$B$38="pvp",15,Inputs!$B$43)-(B1075))))*(IF(AND(ArtifactsInput!$M$42,((Inputs!$B$9+((C1056=TRUE)*(F1056-Calc!F19))+B1068+(ArtifactsInput!$M$24-ArtifactsInput!$M$24)*CHOOSE(ArtifactsInput!$N$24+1,10,12,14,16,18,20)+IF(ArtifactsInput!$M$10,CHOOSE(ArtifactsInput!$N$10+1,15,18,21,24,27,30)*(IF(Inputs!$B$38="pvp",MIN(15,15)/15,IF(AND(Inputs!$B$38&lt;&gt;"pvp",Inputs!$B$43&gt;0),MIN(15,Inputs!$B$43)/(Inputs!$B$43),0))),0)))&gt;=100),MIN(100,((Inputs!$B$9+((C1056=TRUE)*(F1056-Calc!F19))+B1068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1075)&lt;=0,1,MAX(0,IF(Inputs!$B$38="pvp",15,Inputs!$B$43)-MAX(5,B1075))/(IF(Inputs!$B$38="pvp",15,Inputs!$B$43)-(B1075))))*IF(AND(ArtifactsInput!$M$42,((Inputs!$B$9+((C1056=TRUE)*(F1056-Calc!F19))+B1068+(ArtifactsInput!$M$24-ArtifactsInput!$M$24)*CHOOSE(ArtifactsInput!$N$24+1,10,12,14,16,18,20)+IF(ArtifactsInput!$M$10,CHOOSE(ArtifactsInput!$N$10+1,15,18,21,24,27,30)*(IF(Inputs!$B$38="pvp",MIN(15,15)/15,IF(AND(Inputs!$B$38&lt;&gt;"pvp",Inputs!$B$43&gt;0),MIN(15,Inputs!$B$43)/(Inputs!$B$43),0))),0)))&gt;=100),CHOOSE(ArtifactsInput!$N$42+1,40,48,56,64,72,80),0))))/100)*((1+(((C1054=TRUE)*F1054*5/7)+((C1061=TRUE)*(F1061-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1042)</f>
        <v/>
      </c>
      <c r="L1042">
        <f>K1042*(MIN(Inputs!$B$22+((C1059=TRUE)*(F1059-Calc!F22)),(Inputs!$B$23+0+(IF(ArtifactsInput!$M$15,CHOOSE(ArtifactsInput!$N$15+1,25,30,35,40,45,50)/100*(Inputs!$B$11-Inputs!$B$11),0))))/100+(Inputs!$B$23+0+(IF(ArtifactsInput!$M$15,CHOOSE(ArtifactsInput!$N$15+1,25,30,35,40,45,50)/100*(Inputs!$B$11-Inputs!$B$11),0)))/100)/2</f>
        <v/>
      </c>
      <c r="M1042">
        <f>L1042*(1+(Inputs!$B$10+((C1062=TRUE)*(F1062-Calc!F25))+B1073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42">
        <f>L1042*(1-MIN((Inputs!$B$9+((C1056=TRUE)*(F1056-Calc!F19))+B1068+(ArtifactsInput!$M$24-ArtifactsInput!$M$24)*CHOOSE(ArtifactsInput!$N$24+1,10,12,14,16,18,20)+(IF(AND(Inputs!$B$38&lt;&gt;"pvp",Inputs!$B$43=0),1,IF(IF(Inputs!$B$38="pvp",15,Inputs!$B$43)-(B1075)&lt;=0,1,MAX(0,IF(Inputs!$B$38="pvp",15,Inputs!$B$43)-MAX(5,B1075))/(IF(Inputs!$B$38="pvp",15,Inputs!$B$43)-(B1075))))*IF(AND(ArtifactsInput!$M$42,((Inputs!$B$9+((C1056=TRUE)*(F1056-Calc!F19))+B1068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1042*(MIN((Inputs!$B$9+((C1056=TRUE)*(F1056-Calc!F19))+B1068+(ArtifactsInput!$M$24-ArtifactsInput!$M$24)*CHOOSE(ArtifactsInput!$N$24+1,10,12,14,16,18,20)+(IF(AND(Inputs!$B$38&lt;&gt;"pvp",Inputs!$B$43=0),1,IF(IF(Inputs!$B$38="pvp",15,Inputs!$B$43)-(B1075)&lt;=0,1,MAX(0,IF(Inputs!$B$38="pvp",15,Inputs!$B$43)-MAX(5,B1075))/(IF(Inputs!$B$38="pvp",15,Inputs!$B$43)-(B1075))))*IF(AND(ArtifactsInput!$M$42,((Inputs!$B$9+((C1056=TRUE)*(F1056-Calc!F19))+B1068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42">
        <f>(1-Summary!$B$11)*T1042+Summary!$B$11*V1042</f>
        <v/>
      </c>
      <c r="P1042">
        <f>IF(B1078=0,0,O1042/B1078)</f>
        <v/>
      </c>
      <c r="Q1042">
        <f>IFERROR(1/(IF(Inputs!$B$38="pvp",15,MAX(0.1,Skills!D5-IF(TRUE=TRUE,Inputs!$B$32,0)))*(1-IF(AND(ArtifactsInput!$M$27,Inputs!$B$4="Chapter Hunt"),CHOOSE(ArtifactsInput!$N$27+1,20,24,28,32,36,40),0)/100)),0)</f>
        <v/>
      </c>
      <c r="R1042">
        <f>IF(AND(Inputs!$B$38&lt;&gt;"pvp",Inputs!$B$43&gt;0),IF(MAX(0,Inputs!$B$43-B1075)&lt;=0,0,(INT(MAX(0,Inputs!$B$43-B1075)/(IF(Inputs!$B$38="pvp",15,MAX(0.1,Skills!D5-IF(TRUE=TRUE,Inputs!$B$32,0)))*(1-IF(AND(ArtifactsInput!$M$27,Inputs!$B$4="Chapter Hunt"),CHOOSE(ArtifactsInput!$N$27+1,20,24,28,32,36,40),0)/100)))+1)),0)</f>
        <v/>
      </c>
      <c r="S1042">
        <f>IFERROR(O1042/N1042,0)</f>
        <v/>
      </c>
      <c r="T1042">
        <f>IF(C1042,(H1042*N1042*IF(AND(Inputs!$B$38&lt;&gt;"pvp",Inputs!$B$43&gt;0),((Skills!G5*((R1042-1)*IF(Skills!H5&gt;0,INT(IF(Inputs!$B$3&gt;=104,MIN(35,20*(1+Inputs!$B$34/100)),20)/Skills!H5+0.000000001),1)+IF(Skills!H5&gt;0,INT(MIN(IF(Inputs!$B$3&gt;=104,MIN(35,20*(1+Inputs!$B$34/100)),20),MAX(0,MAX(0,Inputs!$B$43-B1075)-((R1042-1)*(IF(Inputs!$B$38="pvp",15,MAX(0.1,Skills!D5-IF(TRUE=TRUE,Inputs!$B$32,0)))*(1-IF(AND(ArtifactsInput!$M$27,Inputs!$B$4="Chapter Hunt"),CHOOSE(ArtifactsInput!$N$27+1,20,24,28,32,36,40),0)/100)))))/Skills!H5+0.000000001),1)))/Inputs!$B$43),G1042*Q1042))*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Hunt"),CHOOSE(ArtifactsInput!$N$35+1,15,18,21,24,27,30)*(1-EXP(-(0.2*B1070)*5)),0)+IF(AND(ArtifactsInput!$M$22,Inputs!$B$4&lt;&gt;"Chapter Hunt"),CHOOSE(ArtifactsInput!$N$22+1,10,12,14,16,18,20)*((0*(((0.15*B1070*5))^0/1)+1*(((0.15*B1070*5))^1/1)+2*(((0.15*B1070*5))^2/2)+3*(((0.15*B1070*5))^3/6)+4*(((0.15*B1070*5))^4/24)+5*(((0.15*B1070*5))^5/120))/((((0.15*B1070*5))^0/1)+(((0.15*B1070*5))^1/1)+(((0.15*B1070*5))^2/2)+(((0.15*B1070*5))^3/6)+(((0.15*B1070*5))^4/24)+(((0.15*B1070*5))^5/120))),0))+IF(Inputs!$B$3&gt;=54,9*(C1040=TRUE)*MIN(1,8*(1+Inputs!$B$34/100)*Q1040)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1042*(1-MIN(100,(Inputs!$B$9+((C1056=TRUE)*(F1056-Calc!F19))+B1068+(ArtifactsInput!$M$24-ArtifactsInput!$M$24)*CHOOSE(ArtifactsInput!$N$24+1,10,12,14,16,18,20)+(IF(AND(Inputs!$B$38&lt;&gt;"pvp",Inputs!$B$43=0),1,IF(IF(Inputs!$B$38="pvp",15,Inputs!$B$43)-(B1075)&lt;=0,1,MAX(0,IF(Inputs!$B$38="pvp",15,Inputs!$B$43)-MAX(5,B1075))/(IF(Inputs!$B$38="pvp",15,Inputs!$B$43)-(B1075))))*IF(AND(ArtifactsInput!$M$42,((Inputs!$B$9+((C1056=TRUE)*(F1056-Calc!F19))+B1068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1042*(MIN(100,(Inputs!$B$9+((C1056=TRUE)*(F1056-Calc!F19))+B1068+(ArtifactsInput!$M$24-ArtifactsInput!$M$24)*CHOOSE(ArtifactsInput!$N$24+1,10,12,14,16,18,20)+(IF(AND(Inputs!$B$38&lt;&gt;"pvp",Inputs!$B$43=0),1,IF(IF(Inputs!$B$38="pvp",15,Inputs!$B$43)-(B1075)&lt;=0,1,MAX(0,IF(Inputs!$B$38="pvp",15,Inputs!$B$43)-MAX(5,B1075))/(IF(Inputs!$B$38="pvp",15,Inputs!$B$43)-(B1075))))*IF(AND(ArtifactsInput!$M$42,((Inputs!$B$9+((C1056=TRUE)*(F1056-Calc!F19))+B1068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1042*(1-MIN(100,(Inputs!$B$9+((C1056=TRUE)*(F1056-Calc!F19))+B1068+(ArtifactsInput!$M$24-ArtifactsInput!$M$24)*CHOOSE(ArtifactsInput!$N$24+1,10,12,14,16,18,20)+(IF(AND(Inputs!$B$38&lt;&gt;"pvp",Inputs!$B$43=0),1,IF(IF(Inputs!$B$38="pvp",15,Inputs!$B$43)-(B1075)&lt;=0,1,MAX(0,IF(Inputs!$B$38="pvp",15,Inputs!$B$43)-MAX(5,B1075))/(IF(Inputs!$B$38="pvp",15,Inputs!$B$43)-(B1075))))*IF(AND(ArtifactsInput!$M$42,((Inputs!$B$9+((C1056=TRUE)*(F1056-Calc!F19))+B1068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1042*(MIN(100,(Inputs!$B$9+((C1056=TRUE)*(F1056-Calc!F19))+B1068+(ArtifactsInput!$M$24-ArtifactsInput!$M$24)*CHOOSE(ArtifactsInput!$N$24+1,10,12,14,16,18,20)+(IF(AND(Inputs!$B$38&lt;&gt;"pvp",Inputs!$B$43=0),1,IF(IF(Inputs!$B$38="pvp",15,Inputs!$B$43)-(B1075)&lt;=0,1,MAX(0,IF(Inputs!$B$38="pvp",15,Inputs!$B$43)-MAX(5,B1075))/(IF(Inputs!$B$38="pvp",15,Inputs!$B$43)-(B1075))))*IF(AND(ArtifactsInput!$M$42,((Inputs!$B$9+((C1056=TRUE)*(F1056-Calc!F19))+B1068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042">
        <f>IF(C1042,(H1042*N1042*IF(AND(Inputs!$B$38&lt;&gt;"pvp",Inputs!$B$43&gt;0),((Skills!G5*((R1042-1)*IF(Skills!H5&gt;0,INT(IF(Inputs!$B$3&gt;=104,MIN(35,20*(1+Inputs!$B$34/100)),20)/Skills!H5+0.000000001),1)+IF(Skills!H5&gt;0,INT(MIN(IF(Inputs!$B$3&gt;=104,MIN(35,20*(1+Inputs!$B$34/100)),20),MAX(0,MAX(0,Inputs!$B$43-B1075)-((R1042-1)*(IF(Inputs!$B$38="pvp",15,MAX(0.1,Skills!D5-IF(TRUE=TRUE,Inputs!$B$32,0)))*(1-IF(AND(ArtifactsInput!$M$27,Inputs!$B$4="Chapter Hunt"),CHOOSE(ArtifactsInput!$N$27+1,20,24,28,32,36,40),0)/100)))))/Skills!H5+0.000000001),1)))/Inputs!$B$43),G1042*Q1042))*IF(Inputs!$B$38="pvp",1,(1+(Inputs!$B$21+Skills!Q5+(IF(ArtifactsInput!$M$33,CHOOSE(ArtifactsInput!$N$33+1,30,36,42,48,54,60),0))+(IF(AND(ArtifactsInput!$M$35,Inputs!$B$4&lt;&gt;"Chapter Hunt"),CHOOSE(ArtifactsInput!$N$35+1,15,18,21,24,27,30)*(1-EXP(-(0.2*B1070)*5)),0)+IF(AND(ArtifactsInput!$M$22,Inputs!$B$4&lt;&gt;"Chapter Hunt"),CHOOSE(ArtifactsInput!$N$22+1,10,12,14,16,18,20)*((0*(((0.15*B1070*5))^0/1)+1*(((0.15*B1070*5))^1/1)+2*(((0.15*B1070*5))^2/2)+3*(((0.15*B1070*5))^3/6)+4*(((0.15*B1070*5))^4/24)+5*(((0.15*B1070*5))^5/120))/((((0.15*B1070*5))^0/1)+(((0.15*B1070*5))^1/1)+(((0.15*B1070*5))^2/2)+(((0.15*B1070*5))^3/6)+(((0.15*B1070*5))^4/24)+(((0.15*B1070*5))^5/120))),0))+IF(Inputs!$B$3&gt;=54,9*(C1040=TRUE)*MIN(1,8*(1+Inputs!$B$34/100)*Q1040)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43">
      <c r="A1043">
        <f>Skills!A6</f>
        <v/>
      </c>
      <c r="B1043">
        <f>Skills!B6</f>
        <v/>
      </c>
      <c r="C1043">
        <f>Inputs!$B$3&gt;=66</f>
        <v/>
      </c>
      <c r="D1043">
        <f>IF(Skills!C6=1,60+Inputs!$B$25+Inputs!$B$29,IF(Skills!C6=2,90+Inputs!$B$26+Inputs!$B$29,IF(Skills!C6=3,120+Inputs!$B$27+Inputs!$B$29,MAX(0,(Inputs!$B$3-100)*3)+Inputs!$B$28+Inputs!$B$29)))</f>
        <v/>
      </c>
      <c r="E1043">
        <f>INDEX(FactorTable!$B$2:$Y$301, MATCH(ROUND(MIN(300,MAX(1,D1043)),0), FactorTable!$A$2:$A$301,0), Skills!M6+1)</f>
        <v/>
      </c>
      <c r="F1043">
        <f>IF(Skills!N6=TRUE,(Skills!L6/10)*(E1043/1000),Skills!L6/10)+Skills!O6</f>
        <v/>
      </c>
      <c r="G1043">
        <f>Skills!G6*IF(Skills!H6&gt;0,INT(IF(Inputs!$B$38="pvp",MIN(Skills!I6,15),Skills!I6)/Skills!H6+0.000000001),1)</f>
        <v/>
      </c>
      <c r="H1043">
        <f>1-(1-Skills!J6/100)^Skills!K6</f>
        <v/>
      </c>
      <c r="I1043" t="inlineStr">
        <is>
          <t>1</t>
        </is>
      </c>
      <c r="J1043">
        <f>(((Inputs!$B$6+1)*(1+Inputs!$B$7/100))+(((Inputs!$B$12*(1+Inputs!$B$13/100))-(Inputs!$B$12*(1+Inputs!$B$13/100)))+0.25*(Inputs!$B$14-Inputs!$B$14))*(1+Inputs!$B$7/100))*(F1043/100)</f>
        <v/>
      </c>
      <c r="K1043">
        <f>J1043*(1+((Inputs!$B$12*(1+Inputs!$B$13/100))*0.01+Inputs!$B$14*0.0025)/100)*(1+Inputs!$B$15/100)*(1+Inputs!$B$16/100)*(5000/(6000+Inputs!$B$42*(1-(100*(1-(1-(Inputs!$B$19+0)/100)*(1-CHOOSE(ArtifactsInput!$N$40+1,5,6,7,8,9,10)/100)^(ArtifactsInput!$M$40-ArtifactsInput!$M$40)))/100)))*(1+(Inputs!$B$24+((C1063=TRUE)*(F1063-Calc!F26))+B1074)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+2.0*IF(C1052=TRUE,F1052,0)/100)*(1+(IF(Skills!A6="EIGHT_LEGS_EASTON",Inputs!$B$17+((C1060=TRUE)*(F1060-Calc!F23))+((C1064=TRUE)*(F1064-Calc!F27))+((IF(AND(Inputs!$B$38&lt;&gt;"pvp",Inputs!$B$43=0),1,IF(IF(Inputs!$B$38="pvp",15,Inputs!$B$43)-(B1075)&lt;=0,1,MAX(0,IF(Inputs!$B$38="pvp",15,Inputs!$B$43)-MAX(5,B1075))/(IF(Inputs!$B$38="pvp",15,Inputs!$B$43)-(B1075))))*(IF(AND(ArtifactsInput!$M$42,((Inputs!$B$9+((C1056=TRUE)*(F1056-Calc!F19))+B1068+(ArtifactsInput!$M$24-ArtifactsInput!$M$24)*CHOOSE(ArtifactsInput!$N$24+1,10,12,14,16,18,20)+IF(ArtifactsInput!$M$10,CHOOSE(ArtifactsInput!$N$10+1,15,18,21,24,27,30)*(IF(Inputs!$B$38="pvp",MIN(15,15)/15,IF(AND(Inputs!$B$38&lt;&gt;"pvp",Inputs!$B$43&gt;0),MIN(15,Inputs!$B$43)/(Inputs!$B$43),0))),0)))&gt;=100),MIN(100,((Inputs!$B$9+((C1056=TRUE)*(F1056-Calc!F19))+B1068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1075)&lt;=0,1,MAX(0,IF(Inputs!$B$38="pvp",15,Inputs!$B$43)-MAX(5,B1075))/(IF(Inputs!$B$38="pvp",15,Inputs!$B$43)-(B1075))))*IF(AND(ArtifactsInput!$M$42,((Inputs!$B$9+((C1056=TRUE)*(F1056-Calc!F19))+B1068+(ArtifactsInput!$M$24-ArtifactsInput!$M$24)*CHOOSE(ArtifactsInput!$N$24+1,10,12,14,16,18,20)+IF(ArtifactsInput!$M$10,CHOOSE(ArtifactsInput!$N$10+1,15,18,21,24,27,30)*(IF(Inputs!$B$38="pvp",MIN(15,15)/15,IF(AND(Inputs!$B$38&lt;&gt;"pvp",Inputs!$B$43&gt;0),MIN(15,Inputs!$B$43)/(Inputs!$B$43),0))),0)))&gt;=100),CHOOSE(ArtifactsInput!$N$42+1,40,48,56,64,72,80),0))))/100)*((1+(((C1054=TRUE)*F1054*5/7)+((C1061=TRUE)*(F1061-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1043)</f>
        <v/>
      </c>
      <c r="L1043">
        <f>K1043*(MIN(Inputs!$B$22+((C1059=TRUE)*(F1059-Calc!F22)),(Inputs!$B$23+0+(IF(ArtifactsInput!$M$15,CHOOSE(ArtifactsInput!$N$15+1,25,30,35,40,45,50)/100*(Inputs!$B$11-Inputs!$B$11),0))))/100+(Inputs!$B$23+0+(IF(ArtifactsInput!$M$15,CHOOSE(ArtifactsInput!$N$15+1,25,30,35,40,45,50)/100*(Inputs!$B$11-Inputs!$B$11),0)))/100)/2</f>
        <v/>
      </c>
      <c r="M1043">
        <f>L1043*(1+(Inputs!$B$10+((C1062=TRUE)*(F1062-Calc!F25))+B1073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43">
        <f>L1043*(1-MIN((Inputs!$B$9+((C1056=TRUE)*(F1056-Calc!F19))+B1068+(ArtifactsInput!$M$24-ArtifactsInput!$M$24)*CHOOSE(ArtifactsInput!$N$24+1,10,12,14,16,18,20)+(IF(AND(Inputs!$B$38&lt;&gt;"pvp",Inputs!$B$43=0),1,IF(IF(Inputs!$B$38="pvp",15,Inputs!$B$43)-(B1075)&lt;=0,1,MAX(0,IF(Inputs!$B$38="pvp",15,Inputs!$B$43)-MAX(5,B1075))/(IF(Inputs!$B$38="pvp",15,Inputs!$B$43)-(B1075))))*IF(AND(ArtifactsInput!$M$42,((Inputs!$B$9+((C1056=TRUE)*(F1056-Calc!F19))+B1068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1043*(MIN((Inputs!$B$9+((C1056=TRUE)*(F1056-Calc!F19))+B1068+(ArtifactsInput!$M$24-ArtifactsInput!$M$24)*CHOOSE(ArtifactsInput!$N$24+1,10,12,14,16,18,20)+(IF(AND(Inputs!$B$38&lt;&gt;"pvp",Inputs!$B$43=0),1,IF(IF(Inputs!$B$38="pvp",15,Inputs!$B$43)-(B1075)&lt;=0,1,MAX(0,IF(Inputs!$B$38="pvp",15,Inputs!$B$43)-MAX(5,B1075))/(IF(Inputs!$B$38="pvp",15,Inputs!$B$43)-(B1075))))*IF(AND(ArtifactsInput!$M$42,((Inputs!$B$9+((C1056=TRUE)*(F1056-Calc!F19))+B1068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43">
        <f>(1-Summary!$B$11)*T1043+Summary!$B$11*V1043</f>
        <v/>
      </c>
      <c r="P1043">
        <f>IF(B1078=0,0,O1043/B1078)</f>
        <v/>
      </c>
      <c r="Q1043">
        <f>IFERROR(1/(IF(Inputs!$B$38="pvp",15,MAX(0.1,Skills!D6-IF(TRUE=TRUE,Inputs!$B$32,0)))*(1-IF(AND(ArtifactsInput!$M$27,Inputs!$B$4="Chapter Hunt"),CHOOSE(ArtifactsInput!$N$27+1,20,24,28,32,36,40),0)/100)),0)</f>
        <v/>
      </c>
      <c r="R1043">
        <f>IF(AND(Inputs!$B$38&lt;&gt;"pvp",Inputs!$B$43&gt;0),IF(MAX(0,Inputs!$B$43-B1075)&lt;=0,0,(INT(MAX(0,Inputs!$B$43-B1075)/(IF(Inputs!$B$38="pvp",15,MAX(0.1,Skills!D6-IF(TRUE=TRUE,Inputs!$B$32,0)))*(1-IF(AND(ArtifactsInput!$M$27,Inputs!$B$4="Chapter Hunt"),CHOOSE(ArtifactsInput!$N$27+1,20,24,28,32,36,40),0)/100)))+1)),0)</f>
        <v/>
      </c>
      <c r="S1043">
        <f>IFERROR(O1043/N1043,0)</f>
        <v/>
      </c>
      <c r="T1043">
        <f>IF(C1043,(H1043*N1043*IF(AND(Inputs!$B$38&lt;&gt;"pvp",Inputs!$B$43&gt;0),((Skills!G6*((R1043-1)*IF(Skills!H6&gt;0,INT(Skills!I6/Skills!H6+0.000000001),1)+IF(Skills!H6&gt;0,INT(MIN(Skills!I6,MAX(0,MAX(0,Inputs!$B$43-B1075)-((R1043-1)*(IF(Inputs!$B$38="pvp",15,MAX(0.1,Skills!D6-IF(TRUE=TRUE,Inputs!$B$32,0)))*(1-IF(AND(ArtifactsInput!$M$27,Inputs!$B$4="Chapter Hunt"),CHOOSE(ArtifactsInput!$N$27+1,20,24,28,32,36,40),0)/100)))))/Skills!H6+0.000000001),1)))/Inputs!$B$43),G1043*Q1043))*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Hunt"),CHOOSE(ArtifactsInput!$N$35+1,15,18,21,24,27,30)*(1-EXP(-(0.2*B1070)*5)),0)+IF(AND(ArtifactsInput!$M$22,Inputs!$B$4&lt;&gt;"Chapter Hunt"),CHOOSE(ArtifactsInput!$N$22+1,10,12,14,16,18,20)*((0*(((0.15*B1070*5))^0/1)+1*(((0.15*B1070*5))^1/1)+2*(((0.15*B1070*5))^2/2)+3*(((0.15*B1070*5))^3/6)+4*(((0.15*B1070*5))^4/24)+5*(((0.15*B1070*5))^5/120))/((((0.15*B1070*5))^0/1)+(((0.15*B1070*5))^1/1)+(((0.15*B1070*5))^2/2)+(((0.15*B1070*5))^3/6)+(((0.15*B1070*5))^4/24)+(((0.15*B1070*5))^5/120))),0))+IF(Inputs!$B$3&gt;=54,9*(C1040=TRUE)*MIN(1,8*(1+Inputs!$B$34/100)*Q1040)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1043*(1-MIN(100,(Inputs!$B$9+((C1056=TRUE)*(F1056-Calc!F19))+B1068+(ArtifactsInput!$M$24-ArtifactsInput!$M$24)*CHOOSE(ArtifactsInput!$N$24+1,10,12,14,16,18,20)+(IF(AND(Inputs!$B$38&lt;&gt;"pvp",Inputs!$B$43=0),1,IF(IF(Inputs!$B$38="pvp",15,Inputs!$B$43)-(B1075)&lt;=0,1,MAX(0,IF(Inputs!$B$38="pvp",15,Inputs!$B$43)-MAX(5,B1075))/(IF(Inputs!$B$38="pvp",15,Inputs!$B$43)-(B1075))))*IF(AND(ArtifactsInput!$M$42,((Inputs!$B$9+((C1056=TRUE)*(F1056-Calc!F19))+B1068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1043*(MIN(100,(Inputs!$B$9+((C1056=TRUE)*(F1056-Calc!F19))+B1068+(ArtifactsInput!$M$24-ArtifactsInput!$M$24)*CHOOSE(ArtifactsInput!$N$24+1,10,12,14,16,18,20)+(IF(AND(Inputs!$B$38&lt;&gt;"pvp",Inputs!$B$43=0),1,IF(IF(Inputs!$B$38="pvp",15,Inputs!$B$43)-(B1075)&lt;=0,1,MAX(0,IF(Inputs!$B$38="pvp",15,Inputs!$B$43)-MAX(5,B1075))/(IF(Inputs!$B$38="pvp",15,Inputs!$B$43)-(B1075))))*IF(AND(ArtifactsInput!$M$42,((Inputs!$B$9+((C1056=TRUE)*(F1056-Calc!F19))+B1068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1043*(1-MIN(100,(Inputs!$B$9+((C1056=TRUE)*(F1056-Calc!F19))+B1068+(ArtifactsInput!$M$24-ArtifactsInput!$M$24)*CHOOSE(ArtifactsInput!$N$24+1,10,12,14,16,18,20)+(IF(AND(Inputs!$B$38&lt;&gt;"pvp",Inputs!$B$43=0),1,IF(IF(Inputs!$B$38="pvp",15,Inputs!$B$43)-(B1075)&lt;=0,1,MAX(0,IF(Inputs!$B$38="pvp",15,Inputs!$B$43)-MAX(5,B1075))/(IF(Inputs!$B$38="pvp",15,Inputs!$B$43)-(B1075))))*IF(AND(ArtifactsInput!$M$42,((Inputs!$B$9+((C1056=TRUE)*(F1056-Calc!F19))+B1068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1043*(MIN(100,(Inputs!$B$9+((C1056=TRUE)*(F1056-Calc!F19))+B1068+(ArtifactsInput!$M$24-ArtifactsInput!$M$24)*CHOOSE(ArtifactsInput!$N$24+1,10,12,14,16,18,20)+(IF(AND(Inputs!$B$38&lt;&gt;"pvp",Inputs!$B$43=0),1,IF(IF(Inputs!$B$38="pvp",15,Inputs!$B$43)-(B1075)&lt;=0,1,MAX(0,IF(Inputs!$B$38="pvp",15,Inputs!$B$43)-MAX(5,B1075))/(IF(Inputs!$B$38="pvp",15,Inputs!$B$43)-(B1075))))*IF(AND(ArtifactsInput!$M$42,((Inputs!$B$9+((C1056=TRUE)*(F1056-Calc!F19))+B1068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043">
        <f>IF(C1043,(H1043*N1043*IF(AND(Inputs!$B$38&lt;&gt;"pvp",Inputs!$B$43&gt;0),((Skills!G6*((R1043-1)*IF(Skills!H6&gt;0,INT(Skills!I6/Skills!H6+0.000000001),1)+IF(Skills!H6&gt;0,INT(MIN(Skills!I6,MAX(0,MAX(0,Inputs!$B$43-B1075)-((R1043-1)*(IF(Inputs!$B$38="pvp",15,MAX(0.1,Skills!D6-IF(TRUE=TRUE,Inputs!$B$32,0)))*(1-IF(AND(ArtifactsInput!$M$27,Inputs!$B$4="Chapter Hunt"),CHOOSE(ArtifactsInput!$N$27+1,20,24,28,32,36,40),0)/100)))))/Skills!H6+0.000000001),1)))/Inputs!$B$43),G1043*Q1043))*IF(Inputs!$B$38="pvp",1,(1+(Inputs!$B$21+Skills!Q6+(IF(ArtifactsInput!$M$33,CHOOSE(ArtifactsInput!$N$33+1,30,36,42,48,54,60),0))+(IF(AND(ArtifactsInput!$M$35,Inputs!$B$4&lt;&gt;"Chapter Hunt"),CHOOSE(ArtifactsInput!$N$35+1,15,18,21,24,27,30)*(1-EXP(-(0.2*B1070)*5)),0)+IF(AND(ArtifactsInput!$M$22,Inputs!$B$4&lt;&gt;"Chapter Hunt"),CHOOSE(ArtifactsInput!$N$22+1,10,12,14,16,18,20)*((0*(((0.15*B1070*5))^0/1)+1*(((0.15*B1070*5))^1/1)+2*(((0.15*B1070*5))^2/2)+3*(((0.15*B1070*5))^3/6)+4*(((0.15*B1070*5))^4/24)+5*(((0.15*B1070*5))^5/120))/((((0.15*B1070*5))^0/1)+(((0.15*B1070*5))^1/1)+(((0.15*B1070*5))^2/2)+(((0.15*B1070*5))^3/6)+(((0.15*B1070*5))^4/24)+(((0.15*B1070*5))^5/120))),0))+IF(Inputs!$B$3&gt;=54,9*(C1040=TRUE)*MIN(1,8*(1+Inputs!$B$34/100)*Q1040)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44">
      <c r="A1044">
        <f>Skills!A7</f>
        <v/>
      </c>
      <c r="B1044">
        <f>Skills!B7</f>
        <v/>
      </c>
      <c r="C1044">
        <f>Inputs!$B$3&gt;=63</f>
        <v/>
      </c>
      <c r="D1044">
        <f>IF(Skills!C7=1,60+Inputs!$B$25+Inputs!$B$29,IF(Skills!C7=2,90+Inputs!$B$26+Inputs!$B$29,IF(Skills!C7=3,120+Inputs!$B$27+Inputs!$B$29,MAX(0,(Inputs!$B$3-100)*3)+Inputs!$B$28+Inputs!$B$29)))</f>
        <v/>
      </c>
      <c r="E1044">
        <f>INDEX(FactorTable!$B$2:$Y$301, MATCH(ROUND(MIN(300,MAX(1,D1044)),0), FactorTable!$A$2:$A$301,0), Skills!M7+1)</f>
        <v/>
      </c>
      <c r="F1044">
        <f>IF(Skills!N7=TRUE,(Skills!L7/10)*(E1044/1000),Skills!L7/10)+Skills!O7</f>
        <v/>
      </c>
      <c r="G1044">
        <f>Skills!G7*IF(Skills!H7&gt;0,INT(IF(Inputs!$B$38="pvp",MIN(Skills!I7,15),Skills!I7)/Skills!H7+0.000000001),1)</f>
        <v/>
      </c>
      <c r="H1044">
        <f>1-(1-Skills!J7/100)^Skills!K7</f>
        <v/>
      </c>
      <c r="I1044" t="inlineStr">
        <is>
          <t>1</t>
        </is>
      </c>
      <c r="J1044">
        <f>(((Inputs!$B$6+1)*(1+Inputs!$B$7/100))+(((Inputs!$B$12*(1+Inputs!$B$13/100))-(Inputs!$B$12*(1+Inputs!$B$13/100)))+0.25*(Inputs!$B$14-Inputs!$B$14))*(1+Inputs!$B$7/100))*(F1044/100)</f>
        <v/>
      </c>
      <c r="K1044">
        <f>J1044*(1+((Inputs!$B$12*(1+Inputs!$B$13/100))*0.01+Inputs!$B$14*0.0025)/100)*(1+Inputs!$B$15/100)*(1+Inputs!$B$16/100)*(5000/(6000+Inputs!$B$42*(1-(100*(1-(1-(Inputs!$B$19+0)/100)*(1-CHOOSE(ArtifactsInput!$N$40+1,5,6,7,8,9,10)/100)^(ArtifactsInput!$M$40-ArtifactsInput!$M$40)))/100)))*(1+(Inputs!$B$24+((C1063=TRUE)*(F1063-Calc!F26))+B1074)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1052=TRUE,F1052,0)/100)*(1+(IF(Skills!A7="EIGHT_LEGS_EASTON",Inputs!$B$17+((C1060=TRUE)*(F1060-Calc!F23))+((C1064=TRUE)*(F1064-Calc!F27))+((IF(AND(Inputs!$B$38&lt;&gt;"pvp",Inputs!$B$43=0),1,IF(IF(Inputs!$B$38="pvp",15,Inputs!$B$43)-(B1075)&lt;=0,1,MAX(0,IF(Inputs!$B$38="pvp",15,Inputs!$B$43)-MAX(5,B1075))/(IF(Inputs!$B$38="pvp",15,Inputs!$B$43)-(B1075))))*(IF(AND(ArtifactsInput!$M$42,((Inputs!$B$9+((C1056=TRUE)*(F1056-Calc!F19))+B1068+(ArtifactsInput!$M$24-ArtifactsInput!$M$24)*CHOOSE(ArtifactsInput!$N$24+1,10,12,14,16,18,20)+IF(ArtifactsInput!$M$10,CHOOSE(ArtifactsInput!$N$10+1,15,18,21,24,27,30)*(IF(Inputs!$B$38="pvp",MIN(15,15)/15,IF(AND(Inputs!$B$38&lt;&gt;"pvp",Inputs!$B$43&gt;0),MIN(15,Inputs!$B$43)/(Inputs!$B$43),0))),0)))&gt;=100),MIN(100,((Inputs!$B$9+((C1056=TRUE)*(F1056-Calc!F19))+B1068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1075)&lt;=0,1,MAX(0,IF(Inputs!$B$38="pvp",15,Inputs!$B$43)-MAX(5,B1075))/(IF(Inputs!$B$38="pvp",15,Inputs!$B$43)-(B1075))))*IF(AND(ArtifactsInput!$M$42,((Inputs!$B$9+((C1056=TRUE)*(F1056-Calc!F19))+B1068+(ArtifactsInput!$M$24-ArtifactsInput!$M$24)*CHOOSE(ArtifactsInput!$N$24+1,10,12,14,16,18,20)+IF(ArtifactsInput!$M$10,CHOOSE(ArtifactsInput!$N$10+1,15,18,21,24,27,30)*(IF(Inputs!$B$38="pvp",MIN(15,15)/15,IF(AND(Inputs!$B$38&lt;&gt;"pvp",Inputs!$B$43&gt;0),MIN(15,Inputs!$B$43)/(Inputs!$B$43),0))),0)))&gt;=100),CHOOSE(ArtifactsInput!$N$42+1,40,48,56,64,72,80),0))))/100)*((1+(((C1054=TRUE)*F1054*5/7)+((C1061=TRUE)*(F1061-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1044)</f>
        <v/>
      </c>
      <c r="L1044">
        <f>K1044*(MIN(Inputs!$B$22+((C1059=TRUE)*(F1059-Calc!F22)),(Inputs!$B$23+0+(IF(ArtifactsInput!$M$15,CHOOSE(ArtifactsInput!$N$15+1,25,30,35,40,45,50)/100*(Inputs!$B$11-Inputs!$B$11),0))))/100+(Inputs!$B$23+0+(IF(ArtifactsInput!$M$15,CHOOSE(ArtifactsInput!$N$15+1,25,30,35,40,45,50)/100*(Inputs!$B$11-Inputs!$B$11),0)))/100)/2</f>
        <v/>
      </c>
      <c r="M1044">
        <f>L1044*(1+(Inputs!$B$10+((C1062=TRUE)*(F1062-Calc!F25))+B1073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44">
        <f>L1044*(1-MIN((Inputs!$B$9+((C1056=TRUE)*(F1056-Calc!F19))+B1068+(ArtifactsInput!$M$24-ArtifactsInput!$M$24)*CHOOSE(ArtifactsInput!$N$24+1,10,12,14,16,18,20)+(IF(AND(Inputs!$B$38&lt;&gt;"pvp",Inputs!$B$43=0),1,IF(IF(Inputs!$B$38="pvp",15,Inputs!$B$43)-(B1075)&lt;=0,1,MAX(0,IF(Inputs!$B$38="pvp",15,Inputs!$B$43)-MAX(5,B1075))/(IF(Inputs!$B$38="pvp",15,Inputs!$B$43)-(B1075))))*IF(AND(ArtifactsInput!$M$42,((Inputs!$B$9+((C1056=TRUE)*(F1056-Calc!F19))+B1068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1044*(MIN((Inputs!$B$9+((C1056=TRUE)*(F1056-Calc!F19))+B1068+(ArtifactsInput!$M$24-ArtifactsInput!$M$24)*CHOOSE(ArtifactsInput!$N$24+1,10,12,14,16,18,20)+(IF(AND(Inputs!$B$38&lt;&gt;"pvp",Inputs!$B$43=0),1,IF(IF(Inputs!$B$38="pvp",15,Inputs!$B$43)-(B1075)&lt;=0,1,MAX(0,IF(Inputs!$B$38="pvp",15,Inputs!$B$43)-MAX(5,B1075))/(IF(Inputs!$B$38="pvp",15,Inputs!$B$43)-(B1075))))*IF(AND(ArtifactsInput!$M$42,((Inputs!$B$9+((C1056=TRUE)*(F1056-Calc!F19))+B1068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44">
        <f>(1-Summary!$B$11)*T1044+Summary!$B$11*V1044</f>
        <v/>
      </c>
      <c r="P1044">
        <f>IF(B1078=0,0,O1044/B1078)</f>
        <v/>
      </c>
      <c r="Q1044">
        <f>IFERROR(1/(IF(Inputs!$B$38="pvp",15,MAX(0.1,Skills!D7-IF(TRUE=TRUE,Inputs!$B$32,0)))*(1-IF(AND(ArtifactsInput!$M$27,Inputs!$B$4="Chapter Hunt"),CHOOSE(ArtifactsInput!$N$27+1,20,24,28,32,36,40),0)/100)),0)</f>
        <v/>
      </c>
      <c r="R1044">
        <f>IF(AND(Inputs!$B$38&lt;&gt;"pvp",Inputs!$B$43&gt;0),IF(MAX(0,Inputs!$B$43-B1075)&lt;=0,0,(INT(MAX(0,Inputs!$B$43-B1075)/(IF(Inputs!$B$38="pvp",15,MAX(0.1,Skills!D7-IF(TRUE=TRUE,Inputs!$B$32,0)))*(1-IF(AND(ArtifactsInput!$M$27,Inputs!$B$4="Chapter Hunt"),CHOOSE(ArtifactsInput!$N$27+1,20,24,28,32,36,40),0)/100)))+1)),0)</f>
        <v/>
      </c>
      <c r="S1044">
        <f>IFERROR(O1044/N1044,0)</f>
        <v/>
      </c>
      <c r="T1044">
        <f>IF(C1044,(H1044*N1044*IF(AND(Inputs!$B$38&lt;&gt;"pvp",Inputs!$B$43&gt;0),((Skills!G7*((R1044-1)*IF(Skills!H7&gt;0,INT(Skills!I7/Skills!H7+0.000000001),1)+IF(Skills!H7&gt;0,INT(MIN(Skills!I7,MAX(0,MAX(0,Inputs!$B$43-B1075)-((R1044-1)*(IF(Inputs!$B$38="pvp",15,MAX(0.1,Skills!D7-IF(TRUE=TRUE,Inputs!$B$32,0)))*(1-IF(AND(ArtifactsInput!$M$27,Inputs!$B$4="Chapter Hunt"),CHOOSE(ArtifactsInput!$N$27+1,20,24,28,32,36,40),0)/100)))))/Skills!H7+0.000000001),1)))/Inputs!$B$43),G1044*Q1044))*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Hunt"),CHOOSE(ArtifactsInput!$N$35+1,15,18,21,24,27,30)*(1-EXP(-(0.2*B1070)*5)),0)+IF(AND(ArtifactsInput!$M$22,Inputs!$B$4&lt;&gt;"Chapter Hunt"),CHOOSE(ArtifactsInput!$N$22+1,10,12,14,16,18,20)*((0*(((0.15*B1070*5))^0/1)+1*(((0.15*B1070*5))^1/1)+2*(((0.15*B1070*5))^2/2)+3*(((0.15*B1070*5))^3/6)+4*(((0.15*B1070*5))^4/24)+5*(((0.15*B1070*5))^5/120))/((((0.15*B1070*5))^0/1)+(((0.15*B1070*5))^1/1)+(((0.15*B1070*5))^2/2)+(((0.15*B1070*5))^3/6)+(((0.15*B1070*5))^4/24)+(((0.15*B1070*5))^5/120))),0))+IF(Inputs!$B$3&gt;=54,9*(C1040=TRUE)*MIN(1,8*(1+Inputs!$B$34/100)*Q1040)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1044*(1-MIN(100,(Inputs!$B$9+((C1056=TRUE)*(F1056-Calc!F19))+B1068+(ArtifactsInput!$M$24-ArtifactsInput!$M$24)*CHOOSE(ArtifactsInput!$N$24+1,10,12,14,16,18,20)+(IF(AND(Inputs!$B$38&lt;&gt;"pvp",Inputs!$B$43=0),1,IF(IF(Inputs!$B$38="pvp",15,Inputs!$B$43)-(B1075)&lt;=0,1,MAX(0,IF(Inputs!$B$38="pvp",15,Inputs!$B$43)-MAX(5,B1075))/(IF(Inputs!$B$38="pvp",15,Inputs!$B$43)-(B1075))))*IF(AND(ArtifactsInput!$M$42,((Inputs!$B$9+((C1056=TRUE)*(F1056-Calc!F19))+B1068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1044*(MIN(100,(Inputs!$B$9+((C1056=TRUE)*(F1056-Calc!F19))+B1068+(ArtifactsInput!$M$24-ArtifactsInput!$M$24)*CHOOSE(ArtifactsInput!$N$24+1,10,12,14,16,18,20)+(IF(AND(Inputs!$B$38&lt;&gt;"pvp",Inputs!$B$43=0),1,IF(IF(Inputs!$B$38="pvp",15,Inputs!$B$43)-(B1075)&lt;=0,1,MAX(0,IF(Inputs!$B$38="pvp",15,Inputs!$B$43)-MAX(5,B1075))/(IF(Inputs!$B$38="pvp",15,Inputs!$B$43)-(B1075))))*IF(AND(ArtifactsInput!$M$42,((Inputs!$B$9+((C1056=TRUE)*(F1056-Calc!F19))+B1068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1044*(1-MIN(100,(Inputs!$B$9+((C1056=TRUE)*(F1056-Calc!F19))+B1068+(ArtifactsInput!$M$24-ArtifactsInput!$M$24)*CHOOSE(ArtifactsInput!$N$24+1,10,12,14,16,18,20)+(IF(AND(Inputs!$B$38&lt;&gt;"pvp",Inputs!$B$43=0),1,IF(IF(Inputs!$B$38="pvp",15,Inputs!$B$43)-(B1075)&lt;=0,1,MAX(0,IF(Inputs!$B$38="pvp",15,Inputs!$B$43)-MAX(5,B1075))/(IF(Inputs!$B$38="pvp",15,Inputs!$B$43)-(B1075))))*IF(AND(ArtifactsInput!$M$42,((Inputs!$B$9+((C1056=TRUE)*(F1056-Calc!F19))+B1068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1044*(MIN(100,(Inputs!$B$9+((C1056=TRUE)*(F1056-Calc!F19))+B1068+(ArtifactsInput!$M$24-ArtifactsInput!$M$24)*CHOOSE(ArtifactsInput!$N$24+1,10,12,14,16,18,20)+(IF(AND(Inputs!$B$38&lt;&gt;"pvp",Inputs!$B$43=0),1,IF(IF(Inputs!$B$38="pvp",15,Inputs!$B$43)-(B1075)&lt;=0,1,MAX(0,IF(Inputs!$B$38="pvp",15,Inputs!$B$43)-MAX(5,B1075))/(IF(Inputs!$B$38="pvp",15,Inputs!$B$43)-(B1075))))*IF(AND(ArtifactsInput!$M$42,((Inputs!$B$9+((C1056=TRUE)*(F1056-Calc!F19))+B1068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044">
        <f>IF(C1044,(H1044*N1044*IF(AND(Inputs!$B$38&lt;&gt;"pvp",Inputs!$B$43&gt;0),((Skills!G7*((R1044-1)*IF(Skills!H7&gt;0,INT(Skills!I7/Skills!H7+0.000000001),1)+IF(Skills!H7&gt;0,INT(MIN(Skills!I7,MAX(0,MAX(0,Inputs!$B$43-B1075)-((R1044-1)*(IF(Inputs!$B$38="pvp",15,MAX(0.1,Skills!D7-IF(TRUE=TRUE,Inputs!$B$32,0)))*(1-IF(AND(ArtifactsInput!$M$27,Inputs!$B$4="Chapter Hunt"),CHOOSE(ArtifactsInput!$N$27+1,20,24,28,32,36,40),0)/100)))))/Skills!H7+0.000000001),1)))/Inputs!$B$43),G1044*Q1044))*IF(Inputs!$B$38="pvp",1,(1+(Inputs!$B$21+Skills!Q7+(IF(ArtifactsInput!$M$33,CHOOSE(ArtifactsInput!$N$33+1,30,36,42,48,54,60),0))+(IF(AND(ArtifactsInput!$M$35,Inputs!$B$4&lt;&gt;"Chapter Hunt"),CHOOSE(ArtifactsInput!$N$35+1,15,18,21,24,27,30)*(1-EXP(-(0.2*B1070)*5)),0)+IF(AND(ArtifactsInput!$M$22,Inputs!$B$4&lt;&gt;"Chapter Hunt"),CHOOSE(ArtifactsInput!$N$22+1,10,12,14,16,18,20)*((0*(((0.15*B1070*5))^0/1)+1*(((0.15*B1070*5))^1/1)+2*(((0.15*B1070*5))^2/2)+3*(((0.15*B1070*5))^3/6)+4*(((0.15*B1070*5))^4/24)+5*(((0.15*B1070*5))^5/120))/((((0.15*B1070*5))^0/1)+(((0.15*B1070*5))^1/1)+(((0.15*B1070*5))^2/2)+(((0.15*B1070*5))^3/6)+(((0.15*B1070*5))^4/24)+(((0.15*B1070*5))^5/120))),0))+IF(Inputs!$B$3&gt;=54,9*(C1040=TRUE)*MIN(1,8*(1+Inputs!$B$34/100)*Q1040)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45">
      <c r="A1045">
        <f>Skills!A8</f>
        <v/>
      </c>
      <c r="B1045">
        <f>Skills!B8</f>
        <v/>
      </c>
      <c r="C1045">
        <f>Inputs!$B$3&gt;=103</f>
        <v/>
      </c>
      <c r="D1045">
        <f>IF(Skills!C8=1,60+Inputs!$B$25+Inputs!$B$29,IF(Skills!C8=2,90+Inputs!$B$26+Inputs!$B$29,IF(Skills!C8=3,120+Inputs!$B$27+Inputs!$B$29,MAX(0,(Inputs!$B$3-100)*3)+Inputs!$B$28+Inputs!$B$29)))</f>
        <v/>
      </c>
      <c r="E1045">
        <f>INDEX(FactorTable!$B$2:$Y$301, MATCH(ROUND(MIN(300,MAX(1,D1045)),0), FactorTable!$A$2:$A$301,0), Skills!M8+1)</f>
        <v/>
      </c>
      <c r="F1045">
        <f>IF(Skills!N8=TRUE,(Skills!L8/10)*(E1045/1000),Skills!L8/10)+Skills!O8</f>
        <v/>
      </c>
      <c r="G1045">
        <f>Skills!G8*IF(Skills!H8&gt;0,INT(IF(Inputs!$B$38="pvp",MIN(Skills!I8,15),Skills!I8)/Skills!H8+0.000000001),1)</f>
        <v/>
      </c>
      <c r="H1045">
        <f>1-(1-Skills!J8/100)^Skills!K8</f>
        <v/>
      </c>
      <c r="I1045" t="inlineStr">
        <is>
          <t>1</t>
        </is>
      </c>
      <c r="J1045">
        <f>(((Inputs!$B$6+1)*(1+Inputs!$B$7/100))+(((Inputs!$B$12*(1+Inputs!$B$13/100))-(Inputs!$B$12*(1+Inputs!$B$13/100)))+0.25*(Inputs!$B$14-Inputs!$B$14))*(1+Inputs!$B$7/100))*(F1045/100)</f>
        <v/>
      </c>
      <c r="K1045">
        <f>J1045*(1+((Inputs!$B$12*(1+Inputs!$B$13/100))*0.01+Inputs!$B$14*0.0025)/100)*(1+Inputs!$B$15/100)*(1+Inputs!$B$16/100)*(5000/(6000+Inputs!$B$42*(1-(100*(1-(1-(Inputs!$B$19+0)/100)*(1-CHOOSE(ArtifactsInput!$N$40+1,5,6,7,8,9,10)/100)^(ArtifactsInput!$M$40-ArtifactsInput!$M$40)))/100)))*(1+(Inputs!$B$24+((C1063=TRUE)*(F1063-Calc!F26))+B1074)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IGHT_LEGS_EASTON",Inputs!$B$17+((C1060=TRUE)*(F1060-Calc!F23))+((C1064=TRUE)*(F1064-Calc!F27))+((IF(AND(Inputs!$B$38&lt;&gt;"pvp",Inputs!$B$43=0),1,IF(IF(Inputs!$B$38="pvp",15,Inputs!$B$43)-(B1075)&lt;=0,1,MAX(0,IF(Inputs!$B$38="pvp",15,Inputs!$B$43)-MAX(5,B1075))/(IF(Inputs!$B$38="pvp",15,Inputs!$B$43)-(B1075))))*(IF(AND(ArtifactsInput!$M$42,((Inputs!$B$9+((C1056=TRUE)*(F1056-Calc!F19))+B1068+(ArtifactsInput!$M$24-ArtifactsInput!$M$24)*CHOOSE(ArtifactsInput!$N$24+1,10,12,14,16,18,20)+IF(ArtifactsInput!$M$10,CHOOSE(ArtifactsInput!$N$10+1,15,18,21,24,27,30)*(IF(Inputs!$B$38="pvp",MIN(15,15)/15,IF(AND(Inputs!$B$38&lt;&gt;"pvp",Inputs!$B$43&gt;0),MIN(15,Inputs!$B$43)/(Inputs!$B$43),0))),0)))&gt;=100),MIN(100,((Inputs!$B$9+((C1056=TRUE)*(F1056-Calc!F19))+B1068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1075)&lt;=0,1,MAX(0,IF(Inputs!$B$38="pvp",15,Inputs!$B$43)-MAX(5,B1075))/(IF(Inputs!$B$38="pvp",15,Inputs!$B$43)-(B1075))))*IF(AND(ArtifactsInput!$M$42,((Inputs!$B$9+((C1056=TRUE)*(F1056-Calc!F19))+B1068+(ArtifactsInput!$M$24-ArtifactsInput!$M$24)*CHOOSE(ArtifactsInput!$N$24+1,10,12,14,16,18,20)+IF(ArtifactsInput!$M$10,CHOOSE(ArtifactsInput!$N$10+1,15,18,21,24,27,30)*(IF(Inputs!$B$38="pvp",MIN(15,15)/15,IF(AND(Inputs!$B$38&lt;&gt;"pvp",Inputs!$B$43&gt;0),MIN(15,Inputs!$B$43)/(Inputs!$B$43),0))),0)))&gt;=100),CHOOSE(ArtifactsInput!$N$42+1,40,48,56,64,72,80),0))))/100)*((1+(((C1054=TRUE)*F1054*5/7)+((C1061=TRUE)*(F1061-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1045)</f>
        <v/>
      </c>
      <c r="L1045">
        <f>K1045*(MIN(Inputs!$B$22+((C1059=TRUE)*(F1059-Calc!F22)),(Inputs!$B$23+0+(IF(ArtifactsInput!$M$15,CHOOSE(ArtifactsInput!$N$15+1,25,30,35,40,45,50)/100*(Inputs!$B$11-Inputs!$B$11),0))))/100+(Inputs!$B$23+0+(IF(ArtifactsInput!$M$15,CHOOSE(ArtifactsInput!$N$15+1,25,30,35,40,45,50)/100*(Inputs!$B$11-Inputs!$B$11),0)))/100)/2</f>
        <v/>
      </c>
      <c r="M1045">
        <f>L1045*(1+(Inputs!$B$10+((C1062=TRUE)*(F1062-Calc!F25))+B1073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45">
        <f>L1045*(1-MIN((Inputs!$B$9+((C1056=TRUE)*(F1056-Calc!F19))+B1068+(ArtifactsInput!$M$24-ArtifactsInput!$M$24)*CHOOSE(ArtifactsInput!$N$24+1,10,12,14,16,18,20)+(IF(AND(Inputs!$B$38&lt;&gt;"pvp",Inputs!$B$43=0),1,IF(IF(Inputs!$B$38="pvp",15,Inputs!$B$43)-(B1075)&lt;=0,1,MAX(0,IF(Inputs!$B$38="pvp",15,Inputs!$B$43)-MAX(5,B1075))/(IF(Inputs!$B$38="pvp",15,Inputs!$B$43)-(B1075))))*IF(AND(ArtifactsInput!$M$42,((Inputs!$B$9+((C1056=TRUE)*(F1056-Calc!F19))+B1068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1045*(MIN((Inputs!$B$9+((C1056=TRUE)*(F1056-Calc!F19))+B1068+(ArtifactsInput!$M$24-ArtifactsInput!$M$24)*CHOOSE(ArtifactsInput!$N$24+1,10,12,14,16,18,20)+(IF(AND(Inputs!$B$38&lt;&gt;"pvp",Inputs!$B$43=0),1,IF(IF(Inputs!$B$38="pvp",15,Inputs!$B$43)-(B1075)&lt;=0,1,MAX(0,IF(Inputs!$B$38="pvp",15,Inputs!$B$43)-MAX(5,B1075))/(IF(Inputs!$B$38="pvp",15,Inputs!$B$43)-(B1075))))*IF(AND(ArtifactsInput!$M$42,((Inputs!$B$9+((C1056=TRUE)*(F1056-Calc!F19))+B1068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45">
        <f>(1-Summary!$B$11)*T1045+Summary!$B$11*V1045</f>
        <v/>
      </c>
      <c r="P1045">
        <f>IF(B1078=0,0,O1045/B1078)</f>
        <v/>
      </c>
      <c r="Q1045">
        <f>IFERROR(1/((IF(Inputs!$B$38="pvp",15,MAX(0.1,Skills!D8-IF(TRUE=TRUE,Inputs!$B$32,0)))*(1-IF(AND(ArtifactsInput!$M$27,Inputs!$B$4="Chapter Hunt"),CHOOSE(ArtifactsInput!$N$27+1,20,24,28,32,36,40),0)/100))/B1079),0)</f>
        <v/>
      </c>
      <c r="R1045">
        <f>IF(AND(Inputs!$B$38&lt;&gt;"pvp",Inputs!$B$43&gt;0),IF(MAX(0,Inputs!$B$43-B1075)&lt;=0,0,(INT(MAX(0,Inputs!$B$43-B1075)/((IF(Inputs!$B$38="pvp",15,MAX(0.1,Skills!D8-IF(TRUE=TRUE,Inputs!$B$32,0)))*(1-IF(AND(ArtifactsInput!$M$27,Inputs!$B$4="Chapter Hunt"),CHOOSE(ArtifactsInput!$N$27+1,20,24,28,32,36,40),0)/100))/B1079))+1)),0)</f>
        <v/>
      </c>
      <c r="S1045">
        <f>IFERROR(O1045/N1045,0)</f>
        <v/>
      </c>
      <c r="T1045">
        <f>IF(C1045,(H1045*N1045*IF(AND(Inputs!$B$38&lt;&gt;"pvp",Inputs!$B$43&gt;0),((Skills!G8*((R1045-1)*IF(Skills!H8&gt;0,INT(Skills!I8/Skills!H8+0.000000001),1)+IF(Skills!H8&gt;0,INT(MIN(Skills!I8,MAX(0,MAX(0,Inputs!$B$43-B1075)-((R1045-1)*((IF(Inputs!$B$38="pvp",15,MAX(0.1,Skills!D8-IF(TRUE=TRUE,Inputs!$B$32,0)))*(1-IF(AND(ArtifactsInput!$M$27,Inputs!$B$4="Chapter Hunt"),CHOOSE(ArtifactsInput!$N$27+1,20,24,28,32,36,40),0)/100))/B1079))))/Skills!H8+0.000000001),1)))/Inputs!$B$43),G1045*Q1045))*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Hunt"),CHOOSE(ArtifactsInput!$N$35+1,15,18,21,24,27,30)*(1-EXP(-(0.2*B1070)*5)),0)+IF(AND(ArtifactsInput!$M$22,Inputs!$B$4&lt;&gt;"Chapter Hunt"),CHOOSE(ArtifactsInput!$N$22+1,10,12,14,16,18,20)*((0*(((0.15*B1070*5))^0/1)+1*(((0.15*B1070*5))^1/1)+2*(((0.15*B1070*5))^2/2)+3*(((0.15*B1070*5))^3/6)+4*(((0.15*B1070*5))^4/24)+5*(((0.15*B1070*5))^5/120))/((((0.15*B1070*5))^0/1)+(((0.15*B1070*5))^1/1)+(((0.15*B1070*5))^2/2)+(((0.15*B1070*5))^3/6)+(((0.15*B1070*5))^4/24)+(((0.15*B1070*5))^5/120))),0))+IF(Inputs!$B$3&gt;=54,9*(C1040=TRUE)*MIN(1,8*(1+Inputs!$B$34/100)*Q1040)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1045*(1-MIN(100,(Inputs!$B$9+((C1056=TRUE)*(F1056-Calc!F19))+B1068+(ArtifactsInput!$M$24-ArtifactsInput!$M$24)*CHOOSE(ArtifactsInput!$N$24+1,10,12,14,16,18,20)+(IF(AND(Inputs!$B$38&lt;&gt;"pvp",Inputs!$B$43=0),1,IF(IF(Inputs!$B$38="pvp",15,Inputs!$B$43)-(B1075)&lt;=0,1,MAX(0,IF(Inputs!$B$38="pvp",15,Inputs!$B$43)-MAX(5,B1075))/(IF(Inputs!$B$38="pvp",15,Inputs!$B$43)-(B1075))))*IF(AND(ArtifactsInput!$M$42,((Inputs!$B$9+((C1056=TRUE)*(F1056-Calc!F19))+B1068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1045*(MIN(100,(Inputs!$B$9+((C1056=TRUE)*(F1056-Calc!F19))+B1068+(ArtifactsInput!$M$24-ArtifactsInput!$M$24)*CHOOSE(ArtifactsInput!$N$24+1,10,12,14,16,18,20)+(IF(AND(Inputs!$B$38&lt;&gt;"pvp",Inputs!$B$43=0),1,IF(IF(Inputs!$B$38="pvp",15,Inputs!$B$43)-(B1075)&lt;=0,1,MAX(0,IF(Inputs!$B$38="pvp",15,Inputs!$B$43)-MAX(5,B1075))/(IF(Inputs!$B$38="pvp",15,Inputs!$B$43)-(B1075))))*IF(AND(ArtifactsInput!$M$42,((Inputs!$B$9+((C1056=TRUE)*(F1056-Calc!F19))+B1068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1045*(1-MIN(100,(Inputs!$B$9+((C1056=TRUE)*(F1056-Calc!F19))+B1068+(ArtifactsInput!$M$24-ArtifactsInput!$M$24)*CHOOSE(ArtifactsInput!$N$24+1,10,12,14,16,18,20)+(IF(AND(Inputs!$B$38&lt;&gt;"pvp",Inputs!$B$43=0),1,IF(IF(Inputs!$B$38="pvp",15,Inputs!$B$43)-(B1075)&lt;=0,1,MAX(0,IF(Inputs!$B$38="pvp",15,Inputs!$B$43)-MAX(5,B1075))/(IF(Inputs!$B$38="pvp",15,Inputs!$B$43)-(B1075))))*IF(AND(ArtifactsInput!$M$42,((Inputs!$B$9+((C1056=TRUE)*(F1056-Calc!F19))+B1068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1045*(MIN(100,(Inputs!$B$9+((C1056=TRUE)*(F1056-Calc!F19))+B1068+(ArtifactsInput!$M$24-ArtifactsInput!$M$24)*CHOOSE(ArtifactsInput!$N$24+1,10,12,14,16,18,20)+(IF(AND(Inputs!$B$38&lt;&gt;"pvp",Inputs!$B$43=0),1,IF(IF(Inputs!$B$38="pvp",15,Inputs!$B$43)-(B1075)&lt;=0,1,MAX(0,IF(Inputs!$B$38="pvp",15,Inputs!$B$43)-MAX(5,B1075))/(IF(Inputs!$B$38="pvp",15,Inputs!$B$43)-(B1075))))*IF(AND(ArtifactsInput!$M$42,((Inputs!$B$9+((C1056=TRUE)*(F1056-Calc!F19))+B1068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045">
        <f>IF(C1045,(H1045*N1045*IF(AND(Inputs!$B$38&lt;&gt;"pvp",Inputs!$B$43&gt;0),((Skills!G8*((R1045-1)*IF(Skills!H8&gt;0,INT(Skills!I8/Skills!H8+0.000000001),1)+IF(Skills!H8&gt;0,INT(MIN(Skills!I8,MAX(0,MAX(0,Inputs!$B$43-B1075)-((R1045-1)*((IF(Inputs!$B$38="pvp",15,MAX(0.1,Skills!D8-IF(TRUE=TRUE,Inputs!$B$32,0)))*(1-IF(AND(ArtifactsInput!$M$27,Inputs!$B$4="Chapter Hunt"),CHOOSE(ArtifactsInput!$N$27+1,20,24,28,32,36,40),0)/100))/B1079))))/Skills!H8+0.000000001),1)))/Inputs!$B$43),G1045*Q1045))*IF(Inputs!$B$38="pvp",1,(1+(Inputs!$B$21+Skills!Q8+(IF(ArtifactsInput!$M$33,CHOOSE(ArtifactsInput!$N$33+1,30,36,42,48,54,60),0))+(IF(AND(ArtifactsInput!$M$35,Inputs!$B$4&lt;&gt;"Chapter Hunt"),CHOOSE(ArtifactsInput!$N$35+1,15,18,21,24,27,30)*(1-EXP(-(0.2*B1070)*5)),0)+IF(AND(ArtifactsInput!$M$22,Inputs!$B$4&lt;&gt;"Chapter Hunt"),CHOOSE(ArtifactsInput!$N$22+1,10,12,14,16,18,20)*((0*(((0.15*B1070*5))^0/1)+1*(((0.15*B1070*5))^1/1)+2*(((0.15*B1070*5))^2/2)+3*(((0.15*B1070*5))^3/6)+4*(((0.15*B1070*5))^4/24)+5*(((0.15*B1070*5))^5/120))/((((0.15*B1070*5))^0/1)+(((0.15*B1070*5))^1/1)+(((0.15*B1070*5))^2/2)+(((0.15*B1070*5))^3/6)+(((0.15*B1070*5))^4/24)+(((0.15*B1070*5))^5/120))),0))+IF(Inputs!$B$3&gt;=54,9*(C1040=TRUE)*MIN(1,8*(1+Inputs!$B$34/100)*Q1040)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46">
      <c r="A1046">
        <f>Skills!A9</f>
        <v/>
      </c>
      <c r="B1046">
        <f>Skills!B9</f>
        <v/>
      </c>
      <c r="C1046">
        <f>Inputs!$B$3&gt;=105</f>
        <v/>
      </c>
      <c r="D1046">
        <f>IF(Skills!C9=1,60+Inputs!$B$25+Inputs!$B$29,IF(Skills!C9=2,90+Inputs!$B$26+Inputs!$B$29,IF(Skills!C9=3,120+Inputs!$B$27+Inputs!$B$29,MAX(0,(Inputs!$B$3-100)*3)+Inputs!$B$28+Inputs!$B$29)))</f>
        <v/>
      </c>
      <c r="E1046">
        <f>INDEX(FactorTable!$B$2:$Y$301, MATCH(ROUND(MIN(300,MAX(1,D1046)),0), FactorTable!$A$2:$A$301,0), Skills!M9+1)</f>
        <v/>
      </c>
      <c r="F1046">
        <f>IF(Skills!N9=TRUE,(Skills!L9/10)*(E1046/1000),Skills!L9/10)+Skills!O9</f>
        <v/>
      </c>
      <c r="G1046">
        <f>Skills!G9*IF(Skills!H9&gt;0,INT(IF(Inputs!$B$38="pvp",MIN(Skills!I9,15),Skills!I9)/Skills!H9+0.000000001),1)</f>
        <v/>
      </c>
      <c r="H1046">
        <f>1-(1-Skills!J9/100)^Skills!K9</f>
        <v/>
      </c>
      <c r="I1046" t="inlineStr">
        <is>
          <t>1</t>
        </is>
      </c>
      <c r="J1046">
        <f>(((Inputs!$B$6+1)*(1+Inputs!$B$7/100))+(((Inputs!$B$12*(1+Inputs!$B$13/100))-(Inputs!$B$12*(1+Inputs!$B$13/100)))+0.25*(Inputs!$B$14-Inputs!$B$14))*(1+Inputs!$B$7/100))*(F1046/100)</f>
        <v/>
      </c>
      <c r="K1046">
        <f>J1046*(1+((Inputs!$B$12*(1+Inputs!$B$13/100))*0.01+Inputs!$B$14*0.0025)/100)*(1+Inputs!$B$15/100)*(1+Inputs!$B$16/100)*(5000/(6000+Inputs!$B$42*(1-(100*(1-(1-(Inputs!$B$19+0)/100)*(1-CHOOSE(ArtifactsInput!$N$40+1,5,6,7,8,9,10)/100)^(ArtifactsInput!$M$40-ArtifactsInput!$M$40)))/100)))*(1+(Inputs!$B$24+((C1063=TRUE)*(F1063-Calc!F26))+B1074)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IGHT_LEGS_EASTON",Inputs!$B$17+((C1060=TRUE)*(F1060-Calc!F23))+((C1064=TRUE)*(F1064-Calc!F27))+((IF(AND(Inputs!$B$38&lt;&gt;"pvp",Inputs!$B$43=0),1,IF(IF(Inputs!$B$38="pvp",15,Inputs!$B$43)-(B1075)&lt;=0,1,MAX(0,IF(Inputs!$B$38="pvp",15,Inputs!$B$43)-MAX(5,B1075))/(IF(Inputs!$B$38="pvp",15,Inputs!$B$43)-(B1075))))*(IF(AND(ArtifactsInput!$M$42,((Inputs!$B$9+((C1056=TRUE)*(F1056-Calc!F19))+B1068+(ArtifactsInput!$M$24-ArtifactsInput!$M$24)*CHOOSE(ArtifactsInput!$N$24+1,10,12,14,16,18,20)+IF(ArtifactsInput!$M$10,CHOOSE(ArtifactsInput!$N$10+1,15,18,21,24,27,30)*(IF(Inputs!$B$38="pvp",MIN(15,15)/15,IF(AND(Inputs!$B$38&lt;&gt;"pvp",Inputs!$B$43&gt;0),MIN(15,Inputs!$B$43)/(Inputs!$B$43),0))),0)))&gt;=100),MIN(100,((Inputs!$B$9+((C1056=TRUE)*(F1056-Calc!F19))+B1068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1075)&lt;=0,1,MAX(0,IF(Inputs!$B$38="pvp",15,Inputs!$B$43)-MAX(5,B1075))/(IF(Inputs!$B$38="pvp",15,Inputs!$B$43)-(B1075))))*IF(AND(ArtifactsInput!$M$42,((Inputs!$B$9+((C1056=TRUE)*(F1056-Calc!F19))+B1068+(ArtifactsInput!$M$24-ArtifactsInput!$M$24)*CHOOSE(ArtifactsInput!$N$24+1,10,12,14,16,18,20)+IF(ArtifactsInput!$M$10,CHOOSE(ArtifactsInput!$N$10+1,15,18,21,24,27,30)*(IF(Inputs!$B$38="pvp",MIN(15,15)/15,IF(AND(Inputs!$B$38&lt;&gt;"pvp",Inputs!$B$43&gt;0),MIN(15,Inputs!$B$43)/(Inputs!$B$43),0))),0)))&gt;=100),CHOOSE(ArtifactsInput!$N$42+1,40,48,56,64,72,80),0))))/100)*((1+(((C1054=TRUE)*F1054*5/7)+((C1061=TRUE)*(F1061-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1046)</f>
        <v/>
      </c>
      <c r="L1046">
        <f>K1046*(MIN(Inputs!$B$22+((C1059=TRUE)*(F1059-Calc!F22)),(Inputs!$B$23+0+(IF(ArtifactsInput!$M$15,CHOOSE(ArtifactsInput!$N$15+1,25,30,35,40,45,50)/100*(Inputs!$B$11-Inputs!$B$11),0))))/100+(Inputs!$B$23+0+(IF(ArtifactsInput!$M$15,CHOOSE(ArtifactsInput!$N$15+1,25,30,35,40,45,50)/100*(Inputs!$B$11-Inputs!$B$11),0)))/100)/2</f>
        <v/>
      </c>
      <c r="M1046">
        <f>L1046*(1+(Inputs!$B$10+((C1062=TRUE)*(F1062-Calc!F25))+B1073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46">
        <f>L1046*(1-MIN((Inputs!$B$9+((C1056=TRUE)*(F1056-Calc!F19))+B1068+(ArtifactsInput!$M$24-ArtifactsInput!$M$24)*CHOOSE(ArtifactsInput!$N$24+1,10,12,14,16,18,20)+(IF(AND(Inputs!$B$38&lt;&gt;"pvp",Inputs!$B$43=0),1,IF(IF(Inputs!$B$38="pvp",15,Inputs!$B$43)-(B1075)&lt;=0,1,MAX(0,IF(Inputs!$B$38="pvp",15,Inputs!$B$43)-MAX(5,B1075))/(IF(Inputs!$B$38="pvp",15,Inputs!$B$43)-(B1075))))*IF(AND(ArtifactsInput!$M$42,((Inputs!$B$9+((C1056=TRUE)*(F1056-Calc!F19))+B1068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1046*(MIN((Inputs!$B$9+((C1056=TRUE)*(F1056-Calc!F19))+B1068+(ArtifactsInput!$M$24-ArtifactsInput!$M$24)*CHOOSE(ArtifactsInput!$N$24+1,10,12,14,16,18,20)+(IF(AND(Inputs!$B$38&lt;&gt;"pvp",Inputs!$B$43=0),1,IF(IF(Inputs!$B$38="pvp",15,Inputs!$B$43)-(B1075)&lt;=0,1,MAX(0,IF(Inputs!$B$38="pvp",15,Inputs!$B$43)-MAX(5,B1075))/(IF(Inputs!$B$38="pvp",15,Inputs!$B$43)-(B1075))))*IF(AND(ArtifactsInput!$M$42,((Inputs!$B$9+((C1056=TRUE)*(F1056-Calc!F19))+B1068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46">
        <f>(1-Summary!$B$11)*T1046+Summary!$B$11*V1046</f>
        <v/>
      </c>
      <c r="P1046">
        <f>IF(B1078=0,0,O1046/B1078)</f>
        <v/>
      </c>
      <c r="Q1046">
        <f>IFERROR(1/(IF(Inputs!$B$38="pvp",15,MAX(0.1,Skills!D9-IF(TRUE=TRUE,Inputs!$B$32,0)))*(1-IF(AND(ArtifactsInput!$M$27,Inputs!$B$4="Chapter Hunt"),CHOOSE(ArtifactsInput!$N$27+1,20,24,28,32,36,40),0)/100)),0)</f>
        <v/>
      </c>
      <c r="R1046">
        <f>IF(AND(Inputs!$B$38&lt;&gt;"pvp",Inputs!$B$43&gt;0),IF(MAX(0,Inputs!$B$43-B1075)&lt;=0,0,(INT(MAX(0,Inputs!$B$43-B1075)/(IF(Inputs!$B$38="pvp",15,MAX(0.1,Skills!D9-IF(TRUE=TRUE,Inputs!$B$32,0)))*(1-IF(AND(ArtifactsInput!$M$27,Inputs!$B$4="Chapter Hunt"),CHOOSE(ArtifactsInput!$N$27+1,20,24,28,32,36,40),0)/100)))+1)),0)</f>
        <v/>
      </c>
      <c r="S1046">
        <f>IFERROR(O1046/N1046,0)</f>
        <v/>
      </c>
      <c r="T1046">
        <f>IF(C1046,(H1046*N1046*IF(AND(Inputs!$B$38&lt;&gt;"pvp",Inputs!$B$43&gt;0),((Skills!G9*((R1046-1)*IF(Skills!H9&gt;0,INT(Skills!I9/Skills!H9+0.000000001),1)+IF(Skills!H9&gt;0,INT(MIN(Skills!I9,MAX(0,MAX(0,Inputs!$B$43-B1075)-((R1046-1)*(IF(Inputs!$B$38="pvp",15,MAX(0.1,Skills!D9-IF(TRUE=TRUE,Inputs!$B$32,0)))*(1-IF(AND(ArtifactsInput!$M$27,Inputs!$B$4="Chapter Hunt"),CHOOSE(ArtifactsInput!$N$27+1,20,24,28,32,36,40),0)/100)))))/Skills!H9+0.000000001),1)))/Inputs!$B$43),G1046*Q1046))*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Hunt"),CHOOSE(ArtifactsInput!$N$35+1,15,18,21,24,27,30)*(1-EXP(-(0.2*B1070)*5)),0)+IF(AND(ArtifactsInput!$M$22,Inputs!$B$4&lt;&gt;"Chapter Hunt"),CHOOSE(ArtifactsInput!$N$22+1,10,12,14,16,18,20)*((0*(((0.15*B1070*5))^0/1)+1*(((0.15*B1070*5))^1/1)+2*(((0.15*B1070*5))^2/2)+3*(((0.15*B1070*5))^3/6)+4*(((0.15*B1070*5))^4/24)+5*(((0.15*B1070*5))^5/120))/((((0.15*B1070*5))^0/1)+(((0.15*B1070*5))^1/1)+(((0.15*B1070*5))^2/2)+(((0.15*B1070*5))^3/6)+(((0.15*B1070*5))^4/24)+(((0.15*B1070*5))^5/120))),0))+IF(Inputs!$B$3&gt;=54,9*(C1040=TRUE)*MIN(1,8*(1+Inputs!$B$34/100)*Q1040)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1046*(1-MIN(100,(Inputs!$B$9+((C1056=TRUE)*(F1056-Calc!F19))+B1068+(ArtifactsInput!$M$24-ArtifactsInput!$M$24)*CHOOSE(ArtifactsInput!$N$24+1,10,12,14,16,18,20)+(IF(AND(Inputs!$B$38&lt;&gt;"pvp",Inputs!$B$43=0),1,IF(IF(Inputs!$B$38="pvp",15,Inputs!$B$43)-(B1075)&lt;=0,1,MAX(0,IF(Inputs!$B$38="pvp",15,Inputs!$B$43)-MAX(5,B1075))/(IF(Inputs!$B$38="pvp",15,Inputs!$B$43)-(B1075))))*IF(AND(ArtifactsInput!$M$42,((Inputs!$B$9+((C1056=TRUE)*(F1056-Calc!F19))+B1068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1046*(MIN(100,(Inputs!$B$9+((C1056=TRUE)*(F1056-Calc!F19))+B1068+(ArtifactsInput!$M$24-ArtifactsInput!$M$24)*CHOOSE(ArtifactsInput!$N$24+1,10,12,14,16,18,20)+(IF(AND(Inputs!$B$38&lt;&gt;"pvp",Inputs!$B$43=0),1,IF(IF(Inputs!$B$38="pvp",15,Inputs!$B$43)-(B1075)&lt;=0,1,MAX(0,IF(Inputs!$B$38="pvp",15,Inputs!$B$43)-MAX(5,B1075))/(IF(Inputs!$B$38="pvp",15,Inputs!$B$43)-(B1075))))*IF(AND(ArtifactsInput!$M$42,((Inputs!$B$9+((C1056=TRUE)*(F1056-Calc!F19))+B1068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1046*(1-MIN(100,(Inputs!$B$9+((C1056=TRUE)*(F1056-Calc!F19))+B1068+(ArtifactsInput!$M$24-ArtifactsInput!$M$24)*CHOOSE(ArtifactsInput!$N$24+1,10,12,14,16,18,20)+(IF(AND(Inputs!$B$38&lt;&gt;"pvp",Inputs!$B$43=0),1,IF(IF(Inputs!$B$38="pvp",15,Inputs!$B$43)-(B1075)&lt;=0,1,MAX(0,IF(Inputs!$B$38="pvp",15,Inputs!$B$43)-MAX(5,B1075))/(IF(Inputs!$B$38="pvp",15,Inputs!$B$43)-(B1075))))*IF(AND(ArtifactsInput!$M$42,((Inputs!$B$9+((C1056=TRUE)*(F1056-Calc!F19))+B1068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1046*(MIN(100,(Inputs!$B$9+((C1056=TRUE)*(F1056-Calc!F19))+B1068+(ArtifactsInput!$M$24-ArtifactsInput!$M$24)*CHOOSE(ArtifactsInput!$N$24+1,10,12,14,16,18,20)+(IF(AND(Inputs!$B$38&lt;&gt;"pvp",Inputs!$B$43=0),1,IF(IF(Inputs!$B$38="pvp",15,Inputs!$B$43)-(B1075)&lt;=0,1,MAX(0,IF(Inputs!$B$38="pvp",15,Inputs!$B$43)-MAX(5,B1075))/(IF(Inputs!$B$38="pvp",15,Inputs!$B$43)-(B1075))))*IF(AND(ArtifactsInput!$M$42,((Inputs!$B$9+((C1056=TRUE)*(F1056-Calc!F19))+B1068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046">
        <f>IF(C1046,(H1046*N1046*IF(AND(Inputs!$B$38&lt;&gt;"pvp",Inputs!$B$43&gt;0),((Skills!G9*((R1046-1)*IF(Skills!H9&gt;0,INT(Skills!I9/Skills!H9+0.000000001),1)+IF(Skills!H9&gt;0,INT(MIN(Skills!I9,MAX(0,MAX(0,Inputs!$B$43-B1075)-((R1046-1)*(IF(Inputs!$B$38="pvp",15,MAX(0.1,Skills!D9-IF(TRUE=TRUE,Inputs!$B$32,0)))*(1-IF(AND(ArtifactsInput!$M$27,Inputs!$B$4="Chapter Hunt"),CHOOSE(ArtifactsInput!$N$27+1,20,24,28,32,36,40),0)/100)))))/Skills!H9+0.000000001),1)))/Inputs!$B$43),G1046*Q1046))*IF(Inputs!$B$38="pvp",1,(1+(Inputs!$B$21+Skills!Q9+(IF(ArtifactsInput!$M$33,CHOOSE(ArtifactsInput!$N$33+1,30,36,42,48,54,60),0))+(IF(AND(ArtifactsInput!$M$35,Inputs!$B$4&lt;&gt;"Chapter Hunt"),CHOOSE(ArtifactsInput!$N$35+1,15,18,21,24,27,30)*(1-EXP(-(0.2*B1070)*5)),0)+IF(AND(ArtifactsInput!$M$22,Inputs!$B$4&lt;&gt;"Chapter Hunt"),CHOOSE(ArtifactsInput!$N$22+1,10,12,14,16,18,20)*((0*(((0.15*B1070*5))^0/1)+1*(((0.15*B1070*5))^1/1)+2*(((0.15*B1070*5))^2/2)+3*(((0.15*B1070*5))^3/6)+4*(((0.15*B1070*5))^4/24)+5*(((0.15*B1070*5))^5/120))/((((0.15*B1070*5))^0/1)+(((0.15*B1070*5))^1/1)+(((0.15*B1070*5))^2/2)+(((0.15*B1070*5))^3/6)+(((0.15*B1070*5))^4/24)+(((0.15*B1070*5))^5/120))),0))+IF(Inputs!$B$3&gt;=54,9*(C1040=TRUE)*MIN(1,8*(1+Inputs!$B$34/100)*Q1040)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47">
      <c r="A1047">
        <f>Skills!A10</f>
        <v/>
      </c>
      <c r="B1047">
        <f>Skills!B10</f>
        <v/>
      </c>
      <c r="C1047">
        <f>Inputs!$B$3&gt;=113</f>
        <v/>
      </c>
      <c r="D1047">
        <f>IF(Skills!C10=1,60+Inputs!$B$25+Inputs!$B$29,IF(Skills!C10=2,90+Inputs!$B$26+Inputs!$B$29,IF(Skills!C10=3,120+Inputs!$B$27+Inputs!$B$29,MAX(0,(Inputs!$B$3-100)*3)+Inputs!$B$28+Inputs!$B$29)))</f>
        <v/>
      </c>
      <c r="E1047">
        <f>INDEX(FactorTable!$B$2:$Y$301, MATCH(ROUND(MIN(300,MAX(1,D1047)),0), FactorTable!$A$2:$A$301,0), Skills!M10+1)</f>
        <v/>
      </c>
      <c r="F1047">
        <f>IF(Skills!N10=TRUE,(Skills!L10/10)*(E1047/1000),Skills!L10/10)+Skills!O10</f>
        <v/>
      </c>
      <c r="G1047">
        <f>Skills!G10*IF(Skills!H10&gt;0,INT(IF(Inputs!$B$38="pvp",MIN(Skills!I10,15),Skills!I10)/Skills!H10+0.000000001),1)</f>
        <v/>
      </c>
      <c r="H1047">
        <f>1-(1-Skills!J10/100)^Skills!K10</f>
        <v/>
      </c>
      <c r="I1047" t="inlineStr">
        <is>
          <t>1</t>
        </is>
      </c>
      <c r="J1047">
        <f>(((Inputs!$B$6+1)*(1+Inputs!$B$7/100))+(((Inputs!$B$12*(1+Inputs!$B$13/100))-(Inputs!$B$12*(1+Inputs!$B$13/100)))+0.25*(Inputs!$B$14-Inputs!$B$14))*(1+Inputs!$B$7/100))*(F1047/100)</f>
        <v/>
      </c>
      <c r="K1047">
        <f>J1047*(1+((Inputs!$B$12*(1+Inputs!$B$13/100))*0.01+Inputs!$B$14*0.0025)/100)*(1+Inputs!$B$15/100)*(1+Inputs!$B$16/100)*(5000/(6000+Inputs!$B$42*(1-(100*(1-(1-(Inputs!$B$19+0)/100)*(1-CHOOSE(ArtifactsInput!$N$40+1,5,6,7,8,9,10)/100)^(ArtifactsInput!$M$40-ArtifactsInput!$M$40)))/100)))*(1+(Inputs!$B$24+((C1063=TRUE)*(F1063-Calc!F26))+B1074)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IGHT_LEGS_EASTON",Inputs!$B$17+((C1060=TRUE)*(F1060-Calc!F23))+((C1064=TRUE)*(F1064-Calc!F27))+((IF(AND(Inputs!$B$38&lt;&gt;"pvp",Inputs!$B$43=0),1,IF(IF(Inputs!$B$38="pvp",15,Inputs!$B$43)-(B1075)&lt;=0,1,MAX(0,IF(Inputs!$B$38="pvp",15,Inputs!$B$43)-MAX(5,B1075))/(IF(Inputs!$B$38="pvp",15,Inputs!$B$43)-(B1075))))*(IF(AND(ArtifactsInput!$M$42,((Inputs!$B$9+((C1056=TRUE)*(F1056-Calc!F19))+B1068+(ArtifactsInput!$M$24-ArtifactsInput!$M$24)*CHOOSE(ArtifactsInput!$N$24+1,10,12,14,16,18,20)+IF(ArtifactsInput!$M$10,CHOOSE(ArtifactsInput!$N$10+1,15,18,21,24,27,30)*(IF(Inputs!$B$38="pvp",MIN(15,15)/15,IF(AND(Inputs!$B$38&lt;&gt;"pvp",Inputs!$B$43&gt;0),MIN(15,Inputs!$B$43)/(Inputs!$B$43),0))),0)))&gt;=100),MIN(100,((Inputs!$B$9+((C1056=TRUE)*(F1056-Calc!F19))+B1068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1075)&lt;=0,1,MAX(0,IF(Inputs!$B$38="pvp",15,Inputs!$B$43)-MAX(5,B1075))/(IF(Inputs!$B$38="pvp",15,Inputs!$B$43)-(B1075))))*IF(AND(ArtifactsInput!$M$42,((Inputs!$B$9+((C1056=TRUE)*(F1056-Calc!F19))+B1068+(ArtifactsInput!$M$24-ArtifactsInput!$M$24)*CHOOSE(ArtifactsInput!$N$24+1,10,12,14,16,18,20)+IF(ArtifactsInput!$M$10,CHOOSE(ArtifactsInput!$N$10+1,15,18,21,24,27,30)*(IF(Inputs!$B$38="pvp",MIN(15,15)/15,IF(AND(Inputs!$B$38&lt;&gt;"pvp",Inputs!$B$43&gt;0),MIN(15,Inputs!$B$43)/(Inputs!$B$43),0))),0)))&gt;=100),CHOOSE(ArtifactsInput!$N$42+1,40,48,56,64,72,80),0))))/100)*((1+(((C1054=TRUE)*F1054*5/7)+((C1061=TRUE)*(F1061-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1047)</f>
        <v/>
      </c>
      <c r="L1047">
        <f>K1047*(MIN(Inputs!$B$22+((C1059=TRUE)*(F1059-Calc!F22)),(Inputs!$B$23+0+(IF(ArtifactsInput!$M$15,CHOOSE(ArtifactsInput!$N$15+1,25,30,35,40,45,50)/100*(Inputs!$B$11-Inputs!$B$11),0))))/100+(Inputs!$B$23+0+(IF(ArtifactsInput!$M$15,CHOOSE(ArtifactsInput!$N$15+1,25,30,35,40,45,50)/100*(Inputs!$B$11-Inputs!$B$11),0)))/100)/2</f>
        <v/>
      </c>
      <c r="M1047">
        <f>L1047*(1+(Inputs!$B$10+((C1062=TRUE)*(F1062-Calc!F25))+B1073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47">
        <f>L1047*(1-MIN((Inputs!$B$9+((C1056=TRUE)*(F1056-Calc!F19))+B1068+(ArtifactsInput!$M$24-ArtifactsInput!$M$24)*CHOOSE(ArtifactsInput!$N$24+1,10,12,14,16,18,20)+(IF(AND(Inputs!$B$38&lt;&gt;"pvp",Inputs!$B$43=0),1,IF(IF(Inputs!$B$38="pvp",15,Inputs!$B$43)-(B1075)&lt;=0,1,MAX(0,IF(Inputs!$B$38="pvp",15,Inputs!$B$43)-MAX(5,B1075))/(IF(Inputs!$B$38="pvp",15,Inputs!$B$43)-(B1075))))*IF(AND(ArtifactsInput!$M$42,((Inputs!$B$9+((C1056=TRUE)*(F1056-Calc!F19))+B1068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1047*(MIN((Inputs!$B$9+((C1056=TRUE)*(F1056-Calc!F19))+B1068+(ArtifactsInput!$M$24-ArtifactsInput!$M$24)*CHOOSE(ArtifactsInput!$N$24+1,10,12,14,16,18,20)+(IF(AND(Inputs!$B$38&lt;&gt;"pvp",Inputs!$B$43=0),1,IF(IF(Inputs!$B$38="pvp",15,Inputs!$B$43)-(B1075)&lt;=0,1,MAX(0,IF(Inputs!$B$38="pvp",15,Inputs!$B$43)-MAX(5,B1075))/(IF(Inputs!$B$38="pvp",15,Inputs!$B$43)-(B1075))))*IF(AND(ArtifactsInput!$M$42,((Inputs!$B$9+((C1056=TRUE)*(F1056-Calc!F19))+B1068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47">
        <f>(1-Summary!$B$11)*T1047+Summary!$B$11*V1047</f>
        <v/>
      </c>
      <c r="P1047">
        <f>IF(B1078=0,0,O1047/B1078)</f>
        <v/>
      </c>
      <c r="Q1047" t="n">
        <v>0</v>
      </c>
      <c r="R1047" t="n">
        <v>0</v>
      </c>
      <c r="S1047">
        <f>IFERROR(O1047/N1047,0)</f>
        <v/>
      </c>
      <c r="T1047">
        <f>IF(C1047,((H1047*B1080)/(1+Skills!H10*H1047*B1080)*N1047)*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Hunt"),CHOOSE(ArtifactsInput!$N$35+1,15,18,21,24,27,30)*(1-EXP(-(0.2*B1070)*5)),0)+IF(AND(ArtifactsInput!$M$22,Inputs!$B$4&lt;&gt;"Chapter Hunt"),CHOOSE(ArtifactsInput!$N$22+1,10,12,14,16,18,20)*((0*(((0.15*B1070*5))^0/1)+1*(((0.15*B1070*5))^1/1)+2*(((0.15*B1070*5))^2/2)+3*(((0.15*B1070*5))^3/6)+4*(((0.15*B1070*5))^4/24)+5*(((0.15*B1070*5))^5/120))/((((0.15*B1070*5))^0/1)+(((0.15*B1070*5))^1/1)+(((0.15*B1070*5))^2/2)+(((0.15*B1070*5))^3/6)+(((0.15*B1070*5))^4/24)+(((0.15*B1070*5))^5/120))),0))+IF(Inputs!$B$3&gt;=54,9*(C1040=TRUE)*MIN(1,8*(1+Inputs!$B$34/100)*Q1040)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1047*(1-MIN(100,(Inputs!$B$9+((C1056=TRUE)*(F1056-Calc!F19))+B1068+(ArtifactsInput!$M$24-ArtifactsInput!$M$24)*CHOOSE(ArtifactsInput!$N$24+1,10,12,14,16,18,20)+(IF(AND(Inputs!$B$38&lt;&gt;"pvp",Inputs!$B$43=0),1,IF(IF(Inputs!$B$38="pvp",15,Inputs!$B$43)-(B1075)&lt;=0,1,MAX(0,IF(Inputs!$B$38="pvp",15,Inputs!$B$43)-MAX(5,B1075))/(IF(Inputs!$B$38="pvp",15,Inputs!$B$43)-(B1075))))*IF(AND(ArtifactsInput!$M$42,((Inputs!$B$9+((C1056=TRUE)*(F1056-Calc!F19))+B1068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1047*(MIN(100,(Inputs!$B$9+((C1056=TRUE)*(F1056-Calc!F19))+B1068+(ArtifactsInput!$M$24-ArtifactsInput!$M$24)*CHOOSE(ArtifactsInput!$N$24+1,10,12,14,16,18,20)+(IF(AND(Inputs!$B$38&lt;&gt;"pvp",Inputs!$B$43=0),1,IF(IF(Inputs!$B$38="pvp",15,Inputs!$B$43)-(B1075)&lt;=0,1,MAX(0,IF(Inputs!$B$38="pvp",15,Inputs!$B$43)-MAX(5,B1075))/(IF(Inputs!$B$38="pvp",15,Inputs!$B$43)-(B1075))))*IF(AND(ArtifactsInput!$M$42,((Inputs!$B$9+((C1056=TRUE)*(F1056-Calc!F19))+B1068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1047*(1-MIN(100,(Inputs!$B$9+((C1056=TRUE)*(F1056-Calc!F19))+B1068+(ArtifactsInput!$M$24-ArtifactsInput!$M$24)*CHOOSE(ArtifactsInput!$N$24+1,10,12,14,16,18,20)+(IF(AND(Inputs!$B$38&lt;&gt;"pvp",Inputs!$B$43=0),1,IF(IF(Inputs!$B$38="pvp",15,Inputs!$B$43)-(B1075)&lt;=0,1,MAX(0,IF(Inputs!$B$38="pvp",15,Inputs!$B$43)-MAX(5,B1075))/(IF(Inputs!$B$38="pvp",15,Inputs!$B$43)-(B1075))))*IF(AND(ArtifactsInput!$M$42,((Inputs!$B$9+((C1056=TRUE)*(F1056-Calc!F19))+B1068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1047*(MIN(100,(Inputs!$B$9+((C1056=TRUE)*(F1056-Calc!F19))+B1068+(ArtifactsInput!$M$24-ArtifactsInput!$M$24)*CHOOSE(ArtifactsInput!$N$24+1,10,12,14,16,18,20)+(IF(AND(Inputs!$B$38&lt;&gt;"pvp",Inputs!$B$43=0),1,IF(IF(Inputs!$B$38="pvp",15,Inputs!$B$43)-(B1075)&lt;=0,1,MAX(0,IF(Inputs!$B$38="pvp",15,Inputs!$B$43)-MAX(5,B1075))/(IF(Inputs!$B$38="pvp",15,Inputs!$B$43)-(B1075))))*IF(AND(ArtifactsInput!$M$42,((Inputs!$B$9+((C1056=TRUE)*(F1056-Calc!F19))+B1068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047">
        <f>IF(C1047,((H1047*B1080)/(1+Skills!H10*H1047*B1080)*N1047)*IF(Inputs!$B$38="pvp",1,(1+(Inputs!$B$21+Skills!Q10+(IF(ArtifactsInput!$M$33,CHOOSE(ArtifactsInput!$N$33+1,30,36,42,48,54,60),0))+(IF(AND(ArtifactsInput!$M$35,Inputs!$B$4&lt;&gt;"Chapter Hunt"),CHOOSE(ArtifactsInput!$N$35+1,15,18,21,24,27,30)*(1-EXP(-(0.2*B1070)*5)),0)+IF(AND(ArtifactsInput!$M$22,Inputs!$B$4&lt;&gt;"Chapter Hunt"),CHOOSE(ArtifactsInput!$N$22+1,10,12,14,16,18,20)*((0*(((0.15*B1070*5))^0/1)+1*(((0.15*B1070*5))^1/1)+2*(((0.15*B1070*5))^2/2)+3*(((0.15*B1070*5))^3/6)+4*(((0.15*B1070*5))^4/24)+5*(((0.15*B1070*5))^5/120))/((((0.15*B1070*5))^0/1)+(((0.15*B1070*5))^1/1)+(((0.15*B1070*5))^2/2)+(((0.15*B1070*5))^3/6)+(((0.15*B1070*5))^4/24)+(((0.15*B1070*5))^5/120))),0))+IF(Inputs!$B$3&gt;=54,9*(C1040=TRUE)*MIN(1,8*(1+Inputs!$B$34/100)*Q1040)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48">
      <c r="A1048">
        <f>Skills!A11</f>
        <v/>
      </c>
      <c r="B1048">
        <f>Skills!B11</f>
        <v/>
      </c>
      <c r="C1048">
        <f>Inputs!$B$3&gt;=117</f>
        <v/>
      </c>
      <c r="D1048">
        <f>IF(Skills!C11=1,60+Inputs!$B$25+Inputs!$B$29,IF(Skills!C11=2,90+Inputs!$B$26+Inputs!$B$29,IF(Skills!C11=3,120+Inputs!$B$27+Inputs!$B$29,MAX(0,(Inputs!$B$3-100)*3)+Inputs!$B$28+Inputs!$B$29)))</f>
        <v/>
      </c>
      <c r="E1048">
        <f>INDEX(FactorTable!$B$2:$Y$301, MATCH(ROUND(MIN(300,MAX(1,D1048)),0), FactorTable!$A$2:$A$301,0), Skills!M11+1)</f>
        <v/>
      </c>
      <c r="F1048">
        <f>IF(Skills!N11=TRUE,(Skills!L11/10)*(E1048/1000),Skills!L11/10)+Skills!O11</f>
        <v/>
      </c>
      <c r="G1048">
        <f>Skills!G11*IF(Skills!H11&gt;0,INT(IF(Inputs!$B$38="pvp",MIN(Skills!I11,15),Skills!I11)/Skills!H11+0.000000001),1)</f>
        <v/>
      </c>
      <c r="H1048">
        <f>1-(1-Skills!J11/100)^Skills!K11</f>
        <v/>
      </c>
      <c r="I1048" t="inlineStr">
        <is>
          <t>1</t>
        </is>
      </c>
      <c r="J1048">
        <f>(((Inputs!$B$6+1)*(1+Inputs!$B$7/100))+(((Inputs!$B$12*(1+Inputs!$B$13/100))-(Inputs!$B$12*(1+Inputs!$B$13/100)))+0.25*(Inputs!$B$14-Inputs!$B$14))*(1+Inputs!$B$7/100))*(F1048/100)</f>
        <v/>
      </c>
      <c r="K1048">
        <f>J1048*(1+((Inputs!$B$12*(1+Inputs!$B$13/100))*0.01+Inputs!$B$14*0.0025)/100)*(1+Inputs!$B$15/100)*(1+Inputs!$B$16/100)*(5000/(6000+Inputs!$B$42*(1-(100*(1-(1-(Inputs!$B$19+0)/100)*(1-CHOOSE(ArtifactsInput!$N$40+1,5,6,7,8,9,10)/100)^(ArtifactsInput!$M$40-ArtifactsInput!$M$40)))/100)))*(1+(Inputs!$B$24+((C1063=TRUE)*(F1063-Calc!F26))+B1074)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IGHT_LEGS_EASTON",Inputs!$B$17+((C1060=TRUE)*(F1060-Calc!F23))+((C1064=TRUE)*(F1064-Calc!F27))+((IF(AND(Inputs!$B$38&lt;&gt;"pvp",Inputs!$B$43=0),1,IF(IF(Inputs!$B$38="pvp",15,Inputs!$B$43)-(B1075)&lt;=0,1,MAX(0,IF(Inputs!$B$38="pvp",15,Inputs!$B$43)-MAX(5,B1075))/(IF(Inputs!$B$38="pvp",15,Inputs!$B$43)-(B1075))))*(IF(AND(ArtifactsInput!$M$42,((Inputs!$B$9+((C1056=TRUE)*(F1056-Calc!F19))+B1068+(ArtifactsInput!$M$24-ArtifactsInput!$M$24)*CHOOSE(ArtifactsInput!$N$24+1,10,12,14,16,18,20)+IF(ArtifactsInput!$M$10,CHOOSE(ArtifactsInput!$N$10+1,15,18,21,24,27,30)*(IF(Inputs!$B$38="pvp",MIN(15,15)/15,IF(AND(Inputs!$B$38&lt;&gt;"pvp",Inputs!$B$43&gt;0),MIN(15,Inputs!$B$43)/(Inputs!$B$43),0))),0)))&gt;=100),MIN(100,((Inputs!$B$9+((C1056=TRUE)*(F1056-Calc!F19))+B1068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1075)&lt;=0,1,MAX(0,IF(Inputs!$B$38="pvp",15,Inputs!$B$43)-MAX(5,B1075))/(IF(Inputs!$B$38="pvp",15,Inputs!$B$43)-(B1075))))*IF(AND(ArtifactsInput!$M$42,((Inputs!$B$9+((C1056=TRUE)*(F1056-Calc!F19))+B1068+(ArtifactsInput!$M$24-ArtifactsInput!$M$24)*CHOOSE(ArtifactsInput!$N$24+1,10,12,14,16,18,20)+IF(ArtifactsInput!$M$10,CHOOSE(ArtifactsInput!$N$10+1,15,18,21,24,27,30)*(IF(Inputs!$B$38="pvp",MIN(15,15)/15,IF(AND(Inputs!$B$38&lt;&gt;"pvp",Inputs!$B$43&gt;0),MIN(15,Inputs!$B$43)/(Inputs!$B$43),0))),0)))&gt;=100),CHOOSE(ArtifactsInput!$N$42+1,40,48,56,64,72,80),0))))/100)*((1+(((C1054=TRUE)*F1054*5/7)+((C1061=TRUE)*(F1061-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1048)</f>
        <v/>
      </c>
      <c r="L1048">
        <f>K1048*(MIN(Inputs!$B$22+((C1059=TRUE)*(F1059-Calc!F22)),(Inputs!$B$23+0+(IF(ArtifactsInput!$M$15,CHOOSE(ArtifactsInput!$N$15+1,25,30,35,40,45,50)/100*(Inputs!$B$11-Inputs!$B$11),0))))/100+(Inputs!$B$23+0+(IF(ArtifactsInput!$M$15,CHOOSE(ArtifactsInput!$N$15+1,25,30,35,40,45,50)/100*(Inputs!$B$11-Inputs!$B$11),0)))/100)/2</f>
        <v/>
      </c>
      <c r="M1048">
        <f>L1048*(1+(Inputs!$B$10+((C1062=TRUE)*(F1062-Calc!F25))+B1073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48">
        <f>L1048*(1-MIN((Inputs!$B$9+((C1056=TRUE)*(F1056-Calc!F19))+B1068+(ArtifactsInput!$M$24-ArtifactsInput!$M$24)*CHOOSE(ArtifactsInput!$N$24+1,10,12,14,16,18,20)+(IF(AND(Inputs!$B$38&lt;&gt;"pvp",Inputs!$B$43=0),1,IF(IF(Inputs!$B$38="pvp",15,Inputs!$B$43)-(B1075)&lt;=0,1,MAX(0,IF(Inputs!$B$38="pvp",15,Inputs!$B$43)-MAX(5,B1075))/(IF(Inputs!$B$38="pvp",15,Inputs!$B$43)-(B1075))))*IF(AND(ArtifactsInput!$M$42,((Inputs!$B$9+((C1056=TRUE)*(F1056-Calc!F19))+B1068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1048*(MIN((Inputs!$B$9+((C1056=TRUE)*(F1056-Calc!F19))+B1068+(ArtifactsInput!$M$24-ArtifactsInput!$M$24)*CHOOSE(ArtifactsInput!$N$24+1,10,12,14,16,18,20)+(IF(AND(Inputs!$B$38&lt;&gt;"pvp",Inputs!$B$43=0),1,IF(IF(Inputs!$B$38="pvp",15,Inputs!$B$43)-(B1075)&lt;=0,1,MAX(0,IF(Inputs!$B$38="pvp",15,Inputs!$B$43)-MAX(5,B1075))/(IF(Inputs!$B$38="pvp",15,Inputs!$B$43)-(B1075))))*IF(AND(ArtifactsInput!$M$42,((Inputs!$B$9+((C1056=TRUE)*(F1056-Calc!F19))+B1068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48">
        <f>(1-Summary!$B$11)*T1048+Summary!$B$11*V1048</f>
        <v/>
      </c>
      <c r="P1048">
        <f>IF(B1078=0,0,O1048/B1078)</f>
        <v/>
      </c>
      <c r="Q1048">
        <f>IFERROR(1/((IF(Inputs!$B$38="pvp",15,MAX(0.1,Skills!D11-IF(TRUE=TRUE,Inputs!$B$32,0)))*(1-IF(AND(ArtifactsInput!$M$27,Inputs!$B$4="Chapter Hunt"),CHOOSE(ArtifactsInput!$N$27+1,20,24,28,32,36,40),0)/100))/B1079),0)</f>
        <v/>
      </c>
      <c r="R1048">
        <f>IF(AND(Inputs!$B$38&lt;&gt;"pvp",Inputs!$B$43&gt;0),IF(MAX(0,Inputs!$B$43-B1075)&lt;=0,0,(INT(MAX(0,Inputs!$B$43-B1075)/((IF(Inputs!$B$38="pvp",15,MAX(0.1,Skills!D11-IF(TRUE=TRUE,Inputs!$B$32,0)))*(1-IF(AND(ArtifactsInput!$M$27,Inputs!$B$4="Chapter Hunt"),CHOOSE(ArtifactsInput!$N$27+1,20,24,28,32,36,40),0)/100))/B1079))+1)),0)</f>
        <v/>
      </c>
      <c r="S1048">
        <f>IFERROR(O1048/N1048,0)</f>
        <v/>
      </c>
      <c r="T1048">
        <f>IF(C1048,(H1048*N1048*IF(AND(Inputs!$B$38&lt;&gt;"pvp",Inputs!$B$43&gt;0),((Skills!G11*((R1048-1)*IF(Skills!H11&gt;0,INT(Skills!I11/Skills!H11+0.000000001),1)+IF(Skills!H11&gt;0,INT(MIN(Skills!I11,MAX(0,MAX(0,Inputs!$B$43-B1075)-((R1048-1)*((IF(Inputs!$B$38="pvp",15,MAX(0.1,Skills!D11-IF(TRUE=TRUE,Inputs!$B$32,0)))*(1-IF(AND(ArtifactsInput!$M$27,Inputs!$B$4="Chapter Hunt"),CHOOSE(ArtifactsInput!$N$27+1,20,24,28,32,36,40),0)/100))/B1079))))/Skills!H11+0.000000001),1)))/Inputs!$B$43),G1048*Q1048))*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Hunt"),CHOOSE(ArtifactsInput!$N$35+1,15,18,21,24,27,30)*(1-EXP(-(0.2*B1070)*5)),0)+IF(AND(ArtifactsInput!$M$22,Inputs!$B$4&lt;&gt;"Chapter Hunt"),CHOOSE(ArtifactsInput!$N$22+1,10,12,14,16,18,20)*((0*(((0.15*B1070*5))^0/1)+1*(((0.15*B1070*5))^1/1)+2*(((0.15*B1070*5))^2/2)+3*(((0.15*B1070*5))^3/6)+4*(((0.15*B1070*5))^4/24)+5*(((0.15*B1070*5))^5/120))/((((0.15*B1070*5))^0/1)+(((0.15*B1070*5))^1/1)+(((0.15*B1070*5))^2/2)+(((0.15*B1070*5))^3/6)+(((0.15*B1070*5))^4/24)+(((0.15*B1070*5))^5/120))),0))+IF(Inputs!$B$3&gt;=54,9*(C1040=TRUE)*MIN(1,8*(1+Inputs!$B$34/100)*Q1040)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1048*(1-MIN(100,(Inputs!$B$9+((C1056=TRUE)*(F1056-Calc!F19))+B1068+(ArtifactsInput!$M$24-ArtifactsInput!$M$24)*CHOOSE(ArtifactsInput!$N$24+1,10,12,14,16,18,20)+(IF(AND(Inputs!$B$38&lt;&gt;"pvp",Inputs!$B$43=0),1,IF(IF(Inputs!$B$38="pvp",15,Inputs!$B$43)-(B1075)&lt;=0,1,MAX(0,IF(Inputs!$B$38="pvp",15,Inputs!$B$43)-MAX(5,B1075))/(IF(Inputs!$B$38="pvp",15,Inputs!$B$43)-(B1075))))*IF(AND(ArtifactsInput!$M$42,((Inputs!$B$9+((C1056=TRUE)*(F1056-Calc!F19))+B1068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1048*(MIN(100,(Inputs!$B$9+((C1056=TRUE)*(F1056-Calc!F19))+B1068+(ArtifactsInput!$M$24-ArtifactsInput!$M$24)*CHOOSE(ArtifactsInput!$N$24+1,10,12,14,16,18,20)+(IF(AND(Inputs!$B$38&lt;&gt;"pvp",Inputs!$B$43=0),1,IF(IF(Inputs!$B$38="pvp",15,Inputs!$B$43)-(B1075)&lt;=0,1,MAX(0,IF(Inputs!$B$38="pvp",15,Inputs!$B$43)-MAX(5,B1075))/(IF(Inputs!$B$38="pvp",15,Inputs!$B$43)-(B1075))))*IF(AND(ArtifactsInput!$M$42,((Inputs!$B$9+((C1056=TRUE)*(F1056-Calc!F19))+B1068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1048*(1-MIN(100,(Inputs!$B$9+((C1056=TRUE)*(F1056-Calc!F19))+B1068+(ArtifactsInput!$M$24-ArtifactsInput!$M$24)*CHOOSE(ArtifactsInput!$N$24+1,10,12,14,16,18,20)+(IF(AND(Inputs!$B$38&lt;&gt;"pvp",Inputs!$B$43=0),1,IF(IF(Inputs!$B$38="pvp",15,Inputs!$B$43)-(B1075)&lt;=0,1,MAX(0,IF(Inputs!$B$38="pvp",15,Inputs!$B$43)-MAX(5,B1075))/(IF(Inputs!$B$38="pvp",15,Inputs!$B$43)-(B1075))))*IF(AND(ArtifactsInput!$M$42,((Inputs!$B$9+((C1056=TRUE)*(F1056-Calc!F19))+B1068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1048*(MIN(100,(Inputs!$B$9+((C1056=TRUE)*(F1056-Calc!F19))+B1068+(ArtifactsInput!$M$24-ArtifactsInput!$M$24)*CHOOSE(ArtifactsInput!$N$24+1,10,12,14,16,18,20)+(IF(AND(Inputs!$B$38&lt;&gt;"pvp",Inputs!$B$43=0),1,IF(IF(Inputs!$B$38="pvp",15,Inputs!$B$43)-(B1075)&lt;=0,1,MAX(0,IF(Inputs!$B$38="pvp",15,Inputs!$B$43)-MAX(5,B1075))/(IF(Inputs!$B$38="pvp",15,Inputs!$B$43)-(B1075))))*IF(AND(ArtifactsInput!$M$42,((Inputs!$B$9+((C1056=TRUE)*(F1056-Calc!F19))+B1068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048">
        <f>IF(C1048,(H1048*N1048*IF(AND(Inputs!$B$38&lt;&gt;"pvp",Inputs!$B$43&gt;0),((Skills!G11*((R1048-1)*IF(Skills!H11&gt;0,INT(Skills!I11/Skills!H11+0.000000001),1)+IF(Skills!H11&gt;0,INT(MIN(Skills!I11,MAX(0,MAX(0,Inputs!$B$43-B1075)-((R1048-1)*((IF(Inputs!$B$38="pvp",15,MAX(0.1,Skills!D11-IF(TRUE=TRUE,Inputs!$B$32,0)))*(1-IF(AND(ArtifactsInput!$M$27,Inputs!$B$4="Chapter Hunt"),CHOOSE(ArtifactsInput!$N$27+1,20,24,28,32,36,40),0)/100))/B1079))))/Skills!H11+0.000000001),1)))/Inputs!$B$43),G1048*Q1048))*IF(Inputs!$B$38="pvp",1,(1+(Inputs!$B$21+Skills!Q11+(IF(ArtifactsInput!$M$33,CHOOSE(ArtifactsInput!$N$33+1,30,36,42,48,54,60),0))+(IF(AND(ArtifactsInput!$M$35,Inputs!$B$4&lt;&gt;"Chapter Hunt"),CHOOSE(ArtifactsInput!$N$35+1,15,18,21,24,27,30)*(1-EXP(-(0.2*B1070)*5)),0)+IF(AND(ArtifactsInput!$M$22,Inputs!$B$4&lt;&gt;"Chapter Hunt"),CHOOSE(ArtifactsInput!$N$22+1,10,12,14,16,18,20)*((0*(((0.15*B1070*5))^0/1)+1*(((0.15*B1070*5))^1/1)+2*(((0.15*B1070*5))^2/2)+3*(((0.15*B1070*5))^3/6)+4*(((0.15*B1070*5))^4/24)+5*(((0.15*B1070*5))^5/120))/((((0.15*B1070*5))^0/1)+(((0.15*B1070*5))^1/1)+(((0.15*B1070*5))^2/2)+(((0.15*B1070*5))^3/6)+(((0.15*B1070*5))^4/24)+(((0.15*B1070*5))^5/120))),0))+IF(Inputs!$B$3&gt;=54,9*(C1040=TRUE)*MIN(1,8*(1+Inputs!$B$34/100)*Q1040)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49">
      <c r="A1049">
        <f>Skills!A12</f>
        <v/>
      </c>
      <c r="B1049">
        <f>Skills!B12</f>
        <v/>
      </c>
      <c r="C1049">
        <f>Inputs!$B$3&gt;=110</f>
        <v/>
      </c>
      <c r="D1049">
        <f>IF(Skills!C12=1,60+Inputs!$B$25+Inputs!$B$29,IF(Skills!C12=2,90+Inputs!$B$26+Inputs!$B$29,IF(Skills!C12=3,120+Inputs!$B$27+Inputs!$B$29,MAX(0,(Inputs!$B$3-100)*3)+Inputs!$B$28+Inputs!$B$29)))</f>
        <v/>
      </c>
      <c r="E1049">
        <f>INDEX(FactorTable!$B$2:$Y$301, MATCH(ROUND(MIN(300,MAX(1,D1049)),0), FactorTable!$A$2:$A$301,0), Skills!M12+1)</f>
        <v/>
      </c>
      <c r="F1049">
        <f>IF(Skills!N12=TRUE,(Skills!L12/10)*(E1049/1000),Skills!L12/10)+Skills!O12</f>
        <v/>
      </c>
      <c r="G1049">
        <f>Skills!G12*IF(Skills!H12&gt;0,INT(IF(Inputs!$B$38="pvp",MIN(Skills!I12,15),Skills!I12)/Skills!H12+0.000000001),1)</f>
        <v/>
      </c>
      <c r="H1049">
        <f>1-(1-Skills!J12/100)^Skills!K12</f>
        <v/>
      </c>
      <c r="I1049" t="inlineStr">
        <is>
          <t>1</t>
        </is>
      </c>
      <c r="J1049">
        <f>(((Inputs!$B$6+1)*(1+Inputs!$B$7/100))+(((Inputs!$B$12*(1+Inputs!$B$13/100))-(Inputs!$B$12*(1+Inputs!$B$13/100)))+0.25*(Inputs!$B$14-Inputs!$B$14))*(1+Inputs!$B$7/100))*(F1049/100)</f>
        <v/>
      </c>
      <c r="K1049">
        <f>J1049*(1+((Inputs!$B$12*(1+Inputs!$B$13/100))*0.01+Inputs!$B$14*0.0025)/100)*(1+Inputs!$B$15/100)*(1+Inputs!$B$16/100)*(5000/(6000+Inputs!$B$42*(1-(100*(1-(1-(Inputs!$B$19+0)/100)*(1-CHOOSE(ArtifactsInput!$N$40+1,5,6,7,8,9,10)/100)^(ArtifactsInput!$M$40-ArtifactsInput!$M$40)))/100)))*(1+(Inputs!$B$24+((C1063=TRUE)*(F1063-Calc!F26))+B1074)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EIGHT_LEGS_EASTON",Inputs!$B$17+((C1060=TRUE)*(F1060-Calc!F23))+((C1064=TRUE)*(F1064-Calc!F27))+((IF(AND(Inputs!$B$38&lt;&gt;"pvp",Inputs!$B$43=0),1,IF(IF(Inputs!$B$38="pvp",15,Inputs!$B$43)-(B1075)&lt;=0,1,MAX(0,IF(Inputs!$B$38="pvp",15,Inputs!$B$43)-MAX(5,B1075))/(IF(Inputs!$B$38="pvp",15,Inputs!$B$43)-(B1075))))*(IF(AND(ArtifactsInput!$M$42,((Inputs!$B$9+((C1056=TRUE)*(F1056-Calc!F19))+B1068+(ArtifactsInput!$M$24-ArtifactsInput!$M$24)*CHOOSE(ArtifactsInput!$N$24+1,10,12,14,16,18,20)+IF(ArtifactsInput!$M$10,CHOOSE(ArtifactsInput!$N$10+1,15,18,21,24,27,30)*(IF(Inputs!$B$38="pvp",MIN(15,15)/15,IF(AND(Inputs!$B$38&lt;&gt;"pvp",Inputs!$B$43&gt;0),MIN(15,Inputs!$B$43)/(Inputs!$B$43),0))),0)))&gt;=100),MIN(100,((Inputs!$B$9+((C1056=TRUE)*(F1056-Calc!F19))+B1068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1075)&lt;=0,1,MAX(0,IF(Inputs!$B$38="pvp",15,Inputs!$B$43)-MAX(5,B1075))/(IF(Inputs!$B$38="pvp",15,Inputs!$B$43)-(B1075))))*IF(AND(ArtifactsInput!$M$42,((Inputs!$B$9+((C1056=TRUE)*(F1056-Calc!F19))+B1068+(ArtifactsInput!$M$24-ArtifactsInput!$M$24)*CHOOSE(ArtifactsInput!$N$24+1,10,12,14,16,18,20)+IF(ArtifactsInput!$M$10,CHOOSE(ArtifactsInput!$N$10+1,15,18,21,24,27,30)*(IF(Inputs!$B$38="pvp",MIN(15,15)/15,IF(AND(Inputs!$B$38&lt;&gt;"pvp",Inputs!$B$43&gt;0),MIN(15,Inputs!$B$43)/(Inputs!$B$43),0))),0)))&gt;=100),CHOOSE(ArtifactsInput!$N$42+1,40,48,56,64,72,80),0))))/100)*((1+(((C1054=TRUE)*F1054*5/7)+((C1061=TRUE)*(F1061-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1049)</f>
        <v/>
      </c>
      <c r="L1049">
        <f>K1049*(MIN(Inputs!$B$22+((C1059=TRUE)*(F1059-Calc!F22)),(Inputs!$B$23+0+(IF(ArtifactsInput!$M$15,CHOOSE(ArtifactsInput!$N$15+1,25,30,35,40,45,50)/100*(Inputs!$B$11-Inputs!$B$11),0))))/100+(Inputs!$B$23+0+(IF(ArtifactsInput!$M$15,CHOOSE(ArtifactsInput!$N$15+1,25,30,35,40,45,50)/100*(Inputs!$B$11-Inputs!$B$11),0)))/100)/2</f>
        <v/>
      </c>
      <c r="M1049">
        <f>L1049*(1+(Inputs!$B$10+((C1062=TRUE)*(F1062-Calc!F25))+B1073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49">
        <f>L1049*(1-MIN((Inputs!$B$9+((C1056=TRUE)*(F1056-Calc!F19))+B1068+(ArtifactsInput!$M$24-ArtifactsInput!$M$24)*CHOOSE(ArtifactsInput!$N$24+1,10,12,14,16,18,20)+(IF(AND(Inputs!$B$38&lt;&gt;"pvp",Inputs!$B$43=0),1,IF(IF(Inputs!$B$38="pvp",15,Inputs!$B$43)-(B1075)&lt;=0,1,MAX(0,IF(Inputs!$B$38="pvp",15,Inputs!$B$43)-MAX(5,B1075))/(IF(Inputs!$B$38="pvp",15,Inputs!$B$43)-(B1075))))*IF(AND(ArtifactsInput!$M$42,((Inputs!$B$9+((C1056=TRUE)*(F1056-Calc!F19))+B1068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1049*(MIN((Inputs!$B$9+((C1056=TRUE)*(F1056-Calc!F19))+B1068+(ArtifactsInput!$M$24-ArtifactsInput!$M$24)*CHOOSE(ArtifactsInput!$N$24+1,10,12,14,16,18,20)+(IF(AND(Inputs!$B$38&lt;&gt;"pvp",Inputs!$B$43=0),1,IF(IF(Inputs!$B$38="pvp",15,Inputs!$B$43)-(B1075)&lt;=0,1,MAX(0,IF(Inputs!$B$38="pvp",15,Inputs!$B$43)-MAX(5,B1075))/(IF(Inputs!$B$38="pvp",15,Inputs!$B$43)-(B1075))))*IF(AND(ArtifactsInput!$M$42,((Inputs!$B$9+((C1056=TRUE)*(F1056-Calc!F19))+B1068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49">
        <f>(1-Summary!$B$11)*T1049+Summary!$B$11*V1049</f>
        <v/>
      </c>
      <c r="P1049">
        <f>IF(B1078=0,0,O1049/B1078)</f>
        <v/>
      </c>
      <c r="Q1049">
        <f>IFERROR(1/(IF(Inputs!$B$38="pvp",15,MAX(0.1,Skills!D12-IF(TRUE=TRUE,Inputs!$B$32,0)))*(1-IF(AND(ArtifactsInput!$M$27,Inputs!$B$4="Chapter Hunt"),CHOOSE(ArtifactsInput!$N$27+1,20,24,28,32,36,40),0)/100)),0)</f>
        <v/>
      </c>
      <c r="R1049">
        <f>IF(AND(Inputs!$B$38&lt;&gt;"pvp",Inputs!$B$43&gt;0),IF(MAX(0,Inputs!$B$43-B1075)&lt;=0,0,(INT(MAX(0,Inputs!$B$43-B1075)/(IF(Inputs!$B$38="pvp",15,MAX(0.1,Skills!D12-IF(TRUE=TRUE,Inputs!$B$32,0)))*(1-IF(AND(ArtifactsInput!$M$27,Inputs!$B$4="Chapter Hunt"),CHOOSE(ArtifactsInput!$N$27+1,20,24,28,32,36,40),0)/100)))+1)),0)</f>
        <v/>
      </c>
      <c r="S1049">
        <f>IFERROR(O1049/N1049,0)</f>
        <v/>
      </c>
      <c r="T1049">
        <f>IF(C1049,(H1049*N1049*IF(AND(Inputs!$B$38&lt;&gt;"pvp",Inputs!$B$43&gt;0),((Skills!G12*((R1049-1)*IF(Skills!H12&gt;0,INT(Skills!I12/Skills!H12+0.000000001),1)+IF(Skills!H12&gt;0,INT(MIN(Skills!I12,MAX(0,MAX(0,Inputs!$B$43-B1075)-((R1049-1)*(IF(Inputs!$B$38="pvp",15,MAX(0.1,Skills!D12-IF(TRUE=TRUE,Inputs!$B$32,0)))*(1-IF(AND(ArtifactsInput!$M$27,Inputs!$B$4="Chapter Hunt"),CHOOSE(ArtifactsInput!$N$27+1,20,24,28,32,36,40),0)/100)))))/Skills!H12+0.000000001),1)))/Inputs!$B$43),G1049*Q1049))*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Hunt"),CHOOSE(ArtifactsInput!$N$35+1,15,18,21,24,27,30)*(1-EXP(-(0.2*B1070)*5)),0)+IF(AND(ArtifactsInput!$M$22,Inputs!$B$4&lt;&gt;"Chapter Hunt"),CHOOSE(ArtifactsInput!$N$22+1,10,12,14,16,18,20)*((0*(((0.15*B1070*5))^0/1)+1*(((0.15*B1070*5))^1/1)+2*(((0.15*B1070*5))^2/2)+3*(((0.15*B1070*5))^3/6)+4*(((0.15*B1070*5))^4/24)+5*(((0.15*B1070*5))^5/120))/((((0.15*B1070*5))^0/1)+(((0.15*B1070*5))^1/1)+(((0.15*B1070*5))^2/2)+(((0.15*B1070*5))^3/6)+(((0.15*B1070*5))^4/24)+(((0.15*B1070*5))^5/120))),0))+IF(Inputs!$B$3&gt;=54,9*(C1040=TRUE)*MIN(1,8*(1+Inputs!$B$34/100)*Q1040)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1049*(1-MIN(100,(Inputs!$B$9+((C1056=TRUE)*(F1056-Calc!F19))+B1068+(ArtifactsInput!$M$24-ArtifactsInput!$M$24)*CHOOSE(ArtifactsInput!$N$24+1,10,12,14,16,18,20)+(IF(AND(Inputs!$B$38&lt;&gt;"pvp",Inputs!$B$43=0),1,IF(IF(Inputs!$B$38="pvp",15,Inputs!$B$43)-(B1075)&lt;=0,1,MAX(0,IF(Inputs!$B$38="pvp",15,Inputs!$B$43)-MAX(5,B1075))/(IF(Inputs!$B$38="pvp",15,Inputs!$B$43)-(B1075))))*IF(AND(ArtifactsInput!$M$42,((Inputs!$B$9+((C1056=TRUE)*(F1056-Calc!F19))+B1068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1049*(MIN(100,(Inputs!$B$9+((C1056=TRUE)*(F1056-Calc!F19))+B1068+(ArtifactsInput!$M$24-ArtifactsInput!$M$24)*CHOOSE(ArtifactsInput!$N$24+1,10,12,14,16,18,20)+(IF(AND(Inputs!$B$38&lt;&gt;"pvp",Inputs!$B$43=0),1,IF(IF(Inputs!$B$38="pvp",15,Inputs!$B$43)-(B1075)&lt;=0,1,MAX(0,IF(Inputs!$B$38="pvp",15,Inputs!$B$43)-MAX(5,B1075))/(IF(Inputs!$B$38="pvp",15,Inputs!$B$43)-(B1075))))*IF(AND(ArtifactsInput!$M$42,((Inputs!$B$9+((C1056=TRUE)*(F1056-Calc!F19))+B1068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1049*(1-MIN(100,(Inputs!$B$9+((C1056=TRUE)*(F1056-Calc!F19))+B1068+(ArtifactsInput!$M$24-ArtifactsInput!$M$24)*CHOOSE(ArtifactsInput!$N$24+1,10,12,14,16,18,20)+(IF(AND(Inputs!$B$38&lt;&gt;"pvp",Inputs!$B$43=0),1,IF(IF(Inputs!$B$38="pvp",15,Inputs!$B$43)-(B1075)&lt;=0,1,MAX(0,IF(Inputs!$B$38="pvp",15,Inputs!$B$43)-MAX(5,B1075))/(IF(Inputs!$B$38="pvp",15,Inputs!$B$43)-(B1075))))*IF(AND(ArtifactsInput!$M$42,((Inputs!$B$9+((C1056=TRUE)*(F1056-Calc!F19))+B1068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1049*(MIN(100,(Inputs!$B$9+((C1056=TRUE)*(F1056-Calc!F19))+B1068+(ArtifactsInput!$M$24-ArtifactsInput!$M$24)*CHOOSE(ArtifactsInput!$N$24+1,10,12,14,16,18,20)+(IF(AND(Inputs!$B$38&lt;&gt;"pvp",Inputs!$B$43=0),1,IF(IF(Inputs!$B$38="pvp",15,Inputs!$B$43)-(B1075)&lt;=0,1,MAX(0,IF(Inputs!$B$38="pvp",15,Inputs!$B$43)-MAX(5,B1075))/(IF(Inputs!$B$38="pvp",15,Inputs!$B$43)-(B1075))))*IF(AND(ArtifactsInput!$M$42,((Inputs!$B$9+((C1056=TRUE)*(F1056-Calc!F19))+B1068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049">
        <f>IF(C1049,(H1049*N1049*IF(AND(Inputs!$B$38&lt;&gt;"pvp",Inputs!$B$43&gt;0),((Skills!G12*((R1049-1)*IF(Skills!H12&gt;0,INT(Skills!I12/Skills!H12+0.000000001),1)+IF(Skills!H12&gt;0,INT(MIN(Skills!I12,MAX(0,MAX(0,Inputs!$B$43-B1075)-((R1049-1)*(IF(Inputs!$B$38="pvp",15,MAX(0.1,Skills!D12-IF(TRUE=TRUE,Inputs!$B$32,0)))*(1-IF(AND(ArtifactsInput!$M$27,Inputs!$B$4="Chapter Hunt"),CHOOSE(ArtifactsInput!$N$27+1,20,24,28,32,36,40),0)/100)))))/Skills!H12+0.000000001),1)))/Inputs!$B$43),G1049*Q1049))*IF(Inputs!$B$38="pvp",1,(1+(Inputs!$B$21+Skills!Q12+(IF(ArtifactsInput!$M$33,CHOOSE(ArtifactsInput!$N$33+1,30,36,42,48,54,60),0))+(IF(AND(ArtifactsInput!$M$35,Inputs!$B$4&lt;&gt;"Chapter Hunt"),CHOOSE(ArtifactsInput!$N$35+1,15,18,21,24,27,30)*(1-EXP(-(0.2*B1070)*5)),0)+IF(AND(ArtifactsInput!$M$22,Inputs!$B$4&lt;&gt;"Chapter Hunt"),CHOOSE(ArtifactsInput!$N$22+1,10,12,14,16,18,20)*((0*(((0.15*B1070*5))^0/1)+1*(((0.15*B1070*5))^1/1)+2*(((0.15*B1070*5))^2/2)+3*(((0.15*B1070*5))^3/6)+4*(((0.15*B1070*5))^4/24)+5*(((0.15*B1070*5))^5/120))/((((0.15*B1070*5))^0/1)+(((0.15*B1070*5))^1/1)+(((0.15*B1070*5))^2/2)+(((0.15*B1070*5))^3/6)+(((0.15*B1070*5))^4/24)+(((0.15*B1070*5))^5/120))),0))+IF(Inputs!$B$3&gt;=54,9*(C1040=TRUE)*MIN(1,8*(1+Inputs!$B$34/100)*Q1040),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50">
      <c r="A1050">
        <f>Skills!A13</f>
        <v/>
      </c>
      <c r="B1050">
        <f>Skills!B13</f>
        <v/>
      </c>
      <c r="C1050">
        <f>Inputs!$B$3&gt;=110</f>
        <v/>
      </c>
      <c r="D1050">
        <f>IF(Skills!C13=1,60+Inputs!$B$25+Inputs!$B$29,IF(Skills!C13=2,90+Inputs!$B$26+Inputs!$B$29,IF(Skills!C13=3,120+Inputs!$B$27+Inputs!$B$29,MAX(0,(Inputs!$B$3-100)*3)+Inputs!$B$28+Inputs!$B$29)))</f>
        <v/>
      </c>
      <c r="E1050">
        <f>INDEX(FactorTable!$B$2:$Y$301, MATCH(ROUND(MIN(300,MAX(1,D1050)),0), FactorTable!$A$2:$A$301,0), Skills!M13+1)</f>
        <v/>
      </c>
      <c r="F1050">
        <f>IF(Skills!N13=TRUE,(Skills!L13/10)*(E1050/1000),Skills!L13/10)+Skills!O13</f>
        <v/>
      </c>
      <c r="G1050">
        <f>Skills!G13*IF(Skills!H13&gt;0,INT(IF(Inputs!$B$38="pvp",MIN(Skills!I13,15),Skills!I13)/Skills!H13+0.000000001),1)</f>
        <v/>
      </c>
      <c r="H1050">
        <f>1-(1-Skills!J13/100)^Skills!K13</f>
        <v/>
      </c>
      <c r="I1050" t="inlineStr">
        <is>
          <t>1</t>
        </is>
      </c>
      <c r="J1050">
        <f>(((Inputs!$B$6+1)*(1+Inputs!$B$7/100))+(((Inputs!$B$12*(1+Inputs!$B$13/100))-(Inputs!$B$12*(1+Inputs!$B$13/100)))+0.25*(Inputs!$B$14-Inputs!$B$14))*(1+Inputs!$B$7/100))*(F1050/100)</f>
        <v/>
      </c>
      <c r="K1050">
        <f>J1050*(1+((Inputs!$B$12*(1+Inputs!$B$13/100))*0.01+Inputs!$B$14*0.0025)/100)*(1+Inputs!$B$15/100)*(1+Inputs!$B$16/100)*(5000/(6000+Inputs!$B$42*(1-(100*(1-(1-(Inputs!$B$19+0)/100)*(1-CHOOSE(ArtifactsInput!$N$40+1,5,6,7,8,9,10)/100)^(ArtifactsInput!$M$40-ArtifactsInput!$M$40)))/100)))*(1+(Inputs!$B$24+((C1063=TRUE)*(F1063-Calc!F26))+B1074)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EIGHT_LEGS_EASTON",Inputs!$B$17+((C1060=TRUE)*(F1060-Calc!F23))+((C1064=TRUE)*(F1064-Calc!F27))+((IF(AND(Inputs!$B$38&lt;&gt;"pvp",Inputs!$B$43=0),1,IF(IF(Inputs!$B$38="pvp",15,Inputs!$B$43)-(B1075)&lt;=0,1,MAX(0,IF(Inputs!$B$38="pvp",15,Inputs!$B$43)-MAX(5,B1075))/(IF(Inputs!$B$38="pvp",15,Inputs!$B$43)-(B1075))))*(IF(AND(ArtifactsInput!$M$42,((Inputs!$B$9+((C1056=TRUE)*(F1056-Calc!F19))+B1068+(ArtifactsInput!$M$24-ArtifactsInput!$M$24)*CHOOSE(ArtifactsInput!$N$24+1,10,12,14,16,18,20)+IF(ArtifactsInput!$M$10,CHOOSE(ArtifactsInput!$N$10+1,15,18,21,24,27,30)*(IF(Inputs!$B$38="pvp",MIN(15,15)/15,IF(AND(Inputs!$B$38&lt;&gt;"pvp",Inputs!$B$43&gt;0),MIN(15,Inputs!$B$43)/(Inputs!$B$43),0))),0)))&gt;=100),MIN(100,((Inputs!$B$9+((C1056=TRUE)*(F1056-Calc!F19))+B1068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1075)&lt;=0,1,MAX(0,IF(Inputs!$B$38="pvp",15,Inputs!$B$43)-MAX(5,B1075))/(IF(Inputs!$B$38="pvp",15,Inputs!$B$43)-(B1075))))*IF(AND(ArtifactsInput!$M$42,((Inputs!$B$9+((C1056=TRUE)*(F1056-Calc!F19))+B1068+(ArtifactsInput!$M$24-ArtifactsInput!$M$24)*CHOOSE(ArtifactsInput!$N$24+1,10,12,14,16,18,20)+IF(ArtifactsInput!$M$10,CHOOSE(ArtifactsInput!$N$10+1,15,18,21,24,27,30)*(IF(Inputs!$B$38="pvp",MIN(15,15)/15,IF(AND(Inputs!$B$38&lt;&gt;"pvp",Inputs!$B$43&gt;0),MIN(15,Inputs!$B$43)/(Inputs!$B$43),0))),0)))&gt;=100),CHOOSE(ArtifactsInput!$N$42+1,40,48,56,64,72,80),0))))/100)*((1+(((C1054=TRUE)*F1054*5/7)+((C1061=TRUE)*(F1061-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1050)</f>
        <v/>
      </c>
      <c r="L1050">
        <f>K1050*(MIN(Inputs!$B$22+((C1059=TRUE)*(F1059-Calc!F22)),(Inputs!$B$23+0+(IF(ArtifactsInput!$M$15,CHOOSE(ArtifactsInput!$N$15+1,25,30,35,40,45,50)/100*(Inputs!$B$11-Inputs!$B$11),0))))/100+(Inputs!$B$23+0+(IF(ArtifactsInput!$M$15,CHOOSE(ArtifactsInput!$N$15+1,25,30,35,40,45,50)/100*(Inputs!$B$11-Inputs!$B$11),0)))/100)/2</f>
        <v/>
      </c>
      <c r="M1050">
        <f>L1050*(1+(Inputs!$B$10+((C1062=TRUE)*(F1062-Calc!F25))+B1073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50">
        <f>L1050*(1-MIN((Inputs!$B$9+((C1056=TRUE)*(F1056-Calc!F19))+B1068+(ArtifactsInput!$M$24-ArtifactsInput!$M$24)*CHOOSE(ArtifactsInput!$N$24+1,10,12,14,16,18,20)+(IF(AND(Inputs!$B$38&lt;&gt;"pvp",Inputs!$B$43=0),1,IF(IF(Inputs!$B$38="pvp",15,Inputs!$B$43)-(B1075)&lt;=0,1,MAX(0,IF(Inputs!$B$38="pvp",15,Inputs!$B$43)-MAX(5,B1075))/(IF(Inputs!$B$38="pvp",15,Inputs!$B$43)-(B1075))))*IF(AND(ArtifactsInput!$M$42,((Inputs!$B$9+((C1056=TRUE)*(F1056-Calc!F19))+B1068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1050*(MIN((Inputs!$B$9+((C1056=TRUE)*(F1056-Calc!F19))+B1068+(ArtifactsInput!$M$24-ArtifactsInput!$M$24)*CHOOSE(ArtifactsInput!$N$24+1,10,12,14,16,18,20)+(IF(AND(Inputs!$B$38&lt;&gt;"pvp",Inputs!$B$43=0),1,IF(IF(Inputs!$B$38="pvp",15,Inputs!$B$43)-(B1075)&lt;=0,1,MAX(0,IF(Inputs!$B$38="pvp",15,Inputs!$B$43)-MAX(5,B1075))/(IF(Inputs!$B$38="pvp",15,Inputs!$B$43)-(B1075))))*IF(AND(ArtifactsInput!$M$42,((Inputs!$B$9+((C1056=TRUE)*(F1056-Calc!F19))+B1068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50">
        <f>(1-Summary!$B$11)*T1050+Summary!$B$11*V1050</f>
        <v/>
      </c>
      <c r="P1050">
        <f>IF(B1078=0,0,O1050/B1078)</f>
        <v/>
      </c>
      <c r="Q1050">
        <f>IFERROR(1/(IF(Inputs!$B$38="pvp",15,MAX(0.1,Skills!D13-IF(TRUE=TRUE,Inputs!$B$32,0)))*(1-IF(AND(ArtifactsInput!$M$27,Inputs!$B$4="Chapter Hunt"),CHOOSE(ArtifactsInput!$N$27+1,20,24,28,32,36,40),0)/100)),0)</f>
        <v/>
      </c>
      <c r="R1050">
        <f>IF(AND(Inputs!$B$38&lt;&gt;"pvp",Inputs!$B$43&gt;0),IF(MAX(0,Inputs!$B$43-B1075)&lt;=0,0,(INT(MAX(0,Inputs!$B$43-B1075)/(IF(Inputs!$B$38="pvp",15,MAX(0.1,Skills!D13-IF(TRUE=TRUE,Inputs!$B$32,0)))*(1-IF(AND(ArtifactsInput!$M$27,Inputs!$B$4="Chapter Hunt"),CHOOSE(ArtifactsInput!$N$27+1,20,24,28,32,36,40),0)/100)))+1)),0)</f>
        <v/>
      </c>
      <c r="S1050">
        <f>IFERROR(O1050/N1050,0)</f>
        <v/>
      </c>
      <c r="T1050">
        <f>IF(C1050,(H1050*N1050*IF(AND(Inputs!$B$38&lt;&gt;"pvp",Inputs!$B$43&gt;0),((Skills!G13*((R1050-1)*IF(Skills!H13&gt;0,INT(Skills!I13/Skills!H13+0.000000001),1)+IF(Skills!H13&gt;0,INT(MIN(Skills!I13,MAX(0,MAX(0,Inputs!$B$43-B1075)-((R1050-1)*(IF(Inputs!$B$38="pvp",15,MAX(0.1,Skills!D13-IF(TRUE=TRUE,Inputs!$B$32,0)))*(1-IF(AND(ArtifactsInput!$M$27,Inputs!$B$4="Chapter Hunt"),CHOOSE(ArtifactsInput!$N$27+1,20,24,28,32,36,40),0)/100)))))/Skills!H13+0.000000001),1)))/Inputs!$B$43),G1050*Q1050))*IF(Inputs!$B$38="pvp",1,1+(Inputs!$B$20+0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Hunt"),CHOOSE(ArtifactsInput!$N$35+1,15,18,21,24,27,30)*(1-EXP(-(0.2*B1070)*5)),0)+IF(AND(ArtifactsInput!$M$22,Inputs!$B$4&lt;&gt;"Chapter Hunt"),CHOOSE(ArtifactsInput!$N$22+1,10,12,14,16,18,20)*((0*(((0.15*B1070*5))^0/1)+1*(((0.15*B1070*5))^1/1)+2*(((0.15*B1070*5))^2/2)+3*(((0.15*B1070*5))^3/6)+4*(((0.15*B1070*5))^4/24)+5*(((0.15*B1070*5))^5/120))/((((0.15*B1070*5))^0/1)+(((0.15*B1070*5))^1/1)+(((0.15*B1070*5))^2/2)+(((0.15*B1070*5))^3/6)+(((0.15*B1070*5))^4/24)+(((0.15*B1070*5))^5/120))),0))+IF(Inputs!$B$3&gt;=54,9*(C1040=TRUE)*MIN(1,8*(1+Inputs!$B$34/100)*Q1040)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1050*(1-MIN(100,(Inputs!$B$9+((C1056=TRUE)*(F1056-Calc!F19))+B1068+(ArtifactsInput!$M$24-ArtifactsInput!$M$24)*CHOOSE(ArtifactsInput!$N$24+1,10,12,14,16,18,20)+(IF(AND(Inputs!$B$38&lt;&gt;"pvp",Inputs!$B$43=0),1,IF(IF(Inputs!$B$38="pvp",15,Inputs!$B$43)-(B1075)&lt;=0,1,MAX(0,IF(Inputs!$B$38="pvp",15,Inputs!$B$43)-MAX(5,B1075))/(IF(Inputs!$B$38="pvp",15,Inputs!$B$43)-(B1075))))*IF(AND(ArtifactsInput!$M$42,((Inputs!$B$9+((C1056=TRUE)*(F1056-Calc!F19))+B1068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1050*(MIN(100,(Inputs!$B$9+((C1056=TRUE)*(F1056-Calc!F19))+B1068+(ArtifactsInput!$M$24-ArtifactsInput!$M$24)*CHOOSE(ArtifactsInput!$N$24+1,10,12,14,16,18,20)+(IF(AND(Inputs!$B$38&lt;&gt;"pvp",Inputs!$B$43=0),1,IF(IF(Inputs!$B$38="pvp",15,Inputs!$B$43)-(B1075)&lt;=0,1,MAX(0,IF(Inputs!$B$38="pvp",15,Inputs!$B$43)-MAX(5,B1075))/(IF(Inputs!$B$38="pvp",15,Inputs!$B$43)-(B1075))))*IF(AND(ArtifactsInput!$M$42,((Inputs!$B$9+((C1056=TRUE)*(F1056-Calc!F19))+B1068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1050*(1-MIN(100,(Inputs!$B$9+((C1056=TRUE)*(F1056-Calc!F19))+B1068+(ArtifactsInput!$M$24-ArtifactsInput!$M$24)*CHOOSE(ArtifactsInput!$N$24+1,10,12,14,16,18,20)+(IF(AND(Inputs!$B$38&lt;&gt;"pvp",Inputs!$B$43=0),1,IF(IF(Inputs!$B$38="pvp",15,Inputs!$B$43)-(B1075)&lt;=0,1,MAX(0,IF(Inputs!$B$38="pvp",15,Inputs!$B$43)-MAX(5,B1075))/(IF(Inputs!$B$38="pvp",15,Inputs!$B$43)-(B1075))))*IF(AND(ArtifactsInput!$M$42,((Inputs!$B$9+((C1056=TRUE)*(F1056-Calc!F19))+B1068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1050*(MIN(100,(Inputs!$B$9+((C1056=TRUE)*(F1056-Calc!F19))+B1068+(ArtifactsInput!$M$24-ArtifactsInput!$M$24)*CHOOSE(ArtifactsInput!$N$24+1,10,12,14,16,18,20)+(IF(AND(Inputs!$B$38&lt;&gt;"pvp",Inputs!$B$43=0),1,IF(IF(Inputs!$B$38="pvp",15,Inputs!$B$43)-(B1075)&lt;=0,1,MAX(0,IF(Inputs!$B$38="pvp",15,Inputs!$B$43)-MAX(5,B1075))/(IF(Inputs!$B$38="pvp",15,Inputs!$B$43)-(B1075))))*IF(AND(ArtifactsInput!$M$42,((Inputs!$B$9+((C1056=TRUE)*(F1056-Calc!F19))+B1068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050">
        <f>IF(C1050,(H1050*N1050*IF(AND(Inputs!$B$38&lt;&gt;"pvp",Inputs!$B$43&gt;0),((Skills!G13*((R1050-1)*IF(Skills!H13&gt;0,INT(Skills!I13/Skills!H13+0.000000001),1)+IF(Skills!H13&gt;0,INT(MIN(Skills!I13,MAX(0,MAX(0,Inputs!$B$43-B1075)-((R1050-1)*(IF(Inputs!$B$38="pvp",15,MAX(0.1,Skills!D13-IF(TRUE=TRUE,Inputs!$B$32,0)))*(1-IF(AND(ArtifactsInput!$M$27,Inputs!$B$4="Chapter Hunt"),CHOOSE(ArtifactsInput!$N$27+1,20,24,28,32,36,40),0)/100)))))/Skills!H13+0.000000001),1)))/Inputs!$B$43),G1050*Q1050))*IF(Inputs!$B$38="pvp",1,(1+(Inputs!$B$21+Skills!Q13+(IF(ArtifactsInput!$M$33,CHOOSE(ArtifactsInput!$N$33+1,30,36,42,48,54,60),0))+(IF(AND(ArtifactsInput!$M$35,Inputs!$B$4&lt;&gt;"Chapter Hunt"),CHOOSE(ArtifactsInput!$N$35+1,15,18,21,24,27,30)*(1-EXP(-(0.2*B1070)*5)),0)+IF(AND(ArtifactsInput!$M$22,Inputs!$B$4&lt;&gt;"Chapter Hunt"),CHOOSE(ArtifactsInput!$N$22+1,10,12,14,16,18,20)*((0*(((0.15*B1070*5))^0/1)+1*(((0.15*B1070*5))^1/1)+2*(((0.15*B1070*5))^2/2)+3*(((0.15*B1070*5))^3/6)+4*(((0.15*B1070*5))^4/24)+5*(((0.15*B1070*5))^5/120))/((((0.15*B1070*5))^0/1)+(((0.15*B1070*5))^1/1)+(((0.15*B1070*5))^2/2)+(((0.15*B1070*5))^3/6)+(((0.15*B1070*5))^4/24)+(((0.15*B1070*5))^5/120))),0))+IF(Inputs!$B$3&gt;=54,9*(C1040=TRUE)*MIN(1,8*(1+Inputs!$B$34/100)*Q1040),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51">
      <c r="A1051">
        <f>Skills!A14</f>
        <v/>
      </c>
      <c r="B1051">
        <f>Skills!B14</f>
        <v/>
      </c>
      <c r="C1051">
        <f>Inputs!$B$3&gt;=120</f>
        <v/>
      </c>
      <c r="D1051">
        <f>IF(Skills!C14=1,60+Inputs!$B$25+Inputs!$B$29,IF(Skills!C14=2,90+Inputs!$B$26+Inputs!$B$29,IF(Skills!C14=3,120+Inputs!$B$27+Inputs!$B$29,MAX(0,(Inputs!$B$3-100)*3)+Inputs!$B$28+Inputs!$B$29)))</f>
        <v/>
      </c>
      <c r="E1051">
        <f>INDEX(FactorTable!$B$2:$Y$301, MATCH(ROUND(MIN(300,MAX(1,D1051)),0), FactorTable!$A$2:$A$301,0), Skills!M14+1)</f>
        <v/>
      </c>
      <c r="F1051">
        <f>IF(Skills!N14=TRUE,(Skills!L14/10)*(E1051/1000),Skills!L14/10)+Skills!O14</f>
        <v/>
      </c>
      <c r="G1051">
        <f>Skills!G14*IF(Skills!H14&gt;0,INT(IF(Inputs!$B$38="pvp",MIN(Skills!I14,15),Skills!I14)/Skills!H14+0.000000001),1)</f>
        <v/>
      </c>
      <c r="H1051">
        <f>1-(1-Skills!J14/100)^Skills!K14</f>
        <v/>
      </c>
      <c r="I1051" t="inlineStr">
        <is>
          <t>1</t>
        </is>
      </c>
      <c r="J1051">
        <f>(((Inputs!$B$6+1)*(1+Inputs!$B$7/100))+(((Inputs!$B$12*(1+Inputs!$B$13/100))-(Inputs!$B$12*(1+Inputs!$B$13/100)))+0.25*(Inputs!$B$14-Inputs!$B$14))*(1+Inputs!$B$7/100))*(F1051/100)</f>
        <v/>
      </c>
      <c r="K1051">
        <f>J1051*(1+((Inputs!$B$12*(1+Inputs!$B$13/100))*0.01+Inputs!$B$14*0.0025)/100)*(1+Inputs!$B$15/100)*(1+Inputs!$B$16/100)*(5000/(6000+Inputs!$B$42*(1-(100*(1-(1-(Inputs!$B$19+0)/100)*(1-CHOOSE(ArtifactsInput!$N$40+1,5,6,7,8,9,10)/100)^(ArtifactsInput!$M$40-ArtifactsInput!$M$40)))/100)))*(1+(Inputs!$B$24+((C1063=TRUE)*(F1063-Calc!F26))+B1074)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EIGHT_LEGS_EASTON",Inputs!$B$17+((C1060=TRUE)*(F1060-Calc!F23))+((C1064=TRUE)*(F1064-Calc!F27))+((IF(AND(Inputs!$B$38&lt;&gt;"pvp",Inputs!$B$43=0),1,IF(IF(Inputs!$B$38="pvp",15,Inputs!$B$43)-(B1075)&lt;=0,1,MAX(0,IF(Inputs!$B$38="pvp",15,Inputs!$B$43)-MAX(5,B1075))/(IF(Inputs!$B$38="pvp",15,Inputs!$B$43)-(B1075))))*(IF(AND(ArtifactsInput!$M$42,((Inputs!$B$9+((C1056=TRUE)*(F1056-Calc!F19))+B1068+(ArtifactsInput!$M$24-ArtifactsInput!$M$24)*CHOOSE(ArtifactsInput!$N$24+1,10,12,14,16,18,20)+IF(ArtifactsInput!$M$10,CHOOSE(ArtifactsInput!$N$10+1,15,18,21,24,27,30)*(IF(Inputs!$B$38="pvp",MIN(15,15)/15,IF(AND(Inputs!$B$38&lt;&gt;"pvp",Inputs!$B$43&gt;0),MIN(15,Inputs!$B$43)/(Inputs!$B$43),0))),0)))&gt;=100),MIN(100,((Inputs!$B$9+((C1056=TRUE)*(F1056-Calc!F19))+B1068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1075)&lt;=0,1,MAX(0,IF(Inputs!$B$38="pvp",15,Inputs!$B$43)-MAX(5,B1075))/(IF(Inputs!$B$38="pvp",15,Inputs!$B$43)-(B1075))))*IF(AND(ArtifactsInput!$M$42,((Inputs!$B$9+((C1056=TRUE)*(F1056-Calc!F19))+B1068+(ArtifactsInput!$M$24-ArtifactsInput!$M$24)*CHOOSE(ArtifactsInput!$N$24+1,10,12,14,16,18,20)+IF(ArtifactsInput!$M$10,CHOOSE(ArtifactsInput!$N$10+1,15,18,21,24,27,30)*(IF(Inputs!$B$38="pvp",MIN(15,15)/15,IF(AND(Inputs!$B$38&lt;&gt;"pvp",Inputs!$B$43&gt;0),MIN(15,Inputs!$B$43)/(Inputs!$B$43),0))),0)))&gt;=100),CHOOSE(ArtifactsInput!$N$42+1,40,48,56,64,72,80),0))))/100)*((1+(((C1054=TRUE)*F1054*5/7)+((C1061=TRUE)*(F1061-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1051)</f>
        <v/>
      </c>
      <c r="L1051">
        <f>K1051*(MIN(Inputs!$B$22+((C1059=TRUE)*(F1059-Calc!F22)),(Inputs!$B$23+0+(IF(ArtifactsInput!$M$15,CHOOSE(ArtifactsInput!$N$15+1,25,30,35,40,45,50)/100*(Inputs!$B$11-Inputs!$B$11),0))))/100+(Inputs!$B$23+0+(IF(ArtifactsInput!$M$15,CHOOSE(ArtifactsInput!$N$15+1,25,30,35,40,45,50)/100*(Inputs!$B$11-Inputs!$B$11),0)))/100)/2</f>
        <v/>
      </c>
      <c r="M1051">
        <f>L1051*(1+(Inputs!$B$10+((C1062=TRUE)*(F1062-Calc!F25))+B1073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51">
        <f>L1051*(1-MIN((Inputs!$B$9+((C1056=TRUE)*(F1056-Calc!F19))+B1068+(ArtifactsInput!$M$24-ArtifactsInput!$M$24)*CHOOSE(ArtifactsInput!$N$24+1,10,12,14,16,18,20)+(IF(AND(Inputs!$B$38&lt;&gt;"pvp",Inputs!$B$43=0),1,IF(IF(Inputs!$B$38="pvp",15,Inputs!$B$43)-(B1075)&lt;=0,1,MAX(0,IF(Inputs!$B$38="pvp",15,Inputs!$B$43)-MAX(5,B1075))/(IF(Inputs!$B$38="pvp",15,Inputs!$B$43)-(B1075))))*IF(AND(ArtifactsInput!$M$42,((Inputs!$B$9+((C1056=TRUE)*(F1056-Calc!F19))+B1068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1051*(MIN((Inputs!$B$9+((C1056=TRUE)*(F1056-Calc!F19))+B1068+(ArtifactsInput!$M$24-ArtifactsInput!$M$24)*CHOOSE(ArtifactsInput!$N$24+1,10,12,14,16,18,20)+(IF(AND(Inputs!$B$38&lt;&gt;"pvp",Inputs!$B$43=0),1,IF(IF(Inputs!$B$38="pvp",15,Inputs!$B$43)-(B1075)&lt;=0,1,MAX(0,IF(Inputs!$B$38="pvp",15,Inputs!$B$43)-MAX(5,B1075))/(IF(Inputs!$B$38="pvp",15,Inputs!$B$43)-(B1075))))*IF(AND(ArtifactsInput!$M$42,((Inputs!$B$9+((C1056=TRUE)*(F1056-Calc!F19))+B1068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51">
        <f>(1-Summary!$B$11)*T1051+Summary!$B$11*V1051</f>
        <v/>
      </c>
      <c r="P1051">
        <f>IF(B1078=0,0,O1051/B1078)</f>
        <v/>
      </c>
      <c r="Q1051" t="n">
        <v>0</v>
      </c>
      <c r="R1051" t="n">
        <v>0</v>
      </c>
      <c r="S1051">
        <f>IFERROR(O1051/N1051,0)</f>
        <v/>
      </c>
      <c r="T1051">
        <f>IF(C1051,((H1051*(B1072+IF(AND(Inputs!$B$38&lt;&gt;"pvp",Inputs!$B$43&gt;0),((Skills!G8*((R1045-1)*IF(Skills!H8&gt;0,INT(Skills!I8/Skills!H8+0.000000001),1)+IF(Skills!H8&gt;0,INT(MIN(Skills!I8,MAX(0,MAX(0,Inputs!$B$43-B1075)-((R1045-1)*((IF(Inputs!$B$38="pvp",15,MAX(0.1,Skills!D8-IF(TRUE=TRUE,Inputs!$B$32,0)))*(1-IF(AND(ArtifactsInput!$M$27,Inputs!$B$4="Chapter Hunt"),CHOOSE(ArtifactsInput!$N$27+1,20,24,28,32,36,40),0)/100))/B1079))))/Skills!H8+0.000000001),1)))/Inputs!$B$43),G1045*Q1045)+IF(AND(Inputs!$B$38&lt;&gt;"pvp",Inputs!$B$43&gt;0),((Skills!G11*((R1048-1)*IF(Skills!H11&gt;0,INT(Skills!I11/Skills!H11+0.000000001),1)+IF(Skills!H11&gt;0,INT(MIN(Skills!I11,MAX(0,MAX(0,Inputs!$B$43-B1075)-((R1048-1)*((IF(Inputs!$B$38="pvp",15,MAX(0.1,Skills!D11-IF(TRUE=TRUE,Inputs!$B$32,0)))*(1-IF(AND(ArtifactsInput!$M$27,Inputs!$B$4="Chapter Hunt"),CHOOSE(ArtifactsInput!$N$27+1,20,24,28,32,36,40),0)/100))/B1079))))/Skills!H11+0.000000001),1)))/Inputs!$B$43),G1048*Q1048)))/(1+Skills!H14*H1051*(B1072+IF(AND(Inputs!$B$38&lt;&gt;"pvp",Inputs!$B$43&gt;0),((Skills!G8*((R1045-1)*IF(Skills!H8&gt;0,INT(Skills!I8/Skills!H8+0.000000001),1)+IF(Skills!H8&gt;0,INT(MIN(Skills!I8,MAX(0,MAX(0,Inputs!$B$43-B1075)-((R1045-1)*((IF(Inputs!$B$38="pvp",15,MAX(0.1,Skills!D8-IF(TRUE=TRUE,Inputs!$B$32,0)))*(1-IF(AND(ArtifactsInput!$M$27,Inputs!$B$4="Chapter Hunt"),CHOOSE(ArtifactsInput!$N$27+1,20,24,28,32,36,40),0)/100))/B1079))))/Skills!H8+0.000000001),1)))/Inputs!$B$43),G1045*Q1045)+IF(AND(Inputs!$B$38&lt;&gt;"pvp",Inputs!$B$43&gt;0),((Skills!G11*((R1048-1)*IF(Skills!H11&gt;0,INT(Skills!I11/Skills!H11+0.000000001),1)+IF(Skills!H11&gt;0,INT(MIN(Skills!I11,MAX(0,MAX(0,Inputs!$B$43-B1075)-((R1048-1)*((IF(Inputs!$B$38="pvp",15,MAX(0.1,Skills!D11-IF(TRUE=TRUE,Inputs!$B$32,0)))*(1-IF(AND(ArtifactsInput!$M$27,Inputs!$B$4="Chapter Hunt"),CHOOSE(ArtifactsInput!$N$27+1,20,24,28,32,36,40),0)/100))/B1079))))/Skills!H11+0.000000001),1)))/Inputs!$B$43),G1048*Q1048)))*N1051)*IF(Inputs!$B$38="pvp",1,1+(Inputs!$B$20+0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Hunt"),CHOOSE(ArtifactsInput!$N$35+1,15,18,21,24,27,30)*(1-EXP(-(0.2*B1070)*5)),0)+IF(AND(ArtifactsInput!$M$22,Inputs!$B$4&lt;&gt;"Chapter Hunt"),CHOOSE(ArtifactsInput!$N$22+1,10,12,14,16,18,20)*((0*(((0.15*B1070*5))^0/1)+1*(((0.15*B1070*5))^1/1)+2*(((0.15*B1070*5))^2/2)+3*(((0.15*B1070*5))^3/6)+4*(((0.15*B1070*5))^4/24)+5*(((0.15*B1070*5))^5/120))/((((0.15*B1070*5))^0/1)+(((0.15*B1070*5))^1/1)+(((0.15*B1070*5))^2/2)+(((0.15*B1070*5))^3/6)+(((0.15*B1070*5))^4/24)+(((0.15*B1070*5))^5/120))),0))+IF(Inputs!$B$3&gt;=54,9*(C1040=TRUE)*MIN(1,8*(1+Inputs!$B$34/100)*Q1040)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1051*(1-MIN(100,(Inputs!$B$9+((C1056=TRUE)*(F1056-Calc!F19))+B1068+(ArtifactsInput!$M$24-ArtifactsInput!$M$24)*CHOOSE(ArtifactsInput!$N$24+1,10,12,14,16,18,20)+(IF(AND(Inputs!$B$38&lt;&gt;"pvp",Inputs!$B$43=0),1,IF(IF(Inputs!$B$38="pvp",15,Inputs!$B$43)-(B1075)&lt;=0,1,MAX(0,IF(Inputs!$B$38="pvp",15,Inputs!$B$43)-MAX(5,B1075))/(IF(Inputs!$B$38="pvp",15,Inputs!$B$43)-(B1075))))*IF(AND(ArtifactsInput!$M$42,((Inputs!$B$9+((C1056=TRUE)*(F1056-Calc!F19))+B1068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1051*(MIN(100,(Inputs!$B$9+((C1056=TRUE)*(F1056-Calc!F19))+B1068+(ArtifactsInput!$M$24-ArtifactsInput!$M$24)*CHOOSE(ArtifactsInput!$N$24+1,10,12,14,16,18,20)+(IF(AND(Inputs!$B$38&lt;&gt;"pvp",Inputs!$B$43=0),1,IF(IF(Inputs!$B$38="pvp",15,Inputs!$B$43)-(B1075)&lt;=0,1,MAX(0,IF(Inputs!$B$38="pvp",15,Inputs!$B$43)-MAX(5,B1075))/(IF(Inputs!$B$38="pvp",15,Inputs!$B$43)-(B1075))))*IF(AND(ArtifactsInput!$M$42,((Inputs!$B$9+((C1056=TRUE)*(F1056-Calc!F19))+B1068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1051*(1-MIN(100,(Inputs!$B$9+((C1056=TRUE)*(F1056-Calc!F19))+B1068+(ArtifactsInput!$M$24-ArtifactsInput!$M$24)*CHOOSE(ArtifactsInput!$N$24+1,10,12,14,16,18,20)+(IF(AND(Inputs!$B$38&lt;&gt;"pvp",Inputs!$B$43=0),1,IF(IF(Inputs!$B$38="pvp",15,Inputs!$B$43)-(B1075)&lt;=0,1,MAX(0,IF(Inputs!$B$38="pvp",15,Inputs!$B$43)-MAX(5,B1075))/(IF(Inputs!$B$38="pvp",15,Inputs!$B$43)-(B1075))))*IF(AND(ArtifactsInput!$M$42,((Inputs!$B$9+((C1056=TRUE)*(F1056-Calc!F19))+B1068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1051*(MIN(100,(Inputs!$B$9+((C1056=TRUE)*(F1056-Calc!F19))+B1068+(ArtifactsInput!$M$24-ArtifactsInput!$M$24)*CHOOSE(ArtifactsInput!$N$24+1,10,12,14,16,18,20)+(IF(AND(Inputs!$B$38&lt;&gt;"pvp",Inputs!$B$43=0),1,IF(IF(Inputs!$B$38="pvp",15,Inputs!$B$43)-(B1075)&lt;=0,1,MAX(0,IF(Inputs!$B$38="pvp",15,Inputs!$B$43)-MAX(5,B1075))/(IF(Inputs!$B$38="pvp",15,Inputs!$B$43)-(B1075))))*IF(AND(ArtifactsInput!$M$42,((Inputs!$B$9+((C1056=TRUE)*(F1056-Calc!F19))+B1068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051">
        <f>IF(C1051,((H1051*(B1072+IF(AND(Inputs!$B$38&lt;&gt;"pvp",Inputs!$B$43&gt;0),((Skills!G8*((R1045-1)*IF(Skills!H8&gt;0,INT(Skills!I8/Skills!H8+0.000000001),1)+IF(Skills!H8&gt;0,INT(MIN(Skills!I8,MAX(0,MAX(0,Inputs!$B$43-B1075)-((R1045-1)*((IF(Inputs!$B$38="pvp",15,MAX(0.1,Skills!D8-IF(TRUE=TRUE,Inputs!$B$32,0)))*(1-IF(AND(ArtifactsInput!$M$27,Inputs!$B$4="Chapter Hunt"),CHOOSE(ArtifactsInput!$N$27+1,20,24,28,32,36,40),0)/100))/B1079))))/Skills!H8+0.000000001),1)))/Inputs!$B$43),G1045*Q1045)+IF(AND(Inputs!$B$38&lt;&gt;"pvp",Inputs!$B$43&gt;0),((Skills!G11*((R1048-1)*IF(Skills!H11&gt;0,INT(Skills!I11/Skills!H11+0.000000001),1)+IF(Skills!H11&gt;0,INT(MIN(Skills!I11,MAX(0,MAX(0,Inputs!$B$43-B1075)-((R1048-1)*((IF(Inputs!$B$38="pvp",15,MAX(0.1,Skills!D11-IF(TRUE=TRUE,Inputs!$B$32,0)))*(1-IF(AND(ArtifactsInput!$M$27,Inputs!$B$4="Chapter Hunt"),CHOOSE(ArtifactsInput!$N$27+1,20,24,28,32,36,40),0)/100))/B1079))))/Skills!H11+0.000000001),1)))/Inputs!$B$43),G1048*Q1048)))/(1+Skills!H14*H1051*(B1072+IF(AND(Inputs!$B$38&lt;&gt;"pvp",Inputs!$B$43&gt;0),((Skills!G8*((R1045-1)*IF(Skills!H8&gt;0,INT(Skills!I8/Skills!H8+0.000000001),1)+IF(Skills!H8&gt;0,INT(MIN(Skills!I8,MAX(0,MAX(0,Inputs!$B$43-B1075)-((R1045-1)*((IF(Inputs!$B$38="pvp",15,MAX(0.1,Skills!D8-IF(TRUE=TRUE,Inputs!$B$32,0)))*(1-IF(AND(ArtifactsInput!$M$27,Inputs!$B$4="Chapter Hunt"),CHOOSE(ArtifactsInput!$N$27+1,20,24,28,32,36,40),0)/100))/B1079))))/Skills!H8+0.000000001),1)))/Inputs!$B$43),G1045*Q1045)+IF(AND(Inputs!$B$38&lt;&gt;"pvp",Inputs!$B$43&gt;0),((Skills!G11*((R1048-1)*IF(Skills!H11&gt;0,INT(Skills!I11/Skills!H11+0.000000001),1)+IF(Skills!H11&gt;0,INT(MIN(Skills!I11,MAX(0,MAX(0,Inputs!$B$43-B1075)-((R1048-1)*((IF(Inputs!$B$38="pvp",15,MAX(0.1,Skills!D11-IF(TRUE=TRUE,Inputs!$B$32,0)))*(1-IF(AND(ArtifactsInput!$M$27,Inputs!$B$4="Chapter Hunt"),CHOOSE(ArtifactsInput!$N$27+1,20,24,28,32,36,40),0)/100))/B1079))))/Skills!H11+0.000000001),1)))/Inputs!$B$43),G1048*Q1048)))*N1051)*IF(Inputs!$B$38="pvp",1,(1+(Inputs!$B$21+Skills!Q14+(IF(ArtifactsInput!$M$33,CHOOSE(ArtifactsInput!$N$33+1,30,36,42,48,54,60),0))+(IF(AND(ArtifactsInput!$M$35,Inputs!$B$4&lt;&gt;"Chapter Hunt"),CHOOSE(ArtifactsInput!$N$35+1,15,18,21,24,27,30)*(1-EXP(-(0.2*B1070)*5)),0)+IF(AND(ArtifactsInput!$M$22,Inputs!$B$4&lt;&gt;"Chapter Hunt"),CHOOSE(ArtifactsInput!$N$22+1,10,12,14,16,18,20)*((0*(((0.15*B1070*5))^0/1)+1*(((0.15*B1070*5))^1/1)+2*(((0.15*B1070*5))^2/2)+3*(((0.15*B1070*5))^3/6)+4*(((0.15*B1070*5))^4/24)+5*(((0.15*B1070*5))^5/120))/((((0.15*B1070*5))^0/1)+(((0.15*B1070*5))^1/1)+(((0.15*B1070*5))^2/2)+(((0.15*B1070*5))^3/6)+(((0.15*B1070*5))^4/24)+(((0.15*B1070*5))^5/120))),0))+IF(Inputs!$B$3&gt;=54,9*(C1040=TRUE)*MIN(1,8*(1+Inputs!$B$34/100)*Q1040),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52">
      <c r="A1052">
        <f>Skills!A15</f>
        <v/>
      </c>
      <c r="B1052">
        <f>Skills!B15</f>
        <v/>
      </c>
      <c r="C1052">
        <f>Inputs!$B$3&gt;=100</f>
        <v/>
      </c>
      <c r="D1052">
        <f>IF(Skills!C15=1,60+Inputs!$B$25+Inputs!$B$29,IF(Skills!C15=2,90+Inputs!$B$26+Inputs!$B$29,IF(Skills!C15=3,120+Inputs!$B$27+Inputs!$B$29,MAX(0,(Inputs!$B$3-100)*3)+Inputs!$B$28+Inputs!$B$29)))</f>
        <v/>
      </c>
      <c r="E1052">
        <f>INDEX(FactorTable!$B$2:$Y$301, MATCH(ROUND(MIN(300,MAX(1,D1052)),0), FactorTable!$A$2:$A$301,0), Skills!M15+1)</f>
        <v/>
      </c>
      <c r="F1052">
        <f>IF(Skills!N15=TRUE,(Skills!L15/10)*(E1052/1000),Skills!L15/10)+Skills!O15</f>
        <v/>
      </c>
      <c r="G1052" t="inlineStr"/>
      <c r="H1052" t="inlineStr"/>
      <c r="I1052" t="inlineStr">
        <is>
          <t>1</t>
        </is>
      </c>
      <c r="J1052" t="inlineStr"/>
      <c r="K1052" t="inlineStr"/>
      <c r="L1052" t="inlineStr"/>
      <c r="M1052" t="inlineStr"/>
      <c r="N1052" t="inlineStr"/>
      <c r="O1052" t="inlineStr"/>
      <c r="P1052" t="inlineStr"/>
      <c r="Q1052" t="inlineStr"/>
      <c r="R1052" t="inlineStr"/>
      <c r="S1052" t="inlineStr"/>
    </row>
    <row r="1053">
      <c r="A1053">
        <f>Skills!A16</f>
        <v/>
      </c>
      <c r="B1053">
        <f>Skills!B16</f>
        <v/>
      </c>
      <c r="C1053">
        <f>Inputs!$B$3&gt;=107</f>
        <v/>
      </c>
      <c r="D1053">
        <f>IF(Skills!C16=1,60+Inputs!$B$25+Inputs!$B$29,IF(Skills!C16=2,90+Inputs!$B$26+Inputs!$B$29,IF(Skills!C16=3,120+Inputs!$B$27+Inputs!$B$29,MAX(0,(Inputs!$B$3-100)*3)+Inputs!$B$28+Inputs!$B$29)))</f>
        <v/>
      </c>
      <c r="E1053">
        <f>INDEX(FactorTable!$B$2:$Y$301, MATCH(ROUND(MIN(300,MAX(1,D1053)),0), FactorTable!$A$2:$A$301,0), Skills!M16+1)</f>
        <v/>
      </c>
      <c r="F1053">
        <f>IF(Skills!N16=TRUE,(Skills!L16/10)*(E1053/1000),Skills!L16/10)+Skills!O16</f>
        <v/>
      </c>
      <c r="G1053" t="inlineStr"/>
      <c r="H1053" t="inlineStr"/>
      <c r="I1053" t="inlineStr">
        <is>
          <t>1</t>
        </is>
      </c>
      <c r="J1053" t="inlineStr"/>
      <c r="K1053" t="inlineStr"/>
      <c r="L1053" t="inlineStr"/>
      <c r="M1053" t="inlineStr"/>
      <c r="N1053" t="inlineStr"/>
      <c r="O1053" t="inlineStr"/>
      <c r="P1053" t="inlineStr"/>
      <c r="Q1053" t="inlineStr"/>
      <c r="R1053" t="inlineStr"/>
      <c r="S1053" t="inlineStr"/>
    </row>
    <row r="1054">
      <c r="A1054">
        <f>Skills!A17</f>
        <v/>
      </c>
      <c r="B1054">
        <f>Skills!B17</f>
        <v/>
      </c>
      <c r="C1054">
        <f>Inputs!$B$3&gt;=74</f>
        <v/>
      </c>
      <c r="D1054">
        <f>IF(Skills!C17=1,60+Inputs!$B$25+Inputs!$B$29,IF(Skills!C17=2,90+Inputs!$B$26+Inputs!$B$29,IF(Skills!C17=3,120+Inputs!$B$27+Inputs!$B$29,MAX(0,(Inputs!$B$3-100)*3)+Inputs!$B$28+Inputs!$B$29)))</f>
        <v/>
      </c>
      <c r="E1054">
        <f>INDEX(FactorTable!$B$2:$Y$301, MATCH(ROUND(MIN(300,MAX(1,D1054)),0), FactorTable!$A$2:$A$301,0), Skills!M17+1)</f>
        <v/>
      </c>
      <c r="F1054">
        <f>IF(Skills!N17=TRUE,(Skills!L17/10)*(E1054/1000),Skills!L17/10)+Skills!O17</f>
        <v/>
      </c>
      <c r="G1054">
        <f>Skills!G17*IF(Skills!H17&gt;0,INT(IF(Inputs!$B$38="pvp",MIN(Skills!I17,15),Skills!I17)/Skills!H17+0.000000001),1)</f>
        <v/>
      </c>
      <c r="H1054">
        <f>1-(1-Skills!J17/100)^Skills!K17</f>
        <v/>
      </c>
      <c r="I1054" t="inlineStr">
        <is>
          <t>1</t>
        </is>
      </c>
      <c r="J1054" t="inlineStr"/>
      <c r="K1054" t="inlineStr"/>
      <c r="L1054" t="inlineStr"/>
      <c r="M1054" t="inlineStr"/>
      <c r="N1054" t="inlineStr"/>
      <c r="O1054">
        <f>(1-Summary!$B$11)*T1054+Summary!$B$11*V1054</f>
        <v/>
      </c>
      <c r="P1054">
        <f>IF(B1078=0,0,O1054/B1078)</f>
        <v/>
      </c>
      <c r="Q1054" t="n">
        <v>0</v>
      </c>
      <c r="R1054" t="n">
        <v>0</v>
      </c>
      <c r="S1054">
        <f>IFERROR(O1054/N1054,0)</f>
        <v/>
      </c>
      <c r="T1054" t="n">
        <v>0</v>
      </c>
      <c r="V1054" t="n">
        <v>0</v>
      </c>
    </row>
    <row r="1055">
      <c r="A1055">
        <f>Skills!A18</f>
        <v/>
      </c>
      <c r="B1055">
        <f>Skills!B18</f>
        <v/>
      </c>
      <c r="C1055">
        <f>Inputs!$B$3&gt;=115</f>
        <v/>
      </c>
      <c r="D1055">
        <f>IF(Skills!C18=1,60+Inputs!$B$25+Inputs!$B$29,IF(Skills!C18=2,90+Inputs!$B$26+Inputs!$B$29,IF(Skills!C18=3,120+Inputs!$B$27+Inputs!$B$29,MAX(0,(Inputs!$B$3-100)*3)+Inputs!$B$28+Inputs!$B$29)))</f>
        <v/>
      </c>
      <c r="E1055">
        <f>INDEX(FactorTable!$B$2:$Y$301, MATCH(ROUND(MIN(300,MAX(1,D1055)),0), FactorTable!$A$2:$A$301,0), Skills!M18+1)</f>
        <v/>
      </c>
      <c r="F1055">
        <f>IF(Skills!N18=TRUE,(Skills!L18/10)*(E1055/1000),Skills!L18/10)+Skills!O18</f>
        <v/>
      </c>
      <c r="G1055">
        <f>Skills!G18*IF(Skills!H18&gt;0,INT(IF(Inputs!$B$38="pvp",MIN(Skills!I18,15),Skills!I18)/Skills!H18+0.000000001),1)</f>
        <v/>
      </c>
      <c r="H1055">
        <f>1-(1-Skills!J18/100)^Skills!K18</f>
        <v/>
      </c>
      <c r="I1055" t="inlineStr">
        <is>
          <t>1</t>
        </is>
      </c>
      <c r="J1055" t="inlineStr"/>
      <c r="K1055" t="inlineStr"/>
      <c r="L1055" t="inlineStr"/>
      <c r="M1055" t="inlineStr"/>
      <c r="N1055" t="inlineStr"/>
      <c r="O1055">
        <f>(1-Summary!$B$11)*T1055+Summary!$B$11*V1055</f>
        <v/>
      </c>
      <c r="P1055">
        <f>IF(B1078=0,0,O1055/B1078)</f>
        <v/>
      </c>
      <c r="Q1055">
        <f>IFERROR(1/(IF(Inputs!$B$38="pvp",15,MAX(0.1,Skills!D18-IF(TRUE=TRUE,Inputs!$B$32,0)))*(1-IF(AND(ArtifactsInput!$M$27,Inputs!$B$4="Chapter Hunt"),CHOOSE(ArtifactsInput!$N$27+1,20,24,28,32,36,40),0)/100)),0)</f>
        <v/>
      </c>
      <c r="R1055">
        <f>IF(AND(Inputs!$B$38&lt;&gt;"pvp",Inputs!$B$43&gt;0),IF(Inputs!$B$43&lt;=0,0,(INT(Inputs!$B$43/(IF(Inputs!$B$38="pvp",15,MAX(0.1,Skills!D18-IF(TRUE=TRUE,Inputs!$B$32,0)))*(1-IF(AND(ArtifactsInput!$M$27,Inputs!$B$4="Chapter Hunt"),CHOOSE(ArtifactsInput!$N$27+1,20,24,28,32,36,40),0)/100)))+1)),0)</f>
        <v/>
      </c>
      <c r="S1055">
        <f>IFERROR(O1055/N1055,0)</f>
        <v/>
      </c>
      <c r="T1055" t="n">
        <v>0</v>
      </c>
      <c r="V1055" t="n">
        <v>0</v>
      </c>
    </row>
    <row r="1056">
      <c r="A1056">
        <f>Skills!A19</f>
        <v/>
      </c>
      <c r="B1056">
        <f>Skills!B19</f>
        <v/>
      </c>
      <c r="C1056">
        <f>Inputs!$B$3&gt;=10</f>
        <v/>
      </c>
      <c r="D1056">
        <f>IF(Skills!C19=1,60+Inputs!$B$25+Inputs!$B$29,IF(Skills!C19=2,90+Inputs!$B$26+Inputs!$B$29,IF(Skills!C19=3,120+Inputs!$B$27+Inputs!$B$29,MAX(0,(Inputs!$B$3-100)*3)+Inputs!$B$28+Inputs!$B$29)))</f>
        <v/>
      </c>
      <c r="E1056">
        <f>INDEX(FactorTable!$B$2:$Y$301, MATCH(ROUND(MIN(300,MAX(1,D1056)),0), FactorTable!$A$2:$A$301,0), Skills!M19+1)</f>
        <v/>
      </c>
      <c r="F1056">
        <f>IF(Skills!N19=TRUE,(Skills!L19/10)*(E1056/1000),Skills!L19/10)+Skills!O19</f>
        <v/>
      </c>
      <c r="G1056">
        <f>Skills!G19*IF(Skills!H19&gt;0,INT(IF(Inputs!$B$38="pvp",MIN(Skills!I19,15),Skills!I19)/Skills!H19+0.000000001),1)</f>
        <v/>
      </c>
      <c r="H1056">
        <f>1-(1-Skills!J19/100)^Skills!K19</f>
        <v/>
      </c>
      <c r="I1056" t="inlineStr">
        <is>
          <t>1</t>
        </is>
      </c>
      <c r="J1056" t="inlineStr"/>
      <c r="K1056" t="inlineStr"/>
      <c r="L1056" t="inlineStr"/>
      <c r="M1056" t="inlineStr"/>
      <c r="N1056" t="inlineStr"/>
      <c r="O1056">
        <f>(1-Summary!$B$11)*T1056+Summary!$B$11*V1056</f>
        <v/>
      </c>
      <c r="P1056">
        <f>IF(B1078=0,0,O1056/B1078)</f>
        <v/>
      </c>
      <c r="Q1056" t="n">
        <v>0</v>
      </c>
      <c r="R1056" t="n">
        <v>0</v>
      </c>
      <c r="S1056">
        <f>IFERROR(O1056/N1056,0)</f>
        <v/>
      </c>
      <c r="T1056" t="n">
        <v>0</v>
      </c>
      <c r="V1056" t="n">
        <v>0</v>
      </c>
    </row>
    <row r="1057">
      <c r="A1057">
        <f>Skills!A20</f>
        <v/>
      </c>
      <c r="B1057">
        <f>Skills!B20</f>
        <v/>
      </c>
      <c r="C1057">
        <f>Inputs!$B$3&gt;=15</f>
        <v/>
      </c>
      <c r="D1057">
        <f>IF(Skills!C20=1,60+Inputs!$B$25+Inputs!$B$29,IF(Skills!C20=2,90+Inputs!$B$26+Inputs!$B$29,IF(Skills!C20=3,120+Inputs!$B$27+Inputs!$B$29,MAX(0,(Inputs!$B$3-100)*3)+Inputs!$B$28+Inputs!$B$29)))</f>
        <v/>
      </c>
      <c r="E1057">
        <f>INDEX(FactorTable!$B$2:$Y$301, MATCH(ROUND(MIN(300,MAX(1,D1057)),0), FactorTable!$A$2:$A$301,0), Skills!M20+1)</f>
        <v/>
      </c>
      <c r="F1057">
        <f>IF(Skills!N20=TRUE,(Skills!L20/10)*(E1057/1000),Skills!L20/10)+Skills!O20</f>
        <v/>
      </c>
      <c r="G1057">
        <f>Skills!G20*IF(Skills!H20&gt;0,INT(IF(Inputs!$B$38="pvp",MIN(Skills!I20,15),Skills!I20)/Skills!H20+0.000000001),1)</f>
        <v/>
      </c>
      <c r="H1057">
        <f>1-(1-Skills!J20/100)^Skills!K20</f>
        <v/>
      </c>
      <c r="I1057" t="inlineStr">
        <is>
          <t>1</t>
        </is>
      </c>
      <c r="J1057" t="inlineStr"/>
      <c r="K1057" t="inlineStr"/>
      <c r="L1057" t="inlineStr"/>
      <c r="M1057" t="inlineStr"/>
      <c r="N1057" t="inlineStr"/>
      <c r="O1057">
        <f>(1-Summary!$B$11)*T1057+Summary!$B$11*V1057</f>
        <v/>
      </c>
      <c r="P1057">
        <f>IF(B1078=0,0,O1057/B1078)</f>
        <v/>
      </c>
      <c r="Q1057" t="n">
        <v>0</v>
      </c>
      <c r="R1057" t="n">
        <v>0</v>
      </c>
      <c r="S1057">
        <f>IFERROR(O1057/N1057,0)</f>
        <v/>
      </c>
      <c r="T1057" t="n">
        <v>0</v>
      </c>
      <c r="V1057" t="n">
        <v>0</v>
      </c>
    </row>
    <row r="1058">
      <c r="A1058">
        <f>Skills!A21</f>
        <v/>
      </c>
      <c r="B1058">
        <f>Skills!B21</f>
        <v/>
      </c>
      <c r="C1058">
        <f>Inputs!$B$3&gt;=40</f>
        <v/>
      </c>
      <c r="D1058">
        <f>IF(Skills!C21=1,60+Inputs!$B$25+Inputs!$B$29,IF(Skills!C21=2,90+Inputs!$B$26+Inputs!$B$29,IF(Skills!C21=3,120+Inputs!$B$27+Inputs!$B$29,MAX(0,(Inputs!$B$3-100)*3)+Inputs!$B$28+Inputs!$B$29)))</f>
        <v/>
      </c>
      <c r="E1058">
        <f>INDEX(FactorTable!$B$2:$Y$301, MATCH(ROUND(MIN(300,MAX(1,D1058)),0), FactorTable!$A$2:$A$301,0), Skills!M21+1)</f>
        <v/>
      </c>
      <c r="F1058">
        <f>IF(Skills!N21=TRUE,(Skills!L21/10)*(E1058/1000),Skills!L21/10)+Skills!O21</f>
        <v/>
      </c>
      <c r="G1058">
        <f>Skills!G21*IF(Skills!H21&gt;0,INT(IF(Inputs!$B$38="pvp",MIN(Skills!I21,15),Skills!I21)/Skills!H21+0.000000001),1)</f>
        <v/>
      </c>
      <c r="H1058">
        <f>1-(1-Skills!J21/100)^Skills!K21</f>
        <v/>
      </c>
      <c r="I1058" t="inlineStr">
        <is>
          <t>1</t>
        </is>
      </c>
      <c r="J1058" t="inlineStr"/>
      <c r="K1058" t="inlineStr"/>
      <c r="L1058" t="inlineStr"/>
      <c r="M1058" t="inlineStr"/>
      <c r="N1058" t="inlineStr"/>
      <c r="O1058">
        <f>(1-Summary!$B$11)*T1058+Summary!$B$11*V1058</f>
        <v/>
      </c>
      <c r="P1058">
        <f>IF(B1078=0,0,O1058/B1078)</f>
        <v/>
      </c>
      <c r="Q1058" t="n">
        <v>0</v>
      </c>
      <c r="R1058" t="n">
        <v>0</v>
      </c>
      <c r="S1058">
        <f>IFERROR(O1058/N1058,0)</f>
        <v/>
      </c>
      <c r="T1058" t="n">
        <v>0</v>
      </c>
      <c r="V1058" t="n">
        <v>0</v>
      </c>
    </row>
    <row r="1059">
      <c r="A1059">
        <f>Skills!A22</f>
        <v/>
      </c>
      <c r="B1059">
        <f>Skills!B22</f>
        <v/>
      </c>
      <c r="C1059">
        <f>Inputs!$B$3&gt;=43</f>
        <v/>
      </c>
      <c r="D1059">
        <f>IF(Skills!C22=1,60+Inputs!$B$25+Inputs!$B$29,IF(Skills!C22=2,90+Inputs!$B$26+Inputs!$B$29,IF(Skills!C22=3,120+Inputs!$B$27+Inputs!$B$29,MAX(0,(Inputs!$B$3-100)*3)+Inputs!$B$28+Inputs!$B$29)))</f>
        <v/>
      </c>
      <c r="E1059">
        <f>INDEX(FactorTable!$B$2:$Y$301, MATCH(ROUND(MIN(300,MAX(1,D1059)),0), FactorTable!$A$2:$A$301,0), Skills!M22+1)</f>
        <v/>
      </c>
      <c r="F1059">
        <f>IF(Skills!N22=TRUE,(Skills!L22/10)*(E1059/1000),Skills!L22/10)+Skills!O22</f>
        <v/>
      </c>
      <c r="G1059">
        <f>Skills!G22*IF(Skills!H22&gt;0,INT(IF(Inputs!$B$38="pvp",MIN(Skills!I22,15),Skills!I22)/Skills!H22+0.000000001),1)</f>
        <v/>
      </c>
      <c r="H1059">
        <f>1-(1-Skills!J22/100)^Skills!K22</f>
        <v/>
      </c>
      <c r="I1059" t="inlineStr">
        <is>
          <t>1</t>
        </is>
      </c>
      <c r="J1059" t="inlineStr"/>
      <c r="K1059" t="inlineStr"/>
      <c r="L1059" t="inlineStr"/>
      <c r="M1059" t="inlineStr"/>
      <c r="N1059" t="inlineStr"/>
      <c r="O1059">
        <f>(1-Summary!$B$11)*T1059+Summary!$B$11*V1059</f>
        <v/>
      </c>
      <c r="P1059">
        <f>IF(B1078=0,0,O1059/B1078)</f>
        <v/>
      </c>
      <c r="Q1059" t="n">
        <v>0</v>
      </c>
      <c r="R1059" t="n">
        <v>0</v>
      </c>
      <c r="S1059">
        <f>IFERROR(O1059/N1059,0)</f>
        <v/>
      </c>
      <c r="T1059" t="n">
        <v>0</v>
      </c>
      <c r="V1059" t="n">
        <v>0</v>
      </c>
    </row>
    <row r="1060">
      <c r="A1060">
        <f>Skills!A23</f>
        <v/>
      </c>
      <c r="B1060">
        <f>Skills!B23</f>
        <v/>
      </c>
      <c r="C1060">
        <f>Inputs!$B$3&gt;=38</f>
        <v/>
      </c>
      <c r="D1060">
        <f>IF(Skills!C23=1,60+Inputs!$B$25+Inputs!$B$29,IF(Skills!C23=2,90+Inputs!$B$26+Inputs!$B$29,IF(Skills!C23=3,120+Inputs!$B$27+Inputs!$B$29,MAX(0,(Inputs!$B$3-100)*3)+Inputs!$B$28+Inputs!$B$29)))</f>
        <v/>
      </c>
      <c r="E1060">
        <f>INDEX(FactorTable!$B$2:$Y$301, MATCH(ROUND(MIN(300,MAX(1,D1060)),0), FactorTable!$A$2:$A$301,0), Skills!M23+1)</f>
        <v/>
      </c>
      <c r="F1060">
        <f>IF(Skills!N23=TRUE,(Skills!L23/10)*(E1060/1000),Skills!L23/10)+Skills!O23</f>
        <v/>
      </c>
      <c r="G1060">
        <f>Skills!G23*IF(Skills!H23&gt;0,INT(IF(Inputs!$B$38="pvp",MIN(Skills!I23,15),Skills!I23)/Skills!H23+0.000000001),1)</f>
        <v/>
      </c>
      <c r="H1060">
        <f>1-(1-Skills!J23/100)^Skills!K23</f>
        <v/>
      </c>
      <c r="I1060" t="inlineStr">
        <is>
          <t>1</t>
        </is>
      </c>
      <c r="J1060" t="inlineStr"/>
      <c r="K1060" t="inlineStr"/>
      <c r="L1060" t="inlineStr"/>
      <c r="M1060" t="inlineStr"/>
      <c r="N1060" t="inlineStr"/>
      <c r="O1060">
        <f>(1-Summary!$B$11)*T1060+Summary!$B$11*V1060</f>
        <v/>
      </c>
      <c r="P1060">
        <f>IF(B1078=0,0,O1060/B1078)</f>
        <v/>
      </c>
      <c r="Q1060" t="n">
        <v>0</v>
      </c>
      <c r="R1060" t="n">
        <v>0</v>
      </c>
      <c r="S1060">
        <f>IFERROR(O1060/N1060,0)</f>
        <v/>
      </c>
      <c r="T1060" t="n">
        <v>0</v>
      </c>
      <c r="V1060" t="n">
        <v>0</v>
      </c>
    </row>
    <row r="1061">
      <c r="A1061">
        <f>Skills!A24</f>
        <v/>
      </c>
      <c r="B1061">
        <f>Skills!B24</f>
        <v/>
      </c>
      <c r="C1061">
        <f>Inputs!$B$3&gt;=45</f>
        <v/>
      </c>
      <c r="D1061">
        <f>IF(Skills!C24=1,60+Inputs!$B$25+Inputs!$B$29,IF(Skills!C24=2,90+Inputs!$B$26+Inputs!$B$29,IF(Skills!C24=3,120+Inputs!$B$27+Inputs!$B$29,MAX(0,(Inputs!$B$3-100)*3)+Inputs!$B$28+Inputs!$B$29)))</f>
        <v/>
      </c>
      <c r="E1061">
        <f>INDEX(FactorTable!$B$2:$Y$301, MATCH(ROUND(MIN(300,MAX(1,D1061)),0), FactorTable!$A$2:$A$301,0), Skills!M24+1)</f>
        <v/>
      </c>
      <c r="F1061">
        <f>IF(Skills!N24=TRUE,(Skills!L24/10)*(E1061/1000),Skills!L24/10)+Skills!O24</f>
        <v/>
      </c>
      <c r="G1061">
        <f>Skills!G24*IF(Skills!H24&gt;0,INT(IF(Inputs!$B$38="pvp",MIN(Skills!I24,15),Skills!I24)/Skills!H24+0.000000001),1)</f>
        <v/>
      </c>
      <c r="H1061">
        <f>1-(1-Skills!J24/100)^Skills!K24</f>
        <v/>
      </c>
      <c r="I1061" t="inlineStr">
        <is>
          <t>1</t>
        </is>
      </c>
      <c r="J1061" t="inlineStr"/>
      <c r="K1061" t="inlineStr"/>
      <c r="L1061" t="inlineStr"/>
      <c r="M1061" t="inlineStr"/>
      <c r="N1061" t="inlineStr"/>
      <c r="O1061">
        <f>(1-Summary!$B$11)*T1061+Summary!$B$11*V1061</f>
        <v/>
      </c>
      <c r="P1061">
        <f>IF(B1078=0,0,O1061/B1078)</f>
        <v/>
      </c>
      <c r="Q1061" t="n">
        <v>0</v>
      </c>
      <c r="R1061" t="n">
        <v>0</v>
      </c>
      <c r="S1061">
        <f>IFERROR(O1061/N1061,0)</f>
        <v/>
      </c>
      <c r="T1061" t="n">
        <v>0</v>
      </c>
      <c r="V1061" t="n">
        <v>0</v>
      </c>
    </row>
    <row r="1062">
      <c r="A1062">
        <f>Skills!A25</f>
        <v/>
      </c>
      <c r="B1062">
        <f>Skills!B25</f>
        <v/>
      </c>
      <c r="C1062">
        <f>Inputs!$B$3&gt;=72</f>
        <v/>
      </c>
      <c r="D1062">
        <f>IF(Skills!C25=1,60+Inputs!$B$25+Inputs!$B$29,IF(Skills!C25=2,90+Inputs!$B$26+Inputs!$B$29,IF(Skills!C25=3,120+Inputs!$B$27+Inputs!$B$29,MAX(0,(Inputs!$B$3-100)*3)+Inputs!$B$28+Inputs!$B$29)))</f>
        <v/>
      </c>
      <c r="E1062">
        <f>INDEX(FactorTable!$B$2:$Y$301, MATCH(ROUND(MIN(300,MAX(1,D1062)),0), FactorTable!$A$2:$A$301,0), Skills!M25+1)</f>
        <v/>
      </c>
      <c r="F1062">
        <f>IF(Skills!N25=TRUE,(Skills!L25/10)*(E1062/1000),Skills!L25/10)+Skills!O25</f>
        <v/>
      </c>
      <c r="G1062">
        <f>Skills!G25*IF(Skills!H25&gt;0,INT(IF(Inputs!$B$38="pvp",MIN(Skills!I25,15),Skills!I25)/Skills!H25+0.000000001),1)</f>
        <v/>
      </c>
      <c r="H1062">
        <f>1-(1-Skills!J25/100)^Skills!K25</f>
        <v/>
      </c>
      <c r="I1062" t="inlineStr">
        <is>
          <t>1</t>
        </is>
      </c>
      <c r="J1062" t="inlineStr"/>
      <c r="K1062" t="inlineStr"/>
      <c r="L1062" t="inlineStr"/>
      <c r="M1062" t="inlineStr"/>
      <c r="N1062" t="inlineStr"/>
      <c r="O1062">
        <f>(1-Summary!$B$11)*T1062+Summary!$B$11*V1062</f>
        <v/>
      </c>
      <c r="P1062">
        <f>IF(B1078=0,0,O1062/B1078)</f>
        <v/>
      </c>
      <c r="Q1062" t="n">
        <v>0</v>
      </c>
      <c r="R1062" t="n">
        <v>0</v>
      </c>
      <c r="S1062">
        <f>IFERROR(O1062/N1062,0)</f>
        <v/>
      </c>
      <c r="T1062" t="n">
        <v>0</v>
      </c>
      <c r="V1062" t="n">
        <v>0</v>
      </c>
    </row>
    <row r="1063">
      <c r="A1063">
        <f>Skills!A26</f>
        <v/>
      </c>
      <c r="B1063">
        <f>Skills!B26</f>
        <v/>
      </c>
      <c r="C1063">
        <f>Inputs!$B$3&gt;=75</f>
        <v/>
      </c>
      <c r="D1063">
        <f>IF(Skills!C26=1,60+Inputs!$B$25+Inputs!$B$29,IF(Skills!C26=2,90+Inputs!$B$26+Inputs!$B$29,IF(Skills!C26=3,120+Inputs!$B$27+Inputs!$B$29,MAX(0,(Inputs!$B$3-100)*3)+Inputs!$B$28+Inputs!$B$29)))</f>
        <v/>
      </c>
      <c r="E1063">
        <f>INDEX(FactorTable!$B$2:$Y$301, MATCH(ROUND(MIN(300,MAX(1,D1063)),0), FactorTable!$A$2:$A$301,0), Skills!M26+1)</f>
        <v/>
      </c>
      <c r="F1063">
        <f>IF(Skills!N26=TRUE,(Skills!L26/10)*(E1063/1000),Skills!L26/10)+Skills!O26</f>
        <v/>
      </c>
      <c r="G1063">
        <f>Skills!G26*IF(Skills!H26&gt;0,INT(IF(Inputs!$B$38="pvp",MIN(Skills!I26,15),Skills!I26)/Skills!H26+0.000000001),1)</f>
        <v/>
      </c>
      <c r="H1063">
        <f>1-(1-Skills!J26/100)^Skills!K26</f>
        <v/>
      </c>
      <c r="I1063" t="inlineStr">
        <is>
          <t>1</t>
        </is>
      </c>
      <c r="J1063" t="inlineStr"/>
      <c r="K1063" t="inlineStr"/>
      <c r="L1063" t="inlineStr"/>
      <c r="M1063" t="inlineStr"/>
      <c r="N1063" t="inlineStr"/>
      <c r="O1063">
        <f>(1-Summary!$B$11)*T1063+Summary!$B$11*V1063</f>
        <v/>
      </c>
      <c r="P1063">
        <f>IF(B1078=0,0,O1063/B1078)</f>
        <v/>
      </c>
      <c r="Q1063" t="n">
        <v>0</v>
      </c>
      <c r="R1063" t="n">
        <v>0</v>
      </c>
      <c r="S1063">
        <f>IFERROR(O1063/N1063,0)</f>
        <v/>
      </c>
      <c r="T1063" t="n">
        <v>0</v>
      </c>
      <c r="V1063" t="n">
        <v>0</v>
      </c>
    </row>
    <row r="1064">
      <c r="A1064">
        <f>Skills!A27</f>
        <v/>
      </c>
      <c r="B1064">
        <f>Skills!B27</f>
        <v/>
      </c>
      <c r="C1064">
        <f>Inputs!$B$3&gt;=125</f>
        <v/>
      </c>
      <c r="D1064">
        <f>IF(Skills!C27=1,60+Inputs!$B$25+Inputs!$B$29,IF(Skills!C27=2,90+Inputs!$B$26+Inputs!$B$29,IF(Skills!C27=3,120+Inputs!$B$27+Inputs!$B$29,MAX(0,(Inputs!$B$3-100)*3)+Inputs!$B$28+Inputs!$B$29)))</f>
        <v/>
      </c>
      <c r="E1064">
        <f>INDEX(FactorTable!$B$2:$Y$301, MATCH(ROUND(MIN(300,MAX(1,D1064)),0), FactorTable!$A$2:$A$301,0), Skills!M27+1)</f>
        <v/>
      </c>
      <c r="F1064">
        <f>IF(Skills!N27=TRUE,(Skills!L27/10)*(E1064/1000),Skills!L27/10)+Skills!O27</f>
        <v/>
      </c>
      <c r="G1064">
        <f>Skills!G27*IF(Skills!H27&gt;0,INT(IF(Inputs!$B$38="pvp",MIN(Skills!I27,15),Skills!I27)/Skills!H27+0.000000001),1)</f>
        <v/>
      </c>
      <c r="H1064">
        <f>1-(1-Skills!J27/100)^Skills!K27</f>
        <v/>
      </c>
      <c r="I1064" t="inlineStr">
        <is>
          <t>1</t>
        </is>
      </c>
      <c r="J1064" t="inlineStr"/>
      <c r="K1064" t="inlineStr"/>
      <c r="L1064" t="inlineStr"/>
      <c r="M1064" t="inlineStr"/>
      <c r="N1064" t="inlineStr"/>
      <c r="O1064">
        <f>(1-Summary!$B$11)*T1064+Summary!$B$11*V1064</f>
        <v/>
      </c>
      <c r="P1064">
        <f>IF(B1078=0,0,O1064/B1078)</f>
        <v/>
      </c>
      <c r="Q1064" t="n">
        <v>0</v>
      </c>
      <c r="R1064" t="n">
        <v>0</v>
      </c>
      <c r="S1064">
        <f>IFERROR(O1064/N1064,0)</f>
        <v/>
      </c>
      <c r="T1064" t="n">
        <v>0</v>
      </c>
      <c r="V1064" t="n">
        <v>0</v>
      </c>
    </row>
    <row r="1065">
      <c r="A1065">
        <f>Skills!A28</f>
        <v/>
      </c>
      <c r="B1065">
        <f>Skills!B28</f>
        <v/>
      </c>
      <c r="C1065">
        <f>TRUE</f>
        <v/>
      </c>
      <c r="D1065">
        <f>IF(Skills!C28=1,60+Inputs!$B$25+Inputs!$B$29,IF(Skills!C28=2,90+Inputs!$B$26+Inputs!$B$29,IF(Skills!C28=3,120+Inputs!$B$27+Inputs!$B$29,MAX(0,(Inputs!$B$3-100)*3)+Inputs!$B$28+Inputs!$B$29)))</f>
        <v/>
      </c>
      <c r="E1065">
        <f>INDEX(FactorTable!$B$2:$Y$301, MATCH(ROUND(MIN(300,MAX(1,D1065)),0), FactorTable!$A$2:$A$301,0), Skills!M28+1)</f>
        <v/>
      </c>
      <c r="F1065">
        <f>IF(Skills!N28=TRUE,(Skills!L28/10)*(E1065/1000),Skills!L28/10)+Skills!O28</f>
        <v/>
      </c>
      <c r="G1065">
        <f>Skills!G28*IF(Skills!H28&gt;0,INT(IF(Inputs!$B$38="pvp",MIN(Skills!I28,15),Skills!I28)/Skills!H28+0.000000001),1)</f>
        <v/>
      </c>
      <c r="H1065">
        <f>1-(1-Skills!J28/100)^Skills!K28</f>
        <v/>
      </c>
      <c r="I1065" t="inlineStr">
        <is>
          <t>1</t>
        </is>
      </c>
      <c r="J1065" t="inlineStr"/>
      <c r="K1065" t="inlineStr"/>
      <c r="L1065" t="inlineStr"/>
      <c r="M1065" t="inlineStr"/>
      <c r="N1065" t="inlineStr"/>
      <c r="O1065">
        <f>(1-Summary!$B$11)*T1065+Summary!$B$11*V1065</f>
        <v/>
      </c>
      <c r="P1065">
        <f>IF(B1078=0,0,O1065/B1078)</f>
        <v/>
      </c>
      <c r="Q1065">
        <f>IFERROR(1/(IF(Inputs!$B$38="pvp",15,MAX(0.1,Skills!D28-IF(TRUE=TRUE,Inputs!$B$32,0)))*(1-IF(AND(ArtifactsInput!$M$27,Inputs!$B$4="Chapter Hunt"),CHOOSE(ArtifactsInput!$N$27+1,20,24,28,32,36,40),0)/100)),0)</f>
        <v/>
      </c>
      <c r="R1065">
        <f>IF(AND(Inputs!$B$38&lt;&gt;"pvp",Inputs!$B$43&gt;0),IF(Inputs!$B$43&lt;=0,0,(INT(Inputs!$B$43/(IF(Inputs!$B$38="pvp",15,MAX(0.1,Skills!D28-IF(TRUE=TRUE,Inputs!$B$32,0)))*(1-IF(AND(ArtifactsInput!$M$27,Inputs!$B$4="Chapter Hunt"),CHOOSE(ArtifactsInput!$N$27+1,20,24,28,32,36,40),0)/100)))+1)),0)</f>
        <v/>
      </c>
      <c r="S1065">
        <f>IFERROR(O1065/N1065,0)</f>
        <v/>
      </c>
      <c r="T1065" t="n">
        <v>0</v>
      </c>
      <c r="V1065" t="n">
        <v>0</v>
      </c>
    </row>
    <row r="1067">
      <c r="A1067" t="inlineStr">
        <is>
          <t>Attack% Bucket Multiplier</t>
        </is>
      </c>
      <c r="B1067">
        <f>(1+(((C1054=TRUE)*F1054*5/7)+((C1061=TRUE)*(F1061-Calc!F24))+(IF(ArtifactsInput!$M$21,CHOOSE(ArtifactsInput!$N$21+1,25,30,35,40,45,50)*(IF(OR(Inputs!$B$4="Chapter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068">
      <c r="A1068" t="inlineStr">
        <is>
          <t>Global Crit Rate Bonus %</t>
        </is>
      </c>
      <c r="B1068" t="n">
        <v>0</v>
      </c>
    </row>
    <row r="1069">
      <c r="A1069" t="inlineStr">
        <is>
          <t>Attack Speed Buff Bonus % (Nimble Feet, duty-cycle averaged)</t>
        </is>
      </c>
      <c r="B1069">
        <f>((C1065=TRUE)*F1065*IF(AND(Inputs!$B$38&lt;&gt;"pvp",Inputs!$B$43&gt;0),(((R1065-1)*MIN((Skills!T28*(1+Inputs!$B$34/100)),(1/Q1065))+MIN((Skills!T28*(1+Inputs!$B$34/100)),MAX(0,Inputs!$B$43-((R1065-1)*(1/Q1065)))))/Inputs!$B$43),IF(Inputs!$B$38="pvp",MIN((Skills!T28*(1+Inputs!$B$34/100)),15)/15,MIN(1,(Skills!T28*(1+Inputs!$B$34/100))/(1/Q1065)))))</f>
        <v/>
      </c>
    </row>
    <row r="1070">
      <c r="A1070" t="inlineStr">
        <is>
          <t>Actions Per Second</t>
        </is>
      </c>
      <c r="B1070">
        <f>1+MIN(150,150*(1-(1-(Inputs!$B$11+((C1057=TRUE)*(F1057-Calc!F20))+((C1058=TRUE)*(F1058-Calc!F21)))/150)*(1-B1069/150)))/100</f>
        <v/>
      </c>
    </row>
    <row r="1071">
      <c r="A1071" t="inlineStr">
        <is>
          <t>Skill + Buff Cast Rate</t>
        </is>
      </c>
      <c r="B1071">
        <f>IF(AND(Inputs!$B$38&lt;&gt;"pvp",Inputs!$B$43&gt;0),SUMPRODUCT((Skills!E2:E28=TRUE)*(C1039:C1065=TRUE)*R1039:R1065*Skills!F2:F28)/Inputs!$B$43,SUMPRODUCT((Skills!E2:E28=TRUE)*(C1039:C1065=TRUE)*Q1039:Q1065*Skills!F2:F28))</f>
        <v/>
      </c>
    </row>
    <row r="1072">
      <c r="A1072" t="inlineStr">
        <is>
          <t>Eight-Legs Easton Casts Per Second</t>
        </is>
      </c>
      <c r="B1072">
        <f>MAX(0,B1070-B1071)</f>
        <v/>
      </c>
    </row>
    <row r="1073">
      <c r="A1073" t="inlineStr">
        <is>
          <t>Global Critical Damage Bonus % (unused)</t>
        </is>
      </c>
      <c r="B1073" t="n">
        <v>0</v>
      </c>
    </row>
    <row r="1074">
      <c r="A1074" t="inlineStr">
        <is>
          <t>Global Final Damage Bonus % (Jolly Roger + Ahoy Mateys - Final Damage proc)</t>
        </is>
      </c>
      <c r="B1074">
        <f>((C1055=TRUE)*F1055*IF(AND(Inputs!$B$38&lt;&gt;"pvp",Inputs!$B$43&gt;0),(((R1055-1)*MIN((Skills!T18*(1+Inputs!$B$34/100)),(1/Q1055))+MIN((Skills!T18*(1+Inputs!$B$34/100)),MAX(0,Inputs!$B$43-((R1055-1)*(1/Q1055)))))/Inputs!$B$43),IF(Inputs!$B$38="pvp",MIN((Skills!T18*(1+Inputs!$B$34/100)),15)/15,MIN(1,(Skills!T18*(1+Inputs!$B$34/100))/(1/Q1055)))))+IF(Inputs!$B$3&gt;=122,20*IF(Inputs!$B$38="pvp",MIN((20*(1+Inputs!$B$34/100)),15)/15,MIN(1,(20*(1+Inputs!$B$34/100))/(1/Q1041))),0)</f>
        <v/>
      </c>
    </row>
    <row r="1075">
      <c r="A1075" t="inlineStr">
        <is>
          <t>Buff-Casting Startup Delay (s, fixed-duration only)</t>
        </is>
      </c>
      <c r="B1075">
        <f>IF(AND(Inputs!$B$38&lt;&gt;"pvp",Inputs!$B$43&gt;0),SUMPRODUCT((Skills!T2:T28&gt;0)*(Skills!E2:E28=TRUE)*(C1039:C1065=TRUE))/B1070,0)</f>
        <v/>
      </c>
    </row>
    <row r="1076">
      <c r="A1076" t="inlineStr">
        <is>
          <t>Boss-Only Total DPS (this block's swept value)</t>
        </is>
      </c>
      <c r="B1076">
        <f>SUM(T1039:T1065)</f>
        <v/>
      </c>
    </row>
    <row r="1077">
      <c r="A1077" t="inlineStr">
        <is>
          <t>Normal-Only Total DPS (this block's swept value)</t>
        </is>
      </c>
      <c r="B1077">
        <f>SUM(V1039:V1065)</f>
        <v/>
      </c>
    </row>
    <row r="1078">
      <c r="A1078" s="6" t="inlineStr">
        <is>
          <t>TOTAL DPS</t>
        </is>
      </c>
      <c r="B1078" s="6">
        <f>SUM(O1039:O1065)</f>
        <v/>
      </c>
    </row>
    <row r="1079">
      <c r="A1079" t="inlineStr">
        <is>
          <t>Quickdraw cooldown divisor (this block's own APS / Q)</t>
        </is>
      </c>
      <c r="B1079">
        <f>IF(AND(C1064=TRUE,Inputs!$B$38&lt;&gt;"pvp"),1+0.25*MAX(0,(B1070-(((C1040=TRUE)*Q1040*1)+((C1041=TRUE)*Q1041*1)+((C1043=TRUE)*Q1043*1)+((C1044=TRUE)*Q1044*1)+((C1046=TRUE)*Q1046*1)+((C1049=TRUE)*Q1049*1)+((C1055=TRUE)*Q1055*1)+((C1065=TRUE)*Q1065*1))-((C1045=TRUE)/(IF(Inputs!$B$38="pvp",15,MAX(0.1,Skills!D8-IF(TRUE=TRUE,Inputs!$B$32,0)))*(1-IF(AND(ArtifactsInput!$M$27,Inputs!$B$4="Chapter Hunt"),CHOOSE(ArtifactsInput!$N$27+1,20,24,28,32,36,40),0)/100))+(C1048=TRUE)/(IF(Inputs!$B$38="pvp",15,MAX(0.1,Skills!D11-IF(TRUE=TRUE,Inputs!$B$32,0)))*(1-IF(AND(ArtifactsInput!$M$27,Inputs!$B$4="Chapter Hunt"),CHOOSE(ArtifactsInput!$N$27+1,20,24,28,32,36,40),0)/100))))/(1+0.25*((C1045=TRUE)/(IF(Inputs!$B$38="pvp",15,MAX(0.1,Skills!D8-IF(TRUE=TRUE,Inputs!$B$32,0)))*(1-IF(AND(ArtifactsInput!$M$27,Inputs!$B$4="Chapter Hunt"),CHOOSE(ArtifactsInput!$N$27+1,20,24,28,32,36,40),0)/100))+(C1048=TRUE)/(IF(Inputs!$B$38="pvp",15,MAX(0.1,Skills!D11-IF(TRUE=TRUE,Inputs!$B$32,0)))*(1-IF(AND(ArtifactsInput!$M$27,Inputs!$B$4="Chapter Hunt"),CHOOSE(ArtifactsInput!$N$27+1,20,24,28,32,36,40),0)/100))))),1)</f>
        <v/>
      </c>
    </row>
    <row r="1080">
      <c r="A1080" t="inlineStr">
        <is>
          <t>Nautilus Strike - Final Attack trigger rate (this block's own Q/R)</t>
        </is>
      </c>
      <c r="B1080">
        <f>IF(AND(Inputs!$B$38&lt;&gt;"pvp",Inputs!$B$43&gt;0),(((C1040=TRUE)*R1040)+((C1043=TRUE)*R1043)+((C1045=TRUE)*R1045)+((C1046=TRUE)*R1046)+((C1048=TRUE)*R1048))/Inputs!$B$43,((C1040=TRUE)*Q1040)+((C1043=TRUE)*Q1043)+((C1045=TRUE)*Q1045)+((C1046=TRUE)*Q1046)+((C1048=TRUE)*Q1048))+B1072</f>
        <v/>
      </c>
    </row>
    <row r="1083">
      <c r="A1083" s="6" t="inlineStr">
        <is>
          <t>Stat: ATTACK %</t>
        </is>
      </c>
    </row>
    <row r="1084">
      <c r="A1084" s="5" t="inlineStr">
        <is>
          <t>Key</t>
        </is>
      </c>
      <c r="B1084" s="5" t="inlineStr">
        <is>
          <t>Name</t>
        </is>
      </c>
      <c r="C1084" s="5" t="inlineStr">
        <is>
          <t>Unlocked</t>
        </is>
      </c>
      <c r="D1084" s="5" t="inlineStr">
        <is>
          <t>InputLevel</t>
        </is>
      </c>
      <c r="E1084" s="5" t="inlineStr">
        <is>
          <t>Factor</t>
        </is>
      </c>
      <c r="F1084" s="5" t="inlineStr">
        <is>
          <t>CoefficientPercent</t>
        </is>
      </c>
      <c r="G1084" s="5" t="inlineStr">
        <is>
          <t>EffectiveHits</t>
        </is>
      </c>
      <c r="H1084" s="5" t="inlineStr">
        <is>
          <t>ProcProbability</t>
        </is>
      </c>
      <c r="I1084" s="5" t="inlineStr">
        <is>
          <t>MapleHeroMultiplier</t>
        </is>
      </c>
      <c r="J1084" s="5" t="inlineStr">
        <is>
          <t>BaseDamage</t>
        </is>
      </c>
      <c r="K1084" s="5" t="inlineStr">
        <is>
          <t>BaseHitDamage</t>
        </is>
      </c>
      <c r="L1084" s="5" t="inlineStr">
        <is>
          <t>NonCritAvg</t>
        </is>
      </c>
      <c r="M1084" s="5" t="inlineStr">
        <is>
          <t>CritAvg</t>
        </is>
      </c>
      <c r="N1084" s="5" t="inlineStr">
        <is>
          <t>ExpectedDamage(perHit)</t>
        </is>
      </c>
      <c r="O1084" s="5" t="inlineStr">
        <is>
          <t>DPS</t>
        </is>
      </c>
      <c r="P1084" s="5" t="inlineStr">
        <is>
          <t>% of Total</t>
        </is>
      </c>
      <c r="Q1084" s="5" t="inlineStr">
        <is>
          <t>InvCooldown</t>
        </is>
      </c>
      <c r="R1084" s="5" t="inlineStr">
        <is>
          <t>CastsInFight</t>
        </is>
      </c>
      <c r="S1084" s="5" t="inlineStr">
        <is>
          <t>HitRate(perSec)</t>
        </is>
      </c>
      <c r="U1084" t="inlineStr">
        <is>
          <t>helpers</t>
        </is>
      </c>
    </row>
    <row r="1085">
      <c r="A1085">
        <f>Skills!A2</f>
        <v/>
      </c>
      <c r="B1085">
        <f>Skills!B2</f>
        <v/>
      </c>
      <c r="C1085">
        <f>Inputs!$B$3&gt;=100</f>
        <v/>
      </c>
      <c r="D1085" t="inlineStr"/>
      <c r="E1085" t="inlineStr"/>
      <c r="F1085">
        <f>U1087+Skills!O2</f>
        <v/>
      </c>
      <c r="G1085">
        <f>Skills!G2*IF(Skills!H2&gt;0,INT(IF(Inputs!$B$38="pvp",MIN(Skills!I2,15),Skills!I2)/Skills!H2+0.000000001),1)</f>
        <v/>
      </c>
      <c r="H1085">
        <f>1-(1-Skills!J2/100)^Skills!K2</f>
        <v/>
      </c>
      <c r="I1085" t="inlineStr">
        <is>
          <t>1</t>
        </is>
      </c>
      <c r="J1085">
        <f>((Inputs!$B$6*(1+(Inputs!$B$7+1)/100))+(((Inputs!$B$12*(1+Inputs!$B$13/100))-(Inputs!$B$12*(1+Inputs!$B$13/100)))+0.25*(Inputs!$B$14-Inputs!$B$14))*(1+(Inputs!$B$7+1)/100))*(F1085/100)</f>
        <v/>
      </c>
      <c r="K1085">
        <f>J1085*(1+((Inputs!$B$12*(1+Inputs!$B$13/100))*0.01+Inputs!$B$14*0.0025)/100)*(1+Inputs!$B$15/100)*(1+Inputs!$B$16/100)*(5000/(6000+Inputs!$B$42*(1-(100*(1-(1-(Inputs!$B$19+0)/100)*(1-CHOOSE(ArtifactsInput!$N$40+1,5,6,7,8,9,10)/100)^(ArtifactsInput!$M$40-ArtifactsInput!$M$40)))/100)))*(1+(Inputs!$B$24+((C1109=TRUE)*(F1109-Calc!F26))+B1120)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IGHT_LEGS_EASTON",Inputs!$B$17+((C1106=TRUE)*(F1106-Calc!F23))+((C1110=TRUE)*(F1110-Calc!F27))+((IF(AND(Inputs!$B$38&lt;&gt;"pvp",Inputs!$B$43=0),1,IF(IF(Inputs!$B$38="pvp",15,Inputs!$B$43)-(B1121)&lt;=0,1,MAX(0,IF(Inputs!$B$38="pvp",15,Inputs!$B$43)-MAX(5,B1121))/(IF(Inputs!$B$38="pvp",15,Inputs!$B$43)-(B1121))))*(IF(AND(ArtifactsInput!$M$42,((Inputs!$B$9+((C1102=TRUE)*(F1102-Calc!F19))+B1114+(ArtifactsInput!$M$24-ArtifactsInput!$M$24)*CHOOSE(ArtifactsInput!$N$24+1,10,12,14,16,18,20)+IF(ArtifactsInput!$M$10,CHOOSE(ArtifactsInput!$N$10+1,15,18,21,24,27,30)*(IF(Inputs!$B$38="pvp",MIN(15,15)/15,IF(AND(Inputs!$B$38&lt;&gt;"pvp",Inputs!$B$43&gt;0),MIN(15,Inputs!$B$43)/(Inputs!$B$43),0))),0)))&gt;=100),MIN(100,((Inputs!$B$9+((C1102=TRUE)*(F1102-Calc!F19))+B1114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1121)&lt;=0,1,MAX(0,IF(Inputs!$B$38="pvp",15,Inputs!$B$43)-MAX(5,B1121))/(IF(Inputs!$B$38="pvp",15,Inputs!$B$43)-(B1121))))*IF(AND(ArtifactsInput!$M$42,((Inputs!$B$9+((C1102=TRUE)*(F1102-Calc!F19))+B1114+(ArtifactsInput!$M$24-ArtifactsInput!$M$24)*CHOOSE(ArtifactsInput!$N$24+1,10,12,14,16,18,20)+IF(ArtifactsInput!$M$10,CHOOSE(ArtifactsInput!$N$10+1,15,18,21,24,27,30)*(IF(Inputs!$B$38="pvp",MIN(15,15)/15,IF(AND(Inputs!$B$38&lt;&gt;"pvp",Inputs!$B$43&gt;0),MIN(15,Inputs!$B$43)/(Inputs!$B$43),0))),0)))&gt;=100),CHOOSE(ArtifactsInput!$N$42+1,40,48,56,64,72,80),0))))/100)*((1+(((C1100=TRUE)*F1100*5/7)+((C1107=TRUE)*(F1107-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1085)</f>
        <v/>
      </c>
      <c r="L1085">
        <f>K1085*(MIN(Inputs!$B$22+((C1105=TRUE)*(F1105-Calc!F22)),(Inputs!$B$23+0+(IF(ArtifactsInput!$M$15,CHOOSE(ArtifactsInput!$N$15+1,25,30,35,40,45,50)/100*(Inputs!$B$11-Inputs!$B$11),0))))/100+(Inputs!$B$23+0+(IF(ArtifactsInput!$M$15,CHOOSE(ArtifactsInput!$N$15+1,25,30,35,40,45,50)/100*(Inputs!$B$11-Inputs!$B$11),0)))/100)/2</f>
        <v/>
      </c>
      <c r="M1085">
        <f>L1085*(1+(Inputs!$B$10+((C1108=TRUE)*(F1108-Calc!F25))+B1119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85">
        <f>L1085*(1-MIN((Inputs!$B$9+((C1102=TRUE)*(F1102-Calc!F19))+B1114+(ArtifactsInput!$M$24-ArtifactsInput!$M$24)*CHOOSE(ArtifactsInput!$N$24+1,10,12,14,16,18,20)+(IF(AND(Inputs!$B$38&lt;&gt;"pvp",Inputs!$B$43=0),1,IF(IF(Inputs!$B$38="pvp",15,Inputs!$B$43)-(B1121)&lt;=0,1,MAX(0,IF(Inputs!$B$38="pvp",15,Inputs!$B$43)-MAX(5,B1121))/(IF(Inputs!$B$38="pvp",15,Inputs!$B$43)-(B1121))))*IF(AND(ArtifactsInput!$M$42,((Inputs!$B$9+((C1102=TRUE)*(F1102-Calc!F19))+B1114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1085*(MIN((Inputs!$B$9+((C1102=TRUE)*(F1102-Calc!F19))+B1114+(ArtifactsInput!$M$24-ArtifactsInput!$M$24)*CHOOSE(ArtifactsInput!$N$24+1,10,12,14,16,18,20)+(IF(AND(Inputs!$B$38&lt;&gt;"pvp",Inputs!$B$43=0),1,IF(IF(Inputs!$B$38="pvp",15,Inputs!$B$43)-(B1121)&lt;=0,1,MAX(0,IF(Inputs!$B$38="pvp",15,Inputs!$B$43)-MAX(5,B1121))/(IF(Inputs!$B$38="pvp",15,Inputs!$B$43)-(B1121))))*IF(AND(ArtifactsInput!$M$42,((Inputs!$B$9+((C1102=TRUE)*(F1102-Calc!F19))+B1114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85">
        <f>(1-Summary!$B$11)*T1085+Summary!$B$11*V1085</f>
        <v/>
      </c>
      <c r="P1085">
        <f>IF(B1124=0,0,O1085/B1124)</f>
        <v/>
      </c>
      <c r="Q1085" t="n">
        <v>0</v>
      </c>
      <c r="R1085" t="n">
        <v>0</v>
      </c>
      <c r="S1085">
        <f>IFERROR(O1085/N1085,0)</f>
        <v/>
      </c>
      <c r="T1085">
        <f>IF(C1085,(Skills!G2*N1085*B1118*(1+IF(C1110=TRUE,1/3,0)))*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Hunt"),CHOOSE(ArtifactsInput!$N$35+1,15,18,21,24,27,30)*(1-EXP(-(0.2*B1116)*5)),0)+IF(AND(ArtifactsInput!$M$22,Inputs!$B$4&lt;&gt;"Chapter Hunt"),CHOOSE(ArtifactsInput!$N$22+1,10,12,14,16,18,20)*((0*(((0.15*B1116*5))^0/1)+1*(((0.15*B1116*5))^1/1)+2*(((0.15*B1116*5))^2/2)+3*(((0.15*B1116*5))^3/6)+4*(((0.15*B1116*5))^4/24)+5*(((0.15*B1116*5))^5/120))/((((0.15*B1116*5))^0/1)+(((0.15*B1116*5))^1/1)+(((0.15*B1116*5))^2/2)+(((0.15*B1116*5))^3/6)+(((0.15*B1116*5))^4/24)+(((0.15*B1116*5))^5/120))),0))+IF(Inputs!$B$3&gt;=54,9*(C1086=TRUE)*MIN(1,8*(1+Inputs!$B$34/100)*Q1086)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1085*(1-MIN(100,(Inputs!$B$9+((C1102=TRUE)*(F1102-Calc!F19))+B1114+(ArtifactsInput!$M$24-ArtifactsInput!$M$24)*CHOOSE(ArtifactsInput!$N$24+1,10,12,14,16,18,20)+(IF(AND(Inputs!$B$38&lt;&gt;"pvp",Inputs!$B$43=0),1,IF(IF(Inputs!$B$38="pvp",15,Inputs!$B$43)-(B1121)&lt;=0,1,MAX(0,IF(Inputs!$B$38="pvp",15,Inputs!$B$43)-MAX(5,B1121))/(IF(Inputs!$B$38="pvp",15,Inputs!$B$43)-(B1121))))*IF(AND(ArtifactsInput!$M$42,((Inputs!$B$9+((C1102=TRUE)*(F1102-Calc!F19))+B1114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1085*(MIN(100,(Inputs!$B$9+((C1102=TRUE)*(F1102-Calc!F19))+B1114+(ArtifactsInput!$M$24-ArtifactsInput!$M$24)*CHOOSE(ArtifactsInput!$N$24+1,10,12,14,16,18,20)+(IF(AND(Inputs!$B$38&lt;&gt;"pvp",Inputs!$B$43=0),1,IF(IF(Inputs!$B$38="pvp",15,Inputs!$B$43)-(B1121)&lt;=0,1,MAX(0,IF(Inputs!$B$38="pvp",15,Inputs!$B$43)-MAX(5,B1121))/(IF(Inputs!$B$38="pvp",15,Inputs!$B$43)-(B1121))))*IF(AND(ArtifactsInput!$M$42,((Inputs!$B$9+((C1102=TRUE)*(F1102-Calc!F19))+B1114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1085*(1-MIN(100,(Inputs!$B$9+((C1102=TRUE)*(F1102-Calc!F19))+B1114+(ArtifactsInput!$M$24-ArtifactsInput!$M$24)*CHOOSE(ArtifactsInput!$N$24+1,10,12,14,16,18,20)+(IF(AND(Inputs!$B$38&lt;&gt;"pvp",Inputs!$B$43=0),1,IF(IF(Inputs!$B$38="pvp",15,Inputs!$B$43)-(B1121)&lt;=0,1,MAX(0,IF(Inputs!$B$38="pvp",15,Inputs!$B$43)-MAX(5,B1121))/(IF(Inputs!$B$38="pvp",15,Inputs!$B$43)-(B1121))))*IF(AND(ArtifactsInput!$M$42,((Inputs!$B$9+((C1102=TRUE)*(F1102-Calc!F19))+B1114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1085*(MIN(100,(Inputs!$B$9+((C1102=TRUE)*(F1102-Calc!F19))+B1114+(ArtifactsInput!$M$24-ArtifactsInput!$M$24)*CHOOSE(ArtifactsInput!$N$24+1,10,12,14,16,18,20)+(IF(AND(Inputs!$B$38&lt;&gt;"pvp",Inputs!$B$43=0),1,IF(IF(Inputs!$B$38="pvp",15,Inputs!$B$43)-(B1121)&lt;=0,1,MAX(0,IF(Inputs!$B$38="pvp",15,Inputs!$B$43)-MAX(5,B1121))/(IF(Inputs!$B$38="pvp",15,Inputs!$B$43)-(B1121))))*IF(AND(ArtifactsInput!$M$42,((Inputs!$B$9+((C1102=TRUE)*(F1102-Calc!F19))+B1114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085">
        <f>MAX(0,(Inputs!$B$3-100)*3)+Inputs!$B$28+Inputs!$B$29</f>
        <v/>
      </c>
      <c r="V1085">
        <f>IF(C1085,(Skills!G2*N1085*B1118*(1+IF(C1110=TRUE,1/3,0)))*IF(Inputs!$B$38="pvp",1,(1+(Inputs!$B$21+Skills!Q2+(IF(ArtifactsInput!$M$33,CHOOSE(ArtifactsInput!$N$33+1,30,36,42,48,54,60),0))+(IF(AND(ArtifactsInput!$M$35,Inputs!$B$4&lt;&gt;"Chapter Hunt"),CHOOSE(ArtifactsInput!$N$35+1,15,18,21,24,27,30)*(1-EXP(-(0.2*B1116)*5)),0)+IF(AND(ArtifactsInput!$M$22,Inputs!$B$4&lt;&gt;"Chapter Hunt"),CHOOSE(ArtifactsInput!$N$22+1,10,12,14,16,18,20)*((0*(((0.15*B1116*5))^0/1)+1*(((0.15*B1116*5))^1/1)+2*(((0.15*B1116*5))^2/2)+3*(((0.15*B1116*5))^3/6)+4*(((0.15*B1116*5))^4/24)+5*(((0.15*B1116*5))^5/120))/((((0.15*B1116*5))^0/1)+(((0.15*B1116*5))^1/1)+(((0.15*B1116*5))^2/2)+(((0.15*B1116*5))^3/6)+(((0.15*B1116*5))^4/24)+(((0.15*B1116*5))^5/120))),0))+IF(Inputs!$B$3&gt;=54,9*(C1086=TRUE)*MIN(1,8*(1+Inputs!$B$34/100)*Q1086),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86">
      <c r="A1086">
        <f>Skills!A3</f>
        <v/>
      </c>
      <c r="B1086">
        <f>Skills!B3</f>
        <v/>
      </c>
      <c r="C1086">
        <f>Inputs!$B$3&gt;=33</f>
        <v/>
      </c>
      <c r="D1086">
        <f>IF(Skills!C3=1,60+Inputs!$B$25+Inputs!$B$29,IF(Skills!C3=2,90+Inputs!$B$26+Inputs!$B$29,IF(Skills!C3=3,120+Inputs!$B$27+Inputs!$B$29,MAX(0,(Inputs!$B$3-100)*3)+Inputs!$B$28+Inputs!$B$29)))</f>
        <v/>
      </c>
      <c r="E1086">
        <f>INDEX(FactorTable!$B$2:$Y$301, MATCH(ROUND(MIN(300,MAX(1,D1086)),0), FactorTable!$A$2:$A$301,0), Skills!M3+1)</f>
        <v/>
      </c>
      <c r="F1086">
        <f>IF(Skills!N3=TRUE,(Skills!L3/10)*(E1086/1000),Skills!L3/10)+Skills!O3</f>
        <v/>
      </c>
      <c r="G1086">
        <f>Skills!G3*IF(Skills!H3&gt;0,INT(IF(Inputs!$B$38="pvp",MIN(Skills!I3,15),Skills!I3)/Skills!H3+0.000000001),1)</f>
        <v/>
      </c>
      <c r="H1086">
        <f>1-(1-Skills!J3/100)^Skills!K3</f>
        <v/>
      </c>
      <c r="I1086" t="inlineStr">
        <is>
          <t>1</t>
        </is>
      </c>
      <c r="J1086">
        <f>((Inputs!$B$6*(1+(Inputs!$B$7+1)/100))+(((Inputs!$B$12*(1+Inputs!$B$13/100))-(Inputs!$B$12*(1+Inputs!$B$13/100)))+0.25*(Inputs!$B$14-Inputs!$B$14))*(1+(Inputs!$B$7+1)/100))*(F1086/100)</f>
        <v/>
      </c>
      <c r="K1086">
        <f>J1086*(1+((Inputs!$B$12*(1+Inputs!$B$13/100))*0.01+Inputs!$B$14*0.0025)/100)*(1+Inputs!$B$15/100)*(1+Inputs!$B$16/100)*(5000/(6000+Inputs!$B$42*(1-(100*(1-(1-(Inputs!$B$19+0)/100)*(1-CHOOSE(ArtifactsInput!$N$40+1,5,6,7,8,9,10)/100)^(ArtifactsInput!$M$40-ArtifactsInput!$M$40)))/100)))*(1+(Inputs!$B$24+((C1109=TRUE)*(F1109-Calc!F26))+B1120)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1098=TRUE,F1098,0)/100)*(1+(IF(Skills!A3="EIGHT_LEGS_EASTON",Inputs!$B$17+((C1106=TRUE)*(F1106-Calc!F23))+((C1110=TRUE)*(F1110-Calc!F27))+((IF(AND(Inputs!$B$38&lt;&gt;"pvp",Inputs!$B$43=0),1,IF(IF(Inputs!$B$38="pvp",15,Inputs!$B$43)-(B1121)&lt;=0,1,MAX(0,IF(Inputs!$B$38="pvp",15,Inputs!$B$43)-MAX(5,B1121))/(IF(Inputs!$B$38="pvp",15,Inputs!$B$43)-(B1121))))*(IF(AND(ArtifactsInput!$M$42,((Inputs!$B$9+((C1102=TRUE)*(F1102-Calc!F19))+B1114+(ArtifactsInput!$M$24-ArtifactsInput!$M$24)*CHOOSE(ArtifactsInput!$N$24+1,10,12,14,16,18,20)+IF(ArtifactsInput!$M$10,CHOOSE(ArtifactsInput!$N$10+1,15,18,21,24,27,30)*(IF(Inputs!$B$38="pvp",MIN(15,15)/15,IF(AND(Inputs!$B$38&lt;&gt;"pvp",Inputs!$B$43&gt;0),MIN(15,Inputs!$B$43)/(Inputs!$B$43),0))),0)))&gt;=100),MIN(100,((Inputs!$B$9+((C1102=TRUE)*(F1102-Calc!F19))+B1114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1121)&lt;=0,1,MAX(0,IF(Inputs!$B$38="pvp",15,Inputs!$B$43)-MAX(5,B1121))/(IF(Inputs!$B$38="pvp",15,Inputs!$B$43)-(B1121))))*IF(AND(ArtifactsInput!$M$42,((Inputs!$B$9+((C1102=TRUE)*(F1102-Calc!F19))+B1114+(ArtifactsInput!$M$24-ArtifactsInput!$M$24)*CHOOSE(ArtifactsInput!$N$24+1,10,12,14,16,18,20)+IF(ArtifactsInput!$M$10,CHOOSE(ArtifactsInput!$N$10+1,15,18,21,24,27,30)*(IF(Inputs!$B$38="pvp",MIN(15,15)/15,IF(AND(Inputs!$B$38&lt;&gt;"pvp",Inputs!$B$43&gt;0),MIN(15,Inputs!$B$43)/(Inputs!$B$43),0))),0)))&gt;=100),CHOOSE(ArtifactsInput!$N$42+1,40,48,56,64,72,80),0))))/100)*((1+(((C1100=TRUE)*F1100*5/7)+((C1107=TRUE)*(F1107-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1086)</f>
        <v/>
      </c>
      <c r="L1086">
        <f>K1086*(MIN(Inputs!$B$22+((C1105=TRUE)*(F1105-Calc!F22)),(Inputs!$B$23+0+(IF(ArtifactsInput!$M$15,CHOOSE(ArtifactsInput!$N$15+1,25,30,35,40,45,50)/100*(Inputs!$B$11-Inputs!$B$11),0))))/100+(Inputs!$B$23+0+(IF(ArtifactsInput!$M$15,CHOOSE(ArtifactsInput!$N$15+1,25,30,35,40,45,50)/100*(Inputs!$B$11-Inputs!$B$11),0)))/100)/2</f>
        <v/>
      </c>
      <c r="M1086">
        <f>L1086*(1+(Inputs!$B$10+((C1108=TRUE)*(F1108-Calc!F25))+B1119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86">
        <f>L1086*(1-MIN((Inputs!$B$9+((C1102=TRUE)*(F1102-Calc!F19))+B1114+(ArtifactsInput!$M$24-ArtifactsInput!$M$24)*CHOOSE(ArtifactsInput!$N$24+1,10,12,14,16,18,20)+(IF(AND(Inputs!$B$38&lt;&gt;"pvp",Inputs!$B$43=0),1,IF(IF(Inputs!$B$38="pvp",15,Inputs!$B$43)-(B1121)&lt;=0,1,MAX(0,IF(Inputs!$B$38="pvp",15,Inputs!$B$43)-MAX(5,B1121))/(IF(Inputs!$B$38="pvp",15,Inputs!$B$43)-(B1121))))*IF(AND(ArtifactsInput!$M$42,((Inputs!$B$9+((C1102=TRUE)*(F1102-Calc!F19))+B1114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1086*(MIN((Inputs!$B$9+((C1102=TRUE)*(F1102-Calc!F19))+B1114+(ArtifactsInput!$M$24-ArtifactsInput!$M$24)*CHOOSE(ArtifactsInput!$N$24+1,10,12,14,16,18,20)+(IF(AND(Inputs!$B$38&lt;&gt;"pvp",Inputs!$B$43=0),1,IF(IF(Inputs!$B$38="pvp",15,Inputs!$B$43)-(B1121)&lt;=0,1,MAX(0,IF(Inputs!$B$38="pvp",15,Inputs!$B$43)-MAX(5,B1121))/(IF(Inputs!$B$38="pvp",15,Inputs!$B$43)-(B1121))))*IF(AND(ArtifactsInput!$M$42,((Inputs!$B$9+((C1102=TRUE)*(F1102-Calc!F19))+B1114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86">
        <f>(1-Summary!$B$11)*T1086+Summary!$B$11*V1086</f>
        <v/>
      </c>
      <c r="P1086">
        <f>IF(B1124=0,0,O1086/B1124)</f>
        <v/>
      </c>
      <c r="Q1086">
        <f>IFERROR(1/(IF(Inputs!$B$38="pvp",15,MAX(0.1,Skills!D3-IF(TRUE=TRUE,Inputs!$B$32,0)))*(1-IF(AND(ArtifactsInput!$M$27,Inputs!$B$4="Chapter Hunt"),CHOOSE(ArtifactsInput!$N$27+1,20,24,28,32,36,40),0)/100)),0)</f>
        <v/>
      </c>
      <c r="R1086">
        <f>IF(AND(Inputs!$B$38&lt;&gt;"pvp",Inputs!$B$43&gt;0),IF(MAX(0,Inputs!$B$43-B1121)&lt;=0,0,(INT(MAX(0,Inputs!$B$43-B1121)/(IF(Inputs!$B$38="pvp",15,MAX(0.1,Skills!D3-IF(TRUE=TRUE,Inputs!$B$32,0)))*(1-IF(AND(ArtifactsInput!$M$27,Inputs!$B$4="Chapter Hunt"),CHOOSE(ArtifactsInput!$N$27+1,20,24,28,32,36,40),0)/100)))+1)),0)</f>
        <v/>
      </c>
      <c r="S1086">
        <f>IFERROR(O1086/N1086,0)</f>
        <v/>
      </c>
      <c r="T1086">
        <f>IF(C1086,(H1086*N1086*IF(AND(Inputs!$B$38&lt;&gt;"pvp",Inputs!$B$43&gt;0),((Skills!G3*((R1086-1)*IF(Skills!H3&gt;0,INT(Skills!I3/Skills!H3+0.000000001),1)+IF(Skills!H3&gt;0,INT(MIN(Skills!I3,MAX(0,MAX(0,Inputs!$B$43-B1121)-((R1086-1)*(IF(Inputs!$B$38="pvp",15,MAX(0.1,Skills!D3-IF(TRUE=TRUE,Inputs!$B$32,0)))*(1-IF(AND(ArtifactsInput!$M$27,Inputs!$B$4="Chapter Hunt"),CHOOSE(ArtifactsInput!$N$27+1,20,24,28,32,36,40),0)/100)))))/Skills!H3+0.000000001),1)))/Inputs!$B$43),G1086*Q1086))*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Hunt"),CHOOSE(ArtifactsInput!$N$35+1,15,18,21,24,27,30)*(1-EXP(-(0.2*B1116)*5)),0)+IF(AND(ArtifactsInput!$M$22,Inputs!$B$4&lt;&gt;"Chapter Hunt"),CHOOSE(ArtifactsInput!$N$22+1,10,12,14,16,18,20)*((0*(((0.15*B1116*5))^0/1)+1*(((0.15*B1116*5))^1/1)+2*(((0.15*B1116*5))^2/2)+3*(((0.15*B1116*5))^3/6)+4*(((0.15*B1116*5))^4/24)+5*(((0.15*B1116*5))^5/120))/((((0.15*B1116*5))^0/1)+(((0.15*B1116*5))^1/1)+(((0.15*B1116*5))^2/2)+(((0.15*B1116*5))^3/6)+(((0.15*B1116*5))^4/24)+(((0.15*B1116*5))^5/120))),0))+IF(Inputs!$B$3&gt;=54,9*(C1086=TRUE)*MIN(1,8*(1+Inputs!$B$34/100)*Q1086)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1086*(1-MIN(100,(Inputs!$B$9+((C1102=TRUE)*(F1102-Calc!F19))+B1114+(ArtifactsInput!$M$24-ArtifactsInput!$M$24)*CHOOSE(ArtifactsInput!$N$24+1,10,12,14,16,18,20)+(IF(AND(Inputs!$B$38&lt;&gt;"pvp",Inputs!$B$43=0),1,IF(IF(Inputs!$B$38="pvp",15,Inputs!$B$43)-(B1121)&lt;=0,1,MAX(0,IF(Inputs!$B$38="pvp",15,Inputs!$B$43)-MAX(5,B1121))/(IF(Inputs!$B$38="pvp",15,Inputs!$B$43)-(B1121))))*IF(AND(ArtifactsInput!$M$42,((Inputs!$B$9+((C1102=TRUE)*(F1102-Calc!F19))+B1114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1086*(MIN(100,(Inputs!$B$9+((C1102=TRUE)*(F1102-Calc!F19))+B1114+(ArtifactsInput!$M$24-ArtifactsInput!$M$24)*CHOOSE(ArtifactsInput!$N$24+1,10,12,14,16,18,20)+(IF(AND(Inputs!$B$38&lt;&gt;"pvp",Inputs!$B$43=0),1,IF(IF(Inputs!$B$38="pvp",15,Inputs!$B$43)-(B1121)&lt;=0,1,MAX(0,IF(Inputs!$B$38="pvp",15,Inputs!$B$43)-MAX(5,B1121))/(IF(Inputs!$B$38="pvp",15,Inputs!$B$43)-(B1121))))*IF(AND(ArtifactsInput!$M$42,((Inputs!$B$9+((C1102=TRUE)*(F1102-Calc!F19))+B1114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1086*(1-MIN(100,(Inputs!$B$9+((C1102=TRUE)*(F1102-Calc!F19))+B1114+(ArtifactsInput!$M$24-ArtifactsInput!$M$24)*CHOOSE(ArtifactsInput!$N$24+1,10,12,14,16,18,20)+(IF(AND(Inputs!$B$38&lt;&gt;"pvp",Inputs!$B$43=0),1,IF(IF(Inputs!$B$38="pvp",15,Inputs!$B$43)-(B1121)&lt;=0,1,MAX(0,IF(Inputs!$B$38="pvp",15,Inputs!$B$43)-MAX(5,B1121))/(IF(Inputs!$B$38="pvp",15,Inputs!$B$43)-(B1121))))*IF(AND(ArtifactsInput!$M$42,((Inputs!$B$9+((C1102=TRUE)*(F1102-Calc!F19))+B1114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1086*(MIN(100,(Inputs!$B$9+((C1102=TRUE)*(F1102-Calc!F19))+B1114+(ArtifactsInput!$M$24-ArtifactsInput!$M$24)*CHOOSE(ArtifactsInput!$N$24+1,10,12,14,16,18,20)+(IF(AND(Inputs!$B$38&lt;&gt;"pvp",Inputs!$B$43=0),1,IF(IF(Inputs!$B$38="pvp",15,Inputs!$B$43)-(B1121)&lt;=0,1,MAX(0,IF(Inputs!$B$38="pvp",15,Inputs!$B$43)-MAX(5,B1121))/(IF(Inputs!$B$38="pvp",15,Inputs!$B$43)-(B1121))))*IF(AND(ArtifactsInput!$M$42,((Inputs!$B$9+((C1102=TRUE)*(F1102-Calc!F19))+B1114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086">
        <f>INDEX(FactorTable!$B$2:$Y$301, MATCH(ROUND(MIN(300,MAX(1,U1085)),0), FactorTable!$A$2:$A$301,0), 22)</f>
        <v/>
      </c>
      <c r="V1086">
        <f>IF(C1086,(H1086*N1086*IF(AND(Inputs!$B$38&lt;&gt;"pvp",Inputs!$B$43&gt;0),((Skills!G3*((R1086-1)*IF(Skills!H3&gt;0,INT(Skills!I3/Skills!H3+0.000000001),1)+IF(Skills!H3&gt;0,INT(MIN(Skills!I3,MAX(0,MAX(0,Inputs!$B$43-B1121)-((R1086-1)*(IF(Inputs!$B$38="pvp",15,MAX(0.1,Skills!D3-IF(TRUE=TRUE,Inputs!$B$32,0)))*(1-IF(AND(ArtifactsInput!$M$27,Inputs!$B$4="Chapter Hunt"),CHOOSE(ArtifactsInput!$N$27+1,20,24,28,32,36,40),0)/100)))))/Skills!H3+0.000000001),1)))/Inputs!$B$43),G1086*Q1086))*IF(Inputs!$B$38="pvp",1,(1+(Inputs!$B$21+Skills!Q3+(IF(ArtifactsInput!$M$33,CHOOSE(ArtifactsInput!$N$33+1,30,36,42,48,54,60),0))+(IF(AND(ArtifactsInput!$M$35,Inputs!$B$4&lt;&gt;"Chapter Hunt"),CHOOSE(ArtifactsInput!$N$35+1,15,18,21,24,27,30)*(1-EXP(-(0.2*B1116)*5)),0)+IF(AND(ArtifactsInput!$M$22,Inputs!$B$4&lt;&gt;"Chapter Hunt"),CHOOSE(ArtifactsInput!$N$22+1,10,12,14,16,18,20)*((0*(((0.15*B1116*5))^0/1)+1*(((0.15*B1116*5))^1/1)+2*(((0.15*B1116*5))^2/2)+3*(((0.15*B1116*5))^3/6)+4*(((0.15*B1116*5))^4/24)+5*(((0.15*B1116*5))^5/120))/((((0.15*B1116*5))^0/1)+(((0.15*B1116*5))^1/1)+(((0.15*B1116*5))^2/2)+(((0.15*B1116*5))^3/6)+(((0.15*B1116*5))^4/24)+(((0.15*B1116*5))^5/120))),0))+IF(Inputs!$B$3&gt;=54,9*(C1086=TRUE)*MIN(1,8*(1+Inputs!$B$34/100)*Q1086),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87">
      <c r="A1087">
        <f>Skills!A4</f>
        <v/>
      </c>
      <c r="B1087">
        <f>Skills!B4</f>
        <v/>
      </c>
      <c r="C1087">
        <f>Inputs!$B$3&gt;=35</f>
        <v/>
      </c>
      <c r="D1087">
        <f>IF(Skills!C4=1,60+Inputs!$B$25+Inputs!$B$29,IF(Skills!C4=2,90+Inputs!$B$26+Inputs!$B$29,IF(Skills!C4=3,120+Inputs!$B$27+Inputs!$B$29,MAX(0,(Inputs!$B$3-100)*3)+Inputs!$B$28+Inputs!$B$29)))</f>
        <v/>
      </c>
      <c r="E1087">
        <f>INDEX(FactorTable!$B$2:$Y$301, MATCH(ROUND(MIN(300,MAX(1,D1087)),0), FactorTable!$A$2:$A$301,0), Skills!M4+1)</f>
        <v/>
      </c>
      <c r="F1087">
        <f>IF(Skills!N4=TRUE,(Skills!L4/10)*(E1087/1000),Skills!L4/10)+Skills!O4</f>
        <v/>
      </c>
      <c r="G1087">
        <f>Skills!G4*IF(Skills!H4&gt;0,INT(IF(Inputs!$B$38="pvp",MIN(IF(Inputs!$B$3&gt;=104,MIN(35,20*(1+Inputs!$B$34/100)),20),15),IF(Inputs!$B$3&gt;=104,MIN(35,20*(1+Inputs!$B$34/100)),20))/Skills!H4+0.000000001),1)</f>
        <v/>
      </c>
      <c r="H1087">
        <f>1-(1-Skills!J4/100)^Skills!K4</f>
        <v/>
      </c>
      <c r="I1087" t="inlineStr">
        <is>
          <t>1</t>
        </is>
      </c>
      <c r="J1087">
        <f>((Inputs!$B$6*(1+(Inputs!$B$7+1)/100))+(((Inputs!$B$12*(1+Inputs!$B$13/100))-(Inputs!$B$12*(1+Inputs!$B$13/100)))+0.25*(Inputs!$B$14-Inputs!$B$14))*(1+(Inputs!$B$7+1)/100))*(F1087/100)</f>
        <v/>
      </c>
      <c r="K1087">
        <f>J1087*(1+((Inputs!$B$12*(1+Inputs!$B$13/100))*0.01+Inputs!$B$14*0.0025)/100)*(1+Inputs!$B$15/100)*(1+Inputs!$B$16/100)*(5000/(6000+Inputs!$B$42*(1-(100*(1-(1-(Inputs!$B$19+0)/100)*(1-CHOOSE(ArtifactsInput!$N$40+1,5,6,7,8,9,10)/100)^(ArtifactsInput!$M$40-ArtifactsInput!$M$40)))/100)))*(1+(Inputs!$B$24+((C1109=TRUE)*(F1109-Calc!F26))+B1120)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1099=TRUE,F1099,0)/100)*(1+(IF(Skills!A4="EIGHT_LEGS_EASTON",Inputs!$B$17+((C1106=TRUE)*(F1106-Calc!F23))+((C1110=TRUE)*(F1110-Calc!F27))+((IF(AND(Inputs!$B$38&lt;&gt;"pvp",Inputs!$B$43=0),1,IF(IF(Inputs!$B$38="pvp",15,Inputs!$B$43)-(B1121)&lt;=0,1,MAX(0,IF(Inputs!$B$38="pvp",15,Inputs!$B$43)-MAX(5,B1121))/(IF(Inputs!$B$38="pvp",15,Inputs!$B$43)-(B1121))))*(IF(AND(ArtifactsInput!$M$42,((Inputs!$B$9+((C1102=TRUE)*(F1102-Calc!F19))+B1114+(ArtifactsInput!$M$24-ArtifactsInput!$M$24)*CHOOSE(ArtifactsInput!$N$24+1,10,12,14,16,18,20)+IF(ArtifactsInput!$M$10,CHOOSE(ArtifactsInput!$N$10+1,15,18,21,24,27,30)*(IF(Inputs!$B$38="pvp",MIN(15,15)/15,IF(AND(Inputs!$B$38&lt;&gt;"pvp",Inputs!$B$43&gt;0),MIN(15,Inputs!$B$43)/(Inputs!$B$43),0))),0)))&gt;=100),MIN(100,((Inputs!$B$9+((C1102=TRUE)*(F1102-Calc!F19))+B1114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1121)&lt;=0,1,MAX(0,IF(Inputs!$B$38="pvp",15,Inputs!$B$43)-MAX(5,B1121))/(IF(Inputs!$B$38="pvp",15,Inputs!$B$43)-(B1121))))*IF(AND(ArtifactsInput!$M$42,((Inputs!$B$9+((C1102=TRUE)*(F1102-Calc!F19))+B1114+(ArtifactsInput!$M$24-ArtifactsInput!$M$24)*CHOOSE(ArtifactsInput!$N$24+1,10,12,14,16,18,20)+IF(ArtifactsInput!$M$10,CHOOSE(ArtifactsInput!$N$10+1,15,18,21,24,27,30)*(IF(Inputs!$B$38="pvp",MIN(15,15)/15,IF(AND(Inputs!$B$38&lt;&gt;"pvp",Inputs!$B$43&gt;0),MIN(15,Inputs!$B$43)/(Inputs!$B$43),0))),0)))&gt;=100),CHOOSE(ArtifactsInput!$N$42+1,40,48,56,64,72,80),0))))/100)*((1+(((C1100=TRUE)*F1100*5/7)+((C1107=TRUE)*(F1107-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1087)</f>
        <v/>
      </c>
      <c r="L1087">
        <f>K1087*(MIN(Inputs!$B$22+((C1105=TRUE)*(F1105-Calc!F22)),(Inputs!$B$23+0+(IF(ArtifactsInput!$M$15,CHOOSE(ArtifactsInput!$N$15+1,25,30,35,40,45,50)/100*(Inputs!$B$11-Inputs!$B$11),0))))/100+(Inputs!$B$23+0+(IF(ArtifactsInput!$M$15,CHOOSE(ArtifactsInput!$N$15+1,25,30,35,40,45,50)/100*(Inputs!$B$11-Inputs!$B$11),0)))/100)/2</f>
        <v/>
      </c>
      <c r="M1087">
        <f>L1087*(1+(Inputs!$B$10+((C1108=TRUE)*(F1108-Calc!F25))+B1119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87">
        <f>L1087*(1-MIN((Inputs!$B$9+((C1102=TRUE)*(F1102-Calc!F19))+B1114+(ArtifactsInput!$M$24-ArtifactsInput!$M$24)*CHOOSE(ArtifactsInput!$N$24+1,10,12,14,16,18,20)+(IF(AND(Inputs!$B$38&lt;&gt;"pvp",Inputs!$B$43=0),1,IF(IF(Inputs!$B$38="pvp",15,Inputs!$B$43)-(B1121)&lt;=0,1,MAX(0,IF(Inputs!$B$38="pvp",15,Inputs!$B$43)-MAX(5,B1121))/(IF(Inputs!$B$38="pvp",15,Inputs!$B$43)-(B1121))))*IF(AND(ArtifactsInput!$M$42,((Inputs!$B$9+((C1102=TRUE)*(F1102-Calc!F19))+B1114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1087*(MIN((Inputs!$B$9+((C1102=TRUE)*(F1102-Calc!F19))+B1114+(ArtifactsInput!$M$24-ArtifactsInput!$M$24)*CHOOSE(ArtifactsInput!$N$24+1,10,12,14,16,18,20)+(IF(AND(Inputs!$B$38&lt;&gt;"pvp",Inputs!$B$43=0),1,IF(IF(Inputs!$B$38="pvp",15,Inputs!$B$43)-(B1121)&lt;=0,1,MAX(0,IF(Inputs!$B$38="pvp",15,Inputs!$B$43)-MAX(5,B1121))/(IF(Inputs!$B$38="pvp",15,Inputs!$B$43)-(B1121))))*IF(AND(ArtifactsInput!$M$42,((Inputs!$B$9+((C1102=TRUE)*(F1102-Calc!F19))+B1114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87">
        <f>(1-Summary!$B$11)*T1087+Summary!$B$11*V1087</f>
        <v/>
      </c>
      <c r="P1087">
        <f>IF(B1124=0,0,O1087/B1124)</f>
        <v/>
      </c>
      <c r="Q1087">
        <f>IFERROR(1/(IF(Inputs!$B$38="pvp",15,MAX(0.1,Skills!D4-IF(TRUE=TRUE,Inputs!$B$32,0)))*(1-IF(AND(ArtifactsInput!$M$27,Inputs!$B$4="Chapter Hunt"),CHOOSE(ArtifactsInput!$N$27+1,20,24,28,32,36,40),0)/100)),0)</f>
        <v/>
      </c>
      <c r="R1087">
        <f>IF(AND(Inputs!$B$38&lt;&gt;"pvp",Inputs!$B$43&gt;0),IF(MAX(0,Inputs!$B$43-B1121)&lt;=0,0,(INT(MAX(0,Inputs!$B$43-B1121)/(IF(Inputs!$B$38="pvp",15,MAX(0.1,Skills!D4-IF(TRUE=TRUE,Inputs!$B$32,0)))*(1-IF(AND(ArtifactsInput!$M$27,Inputs!$B$4="Chapter Hunt"),CHOOSE(ArtifactsInput!$N$27+1,20,24,28,32,36,40),0)/100)))+1)),0)</f>
        <v/>
      </c>
      <c r="S1087">
        <f>IFERROR(O1087/N1087,0)</f>
        <v/>
      </c>
      <c r="T1087">
        <f>IF(C1087,(H1087*N1087*IF(AND(Inputs!$B$38&lt;&gt;"pvp",Inputs!$B$43&gt;0),((Skills!G4*((R1087-1)*IF(Skills!H4&gt;0,INT(IF(Inputs!$B$3&gt;=104,MIN(35,20*(1+Inputs!$B$34/100)),20)/Skills!H4+0.000000001),1)+IF(Skills!H4&gt;0,INT(MIN(IF(Inputs!$B$3&gt;=104,MIN(35,20*(1+Inputs!$B$34/100)),20),MAX(0,MAX(0,Inputs!$B$43-B1121)-((R1087-1)*(IF(Inputs!$B$38="pvp",15,MAX(0.1,Skills!D4-IF(TRUE=TRUE,Inputs!$B$32,0)))*(1-IF(AND(ArtifactsInput!$M$27,Inputs!$B$4="Chapter Hunt"),CHOOSE(ArtifactsInput!$N$27+1,20,24,28,32,36,40),0)/100)))))/Skills!H4+0.000000001),1)))/Inputs!$B$43),G1087*Q1087))*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Hunt"),CHOOSE(ArtifactsInput!$N$35+1,15,18,21,24,27,30)*(1-EXP(-(0.2*B1116)*5)),0)+IF(AND(ArtifactsInput!$M$22,Inputs!$B$4&lt;&gt;"Chapter Hunt"),CHOOSE(ArtifactsInput!$N$22+1,10,12,14,16,18,20)*((0*(((0.15*B1116*5))^0/1)+1*(((0.15*B1116*5))^1/1)+2*(((0.15*B1116*5))^2/2)+3*(((0.15*B1116*5))^3/6)+4*(((0.15*B1116*5))^4/24)+5*(((0.15*B1116*5))^5/120))/((((0.15*B1116*5))^0/1)+(((0.15*B1116*5))^1/1)+(((0.15*B1116*5))^2/2)+(((0.15*B1116*5))^3/6)+(((0.15*B1116*5))^4/24)+(((0.15*B1116*5))^5/120))),0))+IF(Inputs!$B$3&gt;=54,9*(C1086=TRUE)*MIN(1,8*(1+Inputs!$B$34/100)*Q1086)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1087*(1-MIN(100,(Inputs!$B$9+((C1102=TRUE)*(F1102-Calc!F19))+B1114+(ArtifactsInput!$M$24-ArtifactsInput!$M$24)*CHOOSE(ArtifactsInput!$N$24+1,10,12,14,16,18,20)+(IF(AND(Inputs!$B$38&lt;&gt;"pvp",Inputs!$B$43=0),1,IF(IF(Inputs!$B$38="pvp",15,Inputs!$B$43)-(B1121)&lt;=0,1,MAX(0,IF(Inputs!$B$38="pvp",15,Inputs!$B$43)-MAX(5,B1121))/(IF(Inputs!$B$38="pvp",15,Inputs!$B$43)-(B1121))))*IF(AND(ArtifactsInput!$M$42,((Inputs!$B$9+((C1102=TRUE)*(F1102-Calc!F19))+B1114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1087*(MIN(100,(Inputs!$B$9+((C1102=TRUE)*(F1102-Calc!F19))+B1114+(ArtifactsInput!$M$24-ArtifactsInput!$M$24)*CHOOSE(ArtifactsInput!$N$24+1,10,12,14,16,18,20)+(IF(AND(Inputs!$B$38&lt;&gt;"pvp",Inputs!$B$43=0),1,IF(IF(Inputs!$B$38="pvp",15,Inputs!$B$43)-(B1121)&lt;=0,1,MAX(0,IF(Inputs!$B$38="pvp",15,Inputs!$B$43)-MAX(5,B1121))/(IF(Inputs!$B$38="pvp",15,Inputs!$B$43)-(B1121))))*IF(AND(ArtifactsInput!$M$42,((Inputs!$B$9+((C1102=TRUE)*(F1102-Calc!F19))+B1114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1087*(1-MIN(100,(Inputs!$B$9+((C1102=TRUE)*(F1102-Calc!F19))+B1114+(ArtifactsInput!$M$24-ArtifactsInput!$M$24)*CHOOSE(ArtifactsInput!$N$24+1,10,12,14,16,18,20)+(IF(AND(Inputs!$B$38&lt;&gt;"pvp",Inputs!$B$43=0),1,IF(IF(Inputs!$B$38="pvp",15,Inputs!$B$43)-(B1121)&lt;=0,1,MAX(0,IF(Inputs!$B$38="pvp",15,Inputs!$B$43)-MAX(5,B1121))/(IF(Inputs!$B$38="pvp",15,Inputs!$B$43)-(B1121))))*IF(AND(ArtifactsInput!$M$42,((Inputs!$B$9+((C1102=TRUE)*(F1102-Calc!F19))+B1114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1087*(MIN(100,(Inputs!$B$9+((C1102=TRUE)*(F1102-Calc!F19))+B1114+(ArtifactsInput!$M$24-ArtifactsInput!$M$24)*CHOOSE(ArtifactsInput!$N$24+1,10,12,14,16,18,20)+(IF(AND(Inputs!$B$38&lt;&gt;"pvp",Inputs!$B$43=0),1,IF(IF(Inputs!$B$38="pvp",15,Inputs!$B$43)-(B1121)&lt;=0,1,MAX(0,IF(Inputs!$B$38="pvp",15,Inputs!$B$43)-MAX(5,B1121))/(IF(Inputs!$B$38="pvp",15,Inputs!$B$43)-(B1121))))*IF(AND(ArtifactsInput!$M$42,((Inputs!$B$9+((C1102=TRUE)*(F1102-Calc!F19))+B1114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087">
        <f>290*U1086/1000</f>
        <v/>
      </c>
      <c r="V1087">
        <f>IF(C1087,(H1087*N1087*IF(AND(Inputs!$B$38&lt;&gt;"pvp",Inputs!$B$43&gt;0),((Skills!G4*((R1087-1)*IF(Skills!H4&gt;0,INT(IF(Inputs!$B$3&gt;=104,MIN(35,20*(1+Inputs!$B$34/100)),20)/Skills!H4+0.000000001),1)+IF(Skills!H4&gt;0,INT(MIN(IF(Inputs!$B$3&gt;=104,MIN(35,20*(1+Inputs!$B$34/100)),20),MAX(0,MAX(0,Inputs!$B$43-B1121)-((R1087-1)*(IF(Inputs!$B$38="pvp",15,MAX(0.1,Skills!D4-IF(TRUE=TRUE,Inputs!$B$32,0)))*(1-IF(AND(ArtifactsInput!$M$27,Inputs!$B$4="Chapter Hunt"),CHOOSE(ArtifactsInput!$N$27+1,20,24,28,32,36,40),0)/100)))))/Skills!H4+0.000000001),1)))/Inputs!$B$43),G1087*Q1087))*IF(Inputs!$B$38="pvp",1,(1+(Inputs!$B$21+Skills!Q4+(IF(ArtifactsInput!$M$33,CHOOSE(ArtifactsInput!$N$33+1,30,36,42,48,54,60),0))+(IF(AND(ArtifactsInput!$M$35,Inputs!$B$4&lt;&gt;"Chapter Hunt"),CHOOSE(ArtifactsInput!$N$35+1,15,18,21,24,27,30)*(1-EXP(-(0.2*B1116)*5)),0)+IF(AND(ArtifactsInput!$M$22,Inputs!$B$4&lt;&gt;"Chapter Hunt"),CHOOSE(ArtifactsInput!$N$22+1,10,12,14,16,18,20)*((0*(((0.15*B1116*5))^0/1)+1*(((0.15*B1116*5))^1/1)+2*(((0.15*B1116*5))^2/2)+3*(((0.15*B1116*5))^3/6)+4*(((0.15*B1116*5))^4/24)+5*(((0.15*B1116*5))^5/120))/((((0.15*B1116*5))^0/1)+(((0.15*B1116*5))^1/1)+(((0.15*B1116*5))^2/2)+(((0.15*B1116*5))^3/6)+(((0.15*B1116*5))^4/24)+(((0.15*B1116*5))^5/120))),0))+IF(Inputs!$B$3&gt;=54,9*(C1086=TRUE)*MIN(1,8*(1+Inputs!$B$34/100)*Q1086),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88">
      <c r="A1088">
        <f>Skills!A5</f>
        <v/>
      </c>
      <c r="B1088">
        <f>Skills!B5</f>
        <v/>
      </c>
      <c r="C1088">
        <f>Inputs!$B$3&gt;=69</f>
        <v/>
      </c>
      <c r="D1088">
        <f>IF(Skills!C5=1,60+Inputs!$B$25+Inputs!$B$29,IF(Skills!C5=2,90+Inputs!$B$26+Inputs!$B$29,IF(Skills!C5=3,120+Inputs!$B$27+Inputs!$B$29,MAX(0,(Inputs!$B$3-100)*3)+Inputs!$B$28+Inputs!$B$29)))</f>
        <v/>
      </c>
      <c r="E1088">
        <f>INDEX(FactorTable!$B$2:$Y$301, MATCH(ROUND(MIN(300,MAX(1,D1088)),0), FactorTable!$A$2:$A$301,0), Skills!M5+1)</f>
        <v/>
      </c>
      <c r="F1088">
        <f>IF(Skills!N5=TRUE,(Skills!L5/10)*(E1088/1000),Skills!L5/10)+Skills!O5</f>
        <v/>
      </c>
      <c r="G1088">
        <f>Skills!G5*IF(Skills!H5&gt;0,INT(IF(Inputs!$B$38="pvp",MIN(IF(Inputs!$B$3&gt;=104,MIN(35,20*(1+Inputs!$B$34/100)),20),15),IF(Inputs!$B$3&gt;=104,MIN(35,20*(1+Inputs!$B$34/100)),20))/Skills!H5+0.000000001),1)</f>
        <v/>
      </c>
      <c r="H1088">
        <f>1-(1-Skills!J5/100)^Skills!K5</f>
        <v/>
      </c>
      <c r="I1088" t="inlineStr">
        <is>
          <t>1</t>
        </is>
      </c>
      <c r="J1088">
        <f>((Inputs!$B$6*(1+(Inputs!$B$7+1)/100))+(((Inputs!$B$12*(1+Inputs!$B$13/100))-(Inputs!$B$12*(1+Inputs!$B$13/100)))+0.25*(Inputs!$B$14-Inputs!$B$14))*(1+(Inputs!$B$7+1)/100))*(F1088/100)</f>
        <v/>
      </c>
      <c r="K1088">
        <f>J1088*(1+((Inputs!$B$12*(1+Inputs!$B$13/100))*0.01+Inputs!$B$14*0.0025)/100)*(1+Inputs!$B$15/100)*(1+Inputs!$B$16/100)*(5000/(6000+Inputs!$B$42*(1-(100*(1-(1-(Inputs!$B$19+0)/100)*(1-CHOOSE(ArtifactsInput!$N$40+1,5,6,7,8,9,10)/100)^(ArtifactsInput!$M$40-ArtifactsInput!$M$40)))/100)))*(1+(Inputs!$B$24+((C1109=TRUE)*(F1109-Calc!F26))+B1120)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+0.4*IF(C1099=TRUE,F1099,0)/100)*(1+(IF(Skills!A5="EIGHT_LEGS_EASTON",Inputs!$B$17+((C1106=TRUE)*(F1106-Calc!F23))+((C1110=TRUE)*(F1110-Calc!F27))+((IF(AND(Inputs!$B$38&lt;&gt;"pvp",Inputs!$B$43=0),1,IF(IF(Inputs!$B$38="pvp",15,Inputs!$B$43)-(B1121)&lt;=0,1,MAX(0,IF(Inputs!$B$38="pvp",15,Inputs!$B$43)-MAX(5,B1121))/(IF(Inputs!$B$38="pvp",15,Inputs!$B$43)-(B1121))))*(IF(AND(ArtifactsInput!$M$42,((Inputs!$B$9+((C1102=TRUE)*(F1102-Calc!F19))+B1114+(ArtifactsInput!$M$24-ArtifactsInput!$M$24)*CHOOSE(ArtifactsInput!$N$24+1,10,12,14,16,18,20)+IF(ArtifactsInput!$M$10,CHOOSE(ArtifactsInput!$N$10+1,15,18,21,24,27,30)*(IF(Inputs!$B$38="pvp",MIN(15,15)/15,IF(AND(Inputs!$B$38&lt;&gt;"pvp",Inputs!$B$43&gt;0),MIN(15,Inputs!$B$43)/(Inputs!$B$43),0))),0)))&gt;=100),MIN(100,((Inputs!$B$9+((C1102=TRUE)*(F1102-Calc!F19))+B1114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1121)&lt;=0,1,MAX(0,IF(Inputs!$B$38="pvp",15,Inputs!$B$43)-MAX(5,B1121))/(IF(Inputs!$B$38="pvp",15,Inputs!$B$43)-(B1121))))*IF(AND(ArtifactsInput!$M$42,((Inputs!$B$9+((C1102=TRUE)*(F1102-Calc!F19))+B1114+(ArtifactsInput!$M$24-ArtifactsInput!$M$24)*CHOOSE(ArtifactsInput!$N$24+1,10,12,14,16,18,20)+IF(ArtifactsInput!$M$10,CHOOSE(ArtifactsInput!$N$10+1,15,18,21,24,27,30)*(IF(Inputs!$B$38="pvp",MIN(15,15)/15,IF(AND(Inputs!$B$38&lt;&gt;"pvp",Inputs!$B$43&gt;0),MIN(15,Inputs!$B$43)/(Inputs!$B$43),0))),0)))&gt;=100),CHOOSE(ArtifactsInput!$N$42+1,40,48,56,64,72,80),0))))/100)*((1+(((C1100=TRUE)*F1100*5/7)+((C1107=TRUE)*(F1107-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1088)</f>
        <v/>
      </c>
      <c r="L1088">
        <f>K1088*(MIN(Inputs!$B$22+((C1105=TRUE)*(F1105-Calc!F22)),(Inputs!$B$23+0+(IF(ArtifactsInput!$M$15,CHOOSE(ArtifactsInput!$N$15+1,25,30,35,40,45,50)/100*(Inputs!$B$11-Inputs!$B$11),0))))/100+(Inputs!$B$23+0+(IF(ArtifactsInput!$M$15,CHOOSE(ArtifactsInput!$N$15+1,25,30,35,40,45,50)/100*(Inputs!$B$11-Inputs!$B$11),0)))/100)/2</f>
        <v/>
      </c>
      <c r="M1088">
        <f>L1088*(1+(Inputs!$B$10+((C1108=TRUE)*(F1108-Calc!F25))+B1119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88">
        <f>L1088*(1-MIN((Inputs!$B$9+((C1102=TRUE)*(F1102-Calc!F19))+B1114+(ArtifactsInput!$M$24-ArtifactsInput!$M$24)*CHOOSE(ArtifactsInput!$N$24+1,10,12,14,16,18,20)+(IF(AND(Inputs!$B$38&lt;&gt;"pvp",Inputs!$B$43=0),1,IF(IF(Inputs!$B$38="pvp",15,Inputs!$B$43)-(B1121)&lt;=0,1,MAX(0,IF(Inputs!$B$38="pvp",15,Inputs!$B$43)-MAX(5,B1121))/(IF(Inputs!$B$38="pvp",15,Inputs!$B$43)-(B1121))))*IF(AND(ArtifactsInput!$M$42,((Inputs!$B$9+((C1102=TRUE)*(F1102-Calc!F19))+B1114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1088*(MIN((Inputs!$B$9+((C1102=TRUE)*(F1102-Calc!F19))+B1114+(ArtifactsInput!$M$24-ArtifactsInput!$M$24)*CHOOSE(ArtifactsInput!$N$24+1,10,12,14,16,18,20)+(IF(AND(Inputs!$B$38&lt;&gt;"pvp",Inputs!$B$43=0),1,IF(IF(Inputs!$B$38="pvp",15,Inputs!$B$43)-(B1121)&lt;=0,1,MAX(0,IF(Inputs!$B$38="pvp",15,Inputs!$B$43)-MAX(5,B1121))/(IF(Inputs!$B$38="pvp",15,Inputs!$B$43)-(B1121))))*IF(AND(ArtifactsInput!$M$42,((Inputs!$B$9+((C1102=TRUE)*(F1102-Calc!F19))+B1114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88">
        <f>(1-Summary!$B$11)*T1088+Summary!$B$11*V1088</f>
        <v/>
      </c>
      <c r="P1088">
        <f>IF(B1124=0,0,O1088/B1124)</f>
        <v/>
      </c>
      <c r="Q1088">
        <f>IFERROR(1/(IF(Inputs!$B$38="pvp",15,MAX(0.1,Skills!D5-IF(TRUE=TRUE,Inputs!$B$32,0)))*(1-IF(AND(ArtifactsInput!$M$27,Inputs!$B$4="Chapter Hunt"),CHOOSE(ArtifactsInput!$N$27+1,20,24,28,32,36,40),0)/100)),0)</f>
        <v/>
      </c>
      <c r="R1088">
        <f>IF(AND(Inputs!$B$38&lt;&gt;"pvp",Inputs!$B$43&gt;0),IF(MAX(0,Inputs!$B$43-B1121)&lt;=0,0,(INT(MAX(0,Inputs!$B$43-B1121)/(IF(Inputs!$B$38="pvp",15,MAX(0.1,Skills!D5-IF(TRUE=TRUE,Inputs!$B$32,0)))*(1-IF(AND(ArtifactsInput!$M$27,Inputs!$B$4="Chapter Hunt"),CHOOSE(ArtifactsInput!$N$27+1,20,24,28,32,36,40),0)/100)))+1)),0)</f>
        <v/>
      </c>
      <c r="S1088">
        <f>IFERROR(O1088/N1088,0)</f>
        <v/>
      </c>
      <c r="T1088">
        <f>IF(C1088,(H1088*N1088*IF(AND(Inputs!$B$38&lt;&gt;"pvp",Inputs!$B$43&gt;0),((Skills!G5*((R1088-1)*IF(Skills!H5&gt;0,INT(IF(Inputs!$B$3&gt;=104,MIN(35,20*(1+Inputs!$B$34/100)),20)/Skills!H5+0.000000001),1)+IF(Skills!H5&gt;0,INT(MIN(IF(Inputs!$B$3&gt;=104,MIN(35,20*(1+Inputs!$B$34/100)),20),MAX(0,MAX(0,Inputs!$B$43-B1121)-((R1088-1)*(IF(Inputs!$B$38="pvp",15,MAX(0.1,Skills!D5-IF(TRUE=TRUE,Inputs!$B$32,0)))*(1-IF(AND(ArtifactsInput!$M$27,Inputs!$B$4="Chapter Hunt"),CHOOSE(ArtifactsInput!$N$27+1,20,24,28,32,36,40),0)/100)))))/Skills!H5+0.000000001),1)))/Inputs!$B$43),G1088*Q1088))*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Hunt"),CHOOSE(ArtifactsInput!$N$35+1,15,18,21,24,27,30)*(1-EXP(-(0.2*B1116)*5)),0)+IF(AND(ArtifactsInput!$M$22,Inputs!$B$4&lt;&gt;"Chapter Hunt"),CHOOSE(ArtifactsInput!$N$22+1,10,12,14,16,18,20)*((0*(((0.15*B1116*5))^0/1)+1*(((0.15*B1116*5))^1/1)+2*(((0.15*B1116*5))^2/2)+3*(((0.15*B1116*5))^3/6)+4*(((0.15*B1116*5))^4/24)+5*(((0.15*B1116*5))^5/120))/((((0.15*B1116*5))^0/1)+(((0.15*B1116*5))^1/1)+(((0.15*B1116*5))^2/2)+(((0.15*B1116*5))^3/6)+(((0.15*B1116*5))^4/24)+(((0.15*B1116*5))^5/120))),0))+IF(Inputs!$B$3&gt;=54,9*(C1086=TRUE)*MIN(1,8*(1+Inputs!$B$34/100)*Q1086)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1088*(1-MIN(100,(Inputs!$B$9+((C1102=TRUE)*(F1102-Calc!F19))+B1114+(ArtifactsInput!$M$24-ArtifactsInput!$M$24)*CHOOSE(ArtifactsInput!$N$24+1,10,12,14,16,18,20)+(IF(AND(Inputs!$B$38&lt;&gt;"pvp",Inputs!$B$43=0),1,IF(IF(Inputs!$B$38="pvp",15,Inputs!$B$43)-(B1121)&lt;=0,1,MAX(0,IF(Inputs!$B$38="pvp",15,Inputs!$B$43)-MAX(5,B1121))/(IF(Inputs!$B$38="pvp",15,Inputs!$B$43)-(B1121))))*IF(AND(ArtifactsInput!$M$42,((Inputs!$B$9+((C1102=TRUE)*(F1102-Calc!F19))+B1114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1088*(MIN(100,(Inputs!$B$9+((C1102=TRUE)*(F1102-Calc!F19))+B1114+(ArtifactsInput!$M$24-ArtifactsInput!$M$24)*CHOOSE(ArtifactsInput!$N$24+1,10,12,14,16,18,20)+(IF(AND(Inputs!$B$38&lt;&gt;"pvp",Inputs!$B$43=0),1,IF(IF(Inputs!$B$38="pvp",15,Inputs!$B$43)-(B1121)&lt;=0,1,MAX(0,IF(Inputs!$B$38="pvp",15,Inputs!$B$43)-MAX(5,B1121))/(IF(Inputs!$B$38="pvp",15,Inputs!$B$43)-(B1121))))*IF(AND(ArtifactsInput!$M$42,((Inputs!$B$9+((C1102=TRUE)*(F1102-Calc!F19))+B1114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1088*(1-MIN(100,(Inputs!$B$9+((C1102=TRUE)*(F1102-Calc!F19))+B1114+(ArtifactsInput!$M$24-ArtifactsInput!$M$24)*CHOOSE(ArtifactsInput!$N$24+1,10,12,14,16,18,20)+(IF(AND(Inputs!$B$38&lt;&gt;"pvp",Inputs!$B$43=0),1,IF(IF(Inputs!$B$38="pvp",15,Inputs!$B$43)-(B1121)&lt;=0,1,MAX(0,IF(Inputs!$B$38="pvp",15,Inputs!$B$43)-MAX(5,B1121))/(IF(Inputs!$B$38="pvp",15,Inputs!$B$43)-(B1121))))*IF(AND(ArtifactsInput!$M$42,((Inputs!$B$9+((C1102=TRUE)*(F1102-Calc!F19))+B1114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1088*(MIN(100,(Inputs!$B$9+((C1102=TRUE)*(F1102-Calc!F19))+B1114+(ArtifactsInput!$M$24-ArtifactsInput!$M$24)*CHOOSE(ArtifactsInput!$N$24+1,10,12,14,16,18,20)+(IF(AND(Inputs!$B$38&lt;&gt;"pvp",Inputs!$B$43=0),1,IF(IF(Inputs!$B$38="pvp",15,Inputs!$B$43)-(B1121)&lt;=0,1,MAX(0,IF(Inputs!$B$38="pvp",15,Inputs!$B$43)-MAX(5,B1121))/(IF(Inputs!$B$38="pvp",15,Inputs!$B$43)-(B1121))))*IF(AND(ArtifactsInput!$M$42,((Inputs!$B$9+((C1102=TRUE)*(F1102-Calc!F19))+B1114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088">
        <f>IF(C1088,(H1088*N1088*IF(AND(Inputs!$B$38&lt;&gt;"pvp",Inputs!$B$43&gt;0),((Skills!G5*((R1088-1)*IF(Skills!H5&gt;0,INT(IF(Inputs!$B$3&gt;=104,MIN(35,20*(1+Inputs!$B$34/100)),20)/Skills!H5+0.000000001),1)+IF(Skills!H5&gt;0,INT(MIN(IF(Inputs!$B$3&gt;=104,MIN(35,20*(1+Inputs!$B$34/100)),20),MAX(0,MAX(0,Inputs!$B$43-B1121)-((R1088-1)*(IF(Inputs!$B$38="pvp",15,MAX(0.1,Skills!D5-IF(TRUE=TRUE,Inputs!$B$32,0)))*(1-IF(AND(ArtifactsInput!$M$27,Inputs!$B$4="Chapter Hunt"),CHOOSE(ArtifactsInput!$N$27+1,20,24,28,32,36,40),0)/100)))))/Skills!H5+0.000000001),1)))/Inputs!$B$43),G1088*Q1088))*IF(Inputs!$B$38="pvp",1,(1+(Inputs!$B$21+Skills!Q5+(IF(ArtifactsInput!$M$33,CHOOSE(ArtifactsInput!$N$33+1,30,36,42,48,54,60),0))+(IF(AND(ArtifactsInput!$M$35,Inputs!$B$4&lt;&gt;"Chapter Hunt"),CHOOSE(ArtifactsInput!$N$35+1,15,18,21,24,27,30)*(1-EXP(-(0.2*B1116)*5)),0)+IF(AND(ArtifactsInput!$M$22,Inputs!$B$4&lt;&gt;"Chapter Hunt"),CHOOSE(ArtifactsInput!$N$22+1,10,12,14,16,18,20)*((0*(((0.15*B1116*5))^0/1)+1*(((0.15*B1116*5))^1/1)+2*(((0.15*B1116*5))^2/2)+3*(((0.15*B1116*5))^3/6)+4*(((0.15*B1116*5))^4/24)+5*(((0.15*B1116*5))^5/120))/((((0.15*B1116*5))^0/1)+(((0.15*B1116*5))^1/1)+(((0.15*B1116*5))^2/2)+(((0.15*B1116*5))^3/6)+(((0.15*B1116*5))^4/24)+(((0.15*B1116*5))^5/120))),0))+IF(Inputs!$B$3&gt;=54,9*(C1086=TRUE)*MIN(1,8*(1+Inputs!$B$34/100)*Q1086),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89">
      <c r="A1089">
        <f>Skills!A6</f>
        <v/>
      </c>
      <c r="B1089">
        <f>Skills!B6</f>
        <v/>
      </c>
      <c r="C1089">
        <f>Inputs!$B$3&gt;=66</f>
        <v/>
      </c>
      <c r="D1089">
        <f>IF(Skills!C6=1,60+Inputs!$B$25+Inputs!$B$29,IF(Skills!C6=2,90+Inputs!$B$26+Inputs!$B$29,IF(Skills!C6=3,120+Inputs!$B$27+Inputs!$B$29,MAX(0,(Inputs!$B$3-100)*3)+Inputs!$B$28+Inputs!$B$29)))</f>
        <v/>
      </c>
      <c r="E1089">
        <f>INDEX(FactorTable!$B$2:$Y$301, MATCH(ROUND(MIN(300,MAX(1,D1089)),0), FactorTable!$A$2:$A$301,0), Skills!M6+1)</f>
        <v/>
      </c>
      <c r="F1089">
        <f>IF(Skills!N6=TRUE,(Skills!L6/10)*(E1089/1000),Skills!L6/10)+Skills!O6</f>
        <v/>
      </c>
      <c r="G1089">
        <f>Skills!G6*IF(Skills!H6&gt;0,INT(IF(Inputs!$B$38="pvp",MIN(Skills!I6,15),Skills!I6)/Skills!H6+0.000000001),1)</f>
        <v/>
      </c>
      <c r="H1089">
        <f>1-(1-Skills!J6/100)^Skills!K6</f>
        <v/>
      </c>
      <c r="I1089" t="inlineStr">
        <is>
          <t>1</t>
        </is>
      </c>
      <c r="J1089">
        <f>((Inputs!$B$6*(1+(Inputs!$B$7+1)/100))+(((Inputs!$B$12*(1+Inputs!$B$13/100))-(Inputs!$B$12*(1+Inputs!$B$13/100)))+0.25*(Inputs!$B$14-Inputs!$B$14))*(1+(Inputs!$B$7+1)/100))*(F1089/100)</f>
        <v/>
      </c>
      <c r="K1089">
        <f>J1089*(1+((Inputs!$B$12*(1+Inputs!$B$13/100))*0.01+Inputs!$B$14*0.0025)/100)*(1+Inputs!$B$15/100)*(1+Inputs!$B$16/100)*(5000/(6000+Inputs!$B$42*(1-(100*(1-(1-(Inputs!$B$19+0)/100)*(1-CHOOSE(ArtifactsInput!$N$40+1,5,6,7,8,9,10)/100)^(ArtifactsInput!$M$40-ArtifactsInput!$M$40)))/100)))*(1+(Inputs!$B$24+((C1109=TRUE)*(F1109-Calc!F26))+B1120)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+2.0*IF(C1098=TRUE,F1098,0)/100)*(1+(IF(Skills!A6="EIGHT_LEGS_EASTON",Inputs!$B$17+((C1106=TRUE)*(F1106-Calc!F23))+((C1110=TRUE)*(F1110-Calc!F27))+((IF(AND(Inputs!$B$38&lt;&gt;"pvp",Inputs!$B$43=0),1,IF(IF(Inputs!$B$38="pvp",15,Inputs!$B$43)-(B1121)&lt;=0,1,MAX(0,IF(Inputs!$B$38="pvp",15,Inputs!$B$43)-MAX(5,B1121))/(IF(Inputs!$B$38="pvp",15,Inputs!$B$43)-(B1121))))*(IF(AND(ArtifactsInput!$M$42,((Inputs!$B$9+((C1102=TRUE)*(F1102-Calc!F19))+B1114+(ArtifactsInput!$M$24-ArtifactsInput!$M$24)*CHOOSE(ArtifactsInput!$N$24+1,10,12,14,16,18,20)+IF(ArtifactsInput!$M$10,CHOOSE(ArtifactsInput!$N$10+1,15,18,21,24,27,30)*(IF(Inputs!$B$38="pvp",MIN(15,15)/15,IF(AND(Inputs!$B$38&lt;&gt;"pvp",Inputs!$B$43&gt;0),MIN(15,Inputs!$B$43)/(Inputs!$B$43),0))),0)))&gt;=100),MIN(100,((Inputs!$B$9+((C1102=TRUE)*(F1102-Calc!F19))+B1114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1121)&lt;=0,1,MAX(0,IF(Inputs!$B$38="pvp",15,Inputs!$B$43)-MAX(5,B1121))/(IF(Inputs!$B$38="pvp",15,Inputs!$B$43)-(B1121))))*IF(AND(ArtifactsInput!$M$42,((Inputs!$B$9+((C1102=TRUE)*(F1102-Calc!F19))+B1114+(ArtifactsInput!$M$24-ArtifactsInput!$M$24)*CHOOSE(ArtifactsInput!$N$24+1,10,12,14,16,18,20)+IF(ArtifactsInput!$M$10,CHOOSE(ArtifactsInput!$N$10+1,15,18,21,24,27,30)*(IF(Inputs!$B$38="pvp",MIN(15,15)/15,IF(AND(Inputs!$B$38&lt;&gt;"pvp",Inputs!$B$43&gt;0),MIN(15,Inputs!$B$43)/(Inputs!$B$43),0))),0)))&gt;=100),CHOOSE(ArtifactsInput!$N$42+1,40,48,56,64,72,80),0))))/100)*((1+(((C1100=TRUE)*F1100*5/7)+((C1107=TRUE)*(F1107-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1089)</f>
        <v/>
      </c>
      <c r="L1089">
        <f>K1089*(MIN(Inputs!$B$22+((C1105=TRUE)*(F1105-Calc!F22)),(Inputs!$B$23+0+(IF(ArtifactsInput!$M$15,CHOOSE(ArtifactsInput!$N$15+1,25,30,35,40,45,50)/100*(Inputs!$B$11-Inputs!$B$11),0))))/100+(Inputs!$B$23+0+(IF(ArtifactsInput!$M$15,CHOOSE(ArtifactsInput!$N$15+1,25,30,35,40,45,50)/100*(Inputs!$B$11-Inputs!$B$11),0)))/100)/2</f>
        <v/>
      </c>
      <c r="M1089">
        <f>L1089*(1+(Inputs!$B$10+((C1108=TRUE)*(F1108-Calc!F25))+B1119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89">
        <f>L1089*(1-MIN((Inputs!$B$9+((C1102=TRUE)*(F1102-Calc!F19))+B1114+(ArtifactsInput!$M$24-ArtifactsInput!$M$24)*CHOOSE(ArtifactsInput!$N$24+1,10,12,14,16,18,20)+(IF(AND(Inputs!$B$38&lt;&gt;"pvp",Inputs!$B$43=0),1,IF(IF(Inputs!$B$38="pvp",15,Inputs!$B$43)-(B1121)&lt;=0,1,MAX(0,IF(Inputs!$B$38="pvp",15,Inputs!$B$43)-MAX(5,B1121))/(IF(Inputs!$B$38="pvp",15,Inputs!$B$43)-(B1121))))*IF(AND(ArtifactsInput!$M$42,((Inputs!$B$9+((C1102=TRUE)*(F1102-Calc!F19))+B1114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1089*(MIN((Inputs!$B$9+((C1102=TRUE)*(F1102-Calc!F19))+B1114+(ArtifactsInput!$M$24-ArtifactsInput!$M$24)*CHOOSE(ArtifactsInput!$N$24+1,10,12,14,16,18,20)+(IF(AND(Inputs!$B$38&lt;&gt;"pvp",Inputs!$B$43=0),1,IF(IF(Inputs!$B$38="pvp",15,Inputs!$B$43)-(B1121)&lt;=0,1,MAX(0,IF(Inputs!$B$38="pvp",15,Inputs!$B$43)-MAX(5,B1121))/(IF(Inputs!$B$38="pvp",15,Inputs!$B$43)-(B1121))))*IF(AND(ArtifactsInput!$M$42,((Inputs!$B$9+((C1102=TRUE)*(F1102-Calc!F19))+B1114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89">
        <f>(1-Summary!$B$11)*T1089+Summary!$B$11*V1089</f>
        <v/>
      </c>
      <c r="P1089">
        <f>IF(B1124=0,0,O1089/B1124)</f>
        <v/>
      </c>
      <c r="Q1089">
        <f>IFERROR(1/(IF(Inputs!$B$38="pvp",15,MAX(0.1,Skills!D6-IF(TRUE=TRUE,Inputs!$B$32,0)))*(1-IF(AND(ArtifactsInput!$M$27,Inputs!$B$4="Chapter Hunt"),CHOOSE(ArtifactsInput!$N$27+1,20,24,28,32,36,40),0)/100)),0)</f>
        <v/>
      </c>
      <c r="R1089">
        <f>IF(AND(Inputs!$B$38&lt;&gt;"pvp",Inputs!$B$43&gt;0),IF(MAX(0,Inputs!$B$43-B1121)&lt;=0,0,(INT(MAX(0,Inputs!$B$43-B1121)/(IF(Inputs!$B$38="pvp",15,MAX(0.1,Skills!D6-IF(TRUE=TRUE,Inputs!$B$32,0)))*(1-IF(AND(ArtifactsInput!$M$27,Inputs!$B$4="Chapter Hunt"),CHOOSE(ArtifactsInput!$N$27+1,20,24,28,32,36,40),0)/100)))+1)),0)</f>
        <v/>
      </c>
      <c r="S1089">
        <f>IFERROR(O1089/N1089,0)</f>
        <v/>
      </c>
      <c r="T1089">
        <f>IF(C1089,(H1089*N1089*IF(AND(Inputs!$B$38&lt;&gt;"pvp",Inputs!$B$43&gt;0),((Skills!G6*((R1089-1)*IF(Skills!H6&gt;0,INT(Skills!I6/Skills!H6+0.000000001),1)+IF(Skills!H6&gt;0,INT(MIN(Skills!I6,MAX(0,MAX(0,Inputs!$B$43-B1121)-((R1089-1)*(IF(Inputs!$B$38="pvp",15,MAX(0.1,Skills!D6-IF(TRUE=TRUE,Inputs!$B$32,0)))*(1-IF(AND(ArtifactsInput!$M$27,Inputs!$B$4="Chapter Hunt"),CHOOSE(ArtifactsInput!$N$27+1,20,24,28,32,36,40),0)/100)))))/Skills!H6+0.000000001),1)))/Inputs!$B$43),G1089*Q1089))*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Hunt"),CHOOSE(ArtifactsInput!$N$35+1,15,18,21,24,27,30)*(1-EXP(-(0.2*B1116)*5)),0)+IF(AND(ArtifactsInput!$M$22,Inputs!$B$4&lt;&gt;"Chapter Hunt"),CHOOSE(ArtifactsInput!$N$22+1,10,12,14,16,18,20)*((0*(((0.15*B1116*5))^0/1)+1*(((0.15*B1116*5))^1/1)+2*(((0.15*B1116*5))^2/2)+3*(((0.15*B1116*5))^3/6)+4*(((0.15*B1116*5))^4/24)+5*(((0.15*B1116*5))^5/120))/((((0.15*B1116*5))^0/1)+(((0.15*B1116*5))^1/1)+(((0.15*B1116*5))^2/2)+(((0.15*B1116*5))^3/6)+(((0.15*B1116*5))^4/24)+(((0.15*B1116*5))^5/120))),0))+IF(Inputs!$B$3&gt;=54,9*(C1086=TRUE)*MIN(1,8*(1+Inputs!$B$34/100)*Q1086)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1089*(1-MIN(100,(Inputs!$B$9+((C1102=TRUE)*(F1102-Calc!F19))+B1114+(ArtifactsInput!$M$24-ArtifactsInput!$M$24)*CHOOSE(ArtifactsInput!$N$24+1,10,12,14,16,18,20)+(IF(AND(Inputs!$B$38&lt;&gt;"pvp",Inputs!$B$43=0),1,IF(IF(Inputs!$B$38="pvp",15,Inputs!$B$43)-(B1121)&lt;=0,1,MAX(0,IF(Inputs!$B$38="pvp",15,Inputs!$B$43)-MAX(5,B1121))/(IF(Inputs!$B$38="pvp",15,Inputs!$B$43)-(B1121))))*IF(AND(ArtifactsInput!$M$42,((Inputs!$B$9+((C1102=TRUE)*(F1102-Calc!F19))+B1114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1089*(MIN(100,(Inputs!$B$9+((C1102=TRUE)*(F1102-Calc!F19))+B1114+(ArtifactsInput!$M$24-ArtifactsInput!$M$24)*CHOOSE(ArtifactsInput!$N$24+1,10,12,14,16,18,20)+(IF(AND(Inputs!$B$38&lt;&gt;"pvp",Inputs!$B$43=0),1,IF(IF(Inputs!$B$38="pvp",15,Inputs!$B$43)-(B1121)&lt;=0,1,MAX(0,IF(Inputs!$B$38="pvp",15,Inputs!$B$43)-MAX(5,B1121))/(IF(Inputs!$B$38="pvp",15,Inputs!$B$43)-(B1121))))*IF(AND(ArtifactsInput!$M$42,((Inputs!$B$9+((C1102=TRUE)*(F1102-Calc!F19))+B1114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1089*(1-MIN(100,(Inputs!$B$9+((C1102=TRUE)*(F1102-Calc!F19))+B1114+(ArtifactsInput!$M$24-ArtifactsInput!$M$24)*CHOOSE(ArtifactsInput!$N$24+1,10,12,14,16,18,20)+(IF(AND(Inputs!$B$38&lt;&gt;"pvp",Inputs!$B$43=0),1,IF(IF(Inputs!$B$38="pvp",15,Inputs!$B$43)-(B1121)&lt;=0,1,MAX(0,IF(Inputs!$B$38="pvp",15,Inputs!$B$43)-MAX(5,B1121))/(IF(Inputs!$B$38="pvp",15,Inputs!$B$43)-(B1121))))*IF(AND(ArtifactsInput!$M$42,((Inputs!$B$9+((C1102=TRUE)*(F1102-Calc!F19))+B1114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1089*(MIN(100,(Inputs!$B$9+((C1102=TRUE)*(F1102-Calc!F19))+B1114+(ArtifactsInput!$M$24-ArtifactsInput!$M$24)*CHOOSE(ArtifactsInput!$N$24+1,10,12,14,16,18,20)+(IF(AND(Inputs!$B$38&lt;&gt;"pvp",Inputs!$B$43=0),1,IF(IF(Inputs!$B$38="pvp",15,Inputs!$B$43)-(B1121)&lt;=0,1,MAX(0,IF(Inputs!$B$38="pvp",15,Inputs!$B$43)-MAX(5,B1121))/(IF(Inputs!$B$38="pvp",15,Inputs!$B$43)-(B1121))))*IF(AND(ArtifactsInput!$M$42,((Inputs!$B$9+((C1102=TRUE)*(F1102-Calc!F19))+B1114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089">
        <f>IF(C1089,(H1089*N1089*IF(AND(Inputs!$B$38&lt;&gt;"pvp",Inputs!$B$43&gt;0),((Skills!G6*((R1089-1)*IF(Skills!H6&gt;0,INT(Skills!I6/Skills!H6+0.000000001),1)+IF(Skills!H6&gt;0,INT(MIN(Skills!I6,MAX(0,MAX(0,Inputs!$B$43-B1121)-((R1089-1)*(IF(Inputs!$B$38="pvp",15,MAX(0.1,Skills!D6-IF(TRUE=TRUE,Inputs!$B$32,0)))*(1-IF(AND(ArtifactsInput!$M$27,Inputs!$B$4="Chapter Hunt"),CHOOSE(ArtifactsInput!$N$27+1,20,24,28,32,36,40),0)/100)))))/Skills!H6+0.000000001),1)))/Inputs!$B$43),G1089*Q1089))*IF(Inputs!$B$38="pvp",1,(1+(Inputs!$B$21+Skills!Q6+(IF(ArtifactsInput!$M$33,CHOOSE(ArtifactsInput!$N$33+1,30,36,42,48,54,60),0))+(IF(AND(ArtifactsInput!$M$35,Inputs!$B$4&lt;&gt;"Chapter Hunt"),CHOOSE(ArtifactsInput!$N$35+1,15,18,21,24,27,30)*(1-EXP(-(0.2*B1116)*5)),0)+IF(AND(ArtifactsInput!$M$22,Inputs!$B$4&lt;&gt;"Chapter Hunt"),CHOOSE(ArtifactsInput!$N$22+1,10,12,14,16,18,20)*((0*(((0.15*B1116*5))^0/1)+1*(((0.15*B1116*5))^1/1)+2*(((0.15*B1116*5))^2/2)+3*(((0.15*B1116*5))^3/6)+4*(((0.15*B1116*5))^4/24)+5*(((0.15*B1116*5))^5/120))/((((0.15*B1116*5))^0/1)+(((0.15*B1116*5))^1/1)+(((0.15*B1116*5))^2/2)+(((0.15*B1116*5))^3/6)+(((0.15*B1116*5))^4/24)+(((0.15*B1116*5))^5/120))),0))+IF(Inputs!$B$3&gt;=54,9*(C1086=TRUE)*MIN(1,8*(1+Inputs!$B$34/100)*Q1086),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90">
      <c r="A1090">
        <f>Skills!A7</f>
        <v/>
      </c>
      <c r="B1090">
        <f>Skills!B7</f>
        <v/>
      </c>
      <c r="C1090">
        <f>Inputs!$B$3&gt;=63</f>
        <v/>
      </c>
      <c r="D1090">
        <f>IF(Skills!C7=1,60+Inputs!$B$25+Inputs!$B$29,IF(Skills!C7=2,90+Inputs!$B$26+Inputs!$B$29,IF(Skills!C7=3,120+Inputs!$B$27+Inputs!$B$29,MAX(0,(Inputs!$B$3-100)*3)+Inputs!$B$28+Inputs!$B$29)))</f>
        <v/>
      </c>
      <c r="E1090">
        <f>INDEX(FactorTable!$B$2:$Y$301, MATCH(ROUND(MIN(300,MAX(1,D1090)),0), FactorTable!$A$2:$A$301,0), Skills!M7+1)</f>
        <v/>
      </c>
      <c r="F1090">
        <f>IF(Skills!N7=TRUE,(Skills!L7/10)*(E1090/1000),Skills!L7/10)+Skills!O7</f>
        <v/>
      </c>
      <c r="G1090">
        <f>Skills!G7*IF(Skills!H7&gt;0,INT(IF(Inputs!$B$38="pvp",MIN(Skills!I7,15),Skills!I7)/Skills!H7+0.000000001),1)</f>
        <v/>
      </c>
      <c r="H1090">
        <f>1-(1-Skills!J7/100)^Skills!K7</f>
        <v/>
      </c>
      <c r="I1090" t="inlineStr">
        <is>
          <t>1</t>
        </is>
      </c>
      <c r="J1090">
        <f>((Inputs!$B$6*(1+(Inputs!$B$7+1)/100))+(((Inputs!$B$12*(1+Inputs!$B$13/100))-(Inputs!$B$12*(1+Inputs!$B$13/100)))+0.25*(Inputs!$B$14-Inputs!$B$14))*(1+(Inputs!$B$7+1)/100))*(F1090/100)</f>
        <v/>
      </c>
      <c r="K1090">
        <f>J1090*(1+((Inputs!$B$12*(1+Inputs!$B$13/100))*0.01+Inputs!$B$14*0.0025)/100)*(1+Inputs!$B$15/100)*(1+Inputs!$B$16/100)*(5000/(6000+Inputs!$B$42*(1-(100*(1-(1-(Inputs!$B$19+0)/100)*(1-CHOOSE(ArtifactsInput!$N$40+1,5,6,7,8,9,10)/100)^(ArtifactsInput!$M$40-ArtifactsInput!$M$40)))/100)))*(1+(Inputs!$B$24+((C1109=TRUE)*(F1109-Calc!F26))+B1120)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1098=TRUE,F1098,0)/100)*(1+(IF(Skills!A7="EIGHT_LEGS_EASTON",Inputs!$B$17+((C1106=TRUE)*(F1106-Calc!F23))+((C1110=TRUE)*(F1110-Calc!F27))+((IF(AND(Inputs!$B$38&lt;&gt;"pvp",Inputs!$B$43=0),1,IF(IF(Inputs!$B$38="pvp",15,Inputs!$B$43)-(B1121)&lt;=0,1,MAX(0,IF(Inputs!$B$38="pvp",15,Inputs!$B$43)-MAX(5,B1121))/(IF(Inputs!$B$38="pvp",15,Inputs!$B$43)-(B1121))))*(IF(AND(ArtifactsInput!$M$42,((Inputs!$B$9+((C1102=TRUE)*(F1102-Calc!F19))+B1114+(ArtifactsInput!$M$24-ArtifactsInput!$M$24)*CHOOSE(ArtifactsInput!$N$24+1,10,12,14,16,18,20)+IF(ArtifactsInput!$M$10,CHOOSE(ArtifactsInput!$N$10+1,15,18,21,24,27,30)*(IF(Inputs!$B$38="pvp",MIN(15,15)/15,IF(AND(Inputs!$B$38&lt;&gt;"pvp",Inputs!$B$43&gt;0),MIN(15,Inputs!$B$43)/(Inputs!$B$43),0))),0)))&gt;=100),MIN(100,((Inputs!$B$9+((C1102=TRUE)*(F1102-Calc!F19))+B1114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1121)&lt;=0,1,MAX(0,IF(Inputs!$B$38="pvp",15,Inputs!$B$43)-MAX(5,B1121))/(IF(Inputs!$B$38="pvp",15,Inputs!$B$43)-(B1121))))*IF(AND(ArtifactsInput!$M$42,((Inputs!$B$9+((C1102=TRUE)*(F1102-Calc!F19))+B1114+(ArtifactsInput!$M$24-ArtifactsInput!$M$24)*CHOOSE(ArtifactsInput!$N$24+1,10,12,14,16,18,20)+IF(ArtifactsInput!$M$10,CHOOSE(ArtifactsInput!$N$10+1,15,18,21,24,27,30)*(IF(Inputs!$B$38="pvp",MIN(15,15)/15,IF(AND(Inputs!$B$38&lt;&gt;"pvp",Inputs!$B$43&gt;0),MIN(15,Inputs!$B$43)/(Inputs!$B$43),0))),0)))&gt;=100),CHOOSE(ArtifactsInput!$N$42+1,40,48,56,64,72,80),0))))/100)*((1+(((C1100=TRUE)*F1100*5/7)+((C1107=TRUE)*(F1107-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1090)</f>
        <v/>
      </c>
      <c r="L1090">
        <f>K1090*(MIN(Inputs!$B$22+((C1105=TRUE)*(F1105-Calc!F22)),(Inputs!$B$23+0+(IF(ArtifactsInput!$M$15,CHOOSE(ArtifactsInput!$N$15+1,25,30,35,40,45,50)/100*(Inputs!$B$11-Inputs!$B$11),0))))/100+(Inputs!$B$23+0+(IF(ArtifactsInput!$M$15,CHOOSE(ArtifactsInput!$N$15+1,25,30,35,40,45,50)/100*(Inputs!$B$11-Inputs!$B$11),0)))/100)/2</f>
        <v/>
      </c>
      <c r="M1090">
        <f>L1090*(1+(Inputs!$B$10+((C1108=TRUE)*(F1108-Calc!F25))+B1119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90">
        <f>L1090*(1-MIN((Inputs!$B$9+((C1102=TRUE)*(F1102-Calc!F19))+B1114+(ArtifactsInput!$M$24-ArtifactsInput!$M$24)*CHOOSE(ArtifactsInput!$N$24+1,10,12,14,16,18,20)+(IF(AND(Inputs!$B$38&lt;&gt;"pvp",Inputs!$B$43=0),1,IF(IF(Inputs!$B$38="pvp",15,Inputs!$B$43)-(B1121)&lt;=0,1,MAX(0,IF(Inputs!$B$38="pvp",15,Inputs!$B$43)-MAX(5,B1121))/(IF(Inputs!$B$38="pvp",15,Inputs!$B$43)-(B1121))))*IF(AND(ArtifactsInput!$M$42,((Inputs!$B$9+((C1102=TRUE)*(F1102-Calc!F19))+B1114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1090*(MIN((Inputs!$B$9+((C1102=TRUE)*(F1102-Calc!F19))+B1114+(ArtifactsInput!$M$24-ArtifactsInput!$M$24)*CHOOSE(ArtifactsInput!$N$24+1,10,12,14,16,18,20)+(IF(AND(Inputs!$B$38&lt;&gt;"pvp",Inputs!$B$43=0),1,IF(IF(Inputs!$B$38="pvp",15,Inputs!$B$43)-(B1121)&lt;=0,1,MAX(0,IF(Inputs!$B$38="pvp",15,Inputs!$B$43)-MAX(5,B1121))/(IF(Inputs!$B$38="pvp",15,Inputs!$B$43)-(B1121))))*IF(AND(ArtifactsInput!$M$42,((Inputs!$B$9+((C1102=TRUE)*(F1102-Calc!F19))+B1114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90">
        <f>(1-Summary!$B$11)*T1090+Summary!$B$11*V1090</f>
        <v/>
      </c>
      <c r="P1090">
        <f>IF(B1124=0,0,O1090/B1124)</f>
        <v/>
      </c>
      <c r="Q1090">
        <f>IFERROR(1/(IF(Inputs!$B$38="pvp",15,MAX(0.1,Skills!D7-IF(TRUE=TRUE,Inputs!$B$32,0)))*(1-IF(AND(ArtifactsInput!$M$27,Inputs!$B$4="Chapter Hunt"),CHOOSE(ArtifactsInput!$N$27+1,20,24,28,32,36,40),0)/100)),0)</f>
        <v/>
      </c>
      <c r="R1090">
        <f>IF(AND(Inputs!$B$38&lt;&gt;"pvp",Inputs!$B$43&gt;0),IF(MAX(0,Inputs!$B$43-B1121)&lt;=0,0,(INT(MAX(0,Inputs!$B$43-B1121)/(IF(Inputs!$B$38="pvp",15,MAX(0.1,Skills!D7-IF(TRUE=TRUE,Inputs!$B$32,0)))*(1-IF(AND(ArtifactsInput!$M$27,Inputs!$B$4="Chapter Hunt"),CHOOSE(ArtifactsInput!$N$27+1,20,24,28,32,36,40),0)/100)))+1)),0)</f>
        <v/>
      </c>
      <c r="S1090">
        <f>IFERROR(O1090/N1090,0)</f>
        <v/>
      </c>
      <c r="T1090">
        <f>IF(C1090,(H1090*N1090*IF(AND(Inputs!$B$38&lt;&gt;"pvp",Inputs!$B$43&gt;0),((Skills!G7*((R1090-1)*IF(Skills!H7&gt;0,INT(Skills!I7/Skills!H7+0.000000001),1)+IF(Skills!H7&gt;0,INT(MIN(Skills!I7,MAX(0,MAX(0,Inputs!$B$43-B1121)-((R1090-1)*(IF(Inputs!$B$38="pvp",15,MAX(0.1,Skills!D7-IF(TRUE=TRUE,Inputs!$B$32,0)))*(1-IF(AND(ArtifactsInput!$M$27,Inputs!$B$4="Chapter Hunt"),CHOOSE(ArtifactsInput!$N$27+1,20,24,28,32,36,40),0)/100)))))/Skills!H7+0.000000001),1)))/Inputs!$B$43),G1090*Q1090))*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Hunt"),CHOOSE(ArtifactsInput!$N$35+1,15,18,21,24,27,30)*(1-EXP(-(0.2*B1116)*5)),0)+IF(AND(ArtifactsInput!$M$22,Inputs!$B$4&lt;&gt;"Chapter Hunt"),CHOOSE(ArtifactsInput!$N$22+1,10,12,14,16,18,20)*((0*(((0.15*B1116*5))^0/1)+1*(((0.15*B1116*5))^1/1)+2*(((0.15*B1116*5))^2/2)+3*(((0.15*B1116*5))^3/6)+4*(((0.15*B1116*5))^4/24)+5*(((0.15*B1116*5))^5/120))/((((0.15*B1116*5))^0/1)+(((0.15*B1116*5))^1/1)+(((0.15*B1116*5))^2/2)+(((0.15*B1116*5))^3/6)+(((0.15*B1116*5))^4/24)+(((0.15*B1116*5))^5/120))),0))+IF(Inputs!$B$3&gt;=54,9*(C1086=TRUE)*MIN(1,8*(1+Inputs!$B$34/100)*Q1086)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1090*(1-MIN(100,(Inputs!$B$9+((C1102=TRUE)*(F1102-Calc!F19))+B1114+(ArtifactsInput!$M$24-ArtifactsInput!$M$24)*CHOOSE(ArtifactsInput!$N$24+1,10,12,14,16,18,20)+(IF(AND(Inputs!$B$38&lt;&gt;"pvp",Inputs!$B$43=0),1,IF(IF(Inputs!$B$38="pvp",15,Inputs!$B$43)-(B1121)&lt;=0,1,MAX(0,IF(Inputs!$B$38="pvp",15,Inputs!$B$43)-MAX(5,B1121))/(IF(Inputs!$B$38="pvp",15,Inputs!$B$43)-(B1121))))*IF(AND(ArtifactsInput!$M$42,((Inputs!$B$9+((C1102=TRUE)*(F1102-Calc!F19))+B1114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1090*(MIN(100,(Inputs!$B$9+((C1102=TRUE)*(F1102-Calc!F19))+B1114+(ArtifactsInput!$M$24-ArtifactsInput!$M$24)*CHOOSE(ArtifactsInput!$N$24+1,10,12,14,16,18,20)+(IF(AND(Inputs!$B$38&lt;&gt;"pvp",Inputs!$B$43=0),1,IF(IF(Inputs!$B$38="pvp",15,Inputs!$B$43)-(B1121)&lt;=0,1,MAX(0,IF(Inputs!$B$38="pvp",15,Inputs!$B$43)-MAX(5,B1121))/(IF(Inputs!$B$38="pvp",15,Inputs!$B$43)-(B1121))))*IF(AND(ArtifactsInput!$M$42,((Inputs!$B$9+((C1102=TRUE)*(F1102-Calc!F19))+B1114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1090*(1-MIN(100,(Inputs!$B$9+((C1102=TRUE)*(F1102-Calc!F19))+B1114+(ArtifactsInput!$M$24-ArtifactsInput!$M$24)*CHOOSE(ArtifactsInput!$N$24+1,10,12,14,16,18,20)+(IF(AND(Inputs!$B$38&lt;&gt;"pvp",Inputs!$B$43=0),1,IF(IF(Inputs!$B$38="pvp",15,Inputs!$B$43)-(B1121)&lt;=0,1,MAX(0,IF(Inputs!$B$38="pvp",15,Inputs!$B$43)-MAX(5,B1121))/(IF(Inputs!$B$38="pvp",15,Inputs!$B$43)-(B1121))))*IF(AND(ArtifactsInput!$M$42,((Inputs!$B$9+((C1102=TRUE)*(F1102-Calc!F19))+B1114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1090*(MIN(100,(Inputs!$B$9+((C1102=TRUE)*(F1102-Calc!F19))+B1114+(ArtifactsInput!$M$24-ArtifactsInput!$M$24)*CHOOSE(ArtifactsInput!$N$24+1,10,12,14,16,18,20)+(IF(AND(Inputs!$B$38&lt;&gt;"pvp",Inputs!$B$43=0),1,IF(IF(Inputs!$B$38="pvp",15,Inputs!$B$43)-(B1121)&lt;=0,1,MAX(0,IF(Inputs!$B$38="pvp",15,Inputs!$B$43)-MAX(5,B1121))/(IF(Inputs!$B$38="pvp",15,Inputs!$B$43)-(B1121))))*IF(AND(ArtifactsInput!$M$42,((Inputs!$B$9+((C1102=TRUE)*(F1102-Calc!F19))+B1114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090">
        <f>IF(C1090,(H1090*N1090*IF(AND(Inputs!$B$38&lt;&gt;"pvp",Inputs!$B$43&gt;0),((Skills!G7*((R1090-1)*IF(Skills!H7&gt;0,INT(Skills!I7/Skills!H7+0.000000001),1)+IF(Skills!H7&gt;0,INT(MIN(Skills!I7,MAX(0,MAX(0,Inputs!$B$43-B1121)-((R1090-1)*(IF(Inputs!$B$38="pvp",15,MAX(0.1,Skills!D7-IF(TRUE=TRUE,Inputs!$B$32,0)))*(1-IF(AND(ArtifactsInput!$M$27,Inputs!$B$4="Chapter Hunt"),CHOOSE(ArtifactsInput!$N$27+1,20,24,28,32,36,40),0)/100)))))/Skills!H7+0.000000001),1)))/Inputs!$B$43),G1090*Q1090))*IF(Inputs!$B$38="pvp",1,(1+(Inputs!$B$21+Skills!Q7+(IF(ArtifactsInput!$M$33,CHOOSE(ArtifactsInput!$N$33+1,30,36,42,48,54,60),0))+(IF(AND(ArtifactsInput!$M$35,Inputs!$B$4&lt;&gt;"Chapter Hunt"),CHOOSE(ArtifactsInput!$N$35+1,15,18,21,24,27,30)*(1-EXP(-(0.2*B1116)*5)),0)+IF(AND(ArtifactsInput!$M$22,Inputs!$B$4&lt;&gt;"Chapter Hunt"),CHOOSE(ArtifactsInput!$N$22+1,10,12,14,16,18,20)*((0*(((0.15*B1116*5))^0/1)+1*(((0.15*B1116*5))^1/1)+2*(((0.15*B1116*5))^2/2)+3*(((0.15*B1116*5))^3/6)+4*(((0.15*B1116*5))^4/24)+5*(((0.15*B1116*5))^5/120))/((((0.15*B1116*5))^0/1)+(((0.15*B1116*5))^1/1)+(((0.15*B1116*5))^2/2)+(((0.15*B1116*5))^3/6)+(((0.15*B1116*5))^4/24)+(((0.15*B1116*5))^5/120))),0))+IF(Inputs!$B$3&gt;=54,9*(C1086=TRUE)*MIN(1,8*(1+Inputs!$B$34/100)*Q1086),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91">
      <c r="A1091">
        <f>Skills!A8</f>
        <v/>
      </c>
      <c r="B1091">
        <f>Skills!B8</f>
        <v/>
      </c>
      <c r="C1091">
        <f>Inputs!$B$3&gt;=103</f>
        <v/>
      </c>
      <c r="D1091">
        <f>IF(Skills!C8=1,60+Inputs!$B$25+Inputs!$B$29,IF(Skills!C8=2,90+Inputs!$B$26+Inputs!$B$29,IF(Skills!C8=3,120+Inputs!$B$27+Inputs!$B$29,MAX(0,(Inputs!$B$3-100)*3)+Inputs!$B$28+Inputs!$B$29)))</f>
        <v/>
      </c>
      <c r="E1091">
        <f>INDEX(FactorTable!$B$2:$Y$301, MATCH(ROUND(MIN(300,MAX(1,D1091)),0), FactorTable!$A$2:$A$301,0), Skills!M8+1)</f>
        <v/>
      </c>
      <c r="F1091">
        <f>IF(Skills!N8=TRUE,(Skills!L8/10)*(E1091/1000),Skills!L8/10)+Skills!O8</f>
        <v/>
      </c>
      <c r="G1091">
        <f>Skills!G8*IF(Skills!H8&gt;0,INT(IF(Inputs!$B$38="pvp",MIN(Skills!I8,15),Skills!I8)/Skills!H8+0.000000001),1)</f>
        <v/>
      </c>
      <c r="H1091">
        <f>1-(1-Skills!J8/100)^Skills!K8</f>
        <v/>
      </c>
      <c r="I1091" t="inlineStr">
        <is>
          <t>1</t>
        </is>
      </c>
      <c r="J1091">
        <f>((Inputs!$B$6*(1+(Inputs!$B$7+1)/100))+(((Inputs!$B$12*(1+Inputs!$B$13/100))-(Inputs!$B$12*(1+Inputs!$B$13/100)))+0.25*(Inputs!$B$14-Inputs!$B$14))*(1+(Inputs!$B$7+1)/100))*(F1091/100)</f>
        <v/>
      </c>
      <c r="K1091">
        <f>J1091*(1+((Inputs!$B$12*(1+Inputs!$B$13/100))*0.01+Inputs!$B$14*0.0025)/100)*(1+Inputs!$B$15/100)*(1+Inputs!$B$16/100)*(5000/(6000+Inputs!$B$42*(1-(100*(1-(1-(Inputs!$B$19+0)/100)*(1-CHOOSE(ArtifactsInput!$N$40+1,5,6,7,8,9,10)/100)^(ArtifactsInput!$M$40-ArtifactsInput!$M$40)))/100)))*(1+(Inputs!$B$24+((C1109=TRUE)*(F1109-Calc!F26))+B1120)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IGHT_LEGS_EASTON",Inputs!$B$17+((C1106=TRUE)*(F1106-Calc!F23))+((C1110=TRUE)*(F1110-Calc!F27))+((IF(AND(Inputs!$B$38&lt;&gt;"pvp",Inputs!$B$43=0),1,IF(IF(Inputs!$B$38="pvp",15,Inputs!$B$43)-(B1121)&lt;=0,1,MAX(0,IF(Inputs!$B$38="pvp",15,Inputs!$B$43)-MAX(5,B1121))/(IF(Inputs!$B$38="pvp",15,Inputs!$B$43)-(B1121))))*(IF(AND(ArtifactsInput!$M$42,((Inputs!$B$9+((C1102=TRUE)*(F1102-Calc!F19))+B1114+(ArtifactsInput!$M$24-ArtifactsInput!$M$24)*CHOOSE(ArtifactsInput!$N$24+1,10,12,14,16,18,20)+IF(ArtifactsInput!$M$10,CHOOSE(ArtifactsInput!$N$10+1,15,18,21,24,27,30)*(IF(Inputs!$B$38="pvp",MIN(15,15)/15,IF(AND(Inputs!$B$38&lt;&gt;"pvp",Inputs!$B$43&gt;0),MIN(15,Inputs!$B$43)/(Inputs!$B$43),0))),0)))&gt;=100),MIN(100,((Inputs!$B$9+((C1102=TRUE)*(F1102-Calc!F19))+B1114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1121)&lt;=0,1,MAX(0,IF(Inputs!$B$38="pvp",15,Inputs!$B$43)-MAX(5,B1121))/(IF(Inputs!$B$38="pvp",15,Inputs!$B$43)-(B1121))))*IF(AND(ArtifactsInput!$M$42,((Inputs!$B$9+((C1102=TRUE)*(F1102-Calc!F19))+B1114+(ArtifactsInput!$M$24-ArtifactsInput!$M$24)*CHOOSE(ArtifactsInput!$N$24+1,10,12,14,16,18,20)+IF(ArtifactsInput!$M$10,CHOOSE(ArtifactsInput!$N$10+1,15,18,21,24,27,30)*(IF(Inputs!$B$38="pvp",MIN(15,15)/15,IF(AND(Inputs!$B$38&lt;&gt;"pvp",Inputs!$B$43&gt;0),MIN(15,Inputs!$B$43)/(Inputs!$B$43),0))),0)))&gt;=100),CHOOSE(ArtifactsInput!$N$42+1,40,48,56,64,72,80),0))))/100)*((1+(((C1100=TRUE)*F1100*5/7)+((C1107=TRUE)*(F1107-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1091)</f>
        <v/>
      </c>
      <c r="L1091">
        <f>K1091*(MIN(Inputs!$B$22+((C1105=TRUE)*(F1105-Calc!F22)),(Inputs!$B$23+0+(IF(ArtifactsInput!$M$15,CHOOSE(ArtifactsInput!$N$15+1,25,30,35,40,45,50)/100*(Inputs!$B$11-Inputs!$B$11),0))))/100+(Inputs!$B$23+0+(IF(ArtifactsInput!$M$15,CHOOSE(ArtifactsInput!$N$15+1,25,30,35,40,45,50)/100*(Inputs!$B$11-Inputs!$B$11),0)))/100)/2</f>
        <v/>
      </c>
      <c r="M1091">
        <f>L1091*(1+(Inputs!$B$10+((C1108=TRUE)*(F1108-Calc!F25))+B1119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91">
        <f>L1091*(1-MIN((Inputs!$B$9+((C1102=TRUE)*(F1102-Calc!F19))+B1114+(ArtifactsInput!$M$24-ArtifactsInput!$M$24)*CHOOSE(ArtifactsInput!$N$24+1,10,12,14,16,18,20)+(IF(AND(Inputs!$B$38&lt;&gt;"pvp",Inputs!$B$43=0),1,IF(IF(Inputs!$B$38="pvp",15,Inputs!$B$43)-(B1121)&lt;=0,1,MAX(0,IF(Inputs!$B$38="pvp",15,Inputs!$B$43)-MAX(5,B1121))/(IF(Inputs!$B$38="pvp",15,Inputs!$B$43)-(B1121))))*IF(AND(ArtifactsInput!$M$42,((Inputs!$B$9+((C1102=TRUE)*(F1102-Calc!F19))+B1114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1091*(MIN((Inputs!$B$9+((C1102=TRUE)*(F1102-Calc!F19))+B1114+(ArtifactsInput!$M$24-ArtifactsInput!$M$24)*CHOOSE(ArtifactsInput!$N$24+1,10,12,14,16,18,20)+(IF(AND(Inputs!$B$38&lt;&gt;"pvp",Inputs!$B$43=0),1,IF(IF(Inputs!$B$38="pvp",15,Inputs!$B$43)-(B1121)&lt;=0,1,MAX(0,IF(Inputs!$B$38="pvp",15,Inputs!$B$43)-MAX(5,B1121))/(IF(Inputs!$B$38="pvp",15,Inputs!$B$43)-(B1121))))*IF(AND(ArtifactsInput!$M$42,((Inputs!$B$9+((C1102=TRUE)*(F1102-Calc!F19))+B1114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91">
        <f>(1-Summary!$B$11)*T1091+Summary!$B$11*V1091</f>
        <v/>
      </c>
      <c r="P1091">
        <f>IF(B1124=0,0,O1091/B1124)</f>
        <v/>
      </c>
      <c r="Q1091">
        <f>IFERROR(1/((IF(Inputs!$B$38="pvp",15,MAX(0.1,Skills!D8-IF(TRUE=TRUE,Inputs!$B$32,0)))*(1-IF(AND(ArtifactsInput!$M$27,Inputs!$B$4="Chapter Hunt"),CHOOSE(ArtifactsInput!$N$27+1,20,24,28,32,36,40),0)/100))/B1125),0)</f>
        <v/>
      </c>
      <c r="R1091">
        <f>IF(AND(Inputs!$B$38&lt;&gt;"pvp",Inputs!$B$43&gt;0),IF(MAX(0,Inputs!$B$43-B1121)&lt;=0,0,(INT(MAX(0,Inputs!$B$43-B1121)/((IF(Inputs!$B$38="pvp",15,MAX(0.1,Skills!D8-IF(TRUE=TRUE,Inputs!$B$32,0)))*(1-IF(AND(ArtifactsInput!$M$27,Inputs!$B$4="Chapter Hunt"),CHOOSE(ArtifactsInput!$N$27+1,20,24,28,32,36,40),0)/100))/B1125))+1)),0)</f>
        <v/>
      </c>
      <c r="S1091">
        <f>IFERROR(O1091/N1091,0)</f>
        <v/>
      </c>
      <c r="T1091">
        <f>IF(C1091,(H1091*N1091*IF(AND(Inputs!$B$38&lt;&gt;"pvp",Inputs!$B$43&gt;0),((Skills!G8*((R1091-1)*IF(Skills!H8&gt;0,INT(Skills!I8/Skills!H8+0.000000001),1)+IF(Skills!H8&gt;0,INT(MIN(Skills!I8,MAX(0,MAX(0,Inputs!$B$43-B1121)-((R1091-1)*((IF(Inputs!$B$38="pvp",15,MAX(0.1,Skills!D8-IF(TRUE=TRUE,Inputs!$B$32,0)))*(1-IF(AND(ArtifactsInput!$M$27,Inputs!$B$4="Chapter Hunt"),CHOOSE(ArtifactsInput!$N$27+1,20,24,28,32,36,40),0)/100))/B1125))))/Skills!H8+0.000000001),1)))/Inputs!$B$43),G1091*Q1091))*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Hunt"),CHOOSE(ArtifactsInput!$N$35+1,15,18,21,24,27,30)*(1-EXP(-(0.2*B1116)*5)),0)+IF(AND(ArtifactsInput!$M$22,Inputs!$B$4&lt;&gt;"Chapter Hunt"),CHOOSE(ArtifactsInput!$N$22+1,10,12,14,16,18,20)*((0*(((0.15*B1116*5))^0/1)+1*(((0.15*B1116*5))^1/1)+2*(((0.15*B1116*5))^2/2)+3*(((0.15*B1116*5))^3/6)+4*(((0.15*B1116*5))^4/24)+5*(((0.15*B1116*5))^5/120))/((((0.15*B1116*5))^0/1)+(((0.15*B1116*5))^1/1)+(((0.15*B1116*5))^2/2)+(((0.15*B1116*5))^3/6)+(((0.15*B1116*5))^4/24)+(((0.15*B1116*5))^5/120))),0))+IF(Inputs!$B$3&gt;=54,9*(C1086=TRUE)*MIN(1,8*(1+Inputs!$B$34/100)*Q1086)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1091*(1-MIN(100,(Inputs!$B$9+((C1102=TRUE)*(F1102-Calc!F19))+B1114+(ArtifactsInput!$M$24-ArtifactsInput!$M$24)*CHOOSE(ArtifactsInput!$N$24+1,10,12,14,16,18,20)+(IF(AND(Inputs!$B$38&lt;&gt;"pvp",Inputs!$B$43=0),1,IF(IF(Inputs!$B$38="pvp",15,Inputs!$B$43)-(B1121)&lt;=0,1,MAX(0,IF(Inputs!$B$38="pvp",15,Inputs!$B$43)-MAX(5,B1121))/(IF(Inputs!$B$38="pvp",15,Inputs!$B$43)-(B1121))))*IF(AND(ArtifactsInput!$M$42,((Inputs!$B$9+((C1102=TRUE)*(F1102-Calc!F19))+B1114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1091*(MIN(100,(Inputs!$B$9+((C1102=TRUE)*(F1102-Calc!F19))+B1114+(ArtifactsInput!$M$24-ArtifactsInput!$M$24)*CHOOSE(ArtifactsInput!$N$24+1,10,12,14,16,18,20)+(IF(AND(Inputs!$B$38&lt;&gt;"pvp",Inputs!$B$43=0),1,IF(IF(Inputs!$B$38="pvp",15,Inputs!$B$43)-(B1121)&lt;=0,1,MAX(0,IF(Inputs!$B$38="pvp",15,Inputs!$B$43)-MAX(5,B1121))/(IF(Inputs!$B$38="pvp",15,Inputs!$B$43)-(B1121))))*IF(AND(ArtifactsInput!$M$42,((Inputs!$B$9+((C1102=TRUE)*(F1102-Calc!F19))+B1114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1091*(1-MIN(100,(Inputs!$B$9+((C1102=TRUE)*(F1102-Calc!F19))+B1114+(ArtifactsInput!$M$24-ArtifactsInput!$M$24)*CHOOSE(ArtifactsInput!$N$24+1,10,12,14,16,18,20)+(IF(AND(Inputs!$B$38&lt;&gt;"pvp",Inputs!$B$43=0),1,IF(IF(Inputs!$B$38="pvp",15,Inputs!$B$43)-(B1121)&lt;=0,1,MAX(0,IF(Inputs!$B$38="pvp",15,Inputs!$B$43)-MAX(5,B1121))/(IF(Inputs!$B$38="pvp",15,Inputs!$B$43)-(B1121))))*IF(AND(ArtifactsInput!$M$42,((Inputs!$B$9+((C1102=TRUE)*(F1102-Calc!F19))+B1114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1091*(MIN(100,(Inputs!$B$9+((C1102=TRUE)*(F1102-Calc!F19))+B1114+(ArtifactsInput!$M$24-ArtifactsInput!$M$24)*CHOOSE(ArtifactsInput!$N$24+1,10,12,14,16,18,20)+(IF(AND(Inputs!$B$38&lt;&gt;"pvp",Inputs!$B$43=0),1,IF(IF(Inputs!$B$38="pvp",15,Inputs!$B$43)-(B1121)&lt;=0,1,MAX(0,IF(Inputs!$B$38="pvp",15,Inputs!$B$43)-MAX(5,B1121))/(IF(Inputs!$B$38="pvp",15,Inputs!$B$43)-(B1121))))*IF(AND(ArtifactsInput!$M$42,((Inputs!$B$9+((C1102=TRUE)*(F1102-Calc!F19))+B1114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091">
        <f>IF(C1091,(H1091*N1091*IF(AND(Inputs!$B$38&lt;&gt;"pvp",Inputs!$B$43&gt;0),((Skills!G8*((R1091-1)*IF(Skills!H8&gt;0,INT(Skills!I8/Skills!H8+0.000000001),1)+IF(Skills!H8&gt;0,INT(MIN(Skills!I8,MAX(0,MAX(0,Inputs!$B$43-B1121)-((R1091-1)*((IF(Inputs!$B$38="pvp",15,MAX(0.1,Skills!D8-IF(TRUE=TRUE,Inputs!$B$32,0)))*(1-IF(AND(ArtifactsInput!$M$27,Inputs!$B$4="Chapter Hunt"),CHOOSE(ArtifactsInput!$N$27+1,20,24,28,32,36,40),0)/100))/B1125))))/Skills!H8+0.000000001),1)))/Inputs!$B$43),G1091*Q1091))*IF(Inputs!$B$38="pvp",1,(1+(Inputs!$B$21+Skills!Q8+(IF(ArtifactsInput!$M$33,CHOOSE(ArtifactsInput!$N$33+1,30,36,42,48,54,60),0))+(IF(AND(ArtifactsInput!$M$35,Inputs!$B$4&lt;&gt;"Chapter Hunt"),CHOOSE(ArtifactsInput!$N$35+1,15,18,21,24,27,30)*(1-EXP(-(0.2*B1116)*5)),0)+IF(AND(ArtifactsInput!$M$22,Inputs!$B$4&lt;&gt;"Chapter Hunt"),CHOOSE(ArtifactsInput!$N$22+1,10,12,14,16,18,20)*((0*(((0.15*B1116*5))^0/1)+1*(((0.15*B1116*5))^1/1)+2*(((0.15*B1116*5))^2/2)+3*(((0.15*B1116*5))^3/6)+4*(((0.15*B1116*5))^4/24)+5*(((0.15*B1116*5))^5/120))/((((0.15*B1116*5))^0/1)+(((0.15*B1116*5))^1/1)+(((0.15*B1116*5))^2/2)+(((0.15*B1116*5))^3/6)+(((0.15*B1116*5))^4/24)+(((0.15*B1116*5))^5/120))),0))+IF(Inputs!$B$3&gt;=54,9*(C1086=TRUE)*MIN(1,8*(1+Inputs!$B$34/100)*Q1086),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92">
      <c r="A1092">
        <f>Skills!A9</f>
        <v/>
      </c>
      <c r="B1092">
        <f>Skills!B9</f>
        <v/>
      </c>
      <c r="C1092">
        <f>Inputs!$B$3&gt;=105</f>
        <v/>
      </c>
      <c r="D1092">
        <f>IF(Skills!C9=1,60+Inputs!$B$25+Inputs!$B$29,IF(Skills!C9=2,90+Inputs!$B$26+Inputs!$B$29,IF(Skills!C9=3,120+Inputs!$B$27+Inputs!$B$29,MAX(0,(Inputs!$B$3-100)*3)+Inputs!$B$28+Inputs!$B$29)))</f>
        <v/>
      </c>
      <c r="E1092">
        <f>INDEX(FactorTable!$B$2:$Y$301, MATCH(ROUND(MIN(300,MAX(1,D1092)),0), FactorTable!$A$2:$A$301,0), Skills!M9+1)</f>
        <v/>
      </c>
      <c r="F1092">
        <f>IF(Skills!N9=TRUE,(Skills!L9/10)*(E1092/1000),Skills!L9/10)+Skills!O9</f>
        <v/>
      </c>
      <c r="G1092">
        <f>Skills!G9*IF(Skills!H9&gt;0,INT(IF(Inputs!$B$38="pvp",MIN(Skills!I9,15),Skills!I9)/Skills!H9+0.000000001),1)</f>
        <v/>
      </c>
      <c r="H1092">
        <f>1-(1-Skills!J9/100)^Skills!K9</f>
        <v/>
      </c>
      <c r="I1092" t="inlineStr">
        <is>
          <t>1</t>
        </is>
      </c>
      <c r="J1092">
        <f>((Inputs!$B$6*(1+(Inputs!$B$7+1)/100))+(((Inputs!$B$12*(1+Inputs!$B$13/100))-(Inputs!$B$12*(1+Inputs!$B$13/100)))+0.25*(Inputs!$B$14-Inputs!$B$14))*(1+(Inputs!$B$7+1)/100))*(F1092/100)</f>
        <v/>
      </c>
      <c r="K1092">
        <f>J1092*(1+((Inputs!$B$12*(1+Inputs!$B$13/100))*0.01+Inputs!$B$14*0.0025)/100)*(1+Inputs!$B$15/100)*(1+Inputs!$B$16/100)*(5000/(6000+Inputs!$B$42*(1-(100*(1-(1-(Inputs!$B$19+0)/100)*(1-CHOOSE(ArtifactsInput!$N$40+1,5,6,7,8,9,10)/100)^(ArtifactsInput!$M$40-ArtifactsInput!$M$40)))/100)))*(1+(Inputs!$B$24+((C1109=TRUE)*(F1109-Calc!F26))+B1120)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IGHT_LEGS_EASTON",Inputs!$B$17+((C1106=TRUE)*(F1106-Calc!F23))+((C1110=TRUE)*(F1110-Calc!F27))+((IF(AND(Inputs!$B$38&lt;&gt;"pvp",Inputs!$B$43=0),1,IF(IF(Inputs!$B$38="pvp",15,Inputs!$B$43)-(B1121)&lt;=0,1,MAX(0,IF(Inputs!$B$38="pvp",15,Inputs!$B$43)-MAX(5,B1121))/(IF(Inputs!$B$38="pvp",15,Inputs!$B$43)-(B1121))))*(IF(AND(ArtifactsInput!$M$42,((Inputs!$B$9+((C1102=TRUE)*(F1102-Calc!F19))+B1114+(ArtifactsInput!$M$24-ArtifactsInput!$M$24)*CHOOSE(ArtifactsInput!$N$24+1,10,12,14,16,18,20)+IF(ArtifactsInput!$M$10,CHOOSE(ArtifactsInput!$N$10+1,15,18,21,24,27,30)*(IF(Inputs!$B$38="pvp",MIN(15,15)/15,IF(AND(Inputs!$B$38&lt;&gt;"pvp",Inputs!$B$43&gt;0),MIN(15,Inputs!$B$43)/(Inputs!$B$43),0))),0)))&gt;=100),MIN(100,((Inputs!$B$9+((C1102=TRUE)*(F1102-Calc!F19))+B1114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1121)&lt;=0,1,MAX(0,IF(Inputs!$B$38="pvp",15,Inputs!$B$43)-MAX(5,B1121))/(IF(Inputs!$B$38="pvp",15,Inputs!$B$43)-(B1121))))*IF(AND(ArtifactsInput!$M$42,((Inputs!$B$9+((C1102=TRUE)*(F1102-Calc!F19))+B1114+(ArtifactsInput!$M$24-ArtifactsInput!$M$24)*CHOOSE(ArtifactsInput!$N$24+1,10,12,14,16,18,20)+IF(ArtifactsInput!$M$10,CHOOSE(ArtifactsInput!$N$10+1,15,18,21,24,27,30)*(IF(Inputs!$B$38="pvp",MIN(15,15)/15,IF(AND(Inputs!$B$38&lt;&gt;"pvp",Inputs!$B$43&gt;0),MIN(15,Inputs!$B$43)/(Inputs!$B$43),0))),0)))&gt;=100),CHOOSE(ArtifactsInput!$N$42+1,40,48,56,64,72,80),0))))/100)*((1+(((C1100=TRUE)*F1100*5/7)+((C1107=TRUE)*(F1107-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1092)</f>
        <v/>
      </c>
      <c r="L1092">
        <f>K1092*(MIN(Inputs!$B$22+((C1105=TRUE)*(F1105-Calc!F22)),(Inputs!$B$23+0+(IF(ArtifactsInput!$M$15,CHOOSE(ArtifactsInput!$N$15+1,25,30,35,40,45,50)/100*(Inputs!$B$11-Inputs!$B$11),0))))/100+(Inputs!$B$23+0+(IF(ArtifactsInput!$M$15,CHOOSE(ArtifactsInput!$N$15+1,25,30,35,40,45,50)/100*(Inputs!$B$11-Inputs!$B$11),0)))/100)/2</f>
        <v/>
      </c>
      <c r="M1092">
        <f>L1092*(1+(Inputs!$B$10+((C1108=TRUE)*(F1108-Calc!F25))+B1119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92">
        <f>L1092*(1-MIN((Inputs!$B$9+((C1102=TRUE)*(F1102-Calc!F19))+B1114+(ArtifactsInput!$M$24-ArtifactsInput!$M$24)*CHOOSE(ArtifactsInput!$N$24+1,10,12,14,16,18,20)+(IF(AND(Inputs!$B$38&lt;&gt;"pvp",Inputs!$B$43=0),1,IF(IF(Inputs!$B$38="pvp",15,Inputs!$B$43)-(B1121)&lt;=0,1,MAX(0,IF(Inputs!$B$38="pvp",15,Inputs!$B$43)-MAX(5,B1121))/(IF(Inputs!$B$38="pvp",15,Inputs!$B$43)-(B1121))))*IF(AND(ArtifactsInput!$M$42,((Inputs!$B$9+((C1102=TRUE)*(F1102-Calc!F19))+B1114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1092*(MIN((Inputs!$B$9+((C1102=TRUE)*(F1102-Calc!F19))+B1114+(ArtifactsInput!$M$24-ArtifactsInput!$M$24)*CHOOSE(ArtifactsInput!$N$24+1,10,12,14,16,18,20)+(IF(AND(Inputs!$B$38&lt;&gt;"pvp",Inputs!$B$43=0),1,IF(IF(Inputs!$B$38="pvp",15,Inputs!$B$43)-(B1121)&lt;=0,1,MAX(0,IF(Inputs!$B$38="pvp",15,Inputs!$B$43)-MAX(5,B1121))/(IF(Inputs!$B$38="pvp",15,Inputs!$B$43)-(B1121))))*IF(AND(ArtifactsInput!$M$42,((Inputs!$B$9+((C1102=TRUE)*(F1102-Calc!F19))+B1114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92">
        <f>(1-Summary!$B$11)*T1092+Summary!$B$11*V1092</f>
        <v/>
      </c>
      <c r="P1092">
        <f>IF(B1124=0,0,O1092/B1124)</f>
        <v/>
      </c>
      <c r="Q1092">
        <f>IFERROR(1/(IF(Inputs!$B$38="pvp",15,MAX(0.1,Skills!D9-IF(TRUE=TRUE,Inputs!$B$32,0)))*(1-IF(AND(ArtifactsInput!$M$27,Inputs!$B$4="Chapter Hunt"),CHOOSE(ArtifactsInput!$N$27+1,20,24,28,32,36,40),0)/100)),0)</f>
        <v/>
      </c>
      <c r="R1092">
        <f>IF(AND(Inputs!$B$38&lt;&gt;"pvp",Inputs!$B$43&gt;0),IF(MAX(0,Inputs!$B$43-B1121)&lt;=0,0,(INT(MAX(0,Inputs!$B$43-B1121)/(IF(Inputs!$B$38="pvp",15,MAX(0.1,Skills!D9-IF(TRUE=TRUE,Inputs!$B$32,0)))*(1-IF(AND(ArtifactsInput!$M$27,Inputs!$B$4="Chapter Hunt"),CHOOSE(ArtifactsInput!$N$27+1,20,24,28,32,36,40),0)/100)))+1)),0)</f>
        <v/>
      </c>
      <c r="S1092">
        <f>IFERROR(O1092/N1092,0)</f>
        <v/>
      </c>
      <c r="T1092">
        <f>IF(C1092,(H1092*N1092*IF(AND(Inputs!$B$38&lt;&gt;"pvp",Inputs!$B$43&gt;0),((Skills!G9*((R1092-1)*IF(Skills!H9&gt;0,INT(Skills!I9/Skills!H9+0.000000001),1)+IF(Skills!H9&gt;0,INT(MIN(Skills!I9,MAX(0,MAX(0,Inputs!$B$43-B1121)-((R1092-1)*(IF(Inputs!$B$38="pvp",15,MAX(0.1,Skills!D9-IF(TRUE=TRUE,Inputs!$B$32,0)))*(1-IF(AND(ArtifactsInput!$M$27,Inputs!$B$4="Chapter Hunt"),CHOOSE(ArtifactsInput!$N$27+1,20,24,28,32,36,40),0)/100)))))/Skills!H9+0.000000001),1)))/Inputs!$B$43),G1092*Q1092))*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Hunt"),CHOOSE(ArtifactsInput!$N$35+1,15,18,21,24,27,30)*(1-EXP(-(0.2*B1116)*5)),0)+IF(AND(ArtifactsInput!$M$22,Inputs!$B$4&lt;&gt;"Chapter Hunt"),CHOOSE(ArtifactsInput!$N$22+1,10,12,14,16,18,20)*((0*(((0.15*B1116*5))^0/1)+1*(((0.15*B1116*5))^1/1)+2*(((0.15*B1116*5))^2/2)+3*(((0.15*B1116*5))^3/6)+4*(((0.15*B1116*5))^4/24)+5*(((0.15*B1116*5))^5/120))/((((0.15*B1116*5))^0/1)+(((0.15*B1116*5))^1/1)+(((0.15*B1116*5))^2/2)+(((0.15*B1116*5))^3/6)+(((0.15*B1116*5))^4/24)+(((0.15*B1116*5))^5/120))),0))+IF(Inputs!$B$3&gt;=54,9*(C1086=TRUE)*MIN(1,8*(1+Inputs!$B$34/100)*Q1086)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1092*(1-MIN(100,(Inputs!$B$9+((C1102=TRUE)*(F1102-Calc!F19))+B1114+(ArtifactsInput!$M$24-ArtifactsInput!$M$24)*CHOOSE(ArtifactsInput!$N$24+1,10,12,14,16,18,20)+(IF(AND(Inputs!$B$38&lt;&gt;"pvp",Inputs!$B$43=0),1,IF(IF(Inputs!$B$38="pvp",15,Inputs!$B$43)-(B1121)&lt;=0,1,MAX(0,IF(Inputs!$B$38="pvp",15,Inputs!$B$43)-MAX(5,B1121))/(IF(Inputs!$B$38="pvp",15,Inputs!$B$43)-(B1121))))*IF(AND(ArtifactsInput!$M$42,((Inputs!$B$9+((C1102=TRUE)*(F1102-Calc!F19))+B1114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1092*(MIN(100,(Inputs!$B$9+((C1102=TRUE)*(F1102-Calc!F19))+B1114+(ArtifactsInput!$M$24-ArtifactsInput!$M$24)*CHOOSE(ArtifactsInput!$N$24+1,10,12,14,16,18,20)+(IF(AND(Inputs!$B$38&lt;&gt;"pvp",Inputs!$B$43=0),1,IF(IF(Inputs!$B$38="pvp",15,Inputs!$B$43)-(B1121)&lt;=0,1,MAX(0,IF(Inputs!$B$38="pvp",15,Inputs!$B$43)-MAX(5,B1121))/(IF(Inputs!$B$38="pvp",15,Inputs!$B$43)-(B1121))))*IF(AND(ArtifactsInput!$M$42,((Inputs!$B$9+((C1102=TRUE)*(F1102-Calc!F19))+B1114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1092*(1-MIN(100,(Inputs!$B$9+((C1102=TRUE)*(F1102-Calc!F19))+B1114+(ArtifactsInput!$M$24-ArtifactsInput!$M$24)*CHOOSE(ArtifactsInput!$N$24+1,10,12,14,16,18,20)+(IF(AND(Inputs!$B$38&lt;&gt;"pvp",Inputs!$B$43=0),1,IF(IF(Inputs!$B$38="pvp",15,Inputs!$B$43)-(B1121)&lt;=0,1,MAX(0,IF(Inputs!$B$38="pvp",15,Inputs!$B$43)-MAX(5,B1121))/(IF(Inputs!$B$38="pvp",15,Inputs!$B$43)-(B1121))))*IF(AND(ArtifactsInput!$M$42,((Inputs!$B$9+((C1102=TRUE)*(F1102-Calc!F19))+B1114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1092*(MIN(100,(Inputs!$B$9+((C1102=TRUE)*(F1102-Calc!F19))+B1114+(ArtifactsInput!$M$24-ArtifactsInput!$M$24)*CHOOSE(ArtifactsInput!$N$24+1,10,12,14,16,18,20)+(IF(AND(Inputs!$B$38&lt;&gt;"pvp",Inputs!$B$43=0),1,IF(IF(Inputs!$B$38="pvp",15,Inputs!$B$43)-(B1121)&lt;=0,1,MAX(0,IF(Inputs!$B$38="pvp",15,Inputs!$B$43)-MAX(5,B1121))/(IF(Inputs!$B$38="pvp",15,Inputs!$B$43)-(B1121))))*IF(AND(ArtifactsInput!$M$42,((Inputs!$B$9+((C1102=TRUE)*(F1102-Calc!F19))+B1114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092">
        <f>IF(C1092,(H1092*N1092*IF(AND(Inputs!$B$38&lt;&gt;"pvp",Inputs!$B$43&gt;0),((Skills!G9*((R1092-1)*IF(Skills!H9&gt;0,INT(Skills!I9/Skills!H9+0.000000001),1)+IF(Skills!H9&gt;0,INT(MIN(Skills!I9,MAX(0,MAX(0,Inputs!$B$43-B1121)-((R1092-1)*(IF(Inputs!$B$38="pvp",15,MAX(0.1,Skills!D9-IF(TRUE=TRUE,Inputs!$B$32,0)))*(1-IF(AND(ArtifactsInput!$M$27,Inputs!$B$4="Chapter Hunt"),CHOOSE(ArtifactsInput!$N$27+1,20,24,28,32,36,40),0)/100)))))/Skills!H9+0.000000001),1)))/Inputs!$B$43),G1092*Q1092))*IF(Inputs!$B$38="pvp",1,(1+(Inputs!$B$21+Skills!Q9+(IF(ArtifactsInput!$M$33,CHOOSE(ArtifactsInput!$N$33+1,30,36,42,48,54,60),0))+(IF(AND(ArtifactsInput!$M$35,Inputs!$B$4&lt;&gt;"Chapter Hunt"),CHOOSE(ArtifactsInput!$N$35+1,15,18,21,24,27,30)*(1-EXP(-(0.2*B1116)*5)),0)+IF(AND(ArtifactsInput!$M$22,Inputs!$B$4&lt;&gt;"Chapter Hunt"),CHOOSE(ArtifactsInput!$N$22+1,10,12,14,16,18,20)*((0*(((0.15*B1116*5))^0/1)+1*(((0.15*B1116*5))^1/1)+2*(((0.15*B1116*5))^2/2)+3*(((0.15*B1116*5))^3/6)+4*(((0.15*B1116*5))^4/24)+5*(((0.15*B1116*5))^5/120))/((((0.15*B1116*5))^0/1)+(((0.15*B1116*5))^1/1)+(((0.15*B1116*5))^2/2)+(((0.15*B1116*5))^3/6)+(((0.15*B1116*5))^4/24)+(((0.15*B1116*5))^5/120))),0))+IF(Inputs!$B$3&gt;=54,9*(C1086=TRUE)*MIN(1,8*(1+Inputs!$B$34/100)*Q1086),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93">
      <c r="A1093">
        <f>Skills!A10</f>
        <v/>
      </c>
      <c r="B1093">
        <f>Skills!B10</f>
        <v/>
      </c>
      <c r="C1093">
        <f>Inputs!$B$3&gt;=113</f>
        <v/>
      </c>
      <c r="D1093">
        <f>IF(Skills!C10=1,60+Inputs!$B$25+Inputs!$B$29,IF(Skills!C10=2,90+Inputs!$B$26+Inputs!$B$29,IF(Skills!C10=3,120+Inputs!$B$27+Inputs!$B$29,MAX(0,(Inputs!$B$3-100)*3)+Inputs!$B$28+Inputs!$B$29)))</f>
        <v/>
      </c>
      <c r="E1093">
        <f>INDEX(FactorTable!$B$2:$Y$301, MATCH(ROUND(MIN(300,MAX(1,D1093)),0), FactorTable!$A$2:$A$301,0), Skills!M10+1)</f>
        <v/>
      </c>
      <c r="F1093">
        <f>IF(Skills!N10=TRUE,(Skills!L10/10)*(E1093/1000),Skills!L10/10)+Skills!O10</f>
        <v/>
      </c>
      <c r="G1093">
        <f>Skills!G10*IF(Skills!H10&gt;0,INT(IF(Inputs!$B$38="pvp",MIN(Skills!I10,15),Skills!I10)/Skills!H10+0.000000001),1)</f>
        <v/>
      </c>
      <c r="H1093">
        <f>1-(1-Skills!J10/100)^Skills!K10</f>
        <v/>
      </c>
      <c r="I1093" t="inlineStr">
        <is>
          <t>1</t>
        </is>
      </c>
      <c r="J1093">
        <f>((Inputs!$B$6*(1+(Inputs!$B$7+1)/100))+(((Inputs!$B$12*(1+Inputs!$B$13/100))-(Inputs!$B$12*(1+Inputs!$B$13/100)))+0.25*(Inputs!$B$14-Inputs!$B$14))*(1+(Inputs!$B$7+1)/100))*(F1093/100)</f>
        <v/>
      </c>
      <c r="K1093">
        <f>J1093*(1+((Inputs!$B$12*(1+Inputs!$B$13/100))*0.01+Inputs!$B$14*0.0025)/100)*(1+Inputs!$B$15/100)*(1+Inputs!$B$16/100)*(5000/(6000+Inputs!$B$42*(1-(100*(1-(1-(Inputs!$B$19+0)/100)*(1-CHOOSE(ArtifactsInput!$N$40+1,5,6,7,8,9,10)/100)^(ArtifactsInput!$M$40-ArtifactsInput!$M$40)))/100)))*(1+(Inputs!$B$24+((C1109=TRUE)*(F1109-Calc!F26))+B1120)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IGHT_LEGS_EASTON",Inputs!$B$17+((C1106=TRUE)*(F1106-Calc!F23))+((C1110=TRUE)*(F1110-Calc!F27))+((IF(AND(Inputs!$B$38&lt;&gt;"pvp",Inputs!$B$43=0),1,IF(IF(Inputs!$B$38="pvp",15,Inputs!$B$43)-(B1121)&lt;=0,1,MAX(0,IF(Inputs!$B$38="pvp",15,Inputs!$B$43)-MAX(5,B1121))/(IF(Inputs!$B$38="pvp",15,Inputs!$B$43)-(B1121))))*(IF(AND(ArtifactsInput!$M$42,((Inputs!$B$9+((C1102=TRUE)*(F1102-Calc!F19))+B1114+(ArtifactsInput!$M$24-ArtifactsInput!$M$24)*CHOOSE(ArtifactsInput!$N$24+1,10,12,14,16,18,20)+IF(ArtifactsInput!$M$10,CHOOSE(ArtifactsInput!$N$10+1,15,18,21,24,27,30)*(IF(Inputs!$B$38="pvp",MIN(15,15)/15,IF(AND(Inputs!$B$38&lt;&gt;"pvp",Inputs!$B$43&gt;0),MIN(15,Inputs!$B$43)/(Inputs!$B$43),0))),0)))&gt;=100),MIN(100,((Inputs!$B$9+((C1102=TRUE)*(F1102-Calc!F19))+B1114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1121)&lt;=0,1,MAX(0,IF(Inputs!$B$38="pvp",15,Inputs!$B$43)-MAX(5,B1121))/(IF(Inputs!$B$38="pvp",15,Inputs!$B$43)-(B1121))))*IF(AND(ArtifactsInput!$M$42,((Inputs!$B$9+((C1102=TRUE)*(F1102-Calc!F19))+B1114+(ArtifactsInput!$M$24-ArtifactsInput!$M$24)*CHOOSE(ArtifactsInput!$N$24+1,10,12,14,16,18,20)+IF(ArtifactsInput!$M$10,CHOOSE(ArtifactsInput!$N$10+1,15,18,21,24,27,30)*(IF(Inputs!$B$38="pvp",MIN(15,15)/15,IF(AND(Inputs!$B$38&lt;&gt;"pvp",Inputs!$B$43&gt;0),MIN(15,Inputs!$B$43)/(Inputs!$B$43),0))),0)))&gt;=100),CHOOSE(ArtifactsInput!$N$42+1,40,48,56,64,72,80),0))))/100)*((1+(((C1100=TRUE)*F1100*5/7)+((C1107=TRUE)*(F1107-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1093)</f>
        <v/>
      </c>
      <c r="L1093">
        <f>K1093*(MIN(Inputs!$B$22+((C1105=TRUE)*(F1105-Calc!F22)),(Inputs!$B$23+0+(IF(ArtifactsInput!$M$15,CHOOSE(ArtifactsInput!$N$15+1,25,30,35,40,45,50)/100*(Inputs!$B$11-Inputs!$B$11),0))))/100+(Inputs!$B$23+0+(IF(ArtifactsInput!$M$15,CHOOSE(ArtifactsInput!$N$15+1,25,30,35,40,45,50)/100*(Inputs!$B$11-Inputs!$B$11),0)))/100)/2</f>
        <v/>
      </c>
      <c r="M1093">
        <f>L1093*(1+(Inputs!$B$10+((C1108=TRUE)*(F1108-Calc!F25))+B1119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93">
        <f>L1093*(1-MIN((Inputs!$B$9+((C1102=TRUE)*(F1102-Calc!F19))+B1114+(ArtifactsInput!$M$24-ArtifactsInput!$M$24)*CHOOSE(ArtifactsInput!$N$24+1,10,12,14,16,18,20)+(IF(AND(Inputs!$B$38&lt;&gt;"pvp",Inputs!$B$43=0),1,IF(IF(Inputs!$B$38="pvp",15,Inputs!$B$43)-(B1121)&lt;=0,1,MAX(0,IF(Inputs!$B$38="pvp",15,Inputs!$B$43)-MAX(5,B1121))/(IF(Inputs!$B$38="pvp",15,Inputs!$B$43)-(B1121))))*IF(AND(ArtifactsInput!$M$42,((Inputs!$B$9+((C1102=TRUE)*(F1102-Calc!F19))+B1114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1093*(MIN((Inputs!$B$9+((C1102=TRUE)*(F1102-Calc!F19))+B1114+(ArtifactsInput!$M$24-ArtifactsInput!$M$24)*CHOOSE(ArtifactsInput!$N$24+1,10,12,14,16,18,20)+(IF(AND(Inputs!$B$38&lt;&gt;"pvp",Inputs!$B$43=0),1,IF(IF(Inputs!$B$38="pvp",15,Inputs!$B$43)-(B1121)&lt;=0,1,MAX(0,IF(Inputs!$B$38="pvp",15,Inputs!$B$43)-MAX(5,B1121))/(IF(Inputs!$B$38="pvp",15,Inputs!$B$43)-(B1121))))*IF(AND(ArtifactsInput!$M$42,((Inputs!$B$9+((C1102=TRUE)*(F1102-Calc!F19))+B1114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93">
        <f>(1-Summary!$B$11)*T1093+Summary!$B$11*V1093</f>
        <v/>
      </c>
      <c r="P1093">
        <f>IF(B1124=0,0,O1093/B1124)</f>
        <v/>
      </c>
      <c r="Q1093" t="n">
        <v>0</v>
      </c>
      <c r="R1093" t="n">
        <v>0</v>
      </c>
      <c r="S1093">
        <f>IFERROR(O1093/N1093,0)</f>
        <v/>
      </c>
      <c r="T1093">
        <f>IF(C1093,((H1093*B1126)/(1+Skills!H10*H1093*B1126)*N1093)*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Hunt"),CHOOSE(ArtifactsInput!$N$35+1,15,18,21,24,27,30)*(1-EXP(-(0.2*B1116)*5)),0)+IF(AND(ArtifactsInput!$M$22,Inputs!$B$4&lt;&gt;"Chapter Hunt"),CHOOSE(ArtifactsInput!$N$22+1,10,12,14,16,18,20)*((0*(((0.15*B1116*5))^0/1)+1*(((0.15*B1116*5))^1/1)+2*(((0.15*B1116*5))^2/2)+3*(((0.15*B1116*5))^3/6)+4*(((0.15*B1116*5))^4/24)+5*(((0.15*B1116*5))^5/120))/((((0.15*B1116*5))^0/1)+(((0.15*B1116*5))^1/1)+(((0.15*B1116*5))^2/2)+(((0.15*B1116*5))^3/6)+(((0.15*B1116*5))^4/24)+(((0.15*B1116*5))^5/120))),0))+IF(Inputs!$B$3&gt;=54,9*(C1086=TRUE)*MIN(1,8*(1+Inputs!$B$34/100)*Q1086)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1093*(1-MIN(100,(Inputs!$B$9+((C1102=TRUE)*(F1102-Calc!F19))+B1114+(ArtifactsInput!$M$24-ArtifactsInput!$M$24)*CHOOSE(ArtifactsInput!$N$24+1,10,12,14,16,18,20)+(IF(AND(Inputs!$B$38&lt;&gt;"pvp",Inputs!$B$43=0),1,IF(IF(Inputs!$B$38="pvp",15,Inputs!$B$43)-(B1121)&lt;=0,1,MAX(0,IF(Inputs!$B$38="pvp",15,Inputs!$B$43)-MAX(5,B1121))/(IF(Inputs!$B$38="pvp",15,Inputs!$B$43)-(B1121))))*IF(AND(ArtifactsInput!$M$42,((Inputs!$B$9+((C1102=TRUE)*(F1102-Calc!F19))+B1114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1093*(MIN(100,(Inputs!$B$9+((C1102=TRUE)*(F1102-Calc!F19))+B1114+(ArtifactsInput!$M$24-ArtifactsInput!$M$24)*CHOOSE(ArtifactsInput!$N$24+1,10,12,14,16,18,20)+(IF(AND(Inputs!$B$38&lt;&gt;"pvp",Inputs!$B$43=0),1,IF(IF(Inputs!$B$38="pvp",15,Inputs!$B$43)-(B1121)&lt;=0,1,MAX(0,IF(Inputs!$B$38="pvp",15,Inputs!$B$43)-MAX(5,B1121))/(IF(Inputs!$B$38="pvp",15,Inputs!$B$43)-(B1121))))*IF(AND(ArtifactsInput!$M$42,((Inputs!$B$9+((C1102=TRUE)*(F1102-Calc!F19))+B1114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1093*(1-MIN(100,(Inputs!$B$9+((C1102=TRUE)*(F1102-Calc!F19))+B1114+(ArtifactsInput!$M$24-ArtifactsInput!$M$24)*CHOOSE(ArtifactsInput!$N$24+1,10,12,14,16,18,20)+(IF(AND(Inputs!$B$38&lt;&gt;"pvp",Inputs!$B$43=0),1,IF(IF(Inputs!$B$38="pvp",15,Inputs!$B$43)-(B1121)&lt;=0,1,MAX(0,IF(Inputs!$B$38="pvp",15,Inputs!$B$43)-MAX(5,B1121))/(IF(Inputs!$B$38="pvp",15,Inputs!$B$43)-(B1121))))*IF(AND(ArtifactsInput!$M$42,((Inputs!$B$9+((C1102=TRUE)*(F1102-Calc!F19))+B1114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1093*(MIN(100,(Inputs!$B$9+((C1102=TRUE)*(F1102-Calc!F19))+B1114+(ArtifactsInput!$M$24-ArtifactsInput!$M$24)*CHOOSE(ArtifactsInput!$N$24+1,10,12,14,16,18,20)+(IF(AND(Inputs!$B$38&lt;&gt;"pvp",Inputs!$B$43=0),1,IF(IF(Inputs!$B$38="pvp",15,Inputs!$B$43)-(B1121)&lt;=0,1,MAX(0,IF(Inputs!$B$38="pvp",15,Inputs!$B$43)-MAX(5,B1121))/(IF(Inputs!$B$38="pvp",15,Inputs!$B$43)-(B1121))))*IF(AND(ArtifactsInput!$M$42,((Inputs!$B$9+((C1102=TRUE)*(F1102-Calc!F19))+B1114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093">
        <f>IF(C1093,((H1093*B1126)/(1+Skills!H10*H1093*B1126)*N1093)*IF(Inputs!$B$38="pvp",1,(1+(Inputs!$B$21+Skills!Q10+(IF(ArtifactsInput!$M$33,CHOOSE(ArtifactsInput!$N$33+1,30,36,42,48,54,60),0))+(IF(AND(ArtifactsInput!$M$35,Inputs!$B$4&lt;&gt;"Chapter Hunt"),CHOOSE(ArtifactsInput!$N$35+1,15,18,21,24,27,30)*(1-EXP(-(0.2*B1116)*5)),0)+IF(AND(ArtifactsInput!$M$22,Inputs!$B$4&lt;&gt;"Chapter Hunt"),CHOOSE(ArtifactsInput!$N$22+1,10,12,14,16,18,20)*((0*(((0.15*B1116*5))^0/1)+1*(((0.15*B1116*5))^1/1)+2*(((0.15*B1116*5))^2/2)+3*(((0.15*B1116*5))^3/6)+4*(((0.15*B1116*5))^4/24)+5*(((0.15*B1116*5))^5/120))/((((0.15*B1116*5))^0/1)+(((0.15*B1116*5))^1/1)+(((0.15*B1116*5))^2/2)+(((0.15*B1116*5))^3/6)+(((0.15*B1116*5))^4/24)+(((0.15*B1116*5))^5/120))),0))+IF(Inputs!$B$3&gt;=54,9*(C1086=TRUE)*MIN(1,8*(1+Inputs!$B$34/100)*Q1086),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94">
      <c r="A1094">
        <f>Skills!A11</f>
        <v/>
      </c>
      <c r="B1094">
        <f>Skills!B11</f>
        <v/>
      </c>
      <c r="C1094">
        <f>Inputs!$B$3&gt;=117</f>
        <v/>
      </c>
      <c r="D1094">
        <f>IF(Skills!C11=1,60+Inputs!$B$25+Inputs!$B$29,IF(Skills!C11=2,90+Inputs!$B$26+Inputs!$B$29,IF(Skills!C11=3,120+Inputs!$B$27+Inputs!$B$29,MAX(0,(Inputs!$B$3-100)*3)+Inputs!$B$28+Inputs!$B$29)))</f>
        <v/>
      </c>
      <c r="E1094">
        <f>INDEX(FactorTable!$B$2:$Y$301, MATCH(ROUND(MIN(300,MAX(1,D1094)),0), FactorTable!$A$2:$A$301,0), Skills!M11+1)</f>
        <v/>
      </c>
      <c r="F1094">
        <f>IF(Skills!N11=TRUE,(Skills!L11/10)*(E1094/1000),Skills!L11/10)+Skills!O11</f>
        <v/>
      </c>
      <c r="G1094">
        <f>Skills!G11*IF(Skills!H11&gt;0,INT(IF(Inputs!$B$38="pvp",MIN(Skills!I11,15),Skills!I11)/Skills!H11+0.000000001),1)</f>
        <v/>
      </c>
      <c r="H1094">
        <f>1-(1-Skills!J11/100)^Skills!K11</f>
        <v/>
      </c>
      <c r="I1094" t="inlineStr">
        <is>
          <t>1</t>
        </is>
      </c>
      <c r="J1094">
        <f>((Inputs!$B$6*(1+(Inputs!$B$7+1)/100))+(((Inputs!$B$12*(1+Inputs!$B$13/100))-(Inputs!$B$12*(1+Inputs!$B$13/100)))+0.25*(Inputs!$B$14-Inputs!$B$14))*(1+(Inputs!$B$7+1)/100))*(F1094/100)</f>
        <v/>
      </c>
      <c r="K1094">
        <f>J1094*(1+((Inputs!$B$12*(1+Inputs!$B$13/100))*0.01+Inputs!$B$14*0.0025)/100)*(1+Inputs!$B$15/100)*(1+Inputs!$B$16/100)*(5000/(6000+Inputs!$B$42*(1-(100*(1-(1-(Inputs!$B$19+0)/100)*(1-CHOOSE(ArtifactsInput!$N$40+1,5,6,7,8,9,10)/100)^(ArtifactsInput!$M$40-ArtifactsInput!$M$40)))/100)))*(1+(Inputs!$B$24+((C1109=TRUE)*(F1109-Calc!F26))+B1120)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IGHT_LEGS_EASTON",Inputs!$B$17+((C1106=TRUE)*(F1106-Calc!F23))+((C1110=TRUE)*(F1110-Calc!F27))+((IF(AND(Inputs!$B$38&lt;&gt;"pvp",Inputs!$B$43=0),1,IF(IF(Inputs!$B$38="pvp",15,Inputs!$B$43)-(B1121)&lt;=0,1,MAX(0,IF(Inputs!$B$38="pvp",15,Inputs!$B$43)-MAX(5,B1121))/(IF(Inputs!$B$38="pvp",15,Inputs!$B$43)-(B1121))))*(IF(AND(ArtifactsInput!$M$42,((Inputs!$B$9+((C1102=TRUE)*(F1102-Calc!F19))+B1114+(ArtifactsInput!$M$24-ArtifactsInput!$M$24)*CHOOSE(ArtifactsInput!$N$24+1,10,12,14,16,18,20)+IF(ArtifactsInput!$M$10,CHOOSE(ArtifactsInput!$N$10+1,15,18,21,24,27,30)*(IF(Inputs!$B$38="pvp",MIN(15,15)/15,IF(AND(Inputs!$B$38&lt;&gt;"pvp",Inputs!$B$43&gt;0),MIN(15,Inputs!$B$43)/(Inputs!$B$43),0))),0)))&gt;=100),MIN(100,((Inputs!$B$9+((C1102=TRUE)*(F1102-Calc!F19))+B1114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1121)&lt;=0,1,MAX(0,IF(Inputs!$B$38="pvp",15,Inputs!$B$43)-MAX(5,B1121))/(IF(Inputs!$B$38="pvp",15,Inputs!$B$43)-(B1121))))*IF(AND(ArtifactsInput!$M$42,((Inputs!$B$9+((C1102=TRUE)*(F1102-Calc!F19))+B1114+(ArtifactsInput!$M$24-ArtifactsInput!$M$24)*CHOOSE(ArtifactsInput!$N$24+1,10,12,14,16,18,20)+IF(ArtifactsInput!$M$10,CHOOSE(ArtifactsInput!$N$10+1,15,18,21,24,27,30)*(IF(Inputs!$B$38="pvp",MIN(15,15)/15,IF(AND(Inputs!$B$38&lt;&gt;"pvp",Inputs!$B$43&gt;0),MIN(15,Inputs!$B$43)/(Inputs!$B$43),0))),0)))&gt;=100),CHOOSE(ArtifactsInput!$N$42+1,40,48,56,64,72,80),0))))/100)*((1+(((C1100=TRUE)*F1100*5/7)+((C1107=TRUE)*(F1107-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1094)</f>
        <v/>
      </c>
      <c r="L1094">
        <f>K1094*(MIN(Inputs!$B$22+((C1105=TRUE)*(F1105-Calc!F22)),(Inputs!$B$23+0+(IF(ArtifactsInput!$M$15,CHOOSE(ArtifactsInput!$N$15+1,25,30,35,40,45,50)/100*(Inputs!$B$11-Inputs!$B$11),0))))/100+(Inputs!$B$23+0+(IF(ArtifactsInput!$M$15,CHOOSE(ArtifactsInput!$N$15+1,25,30,35,40,45,50)/100*(Inputs!$B$11-Inputs!$B$11),0)))/100)/2</f>
        <v/>
      </c>
      <c r="M1094">
        <f>L1094*(1+(Inputs!$B$10+((C1108=TRUE)*(F1108-Calc!F25))+B1119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94">
        <f>L1094*(1-MIN((Inputs!$B$9+((C1102=TRUE)*(F1102-Calc!F19))+B1114+(ArtifactsInput!$M$24-ArtifactsInput!$M$24)*CHOOSE(ArtifactsInput!$N$24+1,10,12,14,16,18,20)+(IF(AND(Inputs!$B$38&lt;&gt;"pvp",Inputs!$B$43=0),1,IF(IF(Inputs!$B$38="pvp",15,Inputs!$B$43)-(B1121)&lt;=0,1,MAX(0,IF(Inputs!$B$38="pvp",15,Inputs!$B$43)-MAX(5,B1121))/(IF(Inputs!$B$38="pvp",15,Inputs!$B$43)-(B1121))))*IF(AND(ArtifactsInput!$M$42,((Inputs!$B$9+((C1102=TRUE)*(F1102-Calc!F19))+B1114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1094*(MIN((Inputs!$B$9+((C1102=TRUE)*(F1102-Calc!F19))+B1114+(ArtifactsInput!$M$24-ArtifactsInput!$M$24)*CHOOSE(ArtifactsInput!$N$24+1,10,12,14,16,18,20)+(IF(AND(Inputs!$B$38&lt;&gt;"pvp",Inputs!$B$43=0),1,IF(IF(Inputs!$B$38="pvp",15,Inputs!$B$43)-(B1121)&lt;=0,1,MAX(0,IF(Inputs!$B$38="pvp",15,Inputs!$B$43)-MAX(5,B1121))/(IF(Inputs!$B$38="pvp",15,Inputs!$B$43)-(B1121))))*IF(AND(ArtifactsInput!$M$42,((Inputs!$B$9+((C1102=TRUE)*(F1102-Calc!F19))+B1114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94">
        <f>(1-Summary!$B$11)*T1094+Summary!$B$11*V1094</f>
        <v/>
      </c>
      <c r="P1094">
        <f>IF(B1124=0,0,O1094/B1124)</f>
        <v/>
      </c>
      <c r="Q1094">
        <f>IFERROR(1/((IF(Inputs!$B$38="pvp",15,MAX(0.1,Skills!D11-IF(TRUE=TRUE,Inputs!$B$32,0)))*(1-IF(AND(ArtifactsInput!$M$27,Inputs!$B$4="Chapter Hunt"),CHOOSE(ArtifactsInput!$N$27+1,20,24,28,32,36,40),0)/100))/B1125),0)</f>
        <v/>
      </c>
      <c r="R1094">
        <f>IF(AND(Inputs!$B$38&lt;&gt;"pvp",Inputs!$B$43&gt;0),IF(MAX(0,Inputs!$B$43-B1121)&lt;=0,0,(INT(MAX(0,Inputs!$B$43-B1121)/((IF(Inputs!$B$38="pvp",15,MAX(0.1,Skills!D11-IF(TRUE=TRUE,Inputs!$B$32,0)))*(1-IF(AND(ArtifactsInput!$M$27,Inputs!$B$4="Chapter Hunt"),CHOOSE(ArtifactsInput!$N$27+1,20,24,28,32,36,40),0)/100))/B1125))+1)),0)</f>
        <v/>
      </c>
      <c r="S1094">
        <f>IFERROR(O1094/N1094,0)</f>
        <v/>
      </c>
      <c r="T1094">
        <f>IF(C1094,(H1094*N1094*IF(AND(Inputs!$B$38&lt;&gt;"pvp",Inputs!$B$43&gt;0),((Skills!G11*((R1094-1)*IF(Skills!H11&gt;0,INT(Skills!I11/Skills!H11+0.000000001),1)+IF(Skills!H11&gt;0,INT(MIN(Skills!I11,MAX(0,MAX(0,Inputs!$B$43-B1121)-((R1094-1)*((IF(Inputs!$B$38="pvp",15,MAX(0.1,Skills!D11-IF(TRUE=TRUE,Inputs!$B$32,0)))*(1-IF(AND(ArtifactsInput!$M$27,Inputs!$B$4="Chapter Hunt"),CHOOSE(ArtifactsInput!$N$27+1,20,24,28,32,36,40),0)/100))/B1125))))/Skills!H11+0.000000001),1)))/Inputs!$B$43),G1094*Q1094))*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Hunt"),CHOOSE(ArtifactsInput!$N$35+1,15,18,21,24,27,30)*(1-EXP(-(0.2*B1116)*5)),0)+IF(AND(ArtifactsInput!$M$22,Inputs!$B$4&lt;&gt;"Chapter Hunt"),CHOOSE(ArtifactsInput!$N$22+1,10,12,14,16,18,20)*((0*(((0.15*B1116*5))^0/1)+1*(((0.15*B1116*5))^1/1)+2*(((0.15*B1116*5))^2/2)+3*(((0.15*B1116*5))^3/6)+4*(((0.15*B1116*5))^4/24)+5*(((0.15*B1116*5))^5/120))/((((0.15*B1116*5))^0/1)+(((0.15*B1116*5))^1/1)+(((0.15*B1116*5))^2/2)+(((0.15*B1116*5))^3/6)+(((0.15*B1116*5))^4/24)+(((0.15*B1116*5))^5/120))),0))+IF(Inputs!$B$3&gt;=54,9*(C1086=TRUE)*MIN(1,8*(1+Inputs!$B$34/100)*Q1086)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1094*(1-MIN(100,(Inputs!$B$9+((C1102=TRUE)*(F1102-Calc!F19))+B1114+(ArtifactsInput!$M$24-ArtifactsInput!$M$24)*CHOOSE(ArtifactsInput!$N$24+1,10,12,14,16,18,20)+(IF(AND(Inputs!$B$38&lt;&gt;"pvp",Inputs!$B$43=0),1,IF(IF(Inputs!$B$38="pvp",15,Inputs!$B$43)-(B1121)&lt;=0,1,MAX(0,IF(Inputs!$B$38="pvp",15,Inputs!$B$43)-MAX(5,B1121))/(IF(Inputs!$B$38="pvp",15,Inputs!$B$43)-(B1121))))*IF(AND(ArtifactsInput!$M$42,((Inputs!$B$9+((C1102=TRUE)*(F1102-Calc!F19))+B1114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1094*(MIN(100,(Inputs!$B$9+((C1102=TRUE)*(F1102-Calc!F19))+B1114+(ArtifactsInput!$M$24-ArtifactsInput!$M$24)*CHOOSE(ArtifactsInput!$N$24+1,10,12,14,16,18,20)+(IF(AND(Inputs!$B$38&lt;&gt;"pvp",Inputs!$B$43=0),1,IF(IF(Inputs!$B$38="pvp",15,Inputs!$B$43)-(B1121)&lt;=0,1,MAX(0,IF(Inputs!$B$38="pvp",15,Inputs!$B$43)-MAX(5,B1121))/(IF(Inputs!$B$38="pvp",15,Inputs!$B$43)-(B1121))))*IF(AND(ArtifactsInput!$M$42,((Inputs!$B$9+((C1102=TRUE)*(F1102-Calc!F19))+B1114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1094*(1-MIN(100,(Inputs!$B$9+((C1102=TRUE)*(F1102-Calc!F19))+B1114+(ArtifactsInput!$M$24-ArtifactsInput!$M$24)*CHOOSE(ArtifactsInput!$N$24+1,10,12,14,16,18,20)+(IF(AND(Inputs!$B$38&lt;&gt;"pvp",Inputs!$B$43=0),1,IF(IF(Inputs!$B$38="pvp",15,Inputs!$B$43)-(B1121)&lt;=0,1,MAX(0,IF(Inputs!$B$38="pvp",15,Inputs!$B$43)-MAX(5,B1121))/(IF(Inputs!$B$38="pvp",15,Inputs!$B$43)-(B1121))))*IF(AND(ArtifactsInput!$M$42,((Inputs!$B$9+((C1102=TRUE)*(F1102-Calc!F19))+B1114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1094*(MIN(100,(Inputs!$B$9+((C1102=TRUE)*(F1102-Calc!F19))+B1114+(ArtifactsInput!$M$24-ArtifactsInput!$M$24)*CHOOSE(ArtifactsInput!$N$24+1,10,12,14,16,18,20)+(IF(AND(Inputs!$B$38&lt;&gt;"pvp",Inputs!$B$43=0),1,IF(IF(Inputs!$B$38="pvp",15,Inputs!$B$43)-(B1121)&lt;=0,1,MAX(0,IF(Inputs!$B$38="pvp",15,Inputs!$B$43)-MAX(5,B1121))/(IF(Inputs!$B$38="pvp",15,Inputs!$B$43)-(B1121))))*IF(AND(ArtifactsInput!$M$42,((Inputs!$B$9+((C1102=TRUE)*(F1102-Calc!F19))+B1114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094">
        <f>IF(C1094,(H1094*N1094*IF(AND(Inputs!$B$38&lt;&gt;"pvp",Inputs!$B$43&gt;0),((Skills!G11*((R1094-1)*IF(Skills!H11&gt;0,INT(Skills!I11/Skills!H11+0.000000001),1)+IF(Skills!H11&gt;0,INT(MIN(Skills!I11,MAX(0,MAX(0,Inputs!$B$43-B1121)-((R1094-1)*((IF(Inputs!$B$38="pvp",15,MAX(0.1,Skills!D11-IF(TRUE=TRUE,Inputs!$B$32,0)))*(1-IF(AND(ArtifactsInput!$M$27,Inputs!$B$4="Chapter Hunt"),CHOOSE(ArtifactsInput!$N$27+1,20,24,28,32,36,40),0)/100))/B1125))))/Skills!H11+0.000000001),1)))/Inputs!$B$43),G1094*Q1094))*IF(Inputs!$B$38="pvp",1,(1+(Inputs!$B$21+Skills!Q11+(IF(ArtifactsInput!$M$33,CHOOSE(ArtifactsInput!$N$33+1,30,36,42,48,54,60),0))+(IF(AND(ArtifactsInput!$M$35,Inputs!$B$4&lt;&gt;"Chapter Hunt"),CHOOSE(ArtifactsInput!$N$35+1,15,18,21,24,27,30)*(1-EXP(-(0.2*B1116)*5)),0)+IF(AND(ArtifactsInput!$M$22,Inputs!$B$4&lt;&gt;"Chapter Hunt"),CHOOSE(ArtifactsInput!$N$22+1,10,12,14,16,18,20)*((0*(((0.15*B1116*5))^0/1)+1*(((0.15*B1116*5))^1/1)+2*(((0.15*B1116*5))^2/2)+3*(((0.15*B1116*5))^3/6)+4*(((0.15*B1116*5))^4/24)+5*(((0.15*B1116*5))^5/120))/((((0.15*B1116*5))^0/1)+(((0.15*B1116*5))^1/1)+(((0.15*B1116*5))^2/2)+(((0.15*B1116*5))^3/6)+(((0.15*B1116*5))^4/24)+(((0.15*B1116*5))^5/120))),0))+IF(Inputs!$B$3&gt;=54,9*(C1086=TRUE)*MIN(1,8*(1+Inputs!$B$34/100)*Q1086),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95">
      <c r="A1095">
        <f>Skills!A12</f>
        <v/>
      </c>
      <c r="B1095">
        <f>Skills!B12</f>
        <v/>
      </c>
      <c r="C1095">
        <f>Inputs!$B$3&gt;=110</f>
        <v/>
      </c>
      <c r="D1095">
        <f>IF(Skills!C12=1,60+Inputs!$B$25+Inputs!$B$29,IF(Skills!C12=2,90+Inputs!$B$26+Inputs!$B$29,IF(Skills!C12=3,120+Inputs!$B$27+Inputs!$B$29,MAX(0,(Inputs!$B$3-100)*3)+Inputs!$B$28+Inputs!$B$29)))</f>
        <v/>
      </c>
      <c r="E1095">
        <f>INDEX(FactorTable!$B$2:$Y$301, MATCH(ROUND(MIN(300,MAX(1,D1095)),0), FactorTable!$A$2:$A$301,0), Skills!M12+1)</f>
        <v/>
      </c>
      <c r="F1095">
        <f>IF(Skills!N12=TRUE,(Skills!L12/10)*(E1095/1000),Skills!L12/10)+Skills!O12</f>
        <v/>
      </c>
      <c r="G1095">
        <f>Skills!G12*IF(Skills!H12&gt;0,INT(IF(Inputs!$B$38="pvp",MIN(Skills!I12,15),Skills!I12)/Skills!H12+0.000000001),1)</f>
        <v/>
      </c>
      <c r="H1095">
        <f>1-(1-Skills!J12/100)^Skills!K12</f>
        <v/>
      </c>
      <c r="I1095" t="inlineStr">
        <is>
          <t>1</t>
        </is>
      </c>
      <c r="J1095">
        <f>((Inputs!$B$6*(1+(Inputs!$B$7+1)/100))+(((Inputs!$B$12*(1+Inputs!$B$13/100))-(Inputs!$B$12*(1+Inputs!$B$13/100)))+0.25*(Inputs!$B$14-Inputs!$B$14))*(1+(Inputs!$B$7+1)/100))*(F1095/100)</f>
        <v/>
      </c>
      <c r="K1095">
        <f>J1095*(1+((Inputs!$B$12*(1+Inputs!$B$13/100))*0.01+Inputs!$B$14*0.0025)/100)*(1+Inputs!$B$15/100)*(1+Inputs!$B$16/100)*(5000/(6000+Inputs!$B$42*(1-(100*(1-(1-(Inputs!$B$19+0)/100)*(1-CHOOSE(ArtifactsInput!$N$40+1,5,6,7,8,9,10)/100)^(ArtifactsInput!$M$40-ArtifactsInput!$M$40)))/100)))*(1+(Inputs!$B$24+((C1109=TRUE)*(F1109-Calc!F26))+B1120)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EIGHT_LEGS_EASTON",Inputs!$B$17+((C1106=TRUE)*(F1106-Calc!F23))+((C1110=TRUE)*(F1110-Calc!F27))+((IF(AND(Inputs!$B$38&lt;&gt;"pvp",Inputs!$B$43=0),1,IF(IF(Inputs!$B$38="pvp",15,Inputs!$B$43)-(B1121)&lt;=0,1,MAX(0,IF(Inputs!$B$38="pvp",15,Inputs!$B$43)-MAX(5,B1121))/(IF(Inputs!$B$38="pvp",15,Inputs!$B$43)-(B1121))))*(IF(AND(ArtifactsInput!$M$42,((Inputs!$B$9+((C1102=TRUE)*(F1102-Calc!F19))+B1114+(ArtifactsInput!$M$24-ArtifactsInput!$M$24)*CHOOSE(ArtifactsInput!$N$24+1,10,12,14,16,18,20)+IF(ArtifactsInput!$M$10,CHOOSE(ArtifactsInput!$N$10+1,15,18,21,24,27,30)*(IF(Inputs!$B$38="pvp",MIN(15,15)/15,IF(AND(Inputs!$B$38&lt;&gt;"pvp",Inputs!$B$43&gt;0),MIN(15,Inputs!$B$43)/(Inputs!$B$43),0))),0)))&gt;=100),MIN(100,((Inputs!$B$9+((C1102=TRUE)*(F1102-Calc!F19))+B1114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1121)&lt;=0,1,MAX(0,IF(Inputs!$B$38="pvp",15,Inputs!$B$43)-MAX(5,B1121))/(IF(Inputs!$B$38="pvp",15,Inputs!$B$43)-(B1121))))*IF(AND(ArtifactsInput!$M$42,((Inputs!$B$9+((C1102=TRUE)*(F1102-Calc!F19))+B1114+(ArtifactsInput!$M$24-ArtifactsInput!$M$24)*CHOOSE(ArtifactsInput!$N$24+1,10,12,14,16,18,20)+IF(ArtifactsInput!$M$10,CHOOSE(ArtifactsInput!$N$10+1,15,18,21,24,27,30)*(IF(Inputs!$B$38="pvp",MIN(15,15)/15,IF(AND(Inputs!$B$38&lt;&gt;"pvp",Inputs!$B$43&gt;0),MIN(15,Inputs!$B$43)/(Inputs!$B$43),0))),0)))&gt;=100),CHOOSE(ArtifactsInput!$N$42+1,40,48,56,64,72,80),0))))/100)*((1+(((C1100=TRUE)*F1100*5/7)+((C1107=TRUE)*(F1107-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1095)</f>
        <v/>
      </c>
      <c r="L1095">
        <f>K1095*(MIN(Inputs!$B$22+((C1105=TRUE)*(F1105-Calc!F22)),(Inputs!$B$23+0+(IF(ArtifactsInput!$M$15,CHOOSE(ArtifactsInput!$N$15+1,25,30,35,40,45,50)/100*(Inputs!$B$11-Inputs!$B$11),0))))/100+(Inputs!$B$23+0+(IF(ArtifactsInput!$M$15,CHOOSE(ArtifactsInput!$N$15+1,25,30,35,40,45,50)/100*(Inputs!$B$11-Inputs!$B$11),0)))/100)/2</f>
        <v/>
      </c>
      <c r="M1095">
        <f>L1095*(1+(Inputs!$B$10+((C1108=TRUE)*(F1108-Calc!F25))+B1119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95">
        <f>L1095*(1-MIN((Inputs!$B$9+((C1102=TRUE)*(F1102-Calc!F19))+B1114+(ArtifactsInput!$M$24-ArtifactsInput!$M$24)*CHOOSE(ArtifactsInput!$N$24+1,10,12,14,16,18,20)+(IF(AND(Inputs!$B$38&lt;&gt;"pvp",Inputs!$B$43=0),1,IF(IF(Inputs!$B$38="pvp",15,Inputs!$B$43)-(B1121)&lt;=0,1,MAX(0,IF(Inputs!$B$38="pvp",15,Inputs!$B$43)-MAX(5,B1121))/(IF(Inputs!$B$38="pvp",15,Inputs!$B$43)-(B1121))))*IF(AND(ArtifactsInput!$M$42,((Inputs!$B$9+((C1102=TRUE)*(F1102-Calc!F19))+B1114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1095*(MIN((Inputs!$B$9+((C1102=TRUE)*(F1102-Calc!F19))+B1114+(ArtifactsInput!$M$24-ArtifactsInput!$M$24)*CHOOSE(ArtifactsInput!$N$24+1,10,12,14,16,18,20)+(IF(AND(Inputs!$B$38&lt;&gt;"pvp",Inputs!$B$43=0),1,IF(IF(Inputs!$B$38="pvp",15,Inputs!$B$43)-(B1121)&lt;=0,1,MAX(0,IF(Inputs!$B$38="pvp",15,Inputs!$B$43)-MAX(5,B1121))/(IF(Inputs!$B$38="pvp",15,Inputs!$B$43)-(B1121))))*IF(AND(ArtifactsInput!$M$42,((Inputs!$B$9+((C1102=TRUE)*(F1102-Calc!F19))+B1114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95">
        <f>(1-Summary!$B$11)*T1095+Summary!$B$11*V1095</f>
        <v/>
      </c>
      <c r="P1095">
        <f>IF(B1124=0,0,O1095/B1124)</f>
        <v/>
      </c>
      <c r="Q1095">
        <f>IFERROR(1/(IF(Inputs!$B$38="pvp",15,MAX(0.1,Skills!D12-IF(TRUE=TRUE,Inputs!$B$32,0)))*(1-IF(AND(ArtifactsInput!$M$27,Inputs!$B$4="Chapter Hunt"),CHOOSE(ArtifactsInput!$N$27+1,20,24,28,32,36,40),0)/100)),0)</f>
        <v/>
      </c>
      <c r="R1095">
        <f>IF(AND(Inputs!$B$38&lt;&gt;"pvp",Inputs!$B$43&gt;0),IF(MAX(0,Inputs!$B$43-B1121)&lt;=0,0,(INT(MAX(0,Inputs!$B$43-B1121)/(IF(Inputs!$B$38="pvp",15,MAX(0.1,Skills!D12-IF(TRUE=TRUE,Inputs!$B$32,0)))*(1-IF(AND(ArtifactsInput!$M$27,Inputs!$B$4="Chapter Hunt"),CHOOSE(ArtifactsInput!$N$27+1,20,24,28,32,36,40),0)/100)))+1)),0)</f>
        <v/>
      </c>
      <c r="S1095">
        <f>IFERROR(O1095/N1095,0)</f>
        <v/>
      </c>
      <c r="T1095">
        <f>IF(C1095,(H1095*N1095*IF(AND(Inputs!$B$38&lt;&gt;"pvp",Inputs!$B$43&gt;0),((Skills!G12*((R1095-1)*IF(Skills!H12&gt;0,INT(Skills!I12/Skills!H12+0.000000001),1)+IF(Skills!H12&gt;0,INT(MIN(Skills!I12,MAX(0,MAX(0,Inputs!$B$43-B1121)-((R1095-1)*(IF(Inputs!$B$38="pvp",15,MAX(0.1,Skills!D12-IF(TRUE=TRUE,Inputs!$B$32,0)))*(1-IF(AND(ArtifactsInput!$M$27,Inputs!$B$4="Chapter Hunt"),CHOOSE(ArtifactsInput!$N$27+1,20,24,28,32,36,40),0)/100)))))/Skills!H12+0.000000001),1)))/Inputs!$B$43),G1095*Q1095))*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Hunt"),CHOOSE(ArtifactsInput!$N$35+1,15,18,21,24,27,30)*(1-EXP(-(0.2*B1116)*5)),0)+IF(AND(ArtifactsInput!$M$22,Inputs!$B$4&lt;&gt;"Chapter Hunt"),CHOOSE(ArtifactsInput!$N$22+1,10,12,14,16,18,20)*((0*(((0.15*B1116*5))^0/1)+1*(((0.15*B1116*5))^1/1)+2*(((0.15*B1116*5))^2/2)+3*(((0.15*B1116*5))^3/6)+4*(((0.15*B1116*5))^4/24)+5*(((0.15*B1116*5))^5/120))/((((0.15*B1116*5))^0/1)+(((0.15*B1116*5))^1/1)+(((0.15*B1116*5))^2/2)+(((0.15*B1116*5))^3/6)+(((0.15*B1116*5))^4/24)+(((0.15*B1116*5))^5/120))),0))+IF(Inputs!$B$3&gt;=54,9*(C1086=TRUE)*MIN(1,8*(1+Inputs!$B$34/100)*Q1086)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1095*(1-MIN(100,(Inputs!$B$9+((C1102=TRUE)*(F1102-Calc!F19))+B1114+(ArtifactsInput!$M$24-ArtifactsInput!$M$24)*CHOOSE(ArtifactsInput!$N$24+1,10,12,14,16,18,20)+(IF(AND(Inputs!$B$38&lt;&gt;"pvp",Inputs!$B$43=0),1,IF(IF(Inputs!$B$38="pvp",15,Inputs!$B$43)-(B1121)&lt;=0,1,MAX(0,IF(Inputs!$B$38="pvp",15,Inputs!$B$43)-MAX(5,B1121))/(IF(Inputs!$B$38="pvp",15,Inputs!$B$43)-(B1121))))*IF(AND(ArtifactsInput!$M$42,((Inputs!$B$9+((C1102=TRUE)*(F1102-Calc!F19))+B1114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1095*(MIN(100,(Inputs!$B$9+((C1102=TRUE)*(F1102-Calc!F19))+B1114+(ArtifactsInput!$M$24-ArtifactsInput!$M$24)*CHOOSE(ArtifactsInput!$N$24+1,10,12,14,16,18,20)+(IF(AND(Inputs!$B$38&lt;&gt;"pvp",Inputs!$B$43=0),1,IF(IF(Inputs!$B$38="pvp",15,Inputs!$B$43)-(B1121)&lt;=0,1,MAX(0,IF(Inputs!$B$38="pvp",15,Inputs!$B$43)-MAX(5,B1121))/(IF(Inputs!$B$38="pvp",15,Inputs!$B$43)-(B1121))))*IF(AND(ArtifactsInput!$M$42,((Inputs!$B$9+((C1102=TRUE)*(F1102-Calc!F19))+B1114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1095*(1-MIN(100,(Inputs!$B$9+((C1102=TRUE)*(F1102-Calc!F19))+B1114+(ArtifactsInput!$M$24-ArtifactsInput!$M$24)*CHOOSE(ArtifactsInput!$N$24+1,10,12,14,16,18,20)+(IF(AND(Inputs!$B$38&lt;&gt;"pvp",Inputs!$B$43=0),1,IF(IF(Inputs!$B$38="pvp",15,Inputs!$B$43)-(B1121)&lt;=0,1,MAX(0,IF(Inputs!$B$38="pvp",15,Inputs!$B$43)-MAX(5,B1121))/(IF(Inputs!$B$38="pvp",15,Inputs!$B$43)-(B1121))))*IF(AND(ArtifactsInput!$M$42,((Inputs!$B$9+((C1102=TRUE)*(F1102-Calc!F19))+B1114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1095*(MIN(100,(Inputs!$B$9+((C1102=TRUE)*(F1102-Calc!F19))+B1114+(ArtifactsInput!$M$24-ArtifactsInput!$M$24)*CHOOSE(ArtifactsInput!$N$24+1,10,12,14,16,18,20)+(IF(AND(Inputs!$B$38&lt;&gt;"pvp",Inputs!$B$43=0),1,IF(IF(Inputs!$B$38="pvp",15,Inputs!$B$43)-(B1121)&lt;=0,1,MAX(0,IF(Inputs!$B$38="pvp",15,Inputs!$B$43)-MAX(5,B1121))/(IF(Inputs!$B$38="pvp",15,Inputs!$B$43)-(B1121))))*IF(AND(ArtifactsInput!$M$42,((Inputs!$B$9+((C1102=TRUE)*(F1102-Calc!F19))+B1114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095">
        <f>IF(C1095,(H1095*N1095*IF(AND(Inputs!$B$38&lt;&gt;"pvp",Inputs!$B$43&gt;0),((Skills!G12*((R1095-1)*IF(Skills!H12&gt;0,INT(Skills!I12/Skills!H12+0.000000001),1)+IF(Skills!H12&gt;0,INT(MIN(Skills!I12,MAX(0,MAX(0,Inputs!$B$43-B1121)-((R1095-1)*(IF(Inputs!$B$38="pvp",15,MAX(0.1,Skills!D12-IF(TRUE=TRUE,Inputs!$B$32,0)))*(1-IF(AND(ArtifactsInput!$M$27,Inputs!$B$4="Chapter Hunt"),CHOOSE(ArtifactsInput!$N$27+1,20,24,28,32,36,40),0)/100)))))/Skills!H12+0.000000001),1)))/Inputs!$B$43),G1095*Q1095))*IF(Inputs!$B$38="pvp",1,(1+(Inputs!$B$21+Skills!Q12+(IF(ArtifactsInput!$M$33,CHOOSE(ArtifactsInput!$N$33+1,30,36,42,48,54,60),0))+(IF(AND(ArtifactsInput!$M$35,Inputs!$B$4&lt;&gt;"Chapter Hunt"),CHOOSE(ArtifactsInput!$N$35+1,15,18,21,24,27,30)*(1-EXP(-(0.2*B1116)*5)),0)+IF(AND(ArtifactsInput!$M$22,Inputs!$B$4&lt;&gt;"Chapter Hunt"),CHOOSE(ArtifactsInput!$N$22+1,10,12,14,16,18,20)*((0*(((0.15*B1116*5))^0/1)+1*(((0.15*B1116*5))^1/1)+2*(((0.15*B1116*5))^2/2)+3*(((0.15*B1116*5))^3/6)+4*(((0.15*B1116*5))^4/24)+5*(((0.15*B1116*5))^5/120))/((((0.15*B1116*5))^0/1)+(((0.15*B1116*5))^1/1)+(((0.15*B1116*5))^2/2)+(((0.15*B1116*5))^3/6)+(((0.15*B1116*5))^4/24)+(((0.15*B1116*5))^5/120))),0))+IF(Inputs!$B$3&gt;=54,9*(C1086=TRUE)*MIN(1,8*(1+Inputs!$B$34/100)*Q1086),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96">
      <c r="A1096">
        <f>Skills!A13</f>
        <v/>
      </c>
      <c r="B1096">
        <f>Skills!B13</f>
        <v/>
      </c>
      <c r="C1096">
        <f>Inputs!$B$3&gt;=110</f>
        <v/>
      </c>
      <c r="D1096">
        <f>IF(Skills!C13=1,60+Inputs!$B$25+Inputs!$B$29,IF(Skills!C13=2,90+Inputs!$B$26+Inputs!$B$29,IF(Skills!C13=3,120+Inputs!$B$27+Inputs!$B$29,MAX(0,(Inputs!$B$3-100)*3)+Inputs!$B$28+Inputs!$B$29)))</f>
        <v/>
      </c>
      <c r="E1096">
        <f>INDEX(FactorTable!$B$2:$Y$301, MATCH(ROUND(MIN(300,MAX(1,D1096)),0), FactorTable!$A$2:$A$301,0), Skills!M13+1)</f>
        <v/>
      </c>
      <c r="F1096">
        <f>IF(Skills!N13=TRUE,(Skills!L13/10)*(E1096/1000),Skills!L13/10)+Skills!O13</f>
        <v/>
      </c>
      <c r="G1096">
        <f>Skills!G13*IF(Skills!H13&gt;0,INT(IF(Inputs!$B$38="pvp",MIN(Skills!I13,15),Skills!I13)/Skills!H13+0.000000001),1)</f>
        <v/>
      </c>
      <c r="H1096">
        <f>1-(1-Skills!J13/100)^Skills!K13</f>
        <v/>
      </c>
      <c r="I1096" t="inlineStr">
        <is>
          <t>1</t>
        </is>
      </c>
      <c r="J1096">
        <f>((Inputs!$B$6*(1+(Inputs!$B$7+1)/100))+(((Inputs!$B$12*(1+Inputs!$B$13/100))-(Inputs!$B$12*(1+Inputs!$B$13/100)))+0.25*(Inputs!$B$14-Inputs!$B$14))*(1+(Inputs!$B$7+1)/100))*(F1096/100)</f>
        <v/>
      </c>
      <c r="K1096">
        <f>J1096*(1+((Inputs!$B$12*(1+Inputs!$B$13/100))*0.01+Inputs!$B$14*0.0025)/100)*(1+Inputs!$B$15/100)*(1+Inputs!$B$16/100)*(5000/(6000+Inputs!$B$42*(1-(100*(1-(1-(Inputs!$B$19+0)/100)*(1-CHOOSE(ArtifactsInput!$N$40+1,5,6,7,8,9,10)/100)^(ArtifactsInput!$M$40-ArtifactsInput!$M$40)))/100)))*(1+(Inputs!$B$24+((C1109=TRUE)*(F1109-Calc!F26))+B1120)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EIGHT_LEGS_EASTON",Inputs!$B$17+((C1106=TRUE)*(F1106-Calc!F23))+((C1110=TRUE)*(F1110-Calc!F27))+((IF(AND(Inputs!$B$38&lt;&gt;"pvp",Inputs!$B$43=0),1,IF(IF(Inputs!$B$38="pvp",15,Inputs!$B$43)-(B1121)&lt;=0,1,MAX(0,IF(Inputs!$B$38="pvp",15,Inputs!$B$43)-MAX(5,B1121))/(IF(Inputs!$B$38="pvp",15,Inputs!$B$43)-(B1121))))*(IF(AND(ArtifactsInput!$M$42,((Inputs!$B$9+((C1102=TRUE)*(F1102-Calc!F19))+B1114+(ArtifactsInput!$M$24-ArtifactsInput!$M$24)*CHOOSE(ArtifactsInput!$N$24+1,10,12,14,16,18,20)+IF(ArtifactsInput!$M$10,CHOOSE(ArtifactsInput!$N$10+1,15,18,21,24,27,30)*(IF(Inputs!$B$38="pvp",MIN(15,15)/15,IF(AND(Inputs!$B$38&lt;&gt;"pvp",Inputs!$B$43&gt;0),MIN(15,Inputs!$B$43)/(Inputs!$B$43),0))),0)))&gt;=100),MIN(100,((Inputs!$B$9+((C1102=TRUE)*(F1102-Calc!F19))+B1114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1121)&lt;=0,1,MAX(0,IF(Inputs!$B$38="pvp",15,Inputs!$B$43)-MAX(5,B1121))/(IF(Inputs!$B$38="pvp",15,Inputs!$B$43)-(B1121))))*IF(AND(ArtifactsInput!$M$42,((Inputs!$B$9+((C1102=TRUE)*(F1102-Calc!F19))+B1114+(ArtifactsInput!$M$24-ArtifactsInput!$M$24)*CHOOSE(ArtifactsInput!$N$24+1,10,12,14,16,18,20)+IF(ArtifactsInput!$M$10,CHOOSE(ArtifactsInput!$N$10+1,15,18,21,24,27,30)*(IF(Inputs!$B$38="pvp",MIN(15,15)/15,IF(AND(Inputs!$B$38&lt;&gt;"pvp",Inputs!$B$43&gt;0),MIN(15,Inputs!$B$43)/(Inputs!$B$43),0))),0)))&gt;=100),CHOOSE(ArtifactsInput!$N$42+1,40,48,56,64,72,80),0))))/100)*((1+(((C1100=TRUE)*F1100*5/7)+((C1107=TRUE)*(F1107-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1096)</f>
        <v/>
      </c>
      <c r="L1096">
        <f>K1096*(MIN(Inputs!$B$22+((C1105=TRUE)*(F1105-Calc!F22)),(Inputs!$B$23+0+(IF(ArtifactsInput!$M$15,CHOOSE(ArtifactsInput!$N$15+1,25,30,35,40,45,50)/100*(Inputs!$B$11-Inputs!$B$11),0))))/100+(Inputs!$B$23+0+(IF(ArtifactsInput!$M$15,CHOOSE(ArtifactsInput!$N$15+1,25,30,35,40,45,50)/100*(Inputs!$B$11-Inputs!$B$11),0)))/100)/2</f>
        <v/>
      </c>
      <c r="M1096">
        <f>L1096*(1+(Inputs!$B$10+((C1108=TRUE)*(F1108-Calc!F25))+B1119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96">
        <f>L1096*(1-MIN((Inputs!$B$9+((C1102=TRUE)*(F1102-Calc!F19))+B1114+(ArtifactsInput!$M$24-ArtifactsInput!$M$24)*CHOOSE(ArtifactsInput!$N$24+1,10,12,14,16,18,20)+(IF(AND(Inputs!$B$38&lt;&gt;"pvp",Inputs!$B$43=0),1,IF(IF(Inputs!$B$38="pvp",15,Inputs!$B$43)-(B1121)&lt;=0,1,MAX(0,IF(Inputs!$B$38="pvp",15,Inputs!$B$43)-MAX(5,B1121))/(IF(Inputs!$B$38="pvp",15,Inputs!$B$43)-(B1121))))*IF(AND(ArtifactsInput!$M$42,((Inputs!$B$9+((C1102=TRUE)*(F1102-Calc!F19))+B1114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1096*(MIN((Inputs!$B$9+((C1102=TRUE)*(F1102-Calc!F19))+B1114+(ArtifactsInput!$M$24-ArtifactsInput!$M$24)*CHOOSE(ArtifactsInput!$N$24+1,10,12,14,16,18,20)+(IF(AND(Inputs!$B$38&lt;&gt;"pvp",Inputs!$B$43=0),1,IF(IF(Inputs!$B$38="pvp",15,Inputs!$B$43)-(B1121)&lt;=0,1,MAX(0,IF(Inputs!$B$38="pvp",15,Inputs!$B$43)-MAX(5,B1121))/(IF(Inputs!$B$38="pvp",15,Inputs!$B$43)-(B1121))))*IF(AND(ArtifactsInput!$M$42,((Inputs!$B$9+((C1102=TRUE)*(F1102-Calc!F19))+B1114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96">
        <f>(1-Summary!$B$11)*T1096+Summary!$B$11*V1096</f>
        <v/>
      </c>
      <c r="P1096">
        <f>IF(B1124=0,0,O1096/B1124)</f>
        <v/>
      </c>
      <c r="Q1096">
        <f>IFERROR(1/(IF(Inputs!$B$38="pvp",15,MAX(0.1,Skills!D13-IF(TRUE=TRUE,Inputs!$B$32,0)))*(1-IF(AND(ArtifactsInput!$M$27,Inputs!$B$4="Chapter Hunt"),CHOOSE(ArtifactsInput!$N$27+1,20,24,28,32,36,40),0)/100)),0)</f>
        <v/>
      </c>
      <c r="R1096">
        <f>IF(AND(Inputs!$B$38&lt;&gt;"pvp",Inputs!$B$43&gt;0),IF(MAX(0,Inputs!$B$43-B1121)&lt;=0,0,(INT(MAX(0,Inputs!$B$43-B1121)/(IF(Inputs!$B$38="pvp",15,MAX(0.1,Skills!D13-IF(TRUE=TRUE,Inputs!$B$32,0)))*(1-IF(AND(ArtifactsInput!$M$27,Inputs!$B$4="Chapter Hunt"),CHOOSE(ArtifactsInput!$N$27+1,20,24,28,32,36,40),0)/100)))+1)),0)</f>
        <v/>
      </c>
      <c r="S1096">
        <f>IFERROR(O1096/N1096,0)</f>
        <v/>
      </c>
      <c r="T1096">
        <f>IF(C1096,(H1096*N1096*IF(AND(Inputs!$B$38&lt;&gt;"pvp",Inputs!$B$43&gt;0),((Skills!G13*((R1096-1)*IF(Skills!H13&gt;0,INT(Skills!I13/Skills!H13+0.000000001),1)+IF(Skills!H13&gt;0,INT(MIN(Skills!I13,MAX(0,MAX(0,Inputs!$B$43-B1121)-((R1096-1)*(IF(Inputs!$B$38="pvp",15,MAX(0.1,Skills!D13-IF(TRUE=TRUE,Inputs!$B$32,0)))*(1-IF(AND(ArtifactsInput!$M$27,Inputs!$B$4="Chapter Hunt"),CHOOSE(ArtifactsInput!$N$27+1,20,24,28,32,36,40),0)/100)))))/Skills!H13+0.000000001),1)))/Inputs!$B$43),G1096*Q1096))*IF(Inputs!$B$38="pvp",1,1+(Inputs!$B$20+0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Hunt"),CHOOSE(ArtifactsInput!$N$35+1,15,18,21,24,27,30)*(1-EXP(-(0.2*B1116)*5)),0)+IF(AND(ArtifactsInput!$M$22,Inputs!$B$4&lt;&gt;"Chapter Hunt"),CHOOSE(ArtifactsInput!$N$22+1,10,12,14,16,18,20)*((0*(((0.15*B1116*5))^0/1)+1*(((0.15*B1116*5))^1/1)+2*(((0.15*B1116*5))^2/2)+3*(((0.15*B1116*5))^3/6)+4*(((0.15*B1116*5))^4/24)+5*(((0.15*B1116*5))^5/120))/((((0.15*B1116*5))^0/1)+(((0.15*B1116*5))^1/1)+(((0.15*B1116*5))^2/2)+(((0.15*B1116*5))^3/6)+(((0.15*B1116*5))^4/24)+(((0.15*B1116*5))^5/120))),0))+IF(Inputs!$B$3&gt;=54,9*(C1086=TRUE)*MIN(1,8*(1+Inputs!$B$34/100)*Q1086)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1096*(1-MIN(100,(Inputs!$B$9+((C1102=TRUE)*(F1102-Calc!F19))+B1114+(ArtifactsInput!$M$24-ArtifactsInput!$M$24)*CHOOSE(ArtifactsInput!$N$24+1,10,12,14,16,18,20)+(IF(AND(Inputs!$B$38&lt;&gt;"pvp",Inputs!$B$43=0),1,IF(IF(Inputs!$B$38="pvp",15,Inputs!$B$43)-(B1121)&lt;=0,1,MAX(0,IF(Inputs!$B$38="pvp",15,Inputs!$B$43)-MAX(5,B1121))/(IF(Inputs!$B$38="pvp",15,Inputs!$B$43)-(B1121))))*IF(AND(ArtifactsInput!$M$42,((Inputs!$B$9+((C1102=TRUE)*(F1102-Calc!F19))+B1114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1096*(MIN(100,(Inputs!$B$9+((C1102=TRUE)*(F1102-Calc!F19))+B1114+(ArtifactsInput!$M$24-ArtifactsInput!$M$24)*CHOOSE(ArtifactsInput!$N$24+1,10,12,14,16,18,20)+(IF(AND(Inputs!$B$38&lt;&gt;"pvp",Inputs!$B$43=0),1,IF(IF(Inputs!$B$38="pvp",15,Inputs!$B$43)-(B1121)&lt;=0,1,MAX(0,IF(Inputs!$B$38="pvp",15,Inputs!$B$43)-MAX(5,B1121))/(IF(Inputs!$B$38="pvp",15,Inputs!$B$43)-(B1121))))*IF(AND(ArtifactsInput!$M$42,((Inputs!$B$9+((C1102=TRUE)*(F1102-Calc!F19))+B1114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1096*(1-MIN(100,(Inputs!$B$9+((C1102=TRUE)*(F1102-Calc!F19))+B1114+(ArtifactsInput!$M$24-ArtifactsInput!$M$24)*CHOOSE(ArtifactsInput!$N$24+1,10,12,14,16,18,20)+(IF(AND(Inputs!$B$38&lt;&gt;"pvp",Inputs!$B$43=0),1,IF(IF(Inputs!$B$38="pvp",15,Inputs!$B$43)-(B1121)&lt;=0,1,MAX(0,IF(Inputs!$B$38="pvp",15,Inputs!$B$43)-MAX(5,B1121))/(IF(Inputs!$B$38="pvp",15,Inputs!$B$43)-(B1121))))*IF(AND(ArtifactsInput!$M$42,((Inputs!$B$9+((C1102=TRUE)*(F1102-Calc!F19))+B1114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1096*(MIN(100,(Inputs!$B$9+((C1102=TRUE)*(F1102-Calc!F19))+B1114+(ArtifactsInput!$M$24-ArtifactsInput!$M$24)*CHOOSE(ArtifactsInput!$N$24+1,10,12,14,16,18,20)+(IF(AND(Inputs!$B$38&lt;&gt;"pvp",Inputs!$B$43=0),1,IF(IF(Inputs!$B$38="pvp",15,Inputs!$B$43)-(B1121)&lt;=0,1,MAX(0,IF(Inputs!$B$38="pvp",15,Inputs!$B$43)-MAX(5,B1121))/(IF(Inputs!$B$38="pvp",15,Inputs!$B$43)-(B1121))))*IF(AND(ArtifactsInput!$M$42,((Inputs!$B$9+((C1102=TRUE)*(F1102-Calc!F19))+B1114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096">
        <f>IF(C1096,(H1096*N1096*IF(AND(Inputs!$B$38&lt;&gt;"pvp",Inputs!$B$43&gt;0),((Skills!G13*((R1096-1)*IF(Skills!H13&gt;0,INT(Skills!I13/Skills!H13+0.000000001),1)+IF(Skills!H13&gt;0,INT(MIN(Skills!I13,MAX(0,MAX(0,Inputs!$B$43-B1121)-((R1096-1)*(IF(Inputs!$B$38="pvp",15,MAX(0.1,Skills!D13-IF(TRUE=TRUE,Inputs!$B$32,0)))*(1-IF(AND(ArtifactsInput!$M$27,Inputs!$B$4="Chapter Hunt"),CHOOSE(ArtifactsInput!$N$27+1,20,24,28,32,36,40),0)/100)))))/Skills!H13+0.000000001),1)))/Inputs!$B$43),G1096*Q1096))*IF(Inputs!$B$38="pvp",1,(1+(Inputs!$B$21+Skills!Q13+(IF(ArtifactsInput!$M$33,CHOOSE(ArtifactsInput!$N$33+1,30,36,42,48,54,60),0))+(IF(AND(ArtifactsInput!$M$35,Inputs!$B$4&lt;&gt;"Chapter Hunt"),CHOOSE(ArtifactsInput!$N$35+1,15,18,21,24,27,30)*(1-EXP(-(0.2*B1116)*5)),0)+IF(AND(ArtifactsInput!$M$22,Inputs!$B$4&lt;&gt;"Chapter Hunt"),CHOOSE(ArtifactsInput!$N$22+1,10,12,14,16,18,20)*((0*(((0.15*B1116*5))^0/1)+1*(((0.15*B1116*5))^1/1)+2*(((0.15*B1116*5))^2/2)+3*(((0.15*B1116*5))^3/6)+4*(((0.15*B1116*5))^4/24)+5*(((0.15*B1116*5))^5/120))/((((0.15*B1116*5))^0/1)+(((0.15*B1116*5))^1/1)+(((0.15*B1116*5))^2/2)+(((0.15*B1116*5))^3/6)+(((0.15*B1116*5))^4/24)+(((0.15*B1116*5))^5/120))),0))+IF(Inputs!$B$3&gt;=54,9*(C1086=TRUE)*MIN(1,8*(1+Inputs!$B$34/100)*Q1086),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97">
      <c r="A1097">
        <f>Skills!A14</f>
        <v/>
      </c>
      <c r="B1097">
        <f>Skills!B14</f>
        <v/>
      </c>
      <c r="C1097">
        <f>Inputs!$B$3&gt;=120</f>
        <v/>
      </c>
      <c r="D1097">
        <f>IF(Skills!C14=1,60+Inputs!$B$25+Inputs!$B$29,IF(Skills!C14=2,90+Inputs!$B$26+Inputs!$B$29,IF(Skills!C14=3,120+Inputs!$B$27+Inputs!$B$29,MAX(0,(Inputs!$B$3-100)*3)+Inputs!$B$28+Inputs!$B$29)))</f>
        <v/>
      </c>
      <c r="E1097">
        <f>INDEX(FactorTable!$B$2:$Y$301, MATCH(ROUND(MIN(300,MAX(1,D1097)),0), FactorTable!$A$2:$A$301,0), Skills!M14+1)</f>
        <v/>
      </c>
      <c r="F1097">
        <f>IF(Skills!N14=TRUE,(Skills!L14/10)*(E1097/1000),Skills!L14/10)+Skills!O14</f>
        <v/>
      </c>
      <c r="G1097">
        <f>Skills!G14*IF(Skills!H14&gt;0,INT(IF(Inputs!$B$38="pvp",MIN(Skills!I14,15),Skills!I14)/Skills!H14+0.000000001),1)</f>
        <v/>
      </c>
      <c r="H1097">
        <f>1-(1-Skills!J14/100)^Skills!K14</f>
        <v/>
      </c>
      <c r="I1097" t="inlineStr">
        <is>
          <t>1</t>
        </is>
      </c>
      <c r="J1097">
        <f>((Inputs!$B$6*(1+(Inputs!$B$7+1)/100))+(((Inputs!$B$12*(1+Inputs!$B$13/100))-(Inputs!$B$12*(1+Inputs!$B$13/100)))+0.25*(Inputs!$B$14-Inputs!$B$14))*(1+(Inputs!$B$7+1)/100))*(F1097/100)</f>
        <v/>
      </c>
      <c r="K1097">
        <f>J1097*(1+((Inputs!$B$12*(1+Inputs!$B$13/100))*0.01+Inputs!$B$14*0.0025)/100)*(1+Inputs!$B$15/100)*(1+Inputs!$B$16/100)*(5000/(6000+Inputs!$B$42*(1-(100*(1-(1-(Inputs!$B$19+0)/100)*(1-CHOOSE(ArtifactsInput!$N$40+1,5,6,7,8,9,10)/100)^(ArtifactsInput!$M$40-ArtifactsInput!$M$40)))/100)))*(1+(Inputs!$B$24+((C1109=TRUE)*(F1109-Calc!F26))+B1120)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EIGHT_LEGS_EASTON",Inputs!$B$17+((C1106=TRUE)*(F1106-Calc!F23))+((C1110=TRUE)*(F1110-Calc!F27))+((IF(AND(Inputs!$B$38&lt;&gt;"pvp",Inputs!$B$43=0),1,IF(IF(Inputs!$B$38="pvp",15,Inputs!$B$43)-(B1121)&lt;=0,1,MAX(0,IF(Inputs!$B$38="pvp",15,Inputs!$B$43)-MAX(5,B1121))/(IF(Inputs!$B$38="pvp",15,Inputs!$B$43)-(B1121))))*(IF(AND(ArtifactsInput!$M$42,((Inputs!$B$9+((C1102=TRUE)*(F1102-Calc!F19))+B1114+(ArtifactsInput!$M$24-ArtifactsInput!$M$24)*CHOOSE(ArtifactsInput!$N$24+1,10,12,14,16,18,20)+IF(ArtifactsInput!$M$10,CHOOSE(ArtifactsInput!$N$10+1,15,18,21,24,27,30)*(IF(Inputs!$B$38="pvp",MIN(15,15)/15,IF(AND(Inputs!$B$38&lt;&gt;"pvp",Inputs!$B$43&gt;0),MIN(15,Inputs!$B$43)/(Inputs!$B$43),0))),0)))&gt;=100),MIN(100,((Inputs!$B$9+((C1102=TRUE)*(F1102-Calc!F19))+B1114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1121)&lt;=0,1,MAX(0,IF(Inputs!$B$38="pvp",15,Inputs!$B$43)-MAX(5,B1121))/(IF(Inputs!$B$38="pvp",15,Inputs!$B$43)-(B1121))))*IF(AND(ArtifactsInput!$M$42,((Inputs!$B$9+((C1102=TRUE)*(F1102-Calc!F19))+B1114+(ArtifactsInput!$M$24-ArtifactsInput!$M$24)*CHOOSE(ArtifactsInput!$N$24+1,10,12,14,16,18,20)+IF(ArtifactsInput!$M$10,CHOOSE(ArtifactsInput!$N$10+1,15,18,21,24,27,30)*(IF(Inputs!$B$38="pvp",MIN(15,15)/15,IF(AND(Inputs!$B$38&lt;&gt;"pvp",Inputs!$B$43&gt;0),MIN(15,Inputs!$B$43)/(Inputs!$B$43),0))),0)))&gt;=100),CHOOSE(ArtifactsInput!$N$42+1,40,48,56,64,72,80),0))))/100)*((1+(((C1100=TRUE)*F1100*5/7)+((C1107=TRUE)*(F1107-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1097)</f>
        <v/>
      </c>
      <c r="L1097">
        <f>K1097*(MIN(Inputs!$B$22+((C1105=TRUE)*(F1105-Calc!F22)),(Inputs!$B$23+0+(IF(ArtifactsInput!$M$15,CHOOSE(ArtifactsInput!$N$15+1,25,30,35,40,45,50)/100*(Inputs!$B$11-Inputs!$B$11),0))))/100+(Inputs!$B$23+0+(IF(ArtifactsInput!$M$15,CHOOSE(ArtifactsInput!$N$15+1,25,30,35,40,45,50)/100*(Inputs!$B$11-Inputs!$B$11),0)))/100)/2</f>
        <v/>
      </c>
      <c r="M1097">
        <f>L1097*(1+(Inputs!$B$10+((C1108=TRUE)*(F1108-Calc!F25))+B1119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97">
        <f>L1097*(1-MIN((Inputs!$B$9+((C1102=TRUE)*(F1102-Calc!F19))+B1114+(ArtifactsInput!$M$24-ArtifactsInput!$M$24)*CHOOSE(ArtifactsInput!$N$24+1,10,12,14,16,18,20)+(IF(AND(Inputs!$B$38&lt;&gt;"pvp",Inputs!$B$43=0),1,IF(IF(Inputs!$B$38="pvp",15,Inputs!$B$43)-(B1121)&lt;=0,1,MAX(0,IF(Inputs!$B$38="pvp",15,Inputs!$B$43)-MAX(5,B1121))/(IF(Inputs!$B$38="pvp",15,Inputs!$B$43)-(B1121))))*IF(AND(ArtifactsInput!$M$42,((Inputs!$B$9+((C1102=TRUE)*(F1102-Calc!F19))+B1114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1097*(MIN((Inputs!$B$9+((C1102=TRUE)*(F1102-Calc!F19))+B1114+(ArtifactsInput!$M$24-ArtifactsInput!$M$24)*CHOOSE(ArtifactsInput!$N$24+1,10,12,14,16,18,20)+(IF(AND(Inputs!$B$38&lt;&gt;"pvp",Inputs!$B$43=0),1,IF(IF(Inputs!$B$38="pvp",15,Inputs!$B$43)-(B1121)&lt;=0,1,MAX(0,IF(Inputs!$B$38="pvp",15,Inputs!$B$43)-MAX(5,B1121))/(IF(Inputs!$B$38="pvp",15,Inputs!$B$43)-(B1121))))*IF(AND(ArtifactsInput!$M$42,((Inputs!$B$9+((C1102=TRUE)*(F1102-Calc!F19))+B1114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97">
        <f>(1-Summary!$B$11)*T1097+Summary!$B$11*V1097</f>
        <v/>
      </c>
      <c r="P1097">
        <f>IF(B1124=0,0,O1097/B1124)</f>
        <v/>
      </c>
      <c r="Q1097" t="n">
        <v>0</v>
      </c>
      <c r="R1097" t="n">
        <v>0</v>
      </c>
      <c r="S1097">
        <f>IFERROR(O1097/N1097,0)</f>
        <v/>
      </c>
      <c r="T1097">
        <f>IF(C1097,((H1097*(B1118+IF(AND(Inputs!$B$38&lt;&gt;"pvp",Inputs!$B$43&gt;0),((Skills!G8*((R1091-1)*IF(Skills!H8&gt;0,INT(Skills!I8/Skills!H8+0.000000001),1)+IF(Skills!H8&gt;0,INT(MIN(Skills!I8,MAX(0,MAX(0,Inputs!$B$43-B1121)-((R1091-1)*((IF(Inputs!$B$38="pvp",15,MAX(0.1,Skills!D8-IF(TRUE=TRUE,Inputs!$B$32,0)))*(1-IF(AND(ArtifactsInput!$M$27,Inputs!$B$4="Chapter Hunt"),CHOOSE(ArtifactsInput!$N$27+1,20,24,28,32,36,40),0)/100))/B1125))))/Skills!H8+0.000000001),1)))/Inputs!$B$43),G1091*Q1091)+IF(AND(Inputs!$B$38&lt;&gt;"pvp",Inputs!$B$43&gt;0),((Skills!G11*((R1094-1)*IF(Skills!H11&gt;0,INT(Skills!I11/Skills!H11+0.000000001),1)+IF(Skills!H11&gt;0,INT(MIN(Skills!I11,MAX(0,MAX(0,Inputs!$B$43-B1121)-((R1094-1)*((IF(Inputs!$B$38="pvp",15,MAX(0.1,Skills!D11-IF(TRUE=TRUE,Inputs!$B$32,0)))*(1-IF(AND(ArtifactsInput!$M$27,Inputs!$B$4="Chapter Hunt"),CHOOSE(ArtifactsInput!$N$27+1,20,24,28,32,36,40),0)/100))/B1125))))/Skills!H11+0.000000001),1)))/Inputs!$B$43),G1094*Q1094)))/(1+Skills!H14*H1097*(B1118+IF(AND(Inputs!$B$38&lt;&gt;"pvp",Inputs!$B$43&gt;0),((Skills!G8*((R1091-1)*IF(Skills!H8&gt;0,INT(Skills!I8/Skills!H8+0.000000001),1)+IF(Skills!H8&gt;0,INT(MIN(Skills!I8,MAX(0,MAX(0,Inputs!$B$43-B1121)-((R1091-1)*((IF(Inputs!$B$38="pvp",15,MAX(0.1,Skills!D8-IF(TRUE=TRUE,Inputs!$B$32,0)))*(1-IF(AND(ArtifactsInput!$M$27,Inputs!$B$4="Chapter Hunt"),CHOOSE(ArtifactsInput!$N$27+1,20,24,28,32,36,40),0)/100))/B1125))))/Skills!H8+0.000000001),1)))/Inputs!$B$43),G1091*Q1091)+IF(AND(Inputs!$B$38&lt;&gt;"pvp",Inputs!$B$43&gt;0),((Skills!G11*((R1094-1)*IF(Skills!H11&gt;0,INT(Skills!I11/Skills!H11+0.000000001),1)+IF(Skills!H11&gt;0,INT(MIN(Skills!I11,MAX(0,MAX(0,Inputs!$B$43-B1121)-((R1094-1)*((IF(Inputs!$B$38="pvp",15,MAX(0.1,Skills!D11-IF(TRUE=TRUE,Inputs!$B$32,0)))*(1-IF(AND(ArtifactsInput!$M$27,Inputs!$B$4="Chapter Hunt"),CHOOSE(ArtifactsInput!$N$27+1,20,24,28,32,36,40),0)/100))/B1125))))/Skills!H11+0.000000001),1)))/Inputs!$B$43),G1094*Q1094)))*N1097)*IF(Inputs!$B$38="pvp",1,1+(Inputs!$B$20+0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Hunt"),CHOOSE(ArtifactsInput!$N$35+1,15,18,21,24,27,30)*(1-EXP(-(0.2*B1116)*5)),0)+IF(AND(ArtifactsInput!$M$22,Inputs!$B$4&lt;&gt;"Chapter Hunt"),CHOOSE(ArtifactsInput!$N$22+1,10,12,14,16,18,20)*((0*(((0.15*B1116*5))^0/1)+1*(((0.15*B1116*5))^1/1)+2*(((0.15*B1116*5))^2/2)+3*(((0.15*B1116*5))^3/6)+4*(((0.15*B1116*5))^4/24)+5*(((0.15*B1116*5))^5/120))/((((0.15*B1116*5))^0/1)+(((0.15*B1116*5))^1/1)+(((0.15*B1116*5))^2/2)+(((0.15*B1116*5))^3/6)+(((0.15*B1116*5))^4/24)+(((0.15*B1116*5))^5/120))),0))+IF(Inputs!$B$3&gt;=54,9*(C1086=TRUE)*MIN(1,8*(1+Inputs!$B$34/100)*Q1086)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1097*(1-MIN(100,(Inputs!$B$9+((C1102=TRUE)*(F1102-Calc!F19))+B1114+(ArtifactsInput!$M$24-ArtifactsInput!$M$24)*CHOOSE(ArtifactsInput!$N$24+1,10,12,14,16,18,20)+(IF(AND(Inputs!$B$38&lt;&gt;"pvp",Inputs!$B$43=0),1,IF(IF(Inputs!$B$38="pvp",15,Inputs!$B$43)-(B1121)&lt;=0,1,MAX(0,IF(Inputs!$B$38="pvp",15,Inputs!$B$43)-MAX(5,B1121))/(IF(Inputs!$B$38="pvp",15,Inputs!$B$43)-(B1121))))*IF(AND(ArtifactsInput!$M$42,((Inputs!$B$9+((C1102=TRUE)*(F1102-Calc!F19))+B1114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1097*(MIN(100,(Inputs!$B$9+((C1102=TRUE)*(F1102-Calc!F19))+B1114+(ArtifactsInput!$M$24-ArtifactsInput!$M$24)*CHOOSE(ArtifactsInput!$N$24+1,10,12,14,16,18,20)+(IF(AND(Inputs!$B$38&lt;&gt;"pvp",Inputs!$B$43=0),1,IF(IF(Inputs!$B$38="pvp",15,Inputs!$B$43)-(B1121)&lt;=0,1,MAX(0,IF(Inputs!$B$38="pvp",15,Inputs!$B$43)-MAX(5,B1121))/(IF(Inputs!$B$38="pvp",15,Inputs!$B$43)-(B1121))))*IF(AND(ArtifactsInput!$M$42,((Inputs!$B$9+((C1102=TRUE)*(F1102-Calc!F19))+B1114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1097*(1-MIN(100,(Inputs!$B$9+((C1102=TRUE)*(F1102-Calc!F19))+B1114+(ArtifactsInput!$M$24-ArtifactsInput!$M$24)*CHOOSE(ArtifactsInput!$N$24+1,10,12,14,16,18,20)+(IF(AND(Inputs!$B$38&lt;&gt;"pvp",Inputs!$B$43=0),1,IF(IF(Inputs!$B$38="pvp",15,Inputs!$B$43)-(B1121)&lt;=0,1,MAX(0,IF(Inputs!$B$38="pvp",15,Inputs!$B$43)-MAX(5,B1121))/(IF(Inputs!$B$38="pvp",15,Inputs!$B$43)-(B1121))))*IF(AND(ArtifactsInput!$M$42,((Inputs!$B$9+((C1102=TRUE)*(F1102-Calc!F19))+B1114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1097*(MIN(100,(Inputs!$B$9+((C1102=TRUE)*(F1102-Calc!F19))+B1114+(ArtifactsInput!$M$24-ArtifactsInput!$M$24)*CHOOSE(ArtifactsInput!$N$24+1,10,12,14,16,18,20)+(IF(AND(Inputs!$B$38&lt;&gt;"pvp",Inputs!$B$43=0),1,IF(IF(Inputs!$B$38="pvp",15,Inputs!$B$43)-(B1121)&lt;=0,1,MAX(0,IF(Inputs!$B$38="pvp",15,Inputs!$B$43)-MAX(5,B1121))/(IF(Inputs!$B$38="pvp",15,Inputs!$B$43)-(B1121))))*IF(AND(ArtifactsInput!$M$42,((Inputs!$B$9+((C1102=TRUE)*(F1102-Calc!F19))+B1114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097">
        <f>IF(C1097,((H1097*(B1118+IF(AND(Inputs!$B$38&lt;&gt;"pvp",Inputs!$B$43&gt;0),((Skills!G8*((R1091-1)*IF(Skills!H8&gt;0,INT(Skills!I8/Skills!H8+0.000000001),1)+IF(Skills!H8&gt;0,INT(MIN(Skills!I8,MAX(0,MAX(0,Inputs!$B$43-B1121)-((R1091-1)*((IF(Inputs!$B$38="pvp",15,MAX(0.1,Skills!D8-IF(TRUE=TRUE,Inputs!$B$32,0)))*(1-IF(AND(ArtifactsInput!$M$27,Inputs!$B$4="Chapter Hunt"),CHOOSE(ArtifactsInput!$N$27+1,20,24,28,32,36,40),0)/100))/B1125))))/Skills!H8+0.000000001),1)))/Inputs!$B$43),G1091*Q1091)+IF(AND(Inputs!$B$38&lt;&gt;"pvp",Inputs!$B$43&gt;0),((Skills!G11*((R1094-1)*IF(Skills!H11&gt;0,INT(Skills!I11/Skills!H11+0.000000001),1)+IF(Skills!H11&gt;0,INT(MIN(Skills!I11,MAX(0,MAX(0,Inputs!$B$43-B1121)-((R1094-1)*((IF(Inputs!$B$38="pvp",15,MAX(0.1,Skills!D11-IF(TRUE=TRUE,Inputs!$B$32,0)))*(1-IF(AND(ArtifactsInput!$M$27,Inputs!$B$4="Chapter Hunt"),CHOOSE(ArtifactsInput!$N$27+1,20,24,28,32,36,40),0)/100))/B1125))))/Skills!H11+0.000000001),1)))/Inputs!$B$43),G1094*Q1094)))/(1+Skills!H14*H1097*(B1118+IF(AND(Inputs!$B$38&lt;&gt;"pvp",Inputs!$B$43&gt;0),((Skills!G8*((R1091-1)*IF(Skills!H8&gt;0,INT(Skills!I8/Skills!H8+0.000000001),1)+IF(Skills!H8&gt;0,INT(MIN(Skills!I8,MAX(0,MAX(0,Inputs!$B$43-B1121)-((R1091-1)*((IF(Inputs!$B$38="pvp",15,MAX(0.1,Skills!D8-IF(TRUE=TRUE,Inputs!$B$32,0)))*(1-IF(AND(ArtifactsInput!$M$27,Inputs!$B$4="Chapter Hunt"),CHOOSE(ArtifactsInput!$N$27+1,20,24,28,32,36,40),0)/100))/B1125))))/Skills!H8+0.000000001),1)))/Inputs!$B$43),G1091*Q1091)+IF(AND(Inputs!$B$38&lt;&gt;"pvp",Inputs!$B$43&gt;0),((Skills!G11*((R1094-1)*IF(Skills!H11&gt;0,INT(Skills!I11/Skills!H11+0.000000001),1)+IF(Skills!H11&gt;0,INT(MIN(Skills!I11,MAX(0,MAX(0,Inputs!$B$43-B1121)-((R1094-1)*((IF(Inputs!$B$38="pvp",15,MAX(0.1,Skills!D11-IF(TRUE=TRUE,Inputs!$B$32,0)))*(1-IF(AND(ArtifactsInput!$M$27,Inputs!$B$4="Chapter Hunt"),CHOOSE(ArtifactsInput!$N$27+1,20,24,28,32,36,40),0)/100))/B1125))))/Skills!H11+0.000000001),1)))/Inputs!$B$43),G1094*Q1094)))*N1097)*IF(Inputs!$B$38="pvp",1,(1+(Inputs!$B$21+Skills!Q14+(IF(ArtifactsInput!$M$33,CHOOSE(ArtifactsInput!$N$33+1,30,36,42,48,54,60),0))+(IF(AND(ArtifactsInput!$M$35,Inputs!$B$4&lt;&gt;"Chapter Hunt"),CHOOSE(ArtifactsInput!$N$35+1,15,18,21,24,27,30)*(1-EXP(-(0.2*B1116)*5)),0)+IF(AND(ArtifactsInput!$M$22,Inputs!$B$4&lt;&gt;"Chapter Hunt"),CHOOSE(ArtifactsInput!$N$22+1,10,12,14,16,18,20)*((0*(((0.15*B1116*5))^0/1)+1*(((0.15*B1116*5))^1/1)+2*(((0.15*B1116*5))^2/2)+3*(((0.15*B1116*5))^3/6)+4*(((0.15*B1116*5))^4/24)+5*(((0.15*B1116*5))^5/120))/((((0.15*B1116*5))^0/1)+(((0.15*B1116*5))^1/1)+(((0.15*B1116*5))^2/2)+(((0.15*B1116*5))^3/6)+(((0.15*B1116*5))^4/24)+(((0.15*B1116*5))^5/120))),0))+IF(Inputs!$B$3&gt;=54,9*(C1086=TRUE)*MIN(1,8*(1+Inputs!$B$34/100)*Q1086),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98">
      <c r="A1098">
        <f>Skills!A15</f>
        <v/>
      </c>
      <c r="B1098">
        <f>Skills!B15</f>
        <v/>
      </c>
      <c r="C1098">
        <f>Inputs!$B$3&gt;=100</f>
        <v/>
      </c>
      <c r="D1098">
        <f>IF(Skills!C15=1,60+Inputs!$B$25+Inputs!$B$29,IF(Skills!C15=2,90+Inputs!$B$26+Inputs!$B$29,IF(Skills!C15=3,120+Inputs!$B$27+Inputs!$B$29,MAX(0,(Inputs!$B$3-100)*3)+Inputs!$B$28+Inputs!$B$29)))</f>
        <v/>
      </c>
      <c r="E1098">
        <f>INDEX(FactorTable!$B$2:$Y$301, MATCH(ROUND(MIN(300,MAX(1,D1098)),0), FactorTable!$A$2:$A$301,0), Skills!M15+1)</f>
        <v/>
      </c>
      <c r="F1098">
        <f>IF(Skills!N15=TRUE,(Skills!L15/10)*(E1098/1000),Skills!L15/10)+Skills!O15</f>
        <v/>
      </c>
      <c r="G1098" t="inlineStr"/>
      <c r="H1098" t="inlineStr"/>
      <c r="I1098" t="inlineStr">
        <is>
          <t>1</t>
        </is>
      </c>
      <c r="J1098" t="inlineStr"/>
      <c r="K1098" t="inlineStr"/>
      <c r="L1098" t="inlineStr"/>
      <c r="M1098" t="inlineStr"/>
      <c r="N1098" t="inlineStr"/>
      <c r="O1098" t="inlineStr"/>
      <c r="P1098" t="inlineStr"/>
      <c r="Q1098" t="inlineStr"/>
      <c r="R1098" t="inlineStr"/>
      <c r="S1098" t="inlineStr"/>
    </row>
    <row r="1099">
      <c r="A1099">
        <f>Skills!A16</f>
        <v/>
      </c>
      <c r="B1099">
        <f>Skills!B16</f>
        <v/>
      </c>
      <c r="C1099">
        <f>Inputs!$B$3&gt;=107</f>
        <v/>
      </c>
      <c r="D1099">
        <f>IF(Skills!C16=1,60+Inputs!$B$25+Inputs!$B$29,IF(Skills!C16=2,90+Inputs!$B$26+Inputs!$B$29,IF(Skills!C16=3,120+Inputs!$B$27+Inputs!$B$29,MAX(0,(Inputs!$B$3-100)*3)+Inputs!$B$28+Inputs!$B$29)))</f>
        <v/>
      </c>
      <c r="E1099">
        <f>INDEX(FactorTable!$B$2:$Y$301, MATCH(ROUND(MIN(300,MAX(1,D1099)),0), FactorTable!$A$2:$A$301,0), Skills!M16+1)</f>
        <v/>
      </c>
      <c r="F1099">
        <f>IF(Skills!N16=TRUE,(Skills!L16/10)*(E1099/1000),Skills!L16/10)+Skills!O16</f>
        <v/>
      </c>
      <c r="G1099" t="inlineStr"/>
      <c r="H1099" t="inlineStr"/>
      <c r="I1099" t="inlineStr">
        <is>
          <t>1</t>
        </is>
      </c>
      <c r="J1099" t="inlineStr"/>
      <c r="K1099" t="inlineStr"/>
      <c r="L1099" t="inlineStr"/>
      <c r="M1099" t="inlineStr"/>
      <c r="N1099" t="inlineStr"/>
      <c r="O1099" t="inlineStr"/>
      <c r="P1099" t="inlineStr"/>
      <c r="Q1099" t="inlineStr"/>
      <c r="R1099" t="inlineStr"/>
      <c r="S1099" t="inlineStr"/>
    </row>
    <row r="1100">
      <c r="A1100">
        <f>Skills!A17</f>
        <v/>
      </c>
      <c r="B1100">
        <f>Skills!B17</f>
        <v/>
      </c>
      <c r="C1100">
        <f>Inputs!$B$3&gt;=74</f>
        <v/>
      </c>
      <c r="D1100">
        <f>IF(Skills!C17=1,60+Inputs!$B$25+Inputs!$B$29,IF(Skills!C17=2,90+Inputs!$B$26+Inputs!$B$29,IF(Skills!C17=3,120+Inputs!$B$27+Inputs!$B$29,MAX(0,(Inputs!$B$3-100)*3)+Inputs!$B$28+Inputs!$B$29)))</f>
        <v/>
      </c>
      <c r="E1100">
        <f>INDEX(FactorTable!$B$2:$Y$301, MATCH(ROUND(MIN(300,MAX(1,D1100)),0), FactorTable!$A$2:$A$301,0), Skills!M17+1)</f>
        <v/>
      </c>
      <c r="F1100">
        <f>IF(Skills!N17=TRUE,(Skills!L17/10)*(E1100/1000),Skills!L17/10)+Skills!O17</f>
        <v/>
      </c>
      <c r="G1100">
        <f>Skills!G17*IF(Skills!H17&gt;0,INT(IF(Inputs!$B$38="pvp",MIN(Skills!I17,15),Skills!I17)/Skills!H17+0.000000001),1)</f>
        <v/>
      </c>
      <c r="H1100">
        <f>1-(1-Skills!J17/100)^Skills!K17</f>
        <v/>
      </c>
      <c r="I1100" t="inlineStr">
        <is>
          <t>1</t>
        </is>
      </c>
      <c r="J1100" t="inlineStr"/>
      <c r="K1100" t="inlineStr"/>
      <c r="L1100" t="inlineStr"/>
      <c r="M1100" t="inlineStr"/>
      <c r="N1100" t="inlineStr"/>
      <c r="O1100">
        <f>(1-Summary!$B$11)*T1100+Summary!$B$11*V1100</f>
        <v/>
      </c>
      <c r="P1100">
        <f>IF(B1124=0,0,O1100/B1124)</f>
        <v/>
      </c>
      <c r="Q1100" t="n">
        <v>0</v>
      </c>
      <c r="R1100" t="n">
        <v>0</v>
      </c>
      <c r="S1100">
        <f>IFERROR(O1100/N1100,0)</f>
        <v/>
      </c>
      <c r="T1100" t="n">
        <v>0</v>
      </c>
      <c r="V1100" t="n">
        <v>0</v>
      </c>
    </row>
    <row r="1101">
      <c r="A1101">
        <f>Skills!A18</f>
        <v/>
      </c>
      <c r="B1101">
        <f>Skills!B18</f>
        <v/>
      </c>
      <c r="C1101">
        <f>Inputs!$B$3&gt;=115</f>
        <v/>
      </c>
      <c r="D1101">
        <f>IF(Skills!C18=1,60+Inputs!$B$25+Inputs!$B$29,IF(Skills!C18=2,90+Inputs!$B$26+Inputs!$B$29,IF(Skills!C18=3,120+Inputs!$B$27+Inputs!$B$29,MAX(0,(Inputs!$B$3-100)*3)+Inputs!$B$28+Inputs!$B$29)))</f>
        <v/>
      </c>
      <c r="E1101">
        <f>INDEX(FactorTable!$B$2:$Y$301, MATCH(ROUND(MIN(300,MAX(1,D1101)),0), FactorTable!$A$2:$A$301,0), Skills!M18+1)</f>
        <v/>
      </c>
      <c r="F1101">
        <f>IF(Skills!N18=TRUE,(Skills!L18/10)*(E1101/1000),Skills!L18/10)+Skills!O18</f>
        <v/>
      </c>
      <c r="G1101">
        <f>Skills!G18*IF(Skills!H18&gt;0,INT(IF(Inputs!$B$38="pvp",MIN(Skills!I18,15),Skills!I18)/Skills!H18+0.000000001),1)</f>
        <v/>
      </c>
      <c r="H1101">
        <f>1-(1-Skills!J18/100)^Skills!K18</f>
        <v/>
      </c>
      <c r="I1101" t="inlineStr">
        <is>
          <t>1</t>
        </is>
      </c>
      <c r="J1101" t="inlineStr"/>
      <c r="K1101" t="inlineStr"/>
      <c r="L1101" t="inlineStr"/>
      <c r="M1101" t="inlineStr"/>
      <c r="N1101" t="inlineStr"/>
      <c r="O1101">
        <f>(1-Summary!$B$11)*T1101+Summary!$B$11*V1101</f>
        <v/>
      </c>
      <c r="P1101">
        <f>IF(B1124=0,0,O1101/B1124)</f>
        <v/>
      </c>
      <c r="Q1101">
        <f>IFERROR(1/(IF(Inputs!$B$38="pvp",15,MAX(0.1,Skills!D18-IF(TRUE=TRUE,Inputs!$B$32,0)))*(1-IF(AND(ArtifactsInput!$M$27,Inputs!$B$4="Chapter Hunt"),CHOOSE(ArtifactsInput!$N$27+1,20,24,28,32,36,40),0)/100)),0)</f>
        <v/>
      </c>
      <c r="R1101">
        <f>IF(AND(Inputs!$B$38&lt;&gt;"pvp",Inputs!$B$43&gt;0),IF(Inputs!$B$43&lt;=0,0,(INT(Inputs!$B$43/(IF(Inputs!$B$38="pvp",15,MAX(0.1,Skills!D18-IF(TRUE=TRUE,Inputs!$B$32,0)))*(1-IF(AND(ArtifactsInput!$M$27,Inputs!$B$4="Chapter Hunt"),CHOOSE(ArtifactsInput!$N$27+1,20,24,28,32,36,40),0)/100)))+1)),0)</f>
        <v/>
      </c>
      <c r="S1101">
        <f>IFERROR(O1101/N1101,0)</f>
        <v/>
      </c>
      <c r="T1101" t="n">
        <v>0</v>
      </c>
      <c r="V1101" t="n">
        <v>0</v>
      </c>
    </row>
    <row r="1102">
      <c r="A1102">
        <f>Skills!A19</f>
        <v/>
      </c>
      <c r="B1102">
        <f>Skills!B19</f>
        <v/>
      </c>
      <c r="C1102">
        <f>Inputs!$B$3&gt;=10</f>
        <v/>
      </c>
      <c r="D1102">
        <f>IF(Skills!C19=1,60+Inputs!$B$25+Inputs!$B$29,IF(Skills!C19=2,90+Inputs!$B$26+Inputs!$B$29,IF(Skills!C19=3,120+Inputs!$B$27+Inputs!$B$29,MAX(0,(Inputs!$B$3-100)*3)+Inputs!$B$28+Inputs!$B$29)))</f>
        <v/>
      </c>
      <c r="E1102">
        <f>INDEX(FactorTable!$B$2:$Y$301, MATCH(ROUND(MIN(300,MAX(1,D1102)),0), FactorTable!$A$2:$A$301,0), Skills!M19+1)</f>
        <v/>
      </c>
      <c r="F1102">
        <f>IF(Skills!N19=TRUE,(Skills!L19/10)*(E1102/1000),Skills!L19/10)+Skills!O19</f>
        <v/>
      </c>
      <c r="G1102">
        <f>Skills!G19*IF(Skills!H19&gt;0,INT(IF(Inputs!$B$38="pvp",MIN(Skills!I19,15),Skills!I19)/Skills!H19+0.000000001),1)</f>
        <v/>
      </c>
      <c r="H1102">
        <f>1-(1-Skills!J19/100)^Skills!K19</f>
        <v/>
      </c>
      <c r="I1102" t="inlineStr">
        <is>
          <t>1</t>
        </is>
      </c>
      <c r="J1102" t="inlineStr"/>
      <c r="K1102" t="inlineStr"/>
      <c r="L1102" t="inlineStr"/>
      <c r="M1102" t="inlineStr"/>
      <c r="N1102" t="inlineStr"/>
      <c r="O1102">
        <f>(1-Summary!$B$11)*T1102+Summary!$B$11*V1102</f>
        <v/>
      </c>
      <c r="P1102">
        <f>IF(B1124=0,0,O1102/B1124)</f>
        <v/>
      </c>
      <c r="Q1102" t="n">
        <v>0</v>
      </c>
      <c r="R1102" t="n">
        <v>0</v>
      </c>
      <c r="S1102">
        <f>IFERROR(O1102/N1102,0)</f>
        <v/>
      </c>
      <c r="T1102" t="n">
        <v>0</v>
      </c>
      <c r="V1102" t="n">
        <v>0</v>
      </c>
    </row>
    <row r="1103">
      <c r="A1103">
        <f>Skills!A20</f>
        <v/>
      </c>
      <c r="B1103">
        <f>Skills!B20</f>
        <v/>
      </c>
      <c r="C1103">
        <f>Inputs!$B$3&gt;=15</f>
        <v/>
      </c>
      <c r="D1103">
        <f>IF(Skills!C20=1,60+Inputs!$B$25+Inputs!$B$29,IF(Skills!C20=2,90+Inputs!$B$26+Inputs!$B$29,IF(Skills!C20=3,120+Inputs!$B$27+Inputs!$B$29,MAX(0,(Inputs!$B$3-100)*3)+Inputs!$B$28+Inputs!$B$29)))</f>
        <v/>
      </c>
      <c r="E1103">
        <f>INDEX(FactorTable!$B$2:$Y$301, MATCH(ROUND(MIN(300,MAX(1,D1103)),0), FactorTable!$A$2:$A$301,0), Skills!M20+1)</f>
        <v/>
      </c>
      <c r="F1103">
        <f>IF(Skills!N20=TRUE,(Skills!L20/10)*(E1103/1000),Skills!L20/10)+Skills!O20</f>
        <v/>
      </c>
      <c r="G1103">
        <f>Skills!G20*IF(Skills!H20&gt;0,INT(IF(Inputs!$B$38="pvp",MIN(Skills!I20,15),Skills!I20)/Skills!H20+0.000000001),1)</f>
        <v/>
      </c>
      <c r="H1103">
        <f>1-(1-Skills!J20/100)^Skills!K20</f>
        <v/>
      </c>
      <c r="I1103" t="inlineStr">
        <is>
          <t>1</t>
        </is>
      </c>
      <c r="J1103" t="inlineStr"/>
      <c r="K1103" t="inlineStr"/>
      <c r="L1103" t="inlineStr"/>
      <c r="M1103" t="inlineStr"/>
      <c r="N1103" t="inlineStr"/>
      <c r="O1103">
        <f>(1-Summary!$B$11)*T1103+Summary!$B$11*V1103</f>
        <v/>
      </c>
      <c r="P1103">
        <f>IF(B1124=0,0,O1103/B1124)</f>
        <v/>
      </c>
      <c r="Q1103" t="n">
        <v>0</v>
      </c>
      <c r="R1103" t="n">
        <v>0</v>
      </c>
      <c r="S1103">
        <f>IFERROR(O1103/N1103,0)</f>
        <v/>
      </c>
      <c r="T1103" t="n">
        <v>0</v>
      </c>
      <c r="V1103" t="n">
        <v>0</v>
      </c>
    </row>
    <row r="1104">
      <c r="A1104">
        <f>Skills!A21</f>
        <v/>
      </c>
      <c r="B1104">
        <f>Skills!B21</f>
        <v/>
      </c>
      <c r="C1104">
        <f>Inputs!$B$3&gt;=40</f>
        <v/>
      </c>
      <c r="D1104">
        <f>IF(Skills!C21=1,60+Inputs!$B$25+Inputs!$B$29,IF(Skills!C21=2,90+Inputs!$B$26+Inputs!$B$29,IF(Skills!C21=3,120+Inputs!$B$27+Inputs!$B$29,MAX(0,(Inputs!$B$3-100)*3)+Inputs!$B$28+Inputs!$B$29)))</f>
        <v/>
      </c>
      <c r="E1104">
        <f>INDEX(FactorTable!$B$2:$Y$301, MATCH(ROUND(MIN(300,MAX(1,D1104)),0), FactorTable!$A$2:$A$301,0), Skills!M21+1)</f>
        <v/>
      </c>
      <c r="F1104">
        <f>IF(Skills!N21=TRUE,(Skills!L21/10)*(E1104/1000),Skills!L21/10)+Skills!O21</f>
        <v/>
      </c>
      <c r="G1104">
        <f>Skills!G21*IF(Skills!H21&gt;0,INT(IF(Inputs!$B$38="pvp",MIN(Skills!I21,15),Skills!I21)/Skills!H21+0.000000001),1)</f>
        <v/>
      </c>
      <c r="H1104">
        <f>1-(1-Skills!J21/100)^Skills!K21</f>
        <v/>
      </c>
      <c r="I1104" t="inlineStr">
        <is>
          <t>1</t>
        </is>
      </c>
      <c r="J1104" t="inlineStr"/>
      <c r="K1104" t="inlineStr"/>
      <c r="L1104" t="inlineStr"/>
      <c r="M1104" t="inlineStr"/>
      <c r="N1104" t="inlineStr"/>
      <c r="O1104">
        <f>(1-Summary!$B$11)*T1104+Summary!$B$11*V1104</f>
        <v/>
      </c>
      <c r="P1104">
        <f>IF(B1124=0,0,O1104/B1124)</f>
        <v/>
      </c>
      <c r="Q1104" t="n">
        <v>0</v>
      </c>
      <c r="R1104" t="n">
        <v>0</v>
      </c>
      <c r="S1104">
        <f>IFERROR(O1104/N1104,0)</f>
        <v/>
      </c>
      <c r="T1104" t="n">
        <v>0</v>
      </c>
      <c r="V1104" t="n">
        <v>0</v>
      </c>
    </row>
    <row r="1105">
      <c r="A1105">
        <f>Skills!A22</f>
        <v/>
      </c>
      <c r="B1105">
        <f>Skills!B22</f>
        <v/>
      </c>
      <c r="C1105">
        <f>Inputs!$B$3&gt;=43</f>
        <v/>
      </c>
      <c r="D1105">
        <f>IF(Skills!C22=1,60+Inputs!$B$25+Inputs!$B$29,IF(Skills!C22=2,90+Inputs!$B$26+Inputs!$B$29,IF(Skills!C22=3,120+Inputs!$B$27+Inputs!$B$29,MAX(0,(Inputs!$B$3-100)*3)+Inputs!$B$28+Inputs!$B$29)))</f>
        <v/>
      </c>
      <c r="E1105">
        <f>INDEX(FactorTable!$B$2:$Y$301, MATCH(ROUND(MIN(300,MAX(1,D1105)),0), FactorTable!$A$2:$A$301,0), Skills!M22+1)</f>
        <v/>
      </c>
      <c r="F1105">
        <f>IF(Skills!N22=TRUE,(Skills!L22/10)*(E1105/1000),Skills!L22/10)+Skills!O22</f>
        <v/>
      </c>
      <c r="G1105">
        <f>Skills!G22*IF(Skills!H22&gt;0,INT(IF(Inputs!$B$38="pvp",MIN(Skills!I22,15),Skills!I22)/Skills!H22+0.000000001),1)</f>
        <v/>
      </c>
      <c r="H1105">
        <f>1-(1-Skills!J22/100)^Skills!K22</f>
        <v/>
      </c>
      <c r="I1105" t="inlineStr">
        <is>
          <t>1</t>
        </is>
      </c>
      <c r="J1105" t="inlineStr"/>
      <c r="K1105" t="inlineStr"/>
      <c r="L1105" t="inlineStr"/>
      <c r="M1105" t="inlineStr"/>
      <c r="N1105" t="inlineStr"/>
      <c r="O1105">
        <f>(1-Summary!$B$11)*T1105+Summary!$B$11*V1105</f>
        <v/>
      </c>
      <c r="P1105">
        <f>IF(B1124=0,0,O1105/B1124)</f>
        <v/>
      </c>
      <c r="Q1105" t="n">
        <v>0</v>
      </c>
      <c r="R1105" t="n">
        <v>0</v>
      </c>
      <c r="S1105">
        <f>IFERROR(O1105/N1105,0)</f>
        <v/>
      </c>
      <c r="T1105" t="n">
        <v>0</v>
      </c>
      <c r="V1105" t="n">
        <v>0</v>
      </c>
    </row>
    <row r="1106">
      <c r="A1106">
        <f>Skills!A23</f>
        <v/>
      </c>
      <c r="B1106">
        <f>Skills!B23</f>
        <v/>
      </c>
      <c r="C1106">
        <f>Inputs!$B$3&gt;=38</f>
        <v/>
      </c>
      <c r="D1106">
        <f>IF(Skills!C23=1,60+Inputs!$B$25+Inputs!$B$29,IF(Skills!C23=2,90+Inputs!$B$26+Inputs!$B$29,IF(Skills!C23=3,120+Inputs!$B$27+Inputs!$B$29,MAX(0,(Inputs!$B$3-100)*3)+Inputs!$B$28+Inputs!$B$29)))</f>
        <v/>
      </c>
      <c r="E1106">
        <f>INDEX(FactorTable!$B$2:$Y$301, MATCH(ROUND(MIN(300,MAX(1,D1106)),0), FactorTable!$A$2:$A$301,0), Skills!M23+1)</f>
        <v/>
      </c>
      <c r="F1106">
        <f>IF(Skills!N23=TRUE,(Skills!L23/10)*(E1106/1000),Skills!L23/10)+Skills!O23</f>
        <v/>
      </c>
      <c r="G1106">
        <f>Skills!G23*IF(Skills!H23&gt;0,INT(IF(Inputs!$B$38="pvp",MIN(Skills!I23,15),Skills!I23)/Skills!H23+0.000000001),1)</f>
        <v/>
      </c>
      <c r="H1106">
        <f>1-(1-Skills!J23/100)^Skills!K23</f>
        <v/>
      </c>
      <c r="I1106" t="inlineStr">
        <is>
          <t>1</t>
        </is>
      </c>
      <c r="J1106" t="inlineStr"/>
      <c r="K1106" t="inlineStr"/>
      <c r="L1106" t="inlineStr"/>
      <c r="M1106" t="inlineStr"/>
      <c r="N1106" t="inlineStr"/>
      <c r="O1106">
        <f>(1-Summary!$B$11)*T1106+Summary!$B$11*V1106</f>
        <v/>
      </c>
      <c r="P1106">
        <f>IF(B1124=0,0,O1106/B1124)</f>
        <v/>
      </c>
      <c r="Q1106" t="n">
        <v>0</v>
      </c>
      <c r="R1106" t="n">
        <v>0</v>
      </c>
      <c r="S1106">
        <f>IFERROR(O1106/N1106,0)</f>
        <v/>
      </c>
      <c r="T1106" t="n">
        <v>0</v>
      </c>
      <c r="V1106" t="n">
        <v>0</v>
      </c>
    </row>
    <row r="1107">
      <c r="A1107">
        <f>Skills!A24</f>
        <v/>
      </c>
      <c r="B1107">
        <f>Skills!B24</f>
        <v/>
      </c>
      <c r="C1107">
        <f>Inputs!$B$3&gt;=45</f>
        <v/>
      </c>
      <c r="D1107">
        <f>IF(Skills!C24=1,60+Inputs!$B$25+Inputs!$B$29,IF(Skills!C24=2,90+Inputs!$B$26+Inputs!$B$29,IF(Skills!C24=3,120+Inputs!$B$27+Inputs!$B$29,MAX(0,(Inputs!$B$3-100)*3)+Inputs!$B$28+Inputs!$B$29)))</f>
        <v/>
      </c>
      <c r="E1107">
        <f>INDEX(FactorTable!$B$2:$Y$301, MATCH(ROUND(MIN(300,MAX(1,D1107)),0), FactorTable!$A$2:$A$301,0), Skills!M24+1)</f>
        <v/>
      </c>
      <c r="F1107">
        <f>IF(Skills!N24=TRUE,(Skills!L24/10)*(E1107/1000),Skills!L24/10)+Skills!O24</f>
        <v/>
      </c>
      <c r="G1107">
        <f>Skills!G24*IF(Skills!H24&gt;0,INT(IF(Inputs!$B$38="pvp",MIN(Skills!I24,15),Skills!I24)/Skills!H24+0.000000001),1)</f>
        <v/>
      </c>
      <c r="H1107">
        <f>1-(1-Skills!J24/100)^Skills!K24</f>
        <v/>
      </c>
      <c r="I1107" t="inlineStr">
        <is>
          <t>1</t>
        </is>
      </c>
      <c r="J1107" t="inlineStr"/>
      <c r="K1107" t="inlineStr"/>
      <c r="L1107" t="inlineStr"/>
      <c r="M1107" t="inlineStr"/>
      <c r="N1107" t="inlineStr"/>
      <c r="O1107">
        <f>(1-Summary!$B$11)*T1107+Summary!$B$11*V1107</f>
        <v/>
      </c>
      <c r="P1107">
        <f>IF(B1124=0,0,O1107/B1124)</f>
        <v/>
      </c>
      <c r="Q1107" t="n">
        <v>0</v>
      </c>
      <c r="R1107" t="n">
        <v>0</v>
      </c>
      <c r="S1107">
        <f>IFERROR(O1107/N1107,0)</f>
        <v/>
      </c>
      <c r="T1107" t="n">
        <v>0</v>
      </c>
      <c r="V1107" t="n">
        <v>0</v>
      </c>
    </row>
    <row r="1108">
      <c r="A1108">
        <f>Skills!A25</f>
        <v/>
      </c>
      <c r="B1108">
        <f>Skills!B25</f>
        <v/>
      </c>
      <c r="C1108">
        <f>Inputs!$B$3&gt;=72</f>
        <v/>
      </c>
      <c r="D1108">
        <f>IF(Skills!C25=1,60+Inputs!$B$25+Inputs!$B$29,IF(Skills!C25=2,90+Inputs!$B$26+Inputs!$B$29,IF(Skills!C25=3,120+Inputs!$B$27+Inputs!$B$29,MAX(0,(Inputs!$B$3-100)*3)+Inputs!$B$28+Inputs!$B$29)))</f>
        <v/>
      </c>
      <c r="E1108">
        <f>INDEX(FactorTable!$B$2:$Y$301, MATCH(ROUND(MIN(300,MAX(1,D1108)),0), FactorTable!$A$2:$A$301,0), Skills!M25+1)</f>
        <v/>
      </c>
      <c r="F1108">
        <f>IF(Skills!N25=TRUE,(Skills!L25/10)*(E1108/1000),Skills!L25/10)+Skills!O25</f>
        <v/>
      </c>
      <c r="G1108">
        <f>Skills!G25*IF(Skills!H25&gt;0,INT(IF(Inputs!$B$38="pvp",MIN(Skills!I25,15),Skills!I25)/Skills!H25+0.000000001),1)</f>
        <v/>
      </c>
      <c r="H1108">
        <f>1-(1-Skills!J25/100)^Skills!K25</f>
        <v/>
      </c>
      <c r="I1108" t="inlineStr">
        <is>
          <t>1</t>
        </is>
      </c>
      <c r="J1108" t="inlineStr"/>
      <c r="K1108" t="inlineStr"/>
      <c r="L1108" t="inlineStr"/>
      <c r="M1108" t="inlineStr"/>
      <c r="N1108" t="inlineStr"/>
      <c r="O1108">
        <f>(1-Summary!$B$11)*T1108+Summary!$B$11*V1108</f>
        <v/>
      </c>
      <c r="P1108">
        <f>IF(B1124=0,0,O1108/B1124)</f>
        <v/>
      </c>
      <c r="Q1108" t="n">
        <v>0</v>
      </c>
      <c r="R1108" t="n">
        <v>0</v>
      </c>
      <c r="S1108">
        <f>IFERROR(O1108/N1108,0)</f>
        <v/>
      </c>
      <c r="T1108" t="n">
        <v>0</v>
      </c>
      <c r="V1108" t="n">
        <v>0</v>
      </c>
    </row>
    <row r="1109">
      <c r="A1109">
        <f>Skills!A26</f>
        <v/>
      </c>
      <c r="B1109">
        <f>Skills!B26</f>
        <v/>
      </c>
      <c r="C1109">
        <f>Inputs!$B$3&gt;=75</f>
        <v/>
      </c>
      <c r="D1109">
        <f>IF(Skills!C26=1,60+Inputs!$B$25+Inputs!$B$29,IF(Skills!C26=2,90+Inputs!$B$26+Inputs!$B$29,IF(Skills!C26=3,120+Inputs!$B$27+Inputs!$B$29,MAX(0,(Inputs!$B$3-100)*3)+Inputs!$B$28+Inputs!$B$29)))</f>
        <v/>
      </c>
      <c r="E1109">
        <f>INDEX(FactorTable!$B$2:$Y$301, MATCH(ROUND(MIN(300,MAX(1,D1109)),0), FactorTable!$A$2:$A$301,0), Skills!M26+1)</f>
        <v/>
      </c>
      <c r="F1109">
        <f>IF(Skills!N26=TRUE,(Skills!L26/10)*(E1109/1000),Skills!L26/10)+Skills!O26</f>
        <v/>
      </c>
      <c r="G1109">
        <f>Skills!G26*IF(Skills!H26&gt;0,INT(IF(Inputs!$B$38="pvp",MIN(Skills!I26,15),Skills!I26)/Skills!H26+0.000000001),1)</f>
        <v/>
      </c>
      <c r="H1109">
        <f>1-(1-Skills!J26/100)^Skills!K26</f>
        <v/>
      </c>
      <c r="I1109" t="inlineStr">
        <is>
          <t>1</t>
        </is>
      </c>
      <c r="J1109" t="inlineStr"/>
      <c r="K1109" t="inlineStr"/>
      <c r="L1109" t="inlineStr"/>
      <c r="M1109" t="inlineStr"/>
      <c r="N1109" t="inlineStr"/>
      <c r="O1109">
        <f>(1-Summary!$B$11)*T1109+Summary!$B$11*V1109</f>
        <v/>
      </c>
      <c r="P1109">
        <f>IF(B1124=0,0,O1109/B1124)</f>
        <v/>
      </c>
      <c r="Q1109" t="n">
        <v>0</v>
      </c>
      <c r="R1109" t="n">
        <v>0</v>
      </c>
      <c r="S1109">
        <f>IFERROR(O1109/N1109,0)</f>
        <v/>
      </c>
      <c r="T1109" t="n">
        <v>0</v>
      </c>
      <c r="V1109" t="n">
        <v>0</v>
      </c>
    </row>
    <row r="1110">
      <c r="A1110">
        <f>Skills!A27</f>
        <v/>
      </c>
      <c r="B1110">
        <f>Skills!B27</f>
        <v/>
      </c>
      <c r="C1110">
        <f>Inputs!$B$3&gt;=125</f>
        <v/>
      </c>
      <c r="D1110">
        <f>IF(Skills!C27=1,60+Inputs!$B$25+Inputs!$B$29,IF(Skills!C27=2,90+Inputs!$B$26+Inputs!$B$29,IF(Skills!C27=3,120+Inputs!$B$27+Inputs!$B$29,MAX(0,(Inputs!$B$3-100)*3)+Inputs!$B$28+Inputs!$B$29)))</f>
        <v/>
      </c>
      <c r="E1110">
        <f>INDEX(FactorTable!$B$2:$Y$301, MATCH(ROUND(MIN(300,MAX(1,D1110)),0), FactorTable!$A$2:$A$301,0), Skills!M27+1)</f>
        <v/>
      </c>
      <c r="F1110">
        <f>IF(Skills!N27=TRUE,(Skills!L27/10)*(E1110/1000),Skills!L27/10)+Skills!O27</f>
        <v/>
      </c>
      <c r="G1110">
        <f>Skills!G27*IF(Skills!H27&gt;0,INT(IF(Inputs!$B$38="pvp",MIN(Skills!I27,15),Skills!I27)/Skills!H27+0.000000001),1)</f>
        <v/>
      </c>
      <c r="H1110">
        <f>1-(1-Skills!J27/100)^Skills!K27</f>
        <v/>
      </c>
      <c r="I1110" t="inlineStr">
        <is>
          <t>1</t>
        </is>
      </c>
      <c r="J1110" t="inlineStr"/>
      <c r="K1110" t="inlineStr"/>
      <c r="L1110" t="inlineStr"/>
      <c r="M1110" t="inlineStr"/>
      <c r="N1110" t="inlineStr"/>
      <c r="O1110">
        <f>(1-Summary!$B$11)*T1110+Summary!$B$11*V1110</f>
        <v/>
      </c>
      <c r="P1110">
        <f>IF(B1124=0,0,O1110/B1124)</f>
        <v/>
      </c>
      <c r="Q1110" t="n">
        <v>0</v>
      </c>
      <c r="R1110" t="n">
        <v>0</v>
      </c>
      <c r="S1110">
        <f>IFERROR(O1110/N1110,0)</f>
        <v/>
      </c>
      <c r="T1110" t="n">
        <v>0</v>
      </c>
      <c r="V1110" t="n">
        <v>0</v>
      </c>
    </row>
    <row r="1111">
      <c r="A1111">
        <f>Skills!A28</f>
        <v/>
      </c>
      <c r="B1111">
        <f>Skills!B28</f>
        <v/>
      </c>
      <c r="C1111">
        <f>TRUE</f>
        <v/>
      </c>
      <c r="D1111">
        <f>IF(Skills!C28=1,60+Inputs!$B$25+Inputs!$B$29,IF(Skills!C28=2,90+Inputs!$B$26+Inputs!$B$29,IF(Skills!C28=3,120+Inputs!$B$27+Inputs!$B$29,MAX(0,(Inputs!$B$3-100)*3)+Inputs!$B$28+Inputs!$B$29)))</f>
        <v/>
      </c>
      <c r="E1111">
        <f>INDEX(FactorTable!$B$2:$Y$301, MATCH(ROUND(MIN(300,MAX(1,D1111)),0), FactorTable!$A$2:$A$301,0), Skills!M28+1)</f>
        <v/>
      </c>
      <c r="F1111">
        <f>IF(Skills!N28=TRUE,(Skills!L28/10)*(E1111/1000),Skills!L28/10)+Skills!O28</f>
        <v/>
      </c>
      <c r="G1111">
        <f>Skills!G28*IF(Skills!H28&gt;0,INT(IF(Inputs!$B$38="pvp",MIN(Skills!I28,15),Skills!I28)/Skills!H28+0.000000001),1)</f>
        <v/>
      </c>
      <c r="H1111">
        <f>1-(1-Skills!J28/100)^Skills!K28</f>
        <v/>
      </c>
      <c r="I1111" t="inlineStr">
        <is>
          <t>1</t>
        </is>
      </c>
      <c r="J1111" t="inlineStr"/>
      <c r="K1111" t="inlineStr"/>
      <c r="L1111" t="inlineStr"/>
      <c r="M1111" t="inlineStr"/>
      <c r="N1111" t="inlineStr"/>
      <c r="O1111">
        <f>(1-Summary!$B$11)*T1111+Summary!$B$11*V1111</f>
        <v/>
      </c>
      <c r="P1111">
        <f>IF(B1124=0,0,O1111/B1124)</f>
        <v/>
      </c>
      <c r="Q1111">
        <f>IFERROR(1/(IF(Inputs!$B$38="pvp",15,MAX(0.1,Skills!D28-IF(TRUE=TRUE,Inputs!$B$32,0)))*(1-IF(AND(ArtifactsInput!$M$27,Inputs!$B$4="Chapter Hunt"),CHOOSE(ArtifactsInput!$N$27+1,20,24,28,32,36,40),0)/100)),0)</f>
        <v/>
      </c>
      <c r="R1111">
        <f>IF(AND(Inputs!$B$38&lt;&gt;"pvp",Inputs!$B$43&gt;0),IF(Inputs!$B$43&lt;=0,0,(INT(Inputs!$B$43/(IF(Inputs!$B$38="pvp",15,MAX(0.1,Skills!D28-IF(TRUE=TRUE,Inputs!$B$32,0)))*(1-IF(AND(ArtifactsInput!$M$27,Inputs!$B$4="Chapter Hunt"),CHOOSE(ArtifactsInput!$N$27+1,20,24,28,32,36,40),0)/100)))+1)),0)</f>
        <v/>
      </c>
      <c r="S1111">
        <f>IFERROR(O1111/N1111,0)</f>
        <v/>
      </c>
      <c r="T1111" t="n">
        <v>0</v>
      </c>
      <c r="V1111" t="n">
        <v>0</v>
      </c>
    </row>
    <row r="1113">
      <c r="A1113" t="inlineStr">
        <is>
          <t>Attack% Bucket Multiplier</t>
        </is>
      </c>
      <c r="B1113">
        <f>(1+(((C1100=TRUE)*F1100*5/7)+((C1107=TRUE)*(F1107-Calc!F24))+(IF(ArtifactsInput!$M$21,CHOOSE(ArtifactsInput!$N$21+1,25,30,35,40,45,50)*(IF(OR(Inputs!$B$4="Chapter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114">
      <c r="A1114" t="inlineStr">
        <is>
          <t>Global Crit Rate Bonus %</t>
        </is>
      </c>
      <c r="B1114" t="n">
        <v>0</v>
      </c>
    </row>
    <row r="1115">
      <c r="A1115" t="inlineStr">
        <is>
          <t>Attack Speed Buff Bonus % (Nimble Feet, duty-cycle averaged)</t>
        </is>
      </c>
      <c r="B1115">
        <f>((C1111=TRUE)*F1111*IF(AND(Inputs!$B$38&lt;&gt;"pvp",Inputs!$B$43&gt;0),(((R1111-1)*MIN((Skills!T28*(1+Inputs!$B$34/100)),(1/Q1111))+MIN((Skills!T28*(1+Inputs!$B$34/100)),MAX(0,Inputs!$B$43-((R1111-1)*(1/Q1111)))))/Inputs!$B$43),IF(Inputs!$B$38="pvp",MIN((Skills!T28*(1+Inputs!$B$34/100)),15)/15,MIN(1,(Skills!T28*(1+Inputs!$B$34/100))/(1/Q1111)))))</f>
        <v/>
      </c>
    </row>
    <row r="1116">
      <c r="A1116" t="inlineStr">
        <is>
          <t>Actions Per Second</t>
        </is>
      </c>
      <c r="B1116">
        <f>1+MIN(150,150*(1-(1-(Inputs!$B$11+((C1103=TRUE)*(F1103-Calc!F20))+((C1104=TRUE)*(F1104-Calc!F21)))/150)*(1-B1115/150)))/100</f>
        <v/>
      </c>
    </row>
    <row r="1117">
      <c r="A1117" t="inlineStr">
        <is>
          <t>Skill + Buff Cast Rate</t>
        </is>
      </c>
      <c r="B1117">
        <f>IF(AND(Inputs!$B$38&lt;&gt;"pvp",Inputs!$B$43&gt;0),SUMPRODUCT((Skills!E2:E28=TRUE)*(C1085:C1111=TRUE)*R1085:R1111*Skills!F2:F28)/Inputs!$B$43,SUMPRODUCT((Skills!E2:E28=TRUE)*(C1085:C1111=TRUE)*Q1085:Q1111*Skills!F2:F28))</f>
        <v/>
      </c>
    </row>
    <row r="1118">
      <c r="A1118" t="inlineStr">
        <is>
          <t>Eight-Legs Easton Casts Per Second</t>
        </is>
      </c>
      <c r="B1118">
        <f>MAX(0,B1116-B1117)</f>
        <v/>
      </c>
    </row>
    <row r="1119">
      <c r="A1119" t="inlineStr">
        <is>
          <t>Global Critical Damage Bonus % (unused)</t>
        </is>
      </c>
      <c r="B1119" t="n">
        <v>0</v>
      </c>
    </row>
    <row r="1120">
      <c r="A1120" t="inlineStr">
        <is>
          <t>Global Final Damage Bonus % (Jolly Roger + Ahoy Mateys - Final Damage proc)</t>
        </is>
      </c>
      <c r="B1120">
        <f>((C1101=TRUE)*F1101*IF(AND(Inputs!$B$38&lt;&gt;"pvp",Inputs!$B$43&gt;0),(((R1101-1)*MIN((Skills!T18*(1+Inputs!$B$34/100)),(1/Q1101))+MIN((Skills!T18*(1+Inputs!$B$34/100)),MAX(0,Inputs!$B$43-((R1101-1)*(1/Q1101)))))/Inputs!$B$43),IF(Inputs!$B$38="pvp",MIN((Skills!T18*(1+Inputs!$B$34/100)),15)/15,MIN(1,(Skills!T18*(1+Inputs!$B$34/100))/(1/Q1101)))))+IF(Inputs!$B$3&gt;=122,20*IF(Inputs!$B$38="pvp",MIN((20*(1+Inputs!$B$34/100)),15)/15,MIN(1,(20*(1+Inputs!$B$34/100))/(1/Q1087))),0)</f>
        <v/>
      </c>
    </row>
    <row r="1121">
      <c r="A1121" t="inlineStr">
        <is>
          <t>Buff-Casting Startup Delay (s, fixed-duration only)</t>
        </is>
      </c>
      <c r="B1121">
        <f>IF(AND(Inputs!$B$38&lt;&gt;"pvp",Inputs!$B$43&gt;0),SUMPRODUCT((Skills!T2:T28&gt;0)*(Skills!E2:E28=TRUE)*(C1085:C1111=TRUE))/B1116,0)</f>
        <v/>
      </c>
    </row>
    <row r="1122">
      <c r="A1122" t="inlineStr">
        <is>
          <t>Boss-Only Total DPS (this block's swept value)</t>
        </is>
      </c>
      <c r="B1122">
        <f>SUM(T1085:T1111)</f>
        <v/>
      </c>
    </row>
    <row r="1123">
      <c r="A1123" t="inlineStr">
        <is>
          <t>Normal-Only Total DPS (this block's swept value)</t>
        </is>
      </c>
      <c r="B1123">
        <f>SUM(V1085:V1111)</f>
        <v/>
      </c>
    </row>
    <row r="1124">
      <c r="A1124" s="6" t="inlineStr">
        <is>
          <t>TOTAL DPS</t>
        </is>
      </c>
      <c r="B1124" s="6">
        <f>SUM(O1085:O1111)</f>
        <v/>
      </c>
    </row>
    <row r="1125">
      <c r="A1125" t="inlineStr">
        <is>
          <t>Quickdraw cooldown divisor (this block's own APS / Q)</t>
        </is>
      </c>
      <c r="B1125">
        <f>IF(AND(C1110=TRUE,Inputs!$B$38&lt;&gt;"pvp"),1+0.25*MAX(0,(B1116-(((C1086=TRUE)*Q1086*1)+((C1087=TRUE)*Q1087*1)+((C1089=TRUE)*Q1089*1)+((C1090=TRUE)*Q1090*1)+((C1092=TRUE)*Q1092*1)+((C1095=TRUE)*Q1095*1)+((C1101=TRUE)*Q1101*1)+((C1111=TRUE)*Q1111*1))-((C1091=TRUE)/(IF(Inputs!$B$38="pvp",15,MAX(0.1,Skills!D8-IF(TRUE=TRUE,Inputs!$B$32,0)))*(1-IF(AND(ArtifactsInput!$M$27,Inputs!$B$4="Chapter Hunt"),CHOOSE(ArtifactsInput!$N$27+1,20,24,28,32,36,40),0)/100))+(C1094=TRUE)/(IF(Inputs!$B$38="pvp",15,MAX(0.1,Skills!D11-IF(TRUE=TRUE,Inputs!$B$32,0)))*(1-IF(AND(ArtifactsInput!$M$27,Inputs!$B$4="Chapter Hunt"),CHOOSE(ArtifactsInput!$N$27+1,20,24,28,32,36,40),0)/100))))/(1+0.25*((C1091=TRUE)/(IF(Inputs!$B$38="pvp",15,MAX(0.1,Skills!D8-IF(TRUE=TRUE,Inputs!$B$32,0)))*(1-IF(AND(ArtifactsInput!$M$27,Inputs!$B$4="Chapter Hunt"),CHOOSE(ArtifactsInput!$N$27+1,20,24,28,32,36,40),0)/100))+(C1094=TRUE)/(IF(Inputs!$B$38="pvp",15,MAX(0.1,Skills!D11-IF(TRUE=TRUE,Inputs!$B$32,0)))*(1-IF(AND(ArtifactsInput!$M$27,Inputs!$B$4="Chapter Hunt"),CHOOSE(ArtifactsInput!$N$27+1,20,24,28,32,36,40),0)/100))))),1)</f>
        <v/>
      </c>
    </row>
    <row r="1126">
      <c r="A1126" t="inlineStr">
        <is>
          <t>Nautilus Strike - Final Attack trigger rate (this block's own Q/R)</t>
        </is>
      </c>
      <c r="B1126">
        <f>IF(AND(Inputs!$B$38&lt;&gt;"pvp",Inputs!$B$43&gt;0),(((C1086=TRUE)*R1086)+((C1089=TRUE)*R1089)+((C1091=TRUE)*R1091)+((C1092=TRUE)*R1092)+((C1094=TRUE)*R1094))/Inputs!$B$43,((C1086=TRUE)*Q1086)+((C1089=TRUE)*Q1089)+((C1091=TRUE)*Q1091)+((C1092=TRUE)*Q1092)+((C1094=TRUE)*Q1094))+B1118</f>
        <v/>
      </c>
    </row>
    <row r="1129">
      <c r="A1129" s="6" t="inlineStr">
        <is>
          <t>Stat: Skill Cooldown Decrease (seconds)</t>
        </is>
      </c>
    </row>
    <row r="1130">
      <c r="A1130" s="5" t="inlineStr">
        <is>
          <t>Key</t>
        </is>
      </c>
      <c r="B1130" s="5" t="inlineStr">
        <is>
          <t>Name</t>
        </is>
      </c>
      <c r="C1130" s="5" t="inlineStr">
        <is>
          <t>Unlocked</t>
        </is>
      </c>
      <c r="D1130" s="5" t="inlineStr">
        <is>
          <t>InputLevel</t>
        </is>
      </c>
      <c r="E1130" s="5" t="inlineStr">
        <is>
          <t>Factor</t>
        </is>
      </c>
      <c r="F1130" s="5" t="inlineStr">
        <is>
          <t>CoefficientPercent</t>
        </is>
      </c>
      <c r="G1130" s="5" t="inlineStr">
        <is>
          <t>EffectiveHits</t>
        </is>
      </c>
      <c r="H1130" s="5" t="inlineStr">
        <is>
          <t>ProcProbability</t>
        </is>
      </c>
      <c r="I1130" s="5" t="inlineStr">
        <is>
          <t>MapleHeroMultiplier</t>
        </is>
      </c>
      <c r="J1130" s="5" t="inlineStr">
        <is>
          <t>BaseDamage</t>
        </is>
      </c>
      <c r="K1130" s="5" t="inlineStr">
        <is>
          <t>BaseHitDamage</t>
        </is>
      </c>
      <c r="L1130" s="5" t="inlineStr">
        <is>
          <t>NonCritAvg</t>
        </is>
      </c>
      <c r="M1130" s="5" t="inlineStr">
        <is>
          <t>CritAvg</t>
        </is>
      </c>
      <c r="N1130" s="5" t="inlineStr">
        <is>
          <t>ExpectedDamage(perHit)</t>
        </is>
      </c>
      <c r="O1130" s="5" t="inlineStr">
        <is>
          <t>DPS</t>
        </is>
      </c>
      <c r="P1130" s="5" t="inlineStr">
        <is>
          <t>% of Total</t>
        </is>
      </c>
      <c r="Q1130" s="5" t="inlineStr">
        <is>
          <t>InvCooldown</t>
        </is>
      </c>
      <c r="R1130" s="5" t="inlineStr">
        <is>
          <t>CastsInFight</t>
        </is>
      </c>
      <c r="S1130" s="5" t="inlineStr">
        <is>
          <t>HitRate(perSec)</t>
        </is>
      </c>
      <c r="U1130" t="inlineStr">
        <is>
          <t>helpers</t>
        </is>
      </c>
    </row>
    <row r="1131">
      <c r="A1131">
        <f>Skills!A2</f>
        <v/>
      </c>
      <c r="B1131">
        <f>Skills!B2</f>
        <v/>
      </c>
      <c r="C1131">
        <f>Inputs!$B$3&gt;=100</f>
        <v/>
      </c>
      <c r="D1131" t="inlineStr"/>
      <c r="E1131" t="inlineStr"/>
      <c r="F1131">
        <f>U1133+Skills!O2</f>
        <v/>
      </c>
      <c r="G1131">
        <f>Skills!G2*IF(Skills!H2&gt;0,INT(IF(Inputs!$B$38="pvp",MIN(Skills!I2,15),Skills!I2)/Skills!H2+0.000000001),1)</f>
        <v/>
      </c>
      <c r="H1131">
        <f>1-(1-Skills!J2/100)^Skills!K2</f>
        <v/>
      </c>
      <c r="I1131" t="inlineStr">
        <is>
          <t>1</t>
        </is>
      </c>
      <c r="J1131">
        <f>((Inputs!$B$6*(1+Inputs!$B$7/100))+(((Inputs!$B$12*(1+Inputs!$B$13/100))-(Inputs!$B$12*(1+Inputs!$B$13/100)))+0.25*(Inputs!$B$14-Inputs!$B$14))*(1+Inputs!$B$7/100))*(F1131/100)</f>
        <v/>
      </c>
      <c r="K1131">
        <f>J1131*(1+((Inputs!$B$12*(1+Inputs!$B$13/100))*0.01+Inputs!$B$14*0.0025)/100)*(1+Inputs!$B$15/100)*(1+Inputs!$B$16/100)*(5000/(6000+Inputs!$B$42*(1-(100*(1-(1-(Inputs!$B$19+0)/100)*(1-CHOOSE(ArtifactsInput!$N$40+1,5,6,7,8,9,10)/100)^(ArtifactsInput!$M$40-ArtifactsInput!$M$40)))/100)))*(1+(Inputs!$B$24+((C1155=TRUE)*(F1155-Calc!F26))+B1166)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IGHT_LEGS_EASTON",Inputs!$B$17+((C1152=TRUE)*(F1152-Calc!F23))+((C1156=TRUE)*(F1156-Calc!F27))+((IF(AND(Inputs!$B$38&lt;&gt;"pvp",Inputs!$B$43=0),1,IF(IF(Inputs!$B$38="pvp",15,Inputs!$B$43)-(B1167)&lt;=0,1,MAX(0,IF(Inputs!$B$38="pvp",15,Inputs!$B$43)-MAX(5,B1167))/(IF(Inputs!$B$38="pvp",15,Inputs!$B$43)-(B1167))))*(IF(AND(ArtifactsInput!$M$42,((Inputs!$B$9+((C1148=TRUE)*(F1148-Calc!F19))+B1160+(ArtifactsInput!$M$24-ArtifactsInput!$M$24)*CHOOSE(ArtifactsInput!$N$24+1,10,12,14,16,18,20)+IF(ArtifactsInput!$M$10,CHOOSE(ArtifactsInput!$N$10+1,15,18,21,24,27,30)*(IF(Inputs!$B$38="pvp",MIN(15,15)/15,IF(AND(Inputs!$B$38&lt;&gt;"pvp",Inputs!$B$43&gt;0),MIN(15,Inputs!$B$43)/(Inputs!$B$43),0))),0)))&gt;=100),MIN(100,((Inputs!$B$9+((C1148=TRUE)*(F1148-Calc!F19))+B1160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1167)&lt;=0,1,MAX(0,IF(Inputs!$B$38="pvp",15,Inputs!$B$43)-MAX(5,B1167))/(IF(Inputs!$B$38="pvp",15,Inputs!$B$43)-(B1167))))*IF(AND(ArtifactsInput!$M$42,((Inputs!$B$9+((C1148=TRUE)*(F1148-Calc!F19))+B1160+(ArtifactsInput!$M$24-ArtifactsInput!$M$24)*CHOOSE(ArtifactsInput!$N$24+1,10,12,14,16,18,20)+IF(ArtifactsInput!$M$10,CHOOSE(ArtifactsInput!$N$10+1,15,18,21,24,27,30)*(IF(Inputs!$B$38="pvp",MIN(15,15)/15,IF(AND(Inputs!$B$38&lt;&gt;"pvp",Inputs!$B$43&gt;0),MIN(15,Inputs!$B$43)/(Inputs!$B$43),0))),0)))&gt;=100),CHOOSE(ArtifactsInput!$N$42+1,40,48,56,64,72,80),0))))/100)*((1+(((C1146=TRUE)*F1146*5/7)+((C1153=TRUE)*(F1153-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1131)</f>
        <v/>
      </c>
      <c r="L1131">
        <f>K1131*(MIN(Inputs!$B$22+((C1151=TRUE)*(F1151-Calc!F22)),(Inputs!$B$23+0+(IF(ArtifactsInput!$M$15,CHOOSE(ArtifactsInput!$N$15+1,25,30,35,40,45,50)/100*(Inputs!$B$11-Inputs!$B$11),0))))/100+(Inputs!$B$23+0+(IF(ArtifactsInput!$M$15,CHOOSE(ArtifactsInput!$N$15+1,25,30,35,40,45,50)/100*(Inputs!$B$11-Inputs!$B$11),0)))/100)/2</f>
        <v/>
      </c>
      <c r="M1131">
        <f>L1131*(1+(Inputs!$B$10+((C1154=TRUE)*(F1154-Calc!F25))+B1165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31">
        <f>L1131*(1-MIN((Inputs!$B$9+((C1148=TRUE)*(F1148-Calc!F19))+B1160+(ArtifactsInput!$M$24-ArtifactsInput!$M$24)*CHOOSE(ArtifactsInput!$N$24+1,10,12,14,16,18,20)+(IF(AND(Inputs!$B$38&lt;&gt;"pvp",Inputs!$B$43=0),1,IF(IF(Inputs!$B$38="pvp",15,Inputs!$B$43)-(B1167)&lt;=0,1,MAX(0,IF(Inputs!$B$38="pvp",15,Inputs!$B$43)-MAX(5,B1167))/(IF(Inputs!$B$38="pvp",15,Inputs!$B$43)-(B1167))))*IF(AND(ArtifactsInput!$M$42,((Inputs!$B$9+((C1148=TRUE)*(F1148-Calc!F19))+B1160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1131*(MIN((Inputs!$B$9+((C1148=TRUE)*(F1148-Calc!F19))+B1160+(ArtifactsInput!$M$24-ArtifactsInput!$M$24)*CHOOSE(ArtifactsInput!$N$24+1,10,12,14,16,18,20)+(IF(AND(Inputs!$B$38&lt;&gt;"pvp",Inputs!$B$43=0),1,IF(IF(Inputs!$B$38="pvp",15,Inputs!$B$43)-(B1167)&lt;=0,1,MAX(0,IF(Inputs!$B$38="pvp",15,Inputs!$B$43)-MAX(5,B1167))/(IF(Inputs!$B$38="pvp",15,Inputs!$B$43)-(B1167))))*IF(AND(ArtifactsInput!$M$42,((Inputs!$B$9+((C1148=TRUE)*(F1148-Calc!F19))+B1160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31">
        <f>(1-Summary!$B$11)*T1131+Summary!$B$11*V1131</f>
        <v/>
      </c>
      <c r="P1131">
        <f>IF(B1170=0,0,O1131/B1170)</f>
        <v/>
      </c>
      <c r="Q1131" t="n">
        <v>0</v>
      </c>
      <c r="R1131" t="n">
        <v>0</v>
      </c>
      <c r="S1131">
        <f>IFERROR(O1131/N1131,0)</f>
        <v/>
      </c>
      <c r="T1131">
        <f>IF(C1131,(Skills!G2*N1131*B1164*(1+IF(C1156=TRUE,1/3,0)))*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Hunt"),CHOOSE(ArtifactsInput!$N$35+1,15,18,21,24,27,30)*(1-EXP(-(0.2*B1162)*5)),0)+IF(AND(ArtifactsInput!$M$22,Inputs!$B$4&lt;&gt;"Chapter Hunt"),CHOOSE(ArtifactsInput!$N$22+1,10,12,14,16,18,20)*((0*(((0.15*B1162*5))^0/1)+1*(((0.15*B1162*5))^1/1)+2*(((0.15*B1162*5))^2/2)+3*(((0.15*B1162*5))^3/6)+4*(((0.15*B1162*5))^4/24)+5*(((0.15*B1162*5))^5/120))/((((0.15*B1162*5))^0/1)+(((0.15*B1162*5))^1/1)+(((0.15*B1162*5))^2/2)+(((0.15*B1162*5))^3/6)+(((0.15*B1162*5))^4/24)+(((0.15*B1162*5))^5/120))),0))+IF(Inputs!$B$3&gt;=54,9*(C1132=TRUE)*MIN(1,8*(1+Inputs!$B$34/100)*Q1132)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1131*(1-MIN(100,(Inputs!$B$9+((C1148=TRUE)*(F1148-Calc!F19))+B1160+(ArtifactsInput!$M$24-ArtifactsInput!$M$24)*CHOOSE(ArtifactsInput!$N$24+1,10,12,14,16,18,20)+(IF(AND(Inputs!$B$38&lt;&gt;"pvp",Inputs!$B$43=0),1,IF(IF(Inputs!$B$38="pvp",15,Inputs!$B$43)-(B1167)&lt;=0,1,MAX(0,IF(Inputs!$B$38="pvp",15,Inputs!$B$43)-MAX(5,B1167))/(IF(Inputs!$B$38="pvp",15,Inputs!$B$43)-(B1167))))*IF(AND(ArtifactsInput!$M$42,((Inputs!$B$9+((C1148=TRUE)*(F1148-Calc!F19))+B1160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1131*(MIN(100,(Inputs!$B$9+((C1148=TRUE)*(F1148-Calc!F19))+B1160+(ArtifactsInput!$M$24-ArtifactsInput!$M$24)*CHOOSE(ArtifactsInput!$N$24+1,10,12,14,16,18,20)+(IF(AND(Inputs!$B$38&lt;&gt;"pvp",Inputs!$B$43=0),1,IF(IF(Inputs!$B$38="pvp",15,Inputs!$B$43)-(B1167)&lt;=0,1,MAX(0,IF(Inputs!$B$38="pvp",15,Inputs!$B$43)-MAX(5,B1167))/(IF(Inputs!$B$38="pvp",15,Inputs!$B$43)-(B1167))))*IF(AND(ArtifactsInput!$M$42,((Inputs!$B$9+((C1148=TRUE)*(F1148-Calc!F19))+B1160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1131*(1-MIN(100,(Inputs!$B$9+((C1148=TRUE)*(F1148-Calc!F19))+B1160+(ArtifactsInput!$M$24-ArtifactsInput!$M$24)*CHOOSE(ArtifactsInput!$N$24+1,10,12,14,16,18,20)+(IF(AND(Inputs!$B$38&lt;&gt;"pvp",Inputs!$B$43=0),1,IF(IF(Inputs!$B$38="pvp",15,Inputs!$B$43)-(B1167)&lt;=0,1,MAX(0,IF(Inputs!$B$38="pvp",15,Inputs!$B$43)-MAX(5,B1167))/(IF(Inputs!$B$38="pvp",15,Inputs!$B$43)-(B1167))))*IF(AND(ArtifactsInput!$M$42,((Inputs!$B$9+((C1148=TRUE)*(F1148-Calc!F19))+B1160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1131*(MIN(100,(Inputs!$B$9+((C1148=TRUE)*(F1148-Calc!F19))+B1160+(ArtifactsInput!$M$24-ArtifactsInput!$M$24)*CHOOSE(ArtifactsInput!$N$24+1,10,12,14,16,18,20)+(IF(AND(Inputs!$B$38&lt;&gt;"pvp",Inputs!$B$43=0),1,IF(IF(Inputs!$B$38="pvp",15,Inputs!$B$43)-(B1167)&lt;=0,1,MAX(0,IF(Inputs!$B$38="pvp",15,Inputs!$B$43)-MAX(5,B1167))/(IF(Inputs!$B$38="pvp",15,Inputs!$B$43)-(B1167))))*IF(AND(ArtifactsInput!$M$42,((Inputs!$B$9+((C1148=TRUE)*(F1148-Calc!F19))+B1160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131">
        <f>MAX(0,(Inputs!$B$3-100)*3)+Inputs!$B$28+Inputs!$B$29</f>
        <v/>
      </c>
      <c r="V1131">
        <f>IF(C1131,(Skills!G2*N1131*B1164*(1+IF(C1156=TRUE,1/3,0)))*IF(Inputs!$B$38="pvp",1,(1+(Inputs!$B$21+Skills!Q2+(IF(ArtifactsInput!$M$33,CHOOSE(ArtifactsInput!$N$33+1,30,36,42,48,54,60),0))+(IF(AND(ArtifactsInput!$M$35,Inputs!$B$4&lt;&gt;"Chapter Hunt"),CHOOSE(ArtifactsInput!$N$35+1,15,18,21,24,27,30)*(1-EXP(-(0.2*B1162)*5)),0)+IF(AND(ArtifactsInput!$M$22,Inputs!$B$4&lt;&gt;"Chapter Hunt"),CHOOSE(ArtifactsInput!$N$22+1,10,12,14,16,18,20)*((0*(((0.15*B1162*5))^0/1)+1*(((0.15*B1162*5))^1/1)+2*(((0.15*B1162*5))^2/2)+3*(((0.15*B1162*5))^3/6)+4*(((0.15*B1162*5))^4/24)+5*(((0.15*B1162*5))^5/120))/((((0.15*B1162*5))^0/1)+(((0.15*B1162*5))^1/1)+(((0.15*B1162*5))^2/2)+(((0.15*B1162*5))^3/6)+(((0.15*B1162*5))^4/24)+(((0.15*B1162*5))^5/120))),0))+IF(Inputs!$B$3&gt;=54,9*(C1132=TRUE)*MIN(1,8*(1+Inputs!$B$34/100)*Q1132),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32">
      <c r="A1132">
        <f>Skills!A3</f>
        <v/>
      </c>
      <c r="B1132">
        <f>Skills!B3</f>
        <v/>
      </c>
      <c r="C1132">
        <f>Inputs!$B$3&gt;=33</f>
        <v/>
      </c>
      <c r="D1132">
        <f>IF(Skills!C3=1,60+Inputs!$B$25+Inputs!$B$29,IF(Skills!C3=2,90+Inputs!$B$26+Inputs!$B$29,IF(Skills!C3=3,120+Inputs!$B$27+Inputs!$B$29,MAX(0,(Inputs!$B$3-100)*3)+Inputs!$B$28+Inputs!$B$29)))</f>
        <v/>
      </c>
      <c r="E1132">
        <f>INDEX(FactorTable!$B$2:$Y$301, MATCH(ROUND(MIN(300,MAX(1,D1132)),0), FactorTable!$A$2:$A$301,0), Skills!M3+1)</f>
        <v/>
      </c>
      <c r="F1132">
        <f>IF(Skills!N3=TRUE,(Skills!L3/10)*(E1132/1000),Skills!L3/10)+Skills!O3</f>
        <v/>
      </c>
      <c r="G1132">
        <f>Skills!G3*IF(Skills!H3&gt;0,INT(IF(Inputs!$B$38="pvp",MIN(Skills!I3,15),Skills!I3)/Skills!H3+0.000000001),1)</f>
        <v/>
      </c>
      <c r="H1132">
        <f>1-(1-Skills!J3/100)^Skills!K3</f>
        <v/>
      </c>
      <c r="I1132" t="inlineStr">
        <is>
          <t>1</t>
        </is>
      </c>
      <c r="J1132">
        <f>((Inputs!$B$6*(1+Inputs!$B$7/100))+(((Inputs!$B$12*(1+Inputs!$B$13/100))-(Inputs!$B$12*(1+Inputs!$B$13/100)))+0.25*(Inputs!$B$14-Inputs!$B$14))*(1+Inputs!$B$7/100))*(F1132/100)</f>
        <v/>
      </c>
      <c r="K1132">
        <f>J1132*(1+((Inputs!$B$12*(1+Inputs!$B$13/100))*0.01+Inputs!$B$14*0.0025)/100)*(1+Inputs!$B$15/100)*(1+Inputs!$B$16/100)*(5000/(6000+Inputs!$B$42*(1-(100*(1-(1-(Inputs!$B$19+0)/100)*(1-CHOOSE(ArtifactsInput!$N$40+1,5,6,7,8,9,10)/100)^(ArtifactsInput!$M$40-ArtifactsInput!$M$40)))/100)))*(1+(Inputs!$B$24+((C1155=TRUE)*(F1155-Calc!F26))+B1166)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1144=TRUE,F1144,0)/100)*(1+(IF(Skills!A3="EIGHT_LEGS_EASTON",Inputs!$B$17+((C1152=TRUE)*(F1152-Calc!F23))+((C1156=TRUE)*(F1156-Calc!F27))+((IF(AND(Inputs!$B$38&lt;&gt;"pvp",Inputs!$B$43=0),1,IF(IF(Inputs!$B$38="pvp",15,Inputs!$B$43)-(B1167)&lt;=0,1,MAX(0,IF(Inputs!$B$38="pvp",15,Inputs!$B$43)-MAX(5,B1167))/(IF(Inputs!$B$38="pvp",15,Inputs!$B$43)-(B1167))))*(IF(AND(ArtifactsInput!$M$42,((Inputs!$B$9+((C1148=TRUE)*(F1148-Calc!F19))+B1160+(ArtifactsInput!$M$24-ArtifactsInput!$M$24)*CHOOSE(ArtifactsInput!$N$24+1,10,12,14,16,18,20)+IF(ArtifactsInput!$M$10,CHOOSE(ArtifactsInput!$N$10+1,15,18,21,24,27,30)*(IF(Inputs!$B$38="pvp",MIN(15,15)/15,IF(AND(Inputs!$B$38&lt;&gt;"pvp",Inputs!$B$43&gt;0),MIN(15,Inputs!$B$43)/(Inputs!$B$43),0))),0)))&gt;=100),MIN(100,((Inputs!$B$9+((C1148=TRUE)*(F1148-Calc!F19))+B1160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1167)&lt;=0,1,MAX(0,IF(Inputs!$B$38="pvp",15,Inputs!$B$43)-MAX(5,B1167))/(IF(Inputs!$B$38="pvp",15,Inputs!$B$43)-(B1167))))*IF(AND(ArtifactsInput!$M$42,((Inputs!$B$9+((C1148=TRUE)*(F1148-Calc!F19))+B1160+(ArtifactsInput!$M$24-ArtifactsInput!$M$24)*CHOOSE(ArtifactsInput!$N$24+1,10,12,14,16,18,20)+IF(ArtifactsInput!$M$10,CHOOSE(ArtifactsInput!$N$10+1,15,18,21,24,27,30)*(IF(Inputs!$B$38="pvp",MIN(15,15)/15,IF(AND(Inputs!$B$38&lt;&gt;"pvp",Inputs!$B$43&gt;0),MIN(15,Inputs!$B$43)/(Inputs!$B$43),0))),0)))&gt;=100),CHOOSE(ArtifactsInput!$N$42+1,40,48,56,64,72,80),0))))/100)*((1+(((C1146=TRUE)*F1146*5/7)+((C1153=TRUE)*(F1153-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1132)</f>
        <v/>
      </c>
      <c r="L1132">
        <f>K1132*(MIN(Inputs!$B$22+((C1151=TRUE)*(F1151-Calc!F22)),(Inputs!$B$23+0+(IF(ArtifactsInput!$M$15,CHOOSE(ArtifactsInput!$N$15+1,25,30,35,40,45,50)/100*(Inputs!$B$11-Inputs!$B$11),0))))/100+(Inputs!$B$23+0+(IF(ArtifactsInput!$M$15,CHOOSE(ArtifactsInput!$N$15+1,25,30,35,40,45,50)/100*(Inputs!$B$11-Inputs!$B$11),0)))/100)/2</f>
        <v/>
      </c>
      <c r="M1132">
        <f>L1132*(1+(Inputs!$B$10+((C1154=TRUE)*(F1154-Calc!F25))+B1165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32">
        <f>L1132*(1-MIN((Inputs!$B$9+((C1148=TRUE)*(F1148-Calc!F19))+B1160+(ArtifactsInput!$M$24-ArtifactsInput!$M$24)*CHOOSE(ArtifactsInput!$N$24+1,10,12,14,16,18,20)+(IF(AND(Inputs!$B$38&lt;&gt;"pvp",Inputs!$B$43=0),1,IF(IF(Inputs!$B$38="pvp",15,Inputs!$B$43)-(B1167)&lt;=0,1,MAX(0,IF(Inputs!$B$38="pvp",15,Inputs!$B$43)-MAX(5,B1167))/(IF(Inputs!$B$38="pvp",15,Inputs!$B$43)-(B1167))))*IF(AND(ArtifactsInput!$M$42,((Inputs!$B$9+((C1148=TRUE)*(F1148-Calc!F19))+B1160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1132*(MIN((Inputs!$B$9+((C1148=TRUE)*(F1148-Calc!F19))+B1160+(ArtifactsInput!$M$24-ArtifactsInput!$M$24)*CHOOSE(ArtifactsInput!$N$24+1,10,12,14,16,18,20)+(IF(AND(Inputs!$B$38&lt;&gt;"pvp",Inputs!$B$43=0),1,IF(IF(Inputs!$B$38="pvp",15,Inputs!$B$43)-(B1167)&lt;=0,1,MAX(0,IF(Inputs!$B$38="pvp",15,Inputs!$B$43)-MAX(5,B1167))/(IF(Inputs!$B$38="pvp",15,Inputs!$B$43)-(B1167))))*IF(AND(ArtifactsInput!$M$42,((Inputs!$B$9+((C1148=TRUE)*(F1148-Calc!F19))+B1160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32">
        <f>(1-Summary!$B$11)*T1132+Summary!$B$11*V1132</f>
        <v/>
      </c>
      <c r="P1132">
        <f>IF(B1170=0,0,O1132/B1170)</f>
        <v/>
      </c>
      <c r="Q1132">
        <f>IFERROR(1/(IF(Inputs!$B$38="pvp",15,MAX(0.1,Skills!D3-IF(TRUE=TRUE,(Inputs!$B$32+1),0)))*(1-IF(AND(ArtifactsInput!$M$27,Inputs!$B$4="Chapter Hunt"),CHOOSE(ArtifactsInput!$N$27+1,20,24,28,32,36,40),0)/100)),0)</f>
        <v/>
      </c>
      <c r="R1132">
        <f>IF(AND(Inputs!$B$38&lt;&gt;"pvp",Inputs!$B$43&gt;0),IF(MAX(0,Inputs!$B$43-B1167)&lt;=0,0,(INT(MAX(0,Inputs!$B$43-B1167)/(IF(Inputs!$B$38="pvp",15,MAX(0.1,Skills!D3-IF(TRUE=TRUE,(Inputs!$B$32+1),0)))*(1-IF(AND(ArtifactsInput!$M$27,Inputs!$B$4="Chapter Hunt"),CHOOSE(ArtifactsInput!$N$27+1,20,24,28,32,36,40),0)/100)))+1)),0)</f>
        <v/>
      </c>
      <c r="S1132">
        <f>IFERROR(O1132/N1132,0)</f>
        <v/>
      </c>
      <c r="T1132">
        <f>IF(C1132,(H1132*N1132*IF(AND(Inputs!$B$38&lt;&gt;"pvp",Inputs!$B$43&gt;0),((Skills!G3*((R1132-1)*IF(Skills!H3&gt;0,INT(Skills!I3/Skills!H3+0.000000001),1)+IF(Skills!H3&gt;0,INT(MIN(Skills!I3,MAX(0,MAX(0,Inputs!$B$43-B1167)-((R1132-1)*(IF(Inputs!$B$38="pvp",15,MAX(0.1,Skills!D3-IF(TRUE=TRUE,(Inputs!$B$32+1),0)))*(1-IF(AND(ArtifactsInput!$M$27,Inputs!$B$4="Chapter Hunt"),CHOOSE(ArtifactsInput!$N$27+1,20,24,28,32,36,40),0)/100)))))/Skills!H3+0.000000001),1)))/Inputs!$B$43),G1132*Q1132))*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Hunt"),CHOOSE(ArtifactsInput!$N$35+1,15,18,21,24,27,30)*(1-EXP(-(0.2*B1162)*5)),0)+IF(AND(ArtifactsInput!$M$22,Inputs!$B$4&lt;&gt;"Chapter Hunt"),CHOOSE(ArtifactsInput!$N$22+1,10,12,14,16,18,20)*((0*(((0.15*B1162*5))^0/1)+1*(((0.15*B1162*5))^1/1)+2*(((0.15*B1162*5))^2/2)+3*(((0.15*B1162*5))^3/6)+4*(((0.15*B1162*5))^4/24)+5*(((0.15*B1162*5))^5/120))/((((0.15*B1162*5))^0/1)+(((0.15*B1162*5))^1/1)+(((0.15*B1162*5))^2/2)+(((0.15*B1162*5))^3/6)+(((0.15*B1162*5))^4/24)+(((0.15*B1162*5))^5/120))),0))+IF(Inputs!$B$3&gt;=54,9*(C1132=TRUE)*MIN(1,8*(1+Inputs!$B$34/100)*Q1132)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1132*(1-MIN(100,(Inputs!$B$9+((C1148=TRUE)*(F1148-Calc!F19))+B1160+(ArtifactsInput!$M$24-ArtifactsInput!$M$24)*CHOOSE(ArtifactsInput!$N$24+1,10,12,14,16,18,20)+(IF(AND(Inputs!$B$38&lt;&gt;"pvp",Inputs!$B$43=0),1,IF(IF(Inputs!$B$38="pvp",15,Inputs!$B$43)-(B1167)&lt;=0,1,MAX(0,IF(Inputs!$B$38="pvp",15,Inputs!$B$43)-MAX(5,B1167))/(IF(Inputs!$B$38="pvp",15,Inputs!$B$43)-(B1167))))*IF(AND(ArtifactsInput!$M$42,((Inputs!$B$9+((C1148=TRUE)*(F1148-Calc!F19))+B1160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1132*(MIN(100,(Inputs!$B$9+((C1148=TRUE)*(F1148-Calc!F19))+B1160+(ArtifactsInput!$M$24-ArtifactsInput!$M$24)*CHOOSE(ArtifactsInput!$N$24+1,10,12,14,16,18,20)+(IF(AND(Inputs!$B$38&lt;&gt;"pvp",Inputs!$B$43=0),1,IF(IF(Inputs!$B$38="pvp",15,Inputs!$B$43)-(B1167)&lt;=0,1,MAX(0,IF(Inputs!$B$38="pvp",15,Inputs!$B$43)-MAX(5,B1167))/(IF(Inputs!$B$38="pvp",15,Inputs!$B$43)-(B1167))))*IF(AND(ArtifactsInput!$M$42,((Inputs!$B$9+((C1148=TRUE)*(F1148-Calc!F19))+B1160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1132*(1-MIN(100,(Inputs!$B$9+((C1148=TRUE)*(F1148-Calc!F19))+B1160+(ArtifactsInput!$M$24-ArtifactsInput!$M$24)*CHOOSE(ArtifactsInput!$N$24+1,10,12,14,16,18,20)+(IF(AND(Inputs!$B$38&lt;&gt;"pvp",Inputs!$B$43=0),1,IF(IF(Inputs!$B$38="pvp",15,Inputs!$B$43)-(B1167)&lt;=0,1,MAX(0,IF(Inputs!$B$38="pvp",15,Inputs!$B$43)-MAX(5,B1167))/(IF(Inputs!$B$38="pvp",15,Inputs!$B$43)-(B1167))))*IF(AND(ArtifactsInput!$M$42,((Inputs!$B$9+((C1148=TRUE)*(F1148-Calc!F19))+B1160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1132*(MIN(100,(Inputs!$B$9+((C1148=TRUE)*(F1148-Calc!F19))+B1160+(ArtifactsInput!$M$24-ArtifactsInput!$M$24)*CHOOSE(ArtifactsInput!$N$24+1,10,12,14,16,18,20)+(IF(AND(Inputs!$B$38&lt;&gt;"pvp",Inputs!$B$43=0),1,IF(IF(Inputs!$B$38="pvp",15,Inputs!$B$43)-(B1167)&lt;=0,1,MAX(0,IF(Inputs!$B$38="pvp",15,Inputs!$B$43)-MAX(5,B1167))/(IF(Inputs!$B$38="pvp",15,Inputs!$B$43)-(B1167))))*IF(AND(ArtifactsInput!$M$42,((Inputs!$B$9+((C1148=TRUE)*(F1148-Calc!F19))+B1160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132">
        <f>INDEX(FactorTable!$B$2:$Y$301, MATCH(ROUND(MIN(300,MAX(1,U1131)),0), FactorTable!$A$2:$A$301,0), 22)</f>
        <v/>
      </c>
      <c r="V1132">
        <f>IF(C1132,(H1132*N1132*IF(AND(Inputs!$B$38&lt;&gt;"pvp",Inputs!$B$43&gt;0),((Skills!G3*((R1132-1)*IF(Skills!H3&gt;0,INT(Skills!I3/Skills!H3+0.000000001),1)+IF(Skills!H3&gt;0,INT(MIN(Skills!I3,MAX(0,MAX(0,Inputs!$B$43-B1167)-((R1132-1)*(IF(Inputs!$B$38="pvp",15,MAX(0.1,Skills!D3-IF(TRUE=TRUE,(Inputs!$B$32+1),0)))*(1-IF(AND(ArtifactsInput!$M$27,Inputs!$B$4="Chapter Hunt"),CHOOSE(ArtifactsInput!$N$27+1,20,24,28,32,36,40),0)/100)))))/Skills!H3+0.000000001),1)))/Inputs!$B$43),G1132*Q1132))*IF(Inputs!$B$38="pvp",1,(1+(Inputs!$B$21+Skills!Q3+(IF(ArtifactsInput!$M$33,CHOOSE(ArtifactsInput!$N$33+1,30,36,42,48,54,60),0))+(IF(AND(ArtifactsInput!$M$35,Inputs!$B$4&lt;&gt;"Chapter Hunt"),CHOOSE(ArtifactsInput!$N$35+1,15,18,21,24,27,30)*(1-EXP(-(0.2*B1162)*5)),0)+IF(AND(ArtifactsInput!$M$22,Inputs!$B$4&lt;&gt;"Chapter Hunt"),CHOOSE(ArtifactsInput!$N$22+1,10,12,14,16,18,20)*((0*(((0.15*B1162*5))^0/1)+1*(((0.15*B1162*5))^1/1)+2*(((0.15*B1162*5))^2/2)+3*(((0.15*B1162*5))^3/6)+4*(((0.15*B1162*5))^4/24)+5*(((0.15*B1162*5))^5/120))/((((0.15*B1162*5))^0/1)+(((0.15*B1162*5))^1/1)+(((0.15*B1162*5))^2/2)+(((0.15*B1162*5))^3/6)+(((0.15*B1162*5))^4/24)+(((0.15*B1162*5))^5/120))),0))+IF(Inputs!$B$3&gt;=54,9*(C1132=TRUE)*MIN(1,8*(1+Inputs!$B$34/100)*Q1132),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33">
      <c r="A1133">
        <f>Skills!A4</f>
        <v/>
      </c>
      <c r="B1133">
        <f>Skills!B4</f>
        <v/>
      </c>
      <c r="C1133">
        <f>Inputs!$B$3&gt;=35</f>
        <v/>
      </c>
      <c r="D1133">
        <f>IF(Skills!C4=1,60+Inputs!$B$25+Inputs!$B$29,IF(Skills!C4=2,90+Inputs!$B$26+Inputs!$B$29,IF(Skills!C4=3,120+Inputs!$B$27+Inputs!$B$29,MAX(0,(Inputs!$B$3-100)*3)+Inputs!$B$28+Inputs!$B$29)))</f>
        <v/>
      </c>
      <c r="E1133">
        <f>INDEX(FactorTable!$B$2:$Y$301, MATCH(ROUND(MIN(300,MAX(1,D1133)),0), FactorTable!$A$2:$A$301,0), Skills!M4+1)</f>
        <v/>
      </c>
      <c r="F1133">
        <f>IF(Skills!N4=TRUE,(Skills!L4/10)*(E1133/1000),Skills!L4/10)+Skills!O4</f>
        <v/>
      </c>
      <c r="G1133">
        <f>Skills!G4*IF(Skills!H4&gt;0,INT(IF(Inputs!$B$38="pvp",MIN(IF(Inputs!$B$3&gt;=104,MIN(35,20*(1+Inputs!$B$34/100)),20),15),IF(Inputs!$B$3&gt;=104,MIN(35,20*(1+Inputs!$B$34/100)),20))/Skills!H4+0.000000001),1)</f>
        <v/>
      </c>
      <c r="H1133">
        <f>1-(1-Skills!J4/100)^Skills!K4</f>
        <v/>
      </c>
      <c r="I1133" t="inlineStr">
        <is>
          <t>1</t>
        </is>
      </c>
      <c r="J1133">
        <f>((Inputs!$B$6*(1+Inputs!$B$7/100))+(((Inputs!$B$12*(1+Inputs!$B$13/100))-(Inputs!$B$12*(1+Inputs!$B$13/100)))+0.25*(Inputs!$B$14-Inputs!$B$14))*(1+Inputs!$B$7/100))*(F1133/100)</f>
        <v/>
      </c>
      <c r="K1133">
        <f>J1133*(1+((Inputs!$B$12*(1+Inputs!$B$13/100))*0.01+Inputs!$B$14*0.0025)/100)*(1+Inputs!$B$15/100)*(1+Inputs!$B$16/100)*(5000/(6000+Inputs!$B$42*(1-(100*(1-(1-(Inputs!$B$19+0)/100)*(1-CHOOSE(ArtifactsInput!$N$40+1,5,6,7,8,9,10)/100)^(ArtifactsInput!$M$40-ArtifactsInput!$M$40)))/100)))*(1+(Inputs!$B$24+((C1155=TRUE)*(F1155-Calc!F26))+B1166)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1145=TRUE,F1145,0)/100)*(1+(IF(Skills!A4="EIGHT_LEGS_EASTON",Inputs!$B$17+((C1152=TRUE)*(F1152-Calc!F23))+((C1156=TRUE)*(F1156-Calc!F27))+((IF(AND(Inputs!$B$38&lt;&gt;"pvp",Inputs!$B$43=0),1,IF(IF(Inputs!$B$38="pvp",15,Inputs!$B$43)-(B1167)&lt;=0,1,MAX(0,IF(Inputs!$B$38="pvp",15,Inputs!$B$43)-MAX(5,B1167))/(IF(Inputs!$B$38="pvp",15,Inputs!$B$43)-(B1167))))*(IF(AND(ArtifactsInput!$M$42,((Inputs!$B$9+((C1148=TRUE)*(F1148-Calc!F19))+B1160+(ArtifactsInput!$M$24-ArtifactsInput!$M$24)*CHOOSE(ArtifactsInput!$N$24+1,10,12,14,16,18,20)+IF(ArtifactsInput!$M$10,CHOOSE(ArtifactsInput!$N$10+1,15,18,21,24,27,30)*(IF(Inputs!$B$38="pvp",MIN(15,15)/15,IF(AND(Inputs!$B$38&lt;&gt;"pvp",Inputs!$B$43&gt;0),MIN(15,Inputs!$B$43)/(Inputs!$B$43),0))),0)))&gt;=100),MIN(100,((Inputs!$B$9+((C1148=TRUE)*(F1148-Calc!F19))+B1160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1167)&lt;=0,1,MAX(0,IF(Inputs!$B$38="pvp",15,Inputs!$B$43)-MAX(5,B1167))/(IF(Inputs!$B$38="pvp",15,Inputs!$B$43)-(B1167))))*IF(AND(ArtifactsInput!$M$42,((Inputs!$B$9+((C1148=TRUE)*(F1148-Calc!F19))+B1160+(ArtifactsInput!$M$24-ArtifactsInput!$M$24)*CHOOSE(ArtifactsInput!$N$24+1,10,12,14,16,18,20)+IF(ArtifactsInput!$M$10,CHOOSE(ArtifactsInput!$N$10+1,15,18,21,24,27,30)*(IF(Inputs!$B$38="pvp",MIN(15,15)/15,IF(AND(Inputs!$B$38&lt;&gt;"pvp",Inputs!$B$43&gt;0),MIN(15,Inputs!$B$43)/(Inputs!$B$43),0))),0)))&gt;=100),CHOOSE(ArtifactsInput!$N$42+1,40,48,56,64,72,80),0))))/100)*((1+(((C1146=TRUE)*F1146*5/7)+((C1153=TRUE)*(F1153-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1133)</f>
        <v/>
      </c>
      <c r="L1133">
        <f>K1133*(MIN(Inputs!$B$22+((C1151=TRUE)*(F1151-Calc!F22)),(Inputs!$B$23+0+(IF(ArtifactsInput!$M$15,CHOOSE(ArtifactsInput!$N$15+1,25,30,35,40,45,50)/100*(Inputs!$B$11-Inputs!$B$11),0))))/100+(Inputs!$B$23+0+(IF(ArtifactsInput!$M$15,CHOOSE(ArtifactsInput!$N$15+1,25,30,35,40,45,50)/100*(Inputs!$B$11-Inputs!$B$11),0)))/100)/2</f>
        <v/>
      </c>
      <c r="M1133">
        <f>L1133*(1+(Inputs!$B$10+((C1154=TRUE)*(F1154-Calc!F25))+B1165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33">
        <f>L1133*(1-MIN((Inputs!$B$9+((C1148=TRUE)*(F1148-Calc!F19))+B1160+(ArtifactsInput!$M$24-ArtifactsInput!$M$24)*CHOOSE(ArtifactsInput!$N$24+1,10,12,14,16,18,20)+(IF(AND(Inputs!$B$38&lt;&gt;"pvp",Inputs!$B$43=0),1,IF(IF(Inputs!$B$38="pvp",15,Inputs!$B$43)-(B1167)&lt;=0,1,MAX(0,IF(Inputs!$B$38="pvp",15,Inputs!$B$43)-MAX(5,B1167))/(IF(Inputs!$B$38="pvp",15,Inputs!$B$43)-(B1167))))*IF(AND(ArtifactsInput!$M$42,((Inputs!$B$9+((C1148=TRUE)*(F1148-Calc!F19))+B1160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1133*(MIN((Inputs!$B$9+((C1148=TRUE)*(F1148-Calc!F19))+B1160+(ArtifactsInput!$M$24-ArtifactsInput!$M$24)*CHOOSE(ArtifactsInput!$N$24+1,10,12,14,16,18,20)+(IF(AND(Inputs!$B$38&lt;&gt;"pvp",Inputs!$B$43=0),1,IF(IF(Inputs!$B$38="pvp",15,Inputs!$B$43)-(B1167)&lt;=0,1,MAX(0,IF(Inputs!$B$38="pvp",15,Inputs!$B$43)-MAX(5,B1167))/(IF(Inputs!$B$38="pvp",15,Inputs!$B$43)-(B1167))))*IF(AND(ArtifactsInput!$M$42,((Inputs!$B$9+((C1148=TRUE)*(F1148-Calc!F19))+B1160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33">
        <f>(1-Summary!$B$11)*T1133+Summary!$B$11*V1133</f>
        <v/>
      </c>
      <c r="P1133">
        <f>IF(B1170=0,0,O1133/B1170)</f>
        <v/>
      </c>
      <c r="Q1133">
        <f>IFERROR(1/(IF(Inputs!$B$38="pvp",15,MAX(0.1,Skills!D4-IF(TRUE=TRUE,(Inputs!$B$32+1),0)))*(1-IF(AND(ArtifactsInput!$M$27,Inputs!$B$4="Chapter Hunt"),CHOOSE(ArtifactsInput!$N$27+1,20,24,28,32,36,40),0)/100)),0)</f>
        <v/>
      </c>
      <c r="R1133">
        <f>IF(AND(Inputs!$B$38&lt;&gt;"pvp",Inputs!$B$43&gt;0),IF(MAX(0,Inputs!$B$43-B1167)&lt;=0,0,(INT(MAX(0,Inputs!$B$43-B1167)/(IF(Inputs!$B$38="pvp",15,MAX(0.1,Skills!D4-IF(TRUE=TRUE,(Inputs!$B$32+1),0)))*(1-IF(AND(ArtifactsInput!$M$27,Inputs!$B$4="Chapter Hunt"),CHOOSE(ArtifactsInput!$N$27+1,20,24,28,32,36,40),0)/100)))+1)),0)</f>
        <v/>
      </c>
      <c r="S1133">
        <f>IFERROR(O1133/N1133,0)</f>
        <v/>
      </c>
      <c r="T1133">
        <f>IF(C1133,(H1133*N1133*IF(AND(Inputs!$B$38&lt;&gt;"pvp",Inputs!$B$43&gt;0),((Skills!G4*((R1133-1)*IF(Skills!H4&gt;0,INT(IF(Inputs!$B$3&gt;=104,MIN(35,20*(1+Inputs!$B$34/100)),20)/Skills!H4+0.000000001),1)+IF(Skills!H4&gt;0,INT(MIN(IF(Inputs!$B$3&gt;=104,MIN(35,20*(1+Inputs!$B$34/100)),20),MAX(0,MAX(0,Inputs!$B$43-B1167)-((R1133-1)*(IF(Inputs!$B$38="pvp",15,MAX(0.1,Skills!D4-IF(TRUE=TRUE,(Inputs!$B$32+1),0)))*(1-IF(AND(ArtifactsInput!$M$27,Inputs!$B$4="Chapter Hunt"),CHOOSE(ArtifactsInput!$N$27+1,20,24,28,32,36,40),0)/100)))))/Skills!H4+0.000000001),1)))/Inputs!$B$43),G1133*Q1133))*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Hunt"),CHOOSE(ArtifactsInput!$N$35+1,15,18,21,24,27,30)*(1-EXP(-(0.2*B1162)*5)),0)+IF(AND(ArtifactsInput!$M$22,Inputs!$B$4&lt;&gt;"Chapter Hunt"),CHOOSE(ArtifactsInput!$N$22+1,10,12,14,16,18,20)*((0*(((0.15*B1162*5))^0/1)+1*(((0.15*B1162*5))^1/1)+2*(((0.15*B1162*5))^2/2)+3*(((0.15*B1162*5))^3/6)+4*(((0.15*B1162*5))^4/24)+5*(((0.15*B1162*5))^5/120))/((((0.15*B1162*5))^0/1)+(((0.15*B1162*5))^1/1)+(((0.15*B1162*5))^2/2)+(((0.15*B1162*5))^3/6)+(((0.15*B1162*5))^4/24)+(((0.15*B1162*5))^5/120))),0))+IF(Inputs!$B$3&gt;=54,9*(C1132=TRUE)*MIN(1,8*(1+Inputs!$B$34/100)*Q1132)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1133*(1-MIN(100,(Inputs!$B$9+((C1148=TRUE)*(F1148-Calc!F19))+B1160+(ArtifactsInput!$M$24-ArtifactsInput!$M$24)*CHOOSE(ArtifactsInput!$N$24+1,10,12,14,16,18,20)+(IF(AND(Inputs!$B$38&lt;&gt;"pvp",Inputs!$B$43=0),1,IF(IF(Inputs!$B$38="pvp",15,Inputs!$B$43)-(B1167)&lt;=0,1,MAX(0,IF(Inputs!$B$38="pvp",15,Inputs!$B$43)-MAX(5,B1167))/(IF(Inputs!$B$38="pvp",15,Inputs!$B$43)-(B1167))))*IF(AND(ArtifactsInput!$M$42,((Inputs!$B$9+((C1148=TRUE)*(F1148-Calc!F19))+B1160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1133*(MIN(100,(Inputs!$B$9+((C1148=TRUE)*(F1148-Calc!F19))+B1160+(ArtifactsInput!$M$24-ArtifactsInput!$M$24)*CHOOSE(ArtifactsInput!$N$24+1,10,12,14,16,18,20)+(IF(AND(Inputs!$B$38&lt;&gt;"pvp",Inputs!$B$43=0),1,IF(IF(Inputs!$B$38="pvp",15,Inputs!$B$43)-(B1167)&lt;=0,1,MAX(0,IF(Inputs!$B$38="pvp",15,Inputs!$B$43)-MAX(5,B1167))/(IF(Inputs!$B$38="pvp",15,Inputs!$B$43)-(B1167))))*IF(AND(ArtifactsInput!$M$42,((Inputs!$B$9+((C1148=TRUE)*(F1148-Calc!F19))+B1160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1133*(1-MIN(100,(Inputs!$B$9+((C1148=TRUE)*(F1148-Calc!F19))+B1160+(ArtifactsInput!$M$24-ArtifactsInput!$M$24)*CHOOSE(ArtifactsInput!$N$24+1,10,12,14,16,18,20)+(IF(AND(Inputs!$B$38&lt;&gt;"pvp",Inputs!$B$43=0),1,IF(IF(Inputs!$B$38="pvp",15,Inputs!$B$43)-(B1167)&lt;=0,1,MAX(0,IF(Inputs!$B$38="pvp",15,Inputs!$B$43)-MAX(5,B1167))/(IF(Inputs!$B$38="pvp",15,Inputs!$B$43)-(B1167))))*IF(AND(ArtifactsInput!$M$42,((Inputs!$B$9+((C1148=TRUE)*(F1148-Calc!F19))+B1160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1133*(MIN(100,(Inputs!$B$9+((C1148=TRUE)*(F1148-Calc!F19))+B1160+(ArtifactsInput!$M$24-ArtifactsInput!$M$24)*CHOOSE(ArtifactsInput!$N$24+1,10,12,14,16,18,20)+(IF(AND(Inputs!$B$38&lt;&gt;"pvp",Inputs!$B$43=0),1,IF(IF(Inputs!$B$38="pvp",15,Inputs!$B$43)-(B1167)&lt;=0,1,MAX(0,IF(Inputs!$B$38="pvp",15,Inputs!$B$43)-MAX(5,B1167))/(IF(Inputs!$B$38="pvp",15,Inputs!$B$43)-(B1167))))*IF(AND(ArtifactsInput!$M$42,((Inputs!$B$9+((C1148=TRUE)*(F1148-Calc!F19))+B1160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133">
        <f>290*U1132/1000</f>
        <v/>
      </c>
      <c r="V1133">
        <f>IF(C1133,(H1133*N1133*IF(AND(Inputs!$B$38&lt;&gt;"pvp",Inputs!$B$43&gt;0),((Skills!G4*((R1133-1)*IF(Skills!H4&gt;0,INT(IF(Inputs!$B$3&gt;=104,MIN(35,20*(1+Inputs!$B$34/100)),20)/Skills!H4+0.000000001),1)+IF(Skills!H4&gt;0,INT(MIN(IF(Inputs!$B$3&gt;=104,MIN(35,20*(1+Inputs!$B$34/100)),20),MAX(0,MAX(0,Inputs!$B$43-B1167)-((R1133-1)*(IF(Inputs!$B$38="pvp",15,MAX(0.1,Skills!D4-IF(TRUE=TRUE,(Inputs!$B$32+1),0)))*(1-IF(AND(ArtifactsInput!$M$27,Inputs!$B$4="Chapter Hunt"),CHOOSE(ArtifactsInput!$N$27+1,20,24,28,32,36,40),0)/100)))))/Skills!H4+0.000000001),1)))/Inputs!$B$43),G1133*Q1133))*IF(Inputs!$B$38="pvp",1,(1+(Inputs!$B$21+Skills!Q4+(IF(ArtifactsInput!$M$33,CHOOSE(ArtifactsInput!$N$33+1,30,36,42,48,54,60),0))+(IF(AND(ArtifactsInput!$M$35,Inputs!$B$4&lt;&gt;"Chapter Hunt"),CHOOSE(ArtifactsInput!$N$35+1,15,18,21,24,27,30)*(1-EXP(-(0.2*B1162)*5)),0)+IF(AND(ArtifactsInput!$M$22,Inputs!$B$4&lt;&gt;"Chapter Hunt"),CHOOSE(ArtifactsInput!$N$22+1,10,12,14,16,18,20)*((0*(((0.15*B1162*5))^0/1)+1*(((0.15*B1162*5))^1/1)+2*(((0.15*B1162*5))^2/2)+3*(((0.15*B1162*5))^3/6)+4*(((0.15*B1162*5))^4/24)+5*(((0.15*B1162*5))^5/120))/((((0.15*B1162*5))^0/1)+(((0.15*B1162*5))^1/1)+(((0.15*B1162*5))^2/2)+(((0.15*B1162*5))^3/6)+(((0.15*B1162*5))^4/24)+(((0.15*B1162*5))^5/120))),0))+IF(Inputs!$B$3&gt;=54,9*(C1132=TRUE)*MIN(1,8*(1+Inputs!$B$34/100)*Q1132),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34">
      <c r="A1134">
        <f>Skills!A5</f>
        <v/>
      </c>
      <c r="B1134">
        <f>Skills!B5</f>
        <v/>
      </c>
      <c r="C1134">
        <f>Inputs!$B$3&gt;=69</f>
        <v/>
      </c>
      <c r="D1134">
        <f>IF(Skills!C5=1,60+Inputs!$B$25+Inputs!$B$29,IF(Skills!C5=2,90+Inputs!$B$26+Inputs!$B$29,IF(Skills!C5=3,120+Inputs!$B$27+Inputs!$B$29,MAX(0,(Inputs!$B$3-100)*3)+Inputs!$B$28+Inputs!$B$29)))</f>
        <v/>
      </c>
      <c r="E1134">
        <f>INDEX(FactorTable!$B$2:$Y$301, MATCH(ROUND(MIN(300,MAX(1,D1134)),0), FactorTable!$A$2:$A$301,0), Skills!M5+1)</f>
        <v/>
      </c>
      <c r="F1134">
        <f>IF(Skills!N5=TRUE,(Skills!L5/10)*(E1134/1000),Skills!L5/10)+Skills!O5</f>
        <v/>
      </c>
      <c r="G1134">
        <f>Skills!G5*IF(Skills!H5&gt;0,INT(IF(Inputs!$B$38="pvp",MIN(IF(Inputs!$B$3&gt;=104,MIN(35,20*(1+Inputs!$B$34/100)),20),15),IF(Inputs!$B$3&gt;=104,MIN(35,20*(1+Inputs!$B$34/100)),20))/Skills!H5+0.000000001),1)</f>
        <v/>
      </c>
      <c r="H1134">
        <f>1-(1-Skills!J5/100)^Skills!K5</f>
        <v/>
      </c>
      <c r="I1134" t="inlineStr">
        <is>
          <t>1</t>
        </is>
      </c>
      <c r="J1134">
        <f>((Inputs!$B$6*(1+Inputs!$B$7/100))+(((Inputs!$B$12*(1+Inputs!$B$13/100))-(Inputs!$B$12*(1+Inputs!$B$13/100)))+0.25*(Inputs!$B$14-Inputs!$B$14))*(1+Inputs!$B$7/100))*(F1134/100)</f>
        <v/>
      </c>
      <c r="K1134">
        <f>J1134*(1+((Inputs!$B$12*(1+Inputs!$B$13/100))*0.01+Inputs!$B$14*0.0025)/100)*(1+Inputs!$B$15/100)*(1+Inputs!$B$16/100)*(5000/(6000+Inputs!$B$42*(1-(100*(1-(1-(Inputs!$B$19+0)/100)*(1-CHOOSE(ArtifactsInput!$N$40+1,5,6,7,8,9,10)/100)^(ArtifactsInput!$M$40-ArtifactsInput!$M$40)))/100)))*(1+(Inputs!$B$24+((C1155=TRUE)*(F1155-Calc!F26))+B1166)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+0.4*IF(C1145=TRUE,F1145,0)/100)*(1+(IF(Skills!A5="EIGHT_LEGS_EASTON",Inputs!$B$17+((C1152=TRUE)*(F1152-Calc!F23))+((C1156=TRUE)*(F1156-Calc!F27))+((IF(AND(Inputs!$B$38&lt;&gt;"pvp",Inputs!$B$43=0),1,IF(IF(Inputs!$B$38="pvp",15,Inputs!$B$43)-(B1167)&lt;=0,1,MAX(0,IF(Inputs!$B$38="pvp",15,Inputs!$B$43)-MAX(5,B1167))/(IF(Inputs!$B$38="pvp",15,Inputs!$B$43)-(B1167))))*(IF(AND(ArtifactsInput!$M$42,((Inputs!$B$9+((C1148=TRUE)*(F1148-Calc!F19))+B1160+(ArtifactsInput!$M$24-ArtifactsInput!$M$24)*CHOOSE(ArtifactsInput!$N$24+1,10,12,14,16,18,20)+IF(ArtifactsInput!$M$10,CHOOSE(ArtifactsInput!$N$10+1,15,18,21,24,27,30)*(IF(Inputs!$B$38="pvp",MIN(15,15)/15,IF(AND(Inputs!$B$38&lt;&gt;"pvp",Inputs!$B$43&gt;0),MIN(15,Inputs!$B$43)/(Inputs!$B$43),0))),0)))&gt;=100),MIN(100,((Inputs!$B$9+((C1148=TRUE)*(F1148-Calc!F19))+B1160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1167)&lt;=0,1,MAX(0,IF(Inputs!$B$38="pvp",15,Inputs!$B$43)-MAX(5,B1167))/(IF(Inputs!$B$38="pvp",15,Inputs!$B$43)-(B1167))))*IF(AND(ArtifactsInput!$M$42,((Inputs!$B$9+((C1148=TRUE)*(F1148-Calc!F19))+B1160+(ArtifactsInput!$M$24-ArtifactsInput!$M$24)*CHOOSE(ArtifactsInput!$N$24+1,10,12,14,16,18,20)+IF(ArtifactsInput!$M$10,CHOOSE(ArtifactsInput!$N$10+1,15,18,21,24,27,30)*(IF(Inputs!$B$38="pvp",MIN(15,15)/15,IF(AND(Inputs!$B$38&lt;&gt;"pvp",Inputs!$B$43&gt;0),MIN(15,Inputs!$B$43)/(Inputs!$B$43),0))),0)))&gt;=100),CHOOSE(ArtifactsInput!$N$42+1,40,48,56,64,72,80),0))))/100)*((1+(((C1146=TRUE)*F1146*5/7)+((C1153=TRUE)*(F1153-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1134)</f>
        <v/>
      </c>
      <c r="L1134">
        <f>K1134*(MIN(Inputs!$B$22+((C1151=TRUE)*(F1151-Calc!F22)),(Inputs!$B$23+0+(IF(ArtifactsInput!$M$15,CHOOSE(ArtifactsInput!$N$15+1,25,30,35,40,45,50)/100*(Inputs!$B$11-Inputs!$B$11),0))))/100+(Inputs!$B$23+0+(IF(ArtifactsInput!$M$15,CHOOSE(ArtifactsInput!$N$15+1,25,30,35,40,45,50)/100*(Inputs!$B$11-Inputs!$B$11),0)))/100)/2</f>
        <v/>
      </c>
      <c r="M1134">
        <f>L1134*(1+(Inputs!$B$10+((C1154=TRUE)*(F1154-Calc!F25))+B1165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34">
        <f>L1134*(1-MIN((Inputs!$B$9+((C1148=TRUE)*(F1148-Calc!F19))+B1160+(ArtifactsInput!$M$24-ArtifactsInput!$M$24)*CHOOSE(ArtifactsInput!$N$24+1,10,12,14,16,18,20)+(IF(AND(Inputs!$B$38&lt;&gt;"pvp",Inputs!$B$43=0),1,IF(IF(Inputs!$B$38="pvp",15,Inputs!$B$43)-(B1167)&lt;=0,1,MAX(0,IF(Inputs!$B$38="pvp",15,Inputs!$B$43)-MAX(5,B1167))/(IF(Inputs!$B$38="pvp",15,Inputs!$B$43)-(B1167))))*IF(AND(ArtifactsInput!$M$42,((Inputs!$B$9+((C1148=TRUE)*(F1148-Calc!F19))+B1160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1134*(MIN((Inputs!$B$9+((C1148=TRUE)*(F1148-Calc!F19))+B1160+(ArtifactsInput!$M$24-ArtifactsInput!$M$24)*CHOOSE(ArtifactsInput!$N$24+1,10,12,14,16,18,20)+(IF(AND(Inputs!$B$38&lt;&gt;"pvp",Inputs!$B$43=0),1,IF(IF(Inputs!$B$38="pvp",15,Inputs!$B$43)-(B1167)&lt;=0,1,MAX(0,IF(Inputs!$B$38="pvp",15,Inputs!$B$43)-MAX(5,B1167))/(IF(Inputs!$B$38="pvp",15,Inputs!$B$43)-(B1167))))*IF(AND(ArtifactsInput!$M$42,((Inputs!$B$9+((C1148=TRUE)*(F1148-Calc!F19))+B1160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34">
        <f>(1-Summary!$B$11)*T1134+Summary!$B$11*V1134</f>
        <v/>
      </c>
      <c r="P1134">
        <f>IF(B1170=0,0,O1134/B1170)</f>
        <v/>
      </c>
      <c r="Q1134">
        <f>IFERROR(1/(IF(Inputs!$B$38="pvp",15,MAX(0.1,Skills!D5-IF(TRUE=TRUE,(Inputs!$B$32+1),0)))*(1-IF(AND(ArtifactsInput!$M$27,Inputs!$B$4="Chapter Hunt"),CHOOSE(ArtifactsInput!$N$27+1,20,24,28,32,36,40),0)/100)),0)</f>
        <v/>
      </c>
      <c r="R1134">
        <f>IF(AND(Inputs!$B$38&lt;&gt;"pvp",Inputs!$B$43&gt;0),IF(MAX(0,Inputs!$B$43-B1167)&lt;=0,0,(INT(MAX(0,Inputs!$B$43-B1167)/(IF(Inputs!$B$38="pvp",15,MAX(0.1,Skills!D5-IF(TRUE=TRUE,(Inputs!$B$32+1),0)))*(1-IF(AND(ArtifactsInput!$M$27,Inputs!$B$4="Chapter Hunt"),CHOOSE(ArtifactsInput!$N$27+1,20,24,28,32,36,40),0)/100)))+1)),0)</f>
        <v/>
      </c>
      <c r="S1134">
        <f>IFERROR(O1134/N1134,0)</f>
        <v/>
      </c>
      <c r="T1134">
        <f>IF(C1134,(H1134*N1134*IF(AND(Inputs!$B$38&lt;&gt;"pvp",Inputs!$B$43&gt;0),((Skills!G5*((R1134-1)*IF(Skills!H5&gt;0,INT(IF(Inputs!$B$3&gt;=104,MIN(35,20*(1+Inputs!$B$34/100)),20)/Skills!H5+0.000000001),1)+IF(Skills!H5&gt;0,INT(MIN(IF(Inputs!$B$3&gt;=104,MIN(35,20*(1+Inputs!$B$34/100)),20),MAX(0,MAX(0,Inputs!$B$43-B1167)-((R1134-1)*(IF(Inputs!$B$38="pvp",15,MAX(0.1,Skills!D5-IF(TRUE=TRUE,(Inputs!$B$32+1),0)))*(1-IF(AND(ArtifactsInput!$M$27,Inputs!$B$4="Chapter Hunt"),CHOOSE(ArtifactsInput!$N$27+1,20,24,28,32,36,40),0)/100)))))/Skills!H5+0.000000001),1)))/Inputs!$B$43),G1134*Q1134))*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Hunt"),CHOOSE(ArtifactsInput!$N$35+1,15,18,21,24,27,30)*(1-EXP(-(0.2*B1162)*5)),0)+IF(AND(ArtifactsInput!$M$22,Inputs!$B$4&lt;&gt;"Chapter Hunt"),CHOOSE(ArtifactsInput!$N$22+1,10,12,14,16,18,20)*((0*(((0.15*B1162*5))^0/1)+1*(((0.15*B1162*5))^1/1)+2*(((0.15*B1162*5))^2/2)+3*(((0.15*B1162*5))^3/6)+4*(((0.15*B1162*5))^4/24)+5*(((0.15*B1162*5))^5/120))/((((0.15*B1162*5))^0/1)+(((0.15*B1162*5))^1/1)+(((0.15*B1162*5))^2/2)+(((0.15*B1162*5))^3/6)+(((0.15*B1162*5))^4/24)+(((0.15*B1162*5))^5/120))),0))+IF(Inputs!$B$3&gt;=54,9*(C1132=TRUE)*MIN(1,8*(1+Inputs!$B$34/100)*Q1132)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1134*(1-MIN(100,(Inputs!$B$9+((C1148=TRUE)*(F1148-Calc!F19))+B1160+(ArtifactsInput!$M$24-ArtifactsInput!$M$24)*CHOOSE(ArtifactsInput!$N$24+1,10,12,14,16,18,20)+(IF(AND(Inputs!$B$38&lt;&gt;"pvp",Inputs!$B$43=0),1,IF(IF(Inputs!$B$38="pvp",15,Inputs!$B$43)-(B1167)&lt;=0,1,MAX(0,IF(Inputs!$B$38="pvp",15,Inputs!$B$43)-MAX(5,B1167))/(IF(Inputs!$B$38="pvp",15,Inputs!$B$43)-(B1167))))*IF(AND(ArtifactsInput!$M$42,((Inputs!$B$9+((C1148=TRUE)*(F1148-Calc!F19))+B1160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1134*(MIN(100,(Inputs!$B$9+((C1148=TRUE)*(F1148-Calc!F19))+B1160+(ArtifactsInput!$M$24-ArtifactsInput!$M$24)*CHOOSE(ArtifactsInput!$N$24+1,10,12,14,16,18,20)+(IF(AND(Inputs!$B$38&lt;&gt;"pvp",Inputs!$B$43=0),1,IF(IF(Inputs!$B$38="pvp",15,Inputs!$B$43)-(B1167)&lt;=0,1,MAX(0,IF(Inputs!$B$38="pvp",15,Inputs!$B$43)-MAX(5,B1167))/(IF(Inputs!$B$38="pvp",15,Inputs!$B$43)-(B1167))))*IF(AND(ArtifactsInput!$M$42,((Inputs!$B$9+((C1148=TRUE)*(F1148-Calc!F19))+B1160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1134*(1-MIN(100,(Inputs!$B$9+((C1148=TRUE)*(F1148-Calc!F19))+B1160+(ArtifactsInput!$M$24-ArtifactsInput!$M$24)*CHOOSE(ArtifactsInput!$N$24+1,10,12,14,16,18,20)+(IF(AND(Inputs!$B$38&lt;&gt;"pvp",Inputs!$B$43=0),1,IF(IF(Inputs!$B$38="pvp",15,Inputs!$B$43)-(B1167)&lt;=0,1,MAX(0,IF(Inputs!$B$38="pvp",15,Inputs!$B$43)-MAX(5,B1167))/(IF(Inputs!$B$38="pvp",15,Inputs!$B$43)-(B1167))))*IF(AND(ArtifactsInput!$M$42,((Inputs!$B$9+((C1148=TRUE)*(F1148-Calc!F19))+B1160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1134*(MIN(100,(Inputs!$B$9+((C1148=TRUE)*(F1148-Calc!F19))+B1160+(ArtifactsInput!$M$24-ArtifactsInput!$M$24)*CHOOSE(ArtifactsInput!$N$24+1,10,12,14,16,18,20)+(IF(AND(Inputs!$B$38&lt;&gt;"pvp",Inputs!$B$43=0),1,IF(IF(Inputs!$B$38="pvp",15,Inputs!$B$43)-(B1167)&lt;=0,1,MAX(0,IF(Inputs!$B$38="pvp",15,Inputs!$B$43)-MAX(5,B1167))/(IF(Inputs!$B$38="pvp",15,Inputs!$B$43)-(B1167))))*IF(AND(ArtifactsInput!$M$42,((Inputs!$B$9+((C1148=TRUE)*(F1148-Calc!F19))+B1160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134">
        <f>IF(C1134,(H1134*N1134*IF(AND(Inputs!$B$38&lt;&gt;"pvp",Inputs!$B$43&gt;0),((Skills!G5*((R1134-1)*IF(Skills!H5&gt;0,INT(IF(Inputs!$B$3&gt;=104,MIN(35,20*(1+Inputs!$B$34/100)),20)/Skills!H5+0.000000001),1)+IF(Skills!H5&gt;0,INT(MIN(IF(Inputs!$B$3&gt;=104,MIN(35,20*(1+Inputs!$B$34/100)),20),MAX(0,MAX(0,Inputs!$B$43-B1167)-((R1134-1)*(IF(Inputs!$B$38="pvp",15,MAX(0.1,Skills!D5-IF(TRUE=TRUE,(Inputs!$B$32+1),0)))*(1-IF(AND(ArtifactsInput!$M$27,Inputs!$B$4="Chapter Hunt"),CHOOSE(ArtifactsInput!$N$27+1,20,24,28,32,36,40),0)/100)))))/Skills!H5+0.000000001),1)))/Inputs!$B$43),G1134*Q1134))*IF(Inputs!$B$38="pvp",1,(1+(Inputs!$B$21+Skills!Q5+(IF(ArtifactsInput!$M$33,CHOOSE(ArtifactsInput!$N$33+1,30,36,42,48,54,60),0))+(IF(AND(ArtifactsInput!$M$35,Inputs!$B$4&lt;&gt;"Chapter Hunt"),CHOOSE(ArtifactsInput!$N$35+1,15,18,21,24,27,30)*(1-EXP(-(0.2*B1162)*5)),0)+IF(AND(ArtifactsInput!$M$22,Inputs!$B$4&lt;&gt;"Chapter Hunt"),CHOOSE(ArtifactsInput!$N$22+1,10,12,14,16,18,20)*((0*(((0.15*B1162*5))^0/1)+1*(((0.15*B1162*5))^1/1)+2*(((0.15*B1162*5))^2/2)+3*(((0.15*B1162*5))^3/6)+4*(((0.15*B1162*5))^4/24)+5*(((0.15*B1162*5))^5/120))/((((0.15*B1162*5))^0/1)+(((0.15*B1162*5))^1/1)+(((0.15*B1162*5))^2/2)+(((0.15*B1162*5))^3/6)+(((0.15*B1162*5))^4/24)+(((0.15*B1162*5))^5/120))),0))+IF(Inputs!$B$3&gt;=54,9*(C1132=TRUE)*MIN(1,8*(1+Inputs!$B$34/100)*Q1132),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35">
      <c r="A1135">
        <f>Skills!A6</f>
        <v/>
      </c>
      <c r="B1135">
        <f>Skills!B6</f>
        <v/>
      </c>
      <c r="C1135">
        <f>Inputs!$B$3&gt;=66</f>
        <v/>
      </c>
      <c r="D1135">
        <f>IF(Skills!C6=1,60+Inputs!$B$25+Inputs!$B$29,IF(Skills!C6=2,90+Inputs!$B$26+Inputs!$B$29,IF(Skills!C6=3,120+Inputs!$B$27+Inputs!$B$29,MAX(0,(Inputs!$B$3-100)*3)+Inputs!$B$28+Inputs!$B$29)))</f>
        <v/>
      </c>
      <c r="E1135">
        <f>INDEX(FactorTable!$B$2:$Y$301, MATCH(ROUND(MIN(300,MAX(1,D1135)),0), FactorTable!$A$2:$A$301,0), Skills!M6+1)</f>
        <v/>
      </c>
      <c r="F1135">
        <f>IF(Skills!N6=TRUE,(Skills!L6/10)*(E1135/1000),Skills!L6/10)+Skills!O6</f>
        <v/>
      </c>
      <c r="G1135">
        <f>Skills!G6*IF(Skills!H6&gt;0,INT(IF(Inputs!$B$38="pvp",MIN(Skills!I6,15),Skills!I6)/Skills!H6+0.000000001),1)</f>
        <v/>
      </c>
      <c r="H1135">
        <f>1-(1-Skills!J6/100)^Skills!K6</f>
        <v/>
      </c>
      <c r="I1135" t="inlineStr">
        <is>
          <t>1</t>
        </is>
      </c>
      <c r="J1135">
        <f>((Inputs!$B$6*(1+Inputs!$B$7/100))+(((Inputs!$B$12*(1+Inputs!$B$13/100))-(Inputs!$B$12*(1+Inputs!$B$13/100)))+0.25*(Inputs!$B$14-Inputs!$B$14))*(1+Inputs!$B$7/100))*(F1135/100)</f>
        <v/>
      </c>
      <c r="K1135">
        <f>J1135*(1+((Inputs!$B$12*(1+Inputs!$B$13/100))*0.01+Inputs!$B$14*0.0025)/100)*(1+Inputs!$B$15/100)*(1+Inputs!$B$16/100)*(5000/(6000+Inputs!$B$42*(1-(100*(1-(1-(Inputs!$B$19+0)/100)*(1-CHOOSE(ArtifactsInput!$N$40+1,5,6,7,8,9,10)/100)^(ArtifactsInput!$M$40-ArtifactsInput!$M$40)))/100)))*(1+(Inputs!$B$24+((C1155=TRUE)*(F1155-Calc!F26))+B1166)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+2.0*IF(C1144=TRUE,F1144,0)/100)*(1+(IF(Skills!A6="EIGHT_LEGS_EASTON",Inputs!$B$17+((C1152=TRUE)*(F1152-Calc!F23))+((C1156=TRUE)*(F1156-Calc!F27))+((IF(AND(Inputs!$B$38&lt;&gt;"pvp",Inputs!$B$43=0),1,IF(IF(Inputs!$B$38="pvp",15,Inputs!$B$43)-(B1167)&lt;=0,1,MAX(0,IF(Inputs!$B$38="pvp",15,Inputs!$B$43)-MAX(5,B1167))/(IF(Inputs!$B$38="pvp",15,Inputs!$B$43)-(B1167))))*(IF(AND(ArtifactsInput!$M$42,((Inputs!$B$9+((C1148=TRUE)*(F1148-Calc!F19))+B1160+(ArtifactsInput!$M$24-ArtifactsInput!$M$24)*CHOOSE(ArtifactsInput!$N$24+1,10,12,14,16,18,20)+IF(ArtifactsInput!$M$10,CHOOSE(ArtifactsInput!$N$10+1,15,18,21,24,27,30)*(IF(Inputs!$B$38="pvp",MIN(15,15)/15,IF(AND(Inputs!$B$38&lt;&gt;"pvp",Inputs!$B$43&gt;0),MIN(15,Inputs!$B$43)/(Inputs!$B$43),0))),0)))&gt;=100),MIN(100,((Inputs!$B$9+((C1148=TRUE)*(F1148-Calc!F19))+B1160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1167)&lt;=0,1,MAX(0,IF(Inputs!$B$38="pvp",15,Inputs!$B$43)-MAX(5,B1167))/(IF(Inputs!$B$38="pvp",15,Inputs!$B$43)-(B1167))))*IF(AND(ArtifactsInput!$M$42,((Inputs!$B$9+((C1148=TRUE)*(F1148-Calc!F19))+B1160+(ArtifactsInput!$M$24-ArtifactsInput!$M$24)*CHOOSE(ArtifactsInput!$N$24+1,10,12,14,16,18,20)+IF(ArtifactsInput!$M$10,CHOOSE(ArtifactsInput!$N$10+1,15,18,21,24,27,30)*(IF(Inputs!$B$38="pvp",MIN(15,15)/15,IF(AND(Inputs!$B$38&lt;&gt;"pvp",Inputs!$B$43&gt;0),MIN(15,Inputs!$B$43)/(Inputs!$B$43),0))),0)))&gt;=100),CHOOSE(ArtifactsInput!$N$42+1,40,48,56,64,72,80),0))))/100)*((1+(((C1146=TRUE)*F1146*5/7)+((C1153=TRUE)*(F1153-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1135)</f>
        <v/>
      </c>
      <c r="L1135">
        <f>K1135*(MIN(Inputs!$B$22+((C1151=TRUE)*(F1151-Calc!F22)),(Inputs!$B$23+0+(IF(ArtifactsInput!$M$15,CHOOSE(ArtifactsInput!$N$15+1,25,30,35,40,45,50)/100*(Inputs!$B$11-Inputs!$B$11),0))))/100+(Inputs!$B$23+0+(IF(ArtifactsInput!$M$15,CHOOSE(ArtifactsInput!$N$15+1,25,30,35,40,45,50)/100*(Inputs!$B$11-Inputs!$B$11),0)))/100)/2</f>
        <v/>
      </c>
      <c r="M1135">
        <f>L1135*(1+(Inputs!$B$10+((C1154=TRUE)*(F1154-Calc!F25))+B1165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35">
        <f>L1135*(1-MIN((Inputs!$B$9+((C1148=TRUE)*(F1148-Calc!F19))+B1160+(ArtifactsInput!$M$24-ArtifactsInput!$M$24)*CHOOSE(ArtifactsInput!$N$24+1,10,12,14,16,18,20)+(IF(AND(Inputs!$B$38&lt;&gt;"pvp",Inputs!$B$43=0),1,IF(IF(Inputs!$B$38="pvp",15,Inputs!$B$43)-(B1167)&lt;=0,1,MAX(0,IF(Inputs!$B$38="pvp",15,Inputs!$B$43)-MAX(5,B1167))/(IF(Inputs!$B$38="pvp",15,Inputs!$B$43)-(B1167))))*IF(AND(ArtifactsInput!$M$42,((Inputs!$B$9+((C1148=TRUE)*(F1148-Calc!F19))+B1160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1135*(MIN((Inputs!$B$9+((C1148=TRUE)*(F1148-Calc!F19))+B1160+(ArtifactsInput!$M$24-ArtifactsInput!$M$24)*CHOOSE(ArtifactsInput!$N$24+1,10,12,14,16,18,20)+(IF(AND(Inputs!$B$38&lt;&gt;"pvp",Inputs!$B$43=0),1,IF(IF(Inputs!$B$38="pvp",15,Inputs!$B$43)-(B1167)&lt;=0,1,MAX(0,IF(Inputs!$B$38="pvp",15,Inputs!$B$43)-MAX(5,B1167))/(IF(Inputs!$B$38="pvp",15,Inputs!$B$43)-(B1167))))*IF(AND(ArtifactsInput!$M$42,((Inputs!$B$9+((C1148=TRUE)*(F1148-Calc!F19))+B1160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35">
        <f>(1-Summary!$B$11)*T1135+Summary!$B$11*V1135</f>
        <v/>
      </c>
      <c r="P1135">
        <f>IF(B1170=0,0,O1135/B1170)</f>
        <v/>
      </c>
      <c r="Q1135">
        <f>IFERROR(1/(IF(Inputs!$B$38="pvp",15,MAX(0.1,Skills!D6-IF(TRUE=TRUE,(Inputs!$B$32+1),0)))*(1-IF(AND(ArtifactsInput!$M$27,Inputs!$B$4="Chapter Hunt"),CHOOSE(ArtifactsInput!$N$27+1,20,24,28,32,36,40),0)/100)),0)</f>
        <v/>
      </c>
      <c r="R1135">
        <f>IF(AND(Inputs!$B$38&lt;&gt;"pvp",Inputs!$B$43&gt;0),IF(MAX(0,Inputs!$B$43-B1167)&lt;=0,0,(INT(MAX(0,Inputs!$B$43-B1167)/(IF(Inputs!$B$38="pvp",15,MAX(0.1,Skills!D6-IF(TRUE=TRUE,(Inputs!$B$32+1),0)))*(1-IF(AND(ArtifactsInput!$M$27,Inputs!$B$4="Chapter Hunt"),CHOOSE(ArtifactsInput!$N$27+1,20,24,28,32,36,40),0)/100)))+1)),0)</f>
        <v/>
      </c>
      <c r="S1135">
        <f>IFERROR(O1135/N1135,0)</f>
        <v/>
      </c>
      <c r="T1135">
        <f>IF(C1135,(H1135*N1135*IF(AND(Inputs!$B$38&lt;&gt;"pvp",Inputs!$B$43&gt;0),((Skills!G6*((R1135-1)*IF(Skills!H6&gt;0,INT(Skills!I6/Skills!H6+0.000000001),1)+IF(Skills!H6&gt;0,INT(MIN(Skills!I6,MAX(0,MAX(0,Inputs!$B$43-B1167)-((R1135-1)*(IF(Inputs!$B$38="pvp",15,MAX(0.1,Skills!D6-IF(TRUE=TRUE,(Inputs!$B$32+1),0)))*(1-IF(AND(ArtifactsInput!$M$27,Inputs!$B$4="Chapter Hunt"),CHOOSE(ArtifactsInput!$N$27+1,20,24,28,32,36,40),0)/100)))))/Skills!H6+0.000000001),1)))/Inputs!$B$43),G1135*Q1135))*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Hunt"),CHOOSE(ArtifactsInput!$N$35+1,15,18,21,24,27,30)*(1-EXP(-(0.2*B1162)*5)),0)+IF(AND(ArtifactsInput!$M$22,Inputs!$B$4&lt;&gt;"Chapter Hunt"),CHOOSE(ArtifactsInput!$N$22+1,10,12,14,16,18,20)*((0*(((0.15*B1162*5))^0/1)+1*(((0.15*B1162*5))^1/1)+2*(((0.15*B1162*5))^2/2)+3*(((0.15*B1162*5))^3/6)+4*(((0.15*B1162*5))^4/24)+5*(((0.15*B1162*5))^5/120))/((((0.15*B1162*5))^0/1)+(((0.15*B1162*5))^1/1)+(((0.15*B1162*5))^2/2)+(((0.15*B1162*5))^3/6)+(((0.15*B1162*5))^4/24)+(((0.15*B1162*5))^5/120))),0))+IF(Inputs!$B$3&gt;=54,9*(C1132=TRUE)*MIN(1,8*(1+Inputs!$B$34/100)*Q1132)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1135*(1-MIN(100,(Inputs!$B$9+((C1148=TRUE)*(F1148-Calc!F19))+B1160+(ArtifactsInput!$M$24-ArtifactsInput!$M$24)*CHOOSE(ArtifactsInput!$N$24+1,10,12,14,16,18,20)+(IF(AND(Inputs!$B$38&lt;&gt;"pvp",Inputs!$B$43=0),1,IF(IF(Inputs!$B$38="pvp",15,Inputs!$B$43)-(B1167)&lt;=0,1,MAX(0,IF(Inputs!$B$38="pvp",15,Inputs!$B$43)-MAX(5,B1167))/(IF(Inputs!$B$38="pvp",15,Inputs!$B$43)-(B1167))))*IF(AND(ArtifactsInput!$M$42,((Inputs!$B$9+((C1148=TRUE)*(F1148-Calc!F19))+B1160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1135*(MIN(100,(Inputs!$B$9+((C1148=TRUE)*(F1148-Calc!F19))+B1160+(ArtifactsInput!$M$24-ArtifactsInput!$M$24)*CHOOSE(ArtifactsInput!$N$24+1,10,12,14,16,18,20)+(IF(AND(Inputs!$B$38&lt;&gt;"pvp",Inputs!$B$43=0),1,IF(IF(Inputs!$B$38="pvp",15,Inputs!$B$43)-(B1167)&lt;=0,1,MAX(0,IF(Inputs!$B$38="pvp",15,Inputs!$B$43)-MAX(5,B1167))/(IF(Inputs!$B$38="pvp",15,Inputs!$B$43)-(B1167))))*IF(AND(ArtifactsInput!$M$42,((Inputs!$B$9+((C1148=TRUE)*(F1148-Calc!F19))+B1160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1135*(1-MIN(100,(Inputs!$B$9+((C1148=TRUE)*(F1148-Calc!F19))+B1160+(ArtifactsInput!$M$24-ArtifactsInput!$M$24)*CHOOSE(ArtifactsInput!$N$24+1,10,12,14,16,18,20)+(IF(AND(Inputs!$B$38&lt;&gt;"pvp",Inputs!$B$43=0),1,IF(IF(Inputs!$B$38="pvp",15,Inputs!$B$43)-(B1167)&lt;=0,1,MAX(0,IF(Inputs!$B$38="pvp",15,Inputs!$B$43)-MAX(5,B1167))/(IF(Inputs!$B$38="pvp",15,Inputs!$B$43)-(B1167))))*IF(AND(ArtifactsInput!$M$42,((Inputs!$B$9+((C1148=TRUE)*(F1148-Calc!F19))+B1160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1135*(MIN(100,(Inputs!$B$9+((C1148=TRUE)*(F1148-Calc!F19))+B1160+(ArtifactsInput!$M$24-ArtifactsInput!$M$24)*CHOOSE(ArtifactsInput!$N$24+1,10,12,14,16,18,20)+(IF(AND(Inputs!$B$38&lt;&gt;"pvp",Inputs!$B$43=0),1,IF(IF(Inputs!$B$38="pvp",15,Inputs!$B$43)-(B1167)&lt;=0,1,MAX(0,IF(Inputs!$B$38="pvp",15,Inputs!$B$43)-MAX(5,B1167))/(IF(Inputs!$B$38="pvp",15,Inputs!$B$43)-(B1167))))*IF(AND(ArtifactsInput!$M$42,((Inputs!$B$9+((C1148=TRUE)*(F1148-Calc!F19))+B1160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135">
        <f>IF(C1135,(H1135*N1135*IF(AND(Inputs!$B$38&lt;&gt;"pvp",Inputs!$B$43&gt;0),((Skills!G6*((R1135-1)*IF(Skills!H6&gt;0,INT(Skills!I6/Skills!H6+0.000000001),1)+IF(Skills!H6&gt;0,INT(MIN(Skills!I6,MAX(0,MAX(0,Inputs!$B$43-B1167)-((R1135-1)*(IF(Inputs!$B$38="pvp",15,MAX(0.1,Skills!D6-IF(TRUE=TRUE,(Inputs!$B$32+1),0)))*(1-IF(AND(ArtifactsInput!$M$27,Inputs!$B$4="Chapter Hunt"),CHOOSE(ArtifactsInput!$N$27+1,20,24,28,32,36,40),0)/100)))))/Skills!H6+0.000000001),1)))/Inputs!$B$43),G1135*Q1135))*IF(Inputs!$B$38="pvp",1,(1+(Inputs!$B$21+Skills!Q6+(IF(ArtifactsInput!$M$33,CHOOSE(ArtifactsInput!$N$33+1,30,36,42,48,54,60),0))+(IF(AND(ArtifactsInput!$M$35,Inputs!$B$4&lt;&gt;"Chapter Hunt"),CHOOSE(ArtifactsInput!$N$35+1,15,18,21,24,27,30)*(1-EXP(-(0.2*B1162)*5)),0)+IF(AND(ArtifactsInput!$M$22,Inputs!$B$4&lt;&gt;"Chapter Hunt"),CHOOSE(ArtifactsInput!$N$22+1,10,12,14,16,18,20)*((0*(((0.15*B1162*5))^0/1)+1*(((0.15*B1162*5))^1/1)+2*(((0.15*B1162*5))^2/2)+3*(((0.15*B1162*5))^3/6)+4*(((0.15*B1162*5))^4/24)+5*(((0.15*B1162*5))^5/120))/((((0.15*B1162*5))^0/1)+(((0.15*B1162*5))^1/1)+(((0.15*B1162*5))^2/2)+(((0.15*B1162*5))^3/6)+(((0.15*B1162*5))^4/24)+(((0.15*B1162*5))^5/120))),0))+IF(Inputs!$B$3&gt;=54,9*(C1132=TRUE)*MIN(1,8*(1+Inputs!$B$34/100)*Q1132),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36">
      <c r="A1136">
        <f>Skills!A7</f>
        <v/>
      </c>
      <c r="B1136">
        <f>Skills!B7</f>
        <v/>
      </c>
      <c r="C1136">
        <f>Inputs!$B$3&gt;=63</f>
        <v/>
      </c>
      <c r="D1136">
        <f>IF(Skills!C7=1,60+Inputs!$B$25+Inputs!$B$29,IF(Skills!C7=2,90+Inputs!$B$26+Inputs!$B$29,IF(Skills!C7=3,120+Inputs!$B$27+Inputs!$B$29,MAX(0,(Inputs!$B$3-100)*3)+Inputs!$B$28+Inputs!$B$29)))</f>
        <v/>
      </c>
      <c r="E1136">
        <f>INDEX(FactorTable!$B$2:$Y$301, MATCH(ROUND(MIN(300,MAX(1,D1136)),0), FactorTable!$A$2:$A$301,0), Skills!M7+1)</f>
        <v/>
      </c>
      <c r="F1136">
        <f>IF(Skills!N7=TRUE,(Skills!L7/10)*(E1136/1000),Skills!L7/10)+Skills!O7</f>
        <v/>
      </c>
      <c r="G1136">
        <f>Skills!G7*IF(Skills!H7&gt;0,INT(IF(Inputs!$B$38="pvp",MIN(Skills!I7,15),Skills!I7)/Skills!H7+0.000000001),1)</f>
        <v/>
      </c>
      <c r="H1136">
        <f>1-(1-Skills!J7/100)^Skills!K7</f>
        <v/>
      </c>
      <c r="I1136" t="inlineStr">
        <is>
          <t>1</t>
        </is>
      </c>
      <c r="J1136">
        <f>((Inputs!$B$6*(1+Inputs!$B$7/100))+(((Inputs!$B$12*(1+Inputs!$B$13/100))-(Inputs!$B$12*(1+Inputs!$B$13/100)))+0.25*(Inputs!$B$14-Inputs!$B$14))*(1+Inputs!$B$7/100))*(F1136/100)</f>
        <v/>
      </c>
      <c r="K1136">
        <f>J1136*(1+((Inputs!$B$12*(1+Inputs!$B$13/100))*0.01+Inputs!$B$14*0.0025)/100)*(1+Inputs!$B$15/100)*(1+Inputs!$B$16/100)*(5000/(6000+Inputs!$B$42*(1-(100*(1-(1-(Inputs!$B$19+0)/100)*(1-CHOOSE(ArtifactsInput!$N$40+1,5,6,7,8,9,10)/100)^(ArtifactsInput!$M$40-ArtifactsInput!$M$40)))/100)))*(1+(Inputs!$B$24+((C1155=TRUE)*(F1155-Calc!F26))+B1166)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1144=TRUE,F1144,0)/100)*(1+(IF(Skills!A7="EIGHT_LEGS_EASTON",Inputs!$B$17+((C1152=TRUE)*(F1152-Calc!F23))+((C1156=TRUE)*(F1156-Calc!F27))+((IF(AND(Inputs!$B$38&lt;&gt;"pvp",Inputs!$B$43=0),1,IF(IF(Inputs!$B$38="pvp",15,Inputs!$B$43)-(B1167)&lt;=0,1,MAX(0,IF(Inputs!$B$38="pvp",15,Inputs!$B$43)-MAX(5,B1167))/(IF(Inputs!$B$38="pvp",15,Inputs!$B$43)-(B1167))))*(IF(AND(ArtifactsInput!$M$42,((Inputs!$B$9+((C1148=TRUE)*(F1148-Calc!F19))+B1160+(ArtifactsInput!$M$24-ArtifactsInput!$M$24)*CHOOSE(ArtifactsInput!$N$24+1,10,12,14,16,18,20)+IF(ArtifactsInput!$M$10,CHOOSE(ArtifactsInput!$N$10+1,15,18,21,24,27,30)*(IF(Inputs!$B$38="pvp",MIN(15,15)/15,IF(AND(Inputs!$B$38&lt;&gt;"pvp",Inputs!$B$43&gt;0),MIN(15,Inputs!$B$43)/(Inputs!$B$43),0))),0)))&gt;=100),MIN(100,((Inputs!$B$9+((C1148=TRUE)*(F1148-Calc!F19))+B1160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1167)&lt;=0,1,MAX(0,IF(Inputs!$B$38="pvp",15,Inputs!$B$43)-MAX(5,B1167))/(IF(Inputs!$B$38="pvp",15,Inputs!$B$43)-(B1167))))*IF(AND(ArtifactsInput!$M$42,((Inputs!$B$9+((C1148=TRUE)*(F1148-Calc!F19))+B1160+(ArtifactsInput!$M$24-ArtifactsInput!$M$24)*CHOOSE(ArtifactsInput!$N$24+1,10,12,14,16,18,20)+IF(ArtifactsInput!$M$10,CHOOSE(ArtifactsInput!$N$10+1,15,18,21,24,27,30)*(IF(Inputs!$B$38="pvp",MIN(15,15)/15,IF(AND(Inputs!$B$38&lt;&gt;"pvp",Inputs!$B$43&gt;0),MIN(15,Inputs!$B$43)/(Inputs!$B$43),0))),0)))&gt;=100),CHOOSE(ArtifactsInput!$N$42+1,40,48,56,64,72,80),0))))/100)*((1+(((C1146=TRUE)*F1146*5/7)+((C1153=TRUE)*(F1153-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1136)</f>
        <v/>
      </c>
      <c r="L1136">
        <f>K1136*(MIN(Inputs!$B$22+((C1151=TRUE)*(F1151-Calc!F22)),(Inputs!$B$23+0+(IF(ArtifactsInput!$M$15,CHOOSE(ArtifactsInput!$N$15+1,25,30,35,40,45,50)/100*(Inputs!$B$11-Inputs!$B$11),0))))/100+(Inputs!$B$23+0+(IF(ArtifactsInput!$M$15,CHOOSE(ArtifactsInput!$N$15+1,25,30,35,40,45,50)/100*(Inputs!$B$11-Inputs!$B$11),0)))/100)/2</f>
        <v/>
      </c>
      <c r="M1136">
        <f>L1136*(1+(Inputs!$B$10+((C1154=TRUE)*(F1154-Calc!F25))+B1165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36">
        <f>L1136*(1-MIN((Inputs!$B$9+((C1148=TRUE)*(F1148-Calc!F19))+B1160+(ArtifactsInput!$M$24-ArtifactsInput!$M$24)*CHOOSE(ArtifactsInput!$N$24+1,10,12,14,16,18,20)+(IF(AND(Inputs!$B$38&lt;&gt;"pvp",Inputs!$B$43=0),1,IF(IF(Inputs!$B$38="pvp",15,Inputs!$B$43)-(B1167)&lt;=0,1,MAX(0,IF(Inputs!$B$38="pvp",15,Inputs!$B$43)-MAX(5,B1167))/(IF(Inputs!$B$38="pvp",15,Inputs!$B$43)-(B1167))))*IF(AND(ArtifactsInput!$M$42,((Inputs!$B$9+((C1148=TRUE)*(F1148-Calc!F19))+B1160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1136*(MIN((Inputs!$B$9+((C1148=TRUE)*(F1148-Calc!F19))+B1160+(ArtifactsInput!$M$24-ArtifactsInput!$M$24)*CHOOSE(ArtifactsInput!$N$24+1,10,12,14,16,18,20)+(IF(AND(Inputs!$B$38&lt;&gt;"pvp",Inputs!$B$43=0),1,IF(IF(Inputs!$B$38="pvp",15,Inputs!$B$43)-(B1167)&lt;=0,1,MAX(0,IF(Inputs!$B$38="pvp",15,Inputs!$B$43)-MAX(5,B1167))/(IF(Inputs!$B$38="pvp",15,Inputs!$B$43)-(B1167))))*IF(AND(ArtifactsInput!$M$42,((Inputs!$B$9+((C1148=TRUE)*(F1148-Calc!F19))+B1160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36">
        <f>(1-Summary!$B$11)*T1136+Summary!$B$11*V1136</f>
        <v/>
      </c>
      <c r="P1136">
        <f>IF(B1170=0,0,O1136/B1170)</f>
        <v/>
      </c>
      <c r="Q1136">
        <f>IFERROR(1/(IF(Inputs!$B$38="pvp",15,MAX(0.1,Skills!D7-IF(TRUE=TRUE,(Inputs!$B$32+1),0)))*(1-IF(AND(ArtifactsInput!$M$27,Inputs!$B$4="Chapter Hunt"),CHOOSE(ArtifactsInput!$N$27+1,20,24,28,32,36,40),0)/100)),0)</f>
        <v/>
      </c>
      <c r="R1136">
        <f>IF(AND(Inputs!$B$38&lt;&gt;"pvp",Inputs!$B$43&gt;0),IF(MAX(0,Inputs!$B$43-B1167)&lt;=0,0,(INT(MAX(0,Inputs!$B$43-B1167)/(IF(Inputs!$B$38="pvp",15,MAX(0.1,Skills!D7-IF(TRUE=TRUE,(Inputs!$B$32+1),0)))*(1-IF(AND(ArtifactsInput!$M$27,Inputs!$B$4="Chapter Hunt"),CHOOSE(ArtifactsInput!$N$27+1,20,24,28,32,36,40),0)/100)))+1)),0)</f>
        <v/>
      </c>
      <c r="S1136">
        <f>IFERROR(O1136/N1136,0)</f>
        <v/>
      </c>
      <c r="T1136">
        <f>IF(C1136,(H1136*N1136*IF(AND(Inputs!$B$38&lt;&gt;"pvp",Inputs!$B$43&gt;0),((Skills!G7*((R1136-1)*IF(Skills!H7&gt;0,INT(Skills!I7/Skills!H7+0.000000001),1)+IF(Skills!H7&gt;0,INT(MIN(Skills!I7,MAX(0,MAX(0,Inputs!$B$43-B1167)-((R1136-1)*(IF(Inputs!$B$38="pvp",15,MAX(0.1,Skills!D7-IF(TRUE=TRUE,(Inputs!$B$32+1),0)))*(1-IF(AND(ArtifactsInput!$M$27,Inputs!$B$4="Chapter Hunt"),CHOOSE(ArtifactsInput!$N$27+1,20,24,28,32,36,40),0)/100)))))/Skills!H7+0.000000001),1)))/Inputs!$B$43),G1136*Q1136))*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Hunt"),CHOOSE(ArtifactsInput!$N$35+1,15,18,21,24,27,30)*(1-EXP(-(0.2*B1162)*5)),0)+IF(AND(ArtifactsInput!$M$22,Inputs!$B$4&lt;&gt;"Chapter Hunt"),CHOOSE(ArtifactsInput!$N$22+1,10,12,14,16,18,20)*((0*(((0.15*B1162*5))^0/1)+1*(((0.15*B1162*5))^1/1)+2*(((0.15*B1162*5))^2/2)+3*(((0.15*B1162*5))^3/6)+4*(((0.15*B1162*5))^4/24)+5*(((0.15*B1162*5))^5/120))/((((0.15*B1162*5))^0/1)+(((0.15*B1162*5))^1/1)+(((0.15*B1162*5))^2/2)+(((0.15*B1162*5))^3/6)+(((0.15*B1162*5))^4/24)+(((0.15*B1162*5))^5/120))),0))+IF(Inputs!$B$3&gt;=54,9*(C1132=TRUE)*MIN(1,8*(1+Inputs!$B$34/100)*Q1132)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1136*(1-MIN(100,(Inputs!$B$9+((C1148=TRUE)*(F1148-Calc!F19))+B1160+(ArtifactsInput!$M$24-ArtifactsInput!$M$24)*CHOOSE(ArtifactsInput!$N$24+1,10,12,14,16,18,20)+(IF(AND(Inputs!$B$38&lt;&gt;"pvp",Inputs!$B$43=0),1,IF(IF(Inputs!$B$38="pvp",15,Inputs!$B$43)-(B1167)&lt;=0,1,MAX(0,IF(Inputs!$B$38="pvp",15,Inputs!$B$43)-MAX(5,B1167))/(IF(Inputs!$B$38="pvp",15,Inputs!$B$43)-(B1167))))*IF(AND(ArtifactsInput!$M$42,((Inputs!$B$9+((C1148=TRUE)*(F1148-Calc!F19))+B1160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1136*(MIN(100,(Inputs!$B$9+((C1148=TRUE)*(F1148-Calc!F19))+B1160+(ArtifactsInput!$M$24-ArtifactsInput!$M$24)*CHOOSE(ArtifactsInput!$N$24+1,10,12,14,16,18,20)+(IF(AND(Inputs!$B$38&lt;&gt;"pvp",Inputs!$B$43=0),1,IF(IF(Inputs!$B$38="pvp",15,Inputs!$B$43)-(B1167)&lt;=0,1,MAX(0,IF(Inputs!$B$38="pvp",15,Inputs!$B$43)-MAX(5,B1167))/(IF(Inputs!$B$38="pvp",15,Inputs!$B$43)-(B1167))))*IF(AND(ArtifactsInput!$M$42,((Inputs!$B$9+((C1148=TRUE)*(F1148-Calc!F19))+B1160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1136*(1-MIN(100,(Inputs!$B$9+((C1148=TRUE)*(F1148-Calc!F19))+B1160+(ArtifactsInput!$M$24-ArtifactsInput!$M$24)*CHOOSE(ArtifactsInput!$N$24+1,10,12,14,16,18,20)+(IF(AND(Inputs!$B$38&lt;&gt;"pvp",Inputs!$B$43=0),1,IF(IF(Inputs!$B$38="pvp",15,Inputs!$B$43)-(B1167)&lt;=0,1,MAX(0,IF(Inputs!$B$38="pvp",15,Inputs!$B$43)-MAX(5,B1167))/(IF(Inputs!$B$38="pvp",15,Inputs!$B$43)-(B1167))))*IF(AND(ArtifactsInput!$M$42,((Inputs!$B$9+((C1148=TRUE)*(F1148-Calc!F19))+B1160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1136*(MIN(100,(Inputs!$B$9+((C1148=TRUE)*(F1148-Calc!F19))+B1160+(ArtifactsInput!$M$24-ArtifactsInput!$M$24)*CHOOSE(ArtifactsInput!$N$24+1,10,12,14,16,18,20)+(IF(AND(Inputs!$B$38&lt;&gt;"pvp",Inputs!$B$43=0),1,IF(IF(Inputs!$B$38="pvp",15,Inputs!$B$43)-(B1167)&lt;=0,1,MAX(0,IF(Inputs!$B$38="pvp",15,Inputs!$B$43)-MAX(5,B1167))/(IF(Inputs!$B$38="pvp",15,Inputs!$B$43)-(B1167))))*IF(AND(ArtifactsInput!$M$42,((Inputs!$B$9+((C1148=TRUE)*(F1148-Calc!F19))+B1160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136">
        <f>IF(C1136,(H1136*N1136*IF(AND(Inputs!$B$38&lt;&gt;"pvp",Inputs!$B$43&gt;0),((Skills!G7*((R1136-1)*IF(Skills!H7&gt;0,INT(Skills!I7/Skills!H7+0.000000001),1)+IF(Skills!H7&gt;0,INT(MIN(Skills!I7,MAX(0,MAX(0,Inputs!$B$43-B1167)-((R1136-1)*(IF(Inputs!$B$38="pvp",15,MAX(0.1,Skills!D7-IF(TRUE=TRUE,(Inputs!$B$32+1),0)))*(1-IF(AND(ArtifactsInput!$M$27,Inputs!$B$4="Chapter Hunt"),CHOOSE(ArtifactsInput!$N$27+1,20,24,28,32,36,40),0)/100)))))/Skills!H7+0.000000001),1)))/Inputs!$B$43),G1136*Q1136))*IF(Inputs!$B$38="pvp",1,(1+(Inputs!$B$21+Skills!Q7+(IF(ArtifactsInput!$M$33,CHOOSE(ArtifactsInput!$N$33+1,30,36,42,48,54,60),0))+(IF(AND(ArtifactsInput!$M$35,Inputs!$B$4&lt;&gt;"Chapter Hunt"),CHOOSE(ArtifactsInput!$N$35+1,15,18,21,24,27,30)*(1-EXP(-(0.2*B1162)*5)),0)+IF(AND(ArtifactsInput!$M$22,Inputs!$B$4&lt;&gt;"Chapter Hunt"),CHOOSE(ArtifactsInput!$N$22+1,10,12,14,16,18,20)*((0*(((0.15*B1162*5))^0/1)+1*(((0.15*B1162*5))^1/1)+2*(((0.15*B1162*5))^2/2)+3*(((0.15*B1162*5))^3/6)+4*(((0.15*B1162*5))^4/24)+5*(((0.15*B1162*5))^5/120))/((((0.15*B1162*5))^0/1)+(((0.15*B1162*5))^1/1)+(((0.15*B1162*5))^2/2)+(((0.15*B1162*5))^3/6)+(((0.15*B1162*5))^4/24)+(((0.15*B1162*5))^5/120))),0))+IF(Inputs!$B$3&gt;=54,9*(C1132=TRUE)*MIN(1,8*(1+Inputs!$B$34/100)*Q1132),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37">
      <c r="A1137">
        <f>Skills!A8</f>
        <v/>
      </c>
      <c r="B1137">
        <f>Skills!B8</f>
        <v/>
      </c>
      <c r="C1137">
        <f>Inputs!$B$3&gt;=103</f>
        <v/>
      </c>
      <c r="D1137">
        <f>IF(Skills!C8=1,60+Inputs!$B$25+Inputs!$B$29,IF(Skills!C8=2,90+Inputs!$B$26+Inputs!$B$29,IF(Skills!C8=3,120+Inputs!$B$27+Inputs!$B$29,MAX(0,(Inputs!$B$3-100)*3)+Inputs!$B$28+Inputs!$B$29)))</f>
        <v/>
      </c>
      <c r="E1137">
        <f>INDEX(FactorTable!$B$2:$Y$301, MATCH(ROUND(MIN(300,MAX(1,D1137)),0), FactorTable!$A$2:$A$301,0), Skills!M8+1)</f>
        <v/>
      </c>
      <c r="F1137">
        <f>IF(Skills!N8=TRUE,(Skills!L8/10)*(E1137/1000),Skills!L8/10)+Skills!O8</f>
        <v/>
      </c>
      <c r="G1137">
        <f>Skills!G8*IF(Skills!H8&gt;0,INT(IF(Inputs!$B$38="pvp",MIN(Skills!I8,15),Skills!I8)/Skills!H8+0.000000001),1)</f>
        <v/>
      </c>
      <c r="H1137">
        <f>1-(1-Skills!J8/100)^Skills!K8</f>
        <v/>
      </c>
      <c r="I1137" t="inlineStr">
        <is>
          <t>1</t>
        </is>
      </c>
      <c r="J1137">
        <f>((Inputs!$B$6*(1+Inputs!$B$7/100))+(((Inputs!$B$12*(1+Inputs!$B$13/100))-(Inputs!$B$12*(1+Inputs!$B$13/100)))+0.25*(Inputs!$B$14-Inputs!$B$14))*(1+Inputs!$B$7/100))*(F1137/100)</f>
        <v/>
      </c>
      <c r="K1137">
        <f>J1137*(1+((Inputs!$B$12*(1+Inputs!$B$13/100))*0.01+Inputs!$B$14*0.0025)/100)*(1+Inputs!$B$15/100)*(1+Inputs!$B$16/100)*(5000/(6000+Inputs!$B$42*(1-(100*(1-(1-(Inputs!$B$19+0)/100)*(1-CHOOSE(ArtifactsInput!$N$40+1,5,6,7,8,9,10)/100)^(ArtifactsInput!$M$40-ArtifactsInput!$M$40)))/100)))*(1+(Inputs!$B$24+((C1155=TRUE)*(F1155-Calc!F26))+B1166)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IGHT_LEGS_EASTON",Inputs!$B$17+((C1152=TRUE)*(F1152-Calc!F23))+((C1156=TRUE)*(F1156-Calc!F27))+((IF(AND(Inputs!$B$38&lt;&gt;"pvp",Inputs!$B$43=0),1,IF(IF(Inputs!$B$38="pvp",15,Inputs!$B$43)-(B1167)&lt;=0,1,MAX(0,IF(Inputs!$B$38="pvp",15,Inputs!$B$43)-MAX(5,B1167))/(IF(Inputs!$B$38="pvp",15,Inputs!$B$43)-(B1167))))*(IF(AND(ArtifactsInput!$M$42,((Inputs!$B$9+((C1148=TRUE)*(F1148-Calc!F19))+B1160+(ArtifactsInput!$M$24-ArtifactsInput!$M$24)*CHOOSE(ArtifactsInput!$N$24+1,10,12,14,16,18,20)+IF(ArtifactsInput!$M$10,CHOOSE(ArtifactsInput!$N$10+1,15,18,21,24,27,30)*(IF(Inputs!$B$38="pvp",MIN(15,15)/15,IF(AND(Inputs!$B$38&lt;&gt;"pvp",Inputs!$B$43&gt;0),MIN(15,Inputs!$B$43)/(Inputs!$B$43),0))),0)))&gt;=100),MIN(100,((Inputs!$B$9+((C1148=TRUE)*(F1148-Calc!F19))+B1160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1167)&lt;=0,1,MAX(0,IF(Inputs!$B$38="pvp",15,Inputs!$B$43)-MAX(5,B1167))/(IF(Inputs!$B$38="pvp",15,Inputs!$B$43)-(B1167))))*IF(AND(ArtifactsInput!$M$42,((Inputs!$B$9+((C1148=TRUE)*(F1148-Calc!F19))+B1160+(ArtifactsInput!$M$24-ArtifactsInput!$M$24)*CHOOSE(ArtifactsInput!$N$24+1,10,12,14,16,18,20)+IF(ArtifactsInput!$M$10,CHOOSE(ArtifactsInput!$N$10+1,15,18,21,24,27,30)*(IF(Inputs!$B$38="pvp",MIN(15,15)/15,IF(AND(Inputs!$B$38&lt;&gt;"pvp",Inputs!$B$43&gt;0),MIN(15,Inputs!$B$43)/(Inputs!$B$43),0))),0)))&gt;=100),CHOOSE(ArtifactsInput!$N$42+1,40,48,56,64,72,80),0))))/100)*((1+(((C1146=TRUE)*F1146*5/7)+((C1153=TRUE)*(F1153-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1137)</f>
        <v/>
      </c>
      <c r="L1137">
        <f>K1137*(MIN(Inputs!$B$22+((C1151=TRUE)*(F1151-Calc!F22)),(Inputs!$B$23+0+(IF(ArtifactsInput!$M$15,CHOOSE(ArtifactsInput!$N$15+1,25,30,35,40,45,50)/100*(Inputs!$B$11-Inputs!$B$11),0))))/100+(Inputs!$B$23+0+(IF(ArtifactsInput!$M$15,CHOOSE(ArtifactsInput!$N$15+1,25,30,35,40,45,50)/100*(Inputs!$B$11-Inputs!$B$11),0)))/100)/2</f>
        <v/>
      </c>
      <c r="M1137">
        <f>L1137*(1+(Inputs!$B$10+((C1154=TRUE)*(F1154-Calc!F25))+B1165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37">
        <f>L1137*(1-MIN((Inputs!$B$9+((C1148=TRUE)*(F1148-Calc!F19))+B1160+(ArtifactsInput!$M$24-ArtifactsInput!$M$24)*CHOOSE(ArtifactsInput!$N$24+1,10,12,14,16,18,20)+(IF(AND(Inputs!$B$38&lt;&gt;"pvp",Inputs!$B$43=0),1,IF(IF(Inputs!$B$38="pvp",15,Inputs!$B$43)-(B1167)&lt;=0,1,MAX(0,IF(Inputs!$B$38="pvp",15,Inputs!$B$43)-MAX(5,B1167))/(IF(Inputs!$B$38="pvp",15,Inputs!$B$43)-(B1167))))*IF(AND(ArtifactsInput!$M$42,((Inputs!$B$9+((C1148=TRUE)*(F1148-Calc!F19))+B1160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1137*(MIN((Inputs!$B$9+((C1148=TRUE)*(F1148-Calc!F19))+B1160+(ArtifactsInput!$M$24-ArtifactsInput!$M$24)*CHOOSE(ArtifactsInput!$N$24+1,10,12,14,16,18,20)+(IF(AND(Inputs!$B$38&lt;&gt;"pvp",Inputs!$B$43=0),1,IF(IF(Inputs!$B$38="pvp",15,Inputs!$B$43)-(B1167)&lt;=0,1,MAX(0,IF(Inputs!$B$38="pvp",15,Inputs!$B$43)-MAX(5,B1167))/(IF(Inputs!$B$38="pvp",15,Inputs!$B$43)-(B1167))))*IF(AND(ArtifactsInput!$M$42,((Inputs!$B$9+((C1148=TRUE)*(F1148-Calc!F19))+B1160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37">
        <f>(1-Summary!$B$11)*T1137+Summary!$B$11*V1137</f>
        <v/>
      </c>
      <c r="P1137">
        <f>IF(B1170=0,0,O1137/B1170)</f>
        <v/>
      </c>
      <c r="Q1137">
        <f>IFERROR(1/((IF(Inputs!$B$38="pvp",15,MAX(0.1,Skills!D8-IF(TRUE=TRUE,(Inputs!$B$32+1),0)))*(1-IF(AND(ArtifactsInput!$M$27,Inputs!$B$4="Chapter Hunt"),CHOOSE(ArtifactsInput!$N$27+1,20,24,28,32,36,40),0)/100))/B1171),0)</f>
        <v/>
      </c>
      <c r="R1137">
        <f>IF(AND(Inputs!$B$38&lt;&gt;"pvp",Inputs!$B$43&gt;0),IF(MAX(0,Inputs!$B$43-B1167)&lt;=0,0,(INT(MAX(0,Inputs!$B$43-B1167)/((IF(Inputs!$B$38="pvp",15,MAX(0.1,Skills!D8-IF(TRUE=TRUE,(Inputs!$B$32+1),0)))*(1-IF(AND(ArtifactsInput!$M$27,Inputs!$B$4="Chapter Hunt"),CHOOSE(ArtifactsInput!$N$27+1,20,24,28,32,36,40),0)/100))/B1171))+1)),0)</f>
        <v/>
      </c>
      <c r="S1137">
        <f>IFERROR(O1137/N1137,0)</f>
        <v/>
      </c>
      <c r="T1137">
        <f>IF(C1137,(H1137*N1137*IF(AND(Inputs!$B$38&lt;&gt;"pvp",Inputs!$B$43&gt;0),((Skills!G8*((R1137-1)*IF(Skills!H8&gt;0,INT(Skills!I8/Skills!H8+0.000000001),1)+IF(Skills!H8&gt;0,INT(MIN(Skills!I8,MAX(0,MAX(0,Inputs!$B$43-B1167)-((R1137-1)*((IF(Inputs!$B$38="pvp",15,MAX(0.1,Skills!D8-IF(TRUE=TRUE,(Inputs!$B$32+1),0)))*(1-IF(AND(ArtifactsInput!$M$27,Inputs!$B$4="Chapter Hunt"),CHOOSE(ArtifactsInput!$N$27+1,20,24,28,32,36,40),0)/100))/B1171))))/Skills!H8+0.000000001),1)))/Inputs!$B$43),G1137*Q1137))*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Hunt"),CHOOSE(ArtifactsInput!$N$35+1,15,18,21,24,27,30)*(1-EXP(-(0.2*B1162)*5)),0)+IF(AND(ArtifactsInput!$M$22,Inputs!$B$4&lt;&gt;"Chapter Hunt"),CHOOSE(ArtifactsInput!$N$22+1,10,12,14,16,18,20)*((0*(((0.15*B1162*5))^0/1)+1*(((0.15*B1162*5))^1/1)+2*(((0.15*B1162*5))^2/2)+3*(((0.15*B1162*5))^3/6)+4*(((0.15*B1162*5))^4/24)+5*(((0.15*B1162*5))^5/120))/((((0.15*B1162*5))^0/1)+(((0.15*B1162*5))^1/1)+(((0.15*B1162*5))^2/2)+(((0.15*B1162*5))^3/6)+(((0.15*B1162*5))^4/24)+(((0.15*B1162*5))^5/120))),0))+IF(Inputs!$B$3&gt;=54,9*(C1132=TRUE)*MIN(1,8*(1+Inputs!$B$34/100)*Q1132)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1137*(1-MIN(100,(Inputs!$B$9+((C1148=TRUE)*(F1148-Calc!F19))+B1160+(ArtifactsInput!$M$24-ArtifactsInput!$M$24)*CHOOSE(ArtifactsInput!$N$24+1,10,12,14,16,18,20)+(IF(AND(Inputs!$B$38&lt;&gt;"pvp",Inputs!$B$43=0),1,IF(IF(Inputs!$B$38="pvp",15,Inputs!$B$43)-(B1167)&lt;=0,1,MAX(0,IF(Inputs!$B$38="pvp",15,Inputs!$B$43)-MAX(5,B1167))/(IF(Inputs!$B$38="pvp",15,Inputs!$B$43)-(B1167))))*IF(AND(ArtifactsInput!$M$42,((Inputs!$B$9+((C1148=TRUE)*(F1148-Calc!F19))+B1160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1137*(MIN(100,(Inputs!$B$9+((C1148=TRUE)*(F1148-Calc!F19))+B1160+(ArtifactsInput!$M$24-ArtifactsInput!$M$24)*CHOOSE(ArtifactsInput!$N$24+1,10,12,14,16,18,20)+(IF(AND(Inputs!$B$38&lt;&gt;"pvp",Inputs!$B$43=0),1,IF(IF(Inputs!$B$38="pvp",15,Inputs!$B$43)-(B1167)&lt;=0,1,MAX(0,IF(Inputs!$B$38="pvp",15,Inputs!$B$43)-MAX(5,B1167))/(IF(Inputs!$B$38="pvp",15,Inputs!$B$43)-(B1167))))*IF(AND(ArtifactsInput!$M$42,((Inputs!$B$9+((C1148=TRUE)*(F1148-Calc!F19))+B1160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1137*(1-MIN(100,(Inputs!$B$9+((C1148=TRUE)*(F1148-Calc!F19))+B1160+(ArtifactsInput!$M$24-ArtifactsInput!$M$24)*CHOOSE(ArtifactsInput!$N$24+1,10,12,14,16,18,20)+(IF(AND(Inputs!$B$38&lt;&gt;"pvp",Inputs!$B$43=0),1,IF(IF(Inputs!$B$38="pvp",15,Inputs!$B$43)-(B1167)&lt;=0,1,MAX(0,IF(Inputs!$B$38="pvp",15,Inputs!$B$43)-MAX(5,B1167))/(IF(Inputs!$B$38="pvp",15,Inputs!$B$43)-(B1167))))*IF(AND(ArtifactsInput!$M$42,((Inputs!$B$9+((C1148=TRUE)*(F1148-Calc!F19))+B1160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1137*(MIN(100,(Inputs!$B$9+((C1148=TRUE)*(F1148-Calc!F19))+B1160+(ArtifactsInput!$M$24-ArtifactsInput!$M$24)*CHOOSE(ArtifactsInput!$N$24+1,10,12,14,16,18,20)+(IF(AND(Inputs!$B$38&lt;&gt;"pvp",Inputs!$B$43=0),1,IF(IF(Inputs!$B$38="pvp",15,Inputs!$B$43)-(B1167)&lt;=0,1,MAX(0,IF(Inputs!$B$38="pvp",15,Inputs!$B$43)-MAX(5,B1167))/(IF(Inputs!$B$38="pvp",15,Inputs!$B$43)-(B1167))))*IF(AND(ArtifactsInput!$M$42,((Inputs!$B$9+((C1148=TRUE)*(F1148-Calc!F19))+B1160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137">
        <f>IF(C1137,(H1137*N1137*IF(AND(Inputs!$B$38&lt;&gt;"pvp",Inputs!$B$43&gt;0),((Skills!G8*((R1137-1)*IF(Skills!H8&gt;0,INT(Skills!I8/Skills!H8+0.000000001),1)+IF(Skills!H8&gt;0,INT(MIN(Skills!I8,MAX(0,MAX(0,Inputs!$B$43-B1167)-((R1137-1)*((IF(Inputs!$B$38="pvp",15,MAX(0.1,Skills!D8-IF(TRUE=TRUE,(Inputs!$B$32+1),0)))*(1-IF(AND(ArtifactsInput!$M$27,Inputs!$B$4="Chapter Hunt"),CHOOSE(ArtifactsInput!$N$27+1,20,24,28,32,36,40),0)/100))/B1171))))/Skills!H8+0.000000001),1)))/Inputs!$B$43),G1137*Q1137))*IF(Inputs!$B$38="pvp",1,(1+(Inputs!$B$21+Skills!Q8+(IF(ArtifactsInput!$M$33,CHOOSE(ArtifactsInput!$N$33+1,30,36,42,48,54,60),0))+(IF(AND(ArtifactsInput!$M$35,Inputs!$B$4&lt;&gt;"Chapter Hunt"),CHOOSE(ArtifactsInput!$N$35+1,15,18,21,24,27,30)*(1-EXP(-(0.2*B1162)*5)),0)+IF(AND(ArtifactsInput!$M$22,Inputs!$B$4&lt;&gt;"Chapter Hunt"),CHOOSE(ArtifactsInput!$N$22+1,10,12,14,16,18,20)*((0*(((0.15*B1162*5))^0/1)+1*(((0.15*B1162*5))^1/1)+2*(((0.15*B1162*5))^2/2)+3*(((0.15*B1162*5))^3/6)+4*(((0.15*B1162*5))^4/24)+5*(((0.15*B1162*5))^5/120))/((((0.15*B1162*5))^0/1)+(((0.15*B1162*5))^1/1)+(((0.15*B1162*5))^2/2)+(((0.15*B1162*5))^3/6)+(((0.15*B1162*5))^4/24)+(((0.15*B1162*5))^5/120))),0))+IF(Inputs!$B$3&gt;=54,9*(C1132=TRUE)*MIN(1,8*(1+Inputs!$B$34/100)*Q1132),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38">
      <c r="A1138">
        <f>Skills!A9</f>
        <v/>
      </c>
      <c r="B1138">
        <f>Skills!B9</f>
        <v/>
      </c>
      <c r="C1138">
        <f>Inputs!$B$3&gt;=105</f>
        <v/>
      </c>
      <c r="D1138">
        <f>IF(Skills!C9=1,60+Inputs!$B$25+Inputs!$B$29,IF(Skills!C9=2,90+Inputs!$B$26+Inputs!$B$29,IF(Skills!C9=3,120+Inputs!$B$27+Inputs!$B$29,MAX(0,(Inputs!$B$3-100)*3)+Inputs!$B$28+Inputs!$B$29)))</f>
        <v/>
      </c>
      <c r="E1138">
        <f>INDEX(FactorTable!$B$2:$Y$301, MATCH(ROUND(MIN(300,MAX(1,D1138)),0), FactorTable!$A$2:$A$301,0), Skills!M9+1)</f>
        <v/>
      </c>
      <c r="F1138">
        <f>IF(Skills!N9=TRUE,(Skills!L9/10)*(E1138/1000),Skills!L9/10)+Skills!O9</f>
        <v/>
      </c>
      <c r="G1138">
        <f>Skills!G9*IF(Skills!H9&gt;0,INT(IF(Inputs!$B$38="pvp",MIN(Skills!I9,15),Skills!I9)/Skills!H9+0.000000001),1)</f>
        <v/>
      </c>
      <c r="H1138">
        <f>1-(1-Skills!J9/100)^Skills!K9</f>
        <v/>
      </c>
      <c r="I1138" t="inlineStr">
        <is>
          <t>1</t>
        </is>
      </c>
      <c r="J1138">
        <f>((Inputs!$B$6*(1+Inputs!$B$7/100))+(((Inputs!$B$12*(1+Inputs!$B$13/100))-(Inputs!$B$12*(1+Inputs!$B$13/100)))+0.25*(Inputs!$B$14-Inputs!$B$14))*(1+Inputs!$B$7/100))*(F1138/100)</f>
        <v/>
      </c>
      <c r="K1138">
        <f>J1138*(1+((Inputs!$B$12*(1+Inputs!$B$13/100))*0.01+Inputs!$B$14*0.0025)/100)*(1+Inputs!$B$15/100)*(1+Inputs!$B$16/100)*(5000/(6000+Inputs!$B$42*(1-(100*(1-(1-(Inputs!$B$19+0)/100)*(1-CHOOSE(ArtifactsInput!$N$40+1,5,6,7,8,9,10)/100)^(ArtifactsInput!$M$40-ArtifactsInput!$M$40)))/100)))*(1+(Inputs!$B$24+((C1155=TRUE)*(F1155-Calc!F26))+B1166)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IGHT_LEGS_EASTON",Inputs!$B$17+((C1152=TRUE)*(F1152-Calc!F23))+((C1156=TRUE)*(F1156-Calc!F27))+((IF(AND(Inputs!$B$38&lt;&gt;"pvp",Inputs!$B$43=0),1,IF(IF(Inputs!$B$38="pvp",15,Inputs!$B$43)-(B1167)&lt;=0,1,MAX(0,IF(Inputs!$B$38="pvp",15,Inputs!$B$43)-MAX(5,B1167))/(IF(Inputs!$B$38="pvp",15,Inputs!$B$43)-(B1167))))*(IF(AND(ArtifactsInput!$M$42,((Inputs!$B$9+((C1148=TRUE)*(F1148-Calc!F19))+B1160+(ArtifactsInput!$M$24-ArtifactsInput!$M$24)*CHOOSE(ArtifactsInput!$N$24+1,10,12,14,16,18,20)+IF(ArtifactsInput!$M$10,CHOOSE(ArtifactsInput!$N$10+1,15,18,21,24,27,30)*(IF(Inputs!$B$38="pvp",MIN(15,15)/15,IF(AND(Inputs!$B$38&lt;&gt;"pvp",Inputs!$B$43&gt;0),MIN(15,Inputs!$B$43)/(Inputs!$B$43),0))),0)))&gt;=100),MIN(100,((Inputs!$B$9+((C1148=TRUE)*(F1148-Calc!F19))+B1160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1167)&lt;=0,1,MAX(0,IF(Inputs!$B$38="pvp",15,Inputs!$B$43)-MAX(5,B1167))/(IF(Inputs!$B$38="pvp",15,Inputs!$B$43)-(B1167))))*IF(AND(ArtifactsInput!$M$42,((Inputs!$B$9+((C1148=TRUE)*(F1148-Calc!F19))+B1160+(ArtifactsInput!$M$24-ArtifactsInput!$M$24)*CHOOSE(ArtifactsInput!$N$24+1,10,12,14,16,18,20)+IF(ArtifactsInput!$M$10,CHOOSE(ArtifactsInput!$N$10+1,15,18,21,24,27,30)*(IF(Inputs!$B$38="pvp",MIN(15,15)/15,IF(AND(Inputs!$B$38&lt;&gt;"pvp",Inputs!$B$43&gt;0),MIN(15,Inputs!$B$43)/(Inputs!$B$43),0))),0)))&gt;=100),CHOOSE(ArtifactsInput!$N$42+1,40,48,56,64,72,80),0))))/100)*((1+(((C1146=TRUE)*F1146*5/7)+((C1153=TRUE)*(F1153-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1138)</f>
        <v/>
      </c>
      <c r="L1138">
        <f>K1138*(MIN(Inputs!$B$22+((C1151=TRUE)*(F1151-Calc!F22)),(Inputs!$B$23+0+(IF(ArtifactsInput!$M$15,CHOOSE(ArtifactsInput!$N$15+1,25,30,35,40,45,50)/100*(Inputs!$B$11-Inputs!$B$11),0))))/100+(Inputs!$B$23+0+(IF(ArtifactsInput!$M$15,CHOOSE(ArtifactsInput!$N$15+1,25,30,35,40,45,50)/100*(Inputs!$B$11-Inputs!$B$11),0)))/100)/2</f>
        <v/>
      </c>
      <c r="M1138">
        <f>L1138*(1+(Inputs!$B$10+((C1154=TRUE)*(F1154-Calc!F25))+B1165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38">
        <f>L1138*(1-MIN((Inputs!$B$9+((C1148=TRUE)*(F1148-Calc!F19))+B1160+(ArtifactsInput!$M$24-ArtifactsInput!$M$24)*CHOOSE(ArtifactsInput!$N$24+1,10,12,14,16,18,20)+(IF(AND(Inputs!$B$38&lt;&gt;"pvp",Inputs!$B$43=0),1,IF(IF(Inputs!$B$38="pvp",15,Inputs!$B$43)-(B1167)&lt;=0,1,MAX(0,IF(Inputs!$B$38="pvp",15,Inputs!$B$43)-MAX(5,B1167))/(IF(Inputs!$B$38="pvp",15,Inputs!$B$43)-(B1167))))*IF(AND(ArtifactsInput!$M$42,((Inputs!$B$9+((C1148=TRUE)*(F1148-Calc!F19))+B1160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1138*(MIN((Inputs!$B$9+((C1148=TRUE)*(F1148-Calc!F19))+B1160+(ArtifactsInput!$M$24-ArtifactsInput!$M$24)*CHOOSE(ArtifactsInput!$N$24+1,10,12,14,16,18,20)+(IF(AND(Inputs!$B$38&lt;&gt;"pvp",Inputs!$B$43=0),1,IF(IF(Inputs!$B$38="pvp",15,Inputs!$B$43)-(B1167)&lt;=0,1,MAX(0,IF(Inputs!$B$38="pvp",15,Inputs!$B$43)-MAX(5,B1167))/(IF(Inputs!$B$38="pvp",15,Inputs!$B$43)-(B1167))))*IF(AND(ArtifactsInput!$M$42,((Inputs!$B$9+((C1148=TRUE)*(F1148-Calc!F19))+B1160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38">
        <f>(1-Summary!$B$11)*T1138+Summary!$B$11*V1138</f>
        <v/>
      </c>
      <c r="P1138">
        <f>IF(B1170=0,0,O1138/B1170)</f>
        <v/>
      </c>
      <c r="Q1138">
        <f>IFERROR(1/(IF(Inputs!$B$38="pvp",15,MAX(0.1,Skills!D9-IF(TRUE=TRUE,(Inputs!$B$32+1),0)))*(1-IF(AND(ArtifactsInput!$M$27,Inputs!$B$4="Chapter Hunt"),CHOOSE(ArtifactsInput!$N$27+1,20,24,28,32,36,40),0)/100)),0)</f>
        <v/>
      </c>
      <c r="R1138">
        <f>IF(AND(Inputs!$B$38&lt;&gt;"pvp",Inputs!$B$43&gt;0),IF(MAX(0,Inputs!$B$43-B1167)&lt;=0,0,(INT(MAX(0,Inputs!$B$43-B1167)/(IF(Inputs!$B$38="pvp",15,MAX(0.1,Skills!D9-IF(TRUE=TRUE,(Inputs!$B$32+1),0)))*(1-IF(AND(ArtifactsInput!$M$27,Inputs!$B$4="Chapter Hunt"),CHOOSE(ArtifactsInput!$N$27+1,20,24,28,32,36,40),0)/100)))+1)),0)</f>
        <v/>
      </c>
      <c r="S1138">
        <f>IFERROR(O1138/N1138,0)</f>
        <v/>
      </c>
      <c r="T1138">
        <f>IF(C1138,(H1138*N1138*IF(AND(Inputs!$B$38&lt;&gt;"pvp",Inputs!$B$43&gt;0),((Skills!G9*((R1138-1)*IF(Skills!H9&gt;0,INT(Skills!I9/Skills!H9+0.000000001),1)+IF(Skills!H9&gt;0,INT(MIN(Skills!I9,MAX(0,MAX(0,Inputs!$B$43-B1167)-((R1138-1)*(IF(Inputs!$B$38="pvp",15,MAX(0.1,Skills!D9-IF(TRUE=TRUE,(Inputs!$B$32+1),0)))*(1-IF(AND(ArtifactsInput!$M$27,Inputs!$B$4="Chapter Hunt"),CHOOSE(ArtifactsInput!$N$27+1,20,24,28,32,36,40),0)/100)))))/Skills!H9+0.000000001),1)))/Inputs!$B$43),G1138*Q1138))*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Hunt"),CHOOSE(ArtifactsInput!$N$35+1,15,18,21,24,27,30)*(1-EXP(-(0.2*B1162)*5)),0)+IF(AND(ArtifactsInput!$M$22,Inputs!$B$4&lt;&gt;"Chapter Hunt"),CHOOSE(ArtifactsInput!$N$22+1,10,12,14,16,18,20)*((0*(((0.15*B1162*5))^0/1)+1*(((0.15*B1162*5))^1/1)+2*(((0.15*B1162*5))^2/2)+3*(((0.15*B1162*5))^3/6)+4*(((0.15*B1162*5))^4/24)+5*(((0.15*B1162*5))^5/120))/((((0.15*B1162*5))^0/1)+(((0.15*B1162*5))^1/1)+(((0.15*B1162*5))^2/2)+(((0.15*B1162*5))^3/6)+(((0.15*B1162*5))^4/24)+(((0.15*B1162*5))^5/120))),0))+IF(Inputs!$B$3&gt;=54,9*(C1132=TRUE)*MIN(1,8*(1+Inputs!$B$34/100)*Q1132)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1138*(1-MIN(100,(Inputs!$B$9+((C1148=TRUE)*(F1148-Calc!F19))+B1160+(ArtifactsInput!$M$24-ArtifactsInput!$M$24)*CHOOSE(ArtifactsInput!$N$24+1,10,12,14,16,18,20)+(IF(AND(Inputs!$B$38&lt;&gt;"pvp",Inputs!$B$43=0),1,IF(IF(Inputs!$B$38="pvp",15,Inputs!$B$43)-(B1167)&lt;=0,1,MAX(0,IF(Inputs!$B$38="pvp",15,Inputs!$B$43)-MAX(5,B1167))/(IF(Inputs!$B$38="pvp",15,Inputs!$B$43)-(B1167))))*IF(AND(ArtifactsInput!$M$42,((Inputs!$B$9+((C1148=TRUE)*(F1148-Calc!F19))+B1160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1138*(MIN(100,(Inputs!$B$9+((C1148=TRUE)*(F1148-Calc!F19))+B1160+(ArtifactsInput!$M$24-ArtifactsInput!$M$24)*CHOOSE(ArtifactsInput!$N$24+1,10,12,14,16,18,20)+(IF(AND(Inputs!$B$38&lt;&gt;"pvp",Inputs!$B$43=0),1,IF(IF(Inputs!$B$38="pvp",15,Inputs!$B$43)-(B1167)&lt;=0,1,MAX(0,IF(Inputs!$B$38="pvp",15,Inputs!$B$43)-MAX(5,B1167))/(IF(Inputs!$B$38="pvp",15,Inputs!$B$43)-(B1167))))*IF(AND(ArtifactsInput!$M$42,((Inputs!$B$9+((C1148=TRUE)*(F1148-Calc!F19))+B1160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1138*(1-MIN(100,(Inputs!$B$9+((C1148=TRUE)*(F1148-Calc!F19))+B1160+(ArtifactsInput!$M$24-ArtifactsInput!$M$24)*CHOOSE(ArtifactsInput!$N$24+1,10,12,14,16,18,20)+(IF(AND(Inputs!$B$38&lt;&gt;"pvp",Inputs!$B$43=0),1,IF(IF(Inputs!$B$38="pvp",15,Inputs!$B$43)-(B1167)&lt;=0,1,MAX(0,IF(Inputs!$B$38="pvp",15,Inputs!$B$43)-MAX(5,B1167))/(IF(Inputs!$B$38="pvp",15,Inputs!$B$43)-(B1167))))*IF(AND(ArtifactsInput!$M$42,((Inputs!$B$9+((C1148=TRUE)*(F1148-Calc!F19))+B1160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1138*(MIN(100,(Inputs!$B$9+((C1148=TRUE)*(F1148-Calc!F19))+B1160+(ArtifactsInput!$M$24-ArtifactsInput!$M$24)*CHOOSE(ArtifactsInput!$N$24+1,10,12,14,16,18,20)+(IF(AND(Inputs!$B$38&lt;&gt;"pvp",Inputs!$B$43=0),1,IF(IF(Inputs!$B$38="pvp",15,Inputs!$B$43)-(B1167)&lt;=0,1,MAX(0,IF(Inputs!$B$38="pvp",15,Inputs!$B$43)-MAX(5,B1167))/(IF(Inputs!$B$38="pvp",15,Inputs!$B$43)-(B1167))))*IF(AND(ArtifactsInput!$M$42,((Inputs!$B$9+((C1148=TRUE)*(F1148-Calc!F19))+B1160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138">
        <f>IF(C1138,(H1138*N1138*IF(AND(Inputs!$B$38&lt;&gt;"pvp",Inputs!$B$43&gt;0),((Skills!G9*((R1138-1)*IF(Skills!H9&gt;0,INT(Skills!I9/Skills!H9+0.000000001),1)+IF(Skills!H9&gt;0,INT(MIN(Skills!I9,MAX(0,MAX(0,Inputs!$B$43-B1167)-((R1138-1)*(IF(Inputs!$B$38="pvp",15,MAX(0.1,Skills!D9-IF(TRUE=TRUE,(Inputs!$B$32+1),0)))*(1-IF(AND(ArtifactsInput!$M$27,Inputs!$B$4="Chapter Hunt"),CHOOSE(ArtifactsInput!$N$27+1,20,24,28,32,36,40),0)/100)))))/Skills!H9+0.000000001),1)))/Inputs!$B$43),G1138*Q1138))*IF(Inputs!$B$38="pvp",1,(1+(Inputs!$B$21+Skills!Q9+(IF(ArtifactsInput!$M$33,CHOOSE(ArtifactsInput!$N$33+1,30,36,42,48,54,60),0))+(IF(AND(ArtifactsInput!$M$35,Inputs!$B$4&lt;&gt;"Chapter Hunt"),CHOOSE(ArtifactsInput!$N$35+1,15,18,21,24,27,30)*(1-EXP(-(0.2*B1162)*5)),0)+IF(AND(ArtifactsInput!$M$22,Inputs!$B$4&lt;&gt;"Chapter Hunt"),CHOOSE(ArtifactsInput!$N$22+1,10,12,14,16,18,20)*((0*(((0.15*B1162*5))^0/1)+1*(((0.15*B1162*5))^1/1)+2*(((0.15*B1162*5))^2/2)+3*(((0.15*B1162*5))^3/6)+4*(((0.15*B1162*5))^4/24)+5*(((0.15*B1162*5))^5/120))/((((0.15*B1162*5))^0/1)+(((0.15*B1162*5))^1/1)+(((0.15*B1162*5))^2/2)+(((0.15*B1162*5))^3/6)+(((0.15*B1162*5))^4/24)+(((0.15*B1162*5))^5/120))),0))+IF(Inputs!$B$3&gt;=54,9*(C1132=TRUE)*MIN(1,8*(1+Inputs!$B$34/100)*Q1132),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39">
      <c r="A1139">
        <f>Skills!A10</f>
        <v/>
      </c>
      <c r="B1139">
        <f>Skills!B10</f>
        <v/>
      </c>
      <c r="C1139">
        <f>Inputs!$B$3&gt;=113</f>
        <v/>
      </c>
      <c r="D1139">
        <f>IF(Skills!C10=1,60+Inputs!$B$25+Inputs!$B$29,IF(Skills!C10=2,90+Inputs!$B$26+Inputs!$B$29,IF(Skills!C10=3,120+Inputs!$B$27+Inputs!$B$29,MAX(0,(Inputs!$B$3-100)*3)+Inputs!$B$28+Inputs!$B$29)))</f>
        <v/>
      </c>
      <c r="E1139">
        <f>INDEX(FactorTable!$B$2:$Y$301, MATCH(ROUND(MIN(300,MAX(1,D1139)),0), FactorTable!$A$2:$A$301,0), Skills!M10+1)</f>
        <v/>
      </c>
      <c r="F1139">
        <f>IF(Skills!N10=TRUE,(Skills!L10/10)*(E1139/1000),Skills!L10/10)+Skills!O10</f>
        <v/>
      </c>
      <c r="G1139">
        <f>Skills!G10*IF(Skills!H10&gt;0,INT(IF(Inputs!$B$38="pvp",MIN(Skills!I10,15),Skills!I10)/Skills!H10+0.000000001),1)</f>
        <v/>
      </c>
      <c r="H1139">
        <f>1-(1-Skills!J10/100)^Skills!K10</f>
        <v/>
      </c>
      <c r="I1139" t="inlineStr">
        <is>
          <t>1</t>
        </is>
      </c>
      <c r="J1139">
        <f>((Inputs!$B$6*(1+Inputs!$B$7/100))+(((Inputs!$B$12*(1+Inputs!$B$13/100))-(Inputs!$B$12*(1+Inputs!$B$13/100)))+0.25*(Inputs!$B$14-Inputs!$B$14))*(1+Inputs!$B$7/100))*(F1139/100)</f>
        <v/>
      </c>
      <c r="K1139">
        <f>J1139*(1+((Inputs!$B$12*(1+Inputs!$B$13/100))*0.01+Inputs!$B$14*0.0025)/100)*(1+Inputs!$B$15/100)*(1+Inputs!$B$16/100)*(5000/(6000+Inputs!$B$42*(1-(100*(1-(1-(Inputs!$B$19+0)/100)*(1-CHOOSE(ArtifactsInput!$N$40+1,5,6,7,8,9,10)/100)^(ArtifactsInput!$M$40-ArtifactsInput!$M$40)))/100)))*(1+(Inputs!$B$24+((C1155=TRUE)*(F1155-Calc!F26))+B1166)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IGHT_LEGS_EASTON",Inputs!$B$17+((C1152=TRUE)*(F1152-Calc!F23))+((C1156=TRUE)*(F1156-Calc!F27))+((IF(AND(Inputs!$B$38&lt;&gt;"pvp",Inputs!$B$43=0),1,IF(IF(Inputs!$B$38="pvp",15,Inputs!$B$43)-(B1167)&lt;=0,1,MAX(0,IF(Inputs!$B$38="pvp",15,Inputs!$B$43)-MAX(5,B1167))/(IF(Inputs!$B$38="pvp",15,Inputs!$B$43)-(B1167))))*(IF(AND(ArtifactsInput!$M$42,((Inputs!$B$9+((C1148=TRUE)*(F1148-Calc!F19))+B1160+(ArtifactsInput!$M$24-ArtifactsInput!$M$24)*CHOOSE(ArtifactsInput!$N$24+1,10,12,14,16,18,20)+IF(ArtifactsInput!$M$10,CHOOSE(ArtifactsInput!$N$10+1,15,18,21,24,27,30)*(IF(Inputs!$B$38="pvp",MIN(15,15)/15,IF(AND(Inputs!$B$38&lt;&gt;"pvp",Inputs!$B$43&gt;0),MIN(15,Inputs!$B$43)/(Inputs!$B$43),0))),0)))&gt;=100),MIN(100,((Inputs!$B$9+((C1148=TRUE)*(F1148-Calc!F19))+B1160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1167)&lt;=0,1,MAX(0,IF(Inputs!$B$38="pvp",15,Inputs!$B$43)-MAX(5,B1167))/(IF(Inputs!$B$38="pvp",15,Inputs!$B$43)-(B1167))))*IF(AND(ArtifactsInput!$M$42,((Inputs!$B$9+((C1148=TRUE)*(F1148-Calc!F19))+B1160+(ArtifactsInput!$M$24-ArtifactsInput!$M$24)*CHOOSE(ArtifactsInput!$N$24+1,10,12,14,16,18,20)+IF(ArtifactsInput!$M$10,CHOOSE(ArtifactsInput!$N$10+1,15,18,21,24,27,30)*(IF(Inputs!$B$38="pvp",MIN(15,15)/15,IF(AND(Inputs!$B$38&lt;&gt;"pvp",Inputs!$B$43&gt;0),MIN(15,Inputs!$B$43)/(Inputs!$B$43),0))),0)))&gt;=100),CHOOSE(ArtifactsInput!$N$42+1,40,48,56,64,72,80),0))))/100)*((1+(((C1146=TRUE)*F1146*5/7)+((C1153=TRUE)*(F1153-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1139)</f>
        <v/>
      </c>
      <c r="L1139">
        <f>K1139*(MIN(Inputs!$B$22+((C1151=TRUE)*(F1151-Calc!F22)),(Inputs!$B$23+0+(IF(ArtifactsInput!$M$15,CHOOSE(ArtifactsInput!$N$15+1,25,30,35,40,45,50)/100*(Inputs!$B$11-Inputs!$B$11),0))))/100+(Inputs!$B$23+0+(IF(ArtifactsInput!$M$15,CHOOSE(ArtifactsInput!$N$15+1,25,30,35,40,45,50)/100*(Inputs!$B$11-Inputs!$B$11),0)))/100)/2</f>
        <v/>
      </c>
      <c r="M1139">
        <f>L1139*(1+(Inputs!$B$10+((C1154=TRUE)*(F1154-Calc!F25))+B1165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39">
        <f>L1139*(1-MIN((Inputs!$B$9+((C1148=TRUE)*(F1148-Calc!F19))+B1160+(ArtifactsInput!$M$24-ArtifactsInput!$M$24)*CHOOSE(ArtifactsInput!$N$24+1,10,12,14,16,18,20)+(IF(AND(Inputs!$B$38&lt;&gt;"pvp",Inputs!$B$43=0),1,IF(IF(Inputs!$B$38="pvp",15,Inputs!$B$43)-(B1167)&lt;=0,1,MAX(0,IF(Inputs!$B$38="pvp",15,Inputs!$B$43)-MAX(5,B1167))/(IF(Inputs!$B$38="pvp",15,Inputs!$B$43)-(B1167))))*IF(AND(ArtifactsInput!$M$42,((Inputs!$B$9+((C1148=TRUE)*(F1148-Calc!F19))+B1160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1139*(MIN((Inputs!$B$9+((C1148=TRUE)*(F1148-Calc!F19))+B1160+(ArtifactsInput!$M$24-ArtifactsInput!$M$24)*CHOOSE(ArtifactsInput!$N$24+1,10,12,14,16,18,20)+(IF(AND(Inputs!$B$38&lt;&gt;"pvp",Inputs!$B$43=0),1,IF(IF(Inputs!$B$38="pvp",15,Inputs!$B$43)-(B1167)&lt;=0,1,MAX(0,IF(Inputs!$B$38="pvp",15,Inputs!$B$43)-MAX(5,B1167))/(IF(Inputs!$B$38="pvp",15,Inputs!$B$43)-(B1167))))*IF(AND(ArtifactsInput!$M$42,((Inputs!$B$9+((C1148=TRUE)*(F1148-Calc!F19))+B1160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39">
        <f>(1-Summary!$B$11)*T1139+Summary!$B$11*V1139</f>
        <v/>
      </c>
      <c r="P1139">
        <f>IF(B1170=0,0,O1139/B1170)</f>
        <v/>
      </c>
      <c r="Q1139" t="n">
        <v>0</v>
      </c>
      <c r="R1139" t="n">
        <v>0</v>
      </c>
      <c r="S1139">
        <f>IFERROR(O1139/N1139,0)</f>
        <v/>
      </c>
      <c r="T1139">
        <f>IF(C1139,((H1139*B1172)/(1+Skills!H10*H1139*B1172)*N1139)*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Hunt"),CHOOSE(ArtifactsInput!$N$35+1,15,18,21,24,27,30)*(1-EXP(-(0.2*B1162)*5)),0)+IF(AND(ArtifactsInput!$M$22,Inputs!$B$4&lt;&gt;"Chapter Hunt"),CHOOSE(ArtifactsInput!$N$22+1,10,12,14,16,18,20)*((0*(((0.15*B1162*5))^0/1)+1*(((0.15*B1162*5))^1/1)+2*(((0.15*B1162*5))^2/2)+3*(((0.15*B1162*5))^3/6)+4*(((0.15*B1162*5))^4/24)+5*(((0.15*B1162*5))^5/120))/((((0.15*B1162*5))^0/1)+(((0.15*B1162*5))^1/1)+(((0.15*B1162*5))^2/2)+(((0.15*B1162*5))^3/6)+(((0.15*B1162*5))^4/24)+(((0.15*B1162*5))^5/120))),0))+IF(Inputs!$B$3&gt;=54,9*(C1132=TRUE)*MIN(1,8*(1+Inputs!$B$34/100)*Q1132)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1139*(1-MIN(100,(Inputs!$B$9+((C1148=TRUE)*(F1148-Calc!F19))+B1160+(ArtifactsInput!$M$24-ArtifactsInput!$M$24)*CHOOSE(ArtifactsInput!$N$24+1,10,12,14,16,18,20)+(IF(AND(Inputs!$B$38&lt;&gt;"pvp",Inputs!$B$43=0),1,IF(IF(Inputs!$B$38="pvp",15,Inputs!$B$43)-(B1167)&lt;=0,1,MAX(0,IF(Inputs!$B$38="pvp",15,Inputs!$B$43)-MAX(5,B1167))/(IF(Inputs!$B$38="pvp",15,Inputs!$B$43)-(B1167))))*IF(AND(ArtifactsInput!$M$42,((Inputs!$B$9+((C1148=TRUE)*(F1148-Calc!F19))+B1160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1139*(MIN(100,(Inputs!$B$9+((C1148=TRUE)*(F1148-Calc!F19))+B1160+(ArtifactsInput!$M$24-ArtifactsInput!$M$24)*CHOOSE(ArtifactsInput!$N$24+1,10,12,14,16,18,20)+(IF(AND(Inputs!$B$38&lt;&gt;"pvp",Inputs!$B$43=0),1,IF(IF(Inputs!$B$38="pvp",15,Inputs!$B$43)-(B1167)&lt;=0,1,MAX(0,IF(Inputs!$B$38="pvp",15,Inputs!$B$43)-MAX(5,B1167))/(IF(Inputs!$B$38="pvp",15,Inputs!$B$43)-(B1167))))*IF(AND(ArtifactsInput!$M$42,((Inputs!$B$9+((C1148=TRUE)*(F1148-Calc!F19))+B1160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1139*(1-MIN(100,(Inputs!$B$9+((C1148=TRUE)*(F1148-Calc!F19))+B1160+(ArtifactsInput!$M$24-ArtifactsInput!$M$24)*CHOOSE(ArtifactsInput!$N$24+1,10,12,14,16,18,20)+(IF(AND(Inputs!$B$38&lt;&gt;"pvp",Inputs!$B$43=0),1,IF(IF(Inputs!$B$38="pvp",15,Inputs!$B$43)-(B1167)&lt;=0,1,MAX(0,IF(Inputs!$B$38="pvp",15,Inputs!$B$43)-MAX(5,B1167))/(IF(Inputs!$B$38="pvp",15,Inputs!$B$43)-(B1167))))*IF(AND(ArtifactsInput!$M$42,((Inputs!$B$9+((C1148=TRUE)*(F1148-Calc!F19))+B1160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1139*(MIN(100,(Inputs!$B$9+((C1148=TRUE)*(F1148-Calc!F19))+B1160+(ArtifactsInput!$M$24-ArtifactsInput!$M$24)*CHOOSE(ArtifactsInput!$N$24+1,10,12,14,16,18,20)+(IF(AND(Inputs!$B$38&lt;&gt;"pvp",Inputs!$B$43=0),1,IF(IF(Inputs!$B$38="pvp",15,Inputs!$B$43)-(B1167)&lt;=0,1,MAX(0,IF(Inputs!$B$38="pvp",15,Inputs!$B$43)-MAX(5,B1167))/(IF(Inputs!$B$38="pvp",15,Inputs!$B$43)-(B1167))))*IF(AND(ArtifactsInput!$M$42,((Inputs!$B$9+((C1148=TRUE)*(F1148-Calc!F19))+B1160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139">
        <f>IF(C1139,((H1139*B1172)/(1+Skills!H10*H1139*B1172)*N1139)*IF(Inputs!$B$38="pvp",1,(1+(Inputs!$B$21+Skills!Q10+(IF(ArtifactsInput!$M$33,CHOOSE(ArtifactsInput!$N$33+1,30,36,42,48,54,60),0))+(IF(AND(ArtifactsInput!$M$35,Inputs!$B$4&lt;&gt;"Chapter Hunt"),CHOOSE(ArtifactsInput!$N$35+1,15,18,21,24,27,30)*(1-EXP(-(0.2*B1162)*5)),0)+IF(AND(ArtifactsInput!$M$22,Inputs!$B$4&lt;&gt;"Chapter Hunt"),CHOOSE(ArtifactsInput!$N$22+1,10,12,14,16,18,20)*((0*(((0.15*B1162*5))^0/1)+1*(((0.15*B1162*5))^1/1)+2*(((0.15*B1162*5))^2/2)+3*(((0.15*B1162*5))^3/6)+4*(((0.15*B1162*5))^4/24)+5*(((0.15*B1162*5))^5/120))/((((0.15*B1162*5))^0/1)+(((0.15*B1162*5))^1/1)+(((0.15*B1162*5))^2/2)+(((0.15*B1162*5))^3/6)+(((0.15*B1162*5))^4/24)+(((0.15*B1162*5))^5/120))),0))+IF(Inputs!$B$3&gt;=54,9*(C1132=TRUE)*MIN(1,8*(1+Inputs!$B$34/100)*Q1132),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40">
      <c r="A1140">
        <f>Skills!A11</f>
        <v/>
      </c>
      <c r="B1140">
        <f>Skills!B11</f>
        <v/>
      </c>
      <c r="C1140">
        <f>Inputs!$B$3&gt;=117</f>
        <v/>
      </c>
      <c r="D1140">
        <f>IF(Skills!C11=1,60+Inputs!$B$25+Inputs!$B$29,IF(Skills!C11=2,90+Inputs!$B$26+Inputs!$B$29,IF(Skills!C11=3,120+Inputs!$B$27+Inputs!$B$29,MAX(0,(Inputs!$B$3-100)*3)+Inputs!$B$28+Inputs!$B$29)))</f>
        <v/>
      </c>
      <c r="E1140">
        <f>INDEX(FactorTable!$B$2:$Y$301, MATCH(ROUND(MIN(300,MAX(1,D1140)),0), FactorTable!$A$2:$A$301,0), Skills!M11+1)</f>
        <v/>
      </c>
      <c r="F1140">
        <f>IF(Skills!N11=TRUE,(Skills!L11/10)*(E1140/1000),Skills!L11/10)+Skills!O11</f>
        <v/>
      </c>
      <c r="G1140">
        <f>Skills!G11*IF(Skills!H11&gt;0,INT(IF(Inputs!$B$38="pvp",MIN(Skills!I11,15),Skills!I11)/Skills!H11+0.000000001),1)</f>
        <v/>
      </c>
      <c r="H1140">
        <f>1-(1-Skills!J11/100)^Skills!K11</f>
        <v/>
      </c>
      <c r="I1140" t="inlineStr">
        <is>
          <t>1</t>
        </is>
      </c>
      <c r="J1140">
        <f>((Inputs!$B$6*(1+Inputs!$B$7/100))+(((Inputs!$B$12*(1+Inputs!$B$13/100))-(Inputs!$B$12*(1+Inputs!$B$13/100)))+0.25*(Inputs!$B$14-Inputs!$B$14))*(1+Inputs!$B$7/100))*(F1140/100)</f>
        <v/>
      </c>
      <c r="K1140">
        <f>J1140*(1+((Inputs!$B$12*(1+Inputs!$B$13/100))*0.01+Inputs!$B$14*0.0025)/100)*(1+Inputs!$B$15/100)*(1+Inputs!$B$16/100)*(5000/(6000+Inputs!$B$42*(1-(100*(1-(1-(Inputs!$B$19+0)/100)*(1-CHOOSE(ArtifactsInput!$N$40+1,5,6,7,8,9,10)/100)^(ArtifactsInput!$M$40-ArtifactsInput!$M$40)))/100)))*(1+(Inputs!$B$24+((C1155=TRUE)*(F1155-Calc!F26))+B1166)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IGHT_LEGS_EASTON",Inputs!$B$17+((C1152=TRUE)*(F1152-Calc!F23))+((C1156=TRUE)*(F1156-Calc!F27))+((IF(AND(Inputs!$B$38&lt;&gt;"pvp",Inputs!$B$43=0),1,IF(IF(Inputs!$B$38="pvp",15,Inputs!$B$43)-(B1167)&lt;=0,1,MAX(0,IF(Inputs!$B$38="pvp",15,Inputs!$B$43)-MAX(5,B1167))/(IF(Inputs!$B$38="pvp",15,Inputs!$B$43)-(B1167))))*(IF(AND(ArtifactsInput!$M$42,((Inputs!$B$9+((C1148=TRUE)*(F1148-Calc!F19))+B1160+(ArtifactsInput!$M$24-ArtifactsInput!$M$24)*CHOOSE(ArtifactsInput!$N$24+1,10,12,14,16,18,20)+IF(ArtifactsInput!$M$10,CHOOSE(ArtifactsInput!$N$10+1,15,18,21,24,27,30)*(IF(Inputs!$B$38="pvp",MIN(15,15)/15,IF(AND(Inputs!$B$38&lt;&gt;"pvp",Inputs!$B$43&gt;0),MIN(15,Inputs!$B$43)/(Inputs!$B$43),0))),0)))&gt;=100),MIN(100,((Inputs!$B$9+((C1148=TRUE)*(F1148-Calc!F19))+B1160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1167)&lt;=0,1,MAX(0,IF(Inputs!$B$38="pvp",15,Inputs!$B$43)-MAX(5,B1167))/(IF(Inputs!$B$38="pvp",15,Inputs!$B$43)-(B1167))))*IF(AND(ArtifactsInput!$M$42,((Inputs!$B$9+((C1148=TRUE)*(F1148-Calc!F19))+B1160+(ArtifactsInput!$M$24-ArtifactsInput!$M$24)*CHOOSE(ArtifactsInput!$N$24+1,10,12,14,16,18,20)+IF(ArtifactsInput!$M$10,CHOOSE(ArtifactsInput!$N$10+1,15,18,21,24,27,30)*(IF(Inputs!$B$38="pvp",MIN(15,15)/15,IF(AND(Inputs!$B$38&lt;&gt;"pvp",Inputs!$B$43&gt;0),MIN(15,Inputs!$B$43)/(Inputs!$B$43),0))),0)))&gt;=100),CHOOSE(ArtifactsInput!$N$42+1,40,48,56,64,72,80),0))))/100)*((1+(((C1146=TRUE)*F1146*5/7)+((C1153=TRUE)*(F1153-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1140)</f>
        <v/>
      </c>
      <c r="L1140">
        <f>K1140*(MIN(Inputs!$B$22+((C1151=TRUE)*(F1151-Calc!F22)),(Inputs!$B$23+0+(IF(ArtifactsInput!$M$15,CHOOSE(ArtifactsInput!$N$15+1,25,30,35,40,45,50)/100*(Inputs!$B$11-Inputs!$B$11),0))))/100+(Inputs!$B$23+0+(IF(ArtifactsInput!$M$15,CHOOSE(ArtifactsInput!$N$15+1,25,30,35,40,45,50)/100*(Inputs!$B$11-Inputs!$B$11),0)))/100)/2</f>
        <v/>
      </c>
      <c r="M1140">
        <f>L1140*(1+(Inputs!$B$10+((C1154=TRUE)*(F1154-Calc!F25))+B1165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40">
        <f>L1140*(1-MIN((Inputs!$B$9+((C1148=TRUE)*(F1148-Calc!F19))+B1160+(ArtifactsInput!$M$24-ArtifactsInput!$M$24)*CHOOSE(ArtifactsInput!$N$24+1,10,12,14,16,18,20)+(IF(AND(Inputs!$B$38&lt;&gt;"pvp",Inputs!$B$43=0),1,IF(IF(Inputs!$B$38="pvp",15,Inputs!$B$43)-(B1167)&lt;=0,1,MAX(0,IF(Inputs!$B$38="pvp",15,Inputs!$B$43)-MAX(5,B1167))/(IF(Inputs!$B$38="pvp",15,Inputs!$B$43)-(B1167))))*IF(AND(ArtifactsInput!$M$42,((Inputs!$B$9+((C1148=TRUE)*(F1148-Calc!F19))+B1160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1140*(MIN((Inputs!$B$9+((C1148=TRUE)*(F1148-Calc!F19))+B1160+(ArtifactsInput!$M$24-ArtifactsInput!$M$24)*CHOOSE(ArtifactsInput!$N$24+1,10,12,14,16,18,20)+(IF(AND(Inputs!$B$38&lt;&gt;"pvp",Inputs!$B$43=0),1,IF(IF(Inputs!$B$38="pvp",15,Inputs!$B$43)-(B1167)&lt;=0,1,MAX(0,IF(Inputs!$B$38="pvp",15,Inputs!$B$43)-MAX(5,B1167))/(IF(Inputs!$B$38="pvp",15,Inputs!$B$43)-(B1167))))*IF(AND(ArtifactsInput!$M$42,((Inputs!$B$9+((C1148=TRUE)*(F1148-Calc!F19))+B1160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40">
        <f>(1-Summary!$B$11)*T1140+Summary!$B$11*V1140</f>
        <v/>
      </c>
      <c r="P1140">
        <f>IF(B1170=0,0,O1140/B1170)</f>
        <v/>
      </c>
      <c r="Q1140">
        <f>IFERROR(1/((IF(Inputs!$B$38="pvp",15,MAX(0.1,Skills!D11-IF(TRUE=TRUE,(Inputs!$B$32+1),0)))*(1-IF(AND(ArtifactsInput!$M$27,Inputs!$B$4="Chapter Hunt"),CHOOSE(ArtifactsInput!$N$27+1,20,24,28,32,36,40),0)/100))/B1171),0)</f>
        <v/>
      </c>
      <c r="R1140">
        <f>IF(AND(Inputs!$B$38&lt;&gt;"pvp",Inputs!$B$43&gt;0),IF(MAX(0,Inputs!$B$43-B1167)&lt;=0,0,(INT(MAX(0,Inputs!$B$43-B1167)/((IF(Inputs!$B$38="pvp",15,MAX(0.1,Skills!D11-IF(TRUE=TRUE,(Inputs!$B$32+1),0)))*(1-IF(AND(ArtifactsInput!$M$27,Inputs!$B$4="Chapter Hunt"),CHOOSE(ArtifactsInput!$N$27+1,20,24,28,32,36,40),0)/100))/B1171))+1)),0)</f>
        <v/>
      </c>
      <c r="S1140">
        <f>IFERROR(O1140/N1140,0)</f>
        <v/>
      </c>
      <c r="T1140">
        <f>IF(C1140,(H1140*N1140*IF(AND(Inputs!$B$38&lt;&gt;"pvp",Inputs!$B$43&gt;0),((Skills!G11*((R1140-1)*IF(Skills!H11&gt;0,INT(Skills!I11/Skills!H11+0.000000001),1)+IF(Skills!H11&gt;0,INT(MIN(Skills!I11,MAX(0,MAX(0,Inputs!$B$43-B1167)-((R1140-1)*((IF(Inputs!$B$38="pvp",15,MAX(0.1,Skills!D11-IF(TRUE=TRUE,(Inputs!$B$32+1),0)))*(1-IF(AND(ArtifactsInput!$M$27,Inputs!$B$4="Chapter Hunt"),CHOOSE(ArtifactsInput!$N$27+1,20,24,28,32,36,40),0)/100))/B1171))))/Skills!H11+0.000000001),1)))/Inputs!$B$43),G1140*Q1140))*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Hunt"),CHOOSE(ArtifactsInput!$N$35+1,15,18,21,24,27,30)*(1-EXP(-(0.2*B1162)*5)),0)+IF(AND(ArtifactsInput!$M$22,Inputs!$B$4&lt;&gt;"Chapter Hunt"),CHOOSE(ArtifactsInput!$N$22+1,10,12,14,16,18,20)*((0*(((0.15*B1162*5))^0/1)+1*(((0.15*B1162*5))^1/1)+2*(((0.15*B1162*5))^2/2)+3*(((0.15*B1162*5))^3/6)+4*(((0.15*B1162*5))^4/24)+5*(((0.15*B1162*5))^5/120))/((((0.15*B1162*5))^0/1)+(((0.15*B1162*5))^1/1)+(((0.15*B1162*5))^2/2)+(((0.15*B1162*5))^3/6)+(((0.15*B1162*5))^4/24)+(((0.15*B1162*5))^5/120))),0))+IF(Inputs!$B$3&gt;=54,9*(C1132=TRUE)*MIN(1,8*(1+Inputs!$B$34/100)*Q1132)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1140*(1-MIN(100,(Inputs!$B$9+((C1148=TRUE)*(F1148-Calc!F19))+B1160+(ArtifactsInput!$M$24-ArtifactsInput!$M$24)*CHOOSE(ArtifactsInput!$N$24+1,10,12,14,16,18,20)+(IF(AND(Inputs!$B$38&lt;&gt;"pvp",Inputs!$B$43=0),1,IF(IF(Inputs!$B$38="pvp",15,Inputs!$B$43)-(B1167)&lt;=0,1,MAX(0,IF(Inputs!$B$38="pvp",15,Inputs!$B$43)-MAX(5,B1167))/(IF(Inputs!$B$38="pvp",15,Inputs!$B$43)-(B1167))))*IF(AND(ArtifactsInput!$M$42,((Inputs!$B$9+((C1148=TRUE)*(F1148-Calc!F19))+B1160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1140*(MIN(100,(Inputs!$B$9+((C1148=TRUE)*(F1148-Calc!F19))+B1160+(ArtifactsInput!$M$24-ArtifactsInput!$M$24)*CHOOSE(ArtifactsInput!$N$24+1,10,12,14,16,18,20)+(IF(AND(Inputs!$B$38&lt;&gt;"pvp",Inputs!$B$43=0),1,IF(IF(Inputs!$B$38="pvp",15,Inputs!$B$43)-(B1167)&lt;=0,1,MAX(0,IF(Inputs!$B$38="pvp",15,Inputs!$B$43)-MAX(5,B1167))/(IF(Inputs!$B$38="pvp",15,Inputs!$B$43)-(B1167))))*IF(AND(ArtifactsInput!$M$42,((Inputs!$B$9+((C1148=TRUE)*(F1148-Calc!F19))+B1160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1140*(1-MIN(100,(Inputs!$B$9+((C1148=TRUE)*(F1148-Calc!F19))+B1160+(ArtifactsInput!$M$24-ArtifactsInput!$M$24)*CHOOSE(ArtifactsInput!$N$24+1,10,12,14,16,18,20)+(IF(AND(Inputs!$B$38&lt;&gt;"pvp",Inputs!$B$43=0),1,IF(IF(Inputs!$B$38="pvp",15,Inputs!$B$43)-(B1167)&lt;=0,1,MAX(0,IF(Inputs!$B$38="pvp",15,Inputs!$B$43)-MAX(5,B1167))/(IF(Inputs!$B$38="pvp",15,Inputs!$B$43)-(B1167))))*IF(AND(ArtifactsInput!$M$42,((Inputs!$B$9+((C1148=TRUE)*(F1148-Calc!F19))+B1160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1140*(MIN(100,(Inputs!$B$9+((C1148=TRUE)*(F1148-Calc!F19))+B1160+(ArtifactsInput!$M$24-ArtifactsInput!$M$24)*CHOOSE(ArtifactsInput!$N$24+1,10,12,14,16,18,20)+(IF(AND(Inputs!$B$38&lt;&gt;"pvp",Inputs!$B$43=0),1,IF(IF(Inputs!$B$38="pvp",15,Inputs!$B$43)-(B1167)&lt;=0,1,MAX(0,IF(Inputs!$B$38="pvp",15,Inputs!$B$43)-MAX(5,B1167))/(IF(Inputs!$B$38="pvp",15,Inputs!$B$43)-(B1167))))*IF(AND(ArtifactsInput!$M$42,((Inputs!$B$9+((C1148=TRUE)*(F1148-Calc!F19))+B1160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140">
        <f>IF(C1140,(H1140*N1140*IF(AND(Inputs!$B$38&lt;&gt;"pvp",Inputs!$B$43&gt;0),((Skills!G11*((R1140-1)*IF(Skills!H11&gt;0,INT(Skills!I11/Skills!H11+0.000000001),1)+IF(Skills!H11&gt;0,INT(MIN(Skills!I11,MAX(0,MAX(0,Inputs!$B$43-B1167)-((R1140-1)*((IF(Inputs!$B$38="pvp",15,MAX(0.1,Skills!D11-IF(TRUE=TRUE,(Inputs!$B$32+1),0)))*(1-IF(AND(ArtifactsInput!$M$27,Inputs!$B$4="Chapter Hunt"),CHOOSE(ArtifactsInput!$N$27+1,20,24,28,32,36,40),0)/100))/B1171))))/Skills!H11+0.000000001),1)))/Inputs!$B$43),G1140*Q1140))*IF(Inputs!$B$38="pvp",1,(1+(Inputs!$B$21+Skills!Q11+(IF(ArtifactsInput!$M$33,CHOOSE(ArtifactsInput!$N$33+1,30,36,42,48,54,60),0))+(IF(AND(ArtifactsInput!$M$35,Inputs!$B$4&lt;&gt;"Chapter Hunt"),CHOOSE(ArtifactsInput!$N$35+1,15,18,21,24,27,30)*(1-EXP(-(0.2*B1162)*5)),0)+IF(AND(ArtifactsInput!$M$22,Inputs!$B$4&lt;&gt;"Chapter Hunt"),CHOOSE(ArtifactsInput!$N$22+1,10,12,14,16,18,20)*((0*(((0.15*B1162*5))^0/1)+1*(((0.15*B1162*5))^1/1)+2*(((0.15*B1162*5))^2/2)+3*(((0.15*B1162*5))^3/6)+4*(((0.15*B1162*5))^4/24)+5*(((0.15*B1162*5))^5/120))/((((0.15*B1162*5))^0/1)+(((0.15*B1162*5))^1/1)+(((0.15*B1162*5))^2/2)+(((0.15*B1162*5))^3/6)+(((0.15*B1162*5))^4/24)+(((0.15*B1162*5))^5/120))),0))+IF(Inputs!$B$3&gt;=54,9*(C1132=TRUE)*MIN(1,8*(1+Inputs!$B$34/100)*Q1132),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41">
      <c r="A1141">
        <f>Skills!A12</f>
        <v/>
      </c>
      <c r="B1141">
        <f>Skills!B12</f>
        <v/>
      </c>
      <c r="C1141">
        <f>Inputs!$B$3&gt;=110</f>
        <v/>
      </c>
      <c r="D1141">
        <f>IF(Skills!C12=1,60+Inputs!$B$25+Inputs!$B$29,IF(Skills!C12=2,90+Inputs!$B$26+Inputs!$B$29,IF(Skills!C12=3,120+Inputs!$B$27+Inputs!$B$29,MAX(0,(Inputs!$B$3-100)*3)+Inputs!$B$28+Inputs!$B$29)))</f>
        <v/>
      </c>
      <c r="E1141">
        <f>INDEX(FactorTable!$B$2:$Y$301, MATCH(ROUND(MIN(300,MAX(1,D1141)),0), FactorTable!$A$2:$A$301,0), Skills!M12+1)</f>
        <v/>
      </c>
      <c r="F1141">
        <f>IF(Skills!N12=TRUE,(Skills!L12/10)*(E1141/1000),Skills!L12/10)+Skills!O12</f>
        <v/>
      </c>
      <c r="G1141">
        <f>Skills!G12*IF(Skills!H12&gt;0,INT(IF(Inputs!$B$38="pvp",MIN(Skills!I12,15),Skills!I12)/Skills!H12+0.000000001),1)</f>
        <v/>
      </c>
      <c r="H1141">
        <f>1-(1-Skills!J12/100)^Skills!K12</f>
        <v/>
      </c>
      <c r="I1141" t="inlineStr">
        <is>
          <t>1</t>
        </is>
      </c>
      <c r="J1141">
        <f>((Inputs!$B$6*(1+Inputs!$B$7/100))+(((Inputs!$B$12*(1+Inputs!$B$13/100))-(Inputs!$B$12*(1+Inputs!$B$13/100)))+0.25*(Inputs!$B$14-Inputs!$B$14))*(1+Inputs!$B$7/100))*(F1141/100)</f>
        <v/>
      </c>
      <c r="K1141">
        <f>J1141*(1+((Inputs!$B$12*(1+Inputs!$B$13/100))*0.01+Inputs!$B$14*0.0025)/100)*(1+Inputs!$B$15/100)*(1+Inputs!$B$16/100)*(5000/(6000+Inputs!$B$42*(1-(100*(1-(1-(Inputs!$B$19+0)/100)*(1-CHOOSE(ArtifactsInput!$N$40+1,5,6,7,8,9,10)/100)^(ArtifactsInput!$M$40-ArtifactsInput!$M$40)))/100)))*(1+(Inputs!$B$24+((C1155=TRUE)*(F1155-Calc!F26))+B1166)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EIGHT_LEGS_EASTON",Inputs!$B$17+((C1152=TRUE)*(F1152-Calc!F23))+((C1156=TRUE)*(F1156-Calc!F27))+((IF(AND(Inputs!$B$38&lt;&gt;"pvp",Inputs!$B$43=0),1,IF(IF(Inputs!$B$38="pvp",15,Inputs!$B$43)-(B1167)&lt;=0,1,MAX(0,IF(Inputs!$B$38="pvp",15,Inputs!$B$43)-MAX(5,B1167))/(IF(Inputs!$B$38="pvp",15,Inputs!$B$43)-(B1167))))*(IF(AND(ArtifactsInput!$M$42,((Inputs!$B$9+((C1148=TRUE)*(F1148-Calc!F19))+B1160+(ArtifactsInput!$M$24-ArtifactsInput!$M$24)*CHOOSE(ArtifactsInput!$N$24+1,10,12,14,16,18,20)+IF(ArtifactsInput!$M$10,CHOOSE(ArtifactsInput!$N$10+1,15,18,21,24,27,30)*(IF(Inputs!$B$38="pvp",MIN(15,15)/15,IF(AND(Inputs!$B$38&lt;&gt;"pvp",Inputs!$B$43&gt;0),MIN(15,Inputs!$B$43)/(Inputs!$B$43),0))),0)))&gt;=100),MIN(100,((Inputs!$B$9+((C1148=TRUE)*(F1148-Calc!F19))+B1160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1167)&lt;=0,1,MAX(0,IF(Inputs!$B$38="pvp",15,Inputs!$B$43)-MAX(5,B1167))/(IF(Inputs!$B$38="pvp",15,Inputs!$B$43)-(B1167))))*IF(AND(ArtifactsInput!$M$42,((Inputs!$B$9+((C1148=TRUE)*(F1148-Calc!F19))+B1160+(ArtifactsInput!$M$24-ArtifactsInput!$M$24)*CHOOSE(ArtifactsInput!$N$24+1,10,12,14,16,18,20)+IF(ArtifactsInput!$M$10,CHOOSE(ArtifactsInput!$N$10+1,15,18,21,24,27,30)*(IF(Inputs!$B$38="pvp",MIN(15,15)/15,IF(AND(Inputs!$B$38&lt;&gt;"pvp",Inputs!$B$43&gt;0),MIN(15,Inputs!$B$43)/(Inputs!$B$43),0))),0)))&gt;=100),CHOOSE(ArtifactsInput!$N$42+1,40,48,56,64,72,80),0))))/100)*((1+(((C1146=TRUE)*F1146*5/7)+((C1153=TRUE)*(F1153-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1141)</f>
        <v/>
      </c>
      <c r="L1141">
        <f>K1141*(MIN(Inputs!$B$22+((C1151=TRUE)*(F1151-Calc!F22)),(Inputs!$B$23+0+(IF(ArtifactsInput!$M$15,CHOOSE(ArtifactsInput!$N$15+1,25,30,35,40,45,50)/100*(Inputs!$B$11-Inputs!$B$11),0))))/100+(Inputs!$B$23+0+(IF(ArtifactsInput!$M$15,CHOOSE(ArtifactsInput!$N$15+1,25,30,35,40,45,50)/100*(Inputs!$B$11-Inputs!$B$11),0)))/100)/2</f>
        <v/>
      </c>
      <c r="M1141">
        <f>L1141*(1+(Inputs!$B$10+((C1154=TRUE)*(F1154-Calc!F25))+B1165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41">
        <f>L1141*(1-MIN((Inputs!$B$9+((C1148=TRUE)*(F1148-Calc!F19))+B1160+(ArtifactsInput!$M$24-ArtifactsInput!$M$24)*CHOOSE(ArtifactsInput!$N$24+1,10,12,14,16,18,20)+(IF(AND(Inputs!$B$38&lt;&gt;"pvp",Inputs!$B$43=0),1,IF(IF(Inputs!$B$38="pvp",15,Inputs!$B$43)-(B1167)&lt;=0,1,MAX(0,IF(Inputs!$B$38="pvp",15,Inputs!$B$43)-MAX(5,B1167))/(IF(Inputs!$B$38="pvp",15,Inputs!$B$43)-(B1167))))*IF(AND(ArtifactsInput!$M$42,((Inputs!$B$9+((C1148=TRUE)*(F1148-Calc!F19))+B1160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1141*(MIN((Inputs!$B$9+((C1148=TRUE)*(F1148-Calc!F19))+B1160+(ArtifactsInput!$M$24-ArtifactsInput!$M$24)*CHOOSE(ArtifactsInput!$N$24+1,10,12,14,16,18,20)+(IF(AND(Inputs!$B$38&lt;&gt;"pvp",Inputs!$B$43=0),1,IF(IF(Inputs!$B$38="pvp",15,Inputs!$B$43)-(B1167)&lt;=0,1,MAX(0,IF(Inputs!$B$38="pvp",15,Inputs!$B$43)-MAX(5,B1167))/(IF(Inputs!$B$38="pvp",15,Inputs!$B$43)-(B1167))))*IF(AND(ArtifactsInput!$M$42,((Inputs!$B$9+((C1148=TRUE)*(F1148-Calc!F19))+B1160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41">
        <f>(1-Summary!$B$11)*T1141+Summary!$B$11*V1141</f>
        <v/>
      </c>
      <c r="P1141">
        <f>IF(B1170=0,0,O1141/B1170)</f>
        <v/>
      </c>
      <c r="Q1141">
        <f>IFERROR(1/(IF(Inputs!$B$38="pvp",15,MAX(0.1,Skills!D12-IF(TRUE=TRUE,(Inputs!$B$32+1),0)))*(1-IF(AND(ArtifactsInput!$M$27,Inputs!$B$4="Chapter Hunt"),CHOOSE(ArtifactsInput!$N$27+1,20,24,28,32,36,40),0)/100)),0)</f>
        <v/>
      </c>
      <c r="R1141">
        <f>IF(AND(Inputs!$B$38&lt;&gt;"pvp",Inputs!$B$43&gt;0),IF(MAX(0,Inputs!$B$43-B1167)&lt;=0,0,(INT(MAX(0,Inputs!$B$43-B1167)/(IF(Inputs!$B$38="pvp",15,MAX(0.1,Skills!D12-IF(TRUE=TRUE,(Inputs!$B$32+1),0)))*(1-IF(AND(ArtifactsInput!$M$27,Inputs!$B$4="Chapter Hunt"),CHOOSE(ArtifactsInput!$N$27+1,20,24,28,32,36,40),0)/100)))+1)),0)</f>
        <v/>
      </c>
      <c r="S1141">
        <f>IFERROR(O1141/N1141,0)</f>
        <v/>
      </c>
      <c r="T1141">
        <f>IF(C1141,(H1141*N1141*IF(AND(Inputs!$B$38&lt;&gt;"pvp",Inputs!$B$43&gt;0),((Skills!G12*((R1141-1)*IF(Skills!H12&gt;0,INT(Skills!I12/Skills!H12+0.000000001),1)+IF(Skills!H12&gt;0,INT(MIN(Skills!I12,MAX(0,MAX(0,Inputs!$B$43-B1167)-((R1141-1)*(IF(Inputs!$B$38="pvp",15,MAX(0.1,Skills!D12-IF(TRUE=TRUE,(Inputs!$B$32+1),0)))*(1-IF(AND(ArtifactsInput!$M$27,Inputs!$B$4="Chapter Hunt"),CHOOSE(ArtifactsInput!$N$27+1,20,24,28,32,36,40),0)/100)))))/Skills!H12+0.000000001),1)))/Inputs!$B$43),G1141*Q1141))*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Hunt"),CHOOSE(ArtifactsInput!$N$35+1,15,18,21,24,27,30)*(1-EXP(-(0.2*B1162)*5)),0)+IF(AND(ArtifactsInput!$M$22,Inputs!$B$4&lt;&gt;"Chapter Hunt"),CHOOSE(ArtifactsInput!$N$22+1,10,12,14,16,18,20)*((0*(((0.15*B1162*5))^0/1)+1*(((0.15*B1162*5))^1/1)+2*(((0.15*B1162*5))^2/2)+3*(((0.15*B1162*5))^3/6)+4*(((0.15*B1162*5))^4/24)+5*(((0.15*B1162*5))^5/120))/((((0.15*B1162*5))^0/1)+(((0.15*B1162*5))^1/1)+(((0.15*B1162*5))^2/2)+(((0.15*B1162*5))^3/6)+(((0.15*B1162*5))^4/24)+(((0.15*B1162*5))^5/120))),0))+IF(Inputs!$B$3&gt;=54,9*(C1132=TRUE)*MIN(1,8*(1+Inputs!$B$34/100)*Q1132)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1141*(1-MIN(100,(Inputs!$B$9+((C1148=TRUE)*(F1148-Calc!F19))+B1160+(ArtifactsInput!$M$24-ArtifactsInput!$M$24)*CHOOSE(ArtifactsInput!$N$24+1,10,12,14,16,18,20)+(IF(AND(Inputs!$B$38&lt;&gt;"pvp",Inputs!$B$43=0),1,IF(IF(Inputs!$B$38="pvp",15,Inputs!$B$43)-(B1167)&lt;=0,1,MAX(0,IF(Inputs!$B$38="pvp",15,Inputs!$B$43)-MAX(5,B1167))/(IF(Inputs!$B$38="pvp",15,Inputs!$B$43)-(B1167))))*IF(AND(ArtifactsInput!$M$42,((Inputs!$B$9+((C1148=TRUE)*(F1148-Calc!F19))+B1160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1141*(MIN(100,(Inputs!$B$9+((C1148=TRUE)*(F1148-Calc!F19))+B1160+(ArtifactsInput!$M$24-ArtifactsInput!$M$24)*CHOOSE(ArtifactsInput!$N$24+1,10,12,14,16,18,20)+(IF(AND(Inputs!$B$38&lt;&gt;"pvp",Inputs!$B$43=0),1,IF(IF(Inputs!$B$38="pvp",15,Inputs!$B$43)-(B1167)&lt;=0,1,MAX(0,IF(Inputs!$B$38="pvp",15,Inputs!$B$43)-MAX(5,B1167))/(IF(Inputs!$B$38="pvp",15,Inputs!$B$43)-(B1167))))*IF(AND(ArtifactsInput!$M$42,((Inputs!$B$9+((C1148=TRUE)*(F1148-Calc!F19))+B1160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1141*(1-MIN(100,(Inputs!$B$9+((C1148=TRUE)*(F1148-Calc!F19))+B1160+(ArtifactsInput!$M$24-ArtifactsInput!$M$24)*CHOOSE(ArtifactsInput!$N$24+1,10,12,14,16,18,20)+(IF(AND(Inputs!$B$38&lt;&gt;"pvp",Inputs!$B$43=0),1,IF(IF(Inputs!$B$38="pvp",15,Inputs!$B$43)-(B1167)&lt;=0,1,MAX(0,IF(Inputs!$B$38="pvp",15,Inputs!$B$43)-MAX(5,B1167))/(IF(Inputs!$B$38="pvp",15,Inputs!$B$43)-(B1167))))*IF(AND(ArtifactsInput!$M$42,((Inputs!$B$9+((C1148=TRUE)*(F1148-Calc!F19))+B1160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1141*(MIN(100,(Inputs!$B$9+((C1148=TRUE)*(F1148-Calc!F19))+B1160+(ArtifactsInput!$M$24-ArtifactsInput!$M$24)*CHOOSE(ArtifactsInput!$N$24+1,10,12,14,16,18,20)+(IF(AND(Inputs!$B$38&lt;&gt;"pvp",Inputs!$B$43=0),1,IF(IF(Inputs!$B$38="pvp",15,Inputs!$B$43)-(B1167)&lt;=0,1,MAX(0,IF(Inputs!$B$38="pvp",15,Inputs!$B$43)-MAX(5,B1167))/(IF(Inputs!$B$38="pvp",15,Inputs!$B$43)-(B1167))))*IF(AND(ArtifactsInput!$M$42,((Inputs!$B$9+((C1148=TRUE)*(F1148-Calc!F19))+B1160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141">
        <f>IF(C1141,(H1141*N1141*IF(AND(Inputs!$B$38&lt;&gt;"pvp",Inputs!$B$43&gt;0),((Skills!G12*((R1141-1)*IF(Skills!H12&gt;0,INT(Skills!I12/Skills!H12+0.000000001),1)+IF(Skills!H12&gt;0,INT(MIN(Skills!I12,MAX(0,MAX(0,Inputs!$B$43-B1167)-((R1141-1)*(IF(Inputs!$B$38="pvp",15,MAX(0.1,Skills!D12-IF(TRUE=TRUE,(Inputs!$B$32+1),0)))*(1-IF(AND(ArtifactsInput!$M$27,Inputs!$B$4="Chapter Hunt"),CHOOSE(ArtifactsInput!$N$27+1,20,24,28,32,36,40),0)/100)))))/Skills!H12+0.000000001),1)))/Inputs!$B$43),G1141*Q1141))*IF(Inputs!$B$38="pvp",1,(1+(Inputs!$B$21+Skills!Q12+(IF(ArtifactsInput!$M$33,CHOOSE(ArtifactsInput!$N$33+1,30,36,42,48,54,60),0))+(IF(AND(ArtifactsInput!$M$35,Inputs!$B$4&lt;&gt;"Chapter Hunt"),CHOOSE(ArtifactsInput!$N$35+1,15,18,21,24,27,30)*(1-EXP(-(0.2*B1162)*5)),0)+IF(AND(ArtifactsInput!$M$22,Inputs!$B$4&lt;&gt;"Chapter Hunt"),CHOOSE(ArtifactsInput!$N$22+1,10,12,14,16,18,20)*((0*(((0.15*B1162*5))^0/1)+1*(((0.15*B1162*5))^1/1)+2*(((0.15*B1162*5))^2/2)+3*(((0.15*B1162*5))^3/6)+4*(((0.15*B1162*5))^4/24)+5*(((0.15*B1162*5))^5/120))/((((0.15*B1162*5))^0/1)+(((0.15*B1162*5))^1/1)+(((0.15*B1162*5))^2/2)+(((0.15*B1162*5))^3/6)+(((0.15*B1162*5))^4/24)+(((0.15*B1162*5))^5/120))),0))+IF(Inputs!$B$3&gt;=54,9*(C1132=TRUE)*MIN(1,8*(1+Inputs!$B$34/100)*Q1132),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42">
      <c r="A1142">
        <f>Skills!A13</f>
        <v/>
      </c>
      <c r="B1142">
        <f>Skills!B13</f>
        <v/>
      </c>
      <c r="C1142">
        <f>Inputs!$B$3&gt;=110</f>
        <v/>
      </c>
      <c r="D1142">
        <f>IF(Skills!C13=1,60+Inputs!$B$25+Inputs!$B$29,IF(Skills!C13=2,90+Inputs!$B$26+Inputs!$B$29,IF(Skills!C13=3,120+Inputs!$B$27+Inputs!$B$29,MAX(0,(Inputs!$B$3-100)*3)+Inputs!$B$28+Inputs!$B$29)))</f>
        <v/>
      </c>
      <c r="E1142">
        <f>INDEX(FactorTable!$B$2:$Y$301, MATCH(ROUND(MIN(300,MAX(1,D1142)),0), FactorTable!$A$2:$A$301,0), Skills!M13+1)</f>
        <v/>
      </c>
      <c r="F1142">
        <f>IF(Skills!N13=TRUE,(Skills!L13/10)*(E1142/1000),Skills!L13/10)+Skills!O13</f>
        <v/>
      </c>
      <c r="G1142">
        <f>Skills!G13*IF(Skills!H13&gt;0,INT(IF(Inputs!$B$38="pvp",MIN(Skills!I13,15),Skills!I13)/Skills!H13+0.000000001),1)</f>
        <v/>
      </c>
      <c r="H1142">
        <f>1-(1-Skills!J13/100)^Skills!K13</f>
        <v/>
      </c>
      <c r="I1142" t="inlineStr">
        <is>
          <t>1</t>
        </is>
      </c>
      <c r="J1142">
        <f>((Inputs!$B$6*(1+Inputs!$B$7/100))+(((Inputs!$B$12*(1+Inputs!$B$13/100))-(Inputs!$B$12*(1+Inputs!$B$13/100)))+0.25*(Inputs!$B$14-Inputs!$B$14))*(1+Inputs!$B$7/100))*(F1142/100)</f>
        <v/>
      </c>
      <c r="K1142">
        <f>J1142*(1+((Inputs!$B$12*(1+Inputs!$B$13/100))*0.01+Inputs!$B$14*0.0025)/100)*(1+Inputs!$B$15/100)*(1+Inputs!$B$16/100)*(5000/(6000+Inputs!$B$42*(1-(100*(1-(1-(Inputs!$B$19+0)/100)*(1-CHOOSE(ArtifactsInput!$N$40+1,5,6,7,8,9,10)/100)^(ArtifactsInput!$M$40-ArtifactsInput!$M$40)))/100)))*(1+(Inputs!$B$24+((C1155=TRUE)*(F1155-Calc!F26))+B1166)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EIGHT_LEGS_EASTON",Inputs!$B$17+((C1152=TRUE)*(F1152-Calc!F23))+((C1156=TRUE)*(F1156-Calc!F27))+((IF(AND(Inputs!$B$38&lt;&gt;"pvp",Inputs!$B$43=0),1,IF(IF(Inputs!$B$38="pvp",15,Inputs!$B$43)-(B1167)&lt;=0,1,MAX(0,IF(Inputs!$B$38="pvp",15,Inputs!$B$43)-MAX(5,B1167))/(IF(Inputs!$B$38="pvp",15,Inputs!$B$43)-(B1167))))*(IF(AND(ArtifactsInput!$M$42,((Inputs!$B$9+((C1148=TRUE)*(F1148-Calc!F19))+B1160+(ArtifactsInput!$M$24-ArtifactsInput!$M$24)*CHOOSE(ArtifactsInput!$N$24+1,10,12,14,16,18,20)+IF(ArtifactsInput!$M$10,CHOOSE(ArtifactsInput!$N$10+1,15,18,21,24,27,30)*(IF(Inputs!$B$38="pvp",MIN(15,15)/15,IF(AND(Inputs!$B$38&lt;&gt;"pvp",Inputs!$B$43&gt;0),MIN(15,Inputs!$B$43)/(Inputs!$B$43),0))),0)))&gt;=100),MIN(100,((Inputs!$B$9+((C1148=TRUE)*(F1148-Calc!F19))+B1160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1167)&lt;=0,1,MAX(0,IF(Inputs!$B$38="pvp",15,Inputs!$B$43)-MAX(5,B1167))/(IF(Inputs!$B$38="pvp",15,Inputs!$B$43)-(B1167))))*IF(AND(ArtifactsInput!$M$42,((Inputs!$B$9+((C1148=TRUE)*(F1148-Calc!F19))+B1160+(ArtifactsInput!$M$24-ArtifactsInput!$M$24)*CHOOSE(ArtifactsInput!$N$24+1,10,12,14,16,18,20)+IF(ArtifactsInput!$M$10,CHOOSE(ArtifactsInput!$N$10+1,15,18,21,24,27,30)*(IF(Inputs!$B$38="pvp",MIN(15,15)/15,IF(AND(Inputs!$B$38&lt;&gt;"pvp",Inputs!$B$43&gt;0),MIN(15,Inputs!$B$43)/(Inputs!$B$43),0))),0)))&gt;=100),CHOOSE(ArtifactsInput!$N$42+1,40,48,56,64,72,80),0))))/100)*((1+(((C1146=TRUE)*F1146*5/7)+((C1153=TRUE)*(F1153-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1142)</f>
        <v/>
      </c>
      <c r="L1142">
        <f>K1142*(MIN(Inputs!$B$22+((C1151=TRUE)*(F1151-Calc!F22)),(Inputs!$B$23+0+(IF(ArtifactsInput!$M$15,CHOOSE(ArtifactsInput!$N$15+1,25,30,35,40,45,50)/100*(Inputs!$B$11-Inputs!$B$11),0))))/100+(Inputs!$B$23+0+(IF(ArtifactsInput!$M$15,CHOOSE(ArtifactsInput!$N$15+1,25,30,35,40,45,50)/100*(Inputs!$B$11-Inputs!$B$11),0)))/100)/2</f>
        <v/>
      </c>
      <c r="M1142">
        <f>L1142*(1+(Inputs!$B$10+((C1154=TRUE)*(F1154-Calc!F25))+B1165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42">
        <f>L1142*(1-MIN((Inputs!$B$9+((C1148=TRUE)*(F1148-Calc!F19))+B1160+(ArtifactsInput!$M$24-ArtifactsInput!$M$24)*CHOOSE(ArtifactsInput!$N$24+1,10,12,14,16,18,20)+(IF(AND(Inputs!$B$38&lt;&gt;"pvp",Inputs!$B$43=0),1,IF(IF(Inputs!$B$38="pvp",15,Inputs!$B$43)-(B1167)&lt;=0,1,MAX(0,IF(Inputs!$B$38="pvp",15,Inputs!$B$43)-MAX(5,B1167))/(IF(Inputs!$B$38="pvp",15,Inputs!$B$43)-(B1167))))*IF(AND(ArtifactsInput!$M$42,((Inputs!$B$9+((C1148=TRUE)*(F1148-Calc!F19))+B1160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1142*(MIN((Inputs!$B$9+((C1148=TRUE)*(F1148-Calc!F19))+B1160+(ArtifactsInput!$M$24-ArtifactsInput!$M$24)*CHOOSE(ArtifactsInput!$N$24+1,10,12,14,16,18,20)+(IF(AND(Inputs!$B$38&lt;&gt;"pvp",Inputs!$B$43=0),1,IF(IF(Inputs!$B$38="pvp",15,Inputs!$B$43)-(B1167)&lt;=0,1,MAX(0,IF(Inputs!$B$38="pvp",15,Inputs!$B$43)-MAX(5,B1167))/(IF(Inputs!$B$38="pvp",15,Inputs!$B$43)-(B1167))))*IF(AND(ArtifactsInput!$M$42,((Inputs!$B$9+((C1148=TRUE)*(F1148-Calc!F19))+B1160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42">
        <f>(1-Summary!$B$11)*T1142+Summary!$B$11*V1142</f>
        <v/>
      </c>
      <c r="P1142">
        <f>IF(B1170=0,0,O1142/B1170)</f>
        <v/>
      </c>
      <c r="Q1142">
        <f>IFERROR(1/(IF(Inputs!$B$38="pvp",15,MAX(0.1,Skills!D13-IF(TRUE=TRUE,(Inputs!$B$32+1),0)))*(1-IF(AND(ArtifactsInput!$M$27,Inputs!$B$4="Chapter Hunt"),CHOOSE(ArtifactsInput!$N$27+1,20,24,28,32,36,40),0)/100)),0)</f>
        <v/>
      </c>
      <c r="R1142">
        <f>IF(AND(Inputs!$B$38&lt;&gt;"pvp",Inputs!$B$43&gt;0),IF(MAX(0,Inputs!$B$43-B1167)&lt;=0,0,(INT(MAX(0,Inputs!$B$43-B1167)/(IF(Inputs!$B$38="pvp",15,MAX(0.1,Skills!D13-IF(TRUE=TRUE,(Inputs!$B$32+1),0)))*(1-IF(AND(ArtifactsInput!$M$27,Inputs!$B$4="Chapter Hunt"),CHOOSE(ArtifactsInput!$N$27+1,20,24,28,32,36,40),0)/100)))+1)),0)</f>
        <v/>
      </c>
      <c r="S1142">
        <f>IFERROR(O1142/N1142,0)</f>
        <v/>
      </c>
      <c r="T1142">
        <f>IF(C1142,(H1142*N1142*IF(AND(Inputs!$B$38&lt;&gt;"pvp",Inputs!$B$43&gt;0),((Skills!G13*((R1142-1)*IF(Skills!H13&gt;0,INT(Skills!I13/Skills!H13+0.000000001),1)+IF(Skills!H13&gt;0,INT(MIN(Skills!I13,MAX(0,MAX(0,Inputs!$B$43-B1167)-((R1142-1)*(IF(Inputs!$B$38="pvp",15,MAX(0.1,Skills!D13-IF(TRUE=TRUE,(Inputs!$B$32+1),0)))*(1-IF(AND(ArtifactsInput!$M$27,Inputs!$B$4="Chapter Hunt"),CHOOSE(ArtifactsInput!$N$27+1,20,24,28,32,36,40),0)/100)))))/Skills!H13+0.000000001),1)))/Inputs!$B$43),G1142*Q1142))*IF(Inputs!$B$38="pvp",1,1+(Inputs!$B$20+0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Hunt"),CHOOSE(ArtifactsInput!$N$35+1,15,18,21,24,27,30)*(1-EXP(-(0.2*B1162)*5)),0)+IF(AND(ArtifactsInput!$M$22,Inputs!$B$4&lt;&gt;"Chapter Hunt"),CHOOSE(ArtifactsInput!$N$22+1,10,12,14,16,18,20)*((0*(((0.15*B1162*5))^0/1)+1*(((0.15*B1162*5))^1/1)+2*(((0.15*B1162*5))^2/2)+3*(((0.15*B1162*5))^3/6)+4*(((0.15*B1162*5))^4/24)+5*(((0.15*B1162*5))^5/120))/((((0.15*B1162*5))^0/1)+(((0.15*B1162*5))^1/1)+(((0.15*B1162*5))^2/2)+(((0.15*B1162*5))^3/6)+(((0.15*B1162*5))^4/24)+(((0.15*B1162*5))^5/120))),0))+IF(Inputs!$B$3&gt;=54,9*(C1132=TRUE)*MIN(1,8*(1+Inputs!$B$34/100)*Q1132)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1142*(1-MIN(100,(Inputs!$B$9+((C1148=TRUE)*(F1148-Calc!F19))+B1160+(ArtifactsInput!$M$24-ArtifactsInput!$M$24)*CHOOSE(ArtifactsInput!$N$24+1,10,12,14,16,18,20)+(IF(AND(Inputs!$B$38&lt;&gt;"pvp",Inputs!$B$43=0),1,IF(IF(Inputs!$B$38="pvp",15,Inputs!$B$43)-(B1167)&lt;=0,1,MAX(0,IF(Inputs!$B$38="pvp",15,Inputs!$B$43)-MAX(5,B1167))/(IF(Inputs!$B$38="pvp",15,Inputs!$B$43)-(B1167))))*IF(AND(ArtifactsInput!$M$42,((Inputs!$B$9+((C1148=TRUE)*(F1148-Calc!F19))+B1160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1142*(MIN(100,(Inputs!$B$9+((C1148=TRUE)*(F1148-Calc!F19))+B1160+(ArtifactsInput!$M$24-ArtifactsInput!$M$24)*CHOOSE(ArtifactsInput!$N$24+1,10,12,14,16,18,20)+(IF(AND(Inputs!$B$38&lt;&gt;"pvp",Inputs!$B$43=0),1,IF(IF(Inputs!$B$38="pvp",15,Inputs!$B$43)-(B1167)&lt;=0,1,MAX(0,IF(Inputs!$B$38="pvp",15,Inputs!$B$43)-MAX(5,B1167))/(IF(Inputs!$B$38="pvp",15,Inputs!$B$43)-(B1167))))*IF(AND(ArtifactsInput!$M$42,((Inputs!$B$9+((C1148=TRUE)*(F1148-Calc!F19))+B1160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1142*(1-MIN(100,(Inputs!$B$9+((C1148=TRUE)*(F1148-Calc!F19))+B1160+(ArtifactsInput!$M$24-ArtifactsInput!$M$24)*CHOOSE(ArtifactsInput!$N$24+1,10,12,14,16,18,20)+(IF(AND(Inputs!$B$38&lt;&gt;"pvp",Inputs!$B$43=0),1,IF(IF(Inputs!$B$38="pvp",15,Inputs!$B$43)-(B1167)&lt;=0,1,MAX(0,IF(Inputs!$B$38="pvp",15,Inputs!$B$43)-MAX(5,B1167))/(IF(Inputs!$B$38="pvp",15,Inputs!$B$43)-(B1167))))*IF(AND(ArtifactsInput!$M$42,((Inputs!$B$9+((C1148=TRUE)*(F1148-Calc!F19))+B1160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1142*(MIN(100,(Inputs!$B$9+((C1148=TRUE)*(F1148-Calc!F19))+B1160+(ArtifactsInput!$M$24-ArtifactsInput!$M$24)*CHOOSE(ArtifactsInput!$N$24+1,10,12,14,16,18,20)+(IF(AND(Inputs!$B$38&lt;&gt;"pvp",Inputs!$B$43=0),1,IF(IF(Inputs!$B$38="pvp",15,Inputs!$B$43)-(B1167)&lt;=0,1,MAX(0,IF(Inputs!$B$38="pvp",15,Inputs!$B$43)-MAX(5,B1167))/(IF(Inputs!$B$38="pvp",15,Inputs!$B$43)-(B1167))))*IF(AND(ArtifactsInput!$M$42,((Inputs!$B$9+((C1148=TRUE)*(F1148-Calc!F19))+B1160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142">
        <f>IF(C1142,(H1142*N1142*IF(AND(Inputs!$B$38&lt;&gt;"pvp",Inputs!$B$43&gt;0),((Skills!G13*((R1142-1)*IF(Skills!H13&gt;0,INT(Skills!I13/Skills!H13+0.000000001),1)+IF(Skills!H13&gt;0,INT(MIN(Skills!I13,MAX(0,MAX(0,Inputs!$B$43-B1167)-((R1142-1)*(IF(Inputs!$B$38="pvp",15,MAX(0.1,Skills!D13-IF(TRUE=TRUE,(Inputs!$B$32+1),0)))*(1-IF(AND(ArtifactsInput!$M$27,Inputs!$B$4="Chapter Hunt"),CHOOSE(ArtifactsInput!$N$27+1,20,24,28,32,36,40),0)/100)))))/Skills!H13+0.000000001),1)))/Inputs!$B$43),G1142*Q1142))*IF(Inputs!$B$38="pvp",1,(1+(Inputs!$B$21+Skills!Q13+(IF(ArtifactsInput!$M$33,CHOOSE(ArtifactsInput!$N$33+1,30,36,42,48,54,60),0))+(IF(AND(ArtifactsInput!$M$35,Inputs!$B$4&lt;&gt;"Chapter Hunt"),CHOOSE(ArtifactsInput!$N$35+1,15,18,21,24,27,30)*(1-EXP(-(0.2*B1162)*5)),0)+IF(AND(ArtifactsInput!$M$22,Inputs!$B$4&lt;&gt;"Chapter Hunt"),CHOOSE(ArtifactsInput!$N$22+1,10,12,14,16,18,20)*((0*(((0.15*B1162*5))^0/1)+1*(((0.15*B1162*5))^1/1)+2*(((0.15*B1162*5))^2/2)+3*(((0.15*B1162*5))^3/6)+4*(((0.15*B1162*5))^4/24)+5*(((0.15*B1162*5))^5/120))/((((0.15*B1162*5))^0/1)+(((0.15*B1162*5))^1/1)+(((0.15*B1162*5))^2/2)+(((0.15*B1162*5))^3/6)+(((0.15*B1162*5))^4/24)+(((0.15*B1162*5))^5/120))),0))+IF(Inputs!$B$3&gt;=54,9*(C1132=TRUE)*MIN(1,8*(1+Inputs!$B$34/100)*Q1132),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43">
      <c r="A1143">
        <f>Skills!A14</f>
        <v/>
      </c>
      <c r="B1143">
        <f>Skills!B14</f>
        <v/>
      </c>
      <c r="C1143">
        <f>Inputs!$B$3&gt;=120</f>
        <v/>
      </c>
      <c r="D1143">
        <f>IF(Skills!C14=1,60+Inputs!$B$25+Inputs!$B$29,IF(Skills!C14=2,90+Inputs!$B$26+Inputs!$B$29,IF(Skills!C14=3,120+Inputs!$B$27+Inputs!$B$29,MAX(0,(Inputs!$B$3-100)*3)+Inputs!$B$28+Inputs!$B$29)))</f>
        <v/>
      </c>
      <c r="E1143">
        <f>INDEX(FactorTable!$B$2:$Y$301, MATCH(ROUND(MIN(300,MAX(1,D1143)),0), FactorTable!$A$2:$A$301,0), Skills!M14+1)</f>
        <v/>
      </c>
      <c r="F1143">
        <f>IF(Skills!N14=TRUE,(Skills!L14/10)*(E1143/1000),Skills!L14/10)+Skills!O14</f>
        <v/>
      </c>
      <c r="G1143">
        <f>Skills!G14*IF(Skills!H14&gt;0,INT(IF(Inputs!$B$38="pvp",MIN(Skills!I14,15),Skills!I14)/Skills!H14+0.000000001),1)</f>
        <v/>
      </c>
      <c r="H1143">
        <f>1-(1-Skills!J14/100)^Skills!K14</f>
        <v/>
      </c>
      <c r="I1143" t="inlineStr">
        <is>
          <t>1</t>
        </is>
      </c>
      <c r="J1143">
        <f>((Inputs!$B$6*(1+Inputs!$B$7/100))+(((Inputs!$B$12*(1+Inputs!$B$13/100))-(Inputs!$B$12*(1+Inputs!$B$13/100)))+0.25*(Inputs!$B$14-Inputs!$B$14))*(1+Inputs!$B$7/100))*(F1143/100)</f>
        <v/>
      </c>
      <c r="K1143">
        <f>J1143*(1+((Inputs!$B$12*(1+Inputs!$B$13/100))*0.01+Inputs!$B$14*0.0025)/100)*(1+Inputs!$B$15/100)*(1+Inputs!$B$16/100)*(5000/(6000+Inputs!$B$42*(1-(100*(1-(1-(Inputs!$B$19+0)/100)*(1-CHOOSE(ArtifactsInput!$N$40+1,5,6,7,8,9,10)/100)^(ArtifactsInput!$M$40-ArtifactsInput!$M$40)))/100)))*(1+(Inputs!$B$24+((C1155=TRUE)*(F1155-Calc!F26))+B1166)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EIGHT_LEGS_EASTON",Inputs!$B$17+((C1152=TRUE)*(F1152-Calc!F23))+((C1156=TRUE)*(F1156-Calc!F27))+((IF(AND(Inputs!$B$38&lt;&gt;"pvp",Inputs!$B$43=0),1,IF(IF(Inputs!$B$38="pvp",15,Inputs!$B$43)-(B1167)&lt;=0,1,MAX(0,IF(Inputs!$B$38="pvp",15,Inputs!$B$43)-MAX(5,B1167))/(IF(Inputs!$B$38="pvp",15,Inputs!$B$43)-(B1167))))*(IF(AND(ArtifactsInput!$M$42,((Inputs!$B$9+((C1148=TRUE)*(F1148-Calc!F19))+B1160+(ArtifactsInput!$M$24-ArtifactsInput!$M$24)*CHOOSE(ArtifactsInput!$N$24+1,10,12,14,16,18,20)+IF(ArtifactsInput!$M$10,CHOOSE(ArtifactsInput!$N$10+1,15,18,21,24,27,30)*(IF(Inputs!$B$38="pvp",MIN(15,15)/15,IF(AND(Inputs!$B$38&lt;&gt;"pvp",Inputs!$B$43&gt;0),MIN(15,Inputs!$B$43)/(Inputs!$B$43),0))),0)))&gt;=100),MIN(100,((Inputs!$B$9+((C1148=TRUE)*(F1148-Calc!F19))+B1160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1167)&lt;=0,1,MAX(0,IF(Inputs!$B$38="pvp",15,Inputs!$B$43)-MAX(5,B1167))/(IF(Inputs!$B$38="pvp",15,Inputs!$B$43)-(B1167))))*IF(AND(ArtifactsInput!$M$42,((Inputs!$B$9+((C1148=TRUE)*(F1148-Calc!F19))+B1160+(ArtifactsInput!$M$24-ArtifactsInput!$M$24)*CHOOSE(ArtifactsInput!$N$24+1,10,12,14,16,18,20)+IF(ArtifactsInput!$M$10,CHOOSE(ArtifactsInput!$N$10+1,15,18,21,24,27,30)*(IF(Inputs!$B$38="pvp",MIN(15,15)/15,IF(AND(Inputs!$B$38&lt;&gt;"pvp",Inputs!$B$43&gt;0),MIN(15,Inputs!$B$43)/(Inputs!$B$43),0))),0)))&gt;=100),CHOOSE(ArtifactsInput!$N$42+1,40,48,56,64,72,80),0))))/100)*((1+(((C1146=TRUE)*F1146*5/7)+((C1153=TRUE)*(F1153-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1143)</f>
        <v/>
      </c>
      <c r="L1143">
        <f>K1143*(MIN(Inputs!$B$22+((C1151=TRUE)*(F1151-Calc!F22)),(Inputs!$B$23+0+(IF(ArtifactsInput!$M$15,CHOOSE(ArtifactsInput!$N$15+1,25,30,35,40,45,50)/100*(Inputs!$B$11-Inputs!$B$11),0))))/100+(Inputs!$B$23+0+(IF(ArtifactsInput!$M$15,CHOOSE(ArtifactsInput!$N$15+1,25,30,35,40,45,50)/100*(Inputs!$B$11-Inputs!$B$11),0)))/100)/2</f>
        <v/>
      </c>
      <c r="M1143">
        <f>L1143*(1+(Inputs!$B$10+((C1154=TRUE)*(F1154-Calc!F25))+B1165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43">
        <f>L1143*(1-MIN((Inputs!$B$9+((C1148=TRUE)*(F1148-Calc!F19))+B1160+(ArtifactsInput!$M$24-ArtifactsInput!$M$24)*CHOOSE(ArtifactsInput!$N$24+1,10,12,14,16,18,20)+(IF(AND(Inputs!$B$38&lt;&gt;"pvp",Inputs!$B$43=0),1,IF(IF(Inputs!$B$38="pvp",15,Inputs!$B$43)-(B1167)&lt;=0,1,MAX(0,IF(Inputs!$B$38="pvp",15,Inputs!$B$43)-MAX(5,B1167))/(IF(Inputs!$B$38="pvp",15,Inputs!$B$43)-(B1167))))*IF(AND(ArtifactsInput!$M$42,((Inputs!$B$9+((C1148=TRUE)*(F1148-Calc!F19))+B1160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1143*(MIN((Inputs!$B$9+((C1148=TRUE)*(F1148-Calc!F19))+B1160+(ArtifactsInput!$M$24-ArtifactsInput!$M$24)*CHOOSE(ArtifactsInput!$N$24+1,10,12,14,16,18,20)+(IF(AND(Inputs!$B$38&lt;&gt;"pvp",Inputs!$B$43=0),1,IF(IF(Inputs!$B$38="pvp",15,Inputs!$B$43)-(B1167)&lt;=0,1,MAX(0,IF(Inputs!$B$38="pvp",15,Inputs!$B$43)-MAX(5,B1167))/(IF(Inputs!$B$38="pvp",15,Inputs!$B$43)-(B1167))))*IF(AND(ArtifactsInput!$M$42,((Inputs!$B$9+((C1148=TRUE)*(F1148-Calc!F19))+B1160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43">
        <f>(1-Summary!$B$11)*T1143+Summary!$B$11*V1143</f>
        <v/>
      </c>
      <c r="P1143">
        <f>IF(B1170=0,0,O1143/B1170)</f>
        <v/>
      </c>
      <c r="Q1143" t="n">
        <v>0</v>
      </c>
      <c r="R1143" t="n">
        <v>0</v>
      </c>
      <c r="S1143">
        <f>IFERROR(O1143/N1143,0)</f>
        <v/>
      </c>
      <c r="T1143">
        <f>IF(C1143,((H1143*(B1164+IF(AND(Inputs!$B$38&lt;&gt;"pvp",Inputs!$B$43&gt;0),((Skills!G8*((R1137-1)*IF(Skills!H8&gt;0,INT(Skills!I8/Skills!H8+0.000000001),1)+IF(Skills!H8&gt;0,INT(MIN(Skills!I8,MAX(0,MAX(0,Inputs!$B$43-B1167)-((R1137-1)*((IF(Inputs!$B$38="pvp",15,MAX(0.1,Skills!D8-IF(TRUE=TRUE,(Inputs!$B$32+1),0)))*(1-IF(AND(ArtifactsInput!$M$27,Inputs!$B$4="Chapter Hunt"),CHOOSE(ArtifactsInput!$N$27+1,20,24,28,32,36,40),0)/100))/B1171))))/Skills!H8+0.000000001),1)))/Inputs!$B$43),G1137*Q1137)+IF(AND(Inputs!$B$38&lt;&gt;"pvp",Inputs!$B$43&gt;0),((Skills!G11*((R1140-1)*IF(Skills!H11&gt;0,INT(Skills!I11/Skills!H11+0.000000001),1)+IF(Skills!H11&gt;0,INT(MIN(Skills!I11,MAX(0,MAX(0,Inputs!$B$43-B1167)-((R1140-1)*((IF(Inputs!$B$38="pvp",15,MAX(0.1,Skills!D11-IF(TRUE=TRUE,(Inputs!$B$32+1),0)))*(1-IF(AND(ArtifactsInput!$M$27,Inputs!$B$4="Chapter Hunt"),CHOOSE(ArtifactsInput!$N$27+1,20,24,28,32,36,40),0)/100))/B1171))))/Skills!H11+0.000000001),1)))/Inputs!$B$43),G1140*Q1140)))/(1+Skills!H14*H1143*(B1164+IF(AND(Inputs!$B$38&lt;&gt;"pvp",Inputs!$B$43&gt;0),((Skills!G8*((R1137-1)*IF(Skills!H8&gt;0,INT(Skills!I8/Skills!H8+0.000000001),1)+IF(Skills!H8&gt;0,INT(MIN(Skills!I8,MAX(0,MAX(0,Inputs!$B$43-B1167)-((R1137-1)*((IF(Inputs!$B$38="pvp",15,MAX(0.1,Skills!D8-IF(TRUE=TRUE,(Inputs!$B$32+1),0)))*(1-IF(AND(ArtifactsInput!$M$27,Inputs!$B$4="Chapter Hunt"),CHOOSE(ArtifactsInput!$N$27+1,20,24,28,32,36,40),0)/100))/B1171))))/Skills!H8+0.000000001),1)))/Inputs!$B$43),G1137*Q1137)+IF(AND(Inputs!$B$38&lt;&gt;"pvp",Inputs!$B$43&gt;0),((Skills!G11*((R1140-1)*IF(Skills!H11&gt;0,INT(Skills!I11/Skills!H11+0.000000001),1)+IF(Skills!H11&gt;0,INT(MIN(Skills!I11,MAX(0,MAX(0,Inputs!$B$43-B1167)-((R1140-1)*((IF(Inputs!$B$38="pvp",15,MAX(0.1,Skills!D11-IF(TRUE=TRUE,(Inputs!$B$32+1),0)))*(1-IF(AND(ArtifactsInput!$M$27,Inputs!$B$4="Chapter Hunt"),CHOOSE(ArtifactsInput!$N$27+1,20,24,28,32,36,40),0)/100))/B1171))))/Skills!H11+0.000000001),1)))/Inputs!$B$43),G1140*Q1140)))*N1143)*IF(Inputs!$B$38="pvp",1,1+(Inputs!$B$20+0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Hunt"),CHOOSE(ArtifactsInput!$N$35+1,15,18,21,24,27,30)*(1-EXP(-(0.2*B1162)*5)),0)+IF(AND(ArtifactsInput!$M$22,Inputs!$B$4&lt;&gt;"Chapter Hunt"),CHOOSE(ArtifactsInput!$N$22+1,10,12,14,16,18,20)*((0*(((0.15*B1162*5))^0/1)+1*(((0.15*B1162*5))^1/1)+2*(((0.15*B1162*5))^2/2)+3*(((0.15*B1162*5))^3/6)+4*(((0.15*B1162*5))^4/24)+5*(((0.15*B1162*5))^5/120))/((((0.15*B1162*5))^0/1)+(((0.15*B1162*5))^1/1)+(((0.15*B1162*5))^2/2)+(((0.15*B1162*5))^3/6)+(((0.15*B1162*5))^4/24)+(((0.15*B1162*5))^5/120))),0))+IF(Inputs!$B$3&gt;=54,9*(C1132=TRUE)*MIN(1,8*(1+Inputs!$B$34/100)*Q1132)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1143*(1-MIN(100,(Inputs!$B$9+((C1148=TRUE)*(F1148-Calc!F19))+B1160+(ArtifactsInput!$M$24-ArtifactsInput!$M$24)*CHOOSE(ArtifactsInput!$N$24+1,10,12,14,16,18,20)+(IF(AND(Inputs!$B$38&lt;&gt;"pvp",Inputs!$B$43=0),1,IF(IF(Inputs!$B$38="pvp",15,Inputs!$B$43)-(B1167)&lt;=0,1,MAX(0,IF(Inputs!$B$38="pvp",15,Inputs!$B$43)-MAX(5,B1167))/(IF(Inputs!$B$38="pvp",15,Inputs!$B$43)-(B1167))))*IF(AND(ArtifactsInput!$M$42,((Inputs!$B$9+((C1148=TRUE)*(F1148-Calc!F19))+B1160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1143*(MIN(100,(Inputs!$B$9+((C1148=TRUE)*(F1148-Calc!F19))+B1160+(ArtifactsInput!$M$24-ArtifactsInput!$M$24)*CHOOSE(ArtifactsInput!$N$24+1,10,12,14,16,18,20)+(IF(AND(Inputs!$B$38&lt;&gt;"pvp",Inputs!$B$43=0),1,IF(IF(Inputs!$B$38="pvp",15,Inputs!$B$43)-(B1167)&lt;=0,1,MAX(0,IF(Inputs!$B$38="pvp",15,Inputs!$B$43)-MAX(5,B1167))/(IF(Inputs!$B$38="pvp",15,Inputs!$B$43)-(B1167))))*IF(AND(ArtifactsInput!$M$42,((Inputs!$B$9+((C1148=TRUE)*(F1148-Calc!F19))+B1160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1143*(1-MIN(100,(Inputs!$B$9+((C1148=TRUE)*(F1148-Calc!F19))+B1160+(ArtifactsInput!$M$24-ArtifactsInput!$M$24)*CHOOSE(ArtifactsInput!$N$24+1,10,12,14,16,18,20)+(IF(AND(Inputs!$B$38&lt;&gt;"pvp",Inputs!$B$43=0),1,IF(IF(Inputs!$B$38="pvp",15,Inputs!$B$43)-(B1167)&lt;=0,1,MAX(0,IF(Inputs!$B$38="pvp",15,Inputs!$B$43)-MAX(5,B1167))/(IF(Inputs!$B$38="pvp",15,Inputs!$B$43)-(B1167))))*IF(AND(ArtifactsInput!$M$42,((Inputs!$B$9+((C1148=TRUE)*(F1148-Calc!F19))+B1160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1143*(MIN(100,(Inputs!$B$9+((C1148=TRUE)*(F1148-Calc!F19))+B1160+(ArtifactsInput!$M$24-ArtifactsInput!$M$24)*CHOOSE(ArtifactsInput!$N$24+1,10,12,14,16,18,20)+(IF(AND(Inputs!$B$38&lt;&gt;"pvp",Inputs!$B$43=0),1,IF(IF(Inputs!$B$38="pvp",15,Inputs!$B$43)-(B1167)&lt;=0,1,MAX(0,IF(Inputs!$B$38="pvp",15,Inputs!$B$43)-MAX(5,B1167))/(IF(Inputs!$B$38="pvp",15,Inputs!$B$43)-(B1167))))*IF(AND(ArtifactsInput!$M$42,((Inputs!$B$9+((C1148=TRUE)*(F1148-Calc!F19))+B1160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143">
        <f>IF(C1143,((H1143*(B1164+IF(AND(Inputs!$B$38&lt;&gt;"pvp",Inputs!$B$43&gt;0),((Skills!G8*((R1137-1)*IF(Skills!H8&gt;0,INT(Skills!I8/Skills!H8+0.000000001),1)+IF(Skills!H8&gt;0,INT(MIN(Skills!I8,MAX(0,MAX(0,Inputs!$B$43-B1167)-((R1137-1)*((IF(Inputs!$B$38="pvp",15,MAX(0.1,Skills!D8-IF(TRUE=TRUE,(Inputs!$B$32+1),0)))*(1-IF(AND(ArtifactsInput!$M$27,Inputs!$B$4="Chapter Hunt"),CHOOSE(ArtifactsInput!$N$27+1,20,24,28,32,36,40),0)/100))/B1171))))/Skills!H8+0.000000001),1)))/Inputs!$B$43),G1137*Q1137)+IF(AND(Inputs!$B$38&lt;&gt;"pvp",Inputs!$B$43&gt;0),((Skills!G11*((R1140-1)*IF(Skills!H11&gt;0,INT(Skills!I11/Skills!H11+0.000000001),1)+IF(Skills!H11&gt;0,INT(MIN(Skills!I11,MAX(0,MAX(0,Inputs!$B$43-B1167)-((R1140-1)*((IF(Inputs!$B$38="pvp",15,MAX(0.1,Skills!D11-IF(TRUE=TRUE,(Inputs!$B$32+1),0)))*(1-IF(AND(ArtifactsInput!$M$27,Inputs!$B$4="Chapter Hunt"),CHOOSE(ArtifactsInput!$N$27+1,20,24,28,32,36,40),0)/100))/B1171))))/Skills!H11+0.000000001),1)))/Inputs!$B$43),G1140*Q1140)))/(1+Skills!H14*H1143*(B1164+IF(AND(Inputs!$B$38&lt;&gt;"pvp",Inputs!$B$43&gt;0),((Skills!G8*((R1137-1)*IF(Skills!H8&gt;0,INT(Skills!I8/Skills!H8+0.000000001),1)+IF(Skills!H8&gt;0,INT(MIN(Skills!I8,MAX(0,MAX(0,Inputs!$B$43-B1167)-((R1137-1)*((IF(Inputs!$B$38="pvp",15,MAX(0.1,Skills!D8-IF(TRUE=TRUE,(Inputs!$B$32+1),0)))*(1-IF(AND(ArtifactsInput!$M$27,Inputs!$B$4="Chapter Hunt"),CHOOSE(ArtifactsInput!$N$27+1,20,24,28,32,36,40),0)/100))/B1171))))/Skills!H8+0.000000001),1)))/Inputs!$B$43),G1137*Q1137)+IF(AND(Inputs!$B$38&lt;&gt;"pvp",Inputs!$B$43&gt;0),((Skills!G11*((R1140-1)*IF(Skills!H11&gt;0,INT(Skills!I11/Skills!H11+0.000000001),1)+IF(Skills!H11&gt;0,INT(MIN(Skills!I11,MAX(0,MAX(0,Inputs!$B$43-B1167)-((R1140-1)*((IF(Inputs!$B$38="pvp",15,MAX(0.1,Skills!D11-IF(TRUE=TRUE,(Inputs!$B$32+1),0)))*(1-IF(AND(ArtifactsInput!$M$27,Inputs!$B$4="Chapter Hunt"),CHOOSE(ArtifactsInput!$N$27+1,20,24,28,32,36,40),0)/100))/B1171))))/Skills!H11+0.000000001),1)))/Inputs!$B$43),G1140*Q1140)))*N1143)*IF(Inputs!$B$38="pvp",1,(1+(Inputs!$B$21+Skills!Q14+(IF(ArtifactsInput!$M$33,CHOOSE(ArtifactsInput!$N$33+1,30,36,42,48,54,60),0))+(IF(AND(ArtifactsInput!$M$35,Inputs!$B$4&lt;&gt;"Chapter Hunt"),CHOOSE(ArtifactsInput!$N$35+1,15,18,21,24,27,30)*(1-EXP(-(0.2*B1162)*5)),0)+IF(AND(ArtifactsInput!$M$22,Inputs!$B$4&lt;&gt;"Chapter Hunt"),CHOOSE(ArtifactsInput!$N$22+1,10,12,14,16,18,20)*((0*(((0.15*B1162*5))^0/1)+1*(((0.15*B1162*5))^1/1)+2*(((0.15*B1162*5))^2/2)+3*(((0.15*B1162*5))^3/6)+4*(((0.15*B1162*5))^4/24)+5*(((0.15*B1162*5))^5/120))/((((0.15*B1162*5))^0/1)+(((0.15*B1162*5))^1/1)+(((0.15*B1162*5))^2/2)+(((0.15*B1162*5))^3/6)+(((0.15*B1162*5))^4/24)+(((0.15*B1162*5))^5/120))),0))+IF(Inputs!$B$3&gt;=54,9*(C1132=TRUE)*MIN(1,8*(1+Inputs!$B$34/100)*Q1132),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44">
      <c r="A1144">
        <f>Skills!A15</f>
        <v/>
      </c>
      <c r="B1144">
        <f>Skills!B15</f>
        <v/>
      </c>
      <c r="C1144">
        <f>Inputs!$B$3&gt;=100</f>
        <v/>
      </c>
      <c r="D1144">
        <f>IF(Skills!C15=1,60+Inputs!$B$25+Inputs!$B$29,IF(Skills!C15=2,90+Inputs!$B$26+Inputs!$B$29,IF(Skills!C15=3,120+Inputs!$B$27+Inputs!$B$29,MAX(0,(Inputs!$B$3-100)*3)+Inputs!$B$28+Inputs!$B$29)))</f>
        <v/>
      </c>
      <c r="E1144">
        <f>INDEX(FactorTable!$B$2:$Y$301, MATCH(ROUND(MIN(300,MAX(1,D1144)),0), FactorTable!$A$2:$A$301,0), Skills!M15+1)</f>
        <v/>
      </c>
      <c r="F1144">
        <f>IF(Skills!N15=TRUE,(Skills!L15/10)*(E1144/1000),Skills!L15/10)+Skills!O15</f>
        <v/>
      </c>
      <c r="G1144" t="inlineStr"/>
      <c r="H1144" t="inlineStr"/>
      <c r="I1144" t="inlineStr">
        <is>
          <t>1</t>
        </is>
      </c>
      <c r="J1144" t="inlineStr"/>
      <c r="K1144" t="inlineStr"/>
      <c r="L1144" t="inlineStr"/>
      <c r="M1144" t="inlineStr"/>
      <c r="N1144" t="inlineStr"/>
      <c r="O1144" t="inlineStr"/>
      <c r="P1144" t="inlineStr"/>
      <c r="Q1144" t="inlineStr"/>
      <c r="R1144" t="inlineStr"/>
      <c r="S1144" t="inlineStr"/>
    </row>
    <row r="1145">
      <c r="A1145">
        <f>Skills!A16</f>
        <v/>
      </c>
      <c r="B1145">
        <f>Skills!B16</f>
        <v/>
      </c>
      <c r="C1145">
        <f>Inputs!$B$3&gt;=107</f>
        <v/>
      </c>
      <c r="D1145">
        <f>IF(Skills!C16=1,60+Inputs!$B$25+Inputs!$B$29,IF(Skills!C16=2,90+Inputs!$B$26+Inputs!$B$29,IF(Skills!C16=3,120+Inputs!$B$27+Inputs!$B$29,MAX(0,(Inputs!$B$3-100)*3)+Inputs!$B$28+Inputs!$B$29)))</f>
        <v/>
      </c>
      <c r="E1145">
        <f>INDEX(FactorTable!$B$2:$Y$301, MATCH(ROUND(MIN(300,MAX(1,D1145)),0), FactorTable!$A$2:$A$301,0), Skills!M16+1)</f>
        <v/>
      </c>
      <c r="F1145">
        <f>IF(Skills!N16=TRUE,(Skills!L16/10)*(E1145/1000),Skills!L16/10)+Skills!O16</f>
        <v/>
      </c>
      <c r="G1145" t="inlineStr"/>
      <c r="H1145" t="inlineStr"/>
      <c r="I1145" t="inlineStr">
        <is>
          <t>1</t>
        </is>
      </c>
      <c r="J1145" t="inlineStr"/>
      <c r="K1145" t="inlineStr"/>
      <c r="L1145" t="inlineStr"/>
      <c r="M1145" t="inlineStr"/>
      <c r="N1145" t="inlineStr"/>
      <c r="O1145" t="inlineStr"/>
      <c r="P1145" t="inlineStr"/>
      <c r="Q1145" t="inlineStr"/>
      <c r="R1145" t="inlineStr"/>
      <c r="S1145" t="inlineStr"/>
    </row>
    <row r="1146">
      <c r="A1146">
        <f>Skills!A17</f>
        <v/>
      </c>
      <c r="B1146">
        <f>Skills!B17</f>
        <v/>
      </c>
      <c r="C1146">
        <f>Inputs!$B$3&gt;=74</f>
        <v/>
      </c>
      <c r="D1146">
        <f>IF(Skills!C17=1,60+Inputs!$B$25+Inputs!$B$29,IF(Skills!C17=2,90+Inputs!$B$26+Inputs!$B$29,IF(Skills!C17=3,120+Inputs!$B$27+Inputs!$B$29,MAX(0,(Inputs!$B$3-100)*3)+Inputs!$B$28+Inputs!$B$29)))</f>
        <v/>
      </c>
      <c r="E1146">
        <f>INDEX(FactorTable!$B$2:$Y$301, MATCH(ROUND(MIN(300,MAX(1,D1146)),0), FactorTable!$A$2:$A$301,0), Skills!M17+1)</f>
        <v/>
      </c>
      <c r="F1146">
        <f>IF(Skills!N17=TRUE,(Skills!L17/10)*(E1146/1000),Skills!L17/10)+Skills!O17</f>
        <v/>
      </c>
      <c r="G1146">
        <f>Skills!G17*IF(Skills!H17&gt;0,INT(IF(Inputs!$B$38="pvp",MIN(Skills!I17,15),Skills!I17)/Skills!H17+0.000000001),1)</f>
        <v/>
      </c>
      <c r="H1146">
        <f>1-(1-Skills!J17/100)^Skills!K17</f>
        <v/>
      </c>
      <c r="I1146" t="inlineStr">
        <is>
          <t>1</t>
        </is>
      </c>
      <c r="J1146" t="inlineStr"/>
      <c r="K1146" t="inlineStr"/>
      <c r="L1146" t="inlineStr"/>
      <c r="M1146" t="inlineStr"/>
      <c r="N1146" t="inlineStr"/>
      <c r="O1146">
        <f>(1-Summary!$B$11)*T1146+Summary!$B$11*V1146</f>
        <v/>
      </c>
      <c r="P1146">
        <f>IF(B1170=0,0,O1146/B1170)</f>
        <v/>
      </c>
      <c r="Q1146" t="n">
        <v>0</v>
      </c>
      <c r="R1146" t="n">
        <v>0</v>
      </c>
      <c r="S1146">
        <f>IFERROR(O1146/N1146,0)</f>
        <v/>
      </c>
      <c r="T1146" t="n">
        <v>0</v>
      </c>
      <c r="V1146" t="n">
        <v>0</v>
      </c>
    </row>
    <row r="1147">
      <c r="A1147">
        <f>Skills!A18</f>
        <v/>
      </c>
      <c r="B1147">
        <f>Skills!B18</f>
        <v/>
      </c>
      <c r="C1147">
        <f>Inputs!$B$3&gt;=115</f>
        <v/>
      </c>
      <c r="D1147">
        <f>IF(Skills!C18=1,60+Inputs!$B$25+Inputs!$B$29,IF(Skills!C18=2,90+Inputs!$B$26+Inputs!$B$29,IF(Skills!C18=3,120+Inputs!$B$27+Inputs!$B$29,MAX(0,(Inputs!$B$3-100)*3)+Inputs!$B$28+Inputs!$B$29)))</f>
        <v/>
      </c>
      <c r="E1147">
        <f>INDEX(FactorTable!$B$2:$Y$301, MATCH(ROUND(MIN(300,MAX(1,D1147)),0), FactorTable!$A$2:$A$301,0), Skills!M18+1)</f>
        <v/>
      </c>
      <c r="F1147">
        <f>IF(Skills!N18=TRUE,(Skills!L18/10)*(E1147/1000),Skills!L18/10)+Skills!O18</f>
        <v/>
      </c>
      <c r="G1147">
        <f>Skills!G18*IF(Skills!H18&gt;0,INT(IF(Inputs!$B$38="pvp",MIN(Skills!I18,15),Skills!I18)/Skills!H18+0.000000001),1)</f>
        <v/>
      </c>
      <c r="H1147">
        <f>1-(1-Skills!J18/100)^Skills!K18</f>
        <v/>
      </c>
      <c r="I1147" t="inlineStr">
        <is>
          <t>1</t>
        </is>
      </c>
      <c r="J1147" t="inlineStr"/>
      <c r="K1147" t="inlineStr"/>
      <c r="L1147" t="inlineStr"/>
      <c r="M1147" t="inlineStr"/>
      <c r="N1147" t="inlineStr"/>
      <c r="O1147">
        <f>(1-Summary!$B$11)*T1147+Summary!$B$11*V1147</f>
        <v/>
      </c>
      <c r="P1147">
        <f>IF(B1170=0,0,O1147/B1170)</f>
        <v/>
      </c>
      <c r="Q1147">
        <f>IFERROR(1/(IF(Inputs!$B$38="pvp",15,MAX(0.1,Skills!D18-IF(TRUE=TRUE,(Inputs!$B$32+1),0)))*(1-IF(AND(ArtifactsInput!$M$27,Inputs!$B$4="Chapter Hunt"),CHOOSE(ArtifactsInput!$N$27+1,20,24,28,32,36,40),0)/100)),0)</f>
        <v/>
      </c>
      <c r="R1147">
        <f>IF(AND(Inputs!$B$38&lt;&gt;"pvp",Inputs!$B$43&gt;0),IF(Inputs!$B$43&lt;=0,0,(INT(Inputs!$B$43/(IF(Inputs!$B$38="pvp",15,MAX(0.1,Skills!D18-IF(TRUE=TRUE,(Inputs!$B$32+1),0)))*(1-IF(AND(ArtifactsInput!$M$27,Inputs!$B$4="Chapter Hunt"),CHOOSE(ArtifactsInput!$N$27+1,20,24,28,32,36,40),0)/100)))+1)),0)</f>
        <v/>
      </c>
      <c r="S1147">
        <f>IFERROR(O1147/N1147,0)</f>
        <v/>
      </c>
      <c r="T1147" t="n">
        <v>0</v>
      </c>
      <c r="V1147" t="n">
        <v>0</v>
      </c>
    </row>
    <row r="1148">
      <c r="A1148">
        <f>Skills!A19</f>
        <v/>
      </c>
      <c r="B1148">
        <f>Skills!B19</f>
        <v/>
      </c>
      <c r="C1148">
        <f>Inputs!$B$3&gt;=10</f>
        <v/>
      </c>
      <c r="D1148">
        <f>IF(Skills!C19=1,60+Inputs!$B$25+Inputs!$B$29,IF(Skills!C19=2,90+Inputs!$B$26+Inputs!$B$29,IF(Skills!C19=3,120+Inputs!$B$27+Inputs!$B$29,MAX(0,(Inputs!$B$3-100)*3)+Inputs!$B$28+Inputs!$B$29)))</f>
        <v/>
      </c>
      <c r="E1148">
        <f>INDEX(FactorTable!$B$2:$Y$301, MATCH(ROUND(MIN(300,MAX(1,D1148)),0), FactorTable!$A$2:$A$301,0), Skills!M19+1)</f>
        <v/>
      </c>
      <c r="F1148">
        <f>IF(Skills!N19=TRUE,(Skills!L19/10)*(E1148/1000),Skills!L19/10)+Skills!O19</f>
        <v/>
      </c>
      <c r="G1148">
        <f>Skills!G19*IF(Skills!H19&gt;0,INT(IF(Inputs!$B$38="pvp",MIN(Skills!I19,15),Skills!I19)/Skills!H19+0.000000001),1)</f>
        <v/>
      </c>
      <c r="H1148">
        <f>1-(1-Skills!J19/100)^Skills!K19</f>
        <v/>
      </c>
      <c r="I1148" t="inlineStr">
        <is>
          <t>1</t>
        </is>
      </c>
      <c r="J1148" t="inlineStr"/>
      <c r="K1148" t="inlineStr"/>
      <c r="L1148" t="inlineStr"/>
      <c r="M1148" t="inlineStr"/>
      <c r="N1148" t="inlineStr"/>
      <c r="O1148">
        <f>(1-Summary!$B$11)*T1148+Summary!$B$11*V1148</f>
        <v/>
      </c>
      <c r="P1148">
        <f>IF(B1170=0,0,O1148/B1170)</f>
        <v/>
      </c>
      <c r="Q1148" t="n">
        <v>0</v>
      </c>
      <c r="R1148" t="n">
        <v>0</v>
      </c>
      <c r="S1148">
        <f>IFERROR(O1148/N1148,0)</f>
        <v/>
      </c>
      <c r="T1148" t="n">
        <v>0</v>
      </c>
      <c r="V1148" t="n">
        <v>0</v>
      </c>
    </row>
    <row r="1149">
      <c r="A1149">
        <f>Skills!A20</f>
        <v/>
      </c>
      <c r="B1149">
        <f>Skills!B20</f>
        <v/>
      </c>
      <c r="C1149">
        <f>Inputs!$B$3&gt;=15</f>
        <v/>
      </c>
      <c r="D1149">
        <f>IF(Skills!C20=1,60+Inputs!$B$25+Inputs!$B$29,IF(Skills!C20=2,90+Inputs!$B$26+Inputs!$B$29,IF(Skills!C20=3,120+Inputs!$B$27+Inputs!$B$29,MAX(0,(Inputs!$B$3-100)*3)+Inputs!$B$28+Inputs!$B$29)))</f>
        <v/>
      </c>
      <c r="E1149">
        <f>INDEX(FactorTable!$B$2:$Y$301, MATCH(ROUND(MIN(300,MAX(1,D1149)),0), FactorTable!$A$2:$A$301,0), Skills!M20+1)</f>
        <v/>
      </c>
      <c r="F1149">
        <f>IF(Skills!N20=TRUE,(Skills!L20/10)*(E1149/1000),Skills!L20/10)+Skills!O20</f>
        <v/>
      </c>
      <c r="G1149">
        <f>Skills!G20*IF(Skills!H20&gt;0,INT(IF(Inputs!$B$38="pvp",MIN(Skills!I20,15),Skills!I20)/Skills!H20+0.000000001),1)</f>
        <v/>
      </c>
      <c r="H1149">
        <f>1-(1-Skills!J20/100)^Skills!K20</f>
        <v/>
      </c>
      <c r="I1149" t="inlineStr">
        <is>
          <t>1</t>
        </is>
      </c>
      <c r="J1149" t="inlineStr"/>
      <c r="K1149" t="inlineStr"/>
      <c r="L1149" t="inlineStr"/>
      <c r="M1149" t="inlineStr"/>
      <c r="N1149" t="inlineStr"/>
      <c r="O1149">
        <f>(1-Summary!$B$11)*T1149+Summary!$B$11*V1149</f>
        <v/>
      </c>
      <c r="P1149">
        <f>IF(B1170=0,0,O1149/B1170)</f>
        <v/>
      </c>
      <c r="Q1149" t="n">
        <v>0</v>
      </c>
      <c r="R1149" t="n">
        <v>0</v>
      </c>
      <c r="S1149">
        <f>IFERROR(O1149/N1149,0)</f>
        <v/>
      </c>
      <c r="T1149" t="n">
        <v>0</v>
      </c>
      <c r="V1149" t="n">
        <v>0</v>
      </c>
    </row>
    <row r="1150">
      <c r="A1150">
        <f>Skills!A21</f>
        <v/>
      </c>
      <c r="B1150">
        <f>Skills!B21</f>
        <v/>
      </c>
      <c r="C1150">
        <f>Inputs!$B$3&gt;=40</f>
        <v/>
      </c>
      <c r="D1150">
        <f>IF(Skills!C21=1,60+Inputs!$B$25+Inputs!$B$29,IF(Skills!C21=2,90+Inputs!$B$26+Inputs!$B$29,IF(Skills!C21=3,120+Inputs!$B$27+Inputs!$B$29,MAX(0,(Inputs!$B$3-100)*3)+Inputs!$B$28+Inputs!$B$29)))</f>
        <v/>
      </c>
      <c r="E1150">
        <f>INDEX(FactorTable!$B$2:$Y$301, MATCH(ROUND(MIN(300,MAX(1,D1150)),0), FactorTable!$A$2:$A$301,0), Skills!M21+1)</f>
        <v/>
      </c>
      <c r="F1150">
        <f>IF(Skills!N21=TRUE,(Skills!L21/10)*(E1150/1000),Skills!L21/10)+Skills!O21</f>
        <v/>
      </c>
      <c r="G1150">
        <f>Skills!G21*IF(Skills!H21&gt;0,INT(IF(Inputs!$B$38="pvp",MIN(Skills!I21,15),Skills!I21)/Skills!H21+0.000000001),1)</f>
        <v/>
      </c>
      <c r="H1150">
        <f>1-(1-Skills!J21/100)^Skills!K21</f>
        <v/>
      </c>
      <c r="I1150" t="inlineStr">
        <is>
          <t>1</t>
        </is>
      </c>
      <c r="J1150" t="inlineStr"/>
      <c r="K1150" t="inlineStr"/>
      <c r="L1150" t="inlineStr"/>
      <c r="M1150" t="inlineStr"/>
      <c r="N1150" t="inlineStr"/>
      <c r="O1150">
        <f>(1-Summary!$B$11)*T1150+Summary!$B$11*V1150</f>
        <v/>
      </c>
      <c r="P1150">
        <f>IF(B1170=0,0,O1150/B1170)</f>
        <v/>
      </c>
      <c r="Q1150" t="n">
        <v>0</v>
      </c>
      <c r="R1150" t="n">
        <v>0</v>
      </c>
      <c r="S1150">
        <f>IFERROR(O1150/N1150,0)</f>
        <v/>
      </c>
      <c r="T1150" t="n">
        <v>0</v>
      </c>
      <c r="V1150" t="n">
        <v>0</v>
      </c>
    </row>
    <row r="1151">
      <c r="A1151">
        <f>Skills!A22</f>
        <v/>
      </c>
      <c r="B1151">
        <f>Skills!B22</f>
        <v/>
      </c>
      <c r="C1151">
        <f>Inputs!$B$3&gt;=43</f>
        <v/>
      </c>
      <c r="D1151">
        <f>IF(Skills!C22=1,60+Inputs!$B$25+Inputs!$B$29,IF(Skills!C22=2,90+Inputs!$B$26+Inputs!$B$29,IF(Skills!C22=3,120+Inputs!$B$27+Inputs!$B$29,MAX(0,(Inputs!$B$3-100)*3)+Inputs!$B$28+Inputs!$B$29)))</f>
        <v/>
      </c>
      <c r="E1151">
        <f>INDEX(FactorTable!$B$2:$Y$301, MATCH(ROUND(MIN(300,MAX(1,D1151)),0), FactorTable!$A$2:$A$301,0), Skills!M22+1)</f>
        <v/>
      </c>
      <c r="F1151">
        <f>IF(Skills!N22=TRUE,(Skills!L22/10)*(E1151/1000),Skills!L22/10)+Skills!O22</f>
        <v/>
      </c>
      <c r="G1151">
        <f>Skills!G22*IF(Skills!H22&gt;0,INT(IF(Inputs!$B$38="pvp",MIN(Skills!I22,15),Skills!I22)/Skills!H22+0.000000001),1)</f>
        <v/>
      </c>
      <c r="H1151">
        <f>1-(1-Skills!J22/100)^Skills!K22</f>
        <v/>
      </c>
      <c r="I1151" t="inlineStr">
        <is>
          <t>1</t>
        </is>
      </c>
      <c r="J1151" t="inlineStr"/>
      <c r="K1151" t="inlineStr"/>
      <c r="L1151" t="inlineStr"/>
      <c r="M1151" t="inlineStr"/>
      <c r="N1151" t="inlineStr"/>
      <c r="O1151">
        <f>(1-Summary!$B$11)*T1151+Summary!$B$11*V1151</f>
        <v/>
      </c>
      <c r="P1151">
        <f>IF(B1170=0,0,O1151/B1170)</f>
        <v/>
      </c>
      <c r="Q1151" t="n">
        <v>0</v>
      </c>
      <c r="R1151" t="n">
        <v>0</v>
      </c>
      <c r="S1151">
        <f>IFERROR(O1151/N1151,0)</f>
        <v/>
      </c>
      <c r="T1151" t="n">
        <v>0</v>
      </c>
      <c r="V1151" t="n">
        <v>0</v>
      </c>
    </row>
    <row r="1152">
      <c r="A1152">
        <f>Skills!A23</f>
        <v/>
      </c>
      <c r="B1152">
        <f>Skills!B23</f>
        <v/>
      </c>
      <c r="C1152">
        <f>Inputs!$B$3&gt;=38</f>
        <v/>
      </c>
      <c r="D1152">
        <f>IF(Skills!C23=1,60+Inputs!$B$25+Inputs!$B$29,IF(Skills!C23=2,90+Inputs!$B$26+Inputs!$B$29,IF(Skills!C23=3,120+Inputs!$B$27+Inputs!$B$29,MAX(0,(Inputs!$B$3-100)*3)+Inputs!$B$28+Inputs!$B$29)))</f>
        <v/>
      </c>
      <c r="E1152">
        <f>INDEX(FactorTable!$B$2:$Y$301, MATCH(ROUND(MIN(300,MAX(1,D1152)),0), FactorTable!$A$2:$A$301,0), Skills!M23+1)</f>
        <v/>
      </c>
      <c r="F1152">
        <f>IF(Skills!N23=TRUE,(Skills!L23/10)*(E1152/1000),Skills!L23/10)+Skills!O23</f>
        <v/>
      </c>
      <c r="G1152">
        <f>Skills!G23*IF(Skills!H23&gt;0,INT(IF(Inputs!$B$38="pvp",MIN(Skills!I23,15),Skills!I23)/Skills!H23+0.000000001),1)</f>
        <v/>
      </c>
      <c r="H1152">
        <f>1-(1-Skills!J23/100)^Skills!K23</f>
        <v/>
      </c>
      <c r="I1152" t="inlineStr">
        <is>
          <t>1</t>
        </is>
      </c>
      <c r="J1152" t="inlineStr"/>
      <c r="K1152" t="inlineStr"/>
      <c r="L1152" t="inlineStr"/>
      <c r="M1152" t="inlineStr"/>
      <c r="N1152" t="inlineStr"/>
      <c r="O1152">
        <f>(1-Summary!$B$11)*T1152+Summary!$B$11*V1152</f>
        <v/>
      </c>
      <c r="P1152">
        <f>IF(B1170=0,0,O1152/B1170)</f>
        <v/>
      </c>
      <c r="Q1152" t="n">
        <v>0</v>
      </c>
      <c r="R1152" t="n">
        <v>0</v>
      </c>
      <c r="S1152">
        <f>IFERROR(O1152/N1152,0)</f>
        <v/>
      </c>
      <c r="T1152" t="n">
        <v>0</v>
      </c>
      <c r="V1152" t="n">
        <v>0</v>
      </c>
    </row>
    <row r="1153">
      <c r="A1153">
        <f>Skills!A24</f>
        <v/>
      </c>
      <c r="B1153">
        <f>Skills!B24</f>
        <v/>
      </c>
      <c r="C1153">
        <f>Inputs!$B$3&gt;=45</f>
        <v/>
      </c>
      <c r="D1153">
        <f>IF(Skills!C24=1,60+Inputs!$B$25+Inputs!$B$29,IF(Skills!C24=2,90+Inputs!$B$26+Inputs!$B$29,IF(Skills!C24=3,120+Inputs!$B$27+Inputs!$B$29,MAX(0,(Inputs!$B$3-100)*3)+Inputs!$B$28+Inputs!$B$29)))</f>
        <v/>
      </c>
      <c r="E1153">
        <f>INDEX(FactorTable!$B$2:$Y$301, MATCH(ROUND(MIN(300,MAX(1,D1153)),0), FactorTable!$A$2:$A$301,0), Skills!M24+1)</f>
        <v/>
      </c>
      <c r="F1153">
        <f>IF(Skills!N24=TRUE,(Skills!L24/10)*(E1153/1000),Skills!L24/10)+Skills!O24</f>
        <v/>
      </c>
      <c r="G1153">
        <f>Skills!G24*IF(Skills!H24&gt;0,INT(IF(Inputs!$B$38="pvp",MIN(Skills!I24,15),Skills!I24)/Skills!H24+0.000000001),1)</f>
        <v/>
      </c>
      <c r="H1153">
        <f>1-(1-Skills!J24/100)^Skills!K24</f>
        <v/>
      </c>
      <c r="I1153" t="inlineStr">
        <is>
          <t>1</t>
        </is>
      </c>
      <c r="J1153" t="inlineStr"/>
      <c r="K1153" t="inlineStr"/>
      <c r="L1153" t="inlineStr"/>
      <c r="M1153" t="inlineStr"/>
      <c r="N1153" t="inlineStr"/>
      <c r="O1153">
        <f>(1-Summary!$B$11)*T1153+Summary!$B$11*V1153</f>
        <v/>
      </c>
      <c r="P1153">
        <f>IF(B1170=0,0,O1153/B1170)</f>
        <v/>
      </c>
      <c r="Q1153" t="n">
        <v>0</v>
      </c>
      <c r="R1153" t="n">
        <v>0</v>
      </c>
      <c r="S1153">
        <f>IFERROR(O1153/N1153,0)</f>
        <v/>
      </c>
      <c r="T1153" t="n">
        <v>0</v>
      </c>
      <c r="V1153" t="n">
        <v>0</v>
      </c>
    </row>
    <row r="1154">
      <c r="A1154">
        <f>Skills!A25</f>
        <v/>
      </c>
      <c r="B1154">
        <f>Skills!B25</f>
        <v/>
      </c>
      <c r="C1154">
        <f>Inputs!$B$3&gt;=72</f>
        <v/>
      </c>
      <c r="D1154">
        <f>IF(Skills!C25=1,60+Inputs!$B$25+Inputs!$B$29,IF(Skills!C25=2,90+Inputs!$B$26+Inputs!$B$29,IF(Skills!C25=3,120+Inputs!$B$27+Inputs!$B$29,MAX(0,(Inputs!$B$3-100)*3)+Inputs!$B$28+Inputs!$B$29)))</f>
        <v/>
      </c>
      <c r="E1154">
        <f>INDEX(FactorTable!$B$2:$Y$301, MATCH(ROUND(MIN(300,MAX(1,D1154)),0), FactorTable!$A$2:$A$301,0), Skills!M25+1)</f>
        <v/>
      </c>
      <c r="F1154">
        <f>IF(Skills!N25=TRUE,(Skills!L25/10)*(E1154/1000),Skills!L25/10)+Skills!O25</f>
        <v/>
      </c>
      <c r="G1154">
        <f>Skills!G25*IF(Skills!H25&gt;0,INT(IF(Inputs!$B$38="pvp",MIN(Skills!I25,15),Skills!I25)/Skills!H25+0.000000001),1)</f>
        <v/>
      </c>
      <c r="H1154">
        <f>1-(1-Skills!J25/100)^Skills!K25</f>
        <v/>
      </c>
      <c r="I1154" t="inlineStr">
        <is>
          <t>1</t>
        </is>
      </c>
      <c r="J1154" t="inlineStr"/>
      <c r="K1154" t="inlineStr"/>
      <c r="L1154" t="inlineStr"/>
      <c r="M1154" t="inlineStr"/>
      <c r="N1154" t="inlineStr"/>
      <c r="O1154">
        <f>(1-Summary!$B$11)*T1154+Summary!$B$11*V1154</f>
        <v/>
      </c>
      <c r="P1154">
        <f>IF(B1170=0,0,O1154/B1170)</f>
        <v/>
      </c>
      <c r="Q1154" t="n">
        <v>0</v>
      </c>
      <c r="R1154" t="n">
        <v>0</v>
      </c>
      <c r="S1154">
        <f>IFERROR(O1154/N1154,0)</f>
        <v/>
      </c>
      <c r="T1154" t="n">
        <v>0</v>
      </c>
      <c r="V1154" t="n">
        <v>0</v>
      </c>
    </row>
    <row r="1155">
      <c r="A1155">
        <f>Skills!A26</f>
        <v/>
      </c>
      <c r="B1155">
        <f>Skills!B26</f>
        <v/>
      </c>
      <c r="C1155">
        <f>Inputs!$B$3&gt;=75</f>
        <v/>
      </c>
      <c r="D1155">
        <f>IF(Skills!C26=1,60+Inputs!$B$25+Inputs!$B$29,IF(Skills!C26=2,90+Inputs!$B$26+Inputs!$B$29,IF(Skills!C26=3,120+Inputs!$B$27+Inputs!$B$29,MAX(0,(Inputs!$B$3-100)*3)+Inputs!$B$28+Inputs!$B$29)))</f>
        <v/>
      </c>
      <c r="E1155">
        <f>INDEX(FactorTable!$B$2:$Y$301, MATCH(ROUND(MIN(300,MAX(1,D1155)),0), FactorTable!$A$2:$A$301,0), Skills!M26+1)</f>
        <v/>
      </c>
      <c r="F1155">
        <f>IF(Skills!N26=TRUE,(Skills!L26/10)*(E1155/1000),Skills!L26/10)+Skills!O26</f>
        <v/>
      </c>
      <c r="G1155">
        <f>Skills!G26*IF(Skills!H26&gt;0,INT(IF(Inputs!$B$38="pvp",MIN(Skills!I26,15),Skills!I26)/Skills!H26+0.000000001),1)</f>
        <v/>
      </c>
      <c r="H1155">
        <f>1-(1-Skills!J26/100)^Skills!K26</f>
        <v/>
      </c>
      <c r="I1155" t="inlineStr">
        <is>
          <t>1</t>
        </is>
      </c>
      <c r="J1155" t="inlineStr"/>
      <c r="K1155" t="inlineStr"/>
      <c r="L1155" t="inlineStr"/>
      <c r="M1155" t="inlineStr"/>
      <c r="N1155" t="inlineStr"/>
      <c r="O1155">
        <f>(1-Summary!$B$11)*T1155+Summary!$B$11*V1155</f>
        <v/>
      </c>
      <c r="P1155">
        <f>IF(B1170=0,0,O1155/B1170)</f>
        <v/>
      </c>
      <c r="Q1155" t="n">
        <v>0</v>
      </c>
      <c r="R1155" t="n">
        <v>0</v>
      </c>
      <c r="S1155">
        <f>IFERROR(O1155/N1155,0)</f>
        <v/>
      </c>
      <c r="T1155" t="n">
        <v>0</v>
      </c>
      <c r="V1155" t="n">
        <v>0</v>
      </c>
    </row>
    <row r="1156">
      <c r="A1156">
        <f>Skills!A27</f>
        <v/>
      </c>
      <c r="B1156">
        <f>Skills!B27</f>
        <v/>
      </c>
      <c r="C1156">
        <f>Inputs!$B$3&gt;=125</f>
        <v/>
      </c>
      <c r="D1156">
        <f>IF(Skills!C27=1,60+Inputs!$B$25+Inputs!$B$29,IF(Skills!C27=2,90+Inputs!$B$26+Inputs!$B$29,IF(Skills!C27=3,120+Inputs!$B$27+Inputs!$B$29,MAX(0,(Inputs!$B$3-100)*3)+Inputs!$B$28+Inputs!$B$29)))</f>
        <v/>
      </c>
      <c r="E1156">
        <f>INDEX(FactorTable!$B$2:$Y$301, MATCH(ROUND(MIN(300,MAX(1,D1156)),0), FactorTable!$A$2:$A$301,0), Skills!M27+1)</f>
        <v/>
      </c>
      <c r="F1156">
        <f>IF(Skills!N27=TRUE,(Skills!L27/10)*(E1156/1000),Skills!L27/10)+Skills!O27</f>
        <v/>
      </c>
      <c r="G1156">
        <f>Skills!G27*IF(Skills!H27&gt;0,INT(IF(Inputs!$B$38="pvp",MIN(Skills!I27,15),Skills!I27)/Skills!H27+0.000000001),1)</f>
        <v/>
      </c>
      <c r="H1156">
        <f>1-(1-Skills!J27/100)^Skills!K27</f>
        <v/>
      </c>
      <c r="I1156" t="inlineStr">
        <is>
          <t>1</t>
        </is>
      </c>
      <c r="J1156" t="inlineStr"/>
      <c r="K1156" t="inlineStr"/>
      <c r="L1156" t="inlineStr"/>
      <c r="M1156" t="inlineStr"/>
      <c r="N1156" t="inlineStr"/>
      <c r="O1156">
        <f>(1-Summary!$B$11)*T1156+Summary!$B$11*V1156</f>
        <v/>
      </c>
      <c r="P1156">
        <f>IF(B1170=0,0,O1156/B1170)</f>
        <v/>
      </c>
      <c r="Q1156" t="n">
        <v>0</v>
      </c>
      <c r="R1156" t="n">
        <v>0</v>
      </c>
      <c r="S1156">
        <f>IFERROR(O1156/N1156,0)</f>
        <v/>
      </c>
      <c r="T1156" t="n">
        <v>0</v>
      </c>
      <c r="V1156" t="n">
        <v>0</v>
      </c>
    </row>
    <row r="1157">
      <c r="A1157">
        <f>Skills!A28</f>
        <v/>
      </c>
      <c r="B1157">
        <f>Skills!B28</f>
        <v/>
      </c>
      <c r="C1157">
        <f>TRUE</f>
        <v/>
      </c>
      <c r="D1157">
        <f>IF(Skills!C28=1,60+Inputs!$B$25+Inputs!$B$29,IF(Skills!C28=2,90+Inputs!$B$26+Inputs!$B$29,IF(Skills!C28=3,120+Inputs!$B$27+Inputs!$B$29,MAX(0,(Inputs!$B$3-100)*3)+Inputs!$B$28+Inputs!$B$29)))</f>
        <v/>
      </c>
      <c r="E1157">
        <f>INDEX(FactorTable!$B$2:$Y$301, MATCH(ROUND(MIN(300,MAX(1,D1157)),0), FactorTable!$A$2:$A$301,0), Skills!M28+1)</f>
        <v/>
      </c>
      <c r="F1157">
        <f>IF(Skills!N28=TRUE,(Skills!L28/10)*(E1157/1000),Skills!L28/10)+Skills!O28</f>
        <v/>
      </c>
      <c r="G1157">
        <f>Skills!G28*IF(Skills!H28&gt;0,INT(IF(Inputs!$B$38="pvp",MIN(Skills!I28,15),Skills!I28)/Skills!H28+0.000000001),1)</f>
        <v/>
      </c>
      <c r="H1157">
        <f>1-(1-Skills!J28/100)^Skills!K28</f>
        <v/>
      </c>
      <c r="I1157" t="inlineStr">
        <is>
          <t>1</t>
        </is>
      </c>
      <c r="J1157" t="inlineStr"/>
      <c r="K1157" t="inlineStr"/>
      <c r="L1157" t="inlineStr"/>
      <c r="M1157" t="inlineStr"/>
      <c r="N1157" t="inlineStr"/>
      <c r="O1157">
        <f>(1-Summary!$B$11)*T1157+Summary!$B$11*V1157</f>
        <v/>
      </c>
      <c r="P1157">
        <f>IF(B1170=0,0,O1157/B1170)</f>
        <v/>
      </c>
      <c r="Q1157">
        <f>IFERROR(1/(IF(Inputs!$B$38="pvp",15,MAX(0.1,Skills!D28-IF(TRUE=TRUE,(Inputs!$B$32+1),0)))*(1-IF(AND(ArtifactsInput!$M$27,Inputs!$B$4="Chapter Hunt"),CHOOSE(ArtifactsInput!$N$27+1,20,24,28,32,36,40),0)/100)),0)</f>
        <v/>
      </c>
      <c r="R1157">
        <f>IF(AND(Inputs!$B$38&lt;&gt;"pvp",Inputs!$B$43&gt;0),IF(Inputs!$B$43&lt;=0,0,(INT(Inputs!$B$43/(IF(Inputs!$B$38="pvp",15,MAX(0.1,Skills!D28-IF(TRUE=TRUE,(Inputs!$B$32+1),0)))*(1-IF(AND(ArtifactsInput!$M$27,Inputs!$B$4="Chapter Hunt"),CHOOSE(ArtifactsInput!$N$27+1,20,24,28,32,36,40),0)/100)))+1)),0)</f>
        <v/>
      </c>
      <c r="S1157">
        <f>IFERROR(O1157/N1157,0)</f>
        <v/>
      </c>
      <c r="T1157" t="n">
        <v>0</v>
      </c>
      <c r="V1157" t="n">
        <v>0</v>
      </c>
    </row>
    <row r="1159">
      <c r="A1159" t="inlineStr">
        <is>
          <t>Attack% Bucket Multiplier</t>
        </is>
      </c>
      <c r="B1159">
        <f>(1+(((C1146=TRUE)*F1146*5/7)+((C1153=TRUE)*(F1153-Calc!F24))+(IF(ArtifactsInput!$M$21,CHOOSE(ArtifactsInput!$N$21+1,25,30,35,40,45,50)*(IF(OR(Inputs!$B$4="Chapter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160">
      <c r="A1160" t="inlineStr">
        <is>
          <t>Global Crit Rate Bonus %</t>
        </is>
      </c>
      <c r="B1160" t="n">
        <v>0</v>
      </c>
    </row>
    <row r="1161">
      <c r="A1161" t="inlineStr">
        <is>
          <t>Attack Speed Buff Bonus % (Nimble Feet, duty-cycle averaged)</t>
        </is>
      </c>
      <c r="B1161">
        <f>((C1157=TRUE)*F1157*IF(AND(Inputs!$B$38&lt;&gt;"pvp",Inputs!$B$43&gt;0),(((R1157-1)*MIN((Skills!T28*(1+Inputs!$B$34/100)),(1/Q1157))+MIN((Skills!T28*(1+Inputs!$B$34/100)),MAX(0,Inputs!$B$43-((R1157-1)*(1/Q1157)))))/Inputs!$B$43),IF(Inputs!$B$38="pvp",MIN((Skills!T28*(1+Inputs!$B$34/100)),15)/15,MIN(1,(Skills!T28*(1+Inputs!$B$34/100))/(1/Q1157)))))</f>
        <v/>
      </c>
    </row>
    <row r="1162">
      <c r="A1162" t="inlineStr">
        <is>
          <t>Actions Per Second</t>
        </is>
      </c>
      <c r="B1162">
        <f>1+MIN(150,150*(1-(1-(Inputs!$B$11+((C1149=TRUE)*(F1149-Calc!F20))+((C1150=TRUE)*(F1150-Calc!F21)))/150)*(1-B1161/150)))/100</f>
        <v/>
      </c>
    </row>
    <row r="1163">
      <c r="A1163" t="inlineStr">
        <is>
          <t>Skill + Buff Cast Rate</t>
        </is>
      </c>
      <c r="B1163">
        <f>IF(AND(Inputs!$B$38&lt;&gt;"pvp",Inputs!$B$43&gt;0),SUMPRODUCT((Skills!E2:E28=TRUE)*(C1131:C1157=TRUE)*R1131:R1157*Skills!F2:F28)/Inputs!$B$43,SUMPRODUCT((Skills!E2:E28=TRUE)*(C1131:C1157=TRUE)*Q1131:Q1157*Skills!F2:F28))</f>
        <v/>
      </c>
    </row>
    <row r="1164">
      <c r="A1164" t="inlineStr">
        <is>
          <t>Eight-Legs Easton Casts Per Second</t>
        </is>
      </c>
      <c r="B1164">
        <f>MAX(0,B1162-B1163)</f>
        <v/>
      </c>
    </row>
    <row r="1165">
      <c r="A1165" t="inlineStr">
        <is>
          <t>Global Critical Damage Bonus % (unused)</t>
        </is>
      </c>
      <c r="B1165" t="n">
        <v>0</v>
      </c>
    </row>
    <row r="1166">
      <c r="A1166" t="inlineStr">
        <is>
          <t>Global Final Damage Bonus % (Jolly Roger + Ahoy Mateys - Final Damage proc)</t>
        </is>
      </c>
      <c r="B1166">
        <f>((C1147=TRUE)*F1147*IF(AND(Inputs!$B$38&lt;&gt;"pvp",Inputs!$B$43&gt;0),(((R1147-1)*MIN((Skills!T18*(1+Inputs!$B$34/100)),(1/Q1147))+MIN((Skills!T18*(1+Inputs!$B$34/100)),MAX(0,Inputs!$B$43-((R1147-1)*(1/Q1147)))))/Inputs!$B$43),IF(Inputs!$B$38="pvp",MIN((Skills!T18*(1+Inputs!$B$34/100)),15)/15,MIN(1,(Skills!T18*(1+Inputs!$B$34/100))/(1/Q1147)))))+IF(Inputs!$B$3&gt;=122,20*IF(Inputs!$B$38="pvp",MIN((20*(1+Inputs!$B$34/100)),15)/15,MIN(1,(20*(1+Inputs!$B$34/100))/(1/Q1133))),0)</f>
        <v/>
      </c>
    </row>
    <row r="1167">
      <c r="A1167" t="inlineStr">
        <is>
          <t>Buff-Casting Startup Delay (s, fixed-duration only)</t>
        </is>
      </c>
      <c r="B1167">
        <f>IF(AND(Inputs!$B$38&lt;&gt;"pvp",Inputs!$B$43&gt;0),SUMPRODUCT((Skills!T2:T28&gt;0)*(Skills!E2:E28=TRUE)*(C1131:C1157=TRUE))/B1162,0)</f>
        <v/>
      </c>
    </row>
    <row r="1168">
      <c r="A1168" t="inlineStr">
        <is>
          <t>Boss-Only Total DPS (this block's swept value)</t>
        </is>
      </c>
      <c r="B1168">
        <f>SUM(T1131:T1157)</f>
        <v/>
      </c>
    </row>
    <row r="1169">
      <c r="A1169" t="inlineStr">
        <is>
          <t>Normal-Only Total DPS (this block's swept value)</t>
        </is>
      </c>
      <c r="B1169">
        <f>SUM(V1131:V1157)</f>
        <v/>
      </c>
    </row>
    <row r="1170">
      <c r="A1170" s="6" t="inlineStr">
        <is>
          <t>TOTAL DPS</t>
        </is>
      </c>
      <c r="B1170" s="6">
        <f>SUM(O1131:O1157)</f>
        <v/>
      </c>
    </row>
    <row r="1171">
      <c r="A1171" t="inlineStr">
        <is>
          <t>Quickdraw cooldown divisor (this block's own APS / Q)</t>
        </is>
      </c>
      <c r="B1171">
        <f>IF(AND(C1156=TRUE,Inputs!$B$38&lt;&gt;"pvp"),1+0.25*MAX(0,(B1162-(((C1132=TRUE)*Q1132*1)+((C1133=TRUE)*Q1133*1)+((C1135=TRUE)*Q1135*1)+((C1136=TRUE)*Q1136*1)+((C1138=TRUE)*Q1138*1)+((C1141=TRUE)*Q1141*1)+((C1147=TRUE)*Q1147*1)+((C1157=TRUE)*Q1157*1))-((C1137=TRUE)/(IF(Inputs!$B$38="pvp",15,MAX(0.1,Skills!D8-IF(TRUE=TRUE,(Inputs!$B$32+1),0)))*(1-IF(AND(ArtifactsInput!$M$27,Inputs!$B$4="Chapter Hunt"),CHOOSE(ArtifactsInput!$N$27+1,20,24,28,32,36,40),0)/100))+(C1140=TRUE)/(IF(Inputs!$B$38="pvp",15,MAX(0.1,Skills!D11-IF(TRUE=TRUE,(Inputs!$B$32+1),0)))*(1-IF(AND(ArtifactsInput!$M$27,Inputs!$B$4="Chapter Hunt"),CHOOSE(ArtifactsInput!$N$27+1,20,24,28,32,36,40),0)/100))))/(1+0.25*((C1137=TRUE)/(IF(Inputs!$B$38="pvp",15,MAX(0.1,Skills!D8-IF(TRUE=TRUE,(Inputs!$B$32+1),0)))*(1-IF(AND(ArtifactsInput!$M$27,Inputs!$B$4="Chapter Hunt"),CHOOSE(ArtifactsInput!$N$27+1,20,24,28,32,36,40),0)/100))+(C1140=TRUE)/(IF(Inputs!$B$38="pvp",15,MAX(0.1,Skills!D11-IF(TRUE=TRUE,(Inputs!$B$32+1),0)))*(1-IF(AND(ArtifactsInput!$M$27,Inputs!$B$4="Chapter Hunt"),CHOOSE(ArtifactsInput!$N$27+1,20,24,28,32,36,40),0)/100))))),1)</f>
        <v/>
      </c>
    </row>
    <row r="1172">
      <c r="A1172" t="inlineStr">
        <is>
          <t>Nautilus Strike - Final Attack trigger rate (this block's own Q/R)</t>
        </is>
      </c>
      <c r="B1172">
        <f>IF(AND(Inputs!$B$38&lt;&gt;"pvp",Inputs!$B$43&gt;0),(((C1132=TRUE)*R1132)+((C1135=TRUE)*R1135)+((C1137=TRUE)*R1137)+((C1138=TRUE)*R1138)+((C1140=TRUE)*R1140))/Inputs!$B$43,((C1132=TRUE)*Q1132)+((C1135=TRUE)*Q1135)+((C1137=TRUE)*Q1137)+((C1138=TRUE)*Q1138)+((C1140=TRUE)*Q1140))+B1164</f>
        <v/>
      </c>
    </row>
    <row r="1175">
      <c r="A1175" s="6" t="inlineStr">
        <is>
          <t>Stat: Basic Attack Target Increase (flat)</t>
        </is>
      </c>
    </row>
    <row r="1176">
      <c r="A1176" s="5" t="inlineStr">
        <is>
          <t>Key</t>
        </is>
      </c>
      <c r="B1176" s="5" t="inlineStr">
        <is>
          <t>Name</t>
        </is>
      </c>
      <c r="C1176" s="5" t="inlineStr">
        <is>
          <t>Unlocked</t>
        </is>
      </c>
      <c r="D1176" s="5" t="inlineStr">
        <is>
          <t>InputLevel</t>
        </is>
      </c>
      <c r="E1176" s="5" t="inlineStr">
        <is>
          <t>Factor</t>
        </is>
      </c>
      <c r="F1176" s="5" t="inlineStr">
        <is>
          <t>CoefficientPercent</t>
        </is>
      </c>
      <c r="G1176" s="5" t="inlineStr">
        <is>
          <t>EffectiveHits</t>
        </is>
      </c>
      <c r="H1176" s="5" t="inlineStr">
        <is>
          <t>ProcProbability</t>
        </is>
      </c>
      <c r="I1176" s="5" t="inlineStr">
        <is>
          <t>MapleHeroMultiplier</t>
        </is>
      </c>
      <c r="J1176" s="5" t="inlineStr">
        <is>
          <t>BaseDamage</t>
        </is>
      </c>
      <c r="K1176" s="5" t="inlineStr">
        <is>
          <t>BaseHitDamage</t>
        </is>
      </c>
      <c r="L1176" s="5" t="inlineStr">
        <is>
          <t>NonCritAvg</t>
        </is>
      </c>
      <c r="M1176" s="5" t="inlineStr">
        <is>
          <t>CritAvg</t>
        </is>
      </c>
      <c r="N1176" s="5" t="inlineStr">
        <is>
          <t>ExpectedDamage(perHit)</t>
        </is>
      </c>
      <c r="O1176" s="5" t="inlineStr">
        <is>
          <t>DPS</t>
        </is>
      </c>
      <c r="P1176" s="5" t="inlineStr">
        <is>
          <t>% of Total</t>
        </is>
      </c>
      <c r="Q1176" s="5" t="inlineStr">
        <is>
          <t>InvCooldown</t>
        </is>
      </c>
      <c r="R1176" s="5" t="inlineStr">
        <is>
          <t>CastsInFight</t>
        </is>
      </c>
      <c r="S1176" s="5" t="inlineStr">
        <is>
          <t>HitRate(perSec)</t>
        </is>
      </c>
      <c r="U1176" t="inlineStr">
        <is>
          <t>helpers</t>
        </is>
      </c>
    </row>
    <row r="1177">
      <c r="A1177">
        <f>Skills!A2</f>
        <v/>
      </c>
      <c r="B1177">
        <f>Skills!B2</f>
        <v/>
      </c>
      <c r="C1177">
        <f>Inputs!$B$3&gt;=100</f>
        <v/>
      </c>
      <c r="D1177" t="inlineStr"/>
      <c r="E1177" t="inlineStr"/>
      <c r="F1177">
        <f>U1179+Skills!O2</f>
        <v/>
      </c>
      <c r="G1177">
        <f>Skills!G2*IF(Skills!H2&gt;0,INT(IF(Inputs!$B$38="pvp",MIN(Skills!I2,15),Skills!I2)/Skills!H2+0.000000001),1)</f>
        <v/>
      </c>
      <c r="H1177">
        <f>1-(1-Skills!J2/100)^Skills!K2</f>
        <v/>
      </c>
      <c r="I1177" t="inlineStr">
        <is>
          <t>1</t>
        </is>
      </c>
      <c r="J1177">
        <f>((Inputs!$B$6*(1+Inputs!$B$7/100))+(((Inputs!$B$12*(1+Inputs!$B$13/100))-(Inputs!$B$12*(1+Inputs!$B$13/100)))+0.25*(Inputs!$B$14-Inputs!$B$14))*(1+Inputs!$B$7/100))*(F1177/100)</f>
        <v/>
      </c>
      <c r="K1177">
        <f>J1177*(1+((Inputs!$B$12*(1+Inputs!$B$13/100))*0.01+Inputs!$B$14*0.0025)/100)*(1+Inputs!$B$15/100)*(1+Inputs!$B$16/100)*(5000/(6000+Inputs!$B$42*(1-(100*(1-(1-(Inputs!$B$19+0)/100)*(1-CHOOSE(ArtifactsInput!$N$40+1,5,6,7,8,9,10)/100)^(ArtifactsInput!$M$40-ArtifactsInput!$M$40)))/100)))*(1+(Inputs!$B$24+((C1201=TRUE)*(F1201-Calc!F26))+B1212)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IGHT_LEGS_EASTON",Inputs!$B$17+((C1198=TRUE)*(F1198-Calc!F23))+((C1202=TRUE)*(F1202-Calc!F27))+((IF(AND(Inputs!$B$38&lt;&gt;"pvp",Inputs!$B$43=0),1,IF(IF(Inputs!$B$38="pvp",15,Inputs!$B$43)-(B1213)&lt;=0,1,MAX(0,IF(Inputs!$B$38="pvp",15,Inputs!$B$43)-MAX(5,B1213))/(IF(Inputs!$B$38="pvp",15,Inputs!$B$43)-(B1213))))*(IF(AND(ArtifactsInput!$M$42,((Inputs!$B$9+((C1194=TRUE)*(F1194-Calc!F19))+B1206+(ArtifactsInput!$M$24-ArtifactsInput!$M$24)*CHOOSE(ArtifactsInput!$N$24+1,10,12,14,16,18,20)+IF(ArtifactsInput!$M$10,CHOOSE(ArtifactsInput!$N$10+1,15,18,21,24,27,30)*(IF(Inputs!$B$38="pvp",MIN(15,15)/15,IF(AND(Inputs!$B$38&lt;&gt;"pvp",Inputs!$B$43&gt;0),MIN(15,Inputs!$B$43)/(Inputs!$B$43),0))),0)))&gt;=100),MIN(100,((Inputs!$B$9+((C1194=TRUE)*(F1194-Calc!F19))+B1206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1213)&lt;=0,1,MAX(0,IF(Inputs!$B$38="pvp",15,Inputs!$B$43)-MAX(5,B1213))/(IF(Inputs!$B$38="pvp",15,Inputs!$B$43)-(B1213))))*IF(AND(ArtifactsInput!$M$42,((Inputs!$B$9+((C1194=TRUE)*(F1194-Calc!F19))+B1206+(ArtifactsInput!$M$24-ArtifactsInput!$M$24)*CHOOSE(ArtifactsInput!$N$24+1,10,12,14,16,18,20)+IF(ArtifactsInput!$M$10,CHOOSE(ArtifactsInput!$N$10+1,15,18,21,24,27,30)*(IF(Inputs!$B$38="pvp",MIN(15,15)/15,IF(AND(Inputs!$B$38&lt;&gt;"pvp",Inputs!$B$43&gt;0),MIN(15,Inputs!$B$43)/(Inputs!$B$43),0))),0)))&gt;=100),CHOOSE(ArtifactsInput!$N$42+1,40,48,56,64,72,80),0))))/100)*((1+(((C1192=TRUE)*F1192*5/7)+((C1199=TRUE)*(F1199-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1177)</f>
        <v/>
      </c>
      <c r="L1177">
        <f>K1177*(MIN(Inputs!$B$22+((C1197=TRUE)*(F1197-Calc!F22)),(Inputs!$B$23+0+(IF(ArtifactsInput!$M$15,CHOOSE(ArtifactsInput!$N$15+1,25,30,35,40,45,50)/100*(Inputs!$B$11-Inputs!$B$11),0))))/100+(Inputs!$B$23+0+(IF(ArtifactsInput!$M$15,CHOOSE(ArtifactsInput!$N$15+1,25,30,35,40,45,50)/100*(Inputs!$B$11-Inputs!$B$11),0)))/100)/2</f>
        <v/>
      </c>
      <c r="M1177">
        <f>L1177*(1+(Inputs!$B$10+((C1200=TRUE)*(F1200-Calc!F25))+B1211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77">
        <f>L1177*(1-MIN((Inputs!$B$9+((C1194=TRUE)*(F1194-Calc!F19))+B1206+(ArtifactsInput!$M$24-ArtifactsInput!$M$24)*CHOOSE(ArtifactsInput!$N$24+1,10,12,14,16,18,20)+(IF(AND(Inputs!$B$38&lt;&gt;"pvp",Inputs!$B$43=0),1,IF(IF(Inputs!$B$38="pvp",15,Inputs!$B$43)-(B1213)&lt;=0,1,MAX(0,IF(Inputs!$B$38="pvp",15,Inputs!$B$43)-MAX(5,B1213))/(IF(Inputs!$B$38="pvp",15,Inputs!$B$43)-(B1213))))*IF(AND(ArtifactsInput!$M$42,((Inputs!$B$9+((C1194=TRUE)*(F1194-Calc!F19))+B1206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1177*(MIN((Inputs!$B$9+((C1194=TRUE)*(F1194-Calc!F19))+B1206+(ArtifactsInput!$M$24-ArtifactsInput!$M$24)*CHOOSE(ArtifactsInput!$N$24+1,10,12,14,16,18,20)+(IF(AND(Inputs!$B$38&lt;&gt;"pvp",Inputs!$B$43=0),1,IF(IF(Inputs!$B$38="pvp",15,Inputs!$B$43)-(B1213)&lt;=0,1,MAX(0,IF(Inputs!$B$38="pvp",15,Inputs!$B$43)-MAX(5,B1213))/(IF(Inputs!$B$38="pvp",15,Inputs!$B$43)-(B1213))))*IF(AND(ArtifactsInput!$M$42,((Inputs!$B$9+((C1194=TRUE)*(F1194-Calc!F19))+B1206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77">
        <f>(1-Summary!$B$11)*T1177+Summary!$B$11*V1177</f>
        <v/>
      </c>
      <c r="P1177">
        <f>IF(B1216=0,0,O1177/B1216)</f>
        <v/>
      </c>
      <c r="Q1177" t="n">
        <v>0</v>
      </c>
      <c r="R1177" t="n">
        <v>0</v>
      </c>
      <c r="S1177">
        <f>IFERROR(O1177/N1177,0)</f>
        <v/>
      </c>
      <c r="T1177">
        <f>IF(C1177,(Skills!G2*N1177*B1210*(1+IF(C1202=TRUE,1/3,0)))*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Hunt"),CHOOSE(ArtifactsInput!$N$35+1,15,18,21,24,27,30)*(1-EXP(-(0.2*B1208)*5)),0)+IF(AND(ArtifactsInput!$M$22,Inputs!$B$4&lt;&gt;"Chapter Hunt"),CHOOSE(ArtifactsInput!$N$22+1,10,12,14,16,18,20)*((0*(((0.15*B1208*5))^0/1)+1*(((0.15*B1208*5))^1/1)+2*(((0.15*B1208*5))^2/2)+3*(((0.15*B1208*5))^3/6)+4*(((0.15*B1208*5))^4/24)+5*(((0.15*B1208*5))^5/120))/((((0.15*B1208*5))^0/1)+(((0.15*B1208*5))^1/1)+(((0.15*B1208*5))^2/2)+(((0.15*B1208*5))^3/6)+(((0.15*B1208*5))^4/24)+(((0.15*B1208*5))^5/120))),0))+IF(Inputs!$B$3&gt;=54,9*(C1178=TRUE)*MIN(1,8*(1+Inputs!$B$34/100)*Q1178)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1177*(1-MIN(100,(Inputs!$B$9+((C1194=TRUE)*(F1194-Calc!F19))+B1206+(ArtifactsInput!$M$24-ArtifactsInput!$M$24)*CHOOSE(ArtifactsInput!$N$24+1,10,12,14,16,18,20)+(IF(AND(Inputs!$B$38&lt;&gt;"pvp",Inputs!$B$43=0),1,IF(IF(Inputs!$B$38="pvp",15,Inputs!$B$43)-(B1213)&lt;=0,1,MAX(0,IF(Inputs!$B$38="pvp",15,Inputs!$B$43)-MAX(5,B1213))/(IF(Inputs!$B$38="pvp",15,Inputs!$B$43)-(B1213))))*IF(AND(ArtifactsInput!$M$42,((Inputs!$B$9+((C1194=TRUE)*(F1194-Calc!F19))+B1206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1177*(MIN(100,(Inputs!$B$9+((C1194=TRUE)*(F1194-Calc!F19))+B1206+(ArtifactsInput!$M$24-ArtifactsInput!$M$24)*CHOOSE(ArtifactsInput!$N$24+1,10,12,14,16,18,20)+(IF(AND(Inputs!$B$38&lt;&gt;"pvp",Inputs!$B$43=0),1,IF(IF(Inputs!$B$38="pvp",15,Inputs!$B$43)-(B1213)&lt;=0,1,MAX(0,IF(Inputs!$B$38="pvp",15,Inputs!$B$43)-MAX(5,B1213))/(IF(Inputs!$B$38="pvp",15,Inputs!$B$43)-(B1213))))*IF(AND(ArtifactsInput!$M$42,((Inputs!$B$9+((C1194=TRUE)*(F1194-Calc!F19))+B1206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1177*(1-MIN(100,(Inputs!$B$9+((C1194=TRUE)*(F1194-Calc!F19))+B1206+(ArtifactsInput!$M$24-ArtifactsInput!$M$24)*CHOOSE(ArtifactsInput!$N$24+1,10,12,14,16,18,20)+(IF(AND(Inputs!$B$38&lt;&gt;"pvp",Inputs!$B$43=0),1,IF(IF(Inputs!$B$38="pvp",15,Inputs!$B$43)-(B1213)&lt;=0,1,MAX(0,IF(Inputs!$B$38="pvp",15,Inputs!$B$43)-MAX(5,B1213))/(IF(Inputs!$B$38="pvp",15,Inputs!$B$43)-(B1213))))*IF(AND(ArtifactsInput!$M$42,((Inputs!$B$9+((C1194=TRUE)*(F1194-Calc!F19))+B1206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1177*(MIN(100,(Inputs!$B$9+((C1194=TRUE)*(F1194-Calc!F19))+B1206+(ArtifactsInput!$M$24-ArtifactsInput!$M$24)*CHOOSE(ArtifactsInput!$N$24+1,10,12,14,16,18,20)+(IF(AND(Inputs!$B$38&lt;&gt;"pvp",Inputs!$B$43=0),1,IF(IF(Inputs!$B$38="pvp",15,Inputs!$B$43)-(B1213)&lt;=0,1,MAX(0,IF(Inputs!$B$38="pvp",15,Inputs!$B$43)-MAX(5,B1213))/(IF(Inputs!$B$38="pvp",15,Inputs!$B$43)-(B1213))))*IF(AND(ArtifactsInput!$M$42,((Inputs!$B$9+((C1194=TRUE)*(F1194-Calc!F19))+B1206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177">
        <f>MAX(0,(Inputs!$B$3-100)*3)+Inputs!$B$28+Inputs!$B$29</f>
        <v/>
      </c>
      <c r="V1177">
        <f>IF(C1177,(Skills!G2*N1177*B1210*(1+IF(C1202=TRUE,1/3,0)))*IF(Inputs!$B$38="pvp",1,(1+(Inputs!$B$21+Skills!Q2+(IF(ArtifactsInput!$M$33,CHOOSE(ArtifactsInput!$N$33+1,30,36,42,48,54,60),0))+(IF(AND(ArtifactsInput!$M$35,Inputs!$B$4&lt;&gt;"Chapter Hunt"),CHOOSE(ArtifactsInput!$N$35+1,15,18,21,24,27,30)*(1-EXP(-(0.2*B1208)*5)),0)+IF(AND(ArtifactsInput!$M$22,Inputs!$B$4&lt;&gt;"Chapter Hunt"),CHOOSE(ArtifactsInput!$N$22+1,10,12,14,16,18,20)*((0*(((0.15*B1208*5))^0/1)+1*(((0.15*B1208*5))^1/1)+2*(((0.15*B1208*5))^2/2)+3*(((0.15*B1208*5))^3/6)+4*(((0.15*B1208*5))^4/24)+5*(((0.15*B1208*5))^5/120))/((((0.15*B1208*5))^0/1)+(((0.15*B1208*5))^1/1)+(((0.15*B1208*5))^2/2)+(((0.15*B1208*5))^3/6)+(((0.15*B1208*5))^4/24)+(((0.15*B1208*5))^5/120))),0))+IF(Inputs!$B$3&gt;=54,9*(C1178=TRUE)*MIN(1,8*(1+Inputs!$B$34/100)*Q1178),0))/100)*(MIN((6+(Inputs!$B$33+1)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78">
      <c r="A1178">
        <f>Skills!A3</f>
        <v/>
      </c>
      <c r="B1178">
        <f>Skills!B3</f>
        <v/>
      </c>
      <c r="C1178">
        <f>Inputs!$B$3&gt;=33</f>
        <v/>
      </c>
      <c r="D1178">
        <f>IF(Skills!C3=1,60+Inputs!$B$25+Inputs!$B$29,IF(Skills!C3=2,90+Inputs!$B$26+Inputs!$B$29,IF(Skills!C3=3,120+Inputs!$B$27+Inputs!$B$29,MAX(0,(Inputs!$B$3-100)*3)+Inputs!$B$28+Inputs!$B$29)))</f>
        <v/>
      </c>
      <c r="E1178">
        <f>INDEX(FactorTable!$B$2:$Y$301, MATCH(ROUND(MIN(300,MAX(1,D1178)),0), FactorTable!$A$2:$A$301,0), Skills!M3+1)</f>
        <v/>
      </c>
      <c r="F1178">
        <f>IF(Skills!N3=TRUE,(Skills!L3/10)*(E1178/1000),Skills!L3/10)+Skills!O3</f>
        <v/>
      </c>
      <c r="G1178">
        <f>Skills!G3*IF(Skills!H3&gt;0,INT(IF(Inputs!$B$38="pvp",MIN(Skills!I3,15),Skills!I3)/Skills!H3+0.000000001),1)</f>
        <v/>
      </c>
      <c r="H1178">
        <f>1-(1-Skills!J3/100)^Skills!K3</f>
        <v/>
      </c>
      <c r="I1178" t="inlineStr">
        <is>
          <t>1</t>
        </is>
      </c>
      <c r="J1178">
        <f>((Inputs!$B$6*(1+Inputs!$B$7/100))+(((Inputs!$B$12*(1+Inputs!$B$13/100))-(Inputs!$B$12*(1+Inputs!$B$13/100)))+0.25*(Inputs!$B$14-Inputs!$B$14))*(1+Inputs!$B$7/100))*(F1178/100)</f>
        <v/>
      </c>
      <c r="K1178">
        <f>J1178*(1+((Inputs!$B$12*(1+Inputs!$B$13/100))*0.01+Inputs!$B$14*0.0025)/100)*(1+Inputs!$B$15/100)*(1+Inputs!$B$16/100)*(5000/(6000+Inputs!$B$42*(1-(100*(1-(1-(Inputs!$B$19+0)/100)*(1-CHOOSE(ArtifactsInput!$N$40+1,5,6,7,8,9,10)/100)^(ArtifactsInput!$M$40-ArtifactsInput!$M$40)))/100)))*(1+(Inputs!$B$24+((C1201=TRUE)*(F1201-Calc!F26))+B1212)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1190=TRUE,F1190,0)/100)*(1+(IF(Skills!A3="EIGHT_LEGS_EASTON",Inputs!$B$17+((C1198=TRUE)*(F1198-Calc!F23))+((C1202=TRUE)*(F1202-Calc!F27))+((IF(AND(Inputs!$B$38&lt;&gt;"pvp",Inputs!$B$43=0),1,IF(IF(Inputs!$B$38="pvp",15,Inputs!$B$43)-(B1213)&lt;=0,1,MAX(0,IF(Inputs!$B$38="pvp",15,Inputs!$B$43)-MAX(5,B1213))/(IF(Inputs!$B$38="pvp",15,Inputs!$B$43)-(B1213))))*(IF(AND(ArtifactsInput!$M$42,((Inputs!$B$9+((C1194=TRUE)*(F1194-Calc!F19))+B1206+(ArtifactsInput!$M$24-ArtifactsInput!$M$24)*CHOOSE(ArtifactsInput!$N$24+1,10,12,14,16,18,20)+IF(ArtifactsInput!$M$10,CHOOSE(ArtifactsInput!$N$10+1,15,18,21,24,27,30)*(IF(Inputs!$B$38="pvp",MIN(15,15)/15,IF(AND(Inputs!$B$38&lt;&gt;"pvp",Inputs!$B$43&gt;0),MIN(15,Inputs!$B$43)/(Inputs!$B$43),0))),0)))&gt;=100),MIN(100,((Inputs!$B$9+((C1194=TRUE)*(F1194-Calc!F19))+B1206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1213)&lt;=0,1,MAX(0,IF(Inputs!$B$38="pvp",15,Inputs!$B$43)-MAX(5,B1213))/(IF(Inputs!$B$38="pvp",15,Inputs!$B$43)-(B1213))))*IF(AND(ArtifactsInput!$M$42,((Inputs!$B$9+((C1194=TRUE)*(F1194-Calc!F19))+B1206+(ArtifactsInput!$M$24-ArtifactsInput!$M$24)*CHOOSE(ArtifactsInput!$N$24+1,10,12,14,16,18,20)+IF(ArtifactsInput!$M$10,CHOOSE(ArtifactsInput!$N$10+1,15,18,21,24,27,30)*(IF(Inputs!$B$38="pvp",MIN(15,15)/15,IF(AND(Inputs!$B$38&lt;&gt;"pvp",Inputs!$B$43&gt;0),MIN(15,Inputs!$B$43)/(Inputs!$B$43),0))),0)))&gt;=100),CHOOSE(ArtifactsInput!$N$42+1,40,48,56,64,72,80),0))))/100)*((1+(((C1192=TRUE)*F1192*5/7)+((C1199=TRUE)*(F1199-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1178)</f>
        <v/>
      </c>
      <c r="L1178">
        <f>K1178*(MIN(Inputs!$B$22+((C1197=TRUE)*(F1197-Calc!F22)),(Inputs!$B$23+0+(IF(ArtifactsInput!$M$15,CHOOSE(ArtifactsInput!$N$15+1,25,30,35,40,45,50)/100*(Inputs!$B$11-Inputs!$B$11),0))))/100+(Inputs!$B$23+0+(IF(ArtifactsInput!$M$15,CHOOSE(ArtifactsInput!$N$15+1,25,30,35,40,45,50)/100*(Inputs!$B$11-Inputs!$B$11),0)))/100)/2</f>
        <v/>
      </c>
      <c r="M1178">
        <f>L1178*(1+(Inputs!$B$10+((C1200=TRUE)*(F1200-Calc!F25))+B1211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78">
        <f>L1178*(1-MIN((Inputs!$B$9+((C1194=TRUE)*(F1194-Calc!F19))+B1206+(ArtifactsInput!$M$24-ArtifactsInput!$M$24)*CHOOSE(ArtifactsInput!$N$24+1,10,12,14,16,18,20)+(IF(AND(Inputs!$B$38&lt;&gt;"pvp",Inputs!$B$43=0),1,IF(IF(Inputs!$B$38="pvp",15,Inputs!$B$43)-(B1213)&lt;=0,1,MAX(0,IF(Inputs!$B$38="pvp",15,Inputs!$B$43)-MAX(5,B1213))/(IF(Inputs!$B$38="pvp",15,Inputs!$B$43)-(B1213))))*IF(AND(ArtifactsInput!$M$42,((Inputs!$B$9+((C1194=TRUE)*(F1194-Calc!F19))+B1206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1178*(MIN((Inputs!$B$9+((C1194=TRUE)*(F1194-Calc!F19))+B1206+(ArtifactsInput!$M$24-ArtifactsInput!$M$24)*CHOOSE(ArtifactsInput!$N$24+1,10,12,14,16,18,20)+(IF(AND(Inputs!$B$38&lt;&gt;"pvp",Inputs!$B$43=0),1,IF(IF(Inputs!$B$38="pvp",15,Inputs!$B$43)-(B1213)&lt;=0,1,MAX(0,IF(Inputs!$B$38="pvp",15,Inputs!$B$43)-MAX(5,B1213))/(IF(Inputs!$B$38="pvp",15,Inputs!$B$43)-(B1213))))*IF(AND(ArtifactsInput!$M$42,((Inputs!$B$9+((C1194=TRUE)*(F1194-Calc!F19))+B1206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78">
        <f>(1-Summary!$B$11)*T1178+Summary!$B$11*V1178</f>
        <v/>
      </c>
      <c r="P1178">
        <f>IF(B1216=0,0,O1178/B1216)</f>
        <v/>
      </c>
      <c r="Q1178">
        <f>IFERROR(1/(IF(Inputs!$B$38="pvp",15,MAX(0.1,Skills!D3-IF(TRUE=TRUE,Inputs!$B$32,0)))*(1-IF(AND(ArtifactsInput!$M$27,Inputs!$B$4="Chapter Hunt"),CHOOSE(ArtifactsInput!$N$27+1,20,24,28,32,36,40),0)/100)),0)</f>
        <v/>
      </c>
      <c r="R1178">
        <f>IF(AND(Inputs!$B$38&lt;&gt;"pvp",Inputs!$B$43&gt;0),IF(MAX(0,Inputs!$B$43-B1213)&lt;=0,0,(INT(MAX(0,Inputs!$B$43-B1213)/(IF(Inputs!$B$38="pvp",15,MAX(0.1,Skills!D3-IF(TRUE=TRUE,Inputs!$B$32,0)))*(1-IF(AND(ArtifactsInput!$M$27,Inputs!$B$4="Chapter Hunt"),CHOOSE(ArtifactsInput!$N$27+1,20,24,28,32,36,40),0)/100)))+1)),0)</f>
        <v/>
      </c>
      <c r="S1178">
        <f>IFERROR(O1178/N1178,0)</f>
        <v/>
      </c>
      <c r="T1178">
        <f>IF(C1178,(H1178*N1178*IF(AND(Inputs!$B$38&lt;&gt;"pvp",Inputs!$B$43&gt;0),((Skills!G3*((R1178-1)*IF(Skills!H3&gt;0,INT(Skills!I3/Skills!H3+0.000000001),1)+IF(Skills!H3&gt;0,INT(MIN(Skills!I3,MAX(0,MAX(0,Inputs!$B$43-B1213)-((R1178-1)*(IF(Inputs!$B$38="pvp",15,MAX(0.1,Skills!D3-IF(TRUE=TRUE,Inputs!$B$32,0)))*(1-IF(AND(ArtifactsInput!$M$27,Inputs!$B$4="Chapter Hunt"),CHOOSE(ArtifactsInput!$N$27+1,20,24,28,32,36,40),0)/100)))))/Skills!H3+0.000000001),1)))/Inputs!$B$43),G1178*Q1178))*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Hunt"),CHOOSE(ArtifactsInput!$N$35+1,15,18,21,24,27,30)*(1-EXP(-(0.2*B1208)*5)),0)+IF(AND(ArtifactsInput!$M$22,Inputs!$B$4&lt;&gt;"Chapter Hunt"),CHOOSE(ArtifactsInput!$N$22+1,10,12,14,16,18,20)*((0*(((0.15*B1208*5))^0/1)+1*(((0.15*B1208*5))^1/1)+2*(((0.15*B1208*5))^2/2)+3*(((0.15*B1208*5))^3/6)+4*(((0.15*B1208*5))^4/24)+5*(((0.15*B1208*5))^5/120))/((((0.15*B1208*5))^0/1)+(((0.15*B1208*5))^1/1)+(((0.15*B1208*5))^2/2)+(((0.15*B1208*5))^3/6)+(((0.15*B1208*5))^4/24)+(((0.15*B1208*5))^5/120))),0))+IF(Inputs!$B$3&gt;=54,9*(C1178=TRUE)*MIN(1,8*(1+Inputs!$B$34/100)*Q1178)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1178*(1-MIN(100,(Inputs!$B$9+((C1194=TRUE)*(F1194-Calc!F19))+B1206+(ArtifactsInput!$M$24-ArtifactsInput!$M$24)*CHOOSE(ArtifactsInput!$N$24+1,10,12,14,16,18,20)+(IF(AND(Inputs!$B$38&lt;&gt;"pvp",Inputs!$B$43=0),1,IF(IF(Inputs!$B$38="pvp",15,Inputs!$B$43)-(B1213)&lt;=0,1,MAX(0,IF(Inputs!$B$38="pvp",15,Inputs!$B$43)-MAX(5,B1213))/(IF(Inputs!$B$38="pvp",15,Inputs!$B$43)-(B1213))))*IF(AND(ArtifactsInput!$M$42,((Inputs!$B$9+((C1194=TRUE)*(F1194-Calc!F19))+B1206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1178*(MIN(100,(Inputs!$B$9+((C1194=TRUE)*(F1194-Calc!F19))+B1206+(ArtifactsInput!$M$24-ArtifactsInput!$M$24)*CHOOSE(ArtifactsInput!$N$24+1,10,12,14,16,18,20)+(IF(AND(Inputs!$B$38&lt;&gt;"pvp",Inputs!$B$43=0),1,IF(IF(Inputs!$B$38="pvp",15,Inputs!$B$43)-(B1213)&lt;=0,1,MAX(0,IF(Inputs!$B$38="pvp",15,Inputs!$B$43)-MAX(5,B1213))/(IF(Inputs!$B$38="pvp",15,Inputs!$B$43)-(B1213))))*IF(AND(ArtifactsInput!$M$42,((Inputs!$B$9+((C1194=TRUE)*(F1194-Calc!F19))+B1206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1178*(1-MIN(100,(Inputs!$B$9+((C1194=TRUE)*(F1194-Calc!F19))+B1206+(ArtifactsInput!$M$24-ArtifactsInput!$M$24)*CHOOSE(ArtifactsInput!$N$24+1,10,12,14,16,18,20)+(IF(AND(Inputs!$B$38&lt;&gt;"pvp",Inputs!$B$43=0),1,IF(IF(Inputs!$B$38="pvp",15,Inputs!$B$43)-(B1213)&lt;=0,1,MAX(0,IF(Inputs!$B$38="pvp",15,Inputs!$B$43)-MAX(5,B1213))/(IF(Inputs!$B$38="pvp",15,Inputs!$B$43)-(B1213))))*IF(AND(ArtifactsInput!$M$42,((Inputs!$B$9+((C1194=TRUE)*(F1194-Calc!F19))+B1206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1178*(MIN(100,(Inputs!$B$9+((C1194=TRUE)*(F1194-Calc!F19))+B1206+(ArtifactsInput!$M$24-ArtifactsInput!$M$24)*CHOOSE(ArtifactsInput!$N$24+1,10,12,14,16,18,20)+(IF(AND(Inputs!$B$38&lt;&gt;"pvp",Inputs!$B$43=0),1,IF(IF(Inputs!$B$38="pvp",15,Inputs!$B$43)-(B1213)&lt;=0,1,MAX(0,IF(Inputs!$B$38="pvp",15,Inputs!$B$43)-MAX(5,B1213))/(IF(Inputs!$B$38="pvp",15,Inputs!$B$43)-(B1213))))*IF(AND(ArtifactsInput!$M$42,((Inputs!$B$9+((C1194=TRUE)*(F1194-Calc!F19))+B1206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178">
        <f>INDEX(FactorTable!$B$2:$Y$301, MATCH(ROUND(MIN(300,MAX(1,U1177)),0), FactorTable!$A$2:$A$301,0), 22)</f>
        <v/>
      </c>
      <c r="V1178">
        <f>IF(C1178,(H1178*N1178*IF(AND(Inputs!$B$38&lt;&gt;"pvp",Inputs!$B$43&gt;0),((Skills!G3*((R1178-1)*IF(Skills!H3&gt;0,INT(Skills!I3/Skills!H3+0.000000001),1)+IF(Skills!H3&gt;0,INT(MIN(Skills!I3,MAX(0,MAX(0,Inputs!$B$43-B1213)-((R1178-1)*(IF(Inputs!$B$38="pvp",15,MAX(0.1,Skills!D3-IF(TRUE=TRUE,Inputs!$B$32,0)))*(1-IF(AND(ArtifactsInput!$M$27,Inputs!$B$4="Chapter Hunt"),CHOOSE(ArtifactsInput!$N$27+1,20,24,28,32,36,40),0)/100)))))/Skills!H3+0.000000001),1)))/Inputs!$B$43),G1178*Q1178))*IF(Inputs!$B$38="pvp",1,(1+(Inputs!$B$21+Skills!Q3+(IF(ArtifactsInput!$M$33,CHOOSE(ArtifactsInput!$N$33+1,30,36,42,48,54,60),0))+(IF(AND(ArtifactsInput!$M$35,Inputs!$B$4&lt;&gt;"Chapter Hunt"),CHOOSE(ArtifactsInput!$N$35+1,15,18,21,24,27,30)*(1-EXP(-(0.2*B1208)*5)),0)+IF(AND(ArtifactsInput!$M$22,Inputs!$B$4&lt;&gt;"Chapter Hunt"),CHOOSE(ArtifactsInput!$N$22+1,10,12,14,16,18,20)*((0*(((0.15*B1208*5))^0/1)+1*(((0.15*B1208*5))^1/1)+2*(((0.15*B1208*5))^2/2)+3*(((0.15*B1208*5))^3/6)+4*(((0.15*B1208*5))^4/24)+5*(((0.15*B1208*5))^5/120))/((((0.15*B1208*5))^0/1)+(((0.15*B1208*5))^1/1)+(((0.15*B1208*5))^2/2)+(((0.15*B1208*5))^3/6)+(((0.15*B1208*5))^4/24)+(((0.15*B1208*5))^5/120))),0))+IF(Inputs!$B$3&gt;=54,9*(C1178=TRUE)*MIN(1,8*(1+Inputs!$B$34/100)*Q1178),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79">
      <c r="A1179">
        <f>Skills!A4</f>
        <v/>
      </c>
      <c r="B1179">
        <f>Skills!B4</f>
        <v/>
      </c>
      <c r="C1179">
        <f>Inputs!$B$3&gt;=35</f>
        <v/>
      </c>
      <c r="D1179">
        <f>IF(Skills!C4=1,60+Inputs!$B$25+Inputs!$B$29,IF(Skills!C4=2,90+Inputs!$B$26+Inputs!$B$29,IF(Skills!C4=3,120+Inputs!$B$27+Inputs!$B$29,MAX(0,(Inputs!$B$3-100)*3)+Inputs!$B$28+Inputs!$B$29)))</f>
        <v/>
      </c>
      <c r="E1179">
        <f>INDEX(FactorTable!$B$2:$Y$301, MATCH(ROUND(MIN(300,MAX(1,D1179)),0), FactorTable!$A$2:$A$301,0), Skills!M4+1)</f>
        <v/>
      </c>
      <c r="F1179">
        <f>IF(Skills!N4=TRUE,(Skills!L4/10)*(E1179/1000),Skills!L4/10)+Skills!O4</f>
        <v/>
      </c>
      <c r="G1179">
        <f>Skills!G4*IF(Skills!H4&gt;0,INT(IF(Inputs!$B$38="pvp",MIN(IF(Inputs!$B$3&gt;=104,MIN(35,20*(1+Inputs!$B$34/100)),20),15),IF(Inputs!$B$3&gt;=104,MIN(35,20*(1+Inputs!$B$34/100)),20))/Skills!H4+0.000000001),1)</f>
        <v/>
      </c>
      <c r="H1179">
        <f>1-(1-Skills!J4/100)^Skills!K4</f>
        <v/>
      </c>
      <c r="I1179" t="inlineStr">
        <is>
          <t>1</t>
        </is>
      </c>
      <c r="J1179">
        <f>((Inputs!$B$6*(1+Inputs!$B$7/100))+(((Inputs!$B$12*(1+Inputs!$B$13/100))-(Inputs!$B$12*(1+Inputs!$B$13/100)))+0.25*(Inputs!$B$14-Inputs!$B$14))*(1+Inputs!$B$7/100))*(F1179/100)</f>
        <v/>
      </c>
      <c r="K1179">
        <f>J1179*(1+((Inputs!$B$12*(1+Inputs!$B$13/100))*0.01+Inputs!$B$14*0.0025)/100)*(1+Inputs!$B$15/100)*(1+Inputs!$B$16/100)*(5000/(6000+Inputs!$B$42*(1-(100*(1-(1-(Inputs!$B$19+0)/100)*(1-CHOOSE(ArtifactsInput!$N$40+1,5,6,7,8,9,10)/100)^(ArtifactsInput!$M$40-ArtifactsInput!$M$40)))/100)))*(1+(Inputs!$B$24+((C1201=TRUE)*(F1201-Calc!F26))+B1212)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1191=TRUE,F1191,0)/100)*(1+(IF(Skills!A4="EIGHT_LEGS_EASTON",Inputs!$B$17+((C1198=TRUE)*(F1198-Calc!F23))+((C1202=TRUE)*(F1202-Calc!F27))+((IF(AND(Inputs!$B$38&lt;&gt;"pvp",Inputs!$B$43=0),1,IF(IF(Inputs!$B$38="pvp",15,Inputs!$B$43)-(B1213)&lt;=0,1,MAX(0,IF(Inputs!$B$38="pvp",15,Inputs!$B$43)-MAX(5,B1213))/(IF(Inputs!$B$38="pvp",15,Inputs!$B$43)-(B1213))))*(IF(AND(ArtifactsInput!$M$42,((Inputs!$B$9+((C1194=TRUE)*(F1194-Calc!F19))+B1206+(ArtifactsInput!$M$24-ArtifactsInput!$M$24)*CHOOSE(ArtifactsInput!$N$24+1,10,12,14,16,18,20)+IF(ArtifactsInput!$M$10,CHOOSE(ArtifactsInput!$N$10+1,15,18,21,24,27,30)*(IF(Inputs!$B$38="pvp",MIN(15,15)/15,IF(AND(Inputs!$B$38&lt;&gt;"pvp",Inputs!$B$43&gt;0),MIN(15,Inputs!$B$43)/(Inputs!$B$43),0))),0)))&gt;=100),MIN(100,((Inputs!$B$9+((C1194=TRUE)*(F1194-Calc!F19))+B1206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1213)&lt;=0,1,MAX(0,IF(Inputs!$B$38="pvp",15,Inputs!$B$43)-MAX(5,B1213))/(IF(Inputs!$B$38="pvp",15,Inputs!$B$43)-(B1213))))*IF(AND(ArtifactsInput!$M$42,((Inputs!$B$9+((C1194=TRUE)*(F1194-Calc!F19))+B1206+(ArtifactsInput!$M$24-ArtifactsInput!$M$24)*CHOOSE(ArtifactsInput!$N$24+1,10,12,14,16,18,20)+IF(ArtifactsInput!$M$10,CHOOSE(ArtifactsInput!$N$10+1,15,18,21,24,27,30)*(IF(Inputs!$B$38="pvp",MIN(15,15)/15,IF(AND(Inputs!$B$38&lt;&gt;"pvp",Inputs!$B$43&gt;0),MIN(15,Inputs!$B$43)/(Inputs!$B$43),0))),0)))&gt;=100),CHOOSE(ArtifactsInput!$N$42+1,40,48,56,64,72,80),0))))/100)*((1+(((C1192=TRUE)*F1192*5/7)+((C1199=TRUE)*(F1199-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1179)</f>
        <v/>
      </c>
      <c r="L1179">
        <f>K1179*(MIN(Inputs!$B$22+((C1197=TRUE)*(F1197-Calc!F22)),(Inputs!$B$23+0+(IF(ArtifactsInput!$M$15,CHOOSE(ArtifactsInput!$N$15+1,25,30,35,40,45,50)/100*(Inputs!$B$11-Inputs!$B$11),0))))/100+(Inputs!$B$23+0+(IF(ArtifactsInput!$M$15,CHOOSE(ArtifactsInput!$N$15+1,25,30,35,40,45,50)/100*(Inputs!$B$11-Inputs!$B$11),0)))/100)/2</f>
        <v/>
      </c>
      <c r="M1179">
        <f>L1179*(1+(Inputs!$B$10+((C1200=TRUE)*(F1200-Calc!F25))+B1211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79">
        <f>L1179*(1-MIN((Inputs!$B$9+((C1194=TRUE)*(F1194-Calc!F19))+B1206+(ArtifactsInput!$M$24-ArtifactsInput!$M$24)*CHOOSE(ArtifactsInput!$N$24+1,10,12,14,16,18,20)+(IF(AND(Inputs!$B$38&lt;&gt;"pvp",Inputs!$B$43=0),1,IF(IF(Inputs!$B$38="pvp",15,Inputs!$B$43)-(B1213)&lt;=0,1,MAX(0,IF(Inputs!$B$38="pvp",15,Inputs!$B$43)-MAX(5,B1213))/(IF(Inputs!$B$38="pvp",15,Inputs!$B$43)-(B1213))))*IF(AND(ArtifactsInput!$M$42,((Inputs!$B$9+((C1194=TRUE)*(F1194-Calc!F19))+B1206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1179*(MIN((Inputs!$B$9+((C1194=TRUE)*(F1194-Calc!F19))+B1206+(ArtifactsInput!$M$24-ArtifactsInput!$M$24)*CHOOSE(ArtifactsInput!$N$24+1,10,12,14,16,18,20)+(IF(AND(Inputs!$B$38&lt;&gt;"pvp",Inputs!$B$43=0),1,IF(IF(Inputs!$B$38="pvp",15,Inputs!$B$43)-(B1213)&lt;=0,1,MAX(0,IF(Inputs!$B$38="pvp",15,Inputs!$B$43)-MAX(5,B1213))/(IF(Inputs!$B$38="pvp",15,Inputs!$B$43)-(B1213))))*IF(AND(ArtifactsInput!$M$42,((Inputs!$B$9+((C1194=TRUE)*(F1194-Calc!F19))+B1206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79">
        <f>(1-Summary!$B$11)*T1179+Summary!$B$11*V1179</f>
        <v/>
      </c>
      <c r="P1179">
        <f>IF(B1216=0,0,O1179/B1216)</f>
        <v/>
      </c>
      <c r="Q1179">
        <f>IFERROR(1/(IF(Inputs!$B$38="pvp",15,MAX(0.1,Skills!D4-IF(TRUE=TRUE,Inputs!$B$32,0)))*(1-IF(AND(ArtifactsInput!$M$27,Inputs!$B$4="Chapter Hunt"),CHOOSE(ArtifactsInput!$N$27+1,20,24,28,32,36,40),0)/100)),0)</f>
        <v/>
      </c>
      <c r="R1179">
        <f>IF(AND(Inputs!$B$38&lt;&gt;"pvp",Inputs!$B$43&gt;0),IF(MAX(0,Inputs!$B$43-B1213)&lt;=0,0,(INT(MAX(0,Inputs!$B$43-B1213)/(IF(Inputs!$B$38="pvp",15,MAX(0.1,Skills!D4-IF(TRUE=TRUE,Inputs!$B$32,0)))*(1-IF(AND(ArtifactsInput!$M$27,Inputs!$B$4="Chapter Hunt"),CHOOSE(ArtifactsInput!$N$27+1,20,24,28,32,36,40),0)/100)))+1)),0)</f>
        <v/>
      </c>
      <c r="S1179">
        <f>IFERROR(O1179/N1179,0)</f>
        <v/>
      </c>
      <c r="T1179">
        <f>IF(C1179,(H1179*N1179*IF(AND(Inputs!$B$38&lt;&gt;"pvp",Inputs!$B$43&gt;0),((Skills!G4*((R1179-1)*IF(Skills!H4&gt;0,INT(IF(Inputs!$B$3&gt;=104,MIN(35,20*(1+Inputs!$B$34/100)),20)/Skills!H4+0.000000001),1)+IF(Skills!H4&gt;0,INT(MIN(IF(Inputs!$B$3&gt;=104,MIN(35,20*(1+Inputs!$B$34/100)),20),MAX(0,MAX(0,Inputs!$B$43-B1213)-((R1179-1)*(IF(Inputs!$B$38="pvp",15,MAX(0.1,Skills!D4-IF(TRUE=TRUE,Inputs!$B$32,0)))*(1-IF(AND(ArtifactsInput!$M$27,Inputs!$B$4="Chapter Hunt"),CHOOSE(ArtifactsInput!$N$27+1,20,24,28,32,36,40),0)/100)))))/Skills!H4+0.000000001),1)))/Inputs!$B$43),G1179*Q1179))*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Hunt"),CHOOSE(ArtifactsInput!$N$35+1,15,18,21,24,27,30)*(1-EXP(-(0.2*B1208)*5)),0)+IF(AND(ArtifactsInput!$M$22,Inputs!$B$4&lt;&gt;"Chapter Hunt"),CHOOSE(ArtifactsInput!$N$22+1,10,12,14,16,18,20)*((0*(((0.15*B1208*5))^0/1)+1*(((0.15*B1208*5))^1/1)+2*(((0.15*B1208*5))^2/2)+3*(((0.15*B1208*5))^3/6)+4*(((0.15*B1208*5))^4/24)+5*(((0.15*B1208*5))^5/120))/((((0.15*B1208*5))^0/1)+(((0.15*B1208*5))^1/1)+(((0.15*B1208*5))^2/2)+(((0.15*B1208*5))^3/6)+(((0.15*B1208*5))^4/24)+(((0.15*B1208*5))^5/120))),0))+IF(Inputs!$B$3&gt;=54,9*(C1178=TRUE)*MIN(1,8*(1+Inputs!$B$34/100)*Q1178)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1179*(1-MIN(100,(Inputs!$B$9+((C1194=TRUE)*(F1194-Calc!F19))+B1206+(ArtifactsInput!$M$24-ArtifactsInput!$M$24)*CHOOSE(ArtifactsInput!$N$24+1,10,12,14,16,18,20)+(IF(AND(Inputs!$B$38&lt;&gt;"pvp",Inputs!$B$43=0),1,IF(IF(Inputs!$B$38="pvp",15,Inputs!$B$43)-(B1213)&lt;=0,1,MAX(0,IF(Inputs!$B$38="pvp",15,Inputs!$B$43)-MAX(5,B1213))/(IF(Inputs!$B$38="pvp",15,Inputs!$B$43)-(B1213))))*IF(AND(ArtifactsInput!$M$42,((Inputs!$B$9+((C1194=TRUE)*(F1194-Calc!F19))+B1206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1179*(MIN(100,(Inputs!$B$9+((C1194=TRUE)*(F1194-Calc!F19))+B1206+(ArtifactsInput!$M$24-ArtifactsInput!$M$24)*CHOOSE(ArtifactsInput!$N$24+1,10,12,14,16,18,20)+(IF(AND(Inputs!$B$38&lt;&gt;"pvp",Inputs!$B$43=0),1,IF(IF(Inputs!$B$38="pvp",15,Inputs!$B$43)-(B1213)&lt;=0,1,MAX(0,IF(Inputs!$B$38="pvp",15,Inputs!$B$43)-MAX(5,B1213))/(IF(Inputs!$B$38="pvp",15,Inputs!$B$43)-(B1213))))*IF(AND(ArtifactsInput!$M$42,((Inputs!$B$9+((C1194=TRUE)*(F1194-Calc!F19))+B1206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1179*(1-MIN(100,(Inputs!$B$9+((C1194=TRUE)*(F1194-Calc!F19))+B1206+(ArtifactsInput!$M$24-ArtifactsInput!$M$24)*CHOOSE(ArtifactsInput!$N$24+1,10,12,14,16,18,20)+(IF(AND(Inputs!$B$38&lt;&gt;"pvp",Inputs!$B$43=0),1,IF(IF(Inputs!$B$38="pvp",15,Inputs!$B$43)-(B1213)&lt;=0,1,MAX(0,IF(Inputs!$B$38="pvp",15,Inputs!$B$43)-MAX(5,B1213))/(IF(Inputs!$B$38="pvp",15,Inputs!$B$43)-(B1213))))*IF(AND(ArtifactsInput!$M$42,((Inputs!$B$9+((C1194=TRUE)*(F1194-Calc!F19))+B1206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1179*(MIN(100,(Inputs!$B$9+((C1194=TRUE)*(F1194-Calc!F19))+B1206+(ArtifactsInput!$M$24-ArtifactsInput!$M$24)*CHOOSE(ArtifactsInput!$N$24+1,10,12,14,16,18,20)+(IF(AND(Inputs!$B$38&lt;&gt;"pvp",Inputs!$B$43=0),1,IF(IF(Inputs!$B$38="pvp",15,Inputs!$B$43)-(B1213)&lt;=0,1,MAX(0,IF(Inputs!$B$38="pvp",15,Inputs!$B$43)-MAX(5,B1213))/(IF(Inputs!$B$38="pvp",15,Inputs!$B$43)-(B1213))))*IF(AND(ArtifactsInput!$M$42,((Inputs!$B$9+((C1194=TRUE)*(F1194-Calc!F19))+B1206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179">
        <f>290*U1178/1000</f>
        <v/>
      </c>
      <c r="V1179">
        <f>IF(C1179,(H1179*N1179*IF(AND(Inputs!$B$38&lt;&gt;"pvp",Inputs!$B$43&gt;0),((Skills!G4*((R1179-1)*IF(Skills!H4&gt;0,INT(IF(Inputs!$B$3&gt;=104,MIN(35,20*(1+Inputs!$B$34/100)),20)/Skills!H4+0.000000001),1)+IF(Skills!H4&gt;0,INT(MIN(IF(Inputs!$B$3&gt;=104,MIN(35,20*(1+Inputs!$B$34/100)),20),MAX(0,MAX(0,Inputs!$B$43-B1213)-((R1179-1)*(IF(Inputs!$B$38="pvp",15,MAX(0.1,Skills!D4-IF(TRUE=TRUE,Inputs!$B$32,0)))*(1-IF(AND(ArtifactsInput!$M$27,Inputs!$B$4="Chapter Hunt"),CHOOSE(ArtifactsInput!$N$27+1,20,24,28,32,36,40),0)/100)))))/Skills!H4+0.000000001),1)))/Inputs!$B$43),G1179*Q1179))*IF(Inputs!$B$38="pvp",1,(1+(Inputs!$B$21+Skills!Q4+(IF(ArtifactsInput!$M$33,CHOOSE(ArtifactsInput!$N$33+1,30,36,42,48,54,60),0))+(IF(AND(ArtifactsInput!$M$35,Inputs!$B$4&lt;&gt;"Chapter Hunt"),CHOOSE(ArtifactsInput!$N$35+1,15,18,21,24,27,30)*(1-EXP(-(0.2*B1208)*5)),0)+IF(AND(ArtifactsInput!$M$22,Inputs!$B$4&lt;&gt;"Chapter Hunt"),CHOOSE(ArtifactsInput!$N$22+1,10,12,14,16,18,20)*((0*(((0.15*B1208*5))^0/1)+1*(((0.15*B1208*5))^1/1)+2*(((0.15*B1208*5))^2/2)+3*(((0.15*B1208*5))^3/6)+4*(((0.15*B1208*5))^4/24)+5*(((0.15*B1208*5))^5/120))/((((0.15*B1208*5))^0/1)+(((0.15*B1208*5))^1/1)+(((0.15*B1208*5))^2/2)+(((0.15*B1208*5))^3/6)+(((0.15*B1208*5))^4/24)+(((0.15*B1208*5))^5/120))),0))+IF(Inputs!$B$3&gt;=54,9*(C1178=TRUE)*MIN(1,8*(1+Inputs!$B$34/100)*Q1178),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80">
      <c r="A1180">
        <f>Skills!A5</f>
        <v/>
      </c>
      <c r="B1180">
        <f>Skills!B5</f>
        <v/>
      </c>
      <c r="C1180">
        <f>Inputs!$B$3&gt;=69</f>
        <v/>
      </c>
      <c r="D1180">
        <f>IF(Skills!C5=1,60+Inputs!$B$25+Inputs!$B$29,IF(Skills!C5=2,90+Inputs!$B$26+Inputs!$B$29,IF(Skills!C5=3,120+Inputs!$B$27+Inputs!$B$29,MAX(0,(Inputs!$B$3-100)*3)+Inputs!$B$28+Inputs!$B$29)))</f>
        <v/>
      </c>
      <c r="E1180">
        <f>INDEX(FactorTable!$B$2:$Y$301, MATCH(ROUND(MIN(300,MAX(1,D1180)),0), FactorTable!$A$2:$A$301,0), Skills!M5+1)</f>
        <v/>
      </c>
      <c r="F1180">
        <f>IF(Skills!N5=TRUE,(Skills!L5/10)*(E1180/1000),Skills!L5/10)+Skills!O5</f>
        <v/>
      </c>
      <c r="G1180">
        <f>Skills!G5*IF(Skills!H5&gt;0,INT(IF(Inputs!$B$38="pvp",MIN(IF(Inputs!$B$3&gt;=104,MIN(35,20*(1+Inputs!$B$34/100)),20),15),IF(Inputs!$B$3&gt;=104,MIN(35,20*(1+Inputs!$B$34/100)),20))/Skills!H5+0.000000001),1)</f>
        <v/>
      </c>
      <c r="H1180">
        <f>1-(1-Skills!J5/100)^Skills!K5</f>
        <v/>
      </c>
      <c r="I1180" t="inlineStr">
        <is>
          <t>1</t>
        </is>
      </c>
      <c r="J1180">
        <f>((Inputs!$B$6*(1+Inputs!$B$7/100))+(((Inputs!$B$12*(1+Inputs!$B$13/100))-(Inputs!$B$12*(1+Inputs!$B$13/100)))+0.25*(Inputs!$B$14-Inputs!$B$14))*(1+Inputs!$B$7/100))*(F1180/100)</f>
        <v/>
      </c>
      <c r="K1180">
        <f>J1180*(1+((Inputs!$B$12*(1+Inputs!$B$13/100))*0.01+Inputs!$B$14*0.0025)/100)*(1+Inputs!$B$15/100)*(1+Inputs!$B$16/100)*(5000/(6000+Inputs!$B$42*(1-(100*(1-(1-(Inputs!$B$19+0)/100)*(1-CHOOSE(ArtifactsInput!$N$40+1,5,6,7,8,9,10)/100)^(ArtifactsInput!$M$40-ArtifactsInput!$M$40)))/100)))*(1+(Inputs!$B$24+((C1201=TRUE)*(F1201-Calc!F26))+B1212)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+0.4*IF(C1191=TRUE,F1191,0)/100)*(1+(IF(Skills!A5="EIGHT_LEGS_EASTON",Inputs!$B$17+((C1198=TRUE)*(F1198-Calc!F23))+((C1202=TRUE)*(F1202-Calc!F27))+((IF(AND(Inputs!$B$38&lt;&gt;"pvp",Inputs!$B$43=0),1,IF(IF(Inputs!$B$38="pvp",15,Inputs!$B$43)-(B1213)&lt;=0,1,MAX(0,IF(Inputs!$B$38="pvp",15,Inputs!$B$43)-MAX(5,B1213))/(IF(Inputs!$B$38="pvp",15,Inputs!$B$43)-(B1213))))*(IF(AND(ArtifactsInput!$M$42,((Inputs!$B$9+((C1194=TRUE)*(F1194-Calc!F19))+B1206+(ArtifactsInput!$M$24-ArtifactsInput!$M$24)*CHOOSE(ArtifactsInput!$N$24+1,10,12,14,16,18,20)+IF(ArtifactsInput!$M$10,CHOOSE(ArtifactsInput!$N$10+1,15,18,21,24,27,30)*(IF(Inputs!$B$38="pvp",MIN(15,15)/15,IF(AND(Inputs!$B$38&lt;&gt;"pvp",Inputs!$B$43&gt;0),MIN(15,Inputs!$B$43)/(Inputs!$B$43),0))),0)))&gt;=100),MIN(100,((Inputs!$B$9+((C1194=TRUE)*(F1194-Calc!F19))+B1206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1213)&lt;=0,1,MAX(0,IF(Inputs!$B$38="pvp",15,Inputs!$B$43)-MAX(5,B1213))/(IF(Inputs!$B$38="pvp",15,Inputs!$B$43)-(B1213))))*IF(AND(ArtifactsInput!$M$42,((Inputs!$B$9+((C1194=TRUE)*(F1194-Calc!F19))+B1206+(ArtifactsInput!$M$24-ArtifactsInput!$M$24)*CHOOSE(ArtifactsInput!$N$24+1,10,12,14,16,18,20)+IF(ArtifactsInput!$M$10,CHOOSE(ArtifactsInput!$N$10+1,15,18,21,24,27,30)*(IF(Inputs!$B$38="pvp",MIN(15,15)/15,IF(AND(Inputs!$B$38&lt;&gt;"pvp",Inputs!$B$43&gt;0),MIN(15,Inputs!$B$43)/(Inputs!$B$43),0))),0)))&gt;=100),CHOOSE(ArtifactsInput!$N$42+1,40,48,56,64,72,80),0))))/100)*((1+(((C1192=TRUE)*F1192*5/7)+((C1199=TRUE)*(F1199-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1180)</f>
        <v/>
      </c>
      <c r="L1180">
        <f>K1180*(MIN(Inputs!$B$22+((C1197=TRUE)*(F1197-Calc!F22)),(Inputs!$B$23+0+(IF(ArtifactsInput!$M$15,CHOOSE(ArtifactsInput!$N$15+1,25,30,35,40,45,50)/100*(Inputs!$B$11-Inputs!$B$11),0))))/100+(Inputs!$B$23+0+(IF(ArtifactsInput!$M$15,CHOOSE(ArtifactsInput!$N$15+1,25,30,35,40,45,50)/100*(Inputs!$B$11-Inputs!$B$11),0)))/100)/2</f>
        <v/>
      </c>
      <c r="M1180">
        <f>L1180*(1+(Inputs!$B$10+((C1200=TRUE)*(F1200-Calc!F25))+B1211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80">
        <f>L1180*(1-MIN((Inputs!$B$9+((C1194=TRUE)*(F1194-Calc!F19))+B1206+(ArtifactsInput!$M$24-ArtifactsInput!$M$24)*CHOOSE(ArtifactsInput!$N$24+1,10,12,14,16,18,20)+(IF(AND(Inputs!$B$38&lt;&gt;"pvp",Inputs!$B$43=0),1,IF(IF(Inputs!$B$38="pvp",15,Inputs!$B$43)-(B1213)&lt;=0,1,MAX(0,IF(Inputs!$B$38="pvp",15,Inputs!$B$43)-MAX(5,B1213))/(IF(Inputs!$B$38="pvp",15,Inputs!$B$43)-(B1213))))*IF(AND(ArtifactsInput!$M$42,((Inputs!$B$9+((C1194=TRUE)*(F1194-Calc!F19))+B1206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1180*(MIN((Inputs!$B$9+((C1194=TRUE)*(F1194-Calc!F19))+B1206+(ArtifactsInput!$M$24-ArtifactsInput!$M$24)*CHOOSE(ArtifactsInput!$N$24+1,10,12,14,16,18,20)+(IF(AND(Inputs!$B$38&lt;&gt;"pvp",Inputs!$B$43=0),1,IF(IF(Inputs!$B$38="pvp",15,Inputs!$B$43)-(B1213)&lt;=0,1,MAX(0,IF(Inputs!$B$38="pvp",15,Inputs!$B$43)-MAX(5,B1213))/(IF(Inputs!$B$38="pvp",15,Inputs!$B$43)-(B1213))))*IF(AND(ArtifactsInput!$M$42,((Inputs!$B$9+((C1194=TRUE)*(F1194-Calc!F19))+B1206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80">
        <f>(1-Summary!$B$11)*T1180+Summary!$B$11*V1180</f>
        <v/>
      </c>
      <c r="P1180">
        <f>IF(B1216=0,0,O1180/B1216)</f>
        <v/>
      </c>
      <c r="Q1180">
        <f>IFERROR(1/(IF(Inputs!$B$38="pvp",15,MAX(0.1,Skills!D5-IF(TRUE=TRUE,Inputs!$B$32,0)))*(1-IF(AND(ArtifactsInput!$M$27,Inputs!$B$4="Chapter Hunt"),CHOOSE(ArtifactsInput!$N$27+1,20,24,28,32,36,40),0)/100)),0)</f>
        <v/>
      </c>
      <c r="R1180">
        <f>IF(AND(Inputs!$B$38&lt;&gt;"pvp",Inputs!$B$43&gt;0),IF(MAX(0,Inputs!$B$43-B1213)&lt;=0,0,(INT(MAX(0,Inputs!$B$43-B1213)/(IF(Inputs!$B$38="pvp",15,MAX(0.1,Skills!D5-IF(TRUE=TRUE,Inputs!$B$32,0)))*(1-IF(AND(ArtifactsInput!$M$27,Inputs!$B$4="Chapter Hunt"),CHOOSE(ArtifactsInput!$N$27+1,20,24,28,32,36,40),0)/100)))+1)),0)</f>
        <v/>
      </c>
      <c r="S1180">
        <f>IFERROR(O1180/N1180,0)</f>
        <v/>
      </c>
      <c r="T1180">
        <f>IF(C1180,(H1180*N1180*IF(AND(Inputs!$B$38&lt;&gt;"pvp",Inputs!$B$43&gt;0),((Skills!G5*((R1180-1)*IF(Skills!H5&gt;0,INT(IF(Inputs!$B$3&gt;=104,MIN(35,20*(1+Inputs!$B$34/100)),20)/Skills!H5+0.000000001),1)+IF(Skills!H5&gt;0,INT(MIN(IF(Inputs!$B$3&gt;=104,MIN(35,20*(1+Inputs!$B$34/100)),20),MAX(0,MAX(0,Inputs!$B$43-B1213)-((R1180-1)*(IF(Inputs!$B$38="pvp",15,MAX(0.1,Skills!D5-IF(TRUE=TRUE,Inputs!$B$32,0)))*(1-IF(AND(ArtifactsInput!$M$27,Inputs!$B$4="Chapter Hunt"),CHOOSE(ArtifactsInput!$N$27+1,20,24,28,32,36,40),0)/100)))))/Skills!H5+0.000000001),1)))/Inputs!$B$43),G1180*Q1180))*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Hunt"),CHOOSE(ArtifactsInput!$N$35+1,15,18,21,24,27,30)*(1-EXP(-(0.2*B1208)*5)),0)+IF(AND(ArtifactsInput!$M$22,Inputs!$B$4&lt;&gt;"Chapter Hunt"),CHOOSE(ArtifactsInput!$N$22+1,10,12,14,16,18,20)*((0*(((0.15*B1208*5))^0/1)+1*(((0.15*B1208*5))^1/1)+2*(((0.15*B1208*5))^2/2)+3*(((0.15*B1208*5))^3/6)+4*(((0.15*B1208*5))^4/24)+5*(((0.15*B1208*5))^5/120))/((((0.15*B1208*5))^0/1)+(((0.15*B1208*5))^1/1)+(((0.15*B1208*5))^2/2)+(((0.15*B1208*5))^3/6)+(((0.15*B1208*5))^4/24)+(((0.15*B1208*5))^5/120))),0))+IF(Inputs!$B$3&gt;=54,9*(C1178=TRUE)*MIN(1,8*(1+Inputs!$B$34/100)*Q1178)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1180*(1-MIN(100,(Inputs!$B$9+((C1194=TRUE)*(F1194-Calc!F19))+B1206+(ArtifactsInput!$M$24-ArtifactsInput!$M$24)*CHOOSE(ArtifactsInput!$N$24+1,10,12,14,16,18,20)+(IF(AND(Inputs!$B$38&lt;&gt;"pvp",Inputs!$B$43=0),1,IF(IF(Inputs!$B$38="pvp",15,Inputs!$B$43)-(B1213)&lt;=0,1,MAX(0,IF(Inputs!$B$38="pvp",15,Inputs!$B$43)-MAX(5,B1213))/(IF(Inputs!$B$38="pvp",15,Inputs!$B$43)-(B1213))))*IF(AND(ArtifactsInput!$M$42,((Inputs!$B$9+((C1194=TRUE)*(F1194-Calc!F19))+B1206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1180*(MIN(100,(Inputs!$B$9+((C1194=TRUE)*(F1194-Calc!F19))+B1206+(ArtifactsInput!$M$24-ArtifactsInput!$M$24)*CHOOSE(ArtifactsInput!$N$24+1,10,12,14,16,18,20)+(IF(AND(Inputs!$B$38&lt;&gt;"pvp",Inputs!$B$43=0),1,IF(IF(Inputs!$B$38="pvp",15,Inputs!$B$43)-(B1213)&lt;=0,1,MAX(0,IF(Inputs!$B$38="pvp",15,Inputs!$B$43)-MAX(5,B1213))/(IF(Inputs!$B$38="pvp",15,Inputs!$B$43)-(B1213))))*IF(AND(ArtifactsInput!$M$42,((Inputs!$B$9+((C1194=TRUE)*(F1194-Calc!F19))+B1206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1180*(1-MIN(100,(Inputs!$B$9+((C1194=TRUE)*(F1194-Calc!F19))+B1206+(ArtifactsInput!$M$24-ArtifactsInput!$M$24)*CHOOSE(ArtifactsInput!$N$24+1,10,12,14,16,18,20)+(IF(AND(Inputs!$B$38&lt;&gt;"pvp",Inputs!$B$43=0),1,IF(IF(Inputs!$B$38="pvp",15,Inputs!$B$43)-(B1213)&lt;=0,1,MAX(0,IF(Inputs!$B$38="pvp",15,Inputs!$B$43)-MAX(5,B1213))/(IF(Inputs!$B$38="pvp",15,Inputs!$B$43)-(B1213))))*IF(AND(ArtifactsInput!$M$42,((Inputs!$B$9+((C1194=TRUE)*(F1194-Calc!F19))+B1206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1180*(MIN(100,(Inputs!$B$9+((C1194=TRUE)*(F1194-Calc!F19))+B1206+(ArtifactsInput!$M$24-ArtifactsInput!$M$24)*CHOOSE(ArtifactsInput!$N$24+1,10,12,14,16,18,20)+(IF(AND(Inputs!$B$38&lt;&gt;"pvp",Inputs!$B$43=0),1,IF(IF(Inputs!$B$38="pvp",15,Inputs!$B$43)-(B1213)&lt;=0,1,MAX(0,IF(Inputs!$B$38="pvp",15,Inputs!$B$43)-MAX(5,B1213))/(IF(Inputs!$B$38="pvp",15,Inputs!$B$43)-(B1213))))*IF(AND(ArtifactsInput!$M$42,((Inputs!$B$9+((C1194=TRUE)*(F1194-Calc!F19))+B1206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180">
        <f>IF(C1180,(H1180*N1180*IF(AND(Inputs!$B$38&lt;&gt;"pvp",Inputs!$B$43&gt;0),((Skills!G5*((R1180-1)*IF(Skills!H5&gt;0,INT(IF(Inputs!$B$3&gt;=104,MIN(35,20*(1+Inputs!$B$34/100)),20)/Skills!H5+0.000000001),1)+IF(Skills!H5&gt;0,INT(MIN(IF(Inputs!$B$3&gt;=104,MIN(35,20*(1+Inputs!$B$34/100)),20),MAX(0,MAX(0,Inputs!$B$43-B1213)-((R1180-1)*(IF(Inputs!$B$38="pvp",15,MAX(0.1,Skills!D5-IF(TRUE=TRUE,Inputs!$B$32,0)))*(1-IF(AND(ArtifactsInput!$M$27,Inputs!$B$4="Chapter Hunt"),CHOOSE(ArtifactsInput!$N$27+1,20,24,28,32,36,40),0)/100)))))/Skills!H5+0.000000001),1)))/Inputs!$B$43),G1180*Q1180))*IF(Inputs!$B$38="pvp",1,(1+(Inputs!$B$21+Skills!Q5+(IF(ArtifactsInput!$M$33,CHOOSE(ArtifactsInput!$N$33+1,30,36,42,48,54,60),0))+(IF(AND(ArtifactsInput!$M$35,Inputs!$B$4&lt;&gt;"Chapter Hunt"),CHOOSE(ArtifactsInput!$N$35+1,15,18,21,24,27,30)*(1-EXP(-(0.2*B1208)*5)),0)+IF(AND(ArtifactsInput!$M$22,Inputs!$B$4&lt;&gt;"Chapter Hunt"),CHOOSE(ArtifactsInput!$N$22+1,10,12,14,16,18,20)*((0*(((0.15*B1208*5))^0/1)+1*(((0.15*B1208*5))^1/1)+2*(((0.15*B1208*5))^2/2)+3*(((0.15*B1208*5))^3/6)+4*(((0.15*B1208*5))^4/24)+5*(((0.15*B1208*5))^5/120))/((((0.15*B1208*5))^0/1)+(((0.15*B1208*5))^1/1)+(((0.15*B1208*5))^2/2)+(((0.15*B1208*5))^3/6)+(((0.15*B1208*5))^4/24)+(((0.15*B1208*5))^5/120))),0))+IF(Inputs!$B$3&gt;=54,9*(C1178=TRUE)*MIN(1,8*(1+Inputs!$B$34/100)*Q1178),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81">
      <c r="A1181">
        <f>Skills!A6</f>
        <v/>
      </c>
      <c r="B1181">
        <f>Skills!B6</f>
        <v/>
      </c>
      <c r="C1181">
        <f>Inputs!$B$3&gt;=66</f>
        <v/>
      </c>
      <c r="D1181">
        <f>IF(Skills!C6=1,60+Inputs!$B$25+Inputs!$B$29,IF(Skills!C6=2,90+Inputs!$B$26+Inputs!$B$29,IF(Skills!C6=3,120+Inputs!$B$27+Inputs!$B$29,MAX(0,(Inputs!$B$3-100)*3)+Inputs!$B$28+Inputs!$B$29)))</f>
        <v/>
      </c>
      <c r="E1181">
        <f>INDEX(FactorTable!$B$2:$Y$301, MATCH(ROUND(MIN(300,MAX(1,D1181)),0), FactorTable!$A$2:$A$301,0), Skills!M6+1)</f>
        <v/>
      </c>
      <c r="F1181">
        <f>IF(Skills!N6=TRUE,(Skills!L6/10)*(E1181/1000),Skills!L6/10)+Skills!O6</f>
        <v/>
      </c>
      <c r="G1181">
        <f>Skills!G6*IF(Skills!H6&gt;0,INT(IF(Inputs!$B$38="pvp",MIN(Skills!I6,15),Skills!I6)/Skills!H6+0.000000001),1)</f>
        <v/>
      </c>
      <c r="H1181">
        <f>1-(1-Skills!J6/100)^Skills!K6</f>
        <v/>
      </c>
      <c r="I1181" t="inlineStr">
        <is>
          <t>1</t>
        </is>
      </c>
      <c r="J1181">
        <f>((Inputs!$B$6*(1+Inputs!$B$7/100))+(((Inputs!$B$12*(1+Inputs!$B$13/100))-(Inputs!$B$12*(1+Inputs!$B$13/100)))+0.25*(Inputs!$B$14-Inputs!$B$14))*(1+Inputs!$B$7/100))*(F1181/100)</f>
        <v/>
      </c>
      <c r="K1181">
        <f>J1181*(1+((Inputs!$B$12*(1+Inputs!$B$13/100))*0.01+Inputs!$B$14*0.0025)/100)*(1+Inputs!$B$15/100)*(1+Inputs!$B$16/100)*(5000/(6000+Inputs!$B$42*(1-(100*(1-(1-(Inputs!$B$19+0)/100)*(1-CHOOSE(ArtifactsInput!$N$40+1,5,6,7,8,9,10)/100)^(ArtifactsInput!$M$40-ArtifactsInput!$M$40)))/100)))*(1+(Inputs!$B$24+((C1201=TRUE)*(F1201-Calc!F26))+B1212)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+2.0*IF(C1190=TRUE,F1190,0)/100)*(1+(IF(Skills!A6="EIGHT_LEGS_EASTON",Inputs!$B$17+((C1198=TRUE)*(F1198-Calc!F23))+((C1202=TRUE)*(F1202-Calc!F27))+((IF(AND(Inputs!$B$38&lt;&gt;"pvp",Inputs!$B$43=0),1,IF(IF(Inputs!$B$38="pvp",15,Inputs!$B$43)-(B1213)&lt;=0,1,MAX(0,IF(Inputs!$B$38="pvp",15,Inputs!$B$43)-MAX(5,B1213))/(IF(Inputs!$B$38="pvp",15,Inputs!$B$43)-(B1213))))*(IF(AND(ArtifactsInput!$M$42,((Inputs!$B$9+((C1194=TRUE)*(F1194-Calc!F19))+B1206+(ArtifactsInput!$M$24-ArtifactsInput!$M$24)*CHOOSE(ArtifactsInput!$N$24+1,10,12,14,16,18,20)+IF(ArtifactsInput!$M$10,CHOOSE(ArtifactsInput!$N$10+1,15,18,21,24,27,30)*(IF(Inputs!$B$38="pvp",MIN(15,15)/15,IF(AND(Inputs!$B$38&lt;&gt;"pvp",Inputs!$B$43&gt;0),MIN(15,Inputs!$B$43)/(Inputs!$B$43),0))),0)))&gt;=100),MIN(100,((Inputs!$B$9+((C1194=TRUE)*(F1194-Calc!F19))+B1206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1213)&lt;=0,1,MAX(0,IF(Inputs!$B$38="pvp",15,Inputs!$B$43)-MAX(5,B1213))/(IF(Inputs!$B$38="pvp",15,Inputs!$B$43)-(B1213))))*IF(AND(ArtifactsInput!$M$42,((Inputs!$B$9+((C1194=TRUE)*(F1194-Calc!F19))+B1206+(ArtifactsInput!$M$24-ArtifactsInput!$M$24)*CHOOSE(ArtifactsInput!$N$24+1,10,12,14,16,18,20)+IF(ArtifactsInput!$M$10,CHOOSE(ArtifactsInput!$N$10+1,15,18,21,24,27,30)*(IF(Inputs!$B$38="pvp",MIN(15,15)/15,IF(AND(Inputs!$B$38&lt;&gt;"pvp",Inputs!$B$43&gt;0),MIN(15,Inputs!$B$43)/(Inputs!$B$43),0))),0)))&gt;=100),CHOOSE(ArtifactsInput!$N$42+1,40,48,56,64,72,80),0))))/100)*((1+(((C1192=TRUE)*F1192*5/7)+((C1199=TRUE)*(F1199-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1181)</f>
        <v/>
      </c>
      <c r="L1181">
        <f>K1181*(MIN(Inputs!$B$22+((C1197=TRUE)*(F1197-Calc!F22)),(Inputs!$B$23+0+(IF(ArtifactsInput!$M$15,CHOOSE(ArtifactsInput!$N$15+1,25,30,35,40,45,50)/100*(Inputs!$B$11-Inputs!$B$11),0))))/100+(Inputs!$B$23+0+(IF(ArtifactsInput!$M$15,CHOOSE(ArtifactsInput!$N$15+1,25,30,35,40,45,50)/100*(Inputs!$B$11-Inputs!$B$11),0)))/100)/2</f>
        <v/>
      </c>
      <c r="M1181">
        <f>L1181*(1+(Inputs!$B$10+((C1200=TRUE)*(F1200-Calc!F25))+B1211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81">
        <f>L1181*(1-MIN((Inputs!$B$9+((C1194=TRUE)*(F1194-Calc!F19))+B1206+(ArtifactsInput!$M$24-ArtifactsInput!$M$24)*CHOOSE(ArtifactsInput!$N$24+1,10,12,14,16,18,20)+(IF(AND(Inputs!$B$38&lt;&gt;"pvp",Inputs!$B$43=0),1,IF(IF(Inputs!$B$38="pvp",15,Inputs!$B$43)-(B1213)&lt;=0,1,MAX(0,IF(Inputs!$B$38="pvp",15,Inputs!$B$43)-MAX(5,B1213))/(IF(Inputs!$B$38="pvp",15,Inputs!$B$43)-(B1213))))*IF(AND(ArtifactsInput!$M$42,((Inputs!$B$9+((C1194=TRUE)*(F1194-Calc!F19))+B1206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1181*(MIN((Inputs!$B$9+((C1194=TRUE)*(F1194-Calc!F19))+B1206+(ArtifactsInput!$M$24-ArtifactsInput!$M$24)*CHOOSE(ArtifactsInput!$N$24+1,10,12,14,16,18,20)+(IF(AND(Inputs!$B$38&lt;&gt;"pvp",Inputs!$B$43=0),1,IF(IF(Inputs!$B$38="pvp",15,Inputs!$B$43)-(B1213)&lt;=0,1,MAX(0,IF(Inputs!$B$38="pvp",15,Inputs!$B$43)-MAX(5,B1213))/(IF(Inputs!$B$38="pvp",15,Inputs!$B$43)-(B1213))))*IF(AND(ArtifactsInput!$M$42,((Inputs!$B$9+((C1194=TRUE)*(F1194-Calc!F19))+B1206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81">
        <f>(1-Summary!$B$11)*T1181+Summary!$B$11*V1181</f>
        <v/>
      </c>
      <c r="P1181">
        <f>IF(B1216=0,0,O1181/B1216)</f>
        <v/>
      </c>
      <c r="Q1181">
        <f>IFERROR(1/(IF(Inputs!$B$38="pvp",15,MAX(0.1,Skills!D6-IF(TRUE=TRUE,Inputs!$B$32,0)))*(1-IF(AND(ArtifactsInput!$M$27,Inputs!$B$4="Chapter Hunt"),CHOOSE(ArtifactsInput!$N$27+1,20,24,28,32,36,40),0)/100)),0)</f>
        <v/>
      </c>
      <c r="R1181">
        <f>IF(AND(Inputs!$B$38&lt;&gt;"pvp",Inputs!$B$43&gt;0),IF(MAX(0,Inputs!$B$43-B1213)&lt;=0,0,(INT(MAX(0,Inputs!$B$43-B1213)/(IF(Inputs!$B$38="pvp",15,MAX(0.1,Skills!D6-IF(TRUE=TRUE,Inputs!$B$32,0)))*(1-IF(AND(ArtifactsInput!$M$27,Inputs!$B$4="Chapter Hunt"),CHOOSE(ArtifactsInput!$N$27+1,20,24,28,32,36,40),0)/100)))+1)),0)</f>
        <v/>
      </c>
      <c r="S1181">
        <f>IFERROR(O1181/N1181,0)</f>
        <v/>
      </c>
      <c r="T1181">
        <f>IF(C1181,(H1181*N1181*IF(AND(Inputs!$B$38&lt;&gt;"pvp",Inputs!$B$43&gt;0),((Skills!G6*((R1181-1)*IF(Skills!H6&gt;0,INT(Skills!I6/Skills!H6+0.000000001),1)+IF(Skills!H6&gt;0,INT(MIN(Skills!I6,MAX(0,MAX(0,Inputs!$B$43-B1213)-((R1181-1)*(IF(Inputs!$B$38="pvp",15,MAX(0.1,Skills!D6-IF(TRUE=TRUE,Inputs!$B$32,0)))*(1-IF(AND(ArtifactsInput!$M$27,Inputs!$B$4="Chapter Hunt"),CHOOSE(ArtifactsInput!$N$27+1,20,24,28,32,36,40),0)/100)))))/Skills!H6+0.000000001),1)))/Inputs!$B$43),G1181*Q1181))*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Hunt"),CHOOSE(ArtifactsInput!$N$35+1,15,18,21,24,27,30)*(1-EXP(-(0.2*B1208)*5)),0)+IF(AND(ArtifactsInput!$M$22,Inputs!$B$4&lt;&gt;"Chapter Hunt"),CHOOSE(ArtifactsInput!$N$22+1,10,12,14,16,18,20)*((0*(((0.15*B1208*5))^0/1)+1*(((0.15*B1208*5))^1/1)+2*(((0.15*B1208*5))^2/2)+3*(((0.15*B1208*5))^3/6)+4*(((0.15*B1208*5))^4/24)+5*(((0.15*B1208*5))^5/120))/((((0.15*B1208*5))^0/1)+(((0.15*B1208*5))^1/1)+(((0.15*B1208*5))^2/2)+(((0.15*B1208*5))^3/6)+(((0.15*B1208*5))^4/24)+(((0.15*B1208*5))^5/120))),0))+IF(Inputs!$B$3&gt;=54,9*(C1178=TRUE)*MIN(1,8*(1+Inputs!$B$34/100)*Q1178)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1181*(1-MIN(100,(Inputs!$B$9+((C1194=TRUE)*(F1194-Calc!F19))+B1206+(ArtifactsInput!$M$24-ArtifactsInput!$M$24)*CHOOSE(ArtifactsInput!$N$24+1,10,12,14,16,18,20)+(IF(AND(Inputs!$B$38&lt;&gt;"pvp",Inputs!$B$43=0),1,IF(IF(Inputs!$B$38="pvp",15,Inputs!$B$43)-(B1213)&lt;=0,1,MAX(0,IF(Inputs!$B$38="pvp",15,Inputs!$B$43)-MAX(5,B1213))/(IF(Inputs!$B$38="pvp",15,Inputs!$B$43)-(B1213))))*IF(AND(ArtifactsInput!$M$42,((Inputs!$B$9+((C1194=TRUE)*(F1194-Calc!F19))+B1206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1181*(MIN(100,(Inputs!$B$9+((C1194=TRUE)*(F1194-Calc!F19))+B1206+(ArtifactsInput!$M$24-ArtifactsInput!$M$24)*CHOOSE(ArtifactsInput!$N$24+1,10,12,14,16,18,20)+(IF(AND(Inputs!$B$38&lt;&gt;"pvp",Inputs!$B$43=0),1,IF(IF(Inputs!$B$38="pvp",15,Inputs!$B$43)-(B1213)&lt;=0,1,MAX(0,IF(Inputs!$B$38="pvp",15,Inputs!$B$43)-MAX(5,B1213))/(IF(Inputs!$B$38="pvp",15,Inputs!$B$43)-(B1213))))*IF(AND(ArtifactsInput!$M$42,((Inputs!$B$9+((C1194=TRUE)*(F1194-Calc!F19))+B1206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1181*(1-MIN(100,(Inputs!$B$9+((C1194=TRUE)*(F1194-Calc!F19))+B1206+(ArtifactsInput!$M$24-ArtifactsInput!$M$24)*CHOOSE(ArtifactsInput!$N$24+1,10,12,14,16,18,20)+(IF(AND(Inputs!$B$38&lt;&gt;"pvp",Inputs!$B$43=0),1,IF(IF(Inputs!$B$38="pvp",15,Inputs!$B$43)-(B1213)&lt;=0,1,MAX(0,IF(Inputs!$B$38="pvp",15,Inputs!$B$43)-MAX(5,B1213))/(IF(Inputs!$B$38="pvp",15,Inputs!$B$43)-(B1213))))*IF(AND(ArtifactsInput!$M$42,((Inputs!$B$9+((C1194=TRUE)*(F1194-Calc!F19))+B1206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1181*(MIN(100,(Inputs!$B$9+((C1194=TRUE)*(F1194-Calc!F19))+B1206+(ArtifactsInput!$M$24-ArtifactsInput!$M$24)*CHOOSE(ArtifactsInput!$N$24+1,10,12,14,16,18,20)+(IF(AND(Inputs!$B$38&lt;&gt;"pvp",Inputs!$B$43=0),1,IF(IF(Inputs!$B$38="pvp",15,Inputs!$B$43)-(B1213)&lt;=0,1,MAX(0,IF(Inputs!$B$38="pvp",15,Inputs!$B$43)-MAX(5,B1213))/(IF(Inputs!$B$38="pvp",15,Inputs!$B$43)-(B1213))))*IF(AND(ArtifactsInput!$M$42,((Inputs!$B$9+((C1194=TRUE)*(F1194-Calc!F19))+B1206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181">
        <f>IF(C1181,(H1181*N1181*IF(AND(Inputs!$B$38&lt;&gt;"pvp",Inputs!$B$43&gt;0),((Skills!G6*((R1181-1)*IF(Skills!H6&gt;0,INT(Skills!I6/Skills!H6+0.000000001),1)+IF(Skills!H6&gt;0,INT(MIN(Skills!I6,MAX(0,MAX(0,Inputs!$B$43-B1213)-((R1181-1)*(IF(Inputs!$B$38="pvp",15,MAX(0.1,Skills!D6-IF(TRUE=TRUE,Inputs!$B$32,0)))*(1-IF(AND(ArtifactsInput!$M$27,Inputs!$B$4="Chapter Hunt"),CHOOSE(ArtifactsInput!$N$27+1,20,24,28,32,36,40),0)/100)))))/Skills!H6+0.000000001),1)))/Inputs!$B$43),G1181*Q1181))*IF(Inputs!$B$38="pvp",1,(1+(Inputs!$B$21+Skills!Q6+(IF(ArtifactsInput!$M$33,CHOOSE(ArtifactsInput!$N$33+1,30,36,42,48,54,60),0))+(IF(AND(ArtifactsInput!$M$35,Inputs!$B$4&lt;&gt;"Chapter Hunt"),CHOOSE(ArtifactsInput!$N$35+1,15,18,21,24,27,30)*(1-EXP(-(0.2*B1208)*5)),0)+IF(AND(ArtifactsInput!$M$22,Inputs!$B$4&lt;&gt;"Chapter Hunt"),CHOOSE(ArtifactsInput!$N$22+1,10,12,14,16,18,20)*((0*(((0.15*B1208*5))^0/1)+1*(((0.15*B1208*5))^1/1)+2*(((0.15*B1208*5))^2/2)+3*(((0.15*B1208*5))^3/6)+4*(((0.15*B1208*5))^4/24)+5*(((0.15*B1208*5))^5/120))/((((0.15*B1208*5))^0/1)+(((0.15*B1208*5))^1/1)+(((0.15*B1208*5))^2/2)+(((0.15*B1208*5))^3/6)+(((0.15*B1208*5))^4/24)+(((0.15*B1208*5))^5/120))),0))+IF(Inputs!$B$3&gt;=54,9*(C1178=TRUE)*MIN(1,8*(1+Inputs!$B$34/100)*Q1178),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82">
      <c r="A1182">
        <f>Skills!A7</f>
        <v/>
      </c>
      <c r="B1182">
        <f>Skills!B7</f>
        <v/>
      </c>
      <c r="C1182">
        <f>Inputs!$B$3&gt;=63</f>
        <v/>
      </c>
      <c r="D1182">
        <f>IF(Skills!C7=1,60+Inputs!$B$25+Inputs!$B$29,IF(Skills!C7=2,90+Inputs!$B$26+Inputs!$B$29,IF(Skills!C7=3,120+Inputs!$B$27+Inputs!$B$29,MAX(0,(Inputs!$B$3-100)*3)+Inputs!$B$28+Inputs!$B$29)))</f>
        <v/>
      </c>
      <c r="E1182">
        <f>INDEX(FactorTable!$B$2:$Y$301, MATCH(ROUND(MIN(300,MAX(1,D1182)),0), FactorTable!$A$2:$A$301,0), Skills!M7+1)</f>
        <v/>
      </c>
      <c r="F1182">
        <f>IF(Skills!N7=TRUE,(Skills!L7/10)*(E1182/1000),Skills!L7/10)+Skills!O7</f>
        <v/>
      </c>
      <c r="G1182">
        <f>Skills!G7*IF(Skills!H7&gt;0,INT(IF(Inputs!$B$38="pvp",MIN(Skills!I7,15),Skills!I7)/Skills!H7+0.000000001),1)</f>
        <v/>
      </c>
      <c r="H1182">
        <f>1-(1-Skills!J7/100)^Skills!K7</f>
        <v/>
      </c>
      <c r="I1182" t="inlineStr">
        <is>
          <t>1</t>
        </is>
      </c>
      <c r="J1182">
        <f>((Inputs!$B$6*(1+Inputs!$B$7/100))+(((Inputs!$B$12*(1+Inputs!$B$13/100))-(Inputs!$B$12*(1+Inputs!$B$13/100)))+0.25*(Inputs!$B$14-Inputs!$B$14))*(1+Inputs!$B$7/100))*(F1182/100)</f>
        <v/>
      </c>
      <c r="K1182">
        <f>J1182*(1+((Inputs!$B$12*(1+Inputs!$B$13/100))*0.01+Inputs!$B$14*0.0025)/100)*(1+Inputs!$B$15/100)*(1+Inputs!$B$16/100)*(5000/(6000+Inputs!$B$42*(1-(100*(1-(1-(Inputs!$B$19+0)/100)*(1-CHOOSE(ArtifactsInput!$N$40+1,5,6,7,8,9,10)/100)^(ArtifactsInput!$M$40-ArtifactsInput!$M$40)))/100)))*(1+(Inputs!$B$24+((C1201=TRUE)*(F1201-Calc!F26))+B1212)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1190=TRUE,F1190,0)/100)*(1+(IF(Skills!A7="EIGHT_LEGS_EASTON",Inputs!$B$17+((C1198=TRUE)*(F1198-Calc!F23))+((C1202=TRUE)*(F1202-Calc!F27))+((IF(AND(Inputs!$B$38&lt;&gt;"pvp",Inputs!$B$43=0),1,IF(IF(Inputs!$B$38="pvp",15,Inputs!$B$43)-(B1213)&lt;=0,1,MAX(0,IF(Inputs!$B$38="pvp",15,Inputs!$B$43)-MAX(5,B1213))/(IF(Inputs!$B$38="pvp",15,Inputs!$B$43)-(B1213))))*(IF(AND(ArtifactsInput!$M$42,((Inputs!$B$9+((C1194=TRUE)*(F1194-Calc!F19))+B1206+(ArtifactsInput!$M$24-ArtifactsInput!$M$24)*CHOOSE(ArtifactsInput!$N$24+1,10,12,14,16,18,20)+IF(ArtifactsInput!$M$10,CHOOSE(ArtifactsInput!$N$10+1,15,18,21,24,27,30)*(IF(Inputs!$B$38="pvp",MIN(15,15)/15,IF(AND(Inputs!$B$38&lt;&gt;"pvp",Inputs!$B$43&gt;0),MIN(15,Inputs!$B$43)/(Inputs!$B$43),0))),0)))&gt;=100),MIN(100,((Inputs!$B$9+((C1194=TRUE)*(F1194-Calc!F19))+B1206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1213)&lt;=0,1,MAX(0,IF(Inputs!$B$38="pvp",15,Inputs!$B$43)-MAX(5,B1213))/(IF(Inputs!$B$38="pvp",15,Inputs!$B$43)-(B1213))))*IF(AND(ArtifactsInput!$M$42,((Inputs!$B$9+((C1194=TRUE)*(F1194-Calc!F19))+B1206+(ArtifactsInput!$M$24-ArtifactsInput!$M$24)*CHOOSE(ArtifactsInput!$N$24+1,10,12,14,16,18,20)+IF(ArtifactsInput!$M$10,CHOOSE(ArtifactsInput!$N$10+1,15,18,21,24,27,30)*(IF(Inputs!$B$38="pvp",MIN(15,15)/15,IF(AND(Inputs!$B$38&lt;&gt;"pvp",Inputs!$B$43&gt;0),MIN(15,Inputs!$B$43)/(Inputs!$B$43),0))),0)))&gt;=100),CHOOSE(ArtifactsInput!$N$42+1,40,48,56,64,72,80),0))))/100)*((1+(((C1192=TRUE)*F1192*5/7)+((C1199=TRUE)*(F1199-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1182)</f>
        <v/>
      </c>
      <c r="L1182">
        <f>K1182*(MIN(Inputs!$B$22+((C1197=TRUE)*(F1197-Calc!F22)),(Inputs!$B$23+0+(IF(ArtifactsInput!$M$15,CHOOSE(ArtifactsInput!$N$15+1,25,30,35,40,45,50)/100*(Inputs!$B$11-Inputs!$B$11),0))))/100+(Inputs!$B$23+0+(IF(ArtifactsInput!$M$15,CHOOSE(ArtifactsInput!$N$15+1,25,30,35,40,45,50)/100*(Inputs!$B$11-Inputs!$B$11),0)))/100)/2</f>
        <v/>
      </c>
      <c r="M1182">
        <f>L1182*(1+(Inputs!$B$10+((C1200=TRUE)*(F1200-Calc!F25))+B1211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82">
        <f>L1182*(1-MIN((Inputs!$B$9+((C1194=TRUE)*(F1194-Calc!F19))+B1206+(ArtifactsInput!$M$24-ArtifactsInput!$M$24)*CHOOSE(ArtifactsInput!$N$24+1,10,12,14,16,18,20)+(IF(AND(Inputs!$B$38&lt;&gt;"pvp",Inputs!$B$43=0),1,IF(IF(Inputs!$B$38="pvp",15,Inputs!$B$43)-(B1213)&lt;=0,1,MAX(0,IF(Inputs!$B$38="pvp",15,Inputs!$B$43)-MAX(5,B1213))/(IF(Inputs!$B$38="pvp",15,Inputs!$B$43)-(B1213))))*IF(AND(ArtifactsInput!$M$42,((Inputs!$B$9+((C1194=TRUE)*(F1194-Calc!F19))+B1206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1182*(MIN((Inputs!$B$9+((C1194=TRUE)*(F1194-Calc!F19))+B1206+(ArtifactsInput!$M$24-ArtifactsInput!$M$24)*CHOOSE(ArtifactsInput!$N$24+1,10,12,14,16,18,20)+(IF(AND(Inputs!$B$38&lt;&gt;"pvp",Inputs!$B$43=0),1,IF(IF(Inputs!$B$38="pvp",15,Inputs!$B$43)-(B1213)&lt;=0,1,MAX(0,IF(Inputs!$B$38="pvp",15,Inputs!$B$43)-MAX(5,B1213))/(IF(Inputs!$B$38="pvp",15,Inputs!$B$43)-(B1213))))*IF(AND(ArtifactsInput!$M$42,((Inputs!$B$9+((C1194=TRUE)*(F1194-Calc!F19))+B1206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82">
        <f>(1-Summary!$B$11)*T1182+Summary!$B$11*V1182</f>
        <v/>
      </c>
      <c r="P1182">
        <f>IF(B1216=0,0,O1182/B1216)</f>
        <v/>
      </c>
      <c r="Q1182">
        <f>IFERROR(1/(IF(Inputs!$B$38="pvp",15,MAX(0.1,Skills!D7-IF(TRUE=TRUE,Inputs!$B$32,0)))*(1-IF(AND(ArtifactsInput!$M$27,Inputs!$B$4="Chapter Hunt"),CHOOSE(ArtifactsInput!$N$27+1,20,24,28,32,36,40),0)/100)),0)</f>
        <v/>
      </c>
      <c r="R1182">
        <f>IF(AND(Inputs!$B$38&lt;&gt;"pvp",Inputs!$B$43&gt;0),IF(MAX(0,Inputs!$B$43-B1213)&lt;=0,0,(INT(MAX(0,Inputs!$B$43-B1213)/(IF(Inputs!$B$38="pvp",15,MAX(0.1,Skills!D7-IF(TRUE=TRUE,Inputs!$B$32,0)))*(1-IF(AND(ArtifactsInput!$M$27,Inputs!$B$4="Chapter Hunt"),CHOOSE(ArtifactsInput!$N$27+1,20,24,28,32,36,40),0)/100)))+1)),0)</f>
        <v/>
      </c>
      <c r="S1182">
        <f>IFERROR(O1182/N1182,0)</f>
        <v/>
      </c>
      <c r="T1182">
        <f>IF(C1182,(H1182*N1182*IF(AND(Inputs!$B$38&lt;&gt;"pvp",Inputs!$B$43&gt;0),((Skills!G7*((R1182-1)*IF(Skills!H7&gt;0,INT(Skills!I7/Skills!H7+0.000000001),1)+IF(Skills!H7&gt;0,INT(MIN(Skills!I7,MAX(0,MAX(0,Inputs!$B$43-B1213)-((R1182-1)*(IF(Inputs!$B$38="pvp",15,MAX(0.1,Skills!D7-IF(TRUE=TRUE,Inputs!$B$32,0)))*(1-IF(AND(ArtifactsInput!$M$27,Inputs!$B$4="Chapter Hunt"),CHOOSE(ArtifactsInput!$N$27+1,20,24,28,32,36,40),0)/100)))))/Skills!H7+0.000000001),1)))/Inputs!$B$43),G1182*Q1182))*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Hunt"),CHOOSE(ArtifactsInput!$N$35+1,15,18,21,24,27,30)*(1-EXP(-(0.2*B1208)*5)),0)+IF(AND(ArtifactsInput!$M$22,Inputs!$B$4&lt;&gt;"Chapter Hunt"),CHOOSE(ArtifactsInput!$N$22+1,10,12,14,16,18,20)*((0*(((0.15*B1208*5))^0/1)+1*(((0.15*B1208*5))^1/1)+2*(((0.15*B1208*5))^2/2)+3*(((0.15*B1208*5))^3/6)+4*(((0.15*B1208*5))^4/24)+5*(((0.15*B1208*5))^5/120))/((((0.15*B1208*5))^0/1)+(((0.15*B1208*5))^1/1)+(((0.15*B1208*5))^2/2)+(((0.15*B1208*5))^3/6)+(((0.15*B1208*5))^4/24)+(((0.15*B1208*5))^5/120))),0))+IF(Inputs!$B$3&gt;=54,9*(C1178=TRUE)*MIN(1,8*(1+Inputs!$B$34/100)*Q1178)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1182*(1-MIN(100,(Inputs!$B$9+((C1194=TRUE)*(F1194-Calc!F19))+B1206+(ArtifactsInput!$M$24-ArtifactsInput!$M$24)*CHOOSE(ArtifactsInput!$N$24+1,10,12,14,16,18,20)+(IF(AND(Inputs!$B$38&lt;&gt;"pvp",Inputs!$B$43=0),1,IF(IF(Inputs!$B$38="pvp",15,Inputs!$B$43)-(B1213)&lt;=0,1,MAX(0,IF(Inputs!$B$38="pvp",15,Inputs!$B$43)-MAX(5,B1213))/(IF(Inputs!$B$38="pvp",15,Inputs!$B$43)-(B1213))))*IF(AND(ArtifactsInput!$M$42,((Inputs!$B$9+((C1194=TRUE)*(F1194-Calc!F19))+B1206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1182*(MIN(100,(Inputs!$B$9+((C1194=TRUE)*(F1194-Calc!F19))+B1206+(ArtifactsInput!$M$24-ArtifactsInput!$M$24)*CHOOSE(ArtifactsInput!$N$24+1,10,12,14,16,18,20)+(IF(AND(Inputs!$B$38&lt;&gt;"pvp",Inputs!$B$43=0),1,IF(IF(Inputs!$B$38="pvp",15,Inputs!$B$43)-(B1213)&lt;=0,1,MAX(0,IF(Inputs!$B$38="pvp",15,Inputs!$B$43)-MAX(5,B1213))/(IF(Inputs!$B$38="pvp",15,Inputs!$B$43)-(B1213))))*IF(AND(ArtifactsInput!$M$42,((Inputs!$B$9+((C1194=TRUE)*(F1194-Calc!F19))+B1206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1182*(1-MIN(100,(Inputs!$B$9+((C1194=TRUE)*(F1194-Calc!F19))+B1206+(ArtifactsInput!$M$24-ArtifactsInput!$M$24)*CHOOSE(ArtifactsInput!$N$24+1,10,12,14,16,18,20)+(IF(AND(Inputs!$B$38&lt;&gt;"pvp",Inputs!$B$43=0),1,IF(IF(Inputs!$B$38="pvp",15,Inputs!$B$43)-(B1213)&lt;=0,1,MAX(0,IF(Inputs!$B$38="pvp",15,Inputs!$B$43)-MAX(5,B1213))/(IF(Inputs!$B$38="pvp",15,Inputs!$B$43)-(B1213))))*IF(AND(ArtifactsInput!$M$42,((Inputs!$B$9+((C1194=TRUE)*(F1194-Calc!F19))+B1206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1182*(MIN(100,(Inputs!$B$9+((C1194=TRUE)*(F1194-Calc!F19))+B1206+(ArtifactsInput!$M$24-ArtifactsInput!$M$24)*CHOOSE(ArtifactsInput!$N$24+1,10,12,14,16,18,20)+(IF(AND(Inputs!$B$38&lt;&gt;"pvp",Inputs!$B$43=0),1,IF(IF(Inputs!$B$38="pvp",15,Inputs!$B$43)-(B1213)&lt;=0,1,MAX(0,IF(Inputs!$B$38="pvp",15,Inputs!$B$43)-MAX(5,B1213))/(IF(Inputs!$B$38="pvp",15,Inputs!$B$43)-(B1213))))*IF(AND(ArtifactsInput!$M$42,((Inputs!$B$9+((C1194=TRUE)*(F1194-Calc!F19))+B1206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182">
        <f>IF(C1182,(H1182*N1182*IF(AND(Inputs!$B$38&lt;&gt;"pvp",Inputs!$B$43&gt;0),((Skills!G7*((R1182-1)*IF(Skills!H7&gt;0,INT(Skills!I7/Skills!H7+0.000000001),1)+IF(Skills!H7&gt;0,INT(MIN(Skills!I7,MAX(0,MAX(0,Inputs!$B$43-B1213)-((R1182-1)*(IF(Inputs!$B$38="pvp",15,MAX(0.1,Skills!D7-IF(TRUE=TRUE,Inputs!$B$32,0)))*(1-IF(AND(ArtifactsInput!$M$27,Inputs!$B$4="Chapter Hunt"),CHOOSE(ArtifactsInput!$N$27+1,20,24,28,32,36,40),0)/100)))))/Skills!H7+0.000000001),1)))/Inputs!$B$43),G1182*Q1182))*IF(Inputs!$B$38="pvp",1,(1+(Inputs!$B$21+Skills!Q7+(IF(ArtifactsInput!$M$33,CHOOSE(ArtifactsInput!$N$33+1,30,36,42,48,54,60),0))+(IF(AND(ArtifactsInput!$M$35,Inputs!$B$4&lt;&gt;"Chapter Hunt"),CHOOSE(ArtifactsInput!$N$35+1,15,18,21,24,27,30)*(1-EXP(-(0.2*B1208)*5)),0)+IF(AND(ArtifactsInput!$M$22,Inputs!$B$4&lt;&gt;"Chapter Hunt"),CHOOSE(ArtifactsInput!$N$22+1,10,12,14,16,18,20)*((0*(((0.15*B1208*5))^0/1)+1*(((0.15*B1208*5))^1/1)+2*(((0.15*B1208*5))^2/2)+3*(((0.15*B1208*5))^3/6)+4*(((0.15*B1208*5))^4/24)+5*(((0.15*B1208*5))^5/120))/((((0.15*B1208*5))^0/1)+(((0.15*B1208*5))^1/1)+(((0.15*B1208*5))^2/2)+(((0.15*B1208*5))^3/6)+(((0.15*B1208*5))^4/24)+(((0.15*B1208*5))^5/120))),0))+IF(Inputs!$B$3&gt;=54,9*(C1178=TRUE)*MIN(1,8*(1+Inputs!$B$34/100)*Q1178),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83">
      <c r="A1183">
        <f>Skills!A8</f>
        <v/>
      </c>
      <c r="B1183">
        <f>Skills!B8</f>
        <v/>
      </c>
      <c r="C1183">
        <f>Inputs!$B$3&gt;=103</f>
        <v/>
      </c>
      <c r="D1183">
        <f>IF(Skills!C8=1,60+Inputs!$B$25+Inputs!$B$29,IF(Skills!C8=2,90+Inputs!$B$26+Inputs!$B$29,IF(Skills!C8=3,120+Inputs!$B$27+Inputs!$B$29,MAX(0,(Inputs!$B$3-100)*3)+Inputs!$B$28+Inputs!$B$29)))</f>
        <v/>
      </c>
      <c r="E1183">
        <f>INDEX(FactorTable!$B$2:$Y$301, MATCH(ROUND(MIN(300,MAX(1,D1183)),0), FactorTable!$A$2:$A$301,0), Skills!M8+1)</f>
        <v/>
      </c>
      <c r="F1183">
        <f>IF(Skills!N8=TRUE,(Skills!L8/10)*(E1183/1000),Skills!L8/10)+Skills!O8</f>
        <v/>
      </c>
      <c r="G1183">
        <f>Skills!G8*IF(Skills!H8&gt;0,INT(IF(Inputs!$B$38="pvp",MIN(Skills!I8,15),Skills!I8)/Skills!H8+0.000000001),1)</f>
        <v/>
      </c>
      <c r="H1183">
        <f>1-(1-Skills!J8/100)^Skills!K8</f>
        <v/>
      </c>
      <c r="I1183" t="inlineStr">
        <is>
          <t>1</t>
        </is>
      </c>
      <c r="J1183">
        <f>((Inputs!$B$6*(1+Inputs!$B$7/100))+(((Inputs!$B$12*(1+Inputs!$B$13/100))-(Inputs!$B$12*(1+Inputs!$B$13/100)))+0.25*(Inputs!$B$14-Inputs!$B$14))*(1+Inputs!$B$7/100))*(F1183/100)</f>
        <v/>
      </c>
      <c r="K1183">
        <f>J1183*(1+((Inputs!$B$12*(1+Inputs!$B$13/100))*0.01+Inputs!$B$14*0.0025)/100)*(1+Inputs!$B$15/100)*(1+Inputs!$B$16/100)*(5000/(6000+Inputs!$B$42*(1-(100*(1-(1-(Inputs!$B$19+0)/100)*(1-CHOOSE(ArtifactsInput!$N$40+1,5,6,7,8,9,10)/100)^(ArtifactsInput!$M$40-ArtifactsInput!$M$40)))/100)))*(1+(Inputs!$B$24+((C1201=TRUE)*(F1201-Calc!F26))+B1212)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IGHT_LEGS_EASTON",Inputs!$B$17+((C1198=TRUE)*(F1198-Calc!F23))+((C1202=TRUE)*(F1202-Calc!F27))+((IF(AND(Inputs!$B$38&lt;&gt;"pvp",Inputs!$B$43=0),1,IF(IF(Inputs!$B$38="pvp",15,Inputs!$B$43)-(B1213)&lt;=0,1,MAX(0,IF(Inputs!$B$38="pvp",15,Inputs!$B$43)-MAX(5,B1213))/(IF(Inputs!$B$38="pvp",15,Inputs!$B$43)-(B1213))))*(IF(AND(ArtifactsInput!$M$42,((Inputs!$B$9+((C1194=TRUE)*(F1194-Calc!F19))+B1206+(ArtifactsInput!$M$24-ArtifactsInput!$M$24)*CHOOSE(ArtifactsInput!$N$24+1,10,12,14,16,18,20)+IF(ArtifactsInput!$M$10,CHOOSE(ArtifactsInput!$N$10+1,15,18,21,24,27,30)*(IF(Inputs!$B$38="pvp",MIN(15,15)/15,IF(AND(Inputs!$B$38&lt;&gt;"pvp",Inputs!$B$43&gt;0),MIN(15,Inputs!$B$43)/(Inputs!$B$43),0))),0)))&gt;=100),MIN(100,((Inputs!$B$9+((C1194=TRUE)*(F1194-Calc!F19))+B1206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1213)&lt;=0,1,MAX(0,IF(Inputs!$B$38="pvp",15,Inputs!$B$43)-MAX(5,B1213))/(IF(Inputs!$B$38="pvp",15,Inputs!$B$43)-(B1213))))*IF(AND(ArtifactsInput!$M$42,((Inputs!$B$9+((C1194=TRUE)*(F1194-Calc!F19))+B1206+(ArtifactsInput!$M$24-ArtifactsInput!$M$24)*CHOOSE(ArtifactsInput!$N$24+1,10,12,14,16,18,20)+IF(ArtifactsInput!$M$10,CHOOSE(ArtifactsInput!$N$10+1,15,18,21,24,27,30)*(IF(Inputs!$B$38="pvp",MIN(15,15)/15,IF(AND(Inputs!$B$38&lt;&gt;"pvp",Inputs!$B$43&gt;0),MIN(15,Inputs!$B$43)/(Inputs!$B$43),0))),0)))&gt;=100),CHOOSE(ArtifactsInput!$N$42+1,40,48,56,64,72,80),0))))/100)*((1+(((C1192=TRUE)*F1192*5/7)+((C1199=TRUE)*(F1199-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1183)</f>
        <v/>
      </c>
      <c r="L1183">
        <f>K1183*(MIN(Inputs!$B$22+((C1197=TRUE)*(F1197-Calc!F22)),(Inputs!$B$23+0+(IF(ArtifactsInput!$M$15,CHOOSE(ArtifactsInput!$N$15+1,25,30,35,40,45,50)/100*(Inputs!$B$11-Inputs!$B$11),0))))/100+(Inputs!$B$23+0+(IF(ArtifactsInput!$M$15,CHOOSE(ArtifactsInput!$N$15+1,25,30,35,40,45,50)/100*(Inputs!$B$11-Inputs!$B$11),0)))/100)/2</f>
        <v/>
      </c>
      <c r="M1183">
        <f>L1183*(1+(Inputs!$B$10+((C1200=TRUE)*(F1200-Calc!F25))+B1211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83">
        <f>L1183*(1-MIN((Inputs!$B$9+((C1194=TRUE)*(F1194-Calc!F19))+B1206+(ArtifactsInput!$M$24-ArtifactsInput!$M$24)*CHOOSE(ArtifactsInput!$N$24+1,10,12,14,16,18,20)+(IF(AND(Inputs!$B$38&lt;&gt;"pvp",Inputs!$B$43=0),1,IF(IF(Inputs!$B$38="pvp",15,Inputs!$B$43)-(B1213)&lt;=0,1,MAX(0,IF(Inputs!$B$38="pvp",15,Inputs!$B$43)-MAX(5,B1213))/(IF(Inputs!$B$38="pvp",15,Inputs!$B$43)-(B1213))))*IF(AND(ArtifactsInput!$M$42,((Inputs!$B$9+((C1194=TRUE)*(F1194-Calc!F19))+B1206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1183*(MIN((Inputs!$B$9+((C1194=TRUE)*(F1194-Calc!F19))+B1206+(ArtifactsInput!$M$24-ArtifactsInput!$M$24)*CHOOSE(ArtifactsInput!$N$24+1,10,12,14,16,18,20)+(IF(AND(Inputs!$B$38&lt;&gt;"pvp",Inputs!$B$43=0),1,IF(IF(Inputs!$B$38="pvp",15,Inputs!$B$43)-(B1213)&lt;=0,1,MAX(0,IF(Inputs!$B$38="pvp",15,Inputs!$B$43)-MAX(5,B1213))/(IF(Inputs!$B$38="pvp",15,Inputs!$B$43)-(B1213))))*IF(AND(ArtifactsInput!$M$42,((Inputs!$B$9+((C1194=TRUE)*(F1194-Calc!F19))+B1206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83">
        <f>(1-Summary!$B$11)*T1183+Summary!$B$11*V1183</f>
        <v/>
      </c>
      <c r="P1183">
        <f>IF(B1216=0,0,O1183/B1216)</f>
        <v/>
      </c>
      <c r="Q1183">
        <f>IFERROR(1/((IF(Inputs!$B$38="pvp",15,MAX(0.1,Skills!D8-IF(TRUE=TRUE,Inputs!$B$32,0)))*(1-IF(AND(ArtifactsInput!$M$27,Inputs!$B$4="Chapter Hunt"),CHOOSE(ArtifactsInput!$N$27+1,20,24,28,32,36,40),0)/100))/B1217),0)</f>
        <v/>
      </c>
      <c r="R1183">
        <f>IF(AND(Inputs!$B$38&lt;&gt;"pvp",Inputs!$B$43&gt;0),IF(MAX(0,Inputs!$B$43-B1213)&lt;=0,0,(INT(MAX(0,Inputs!$B$43-B1213)/((IF(Inputs!$B$38="pvp",15,MAX(0.1,Skills!D8-IF(TRUE=TRUE,Inputs!$B$32,0)))*(1-IF(AND(ArtifactsInput!$M$27,Inputs!$B$4="Chapter Hunt"),CHOOSE(ArtifactsInput!$N$27+1,20,24,28,32,36,40),0)/100))/B1217))+1)),0)</f>
        <v/>
      </c>
      <c r="S1183">
        <f>IFERROR(O1183/N1183,0)</f>
        <v/>
      </c>
      <c r="T1183">
        <f>IF(C1183,(H1183*N1183*IF(AND(Inputs!$B$38&lt;&gt;"pvp",Inputs!$B$43&gt;0),((Skills!G8*((R1183-1)*IF(Skills!H8&gt;0,INT(Skills!I8/Skills!H8+0.000000001),1)+IF(Skills!H8&gt;0,INT(MIN(Skills!I8,MAX(0,MAX(0,Inputs!$B$43-B1213)-((R1183-1)*((IF(Inputs!$B$38="pvp",15,MAX(0.1,Skills!D8-IF(TRUE=TRUE,Inputs!$B$32,0)))*(1-IF(AND(ArtifactsInput!$M$27,Inputs!$B$4="Chapter Hunt"),CHOOSE(ArtifactsInput!$N$27+1,20,24,28,32,36,40),0)/100))/B1217))))/Skills!H8+0.000000001),1)))/Inputs!$B$43),G1183*Q1183))*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Hunt"),CHOOSE(ArtifactsInput!$N$35+1,15,18,21,24,27,30)*(1-EXP(-(0.2*B1208)*5)),0)+IF(AND(ArtifactsInput!$M$22,Inputs!$B$4&lt;&gt;"Chapter Hunt"),CHOOSE(ArtifactsInput!$N$22+1,10,12,14,16,18,20)*((0*(((0.15*B1208*5))^0/1)+1*(((0.15*B1208*5))^1/1)+2*(((0.15*B1208*5))^2/2)+3*(((0.15*B1208*5))^3/6)+4*(((0.15*B1208*5))^4/24)+5*(((0.15*B1208*5))^5/120))/((((0.15*B1208*5))^0/1)+(((0.15*B1208*5))^1/1)+(((0.15*B1208*5))^2/2)+(((0.15*B1208*5))^3/6)+(((0.15*B1208*5))^4/24)+(((0.15*B1208*5))^5/120))),0))+IF(Inputs!$B$3&gt;=54,9*(C1178=TRUE)*MIN(1,8*(1+Inputs!$B$34/100)*Q1178)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1183*(1-MIN(100,(Inputs!$B$9+((C1194=TRUE)*(F1194-Calc!F19))+B1206+(ArtifactsInput!$M$24-ArtifactsInput!$M$24)*CHOOSE(ArtifactsInput!$N$24+1,10,12,14,16,18,20)+(IF(AND(Inputs!$B$38&lt;&gt;"pvp",Inputs!$B$43=0),1,IF(IF(Inputs!$B$38="pvp",15,Inputs!$B$43)-(B1213)&lt;=0,1,MAX(0,IF(Inputs!$B$38="pvp",15,Inputs!$B$43)-MAX(5,B1213))/(IF(Inputs!$B$38="pvp",15,Inputs!$B$43)-(B1213))))*IF(AND(ArtifactsInput!$M$42,((Inputs!$B$9+((C1194=TRUE)*(F1194-Calc!F19))+B1206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1183*(MIN(100,(Inputs!$B$9+((C1194=TRUE)*(F1194-Calc!F19))+B1206+(ArtifactsInput!$M$24-ArtifactsInput!$M$24)*CHOOSE(ArtifactsInput!$N$24+1,10,12,14,16,18,20)+(IF(AND(Inputs!$B$38&lt;&gt;"pvp",Inputs!$B$43=0),1,IF(IF(Inputs!$B$38="pvp",15,Inputs!$B$43)-(B1213)&lt;=0,1,MAX(0,IF(Inputs!$B$38="pvp",15,Inputs!$B$43)-MAX(5,B1213))/(IF(Inputs!$B$38="pvp",15,Inputs!$B$43)-(B1213))))*IF(AND(ArtifactsInput!$M$42,((Inputs!$B$9+((C1194=TRUE)*(F1194-Calc!F19))+B1206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1183*(1-MIN(100,(Inputs!$B$9+((C1194=TRUE)*(F1194-Calc!F19))+B1206+(ArtifactsInput!$M$24-ArtifactsInput!$M$24)*CHOOSE(ArtifactsInput!$N$24+1,10,12,14,16,18,20)+(IF(AND(Inputs!$B$38&lt;&gt;"pvp",Inputs!$B$43=0),1,IF(IF(Inputs!$B$38="pvp",15,Inputs!$B$43)-(B1213)&lt;=0,1,MAX(0,IF(Inputs!$B$38="pvp",15,Inputs!$B$43)-MAX(5,B1213))/(IF(Inputs!$B$38="pvp",15,Inputs!$B$43)-(B1213))))*IF(AND(ArtifactsInput!$M$42,((Inputs!$B$9+((C1194=TRUE)*(F1194-Calc!F19))+B1206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1183*(MIN(100,(Inputs!$B$9+((C1194=TRUE)*(F1194-Calc!F19))+B1206+(ArtifactsInput!$M$24-ArtifactsInput!$M$24)*CHOOSE(ArtifactsInput!$N$24+1,10,12,14,16,18,20)+(IF(AND(Inputs!$B$38&lt;&gt;"pvp",Inputs!$B$43=0),1,IF(IF(Inputs!$B$38="pvp",15,Inputs!$B$43)-(B1213)&lt;=0,1,MAX(0,IF(Inputs!$B$38="pvp",15,Inputs!$B$43)-MAX(5,B1213))/(IF(Inputs!$B$38="pvp",15,Inputs!$B$43)-(B1213))))*IF(AND(ArtifactsInput!$M$42,((Inputs!$B$9+((C1194=TRUE)*(F1194-Calc!F19))+B1206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183">
        <f>IF(C1183,(H1183*N1183*IF(AND(Inputs!$B$38&lt;&gt;"pvp",Inputs!$B$43&gt;0),((Skills!G8*((R1183-1)*IF(Skills!H8&gt;0,INT(Skills!I8/Skills!H8+0.000000001),1)+IF(Skills!H8&gt;0,INT(MIN(Skills!I8,MAX(0,MAX(0,Inputs!$B$43-B1213)-((R1183-1)*((IF(Inputs!$B$38="pvp",15,MAX(0.1,Skills!D8-IF(TRUE=TRUE,Inputs!$B$32,0)))*(1-IF(AND(ArtifactsInput!$M$27,Inputs!$B$4="Chapter Hunt"),CHOOSE(ArtifactsInput!$N$27+1,20,24,28,32,36,40),0)/100))/B1217))))/Skills!H8+0.000000001),1)))/Inputs!$B$43),G1183*Q1183))*IF(Inputs!$B$38="pvp",1,(1+(Inputs!$B$21+Skills!Q8+(IF(ArtifactsInput!$M$33,CHOOSE(ArtifactsInput!$N$33+1,30,36,42,48,54,60),0))+(IF(AND(ArtifactsInput!$M$35,Inputs!$B$4&lt;&gt;"Chapter Hunt"),CHOOSE(ArtifactsInput!$N$35+1,15,18,21,24,27,30)*(1-EXP(-(0.2*B1208)*5)),0)+IF(AND(ArtifactsInput!$M$22,Inputs!$B$4&lt;&gt;"Chapter Hunt"),CHOOSE(ArtifactsInput!$N$22+1,10,12,14,16,18,20)*((0*(((0.15*B1208*5))^0/1)+1*(((0.15*B1208*5))^1/1)+2*(((0.15*B1208*5))^2/2)+3*(((0.15*B1208*5))^3/6)+4*(((0.15*B1208*5))^4/24)+5*(((0.15*B1208*5))^5/120))/((((0.15*B1208*5))^0/1)+(((0.15*B1208*5))^1/1)+(((0.15*B1208*5))^2/2)+(((0.15*B1208*5))^3/6)+(((0.15*B1208*5))^4/24)+(((0.15*B1208*5))^5/120))),0))+IF(Inputs!$B$3&gt;=54,9*(C1178=TRUE)*MIN(1,8*(1+Inputs!$B$34/100)*Q1178),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84">
      <c r="A1184">
        <f>Skills!A9</f>
        <v/>
      </c>
      <c r="B1184">
        <f>Skills!B9</f>
        <v/>
      </c>
      <c r="C1184">
        <f>Inputs!$B$3&gt;=105</f>
        <v/>
      </c>
      <c r="D1184">
        <f>IF(Skills!C9=1,60+Inputs!$B$25+Inputs!$B$29,IF(Skills!C9=2,90+Inputs!$B$26+Inputs!$B$29,IF(Skills!C9=3,120+Inputs!$B$27+Inputs!$B$29,MAX(0,(Inputs!$B$3-100)*3)+Inputs!$B$28+Inputs!$B$29)))</f>
        <v/>
      </c>
      <c r="E1184">
        <f>INDEX(FactorTable!$B$2:$Y$301, MATCH(ROUND(MIN(300,MAX(1,D1184)),0), FactorTable!$A$2:$A$301,0), Skills!M9+1)</f>
        <v/>
      </c>
      <c r="F1184">
        <f>IF(Skills!N9=TRUE,(Skills!L9/10)*(E1184/1000),Skills!L9/10)+Skills!O9</f>
        <v/>
      </c>
      <c r="G1184">
        <f>Skills!G9*IF(Skills!H9&gt;0,INT(IF(Inputs!$B$38="pvp",MIN(Skills!I9,15),Skills!I9)/Skills!H9+0.000000001),1)</f>
        <v/>
      </c>
      <c r="H1184">
        <f>1-(1-Skills!J9/100)^Skills!K9</f>
        <v/>
      </c>
      <c r="I1184" t="inlineStr">
        <is>
          <t>1</t>
        </is>
      </c>
      <c r="J1184">
        <f>((Inputs!$B$6*(1+Inputs!$B$7/100))+(((Inputs!$B$12*(1+Inputs!$B$13/100))-(Inputs!$B$12*(1+Inputs!$B$13/100)))+0.25*(Inputs!$B$14-Inputs!$B$14))*(1+Inputs!$B$7/100))*(F1184/100)</f>
        <v/>
      </c>
      <c r="K1184">
        <f>J1184*(1+((Inputs!$B$12*(1+Inputs!$B$13/100))*0.01+Inputs!$B$14*0.0025)/100)*(1+Inputs!$B$15/100)*(1+Inputs!$B$16/100)*(5000/(6000+Inputs!$B$42*(1-(100*(1-(1-(Inputs!$B$19+0)/100)*(1-CHOOSE(ArtifactsInput!$N$40+1,5,6,7,8,9,10)/100)^(ArtifactsInput!$M$40-ArtifactsInput!$M$40)))/100)))*(1+(Inputs!$B$24+((C1201=TRUE)*(F1201-Calc!F26))+B1212)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IGHT_LEGS_EASTON",Inputs!$B$17+((C1198=TRUE)*(F1198-Calc!F23))+((C1202=TRUE)*(F1202-Calc!F27))+((IF(AND(Inputs!$B$38&lt;&gt;"pvp",Inputs!$B$43=0),1,IF(IF(Inputs!$B$38="pvp",15,Inputs!$B$43)-(B1213)&lt;=0,1,MAX(0,IF(Inputs!$B$38="pvp",15,Inputs!$B$43)-MAX(5,B1213))/(IF(Inputs!$B$38="pvp",15,Inputs!$B$43)-(B1213))))*(IF(AND(ArtifactsInput!$M$42,((Inputs!$B$9+((C1194=TRUE)*(F1194-Calc!F19))+B1206+(ArtifactsInput!$M$24-ArtifactsInput!$M$24)*CHOOSE(ArtifactsInput!$N$24+1,10,12,14,16,18,20)+IF(ArtifactsInput!$M$10,CHOOSE(ArtifactsInput!$N$10+1,15,18,21,24,27,30)*(IF(Inputs!$B$38="pvp",MIN(15,15)/15,IF(AND(Inputs!$B$38&lt;&gt;"pvp",Inputs!$B$43&gt;0),MIN(15,Inputs!$B$43)/(Inputs!$B$43),0))),0)))&gt;=100),MIN(100,((Inputs!$B$9+((C1194=TRUE)*(F1194-Calc!F19))+B1206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1213)&lt;=0,1,MAX(0,IF(Inputs!$B$38="pvp",15,Inputs!$B$43)-MAX(5,B1213))/(IF(Inputs!$B$38="pvp",15,Inputs!$B$43)-(B1213))))*IF(AND(ArtifactsInput!$M$42,((Inputs!$B$9+((C1194=TRUE)*(F1194-Calc!F19))+B1206+(ArtifactsInput!$M$24-ArtifactsInput!$M$24)*CHOOSE(ArtifactsInput!$N$24+1,10,12,14,16,18,20)+IF(ArtifactsInput!$M$10,CHOOSE(ArtifactsInput!$N$10+1,15,18,21,24,27,30)*(IF(Inputs!$B$38="pvp",MIN(15,15)/15,IF(AND(Inputs!$B$38&lt;&gt;"pvp",Inputs!$B$43&gt;0),MIN(15,Inputs!$B$43)/(Inputs!$B$43),0))),0)))&gt;=100),CHOOSE(ArtifactsInput!$N$42+1,40,48,56,64,72,80),0))))/100)*((1+(((C1192=TRUE)*F1192*5/7)+((C1199=TRUE)*(F1199-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1184)</f>
        <v/>
      </c>
      <c r="L1184">
        <f>K1184*(MIN(Inputs!$B$22+((C1197=TRUE)*(F1197-Calc!F22)),(Inputs!$B$23+0+(IF(ArtifactsInput!$M$15,CHOOSE(ArtifactsInput!$N$15+1,25,30,35,40,45,50)/100*(Inputs!$B$11-Inputs!$B$11),0))))/100+(Inputs!$B$23+0+(IF(ArtifactsInput!$M$15,CHOOSE(ArtifactsInput!$N$15+1,25,30,35,40,45,50)/100*(Inputs!$B$11-Inputs!$B$11),0)))/100)/2</f>
        <v/>
      </c>
      <c r="M1184">
        <f>L1184*(1+(Inputs!$B$10+((C1200=TRUE)*(F1200-Calc!F25))+B1211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84">
        <f>L1184*(1-MIN((Inputs!$B$9+((C1194=TRUE)*(F1194-Calc!F19))+B1206+(ArtifactsInput!$M$24-ArtifactsInput!$M$24)*CHOOSE(ArtifactsInput!$N$24+1,10,12,14,16,18,20)+(IF(AND(Inputs!$B$38&lt;&gt;"pvp",Inputs!$B$43=0),1,IF(IF(Inputs!$B$38="pvp",15,Inputs!$B$43)-(B1213)&lt;=0,1,MAX(0,IF(Inputs!$B$38="pvp",15,Inputs!$B$43)-MAX(5,B1213))/(IF(Inputs!$B$38="pvp",15,Inputs!$B$43)-(B1213))))*IF(AND(ArtifactsInput!$M$42,((Inputs!$B$9+((C1194=TRUE)*(F1194-Calc!F19))+B1206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1184*(MIN((Inputs!$B$9+((C1194=TRUE)*(F1194-Calc!F19))+B1206+(ArtifactsInput!$M$24-ArtifactsInput!$M$24)*CHOOSE(ArtifactsInput!$N$24+1,10,12,14,16,18,20)+(IF(AND(Inputs!$B$38&lt;&gt;"pvp",Inputs!$B$43=0),1,IF(IF(Inputs!$B$38="pvp",15,Inputs!$B$43)-(B1213)&lt;=0,1,MAX(0,IF(Inputs!$B$38="pvp",15,Inputs!$B$43)-MAX(5,B1213))/(IF(Inputs!$B$38="pvp",15,Inputs!$B$43)-(B1213))))*IF(AND(ArtifactsInput!$M$42,((Inputs!$B$9+((C1194=TRUE)*(F1194-Calc!F19))+B1206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84">
        <f>(1-Summary!$B$11)*T1184+Summary!$B$11*V1184</f>
        <v/>
      </c>
      <c r="P1184">
        <f>IF(B1216=0,0,O1184/B1216)</f>
        <v/>
      </c>
      <c r="Q1184">
        <f>IFERROR(1/(IF(Inputs!$B$38="pvp",15,MAX(0.1,Skills!D9-IF(TRUE=TRUE,Inputs!$B$32,0)))*(1-IF(AND(ArtifactsInput!$M$27,Inputs!$B$4="Chapter Hunt"),CHOOSE(ArtifactsInput!$N$27+1,20,24,28,32,36,40),0)/100)),0)</f>
        <v/>
      </c>
      <c r="R1184">
        <f>IF(AND(Inputs!$B$38&lt;&gt;"pvp",Inputs!$B$43&gt;0),IF(MAX(0,Inputs!$B$43-B1213)&lt;=0,0,(INT(MAX(0,Inputs!$B$43-B1213)/(IF(Inputs!$B$38="pvp",15,MAX(0.1,Skills!D9-IF(TRUE=TRUE,Inputs!$B$32,0)))*(1-IF(AND(ArtifactsInput!$M$27,Inputs!$B$4="Chapter Hunt"),CHOOSE(ArtifactsInput!$N$27+1,20,24,28,32,36,40),0)/100)))+1)),0)</f>
        <v/>
      </c>
      <c r="S1184">
        <f>IFERROR(O1184/N1184,0)</f>
        <v/>
      </c>
      <c r="T1184">
        <f>IF(C1184,(H1184*N1184*IF(AND(Inputs!$B$38&lt;&gt;"pvp",Inputs!$B$43&gt;0),((Skills!G9*((R1184-1)*IF(Skills!H9&gt;0,INT(Skills!I9/Skills!H9+0.000000001),1)+IF(Skills!H9&gt;0,INT(MIN(Skills!I9,MAX(0,MAX(0,Inputs!$B$43-B1213)-((R1184-1)*(IF(Inputs!$B$38="pvp",15,MAX(0.1,Skills!D9-IF(TRUE=TRUE,Inputs!$B$32,0)))*(1-IF(AND(ArtifactsInput!$M$27,Inputs!$B$4="Chapter Hunt"),CHOOSE(ArtifactsInput!$N$27+1,20,24,28,32,36,40),0)/100)))))/Skills!H9+0.000000001),1)))/Inputs!$B$43),G1184*Q1184))*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Hunt"),CHOOSE(ArtifactsInput!$N$35+1,15,18,21,24,27,30)*(1-EXP(-(0.2*B1208)*5)),0)+IF(AND(ArtifactsInput!$M$22,Inputs!$B$4&lt;&gt;"Chapter Hunt"),CHOOSE(ArtifactsInput!$N$22+1,10,12,14,16,18,20)*((0*(((0.15*B1208*5))^0/1)+1*(((0.15*B1208*5))^1/1)+2*(((0.15*B1208*5))^2/2)+3*(((0.15*B1208*5))^3/6)+4*(((0.15*B1208*5))^4/24)+5*(((0.15*B1208*5))^5/120))/((((0.15*B1208*5))^0/1)+(((0.15*B1208*5))^1/1)+(((0.15*B1208*5))^2/2)+(((0.15*B1208*5))^3/6)+(((0.15*B1208*5))^4/24)+(((0.15*B1208*5))^5/120))),0))+IF(Inputs!$B$3&gt;=54,9*(C1178=TRUE)*MIN(1,8*(1+Inputs!$B$34/100)*Q1178)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1184*(1-MIN(100,(Inputs!$B$9+((C1194=TRUE)*(F1194-Calc!F19))+B1206+(ArtifactsInput!$M$24-ArtifactsInput!$M$24)*CHOOSE(ArtifactsInput!$N$24+1,10,12,14,16,18,20)+(IF(AND(Inputs!$B$38&lt;&gt;"pvp",Inputs!$B$43=0),1,IF(IF(Inputs!$B$38="pvp",15,Inputs!$B$43)-(B1213)&lt;=0,1,MAX(0,IF(Inputs!$B$38="pvp",15,Inputs!$B$43)-MAX(5,B1213))/(IF(Inputs!$B$38="pvp",15,Inputs!$B$43)-(B1213))))*IF(AND(ArtifactsInput!$M$42,((Inputs!$B$9+((C1194=TRUE)*(F1194-Calc!F19))+B1206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1184*(MIN(100,(Inputs!$B$9+((C1194=TRUE)*(F1194-Calc!F19))+B1206+(ArtifactsInput!$M$24-ArtifactsInput!$M$24)*CHOOSE(ArtifactsInput!$N$24+1,10,12,14,16,18,20)+(IF(AND(Inputs!$B$38&lt;&gt;"pvp",Inputs!$B$43=0),1,IF(IF(Inputs!$B$38="pvp",15,Inputs!$B$43)-(B1213)&lt;=0,1,MAX(0,IF(Inputs!$B$38="pvp",15,Inputs!$B$43)-MAX(5,B1213))/(IF(Inputs!$B$38="pvp",15,Inputs!$B$43)-(B1213))))*IF(AND(ArtifactsInput!$M$42,((Inputs!$B$9+((C1194=TRUE)*(F1194-Calc!F19))+B1206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1184*(1-MIN(100,(Inputs!$B$9+((C1194=TRUE)*(F1194-Calc!F19))+B1206+(ArtifactsInput!$M$24-ArtifactsInput!$M$24)*CHOOSE(ArtifactsInput!$N$24+1,10,12,14,16,18,20)+(IF(AND(Inputs!$B$38&lt;&gt;"pvp",Inputs!$B$43=0),1,IF(IF(Inputs!$B$38="pvp",15,Inputs!$B$43)-(B1213)&lt;=0,1,MAX(0,IF(Inputs!$B$38="pvp",15,Inputs!$B$43)-MAX(5,B1213))/(IF(Inputs!$B$38="pvp",15,Inputs!$B$43)-(B1213))))*IF(AND(ArtifactsInput!$M$42,((Inputs!$B$9+((C1194=TRUE)*(F1194-Calc!F19))+B1206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1184*(MIN(100,(Inputs!$B$9+((C1194=TRUE)*(F1194-Calc!F19))+B1206+(ArtifactsInput!$M$24-ArtifactsInput!$M$24)*CHOOSE(ArtifactsInput!$N$24+1,10,12,14,16,18,20)+(IF(AND(Inputs!$B$38&lt;&gt;"pvp",Inputs!$B$43=0),1,IF(IF(Inputs!$B$38="pvp",15,Inputs!$B$43)-(B1213)&lt;=0,1,MAX(0,IF(Inputs!$B$38="pvp",15,Inputs!$B$43)-MAX(5,B1213))/(IF(Inputs!$B$38="pvp",15,Inputs!$B$43)-(B1213))))*IF(AND(ArtifactsInput!$M$42,((Inputs!$B$9+((C1194=TRUE)*(F1194-Calc!F19))+B1206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184">
        <f>IF(C1184,(H1184*N1184*IF(AND(Inputs!$B$38&lt;&gt;"pvp",Inputs!$B$43&gt;0),((Skills!G9*((R1184-1)*IF(Skills!H9&gt;0,INT(Skills!I9/Skills!H9+0.000000001),1)+IF(Skills!H9&gt;0,INT(MIN(Skills!I9,MAX(0,MAX(0,Inputs!$B$43-B1213)-((R1184-1)*(IF(Inputs!$B$38="pvp",15,MAX(0.1,Skills!D9-IF(TRUE=TRUE,Inputs!$B$32,0)))*(1-IF(AND(ArtifactsInput!$M$27,Inputs!$B$4="Chapter Hunt"),CHOOSE(ArtifactsInput!$N$27+1,20,24,28,32,36,40),0)/100)))))/Skills!H9+0.000000001),1)))/Inputs!$B$43),G1184*Q1184))*IF(Inputs!$B$38="pvp",1,(1+(Inputs!$B$21+Skills!Q9+(IF(ArtifactsInput!$M$33,CHOOSE(ArtifactsInput!$N$33+1,30,36,42,48,54,60),0))+(IF(AND(ArtifactsInput!$M$35,Inputs!$B$4&lt;&gt;"Chapter Hunt"),CHOOSE(ArtifactsInput!$N$35+1,15,18,21,24,27,30)*(1-EXP(-(0.2*B1208)*5)),0)+IF(AND(ArtifactsInput!$M$22,Inputs!$B$4&lt;&gt;"Chapter Hunt"),CHOOSE(ArtifactsInput!$N$22+1,10,12,14,16,18,20)*((0*(((0.15*B1208*5))^0/1)+1*(((0.15*B1208*5))^1/1)+2*(((0.15*B1208*5))^2/2)+3*(((0.15*B1208*5))^3/6)+4*(((0.15*B1208*5))^4/24)+5*(((0.15*B1208*5))^5/120))/((((0.15*B1208*5))^0/1)+(((0.15*B1208*5))^1/1)+(((0.15*B1208*5))^2/2)+(((0.15*B1208*5))^3/6)+(((0.15*B1208*5))^4/24)+(((0.15*B1208*5))^5/120))),0))+IF(Inputs!$B$3&gt;=54,9*(C1178=TRUE)*MIN(1,8*(1+Inputs!$B$34/100)*Q1178),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85">
      <c r="A1185">
        <f>Skills!A10</f>
        <v/>
      </c>
      <c r="B1185">
        <f>Skills!B10</f>
        <v/>
      </c>
      <c r="C1185">
        <f>Inputs!$B$3&gt;=113</f>
        <v/>
      </c>
      <c r="D1185">
        <f>IF(Skills!C10=1,60+Inputs!$B$25+Inputs!$B$29,IF(Skills!C10=2,90+Inputs!$B$26+Inputs!$B$29,IF(Skills!C10=3,120+Inputs!$B$27+Inputs!$B$29,MAX(0,(Inputs!$B$3-100)*3)+Inputs!$B$28+Inputs!$B$29)))</f>
        <v/>
      </c>
      <c r="E1185">
        <f>INDEX(FactorTable!$B$2:$Y$301, MATCH(ROUND(MIN(300,MAX(1,D1185)),0), FactorTable!$A$2:$A$301,0), Skills!M10+1)</f>
        <v/>
      </c>
      <c r="F1185">
        <f>IF(Skills!N10=TRUE,(Skills!L10/10)*(E1185/1000),Skills!L10/10)+Skills!O10</f>
        <v/>
      </c>
      <c r="G1185">
        <f>Skills!G10*IF(Skills!H10&gt;0,INT(IF(Inputs!$B$38="pvp",MIN(Skills!I10,15),Skills!I10)/Skills!H10+0.000000001),1)</f>
        <v/>
      </c>
      <c r="H1185">
        <f>1-(1-Skills!J10/100)^Skills!K10</f>
        <v/>
      </c>
      <c r="I1185" t="inlineStr">
        <is>
          <t>1</t>
        </is>
      </c>
      <c r="J1185">
        <f>((Inputs!$B$6*(1+Inputs!$B$7/100))+(((Inputs!$B$12*(1+Inputs!$B$13/100))-(Inputs!$B$12*(1+Inputs!$B$13/100)))+0.25*(Inputs!$B$14-Inputs!$B$14))*(1+Inputs!$B$7/100))*(F1185/100)</f>
        <v/>
      </c>
      <c r="K1185">
        <f>J1185*(1+((Inputs!$B$12*(1+Inputs!$B$13/100))*0.01+Inputs!$B$14*0.0025)/100)*(1+Inputs!$B$15/100)*(1+Inputs!$B$16/100)*(5000/(6000+Inputs!$B$42*(1-(100*(1-(1-(Inputs!$B$19+0)/100)*(1-CHOOSE(ArtifactsInput!$N$40+1,5,6,7,8,9,10)/100)^(ArtifactsInput!$M$40-ArtifactsInput!$M$40)))/100)))*(1+(Inputs!$B$24+((C1201=TRUE)*(F1201-Calc!F26))+B1212)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IGHT_LEGS_EASTON",Inputs!$B$17+((C1198=TRUE)*(F1198-Calc!F23))+((C1202=TRUE)*(F1202-Calc!F27))+((IF(AND(Inputs!$B$38&lt;&gt;"pvp",Inputs!$B$43=0),1,IF(IF(Inputs!$B$38="pvp",15,Inputs!$B$43)-(B1213)&lt;=0,1,MAX(0,IF(Inputs!$B$38="pvp",15,Inputs!$B$43)-MAX(5,B1213))/(IF(Inputs!$B$38="pvp",15,Inputs!$B$43)-(B1213))))*(IF(AND(ArtifactsInput!$M$42,((Inputs!$B$9+((C1194=TRUE)*(F1194-Calc!F19))+B1206+(ArtifactsInput!$M$24-ArtifactsInput!$M$24)*CHOOSE(ArtifactsInput!$N$24+1,10,12,14,16,18,20)+IF(ArtifactsInput!$M$10,CHOOSE(ArtifactsInput!$N$10+1,15,18,21,24,27,30)*(IF(Inputs!$B$38="pvp",MIN(15,15)/15,IF(AND(Inputs!$B$38&lt;&gt;"pvp",Inputs!$B$43&gt;0),MIN(15,Inputs!$B$43)/(Inputs!$B$43),0))),0)))&gt;=100),MIN(100,((Inputs!$B$9+((C1194=TRUE)*(F1194-Calc!F19))+B1206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1213)&lt;=0,1,MAX(0,IF(Inputs!$B$38="pvp",15,Inputs!$B$43)-MAX(5,B1213))/(IF(Inputs!$B$38="pvp",15,Inputs!$B$43)-(B1213))))*IF(AND(ArtifactsInput!$M$42,((Inputs!$B$9+((C1194=TRUE)*(F1194-Calc!F19))+B1206+(ArtifactsInput!$M$24-ArtifactsInput!$M$24)*CHOOSE(ArtifactsInput!$N$24+1,10,12,14,16,18,20)+IF(ArtifactsInput!$M$10,CHOOSE(ArtifactsInput!$N$10+1,15,18,21,24,27,30)*(IF(Inputs!$B$38="pvp",MIN(15,15)/15,IF(AND(Inputs!$B$38&lt;&gt;"pvp",Inputs!$B$43&gt;0),MIN(15,Inputs!$B$43)/(Inputs!$B$43),0))),0)))&gt;=100),CHOOSE(ArtifactsInput!$N$42+1,40,48,56,64,72,80),0))))/100)*((1+(((C1192=TRUE)*F1192*5/7)+((C1199=TRUE)*(F1199-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1185)</f>
        <v/>
      </c>
      <c r="L1185">
        <f>K1185*(MIN(Inputs!$B$22+((C1197=TRUE)*(F1197-Calc!F22)),(Inputs!$B$23+0+(IF(ArtifactsInput!$M$15,CHOOSE(ArtifactsInput!$N$15+1,25,30,35,40,45,50)/100*(Inputs!$B$11-Inputs!$B$11),0))))/100+(Inputs!$B$23+0+(IF(ArtifactsInput!$M$15,CHOOSE(ArtifactsInput!$N$15+1,25,30,35,40,45,50)/100*(Inputs!$B$11-Inputs!$B$11),0)))/100)/2</f>
        <v/>
      </c>
      <c r="M1185">
        <f>L1185*(1+(Inputs!$B$10+((C1200=TRUE)*(F1200-Calc!F25))+B1211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85">
        <f>L1185*(1-MIN((Inputs!$B$9+((C1194=TRUE)*(F1194-Calc!F19))+B1206+(ArtifactsInput!$M$24-ArtifactsInput!$M$24)*CHOOSE(ArtifactsInput!$N$24+1,10,12,14,16,18,20)+(IF(AND(Inputs!$B$38&lt;&gt;"pvp",Inputs!$B$43=0),1,IF(IF(Inputs!$B$38="pvp",15,Inputs!$B$43)-(B1213)&lt;=0,1,MAX(0,IF(Inputs!$B$38="pvp",15,Inputs!$B$43)-MAX(5,B1213))/(IF(Inputs!$B$38="pvp",15,Inputs!$B$43)-(B1213))))*IF(AND(ArtifactsInput!$M$42,((Inputs!$B$9+((C1194=TRUE)*(F1194-Calc!F19))+B1206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1185*(MIN((Inputs!$B$9+((C1194=TRUE)*(F1194-Calc!F19))+B1206+(ArtifactsInput!$M$24-ArtifactsInput!$M$24)*CHOOSE(ArtifactsInput!$N$24+1,10,12,14,16,18,20)+(IF(AND(Inputs!$B$38&lt;&gt;"pvp",Inputs!$B$43=0),1,IF(IF(Inputs!$B$38="pvp",15,Inputs!$B$43)-(B1213)&lt;=0,1,MAX(0,IF(Inputs!$B$38="pvp",15,Inputs!$B$43)-MAX(5,B1213))/(IF(Inputs!$B$38="pvp",15,Inputs!$B$43)-(B1213))))*IF(AND(ArtifactsInput!$M$42,((Inputs!$B$9+((C1194=TRUE)*(F1194-Calc!F19))+B1206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85">
        <f>(1-Summary!$B$11)*T1185+Summary!$B$11*V1185</f>
        <v/>
      </c>
      <c r="P1185">
        <f>IF(B1216=0,0,O1185/B1216)</f>
        <v/>
      </c>
      <c r="Q1185" t="n">
        <v>0</v>
      </c>
      <c r="R1185" t="n">
        <v>0</v>
      </c>
      <c r="S1185">
        <f>IFERROR(O1185/N1185,0)</f>
        <v/>
      </c>
      <c r="T1185">
        <f>IF(C1185,((H1185*B1218)/(1+Skills!H10*H1185*B1218)*N1185)*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Hunt"),CHOOSE(ArtifactsInput!$N$35+1,15,18,21,24,27,30)*(1-EXP(-(0.2*B1208)*5)),0)+IF(AND(ArtifactsInput!$M$22,Inputs!$B$4&lt;&gt;"Chapter Hunt"),CHOOSE(ArtifactsInput!$N$22+1,10,12,14,16,18,20)*((0*(((0.15*B1208*5))^0/1)+1*(((0.15*B1208*5))^1/1)+2*(((0.15*B1208*5))^2/2)+3*(((0.15*B1208*5))^3/6)+4*(((0.15*B1208*5))^4/24)+5*(((0.15*B1208*5))^5/120))/((((0.15*B1208*5))^0/1)+(((0.15*B1208*5))^1/1)+(((0.15*B1208*5))^2/2)+(((0.15*B1208*5))^3/6)+(((0.15*B1208*5))^4/24)+(((0.15*B1208*5))^5/120))),0))+IF(Inputs!$B$3&gt;=54,9*(C1178=TRUE)*MIN(1,8*(1+Inputs!$B$34/100)*Q1178)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1185*(1-MIN(100,(Inputs!$B$9+((C1194=TRUE)*(F1194-Calc!F19))+B1206+(ArtifactsInput!$M$24-ArtifactsInput!$M$24)*CHOOSE(ArtifactsInput!$N$24+1,10,12,14,16,18,20)+(IF(AND(Inputs!$B$38&lt;&gt;"pvp",Inputs!$B$43=0),1,IF(IF(Inputs!$B$38="pvp",15,Inputs!$B$43)-(B1213)&lt;=0,1,MAX(0,IF(Inputs!$B$38="pvp",15,Inputs!$B$43)-MAX(5,B1213))/(IF(Inputs!$B$38="pvp",15,Inputs!$B$43)-(B1213))))*IF(AND(ArtifactsInput!$M$42,((Inputs!$B$9+((C1194=TRUE)*(F1194-Calc!F19))+B1206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1185*(MIN(100,(Inputs!$B$9+((C1194=TRUE)*(F1194-Calc!F19))+B1206+(ArtifactsInput!$M$24-ArtifactsInput!$M$24)*CHOOSE(ArtifactsInput!$N$24+1,10,12,14,16,18,20)+(IF(AND(Inputs!$B$38&lt;&gt;"pvp",Inputs!$B$43=0),1,IF(IF(Inputs!$B$38="pvp",15,Inputs!$B$43)-(B1213)&lt;=0,1,MAX(0,IF(Inputs!$B$38="pvp",15,Inputs!$B$43)-MAX(5,B1213))/(IF(Inputs!$B$38="pvp",15,Inputs!$B$43)-(B1213))))*IF(AND(ArtifactsInput!$M$42,((Inputs!$B$9+((C1194=TRUE)*(F1194-Calc!F19))+B1206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1185*(1-MIN(100,(Inputs!$B$9+((C1194=TRUE)*(F1194-Calc!F19))+B1206+(ArtifactsInput!$M$24-ArtifactsInput!$M$24)*CHOOSE(ArtifactsInput!$N$24+1,10,12,14,16,18,20)+(IF(AND(Inputs!$B$38&lt;&gt;"pvp",Inputs!$B$43=0),1,IF(IF(Inputs!$B$38="pvp",15,Inputs!$B$43)-(B1213)&lt;=0,1,MAX(0,IF(Inputs!$B$38="pvp",15,Inputs!$B$43)-MAX(5,B1213))/(IF(Inputs!$B$38="pvp",15,Inputs!$B$43)-(B1213))))*IF(AND(ArtifactsInput!$M$42,((Inputs!$B$9+((C1194=TRUE)*(F1194-Calc!F19))+B1206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1185*(MIN(100,(Inputs!$B$9+((C1194=TRUE)*(F1194-Calc!F19))+B1206+(ArtifactsInput!$M$24-ArtifactsInput!$M$24)*CHOOSE(ArtifactsInput!$N$24+1,10,12,14,16,18,20)+(IF(AND(Inputs!$B$38&lt;&gt;"pvp",Inputs!$B$43=0),1,IF(IF(Inputs!$B$38="pvp",15,Inputs!$B$43)-(B1213)&lt;=0,1,MAX(0,IF(Inputs!$B$38="pvp",15,Inputs!$B$43)-MAX(5,B1213))/(IF(Inputs!$B$38="pvp",15,Inputs!$B$43)-(B1213))))*IF(AND(ArtifactsInput!$M$42,((Inputs!$B$9+((C1194=TRUE)*(F1194-Calc!F19))+B1206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185">
        <f>IF(C1185,((H1185*B1218)/(1+Skills!H10*H1185*B1218)*N1185)*IF(Inputs!$B$38="pvp",1,(1+(Inputs!$B$21+Skills!Q10+(IF(ArtifactsInput!$M$33,CHOOSE(ArtifactsInput!$N$33+1,30,36,42,48,54,60),0))+(IF(AND(ArtifactsInput!$M$35,Inputs!$B$4&lt;&gt;"Chapter Hunt"),CHOOSE(ArtifactsInput!$N$35+1,15,18,21,24,27,30)*(1-EXP(-(0.2*B1208)*5)),0)+IF(AND(ArtifactsInput!$M$22,Inputs!$B$4&lt;&gt;"Chapter Hunt"),CHOOSE(ArtifactsInput!$N$22+1,10,12,14,16,18,20)*((0*(((0.15*B1208*5))^0/1)+1*(((0.15*B1208*5))^1/1)+2*(((0.15*B1208*5))^2/2)+3*(((0.15*B1208*5))^3/6)+4*(((0.15*B1208*5))^4/24)+5*(((0.15*B1208*5))^5/120))/((((0.15*B1208*5))^0/1)+(((0.15*B1208*5))^1/1)+(((0.15*B1208*5))^2/2)+(((0.15*B1208*5))^3/6)+(((0.15*B1208*5))^4/24)+(((0.15*B1208*5))^5/120))),0))+IF(Inputs!$B$3&gt;=54,9*(C1178=TRUE)*MIN(1,8*(1+Inputs!$B$34/100)*Q1178),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86">
      <c r="A1186">
        <f>Skills!A11</f>
        <v/>
      </c>
      <c r="B1186">
        <f>Skills!B11</f>
        <v/>
      </c>
      <c r="C1186">
        <f>Inputs!$B$3&gt;=117</f>
        <v/>
      </c>
      <c r="D1186">
        <f>IF(Skills!C11=1,60+Inputs!$B$25+Inputs!$B$29,IF(Skills!C11=2,90+Inputs!$B$26+Inputs!$B$29,IF(Skills!C11=3,120+Inputs!$B$27+Inputs!$B$29,MAX(0,(Inputs!$B$3-100)*3)+Inputs!$B$28+Inputs!$B$29)))</f>
        <v/>
      </c>
      <c r="E1186">
        <f>INDEX(FactorTable!$B$2:$Y$301, MATCH(ROUND(MIN(300,MAX(1,D1186)),0), FactorTable!$A$2:$A$301,0), Skills!M11+1)</f>
        <v/>
      </c>
      <c r="F1186">
        <f>IF(Skills!N11=TRUE,(Skills!L11/10)*(E1186/1000),Skills!L11/10)+Skills!O11</f>
        <v/>
      </c>
      <c r="G1186">
        <f>Skills!G11*IF(Skills!H11&gt;0,INT(IF(Inputs!$B$38="pvp",MIN(Skills!I11,15),Skills!I11)/Skills!H11+0.000000001),1)</f>
        <v/>
      </c>
      <c r="H1186">
        <f>1-(1-Skills!J11/100)^Skills!K11</f>
        <v/>
      </c>
      <c r="I1186" t="inlineStr">
        <is>
          <t>1</t>
        </is>
      </c>
      <c r="J1186">
        <f>((Inputs!$B$6*(1+Inputs!$B$7/100))+(((Inputs!$B$12*(1+Inputs!$B$13/100))-(Inputs!$B$12*(1+Inputs!$B$13/100)))+0.25*(Inputs!$B$14-Inputs!$B$14))*(1+Inputs!$B$7/100))*(F1186/100)</f>
        <v/>
      </c>
      <c r="K1186">
        <f>J1186*(1+((Inputs!$B$12*(1+Inputs!$B$13/100))*0.01+Inputs!$B$14*0.0025)/100)*(1+Inputs!$B$15/100)*(1+Inputs!$B$16/100)*(5000/(6000+Inputs!$B$42*(1-(100*(1-(1-(Inputs!$B$19+0)/100)*(1-CHOOSE(ArtifactsInput!$N$40+1,5,6,7,8,9,10)/100)^(ArtifactsInput!$M$40-ArtifactsInput!$M$40)))/100)))*(1+(Inputs!$B$24+((C1201=TRUE)*(F1201-Calc!F26))+B1212)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IGHT_LEGS_EASTON",Inputs!$B$17+((C1198=TRUE)*(F1198-Calc!F23))+((C1202=TRUE)*(F1202-Calc!F27))+((IF(AND(Inputs!$B$38&lt;&gt;"pvp",Inputs!$B$43=0),1,IF(IF(Inputs!$B$38="pvp",15,Inputs!$B$43)-(B1213)&lt;=0,1,MAX(0,IF(Inputs!$B$38="pvp",15,Inputs!$B$43)-MAX(5,B1213))/(IF(Inputs!$B$38="pvp",15,Inputs!$B$43)-(B1213))))*(IF(AND(ArtifactsInput!$M$42,((Inputs!$B$9+((C1194=TRUE)*(F1194-Calc!F19))+B1206+(ArtifactsInput!$M$24-ArtifactsInput!$M$24)*CHOOSE(ArtifactsInput!$N$24+1,10,12,14,16,18,20)+IF(ArtifactsInput!$M$10,CHOOSE(ArtifactsInput!$N$10+1,15,18,21,24,27,30)*(IF(Inputs!$B$38="pvp",MIN(15,15)/15,IF(AND(Inputs!$B$38&lt;&gt;"pvp",Inputs!$B$43&gt;0),MIN(15,Inputs!$B$43)/(Inputs!$B$43),0))),0)))&gt;=100),MIN(100,((Inputs!$B$9+((C1194=TRUE)*(F1194-Calc!F19))+B1206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1213)&lt;=0,1,MAX(0,IF(Inputs!$B$38="pvp",15,Inputs!$B$43)-MAX(5,B1213))/(IF(Inputs!$B$38="pvp",15,Inputs!$B$43)-(B1213))))*IF(AND(ArtifactsInput!$M$42,((Inputs!$B$9+((C1194=TRUE)*(F1194-Calc!F19))+B1206+(ArtifactsInput!$M$24-ArtifactsInput!$M$24)*CHOOSE(ArtifactsInput!$N$24+1,10,12,14,16,18,20)+IF(ArtifactsInput!$M$10,CHOOSE(ArtifactsInput!$N$10+1,15,18,21,24,27,30)*(IF(Inputs!$B$38="pvp",MIN(15,15)/15,IF(AND(Inputs!$B$38&lt;&gt;"pvp",Inputs!$B$43&gt;0),MIN(15,Inputs!$B$43)/(Inputs!$B$43),0))),0)))&gt;=100),CHOOSE(ArtifactsInput!$N$42+1,40,48,56,64,72,80),0))))/100)*((1+(((C1192=TRUE)*F1192*5/7)+((C1199=TRUE)*(F1199-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1186)</f>
        <v/>
      </c>
      <c r="L1186">
        <f>K1186*(MIN(Inputs!$B$22+((C1197=TRUE)*(F1197-Calc!F22)),(Inputs!$B$23+0+(IF(ArtifactsInput!$M$15,CHOOSE(ArtifactsInput!$N$15+1,25,30,35,40,45,50)/100*(Inputs!$B$11-Inputs!$B$11),0))))/100+(Inputs!$B$23+0+(IF(ArtifactsInput!$M$15,CHOOSE(ArtifactsInput!$N$15+1,25,30,35,40,45,50)/100*(Inputs!$B$11-Inputs!$B$11),0)))/100)/2</f>
        <v/>
      </c>
      <c r="M1186">
        <f>L1186*(1+(Inputs!$B$10+((C1200=TRUE)*(F1200-Calc!F25))+B1211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86">
        <f>L1186*(1-MIN((Inputs!$B$9+((C1194=TRUE)*(F1194-Calc!F19))+B1206+(ArtifactsInput!$M$24-ArtifactsInput!$M$24)*CHOOSE(ArtifactsInput!$N$24+1,10,12,14,16,18,20)+(IF(AND(Inputs!$B$38&lt;&gt;"pvp",Inputs!$B$43=0),1,IF(IF(Inputs!$B$38="pvp",15,Inputs!$B$43)-(B1213)&lt;=0,1,MAX(0,IF(Inputs!$B$38="pvp",15,Inputs!$B$43)-MAX(5,B1213))/(IF(Inputs!$B$38="pvp",15,Inputs!$B$43)-(B1213))))*IF(AND(ArtifactsInput!$M$42,((Inputs!$B$9+((C1194=TRUE)*(F1194-Calc!F19))+B1206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1186*(MIN((Inputs!$B$9+((C1194=TRUE)*(F1194-Calc!F19))+B1206+(ArtifactsInput!$M$24-ArtifactsInput!$M$24)*CHOOSE(ArtifactsInput!$N$24+1,10,12,14,16,18,20)+(IF(AND(Inputs!$B$38&lt;&gt;"pvp",Inputs!$B$43=0),1,IF(IF(Inputs!$B$38="pvp",15,Inputs!$B$43)-(B1213)&lt;=0,1,MAX(0,IF(Inputs!$B$38="pvp",15,Inputs!$B$43)-MAX(5,B1213))/(IF(Inputs!$B$38="pvp",15,Inputs!$B$43)-(B1213))))*IF(AND(ArtifactsInput!$M$42,((Inputs!$B$9+((C1194=TRUE)*(F1194-Calc!F19))+B1206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86">
        <f>(1-Summary!$B$11)*T1186+Summary!$B$11*V1186</f>
        <v/>
      </c>
      <c r="P1186">
        <f>IF(B1216=0,0,O1186/B1216)</f>
        <v/>
      </c>
      <c r="Q1186">
        <f>IFERROR(1/((IF(Inputs!$B$38="pvp",15,MAX(0.1,Skills!D11-IF(TRUE=TRUE,Inputs!$B$32,0)))*(1-IF(AND(ArtifactsInput!$M$27,Inputs!$B$4="Chapter Hunt"),CHOOSE(ArtifactsInput!$N$27+1,20,24,28,32,36,40),0)/100))/B1217),0)</f>
        <v/>
      </c>
      <c r="R1186">
        <f>IF(AND(Inputs!$B$38&lt;&gt;"pvp",Inputs!$B$43&gt;0),IF(MAX(0,Inputs!$B$43-B1213)&lt;=0,0,(INT(MAX(0,Inputs!$B$43-B1213)/((IF(Inputs!$B$38="pvp",15,MAX(0.1,Skills!D11-IF(TRUE=TRUE,Inputs!$B$32,0)))*(1-IF(AND(ArtifactsInput!$M$27,Inputs!$B$4="Chapter Hunt"),CHOOSE(ArtifactsInput!$N$27+1,20,24,28,32,36,40),0)/100))/B1217))+1)),0)</f>
        <v/>
      </c>
      <c r="S1186">
        <f>IFERROR(O1186/N1186,0)</f>
        <v/>
      </c>
      <c r="T1186">
        <f>IF(C1186,(H1186*N1186*IF(AND(Inputs!$B$38&lt;&gt;"pvp",Inputs!$B$43&gt;0),((Skills!G11*((R1186-1)*IF(Skills!H11&gt;0,INT(Skills!I11/Skills!H11+0.000000001),1)+IF(Skills!H11&gt;0,INT(MIN(Skills!I11,MAX(0,MAX(0,Inputs!$B$43-B1213)-((R1186-1)*((IF(Inputs!$B$38="pvp",15,MAX(0.1,Skills!D11-IF(TRUE=TRUE,Inputs!$B$32,0)))*(1-IF(AND(ArtifactsInput!$M$27,Inputs!$B$4="Chapter Hunt"),CHOOSE(ArtifactsInput!$N$27+1,20,24,28,32,36,40),0)/100))/B1217))))/Skills!H11+0.000000001),1)))/Inputs!$B$43),G1186*Q1186))*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Hunt"),CHOOSE(ArtifactsInput!$N$35+1,15,18,21,24,27,30)*(1-EXP(-(0.2*B1208)*5)),0)+IF(AND(ArtifactsInput!$M$22,Inputs!$B$4&lt;&gt;"Chapter Hunt"),CHOOSE(ArtifactsInput!$N$22+1,10,12,14,16,18,20)*((0*(((0.15*B1208*5))^0/1)+1*(((0.15*B1208*5))^1/1)+2*(((0.15*B1208*5))^2/2)+3*(((0.15*B1208*5))^3/6)+4*(((0.15*B1208*5))^4/24)+5*(((0.15*B1208*5))^5/120))/((((0.15*B1208*5))^0/1)+(((0.15*B1208*5))^1/1)+(((0.15*B1208*5))^2/2)+(((0.15*B1208*5))^3/6)+(((0.15*B1208*5))^4/24)+(((0.15*B1208*5))^5/120))),0))+IF(Inputs!$B$3&gt;=54,9*(C1178=TRUE)*MIN(1,8*(1+Inputs!$B$34/100)*Q1178)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1186*(1-MIN(100,(Inputs!$B$9+((C1194=TRUE)*(F1194-Calc!F19))+B1206+(ArtifactsInput!$M$24-ArtifactsInput!$M$24)*CHOOSE(ArtifactsInput!$N$24+1,10,12,14,16,18,20)+(IF(AND(Inputs!$B$38&lt;&gt;"pvp",Inputs!$B$43=0),1,IF(IF(Inputs!$B$38="pvp",15,Inputs!$B$43)-(B1213)&lt;=0,1,MAX(0,IF(Inputs!$B$38="pvp",15,Inputs!$B$43)-MAX(5,B1213))/(IF(Inputs!$B$38="pvp",15,Inputs!$B$43)-(B1213))))*IF(AND(ArtifactsInput!$M$42,((Inputs!$B$9+((C1194=TRUE)*(F1194-Calc!F19))+B1206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1186*(MIN(100,(Inputs!$B$9+((C1194=TRUE)*(F1194-Calc!F19))+B1206+(ArtifactsInput!$M$24-ArtifactsInput!$M$24)*CHOOSE(ArtifactsInput!$N$24+1,10,12,14,16,18,20)+(IF(AND(Inputs!$B$38&lt;&gt;"pvp",Inputs!$B$43=0),1,IF(IF(Inputs!$B$38="pvp",15,Inputs!$B$43)-(B1213)&lt;=0,1,MAX(0,IF(Inputs!$B$38="pvp",15,Inputs!$B$43)-MAX(5,B1213))/(IF(Inputs!$B$38="pvp",15,Inputs!$B$43)-(B1213))))*IF(AND(ArtifactsInput!$M$42,((Inputs!$B$9+((C1194=TRUE)*(F1194-Calc!F19))+B1206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1186*(1-MIN(100,(Inputs!$B$9+((C1194=TRUE)*(F1194-Calc!F19))+B1206+(ArtifactsInput!$M$24-ArtifactsInput!$M$24)*CHOOSE(ArtifactsInput!$N$24+1,10,12,14,16,18,20)+(IF(AND(Inputs!$B$38&lt;&gt;"pvp",Inputs!$B$43=0),1,IF(IF(Inputs!$B$38="pvp",15,Inputs!$B$43)-(B1213)&lt;=0,1,MAX(0,IF(Inputs!$B$38="pvp",15,Inputs!$B$43)-MAX(5,B1213))/(IF(Inputs!$B$38="pvp",15,Inputs!$B$43)-(B1213))))*IF(AND(ArtifactsInput!$M$42,((Inputs!$B$9+((C1194=TRUE)*(F1194-Calc!F19))+B1206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1186*(MIN(100,(Inputs!$B$9+((C1194=TRUE)*(F1194-Calc!F19))+B1206+(ArtifactsInput!$M$24-ArtifactsInput!$M$24)*CHOOSE(ArtifactsInput!$N$24+1,10,12,14,16,18,20)+(IF(AND(Inputs!$B$38&lt;&gt;"pvp",Inputs!$B$43=0),1,IF(IF(Inputs!$B$38="pvp",15,Inputs!$B$43)-(B1213)&lt;=0,1,MAX(0,IF(Inputs!$B$38="pvp",15,Inputs!$B$43)-MAX(5,B1213))/(IF(Inputs!$B$38="pvp",15,Inputs!$B$43)-(B1213))))*IF(AND(ArtifactsInput!$M$42,((Inputs!$B$9+((C1194=TRUE)*(F1194-Calc!F19))+B1206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186">
        <f>IF(C1186,(H1186*N1186*IF(AND(Inputs!$B$38&lt;&gt;"pvp",Inputs!$B$43&gt;0),((Skills!G11*((R1186-1)*IF(Skills!H11&gt;0,INT(Skills!I11/Skills!H11+0.000000001),1)+IF(Skills!H11&gt;0,INT(MIN(Skills!I11,MAX(0,MAX(0,Inputs!$B$43-B1213)-((R1186-1)*((IF(Inputs!$B$38="pvp",15,MAX(0.1,Skills!D11-IF(TRUE=TRUE,Inputs!$B$32,0)))*(1-IF(AND(ArtifactsInput!$M$27,Inputs!$B$4="Chapter Hunt"),CHOOSE(ArtifactsInput!$N$27+1,20,24,28,32,36,40),0)/100))/B1217))))/Skills!H11+0.000000001),1)))/Inputs!$B$43),G1186*Q1186))*IF(Inputs!$B$38="pvp",1,(1+(Inputs!$B$21+Skills!Q11+(IF(ArtifactsInput!$M$33,CHOOSE(ArtifactsInput!$N$33+1,30,36,42,48,54,60),0))+(IF(AND(ArtifactsInput!$M$35,Inputs!$B$4&lt;&gt;"Chapter Hunt"),CHOOSE(ArtifactsInput!$N$35+1,15,18,21,24,27,30)*(1-EXP(-(0.2*B1208)*5)),0)+IF(AND(ArtifactsInput!$M$22,Inputs!$B$4&lt;&gt;"Chapter Hunt"),CHOOSE(ArtifactsInput!$N$22+1,10,12,14,16,18,20)*((0*(((0.15*B1208*5))^0/1)+1*(((0.15*B1208*5))^1/1)+2*(((0.15*B1208*5))^2/2)+3*(((0.15*B1208*5))^3/6)+4*(((0.15*B1208*5))^4/24)+5*(((0.15*B1208*5))^5/120))/((((0.15*B1208*5))^0/1)+(((0.15*B1208*5))^1/1)+(((0.15*B1208*5))^2/2)+(((0.15*B1208*5))^3/6)+(((0.15*B1208*5))^4/24)+(((0.15*B1208*5))^5/120))),0))+IF(Inputs!$B$3&gt;=54,9*(C1178=TRUE)*MIN(1,8*(1+Inputs!$B$34/100)*Q1178),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87">
      <c r="A1187">
        <f>Skills!A12</f>
        <v/>
      </c>
      <c r="B1187">
        <f>Skills!B12</f>
        <v/>
      </c>
      <c r="C1187">
        <f>Inputs!$B$3&gt;=110</f>
        <v/>
      </c>
      <c r="D1187">
        <f>IF(Skills!C12=1,60+Inputs!$B$25+Inputs!$B$29,IF(Skills!C12=2,90+Inputs!$B$26+Inputs!$B$29,IF(Skills!C12=3,120+Inputs!$B$27+Inputs!$B$29,MAX(0,(Inputs!$B$3-100)*3)+Inputs!$B$28+Inputs!$B$29)))</f>
        <v/>
      </c>
      <c r="E1187">
        <f>INDEX(FactorTable!$B$2:$Y$301, MATCH(ROUND(MIN(300,MAX(1,D1187)),0), FactorTable!$A$2:$A$301,0), Skills!M12+1)</f>
        <v/>
      </c>
      <c r="F1187">
        <f>IF(Skills!N12=TRUE,(Skills!L12/10)*(E1187/1000),Skills!L12/10)+Skills!O12</f>
        <v/>
      </c>
      <c r="G1187">
        <f>Skills!G12*IF(Skills!H12&gt;0,INT(IF(Inputs!$B$38="pvp",MIN(Skills!I12,15),Skills!I12)/Skills!H12+0.000000001),1)</f>
        <v/>
      </c>
      <c r="H1187">
        <f>1-(1-Skills!J12/100)^Skills!K12</f>
        <v/>
      </c>
      <c r="I1187" t="inlineStr">
        <is>
          <t>1</t>
        </is>
      </c>
      <c r="J1187">
        <f>((Inputs!$B$6*(1+Inputs!$B$7/100))+(((Inputs!$B$12*(1+Inputs!$B$13/100))-(Inputs!$B$12*(1+Inputs!$B$13/100)))+0.25*(Inputs!$B$14-Inputs!$B$14))*(1+Inputs!$B$7/100))*(F1187/100)</f>
        <v/>
      </c>
      <c r="K1187">
        <f>J1187*(1+((Inputs!$B$12*(1+Inputs!$B$13/100))*0.01+Inputs!$B$14*0.0025)/100)*(1+Inputs!$B$15/100)*(1+Inputs!$B$16/100)*(5000/(6000+Inputs!$B$42*(1-(100*(1-(1-(Inputs!$B$19+0)/100)*(1-CHOOSE(ArtifactsInput!$N$40+1,5,6,7,8,9,10)/100)^(ArtifactsInput!$M$40-ArtifactsInput!$M$40)))/100)))*(1+(Inputs!$B$24+((C1201=TRUE)*(F1201-Calc!F26))+B1212)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EIGHT_LEGS_EASTON",Inputs!$B$17+((C1198=TRUE)*(F1198-Calc!F23))+((C1202=TRUE)*(F1202-Calc!F27))+((IF(AND(Inputs!$B$38&lt;&gt;"pvp",Inputs!$B$43=0),1,IF(IF(Inputs!$B$38="pvp",15,Inputs!$B$43)-(B1213)&lt;=0,1,MAX(0,IF(Inputs!$B$38="pvp",15,Inputs!$B$43)-MAX(5,B1213))/(IF(Inputs!$B$38="pvp",15,Inputs!$B$43)-(B1213))))*(IF(AND(ArtifactsInput!$M$42,((Inputs!$B$9+((C1194=TRUE)*(F1194-Calc!F19))+B1206+(ArtifactsInput!$M$24-ArtifactsInput!$M$24)*CHOOSE(ArtifactsInput!$N$24+1,10,12,14,16,18,20)+IF(ArtifactsInput!$M$10,CHOOSE(ArtifactsInput!$N$10+1,15,18,21,24,27,30)*(IF(Inputs!$B$38="pvp",MIN(15,15)/15,IF(AND(Inputs!$B$38&lt;&gt;"pvp",Inputs!$B$43&gt;0),MIN(15,Inputs!$B$43)/(Inputs!$B$43),0))),0)))&gt;=100),MIN(100,((Inputs!$B$9+((C1194=TRUE)*(F1194-Calc!F19))+B1206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1213)&lt;=0,1,MAX(0,IF(Inputs!$B$38="pvp",15,Inputs!$B$43)-MAX(5,B1213))/(IF(Inputs!$B$38="pvp",15,Inputs!$B$43)-(B1213))))*IF(AND(ArtifactsInput!$M$42,((Inputs!$B$9+((C1194=TRUE)*(F1194-Calc!F19))+B1206+(ArtifactsInput!$M$24-ArtifactsInput!$M$24)*CHOOSE(ArtifactsInput!$N$24+1,10,12,14,16,18,20)+IF(ArtifactsInput!$M$10,CHOOSE(ArtifactsInput!$N$10+1,15,18,21,24,27,30)*(IF(Inputs!$B$38="pvp",MIN(15,15)/15,IF(AND(Inputs!$B$38&lt;&gt;"pvp",Inputs!$B$43&gt;0),MIN(15,Inputs!$B$43)/(Inputs!$B$43),0))),0)))&gt;=100),CHOOSE(ArtifactsInput!$N$42+1,40,48,56,64,72,80),0))))/100)*((1+(((C1192=TRUE)*F1192*5/7)+((C1199=TRUE)*(F1199-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1187)</f>
        <v/>
      </c>
      <c r="L1187">
        <f>K1187*(MIN(Inputs!$B$22+((C1197=TRUE)*(F1197-Calc!F22)),(Inputs!$B$23+0+(IF(ArtifactsInput!$M$15,CHOOSE(ArtifactsInput!$N$15+1,25,30,35,40,45,50)/100*(Inputs!$B$11-Inputs!$B$11),0))))/100+(Inputs!$B$23+0+(IF(ArtifactsInput!$M$15,CHOOSE(ArtifactsInput!$N$15+1,25,30,35,40,45,50)/100*(Inputs!$B$11-Inputs!$B$11),0)))/100)/2</f>
        <v/>
      </c>
      <c r="M1187">
        <f>L1187*(1+(Inputs!$B$10+((C1200=TRUE)*(F1200-Calc!F25))+B1211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87">
        <f>L1187*(1-MIN((Inputs!$B$9+((C1194=TRUE)*(F1194-Calc!F19))+B1206+(ArtifactsInput!$M$24-ArtifactsInput!$M$24)*CHOOSE(ArtifactsInput!$N$24+1,10,12,14,16,18,20)+(IF(AND(Inputs!$B$38&lt;&gt;"pvp",Inputs!$B$43=0),1,IF(IF(Inputs!$B$38="pvp",15,Inputs!$B$43)-(B1213)&lt;=0,1,MAX(0,IF(Inputs!$B$38="pvp",15,Inputs!$B$43)-MAX(5,B1213))/(IF(Inputs!$B$38="pvp",15,Inputs!$B$43)-(B1213))))*IF(AND(ArtifactsInput!$M$42,((Inputs!$B$9+((C1194=TRUE)*(F1194-Calc!F19))+B1206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1187*(MIN((Inputs!$B$9+((C1194=TRUE)*(F1194-Calc!F19))+B1206+(ArtifactsInput!$M$24-ArtifactsInput!$M$24)*CHOOSE(ArtifactsInput!$N$24+1,10,12,14,16,18,20)+(IF(AND(Inputs!$B$38&lt;&gt;"pvp",Inputs!$B$43=0),1,IF(IF(Inputs!$B$38="pvp",15,Inputs!$B$43)-(B1213)&lt;=0,1,MAX(0,IF(Inputs!$B$38="pvp",15,Inputs!$B$43)-MAX(5,B1213))/(IF(Inputs!$B$38="pvp",15,Inputs!$B$43)-(B1213))))*IF(AND(ArtifactsInput!$M$42,((Inputs!$B$9+((C1194=TRUE)*(F1194-Calc!F19))+B1206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87">
        <f>(1-Summary!$B$11)*T1187+Summary!$B$11*V1187</f>
        <v/>
      </c>
      <c r="P1187">
        <f>IF(B1216=0,0,O1187/B1216)</f>
        <v/>
      </c>
      <c r="Q1187">
        <f>IFERROR(1/(IF(Inputs!$B$38="pvp",15,MAX(0.1,Skills!D12-IF(TRUE=TRUE,Inputs!$B$32,0)))*(1-IF(AND(ArtifactsInput!$M$27,Inputs!$B$4="Chapter Hunt"),CHOOSE(ArtifactsInput!$N$27+1,20,24,28,32,36,40),0)/100)),0)</f>
        <v/>
      </c>
      <c r="R1187">
        <f>IF(AND(Inputs!$B$38&lt;&gt;"pvp",Inputs!$B$43&gt;0),IF(MAX(0,Inputs!$B$43-B1213)&lt;=0,0,(INT(MAX(0,Inputs!$B$43-B1213)/(IF(Inputs!$B$38="pvp",15,MAX(0.1,Skills!D12-IF(TRUE=TRUE,Inputs!$B$32,0)))*(1-IF(AND(ArtifactsInput!$M$27,Inputs!$B$4="Chapter Hunt"),CHOOSE(ArtifactsInput!$N$27+1,20,24,28,32,36,40),0)/100)))+1)),0)</f>
        <v/>
      </c>
      <c r="S1187">
        <f>IFERROR(O1187/N1187,0)</f>
        <v/>
      </c>
      <c r="T1187">
        <f>IF(C1187,(H1187*N1187*IF(AND(Inputs!$B$38&lt;&gt;"pvp",Inputs!$B$43&gt;0),((Skills!G12*((R1187-1)*IF(Skills!H12&gt;0,INT(Skills!I12/Skills!H12+0.000000001),1)+IF(Skills!H12&gt;0,INT(MIN(Skills!I12,MAX(0,MAX(0,Inputs!$B$43-B1213)-((R1187-1)*(IF(Inputs!$B$38="pvp",15,MAX(0.1,Skills!D12-IF(TRUE=TRUE,Inputs!$B$32,0)))*(1-IF(AND(ArtifactsInput!$M$27,Inputs!$B$4="Chapter Hunt"),CHOOSE(ArtifactsInput!$N$27+1,20,24,28,32,36,40),0)/100)))))/Skills!H12+0.000000001),1)))/Inputs!$B$43),G1187*Q1187))*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Hunt"),CHOOSE(ArtifactsInput!$N$35+1,15,18,21,24,27,30)*(1-EXP(-(0.2*B1208)*5)),0)+IF(AND(ArtifactsInput!$M$22,Inputs!$B$4&lt;&gt;"Chapter Hunt"),CHOOSE(ArtifactsInput!$N$22+1,10,12,14,16,18,20)*((0*(((0.15*B1208*5))^0/1)+1*(((0.15*B1208*5))^1/1)+2*(((0.15*B1208*5))^2/2)+3*(((0.15*B1208*5))^3/6)+4*(((0.15*B1208*5))^4/24)+5*(((0.15*B1208*5))^5/120))/((((0.15*B1208*5))^0/1)+(((0.15*B1208*5))^1/1)+(((0.15*B1208*5))^2/2)+(((0.15*B1208*5))^3/6)+(((0.15*B1208*5))^4/24)+(((0.15*B1208*5))^5/120))),0))+IF(Inputs!$B$3&gt;=54,9*(C1178=TRUE)*MIN(1,8*(1+Inputs!$B$34/100)*Q1178)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1187*(1-MIN(100,(Inputs!$B$9+((C1194=TRUE)*(F1194-Calc!F19))+B1206+(ArtifactsInput!$M$24-ArtifactsInput!$M$24)*CHOOSE(ArtifactsInput!$N$24+1,10,12,14,16,18,20)+(IF(AND(Inputs!$B$38&lt;&gt;"pvp",Inputs!$B$43=0),1,IF(IF(Inputs!$B$38="pvp",15,Inputs!$B$43)-(B1213)&lt;=0,1,MAX(0,IF(Inputs!$B$38="pvp",15,Inputs!$B$43)-MAX(5,B1213))/(IF(Inputs!$B$38="pvp",15,Inputs!$B$43)-(B1213))))*IF(AND(ArtifactsInput!$M$42,((Inputs!$B$9+((C1194=TRUE)*(F1194-Calc!F19))+B1206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1187*(MIN(100,(Inputs!$B$9+((C1194=TRUE)*(F1194-Calc!F19))+B1206+(ArtifactsInput!$M$24-ArtifactsInput!$M$24)*CHOOSE(ArtifactsInput!$N$24+1,10,12,14,16,18,20)+(IF(AND(Inputs!$B$38&lt;&gt;"pvp",Inputs!$B$43=0),1,IF(IF(Inputs!$B$38="pvp",15,Inputs!$B$43)-(B1213)&lt;=0,1,MAX(0,IF(Inputs!$B$38="pvp",15,Inputs!$B$43)-MAX(5,B1213))/(IF(Inputs!$B$38="pvp",15,Inputs!$B$43)-(B1213))))*IF(AND(ArtifactsInput!$M$42,((Inputs!$B$9+((C1194=TRUE)*(F1194-Calc!F19))+B1206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1187*(1-MIN(100,(Inputs!$B$9+((C1194=TRUE)*(F1194-Calc!F19))+B1206+(ArtifactsInput!$M$24-ArtifactsInput!$M$24)*CHOOSE(ArtifactsInput!$N$24+1,10,12,14,16,18,20)+(IF(AND(Inputs!$B$38&lt;&gt;"pvp",Inputs!$B$43=0),1,IF(IF(Inputs!$B$38="pvp",15,Inputs!$B$43)-(B1213)&lt;=0,1,MAX(0,IF(Inputs!$B$38="pvp",15,Inputs!$B$43)-MAX(5,B1213))/(IF(Inputs!$B$38="pvp",15,Inputs!$B$43)-(B1213))))*IF(AND(ArtifactsInput!$M$42,((Inputs!$B$9+((C1194=TRUE)*(F1194-Calc!F19))+B1206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1187*(MIN(100,(Inputs!$B$9+((C1194=TRUE)*(F1194-Calc!F19))+B1206+(ArtifactsInput!$M$24-ArtifactsInput!$M$24)*CHOOSE(ArtifactsInput!$N$24+1,10,12,14,16,18,20)+(IF(AND(Inputs!$B$38&lt;&gt;"pvp",Inputs!$B$43=0),1,IF(IF(Inputs!$B$38="pvp",15,Inputs!$B$43)-(B1213)&lt;=0,1,MAX(0,IF(Inputs!$B$38="pvp",15,Inputs!$B$43)-MAX(5,B1213))/(IF(Inputs!$B$38="pvp",15,Inputs!$B$43)-(B1213))))*IF(AND(ArtifactsInput!$M$42,((Inputs!$B$9+((C1194=TRUE)*(F1194-Calc!F19))+B1206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187">
        <f>IF(C1187,(H1187*N1187*IF(AND(Inputs!$B$38&lt;&gt;"pvp",Inputs!$B$43&gt;0),((Skills!G12*((R1187-1)*IF(Skills!H12&gt;0,INT(Skills!I12/Skills!H12+0.000000001),1)+IF(Skills!H12&gt;0,INT(MIN(Skills!I12,MAX(0,MAX(0,Inputs!$B$43-B1213)-((R1187-1)*(IF(Inputs!$B$38="pvp",15,MAX(0.1,Skills!D12-IF(TRUE=TRUE,Inputs!$B$32,0)))*(1-IF(AND(ArtifactsInput!$M$27,Inputs!$B$4="Chapter Hunt"),CHOOSE(ArtifactsInput!$N$27+1,20,24,28,32,36,40),0)/100)))))/Skills!H12+0.000000001),1)))/Inputs!$B$43),G1187*Q1187))*IF(Inputs!$B$38="pvp",1,(1+(Inputs!$B$21+Skills!Q12+(IF(ArtifactsInput!$M$33,CHOOSE(ArtifactsInput!$N$33+1,30,36,42,48,54,60),0))+(IF(AND(ArtifactsInput!$M$35,Inputs!$B$4&lt;&gt;"Chapter Hunt"),CHOOSE(ArtifactsInput!$N$35+1,15,18,21,24,27,30)*(1-EXP(-(0.2*B1208)*5)),0)+IF(AND(ArtifactsInput!$M$22,Inputs!$B$4&lt;&gt;"Chapter Hunt"),CHOOSE(ArtifactsInput!$N$22+1,10,12,14,16,18,20)*((0*(((0.15*B1208*5))^0/1)+1*(((0.15*B1208*5))^1/1)+2*(((0.15*B1208*5))^2/2)+3*(((0.15*B1208*5))^3/6)+4*(((0.15*B1208*5))^4/24)+5*(((0.15*B1208*5))^5/120))/((((0.15*B1208*5))^0/1)+(((0.15*B1208*5))^1/1)+(((0.15*B1208*5))^2/2)+(((0.15*B1208*5))^3/6)+(((0.15*B1208*5))^4/24)+(((0.15*B1208*5))^5/120))),0))+IF(Inputs!$B$3&gt;=54,9*(C1178=TRUE)*MIN(1,8*(1+Inputs!$B$34/100)*Q1178),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88">
      <c r="A1188">
        <f>Skills!A13</f>
        <v/>
      </c>
      <c r="B1188">
        <f>Skills!B13</f>
        <v/>
      </c>
      <c r="C1188">
        <f>Inputs!$B$3&gt;=110</f>
        <v/>
      </c>
      <c r="D1188">
        <f>IF(Skills!C13=1,60+Inputs!$B$25+Inputs!$B$29,IF(Skills!C13=2,90+Inputs!$B$26+Inputs!$B$29,IF(Skills!C13=3,120+Inputs!$B$27+Inputs!$B$29,MAX(0,(Inputs!$B$3-100)*3)+Inputs!$B$28+Inputs!$B$29)))</f>
        <v/>
      </c>
      <c r="E1188">
        <f>INDEX(FactorTable!$B$2:$Y$301, MATCH(ROUND(MIN(300,MAX(1,D1188)),0), FactorTable!$A$2:$A$301,0), Skills!M13+1)</f>
        <v/>
      </c>
      <c r="F1188">
        <f>IF(Skills!N13=TRUE,(Skills!L13/10)*(E1188/1000),Skills!L13/10)+Skills!O13</f>
        <v/>
      </c>
      <c r="G1188">
        <f>Skills!G13*IF(Skills!H13&gt;0,INT(IF(Inputs!$B$38="pvp",MIN(Skills!I13,15),Skills!I13)/Skills!H13+0.000000001),1)</f>
        <v/>
      </c>
      <c r="H1188">
        <f>1-(1-Skills!J13/100)^Skills!K13</f>
        <v/>
      </c>
      <c r="I1188" t="inlineStr">
        <is>
          <t>1</t>
        </is>
      </c>
      <c r="J1188">
        <f>((Inputs!$B$6*(1+Inputs!$B$7/100))+(((Inputs!$B$12*(1+Inputs!$B$13/100))-(Inputs!$B$12*(1+Inputs!$B$13/100)))+0.25*(Inputs!$B$14-Inputs!$B$14))*(1+Inputs!$B$7/100))*(F1188/100)</f>
        <v/>
      </c>
      <c r="K1188">
        <f>J1188*(1+((Inputs!$B$12*(1+Inputs!$B$13/100))*0.01+Inputs!$B$14*0.0025)/100)*(1+Inputs!$B$15/100)*(1+Inputs!$B$16/100)*(5000/(6000+Inputs!$B$42*(1-(100*(1-(1-(Inputs!$B$19+0)/100)*(1-CHOOSE(ArtifactsInput!$N$40+1,5,6,7,8,9,10)/100)^(ArtifactsInput!$M$40-ArtifactsInput!$M$40)))/100)))*(1+(Inputs!$B$24+((C1201=TRUE)*(F1201-Calc!F26))+B1212)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EIGHT_LEGS_EASTON",Inputs!$B$17+((C1198=TRUE)*(F1198-Calc!F23))+((C1202=TRUE)*(F1202-Calc!F27))+((IF(AND(Inputs!$B$38&lt;&gt;"pvp",Inputs!$B$43=0),1,IF(IF(Inputs!$B$38="pvp",15,Inputs!$B$43)-(B1213)&lt;=0,1,MAX(0,IF(Inputs!$B$38="pvp",15,Inputs!$B$43)-MAX(5,B1213))/(IF(Inputs!$B$38="pvp",15,Inputs!$B$43)-(B1213))))*(IF(AND(ArtifactsInput!$M$42,((Inputs!$B$9+((C1194=TRUE)*(F1194-Calc!F19))+B1206+(ArtifactsInput!$M$24-ArtifactsInput!$M$24)*CHOOSE(ArtifactsInput!$N$24+1,10,12,14,16,18,20)+IF(ArtifactsInput!$M$10,CHOOSE(ArtifactsInput!$N$10+1,15,18,21,24,27,30)*(IF(Inputs!$B$38="pvp",MIN(15,15)/15,IF(AND(Inputs!$B$38&lt;&gt;"pvp",Inputs!$B$43&gt;0),MIN(15,Inputs!$B$43)/(Inputs!$B$43),0))),0)))&gt;=100),MIN(100,((Inputs!$B$9+((C1194=TRUE)*(F1194-Calc!F19))+B1206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1213)&lt;=0,1,MAX(0,IF(Inputs!$B$38="pvp",15,Inputs!$B$43)-MAX(5,B1213))/(IF(Inputs!$B$38="pvp",15,Inputs!$B$43)-(B1213))))*IF(AND(ArtifactsInput!$M$42,((Inputs!$B$9+((C1194=TRUE)*(F1194-Calc!F19))+B1206+(ArtifactsInput!$M$24-ArtifactsInput!$M$24)*CHOOSE(ArtifactsInput!$N$24+1,10,12,14,16,18,20)+IF(ArtifactsInput!$M$10,CHOOSE(ArtifactsInput!$N$10+1,15,18,21,24,27,30)*(IF(Inputs!$B$38="pvp",MIN(15,15)/15,IF(AND(Inputs!$B$38&lt;&gt;"pvp",Inputs!$B$43&gt;0),MIN(15,Inputs!$B$43)/(Inputs!$B$43),0))),0)))&gt;=100),CHOOSE(ArtifactsInput!$N$42+1,40,48,56,64,72,80),0))))/100)*((1+(((C1192=TRUE)*F1192*5/7)+((C1199=TRUE)*(F1199-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1188)</f>
        <v/>
      </c>
      <c r="L1188">
        <f>K1188*(MIN(Inputs!$B$22+((C1197=TRUE)*(F1197-Calc!F22)),(Inputs!$B$23+0+(IF(ArtifactsInput!$M$15,CHOOSE(ArtifactsInput!$N$15+1,25,30,35,40,45,50)/100*(Inputs!$B$11-Inputs!$B$11),0))))/100+(Inputs!$B$23+0+(IF(ArtifactsInput!$M$15,CHOOSE(ArtifactsInput!$N$15+1,25,30,35,40,45,50)/100*(Inputs!$B$11-Inputs!$B$11),0)))/100)/2</f>
        <v/>
      </c>
      <c r="M1188">
        <f>L1188*(1+(Inputs!$B$10+((C1200=TRUE)*(F1200-Calc!F25))+B1211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88">
        <f>L1188*(1-MIN((Inputs!$B$9+((C1194=TRUE)*(F1194-Calc!F19))+B1206+(ArtifactsInput!$M$24-ArtifactsInput!$M$24)*CHOOSE(ArtifactsInput!$N$24+1,10,12,14,16,18,20)+(IF(AND(Inputs!$B$38&lt;&gt;"pvp",Inputs!$B$43=0),1,IF(IF(Inputs!$B$38="pvp",15,Inputs!$B$43)-(B1213)&lt;=0,1,MAX(0,IF(Inputs!$B$38="pvp",15,Inputs!$B$43)-MAX(5,B1213))/(IF(Inputs!$B$38="pvp",15,Inputs!$B$43)-(B1213))))*IF(AND(ArtifactsInput!$M$42,((Inputs!$B$9+((C1194=TRUE)*(F1194-Calc!F19))+B1206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1188*(MIN((Inputs!$B$9+((C1194=TRUE)*(F1194-Calc!F19))+B1206+(ArtifactsInput!$M$24-ArtifactsInput!$M$24)*CHOOSE(ArtifactsInput!$N$24+1,10,12,14,16,18,20)+(IF(AND(Inputs!$B$38&lt;&gt;"pvp",Inputs!$B$43=0),1,IF(IF(Inputs!$B$38="pvp",15,Inputs!$B$43)-(B1213)&lt;=0,1,MAX(0,IF(Inputs!$B$38="pvp",15,Inputs!$B$43)-MAX(5,B1213))/(IF(Inputs!$B$38="pvp",15,Inputs!$B$43)-(B1213))))*IF(AND(ArtifactsInput!$M$42,((Inputs!$B$9+((C1194=TRUE)*(F1194-Calc!F19))+B1206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88">
        <f>(1-Summary!$B$11)*T1188+Summary!$B$11*V1188</f>
        <v/>
      </c>
      <c r="P1188">
        <f>IF(B1216=0,0,O1188/B1216)</f>
        <v/>
      </c>
      <c r="Q1188">
        <f>IFERROR(1/(IF(Inputs!$B$38="pvp",15,MAX(0.1,Skills!D13-IF(TRUE=TRUE,Inputs!$B$32,0)))*(1-IF(AND(ArtifactsInput!$M$27,Inputs!$B$4="Chapter Hunt"),CHOOSE(ArtifactsInput!$N$27+1,20,24,28,32,36,40),0)/100)),0)</f>
        <v/>
      </c>
      <c r="R1188">
        <f>IF(AND(Inputs!$B$38&lt;&gt;"pvp",Inputs!$B$43&gt;0),IF(MAX(0,Inputs!$B$43-B1213)&lt;=0,0,(INT(MAX(0,Inputs!$B$43-B1213)/(IF(Inputs!$B$38="pvp",15,MAX(0.1,Skills!D13-IF(TRUE=TRUE,Inputs!$B$32,0)))*(1-IF(AND(ArtifactsInput!$M$27,Inputs!$B$4="Chapter Hunt"),CHOOSE(ArtifactsInput!$N$27+1,20,24,28,32,36,40),0)/100)))+1)),0)</f>
        <v/>
      </c>
      <c r="S1188">
        <f>IFERROR(O1188/N1188,0)</f>
        <v/>
      </c>
      <c r="T1188">
        <f>IF(C1188,(H1188*N1188*IF(AND(Inputs!$B$38&lt;&gt;"pvp",Inputs!$B$43&gt;0),((Skills!G13*((R1188-1)*IF(Skills!H13&gt;0,INT(Skills!I13/Skills!H13+0.000000001),1)+IF(Skills!H13&gt;0,INT(MIN(Skills!I13,MAX(0,MAX(0,Inputs!$B$43-B1213)-((R1188-1)*(IF(Inputs!$B$38="pvp",15,MAX(0.1,Skills!D13-IF(TRUE=TRUE,Inputs!$B$32,0)))*(1-IF(AND(ArtifactsInput!$M$27,Inputs!$B$4="Chapter Hunt"),CHOOSE(ArtifactsInput!$N$27+1,20,24,28,32,36,40),0)/100)))))/Skills!H13+0.000000001),1)))/Inputs!$B$43),G1188*Q1188))*IF(Inputs!$B$38="pvp",1,1+(Inputs!$B$20+0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Hunt"),CHOOSE(ArtifactsInput!$N$35+1,15,18,21,24,27,30)*(1-EXP(-(0.2*B1208)*5)),0)+IF(AND(ArtifactsInput!$M$22,Inputs!$B$4&lt;&gt;"Chapter Hunt"),CHOOSE(ArtifactsInput!$N$22+1,10,12,14,16,18,20)*((0*(((0.15*B1208*5))^0/1)+1*(((0.15*B1208*5))^1/1)+2*(((0.15*B1208*5))^2/2)+3*(((0.15*B1208*5))^3/6)+4*(((0.15*B1208*5))^4/24)+5*(((0.15*B1208*5))^5/120))/((((0.15*B1208*5))^0/1)+(((0.15*B1208*5))^1/1)+(((0.15*B1208*5))^2/2)+(((0.15*B1208*5))^3/6)+(((0.15*B1208*5))^4/24)+(((0.15*B1208*5))^5/120))),0))+IF(Inputs!$B$3&gt;=54,9*(C1178=TRUE)*MIN(1,8*(1+Inputs!$B$34/100)*Q1178)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1188*(1-MIN(100,(Inputs!$B$9+((C1194=TRUE)*(F1194-Calc!F19))+B1206+(ArtifactsInput!$M$24-ArtifactsInput!$M$24)*CHOOSE(ArtifactsInput!$N$24+1,10,12,14,16,18,20)+(IF(AND(Inputs!$B$38&lt;&gt;"pvp",Inputs!$B$43=0),1,IF(IF(Inputs!$B$38="pvp",15,Inputs!$B$43)-(B1213)&lt;=0,1,MAX(0,IF(Inputs!$B$38="pvp",15,Inputs!$B$43)-MAX(5,B1213))/(IF(Inputs!$B$38="pvp",15,Inputs!$B$43)-(B1213))))*IF(AND(ArtifactsInput!$M$42,((Inputs!$B$9+((C1194=TRUE)*(F1194-Calc!F19))+B1206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1188*(MIN(100,(Inputs!$B$9+((C1194=TRUE)*(F1194-Calc!F19))+B1206+(ArtifactsInput!$M$24-ArtifactsInput!$M$24)*CHOOSE(ArtifactsInput!$N$24+1,10,12,14,16,18,20)+(IF(AND(Inputs!$B$38&lt;&gt;"pvp",Inputs!$B$43=0),1,IF(IF(Inputs!$B$38="pvp",15,Inputs!$B$43)-(B1213)&lt;=0,1,MAX(0,IF(Inputs!$B$38="pvp",15,Inputs!$B$43)-MAX(5,B1213))/(IF(Inputs!$B$38="pvp",15,Inputs!$B$43)-(B1213))))*IF(AND(ArtifactsInput!$M$42,((Inputs!$B$9+((C1194=TRUE)*(F1194-Calc!F19))+B1206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1188*(1-MIN(100,(Inputs!$B$9+((C1194=TRUE)*(F1194-Calc!F19))+B1206+(ArtifactsInput!$M$24-ArtifactsInput!$M$24)*CHOOSE(ArtifactsInput!$N$24+1,10,12,14,16,18,20)+(IF(AND(Inputs!$B$38&lt;&gt;"pvp",Inputs!$B$43=0),1,IF(IF(Inputs!$B$38="pvp",15,Inputs!$B$43)-(B1213)&lt;=0,1,MAX(0,IF(Inputs!$B$38="pvp",15,Inputs!$B$43)-MAX(5,B1213))/(IF(Inputs!$B$38="pvp",15,Inputs!$B$43)-(B1213))))*IF(AND(ArtifactsInput!$M$42,((Inputs!$B$9+((C1194=TRUE)*(F1194-Calc!F19))+B1206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1188*(MIN(100,(Inputs!$B$9+((C1194=TRUE)*(F1194-Calc!F19))+B1206+(ArtifactsInput!$M$24-ArtifactsInput!$M$24)*CHOOSE(ArtifactsInput!$N$24+1,10,12,14,16,18,20)+(IF(AND(Inputs!$B$38&lt;&gt;"pvp",Inputs!$B$43=0),1,IF(IF(Inputs!$B$38="pvp",15,Inputs!$B$43)-(B1213)&lt;=0,1,MAX(0,IF(Inputs!$B$38="pvp",15,Inputs!$B$43)-MAX(5,B1213))/(IF(Inputs!$B$38="pvp",15,Inputs!$B$43)-(B1213))))*IF(AND(ArtifactsInput!$M$42,((Inputs!$B$9+((C1194=TRUE)*(F1194-Calc!F19))+B1206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188">
        <f>IF(C1188,(H1188*N1188*IF(AND(Inputs!$B$38&lt;&gt;"pvp",Inputs!$B$43&gt;0),((Skills!G13*((R1188-1)*IF(Skills!H13&gt;0,INT(Skills!I13/Skills!H13+0.000000001),1)+IF(Skills!H13&gt;0,INT(MIN(Skills!I13,MAX(0,MAX(0,Inputs!$B$43-B1213)-((R1188-1)*(IF(Inputs!$B$38="pvp",15,MAX(0.1,Skills!D13-IF(TRUE=TRUE,Inputs!$B$32,0)))*(1-IF(AND(ArtifactsInput!$M$27,Inputs!$B$4="Chapter Hunt"),CHOOSE(ArtifactsInput!$N$27+1,20,24,28,32,36,40),0)/100)))))/Skills!H13+0.000000001),1)))/Inputs!$B$43),G1188*Q1188))*IF(Inputs!$B$38="pvp",1,(1+(Inputs!$B$21+Skills!Q13+(IF(ArtifactsInput!$M$33,CHOOSE(ArtifactsInput!$N$33+1,30,36,42,48,54,60),0))+(IF(AND(ArtifactsInput!$M$35,Inputs!$B$4&lt;&gt;"Chapter Hunt"),CHOOSE(ArtifactsInput!$N$35+1,15,18,21,24,27,30)*(1-EXP(-(0.2*B1208)*5)),0)+IF(AND(ArtifactsInput!$M$22,Inputs!$B$4&lt;&gt;"Chapter Hunt"),CHOOSE(ArtifactsInput!$N$22+1,10,12,14,16,18,20)*((0*(((0.15*B1208*5))^0/1)+1*(((0.15*B1208*5))^1/1)+2*(((0.15*B1208*5))^2/2)+3*(((0.15*B1208*5))^3/6)+4*(((0.15*B1208*5))^4/24)+5*(((0.15*B1208*5))^5/120))/((((0.15*B1208*5))^0/1)+(((0.15*B1208*5))^1/1)+(((0.15*B1208*5))^2/2)+(((0.15*B1208*5))^3/6)+(((0.15*B1208*5))^4/24)+(((0.15*B1208*5))^5/120))),0))+IF(Inputs!$B$3&gt;=54,9*(C1178=TRUE)*MIN(1,8*(1+Inputs!$B$34/100)*Q1178),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89">
      <c r="A1189">
        <f>Skills!A14</f>
        <v/>
      </c>
      <c r="B1189">
        <f>Skills!B14</f>
        <v/>
      </c>
      <c r="C1189">
        <f>Inputs!$B$3&gt;=120</f>
        <v/>
      </c>
      <c r="D1189">
        <f>IF(Skills!C14=1,60+Inputs!$B$25+Inputs!$B$29,IF(Skills!C14=2,90+Inputs!$B$26+Inputs!$B$29,IF(Skills!C14=3,120+Inputs!$B$27+Inputs!$B$29,MAX(0,(Inputs!$B$3-100)*3)+Inputs!$B$28+Inputs!$B$29)))</f>
        <v/>
      </c>
      <c r="E1189">
        <f>INDEX(FactorTable!$B$2:$Y$301, MATCH(ROUND(MIN(300,MAX(1,D1189)),0), FactorTable!$A$2:$A$301,0), Skills!M14+1)</f>
        <v/>
      </c>
      <c r="F1189">
        <f>IF(Skills!N14=TRUE,(Skills!L14/10)*(E1189/1000),Skills!L14/10)+Skills!O14</f>
        <v/>
      </c>
      <c r="G1189">
        <f>Skills!G14*IF(Skills!H14&gt;0,INT(IF(Inputs!$B$38="pvp",MIN(Skills!I14,15),Skills!I14)/Skills!H14+0.000000001),1)</f>
        <v/>
      </c>
      <c r="H1189">
        <f>1-(1-Skills!J14/100)^Skills!K14</f>
        <v/>
      </c>
      <c r="I1189" t="inlineStr">
        <is>
          <t>1</t>
        </is>
      </c>
      <c r="J1189">
        <f>((Inputs!$B$6*(1+Inputs!$B$7/100))+(((Inputs!$B$12*(1+Inputs!$B$13/100))-(Inputs!$B$12*(1+Inputs!$B$13/100)))+0.25*(Inputs!$B$14-Inputs!$B$14))*(1+Inputs!$B$7/100))*(F1189/100)</f>
        <v/>
      </c>
      <c r="K1189">
        <f>J1189*(1+((Inputs!$B$12*(1+Inputs!$B$13/100))*0.01+Inputs!$B$14*0.0025)/100)*(1+Inputs!$B$15/100)*(1+Inputs!$B$16/100)*(5000/(6000+Inputs!$B$42*(1-(100*(1-(1-(Inputs!$B$19+0)/100)*(1-CHOOSE(ArtifactsInput!$N$40+1,5,6,7,8,9,10)/100)^(ArtifactsInput!$M$40-ArtifactsInput!$M$40)))/100)))*(1+(Inputs!$B$24+((C1201=TRUE)*(F1201-Calc!F26))+B1212)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EIGHT_LEGS_EASTON",Inputs!$B$17+((C1198=TRUE)*(F1198-Calc!F23))+((C1202=TRUE)*(F1202-Calc!F27))+((IF(AND(Inputs!$B$38&lt;&gt;"pvp",Inputs!$B$43=0),1,IF(IF(Inputs!$B$38="pvp",15,Inputs!$B$43)-(B1213)&lt;=0,1,MAX(0,IF(Inputs!$B$38="pvp",15,Inputs!$B$43)-MAX(5,B1213))/(IF(Inputs!$B$38="pvp",15,Inputs!$B$43)-(B1213))))*(IF(AND(ArtifactsInput!$M$42,((Inputs!$B$9+((C1194=TRUE)*(F1194-Calc!F19))+B1206+(ArtifactsInput!$M$24-ArtifactsInput!$M$24)*CHOOSE(ArtifactsInput!$N$24+1,10,12,14,16,18,20)+IF(ArtifactsInput!$M$10,CHOOSE(ArtifactsInput!$N$10+1,15,18,21,24,27,30)*(IF(Inputs!$B$38="pvp",MIN(15,15)/15,IF(AND(Inputs!$B$38&lt;&gt;"pvp",Inputs!$B$43&gt;0),MIN(15,Inputs!$B$43)/(Inputs!$B$43),0))),0)))&gt;=100),MIN(100,((Inputs!$B$9+((C1194=TRUE)*(F1194-Calc!F19))+B1206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1213)&lt;=0,1,MAX(0,IF(Inputs!$B$38="pvp",15,Inputs!$B$43)-MAX(5,B1213))/(IF(Inputs!$B$38="pvp",15,Inputs!$B$43)-(B1213))))*IF(AND(ArtifactsInput!$M$42,((Inputs!$B$9+((C1194=TRUE)*(F1194-Calc!F19))+B1206+(ArtifactsInput!$M$24-ArtifactsInput!$M$24)*CHOOSE(ArtifactsInput!$N$24+1,10,12,14,16,18,20)+IF(ArtifactsInput!$M$10,CHOOSE(ArtifactsInput!$N$10+1,15,18,21,24,27,30)*(IF(Inputs!$B$38="pvp",MIN(15,15)/15,IF(AND(Inputs!$B$38&lt;&gt;"pvp",Inputs!$B$43&gt;0),MIN(15,Inputs!$B$43)/(Inputs!$B$43),0))),0)))&gt;=100),CHOOSE(ArtifactsInput!$N$42+1,40,48,56,64,72,80),0))))/100)*((1+(((C1192=TRUE)*F1192*5/7)+((C1199=TRUE)*(F1199-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1189)</f>
        <v/>
      </c>
      <c r="L1189">
        <f>K1189*(MIN(Inputs!$B$22+((C1197=TRUE)*(F1197-Calc!F22)),(Inputs!$B$23+0+(IF(ArtifactsInput!$M$15,CHOOSE(ArtifactsInput!$N$15+1,25,30,35,40,45,50)/100*(Inputs!$B$11-Inputs!$B$11),0))))/100+(Inputs!$B$23+0+(IF(ArtifactsInput!$M$15,CHOOSE(ArtifactsInput!$N$15+1,25,30,35,40,45,50)/100*(Inputs!$B$11-Inputs!$B$11),0)))/100)/2</f>
        <v/>
      </c>
      <c r="M1189">
        <f>L1189*(1+(Inputs!$B$10+((C1200=TRUE)*(F1200-Calc!F25))+B1211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89">
        <f>L1189*(1-MIN((Inputs!$B$9+((C1194=TRUE)*(F1194-Calc!F19))+B1206+(ArtifactsInput!$M$24-ArtifactsInput!$M$24)*CHOOSE(ArtifactsInput!$N$24+1,10,12,14,16,18,20)+(IF(AND(Inputs!$B$38&lt;&gt;"pvp",Inputs!$B$43=0),1,IF(IF(Inputs!$B$38="pvp",15,Inputs!$B$43)-(B1213)&lt;=0,1,MAX(0,IF(Inputs!$B$38="pvp",15,Inputs!$B$43)-MAX(5,B1213))/(IF(Inputs!$B$38="pvp",15,Inputs!$B$43)-(B1213))))*IF(AND(ArtifactsInput!$M$42,((Inputs!$B$9+((C1194=TRUE)*(F1194-Calc!F19))+B1206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1189*(MIN((Inputs!$B$9+((C1194=TRUE)*(F1194-Calc!F19))+B1206+(ArtifactsInput!$M$24-ArtifactsInput!$M$24)*CHOOSE(ArtifactsInput!$N$24+1,10,12,14,16,18,20)+(IF(AND(Inputs!$B$38&lt;&gt;"pvp",Inputs!$B$43=0),1,IF(IF(Inputs!$B$38="pvp",15,Inputs!$B$43)-(B1213)&lt;=0,1,MAX(0,IF(Inputs!$B$38="pvp",15,Inputs!$B$43)-MAX(5,B1213))/(IF(Inputs!$B$38="pvp",15,Inputs!$B$43)-(B1213))))*IF(AND(ArtifactsInput!$M$42,((Inputs!$B$9+((C1194=TRUE)*(F1194-Calc!F19))+B1206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89">
        <f>(1-Summary!$B$11)*T1189+Summary!$B$11*V1189</f>
        <v/>
      </c>
      <c r="P1189">
        <f>IF(B1216=0,0,O1189/B1216)</f>
        <v/>
      </c>
      <c r="Q1189" t="n">
        <v>0</v>
      </c>
      <c r="R1189" t="n">
        <v>0</v>
      </c>
      <c r="S1189">
        <f>IFERROR(O1189/N1189,0)</f>
        <v/>
      </c>
      <c r="T1189">
        <f>IF(C1189,((H1189*(B1210+IF(AND(Inputs!$B$38&lt;&gt;"pvp",Inputs!$B$43&gt;0),((Skills!G8*((R1183-1)*IF(Skills!H8&gt;0,INT(Skills!I8/Skills!H8+0.000000001),1)+IF(Skills!H8&gt;0,INT(MIN(Skills!I8,MAX(0,MAX(0,Inputs!$B$43-B1213)-((R1183-1)*((IF(Inputs!$B$38="pvp",15,MAX(0.1,Skills!D8-IF(TRUE=TRUE,Inputs!$B$32,0)))*(1-IF(AND(ArtifactsInput!$M$27,Inputs!$B$4="Chapter Hunt"),CHOOSE(ArtifactsInput!$N$27+1,20,24,28,32,36,40),0)/100))/B1217))))/Skills!H8+0.000000001),1)))/Inputs!$B$43),G1183*Q1183)+IF(AND(Inputs!$B$38&lt;&gt;"pvp",Inputs!$B$43&gt;0),((Skills!G11*((R1186-1)*IF(Skills!H11&gt;0,INT(Skills!I11/Skills!H11+0.000000001),1)+IF(Skills!H11&gt;0,INT(MIN(Skills!I11,MAX(0,MAX(0,Inputs!$B$43-B1213)-((R1186-1)*((IF(Inputs!$B$38="pvp",15,MAX(0.1,Skills!D11-IF(TRUE=TRUE,Inputs!$B$32,0)))*(1-IF(AND(ArtifactsInput!$M$27,Inputs!$B$4="Chapter Hunt"),CHOOSE(ArtifactsInput!$N$27+1,20,24,28,32,36,40),0)/100))/B1217))))/Skills!H11+0.000000001),1)))/Inputs!$B$43),G1186*Q1186)))/(1+Skills!H14*H1189*(B1210+IF(AND(Inputs!$B$38&lt;&gt;"pvp",Inputs!$B$43&gt;0),((Skills!G8*((R1183-1)*IF(Skills!H8&gt;0,INT(Skills!I8/Skills!H8+0.000000001),1)+IF(Skills!H8&gt;0,INT(MIN(Skills!I8,MAX(0,MAX(0,Inputs!$B$43-B1213)-((R1183-1)*((IF(Inputs!$B$38="pvp",15,MAX(0.1,Skills!D8-IF(TRUE=TRUE,Inputs!$B$32,0)))*(1-IF(AND(ArtifactsInput!$M$27,Inputs!$B$4="Chapter Hunt"),CHOOSE(ArtifactsInput!$N$27+1,20,24,28,32,36,40),0)/100))/B1217))))/Skills!H8+0.000000001),1)))/Inputs!$B$43),G1183*Q1183)+IF(AND(Inputs!$B$38&lt;&gt;"pvp",Inputs!$B$43&gt;0),((Skills!G11*((R1186-1)*IF(Skills!H11&gt;0,INT(Skills!I11/Skills!H11+0.000000001),1)+IF(Skills!H11&gt;0,INT(MIN(Skills!I11,MAX(0,MAX(0,Inputs!$B$43-B1213)-((R1186-1)*((IF(Inputs!$B$38="pvp",15,MAX(0.1,Skills!D11-IF(TRUE=TRUE,Inputs!$B$32,0)))*(1-IF(AND(ArtifactsInput!$M$27,Inputs!$B$4="Chapter Hunt"),CHOOSE(ArtifactsInput!$N$27+1,20,24,28,32,36,40),0)/100))/B1217))))/Skills!H11+0.000000001),1)))/Inputs!$B$43),G1186*Q1186)))*N1189)*IF(Inputs!$B$38="pvp",1,1+(Inputs!$B$20+0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Hunt"),CHOOSE(ArtifactsInput!$N$35+1,15,18,21,24,27,30)*(1-EXP(-(0.2*B1208)*5)),0)+IF(AND(ArtifactsInput!$M$22,Inputs!$B$4&lt;&gt;"Chapter Hunt"),CHOOSE(ArtifactsInput!$N$22+1,10,12,14,16,18,20)*((0*(((0.15*B1208*5))^0/1)+1*(((0.15*B1208*5))^1/1)+2*(((0.15*B1208*5))^2/2)+3*(((0.15*B1208*5))^3/6)+4*(((0.15*B1208*5))^4/24)+5*(((0.15*B1208*5))^5/120))/((((0.15*B1208*5))^0/1)+(((0.15*B1208*5))^1/1)+(((0.15*B1208*5))^2/2)+(((0.15*B1208*5))^3/6)+(((0.15*B1208*5))^4/24)+(((0.15*B1208*5))^5/120))),0))+IF(Inputs!$B$3&gt;=54,9*(C1178=TRUE)*MIN(1,8*(1+Inputs!$B$34/100)*Q1178)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1189*(1-MIN(100,(Inputs!$B$9+((C1194=TRUE)*(F1194-Calc!F19))+B1206+(ArtifactsInput!$M$24-ArtifactsInput!$M$24)*CHOOSE(ArtifactsInput!$N$24+1,10,12,14,16,18,20)+(IF(AND(Inputs!$B$38&lt;&gt;"pvp",Inputs!$B$43=0),1,IF(IF(Inputs!$B$38="pvp",15,Inputs!$B$43)-(B1213)&lt;=0,1,MAX(0,IF(Inputs!$B$38="pvp",15,Inputs!$B$43)-MAX(5,B1213))/(IF(Inputs!$B$38="pvp",15,Inputs!$B$43)-(B1213))))*IF(AND(ArtifactsInput!$M$42,((Inputs!$B$9+((C1194=TRUE)*(F1194-Calc!F19))+B1206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1189*(MIN(100,(Inputs!$B$9+((C1194=TRUE)*(F1194-Calc!F19))+B1206+(ArtifactsInput!$M$24-ArtifactsInput!$M$24)*CHOOSE(ArtifactsInput!$N$24+1,10,12,14,16,18,20)+(IF(AND(Inputs!$B$38&lt;&gt;"pvp",Inputs!$B$43=0),1,IF(IF(Inputs!$B$38="pvp",15,Inputs!$B$43)-(B1213)&lt;=0,1,MAX(0,IF(Inputs!$B$38="pvp",15,Inputs!$B$43)-MAX(5,B1213))/(IF(Inputs!$B$38="pvp",15,Inputs!$B$43)-(B1213))))*IF(AND(ArtifactsInput!$M$42,((Inputs!$B$9+((C1194=TRUE)*(F1194-Calc!F19))+B1206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1189*(1-MIN(100,(Inputs!$B$9+((C1194=TRUE)*(F1194-Calc!F19))+B1206+(ArtifactsInput!$M$24-ArtifactsInput!$M$24)*CHOOSE(ArtifactsInput!$N$24+1,10,12,14,16,18,20)+(IF(AND(Inputs!$B$38&lt;&gt;"pvp",Inputs!$B$43=0),1,IF(IF(Inputs!$B$38="pvp",15,Inputs!$B$43)-(B1213)&lt;=0,1,MAX(0,IF(Inputs!$B$38="pvp",15,Inputs!$B$43)-MAX(5,B1213))/(IF(Inputs!$B$38="pvp",15,Inputs!$B$43)-(B1213))))*IF(AND(ArtifactsInput!$M$42,((Inputs!$B$9+((C1194=TRUE)*(F1194-Calc!F19))+B1206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1189*(MIN(100,(Inputs!$B$9+((C1194=TRUE)*(F1194-Calc!F19))+B1206+(ArtifactsInput!$M$24-ArtifactsInput!$M$24)*CHOOSE(ArtifactsInput!$N$24+1,10,12,14,16,18,20)+(IF(AND(Inputs!$B$38&lt;&gt;"pvp",Inputs!$B$43=0),1,IF(IF(Inputs!$B$38="pvp",15,Inputs!$B$43)-(B1213)&lt;=0,1,MAX(0,IF(Inputs!$B$38="pvp",15,Inputs!$B$43)-MAX(5,B1213))/(IF(Inputs!$B$38="pvp",15,Inputs!$B$43)-(B1213))))*IF(AND(ArtifactsInput!$M$42,((Inputs!$B$9+((C1194=TRUE)*(F1194-Calc!F19))+B1206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189">
        <f>IF(C1189,((H1189*(B1210+IF(AND(Inputs!$B$38&lt;&gt;"pvp",Inputs!$B$43&gt;0),((Skills!G8*((R1183-1)*IF(Skills!H8&gt;0,INT(Skills!I8/Skills!H8+0.000000001),1)+IF(Skills!H8&gt;0,INT(MIN(Skills!I8,MAX(0,MAX(0,Inputs!$B$43-B1213)-((R1183-1)*((IF(Inputs!$B$38="pvp",15,MAX(0.1,Skills!D8-IF(TRUE=TRUE,Inputs!$B$32,0)))*(1-IF(AND(ArtifactsInput!$M$27,Inputs!$B$4="Chapter Hunt"),CHOOSE(ArtifactsInput!$N$27+1,20,24,28,32,36,40),0)/100))/B1217))))/Skills!H8+0.000000001),1)))/Inputs!$B$43),G1183*Q1183)+IF(AND(Inputs!$B$38&lt;&gt;"pvp",Inputs!$B$43&gt;0),((Skills!G11*((R1186-1)*IF(Skills!H11&gt;0,INT(Skills!I11/Skills!H11+0.000000001),1)+IF(Skills!H11&gt;0,INT(MIN(Skills!I11,MAX(0,MAX(0,Inputs!$B$43-B1213)-((R1186-1)*((IF(Inputs!$B$38="pvp",15,MAX(0.1,Skills!D11-IF(TRUE=TRUE,Inputs!$B$32,0)))*(1-IF(AND(ArtifactsInput!$M$27,Inputs!$B$4="Chapter Hunt"),CHOOSE(ArtifactsInput!$N$27+1,20,24,28,32,36,40),0)/100))/B1217))))/Skills!H11+0.000000001),1)))/Inputs!$B$43),G1186*Q1186)))/(1+Skills!H14*H1189*(B1210+IF(AND(Inputs!$B$38&lt;&gt;"pvp",Inputs!$B$43&gt;0),((Skills!G8*((R1183-1)*IF(Skills!H8&gt;0,INT(Skills!I8/Skills!H8+0.000000001),1)+IF(Skills!H8&gt;0,INT(MIN(Skills!I8,MAX(0,MAX(0,Inputs!$B$43-B1213)-((R1183-1)*((IF(Inputs!$B$38="pvp",15,MAX(0.1,Skills!D8-IF(TRUE=TRUE,Inputs!$B$32,0)))*(1-IF(AND(ArtifactsInput!$M$27,Inputs!$B$4="Chapter Hunt"),CHOOSE(ArtifactsInput!$N$27+1,20,24,28,32,36,40),0)/100))/B1217))))/Skills!H8+0.000000001),1)))/Inputs!$B$43),G1183*Q1183)+IF(AND(Inputs!$B$38&lt;&gt;"pvp",Inputs!$B$43&gt;0),((Skills!G11*((R1186-1)*IF(Skills!H11&gt;0,INT(Skills!I11/Skills!H11+0.000000001),1)+IF(Skills!H11&gt;0,INT(MIN(Skills!I11,MAX(0,MAX(0,Inputs!$B$43-B1213)-((R1186-1)*((IF(Inputs!$B$38="pvp",15,MAX(0.1,Skills!D11-IF(TRUE=TRUE,Inputs!$B$32,0)))*(1-IF(AND(ArtifactsInput!$M$27,Inputs!$B$4="Chapter Hunt"),CHOOSE(ArtifactsInput!$N$27+1,20,24,28,32,36,40),0)/100))/B1217))))/Skills!H11+0.000000001),1)))/Inputs!$B$43),G1186*Q1186)))*N1189)*IF(Inputs!$B$38="pvp",1,(1+(Inputs!$B$21+Skills!Q14+(IF(ArtifactsInput!$M$33,CHOOSE(ArtifactsInput!$N$33+1,30,36,42,48,54,60),0))+(IF(AND(ArtifactsInput!$M$35,Inputs!$B$4&lt;&gt;"Chapter Hunt"),CHOOSE(ArtifactsInput!$N$35+1,15,18,21,24,27,30)*(1-EXP(-(0.2*B1208)*5)),0)+IF(AND(ArtifactsInput!$M$22,Inputs!$B$4&lt;&gt;"Chapter Hunt"),CHOOSE(ArtifactsInput!$N$22+1,10,12,14,16,18,20)*((0*(((0.15*B1208*5))^0/1)+1*(((0.15*B1208*5))^1/1)+2*(((0.15*B1208*5))^2/2)+3*(((0.15*B1208*5))^3/6)+4*(((0.15*B1208*5))^4/24)+5*(((0.15*B1208*5))^5/120))/((((0.15*B1208*5))^0/1)+(((0.15*B1208*5))^1/1)+(((0.15*B1208*5))^2/2)+(((0.15*B1208*5))^3/6)+(((0.15*B1208*5))^4/24)+(((0.15*B1208*5))^5/120))),0))+IF(Inputs!$B$3&gt;=54,9*(C1178=TRUE)*MIN(1,8*(1+Inputs!$B$34/100)*Q1178),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90">
      <c r="A1190">
        <f>Skills!A15</f>
        <v/>
      </c>
      <c r="B1190">
        <f>Skills!B15</f>
        <v/>
      </c>
      <c r="C1190">
        <f>Inputs!$B$3&gt;=100</f>
        <v/>
      </c>
      <c r="D1190">
        <f>IF(Skills!C15=1,60+Inputs!$B$25+Inputs!$B$29,IF(Skills!C15=2,90+Inputs!$B$26+Inputs!$B$29,IF(Skills!C15=3,120+Inputs!$B$27+Inputs!$B$29,MAX(0,(Inputs!$B$3-100)*3)+Inputs!$B$28+Inputs!$B$29)))</f>
        <v/>
      </c>
      <c r="E1190">
        <f>INDEX(FactorTable!$B$2:$Y$301, MATCH(ROUND(MIN(300,MAX(1,D1190)),0), FactorTable!$A$2:$A$301,0), Skills!M15+1)</f>
        <v/>
      </c>
      <c r="F1190">
        <f>IF(Skills!N15=TRUE,(Skills!L15/10)*(E1190/1000),Skills!L15/10)+Skills!O15</f>
        <v/>
      </c>
      <c r="G1190" t="inlineStr"/>
      <c r="H1190" t="inlineStr"/>
      <c r="I1190" t="inlineStr">
        <is>
          <t>1</t>
        </is>
      </c>
      <c r="J1190" t="inlineStr"/>
      <c r="K1190" t="inlineStr"/>
      <c r="L1190" t="inlineStr"/>
      <c r="M1190" t="inlineStr"/>
      <c r="N1190" t="inlineStr"/>
      <c r="O1190" t="inlineStr"/>
      <c r="P1190" t="inlineStr"/>
      <c r="Q1190" t="inlineStr"/>
      <c r="R1190" t="inlineStr"/>
      <c r="S1190" t="inlineStr"/>
    </row>
    <row r="1191">
      <c r="A1191">
        <f>Skills!A16</f>
        <v/>
      </c>
      <c r="B1191">
        <f>Skills!B16</f>
        <v/>
      </c>
      <c r="C1191">
        <f>Inputs!$B$3&gt;=107</f>
        <v/>
      </c>
      <c r="D1191">
        <f>IF(Skills!C16=1,60+Inputs!$B$25+Inputs!$B$29,IF(Skills!C16=2,90+Inputs!$B$26+Inputs!$B$29,IF(Skills!C16=3,120+Inputs!$B$27+Inputs!$B$29,MAX(0,(Inputs!$B$3-100)*3)+Inputs!$B$28+Inputs!$B$29)))</f>
        <v/>
      </c>
      <c r="E1191">
        <f>INDEX(FactorTable!$B$2:$Y$301, MATCH(ROUND(MIN(300,MAX(1,D1191)),0), FactorTable!$A$2:$A$301,0), Skills!M16+1)</f>
        <v/>
      </c>
      <c r="F1191">
        <f>IF(Skills!N16=TRUE,(Skills!L16/10)*(E1191/1000),Skills!L16/10)+Skills!O16</f>
        <v/>
      </c>
      <c r="G1191" t="inlineStr"/>
      <c r="H1191" t="inlineStr"/>
      <c r="I1191" t="inlineStr">
        <is>
          <t>1</t>
        </is>
      </c>
      <c r="J1191" t="inlineStr"/>
      <c r="K1191" t="inlineStr"/>
      <c r="L1191" t="inlineStr"/>
      <c r="M1191" t="inlineStr"/>
      <c r="N1191" t="inlineStr"/>
      <c r="O1191" t="inlineStr"/>
      <c r="P1191" t="inlineStr"/>
      <c r="Q1191" t="inlineStr"/>
      <c r="R1191" t="inlineStr"/>
      <c r="S1191" t="inlineStr"/>
    </row>
    <row r="1192">
      <c r="A1192">
        <f>Skills!A17</f>
        <v/>
      </c>
      <c r="B1192">
        <f>Skills!B17</f>
        <v/>
      </c>
      <c r="C1192">
        <f>Inputs!$B$3&gt;=74</f>
        <v/>
      </c>
      <c r="D1192">
        <f>IF(Skills!C17=1,60+Inputs!$B$25+Inputs!$B$29,IF(Skills!C17=2,90+Inputs!$B$26+Inputs!$B$29,IF(Skills!C17=3,120+Inputs!$B$27+Inputs!$B$29,MAX(0,(Inputs!$B$3-100)*3)+Inputs!$B$28+Inputs!$B$29)))</f>
        <v/>
      </c>
      <c r="E1192">
        <f>INDEX(FactorTable!$B$2:$Y$301, MATCH(ROUND(MIN(300,MAX(1,D1192)),0), FactorTable!$A$2:$A$301,0), Skills!M17+1)</f>
        <v/>
      </c>
      <c r="F1192">
        <f>IF(Skills!N17=TRUE,(Skills!L17/10)*(E1192/1000),Skills!L17/10)+Skills!O17</f>
        <v/>
      </c>
      <c r="G1192">
        <f>Skills!G17*IF(Skills!H17&gt;0,INT(IF(Inputs!$B$38="pvp",MIN(Skills!I17,15),Skills!I17)/Skills!H17+0.000000001),1)</f>
        <v/>
      </c>
      <c r="H1192">
        <f>1-(1-Skills!J17/100)^Skills!K17</f>
        <v/>
      </c>
      <c r="I1192" t="inlineStr">
        <is>
          <t>1</t>
        </is>
      </c>
      <c r="J1192" t="inlineStr"/>
      <c r="K1192" t="inlineStr"/>
      <c r="L1192" t="inlineStr"/>
      <c r="M1192" t="inlineStr"/>
      <c r="N1192" t="inlineStr"/>
      <c r="O1192">
        <f>(1-Summary!$B$11)*T1192+Summary!$B$11*V1192</f>
        <v/>
      </c>
      <c r="P1192">
        <f>IF(B1216=0,0,O1192/B1216)</f>
        <v/>
      </c>
      <c r="Q1192" t="n">
        <v>0</v>
      </c>
      <c r="R1192" t="n">
        <v>0</v>
      </c>
      <c r="S1192">
        <f>IFERROR(O1192/N1192,0)</f>
        <v/>
      </c>
      <c r="T1192" t="n">
        <v>0</v>
      </c>
      <c r="V1192" t="n">
        <v>0</v>
      </c>
    </row>
    <row r="1193">
      <c r="A1193">
        <f>Skills!A18</f>
        <v/>
      </c>
      <c r="B1193">
        <f>Skills!B18</f>
        <v/>
      </c>
      <c r="C1193">
        <f>Inputs!$B$3&gt;=115</f>
        <v/>
      </c>
      <c r="D1193">
        <f>IF(Skills!C18=1,60+Inputs!$B$25+Inputs!$B$29,IF(Skills!C18=2,90+Inputs!$B$26+Inputs!$B$29,IF(Skills!C18=3,120+Inputs!$B$27+Inputs!$B$29,MAX(0,(Inputs!$B$3-100)*3)+Inputs!$B$28+Inputs!$B$29)))</f>
        <v/>
      </c>
      <c r="E1193">
        <f>INDEX(FactorTable!$B$2:$Y$301, MATCH(ROUND(MIN(300,MAX(1,D1193)),0), FactorTable!$A$2:$A$301,0), Skills!M18+1)</f>
        <v/>
      </c>
      <c r="F1193">
        <f>IF(Skills!N18=TRUE,(Skills!L18/10)*(E1193/1000),Skills!L18/10)+Skills!O18</f>
        <v/>
      </c>
      <c r="G1193">
        <f>Skills!G18*IF(Skills!H18&gt;0,INT(IF(Inputs!$B$38="pvp",MIN(Skills!I18,15),Skills!I18)/Skills!H18+0.000000001),1)</f>
        <v/>
      </c>
      <c r="H1193">
        <f>1-(1-Skills!J18/100)^Skills!K18</f>
        <v/>
      </c>
      <c r="I1193" t="inlineStr">
        <is>
          <t>1</t>
        </is>
      </c>
      <c r="J1193" t="inlineStr"/>
      <c r="K1193" t="inlineStr"/>
      <c r="L1193" t="inlineStr"/>
      <c r="M1193" t="inlineStr"/>
      <c r="N1193" t="inlineStr"/>
      <c r="O1193">
        <f>(1-Summary!$B$11)*T1193+Summary!$B$11*V1193</f>
        <v/>
      </c>
      <c r="P1193">
        <f>IF(B1216=0,0,O1193/B1216)</f>
        <v/>
      </c>
      <c r="Q1193">
        <f>IFERROR(1/(IF(Inputs!$B$38="pvp",15,MAX(0.1,Skills!D18-IF(TRUE=TRUE,Inputs!$B$32,0)))*(1-IF(AND(ArtifactsInput!$M$27,Inputs!$B$4="Chapter Hunt"),CHOOSE(ArtifactsInput!$N$27+1,20,24,28,32,36,40),0)/100)),0)</f>
        <v/>
      </c>
      <c r="R1193">
        <f>IF(AND(Inputs!$B$38&lt;&gt;"pvp",Inputs!$B$43&gt;0),IF(Inputs!$B$43&lt;=0,0,(INT(Inputs!$B$43/(IF(Inputs!$B$38="pvp",15,MAX(0.1,Skills!D18-IF(TRUE=TRUE,Inputs!$B$32,0)))*(1-IF(AND(ArtifactsInput!$M$27,Inputs!$B$4="Chapter Hunt"),CHOOSE(ArtifactsInput!$N$27+1,20,24,28,32,36,40),0)/100)))+1)),0)</f>
        <v/>
      </c>
      <c r="S1193">
        <f>IFERROR(O1193/N1193,0)</f>
        <v/>
      </c>
      <c r="T1193" t="n">
        <v>0</v>
      </c>
      <c r="V1193" t="n">
        <v>0</v>
      </c>
    </row>
    <row r="1194">
      <c r="A1194">
        <f>Skills!A19</f>
        <v/>
      </c>
      <c r="B1194">
        <f>Skills!B19</f>
        <v/>
      </c>
      <c r="C1194">
        <f>Inputs!$B$3&gt;=10</f>
        <v/>
      </c>
      <c r="D1194">
        <f>IF(Skills!C19=1,60+Inputs!$B$25+Inputs!$B$29,IF(Skills!C19=2,90+Inputs!$B$26+Inputs!$B$29,IF(Skills!C19=3,120+Inputs!$B$27+Inputs!$B$29,MAX(0,(Inputs!$B$3-100)*3)+Inputs!$B$28+Inputs!$B$29)))</f>
        <v/>
      </c>
      <c r="E1194">
        <f>INDEX(FactorTable!$B$2:$Y$301, MATCH(ROUND(MIN(300,MAX(1,D1194)),0), FactorTable!$A$2:$A$301,0), Skills!M19+1)</f>
        <v/>
      </c>
      <c r="F1194">
        <f>IF(Skills!N19=TRUE,(Skills!L19/10)*(E1194/1000),Skills!L19/10)+Skills!O19</f>
        <v/>
      </c>
      <c r="G1194">
        <f>Skills!G19*IF(Skills!H19&gt;0,INT(IF(Inputs!$B$38="pvp",MIN(Skills!I19,15),Skills!I19)/Skills!H19+0.000000001),1)</f>
        <v/>
      </c>
      <c r="H1194">
        <f>1-(1-Skills!J19/100)^Skills!K19</f>
        <v/>
      </c>
      <c r="I1194" t="inlineStr">
        <is>
          <t>1</t>
        </is>
      </c>
      <c r="J1194" t="inlineStr"/>
      <c r="K1194" t="inlineStr"/>
      <c r="L1194" t="inlineStr"/>
      <c r="M1194" t="inlineStr"/>
      <c r="N1194" t="inlineStr"/>
      <c r="O1194">
        <f>(1-Summary!$B$11)*T1194+Summary!$B$11*V1194</f>
        <v/>
      </c>
      <c r="P1194">
        <f>IF(B1216=0,0,O1194/B1216)</f>
        <v/>
      </c>
      <c r="Q1194" t="n">
        <v>0</v>
      </c>
      <c r="R1194" t="n">
        <v>0</v>
      </c>
      <c r="S1194">
        <f>IFERROR(O1194/N1194,0)</f>
        <v/>
      </c>
      <c r="T1194" t="n">
        <v>0</v>
      </c>
      <c r="V1194" t="n">
        <v>0</v>
      </c>
    </row>
    <row r="1195">
      <c r="A1195">
        <f>Skills!A20</f>
        <v/>
      </c>
      <c r="B1195">
        <f>Skills!B20</f>
        <v/>
      </c>
      <c r="C1195">
        <f>Inputs!$B$3&gt;=15</f>
        <v/>
      </c>
      <c r="D1195">
        <f>IF(Skills!C20=1,60+Inputs!$B$25+Inputs!$B$29,IF(Skills!C20=2,90+Inputs!$B$26+Inputs!$B$29,IF(Skills!C20=3,120+Inputs!$B$27+Inputs!$B$29,MAX(0,(Inputs!$B$3-100)*3)+Inputs!$B$28+Inputs!$B$29)))</f>
        <v/>
      </c>
      <c r="E1195">
        <f>INDEX(FactorTable!$B$2:$Y$301, MATCH(ROUND(MIN(300,MAX(1,D1195)),0), FactorTable!$A$2:$A$301,0), Skills!M20+1)</f>
        <v/>
      </c>
      <c r="F1195">
        <f>IF(Skills!N20=TRUE,(Skills!L20/10)*(E1195/1000),Skills!L20/10)+Skills!O20</f>
        <v/>
      </c>
      <c r="G1195">
        <f>Skills!G20*IF(Skills!H20&gt;0,INT(IF(Inputs!$B$38="pvp",MIN(Skills!I20,15),Skills!I20)/Skills!H20+0.000000001),1)</f>
        <v/>
      </c>
      <c r="H1195">
        <f>1-(1-Skills!J20/100)^Skills!K20</f>
        <v/>
      </c>
      <c r="I1195" t="inlineStr">
        <is>
          <t>1</t>
        </is>
      </c>
      <c r="J1195" t="inlineStr"/>
      <c r="K1195" t="inlineStr"/>
      <c r="L1195" t="inlineStr"/>
      <c r="M1195" t="inlineStr"/>
      <c r="N1195" t="inlineStr"/>
      <c r="O1195">
        <f>(1-Summary!$B$11)*T1195+Summary!$B$11*V1195</f>
        <v/>
      </c>
      <c r="P1195">
        <f>IF(B1216=0,0,O1195/B1216)</f>
        <v/>
      </c>
      <c r="Q1195" t="n">
        <v>0</v>
      </c>
      <c r="R1195" t="n">
        <v>0</v>
      </c>
      <c r="S1195">
        <f>IFERROR(O1195/N1195,0)</f>
        <v/>
      </c>
      <c r="T1195" t="n">
        <v>0</v>
      </c>
      <c r="V1195" t="n">
        <v>0</v>
      </c>
    </row>
    <row r="1196">
      <c r="A1196">
        <f>Skills!A21</f>
        <v/>
      </c>
      <c r="B1196">
        <f>Skills!B21</f>
        <v/>
      </c>
      <c r="C1196">
        <f>Inputs!$B$3&gt;=40</f>
        <v/>
      </c>
      <c r="D1196">
        <f>IF(Skills!C21=1,60+Inputs!$B$25+Inputs!$B$29,IF(Skills!C21=2,90+Inputs!$B$26+Inputs!$B$29,IF(Skills!C21=3,120+Inputs!$B$27+Inputs!$B$29,MAX(0,(Inputs!$B$3-100)*3)+Inputs!$B$28+Inputs!$B$29)))</f>
        <v/>
      </c>
      <c r="E1196">
        <f>INDEX(FactorTable!$B$2:$Y$301, MATCH(ROUND(MIN(300,MAX(1,D1196)),0), FactorTable!$A$2:$A$301,0), Skills!M21+1)</f>
        <v/>
      </c>
      <c r="F1196">
        <f>IF(Skills!N21=TRUE,(Skills!L21/10)*(E1196/1000),Skills!L21/10)+Skills!O21</f>
        <v/>
      </c>
      <c r="G1196">
        <f>Skills!G21*IF(Skills!H21&gt;0,INT(IF(Inputs!$B$38="pvp",MIN(Skills!I21,15),Skills!I21)/Skills!H21+0.000000001),1)</f>
        <v/>
      </c>
      <c r="H1196">
        <f>1-(1-Skills!J21/100)^Skills!K21</f>
        <v/>
      </c>
      <c r="I1196" t="inlineStr">
        <is>
          <t>1</t>
        </is>
      </c>
      <c r="J1196" t="inlineStr"/>
      <c r="K1196" t="inlineStr"/>
      <c r="L1196" t="inlineStr"/>
      <c r="M1196" t="inlineStr"/>
      <c r="N1196" t="inlineStr"/>
      <c r="O1196">
        <f>(1-Summary!$B$11)*T1196+Summary!$B$11*V1196</f>
        <v/>
      </c>
      <c r="P1196">
        <f>IF(B1216=0,0,O1196/B1216)</f>
        <v/>
      </c>
      <c r="Q1196" t="n">
        <v>0</v>
      </c>
      <c r="R1196" t="n">
        <v>0</v>
      </c>
      <c r="S1196">
        <f>IFERROR(O1196/N1196,0)</f>
        <v/>
      </c>
      <c r="T1196" t="n">
        <v>0</v>
      </c>
      <c r="V1196" t="n">
        <v>0</v>
      </c>
    </row>
    <row r="1197">
      <c r="A1197">
        <f>Skills!A22</f>
        <v/>
      </c>
      <c r="B1197">
        <f>Skills!B22</f>
        <v/>
      </c>
      <c r="C1197">
        <f>Inputs!$B$3&gt;=43</f>
        <v/>
      </c>
      <c r="D1197">
        <f>IF(Skills!C22=1,60+Inputs!$B$25+Inputs!$B$29,IF(Skills!C22=2,90+Inputs!$B$26+Inputs!$B$29,IF(Skills!C22=3,120+Inputs!$B$27+Inputs!$B$29,MAX(0,(Inputs!$B$3-100)*3)+Inputs!$B$28+Inputs!$B$29)))</f>
        <v/>
      </c>
      <c r="E1197">
        <f>INDEX(FactorTable!$B$2:$Y$301, MATCH(ROUND(MIN(300,MAX(1,D1197)),0), FactorTable!$A$2:$A$301,0), Skills!M22+1)</f>
        <v/>
      </c>
      <c r="F1197">
        <f>IF(Skills!N22=TRUE,(Skills!L22/10)*(E1197/1000),Skills!L22/10)+Skills!O22</f>
        <v/>
      </c>
      <c r="G1197">
        <f>Skills!G22*IF(Skills!H22&gt;0,INT(IF(Inputs!$B$38="pvp",MIN(Skills!I22,15),Skills!I22)/Skills!H22+0.000000001),1)</f>
        <v/>
      </c>
      <c r="H1197">
        <f>1-(1-Skills!J22/100)^Skills!K22</f>
        <v/>
      </c>
      <c r="I1197" t="inlineStr">
        <is>
          <t>1</t>
        </is>
      </c>
      <c r="J1197" t="inlineStr"/>
      <c r="K1197" t="inlineStr"/>
      <c r="L1197" t="inlineStr"/>
      <c r="M1197" t="inlineStr"/>
      <c r="N1197" t="inlineStr"/>
      <c r="O1197">
        <f>(1-Summary!$B$11)*T1197+Summary!$B$11*V1197</f>
        <v/>
      </c>
      <c r="P1197">
        <f>IF(B1216=0,0,O1197/B1216)</f>
        <v/>
      </c>
      <c r="Q1197" t="n">
        <v>0</v>
      </c>
      <c r="R1197" t="n">
        <v>0</v>
      </c>
      <c r="S1197">
        <f>IFERROR(O1197/N1197,0)</f>
        <v/>
      </c>
      <c r="T1197" t="n">
        <v>0</v>
      </c>
      <c r="V1197" t="n">
        <v>0</v>
      </c>
    </row>
    <row r="1198">
      <c r="A1198">
        <f>Skills!A23</f>
        <v/>
      </c>
      <c r="B1198">
        <f>Skills!B23</f>
        <v/>
      </c>
      <c r="C1198">
        <f>Inputs!$B$3&gt;=38</f>
        <v/>
      </c>
      <c r="D1198">
        <f>IF(Skills!C23=1,60+Inputs!$B$25+Inputs!$B$29,IF(Skills!C23=2,90+Inputs!$B$26+Inputs!$B$29,IF(Skills!C23=3,120+Inputs!$B$27+Inputs!$B$29,MAX(0,(Inputs!$B$3-100)*3)+Inputs!$B$28+Inputs!$B$29)))</f>
        <v/>
      </c>
      <c r="E1198">
        <f>INDEX(FactorTable!$B$2:$Y$301, MATCH(ROUND(MIN(300,MAX(1,D1198)),0), FactorTable!$A$2:$A$301,0), Skills!M23+1)</f>
        <v/>
      </c>
      <c r="F1198">
        <f>IF(Skills!N23=TRUE,(Skills!L23/10)*(E1198/1000),Skills!L23/10)+Skills!O23</f>
        <v/>
      </c>
      <c r="G1198">
        <f>Skills!G23*IF(Skills!H23&gt;0,INT(IF(Inputs!$B$38="pvp",MIN(Skills!I23,15),Skills!I23)/Skills!H23+0.000000001),1)</f>
        <v/>
      </c>
      <c r="H1198">
        <f>1-(1-Skills!J23/100)^Skills!K23</f>
        <v/>
      </c>
      <c r="I1198" t="inlineStr">
        <is>
          <t>1</t>
        </is>
      </c>
      <c r="J1198" t="inlineStr"/>
      <c r="K1198" t="inlineStr"/>
      <c r="L1198" t="inlineStr"/>
      <c r="M1198" t="inlineStr"/>
      <c r="N1198" t="inlineStr"/>
      <c r="O1198">
        <f>(1-Summary!$B$11)*T1198+Summary!$B$11*V1198</f>
        <v/>
      </c>
      <c r="P1198">
        <f>IF(B1216=0,0,O1198/B1216)</f>
        <v/>
      </c>
      <c r="Q1198" t="n">
        <v>0</v>
      </c>
      <c r="R1198" t="n">
        <v>0</v>
      </c>
      <c r="S1198">
        <f>IFERROR(O1198/N1198,0)</f>
        <v/>
      </c>
      <c r="T1198" t="n">
        <v>0</v>
      </c>
      <c r="V1198" t="n">
        <v>0</v>
      </c>
    </row>
    <row r="1199">
      <c r="A1199">
        <f>Skills!A24</f>
        <v/>
      </c>
      <c r="B1199">
        <f>Skills!B24</f>
        <v/>
      </c>
      <c r="C1199">
        <f>Inputs!$B$3&gt;=45</f>
        <v/>
      </c>
      <c r="D1199">
        <f>IF(Skills!C24=1,60+Inputs!$B$25+Inputs!$B$29,IF(Skills!C24=2,90+Inputs!$B$26+Inputs!$B$29,IF(Skills!C24=3,120+Inputs!$B$27+Inputs!$B$29,MAX(0,(Inputs!$B$3-100)*3)+Inputs!$B$28+Inputs!$B$29)))</f>
        <v/>
      </c>
      <c r="E1199">
        <f>INDEX(FactorTable!$B$2:$Y$301, MATCH(ROUND(MIN(300,MAX(1,D1199)),0), FactorTable!$A$2:$A$301,0), Skills!M24+1)</f>
        <v/>
      </c>
      <c r="F1199">
        <f>IF(Skills!N24=TRUE,(Skills!L24/10)*(E1199/1000),Skills!L24/10)+Skills!O24</f>
        <v/>
      </c>
      <c r="G1199">
        <f>Skills!G24*IF(Skills!H24&gt;0,INT(IF(Inputs!$B$38="pvp",MIN(Skills!I24,15),Skills!I24)/Skills!H24+0.000000001),1)</f>
        <v/>
      </c>
      <c r="H1199">
        <f>1-(1-Skills!J24/100)^Skills!K24</f>
        <v/>
      </c>
      <c r="I1199" t="inlineStr">
        <is>
          <t>1</t>
        </is>
      </c>
      <c r="J1199" t="inlineStr"/>
      <c r="K1199" t="inlineStr"/>
      <c r="L1199" t="inlineStr"/>
      <c r="M1199" t="inlineStr"/>
      <c r="N1199" t="inlineStr"/>
      <c r="O1199">
        <f>(1-Summary!$B$11)*T1199+Summary!$B$11*V1199</f>
        <v/>
      </c>
      <c r="P1199">
        <f>IF(B1216=0,0,O1199/B1216)</f>
        <v/>
      </c>
      <c r="Q1199" t="n">
        <v>0</v>
      </c>
      <c r="R1199" t="n">
        <v>0</v>
      </c>
      <c r="S1199">
        <f>IFERROR(O1199/N1199,0)</f>
        <v/>
      </c>
      <c r="T1199" t="n">
        <v>0</v>
      </c>
      <c r="V1199" t="n">
        <v>0</v>
      </c>
    </row>
    <row r="1200">
      <c r="A1200">
        <f>Skills!A25</f>
        <v/>
      </c>
      <c r="B1200">
        <f>Skills!B25</f>
        <v/>
      </c>
      <c r="C1200">
        <f>Inputs!$B$3&gt;=72</f>
        <v/>
      </c>
      <c r="D1200">
        <f>IF(Skills!C25=1,60+Inputs!$B$25+Inputs!$B$29,IF(Skills!C25=2,90+Inputs!$B$26+Inputs!$B$29,IF(Skills!C25=3,120+Inputs!$B$27+Inputs!$B$29,MAX(0,(Inputs!$B$3-100)*3)+Inputs!$B$28+Inputs!$B$29)))</f>
        <v/>
      </c>
      <c r="E1200">
        <f>INDEX(FactorTable!$B$2:$Y$301, MATCH(ROUND(MIN(300,MAX(1,D1200)),0), FactorTable!$A$2:$A$301,0), Skills!M25+1)</f>
        <v/>
      </c>
      <c r="F1200">
        <f>IF(Skills!N25=TRUE,(Skills!L25/10)*(E1200/1000),Skills!L25/10)+Skills!O25</f>
        <v/>
      </c>
      <c r="G1200">
        <f>Skills!G25*IF(Skills!H25&gt;0,INT(IF(Inputs!$B$38="pvp",MIN(Skills!I25,15),Skills!I25)/Skills!H25+0.000000001),1)</f>
        <v/>
      </c>
      <c r="H1200">
        <f>1-(1-Skills!J25/100)^Skills!K25</f>
        <v/>
      </c>
      <c r="I1200" t="inlineStr">
        <is>
          <t>1</t>
        </is>
      </c>
      <c r="J1200" t="inlineStr"/>
      <c r="K1200" t="inlineStr"/>
      <c r="L1200" t="inlineStr"/>
      <c r="M1200" t="inlineStr"/>
      <c r="N1200" t="inlineStr"/>
      <c r="O1200">
        <f>(1-Summary!$B$11)*T1200+Summary!$B$11*V1200</f>
        <v/>
      </c>
      <c r="P1200">
        <f>IF(B1216=0,0,O1200/B1216)</f>
        <v/>
      </c>
      <c r="Q1200" t="n">
        <v>0</v>
      </c>
      <c r="R1200" t="n">
        <v>0</v>
      </c>
      <c r="S1200">
        <f>IFERROR(O1200/N1200,0)</f>
        <v/>
      </c>
      <c r="T1200" t="n">
        <v>0</v>
      </c>
      <c r="V1200" t="n">
        <v>0</v>
      </c>
    </row>
    <row r="1201">
      <c r="A1201">
        <f>Skills!A26</f>
        <v/>
      </c>
      <c r="B1201">
        <f>Skills!B26</f>
        <v/>
      </c>
      <c r="C1201">
        <f>Inputs!$B$3&gt;=75</f>
        <v/>
      </c>
      <c r="D1201">
        <f>IF(Skills!C26=1,60+Inputs!$B$25+Inputs!$B$29,IF(Skills!C26=2,90+Inputs!$B$26+Inputs!$B$29,IF(Skills!C26=3,120+Inputs!$B$27+Inputs!$B$29,MAX(0,(Inputs!$B$3-100)*3)+Inputs!$B$28+Inputs!$B$29)))</f>
        <v/>
      </c>
      <c r="E1201">
        <f>INDEX(FactorTable!$B$2:$Y$301, MATCH(ROUND(MIN(300,MAX(1,D1201)),0), FactorTable!$A$2:$A$301,0), Skills!M26+1)</f>
        <v/>
      </c>
      <c r="F1201">
        <f>IF(Skills!N26=TRUE,(Skills!L26/10)*(E1201/1000),Skills!L26/10)+Skills!O26</f>
        <v/>
      </c>
      <c r="G1201">
        <f>Skills!G26*IF(Skills!H26&gt;0,INT(IF(Inputs!$B$38="pvp",MIN(Skills!I26,15),Skills!I26)/Skills!H26+0.000000001),1)</f>
        <v/>
      </c>
      <c r="H1201">
        <f>1-(1-Skills!J26/100)^Skills!K26</f>
        <v/>
      </c>
      <c r="I1201" t="inlineStr">
        <is>
          <t>1</t>
        </is>
      </c>
      <c r="J1201" t="inlineStr"/>
      <c r="K1201" t="inlineStr"/>
      <c r="L1201" t="inlineStr"/>
      <c r="M1201" t="inlineStr"/>
      <c r="N1201" t="inlineStr"/>
      <c r="O1201">
        <f>(1-Summary!$B$11)*T1201+Summary!$B$11*V1201</f>
        <v/>
      </c>
      <c r="P1201">
        <f>IF(B1216=0,0,O1201/B1216)</f>
        <v/>
      </c>
      <c r="Q1201" t="n">
        <v>0</v>
      </c>
      <c r="R1201" t="n">
        <v>0</v>
      </c>
      <c r="S1201">
        <f>IFERROR(O1201/N1201,0)</f>
        <v/>
      </c>
      <c r="T1201" t="n">
        <v>0</v>
      </c>
      <c r="V1201" t="n">
        <v>0</v>
      </c>
    </row>
    <row r="1202">
      <c r="A1202">
        <f>Skills!A27</f>
        <v/>
      </c>
      <c r="B1202">
        <f>Skills!B27</f>
        <v/>
      </c>
      <c r="C1202">
        <f>Inputs!$B$3&gt;=125</f>
        <v/>
      </c>
      <c r="D1202">
        <f>IF(Skills!C27=1,60+Inputs!$B$25+Inputs!$B$29,IF(Skills!C27=2,90+Inputs!$B$26+Inputs!$B$29,IF(Skills!C27=3,120+Inputs!$B$27+Inputs!$B$29,MAX(0,(Inputs!$B$3-100)*3)+Inputs!$B$28+Inputs!$B$29)))</f>
        <v/>
      </c>
      <c r="E1202">
        <f>INDEX(FactorTable!$B$2:$Y$301, MATCH(ROUND(MIN(300,MAX(1,D1202)),0), FactorTable!$A$2:$A$301,0), Skills!M27+1)</f>
        <v/>
      </c>
      <c r="F1202">
        <f>IF(Skills!N27=TRUE,(Skills!L27/10)*(E1202/1000),Skills!L27/10)+Skills!O27</f>
        <v/>
      </c>
      <c r="G1202">
        <f>Skills!G27*IF(Skills!H27&gt;0,INT(IF(Inputs!$B$38="pvp",MIN(Skills!I27,15),Skills!I27)/Skills!H27+0.000000001),1)</f>
        <v/>
      </c>
      <c r="H1202">
        <f>1-(1-Skills!J27/100)^Skills!K27</f>
        <v/>
      </c>
      <c r="I1202" t="inlineStr">
        <is>
          <t>1</t>
        </is>
      </c>
      <c r="J1202" t="inlineStr"/>
      <c r="K1202" t="inlineStr"/>
      <c r="L1202" t="inlineStr"/>
      <c r="M1202" t="inlineStr"/>
      <c r="N1202" t="inlineStr"/>
      <c r="O1202">
        <f>(1-Summary!$B$11)*T1202+Summary!$B$11*V1202</f>
        <v/>
      </c>
      <c r="P1202">
        <f>IF(B1216=0,0,O1202/B1216)</f>
        <v/>
      </c>
      <c r="Q1202" t="n">
        <v>0</v>
      </c>
      <c r="R1202" t="n">
        <v>0</v>
      </c>
      <c r="S1202">
        <f>IFERROR(O1202/N1202,0)</f>
        <v/>
      </c>
      <c r="T1202" t="n">
        <v>0</v>
      </c>
      <c r="V1202" t="n">
        <v>0</v>
      </c>
    </row>
    <row r="1203">
      <c r="A1203">
        <f>Skills!A28</f>
        <v/>
      </c>
      <c r="B1203">
        <f>Skills!B28</f>
        <v/>
      </c>
      <c r="C1203">
        <f>TRUE</f>
        <v/>
      </c>
      <c r="D1203">
        <f>IF(Skills!C28=1,60+Inputs!$B$25+Inputs!$B$29,IF(Skills!C28=2,90+Inputs!$B$26+Inputs!$B$29,IF(Skills!C28=3,120+Inputs!$B$27+Inputs!$B$29,MAX(0,(Inputs!$B$3-100)*3)+Inputs!$B$28+Inputs!$B$29)))</f>
        <v/>
      </c>
      <c r="E1203">
        <f>INDEX(FactorTable!$B$2:$Y$301, MATCH(ROUND(MIN(300,MAX(1,D1203)),0), FactorTable!$A$2:$A$301,0), Skills!M28+1)</f>
        <v/>
      </c>
      <c r="F1203">
        <f>IF(Skills!N28=TRUE,(Skills!L28/10)*(E1203/1000),Skills!L28/10)+Skills!O28</f>
        <v/>
      </c>
      <c r="G1203">
        <f>Skills!G28*IF(Skills!H28&gt;0,INT(IF(Inputs!$B$38="pvp",MIN(Skills!I28,15),Skills!I28)/Skills!H28+0.000000001),1)</f>
        <v/>
      </c>
      <c r="H1203">
        <f>1-(1-Skills!J28/100)^Skills!K28</f>
        <v/>
      </c>
      <c r="I1203" t="inlineStr">
        <is>
          <t>1</t>
        </is>
      </c>
      <c r="J1203" t="inlineStr"/>
      <c r="K1203" t="inlineStr"/>
      <c r="L1203" t="inlineStr"/>
      <c r="M1203" t="inlineStr"/>
      <c r="N1203" t="inlineStr"/>
      <c r="O1203">
        <f>(1-Summary!$B$11)*T1203+Summary!$B$11*V1203</f>
        <v/>
      </c>
      <c r="P1203">
        <f>IF(B1216=0,0,O1203/B1216)</f>
        <v/>
      </c>
      <c r="Q1203">
        <f>IFERROR(1/(IF(Inputs!$B$38="pvp",15,MAX(0.1,Skills!D28-IF(TRUE=TRUE,Inputs!$B$32,0)))*(1-IF(AND(ArtifactsInput!$M$27,Inputs!$B$4="Chapter Hunt"),CHOOSE(ArtifactsInput!$N$27+1,20,24,28,32,36,40),0)/100)),0)</f>
        <v/>
      </c>
      <c r="R1203">
        <f>IF(AND(Inputs!$B$38&lt;&gt;"pvp",Inputs!$B$43&gt;0),IF(Inputs!$B$43&lt;=0,0,(INT(Inputs!$B$43/(IF(Inputs!$B$38="pvp",15,MAX(0.1,Skills!D28-IF(TRUE=TRUE,Inputs!$B$32,0)))*(1-IF(AND(ArtifactsInput!$M$27,Inputs!$B$4="Chapter Hunt"),CHOOSE(ArtifactsInput!$N$27+1,20,24,28,32,36,40),0)/100)))+1)),0)</f>
        <v/>
      </c>
      <c r="S1203">
        <f>IFERROR(O1203/N1203,0)</f>
        <v/>
      </c>
      <c r="T1203" t="n">
        <v>0</v>
      </c>
      <c r="V1203" t="n">
        <v>0</v>
      </c>
    </row>
    <row r="1205">
      <c r="A1205" t="inlineStr">
        <is>
          <t>Attack% Bucket Multiplier</t>
        </is>
      </c>
      <c r="B1205">
        <f>(1+(((C1192=TRUE)*F1192*5/7)+((C1199=TRUE)*(F1199-Calc!F24))+(IF(ArtifactsInput!$M$21,CHOOSE(ArtifactsInput!$N$21+1,25,30,35,40,45,50)*(IF(OR(Inputs!$B$4="Chapter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206">
      <c r="A1206" t="inlineStr">
        <is>
          <t>Global Crit Rate Bonus %</t>
        </is>
      </c>
      <c r="B1206" t="n">
        <v>0</v>
      </c>
    </row>
    <row r="1207">
      <c r="A1207" t="inlineStr">
        <is>
          <t>Attack Speed Buff Bonus % (Nimble Feet, duty-cycle averaged)</t>
        </is>
      </c>
      <c r="B1207">
        <f>((C1203=TRUE)*F1203*IF(AND(Inputs!$B$38&lt;&gt;"pvp",Inputs!$B$43&gt;0),(((R1203-1)*MIN((Skills!T28*(1+Inputs!$B$34/100)),(1/Q1203))+MIN((Skills!T28*(1+Inputs!$B$34/100)),MAX(0,Inputs!$B$43-((R1203-1)*(1/Q1203)))))/Inputs!$B$43),IF(Inputs!$B$38="pvp",MIN((Skills!T28*(1+Inputs!$B$34/100)),15)/15,MIN(1,(Skills!T28*(1+Inputs!$B$34/100))/(1/Q1203)))))</f>
        <v/>
      </c>
    </row>
    <row r="1208">
      <c r="A1208" t="inlineStr">
        <is>
          <t>Actions Per Second</t>
        </is>
      </c>
      <c r="B1208">
        <f>1+MIN(150,150*(1-(1-(Inputs!$B$11+((C1195=TRUE)*(F1195-Calc!F20))+((C1196=TRUE)*(F1196-Calc!F21)))/150)*(1-B1207/150)))/100</f>
        <v/>
      </c>
    </row>
    <row r="1209">
      <c r="A1209" t="inlineStr">
        <is>
          <t>Skill + Buff Cast Rate</t>
        </is>
      </c>
      <c r="B1209">
        <f>IF(AND(Inputs!$B$38&lt;&gt;"pvp",Inputs!$B$43&gt;0),SUMPRODUCT((Skills!E2:E28=TRUE)*(C1177:C1203=TRUE)*R1177:R1203*Skills!F2:F28)/Inputs!$B$43,SUMPRODUCT((Skills!E2:E28=TRUE)*(C1177:C1203=TRUE)*Q1177:Q1203*Skills!F2:F28))</f>
        <v/>
      </c>
    </row>
    <row r="1210">
      <c r="A1210" t="inlineStr">
        <is>
          <t>Eight-Legs Easton Casts Per Second</t>
        </is>
      </c>
      <c r="B1210">
        <f>MAX(0,B1208-B1209)</f>
        <v/>
      </c>
    </row>
    <row r="1211">
      <c r="A1211" t="inlineStr">
        <is>
          <t>Global Critical Damage Bonus % (unused)</t>
        </is>
      </c>
      <c r="B1211" t="n">
        <v>0</v>
      </c>
    </row>
    <row r="1212">
      <c r="A1212" t="inlineStr">
        <is>
          <t>Global Final Damage Bonus % (Jolly Roger + Ahoy Mateys - Final Damage proc)</t>
        </is>
      </c>
      <c r="B1212">
        <f>((C1193=TRUE)*F1193*IF(AND(Inputs!$B$38&lt;&gt;"pvp",Inputs!$B$43&gt;0),(((R1193-1)*MIN((Skills!T18*(1+Inputs!$B$34/100)),(1/Q1193))+MIN((Skills!T18*(1+Inputs!$B$34/100)),MAX(0,Inputs!$B$43-((R1193-1)*(1/Q1193)))))/Inputs!$B$43),IF(Inputs!$B$38="pvp",MIN((Skills!T18*(1+Inputs!$B$34/100)),15)/15,MIN(1,(Skills!T18*(1+Inputs!$B$34/100))/(1/Q1193)))))+IF(Inputs!$B$3&gt;=122,20*IF(Inputs!$B$38="pvp",MIN((20*(1+Inputs!$B$34/100)),15)/15,MIN(1,(20*(1+Inputs!$B$34/100))/(1/Q1179))),0)</f>
        <v/>
      </c>
    </row>
    <row r="1213">
      <c r="A1213" t="inlineStr">
        <is>
          <t>Buff-Casting Startup Delay (s, fixed-duration only)</t>
        </is>
      </c>
      <c r="B1213">
        <f>IF(AND(Inputs!$B$38&lt;&gt;"pvp",Inputs!$B$43&gt;0),SUMPRODUCT((Skills!T2:T28&gt;0)*(Skills!E2:E28=TRUE)*(C1177:C1203=TRUE))/B1208,0)</f>
        <v/>
      </c>
    </row>
    <row r="1214">
      <c r="A1214" t="inlineStr">
        <is>
          <t>Boss-Only Total DPS (this block's swept value)</t>
        </is>
      </c>
      <c r="B1214">
        <f>SUM(T1177:T1203)</f>
        <v/>
      </c>
    </row>
    <row r="1215">
      <c r="A1215" t="inlineStr">
        <is>
          <t>Normal-Only Total DPS (this block's swept value)</t>
        </is>
      </c>
      <c r="B1215">
        <f>SUM(V1177:V1203)</f>
        <v/>
      </c>
    </row>
    <row r="1216">
      <c r="A1216" s="6" t="inlineStr">
        <is>
          <t>TOTAL DPS</t>
        </is>
      </c>
      <c r="B1216" s="6">
        <f>SUM(O1177:O1203)</f>
        <v/>
      </c>
    </row>
    <row r="1217">
      <c r="A1217" t="inlineStr">
        <is>
          <t>Quickdraw cooldown divisor (this block's own APS / Q)</t>
        </is>
      </c>
      <c r="B1217">
        <f>IF(AND(C1202=TRUE,Inputs!$B$38&lt;&gt;"pvp"),1+0.25*MAX(0,(B1208-(((C1178=TRUE)*Q1178*1)+((C1179=TRUE)*Q1179*1)+((C1181=TRUE)*Q1181*1)+((C1182=TRUE)*Q1182*1)+((C1184=TRUE)*Q1184*1)+((C1187=TRUE)*Q1187*1)+((C1193=TRUE)*Q1193*1)+((C1203=TRUE)*Q1203*1))-((C1183=TRUE)/(IF(Inputs!$B$38="pvp",15,MAX(0.1,Skills!D8-IF(TRUE=TRUE,Inputs!$B$32,0)))*(1-IF(AND(ArtifactsInput!$M$27,Inputs!$B$4="Chapter Hunt"),CHOOSE(ArtifactsInput!$N$27+1,20,24,28,32,36,40),0)/100))+(C1186=TRUE)/(IF(Inputs!$B$38="pvp",15,MAX(0.1,Skills!D11-IF(TRUE=TRUE,Inputs!$B$32,0)))*(1-IF(AND(ArtifactsInput!$M$27,Inputs!$B$4="Chapter Hunt"),CHOOSE(ArtifactsInput!$N$27+1,20,24,28,32,36,40),0)/100))))/(1+0.25*((C1183=TRUE)/(IF(Inputs!$B$38="pvp",15,MAX(0.1,Skills!D8-IF(TRUE=TRUE,Inputs!$B$32,0)))*(1-IF(AND(ArtifactsInput!$M$27,Inputs!$B$4="Chapter Hunt"),CHOOSE(ArtifactsInput!$N$27+1,20,24,28,32,36,40),0)/100))+(C1186=TRUE)/(IF(Inputs!$B$38="pvp",15,MAX(0.1,Skills!D11-IF(TRUE=TRUE,Inputs!$B$32,0)))*(1-IF(AND(ArtifactsInput!$M$27,Inputs!$B$4="Chapter Hunt"),CHOOSE(ArtifactsInput!$N$27+1,20,24,28,32,36,40),0)/100))))),1)</f>
        <v/>
      </c>
    </row>
    <row r="1218">
      <c r="A1218" t="inlineStr">
        <is>
          <t>Nautilus Strike - Final Attack trigger rate (this block's own Q/R)</t>
        </is>
      </c>
      <c r="B1218">
        <f>IF(AND(Inputs!$B$38&lt;&gt;"pvp",Inputs!$B$43&gt;0),(((C1178=TRUE)*R1178)+((C1181=TRUE)*R1181)+((C1183=TRUE)*R1183)+((C1184=TRUE)*R1184)+((C1186=TRUE)*R1186))/Inputs!$B$43,((C1178=TRUE)*Q1178)+((C1181=TRUE)*Q1181)+((C1183=TRUE)*Q1183)+((C1184=TRUE)*Q1184)+((C1186=TRUE)*Q1186))+B1210</f>
        <v/>
      </c>
    </row>
    <row r="1221">
      <c r="A1221" s="6" t="inlineStr">
        <is>
          <t>Stat: Buff Duration Increase %</t>
        </is>
      </c>
    </row>
    <row r="1222">
      <c r="A1222" s="5" t="inlineStr">
        <is>
          <t>Key</t>
        </is>
      </c>
      <c r="B1222" s="5" t="inlineStr">
        <is>
          <t>Name</t>
        </is>
      </c>
      <c r="C1222" s="5" t="inlineStr">
        <is>
          <t>Unlocked</t>
        </is>
      </c>
      <c r="D1222" s="5" t="inlineStr">
        <is>
          <t>InputLevel</t>
        </is>
      </c>
      <c r="E1222" s="5" t="inlineStr">
        <is>
          <t>Factor</t>
        </is>
      </c>
      <c r="F1222" s="5" t="inlineStr">
        <is>
          <t>CoefficientPercent</t>
        </is>
      </c>
      <c r="G1222" s="5" t="inlineStr">
        <is>
          <t>EffectiveHits</t>
        </is>
      </c>
      <c r="H1222" s="5" t="inlineStr">
        <is>
          <t>ProcProbability</t>
        </is>
      </c>
      <c r="I1222" s="5" t="inlineStr">
        <is>
          <t>MapleHeroMultiplier</t>
        </is>
      </c>
      <c r="J1222" s="5" t="inlineStr">
        <is>
          <t>BaseDamage</t>
        </is>
      </c>
      <c r="K1222" s="5" t="inlineStr">
        <is>
          <t>BaseHitDamage</t>
        </is>
      </c>
      <c r="L1222" s="5" t="inlineStr">
        <is>
          <t>NonCritAvg</t>
        </is>
      </c>
      <c r="M1222" s="5" t="inlineStr">
        <is>
          <t>CritAvg</t>
        </is>
      </c>
      <c r="N1222" s="5" t="inlineStr">
        <is>
          <t>ExpectedDamage(perHit)</t>
        </is>
      </c>
      <c r="O1222" s="5" t="inlineStr">
        <is>
          <t>DPS</t>
        </is>
      </c>
      <c r="P1222" s="5" t="inlineStr">
        <is>
          <t>% of Total</t>
        </is>
      </c>
      <c r="Q1222" s="5" t="inlineStr">
        <is>
          <t>InvCooldown</t>
        </is>
      </c>
      <c r="R1222" s="5" t="inlineStr">
        <is>
          <t>CastsInFight</t>
        </is>
      </c>
      <c r="S1222" s="5" t="inlineStr">
        <is>
          <t>HitRate(perSec)</t>
        </is>
      </c>
      <c r="U1222" t="inlineStr">
        <is>
          <t>helpers</t>
        </is>
      </c>
    </row>
    <row r="1223">
      <c r="A1223">
        <f>Skills!A2</f>
        <v/>
      </c>
      <c r="B1223">
        <f>Skills!B2</f>
        <v/>
      </c>
      <c r="C1223">
        <f>Inputs!$B$3&gt;=100</f>
        <v/>
      </c>
      <c r="D1223" t="inlineStr"/>
      <c r="E1223" t="inlineStr"/>
      <c r="F1223">
        <f>U1225+Skills!O2</f>
        <v/>
      </c>
      <c r="G1223">
        <f>Skills!G2*IF(Skills!H2&gt;0,INT(IF(Inputs!$B$38="pvp",MIN(Skills!I2,15),Skills!I2)/Skills!H2+0.000000001),1)</f>
        <v/>
      </c>
      <c r="H1223">
        <f>1-(1-Skills!J2/100)^Skills!K2</f>
        <v/>
      </c>
      <c r="I1223" t="inlineStr">
        <is>
          <t>1</t>
        </is>
      </c>
      <c r="J1223">
        <f>((Inputs!$B$6*(1+Inputs!$B$7/100))+(((Inputs!$B$12*(1+Inputs!$B$13/100))-(Inputs!$B$12*(1+Inputs!$B$13/100)))+0.25*(Inputs!$B$14-Inputs!$B$14))*(1+Inputs!$B$7/100))*(F1223/100)</f>
        <v/>
      </c>
      <c r="K1223">
        <f>J1223*(1+((Inputs!$B$12*(1+Inputs!$B$13/100))*0.01+Inputs!$B$14*0.0025)/100)*(1+Inputs!$B$15/100)*(1+Inputs!$B$16/100)*(5000/(6000+Inputs!$B$42*(1-(100*(1-(1-(Inputs!$B$19+0)/100)*(1-CHOOSE(ArtifactsInput!$N$40+1,5,6,7,8,9,10)/100)^(ArtifactsInput!$M$40-ArtifactsInput!$M$40)))/100)))*(1+(Inputs!$B$24+((C1247=TRUE)*(F1247-Calc!F26))+B1258)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IGHT_LEGS_EASTON",Inputs!$B$17+((C1244=TRUE)*(F1244-Calc!F23))+((C1248=TRUE)*(F1248-Calc!F27))+((IF(AND(Inputs!$B$38&lt;&gt;"pvp",Inputs!$B$43=0),1,IF(IF(Inputs!$B$38="pvp",15,Inputs!$B$43)-(B1259)&lt;=0,1,MAX(0,IF(Inputs!$B$38="pvp",15,Inputs!$B$43)-MAX(5,B1259))/(IF(Inputs!$B$38="pvp",15,Inputs!$B$43)-(B1259))))*(IF(AND(ArtifactsInput!$M$42,((Inputs!$B$9+((C1240=TRUE)*(F1240-Calc!F19))+B1252+(ArtifactsInput!$M$24-ArtifactsInput!$M$24)*CHOOSE(ArtifactsInput!$N$24+1,10,12,14,16,18,20)+IF(ArtifactsInput!$M$10,CHOOSE(ArtifactsInput!$N$10+1,15,18,21,24,27,30)*(IF(Inputs!$B$38="pvp",MIN(15,15)/15,IF(AND(Inputs!$B$38&lt;&gt;"pvp",Inputs!$B$43&gt;0),MIN(15,Inputs!$B$43)/(Inputs!$B$43),0))),0)))&gt;=100),MIN(100,((Inputs!$B$9+((C1240=TRUE)*(F1240-Calc!F19))+B1252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1259)&lt;=0,1,MAX(0,IF(Inputs!$B$38="pvp",15,Inputs!$B$43)-MAX(5,B1259))/(IF(Inputs!$B$38="pvp",15,Inputs!$B$43)-(B1259))))*IF(AND(ArtifactsInput!$M$42,((Inputs!$B$9+((C1240=TRUE)*(F1240-Calc!F19))+B1252+(ArtifactsInput!$M$24-ArtifactsInput!$M$24)*CHOOSE(ArtifactsInput!$N$24+1,10,12,14,16,18,20)+IF(ArtifactsInput!$M$10,CHOOSE(ArtifactsInput!$N$10+1,15,18,21,24,27,30)*(IF(Inputs!$B$38="pvp",MIN(15,15)/15,IF(AND(Inputs!$B$38&lt;&gt;"pvp",Inputs!$B$43&gt;0),MIN(15,Inputs!$B$43)/(Inputs!$B$43),0))),0)))&gt;=100),CHOOSE(ArtifactsInput!$N$42+1,40,48,56,64,72,80),0))))/100)*((1+(((C1238=TRUE)*F1238*5/7)+((C1245=TRUE)*(F1245-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1223)</f>
        <v/>
      </c>
      <c r="L1223">
        <f>K1223*(MIN(Inputs!$B$22+((C1243=TRUE)*(F1243-Calc!F22)),(Inputs!$B$23+0+(IF(ArtifactsInput!$M$15,CHOOSE(ArtifactsInput!$N$15+1,25,30,35,40,45,50)/100*(Inputs!$B$11-Inputs!$B$11),0))))/100+(Inputs!$B$23+0+(IF(ArtifactsInput!$M$15,CHOOSE(ArtifactsInput!$N$15+1,25,30,35,40,45,50)/100*(Inputs!$B$11-Inputs!$B$11),0)))/100)/2</f>
        <v/>
      </c>
      <c r="M1223">
        <f>L1223*(1+(Inputs!$B$10+((C1246=TRUE)*(F1246-Calc!F25))+B1257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23">
        <f>L1223*(1-MIN((Inputs!$B$9+((C1240=TRUE)*(F1240-Calc!F19))+B1252+(ArtifactsInput!$M$24-ArtifactsInput!$M$24)*CHOOSE(ArtifactsInput!$N$24+1,10,12,14,16,18,20)+(IF(AND(Inputs!$B$38&lt;&gt;"pvp",Inputs!$B$43=0),1,IF(IF(Inputs!$B$38="pvp",15,Inputs!$B$43)-(B1259)&lt;=0,1,MAX(0,IF(Inputs!$B$38="pvp",15,Inputs!$B$43)-MAX(5,B1259))/(IF(Inputs!$B$38="pvp",15,Inputs!$B$43)-(B1259))))*IF(AND(ArtifactsInput!$M$42,((Inputs!$B$9+((C1240=TRUE)*(F1240-Calc!F19))+B1252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1223*(MIN((Inputs!$B$9+((C1240=TRUE)*(F1240-Calc!F19))+B1252+(ArtifactsInput!$M$24-ArtifactsInput!$M$24)*CHOOSE(ArtifactsInput!$N$24+1,10,12,14,16,18,20)+(IF(AND(Inputs!$B$38&lt;&gt;"pvp",Inputs!$B$43=0),1,IF(IF(Inputs!$B$38="pvp",15,Inputs!$B$43)-(B1259)&lt;=0,1,MAX(0,IF(Inputs!$B$38="pvp",15,Inputs!$B$43)-MAX(5,B1259))/(IF(Inputs!$B$38="pvp",15,Inputs!$B$43)-(B1259))))*IF(AND(ArtifactsInput!$M$42,((Inputs!$B$9+((C1240=TRUE)*(F1240-Calc!F19))+B1252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23">
        <f>(1-Summary!$B$11)*T1223+Summary!$B$11*V1223</f>
        <v/>
      </c>
      <c r="P1223">
        <f>IF(B1262=0,0,O1223/B1262)</f>
        <v/>
      </c>
      <c r="Q1223" t="n">
        <v>0</v>
      </c>
      <c r="R1223" t="n">
        <v>0</v>
      </c>
      <c r="S1223">
        <f>IFERROR(O1223/N1223,0)</f>
        <v/>
      </c>
      <c r="T1223">
        <f>IF(C1223,(Skills!G2*N1223*B1256*(1+IF(C1248=TRUE,1/3,0)))*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Hunt"),CHOOSE(ArtifactsInput!$N$35+1,15,18,21,24,27,30)*(1-EXP(-(0.2*B1254)*5)),0)+IF(AND(ArtifactsInput!$M$22,Inputs!$B$4&lt;&gt;"Chapter Hunt"),CHOOSE(ArtifactsInput!$N$22+1,10,12,14,16,18,20)*((0*(((0.15*B1254*5))^0/1)+1*(((0.15*B1254*5))^1/1)+2*(((0.15*B1254*5))^2/2)+3*(((0.15*B1254*5))^3/6)+4*(((0.15*B1254*5))^4/24)+5*(((0.15*B1254*5))^5/120))/((((0.15*B1254*5))^0/1)+(((0.15*B1254*5))^1/1)+(((0.15*B1254*5))^2/2)+(((0.15*B1254*5))^3/6)+(((0.15*B1254*5))^4/24)+(((0.15*B1254*5))^5/120))),0))+IF(Inputs!$B$3&gt;=54,9*(C1224=TRUE)*MIN(1,8*(1+(Inputs!$B$34+1)/100)*Q1224)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1223*(1-MIN(100,(Inputs!$B$9+((C1240=TRUE)*(F1240-Calc!F19))+B1252+(ArtifactsInput!$M$24-ArtifactsInput!$M$24)*CHOOSE(ArtifactsInput!$N$24+1,10,12,14,16,18,20)+(IF(AND(Inputs!$B$38&lt;&gt;"pvp",Inputs!$B$43=0),1,IF(IF(Inputs!$B$38="pvp",15,Inputs!$B$43)-(B1259)&lt;=0,1,MAX(0,IF(Inputs!$B$38="pvp",15,Inputs!$B$43)-MAX(5,B1259))/(IF(Inputs!$B$38="pvp",15,Inputs!$B$43)-(B1259))))*IF(AND(ArtifactsInput!$M$42,((Inputs!$B$9+((C1240=TRUE)*(F1240-Calc!F19))+B1252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1223*(MIN(100,(Inputs!$B$9+((C1240=TRUE)*(F1240-Calc!F19))+B1252+(ArtifactsInput!$M$24-ArtifactsInput!$M$24)*CHOOSE(ArtifactsInput!$N$24+1,10,12,14,16,18,20)+(IF(AND(Inputs!$B$38&lt;&gt;"pvp",Inputs!$B$43=0),1,IF(IF(Inputs!$B$38="pvp",15,Inputs!$B$43)-(B1259)&lt;=0,1,MAX(0,IF(Inputs!$B$38="pvp",15,Inputs!$B$43)-MAX(5,B1259))/(IF(Inputs!$B$38="pvp",15,Inputs!$B$43)-(B1259))))*IF(AND(ArtifactsInput!$M$42,((Inputs!$B$9+((C1240=TRUE)*(F1240-Calc!F19))+B1252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1223*(1-MIN(100,(Inputs!$B$9+((C1240=TRUE)*(F1240-Calc!F19))+B1252+(ArtifactsInput!$M$24-ArtifactsInput!$M$24)*CHOOSE(ArtifactsInput!$N$24+1,10,12,14,16,18,20)+(IF(AND(Inputs!$B$38&lt;&gt;"pvp",Inputs!$B$43=0),1,IF(IF(Inputs!$B$38="pvp",15,Inputs!$B$43)-(B1259)&lt;=0,1,MAX(0,IF(Inputs!$B$38="pvp",15,Inputs!$B$43)-MAX(5,B1259))/(IF(Inputs!$B$38="pvp",15,Inputs!$B$43)-(B1259))))*IF(AND(ArtifactsInput!$M$42,((Inputs!$B$9+((C1240=TRUE)*(F1240-Calc!F19))+B1252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1223*(MIN(100,(Inputs!$B$9+((C1240=TRUE)*(F1240-Calc!F19))+B1252+(ArtifactsInput!$M$24-ArtifactsInput!$M$24)*CHOOSE(ArtifactsInput!$N$24+1,10,12,14,16,18,20)+(IF(AND(Inputs!$B$38&lt;&gt;"pvp",Inputs!$B$43=0),1,IF(IF(Inputs!$B$38="pvp",15,Inputs!$B$43)-(B1259)&lt;=0,1,MAX(0,IF(Inputs!$B$38="pvp",15,Inputs!$B$43)-MAX(5,B1259))/(IF(Inputs!$B$38="pvp",15,Inputs!$B$43)-(B1259))))*IF(AND(ArtifactsInput!$M$42,((Inputs!$B$9+((C1240=TRUE)*(F1240-Calc!F19))+B1252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223">
        <f>MAX(0,(Inputs!$B$3-100)*3)+Inputs!$B$28+Inputs!$B$29</f>
        <v/>
      </c>
      <c r="V1223">
        <f>IF(C1223,(Skills!G2*N1223*B1256*(1+IF(C1248=TRUE,1/3,0)))*IF(Inputs!$B$38="pvp",1,(1+(Inputs!$B$21+Skills!Q2+(IF(ArtifactsInput!$M$33,CHOOSE(ArtifactsInput!$N$33+1,30,36,42,48,54,60),0))+(IF(AND(ArtifactsInput!$M$35,Inputs!$B$4&lt;&gt;"Chapter Hunt"),CHOOSE(ArtifactsInput!$N$35+1,15,18,21,24,27,30)*(1-EXP(-(0.2*B1254)*5)),0)+IF(AND(ArtifactsInput!$M$22,Inputs!$B$4&lt;&gt;"Chapter Hunt"),CHOOSE(ArtifactsInput!$N$22+1,10,12,14,16,18,20)*((0*(((0.15*B1254*5))^0/1)+1*(((0.15*B1254*5))^1/1)+2*(((0.15*B1254*5))^2/2)+3*(((0.15*B1254*5))^3/6)+4*(((0.15*B1254*5))^4/24)+5*(((0.15*B1254*5))^5/120))/((((0.15*B1254*5))^0/1)+(((0.15*B1254*5))^1/1)+(((0.15*B1254*5))^2/2)+(((0.15*B1254*5))^3/6)+(((0.15*B1254*5))^4/24)+(((0.15*B1254*5))^5/120))),0))+IF(Inputs!$B$3&gt;=54,9*(C1224=TRUE)*MIN(1,8*(1+(Inputs!$B$34+1)/100)*Q1224),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24">
      <c r="A1224">
        <f>Skills!A3</f>
        <v/>
      </c>
      <c r="B1224">
        <f>Skills!B3</f>
        <v/>
      </c>
      <c r="C1224">
        <f>Inputs!$B$3&gt;=33</f>
        <v/>
      </c>
      <c r="D1224">
        <f>IF(Skills!C3=1,60+Inputs!$B$25+Inputs!$B$29,IF(Skills!C3=2,90+Inputs!$B$26+Inputs!$B$29,IF(Skills!C3=3,120+Inputs!$B$27+Inputs!$B$29,MAX(0,(Inputs!$B$3-100)*3)+Inputs!$B$28+Inputs!$B$29)))</f>
        <v/>
      </c>
      <c r="E1224">
        <f>INDEX(FactorTable!$B$2:$Y$301, MATCH(ROUND(MIN(300,MAX(1,D1224)),0), FactorTable!$A$2:$A$301,0), Skills!M3+1)</f>
        <v/>
      </c>
      <c r="F1224">
        <f>IF(Skills!N3=TRUE,(Skills!L3/10)*(E1224/1000),Skills!L3/10)+Skills!O3</f>
        <v/>
      </c>
      <c r="G1224">
        <f>Skills!G3*IF(Skills!H3&gt;0,INT(IF(Inputs!$B$38="pvp",MIN(Skills!I3,15),Skills!I3)/Skills!H3+0.000000001),1)</f>
        <v/>
      </c>
      <c r="H1224">
        <f>1-(1-Skills!J3/100)^Skills!K3</f>
        <v/>
      </c>
      <c r="I1224" t="inlineStr">
        <is>
          <t>1</t>
        </is>
      </c>
      <c r="J1224">
        <f>((Inputs!$B$6*(1+Inputs!$B$7/100))+(((Inputs!$B$12*(1+Inputs!$B$13/100))-(Inputs!$B$12*(1+Inputs!$B$13/100)))+0.25*(Inputs!$B$14-Inputs!$B$14))*(1+Inputs!$B$7/100))*(F1224/100)</f>
        <v/>
      </c>
      <c r="K1224">
        <f>J1224*(1+((Inputs!$B$12*(1+Inputs!$B$13/100))*0.01+Inputs!$B$14*0.0025)/100)*(1+Inputs!$B$15/100)*(1+Inputs!$B$16/100)*(5000/(6000+Inputs!$B$42*(1-(100*(1-(1-(Inputs!$B$19+0)/100)*(1-CHOOSE(ArtifactsInput!$N$40+1,5,6,7,8,9,10)/100)^(ArtifactsInput!$M$40-ArtifactsInput!$M$40)))/100)))*(1+(Inputs!$B$24+((C1247=TRUE)*(F1247-Calc!F26))+B1258)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1236=TRUE,F1236,0)/100)*(1+(IF(Skills!A3="EIGHT_LEGS_EASTON",Inputs!$B$17+((C1244=TRUE)*(F1244-Calc!F23))+((C1248=TRUE)*(F1248-Calc!F27))+((IF(AND(Inputs!$B$38&lt;&gt;"pvp",Inputs!$B$43=0),1,IF(IF(Inputs!$B$38="pvp",15,Inputs!$B$43)-(B1259)&lt;=0,1,MAX(0,IF(Inputs!$B$38="pvp",15,Inputs!$B$43)-MAX(5,B1259))/(IF(Inputs!$B$38="pvp",15,Inputs!$B$43)-(B1259))))*(IF(AND(ArtifactsInput!$M$42,((Inputs!$B$9+((C1240=TRUE)*(F1240-Calc!F19))+B1252+(ArtifactsInput!$M$24-ArtifactsInput!$M$24)*CHOOSE(ArtifactsInput!$N$24+1,10,12,14,16,18,20)+IF(ArtifactsInput!$M$10,CHOOSE(ArtifactsInput!$N$10+1,15,18,21,24,27,30)*(IF(Inputs!$B$38="pvp",MIN(15,15)/15,IF(AND(Inputs!$B$38&lt;&gt;"pvp",Inputs!$B$43&gt;0),MIN(15,Inputs!$B$43)/(Inputs!$B$43),0))),0)))&gt;=100),MIN(100,((Inputs!$B$9+((C1240=TRUE)*(F1240-Calc!F19))+B1252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1259)&lt;=0,1,MAX(0,IF(Inputs!$B$38="pvp",15,Inputs!$B$43)-MAX(5,B1259))/(IF(Inputs!$B$38="pvp",15,Inputs!$B$43)-(B1259))))*IF(AND(ArtifactsInput!$M$42,((Inputs!$B$9+((C1240=TRUE)*(F1240-Calc!F19))+B1252+(ArtifactsInput!$M$24-ArtifactsInput!$M$24)*CHOOSE(ArtifactsInput!$N$24+1,10,12,14,16,18,20)+IF(ArtifactsInput!$M$10,CHOOSE(ArtifactsInput!$N$10+1,15,18,21,24,27,30)*(IF(Inputs!$B$38="pvp",MIN(15,15)/15,IF(AND(Inputs!$B$38&lt;&gt;"pvp",Inputs!$B$43&gt;0),MIN(15,Inputs!$B$43)/(Inputs!$B$43),0))),0)))&gt;=100),CHOOSE(ArtifactsInput!$N$42+1,40,48,56,64,72,80),0))))/100)*((1+(((C1238=TRUE)*F1238*5/7)+((C1245=TRUE)*(F1245-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1224)</f>
        <v/>
      </c>
      <c r="L1224">
        <f>K1224*(MIN(Inputs!$B$22+((C1243=TRUE)*(F1243-Calc!F22)),(Inputs!$B$23+0+(IF(ArtifactsInput!$M$15,CHOOSE(ArtifactsInput!$N$15+1,25,30,35,40,45,50)/100*(Inputs!$B$11-Inputs!$B$11),0))))/100+(Inputs!$B$23+0+(IF(ArtifactsInput!$M$15,CHOOSE(ArtifactsInput!$N$15+1,25,30,35,40,45,50)/100*(Inputs!$B$11-Inputs!$B$11),0)))/100)/2</f>
        <v/>
      </c>
      <c r="M1224">
        <f>L1224*(1+(Inputs!$B$10+((C1246=TRUE)*(F1246-Calc!F25))+B1257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24">
        <f>L1224*(1-MIN((Inputs!$B$9+((C1240=TRUE)*(F1240-Calc!F19))+B1252+(ArtifactsInput!$M$24-ArtifactsInput!$M$24)*CHOOSE(ArtifactsInput!$N$24+1,10,12,14,16,18,20)+(IF(AND(Inputs!$B$38&lt;&gt;"pvp",Inputs!$B$43=0),1,IF(IF(Inputs!$B$38="pvp",15,Inputs!$B$43)-(B1259)&lt;=0,1,MAX(0,IF(Inputs!$B$38="pvp",15,Inputs!$B$43)-MAX(5,B1259))/(IF(Inputs!$B$38="pvp",15,Inputs!$B$43)-(B1259))))*IF(AND(ArtifactsInput!$M$42,((Inputs!$B$9+((C1240=TRUE)*(F1240-Calc!F19))+B1252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1224*(MIN((Inputs!$B$9+((C1240=TRUE)*(F1240-Calc!F19))+B1252+(ArtifactsInput!$M$24-ArtifactsInput!$M$24)*CHOOSE(ArtifactsInput!$N$24+1,10,12,14,16,18,20)+(IF(AND(Inputs!$B$38&lt;&gt;"pvp",Inputs!$B$43=0),1,IF(IF(Inputs!$B$38="pvp",15,Inputs!$B$43)-(B1259)&lt;=0,1,MAX(0,IF(Inputs!$B$38="pvp",15,Inputs!$B$43)-MAX(5,B1259))/(IF(Inputs!$B$38="pvp",15,Inputs!$B$43)-(B1259))))*IF(AND(ArtifactsInput!$M$42,((Inputs!$B$9+((C1240=TRUE)*(F1240-Calc!F19))+B1252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24">
        <f>(1-Summary!$B$11)*T1224+Summary!$B$11*V1224</f>
        <v/>
      </c>
      <c r="P1224">
        <f>IF(B1262=0,0,O1224/B1262)</f>
        <v/>
      </c>
      <c r="Q1224">
        <f>IFERROR(1/(IF(Inputs!$B$38="pvp",15,MAX(0.1,Skills!D3-IF(TRUE=TRUE,Inputs!$B$32,0)))*(1-IF(AND(ArtifactsInput!$M$27,Inputs!$B$4="Chapter Hunt"),CHOOSE(ArtifactsInput!$N$27+1,20,24,28,32,36,40),0)/100)),0)</f>
        <v/>
      </c>
      <c r="R1224">
        <f>IF(AND(Inputs!$B$38&lt;&gt;"pvp",Inputs!$B$43&gt;0),IF(MAX(0,Inputs!$B$43-B1259)&lt;=0,0,(INT(MAX(0,Inputs!$B$43-B1259)/(IF(Inputs!$B$38="pvp",15,MAX(0.1,Skills!D3-IF(TRUE=TRUE,Inputs!$B$32,0)))*(1-IF(AND(ArtifactsInput!$M$27,Inputs!$B$4="Chapter Hunt"),CHOOSE(ArtifactsInput!$N$27+1,20,24,28,32,36,40),0)/100)))+1)),0)</f>
        <v/>
      </c>
      <c r="S1224">
        <f>IFERROR(O1224/N1224,0)</f>
        <v/>
      </c>
      <c r="T1224">
        <f>IF(C1224,(H1224*N1224*IF(AND(Inputs!$B$38&lt;&gt;"pvp",Inputs!$B$43&gt;0),((Skills!G3*((R1224-1)*IF(Skills!H3&gt;0,INT(Skills!I3/Skills!H3+0.000000001),1)+IF(Skills!H3&gt;0,INT(MIN(Skills!I3,MAX(0,MAX(0,Inputs!$B$43-B1259)-((R1224-1)*(IF(Inputs!$B$38="pvp",15,MAX(0.1,Skills!D3-IF(TRUE=TRUE,Inputs!$B$32,0)))*(1-IF(AND(ArtifactsInput!$M$27,Inputs!$B$4="Chapter Hunt"),CHOOSE(ArtifactsInput!$N$27+1,20,24,28,32,36,40),0)/100)))))/Skills!H3+0.000000001),1)))/Inputs!$B$43),G1224*Q1224))*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Hunt"),CHOOSE(ArtifactsInput!$N$35+1,15,18,21,24,27,30)*(1-EXP(-(0.2*B1254)*5)),0)+IF(AND(ArtifactsInput!$M$22,Inputs!$B$4&lt;&gt;"Chapter Hunt"),CHOOSE(ArtifactsInput!$N$22+1,10,12,14,16,18,20)*((0*(((0.15*B1254*5))^0/1)+1*(((0.15*B1254*5))^1/1)+2*(((0.15*B1254*5))^2/2)+3*(((0.15*B1254*5))^3/6)+4*(((0.15*B1254*5))^4/24)+5*(((0.15*B1254*5))^5/120))/((((0.15*B1254*5))^0/1)+(((0.15*B1254*5))^1/1)+(((0.15*B1254*5))^2/2)+(((0.15*B1254*5))^3/6)+(((0.15*B1254*5))^4/24)+(((0.15*B1254*5))^5/120))),0))+IF(Inputs!$B$3&gt;=54,9*(C1224=TRUE)*MIN(1,8*(1+(Inputs!$B$34+1)/100)*Q1224)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1224*(1-MIN(100,(Inputs!$B$9+((C1240=TRUE)*(F1240-Calc!F19))+B1252+(ArtifactsInput!$M$24-ArtifactsInput!$M$24)*CHOOSE(ArtifactsInput!$N$24+1,10,12,14,16,18,20)+(IF(AND(Inputs!$B$38&lt;&gt;"pvp",Inputs!$B$43=0),1,IF(IF(Inputs!$B$38="pvp",15,Inputs!$B$43)-(B1259)&lt;=0,1,MAX(0,IF(Inputs!$B$38="pvp",15,Inputs!$B$43)-MAX(5,B1259))/(IF(Inputs!$B$38="pvp",15,Inputs!$B$43)-(B1259))))*IF(AND(ArtifactsInput!$M$42,((Inputs!$B$9+((C1240=TRUE)*(F1240-Calc!F19))+B1252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1224*(MIN(100,(Inputs!$B$9+((C1240=TRUE)*(F1240-Calc!F19))+B1252+(ArtifactsInput!$M$24-ArtifactsInput!$M$24)*CHOOSE(ArtifactsInput!$N$24+1,10,12,14,16,18,20)+(IF(AND(Inputs!$B$38&lt;&gt;"pvp",Inputs!$B$43=0),1,IF(IF(Inputs!$B$38="pvp",15,Inputs!$B$43)-(B1259)&lt;=0,1,MAX(0,IF(Inputs!$B$38="pvp",15,Inputs!$B$43)-MAX(5,B1259))/(IF(Inputs!$B$38="pvp",15,Inputs!$B$43)-(B1259))))*IF(AND(ArtifactsInput!$M$42,((Inputs!$B$9+((C1240=TRUE)*(F1240-Calc!F19))+B1252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1224*(1-MIN(100,(Inputs!$B$9+((C1240=TRUE)*(F1240-Calc!F19))+B1252+(ArtifactsInput!$M$24-ArtifactsInput!$M$24)*CHOOSE(ArtifactsInput!$N$24+1,10,12,14,16,18,20)+(IF(AND(Inputs!$B$38&lt;&gt;"pvp",Inputs!$B$43=0),1,IF(IF(Inputs!$B$38="pvp",15,Inputs!$B$43)-(B1259)&lt;=0,1,MAX(0,IF(Inputs!$B$38="pvp",15,Inputs!$B$43)-MAX(5,B1259))/(IF(Inputs!$B$38="pvp",15,Inputs!$B$43)-(B1259))))*IF(AND(ArtifactsInput!$M$42,((Inputs!$B$9+((C1240=TRUE)*(F1240-Calc!F19))+B1252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1224*(MIN(100,(Inputs!$B$9+((C1240=TRUE)*(F1240-Calc!F19))+B1252+(ArtifactsInput!$M$24-ArtifactsInput!$M$24)*CHOOSE(ArtifactsInput!$N$24+1,10,12,14,16,18,20)+(IF(AND(Inputs!$B$38&lt;&gt;"pvp",Inputs!$B$43=0),1,IF(IF(Inputs!$B$38="pvp",15,Inputs!$B$43)-(B1259)&lt;=0,1,MAX(0,IF(Inputs!$B$38="pvp",15,Inputs!$B$43)-MAX(5,B1259))/(IF(Inputs!$B$38="pvp",15,Inputs!$B$43)-(B1259))))*IF(AND(ArtifactsInput!$M$42,((Inputs!$B$9+((C1240=TRUE)*(F1240-Calc!F19))+B1252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224">
        <f>INDEX(FactorTable!$B$2:$Y$301, MATCH(ROUND(MIN(300,MAX(1,U1223)),0), FactorTable!$A$2:$A$301,0), 22)</f>
        <v/>
      </c>
      <c r="V1224">
        <f>IF(C1224,(H1224*N1224*IF(AND(Inputs!$B$38&lt;&gt;"pvp",Inputs!$B$43&gt;0),((Skills!G3*((R1224-1)*IF(Skills!H3&gt;0,INT(Skills!I3/Skills!H3+0.000000001),1)+IF(Skills!H3&gt;0,INT(MIN(Skills!I3,MAX(0,MAX(0,Inputs!$B$43-B1259)-((R1224-1)*(IF(Inputs!$B$38="pvp",15,MAX(0.1,Skills!D3-IF(TRUE=TRUE,Inputs!$B$32,0)))*(1-IF(AND(ArtifactsInput!$M$27,Inputs!$B$4="Chapter Hunt"),CHOOSE(ArtifactsInput!$N$27+1,20,24,28,32,36,40),0)/100)))))/Skills!H3+0.000000001),1)))/Inputs!$B$43),G1224*Q1224))*IF(Inputs!$B$38="pvp",1,(1+(Inputs!$B$21+Skills!Q3+(IF(ArtifactsInput!$M$33,CHOOSE(ArtifactsInput!$N$33+1,30,36,42,48,54,60),0))+(IF(AND(ArtifactsInput!$M$35,Inputs!$B$4&lt;&gt;"Chapter Hunt"),CHOOSE(ArtifactsInput!$N$35+1,15,18,21,24,27,30)*(1-EXP(-(0.2*B1254)*5)),0)+IF(AND(ArtifactsInput!$M$22,Inputs!$B$4&lt;&gt;"Chapter Hunt"),CHOOSE(ArtifactsInput!$N$22+1,10,12,14,16,18,20)*((0*(((0.15*B1254*5))^0/1)+1*(((0.15*B1254*5))^1/1)+2*(((0.15*B1254*5))^2/2)+3*(((0.15*B1254*5))^3/6)+4*(((0.15*B1254*5))^4/24)+5*(((0.15*B1254*5))^5/120))/((((0.15*B1254*5))^0/1)+(((0.15*B1254*5))^1/1)+(((0.15*B1254*5))^2/2)+(((0.15*B1254*5))^3/6)+(((0.15*B1254*5))^4/24)+(((0.15*B1254*5))^5/120))),0))+IF(Inputs!$B$3&gt;=54,9*(C1224=TRUE)*MIN(1,8*(1+(Inputs!$B$34+1)/100)*Q1224),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25">
      <c r="A1225">
        <f>Skills!A4</f>
        <v/>
      </c>
      <c r="B1225">
        <f>Skills!B4</f>
        <v/>
      </c>
      <c r="C1225">
        <f>Inputs!$B$3&gt;=35</f>
        <v/>
      </c>
      <c r="D1225">
        <f>IF(Skills!C4=1,60+Inputs!$B$25+Inputs!$B$29,IF(Skills!C4=2,90+Inputs!$B$26+Inputs!$B$29,IF(Skills!C4=3,120+Inputs!$B$27+Inputs!$B$29,MAX(0,(Inputs!$B$3-100)*3)+Inputs!$B$28+Inputs!$B$29)))</f>
        <v/>
      </c>
      <c r="E1225">
        <f>INDEX(FactorTable!$B$2:$Y$301, MATCH(ROUND(MIN(300,MAX(1,D1225)),0), FactorTable!$A$2:$A$301,0), Skills!M4+1)</f>
        <v/>
      </c>
      <c r="F1225">
        <f>IF(Skills!N4=TRUE,(Skills!L4/10)*(E1225/1000),Skills!L4/10)+Skills!O4</f>
        <v/>
      </c>
      <c r="G1225">
        <f>Skills!G4*IF(Skills!H4&gt;0,INT(IF(Inputs!$B$38="pvp",MIN(IF(Inputs!$B$3&gt;=104,MIN(35,20*(1+(Inputs!$B$34+1)/100)),20),15),IF(Inputs!$B$3&gt;=104,MIN(35,20*(1+(Inputs!$B$34+1)/100)),20))/Skills!H4+0.000000001),1)</f>
        <v/>
      </c>
      <c r="H1225">
        <f>1-(1-Skills!J4/100)^Skills!K4</f>
        <v/>
      </c>
      <c r="I1225" t="inlineStr">
        <is>
          <t>1</t>
        </is>
      </c>
      <c r="J1225">
        <f>((Inputs!$B$6*(1+Inputs!$B$7/100))+(((Inputs!$B$12*(1+Inputs!$B$13/100))-(Inputs!$B$12*(1+Inputs!$B$13/100)))+0.25*(Inputs!$B$14-Inputs!$B$14))*(1+Inputs!$B$7/100))*(F1225/100)</f>
        <v/>
      </c>
      <c r="K1225">
        <f>J1225*(1+((Inputs!$B$12*(1+Inputs!$B$13/100))*0.01+Inputs!$B$14*0.0025)/100)*(1+Inputs!$B$15/100)*(1+Inputs!$B$16/100)*(5000/(6000+Inputs!$B$42*(1-(100*(1-(1-(Inputs!$B$19+0)/100)*(1-CHOOSE(ArtifactsInput!$N$40+1,5,6,7,8,9,10)/100)^(ArtifactsInput!$M$40-ArtifactsInput!$M$40)))/100)))*(1+(Inputs!$B$24+((C1247=TRUE)*(F1247-Calc!F26))+B1258)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1237=TRUE,F1237,0)/100)*(1+(IF(Skills!A4="EIGHT_LEGS_EASTON",Inputs!$B$17+((C1244=TRUE)*(F1244-Calc!F23))+((C1248=TRUE)*(F1248-Calc!F27))+((IF(AND(Inputs!$B$38&lt;&gt;"pvp",Inputs!$B$43=0),1,IF(IF(Inputs!$B$38="pvp",15,Inputs!$B$43)-(B1259)&lt;=0,1,MAX(0,IF(Inputs!$B$38="pvp",15,Inputs!$B$43)-MAX(5,B1259))/(IF(Inputs!$B$38="pvp",15,Inputs!$B$43)-(B1259))))*(IF(AND(ArtifactsInput!$M$42,((Inputs!$B$9+((C1240=TRUE)*(F1240-Calc!F19))+B1252+(ArtifactsInput!$M$24-ArtifactsInput!$M$24)*CHOOSE(ArtifactsInput!$N$24+1,10,12,14,16,18,20)+IF(ArtifactsInput!$M$10,CHOOSE(ArtifactsInput!$N$10+1,15,18,21,24,27,30)*(IF(Inputs!$B$38="pvp",MIN(15,15)/15,IF(AND(Inputs!$B$38&lt;&gt;"pvp",Inputs!$B$43&gt;0),MIN(15,Inputs!$B$43)/(Inputs!$B$43),0))),0)))&gt;=100),MIN(100,((Inputs!$B$9+((C1240=TRUE)*(F1240-Calc!F19))+B1252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1259)&lt;=0,1,MAX(0,IF(Inputs!$B$38="pvp",15,Inputs!$B$43)-MAX(5,B1259))/(IF(Inputs!$B$38="pvp",15,Inputs!$B$43)-(B1259))))*IF(AND(ArtifactsInput!$M$42,((Inputs!$B$9+((C1240=TRUE)*(F1240-Calc!F19))+B1252+(ArtifactsInput!$M$24-ArtifactsInput!$M$24)*CHOOSE(ArtifactsInput!$N$24+1,10,12,14,16,18,20)+IF(ArtifactsInput!$M$10,CHOOSE(ArtifactsInput!$N$10+1,15,18,21,24,27,30)*(IF(Inputs!$B$38="pvp",MIN(15,15)/15,IF(AND(Inputs!$B$38&lt;&gt;"pvp",Inputs!$B$43&gt;0),MIN(15,Inputs!$B$43)/(Inputs!$B$43),0))),0)))&gt;=100),CHOOSE(ArtifactsInput!$N$42+1,40,48,56,64,72,80),0))))/100)*((1+(((C1238=TRUE)*F1238*5/7)+((C1245=TRUE)*(F1245-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1225)</f>
        <v/>
      </c>
      <c r="L1225">
        <f>K1225*(MIN(Inputs!$B$22+((C1243=TRUE)*(F1243-Calc!F22)),(Inputs!$B$23+0+(IF(ArtifactsInput!$M$15,CHOOSE(ArtifactsInput!$N$15+1,25,30,35,40,45,50)/100*(Inputs!$B$11-Inputs!$B$11),0))))/100+(Inputs!$B$23+0+(IF(ArtifactsInput!$M$15,CHOOSE(ArtifactsInput!$N$15+1,25,30,35,40,45,50)/100*(Inputs!$B$11-Inputs!$B$11),0)))/100)/2</f>
        <v/>
      </c>
      <c r="M1225">
        <f>L1225*(1+(Inputs!$B$10+((C1246=TRUE)*(F1246-Calc!F25))+B1257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25">
        <f>L1225*(1-MIN((Inputs!$B$9+((C1240=TRUE)*(F1240-Calc!F19))+B1252+(ArtifactsInput!$M$24-ArtifactsInput!$M$24)*CHOOSE(ArtifactsInput!$N$24+1,10,12,14,16,18,20)+(IF(AND(Inputs!$B$38&lt;&gt;"pvp",Inputs!$B$43=0),1,IF(IF(Inputs!$B$38="pvp",15,Inputs!$B$43)-(B1259)&lt;=0,1,MAX(0,IF(Inputs!$B$38="pvp",15,Inputs!$B$43)-MAX(5,B1259))/(IF(Inputs!$B$38="pvp",15,Inputs!$B$43)-(B1259))))*IF(AND(ArtifactsInput!$M$42,((Inputs!$B$9+((C1240=TRUE)*(F1240-Calc!F19))+B1252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1225*(MIN((Inputs!$B$9+((C1240=TRUE)*(F1240-Calc!F19))+B1252+(ArtifactsInput!$M$24-ArtifactsInput!$M$24)*CHOOSE(ArtifactsInput!$N$24+1,10,12,14,16,18,20)+(IF(AND(Inputs!$B$38&lt;&gt;"pvp",Inputs!$B$43=0),1,IF(IF(Inputs!$B$38="pvp",15,Inputs!$B$43)-(B1259)&lt;=0,1,MAX(0,IF(Inputs!$B$38="pvp",15,Inputs!$B$43)-MAX(5,B1259))/(IF(Inputs!$B$38="pvp",15,Inputs!$B$43)-(B1259))))*IF(AND(ArtifactsInput!$M$42,((Inputs!$B$9+((C1240=TRUE)*(F1240-Calc!F19))+B1252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25">
        <f>(1-Summary!$B$11)*T1225+Summary!$B$11*V1225</f>
        <v/>
      </c>
      <c r="P1225">
        <f>IF(B1262=0,0,O1225/B1262)</f>
        <v/>
      </c>
      <c r="Q1225">
        <f>IFERROR(1/(IF(Inputs!$B$38="pvp",15,MAX(0.1,Skills!D4-IF(TRUE=TRUE,Inputs!$B$32,0)))*(1-IF(AND(ArtifactsInput!$M$27,Inputs!$B$4="Chapter Hunt"),CHOOSE(ArtifactsInput!$N$27+1,20,24,28,32,36,40),0)/100)),0)</f>
        <v/>
      </c>
      <c r="R1225">
        <f>IF(AND(Inputs!$B$38&lt;&gt;"pvp",Inputs!$B$43&gt;0),IF(MAX(0,Inputs!$B$43-B1259)&lt;=0,0,(INT(MAX(0,Inputs!$B$43-B1259)/(IF(Inputs!$B$38="pvp",15,MAX(0.1,Skills!D4-IF(TRUE=TRUE,Inputs!$B$32,0)))*(1-IF(AND(ArtifactsInput!$M$27,Inputs!$B$4="Chapter Hunt"),CHOOSE(ArtifactsInput!$N$27+1,20,24,28,32,36,40),0)/100)))+1)),0)</f>
        <v/>
      </c>
      <c r="S1225">
        <f>IFERROR(O1225/N1225,0)</f>
        <v/>
      </c>
      <c r="T1225">
        <f>IF(C1225,(H1225*N1225*IF(AND(Inputs!$B$38&lt;&gt;"pvp",Inputs!$B$43&gt;0),((Skills!G4*((R1225-1)*IF(Skills!H4&gt;0,INT(IF(Inputs!$B$3&gt;=104,MIN(35,20*(1+(Inputs!$B$34+1)/100)),20)/Skills!H4+0.000000001),1)+IF(Skills!H4&gt;0,INT(MIN(IF(Inputs!$B$3&gt;=104,MIN(35,20*(1+(Inputs!$B$34+1)/100)),20),MAX(0,MAX(0,Inputs!$B$43-B1259)-((R1225-1)*(IF(Inputs!$B$38="pvp",15,MAX(0.1,Skills!D4-IF(TRUE=TRUE,Inputs!$B$32,0)))*(1-IF(AND(ArtifactsInput!$M$27,Inputs!$B$4="Chapter Hunt"),CHOOSE(ArtifactsInput!$N$27+1,20,24,28,32,36,40),0)/100)))))/Skills!H4+0.000000001),1)))/Inputs!$B$43),G1225*Q1225))*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Hunt"),CHOOSE(ArtifactsInput!$N$35+1,15,18,21,24,27,30)*(1-EXP(-(0.2*B1254)*5)),0)+IF(AND(ArtifactsInput!$M$22,Inputs!$B$4&lt;&gt;"Chapter Hunt"),CHOOSE(ArtifactsInput!$N$22+1,10,12,14,16,18,20)*((0*(((0.15*B1254*5))^0/1)+1*(((0.15*B1254*5))^1/1)+2*(((0.15*B1254*5))^2/2)+3*(((0.15*B1254*5))^3/6)+4*(((0.15*B1254*5))^4/24)+5*(((0.15*B1254*5))^5/120))/((((0.15*B1254*5))^0/1)+(((0.15*B1254*5))^1/1)+(((0.15*B1254*5))^2/2)+(((0.15*B1254*5))^3/6)+(((0.15*B1254*5))^4/24)+(((0.15*B1254*5))^5/120))),0))+IF(Inputs!$B$3&gt;=54,9*(C1224=TRUE)*MIN(1,8*(1+(Inputs!$B$34+1)/100)*Q1224)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1225*(1-MIN(100,(Inputs!$B$9+((C1240=TRUE)*(F1240-Calc!F19))+B1252+(ArtifactsInput!$M$24-ArtifactsInput!$M$24)*CHOOSE(ArtifactsInput!$N$24+1,10,12,14,16,18,20)+(IF(AND(Inputs!$B$38&lt;&gt;"pvp",Inputs!$B$43=0),1,IF(IF(Inputs!$B$38="pvp",15,Inputs!$B$43)-(B1259)&lt;=0,1,MAX(0,IF(Inputs!$B$38="pvp",15,Inputs!$B$43)-MAX(5,B1259))/(IF(Inputs!$B$38="pvp",15,Inputs!$B$43)-(B1259))))*IF(AND(ArtifactsInput!$M$42,((Inputs!$B$9+((C1240=TRUE)*(F1240-Calc!F19))+B1252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1225*(MIN(100,(Inputs!$B$9+((C1240=TRUE)*(F1240-Calc!F19))+B1252+(ArtifactsInput!$M$24-ArtifactsInput!$M$24)*CHOOSE(ArtifactsInput!$N$24+1,10,12,14,16,18,20)+(IF(AND(Inputs!$B$38&lt;&gt;"pvp",Inputs!$B$43=0),1,IF(IF(Inputs!$B$38="pvp",15,Inputs!$B$43)-(B1259)&lt;=0,1,MAX(0,IF(Inputs!$B$38="pvp",15,Inputs!$B$43)-MAX(5,B1259))/(IF(Inputs!$B$38="pvp",15,Inputs!$B$43)-(B1259))))*IF(AND(ArtifactsInput!$M$42,((Inputs!$B$9+((C1240=TRUE)*(F1240-Calc!F19))+B1252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1225*(1-MIN(100,(Inputs!$B$9+((C1240=TRUE)*(F1240-Calc!F19))+B1252+(ArtifactsInput!$M$24-ArtifactsInput!$M$24)*CHOOSE(ArtifactsInput!$N$24+1,10,12,14,16,18,20)+(IF(AND(Inputs!$B$38&lt;&gt;"pvp",Inputs!$B$43=0),1,IF(IF(Inputs!$B$38="pvp",15,Inputs!$B$43)-(B1259)&lt;=0,1,MAX(0,IF(Inputs!$B$38="pvp",15,Inputs!$B$43)-MAX(5,B1259))/(IF(Inputs!$B$38="pvp",15,Inputs!$B$43)-(B1259))))*IF(AND(ArtifactsInput!$M$42,((Inputs!$B$9+((C1240=TRUE)*(F1240-Calc!F19))+B1252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1225*(MIN(100,(Inputs!$B$9+((C1240=TRUE)*(F1240-Calc!F19))+B1252+(ArtifactsInput!$M$24-ArtifactsInput!$M$24)*CHOOSE(ArtifactsInput!$N$24+1,10,12,14,16,18,20)+(IF(AND(Inputs!$B$38&lt;&gt;"pvp",Inputs!$B$43=0),1,IF(IF(Inputs!$B$38="pvp",15,Inputs!$B$43)-(B1259)&lt;=0,1,MAX(0,IF(Inputs!$B$38="pvp",15,Inputs!$B$43)-MAX(5,B1259))/(IF(Inputs!$B$38="pvp",15,Inputs!$B$43)-(B1259))))*IF(AND(ArtifactsInput!$M$42,((Inputs!$B$9+((C1240=TRUE)*(F1240-Calc!F19))+B1252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225">
        <f>290*U1224/1000</f>
        <v/>
      </c>
      <c r="V1225">
        <f>IF(C1225,(H1225*N1225*IF(AND(Inputs!$B$38&lt;&gt;"pvp",Inputs!$B$43&gt;0),((Skills!G4*((R1225-1)*IF(Skills!H4&gt;0,INT(IF(Inputs!$B$3&gt;=104,MIN(35,20*(1+(Inputs!$B$34+1)/100)),20)/Skills!H4+0.000000001),1)+IF(Skills!H4&gt;0,INT(MIN(IF(Inputs!$B$3&gt;=104,MIN(35,20*(1+(Inputs!$B$34+1)/100)),20),MAX(0,MAX(0,Inputs!$B$43-B1259)-((R1225-1)*(IF(Inputs!$B$38="pvp",15,MAX(0.1,Skills!D4-IF(TRUE=TRUE,Inputs!$B$32,0)))*(1-IF(AND(ArtifactsInput!$M$27,Inputs!$B$4="Chapter Hunt"),CHOOSE(ArtifactsInput!$N$27+1,20,24,28,32,36,40),0)/100)))))/Skills!H4+0.000000001),1)))/Inputs!$B$43),G1225*Q1225))*IF(Inputs!$B$38="pvp",1,(1+(Inputs!$B$21+Skills!Q4+(IF(ArtifactsInput!$M$33,CHOOSE(ArtifactsInput!$N$33+1,30,36,42,48,54,60),0))+(IF(AND(ArtifactsInput!$M$35,Inputs!$B$4&lt;&gt;"Chapter Hunt"),CHOOSE(ArtifactsInput!$N$35+1,15,18,21,24,27,30)*(1-EXP(-(0.2*B1254)*5)),0)+IF(AND(ArtifactsInput!$M$22,Inputs!$B$4&lt;&gt;"Chapter Hunt"),CHOOSE(ArtifactsInput!$N$22+1,10,12,14,16,18,20)*((0*(((0.15*B1254*5))^0/1)+1*(((0.15*B1254*5))^1/1)+2*(((0.15*B1254*5))^2/2)+3*(((0.15*B1254*5))^3/6)+4*(((0.15*B1254*5))^4/24)+5*(((0.15*B1254*5))^5/120))/((((0.15*B1254*5))^0/1)+(((0.15*B1254*5))^1/1)+(((0.15*B1254*5))^2/2)+(((0.15*B1254*5))^3/6)+(((0.15*B1254*5))^4/24)+(((0.15*B1254*5))^5/120))),0))+IF(Inputs!$B$3&gt;=54,9*(C1224=TRUE)*MIN(1,8*(1+(Inputs!$B$34+1)/100)*Q1224),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26">
      <c r="A1226">
        <f>Skills!A5</f>
        <v/>
      </c>
      <c r="B1226">
        <f>Skills!B5</f>
        <v/>
      </c>
      <c r="C1226">
        <f>Inputs!$B$3&gt;=69</f>
        <v/>
      </c>
      <c r="D1226">
        <f>IF(Skills!C5=1,60+Inputs!$B$25+Inputs!$B$29,IF(Skills!C5=2,90+Inputs!$B$26+Inputs!$B$29,IF(Skills!C5=3,120+Inputs!$B$27+Inputs!$B$29,MAX(0,(Inputs!$B$3-100)*3)+Inputs!$B$28+Inputs!$B$29)))</f>
        <v/>
      </c>
      <c r="E1226">
        <f>INDEX(FactorTable!$B$2:$Y$301, MATCH(ROUND(MIN(300,MAX(1,D1226)),0), FactorTable!$A$2:$A$301,0), Skills!M5+1)</f>
        <v/>
      </c>
      <c r="F1226">
        <f>IF(Skills!N5=TRUE,(Skills!L5/10)*(E1226/1000),Skills!L5/10)+Skills!O5</f>
        <v/>
      </c>
      <c r="G1226">
        <f>Skills!G5*IF(Skills!H5&gt;0,INT(IF(Inputs!$B$38="pvp",MIN(IF(Inputs!$B$3&gt;=104,MIN(35,20*(1+(Inputs!$B$34+1)/100)),20),15),IF(Inputs!$B$3&gt;=104,MIN(35,20*(1+(Inputs!$B$34+1)/100)),20))/Skills!H5+0.000000001),1)</f>
        <v/>
      </c>
      <c r="H1226">
        <f>1-(1-Skills!J5/100)^Skills!K5</f>
        <v/>
      </c>
      <c r="I1226" t="inlineStr">
        <is>
          <t>1</t>
        </is>
      </c>
      <c r="J1226">
        <f>((Inputs!$B$6*(1+Inputs!$B$7/100))+(((Inputs!$B$12*(1+Inputs!$B$13/100))-(Inputs!$B$12*(1+Inputs!$B$13/100)))+0.25*(Inputs!$B$14-Inputs!$B$14))*(1+Inputs!$B$7/100))*(F1226/100)</f>
        <v/>
      </c>
      <c r="K1226">
        <f>J1226*(1+((Inputs!$B$12*(1+Inputs!$B$13/100))*0.01+Inputs!$B$14*0.0025)/100)*(1+Inputs!$B$15/100)*(1+Inputs!$B$16/100)*(5000/(6000+Inputs!$B$42*(1-(100*(1-(1-(Inputs!$B$19+0)/100)*(1-CHOOSE(ArtifactsInput!$N$40+1,5,6,7,8,9,10)/100)^(ArtifactsInput!$M$40-ArtifactsInput!$M$40)))/100)))*(1+(Inputs!$B$24+((C1247=TRUE)*(F1247-Calc!F26))+B1258)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+0.4*IF(C1237=TRUE,F1237,0)/100)*(1+(IF(Skills!A5="EIGHT_LEGS_EASTON",Inputs!$B$17+((C1244=TRUE)*(F1244-Calc!F23))+((C1248=TRUE)*(F1248-Calc!F27))+((IF(AND(Inputs!$B$38&lt;&gt;"pvp",Inputs!$B$43=0),1,IF(IF(Inputs!$B$38="pvp",15,Inputs!$B$43)-(B1259)&lt;=0,1,MAX(0,IF(Inputs!$B$38="pvp",15,Inputs!$B$43)-MAX(5,B1259))/(IF(Inputs!$B$38="pvp",15,Inputs!$B$43)-(B1259))))*(IF(AND(ArtifactsInput!$M$42,((Inputs!$B$9+((C1240=TRUE)*(F1240-Calc!F19))+B1252+(ArtifactsInput!$M$24-ArtifactsInput!$M$24)*CHOOSE(ArtifactsInput!$N$24+1,10,12,14,16,18,20)+IF(ArtifactsInput!$M$10,CHOOSE(ArtifactsInput!$N$10+1,15,18,21,24,27,30)*(IF(Inputs!$B$38="pvp",MIN(15,15)/15,IF(AND(Inputs!$B$38&lt;&gt;"pvp",Inputs!$B$43&gt;0),MIN(15,Inputs!$B$43)/(Inputs!$B$43),0))),0)))&gt;=100),MIN(100,((Inputs!$B$9+((C1240=TRUE)*(F1240-Calc!F19))+B1252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1259)&lt;=0,1,MAX(0,IF(Inputs!$B$38="pvp",15,Inputs!$B$43)-MAX(5,B1259))/(IF(Inputs!$B$38="pvp",15,Inputs!$B$43)-(B1259))))*IF(AND(ArtifactsInput!$M$42,((Inputs!$B$9+((C1240=TRUE)*(F1240-Calc!F19))+B1252+(ArtifactsInput!$M$24-ArtifactsInput!$M$24)*CHOOSE(ArtifactsInput!$N$24+1,10,12,14,16,18,20)+IF(ArtifactsInput!$M$10,CHOOSE(ArtifactsInput!$N$10+1,15,18,21,24,27,30)*(IF(Inputs!$B$38="pvp",MIN(15,15)/15,IF(AND(Inputs!$B$38&lt;&gt;"pvp",Inputs!$B$43&gt;0),MIN(15,Inputs!$B$43)/(Inputs!$B$43),0))),0)))&gt;=100),CHOOSE(ArtifactsInput!$N$42+1,40,48,56,64,72,80),0))))/100)*((1+(((C1238=TRUE)*F1238*5/7)+((C1245=TRUE)*(F1245-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1226)</f>
        <v/>
      </c>
      <c r="L1226">
        <f>K1226*(MIN(Inputs!$B$22+((C1243=TRUE)*(F1243-Calc!F22)),(Inputs!$B$23+0+(IF(ArtifactsInput!$M$15,CHOOSE(ArtifactsInput!$N$15+1,25,30,35,40,45,50)/100*(Inputs!$B$11-Inputs!$B$11),0))))/100+(Inputs!$B$23+0+(IF(ArtifactsInput!$M$15,CHOOSE(ArtifactsInput!$N$15+1,25,30,35,40,45,50)/100*(Inputs!$B$11-Inputs!$B$11),0)))/100)/2</f>
        <v/>
      </c>
      <c r="M1226">
        <f>L1226*(1+(Inputs!$B$10+((C1246=TRUE)*(F1246-Calc!F25))+B1257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26">
        <f>L1226*(1-MIN((Inputs!$B$9+((C1240=TRUE)*(F1240-Calc!F19))+B1252+(ArtifactsInput!$M$24-ArtifactsInput!$M$24)*CHOOSE(ArtifactsInput!$N$24+1,10,12,14,16,18,20)+(IF(AND(Inputs!$B$38&lt;&gt;"pvp",Inputs!$B$43=0),1,IF(IF(Inputs!$B$38="pvp",15,Inputs!$B$43)-(B1259)&lt;=0,1,MAX(0,IF(Inputs!$B$38="pvp",15,Inputs!$B$43)-MAX(5,B1259))/(IF(Inputs!$B$38="pvp",15,Inputs!$B$43)-(B1259))))*IF(AND(ArtifactsInput!$M$42,((Inputs!$B$9+((C1240=TRUE)*(F1240-Calc!F19))+B1252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1226*(MIN((Inputs!$B$9+((C1240=TRUE)*(F1240-Calc!F19))+B1252+(ArtifactsInput!$M$24-ArtifactsInput!$M$24)*CHOOSE(ArtifactsInput!$N$24+1,10,12,14,16,18,20)+(IF(AND(Inputs!$B$38&lt;&gt;"pvp",Inputs!$B$43=0),1,IF(IF(Inputs!$B$38="pvp",15,Inputs!$B$43)-(B1259)&lt;=0,1,MAX(0,IF(Inputs!$B$38="pvp",15,Inputs!$B$43)-MAX(5,B1259))/(IF(Inputs!$B$38="pvp",15,Inputs!$B$43)-(B1259))))*IF(AND(ArtifactsInput!$M$42,((Inputs!$B$9+((C1240=TRUE)*(F1240-Calc!F19))+B1252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26">
        <f>(1-Summary!$B$11)*T1226+Summary!$B$11*V1226</f>
        <v/>
      </c>
      <c r="P1226">
        <f>IF(B1262=0,0,O1226/B1262)</f>
        <v/>
      </c>
      <c r="Q1226">
        <f>IFERROR(1/(IF(Inputs!$B$38="pvp",15,MAX(0.1,Skills!D5-IF(TRUE=TRUE,Inputs!$B$32,0)))*(1-IF(AND(ArtifactsInput!$M$27,Inputs!$B$4="Chapter Hunt"),CHOOSE(ArtifactsInput!$N$27+1,20,24,28,32,36,40),0)/100)),0)</f>
        <v/>
      </c>
      <c r="R1226">
        <f>IF(AND(Inputs!$B$38&lt;&gt;"pvp",Inputs!$B$43&gt;0),IF(MAX(0,Inputs!$B$43-B1259)&lt;=0,0,(INT(MAX(0,Inputs!$B$43-B1259)/(IF(Inputs!$B$38="pvp",15,MAX(0.1,Skills!D5-IF(TRUE=TRUE,Inputs!$B$32,0)))*(1-IF(AND(ArtifactsInput!$M$27,Inputs!$B$4="Chapter Hunt"),CHOOSE(ArtifactsInput!$N$27+1,20,24,28,32,36,40),0)/100)))+1)),0)</f>
        <v/>
      </c>
      <c r="S1226">
        <f>IFERROR(O1226/N1226,0)</f>
        <v/>
      </c>
      <c r="T1226">
        <f>IF(C1226,(H1226*N1226*IF(AND(Inputs!$B$38&lt;&gt;"pvp",Inputs!$B$43&gt;0),((Skills!G5*((R1226-1)*IF(Skills!H5&gt;0,INT(IF(Inputs!$B$3&gt;=104,MIN(35,20*(1+(Inputs!$B$34+1)/100)),20)/Skills!H5+0.000000001),1)+IF(Skills!H5&gt;0,INT(MIN(IF(Inputs!$B$3&gt;=104,MIN(35,20*(1+(Inputs!$B$34+1)/100)),20),MAX(0,MAX(0,Inputs!$B$43-B1259)-((R1226-1)*(IF(Inputs!$B$38="pvp",15,MAX(0.1,Skills!D5-IF(TRUE=TRUE,Inputs!$B$32,0)))*(1-IF(AND(ArtifactsInput!$M$27,Inputs!$B$4="Chapter Hunt"),CHOOSE(ArtifactsInput!$N$27+1,20,24,28,32,36,40),0)/100)))))/Skills!H5+0.000000001),1)))/Inputs!$B$43),G1226*Q1226))*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Hunt"),CHOOSE(ArtifactsInput!$N$35+1,15,18,21,24,27,30)*(1-EXP(-(0.2*B1254)*5)),0)+IF(AND(ArtifactsInput!$M$22,Inputs!$B$4&lt;&gt;"Chapter Hunt"),CHOOSE(ArtifactsInput!$N$22+1,10,12,14,16,18,20)*((0*(((0.15*B1254*5))^0/1)+1*(((0.15*B1254*5))^1/1)+2*(((0.15*B1254*5))^2/2)+3*(((0.15*B1254*5))^3/6)+4*(((0.15*B1254*5))^4/24)+5*(((0.15*B1254*5))^5/120))/((((0.15*B1254*5))^0/1)+(((0.15*B1254*5))^1/1)+(((0.15*B1254*5))^2/2)+(((0.15*B1254*5))^3/6)+(((0.15*B1254*5))^4/24)+(((0.15*B1254*5))^5/120))),0))+IF(Inputs!$B$3&gt;=54,9*(C1224=TRUE)*MIN(1,8*(1+(Inputs!$B$34+1)/100)*Q1224)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1226*(1-MIN(100,(Inputs!$B$9+((C1240=TRUE)*(F1240-Calc!F19))+B1252+(ArtifactsInput!$M$24-ArtifactsInput!$M$24)*CHOOSE(ArtifactsInput!$N$24+1,10,12,14,16,18,20)+(IF(AND(Inputs!$B$38&lt;&gt;"pvp",Inputs!$B$43=0),1,IF(IF(Inputs!$B$38="pvp",15,Inputs!$B$43)-(B1259)&lt;=0,1,MAX(0,IF(Inputs!$B$38="pvp",15,Inputs!$B$43)-MAX(5,B1259))/(IF(Inputs!$B$38="pvp",15,Inputs!$B$43)-(B1259))))*IF(AND(ArtifactsInput!$M$42,((Inputs!$B$9+((C1240=TRUE)*(F1240-Calc!F19))+B1252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1226*(MIN(100,(Inputs!$B$9+((C1240=TRUE)*(F1240-Calc!F19))+B1252+(ArtifactsInput!$M$24-ArtifactsInput!$M$24)*CHOOSE(ArtifactsInput!$N$24+1,10,12,14,16,18,20)+(IF(AND(Inputs!$B$38&lt;&gt;"pvp",Inputs!$B$43=0),1,IF(IF(Inputs!$B$38="pvp",15,Inputs!$B$43)-(B1259)&lt;=0,1,MAX(0,IF(Inputs!$B$38="pvp",15,Inputs!$B$43)-MAX(5,B1259))/(IF(Inputs!$B$38="pvp",15,Inputs!$B$43)-(B1259))))*IF(AND(ArtifactsInput!$M$42,((Inputs!$B$9+((C1240=TRUE)*(F1240-Calc!F19))+B1252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1226*(1-MIN(100,(Inputs!$B$9+((C1240=TRUE)*(F1240-Calc!F19))+B1252+(ArtifactsInput!$M$24-ArtifactsInput!$M$24)*CHOOSE(ArtifactsInput!$N$24+1,10,12,14,16,18,20)+(IF(AND(Inputs!$B$38&lt;&gt;"pvp",Inputs!$B$43=0),1,IF(IF(Inputs!$B$38="pvp",15,Inputs!$B$43)-(B1259)&lt;=0,1,MAX(0,IF(Inputs!$B$38="pvp",15,Inputs!$B$43)-MAX(5,B1259))/(IF(Inputs!$B$38="pvp",15,Inputs!$B$43)-(B1259))))*IF(AND(ArtifactsInput!$M$42,((Inputs!$B$9+((C1240=TRUE)*(F1240-Calc!F19))+B1252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1226*(MIN(100,(Inputs!$B$9+((C1240=TRUE)*(F1240-Calc!F19))+B1252+(ArtifactsInput!$M$24-ArtifactsInput!$M$24)*CHOOSE(ArtifactsInput!$N$24+1,10,12,14,16,18,20)+(IF(AND(Inputs!$B$38&lt;&gt;"pvp",Inputs!$B$43=0),1,IF(IF(Inputs!$B$38="pvp",15,Inputs!$B$43)-(B1259)&lt;=0,1,MAX(0,IF(Inputs!$B$38="pvp",15,Inputs!$B$43)-MAX(5,B1259))/(IF(Inputs!$B$38="pvp",15,Inputs!$B$43)-(B1259))))*IF(AND(ArtifactsInput!$M$42,((Inputs!$B$9+((C1240=TRUE)*(F1240-Calc!F19))+B1252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26">
        <f>IF(C1226,(H1226*N1226*IF(AND(Inputs!$B$38&lt;&gt;"pvp",Inputs!$B$43&gt;0),((Skills!G5*((R1226-1)*IF(Skills!H5&gt;0,INT(IF(Inputs!$B$3&gt;=104,MIN(35,20*(1+(Inputs!$B$34+1)/100)),20)/Skills!H5+0.000000001),1)+IF(Skills!H5&gt;0,INT(MIN(IF(Inputs!$B$3&gt;=104,MIN(35,20*(1+(Inputs!$B$34+1)/100)),20),MAX(0,MAX(0,Inputs!$B$43-B1259)-((R1226-1)*(IF(Inputs!$B$38="pvp",15,MAX(0.1,Skills!D5-IF(TRUE=TRUE,Inputs!$B$32,0)))*(1-IF(AND(ArtifactsInput!$M$27,Inputs!$B$4="Chapter Hunt"),CHOOSE(ArtifactsInput!$N$27+1,20,24,28,32,36,40),0)/100)))))/Skills!H5+0.000000001),1)))/Inputs!$B$43),G1226*Q1226))*IF(Inputs!$B$38="pvp",1,(1+(Inputs!$B$21+Skills!Q5+(IF(ArtifactsInput!$M$33,CHOOSE(ArtifactsInput!$N$33+1,30,36,42,48,54,60),0))+(IF(AND(ArtifactsInput!$M$35,Inputs!$B$4&lt;&gt;"Chapter Hunt"),CHOOSE(ArtifactsInput!$N$35+1,15,18,21,24,27,30)*(1-EXP(-(0.2*B1254)*5)),0)+IF(AND(ArtifactsInput!$M$22,Inputs!$B$4&lt;&gt;"Chapter Hunt"),CHOOSE(ArtifactsInput!$N$22+1,10,12,14,16,18,20)*((0*(((0.15*B1254*5))^0/1)+1*(((0.15*B1254*5))^1/1)+2*(((0.15*B1254*5))^2/2)+3*(((0.15*B1254*5))^3/6)+4*(((0.15*B1254*5))^4/24)+5*(((0.15*B1254*5))^5/120))/((((0.15*B1254*5))^0/1)+(((0.15*B1254*5))^1/1)+(((0.15*B1254*5))^2/2)+(((0.15*B1254*5))^3/6)+(((0.15*B1254*5))^4/24)+(((0.15*B1254*5))^5/120))),0))+IF(Inputs!$B$3&gt;=54,9*(C1224=TRUE)*MIN(1,8*(1+(Inputs!$B$34+1)/100)*Q1224),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27">
      <c r="A1227">
        <f>Skills!A6</f>
        <v/>
      </c>
      <c r="B1227">
        <f>Skills!B6</f>
        <v/>
      </c>
      <c r="C1227">
        <f>Inputs!$B$3&gt;=66</f>
        <v/>
      </c>
      <c r="D1227">
        <f>IF(Skills!C6=1,60+Inputs!$B$25+Inputs!$B$29,IF(Skills!C6=2,90+Inputs!$B$26+Inputs!$B$29,IF(Skills!C6=3,120+Inputs!$B$27+Inputs!$B$29,MAX(0,(Inputs!$B$3-100)*3)+Inputs!$B$28+Inputs!$B$29)))</f>
        <v/>
      </c>
      <c r="E1227">
        <f>INDEX(FactorTable!$B$2:$Y$301, MATCH(ROUND(MIN(300,MAX(1,D1227)),0), FactorTable!$A$2:$A$301,0), Skills!M6+1)</f>
        <v/>
      </c>
      <c r="F1227">
        <f>IF(Skills!N6=TRUE,(Skills!L6/10)*(E1227/1000),Skills!L6/10)+Skills!O6</f>
        <v/>
      </c>
      <c r="G1227">
        <f>Skills!G6*IF(Skills!H6&gt;0,INT(IF(Inputs!$B$38="pvp",MIN(Skills!I6,15),Skills!I6)/Skills!H6+0.000000001),1)</f>
        <v/>
      </c>
      <c r="H1227">
        <f>1-(1-Skills!J6/100)^Skills!K6</f>
        <v/>
      </c>
      <c r="I1227" t="inlineStr">
        <is>
          <t>1</t>
        </is>
      </c>
      <c r="J1227">
        <f>((Inputs!$B$6*(1+Inputs!$B$7/100))+(((Inputs!$B$12*(1+Inputs!$B$13/100))-(Inputs!$B$12*(1+Inputs!$B$13/100)))+0.25*(Inputs!$B$14-Inputs!$B$14))*(1+Inputs!$B$7/100))*(F1227/100)</f>
        <v/>
      </c>
      <c r="K1227">
        <f>J1227*(1+((Inputs!$B$12*(1+Inputs!$B$13/100))*0.01+Inputs!$B$14*0.0025)/100)*(1+Inputs!$B$15/100)*(1+Inputs!$B$16/100)*(5000/(6000+Inputs!$B$42*(1-(100*(1-(1-(Inputs!$B$19+0)/100)*(1-CHOOSE(ArtifactsInput!$N$40+1,5,6,7,8,9,10)/100)^(ArtifactsInput!$M$40-ArtifactsInput!$M$40)))/100)))*(1+(Inputs!$B$24+((C1247=TRUE)*(F1247-Calc!F26))+B1258)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+2.0*IF(C1236=TRUE,F1236,0)/100)*(1+(IF(Skills!A6="EIGHT_LEGS_EASTON",Inputs!$B$17+((C1244=TRUE)*(F1244-Calc!F23))+((C1248=TRUE)*(F1248-Calc!F27))+((IF(AND(Inputs!$B$38&lt;&gt;"pvp",Inputs!$B$43=0),1,IF(IF(Inputs!$B$38="pvp",15,Inputs!$B$43)-(B1259)&lt;=0,1,MAX(0,IF(Inputs!$B$38="pvp",15,Inputs!$B$43)-MAX(5,B1259))/(IF(Inputs!$B$38="pvp",15,Inputs!$B$43)-(B1259))))*(IF(AND(ArtifactsInput!$M$42,((Inputs!$B$9+((C1240=TRUE)*(F1240-Calc!F19))+B1252+(ArtifactsInput!$M$24-ArtifactsInput!$M$24)*CHOOSE(ArtifactsInput!$N$24+1,10,12,14,16,18,20)+IF(ArtifactsInput!$M$10,CHOOSE(ArtifactsInput!$N$10+1,15,18,21,24,27,30)*(IF(Inputs!$B$38="pvp",MIN(15,15)/15,IF(AND(Inputs!$B$38&lt;&gt;"pvp",Inputs!$B$43&gt;0),MIN(15,Inputs!$B$43)/(Inputs!$B$43),0))),0)))&gt;=100),MIN(100,((Inputs!$B$9+((C1240=TRUE)*(F1240-Calc!F19))+B1252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1259)&lt;=0,1,MAX(0,IF(Inputs!$B$38="pvp",15,Inputs!$B$43)-MAX(5,B1259))/(IF(Inputs!$B$38="pvp",15,Inputs!$B$43)-(B1259))))*IF(AND(ArtifactsInput!$M$42,((Inputs!$B$9+((C1240=TRUE)*(F1240-Calc!F19))+B1252+(ArtifactsInput!$M$24-ArtifactsInput!$M$24)*CHOOSE(ArtifactsInput!$N$24+1,10,12,14,16,18,20)+IF(ArtifactsInput!$M$10,CHOOSE(ArtifactsInput!$N$10+1,15,18,21,24,27,30)*(IF(Inputs!$B$38="pvp",MIN(15,15)/15,IF(AND(Inputs!$B$38&lt;&gt;"pvp",Inputs!$B$43&gt;0),MIN(15,Inputs!$B$43)/(Inputs!$B$43),0))),0)))&gt;=100),CHOOSE(ArtifactsInput!$N$42+1,40,48,56,64,72,80),0))))/100)*((1+(((C1238=TRUE)*F1238*5/7)+((C1245=TRUE)*(F1245-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1227)</f>
        <v/>
      </c>
      <c r="L1227">
        <f>K1227*(MIN(Inputs!$B$22+((C1243=TRUE)*(F1243-Calc!F22)),(Inputs!$B$23+0+(IF(ArtifactsInput!$M$15,CHOOSE(ArtifactsInput!$N$15+1,25,30,35,40,45,50)/100*(Inputs!$B$11-Inputs!$B$11),0))))/100+(Inputs!$B$23+0+(IF(ArtifactsInput!$M$15,CHOOSE(ArtifactsInput!$N$15+1,25,30,35,40,45,50)/100*(Inputs!$B$11-Inputs!$B$11),0)))/100)/2</f>
        <v/>
      </c>
      <c r="M1227">
        <f>L1227*(1+(Inputs!$B$10+((C1246=TRUE)*(F1246-Calc!F25))+B1257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27">
        <f>L1227*(1-MIN((Inputs!$B$9+((C1240=TRUE)*(F1240-Calc!F19))+B1252+(ArtifactsInput!$M$24-ArtifactsInput!$M$24)*CHOOSE(ArtifactsInput!$N$24+1,10,12,14,16,18,20)+(IF(AND(Inputs!$B$38&lt;&gt;"pvp",Inputs!$B$43=0),1,IF(IF(Inputs!$B$38="pvp",15,Inputs!$B$43)-(B1259)&lt;=0,1,MAX(0,IF(Inputs!$B$38="pvp",15,Inputs!$B$43)-MAX(5,B1259))/(IF(Inputs!$B$38="pvp",15,Inputs!$B$43)-(B1259))))*IF(AND(ArtifactsInput!$M$42,((Inputs!$B$9+((C1240=TRUE)*(F1240-Calc!F19))+B1252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1227*(MIN((Inputs!$B$9+((C1240=TRUE)*(F1240-Calc!F19))+B1252+(ArtifactsInput!$M$24-ArtifactsInput!$M$24)*CHOOSE(ArtifactsInput!$N$24+1,10,12,14,16,18,20)+(IF(AND(Inputs!$B$38&lt;&gt;"pvp",Inputs!$B$43=0),1,IF(IF(Inputs!$B$38="pvp",15,Inputs!$B$43)-(B1259)&lt;=0,1,MAX(0,IF(Inputs!$B$38="pvp",15,Inputs!$B$43)-MAX(5,B1259))/(IF(Inputs!$B$38="pvp",15,Inputs!$B$43)-(B1259))))*IF(AND(ArtifactsInput!$M$42,((Inputs!$B$9+((C1240=TRUE)*(F1240-Calc!F19))+B1252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27">
        <f>(1-Summary!$B$11)*T1227+Summary!$B$11*V1227</f>
        <v/>
      </c>
      <c r="P1227">
        <f>IF(B1262=0,0,O1227/B1262)</f>
        <v/>
      </c>
      <c r="Q1227">
        <f>IFERROR(1/(IF(Inputs!$B$38="pvp",15,MAX(0.1,Skills!D6-IF(TRUE=TRUE,Inputs!$B$32,0)))*(1-IF(AND(ArtifactsInput!$M$27,Inputs!$B$4="Chapter Hunt"),CHOOSE(ArtifactsInput!$N$27+1,20,24,28,32,36,40),0)/100)),0)</f>
        <v/>
      </c>
      <c r="R1227">
        <f>IF(AND(Inputs!$B$38&lt;&gt;"pvp",Inputs!$B$43&gt;0),IF(MAX(0,Inputs!$B$43-B1259)&lt;=0,0,(INT(MAX(0,Inputs!$B$43-B1259)/(IF(Inputs!$B$38="pvp",15,MAX(0.1,Skills!D6-IF(TRUE=TRUE,Inputs!$B$32,0)))*(1-IF(AND(ArtifactsInput!$M$27,Inputs!$B$4="Chapter Hunt"),CHOOSE(ArtifactsInput!$N$27+1,20,24,28,32,36,40),0)/100)))+1)),0)</f>
        <v/>
      </c>
      <c r="S1227">
        <f>IFERROR(O1227/N1227,0)</f>
        <v/>
      </c>
      <c r="T1227">
        <f>IF(C1227,(H1227*N1227*IF(AND(Inputs!$B$38&lt;&gt;"pvp",Inputs!$B$43&gt;0),((Skills!G6*((R1227-1)*IF(Skills!H6&gt;0,INT(Skills!I6/Skills!H6+0.000000001),1)+IF(Skills!H6&gt;0,INT(MIN(Skills!I6,MAX(0,MAX(0,Inputs!$B$43-B1259)-((R1227-1)*(IF(Inputs!$B$38="pvp",15,MAX(0.1,Skills!D6-IF(TRUE=TRUE,Inputs!$B$32,0)))*(1-IF(AND(ArtifactsInput!$M$27,Inputs!$B$4="Chapter Hunt"),CHOOSE(ArtifactsInput!$N$27+1,20,24,28,32,36,40),0)/100)))))/Skills!H6+0.000000001),1)))/Inputs!$B$43),G1227*Q1227)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Hunt"),CHOOSE(ArtifactsInput!$N$35+1,15,18,21,24,27,30)*(1-EXP(-(0.2*B1254)*5)),0)+IF(AND(ArtifactsInput!$M$22,Inputs!$B$4&lt;&gt;"Chapter Hunt"),CHOOSE(ArtifactsInput!$N$22+1,10,12,14,16,18,20)*((0*(((0.15*B1254*5))^0/1)+1*(((0.15*B1254*5))^1/1)+2*(((0.15*B1254*5))^2/2)+3*(((0.15*B1254*5))^3/6)+4*(((0.15*B1254*5))^4/24)+5*(((0.15*B1254*5))^5/120))/((((0.15*B1254*5))^0/1)+(((0.15*B1254*5))^1/1)+(((0.15*B1254*5))^2/2)+(((0.15*B1254*5))^3/6)+(((0.15*B1254*5))^4/24)+(((0.15*B1254*5))^5/120))),0))+IF(Inputs!$B$3&gt;=54,9*(C1224=TRUE)*MIN(1,8*(1+(Inputs!$B$34+1)/100)*Q1224)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1227*(1-MIN(100,(Inputs!$B$9+((C1240=TRUE)*(F1240-Calc!F19))+B1252+(ArtifactsInput!$M$24-ArtifactsInput!$M$24)*CHOOSE(ArtifactsInput!$N$24+1,10,12,14,16,18,20)+(IF(AND(Inputs!$B$38&lt;&gt;"pvp",Inputs!$B$43=0),1,IF(IF(Inputs!$B$38="pvp",15,Inputs!$B$43)-(B1259)&lt;=0,1,MAX(0,IF(Inputs!$B$38="pvp",15,Inputs!$B$43)-MAX(5,B1259))/(IF(Inputs!$B$38="pvp",15,Inputs!$B$43)-(B1259))))*IF(AND(ArtifactsInput!$M$42,((Inputs!$B$9+((C1240=TRUE)*(F1240-Calc!F19))+B1252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1227*(MIN(100,(Inputs!$B$9+((C1240=TRUE)*(F1240-Calc!F19))+B1252+(ArtifactsInput!$M$24-ArtifactsInput!$M$24)*CHOOSE(ArtifactsInput!$N$24+1,10,12,14,16,18,20)+(IF(AND(Inputs!$B$38&lt;&gt;"pvp",Inputs!$B$43=0),1,IF(IF(Inputs!$B$38="pvp",15,Inputs!$B$43)-(B1259)&lt;=0,1,MAX(0,IF(Inputs!$B$38="pvp",15,Inputs!$B$43)-MAX(5,B1259))/(IF(Inputs!$B$38="pvp",15,Inputs!$B$43)-(B1259))))*IF(AND(ArtifactsInput!$M$42,((Inputs!$B$9+((C1240=TRUE)*(F1240-Calc!F19))+B1252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1227*(1-MIN(100,(Inputs!$B$9+((C1240=TRUE)*(F1240-Calc!F19))+B1252+(ArtifactsInput!$M$24-ArtifactsInput!$M$24)*CHOOSE(ArtifactsInput!$N$24+1,10,12,14,16,18,20)+(IF(AND(Inputs!$B$38&lt;&gt;"pvp",Inputs!$B$43=0),1,IF(IF(Inputs!$B$38="pvp",15,Inputs!$B$43)-(B1259)&lt;=0,1,MAX(0,IF(Inputs!$B$38="pvp",15,Inputs!$B$43)-MAX(5,B1259))/(IF(Inputs!$B$38="pvp",15,Inputs!$B$43)-(B1259))))*IF(AND(ArtifactsInput!$M$42,((Inputs!$B$9+((C1240=TRUE)*(F1240-Calc!F19))+B1252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1227*(MIN(100,(Inputs!$B$9+((C1240=TRUE)*(F1240-Calc!F19))+B1252+(ArtifactsInput!$M$24-ArtifactsInput!$M$24)*CHOOSE(ArtifactsInput!$N$24+1,10,12,14,16,18,20)+(IF(AND(Inputs!$B$38&lt;&gt;"pvp",Inputs!$B$43=0),1,IF(IF(Inputs!$B$38="pvp",15,Inputs!$B$43)-(B1259)&lt;=0,1,MAX(0,IF(Inputs!$B$38="pvp",15,Inputs!$B$43)-MAX(5,B1259))/(IF(Inputs!$B$38="pvp",15,Inputs!$B$43)-(B1259))))*IF(AND(ArtifactsInput!$M$42,((Inputs!$B$9+((C1240=TRUE)*(F1240-Calc!F19))+B1252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27">
        <f>IF(C1227,(H1227*N1227*IF(AND(Inputs!$B$38&lt;&gt;"pvp",Inputs!$B$43&gt;0),((Skills!G6*((R1227-1)*IF(Skills!H6&gt;0,INT(Skills!I6/Skills!H6+0.000000001),1)+IF(Skills!H6&gt;0,INT(MIN(Skills!I6,MAX(0,MAX(0,Inputs!$B$43-B1259)-((R1227-1)*(IF(Inputs!$B$38="pvp",15,MAX(0.1,Skills!D6-IF(TRUE=TRUE,Inputs!$B$32,0)))*(1-IF(AND(ArtifactsInput!$M$27,Inputs!$B$4="Chapter Hunt"),CHOOSE(ArtifactsInput!$N$27+1,20,24,28,32,36,40),0)/100)))))/Skills!H6+0.000000001),1)))/Inputs!$B$43),G1227*Q1227))*IF(Inputs!$B$38="pvp",1,(1+(Inputs!$B$21+Skills!Q6+(IF(ArtifactsInput!$M$33,CHOOSE(ArtifactsInput!$N$33+1,30,36,42,48,54,60),0))+(IF(AND(ArtifactsInput!$M$35,Inputs!$B$4&lt;&gt;"Chapter Hunt"),CHOOSE(ArtifactsInput!$N$35+1,15,18,21,24,27,30)*(1-EXP(-(0.2*B1254)*5)),0)+IF(AND(ArtifactsInput!$M$22,Inputs!$B$4&lt;&gt;"Chapter Hunt"),CHOOSE(ArtifactsInput!$N$22+1,10,12,14,16,18,20)*((0*(((0.15*B1254*5))^0/1)+1*(((0.15*B1254*5))^1/1)+2*(((0.15*B1254*5))^2/2)+3*(((0.15*B1254*5))^3/6)+4*(((0.15*B1254*5))^4/24)+5*(((0.15*B1254*5))^5/120))/((((0.15*B1254*5))^0/1)+(((0.15*B1254*5))^1/1)+(((0.15*B1254*5))^2/2)+(((0.15*B1254*5))^3/6)+(((0.15*B1254*5))^4/24)+(((0.15*B1254*5))^5/120))),0))+IF(Inputs!$B$3&gt;=54,9*(C1224=TRUE)*MIN(1,8*(1+(Inputs!$B$34+1)/100)*Q1224),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28">
      <c r="A1228">
        <f>Skills!A7</f>
        <v/>
      </c>
      <c r="B1228">
        <f>Skills!B7</f>
        <v/>
      </c>
      <c r="C1228">
        <f>Inputs!$B$3&gt;=63</f>
        <v/>
      </c>
      <c r="D1228">
        <f>IF(Skills!C7=1,60+Inputs!$B$25+Inputs!$B$29,IF(Skills!C7=2,90+Inputs!$B$26+Inputs!$B$29,IF(Skills!C7=3,120+Inputs!$B$27+Inputs!$B$29,MAX(0,(Inputs!$B$3-100)*3)+Inputs!$B$28+Inputs!$B$29)))</f>
        <v/>
      </c>
      <c r="E1228">
        <f>INDEX(FactorTable!$B$2:$Y$301, MATCH(ROUND(MIN(300,MAX(1,D1228)),0), FactorTable!$A$2:$A$301,0), Skills!M7+1)</f>
        <v/>
      </c>
      <c r="F1228">
        <f>IF(Skills!N7=TRUE,(Skills!L7/10)*(E1228/1000),Skills!L7/10)+Skills!O7</f>
        <v/>
      </c>
      <c r="G1228">
        <f>Skills!G7*IF(Skills!H7&gt;0,INT(IF(Inputs!$B$38="pvp",MIN(Skills!I7,15),Skills!I7)/Skills!H7+0.000000001),1)</f>
        <v/>
      </c>
      <c r="H1228">
        <f>1-(1-Skills!J7/100)^Skills!K7</f>
        <v/>
      </c>
      <c r="I1228" t="inlineStr">
        <is>
          <t>1</t>
        </is>
      </c>
      <c r="J1228">
        <f>((Inputs!$B$6*(1+Inputs!$B$7/100))+(((Inputs!$B$12*(1+Inputs!$B$13/100))-(Inputs!$B$12*(1+Inputs!$B$13/100)))+0.25*(Inputs!$B$14-Inputs!$B$14))*(1+Inputs!$B$7/100))*(F1228/100)</f>
        <v/>
      </c>
      <c r="K1228">
        <f>J1228*(1+((Inputs!$B$12*(1+Inputs!$B$13/100))*0.01+Inputs!$B$14*0.0025)/100)*(1+Inputs!$B$15/100)*(1+Inputs!$B$16/100)*(5000/(6000+Inputs!$B$42*(1-(100*(1-(1-(Inputs!$B$19+0)/100)*(1-CHOOSE(ArtifactsInput!$N$40+1,5,6,7,8,9,10)/100)^(ArtifactsInput!$M$40-ArtifactsInput!$M$40)))/100)))*(1+(Inputs!$B$24+((C1247=TRUE)*(F1247-Calc!F26))+B1258)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1236=TRUE,F1236,0)/100)*(1+(IF(Skills!A7="EIGHT_LEGS_EASTON",Inputs!$B$17+((C1244=TRUE)*(F1244-Calc!F23))+((C1248=TRUE)*(F1248-Calc!F27))+((IF(AND(Inputs!$B$38&lt;&gt;"pvp",Inputs!$B$43=0),1,IF(IF(Inputs!$B$38="pvp",15,Inputs!$B$43)-(B1259)&lt;=0,1,MAX(0,IF(Inputs!$B$38="pvp",15,Inputs!$B$43)-MAX(5,B1259))/(IF(Inputs!$B$38="pvp",15,Inputs!$B$43)-(B1259))))*(IF(AND(ArtifactsInput!$M$42,((Inputs!$B$9+((C1240=TRUE)*(F1240-Calc!F19))+B1252+(ArtifactsInput!$M$24-ArtifactsInput!$M$24)*CHOOSE(ArtifactsInput!$N$24+1,10,12,14,16,18,20)+IF(ArtifactsInput!$M$10,CHOOSE(ArtifactsInput!$N$10+1,15,18,21,24,27,30)*(IF(Inputs!$B$38="pvp",MIN(15,15)/15,IF(AND(Inputs!$B$38&lt;&gt;"pvp",Inputs!$B$43&gt;0),MIN(15,Inputs!$B$43)/(Inputs!$B$43),0))),0)))&gt;=100),MIN(100,((Inputs!$B$9+((C1240=TRUE)*(F1240-Calc!F19))+B1252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1259)&lt;=0,1,MAX(0,IF(Inputs!$B$38="pvp",15,Inputs!$B$43)-MAX(5,B1259))/(IF(Inputs!$B$38="pvp",15,Inputs!$B$43)-(B1259))))*IF(AND(ArtifactsInput!$M$42,((Inputs!$B$9+((C1240=TRUE)*(F1240-Calc!F19))+B1252+(ArtifactsInput!$M$24-ArtifactsInput!$M$24)*CHOOSE(ArtifactsInput!$N$24+1,10,12,14,16,18,20)+IF(ArtifactsInput!$M$10,CHOOSE(ArtifactsInput!$N$10+1,15,18,21,24,27,30)*(IF(Inputs!$B$38="pvp",MIN(15,15)/15,IF(AND(Inputs!$B$38&lt;&gt;"pvp",Inputs!$B$43&gt;0),MIN(15,Inputs!$B$43)/(Inputs!$B$43),0))),0)))&gt;=100),CHOOSE(ArtifactsInput!$N$42+1,40,48,56,64,72,80),0))))/100)*((1+(((C1238=TRUE)*F1238*5/7)+((C1245=TRUE)*(F1245-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1228)</f>
        <v/>
      </c>
      <c r="L1228">
        <f>K1228*(MIN(Inputs!$B$22+((C1243=TRUE)*(F1243-Calc!F22)),(Inputs!$B$23+0+(IF(ArtifactsInput!$M$15,CHOOSE(ArtifactsInput!$N$15+1,25,30,35,40,45,50)/100*(Inputs!$B$11-Inputs!$B$11),0))))/100+(Inputs!$B$23+0+(IF(ArtifactsInput!$M$15,CHOOSE(ArtifactsInput!$N$15+1,25,30,35,40,45,50)/100*(Inputs!$B$11-Inputs!$B$11),0)))/100)/2</f>
        <v/>
      </c>
      <c r="M1228">
        <f>L1228*(1+(Inputs!$B$10+((C1246=TRUE)*(F1246-Calc!F25))+B1257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28">
        <f>L1228*(1-MIN((Inputs!$B$9+((C1240=TRUE)*(F1240-Calc!F19))+B1252+(ArtifactsInput!$M$24-ArtifactsInput!$M$24)*CHOOSE(ArtifactsInput!$N$24+1,10,12,14,16,18,20)+(IF(AND(Inputs!$B$38&lt;&gt;"pvp",Inputs!$B$43=0),1,IF(IF(Inputs!$B$38="pvp",15,Inputs!$B$43)-(B1259)&lt;=0,1,MAX(0,IF(Inputs!$B$38="pvp",15,Inputs!$B$43)-MAX(5,B1259))/(IF(Inputs!$B$38="pvp",15,Inputs!$B$43)-(B1259))))*IF(AND(ArtifactsInput!$M$42,((Inputs!$B$9+((C1240=TRUE)*(F1240-Calc!F19))+B1252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1228*(MIN((Inputs!$B$9+((C1240=TRUE)*(F1240-Calc!F19))+B1252+(ArtifactsInput!$M$24-ArtifactsInput!$M$24)*CHOOSE(ArtifactsInput!$N$24+1,10,12,14,16,18,20)+(IF(AND(Inputs!$B$38&lt;&gt;"pvp",Inputs!$B$43=0),1,IF(IF(Inputs!$B$38="pvp",15,Inputs!$B$43)-(B1259)&lt;=0,1,MAX(0,IF(Inputs!$B$38="pvp",15,Inputs!$B$43)-MAX(5,B1259))/(IF(Inputs!$B$38="pvp",15,Inputs!$B$43)-(B1259))))*IF(AND(ArtifactsInput!$M$42,((Inputs!$B$9+((C1240=TRUE)*(F1240-Calc!F19))+B1252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28">
        <f>(1-Summary!$B$11)*T1228+Summary!$B$11*V1228</f>
        <v/>
      </c>
      <c r="P1228">
        <f>IF(B1262=0,0,O1228/B1262)</f>
        <v/>
      </c>
      <c r="Q1228">
        <f>IFERROR(1/(IF(Inputs!$B$38="pvp",15,MAX(0.1,Skills!D7-IF(TRUE=TRUE,Inputs!$B$32,0)))*(1-IF(AND(ArtifactsInput!$M$27,Inputs!$B$4="Chapter Hunt"),CHOOSE(ArtifactsInput!$N$27+1,20,24,28,32,36,40),0)/100)),0)</f>
        <v/>
      </c>
      <c r="R1228">
        <f>IF(AND(Inputs!$B$38&lt;&gt;"pvp",Inputs!$B$43&gt;0),IF(MAX(0,Inputs!$B$43-B1259)&lt;=0,0,(INT(MAX(0,Inputs!$B$43-B1259)/(IF(Inputs!$B$38="pvp",15,MAX(0.1,Skills!D7-IF(TRUE=TRUE,Inputs!$B$32,0)))*(1-IF(AND(ArtifactsInput!$M$27,Inputs!$B$4="Chapter Hunt"),CHOOSE(ArtifactsInput!$N$27+1,20,24,28,32,36,40),0)/100)))+1)),0)</f>
        <v/>
      </c>
      <c r="S1228">
        <f>IFERROR(O1228/N1228,0)</f>
        <v/>
      </c>
      <c r="T1228">
        <f>IF(C1228,(H1228*N1228*IF(AND(Inputs!$B$38&lt;&gt;"pvp",Inputs!$B$43&gt;0),((Skills!G7*((R1228-1)*IF(Skills!H7&gt;0,INT(Skills!I7/Skills!H7+0.000000001),1)+IF(Skills!H7&gt;0,INT(MIN(Skills!I7,MAX(0,MAX(0,Inputs!$B$43-B1259)-((R1228-1)*(IF(Inputs!$B$38="pvp",15,MAX(0.1,Skills!D7-IF(TRUE=TRUE,Inputs!$B$32,0)))*(1-IF(AND(ArtifactsInput!$M$27,Inputs!$B$4="Chapter Hunt"),CHOOSE(ArtifactsInput!$N$27+1,20,24,28,32,36,40),0)/100)))))/Skills!H7+0.000000001),1)))/Inputs!$B$43),G1228*Q1228)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Hunt"),CHOOSE(ArtifactsInput!$N$35+1,15,18,21,24,27,30)*(1-EXP(-(0.2*B1254)*5)),0)+IF(AND(ArtifactsInput!$M$22,Inputs!$B$4&lt;&gt;"Chapter Hunt"),CHOOSE(ArtifactsInput!$N$22+1,10,12,14,16,18,20)*((0*(((0.15*B1254*5))^0/1)+1*(((0.15*B1254*5))^1/1)+2*(((0.15*B1254*5))^2/2)+3*(((0.15*B1254*5))^3/6)+4*(((0.15*B1254*5))^4/24)+5*(((0.15*B1254*5))^5/120))/((((0.15*B1254*5))^0/1)+(((0.15*B1254*5))^1/1)+(((0.15*B1254*5))^2/2)+(((0.15*B1254*5))^3/6)+(((0.15*B1254*5))^4/24)+(((0.15*B1254*5))^5/120))),0))+IF(Inputs!$B$3&gt;=54,9*(C1224=TRUE)*MIN(1,8*(1+(Inputs!$B$34+1)/100)*Q1224)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1228*(1-MIN(100,(Inputs!$B$9+((C1240=TRUE)*(F1240-Calc!F19))+B1252+(ArtifactsInput!$M$24-ArtifactsInput!$M$24)*CHOOSE(ArtifactsInput!$N$24+1,10,12,14,16,18,20)+(IF(AND(Inputs!$B$38&lt;&gt;"pvp",Inputs!$B$43=0),1,IF(IF(Inputs!$B$38="pvp",15,Inputs!$B$43)-(B1259)&lt;=0,1,MAX(0,IF(Inputs!$B$38="pvp",15,Inputs!$B$43)-MAX(5,B1259))/(IF(Inputs!$B$38="pvp",15,Inputs!$B$43)-(B1259))))*IF(AND(ArtifactsInput!$M$42,((Inputs!$B$9+((C1240=TRUE)*(F1240-Calc!F19))+B1252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1228*(MIN(100,(Inputs!$B$9+((C1240=TRUE)*(F1240-Calc!F19))+B1252+(ArtifactsInput!$M$24-ArtifactsInput!$M$24)*CHOOSE(ArtifactsInput!$N$24+1,10,12,14,16,18,20)+(IF(AND(Inputs!$B$38&lt;&gt;"pvp",Inputs!$B$43=0),1,IF(IF(Inputs!$B$38="pvp",15,Inputs!$B$43)-(B1259)&lt;=0,1,MAX(0,IF(Inputs!$B$38="pvp",15,Inputs!$B$43)-MAX(5,B1259))/(IF(Inputs!$B$38="pvp",15,Inputs!$B$43)-(B1259))))*IF(AND(ArtifactsInput!$M$42,((Inputs!$B$9+((C1240=TRUE)*(F1240-Calc!F19))+B1252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1228*(1-MIN(100,(Inputs!$B$9+((C1240=TRUE)*(F1240-Calc!F19))+B1252+(ArtifactsInput!$M$24-ArtifactsInput!$M$24)*CHOOSE(ArtifactsInput!$N$24+1,10,12,14,16,18,20)+(IF(AND(Inputs!$B$38&lt;&gt;"pvp",Inputs!$B$43=0),1,IF(IF(Inputs!$B$38="pvp",15,Inputs!$B$43)-(B1259)&lt;=0,1,MAX(0,IF(Inputs!$B$38="pvp",15,Inputs!$B$43)-MAX(5,B1259))/(IF(Inputs!$B$38="pvp",15,Inputs!$B$43)-(B1259))))*IF(AND(ArtifactsInput!$M$42,((Inputs!$B$9+((C1240=TRUE)*(F1240-Calc!F19))+B1252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1228*(MIN(100,(Inputs!$B$9+((C1240=TRUE)*(F1240-Calc!F19))+B1252+(ArtifactsInput!$M$24-ArtifactsInput!$M$24)*CHOOSE(ArtifactsInput!$N$24+1,10,12,14,16,18,20)+(IF(AND(Inputs!$B$38&lt;&gt;"pvp",Inputs!$B$43=0),1,IF(IF(Inputs!$B$38="pvp",15,Inputs!$B$43)-(B1259)&lt;=0,1,MAX(0,IF(Inputs!$B$38="pvp",15,Inputs!$B$43)-MAX(5,B1259))/(IF(Inputs!$B$38="pvp",15,Inputs!$B$43)-(B1259))))*IF(AND(ArtifactsInput!$M$42,((Inputs!$B$9+((C1240=TRUE)*(F1240-Calc!F19))+B1252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28">
        <f>IF(C1228,(H1228*N1228*IF(AND(Inputs!$B$38&lt;&gt;"pvp",Inputs!$B$43&gt;0),((Skills!G7*((R1228-1)*IF(Skills!H7&gt;0,INT(Skills!I7/Skills!H7+0.000000001),1)+IF(Skills!H7&gt;0,INT(MIN(Skills!I7,MAX(0,MAX(0,Inputs!$B$43-B1259)-((R1228-1)*(IF(Inputs!$B$38="pvp",15,MAX(0.1,Skills!D7-IF(TRUE=TRUE,Inputs!$B$32,0)))*(1-IF(AND(ArtifactsInput!$M$27,Inputs!$B$4="Chapter Hunt"),CHOOSE(ArtifactsInput!$N$27+1,20,24,28,32,36,40),0)/100)))))/Skills!H7+0.000000001),1)))/Inputs!$B$43),G1228*Q1228))*IF(Inputs!$B$38="pvp",1,(1+(Inputs!$B$21+Skills!Q7+(IF(ArtifactsInput!$M$33,CHOOSE(ArtifactsInput!$N$33+1,30,36,42,48,54,60),0))+(IF(AND(ArtifactsInput!$M$35,Inputs!$B$4&lt;&gt;"Chapter Hunt"),CHOOSE(ArtifactsInput!$N$35+1,15,18,21,24,27,30)*(1-EXP(-(0.2*B1254)*5)),0)+IF(AND(ArtifactsInput!$M$22,Inputs!$B$4&lt;&gt;"Chapter Hunt"),CHOOSE(ArtifactsInput!$N$22+1,10,12,14,16,18,20)*((0*(((0.15*B1254*5))^0/1)+1*(((0.15*B1254*5))^1/1)+2*(((0.15*B1254*5))^2/2)+3*(((0.15*B1254*5))^3/6)+4*(((0.15*B1254*5))^4/24)+5*(((0.15*B1254*5))^5/120))/((((0.15*B1254*5))^0/1)+(((0.15*B1254*5))^1/1)+(((0.15*B1254*5))^2/2)+(((0.15*B1254*5))^3/6)+(((0.15*B1254*5))^4/24)+(((0.15*B1254*5))^5/120))),0))+IF(Inputs!$B$3&gt;=54,9*(C1224=TRUE)*MIN(1,8*(1+(Inputs!$B$34+1)/100)*Q1224),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29">
      <c r="A1229">
        <f>Skills!A8</f>
        <v/>
      </c>
      <c r="B1229">
        <f>Skills!B8</f>
        <v/>
      </c>
      <c r="C1229">
        <f>Inputs!$B$3&gt;=103</f>
        <v/>
      </c>
      <c r="D1229">
        <f>IF(Skills!C8=1,60+Inputs!$B$25+Inputs!$B$29,IF(Skills!C8=2,90+Inputs!$B$26+Inputs!$B$29,IF(Skills!C8=3,120+Inputs!$B$27+Inputs!$B$29,MAX(0,(Inputs!$B$3-100)*3)+Inputs!$B$28+Inputs!$B$29)))</f>
        <v/>
      </c>
      <c r="E1229">
        <f>INDEX(FactorTable!$B$2:$Y$301, MATCH(ROUND(MIN(300,MAX(1,D1229)),0), FactorTable!$A$2:$A$301,0), Skills!M8+1)</f>
        <v/>
      </c>
      <c r="F1229">
        <f>IF(Skills!N8=TRUE,(Skills!L8/10)*(E1229/1000),Skills!L8/10)+Skills!O8</f>
        <v/>
      </c>
      <c r="G1229">
        <f>Skills!G8*IF(Skills!H8&gt;0,INT(IF(Inputs!$B$38="pvp",MIN(Skills!I8,15),Skills!I8)/Skills!H8+0.000000001),1)</f>
        <v/>
      </c>
      <c r="H1229">
        <f>1-(1-Skills!J8/100)^Skills!K8</f>
        <v/>
      </c>
      <c r="I1229" t="inlineStr">
        <is>
          <t>1</t>
        </is>
      </c>
      <c r="J1229">
        <f>((Inputs!$B$6*(1+Inputs!$B$7/100))+(((Inputs!$B$12*(1+Inputs!$B$13/100))-(Inputs!$B$12*(1+Inputs!$B$13/100)))+0.25*(Inputs!$B$14-Inputs!$B$14))*(1+Inputs!$B$7/100))*(F1229/100)</f>
        <v/>
      </c>
      <c r="K1229">
        <f>J1229*(1+((Inputs!$B$12*(1+Inputs!$B$13/100))*0.01+Inputs!$B$14*0.0025)/100)*(1+Inputs!$B$15/100)*(1+Inputs!$B$16/100)*(5000/(6000+Inputs!$B$42*(1-(100*(1-(1-(Inputs!$B$19+0)/100)*(1-CHOOSE(ArtifactsInput!$N$40+1,5,6,7,8,9,10)/100)^(ArtifactsInput!$M$40-ArtifactsInput!$M$40)))/100)))*(1+(Inputs!$B$24+((C1247=TRUE)*(F1247-Calc!F26))+B1258)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IGHT_LEGS_EASTON",Inputs!$B$17+((C1244=TRUE)*(F1244-Calc!F23))+((C1248=TRUE)*(F1248-Calc!F27))+((IF(AND(Inputs!$B$38&lt;&gt;"pvp",Inputs!$B$43=0),1,IF(IF(Inputs!$B$38="pvp",15,Inputs!$B$43)-(B1259)&lt;=0,1,MAX(0,IF(Inputs!$B$38="pvp",15,Inputs!$B$43)-MAX(5,B1259))/(IF(Inputs!$B$38="pvp",15,Inputs!$B$43)-(B1259))))*(IF(AND(ArtifactsInput!$M$42,((Inputs!$B$9+((C1240=TRUE)*(F1240-Calc!F19))+B1252+(ArtifactsInput!$M$24-ArtifactsInput!$M$24)*CHOOSE(ArtifactsInput!$N$24+1,10,12,14,16,18,20)+IF(ArtifactsInput!$M$10,CHOOSE(ArtifactsInput!$N$10+1,15,18,21,24,27,30)*(IF(Inputs!$B$38="pvp",MIN(15,15)/15,IF(AND(Inputs!$B$38&lt;&gt;"pvp",Inputs!$B$43&gt;0),MIN(15,Inputs!$B$43)/(Inputs!$B$43),0))),0)))&gt;=100),MIN(100,((Inputs!$B$9+((C1240=TRUE)*(F1240-Calc!F19))+B1252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1259)&lt;=0,1,MAX(0,IF(Inputs!$B$38="pvp",15,Inputs!$B$43)-MAX(5,B1259))/(IF(Inputs!$B$38="pvp",15,Inputs!$B$43)-(B1259))))*IF(AND(ArtifactsInput!$M$42,((Inputs!$B$9+((C1240=TRUE)*(F1240-Calc!F19))+B1252+(ArtifactsInput!$M$24-ArtifactsInput!$M$24)*CHOOSE(ArtifactsInput!$N$24+1,10,12,14,16,18,20)+IF(ArtifactsInput!$M$10,CHOOSE(ArtifactsInput!$N$10+1,15,18,21,24,27,30)*(IF(Inputs!$B$38="pvp",MIN(15,15)/15,IF(AND(Inputs!$B$38&lt;&gt;"pvp",Inputs!$B$43&gt;0),MIN(15,Inputs!$B$43)/(Inputs!$B$43),0))),0)))&gt;=100),CHOOSE(ArtifactsInput!$N$42+1,40,48,56,64,72,80),0))))/100)*((1+(((C1238=TRUE)*F1238*5/7)+((C1245=TRUE)*(F1245-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1229)</f>
        <v/>
      </c>
      <c r="L1229">
        <f>K1229*(MIN(Inputs!$B$22+((C1243=TRUE)*(F1243-Calc!F22)),(Inputs!$B$23+0+(IF(ArtifactsInput!$M$15,CHOOSE(ArtifactsInput!$N$15+1,25,30,35,40,45,50)/100*(Inputs!$B$11-Inputs!$B$11),0))))/100+(Inputs!$B$23+0+(IF(ArtifactsInput!$M$15,CHOOSE(ArtifactsInput!$N$15+1,25,30,35,40,45,50)/100*(Inputs!$B$11-Inputs!$B$11),0)))/100)/2</f>
        <v/>
      </c>
      <c r="M1229">
        <f>L1229*(1+(Inputs!$B$10+((C1246=TRUE)*(F1246-Calc!F25))+B1257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29">
        <f>L1229*(1-MIN((Inputs!$B$9+((C1240=TRUE)*(F1240-Calc!F19))+B1252+(ArtifactsInput!$M$24-ArtifactsInput!$M$24)*CHOOSE(ArtifactsInput!$N$24+1,10,12,14,16,18,20)+(IF(AND(Inputs!$B$38&lt;&gt;"pvp",Inputs!$B$43=0),1,IF(IF(Inputs!$B$38="pvp",15,Inputs!$B$43)-(B1259)&lt;=0,1,MAX(0,IF(Inputs!$B$38="pvp",15,Inputs!$B$43)-MAX(5,B1259))/(IF(Inputs!$B$38="pvp",15,Inputs!$B$43)-(B1259))))*IF(AND(ArtifactsInput!$M$42,((Inputs!$B$9+((C1240=TRUE)*(F1240-Calc!F19))+B1252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1229*(MIN((Inputs!$B$9+((C1240=TRUE)*(F1240-Calc!F19))+B1252+(ArtifactsInput!$M$24-ArtifactsInput!$M$24)*CHOOSE(ArtifactsInput!$N$24+1,10,12,14,16,18,20)+(IF(AND(Inputs!$B$38&lt;&gt;"pvp",Inputs!$B$43=0),1,IF(IF(Inputs!$B$38="pvp",15,Inputs!$B$43)-(B1259)&lt;=0,1,MAX(0,IF(Inputs!$B$38="pvp",15,Inputs!$B$43)-MAX(5,B1259))/(IF(Inputs!$B$38="pvp",15,Inputs!$B$43)-(B1259))))*IF(AND(ArtifactsInput!$M$42,((Inputs!$B$9+((C1240=TRUE)*(F1240-Calc!F19))+B1252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29">
        <f>(1-Summary!$B$11)*T1229+Summary!$B$11*V1229</f>
        <v/>
      </c>
      <c r="P1229">
        <f>IF(B1262=0,0,O1229/B1262)</f>
        <v/>
      </c>
      <c r="Q1229">
        <f>IFERROR(1/((IF(Inputs!$B$38="pvp",15,MAX(0.1,Skills!D8-IF(TRUE=TRUE,Inputs!$B$32,0)))*(1-IF(AND(ArtifactsInput!$M$27,Inputs!$B$4="Chapter Hunt"),CHOOSE(ArtifactsInput!$N$27+1,20,24,28,32,36,40),0)/100))/B1263),0)</f>
        <v/>
      </c>
      <c r="R1229">
        <f>IF(AND(Inputs!$B$38&lt;&gt;"pvp",Inputs!$B$43&gt;0),IF(MAX(0,Inputs!$B$43-B1259)&lt;=0,0,(INT(MAX(0,Inputs!$B$43-B1259)/((IF(Inputs!$B$38="pvp",15,MAX(0.1,Skills!D8-IF(TRUE=TRUE,Inputs!$B$32,0)))*(1-IF(AND(ArtifactsInput!$M$27,Inputs!$B$4="Chapter Hunt"),CHOOSE(ArtifactsInput!$N$27+1,20,24,28,32,36,40),0)/100))/B1263))+1)),0)</f>
        <v/>
      </c>
      <c r="S1229">
        <f>IFERROR(O1229/N1229,0)</f>
        <v/>
      </c>
      <c r="T1229">
        <f>IF(C1229,(H1229*N1229*IF(AND(Inputs!$B$38&lt;&gt;"pvp",Inputs!$B$43&gt;0),((Skills!G8*((R1229-1)*IF(Skills!H8&gt;0,INT(Skills!I8/Skills!H8+0.000000001),1)+IF(Skills!H8&gt;0,INT(MIN(Skills!I8,MAX(0,MAX(0,Inputs!$B$43-B1259)-((R1229-1)*((IF(Inputs!$B$38="pvp",15,MAX(0.1,Skills!D8-IF(TRUE=TRUE,Inputs!$B$32,0)))*(1-IF(AND(ArtifactsInput!$M$27,Inputs!$B$4="Chapter Hunt"),CHOOSE(ArtifactsInput!$N$27+1,20,24,28,32,36,40),0)/100))/B1263))))/Skills!H8+0.000000001),1)))/Inputs!$B$43),G1229*Q1229))*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Hunt"),CHOOSE(ArtifactsInput!$N$35+1,15,18,21,24,27,30)*(1-EXP(-(0.2*B1254)*5)),0)+IF(AND(ArtifactsInput!$M$22,Inputs!$B$4&lt;&gt;"Chapter Hunt"),CHOOSE(ArtifactsInput!$N$22+1,10,12,14,16,18,20)*((0*(((0.15*B1254*5))^0/1)+1*(((0.15*B1254*5))^1/1)+2*(((0.15*B1254*5))^2/2)+3*(((0.15*B1254*5))^3/6)+4*(((0.15*B1254*5))^4/24)+5*(((0.15*B1254*5))^5/120))/((((0.15*B1254*5))^0/1)+(((0.15*B1254*5))^1/1)+(((0.15*B1254*5))^2/2)+(((0.15*B1254*5))^3/6)+(((0.15*B1254*5))^4/24)+(((0.15*B1254*5))^5/120))),0))+IF(Inputs!$B$3&gt;=54,9*(C1224=TRUE)*MIN(1,8*(1+(Inputs!$B$34+1)/100)*Q1224)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1229*(1-MIN(100,(Inputs!$B$9+((C1240=TRUE)*(F1240-Calc!F19))+B1252+(ArtifactsInput!$M$24-ArtifactsInput!$M$24)*CHOOSE(ArtifactsInput!$N$24+1,10,12,14,16,18,20)+(IF(AND(Inputs!$B$38&lt;&gt;"pvp",Inputs!$B$43=0),1,IF(IF(Inputs!$B$38="pvp",15,Inputs!$B$43)-(B1259)&lt;=0,1,MAX(0,IF(Inputs!$B$38="pvp",15,Inputs!$B$43)-MAX(5,B1259))/(IF(Inputs!$B$38="pvp",15,Inputs!$B$43)-(B1259))))*IF(AND(ArtifactsInput!$M$42,((Inputs!$B$9+((C1240=TRUE)*(F1240-Calc!F19))+B1252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1229*(MIN(100,(Inputs!$B$9+((C1240=TRUE)*(F1240-Calc!F19))+B1252+(ArtifactsInput!$M$24-ArtifactsInput!$M$24)*CHOOSE(ArtifactsInput!$N$24+1,10,12,14,16,18,20)+(IF(AND(Inputs!$B$38&lt;&gt;"pvp",Inputs!$B$43=0),1,IF(IF(Inputs!$B$38="pvp",15,Inputs!$B$43)-(B1259)&lt;=0,1,MAX(0,IF(Inputs!$B$38="pvp",15,Inputs!$B$43)-MAX(5,B1259))/(IF(Inputs!$B$38="pvp",15,Inputs!$B$43)-(B1259))))*IF(AND(ArtifactsInput!$M$42,((Inputs!$B$9+((C1240=TRUE)*(F1240-Calc!F19))+B1252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1229*(1-MIN(100,(Inputs!$B$9+((C1240=TRUE)*(F1240-Calc!F19))+B1252+(ArtifactsInput!$M$24-ArtifactsInput!$M$24)*CHOOSE(ArtifactsInput!$N$24+1,10,12,14,16,18,20)+(IF(AND(Inputs!$B$38&lt;&gt;"pvp",Inputs!$B$43=0),1,IF(IF(Inputs!$B$38="pvp",15,Inputs!$B$43)-(B1259)&lt;=0,1,MAX(0,IF(Inputs!$B$38="pvp",15,Inputs!$B$43)-MAX(5,B1259))/(IF(Inputs!$B$38="pvp",15,Inputs!$B$43)-(B1259))))*IF(AND(ArtifactsInput!$M$42,((Inputs!$B$9+((C1240=TRUE)*(F1240-Calc!F19))+B1252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1229*(MIN(100,(Inputs!$B$9+((C1240=TRUE)*(F1240-Calc!F19))+B1252+(ArtifactsInput!$M$24-ArtifactsInput!$M$24)*CHOOSE(ArtifactsInput!$N$24+1,10,12,14,16,18,20)+(IF(AND(Inputs!$B$38&lt;&gt;"pvp",Inputs!$B$43=0),1,IF(IF(Inputs!$B$38="pvp",15,Inputs!$B$43)-(B1259)&lt;=0,1,MAX(0,IF(Inputs!$B$38="pvp",15,Inputs!$B$43)-MAX(5,B1259))/(IF(Inputs!$B$38="pvp",15,Inputs!$B$43)-(B1259))))*IF(AND(ArtifactsInput!$M$42,((Inputs!$B$9+((C1240=TRUE)*(F1240-Calc!F19))+B1252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29">
        <f>IF(C1229,(H1229*N1229*IF(AND(Inputs!$B$38&lt;&gt;"pvp",Inputs!$B$43&gt;0),((Skills!G8*((R1229-1)*IF(Skills!H8&gt;0,INT(Skills!I8/Skills!H8+0.000000001),1)+IF(Skills!H8&gt;0,INT(MIN(Skills!I8,MAX(0,MAX(0,Inputs!$B$43-B1259)-((R1229-1)*((IF(Inputs!$B$38="pvp",15,MAX(0.1,Skills!D8-IF(TRUE=TRUE,Inputs!$B$32,0)))*(1-IF(AND(ArtifactsInput!$M$27,Inputs!$B$4="Chapter Hunt"),CHOOSE(ArtifactsInput!$N$27+1,20,24,28,32,36,40),0)/100))/B1263))))/Skills!H8+0.000000001),1)))/Inputs!$B$43),G1229*Q1229))*IF(Inputs!$B$38="pvp",1,(1+(Inputs!$B$21+Skills!Q8+(IF(ArtifactsInput!$M$33,CHOOSE(ArtifactsInput!$N$33+1,30,36,42,48,54,60),0))+(IF(AND(ArtifactsInput!$M$35,Inputs!$B$4&lt;&gt;"Chapter Hunt"),CHOOSE(ArtifactsInput!$N$35+1,15,18,21,24,27,30)*(1-EXP(-(0.2*B1254)*5)),0)+IF(AND(ArtifactsInput!$M$22,Inputs!$B$4&lt;&gt;"Chapter Hunt"),CHOOSE(ArtifactsInput!$N$22+1,10,12,14,16,18,20)*((0*(((0.15*B1254*5))^0/1)+1*(((0.15*B1254*5))^1/1)+2*(((0.15*B1254*5))^2/2)+3*(((0.15*B1254*5))^3/6)+4*(((0.15*B1254*5))^4/24)+5*(((0.15*B1254*5))^5/120))/((((0.15*B1254*5))^0/1)+(((0.15*B1254*5))^1/1)+(((0.15*B1254*5))^2/2)+(((0.15*B1254*5))^3/6)+(((0.15*B1254*5))^4/24)+(((0.15*B1254*5))^5/120))),0))+IF(Inputs!$B$3&gt;=54,9*(C1224=TRUE)*MIN(1,8*(1+(Inputs!$B$34+1)/100)*Q1224),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30">
      <c r="A1230">
        <f>Skills!A9</f>
        <v/>
      </c>
      <c r="B1230">
        <f>Skills!B9</f>
        <v/>
      </c>
      <c r="C1230">
        <f>Inputs!$B$3&gt;=105</f>
        <v/>
      </c>
      <c r="D1230">
        <f>IF(Skills!C9=1,60+Inputs!$B$25+Inputs!$B$29,IF(Skills!C9=2,90+Inputs!$B$26+Inputs!$B$29,IF(Skills!C9=3,120+Inputs!$B$27+Inputs!$B$29,MAX(0,(Inputs!$B$3-100)*3)+Inputs!$B$28+Inputs!$B$29)))</f>
        <v/>
      </c>
      <c r="E1230">
        <f>INDEX(FactorTable!$B$2:$Y$301, MATCH(ROUND(MIN(300,MAX(1,D1230)),0), FactorTable!$A$2:$A$301,0), Skills!M9+1)</f>
        <v/>
      </c>
      <c r="F1230">
        <f>IF(Skills!N9=TRUE,(Skills!L9/10)*(E1230/1000),Skills!L9/10)+Skills!O9</f>
        <v/>
      </c>
      <c r="G1230">
        <f>Skills!G9*IF(Skills!H9&gt;0,INT(IF(Inputs!$B$38="pvp",MIN(Skills!I9,15),Skills!I9)/Skills!H9+0.000000001),1)</f>
        <v/>
      </c>
      <c r="H1230">
        <f>1-(1-Skills!J9/100)^Skills!K9</f>
        <v/>
      </c>
      <c r="I1230" t="inlineStr">
        <is>
          <t>1</t>
        </is>
      </c>
      <c r="J1230">
        <f>((Inputs!$B$6*(1+Inputs!$B$7/100))+(((Inputs!$B$12*(1+Inputs!$B$13/100))-(Inputs!$B$12*(1+Inputs!$B$13/100)))+0.25*(Inputs!$B$14-Inputs!$B$14))*(1+Inputs!$B$7/100))*(F1230/100)</f>
        <v/>
      </c>
      <c r="K1230">
        <f>J1230*(1+((Inputs!$B$12*(1+Inputs!$B$13/100))*0.01+Inputs!$B$14*0.0025)/100)*(1+Inputs!$B$15/100)*(1+Inputs!$B$16/100)*(5000/(6000+Inputs!$B$42*(1-(100*(1-(1-(Inputs!$B$19+0)/100)*(1-CHOOSE(ArtifactsInput!$N$40+1,5,6,7,8,9,10)/100)^(ArtifactsInput!$M$40-ArtifactsInput!$M$40)))/100)))*(1+(Inputs!$B$24+((C1247=TRUE)*(F1247-Calc!F26))+B1258)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IGHT_LEGS_EASTON",Inputs!$B$17+((C1244=TRUE)*(F1244-Calc!F23))+((C1248=TRUE)*(F1248-Calc!F27))+((IF(AND(Inputs!$B$38&lt;&gt;"pvp",Inputs!$B$43=0),1,IF(IF(Inputs!$B$38="pvp",15,Inputs!$B$43)-(B1259)&lt;=0,1,MAX(0,IF(Inputs!$B$38="pvp",15,Inputs!$B$43)-MAX(5,B1259))/(IF(Inputs!$B$38="pvp",15,Inputs!$B$43)-(B1259))))*(IF(AND(ArtifactsInput!$M$42,((Inputs!$B$9+((C1240=TRUE)*(F1240-Calc!F19))+B1252+(ArtifactsInput!$M$24-ArtifactsInput!$M$24)*CHOOSE(ArtifactsInput!$N$24+1,10,12,14,16,18,20)+IF(ArtifactsInput!$M$10,CHOOSE(ArtifactsInput!$N$10+1,15,18,21,24,27,30)*(IF(Inputs!$B$38="pvp",MIN(15,15)/15,IF(AND(Inputs!$B$38&lt;&gt;"pvp",Inputs!$B$43&gt;0),MIN(15,Inputs!$B$43)/(Inputs!$B$43),0))),0)))&gt;=100),MIN(100,((Inputs!$B$9+((C1240=TRUE)*(F1240-Calc!F19))+B1252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1259)&lt;=0,1,MAX(0,IF(Inputs!$B$38="pvp",15,Inputs!$B$43)-MAX(5,B1259))/(IF(Inputs!$B$38="pvp",15,Inputs!$B$43)-(B1259))))*IF(AND(ArtifactsInput!$M$42,((Inputs!$B$9+((C1240=TRUE)*(F1240-Calc!F19))+B1252+(ArtifactsInput!$M$24-ArtifactsInput!$M$24)*CHOOSE(ArtifactsInput!$N$24+1,10,12,14,16,18,20)+IF(ArtifactsInput!$M$10,CHOOSE(ArtifactsInput!$N$10+1,15,18,21,24,27,30)*(IF(Inputs!$B$38="pvp",MIN(15,15)/15,IF(AND(Inputs!$B$38&lt;&gt;"pvp",Inputs!$B$43&gt;0),MIN(15,Inputs!$B$43)/(Inputs!$B$43),0))),0)))&gt;=100),CHOOSE(ArtifactsInput!$N$42+1,40,48,56,64,72,80),0))))/100)*((1+(((C1238=TRUE)*F1238*5/7)+((C1245=TRUE)*(F1245-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1230)</f>
        <v/>
      </c>
      <c r="L1230">
        <f>K1230*(MIN(Inputs!$B$22+((C1243=TRUE)*(F1243-Calc!F22)),(Inputs!$B$23+0+(IF(ArtifactsInput!$M$15,CHOOSE(ArtifactsInput!$N$15+1,25,30,35,40,45,50)/100*(Inputs!$B$11-Inputs!$B$11),0))))/100+(Inputs!$B$23+0+(IF(ArtifactsInput!$M$15,CHOOSE(ArtifactsInput!$N$15+1,25,30,35,40,45,50)/100*(Inputs!$B$11-Inputs!$B$11),0)))/100)/2</f>
        <v/>
      </c>
      <c r="M1230">
        <f>L1230*(1+(Inputs!$B$10+((C1246=TRUE)*(F1246-Calc!F25))+B1257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30">
        <f>L1230*(1-MIN((Inputs!$B$9+((C1240=TRUE)*(F1240-Calc!F19))+B1252+(ArtifactsInput!$M$24-ArtifactsInput!$M$24)*CHOOSE(ArtifactsInput!$N$24+1,10,12,14,16,18,20)+(IF(AND(Inputs!$B$38&lt;&gt;"pvp",Inputs!$B$43=0),1,IF(IF(Inputs!$B$38="pvp",15,Inputs!$B$43)-(B1259)&lt;=0,1,MAX(0,IF(Inputs!$B$38="pvp",15,Inputs!$B$43)-MAX(5,B1259))/(IF(Inputs!$B$38="pvp",15,Inputs!$B$43)-(B1259))))*IF(AND(ArtifactsInput!$M$42,((Inputs!$B$9+((C1240=TRUE)*(F1240-Calc!F19))+B1252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1230*(MIN((Inputs!$B$9+((C1240=TRUE)*(F1240-Calc!F19))+B1252+(ArtifactsInput!$M$24-ArtifactsInput!$M$24)*CHOOSE(ArtifactsInput!$N$24+1,10,12,14,16,18,20)+(IF(AND(Inputs!$B$38&lt;&gt;"pvp",Inputs!$B$43=0),1,IF(IF(Inputs!$B$38="pvp",15,Inputs!$B$43)-(B1259)&lt;=0,1,MAX(0,IF(Inputs!$B$38="pvp",15,Inputs!$B$43)-MAX(5,B1259))/(IF(Inputs!$B$38="pvp",15,Inputs!$B$43)-(B1259))))*IF(AND(ArtifactsInput!$M$42,((Inputs!$B$9+((C1240=TRUE)*(F1240-Calc!F19))+B1252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30">
        <f>(1-Summary!$B$11)*T1230+Summary!$B$11*V1230</f>
        <v/>
      </c>
      <c r="P1230">
        <f>IF(B1262=0,0,O1230/B1262)</f>
        <v/>
      </c>
      <c r="Q1230">
        <f>IFERROR(1/(IF(Inputs!$B$38="pvp",15,MAX(0.1,Skills!D9-IF(TRUE=TRUE,Inputs!$B$32,0)))*(1-IF(AND(ArtifactsInput!$M$27,Inputs!$B$4="Chapter Hunt"),CHOOSE(ArtifactsInput!$N$27+1,20,24,28,32,36,40),0)/100)),0)</f>
        <v/>
      </c>
      <c r="R1230">
        <f>IF(AND(Inputs!$B$38&lt;&gt;"pvp",Inputs!$B$43&gt;0),IF(MAX(0,Inputs!$B$43-B1259)&lt;=0,0,(INT(MAX(0,Inputs!$B$43-B1259)/(IF(Inputs!$B$38="pvp",15,MAX(0.1,Skills!D9-IF(TRUE=TRUE,Inputs!$B$32,0)))*(1-IF(AND(ArtifactsInput!$M$27,Inputs!$B$4="Chapter Hunt"),CHOOSE(ArtifactsInput!$N$27+1,20,24,28,32,36,40),0)/100)))+1)),0)</f>
        <v/>
      </c>
      <c r="S1230">
        <f>IFERROR(O1230/N1230,0)</f>
        <v/>
      </c>
      <c r="T1230">
        <f>IF(C1230,(H1230*N1230*IF(AND(Inputs!$B$38&lt;&gt;"pvp",Inputs!$B$43&gt;0),((Skills!G9*((R1230-1)*IF(Skills!H9&gt;0,INT(Skills!I9/Skills!H9+0.000000001),1)+IF(Skills!H9&gt;0,INT(MIN(Skills!I9,MAX(0,MAX(0,Inputs!$B$43-B1259)-((R1230-1)*(IF(Inputs!$B$38="pvp",15,MAX(0.1,Skills!D9-IF(TRUE=TRUE,Inputs!$B$32,0)))*(1-IF(AND(ArtifactsInput!$M$27,Inputs!$B$4="Chapter Hunt"),CHOOSE(ArtifactsInput!$N$27+1,20,24,28,32,36,40),0)/100)))))/Skills!H9+0.000000001),1)))/Inputs!$B$43),G1230*Q1230)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Hunt"),CHOOSE(ArtifactsInput!$N$35+1,15,18,21,24,27,30)*(1-EXP(-(0.2*B1254)*5)),0)+IF(AND(ArtifactsInput!$M$22,Inputs!$B$4&lt;&gt;"Chapter Hunt"),CHOOSE(ArtifactsInput!$N$22+1,10,12,14,16,18,20)*((0*(((0.15*B1254*5))^0/1)+1*(((0.15*B1254*5))^1/1)+2*(((0.15*B1254*5))^2/2)+3*(((0.15*B1254*5))^3/6)+4*(((0.15*B1254*5))^4/24)+5*(((0.15*B1254*5))^5/120))/((((0.15*B1254*5))^0/1)+(((0.15*B1254*5))^1/1)+(((0.15*B1254*5))^2/2)+(((0.15*B1254*5))^3/6)+(((0.15*B1254*5))^4/24)+(((0.15*B1254*5))^5/120))),0))+IF(Inputs!$B$3&gt;=54,9*(C1224=TRUE)*MIN(1,8*(1+(Inputs!$B$34+1)/100)*Q1224)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1230*(1-MIN(100,(Inputs!$B$9+((C1240=TRUE)*(F1240-Calc!F19))+B1252+(ArtifactsInput!$M$24-ArtifactsInput!$M$24)*CHOOSE(ArtifactsInput!$N$24+1,10,12,14,16,18,20)+(IF(AND(Inputs!$B$38&lt;&gt;"pvp",Inputs!$B$43=0),1,IF(IF(Inputs!$B$38="pvp",15,Inputs!$B$43)-(B1259)&lt;=0,1,MAX(0,IF(Inputs!$B$38="pvp",15,Inputs!$B$43)-MAX(5,B1259))/(IF(Inputs!$B$38="pvp",15,Inputs!$B$43)-(B1259))))*IF(AND(ArtifactsInput!$M$42,((Inputs!$B$9+((C1240=TRUE)*(F1240-Calc!F19))+B1252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1230*(MIN(100,(Inputs!$B$9+((C1240=TRUE)*(F1240-Calc!F19))+B1252+(ArtifactsInput!$M$24-ArtifactsInput!$M$24)*CHOOSE(ArtifactsInput!$N$24+1,10,12,14,16,18,20)+(IF(AND(Inputs!$B$38&lt;&gt;"pvp",Inputs!$B$43=0),1,IF(IF(Inputs!$B$38="pvp",15,Inputs!$B$43)-(B1259)&lt;=0,1,MAX(0,IF(Inputs!$B$38="pvp",15,Inputs!$B$43)-MAX(5,B1259))/(IF(Inputs!$B$38="pvp",15,Inputs!$B$43)-(B1259))))*IF(AND(ArtifactsInput!$M$42,((Inputs!$B$9+((C1240=TRUE)*(F1240-Calc!F19))+B1252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1230*(1-MIN(100,(Inputs!$B$9+((C1240=TRUE)*(F1240-Calc!F19))+B1252+(ArtifactsInput!$M$24-ArtifactsInput!$M$24)*CHOOSE(ArtifactsInput!$N$24+1,10,12,14,16,18,20)+(IF(AND(Inputs!$B$38&lt;&gt;"pvp",Inputs!$B$43=0),1,IF(IF(Inputs!$B$38="pvp",15,Inputs!$B$43)-(B1259)&lt;=0,1,MAX(0,IF(Inputs!$B$38="pvp",15,Inputs!$B$43)-MAX(5,B1259))/(IF(Inputs!$B$38="pvp",15,Inputs!$B$43)-(B1259))))*IF(AND(ArtifactsInput!$M$42,((Inputs!$B$9+((C1240=TRUE)*(F1240-Calc!F19))+B1252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1230*(MIN(100,(Inputs!$B$9+((C1240=TRUE)*(F1240-Calc!F19))+B1252+(ArtifactsInput!$M$24-ArtifactsInput!$M$24)*CHOOSE(ArtifactsInput!$N$24+1,10,12,14,16,18,20)+(IF(AND(Inputs!$B$38&lt;&gt;"pvp",Inputs!$B$43=0),1,IF(IF(Inputs!$B$38="pvp",15,Inputs!$B$43)-(B1259)&lt;=0,1,MAX(0,IF(Inputs!$B$38="pvp",15,Inputs!$B$43)-MAX(5,B1259))/(IF(Inputs!$B$38="pvp",15,Inputs!$B$43)-(B1259))))*IF(AND(ArtifactsInput!$M$42,((Inputs!$B$9+((C1240=TRUE)*(F1240-Calc!F19))+B1252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30">
        <f>IF(C1230,(H1230*N1230*IF(AND(Inputs!$B$38&lt;&gt;"pvp",Inputs!$B$43&gt;0),((Skills!G9*((R1230-1)*IF(Skills!H9&gt;0,INT(Skills!I9/Skills!H9+0.000000001),1)+IF(Skills!H9&gt;0,INT(MIN(Skills!I9,MAX(0,MAX(0,Inputs!$B$43-B1259)-((R1230-1)*(IF(Inputs!$B$38="pvp",15,MAX(0.1,Skills!D9-IF(TRUE=TRUE,Inputs!$B$32,0)))*(1-IF(AND(ArtifactsInput!$M$27,Inputs!$B$4="Chapter Hunt"),CHOOSE(ArtifactsInput!$N$27+1,20,24,28,32,36,40),0)/100)))))/Skills!H9+0.000000001),1)))/Inputs!$B$43),G1230*Q1230))*IF(Inputs!$B$38="pvp",1,(1+(Inputs!$B$21+Skills!Q9+(IF(ArtifactsInput!$M$33,CHOOSE(ArtifactsInput!$N$33+1,30,36,42,48,54,60),0))+(IF(AND(ArtifactsInput!$M$35,Inputs!$B$4&lt;&gt;"Chapter Hunt"),CHOOSE(ArtifactsInput!$N$35+1,15,18,21,24,27,30)*(1-EXP(-(0.2*B1254)*5)),0)+IF(AND(ArtifactsInput!$M$22,Inputs!$B$4&lt;&gt;"Chapter Hunt"),CHOOSE(ArtifactsInput!$N$22+1,10,12,14,16,18,20)*((0*(((0.15*B1254*5))^0/1)+1*(((0.15*B1254*5))^1/1)+2*(((0.15*B1254*5))^2/2)+3*(((0.15*B1254*5))^3/6)+4*(((0.15*B1254*5))^4/24)+5*(((0.15*B1254*5))^5/120))/((((0.15*B1254*5))^0/1)+(((0.15*B1254*5))^1/1)+(((0.15*B1254*5))^2/2)+(((0.15*B1254*5))^3/6)+(((0.15*B1254*5))^4/24)+(((0.15*B1254*5))^5/120))),0))+IF(Inputs!$B$3&gt;=54,9*(C1224=TRUE)*MIN(1,8*(1+(Inputs!$B$34+1)/100)*Q1224),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31">
      <c r="A1231">
        <f>Skills!A10</f>
        <v/>
      </c>
      <c r="B1231">
        <f>Skills!B10</f>
        <v/>
      </c>
      <c r="C1231">
        <f>Inputs!$B$3&gt;=113</f>
        <v/>
      </c>
      <c r="D1231">
        <f>IF(Skills!C10=1,60+Inputs!$B$25+Inputs!$B$29,IF(Skills!C10=2,90+Inputs!$B$26+Inputs!$B$29,IF(Skills!C10=3,120+Inputs!$B$27+Inputs!$B$29,MAX(0,(Inputs!$B$3-100)*3)+Inputs!$B$28+Inputs!$B$29)))</f>
        <v/>
      </c>
      <c r="E1231">
        <f>INDEX(FactorTable!$B$2:$Y$301, MATCH(ROUND(MIN(300,MAX(1,D1231)),0), FactorTable!$A$2:$A$301,0), Skills!M10+1)</f>
        <v/>
      </c>
      <c r="F1231">
        <f>IF(Skills!N10=TRUE,(Skills!L10/10)*(E1231/1000),Skills!L10/10)+Skills!O10</f>
        <v/>
      </c>
      <c r="G1231">
        <f>Skills!G10*IF(Skills!H10&gt;0,INT(IF(Inputs!$B$38="pvp",MIN(Skills!I10,15),Skills!I10)/Skills!H10+0.000000001),1)</f>
        <v/>
      </c>
      <c r="H1231">
        <f>1-(1-Skills!J10/100)^Skills!K10</f>
        <v/>
      </c>
      <c r="I1231" t="inlineStr">
        <is>
          <t>1</t>
        </is>
      </c>
      <c r="J1231">
        <f>((Inputs!$B$6*(1+Inputs!$B$7/100))+(((Inputs!$B$12*(1+Inputs!$B$13/100))-(Inputs!$B$12*(1+Inputs!$B$13/100)))+0.25*(Inputs!$B$14-Inputs!$B$14))*(1+Inputs!$B$7/100))*(F1231/100)</f>
        <v/>
      </c>
      <c r="K1231">
        <f>J1231*(1+((Inputs!$B$12*(1+Inputs!$B$13/100))*0.01+Inputs!$B$14*0.0025)/100)*(1+Inputs!$B$15/100)*(1+Inputs!$B$16/100)*(5000/(6000+Inputs!$B$42*(1-(100*(1-(1-(Inputs!$B$19+0)/100)*(1-CHOOSE(ArtifactsInput!$N$40+1,5,6,7,8,9,10)/100)^(ArtifactsInput!$M$40-ArtifactsInput!$M$40)))/100)))*(1+(Inputs!$B$24+((C1247=TRUE)*(F1247-Calc!F26))+B1258)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IGHT_LEGS_EASTON",Inputs!$B$17+((C1244=TRUE)*(F1244-Calc!F23))+((C1248=TRUE)*(F1248-Calc!F27))+((IF(AND(Inputs!$B$38&lt;&gt;"pvp",Inputs!$B$43=0),1,IF(IF(Inputs!$B$38="pvp",15,Inputs!$B$43)-(B1259)&lt;=0,1,MAX(0,IF(Inputs!$B$38="pvp",15,Inputs!$B$43)-MAX(5,B1259))/(IF(Inputs!$B$38="pvp",15,Inputs!$B$43)-(B1259))))*(IF(AND(ArtifactsInput!$M$42,((Inputs!$B$9+((C1240=TRUE)*(F1240-Calc!F19))+B1252+(ArtifactsInput!$M$24-ArtifactsInput!$M$24)*CHOOSE(ArtifactsInput!$N$24+1,10,12,14,16,18,20)+IF(ArtifactsInput!$M$10,CHOOSE(ArtifactsInput!$N$10+1,15,18,21,24,27,30)*(IF(Inputs!$B$38="pvp",MIN(15,15)/15,IF(AND(Inputs!$B$38&lt;&gt;"pvp",Inputs!$B$43&gt;0),MIN(15,Inputs!$B$43)/(Inputs!$B$43),0))),0)))&gt;=100),MIN(100,((Inputs!$B$9+((C1240=TRUE)*(F1240-Calc!F19))+B1252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1259)&lt;=0,1,MAX(0,IF(Inputs!$B$38="pvp",15,Inputs!$B$43)-MAX(5,B1259))/(IF(Inputs!$B$38="pvp",15,Inputs!$B$43)-(B1259))))*IF(AND(ArtifactsInput!$M$42,((Inputs!$B$9+((C1240=TRUE)*(F1240-Calc!F19))+B1252+(ArtifactsInput!$M$24-ArtifactsInput!$M$24)*CHOOSE(ArtifactsInput!$N$24+1,10,12,14,16,18,20)+IF(ArtifactsInput!$M$10,CHOOSE(ArtifactsInput!$N$10+1,15,18,21,24,27,30)*(IF(Inputs!$B$38="pvp",MIN(15,15)/15,IF(AND(Inputs!$B$38&lt;&gt;"pvp",Inputs!$B$43&gt;0),MIN(15,Inputs!$B$43)/(Inputs!$B$43),0))),0)))&gt;=100),CHOOSE(ArtifactsInput!$N$42+1,40,48,56,64,72,80),0))))/100)*((1+(((C1238=TRUE)*F1238*5/7)+((C1245=TRUE)*(F1245-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1231)</f>
        <v/>
      </c>
      <c r="L1231">
        <f>K1231*(MIN(Inputs!$B$22+((C1243=TRUE)*(F1243-Calc!F22)),(Inputs!$B$23+0+(IF(ArtifactsInput!$M$15,CHOOSE(ArtifactsInput!$N$15+1,25,30,35,40,45,50)/100*(Inputs!$B$11-Inputs!$B$11),0))))/100+(Inputs!$B$23+0+(IF(ArtifactsInput!$M$15,CHOOSE(ArtifactsInput!$N$15+1,25,30,35,40,45,50)/100*(Inputs!$B$11-Inputs!$B$11),0)))/100)/2</f>
        <v/>
      </c>
      <c r="M1231">
        <f>L1231*(1+(Inputs!$B$10+((C1246=TRUE)*(F1246-Calc!F25))+B1257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31">
        <f>L1231*(1-MIN((Inputs!$B$9+((C1240=TRUE)*(F1240-Calc!F19))+B1252+(ArtifactsInput!$M$24-ArtifactsInput!$M$24)*CHOOSE(ArtifactsInput!$N$24+1,10,12,14,16,18,20)+(IF(AND(Inputs!$B$38&lt;&gt;"pvp",Inputs!$B$43=0),1,IF(IF(Inputs!$B$38="pvp",15,Inputs!$B$43)-(B1259)&lt;=0,1,MAX(0,IF(Inputs!$B$38="pvp",15,Inputs!$B$43)-MAX(5,B1259))/(IF(Inputs!$B$38="pvp",15,Inputs!$B$43)-(B1259))))*IF(AND(ArtifactsInput!$M$42,((Inputs!$B$9+((C1240=TRUE)*(F1240-Calc!F19))+B1252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1231*(MIN((Inputs!$B$9+((C1240=TRUE)*(F1240-Calc!F19))+B1252+(ArtifactsInput!$M$24-ArtifactsInput!$M$24)*CHOOSE(ArtifactsInput!$N$24+1,10,12,14,16,18,20)+(IF(AND(Inputs!$B$38&lt;&gt;"pvp",Inputs!$B$43=0),1,IF(IF(Inputs!$B$38="pvp",15,Inputs!$B$43)-(B1259)&lt;=0,1,MAX(0,IF(Inputs!$B$38="pvp",15,Inputs!$B$43)-MAX(5,B1259))/(IF(Inputs!$B$38="pvp",15,Inputs!$B$43)-(B1259))))*IF(AND(ArtifactsInput!$M$42,((Inputs!$B$9+((C1240=TRUE)*(F1240-Calc!F19))+B1252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31">
        <f>(1-Summary!$B$11)*T1231+Summary!$B$11*V1231</f>
        <v/>
      </c>
      <c r="P1231">
        <f>IF(B1262=0,0,O1231/B1262)</f>
        <v/>
      </c>
      <c r="Q1231" t="n">
        <v>0</v>
      </c>
      <c r="R1231" t="n">
        <v>0</v>
      </c>
      <c r="S1231">
        <f>IFERROR(O1231/N1231,0)</f>
        <v/>
      </c>
      <c r="T1231">
        <f>IF(C1231,((H1231*B1264)/(1+Skills!H10*H1231*B1264)*N1231)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Hunt"),CHOOSE(ArtifactsInput!$N$35+1,15,18,21,24,27,30)*(1-EXP(-(0.2*B1254)*5)),0)+IF(AND(ArtifactsInput!$M$22,Inputs!$B$4&lt;&gt;"Chapter Hunt"),CHOOSE(ArtifactsInput!$N$22+1,10,12,14,16,18,20)*((0*(((0.15*B1254*5))^0/1)+1*(((0.15*B1254*5))^1/1)+2*(((0.15*B1254*5))^2/2)+3*(((0.15*B1254*5))^3/6)+4*(((0.15*B1254*5))^4/24)+5*(((0.15*B1254*5))^5/120))/((((0.15*B1254*5))^0/1)+(((0.15*B1254*5))^1/1)+(((0.15*B1254*5))^2/2)+(((0.15*B1254*5))^3/6)+(((0.15*B1254*5))^4/24)+(((0.15*B1254*5))^5/120))),0))+IF(Inputs!$B$3&gt;=54,9*(C1224=TRUE)*MIN(1,8*(1+(Inputs!$B$34+1)/100)*Q1224)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1231*(1-MIN(100,(Inputs!$B$9+((C1240=TRUE)*(F1240-Calc!F19))+B1252+(ArtifactsInput!$M$24-ArtifactsInput!$M$24)*CHOOSE(ArtifactsInput!$N$24+1,10,12,14,16,18,20)+(IF(AND(Inputs!$B$38&lt;&gt;"pvp",Inputs!$B$43=0),1,IF(IF(Inputs!$B$38="pvp",15,Inputs!$B$43)-(B1259)&lt;=0,1,MAX(0,IF(Inputs!$B$38="pvp",15,Inputs!$B$43)-MAX(5,B1259))/(IF(Inputs!$B$38="pvp",15,Inputs!$B$43)-(B1259))))*IF(AND(ArtifactsInput!$M$42,((Inputs!$B$9+((C1240=TRUE)*(F1240-Calc!F19))+B1252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1231*(MIN(100,(Inputs!$B$9+((C1240=TRUE)*(F1240-Calc!F19))+B1252+(ArtifactsInput!$M$24-ArtifactsInput!$M$24)*CHOOSE(ArtifactsInput!$N$24+1,10,12,14,16,18,20)+(IF(AND(Inputs!$B$38&lt;&gt;"pvp",Inputs!$B$43=0),1,IF(IF(Inputs!$B$38="pvp",15,Inputs!$B$43)-(B1259)&lt;=0,1,MAX(0,IF(Inputs!$B$38="pvp",15,Inputs!$B$43)-MAX(5,B1259))/(IF(Inputs!$B$38="pvp",15,Inputs!$B$43)-(B1259))))*IF(AND(ArtifactsInput!$M$42,((Inputs!$B$9+((C1240=TRUE)*(F1240-Calc!F19))+B1252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1231*(1-MIN(100,(Inputs!$B$9+((C1240=TRUE)*(F1240-Calc!F19))+B1252+(ArtifactsInput!$M$24-ArtifactsInput!$M$24)*CHOOSE(ArtifactsInput!$N$24+1,10,12,14,16,18,20)+(IF(AND(Inputs!$B$38&lt;&gt;"pvp",Inputs!$B$43=0),1,IF(IF(Inputs!$B$38="pvp",15,Inputs!$B$43)-(B1259)&lt;=0,1,MAX(0,IF(Inputs!$B$38="pvp",15,Inputs!$B$43)-MAX(5,B1259))/(IF(Inputs!$B$38="pvp",15,Inputs!$B$43)-(B1259))))*IF(AND(ArtifactsInput!$M$42,((Inputs!$B$9+((C1240=TRUE)*(F1240-Calc!F19))+B1252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1231*(MIN(100,(Inputs!$B$9+((C1240=TRUE)*(F1240-Calc!F19))+B1252+(ArtifactsInput!$M$24-ArtifactsInput!$M$24)*CHOOSE(ArtifactsInput!$N$24+1,10,12,14,16,18,20)+(IF(AND(Inputs!$B$38&lt;&gt;"pvp",Inputs!$B$43=0),1,IF(IF(Inputs!$B$38="pvp",15,Inputs!$B$43)-(B1259)&lt;=0,1,MAX(0,IF(Inputs!$B$38="pvp",15,Inputs!$B$43)-MAX(5,B1259))/(IF(Inputs!$B$38="pvp",15,Inputs!$B$43)-(B1259))))*IF(AND(ArtifactsInput!$M$42,((Inputs!$B$9+((C1240=TRUE)*(F1240-Calc!F19))+B1252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31">
        <f>IF(C1231,((H1231*B1264)/(1+Skills!H10*H1231*B1264)*N1231)*IF(Inputs!$B$38="pvp",1,(1+(Inputs!$B$21+Skills!Q10+(IF(ArtifactsInput!$M$33,CHOOSE(ArtifactsInput!$N$33+1,30,36,42,48,54,60),0))+(IF(AND(ArtifactsInput!$M$35,Inputs!$B$4&lt;&gt;"Chapter Hunt"),CHOOSE(ArtifactsInput!$N$35+1,15,18,21,24,27,30)*(1-EXP(-(0.2*B1254)*5)),0)+IF(AND(ArtifactsInput!$M$22,Inputs!$B$4&lt;&gt;"Chapter Hunt"),CHOOSE(ArtifactsInput!$N$22+1,10,12,14,16,18,20)*((0*(((0.15*B1254*5))^0/1)+1*(((0.15*B1254*5))^1/1)+2*(((0.15*B1254*5))^2/2)+3*(((0.15*B1254*5))^3/6)+4*(((0.15*B1254*5))^4/24)+5*(((0.15*B1254*5))^5/120))/((((0.15*B1254*5))^0/1)+(((0.15*B1254*5))^1/1)+(((0.15*B1254*5))^2/2)+(((0.15*B1254*5))^3/6)+(((0.15*B1254*5))^4/24)+(((0.15*B1254*5))^5/120))),0))+IF(Inputs!$B$3&gt;=54,9*(C1224=TRUE)*MIN(1,8*(1+(Inputs!$B$34+1)/100)*Q1224),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32">
      <c r="A1232">
        <f>Skills!A11</f>
        <v/>
      </c>
      <c r="B1232">
        <f>Skills!B11</f>
        <v/>
      </c>
      <c r="C1232">
        <f>Inputs!$B$3&gt;=117</f>
        <v/>
      </c>
      <c r="D1232">
        <f>IF(Skills!C11=1,60+Inputs!$B$25+Inputs!$B$29,IF(Skills!C11=2,90+Inputs!$B$26+Inputs!$B$29,IF(Skills!C11=3,120+Inputs!$B$27+Inputs!$B$29,MAX(0,(Inputs!$B$3-100)*3)+Inputs!$B$28+Inputs!$B$29)))</f>
        <v/>
      </c>
      <c r="E1232">
        <f>INDEX(FactorTable!$B$2:$Y$301, MATCH(ROUND(MIN(300,MAX(1,D1232)),0), FactorTable!$A$2:$A$301,0), Skills!M11+1)</f>
        <v/>
      </c>
      <c r="F1232">
        <f>IF(Skills!N11=TRUE,(Skills!L11/10)*(E1232/1000),Skills!L11/10)+Skills!O11</f>
        <v/>
      </c>
      <c r="G1232">
        <f>Skills!G11*IF(Skills!H11&gt;0,INT(IF(Inputs!$B$38="pvp",MIN(Skills!I11,15),Skills!I11)/Skills!H11+0.000000001),1)</f>
        <v/>
      </c>
      <c r="H1232">
        <f>1-(1-Skills!J11/100)^Skills!K11</f>
        <v/>
      </c>
      <c r="I1232" t="inlineStr">
        <is>
          <t>1</t>
        </is>
      </c>
      <c r="J1232">
        <f>((Inputs!$B$6*(1+Inputs!$B$7/100))+(((Inputs!$B$12*(1+Inputs!$B$13/100))-(Inputs!$B$12*(1+Inputs!$B$13/100)))+0.25*(Inputs!$B$14-Inputs!$B$14))*(1+Inputs!$B$7/100))*(F1232/100)</f>
        <v/>
      </c>
      <c r="K1232">
        <f>J1232*(1+((Inputs!$B$12*(1+Inputs!$B$13/100))*0.01+Inputs!$B$14*0.0025)/100)*(1+Inputs!$B$15/100)*(1+Inputs!$B$16/100)*(5000/(6000+Inputs!$B$42*(1-(100*(1-(1-(Inputs!$B$19+0)/100)*(1-CHOOSE(ArtifactsInput!$N$40+1,5,6,7,8,9,10)/100)^(ArtifactsInput!$M$40-ArtifactsInput!$M$40)))/100)))*(1+(Inputs!$B$24+((C1247=TRUE)*(F1247-Calc!F26))+B1258)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IGHT_LEGS_EASTON",Inputs!$B$17+((C1244=TRUE)*(F1244-Calc!F23))+((C1248=TRUE)*(F1248-Calc!F27))+((IF(AND(Inputs!$B$38&lt;&gt;"pvp",Inputs!$B$43=0),1,IF(IF(Inputs!$B$38="pvp",15,Inputs!$B$43)-(B1259)&lt;=0,1,MAX(0,IF(Inputs!$B$38="pvp",15,Inputs!$B$43)-MAX(5,B1259))/(IF(Inputs!$B$38="pvp",15,Inputs!$B$43)-(B1259))))*(IF(AND(ArtifactsInput!$M$42,((Inputs!$B$9+((C1240=TRUE)*(F1240-Calc!F19))+B1252+(ArtifactsInput!$M$24-ArtifactsInput!$M$24)*CHOOSE(ArtifactsInput!$N$24+1,10,12,14,16,18,20)+IF(ArtifactsInput!$M$10,CHOOSE(ArtifactsInput!$N$10+1,15,18,21,24,27,30)*(IF(Inputs!$B$38="pvp",MIN(15,15)/15,IF(AND(Inputs!$B$38&lt;&gt;"pvp",Inputs!$B$43&gt;0),MIN(15,Inputs!$B$43)/(Inputs!$B$43),0))),0)))&gt;=100),MIN(100,((Inputs!$B$9+((C1240=TRUE)*(F1240-Calc!F19))+B1252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1259)&lt;=0,1,MAX(0,IF(Inputs!$B$38="pvp",15,Inputs!$B$43)-MAX(5,B1259))/(IF(Inputs!$B$38="pvp",15,Inputs!$B$43)-(B1259))))*IF(AND(ArtifactsInput!$M$42,((Inputs!$B$9+((C1240=TRUE)*(F1240-Calc!F19))+B1252+(ArtifactsInput!$M$24-ArtifactsInput!$M$24)*CHOOSE(ArtifactsInput!$N$24+1,10,12,14,16,18,20)+IF(ArtifactsInput!$M$10,CHOOSE(ArtifactsInput!$N$10+1,15,18,21,24,27,30)*(IF(Inputs!$B$38="pvp",MIN(15,15)/15,IF(AND(Inputs!$B$38&lt;&gt;"pvp",Inputs!$B$43&gt;0),MIN(15,Inputs!$B$43)/(Inputs!$B$43),0))),0)))&gt;=100),CHOOSE(ArtifactsInput!$N$42+1,40,48,56,64,72,80),0))))/100)*((1+(((C1238=TRUE)*F1238*5/7)+((C1245=TRUE)*(F1245-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1232)</f>
        <v/>
      </c>
      <c r="L1232">
        <f>K1232*(MIN(Inputs!$B$22+((C1243=TRUE)*(F1243-Calc!F22)),(Inputs!$B$23+0+(IF(ArtifactsInput!$M$15,CHOOSE(ArtifactsInput!$N$15+1,25,30,35,40,45,50)/100*(Inputs!$B$11-Inputs!$B$11),0))))/100+(Inputs!$B$23+0+(IF(ArtifactsInput!$M$15,CHOOSE(ArtifactsInput!$N$15+1,25,30,35,40,45,50)/100*(Inputs!$B$11-Inputs!$B$11),0)))/100)/2</f>
        <v/>
      </c>
      <c r="M1232">
        <f>L1232*(1+(Inputs!$B$10+((C1246=TRUE)*(F1246-Calc!F25))+B1257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32">
        <f>L1232*(1-MIN((Inputs!$B$9+((C1240=TRUE)*(F1240-Calc!F19))+B1252+(ArtifactsInput!$M$24-ArtifactsInput!$M$24)*CHOOSE(ArtifactsInput!$N$24+1,10,12,14,16,18,20)+(IF(AND(Inputs!$B$38&lt;&gt;"pvp",Inputs!$B$43=0),1,IF(IF(Inputs!$B$38="pvp",15,Inputs!$B$43)-(B1259)&lt;=0,1,MAX(0,IF(Inputs!$B$38="pvp",15,Inputs!$B$43)-MAX(5,B1259))/(IF(Inputs!$B$38="pvp",15,Inputs!$B$43)-(B1259))))*IF(AND(ArtifactsInput!$M$42,((Inputs!$B$9+((C1240=TRUE)*(F1240-Calc!F19))+B1252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1232*(MIN((Inputs!$B$9+((C1240=TRUE)*(F1240-Calc!F19))+B1252+(ArtifactsInput!$M$24-ArtifactsInput!$M$24)*CHOOSE(ArtifactsInput!$N$24+1,10,12,14,16,18,20)+(IF(AND(Inputs!$B$38&lt;&gt;"pvp",Inputs!$B$43=0),1,IF(IF(Inputs!$B$38="pvp",15,Inputs!$B$43)-(B1259)&lt;=0,1,MAX(0,IF(Inputs!$B$38="pvp",15,Inputs!$B$43)-MAX(5,B1259))/(IF(Inputs!$B$38="pvp",15,Inputs!$B$43)-(B1259))))*IF(AND(ArtifactsInput!$M$42,((Inputs!$B$9+((C1240=TRUE)*(F1240-Calc!F19))+B1252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32">
        <f>(1-Summary!$B$11)*T1232+Summary!$B$11*V1232</f>
        <v/>
      </c>
      <c r="P1232">
        <f>IF(B1262=0,0,O1232/B1262)</f>
        <v/>
      </c>
      <c r="Q1232">
        <f>IFERROR(1/((IF(Inputs!$B$38="pvp",15,MAX(0.1,Skills!D11-IF(TRUE=TRUE,Inputs!$B$32,0)))*(1-IF(AND(ArtifactsInput!$M$27,Inputs!$B$4="Chapter Hunt"),CHOOSE(ArtifactsInput!$N$27+1,20,24,28,32,36,40),0)/100))/B1263),0)</f>
        <v/>
      </c>
      <c r="R1232">
        <f>IF(AND(Inputs!$B$38&lt;&gt;"pvp",Inputs!$B$43&gt;0),IF(MAX(0,Inputs!$B$43-B1259)&lt;=0,0,(INT(MAX(0,Inputs!$B$43-B1259)/((IF(Inputs!$B$38="pvp",15,MAX(0.1,Skills!D11-IF(TRUE=TRUE,Inputs!$B$32,0)))*(1-IF(AND(ArtifactsInput!$M$27,Inputs!$B$4="Chapter Hunt"),CHOOSE(ArtifactsInput!$N$27+1,20,24,28,32,36,40),0)/100))/B1263))+1)),0)</f>
        <v/>
      </c>
      <c r="S1232">
        <f>IFERROR(O1232/N1232,0)</f>
        <v/>
      </c>
      <c r="T1232">
        <f>IF(C1232,(H1232*N1232*IF(AND(Inputs!$B$38&lt;&gt;"pvp",Inputs!$B$43&gt;0),((Skills!G11*((R1232-1)*IF(Skills!H11&gt;0,INT(Skills!I11/Skills!H11+0.000000001),1)+IF(Skills!H11&gt;0,INT(MIN(Skills!I11,MAX(0,MAX(0,Inputs!$B$43-B1259)-((R1232-1)*((IF(Inputs!$B$38="pvp",15,MAX(0.1,Skills!D11-IF(TRUE=TRUE,Inputs!$B$32,0)))*(1-IF(AND(ArtifactsInput!$M$27,Inputs!$B$4="Chapter Hunt"),CHOOSE(ArtifactsInput!$N$27+1,20,24,28,32,36,40),0)/100))/B1263))))/Skills!H11+0.000000001),1)))/Inputs!$B$43),G1232*Q1232)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Hunt"),CHOOSE(ArtifactsInput!$N$35+1,15,18,21,24,27,30)*(1-EXP(-(0.2*B1254)*5)),0)+IF(AND(ArtifactsInput!$M$22,Inputs!$B$4&lt;&gt;"Chapter Hunt"),CHOOSE(ArtifactsInput!$N$22+1,10,12,14,16,18,20)*((0*(((0.15*B1254*5))^0/1)+1*(((0.15*B1254*5))^1/1)+2*(((0.15*B1254*5))^2/2)+3*(((0.15*B1254*5))^3/6)+4*(((0.15*B1254*5))^4/24)+5*(((0.15*B1254*5))^5/120))/((((0.15*B1254*5))^0/1)+(((0.15*B1254*5))^1/1)+(((0.15*B1254*5))^2/2)+(((0.15*B1254*5))^3/6)+(((0.15*B1254*5))^4/24)+(((0.15*B1254*5))^5/120))),0))+IF(Inputs!$B$3&gt;=54,9*(C1224=TRUE)*MIN(1,8*(1+(Inputs!$B$34+1)/100)*Q1224)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1232*(1-MIN(100,(Inputs!$B$9+((C1240=TRUE)*(F1240-Calc!F19))+B1252+(ArtifactsInput!$M$24-ArtifactsInput!$M$24)*CHOOSE(ArtifactsInput!$N$24+1,10,12,14,16,18,20)+(IF(AND(Inputs!$B$38&lt;&gt;"pvp",Inputs!$B$43=0),1,IF(IF(Inputs!$B$38="pvp",15,Inputs!$B$43)-(B1259)&lt;=0,1,MAX(0,IF(Inputs!$B$38="pvp",15,Inputs!$B$43)-MAX(5,B1259))/(IF(Inputs!$B$38="pvp",15,Inputs!$B$43)-(B1259))))*IF(AND(ArtifactsInput!$M$42,((Inputs!$B$9+((C1240=TRUE)*(F1240-Calc!F19))+B1252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1232*(MIN(100,(Inputs!$B$9+((C1240=TRUE)*(F1240-Calc!F19))+B1252+(ArtifactsInput!$M$24-ArtifactsInput!$M$24)*CHOOSE(ArtifactsInput!$N$24+1,10,12,14,16,18,20)+(IF(AND(Inputs!$B$38&lt;&gt;"pvp",Inputs!$B$43=0),1,IF(IF(Inputs!$B$38="pvp",15,Inputs!$B$43)-(B1259)&lt;=0,1,MAX(0,IF(Inputs!$B$38="pvp",15,Inputs!$B$43)-MAX(5,B1259))/(IF(Inputs!$B$38="pvp",15,Inputs!$B$43)-(B1259))))*IF(AND(ArtifactsInput!$M$42,((Inputs!$B$9+((C1240=TRUE)*(F1240-Calc!F19))+B1252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1232*(1-MIN(100,(Inputs!$B$9+((C1240=TRUE)*(F1240-Calc!F19))+B1252+(ArtifactsInput!$M$24-ArtifactsInput!$M$24)*CHOOSE(ArtifactsInput!$N$24+1,10,12,14,16,18,20)+(IF(AND(Inputs!$B$38&lt;&gt;"pvp",Inputs!$B$43=0),1,IF(IF(Inputs!$B$38="pvp",15,Inputs!$B$43)-(B1259)&lt;=0,1,MAX(0,IF(Inputs!$B$38="pvp",15,Inputs!$B$43)-MAX(5,B1259))/(IF(Inputs!$B$38="pvp",15,Inputs!$B$43)-(B1259))))*IF(AND(ArtifactsInput!$M$42,((Inputs!$B$9+((C1240=TRUE)*(F1240-Calc!F19))+B1252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1232*(MIN(100,(Inputs!$B$9+((C1240=TRUE)*(F1240-Calc!F19))+B1252+(ArtifactsInput!$M$24-ArtifactsInput!$M$24)*CHOOSE(ArtifactsInput!$N$24+1,10,12,14,16,18,20)+(IF(AND(Inputs!$B$38&lt;&gt;"pvp",Inputs!$B$43=0),1,IF(IF(Inputs!$B$38="pvp",15,Inputs!$B$43)-(B1259)&lt;=0,1,MAX(0,IF(Inputs!$B$38="pvp",15,Inputs!$B$43)-MAX(5,B1259))/(IF(Inputs!$B$38="pvp",15,Inputs!$B$43)-(B1259))))*IF(AND(ArtifactsInput!$M$42,((Inputs!$B$9+((C1240=TRUE)*(F1240-Calc!F19))+B1252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32">
        <f>IF(C1232,(H1232*N1232*IF(AND(Inputs!$B$38&lt;&gt;"pvp",Inputs!$B$43&gt;0),((Skills!G11*((R1232-1)*IF(Skills!H11&gt;0,INT(Skills!I11/Skills!H11+0.000000001),1)+IF(Skills!H11&gt;0,INT(MIN(Skills!I11,MAX(0,MAX(0,Inputs!$B$43-B1259)-((R1232-1)*((IF(Inputs!$B$38="pvp",15,MAX(0.1,Skills!D11-IF(TRUE=TRUE,Inputs!$B$32,0)))*(1-IF(AND(ArtifactsInput!$M$27,Inputs!$B$4="Chapter Hunt"),CHOOSE(ArtifactsInput!$N$27+1,20,24,28,32,36,40),0)/100))/B1263))))/Skills!H11+0.000000001),1)))/Inputs!$B$43),G1232*Q1232))*IF(Inputs!$B$38="pvp",1,(1+(Inputs!$B$21+Skills!Q11+(IF(ArtifactsInput!$M$33,CHOOSE(ArtifactsInput!$N$33+1,30,36,42,48,54,60),0))+(IF(AND(ArtifactsInput!$M$35,Inputs!$B$4&lt;&gt;"Chapter Hunt"),CHOOSE(ArtifactsInput!$N$35+1,15,18,21,24,27,30)*(1-EXP(-(0.2*B1254)*5)),0)+IF(AND(ArtifactsInput!$M$22,Inputs!$B$4&lt;&gt;"Chapter Hunt"),CHOOSE(ArtifactsInput!$N$22+1,10,12,14,16,18,20)*((0*(((0.15*B1254*5))^0/1)+1*(((0.15*B1254*5))^1/1)+2*(((0.15*B1254*5))^2/2)+3*(((0.15*B1254*5))^3/6)+4*(((0.15*B1254*5))^4/24)+5*(((0.15*B1254*5))^5/120))/((((0.15*B1254*5))^0/1)+(((0.15*B1254*5))^1/1)+(((0.15*B1254*5))^2/2)+(((0.15*B1254*5))^3/6)+(((0.15*B1254*5))^4/24)+(((0.15*B1254*5))^5/120))),0))+IF(Inputs!$B$3&gt;=54,9*(C1224=TRUE)*MIN(1,8*(1+(Inputs!$B$34+1)/100)*Q1224),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33">
      <c r="A1233">
        <f>Skills!A12</f>
        <v/>
      </c>
      <c r="B1233">
        <f>Skills!B12</f>
        <v/>
      </c>
      <c r="C1233">
        <f>Inputs!$B$3&gt;=110</f>
        <v/>
      </c>
      <c r="D1233">
        <f>IF(Skills!C12=1,60+Inputs!$B$25+Inputs!$B$29,IF(Skills!C12=2,90+Inputs!$B$26+Inputs!$B$29,IF(Skills!C12=3,120+Inputs!$B$27+Inputs!$B$29,MAX(0,(Inputs!$B$3-100)*3)+Inputs!$B$28+Inputs!$B$29)))</f>
        <v/>
      </c>
      <c r="E1233">
        <f>INDEX(FactorTable!$B$2:$Y$301, MATCH(ROUND(MIN(300,MAX(1,D1233)),0), FactorTable!$A$2:$A$301,0), Skills!M12+1)</f>
        <v/>
      </c>
      <c r="F1233">
        <f>IF(Skills!N12=TRUE,(Skills!L12/10)*(E1233/1000),Skills!L12/10)+Skills!O12</f>
        <v/>
      </c>
      <c r="G1233">
        <f>Skills!G12*IF(Skills!H12&gt;0,INT(IF(Inputs!$B$38="pvp",MIN(Skills!I12,15),Skills!I12)/Skills!H12+0.000000001),1)</f>
        <v/>
      </c>
      <c r="H1233">
        <f>1-(1-Skills!J12/100)^Skills!K12</f>
        <v/>
      </c>
      <c r="I1233" t="inlineStr">
        <is>
          <t>1</t>
        </is>
      </c>
      <c r="J1233">
        <f>((Inputs!$B$6*(1+Inputs!$B$7/100))+(((Inputs!$B$12*(1+Inputs!$B$13/100))-(Inputs!$B$12*(1+Inputs!$B$13/100)))+0.25*(Inputs!$B$14-Inputs!$B$14))*(1+Inputs!$B$7/100))*(F1233/100)</f>
        <v/>
      </c>
      <c r="K1233">
        <f>J1233*(1+((Inputs!$B$12*(1+Inputs!$B$13/100))*0.01+Inputs!$B$14*0.0025)/100)*(1+Inputs!$B$15/100)*(1+Inputs!$B$16/100)*(5000/(6000+Inputs!$B$42*(1-(100*(1-(1-(Inputs!$B$19+0)/100)*(1-CHOOSE(ArtifactsInput!$N$40+1,5,6,7,8,9,10)/100)^(ArtifactsInput!$M$40-ArtifactsInput!$M$40)))/100)))*(1+(Inputs!$B$24+((C1247=TRUE)*(F1247-Calc!F26))+B1258)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EIGHT_LEGS_EASTON",Inputs!$B$17+((C1244=TRUE)*(F1244-Calc!F23))+((C1248=TRUE)*(F1248-Calc!F27))+((IF(AND(Inputs!$B$38&lt;&gt;"pvp",Inputs!$B$43=0),1,IF(IF(Inputs!$B$38="pvp",15,Inputs!$B$43)-(B1259)&lt;=0,1,MAX(0,IF(Inputs!$B$38="pvp",15,Inputs!$B$43)-MAX(5,B1259))/(IF(Inputs!$B$38="pvp",15,Inputs!$B$43)-(B1259))))*(IF(AND(ArtifactsInput!$M$42,((Inputs!$B$9+((C1240=TRUE)*(F1240-Calc!F19))+B1252+(ArtifactsInput!$M$24-ArtifactsInput!$M$24)*CHOOSE(ArtifactsInput!$N$24+1,10,12,14,16,18,20)+IF(ArtifactsInput!$M$10,CHOOSE(ArtifactsInput!$N$10+1,15,18,21,24,27,30)*(IF(Inputs!$B$38="pvp",MIN(15,15)/15,IF(AND(Inputs!$B$38&lt;&gt;"pvp",Inputs!$B$43&gt;0),MIN(15,Inputs!$B$43)/(Inputs!$B$43),0))),0)))&gt;=100),MIN(100,((Inputs!$B$9+((C1240=TRUE)*(F1240-Calc!F19))+B1252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1259)&lt;=0,1,MAX(0,IF(Inputs!$B$38="pvp",15,Inputs!$B$43)-MAX(5,B1259))/(IF(Inputs!$B$38="pvp",15,Inputs!$B$43)-(B1259))))*IF(AND(ArtifactsInput!$M$42,((Inputs!$B$9+((C1240=TRUE)*(F1240-Calc!F19))+B1252+(ArtifactsInput!$M$24-ArtifactsInput!$M$24)*CHOOSE(ArtifactsInput!$N$24+1,10,12,14,16,18,20)+IF(ArtifactsInput!$M$10,CHOOSE(ArtifactsInput!$N$10+1,15,18,21,24,27,30)*(IF(Inputs!$B$38="pvp",MIN(15,15)/15,IF(AND(Inputs!$B$38&lt;&gt;"pvp",Inputs!$B$43&gt;0),MIN(15,Inputs!$B$43)/(Inputs!$B$43),0))),0)))&gt;=100),CHOOSE(ArtifactsInput!$N$42+1,40,48,56,64,72,80),0))))/100)*((1+(((C1238=TRUE)*F1238*5/7)+((C1245=TRUE)*(F1245-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1233)</f>
        <v/>
      </c>
      <c r="L1233">
        <f>K1233*(MIN(Inputs!$B$22+((C1243=TRUE)*(F1243-Calc!F22)),(Inputs!$B$23+0+(IF(ArtifactsInput!$M$15,CHOOSE(ArtifactsInput!$N$15+1,25,30,35,40,45,50)/100*(Inputs!$B$11-Inputs!$B$11),0))))/100+(Inputs!$B$23+0+(IF(ArtifactsInput!$M$15,CHOOSE(ArtifactsInput!$N$15+1,25,30,35,40,45,50)/100*(Inputs!$B$11-Inputs!$B$11),0)))/100)/2</f>
        <v/>
      </c>
      <c r="M1233">
        <f>L1233*(1+(Inputs!$B$10+((C1246=TRUE)*(F1246-Calc!F25))+B1257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33">
        <f>L1233*(1-MIN((Inputs!$B$9+((C1240=TRUE)*(F1240-Calc!F19))+B1252+(ArtifactsInput!$M$24-ArtifactsInput!$M$24)*CHOOSE(ArtifactsInput!$N$24+1,10,12,14,16,18,20)+(IF(AND(Inputs!$B$38&lt;&gt;"pvp",Inputs!$B$43=0),1,IF(IF(Inputs!$B$38="pvp",15,Inputs!$B$43)-(B1259)&lt;=0,1,MAX(0,IF(Inputs!$B$38="pvp",15,Inputs!$B$43)-MAX(5,B1259))/(IF(Inputs!$B$38="pvp",15,Inputs!$B$43)-(B1259))))*IF(AND(ArtifactsInput!$M$42,((Inputs!$B$9+((C1240=TRUE)*(F1240-Calc!F19))+B1252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1233*(MIN((Inputs!$B$9+((C1240=TRUE)*(F1240-Calc!F19))+B1252+(ArtifactsInput!$M$24-ArtifactsInput!$M$24)*CHOOSE(ArtifactsInput!$N$24+1,10,12,14,16,18,20)+(IF(AND(Inputs!$B$38&lt;&gt;"pvp",Inputs!$B$43=0),1,IF(IF(Inputs!$B$38="pvp",15,Inputs!$B$43)-(B1259)&lt;=0,1,MAX(0,IF(Inputs!$B$38="pvp",15,Inputs!$B$43)-MAX(5,B1259))/(IF(Inputs!$B$38="pvp",15,Inputs!$B$43)-(B1259))))*IF(AND(ArtifactsInput!$M$42,((Inputs!$B$9+((C1240=TRUE)*(F1240-Calc!F19))+B1252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33">
        <f>(1-Summary!$B$11)*T1233+Summary!$B$11*V1233</f>
        <v/>
      </c>
      <c r="P1233">
        <f>IF(B1262=0,0,O1233/B1262)</f>
        <v/>
      </c>
      <c r="Q1233">
        <f>IFERROR(1/(IF(Inputs!$B$38="pvp",15,MAX(0.1,Skills!D12-IF(TRUE=TRUE,Inputs!$B$32,0)))*(1-IF(AND(ArtifactsInput!$M$27,Inputs!$B$4="Chapter Hunt"),CHOOSE(ArtifactsInput!$N$27+1,20,24,28,32,36,40),0)/100)),0)</f>
        <v/>
      </c>
      <c r="R1233">
        <f>IF(AND(Inputs!$B$38&lt;&gt;"pvp",Inputs!$B$43&gt;0),IF(MAX(0,Inputs!$B$43-B1259)&lt;=0,0,(INT(MAX(0,Inputs!$B$43-B1259)/(IF(Inputs!$B$38="pvp",15,MAX(0.1,Skills!D12-IF(TRUE=TRUE,Inputs!$B$32,0)))*(1-IF(AND(ArtifactsInput!$M$27,Inputs!$B$4="Chapter Hunt"),CHOOSE(ArtifactsInput!$N$27+1,20,24,28,32,36,40),0)/100)))+1)),0)</f>
        <v/>
      </c>
      <c r="S1233">
        <f>IFERROR(O1233/N1233,0)</f>
        <v/>
      </c>
      <c r="T1233">
        <f>IF(C1233,(H1233*N1233*IF(AND(Inputs!$B$38&lt;&gt;"pvp",Inputs!$B$43&gt;0),((Skills!G12*((R1233-1)*IF(Skills!H12&gt;0,INT(Skills!I12/Skills!H12+0.000000001),1)+IF(Skills!H12&gt;0,INT(MIN(Skills!I12,MAX(0,MAX(0,Inputs!$B$43-B1259)-((R1233-1)*(IF(Inputs!$B$38="pvp",15,MAX(0.1,Skills!D12-IF(TRUE=TRUE,Inputs!$B$32,0)))*(1-IF(AND(ArtifactsInput!$M$27,Inputs!$B$4="Chapter Hunt"),CHOOSE(ArtifactsInput!$N$27+1,20,24,28,32,36,40),0)/100)))))/Skills!H12+0.000000001),1)))/Inputs!$B$43),G1233*Q1233))*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Hunt"),CHOOSE(ArtifactsInput!$N$35+1,15,18,21,24,27,30)*(1-EXP(-(0.2*B1254)*5)),0)+IF(AND(ArtifactsInput!$M$22,Inputs!$B$4&lt;&gt;"Chapter Hunt"),CHOOSE(ArtifactsInput!$N$22+1,10,12,14,16,18,20)*((0*(((0.15*B1254*5))^0/1)+1*(((0.15*B1254*5))^1/1)+2*(((0.15*B1254*5))^2/2)+3*(((0.15*B1254*5))^3/6)+4*(((0.15*B1254*5))^4/24)+5*(((0.15*B1254*5))^5/120))/((((0.15*B1254*5))^0/1)+(((0.15*B1254*5))^1/1)+(((0.15*B1254*5))^2/2)+(((0.15*B1254*5))^3/6)+(((0.15*B1254*5))^4/24)+(((0.15*B1254*5))^5/120))),0))+IF(Inputs!$B$3&gt;=54,9*(C1224=TRUE)*MIN(1,8*(1+(Inputs!$B$34+1)/100)*Q1224)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1233*(1-MIN(100,(Inputs!$B$9+((C1240=TRUE)*(F1240-Calc!F19))+B1252+(ArtifactsInput!$M$24-ArtifactsInput!$M$24)*CHOOSE(ArtifactsInput!$N$24+1,10,12,14,16,18,20)+(IF(AND(Inputs!$B$38&lt;&gt;"pvp",Inputs!$B$43=0),1,IF(IF(Inputs!$B$38="pvp",15,Inputs!$B$43)-(B1259)&lt;=0,1,MAX(0,IF(Inputs!$B$38="pvp",15,Inputs!$B$43)-MAX(5,B1259))/(IF(Inputs!$B$38="pvp",15,Inputs!$B$43)-(B1259))))*IF(AND(ArtifactsInput!$M$42,((Inputs!$B$9+((C1240=TRUE)*(F1240-Calc!F19))+B1252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1233*(MIN(100,(Inputs!$B$9+((C1240=TRUE)*(F1240-Calc!F19))+B1252+(ArtifactsInput!$M$24-ArtifactsInput!$M$24)*CHOOSE(ArtifactsInput!$N$24+1,10,12,14,16,18,20)+(IF(AND(Inputs!$B$38&lt;&gt;"pvp",Inputs!$B$43=0),1,IF(IF(Inputs!$B$38="pvp",15,Inputs!$B$43)-(B1259)&lt;=0,1,MAX(0,IF(Inputs!$B$38="pvp",15,Inputs!$B$43)-MAX(5,B1259))/(IF(Inputs!$B$38="pvp",15,Inputs!$B$43)-(B1259))))*IF(AND(ArtifactsInput!$M$42,((Inputs!$B$9+((C1240=TRUE)*(F1240-Calc!F19))+B1252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1233*(1-MIN(100,(Inputs!$B$9+((C1240=TRUE)*(F1240-Calc!F19))+B1252+(ArtifactsInput!$M$24-ArtifactsInput!$M$24)*CHOOSE(ArtifactsInput!$N$24+1,10,12,14,16,18,20)+(IF(AND(Inputs!$B$38&lt;&gt;"pvp",Inputs!$B$43=0),1,IF(IF(Inputs!$B$38="pvp",15,Inputs!$B$43)-(B1259)&lt;=0,1,MAX(0,IF(Inputs!$B$38="pvp",15,Inputs!$B$43)-MAX(5,B1259))/(IF(Inputs!$B$38="pvp",15,Inputs!$B$43)-(B1259))))*IF(AND(ArtifactsInput!$M$42,((Inputs!$B$9+((C1240=TRUE)*(F1240-Calc!F19))+B1252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1233*(MIN(100,(Inputs!$B$9+((C1240=TRUE)*(F1240-Calc!F19))+B1252+(ArtifactsInput!$M$24-ArtifactsInput!$M$24)*CHOOSE(ArtifactsInput!$N$24+1,10,12,14,16,18,20)+(IF(AND(Inputs!$B$38&lt;&gt;"pvp",Inputs!$B$43=0),1,IF(IF(Inputs!$B$38="pvp",15,Inputs!$B$43)-(B1259)&lt;=0,1,MAX(0,IF(Inputs!$B$38="pvp",15,Inputs!$B$43)-MAX(5,B1259))/(IF(Inputs!$B$38="pvp",15,Inputs!$B$43)-(B1259))))*IF(AND(ArtifactsInput!$M$42,((Inputs!$B$9+((C1240=TRUE)*(F1240-Calc!F19))+B1252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33">
        <f>IF(C1233,(H1233*N1233*IF(AND(Inputs!$B$38&lt;&gt;"pvp",Inputs!$B$43&gt;0),((Skills!G12*((R1233-1)*IF(Skills!H12&gt;0,INT(Skills!I12/Skills!H12+0.000000001),1)+IF(Skills!H12&gt;0,INT(MIN(Skills!I12,MAX(0,MAX(0,Inputs!$B$43-B1259)-((R1233-1)*(IF(Inputs!$B$38="pvp",15,MAX(0.1,Skills!D12-IF(TRUE=TRUE,Inputs!$B$32,0)))*(1-IF(AND(ArtifactsInput!$M$27,Inputs!$B$4="Chapter Hunt"),CHOOSE(ArtifactsInput!$N$27+1,20,24,28,32,36,40),0)/100)))))/Skills!H12+0.000000001),1)))/Inputs!$B$43),G1233*Q1233))*IF(Inputs!$B$38="pvp",1,(1+(Inputs!$B$21+Skills!Q12+(IF(ArtifactsInput!$M$33,CHOOSE(ArtifactsInput!$N$33+1,30,36,42,48,54,60),0))+(IF(AND(ArtifactsInput!$M$35,Inputs!$B$4&lt;&gt;"Chapter Hunt"),CHOOSE(ArtifactsInput!$N$35+1,15,18,21,24,27,30)*(1-EXP(-(0.2*B1254)*5)),0)+IF(AND(ArtifactsInput!$M$22,Inputs!$B$4&lt;&gt;"Chapter Hunt"),CHOOSE(ArtifactsInput!$N$22+1,10,12,14,16,18,20)*((0*(((0.15*B1254*5))^0/1)+1*(((0.15*B1254*5))^1/1)+2*(((0.15*B1254*5))^2/2)+3*(((0.15*B1254*5))^3/6)+4*(((0.15*B1254*5))^4/24)+5*(((0.15*B1254*5))^5/120))/((((0.15*B1254*5))^0/1)+(((0.15*B1254*5))^1/1)+(((0.15*B1254*5))^2/2)+(((0.15*B1254*5))^3/6)+(((0.15*B1254*5))^4/24)+(((0.15*B1254*5))^5/120))),0))+IF(Inputs!$B$3&gt;=54,9*(C1224=TRUE)*MIN(1,8*(1+(Inputs!$B$34+1)/100)*Q1224),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34">
      <c r="A1234">
        <f>Skills!A13</f>
        <v/>
      </c>
      <c r="B1234">
        <f>Skills!B13</f>
        <v/>
      </c>
      <c r="C1234">
        <f>Inputs!$B$3&gt;=110</f>
        <v/>
      </c>
      <c r="D1234">
        <f>IF(Skills!C13=1,60+Inputs!$B$25+Inputs!$B$29,IF(Skills!C13=2,90+Inputs!$B$26+Inputs!$B$29,IF(Skills!C13=3,120+Inputs!$B$27+Inputs!$B$29,MAX(0,(Inputs!$B$3-100)*3)+Inputs!$B$28+Inputs!$B$29)))</f>
        <v/>
      </c>
      <c r="E1234">
        <f>INDEX(FactorTable!$B$2:$Y$301, MATCH(ROUND(MIN(300,MAX(1,D1234)),0), FactorTable!$A$2:$A$301,0), Skills!M13+1)</f>
        <v/>
      </c>
      <c r="F1234">
        <f>IF(Skills!N13=TRUE,(Skills!L13/10)*(E1234/1000),Skills!L13/10)+Skills!O13</f>
        <v/>
      </c>
      <c r="G1234">
        <f>Skills!G13*IF(Skills!H13&gt;0,INT(IF(Inputs!$B$38="pvp",MIN(Skills!I13,15),Skills!I13)/Skills!H13+0.000000001),1)</f>
        <v/>
      </c>
      <c r="H1234">
        <f>1-(1-Skills!J13/100)^Skills!K13</f>
        <v/>
      </c>
      <c r="I1234" t="inlineStr">
        <is>
          <t>1</t>
        </is>
      </c>
      <c r="J1234">
        <f>((Inputs!$B$6*(1+Inputs!$B$7/100))+(((Inputs!$B$12*(1+Inputs!$B$13/100))-(Inputs!$B$12*(1+Inputs!$B$13/100)))+0.25*(Inputs!$B$14-Inputs!$B$14))*(1+Inputs!$B$7/100))*(F1234/100)</f>
        <v/>
      </c>
      <c r="K1234">
        <f>J1234*(1+((Inputs!$B$12*(1+Inputs!$B$13/100))*0.01+Inputs!$B$14*0.0025)/100)*(1+Inputs!$B$15/100)*(1+Inputs!$B$16/100)*(5000/(6000+Inputs!$B$42*(1-(100*(1-(1-(Inputs!$B$19+0)/100)*(1-CHOOSE(ArtifactsInput!$N$40+1,5,6,7,8,9,10)/100)^(ArtifactsInput!$M$40-ArtifactsInput!$M$40)))/100)))*(1+(Inputs!$B$24+((C1247=TRUE)*(F1247-Calc!F26))+B1258)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EIGHT_LEGS_EASTON",Inputs!$B$17+((C1244=TRUE)*(F1244-Calc!F23))+((C1248=TRUE)*(F1248-Calc!F27))+((IF(AND(Inputs!$B$38&lt;&gt;"pvp",Inputs!$B$43=0),1,IF(IF(Inputs!$B$38="pvp",15,Inputs!$B$43)-(B1259)&lt;=0,1,MAX(0,IF(Inputs!$B$38="pvp",15,Inputs!$B$43)-MAX(5,B1259))/(IF(Inputs!$B$38="pvp",15,Inputs!$B$43)-(B1259))))*(IF(AND(ArtifactsInput!$M$42,((Inputs!$B$9+((C1240=TRUE)*(F1240-Calc!F19))+B1252+(ArtifactsInput!$M$24-ArtifactsInput!$M$24)*CHOOSE(ArtifactsInput!$N$24+1,10,12,14,16,18,20)+IF(ArtifactsInput!$M$10,CHOOSE(ArtifactsInput!$N$10+1,15,18,21,24,27,30)*(IF(Inputs!$B$38="pvp",MIN(15,15)/15,IF(AND(Inputs!$B$38&lt;&gt;"pvp",Inputs!$B$43&gt;0),MIN(15,Inputs!$B$43)/(Inputs!$B$43),0))),0)))&gt;=100),MIN(100,((Inputs!$B$9+((C1240=TRUE)*(F1240-Calc!F19))+B1252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1259)&lt;=0,1,MAX(0,IF(Inputs!$B$38="pvp",15,Inputs!$B$43)-MAX(5,B1259))/(IF(Inputs!$B$38="pvp",15,Inputs!$B$43)-(B1259))))*IF(AND(ArtifactsInput!$M$42,((Inputs!$B$9+((C1240=TRUE)*(F1240-Calc!F19))+B1252+(ArtifactsInput!$M$24-ArtifactsInput!$M$24)*CHOOSE(ArtifactsInput!$N$24+1,10,12,14,16,18,20)+IF(ArtifactsInput!$M$10,CHOOSE(ArtifactsInput!$N$10+1,15,18,21,24,27,30)*(IF(Inputs!$B$38="pvp",MIN(15,15)/15,IF(AND(Inputs!$B$38&lt;&gt;"pvp",Inputs!$B$43&gt;0),MIN(15,Inputs!$B$43)/(Inputs!$B$43),0))),0)))&gt;=100),CHOOSE(ArtifactsInput!$N$42+1,40,48,56,64,72,80),0))))/100)*((1+(((C1238=TRUE)*F1238*5/7)+((C1245=TRUE)*(F1245-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1234)</f>
        <v/>
      </c>
      <c r="L1234">
        <f>K1234*(MIN(Inputs!$B$22+((C1243=TRUE)*(F1243-Calc!F22)),(Inputs!$B$23+0+(IF(ArtifactsInput!$M$15,CHOOSE(ArtifactsInput!$N$15+1,25,30,35,40,45,50)/100*(Inputs!$B$11-Inputs!$B$11),0))))/100+(Inputs!$B$23+0+(IF(ArtifactsInput!$M$15,CHOOSE(ArtifactsInput!$N$15+1,25,30,35,40,45,50)/100*(Inputs!$B$11-Inputs!$B$11),0)))/100)/2</f>
        <v/>
      </c>
      <c r="M1234">
        <f>L1234*(1+(Inputs!$B$10+((C1246=TRUE)*(F1246-Calc!F25))+B1257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34">
        <f>L1234*(1-MIN((Inputs!$B$9+((C1240=TRUE)*(F1240-Calc!F19))+B1252+(ArtifactsInput!$M$24-ArtifactsInput!$M$24)*CHOOSE(ArtifactsInput!$N$24+1,10,12,14,16,18,20)+(IF(AND(Inputs!$B$38&lt;&gt;"pvp",Inputs!$B$43=0),1,IF(IF(Inputs!$B$38="pvp",15,Inputs!$B$43)-(B1259)&lt;=0,1,MAX(0,IF(Inputs!$B$38="pvp",15,Inputs!$B$43)-MAX(5,B1259))/(IF(Inputs!$B$38="pvp",15,Inputs!$B$43)-(B1259))))*IF(AND(ArtifactsInput!$M$42,((Inputs!$B$9+((C1240=TRUE)*(F1240-Calc!F19))+B1252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1234*(MIN((Inputs!$B$9+((C1240=TRUE)*(F1240-Calc!F19))+B1252+(ArtifactsInput!$M$24-ArtifactsInput!$M$24)*CHOOSE(ArtifactsInput!$N$24+1,10,12,14,16,18,20)+(IF(AND(Inputs!$B$38&lt;&gt;"pvp",Inputs!$B$43=0),1,IF(IF(Inputs!$B$38="pvp",15,Inputs!$B$43)-(B1259)&lt;=0,1,MAX(0,IF(Inputs!$B$38="pvp",15,Inputs!$B$43)-MAX(5,B1259))/(IF(Inputs!$B$38="pvp",15,Inputs!$B$43)-(B1259))))*IF(AND(ArtifactsInput!$M$42,((Inputs!$B$9+((C1240=TRUE)*(F1240-Calc!F19))+B1252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34">
        <f>(1-Summary!$B$11)*T1234+Summary!$B$11*V1234</f>
        <v/>
      </c>
      <c r="P1234">
        <f>IF(B1262=0,0,O1234/B1262)</f>
        <v/>
      </c>
      <c r="Q1234">
        <f>IFERROR(1/(IF(Inputs!$B$38="pvp",15,MAX(0.1,Skills!D13-IF(TRUE=TRUE,Inputs!$B$32,0)))*(1-IF(AND(ArtifactsInput!$M$27,Inputs!$B$4="Chapter Hunt"),CHOOSE(ArtifactsInput!$N$27+1,20,24,28,32,36,40),0)/100)),0)</f>
        <v/>
      </c>
      <c r="R1234">
        <f>IF(AND(Inputs!$B$38&lt;&gt;"pvp",Inputs!$B$43&gt;0),IF(MAX(0,Inputs!$B$43-B1259)&lt;=0,0,(INT(MAX(0,Inputs!$B$43-B1259)/(IF(Inputs!$B$38="pvp",15,MAX(0.1,Skills!D13-IF(TRUE=TRUE,Inputs!$B$32,0)))*(1-IF(AND(ArtifactsInput!$M$27,Inputs!$B$4="Chapter Hunt"),CHOOSE(ArtifactsInput!$N$27+1,20,24,28,32,36,40),0)/100)))+1)),0)</f>
        <v/>
      </c>
      <c r="S1234">
        <f>IFERROR(O1234/N1234,0)</f>
        <v/>
      </c>
      <c r="T1234">
        <f>IF(C1234,(H1234*N1234*IF(AND(Inputs!$B$38&lt;&gt;"pvp",Inputs!$B$43&gt;0),((Skills!G13*((R1234-1)*IF(Skills!H13&gt;0,INT(Skills!I13/Skills!H13+0.000000001),1)+IF(Skills!H13&gt;0,INT(MIN(Skills!I13,MAX(0,MAX(0,Inputs!$B$43-B1259)-((R1234-1)*(IF(Inputs!$B$38="pvp",15,MAX(0.1,Skills!D13-IF(TRUE=TRUE,Inputs!$B$32,0)))*(1-IF(AND(ArtifactsInput!$M$27,Inputs!$B$4="Chapter Hunt"),CHOOSE(ArtifactsInput!$N$27+1,20,24,28,32,36,40),0)/100)))))/Skills!H13+0.000000001),1)))/Inputs!$B$43),G1234*Q1234))*IF(Inputs!$B$38="pvp",1,1+(Inputs!$B$20+0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Hunt"),CHOOSE(ArtifactsInput!$N$35+1,15,18,21,24,27,30)*(1-EXP(-(0.2*B1254)*5)),0)+IF(AND(ArtifactsInput!$M$22,Inputs!$B$4&lt;&gt;"Chapter Hunt"),CHOOSE(ArtifactsInput!$N$22+1,10,12,14,16,18,20)*((0*(((0.15*B1254*5))^0/1)+1*(((0.15*B1254*5))^1/1)+2*(((0.15*B1254*5))^2/2)+3*(((0.15*B1254*5))^3/6)+4*(((0.15*B1254*5))^4/24)+5*(((0.15*B1254*5))^5/120))/((((0.15*B1254*5))^0/1)+(((0.15*B1254*5))^1/1)+(((0.15*B1254*5))^2/2)+(((0.15*B1254*5))^3/6)+(((0.15*B1254*5))^4/24)+(((0.15*B1254*5))^5/120))),0))+IF(Inputs!$B$3&gt;=54,9*(C1224=TRUE)*MIN(1,8*(1+(Inputs!$B$34+1)/100)*Q1224)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1234*(1-MIN(100,(Inputs!$B$9+((C1240=TRUE)*(F1240-Calc!F19))+B1252+(ArtifactsInput!$M$24-ArtifactsInput!$M$24)*CHOOSE(ArtifactsInput!$N$24+1,10,12,14,16,18,20)+(IF(AND(Inputs!$B$38&lt;&gt;"pvp",Inputs!$B$43=0),1,IF(IF(Inputs!$B$38="pvp",15,Inputs!$B$43)-(B1259)&lt;=0,1,MAX(0,IF(Inputs!$B$38="pvp",15,Inputs!$B$43)-MAX(5,B1259))/(IF(Inputs!$B$38="pvp",15,Inputs!$B$43)-(B1259))))*IF(AND(ArtifactsInput!$M$42,((Inputs!$B$9+((C1240=TRUE)*(F1240-Calc!F19))+B1252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1234*(MIN(100,(Inputs!$B$9+((C1240=TRUE)*(F1240-Calc!F19))+B1252+(ArtifactsInput!$M$24-ArtifactsInput!$M$24)*CHOOSE(ArtifactsInput!$N$24+1,10,12,14,16,18,20)+(IF(AND(Inputs!$B$38&lt;&gt;"pvp",Inputs!$B$43=0),1,IF(IF(Inputs!$B$38="pvp",15,Inputs!$B$43)-(B1259)&lt;=0,1,MAX(0,IF(Inputs!$B$38="pvp",15,Inputs!$B$43)-MAX(5,B1259))/(IF(Inputs!$B$38="pvp",15,Inputs!$B$43)-(B1259))))*IF(AND(ArtifactsInput!$M$42,((Inputs!$B$9+((C1240=TRUE)*(F1240-Calc!F19))+B1252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1234*(1-MIN(100,(Inputs!$B$9+((C1240=TRUE)*(F1240-Calc!F19))+B1252+(ArtifactsInput!$M$24-ArtifactsInput!$M$24)*CHOOSE(ArtifactsInput!$N$24+1,10,12,14,16,18,20)+(IF(AND(Inputs!$B$38&lt;&gt;"pvp",Inputs!$B$43=0),1,IF(IF(Inputs!$B$38="pvp",15,Inputs!$B$43)-(B1259)&lt;=0,1,MAX(0,IF(Inputs!$B$38="pvp",15,Inputs!$B$43)-MAX(5,B1259))/(IF(Inputs!$B$38="pvp",15,Inputs!$B$43)-(B1259))))*IF(AND(ArtifactsInput!$M$42,((Inputs!$B$9+((C1240=TRUE)*(F1240-Calc!F19))+B1252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1234*(MIN(100,(Inputs!$B$9+((C1240=TRUE)*(F1240-Calc!F19))+B1252+(ArtifactsInput!$M$24-ArtifactsInput!$M$24)*CHOOSE(ArtifactsInput!$N$24+1,10,12,14,16,18,20)+(IF(AND(Inputs!$B$38&lt;&gt;"pvp",Inputs!$B$43=0),1,IF(IF(Inputs!$B$38="pvp",15,Inputs!$B$43)-(B1259)&lt;=0,1,MAX(0,IF(Inputs!$B$38="pvp",15,Inputs!$B$43)-MAX(5,B1259))/(IF(Inputs!$B$38="pvp",15,Inputs!$B$43)-(B1259))))*IF(AND(ArtifactsInput!$M$42,((Inputs!$B$9+((C1240=TRUE)*(F1240-Calc!F19))+B1252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34">
        <f>IF(C1234,(H1234*N1234*IF(AND(Inputs!$B$38&lt;&gt;"pvp",Inputs!$B$43&gt;0),((Skills!G13*((R1234-1)*IF(Skills!H13&gt;0,INT(Skills!I13/Skills!H13+0.000000001),1)+IF(Skills!H13&gt;0,INT(MIN(Skills!I13,MAX(0,MAX(0,Inputs!$B$43-B1259)-((R1234-1)*(IF(Inputs!$B$38="pvp",15,MAX(0.1,Skills!D13-IF(TRUE=TRUE,Inputs!$B$32,0)))*(1-IF(AND(ArtifactsInput!$M$27,Inputs!$B$4="Chapter Hunt"),CHOOSE(ArtifactsInput!$N$27+1,20,24,28,32,36,40),0)/100)))))/Skills!H13+0.000000001),1)))/Inputs!$B$43),G1234*Q1234))*IF(Inputs!$B$38="pvp",1,(1+(Inputs!$B$21+Skills!Q13+(IF(ArtifactsInput!$M$33,CHOOSE(ArtifactsInput!$N$33+1,30,36,42,48,54,60),0))+(IF(AND(ArtifactsInput!$M$35,Inputs!$B$4&lt;&gt;"Chapter Hunt"),CHOOSE(ArtifactsInput!$N$35+1,15,18,21,24,27,30)*(1-EXP(-(0.2*B1254)*5)),0)+IF(AND(ArtifactsInput!$M$22,Inputs!$B$4&lt;&gt;"Chapter Hunt"),CHOOSE(ArtifactsInput!$N$22+1,10,12,14,16,18,20)*((0*(((0.15*B1254*5))^0/1)+1*(((0.15*B1254*5))^1/1)+2*(((0.15*B1254*5))^2/2)+3*(((0.15*B1254*5))^3/6)+4*(((0.15*B1254*5))^4/24)+5*(((0.15*B1254*5))^5/120))/((((0.15*B1254*5))^0/1)+(((0.15*B1254*5))^1/1)+(((0.15*B1254*5))^2/2)+(((0.15*B1254*5))^3/6)+(((0.15*B1254*5))^4/24)+(((0.15*B1254*5))^5/120))),0))+IF(Inputs!$B$3&gt;=54,9*(C1224=TRUE)*MIN(1,8*(1+(Inputs!$B$34+1)/100)*Q1224),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35">
      <c r="A1235">
        <f>Skills!A14</f>
        <v/>
      </c>
      <c r="B1235">
        <f>Skills!B14</f>
        <v/>
      </c>
      <c r="C1235">
        <f>Inputs!$B$3&gt;=120</f>
        <v/>
      </c>
      <c r="D1235">
        <f>IF(Skills!C14=1,60+Inputs!$B$25+Inputs!$B$29,IF(Skills!C14=2,90+Inputs!$B$26+Inputs!$B$29,IF(Skills!C14=3,120+Inputs!$B$27+Inputs!$B$29,MAX(0,(Inputs!$B$3-100)*3)+Inputs!$B$28+Inputs!$B$29)))</f>
        <v/>
      </c>
      <c r="E1235">
        <f>INDEX(FactorTable!$B$2:$Y$301, MATCH(ROUND(MIN(300,MAX(1,D1235)),0), FactorTable!$A$2:$A$301,0), Skills!M14+1)</f>
        <v/>
      </c>
      <c r="F1235">
        <f>IF(Skills!N14=TRUE,(Skills!L14/10)*(E1235/1000),Skills!L14/10)+Skills!O14</f>
        <v/>
      </c>
      <c r="G1235">
        <f>Skills!G14*IF(Skills!H14&gt;0,INT(IF(Inputs!$B$38="pvp",MIN(Skills!I14,15),Skills!I14)/Skills!H14+0.000000001),1)</f>
        <v/>
      </c>
      <c r="H1235">
        <f>1-(1-Skills!J14/100)^Skills!K14</f>
        <v/>
      </c>
      <c r="I1235" t="inlineStr">
        <is>
          <t>1</t>
        </is>
      </c>
      <c r="J1235">
        <f>((Inputs!$B$6*(1+Inputs!$B$7/100))+(((Inputs!$B$12*(1+Inputs!$B$13/100))-(Inputs!$B$12*(1+Inputs!$B$13/100)))+0.25*(Inputs!$B$14-Inputs!$B$14))*(1+Inputs!$B$7/100))*(F1235/100)</f>
        <v/>
      </c>
      <c r="K1235">
        <f>J1235*(1+((Inputs!$B$12*(1+Inputs!$B$13/100))*0.01+Inputs!$B$14*0.0025)/100)*(1+Inputs!$B$15/100)*(1+Inputs!$B$16/100)*(5000/(6000+Inputs!$B$42*(1-(100*(1-(1-(Inputs!$B$19+0)/100)*(1-CHOOSE(ArtifactsInput!$N$40+1,5,6,7,8,9,10)/100)^(ArtifactsInput!$M$40-ArtifactsInput!$M$40)))/100)))*(1+(Inputs!$B$24+((C1247=TRUE)*(F1247-Calc!F26))+B1258)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EIGHT_LEGS_EASTON",Inputs!$B$17+((C1244=TRUE)*(F1244-Calc!F23))+((C1248=TRUE)*(F1248-Calc!F27))+((IF(AND(Inputs!$B$38&lt;&gt;"pvp",Inputs!$B$43=0),1,IF(IF(Inputs!$B$38="pvp",15,Inputs!$B$43)-(B1259)&lt;=0,1,MAX(0,IF(Inputs!$B$38="pvp",15,Inputs!$B$43)-MAX(5,B1259))/(IF(Inputs!$B$38="pvp",15,Inputs!$B$43)-(B1259))))*(IF(AND(ArtifactsInput!$M$42,((Inputs!$B$9+((C1240=TRUE)*(F1240-Calc!F19))+B1252+(ArtifactsInput!$M$24-ArtifactsInput!$M$24)*CHOOSE(ArtifactsInput!$N$24+1,10,12,14,16,18,20)+IF(ArtifactsInput!$M$10,CHOOSE(ArtifactsInput!$N$10+1,15,18,21,24,27,30)*(IF(Inputs!$B$38="pvp",MIN(15,15)/15,IF(AND(Inputs!$B$38&lt;&gt;"pvp",Inputs!$B$43&gt;0),MIN(15,Inputs!$B$43)/(Inputs!$B$43),0))),0)))&gt;=100),MIN(100,((Inputs!$B$9+((C1240=TRUE)*(F1240-Calc!F19))+B1252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1259)&lt;=0,1,MAX(0,IF(Inputs!$B$38="pvp",15,Inputs!$B$43)-MAX(5,B1259))/(IF(Inputs!$B$38="pvp",15,Inputs!$B$43)-(B1259))))*IF(AND(ArtifactsInput!$M$42,((Inputs!$B$9+((C1240=TRUE)*(F1240-Calc!F19))+B1252+(ArtifactsInput!$M$24-ArtifactsInput!$M$24)*CHOOSE(ArtifactsInput!$N$24+1,10,12,14,16,18,20)+IF(ArtifactsInput!$M$10,CHOOSE(ArtifactsInput!$N$10+1,15,18,21,24,27,30)*(IF(Inputs!$B$38="pvp",MIN(15,15)/15,IF(AND(Inputs!$B$38&lt;&gt;"pvp",Inputs!$B$43&gt;0),MIN(15,Inputs!$B$43)/(Inputs!$B$43),0))),0)))&gt;=100),CHOOSE(ArtifactsInput!$N$42+1,40,48,56,64,72,80),0))))/100)*((1+(((C1238=TRUE)*F1238*5/7)+((C1245=TRUE)*(F1245-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1235)</f>
        <v/>
      </c>
      <c r="L1235">
        <f>K1235*(MIN(Inputs!$B$22+((C1243=TRUE)*(F1243-Calc!F22)),(Inputs!$B$23+0+(IF(ArtifactsInput!$M$15,CHOOSE(ArtifactsInput!$N$15+1,25,30,35,40,45,50)/100*(Inputs!$B$11-Inputs!$B$11),0))))/100+(Inputs!$B$23+0+(IF(ArtifactsInput!$M$15,CHOOSE(ArtifactsInput!$N$15+1,25,30,35,40,45,50)/100*(Inputs!$B$11-Inputs!$B$11),0)))/100)/2</f>
        <v/>
      </c>
      <c r="M1235">
        <f>L1235*(1+(Inputs!$B$10+((C1246=TRUE)*(F1246-Calc!F25))+B1257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35">
        <f>L1235*(1-MIN((Inputs!$B$9+((C1240=TRUE)*(F1240-Calc!F19))+B1252+(ArtifactsInput!$M$24-ArtifactsInput!$M$24)*CHOOSE(ArtifactsInput!$N$24+1,10,12,14,16,18,20)+(IF(AND(Inputs!$B$38&lt;&gt;"pvp",Inputs!$B$43=0),1,IF(IF(Inputs!$B$38="pvp",15,Inputs!$B$43)-(B1259)&lt;=0,1,MAX(0,IF(Inputs!$B$38="pvp",15,Inputs!$B$43)-MAX(5,B1259))/(IF(Inputs!$B$38="pvp",15,Inputs!$B$43)-(B1259))))*IF(AND(ArtifactsInput!$M$42,((Inputs!$B$9+((C1240=TRUE)*(F1240-Calc!F19))+B1252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1235*(MIN((Inputs!$B$9+((C1240=TRUE)*(F1240-Calc!F19))+B1252+(ArtifactsInput!$M$24-ArtifactsInput!$M$24)*CHOOSE(ArtifactsInput!$N$24+1,10,12,14,16,18,20)+(IF(AND(Inputs!$B$38&lt;&gt;"pvp",Inputs!$B$43=0),1,IF(IF(Inputs!$B$38="pvp",15,Inputs!$B$43)-(B1259)&lt;=0,1,MAX(0,IF(Inputs!$B$38="pvp",15,Inputs!$B$43)-MAX(5,B1259))/(IF(Inputs!$B$38="pvp",15,Inputs!$B$43)-(B1259))))*IF(AND(ArtifactsInput!$M$42,((Inputs!$B$9+((C1240=TRUE)*(F1240-Calc!F19))+B1252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35">
        <f>(1-Summary!$B$11)*T1235+Summary!$B$11*V1235</f>
        <v/>
      </c>
      <c r="P1235">
        <f>IF(B1262=0,0,O1235/B1262)</f>
        <v/>
      </c>
      <c r="Q1235" t="n">
        <v>0</v>
      </c>
      <c r="R1235" t="n">
        <v>0</v>
      </c>
      <c r="S1235">
        <f>IFERROR(O1235/N1235,0)</f>
        <v/>
      </c>
      <c r="T1235">
        <f>IF(C1235,((H1235*(B1256+IF(AND(Inputs!$B$38&lt;&gt;"pvp",Inputs!$B$43&gt;0),((Skills!G8*((R1229-1)*IF(Skills!H8&gt;0,INT(Skills!I8/Skills!H8+0.000000001),1)+IF(Skills!H8&gt;0,INT(MIN(Skills!I8,MAX(0,MAX(0,Inputs!$B$43-B1259)-((R1229-1)*((IF(Inputs!$B$38="pvp",15,MAX(0.1,Skills!D8-IF(TRUE=TRUE,Inputs!$B$32,0)))*(1-IF(AND(ArtifactsInput!$M$27,Inputs!$B$4="Chapter Hunt"),CHOOSE(ArtifactsInput!$N$27+1,20,24,28,32,36,40),0)/100))/B1263))))/Skills!H8+0.000000001),1)))/Inputs!$B$43),G1229*Q1229)+IF(AND(Inputs!$B$38&lt;&gt;"pvp",Inputs!$B$43&gt;0),((Skills!G11*((R1232-1)*IF(Skills!H11&gt;0,INT(Skills!I11/Skills!H11+0.000000001),1)+IF(Skills!H11&gt;0,INT(MIN(Skills!I11,MAX(0,MAX(0,Inputs!$B$43-B1259)-((R1232-1)*((IF(Inputs!$B$38="pvp",15,MAX(0.1,Skills!D11-IF(TRUE=TRUE,Inputs!$B$32,0)))*(1-IF(AND(ArtifactsInput!$M$27,Inputs!$B$4="Chapter Hunt"),CHOOSE(ArtifactsInput!$N$27+1,20,24,28,32,36,40),0)/100))/B1263))))/Skills!H11+0.000000001),1)))/Inputs!$B$43),G1232*Q1232)))/(1+Skills!H14*H1235*(B1256+IF(AND(Inputs!$B$38&lt;&gt;"pvp",Inputs!$B$43&gt;0),((Skills!G8*((R1229-1)*IF(Skills!H8&gt;0,INT(Skills!I8/Skills!H8+0.000000001),1)+IF(Skills!H8&gt;0,INT(MIN(Skills!I8,MAX(0,MAX(0,Inputs!$B$43-B1259)-((R1229-1)*((IF(Inputs!$B$38="pvp",15,MAX(0.1,Skills!D8-IF(TRUE=TRUE,Inputs!$B$32,0)))*(1-IF(AND(ArtifactsInput!$M$27,Inputs!$B$4="Chapter Hunt"),CHOOSE(ArtifactsInput!$N$27+1,20,24,28,32,36,40),0)/100))/B1263))))/Skills!H8+0.000000001),1)))/Inputs!$B$43),G1229*Q1229)+IF(AND(Inputs!$B$38&lt;&gt;"pvp",Inputs!$B$43&gt;0),((Skills!G11*((R1232-1)*IF(Skills!H11&gt;0,INT(Skills!I11/Skills!H11+0.000000001),1)+IF(Skills!H11&gt;0,INT(MIN(Skills!I11,MAX(0,MAX(0,Inputs!$B$43-B1259)-((R1232-1)*((IF(Inputs!$B$38="pvp",15,MAX(0.1,Skills!D11-IF(TRUE=TRUE,Inputs!$B$32,0)))*(1-IF(AND(ArtifactsInput!$M$27,Inputs!$B$4="Chapter Hunt"),CHOOSE(ArtifactsInput!$N$27+1,20,24,28,32,36,40),0)/100))/B1263))))/Skills!H11+0.000000001),1)))/Inputs!$B$43),G1232*Q1232)))*N1235)*IF(Inputs!$B$38="pvp",1,1+(Inputs!$B$20+0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Hunt"),CHOOSE(ArtifactsInput!$N$35+1,15,18,21,24,27,30)*(1-EXP(-(0.2*B1254)*5)),0)+IF(AND(ArtifactsInput!$M$22,Inputs!$B$4&lt;&gt;"Chapter Hunt"),CHOOSE(ArtifactsInput!$N$22+1,10,12,14,16,18,20)*((0*(((0.15*B1254*5))^0/1)+1*(((0.15*B1254*5))^1/1)+2*(((0.15*B1254*5))^2/2)+3*(((0.15*B1254*5))^3/6)+4*(((0.15*B1254*5))^4/24)+5*(((0.15*B1254*5))^5/120))/((((0.15*B1254*5))^0/1)+(((0.15*B1254*5))^1/1)+(((0.15*B1254*5))^2/2)+(((0.15*B1254*5))^3/6)+(((0.15*B1254*5))^4/24)+(((0.15*B1254*5))^5/120))),0))+IF(Inputs!$B$3&gt;=54,9*(C1224=TRUE)*MIN(1,8*(1+(Inputs!$B$34+1)/100)*Q1224)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1235*(1-MIN(100,(Inputs!$B$9+((C1240=TRUE)*(F1240-Calc!F19))+B1252+(ArtifactsInput!$M$24-ArtifactsInput!$M$24)*CHOOSE(ArtifactsInput!$N$24+1,10,12,14,16,18,20)+(IF(AND(Inputs!$B$38&lt;&gt;"pvp",Inputs!$B$43=0),1,IF(IF(Inputs!$B$38="pvp",15,Inputs!$B$43)-(B1259)&lt;=0,1,MAX(0,IF(Inputs!$B$38="pvp",15,Inputs!$B$43)-MAX(5,B1259))/(IF(Inputs!$B$38="pvp",15,Inputs!$B$43)-(B1259))))*IF(AND(ArtifactsInput!$M$42,((Inputs!$B$9+((C1240=TRUE)*(F1240-Calc!F19))+B1252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1235*(MIN(100,(Inputs!$B$9+((C1240=TRUE)*(F1240-Calc!F19))+B1252+(ArtifactsInput!$M$24-ArtifactsInput!$M$24)*CHOOSE(ArtifactsInput!$N$24+1,10,12,14,16,18,20)+(IF(AND(Inputs!$B$38&lt;&gt;"pvp",Inputs!$B$43=0),1,IF(IF(Inputs!$B$38="pvp",15,Inputs!$B$43)-(B1259)&lt;=0,1,MAX(0,IF(Inputs!$B$38="pvp",15,Inputs!$B$43)-MAX(5,B1259))/(IF(Inputs!$B$38="pvp",15,Inputs!$B$43)-(B1259))))*IF(AND(ArtifactsInput!$M$42,((Inputs!$B$9+((C1240=TRUE)*(F1240-Calc!F19))+B1252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1235*(1-MIN(100,(Inputs!$B$9+((C1240=TRUE)*(F1240-Calc!F19))+B1252+(ArtifactsInput!$M$24-ArtifactsInput!$M$24)*CHOOSE(ArtifactsInput!$N$24+1,10,12,14,16,18,20)+(IF(AND(Inputs!$B$38&lt;&gt;"pvp",Inputs!$B$43=0),1,IF(IF(Inputs!$B$38="pvp",15,Inputs!$B$43)-(B1259)&lt;=0,1,MAX(0,IF(Inputs!$B$38="pvp",15,Inputs!$B$43)-MAX(5,B1259))/(IF(Inputs!$B$38="pvp",15,Inputs!$B$43)-(B1259))))*IF(AND(ArtifactsInput!$M$42,((Inputs!$B$9+((C1240=TRUE)*(F1240-Calc!F19))+B1252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1235*(MIN(100,(Inputs!$B$9+((C1240=TRUE)*(F1240-Calc!F19))+B1252+(ArtifactsInput!$M$24-ArtifactsInput!$M$24)*CHOOSE(ArtifactsInput!$N$24+1,10,12,14,16,18,20)+(IF(AND(Inputs!$B$38&lt;&gt;"pvp",Inputs!$B$43=0),1,IF(IF(Inputs!$B$38="pvp",15,Inputs!$B$43)-(B1259)&lt;=0,1,MAX(0,IF(Inputs!$B$38="pvp",15,Inputs!$B$43)-MAX(5,B1259))/(IF(Inputs!$B$38="pvp",15,Inputs!$B$43)-(B1259))))*IF(AND(ArtifactsInput!$M$42,((Inputs!$B$9+((C1240=TRUE)*(F1240-Calc!F19))+B1252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35">
        <f>IF(C1235,((H1235*(B1256+IF(AND(Inputs!$B$38&lt;&gt;"pvp",Inputs!$B$43&gt;0),((Skills!G8*((R1229-1)*IF(Skills!H8&gt;0,INT(Skills!I8/Skills!H8+0.000000001),1)+IF(Skills!H8&gt;0,INT(MIN(Skills!I8,MAX(0,MAX(0,Inputs!$B$43-B1259)-((R1229-1)*((IF(Inputs!$B$38="pvp",15,MAX(0.1,Skills!D8-IF(TRUE=TRUE,Inputs!$B$32,0)))*(1-IF(AND(ArtifactsInput!$M$27,Inputs!$B$4="Chapter Hunt"),CHOOSE(ArtifactsInput!$N$27+1,20,24,28,32,36,40),0)/100))/B1263))))/Skills!H8+0.000000001),1)))/Inputs!$B$43),G1229*Q1229)+IF(AND(Inputs!$B$38&lt;&gt;"pvp",Inputs!$B$43&gt;0),((Skills!G11*((R1232-1)*IF(Skills!H11&gt;0,INT(Skills!I11/Skills!H11+0.000000001),1)+IF(Skills!H11&gt;0,INT(MIN(Skills!I11,MAX(0,MAX(0,Inputs!$B$43-B1259)-((R1232-1)*((IF(Inputs!$B$38="pvp",15,MAX(0.1,Skills!D11-IF(TRUE=TRUE,Inputs!$B$32,0)))*(1-IF(AND(ArtifactsInput!$M$27,Inputs!$B$4="Chapter Hunt"),CHOOSE(ArtifactsInput!$N$27+1,20,24,28,32,36,40),0)/100))/B1263))))/Skills!H11+0.000000001),1)))/Inputs!$B$43),G1232*Q1232)))/(1+Skills!H14*H1235*(B1256+IF(AND(Inputs!$B$38&lt;&gt;"pvp",Inputs!$B$43&gt;0),((Skills!G8*((R1229-1)*IF(Skills!H8&gt;0,INT(Skills!I8/Skills!H8+0.000000001),1)+IF(Skills!H8&gt;0,INT(MIN(Skills!I8,MAX(0,MAX(0,Inputs!$B$43-B1259)-((R1229-1)*((IF(Inputs!$B$38="pvp",15,MAX(0.1,Skills!D8-IF(TRUE=TRUE,Inputs!$B$32,0)))*(1-IF(AND(ArtifactsInput!$M$27,Inputs!$B$4="Chapter Hunt"),CHOOSE(ArtifactsInput!$N$27+1,20,24,28,32,36,40),0)/100))/B1263))))/Skills!H8+0.000000001),1)))/Inputs!$B$43),G1229*Q1229)+IF(AND(Inputs!$B$38&lt;&gt;"pvp",Inputs!$B$43&gt;0),((Skills!G11*((R1232-1)*IF(Skills!H11&gt;0,INT(Skills!I11/Skills!H11+0.000000001),1)+IF(Skills!H11&gt;0,INT(MIN(Skills!I11,MAX(0,MAX(0,Inputs!$B$43-B1259)-((R1232-1)*((IF(Inputs!$B$38="pvp",15,MAX(0.1,Skills!D11-IF(TRUE=TRUE,Inputs!$B$32,0)))*(1-IF(AND(ArtifactsInput!$M$27,Inputs!$B$4="Chapter Hunt"),CHOOSE(ArtifactsInput!$N$27+1,20,24,28,32,36,40),0)/100))/B1263))))/Skills!H11+0.000000001),1)))/Inputs!$B$43),G1232*Q1232)))*N1235)*IF(Inputs!$B$38="pvp",1,(1+(Inputs!$B$21+Skills!Q14+(IF(ArtifactsInput!$M$33,CHOOSE(ArtifactsInput!$N$33+1,30,36,42,48,54,60),0))+(IF(AND(ArtifactsInput!$M$35,Inputs!$B$4&lt;&gt;"Chapter Hunt"),CHOOSE(ArtifactsInput!$N$35+1,15,18,21,24,27,30)*(1-EXP(-(0.2*B1254)*5)),0)+IF(AND(ArtifactsInput!$M$22,Inputs!$B$4&lt;&gt;"Chapter Hunt"),CHOOSE(ArtifactsInput!$N$22+1,10,12,14,16,18,20)*((0*(((0.15*B1254*5))^0/1)+1*(((0.15*B1254*5))^1/1)+2*(((0.15*B1254*5))^2/2)+3*(((0.15*B1254*5))^3/6)+4*(((0.15*B1254*5))^4/24)+5*(((0.15*B1254*5))^5/120))/((((0.15*B1254*5))^0/1)+(((0.15*B1254*5))^1/1)+(((0.15*B1254*5))^2/2)+(((0.15*B1254*5))^3/6)+(((0.15*B1254*5))^4/24)+(((0.15*B1254*5))^5/120))),0))+IF(Inputs!$B$3&gt;=54,9*(C1224=TRUE)*MIN(1,8*(1+(Inputs!$B$34+1)/100)*Q1224),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36">
      <c r="A1236">
        <f>Skills!A15</f>
        <v/>
      </c>
      <c r="B1236">
        <f>Skills!B15</f>
        <v/>
      </c>
      <c r="C1236">
        <f>Inputs!$B$3&gt;=100</f>
        <v/>
      </c>
      <c r="D1236">
        <f>IF(Skills!C15=1,60+Inputs!$B$25+Inputs!$B$29,IF(Skills!C15=2,90+Inputs!$B$26+Inputs!$B$29,IF(Skills!C15=3,120+Inputs!$B$27+Inputs!$B$29,MAX(0,(Inputs!$B$3-100)*3)+Inputs!$B$28+Inputs!$B$29)))</f>
        <v/>
      </c>
      <c r="E1236">
        <f>INDEX(FactorTable!$B$2:$Y$301, MATCH(ROUND(MIN(300,MAX(1,D1236)),0), FactorTable!$A$2:$A$301,0), Skills!M15+1)</f>
        <v/>
      </c>
      <c r="F1236">
        <f>IF(Skills!N15=TRUE,(Skills!L15/10)*(E1236/1000),Skills!L15/10)+Skills!O15</f>
        <v/>
      </c>
      <c r="G1236" t="inlineStr"/>
      <c r="H1236" t="inlineStr"/>
      <c r="I1236" t="inlineStr">
        <is>
          <t>1</t>
        </is>
      </c>
      <c r="J1236" t="inlineStr"/>
      <c r="K1236" t="inlineStr"/>
      <c r="L1236" t="inlineStr"/>
      <c r="M1236" t="inlineStr"/>
      <c r="N1236" t="inlineStr"/>
      <c r="O1236" t="inlineStr"/>
      <c r="P1236" t="inlineStr"/>
      <c r="Q1236" t="inlineStr"/>
      <c r="R1236" t="inlineStr"/>
      <c r="S1236" t="inlineStr"/>
    </row>
    <row r="1237">
      <c r="A1237">
        <f>Skills!A16</f>
        <v/>
      </c>
      <c r="B1237">
        <f>Skills!B16</f>
        <v/>
      </c>
      <c r="C1237">
        <f>Inputs!$B$3&gt;=107</f>
        <v/>
      </c>
      <c r="D1237">
        <f>IF(Skills!C16=1,60+Inputs!$B$25+Inputs!$B$29,IF(Skills!C16=2,90+Inputs!$B$26+Inputs!$B$29,IF(Skills!C16=3,120+Inputs!$B$27+Inputs!$B$29,MAX(0,(Inputs!$B$3-100)*3)+Inputs!$B$28+Inputs!$B$29)))</f>
        <v/>
      </c>
      <c r="E1237">
        <f>INDEX(FactorTable!$B$2:$Y$301, MATCH(ROUND(MIN(300,MAX(1,D1237)),0), FactorTable!$A$2:$A$301,0), Skills!M16+1)</f>
        <v/>
      </c>
      <c r="F1237">
        <f>IF(Skills!N16=TRUE,(Skills!L16/10)*(E1237/1000),Skills!L16/10)+Skills!O16</f>
        <v/>
      </c>
      <c r="G1237" t="inlineStr"/>
      <c r="H1237" t="inlineStr"/>
      <c r="I1237" t="inlineStr">
        <is>
          <t>1</t>
        </is>
      </c>
      <c r="J1237" t="inlineStr"/>
      <c r="K1237" t="inlineStr"/>
      <c r="L1237" t="inlineStr"/>
      <c r="M1237" t="inlineStr"/>
      <c r="N1237" t="inlineStr"/>
      <c r="O1237" t="inlineStr"/>
      <c r="P1237" t="inlineStr"/>
      <c r="Q1237" t="inlineStr"/>
      <c r="R1237" t="inlineStr"/>
      <c r="S1237" t="inlineStr"/>
    </row>
    <row r="1238">
      <c r="A1238">
        <f>Skills!A17</f>
        <v/>
      </c>
      <c r="B1238">
        <f>Skills!B17</f>
        <v/>
      </c>
      <c r="C1238">
        <f>Inputs!$B$3&gt;=74</f>
        <v/>
      </c>
      <c r="D1238">
        <f>IF(Skills!C17=1,60+Inputs!$B$25+Inputs!$B$29,IF(Skills!C17=2,90+Inputs!$B$26+Inputs!$B$29,IF(Skills!C17=3,120+Inputs!$B$27+Inputs!$B$29,MAX(0,(Inputs!$B$3-100)*3)+Inputs!$B$28+Inputs!$B$29)))</f>
        <v/>
      </c>
      <c r="E1238">
        <f>INDEX(FactorTable!$B$2:$Y$301, MATCH(ROUND(MIN(300,MAX(1,D1238)),0), FactorTable!$A$2:$A$301,0), Skills!M17+1)</f>
        <v/>
      </c>
      <c r="F1238">
        <f>IF(Skills!N17=TRUE,(Skills!L17/10)*(E1238/1000),Skills!L17/10)+Skills!O17</f>
        <v/>
      </c>
      <c r="G1238">
        <f>Skills!G17*IF(Skills!H17&gt;0,INT(IF(Inputs!$B$38="pvp",MIN(Skills!I17,15),Skills!I17)/Skills!H17+0.000000001),1)</f>
        <v/>
      </c>
      <c r="H1238">
        <f>1-(1-Skills!J17/100)^Skills!K17</f>
        <v/>
      </c>
      <c r="I1238" t="inlineStr">
        <is>
          <t>1</t>
        </is>
      </c>
      <c r="J1238" t="inlineStr"/>
      <c r="K1238" t="inlineStr"/>
      <c r="L1238" t="inlineStr"/>
      <c r="M1238" t="inlineStr"/>
      <c r="N1238" t="inlineStr"/>
      <c r="O1238">
        <f>(1-Summary!$B$11)*T1238+Summary!$B$11*V1238</f>
        <v/>
      </c>
      <c r="P1238">
        <f>IF(B1262=0,0,O1238/B1262)</f>
        <v/>
      </c>
      <c r="Q1238" t="n">
        <v>0</v>
      </c>
      <c r="R1238" t="n">
        <v>0</v>
      </c>
      <c r="S1238">
        <f>IFERROR(O1238/N1238,0)</f>
        <v/>
      </c>
      <c r="T1238" t="n">
        <v>0</v>
      </c>
      <c r="V1238" t="n">
        <v>0</v>
      </c>
    </row>
    <row r="1239">
      <c r="A1239">
        <f>Skills!A18</f>
        <v/>
      </c>
      <c r="B1239">
        <f>Skills!B18</f>
        <v/>
      </c>
      <c r="C1239">
        <f>Inputs!$B$3&gt;=115</f>
        <v/>
      </c>
      <c r="D1239">
        <f>IF(Skills!C18=1,60+Inputs!$B$25+Inputs!$B$29,IF(Skills!C18=2,90+Inputs!$B$26+Inputs!$B$29,IF(Skills!C18=3,120+Inputs!$B$27+Inputs!$B$29,MAX(0,(Inputs!$B$3-100)*3)+Inputs!$B$28+Inputs!$B$29)))</f>
        <v/>
      </c>
      <c r="E1239">
        <f>INDEX(FactorTable!$B$2:$Y$301, MATCH(ROUND(MIN(300,MAX(1,D1239)),0), FactorTable!$A$2:$A$301,0), Skills!M18+1)</f>
        <v/>
      </c>
      <c r="F1239">
        <f>IF(Skills!N18=TRUE,(Skills!L18/10)*(E1239/1000),Skills!L18/10)+Skills!O18</f>
        <v/>
      </c>
      <c r="G1239">
        <f>Skills!G18*IF(Skills!H18&gt;0,INT(IF(Inputs!$B$38="pvp",MIN(Skills!I18,15),Skills!I18)/Skills!H18+0.000000001),1)</f>
        <v/>
      </c>
      <c r="H1239">
        <f>1-(1-Skills!J18/100)^Skills!K18</f>
        <v/>
      </c>
      <c r="I1239" t="inlineStr">
        <is>
          <t>1</t>
        </is>
      </c>
      <c r="J1239" t="inlineStr"/>
      <c r="K1239" t="inlineStr"/>
      <c r="L1239" t="inlineStr"/>
      <c r="M1239" t="inlineStr"/>
      <c r="N1239" t="inlineStr"/>
      <c r="O1239">
        <f>(1-Summary!$B$11)*T1239+Summary!$B$11*V1239</f>
        <v/>
      </c>
      <c r="P1239">
        <f>IF(B1262=0,0,O1239/B1262)</f>
        <v/>
      </c>
      <c r="Q1239">
        <f>IFERROR(1/(IF(Inputs!$B$38="pvp",15,MAX(0.1,Skills!D18-IF(TRUE=TRUE,Inputs!$B$32,0)))*(1-IF(AND(ArtifactsInput!$M$27,Inputs!$B$4="Chapter Hunt"),CHOOSE(ArtifactsInput!$N$27+1,20,24,28,32,36,40),0)/100)),0)</f>
        <v/>
      </c>
      <c r="R1239">
        <f>IF(AND(Inputs!$B$38&lt;&gt;"pvp",Inputs!$B$43&gt;0),IF(Inputs!$B$43&lt;=0,0,(INT(Inputs!$B$43/(IF(Inputs!$B$38="pvp",15,MAX(0.1,Skills!D18-IF(TRUE=TRUE,Inputs!$B$32,0)))*(1-IF(AND(ArtifactsInput!$M$27,Inputs!$B$4="Chapter Hunt"),CHOOSE(ArtifactsInput!$N$27+1,20,24,28,32,36,40),0)/100)))+1)),0)</f>
        <v/>
      </c>
      <c r="S1239">
        <f>IFERROR(O1239/N1239,0)</f>
        <v/>
      </c>
      <c r="T1239" t="n">
        <v>0</v>
      </c>
      <c r="V1239" t="n">
        <v>0</v>
      </c>
    </row>
    <row r="1240">
      <c r="A1240">
        <f>Skills!A19</f>
        <v/>
      </c>
      <c r="B1240">
        <f>Skills!B19</f>
        <v/>
      </c>
      <c r="C1240">
        <f>Inputs!$B$3&gt;=10</f>
        <v/>
      </c>
      <c r="D1240">
        <f>IF(Skills!C19=1,60+Inputs!$B$25+Inputs!$B$29,IF(Skills!C19=2,90+Inputs!$B$26+Inputs!$B$29,IF(Skills!C19=3,120+Inputs!$B$27+Inputs!$B$29,MAX(0,(Inputs!$B$3-100)*3)+Inputs!$B$28+Inputs!$B$29)))</f>
        <v/>
      </c>
      <c r="E1240">
        <f>INDEX(FactorTable!$B$2:$Y$301, MATCH(ROUND(MIN(300,MAX(1,D1240)),0), FactorTable!$A$2:$A$301,0), Skills!M19+1)</f>
        <v/>
      </c>
      <c r="F1240">
        <f>IF(Skills!N19=TRUE,(Skills!L19/10)*(E1240/1000),Skills!L19/10)+Skills!O19</f>
        <v/>
      </c>
      <c r="G1240">
        <f>Skills!G19*IF(Skills!H19&gt;0,INT(IF(Inputs!$B$38="pvp",MIN(Skills!I19,15),Skills!I19)/Skills!H19+0.000000001),1)</f>
        <v/>
      </c>
      <c r="H1240">
        <f>1-(1-Skills!J19/100)^Skills!K19</f>
        <v/>
      </c>
      <c r="I1240" t="inlineStr">
        <is>
          <t>1</t>
        </is>
      </c>
      <c r="J1240" t="inlineStr"/>
      <c r="K1240" t="inlineStr"/>
      <c r="L1240" t="inlineStr"/>
      <c r="M1240" t="inlineStr"/>
      <c r="N1240" t="inlineStr"/>
      <c r="O1240">
        <f>(1-Summary!$B$11)*T1240+Summary!$B$11*V1240</f>
        <v/>
      </c>
      <c r="P1240">
        <f>IF(B1262=0,0,O1240/B1262)</f>
        <v/>
      </c>
      <c r="Q1240" t="n">
        <v>0</v>
      </c>
      <c r="R1240" t="n">
        <v>0</v>
      </c>
      <c r="S1240">
        <f>IFERROR(O1240/N1240,0)</f>
        <v/>
      </c>
      <c r="T1240" t="n">
        <v>0</v>
      </c>
      <c r="V1240" t="n">
        <v>0</v>
      </c>
    </row>
    <row r="1241">
      <c r="A1241">
        <f>Skills!A20</f>
        <v/>
      </c>
      <c r="B1241">
        <f>Skills!B20</f>
        <v/>
      </c>
      <c r="C1241">
        <f>Inputs!$B$3&gt;=15</f>
        <v/>
      </c>
      <c r="D1241">
        <f>IF(Skills!C20=1,60+Inputs!$B$25+Inputs!$B$29,IF(Skills!C20=2,90+Inputs!$B$26+Inputs!$B$29,IF(Skills!C20=3,120+Inputs!$B$27+Inputs!$B$29,MAX(0,(Inputs!$B$3-100)*3)+Inputs!$B$28+Inputs!$B$29)))</f>
        <v/>
      </c>
      <c r="E1241">
        <f>INDEX(FactorTable!$B$2:$Y$301, MATCH(ROUND(MIN(300,MAX(1,D1241)),0), FactorTable!$A$2:$A$301,0), Skills!M20+1)</f>
        <v/>
      </c>
      <c r="F1241">
        <f>IF(Skills!N20=TRUE,(Skills!L20/10)*(E1241/1000),Skills!L20/10)+Skills!O20</f>
        <v/>
      </c>
      <c r="G1241">
        <f>Skills!G20*IF(Skills!H20&gt;0,INT(IF(Inputs!$B$38="pvp",MIN(Skills!I20,15),Skills!I20)/Skills!H20+0.000000001),1)</f>
        <v/>
      </c>
      <c r="H1241">
        <f>1-(1-Skills!J20/100)^Skills!K20</f>
        <v/>
      </c>
      <c r="I1241" t="inlineStr">
        <is>
          <t>1</t>
        </is>
      </c>
      <c r="J1241" t="inlineStr"/>
      <c r="K1241" t="inlineStr"/>
      <c r="L1241" t="inlineStr"/>
      <c r="M1241" t="inlineStr"/>
      <c r="N1241" t="inlineStr"/>
      <c r="O1241">
        <f>(1-Summary!$B$11)*T1241+Summary!$B$11*V1241</f>
        <v/>
      </c>
      <c r="P1241">
        <f>IF(B1262=0,0,O1241/B1262)</f>
        <v/>
      </c>
      <c r="Q1241" t="n">
        <v>0</v>
      </c>
      <c r="R1241" t="n">
        <v>0</v>
      </c>
      <c r="S1241">
        <f>IFERROR(O1241/N1241,0)</f>
        <v/>
      </c>
      <c r="T1241" t="n">
        <v>0</v>
      </c>
      <c r="V1241" t="n">
        <v>0</v>
      </c>
    </row>
    <row r="1242">
      <c r="A1242">
        <f>Skills!A21</f>
        <v/>
      </c>
      <c r="B1242">
        <f>Skills!B21</f>
        <v/>
      </c>
      <c r="C1242">
        <f>Inputs!$B$3&gt;=40</f>
        <v/>
      </c>
      <c r="D1242">
        <f>IF(Skills!C21=1,60+Inputs!$B$25+Inputs!$B$29,IF(Skills!C21=2,90+Inputs!$B$26+Inputs!$B$29,IF(Skills!C21=3,120+Inputs!$B$27+Inputs!$B$29,MAX(0,(Inputs!$B$3-100)*3)+Inputs!$B$28+Inputs!$B$29)))</f>
        <v/>
      </c>
      <c r="E1242">
        <f>INDEX(FactorTable!$B$2:$Y$301, MATCH(ROUND(MIN(300,MAX(1,D1242)),0), FactorTable!$A$2:$A$301,0), Skills!M21+1)</f>
        <v/>
      </c>
      <c r="F1242">
        <f>IF(Skills!N21=TRUE,(Skills!L21/10)*(E1242/1000),Skills!L21/10)+Skills!O21</f>
        <v/>
      </c>
      <c r="G1242">
        <f>Skills!G21*IF(Skills!H21&gt;0,INT(IF(Inputs!$B$38="pvp",MIN(Skills!I21,15),Skills!I21)/Skills!H21+0.000000001),1)</f>
        <v/>
      </c>
      <c r="H1242">
        <f>1-(1-Skills!J21/100)^Skills!K21</f>
        <v/>
      </c>
      <c r="I1242" t="inlineStr">
        <is>
          <t>1</t>
        </is>
      </c>
      <c r="J1242" t="inlineStr"/>
      <c r="K1242" t="inlineStr"/>
      <c r="L1242" t="inlineStr"/>
      <c r="M1242" t="inlineStr"/>
      <c r="N1242" t="inlineStr"/>
      <c r="O1242">
        <f>(1-Summary!$B$11)*T1242+Summary!$B$11*V1242</f>
        <v/>
      </c>
      <c r="P1242">
        <f>IF(B1262=0,0,O1242/B1262)</f>
        <v/>
      </c>
      <c r="Q1242" t="n">
        <v>0</v>
      </c>
      <c r="R1242" t="n">
        <v>0</v>
      </c>
      <c r="S1242">
        <f>IFERROR(O1242/N1242,0)</f>
        <v/>
      </c>
      <c r="T1242" t="n">
        <v>0</v>
      </c>
      <c r="V1242" t="n">
        <v>0</v>
      </c>
    </row>
    <row r="1243">
      <c r="A1243">
        <f>Skills!A22</f>
        <v/>
      </c>
      <c r="B1243">
        <f>Skills!B22</f>
        <v/>
      </c>
      <c r="C1243">
        <f>Inputs!$B$3&gt;=43</f>
        <v/>
      </c>
      <c r="D1243">
        <f>IF(Skills!C22=1,60+Inputs!$B$25+Inputs!$B$29,IF(Skills!C22=2,90+Inputs!$B$26+Inputs!$B$29,IF(Skills!C22=3,120+Inputs!$B$27+Inputs!$B$29,MAX(0,(Inputs!$B$3-100)*3)+Inputs!$B$28+Inputs!$B$29)))</f>
        <v/>
      </c>
      <c r="E1243">
        <f>INDEX(FactorTable!$B$2:$Y$301, MATCH(ROUND(MIN(300,MAX(1,D1243)),0), FactorTable!$A$2:$A$301,0), Skills!M22+1)</f>
        <v/>
      </c>
      <c r="F1243">
        <f>IF(Skills!N22=TRUE,(Skills!L22/10)*(E1243/1000),Skills!L22/10)+Skills!O22</f>
        <v/>
      </c>
      <c r="G1243">
        <f>Skills!G22*IF(Skills!H22&gt;0,INT(IF(Inputs!$B$38="pvp",MIN(Skills!I22,15),Skills!I22)/Skills!H22+0.000000001),1)</f>
        <v/>
      </c>
      <c r="H1243">
        <f>1-(1-Skills!J22/100)^Skills!K22</f>
        <v/>
      </c>
      <c r="I1243" t="inlineStr">
        <is>
          <t>1</t>
        </is>
      </c>
      <c r="J1243" t="inlineStr"/>
      <c r="K1243" t="inlineStr"/>
      <c r="L1243" t="inlineStr"/>
      <c r="M1243" t="inlineStr"/>
      <c r="N1243" t="inlineStr"/>
      <c r="O1243">
        <f>(1-Summary!$B$11)*T1243+Summary!$B$11*V1243</f>
        <v/>
      </c>
      <c r="P1243">
        <f>IF(B1262=0,0,O1243/B1262)</f>
        <v/>
      </c>
      <c r="Q1243" t="n">
        <v>0</v>
      </c>
      <c r="R1243" t="n">
        <v>0</v>
      </c>
      <c r="S1243">
        <f>IFERROR(O1243/N1243,0)</f>
        <v/>
      </c>
      <c r="T1243" t="n">
        <v>0</v>
      </c>
      <c r="V1243" t="n">
        <v>0</v>
      </c>
    </row>
    <row r="1244">
      <c r="A1244">
        <f>Skills!A23</f>
        <v/>
      </c>
      <c r="B1244">
        <f>Skills!B23</f>
        <v/>
      </c>
      <c r="C1244">
        <f>Inputs!$B$3&gt;=38</f>
        <v/>
      </c>
      <c r="D1244">
        <f>IF(Skills!C23=1,60+Inputs!$B$25+Inputs!$B$29,IF(Skills!C23=2,90+Inputs!$B$26+Inputs!$B$29,IF(Skills!C23=3,120+Inputs!$B$27+Inputs!$B$29,MAX(0,(Inputs!$B$3-100)*3)+Inputs!$B$28+Inputs!$B$29)))</f>
        <v/>
      </c>
      <c r="E1244">
        <f>INDEX(FactorTable!$B$2:$Y$301, MATCH(ROUND(MIN(300,MAX(1,D1244)),0), FactorTable!$A$2:$A$301,0), Skills!M23+1)</f>
        <v/>
      </c>
      <c r="F1244">
        <f>IF(Skills!N23=TRUE,(Skills!L23/10)*(E1244/1000),Skills!L23/10)+Skills!O23</f>
        <v/>
      </c>
      <c r="G1244">
        <f>Skills!G23*IF(Skills!H23&gt;0,INT(IF(Inputs!$B$38="pvp",MIN(Skills!I23,15),Skills!I23)/Skills!H23+0.000000001),1)</f>
        <v/>
      </c>
      <c r="H1244">
        <f>1-(1-Skills!J23/100)^Skills!K23</f>
        <v/>
      </c>
      <c r="I1244" t="inlineStr">
        <is>
          <t>1</t>
        </is>
      </c>
      <c r="J1244" t="inlineStr"/>
      <c r="K1244" t="inlineStr"/>
      <c r="L1244" t="inlineStr"/>
      <c r="M1244" t="inlineStr"/>
      <c r="N1244" t="inlineStr"/>
      <c r="O1244">
        <f>(1-Summary!$B$11)*T1244+Summary!$B$11*V1244</f>
        <v/>
      </c>
      <c r="P1244">
        <f>IF(B1262=0,0,O1244/B1262)</f>
        <v/>
      </c>
      <c r="Q1244" t="n">
        <v>0</v>
      </c>
      <c r="R1244" t="n">
        <v>0</v>
      </c>
      <c r="S1244">
        <f>IFERROR(O1244/N1244,0)</f>
        <v/>
      </c>
      <c r="T1244" t="n">
        <v>0</v>
      </c>
      <c r="V1244" t="n">
        <v>0</v>
      </c>
    </row>
    <row r="1245">
      <c r="A1245">
        <f>Skills!A24</f>
        <v/>
      </c>
      <c r="B1245">
        <f>Skills!B24</f>
        <v/>
      </c>
      <c r="C1245">
        <f>Inputs!$B$3&gt;=45</f>
        <v/>
      </c>
      <c r="D1245">
        <f>IF(Skills!C24=1,60+Inputs!$B$25+Inputs!$B$29,IF(Skills!C24=2,90+Inputs!$B$26+Inputs!$B$29,IF(Skills!C24=3,120+Inputs!$B$27+Inputs!$B$29,MAX(0,(Inputs!$B$3-100)*3)+Inputs!$B$28+Inputs!$B$29)))</f>
        <v/>
      </c>
      <c r="E1245">
        <f>INDEX(FactorTable!$B$2:$Y$301, MATCH(ROUND(MIN(300,MAX(1,D1245)),0), FactorTable!$A$2:$A$301,0), Skills!M24+1)</f>
        <v/>
      </c>
      <c r="F1245">
        <f>IF(Skills!N24=TRUE,(Skills!L24/10)*(E1245/1000),Skills!L24/10)+Skills!O24</f>
        <v/>
      </c>
      <c r="G1245">
        <f>Skills!G24*IF(Skills!H24&gt;0,INT(IF(Inputs!$B$38="pvp",MIN(Skills!I24,15),Skills!I24)/Skills!H24+0.000000001),1)</f>
        <v/>
      </c>
      <c r="H1245">
        <f>1-(1-Skills!J24/100)^Skills!K24</f>
        <v/>
      </c>
      <c r="I1245" t="inlineStr">
        <is>
          <t>1</t>
        </is>
      </c>
      <c r="J1245" t="inlineStr"/>
      <c r="K1245" t="inlineStr"/>
      <c r="L1245" t="inlineStr"/>
      <c r="M1245" t="inlineStr"/>
      <c r="N1245" t="inlineStr"/>
      <c r="O1245">
        <f>(1-Summary!$B$11)*T1245+Summary!$B$11*V1245</f>
        <v/>
      </c>
      <c r="P1245">
        <f>IF(B1262=0,0,O1245/B1262)</f>
        <v/>
      </c>
      <c r="Q1245" t="n">
        <v>0</v>
      </c>
      <c r="R1245" t="n">
        <v>0</v>
      </c>
      <c r="S1245">
        <f>IFERROR(O1245/N1245,0)</f>
        <v/>
      </c>
      <c r="T1245" t="n">
        <v>0</v>
      </c>
      <c r="V1245" t="n">
        <v>0</v>
      </c>
    </row>
    <row r="1246">
      <c r="A1246">
        <f>Skills!A25</f>
        <v/>
      </c>
      <c r="B1246">
        <f>Skills!B25</f>
        <v/>
      </c>
      <c r="C1246">
        <f>Inputs!$B$3&gt;=72</f>
        <v/>
      </c>
      <c r="D1246">
        <f>IF(Skills!C25=1,60+Inputs!$B$25+Inputs!$B$29,IF(Skills!C25=2,90+Inputs!$B$26+Inputs!$B$29,IF(Skills!C25=3,120+Inputs!$B$27+Inputs!$B$29,MAX(0,(Inputs!$B$3-100)*3)+Inputs!$B$28+Inputs!$B$29)))</f>
        <v/>
      </c>
      <c r="E1246">
        <f>INDEX(FactorTable!$B$2:$Y$301, MATCH(ROUND(MIN(300,MAX(1,D1246)),0), FactorTable!$A$2:$A$301,0), Skills!M25+1)</f>
        <v/>
      </c>
      <c r="F1246">
        <f>IF(Skills!N25=TRUE,(Skills!L25/10)*(E1246/1000),Skills!L25/10)+Skills!O25</f>
        <v/>
      </c>
      <c r="G1246">
        <f>Skills!G25*IF(Skills!H25&gt;0,INT(IF(Inputs!$B$38="pvp",MIN(Skills!I25,15),Skills!I25)/Skills!H25+0.000000001),1)</f>
        <v/>
      </c>
      <c r="H1246">
        <f>1-(1-Skills!J25/100)^Skills!K25</f>
        <v/>
      </c>
      <c r="I1246" t="inlineStr">
        <is>
          <t>1</t>
        </is>
      </c>
      <c r="J1246" t="inlineStr"/>
      <c r="K1246" t="inlineStr"/>
      <c r="L1246" t="inlineStr"/>
      <c r="M1246" t="inlineStr"/>
      <c r="N1246" t="inlineStr"/>
      <c r="O1246">
        <f>(1-Summary!$B$11)*T1246+Summary!$B$11*V1246</f>
        <v/>
      </c>
      <c r="P1246">
        <f>IF(B1262=0,0,O1246/B1262)</f>
        <v/>
      </c>
      <c r="Q1246" t="n">
        <v>0</v>
      </c>
      <c r="R1246" t="n">
        <v>0</v>
      </c>
      <c r="S1246">
        <f>IFERROR(O1246/N1246,0)</f>
        <v/>
      </c>
      <c r="T1246" t="n">
        <v>0</v>
      </c>
      <c r="V1246" t="n">
        <v>0</v>
      </c>
    </row>
    <row r="1247">
      <c r="A1247">
        <f>Skills!A26</f>
        <v/>
      </c>
      <c r="B1247">
        <f>Skills!B26</f>
        <v/>
      </c>
      <c r="C1247">
        <f>Inputs!$B$3&gt;=75</f>
        <v/>
      </c>
      <c r="D1247">
        <f>IF(Skills!C26=1,60+Inputs!$B$25+Inputs!$B$29,IF(Skills!C26=2,90+Inputs!$B$26+Inputs!$B$29,IF(Skills!C26=3,120+Inputs!$B$27+Inputs!$B$29,MAX(0,(Inputs!$B$3-100)*3)+Inputs!$B$28+Inputs!$B$29)))</f>
        <v/>
      </c>
      <c r="E1247">
        <f>INDEX(FactorTable!$B$2:$Y$301, MATCH(ROUND(MIN(300,MAX(1,D1247)),0), FactorTable!$A$2:$A$301,0), Skills!M26+1)</f>
        <v/>
      </c>
      <c r="F1247">
        <f>IF(Skills!N26=TRUE,(Skills!L26/10)*(E1247/1000),Skills!L26/10)+Skills!O26</f>
        <v/>
      </c>
      <c r="G1247">
        <f>Skills!G26*IF(Skills!H26&gt;0,INT(IF(Inputs!$B$38="pvp",MIN(Skills!I26,15),Skills!I26)/Skills!H26+0.000000001),1)</f>
        <v/>
      </c>
      <c r="H1247">
        <f>1-(1-Skills!J26/100)^Skills!K26</f>
        <v/>
      </c>
      <c r="I1247" t="inlineStr">
        <is>
          <t>1</t>
        </is>
      </c>
      <c r="J1247" t="inlineStr"/>
      <c r="K1247" t="inlineStr"/>
      <c r="L1247" t="inlineStr"/>
      <c r="M1247" t="inlineStr"/>
      <c r="N1247" t="inlineStr"/>
      <c r="O1247">
        <f>(1-Summary!$B$11)*T1247+Summary!$B$11*V1247</f>
        <v/>
      </c>
      <c r="P1247">
        <f>IF(B1262=0,0,O1247/B1262)</f>
        <v/>
      </c>
      <c r="Q1247" t="n">
        <v>0</v>
      </c>
      <c r="R1247" t="n">
        <v>0</v>
      </c>
      <c r="S1247">
        <f>IFERROR(O1247/N1247,0)</f>
        <v/>
      </c>
      <c r="T1247" t="n">
        <v>0</v>
      </c>
      <c r="V1247" t="n">
        <v>0</v>
      </c>
    </row>
    <row r="1248">
      <c r="A1248">
        <f>Skills!A27</f>
        <v/>
      </c>
      <c r="B1248">
        <f>Skills!B27</f>
        <v/>
      </c>
      <c r="C1248">
        <f>Inputs!$B$3&gt;=125</f>
        <v/>
      </c>
      <c r="D1248">
        <f>IF(Skills!C27=1,60+Inputs!$B$25+Inputs!$B$29,IF(Skills!C27=2,90+Inputs!$B$26+Inputs!$B$29,IF(Skills!C27=3,120+Inputs!$B$27+Inputs!$B$29,MAX(0,(Inputs!$B$3-100)*3)+Inputs!$B$28+Inputs!$B$29)))</f>
        <v/>
      </c>
      <c r="E1248">
        <f>INDEX(FactorTable!$B$2:$Y$301, MATCH(ROUND(MIN(300,MAX(1,D1248)),0), FactorTable!$A$2:$A$301,0), Skills!M27+1)</f>
        <v/>
      </c>
      <c r="F1248">
        <f>IF(Skills!N27=TRUE,(Skills!L27/10)*(E1248/1000),Skills!L27/10)+Skills!O27</f>
        <v/>
      </c>
      <c r="G1248">
        <f>Skills!G27*IF(Skills!H27&gt;0,INT(IF(Inputs!$B$38="pvp",MIN(Skills!I27,15),Skills!I27)/Skills!H27+0.000000001),1)</f>
        <v/>
      </c>
      <c r="H1248">
        <f>1-(1-Skills!J27/100)^Skills!K27</f>
        <v/>
      </c>
      <c r="I1248" t="inlineStr">
        <is>
          <t>1</t>
        </is>
      </c>
      <c r="J1248" t="inlineStr"/>
      <c r="K1248" t="inlineStr"/>
      <c r="L1248" t="inlineStr"/>
      <c r="M1248" t="inlineStr"/>
      <c r="N1248" t="inlineStr"/>
      <c r="O1248">
        <f>(1-Summary!$B$11)*T1248+Summary!$B$11*V1248</f>
        <v/>
      </c>
      <c r="P1248">
        <f>IF(B1262=0,0,O1248/B1262)</f>
        <v/>
      </c>
      <c r="Q1248" t="n">
        <v>0</v>
      </c>
      <c r="R1248" t="n">
        <v>0</v>
      </c>
      <c r="S1248">
        <f>IFERROR(O1248/N1248,0)</f>
        <v/>
      </c>
      <c r="T1248" t="n">
        <v>0</v>
      </c>
      <c r="V1248" t="n">
        <v>0</v>
      </c>
    </row>
    <row r="1249">
      <c r="A1249">
        <f>Skills!A28</f>
        <v/>
      </c>
      <c r="B1249">
        <f>Skills!B28</f>
        <v/>
      </c>
      <c r="C1249">
        <f>TRUE</f>
        <v/>
      </c>
      <c r="D1249">
        <f>IF(Skills!C28=1,60+Inputs!$B$25+Inputs!$B$29,IF(Skills!C28=2,90+Inputs!$B$26+Inputs!$B$29,IF(Skills!C28=3,120+Inputs!$B$27+Inputs!$B$29,MAX(0,(Inputs!$B$3-100)*3)+Inputs!$B$28+Inputs!$B$29)))</f>
        <v/>
      </c>
      <c r="E1249">
        <f>INDEX(FactorTable!$B$2:$Y$301, MATCH(ROUND(MIN(300,MAX(1,D1249)),0), FactorTable!$A$2:$A$301,0), Skills!M28+1)</f>
        <v/>
      </c>
      <c r="F1249">
        <f>IF(Skills!N28=TRUE,(Skills!L28/10)*(E1249/1000),Skills!L28/10)+Skills!O28</f>
        <v/>
      </c>
      <c r="G1249">
        <f>Skills!G28*IF(Skills!H28&gt;0,INT(IF(Inputs!$B$38="pvp",MIN(Skills!I28,15),Skills!I28)/Skills!H28+0.000000001),1)</f>
        <v/>
      </c>
      <c r="H1249">
        <f>1-(1-Skills!J28/100)^Skills!K28</f>
        <v/>
      </c>
      <c r="I1249" t="inlineStr">
        <is>
          <t>1</t>
        </is>
      </c>
      <c r="J1249" t="inlineStr"/>
      <c r="K1249" t="inlineStr"/>
      <c r="L1249" t="inlineStr"/>
      <c r="M1249" t="inlineStr"/>
      <c r="N1249" t="inlineStr"/>
      <c r="O1249">
        <f>(1-Summary!$B$11)*T1249+Summary!$B$11*V1249</f>
        <v/>
      </c>
      <c r="P1249">
        <f>IF(B1262=0,0,O1249/B1262)</f>
        <v/>
      </c>
      <c r="Q1249">
        <f>IFERROR(1/(IF(Inputs!$B$38="pvp",15,MAX(0.1,Skills!D28-IF(TRUE=TRUE,Inputs!$B$32,0)))*(1-IF(AND(ArtifactsInput!$M$27,Inputs!$B$4="Chapter Hunt"),CHOOSE(ArtifactsInput!$N$27+1,20,24,28,32,36,40),0)/100)),0)</f>
        <v/>
      </c>
      <c r="R1249">
        <f>IF(AND(Inputs!$B$38&lt;&gt;"pvp",Inputs!$B$43&gt;0),IF(Inputs!$B$43&lt;=0,0,(INT(Inputs!$B$43/(IF(Inputs!$B$38="pvp",15,MAX(0.1,Skills!D28-IF(TRUE=TRUE,Inputs!$B$32,0)))*(1-IF(AND(ArtifactsInput!$M$27,Inputs!$B$4="Chapter Hunt"),CHOOSE(ArtifactsInput!$N$27+1,20,24,28,32,36,40),0)/100)))+1)),0)</f>
        <v/>
      </c>
      <c r="S1249">
        <f>IFERROR(O1249/N1249,0)</f>
        <v/>
      </c>
      <c r="T1249" t="n">
        <v>0</v>
      </c>
      <c r="V1249" t="n">
        <v>0</v>
      </c>
    </row>
    <row r="1251">
      <c r="A1251" t="inlineStr">
        <is>
          <t>Attack% Bucket Multiplier</t>
        </is>
      </c>
      <c r="B1251">
        <f>(1+(((C1238=TRUE)*F1238*5/7)+((C1245=TRUE)*(F1245-Calc!F24))+(IF(ArtifactsInput!$M$21,CHOOSE(ArtifactsInput!$N$21+1,25,30,35,40,45,50)*(IF(OR(Inputs!$B$4="Chapter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252">
      <c r="A1252" t="inlineStr">
        <is>
          <t>Global Crit Rate Bonus %</t>
        </is>
      </c>
      <c r="B1252" t="n">
        <v>0</v>
      </c>
    </row>
    <row r="1253">
      <c r="A1253" t="inlineStr">
        <is>
          <t>Attack Speed Buff Bonus % (Nimble Feet, duty-cycle averaged)</t>
        </is>
      </c>
      <c r="B1253">
        <f>((C1249=TRUE)*F1249*IF(AND(Inputs!$B$38&lt;&gt;"pvp",Inputs!$B$43&gt;0),(((R1249-1)*MIN((Skills!T28*(1+(Inputs!$B$34+1)/100)),(1/Q1249))+MIN((Skills!T28*(1+(Inputs!$B$34+1)/100)),MAX(0,Inputs!$B$43-((R1249-1)*(1/Q1249)))))/Inputs!$B$43),IF(Inputs!$B$38="pvp",MIN((Skills!T28*(1+(Inputs!$B$34+1)/100)),15)/15,MIN(1,(Skills!T28*(1+(Inputs!$B$34+1)/100))/(1/Q1249)))))</f>
        <v/>
      </c>
    </row>
    <row r="1254">
      <c r="A1254" t="inlineStr">
        <is>
          <t>Actions Per Second</t>
        </is>
      </c>
      <c r="B1254">
        <f>1+MIN(150,150*(1-(1-(Inputs!$B$11+((C1241=TRUE)*(F1241-Calc!F20))+((C1242=TRUE)*(F1242-Calc!F21)))/150)*(1-B1253/150)))/100</f>
        <v/>
      </c>
    </row>
    <row r="1255">
      <c r="A1255" t="inlineStr">
        <is>
          <t>Skill + Buff Cast Rate</t>
        </is>
      </c>
      <c r="B1255">
        <f>IF(AND(Inputs!$B$38&lt;&gt;"pvp",Inputs!$B$43&gt;0),SUMPRODUCT((Skills!E2:E28=TRUE)*(C1223:C1249=TRUE)*R1223:R1249*Skills!F2:F28)/Inputs!$B$43,SUMPRODUCT((Skills!E2:E28=TRUE)*(C1223:C1249=TRUE)*Q1223:Q1249*Skills!F2:F28))</f>
        <v/>
      </c>
    </row>
    <row r="1256">
      <c r="A1256" t="inlineStr">
        <is>
          <t>Eight-Legs Easton Casts Per Second</t>
        </is>
      </c>
      <c r="B1256">
        <f>MAX(0,B1254-B1255)</f>
        <v/>
      </c>
    </row>
    <row r="1257">
      <c r="A1257" t="inlineStr">
        <is>
          <t>Global Critical Damage Bonus % (unused)</t>
        </is>
      </c>
      <c r="B1257" t="n">
        <v>0</v>
      </c>
    </row>
    <row r="1258">
      <c r="A1258" t="inlineStr">
        <is>
          <t>Global Final Damage Bonus % (Jolly Roger + Ahoy Mateys - Final Damage proc)</t>
        </is>
      </c>
      <c r="B1258">
        <f>((C1239=TRUE)*F1239*IF(AND(Inputs!$B$38&lt;&gt;"pvp",Inputs!$B$43&gt;0),(((R1239-1)*MIN((Skills!T18*(1+(Inputs!$B$34+1)/100)),(1/Q1239))+MIN((Skills!T18*(1+(Inputs!$B$34+1)/100)),MAX(0,Inputs!$B$43-((R1239-1)*(1/Q1239)))))/Inputs!$B$43),IF(Inputs!$B$38="pvp",MIN((Skills!T18*(1+(Inputs!$B$34+1)/100)),15)/15,MIN(1,(Skills!T18*(1+(Inputs!$B$34+1)/100))/(1/Q1239)))))+IF(Inputs!$B$3&gt;=122,20*IF(Inputs!$B$38="pvp",MIN((20*(1+(Inputs!$B$34+1)/100)),15)/15,MIN(1,(20*(1+(Inputs!$B$34+1)/100))/(1/Q1225))),0)</f>
        <v/>
      </c>
    </row>
    <row r="1259">
      <c r="A1259" t="inlineStr">
        <is>
          <t>Buff-Casting Startup Delay (s, fixed-duration only)</t>
        </is>
      </c>
      <c r="B1259">
        <f>IF(AND(Inputs!$B$38&lt;&gt;"pvp",Inputs!$B$43&gt;0),SUMPRODUCT((Skills!T2:T28&gt;0)*(Skills!E2:E28=TRUE)*(C1223:C1249=TRUE))/B1254,0)</f>
        <v/>
      </c>
    </row>
    <row r="1260">
      <c r="A1260" t="inlineStr">
        <is>
          <t>Boss-Only Total DPS (this block's swept value)</t>
        </is>
      </c>
      <c r="B1260">
        <f>SUM(T1223:T1249)</f>
        <v/>
      </c>
    </row>
    <row r="1261">
      <c r="A1261" t="inlineStr">
        <is>
          <t>Normal-Only Total DPS (this block's swept value)</t>
        </is>
      </c>
      <c r="B1261">
        <f>SUM(V1223:V1249)</f>
        <v/>
      </c>
    </row>
    <row r="1262">
      <c r="A1262" s="6" t="inlineStr">
        <is>
          <t>TOTAL DPS</t>
        </is>
      </c>
      <c r="B1262" s="6">
        <f>SUM(O1223:O1249)</f>
        <v/>
      </c>
    </row>
    <row r="1263">
      <c r="A1263" t="inlineStr">
        <is>
          <t>Quickdraw cooldown divisor (this block's own APS / Q)</t>
        </is>
      </c>
      <c r="B1263">
        <f>IF(AND(C1248=TRUE,Inputs!$B$38&lt;&gt;"pvp"),1+0.25*MAX(0,(B1254-(((C1224=TRUE)*Q1224*1)+((C1225=TRUE)*Q1225*1)+((C1227=TRUE)*Q1227*1)+((C1228=TRUE)*Q1228*1)+((C1230=TRUE)*Q1230*1)+((C1233=TRUE)*Q1233*1)+((C1239=TRUE)*Q1239*1)+((C1249=TRUE)*Q1249*1))-((C1229=TRUE)/(IF(Inputs!$B$38="pvp",15,MAX(0.1,Skills!D8-IF(TRUE=TRUE,Inputs!$B$32,0)))*(1-IF(AND(ArtifactsInput!$M$27,Inputs!$B$4="Chapter Hunt"),CHOOSE(ArtifactsInput!$N$27+1,20,24,28,32,36,40),0)/100))+(C1232=TRUE)/(IF(Inputs!$B$38="pvp",15,MAX(0.1,Skills!D11-IF(TRUE=TRUE,Inputs!$B$32,0)))*(1-IF(AND(ArtifactsInput!$M$27,Inputs!$B$4="Chapter Hunt"),CHOOSE(ArtifactsInput!$N$27+1,20,24,28,32,36,40),0)/100))))/(1+0.25*((C1229=TRUE)/(IF(Inputs!$B$38="pvp",15,MAX(0.1,Skills!D8-IF(TRUE=TRUE,Inputs!$B$32,0)))*(1-IF(AND(ArtifactsInput!$M$27,Inputs!$B$4="Chapter Hunt"),CHOOSE(ArtifactsInput!$N$27+1,20,24,28,32,36,40),0)/100))+(C1232=TRUE)/(IF(Inputs!$B$38="pvp",15,MAX(0.1,Skills!D11-IF(TRUE=TRUE,Inputs!$B$32,0)))*(1-IF(AND(ArtifactsInput!$M$27,Inputs!$B$4="Chapter Hunt"),CHOOSE(ArtifactsInput!$N$27+1,20,24,28,32,36,40),0)/100))))),1)</f>
        <v/>
      </c>
    </row>
    <row r="1264">
      <c r="A1264" t="inlineStr">
        <is>
          <t>Nautilus Strike - Final Attack trigger rate (this block's own Q/R)</t>
        </is>
      </c>
      <c r="B1264">
        <f>IF(AND(Inputs!$B$38&lt;&gt;"pvp",Inputs!$B$43&gt;0),(((C1224=TRUE)*R1224)+((C1227=TRUE)*R1227)+((C1229=TRUE)*R1229)+((C1230=TRUE)*R1230)+((C1232=TRUE)*R1232))/Inputs!$B$43,((C1224=TRUE)*Q1224)+((C1227=TRUE)*Q1227)+((C1229=TRUE)*Q1229)+((C1230=TRUE)*Q1230)+((C1232=TRUE)*Q1232))+B1256</f>
        <v/>
      </c>
    </row>
    <row r="1267">
      <c r="A1267" s="6" t="inlineStr">
        <is>
          <t>Stat: Charm of the Undead (Equip)</t>
        </is>
      </c>
    </row>
    <row r="1268">
      <c r="A1268" s="5" t="inlineStr">
        <is>
          <t>Key</t>
        </is>
      </c>
      <c r="B1268" s="5" t="inlineStr">
        <is>
          <t>Name</t>
        </is>
      </c>
      <c r="C1268" s="5" t="inlineStr">
        <is>
          <t>Unlocked</t>
        </is>
      </c>
      <c r="D1268" s="5" t="inlineStr">
        <is>
          <t>InputLevel</t>
        </is>
      </c>
      <c r="E1268" s="5" t="inlineStr">
        <is>
          <t>Factor</t>
        </is>
      </c>
      <c r="F1268" s="5" t="inlineStr">
        <is>
          <t>CoefficientPercent</t>
        </is>
      </c>
      <c r="G1268" s="5" t="inlineStr">
        <is>
          <t>EffectiveHits</t>
        </is>
      </c>
      <c r="H1268" s="5" t="inlineStr">
        <is>
          <t>ProcProbability</t>
        </is>
      </c>
      <c r="I1268" s="5" t="inlineStr">
        <is>
          <t>MapleHeroMultiplier</t>
        </is>
      </c>
      <c r="J1268" s="5" t="inlineStr">
        <is>
          <t>BaseDamage</t>
        </is>
      </c>
      <c r="K1268" s="5" t="inlineStr">
        <is>
          <t>BaseHitDamage</t>
        </is>
      </c>
      <c r="L1268" s="5" t="inlineStr">
        <is>
          <t>NonCritAvg</t>
        </is>
      </c>
      <c r="M1268" s="5" t="inlineStr">
        <is>
          <t>CritAvg</t>
        </is>
      </c>
      <c r="N1268" s="5" t="inlineStr">
        <is>
          <t>ExpectedDamage(perHit)</t>
        </is>
      </c>
      <c r="O1268" s="5" t="inlineStr">
        <is>
          <t>DPS</t>
        </is>
      </c>
      <c r="P1268" s="5" t="inlineStr">
        <is>
          <t>% of Total</t>
        </is>
      </c>
      <c r="Q1268" s="5" t="inlineStr">
        <is>
          <t>InvCooldown</t>
        </is>
      </c>
      <c r="R1268" s="5" t="inlineStr">
        <is>
          <t>CastsInFight</t>
        </is>
      </c>
      <c r="S1268" s="5" t="inlineStr">
        <is>
          <t>HitRate(perSec)</t>
        </is>
      </c>
      <c r="U1268" t="inlineStr">
        <is>
          <t>helpers</t>
        </is>
      </c>
    </row>
    <row r="1269">
      <c r="A1269">
        <f>Skills!A2</f>
        <v/>
      </c>
      <c r="B1269">
        <f>Skills!B2</f>
        <v/>
      </c>
      <c r="C1269">
        <f>Inputs!$B$3&gt;=100</f>
        <v/>
      </c>
      <c r="D1269" t="inlineStr"/>
      <c r="E1269" t="inlineStr"/>
      <c r="F1269">
        <f>U1271+Skills!O2</f>
        <v/>
      </c>
      <c r="G1269">
        <f>Skills!G2*IF(Skills!H2&gt;0,INT(IF(Inputs!$B$38="pvp",MIN(Skills!I2,15),Skills!I2)/Skills!H2+0.000000001),1)</f>
        <v/>
      </c>
      <c r="H1269">
        <f>1-(1-Skills!J2/100)^Skills!K2</f>
        <v/>
      </c>
      <c r="I1269" t="inlineStr">
        <is>
          <t>1</t>
        </is>
      </c>
      <c r="J1269">
        <f>((Inputs!$B$6*(1+Inputs!$B$7/100))+(((Inputs!$B$12*(1+Inputs!$B$13/100))-(Inputs!$B$12*(1+Inputs!$B$13/100)))+0.25*(Inputs!$B$14-Inputs!$B$14))*(1+Inputs!$B$7/100))*(F1269/100)</f>
        <v/>
      </c>
      <c r="K1269">
        <f>J1269*(1+((Inputs!$B$12*(1+Inputs!$B$13/100))*0.01+Inputs!$B$14*0.0025)/100)*(1+Inputs!$B$15/100)*(1+Inputs!$B$16/100)*(5000/(6000+Inputs!$B$42*(1-(100*(1-(1-(Inputs!$B$19+0)/100)*(1-CHOOSE(ArtifactsInput!$N$40+1,5,6,7,8,9,10)/100)^(ArtifactsInput!$M$40-ArtifactsInput!$M$40)))/100)))*(1+(Inputs!$B$24+((C1293=TRUE)*(F1293-Calc!F26))+B1304)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IGHT_LEGS_EASTON",Inputs!$B$17+((C1290=TRUE)*(F1290-Calc!F23))+((C1294=TRUE)*(F1294-Calc!F27))+((IF(AND(Inputs!$B$38&lt;&gt;"pvp",Inputs!$B$43=0),1,IF(IF(Inputs!$B$38="pvp",15,Inputs!$B$43)-(B1305)&lt;=0,1,MAX(0,IF(Inputs!$B$38="pvp",15,Inputs!$B$43)-MAX(5,B1305))/(IF(Inputs!$B$38="pvp",15,Inputs!$B$43)-(B1305))))*(IF(AND(ArtifactsInput!$M$42,((Inputs!$B$9+((C1286=TRUE)*(F1286-Calc!F19))+B1298+(ArtifactsInput!$M$24-ArtifactsInput!$M$24)*CHOOSE(ArtifactsInput!$N$24+1,10,12,14,16,18,20)+IF(ArtifactsInput!$M$10,CHOOSE(ArtifactsInput!$N$10+1,15,18,21,24,27,30)*(IF(Inputs!$B$38="pvp",MIN(15,15)/15,IF(AND(Inputs!$B$38&lt;&gt;"pvp",Inputs!$B$43&gt;0),MIN(15,Inputs!$B$43)/(Inputs!$B$43),0))),0)))&gt;=100),MIN(100,((Inputs!$B$9+((C1286=TRUE)*(F1286-Calc!F19))+B1298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1305)&lt;=0,1,MAX(0,IF(Inputs!$B$38="pvp",15,Inputs!$B$43)-MAX(5,B1305))/(IF(Inputs!$B$38="pvp",15,Inputs!$B$43)-(B1305))))*IF(AND(ArtifactsInput!$M$42,((Inputs!$B$9+((C1286=TRUE)*(F1286-Calc!F19))+B1298+(ArtifactsInput!$M$24-ArtifactsInput!$M$24)*CHOOSE(ArtifactsInput!$N$24+1,10,12,14,16,18,20)+IF(ArtifactsInput!$M$10,CHOOSE(ArtifactsInput!$N$10+1,15,18,21,24,27,30)*(IF(Inputs!$B$38="pvp",MIN(15,15)/15,IF(AND(Inputs!$B$38&lt;&gt;"pvp",Inputs!$B$43&gt;0),MIN(15,Inputs!$B$43)/(Inputs!$B$43),0))),0)))&gt;=100),CHOOSE(ArtifactsInput!$N$42+1,40,48,56,64,72,80),0))))/100)*((1+(((C1284=TRUE)*F1284*5/7)+((C1291=TRUE)*(F1291-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IF(ArtifactsInput!$M$5,FALSE,TRUE),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1269)</f>
        <v/>
      </c>
      <c r="L1269">
        <f>K1269*(MIN(Inputs!$B$22+((C1289=TRUE)*(F1289-Calc!F22)),(Inputs!$B$23+0+(IF(ArtifactsInput!$M$15,CHOOSE(ArtifactsInput!$N$15+1,25,30,35,40,45,50)/100*(Inputs!$B$11-Inputs!$B$11),0))))/100+(Inputs!$B$23+0+(IF(ArtifactsInput!$M$15,CHOOSE(ArtifactsInput!$N$15+1,25,30,35,40,45,50)/100*(Inputs!$B$11-Inputs!$B$11),0)))/100)/2</f>
        <v/>
      </c>
      <c r="M1269">
        <f>L1269*(1+(Inputs!$B$10+((C1292=TRUE)*(F1292-Calc!F25))+B1303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69">
        <f>L1269*(1-MIN((Inputs!$B$9+((C1286=TRUE)*(F1286-Calc!F19))+B1298+(ArtifactsInput!$M$24-ArtifactsInput!$M$24)*CHOOSE(ArtifactsInput!$N$24+1,10,12,14,16,18,20)+(IF(AND(Inputs!$B$38&lt;&gt;"pvp",Inputs!$B$43=0),1,IF(IF(Inputs!$B$38="pvp",15,Inputs!$B$43)-(B1305)&lt;=0,1,MAX(0,IF(Inputs!$B$38="pvp",15,Inputs!$B$43)-MAX(5,B1305))/(IF(Inputs!$B$38="pvp",15,Inputs!$B$43)-(B1305))))*IF(AND(ArtifactsInput!$M$42,((Inputs!$B$9+((C1286=TRUE)*(F1286-Calc!F19))+B1298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1269*(MIN((Inputs!$B$9+((C1286=TRUE)*(F1286-Calc!F19))+B1298+(ArtifactsInput!$M$24-ArtifactsInput!$M$24)*CHOOSE(ArtifactsInput!$N$24+1,10,12,14,16,18,20)+(IF(AND(Inputs!$B$38&lt;&gt;"pvp",Inputs!$B$43=0),1,IF(IF(Inputs!$B$38="pvp",15,Inputs!$B$43)-(B1305)&lt;=0,1,MAX(0,IF(Inputs!$B$38="pvp",15,Inputs!$B$43)-MAX(5,B1305))/(IF(Inputs!$B$38="pvp",15,Inputs!$B$43)-(B1305))))*IF(AND(ArtifactsInput!$M$42,((Inputs!$B$9+((C1286=TRUE)*(F1286-Calc!F19))+B1298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69">
        <f>(1-Summary!$B$11)*T1269+Summary!$B$11*V1269</f>
        <v/>
      </c>
      <c r="P1269">
        <f>IF(B1308=0,0,O1269/B1308)</f>
        <v/>
      </c>
      <c r="Q1269" t="n">
        <v>0</v>
      </c>
      <c r="R1269" t="n">
        <v>0</v>
      </c>
      <c r="S1269">
        <f>IFERROR(O1269/N1269,0)</f>
        <v/>
      </c>
      <c r="T1269">
        <f>IF(C1269,(Skills!G2*N1269*B1302*(1+IF(C1294=TRUE,1/3,0)))*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Hunt"),CHOOSE(ArtifactsInput!$N$35+1,15,18,21,24,27,30)*(1-EXP(-(0.2*B1300)*5)),0)+IF(AND(ArtifactsInput!$M$22,Inputs!$B$4&lt;&gt;"Chapter Hunt"),CHOOSE(ArtifactsInput!$N$22+1,10,12,14,16,18,20)*((0*(((0.15*B1300*5))^0/1)+1*(((0.15*B1300*5))^1/1)+2*(((0.15*B1300*5))^2/2)+3*(((0.15*B1300*5))^3/6)+4*(((0.15*B1300*5))^4/24)+5*(((0.15*B1300*5))^5/120))/((((0.15*B1300*5))^0/1)+(((0.15*B1300*5))^1/1)+(((0.15*B1300*5))^2/2)+(((0.15*B1300*5))^3/6)+(((0.15*B1300*5))^4/24)+(((0.15*B1300*5))^5/120))),0))+IF(Inputs!$B$3&gt;=54,9*(C1270=TRUE)*MIN(1,8*(1+Inputs!$B$34/100)*Q1270)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1269*(1-MIN(100,(Inputs!$B$9+((C1286=TRUE)*(F1286-Calc!F19))+B1298+(ArtifactsInput!$M$24-ArtifactsInput!$M$24)*CHOOSE(ArtifactsInput!$N$24+1,10,12,14,16,18,20)+(IF(AND(Inputs!$B$38&lt;&gt;"pvp",Inputs!$B$43=0),1,IF(IF(Inputs!$B$38="pvp",15,Inputs!$B$43)-(B1305)&lt;=0,1,MAX(0,IF(Inputs!$B$38="pvp",15,Inputs!$B$43)-MAX(5,B1305))/(IF(Inputs!$B$38="pvp",15,Inputs!$B$43)-(B1305))))*IF(AND(ArtifactsInput!$M$42,((Inputs!$B$9+((C1286=TRUE)*(F1286-Calc!F19))+B1298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1269*(MIN(100,(Inputs!$B$9+((C1286=TRUE)*(F1286-Calc!F19))+B1298+(ArtifactsInput!$M$24-ArtifactsInput!$M$24)*CHOOSE(ArtifactsInput!$N$24+1,10,12,14,16,18,20)+(IF(AND(Inputs!$B$38&lt;&gt;"pvp",Inputs!$B$43=0),1,IF(IF(Inputs!$B$38="pvp",15,Inputs!$B$43)-(B1305)&lt;=0,1,MAX(0,IF(Inputs!$B$38="pvp",15,Inputs!$B$43)-MAX(5,B1305))/(IF(Inputs!$B$38="pvp",15,Inputs!$B$43)-(B1305))))*IF(AND(ArtifactsInput!$M$42,((Inputs!$B$9+((C1286=TRUE)*(F1286-Calc!F19))+B1298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1269*(1-MIN(100,(Inputs!$B$9+((C1286=TRUE)*(F1286-Calc!F19))+B1298+(ArtifactsInput!$M$24-ArtifactsInput!$M$24)*CHOOSE(ArtifactsInput!$N$24+1,10,12,14,16,18,20)+(IF(AND(Inputs!$B$38&lt;&gt;"pvp",Inputs!$B$43=0),1,IF(IF(Inputs!$B$38="pvp",15,Inputs!$B$43)-(B1305)&lt;=0,1,MAX(0,IF(Inputs!$B$38="pvp",15,Inputs!$B$43)-MAX(5,B1305))/(IF(Inputs!$B$38="pvp",15,Inputs!$B$43)-(B1305))))*IF(AND(ArtifactsInput!$M$42,((Inputs!$B$9+((C1286=TRUE)*(F1286-Calc!F19))+B1298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1269*(MIN(100,(Inputs!$B$9+((C1286=TRUE)*(F1286-Calc!F19))+B1298+(ArtifactsInput!$M$24-ArtifactsInput!$M$24)*CHOOSE(ArtifactsInput!$N$24+1,10,12,14,16,18,20)+(IF(AND(Inputs!$B$38&lt;&gt;"pvp",Inputs!$B$43=0),1,IF(IF(Inputs!$B$38="pvp",15,Inputs!$B$43)-(B1305)&lt;=0,1,MAX(0,IF(Inputs!$B$38="pvp",15,Inputs!$B$43)-MAX(5,B1305))/(IF(Inputs!$B$38="pvp",15,Inputs!$B$43)-(B1305))))*IF(AND(ArtifactsInput!$M$42,((Inputs!$B$9+((C1286=TRUE)*(F1286-Calc!F19))+B1298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269">
        <f>MAX(0,(Inputs!$B$3-100)*3)+Inputs!$B$28+Inputs!$B$29</f>
        <v/>
      </c>
      <c r="V1269">
        <f>IF(C1269,(Skills!G2*N1269*B1302*(1+IF(C1294=TRUE,1/3,0)))*IF(Inputs!$B$38="pvp",1,(1+(Inputs!$B$21+Skills!Q2+(IF(ArtifactsInput!$M$33,CHOOSE(ArtifactsInput!$N$33+1,30,36,42,48,54,60),0))+(IF(AND(ArtifactsInput!$M$35,Inputs!$B$4&lt;&gt;"Chapter Hunt"),CHOOSE(ArtifactsInput!$N$35+1,15,18,21,24,27,30)*(1-EXP(-(0.2*B1300)*5)),0)+IF(AND(ArtifactsInput!$M$22,Inputs!$B$4&lt;&gt;"Chapter Hunt"),CHOOSE(ArtifactsInput!$N$22+1,10,12,14,16,18,20)*((0*(((0.15*B1300*5))^0/1)+1*(((0.15*B1300*5))^1/1)+2*(((0.15*B1300*5))^2/2)+3*(((0.15*B1300*5))^3/6)+4*(((0.15*B1300*5))^4/24)+5*(((0.15*B1300*5))^5/120))/((((0.15*B1300*5))^0/1)+(((0.15*B1300*5))^1/1)+(((0.15*B1300*5))^2/2)+(((0.15*B1300*5))^3/6)+(((0.15*B1300*5))^4/24)+(((0.15*B1300*5))^5/120))),0))+IF(Inputs!$B$3&gt;=54,9*(C1270=TRUE)*MIN(1,8*(1+Inputs!$B$34/100)*Q1270)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70">
      <c r="A1270">
        <f>Skills!A3</f>
        <v/>
      </c>
      <c r="B1270">
        <f>Skills!B3</f>
        <v/>
      </c>
      <c r="C1270">
        <f>Inputs!$B$3&gt;=33</f>
        <v/>
      </c>
      <c r="D1270">
        <f>IF(Skills!C3=1,60+Inputs!$B$25+Inputs!$B$29,IF(Skills!C3=2,90+Inputs!$B$26+Inputs!$B$29,IF(Skills!C3=3,120+Inputs!$B$27+Inputs!$B$29,MAX(0,(Inputs!$B$3-100)*3)+Inputs!$B$28+Inputs!$B$29)))</f>
        <v/>
      </c>
      <c r="E1270">
        <f>INDEX(FactorTable!$B$2:$Y$301, MATCH(ROUND(MIN(300,MAX(1,D1270)),0), FactorTable!$A$2:$A$301,0), Skills!M3+1)</f>
        <v/>
      </c>
      <c r="F1270">
        <f>IF(Skills!N3=TRUE,(Skills!L3/10)*(E1270/1000),Skills!L3/10)+Skills!O3</f>
        <v/>
      </c>
      <c r="G1270">
        <f>Skills!G3*IF(Skills!H3&gt;0,INT(IF(Inputs!$B$38="pvp",MIN(Skills!I3,15),Skills!I3)/Skills!H3+0.000000001),1)</f>
        <v/>
      </c>
      <c r="H1270">
        <f>1-(1-Skills!J3/100)^Skills!K3</f>
        <v/>
      </c>
      <c r="I1270" t="inlineStr">
        <is>
          <t>1</t>
        </is>
      </c>
      <c r="J1270">
        <f>((Inputs!$B$6*(1+Inputs!$B$7/100))+(((Inputs!$B$12*(1+Inputs!$B$13/100))-(Inputs!$B$12*(1+Inputs!$B$13/100)))+0.25*(Inputs!$B$14-Inputs!$B$14))*(1+Inputs!$B$7/100))*(F1270/100)</f>
        <v/>
      </c>
      <c r="K1270">
        <f>J1270*(1+((Inputs!$B$12*(1+Inputs!$B$13/100))*0.01+Inputs!$B$14*0.0025)/100)*(1+Inputs!$B$15/100)*(1+Inputs!$B$16/100)*(5000/(6000+Inputs!$B$42*(1-(100*(1-(1-(Inputs!$B$19+0)/100)*(1-CHOOSE(ArtifactsInput!$N$40+1,5,6,7,8,9,10)/100)^(ArtifactsInput!$M$40-ArtifactsInput!$M$40)))/100)))*(1+(Inputs!$B$24+((C1293=TRUE)*(F1293-Calc!F26))+B1304)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1282=TRUE,F1282,0)/100)*(1+(IF(Skills!A3="EIGHT_LEGS_EASTON",Inputs!$B$17+((C1290=TRUE)*(F1290-Calc!F23))+((C1294=TRUE)*(F1294-Calc!F27))+((IF(AND(Inputs!$B$38&lt;&gt;"pvp",Inputs!$B$43=0),1,IF(IF(Inputs!$B$38="pvp",15,Inputs!$B$43)-(B1305)&lt;=0,1,MAX(0,IF(Inputs!$B$38="pvp",15,Inputs!$B$43)-MAX(5,B1305))/(IF(Inputs!$B$38="pvp",15,Inputs!$B$43)-(B1305))))*(IF(AND(ArtifactsInput!$M$42,((Inputs!$B$9+((C1286=TRUE)*(F1286-Calc!F19))+B1298+(ArtifactsInput!$M$24-ArtifactsInput!$M$24)*CHOOSE(ArtifactsInput!$N$24+1,10,12,14,16,18,20)+IF(ArtifactsInput!$M$10,CHOOSE(ArtifactsInput!$N$10+1,15,18,21,24,27,30)*(IF(Inputs!$B$38="pvp",MIN(15,15)/15,IF(AND(Inputs!$B$38&lt;&gt;"pvp",Inputs!$B$43&gt;0),MIN(15,Inputs!$B$43)/(Inputs!$B$43),0))),0)))&gt;=100),MIN(100,((Inputs!$B$9+((C1286=TRUE)*(F1286-Calc!F19))+B1298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1305)&lt;=0,1,MAX(0,IF(Inputs!$B$38="pvp",15,Inputs!$B$43)-MAX(5,B1305))/(IF(Inputs!$B$38="pvp",15,Inputs!$B$43)-(B1305))))*IF(AND(ArtifactsInput!$M$42,((Inputs!$B$9+((C1286=TRUE)*(F1286-Calc!F19))+B1298+(ArtifactsInput!$M$24-ArtifactsInput!$M$24)*CHOOSE(ArtifactsInput!$N$24+1,10,12,14,16,18,20)+IF(ArtifactsInput!$M$10,CHOOSE(ArtifactsInput!$N$10+1,15,18,21,24,27,30)*(IF(Inputs!$B$38="pvp",MIN(15,15)/15,IF(AND(Inputs!$B$38&lt;&gt;"pvp",Inputs!$B$43&gt;0),MIN(15,Inputs!$B$43)/(Inputs!$B$43),0))),0)))&gt;=100),CHOOSE(ArtifactsInput!$N$42+1,40,48,56,64,72,80),0))))/100)*((1+(((C1284=TRUE)*F1284*5/7)+((C1291=TRUE)*(F1291-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IF(ArtifactsInput!$M$5,FALSE,TRUE),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1270)</f>
        <v/>
      </c>
      <c r="L1270">
        <f>K1270*(MIN(Inputs!$B$22+((C1289=TRUE)*(F1289-Calc!F22)),(Inputs!$B$23+0+(IF(ArtifactsInput!$M$15,CHOOSE(ArtifactsInput!$N$15+1,25,30,35,40,45,50)/100*(Inputs!$B$11-Inputs!$B$11),0))))/100+(Inputs!$B$23+0+(IF(ArtifactsInput!$M$15,CHOOSE(ArtifactsInput!$N$15+1,25,30,35,40,45,50)/100*(Inputs!$B$11-Inputs!$B$11),0)))/100)/2</f>
        <v/>
      </c>
      <c r="M1270">
        <f>L1270*(1+(Inputs!$B$10+((C1292=TRUE)*(F1292-Calc!F25))+B1303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70">
        <f>L1270*(1-MIN((Inputs!$B$9+((C1286=TRUE)*(F1286-Calc!F19))+B1298+(ArtifactsInput!$M$24-ArtifactsInput!$M$24)*CHOOSE(ArtifactsInput!$N$24+1,10,12,14,16,18,20)+(IF(AND(Inputs!$B$38&lt;&gt;"pvp",Inputs!$B$43=0),1,IF(IF(Inputs!$B$38="pvp",15,Inputs!$B$43)-(B1305)&lt;=0,1,MAX(0,IF(Inputs!$B$38="pvp",15,Inputs!$B$43)-MAX(5,B1305))/(IF(Inputs!$B$38="pvp",15,Inputs!$B$43)-(B1305))))*IF(AND(ArtifactsInput!$M$42,((Inputs!$B$9+((C1286=TRUE)*(F1286-Calc!F19))+B1298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1270*(MIN((Inputs!$B$9+((C1286=TRUE)*(F1286-Calc!F19))+B1298+(ArtifactsInput!$M$24-ArtifactsInput!$M$24)*CHOOSE(ArtifactsInput!$N$24+1,10,12,14,16,18,20)+(IF(AND(Inputs!$B$38&lt;&gt;"pvp",Inputs!$B$43=0),1,IF(IF(Inputs!$B$38="pvp",15,Inputs!$B$43)-(B1305)&lt;=0,1,MAX(0,IF(Inputs!$B$38="pvp",15,Inputs!$B$43)-MAX(5,B1305))/(IF(Inputs!$B$38="pvp",15,Inputs!$B$43)-(B1305))))*IF(AND(ArtifactsInput!$M$42,((Inputs!$B$9+((C1286=TRUE)*(F1286-Calc!F19))+B1298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70">
        <f>(1-Summary!$B$11)*T1270+Summary!$B$11*V1270</f>
        <v/>
      </c>
      <c r="P1270">
        <f>IF(B1308=0,0,O1270/B1308)</f>
        <v/>
      </c>
      <c r="Q1270">
        <f>IFERROR(1/(IF(Inputs!$B$38="pvp",15,MAX(0.1,Skills!D3-IF(TRUE=TRUE,Inputs!$B$32,0)))*(1-IF(AND(ArtifactsInput!$M$27,Inputs!$B$4="Chapter Hunt"),CHOOSE(ArtifactsInput!$N$27+1,20,24,28,32,36,40),0)/100)),0)</f>
        <v/>
      </c>
      <c r="R1270">
        <f>IF(AND(Inputs!$B$38&lt;&gt;"pvp",Inputs!$B$43&gt;0),IF(MAX(0,Inputs!$B$43-B1305)&lt;=0,0,(INT(MAX(0,Inputs!$B$43-B1305)/(IF(Inputs!$B$38="pvp",15,MAX(0.1,Skills!D3-IF(TRUE=TRUE,Inputs!$B$32,0)))*(1-IF(AND(ArtifactsInput!$M$27,Inputs!$B$4="Chapter Hunt"),CHOOSE(ArtifactsInput!$N$27+1,20,24,28,32,36,40),0)/100)))+1)),0)</f>
        <v/>
      </c>
      <c r="S1270">
        <f>IFERROR(O1270/N1270,0)</f>
        <v/>
      </c>
      <c r="T1270">
        <f>IF(C1270,(H1270*N1270*IF(AND(Inputs!$B$38&lt;&gt;"pvp",Inputs!$B$43&gt;0),((Skills!G3*((R1270-1)*IF(Skills!H3&gt;0,INT(Skills!I3/Skills!H3+0.000000001),1)+IF(Skills!H3&gt;0,INT(MIN(Skills!I3,MAX(0,MAX(0,Inputs!$B$43-B1305)-((R1270-1)*(IF(Inputs!$B$38="pvp",15,MAX(0.1,Skills!D3-IF(TRUE=TRUE,Inputs!$B$32,0)))*(1-IF(AND(ArtifactsInput!$M$27,Inputs!$B$4="Chapter Hunt"),CHOOSE(ArtifactsInput!$N$27+1,20,24,28,32,36,40),0)/100)))))/Skills!H3+0.000000001),1)))/Inputs!$B$43),G1270*Q1270))*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Hunt"),CHOOSE(ArtifactsInput!$N$35+1,15,18,21,24,27,30)*(1-EXP(-(0.2*B1300)*5)),0)+IF(AND(ArtifactsInput!$M$22,Inputs!$B$4&lt;&gt;"Chapter Hunt"),CHOOSE(ArtifactsInput!$N$22+1,10,12,14,16,18,20)*((0*(((0.15*B1300*5))^0/1)+1*(((0.15*B1300*5))^1/1)+2*(((0.15*B1300*5))^2/2)+3*(((0.15*B1300*5))^3/6)+4*(((0.15*B1300*5))^4/24)+5*(((0.15*B1300*5))^5/120))/((((0.15*B1300*5))^0/1)+(((0.15*B1300*5))^1/1)+(((0.15*B1300*5))^2/2)+(((0.15*B1300*5))^3/6)+(((0.15*B1300*5))^4/24)+(((0.15*B1300*5))^5/120))),0))+IF(Inputs!$B$3&gt;=54,9*(C1270=TRUE)*MIN(1,8*(1+Inputs!$B$34/100)*Q1270)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1270*(1-MIN(100,(Inputs!$B$9+((C1286=TRUE)*(F1286-Calc!F19))+B1298+(ArtifactsInput!$M$24-ArtifactsInput!$M$24)*CHOOSE(ArtifactsInput!$N$24+1,10,12,14,16,18,20)+(IF(AND(Inputs!$B$38&lt;&gt;"pvp",Inputs!$B$43=0),1,IF(IF(Inputs!$B$38="pvp",15,Inputs!$B$43)-(B1305)&lt;=0,1,MAX(0,IF(Inputs!$B$38="pvp",15,Inputs!$B$43)-MAX(5,B1305))/(IF(Inputs!$B$38="pvp",15,Inputs!$B$43)-(B1305))))*IF(AND(ArtifactsInput!$M$42,((Inputs!$B$9+((C1286=TRUE)*(F1286-Calc!F19))+B1298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1270*(MIN(100,(Inputs!$B$9+((C1286=TRUE)*(F1286-Calc!F19))+B1298+(ArtifactsInput!$M$24-ArtifactsInput!$M$24)*CHOOSE(ArtifactsInput!$N$24+1,10,12,14,16,18,20)+(IF(AND(Inputs!$B$38&lt;&gt;"pvp",Inputs!$B$43=0),1,IF(IF(Inputs!$B$38="pvp",15,Inputs!$B$43)-(B1305)&lt;=0,1,MAX(0,IF(Inputs!$B$38="pvp",15,Inputs!$B$43)-MAX(5,B1305))/(IF(Inputs!$B$38="pvp",15,Inputs!$B$43)-(B1305))))*IF(AND(ArtifactsInput!$M$42,((Inputs!$B$9+((C1286=TRUE)*(F1286-Calc!F19))+B1298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1270*(1-MIN(100,(Inputs!$B$9+((C1286=TRUE)*(F1286-Calc!F19))+B1298+(ArtifactsInput!$M$24-ArtifactsInput!$M$24)*CHOOSE(ArtifactsInput!$N$24+1,10,12,14,16,18,20)+(IF(AND(Inputs!$B$38&lt;&gt;"pvp",Inputs!$B$43=0),1,IF(IF(Inputs!$B$38="pvp",15,Inputs!$B$43)-(B1305)&lt;=0,1,MAX(0,IF(Inputs!$B$38="pvp",15,Inputs!$B$43)-MAX(5,B1305))/(IF(Inputs!$B$38="pvp",15,Inputs!$B$43)-(B1305))))*IF(AND(ArtifactsInput!$M$42,((Inputs!$B$9+((C1286=TRUE)*(F1286-Calc!F19))+B1298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1270*(MIN(100,(Inputs!$B$9+((C1286=TRUE)*(F1286-Calc!F19))+B1298+(ArtifactsInput!$M$24-ArtifactsInput!$M$24)*CHOOSE(ArtifactsInput!$N$24+1,10,12,14,16,18,20)+(IF(AND(Inputs!$B$38&lt;&gt;"pvp",Inputs!$B$43=0),1,IF(IF(Inputs!$B$38="pvp",15,Inputs!$B$43)-(B1305)&lt;=0,1,MAX(0,IF(Inputs!$B$38="pvp",15,Inputs!$B$43)-MAX(5,B1305))/(IF(Inputs!$B$38="pvp",15,Inputs!$B$43)-(B1305))))*IF(AND(ArtifactsInput!$M$42,((Inputs!$B$9+((C1286=TRUE)*(F1286-Calc!F19))+B1298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270">
        <f>INDEX(FactorTable!$B$2:$Y$301, MATCH(ROUND(MIN(300,MAX(1,U1269)),0), FactorTable!$A$2:$A$301,0), 22)</f>
        <v/>
      </c>
      <c r="V1270">
        <f>IF(C1270,(H1270*N1270*IF(AND(Inputs!$B$38&lt;&gt;"pvp",Inputs!$B$43&gt;0),((Skills!G3*((R1270-1)*IF(Skills!H3&gt;0,INT(Skills!I3/Skills!H3+0.000000001),1)+IF(Skills!H3&gt;0,INT(MIN(Skills!I3,MAX(0,MAX(0,Inputs!$B$43-B1305)-((R1270-1)*(IF(Inputs!$B$38="pvp",15,MAX(0.1,Skills!D3-IF(TRUE=TRUE,Inputs!$B$32,0)))*(1-IF(AND(ArtifactsInput!$M$27,Inputs!$B$4="Chapter Hunt"),CHOOSE(ArtifactsInput!$N$27+1,20,24,28,32,36,40),0)/100)))))/Skills!H3+0.000000001),1)))/Inputs!$B$43),G1270*Q1270))*IF(Inputs!$B$38="pvp",1,(1+(Inputs!$B$21+Skills!Q3+(IF(ArtifactsInput!$M$33,CHOOSE(ArtifactsInput!$N$33+1,30,36,42,48,54,60),0))+(IF(AND(ArtifactsInput!$M$35,Inputs!$B$4&lt;&gt;"Chapter Hunt"),CHOOSE(ArtifactsInput!$N$35+1,15,18,21,24,27,30)*(1-EXP(-(0.2*B1300)*5)),0)+IF(AND(ArtifactsInput!$M$22,Inputs!$B$4&lt;&gt;"Chapter Hunt"),CHOOSE(ArtifactsInput!$N$22+1,10,12,14,16,18,20)*((0*(((0.15*B1300*5))^0/1)+1*(((0.15*B1300*5))^1/1)+2*(((0.15*B1300*5))^2/2)+3*(((0.15*B1300*5))^3/6)+4*(((0.15*B1300*5))^4/24)+5*(((0.15*B1300*5))^5/120))/((((0.15*B1300*5))^0/1)+(((0.15*B1300*5))^1/1)+(((0.15*B1300*5))^2/2)+(((0.15*B1300*5))^3/6)+(((0.15*B1300*5))^4/24)+(((0.15*B1300*5))^5/120))),0))+IF(Inputs!$B$3&gt;=54,9*(C1270=TRUE)*MIN(1,8*(1+Inputs!$B$34/100)*Q1270)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71">
      <c r="A1271">
        <f>Skills!A4</f>
        <v/>
      </c>
      <c r="B1271">
        <f>Skills!B4</f>
        <v/>
      </c>
      <c r="C1271">
        <f>Inputs!$B$3&gt;=35</f>
        <v/>
      </c>
      <c r="D1271">
        <f>IF(Skills!C4=1,60+Inputs!$B$25+Inputs!$B$29,IF(Skills!C4=2,90+Inputs!$B$26+Inputs!$B$29,IF(Skills!C4=3,120+Inputs!$B$27+Inputs!$B$29,MAX(0,(Inputs!$B$3-100)*3)+Inputs!$B$28+Inputs!$B$29)))</f>
        <v/>
      </c>
      <c r="E1271">
        <f>INDEX(FactorTable!$B$2:$Y$301, MATCH(ROUND(MIN(300,MAX(1,D1271)),0), FactorTable!$A$2:$A$301,0), Skills!M4+1)</f>
        <v/>
      </c>
      <c r="F1271">
        <f>IF(Skills!N4=TRUE,(Skills!L4/10)*(E1271/1000),Skills!L4/10)+Skills!O4</f>
        <v/>
      </c>
      <c r="G1271">
        <f>Skills!G4*IF(Skills!H4&gt;0,INT(IF(Inputs!$B$38="pvp",MIN(IF(Inputs!$B$3&gt;=104,MIN(35,20*(1+Inputs!$B$34/100)),20),15),IF(Inputs!$B$3&gt;=104,MIN(35,20*(1+Inputs!$B$34/100)),20))/Skills!H4+0.000000001),1)</f>
        <v/>
      </c>
      <c r="H1271">
        <f>1-(1-Skills!J4/100)^Skills!K4</f>
        <v/>
      </c>
      <c r="I1271" t="inlineStr">
        <is>
          <t>1</t>
        </is>
      </c>
      <c r="J1271">
        <f>((Inputs!$B$6*(1+Inputs!$B$7/100))+(((Inputs!$B$12*(1+Inputs!$B$13/100))-(Inputs!$B$12*(1+Inputs!$B$13/100)))+0.25*(Inputs!$B$14-Inputs!$B$14))*(1+Inputs!$B$7/100))*(F1271/100)</f>
        <v/>
      </c>
      <c r="K1271">
        <f>J1271*(1+((Inputs!$B$12*(1+Inputs!$B$13/100))*0.01+Inputs!$B$14*0.0025)/100)*(1+Inputs!$B$15/100)*(1+Inputs!$B$16/100)*(5000/(6000+Inputs!$B$42*(1-(100*(1-(1-(Inputs!$B$19+0)/100)*(1-CHOOSE(ArtifactsInput!$N$40+1,5,6,7,8,9,10)/100)^(ArtifactsInput!$M$40-ArtifactsInput!$M$40)))/100)))*(1+(Inputs!$B$24+((C1293=TRUE)*(F1293-Calc!F26))+B1304)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1283=TRUE,F1283,0)/100)*(1+(IF(Skills!A4="EIGHT_LEGS_EASTON",Inputs!$B$17+((C1290=TRUE)*(F1290-Calc!F23))+((C1294=TRUE)*(F1294-Calc!F27))+((IF(AND(Inputs!$B$38&lt;&gt;"pvp",Inputs!$B$43=0),1,IF(IF(Inputs!$B$38="pvp",15,Inputs!$B$43)-(B1305)&lt;=0,1,MAX(0,IF(Inputs!$B$38="pvp",15,Inputs!$B$43)-MAX(5,B1305))/(IF(Inputs!$B$38="pvp",15,Inputs!$B$43)-(B1305))))*(IF(AND(ArtifactsInput!$M$42,((Inputs!$B$9+((C1286=TRUE)*(F1286-Calc!F19))+B1298+(ArtifactsInput!$M$24-ArtifactsInput!$M$24)*CHOOSE(ArtifactsInput!$N$24+1,10,12,14,16,18,20)+IF(ArtifactsInput!$M$10,CHOOSE(ArtifactsInput!$N$10+1,15,18,21,24,27,30)*(IF(Inputs!$B$38="pvp",MIN(15,15)/15,IF(AND(Inputs!$B$38&lt;&gt;"pvp",Inputs!$B$43&gt;0),MIN(15,Inputs!$B$43)/(Inputs!$B$43),0))),0)))&gt;=100),MIN(100,((Inputs!$B$9+((C1286=TRUE)*(F1286-Calc!F19))+B1298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1305)&lt;=0,1,MAX(0,IF(Inputs!$B$38="pvp",15,Inputs!$B$43)-MAX(5,B1305))/(IF(Inputs!$B$38="pvp",15,Inputs!$B$43)-(B1305))))*IF(AND(ArtifactsInput!$M$42,((Inputs!$B$9+((C1286=TRUE)*(F1286-Calc!F19))+B1298+(ArtifactsInput!$M$24-ArtifactsInput!$M$24)*CHOOSE(ArtifactsInput!$N$24+1,10,12,14,16,18,20)+IF(ArtifactsInput!$M$10,CHOOSE(ArtifactsInput!$N$10+1,15,18,21,24,27,30)*(IF(Inputs!$B$38="pvp",MIN(15,15)/15,IF(AND(Inputs!$B$38&lt;&gt;"pvp",Inputs!$B$43&gt;0),MIN(15,Inputs!$B$43)/(Inputs!$B$43),0))),0)))&gt;=100),CHOOSE(ArtifactsInput!$N$42+1,40,48,56,64,72,80),0))))/100)*((1+(((C1284=TRUE)*F1284*5/7)+((C1291=TRUE)*(F1291-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IF(ArtifactsInput!$M$5,FALSE,TRUE),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1271)</f>
        <v/>
      </c>
      <c r="L1271">
        <f>K1271*(MIN(Inputs!$B$22+((C1289=TRUE)*(F1289-Calc!F22)),(Inputs!$B$23+0+(IF(ArtifactsInput!$M$15,CHOOSE(ArtifactsInput!$N$15+1,25,30,35,40,45,50)/100*(Inputs!$B$11-Inputs!$B$11),0))))/100+(Inputs!$B$23+0+(IF(ArtifactsInput!$M$15,CHOOSE(ArtifactsInput!$N$15+1,25,30,35,40,45,50)/100*(Inputs!$B$11-Inputs!$B$11),0)))/100)/2</f>
        <v/>
      </c>
      <c r="M1271">
        <f>L1271*(1+(Inputs!$B$10+((C1292=TRUE)*(F1292-Calc!F25))+B1303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71">
        <f>L1271*(1-MIN((Inputs!$B$9+((C1286=TRUE)*(F1286-Calc!F19))+B1298+(ArtifactsInput!$M$24-ArtifactsInput!$M$24)*CHOOSE(ArtifactsInput!$N$24+1,10,12,14,16,18,20)+(IF(AND(Inputs!$B$38&lt;&gt;"pvp",Inputs!$B$43=0),1,IF(IF(Inputs!$B$38="pvp",15,Inputs!$B$43)-(B1305)&lt;=0,1,MAX(0,IF(Inputs!$B$38="pvp",15,Inputs!$B$43)-MAX(5,B1305))/(IF(Inputs!$B$38="pvp",15,Inputs!$B$43)-(B1305))))*IF(AND(ArtifactsInput!$M$42,((Inputs!$B$9+((C1286=TRUE)*(F1286-Calc!F19))+B1298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1271*(MIN((Inputs!$B$9+((C1286=TRUE)*(F1286-Calc!F19))+B1298+(ArtifactsInput!$M$24-ArtifactsInput!$M$24)*CHOOSE(ArtifactsInput!$N$24+1,10,12,14,16,18,20)+(IF(AND(Inputs!$B$38&lt;&gt;"pvp",Inputs!$B$43=0),1,IF(IF(Inputs!$B$38="pvp",15,Inputs!$B$43)-(B1305)&lt;=0,1,MAX(0,IF(Inputs!$B$38="pvp",15,Inputs!$B$43)-MAX(5,B1305))/(IF(Inputs!$B$38="pvp",15,Inputs!$B$43)-(B1305))))*IF(AND(ArtifactsInput!$M$42,((Inputs!$B$9+((C1286=TRUE)*(F1286-Calc!F19))+B1298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71">
        <f>(1-Summary!$B$11)*T1271+Summary!$B$11*V1271</f>
        <v/>
      </c>
      <c r="P1271">
        <f>IF(B1308=0,0,O1271/B1308)</f>
        <v/>
      </c>
      <c r="Q1271">
        <f>IFERROR(1/(IF(Inputs!$B$38="pvp",15,MAX(0.1,Skills!D4-IF(TRUE=TRUE,Inputs!$B$32,0)))*(1-IF(AND(ArtifactsInput!$M$27,Inputs!$B$4="Chapter Hunt"),CHOOSE(ArtifactsInput!$N$27+1,20,24,28,32,36,40),0)/100)),0)</f>
        <v/>
      </c>
      <c r="R1271">
        <f>IF(AND(Inputs!$B$38&lt;&gt;"pvp",Inputs!$B$43&gt;0),IF(MAX(0,Inputs!$B$43-B1305)&lt;=0,0,(INT(MAX(0,Inputs!$B$43-B1305)/(IF(Inputs!$B$38="pvp",15,MAX(0.1,Skills!D4-IF(TRUE=TRUE,Inputs!$B$32,0)))*(1-IF(AND(ArtifactsInput!$M$27,Inputs!$B$4="Chapter Hunt"),CHOOSE(ArtifactsInput!$N$27+1,20,24,28,32,36,40),0)/100)))+1)),0)</f>
        <v/>
      </c>
      <c r="S1271">
        <f>IFERROR(O1271/N1271,0)</f>
        <v/>
      </c>
      <c r="T1271">
        <f>IF(C1271,(H1271*N1271*IF(AND(Inputs!$B$38&lt;&gt;"pvp",Inputs!$B$43&gt;0),((Skills!G4*((R1271-1)*IF(Skills!H4&gt;0,INT(IF(Inputs!$B$3&gt;=104,MIN(35,20*(1+Inputs!$B$34/100)),20)/Skills!H4+0.000000001),1)+IF(Skills!H4&gt;0,INT(MIN(IF(Inputs!$B$3&gt;=104,MIN(35,20*(1+Inputs!$B$34/100)),20),MAX(0,MAX(0,Inputs!$B$43-B1305)-((R1271-1)*(IF(Inputs!$B$38="pvp",15,MAX(0.1,Skills!D4-IF(TRUE=TRUE,Inputs!$B$32,0)))*(1-IF(AND(ArtifactsInput!$M$27,Inputs!$B$4="Chapter Hunt"),CHOOSE(ArtifactsInput!$N$27+1,20,24,28,32,36,40),0)/100)))))/Skills!H4+0.000000001),1)))/Inputs!$B$43),G1271*Q1271))*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Hunt"),CHOOSE(ArtifactsInput!$N$35+1,15,18,21,24,27,30)*(1-EXP(-(0.2*B1300)*5)),0)+IF(AND(ArtifactsInput!$M$22,Inputs!$B$4&lt;&gt;"Chapter Hunt"),CHOOSE(ArtifactsInput!$N$22+1,10,12,14,16,18,20)*((0*(((0.15*B1300*5))^0/1)+1*(((0.15*B1300*5))^1/1)+2*(((0.15*B1300*5))^2/2)+3*(((0.15*B1300*5))^3/6)+4*(((0.15*B1300*5))^4/24)+5*(((0.15*B1300*5))^5/120))/((((0.15*B1300*5))^0/1)+(((0.15*B1300*5))^1/1)+(((0.15*B1300*5))^2/2)+(((0.15*B1300*5))^3/6)+(((0.15*B1300*5))^4/24)+(((0.15*B1300*5))^5/120))),0))+IF(Inputs!$B$3&gt;=54,9*(C1270=TRUE)*MIN(1,8*(1+Inputs!$B$34/100)*Q1270)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1271*(1-MIN(100,(Inputs!$B$9+((C1286=TRUE)*(F1286-Calc!F19))+B1298+(ArtifactsInput!$M$24-ArtifactsInput!$M$24)*CHOOSE(ArtifactsInput!$N$24+1,10,12,14,16,18,20)+(IF(AND(Inputs!$B$38&lt;&gt;"pvp",Inputs!$B$43=0),1,IF(IF(Inputs!$B$38="pvp",15,Inputs!$B$43)-(B1305)&lt;=0,1,MAX(0,IF(Inputs!$B$38="pvp",15,Inputs!$B$43)-MAX(5,B1305))/(IF(Inputs!$B$38="pvp",15,Inputs!$B$43)-(B1305))))*IF(AND(ArtifactsInput!$M$42,((Inputs!$B$9+((C1286=TRUE)*(F1286-Calc!F19))+B1298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1271*(MIN(100,(Inputs!$B$9+((C1286=TRUE)*(F1286-Calc!F19))+B1298+(ArtifactsInput!$M$24-ArtifactsInput!$M$24)*CHOOSE(ArtifactsInput!$N$24+1,10,12,14,16,18,20)+(IF(AND(Inputs!$B$38&lt;&gt;"pvp",Inputs!$B$43=0),1,IF(IF(Inputs!$B$38="pvp",15,Inputs!$B$43)-(B1305)&lt;=0,1,MAX(0,IF(Inputs!$B$38="pvp",15,Inputs!$B$43)-MAX(5,B1305))/(IF(Inputs!$B$38="pvp",15,Inputs!$B$43)-(B1305))))*IF(AND(ArtifactsInput!$M$42,((Inputs!$B$9+((C1286=TRUE)*(F1286-Calc!F19))+B1298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1271*(1-MIN(100,(Inputs!$B$9+((C1286=TRUE)*(F1286-Calc!F19))+B1298+(ArtifactsInput!$M$24-ArtifactsInput!$M$24)*CHOOSE(ArtifactsInput!$N$24+1,10,12,14,16,18,20)+(IF(AND(Inputs!$B$38&lt;&gt;"pvp",Inputs!$B$43=0),1,IF(IF(Inputs!$B$38="pvp",15,Inputs!$B$43)-(B1305)&lt;=0,1,MAX(0,IF(Inputs!$B$38="pvp",15,Inputs!$B$43)-MAX(5,B1305))/(IF(Inputs!$B$38="pvp",15,Inputs!$B$43)-(B1305))))*IF(AND(ArtifactsInput!$M$42,((Inputs!$B$9+((C1286=TRUE)*(F1286-Calc!F19))+B1298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1271*(MIN(100,(Inputs!$B$9+((C1286=TRUE)*(F1286-Calc!F19))+B1298+(ArtifactsInput!$M$24-ArtifactsInput!$M$24)*CHOOSE(ArtifactsInput!$N$24+1,10,12,14,16,18,20)+(IF(AND(Inputs!$B$38&lt;&gt;"pvp",Inputs!$B$43=0),1,IF(IF(Inputs!$B$38="pvp",15,Inputs!$B$43)-(B1305)&lt;=0,1,MAX(0,IF(Inputs!$B$38="pvp",15,Inputs!$B$43)-MAX(5,B1305))/(IF(Inputs!$B$38="pvp",15,Inputs!$B$43)-(B1305))))*IF(AND(ArtifactsInput!$M$42,((Inputs!$B$9+((C1286=TRUE)*(F1286-Calc!F19))+B1298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271">
        <f>290*U1270/1000</f>
        <v/>
      </c>
      <c r="V1271">
        <f>IF(C1271,(H1271*N1271*IF(AND(Inputs!$B$38&lt;&gt;"pvp",Inputs!$B$43&gt;0),((Skills!G4*((R1271-1)*IF(Skills!H4&gt;0,INT(IF(Inputs!$B$3&gt;=104,MIN(35,20*(1+Inputs!$B$34/100)),20)/Skills!H4+0.000000001),1)+IF(Skills!H4&gt;0,INT(MIN(IF(Inputs!$B$3&gt;=104,MIN(35,20*(1+Inputs!$B$34/100)),20),MAX(0,MAX(0,Inputs!$B$43-B1305)-((R1271-1)*(IF(Inputs!$B$38="pvp",15,MAX(0.1,Skills!D4-IF(TRUE=TRUE,Inputs!$B$32,0)))*(1-IF(AND(ArtifactsInput!$M$27,Inputs!$B$4="Chapter Hunt"),CHOOSE(ArtifactsInput!$N$27+1,20,24,28,32,36,40),0)/100)))))/Skills!H4+0.000000001),1)))/Inputs!$B$43),G1271*Q1271))*IF(Inputs!$B$38="pvp",1,(1+(Inputs!$B$21+Skills!Q4+(IF(ArtifactsInput!$M$33,CHOOSE(ArtifactsInput!$N$33+1,30,36,42,48,54,60),0))+(IF(AND(ArtifactsInput!$M$35,Inputs!$B$4&lt;&gt;"Chapter Hunt"),CHOOSE(ArtifactsInput!$N$35+1,15,18,21,24,27,30)*(1-EXP(-(0.2*B1300)*5)),0)+IF(AND(ArtifactsInput!$M$22,Inputs!$B$4&lt;&gt;"Chapter Hunt"),CHOOSE(ArtifactsInput!$N$22+1,10,12,14,16,18,20)*((0*(((0.15*B1300*5))^0/1)+1*(((0.15*B1300*5))^1/1)+2*(((0.15*B1300*5))^2/2)+3*(((0.15*B1300*5))^3/6)+4*(((0.15*B1300*5))^4/24)+5*(((0.15*B1300*5))^5/120))/((((0.15*B1300*5))^0/1)+(((0.15*B1300*5))^1/1)+(((0.15*B1300*5))^2/2)+(((0.15*B1300*5))^3/6)+(((0.15*B1300*5))^4/24)+(((0.15*B1300*5))^5/120))),0))+IF(Inputs!$B$3&gt;=54,9*(C1270=TRUE)*MIN(1,8*(1+Inputs!$B$34/100)*Q1270),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72">
      <c r="A1272">
        <f>Skills!A5</f>
        <v/>
      </c>
      <c r="B1272">
        <f>Skills!B5</f>
        <v/>
      </c>
      <c r="C1272">
        <f>Inputs!$B$3&gt;=69</f>
        <v/>
      </c>
      <c r="D1272">
        <f>IF(Skills!C5=1,60+Inputs!$B$25+Inputs!$B$29,IF(Skills!C5=2,90+Inputs!$B$26+Inputs!$B$29,IF(Skills!C5=3,120+Inputs!$B$27+Inputs!$B$29,MAX(0,(Inputs!$B$3-100)*3)+Inputs!$B$28+Inputs!$B$29)))</f>
        <v/>
      </c>
      <c r="E1272">
        <f>INDEX(FactorTable!$B$2:$Y$301, MATCH(ROUND(MIN(300,MAX(1,D1272)),0), FactorTable!$A$2:$A$301,0), Skills!M5+1)</f>
        <v/>
      </c>
      <c r="F1272">
        <f>IF(Skills!N5=TRUE,(Skills!L5/10)*(E1272/1000),Skills!L5/10)+Skills!O5</f>
        <v/>
      </c>
      <c r="G1272">
        <f>Skills!G5*IF(Skills!H5&gt;0,INT(IF(Inputs!$B$38="pvp",MIN(IF(Inputs!$B$3&gt;=104,MIN(35,20*(1+Inputs!$B$34/100)),20),15),IF(Inputs!$B$3&gt;=104,MIN(35,20*(1+Inputs!$B$34/100)),20))/Skills!H5+0.000000001),1)</f>
        <v/>
      </c>
      <c r="H1272">
        <f>1-(1-Skills!J5/100)^Skills!K5</f>
        <v/>
      </c>
      <c r="I1272" t="inlineStr">
        <is>
          <t>1</t>
        </is>
      </c>
      <c r="J1272">
        <f>((Inputs!$B$6*(1+Inputs!$B$7/100))+(((Inputs!$B$12*(1+Inputs!$B$13/100))-(Inputs!$B$12*(1+Inputs!$B$13/100)))+0.25*(Inputs!$B$14-Inputs!$B$14))*(1+Inputs!$B$7/100))*(F1272/100)</f>
        <v/>
      </c>
      <c r="K1272">
        <f>J1272*(1+((Inputs!$B$12*(1+Inputs!$B$13/100))*0.01+Inputs!$B$14*0.0025)/100)*(1+Inputs!$B$15/100)*(1+Inputs!$B$16/100)*(5000/(6000+Inputs!$B$42*(1-(100*(1-(1-(Inputs!$B$19+0)/100)*(1-CHOOSE(ArtifactsInput!$N$40+1,5,6,7,8,9,10)/100)^(ArtifactsInput!$M$40-ArtifactsInput!$M$40)))/100)))*(1+(Inputs!$B$24+((C1293=TRUE)*(F1293-Calc!F26))+B1304)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+0.4*IF(C1283=TRUE,F1283,0)/100)*(1+(IF(Skills!A5="EIGHT_LEGS_EASTON",Inputs!$B$17+((C1290=TRUE)*(F1290-Calc!F23))+((C1294=TRUE)*(F1294-Calc!F27))+((IF(AND(Inputs!$B$38&lt;&gt;"pvp",Inputs!$B$43=0),1,IF(IF(Inputs!$B$38="pvp",15,Inputs!$B$43)-(B1305)&lt;=0,1,MAX(0,IF(Inputs!$B$38="pvp",15,Inputs!$B$43)-MAX(5,B1305))/(IF(Inputs!$B$38="pvp",15,Inputs!$B$43)-(B1305))))*(IF(AND(ArtifactsInput!$M$42,((Inputs!$B$9+((C1286=TRUE)*(F1286-Calc!F19))+B1298+(ArtifactsInput!$M$24-ArtifactsInput!$M$24)*CHOOSE(ArtifactsInput!$N$24+1,10,12,14,16,18,20)+IF(ArtifactsInput!$M$10,CHOOSE(ArtifactsInput!$N$10+1,15,18,21,24,27,30)*(IF(Inputs!$B$38="pvp",MIN(15,15)/15,IF(AND(Inputs!$B$38&lt;&gt;"pvp",Inputs!$B$43&gt;0),MIN(15,Inputs!$B$43)/(Inputs!$B$43),0))),0)))&gt;=100),MIN(100,((Inputs!$B$9+((C1286=TRUE)*(F1286-Calc!F19))+B1298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1305)&lt;=0,1,MAX(0,IF(Inputs!$B$38="pvp",15,Inputs!$B$43)-MAX(5,B1305))/(IF(Inputs!$B$38="pvp",15,Inputs!$B$43)-(B1305))))*IF(AND(ArtifactsInput!$M$42,((Inputs!$B$9+((C1286=TRUE)*(F1286-Calc!F19))+B1298+(ArtifactsInput!$M$24-ArtifactsInput!$M$24)*CHOOSE(ArtifactsInput!$N$24+1,10,12,14,16,18,20)+IF(ArtifactsInput!$M$10,CHOOSE(ArtifactsInput!$N$10+1,15,18,21,24,27,30)*(IF(Inputs!$B$38="pvp",MIN(15,15)/15,IF(AND(Inputs!$B$38&lt;&gt;"pvp",Inputs!$B$43&gt;0),MIN(15,Inputs!$B$43)/(Inputs!$B$43),0))),0)))&gt;=100),CHOOSE(ArtifactsInput!$N$42+1,40,48,56,64,72,80),0))))/100)*((1+(((C1284=TRUE)*F1284*5/7)+((C1291=TRUE)*(F1291-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IF(ArtifactsInput!$M$5,FALSE,TRUE),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1272)</f>
        <v/>
      </c>
      <c r="L1272">
        <f>K1272*(MIN(Inputs!$B$22+((C1289=TRUE)*(F1289-Calc!F22)),(Inputs!$B$23+0+(IF(ArtifactsInput!$M$15,CHOOSE(ArtifactsInput!$N$15+1,25,30,35,40,45,50)/100*(Inputs!$B$11-Inputs!$B$11),0))))/100+(Inputs!$B$23+0+(IF(ArtifactsInput!$M$15,CHOOSE(ArtifactsInput!$N$15+1,25,30,35,40,45,50)/100*(Inputs!$B$11-Inputs!$B$11),0)))/100)/2</f>
        <v/>
      </c>
      <c r="M1272">
        <f>L1272*(1+(Inputs!$B$10+((C1292=TRUE)*(F1292-Calc!F25))+B1303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72">
        <f>L1272*(1-MIN((Inputs!$B$9+((C1286=TRUE)*(F1286-Calc!F19))+B1298+(ArtifactsInput!$M$24-ArtifactsInput!$M$24)*CHOOSE(ArtifactsInput!$N$24+1,10,12,14,16,18,20)+(IF(AND(Inputs!$B$38&lt;&gt;"pvp",Inputs!$B$43=0),1,IF(IF(Inputs!$B$38="pvp",15,Inputs!$B$43)-(B1305)&lt;=0,1,MAX(0,IF(Inputs!$B$38="pvp",15,Inputs!$B$43)-MAX(5,B1305))/(IF(Inputs!$B$38="pvp",15,Inputs!$B$43)-(B1305))))*IF(AND(ArtifactsInput!$M$42,((Inputs!$B$9+((C1286=TRUE)*(F1286-Calc!F19))+B1298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1272*(MIN((Inputs!$B$9+((C1286=TRUE)*(F1286-Calc!F19))+B1298+(ArtifactsInput!$M$24-ArtifactsInput!$M$24)*CHOOSE(ArtifactsInput!$N$24+1,10,12,14,16,18,20)+(IF(AND(Inputs!$B$38&lt;&gt;"pvp",Inputs!$B$43=0),1,IF(IF(Inputs!$B$38="pvp",15,Inputs!$B$43)-(B1305)&lt;=0,1,MAX(0,IF(Inputs!$B$38="pvp",15,Inputs!$B$43)-MAX(5,B1305))/(IF(Inputs!$B$38="pvp",15,Inputs!$B$43)-(B1305))))*IF(AND(ArtifactsInput!$M$42,((Inputs!$B$9+((C1286=TRUE)*(F1286-Calc!F19))+B1298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72">
        <f>(1-Summary!$B$11)*T1272+Summary!$B$11*V1272</f>
        <v/>
      </c>
      <c r="P1272">
        <f>IF(B1308=0,0,O1272/B1308)</f>
        <v/>
      </c>
      <c r="Q1272">
        <f>IFERROR(1/(IF(Inputs!$B$38="pvp",15,MAX(0.1,Skills!D5-IF(TRUE=TRUE,Inputs!$B$32,0)))*(1-IF(AND(ArtifactsInput!$M$27,Inputs!$B$4="Chapter Hunt"),CHOOSE(ArtifactsInput!$N$27+1,20,24,28,32,36,40),0)/100)),0)</f>
        <v/>
      </c>
      <c r="R1272">
        <f>IF(AND(Inputs!$B$38&lt;&gt;"pvp",Inputs!$B$43&gt;0),IF(MAX(0,Inputs!$B$43-B1305)&lt;=0,0,(INT(MAX(0,Inputs!$B$43-B1305)/(IF(Inputs!$B$38="pvp",15,MAX(0.1,Skills!D5-IF(TRUE=TRUE,Inputs!$B$32,0)))*(1-IF(AND(ArtifactsInput!$M$27,Inputs!$B$4="Chapter Hunt"),CHOOSE(ArtifactsInput!$N$27+1,20,24,28,32,36,40),0)/100)))+1)),0)</f>
        <v/>
      </c>
      <c r="S1272">
        <f>IFERROR(O1272/N1272,0)</f>
        <v/>
      </c>
      <c r="T1272">
        <f>IF(C1272,(H1272*N1272*IF(AND(Inputs!$B$38&lt;&gt;"pvp",Inputs!$B$43&gt;0),((Skills!G5*((R1272-1)*IF(Skills!H5&gt;0,INT(IF(Inputs!$B$3&gt;=104,MIN(35,20*(1+Inputs!$B$34/100)),20)/Skills!H5+0.000000001),1)+IF(Skills!H5&gt;0,INT(MIN(IF(Inputs!$B$3&gt;=104,MIN(35,20*(1+Inputs!$B$34/100)),20),MAX(0,MAX(0,Inputs!$B$43-B1305)-((R1272-1)*(IF(Inputs!$B$38="pvp",15,MAX(0.1,Skills!D5-IF(TRUE=TRUE,Inputs!$B$32,0)))*(1-IF(AND(ArtifactsInput!$M$27,Inputs!$B$4="Chapter Hunt"),CHOOSE(ArtifactsInput!$N$27+1,20,24,28,32,36,40),0)/100)))))/Skills!H5+0.000000001),1)))/Inputs!$B$43),G1272*Q1272))*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Hunt"),CHOOSE(ArtifactsInput!$N$35+1,15,18,21,24,27,30)*(1-EXP(-(0.2*B1300)*5)),0)+IF(AND(ArtifactsInput!$M$22,Inputs!$B$4&lt;&gt;"Chapter Hunt"),CHOOSE(ArtifactsInput!$N$22+1,10,12,14,16,18,20)*((0*(((0.15*B1300*5))^0/1)+1*(((0.15*B1300*5))^1/1)+2*(((0.15*B1300*5))^2/2)+3*(((0.15*B1300*5))^3/6)+4*(((0.15*B1300*5))^4/24)+5*(((0.15*B1300*5))^5/120))/((((0.15*B1300*5))^0/1)+(((0.15*B1300*5))^1/1)+(((0.15*B1300*5))^2/2)+(((0.15*B1300*5))^3/6)+(((0.15*B1300*5))^4/24)+(((0.15*B1300*5))^5/120))),0))+IF(Inputs!$B$3&gt;=54,9*(C1270=TRUE)*MIN(1,8*(1+Inputs!$B$34/100)*Q1270)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1272*(1-MIN(100,(Inputs!$B$9+((C1286=TRUE)*(F1286-Calc!F19))+B1298+(ArtifactsInput!$M$24-ArtifactsInput!$M$24)*CHOOSE(ArtifactsInput!$N$24+1,10,12,14,16,18,20)+(IF(AND(Inputs!$B$38&lt;&gt;"pvp",Inputs!$B$43=0),1,IF(IF(Inputs!$B$38="pvp",15,Inputs!$B$43)-(B1305)&lt;=0,1,MAX(0,IF(Inputs!$B$38="pvp",15,Inputs!$B$43)-MAX(5,B1305))/(IF(Inputs!$B$38="pvp",15,Inputs!$B$43)-(B1305))))*IF(AND(ArtifactsInput!$M$42,((Inputs!$B$9+((C1286=TRUE)*(F1286-Calc!F19))+B1298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1272*(MIN(100,(Inputs!$B$9+((C1286=TRUE)*(F1286-Calc!F19))+B1298+(ArtifactsInput!$M$24-ArtifactsInput!$M$24)*CHOOSE(ArtifactsInput!$N$24+1,10,12,14,16,18,20)+(IF(AND(Inputs!$B$38&lt;&gt;"pvp",Inputs!$B$43=0),1,IF(IF(Inputs!$B$38="pvp",15,Inputs!$B$43)-(B1305)&lt;=0,1,MAX(0,IF(Inputs!$B$38="pvp",15,Inputs!$B$43)-MAX(5,B1305))/(IF(Inputs!$B$38="pvp",15,Inputs!$B$43)-(B1305))))*IF(AND(ArtifactsInput!$M$42,((Inputs!$B$9+((C1286=TRUE)*(F1286-Calc!F19))+B1298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1272*(1-MIN(100,(Inputs!$B$9+((C1286=TRUE)*(F1286-Calc!F19))+B1298+(ArtifactsInput!$M$24-ArtifactsInput!$M$24)*CHOOSE(ArtifactsInput!$N$24+1,10,12,14,16,18,20)+(IF(AND(Inputs!$B$38&lt;&gt;"pvp",Inputs!$B$43=0),1,IF(IF(Inputs!$B$38="pvp",15,Inputs!$B$43)-(B1305)&lt;=0,1,MAX(0,IF(Inputs!$B$38="pvp",15,Inputs!$B$43)-MAX(5,B1305))/(IF(Inputs!$B$38="pvp",15,Inputs!$B$43)-(B1305))))*IF(AND(ArtifactsInput!$M$42,((Inputs!$B$9+((C1286=TRUE)*(F1286-Calc!F19))+B1298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1272*(MIN(100,(Inputs!$B$9+((C1286=TRUE)*(F1286-Calc!F19))+B1298+(ArtifactsInput!$M$24-ArtifactsInput!$M$24)*CHOOSE(ArtifactsInput!$N$24+1,10,12,14,16,18,20)+(IF(AND(Inputs!$B$38&lt;&gt;"pvp",Inputs!$B$43=0),1,IF(IF(Inputs!$B$38="pvp",15,Inputs!$B$43)-(B1305)&lt;=0,1,MAX(0,IF(Inputs!$B$38="pvp",15,Inputs!$B$43)-MAX(5,B1305))/(IF(Inputs!$B$38="pvp",15,Inputs!$B$43)-(B1305))))*IF(AND(ArtifactsInput!$M$42,((Inputs!$B$9+((C1286=TRUE)*(F1286-Calc!F19))+B1298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72">
        <f>IF(C1272,(H1272*N1272*IF(AND(Inputs!$B$38&lt;&gt;"pvp",Inputs!$B$43&gt;0),((Skills!G5*((R1272-1)*IF(Skills!H5&gt;0,INT(IF(Inputs!$B$3&gt;=104,MIN(35,20*(1+Inputs!$B$34/100)),20)/Skills!H5+0.000000001),1)+IF(Skills!H5&gt;0,INT(MIN(IF(Inputs!$B$3&gt;=104,MIN(35,20*(1+Inputs!$B$34/100)),20),MAX(0,MAX(0,Inputs!$B$43-B1305)-((R1272-1)*(IF(Inputs!$B$38="pvp",15,MAX(0.1,Skills!D5-IF(TRUE=TRUE,Inputs!$B$32,0)))*(1-IF(AND(ArtifactsInput!$M$27,Inputs!$B$4="Chapter Hunt"),CHOOSE(ArtifactsInput!$N$27+1,20,24,28,32,36,40),0)/100)))))/Skills!H5+0.000000001),1)))/Inputs!$B$43),G1272*Q1272))*IF(Inputs!$B$38="pvp",1,(1+(Inputs!$B$21+Skills!Q5+(IF(ArtifactsInput!$M$33,CHOOSE(ArtifactsInput!$N$33+1,30,36,42,48,54,60),0))+(IF(AND(ArtifactsInput!$M$35,Inputs!$B$4&lt;&gt;"Chapter Hunt"),CHOOSE(ArtifactsInput!$N$35+1,15,18,21,24,27,30)*(1-EXP(-(0.2*B1300)*5)),0)+IF(AND(ArtifactsInput!$M$22,Inputs!$B$4&lt;&gt;"Chapter Hunt"),CHOOSE(ArtifactsInput!$N$22+1,10,12,14,16,18,20)*((0*(((0.15*B1300*5))^0/1)+1*(((0.15*B1300*5))^1/1)+2*(((0.15*B1300*5))^2/2)+3*(((0.15*B1300*5))^3/6)+4*(((0.15*B1300*5))^4/24)+5*(((0.15*B1300*5))^5/120))/((((0.15*B1300*5))^0/1)+(((0.15*B1300*5))^1/1)+(((0.15*B1300*5))^2/2)+(((0.15*B1300*5))^3/6)+(((0.15*B1300*5))^4/24)+(((0.15*B1300*5))^5/120))),0))+IF(Inputs!$B$3&gt;=54,9*(C1270=TRUE)*MIN(1,8*(1+Inputs!$B$34/100)*Q1270)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73">
      <c r="A1273">
        <f>Skills!A6</f>
        <v/>
      </c>
      <c r="B1273">
        <f>Skills!B6</f>
        <v/>
      </c>
      <c r="C1273">
        <f>Inputs!$B$3&gt;=66</f>
        <v/>
      </c>
      <c r="D1273">
        <f>IF(Skills!C6=1,60+Inputs!$B$25+Inputs!$B$29,IF(Skills!C6=2,90+Inputs!$B$26+Inputs!$B$29,IF(Skills!C6=3,120+Inputs!$B$27+Inputs!$B$29,MAX(0,(Inputs!$B$3-100)*3)+Inputs!$B$28+Inputs!$B$29)))</f>
        <v/>
      </c>
      <c r="E1273">
        <f>INDEX(FactorTable!$B$2:$Y$301, MATCH(ROUND(MIN(300,MAX(1,D1273)),0), FactorTable!$A$2:$A$301,0), Skills!M6+1)</f>
        <v/>
      </c>
      <c r="F1273">
        <f>IF(Skills!N6=TRUE,(Skills!L6/10)*(E1273/1000),Skills!L6/10)+Skills!O6</f>
        <v/>
      </c>
      <c r="G1273">
        <f>Skills!G6*IF(Skills!H6&gt;0,INT(IF(Inputs!$B$38="pvp",MIN(Skills!I6,15),Skills!I6)/Skills!H6+0.000000001),1)</f>
        <v/>
      </c>
      <c r="H1273">
        <f>1-(1-Skills!J6/100)^Skills!K6</f>
        <v/>
      </c>
      <c r="I1273" t="inlineStr">
        <is>
          <t>1</t>
        </is>
      </c>
      <c r="J1273">
        <f>((Inputs!$B$6*(1+Inputs!$B$7/100))+(((Inputs!$B$12*(1+Inputs!$B$13/100))-(Inputs!$B$12*(1+Inputs!$B$13/100)))+0.25*(Inputs!$B$14-Inputs!$B$14))*(1+Inputs!$B$7/100))*(F1273/100)</f>
        <v/>
      </c>
      <c r="K1273">
        <f>J1273*(1+((Inputs!$B$12*(1+Inputs!$B$13/100))*0.01+Inputs!$B$14*0.0025)/100)*(1+Inputs!$B$15/100)*(1+Inputs!$B$16/100)*(5000/(6000+Inputs!$B$42*(1-(100*(1-(1-(Inputs!$B$19+0)/100)*(1-CHOOSE(ArtifactsInput!$N$40+1,5,6,7,8,9,10)/100)^(ArtifactsInput!$M$40-ArtifactsInput!$M$40)))/100)))*(1+(Inputs!$B$24+((C1293=TRUE)*(F1293-Calc!F26))+B1304)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+2.0*IF(C1282=TRUE,F1282,0)/100)*(1+(IF(Skills!A6="EIGHT_LEGS_EASTON",Inputs!$B$17+((C1290=TRUE)*(F1290-Calc!F23))+((C1294=TRUE)*(F1294-Calc!F27))+((IF(AND(Inputs!$B$38&lt;&gt;"pvp",Inputs!$B$43=0),1,IF(IF(Inputs!$B$38="pvp",15,Inputs!$B$43)-(B1305)&lt;=0,1,MAX(0,IF(Inputs!$B$38="pvp",15,Inputs!$B$43)-MAX(5,B1305))/(IF(Inputs!$B$38="pvp",15,Inputs!$B$43)-(B1305))))*(IF(AND(ArtifactsInput!$M$42,((Inputs!$B$9+((C1286=TRUE)*(F1286-Calc!F19))+B1298+(ArtifactsInput!$M$24-ArtifactsInput!$M$24)*CHOOSE(ArtifactsInput!$N$24+1,10,12,14,16,18,20)+IF(ArtifactsInput!$M$10,CHOOSE(ArtifactsInput!$N$10+1,15,18,21,24,27,30)*(IF(Inputs!$B$38="pvp",MIN(15,15)/15,IF(AND(Inputs!$B$38&lt;&gt;"pvp",Inputs!$B$43&gt;0),MIN(15,Inputs!$B$43)/(Inputs!$B$43),0))),0)))&gt;=100),MIN(100,((Inputs!$B$9+((C1286=TRUE)*(F1286-Calc!F19))+B1298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1305)&lt;=0,1,MAX(0,IF(Inputs!$B$38="pvp",15,Inputs!$B$43)-MAX(5,B1305))/(IF(Inputs!$B$38="pvp",15,Inputs!$B$43)-(B1305))))*IF(AND(ArtifactsInput!$M$42,((Inputs!$B$9+((C1286=TRUE)*(F1286-Calc!F19))+B1298+(ArtifactsInput!$M$24-ArtifactsInput!$M$24)*CHOOSE(ArtifactsInput!$N$24+1,10,12,14,16,18,20)+IF(ArtifactsInput!$M$10,CHOOSE(ArtifactsInput!$N$10+1,15,18,21,24,27,30)*(IF(Inputs!$B$38="pvp",MIN(15,15)/15,IF(AND(Inputs!$B$38&lt;&gt;"pvp",Inputs!$B$43&gt;0),MIN(15,Inputs!$B$43)/(Inputs!$B$43),0))),0)))&gt;=100),CHOOSE(ArtifactsInput!$N$42+1,40,48,56,64,72,80),0))))/100)*((1+(((C1284=TRUE)*F1284*5/7)+((C1291=TRUE)*(F1291-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IF(ArtifactsInput!$M$5,FALSE,TRUE),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1273)</f>
        <v/>
      </c>
      <c r="L1273">
        <f>K1273*(MIN(Inputs!$B$22+((C1289=TRUE)*(F1289-Calc!F22)),(Inputs!$B$23+0+(IF(ArtifactsInput!$M$15,CHOOSE(ArtifactsInput!$N$15+1,25,30,35,40,45,50)/100*(Inputs!$B$11-Inputs!$B$11),0))))/100+(Inputs!$B$23+0+(IF(ArtifactsInput!$M$15,CHOOSE(ArtifactsInput!$N$15+1,25,30,35,40,45,50)/100*(Inputs!$B$11-Inputs!$B$11),0)))/100)/2</f>
        <v/>
      </c>
      <c r="M1273">
        <f>L1273*(1+(Inputs!$B$10+((C1292=TRUE)*(F1292-Calc!F25))+B1303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73">
        <f>L1273*(1-MIN((Inputs!$B$9+((C1286=TRUE)*(F1286-Calc!F19))+B1298+(ArtifactsInput!$M$24-ArtifactsInput!$M$24)*CHOOSE(ArtifactsInput!$N$24+1,10,12,14,16,18,20)+(IF(AND(Inputs!$B$38&lt;&gt;"pvp",Inputs!$B$43=0),1,IF(IF(Inputs!$B$38="pvp",15,Inputs!$B$43)-(B1305)&lt;=0,1,MAX(0,IF(Inputs!$B$38="pvp",15,Inputs!$B$43)-MAX(5,B1305))/(IF(Inputs!$B$38="pvp",15,Inputs!$B$43)-(B1305))))*IF(AND(ArtifactsInput!$M$42,((Inputs!$B$9+((C1286=TRUE)*(F1286-Calc!F19))+B1298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1273*(MIN((Inputs!$B$9+((C1286=TRUE)*(F1286-Calc!F19))+B1298+(ArtifactsInput!$M$24-ArtifactsInput!$M$24)*CHOOSE(ArtifactsInput!$N$24+1,10,12,14,16,18,20)+(IF(AND(Inputs!$B$38&lt;&gt;"pvp",Inputs!$B$43=0),1,IF(IF(Inputs!$B$38="pvp",15,Inputs!$B$43)-(B1305)&lt;=0,1,MAX(0,IF(Inputs!$B$38="pvp",15,Inputs!$B$43)-MAX(5,B1305))/(IF(Inputs!$B$38="pvp",15,Inputs!$B$43)-(B1305))))*IF(AND(ArtifactsInput!$M$42,((Inputs!$B$9+((C1286=TRUE)*(F1286-Calc!F19))+B1298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73">
        <f>(1-Summary!$B$11)*T1273+Summary!$B$11*V1273</f>
        <v/>
      </c>
      <c r="P1273">
        <f>IF(B1308=0,0,O1273/B1308)</f>
        <v/>
      </c>
      <c r="Q1273">
        <f>IFERROR(1/(IF(Inputs!$B$38="pvp",15,MAX(0.1,Skills!D6-IF(TRUE=TRUE,Inputs!$B$32,0)))*(1-IF(AND(ArtifactsInput!$M$27,Inputs!$B$4="Chapter Hunt"),CHOOSE(ArtifactsInput!$N$27+1,20,24,28,32,36,40),0)/100)),0)</f>
        <v/>
      </c>
      <c r="R1273">
        <f>IF(AND(Inputs!$B$38&lt;&gt;"pvp",Inputs!$B$43&gt;0),IF(MAX(0,Inputs!$B$43-B1305)&lt;=0,0,(INT(MAX(0,Inputs!$B$43-B1305)/(IF(Inputs!$B$38="pvp",15,MAX(0.1,Skills!D6-IF(TRUE=TRUE,Inputs!$B$32,0)))*(1-IF(AND(ArtifactsInput!$M$27,Inputs!$B$4="Chapter Hunt"),CHOOSE(ArtifactsInput!$N$27+1,20,24,28,32,36,40),0)/100)))+1)),0)</f>
        <v/>
      </c>
      <c r="S1273">
        <f>IFERROR(O1273/N1273,0)</f>
        <v/>
      </c>
      <c r="T1273">
        <f>IF(C1273,(H1273*N1273*IF(AND(Inputs!$B$38&lt;&gt;"pvp",Inputs!$B$43&gt;0),((Skills!G6*((R1273-1)*IF(Skills!H6&gt;0,INT(Skills!I6/Skills!H6+0.000000001),1)+IF(Skills!H6&gt;0,INT(MIN(Skills!I6,MAX(0,MAX(0,Inputs!$B$43-B1305)-((R1273-1)*(IF(Inputs!$B$38="pvp",15,MAX(0.1,Skills!D6-IF(TRUE=TRUE,Inputs!$B$32,0)))*(1-IF(AND(ArtifactsInput!$M$27,Inputs!$B$4="Chapter Hunt"),CHOOSE(ArtifactsInput!$N$27+1,20,24,28,32,36,40),0)/100)))))/Skills!H6+0.000000001),1)))/Inputs!$B$43),G1273*Q1273))*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Hunt"),CHOOSE(ArtifactsInput!$N$35+1,15,18,21,24,27,30)*(1-EXP(-(0.2*B1300)*5)),0)+IF(AND(ArtifactsInput!$M$22,Inputs!$B$4&lt;&gt;"Chapter Hunt"),CHOOSE(ArtifactsInput!$N$22+1,10,12,14,16,18,20)*((0*(((0.15*B1300*5))^0/1)+1*(((0.15*B1300*5))^1/1)+2*(((0.15*B1300*5))^2/2)+3*(((0.15*B1300*5))^3/6)+4*(((0.15*B1300*5))^4/24)+5*(((0.15*B1300*5))^5/120))/((((0.15*B1300*5))^0/1)+(((0.15*B1300*5))^1/1)+(((0.15*B1300*5))^2/2)+(((0.15*B1300*5))^3/6)+(((0.15*B1300*5))^4/24)+(((0.15*B1300*5))^5/120))),0))+IF(Inputs!$B$3&gt;=54,9*(C1270=TRUE)*MIN(1,8*(1+Inputs!$B$34/100)*Q1270)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1273*(1-MIN(100,(Inputs!$B$9+((C1286=TRUE)*(F1286-Calc!F19))+B1298+(ArtifactsInput!$M$24-ArtifactsInput!$M$24)*CHOOSE(ArtifactsInput!$N$24+1,10,12,14,16,18,20)+(IF(AND(Inputs!$B$38&lt;&gt;"pvp",Inputs!$B$43=0),1,IF(IF(Inputs!$B$38="pvp",15,Inputs!$B$43)-(B1305)&lt;=0,1,MAX(0,IF(Inputs!$B$38="pvp",15,Inputs!$B$43)-MAX(5,B1305))/(IF(Inputs!$B$38="pvp",15,Inputs!$B$43)-(B1305))))*IF(AND(ArtifactsInput!$M$42,((Inputs!$B$9+((C1286=TRUE)*(F1286-Calc!F19))+B1298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1273*(MIN(100,(Inputs!$B$9+((C1286=TRUE)*(F1286-Calc!F19))+B1298+(ArtifactsInput!$M$24-ArtifactsInput!$M$24)*CHOOSE(ArtifactsInput!$N$24+1,10,12,14,16,18,20)+(IF(AND(Inputs!$B$38&lt;&gt;"pvp",Inputs!$B$43=0),1,IF(IF(Inputs!$B$38="pvp",15,Inputs!$B$43)-(B1305)&lt;=0,1,MAX(0,IF(Inputs!$B$38="pvp",15,Inputs!$B$43)-MAX(5,B1305))/(IF(Inputs!$B$38="pvp",15,Inputs!$B$43)-(B1305))))*IF(AND(ArtifactsInput!$M$42,((Inputs!$B$9+((C1286=TRUE)*(F1286-Calc!F19))+B1298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1273*(1-MIN(100,(Inputs!$B$9+((C1286=TRUE)*(F1286-Calc!F19))+B1298+(ArtifactsInput!$M$24-ArtifactsInput!$M$24)*CHOOSE(ArtifactsInput!$N$24+1,10,12,14,16,18,20)+(IF(AND(Inputs!$B$38&lt;&gt;"pvp",Inputs!$B$43=0),1,IF(IF(Inputs!$B$38="pvp",15,Inputs!$B$43)-(B1305)&lt;=0,1,MAX(0,IF(Inputs!$B$38="pvp",15,Inputs!$B$43)-MAX(5,B1305))/(IF(Inputs!$B$38="pvp",15,Inputs!$B$43)-(B1305))))*IF(AND(ArtifactsInput!$M$42,((Inputs!$B$9+((C1286=TRUE)*(F1286-Calc!F19))+B1298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1273*(MIN(100,(Inputs!$B$9+((C1286=TRUE)*(F1286-Calc!F19))+B1298+(ArtifactsInput!$M$24-ArtifactsInput!$M$24)*CHOOSE(ArtifactsInput!$N$24+1,10,12,14,16,18,20)+(IF(AND(Inputs!$B$38&lt;&gt;"pvp",Inputs!$B$43=0),1,IF(IF(Inputs!$B$38="pvp",15,Inputs!$B$43)-(B1305)&lt;=0,1,MAX(0,IF(Inputs!$B$38="pvp",15,Inputs!$B$43)-MAX(5,B1305))/(IF(Inputs!$B$38="pvp",15,Inputs!$B$43)-(B1305))))*IF(AND(ArtifactsInput!$M$42,((Inputs!$B$9+((C1286=TRUE)*(F1286-Calc!F19))+B1298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73">
        <f>IF(C1273,(H1273*N1273*IF(AND(Inputs!$B$38&lt;&gt;"pvp",Inputs!$B$43&gt;0),((Skills!G6*((R1273-1)*IF(Skills!H6&gt;0,INT(Skills!I6/Skills!H6+0.000000001),1)+IF(Skills!H6&gt;0,INT(MIN(Skills!I6,MAX(0,MAX(0,Inputs!$B$43-B1305)-((R1273-1)*(IF(Inputs!$B$38="pvp",15,MAX(0.1,Skills!D6-IF(TRUE=TRUE,Inputs!$B$32,0)))*(1-IF(AND(ArtifactsInput!$M$27,Inputs!$B$4="Chapter Hunt"),CHOOSE(ArtifactsInput!$N$27+1,20,24,28,32,36,40),0)/100)))))/Skills!H6+0.000000001),1)))/Inputs!$B$43),G1273*Q1273))*IF(Inputs!$B$38="pvp",1,(1+(Inputs!$B$21+Skills!Q6+(IF(ArtifactsInput!$M$33,CHOOSE(ArtifactsInput!$N$33+1,30,36,42,48,54,60),0))+(IF(AND(ArtifactsInput!$M$35,Inputs!$B$4&lt;&gt;"Chapter Hunt"),CHOOSE(ArtifactsInput!$N$35+1,15,18,21,24,27,30)*(1-EXP(-(0.2*B1300)*5)),0)+IF(AND(ArtifactsInput!$M$22,Inputs!$B$4&lt;&gt;"Chapter Hunt"),CHOOSE(ArtifactsInput!$N$22+1,10,12,14,16,18,20)*((0*(((0.15*B1300*5))^0/1)+1*(((0.15*B1300*5))^1/1)+2*(((0.15*B1300*5))^2/2)+3*(((0.15*B1300*5))^3/6)+4*(((0.15*B1300*5))^4/24)+5*(((0.15*B1300*5))^5/120))/((((0.15*B1300*5))^0/1)+(((0.15*B1300*5))^1/1)+(((0.15*B1300*5))^2/2)+(((0.15*B1300*5))^3/6)+(((0.15*B1300*5))^4/24)+(((0.15*B1300*5))^5/120))),0))+IF(Inputs!$B$3&gt;=54,9*(C1270=TRUE)*MIN(1,8*(1+Inputs!$B$34/100)*Q1270)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74">
      <c r="A1274">
        <f>Skills!A7</f>
        <v/>
      </c>
      <c r="B1274">
        <f>Skills!B7</f>
        <v/>
      </c>
      <c r="C1274">
        <f>Inputs!$B$3&gt;=63</f>
        <v/>
      </c>
      <c r="D1274">
        <f>IF(Skills!C7=1,60+Inputs!$B$25+Inputs!$B$29,IF(Skills!C7=2,90+Inputs!$B$26+Inputs!$B$29,IF(Skills!C7=3,120+Inputs!$B$27+Inputs!$B$29,MAX(0,(Inputs!$B$3-100)*3)+Inputs!$B$28+Inputs!$B$29)))</f>
        <v/>
      </c>
      <c r="E1274">
        <f>INDEX(FactorTable!$B$2:$Y$301, MATCH(ROUND(MIN(300,MAX(1,D1274)),0), FactorTable!$A$2:$A$301,0), Skills!M7+1)</f>
        <v/>
      </c>
      <c r="F1274">
        <f>IF(Skills!N7=TRUE,(Skills!L7/10)*(E1274/1000),Skills!L7/10)+Skills!O7</f>
        <v/>
      </c>
      <c r="G1274">
        <f>Skills!G7*IF(Skills!H7&gt;0,INT(IF(Inputs!$B$38="pvp",MIN(Skills!I7,15),Skills!I7)/Skills!H7+0.000000001),1)</f>
        <v/>
      </c>
      <c r="H1274">
        <f>1-(1-Skills!J7/100)^Skills!K7</f>
        <v/>
      </c>
      <c r="I1274" t="inlineStr">
        <is>
          <t>1</t>
        </is>
      </c>
      <c r="J1274">
        <f>((Inputs!$B$6*(1+Inputs!$B$7/100))+(((Inputs!$B$12*(1+Inputs!$B$13/100))-(Inputs!$B$12*(1+Inputs!$B$13/100)))+0.25*(Inputs!$B$14-Inputs!$B$14))*(1+Inputs!$B$7/100))*(F1274/100)</f>
        <v/>
      </c>
      <c r="K1274">
        <f>J1274*(1+((Inputs!$B$12*(1+Inputs!$B$13/100))*0.01+Inputs!$B$14*0.0025)/100)*(1+Inputs!$B$15/100)*(1+Inputs!$B$16/100)*(5000/(6000+Inputs!$B$42*(1-(100*(1-(1-(Inputs!$B$19+0)/100)*(1-CHOOSE(ArtifactsInput!$N$40+1,5,6,7,8,9,10)/100)^(ArtifactsInput!$M$40-ArtifactsInput!$M$40)))/100)))*(1+(Inputs!$B$24+((C1293=TRUE)*(F1293-Calc!F26))+B1304)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1282=TRUE,F1282,0)/100)*(1+(IF(Skills!A7="EIGHT_LEGS_EASTON",Inputs!$B$17+((C1290=TRUE)*(F1290-Calc!F23))+((C1294=TRUE)*(F1294-Calc!F27))+((IF(AND(Inputs!$B$38&lt;&gt;"pvp",Inputs!$B$43=0),1,IF(IF(Inputs!$B$38="pvp",15,Inputs!$B$43)-(B1305)&lt;=0,1,MAX(0,IF(Inputs!$B$38="pvp",15,Inputs!$B$43)-MAX(5,B1305))/(IF(Inputs!$B$38="pvp",15,Inputs!$B$43)-(B1305))))*(IF(AND(ArtifactsInput!$M$42,((Inputs!$B$9+((C1286=TRUE)*(F1286-Calc!F19))+B1298+(ArtifactsInput!$M$24-ArtifactsInput!$M$24)*CHOOSE(ArtifactsInput!$N$24+1,10,12,14,16,18,20)+IF(ArtifactsInput!$M$10,CHOOSE(ArtifactsInput!$N$10+1,15,18,21,24,27,30)*(IF(Inputs!$B$38="pvp",MIN(15,15)/15,IF(AND(Inputs!$B$38&lt;&gt;"pvp",Inputs!$B$43&gt;0),MIN(15,Inputs!$B$43)/(Inputs!$B$43),0))),0)))&gt;=100),MIN(100,((Inputs!$B$9+((C1286=TRUE)*(F1286-Calc!F19))+B1298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1305)&lt;=0,1,MAX(0,IF(Inputs!$B$38="pvp",15,Inputs!$B$43)-MAX(5,B1305))/(IF(Inputs!$B$38="pvp",15,Inputs!$B$43)-(B1305))))*IF(AND(ArtifactsInput!$M$42,((Inputs!$B$9+((C1286=TRUE)*(F1286-Calc!F19))+B1298+(ArtifactsInput!$M$24-ArtifactsInput!$M$24)*CHOOSE(ArtifactsInput!$N$24+1,10,12,14,16,18,20)+IF(ArtifactsInput!$M$10,CHOOSE(ArtifactsInput!$N$10+1,15,18,21,24,27,30)*(IF(Inputs!$B$38="pvp",MIN(15,15)/15,IF(AND(Inputs!$B$38&lt;&gt;"pvp",Inputs!$B$43&gt;0),MIN(15,Inputs!$B$43)/(Inputs!$B$43),0))),0)))&gt;=100),CHOOSE(ArtifactsInput!$N$42+1,40,48,56,64,72,80),0))))/100)*((1+(((C1284=TRUE)*F1284*5/7)+((C1291=TRUE)*(F1291-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IF(ArtifactsInput!$M$5,FALSE,TRUE),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1274)</f>
        <v/>
      </c>
      <c r="L1274">
        <f>K1274*(MIN(Inputs!$B$22+((C1289=TRUE)*(F1289-Calc!F22)),(Inputs!$B$23+0+(IF(ArtifactsInput!$M$15,CHOOSE(ArtifactsInput!$N$15+1,25,30,35,40,45,50)/100*(Inputs!$B$11-Inputs!$B$11),0))))/100+(Inputs!$B$23+0+(IF(ArtifactsInput!$M$15,CHOOSE(ArtifactsInput!$N$15+1,25,30,35,40,45,50)/100*(Inputs!$B$11-Inputs!$B$11),0)))/100)/2</f>
        <v/>
      </c>
      <c r="M1274">
        <f>L1274*(1+(Inputs!$B$10+((C1292=TRUE)*(F1292-Calc!F25))+B1303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74">
        <f>L1274*(1-MIN((Inputs!$B$9+((C1286=TRUE)*(F1286-Calc!F19))+B1298+(ArtifactsInput!$M$24-ArtifactsInput!$M$24)*CHOOSE(ArtifactsInput!$N$24+1,10,12,14,16,18,20)+(IF(AND(Inputs!$B$38&lt;&gt;"pvp",Inputs!$B$43=0),1,IF(IF(Inputs!$B$38="pvp",15,Inputs!$B$43)-(B1305)&lt;=0,1,MAX(0,IF(Inputs!$B$38="pvp",15,Inputs!$B$43)-MAX(5,B1305))/(IF(Inputs!$B$38="pvp",15,Inputs!$B$43)-(B1305))))*IF(AND(ArtifactsInput!$M$42,((Inputs!$B$9+((C1286=TRUE)*(F1286-Calc!F19))+B1298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1274*(MIN((Inputs!$B$9+((C1286=TRUE)*(F1286-Calc!F19))+B1298+(ArtifactsInput!$M$24-ArtifactsInput!$M$24)*CHOOSE(ArtifactsInput!$N$24+1,10,12,14,16,18,20)+(IF(AND(Inputs!$B$38&lt;&gt;"pvp",Inputs!$B$43=0),1,IF(IF(Inputs!$B$38="pvp",15,Inputs!$B$43)-(B1305)&lt;=0,1,MAX(0,IF(Inputs!$B$38="pvp",15,Inputs!$B$43)-MAX(5,B1305))/(IF(Inputs!$B$38="pvp",15,Inputs!$B$43)-(B1305))))*IF(AND(ArtifactsInput!$M$42,((Inputs!$B$9+((C1286=TRUE)*(F1286-Calc!F19))+B1298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74">
        <f>(1-Summary!$B$11)*T1274+Summary!$B$11*V1274</f>
        <v/>
      </c>
      <c r="P1274">
        <f>IF(B1308=0,0,O1274/B1308)</f>
        <v/>
      </c>
      <c r="Q1274">
        <f>IFERROR(1/(IF(Inputs!$B$38="pvp",15,MAX(0.1,Skills!D7-IF(TRUE=TRUE,Inputs!$B$32,0)))*(1-IF(AND(ArtifactsInput!$M$27,Inputs!$B$4="Chapter Hunt"),CHOOSE(ArtifactsInput!$N$27+1,20,24,28,32,36,40),0)/100)),0)</f>
        <v/>
      </c>
      <c r="R1274">
        <f>IF(AND(Inputs!$B$38&lt;&gt;"pvp",Inputs!$B$43&gt;0),IF(MAX(0,Inputs!$B$43-B1305)&lt;=0,0,(INT(MAX(0,Inputs!$B$43-B1305)/(IF(Inputs!$B$38="pvp",15,MAX(0.1,Skills!D7-IF(TRUE=TRUE,Inputs!$B$32,0)))*(1-IF(AND(ArtifactsInput!$M$27,Inputs!$B$4="Chapter Hunt"),CHOOSE(ArtifactsInput!$N$27+1,20,24,28,32,36,40),0)/100)))+1)),0)</f>
        <v/>
      </c>
      <c r="S1274">
        <f>IFERROR(O1274/N1274,0)</f>
        <v/>
      </c>
      <c r="T1274">
        <f>IF(C1274,(H1274*N1274*IF(AND(Inputs!$B$38&lt;&gt;"pvp",Inputs!$B$43&gt;0),((Skills!G7*((R1274-1)*IF(Skills!H7&gt;0,INT(Skills!I7/Skills!H7+0.000000001),1)+IF(Skills!H7&gt;0,INT(MIN(Skills!I7,MAX(0,MAX(0,Inputs!$B$43-B1305)-((R1274-1)*(IF(Inputs!$B$38="pvp",15,MAX(0.1,Skills!D7-IF(TRUE=TRUE,Inputs!$B$32,0)))*(1-IF(AND(ArtifactsInput!$M$27,Inputs!$B$4="Chapter Hunt"),CHOOSE(ArtifactsInput!$N$27+1,20,24,28,32,36,40),0)/100)))))/Skills!H7+0.000000001),1)))/Inputs!$B$43),G1274*Q1274))*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Hunt"),CHOOSE(ArtifactsInput!$N$35+1,15,18,21,24,27,30)*(1-EXP(-(0.2*B1300)*5)),0)+IF(AND(ArtifactsInput!$M$22,Inputs!$B$4&lt;&gt;"Chapter Hunt"),CHOOSE(ArtifactsInput!$N$22+1,10,12,14,16,18,20)*((0*(((0.15*B1300*5))^0/1)+1*(((0.15*B1300*5))^1/1)+2*(((0.15*B1300*5))^2/2)+3*(((0.15*B1300*5))^3/6)+4*(((0.15*B1300*5))^4/24)+5*(((0.15*B1300*5))^5/120))/((((0.15*B1300*5))^0/1)+(((0.15*B1300*5))^1/1)+(((0.15*B1300*5))^2/2)+(((0.15*B1300*5))^3/6)+(((0.15*B1300*5))^4/24)+(((0.15*B1300*5))^5/120))),0))+IF(Inputs!$B$3&gt;=54,9*(C1270=TRUE)*MIN(1,8*(1+Inputs!$B$34/100)*Q1270)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1274*(1-MIN(100,(Inputs!$B$9+((C1286=TRUE)*(F1286-Calc!F19))+B1298+(ArtifactsInput!$M$24-ArtifactsInput!$M$24)*CHOOSE(ArtifactsInput!$N$24+1,10,12,14,16,18,20)+(IF(AND(Inputs!$B$38&lt;&gt;"pvp",Inputs!$B$43=0),1,IF(IF(Inputs!$B$38="pvp",15,Inputs!$B$43)-(B1305)&lt;=0,1,MAX(0,IF(Inputs!$B$38="pvp",15,Inputs!$B$43)-MAX(5,B1305))/(IF(Inputs!$B$38="pvp",15,Inputs!$B$43)-(B1305))))*IF(AND(ArtifactsInput!$M$42,((Inputs!$B$9+((C1286=TRUE)*(F1286-Calc!F19))+B1298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1274*(MIN(100,(Inputs!$B$9+((C1286=TRUE)*(F1286-Calc!F19))+B1298+(ArtifactsInput!$M$24-ArtifactsInput!$M$24)*CHOOSE(ArtifactsInput!$N$24+1,10,12,14,16,18,20)+(IF(AND(Inputs!$B$38&lt;&gt;"pvp",Inputs!$B$43=0),1,IF(IF(Inputs!$B$38="pvp",15,Inputs!$B$43)-(B1305)&lt;=0,1,MAX(0,IF(Inputs!$B$38="pvp",15,Inputs!$B$43)-MAX(5,B1305))/(IF(Inputs!$B$38="pvp",15,Inputs!$B$43)-(B1305))))*IF(AND(ArtifactsInput!$M$42,((Inputs!$B$9+((C1286=TRUE)*(F1286-Calc!F19))+B1298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1274*(1-MIN(100,(Inputs!$B$9+((C1286=TRUE)*(F1286-Calc!F19))+B1298+(ArtifactsInput!$M$24-ArtifactsInput!$M$24)*CHOOSE(ArtifactsInput!$N$24+1,10,12,14,16,18,20)+(IF(AND(Inputs!$B$38&lt;&gt;"pvp",Inputs!$B$43=0),1,IF(IF(Inputs!$B$38="pvp",15,Inputs!$B$43)-(B1305)&lt;=0,1,MAX(0,IF(Inputs!$B$38="pvp",15,Inputs!$B$43)-MAX(5,B1305))/(IF(Inputs!$B$38="pvp",15,Inputs!$B$43)-(B1305))))*IF(AND(ArtifactsInput!$M$42,((Inputs!$B$9+((C1286=TRUE)*(F1286-Calc!F19))+B1298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1274*(MIN(100,(Inputs!$B$9+((C1286=TRUE)*(F1286-Calc!F19))+B1298+(ArtifactsInput!$M$24-ArtifactsInput!$M$24)*CHOOSE(ArtifactsInput!$N$24+1,10,12,14,16,18,20)+(IF(AND(Inputs!$B$38&lt;&gt;"pvp",Inputs!$B$43=0),1,IF(IF(Inputs!$B$38="pvp",15,Inputs!$B$43)-(B1305)&lt;=0,1,MAX(0,IF(Inputs!$B$38="pvp",15,Inputs!$B$43)-MAX(5,B1305))/(IF(Inputs!$B$38="pvp",15,Inputs!$B$43)-(B1305))))*IF(AND(ArtifactsInput!$M$42,((Inputs!$B$9+((C1286=TRUE)*(F1286-Calc!F19))+B1298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74">
        <f>IF(C1274,(H1274*N1274*IF(AND(Inputs!$B$38&lt;&gt;"pvp",Inputs!$B$43&gt;0),((Skills!G7*((R1274-1)*IF(Skills!H7&gt;0,INT(Skills!I7/Skills!H7+0.000000001),1)+IF(Skills!H7&gt;0,INT(MIN(Skills!I7,MAX(0,MAX(0,Inputs!$B$43-B1305)-((R1274-1)*(IF(Inputs!$B$38="pvp",15,MAX(0.1,Skills!D7-IF(TRUE=TRUE,Inputs!$B$32,0)))*(1-IF(AND(ArtifactsInput!$M$27,Inputs!$B$4="Chapter Hunt"),CHOOSE(ArtifactsInput!$N$27+1,20,24,28,32,36,40),0)/100)))))/Skills!H7+0.000000001),1)))/Inputs!$B$43),G1274*Q1274))*IF(Inputs!$B$38="pvp",1,(1+(Inputs!$B$21+Skills!Q7+(IF(ArtifactsInput!$M$33,CHOOSE(ArtifactsInput!$N$33+1,30,36,42,48,54,60),0))+(IF(AND(ArtifactsInput!$M$35,Inputs!$B$4&lt;&gt;"Chapter Hunt"),CHOOSE(ArtifactsInput!$N$35+1,15,18,21,24,27,30)*(1-EXP(-(0.2*B1300)*5)),0)+IF(AND(ArtifactsInput!$M$22,Inputs!$B$4&lt;&gt;"Chapter Hunt"),CHOOSE(ArtifactsInput!$N$22+1,10,12,14,16,18,20)*((0*(((0.15*B1300*5))^0/1)+1*(((0.15*B1300*5))^1/1)+2*(((0.15*B1300*5))^2/2)+3*(((0.15*B1300*5))^3/6)+4*(((0.15*B1300*5))^4/24)+5*(((0.15*B1300*5))^5/120))/((((0.15*B1300*5))^0/1)+(((0.15*B1300*5))^1/1)+(((0.15*B1300*5))^2/2)+(((0.15*B1300*5))^3/6)+(((0.15*B1300*5))^4/24)+(((0.15*B1300*5))^5/120))),0))+IF(Inputs!$B$3&gt;=54,9*(C1270=TRUE)*MIN(1,8*(1+Inputs!$B$34/100)*Q1270)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75">
      <c r="A1275">
        <f>Skills!A8</f>
        <v/>
      </c>
      <c r="B1275">
        <f>Skills!B8</f>
        <v/>
      </c>
      <c r="C1275">
        <f>Inputs!$B$3&gt;=103</f>
        <v/>
      </c>
      <c r="D1275">
        <f>IF(Skills!C8=1,60+Inputs!$B$25+Inputs!$B$29,IF(Skills!C8=2,90+Inputs!$B$26+Inputs!$B$29,IF(Skills!C8=3,120+Inputs!$B$27+Inputs!$B$29,MAX(0,(Inputs!$B$3-100)*3)+Inputs!$B$28+Inputs!$B$29)))</f>
        <v/>
      </c>
      <c r="E1275">
        <f>INDEX(FactorTable!$B$2:$Y$301, MATCH(ROUND(MIN(300,MAX(1,D1275)),0), FactorTable!$A$2:$A$301,0), Skills!M8+1)</f>
        <v/>
      </c>
      <c r="F1275">
        <f>IF(Skills!N8=TRUE,(Skills!L8/10)*(E1275/1000),Skills!L8/10)+Skills!O8</f>
        <v/>
      </c>
      <c r="G1275">
        <f>Skills!G8*IF(Skills!H8&gt;0,INT(IF(Inputs!$B$38="pvp",MIN(Skills!I8,15),Skills!I8)/Skills!H8+0.000000001),1)</f>
        <v/>
      </c>
      <c r="H1275">
        <f>1-(1-Skills!J8/100)^Skills!K8</f>
        <v/>
      </c>
      <c r="I1275" t="inlineStr">
        <is>
          <t>1</t>
        </is>
      </c>
      <c r="J1275">
        <f>((Inputs!$B$6*(1+Inputs!$B$7/100))+(((Inputs!$B$12*(1+Inputs!$B$13/100))-(Inputs!$B$12*(1+Inputs!$B$13/100)))+0.25*(Inputs!$B$14-Inputs!$B$14))*(1+Inputs!$B$7/100))*(F1275/100)</f>
        <v/>
      </c>
      <c r="K1275">
        <f>J1275*(1+((Inputs!$B$12*(1+Inputs!$B$13/100))*0.01+Inputs!$B$14*0.0025)/100)*(1+Inputs!$B$15/100)*(1+Inputs!$B$16/100)*(5000/(6000+Inputs!$B$42*(1-(100*(1-(1-(Inputs!$B$19+0)/100)*(1-CHOOSE(ArtifactsInput!$N$40+1,5,6,7,8,9,10)/100)^(ArtifactsInput!$M$40-ArtifactsInput!$M$40)))/100)))*(1+(Inputs!$B$24+((C1293=TRUE)*(F1293-Calc!F26))+B1304)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IGHT_LEGS_EASTON",Inputs!$B$17+((C1290=TRUE)*(F1290-Calc!F23))+((C1294=TRUE)*(F1294-Calc!F27))+((IF(AND(Inputs!$B$38&lt;&gt;"pvp",Inputs!$B$43=0),1,IF(IF(Inputs!$B$38="pvp",15,Inputs!$B$43)-(B1305)&lt;=0,1,MAX(0,IF(Inputs!$B$38="pvp",15,Inputs!$B$43)-MAX(5,B1305))/(IF(Inputs!$B$38="pvp",15,Inputs!$B$43)-(B1305))))*(IF(AND(ArtifactsInput!$M$42,((Inputs!$B$9+((C1286=TRUE)*(F1286-Calc!F19))+B1298+(ArtifactsInput!$M$24-ArtifactsInput!$M$24)*CHOOSE(ArtifactsInput!$N$24+1,10,12,14,16,18,20)+IF(ArtifactsInput!$M$10,CHOOSE(ArtifactsInput!$N$10+1,15,18,21,24,27,30)*(IF(Inputs!$B$38="pvp",MIN(15,15)/15,IF(AND(Inputs!$B$38&lt;&gt;"pvp",Inputs!$B$43&gt;0),MIN(15,Inputs!$B$43)/(Inputs!$B$43),0))),0)))&gt;=100),MIN(100,((Inputs!$B$9+((C1286=TRUE)*(F1286-Calc!F19))+B1298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1305)&lt;=0,1,MAX(0,IF(Inputs!$B$38="pvp",15,Inputs!$B$43)-MAX(5,B1305))/(IF(Inputs!$B$38="pvp",15,Inputs!$B$43)-(B1305))))*IF(AND(ArtifactsInput!$M$42,((Inputs!$B$9+((C1286=TRUE)*(F1286-Calc!F19))+B1298+(ArtifactsInput!$M$24-ArtifactsInput!$M$24)*CHOOSE(ArtifactsInput!$N$24+1,10,12,14,16,18,20)+IF(ArtifactsInput!$M$10,CHOOSE(ArtifactsInput!$N$10+1,15,18,21,24,27,30)*(IF(Inputs!$B$38="pvp",MIN(15,15)/15,IF(AND(Inputs!$B$38&lt;&gt;"pvp",Inputs!$B$43&gt;0),MIN(15,Inputs!$B$43)/(Inputs!$B$43),0))),0)))&gt;=100),CHOOSE(ArtifactsInput!$N$42+1,40,48,56,64,72,80),0))))/100)*((1+(((C1284=TRUE)*F1284*5/7)+((C1291=TRUE)*(F1291-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IF(ArtifactsInput!$M$5,FALSE,TRUE),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1275)</f>
        <v/>
      </c>
      <c r="L1275">
        <f>K1275*(MIN(Inputs!$B$22+((C1289=TRUE)*(F1289-Calc!F22)),(Inputs!$B$23+0+(IF(ArtifactsInput!$M$15,CHOOSE(ArtifactsInput!$N$15+1,25,30,35,40,45,50)/100*(Inputs!$B$11-Inputs!$B$11),0))))/100+(Inputs!$B$23+0+(IF(ArtifactsInput!$M$15,CHOOSE(ArtifactsInput!$N$15+1,25,30,35,40,45,50)/100*(Inputs!$B$11-Inputs!$B$11),0)))/100)/2</f>
        <v/>
      </c>
      <c r="M1275">
        <f>L1275*(1+(Inputs!$B$10+((C1292=TRUE)*(F1292-Calc!F25))+B1303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75">
        <f>L1275*(1-MIN((Inputs!$B$9+((C1286=TRUE)*(F1286-Calc!F19))+B1298+(ArtifactsInput!$M$24-ArtifactsInput!$M$24)*CHOOSE(ArtifactsInput!$N$24+1,10,12,14,16,18,20)+(IF(AND(Inputs!$B$38&lt;&gt;"pvp",Inputs!$B$43=0),1,IF(IF(Inputs!$B$38="pvp",15,Inputs!$B$43)-(B1305)&lt;=0,1,MAX(0,IF(Inputs!$B$38="pvp",15,Inputs!$B$43)-MAX(5,B1305))/(IF(Inputs!$B$38="pvp",15,Inputs!$B$43)-(B1305))))*IF(AND(ArtifactsInput!$M$42,((Inputs!$B$9+((C1286=TRUE)*(F1286-Calc!F19))+B1298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1275*(MIN((Inputs!$B$9+((C1286=TRUE)*(F1286-Calc!F19))+B1298+(ArtifactsInput!$M$24-ArtifactsInput!$M$24)*CHOOSE(ArtifactsInput!$N$24+1,10,12,14,16,18,20)+(IF(AND(Inputs!$B$38&lt;&gt;"pvp",Inputs!$B$43=0),1,IF(IF(Inputs!$B$38="pvp",15,Inputs!$B$43)-(B1305)&lt;=0,1,MAX(0,IF(Inputs!$B$38="pvp",15,Inputs!$B$43)-MAX(5,B1305))/(IF(Inputs!$B$38="pvp",15,Inputs!$B$43)-(B1305))))*IF(AND(ArtifactsInput!$M$42,((Inputs!$B$9+((C1286=TRUE)*(F1286-Calc!F19))+B1298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75">
        <f>(1-Summary!$B$11)*T1275+Summary!$B$11*V1275</f>
        <v/>
      </c>
      <c r="P1275">
        <f>IF(B1308=0,0,O1275/B1308)</f>
        <v/>
      </c>
      <c r="Q1275">
        <f>IFERROR(1/((IF(Inputs!$B$38="pvp",15,MAX(0.1,Skills!D8-IF(TRUE=TRUE,Inputs!$B$32,0)))*(1-IF(AND(ArtifactsInput!$M$27,Inputs!$B$4="Chapter Hunt"),CHOOSE(ArtifactsInput!$N$27+1,20,24,28,32,36,40),0)/100))/B1309),0)</f>
        <v/>
      </c>
      <c r="R1275">
        <f>IF(AND(Inputs!$B$38&lt;&gt;"pvp",Inputs!$B$43&gt;0),IF(MAX(0,Inputs!$B$43-B1305)&lt;=0,0,(INT(MAX(0,Inputs!$B$43-B1305)/((IF(Inputs!$B$38="pvp",15,MAX(0.1,Skills!D8-IF(TRUE=TRUE,Inputs!$B$32,0)))*(1-IF(AND(ArtifactsInput!$M$27,Inputs!$B$4="Chapter Hunt"),CHOOSE(ArtifactsInput!$N$27+1,20,24,28,32,36,40),0)/100))/B1309))+1)),0)</f>
        <v/>
      </c>
      <c r="S1275">
        <f>IFERROR(O1275/N1275,0)</f>
        <v/>
      </c>
      <c r="T1275">
        <f>IF(C1275,(H1275*N1275*IF(AND(Inputs!$B$38&lt;&gt;"pvp",Inputs!$B$43&gt;0),((Skills!G8*((R1275-1)*IF(Skills!H8&gt;0,INT(Skills!I8/Skills!H8+0.000000001),1)+IF(Skills!H8&gt;0,INT(MIN(Skills!I8,MAX(0,MAX(0,Inputs!$B$43-B1305)-((R1275-1)*((IF(Inputs!$B$38="pvp",15,MAX(0.1,Skills!D8-IF(TRUE=TRUE,Inputs!$B$32,0)))*(1-IF(AND(ArtifactsInput!$M$27,Inputs!$B$4="Chapter Hunt"),CHOOSE(ArtifactsInput!$N$27+1,20,24,28,32,36,40),0)/100))/B1309))))/Skills!H8+0.000000001),1)))/Inputs!$B$43),G1275*Q1275))*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Hunt"),CHOOSE(ArtifactsInput!$N$35+1,15,18,21,24,27,30)*(1-EXP(-(0.2*B1300)*5)),0)+IF(AND(ArtifactsInput!$M$22,Inputs!$B$4&lt;&gt;"Chapter Hunt"),CHOOSE(ArtifactsInput!$N$22+1,10,12,14,16,18,20)*((0*(((0.15*B1300*5))^0/1)+1*(((0.15*B1300*5))^1/1)+2*(((0.15*B1300*5))^2/2)+3*(((0.15*B1300*5))^3/6)+4*(((0.15*B1300*5))^4/24)+5*(((0.15*B1300*5))^5/120))/((((0.15*B1300*5))^0/1)+(((0.15*B1300*5))^1/1)+(((0.15*B1300*5))^2/2)+(((0.15*B1300*5))^3/6)+(((0.15*B1300*5))^4/24)+(((0.15*B1300*5))^5/120))),0))+IF(Inputs!$B$3&gt;=54,9*(C1270=TRUE)*MIN(1,8*(1+Inputs!$B$34/100)*Q1270)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1275*(1-MIN(100,(Inputs!$B$9+((C1286=TRUE)*(F1286-Calc!F19))+B1298+(ArtifactsInput!$M$24-ArtifactsInput!$M$24)*CHOOSE(ArtifactsInput!$N$24+1,10,12,14,16,18,20)+(IF(AND(Inputs!$B$38&lt;&gt;"pvp",Inputs!$B$43=0),1,IF(IF(Inputs!$B$38="pvp",15,Inputs!$B$43)-(B1305)&lt;=0,1,MAX(0,IF(Inputs!$B$38="pvp",15,Inputs!$B$43)-MAX(5,B1305))/(IF(Inputs!$B$38="pvp",15,Inputs!$B$43)-(B1305))))*IF(AND(ArtifactsInput!$M$42,((Inputs!$B$9+((C1286=TRUE)*(F1286-Calc!F19))+B1298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1275*(MIN(100,(Inputs!$B$9+((C1286=TRUE)*(F1286-Calc!F19))+B1298+(ArtifactsInput!$M$24-ArtifactsInput!$M$24)*CHOOSE(ArtifactsInput!$N$24+1,10,12,14,16,18,20)+(IF(AND(Inputs!$B$38&lt;&gt;"pvp",Inputs!$B$43=0),1,IF(IF(Inputs!$B$38="pvp",15,Inputs!$B$43)-(B1305)&lt;=0,1,MAX(0,IF(Inputs!$B$38="pvp",15,Inputs!$B$43)-MAX(5,B1305))/(IF(Inputs!$B$38="pvp",15,Inputs!$B$43)-(B1305))))*IF(AND(ArtifactsInput!$M$42,((Inputs!$B$9+((C1286=TRUE)*(F1286-Calc!F19))+B1298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1275*(1-MIN(100,(Inputs!$B$9+((C1286=TRUE)*(F1286-Calc!F19))+B1298+(ArtifactsInput!$M$24-ArtifactsInput!$M$24)*CHOOSE(ArtifactsInput!$N$24+1,10,12,14,16,18,20)+(IF(AND(Inputs!$B$38&lt;&gt;"pvp",Inputs!$B$43=0),1,IF(IF(Inputs!$B$38="pvp",15,Inputs!$B$43)-(B1305)&lt;=0,1,MAX(0,IF(Inputs!$B$38="pvp",15,Inputs!$B$43)-MAX(5,B1305))/(IF(Inputs!$B$38="pvp",15,Inputs!$B$43)-(B1305))))*IF(AND(ArtifactsInput!$M$42,((Inputs!$B$9+((C1286=TRUE)*(F1286-Calc!F19))+B1298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1275*(MIN(100,(Inputs!$B$9+((C1286=TRUE)*(F1286-Calc!F19))+B1298+(ArtifactsInput!$M$24-ArtifactsInput!$M$24)*CHOOSE(ArtifactsInput!$N$24+1,10,12,14,16,18,20)+(IF(AND(Inputs!$B$38&lt;&gt;"pvp",Inputs!$B$43=0),1,IF(IF(Inputs!$B$38="pvp",15,Inputs!$B$43)-(B1305)&lt;=0,1,MAX(0,IF(Inputs!$B$38="pvp",15,Inputs!$B$43)-MAX(5,B1305))/(IF(Inputs!$B$38="pvp",15,Inputs!$B$43)-(B1305))))*IF(AND(ArtifactsInput!$M$42,((Inputs!$B$9+((C1286=TRUE)*(F1286-Calc!F19))+B1298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75">
        <f>IF(C1275,(H1275*N1275*IF(AND(Inputs!$B$38&lt;&gt;"pvp",Inputs!$B$43&gt;0),((Skills!G8*((R1275-1)*IF(Skills!H8&gt;0,INT(Skills!I8/Skills!H8+0.000000001),1)+IF(Skills!H8&gt;0,INT(MIN(Skills!I8,MAX(0,MAX(0,Inputs!$B$43-B1305)-((R1275-1)*((IF(Inputs!$B$38="pvp",15,MAX(0.1,Skills!D8-IF(TRUE=TRUE,Inputs!$B$32,0)))*(1-IF(AND(ArtifactsInput!$M$27,Inputs!$B$4="Chapter Hunt"),CHOOSE(ArtifactsInput!$N$27+1,20,24,28,32,36,40),0)/100))/B1309))))/Skills!H8+0.000000001),1)))/Inputs!$B$43),G1275*Q1275))*IF(Inputs!$B$38="pvp",1,(1+(Inputs!$B$21+Skills!Q8+(IF(ArtifactsInput!$M$33,CHOOSE(ArtifactsInput!$N$33+1,30,36,42,48,54,60),0))+(IF(AND(ArtifactsInput!$M$35,Inputs!$B$4&lt;&gt;"Chapter Hunt"),CHOOSE(ArtifactsInput!$N$35+1,15,18,21,24,27,30)*(1-EXP(-(0.2*B1300)*5)),0)+IF(AND(ArtifactsInput!$M$22,Inputs!$B$4&lt;&gt;"Chapter Hunt"),CHOOSE(ArtifactsInput!$N$22+1,10,12,14,16,18,20)*((0*(((0.15*B1300*5))^0/1)+1*(((0.15*B1300*5))^1/1)+2*(((0.15*B1300*5))^2/2)+3*(((0.15*B1300*5))^3/6)+4*(((0.15*B1300*5))^4/24)+5*(((0.15*B1300*5))^5/120))/((((0.15*B1300*5))^0/1)+(((0.15*B1300*5))^1/1)+(((0.15*B1300*5))^2/2)+(((0.15*B1300*5))^3/6)+(((0.15*B1300*5))^4/24)+(((0.15*B1300*5))^5/120))),0))+IF(Inputs!$B$3&gt;=54,9*(C1270=TRUE)*MIN(1,8*(1+Inputs!$B$34/100)*Q1270)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76">
      <c r="A1276">
        <f>Skills!A9</f>
        <v/>
      </c>
      <c r="B1276">
        <f>Skills!B9</f>
        <v/>
      </c>
      <c r="C1276">
        <f>Inputs!$B$3&gt;=105</f>
        <v/>
      </c>
      <c r="D1276">
        <f>IF(Skills!C9=1,60+Inputs!$B$25+Inputs!$B$29,IF(Skills!C9=2,90+Inputs!$B$26+Inputs!$B$29,IF(Skills!C9=3,120+Inputs!$B$27+Inputs!$B$29,MAX(0,(Inputs!$B$3-100)*3)+Inputs!$B$28+Inputs!$B$29)))</f>
        <v/>
      </c>
      <c r="E1276">
        <f>INDEX(FactorTable!$B$2:$Y$301, MATCH(ROUND(MIN(300,MAX(1,D1276)),0), FactorTable!$A$2:$A$301,0), Skills!M9+1)</f>
        <v/>
      </c>
      <c r="F1276">
        <f>IF(Skills!N9=TRUE,(Skills!L9/10)*(E1276/1000),Skills!L9/10)+Skills!O9</f>
        <v/>
      </c>
      <c r="G1276">
        <f>Skills!G9*IF(Skills!H9&gt;0,INT(IF(Inputs!$B$38="pvp",MIN(Skills!I9,15),Skills!I9)/Skills!H9+0.000000001),1)</f>
        <v/>
      </c>
      <c r="H1276">
        <f>1-(1-Skills!J9/100)^Skills!K9</f>
        <v/>
      </c>
      <c r="I1276" t="inlineStr">
        <is>
          <t>1</t>
        </is>
      </c>
      <c r="J1276">
        <f>((Inputs!$B$6*(1+Inputs!$B$7/100))+(((Inputs!$B$12*(1+Inputs!$B$13/100))-(Inputs!$B$12*(1+Inputs!$B$13/100)))+0.25*(Inputs!$B$14-Inputs!$B$14))*(1+Inputs!$B$7/100))*(F1276/100)</f>
        <v/>
      </c>
      <c r="K1276">
        <f>J1276*(1+((Inputs!$B$12*(1+Inputs!$B$13/100))*0.01+Inputs!$B$14*0.0025)/100)*(1+Inputs!$B$15/100)*(1+Inputs!$B$16/100)*(5000/(6000+Inputs!$B$42*(1-(100*(1-(1-(Inputs!$B$19+0)/100)*(1-CHOOSE(ArtifactsInput!$N$40+1,5,6,7,8,9,10)/100)^(ArtifactsInput!$M$40-ArtifactsInput!$M$40)))/100)))*(1+(Inputs!$B$24+((C1293=TRUE)*(F1293-Calc!F26))+B1304)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IGHT_LEGS_EASTON",Inputs!$B$17+((C1290=TRUE)*(F1290-Calc!F23))+((C1294=TRUE)*(F1294-Calc!F27))+((IF(AND(Inputs!$B$38&lt;&gt;"pvp",Inputs!$B$43=0),1,IF(IF(Inputs!$B$38="pvp",15,Inputs!$B$43)-(B1305)&lt;=0,1,MAX(0,IF(Inputs!$B$38="pvp",15,Inputs!$B$43)-MAX(5,B1305))/(IF(Inputs!$B$38="pvp",15,Inputs!$B$43)-(B1305))))*(IF(AND(ArtifactsInput!$M$42,((Inputs!$B$9+((C1286=TRUE)*(F1286-Calc!F19))+B1298+(ArtifactsInput!$M$24-ArtifactsInput!$M$24)*CHOOSE(ArtifactsInput!$N$24+1,10,12,14,16,18,20)+IF(ArtifactsInput!$M$10,CHOOSE(ArtifactsInput!$N$10+1,15,18,21,24,27,30)*(IF(Inputs!$B$38="pvp",MIN(15,15)/15,IF(AND(Inputs!$B$38&lt;&gt;"pvp",Inputs!$B$43&gt;0),MIN(15,Inputs!$B$43)/(Inputs!$B$43),0))),0)))&gt;=100),MIN(100,((Inputs!$B$9+((C1286=TRUE)*(F1286-Calc!F19))+B1298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1305)&lt;=0,1,MAX(0,IF(Inputs!$B$38="pvp",15,Inputs!$B$43)-MAX(5,B1305))/(IF(Inputs!$B$38="pvp",15,Inputs!$B$43)-(B1305))))*IF(AND(ArtifactsInput!$M$42,((Inputs!$B$9+((C1286=TRUE)*(F1286-Calc!F19))+B1298+(ArtifactsInput!$M$24-ArtifactsInput!$M$24)*CHOOSE(ArtifactsInput!$N$24+1,10,12,14,16,18,20)+IF(ArtifactsInput!$M$10,CHOOSE(ArtifactsInput!$N$10+1,15,18,21,24,27,30)*(IF(Inputs!$B$38="pvp",MIN(15,15)/15,IF(AND(Inputs!$B$38&lt;&gt;"pvp",Inputs!$B$43&gt;0),MIN(15,Inputs!$B$43)/(Inputs!$B$43),0))),0)))&gt;=100),CHOOSE(ArtifactsInput!$N$42+1,40,48,56,64,72,80),0))))/100)*((1+(((C1284=TRUE)*F1284*5/7)+((C1291=TRUE)*(F1291-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IF(ArtifactsInput!$M$5,FALSE,TRUE),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1276)</f>
        <v/>
      </c>
      <c r="L1276">
        <f>K1276*(MIN(Inputs!$B$22+((C1289=TRUE)*(F1289-Calc!F22)),(Inputs!$B$23+0+(IF(ArtifactsInput!$M$15,CHOOSE(ArtifactsInput!$N$15+1,25,30,35,40,45,50)/100*(Inputs!$B$11-Inputs!$B$11),0))))/100+(Inputs!$B$23+0+(IF(ArtifactsInput!$M$15,CHOOSE(ArtifactsInput!$N$15+1,25,30,35,40,45,50)/100*(Inputs!$B$11-Inputs!$B$11),0)))/100)/2</f>
        <v/>
      </c>
      <c r="M1276">
        <f>L1276*(1+(Inputs!$B$10+((C1292=TRUE)*(F1292-Calc!F25))+B1303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76">
        <f>L1276*(1-MIN((Inputs!$B$9+((C1286=TRUE)*(F1286-Calc!F19))+B1298+(ArtifactsInput!$M$24-ArtifactsInput!$M$24)*CHOOSE(ArtifactsInput!$N$24+1,10,12,14,16,18,20)+(IF(AND(Inputs!$B$38&lt;&gt;"pvp",Inputs!$B$43=0),1,IF(IF(Inputs!$B$38="pvp",15,Inputs!$B$43)-(B1305)&lt;=0,1,MAX(0,IF(Inputs!$B$38="pvp",15,Inputs!$B$43)-MAX(5,B1305))/(IF(Inputs!$B$38="pvp",15,Inputs!$B$43)-(B1305))))*IF(AND(ArtifactsInput!$M$42,((Inputs!$B$9+((C1286=TRUE)*(F1286-Calc!F19))+B1298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1276*(MIN((Inputs!$B$9+((C1286=TRUE)*(F1286-Calc!F19))+B1298+(ArtifactsInput!$M$24-ArtifactsInput!$M$24)*CHOOSE(ArtifactsInput!$N$24+1,10,12,14,16,18,20)+(IF(AND(Inputs!$B$38&lt;&gt;"pvp",Inputs!$B$43=0),1,IF(IF(Inputs!$B$38="pvp",15,Inputs!$B$43)-(B1305)&lt;=0,1,MAX(0,IF(Inputs!$B$38="pvp",15,Inputs!$B$43)-MAX(5,B1305))/(IF(Inputs!$B$38="pvp",15,Inputs!$B$43)-(B1305))))*IF(AND(ArtifactsInput!$M$42,((Inputs!$B$9+((C1286=TRUE)*(F1286-Calc!F19))+B1298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76">
        <f>(1-Summary!$B$11)*T1276+Summary!$B$11*V1276</f>
        <v/>
      </c>
      <c r="P1276">
        <f>IF(B1308=0,0,O1276/B1308)</f>
        <v/>
      </c>
      <c r="Q1276">
        <f>IFERROR(1/(IF(Inputs!$B$38="pvp",15,MAX(0.1,Skills!D9-IF(TRUE=TRUE,Inputs!$B$32,0)))*(1-IF(AND(ArtifactsInput!$M$27,Inputs!$B$4="Chapter Hunt"),CHOOSE(ArtifactsInput!$N$27+1,20,24,28,32,36,40),0)/100)),0)</f>
        <v/>
      </c>
      <c r="R1276">
        <f>IF(AND(Inputs!$B$38&lt;&gt;"pvp",Inputs!$B$43&gt;0),IF(MAX(0,Inputs!$B$43-B1305)&lt;=0,0,(INT(MAX(0,Inputs!$B$43-B1305)/(IF(Inputs!$B$38="pvp",15,MAX(0.1,Skills!D9-IF(TRUE=TRUE,Inputs!$B$32,0)))*(1-IF(AND(ArtifactsInput!$M$27,Inputs!$B$4="Chapter Hunt"),CHOOSE(ArtifactsInput!$N$27+1,20,24,28,32,36,40),0)/100)))+1)),0)</f>
        <v/>
      </c>
      <c r="S1276">
        <f>IFERROR(O1276/N1276,0)</f>
        <v/>
      </c>
      <c r="T1276">
        <f>IF(C1276,(H1276*N1276*IF(AND(Inputs!$B$38&lt;&gt;"pvp",Inputs!$B$43&gt;0),((Skills!G9*((R1276-1)*IF(Skills!H9&gt;0,INT(Skills!I9/Skills!H9+0.000000001),1)+IF(Skills!H9&gt;0,INT(MIN(Skills!I9,MAX(0,MAX(0,Inputs!$B$43-B1305)-((R1276-1)*(IF(Inputs!$B$38="pvp",15,MAX(0.1,Skills!D9-IF(TRUE=TRUE,Inputs!$B$32,0)))*(1-IF(AND(ArtifactsInput!$M$27,Inputs!$B$4="Chapter Hunt"),CHOOSE(ArtifactsInput!$N$27+1,20,24,28,32,36,40),0)/100)))))/Skills!H9+0.000000001),1)))/Inputs!$B$43),G1276*Q1276))*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Hunt"),CHOOSE(ArtifactsInput!$N$35+1,15,18,21,24,27,30)*(1-EXP(-(0.2*B1300)*5)),0)+IF(AND(ArtifactsInput!$M$22,Inputs!$B$4&lt;&gt;"Chapter Hunt"),CHOOSE(ArtifactsInput!$N$22+1,10,12,14,16,18,20)*((0*(((0.15*B1300*5))^0/1)+1*(((0.15*B1300*5))^1/1)+2*(((0.15*B1300*5))^2/2)+3*(((0.15*B1300*5))^3/6)+4*(((0.15*B1300*5))^4/24)+5*(((0.15*B1300*5))^5/120))/((((0.15*B1300*5))^0/1)+(((0.15*B1300*5))^1/1)+(((0.15*B1300*5))^2/2)+(((0.15*B1300*5))^3/6)+(((0.15*B1300*5))^4/24)+(((0.15*B1300*5))^5/120))),0))+IF(Inputs!$B$3&gt;=54,9*(C1270=TRUE)*MIN(1,8*(1+Inputs!$B$34/100)*Q1270)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1276*(1-MIN(100,(Inputs!$B$9+((C1286=TRUE)*(F1286-Calc!F19))+B1298+(ArtifactsInput!$M$24-ArtifactsInput!$M$24)*CHOOSE(ArtifactsInput!$N$24+1,10,12,14,16,18,20)+(IF(AND(Inputs!$B$38&lt;&gt;"pvp",Inputs!$B$43=0),1,IF(IF(Inputs!$B$38="pvp",15,Inputs!$B$43)-(B1305)&lt;=0,1,MAX(0,IF(Inputs!$B$38="pvp",15,Inputs!$B$43)-MAX(5,B1305))/(IF(Inputs!$B$38="pvp",15,Inputs!$B$43)-(B1305))))*IF(AND(ArtifactsInput!$M$42,((Inputs!$B$9+((C1286=TRUE)*(F1286-Calc!F19))+B1298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1276*(MIN(100,(Inputs!$B$9+((C1286=TRUE)*(F1286-Calc!F19))+B1298+(ArtifactsInput!$M$24-ArtifactsInput!$M$24)*CHOOSE(ArtifactsInput!$N$24+1,10,12,14,16,18,20)+(IF(AND(Inputs!$B$38&lt;&gt;"pvp",Inputs!$B$43=0),1,IF(IF(Inputs!$B$38="pvp",15,Inputs!$B$43)-(B1305)&lt;=0,1,MAX(0,IF(Inputs!$B$38="pvp",15,Inputs!$B$43)-MAX(5,B1305))/(IF(Inputs!$B$38="pvp",15,Inputs!$B$43)-(B1305))))*IF(AND(ArtifactsInput!$M$42,((Inputs!$B$9+((C1286=TRUE)*(F1286-Calc!F19))+B1298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1276*(1-MIN(100,(Inputs!$B$9+((C1286=TRUE)*(F1286-Calc!F19))+B1298+(ArtifactsInput!$M$24-ArtifactsInput!$M$24)*CHOOSE(ArtifactsInput!$N$24+1,10,12,14,16,18,20)+(IF(AND(Inputs!$B$38&lt;&gt;"pvp",Inputs!$B$43=0),1,IF(IF(Inputs!$B$38="pvp",15,Inputs!$B$43)-(B1305)&lt;=0,1,MAX(0,IF(Inputs!$B$38="pvp",15,Inputs!$B$43)-MAX(5,B1305))/(IF(Inputs!$B$38="pvp",15,Inputs!$B$43)-(B1305))))*IF(AND(ArtifactsInput!$M$42,((Inputs!$B$9+((C1286=TRUE)*(F1286-Calc!F19))+B1298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1276*(MIN(100,(Inputs!$B$9+((C1286=TRUE)*(F1286-Calc!F19))+B1298+(ArtifactsInput!$M$24-ArtifactsInput!$M$24)*CHOOSE(ArtifactsInput!$N$24+1,10,12,14,16,18,20)+(IF(AND(Inputs!$B$38&lt;&gt;"pvp",Inputs!$B$43=0),1,IF(IF(Inputs!$B$38="pvp",15,Inputs!$B$43)-(B1305)&lt;=0,1,MAX(0,IF(Inputs!$B$38="pvp",15,Inputs!$B$43)-MAX(5,B1305))/(IF(Inputs!$B$38="pvp",15,Inputs!$B$43)-(B1305))))*IF(AND(ArtifactsInput!$M$42,((Inputs!$B$9+((C1286=TRUE)*(F1286-Calc!F19))+B1298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76">
        <f>IF(C1276,(H1276*N1276*IF(AND(Inputs!$B$38&lt;&gt;"pvp",Inputs!$B$43&gt;0),((Skills!G9*((R1276-1)*IF(Skills!H9&gt;0,INT(Skills!I9/Skills!H9+0.000000001),1)+IF(Skills!H9&gt;0,INT(MIN(Skills!I9,MAX(0,MAX(0,Inputs!$B$43-B1305)-((R1276-1)*(IF(Inputs!$B$38="pvp",15,MAX(0.1,Skills!D9-IF(TRUE=TRUE,Inputs!$B$32,0)))*(1-IF(AND(ArtifactsInput!$M$27,Inputs!$B$4="Chapter Hunt"),CHOOSE(ArtifactsInput!$N$27+1,20,24,28,32,36,40),0)/100)))))/Skills!H9+0.000000001),1)))/Inputs!$B$43),G1276*Q1276))*IF(Inputs!$B$38="pvp",1,(1+(Inputs!$B$21+Skills!Q9+(IF(ArtifactsInput!$M$33,CHOOSE(ArtifactsInput!$N$33+1,30,36,42,48,54,60),0))+(IF(AND(ArtifactsInput!$M$35,Inputs!$B$4&lt;&gt;"Chapter Hunt"),CHOOSE(ArtifactsInput!$N$35+1,15,18,21,24,27,30)*(1-EXP(-(0.2*B1300)*5)),0)+IF(AND(ArtifactsInput!$M$22,Inputs!$B$4&lt;&gt;"Chapter Hunt"),CHOOSE(ArtifactsInput!$N$22+1,10,12,14,16,18,20)*((0*(((0.15*B1300*5))^0/1)+1*(((0.15*B1300*5))^1/1)+2*(((0.15*B1300*5))^2/2)+3*(((0.15*B1300*5))^3/6)+4*(((0.15*B1300*5))^4/24)+5*(((0.15*B1300*5))^5/120))/((((0.15*B1300*5))^0/1)+(((0.15*B1300*5))^1/1)+(((0.15*B1300*5))^2/2)+(((0.15*B1300*5))^3/6)+(((0.15*B1300*5))^4/24)+(((0.15*B1300*5))^5/120))),0))+IF(Inputs!$B$3&gt;=54,9*(C1270=TRUE)*MIN(1,8*(1+Inputs!$B$34/100)*Q1270)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77">
      <c r="A1277">
        <f>Skills!A10</f>
        <v/>
      </c>
      <c r="B1277">
        <f>Skills!B10</f>
        <v/>
      </c>
      <c r="C1277">
        <f>Inputs!$B$3&gt;=113</f>
        <v/>
      </c>
      <c r="D1277">
        <f>IF(Skills!C10=1,60+Inputs!$B$25+Inputs!$B$29,IF(Skills!C10=2,90+Inputs!$B$26+Inputs!$B$29,IF(Skills!C10=3,120+Inputs!$B$27+Inputs!$B$29,MAX(0,(Inputs!$B$3-100)*3)+Inputs!$B$28+Inputs!$B$29)))</f>
        <v/>
      </c>
      <c r="E1277">
        <f>INDEX(FactorTable!$B$2:$Y$301, MATCH(ROUND(MIN(300,MAX(1,D1277)),0), FactorTable!$A$2:$A$301,0), Skills!M10+1)</f>
        <v/>
      </c>
      <c r="F1277">
        <f>IF(Skills!N10=TRUE,(Skills!L10/10)*(E1277/1000),Skills!L10/10)+Skills!O10</f>
        <v/>
      </c>
      <c r="G1277">
        <f>Skills!G10*IF(Skills!H10&gt;0,INT(IF(Inputs!$B$38="pvp",MIN(Skills!I10,15),Skills!I10)/Skills!H10+0.000000001),1)</f>
        <v/>
      </c>
      <c r="H1277">
        <f>1-(1-Skills!J10/100)^Skills!K10</f>
        <v/>
      </c>
      <c r="I1277" t="inlineStr">
        <is>
          <t>1</t>
        </is>
      </c>
      <c r="J1277">
        <f>((Inputs!$B$6*(1+Inputs!$B$7/100))+(((Inputs!$B$12*(1+Inputs!$B$13/100))-(Inputs!$B$12*(1+Inputs!$B$13/100)))+0.25*(Inputs!$B$14-Inputs!$B$14))*(1+Inputs!$B$7/100))*(F1277/100)</f>
        <v/>
      </c>
      <c r="K1277">
        <f>J1277*(1+((Inputs!$B$12*(1+Inputs!$B$13/100))*0.01+Inputs!$B$14*0.0025)/100)*(1+Inputs!$B$15/100)*(1+Inputs!$B$16/100)*(5000/(6000+Inputs!$B$42*(1-(100*(1-(1-(Inputs!$B$19+0)/100)*(1-CHOOSE(ArtifactsInput!$N$40+1,5,6,7,8,9,10)/100)^(ArtifactsInput!$M$40-ArtifactsInput!$M$40)))/100)))*(1+(Inputs!$B$24+((C1293=TRUE)*(F1293-Calc!F26))+B1304)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IGHT_LEGS_EASTON",Inputs!$B$17+((C1290=TRUE)*(F1290-Calc!F23))+((C1294=TRUE)*(F1294-Calc!F27))+((IF(AND(Inputs!$B$38&lt;&gt;"pvp",Inputs!$B$43=0),1,IF(IF(Inputs!$B$38="pvp",15,Inputs!$B$43)-(B1305)&lt;=0,1,MAX(0,IF(Inputs!$B$38="pvp",15,Inputs!$B$43)-MAX(5,B1305))/(IF(Inputs!$B$38="pvp",15,Inputs!$B$43)-(B1305))))*(IF(AND(ArtifactsInput!$M$42,((Inputs!$B$9+((C1286=TRUE)*(F1286-Calc!F19))+B1298+(ArtifactsInput!$M$24-ArtifactsInput!$M$24)*CHOOSE(ArtifactsInput!$N$24+1,10,12,14,16,18,20)+IF(ArtifactsInput!$M$10,CHOOSE(ArtifactsInput!$N$10+1,15,18,21,24,27,30)*(IF(Inputs!$B$38="pvp",MIN(15,15)/15,IF(AND(Inputs!$B$38&lt;&gt;"pvp",Inputs!$B$43&gt;0),MIN(15,Inputs!$B$43)/(Inputs!$B$43),0))),0)))&gt;=100),MIN(100,((Inputs!$B$9+((C1286=TRUE)*(F1286-Calc!F19))+B1298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1305)&lt;=0,1,MAX(0,IF(Inputs!$B$38="pvp",15,Inputs!$B$43)-MAX(5,B1305))/(IF(Inputs!$B$38="pvp",15,Inputs!$B$43)-(B1305))))*IF(AND(ArtifactsInput!$M$42,((Inputs!$B$9+((C1286=TRUE)*(F1286-Calc!F19))+B1298+(ArtifactsInput!$M$24-ArtifactsInput!$M$24)*CHOOSE(ArtifactsInput!$N$24+1,10,12,14,16,18,20)+IF(ArtifactsInput!$M$10,CHOOSE(ArtifactsInput!$N$10+1,15,18,21,24,27,30)*(IF(Inputs!$B$38="pvp",MIN(15,15)/15,IF(AND(Inputs!$B$38&lt;&gt;"pvp",Inputs!$B$43&gt;0),MIN(15,Inputs!$B$43)/(Inputs!$B$43),0))),0)))&gt;=100),CHOOSE(ArtifactsInput!$N$42+1,40,48,56,64,72,80),0))))/100)*((1+(((C1284=TRUE)*F1284*5/7)+((C1291=TRUE)*(F1291-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IF(ArtifactsInput!$M$5,FALSE,TRUE),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1277)</f>
        <v/>
      </c>
      <c r="L1277">
        <f>K1277*(MIN(Inputs!$B$22+((C1289=TRUE)*(F1289-Calc!F22)),(Inputs!$B$23+0+(IF(ArtifactsInput!$M$15,CHOOSE(ArtifactsInput!$N$15+1,25,30,35,40,45,50)/100*(Inputs!$B$11-Inputs!$B$11),0))))/100+(Inputs!$B$23+0+(IF(ArtifactsInput!$M$15,CHOOSE(ArtifactsInput!$N$15+1,25,30,35,40,45,50)/100*(Inputs!$B$11-Inputs!$B$11),0)))/100)/2</f>
        <v/>
      </c>
      <c r="M1277">
        <f>L1277*(1+(Inputs!$B$10+((C1292=TRUE)*(F1292-Calc!F25))+B1303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77">
        <f>L1277*(1-MIN((Inputs!$B$9+((C1286=TRUE)*(F1286-Calc!F19))+B1298+(ArtifactsInput!$M$24-ArtifactsInput!$M$24)*CHOOSE(ArtifactsInput!$N$24+1,10,12,14,16,18,20)+(IF(AND(Inputs!$B$38&lt;&gt;"pvp",Inputs!$B$43=0),1,IF(IF(Inputs!$B$38="pvp",15,Inputs!$B$43)-(B1305)&lt;=0,1,MAX(0,IF(Inputs!$B$38="pvp",15,Inputs!$B$43)-MAX(5,B1305))/(IF(Inputs!$B$38="pvp",15,Inputs!$B$43)-(B1305))))*IF(AND(ArtifactsInput!$M$42,((Inputs!$B$9+((C1286=TRUE)*(F1286-Calc!F19))+B1298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1277*(MIN((Inputs!$B$9+((C1286=TRUE)*(F1286-Calc!F19))+B1298+(ArtifactsInput!$M$24-ArtifactsInput!$M$24)*CHOOSE(ArtifactsInput!$N$24+1,10,12,14,16,18,20)+(IF(AND(Inputs!$B$38&lt;&gt;"pvp",Inputs!$B$43=0),1,IF(IF(Inputs!$B$38="pvp",15,Inputs!$B$43)-(B1305)&lt;=0,1,MAX(0,IF(Inputs!$B$38="pvp",15,Inputs!$B$43)-MAX(5,B1305))/(IF(Inputs!$B$38="pvp",15,Inputs!$B$43)-(B1305))))*IF(AND(ArtifactsInput!$M$42,((Inputs!$B$9+((C1286=TRUE)*(F1286-Calc!F19))+B1298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77">
        <f>(1-Summary!$B$11)*T1277+Summary!$B$11*V1277</f>
        <v/>
      </c>
      <c r="P1277">
        <f>IF(B1308=0,0,O1277/B1308)</f>
        <v/>
      </c>
      <c r="Q1277" t="n">
        <v>0</v>
      </c>
      <c r="R1277" t="n">
        <v>0</v>
      </c>
      <c r="S1277">
        <f>IFERROR(O1277/N1277,0)</f>
        <v/>
      </c>
      <c r="T1277">
        <f>IF(C1277,((H1277*B1310)/(1+Skills!H10*H1277*B1310)*N1277)*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Hunt"),CHOOSE(ArtifactsInput!$N$35+1,15,18,21,24,27,30)*(1-EXP(-(0.2*B1300)*5)),0)+IF(AND(ArtifactsInput!$M$22,Inputs!$B$4&lt;&gt;"Chapter Hunt"),CHOOSE(ArtifactsInput!$N$22+1,10,12,14,16,18,20)*((0*(((0.15*B1300*5))^0/1)+1*(((0.15*B1300*5))^1/1)+2*(((0.15*B1300*5))^2/2)+3*(((0.15*B1300*5))^3/6)+4*(((0.15*B1300*5))^4/24)+5*(((0.15*B1300*5))^5/120))/((((0.15*B1300*5))^0/1)+(((0.15*B1300*5))^1/1)+(((0.15*B1300*5))^2/2)+(((0.15*B1300*5))^3/6)+(((0.15*B1300*5))^4/24)+(((0.15*B1300*5))^5/120))),0))+IF(Inputs!$B$3&gt;=54,9*(C1270=TRUE)*MIN(1,8*(1+Inputs!$B$34/100)*Q1270)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1277*(1-MIN(100,(Inputs!$B$9+((C1286=TRUE)*(F1286-Calc!F19))+B1298+(ArtifactsInput!$M$24-ArtifactsInput!$M$24)*CHOOSE(ArtifactsInput!$N$24+1,10,12,14,16,18,20)+(IF(AND(Inputs!$B$38&lt;&gt;"pvp",Inputs!$B$43=0),1,IF(IF(Inputs!$B$38="pvp",15,Inputs!$B$43)-(B1305)&lt;=0,1,MAX(0,IF(Inputs!$B$38="pvp",15,Inputs!$B$43)-MAX(5,B1305))/(IF(Inputs!$B$38="pvp",15,Inputs!$B$43)-(B1305))))*IF(AND(ArtifactsInput!$M$42,((Inputs!$B$9+((C1286=TRUE)*(F1286-Calc!F19))+B1298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1277*(MIN(100,(Inputs!$B$9+((C1286=TRUE)*(F1286-Calc!F19))+B1298+(ArtifactsInput!$M$24-ArtifactsInput!$M$24)*CHOOSE(ArtifactsInput!$N$24+1,10,12,14,16,18,20)+(IF(AND(Inputs!$B$38&lt;&gt;"pvp",Inputs!$B$43=0),1,IF(IF(Inputs!$B$38="pvp",15,Inputs!$B$43)-(B1305)&lt;=0,1,MAX(0,IF(Inputs!$B$38="pvp",15,Inputs!$B$43)-MAX(5,B1305))/(IF(Inputs!$B$38="pvp",15,Inputs!$B$43)-(B1305))))*IF(AND(ArtifactsInput!$M$42,((Inputs!$B$9+((C1286=TRUE)*(F1286-Calc!F19))+B1298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1277*(1-MIN(100,(Inputs!$B$9+((C1286=TRUE)*(F1286-Calc!F19))+B1298+(ArtifactsInput!$M$24-ArtifactsInput!$M$24)*CHOOSE(ArtifactsInput!$N$24+1,10,12,14,16,18,20)+(IF(AND(Inputs!$B$38&lt;&gt;"pvp",Inputs!$B$43=0),1,IF(IF(Inputs!$B$38="pvp",15,Inputs!$B$43)-(B1305)&lt;=0,1,MAX(0,IF(Inputs!$B$38="pvp",15,Inputs!$B$43)-MAX(5,B1305))/(IF(Inputs!$B$38="pvp",15,Inputs!$B$43)-(B1305))))*IF(AND(ArtifactsInput!$M$42,((Inputs!$B$9+((C1286=TRUE)*(F1286-Calc!F19))+B1298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1277*(MIN(100,(Inputs!$B$9+((C1286=TRUE)*(F1286-Calc!F19))+B1298+(ArtifactsInput!$M$24-ArtifactsInput!$M$24)*CHOOSE(ArtifactsInput!$N$24+1,10,12,14,16,18,20)+(IF(AND(Inputs!$B$38&lt;&gt;"pvp",Inputs!$B$43=0),1,IF(IF(Inputs!$B$38="pvp",15,Inputs!$B$43)-(B1305)&lt;=0,1,MAX(0,IF(Inputs!$B$38="pvp",15,Inputs!$B$43)-MAX(5,B1305))/(IF(Inputs!$B$38="pvp",15,Inputs!$B$43)-(B1305))))*IF(AND(ArtifactsInput!$M$42,((Inputs!$B$9+((C1286=TRUE)*(F1286-Calc!F19))+B1298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77">
        <f>IF(C1277,((H1277*B1310)/(1+Skills!H10*H1277*B1310)*N1277)*IF(Inputs!$B$38="pvp",1,(1+(Inputs!$B$21+Skills!Q10+(IF(ArtifactsInput!$M$33,CHOOSE(ArtifactsInput!$N$33+1,30,36,42,48,54,60),0))+(IF(AND(ArtifactsInput!$M$35,Inputs!$B$4&lt;&gt;"Chapter Hunt"),CHOOSE(ArtifactsInput!$N$35+1,15,18,21,24,27,30)*(1-EXP(-(0.2*B1300)*5)),0)+IF(AND(ArtifactsInput!$M$22,Inputs!$B$4&lt;&gt;"Chapter Hunt"),CHOOSE(ArtifactsInput!$N$22+1,10,12,14,16,18,20)*((0*(((0.15*B1300*5))^0/1)+1*(((0.15*B1300*5))^1/1)+2*(((0.15*B1300*5))^2/2)+3*(((0.15*B1300*5))^3/6)+4*(((0.15*B1300*5))^4/24)+5*(((0.15*B1300*5))^5/120))/((((0.15*B1300*5))^0/1)+(((0.15*B1300*5))^1/1)+(((0.15*B1300*5))^2/2)+(((0.15*B1300*5))^3/6)+(((0.15*B1300*5))^4/24)+(((0.15*B1300*5))^5/120))),0))+IF(Inputs!$B$3&gt;=54,9*(C1270=TRUE)*MIN(1,8*(1+Inputs!$B$34/100)*Q1270)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78">
      <c r="A1278">
        <f>Skills!A11</f>
        <v/>
      </c>
      <c r="B1278">
        <f>Skills!B11</f>
        <v/>
      </c>
      <c r="C1278">
        <f>Inputs!$B$3&gt;=117</f>
        <v/>
      </c>
      <c r="D1278">
        <f>IF(Skills!C11=1,60+Inputs!$B$25+Inputs!$B$29,IF(Skills!C11=2,90+Inputs!$B$26+Inputs!$B$29,IF(Skills!C11=3,120+Inputs!$B$27+Inputs!$B$29,MAX(0,(Inputs!$B$3-100)*3)+Inputs!$B$28+Inputs!$B$29)))</f>
        <v/>
      </c>
      <c r="E1278">
        <f>INDEX(FactorTable!$B$2:$Y$301, MATCH(ROUND(MIN(300,MAX(1,D1278)),0), FactorTable!$A$2:$A$301,0), Skills!M11+1)</f>
        <v/>
      </c>
      <c r="F1278">
        <f>IF(Skills!N11=TRUE,(Skills!L11/10)*(E1278/1000),Skills!L11/10)+Skills!O11</f>
        <v/>
      </c>
      <c r="G1278">
        <f>Skills!G11*IF(Skills!H11&gt;0,INT(IF(Inputs!$B$38="pvp",MIN(Skills!I11,15),Skills!I11)/Skills!H11+0.000000001),1)</f>
        <v/>
      </c>
      <c r="H1278">
        <f>1-(1-Skills!J11/100)^Skills!K11</f>
        <v/>
      </c>
      <c r="I1278" t="inlineStr">
        <is>
          <t>1</t>
        </is>
      </c>
      <c r="J1278">
        <f>((Inputs!$B$6*(1+Inputs!$B$7/100))+(((Inputs!$B$12*(1+Inputs!$B$13/100))-(Inputs!$B$12*(1+Inputs!$B$13/100)))+0.25*(Inputs!$B$14-Inputs!$B$14))*(1+Inputs!$B$7/100))*(F1278/100)</f>
        <v/>
      </c>
      <c r="K1278">
        <f>J1278*(1+((Inputs!$B$12*(1+Inputs!$B$13/100))*0.01+Inputs!$B$14*0.0025)/100)*(1+Inputs!$B$15/100)*(1+Inputs!$B$16/100)*(5000/(6000+Inputs!$B$42*(1-(100*(1-(1-(Inputs!$B$19+0)/100)*(1-CHOOSE(ArtifactsInput!$N$40+1,5,6,7,8,9,10)/100)^(ArtifactsInput!$M$40-ArtifactsInput!$M$40)))/100)))*(1+(Inputs!$B$24+((C1293=TRUE)*(F1293-Calc!F26))+B1304)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IGHT_LEGS_EASTON",Inputs!$B$17+((C1290=TRUE)*(F1290-Calc!F23))+((C1294=TRUE)*(F1294-Calc!F27))+((IF(AND(Inputs!$B$38&lt;&gt;"pvp",Inputs!$B$43=0),1,IF(IF(Inputs!$B$38="pvp",15,Inputs!$B$43)-(B1305)&lt;=0,1,MAX(0,IF(Inputs!$B$38="pvp",15,Inputs!$B$43)-MAX(5,B1305))/(IF(Inputs!$B$38="pvp",15,Inputs!$B$43)-(B1305))))*(IF(AND(ArtifactsInput!$M$42,((Inputs!$B$9+((C1286=TRUE)*(F1286-Calc!F19))+B1298+(ArtifactsInput!$M$24-ArtifactsInput!$M$24)*CHOOSE(ArtifactsInput!$N$24+1,10,12,14,16,18,20)+IF(ArtifactsInput!$M$10,CHOOSE(ArtifactsInput!$N$10+1,15,18,21,24,27,30)*(IF(Inputs!$B$38="pvp",MIN(15,15)/15,IF(AND(Inputs!$B$38&lt;&gt;"pvp",Inputs!$B$43&gt;0),MIN(15,Inputs!$B$43)/(Inputs!$B$43),0))),0)))&gt;=100),MIN(100,((Inputs!$B$9+((C1286=TRUE)*(F1286-Calc!F19))+B1298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1305)&lt;=0,1,MAX(0,IF(Inputs!$B$38="pvp",15,Inputs!$B$43)-MAX(5,B1305))/(IF(Inputs!$B$38="pvp",15,Inputs!$B$43)-(B1305))))*IF(AND(ArtifactsInput!$M$42,((Inputs!$B$9+((C1286=TRUE)*(F1286-Calc!F19))+B1298+(ArtifactsInput!$M$24-ArtifactsInput!$M$24)*CHOOSE(ArtifactsInput!$N$24+1,10,12,14,16,18,20)+IF(ArtifactsInput!$M$10,CHOOSE(ArtifactsInput!$N$10+1,15,18,21,24,27,30)*(IF(Inputs!$B$38="pvp",MIN(15,15)/15,IF(AND(Inputs!$B$38&lt;&gt;"pvp",Inputs!$B$43&gt;0),MIN(15,Inputs!$B$43)/(Inputs!$B$43),0))),0)))&gt;=100),CHOOSE(ArtifactsInput!$N$42+1,40,48,56,64,72,80),0))))/100)*((1+(((C1284=TRUE)*F1284*5/7)+((C1291=TRUE)*(F1291-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IF(ArtifactsInput!$M$5,FALSE,TRUE),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1278)</f>
        <v/>
      </c>
      <c r="L1278">
        <f>K1278*(MIN(Inputs!$B$22+((C1289=TRUE)*(F1289-Calc!F22)),(Inputs!$B$23+0+(IF(ArtifactsInput!$M$15,CHOOSE(ArtifactsInput!$N$15+1,25,30,35,40,45,50)/100*(Inputs!$B$11-Inputs!$B$11),0))))/100+(Inputs!$B$23+0+(IF(ArtifactsInput!$M$15,CHOOSE(ArtifactsInput!$N$15+1,25,30,35,40,45,50)/100*(Inputs!$B$11-Inputs!$B$11),0)))/100)/2</f>
        <v/>
      </c>
      <c r="M1278">
        <f>L1278*(1+(Inputs!$B$10+((C1292=TRUE)*(F1292-Calc!F25))+B1303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78">
        <f>L1278*(1-MIN((Inputs!$B$9+((C1286=TRUE)*(F1286-Calc!F19))+B1298+(ArtifactsInput!$M$24-ArtifactsInput!$M$24)*CHOOSE(ArtifactsInput!$N$24+1,10,12,14,16,18,20)+(IF(AND(Inputs!$B$38&lt;&gt;"pvp",Inputs!$B$43=0),1,IF(IF(Inputs!$B$38="pvp",15,Inputs!$B$43)-(B1305)&lt;=0,1,MAX(0,IF(Inputs!$B$38="pvp",15,Inputs!$B$43)-MAX(5,B1305))/(IF(Inputs!$B$38="pvp",15,Inputs!$B$43)-(B1305))))*IF(AND(ArtifactsInput!$M$42,((Inputs!$B$9+((C1286=TRUE)*(F1286-Calc!F19))+B1298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1278*(MIN((Inputs!$B$9+((C1286=TRUE)*(F1286-Calc!F19))+B1298+(ArtifactsInput!$M$24-ArtifactsInput!$M$24)*CHOOSE(ArtifactsInput!$N$24+1,10,12,14,16,18,20)+(IF(AND(Inputs!$B$38&lt;&gt;"pvp",Inputs!$B$43=0),1,IF(IF(Inputs!$B$38="pvp",15,Inputs!$B$43)-(B1305)&lt;=0,1,MAX(0,IF(Inputs!$B$38="pvp",15,Inputs!$B$43)-MAX(5,B1305))/(IF(Inputs!$B$38="pvp",15,Inputs!$B$43)-(B1305))))*IF(AND(ArtifactsInput!$M$42,((Inputs!$B$9+((C1286=TRUE)*(F1286-Calc!F19))+B1298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78">
        <f>(1-Summary!$B$11)*T1278+Summary!$B$11*V1278</f>
        <v/>
      </c>
      <c r="P1278">
        <f>IF(B1308=0,0,O1278/B1308)</f>
        <v/>
      </c>
      <c r="Q1278">
        <f>IFERROR(1/((IF(Inputs!$B$38="pvp",15,MAX(0.1,Skills!D11-IF(TRUE=TRUE,Inputs!$B$32,0)))*(1-IF(AND(ArtifactsInput!$M$27,Inputs!$B$4="Chapter Hunt"),CHOOSE(ArtifactsInput!$N$27+1,20,24,28,32,36,40),0)/100))/B1309),0)</f>
        <v/>
      </c>
      <c r="R1278">
        <f>IF(AND(Inputs!$B$38&lt;&gt;"pvp",Inputs!$B$43&gt;0),IF(MAX(0,Inputs!$B$43-B1305)&lt;=0,0,(INT(MAX(0,Inputs!$B$43-B1305)/((IF(Inputs!$B$38="pvp",15,MAX(0.1,Skills!D11-IF(TRUE=TRUE,Inputs!$B$32,0)))*(1-IF(AND(ArtifactsInput!$M$27,Inputs!$B$4="Chapter Hunt"),CHOOSE(ArtifactsInput!$N$27+1,20,24,28,32,36,40),0)/100))/B1309))+1)),0)</f>
        <v/>
      </c>
      <c r="S1278">
        <f>IFERROR(O1278/N1278,0)</f>
        <v/>
      </c>
      <c r="T1278">
        <f>IF(C1278,(H1278*N1278*IF(AND(Inputs!$B$38&lt;&gt;"pvp",Inputs!$B$43&gt;0),((Skills!G11*((R1278-1)*IF(Skills!H11&gt;0,INT(Skills!I11/Skills!H11+0.000000001),1)+IF(Skills!H11&gt;0,INT(MIN(Skills!I11,MAX(0,MAX(0,Inputs!$B$43-B1305)-((R1278-1)*((IF(Inputs!$B$38="pvp",15,MAX(0.1,Skills!D11-IF(TRUE=TRUE,Inputs!$B$32,0)))*(1-IF(AND(ArtifactsInput!$M$27,Inputs!$B$4="Chapter Hunt"),CHOOSE(ArtifactsInput!$N$27+1,20,24,28,32,36,40),0)/100))/B1309))))/Skills!H11+0.000000001),1)))/Inputs!$B$43),G1278*Q1278))*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Hunt"),CHOOSE(ArtifactsInput!$N$35+1,15,18,21,24,27,30)*(1-EXP(-(0.2*B1300)*5)),0)+IF(AND(ArtifactsInput!$M$22,Inputs!$B$4&lt;&gt;"Chapter Hunt"),CHOOSE(ArtifactsInput!$N$22+1,10,12,14,16,18,20)*((0*(((0.15*B1300*5))^0/1)+1*(((0.15*B1300*5))^1/1)+2*(((0.15*B1300*5))^2/2)+3*(((0.15*B1300*5))^3/6)+4*(((0.15*B1300*5))^4/24)+5*(((0.15*B1300*5))^5/120))/((((0.15*B1300*5))^0/1)+(((0.15*B1300*5))^1/1)+(((0.15*B1300*5))^2/2)+(((0.15*B1300*5))^3/6)+(((0.15*B1300*5))^4/24)+(((0.15*B1300*5))^5/120))),0))+IF(Inputs!$B$3&gt;=54,9*(C1270=TRUE)*MIN(1,8*(1+Inputs!$B$34/100)*Q1270)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1278*(1-MIN(100,(Inputs!$B$9+((C1286=TRUE)*(F1286-Calc!F19))+B1298+(ArtifactsInput!$M$24-ArtifactsInput!$M$24)*CHOOSE(ArtifactsInput!$N$24+1,10,12,14,16,18,20)+(IF(AND(Inputs!$B$38&lt;&gt;"pvp",Inputs!$B$43=0),1,IF(IF(Inputs!$B$38="pvp",15,Inputs!$B$43)-(B1305)&lt;=0,1,MAX(0,IF(Inputs!$B$38="pvp",15,Inputs!$B$43)-MAX(5,B1305))/(IF(Inputs!$B$38="pvp",15,Inputs!$B$43)-(B1305))))*IF(AND(ArtifactsInput!$M$42,((Inputs!$B$9+((C1286=TRUE)*(F1286-Calc!F19))+B1298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1278*(MIN(100,(Inputs!$B$9+((C1286=TRUE)*(F1286-Calc!F19))+B1298+(ArtifactsInput!$M$24-ArtifactsInput!$M$24)*CHOOSE(ArtifactsInput!$N$24+1,10,12,14,16,18,20)+(IF(AND(Inputs!$B$38&lt;&gt;"pvp",Inputs!$B$43=0),1,IF(IF(Inputs!$B$38="pvp",15,Inputs!$B$43)-(B1305)&lt;=0,1,MAX(0,IF(Inputs!$B$38="pvp",15,Inputs!$B$43)-MAX(5,B1305))/(IF(Inputs!$B$38="pvp",15,Inputs!$B$43)-(B1305))))*IF(AND(ArtifactsInput!$M$42,((Inputs!$B$9+((C1286=TRUE)*(F1286-Calc!F19))+B1298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1278*(1-MIN(100,(Inputs!$B$9+((C1286=TRUE)*(F1286-Calc!F19))+B1298+(ArtifactsInput!$M$24-ArtifactsInput!$M$24)*CHOOSE(ArtifactsInput!$N$24+1,10,12,14,16,18,20)+(IF(AND(Inputs!$B$38&lt;&gt;"pvp",Inputs!$B$43=0),1,IF(IF(Inputs!$B$38="pvp",15,Inputs!$B$43)-(B1305)&lt;=0,1,MAX(0,IF(Inputs!$B$38="pvp",15,Inputs!$B$43)-MAX(5,B1305))/(IF(Inputs!$B$38="pvp",15,Inputs!$B$43)-(B1305))))*IF(AND(ArtifactsInput!$M$42,((Inputs!$B$9+((C1286=TRUE)*(F1286-Calc!F19))+B1298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1278*(MIN(100,(Inputs!$B$9+((C1286=TRUE)*(F1286-Calc!F19))+B1298+(ArtifactsInput!$M$24-ArtifactsInput!$M$24)*CHOOSE(ArtifactsInput!$N$24+1,10,12,14,16,18,20)+(IF(AND(Inputs!$B$38&lt;&gt;"pvp",Inputs!$B$43=0),1,IF(IF(Inputs!$B$38="pvp",15,Inputs!$B$43)-(B1305)&lt;=0,1,MAX(0,IF(Inputs!$B$38="pvp",15,Inputs!$B$43)-MAX(5,B1305))/(IF(Inputs!$B$38="pvp",15,Inputs!$B$43)-(B1305))))*IF(AND(ArtifactsInput!$M$42,((Inputs!$B$9+((C1286=TRUE)*(F1286-Calc!F19))+B1298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78">
        <f>IF(C1278,(H1278*N1278*IF(AND(Inputs!$B$38&lt;&gt;"pvp",Inputs!$B$43&gt;0),((Skills!G11*((R1278-1)*IF(Skills!H11&gt;0,INT(Skills!I11/Skills!H11+0.000000001),1)+IF(Skills!H11&gt;0,INT(MIN(Skills!I11,MAX(0,MAX(0,Inputs!$B$43-B1305)-((R1278-1)*((IF(Inputs!$B$38="pvp",15,MAX(0.1,Skills!D11-IF(TRUE=TRUE,Inputs!$B$32,0)))*(1-IF(AND(ArtifactsInput!$M$27,Inputs!$B$4="Chapter Hunt"),CHOOSE(ArtifactsInput!$N$27+1,20,24,28,32,36,40),0)/100))/B1309))))/Skills!H11+0.000000001),1)))/Inputs!$B$43),G1278*Q1278))*IF(Inputs!$B$38="pvp",1,(1+(Inputs!$B$21+Skills!Q11+(IF(ArtifactsInput!$M$33,CHOOSE(ArtifactsInput!$N$33+1,30,36,42,48,54,60),0))+(IF(AND(ArtifactsInput!$M$35,Inputs!$B$4&lt;&gt;"Chapter Hunt"),CHOOSE(ArtifactsInput!$N$35+1,15,18,21,24,27,30)*(1-EXP(-(0.2*B1300)*5)),0)+IF(AND(ArtifactsInput!$M$22,Inputs!$B$4&lt;&gt;"Chapter Hunt"),CHOOSE(ArtifactsInput!$N$22+1,10,12,14,16,18,20)*((0*(((0.15*B1300*5))^0/1)+1*(((0.15*B1300*5))^1/1)+2*(((0.15*B1300*5))^2/2)+3*(((0.15*B1300*5))^3/6)+4*(((0.15*B1300*5))^4/24)+5*(((0.15*B1300*5))^5/120))/((((0.15*B1300*5))^0/1)+(((0.15*B1300*5))^1/1)+(((0.15*B1300*5))^2/2)+(((0.15*B1300*5))^3/6)+(((0.15*B1300*5))^4/24)+(((0.15*B1300*5))^5/120))),0))+IF(Inputs!$B$3&gt;=54,9*(C1270=TRUE)*MIN(1,8*(1+Inputs!$B$34/100)*Q1270)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79">
      <c r="A1279">
        <f>Skills!A12</f>
        <v/>
      </c>
      <c r="B1279">
        <f>Skills!B12</f>
        <v/>
      </c>
      <c r="C1279">
        <f>Inputs!$B$3&gt;=110</f>
        <v/>
      </c>
      <c r="D1279">
        <f>IF(Skills!C12=1,60+Inputs!$B$25+Inputs!$B$29,IF(Skills!C12=2,90+Inputs!$B$26+Inputs!$B$29,IF(Skills!C12=3,120+Inputs!$B$27+Inputs!$B$29,MAX(0,(Inputs!$B$3-100)*3)+Inputs!$B$28+Inputs!$B$29)))</f>
        <v/>
      </c>
      <c r="E1279">
        <f>INDEX(FactorTable!$B$2:$Y$301, MATCH(ROUND(MIN(300,MAX(1,D1279)),0), FactorTable!$A$2:$A$301,0), Skills!M12+1)</f>
        <v/>
      </c>
      <c r="F1279">
        <f>IF(Skills!N12=TRUE,(Skills!L12/10)*(E1279/1000),Skills!L12/10)+Skills!O12</f>
        <v/>
      </c>
      <c r="G1279">
        <f>Skills!G12*IF(Skills!H12&gt;0,INT(IF(Inputs!$B$38="pvp",MIN(Skills!I12,15),Skills!I12)/Skills!H12+0.000000001),1)</f>
        <v/>
      </c>
      <c r="H1279">
        <f>1-(1-Skills!J12/100)^Skills!K12</f>
        <v/>
      </c>
      <c r="I1279" t="inlineStr">
        <is>
          <t>1</t>
        </is>
      </c>
      <c r="J1279">
        <f>((Inputs!$B$6*(1+Inputs!$B$7/100))+(((Inputs!$B$12*(1+Inputs!$B$13/100))-(Inputs!$B$12*(1+Inputs!$B$13/100)))+0.25*(Inputs!$B$14-Inputs!$B$14))*(1+Inputs!$B$7/100))*(F1279/100)</f>
        <v/>
      </c>
      <c r="K1279">
        <f>J1279*(1+((Inputs!$B$12*(1+Inputs!$B$13/100))*0.01+Inputs!$B$14*0.0025)/100)*(1+Inputs!$B$15/100)*(1+Inputs!$B$16/100)*(5000/(6000+Inputs!$B$42*(1-(100*(1-(1-(Inputs!$B$19+0)/100)*(1-CHOOSE(ArtifactsInput!$N$40+1,5,6,7,8,9,10)/100)^(ArtifactsInput!$M$40-ArtifactsInput!$M$40)))/100)))*(1+(Inputs!$B$24+((C1293=TRUE)*(F1293-Calc!F26))+B1304)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EIGHT_LEGS_EASTON",Inputs!$B$17+((C1290=TRUE)*(F1290-Calc!F23))+((C1294=TRUE)*(F1294-Calc!F27))+((IF(AND(Inputs!$B$38&lt;&gt;"pvp",Inputs!$B$43=0),1,IF(IF(Inputs!$B$38="pvp",15,Inputs!$B$43)-(B1305)&lt;=0,1,MAX(0,IF(Inputs!$B$38="pvp",15,Inputs!$B$43)-MAX(5,B1305))/(IF(Inputs!$B$38="pvp",15,Inputs!$B$43)-(B1305))))*(IF(AND(ArtifactsInput!$M$42,((Inputs!$B$9+((C1286=TRUE)*(F1286-Calc!F19))+B1298+(ArtifactsInput!$M$24-ArtifactsInput!$M$24)*CHOOSE(ArtifactsInput!$N$24+1,10,12,14,16,18,20)+IF(ArtifactsInput!$M$10,CHOOSE(ArtifactsInput!$N$10+1,15,18,21,24,27,30)*(IF(Inputs!$B$38="pvp",MIN(15,15)/15,IF(AND(Inputs!$B$38&lt;&gt;"pvp",Inputs!$B$43&gt;0),MIN(15,Inputs!$B$43)/(Inputs!$B$43),0))),0)))&gt;=100),MIN(100,((Inputs!$B$9+((C1286=TRUE)*(F1286-Calc!F19))+B1298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1305)&lt;=0,1,MAX(0,IF(Inputs!$B$38="pvp",15,Inputs!$B$43)-MAX(5,B1305))/(IF(Inputs!$B$38="pvp",15,Inputs!$B$43)-(B1305))))*IF(AND(ArtifactsInput!$M$42,((Inputs!$B$9+((C1286=TRUE)*(F1286-Calc!F19))+B1298+(ArtifactsInput!$M$24-ArtifactsInput!$M$24)*CHOOSE(ArtifactsInput!$N$24+1,10,12,14,16,18,20)+IF(ArtifactsInput!$M$10,CHOOSE(ArtifactsInput!$N$10+1,15,18,21,24,27,30)*(IF(Inputs!$B$38="pvp",MIN(15,15)/15,IF(AND(Inputs!$B$38&lt;&gt;"pvp",Inputs!$B$43&gt;0),MIN(15,Inputs!$B$43)/(Inputs!$B$43),0))),0)))&gt;=100),CHOOSE(ArtifactsInput!$N$42+1,40,48,56,64,72,80),0))))/100)*((1+(((C1284=TRUE)*F1284*5/7)+((C1291=TRUE)*(F1291-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IF(ArtifactsInput!$M$5,FALSE,TRUE),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1279)</f>
        <v/>
      </c>
      <c r="L1279">
        <f>K1279*(MIN(Inputs!$B$22+((C1289=TRUE)*(F1289-Calc!F22)),(Inputs!$B$23+0+(IF(ArtifactsInput!$M$15,CHOOSE(ArtifactsInput!$N$15+1,25,30,35,40,45,50)/100*(Inputs!$B$11-Inputs!$B$11),0))))/100+(Inputs!$B$23+0+(IF(ArtifactsInput!$M$15,CHOOSE(ArtifactsInput!$N$15+1,25,30,35,40,45,50)/100*(Inputs!$B$11-Inputs!$B$11),0)))/100)/2</f>
        <v/>
      </c>
      <c r="M1279">
        <f>L1279*(1+(Inputs!$B$10+((C1292=TRUE)*(F1292-Calc!F25))+B1303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79">
        <f>L1279*(1-MIN((Inputs!$B$9+((C1286=TRUE)*(F1286-Calc!F19))+B1298+(ArtifactsInput!$M$24-ArtifactsInput!$M$24)*CHOOSE(ArtifactsInput!$N$24+1,10,12,14,16,18,20)+(IF(AND(Inputs!$B$38&lt;&gt;"pvp",Inputs!$B$43=0),1,IF(IF(Inputs!$B$38="pvp",15,Inputs!$B$43)-(B1305)&lt;=0,1,MAX(0,IF(Inputs!$B$38="pvp",15,Inputs!$B$43)-MAX(5,B1305))/(IF(Inputs!$B$38="pvp",15,Inputs!$B$43)-(B1305))))*IF(AND(ArtifactsInput!$M$42,((Inputs!$B$9+((C1286=TRUE)*(F1286-Calc!F19))+B1298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1279*(MIN((Inputs!$B$9+((C1286=TRUE)*(F1286-Calc!F19))+B1298+(ArtifactsInput!$M$24-ArtifactsInput!$M$24)*CHOOSE(ArtifactsInput!$N$24+1,10,12,14,16,18,20)+(IF(AND(Inputs!$B$38&lt;&gt;"pvp",Inputs!$B$43=0),1,IF(IF(Inputs!$B$38="pvp",15,Inputs!$B$43)-(B1305)&lt;=0,1,MAX(0,IF(Inputs!$B$38="pvp",15,Inputs!$B$43)-MAX(5,B1305))/(IF(Inputs!$B$38="pvp",15,Inputs!$B$43)-(B1305))))*IF(AND(ArtifactsInput!$M$42,((Inputs!$B$9+((C1286=TRUE)*(F1286-Calc!F19))+B1298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79">
        <f>(1-Summary!$B$11)*T1279+Summary!$B$11*V1279</f>
        <v/>
      </c>
      <c r="P1279">
        <f>IF(B1308=0,0,O1279/B1308)</f>
        <v/>
      </c>
      <c r="Q1279">
        <f>IFERROR(1/(IF(Inputs!$B$38="pvp",15,MAX(0.1,Skills!D12-IF(TRUE=TRUE,Inputs!$B$32,0)))*(1-IF(AND(ArtifactsInput!$M$27,Inputs!$B$4="Chapter Hunt"),CHOOSE(ArtifactsInput!$N$27+1,20,24,28,32,36,40),0)/100)),0)</f>
        <v/>
      </c>
      <c r="R1279">
        <f>IF(AND(Inputs!$B$38&lt;&gt;"pvp",Inputs!$B$43&gt;0),IF(MAX(0,Inputs!$B$43-B1305)&lt;=0,0,(INT(MAX(0,Inputs!$B$43-B1305)/(IF(Inputs!$B$38="pvp",15,MAX(0.1,Skills!D12-IF(TRUE=TRUE,Inputs!$B$32,0)))*(1-IF(AND(ArtifactsInput!$M$27,Inputs!$B$4="Chapter Hunt"),CHOOSE(ArtifactsInput!$N$27+1,20,24,28,32,36,40),0)/100)))+1)),0)</f>
        <v/>
      </c>
      <c r="S1279">
        <f>IFERROR(O1279/N1279,0)</f>
        <v/>
      </c>
      <c r="T1279">
        <f>IF(C1279,(H1279*N1279*IF(AND(Inputs!$B$38&lt;&gt;"pvp",Inputs!$B$43&gt;0),((Skills!G12*((R1279-1)*IF(Skills!H12&gt;0,INT(Skills!I12/Skills!H12+0.000000001),1)+IF(Skills!H12&gt;0,INT(MIN(Skills!I12,MAX(0,MAX(0,Inputs!$B$43-B1305)-((R1279-1)*(IF(Inputs!$B$38="pvp",15,MAX(0.1,Skills!D12-IF(TRUE=TRUE,Inputs!$B$32,0)))*(1-IF(AND(ArtifactsInput!$M$27,Inputs!$B$4="Chapter Hunt"),CHOOSE(ArtifactsInput!$N$27+1,20,24,28,32,36,40),0)/100)))))/Skills!H12+0.000000001),1)))/Inputs!$B$43),G1279*Q1279))*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Hunt"),CHOOSE(ArtifactsInput!$N$35+1,15,18,21,24,27,30)*(1-EXP(-(0.2*B1300)*5)),0)+IF(AND(ArtifactsInput!$M$22,Inputs!$B$4&lt;&gt;"Chapter Hunt"),CHOOSE(ArtifactsInput!$N$22+1,10,12,14,16,18,20)*((0*(((0.15*B1300*5))^0/1)+1*(((0.15*B1300*5))^1/1)+2*(((0.15*B1300*5))^2/2)+3*(((0.15*B1300*5))^3/6)+4*(((0.15*B1300*5))^4/24)+5*(((0.15*B1300*5))^5/120))/((((0.15*B1300*5))^0/1)+(((0.15*B1300*5))^1/1)+(((0.15*B1300*5))^2/2)+(((0.15*B1300*5))^3/6)+(((0.15*B1300*5))^4/24)+(((0.15*B1300*5))^5/120))),0))+IF(Inputs!$B$3&gt;=54,9*(C1270=TRUE)*MIN(1,8*(1+Inputs!$B$34/100)*Q1270)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1279*(1-MIN(100,(Inputs!$B$9+((C1286=TRUE)*(F1286-Calc!F19))+B1298+(ArtifactsInput!$M$24-ArtifactsInput!$M$24)*CHOOSE(ArtifactsInput!$N$24+1,10,12,14,16,18,20)+(IF(AND(Inputs!$B$38&lt;&gt;"pvp",Inputs!$B$43=0),1,IF(IF(Inputs!$B$38="pvp",15,Inputs!$B$43)-(B1305)&lt;=0,1,MAX(0,IF(Inputs!$B$38="pvp",15,Inputs!$B$43)-MAX(5,B1305))/(IF(Inputs!$B$38="pvp",15,Inputs!$B$43)-(B1305))))*IF(AND(ArtifactsInput!$M$42,((Inputs!$B$9+((C1286=TRUE)*(F1286-Calc!F19))+B1298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1279*(MIN(100,(Inputs!$B$9+((C1286=TRUE)*(F1286-Calc!F19))+B1298+(ArtifactsInput!$M$24-ArtifactsInput!$M$24)*CHOOSE(ArtifactsInput!$N$24+1,10,12,14,16,18,20)+(IF(AND(Inputs!$B$38&lt;&gt;"pvp",Inputs!$B$43=0),1,IF(IF(Inputs!$B$38="pvp",15,Inputs!$B$43)-(B1305)&lt;=0,1,MAX(0,IF(Inputs!$B$38="pvp",15,Inputs!$B$43)-MAX(5,B1305))/(IF(Inputs!$B$38="pvp",15,Inputs!$B$43)-(B1305))))*IF(AND(ArtifactsInput!$M$42,((Inputs!$B$9+((C1286=TRUE)*(F1286-Calc!F19))+B1298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1279*(1-MIN(100,(Inputs!$B$9+((C1286=TRUE)*(F1286-Calc!F19))+B1298+(ArtifactsInput!$M$24-ArtifactsInput!$M$24)*CHOOSE(ArtifactsInput!$N$24+1,10,12,14,16,18,20)+(IF(AND(Inputs!$B$38&lt;&gt;"pvp",Inputs!$B$43=0),1,IF(IF(Inputs!$B$38="pvp",15,Inputs!$B$43)-(B1305)&lt;=0,1,MAX(0,IF(Inputs!$B$38="pvp",15,Inputs!$B$43)-MAX(5,B1305))/(IF(Inputs!$B$38="pvp",15,Inputs!$B$43)-(B1305))))*IF(AND(ArtifactsInput!$M$42,((Inputs!$B$9+((C1286=TRUE)*(F1286-Calc!F19))+B1298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1279*(MIN(100,(Inputs!$B$9+((C1286=TRUE)*(F1286-Calc!F19))+B1298+(ArtifactsInput!$M$24-ArtifactsInput!$M$24)*CHOOSE(ArtifactsInput!$N$24+1,10,12,14,16,18,20)+(IF(AND(Inputs!$B$38&lt;&gt;"pvp",Inputs!$B$43=0),1,IF(IF(Inputs!$B$38="pvp",15,Inputs!$B$43)-(B1305)&lt;=0,1,MAX(0,IF(Inputs!$B$38="pvp",15,Inputs!$B$43)-MAX(5,B1305))/(IF(Inputs!$B$38="pvp",15,Inputs!$B$43)-(B1305))))*IF(AND(ArtifactsInput!$M$42,((Inputs!$B$9+((C1286=TRUE)*(F1286-Calc!F19))+B1298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79">
        <f>IF(C1279,(H1279*N1279*IF(AND(Inputs!$B$38&lt;&gt;"pvp",Inputs!$B$43&gt;0),((Skills!G12*((R1279-1)*IF(Skills!H12&gt;0,INT(Skills!I12/Skills!H12+0.000000001),1)+IF(Skills!H12&gt;0,INT(MIN(Skills!I12,MAX(0,MAX(0,Inputs!$B$43-B1305)-((R1279-1)*(IF(Inputs!$B$38="pvp",15,MAX(0.1,Skills!D12-IF(TRUE=TRUE,Inputs!$B$32,0)))*(1-IF(AND(ArtifactsInput!$M$27,Inputs!$B$4="Chapter Hunt"),CHOOSE(ArtifactsInput!$N$27+1,20,24,28,32,36,40),0)/100)))))/Skills!H12+0.000000001),1)))/Inputs!$B$43),G1279*Q1279))*IF(Inputs!$B$38="pvp",1,(1+(Inputs!$B$21+Skills!Q12+(IF(ArtifactsInput!$M$33,CHOOSE(ArtifactsInput!$N$33+1,30,36,42,48,54,60),0))+(IF(AND(ArtifactsInput!$M$35,Inputs!$B$4&lt;&gt;"Chapter Hunt"),CHOOSE(ArtifactsInput!$N$35+1,15,18,21,24,27,30)*(1-EXP(-(0.2*B1300)*5)),0)+IF(AND(ArtifactsInput!$M$22,Inputs!$B$4&lt;&gt;"Chapter Hunt"),CHOOSE(ArtifactsInput!$N$22+1,10,12,14,16,18,20)*((0*(((0.15*B1300*5))^0/1)+1*(((0.15*B1300*5))^1/1)+2*(((0.15*B1300*5))^2/2)+3*(((0.15*B1300*5))^3/6)+4*(((0.15*B1300*5))^4/24)+5*(((0.15*B1300*5))^5/120))/((((0.15*B1300*5))^0/1)+(((0.15*B1300*5))^1/1)+(((0.15*B1300*5))^2/2)+(((0.15*B1300*5))^3/6)+(((0.15*B1300*5))^4/24)+(((0.15*B1300*5))^5/120))),0))+IF(Inputs!$B$3&gt;=54,9*(C1270=TRUE)*MIN(1,8*(1+Inputs!$B$34/100)*Q1270),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80">
      <c r="A1280">
        <f>Skills!A13</f>
        <v/>
      </c>
      <c r="B1280">
        <f>Skills!B13</f>
        <v/>
      </c>
      <c r="C1280">
        <f>Inputs!$B$3&gt;=110</f>
        <v/>
      </c>
      <c r="D1280">
        <f>IF(Skills!C13=1,60+Inputs!$B$25+Inputs!$B$29,IF(Skills!C13=2,90+Inputs!$B$26+Inputs!$B$29,IF(Skills!C13=3,120+Inputs!$B$27+Inputs!$B$29,MAX(0,(Inputs!$B$3-100)*3)+Inputs!$B$28+Inputs!$B$29)))</f>
        <v/>
      </c>
      <c r="E1280">
        <f>INDEX(FactorTable!$B$2:$Y$301, MATCH(ROUND(MIN(300,MAX(1,D1280)),0), FactorTable!$A$2:$A$301,0), Skills!M13+1)</f>
        <v/>
      </c>
      <c r="F1280">
        <f>IF(Skills!N13=TRUE,(Skills!L13/10)*(E1280/1000),Skills!L13/10)+Skills!O13</f>
        <v/>
      </c>
      <c r="G1280">
        <f>Skills!G13*IF(Skills!H13&gt;0,INT(IF(Inputs!$B$38="pvp",MIN(Skills!I13,15),Skills!I13)/Skills!H13+0.000000001),1)</f>
        <v/>
      </c>
      <c r="H1280">
        <f>1-(1-Skills!J13/100)^Skills!K13</f>
        <v/>
      </c>
      <c r="I1280" t="inlineStr">
        <is>
          <t>1</t>
        </is>
      </c>
      <c r="J1280">
        <f>((Inputs!$B$6*(1+Inputs!$B$7/100))+(((Inputs!$B$12*(1+Inputs!$B$13/100))-(Inputs!$B$12*(1+Inputs!$B$13/100)))+0.25*(Inputs!$B$14-Inputs!$B$14))*(1+Inputs!$B$7/100))*(F1280/100)</f>
        <v/>
      </c>
      <c r="K1280">
        <f>J1280*(1+((Inputs!$B$12*(1+Inputs!$B$13/100))*0.01+Inputs!$B$14*0.0025)/100)*(1+Inputs!$B$15/100)*(1+Inputs!$B$16/100)*(5000/(6000+Inputs!$B$42*(1-(100*(1-(1-(Inputs!$B$19+0)/100)*(1-CHOOSE(ArtifactsInput!$N$40+1,5,6,7,8,9,10)/100)^(ArtifactsInput!$M$40-ArtifactsInput!$M$40)))/100)))*(1+(Inputs!$B$24+((C1293=TRUE)*(F1293-Calc!F26))+B1304)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EIGHT_LEGS_EASTON",Inputs!$B$17+((C1290=TRUE)*(F1290-Calc!F23))+((C1294=TRUE)*(F1294-Calc!F27))+((IF(AND(Inputs!$B$38&lt;&gt;"pvp",Inputs!$B$43=0),1,IF(IF(Inputs!$B$38="pvp",15,Inputs!$B$43)-(B1305)&lt;=0,1,MAX(0,IF(Inputs!$B$38="pvp",15,Inputs!$B$43)-MAX(5,B1305))/(IF(Inputs!$B$38="pvp",15,Inputs!$B$43)-(B1305))))*(IF(AND(ArtifactsInput!$M$42,((Inputs!$B$9+((C1286=TRUE)*(F1286-Calc!F19))+B1298+(ArtifactsInput!$M$24-ArtifactsInput!$M$24)*CHOOSE(ArtifactsInput!$N$24+1,10,12,14,16,18,20)+IF(ArtifactsInput!$M$10,CHOOSE(ArtifactsInput!$N$10+1,15,18,21,24,27,30)*(IF(Inputs!$B$38="pvp",MIN(15,15)/15,IF(AND(Inputs!$B$38&lt;&gt;"pvp",Inputs!$B$43&gt;0),MIN(15,Inputs!$B$43)/(Inputs!$B$43),0))),0)))&gt;=100),MIN(100,((Inputs!$B$9+((C1286=TRUE)*(F1286-Calc!F19))+B1298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1305)&lt;=0,1,MAX(0,IF(Inputs!$B$38="pvp",15,Inputs!$B$43)-MAX(5,B1305))/(IF(Inputs!$B$38="pvp",15,Inputs!$B$43)-(B1305))))*IF(AND(ArtifactsInput!$M$42,((Inputs!$B$9+((C1286=TRUE)*(F1286-Calc!F19))+B1298+(ArtifactsInput!$M$24-ArtifactsInput!$M$24)*CHOOSE(ArtifactsInput!$N$24+1,10,12,14,16,18,20)+IF(ArtifactsInput!$M$10,CHOOSE(ArtifactsInput!$N$10+1,15,18,21,24,27,30)*(IF(Inputs!$B$38="pvp",MIN(15,15)/15,IF(AND(Inputs!$B$38&lt;&gt;"pvp",Inputs!$B$43&gt;0),MIN(15,Inputs!$B$43)/(Inputs!$B$43),0))),0)))&gt;=100),CHOOSE(ArtifactsInput!$N$42+1,40,48,56,64,72,80),0))))/100)*((1+(((C1284=TRUE)*F1284*5/7)+((C1291=TRUE)*(F1291-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IF(ArtifactsInput!$M$5,FALSE,TRUE),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1280)</f>
        <v/>
      </c>
      <c r="L1280">
        <f>K1280*(MIN(Inputs!$B$22+((C1289=TRUE)*(F1289-Calc!F22)),(Inputs!$B$23+0+(IF(ArtifactsInput!$M$15,CHOOSE(ArtifactsInput!$N$15+1,25,30,35,40,45,50)/100*(Inputs!$B$11-Inputs!$B$11),0))))/100+(Inputs!$B$23+0+(IF(ArtifactsInput!$M$15,CHOOSE(ArtifactsInput!$N$15+1,25,30,35,40,45,50)/100*(Inputs!$B$11-Inputs!$B$11),0)))/100)/2</f>
        <v/>
      </c>
      <c r="M1280">
        <f>L1280*(1+(Inputs!$B$10+((C1292=TRUE)*(F1292-Calc!F25))+B1303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80">
        <f>L1280*(1-MIN((Inputs!$B$9+((C1286=TRUE)*(F1286-Calc!F19))+B1298+(ArtifactsInput!$M$24-ArtifactsInput!$M$24)*CHOOSE(ArtifactsInput!$N$24+1,10,12,14,16,18,20)+(IF(AND(Inputs!$B$38&lt;&gt;"pvp",Inputs!$B$43=0),1,IF(IF(Inputs!$B$38="pvp",15,Inputs!$B$43)-(B1305)&lt;=0,1,MAX(0,IF(Inputs!$B$38="pvp",15,Inputs!$B$43)-MAX(5,B1305))/(IF(Inputs!$B$38="pvp",15,Inputs!$B$43)-(B1305))))*IF(AND(ArtifactsInput!$M$42,((Inputs!$B$9+((C1286=TRUE)*(F1286-Calc!F19))+B1298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1280*(MIN((Inputs!$B$9+((C1286=TRUE)*(F1286-Calc!F19))+B1298+(ArtifactsInput!$M$24-ArtifactsInput!$M$24)*CHOOSE(ArtifactsInput!$N$24+1,10,12,14,16,18,20)+(IF(AND(Inputs!$B$38&lt;&gt;"pvp",Inputs!$B$43=0),1,IF(IF(Inputs!$B$38="pvp",15,Inputs!$B$43)-(B1305)&lt;=0,1,MAX(0,IF(Inputs!$B$38="pvp",15,Inputs!$B$43)-MAX(5,B1305))/(IF(Inputs!$B$38="pvp",15,Inputs!$B$43)-(B1305))))*IF(AND(ArtifactsInput!$M$42,((Inputs!$B$9+((C1286=TRUE)*(F1286-Calc!F19))+B1298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80">
        <f>(1-Summary!$B$11)*T1280+Summary!$B$11*V1280</f>
        <v/>
      </c>
      <c r="P1280">
        <f>IF(B1308=0,0,O1280/B1308)</f>
        <v/>
      </c>
      <c r="Q1280">
        <f>IFERROR(1/(IF(Inputs!$B$38="pvp",15,MAX(0.1,Skills!D13-IF(TRUE=TRUE,Inputs!$B$32,0)))*(1-IF(AND(ArtifactsInput!$M$27,Inputs!$B$4="Chapter Hunt"),CHOOSE(ArtifactsInput!$N$27+1,20,24,28,32,36,40),0)/100)),0)</f>
        <v/>
      </c>
      <c r="R1280">
        <f>IF(AND(Inputs!$B$38&lt;&gt;"pvp",Inputs!$B$43&gt;0),IF(MAX(0,Inputs!$B$43-B1305)&lt;=0,0,(INT(MAX(0,Inputs!$B$43-B1305)/(IF(Inputs!$B$38="pvp",15,MAX(0.1,Skills!D13-IF(TRUE=TRUE,Inputs!$B$32,0)))*(1-IF(AND(ArtifactsInput!$M$27,Inputs!$B$4="Chapter Hunt"),CHOOSE(ArtifactsInput!$N$27+1,20,24,28,32,36,40),0)/100)))+1)),0)</f>
        <v/>
      </c>
      <c r="S1280">
        <f>IFERROR(O1280/N1280,0)</f>
        <v/>
      </c>
      <c r="T1280">
        <f>IF(C1280,(H1280*N1280*IF(AND(Inputs!$B$38&lt;&gt;"pvp",Inputs!$B$43&gt;0),((Skills!G13*((R1280-1)*IF(Skills!H13&gt;0,INT(Skills!I13/Skills!H13+0.000000001),1)+IF(Skills!H13&gt;0,INT(MIN(Skills!I13,MAX(0,MAX(0,Inputs!$B$43-B1305)-((R1280-1)*(IF(Inputs!$B$38="pvp",15,MAX(0.1,Skills!D13-IF(TRUE=TRUE,Inputs!$B$32,0)))*(1-IF(AND(ArtifactsInput!$M$27,Inputs!$B$4="Chapter Hunt"),CHOOSE(ArtifactsInput!$N$27+1,20,24,28,32,36,40),0)/100)))))/Skills!H13+0.000000001),1)))/Inputs!$B$43),G1280*Q1280))*IF(Inputs!$B$38="pvp",1,1+(Inputs!$B$20+0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Hunt"),CHOOSE(ArtifactsInput!$N$35+1,15,18,21,24,27,30)*(1-EXP(-(0.2*B1300)*5)),0)+IF(AND(ArtifactsInput!$M$22,Inputs!$B$4&lt;&gt;"Chapter Hunt"),CHOOSE(ArtifactsInput!$N$22+1,10,12,14,16,18,20)*((0*(((0.15*B1300*5))^0/1)+1*(((0.15*B1300*5))^1/1)+2*(((0.15*B1300*5))^2/2)+3*(((0.15*B1300*5))^3/6)+4*(((0.15*B1300*5))^4/24)+5*(((0.15*B1300*5))^5/120))/((((0.15*B1300*5))^0/1)+(((0.15*B1300*5))^1/1)+(((0.15*B1300*5))^2/2)+(((0.15*B1300*5))^3/6)+(((0.15*B1300*5))^4/24)+(((0.15*B1300*5))^5/120))),0))+IF(Inputs!$B$3&gt;=54,9*(C1270=TRUE)*MIN(1,8*(1+Inputs!$B$34/100)*Q1270)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1280*(1-MIN(100,(Inputs!$B$9+((C1286=TRUE)*(F1286-Calc!F19))+B1298+(ArtifactsInput!$M$24-ArtifactsInput!$M$24)*CHOOSE(ArtifactsInput!$N$24+1,10,12,14,16,18,20)+(IF(AND(Inputs!$B$38&lt;&gt;"pvp",Inputs!$B$43=0),1,IF(IF(Inputs!$B$38="pvp",15,Inputs!$B$43)-(B1305)&lt;=0,1,MAX(0,IF(Inputs!$B$38="pvp",15,Inputs!$B$43)-MAX(5,B1305))/(IF(Inputs!$B$38="pvp",15,Inputs!$B$43)-(B1305))))*IF(AND(ArtifactsInput!$M$42,((Inputs!$B$9+((C1286=TRUE)*(F1286-Calc!F19))+B1298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1280*(MIN(100,(Inputs!$B$9+((C1286=TRUE)*(F1286-Calc!F19))+B1298+(ArtifactsInput!$M$24-ArtifactsInput!$M$24)*CHOOSE(ArtifactsInput!$N$24+1,10,12,14,16,18,20)+(IF(AND(Inputs!$B$38&lt;&gt;"pvp",Inputs!$B$43=0),1,IF(IF(Inputs!$B$38="pvp",15,Inputs!$B$43)-(B1305)&lt;=0,1,MAX(0,IF(Inputs!$B$38="pvp",15,Inputs!$B$43)-MAX(5,B1305))/(IF(Inputs!$B$38="pvp",15,Inputs!$B$43)-(B1305))))*IF(AND(ArtifactsInput!$M$42,((Inputs!$B$9+((C1286=TRUE)*(F1286-Calc!F19))+B1298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1280*(1-MIN(100,(Inputs!$B$9+((C1286=TRUE)*(F1286-Calc!F19))+B1298+(ArtifactsInput!$M$24-ArtifactsInput!$M$24)*CHOOSE(ArtifactsInput!$N$24+1,10,12,14,16,18,20)+(IF(AND(Inputs!$B$38&lt;&gt;"pvp",Inputs!$B$43=0),1,IF(IF(Inputs!$B$38="pvp",15,Inputs!$B$43)-(B1305)&lt;=0,1,MAX(0,IF(Inputs!$B$38="pvp",15,Inputs!$B$43)-MAX(5,B1305))/(IF(Inputs!$B$38="pvp",15,Inputs!$B$43)-(B1305))))*IF(AND(ArtifactsInput!$M$42,((Inputs!$B$9+((C1286=TRUE)*(F1286-Calc!F19))+B1298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1280*(MIN(100,(Inputs!$B$9+((C1286=TRUE)*(F1286-Calc!F19))+B1298+(ArtifactsInput!$M$24-ArtifactsInput!$M$24)*CHOOSE(ArtifactsInput!$N$24+1,10,12,14,16,18,20)+(IF(AND(Inputs!$B$38&lt;&gt;"pvp",Inputs!$B$43=0),1,IF(IF(Inputs!$B$38="pvp",15,Inputs!$B$43)-(B1305)&lt;=0,1,MAX(0,IF(Inputs!$B$38="pvp",15,Inputs!$B$43)-MAX(5,B1305))/(IF(Inputs!$B$38="pvp",15,Inputs!$B$43)-(B1305))))*IF(AND(ArtifactsInput!$M$42,((Inputs!$B$9+((C1286=TRUE)*(F1286-Calc!F19))+B1298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80">
        <f>IF(C1280,(H1280*N1280*IF(AND(Inputs!$B$38&lt;&gt;"pvp",Inputs!$B$43&gt;0),((Skills!G13*((R1280-1)*IF(Skills!H13&gt;0,INT(Skills!I13/Skills!H13+0.000000001),1)+IF(Skills!H13&gt;0,INT(MIN(Skills!I13,MAX(0,MAX(0,Inputs!$B$43-B1305)-((R1280-1)*(IF(Inputs!$B$38="pvp",15,MAX(0.1,Skills!D13-IF(TRUE=TRUE,Inputs!$B$32,0)))*(1-IF(AND(ArtifactsInput!$M$27,Inputs!$B$4="Chapter Hunt"),CHOOSE(ArtifactsInput!$N$27+1,20,24,28,32,36,40),0)/100)))))/Skills!H13+0.000000001),1)))/Inputs!$B$43),G1280*Q1280))*IF(Inputs!$B$38="pvp",1,(1+(Inputs!$B$21+Skills!Q13+(IF(ArtifactsInput!$M$33,CHOOSE(ArtifactsInput!$N$33+1,30,36,42,48,54,60),0))+(IF(AND(ArtifactsInput!$M$35,Inputs!$B$4&lt;&gt;"Chapter Hunt"),CHOOSE(ArtifactsInput!$N$35+1,15,18,21,24,27,30)*(1-EXP(-(0.2*B1300)*5)),0)+IF(AND(ArtifactsInput!$M$22,Inputs!$B$4&lt;&gt;"Chapter Hunt"),CHOOSE(ArtifactsInput!$N$22+1,10,12,14,16,18,20)*((0*(((0.15*B1300*5))^0/1)+1*(((0.15*B1300*5))^1/1)+2*(((0.15*B1300*5))^2/2)+3*(((0.15*B1300*5))^3/6)+4*(((0.15*B1300*5))^4/24)+5*(((0.15*B1300*5))^5/120))/((((0.15*B1300*5))^0/1)+(((0.15*B1300*5))^1/1)+(((0.15*B1300*5))^2/2)+(((0.15*B1300*5))^3/6)+(((0.15*B1300*5))^4/24)+(((0.15*B1300*5))^5/120))),0))+IF(Inputs!$B$3&gt;=54,9*(C1270=TRUE)*MIN(1,8*(1+Inputs!$B$34/100)*Q1270),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81">
      <c r="A1281">
        <f>Skills!A14</f>
        <v/>
      </c>
      <c r="B1281">
        <f>Skills!B14</f>
        <v/>
      </c>
      <c r="C1281">
        <f>Inputs!$B$3&gt;=120</f>
        <v/>
      </c>
      <c r="D1281">
        <f>IF(Skills!C14=1,60+Inputs!$B$25+Inputs!$B$29,IF(Skills!C14=2,90+Inputs!$B$26+Inputs!$B$29,IF(Skills!C14=3,120+Inputs!$B$27+Inputs!$B$29,MAX(0,(Inputs!$B$3-100)*3)+Inputs!$B$28+Inputs!$B$29)))</f>
        <v/>
      </c>
      <c r="E1281">
        <f>INDEX(FactorTable!$B$2:$Y$301, MATCH(ROUND(MIN(300,MAX(1,D1281)),0), FactorTable!$A$2:$A$301,0), Skills!M14+1)</f>
        <v/>
      </c>
      <c r="F1281">
        <f>IF(Skills!N14=TRUE,(Skills!L14/10)*(E1281/1000),Skills!L14/10)+Skills!O14</f>
        <v/>
      </c>
      <c r="G1281">
        <f>Skills!G14*IF(Skills!H14&gt;0,INT(IF(Inputs!$B$38="pvp",MIN(Skills!I14,15),Skills!I14)/Skills!H14+0.000000001),1)</f>
        <v/>
      </c>
      <c r="H1281">
        <f>1-(1-Skills!J14/100)^Skills!K14</f>
        <v/>
      </c>
      <c r="I1281" t="inlineStr">
        <is>
          <t>1</t>
        </is>
      </c>
      <c r="J1281">
        <f>((Inputs!$B$6*(1+Inputs!$B$7/100))+(((Inputs!$B$12*(1+Inputs!$B$13/100))-(Inputs!$B$12*(1+Inputs!$B$13/100)))+0.25*(Inputs!$B$14-Inputs!$B$14))*(1+Inputs!$B$7/100))*(F1281/100)</f>
        <v/>
      </c>
      <c r="K1281">
        <f>J1281*(1+((Inputs!$B$12*(1+Inputs!$B$13/100))*0.01+Inputs!$B$14*0.0025)/100)*(1+Inputs!$B$15/100)*(1+Inputs!$B$16/100)*(5000/(6000+Inputs!$B$42*(1-(100*(1-(1-(Inputs!$B$19+0)/100)*(1-CHOOSE(ArtifactsInput!$N$40+1,5,6,7,8,9,10)/100)^(ArtifactsInput!$M$40-ArtifactsInput!$M$40)))/100)))*(1+(Inputs!$B$24+((C1293=TRUE)*(F1293-Calc!F26))+B1304)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EIGHT_LEGS_EASTON",Inputs!$B$17+((C1290=TRUE)*(F1290-Calc!F23))+((C1294=TRUE)*(F1294-Calc!F27))+((IF(AND(Inputs!$B$38&lt;&gt;"pvp",Inputs!$B$43=0),1,IF(IF(Inputs!$B$38="pvp",15,Inputs!$B$43)-(B1305)&lt;=0,1,MAX(0,IF(Inputs!$B$38="pvp",15,Inputs!$B$43)-MAX(5,B1305))/(IF(Inputs!$B$38="pvp",15,Inputs!$B$43)-(B1305))))*(IF(AND(ArtifactsInput!$M$42,((Inputs!$B$9+((C1286=TRUE)*(F1286-Calc!F19))+B1298+(ArtifactsInput!$M$24-ArtifactsInput!$M$24)*CHOOSE(ArtifactsInput!$N$24+1,10,12,14,16,18,20)+IF(ArtifactsInput!$M$10,CHOOSE(ArtifactsInput!$N$10+1,15,18,21,24,27,30)*(IF(Inputs!$B$38="pvp",MIN(15,15)/15,IF(AND(Inputs!$B$38&lt;&gt;"pvp",Inputs!$B$43&gt;0),MIN(15,Inputs!$B$43)/(Inputs!$B$43),0))),0)))&gt;=100),MIN(100,((Inputs!$B$9+((C1286=TRUE)*(F1286-Calc!F19))+B1298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1305)&lt;=0,1,MAX(0,IF(Inputs!$B$38="pvp",15,Inputs!$B$43)-MAX(5,B1305))/(IF(Inputs!$B$38="pvp",15,Inputs!$B$43)-(B1305))))*IF(AND(ArtifactsInput!$M$42,((Inputs!$B$9+((C1286=TRUE)*(F1286-Calc!F19))+B1298+(ArtifactsInput!$M$24-ArtifactsInput!$M$24)*CHOOSE(ArtifactsInput!$N$24+1,10,12,14,16,18,20)+IF(ArtifactsInput!$M$10,CHOOSE(ArtifactsInput!$N$10+1,15,18,21,24,27,30)*(IF(Inputs!$B$38="pvp",MIN(15,15)/15,IF(AND(Inputs!$B$38&lt;&gt;"pvp",Inputs!$B$43&gt;0),MIN(15,Inputs!$B$43)/(Inputs!$B$43),0))),0)))&gt;=100),CHOOSE(ArtifactsInput!$N$42+1,40,48,56,64,72,80),0))))/100)*((1+(((C1284=TRUE)*F1284*5/7)+((C1291=TRUE)*(F1291-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IF(ArtifactsInput!$M$5,FALSE,TRUE),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1281)</f>
        <v/>
      </c>
      <c r="L1281">
        <f>K1281*(MIN(Inputs!$B$22+((C1289=TRUE)*(F1289-Calc!F22)),(Inputs!$B$23+0+(IF(ArtifactsInput!$M$15,CHOOSE(ArtifactsInput!$N$15+1,25,30,35,40,45,50)/100*(Inputs!$B$11-Inputs!$B$11),0))))/100+(Inputs!$B$23+0+(IF(ArtifactsInput!$M$15,CHOOSE(ArtifactsInput!$N$15+1,25,30,35,40,45,50)/100*(Inputs!$B$11-Inputs!$B$11),0)))/100)/2</f>
        <v/>
      </c>
      <c r="M1281">
        <f>L1281*(1+(Inputs!$B$10+((C1292=TRUE)*(F1292-Calc!F25))+B1303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81">
        <f>L1281*(1-MIN((Inputs!$B$9+((C1286=TRUE)*(F1286-Calc!F19))+B1298+(ArtifactsInput!$M$24-ArtifactsInput!$M$24)*CHOOSE(ArtifactsInput!$N$24+1,10,12,14,16,18,20)+(IF(AND(Inputs!$B$38&lt;&gt;"pvp",Inputs!$B$43=0),1,IF(IF(Inputs!$B$38="pvp",15,Inputs!$B$43)-(B1305)&lt;=0,1,MAX(0,IF(Inputs!$B$38="pvp",15,Inputs!$B$43)-MAX(5,B1305))/(IF(Inputs!$B$38="pvp",15,Inputs!$B$43)-(B1305))))*IF(AND(ArtifactsInput!$M$42,((Inputs!$B$9+((C1286=TRUE)*(F1286-Calc!F19))+B1298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1281*(MIN((Inputs!$B$9+((C1286=TRUE)*(F1286-Calc!F19))+B1298+(ArtifactsInput!$M$24-ArtifactsInput!$M$24)*CHOOSE(ArtifactsInput!$N$24+1,10,12,14,16,18,20)+(IF(AND(Inputs!$B$38&lt;&gt;"pvp",Inputs!$B$43=0),1,IF(IF(Inputs!$B$38="pvp",15,Inputs!$B$43)-(B1305)&lt;=0,1,MAX(0,IF(Inputs!$B$38="pvp",15,Inputs!$B$43)-MAX(5,B1305))/(IF(Inputs!$B$38="pvp",15,Inputs!$B$43)-(B1305))))*IF(AND(ArtifactsInput!$M$42,((Inputs!$B$9+((C1286=TRUE)*(F1286-Calc!F19))+B1298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81">
        <f>(1-Summary!$B$11)*T1281+Summary!$B$11*V1281</f>
        <v/>
      </c>
      <c r="P1281">
        <f>IF(B1308=0,0,O1281/B1308)</f>
        <v/>
      </c>
      <c r="Q1281" t="n">
        <v>0</v>
      </c>
      <c r="R1281" t="n">
        <v>0</v>
      </c>
      <c r="S1281">
        <f>IFERROR(O1281/N1281,0)</f>
        <v/>
      </c>
      <c r="T1281">
        <f>IF(C1281,((H1281*(B1302+IF(AND(Inputs!$B$38&lt;&gt;"pvp",Inputs!$B$43&gt;0),((Skills!G8*((R1275-1)*IF(Skills!H8&gt;0,INT(Skills!I8/Skills!H8+0.000000001),1)+IF(Skills!H8&gt;0,INT(MIN(Skills!I8,MAX(0,MAX(0,Inputs!$B$43-B1305)-((R1275-1)*((IF(Inputs!$B$38="pvp",15,MAX(0.1,Skills!D8-IF(TRUE=TRUE,Inputs!$B$32,0)))*(1-IF(AND(ArtifactsInput!$M$27,Inputs!$B$4="Chapter Hunt"),CHOOSE(ArtifactsInput!$N$27+1,20,24,28,32,36,40),0)/100))/B1309))))/Skills!H8+0.000000001),1)))/Inputs!$B$43),G1275*Q1275)+IF(AND(Inputs!$B$38&lt;&gt;"pvp",Inputs!$B$43&gt;0),((Skills!G11*((R1278-1)*IF(Skills!H11&gt;0,INT(Skills!I11/Skills!H11+0.000000001),1)+IF(Skills!H11&gt;0,INT(MIN(Skills!I11,MAX(0,MAX(0,Inputs!$B$43-B1305)-((R1278-1)*((IF(Inputs!$B$38="pvp",15,MAX(0.1,Skills!D11-IF(TRUE=TRUE,Inputs!$B$32,0)))*(1-IF(AND(ArtifactsInput!$M$27,Inputs!$B$4="Chapter Hunt"),CHOOSE(ArtifactsInput!$N$27+1,20,24,28,32,36,40),0)/100))/B1309))))/Skills!H11+0.000000001),1)))/Inputs!$B$43),G1278*Q1278)))/(1+Skills!H14*H1281*(B1302+IF(AND(Inputs!$B$38&lt;&gt;"pvp",Inputs!$B$43&gt;0),((Skills!G8*((R1275-1)*IF(Skills!H8&gt;0,INT(Skills!I8/Skills!H8+0.000000001),1)+IF(Skills!H8&gt;0,INT(MIN(Skills!I8,MAX(0,MAX(0,Inputs!$B$43-B1305)-((R1275-1)*((IF(Inputs!$B$38="pvp",15,MAX(0.1,Skills!D8-IF(TRUE=TRUE,Inputs!$B$32,0)))*(1-IF(AND(ArtifactsInput!$M$27,Inputs!$B$4="Chapter Hunt"),CHOOSE(ArtifactsInput!$N$27+1,20,24,28,32,36,40),0)/100))/B1309))))/Skills!H8+0.000000001),1)))/Inputs!$B$43),G1275*Q1275)+IF(AND(Inputs!$B$38&lt;&gt;"pvp",Inputs!$B$43&gt;0),((Skills!G11*((R1278-1)*IF(Skills!H11&gt;0,INT(Skills!I11/Skills!H11+0.000000001),1)+IF(Skills!H11&gt;0,INT(MIN(Skills!I11,MAX(0,MAX(0,Inputs!$B$43-B1305)-((R1278-1)*((IF(Inputs!$B$38="pvp",15,MAX(0.1,Skills!D11-IF(TRUE=TRUE,Inputs!$B$32,0)))*(1-IF(AND(ArtifactsInput!$M$27,Inputs!$B$4="Chapter Hunt"),CHOOSE(ArtifactsInput!$N$27+1,20,24,28,32,36,40),0)/100))/B1309))))/Skills!H11+0.000000001),1)))/Inputs!$B$43),G1278*Q1278)))*N1281)*IF(Inputs!$B$38="pvp",1,1+(Inputs!$B$20+0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Hunt"),CHOOSE(ArtifactsInput!$N$35+1,15,18,21,24,27,30)*(1-EXP(-(0.2*B1300)*5)),0)+IF(AND(ArtifactsInput!$M$22,Inputs!$B$4&lt;&gt;"Chapter Hunt"),CHOOSE(ArtifactsInput!$N$22+1,10,12,14,16,18,20)*((0*(((0.15*B1300*5))^0/1)+1*(((0.15*B1300*5))^1/1)+2*(((0.15*B1300*5))^2/2)+3*(((0.15*B1300*5))^3/6)+4*(((0.15*B1300*5))^4/24)+5*(((0.15*B1300*5))^5/120))/((((0.15*B1300*5))^0/1)+(((0.15*B1300*5))^1/1)+(((0.15*B1300*5))^2/2)+(((0.15*B1300*5))^3/6)+(((0.15*B1300*5))^4/24)+(((0.15*B1300*5))^5/120))),0))+IF(Inputs!$B$3&gt;=54,9*(C1270=TRUE)*MIN(1,8*(1+Inputs!$B$34/100)*Q1270)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1281*(1-MIN(100,(Inputs!$B$9+((C1286=TRUE)*(F1286-Calc!F19))+B1298+(ArtifactsInput!$M$24-ArtifactsInput!$M$24)*CHOOSE(ArtifactsInput!$N$24+1,10,12,14,16,18,20)+(IF(AND(Inputs!$B$38&lt;&gt;"pvp",Inputs!$B$43=0),1,IF(IF(Inputs!$B$38="pvp",15,Inputs!$B$43)-(B1305)&lt;=0,1,MAX(0,IF(Inputs!$B$38="pvp",15,Inputs!$B$43)-MAX(5,B1305))/(IF(Inputs!$B$38="pvp",15,Inputs!$B$43)-(B1305))))*IF(AND(ArtifactsInput!$M$42,((Inputs!$B$9+((C1286=TRUE)*(F1286-Calc!F19))+B1298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1281*(MIN(100,(Inputs!$B$9+((C1286=TRUE)*(F1286-Calc!F19))+B1298+(ArtifactsInput!$M$24-ArtifactsInput!$M$24)*CHOOSE(ArtifactsInput!$N$24+1,10,12,14,16,18,20)+(IF(AND(Inputs!$B$38&lt;&gt;"pvp",Inputs!$B$43=0),1,IF(IF(Inputs!$B$38="pvp",15,Inputs!$B$43)-(B1305)&lt;=0,1,MAX(0,IF(Inputs!$B$38="pvp",15,Inputs!$B$43)-MAX(5,B1305))/(IF(Inputs!$B$38="pvp",15,Inputs!$B$43)-(B1305))))*IF(AND(ArtifactsInput!$M$42,((Inputs!$B$9+((C1286=TRUE)*(F1286-Calc!F19))+B1298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1281*(1-MIN(100,(Inputs!$B$9+((C1286=TRUE)*(F1286-Calc!F19))+B1298+(ArtifactsInput!$M$24-ArtifactsInput!$M$24)*CHOOSE(ArtifactsInput!$N$24+1,10,12,14,16,18,20)+(IF(AND(Inputs!$B$38&lt;&gt;"pvp",Inputs!$B$43=0),1,IF(IF(Inputs!$B$38="pvp",15,Inputs!$B$43)-(B1305)&lt;=0,1,MAX(0,IF(Inputs!$B$38="pvp",15,Inputs!$B$43)-MAX(5,B1305))/(IF(Inputs!$B$38="pvp",15,Inputs!$B$43)-(B1305))))*IF(AND(ArtifactsInput!$M$42,((Inputs!$B$9+((C1286=TRUE)*(F1286-Calc!F19))+B1298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1281*(MIN(100,(Inputs!$B$9+((C1286=TRUE)*(F1286-Calc!F19))+B1298+(ArtifactsInput!$M$24-ArtifactsInput!$M$24)*CHOOSE(ArtifactsInput!$N$24+1,10,12,14,16,18,20)+(IF(AND(Inputs!$B$38&lt;&gt;"pvp",Inputs!$B$43=0),1,IF(IF(Inputs!$B$38="pvp",15,Inputs!$B$43)-(B1305)&lt;=0,1,MAX(0,IF(Inputs!$B$38="pvp",15,Inputs!$B$43)-MAX(5,B1305))/(IF(Inputs!$B$38="pvp",15,Inputs!$B$43)-(B1305))))*IF(AND(ArtifactsInput!$M$42,((Inputs!$B$9+((C1286=TRUE)*(F1286-Calc!F19))+B1298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81">
        <f>IF(C1281,((H1281*(B1302+IF(AND(Inputs!$B$38&lt;&gt;"pvp",Inputs!$B$43&gt;0),((Skills!G8*((R1275-1)*IF(Skills!H8&gt;0,INT(Skills!I8/Skills!H8+0.000000001),1)+IF(Skills!H8&gt;0,INT(MIN(Skills!I8,MAX(0,MAX(0,Inputs!$B$43-B1305)-((R1275-1)*((IF(Inputs!$B$38="pvp",15,MAX(0.1,Skills!D8-IF(TRUE=TRUE,Inputs!$B$32,0)))*(1-IF(AND(ArtifactsInput!$M$27,Inputs!$B$4="Chapter Hunt"),CHOOSE(ArtifactsInput!$N$27+1,20,24,28,32,36,40),0)/100))/B1309))))/Skills!H8+0.000000001),1)))/Inputs!$B$43),G1275*Q1275)+IF(AND(Inputs!$B$38&lt;&gt;"pvp",Inputs!$B$43&gt;0),((Skills!G11*((R1278-1)*IF(Skills!H11&gt;0,INT(Skills!I11/Skills!H11+0.000000001),1)+IF(Skills!H11&gt;0,INT(MIN(Skills!I11,MAX(0,MAX(0,Inputs!$B$43-B1305)-((R1278-1)*((IF(Inputs!$B$38="pvp",15,MAX(0.1,Skills!D11-IF(TRUE=TRUE,Inputs!$B$32,0)))*(1-IF(AND(ArtifactsInput!$M$27,Inputs!$B$4="Chapter Hunt"),CHOOSE(ArtifactsInput!$N$27+1,20,24,28,32,36,40),0)/100))/B1309))))/Skills!H11+0.000000001),1)))/Inputs!$B$43),G1278*Q1278)))/(1+Skills!H14*H1281*(B1302+IF(AND(Inputs!$B$38&lt;&gt;"pvp",Inputs!$B$43&gt;0),((Skills!G8*((R1275-1)*IF(Skills!H8&gt;0,INT(Skills!I8/Skills!H8+0.000000001),1)+IF(Skills!H8&gt;0,INT(MIN(Skills!I8,MAX(0,MAX(0,Inputs!$B$43-B1305)-((R1275-1)*((IF(Inputs!$B$38="pvp",15,MAX(0.1,Skills!D8-IF(TRUE=TRUE,Inputs!$B$32,0)))*(1-IF(AND(ArtifactsInput!$M$27,Inputs!$B$4="Chapter Hunt"),CHOOSE(ArtifactsInput!$N$27+1,20,24,28,32,36,40),0)/100))/B1309))))/Skills!H8+0.000000001),1)))/Inputs!$B$43),G1275*Q1275)+IF(AND(Inputs!$B$38&lt;&gt;"pvp",Inputs!$B$43&gt;0),((Skills!G11*((R1278-1)*IF(Skills!H11&gt;0,INT(Skills!I11/Skills!H11+0.000000001),1)+IF(Skills!H11&gt;0,INT(MIN(Skills!I11,MAX(0,MAX(0,Inputs!$B$43-B1305)-((R1278-1)*((IF(Inputs!$B$38="pvp",15,MAX(0.1,Skills!D11-IF(TRUE=TRUE,Inputs!$B$32,0)))*(1-IF(AND(ArtifactsInput!$M$27,Inputs!$B$4="Chapter Hunt"),CHOOSE(ArtifactsInput!$N$27+1,20,24,28,32,36,40),0)/100))/B1309))))/Skills!H11+0.000000001),1)))/Inputs!$B$43),G1278*Q1278)))*N1281)*IF(Inputs!$B$38="pvp",1,(1+(Inputs!$B$21+Skills!Q14+(IF(ArtifactsInput!$M$33,CHOOSE(ArtifactsInput!$N$33+1,30,36,42,48,54,60),0))+(IF(AND(ArtifactsInput!$M$35,Inputs!$B$4&lt;&gt;"Chapter Hunt"),CHOOSE(ArtifactsInput!$N$35+1,15,18,21,24,27,30)*(1-EXP(-(0.2*B1300)*5)),0)+IF(AND(ArtifactsInput!$M$22,Inputs!$B$4&lt;&gt;"Chapter Hunt"),CHOOSE(ArtifactsInput!$N$22+1,10,12,14,16,18,20)*((0*(((0.15*B1300*5))^0/1)+1*(((0.15*B1300*5))^1/1)+2*(((0.15*B1300*5))^2/2)+3*(((0.15*B1300*5))^3/6)+4*(((0.15*B1300*5))^4/24)+5*(((0.15*B1300*5))^5/120))/((((0.15*B1300*5))^0/1)+(((0.15*B1300*5))^1/1)+(((0.15*B1300*5))^2/2)+(((0.15*B1300*5))^3/6)+(((0.15*B1300*5))^4/24)+(((0.15*B1300*5))^5/120))),0))+IF(Inputs!$B$3&gt;=54,9*(C1270=TRUE)*MIN(1,8*(1+Inputs!$B$34/100)*Q1270),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82">
      <c r="A1282">
        <f>Skills!A15</f>
        <v/>
      </c>
      <c r="B1282">
        <f>Skills!B15</f>
        <v/>
      </c>
      <c r="C1282">
        <f>Inputs!$B$3&gt;=100</f>
        <v/>
      </c>
      <c r="D1282">
        <f>IF(Skills!C15=1,60+Inputs!$B$25+Inputs!$B$29,IF(Skills!C15=2,90+Inputs!$B$26+Inputs!$B$29,IF(Skills!C15=3,120+Inputs!$B$27+Inputs!$B$29,MAX(0,(Inputs!$B$3-100)*3)+Inputs!$B$28+Inputs!$B$29)))</f>
        <v/>
      </c>
      <c r="E1282">
        <f>INDEX(FactorTable!$B$2:$Y$301, MATCH(ROUND(MIN(300,MAX(1,D1282)),0), FactorTable!$A$2:$A$301,0), Skills!M15+1)</f>
        <v/>
      </c>
      <c r="F1282">
        <f>IF(Skills!N15=TRUE,(Skills!L15/10)*(E1282/1000),Skills!L15/10)+Skills!O15</f>
        <v/>
      </c>
      <c r="G1282" t="inlineStr"/>
      <c r="H1282" t="inlineStr"/>
      <c r="I1282" t="inlineStr">
        <is>
          <t>1</t>
        </is>
      </c>
      <c r="J1282" t="inlineStr"/>
      <c r="K1282" t="inlineStr"/>
      <c r="L1282" t="inlineStr"/>
      <c r="M1282" t="inlineStr"/>
      <c r="N1282" t="inlineStr"/>
      <c r="O1282" t="inlineStr"/>
      <c r="P1282" t="inlineStr"/>
      <c r="Q1282" t="inlineStr"/>
      <c r="R1282" t="inlineStr"/>
      <c r="S1282" t="inlineStr"/>
    </row>
    <row r="1283">
      <c r="A1283">
        <f>Skills!A16</f>
        <v/>
      </c>
      <c r="B1283">
        <f>Skills!B16</f>
        <v/>
      </c>
      <c r="C1283">
        <f>Inputs!$B$3&gt;=107</f>
        <v/>
      </c>
      <c r="D1283">
        <f>IF(Skills!C16=1,60+Inputs!$B$25+Inputs!$B$29,IF(Skills!C16=2,90+Inputs!$B$26+Inputs!$B$29,IF(Skills!C16=3,120+Inputs!$B$27+Inputs!$B$29,MAX(0,(Inputs!$B$3-100)*3)+Inputs!$B$28+Inputs!$B$29)))</f>
        <v/>
      </c>
      <c r="E1283">
        <f>INDEX(FactorTable!$B$2:$Y$301, MATCH(ROUND(MIN(300,MAX(1,D1283)),0), FactorTable!$A$2:$A$301,0), Skills!M16+1)</f>
        <v/>
      </c>
      <c r="F1283">
        <f>IF(Skills!N16=TRUE,(Skills!L16/10)*(E1283/1000),Skills!L16/10)+Skills!O16</f>
        <v/>
      </c>
      <c r="G1283" t="inlineStr"/>
      <c r="H1283" t="inlineStr"/>
      <c r="I1283" t="inlineStr">
        <is>
          <t>1</t>
        </is>
      </c>
      <c r="J1283" t="inlineStr"/>
      <c r="K1283" t="inlineStr"/>
      <c r="L1283" t="inlineStr"/>
      <c r="M1283" t="inlineStr"/>
      <c r="N1283" t="inlineStr"/>
      <c r="O1283" t="inlineStr"/>
      <c r="P1283" t="inlineStr"/>
      <c r="Q1283" t="inlineStr"/>
      <c r="R1283" t="inlineStr"/>
      <c r="S1283" t="inlineStr"/>
    </row>
    <row r="1284">
      <c r="A1284">
        <f>Skills!A17</f>
        <v/>
      </c>
      <c r="B1284">
        <f>Skills!B17</f>
        <v/>
      </c>
      <c r="C1284">
        <f>Inputs!$B$3&gt;=74</f>
        <v/>
      </c>
      <c r="D1284">
        <f>IF(Skills!C17=1,60+Inputs!$B$25+Inputs!$B$29,IF(Skills!C17=2,90+Inputs!$B$26+Inputs!$B$29,IF(Skills!C17=3,120+Inputs!$B$27+Inputs!$B$29,MAX(0,(Inputs!$B$3-100)*3)+Inputs!$B$28+Inputs!$B$29)))</f>
        <v/>
      </c>
      <c r="E1284">
        <f>INDEX(FactorTable!$B$2:$Y$301, MATCH(ROUND(MIN(300,MAX(1,D1284)),0), FactorTable!$A$2:$A$301,0), Skills!M17+1)</f>
        <v/>
      </c>
      <c r="F1284">
        <f>IF(Skills!N17=TRUE,(Skills!L17/10)*(E1284/1000),Skills!L17/10)+Skills!O17</f>
        <v/>
      </c>
      <c r="G1284">
        <f>Skills!G17*IF(Skills!H17&gt;0,INT(IF(Inputs!$B$38="pvp",MIN(Skills!I17,15),Skills!I17)/Skills!H17+0.000000001),1)</f>
        <v/>
      </c>
      <c r="H1284">
        <f>1-(1-Skills!J17/100)^Skills!K17</f>
        <v/>
      </c>
      <c r="I1284" t="inlineStr">
        <is>
          <t>1</t>
        </is>
      </c>
      <c r="J1284" t="inlineStr"/>
      <c r="K1284" t="inlineStr"/>
      <c r="L1284" t="inlineStr"/>
      <c r="M1284" t="inlineStr"/>
      <c r="N1284" t="inlineStr"/>
      <c r="O1284">
        <f>(1-Summary!$B$11)*T1284+Summary!$B$11*V1284</f>
        <v/>
      </c>
      <c r="P1284">
        <f>IF(B1308=0,0,O1284/B1308)</f>
        <v/>
      </c>
      <c r="Q1284" t="n">
        <v>0</v>
      </c>
      <c r="R1284" t="n">
        <v>0</v>
      </c>
      <c r="S1284">
        <f>IFERROR(O1284/N1284,0)</f>
        <v/>
      </c>
      <c r="T1284" t="n">
        <v>0</v>
      </c>
      <c r="V1284" t="n">
        <v>0</v>
      </c>
    </row>
    <row r="1285">
      <c r="A1285">
        <f>Skills!A18</f>
        <v/>
      </c>
      <c r="B1285">
        <f>Skills!B18</f>
        <v/>
      </c>
      <c r="C1285">
        <f>Inputs!$B$3&gt;=115</f>
        <v/>
      </c>
      <c r="D1285">
        <f>IF(Skills!C18=1,60+Inputs!$B$25+Inputs!$B$29,IF(Skills!C18=2,90+Inputs!$B$26+Inputs!$B$29,IF(Skills!C18=3,120+Inputs!$B$27+Inputs!$B$29,MAX(0,(Inputs!$B$3-100)*3)+Inputs!$B$28+Inputs!$B$29)))</f>
        <v/>
      </c>
      <c r="E1285">
        <f>INDEX(FactorTable!$B$2:$Y$301, MATCH(ROUND(MIN(300,MAX(1,D1285)),0), FactorTable!$A$2:$A$301,0), Skills!M18+1)</f>
        <v/>
      </c>
      <c r="F1285">
        <f>IF(Skills!N18=TRUE,(Skills!L18/10)*(E1285/1000),Skills!L18/10)+Skills!O18</f>
        <v/>
      </c>
      <c r="G1285">
        <f>Skills!G18*IF(Skills!H18&gt;0,INT(IF(Inputs!$B$38="pvp",MIN(Skills!I18,15),Skills!I18)/Skills!H18+0.000000001),1)</f>
        <v/>
      </c>
      <c r="H1285">
        <f>1-(1-Skills!J18/100)^Skills!K18</f>
        <v/>
      </c>
      <c r="I1285" t="inlineStr">
        <is>
          <t>1</t>
        </is>
      </c>
      <c r="J1285" t="inlineStr"/>
      <c r="K1285" t="inlineStr"/>
      <c r="L1285" t="inlineStr"/>
      <c r="M1285" t="inlineStr"/>
      <c r="N1285" t="inlineStr"/>
      <c r="O1285">
        <f>(1-Summary!$B$11)*T1285+Summary!$B$11*V1285</f>
        <v/>
      </c>
      <c r="P1285">
        <f>IF(B1308=0,0,O1285/B1308)</f>
        <v/>
      </c>
      <c r="Q1285">
        <f>IFERROR(1/(IF(Inputs!$B$38="pvp",15,MAX(0.1,Skills!D18-IF(TRUE=TRUE,Inputs!$B$32,0)))*(1-IF(AND(ArtifactsInput!$M$27,Inputs!$B$4="Chapter Hunt"),CHOOSE(ArtifactsInput!$N$27+1,20,24,28,32,36,40),0)/100)),0)</f>
        <v/>
      </c>
      <c r="R1285">
        <f>IF(AND(Inputs!$B$38&lt;&gt;"pvp",Inputs!$B$43&gt;0),IF(Inputs!$B$43&lt;=0,0,(INT(Inputs!$B$43/(IF(Inputs!$B$38="pvp",15,MAX(0.1,Skills!D18-IF(TRUE=TRUE,Inputs!$B$32,0)))*(1-IF(AND(ArtifactsInput!$M$27,Inputs!$B$4="Chapter Hunt"),CHOOSE(ArtifactsInput!$N$27+1,20,24,28,32,36,40),0)/100)))+1)),0)</f>
        <v/>
      </c>
      <c r="S1285">
        <f>IFERROR(O1285/N1285,0)</f>
        <v/>
      </c>
      <c r="T1285" t="n">
        <v>0</v>
      </c>
      <c r="V1285" t="n">
        <v>0</v>
      </c>
    </row>
    <row r="1286">
      <c r="A1286">
        <f>Skills!A19</f>
        <v/>
      </c>
      <c r="B1286">
        <f>Skills!B19</f>
        <v/>
      </c>
      <c r="C1286">
        <f>Inputs!$B$3&gt;=10</f>
        <v/>
      </c>
      <c r="D1286">
        <f>IF(Skills!C19=1,60+Inputs!$B$25+Inputs!$B$29,IF(Skills!C19=2,90+Inputs!$B$26+Inputs!$B$29,IF(Skills!C19=3,120+Inputs!$B$27+Inputs!$B$29,MAX(0,(Inputs!$B$3-100)*3)+Inputs!$B$28+Inputs!$B$29)))</f>
        <v/>
      </c>
      <c r="E1286">
        <f>INDEX(FactorTable!$B$2:$Y$301, MATCH(ROUND(MIN(300,MAX(1,D1286)),0), FactorTable!$A$2:$A$301,0), Skills!M19+1)</f>
        <v/>
      </c>
      <c r="F1286">
        <f>IF(Skills!N19=TRUE,(Skills!L19/10)*(E1286/1000),Skills!L19/10)+Skills!O19</f>
        <v/>
      </c>
      <c r="G1286">
        <f>Skills!G19*IF(Skills!H19&gt;0,INT(IF(Inputs!$B$38="pvp",MIN(Skills!I19,15),Skills!I19)/Skills!H19+0.000000001),1)</f>
        <v/>
      </c>
      <c r="H1286">
        <f>1-(1-Skills!J19/100)^Skills!K19</f>
        <v/>
      </c>
      <c r="I1286" t="inlineStr">
        <is>
          <t>1</t>
        </is>
      </c>
      <c r="J1286" t="inlineStr"/>
      <c r="K1286" t="inlineStr"/>
      <c r="L1286" t="inlineStr"/>
      <c r="M1286" t="inlineStr"/>
      <c r="N1286" t="inlineStr"/>
      <c r="O1286">
        <f>(1-Summary!$B$11)*T1286+Summary!$B$11*V1286</f>
        <v/>
      </c>
      <c r="P1286">
        <f>IF(B1308=0,0,O1286/B1308)</f>
        <v/>
      </c>
      <c r="Q1286" t="n">
        <v>0</v>
      </c>
      <c r="R1286" t="n">
        <v>0</v>
      </c>
      <c r="S1286">
        <f>IFERROR(O1286/N1286,0)</f>
        <v/>
      </c>
      <c r="T1286" t="n">
        <v>0</v>
      </c>
      <c r="V1286" t="n">
        <v>0</v>
      </c>
    </row>
    <row r="1287">
      <c r="A1287">
        <f>Skills!A20</f>
        <v/>
      </c>
      <c r="B1287">
        <f>Skills!B20</f>
        <v/>
      </c>
      <c r="C1287">
        <f>Inputs!$B$3&gt;=15</f>
        <v/>
      </c>
      <c r="D1287">
        <f>IF(Skills!C20=1,60+Inputs!$B$25+Inputs!$B$29,IF(Skills!C20=2,90+Inputs!$B$26+Inputs!$B$29,IF(Skills!C20=3,120+Inputs!$B$27+Inputs!$B$29,MAX(0,(Inputs!$B$3-100)*3)+Inputs!$B$28+Inputs!$B$29)))</f>
        <v/>
      </c>
      <c r="E1287">
        <f>INDEX(FactorTable!$B$2:$Y$301, MATCH(ROUND(MIN(300,MAX(1,D1287)),0), FactorTable!$A$2:$A$301,0), Skills!M20+1)</f>
        <v/>
      </c>
      <c r="F1287">
        <f>IF(Skills!N20=TRUE,(Skills!L20/10)*(E1287/1000),Skills!L20/10)+Skills!O20</f>
        <v/>
      </c>
      <c r="G1287">
        <f>Skills!G20*IF(Skills!H20&gt;0,INT(IF(Inputs!$B$38="pvp",MIN(Skills!I20,15),Skills!I20)/Skills!H20+0.000000001),1)</f>
        <v/>
      </c>
      <c r="H1287">
        <f>1-(1-Skills!J20/100)^Skills!K20</f>
        <v/>
      </c>
      <c r="I1287" t="inlineStr">
        <is>
          <t>1</t>
        </is>
      </c>
      <c r="J1287" t="inlineStr"/>
      <c r="K1287" t="inlineStr"/>
      <c r="L1287" t="inlineStr"/>
      <c r="M1287" t="inlineStr"/>
      <c r="N1287" t="inlineStr"/>
      <c r="O1287">
        <f>(1-Summary!$B$11)*T1287+Summary!$B$11*V1287</f>
        <v/>
      </c>
      <c r="P1287">
        <f>IF(B1308=0,0,O1287/B1308)</f>
        <v/>
      </c>
      <c r="Q1287" t="n">
        <v>0</v>
      </c>
      <c r="R1287" t="n">
        <v>0</v>
      </c>
      <c r="S1287">
        <f>IFERROR(O1287/N1287,0)</f>
        <v/>
      </c>
      <c r="T1287" t="n">
        <v>0</v>
      </c>
      <c r="V1287" t="n">
        <v>0</v>
      </c>
    </row>
    <row r="1288">
      <c r="A1288">
        <f>Skills!A21</f>
        <v/>
      </c>
      <c r="B1288">
        <f>Skills!B21</f>
        <v/>
      </c>
      <c r="C1288">
        <f>Inputs!$B$3&gt;=40</f>
        <v/>
      </c>
      <c r="D1288">
        <f>IF(Skills!C21=1,60+Inputs!$B$25+Inputs!$B$29,IF(Skills!C21=2,90+Inputs!$B$26+Inputs!$B$29,IF(Skills!C21=3,120+Inputs!$B$27+Inputs!$B$29,MAX(0,(Inputs!$B$3-100)*3)+Inputs!$B$28+Inputs!$B$29)))</f>
        <v/>
      </c>
      <c r="E1288">
        <f>INDEX(FactorTable!$B$2:$Y$301, MATCH(ROUND(MIN(300,MAX(1,D1288)),0), FactorTable!$A$2:$A$301,0), Skills!M21+1)</f>
        <v/>
      </c>
      <c r="F1288">
        <f>IF(Skills!N21=TRUE,(Skills!L21/10)*(E1288/1000),Skills!L21/10)+Skills!O21</f>
        <v/>
      </c>
      <c r="G1288">
        <f>Skills!G21*IF(Skills!H21&gt;0,INT(IF(Inputs!$B$38="pvp",MIN(Skills!I21,15),Skills!I21)/Skills!H21+0.000000001),1)</f>
        <v/>
      </c>
      <c r="H1288">
        <f>1-(1-Skills!J21/100)^Skills!K21</f>
        <v/>
      </c>
      <c r="I1288" t="inlineStr">
        <is>
          <t>1</t>
        </is>
      </c>
      <c r="J1288" t="inlineStr"/>
      <c r="K1288" t="inlineStr"/>
      <c r="L1288" t="inlineStr"/>
      <c r="M1288" t="inlineStr"/>
      <c r="N1288" t="inlineStr"/>
      <c r="O1288">
        <f>(1-Summary!$B$11)*T1288+Summary!$B$11*V1288</f>
        <v/>
      </c>
      <c r="P1288">
        <f>IF(B1308=0,0,O1288/B1308)</f>
        <v/>
      </c>
      <c r="Q1288" t="n">
        <v>0</v>
      </c>
      <c r="R1288" t="n">
        <v>0</v>
      </c>
      <c r="S1288">
        <f>IFERROR(O1288/N1288,0)</f>
        <v/>
      </c>
      <c r="T1288" t="n">
        <v>0</v>
      </c>
      <c r="V1288" t="n">
        <v>0</v>
      </c>
    </row>
    <row r="1289">
      <c r="A1289">
        <f>Skills!A22</f>
        <v/>
      </c>
      <c r="B1289">
        <f>Skills!B22</f>
        <v/>
      </c>
      <c r="C1289">
        <f>Inputs!$B$3&gt;=43</f>
        <v/>
      </c>
      <c r="D1289">
        <f>IF(Skills!C22=1,60+Inputs!$B$25+Inputs!$B$29,IF(Skills!C22=2,90+Inputs!$B$26+Inputs!$B$29,IF(Skills!C22=3,120+Inputs!$B$27+Inputs!$B$29,MAX(0,(Inputs!$B$3-100)*3)+Inputs!$B$28+Inputs!$B$29)))</f>
        <v/>
      </c>
      <c r="E1289">
        <f>INDEX(FactorTable!$B$2:$Y$301, MATCH(ROUND(MIN(300,MAX(1,D1289)),0), FactorTable!$A$2:$A$301,0), Skills!M22+1)</f>
        <v/>
      </c>
      <c r="F1289">
        <f>IF(Skills!N22=TRUE,(Skills!L22/10)*(E1289/1000),Skills!L22/10)+Skills!O22</f>
        <v/>
      </c>
      <c r="G1289">
        <f>Skills!G22*IF(Skills!H22&gt;0,INT(IF(Inputs!$B$38="pvp",MIN(Skills!I22,15),Skills!I22)/Skills!H22+0.000000001),1)</f>
        <v/>
      </c>
      <c r="H1289">
        <f>1-(1-Skills!J22/100)^Skills!K22</f>
        <v/>
      </c>
      <c r="I1289" t="inlineStr">
        <is>
          <t>1</t>
        </is>
      </c>
      <c r="J1289" t="inlineStr"/>
      <c r="K1289" t="inlineStr"/>
      <c r="L1289" t="inlineStr"/>
      <c r="M1289" t="inlineStr"/>
      <c r="N1289" t="inlineStr"/>
      <c r="O1289">
        <f>(1-Summary!$B$11)*T1289+Summary!$B$11*V1289</f>
        <v/>
      </c>
      <c r="P1289">
        <f>IF(B1308=0,0,O1289/B1308)</f>
        <v/>
      </c>
      <c r="Q1289" t="n">
        <v>0</v>
      </c>
      <c r="R1289" t="n">
        <v>0</v>
      </c>
      <c r="S1289">
        <f>IFERROR(O1289/N1289,0)</f>
        <v/>
      </c>
      <c r="T1289" t="n">
        <v>0</v>
      </c>
      <c r="V1289" t="n">
        <v>0</v>
      </c>
    </row>
    <row r="1290">
      <c r="A1290">
        <f>Skills!A23</f>
        <v/>
      </c>
      <c r="B1290">
        <f>Skills!B23</f>
        <v/>
      </c>
      <c r="C1290">
        <f>Inputs!$B$3&gt;=38</f>
        <v/>
      </c>
      <c r="D1290">
        <f>IF(Skills!C23=1,60+Inputs!$B$25+Inputs!$B$29,IF(Skills!C23=2,90+Inputs!$B$26+Inputs!$B$29,IF(Skills!C23=3,120+Inputs!$B$27+Inputs!$B$29,MAX(0,(Inputs!$B$3-100)*3)+Inputs!$B$28+Inputs!$B$29)))</f>
        <v/>
      </c>
      <c r="E1290">
        <f>INDEX(FactorTable!$B$2:$Y$301, MATCH(ROUND(MIN(300,MAX(1,D1290)),0), FactorTable!$A$2:$A$301,0), Skills!M23+1)</f>
        <v/>
      </c>
      <c r="F1290">
        <f>IF(Skills!N23=TRUE,(Skills!L23/10)*(E1290/1000),Skills!L23/10)+Skills!O23</f>
        <v/>
      </c>
      <c r="G1290">
        <f>Skills!G23*IF(Skills!H23&gt;0,INT(IF(Inputs!$B$38="pvp",MIN(Skills!I23,15),Skills!I23)/Skills!H23+0.000000001),1)</f>
        <v/>
      </c>
      <c r="H1290">
        <f>1-(1-Skills!J23/100)^Skills!K23</f>
        <v/>
      </c>
      <c r="I1290" t="inlineStr">
        <is>
          <t>1</t>
        </is>
      </c>
      <c r="J1290" t="inlineStr"/>
      <c r="K1290" t="inlineStr"/>
      <c r="L1290" t="inlineStr"/>
      <c r="M1290" t="inlineStr"/>
      <c r="N1290" t="inlineStr"/>
      <c r="O1290">
        <f>(1-Summary!$B$11)*T1290+Summary!$B$11*V1290</f>
        <v/>
      </c>
      <c r="P1290">
        <f>IF(B1308=0,0,O1290/B1308)</f>
        <v/>
      </c>
      <c r="Q1290" t="n">
        <v>0</v>
      </c>
      <c r="R1290" t="n">
        <v>0</v>
      </c>
      <c r="S1290">
        <f>IFERROR(O1290/N1290,0)</f>
        <v/>
      </c>
      <c r="T1290" t="n">
        <v>0</v>
      </c>
      <c r="V1290" t="n">
        <v>0</v>
      </c>
    </row>
    <row r="1291">
      <c r="A1291">
        <f>Skills!A24</f>
        <v/>
      </c>
      <c r="B1291">
        <f>Skills!B24</f>
        <v/>
      </c>
      <c r="C1291">
        <f>Inputs!$B$3&gt;=45</f>
        <v/>
      </c>
      <c r="D1291">
        <f>IF(Skills!C24=1,60+Inputs!$B$25+Inputs!$B$29,IF(Skills!C24=2,90+Inputs!$B$26+Inputs!$B$29,IF(Skills!C24=3,120+Inputs!$B$27+Inputs!$B$29,MAX(0,(Inputs!$B$3-100)*3)+Inputs!$B$28+Inputs!$B$29)))</f>
        <v/>
      </c>
      <c r="E1291">
        <f>INDEX(FactorTable!$B$2:$Y$301, MATCH(ROUND(MIN(300,MAX(1,D1291)),0), FactorTable!$A$2:$A$301,0), Skills!M24+1)</f>
        <v/>
      </c>
      <c r="F1291">
        <f>IF(Skills!N24=TRUE,(Skills!L24/10)*(E1291/1000),Skills!L24/10)+Skills!O24</f>
        <v/>
      </c>
      <c r="G1291">
        <f>Skills!G24*IF(Skills!H24&gt;0,INT(IF(Inputs!$B$38="pvp",MIN(Skills!I24,15),Skills!I24)/Skills!H24+0.000000001),1)</f>
        <v/>
      </c>
      <c r="H1291">
        <f>1-(1-Skills!J24/100)^Skills!K24</f>
        <v/>
      </c>
      <c r="I1291" t="inlineStr">
        <is>
          <t>1</t>
        </is>
      </c>
      <c r="J1291" t="inlineStr"/>
      <c r="K1291" t="inlineStr"/>
      <c r="L1291" t="inlineStr"/>
      <c r="M1291" t="inlineStr"/>
      <c r="N1291" t="inlineStr"/>
      <c r="O1291">
        <f>(1-Summary!$B$11)*T1291+Summary!$B$11*V1291</f>
        <v/>
      </c>
      <c r="P1291">
        <f>IF(B1308=0,0,O1291/B1308)</f>
        <v/>
      </c>
      <c r="Q1291" t="n">
        <v>0</v>
      </c>
      <c r="R1291" t="n">
        <v>0</v>
      </c>
      <c r="S1291">
        <f>IFERROR(O1291/N1291,0)</f>
        <v/>
      </c>
      <c r="T1291" t="n">
        <v>0</v>
      </c>
      <c r="V1291" t="n">
        <v>0</v>
      </c>
    </row>
    <row r="1292">
      <c r="A1292">
        <f>Skills!A25</f>
        <v/>
      </c>
      <c r="B1292">
        <f>Skills!B25</f>
        <v/>
      </c>
      <c r="C1292">
        <f>Inputs!$B$3&gt;=72</f>
        <v/>
      </c>
      <c r="D1292">
        <f>IF(Skills!C25=1,60+Inputs!$B$25+Inputs!$B$29,IF(Skills!C25=2,90+Inputs!$B$26+Inputs!$B$29,IF(Skills!C25=3,120+Inputs!$B$27+Inputs!$B$29,MAX(0,(Inputs!$B$3-100)*3)+Inputs!$B$28+Inputs!$B$29)))</f>
        <v/>
      </c>
      <c r="E1292">
        <f>INDEX(FactorTable!$B$2:$Y$301, MATCH(ROUND(MIN(300,MAX(1,D1292)),0), FactorTable!$A$2:$A$301,0), Skills!M25+1)</f>
        <v/>
      </c>
      <c r="F1292">
        <f>IF(Skills!N25=TRUE,(Skills!L25/10)*(E1292/1000),Skills!L25/10)+Skills!O25</f>
        <v/>
      </c>
      <c r="G1292">
        <f>Skills!G25*IF(Skills!H25&gt;0,INT(IF(Inputs!$B$38="pvp",MIN(Skills!I25,15),Skills!I25)/Skills!H25+0.000000001),1)</f>
        <v/>
      </c>
      <c r="H1292">
        <f>1-(1-Skills!J25/100)^Skills!K25</f>
        <v/>
      </c>
      <c r="I1292" t="inlineStr">
        <is>
          <t>1</t>
        </is>
      </c>
      <c r="J1292" t="inlineStr"/>
      <c r="K1292" t="inlineStr"/>
      <c r="L1292" t="inlineStr"/>
      <c r="M1292" t="inlineStr"/>
      <c r="N1292" t="inlineStr"/>
      <c r="O1292">
        <f>(1-Summary!$B$11)*T1292+Summary!$B$11*V1292</f>
        <v/>
      </c>
      <c r="P1292">
        <f>IF(B1308=0,0,O1292/B1308)</f>
        <v/>
      </c>
      <c r="Q1292" t="n">
        <v>0</v>
      </c>
      <c r="R1292" t="n">
        <v>0</v>
      </c>
      <c r="S1292">
        <f>IFERROR(O1292/N1292,0)</f>
        <v/>
      </c>
      <c r="T1292" t="n">
        <v>0</v>
      </c>
      <c r="V1292" t="n">
        <v>0</v>
      </c>
    </row>
    <row r="1293">
      <c r="A1293">
        <f>Skills!A26</f>
        <v/>
      </c>
      <c r="B1293">
        <f>Skills!B26</f>
        <v/>
      </c>
      <c r="C1293">
        <f>Inputs!$B$3&gt;=75</f>
        <v/>
      </c>
      <c r="D1293">
        <f>IF(Skills!C26=1,60+Inputs!$B$25+Inputs!$B$29,IF(Skills!C26=2,90+Inputs!$B$26+Inputs!$B$29,IF(Skills!C26=3,120+Inputs!$B$27+Inputs!$B$29,MAX(0,(Inputs!$B$3-100)*3)+Inputs!$B$28+Inputs!$B$29)))</f>
        <v/>
      </c>
      <c r="E1293">
        <f>INDEX(FactorTable!$B$2:$Y$301, MATCH(ROUND(MIN(300,MAX(1,D1293)),0), FactorTable!$A$2:$A$301,0), Skills!M26+1)</f>
        <v/>
      </c>
      <c r="F1293">
        <f>IF(Skills!N26=TRUE,(Skills!L26/10)*(E1293/1000),Skills!L26/10)+Skills!O26</f>
        <v/>
      </c>
      <c r="G1293">
        <f>Skills!G26*IF(Skills!H26&gt;0,INT(IF(Inputs!$B$38="pvp",MIN(Skills!I26,15),Skills!I26)/Skills!H26+0.000000001),1)</f>
        <v/>
      </c>
      <c r="H1293">
        <f>1-(1-Skills!J26/100)^Skills!K26</f>
        <v/>
      </c>
      <c r="I1293" t="inlineStr">
        <is>
          <t>1</t>
        </is>
      </c>
      <c r="J1293" t="inlineStr"/>
      <c r="K1293" t="inlineStr"/>
      <c r="L1293" t="inlineStr"/>
      <c r="M1293" t="inlineStr"/>
      <c r="N1293" t="inlineStr"/>
      <c r="O1293">
        <f>(1-Summary!$B$11)*T1293+Summary!$B$11*V1293</f>
        <v/>
      </c>
      <c r="P1293">
        <f>IF(B1308=0,0,O1293/B1308)</f>
        <v/>
      </c>
      <c r="Q1293" t="n">
        <v>0</v>
      </c>
      <c r="R1293" t="n">
        <v>0</v>
      </c>
      <c r="S1293">
        <f>IFERROR(O1293/N1293,0)</f>
        <v/>
      </c>
      <c r="T1293" t="n">
        <v>0</v>
      </c>
      <c r="V1293" t="n">
        <v>0</v>
      </c>
    </row>
    <row r="1294">
      <c r="A1294">
        <f>Skills!A27</f>
        <v/>
      </c>
      <c r="B1294">
        <f>Skills!B27</f>
        <v/>
      </c>
      <c r="C1294">
        <f>Inputs!$B$3&gt;=125</f>
        <v/>
      </c>
      <c r="D1294">
        <f>IF(Skills!C27=1,60+Inputs!$B$25+Inputs!$B$29,IF(Skills!C27=2,90+Inputs!$B$26+Inputs!$B$29,IF(Skills!C27=3,120+Inputs!$B$27+Inputs!$B$29,MAX(0,(Inputs!$B$3-100)*3)+Inputs!$B$28+Inputs!$B$29)))</f>
        <v/>
      </c>
      <c r="E1294">
        <f>INDEX(FactorTable!$B$2:$Y$301, MATCH(ROUND(MIN(300,MAX(1,D1294)),0), FactorTable!$A$2:$A$301,0), Skills!M27+1)</f>
        <v/>
      </c>
      <c r="F1294">
        <f>IF(Skills!N27=TRUE,(Skills!L27/10)*(E1294/1000),Skills!L27/10)+Skills!O27</f>
        <v/>
      </c>
      <c r="G1294">
        <f>Skills!G27*IF(Skills!H27&gt;0,INT(IF(Inputs!$B$38="pvp",MIN(Skills!I27,15),Skills!I27)/Skills!H27+0.000000001),1)</f>
        <v/>
      </c>
      <c r="H1294">
        <f>1-(1-Skills!J27/100)^Skills!K27</f>
        <v/>
      </c>
      <c r="I1294" t="inlineStr">
        <is>
          <t>1</t>
        </is>
      </c>
      <c r="J1294" t="inlineStr"/>
      <c r="K1294" t="inlineStr"/>
      <c r="L1294" t="inlineStr"/>
      <c r="M1294" t="inlineStr"/>
      <c r="N1294" t="inlineStr"/>
      <c r="O1294">
        <f>(1-Summary!$B$11)*T1294+Summary!$B$11*V1294</f>
        <v/>
      </c>
      <c r="P1294">
        <f>IF(B1308=0,0,O1294/B1308)</f>
        <v/>
      </c>
      <c r="Q1294" t="n">
        <v>0</v>
      </c>
      <c r="R1294" t="n">
        <v>0</v>
      </c>
      <c r="S1294">
        <f>IFERROR(O1294/N1294,0)</f>
        <v/>
      </c>
      <c r="T1294" t="n">
        <v>0</v>
      </c>
      <c r="V1294" t="n">
        <v>0</v>
      </c>
    </row>
    <row r="1295">
      <c r="A1295">
        <f>Skills!A28</f>
        <v/>
      </c>
      <c r="B1295">
        <f>Skills!B28</f>
        <v/>
      </c>
      <c r="C1295">
        <f>TRUE</f>
        <v/>
      </c>
      <c r="D1295">
        <f>IF(Skills!C28=1,60+Inputs!$B$25+Inputs!$B$29,IF(Skills!C28=2,90+Inputs!$B$26+Inputs!$B$29,IF(Skills!C28=3,120+Inputs!$B$27+Inputs!$B$29,MAX(0,(Inputs!$B$3-100)*3)+Inputs!$B$28+Inputs!$B$29)))</f>
        <v/>
      </c>
      <c r="E1295">
        <f>INDEX(FactorTable!$B$2:$Y$301, MATCH(ROUND(MIN(300,MAX(1,D1295)),0), FactorTable!$A$2:$A$301,0), Skills!M28+1)</f>
        <v/>
      </c>
      <c r="F1295">
        <f>IF(Skills!N28=TRUE,(Skills!L28/10)*(E1295/1000),Skills!L28/10)+Skills!O28</f>
        <v/>
      </c>
      <c r="G1295">
        <f>Skills!G28*IF(Skills!H28&gt;0,INT(IF(Inputs!$B$38="pvp",MIN(Skills!I28,15),Skills!I28)/Skills!H28+0.000000001),1)</f>
        <v/>
      </c>
      <c r="H1295">
        <f>1-(1-Skills!J28/100)^Skills!K28</f>
        <v/>
      </c>
      <c r="I1295" t="inlineStr">
        <is>
          <t>1</t>
        </is>
      </c>
      <c r="J1295" t="inlineStr"/>
      <c r="K1295" t="inlineStr"/>
      <c r="L1295" t="inlineStr"/>
      <c r="M1295" t="inlineStr"/>
      <c r="N1295" t="inlineStr"/>
      <c r="O1295">
        <f>(1-Summary!$B$11)*T1295+Summary!$B$11*V1295</f>
        <v/>
      </c>
      <c r="P1295">
        <f>IF(B1308=0,0,O1295/B1308)</f>
        <v/>
      </c>
      <c r="Q1295">
        <f>IFERROR(1/(IF(Inputs!$B$38="pvp",15,MAX(0.1,Skills!D28-IF(TRUE=TRUE,Inputs!$B$32,0)))*(1-IF(AND(ArtifactsInput!$M$27,Inputs!$B$4="Chapter Hunt"),CHOOSE(ArtifactsInput!$N$27+1,20,24,28,32,36,40),0)/100)),0)</f>
        <v/>
      </c>
      <c r="R1295">
        <f>IF(AND(Inputs!$B$38&lt;&gt;"pvp",Inputs!$B$43&gt;0),IF(Inputs!$B$43&lt;=0,0,(INT(Inputs!$B$43/(IF(Inputs!$B$38="pvp",15,MAX(0.1,Skills!D28-IF(TRUE=TRUE,Inputs!$B$32,0)))*(1-IF(AND(ArtifactsInput!$M$27,Inputs!$B$4="Chapter Hunt"),CHOOSE(ArtifactsInput!$N$27+1,20,24,28,32,36,40),0)/100)))+1)),0)</f>
        <v/>
      </c>
      <c r="S1295">
        <f>IFERROR(O1295/N1295,0)</f>
        <v/>
      </c>
      <c r="T1295" t="n">
        <v>0</v>
      </c>
      <c r="V1295" t="n">
        <v>0</v>
      </c>
    </row>
    <row r="1297">
      <c r="A1297" t="inlineStr">
        <is>
          <t>Attack% Bucket Multiplier</t>
        </is>
      </c>
      <c r="B1297">
        <f>(1+(((C1284=TRUE)*F1284*5/7)+((C1291=TRUE)*(F1291-Calc!F24))+(IF(ArtifactsInput!$M$21,CHOOSE(ArtifactsInput!$N$21+1,25,30,35,40,45,50)*(IF(OR(Inputs!$B$4="Chapter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IF(ArtifactsInput!$M$5,FALSE,TRUE),CHOOSE(ArtifactsInput!$N$5+1,10,12,14,16,18,20)*(IF(AND(Inputs!$B$38&lt;&gt;"pvp",Inputs!$B$43=0),0.5,(5*INT(MAX(0,IF(Inputs!$B$38="pvp",15,Inputs!$B$43)-10)/10)+MIN((MAX(0,IF(Inputs!$B$38="pvp",15,Inputs!$B$43)-10)-10*INT(MAX(0,IF(Inputs!$B$38="pvp",15,Inputs!$B$43)-10)/10)),5))/IF(Inputs!$B$38="pvp",15,Inputs!$B$43))),0)))/100)</f>
        <v/>
      </c>
    </row>
    <row r="1298">
      <c r="A1298" t="inlineStr">
        <is>
          <t>Global Crit Rate Bonus %</t>
        </is>
      </c>
      <c r="B1298" t="n">
        <v>0</v>
      </c>
    </row>
    <row r="1299">
      <c r="A1299" t="inlineStr">
        <is>
          <t>Attack Speed Buff Bonus % (Nimble Feet, duty-cycle averaged)</t>
        </is>
      </c>
      <c r="B1299">
        <f>((C1295=TRUE)*F1295*IF(AND(Inputs!$B$38&lt;&gt;"pvp",Inputs!$B$43&gt;0),(((R1295-1)*MIN((Skills!T28*(1+Inputs!$B$34/100)),(1/Q1295))+MIN((Skills!T28*(1+Inputs!$B$34/100)),MAX(0,Inputs!$B$43-((R1295-1)*(1/Q1295)))))/Inputs!$B$43),IF(Inputs!$B$38="pvp",MIN((Skills!T28*(1+Inputs!$B$34/100)),15)/15,MIN(1,(Skills!T28*(1+Inputs!$B$34/100))/(1/Q1295)))))</f>
        <v/>
      </c>
    </row>
    <row r="1300">
      <c r="A1300" t="inlineStr">
        <is>
          <t>Actions Per Second</t>
        </is>
      </c>
      <c r="B1300">
        <f>1+MIN(150,150*(1-(1-(Inputs!$B$11+((C1287=TRUE)*(F1287-Calc!F20))+((C1288=TRUE)*(F1288-Calc!F21)))/150)*(1-B1299/150)))/100</f>
        <v/>
      </c>
    </row>
    <row r="1301">
      <c r="A1301" t="inlineStr">
        <is>
          <t>Skill + Buff Cast Rate</t>
        </is>
      </c>
      <c r="B1301">
        <f>IF(AND(Inputs!$B$38&lt;&gt;"pvp",Inputs!$B$43&gt;0),SUMPRODUCT((Skills!E2:E28=TRUE)*(C1269:C1295=TRUE)*R1269:R1295*Skills!F2:F28)/Inputs!$B$43,SUMPRODUCT((Skills!E2:E28=TRUE)*(C1269:C1295=TRUE)*Q1269:Q1295*Skills!F2:F28))</f>
        <v/>
      </c>
    </row>
    <row r="1302">
      <c r="A1302" t="inlineStr">
        <is>
          <t>Eight-Legs Easton Casts Per Second</t>
        </is>
      </c>
      <c r="B1302">
        <f>MAX(0,B1300-B1301)</f>
        <v/>
      </c>
    </row>
    <row r="1303">
      <c r="A1303" t="inlineStr">
        <is>
          <t>Global Critical Damage Bonus % (unused)</t>
        </is>
      </c>
      <c r="B1303" t="n">
        <v>0</v>
      </c>
    </row>
    <row r="1304">
      <c r="A1304" t="inlineStr">
        <is>
          <t>Global Final Damage Bonus % (Jolly Roger + Ahoy Mateys - Final Damage proc)</t>
        </is>
      </c>
      <c r="B1304">
        <f>((C1285=TRUE)*F1285*IF(AND(Inputs!$B$38&lt;&gt;"pvp",Inputs!$B$43&gt;0),(((R1285-1)*MIN((Skills!T18*(1+Inputs!$B$34/100)),(1/Q1285))+MIN((Skills!T18*(1+Inputs!$B$34/100)),MAX(0,Inputs!$B$43-((R1285-1)*(1/Q1285)))))/Inputs!$B$43),IF(Inputs!$B$38="pvp",MIN((Skills!T18*(1+Inputs!$B$34/100)),15)/15,MIN(1,(Skills!T18*(1+Inputs!$B$34/100))/(1/Q1285)))))+IF(Inputs!$B$3&gt;=122,20*IF(Inputs!$B$38="pvp",MIN((20*(1+Inputs!$B$34/100)),15)/15,MIN(1,(20*(1+Inputs!$B$34/100))/(1/Q1271))),0)</f>
        <v/>
      </c>
    </row>
    <row r="1305">
      <c r="A1305" t="inlineStr">
        <is>
          <t>Buff-Casting Startup Delay (s, fixed-duration only)</t>
        </is>
      </c>
      <c r="B1305">
        <f>IF(AND(Inputs!$B$38&lt;&gt;"pvp",Inputs!$B$43&gt;0),SUMPRODUCT((Skills!T2:T28&gt;0)*(Skills!E2:E28=TRUE)*(C1269:C1295=TRUE))/B1300,0)</f>
        <v/>
      </c>
    </row>
    <row r="1306">
      <c r="A1306" t="inlineStr">
        <is>
          <t>Boss-Only Total DPS (this block's swept value)</t>
        </is>
      </c>
      <c r="B1306">
        <f>SUM(T1269:T1295)</f>
        <v/>
      </c>
    </row>
    <row r="1307">
      <c r="A1307" t="inlineStr">
        <is>
          <t>Normal-Only Total DPS (this block's swept value)</t>
        </is>
      </c>
      <c r="B1307">
        <f>SUM(V1269:V1295)</f>
        <v/>
      </c>
    </row>
    <row r="1308">
      <c r="A1308" s="6" t="inlineStr">
        <is>
          <t>TOTAL DPS</t>
        </is>
      </c>
      <c r="B1308" s="6">
        <f>SUM(O1269:O1295)</f>
        <v/>
      </c>
    </row>
    <row r="1309">
      <c r="A1309" t="inlineStr">
        <is>
          <t>Quickdraw cooldown divisor (this block's own APS / Q)</t>
        </is>
      </c>
      <c r="B1309">
        <f>IF(AND(C1294=TRUE,Inputs!$B$38&lt;&gt;"pvp"),1+0.25*MAX(0,(B1300-(((C1270=TRUE)*Q1270*1)+((C1271=TRUE)*Q1271*1)+((C1273=TRUE)*Q1273*1)+((C1274=TRUE)*Q1274*1)+((C1276=TRUE)*Q1276*1)+((C1279=TRUE)*Q1279*1)+((C1285=TRUE)*Q1285*1)+((C1295=TRUE)*Q1295*1))-((C1275=TRUE)/(IF(Inputs!$B$38="pvp",15,MAX(0.1,Skills!D8-IF(TRUE=TRUE,Inputs!$B$32,0)))*(1-IF(AND(ArtifactsInput!$M$27,Inputs!$B$4="Chapter Hunt"),CHOOSE(ArtifactsInput!$N$27+1,20,24,28,32,36,40),0)/100))+(C1278=TRUE)/(IF(Inputs!$B$38="pvp",15,MAX(0.1,Skills!D11-IF(TRUE=TRUE,Inputs!$B$32,0)))*(1-IF(AND(ArtifactsInput!$M$27,Inputs!$B$4="Chapter Hunt"),CHOOSE(ArtifactsInput!$N$27+1,20,24,28,32,36,40),0)/100))))/(1+0.25*((C1275=TRUE)/(IF(Inputs!$B$38="pvp",15,MAX(0.1,Skills!D8-IF(TRUE=TRUE,Inputs!$B$32,0)))*(1-IF(AND(ArtifactsInput!$M$27,Inputs!$B$4="Chapter Hunt"),CHOOSE(ArtifactsInput!$N$27+1,20,24,28,32,36,40),0)/100))+(C1278=TRUE)/(IF(Inputs!$B$38="pvp",15,MAX(0.1,Skills!D11-IF(TRUE=TRUE,Inputs!$B$32,0)))*(1-IF(AND(ArtifactsInput!$M$27,Inputs!$B$4="Chapter Hunt"),CHOOSE(ArtifactsInput!$N$27+1,20,24,28,32,36,40),0)/100))))),1)</f>
        <v/>
      </c>
    </row>
    <row r="1310">
      <c r="A1310" t="inlineStr">
        <is>
          <t>Nautilus Strike - Final Attack trigger rate (this block's own Q/R)</t>
        </is>
      </c>
      <c r="B1310">
        <f>IF(AND(Inputs!$B$38&lt;&gt;"pvp",Inputs!$B$43&gt;0),(((C1270=TRUE)*R1270)+((C1273=TRUE)*R1273)+((C1275=TRUE)*R1275)+((C1276=TRUE)*R1276)+((C1278=TRUE)*R1278))/Inputs!$B$43,((C1270=TRUE)*Q1270)+((C1273=TRUE)*Q1273)+((C1275=TRUE)*Q1275)+((C1276=TRUE)*Q1276)+((C1278=TRUE)*Q1278))+B1302</f>
        <v/>
      </c>
    </row>
    <row r="1313">
      <c r="A1313" s="6" t="inlineStr">
        <is>
          <t>Stat: Pig's Ribbon (Equip)</t>
        </is>
      </c>
    </row>
    <row r="1314">
      <c r="A1314" s="5" t="inlineStr">
        <is>
          <t>Key</t>
        </is>
      </c>
      <c r="B1314" s="5" t="inlineStr">
        <is>
          <t>Name</t>
        </is>
      </c>
      <c r="C1314" s="5" t="inlineStr">
        <is>
          <t>Unlocked</t>
        </is>
      </c>
      <c r="D1314" s="5" t="inlineStr">
        <is>
          <t>InputLevel</t>
        </is>
      </c>
      <c r="E1314" s="5" t="inlineStr">
        <is>
          <t>Factor</t>
        </is>
      </c>
      <c r="F1314" s="5" t="inlineStr">
        <is>
          <t>CoefficientPercent</t>
        </is>
      </c>
      <c r="G1314" s="5" t="inlineStr">
        <is>
          <t>EffectiveHits</t>
        </is>
      </c>
      <c r="H1314" s="5" t="inlineStr">
        <is>
          <t>ProcProbability</t>
        </is>
      </c>
      <c r="I1314" s="5" t="inlineStr">
        <is>
          <t>MapleHeroMultiplier</t>
        </is>
      </c>
      <c r="J1314" s="5" t="inlineStr">
        <is>
          <t>BaseDamage</t>
        </is>
      </c>
      <c r="K1314" s="5" t="inlineStr">
        <is>
          <t>BaseHitDamage</t>
        </is>
      </c>
      <c r="L1314" s="5" t="inlineStr">
        <is>
          <t>NonCritAvg</t>
        </is>
      </c>
      <c r="M1314" s="5" t="inlineStr">
        <is>
          <t>CritAvg</t>
        </is>
      </c>
      <c r="N1314" s="5" t="inlineStr">
        <is>
          <t>ExpectedDamage(perHit)</t>
        </is>
      </c>
      <c r="O1314" s="5" t="inlineStr">
        <is>
          <t>DPS</t>
        </is>
      </c>
      <c r="P1314" s="5" t="inlineStr">
        <is>
          <t>% of Total</t>
        </is>
      </c>
      <c r="Q1314" s="5" t="inlineStr">
        <is>
          <t>InvCooldown</t>
        </is>
      </c>
      <c r="R1314" s="5" t="inlineStr">
        <is>
          <t>CastsInFight</t>
        </is>
      </c>
      <c r="S1314" s="5" t="inlineStr">
        <is>
          <t>HitRate(perSec)</t>
        </is>
      </c>
      <c r="U1314" t="inlineStr">
        <is>
          <t>helpers</t>
        </is>
      </c>
    </row>
    <row r="1315">
      <c r="A1315">
        <f>Skills!A2</f>
        <v/>
      </c>
      <c r="B1315">
        <f>Skills!B2</f>
        <v/>
      </c>
      <c r="C1315">
        <f>Inputs!$B$3&gt;=100</f>
        <v/>
      </c>
      <c r="D1315" t="inlineStr"/>
      <c r="E1315" t="inlineStr"/>
      <c r="F1315">
        <f>U1317+Skills!O2</f>
        <v/>
      </c>
      <c r="G1315">
        <f>Skills!G2*IF(Skills!H2&gt;0,INT(IF(Inputs!$B$38="pvp",MIN(Skills!I2,15),Skills!I2)/Skills!H2+0.000000001),1)</f>
        <v/>
      </c>
      <c r="H1315">
        <f>1-(1-Skills!J2/100)^Skills!K2</f>
        <v/>
      </c>
      <c r="I1315" t="inlineStr">
        <is>
          <t>1</t>
        </is>
      </c>
      <c r="J1315">
        <f>((Inputs!$B$6*(1+Inputs!$B$7/100))+(((Inputs!$B$12*(1+Inputs!$B$13/100))-(Inputs!$B$12*(1+Inputs!$B$13/100)))+0.25*(Inputs!$B$14-Inputs!$B$14))*(1+Inputs!$B$7/100))*(F1315/100)</f>
        <v/>
      </c>
      <c r="K1315">
        <f>J1315*(1+((Inputs!$B$12*(1+Inputs!$B$13/100))*0.01+Inputs!$B$14*0.0025)/100)*(1+Inputs!$B$15/100)*(1+Inputs!$B$16/100)*(5000/(6000+Inputs!$B$42*(1-(100*(1-(1-(Inputs!$B$19+0)/100)*(1-CHOOSE(ArtifactsInput!$N$40+1,5,6,7,8,9,10)/100)^(ArtifactsInput!$M$40-ArtifactsInput!$M$40)))/100)))*(1+(Inputs!$B$24+((C1339=TRUE)*(F1339-Calc!F26))+B1350)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IGHT_LEGS_EASTON",Inputs!$B$17+((C1336=TRUE)*(F1336-Calc!F23))+((C1340=TRUE)*(F1340-Calc!F27))+((IF(AND(Inputs!$B$38&lt;&gt;"pvp",Inputs!$B$43=0),1,IF(IF(Inputs!$B$38="pvp",15,Inputs!$B$43)-(B1351)&lt;=0,1,MAX(0,IF(Inputs!$B$38="pvp",15,Inputs!$B$43)-MAX(5,B1351))/(IF(Inputs!$B$38="pvp",15,Inputs!$B$43)-(B1351))))*(IF(AND(ArtifactsInput!$M$42,((Inputs!$B$9+((C1332=TRUE)*(F1332-Calc!F19))+B1344+(ArtifactsInput!$M$24-ArtifactsInput!$M$24)*CHOOSE(ArtifactsInput!$N$24+1,10,12,14,16,18,20)+IF(ArtifactsInput!$M$10,CHOOSE(ArtifactsInput!$N$10+1,15,18,21,24,27,30)*(IF(Inputs!$B$38="pvp",MIN(15,15)/15,IF(AND(Inputs!$B$38&lt;&gt;"pvp",Inputs!$B$43&gt;0),MIN(15,Inputs!$B$43)/(Inputs!$B$43),0))),0)))&gt;=100),MIN(100,((Inputs!$B$9+((C1332=TRUE)*(F1332-Calc!F19))+B1344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1351)&lt;=0,1,MAX(0,IF(Inputs!$B$38="pvp",15,Inputs!$B$43)-MAX(5,B1351))/(IF(Inputs!$B$38="pvp",15,Inputs!$B$43)-(B1351))))*IF(AND(ArtifactsInput!$M$42,((Inputs!$B$9+((C1332=TRUE)*(F1332-Calc!F19))+B1344+(ArtifactsInput!$M$24-ArtifactsInput!$M$24)*CHOOSE(ArtifactsInput!$N$24+1,10,12,14,16,18,20)+IF(ArtifactsInput!$M$10,CHOOSE(ArtifactsInput!$N$10+1,15,18,21,24,27,30)*(IF(Inputs!$B$38="pvp",MIN(15,15)/15,IF(AND(Inputs!$B$38&lt;&gt;"pvp",Inputs!$B$43&gt;0),MIN(15,Inputs!$B$43)/(Inputs!$B$43),0))),0)))&gt;=100),CHOOSE(ArtifactsInput!$N$42+1,40,48,56,64,72,80),0))))/100)*((1+(((C1330=TRUE)*F1330*5/7)+((C1337=TRUE)*(F1337-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1315)</f>
        <v/>
      </c>
      <c r="L1315">
        <f>K1315*(MIN(Inputs!$B$22+((C1335=TRUE)*(F1335-Calc!F22)),(Inputs!$B$23+0+(IF(ArtifactsInput!$M$15,CHOOSE(ArtifactsInput!$N$15+1,25,30,35,40,45,50)/100*(Inputs!$B$11-Inputs!$B$11),0))))/100+(Inputs!$B$23+0+(IF(ArtifactsInput!$M$15,CHOOSE(ArtifactsInput!$N$15+1,25,30,35,40,45,50)/100*(Inputs!$B$11-Inputs!$B$11),0)))/100)/2</f>
        <v/>
      </c>
      <c r="M1315">
        <f>L1315*(1+(Inputs!$B$10+((C1338=TRUE)*(F1338-Calc!F25))+B1349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15">
        <f>L1315*(1-MIN((Inputs!$B$9+((C1332=TRUE)*(F1332-Calc!F19))+B1344+(ArtifactsInput!$M$24-ArtifactsInput!$M$24)*CHOOSE(ArtifactsInput!$N$24+1,10,12,14,16,18,20)+(IF(AND(Inputs!$B$38&lt;&gt;"pvp",Inputs!$B$43=0),1,IF(IF(Inputs!$B$38="pvp",15,Inputs!$B$43)-(B1351)&lt;=0,1,MAX(0,IF(Inputs!$B$38="pvp",15,Inputs!$B$43)-MAX(5,B1351))/(IF(Inputs!$B$38="pvp",15,Inputs!$B$43)-(B1351))))*IF(AND(ArtifactsInput!$M$42,((Inputs!$B$9+((C1332=TRUE)*(F1332-Calc!F19))+B1344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1315*(MIN((Inputs!$B$9+((C1332=TRUE)*(F1332-Calc!F19))+B1344+(ArtifactsInput!$M$24-ArtifactsInput!$M$24)*CHOOSE(ArtifactsInput!$N$24+1,10,12,14,16,18,20)+(IF(AND(Inputs!$B$38&lt;&gt;"pvp",Inputs!$B$43=0),1,IF(IF(Inputs!$B$38="pvp",15,Inputs!$B$43)-(B1351)&lt;=0,1,MAX(0,IF(Inputs!$B$38="pvp",15,Inputs!$B$43)-MAX(5,B1351))/(IF(Inputs!$B$38="pvp",15,Inputs!$B$43)-(B1351))))*IF(AND(ArtifactsInput!$M$42,((Inputs!$B$9+((C1332=TRUE)*(F1332-Calc!F19))+B1344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15">
        <f>(1-Summary!$B$11)*T1315+Summary!$B$11*V1315</f>
        <v/>
      </c>
      <c r="P1315">
        <f>IF(B1354=0,0,O1315/B1354)</f>
        <v/>
      </c>
      <c r="Q1315" t="n">
        <v>0</v>
      </c>
      <c r="R1315" t="n">
        <v>0</v>
      </c>
      <c r="S1315">
        <f>IFERROR(O1315/N1315,0)</f>
        <v/>
      </c>
      <c r="T1315">
        <f>IF(C1315,(Skills!G2*N1315*B1348*(1+IF(C1340=TRUE,1/3,0)))*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Hunt"),CHOOSE(ArtifactsInput!$N$35+1,15,18,21,24,27,30)*(1-EXP(-(0.2*B1346)*5)),0)+IF(AND(ArtifactsInput!$M$22,Inputs!$B$4&lt;&gt;"Chapter Hunt"),CHOOSE(ArtifactsInput!$N$22+1,10,12,14,16,18,20)*((0*(((0.15*B1346*5))^0/1)+1*(((0.15*B1346*5))^1/1)+2*(((0.15*B1346*5))^2/2)+3*(((0.15*B1346*5))^3/6)+4*(((0.15*B1346*5))^4/24)+5*(((0.15*B1346*5))^5/120))/((((0.15*B1346*5))^0/1)+(((0.15*B1346*5))^1/1)+(((0.15*B1346*5))^2/2)+(((0.15*B1346*5))^3/6)+(((0.15*B1346*5))^4/24)+(((0.15*B1346*5))^5/120))),0))+IF(Inputs!$B$3&gt;=54,9*(C1316=TRUE)*MIN(1,8*(1+Inputs!$B$34/100)*Q1316)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1315*(1-MIN(100,(Inputs!$B$9+((C1332=TRUE)*(F1332-Calc!F19))+B1344+(ArtifactsInput!$M$24-ArtifactsInput!$M$24)*CHOOSE(ArtifactsInput!$N$24+1,10,12,14,16,18,20)+(IF(AND(Inputs!$B$38&lt;&gt;"pvp",Inputs!$B$43=0),1,IF(IF(Inputs!$B$38="pvp",15,Inputs!$B$43)-(B1351)&lt;=0,1,MAX(0,IF(Inputs!$B$38="pvp",15,Inputs!$B$43)-MAX(5,B1351))/(IF(Inputs!$B$38="pvp",15,Inputs!$B$43)-(B1351))))*IF(AND(ArtifactsInput!$M$42,((Inputs!$B$9+((C1332=TRUE)*(F1332-Calc!F19))+B1344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1315*(MIN(100,(Inputs!$B$9+((C1332=TRUE)*(F1332-Calc!F19))+B1344+(ArtifactsInput!$M$24-ArtifactsInput!$M$24)*CHOOSE(ArtifactsInput!$N$24+1,10,12,14,16,18,20)+(IF(AND(Inputs!$B$38&lt;&gt;"pvp",Inputs!$B$43=0),1,IF(IF(Inputs!$B$38="pvp",15,Inputs!$B$43)-(B1351)&lt;=0,1,MAX(0,IF(Inputs!$B$38="pvp",15,Inputs!$B$43)-MAX(5,B1351))/(IF(Inputs!$B$38="pvp",15,Inputs!$B$43)-(B1351))))*IF(AND(ArtifactsInput!$M$42,((Inputs!$B$9+((C1332=TRUE)*(F1332-Calc!F19))+B1344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1315*(1-MIN(100,(Inputs!$B$9+((C1332=TRUE)*(F1332-Calc!F19))+B1344+(ArtifactsInput!$M$24-ArtifactsInput!$M$24)*CHOOSE(ArtifactsInput!$N$24+1,10,12,14,16,18,20)+(IF(AND(Inputs!$B$38&lt;&gt;"pvp",Inputs!$B$43=0),1,IF(IF(Inputs!$B$38="pvp",15,Inputs!$B$43)-(B1351)&lt;=0,1,MAX(0,IF(Inputs!$B$38="pvp",15,Inputs!$B$43)-MAX(5,B1351))/(IF(Inputs!$B$38="pvp",15,Inputs!$B$43)-(B1351))))*IF(AND(ArtifactsInput!$M$42,((Inputs!$B$9+((C1332=TRUE)*(F1332-Calc!F19))+B1344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1315*(MIN(100,(Inputs!$B$9+((C1332=TRUE)*(F1332-Calc!F19))+B1344+(ArtifactsInput!$M$24-ArtifactsInput!$M$24)*CHOOSE(ArtifactsInput!$N$24+1,10,12,14,16,18,20)+(IF(AND(Inputs!$B$38&lt;&gt;"pvp",Inputs!$B$43=0),1,IF(IF(Inputs!$B$38="pvp",15,Inputs!$B$43)-(B1351)&lt;=0,1,MAX(0,IF(Inputs!$B$38="pvp",15,Inputs!$B$43)-MAX(5,B1351))/(IF(Inputs!$B$38="pvp",15,Inputs!$B$43)-(B1351))))*IF(AND(ArtifactsInput!$M$42,((Inputs!$B$9+((C1332=TRUE)*(F1332-Calc!F19))+B1344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315">
        <f>MAX(0,(Inputs!$B$3-100)*3)+Inputs!$B$28+Inputs!$B$29</f>
        <v/>
      </c>
      <c r="V1315">
        <f>IF(C1315,(Skills!G2*N1315*B1348*(1+IF(C1340=TRUE,1/3,0)))*IF(Inputs!$B$38="pvp",1,(1+(Inputs!$B$21+Skills!Q2+(IF(ArtifactsInput!$M$33,CHOOSE(ArtifactsInput!$N$33+1,30,36,42,48,54,60),0))+(IF(AND(ArtifactsInput!$M$35,Inputs!$B$4&lt;&gt;"Chapter Hunt"),CHOOSE(ArtifactsInput!$N$35+1,15,18,21,24,27,30)*(1-EXP(-(0.2*B1346)*5)),0)+IF(AND(ArtifactsInput!$M$22,Inputs!$B$4&lt;&gt;"Chapter Hunt"),CHOOSE(ArtifactsInput!$N$22+1,10,12,14,16,18,20)*((0*(((0.15*B1346*5))^0/1)+1*(((0.15*B1346*5))^1/1)+2*(((0.15*B1346*5))^2/2)+3*(((0.15*B1346*5))^3/6)+4*(((0.15*B1346*5))^4/24)+5*(((0.15*B1346*5))^5/120))/((((0.15*B1346*5))^0/1)+(((0.15*B1346*5))^1/1)+(((0.15*B1346*5))^2/2)+(((0.15*B1346*5))^3/6)+(((0.15*B1346*5))^4/24)+(((0.15*B1346*5))^5/120))),0))+IF(Inputs!$B$3&gt;=54,9*(C1316=TRUE)*MIN(1,8*(1+Inputs!$B$34/100)*Q1316),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16">
      <c r="A1316">
        <f>Skills!A3</f>
        <v/>
      </c>
      <c r="B1316">
        <f>Skills!B3</f>
        <v/>
      </c>
      <c r="C1316">
        <f>Inputs!$B$3&gt;=33</f>
        <v/>
      </c>
      <c r="D1316">
        <f>IF(Skills!C3=1,60+Inputs!$B$25+Inputs!$B$29,IF(Skills!C3=2,90+Inputs!$B$26+Inputs!$B$29,IF(Skills!C3=3,120+Inputs!$B$27+Inputs!$B$29,MAX(0,(Inputs!$B$3-100)*3)+Inputs!$B$28+Inputs!$B$29)))</f>
        <v/>
      </c>
      <c r="E1316">
        <f>INDEX(FactorTable!$B$2:$Y$301, MATCH(ROUND(MIN(300,MAX(1,D1316)),0), FactorTable!$A$2:$A$301,0), Skills!M3+1)</f>
        <v/>
      </c>
      <c r="F1316">
        <f>IF(Skills!N3=TRUE,(Skills!L3/10)*(E1316/1000),Skills!L3/10)+Skills!O3</f>
        <v/>
      </c>
      <c r="G1316">
        <f>Skills!G3*IF(Skills!H3&gt;0,INT(IF(Inputs!$B$38="pvp",MIN(Skills!I3,15),Skills!I3)/Skills!H3+0.000000001),1)</f>
        <v/>
      </c>
      <c r="H1316">
        <f>1-(1-Skills!J3/100)^Skills!K3</f>
        <v/>
      </c>
      <c r="I1316" t="inlineStr">
        <is>
          <t>1</t>
        </is>
      </c>
      <c r="J1316">
        <f>((Inputs!$B$6*(1+Inputs!$B$7/100))+(((Inputs!$B$12*(1+Inputs!$B$13/100))-(Inputs!$B$12*(1+Inputs!$B$13/100)))+0.25*(Inputs!$B$14-Inputs!$B$14))*(1+Inputs!$B$7/100))*(F1316/100)</f>
        <v/>
      </c>
      <c r="K1316">
        <f>J1316*(1+((Inputs!$B$12*(1+Inputs!$B$13/100))*0.01+Inputs!$B$14*0.0025)/100)*(1+Inputs!$B$15/100)*(1+Inputs!$B$16/100)*(5000/(6000+Inputs!$B$42*(1-(100*(1-(1-(Inputs!$B$19+0)/100)*(1-CHOOSE(ArtifactsInput!$N$40+1,5,6,7,8,9,10)/100)^(ArtifactsInput!$M$40-ArtifactsInput!$M$40)))/100)))*(1+(Inputs!$B$24+((C1339=TRUE)*(F1339-Calc!F26))+B1350)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1328=TRUE,F1328,0)/100)*(1+(IF(Skills!A3="EIGHT_LEGS_EASTON",Inputs!$B$17+((C1336=TRUE)*(F1336-Calc!F23))+((C1340=TRUE)*(F1340-Calc!F27))+((IF(AND(Inputs!$B$38&lt;&gt;"pvp",Inputs!$B$43=0),1,IF(IF(Inputs!$B$38="pvp",15,Inputs!$B$43)-(B1351)&lt;=0,1,MAX(0,IF(Inputs!$B$38="pvp",15,Inputs!$B$43)-MAX(5,B1351))/(IF(Inputs!$B$38="pvp",15,Inputs!$B$43)-(B1351))))*(IF(AND(ArtifactsInput!$M$42,((Inputs!$B$9+((C1332=TRUE)*(F1332-Calc!F19))+B1344+(ArtifactsInput!$M$24-ArtifactsInput!$M$24)*CHOOSE(ArtifactsInput!$N$24+1,10,12,14,16,18,20)+IF(ArtifactsInput!$M$10,CHOOSE(ArtifactsInput!$N$10+1,15,18,21,24,27,30)*(IF(Inputs!$B$38="pvp",MIN(15,15)/15,IF(AND(Inputs!$B$38&lt;&gt;"pvp",Inputs!$B$43&gt;0),MIN(15,Inputs!$B$43)/(Inputs!$B$43),0))),0)))&gt;=100),MIN(100,((Inputs!$B$9+((C1332=TRUE)*(F1332-Calc!F19))+B1344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1351)&lt;=0,1,MAX(0,IF(Inputs!$B$38="pvp",15,Inputs!$B$43)-MAX(5,B1351))/(IF(Inputs!$B$38="pvp",15,Inputs!$B$43)-(B1351))))*IF(AND(ArtifactsInput!$M$42,((Inputs!$B$9+((C1332=TRUE)*(F1332-Calc!F19))+B1344+(ArtifactsInput!$M$24-ArtifactsInput!$M$24)*CHOOSE(ArtifactsInput!$N$24+1,10,12,14,16,18,20)+IF(ArtifactsInput!$M$10,CHOOSE(ArtifactsInput!$N$10+1,15,18,21,24,27,30)*(IF(Inputs!$B$38="pvp",MIN(15,15)/15,IF(AND(Inputs!$B$38&lt;&gt;"pvp",Inputs!$B$43&gt;0),MIN(15,Inputs!$B$43)/(Inputs!$B$43),0))),0)))&gt;=100),CHOOSE(ArtifactsInput!$N$42+1,40,48,56,64,72,80),0))))/100)*((1+(((C1330=TRUE)*F1330*5/7)+((C1337=TRUE)*(F1337-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1316)</f>
        <v/>
      </c>
      <c r="L1316">
        <f>K1316*(MIN(Inputs!$B$22+((C1335=TRUE)*(F1335-Calc!F22)),(Inputs!$B$23+0+(IF(ArtifactsInput!$M$15,CHOOSE(ArtifactsInput!$N$15+1,25,30,35,40,45,50)/100*(Inputs!$B$11-Inputs!$B$11),0))))/100+(Inputs!$B$23+0+(IF(ArtifactsInput!$M$15,CHOOSE(ArtifactsInput!$N$15+1,25,30,35,40,45,50)/100*(Inputs!$B$11-Inputs!$B$11),0)))/100)/2</f>
        <v/>
      </c>
      <c r="M1316">
        <f>L1316*(1+(Inputs!$B$10+((C1338=TRUE)*(F1338-Calc!F25))+B1349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16">
        <f>L1316*(1-MIN((Inputs!$B$9+((C1332=TRUE)*(F1332-Calc!F19))+B1344+(ArtifactsInput!$M$24-ArtifactsInput!$M$24)*CHOOSE(ArtifactsInput!$N$24+1,10,12,14,16,18,20)+(IF(AND(Inputs!$B$38&lt;&gt;"pvp",Inputs!$B$43=0),1,IF(IF(Inputs!$B$38="pvp",15,Inputs!$B$43)-(B1351)&lt;=0,1,MAX(0,IF(Inputs!$B$38="pvp",15,Inputs!$B$43)-MAX(5,B1351))/(IF(Inputs!$B$38="pvp",15,Inputs!$B$43)-(B1351))))*IF(AND(ArtifactsInput!$M$42,((Inputs!$B$9+((C1332=TRUE)*(F1332-Calc!F19))+B1344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1316*(MIN((Inputs!$B$9+((C1332=TRUE)*(F1332-Calc!F19))+B1344+(ArtifactsInput!$M$24-ArtifactsInput!$M$24)*CHOOSE(ArtifactsInput!$N$24+1,10,12,14,16,18,20)+(IF(AND(Inputs!$B$38&lt;&gt;"pvp",Inputs!$B$43=0),1,IF(IF(Inputs!$B$38="pvp",15,Inputs!$B$43)-(B1351)&lt;=0,1,MAX(0,IF(Inputs!$B$38="pvp",15,Inputs!$B$43)-MAX(5,B1351))/(IF(Inputs!$B$38="pvp",15,Inputs!$B$43)-(B1351))))*IF(AND(ArtifactsInput!$M$42,((Inputs!$B$9+((C1332=TRUE)*(F1332-Calc!F19))+B1344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16">
        <f>(1-Summary!$B$11)*T1316+Summary!$B$11*V1316</f>
        <v/>
      </c>
      <c r="P1316">
        <f>IF(B1354=0,0,O1316/B1354)</f>
        <v/>
      </c>
      <c r="Q1316">
        <f>IFERROR(1/(IF(Inputs!$B$38="pvp",15,MAX(0.1,Skills!D3-IF(TRUE=TRUE,Inputs!$B$32,0)))*(1-IF(AND(ArtifactsInput!$M$27,Inputs!$B$4="Chapter Hunt"),CHOOSE(ArtifactsInput!$N$27+1,20,24,28,32,36,40),0)/100)),0)</f>
        <v/>
      </c>
      <c r="R1316">
        <f>IF(AND(Inputs!$B$38&lt;&gt;"pvp",Inputs!$B$43&gt;0),IF(MAX(0,Inputs!$B$43-B1351)&lt;=0,0,(INT(MAX(0,Inputs!$B$43-B1351)/(IF(Inputs!$B$38="pvp",15,MAX(0.1,Skills!D3-IF(TRUE=TRUE,Inputs!$B$32,0)))*(1-IF(AND(ArtifactsInput!$M$27,Inputs!$B$4="Chapter Hunt"),CHOOSE(ArtifactsInput!$N$27+1,20,24,28,32,36,40),0)/100)))+1)),0)</f>
        <v/>
      </c>
      <c r="S1316">
        <f>IFERROR(O1316/N1316,0)</f>
        <v/>
      </c>
      <c r="T1316">
        <f>IF(C1316,(H1316*N1316*IF(AND(Inputs!$B$38&lt;&gt;"pvp",Inputs!$B$43&gt;0),((Skills!G3*((R1316-1)*IF(Skills!H3&gt;0,INT(Skills!I3/Skills!H3+0.000000001),1)+IF(Skills!H3&gt;0,INT(MIN(Skills!I3,MAX(0,MAX(0,Inputs!$B$43-B1351)-((R1316-1)*(IF(Inputs!$B$38="pvp",15,MAX(0.1,Skills!D3-IF(TRUE=TRUE,Inputs!$B$32,0)))*(1-IF(AND(ArtifactsInput!$M$27,Inputs!$B$4="Chapter Hunt"),CHOOSE(ArtifactsInput!$N$27+1,20,24,28,32,36,40),0)/100)))))/Skills!H3+0.000000001),1)))/Inputs!$B$43),G1316*Q1316))*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Hunt"),CHOOSE(ArtifactsInput!$N$35+1,15,18,21,24,27,30)*(1-EXP(-(0.2*B1346)*5)),0)+IF(AND(ArtifactsInput!$M$22,Inputs!$B$4&lt;&gt;"Chapter Hunt"),CHOOSE(ArtifactsInput!$N$22+1,10,12,14,16,18,20)*((0*(((0.15*B1346*5))^0/1)+1*(((0.15*B1346*5))^1/1)+2*(((0.15*B1346*5))^2/2)+3*(((0.15*B1346*5))^3/6)+4*(((0.15*B1346*5))^4/24)+5*(((0.15*B1346*5))^5/120))/((((0.15*B1346*5))^0/1)+(((0.15*B1346*5))^1/1)+(((0.15*B1346*5))^2/2)+(((0.15*B1346*5))^3/6)+(((0.15*B1346*5))^4/24)+(((0.15*B1346*5))^5/120))),0))+IF(Inputs!$B$3&gt;=54,9*(C1316=TRUE)*MIN(1,8*(1+Inputs!$B$34/100)*Q1316)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1316*(1-MIN(100,(Inputs!$B$9+((C1332=TRUE)*(F1332-Calc!F19))+B1344+(ArtifactsInput!$M$24-ArtifactsInput!$M$24)*CHOOSE(ArtifactsInput!$N$24+1,10,12,14,16,18,20)+(IF(AND(Inputs!$B$38&lt;&gt;"pvp",Inputs!$B$43=0),1,IF(IF(Inputs!$B$38="pvp",15,Inputs!$B$43)-(B1351)&lt;=0,1,MAX(0,IF(Inputs!$B$38="pvp",15,Inputs!$B$43)-MAX(5,B1351))/(IF(Inputs!$B$38="pvp",15,Inputs!$B$43)-(B1351))))*IF(AND(ArtifactsInput!$M$42,((Inputs!$B$9+((C1332=TRUE)*(F1332-Calc!F19))+B1344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1316*(MIN(100,(Inputs!$B$9+((C1332=TRUE)*(F1332-Calc!F19))+B1344+(ArtifactsInput!$M$24-ArtifactsInput!$M$24)*CHOOSE(ArtifactsInput!$N$24+1,10,12,14,16,18,20)+(IF(AND(Inputs!$B$38&lt;&gt;"pvp",Inputs!$B$43=0),1,IF(IF(Inputs!$B$38="pvp",15,Inputs!$B$43)-(B1351)&lt;=0,1,MAX(0,IF(Inputs!$B$38="pvp",15,Inputs!$B$43)-MAX(5,B1351))/(IF(Inputs!$B$38="pvp",15,Inputs!$B$43)-(B1351))))*IF(AND(ArtifactsInput!$M$42,((Inputs!$B$9+((C1332=TRUE)*(F1332-Calc!F19))+B1344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1316*(1-MIN(100,(Inputs!$B$9+((C1332=TRUE)*(F1332-Calc!F19))+B1344+(ArtifactsInput!$M$24-ArtifactsInput!$M$24)*CHOOSE(ArtifactsInput!$N$24+1,10,12,14,16,18,20)+(IF(AND(Inputs!$B$38&lt;&gt;"pvp",Inputs!$B$43=0),1,IF(IF(Inputs!$B$38="pvp",15,Inputs!$B$43)-(B1351)&lt;=0,1,MAX(0,IF(Inputs!$B$38="pvp",15,Inputs!$B$43)-MAX(5,B1351))/(IF(Inputs!$B$38="pvp",15,Inputs!$B$43)-(B1351))))*IF(AND(ArtifactsInput!$M$42,((Inputs!$B$9+((C1332=TRUE)*(F1332-Calc!F19))+B1344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1316*(MIN(100,(Inputs!$B$9+((C1332=TRUE)*(F1332-Calc!F19))+B1344+(ArtifactsInput!$M$24-ArtifactsInput!$M$24)*CHOOSE(ArtifactsInput!$N$24+1,10,12,14,16,18,20)+(IF(AND(Inputs!$B$38&lt;&gt;"pvp",Inputs!$B$43=0),1,IF(IF(Inputs!$B$38="pvp",15,Inputs!$B$43)-(B1351)&lt;=0,1,MAX(0,IF(Inputs!$B$38="pvp",15,Inputs!$B$43)-MAX(5,B1351))/(IF(Inputs!$B$38="pvp",15,Inputs!$B$43)-(B1351))))*IF(AND(ArtifactsInput!$M$42,((Inputs!$B$9+((C1332=TRUE)*(F1332-Calc!F19))+B1344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316">
        <f>INDEX(FactorTable!$B$2:$Y$301, MATCH(ROUND(MIN(300,MAX(1,U1315)),0), FactorTable!$A$2:$A$301,0), 22)</f>
        <v/>
      </c>
      <c r="V1316">
        <f>IF(C1316,(H1316*N1316*IF(AND(Inputs!$B$38&lt;&gt;"pvp",Inputs!$B$43&gt;0),((Skills!G3*((R1316-1)*IF(Skills!H3&gt;0,INT(Skills!I3/Skills!H3+0.000000001),1)+IF(Skills!H3&gt;0,INT(MIN(Skills!I3,MAX(0,MAX(0,Inputs!$B$43-B1351)-((R1316-1)*(IF(Inputs!$B$38="pvp",15,MAX(0.1,Skills!D3-IF(TRUE=TRUE,Inputs!$B$32,0)))*(1-IF(AND(ArtifactsInput!$M$27,Inputs!$B$4="Chapter Hunt"),CHOOSE(ArtifactsInput!$N$27+1,20,24,28,32,36,40),0)/100)))))/Skills!H3+0.000000001),1)))/Inputs!$B$43),G1316*Q1316))*IF(Inputs!$B$38="pvp",1,(1+(Inputs!$B$21+Skills!Q3+(IF(ArtifactsInput!$M$33,CHOOSE(ArtifactsInput!$N$33+1,30,36,42,48,54,60),0))+(IF(AND(ArtifactsInput!$M$35,Inputs!$B$4&lt;&gt;"Chapter Hunt"),CHOOSE(ArtifactsInput!$N$35+1,15,18,21,24,27,30)*(1-EXP(-(0.2*B1346)*5)),0)+IF(AND(ArtifactsInput!$M$22,Inputs!$B$4&lt;&gt;"Chapter Hunt"),CHOOSE(ArtifactsInput!$N$22+1,10,12,14,16,18,20)*((0*(((0.15*B1346*5))^0/1)+1*(((0.15*B1346*5))^1/1)+2*(((0.15*B1346*5))^2/2)+3*(((0.15*B1346*5))^3/6)+4*(((0.15*B1346*5))^4/24)+5*(((0.15*B1346*5))^5/120))/((((0.15*B1346*5))^0/1)+(((0.15*B1346*5))^1/1)+(((0.15*B1346*5))^2/2)+(((0.15*B1346*5))^3/6)+(((0.15*B1346*5))^4/24)+(((0.15*B1346*5))^5/120))),0))+IF(Inputs!$B$3&gt;=54,9*(C1316=TRUE)*MIN(1,8*(1+Inputs!$B$34/100)*Q1316),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17">
      <c r="A1317">
        <f>Skills!A4</f>
        <v/>
      </c>
      <c r="B1317">
        <f>Skills!B4</f>
        <v/>
      </c>
      <c r="C1317">
        <f>Inputs!$B$3&gt;=35</f>
        <v/>
      </c>
      <c r="D1317">
        <f>IF(Skills!C4=1,60+Inputs!$B$25+Inputs!$B$29,IF(Skills!C4=2,90+Inputs!$B$26+Inputs!$B$29,IF(Skills!C4=3,120+Inputs!$B$27+Inputs!$B$29,MAX(0,(Inputs!$B$3-100)*3)+Inputs!$B$28+Inputs!$B$29)))</f>
        <v/>
      </c>
      <c r="E1317">
        <f>INDEX(FactorTable!$B$2:$Y$301, MATCH(ROUND(MIN(300,MAX(1,D1317)),0), FactorTable!$A$2:$A$301,0), Skills!M4+1)</f>
        <v/>
      </c>
      <c r="F1317">
        <f>IF(Skills!N4=TRUE,(Skills!L4/10)*(E1317/1000),Skills!L4/10)+Skills!O4</f>
        <v/>
      </c>
      <c r="G1317">
        <f>Skills!G4*IF(Skills!H4&gt;0,INT(IF(Inputs!$B$38="pvp",MIN(IF(Inputs!$B$3&gt;=104,MIN(35,20*(1+Inputs!$B$34/100)),20),15),IF(Inputs!$B$3&gt;=104,MIN(35,20*(1+Inputs!$B$34/100)),20))/Skills!H4+0.000000001),1)</f>
        <v/>
      </c>
      <c r="H1317">
        <f>1-(1-Skills!J4/100)^Skills!K4</f>
        <v/>
      </c>
      <c r="I1317" t="inlineStr">
        <is>
          <t>1</t>
        </is>
      </c>
      <c r="J1317">
        <f>((Inputs!$B$6*(1+Inputs!$B$7/100))+(((Inputs!$B$12*(1+Inputs!$B$13/100))-(Inputs!$B$12*(1+Inputs!$B$13/100)))+0.25*(Inputs!$B$14-Inputs!$B$14))*(1+Inputs!$B$7/100))*(F1317/100)</f>
        <v/>
      </c>
      <c r="K1317">
        <f>J1317*(1+((Inputs!$B$12*(1+Inputs!$B$13/100))*0.01+Inputs!$B$14*0.0025)/100)*(1+Inputs!$B$15/100)*(1+Inputs!$B$16/100)*(5000/(6000+Inputs!$B$42*(1-(100*(1-(1-(Inputs!$B$19+0)/100)*(1-CHOOSE(ArtifactsInput!$N$40+1,5,6,7,8,9,10)/100)^(ArtifactsInput!$M$40-ArtifactsInput!$M$40)))/100)))*(1+(Inputs!$B$24+((C1339=TRUE)*(F1339-Calc!F26))+B1350)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1329=TRUE,F1329,0)/100)*(1+(IF(Skills!A4="EIGHT_LEGS_EASTON",Inputs!$B$17+((C1336=TRUE)*(F1336-Calc!F23))+((C1340=TRUE)*(F1340-Calc!F27))+((IF(AND(Inputs!$B$38&lt;&gt;"pvp",Inputs!$B$43=0),1,IF(IF(Inputs!$B$38="pvp",15,Inputs!$B$43)-(B1351)&lt;=0,1,MAX(0,IF(Inputs!$B$38="pvp",15,Inputs!$B$43)-MAX(5,B1351))/(IF(Inputs!$B$38="pvp",15,Inputs!$B$43)-(B1351))))*(IF(AND(ArtifactsInput!$M$42,((Inputs!$B$9+((C1332=TRUE)*(F1332-Calc!F19))+B1344+(ArtifactsInput!$M$24-ArtifactsInput!$M$24)*CHOOSE(ArtifactsInput!$N$24+1,10,12,14,16,18,20)+IF(ArtifactsInput!$M$10,CHOOSE(ArtifactsInput!$N$10+1,15,18,21,24,27,30)*(IF(Inputs!$B$38="pvp",MIN(15,15)/15,IF(AND(Inputs!$B$38&lt;&gt;"pvp",Inputs!$B$43&gt;0),MIN(15,Inputs!$B$43)/(Inputs!$B$43),0))),0)))&gt;=100),MIN(100,((Inputs!$B$9+((C1332=TRUE)*(F1332-Calc!F19))+B1344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1351)&lt;=0,1,MAX(0,IF(Inputs!$B$38="pvp",15,Inputs!$B$43)-MAX(5,B1351))/(IF(Inputs!$B$38="pvp",15,Inputs!$B$43)-(B1351))))*IF(AND(ArtifactsInput!$M$42,((Inputs!$B$9+((C1332=TRUE)*(F1332-Calc!F19))+B1344+(ArtifactsInput!$M$24-ArtifactsInput!$M$24)*CHOOSE(ArtifactsInput!$N$24+1,10,12,14,16,18,20)+IF(ArtifactsInput!$M$10,CHOOSE(ArtifactsInput!$N$10+1,15,18,21,24,27,30)*(IF(Inputs!$B$38="pvp",MIN(15,15)/15,IF(AND(Inputs!$B$38&lt;&gt;"pvp",Inputs!$B$43&gt;0),MIN(15,Inputs!$B$43)/(Inputs!$B$43),0))),0)))&gt;=100),CHOOSE(ArtifactsInput!$N$42+1,40,48,56,64,72,80),0))))/100)*((1+(((C1330=TRUE)*F1330*5/7)+((C1337=TRUE)*(F1337-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1317)</f>
        <v/>
      </c>
      <c r="L1317">
        <f>K1317*(MIN(Inputs!$B$22+((C1335=TRUE)*(F1335-Calc!F22)),(Inputs!$B$23+0+(IF(ArtifactsInput!$M$15,CHOOSE(ArtifactsInput!$N$15+1,25,30,35,40,45,50)/100*(Inputs!$B$11-Inputs!$B$11),0))))/100+(Inputs!$B$23+0+(IF(ArtifactsInput!$M$15,CHOOSE(ArtifactsInput!$N$15+1,25,30,35,40,45,50)/100*(Inputs!$B$11-Inputs!$B$11),0)))/100)/2</f>
        <v/>
      </c>
      <c r="M1317">
        <f>L1317*(1+(Inputs!$B$10+((C1338=TRUE)*(F1338-Calc!F25))+B1349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17">
        <f>L1317*(1-MIN((Inputs!$B$9+((C1332=TRUE)*(F1332-Calc!F19))+B1344+(ArtifactsInput!$M$24-ArtifactsInput!$M$24)*CHOOSE(ArtifactsInput!$N$24+1,10,12,14,16,18,20)+(IF(AND(Inputs!$B$38&lt;&gt;"pvp",Inputs!$B$43=0),1,IF(IF(Inputs!$B$38="pvp",15,Inputs!$B$43)-(B1351)&lt;=0,1,MAX(0,IF(Inputs!$B$38="pvp",15,Inputs!$B$43)-MAX(5,B1351))/(IF(Inputs!$B$38="pvp",15,Inputs!$B$43)-(B1351))))*IF(AND(ArtifactsInput!$M$42,((Inputs!$B$9+((C1332=TRUE)*(F1332-Calc!F19))+B1344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1317*(MIN((Inputs!$B$9+((C1332=TRUE)*(F1332-Calc!F19))+B1344+(ArtifactsInput!$M$24-ArtifactsInput!$M$24)*CHOOSE(ArtifactsInput!$N$24+1,10,12,14,16,18,20)+(IF(AND(Inputs!$B$38&lt;&gt;"pvp",Inputs!$B$43=0),1,IF(IF(Inputs!$B$38="pvp",15,Inputs!$B$43)-(B1351)&lt;=0,1,MAX(0,IF(Inputs!$B$38="pvp",15,Inputs!$B$43)-MAX(5,B1351))/(IF(Inputs!$B$38="pvp",15,Inputs!$B$43)-(B1351))))*IF(AND(ArtifactsInput!$M$42,((Inputs!$B$9+((C1332=TRUE)*(F1332-Calc!F19))+B1344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17">
        <f>(1-Summary!$B$11)*T1317+Summary!$B$11*V1317</f>
        <v/>
      </c>
      <c r="P1317">
        <f>IF(B1354=0,0,O1317/B1354)</f>
        <v/>
      </c>
      <c r="Q1317">
        <f>IFERROR(1/(IF(Inputs!$B$38="pvp",15,MAX(0.1,Skills!D4-IF(TRUE=TRUE,Inputs!$B$32,0)))*(1-IF(AND(ArtifactsInput!$M$27,Inputs!$B$4="Chapter Hunt"),CHOOSE(ArtifactsInput!$N$27+1,20,24,28,32,36,40),0)/100)),0)</f>
        <v/>
      </c>
      <c r="R1317">
        <f>IF(AND(Inputs!$B$38&lt;&gt;"pvp",Inputs!$B$43&gt;0),IF(MAX(0,Inputs!$B$43-B1351)&lt;=0,0,(INT(MAX(0,Inputs!$B$43-B1351)/(IF(Inputs!$B$38="pvp",15,MAX(0.1,Skills!D4-IF(TRUE=TRUE,Inputs!$B$32,0)))*(1-IF(AND(ArtifactsInput!$M$27,Inputs!$B$4="Chapter Hunt"),CHOOSE(ArtifactsInput!$N$27+1,20,24,28,32,36,40),0)/100)))+1)),0)</f>
        <v/>
      </c>
      <c r="S1317">
        <f>IFERROR(O1317/N1317,0)</f>
        <v/>
      </c>
      <c r="T1317">
        <f>IF(C1317,(H1317*N1317*IF(AND(Inputs!$B$38&lt;&gt;"pvp",Inputs!$B$43&gt;0),((Skills!G4*((R1317-1)*IF(Skills!H4&gt;0,INT(IF(Inputs!$B$3&gt;=104,MIN(35,20*(1+Inputs!$B$34/100)),20)/Skills!H4+0.000000001),1)+IF(Skills!H4&gt;0,INT(MIN(IF(Inputs!$B$3&gt;=104,MIN(35,20*(1+Inputs!$B$34/100)),20),MAX(0,MAX(0,Inputs!$B$43-B1351)-((R1317-1)*(IF(Inputs!$B$38="pvp",15,MAX(0.1,Skills!D4-IF(TRUE=TRUE,Inputs!$B$32,0)))*(1-IF(AND(ArtifactsInput!$M$27,Inputs!$B$4="Chapter Hunt"),CHOOSE(ArtifactsInput!$N$27+1,20,24,28,32,36,40),0)/100)))))/Skills!H4+0.000000001),1)))/Inputs!$B$43),G1317*Q1317))*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Hunt"),CHOOSE(ArtifactsInput!$N$35+1,15,18,21,24,27,30)*(1-EXP(-(0.2*B1346)*5)),0)+IF(AND(ArtifactsInput!$M$22,Inputs!$B$4&lt;&gt;"Chapter Hunt"),CHOOSE(ArtifactsInput!$N$22+1,10,12,14,16,18,20)*((0*(((0.15*B1346*5))^0/1)+1*(((0.15*B1346*5))^1/1)+2*(((0.15*B1346*5))^2/2)+3*(((0.15*B1346*5))^3/6)+4*(((0.15*B1346*5))^4/24)+5*(((0.15*B1346*5))^5/120))/((((0.15*B1346*5))^0/1)+(((0.15*B1346*5))^1/1)+(((0.15*B1346*5))^2/2)+(((0.15*B1346*5))^3/6)+(((0.15*B1346*5))^4/24)+(((0.15*B1346*5))^5/120))),0))+IF(Inputs!$B$3&gt;=54,9*(C1316=TRUE)*MIN(1,8*(1+Inputs!$B$34/100)*Q1316)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1317*(1-MIN(100,(Inputs!$B$9+((C1332=TRUE)*(F1332-Calc!F19))+B1344+(ArtifactsInput!$M$24-ArtifactsInput!$M$24)*CHOOSE(ArtifactsInput!$N$24+1,10,12,14,16,18,20)+(IF(AND(Inputs!$B$38&lt;&gt;"pvp",Inputs!$B$43=0),1,IF(IF(Inputs!$B$38="pvp",15,Inputs!$B$43)-(B1351)&lt;=0,1,MAX(0,IF(Inputs!$B$38="pvp",15,Inputs!$B$43)-MAX(5,B1351))/(IF(Inputs!$B$38="pvp",15,Inputs!$B$43)-(B1351))))*IF(AND(ArtifactsInput!$M$42,((Inputs!$B$9+((C1332=TRUE)*(F1332-Calc!F19))+B1344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1317*(MIN(100,(Inputs!$B$9+((C1332=TRUE)*(F1332-Calc!F19))+B1344+(ArtifactsInput!$M$24-ArtifactsInput!$M$24)*CHOOSE(ArtifactsInput!$N$24+1,10,12,14,16,18,20)+(IF(AND(Inputs!$B$38&lt;&gt;"pvp",Inputs!$B$43=0),1,IF(IF(Inputs!$B$38="pvp",15,Inputs!$B$43)-(B1351)&lt;=0,1,MAX(0,IF(Inputs!$B$38="pvp",15,Inputs!$B$43)-MAX(5,B1351))/(IF(Inputs!$B$38="pvp",15,Inputs!$B$43)-(B1351))))*IF(AND(ArtifactsInput!$M$42,((Inputs!$B$9+((C1332=TRUE)*(F1332-Calc!F19))+B1344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1317*(1-MIN(100,(Inputs!$B$9+((C1332=TRUE)*(F1332-Calc!F19))+B1344+(ArtifactsInput!$M$24-ArtifactsInput!$M$24)*CHOOSE(ArtifactsInput!$N$24+1,10,12,14,16,18,20)+(IF(AND(Inputs!$B$38&lt;&gt;"pvp",Inputs!$B$43=0),1,IF(IF(Inputs!$B$38="pvp",15,Inputs!$B$43)-(B1351)&lt;=0,1,MAX(0,IF(Inputs!$B$38="pvp",15,Inputs!$B$43)-MAX(5,B1351))/(IF(Inputs!$B$38="pvp",15,Inputs!$B$43)-(B1351))))*IF(AND(ArtifactsInput!$M$42,((Inputs!$B$9+((C1332=TRUE)*(F1332-Calc!F19))+B1344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1317*(MIN(100,(Inputs!$B$9+((C1332=TRUE)*(F1332-Calc!F19))+B1344+(ArtifactsInput!$M$24-ArtifactsInput!$M$24)*CHOOSE(ArtifactsInput!$N$24+1,10,12,14,16,18,20)+(IF(AND(Inputs!$B$38&lt;&gt;"pvp",Inputs!$B$43=0),1,IF(IF(Inputs!$B$38="pvp",15,Inputs!$B$43)-(B1351)&lt;=0,1,MAX(0,IF(Inputs!$B$38="pvp",15,Inputs!$B$43)-MAX(5,B1351))/(IF(Inputs!$B$38="pvp",15,Inputs!$B$43)-(B1351))))*IF(AND(ArtifactsInput!$M$42,((Inputs!$B$9+((C1332=TRUE)*(F1332-Calc!F19))+B1344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317">
        <f>290*U1316/1000</f>
        <v/>
      </c>
      <c r="V1317">
        <f>IF(C1317,(H1317*N1317*IF(AND(Inputs!$B$38&lt;&gt;"pvp",Inputs!$B$43&gt;0),((Skills!G4*((R1317-1)*IF(Skills!H4&gt;0,INT(IF(Inputs!$B$3&gt;=104,MIN(35,20*(1+Inputs!$B$34/100)),20)/Skills!H4+0.000000001),1)+IF(Skills!H4&gt;0,INT(MIN(IF(Inputs!$B$3&gt;=104,MIN(35,20*(1+Inputs!$B$34/100)),20),MAX(0,MAX(0,Inputs!$B$43-B1351)-((R1317-1)*(IF(Inputs!$B$38="pvp",15,MAX(0.1,Skills!D4-IF(TRUE=TRUE,Inputs!$B$32,0)))*(1-IF(AND(ArtifactsInput!$M$27,Inputs!$B$4="Chapter Hunt"),CHOOSE(ArtifactsInput!$N$27+1,20,24,28,32,36,40),0)/100)))))/Skills!H4+0.000000001),1)))/Inputs!$B$43),G1317*Q1317))*IF(Inputs!$B$38="pvp",1,(1+(Inputs!$B$21+Skills!Q4+(IF(ArtifactsInput!$M$33,CHOOSE(ArtifactsInput!$N$33+1,30,36,42,48,54,60),0))+(IF(AND(ArtifactsInput!$M$35,Inputs!$B$4&lt;&gt;"Chapter Hunt"),CHOOSE(ArtifactsInput!$N$35+1,15,18,21,24,27,30)*(1-EXP(-(0.2*B1346)*5)),0)+IF(AND(ArtifactsInput!$M$22,Inputs!$B$4&lt;&gt;"Chapter Hunt"),CHOOSE(ArtifactsInput!$N$22+1,10,12,14,16,18,20)*((0*(((0.15*B1346*5))^0/1)+1*(((0.15*B1346*5))^1/1)+2*(((0.15*B1346*5))^2/2)+3*(((0.15*B1346*5))^3/6)+4*(((0.15*B1346*5))^4/24)+5*(((0.15*B1346*5))^5/120))/((((0.15*B1346*5))^0/1)+(((0.15*B1346*5))^1/1)+(((0.15*B1346*5))^2/2)+(((0.15*B1346*5))^3/6)+(((0.15*B1346*5))^4/24)+(((0.15*B1346*5))^5/120))),0))+IF(Inputs!$B$3&gt;=54,9*(C1316=TRUE)*MIN(1,8*(1+Inputs!$B$34/100)*Q1316),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18">
      <c r="A1318">
        <f>Skills!A5</f>
        <v/>
      </c>
      <c r="B1318">
        <f>Skills!B5</f>
        <v/>
      </c>
      <c r="C1318">
        <f>Inputs!$B$3&gt;=69</f>
        <v/>
      </c>
      <c r="D1318">
        <f>IF(Skills!C5=1,60+Inputs!$B$25+Inputs!$B$29,IF(Skills!C5=2,90+Inputs!$B$26+Inputs!$B$29,IF(Skills!C5=3,120+Inputs!$B$27+Inputs!$B$29,MAX(0,(Inputs!$B$3-100)*3)+Inputs!$B$28+Inputs!$B$29)))</f>
        <v/>
      </c>
      <c r="E1318">
        <f>INDEX(FactorTable!$B$2:$Y$301, MATCH(ROUND(MIN(300,MAX(1,D1318)),0), FactorTable!$A$2:$A$301,0), Skills!M5+1)</f>
        <v/>
      </c>
      <c r="F1318">
        <f>IF(Skills!N5=TRUE,(Skills!L5/10)*(E1318/1000),Skills!L5/10)+Skills!O5</f>
        <v/>
      </c>
      <c r="G1318">
        <f>Skills!G5*IF(Skills!H5&gt;0,INT(IF(Inputs!$B$38="pvp",MIN(IF(Inputs!$B$3&gt;=104,MIN(35,20*(1+Inputs!$B$34/100)),20),15),IF(Inputs!$B$3&gt;=104,MIN(35,20*(1+Inputs!$B$34/100)),20))/Skills!H5+0.000000001),1)</f>
        <v/>
      </c>
      <c r="H1318">
        <f>1-(1-Skills!J5/100)^Skills!K5</f>
        <v/>
      </c>
      <c r="I1318" t="inlineStr">
        <is>
          <t>1</t>
        </is>
      </c>
      <c r="J1318">
        <f>((Inputs!$B$6*(1+Inputs!$B$7/100))+(((Inputs!$B$12*(1+Inputs!$B$13/100))-(Inputs!$B$12*(1+Inputs!$B$13/100)))+0.25*(Inputs!$B$14-Inputs!$B$14))*(1+Inputs!$B$7/100))*(F1318/100)</f>
        <v/>
      </c>
      <c r="K1318">
        <f>J1318*(1+((Inputs!$B$12*(1+Inputs!$B$13/100))*0.01+Inputs!$B$14*0.0025)/100)*(1+Inputs!$B$15/100)*(1+Inputs!$B$16/100)*(5000/(6000+Inputs!$B$42*(1-(100*(1-(1-(Inputs!$B$19+0)/100)*(1-CHOOSE(ArtifactsInput!$N$40+1,5,6,7,8,9,10)/100)^(ArtifactsInput!$M$40-ArtifactsInput!$M$40)))/100)))*(1+(Inputs!$B$24+((C1339=TRUE)*(F1339-Calc!F26))+B1350)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+0.4*IF(C1329=TRUE,F1329,0)/100)*(1+(IF(Skills!A5="EIGHT_LEGS_EASTON",Inputs!$B$17+((C1336=TRUE)*(F1336-Calc!F23))+((C1340=TRUE)*(F1340-Calc!F27))+((IF(AND(Inputs!$B$38&lt;&gt;"pvp",Inputs!$B$43=0),1,IF(IF(Inputs!$B$38="pvp",15,Inputs!$B$43)-(B1351)&lt;=0,1,MAX(0,IF(Inputs!$B$38="pvp",15,Inputs!$B$43)-MAX(5,B1351))/(IF(Inputs!$B$38="pvp",15,Inputs!$B$43)-(B1351))))*(IF(AND(ArtifactsInput!$M$42,((Inputs!$B$9+((C1332=TRUE)*(F1332-Calc!F19))+B1344+(ArtifactsInput!$M$24-ArtifactsInput!$M$24)*CHOOSE(ArtifactsInput!$N$24+1,10,12,14,16,18,20)+IF(ArtifactsInput!$M$10,CHOOSE(ArtifactsInput!$N$10+1,15,18,21,24,27,30)*(IF(Inputs!$B$38="pvp",MIN(15,15)/15,IF(AND(Inputs!$B$38&lt;&gt;"pvp",Inputs!$B$43&gt;0),MIN(15,Inputs!$B$43)/(Inputs!$B$43),0))),0)))&gt;=100),MIN(100,((Inputs!$B$9+((C1332=TRUE)*(F1332-Calc!F19))+B1344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1351)&lt;=0,1,MAX(0,IF(Inputs!$B$38="pvp",15,Inputs!$B$43)-MAX(5,B1351))/(IF(Inputs!$B$38="pvp",15,Inputs!$B$43)-(B1351))))*IF(AND(ArtifactsInput!$M$42,((Inputs!$B$9+((C1332=TRUE)*(F1332-Calc!F19))+B1344+(ArtifactsInput!$M$24-ArtifactsInput!$M$24)*CHOOSE(ArtifactsInput!$N$24+1,10,12,14,16,18,20)+IF(ArtifactsInput!$M$10,CHOOSE(ArtifactsInput!$N$10+1,15,18,21,24,27,30)*(IF(Inputs!$B$38="pvp",MIN(15,15)/15,IF(AND(Inputs!$B$38&lt;&gt;"pvp",Inputs!$B$43&gt;0),MIN(15,Inputs!$B$43)/(Inputs!$B$43),0))),0)))&gt;=100),CHOOSE(ArtifactsInput!$N$42+1,40,48,56,64,72,80),0))))/100)*((1+(((C1330=TRUE)*F1330*5/7)+((C1337=TRUE)*(F1337-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1318)</f>
        <v/>
      </c>
      <c r="L1318">
        <f>K1318*(MIN(Inputs!$B$22+((C1335=TRUE)*(F1335-Calc!F22)),(Inputs!$B$23+0+(IF(ArtifactsInput!$M$15,CHOOSE(ArtifactsInput!$N$15+1,25,30,35,40,45,50)/100*(Inputs!$B$11-Inputs!$B$11),0))))/100+(Inputs!$B$23+0+(IF(ArtifactsInput!$M$15,CHOOSE(ArtifactsInput!$N$15+1,25,30,35,40,45,50)/100*(Inputs!$B$11-Inputs!$B$11),0)))/100)/2</f>
        <v/>
      </c>
      <c r="M1318">
        <f>L1318*(1+(Inputs!$B$10+((C1338=TRUE)*(F1338-Calc!F25))+B1349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18">
        <f>L1318*(1-MIN((Inputs!$B$9+((C1332=TRUE)*(F1332-Calc!F19))+B1344+(ArtifactsInput!$M$24-ArtifactsInput!$M$24)*CHOOSE(ArtifactsInput!$N$24+1,10,12,14,16,18,20)+(IF(AND(Inputs!$B$38&lt;&gt;"pvp",Inputs!$B$43=0),1,IF(IF(Inputs!$B$38="pvp",15,Inputs!$B$43)-(B1351)&lt;=0,1,MAX(0,IF(Inputs!$B$38="pvp",15,Inputs!$B$43)-MAX(5,B1351))/(IF(Inputs!$B$38="pvp",15,Inputs!$B$43)-(B1351))))*IF(AND(ArtifactsInput!$M$42,((Inputs!$B$9+((C1332=TRUE)*(F1332-Calc!F19))+B1344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1318*(MIN((Inputs!$B$9+((C1332=TRUE)*(F1332-Calc!F19))+B1344+(ArtifactsInput!$M$24-ArtifactsInput!$M$24)*CHOOSE(ArtifactsInput!$N$24+1,10,12,14,16,18,20)+(IF(AND(Inputs!$B$38&lt;&gt;"pvp",Inputs!$B$43=0),1,IF(IF(Inputs!$B$38="pvp",15,Inputs!$B$43)-(B1351)&lt;=0,1,MAX(0,IF(Inputs!$B$38="pvp",15,Inputs!$B$43)-MAX(5,B1351))/(IF(Inputs!$B$38="pvp",15,Inputs!$B$43)-(B1351))))*IF(AND(ArtifactsInput!$M$42,((Inputs!$B$9+((C1332=TRUE)*(F1332-Calc!F19))+B1344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18">
        <f>(1-Summary!$B$11)*T1318+Summary!$B$11*V1318</f>
        <v/>
      </c>
      <c r="P1318">
        <f>IF(B1354=0,0,O1318/B1354)</f>
        <v/>
      </c>
      <c r="Q1318">
        <f>IFERROR(1/(IF(Inputs!$B$38="pvp",15,MAX(0.1,Skills!D5-IF(TRUE=TRUE,Inputs!$B$32,0)))*(1-IF(AND(ArtifactsInput!$M$27,Inputs!$B$4="Chapter Hunt"),CHOOSE(ArtifactsInput!$N$27+1,20,24,28,32,36,40),0)/100)),0)</f>
        <v/>
      </c>
      <c r="R1318">
        <f>IF(AND(Inputs!$B$38&lt;&gt;"pvp",Inputs!$B$43&gt;0),IF(MAX(0,Inputs!$B$43-B1351)&lt;=0,0,(INT(MAX(0,Inputs!$B$43-B1351)/(IF(Inputs!$B$38="pvp",15,MAX(0.1,Skills!D5-IF(TRUE=TRUE,Inputs!$B$32,0)))*(1-IF(AND(ArtifactsInput!$M$27,Inputs!$B$4="Chapter Hunt"),CHOOSE(ArtifactsInput!$N$27+1,20,24,28,32,36,40),0)/100)))+1)),0)</f>
        <v/>
      </c>
      <c r="S1318">
        <f>IFERROR(O1318/N1318,0)</f>
        <v/>
      </c>
      <c r="T1318">
        <f>IF(C1318,(H1318*N1318*IF(AND(Inputs!$B$38&lt;&gt;"pvp",Inputs!$B$43&gt;0),((Skills!G5*((R1318-1)*IF(Skills!H5&gt;0,INT(IF(Inputs!$B$3&gt;=104,MIN(35,20*(1+Inputs!$B$34/100)),20)/Skills!H5+0.000000001),1)+IF(Skills!H5&gt;0,INT(MIN(IF(Inputs!$B$3&gt;=104,MIN(35,20*(1+Inputs!$B$34/100)),20),MAX(0,MAX(0,Inputs!$B$43-B1351)-((R1318-1)*(IF(Inputs!$B$38="pvp",15,MAX(0.1,Skills!D5-IF(TRUE=TRUE,Inputs!$B$32,0)))*(1-IF(AND(ArtifactsInput!$M$27,Inputs!$B$4="Chapter Hunt"),CHOOSE(ArtifactsInput!$N$27+1,20,24,28,32,36,40),0)/100)))))/Skills!H5+0.000000001),1)))/Inputs!$B$43),G1318*Q1318))*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Hunt"),CHOOSE(ArtifactsInput!$N$35+1,15,18,21,24,27,30)*(1-EXP(-(0.2*B1346)*5)),0)+IF(AND(ArtifactsInput!$M$22,Inputs!$B$4&lt;&gt;"Chapter Hunt"),CHOOSE(ArtifactsInput!$N$22+1,10,12,14,16,18,20)*((0*(((0.15*B1346*5))^0/1)+1*(((0.15*B1346*5))^1/1)+2*(((0.15*B1346*5))^2/2)+3*(((0.15*B1346*5))^3/6)+4*(((0.15*B1346*5))^4/24)+5*(((0.15*B1346*5))^5/120))/((((0.15*B1346*5))^0/1)+(((0.15*B1346*5))^1/1)+(((0.15*B1346*5))^2/2)+(((0.15*B1346*5))^3/6)+(((0.15*B1346*5))^4/24)+(((0.15*B1346*5))^5/120))),0))+IF(Inputs!$B$3&gt;=54,9*(C1316=TRUE)*MIN(1,8*(1+Inputs!$B$34/100)*Q1316)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1318*(1-MIN(100,(Inputs!$B$9+((C1332=TRUE)*(F1332-Calc!F19))+B1344+(ArtifactsInput!$M$24-ArtifactsInput!$M$24)*CHOOSE(ArtifactsInput!$N$24+1,10,12,14,16,18,20)+(IF(AND(Inputs!$B$38&lt;&gt;"pvp",Inputs!$B$43=0),1,IF(IF(Inputs!$B$38="pvp",15,Inputs!$B$43)-(B1351)&lt;=0,1,MAX(0,IF(Inputs!$B$38="pvp",15,Inputs!$B$43)-MAX(5,B1351))/(IF(Inputs!$B$38="pvp",15,Inputs!$B$43)-(B1351))))*IF(AND(ArtifactsInput!$M$42,((Inputs!$B$9+((C1332=TRUE)*(F1332-Calc!F19))+B1344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1318*(MIN(100,(Inputs!$B$9+((C1332=TRUE)*(F1332-Calc!F19))+B1344+(ArtifactsInput!$M$24-ArtifactsInput!$M$24)*CHOOSE(ArtifactsInput!$N$24+1,10,12,14,16,18,20)+(IF(AND(Inputs!$B$38&lt;&gt;"pvp",Inputs!$B$43=0),1,IF(IF(Inputs!$B$38="pvp",15,Inputs!$B$43)-(B1351)&lt;=0,1,MAX(0,IF(Inputs!$B$38="pvp",15,Inputs!$B$43)-MAX(5,B1351))/(IF(Inputs!$B$38="pvp",15,Inputs!$B$43)-(B1351))))*IF(AND(ArtifactsInput!$M$42,((Inputs!$B$9+((C1332=TRUE)*(F1332-Calc!F19))+B1344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1318*(1-MIN(100,(Inputs!$B$9+((C1332=TRUE)*(F1332-Calc!F19))+B1344+(ArtifactsInput!$M$24-ArtifactsInput!$M$24)*CHOOSE(ArtifactsInput!$N$24+1,10,12,14,16,18,20)+(IF(AND(Inputs!$B$38&lt;&gt;"pvp",Inputs!$B$43=0),1,IF(IF(Inputs!$B$38="pvp",15,Inputs!$B$43)-(B1351)&lt;=0,1,MAX(0,IF(Inputs!$B$38="pvp",15,Inputs!$B$43)-MAX(5,B1351))/(IF(Inputs!$B$38="pvp",15,Inputs!$B$43)-(B1351))))*IF(AND(ArtifactsInput!$M$42,((Inputs!$B$9+((C1332=TRUE)*(F1332-Calc!F19))+B1344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1318*(MIN(100,(Inputs!$B$9+((C1332=TRUE)*(F1332-Calc!F19))+B1344+(ArtifactsInput!$M$24-ArtifactsInput!$M$24)*CHOOSE(ArtifactsInput!$N$24+1,10,12,14,16,18,20)+(IF(AND(Inputs!$B$38&lt;&gt;"pvp",Inputs!$B$43=0),1,IF(IF(Inputs!$B$38="pvp",15,Inputs!$B$43)-(B1351)&lt;=0,1,MAX(0,IF(Inputs!$B$38="pvp",15,Inputs!$B$43)-MAX(5,B1351))/(IF(Inputs!$B$38="pvp",15,Inputs!$B$43)-(B1351))))*IF(AND(ArtifactsInput!$M$42,((Inputs!$B$9+((C1332=TRUE)*(F1332-Calc!F19))+B1344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318">
        <f>IF(C1318,(H1318*N1318*IF(AND(Inputs!$B$38&lt;&gt;"pvp",Inputs!$B$43&gt;0),((Skills!G5*((R1318-1)*IF(Skills!H5&gt;0,INT(IF(Inputs!$B$3&gt;=104,MIN(35,20*(1+Inputs!$B$34/100)),20)/Skills!H5+0.000000001),1)+IF(Skills!H5&gt;0,INT(MIN(IF(Inputs!$B$3&gt;=104,MIN(35,20*(1+Inputs!$B$34/100)),20),MAX(0,MAX(0,Inputs!$B$43-B1351)-((R1318-1)*(IF(Inputs!$B$38="pvp",15,MAX(0.1,Skills!D5-IF(TRUE=TRUE,Inputs!$B$32,0)))*(1-IF(AND(ArtifactsInput!$M$27,Inputs!$B$4="Chapter Hunt"),CHOOSE(ArtifactsInput!$N$27+1,20,24,28,32,36,40),0)/100)))))/Skills!H5+0.000000001),1)))/Inputs!$B$43),G1318*Q1318))*IF(Inputs!$B$38="pvp",1,(1+(Inputs!$B$21+Skills!Q5+(IF(ArtifactsInput!$M$33,CHOOSE(ArtifactsInput!$N$33+1,30,36,42,48,54,60),0))+(IF(AND(ArtifactsInput!$M$35,Inputs!$B$4&lt;&gt;"Chapter Hunt"),CHOOSE(ArtifactsInput!$N$35+1,15,18,21,24,27,30)*(1-EXP(-(0.2*B1346)*5)),0)+IF(AND(ArtifactsInput!$M$22,Inputs!$B$4&lt;&gt;"Chapter Hunt"),CHOOSE(ArtifactsInput!$N$22+1,10,12,14,16,18,20)*((0*(((0.15*B1346*5))^0/1)+1*(((0.15*B1346*5))^1/1)+2*(((0.15*B1346*5))^2/2)+3*(((0.15*B1346*5))^3/6)+4*(((0.15*B1346*5))^4/24)+5*(((0.15*B1346*5))^5/120))/((((0.15*B1346*5))^0/1)+(((0.15*B1346*5))^1/1)+(((0.15*B1346*5))^2/2)+(((0.15*B1346*5))^3/6)+(((0.15*B1346*5))^4/24)+(((0.15*B1346*5))^5/120))),0))+IF(Inputs!$B$3&gt;=54,9*(C1316=TRUE)*MIN(1,8*(1+Inputs!$B$34/100)*Q1316),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19">
      <c r="A1319">
        <f>Skills!A6</f>
        <v/>
      </c>
      <c r="B1319">
        <f>Skills!B6</f>
        <v/>
      </c>
      <c r="C1319">
        <f>Inputs!$B$3&gt;=66</f>
        <v/>
      </c>
      <c r="D1319">
        <f>IF(Skills!C6=1,60+Inputs!$B$25+Inputs!$B$29,IF(Skills!C6=2,90+Inputs!$B$26+Inputs!$B$29,IF(Skills!C6=3,120+Inputs!$B$27+Inputs!$B$29,MAX(0,(Inputs!$B$3-100)*3)+Inputs!$B$28+Inputs!$B$29)))</f>
        <v/>
      </c>
      <c r="E1319">
        <f>INDEX(FactorTable!$B$2:$Y$301, MATCH(ROUND(MIN(300,MAX(1,D1319)),0), FactorTable!$A$2:$A$301,0), Skills!M6+1)</f>
        <v/>
      </c>
      <c r="F1319">
        <f>IF(Skills!N6=TRUE,(Skills!L6/10)*(E1319/1000),Skills!L6/10)+Skills!O6</f>
        <v/>
      </c>
      <c r="G1319">
        <f>Skills!G6*IF(Skills!H6&gt;0,INT(IF(Inputs!$B$38="pvp",MIN(Skills!I6,15),Skills!I6)/Skills!H6+0.000000001),1)</f>
        <v/>
      </c>
      <c r="H1319">
        <f>1-(1-Skills!J6/100)^Skills!K6</f>
        <v/>
      </c>
      <c r="I1319" t="inlineStr">
        <is>
          <t>1</t>
        </is>
      </c>
      <c r="J1319">
        <f>((Inputs!$B$6*(1+Inputs!$B$7/100))+(((Inputs!$B$12*(1+Inputs!$B$13/100))-(Inputs!$B$12*(1+Inputs!$B$13/100)))+0.25*(Inputs!$B$14-Inputs!$B$14))*(1+Inputs!$B$7/100))*(F1319/100)</f>
        <v/>
      </c>
      <c r="K1319">
        <f>J1319*(1+((Inputs!$B$12*(1+Inputs!$B$13/100))*0.01+Inputs!$B$14*0.0025)/100)*(1+Inputs!$B$15/100)*(1+Inputs!$B$16/100)*(5000/(6000+Inputs!$B$42*(1-(100*(1-(1-(Inputs!$B$19+0)/100)*(1-CHOOSE(ArtifactsInput!$N$40+1,5,6,7,8,9,10)/100)^(ArtifactsInput!$M$40-ArtifactsInput!$M$40)))/100)))*(1+(Inputs!$B$24+((C1339=TRUE)*(F1339-Calc!F26))+B1350)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+2.0*IF(C1328=TRUE,F1328,0)/100)*(1+(IF(Skills!A6="EIGHT_LEGS_EASTON",Inputs!$B$17+((C1336=TRUE)*(F1336-Calc!F23))+((C1340=TRUE)*(F1340-Calc!F27))+((IF(AND(Inputs!$B$38&lt;&gt;"pvp",Inputs!$B$43=0),1,IF(IF(Inputs!$B$38="pvp",15,Inputs!$B$43)-(B1351)&lt;=0,1,MAX(0,IF(Inputs!$B$38="pvp",15,Inputs!$B$43)-MAX(5,B1351))/(IF(Inputs!$B$38="pvp",15,Inputs!$B$43)-(B1351))))*(IF(AND(ArtifactsInput!$M$42,((Inputs!$B$9+((C1332=TRUE)*(F1332-Calc!F19))+B1344+(ArtifactsInput!$M$24-ArtifactsInput!$M$24)*CHOOSE(ArtifactsInput!$N$24+1,10,12,14,16,18,20)+IF(ArtifactsInput!$M$10,CHOOSE(ArtifactsInput!$N$10+1,15,18,21,24,27,30)*(IF(Inputs!$B$38="pvp",MIN(15,15)/15,IF(AND(Inputs!$B$38&lt;&gt;"pvp",Inputs!$B$43&gt;0),MIN(15,Inputs!$B$43)/(Inputs!$B$43),0))),0)))&gt;=100),MIN(100,((Inputs!$B$9+((C1332=TRUE)*(F1332-Calc!F19))+B1344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1351)&lt;=0,1,MAX(0,IF(Inputs!$B$38="pvp",15,Inputs!$B$43)-MAX(5,B1351))/(IF(Inputs!$B$38="pvp",15,Inputs!$B$43)-(B1351))))*IF(AND(ArtifactsInput!$M$42,((Inputs!$B$9+((C1332=TRUE)*(F1332-Calc!F19))+B1344+(ArtifactsInput!$M$24-ArtifactsInput!$M$24)*CHOOSE(ArtifactsInput!$N$24+1,10,12,14,16,18,20)+IF(ArtifactsInput!$M$10,CHOOSE(ArtifactsInput!$N$10+1,15,18,21,24,27,30)*(IF(Inputs!$B$38="pvp",MIN(15,15)/15,IF(AND(Inputs!$B$38&lt;&gt;"pvp",Inputs!$B$43&gt;0),MIN(15,Inputs!$B$43)/(Inputs!$B$43),0))),0)))&gt;=100),CHOOSE(ArtifactsInput!$N$42+1,40,48,56,64,72,80),0))))/100)*((1+(((C1330=TRUE)*F1330*5/7)+((C1337=TRUE)*(F1337-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1319)</f>
        <v/>
      </c>
      <c r="L1319">
        <f>K1319*(MIN(Inputs!$B$22+((C1335=TRUE)*(F1335-Calc!F22)),(Inputs!$B$23+0+(IF(ArtifactsInput!$M$15,CHOOSE(ArtifactsInput!$N$15+1,25,30,35,40,45,50)/100*(Inputs!$B$11-Inputs!$B$11),0))))/100+(Inputs!$B$23+0+(IF(ArtifactsInput!$M$15,CHOOSE(ArtifactsInput!$N$15+1,25,30,35,40,45,50)/100*(Inputs!$B$11-Inputs!$B$11),0)))/100)/2</f>
        <v/>
      </c>
      <c r="M1319">
        <f>L1319*(1+(Inputs!$B$10+((C1338=TRUE)*(F1338-Calc!F25))+B1349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19">
        <f>L1319*(1-MIN((Inputs!$B$9+((C1332=TRUE)*(F1332-Calc!F19))+B1344+(ArtifactsInput!$M$24-ArtifactsInput!$M$24)*CHOOSE(ArtifactsInput!$N$24+1,10,12,14,16,18,20)+(IF(AND(Inputs!$B$38&lt;&gt;"pvp",Inputs!$B$43=0),1,IF(IF(Inputs!$B$38="pvp",15,Inputs!$B$43)-(B1351)&lt;=0,1,MAX(0,IF(Inputs!$B$38="pvp",15,Inputs!$B$43)-MAX(5,B1351))/(IF(Inputs!$B$38="pvp",15,Inputs!$B$43)-(B1351))))*IF(AND(ArtifactsInput!$M$42,((Inputs!$B$9+((C1332=TRUE)*(F1332-Calc!F19))+B1344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1319*(MIN((Inputs!$B$9+((C1332=TRUE)*(F1332-Calc!F19))+B1344+(ArtifactsInput!$M$24-ArtifactsInput!$M$24)*CHOOSE(ArtifactsInput!$N$24+1,10,12,14,16,18,20)+(IF(AND(Inputs!$B$38&lt;&gt;"pvp",Inputs!$B$43=0),1,IF(IF(Inputs!$B$38="pvp",15,Inputs!$B$43)-(B1351)&lt;=0,1,MAX(0,IF(Inputs!$B$38="pvp",15,Inputs!$B$43)-MAX(5,B1351))/(IF(Inputs!$B$38="pvp",15,Inputs!$B$43)-(B1351))))*IF(AND(ArtifactsInput!$M$42,((Inputs!$B$9+((C1332=TRUE)*(F1332-Calc!F19))+B1344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19">
        <f>(1-Summary!$B$11)*T1319+Summary!$B$11*V1319</f>
        <v/>
      </c>
      <c r="P1319">
        <f>IF(B1354=0,0,O1319/B1354)</f>
        <v/>
      </c>
      <c r="Q1319">
        <f>IFERROR(1/(IF(Inputs!$B$38="pvp",15,MAX(0.1,Skills!D6-IF(TRUE=TRUE,Inputs!$B$32,0)))*(1-IF(AND(ArtifactsInput!$M$27,Inputs!$B$4="Chapter Hunt"),CHOOSE(ArtifactsInput!$N$27+1,20,24,28,32,36,40),0)/100)),0)</f>
        <v/>
      </c>
      <c r="R1319">
        <f>IF(AND(Inputs!$B$38&lt;&gt;"pvp",Inputs!$B$43&gt;0),IF(MAX(0,Inputs!$B$43-B1351)&lt;=0,0,(INT(MAX(0,Inputs!$B$43-B1351)/(IF(Inputs!$B$38="pvp",15,MAX(0.1,Skills!D6-IF(TRUE=TRUE,Inputs!$B$32,0)))*(1-IF(AND(ArtifactsInput!$M$27,Inputs!$B$4="Chapter Hunt"),CHOOSE(ArtifactsInput!$N$27+1,20,24,28,32,36,40),0)/100)))+1)),0)</f>
        <v/>
      </c>
      <c r="S1319">
        <f>IFERROR(O1319/N1319,0)</f>
        <v/>
      </c>
      <c r="T1319">
        <f>IF(C1319,(H1319*N1319*IF(AND(Inputs!$B$38&lt;&gt;"pvp",Inputs!$B$43&gt;0),((Skills!G6*((R1319-1)*IF(Skills!H6&gt;0,INT(Skills!I6/Skills!H6+0.000000001),1)+IF(Skills!H6&gt;0,INT(MIN(Skills!I6,MAX(0,MAX(0,Inputs!$B$43-B1351)-((R1319-1)*(IF(Inputs!$B$38="pvp",15,MAX(0.1,Skills!D6-IF(TRUE=TRUE,Inputs!$B$32,0)))*(1-IF(AND(ArtifactsInput!$M$27,Inputs!$B$4="Chapter Hunt"),CHOOSE(ArtifactsInput!$N$27+1,20,24,28,32,36,40),0)/100)))))/Skills!H6+0.000000001),1)))/Inputs!$B$43),G1319*Q1319))*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Hunt"),CHOOSE(ArtifactsInput!$N$35+1,15,18,21,24,27,30)*(1-EXP(-(0.2*B1346)*5)),0)+IF(AND(ArtifactsInput!$M$22,Inputs!$B$4&lt;&gt;"Chapter Hunt"),CHOOSE(ArtifactsInput!$N$22+1,10,12,14,16,18,20)*((0*(((0.15*B1346*5))^0/1)+1*(((0.15*B1346*5))^1/1)+2*(((0.15*B1346*5))^2/2)+3*(((0.15*B1346*5))^3/6)+4*(((0.15*B1346*5))^4/24)+5*(((0.15*B1346*5))^5/120))/((((0.15*B1346*5))^0/1)+(((0.15*B1346*5))^1/1)+(((0.15*B1346*5))^2/2)+(((0.15*B1346*5))^3/6)+(((0.15*B1346*5))^4/24)+(((0.15*B1346*5))^5/120))),0))+IF(Inputs!$B$3&gt;=54,9*(C1316=TRUE)*MIN(1,8*(1+Inputs!$B$34/100)*Q1316)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1319*(1-MIN(100,(Inputs!$B$9+((C1332=TRUE)*(F1332-Calc!F19))+B1344+(ArtifactsInput!$M$24-ArtifactsInput!$M$24)*CHOOSE(ArtifactsInput!$N$24+1,10,12,14,16,18,20)+(IF(AND(Inputs!$B$38&lt;&gt;"pvp",Inputs!$B$43=0),1,IF(IF(Inputs!$B$38="pvp",15,Inputs!$B$43)-(B1351)&lt;=0,1,MAX(0,IF(Inputs!$B$38="pvp",15,Inputs!$B$43)-MAX(5,B1351))/(IF(Inputs!$B$38="pvp",15,Inputs!$B$43)-(B1351))))*IF(AND(ArtifactsInput!$M$42,((Inputs!$B$9+((C1332=TRUE)*(F1332-Calc!F19))+B1344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1319*(MIN(100,(Inputs!$B$9+((C1332=TRUE)*(F1332-Calc!F19))+B1344+(ArtifactsInput!$M$24-ArtifactsInput!$M$24)*CHOOSE(ArtifactsInput!$N$24+1,10,12,14,16,18,20)+(IF(AND(Inputs!$B$38&lt;&gt;"pvp",Inputs!$B$43=0),1,IF(IF(Inputs!$B$38="pvp",15,Inputs!$B$43)-(B1351)&lt;=0,1,MAX(0,IF(Inputs!$B$38="pvp",15,Inputs!$B$43)-MAX(5,B1351))/(IF(Inputs!$B$38="pvp",15,Inputs!$B$43)-(B1351))))*IF(AND(ArtifactsInput!$M$42,((Inputs!$B$9+((C1332=TRUE)*(F1332-Calc!F19))+B1344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1319*(1-MIN(100,(Inputs!$B$9+((C1332=TRUE)*(F1332-Calc!F19))+B1344+(ArtifactsInput!$M$24-ArtifactsInput!$M$24)*CHOOSE(ArtifactsInput!$N$24+1,10,12,14,16,18,20)+(IF(AND(Inputs!$B$38&lt;&gt;"pvp",Inputs!$B$43=0),1,IF(IF(Inputs!$B$38="pvp",15,Inputs!$B$43)-(B1351)&lt;=0,1,MAX(0,IF(Inputs!$B$38="pvp",15,Inputs!$B$43)-MAX(5,B1351))/(IF(Inputs!$B$38="pvp",15,Inputs!$B$43)-(B1351))))*IF(AND(ArtifactsInput!$M$42,((Inputs!$B$9+((C1332=TRUE)*(F1332-Calc!F19))+B1344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1319*(MIN(100,(Inputs!$B$9+((C1332=TRUE)*(F1332-Calc!F19))+B1344+(ArtifactsInput!$M$24-ArtifactsInput!$M$24)*CHOOSE(ArtifactsInput!$N$24+1,10,12,14,16,18,20)+(IF(AND(Inputs!$B$38&lt;&gt;"pvp",Inputs!$B$43=0),1,IF(IF(Inputs!$B$38="pvp",15,Inputs!$B$43)-(B1351)&lt;=0,1,MAX(0,IF(Inputs!$B$38="pvp",15,Inputs!$B$43)-MAX(5,B1351))/(IF(Inputs!$B$38="pvp",15,Inputs!$B$43)-(B1351))))*IF(AND(ArtifactsInput!$M$42,((Inputs!$B$9+((C1332=TRUE)*(F1332-Calc!F19))+B1344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319">
        <f>IF(C1319,(H1319*N1319*IF(AND(Inputs!$B$38&lt;&gt;"pvp",Inputs!$B$43&gt;0),((Skills!G6*((R1319-1)*IF(Skills!H6&gt;0,INT(Skills!I6/Skills!H6+0.000000001),1)+IF(Skills!H6&gt;0,INT(MIN(Skills!I6,MAX(0,MAX(0,Inputs!$B$43-B1351)-((R1319-1)*(IF(Inputs!$B$38="pvp",15,MAX(0.1,Skills!D6-IF(TRUE=TRUE,Inputs!$B$32,0)))*(1-IF(AND(ArtifactsInput!$M$27,Inputs!$B$4="Chapter Hunt"),CHOOSE(ArtifactsInput!$N$27+1,20,24,28,32,36,40),0)/100)))))/Skills!H6+0.000000001),1)))/Inputs!$B$43),G1319*Q1319))*IF(Inputs!$B$38="pvp",1,(1+(Inputs!$B$21+Skills!Q6+(IF(ArtifactsInput!$M$33,CHOOSE(ArtifactsInput!$N$33+1,30,36,42,48,54,60),0))+(IF(AND(ArtifactsInput!$M$35,Inputs!$B$4&lt;&gt;"Chapter Hunt"),CHOOSE(ArtifactsInput!$N$35+1,15,18,21,24,27,30)*(1-EXP(-(0.2*B1346)*5)),0)+IF(AND(ArtifactsInput!$M$22,Inputs!$B$4&lt;&gt;"Chapter Hunt"),CHOOSE(ArtifactsInput!$N$22+1,10,12,14,16,18,20)*((0*(((0.15*B1346*5))^0/1)+1*(((0.15*B1346*5))^1/1)+2*(((0.15*B1346*5))^2/2)+3*(((0.15*B1346*5))^3/6)+4*(((0.15*B1346*5))^4/24)+5*(((0.15*B1346*5))^5/120))/((((0.15*B1346*5))^0/1)+(((0.15*B1346*5))^1/1)+(((0.15*B1346*5))^2/2)+(((0.15*B1346*5))^3/6)+(((0.15*B1346*5))^4/24)+(((0.15*B1346*5))^5/120))),0))+IF(Inputs!$B$3&gt;=54,9*(C1316=TRUE)*MIN(1,8*(1+Inputs!$B$34/100)*Q1316),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20">
      <c r="A1320">
        <f>Skills!A7</f>
        <v/>
      </c>
      <c r="B1320">
        <f>Skills!B7</f>
        <v/>
      </c>
      <c r="C1320">
        <f>Inputs!$B$3&gt;=63</f>
        <v/>
      </c>
      <c r="D1320">
        <f>IF(Skills!C7=1,60+Inputs!$B$25+Inputs!$B$29,IF(Skills!C7=2,90+Inputs!$B$26+Inputs!$B$29,IF(Skills!C7=3,120+Inputs!$B$27+Inputs!$B$29,MAX(0,(Inputs!$B$3-100)*3)+Inputs!$B$28+Inputs!$B$29)))</f>
        <v/>
      </c>
      <c r="E1320">
        <f>INDEX(FactorTable!$B$2:$Y$301, MATCH(ROUND(MIN(300,MAX(1,D1320)),0), FactorTable!$A$2:$A$301,0), Skills!M7+1)</f>
        <v/>
      </c>
      <c r="F1320">
        <f>IF(Skills!N7=TRUE,(Skills!L7/10)*(E1320/1000),Skills!L7/10)+Skills!O7</f>
        <v/>
      </c>
      <c r="G1320">
        <f>Skills!G7*IF(Skills!H7&gt;0,INT(IF(Inputs!$B$38="pvp",MIN(Skills!I7,15),Skills!I7)/Skills!H7+0.000000001),1)</f>
        <v/>
      </c>
      <c r="H1320">
        <f>1-(1-Skills!J7/100)^Skills!K7</f>
        <v/>
      </c>
      <c r="I1320" t="inlineStr">
        <is>
          <t>1</t>
        </is>
      </c>
      <c r="J1320">
        <f>((Inputs!$B$6*(1+Inputs!$B$7/100))+(((Inputs!$B$12*(1+Inputs!$B$13/100))-(Inputs!$B$12*(1+Inputs!$B$13/100)))+0.25*(Inputs!$B$14-Inputs!$B$14))*(1+Inputs!$B$7/100))*(F1320/100)</f>
        <v/>
      </c>
      <c r="K1320">
        <f>J1320*(1+((Inputs!$B$12*(1+Inputs!$B$13/100))*0.01+Inputs!$B$14*0.0025)/100)*(1+Inputs!$B$15/100)*(1+Inputs!$B$16/100)*(5000/(6000+Inputs!$B$42*(1-(100*(1-(1-(Inputs!$B$19+0)/100)*(1-CHOOSE(ArtifactsInput!$N$40+1,5,6,7,8,9,10)/100)^(ArtifactsInput!$M$40-ArtifactsInput!$M$40)))/100)))*(1+(Inputs!$B$24+((C1339=TRUE)*(F1339-Calc!F26))+B1350)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1328=TRUE,F1328,0)/100)*(1+(IF(Skills!A7="EIGHT_LEGS_EASTON",Inputs!$B$17+((C1336=TRUE)*(F1336-Calc!F23))+((C1340=TRUE)*(F1340-Calc!F27))+((IF(AND(Inputs!$B$38&lt;&gt;"pvp",Inputs!$B$43=0),1,IF(IF(Inputs!$B$38="pvp",15,Inputs!$B$43)-(B1351)&lt;=0,1,MAX(0,IF(Inputs!$B$38="pvp",15,Inputs!$B$43)-MAX(5,B1351))/(IF(Inputs!$B$38="pvp",15,Inputs!$B$43)-(B1351))))*(IF(AND(ArtifactsInput!$M$42,((Inputs!$B$9+((C1332=TRUE)*(F1332-Calc!F19))+B1344+(ArtifactsInput!$M$24-ArtifactsInput!$M$24)*CHOOSE(ArtifactsInput!$N$24+1,10,12,14,16,18,20)+IF(ArtifactsInput!$M$10,CHOOSE(ArtifactsInput!$N$10+1,15,18,21,24,27,30)*(IF(Inputs!$B$38="pvp",MIN(15,15)/15,IF(AND(Inputs!$B$38&lt;&gt;"pvp",Inputs!$B$43&gt;0),MIN(15,Inputs!$B$43)/(Inputs!$B$43),0))),0)))&gt;=100),MIN(100,((Inputs!$B$9+((C1332=TRUE)*(F1332-Calc!F19))+B1344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1351)&lt;=0,1,MAX(0,IF(Inputs!$B$38="pvp",15,Inputs!$B$43)-MAX(5,B1351))/(IF(Inputs!$B$38="pvp",15,Inputs!$B$43)-(B1351))))*IF(AND(ArtifactsInput!$M$42,((Inputs!$B$9+((C1332=TRUE)*(F1332-Calc!F19))+B1344+(ArtifactsInput!$M$24-ArtifactsInput!$M$24)*CHOOSE(ArtifactsInput!$N$24+1,10,12,14,16,18,20)+IF(ArtifactsInput!$M$10,CHOOSE(ArtifactsInput!$N$10+1,15,18,21,24,27,30)*(IF(Inputs!$B$38="pvp",MIN(15,15)/15,IF(AND(Inputs!$B$38&lt;&gt;"pvp",Inputs!$B$43&gt;0),MIN(15,Inputs!$B$43)/(Inputs!$B$43),0))),0)))&gt;=100),CHOOSE(ArtifactsInput!$N$42+1,40,48,56,64,72,80),0))))/100)*((1+(((C1330=TRUE)*F1330*5/7)+((C1337=TRUE)*(F1337-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1320)</f>
        <v/>
      </c>
      <c r="L1320">
        <f>K1320*(MIN(Inputs!$B$22+((C1335=TRUE)*(F1335-Calc!F22)),(Inputs!$B$23+0+(IF(ArtifactsInput!$M$15,CHOOSE(ArtifactsInput!$N$15+1,25,30,35,40,45,50)/100*(Inputs!$B$11-Inputs!$B$11),0))))/100+(Inputs!$B$23+0+(IF(ArtifactsInput!$M$15,CHOOSE(ArtifactsInput!$N$15+1,25,30,35,40,45,50)/100*(Inputs!$B$11-Inputs!$B$11),0)))/100)/2</f>
        <v/>
      </c>
      <c r="M1320">
        <f>L1320*(1+(Inputs!$B$10+((C1338=TRUE)*(F1338-Calc!F25))+B1349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20">
        <f>L1320*(1-MIN((Inputs!$B$9+((C1332=TRUE)*(F1332-Calc!F19))+B1344+(ArtifactsInput!$M$24-ArtifactsInput!$M$24)*CHOOSE(ArtifactsInput!$N$24+1,10,12,14,16,18,20)+(IF(AND(Inputs!$B$38&lt;&gt;"pvp",Inputs!$B$43=0),1,IF(IF(Inputs!$B$38="pvp",15,Inputs!$B$43)-(B1351)&lt;=0,1,MAX(0,IF(Inputs!$B$38="pvp",15,Inputs!$B$43)-MAX(5,B1351))/(IF(Inputs!$B$38="pvp",15,Inputs!$B$43)-(B1351))))*IF(AND(ArtifactsInput!$M$42,((Inputs!$B$9+((C1332=TRUE)*(F1332-Calc!F19))+B1344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1320*(MIN((Inputs!$B$9+((C1332=TRUE)*(F1332-Calc!F19))+B1344+(ArtifactsInput!$M$24-ArtifactsInput!$M$24)*CHOOSE(ArtifactsInput!$N$24+1,10,12,14,16,18,20)+(IF(AND(Inputs!$B$38&lt;&gt;"pvp",Inputs!$B$43=0),1,IF(IF(Inputs!$B$38="pvp",15,Inputs!$B$43)-(B1351)&lt;=0,1,MAX(0,IF(Inputs!$B$38="pvp",15,Inputs!$B$43)-MAX(5,B1351))/(IF(Inputs!$B$38="pvp",15,Inputs!$B$43)-(B1351))))*IF(AND(ArtifactsInput!$M$42,((Inputs!$B$9+((C1332=TRUE)*(F1332-Calc!F19))+B1344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20">
        <f>(1-Summary!$B$11)*T1320+Summary!$B$11*V1320</f>
        <v/>
      </c>
      <c r="P1320">
        <f>IF(B1354=0,0,O1320/B1354)</f>
        <v/>
      </c>
      <c r="Q1320">
        <f>IFERROR(1/(IF(Inputs!$B$38="pvp",15,MAX(0.1,Skills!D7-IF(TRUE=TRUE,Inputs!$B$32,0)))*(1-IF(AND(ArtifactsInput!$M$27,Inputs!$B$4="Chapter Hunt"),CHOOSE(ArtifactsInput!$N$27+1,20,24,28,32,36,40),0)/100)),0)</f>
        <v/>
      </c>
      <c r="R1320">
        <f>IF(AND(Inputs!$B$38&lt;&gt;"pvp",Inputs!$B$43&gt;0),IF(MAX(0,Inputs!$B$43-B1351)&lt;=0,0,(INT(MAX(0,Inputs!$B$43-B1351)/(IF(Inputs!$B$38="pvp",15,MAX(0.1,Skills!D7-IF(TRUE=TRUE,Inputs!$B$32,0)))*(1-IF(AND(ArtifactsInput!$M$27,Inputs!$B$4="Chapter Hunt"),CHOOSE(ArtifactsInput!$N$27+1,20,24,28,32,36,40),0)/100)))+1)),0)</f>
        <v/>
      </c>
      <c r="S1320">
        <f>IFERROR(O1320/N1320,0)</f>
        <v/>
      </c>
      <c r="T1320">
        <f>IF(C1320,(H1320*N1320*IF(AND(Inputs!$B$38&lt;&gt;"pvp",Inputs!$B$43&gt;0),((Skills!G7*((R1320-1)*IF(Skills!H7&gt;0,INT(Skills!I7/Skills!H7+0.000000001),1)+IF(Skills!H7&gt;0,INT(MIN(Skills!I7,MAX(0,MAX(0,Inputs!$B$43-B1351)-((R1320-1)*(IF(Inputs!$B$38="pvp",15,MAX(0.1,Skills!D7-IF(TRUE=TRUE,Inputs!$B$32,0)))*(1-IF(AND(ArtifactsInput!$M$27,Inputs!$B$4="Chapter Hunt"),CHOOSE(ArtifactsInput!$N$27+1,20,24,28,32,36,40),0)/100)))))/Skills!H7+0.000000001),1)))/Inputs!$B$43),G1320*Q1320))*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Hunt"),CHOOSE(ArtifactsInput!$N$35+1,15,18,21,24,27,30)*(1-EXP(-(0.2*B1346)*5)),0)+IF(AND(ArtifactsInput!$M$22,Inputs!$B$4&lt;&gt;"Chapter Hunt"),CHOOSE(ArtifactsInput!$N$22+1,10,12,14,16,18,20)*((0*(((0.15*B1346*5))^0/1)+1*(((0.15*B1346*5))^1/1)+2*(((0.15*B1346*5))^2/2)+3*(((0.15*B1346*5))^3/6)+4*(((0.15*B1346*5))^4/24)+5*(((0.15*B1346*5))^5/120))/((((0.15*B1346*5))^0/1)+(((0.15*B1346*5))^1/1)+(((0.15*B1346*5))^2/2)+(((0.15*B1346*5))^3/6)+(((0.15*B1346*5))^4/24)+(((0.15*B1346*5))^5/120))),0))+IF(Inputs!$B$3&gt;=54,9*(C1316=TRUE)*MIN(1,8*(1+Inputs!$B$34/100)*Q1316)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1320*(1-MIN(100,(Inputs!$B$9+((C1332=TRUE)*(F1332-Calc!F19))+B1344+(ArtifactsInput!$M$24-ArtifactsInput!$M$24)*CHOOSE(ArtifactsInput!$N$24+1,10,12,14,16,18,20)+(IF(AND(Inputs!$B$38&lt;&gt;"pvp",Inputs!$B$43=0),1,IF(IF(Inputs!$B$38="pvp",15,Inputs!$B$43)-(B1351)&lt;=0,1,MAX(0,IF(Inputs!$B$38="pvp",15,Inputs!$B$43)-MAX(5,B1351))/(IF(Inputs!$B$38="pvp",15,Inputs!$B$43)-(B1351))))*IF(AND(ArtifactsInput!$M$42,((Inputs!$B$9+((C1332=TRUE)*(F1332-Calc!F19))+B1344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1320*(MIN(100,(Inputs!$B$9+((C1332=TRUE)*(F1332-Calc!F19))+B1344+(ArtifactsInput!$M$24-ArtifactsInput!$M$24)*CHOOSE(ArtifactsInput!$N$24+1,10,12,14,16,18,20)+(IF(AND(Inputs!$B$38&lt;&gt;"pvp",Inputs!$B$43=0),1,IF(IF(Inputs!$B$38="pvp",15,Inputs!$B$43)-(B1351)&lt;=0,1,MAX(0,IF(Inputs!$B$38="pvp",15,Inputs!$B$43)-MAX(5,B1351))/(IF(Inputs!$B$38="pvp",15,Inputs!$B$43)-(B1351))))*IF(AND(ArtifactsInput!$M$42,((Inputs!$B$9+((C1332=TRUE)*(F1332-Calc!F19))+B1344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1320*(1-MIN(100,(Inputs!$B$9+((C1332=TRUE)*(F1332-Calc!F19))+B1344+(ArtifactsInput!$M$24-ArtifactsInput!$M$24)*CHOOSE(ArtifactsInput!$N$24+1,10,12,14,16,18,20)+(IF(AND(Inputs!$B$38&lt;&gt;"pvp",Inputs!$B$43=0),1,IF(IF(Inputs!$B$38="pvp",15,Inputs!$B$43)-(B1351)&lt;=0,1,MAX(0,IF(Inputs!$B$38="pvp",15,Inputs!$B$43)-MAX(5,B1351))/(IF(Inputs!$B$38="pvp",15,Inputs!$B$43)-(B1351))))*IF(AND(ArtifactsInput!$M$42,((Inputs!$B$9+((C1332=TRUE)*(F1332-Calc!F19))+B1344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1320*(MIN(100,(Inputs!$B$9+((C1332=TRUE)*(F1332-Calc!F19))+B1344+(ArtifactsInput!$M$24-ArtifactsInput!$M$24)*CHOOSE(ArtifactsInput!$N$24+1,10,12,14,16,18,20)+(IF(AND(Inputs!$B$38&lt;&gt;"pvp",Inputs!$B$43=0),1,IF(IF(Inputs!$B$38="pvp",15,Inputs!$B$43)-(B1351)&lt;=0,1,MAX(0,IF(Inputs!$B$38="pvp",15,Inputs!$B$43)-MAX(5,B1351))/(IF(Inputs!$B$38="pvp",15,Inputs!$B$43)-(B1351))))*IF(AND(ArtifactsInput!$M$42,((Inputs!$B$9+((C1332=TRUE)*(F1332-Calc!F19))+B1344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320">
        <f>IF(C1320,(H1320*N1320*IF(AND(Inputs!$B$38&lt;&gt;"pvp",Inputs!$B$43&gt;0),((Skills!G7*((R1320-1)*IF(Skills!H7&gt;0,INT(Skills!I7/Skills!H7+0.000000001),1)+IF(Skills!H7&gt;0,INT(MIN(Skills!I7,MAX(0,MAX(0,Inputs!$B$43-B1351)-((R1320-1)*(IF(Inputs!$B$38="pvp",15,MAX(0.1,Skills!D7-IF(TRUE=TRUE,Inputs!$B$32,0)))*(1-IF(AND(ArtifactsInput!$M$27,Inputs!$B$4="Chapter Hunt"),CHOOSE(ArtifactsInput!$N$27+1,20,24,28,32,36,40),0)/100)))))/Skills!H7+0.000000001),1)))/Inputs!$B$43),G1320*Q1320))*IF(Inputs!$B$38="pvp",1,(1+(Inputs!$B$21+Skills!Q7+(IF(ArtifactsInput!$M$33,CHOOSE(ArtifactsInput!$N$33+1,30,36,42,48,54,60),0))+(IF(AND(ArtifactsInput!$M$35,Inputs!$B$4&lt;&gt;"Chapter Hunt"),CHOOSE(ArtifactsInput!$N$35+1,15,18,21,24,27,30)*(1-EXP(-(0.2*B1346)*5)),0)+IF(AND(ArtifactsInput!$M$22,Inputs!$B$4&lt;&gt;"Chapter Hunt"),CHOOSE(ArtifactsInput!$N$22+1,10,12,14,16,18,20)*((0*(((0.15*B1346*5))^0/1)+1*(((0.15*B1346*5))^1/1)+2*(((0.15*B1346*5))^2/2)+3*(((0.15*B1346*5))^3/6)+4*(((0.15*B1346*5))^4/24)+5*(((0.15*B1346*5))^5/120))/((((0.15*B1346*5))^0/1)+(((0.15*B1346*5))^1/1)+(((0.15*B1346*5))^2/2)+(((0.15*B1346*5))^3/6)+(((0.15*B1346*5))^4/24)+(((0.15*B1346*5))^5/120))),0))+IF(Inputs!$B$3&gt;=54,9*(C1316=TRUE)*MIN(1,8*(1+Inputs!$B$34/100)*Q1316),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21">
      <c r="A1321">
        <f>Skills!A8</f>
        <v/>
      </c>
      <c r="B1321">
        <f>Skills!B8</f>
        <v/>
      </c>
      <c r="C1321">
        <f>Inputs!$B$3&gt;=103</f>
        <v/>
      </c>
      <c r="D1321">
        <f>IF(Skills!C8=1,60+Inputs!$B$25+Inputs!$B$29,IF(Skills!C8=2,90+Inputs!$B$26+Inputs!$B$29,IF(Skills!C8=3,120+Inputs!$B$27+Inputs!$B$29,MAX(0,(Inputs!$B$3-100)*3)+Inputs!$B$28+Inputs!$B$29)))</f>
        <v/>
      </c>
      <c r="E1321">
        <f>INDEX(FactorTable!$B$2:$Y$301, MATCH(ROUND(MIN(300,MAX(1,D1321)),0), FactorTable!$A$2:$A$301,0), Skills!M8+1)</f>
        <v/>
      </c>
      <c r="F1321">
        <f>IF(Skills!N8=TRUE,(Skills!L8/10)*(E1321/1000),Skills!L8/10)+Skills!O8</f>
        <v/>
      </c>
      <c r="G1321">
        <f>Skills!G8*IF(Skills!H8&gt;0,INT(IF(Inputs!$B$38="pvp",MIN(Skills!I8,15),Skills!I8)/Skills!H8+0.000000001),1)</f>
        <v/>
      </c>
      <c r="H1321">
        <f>1-(1-Skills!J8/100)^Skills!K8</f>
        <v/>
      </c>
      <c r="I1321" t="inlineStr">
        <is>
          <t>1</t>
        </is>
      </c>
      <c r="J1321">
        <f>((Inputs!$B$6*(1+Inputs!$B$7/100))+(((Inputs!$B$12*(1+Inputs!$B$13/100))-(Inputs!$B$12*(1+Inputs!$B$13/100)))+0.25*(Inputs!$B$14-Inputs!$B$14))*(1+Inputs!$B$7/100))*(F1321/100)</f>
        <v/>
      </c>
      <c r="K1321">
        <f>J1321*(1+((Inputs!$B$12*(1+Inputs!$B$13/100))*0.01+Inputs!$B$14*0.0025)/100)*(1+Inputs!$B$15/100)*(1+Inputs!$B$16/100)*(5000/(6000+Inputs!$B$42*(1-(100*(1-(1-(Inputs!$B$19+0)/100)*(1-CHOOSE(ArtifactsInput!$N$40+1,5,6,7,8,9,10)/100)^(ArtifactsInput!$M$40-ArtifactsInput!$M$40)))/100)))*(1+(Inputs!$B$24+((C1339=TRUE)*(F1339-Calc!F26))+B1350)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IGHT_LEGS_EASTON",Inputs!$B$17+((C1336=TRUE)*(F1336-Calc!F23))+((C1340=TRUE)*(F1340-Calc!F27))+((IF(AND(Inputs!$B$38&lt;&gt;"pvp",Inputs!$B$43=0),1,IF(IF(Inputs!$B$38="pvp",15,Inputs!$B$43)-(B1351)&lt;=0,1,MAX(0,IF(Inputs!$B$38="pvp",15,Inputs!$B$43)-MAX(5,B1351))/(IF(Inputs!$B$38="pvp",15,Inputs!$B$43)-(B1351))))*(IF(AND(ArtifactsInput!$M$42,((Inputs!$B$9+((C1332=TRUE)*(F1332-Calc!F19))+B1344+(ArtifactsInput!$M$24-ArtifactsInput!$M$24)*CHOOSE(ArtifactsInput!$N$24+1,10,12,14,16,18,20)+IF(ArtifactsInput!$M$10,CHOOSE(ArtifactsInput!$N$10+1,15,18,21,24,27,30)*(IF(Inputs!$B$38="pvp",MIN(15,15)/15,IF(AND(Inputs!$B$38&lt;&gt;"pvp",Inputs!$B$43&gt;0),MIN(15,Inputs!$B$43)/(Inputs!$B$43),0))),0)))&gt;=100),MIN(100,((Inputs!$B$9+((C1332=TRUE)*(F1332-Calc!F19))+B1344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1351)&lt;=0,1,MAX(0,IF(Inputs!$B$38="pvp",15,Inputs!$B$43)-MAX(5,B1351))/(IF(Inputs!$B$38="pvp",15,Inputs!$B$43)-(B1351))))*IF(AND(ArtifactsInput!$M$42,((Inputs!$B$9+((C1332=TRUE)*(F1332-Calc!F19))+B1344+(ArtifactsInput!$M$24-ArtifactsInput!$M$24)*CHOOSE(ArtifactsInput!$N$24+1,10,12,14,16,18,20)+IF(ArtifactsInput!$M$10,CHOOSE(ArtifactsInput!$N$10+1,15,18,21,24,27,30)*(IF(Inputs!$B$38="pvp",MIN(15,15)/15,IF(AND(Inputs!$B$38&lt;&gt;"pvp",Inputs!$B$43&gt;0),MIN(15,Inputs!$B$43)/(Inputs!$B$43),0))),0)))&gt;=100),CHOOSE(ArtifactsInput!$N$42+1,40,48,56,64,72,80),0))))/100)*((1+(((C1330=TRUE)*F1330*5/7)+((C1337=TRUE)*(F1337-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1321)</f>
        <v/>
      </c>
      <c r="L1321">
        <f>K1321*(MIN(Inputs!$B$22+((C1335=TRUE)*(F1335-Calc!F22)),(Inputs!$B$23+0+(IF(ArtifactsInput!$M$15,CHOOSE(ArtifactsInput!$N$15+1,25,30,35,40,45,50)/100*(Inputs!$B$11-Inputs!$B$11),0))))/100+(Inputs!$B$23+0+(IF(ArtifactsInput!$M$15,CHOOSE(ArtifactsInput!$N$15+1,25,30,35,40,45,50)/100*(Inputs!$B$11-Inputs!$B$11),0)))/100)/2</f>
        <v/>
      </c>
      <c r="M1321">
        <f>L1321*(1+(Inputs!$B$10+((C1338=TRUE)*(F1338-Calc!F25))+B1349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21">
        <f>L1321*(1-MIN((Inputs!$B$9+((C1332=TRUE)*(F1332-Calc!F19))+B1344+(ArtifactsInput!$M$24-ArtifactsInput!$M$24)*CHOOSE(ArtifactsInput!$N$24+1,10,12,14,16,18,20)+(IF(AND(Inputs!$B$38&lt;&gt;"pvp",Inputs!$B$43=0),1,IF(IF(Inputs!$B$38="pvp",15,Inputs!$B$43)-(B1351)&lt;=0,1,MAX(0,IF(Inputs!$B$38="pvp",15,Inputs!$B$43)-MAX(5,B1351))/(IF(Inputs!$B$38="pvp",15,Inputs!$B$43)-(B1351))))*IF(AND(ArtifactsInput!$M$42,((Inputs!$B$9+((C1332=TRUE)*(F1332-Calc!F19))+B1344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1321*(MIN((Inputs!$B$9+((C1332=TRUE)*(F1332-Calc!F19))+B1344+(ArtifactsInput!$M$24-ArtifactsInput!$M$24)*CHOOSE(ArtifactsInput!$N$24+1,10,12,14,16,18,20)+(IF(AND(Inputs!$B$38&lt;&gt;"pvp",Inputs!$B$43=0),1,IF(IF(Inputs!$B$38="pvp",15,Inputs!$B$43)-(B1351)&lt;=0,1,MAX(0,IF(Inputs!$B$38="pvp",15,Inputs!$B$43)-MAX(5,B1351))/(IF(Inputs!$B$38="pvp",15,Inputs!$B$43)-(B1351))))*IF(AND(ArtifactsInput!$M$42,((Inputs!$B$9+((C1332=TRUE)*(F1332-Calc!F19))+B1344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21">
        <f>(1-Summary!$B$11)*T1321+Summary!$B$11*V1321</f>
        <v/>
      </c>
      <c r="P1321">
        <f>IF(B1354=0,0,O1321/B1354)</f>
        <v/>
      </c>
      <c r="Q1321">
        <f>IFERROR(1/((IF(Inputs!$B$38="pvp",15,MAX(0.1,Skills!D8-IF(TRUE=TRUE,Inputs!$B$32,0)))*(1-IF(AND(ArtifactsInput!$M$27,Inputs!$B$4="Chapter Hunt"),CHOOSE(ArtifactsInput!$N$27+1,20,24,28,32,36,40),0)/100))/B1355),0)</f>
        <v/>
      </c>
      <c r="R1321">
        <f>IF(AND(Inputs!$B$38&lt;&gt;"pvp",Inputs!$B$43&gt;0),IF(MAX(0,Inputs!$B$43-B1351)&lt;=0,0,(INT(MAX(0,Inputs!$B$43-B1351)/((IF(Inputs!$B$38="pvp",15,MAX(0.1,Skills!D8-IF(TRUE=TRUE,Inputs!$B$32,0)))*(1-IF(AND(ArtifactsInput!$M$27,Inputs!$B$4="Chapter Hunt"),CHOOSE(ArtifactsInput!$N$27+1,20,24,28,32,36,40),0)/100))/B1355))+1)),0)</f>
        <v/>
      </c>
      <c r="S1321">
        <f>IFERROR(O1321/N1321,0)</f>
        <v/>
      </c>
      <c r="T1321">
        <f>IF(C1321,(H1321*N1321*IF(AND(Inputs!$B$38&lt;&gt;"pvp",Inputs!$B$43&gt;0),((Skills!G8*((R1321-1)*IF(Skills!H8&gt;0,INT(Skills!I8/Skills!H8+0.000000001),1)+IF(Skills!H8&gt;0,INT(MIN(Skills!I8,MAX(0,MAX(0,Inputs!$B$43-B1351)-((R1321-1)*((IF(Inputs!$B$38="pvp",15,MAX(0.1,Skills!D8-IF(TRUE=TRUE,Inputs!$B$32,0)))*(1-IF(AND(ArtifactsInput!$M$27,Inputs!$B$4="Chapter Hunt"),CHOOSE(ArtifactsInput!$N$27+1,20,24,28,32,36,40),0)/100))/B1355))))/Skills!H8+0.000000001),1)))/Inputs!$B$43),G1321*Q1321))*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Hunt"),CHOOSE(ArtifactsInput!$N$35+1,15,18,21,24,27,30)*(1-EXP(-(0.2*B1346)*5)),0)+IF(AND(ArtifactsInput!$M$22,Inputs!$B$4&lt;&gt;"Chapter Hunt"),CHOOSE(ArtifactsInput!$N$22+1,10,12,14,16,18,20)*((0*(((0.15*B1346*5))^0/1)+1*(((0.15*B1346*5))^1/1)+2*(((0.15*B1346*5))^2/2)+3*(((0.15*B1346*5))^3/6)+4*(((0.15*B1346*5))^4/24)+5*(((0.15*B1346*5))^5/120))/((((0.15*B1346*5))^0/1)+(((0.15*B1346*5))^1/1)+(((0.15*B1346*5))^2/2)+(((0.15*B1346*5))^3/6)+(((0.15*B1346*5))^4/24)+(((0.15*B1346*5))^5/120))),0))+IF(Inputs!$B$3&gt;=54,9*(C1316=TRUE)*MIN(1,8*(1+Inputs!$B$34/100)*Q1316)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1321*(1-MIN(100,(Inputs!$B$9+((C1332=TRUE)*(F1332-Calc!F19))+B1344+(ArtifactsInput!$M$24-ArtifactsInput!$M$24)*CHOOSE(ArtifactsInput!$N$24+1,10,12,14,16,18,20)+(IF(AND(Inputs!$B$38&lt;&gt;"pvp",Inputs!$B$43=0),1,IF(IF(Inputs!$B$38="pvp",15,Inputs!$B$43)-(B1351)&lt;=0,1,MAX(0,IF(Inputs!$B$38="pvp",15,Inputs!$B$43)-MAX(5,B1351))/(IF(Inputs!$B$38="pvp",15,Inputs!$B$43)-(B1351))))*IF(AND(ArtifactsInput!$M$42,((Inputs!$B$9+((C1332=TRUE)*(F1332-Calc!F19))+B1344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1321*(MIN(100,(Inputs!$B$9+((C1332=TRUE)*(F1332-Calc!F19))+B1344+(ArtifactsInput!$M$24-ArtifactsInput!$M$24)*CHOOSE(ArtifactsInput!$N$24+1,10,12,14,16,18,20)+(IF(AND(Inputs!$B$38&lt;&gt;"pvp",Inputs!$B$43=0),1,IF(IF(Inputs!$B$38="pvp",15,Inputs!$B$43)-(B1351)&lt;=0,1,MAX(0,IF(Inputs!$B$38="pvp",15,Inputs!$B$43)-MAX(5,B1351))/(IF(Inputs!$B$38="pvp",15,Inputs!$B$43)-(B1351))))*IF(AND(ArtifactsInput!$M$42,((Inputs!$B$9+((C1332=TRUE)*(F1332-Calc!F19))+B1344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1321*(1-MIN(100,(Inputs!$B$9+((C1332=TRUE)*(F1332-Calc!F19))+B1344+(ArtifactsInput!$M$24-ArtifactsInput!$M$24)*CHOOSE(ArtifactsInput!$N$24+1,10,12,14,16,18,20)+(IF(AND(Inputs!$B$38&lt;&gt;"pvp",Inputs!$B$43=0),1,IF(IF(Inputs!$B$38="pvp",15,Inputs!$B$43)-(B1351)&lt;=0,1,MAX(0,IF(Inputs!$B$38="pvp",15,Inputs!$B$43)-MAX(5,B1351))/(IF(Inputs!$B$38="pvp",15,Inputs!$B$43)-(B1351))))*IF(AND(ArtifactsInput!$M$42,((Inputs!$B$9+((C1332=TRUE)*(F1332-Calc!F19))+B1344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1321*(MIN(100,(Inputs!$B$9+((C1332=TRUE)*(F1332-Calc!F19))+B1344+(ArtifactsInput!$M$24-ArtifactsInput!$M$24)*CHOOSE(ArtifactsInput!$N$24+1,10,12,14,16,18,20)+(IF(AND(Inputs!$B$38&lt;&gt;"pvp",Inputs!$B$43=0),1,IF(IF(Inputs!$B$38="pvp",15,Inputs!$B$43)-(B1351)&lt;=0,1,MAX(0,IF(Inputs!$B$38="pvp",15,Inputs!$B$43)-MAX(5,B1351))/(IF(Inputs!$B$38="pvp",15,Inputs!$B$43)-(B1351))))*IF(AND(ArtifactsInput!$M$42,((Inputs!$B$9+((C1332=TRUE)*(F1332-Calc!F19))+B1344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321">
        <f>IF(C1321,(H1321*N1321*IF(AND(Inputs!$B$38&lt;&gt;"pvp",Inputs!$B$43&gt;0),((Skills!G8*((R1321-1)*IF(Skills!H8&gt;0,INT(Skills!I8/Skills!H8+0.000000001),1)+IF(Skills!H8&gt;0,INT(MIN(Skills!I8,MAX(0,MAX(0,Inputs!$B$43-B1351)-((R1321-1)*((IF(Inputs!$B$38="pvp",15,MAX(0.1,Skills!D8-IF(TRUE=TRUE,Inputs!$B$32,0)))*(1-IF(AND(ArtifactsInput!$M$27,Inputs!$B$4="Chapter Hunt"),CHOOSE(ArtifactsInput!$N$27+1,20,24,28,32,36,40),0)/100))/B1355))))/Skills!H8+0.000000001),1)))/Inputs!$B$43),G1321*Q1321))*IF(Inputs!$B$38="pvp",1,(1+(Inputs!$B$21+Skills!Q8+(IF(ArtifactsInput!$M$33,CHOOSE(ArtifactsInput!$N$33+1,30,36,42,48,54,60),0))+(IF(AND(ArtifactsInput!$M$35,Inputs!$B$4&lt;&gt;"Chapter Hunt"),CHOOSE(ArtifactsInput!$N$35+1,15,18,21,24,27,30)*(1-EXP(-(0.2*B1346)*5)),0)+IF(AND(ArtifactsInput!$M$22,Inputs!$B$4&lt;&gt;"Chapter Hunt"),CHOOSE(ArtifactsInput!$N$22+1,10,12,14,16,18,20)*((0*(((0.15*B1346*5))^0/1)+1*(((0.15*B1346*5))^1/1)+2*(((0.15*B1346*5))^2/2)+3*(((0.15*B1346*5))^3/6)+4*(((0.15*B1346*5))^4/24)+5*(((0.15*B1346*5))^5/120))/((((0.15*B1346*5))^0/1)+(((0.15*B1346*5))^1/1)+(((0.15*B1346*5))^2/2)+(((0.15*B1346*5))^3/6)+(((0.15*B1346*5))^4/24)+(((0.15*B1346*5))^5/120))),0))+IF(Inputs!$B$3&gt;=54,9*(C1316=TRUE)*MIN(1,8*(1+Inputs!$B$34/100)*Q1316),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22">
      <c r="A1322">
        <f>Skills!A9</f>
        <v/>
      </c>
      <c r="B1322">
        <f>Skills!B9</f>
        <v/>
      </c>
      <c r="C1322">
        <f>Inputs!$B$3&gt;=105</f>
        <v/>
      </c>
      <c r="D1322">
        <f>IF(Skills!C9=1,60+Inputs!$B$25+Inputs!$B$29,IF(Skills!C9=2,90+Inputs!$B$26+Inputs!$B$29,IF(Skills!C9=3,120+Inputs!$B$27+Inputs!$B$29,MAX(0,(Inputs!$B$3-100)*3)+Inputs!$B$28+Inputs!$B$29)))</f>
        <v/>
      </c>
      <c r="E1322">
        <f>INDEX(FactorTable!$B$2:$Y$301, MATCH(ROUND(MIN(300,MAX(1,D1322)),0), FactorTable!$A$2:$A$301,0), Skills!M9+1)</f>
        <v/>
      </c>
      <c r="F1322">
        <f>IF(Skills!N9=TRUE,(Skills!L9/10)*(E1322/1000),Skills!L9/10)+Skills!O9</f>
        <v/>
      </c>
      <c r="G1322">
        <f>Skills!G9*IF(Skills!H9&gt;0,INT(IF(Inputs!$B$38="pvp",MIN(Skills!I9,15),Skills!I9)/Skills!H9+0.000000001),1)</f>
        <v/>
      </c>
      <c r="H1322">
        <f>1-(1-Skills!J9/100)^Skills!K9</f>
        <v/>
      </c>
      <c r="I1322" t="inlineStr">
        <is>
          <t>1</t>
        </is>
      </c>
      <c r="J1322">
        <f>((Inputs!$B$6*(1+Inputs!$B$7/100))+(((Inputs!$B$12*(1+Inputs!$B$13/100))-(Inputs!$B$12*(1+Inputs!$B$13/100)))+0.25*(Inputs!$B$14-Inputs!$B$14))*(1+Inputs!$B$7/100))*(F1322/100)</f>
        <v/>
      </c>
      <c r="K1322">
        <f>J1322*(1+((Inputs!$B$12*(1+Inputs!$B$13/100))*0.01+Inputs!$B$14*0.0025)/100)*(1+Inputs!$B$15/100)*(1+Inputs!$B$16/100)*(5000/(6000+Inputs!$B$42*(1-(100*(1-(1-(Inputs!$B$19+0)/100)*(1-CHOOSE(ArtifactsInput!$N$40+1,5,6,7,8,9,10)/100)^(ArtifactsInput!$M$40-ArtifactsInput!$M$40)))/100)))*(1+(Inputs!$B$24+((C1339=TRUE)*(F1339-Calc!F26))+B1350)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IGHT_LEGS_EASTON",Inputs!$B$17+((C1336=TRUE)*(F1336-Calc!F23))+((C1340=TRUE)*(F1340-Calc!F27))+((IF(AND(Inputs!$B$38&lt;&gt;"pvp",Inputs!$B$43=0),1,IF(IF(Inputs!$B$38="pvp",15,Inputs!$B$43)-(B1351)&lt;=0,1,MAX(0,IF(Inputs!$B$38="pvp",15,Inputs!$B$43)-MAX(5,B1351))/(IF(Inputs!$B$38="pvp",15,Inputs!$B$43)-(B1351))))*(IF(AND(ArtifactsInput!$M$42,((Inputs!$B$9+((C1332=TRUE)*(F1332-Calc!F19))+B1344+(ArtifactsInput!$M$24-ArtifactsInput!$M$24)*CHOOSE(ArtifactsInput!$N$24+1,10,12,14,16,18,20)+IF(ArtifactsInput!$M$10,CHOOSE(ArtifactsInput!$N$10+1,15,18,21,24,27,30)*(IF(Inputs!$B$38="pvp",MIN(15,15)/15,IF(AND(Inputs!$B$38&lt;&gt;"pvp",Inputs!$B$43&gt;0),MIN(15,Inputs!$B$43)/(Inputs!$B$43),0))),0)))&gt;=100),MIN(100,((Inputs!$B$9+((C1332=TRUE)*(F1332-Calc!F19))+B1344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1351)&lt;=0,1,MAX(0,IF(Inputs!$B$38="pvp",15,Inputs!$B$43)-MAX(5,B1351))/(IF(Inputs!$B$38="pvp",15,Inputs!$B$43)-(B1351))))*IF(AND(ArtifactsInput!$M$42,((Inputs!$B$9+((C1332=TRUE)*(F1332-Calc!F19))+B1344+(ArtifactsInput!$M$24-ArtifactsInput!$M$24)*CHOOSE(ArtifactsInput!$N$24+1,10,12,14,16,18,20)+IF(ArtifactsInput!$M$10,CHOOSE(ArtifactsInput!$N$10+1,15,18,21,24,27,30)*(IF(Inputs!$B$38="pvp",MIN(15,15)/15,IF(AND(Inputs!$B$38&lt;&gt;"pvp",Inputs!$B$43&gt;0),MIN(15,Inputs!$B$43)/(Inputs!$B$43),0))),0)))&gt;=100),CHOOSE(ArtifactsInput!$N$42+1,40,48,56,64,72,80),0))))/100)*((1+(((C1330=TRUE)*F1330*5/7)+((C1337=TRUE)*(F1337-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1322)</f>
        <v/>
      </c>
      <c r="L1322">
        <f>K1322*(MIN(Inputs!$B$22+((C1335=TRUE)*(F1335-Calc!F22)),(Inputs!$B$23+0+(IF(ArtifactsInput!$M$15,CHOOSE(ArtifactsInput!$N$15+1,25,30,35,40,45,50)/100*(Inputs!$B$11-Inputs!$B$11),0))))/100+(Inputs!$B$23+0+(IF(ArtifactsInput!$M$15,CHOOSE(ArtifactsInput!$N$15+1,25,30,35,40,45,50)/100*(Inputs!$B$11-Inputs!$B$11),0)))/100)/2</f>
        <v/>
      </c>
      <c r="M1322">
        <f>L1322*(1+(Inputs!$B$10+((C1338=TRUE)*(F1338-Calc!F25))+B1349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22">
        <f>L1322*(1-MIN((Inputs!$B$9+((C1332=TRUE)*(F1332-Calc!F19))+B1344+(ArtifactsInput!$M$24-ArtifactsInput!$M$24)*CHOOSE(ArtifactsInput!$N$24+1,10,12,14,16,18,20)+(IF(AND(Inputs!$B$38&lt;&gt;"pvp",Inputs!$B$43=0),1,IF(IF(Inputs!$B$38="pvp",15,Inputs!$B$43)-(B1351)&lt;=0,1,MAX(0,IF(Inputs!$B$38="pvp",15,Inputs!$B$43)-MAX(5,B1351))/(IF(Inputs!$B$38="pvp",15,Inputs!$B$43)-(B1351))))*IF(AND(ArtifactsInput!$M$42,((Inputs!$B$9+((C1332=TRUE)*(F1332-Calc!F19))+B1344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1322*(MIN((Inputs!$B$9+((C1332=TRUE)*(F1332-Calc!F19))+B1344+(ArtifactsInput!$M$24-ArtifactsInput!$M$24)*CHOOSE(ArtifactsInput!$N$24+1,10,12,14,16,18,20)+(IF(AND(Inputs!$B$38&lt;&gt;"pvp",Inputs!$B$43=0),1,IF(IF(Inputs!$B$38="pvp",15,Inputs!$B$43)-(B1351)&lt;=0,1,MAX(0,IF(Inputs!$B$38="pvp",15,Inputs!$B$43)-MAX(5,B1351))/(IF(Inputs!$B$38="pvp",15,Inputs!$B$43)-(B1351))))*IF(AND(ArtifactsInput!$M$42,((Inputs!$B$9+((C1332=TRUE)*(F1332-Calc!F19))+B1344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22">
        <f>(1-Summary!$B$11)*T1322+Summary!$B$11*V1322</f>
        <v/>
      </c>
      <c r="P1322">
        <f>IF(B1354=0,0,O1322/B1354)</f>
        <v/>
      </c>
      <c r="Q1322">
        <f>IFERROR(1/(IF(Inputs!$B$38="pvp",15,MAX(0.1,Skills!D9-IF(TRUE=TRUE,Inputs!$B$32,0)))*(1-IF(AND(ArtifactsInput!$M$27,Inputs!$B$4="Chapter Hunt"),CHOOSE(ArtifactsInput!$N$27+1,20,24,28,32,36,40),0)/100)),0)</f>
        <v/>
      </c>
      <c r="R1322">
        <f>IF(AND(Inputs!$B$38&lt;&gt;"pvp",Inputs!$B$43&gt;0),IF(MAX(0,Inputs!$B$43-B1351)&lt;=0,0,(INT(MAX(0,Inputs!$B$43-B1351)/(IF(Inputs!$B$38="pvp",15,MAX(0.1,Skills!D9-IF(TRUE=TRUE,Inputs!$B$32,0)))*(1-IF(AND(ArtifactsInput!$M$27,Inputs!$B$4="Chapter Hunt"),CHOOSE(ArtifactsInput!$N$27+1,20,24,28,32,36,40),0)/100)))+1)),0)</f>
        <v/>
      </c>
      <c r="S1322">
        <f>IFERROR(O1322/N1322,0)</f>
        <v/>
      </c>
      <c r="T1322">
        <f>IF(C1322,(H1322*N1322*IF(AND(Inputs!$B$38&lt;&gt;"pvp",Inputs!$B$43&gt;0),((Skills!G9*((R1322-1)*IF(Skills!H9&gt;0,INT(Skills!I9/Skills!H9+0.000000001),1)+IF(Skills!H9&gt;0,INT(MIN(Skills!I9,MAX(0,MAX(0,Inputs!$B$43-B1351)-((R1322-1)*(IF(Inputs!$B$38="pvp",15,MAX(0.1,Skills!D9-IF(TRUE=TRUE,Inputs!$B$32,0)))*(1-IF(AND(ArtifactsInput!$M$27,Inputs!$B$4="Chapter Hunt"),CHOOSE(ArtifactsInput!$N$27+1,20,24,28,32,36,40),0)/100)))))/Skills!H9+0.000000001),1)))/Inputs!$B$43),G1322*Q1322))*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Hunt"),CHOOSE(ArtifactsInput!$N$35+1,15,18,21,24,27,30)*(1-EXP(-(0.2*B1346)*5)),0)+IF(AND(ArtifactsInput!$M$22,Inputs!$B$4&lt;&gt;"Chapter Hunt"),CHOOSE(ArtifactsInput!$N$22+1,10,12,14,16,18,20)*((0*(((0.15*B1346*5))^0/1)+1*(((0.15*B1346*5))^1/1)+2*(((0.15*B1346*5))^2/2)+3*(((0.15*B1346*5))^3/6)+4*(((0.15*B1346*5))^4/24)+5*(((0.15*B1346*5))^5/120))/((((0.15*B1346*5))^0/1)+(((0.15*B1346*5))^1/1)+(((0.15*B1346*5))^2/2)+(((0.15*B1346*5))^3/6)+(((0.15*B1346*5))^4/24)+(((0.15*B1346*5))^5/120))),0))+IF(Inputs!$B$3&gt;=54,9*(C1316=TRUE)*MIN(1,8*(1+Inputs!$B$34/100)*Q1316)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1322*(1-MIN(100,(Inputs!$B$9+((C1332=TRUE)*(F1332-Calc!F19))+B1344+(ArtifactsInput!$M$24-ArtifactsInput!$M$24)*CHOOSE(ArtifactsInput!$N$24+1,10,12,14,16,18,20)+(IF(AND(Inputs!$B$38&lt;&gt;"pvp",Inputs!$B$43=0),1,IF(IF(Inputs!$B$38="pvp",15,Inputs!$B$43)-(B1351)&lt;=0,1,MAX(0,IF(Inputs!$B$38="pvp",15,Inputs!$B$43)-MAX(5,B1351))/(IF(Inputs!$B$38="pvp",15,Inputs!$B$43)-(B1351))))*IF(AND(ArtifactsInput!$M$42,((Inputs!$B$9+((C1332=TRUE)*(F1332-Calc!F19))+B1344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1322*(MIN(100,(Inputs!$B$9+((C1332=TRUE)*(F1332-Calc!F19))+B1344+(ArtifactsInput!$M$24-ArtifactsInput!$M$24)*CHOOSE(ArtifactsInput!$N$24+1,10,12,14,16,18,20)+(IF(AND(Inputs!$B$38&lt;&gt;"pvp",Inputs!$B$43=0),1,IF(IF(Inputs!$B$38="pvp",15,Inputs!$B$43)-(B1351)&lt;=0,1,MAX(0,IF(Inputs!$B$38="pvp",15,Inputs!$B$43)-MAX(5,B1351))/(IF(Inputs!$B$38="pvp",15,Inputs!$B$43)-(B1351))))*IF(AND(ArtifactsInput!$M$42,((Inputs!$B$9+((C1332=TRUE)*(F1332-Calc!F19))+B1344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1322*(1-MIN(100,(Inputs!$B$9+((C1332=TRUE)*(F1332-Calc!F19))+B1344+(ArtifactsInput!$M$24-ArtifactsInput!$M$24)*CHOOSE(ArtifactsInput!$N$24+1,10,12,14,16,18,20)+(IF(AND(Inputs!$B$38&lt;&gt;"pvp",Inputs!$B$43=0),1,IF(IF(Inputs!$B$38="pvp",15,Inputs!$B$43)-(B1351)&lt;=0,1,MAX(0,IF(Inputs!$B$38="pvp",15,Inputs!$B$43)-MAX(5,B1351))/(IF(Inputs!$B$38="pvp",15,Inputs!$B$43)-(B1351))))*IF(AND(ArtifactsInput!$M$42,((Inputs!$B$9+((C1332=TRUE)*(F1332-Calc!F19))+B1344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1322*(MIN(100,(Inputs!$B$9+((C1332=TRUE)*(F1332-Calc!F19))+B1344+(ArtifactsInput!$M$24-ArtifactsInput!$M$24)*CHOOSE(ArtifactsInput!$N$24+1,10,12,14,16,18,20)+(IF(AND(Inputs!$B$38&lt;&gt;"pvp",Inputs!$B$43=0),1,IF(IF(Inputs!$B$38="pvp",15,Inputs!$B$43)-(B1351)&lt;=0,1,MAX(0,IF(Inputs!$B$38="pvp",15,Inputs!$B$43)-MAX(5,B1351))/(IF(Inputs!$B$38="pvp",15,Inputs!$B$43)-(B1351))))*IF(AND(ArtifactsInput!$M$42,((Inputs!$B$9+((C1332=TRUE)*(F1332-Calc!F19))+B1344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322">
        <f>IF(C1322,(H1322*N1322*IF(AND(Inputs!$B$38&lt;&gt;"pvp",Inputs!$B$43&gt;0),((Skills!G9*((R1322-1)*IF(Skills!H9&gt;0,INT(Skills!I9/Skills!H9+0.000000001),1)+IF(Skills!H9&gt;0,INT(MIN(Skills!I9,MAX(0,MAX(0,Inputs!$B$43-B1351)-((R1322-1)*(IF(Inputs!$B$38="pvp",15,MAX(0.1,Skills!D9-IF(TRUE=TRUE,Inputs!$B$32,0)))*(1-IF(AND(ArtifactsInput!$M$27,Inputs!$B$4="Chapter Hunt"),CHOOSE(ArtifactsInput!$N$27+1,20,24,28,32,36,40),0)/100)))))/Skills!H9+0.000000001),1)))/Inputs!$B$43),G1322*Q1322))*IF(Inputs!$B$38="pvp",1,(1+(Inputs!$B$21+Skills!Q9+(IF(ArtifactsInput!$M$33,CHOOSE(ArtifactsInput!$N$33+1,30,36,42,48,54,60),0))+(IF(AND(ArtifactsInput!$M$35,Inputs!$B$4&lt;&gt;"Chapter Hunt"),CHOOSE(ArtifactsInput!$N$35+1,15,18,21,24,27,30)*(1-EXP(-(0.2*B1346)*5)),0)+IF(AND(ArtifactsInput!$M$22,Inputs!$B$4&lt;&gt;"Chapter Hunt"),CHOOSE(ArtifactsInput!$N$22+1,10,12,14,16,18,20)*((0*(((0.15*B1346*5))^0/1)+1*(((0.15*B1346*5))^1/1)+2*(((0.15*B1346*5))^2/2)+3*(((0.15*B1346*5))^3/6)+4*(((0.15*B1346*5))^4/24)+5*(((0.15*B1346*5))^5/120))/((((0.15*B1346*5))^0/1)+(((0.15*B1346*5))^1/1)+(((0.15*B1346*5))^2/2)+(((0.15*B1346*5))^3/6)+(((0.15*B1346*5))^4/24)+(((0.15*B1346*5))^5/120))),0))+IF(Inputs!$B$3&gt;=54,9*(C1316=TRUE)*MIN(1,8*(1+Inputs!$B$34/100)*Q1316),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23">
      <c r="A1323">
        <f>Skills!A10</f>
        <v/>
      </c>
      <c r="B1323">
        <f>Skills!B10</f>
        <v/>
      </c>
      <c r="C1323">
        <f>Inputs!$B$3&gt;=113</f>
        <v/>
      </c>
      <c r="D1323">
        <f>IF(Skills!C10=1,60+Inputs!$B$25+Inputs!$B$29,IF(Skills!C10=2,90+Inputs!$B$26+Inputs!$B$29,IF(Skills!C10=3,120+Inputs!$B$27+Inputs!$B$29,MAX(0,(Inputs!$B$3-100)*3)+Inputs!$B$28+Inputs!$B$29)))</f>
        <v/>
      </c>
      <c r="E1323">
        <f>INDEX(FactorTable!$B$2:$Y$301, MATCH(ROUND(MIN(300,MAX(1,D1323)),0), FactorTable!$A$2:$A$301,0), Skills!M10+1)</f>
        <v/>
      </c>
      <c r="F1323">
        <f>IF(Skills!N10=TRUE,(Skills!L10/10)*(E1323/1000),Skills!L10/10)+Skills!O10</f>
        <v/>
      </c>
      <c r="G1323">
        <f>Skills!G10*IF(Skills!H10&gt;0,INT(IF(Inputs!$B$38="pvp",MIN(Skills!I10,15),Skills!I10)/Skills!H10+0.000000001),1)</f>
        <v/>
      </c>
      <c r="H1323">
        <f>1-(1-Skills!J10/100)^Skills!K10</f>
        <v/>
      </c>
      <c r="I1323" t="inlineStr">
        <is>
          <t>1</t>
        </is>
      </c>
      <c r="J1323">
        <f>((Inputs!$B$6*(1+Inputs!$B$7/100))+(((Inputs!$B$12*(1+Inputs!$B$13/100))-(Inputs!$B$12*(1+Inputs!$B$13/100)))+0.25*(Inputs!$B$14-Inputs!$B$14))*(1+Inputs!$B$7/100))*(F1323/100)</f>
        <v/>
      </c>
      <c r="K1323">
        <f>J1323*(1+((Inputs!$B$12*(1+Inputs!$B$13/100))*0.01+Inputs!$B$14*0.0025)/100)*(1+Inputs!$B$15/100)*(1+Inputs!$B$16/100)*(5000/(6000+Inputs!$B$42*(1-(100*(1-(1-(Inputs!$B$19+0)/100)*(1-CHOOSE(ArtifactsInput!$N$40+1,5,6,7,8,9,10)/100)^(ArtifactsInput!$M$40-ArtifactsInput!$M$40)))/100)))*(1+(Inputs!$B$24+((C1339=TRUE)*(F1339-Calc!F26))+B1350)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IGHT_LEGS_EASTON",Inputs!$B$17+((C1336=TRUE)*(F1336-Calc!F23))+((C1340=TRUE)*(F1340-Calc!F27))+((IF(AND(Inputs!$B$38&lt;&gt;"pvp",Inputs!$B$43=0),1,IF(IF(Inputs!$B$38="pvp",15,Inputs!$B$43)-(B1351)&lt;=0,1,MAX(0,IF(Inputs!$B$38="pvp",15,Inputs!$B$43)-MAX(5,B1351))/(IF(Inputs!$B$38="pvp",15,Inputs!$B$43)-(B1351))))*(IF(AND(ArtifactsInput!$M$42,((Inputs!$B$9+((C1332=TRUE)*(F1332-Calc!F19))+B1344+(ArtifactsInput!$M$24-ArtifactsInput!$M$24)*CHOOSE(ArtifactsInput!$N$24+1,10,12,14,16,18,20)+IF(ArtifactsInput!$M$10,CHOOSE(ArtifactsInput!$N$10+1,15,18,21,24,27,30)*(IF(Inputs!$B$38="pvp",MIN(15,15)/15,IF(AND(Inputs!$B$38&lt;&gt;"pvp",Inputs!$B$43&gt;0),MIN(15,Inputs!$B$43)/(Inputs!$B$43),0))),0)))&gt;=100),MIN(100,((Inputs!$B$9+((C1332=TRUE)*(F1332-Calc!F19))+B1344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1351)&lt;=0,1,MAX(0,IF(Inputs!$B$38="pvp",15,Inputs!$B$43)-MAX(5,B1351))/(IF(Inputs!$B$38="pvp",15,Inputs!$B$43)-(B1351))))*IF(AND(ArtifactsInput!$M$42,((Inputs!$B$9+((C1332=TRUE)*(F1332-Calc!F19))+B1344+(ArtifactsInput!$M$24-ArtifactsInput!$M$24)*CHOOSE(ArtifactsInput!$N$24+1,10,12,14,16,18,20)+IF(ArtifactsInput!$M$10,CHOOSE(ArtifactsInput!$N$10+1,15,18,21,24,27,30)*(IF(Inputs!$B$38="pvp",MIN(15,15)/15,IF(AND(Inputs!$B$38&lt;&gt;"pvp",Inputs!$B$43&gt;0),MIN(15,Inputs!$B$43)/(Inputs!$B$43),0))),0)))&gt;=100),CHOOSE(ArtifactsInput!$N$42+1,40,48,56,64,72,80),0))))/100)*((1+(((C1330=TRUE)*F1330*5/7)+((C1337=TRUE)*(F1337-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1323)</f>
        <v/>
      </c>
      <c r="L1323">
        <f>K1323*(MIN(Inputs!$B$22+((C1335=TRUE)*(F1335-Calc!F22)),(Inputs!$B$23+0+(IF(ArtifactsInput!$M$15,CHOOSE(ArtifactsInput!$N$15+1,25,30,35,40,45,50)/100*(Inputs!$B$11-Inputs!$B$11),0))))/100+(Inputs!$B$23+0+(IF(ArtifactsInput!$M$15,CHOOSE(ArtifactsInput!$N$15+1,25,30,35,40,45,50)/100*(Inputs!$B$11-Inputs!$B$11),0)))/100)/2</f>
        <v/>
      </c>
      <c r="M1323">
        <f>L1323*(1+(Inputs!$B$10+((C1338=TRUE)*(F1338-Calc!F25))+B1349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23">
        <f>L1323*(1-MIN((Inputs!$B$9+((C1332=TRUE)*(F1332-Calc!F19))+B1344+(ArtifactsInput!$M$24-ArtifactsInput!$M$24)*CHOOSE(ArtifactsInput!$N$24+1,10,12,14,16,18,20)+(IF(AND(Inputs!$B$38&lt;&gt;"pvp",Inputs!$B$43=0),1,IF(IF(Inputs!$B$38="pvp",15,Inputs!$B$43)-(B1351)&lt;=0,1,MAX(0,IF(Inputs!$B$38="pvp",15,Inputs!$B$43)-MAX(5,B1351))/(IF(Inputs!$B$38="pvp",15,Inputs!$B$43)-(B1351))))*IF(AND(ArtifactsInput!$M$42,((Inputs!$B$9+((C1332=TRUE)*(F1332-Calc!F19))+B1344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1323*(MIN((Inputs!$B$9+((C1332=TRUE)*(F1332-Calc!F19))+B1344+(ArtifactsInput!$M$24-ArtifactsInput!$M$24)*CHOOSE(ArtifactsInput!$N$24+1,10,12,14,16,18,20)+(IF(AND(Inputs!$B$38&lt;&gt;"pvp",Inputs!$B$43=0),1,IF(IF(Inputs!$B$38="pvp",15,Inputs!$B$43)-(B1351)&lt;=0,1,MAX(0,IF(Inputs!$B$38="pvp",15,Inputs!$B$43)-MAX(5,B1351))/(IF(Inputs!$B$38="pvp",15,Inputs!$B$43)-(B1351))))*IF(AND(ArtifactsInput!$M$42,((Inputs!$B$9+((C1332=TRUE)*(F1332-Calc!F19))+B1344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23">
        <f>(1-Summary!$B$11)*T1323+Summary!$B$11*V1323</f>
        <v/>
      </c>
      <c r="P1323">
        <f>IF(B1354=0,0,O1323/B1354)</f>
        <v/>
      </c>
      <c r="Q1323" t="n">
        <v>0</v>
      </c>
      <c r="R1323" t="n">
        <v>0</v>
      </c>
      <c r="S1323">
        <f>IFERROR(O1323/N1323,0)</f>
        <v/>
      </c>
      <c r="T1323">
        <f>IF(C1323,((H1323*B1356)/(1+Skills!H10*H1323*B1356)*N1323)*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Hunt"),CHOOSE(ArtifactsInput!$N$35+1,15,18,21,24,27,30)*(1-EXP(-(0.2*B1346)*5)),0)+IF(AND(ArtifactsInput!$M$22,Inputs!$B$4&lt;&gt;"Chapter Hunt"),CHOOSE(ArtifactsInput!$N$22+1,10,12,14,16,18,20)*((0*(((0.15*B1346*5))^0/1)+1*(((0.15*B1346*5))^1/1)+2*(((0.15*B1346*5))^2/2)+3*(((0.15*B1346*5))^3/6)+4*(((0.15*B1346*5))^4/24)+5*(((0.15*B1346*5))^5/120))/((((0.15*B1346*5))^0/1)+(((0.15*B1346*5))^1/1)+(((0.15*B1346*5))^2/2)+(((0.15*B1346*5))^3/6)+(((0.15*B1346*5))^4/24)+(((0.15*B1346*5))^5/120))),0))+IF(Inputs!$B$3&gt;=54,9*(C1316=TRUE)*MIN(1,8*(1+Inputs!$B$34/100)*Q1316)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1323*(1-MIN(100,(Inputs!$B$9+((C1332=TRUE)*(F1332-Calc!F19))+B1344+(ArtifactsInput!$M$24-ArtifactsInput!$M$24)*CHOOSE(ArtifactsInput!$N$24+1,10,12,14,16,18,20)+(IF(AND(Inputs!$B$38&lt;&gt;"pvp",Inputs!$B$43=0),1,IF(IF(Inputs!$B$38="pvp",15,Inputs!$B$43)-(B1351)&lt;=0,1,MAX(0,IF(Inputs!$B$38="pvp",15,Inputs!$B$43)-MAX(5,B1351))/(IF(Inputs!$B$38="pvp",15,Inputs!$B$43)-(B1351))))*IF(AND(ArtifactsInput!$M$42,((Inputs!$B$9+((C1332=TRUE)*(F1332-Calc!F19))+B1344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1323*(MIN(100,(Inputs!$B$9+((C1332=TRUE)*(F1332-Calc!F19))+B1344+(ArtifactsInput!$M$24-ArtifactsInput!$M$24)*CHOOSE(ArtifactsInput!$N$24+1,10,12,14,16,18,20)+(IF(AND(Inputs!$B$38&lt;&gt;"pvp",Inputs!$B$43=0),1,IF(IF(Inputs!$B$38="pvp",15,Inputs!$B$43)-(B1351)&lt;=0,1,MAX(0,IF(Inputs!$B$38="pvp",15,Inputs!$B$43)-MAX(5,B1351))/(IF(Inputs!$B$38="pvp",15,Inputs!$B$43)-(B1351))))*IF(AND(ArtifactsInput!$M$42,((Inputs!$B$9+((C1332=TRUE)*(F1332-Calc!F19))+B1344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1323*(1-MIN(100,(Inputs!$B$9+((C1332=TRUE)*(F1332-Calc!F19))+B1344+(ArtifactsInput!$M$24-ArtifactsInput!$M$24)*CHOOSE(ArtifactsInput!$N$24+1,10,12,14,16,18,20)+(IF(AND(Inputs!$B$38&lt;&gt;"pvp",Inputs!$B$43=0),1,IF(IF(Inputs!$B$38="pvp",15,Inputs!$B$43)-(B1351)&lt;=0,1,MAX(0,IF(Inputs!$B$38="pvp",15,Inputs!$B$43)-MAX(5,B1351))/(IF(Inputs!$B$38="pvp",15,Inputs!$B$43)-(B1351))))*IF(AND(ArtifactsInput!$M$42,((Inputs!$B$9+((C1332=TRUE)*(F1332-Calc!F19))+B1344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1323*(MIN(100,(Inputs!$B$9+((C1332=TRUE)*(F1332-Calc!F19))+B1344+(ArtifactsInput!$M$24-ArtifactsInput!$M$24)*CHOOSE(ArtifactsInput!$N$24+1,10,12,14,16,18,20)+(IF(AND(Inputs!$B$38&lt;&gt;"pvp",Inputs!$B$43=0),1,IF(IF(Inputs!$B$38="pvp",15,Inputs!$B$43)-(B1351)&lt;=0,1,MAX(0,IF(Inputs!$B$38="pvp",15,Inputs!$B$43)-MAX(5,B1351))/(IF(Inputs!$B$38="pvp",15,Inputs!$B$43)-(B1351))))*IF(AND(ArtifactsInput!$M$42,((Inputs!$B$9+((C1332=TRUE)*(F1332-Calc!F19))+B1344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323">
        <f>IF(C1323,((H1323*B1356)/(1+Skills!H10*H1323*B1356)*N1323)*IF(Inputs!$B$38="pvp",1,(1+(Inputs!$B$21+Skills!Q10+(IF(ArtifactsInput!$M$33,CHOOSE(ArtifactsInput!$N$33+1,30,36,42,48,54,60),0))+(IF(AND(ArtifactsInput!$M$35,Inputs!$B$4&lt;&gt;"Chapter Hunt"),CHOOSE(ArtifactsInput!$N$35+1,15,18,21,24,27,30)*(1-EXP(-(0.2*B1346)*5)),0)+IF(AND(ArtifactsInput!$M$22,Inputs!$B$4&lt;&gt;"Chapter Hunt"),CHOOSE(ArtifactsInput!$N$22+1,10,12,14,16,18,20)*((0*(((0.15*B1346*5))^0/1)+1*(((0.15*B1346*5))^1/1)+2*(((0.15*B1346*5))^2/2)+3*(((0.15*B1346*5))^3/6)+4*(((0.15*B1346*5))^4/24)+5*(((0.15*B1346*5))^5/120))/((((0.15*B1346*5))^0/1)+(((0.15*B1346*5))^1/1)+(((0.15*B1346*5))^2/2)+(((0.15*B1346*5))^3/6)+(((0.15*B1346*5))^4/24)+(((0.15*B1346*5))^5/120))),0))+IF(Inputs!$B$3&gt;=54,9*(C1316=TRUE)*MIN(1,8*(1+Inputs!$B$34/100)*Q1316),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24">
      <c r="A1324">
        <f>Skills!A11</f>
        <v/>
      </c>
      <c r="B1324">
        <f>Skills!B11</f>
        <v/>
      </c>
      <c r="C1324">
        <f>Inputs!$B$3&gt;=117</f>
        <v/>
      </c>
      <c r="D1324">
        <f>IF(Skills!C11=1,60+Inputs!$B$25+Inputs!$B$29,IF(Skills!C11=2,90+Inputs!$B$26+Inputs!$B$29,IF(Skills!C11=3,120+Inputs!$B$27+Inputs!$B$29,MAX(0,(Inputs!$B$3-100)*3)+Inputs!$B$28+Inputs!$B$29)))</f>
        <v/>
      </c>
      <c r="E1324">
        <f>INDEX(FactorTable!$B$2:$Y$301, MATCH(ROUND(MIN(300,MAX(1,D1324)),0), FactorTable!$A$2:$A$301,0), Skills!M11+1)</f>
        <v/>
      </c>
      <c r="F1324">
        <f>IF(Skills!N11=TRUE,(Skills!L11/10)*(E1324/1000),Skills!L11/10)+Skills!O11</f>
        <v/>
      </c>
      <c r="G1324">
        <f>Skills!G11*IF(Skills!H11&gt;0,INT(IF(Inputs!$B$38="pvp",MIN(Skills!I11,15),Skills!I11)/Skills!H11+0.000000001),1)</f>
        <v/>
      </c>
      <c r="H1324">
        <f>1-(1-Skills!J11/100)^Skills!K11</f>
        <v/>
      </c>
      <c r="I1324" t="inlineStr">
        <is>
          <t>1</t>
        </is>
      </c>
      <c r="J1324">
        <f>((Inputs!$B$6*(1+Inputs!$B$7/100))+(((Inputs!$B$12*(1+Inputs!$B$13/100))-(Inputs!$B$12*(1+Inputs!$B$13/100)))+0.25*(Inputs!$B$14-Inputs!$B$14))*(1+Inputs!$B$7/100))*(F1324/100)</f>
        <v/>
      </c>
      <c r="K1324">
        <f>J1324*(1+((Inputs!$B$12*(1+Inputs!$B$13/100))*0.01+Inputs!$B$14*0.0025)/100)*(1+Inputs!$B$15/100)*(1+Inputs!$B$16/100)*(5000/(6000+Inputs!$B$42*(1-(100*(1-(1-(Inputs!$B$19+0)/100)*(1-CHOOSE(ArtifactsInput!$N$40+1,5,6,7,8,9,10)/100)^(ArtifactsInput!$M$40-ArtifactsInput!$M$40)))/100)))*(1+(Inputs!$B$24+((C1339=TRUE)*(F1339-Calc!F26))+B1350)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IGHT_LEGS_EASTON",Inputs!$B$17+((C1336=TRUE)*(F1336-Calc!F23))+((C1340=TRUE)*(F1340-Calc!F27))+((IF(AND(Inputs!$B$38&lt;&gt;"pvp",Inputs!$B$43=0),1,IF(IF(Inputs!$B$38="pvp",15,Inputs!$B$43)-(B1351)&lt;=0,1,MAX(0,IF(Inputs!$B$38="pvp",15,Inputs!$B$43)-MAX(5,B1351))/(IF(Inputs!$B$38="pvp",15,Inputs!$B$43)-(B1351))))*(IF(AND(ArtifactsInput!$M$42,((Inputs!$B$9+((C1332=TRUE)*(F1332-Calc!F19))+B1344+(ArtifactsInput!$M$24-ArtifactsInput!$M$24)*CHOOSE(ArtifactsInput!$N$24+1,10,12,14,16,18,20)+IF(ArtifactsInput!$M$10,CHOOSE(ArtifactsInput!$N$10+1,15,18,21,24,27,30)*(IF(Inputs!$B$38="pvp",MIN(15,15)/15,IF(AND(Inputs!$B$38&lt;&gt;"pvp",Inputs!$B$43&gt;0),MIN(15,Inputs!$B$43)/(Inputs!$B$43),0))),0)))&gt;=100),MIN(100,((Inputs!$B$9+((C1332=TRUE)*(F1332-Calc!F19))+B1344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1351)&lt;=0,1,MAX(0,IF(Inputs!$B$38="pvp",15,Inputs!$B$43)-MAX(5,B1351))/(IF(Inputs!$B$38="pvp",15,Inputs!$B$43)-(B1351))))*IF(AND(ArtifactsInput!$M$42,((Inputs!$B$9+((C1332=TRUE)*(F1332-Calc!F19))+B1344+(ArtifactsInput!$M$24-ArtifactsInput!$M$24)*CHOOSE(ArtifactsInput!$N$24+1,10,12,14,16,18,20)+IF(ArtifactsInput!$M$10,CHOOSE(ArtifactsInput!$N$10+1,15,18,21,24,27,30)*(IF(Inputs!$B$38="pvp",MIN(15,15)/15,IF(AND(Inputs!$B$38&lt;&gt;"pvp",Inputs!$B$43&gt;0),MIN(15,Inputs!$B$43)/(Inputs!$B$43),0))),0)))&gt;=100),CHOOSE(ArtifactsInput!$N$42+1,40,48,56,64,72,80),0))))/100)*((1+(((C1330=TRUE)*F1330*5/7)+((C1337=TRUE)*(F1337-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1324)</f>
        <v/>
      </c>
      <c r="L1324">
        <f>K1324*(MIN(Inputs!$B$22+((C1335=TRUE)*(F1335-Calc!F22)),(Inputs!$B$23+0+(IF(ArtifactsInput!$M$15,CHOOSE(ArtifactsInput!$N$15+1,25,30,35,40,45,50)/100*(Inputs!$B$11-Inputs!$B$11),0))))/100+(Inputs!$B$23+0+(IF(ArtifactsInput!$M$15,CHOOSE(ArtifactsInput!$N$15+1,25,30,35,40,45,50)/100*(Inputs!$B$11-Inputs!$B$11),0)))/100)/2</f>
        <v/>
      </c>
      <c r="M1324">
        <f>L1324*(1+(Inputs!$B$10+((C1338=TRUE)*(F1338-Calc!F25))+B1349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24">
        <f>L1324*(1-MIN((Inputs!$B$9+((C1332=TRUE)*(F1332-Calc!F19))+B1344+(ArtifactsInput!$M$24-ArtifactsInput!$M$24)*CHOOSE(ArtifactsInput!$N$24+1,10,12,14,16,18,20)+(IF(AND(Inputs!$B$38&lt;&gt;"pvp",Inputs!$B$43=0),1,IF(IF(Inputs!$B$38="pvp",15,Inputs!$B$43)-(B1351)&lt;=0,1,MAX(0,IF(Inputs!$B$38="pvp",15,Inputs!$B$43)-MAX(5,B1351))/(IF(Inputs!$B$38="pvp",15,Inputs!$B$43)-(B1351))))*IF(AND(ArtifactsInput!$M$42,((Inputs!$B$9+((C1332=TRUE)*(F1332-Calc!F19))+B1344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1324*(MIN((Inputs!$B$9+((C1332=TRUE)*(F1332-Calc!F19))+B1344+(ArtifactsInput!$M$24-ArtifactsInput!$M$24)*CHOOSE(ArtifactsInput!$N$24+1,10,12,14,16,18,20)+(IF(AND(Inputs!$B$38&lt;&gt;"pvp",Inputs!$B$43=0),1,IF(IF(Inputs!$B$38="pvp",15,Inputs!$B$43)-(B1351)&lt;=0,1,MAX(0,IF(Inputs!$B$38="pvp",15,Inputs!$B$43)-MAX(5,B1351))/(IF(Inputs!$B$38="pvp",15,Inputs!$B$43)-(B1351))))*IF(AND(ArtifactsInput!$M$42,((Inputs!$B$9+((C1332=TRUE)*(F1332-Calc!F19))+B1344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24">
        <f>(1-Summary!$B$11)*T1324+Summary!$B$11*V1324</f>
        <v/>
      </c>
      <c r="P1324">
        <f>IF(B1354=0,0,O1324/B1354)</f>
        <v/>
      </c>
      <c r="Q1324">
        <f>IFERROR(1/((IF(Inputs!$B$38="pvp",15,MAX(0.1,Skills!D11-IF(TRUE=TRUE,Inputs!$B$32,0)))*(1-IF(AND(ArtifactsInput!$M$27,Inputs!$B$4="Chapter Hunt"),CHOOSE(ArtifactsInput!$N$27+1,20,24,28,32,36,40),0)/100))/B1355),0)</f>
        <v/>
      </c>
      <c r="R1324">
        <f>IF(AND(Inputs!$B$38&lt;&gt;"pvp",Inputs!$B$43&gt;0),IF(MAX(0,Inputs!$B$43-B1351)&lt;=0,0,(INT(MAX(0,Inputs!$B$43-B1351)/((IF(Inputs!$B$38="pvp",15,MAX(0.1,Skills!D11-IF(TRUE=TRUE,Inputs!$B$32,0)))*(1-IF(AND(ArtifactsInput!$M$27,Inputs!$B$4="Chapter Hunt"),CHOOSE(ArtifactsInput!$N$27+1,20,24,28,32,36,40),0)/100))/B1355))+1)),0)</f>
        <v/>
      </c>
      <c r="S1324">
        <f>IFERROR(O1324/N1324,0)</f>
        <v/>
      </c>
      <c r="T1324">
        <f>IF(C1324,(H1324*N1324*IF(AND(Inputs!$B$38&lt;&gt;"pvp",Inputs!$B$43&gt;0),((Skills!G11*((R1324-1)*IF(Skills!H11&gt;0,INT(Skills!I11/Skills!H11+0.000000001),1)+IF(Skills!H11&gt;0,INT(MIN(Skills!I11,MAX(0,MAX(0,Inputs!$B$43-B1351)-((R1324-1)*((IF(Inputs!$B$38="pvp",15,MAX(0.1,Skills!D11-IF(TRUE=TRUE,Inputs!$B$32,0)))*(1-IF(AND(ArtifactsInput!$M$27,Inputs!$B$4="Chapter Hunt"),CHOOSE(ArtifactsInput!$N$27+1,20,24,28,32,36,40),0)/100))/B1355))))/Skills!H11+0.000000001),1)))/Inputs!$B$43),G1324*Q1324))*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Hunt"),CHOOSE(ArtifactsInput!$N$35+1,15,18,21,24,27,30)*(1-EXP(-(0.2*B1346)*5)),0)+IF(AND(ArtifactsInput!$M$22,Inputs!$B$4&lt;&gt;"Chapter Hunt"),CHOOSE(ArtifactsInput!$N$22+1,10,12,14,16,18,20)*((0*(((0.15*B1346*5))^0/1)+1*(((0.15*B1346*5))^1/1)+2*(((0.15*B1346*5))^2/2)+3*(((0.15*B1346*5))^3/6)+4*(((0.15*B1346*5))^4/24)+5*(((0.15*B1346*5))^5/120))/((((0.15*B1346*5))^0/1)+(((0.15*B1346*5))^1/1)+(((0.15*B1346*5))^2/2)+(((0.15*B1346*5))^3/6)+(((0.15*B1346*5))^4/24)+(((0.15*B1346*5))^5/120))),0))+IF(Inputs!$B$3&gt;=54,9*(C1316=TRUE)*MIN(1,8*(1+Inputs!$B$34/100)*Q1316)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1324*(1-MIN(100,(Inputs!$B$9+((C1332=TRUE)*(F1332-Calc!F19))+B1344+(ArtifactsInput!$M$24-ArtifactsInput!$M$24)*CHOOSE(ArtifactsInput!$N$24+1,10,12,14,16,18,20)+(IF(AND(Inputs!$B$38&lt;&gt;"pvp",Inputs!$B$43=0),1,IF(IF(Inputs!$B$38="pvp",15,Inputs!$B$43)-(B1351)&lt;=0,1,MAX(0,IF(Inputs!$B$38="pvp",15,Inputs!$B$43)-MAX(5,B1351))/(IF(Inputs!$B$38="pvp",15,Inputs!$B$43)-(B1351))))*IF(AND(ArtifactsInput!$M$42,((Inputs!$B$9+((C1332=TRUE)*(F1332-Calc!F19))+B1344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1324*(MIN(100,(Inputs!$B$9+((C1332=TRUE)*(F1332-Calc!F19))+B1344+(ArtifactsInput!$M$24-ArtifactsInput!$M$24)*CHOOSE(ArtifactsInput!$N$24+1,10,12,14,16,18,20)+(IF(AND(Inputs!$B$38&lt;&gt;"pvp",Inputs!$B$43=0),1,IF(IF(Inputs!$B$38="pvp",15,Inputs!$B$43)-(B1351)&lt;=0,1,MAX(0,IF(Inputs!$B$38="pvp",15,Inputs!$B$43)-MAX(5,B1351))/(IF(Inputs!$B$38="pvp",15,Inputs!$B$43)-(B1351))))*IF(AND(ArtifactsInput!$M$42,((Inputs!$B$9+((C1332=TRUE)*(F1332-Calc!F19))+B1344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1324*(1-MIN(100,(Inputs!$B$9+((C1332=TRUE)*(F1332-Calc!F19))+B1344+(ArtifactsInput!$M$24-ArtifactsInput!$M$24)*CHOOSE(ArtifactsInput!$N$24+1,10,12,14,16,18,20)+(IF(AND(Inputs!$B$38&lt;&gt;"pvp",Inputs!$B$43=0),1,IF(IF(Inputs!$B$38="pvp",15,Inputs!$B$43)-(B1351)&lt;=0,1,MAX(0,IF(Inputs!$B$38="pvp",15,Inputs!$B$43)-MAX(5,B1351))/(IF(Inputs!$B$38="pvp",15,Inputs!$B$43)-(B1351))))*IF(AND(ArtifactsInput!$M$42,((Inputs!$B$9+((C1332=TRUE)*(F1332-Calc!F19))+B1344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1324*(MIN(100,(Inputs!$B$9+((C1332=TRUE)*(F1332-Calc!F19))+B1344+(ArtifactsInput!$M$24-ArtifactsInput!$M$24)*CHOOSE(ArtifactsInput!$N$24+1,10,12,14,16,18,20)+(IF(AND(Inputs!$B$38&lt;&gt;"pvp",Inputs!$B$43=0),1,IF(IF(Inputs!$B$38="pvp",15,Inputs!$B$43)-(B1351)&lt;=0,1,MAX(0,IF(Inputs!$B$38="pvp",15,Inputs!$B$43)-MAX(5,B1351))/(IF(Inputs!$B$38="pvp",15,Inputs!$B$43)-(B1351))))*IF(AND(ArtifactsInput!$M$42,((Inputs!$B$9+((C1332=TRUE)*(F1332-Calc!F19))+B1344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324">
        <f>IF(C1324,(H1324*N1324*IF(AND(Inputs!$B$38&lt;&gt;"pvp",Inputs!$B$43&gt;0),((Skills!G11*((R1324-1)*IF(Skills!H11&gt;0,INT(Skills!I11/Skills!H11+0.000000001),1)+IF(Skills!H11&gt;0,INT(MIN(Skills!I11,MAX(0,MAX(0,Inputs!$B$43-B1351)-((R1324-1)*((IF(Inputs!$B$38="pvp",15,MAX(0.1,Skills!D11-IF(TRUE=TRUE,Inputs!$B$32,0)))*(1-IF(AND(ArtifactsInput!$M$27,Inputs!$B$4="Chapter Hunt"),CHOOSE(ArtifactsInput!$N$27+1,20,24,28,32,36,40),0)/100))/B1355))))/Skills!H11+0.000000001),1)))/Inputs!$B$43),G1324*Q1324))*IF(Inputs!$B$38="pvp",1,(1+(Inputs!$B$21+Skills!Q11+(IF(ArtifactsInput!$M$33,CHOOSE(ArtifactsInput!$N$33+1,30,36,42,48,54,60),0))+(IF(AND(ArtifactsInput!$M$35,Inputs!$B$4&lt;&gt;"Chapter Hunt"),CHOOSE(ArtifactsInput!$N$35+1,15,18,21,24,27,30)*(1-EXP(-(0.2*B1346)*5)),0)+IF(AND(ArtifactsInput!$M$22,Inputs!$B$4&lt;&gt;"Chapter Hunt"),CHOOSE(ArtifactsInput!$N$22+1,10,12,14,16,18,20)*((0*(((0.15*B1346*5))^0/1)+1*(((0.15*B1346*5))^1/1)+2*(((0.15*B1346*5))^2/2)+3*(((0.15*B1346*5))^3/6)+4*(((0.15*B1346*5))^4/24)+5*(((0.15*B1346*5))^5/120))/((((0.15*B1346*5))^0/1)+(((0.15*B1346*5))^1/1)+(((0.15*B1346*5))^2/2)+(((0.15*B1346*5))^3/6)+(((0.15*B1346*5))^4/24)+(((0.15*B1346*5))^5/120))),0))+IF(Inputs!$B$3&gt;=54,9*(C1316=TRUE)*MIN(1,8*(1+Inputs!$B$34/100)*Q1316),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25">
      <c r="A1325">
        <f>Skills!A12</f>
        <v/>
      </c>
      <c r="B1325">
        <f>Skills!B12</f>
        <v/>
      </c>
      <c r="C1325">
        <f>Inputs!$B$3&gt;=110</f>
        <v/>
      </c>
      <c r="D1325">
        <f>IF(Skills!C12=1,60+Inputs!$B$25+Inputs!$B$29,IF(Skills!C12=2,90+Inputs!$B$26+Inputs!$B$29,IF(Skills!C12=3,120+Inputs!$B$27+Inputs!$B$29,MAX(0,(Inputs!$B$3-100)*3)+Inputs!$B$28+Inputs!$B$29)))</f>
        <v/>
      </c>
      <c r="E1325">
        <f>INDEX(FactorTable!$B$2:$Y$301, MATCH(ROUND(MIN(300,MAX(1,D1325)),0), FactorTable!$A$2:$A$301,0), Skills!M12+1)</f>
        <v/>
      </c>
      <c r="F1325">
        <f>IF(Skills!N12=TRUE,(Skills!L12/10)*(E1325/1000),Skills!L12/10)+Skills!O12</f>
        <v/>
      </c>
      <c r="G1325">
        <f>Skills!G12*IF(Skills!H12&gt;0,INT(IF(Inputs!$B$38="pvp",MIN(Skills!I12,15),Skills!I12)/Skills!H12+0.000000001),1)</f>
        <v/>
      </c>
      <c r="H1325">
        <f>1-(1-Skills!J12/100)^Skills!K12</f>
        <v/>
      </c>
      <c r="I1325" t="inlineStr">
        <is>
          <t>1</t>
        </is>
      </c>
      <c r="J1325">
        <f>((Inputs!$B$6*(1+Inputs!$B$7/100))+(((Inputs!$B$12*(1+Inputs!$B$13/100))-(Inputs!$B$12*(1+Inputs!$B$13/100)))+0.25*(Inputs!$B$14-Inputs!$B$14))*(1+Inputs!$B$7/100))*(F1325/100)</f>
        <v/>
      </c>
      <c r="K1325">
        <f>J1325*(1+((Inputs!$B$12*(1+Inputs!$B$13/100))*0.01+Inputs!$B$14*0.0025)/100)*(1+Inputs!$B$15/100)*(1+Inputs!$B$16/100)*(5000/(6000+Inputs!$B$42*(1-(100*(1-(1-(Inputs!$B$19+0)/100)*(1-CHOOSE(ArtifactsInput!$N$40+1,5,6,7,8,9,10)/100)^(ArtifactsInput!$M$40-ArtifactsInput!$M$40)))/100)))*(1+(Inputs!$B$24+((C1339=TRUE)*(F1339-Calc!F26))+B1350)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EIGHT_LEGS_EASTON",Inputs!$B$17+((C1336=TRUE)*(F1336-Calc!F23))+((C1340=TRUE)*(F1340-Calc!F27))+((IF(AND(Inputs!$B$38&lt;&gt;"pvp",Inputs!$B$43=0),1,IF(IF(Inputs!$B$38="pvp",15,Inputs!$B$43)-(B1351)&lt;=0,1,MAX(0,IF(Inputs!$B$38="pvp",15,Inputs!$B$43)-MAX(5,B1351))/(IF(Inputs!$B$38="pvp",15,Inputs!$B$43)-(B1351))))*(IF(AND(ArtifactsInput!$M$42,((Inputs!$B$9+((C1332=TRUE)*(F1332-Calc!F19))+B1344+(ArtifactsInput!$M$24-ArtifactsInput!$M$24)*CHOOSE(ArtifactsInput!$N$24+1,10,12,14,16,18,20)+IF(ArtifactsInput!$M$10,CHOOSE(ArtifactsInput!$N$10+1,15,18,21,24,27,30)*(IF(Inputs!$B$38="pvp",MIN(15,15)/15,IF(AND(Inputs!$B$38&lt;&gt;"pvp",Inputs!$B$43&gt;0),MIN(15,Inputs!$B$43)/(Inputs!$B$43),0))),0)))&gt;=100),MIN(100,((Inputs!$B$9+((C1332=TRUE)*(F1332-Calc!F19))+B1344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1351)&lt;=0,1,MAX(0,IF(Inputs!$B$38="pvp",15,Inputs!$B$43)-MAX(5,B1351))/(IF(Inputs!$B$38="pvp",15,Inputs!$B$43)-(B1351))))*IF(AND(ArtifactsInput!$M$42,((Inputs!$B$9+((C1332=TRUE)*(F1332-Calc!F19))+B1344+(ArtifactsInput!$M$24-ArtifactsInput!$M$24)*CHOOSE(ArtifactsInput!$N$24+1,10,12,14,16,18,20)+IF(ArtifactsInput!$M$10,CHOOSE(ArtifactsInput!$N$10+1,15,18,21,24,27,30)*(IF(Inputs!$B$38="pvp",MIN(15,15)/15,IF(AND(Inputs!$B$38&lt;&gt;"pvp",Inputs!$B$43&gt;0),MIN(15,Inputs!$B$43)/(Inputs!$B$43),0))),0)))&gt;=100),CHOOSE(ArtifactsInput!$N$42+1,40,48,56,64,72,80),0))))/100)*((1+(((C1330=TRUE)*F1330*5/7)+((C1337=TRUE)*(F1337-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1325)</f>
        <v/>
      </c>
      <c r="L1325">
        <f>K1325*(MIN(Inputs!$B$22+((C1335=TRUE)*(F1335-Calc!F22)),(Inputs!$B$23+0+(IF(ArtifactsInput!$M$15,CHOOSE(ArtifactsInput!$N$15+1,25,30,35,40,45,50)/100*(Inputs!$B$11-Inputs!$B$11),0))))/100+(Inputs!$B$23+0+(IF(ArtifactsInput!$M$15,CHOOSE(ArtifactsInput!$N$15+1,25,30,35,40,45,50)/100*(Inputs!$B$11-Inputs!$B$11),0)))/100)/2</f>
        <v/>
      </c>
      <c r="M1325">
        <f>L1325*(1+(Inputs!$B$10+((C1338=TRUE)*(F1338-Calc!F25))+B1349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25">
        <f>L1325*(1-MIN((Inputs!$B$9+((C1332=TRUE)*(F1332-Calc!F19))+B1344+(ArtifactsInput!$M$24-ArtifactsInput!$M$24)*CHOOSE(ArtifactsInput!$N$24+1,10,12,14,16,18,20)+(IF(AND(Inputs!$B$38&lt;&gt;"pvp",Inputs!$B$43=0),1,IF(IF(Inputs!$B$38="pvp",15,Inputs!$B$43)-(B1351)&lt;=0,1,MAX(0,IF(Inputs!$B$38="pvp",15,Inputs!$B$43)-MAX(5,B1351))/(IF(Inputs!$B$38="pvp",15,Inputs!$B$43)-(B1351))))*IF(AND(ArtifactsInput!$M$42,((Inputs!$B$9+((C1332=TRUE)*(F1332-Calc!F19))+B1344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1325*(MIN((Inputs!$B$9+((C1332=TRUE)*(F1332-Calc!F19))+B1344+(ArtifactsInput!$M$24-ArtifactsInput!$M$24)*CHOOSE(ArtifactsInput!$N$24+1,10,12,14,16,18,20)+(IF(AND(Inputs!$B$38&lt;&gt;"pvp",Inputs!$B$43=0),1,IF(IF(Inputs!$B$38="pvp",15,Inputs!$B$43)-(B1351)&lt;=0,1,MAX(0,IF(Inputs!$B$38="pvp",15,Inputs!$B$43)-MAX(5,B1351))/(IF(Inputs!$B$38="pvp",15,Inputs!$B$43)-(B1351))))*IF(AND(ArtifactsInput!$M$42,((Inputs!$B$9+((C1332=TRUE)*(F1332-Calc!F19))+B1344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25">
        <f>(1-Summary!$B$11)*T1325+Summary!$B$11*V1325</f>
        <v/>
      </c>
      <c r="P1325">
        <f>IF(B1354=0,0,O1325/B1354)</f>
        <v/>
      </c>
      <c r="Q1325">
        <f>IFERROR(1/(IF(Inputs!$B$38="pvp",15,MAX(0.1,Skills!D12-IF(TRUE=TRUE,Inputs!$B$32,0)))*(1-IF(AND(ArtifactsInput!$M$27,Inputs!$B$4="Chapter Hunt"),CHOOSE(ArtifactsInput!$N$27+1,20,24,28,32,36,40),0)/100)),0)</f>
        <v/>
      </c>
      <c r="R1325">
        <f>IF(AND(Inputs!$B$38&lt;&gt;"pvp",Inputs!$B$43&gt;0),IF(MAX(0,Inputs!$B$43-B1351)&lt;=0,0,(INT(MAX(0,Inputs!$B$43-B1351)/(IF(Inputs!$B$38="pvp",15,MAX(0.1,Skills!D12-IF(TRUE=TRUE,Inputs!$B$32,0)))*(1-IF(AND(ArtifactsInput!$M$27,Inputs!$B$4="Chapter Hunt"),CHOOSE(ArtifactsInput!$N$27+1,20,24,28,32,36,40),0)/100)))+1)),0)</f>
        <v/>
      </c>
      <c r="S1325">
        <f>IFERROR(O1325/N1325,0)</f>
        <v/>
      </c>
      <c r="T1325">
        <f>IF(C1325,(H1325*N1325*IF(AND(Inputs!$B$38&lt;&gt;"pvp",Inputs!$B$43&gt;0),((Skills!G12*((R1325-1)*IF(Skills!H12&gt;0,INT(Skills!I12/Skills!H12+0.000000001),1)+IF(Skills!H12&gt;0,INT(MIN(Skills!I12,MAX(0,MAX(0,Inputs!$B$43-B1351)-((R1325-1)*(IF(Inputs!$B$38="pvp",15,MAX(0.1,Skills!D12-IF(TRUE=TRUE,Inputs!$B$32,0)))*(1-IF(AND(ArtifactsInput!$M$27,Inputs!$B$4="Chapter Hunt"),CHOOSE(ArtifactsInput!$N$27+1,20,24,28,32,36,40),0)/100)))))/Skills!H12+0.000000001),1)))/Inputs!$B$43),G1325*Q1325))*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Hunt"),CHOOSE(ArtifactsInput!$N$35+1,15,18,21,24,27,30)*(1-EXP(-(0.2*B1346)*5)),0)+IF(AND(ArtifactsInput!$M$22,Inputs!$B$4&lt;&gt;"Chapter Hunt"),CHOOSE(ArtifactsInput!$N$22+1,10,12,14,16,18,20)*((0*(((0.15*B1346*5))^0/1)+1*(((0.15*B1346*5))^1/1)+2*(((0.15*B1346*5))^2/2)+3*(((0.15*B1346*5))^3/6)+4*(((0.15*B1346*5))^4/24)+5*(((0.15*B1346*5))^5/120))/((((0.15*B1346*5))^0/1)+(((0.15*B1346*5))^1/1)+(((0.15*B1346*5))^2/2)+(((0.15*B1346*5))^3/6)+(((0.15*B1346*5))^4/24)+(((0.15*B1346*5))^5/120))),0))+IF(Inputs!$B$3&gt;=54,9*(C1316=TRUE)*MIN(1,8*(1+Inputs!$B$34/100)*Q1316)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1325*(1-MIN(100,(Inputs!$B$9+((C1332=TRUE)*(F1332-Calc!F19))+B1344+(ArtifactsInput!$M$24-ArtifactsInput!$M$24)*CHOOSE(ArtifactsInput!$N$24+1,10,12,14,16,18,20)+(IF(AND(Inputs!$B$38&lt;&gt;"pvp",Inputs!$B$43=0),1,IF(IF(Inputs!$B$38="pvp",15,Inputs!$B$43)-(B1351)&lt;=0,1,MAX(0,IF(Inputs!$B$38="pvp",15,Inputs!$B$43)-MAX(5,B1351))/(IF(Inputs!$B$38="pvp",15,Inputs!$B$43)-(B1351))))*IF(AND(ArtifactsInput!$M$42,((Inputs!$B$9+((C1332=TRUE)*(F1332-Calc!F19))+B1344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1325*(MIN(100,(Inputs!$B$9+((C1332=TRUE)*(F1332-Calc!F19))+B1344+(ArtifactsInput!$M$24-ArtifactsInput!$M$24)*CHOOSE(ArtifactsInput!$N$24+1,10,12,14,16,18,20)+(IF(AND(Inputs!$B$38&lt;&gt;"pvp",Inputs!$B$43=0),1,IF(IF(Inputs!$B$38="pvp",15,Inputs!$B$43)-(B1351)&lt;=0,1,MAX(0,IF(Inputs!$B$38="pvp",15,Inputs!$B$43)-MAX(5,B1351))/(IF(Inputs!$B$38="pvp",15,Inputs!$B$43)-(B1351))))*IF(AND(ArtifactsInput!$M$42,((Inputs!$B$9+((C1332=TRUE)*(F1332-Calc!F19))+B1344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1325*(1-MIN(100,(Inputs!$B$9+((C1332=TRUE)*(F1332-Calc!F19))+B1344+(ArtifactsInput!$M$24-ArtifactsInput!$M$24)*CHOOSE(ArtifactsInput!$N$24+1,10,12,14,16,18,20)+(IF(AND(Inputs!$B$38&lt;&gt;"pvp",Inputs!$B$43=0),1,IF(IF(Inputs!$B$38="pvp",15,Inputs!$B$43)-(B1351)&lt;=0,1,MAX(0,IF(Inputs!$B$38="pvp",15,Inputs!$B$43)-MAX(5,B1351))/(IF(Inputs!$B$38="pvp",15,Inputs!$B$43)-(B1351))))*IF(AND(ArtifactsInput!$M$42,((Inputs!$B$9+((C1332=TRUE)*(F1332-Calc!F19))+B1344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1325*(MIN(100,(Inputs!$B$9+((C1332=TRUE)*(F1332-Calc!F19))+B1344+(ArtifactsInput!$M$24-ArtifactsInput!$M$24)*CHOOSE(ArtifactsInput!$N$24+1,10,12,14,16,18,20)+(IF(AND(Inputs!$B$38&lt;&gt;"pvp",Inputs!$B$43=0),1,IF(IF(Inputs!$B$38="pvp",15,Inputs!$B$43)-(B1351)&lt;=0,1,MAX(0,IF(Inputs!$B$38="pvp",15,Inputs!$B$43)-MAX(5,B1351))/(IF(Inputs!$B$38="pvp",15,Inputs!$B$43)-(B1351))))*IF(AND(ArtifactsInput!$M$42,((Inputs!$B$9+((C1332=TRUE)*(F1332-Calc!F19))+B1344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325">
        <f>IF(C1325,(H1325*N1325*IF(AND(Inputs!$B$38&lt;&gt;"pvp",Inputs!$B$43&gt;0),((Skills!G12*((R1325-1)*IF(Skills!H12&gt;0,INT(Skills!I12/Skills!H12+0.000000001),1)+IF(Skills!H12&gt;0,INT(MIN(Skills!I12,MAX(0,MAX(0,Inputs!$B$43-B1351)-((R1325-1)*(IF(Inputs!$B$38="pvp",15,MAX(0.1,Skills!D12-IF(TRUE=TRUE,Inputs!$B$32,0)))*(1-IF(AND(ArtifactsInput!$M$27,Inputs!$B$4="Chapter Hunt"),CHOOSE(ArtifactsInput!$N$27+1,20,24,28,32,36,40),0)/100)))))/Skills!H12+0.000000001),1)))/Inputs!$B$43),G1325*Q1325))*IF(Inputs!$B$38="pvp",1,(1+(Inputs!$B$21+Skills!Q12+(IF(ArtifactsInput!$M$33,CHOOSE(ArtifactsInput!$N$33+1,30,36,42,48,54,60),0))+(IF(AND(ArtifactsInput!$M$35,Inputs!$B$4&lt;&gt;"Chapter Hunt"),CHOOSE(ArtifactsInput!$N$35+1,15,18,21,24,27,30)*(1-EXP(-(0.2*B1346)*5)),0)+IF(AND(ArtifactsInput!$M$22,Inputs!$B$4&lt;&gt;"Chapter Hunt"),CHOOSE(ArtifactsInput!$N$22+1,10,12,14,16,18,20)*((0*(((0.15*B1346*5))^0/1)+1*(((0.15*B1346*5))^1/1)+2*(((0.15*B1346*5))^2/2)+3*(((0.15*B1346*5))^3/6)+4*(((0.15*B1346*5))^4/24)+5*(((0.15*B1346*5))^5/120))/((((0.15*B1346*5))^0/1)+(((0.15*B1346*5))^1/1)+(((0.15*B1346*5))^2/2)+(((0.15*B1346*5))^3/6)+(((0.15*B1346*5))^4/24)+(((0.15*B1346*5))^5/120))),0))+IF(Inputs!$B$3&gt;=54,9*(C1316=TRUE)*MIN(1,8*(1+Inputs!$B$34/100)*Q1316),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26">
      <c r="A1326">
        <f>Skills!A13</f>
        <v/>
      </c>
      <c r="B1326">
        <f>Skills!B13</f>
        <v/>
      </c>
      <c r="C1326">
        <f>Inputs!$B$3&gt;=110</f>
        <v/>
      </c>
      <c r="D1326">
        <f>IF(Skills!C13=1,60+Inputs!$B$25+Inputs!$B$29,IF(Skills!C13=2,90+Inputs!$B$26+Inputs!$B$29,IF(Skills!C13=3,120+Inputs!$B$27+Inputs!$B$29,MAX(0,(Inputs!$B$3-100)*3)+Inputs!$B$28+Inputs!$B$29)))</f>
        <v/>
      </c>
      <c r="E1326">
        <f>INDEX(FactorTable!$B$2:$Y$301, MATCH(ROUND(MIN(300,MAX(1,D1326)),0), FactorTable!$A$2:$A$301,0), Skills!M13+1)</f>
        <v/>
      </c>
      <c r="F1326">
        <f>IF(Skills!N13=TRUE,(Skills!L13/10)*(E1326/1000),Skills!L13/10)+Skills!O13</f>
        <v/>
      </c>
      <c r="G1326">
        <f>Skills!G13*IF(Skills!H13&gt;0,INT(IF(Inputs!$B$38="pvp",MIN(Skills!I13,15),Skills!I13)/Skills!H13+0.000000001),1)</f>
        <v/>
      </c>
      <c r="H1326">
        <f>1-(1-Skills!J13/100)^Skills!K13</f>
        <v/>
      </c>
      <c r="I1326" t="inlineStr">
        <is>
          <t>1</t>
        </is>
      </c>
      <c r="J1326">
        <f>((Inputs!$B$6*(1+Inputs!$B$7/100))+(((Inputs!$B$12*(1+Inputs!$B$13/100))-(Inputs!$B$12*(1+Inputs!$B$13/100)))+0.25*(Inputs!$B$14-Inputs!$B$14))*(1+Inputs!$B$7/100))*(F1326/100)</f>
        <v/>
      </c>
      <c r="K1326">
        <f>J1326*(1+((Inputs!$B$12*(1+Inputs!$B$13/100))*0.01+Inputs!$B$14*0.0025)/100)*(1+Inputs!$B$15/100)*(1+Inputs!$B$16/100)*(5000/(6000+Inputs!$B$42*(1-(100*(1-(1-(Inputs!$B$19+0)/100)*(1-CHOOSE(ArtifactsInput!$N$40+1,5,6,7,8,9,10)/100)^(ArtifactsInput!$M$40-ArtifactsInput!$M$40)))/100)))*(1+(Inputs!$B$24+((C1339=TRUE)*(F1339-Calc!F26))+B1350)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EIGHT_LEGS_EASTON",Inputs!$B$17+((C1336=TRUE)*(F1336-Calc!F23))+((C1340=TRUE)*(F1340-Calc!F27))+((IF(AND(Inputs!$B$38&lt;&gt;"pvp",Inputs!$B$43=0),1,IF(IF(Inputs!$B$38="pvp",15,Inputs!$B$43)-(B1351)&lt;=0,1,MAX(0,IF(Inputs!$B$38="pvp",15,Inputs!$B$43)-MAX(5,B1351))/(IF(Inputs!$B$38="pvp",15,Inputs!$B$43)-(B1351))))*(IF(AND(ArtifactsInput!$M$42,((Inputs!$B$9+((C1332=TRUE)*(F1332-Calc!F19))+B1344+(ArtifactsInput!$M$24-ArtifactsInput!$M$24)*CHOOSE(ArtifactsInput!$N$24+1,10,12,14,16,18,20)+IF(ArtifactsInput!$M$10,CHOOSE(ArtifactsInput!$N$10+1,15,18,21,24,27,30)*(IF(Inputs!$B$38="pvp",MIN(15,15)/15,IF(AND(Inputs!$B$38&lt;&gt;"pvp",Inputs!$B$43&gt;0),MIN(15,Inputs!$B$43)/(Inputs!$B$43),0))),0)))&gt;=100),MIN(100,((Inputs!$B$9+((C1332=TRUE)*(F1332-Calc!F19))+B1344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1351)&lt;=0,1,MAX(0,IF(Inputs!$B$38="pvp",15,Inputs!$B$43)-MAX(5,B1351))/(IF(Inputs!$B$38="pvp",15,Inputs!$B$43)-(B1351))))*IF(AND(ArtifactsInput!$M$42,((Inputs!$B$9+((C1332=TRUE)*(F1332-Calc!F19))+B1344+(ArtifactsInput!$M$24-ArtifactsInput!$M$24)*CHOOSE(ArtifactsInput!$N$24+1,10,12,14,16,18,20)+IF(ArtifactsInput!$M$10,CHOOSE(ArtifactsInput!$N$10+1,15,18,21,24,27,30)*(IF(Inputs!$B$38="pvp",MIN(15,15)/15,IF(AND(Inputs!$B$38&lt;&gt;"pvp",Inputs!$B$43&gt;0),MIN(15,Inputs!$B$43)/(Inputs!$B$43),0))),0)))&gt;=100),CHOOSE(ArtifactsInput!$N$42+1,40,48,56,64,72,80),0))))/100)*((1+(((C1330=TRUE)*F1330*5/7)+((C1337=TRUE)*(F1337-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1326)</f>
        <v/>
      </c>
      <c r="L1326">
        <f>K1326*(MIN(Inputs!$B$22+((C1335=TRUE)*(F1335-Calc!F22)),(Inputs!$B$23+0+(IF(ArtifactsInput!$M$15,CHOOSE(ArtifactsInput!$N$15+1,25,30,35,40,45,50)/100*(Inputs!$B$11-Inputs!$B$11),0))))/100+(Inputs!$B$23+0+(IF(ArtifactsInput!$M$15,CHOOSE(ArtifactsInput!$N$15+1,25,30,35,40,45,50)/100*(Inputs!$B$11-Inputs!$B$11),0)))/100)/2</f>
        <v/>
      </c>
      <c r="M1326">
        <f>L1326*(1+(Inputs!$B$10+((C1338=TRUE)*(F1338-Calc!F25))+B1349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26">
        <f>L1326*(1-MIN((Inputs!$B$9+((C1332=TRUE)*(F1332-Calc!F19))+B1344+(ArtifactsInput!$M$24-ArtifactsInput!$M$24)*CHOOSE(ArtifactsInput!$N$24+1,10,12,14,16,18,20)+(IF(AND(Inputs!$B$38&lt;&gt;"pvp",Inputs!$B$43=0),1,IF(IF(Inputs!$B$38="pvp",15,Inputs!$B$43)-(B1351)&lt;=0,1,MAX(0,IF(Inputs!$B$38="pvp",15,Inputs!$B$43)-MAX(5,B1351))/(IF(Inputs!$B$38="pvp",15,Inputs!$B$43)-(B1351))))*IF(AND(ArtifactsInput!$M$42,((Inputs!$B$9+((C1332=TRUE)*(F1332-Calc!F19))+B1344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1326*(MIN((Inputs!$B$9+((C1332=TRUE)*(F1332-Calc!F19))+B1344+(ArtifactsInput!$M$24-ArtifactsInput!$M$24)*CHOOSE(ArtifactsInput!$N$24+1,10,12,14,16,18,20)+(IF(AND(Inputs!$B$38&lt;&gt;"pvp",Inputs!$B$43=0),1,IF(IF(Inputs!$B$38="pvp",15,Inputs!$B$43)-(B1351)&lt;=0,1,MAX(0,IF(Inputs!$B$38="pvp",15,Inputs!$B$43)-MAX(5,B1351))/(IF(Inputs!$B$38="pvp",15,Inputs!$B$43)-(B1351))))*IF(AND(ArtifactsInput!$M$42,((Inputs!$B$9+((C1332=TRUE)*(F1332-Calc!F19))+B1344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26">
        <f>(1-Summary!$B$11)*T1326+Summary!$B$11*V1326</f>
        <v/>
      </c>
      <c r="P1326">
        <f>IF(B1354=0,0,O1326/B1354)</f>
        <v/>
      </c>
      <c r="Q1326">
        <f>IFERROR(1/(IF(Inputs!$B$38="pvp",15,MAX(0.1,Skills!D13-IF(TRUE=TRUE,Inputs!$B$32,0)))*(1-IF(AND(ArtifactsInput!$M$27,Inputs!$B$4="Chapter Hunt"),CHOOSE(ArtifactsInput!$N$27+1,20,24,28,32,36,40),0)/100)),0)</f>
        <v/>
      </c>
      <c r="R1326">
        <f>IF(AND(Inputs!$B$38&lt;&gt;"pvp",Inputs!$B$43&gt;0),IF(MAX(0,Inputs!$B$43-B1351)&lt;=0,0,(INT(MAX(0,Inputs!$B$43-B1351)/(IF(Inputs!$B$38="pvp",15,MAX(0.1,Skills!D13-IF(TRUE=TRUE,Inputs!$B$32,0)))*(1-IF(AND(ArtifactsInput!$M$27,Inputs!$B$4="Chapter Hunt"),CHOOSE(ArtifactsInput!$N$27+1,20,24,28,32,36,40),0)/100)))+1)),0)</f>
        <v/>
      </c>
      <c r="S1326">
        <f>IFERROR(O1326/N1326,0)</f>
        <v/>
      </c>
      <c r="T1326">
        <f>IF(C1326,(H1326*N1326*IF(AND(Inputs!$B$38&lt;&gt;"pvp",Inputs!$B$43&gt;0),((Skills!G13*((R1326-1)*IF(Skills!H13&gt;0,INT(Skills!I13/Skills!H13+0.000000001),1)+IF(Skills!H13&gt;0,INT(MIN(Skills!I13,MAX(0,MAX(0,Inputs!$B$43-B1351)-((R1326-1)*(IF(Inputs!$B$38="pvp",15,MAX(0.1,Skills!D13-IF(TRUE=TRUE,Inputs!$B$32,0)))*(1-IF(AND(ArtifactsInput!$M$27,Inputs!$B$4="Chapter Hunt"),CHOOSE(ArtifactsInput!$N$27+1,20,24,28,32,36,40),0)/100)))))/Skills!H13+0.000000001),1)))/Inputs!$B$43),G1326*Q1326))*IF(Inputs!$B$38="pvp",1,1+(Inputs!$B$20+0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Hunt"),CHOOSE(ArtifactsInput!$N$35+1,15,18,21,24,27,30)*(1-EXP(-(0.2*B1346)*5)),0)+IF(AND(ArtifactsInput!$M$22,Inputs!$B$4&lt;&gt;"Chapter Hunt"),CHOOSE(ArtifactsInput!$N$22+1,10,12,14,16,18,20)*((0*(((0.15*B1346*5))^0/1)+1*(((0.15*B1346*5))^1/1)+2*(((0.15*B1346*5))^2/2)+3*(((0.15*B1346*5))^3/6)+4*(((0.15*B1346*5))^4/24)+5*(((0.15*B1346*5))^5/120))/((((0.15*B1346*5))^0/1)+(((0.15*B1346*5))^1/1)+(((0.15*B1346*5))^2/2)+(((0.15*B1346*5))^3/6)+(((0.15*B1346*5))^4/24)+(((0.15*B1346*5))^5/120))),0))+IF(Inputs!$B$3&gt;=54,9*(C1316=TRUE)*MIN(1,8*(1+Inputs!$B$34/100)*Q1316)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1326*(1-MIN(100,(Inputs!$B$9+((C1332=TRUE)*(F1332-Calc!F19))+B1344+(ArtifactsInput!$M$24-ArtifactsInput!$M$24)*CHOOSE(ArtifactsInput!$N$24+1,10,12,14,16,18,20)+(IF(AND(Inputs!$B$38&lt;&gt;"pvp",Inputs!$B$43=0),1,IF(IF(Inputs!$B$38="pvp",15,Inputs!$B$43)-(B1351)&lt;=0,1,MAX(0,IF(Inputs!$B$38="pvp",15,Inputs!$B$43)-MAX(5,B1351))/(IF(Inputs!$B$38="pvp",15,Inputs!$B$43)-(B1351))))*IF(AND(ArtifactsInput!$M$42,((Inputs!$B$9+((C1332=TRUE)*(F1332-Calc!F19))+B1344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1326*(MIN(100,(Inputs!$B$9+((C1332=TRUE)*(F1332-Calc!F19))+B1344+(ArtifactsInput!$M$24-ArtifactsInput!$M$24)*CHOOSE(ArtifactsInput!$N$24+1,10,12,14,16,18,20)+(IF(AND(Inputs!$B$38&lt;&gt;"pvp",Inputs!$B$43=0),1,IF(IF(Inputs!$B$38="pvp",15,Inputs!$B$43)-(B1351)&lt;=0,1,MAX(0,IF(Inputs!$B$38="pvp",15,Inputs!$B$43)-MAX(5,B1351))/(IF(Inputs!$B$38="pvp",15,Inputs!$B$43)-(B1351))))*IF(AND(ArtifactsInput!$M$42,((Inputs!$B$9+((C1332=TRUE)*(F1332-Calc!F19))+B1344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1326*(1-MIN(100,(Inputs!$B$9+((C1332=TRUE)*(F1332-Calc!F19))+B1344+(ArtifactsInput!$M$24-ArtifactsInput!$M$24)*CHOOSE(ArtifactsInput!$N$24+1,10,12,14,16,18,20)+(IF(AND(Inputs!$B$38&lt;&gt;"pvp",Inputs!$B$43=0),1,IF(IF(Inputs!$B$38="pvp",15,Inputs!$B$43)-(B1351)&lt;=0,1,MAX(0,IF(Inputs!$B$38="pvp",15,Inputs!$B$43)-MAX(5,B1351))/(IF(Inputs!$B$38="pvp",15,Inputs!$B$43)-(B1351))))*IF(AND(ArtifactsInput!$M$42,((Inputs!$B$9+((C1332=TRUE)*(F1332-Calc!F19))+B1344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1326*(MIN(100,(Inputs!$B$9+((C1332=TRUE)*(F1332-Calc!F19))+B1344+(ArtifactsInput!$M$24-ArtifactsInput!$M$24)*CHOOSE(ArtifactsInput!$N$24+1,10,12,14,16,18,20)+(IF(AND(Inputs!$B$38&lt;&gt;"pvp",Inputs!$B$43=0),1,IF(IF(Inputs!$B$38="pvp",15,Inputs!$B$43)-(B1351)&lt;=0,1,MAX(0,IF(Inputs!$B$38="pvp",15,Inputs!$B$43)-MAX(5,B1351))/(IF(Inputs!$B$38="pvp",15,Inputs!$B$43)-(B1351))))*IF(AND(ArtifactsInput!$M$42,((Inputs!$B$9+((C1332=TRUE)*(F1332-Calc!F19))+B1344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326">
        <f>IF(C1326,(H1326*N1326*IF(AND(Inputs!$B$38&lt;&gt;"pvp",Inputs!$B$43&gt;0),((Skills!G13*((R1326-1)*IF(Skills!H13&gt;0,INT(Skills!I13/Skills!H13+0.000000001),1)+IF(Skills!H13&gt;0,INT(MIN(Skills!I13,MAX(0,MAX(0,Inputs!$B$43-B1351)-((R1326-1)*(IF(Inputs!$B$38="pvp",15,MAX(0.1,Skills!D13-IF(TRUE=TRUE,Inputs!$B$32,0)))*(1-IF(AND(ArtifactsInput!$M$27,Inputs!$B$4="Chapter Hunt"),CHOOSE(ArtifactsInput!$N$27+1,20,24,28,32,36,40),0)/100)))))/Skills!H13+0.000000001),1)))/Inputs!$B$43),G1326*Q1326))*IF(Inputs!$B$38="pvp",1,(1+(Inputs!$B$21+Skills!Q13+(IF(ArtifactsInput!$M$33,CHOOSE(ArtifactsInput!$N$33+1,30,36,42,48,54,60),0))+(IF(AND(ArtifactsInput!$M$35,Inputs!$B$4&lt;&gt;"Chapter Hunt"),CHOOSE(ArtifactsInput!$N$35+1,15,18,21,24,27,30)*(1-EXP(-(0.2*B1346)*5)),0)+IF(AND(ArtifactsInput!$M$22,Inputs!$B$4&lt;&gt;"Chapter Hunt"),CHOOSE(ArtifactsInput!$N$22+1,10,12,14,16,18,20)*((0*(((0.15*B1346*5))^0/1)+1*(((0.15*B1346*5))^1/1)+2*(((0.15*B1346*5))^2/2)+3*(((0.15*B1346*5))^3/6)+4*(((0.15*B1346*5))^4/24)+5*(((0.15*B1346*5))^5/120))/((((0.15*B1346*5))^0/1)+(((0.15*B1346*5))^1/1)+(((0.15*B1346*5))^2/2)+(((0.15*B1346*5))^3/6)+(((0.15*B1346*5))^4/24)+(((0.15*B1346*5))^5/120))),0))+IF(Inputs!$B$3&gt;=54,9*(C1316=TRUE)*MIN(1,8*(1+Inputs!$B$34/100)*Q1316),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27">
      <c r="A1327">
        <f>Skills!A14</f>
        <v/>
      </c>
      <c r="B1327">
        <f>Skills!B14</f>
        <v/>
      </c>
      <c r="C1327">
        <f>Inputs!$B$3&gt;=120</f>
        <v/>
      </c>
      <c r="D1327">
        <f>IF(Skills!C14=1,60+Inputs!$B$25+Inputs!$B$29,IF(Skills!C14=2,90+Inputs!$B$26+Inputs!$B$29,IF(Skills!C14=3,120+Inputs!$B$27+Inputs!$B$29,MAX(0,(Inputs!$B$3-100)*3)+Inputs!$B$28+Inputs!$B$29)))</f>
        <v/>
      </c>
      <c r="E1327">
        <f>INDEX(FactorTable!$B$2:$Y$301, MATCH(ROUND(MIN(300,MAX(1,D1327)),0), FactorTable!$A$2:$A$301,0), Skills!M14+1)</f>
        <v/>
      </c>
      <c r="F1327">
        <f>IF(Skills!N14=TRUE,(Skills!L14/10)*(E1327/1000),Skills!L14/10)+Skills!O14</f>
        <v/>
      </c>
      <c r="G1327">
        <f>Skills!G14*IF(Skills!H14&gt;0,INT(IF(Inputs!$B$38="pvp",MIN(Skills!I14,15),Skills!I14)/Skills!H14+0.000000001),1)</f>
        <v/>
      </c>
      <c r="H1327">
        <f>1-(1-Skills!J14/100)^Skills!K14</f>
        <v/>
      </c>
      <c r="I1327" t="inlineStr">
        <is>
          <t>1</t>
        </is>
      </c>
      <c r="J1327">
        <f>((Inputs!$B$6*(1+Inputs!$B$7/100))+(((Inputs!$B$12*(1+Inputs!$B$13/100))-(Inputs!$B$12*(1+Inputs!$B$13/100)))+0.25*(Inputs!$B$14-Inputs!$B$14))*(1+Inputs!$B$7/100))*(F1327/100)</f>
        <v/>
      </c>
      <c r="K1327">
        <f>J1327*(1+((Inputs!$B$12*(1+Inputs!$B$13/100))*0.01+Inputs!$B$14*0.0025)/100)*(1+Inputs!$B$15/100)*(1+Inputs!$B$16/100)*(5000/(6000+Inputs!$B$42*(1-(100*(1-(1-(Inputs!$B$19+0)/100)*(1-CHOOSE(ArtifactsInput!$N$40+1,5,6,7,8,9,10)/100)^(ArtifactsInput!$M$40-ArtifactsInput!$M$40)))/100)))*(1+(Inputs!$B$24+((C1339=TRUE)*(F1339-Calc!F26))+B1350)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EIGHT_LEGS_EASTON",Inputs!$B$17+((C1336=TRUE)*(F1336-Calc!F23))+((C1340=TRUE)*(F1340-Calc!F27))+((IF(AND(Inputs!$B$38&lt;&gt;"pvp",Inputs!$B$43=0),1,IF(IF(Inputs!$B$38="pvp",15,Inputs!$B$43)-(B1351)&lt;=0,1,MAX(0,IF(Inputs!$B$38="pvp",15,Inputs!$B$43)-MAX(5,B1351))/(IF(Inputs!$B$38="pvp",15,Inputs!$B$43)-(B1351))))*(IF(AND(ArtifactsInput!$M$42,((Inputs!$B$9+((C1332=TRUE)*(F1332-Calc!F19))+B1344+(ArtifactsInput!$M$24-ArtifactsInput!$M$24)*CHOOSE(ArtifactsInput!$N$24+1,10,12,14,16,18,20)+IF(ArtifactsInput!$M$10,CHOOSE(ArtifactsInput!$N$10+1,15,18,21,24,27,30)*(IF(Inputs!$B$38="pvp",MIN(15,15)/15,IF(AND(Inputs!$B$38&lt;&gt;"pvp",Inputs!$B$43&gt;0),MIN(15,Inputs!$B$43)/(Inputs!$B$43),0))),0)))&gt;=100),MIN(100,((Inputs!$B$9+((C1332=TRUE)*(F1332-Calc!F19))+B1344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1351)&lt;=0,1,MAX(0,IF(Inputs!$B$38="pvp",15,Inputs!$B$43)-MAX(5,B1351))/(IF(Inputs!$B$38="pvp",15,Inputs!$B$43)-(B1351))))*IF(AND(ArtifactsInput!$M$42,((Inputs!$B$9+((C1332=TRUE)*(F1332-Calc!F19))+B1344+(ArtifactsInput!$M$24-ArtifactsInput!$M$24)*CHOOSE(ArtifactsInput!$N$24+1,10,12,14,16,18,20)+IF(ArtifactsInput!$M$10,CHOOSE(ArtifactsInput!$N$10+1,15,18,21,24,27,30)*(IF(Inputs!$B$38="pvp",MIN(15,15)/15,IF(AND(Inputs!$B$38&lt;&gt;"pvp",Inputs!$B$43&gt;0),MIN(15,Inputs!$B$43)/(Inputs!$B$43),0))),0)))&gt;=100),CHOOSE(ArtifactsInput!$N$42+1,40,48,56,64,72,80),0))))/100)*((1+(((C1330=TRUE)*F1330*5/7)+((C1337=TRUE)*(F1337-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1327)</f>
        <v/>
      </c>
      <c r="L1327">
        <f>K1327*(MIN(Inputs!$B$22+((C1335=TRUE)*(F1335-Calc!F22)),(Inputs!$B$23+0+(IF(ArtifactsInput!$M$15,CHOOSE(ArtifactsInput!$N$15+1,25,30,35,40,45,50)/100*(Inputs!$B$11-Inputs!$B$11),0))))/100+(Inputs!$B$23+0+(IF(ArtifactsInput!$M$15,CHOOSE(ArtifactsInput!$N$15+1,25,30,35,40,45,50)/100*(Inputs!$B$11-Inputs!$B$11),0)))/100)/2</f>
        <v/>
      </c>
      <c r="M1327">
        <f>L1327*(1+(Inputs!$B$10+((C1338=TRUE)*(F1338-Calc!F25))+B1349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27">
        <f>L1327*(1-MIN((Inputs!$B$9+((C1332=TRUE)*(F1332-Calc!F19))+B1344+(ArtifactsInput!$M$24-ArtifactsInput!$M$24)*CHOOSE(ArtifactsInput!$N$24+1,10,12,14,16,18,20)+(IF(AND(Inputs!$B$38&lt;&gt;"pvp",Inputs!$B$43=0),1,IF(IF(Inputs!$B$38="pvp",15,Inputs!$B$43)-(B1351)&lt;=0,1,MAX(0,IF(Inputs!$B$38="pvp",15,Inputs!$B$43)-MAX(5,B1351))/(IF(Inputs!$B$38="pvp",15,Inputs!$B$43)-(B1351))))*IF(AND(ArtifactsInput!$M$42,((Inputs!$B$9+((C1332=TRUE)*(F1332-Calc!F19))+B1344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1327*(MIN((Inputs!$B$9+((C1332=TRUE)*(F1332-Calc!F19))+B1344+(ArtifactsInput!$M$24-ArtifactsInput!$M$24)*CHOOSE(ArtifactsInput!$N$24+1,10,12,14,16,18,20)+(IF(AND(Inputs!$B$38&lt;&gt;"pvp",Inputs!$B$43=0),1,IF(IF(Inputs!$B$38="pvp",15,Inputs!$B$43)-(B1351)&lt;=0,1,MAX(0,IF(Inputs!$B$38="pvp",15,Inputs!$B$43)-MAX(5,B1351))/(IF(Inputs!$B$38="pvp",15,Inputs!$B$43)-(B1351))))*IF(AND(ArtifactsInput!$M$42,((Inputs!$B$9+((C1332=TRUE)*(F1332-Calc!F19))+B1344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27">
        <f>(1-Summary!$B$11)*T1327+Summary!$B$11*V1327</f>
        <v/>
      </c>
      <c r="P1327">
        <f>IF(B1354=0,0,O1327/B1354)</f>
        <v/>
      </c>
      <c r="Q1327" t="n">
        <v>0</v>
      </c>
      <c r="R1327" t="n">
        <v>0</v>
      </c>
      <c r="S1327">
        <f>IFERROR(O1327/N1327,0)</f>
        <v/>
      </c>
      <c r="T1327">
        <f>IF(C1327,((H1327*(B1348+IF(AND(Inputs!$B$38&lt;&gt;"pvp",Inputs!$B$43&gt;0),((Skills!G8*((R1321-1)*IF(Skills!H8&gt;0,INT(Skills!I8/Skills!H8+0.000000001),1)+IF(Skills!H8&gt;0,INT(MIN(Skills!I8,MAX(0,MAX(0,Inputs!$B$43-B1351)-((R1321-1)*((IF(Inputs!$B$38="pvp",15,MAX(0.1,Skills!D8-IF(TRUE=TRUE,Inputs!$B$32,0)))*(1-IF(AND(ArtifactsInput!$M$27,Inputs!$B$4="Chapter Hunt"),CHOOSE(ArtifactsInput!$N$27+1,20,24,28,32,36,40),0)/100))/B1355))))/Skills!H8+0.000000001),1)))/Inputs!$B$43),G1321*Q1321)+IF(AND(Inputs!$B$38&lt;&gt;"pvp",Inputs!$B$43&gt;0),((Skills!G11*((R1324-1)*IF(Skills!H11&gt;0,INT(Skills!I11/Skills!H11+0.000000001),1)+IF(Skills!H11&gt;0,INT(MIN(Skills!I11,MAX(0,MAX(0,Inputs!$B$43-B1351)-((R1324-1)*((IF(Inputs!$B$38="pvp",15,MAX(0.1,Skills!D11-IF(TRUE=TRUE,Inputs!$B$32,0)))*(1-IF(AND(ArtifactsInput!$M$27,Inputs!$B$4="Chapter Hunt"),CHOOSE(ArtifactsInput!$N$27+1,20,24,28,32,36,40),0)/100))/B1355))))/Skills!H11+0.000000001),1)))/Inputs!$B$43),G1324*Q1324)))/(1+Skills!H14*H1327*(B1348+IF(AND(Inputs!$B$38&lt;&gt;"pvp",Inputs!$B$43&gt;0),((Skills!G8*((R1321-1)*IF(Skills!H8&gt;0,INT(Skills!I8/Skills!H8+0.000000001),1)+IF(Skills!H8&gt;0,INT(MIN(Skills!I8,MAX(0,MAX(0,Inputs!$B$43-B1351)-((R1321-1)*((IF(Inputs!$B$38="pvp",15,MAX(0.1,Skills!D8-IF(TRUE=TRUE,Inputs!$B$32,0)))*(1-IF(AND(ArtifactsInput!$M$27,Inputs!$B$4="Chapter Hunt"),CHOOSE(ArtifactsInput!$N$27+1,20,24,28,32,36,40),0)/100))/B1355))))/Skills!H8+0.000000001),1)))/Inputs!$B$43),G1321*Q1321)+IF(AND(Inputs!$B$38&lt;&gt;"pvp",Inputs!$B$43&gt;0),((Skills!G11*((R1324-1)*IF(Skills!H11&gt;0,INT(Skills!I11/Skills!H11+0.000000001),1)+IF(Skills!H11&gt;0,INT(MIN(Skills!I11,MAX(0,MAX(0,Inputs!$B$43-B1351)-((R1324-1)*((IF(Inputs!$B$38="pvp",15,MAX(0.1,Skills!D11-IF(TRUE=TRUE,Inputs!$B$32,0)))*(1-IF(AND(ArtifactsInput!$M$27,Inputs!$B$4="Chapter Hunt"),CHOOSE(ArtifactsInput!$N$27+1,20,24,28,32,36,40),0)/100))/B1355))))/Skills!H11+0.000000001),1)))/Inputs!$B$43),G1324*Q1324)))*N1327)*IF(Inputs!$B$38="pvp",1,1+(Inputs!$B$20+0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Hunt"),CHOOSE(ArtifactsInput!$N$35+1,15,18,21,24,27,30)*(1-EXP(-(0.2*B1346)*5)),0)+IF(AND(ArtifactsInput!$M$22,Inputs!$B$4&lt;&gt;"Chapter Hunt"),CHOOSE(ArtifactsInput!$N$22+1,10,12,14,16,18,20)*((0*(((0.15*B1346*5))^0/1)+1*(((0.15*B1346*5))^1/1)+2*(((0.15*B1346*5))^2/2)+3*(((0.15*B1346*5))^3/6)+4*(((0.15*B1346*5))^4/24)+5*(((0.15*B1346*5))^5/120))/((((0.15*B1346*5))^0/1)+(((0.15*B1346*5))^1/1)+(((0.15*B1346*5))^2/2)+(((0.15*B1346*5))^3/6)+(((0.15*B1346*5))^4/24)+(((0.15*B1346*5))^5/120))),0))+IF(Inputs!$B$3&gt;=54,9*(C1316=TRUE)*MIN(1,8*(1+Inputs!$B$34/100)*Q1316)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1327*(1-MIN(100,(Inputs!$B$9+((C1332=TRUE)*(F1332-Calc!F19))+B1344+(ArtifactsInput!$M$24-ArtifactsInput!$M$24)*CHOOSE(ArtifactsInput!$N$24+1,10,12,14,16,18,20)+(IF(AND(Inputs!$B$38&lt;&gt;"pvp",Inputs!$B$43=0),1,IF(IF(Inputs!$B$38="pvp",15,Inputs!$B$43)-(B1351)&lt;=0,1,MAX(0,IF(Inputs!$B$38="pvp",15,Inputs!$B$43)-MAX(5,B1351))/(IF(Inputs!$B$38="pvp",15,Inputs!$B$43)-(B1351))))*IF(AND(ArtifactsInput!$M$42,((Inputs!$B$9+((C1332=TRUE)*(F1332-Calc!F19))+B1344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1327*(MIN(100,(Inputs!$B$9+((C1332=TRUE)*(F1332-Calc!F19))+B1344+(ArtifactsInput!$M$24-ArtifactsInput!$M$24)*CHOOSE(ArtifactsInput!$N$24+1,10,12,14,16,18,20)+(IF(AND(Inputs!$B$38&lt;&gt;"pvp",Inputs!$B$43=0),1,IF(IF(Inputs!$B$38="pvp",15,Inputs!$B$43)-(B1351)&lt;=0,1,MAX(0,IF(Inputs!$B$38="pvp",15,Inputs!$B$43)-MAX(5,B1351))/(IF(Inputs!$B$38="pvp",15,Inputs!$B$43)-(B1351))))*IF(AND(ArtifactsInput!$M$42,((Inputs!$B$9+((C1332=TRUE)*(F1332-Calc!F19))+B1344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1327*(1-MIN(100,(Inputs!$B$9+((C1332=TRUE)*(F1332-Calc!F19))+B1344+(ArtifactsInput!$M$24-ArtifactsInput!$M$24)*CHOOSE(ArtifactsInput!$N$24+1,10,12,14,16,18,20)+(IF(AND(Inputs!$B$38&lt;&gt;"pvp",Inputs!$B$43=0),1,IF(IF(Inputs!$B$38="pvp",15,Inputs!$B$43)-(B1351)&lt;=0,1,MAX(0,IF(Inputs!$B$38="pvp",15,Inputs!$B$43)-MAX(5,B1351))/(IF(Inputs!$B$38="pvp",15,Inputs!$B$43)-(B1351))))*IF(AND(ArtifactsInput!$M$42,((Inputs!$B$9+((C1332=TRUE)*(F1332-Calc!F19))+B1344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1327*(MIN(100,(Inputs!$B$9+((C1332=TRUE)*(F1332-Calc!F19))+B1344+(ArtifactsInput!$M$24-ArtifactsInput!$M$24)*CHOOSE(ArtifactsInput!$N$24+1,10,12,14,16,18,20)+(IF(AND(Inputs!$B$38&lt;&gt;"pvp",Inputs!$B$43=0),1,IF(IF(Inputs!$B$38="pvp",15,Inputs!$B$43)-(B1351)&lt;=0,1,MAX(0,IF(Inputs!$B$38="pvp",15,Inputs!$B$43)-MAX(5,B1351))/(IF(Inputs!$B$38="pvp",15,Inputs!$B$43)-(B1351))))*IF(AND(ArtifactsInput!$M$42,((Inputs!$B$9+((C1332=TRUE)*(F1332-Calc!F19))+B1344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327">
        <f>IF(C1327,((H1327*(B1348+IF(AND(Inputs!$B$38&lt;&gt;"pvp",Inputs!$B$43&gt;0),((Skills!G8*((R1321-1)*IF(Skills!H8&gt;0,INT(Skills!I8/Skills!H8+0.000000001),1)+IF(Skills!H8&gt;0,INT(MIN(Skills!I8,MAX(0,MAX(0,Inputs!$B$43-B1351)-((R1321-1)*((IF(Inputs!$B$38="pvp",15,MAX(0.1,Skills!D8-IF(TRUE=TRUE,Inputs!$B$32,0)))*(1-IF(AND(ArtifactsInput!$M$27,Inputs!$B$4="Chapter Hunt"),CHOOSE(ArtifactsInput!$N$27+1,20,24,28,32,36,40),0)/100))/B1355))))/Skills!H8+0.000000001),1)))/Inputs!$B$43),G1321*Q1321)+IF(AND(Inputs!$B$38&lt;&gt;"pvp",Inputs!$B$43&gt;0),((Skills!G11*((R1324-1)*IF(Skills!H11&gt;0,INT(Skills!I11/Skills!H11+0.000000001),1)+IF(Skills!H11&gt;0,INT(MIN(Skills!I11,MAX(0,MAX(0,Inputs!$B$43-B1351)-((R1324-1)*((IF(Inputs!$B$38="pvp",15,MAX(0.1,Skills!D11-IF(TRUE=TRUE,Inputs!$B$32,0)))*(1-IF(AND(ArtifactsInput!$M$27,Inputs!$B$4="Chapter Hunt"),CHOOSE(ArtifactsInput!$N$27+1,20,24,28,32,36,40),0)/100))/B1355))))/Skills!H11+0.000000001),1)))/Inputs!$B$43),G1324*Q1324)))/(1+Skills!H14*H1327*(B1348+IF(AND(Inputs!$B$38&lt;&gt;"pvp",Inputs!$B$43&gt;0),((Skills!G8*((R1321-1)*IF(Skills!H8&gt;0,INT(Skills!I8/Skills!H8+0.000000001),1)+IF(Skills!H8&gt;0,INT(MIN(Skills!I8,MAX(0,MAX(0,Inputs!$B$43-B1351)-((R1321-1)*((IF(Inputs!$B$38="pvp",15,MAX(0.1,Skills!D8-IF(TRUE=TRUE,Inputs!$B$32,0)))*(1-IF(AND(ArtifactsInput!$M$27,Inputs!$B$4="Chapter Hunt"),CHOOSE(ArtifactsInput!$N$27+1,20,24,28,32,36,40),0)/100))/B1355))))/Skills!H8+0.000000001),1)))/Inputs!$B$43),G1321*Q1321)+IF(AND(Inputs!$B$38&lt;&gt;"pvp",Inputs!$B$43&gt;0),((Skills!G11*((R1324-1)*IF(Skills!H11&gt;0,INT(Skills!I11/Skills!H11+0.000000001),1)+IF(Skills!H11&gt;0,INT(MIN(Skills!I11,MAX(0,MAX(0,Inputs!$B$43-B1351)-((R1324-1)*((IF(Inputs!$B$38="pvp",15,MAX(0.1,Skills!D11-IF(TRUE=TRUE,Inputs!$B$32,0)))*(1-IF(AND(ArtifactsInput!$M$27,Inputs!$B$4="Chapter Hunt"),CHOOSE(ArtifactsInput!$N$27+1,20,24,28,32,36,40),0)/100))/B1355))))/Skills!H11+0.000000001),1)))/Inputs!$B$43),G1324*Q1324)))*N1327)*IF(Inputs!$B$38="pvp",1,(1+(Inputs!$B$21+Skills!Q14+(IF(ArtifactsInput!$M$33,CHOOSE(ArtifactsInput!$N$33+1,30,36,42,48,54,60),0))+(IF(AND(ArtifactsInput!$M$35,Inputs!$B$4&lt;&gt;"Chapter Hunt"),CHOOSE(ArtifactsInput!$N$35+1,15,18,21,24,27,30)*(1-EXP(-(0.2*B1346)*5)),0)+IF(AND(ArtifactsInput!$M$22,Inputs!$B$4&lt;&gt;"Chapter Hunt"),CHOOSE(ArtifactsInput!$N$22+1,10,12,14,16,18,20)*((0*(((0.15*B1346*5))^0/1)+1*(((0.15*B1346*5))^1/1)+2*(((0.15*B1346*5))^2/2)+3*(((0.15*B1346*5))^3/6)+4*(((0.15*B1346*5))^4/24)+5*(((0.15*B1346*5))^5/120))/((((0.15*B1346*5))^0/1)+(((0.15*B1346*5))^1/1)+(((0.15*B1346*5))^2/2)+(((0.15*B1346*5))^3/6)+(((0.15*B1346*5))^4/24)+(((0.15*B1346*5))^5/120))),0))+IF(Inputs!$B$3&gt;=54,9*(C1316=TRUE)*MIN(1,8*(1+Inputs!$B$34/100)*Q1316),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28">
      <c r="A1328">
        <f>Skills!A15</f>
        <v/>
      </c>
      <c r="B1328">
        <f>Skills!B15</f>
        <v/>
      </c>
      <c r="C1328">
        <f>Inputs!$B$3&gt;=100</f>
        <v/>
      </c>
      <c r="D1328">
        <f>IF(Skills!C15=1,60+Inputs!$B$25+Inputs!$B$29,IF(Skills!C15=2,90+Inputs!$B$26+Inputs!$B$29,IF(Skills!C15=3,120+Inputs!$B$27+Inputs!$B$29,MAX(0,(Inputs!$B$3-100)*3)+Inputs!$B$28+Inputs!$B$29)))</f>
        <v/>
      </c>
      <c r="E1328">
        <f>INDEX(FactorTable!$B$2:$Y$301, MATCH(ROUND(MIN(300,MAX(1,D1328)),0), FactorTable!$A$2:$A$301,0), Skills!M15+1)</f>
        <v/>
      </c>
      <c r="F1328">
        <f>IF(Skills!N15=TRUE,(Skills!L15/10)*(E1328/1000),Skills!L15/10)+Skills!O15</f>
        <v/>
      </c>
      <c r="G1328" t="inlineStr"/>
      <c r="H1328" t="inlineStr"/>
      <c r="I1328" t="inlineStr">
        <is>
          <t>1</t>
        </is>
      </c>
      <c r="J1328" t="inlineStr"/>
      <c r="K1328" t="inlineStr"/>
      <c r="L1328" t="inlineStr"/>
      <c r="M1328" t="inlineStr"/>
      <c r="N1328" t="inlineStr"/>
      <c r="O1328" t="inlineStr"/>
      <c r="P1328" t="inlineStr"/>
      <c r="Q1328" t="inlineStr"/>
      <c r="R1328" t="inlineStr"/>
      <c r="S1328" t="inlineStr"/>
    </row>
    <row r="1329">
      <c r="A1329">
        <f>Skills!A16</f>
        <v/>
      </c>
      <c r="B1329">
        <f>Skills!B16</f>
        <v/>
      </c>
      <c r="C1329">
        <f>Inputs!$B$3&gt;=107</f>
        <v/>
      </c>
      <c r="D1329">
        <f>IF(Skills!C16=1,60+Inputs!$B$25+Inputs!$B$29,IF(Skills!C16=2,90+Inputs!$B$26+Inputs!$B$29,IF(Skills!C16=3,120+Inputs!$B$27+Inputs!$B$29,MAX(0,(Inputs!$B$3-100)*3)+Inputs!$B$28+Inputs!$B$29)))</f>
        <v/>
      </c>
      <c r="E1329">
        <f>INDEX(FactorTable!$B$2:$Y$301, MATCH(ROUND(MIN(300,MAX(1,D1329)),0), FactorTable!$A$2:$A$301,0), Skills!M16+1)</f>
        <v/>
      </c>
      <c r="F1329">
        <f>IF(Skills!N16=TRUE,(Skills!L16/10)*(E1329/1000),Skills!L16/10)+Skills!O16</f>
        <v/>
      </c>
      <c r="G1329" t="inlineStr"/>
      <c r="H1329" t="inlineStr"/>
      <c r="I1329" t="inlineStr">
        <is>
          <t>1</t>
        </is>
      </c>
      <c r="J1329" t="inlineStr"/>
      <c r="K1329" t="inlineStr"/>
      <c r="L1329" t="inlineStr"/>
      <c r="M1329" t="inlineStr"/>
      <c r="N1329" t="inlineStr"/>
      <c r="O1329" t="inlineStr"/>
      <c r="P1329" t="inlineStr"/>
      <c r="Q1329" t="inlineStr"/>
      <c r="R1329" t="inlineStr"/>
      <c r="S1329" t="inlineStr"/>
    </row>
    <row r="1330">
      <c r="A1330">
        <f>Skills!A17</f>
        <v/>
      </c>
      <c r="B1330">
        <f>Skills!B17</f>
        <v/>
      </c>
      <c r="C1330">
        <f>Inputs!$B$3&gt;=74</f>
        <v/>
      </c>
      <c r="D1330">
        <f>IF(Skills!C17=1,60+Inputs!$B$25+Inputs!$B$29,IF(Skills!C17=2,90+Inputs!$B$26+Inputs!$B$29,IF(Skills!C17=3,120+Inputs!$B$27+Inputs!$B$29,MAX(0,(Inputs!$B$3-100)*3)+Inputs!$B$28+Inputs!$B$29)))</f>
        <v/>
      </c>
      <c r="E1330">
        <f>INDEX(FactorTable!$B$2:$Y$301, MATCH(ROUND(MIN(300,MAX(1,D1330)),0), FactorTable!$A$2:$A$301,0), Skills!M17+1)</f>
        <v/>
      </c>
      <c r="F1330">
        <f>IF(Skills!N17=TRUE,(Skills!L17/10)*(E1330/1000),Skills!L17/10)+Skills!O17</f>
        <v/>
      </c>
      <c r="G1330">
        <f>Skills!G17*IF(Skills!H17&gt;0,INT(IF(Inputs!$B$38="pvp",MIN(Skills!I17,15),Skills!I17)/Skills!H17+0.000000001),1)</f>
        <v/>
      </c>
      <c r="H1330">
        <f>1-(1-Skills!J17/100)^Skills!K17</f>
        <v/>
      </c>
      <c r="I1330" t="inlineStr">
        <is>
          <t>1</t>
        </is>
      </c>
      <c r="J1330" t="inlineStr"/>
      <c r="K1330" t="inlineStr"/>
      <c r="L1330" t="inlineStr"/>
      <c r="M1330" t="inlineStr"/>
      <c r="N1330" t="inlineStr"/>
      <c r="O1330">
        <f>(1-Summary!$B$11)*T1330+Summary!$B$11*V1330</f>
        <v/>
      </c>
      <c r="P1330">
        <f>IF(B1354=0,0,O1330/B1354)</f>
        <v/>
      </c>
      <c r="Q1330" t="n">
        <v>0</v>
      </c>
      <c r="R1330" t="n">
        <v>0</v>
      </c>
      <c r="S1330">
        <f>IFERROR(O1330/N1330,0)</f>
        <v/>
      </c>
      <c r="T1330" t="n">
        <v>0</v>
      </c>
      <c r="V1330" t="n">
        <v>0</v>
      </c>
    </row>
    <row r="1331">
      <c r="A1331">
        <f>Skills!A18</f>
        <v/>
      </c>
      <c r="B1331">
        <f>Skills!B18</f>
        <v/>
      </c>
      <c r="C1331">
        <f>Inputs!$B$3&gt;=115</f>
        <v/>
      </c>
      <c r="D1331">
        <f>IF(Skills!C18=1,60+Inputs!$B$25+Inputs!$B$29,IF(Skills!C18=2,90+Inputs!$B$26+Inputs!$B$29,IF(Skills!C18=3,120+Inputs!$B$27+Inputs!$B$29,MAX(0,(Inputs!$B$3-100)*3)+Inputs!$B$28+Inputs!$B$29)))</f>
        <v/>
      </c>
      <c r="E1331">
        <f>INDEX(FactorTable!$B$2:$Y$301, MATCH(ROUND(MIN(300,MAX(1,D1331)),0), FactorTable!$A$2:$A$301,0), Skills!M18+1)</f>
        <v/>
      </c>
      <c r="F1331">
        <f>IF(Skills!N18=TRUE,(Skills!L18/10)*(E1331/1000),Skills!L18/10)+Skills!O18</f>
        <v/>
      </c>
      <c r="G1331">
        <f>Skills!G18*IF(Skills!H18&gt;0,INT(IF(Inputs!$B$38="pvp",MIN(Skills!I18,15),Skills!I18)/Skills!H18+0.000000001),1)</f>
        <v/>
      </c>
      <c r="H1331">
        <f>1-(1-Skills!J18/100)^Skills!K18</f>
        <v/>
      </c>
      <c r="I1331" t="inlineStr">
        <is>
          <t>1</t>
        </is>
      </c>
      <c r="J1331" t="inlineStr"/>
      <c r="K1331" t="inlineStr"/>
      <c r="L1331" t="inlineStr"/>
      <c r="M1331" t="inlineStr"/>
      <c r="N1331" t="inlineStr"/>
      <c r="O1331">
        <f>(1-Summary!$B$11)*T1331+Summary!$B$11*V1331</f>
        <v/>
      </c>
      <c r="P1331">
        <f>IF(B1354=0,0,O1331/B1354)</f>
        <v/>
      </c>
      <c r="Q1331">
        <f>IFERROR(1/(IF(Inputs!$B$38="pvp",15,MAX(0.1,Skills!D18-IF(TRUE=TRUE,Inputs!$B$32,0)))*(1-IF(AND(ArtifactsInput!$M$27,Inputs!$B$4="Chapter Hunt"),CHOOSE(ArtifactsInput!$N$27+1,20,24,28,32,36,40),0)/100)),0)</f>
        <v/>
      </c>
      <c r="R1331">
        <f>IF(AND(Inputs!$B$38&lt;&gt;"pvp",Inputs!$B$43&gt;0),IF(Inputs!$B$43&lt;=0,0,(INT(Inputs!$B$43/(IF(Inputs!$B$38="pvp",15,MAX(0.1,Skills!D18-IF(TRUE=TRUE,Inputs!$B$32,0)))*(1-IF(AND(ArtifactsInput!$M$27,Inputs!$B$4="Chapter Hunt"),CHOOSE(ArtifactsInput!$N$27+1,20,24,28,32,36,40),0)/100)))+1)),0)</f>
        <v/>
      </c>
      <c r="S1331">
        <f>IFERROR(O1331/N1331,0)</f>
        <v/>
      </c>
      <c r="T1331" t="n">
        <v>0</v>
      </c>
      <c r="V1331" t="n">
        <v>0</v>
      </c>
    </row>
    <row r="1332">
      <c r="A1332">
        <f>Skills!A19</f>
        <v/>
      </c>
      <c r="B1332">
        <f>Skills!B19</f>
        <v/>
      </c>
      <c r="C1332">
        <f>Inputs!$B$3&gt;=10</f>
        <v/>
      </c>
      <c r="D1332">
        <f>IF(Skills!C19=1,60+Inputs!$B$25+Inputs!$B$29,IF(Skills!C19=2,90+Inputs!$B$26+Inputs!$B$29,IF(Skills!C19=3,120+Inputs!$B$27+Inputs!$B$29,MAX(0,(Inputs!$B$3-100)*3)+Inputs!$B$28+Inputs!$B$29)))</f>
        <v/>
      </c>
      <c r="E1332">
        <f>INDEX(FactorTable!$B$2:$Y$301, MATCH(ROUND(MIN(300,MAX(1,D1332)),0), FactorTable!$A$2:$A$301,0), Skills!M19+1)</f>
        <v/>
      </c>
      <c r="F1332">
        <f>IF(Skills!N19=TRUE,(Skills!L19/10)*(E1332/1000),Skills!L19/10)+Skills!O19</f>
        <v/>
      </c>
      <c r="G1332">
        <f>Skills!G19*IF(Skills!H19&gt;0,INT(IF(Inputs!$B$38="pvp",MIN(Skills!I19,15),Skills!I19)/Skills!H19+0.000000001),1)</f>
        <v/>
      </c>
      <c r="H1332">
        <f>1-(1-Skills!J19/100)^Skills!K19</f>
        <v/>
      </c>
      <c r="I1332" t="inlineStr">
        <is>
          <t>1</t>
        </is>
      </c>
      <c r="J1332" t="inlineStr"/>
      <c r="K1332" t="inlineStr"/>
      <c r="L1332" t="inlineStr"/>
      <c r="M1332" t="inlineStr"/>
      <c r="N1332" t="inlineStr"/>
      <c r="O1332">
        <f>(1-Summary!$B$11)*T1332+Summary!$B$11*V1332</f>
        <v/>
      </c>
      <c r="P1332">
        <f>IF(B1354=0,0,O1332/B1354)</f>
        <v/>
      </c>
      <c r="Q1332" t="n">
        <v>0</v>
      </c>
      <c r="R1332" t="n">
        <v>0</v>
      </c>
      <c r="S1332">
        <f>IFERROR(O1332/N1332,0)</f>
        <v/>
      </c>
      <c r="T1332" t="n">
        <v>0</v>
      </c>
      <c r="V1332" t="n">
        <v>0</v>
      </c>
    </row>
    <row r="1333">
      <c r="A1333">
        <f>Skills!A20</f>
        <v/>
      </c>
      <c r="B1333">
        <f>Skills!B20</f>
        <v/>
      </c>
      <c r="C1333">
        <f>Inputs!$B$3&gt;=15</f>
        <v/>
      </c>
      <c r="D1333">
        <f>IF(Skills!C20=1,60+Inputs!$B$25+Inputs!$B$29,IF(Skills!C20=2,90+Inputs!$B$26+Inputs!$B$29,IF(Skills!C20=3,120+Inputs!$B$27+Inputs!$B$29,MAX(0,(Inputs!$B$3-100)*3)+Inputs!$B$28+Inputs!$B$29)))</f>
        <v/>
      </c>
      <c r="E1333">
        <f>INDEX(FactorTable!$B$2:$Y$301, MATCH(ROUND(MIN(300,MAX(1,D1333)),0), FactorTable!$A$2:$A$301,0), Skills!M20+1)</f>
        <v/>
      </c>
      <c r="F1333">
        <f>IF(Skills!N20=TRUE,(Skills!L20/10)*(E1333/1000),Skills!L20/10)+Skills!O20</f>
        <v/>
      </c>
      <c r="G1333">
        <f>Skills!G20*IF(Skills!H20&gt;0,INT(IF(Inputs!$B$38="pvp",MIN(Skills!I20,15),Skills!I20)/Skills!H20+0.000000001),1)</f>
        <v/>
      </c>
      <c r="H1333">
        <f>1-(1-Skills!J20/100)^Skills!K20</f>
        <v/>
      </c>
      <c r="I1333" t="inlineStr">
        <is>
          <t>1</t>
        </is>
      </c>
      <c r="J1333" t="inlineStr"/>
      <c r="K1333" t="inlineStr"/>
      <c r="L1333" t="inlineStr"/>
      <c r="M1333" t="inlineStr"/>
      <c r="N1333" t="inlineStr"/>
      <c r="O1333">
        <f>(1-Summary!$B$11)*T1333+Summary!$B$11*V1333</f>
        <v/>
      </c>
      <c r="P1333">
        <f>IF(B1354=0,0,O1333/B1354)</f>
        <v/>
      </c>
      <c r="Q1333" t="n">
        <v>0</v>
      </c>
      <c r="R1333" t="n">
        <v>0</v>
      </c>
      <c r="S1333">
        <f>IFERROR(O1333/N1333,0)</f>
        <v/>
      </c>
      <c r="T1333" t="n">
        <v>0</v>
      </c>
      <c r="V1333" t="n">
        <v>0</v>
      </c>
    </row>
    <row r="1334">
      <c r="A1334">
        <f>Skills!A21</f>
        <v/>
      </c>
      <c r="B1334">
        <f>Skills!B21</f>
        <v/>
      </c>
      <c r="C1334">
        <f>Inputs!$B$3&gt;=40</f>
        <v/>
      </c>
      <c r="D1334">
        <f>IF(Skills!C21=1,60+Inputs!$B$25+Inputs!$B$29,IF(Skills!C21=2,90+Inputs!$B$26+Inputs!$B$29,IF(Skills!C21=3,120+Inputs!$B$27+Inputs!$B$29,MAX(0,(Inputs!$B$3-100)*3)+Inputs!$B$28+Inputs!$B$29)))</f>
        <v/>
      </c>
      <c r="E1334">
        <f>INDEX(FactorTable!$B$2:$Y$301, MATCH(ROUND(MIN(300,MAX(1,D1334)),0), FactorTable!$A$2:$A$301,0), Skills!M21+1)</f>
        <v/>
      </c>
      <c r="F1334">
        <f>IF(Skills!N21=TRUE,(Skills!L21/10)*(E1334/1000),Skills!L21/10)+Skills!O21</f>
        <v/>
      </c>
      <c r="G1334">
        <f>Skills!G21*IF(Skills!H21&gt;0,INT(IF(Inputs!$B$38="pvp",MIN(Skills!I21,15),Skills!I21)/Skills!H21+0.000000001),1)</f>
        <v/>
      </c>
      <c r="H1334">
        <f>1-(1-Skills!J21/100)^Skills!K21</f>
        <v/>
      </c>
      <c r="I1334" t="inlineStr">
        <is>
          <t>1</t>
        </is>
      </c>
      <c r="J1334" t="inlineStr"/>
      <c r="K1334" t="inlineStr"/>
      <c r="L1334" t="inlineStr"/>
      <c r="M1334" t="inlineStr"/>
      <c r="N1334" t="inlineStr"/>
      <c r="O1334">
        <f>(1-Summary!$B$11)*T1334+Summary!$B$11*V1334</f>
        <v/>
      </c>
      <c r="P1334">
        <f>IF(B1354=0,0,O1334/B1354)</f>
        <v/>
      </c>
      <c r="Q1334" t="n">
        <v>0</v>
      </c>
      <c r="R1334" t="n">
        <v>0</v>
      </c>
      <c r="S1334">
        <f>IFERROR(O1334/N1334,0)</f>
        <v/>
      </c>
      <c r="T1334" t="n">
        <v>0</v>
      </c>
      <c r="V1334" t="n">
        <v>0</v>
      </c>
    </row>
    <row r="1335">
      <c r="A1335">
        <f>Skills!A22</f>
        <v/>
      </c>
      <c r="B1335">
        <f>Skills!B22</f>
        <v/>
      </c>
      <c r="C1335">
        <f>Inputs!$B$3&gt;=43</f>
        <v/>
      </c>
      <c r="D1335">
        <f>IF(Skills!C22=1,60+Inputs!$B$25+Inputs!$B$29,IF(Skills!C22=2,90+Inputs!$B$26+Inputs!$B$29,IF(Skills!C22=3,120+Inputs!$B$27+Inputs!$B$29,MAX(0,(Inputs!$B$3-100)*3)+Inputs!$B$28+Inputs!$B$29)))</f>
        <v/>
      </c>
      <c r="E1335">
        <f>INDEX(FactorTable!$B$2:$Y$301, MATCH(ROUND(MIN(300,MAX(1,D1335)),0), FactorTable!$A$2:$A$301,0), Skills!M22+1)</f>
        <v/>
      </c>
      <c r="F1335">
        <f>IF(Skills!N22=TRUE,(Skills!L22/10)*(E1335/1000),Skills!L22/10)+Skills!O22</f>
        <v/>
      </c>
      <c r="G1335">
        <f>Skills!G22*IF(Skills!H22&gt;0,INT(IF(Inputs!$B$38="pvp",MIN(Skills!I22,15),Skills!I22)/Skills!H22+0.000000001),1)</f>
        <v/>
      </c>
      <c r="H1335">
        <f>1-(1-Skills!J22/100)^Skills!K22</f>
        <v/>
      </c>
      <c r="I1335" t="inlineStr">
        <is>
          <t>1</t>
        </is>
      </c>
      <c r="J1335" t="inlineStr"/>
      <c r="K1335" t="inlineStr"/>
      <c r="L1335" t="inlineStr"/>
      <c r="M1335" t="inlineStr"/>
      <c r="N1335" t="inlineStr"/>
      <c r="O1335">
        <f>(1-Summary!$B$11)*T1335+Summary!$B$11*V1335</f>
        <v/>
      </c>
      <c r="P1335">
        <f>IF(B1354=0,0,O1335/B1354)</f>
        <v/>
      </c>
      <c r="Q1335" t="n">
        <v>0</v>
      </c>
      <c r="R1335" t="n">
        <v>0</v>
      </c>
      <c r="S1335">
        <f>IFERROR(O1335/N1335,0)</f>
        <v/>
      </c>
      <c r="T1335" t="n">
        <v>0</v>
      </c>
      <c r="V1335" t="n">
        <v>0</v>
      </c>
    </row>
    <row r="1336">
      <c r="A1336">
        <f>Skills!A23</f>
        <v/>
      </c>
      <c r="B1336">
        <f>Skills!B23</f>
        <v/>
      </c>
      <c r="C1336">
        <f>Inputs!$B$3&gt;=38</f>
        <v/>
      </c>
      <c r="D1336">
        <f>IF(Skills!C23=1,60+Inputs!$B$25+Inputs!$B$29,IF(Skills!C23=2,90+Inputs!$B$26+Inputs!$B$29,IF(Skills!C23=3,120+Inputs!$B$27+Inputs!$B$29,MAX(0,(Inputs!$B$3-100)*3)+Inputs!$B$28+Inputs!$B$29)))</f>
        <v/>
      </c>
      <c r="E1336">
        <f>INDEX(FactorTable!$B$2:$Y$301, MATCH(ROUND(MIN(300,MAX(1,D1336)),0), FactorTable!$A$2:$A$301,0), Skills!M23+1)</f>
        <v/>
      </c>
      <c r="F1336">
        <f>IF(Skills!N23=TRUE,(Skills!L23/10)*(E1336/1000),Skills!L23/10)+Skills!O23</f>
        <v/>
      </c>
      <c r="G1336">
        <f>Skills!G23*IF(Skills!H23&gt;0,INT(IF(Inputs!$B$38="pvp",MIN(Skills!I23,15),Skills!I23)/Skills!H23+0.000000001),1)</f>
        <v/>
      </c>
      <c r="H1336">
        <f>1-(1-Skills!J23/100)^Skills!K23</f>
        <v/>
      </c>
      <c r="I1336" t="inlineStr">
        <is>
          <t>1</t>
        </is>
      </c>
      <c r="J1336" t="inlineStr"/>
      <c r="K1336" t="inlineStr"/>
      <c r="L1336" t="inlineStr"/>
      <c r="M1336" t="inlineStr"/>
      <c r="N1336" t="inlineStr"/>
      <c r="O1336">
        <f>(1-Summary!$B$11)*T1336+Summary!$B$11*V1336</f>
        <v/>
      </c>
      <c r="P1336">
        <f>IF(B1354=0,0,O1336/B1354)</f>
        <v/>
      </c>
      <c r="Q1336" t="n">
        <v>0</v>
      </c>
      <c r="R1336" t="n">
        <v>0</v>
      </c>
      <c r="S1336">
        <f>IFERROR(O1336/N1336,0)</f>
        <v/>
      </c>
      <c r="T1336" t="n">
        <v>0</v>
      </c>
      <c r="V1336" t="n">
        <v>0</v>
      </c>
    </row>
    <row r="1337">
      <c r="A1337">
        <f>Skills!A24</f>
        <v/>
      </c>
      <c r="B1337">
        <f>Skills!B24</f>
        <v/>
      </c>
      <c r="C1337">
        <f>Inputs!$B$3&gt;=45</f>
        <v/>
      </c>
      <c r="D1337">
        <f>IF(Skills!C24=1,60+Inputs!$B$25+Inputs!$B$29,IF(Skills!C24=2,90+Inputs!$B$26+Inputs!$B$29,IF(Skills!C24=3,120+Inputs!$B$27+Inputs!$B$29,MAX(0,(Inputs!$B$3-100)*3)+Inputs!$B$28+Inputs!$B$29)))</f>
        <v/>
      </c>
      <c r="E1337">
        <f>INDEX(FactorTable!$B$2:$Y$301, MATCH(ROUND(MIN(300,MAX(1,D1337)),0), FactorTable!$A$2:$A$301,0), Skills!M24+1)</f>
        <v/>
      </c>
      <c r="F1337">
        <f>IF(Skills!N24=TRUE,(Skills!L24/10)*(E1337/1000),Skills!L24/10)+Skills!O24</f>
        <v/>
      </c>
      <c r="G1337">
        <f>Skills!G24*IF(Skills!H24&gt;0,INT(IF(Inputs!$B$38="pvp",MIN(Skills!I24,15),Skills!I24)/Skills!H24+0.000000001),1)</f>
        <v/>
      </c>
      <c r="H1337">
        <f>1-(1-Skills!J24/100)^Skills!K24</f>
        <v/>
      </c>
      <c r="I1337" t="inlineStr">
        <is>
          <t>1</t>
        </is>
      </c>
      <c r="J1337" t="inlineStr"/>
      <c r="K1337" t="inlineStr"/>
      <c r="L1337" t="inlineStr"/>
      <c r="M1337" t="inlineStr"/>
      <c r="N1337" t="inlineStr"/>
      <c r="O1337">
        <f>(1-Summary!$B$11)*T1337+Summary!$B$11*V1337</f>
        <v/>
      </c>
      <c r="P1337">
        <f>IF(B1354=0,0,O1337/B1354)</f>
        <v/>
      </c>
      <c r="Q1337" t="n">
        <v>0</v>
      </c>
      <c r="R1337" t="n">
        <v>0</v>
      </c>
      <c r="S1337">
        <f>IFERROR(O1337/N1337,0)</f>
        <v/>
      </c>
      <c r="T1337" t="n">
        <v>0</v>
      </c>
      <c r="V1337" t="n">
        <v>0</v>
      </c>
    </row>
    <row r="1338">
      <c r="A1338">
        <f>Skills!A25</f>
        <v/>
      </c>
      <c r="B1338">
        <f>Skills!B25</f>
        <v/>
      </c>
      <c r="C1338">
        <f>Inputs!$B$3&gt;=72</f>
        <v/>
      </c>
      <c r="D1338">
        <f>IF(Skills!C25=1,60+Inputs!$B$25+Inputs!$B$29,IF(Skills!C25=2,90+Inputs!$B$26+Inputs!$B$29,IF(Skills!C25=3,120+Inputs!$B$27+Inputs!$B$29,MAX(0,(Inputs!$B$3-100)*3)+Inputs!$B$28+Inputs!$B$29)))</f>
        <v/>
      </c>
      <c r="E1338">
        <f>INDEX(FactorTable!$B$2:$Y$301, MATCH(ROUND(MIN(300,MAX(1,D1338)),0), FactorTable!$A$2:$A$301,0), Skills!M25+1)</f>
        <v/>
      </c>
      <c r="F1338">
        <f>IF(Skills!N25=TRUE,(Skills!L25/10)*(E1338/1000),Skills!L25/10)+Skills!O25</f>
        <v/>
      </c>
      <c r="G1338">
        <f>Skills!G25*IF(Skills!H25&gt;0,INT(IF(Inputs!$B$38="pvp",MIN(Skills!I25,15),Skills!I25)/Skills!H25+0.000000001),1)</f>
        <v/>
      </c>
      <c r="H1338">
        <f>1-(1-Skills!J25/100)^Skills!K25</f>
        <v/>
      </c>
      <c r="I1338" t="inlineStr">
        <is>
          <t>1</t>
        </is>
      </c>
      <c r="J1338" t="inlineStr"/>
      <c r="K1338" t="inlineStr"/>
      <c r="L1338" t="inlineStr"/>
      <c r="M1338" t="inlineStr"/>
      <c r="N1338" t="inlineStr"/>
      <c r="O1338">
        <f>(1-Summary!$B$11)*T1338+Summary!$B$11*V1338</f>
        <v/>
      </c>
      <c r="P1338">
        <f>IF(B1354=0,0,O1338/B1354)</f>
        <v/>
      </c>
      <c r="Q1338" t="n">
        <v>0</v>
      </c>
      <c r="R1338" t="n">
        <v>0</v>
      </c>
      <c r="S1338">
        <f>IFERROR(O1338/N1338,0)</f>
        <v/>
      </c>
      <c r="T1338" t="n">
        <v>0</v>
      </c>
      <c r="V1338" t="n">
        <v>0</v>
      </c>
    </row>
    <row r="1339">
      <c r="A1339">
        <f>Skills!A26</f>
        <v/>
      </c>
      <c r="B1339">
        <f>Skills!B26</f>
        <v/>
      </c>
      <c r="C1339">
        <f>Inputs!$B$3&gt;=75</f>
        <v/>
      </c>
      <c r="D1339">
        <f>IF(Skills!C26=1,60+Inputs!$B$25+Inputs!$B$29,IF(Skills!C26=2,90+Inputs!$B$26+Inputs!$B$29,IF(Skills!C26=3,120+Inputs!$B$27+Inputs!$B$29,MAX(0,(Inputs!$B$3-100)*3)+Inputs!$B$28+Inputs!$B$29)))</f>
        <v/>
      </c>
      <c r="E1339">
        <f>INDEX(FactorTable!$B$2:$Y$301, MATCH(ROUND(MIN(300,MAX(1,D1339)),0), FactorTable!$A$2:$A$301,0), Skills!M26+1)</f>
        <v/>
      </c>
      <c r="F1339">
        <f>IF(Skills!N26=TRUE,(Skills!L26/10)*(E1339/1000),Skills!L26/10)+Skills!O26</f>
        <v/>
      </c>
      <c r="G1339">
        <f>Skills!G26*IF(Skills!H26&gt;0,INT(IF(Inputs!$B$38="pvp",MIN(Skills!I26,15),Skills!I26)/Skills!H26+0.000000001),1)</f>
        <v/>
      </c>
      <c r="H1339">
        <f>1-(1-Skills!J26/100)^Skills!K26</f>
        <v/>
      </c>
      <c r="I1339" t="inlineStr">
        <is>
          <t>1</t>
        </is>
      </c>
      <c r="J1339" t="inlineStr"/>
      <c r="K1339" t="inlineStr"/>
      <c r="L1339" t="inlineStr"/>
      <c r="M1339" t="inlineStr"/>
      <c r="N1339" t="inlineStr"/>
      <c r="O1339">
        <f>(1-Summary!$B$11)*T1339+Summary!$B$11*V1339</f>
        <v/>
      </c>
      <c r="P1339">
        <f>IF(B1354=0,0,O1339/B1354)</f>
        <v/>
      </c>
      <c r="Q1339" t="n">
        <v>0</v>
      </c>
      <c r="R1339" t="n">
        <v>0</v>
      </c>
      <c r="S1339">
        <f>IFERROR(O1339/N1339,0)</f>
        <v/>
      </c>
      <c r="T1339" t="n">
        <v>0</v>
      </c>
      <c r="V1339" t="n">
        <v>0</v>
      </c>
    </row>
    <row r="1340">
      <c r="A1340">
        <f>Skills!A27</f>
        <v/>
      </c>
      <c r="B1340">
        <f>Skills!B27</f>
        <v/>
      </c>
      <c r="C1340">
        <f>Inputs!$B$3&gt;=125</f>
        <v/>
      </c>
      <c r="D1340">
        <f>IF(Skills!C27=1,60+Inputs!$B$25+Inputs!$B$29,IF(Skills!C27=2,90+Inputs!$B$26+Inputs!$B$29,IF(Skills!C27=3,120+Inputs!$B$27+Inputs!$B$29,MAX(0,(Inputs!$B$3-100)*3)+Inputs!$B$28+Inputs!$B$29)))</f>
        <v/>
      </c>
      <c r="E1340">
        <f>INDEX(FactorTable!$B$2:$Y$301, MATCH(ROUND(MIN(300,MAX(1,D1340)),0), FactorTable!$A$2:$A$301,0), Skills!M27+1)</f>
        <v/>
      </c>
      <c r="F1340">
        <f>IF(Skills!N27=TRUE,(Skills!L27/10)*(E1340/1000),Skills!L27/10)+Skills!O27</f>
        <v/>
      </c>
      <c r="G1340">
        <f>Skills!G27*IF(Skills!H27&gt;0,INT(IF(Inputs!$B$38="pvp",MIN(Skills!I27,15),Skills!I27)/Skills!H27+0.000000001),1)</f>
        <v/>
      </c>
      <c r="H1340">
        <f>1-(1-Skills!J27/100)^Skills!K27</f>
        <v/>
      </c>
      <c r="I1340" t="inlineStr">
        <is>
          <t>1</t>
        </is>
      </c>
      <c r="J1340" t="inlineStr"/>
      <c r="K1340" t="inlineStr"/>
      <c r="L1340" t="inlineStr"/>
      <c r="M1340" t="inlineStr"/>
      <c r="N1340" t="inlineStr"/>
      <c r="O1340">
        <f>(1-Summary!$B$11)*T1340+Summary!$B$11*V1340</f>
        <v/>
      </c>
      <c r="P1340">
        <f>IF(B1354=0,0,O1340/B1354)</f>
        <v/>
      </c>
      <c r="Q1340" t="n">
        <v>0</v>
      </c>
      <c r="R1340" t="n">
        <v>0</v>
      </c>
      <c r="S1340">
        <f>IFERROR(O1340/N1340,0)</f>
        <v/>
      </c>
      <c r="T1340" t="n">
        <v>0</v>
      </c>
      <c r="V1340" t="n">
        <v>0</v>
      </c>
    </row>
    <row r="1341">
      <c r="A1341">
        <f>Skills!A28</f>
        <v/>
      </c>
      <c r="B1341">
        <f>Skills!B28</f>
        <v/>
      </c>
      <c r="C1341">
        <f>TRUE</f>
        <v/>
      </c>
      <c r="D1341">
        <f>IF(Skills!C28=1,60+Inputs!$B$25+Inputs!$B$29,IF(Skills!C28=2,90+Inputs!$B$26+Inputs!$B$29,IF(Skills!C28=3,120+Inputs!$B$27+Inputs!$B$29,MAX(0,(Inputs!$B$3-100)*3)+Inputs!$B$28+Inputs!$B$29)))</f>
        <v/>
      </c>
      <c r="E1341">
        <f>INDEX(FactorTable!$B$2:$Y$301, MATCH(ROUND(MIN(300,MAX(1,D1341)),0), FactorTable!$A$2:$A$301,0), Skills!M28+1)</f>
        <v/>
      </c>
      <c r="F1341">
        <f>IF(Skills!N28=TRUE,(Skills!L28/10)*(E1341/1000),Skills!L28/10)+Skills!O28</f>
        <v/>
      </c>
      <c r="G1341">
        <f>Skills!G28*IF(Skills!H28&gt;0,INT(IF(Inputs!$B$38="pvp",MIN(Skills!I28,15),Skills!I28)/Skills!H28+0.000000001),1)</f>
        <v/>
      </c>
      <c r="H1341">
        <f>1-(1-Skills!J28/100)^Skills!K28</f>
        <v/>
      </c>
      <c r="I1341" t="inlineStr">
        <is>
          <t>1</t>
        </is>
      </c>
      <c r="J1341" t="inlineStr"/>
      <c r="K1341" t="inlineStr"/>
      <c r="L1341" t="inlineStr"/>
      <c r="M1341" t="inlineStr"/>
      <c r="N1341" t="inlineStr"/>
      <c r="O1341">
        <f>(1-Summary!$B$11)*T1341+Summary!$B$11*V1341</f>
        <v/>
      </c>
      <c r="P1341">
        <f>IF(B1354=0,0,O1341/B1354)</f>
        <v/>
      </c>
      <c r="Q1341">
        <f>IFERROR(1/(IF(Inputs!$B$38="pvp",15,MAX(0.1,Skills!D28-IF(TRUE=TRUE,Inputs!$B$32,0)))*(1-IF(AND(ArtifactsInput!$M$27,Inputs!$B$4="Chapter Hunt"),CHOOSE(ArtifactsInput!$N$27+1,20,24,28,32,36,40),0)/100)),0)</f>
        <v/>
      </c>
      <c r="R1341">
        <f>IF(AND(Inputs!$B$38&lt;&gt;"pvp",Inputs!$B$43&gt;0),IF(Inputs!$B$43&lt;=0,0,(INT(Inputs!$B$43/(IF(Inputs!$B$38="pvp",15,MAX(0.1,Skills!D28-IF(TRUE=TRUE,Inputs!$B$32,0)))*(1-IF(AND(ArtifactsInput!$M$27,Inputs!$B$4="Chapter Hunt"),CHOOSE(ArtifactsInput!$N$27+1,20,24,28,32,36,40),0)/100)))+1)),0)</f>
        <v/>
      </c>
      <c r="S1341">
        <f>IFERROR(O1341/N1341,0)</f>
        <v/>
      </c>
      <c r="T1341" t="n">
        <v>0</v>
      </c>
      <c r="V1341" t="n">
        <v>0</v>
      </c>
    </row>
    <row r="1343">
      <c r="A1343" t="inlineStr">
        <is>
          <t>Attack% Bucket Multiplier</t>
        </is>
      </c>
      <c r="B1343">
        <f>(1+(((C1330=TRUE)*F1330*5/7)+((C1337=TRUE)*(F1337-Calc!F24))+(IF(ArtifactsInput!$M$21,CHOOSE(ArtifactsInput!$N$21+1,25,30,35,40,45,50)*(IF(OR(Inputs!$B$4="Chapter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344">
      <c r="A1344" t="inlineStr">
        <is>
          <t>Global Crit Rate Bonus %</t>
        </is>
      </c>
      <c r="B1344" t="n">
        <v>0</v>
      </c>
    </row>
    <row r="1345">
      <c r="A1345" t="inlineStr">
        <is>
          <t>Attack Speed Buff Bonus % (Nimble Feet, duty-cycle averaged)</t>
        </is>
      </c>
      <c r="B1345">
        <f>((C1341=TRUE)*F1341*IF(AND(Inputs!$B$38&lt;&gt;"pvp",Inputs!$B$43&gt;0),(((R1341-1)*MIN((Skills!T28*(1+Inputs!$B$34/100)),(1/Q1341))+MIN((Skills!T28*(1+Inputs!$B$34/100)),MAX(0,Inputs!$B$43-((R1341-1)*(1/Q1341)))))/Inputs!$B$43),IF(Inputs!$B$38="pvp",MIN((Skills!T28*(1+Inputs!$B$34/100)),15)/15,MIN(1,(Skills!T28*(1+Inputs!$B$34/100))/(1/Q1341)))))</f>
        <v/>
      </c>
    </row>
    <row r="1346">
      <c r="A1346" t="inlineStr">
        <is>
          <t>Actions Per Second</t>
        </is>
      </c>
      <c r="B1346">
        <f>1+MIN(150,150*(1-(1-(Inputs!$B$11+((C1333=TRUE)*(F1333-Calc!F20))+((C1334=TRUE)*(F1334-Calc!F21)))/150)*(1-B1345/150)))/100</f>
        <v/>
      </c>
    </row>
    <row r="1347">
      <c r="A1347" t="inlineStr">
        <is>
          <t>Skill + Buff Cast Rate</t>
        </is>
      </c>
      <c r="B1347">
        <f>IF(AND(Inputs!$B$38&lt;&gt;"pvp",Inputs!$B$43&gt;0),SUMPRODUCT((Skills!E2:E28=TRUE)*(C1315:C1341=TRUE)*R1315:R1341*Skills!F2:F28)/Inputs!$B$43,SUMPRODUCT((Skills!E2:E28=TRUE)*(C1315:C1341=TRUE)*Q1315:Q1341*Skills!F2:F28))</f>
        <v/>
      </c>
    </row>
    <row r="1348">
      <c r="A1348" t="inlineStr">
        <is>
          <t>Eight-Legs Easton Casts Per Second</t>
        </is>
      </c>
      <c r="B1348">
        <f>MAX(0,B1346-B1347)</f>
        <v/>
      </c>
    </row>
    <row r="1349">
      <c r="A1349" t="inlineStr">
        <is>
          <t>Global Critical Damage Bonus % (unused)</t>
        </is>
      </c>
      <c r="B1349" t="n">
        <v>0</v>
      </c>
    </row>
    <row r="1350">
      <c r="A1350" t="inlineStr">
        <is>
          <t>Global Final Damage Bonus % (Jolly Roger + Ahoy Mateys - Final Damage proc)</t>
        </is>
      </c>
      <c r="B1350">
        <f>((C1331=TRUE)*F1331*IF(AND(Inputs!$B$38&lt;&gt;"pvp",Inputs!$B$43&gt;0),(((R1331-1)*MIN((Skills!T18*(1+Inputs!$B$34/100)),(1/Q1331))+MIN((Skills!T18*(1+Inputs!$B$34/100)),MAX(0,Inputs!$B$43-((R1331-1)*(1/Q1331)))))/Inputs!$B$43),IF(Inputs!$B$38="pvp",MIN((Skills!T18*(1+Inputs!$B$34/100)),15)/15,MIN(1,(Skills!T18*(1+Inputs!$B$34/100))/(1/Q1331)))))+IF(Inputs!$B$3&gt;=122,20*IF(Inputs!$B$38="pvp",MIN((20*(1+Inputs!$B$34/100)),15)/15,MIN(1,(20*(1+Inputs!$B$34/100))/(1/Q1317))),0)</f>
        <v/>
      </c>
    </row>
    <row r="1351">
      <c r="A1351" t="inlineStr">
        <is>
          <t>Buff-Casting Startup Delay (s, fixed-duration only)</t>
        </is>
      </c>
      <c r="B1351">
        <f>IF(AND(Inputs!$B$38&lt;&gt;"pvp",Inputs!$B$43&gt;0),SUMPRODUCT((Skills!T2:T28&gt;0)*(Skills!E2:E28=TRUE)*(C1315:C1341=TRUE))/B1346,0)</f>
        <v/>
      </c>
    </row>
    <row r="1352">
      <c r="A1352" t="inlineStr">
        <is>
          <t>Boss-Only Total DPS (this block's swept value)</t>
        </is>
      </c>
      <c r="B1352">
        <f>SUM(T1315:T1341)</f>
        <v/>
      </c>
    </row>
    <row r="1353">
      <c r="A1353" t="inlineStr">
        <is>
          <t>Normal-Only Total DPS (this block's swept value)</t>
        </is>
      </c>
      <c r="B1353">
        <f>SUM(V1315:V1341)</f>
        <v/>
      </c>
    </row>
    <row r="1354">
      <c r="A1354" s="6" t="inlineStr">
        <is>
          <t>TOTAL DPS</t>
        </is>
      </c>
      <c r="B1354" s="6">
        <f>SUM(O1315:O1341)</f>
        <v/>
      </c>
    </row>
    <row r="1355">
      <c r="A1355" t="inlineStr">
        <is>
          <t>Quickdraw cooldown divisor (this block's own APS / Q)</t>
        </is>
      </c>
      <c r="B1355">
        <f>IF(AND(C1340=TRUE,Inputs!$B$38&lt;&gt;"pvp"),1+0.25*MAX(0,(B1346-(((C1316=TRUE)*Q1316*1)+((C1317=TRUE)*Q1317*1)+((C1319=TRUE)*Q1319*1)+((C1320=TRUE)*Q1320*1)+((C1322=TRUE)*Q1322*1)+((C1325=TRUE)*Q1325*1)+((C1331=TRUE)*Q1331*1)+((C1341=TRUE)*Q1341*1))-((C1321=TRUE)/(IF(Inputs!$B$38="pvp",15,MAX(0.1,Skills!D8-IF(TRUE=TRUE,Inputs!$B$32,0)))*(1-IF(AND(ArtifactsInput!$M$27,Inputs!$B$4="Chapter Hunt"),CHOOSE(ArtifactsInput!$N$27+1,20,24,28,32,36,40),0)/100))+(C1324=TRUE)/(IF(Inputs!$B$38="pvp",15,MAX(0.1,Skills!D11-IF(TRUE=TRUE,Inputs!$B$32,0)))*(1-IF(AND(ArtifactsInput!$M$27,Inputs!$B$4="Chapter Hunt"),CHOOSE(ArtifactsInput!$N$27+1,20,24,28,32,36,40),0)/100))))/(1+0.25*((C1321=TRUE)/(IF(Inputs!$B$38="pvp",15,MAX(0.1,Skills!D8-IF(TRUE=TRUE,Inputs!$B$32,0)))*(1-IF(AND(ArtifactsInput!$M$27,Inputs!$B$4="Chapter Hunt"),CHOOSE(ArtifactsInput!$N$27+1,20,24,28,32,36,40),0)/100))+(C1324=TRUE)/(IF(Inputs!$B$38="pvp",15,MAX(0.1,Skills!D11-IF(TRUE=TRUE,Inputs!$B$32,0)))*(1-IF(AND(ArtifactsInput!$M$27,Inputs!$B$4="Chapter Hunt"),CHOOSE(ArtifactsInput!$N$27+1,20,24,28,32,36,40),0)/100))))),1)</f>
        <v/>
      </c>
    </row>
    <row r="1356">
      <c r="A1356" t="inlineStr">
        <is>
          <t>Nautilus Strike - Final Attack trigger rate (this block's own Q/R)</t>
        </is>
      </c>
      <c r="B1356">
        <f>IF(AND(Inputs!$B$38&lt;&gt;"pvp",Inputs!$B$43&gt;0),(((C1316=TRUE)*R1316)+((C1319=TRUE)*R1319)+((C1321=TRUE)*R1321)+((C1322=TRUE)*R1322)+((C1324=TRUE)*R1324))/Inputs!$B$43,((C1316=TRUE)*Q1316)+((C1319=TRUE)*Q1319)+((C1321=TRUE)*Q1321)+((C1322=TRUE)*Q1322)+((C1324=TRUE)*Q1324))+B1348</f>
        <v/>
      </c>
    </row>
    <row r="1359">
      <c r="A1359" s="6" t="inlineStr">
        <is>
          <t>Stat: Shamaness Marble (Equip)</t>
        </is>
      </c>
    </row>
    <row r="1360">
      <c r="A1360" s="5" t="inlineStr">
        <is>
          <t>Key</t>
        </is>
      </c>
      <c r="B1360" s="5" t="inlineStr">
        <is>
          <t>Name</t>
        </is>
      </c>
      <c r="C1360" s="5" t="inlineStr">
        <is>
          <t>Unlocked</t>
        </is>
      </c>
      <c r="D1360" s="5" t="inlineStr">
        <is>
          <t>InputLevel</t>
        </is>
      </c>
      <c r="E1360" s="5" t="inlineStr">
        <is>
          <t>Factor</t>
        </is>
      </c>
      <c r="F1360" s="5" t="inlineStr">
        <is>
          <t>CoefficientPercent</t>
        </is>
      </c>
      <c r="G1360" s="5" t="inlineStr">
        <is>
          <t>EffectiveHits</t>
        </is>
      </c>
      <c r="H1360" s="5" t="inlineStr">
        <is>
          <t>ProcProbability</t>
        </is>
      </c>
      <c r="I1360" s="5" t="inlineStr">
        <is>
          <t>MapleHeroMultiplier</t>
        </is>
      </c>
      <c r="J1360" s="5" t="inlineStr">
        <is>
          <t>BaseDamage</t>
        </is>
      </c>
      <c r="K1360" s="5" t="inlineStr">
        <is>
          <t>BaseHitDamage</t>
        </is>
      </c>
      <c r="L1360" s="5" t="inlineStr">
        <is>
          <t>NonCritAvg</t>
        </is>
      </c>
      <c r="M1360" s="5" t="inlineStr">
        <is>
          <t>CritAvg</t>
        </is>
      </c>
      <c r="N1360" s="5" t="inlineStr">
        <is>
          <t>ExpectedDamage(perHit)</t>
        </is>
      </c>
      <c r="O1360" s="5" t="inlineStr">
        <is>
          <t>DPS</t>
        </is>
      </c>
      <c r="P1360" s="5" t="inlineStr">
        <is>
          <t>% of Total</t>
        </is>
      </c>
      <c r="Q1360" s="5" t="inlineStr">
        <is>
          <t>InvCooldown</t>
        </is>
      </c>
      <c r="R1360" s="5" t="inlineStr">
        <is>
          <t>CastsInFight</t>
        </is>
      </c>
      <c r="S1360" s="5" t="inlineStr">
        <is>
          <t>HitRate(perSec)</t>
        </is>
      </c>
      <c r="U1360" t="inlineStr">
        <is>
          <t>helpers</t>
        </is>
      </c>
    </row>
    <row r="1361">
      <c r="A1361">
        <f>Skills!A2</f>
        <v/>
      </c>
      <c r="B1361">
        <f>Skills!B2</f>
        <v/>
      </c>
      <c r="C1361">
        <f>Inputs!$B$3&gt;=100</f>
        <v/>
      </c>
      <c r="D1361" t="inlineStr"/>
      <c r="E1361" t="inlineStr"/>
      <c r="F1361">
        <f>U1363+Skills!O2</f>
        <v/>
      </c>
      <c r="G1361">
        <f>Skills!G2*IF(Skills!H2&gt;0,INT(IF(Inputs!$B$38="pvp",MIN(Skills!I2,15),Skills!I2)/Skills!H2+0.000000001),1)</f>
        <v/>
      </c>
      <c r="H1361">
        <f>1-(1-Skills!J2/100)^Skills!K2</f>
        <v/>
      </c>
      <c r="I1361" t="inlineStr">
        <is>
          <t>1</t>
        </is>
      </c>
      <c r="J1361">
        <f>((Inputs!$B$6*(1+Inputs!$B$7/100))+(((Inputs!$B$12*(1+Inputs!$B$13/100))-(Inputs!$B$12*(1+Inputs!$B$13/100)))+0.25*(Inputs!$B$14-Inputs!$B$14))*(1+Inputs!$B$7/100))*(F1361/100)</f>
        <v/>
      </c>
      <c r="K1361">
        <f>J1361*(1+((Inputs!$B$12*(1+Inputs!$B$13/100))*0.01+Inputs!$B$14*0.0025)/100)*(1+Inputs!$B$15/100)*(1+Inputs!$B$16/100)*(5000/(6000+Inputs!$B$42*(1-(100*(1-(1-(Inputs!$B$19+0)/100)*(1-CHOOSE(ArtifactsInput!$N$40+1,5,6,7,8,9,10)/100)^(ArtifactsInput!$M$40-ArtifactsInput!$M$40)))/100)))*(1+(Inputs!$B$24+((C1385=TRUE)*(F1385-Calc!F26))+B1396)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IGHT_LEGS_EASTON",Inputs!$B$17+((C1382=TRUE)*(F1382-Calc!F23))+((C1386=TRUE)*(F1386-Calc!F27))+((IF(AND(Inputs!$B$38&lt;&gt;"pvp",Inputs!$B$43=0),1,IF(IF(Inputs!$B$38="pvp",15,Inputs!$B$43)-(B1397)&lt;=0,1,MAX(0,IF(Inputs!$B$38="pvp",15,Inputs!$B$43)-MAX(5,B1397))/(IF(Inputs!$B$38="pvp",15,Inputs!$B$43)-(B1397))))*(IF(AND(ArtifactsInput!$M$42,((Inputs!$B$9+((C1378=TRUE)*(F1378-Calc!F19))+B1390+(ArtifactsInput!$M$24-ArtifactsInput!$M$24)*CHOOSE(ArtifactsInput!$N$24+1,10,12,14,16,18,20)+IF(ArtifactsInput!$M$10,CHOOSE(ArtifactsInput!$N$10+1,15,18,21,24,27,30)*(IF(Inputs!$B$38="pvp",MIN(15,15)/15,IF(AND(Inputs!$B$38&lt;&gt;"pvp",Inputs!$B$43&gt;0),MIN(15,Inputs!$B$43)/(Inputs!$B$43),0))),0)))&gt;=100),MIN(100,((Inputs!$B$9+((C1378=TRUE)*(F1378-Calc!F19))+B1390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1397)&lt;=0,1,MAX(0,IF(Inputs!$B$38="pvp",15,Inputs!$B$43)-MAX(5,B1397))/(IF(Inputs!$B$38="pvp",15,Inputs!$B$43)-(B1397))))*IF(AND(ArtifactsInput!$M$42,((Inputs!$B$9+((C1378=TRUE)*(F1378-Calc!F19))+B1390+(ArtifactsInput!$M$24-ArtifactsInput!$M$24)*CHOOSE(ArtifactsInput!$N$24+1,10,12,14,16,18,20)+IF(ArtifactsInput!$M$10,CHOOSE(ArtifactsInput!$N$10+1,15,18,21,24,27,30)*(IF(Inputs!$B$38="pvp",MIN(15,15)/15,IF(AND(Inputs!$B$38&lt;&gt;"pvp",Inputs!$B$43&gt;0),MIN(15,Inputs!$B$43)/(Inputs!$B$43),0))),0)))&gt;=100),CHOOSE(ArtifactsInput!$N$42+1,40,48,56,64,72,80),0))))/100)*((1+(((C1376=TRUE)*F1376*5/7)+((C1383=TRUE)*(F1383-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1361)</f>
        <v/>
      </c>
      <c r="L1361">
        <f>K1361*(MIN(Inputs!$B$22+((C1381=TRUE)*(F1381-Calc!F22)),(Inputs!$B$23+0+(IF(ArtifactsInput!$M$15,CHOOSE(ArtifactsInput!$N$15+1,25,30,35,40,45,50)/100*(Inputs!$B$11-Inputs!$B$11),0))))/100+(Inputs!$B$23+0+(IF(ArtifactsInput!$M$15,CHOOSE(ArtifactsInput!$N$15+1,25,30,35,40,45,50)/100*(Inputs!$B$11-Inputs!$B$11),0)))/100)/2</f>
        <v/>
      </c>
      <c r="M1361">
        <f>L1361*(1+(Inputs!$B$10+((C1384=TRUE)*(F1384-Calc!F25))+B1395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61">
        <f>L1361*(1-MIN((Inputs!$B$9+((C1378=TRUE)*(F1378-Calc!F19))+B1390+(ArtifactsInput!$M$24-ArtifactsInput!$M$24)*CHOOSE(ArtifactsInput!$N$24+1,10,12,14,16,18,20)+(IF(AND(Inputs!$B$38&lt;&gt;"pvp",Inputs!$B$43=0),1,IF(IF(Inputs!$B$38="pvp",15,Inputs!$B$43)-(B1397)&lt;=0,1,MAX(0,IF(Inputs!$B$38="pvp",15,Inputs!$B$43)-MAX(5,B1397))/(IF(Inputs!$B$38="pvp",15,Inputs!$B$43)-(B1397))))*IF(AND(ArtifactsInput!$M$42,((Inputs!$B$9+((C1378=TRUE)*(F1378-Calc!F19))+B1390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1361*(MIN((Inputs!$B$9+((C1378=TRUE)*(F1378-Calc!F19))+B1390+(ArtifactsInput!$M$24-ArtifactsInput!$M$24)*CHOOSE(ArtifactsInput!$N$24+1,10,12,14,16,18,20)+(IF(AND(Inputs!$B$38&lt;&gt;"pvp",Inputs!$B$43=0),1,IF(IF(Inputs!$B$38="pvp",15,Inputs!$B$43)-(B1397)&lt;=0,1,MAX(0,IF(Inputs!$B$38="pvp",15,Inputs!$B$43)-MAX(5,B1397))/(IF(Inputs!$B$38="pvp",15,Inputs!$B$43)-(B1397))))*IF(AND(ArtifactsInput!$M$42,((Inputs!$B$9+((C1378=TRUE)*(F1378-Calc!F19))+B1390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61">
        <f>(1-Summary!$B$11)*T1361+Summary!$B$11*V1361</f>
        <v/>
      </c>
      <c r="P1361">
        <f>IF(B1400=0,0,O1361/B1400)</f>
        <v/>
      </c>
      <c r="Q1361" t="n">
        <v>0</v>
      </c>
      <c r="R1361" t="n">
        <v>0</v>
      </c>
      <c r="S1361">
        <f>IFERROR(O1361/N1361,0)</f>
        <v/>
      </c>
      <c r="T1361">
        <f>IF(C1361,(Skills!G2*N1361*B1394*(1+IF(C1386=TRUE,1/3,0)))*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Hunt"),CHOOSE(ArtifactsInput!$N$35+1,15,18,21,24,27,30)*(1-EXP(-(0.2*B1392)*5)),0)+IF(AND(ArtifactsInput!$M$22,Inputs!$B$4&lt;&gt;"Chapter Hunt"),CHOOSE(ArtifactsInput!$N$22+1,10,12,14,16,18,20)*((0*(((0.15*B1392*5))^0/1)+1*(((0.15*B1392*5))^1/1)+2*(((0.15*B1392*5))^2/2)+3*(((0.15*B1392*5))^3/6)+4*(((0.15*B1392*5))^4/24)+5*(((0.15*B1392*5))^5/120))/((((0.15*B1392*5))^0/1)+(((0.15*B1392*5))^1/1)+(((0.15*B1392*5))^2/2)+(((0.15*B1392*5))^3/6)+(((0.15*B1392*5))^4/24)+(((0.15*B1392*5))^5/120))),0))+IF(Inputs!$B$3&gt;=54,9*(C1362=TRUE)*MIN(1,8*(1+Inputs!$B$34/100)*Q1362)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1361*(1-MIN(100,(Inputs!$B$9+((C1378=TRUE)*(F1378-Calc!F19))+B1390+(ArtifactsInput!$M$24-ArtifactsInput!$M$24)*CHOOSE(ArtifactsInput!$N$24+1,10,12,14,16,18,20)+(IF(AND(Inputs!$B$38&lt;&gt;"pvp",Inputs!$B$43=0),1,IF(IF(Inputs!$B$38="pvp",15,Inputs!$B$43)-(B1397)&lt;=0,1,MAX(0,IF(Inputs!$B$38="pvp",15,Inputs!$B$43)-MAX(5,B1397))/(IF(Inputs!$B$38="pvp",15,Inputs!$B$43)-(B1397))))*IF(AND(ArtifactsInput!$M$42,((Inputs!$B$9+((C1378=TRUE)*(F1378-Calc!F19))+B1390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1361*(MIN(100,(Inputs!$B$9+((C1378=TRUE)*(F1378-Calc!F19))+B1390+(ArtifactsInput!$M$24-ArtifactsInput!$M$24)*CHOOSE(ArtifactsInput!$N$24+1,10,12,14,16,18,20)+(IF(AND(Inputs!$B$38&lt;&gt;"pvp",Inputs!$B$43=0),1,IF(IF(Inputs!$B$38="pvp",15,Inputs!$B$43)-(B1397)&lt;=0,1,MAX(0,IF(Inputs!$B$38="pvp",15,Inputs!$B$43)-MAX(5,B1397))/(IF(Inputs!$B$38="pvp",15,Inputs!$B$43)-(B1397))))*IF(AND(ArtifactsInput!$M$42,((Inputs!$B$9+((C1378=TRUE)*(F1378-Calc!F19))+B1390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1361*(1-MIN(100,(Inputs!$B$9+((C1378=TRUE)*(F1378-Calc!F19))+B1390+(ArtifactsInput!$M$24-ArtifactsInput!$M$24)*CHOOSE(ArtifactsInput!$N$24+1,10,12,14,16,18,20)+(IF(AND(Inputs!$B$38&lt;&gt;"pvp",Inputs!$B$43=0),1,IF(IF(Inputs!$B$38="pvp",15,Inputs!$B$43)-(B1397)&lt;=0,1,MAX(0,IF(Inputs!$B$38="pvp",15,Inputs!$B$43)-MAX(5,B1397))/(IF(Inputs!$B$38="pvp",15,Inputs!$B$43)-(B1397))))*IF(AND(ArtifactsInput!$M$42,((Inputs!$B$9+((C1378=TRUE)*(F1378-Calc!F19))+B1390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1361*(MIN(100,(Inputs!$B$9+((C1378=TRUE)*(F1378-Calc!F19))+B1390+(ArtifactsInput!$M$24-ArtifactsInput!$M$24)*CHOOSE(ArtifactsInput!$N$24+1,10,12,14,16,18,20)+(IF(AND(Inputs!$B$38&lt;&gt;"pvp",Inputs!$B$43=0),1,IF(IF(Inputs!$B$38="pvp",15,Inputs!$B$43)-(B1397)&lt;=0,1,MAX(0,IF(Inputs!$B$38="pvp",15,Inputs!$B$43)-MAX(5,B1397))/(IF(Inputs!$B$38="pvp",15,Inputs!$B$43)-(B1397))))*IF(AND(ArtifactsInput!$M$42,((Inputs!$B$9+((C1378=TRUE)*(F1378-Calc!F19))+B1390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361">
        <f>MAX(0,(Inputs!$B$3-100)*3)+Inputs!$B$28+Inputs!$B$29</f>
        <v/>
      </c>
      <c r="V1361">
        <f>IF(C1361,(Skills!G2*N1361*B1394*(1+IF(C1386=TRUE,1/3,0)))*IF(Inputs!$B$38="pvp",1,(1+(Inputs!$B$21+Skills!Q2+(IF(ArtifactsInput!$M$33,CHOOSE(ArtifactsInput!$N$33+1,30,36,42,48,54,60),0))+(IF(AND(ArtifactsInput!$M$35,Inputs!$B$4&lt;&gt;"Chapter Hunt"),CHOOSE(ArtifactsInput!$N$35+1,15,18,21,24,27,30)*(1-EXP(-(0.2*B1392)*5)),0)+IF(AND(ArtifactsInput!$M$22,Inputs!$B$4&lt;&gt;"Chapter Hunt"),CHOOSE(ArtifactsInput!$N$22+1,10,12,14,16,18,20)*((0*(((0.15*B1392*5))^0/1)+1*(((0.15*B1392*5))^1/1)+2*(((0.15*B1392*5))^2/2)+3*(((0.15*B1392*5))^3/6)+4*(((0.15*B1392*5))^4/24)+5*(((0.15*B1392*5))^5/120))/((((0.15*B1392*5))^0/1)+(((0.15*B1392*5))^1/1)+(((0.15*B1392*5))^2/2)+(((0.15*B1392*5))^3/6)+(((0.15*B1392*5))^4/24)+(((0.15*B1392*5))^5/120))),0))+IF(Inputs!$B$3&gt;=54,9*(C1362=TRUE)*MIN(1,8*(1+Inputs!$B$34/100)*Q1362),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62">
      <c r="A1362">
        <f>Skills!A3</f>
        <v/>
      </c>
      <c r="B1362">
        <f>Skills!B3</f>
        <v/>
      </c>
      <c r="C1362">
        <f>Inputs!$B$3&gt;=33</f>
        <v/>
      </c>
      <c r="D1362">
        <f>IF(Skills!C3=1,60+Inputs!$B$25+Inputs!$B$29,IF(Skills!C3=2,90+Inputs!$B$26+Inputs!$B$29,IF(Skills!C3=3,120+Inputs!$B$27+Inputs!$B$29,MAX(0,(Inputs!$B$3-100)*3)+Inputs!$B$28+Inputs!$B$29)))</f>
        <v/>
      </c>
      <c r="E1362">
        <f>INDEX(FactorTable!$B$2:$Y$301, MATCH(ROUND(MIN(300,MAX(1,D1362)),0), FactorTable!$A$2:$A$301,0), Skills!M3+1)</f>
        <v/>
      </c>
      <c r="F1362">
        <f>IF(Skills!N3=TRUE,(Skills!L3/10)*(E1362/1000),Skills!L3/10)+Skills!O3</f>
        <v/>
      </c>
      <c r="G1362">
        <f>Skills!G3*IF(Skills!H3&gt;0,INT(IF(Inputs!$B$38="pvp",MIN(Skills!I3,15),Skills!I3)/Skills!H3+0.000000001),1)</f>
        <v/>
      </c>
      <c r="H1362">
        <f>1-(1-Skills!J3/100)^Skills!K3</f>
        <v/>
      </c>
      <c r="I1362" t="inlineStr">
        <is>
          <t>1</t>
        </is>
      </c>
      <c r="J1362">
        <f>((Inputs!$B$6*(1+Inputs!$B$7/100))+(((Inputs!$B$12*(1+Inputs!$B$13/100))-(Inputs!$B$12*(1+Inputs!$B$13/100)))+0.25*(Inputs!$B$14-Inputs!$B$14))*(1+Inputs!$B$7/100))*(F1362/100)</f>
        <v/>
      </c>
      <c r="K1362">
        <f>J1362*(1+((Inputs!$B$12*(1+Inputs!$B$13/100))*0.01+Inputs!$B$14*0.0025)/100)*(1+Inputs!$B$15/100)*(1+Inputs!$B$16/100)*(5000/(6000+Inputs!$B$42*(1-(100*(1-(1-(Inputs!$B$19+0)/100)*(1-CHOOSE(ArtifactsInput!$N$40+1,5,6,7,8,9,10)/100)^(ArtifactsInput!$M$40-ArtifactsInput!$M$40)))/100)))*(1+(Inputs!$B$24+((C1385=TRUE)*(F1385-Calc!F26))+B1396)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1374=TRUE,F1374,0)/100)*(1+(IF(Skills!A3="EIGHT_LEGS_EASTON",Inputs!$B$17+((C1382=TRUE)*(F1382-Calc!F23))+((C1386=TRUE)*(F1386-Calc!F27))+((IF(AND(Inputs!$B$38&lt;&gt;"pvp",Inputs!$B$43=0),1,IF(IF(Inputs!$B$38="pvp",15,Inputs!$B$43)-(B1397)&lt;=0,1,MAX(0,IF(Inputs!$B$38="pvp",15,Inputs!$B$43)-MAX(5,B1397))/(IF(Inputs!$B$38="pvp",15,Inputs!$B$43)-(B1397))))*(IF(AND(ArtifactsInput!$M$42,((Inputs!$B$9+((C1378=TRUE)*(F1378-Calc!F19))+B1390+(ArtifactsInput!$M$24-ArtifactsInput!$M$24)*CHOOSE(ArtifactsInput!$N$24+1,10,12,14,16,18,20)+IF(ArtifactsInput!$M$10,CHOOSE(ArtifactsInput!$N$10+1,15,18,21,24,27,30)*(IF(Inputs!$B$38="pvp",MIN(15,15)/15,IF(AND(Inputs!$B$38&lt;&gt;"pvp",Inputs!$B$43&gt;0),MIN(15,Inputs!$B$43)/(Inputs!$B$43),0))),0)))&gt;=100),MIN(100,((Inputs!$B$9+((C1378=TRUE)*(F1378-Calc!F19))+B1390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1397)&lt;=0,1,MAX(0,IF(Inputs!$B$38="pvp",15,Inputs!$B$43)-MAX(5,B1397))/(IF(Inputs!$B$38="pvp",15,Inputs!$B$43)-(B1397))))*IF(AND(ArtifactsInput!$M$42,((Inputs!$B$9+((C1378=TRUE)*(F1378-Calc!F19))+B1390+(ArtifactsInput!$M$24-ArtifactsInput!$M$24)*CHOOSE(ArtifactsInput!$N$24+1,10,12,14,16,18,20)+IF(ArtifactsInput!$M$10,CHOOSE(ArtifactsInput!$N$10+1,15,18,21,24,27,30)*(IF(Inputs!$B$38="pvp",MIN(15,15)/15,IF(AND(Inputs!$B$38&lt;&gt;"pvp",Inputs!$B$43&gt;0),MIN(15,Inputs!$B$43)/(Inputs!$B$43),0))),0)))&gt;=100),CHOOSE(ArtifactsInput!$N$42+1,40,48,56,64,72,80),0))))/100)*((1+(((C1376=TRUE)*F1376*5/7)+((C1383=TRUE)*(F1383-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1362)</f>
        <v/>
      </c>
      <c r="L1362">
        <f>K1362*(MIN(Inputs!$B$22+((C1381=TRUE)*(F1381-Calc!F22)),(Inputs!$B$23+0+(IF(ArtifactsInput!$M$15,CHOOSE(ArtifactsInput!$N$15+1,25,30,35,40,45,50)/100*(Inputs!$B$11-Inputs!$B$11),0))))/100+(Inputs!$B$23+0+(IF(ArtifactsInput!$M$15,CHOOSE(ArtifactsInput!$N$15+1,25,30,35,40,45,50)/100*(Inputs!$B$11-Inputs!$B$11),0)))/100)/2</f>
        <v/>
      </c>
      <c r="M1362">
        <f>L1362*(1+(Inputs!$B$10+((C1384=TRUE)*(F1384-Calc!F25))+B1395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62">
        <f>L1362*(1-MIN((Inputs!$B$9+((C1378=TRUE)*(F1378-Calc!F19))+B1390+(ArtifactsInput!$M$24-ArtifactsInput!$M$24)*CHOOSE(ArtifactsInput!$N$24+1,10,12,14,16,18,20)+(IF(AND(Inputs!$B$38&lt;&gt;"pvp",Inputs!$B$43=0),1,IF(IF(Inputs!$B$38="pvp",15,Inputs!$B$43)-(B1397)&lt;=0,1,MAX(0,IF(Inputs!$B$38="pvp",15,Inputs!$B$43)-MAX(5,B1397))/(IF(Inputs!$B$38="pvp",15,Inputs!$B$43)-(B1397))))*IF(AND(ArtifactsInput!$M$42,((Inputs!$B$9+((C1378=TRUE)*(F1378-Calc!F19))+B1390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1362*(MIN((Inputs!$B$9+((C1378=TRUE)*(F1378-Calc!F19))+B1390+(ArtifactsInput!$M$24-ArtifactsInput!$M$24)*CHOOSE(ArtifactsInput!$N$24+1,10,12,14,16,18,20)+(IF(AND(Inputs!$B$38&lt;&gt;"pvp",Inputs!$B$43=0),1,IF(IF(Inputs!$B$38="pvp",15,Inputs!$B$43)-(B1397)&lt;=0,1,MAX(0,IF(Inputs!$B$38="pvp",15,Inputs!$B$43)-MAX(5,B1397))/(IF(Inputs!$B$38="pvp",15,Inputs!$B$43)-(B1397))))*IF(AND(ArtifactsInput!$M$42,((Inputs!$B$9+((C1378=TRUE)*(F1378-Calc!F19))+B1390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62">
        <f>(1-Summary!$B$11)*T1362+Summary!$B$11*V1362</f>
        <v/>
      </c>
      <c r="P1362">
        <f>IF(B1400=0,0,O1362/B1400)</f>
        <v/>
      </c>
      <c r="Q1362">
        <f>IFERROR(1/(IF(Inputs!$B$38="pvp",15,MAX(0.1,Skills!D3-IF(TRUE=TRUE,Inputs!$B$32,0)))*(1-IF(AND(ArtifactsInput!$M$27,Inputs!$B$4="Chapter Hunt"),CHOOSE(ArtifactsInput!$N$27+1,20,24,28,32,36,40),0)/100)),0)</f>
        <v/>
      </c>
      <c r="R1362">
        <f>IF(AND(Inputs!$B$38&lt;&gt;"pvp",Inputs!$B$43&gt;0),IF(MAX(0,Inputs!$B$43-B1397)&lt;=0,0,(INT(MAX(0,Inputs!$B$43-B1397)/(IF(Inputs!$B$38="pvp",15,MAX(0.1,Skills!D3-IF(TRUE=TRUE,Inputs!$B$32,0)))*(1-IF(AND(ArtifactsInput!$M$27,Inputs!$B$4="Chapter Hunt"),CHOOSE(ArtifactsInput!$N$27+1,20,24,28,32,36,40),0)/100)))+1)),0)</f>
        <v/>
      </c>
      <c r="S1362">
        <f>IFERROR(O1362/N1362,0)</f>
        <v/>
      </c>
      <c r="T1362">
        <f>IF(C1362,(H1362*N1362*IF(AND(Inputs!$B$38&lt;&gt;"pvp",Inputs!$B$43&gt;0),((Skills!G3*((R1362-1)*IF(Skills!H3&gt;0,INT(Skills!I3/Skills!H3+0.000000001),1)+IF(Skills!H3&gt;0,INT(MIN(Skills!I3,MAX(0,MAX(0,Inputs!$B$43-B1397)-((R1362-1)*(IF(Inputs!$B$38="pvp",15,MAX(0.1,Skills!D3-IF(TRUE=TRUE,Inputs!$B$32,0)))*(1-IF(AND(ArtifactsInput!$M$27,Inputs!$B$4="Chapter Hunt"),CHOOSE(ArtifactsInput!$N$27+1,20,24,28,32,36,40),0)/100)))))/Skills!H3+0.000000001),1)))/Inputs!$B$43),G1362*Q1362))*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Hunt"),CHOOSE(ArtifactsInput!$N$35+1,15,18,21,24,27,30)*(1-EXP(-(0.2*B1392)*5)),0)+IF(AND(ArtifactsInput!$M$22,Inputs!$B$4&lt;&gt;"Chapter Hunt"),CHOOSE(ArtifactsInput!$N$22+1,10,12,14,16,18,20)*((0*(((0.15*B1392*5))^0/1)+1*(((0.15*B1392*5))^1/1)+2*(((0.15*B1392*5))^2/2)+3*(((0.15*B1392*5))^3/6)+4*(((0.15*B1392*5))^4/24)+5*(((0.15*B1392*5))^5/120))/((((0.15*B1392*5))^0/1)+(((0.15*B1392*5))^1/1)+(((0.15*B1392*5))^2/2)+(((0.15*B1392*5))^3/6)+(((0.15*B1392*5))^4/24)+(((0.15*B1392*5))^5/120))),0))+IF(Inputs!$B$3&gt;=54,9*(C1362=TRUE)*MIN(1,8*(1+Inputs!$B$34/100)*Q1362)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1362*(1-MIN(100,(Inputs!$B$9+((C1378=TRUE)*(F1378-Calc!F19))+B1390+(ArtifactsInput!$M$24-ArtifactsInput!$M$24)*CHOOSE(ArtifactsInput!$N$24+1,10,12,14,16,18,20)+(IF(AND(Inputs!$B$38&lt;&gt;"pvp",Inputs!$B$43=0),1,IF(IF(Inputs!$B$38="pvp",15,Inputs!$B$43)-(B1397)&lt;=0,1,MAX(0,IF(Inputs!$B$38="pvp",15,Inputs!$B$43)-MAX(5,B1397))/(IF(Inputs!$B$38="pvp",15,Inputs!$B$43)-(B1397))))*IF(AND(ArtifactsInput!$M$42,((Inputs!$B$9+((C1378=TRUE)*(F1378-Calc!F19))+B1390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1362*(MIN(100,(Inputs!$B$9+((C1378=TRUE)*(F1378-Calc!F19))+B1390+(ArtifactsInput!$M$24-ArtifactsInput!$M$24)*CHOOSE(ArtifactsInput!$N$24+1,10,12,14,16,18,20)+(IF(AND(Inputs!$B$38&lt;&gt;"pvp",Inputs!$B$43=0),1,IF(IF(Inputs!$B$38="pvp",15,Inputs!$B$43)-(B1397)&lt;=0,1,MAX(0,IF(Inputs!$B$38="pvp",15,Inputs!$B$43)-MAX(5,B1397))/(IF(Inputs!$B$38="pvp",15,Inputs!$B$43)-(B1397))))*IF(AND(ArtifactsInput!$M$42,((Inputs!$B$9+((C1378=TRUE)*(F1378-Calc!F19))+B1390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1362*(1-MIN(100,(Inputs!$B$9+((C1378=TRUE)*(F1378-Calc!F19))+B1390+(ArtifactsInput!$M$24-ArtifactsInput!$M$24)*CHOOSE(ArtifactsInput!$N$24+1,10,12,14,16,18,20)+(IF(AND(Inputs!$B$38&lt;&gt;"pvp",Inputs!$B$43=0),1,IF(IF(Inputs!$B$38="pvp",15,Inputs!$B$43)-(B1397)&lt;=0,1,MAX(0,IF(Inputs!$B$38="pvp",15,Inputs!$B$43)-MAX(5,B1397))/(IF(Inputs!$B$38="pvp",15,Inputs!$B$43)-(B1397))))*IF(AND(ArtifactsInput!$M$42,((Inputs!$B$9+((C1378=TRUE)*(F1378-Calc!F19))+B1390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1362*(MIN(100,(Inputs!$B$9+((C1378=TRUE)*(F1378-Calc!F19))+B1390+(ArtifactsInput!$M$24-ArtifactsInput!$M$24)*CHOOSE(ArtifactsInput!$N$24+1,10,12,14,16,18,20)+(IF(AND(Inputs!$B$38&lt;&gt;"pvp",Inputs!$B$43=0),1,IF(IF(Inputs!$B$38="pvp",15,Inputs!$B$43)-(B1397)&lt;=0,1,MAX(0,IF(Inputs!$B$38="pvp",15,Inputs!$B$43)-MAX(5,B1397))/(IF(Inputs!$B$38="pvp",15,Inputs!$B$43)-(B1397))))*IF(AND(ArtifactsInput!$M$42,((Inputs!$B$9+((C1378=TRUE)*(F1378-Calc!F19))+B1390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362">
        <f>INDEX(FactorTable!$B$2:$Y$301, MATCH(ROUND(MIN(300,MAX(1,U1361)),0), FactorTable!$A$2:$A$301,0), 22)</f>
        <v/>
      </c>
      <c r="V1362">
        <f>IF(C1362,(H1362*N1362*IF(AND(Inputs!$B$38&lt;&gt;"pvp",Inputs!$B$43&gt;0),((Skills!G3*((R1362-1)*IF(Skills!H3&gt;0,INT(Skills!I3/Skills!H3+0.000000001),1)+IF(Skills!H3&gt;0,INT(MIN(Skills!I3,MAX(0,MAX(0,Inputs!$B$43-B1397)-((R1362-1)*(IF(Inputs!$B$38="pvp",15,MAX(0.1,Skills!D3-IF(TRUE=TRUE,Inputs!$B$32,0)))*(1-IF(AND(ArtifactsInput!$M$27,Inputs!$B$4="Chapter Hunt"),CHOOSE(ArtifactsInput!$N$27+1,20,24,28,32,36,40),0)/100)))))/Skills!H3+0.000000001),1)))/Inputs!$B$43),G1362*Q1362))*IF(Inputs!$B$38="pvp",1,(1+(Inputs!$B$21+Skills!Q3+(IF(ArtifactsInput!$M$33,CHOOSE(ArtifactsInput!$N$33+1,30,36,42,48,54,60),0))+(IF(AND(ArtifactsInput!$M$35,Inputs!$B$4&lt;&gt;"Chapter Hunt"),CHOOSE(ArtifactsInput!$N$35+1,15,18,21,24,27,30)*(1-EXP(-(0.2*B1392)*5)),0)+IF(AND(ArtifactsInput!$M$22,Inputs!$B$4&lt;&gt;"Chapter Hunt"),CHOOSE(ArtifactsInput!$N$22+1,10,12,14,16,18,20)*((0*(((0.15*B1392*5))^0/1)+1*(((0.15*B1392*5))^1/1)+2*(((0.15*B1392*5))^2/2)+3*(((0.15*B1392*5))^3/6)+4*(((0.15*B1392*5))^4/24)+5*(((0.15*B1392*5))^5/120))/((((0.15*B1392*5))^0/1)+(((0.15*B1392*5))^1/1)+(((0.15*B1392*5))^2/2)+(((0.15*B1392*5))^3/6)+(((0.15*B1392*5))^4/24)+(((0.15*B1392*5))^5/120))),0))+IF(Inputs!$B$3&gt;=54,9*(C1362=TRUE)*MIN(1,8*(1+Inputs!$B$34/100)*Q1362),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63">
      <c r="A1363">
        <f>Skills!A4</f>
        <v/>
      </c>
      <c r="B1363">
        <f>Skills!B4</f>
        <v/>
      </c>
      <c r="C1363">
        <f>Inputs!$B$3&gt;=35</f>
        <v/>
      </c>
      <c r="D1363">
        <f>IF(Skills!C4=1,60+Inputs!$B$25+Inputs!$B$29,IF(Skills!C4=2,90+Inputs!$B$26+Inputs!$B$29,IF(Skills!C4=3,120+Inputs!$B$27+Inputs!$B$29,MAX(0,(Inputs!$B$3-100)*3)+Inputs!$B$28+Inputs!$B$29)))</f>
        <v/>
      </c>
      <c r="E1363">
        <f>INDEX(FactorTable!$B$2:$Y$301, MATCH(ROUND(MIN(300,MAX(1,D1363)),0), FactorTable!$A$2:$A$301,0), Skills!M4+1)</f>
        <v/>
      </c>
      <c r="F1363">
        <f>IF(Skills!N4=TRUE,(Skills!L4/10)*(E1363/1000),Skills!L4/10)+Skills!O4</f>
        <v/>
      </c>
      <c r="G1363">
        <f>Skills!G4*IF(Skills!H4&gt;0,INT(IF(Inputs!$B$38="pvp",MIN(IF(Inputs!$B$3&gt;=104,MIN(35,20*(1+Inputs!$B$34/100)),20),15),IF(Inputs!$B$3&gt;=104,MIN(35,20*(1+Inputs!$B$34/100)),20))/Skills!H4+0.000000001),1)</f>
        <v/>
      </c>
      <c r="H1363">
        <f>1-(1-Skills!J4/100)^Skills!K4</f>
        <v/>
      </c>
      <c r="I1363" t="inlineStr">
        <is>
          <t>1</t>
        </is>
      </c>
      <c r="J1363">
        <f>((Inputs!$B$6*(1+Inputs!$B$7/100))+(((Inputs!$B$12*(1+Inputs!$B$13/100))-(Inputs!$B$12*(1+Inputs!$B$13/100)))+0.25*(Inputs!$B$14-Inputs!$B$14))*(1+Inputs!$B$7/100))*(F1363/100)</f>
        <v/>
      </c>
      <c r="K1363">
        <f>J1363*(1+((Inputs!$B$12*(1+Inputs!$B$13/100))*0.01+Inputs!$B$14*0.0025)/100)*(1+Inputs!$B$15/100)*(1+Inputs!$B$16/100)*(5000/(6000+Inputs!$B$42*(1-(100*(1-(1-(Inputs!$B$19+0)/100)*(1-CHOOSE(ArtifactsInput!$N$40+1,5,6,7,8,9,10)/100)^(ArtifactsInput!$M$40-ArtifactsInput!$M$40)))/100)))*(1+(Inputs!$B$24+((C1385=TRUE)*(F1385-Calc!F26))+B1396)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1375=TRUE,F1375,0)/100)*(1+(IF(Skills!A4="EIGHT_LEGS_EASTON",Inputs!$B$17+((C1382=TRUE)*(F1382-Calc!F23))+((C1386=TRUE)*(F1386-Calc!F27))+((IF(AND(Inputs!$B$38&lt;&gt;"pvp",Inputs!$B$43=0),1,IF(IF(Inputs!$B$38="pvp",15,Inputs!$B$43)-(B1397)&lt;=0,1,MAX(0,IF(Inputs!$B$38="pvp",15,Inputs!$B$43)-MAX(5,B1397))/(IF(Inputs!$B$38="pvp",15,Inputs!$B$43)-(B1397))))*(IF(AND(ArtifactsInput!$M$42,((Inputs!$B$9+((C1378=TRUE)*(F1378-Calc!F19))+B1390+(ArtifactsInput!$M$24-ArtifactsInput!$M$24)*CHOOSE(ArtifactsInput!$N$24+1,10,12,14,16,18,20)+IF(ArtifactsInput!$M$10,CHOOSE(ArtifactsInput!$N$10+1,15,18,21,24,27,30)*(IF(Inputs!$B$38="pvp",MIN(15,15)/15,IF(AND(Inputs!$B$38&lt;&gt;"pvp",Inputs!$B$43&gt;0),MIN(15,Inputs!$B$43)/(Inputs!$B$43),0))),0)))&gt;=100),MIN(100,((Inputs!$B$9+((C1378=TRUE)*(F1378-Calc!F19))+B1390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1397)&lt;=0,1,MAX(0,IF(Inputs!$B$38="pvp",15,Inputs!$B$43)-MAX(5,B1397))/(IF(Inputs!$B$38="pvp",15,Inputs!$B$43)-(B1397))))*IF(AND(ArtifactsInput!$M$42,((Inputs!$B$9+((C1378=TRUE)*(F1378-Calc!F19))+B1390+(ArtifactsInput!$M$24-ArtifactsInput!$M$24)*CHOOSE(ArtifactsInput!$N$24+1,10,12,14,16,18,20)+IF(ArtifactsInput!$M$10,CHOOSE(ArtifactsInput!$N$10+1,15,18,21,24,27,30)*(IF(Inputs!$B$38="pvp",MIN(15,15)/15,IF(AND(Inputs!$B$38&lt;&gt;"pvp",Inputs!$B$43&gt;0),MIN(15,Inputs!$B$43)/(Inputs!$B$43),0))),0)))&gt;=100),CHOOSE(ArtifactsInput!$N$42+1,40,48,56,64,72,80),0))))/100)*((1+(((C1376=TRUE)*F1376*5/7)+((C1383=TRUE)*(F1383-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1363)</f>
        <v/>
      </c>
      <c r="L1363">
        <f>K1363*(MIN(Inputs!$B$22+((C1381=TRUE)*(F1381-Calc!F22)),(Inputs!$B$23+0+(IF(ArtifactsInput!$M$15,CHOOSE(ArtifactsInput!$N$15+1,25,30,35,40,45,50)/100*(Inputs!$B$11-Inputs!$B$11),0))))/100+(Inputs!$B$23+0+(IF(ArtifactsInput!$M$15,CHOOSE(ArtifactsInput!$N$15+1,25,30,35,40,45,50)/100*(Inputs!$B$11-Inputs!$B$11),0)))/100)/2</f>
        <v/>
      </c>
      <c r="M1363">
        <f>L1363*(1+(Inputs!$B$10+((C1384=TRUE)*(F1384-Calc!F25))+B1395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63">
        <f>L1363*(1-MIN((Inputs!$B$9+((C1378=TRUE)*(F1378-Calc!F19))+B1390+(ArtifactsInput!$M$24-ArtifactsInput!$M$24)*CHOOSE(ArtifactsInput!$N$24+1,10,12,14,16,18,20)+(IF(AND(Inputs!$B$38&lt;&gt;"pvp",Inputs!$B$43=0),1,IF(IF(Inputs!$B$38="pvp",15,Inputs!$B$43)-(B1397)&lt;=0,1,MAX(0,IF(Inputs!$B$38="pvp",15,Inputs!$B$43)-MAX(5,B1397))/(IF(Inputs!$B$38="pvp",15,Inputs!$B$43)-(B1397))))*IF(AND(ArtifactsInput!$M$42,((Inputs!$B$9+((C1378=TRUE)*(F1378-Calc!F19))+B1390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1363*(MIN((Inputs!$B$9+((C1378=TRUE)*(F1378-Calc!F19))+B1390+(ArtifactsInput!$M$24-ArtifactsInput!$M$24)*CHOOSE(ArtifactsInput!$N$24+1,10,12,14,16,18,20)+(IF(AND(Inputs!$B$38&lt;&gt;"pvp",Inputs!$B$43=0),1,IF(IF(Inputs!$B$38="pvp",15,Inputs!$B$43)-(B1397)&lt;=0,1,MAX(0,IF(Inputs!$B$38="pvp",15,Inputs!$B$43)-MAX(5,B1397))/(IF(Inputs!$B$38="pvp",15,Inputs!$B$43)-(B1397))))*IF(AND(ArtifactsInput!$M$42,((Inputs!$B$9+((C1378=TRUE)*(F1378-Calc!F19))+B1390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63">
        <f>(1-Summary!$B$11)*T1363+Summary!$B$11*V1363</f>
        <v/>
      </c>
      <c r="P1363">
        <f>IF(B1400=0,0,O1363/B1400)</f>
        <v/>
      </c>
      <c r="Q1363">
        <f>IFERROR(1/(IF(Inputs!$B$38="pvp",15,MAX(0.1,Skills!D4-IF(TRUE=TRUE,Inputs!$B$32,0)))*(1-IF(AND(ArtifactsInput!$M$27,Inputs!$B$4="Chapter Hunt"),CHOOSE(ArtifactsInput!$N$27+1,20,24,28,32,36,40),0)/100)),0)</f>
        <v/>
      </c>
      <c r="R1363">
        <f>IF(AND(Inputs!$B$38&lt;&gt;"pvp",Inputs!$B$43&gt;0),IF(MAX(0,Inputs!$B$43-B1397)&lt;=0,0,(INT(MAX(0,Inputs!$B$43-B1397)/(IF(Inputs!$B$38="pvp",15,MAX(0.1,Skills!D4-IF(TRUE=TRUE,Inputs!$B$32,0)))*(1-IF(AND(ArtifactsInput!$M$27,Inputs!$B$4="Chapter Hunt"),CHOOSE(ArtifactsInput!$N$27+1,20,24,28,32,36,40),0)/100)))+1)),0)</f>
        <v/>
      </c>
      <c r="S1363">
        <f>IFERROR(O1363/N1363,0)</f>
        <v/>
      </c>
      <c r="T1363">
        <f>IF(C1363,(H1363*N1363*IF(AND(Inputs!$B$38&lt;&gt;"pvp",Inputs!$B$43&gt;0),((Skills!G4*((R1363-1)*IF(Skills!H4&gt;0,INT(IF(Inputs!$B$3&gt;=104,MIN(35,20*(1+Inputs!$B$34/100)),20)/Skills!H4+0.000000001),1)+IF(Skills!H4&gt;0,INT(MIN(IF(Inputs!$B$3&gt;=104,MIN(35,20*(1+Inputs!$B$34/100)),20),MAX(0,MAX(0,Inputs!$B$43-B1397)-((R1363-1)*(IF(Inputs!$B$38="pvp",15,MAX(0.1,Skills!D4-IF(TRUE=TRUE,Inputs!$B$32,0)))*(1-IF(AND(ArtifactsInput!$M$27,Inputs!$B$4="Chapter Hunt"),CHOOSE(ArtifactsInput!$N$27+1,20,24,28,32,36,40),0)/100)))))/Skills!H4+0.000000001),1)))/Inputs!$B$43),G1363*Q1363))*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Hunt"),CHOOSE(ArtifactsInput!$N$35+1,15,18,21,24,27,30)*(1-EXP(-(0.2*B1392)*5)),0)+IF(AND(ArtifactsInput!$M$22,Inputs!$B$4&lt;&gt;"Chapter Hunt"),CHOOSE(ArtifactsInput!$N$22+1,10,12,14,16,18,20)*((0*(((0.15*B1392*5))^0/1)+1*(((0.15*B1392*5))^1/1)+2*(((0.15*B1392*5))^2/2)+3*(((0.15*B1392*5))^3/6)+4*(((0.15*B1392*5))^4/24)+5*(((0.15*B1392*5))^5/120))/((((0.15*B1392*5))^0/1)+(((0.15*B1392*5))^1/1)+(((0.15*B1392*5))^2/2)+(((0.15*B1392*5))^3/6)+(((0.15*B1392*5))^4/24)+(((0.15*B1392*5))^5/120))),0))+IF(Inputs!$B$3&gt;=54,9*(C1362=TRUE)*MIN(1,8*(1+Inputs!$B$34/100)*Q1362)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1363*(1-MIN(100,(Inputs!$B$9+((C1378=TRUE)*(F1378-Calc!F19))+B1390+(ArtifactsInput!$M$24-ArtifactsInput!$M$24)*CHOOSE(ArtifactsInput!$N$24+1,10,12,14,16,18,20)+(IF(AND(Inputs!$B$38&lt;&gt;"pvp",Inputs!$B$43=0),1,IF(IF(Inputs!$B$38="pvp",15,Inputs!$B$43)-(B1397)&lt;=0,1,MAX(0,IF(Inputs!$B$38="pvp",15,Inputs!$B$43)-MAX(5,B1397))/(IF(Inputs!$B$38="pvp",15,Inputs!$B$43)-(B1397))))*IF(AND(ArtifactsInput!$M$42,((Inputs!$B$9+((C1378=TRUE)*(F1378-Calc!F19))+B1390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1363*(MIN(100,(Inputs!$B$9+((C1378=TRUE)*(F1378-Calc!F19))+B1390+(ArtifactsInput!$M$24-ArtifactsInput!$M$24)*CHOOSE(ArtifactsInput!$N$24+1,10,12,14,16,18,20)+(IF(AND(Inputs!$B$38&lt;&gt;"pvp",Inputs!$B$43=0),1,IF(IF(Inputs!$B$38="pvp",15,Inputs!$B$43)-(B1397)&lt;=0,1,MAX(0,IF(Inputs!$B$38="pvp",15,Inputs!$B$43)-MAX(5,B1397))/(IF(Inputs!$B$38="pvp",15,Inputs!$B$43)-(B1397))))*IF(AND(ArtifactsInput!$M$42,((Inputs!$B$9+((C1378=TRUE)*(F1378-Calc!F19))+B1390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1363*(1-MIN(100,(Inputs!$B$9+((C1378=TRUE)*(F1378-Calc!F19))+B1390+(ArtifactsInput!$M$24-ArtifactsInput!$M$24)*CHOOSE(ArtifactsInput!$N$24+1,10,12,14,16,18,20)+(IF(AND(Inputs!$B$38&lt;&gt;"pvp",Inputs!$B$43=0),1,IF(IF(Inputs!$B$38="pvp",15,Inputs!$B$43)-(B1397)&lt;=0,1,MAX(0,IF(Inputs!$B$38="pvp",15,Inputs!$B$43)-MAX(5,B1397))/(IF(Inputs!$B$38="pvp",15,Inputs!$B$43)-(B1397))))*IF(AND(ArtifactsInput!$M$42,((Inputs!$B$9+((C1378=TRUE)*(F1378-Calc!F19))+B1390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1363*(MIN(100,(Inputs!$B$9+((C1378=TRUE)*(F1378-Calc!F19))+B1390+(ArtifactsInput!$M$24-ArtifactsInput!$M$24)*CHOOSE(ArtifactsInput!$N$24+1,10,12,14,16,18,20)+(IF(AND(Inputs!$B$38&lt;&gt;"pvp",Inputs!$B$43=0),1,IF(IF(Inputs!$B$38="pvp",15,Inputs!$B$43)-(B1397)&lt;=0,1,MAX(0,IF(Inputs!$B$38="pvp",15,Inputs!$B$43)-MAX(5,B1397))/(IF(Inputs!$B$38="pvp",15,Inputs!$B$43)-(B1397))))*IF(AND(ArtifactsInput!$M$42,((Inputs!$B$9+((C1378=TRUE)*(F1378-Calc!F19))+B1390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363">
        <f>290*U1362/1000</f>
        <v/>
      </c>
      <c r="V1363">
        <f>IF(C1363,(H1363*N1363*IF(AND(Inputs!$B$38&lt;&gt;"pvp",Inputs!$B$43&gt;0),((Skills!G4*((R1363-1)*IF(Skills!H4&gt;0,INT(IF(Inputs!$B$3&gt;=104,MIN(35,20*(1+Inputs!$B$34/100)),20)/Skills!H4+0.000000001),1)+IF(Skills!H4&gt;0,INT(MIN(IF(Inputs!$B$3&gt;=104,MIN(35,20*(1+Inputs!$B$34/100)),20),MAX(0,MAX(0,Inputs!$B$43-B1397)-((R1363-1)*(IF(Inputs!$B$38="pvp",15,MAX(0.1,Skills!D4-IF(TRUE=TRUE,Inputs!$B$32,0)))*(1-IF(AND(ArtifactsInput!$M$27,Inputs!$B$4="Chapter Hunt"),CHOOSE(ArtifactsInput!$N$27+1,20,24,28,32,36,40),0)/100)))))/Skills!H4+0.000000001),1)))/Inputs!$B$43),G1363*Q1363))*IF(Inputs!$B$38="pvp",1,(1+(Inputs!$B$21+Skills!Q4+(IF(ArtifactsInput!$M$33,CHOOSE(ArtifactsInput!$N$33+1,30,36,42,48,54,60),0))+(IF(AND(ArtifactsInput!$M$35,Inputs!$B$4&lt;&gt;"Chapter Hunt"),CHOOSE(ArtifactsInput!$N$35+1,15,18,21,24,27,30)*(1-EXP(-(0.2*B1392)*5)),0)+IF(AND(ArtifactsInput!$M$22,Inputs!$B$4&lt;&gt;"Chapter Hunt"),CHOOSE(ArtifactsInput!$N$22+1,10,12,14,16,18,20)*((0*(((0.15*B1392*5))^0/1)+1*(((0.15*B1392*5))^1/1)+2*(((0.15*B1392*5))^2/2)+3*(((0.15*B1392*5))^3/6)+4*(((0.15*B1392*5))^4/24)+5*(((0.15*B1392*5))^5/120))/((((0.15*B1392*5))^0/1)+(((0.15*B1392*5))^1/1)+(((0.15*B1392*5))^2/2)+(((0.15*B1392*5))^3/6)+(((0.15*B1392*5))^4/24)+(((0.15*B1392*5))^5/120))),0))+IF(Inputs!$B$3&gt;=54,9*(C1362=TRUE)*MIN(1,8*(1+Inputs!$B$34/100)*Q1362),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64">
      <c r="A1364">
        <f>Skills!A5</f>
        <v/>
      </c>
      <c r="B1364">
        <f>Skills!B5</f>
        <v/>
      </c>
      <c r="C1364">
        <f>Inputs!$B$3&gt;=69</f>
        <v/>
      </c>
      <c r="D1364">
        <f>IF(Skills!C5=1,60+Inputs!$B$25+Inputs!$B$29,IF(Skills!C5=2,90+Inputs!$B$26+Inputs!$B$29,IF(Skills!C5=3,120+Inputs!$B$27+Inputs!$B$29,MAX(0,(Inputs!$B$3-100)*3)+Inputs!$B$28+Inputs!$B$29)))</f>
        <v/>
      </c>
      <c r="E1364">
        <f>INDEX(FactorTable!$B$2:$Y$301, MATCH(ROUND(MIN(300,MAX(1,D1364)),0), FactorTable!$A$2:$A$301,0), Skills!M5+1)</f>
        <v/>
      </c>
      <c r="F1364">
        <f>IF(Skills!N5=TRUE,(Skills!L5/10)*(E1364/1000),Skills!L5/10)+Skills!O5</f>
        <v/>
      </c>
      <c r="G1364">
        <f>Skills!G5*IF(Skills!H5&gt;0,INT(IF(Inputs!$B$38="pvp",MIN(IF(Inputs!$B$3&gt;=104,MIN(35,20*(1+Inputs!$B$34/100)),20),15),IF(Inputs!$B$3&gt;=104,MIN(35,20*(1+Inputs!$B$34/100)),20))/Skills!H5+0.000000001),1)</f>
        <v/>
      </c>
      <c r="H1364">
        <f>1-(1-Skills!J5/100)^Skills!K5</f>
        <v/>
      </c>
      <c r="I1364" t="inlineStr">
        <is>
          <t>1</t>
        </is>
      </c>
      <c r="J1364">
        <f>((Inputs!$B$6*(1+Inputs!$B$7/100))+(((Inputs!$B$12*(1+Inputs!$B$13/100))-(Inputs!$B$12*(1+Inputs!$B$13/100)))+0.25*(Inputs!$B$14-Inputs!$B$14))*(1+Inputs!$B$7/100))*(F1364/100)</f>
        <v/>
      </c>
      <c r="K1364">
        <f>J1364*(1+((Inputs!$B$12*(1+Inputs!$B$13/100))*0.01+Inputs!$B$14*0.0025)/100)*(1+Inputs!$B$15/100)*(1+Inputs!$B$16/100)*(5000/(6000+Inputs!$B$42*(1-(100*(1-(1-(Inputs!$B$19+0)/100)*(1-CHOOSE(ArtifactsInput!$N$40+1,5,6,7,8,9,10)/100)^(ArtifactsInput!$M$40-ArtifactsInput!$M$40)))/100)))*(1+(Inputs!$B$24+((C1385=TRUE)*(F1385-Calc!F26))+B1396)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+0.4*IF(C1375=TRUE,F1375,0)/100)*(1+(IF(Skills!A5="EIGHT_LEGS_EASTON",Inputs!$B$17+((C1382=TRUE)*(F1382-Calc!F23))+((C1386=TRUE)*(F1386-Calc!F27))+((IF(AND(Inputs!$B$38&lt;&gt;"pvp",Inputs!$B$43=0),1,IF(IF(Inputs!$B$38="pvp",15,Inputs!$B$43)-(B1397)&lt;=0,1,MAX(0,IF(Inputs!$B$38="pvp",15,Inputs!$B$43)-MAX(5,B1397))/(IF(Inputs!$B$38="pvp",15,Inputs!$B$43)-(B1397))))*(IF(AND(ArtifactsInput!$M$42,((Inputs!$B$9+((C1378=TRUE)*(F1378-Calc!F19))+B1390+(ArtifactsInput!$M$24-ArtifactsInput!$M$24)*CHOOSE(ArtifactsInput!$N$24+1,10,12,14,16,18,20)+IF(ArtifactsInput!$M$10,CHOOSE(ArtifactsInput!$N$10+1,15,18,21,24,27,30)*(IF(Inputs!$B$38="pvp",MIN(15,15)/15,IF(AND(Inputs!$B$38&lt;&gt;"pvp",Inputs!$B$43&gt;0),MIN(15,Inputs!$B$43)/(Inputs!$B$43),0))),0)))&gt;=100),MIN(100,((Inputs!$B$9+((C1378=TRUE)*(F1378-Calc!F19))+B1390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1397)&lt;=0,1,MAX(0,IF(Inputs!$B$38="pvp",15,Inputs!$B$43)-MAX(5,B1397))/(IF(Inputs!$B$38="pvp",15,Inputs!$B$43)-(B1397))))*IF(AND(ArtifactsInput!$M$42,((Inputs!$B$9+((C1378=TRUE)*(F1378-Calc!F19))+B1390+(ArtifactsInput!$M$24-ArtifactsInput!$M$24)*CHOOSE(ArtifactsInput!$N$24+1,10,12,14,16,18,20)+IF(ArtifactsInput!$M$10,CHOOSE(ArtifactsInput!$N$10+1,15,18,21,24,27,30)*(IF(Inputs!$B$38="pvp",MIN(15,15)/15,IF(AND(Inputs!$B$38&lt;&gt;"pvp",Inputs!$B$43&gt;0),MIN(15,Inputs!$B$43)/(Inputs!$B$43),0))),0)))&gt;=100),CHOOSE(ArtifactsInput!$N$42+1,40,48,56,64,72,80),0))))/100)*((1+(((C1376=TRUE)*F1376*5/7)+((C1383=TRUE)*(F1383-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1364)</f>
        <v/>
      </c>
      <c r="L1364">
        <f>K1364*(MIN(Inputs!$B$22+((C1381=TRUE)*(F1381-Calc!F22)),(Inputs!$B$23+0+(IF(ArtifactsInput!$M$15,CHOOSE(ArtifactsInput!$N$15+1,25,30,35,40,45,50)/100*(Inputs!$B$11-Inputs!$B$11),0))))/100+(Inputs!$B$23+0+(IF(ArtifactsInput!$M$15,CHOOSE(ArtifactsInput!$N$15+1,25,30,35,40,45,50)/100*(Inputs!$B$11-Inputs!$B$11),0)))/100)/2</f>
        <v/>
      </c>
      <c r="M1364">
        <f>L1364*(1+(Inputs!$B$10+((C1384=TRUE)*(F1384-Calc!F25))+B1395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64">
        <f>L1364*(1-MIN((Inputs!$B$9+((C1378=TRUE)*(F1378-Calc!F19))+B1390+(ArtifactsInput!$M$24-ArtifactsInput!$M$24)*CHOOSE(ArtifactsInput!$N$24+1,10,12,14,16,18,20)+(IF(AND(Inputs!$B$38&lt;&gt;"pvp",Inputs!$B$43=0),1,IF(IF(Inputs!$B$38="pvp",15,Inputs!$B$43)-(B1397)&lt;=0,1,MAX(0,IF(Inputs!$B$38="pvp",15,Inputs!$B$43)-MAX(5,B1397))/(IF(Inputs!$B$38="pvp",15,Inputs!$B$43)-(B1397))))*IF(AND(ArtifactsInput!$M$42,((Inputs!$B$9+((C1378=TRUE)*(F1378-Calc!F19))+B1390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1364*(MIN((Inputs!$B$9+((C1378=TRUE)*(F1378-Calc!F19))+B1390+(ArtifactsInput!$M$24-ArtifactsInput!$M$24)*CHOOSE(ArtifactsInput!$N$24+1,10,12,14,16,18,20)+(IF(AND(Inputs!$B$38&lt;&gt;"pvp",Inputs!$B$43=0),1,IF(IF(Inputs!$B$38="pvp",15,Inputs!$B$43)-(B1397)&lt;=0,1,MAX(0,IF(Inputs!$B$38="pvp",15,Inputs!$B$43)-MAX(5,B1397))/(IF(Inputs!$B$38="pvp",15,Inputs!$B$43)-(B1397))))*IF(AND(ArtifactsInput!$M$42,((Inputs!$B$9+((C1378=TRUE)*(F1378-Calc!F19))+B1390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64">
        <f>(1-Summary!$B$11)*T1364+Summary!$B$11*V1364</f>
        <v/>
      </c>
      <c r="P1364">
        <f>IF(B1400=0,0,O1364/B1400)</f>
        <v/>
      </c>
      <c r="Q1364">
        <f>IFERROR(1/(IF(Inputs!$B$38="pvp",15,MAX(0.1,Skills!D5-IF(TRUE=TRUE,Inputs!$B$32,0)))*(1-IF(AND(ArtifactsInput!$M$27,Inputs!$B$4="Chapter Hunt"),CHOOSE(ArtifactsInput!$N$27+1,20,24,28,32,36,40),0)/100)),0)</f>
        <v/>
      </c>
      <c r="R1364">
        <f>IF(AND(Inputs!$B$38&lt;&gt;"pvp",Inputs!$B$43&gt;0),IF(MAX(0,Inputs!$B$43-B1397)&lt;=0,0,(INT(MAX(0,Inputs!$B$43-B1397)/(IF(Inputs!$B$38="pvp",15,MAX(0.1,Skills!D5-IF(TRUE=TRUE,Inputs!$B$32,0)))*(1-IF(AND(ArtifactsInput!$M$27,Inputs!$B$4="Chapter Hunt"),CHOOSE(ArtifactsInput!$N$27+1,20,24,28,32,36,40),0)/100)))+1)),0)</f>
        <v/>
      </c>
      <c r="S1364">
        <f>IFERROR(O1364/N1364,0)</f>
        <v/>
      </c>
      <c r="T1364">
        <f>IF(C1364,(H1364*N1364*IF(AND(Inputs!$B$38&lt;&gt;"pvp",Inputs!$B$43&gt;0),((Skills!G5*((R1364-1)*IF(Skills!H5&gt;0,INT(IF(Inputs!$B$3&gt;=104,MIN(35,20*(1+Inputs!$B$34/100)),20)/Skills!H5+0.000000001),1)+IF(Skills!H5&gt;0,INT(MIN(IF(Inputs!$B$3&gt;=104,MIN(35,20*(1+Inputs!$B$34/100)),20),MAX(0,MAX(0,Inputs!$B$43-B1397)-((R1364-1)*(IF(Inputs!$B$38="pvp",15,MAX(0.1,Skills!D5-IF(TRUE=TRUE,Inputs!$B$32,0)))*(1-IF(AND(ArtifactsInput!$M$27,Inputs!$B$4="Chapter Hunt"),CHOOSE(ArtifactsInput!$N$27+1,20,24,28,32,36,40),0)/100)))))/Skills!H5+0.000000001),1)))/Inputs!$B$43),G1364*Q1364))*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Hunt"),CHOOSE(ArtifactsInput!$N$35+1,15,18,21,24,27,30)*(1-EXP(-(0.2*B1392)*5)),0)+IF(AND(ArtifactsInput!$M$22,Inputs!$B$4&lt;&gt;"Chapter Hunt"),CHOOSE(ArtifactsInput!$N$22+1,10,12,14,16,18,20)*((0*(((0.15*B1392*5))^0/1)+1*(((0.15*B1392*5))^1/1)+2*(((0.15*B1392*5))^2/2)+3*(((0.15*B1392*5))^3/6)+4*(((0.15*B1392*5))^4/24)+5*(((0.15*B1392*5))^5/120))/((((0.15*B1392*5))^0/1)+(((0.15*B1392*5))^1/1)+(((0.15*B1392*5))^2/2)+(((0.15*B1392*5))^3/6)+(((0.15*B1392*5))^4/24)+(((0.15*B1392*5))^5/120))),0))+IF(Inputs!$B$3&gt;=54,9*(C1362=TRUE)*MIN(1,8*(1+Inputs!$B$34/100)*Q1362)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1364*(1-MIN(100,(Inputs!$B$9+((C1378=TRUE)*(F1378-Calc!F19))+B1390+(ArtifactsInput!$M$24-ArtifactsInput!$M$24)*CHOOSE(ArtifactsInput!$N$24+1,10,12,14,16,18,20)+(IF(AND(Inputs!$B$38&lt;&gt;"pvp",Inputs!$B$43=0),1,IF(IF(Inputs!$B$38="pvp",15,Inputs!$B$43)-(B1397)&lt;=0,1,MAX(0,IF(Inputs!$B$38="pvp",15,Inputs!$B$43)-MAX(5,B1397))/(IF(Inputs!$B$38="pvp",15,Inputs!$B$43)-(B1397))))*IF(AND(ArtifactsInput!$M$42,((Inputs!$B$9+((C1378=TRUE)*(F1378-Calc!F19))+B1390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1364*(MIN(100,(Inputs!$B$9+((C1378=TRUE)*(F1378-Calc!F19))+B1390+(ArtifactsInput!$M$24-ArtifactsInput!$M$24)*CHOOSE(ArtifactsInput!$N$24+1,10,12,14,16,18,20)+(IF(AND(Inputs!$B$38&lt;&gt;"pvp",Inputs!$B$43=0),1,IF(IF(Inputs!$B$38="pvp",15,Inputs!$B$43)-(B1397)&lt;=0,1,MAX(0,IF(Inputs!$B$38="pvp",15,Inputs!$B$43)-MAX(5,B1397))/(IF(Inputs!$B$38="pvp",15,Inputs!$B$43)-(B1397))))*IF(AND(ArtifactsInput!$M$42,((Inputs!$B$9+((C1378=TRUE)*(F1378-Calc!F19))+B1390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1364*(1-MIN(100,(Inputs!$B$9+((C1378=TRUE)*(F1378-Calc!F19))+B1390+(ArtifactsInput!$M$24-ArtifactsInput!$M$24)*CHOOSE(ArtifactsInput!$N$24+1,10,12,14,16,18,20)+(IF(AND(Inputs!$B$38&lt;&gt;"pvp",Inputs!$B$43=0),1,IF(IF(Inputs!$B$38="pvp",15,Inputs!$B$43)-(B1397)&lt;=0,1,MAX(0,IF(Inputs!$B$38="pvp",15,Inputs!$B$43)-MAX(5,B1397))/(IF(Inputs!$B$38="pvp",15,Inputs!$B$43)-(B1397))))*IF(AND(ArtifactsInput!$M$42,((Inputs!$B$9+((C1378=TRUE)*(F1378-Calc!F19))+B1390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1364*(MIN(100,(Inputs!$B$9+((C1378=TRUE)*(F1378-Calc!F19))+B1390+(ArtifactsInput!$M$24-ArtifactsInput!$M$24)*CHOOSE(ArtifactsInput!$N$24+1,10,12,14,16,18,20)+(IF(AND(Inputs!$B$38&lt;&gt;"pvp",Inputs!$B$43=0),1,IF(IF(Inputs!$B$38="pvp",15,Inputs!$B$43)-(B1397)&lt;=0,1,MAX(0,IF(Inputs!$B$38="pvp",15,Inputs!$B$43)-MAX(5,B1397))/(IF(Inputs!$B$38="pvp",15,Inputs!$B$43)-(B1397))))*IF(AND(ArtifactsInput!$M$42,((Inputs!$B$9+((C1378=TRUE)*(F1378-Calc!F19))+B1390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364">
        <f>IF(C1364,(H1364*N1364*IF(AND(Inputs!$B$38&lt;&gt;"pvp",Inputs!$B$43&gt;0),((Skills!G5*((R1364-1)*IF(Skills!H5&gt;0,INT(IF(Inputs!$B$3&gt;=104,MIN(35,20*(1+Inputs!$B$34/100)),20)/Skills!H5+0.000000001),1)+IF(Skills!H5&gt;0,INT(MIN(IF(Inputs!$B$3&gt;=104,MIN(35,20*(1+Inputs!$B$34/100)),20),MAX(0,MAX(0,Inputs!$B$43-B1397)-((R1364-1)*(IF(Inputs!$B$38="pvp",15,MAX(0.1,Skills!D5-IF(TRUE=TRUE,Inputs!$B$32,0)))*(1-IF(AND(ArtifactsInput!$M$27,Inputs!$B$4="Chapter Hunt"),CHOOSE(ArtifactsInput!$N$27+1,20,24,28,32,36,40),0)/100)))))/Skills!H5+0.000000001),1)))/Inputs!$B$43),G1364*Q1364))*IF(Inputs!$B$38="pvp",1,(1+(Inputs!$B$21+Skills!Q5+(IF(ArtifactsInput!$M$33,CHOOSE(ArtifactsInput!$N$33+1,30,36,42,48,54,60),0))+(IF(AND(ArtifactsInput!$M$35,Inputs!$B$4&lt;&gt;"Chapter Hunt"),CHOOSE(ArtifactsInput!$N$35+1,15,18,21,24,27,30)*(1-EXP(-(0.2*B1392)*5)),0)+IF(AND(ArtifactsInput!$M$22,Inputs!$B$4&lt;&gt;"Chapter Hunt"),CHOOSE(ArtifactsInput!$N$22+1,10,12,14,16,18,20)*((0*(((0.15*B1392*5))^0/1)+1*(((0.15*B1392*5))^1/1)+2*(((0.15*B1392*5))^2/2)+3*(((0.15*B1392*5))^3/6)+4*(((0.15*B1392*5))^4/24)+5*(((0.15*B1392*5))^5/120))/((((0.15*B1392*5))^0/1)+(((0.15*B1392*5))^1/1)+(((0.15*B1392*5))^2/2)+(((0.15*B1392*5))^3/6)+(((0.15*B1392*5))^4/24)+(((0.15*B1392*5))^5/120))),0))+IF(Inputs!$B$3&gt;=54,9*(C1362=TRUE)*MIN(1,8*(1+Inputs!$B$34/100)*Q1362),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65">
      <c r="A1365">
        <f>Skills!A6</f>
        <v/>
      </c>
      <c r="B1365">
        <f>Skills!B6</f>
        <v/>
      </c>
      <c r="C1365">
        <f>Inputs!$B$3&gt;=66</f>
        <v/>
      </c>
      <c r="D1365">
        <f>IF(Skills!C6=1,60+Inputs!$B$25+Inputs!$B$29,IF(Skills!C6=2,90+Inputs!$B$26+Inputs!$B$29,IF(Skills!C6=3,120+Inputs!$B$27+Inputs!$B$29,MAX(0,(Inputs!$B$3-100)*3)+Inputs!$B$28+Inputs!$B$29)))</f>
        <v/>
      </c>
      <c r="E1365">
        <f>INDEX(FactorTable!$B$2:$Y$301, MATCH(ROUND(MIN(300,MAX(1,D1365)),0), FactorTable!$A$2:$A$301,0), Skills!M6+1)</f>
        <v/>
      </c>
      <c r="F1365">
        <f>IF(Skills!N6=TRUE,(Skills!L6/10)*(E1365/1000),Skills!L6/10)+Skills!O6</f>
        <v/>
      </c>
      <c r="G1365">
        <f>Skills!G6*IF(Skills!H6&gt;0,INT(IF(Inputs!$B$38="pvp",MIN(Skills!I6,15),Skills!I6)/Skills!H6+0.000000001),1)</f>
        <v/>
      </c>
      <c r="H1365">
        <f>1-(1-Skills!J6/100)^Skills!K6</f>
        <v/>
      </c>
      <c r="I1365" t="inlineStr">
        <is>
          <t>1</t>
        </is>
      </c>
      <c r="J1365">
        <f>((Inputs!$B$6*(1+Inputs!$B$7/100))+(((Inputs!$B$12*(1+Inputs!$B$13/100))-(Inputs!$B$12*(1+Inputs!$B$13/100)))+0.25*(Inputs!$B$14-Inputs!$B$14))*(1+Inputs!$B$7/100))*(F1365/100)</f>
        <v/>
      </c>
      <c r="K1365">
        <f>J1365*(1+((Inputs!$B$12*(1+Inputs!$B$13/100))*0.01+Inputs!$B$14*0.0025)/100)*(1+Inputs!$B$15/100)*(1+Inputs!$B$16/100)*(5000/(6000+Inputs!$B$42*(1-(100*(1-(1-(Inputs!$B$19+0)/100)*(1-CHOOSE(ArtifactsInput!$N$40+1,5,6,7,8,9,10)/100)^(ArtifactsInput!$M$40-ArtifactsInput!$M$40)))/100)))*(1+(Inputs!$B$24+((C1385=TRUE)*(F1385-Calc!F26))+B1396)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+2.0*IF(C1374=TRUE,F1374,0)/100)*(1+(IF(Skills!A6="EIGHT_LEGS_EASTON",Inputs!$B$17+((C1382=TRUE)*(F1382-Calc!F23))+((C1386=TRUE)*(F1386-Calc!F27))+((IF(AND(Inputs!$B$38&lt;&gt;"pvp",Inputs!$B$43=0),1,IF(IF(Inputs!$B$38="pvp",15,Inputs!$B$43)-(B1397)&lt;=0,1,MAX(0,IF(Inputs!$B$38="pvp",15,Inputs!$B$43)-MAX(5,B1397))/(IF(Inputs!$B$38="pvp",15,Inputs!$B$43)-(B1397))))*(IF(AND(ArtifactsInput!$M$42,((Inputs!$B$9+((C1378=TRUE)*(F1378-Calc!F19))+B1390+(ArtifactsInput!$M$24-ArtifactsInput!$M$24)*CHOOSE(ArtifactsInput!$N$24+1,10,12,14,16,18,20)+IF(ArtifactsInput!$M$10,CHOOSE(ArtifactsInput!$N$10+1,15,18,21,24,27,30)*(IF(Inputs!$B$38="pvp",MIN(15,15)/15,IF(AND(Inputs!$B$38&lt;&gt;"pvp",Inputs!$B$43&gt;0),MIN(15,Inputs!$B$43)/(Inputs!$B$43),0))),0)))&gt;=100),MIN(100,((Inputs!$B$9+((C1378=TRUE)*(F1378-Calc!F19))+B1390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1397)&lt;=0,1,MAX(0,IF(Inputs!$B$38="pvp",15,Inputs!$B$43)-MAX(5,B1397))/(IF(Inputs!$B$38="pvp",15,Inputs!$B$43)-(B1397))))*IF(AND(ArtifactsInput!$M$42,((Inputs!$B$9+((C1378=TRUE)*(F1378-Calc!F19))+B1390+(ArtifactsInput!$M$24-ArtifactsInput!$M$24)*CHOOSE(ArtifactsInput!$N$24+1,10,12,14,16,18,20)+IF(ArtifactsInput!$M$10,CHOOSE(ArtifactsInput!$N$10+1,15,18,21,24,27,30)*(IF(Inputs!$B$38="pvp",MIN(15,15)/15,IF(AND(Inputs!$B$38&lt;&gt;"pvp",Inputs!$B$43&gt;0),MIN(15,Inputs!$B$43)/(Inputs!$B$43),0))),0)))&gt;=100),CHOOSE(ArtifactsInput!$N$42+1,40,48,56,64,72,80),0))))/100)*((1+(((C1376=TRUE)*F1376*5/7)+((C1383=TRUE)*(F1383-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1365)</f>
        <v/>
      </c>
      <c r="L1365">
        <f>K1365*(MIN(Inputs!$B$22+((C1381=TRUE)*(F1381-Calc!F22)),(Inputs!$B$23+0+(IF(ArtifactsInput!$M$15,CHOOSE(ArtifactsInput!$N$15+1,25,30,35,40,45,50)/100*(Inputs!$B$11-Inputs!$B$11),0))))/100+(Inputs!$B$23+0+(IF(ArtifactsInput!$M$15,CHOOSE(ArtifactsInput!$N$15+1,25,30,35,40,45,50)/100*(Inputs!$B$11-Inputs!$B$11),0)))/100)/2</f>
        <v/>
      </c>
      <c r="M1365">
        <f>L1365*(1+(Inputs!$B$10+((C1384=TRUE)*(F1384-Calc!F25))+B1395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65">
        <f>L1365*(1-MIN((Inputs!$B$9+((C1378=TRUE)*(F1378-Calc!F19))+B1390+(ArtifactsInput!$M$24-ArtifactsInput!$M$24)*CHOOSE(ArtifactsInput!$N$24+1,10,12,14,16,18,20)+(IF(AND(Inputs!$B$38&lt;&gt;"pvp",Inputs!$B$43=0),1,IF(IF(Inputs!$B$38="pvp",15,Inputs!$B$43)-(B1397)&lt;=0,1,MAX(0,IF(Inputs!$B$38="pvp",15,Inputs!$B$43)-MAX(5,B1397))/(IF(Inputs!$B$38="pvp",15,Inputs!$B$43)-(B1397))))*IF(AND(ArtifactsInput!$M$42,((Inputs!$B$9+((C1378=TRUE)*(F1378-Calc!F19))+B1390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1365*(MIN((Inputs!$B$9+((C1378=TRUE)*(F1378-Calc!F19))+B1390+(ArtifactsInput!$M$24-ArtifactsInput!$M$24)*CHOOSE(ArtifactsInput!$N$24+1,10,12,14,16,18,20)+(IF(AND(Inputs!$B$38&lt;&gt;"pvp",Inputs!$B$43=0),1,IF(IF(Inputs!$B$38="pvp",15,Inputs!$B$43)-(B1397)&lt;=0,1,MAX(0,IF(Inputs!$B$38="pvp",15,Inputs!$B$43)-MAX(5,B1397))/(IF(Inputs!$B$38="pvp",15,Inputs!$B$43)-(B1397))))*IF(AND(ArtifactsInput!$M$42,((Inputs!$B$9+((C1378=TRUE)*(F1378-Calc!F19))+B1390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65">
        <f>(1-Summary!$B$11)*T1365+Summary!$B$11*V1365</f>
        <v/>
      </c>
      <c r="P1365">
        <f>IF(B1400=0,0,O1365/B1400)</f>
        <v/>
      </c>
      <c r="Q1365">
        <f>IFERROR(1/(IF(Inputs!$B$38="pvp",15,MAX(0.1,Skills!D6-IF(TRUE=TRUE,Inputs!$B$32,0)))*(1-IF(AND(ArtifactsInput!$M$27,Inputs!$B$4="Chapter Hunt"),CHOOSE(ArtifactsInput!$N$27+1,20,24,28,32,36,40),0)/100)),0)</f>
        <v/>
      </c>
      <c r="R1365">
        <f>IF(AND(Inputs!$B$38&lt;&gt;"pvp",Inputs!$B$43&gt;0),IF(MAX(0,Inputs!$B$43-B1397)&lt;=0,0,(INT(MAX(0,Inputs!$B$43-B1397)/(IF(Inputs!$B$38="pvp",15,MAX(0.1,Skills!D6-IF(TRUE=TRUE,Inputs!$B$32,0)))*(1-IF(AND(ArtifactsInput!$M$27,Inputs!$B$4="Chapter Hunt"),CHOOSE(ArtifactsInput!$N$27+1,20,24,28,32,36,40),0)/100)))+1)),0)</f>
        <v/>
      </c>
      <c r="S1365">
        <f>IFERROR(O1365/N1365,0)</f>
        <v/>
      </c>
      <c r="T1365">
        <f>IF(C1365,(H1365*N1365*IF(AND(Inputs!$B$38&lt;&gt;"pvp",Inputs!$B$43&gt;0),((Skills!G6*((R1365-1)*IF(Skills!H6&gt;0,INT(Skills!I6/Skills!H6+0.000000001),1)+IF(Skills!H6&gt;0,INT(MIN(Skills!I6,MAX(0,MAX(0,Inputs!$B$43-B1397)-((R1365-1)*(IF(Inputs!$B$38="pvp",15,MAX(0.1,Skills!D6-IF(TRUE=TRUE,Inputs!$B$32,0)))*(1-IF(AND(ArtifactsInput!$M$27,Inputs!$B$4="Chapter Hunt"),CHOOSE(ArtifactsInput!$N$27+1,20,24,28,32,36,40),0)/100)))))/Skills!H6+0.000000001),1)))/Inputs!$B$43),G1365*Q1365))*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Hunt"),CHOOSE(ArtifactsInput!$N$35+1,15,18,21,24,27,30)*(1-EXP(-(0.2*B1392)*5)),0)+IF(AND(ArtifactsInput!$M$22,Inputs!$B$4&lt;&gt;"Chapter Hunt"),CHOOSE(ArtifactsInput!$N$22+1,10,12,14,16,18,20)*((0*(((0.15*B1392*5))^0/1)+1*(((0.15*B1392*5))^1/1)+2*(((0.15*B1392*5))^2/2)+3*(((0.15*B1392*5))^3/6)+4*(((0.15*B1392*5))^4/24)+5*(((0.15*B1392*5))^5/120))/((((0.15*B1392*5))^0/1)+(((0.15*B1392*5))^1/1)+(((0.15*B1392*5))^2/2)+(((0.15*B1392*5))^3/6)+(((0.15*B1392*5))^4/24)+(((0.15*B1392*5))^5/120))),0))+IF(Inputs!$B$3&gt;=54,9*(C1362=TRUE)*MIN(1,8*(1+Inputs!$B$34/100)*Q1362)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1365*(1-MIN(100,(Inputs!$B$9+((C1378=TRUE)*(F1378-Calc!F19))+B1390+(ArtifactsInput!$M$24-ArtifactsInput!$M$24)*CHOOSE(ArtifactsInput!$N$24+1,10,12,14,16,18,20)+(IF(AND(Inputs!$B$38&lt;&gt;"pvp",Inputs!$B$43=0),1,IF(IF(Inputs!$B$38="pvp",15,Inputs!$B$43)-(B1397)&lt;=0,1,MAX(0,IF(Inputs!$B$38="pvp",15,Inputs!$B$43)-MAX(5,B1397))/(IF(Inputs!$B$38="pvp",15,Inputs!$B$43)-(B1397))))*IF(AND(ArtifactsInput!$M$42,((Inputs!$B$9+((C1378=TRUE)*(F1378-Calc!F19))+B1390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1365*(MIN(100,(Inputs!$B$9+((C1378=TRUE)*(F1378-Calc!F19))+B1390+(ArtifactsInput!$M$24-ArtifactsInput!$M$24)*CHOOSE(ArtifactsInput!$N$24+1,10,12,14,16,18,20)+(IF(AND(Inputs!$B$38&lt;&gt;"pvp",Inputs!$B$43=0),1,IF(IF(Inputs!$B$38="pvp",15,Inputs!$B$43)-(B1397)&lt;=0,1,MAX(0,IF(Inputs!$B$38="pvp",15,Inputs!$B$43)-MAX(5,B1397))/(IF(Inputs!$B$38="pvp",15,Inputs!$B$43)-(B1397))))*IF(AND(ArtifactsInput!$M$42,((Inputs!$B$9+((C1378=TRUE)*(F1378-Calc!F19))+B1390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1365*(1-MIN(100,(Inputs!$B$9+((C1378=TRUE)*(F1378-Calc!F19))+B1390+(ArtifactsInput!$M$24-ArtifactsInput!$M$24)*CHOOSE(ArtifactsInput!$N$24+1,10,12,14,16,18,20)+(IF(AND(Inputs!$B$38&lt;&gt;"pvp",Inputs!$B$43=0),1,IF(IF(Inputs!$B$38="pvp",15,Inputs!$B$43)-(B1397)&lt;=0,1,MAX(0,IF(Inputs!$B$38="pvp",15,Inputs!$B$43)-MAX(5,B1397))/(IF(Inputs!$B$38="pvp",15,Inputs!$B$43)-(B1397))))*IF(AND(ArtifactsInput!$M$42,((Inputs!$B$9+((C1378=TRUE)*(F1378-Calc!F19))+B1390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1365*(MIN(100,(Inputs!$B$9+((C1378=TRUE)*(F1378-Calc!F19))+B1390+(ArtifactsInput!$M$24-ArtifactsInput!$M$24)*CHOOSE(ArtifactsInput!$N$24+1,10,12,14,16,18,20)+(IF(AND(Inputs!$B$38&lt;&gt;"pvp",Inputs!$B$43=0),1,IF(IF(Inputs!$B$38="pvp",15,Inputs!$B$43)-(B1397)&lt;=0,1,MAX(0,IF(Inputs!$B$38="pvp",15,Inputs!$B$43)-MAX(5,B1397))/(IF(Inputs!$B$38="pvp",15,Inputs!$B$43)-(B1397))))*IF(AND(ArtifactsInput!$M$42,((Inputs!$B$9+((C1378=TRUE)*(F1378-Calc!F19))+B1390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365">
        <f>IF(C1365,(H1365*N1365*IF(AND(Inputs!$B$38&lt;&gt;"pvp",Inputs!$B$43&gt;0),((Skills!G6*((R1365-1)*IF(Skills!H6&gt;0,INT(Skills!I6/Skills!H6+0.000000001),1)+IF(Skills!H6&gt;0,INT(MIN(Skills!I6,MAX(0,MAX(0,Inputs!$B$43-B1397)-((R1365-1)*(IF(Inputs!$B$38="pvp",15,MAX(0.1,Skills!D6-IF(TRUE=TRUE,Inputs!$B$32,0)))*(1-IF(AND(ArtifactsInput!$M$27,Inputs!$B$4="Chapter Hunt"),CHOOSE(ArtifactsInput!$N$27+1,20,24,28,32,36,40),0)/100)))))/Skills!H6+0.000000001),1)))/Inputs!$B$43),G1365*Q1365))*IF(Inputs!$B$38="pvp",1,(1+(Inputs!$B$21+Skills!Q6+(IF(ArtifactsInput!$M$33,CHOOSE(ArtifactsInput!$N$33+1,30,36,42,48,54,60),0))+(IF(AND(ArtifactsInput!$M$35,Inputs!$B$4&lt;&gt;"Chapter Hunt"),CHOOSE(ArtifactsInput!$N$35+1,15,18,21,24,27,30)*(1-EXP(-(0.2*B1392)*5)),0)+IF(AND(ArtifactsInput!$M$22,Inputs!$B$4&lt;&gt;"Chapter Hunt"),CHOOSE(ArtifactsInput!$N$22+1,10,12,14,16,18,20)*((0*(((0.15*B1392*5))^0/1)+1*(((0.15*B1392*5))^1/1)+2*(((0.15*B1392*5))^2/2)+3*(((0.15*B1392*5))^3/6)+4*(((0.15*B1392*5))^4/24)+5*(((0.15*B1392*5))^5/120))/((((0.15*B1392*5))^0/1)+(((0.15*B1392*5))^1/1)+(((0.15*B1392*5))^2/2)+(((0.15*B1392*5))^3/6)+(((0.15*B1392*5))^4/24)+(((0.15*B1392*5))^5/120))),0))+IF(Inputs!$B$3&gt;=54,9*(C1362=TRUE)*MIN(1,8*(1+Inputs!$B$34/100)*Q1362),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66">
      <c r="A1366">
        <f>Skills!A7</f>
        <v/>
      </c>
      <c r="B1366">
        <f>Skills!B7</f>
        <v/>
      </c>
      <c r="C1366">
        <f>Inputs!$B$3&gt;=63</f>
        <v/>
      </c>
      <c r="D1366">
        <f>IF(Skills!C7=1,60+Inputs!$B$25+Inputs!$B$29,IF(Skills!C7=2,90+Inputs!$B$26+Inputs!$B$29,IF(Skills!C7=3,120+Inputs!$B$27+Inputs!$B$29,MAX(0,(Inputs!$B$3-100)*3)+Inputs!$B$28+Inputs!$B$29)))</f>
        <v/>
      </c>
      <c r="E1366">
        <f>INDEX(FactorTable!$B$2:$Y$301, MATCH(ROUND(MIN(300,MAX(1,D1366)),0), FactorTable!$A$2:$A$301,0), Skills!M7+1)</f>
        <v/>
      </c>
      <c r="F1366">
        <f>IF(Skills!N7=TRUE,(Skills!L7/10)*(E1366/1000),Skills!L7/10)+Skills!O7</f>
        <v/>
      </c>
      <c r="G1366">
        <f>Skills!G7*IF(Skills!H7&gt;0,INT(IF(Inputs!$B$38="pvp",MIN(Skills!I7,15),Skills!I7)/Skills!H7+0.000000001),1)</f>
        <v/>
      </c>
      <c r="H1366">
        <f>1-(1-Skills!J7/100)^Skills!K7</f>
        <v/>
      </c>
      <c r="I1366" t="inlineStr">
        <is>
          <t>1</t>
        </is>
      </c>
      <c r="J1366">
        <f>((Inputs!$B$6*(1+Inputs!$B$7/100))+(((Inputs!$B$12*(1+Inputs!$B$13/100))-(Inputs!$B$12*(1+Inputs!$B$13/100)))+0.25*(Inputs!$B$14-Inputs!$B$14))*(1+Inputs!$B$7/100))*(F1366/100)</f>
        <v/>
      </c>
      <c r="K1366">
        <f>J1366*(1+((Inputs!$B$12*(1+Inputs!$B$13/100))*0.01+Inputs!$B$14*0.0025)/100)*(1+Inputs!$B$15/100)*(1+Inputs!$B$16/100)*(5000/(6000+Inputs!$B$42*(1-(100*(1-(1-(Inputs!$B$19+0)/100)*(1-CHOOSE(ArtifactsInput!$N$40+1,5,6,7,8,9,10)/100)^(ArtifactsInput!$M$40-ArtifactsInput!$M$40)))/100)))*(1+(Inputs!$B$24+((C1385=TRUE)*(F1385-Calc!F26))+B1396)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1374=TRUE,F1374,0)/100)*(1+(IF(Skills!A7="EIGHT_LEGS_EASTON",Inputs!$B$17+((C1382=TRUE)*(F1382-Calc!F23))+((C1386=TRUE)*(F1386-Calc!F27))+((IF(AND(Inputs!$B$38&lt;&gt;"pvp",Inputs!$B$43=0),1,IF(IF(Inputs!$B$38="pvp",15,Inputs!$B$43)-(B1397)&lt;=0,1,MAX(0,IF(Inputs!$B$38="pvp",15,Inputs!$B$43)-MAX(5,B1397))/(IF(Inputs!$B$38="pvp",15,Inputs!$B$43)-(B1397))))*(IF(AND(ArtifactsInput!$M$42,((Inputs!$B$9+((C1378=TRUE)*(F1378-Calc!F19))+B1390+(ArtifactsInput!$M$24-ArtifactsInput!$M$24)*CHOOSE(ArtifactsInput!$N$24+1,10,12,14,16,18,20)+IF(ArtifactsInput!$M$10,CHOOSE(ArtifactsInput!$N$10+1,15,18,21,24,27,30)*(IF(Inputs!$B$38="pvp",MIN(15,15)/15,IF(AND(Inputs!$B$38&lt;&gt;"pvp",Inputs!$B$43&gt;0),MIN(15,Inputs!$B$43)/(Inputs!$B$43),0))),0)))&gt;=100),MIN(100,((Inputs!$B$9+((C1378=TRUE)*(F1378-Calc!F19))+B1390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1397)&lt;=0,1,MAX(0,IF(Inputs!$B$38="pvp",15,Inputs!$B$43)-MAX(5,B1397))/(IF(Inputs!$B$38="pvp",15,Inputs!$B$43)-(B1397))))*IF(AND(ArtifactsInput!$M$42,((Inputs!$B$9+((C1378=TRUE)*(F1378-Calc!F19))+B1390+(ArtifactsInput!$M$24-ArtifactsInput!$M$24)*CHOOSE(ArtifactsInput!$N$24+1,10,12,14,16,18,20)+IF(ArtifactsInput!$M$10,CHOOSE(ArtifactsInput!$N$10+1,15,18,21,24,27,30)*(IF(Inputs!$B$38="pvp",MIN(15,15)/15,IF(AND(Inputs!$B$38&lt;&gt;"pvp",Inputs!$B$43&gt;0),MIN(15,Inputs!$B$43)/(Inputs!$B$43),0))),0)))&gt;=100),CHOOSE(ArtifactsInput!$N$42+1,40,48,56,64,72,80),0))))/100)*((1+(((C1376=TRUE)*F1376*5/7)+((C1383=TRUE)*(F1383-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1366)</f>
        <v/>
      </c>
      <c r="L1366">
        <f>K1366*(MIN(Inputs!$B$22+((C1381=TRUE)*(F1381-Calc!F22)),(Inputs!$B$23+0+(IF(ArtifactsInput!$M$15,CHOOSE(ArtifactsInput!$N$15+1,25,30,35,40,45,50)/100*(Inputs!$B$11-Inputs!$B$11),0))))/100+(Inputs!$B$23+0+(IF(ArtifactsInput!$M$15,CHOOSE(ArtifactsInput!$N$15+1,25,30,35,40,45,50)/100*(Inputs!$B$11-Inputs!$B$11),0)))/100)/2</f>
        <v/>
      </c>
      <c r="M1366">
        <f>L1366*(1+(Inputs!$B$10+((C1384=TRUE)*(F1384-Calc!F25))+B1395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66">
        <f>L1366*(1-MIN((Inputs!$B$9+((C1378=TRUE)*(F1378-Calc!F19))+B1390+(ArtifactsInput!$M$24-ArtifactsInput!$M$24)*CHOOSE(ArtifactsInput!$N$24+1,10,12,14,16,18,20)+(IF(AND(Inputs!$B$38&lt;&gt;"pvp",Inputs!$B$43=0),1,IF(IF(Inputs!$B$38="pvp",15,Inputs!$B$43)-(B1397)&lt;=0,1,MAX(0,IF(Inputs!$B$38="pvp",15,Inputs!$B$43)-MAX(5,B1397))/(IF(Inputs!$B$38="pvp",15,Inputs!$B$43)-(B1397))))*IF(AND(ArtifactsInput!$M$42,((Inputs!$B$9+((C1378=TRUE)*(F1378-Calc!F19))+B1390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1366*(MIN((Inputs!$B$9+((C1378=TRUE)*(F1378-Calc!F19))+B1390+(ArtifactsInput!$M$24-ArtifactsInput!$M$24)*CHOOSE(ArtifactsInput!$N$24+1,10,12,14,16,18,20)+(IF(AND(Inputs!$B$38&lt;&gt;"pvp",Inputs!$B$43=0),1,IF(IF(Inputs!$B$38="pvp",15,Inputs!$B$43)-(B1397)&lt;=0,1,MAX(0,IF(Inputs!$B$38="pvp",15,Inputs!$B$43)-MAX(5,B1397))/(IF(Inputs!$B$38="pvp",15,Inputs!$B$43)-(B1397))))*IF(AND(ArtifactsInput!$M$42,((Inputs!$B$9+((C1378=TRUE)*(F1378-Calc!F19))+B1390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66">
        <f>(1-Summary!$B$11)*T1366+Summary!$B$11*V1366</f>
        <v/>
      </c>
      <c r="P1366">
        <f>IF(B1400=0,0,O1366/B1400)</f>
        <v/>
      </c>
      <c r="Q1366">
        <f>IFERROR(1/(IF(Inputs!$B$38="pvp",15,MAX(0.1,Skills!D7-IF(TRUE=TRUE,Inputs!$B$32,0)))*(1-IF(AND(ArtifactsInput!$M$27,Inputs!$B$4="Chapter Hunt"),CHOOSE(ArtifactsInput!$N$27+1,20,24,28,32,36,40),0)/100)),0)</f>
        <v/>
      </c>
      <c r="R1366">
        <f>IF(AND(Inputs!$B$38&lt;&gt;"pvp",Inputs!$B$43&gt;0),IF(MAX(0,Inputs!$B$43-B1397)&lt;=0,0,(INT(MAX(0,Inputs!$B$43-B1397)/(IF(Inputs!$B$38="pvp",15,MAX(0.1,Skills!D7-IF(TRUE=TRUE,Inputs!$B$32,0)))*(1-IF(AND(ArtifactsInput!$M$27,Inputs!$B$4="Chapter Hunt"),CHOOSE(ArtifactsInput!$N$27+1,20,24,28,32,36,40),0)/100)))+1)),0)</f>
        <v/>
      </c>
      <c r="S1366">
        <f>IFERROR(O1366/N1366,0)</f>
        <v/>
      </c>
      <c r="T1366">
        <f>IF(C1366,(H1366*N1366*IF(AND(Inputs!$B$38&lt;&gt;"pvp",Inputs!$B$43&gt;0),((Skills!G7*((R1366-1)*IF(Skills!H7&gt;0,INT(Skills!I7/Skills!H7+0.000000001),1)+IF(Skills!H7&gt;0,INT(MIN(Skills!I7,MAX(0,MAX(0,Inputs!$B$43-B1397)-((R1366-1)*(IF(Inputs!$B$38="pvp",15,MAX(0.1,Skills!D7-IF(TRUE=TRUE,Inputs!$B$32,0)))*(1-IF(AND(ArtifactsInput!$M$27,Inputs!$B$4="Chapter Hunt"),CHOOSE(ArtifactsInput!$N$27+1,20,24,28,32,36,40),0)/100)))))/Skills!H7+0.000000001),1)))/Inputs!$B$43),G1366*Q1366))*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Hunt"),CHOOSE(ArtifactsInput!$N$35+1,15,18,21,24,27,30)*(1-EXP(-(0.2*B1392)*5)),0)+IF(AND(ArtifactsInput!$M$22,Inputs!$B$4&lt;&gt;"Chapter Hunt"),CHOOSE(ArtifactsInput!$N$22+1,10,12,14,16,18,20)*((0*(((0.15*B1392*5))^0/1)+1*(((0.15*B1392*5))^1/1)+2*(((0.15*B1392*5))^2/2)+3*(((0.15*B1392*5))^3/6)+4*(((0.15*B1392*5))^4/24)+5*(((0.15*B1392*5))^5/120))/((((0.15*B1392*5))^0/1)+(((0.15*B1392*5))^1/1)+(((0.15*B1392*5))^2/2)+(((0.15*B1392*5))^3/6)+(((0.15*B1392*5))^4/24)+(((0.15*B1392*5))^5/120))),0))+IF(Inputs!$B$3&gt;=54,9*(C1362=TRUE)*MIN(1,8*(1+Inputs!$B$34/100)*Q1362)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1366*(1-MIN(100,(Inputs!$B$9+((C1378=TRUE)*(F1378-Calc!F19))+B1390+(ArtifactsInput!$M$24-ArtifactsInput!$M$24)*CHOOSE(ArtifactsInput!$N$24+1,10,12,14,16,18,20)+(IF(AND(Inputs!$B$38&lt;&gt;"pvp",Inputs!$B$43=0),1,IF(IF(Inputs!$B$38="pvp",15,Inputs!$B$43)-(B1397)&lt;=0,1,MAX(0,IF(Inputs!$B$38="pvp",15,Inputs!$B$43)-MAX(5,B1397))/(IF(Inputs!$B$38="pvp",15,Inputs!$B$43)-(B1397))))*IF(AND(ArtifactsInput!$M$42,((Inputs!$B$9+((C1378=TRUE)*(F1378-Calc!F19))+B1390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1366*(MIN(100,(Inputs!$B$9+((C1378=TRUE)*(F1378-Calc!F19))+B1390+(ArtifactsInput!$M$24-ArtifactsInput!$M$24)*CHOOSE(ArtifactsInput!$N$24+1,10,12,14,16,18,20)+(IF(AND(Inputs!$B$38&lt;&gt;"pvp",Inputs!$B$43=0),1,IF(IF(Inputs!$B$38="pvp",15,Inputs!$B$43)-(B1397)&lt;=0,1,MAX(0,IF(Inputs!$B$38="pvp",15,Inputs!$B$43)-MAX(5,B1397))/(IF(Inputs!$B$38="pvp",15,Inputs!$B$43)-(B1397))))*IF(AND(ArtifactsInput!$M$42,((Inputs!$B$9+((C1378=TRUE)*(F1378-Calc!F19))+B1390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1366*(1-MIN(100,(Inputs!$B$9+((C1378=TRUE)*(F1378-Calc!F19))+B1390+(ArtifactsInput!$M$24-ArtifactsInput!$M$24)*CHOOSE(ArtifactsInput!$N$24+1,10,12,14,16,18,20)+(IF(AND(Inputs!$B$38&lt;&gt;"pvp",Inputs!$B$43=0),1,IF(IF(Inputs!$B$38="pvp",15,Inputs!$B$43)-(B1397)&lt;=0,1,MAX(0,IF(Inputs!$B$38="pvp",15,Inputs!$B$43)-MAX(5,B1397))/(IF(Inputs!$B$38="pvp",15,Inputs!$B$43)-(B1397))))*IF(AND(ArtifactsInput!$M$42,((Inputs!$B$9+((C1378=TRUE)*(F1378-Calc!F19))+B1390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1366*(MIN(100,(Inputs!$B$9+((C1378=TRUE)*(F1378-Calc!F19))+B1390+(ArtifactsInput!$M$24-ArtifactsInput!$M$24)*CHOOSE(ArtifactsInput!$N$24+1,10,12,14,16,18,20)+(IF(AND(Inputs!$B$38&lt;&gt;"pvp",Inputs!$B$43=0),1,IF(IF(Inputs!$B$38="pvp",15,Inputs!$B$43)-(B1397)&lt;=0,1,MAX(0,IF(Inputs!$B$38="pvp",15,Inputs!$B$43)-MAX(5,B1397))/(IF(Inputs!$B$38="pvp",15,Inputs!$B$43)-(B1397))))*IF(AND(ArtifactsInput!$M$42,((Inputs!$B$9+((C1378=TRUE)*(F1378-Calc!F19))+B1390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366">
        <f>IF(C1366,(H1366*N1366*IF(AND(Inputs!$B$38&lt;&gt;"pvp",Inputs!$B$43&gt;0),((Skills!G7*((R1366-1)*IF(Skills!H7&gt;0,INT(Skills!I7/Skills!H7+0.000000001),1)+IF(Skills!H7&gt;0,INT(MIN(Skills!I7,MAX(0,MAX(0,Inputs!$B$43-B1397)-((R1366-1)*(IF(Inputs!$B$38="pvp",15,MAX(0.1,Skills!D7-IF(TRUE=TRUE,Inputs!$B$32,0)))*(1-IF(AND(ArtifactsInput!$M$27,Inputs!$B$4="Chapter Hunt"),CHOOSE(ArtifactsInput!$N$27+1,20,24,28,32,36,40),0)/100)))))/Skills!H7+0.000000001),1)))/Inputs!$B$43),G1366*Q1366))*IF(Inputs!$B$38="pvp",1,(1+(Inputs!$B$21+Skills!Q7+(IF(ArtifactsInput!$M$33,CHOOSE(ArtifactsInput!$N$33+1,30,36,42,48,54,60),0))+(IF(AND(ArtifactsInput!$M$35,Inputs!$B$4&lt;&gt;"Chapter Hunt"),CHOOSE(ArtifactsInput!$N$35+1,15,18,21,24,27,30)*(1-EXP(-(0.2*B1392)*5)),0)+IF(AND(ArtifactsInput!$M$22,Inputs!$B$4&lt;&gt;"Chapter Hunt"),CHOOSE(ArtifactsInput!$N$22+1,10,12,14,16,18,20)*((0*(((0.15*B1392*5))^0/1)+1*(((0.15*B1392*5))^1/1)+2*(((0.15*B1392*5))^2/2)+3*(((0.15*B1392*5))^3/6)+4*(((0.15*B1392*5))^4/24)+5*(((0.15*B1392*5))^5/120))/((((0.15*B1392*5))^0/1)+(((0.15*B1392*5))^1/1)+(((0.15*B1392*5))^2/2)+(((0.15*B1392*5))^3/6)+(((0.15*B1392*5))^4/24)+(((0.15*B1392*5))^5/120))),0))+IF(Inputs!$B$3&gt;=54,9*(C1362=TRUE)*MIN(1,8*(1+Inputs!$B$34/100)*Q1362),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67">
      <c r="A1367">
        <f>Skills!A8</f>
        <v/>
      </c>
      <c r="B1367">
        <f>Skills!B8</f>
        <v/>
      </c>
      <c r="C1367">
        <f>Inputs!$B$3&gt;=103</f>
        <v/>
      </c>
      <c r="D1367">
        <f>IF(Skills!C8=1,60+Inputs!$B$25+Inputs!$B$29,IF(Skills!C8=2,90+Inputs!$B$26+Inputs!$B$29,IF(Skills!C8=3,120+Inputs!$B$27+Inputs!$B$29,MAX(0,(Inputs!$B$3-100)*3)+Inputs!$B$28+Inputs!$B$29)))</f>
        <v/>
      </c>
      <c r="E1367">
        <f>INDEX(FactorTable!$B$2:$Y$301, MATCH(ROUND(MIN(300,MAX(1,D1367)),0), FactorTable!$A$2:$A$301,0), Skills!M8+1)</f>
        <v/>
      </c>
      <c r="F1367">
        <f>IF(Skills!N8=TRUE,(Skills!L8/10)*(E1367/1000),Skills!L8/10)+Skills!O8</f>
        <v/>
      </c>
      <c r="G1367">
        <f>Skills!G8*IF(Skills!H8&gt;0,INT(IF(Inputs!$B$38="pvp",MIN(Skills!I8,15),Skills!I8)/Skills!H8+0.000000001),1)</f>
        <v/>
      </c>
      <c r="H1367">
        <f>1-(1-Skills!J8/100)^Skills!K8</f>
        <v/>
      </c>
      <c r="I1367" t="inlineStr">
        <is>
          <t>1</t>
        </is>
      </c>
      <c r="J1367">
        <f>((Inputs!$B$6*(1+Inputs!$B$7/100))+(((Inputs!$B$12*(1+Inputs!$B$13/100))-(Inputs!$B$12*(1+Inputs!$B$13/100)))+0.25*(Inputs!$B$14-Inputs!$B$14))*(1+Inputs!$B$7/100))*(F1367/100)</f>
        <v/>
      </c>
      <c r="K1367">
        <f>J1367*(1+((Inputs!$B$12*(1+Inputs!$B$13/100))*0.01+Inputs!$B$14*0.0025)/100)*(1+Inputs!$B$15/100)*(1+Inputs!$B$16/100)*(5000/(6000+Inputs!$B$42*(1-(100*(1-(1-(Inputs!$B$19+0)/100)*(1-CHOOSE(ArtifactsInput!$N$40+1,5,6,7,8,9,10)/100)^(ArtifactsInput!$M$40-ArtifactsInput!$M$40)))/100)))*(1+(Inputs!$B$24+((C1385=TRUE)*(F1385-Calc!F26))+B1396)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IGHT_LEGS_EASTON",Inputs!$B$17+((C1382=TRUE)*(F1382-Calc!F23))+((C1386=TRUE)*(F1386-Calc!F27))+((IF(AND(Inputs!$B$38&lt;&gt;"pvp",Inputs!$B$43=0),1,IF(IF(Inputs!$B$38="pvp",15,Inputs!$B$43)-(B1397)&lt;=0,1,MAX(0,IF(Inputs!$B$38="pvp",15,Inputs!$B$43)-MAX(5,B1397))/(IF(Inputs!$B$38="pvp",15,Inputs!$B$43)-(B1397))))*(IF(AND(ArtifactsInput!$M$42,((Inputs!$B$9+((C1378=TRUE)*(F1378-Calc!F19))+B1390+(ArtifactsInput!$M$24-ArtifactsInput!$M$24)*CHOOSE(ArtifactsInput!$N$24+1,10,12,14,16,18,20)+IF(ArtifactsInput!$M$10,CHOOSE(ArtifactsInput!$N$10+1,15,18,21,24,27,30)*(IF(Inputs!$B$38="pvp",MIN(15,15)/15,IF(AND(Inputs!$B$38&lt;&gt;"pvp",Inputs!$B$43&gt;0),MIN(15,Inputs!$B$43)/(Inputs!$B$43),0))),0)))&gt;=100),MIN(100,((Inputs!$B$9+((C1378=TRUE)*(F1378-Calc!F19))+B1390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1397)&lt;=0,1,MAX(0,IF(Inputs!$B$38="pvp",15,Inputs!$B$43)-MAX(5,B1397))/(IF(Inputs!$B$38="pvp",15,Inputs!$B$43)-(B1397))))*IF(AND(ArtifactsInput!$M$42,((Inputs!$B$9+((C1378=TRUE)*(F1378-Calc!F19))+B1390+(ArtifactsInput!$M$24-ArtifactsInput!$M$24)*CHOOSE(ArtifactsInput!$N$24+1,10,12,14,16,18,20)+IF(ArtifactsInput!$M$10,CHOOSE(ArtifactsInput!$N$10+1,15,18,21,24,27,30)*(IF(Inputs!$B$38="pvp",MIN(15,15)/15,IF(AND(Inputs!$B$38&lt;&gt;"pvp",Inputs!$B$43&gt;0),MIN(15,Inputs!$B$43)/(Inputs!$B$43),0))),0)))&gt;=100),CHOOSE(ArtifactsInput!$N$42+1,40,48,56,64,72,80),0))))/100)*((1+(((C1376=TRUE)*F1376*5/7)+((C1383=TRUE)*(F1383-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1367)</f>
        <v/>
      </c>
      <c r="L1367">
        <f>K1367*(MIN(Inputs!$B$22+((C1381=TRUE)*(F1381-Calc!F22)),(Inputs!$B$23+0+(IF(ArtifactsInput!$M$15,CHOOSE(ArtifactsInput!$N$15+1,25,30,35,40,45,50)/100*(Inputs!$B$11-Inputs!$B$11),0))))/100+(Inputs!$B$23+0+(IF(ArtifactsInput!$M$15,CHOOSE(ArtifactsInput!$N$15+1,25,30,35,40,45,50)/100*(Inputs!$B$11-Inputs!$B$11),0)))/100)/2</f>
        <v/>
      </c>
      <c r="M1367">
        <f>L1367*(1+(Inputs!$B$10+((C1384=TRUE)*(F1384-Calc!F25))+B1395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67">
        <f>L1367*(1-MIN((Inputs!$B$9+((C1378=TRUE)*(F1378-Calc!F19))+B1390+(ArtifactsInput!$M$24-ArtifactsInput!$M$24)*CHOOSE(ArtifactsInput!$N$24+1,10,12,14,16,18,20)+(IF(AND(Inputs!$B$38&lt;&gt;"pvp",Inputs!$B$43=0),1,IF(IF(Inputs!$B$38="pvp",15,Inputs!$B$43)-(B1397)&lt;=0,1,MAX(0,IF(Inputs!$B$38="pvp",15,Inputs!$B$43)-MAX(5,B1397))/(IF(Inputs!$B$38="pvp",15,Inputs!$B$43)-(B1397))))*IF(AND(ArtifactsInput!$M$42,((Inputs!$B$9+((C1378=TRUE)*(F1378-Calc!F19))+B1390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1367*(MIN((Inputs!$B$9+((C1378=TRUE)*(F1378-Calc!F19))+B1390+(ArtifactsInput!$M$24-ArtifactsInput!$M$24)*CHOOSE(ArtifactsInput!$N$24+1,10,12,14,16,18,20)+(IF(AND(Inputs!$B$38&lt;&gt;"pvp",Inputs!$B$43=0),1,IF(IF(Inputs!$B$38="pvp",15,Inputs!$B$43)-(B1397)&lt;=0,1,MAX(0,IF(Inputs!$B$38="pvp",15,Inputs!$B$43)-MAX(5,B1397))/(IF(Inputs!$B$38="pvp",15,Inputs!$B$43)-(B1397))))*IF(AND(ArtifactsInput!$M$42,((Inputs!$B$9+((C1378=TRUE)*(F1378-Calc!F19))+B1390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67">
        <f>(1-Summary!$B$11)*T1367+Summary!$B$11*V1367</f>
        <v/>
      </c>
      <c r="P1367">
        <f>IF(B1400=0,0,O1367/B1400)</f>
        <v/>
      </c>
      <c r="Q1367">
        <f>IFERROR(1/((IF(Inputs!$B$38="pvp",15,MAX(0.1,Skills!D8-IF(TRUE=TRUE,Inputs!$B$32,0)))*(1-IF(AND(ArtifactsInput!$M$27,Inputs!$B$4="Chapter Hunt"),CHOOSE(ArtifactsInput!$N$27+1,20,24,28,32,36,40),0)/100))/B1401),0)</f>
        <v/>
      </c>
      <c r="R1367">
        <f>IF(AND(Inputs!$B$38&lt;&gt;"pvp",Inputs!$B$43&gt;0),IF(MAX(0,Inputs!$B$43-B1397)&lt;=0,0,(INT(MAX(0,Inputs!$B$43-B1397)/((IF(Inputs!$B$38="pvp",15,MAX(0.1,Skills!D8-IF(TRUE=TRUE,Inputs!$B$32,0)))*(1-IF(AND(ArtifactsInput!$M$27,Inputs!$B$4="Chapter Hunt"),CHOOSE(ArtifactsInput!$N$27+1,20,24,28,32,36,40),0)/100))/B1401))+1)),0)</f>
        <v/>
      </c>
      <c r="S1367">
        <f>IFERROR(O1367/N1367,0)</f>
        <v/>
      </c>
      <c r="T1367">
        <f>IF(C1367,(H1367*N1367*IF(AND(Inputs!$B$38&lt;&gt;"pvp",Inputs!$B$43&gt;0),((Skills!G8*((R1367-1)*IF(Skills!H8&gt;0,INT(Skills!I8/Skills!H8+0.000000001),1)+IF(Skills!H8&gt;0,INT(MIN(Skills!I8,MAX(0,MAX(0,Inputs!$B$43-B1397)-((R1367-1)*((IF(Inputs!$B$38="pvp",15,MAX(0.1,Skills!D8-IF(TRUE=TRUE,Inputs!$B$32,0)))*(1-IF(AND(ArtifactsInput!$M$27,Inputs!$B$4="Chapter Hunt"),CHOOSE(ArtifactsInput!$N$27+1,20,24,28,32,36,40),0)/100))/B1401))))/Skills!H8+0.000000001),1)))/Inputs!$B$43),G1367*Q1367))*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Hunt"),CHOOSE(ArtifactsInput!$N$35+1,15,18,21,24,27,30)*(1-EXP(-(0.2*B1392)*5)),0)+IF(AND(ArtifactsInput!$M$22,Inputs!$B$4&lt;&gt;"Chapter Hunt"),CHOOSE(ArtifactsInput!$N$22+1,10,12,14,16,18,20)*((0*(((0.15*B1392*5))^0/1)+1*(((0.15*B1392*5))^1/1)+2*(((0.15*B1392*5))^2/2)+3*(((0.15*B1392*5))^3/6)+4*(((0.15*B1392*5))^4/24)+5*(((0.15*B1392*5))^5/120))/((((0.15*B1392*5))^0/1)+(((0.15*B1392*5))^1/1)+(((0.15*B1392*5))^2/2)+(((0.15*B1392*5))^3/6)+(((0.15*B1392*5))^4/24)+(((0.15*B1392*5))^5/120))),0))+IF(Inputs!$B$3&gt;=54,9*(C1362=TRUE)*MIN(1,8*(1+Inputs!$B$34/100)*Q1362)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1367*(1-MIN(100,(Inputs!$B$9+((C1378=TRUE)*(F1378-Calc!F19))+B1390+(ArtifactsInput!$M$24-ArtifactsInput!$M$24)*CHOOSE(ArtifactsInput!$N$24+1,10,12,14,16,18,20)+(IF(AND(Inputs!$B$38&lt;&gt;"pvp",Inputs!$B$43=0),1,IF(IF(Inputs!$B$38="pvp",15,Inputs!$B$43)-(B1397)&lt;=0,1,MAX(0,IF(Inputs!$B$38="pvp",15,Inputs!$B$43)-MAX(5,B1397))/(IF(Inputs!$B$38="pvp",15,Inputs!$B$43)-(B1397))))*IF(AND(ArtifactsInput!$M$42,((Inputs!$B$9+((C1378=TRUE)*(F1378-Calc!F19))+B1390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1367*(MIN(100,(Inputs!$B$9+((C1378=TRUE)*(F1378-Calc!F19))+B1390+(ArtifactsInput!$M$24-ArtifactsInput!$M$24)*CHOOSE(ArtifactsInput!$N$24+1,10,12,14,16,18,20)+(IF(AND(Inputs!$B$38&lt;&gt;"pvp",Inputs!$B$43=0),1,IF(IF(Inputs!$B$38="pvp",15,Inputs!$B$43)-(B1397)&lt;=0,1,MAX(0,IF(Inputs!$B$38="pvp",15,Inputs!$B$43)-MAX(5,B1397))/(IF(Inputs!$B$38="pvp",15,Inputs!$B$43)-(B1397))))*IF(AND(ArtifactsInput!$M$42,((Inputs!$B$9+((C1378=TRUE)*(F1378-Calc!F19))+B1390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1367*(1-MIN(100,(Inputs!$B$9+((C1378=TRUE)*(F1378-Calc!F19))+B1390+(ArtifactsInput!$M$24-ArtifactsInput!$M$24)*CHOOSE(ArtifactsInput!$N$24+1,10,12,14,16,18,20)+(IF(AND(Inputs!$B$38&lt;&gt;"pvp",Inputs!$B$43=0),1,IF(IF(Inputs!$B$38="pvp",15,Inputs!$B$43)-(B1397)&lt;=0,1,MAX(0,IF(Inputs!$B$38="pvp",15,Inputs!$B$43)-MAX(5,B1397))/(IF(Inputs!$B$38="pvp",15,Inputs!$B$43)-(B1397))))*IF(AND(ArtifactsInput!$M$42,((Inputs!$B$9+((C1378=TRUE)*(F1378-Calc!F19))+B1390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1367*(MIN(100,(Inputs!$B$9+((C1378=TRUE)*(F1378-Calc!F19))+B1390+(ArtifactsInput!$M$24-ArtifactsInput!$M$24)*CHOOSE(ArtifactsInput!$N$24+1,10,12,14,16,18,20)+(IF(AND(Inputs!$B$38&lt;&gt;"pvp",Inputs!$B$43=0),1,IF(IF(Inputs!$B$38="pvp",15,Inputs!$B$43)-(B1397)&lt;=0,1,MAX(0,IF(Inputs!$B$38="pvp",15,Inputs!$B$43)-MAX(5,B1397))/(IF(Inputs!$B$38="pvp",15,Inputs!$B$43)-(B1397))))*IF(AND(ArtifactsInput!$M$42,((Inputs!$B$9+((C1378=TRUE)*(F1378-Calc!F19))+B1390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367">
        <f>IF(C1367,(H1367*N1367*IF(AND(Inputs!$B$38&lt;&gt;"pvp",Inputs!$B$43&gt;0),((Skills!G8*((R1367-1)*IF(Skills!H8&gt;0,INT(Skills!I8/Skills!H8+0.000000001),1)+IF(Skills!H8&gt;0,INT(MIN(Skills!I8,MAX(0,MAX(0,Inputs!$B$43-B1397)-((R1367-1)*((IF(Inputs!$B$38="pvp",15,MAX(0.1,Skills!D8-IF(TRUE=TRUE,Inputs!$B$32,0)))*(1-IF(AND(ArtifactsInput!$M$27,Inputs!$B$4="Chapter Hunt"),CHOOSE(ArtifactsInput!$N$27+1,20,24,28,32,36,40),0)/100))/B1401))))/Skills!H8+0.000000001),1)))/Inputs!$B$43),G1367*Q1367))*IF(Inputs!$B$38="pvp",1,(1+(Inputs!$B$21+Skills!Q8+(IF(ArtifactsInput!$M$33,CHOOSE(ArtifactsInput!$N$33+1,30,36,42,48,54,60),0))+(IF(AND(ArtifactsInput!$M$35,Inputs!$B$4&lt;&gt;"Chapter Hunt"),CHOOSE(ArtifactsInput!$N$35+1,15,18,21,24,27,30)*(1-EXP(-(0.2*B1392)*5)),0)+IF(AND(ArtifactsInput!$M$22,Inputs!$B$4&lt;&gt;"Chapter Hunt"),CHOOSE(ArtifactsInput!$N$22+1,10,12,14,16,18,20)*((0*(((0.15*B1392*5))^0/1)+1*(((0.15*B1392*5))^1/1)+2*(((0.15*B1392*5))^2/2)+3*(((0.15*B1392*5))^3/6)+4*(((0.15*B1392*5))^4/24)+5*(((0.15*B1392*5))^5/120))/((((0.15*B1392*5))^0/1)+(((0.15*B1392*5))^1/1)+(((0.15*B1392*5))^2/2)+(((0.15*B1392*5))^3/6)+(((0.15*B1392*5))^4/24)+(((0.15*B1392*5))^5/120))),0))+IF(Inputs!$B$3&gt;=54,9*(C1362=TRUE)*MIN(1,8*(1+Inputs!$B$34/100)*Q1362),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68">
      <c r="A1368">
        <f>Skills!A9</f>
        <v/>
      </c>
      <c r="B1368">
        <f>Skills!B9</f>
        <v/>
      </c>
      <c r="C1368">
        <f>Inputs!$B$3&gt;=105</f>
        <v/>
      </c>
      <c r="D1368">
        <f>IF(Skills!C9=1,60+Inputs!$B$25+Inputs!$B$29,IF(Skills!C9=2,90+Inputs!$B$26+Inputs!$B$29,IF(Skills!C9=3,120+Inputs!$B$27+Inputs!$B$29,MAX(0,(Inputs!$B$3-100)*3)+Inputs!$B$28+Inputs!$B$29)))</f>
        <v/>
      </c>
      <c r="E1368">
        <f>INDEX(FactorTable!$B$2:$Y$301, MATCH(ROUND(MIN(300,MAX(1,D1368)),0), FactorTable!$A$2:$A$301,0), Skills!M9+1)</f>
        <v/>
      </c>
      <c r="F1368">
        <f>IF(Skills!N9=TRUE,(Skills!L9/10)*(E1368/1000),Skills!L9/10)+Skills!O9</f>
        <v/>
      </c>
      <c r="G1368">
        <f>Skills!G9*IF(Skills!H9&gt;0,INT(IF(Inputs!$B$38="pvp",MIN(Skills!I9,15),Skills!I9)/Skills!H9+0.000000001),1)</f>
        <v/>
      </c>
      <c r="H1368">
        <f>1-(1-Skills!J9/100)^Skills!K9</f>
        <v/>
      </c>
      <c r="I1368" t="inlineStr">
        <is>
          <t>1</t>
        </is>
      </c>
      <c r="J1368">
        <f>((Inputs!$B$6*(1+Inputs!$B$7/100))+(((Inputs!$B$12*(1+Inputs!$B$13/100))-(Inputs!$B$12*(1+Inputs!$B$13/100)))+0.25*(Inputs!$B$14-Inputs!$B$14))*(1+Inputs!$B$7/100))*(F1368/100)</f>
        <v/>
      </c>
      <c r="K1368">
        <f>J1368*(1+((Inputs!$B$12*(1+Inputs!$B$13/100))*0.01+Inputs!$B$14*0.0025)/100)*(1+Inputs!$B$15/100)*(1+Inputs!$B$16/100)*(5000/(6000+Inputs!$B$42*(1-(100*(1-(1-(Inputs!$B$19+0)/100)*(1-CHOOSE(ArtifactsInput!$N$40+1,5,6,7,8,9,10)/100)^(ArtifactsInput!$M$40-ArtifactsInput!$M$40)))/100)))*(1+(Inputs!$B$24+((C1385=TRUE)*(F1385-Calc!F26))+B1396)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IGHT_LEGS_EASTON",Inputs!$B$17+((C1382=TRUE)*(F1382-Calc!F23))+((C1386=TRUE)*(F1386-Calc!F27))+((IF(AND(Inputs!$B$38&lt;&gt;"pvp",Inputs!$B$43=0),1,IF(IF(Inputs!$B$38="pvp",15,Inputs!$B$43)-(B1397)&lt;=0,1,MAX(0,IF(Inputs!$B$38="pvp",15,Inputs!$B$43)-MAX(5,B1397))/(IF(Inputs!$B$38="pvp",15,Inputs!$B$43)-(B1397))))*(IF(AND(ArtifactsInput!$M$42,((Inputs!$B$9+((C1378=TRUE)*(F1378-Calc!F19))+B1390+(ArtifactsInput!$M$24-ArtifactsInput!$M$24)*CHOOSE(ArtifactsInput!$N$24+1,10,12,14,16,18,20)+IF(ArtifactsInput!$M$10,CHOOSE(ArtifactsInput!$N$10+1,15,18,21,24,27,30)*(IF(Inputs!$B$38="pvp",MIN(15,15)/15,IF(AND(Inputs!$B$38&lt;&gt;"pvp",Inputs!$B$43&gt;0),MIN(15,Inputs!$B$43)/(Inputs!$B$43),0))),0)))&gt;=100),MIN(100,((Inputs!$B$9+((C1378=TRUE)*(F1378-Calc!F19))+B1390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1397)&lt;=0,1,MAX(0,IF(Inputs!$B$38="pvp",15,Inputs!$B$43)-MAX(5,B1397))/(IF(Inputs!$B$38="pvp",15,Inputs!$B$43)-(B1397))))*IF(AND(ArtifactsInput!$M$42,((Inputs!$B$9+((C1378=TRUE)*(F1378-Calc!F19))+B1390+(ArtifactsInput!$M$24-ArtifactsInput!$M$24)*CHOOSE(ArtifactsInput!$N$24+1,10,12,14,16,18,20)+IF(ArtifactsInput!$M$10,CHOOSE(ArtifactsInput!$N$10+1,15,18,21,24,27,30)*(IF(Inputs!$B$38="pvp",MIN(15,15)/15,IF(AND(Inputs!$B$38&lt;&gt;"pvp",Inputs!$B$43&gt;0),MIN(15,Inputs!$B$43)/(Inputs!$B$43),0))),0)))&gt;=100),CHOOSE(ArtifactsInput!$N$42+1,40,48,56,64,72,80),0))))/100)*((1+(((C1376=TRUE)*F1376*5/7)+((C1383=TRUE)*(F1383-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1368)</f>
        <v/>
      </c>
      <c r="L1368">
        <f>K1368*(MIN(Inputs!$B$22+((C1381=TRUE)*(F1381-Calc!F22)),(Inputs!$B$23+0+(IF(ArtifactsInput!$M$15,CHOOSE(ArtifactsInput!$N$15+1,25,30,35,40,45,50)/100*(Inputs!$B$11-Inputs!$B$11),0))))/100+(Inputs!$B$23+0+(IF(ArtifactsInput!$M$15,CHOOSE(ArtifactsInput!$N$15+1,25,30,35,40,45,50)/100*(Inputs!$B$11-Inputs!$B$11),0)))/100)/2</f>
        <v/>
      </c>
      <c r="M1368">
        <f>L1368*(1+(Inputs!$B$10+((C1384=TRUE)*(F1384-Calc!F25))+B1395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68">
        <f>L1368*(1-MIN((Inputs!$B$9+((C1378=TRUE)*(F1378-Calc!F19))+B1390+(ArtifactsInput!$M$24-ArtifactsInput!$M$24)*CHOOSE(ArtifactsInput!$N$24+1,10,12,14,16,18,20)+(IF(AND(Inputs!$B$38&lt;&gt;"pvp",Inputs!$B$43=0),1,IF(IF(Inputs!$B$38="pvp",15,Inputs!$B$43)-(B1397)&lt;=0,1,MAX(0,IF(Inputs!$B$38="pvp",15,Inputs!$B$43)-MAX(5,B1397))/(IF(Inputs!$B$38="pvp",15,Inputs!$B$43)-(B1397))))*IF(AND(ArtifactsInput!$M$42,((Inputs!$B$9+((C1378=TRUE)*(F1378-Calc!F19))+B1390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1368*(MIN((Inputs!$B$9+((C1378=TRUE)*(F1378-Calc!F19))+B1390+(ArtifactsInput!$M$24-ArtifactsInput!$M$24)*CHOOSE(ArtifactsInput!$N$24+1,10,12,14,16,18,20)+(IF(AND(Inputs!$B$38&lt;&gt;"pvp",Inputs!$B$43=0),1,IF(IF(Inputs!$B$38="pvp",15,Inputs!$B$43)-(B1397)&lt;=0,1,MAX(0,IF(Inputs!$B$38="pvp",15,Inputs!$B$43)-MAX(5,B1397))/(IF(Inputs!$B$38="pvp",15,Inputs!$B$43)-(B1397))))*IF(AND(ArtifactsInput!$M$42,((Inputs!$B$9+((C1378=TRUE)*(F1378-Calc!F19))+B1390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68">
        <f>(1-Summary!$B$11)*T1368+Summary!$B$11*V1368</f>
        <v/>
      </c>
      <c r="P1368">
        <f>IF(B1400=0,0,O1368/B1400)</f>
        <v/>
      </c>
      <c r="Q1368">
        <f>IFERROR(1/(IF(Inputs!$B$38="pvp",15,MAX(0.1,Skills!D9-IF(TRUE=TRUE,Inputs!$B$32,0)))*(1-IF(AND(ArtifactsInput!$M$27,Inputs!$B$4="Chapter Hunt"),CHOOSE(ArtifactsInput!$N$27+1,20,24,28,32,36,40),0)/100)),0)</f>
        <v/>
      </c>
      <c r="R1368">
        <f>IF(AND(Inputs!$B$38&lt;&gt;"pvp",Inputs!$B$43&gt;0),IF(MAX(0,Inputs!$B$43-B1397)&lt;=0,0,(INT(MAX(0,Inputs!$B$43-B1397)/(IF(Inputs!$B$38="pvp",15,MAX(0.1,Skills!D9-IF(TRUE=TRUE,Inputs!$B$32,0)))*(1-IF(AND(ArtifactsInput!$M$27,Inputs!$B$4="Chapter Hunt"),CHOOSE(ArtifactsInput!$N$27+1,20,24,28,32,36,40),0)/100)))+1)),0)</f>
        <v/>
      </c>
      <c r="S1368">
        <f>IFERROR(O1368/N1368,0)</f>
        <v/>
      </c>
      <c r="T1368">
        <f>IF(C1368,(H1368*N1368*IF(AND(Inputs!$B$38&lt;&gt;"pvp",Inputs!$B$43&gt;0),((Skills!G9*((R1368-1)*IF(Skills!H9&gt;0,INT(Skills!I9/Skills!H9+0.000000001),1)+IF(Skills!H9&gt;0,INT(MIN(Skills!I9,MAX(0,MAX(0,Inputs!$B$43-B1397)-((R1368-1)*(IF(Inputs!$B$38="pvp",15,MAX(0.1,Skills!D9-IF(TRUE=TRUE,Inputs!$B$32,0)))*(1-IF(AND(ArtifactsInput!$M$27,Inputs!$B$4="Chapter Hunt"),CHOOSE(ArtifactsInput!$N$27+1,20,24,28,32,36,40),0)/100)))))/Skills!H9+0.000000001),1)))/Inputs!$B$43),G1368*Q1368))*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Hunt"),CHOOSE(ArtifactsInput!$N$35+1,15,18,21,24,27,30)*(1-EXP(-(0.2*B1392)*5)),0)+IF(AND(ArtifactsInput!$M$22,Inputs!$B$4&lt;&gt;"Chapter Hunt"),CHOOSE(ArtifactsInput!$N$22+1,10,12,14,16,18,20)*((0*(((0.15*B1392*5))^0/1)+1*(((0.15*B1392*5))^1/1)+2*(((0.15*B1392*5))^2/2)+3*(((0.15*B1392*5))^3/6)+4*(((0.15*B1392*5))^4/24)+5*(((0.15*B1392*5))^5/120))/((((0.15*B1392*5))^0/1)+(((0.15*B1392*5))^1/1)+(((0.15*B1392*5))^2/2)+(((0.15*B1392*5))^3/6)+(((0.15*B1392*5))^4/24)+(((0.15*B1392*5))^5/120))),0))+IF(Inputs!$B$3&gt;=54,9*(C1362=TRUE)*MIN(1,8*(1+Inputs!$B$34/100)*Q1362)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1368*(1-MIN(100,(Inputs!$B$9+((C1378=TRUE)*(F1378-Calc!F19))+B1390+(ArtifactsInput!$M$24-ArtifactsInput!$M$24)*CHOOSE(ArtifactsInput!$N$24+1,10,12,14,16,18,20)+(IF(AND(Inputs!$B$38&lt;&gt;"pvp",Inputs!$B$43=0),1,IF(IF(Inputs!$B$38="pvp",15,Inputs!$B$43)-(B1397)&lt;=0,1,MAX(0,IF(Inputs!$B$38="pvp",15,Inputs!$B$43)-MAX(5,B1397))/(IF(Inputs!$B$38="pvp",15,Inputs!$B$43)-(B1397))))*IF(AND(ArtifactsInput!$M$42,((Inputs!$B$9+((C1378=TRUE)*(F1378-Calc!F19))+B1390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1368*(MIN(100,(Inputs!$B$9+((C1378=TRUE)*(F1378-Calc!F19))+B1390+(ArtifactsInput!$M$24-ArtifactsInput!$M$24)*CHOOSE(ArtifactsInput!$N$24+1,10,12,14,16,18,20)+(IF(AND(Inputs!$B$38&lt;&gt;"pvp",Inputs!$B$43=0),1,IF(IF(Inputs!$B$38="pvp",15,Inputs!$B$43)-(B1397)&lt;=0,1,MAX(0,IF(Inputs!$B$38="pvp",15,Inputs!$B$43)-MAX(5,B1397))/(IF(Inputs!$B$38="pvp",15,Inputs!$B$43)-(B1397))))*IF(AND(ArtifactsInput!$M$42,((Inputs!$B$9+((C1378=TRUE)*(F1378-Calc!F19))+B1390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1368*(1-MIN(100,(Inputs!$B$9+((C1378=TRUE)*(F1378-Calc!F19))+B1390+(ArtifactsInput!$M$24-ArtifactsInput!$M$24)*CHOOSE(ArtifactsInput!$N$24+1,10,12,14,16,18,20)+(IF(AND(Inputs!$B$38&lt;&gt;"pvp",Inputs!$B$43=0),1,IF(IF(Inputs!$B$38="pvp",15,Inputs!$B$43)-(B1397)&lt;=0,1,MAX(0,IF(Inputs!$B$38="pvp",15,Inputs!$B$43)-MAX(5,B1397))/(IF(Inputs!$B$38="pvp",15,Inputs!$B$43)-(B1397))))*IF(AND(ArtifactsInput!$M$42,((Inputs!$B$9+((C1378=TRUE)*(F1378-Calc!F19))+B1390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1368*(MIN(100,(Inputs!$B$9+((C1378=TRUE)*(F1378-Calc!F19))+B1390+(ArtifactsInput!$M$24-ArtifactsInput!$M$24)*CHOOSE(ArtifactsInput!$N$24+1,10,12,14,16,18,20)+(IF(AND(Inputs!$B$38&lt;&gt;"pvp",Inputs!$B$43=0),1,IF(IF(Inputs!$B$38="pvp",15,Inputs!$B$43)-(B1397)&lt;=0,1,MAX(0,IF(Inputs!$B$38="pvp",15,Inputs!$B$43)-MAX(5,B1397))/(IF(Inputs!$B$38="pvp",15,Inputs!$B$43)-(B1397))))*IF(AND(ArtifactsInput!$M$42,((Inputs!$B$9+((C1378=TRUE)*(F1378-Calc!F19))+B1390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368">
        <f>IF(C1368,(H1368*N1368*IF(AND(Inputs!$B$38&lt;&gt;"pvp",Inputs!$B$43&gt;0),((Skills!G9*((R1368-1)*IF(Skills!H9&gt;0,INT(Skills!I9/Skills!H9+0.000000001),1)+IF(Skills!H9&gt;0,INT(MIN(Skills!I9,MAX(0,MAX(0,Inputs!$B$43-B1397)-((R1368-1)*(IF(Inputs!$B$38="pvp",15,MAX(0.1,Skills!D9-IF(TRUE=TRUE,Inputs!$B$32,0)))*(1-IF(AND(ArtifactsInput!$M$27,Inputs!$B$4="Chapter Hunt"),CHOOSE(ArtifactsInput!$N$27+1,20,24,28,32,36,40),0)/100)))))/Skills!H9+0.000000001),1)))/Inputs!$B$43),G1368*Q1368))*IF(Inputs!$B$38="pvp",1,(1+(Inputs!$B$21+Skills!Q9+(IF(ArtifactsInput!$M$33,CHOOSE(ArtifactsInput!$N$33+1,30,36,42,48,54,60),0))+(IF(AND(ArtifactsInput!$M$35,Inputs!$B$4&lt;&gt;"Chapter Hunt"),CHOOSE(ArtifactsInput!$N$35+1,15,18,21,24,27,30)*(1-EXP(-(0.2*B1392)*5)),0)+IF(AND(ArtifactsInput!$M$22,Inputs!$B$4&lt;&gt;"Chapter Hunt"),CHOOSE(ArtifactsInput!$N$22+1,10,12,14,16,18,20)*((0*(((0.15*B1392*5))^0/1)+1*(((0.15*B1392*5))^1/1)+2*(((0.15*B1392*5))^2/2)+3*(((0.15*B1392*5))^3/6)+4*(((0.15*B1392*5))^4/24)+5*(((0.15*B1392*5))^5/120))/((((0.15*B1392*5))^0/1)+(((0.15*B1392*5))^1/1)+(((0.15*B1392*5))^2/2)+(((0.15*B1392*5))^3/6)+(((0.15*B1392*5))^4/24)+(((0.15*B1392*5))^5/120))),0))+IF(Inputs!$B$3&gt;=54,9*(C1362=TRUE)*MIN(1,8*(1+Inputs!$B$34/100)*Q1362),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69">
      <c r="A1369">
        <f>Skills!A10</f>
        <v/>
      </c>
      <c r="B1369">
        <f>Skills!B10</f>
        <v/>
      </c>
      <c r="C1369">
        <f>Inputs!$B$3&gt;=113</f>
        <v/>
      </c>
      <c r="D1369">
        <f>IF(Skills!C10=1,60+Inputs!$B$25+Inputs!$B$29,IF(Skills!C10=2,90+Inputs!$B$26+Inputs!$B$29,IF(Skills!C10=3,120+Inputs!$B$27+Inputs!$B$29,MAX(0,(Inputs!$B$3-100)*3)+Inputs!$B$28+Inputs!$B$29)))</f>
        <v/>
      </c>
      <c r="E1369">
        <f>INDEX(FactorTable!$B$2:$Y$301, MATCH(ROUND(MIN(300,MAX(1,D1369)),0), FactorTable!$A$2:$A$301,0), Skills!M10+1)</f>
        <v/>
      </c>
      <c r="F1369">
        <f>IF(Skills!N10=TRUE,(Skills!L10/10)*(E1369/1000),Skills!L10/10)+Skills!O10</f>
        <v/>
      </c>
      <c r="G1369">
        <f>Skills!G10*IF(Skills!H10&gt;0,INT(IF(Inputs!$B$38="pvp",MIN(Skills!I10,15),Skills!I10)/Skills!H10+0.000000001),1)</f>
        <v/>
      </c>
      <c r="H1369">
        <f>1-(1-Skills!J10/100)^Skills!K10</f>
        <v/>
      </c>
      <c r="I1369" t="inlineStr">
        <is>
          <t>1</t>
        </is>
      </c>
      <c r="J1369">
        <f>((Inputs!$B$6*(1+Inputs!$B$7/100))+(((Inputs!$B$12*(1+Inputs!$B$13/100))-(Inputs!$B$12*(1+Inputs!$B$13/100)))+0.25*(Inputs!$B$14-Inputs!$B$14))*(1+Inputs!$B$7/100))*(F1369/100)</f>
        <v/>
      </c>
      <c r="K1369">
        <f>J1369*(1+((Inputs!$B$12*(1+Inputs!$B$13/100))*0.01+Inputs!$B$14*0.0025)/100)*(1+Inputs!$B$15/100)*(1+Inputs!$B$16/100)*(5000/(6000+Inputs!$B$42*(1-(100*(1-(1-(Inputs!$B$19+0)/100)*(1-CHOOSE(ArtifactsInput!$N$40+1,5,6,7,8,9,10)/100)^(ArtifactsInput!$M$40-ArtifactsInput!$M$40)))/100)))*(1+(Inputs!$B$24+((C1385=TRUE)*(F1385-Calc!F26))+B1396)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IGHT_LEGS_EASTON",Inputs!$B$17+((C1382=TRUE)*(F1382-Calc!F23))+((C1386=TRUE)*(F1386-Calc!F27))+((IF(AND(Inputs!$B$38&lt;&gt;"pvp",Inputs!$B$43=0),1,IF(IF(Inputs!$B$38="pvp",15,Inputs!$B$43)-(B1397)&lt;=0,1,MAX(0,IF(Inputs!$B$38="pvp",15,Inputs!$B$43)-MAX(5,B1397))/(IF(Inputs!$B$38="pvp",15,Inputs!$B$43)-(B1397))))*(IF(AND(ArtifactsInput!$M$42,((Inputs!$B$9+((C1378=TRUE)*(F1378-Calc!F19))+B1390+(ArtifactsInput!$M$24-ArtifactsInput!$M$24)*CHOOSE(ArtifactsInput!$N$24+1,10,12,14,16,18,20)+IF(ArtifactsInput!$M$10,CHOOSE(ArtifactsInput!$N$10+1,15,18,21,24,27,30)*(IF(Inputs!$B$38="pvp",MIN(15,15)/15,IF(AND(Inputs!$B$38&lt;&gt;"pvp",Inputs!$B$43&gt;0),MIN(15,Inputs!$B$43)/(Inputs!$B$43),0))),0)))&gt;=100),MIN(100,((Inputs!$B$9+((C1378=TRUE)*(F1378-Calc!F19))+B1390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1397)&lt;=0,1,MAX(0,IF(Inputs!$B$38="pvp",15,Inputs!$B$43)-MAX(5,B1397))/(IF(Inputs!$B$38="pvp",15,Inputs!$B$43)-(B1397))))*IF(AND(ArtifactsInput!$M$42,((Inputs!$B$9+((C1378=TRUE)*(F1378-Calc!F19))+B1390+(ArtifactsInput!$M$24-ArtifactsInput!$M$24)*CHOOSE(ArtifactsInput!$N$24+1,10,12,14,16,18,20)+IF(ArtifactsInput!$M$10,CHOOSE(ArtifactsInput!$N$10+1,15,18,21,24,27,30)*(IF(Inputs!$B$38="pvp",MIN(15,15)/15,IF(AND(Inputs!$B$38&lt;&gt;"pvp",Inputs!$B$43&gt;0),MIN(15,Inputs!$B$43)/(Inputs!$B$43),0))),0)))&gt;=100),CHOOSE(ArtifactsInput!$N$42+1,40,48,56,64,72,80),0))))/100)*((1+(((C1376=TRUE)*F1376*5/7)+((C1383=TRUE)*(F1383-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1369)</f>
        <v/>
      </c>
      <c r="L1369">
        <f>K1369*(MIN(Inputs!$B$22+((C1381=TRUE)*(F1381-Calc!F22)),(Inputs!$B$23+0+(IF(ArtifactsInput!$M$15,CHOOSE(ArtifactsInput!$N$15+1,25,30,35,40,45,50)/100*(Inputs!$B$11-Inputs!$B$11),0))))/100+(Inputs!$B$23+0+(IF(ArtifactsInput!$M$15,CHOOSE(ArtifactsInput!$N$15+1,25,30,35,40,45,50)/100*(Inputs!$B$11-Inputs!$B$11),0)))/100)/2</f>
        <v/>
      </c>
      <c r="M1369">
        <f>L1369*(1+(Inputs!$B$10+((C1384=TRUE)*(F1384-Calc!F25))+B1395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69">
        <f>L1369*(1-MIN((Inputs!$B$9+((C1378=TRUE)*(F1378-Calc!F19))+B1390+(ArtifactsInput!$M$24-ArtifactsInput!$M$24)*CHOOSE(ArtifactsInput!$N$24+1,10,12,14,16,18,20)+(IF(AND(Inputs!$B$38&lt;&gt;"pvp",Inputs!$B$43=0),1,IF(IF(Inputs!$B$38="pvp",15,Inputs!$B$43)-(B1397)&lt;=0,1,MAX(0,IF(Inputs!$B$38="pvp",15,Inputs!$B$43)-MAX(5,B1397))/(IF(Inputs!$B$38="pvp",15,Inputs!$B$43)-(B1397))))*IF(AND(ArtifactsInput!$M$42,((Inputs!$B$9+((C1378=TRUE)*(F1378-Calc!F19))+B1390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1369*(MIN((Inputs!$B$9+((C1378=TRUE)*(F1378-Calc!F19))+B1390+(ArtifactsInput!$M$24-ArtifactsInput!$M$24)*CHOOSE(ArtifactsInput!$N$24+1,10,12,14,16,18,20)+(IF(AND(Inputs!$B$38&lt;&gt;"pvp",Inputs!$B$43=0),1,IF(IF(Inputs!$B$38="pvp",15,Inputs!$B$43)-(B1397)&lt;=0,1,MAX(0,IF(Inputs!$B$38="pvp",15,Inputs!$B$43)-MAX(5,B1397))/(IF(Inputs!$B$38="pvp",15,Inputs!$B$43)-(B1397))))*IF(AND(ArtifactsInput!$M$42,((Inputs!$B$9+((C1378=TRUE)*(F1378-Calc!F19))+B1390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69">
        <f>(1-Summary!$B$11)*T1369+Summary!$B$11*V1369</f>
        <v/>
      </c>
      <c r="P1369">
        <f>IF(B1400=0,0,O1369/B1400)</f>
        <v/>
      </c>
      <c r="Q1369" t="n">
        <v>0</v>
      </c>
      <c r="R1369" t="n">
        <v>0</v>
      </c>
      <c r="S1369">
        <f>IFERROR(O1369/N1369,0)</f>
        <v/>
      </c>
      <c r="T1369">
        <f>IF(C1369,((H1369*B1402)/(1+Skills!H10*H1369*B1402)*N1369)*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Hunt"),CHOOSE(ArtifactsInput!$N$35+1,15,18,21,24,27,30)*(1-EXP(-(0.2*B1392)*5)),0)+IF(AND(ArtifactsInput!$M$22,Inputs!$B$4&lt;&gt;"Chapter Hunt"),CHOOSE(ArtifactsInput!$N$22+1,10,12,14,16,18,20)*((0*(((0.15*B1392*5))^0/1)+1*(((0.15*B1392*5))^1/1)+2*(((0.15*B1392*5))^2/2)+3*(((0.15*B1392*5))^3/6)+4*(((0.15*B1392*5))^4/24)+5*(((0.15*B1392*5))^5/120))/((((0.15*B1392*5))^0/1)+(((0.15*B1392*5))^1/1)+(((0.15*B1392*5))^2/2)+(((0.15*B1392*5))^3/6)+(((0.15*B1392*5))^4/24)+(((0.15*B1392*5))^5/120))),0))+IF(Inputs!$B$3&gt;=54,9*(C1362=TRUE)*MIN(1,8*(1+Inputs!$B$34/100)*Q1362)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1369*(1-MIN(100,(Inputs!$B$9+((C1378=TRUE)*(F1378-Calc!F19))+B1390+(ArtifactsInput!$M$24-ArtifactsInput!$M$24)*CHOOSE(ArtifactsInput!$N$24+1,10,12,14,16,18,20)+(IF(AND(Inputs!$B$38&lt;&gt;"pvp",Inputs!$B$43=0),1,IF(IF(Inputs!$B$38="pvp",15,Inputs!$B$43)-(B1397)&lt;=0,1,MAX(0,IF(Inputs!$B$38="pvp",15,Inputs!$B$43)-MAX(5,B1397))/(IF(Inputs!$B$38="pvp",15,Inputs!$B$43)-(B1397))))*IF(AND(ArtifactsInput!$M$42,((Inputs!$B$9+((C1378=TRUE)*(F1378-Calc!F19))+B1390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1369*(MIN(100,(Inputs!$B$9+((C1378=TRUE)*(F1378-Calc!F19))+B1390+(ArtifactsInput!$M$24-ArtifactsInput!$M$24)*CHOOSE(ArtifactsInput!$N$24+1,10,12,14,16,18,20)+(IF(AND(Inputs!$B$38&lt;&gt;"pvp",Inputs!$B$43=0),1,IF(IF(Inputs!$B$38="pvp",15,Inputs!$B$43)-(B1397)&lt;=0,1,MAX(0,IF(Inputs!$B$38="pvp",15,Inputs!$B$43)-MAX(5,B1397))/(IF(Inputs!$B$38="pvp",15,Inputs!$B$43)-(B1397))))*IF(AND(ArtifactsInput!$M$42,((Inputs!$B$9+((C1378=TRUE)*(F1378-Calc!F19))+B1390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1369*(1-MIN(100,(Inputs!$B$9+((C1378=TRUE)*(F1378-Calc!F19))+B1390+(ArtifactsInput!$M$24-ArtifactsInput!$M$24)*CHOOSE(ArtifactsInput!$N$24+1,10,12,14,16,18,20)+(IF(AND(Inputs!$B$38&lt;&gt;"pvp",Inputs!$B$43=0),1,IF(IF(Inputs!$B$38="pvp",15,Inputs!$B$43)-(B1397)&lt;=0,1,MAX(0,IF(Inputs!$B$38="pvp",15,Inputs!$B$43)-MAX(5,B1397))/(IF(Inputs!$B$38="pvp",15,Inputs!$B$43)-(B1397))))*IF(AND(ArtifactsInput!$M$42,((Inputs!$B$9+((C1378=TRUE)*(F1378-Calc!F19))+B1390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1369*(MIN(100,(Inputs!$B$9+((C1378=TRUE)*(F1378-Calc!F19))+B1390+(ArtifactsInput!$M$24-ArtifactsInput!$M$24)*CHOOSE(ArtifactsInput!$N$24+1,10,12,14,16,18,20)+(IF(AND(Inputs!$B$38&lt;&gt;"pvp",Inputs!$B$43=0),1,IF(IF(Inputs!$B$38="pvp",15,Inputs!$B$43)-(B1397)&lt;=0,1,MAX(0,IF(Inputs!$B$38="pvp",15,Inputs!$B$43)-MAX(5,B1397))/(IF(Inputs!$B$38="pvp",15,Inputs!$B$43)-(B1397))))*IF(AND(ArtifactsInput!$M$42,((Inputs!$B$9+((C1378=TRUE)*(F1378-Calc!F19))+B1390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369">
        <f>IF(C1369,((H1369*B1402)/(1+Skills!H10*H1369*B1402)*N1369)*IF(Inputs!$B$38="pvp",1,(1+(Inputs!$B$21+Skills!Q10+(IF(ArtifactsInput!$M$33,CHOOSE(ArtifactsInput!$N$33+1,30,36,42,48,54,60),0))+(IF(AND(ArtifactsInput!$M$35,Inputs!$B$4&lt;&gt;"Chapter Hunt"),CHOOSE(ArtifactsInput!$N$35+1,15,18,21,24,27,30)*(1-EXP(-(0.2*B1392)*5)),0)+IF(AND(ArtifactsInput!$M$22,Inputs!$B$4&lt;&gt;"Chapter Hunt"),CHOOSE(ArtifactsInput!$N$22+1,10,12,14,16,18,20)*((0*(((0.15*B1392*5))^0/1)+1*(((0.15*B1392*5))^1/1)+2*(((0.15*B1392*5))^2/2)+3*(((0.15*B1392*5))^3/6)+4*(((0.15*B1392*5))^4/24)+5*(((0.15*B1392*5))^5/120))/((((0.15*B1392*5))^0/1)+(((0.15*B1392*5))^1/1)+(((0.15*B1392*5))^2/2)+(((0.15*B1392*5))^3/6)+(((0.15*B1392*5))^4/24)+(((0.15*B1392*5))^5/120))),0))+IF(Inputs!$B$3&gt;=54,9*(C1362=TRUE)*MIN(1,8*(1+Inputs!$B$34/100)*Q1362),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70">
      <c r="A1370">
        <f>Skills!A11</f>
        <v/>
      </c>
      <c r="B1370">
        <f>Skills!B11</f>
        <v/>
      </c>
      <c r="C1370">
        <f>Inputs!$B$3&gt;=117</f>
        <v/>
      </c>
      <c r="D1370">
        <f>IF(Skills!C11=1,60+Inputs!$B$25+Inputs!$B$29,IF(Skills!C11=2,90+Inputs!$B$26+Inputs!$B$29,IF(Skills!C11=3,120+Inputs!$B$27+Inputs!$B$29,MAX(0,(Inputs!$B$3-100)*3)+Inputs!$B$28+Inputs!$B$29)))</f>
        <v/>
      </c>
      <c r="E1370">
        <f>INDEX(FactorTable!$B$2:$Y$301, MATCH(ROUND(MIN(300,MAX(1,D1370)),0), FactorTable!$A$2:$A$301,0), Skills!M11+1)</f>
        <v/>
      </c>
      <c r="F1370">
        <f>IF(Skills!N11=TRUE,(Skills!L11/10)*(E1370/1000),Skills!L11/10)+Skills!O11</f>
        <v/>
      </c>
      <c r="G1370">
        <f>Skills!G11*IF(Skills!H11&gt;0,INT(IF(Inputs!$B$38="pvp",MIN(Skills!I11,15),Skills!I11)/Skills!H11+0.000000001),1)</f>
        <v/>
      </c>
      <c r="H1370">
        <f>1-(1-Skills!J11/100)^Skills!K11</f>
        <v/>
      </c>
      <c r="I1370" t="inlineStr">
        <is>
          <t>1</t>
        </is>
      </c>
      <c r="J1370">
        <f>((Inputs!$B$6*(1+Inputs!$B$7/100))+(((Inputs!$B$12*(1+Inputs!$B$13/100))-(Inputs!$B$12*(1+Inputs!$B$13/100)))+0.25*(Inputs!$B$14-Inputs!$B$14))*(1+Inputs!$B$7/100))*(F1370/100)</f>
        <v/>
      </c>
      <c r="K1370">
        <f>J1370*(1+((Inputs!$B$12*(1+Inputs!$B$13/100))*0.01+Inputs!$B$14*0.0025)/100)*(1+Inputs!$B$15/100)*(1+Inputs!$B$16/100)*(5000/(6000+Inputs!$B$42*(1-(100*(1-(1-(Inputs!$B$19+0)/100)*(1-CHOOSE(ArtifactsInput!$N$40+1,5,6,7,8,9,10)/100)^(ArtifactsInput!$M$40-ArtifactsInput!$M$40)))/100)))*(1+(Inputs!$B$24+((C1385=TRUE)*(F1385-Calc!F26))+B1396)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IGHT_LEGS_EASTON",Inputs!$B$17+((C1382=TRUE)*(F1382-Calc!F23))+((C1386=TRUE)*(F1386-Calc!F27))+((IF(AND(Inputs!$B$38&lt;&gt;"pvp",Inputs!$B$43=0),1,IF(IF(Inputs!$B$38="pvp",15,Inputs!$B$43)-(B1397)&lt;=0,1,MAX(0,IF(Inputs!$B$38="pvp",15,Inputs!$B$43)-MAX(5,B1397))/(IF(Inputs!$B$38="pvp",15,Inputs!$B$43)-(B1397))))*(IF(AND(ArtifactsInput!$M$42,((Inputs!$B$9+((C1378=TRUE)*(F1378-Calc!F19))+B1390+(ArtifactsInput!$M$24-ArtifactsInput!$M$24)*CHOOSE(ArtifactsInput!$N$24+1,10,12,14,16,18,20)+IF(ArtifactsInput!$M$10,CHOOSE(ArtifactsInput!$N$10+1,15,18,21,24,27,30)*(IF(Inputs!$B$38="pvp",MIN(15,15)/15,IF(AND(Inputs!$B$38&lt;&gt;"pvp",Inputs!$B$43&gt;0),MIN(15,Inputs!$B$43)/(Inputs!$B$43),0))),0)))&gt;=100),MIN(100,((Inputs!$B$9+((C1378=TRUE)*(F1378-Calc!F19))+B1390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1397)&lt;=0,1,MAX(0,IF(Inputs!$B$38="pvp",15,Inputs!$B$43)-MAX(5,B1397))/(IF(Inputs!$B$38="pvp",15,Inputs!$B$43)-(B1397))))*IF(AND(ArtifactsInput!$M$42,((Inputs!$B$9+((C1378=TRUE)*(F1378-Calc!F19))+B1390+(ArtifactsInput!$M$24-ArtifactsInput!$M$24)*CHOOSE(ArtifactsInput!$N$24+1,10,12,14,16,18,20)+IF(ArtifactsInput!$M$10,CHOOSE(ArtifactsInput!$N$10+1,15,18,21,24,27,30)*(IF(Inputs!$B$38="pvp",MIN(15,15)/15,IF(AND(Inputs!$B$38&lt;&gt;"pvp",Inputs!$B$43&gt;0),MIN(15,Inputs!$B$43)/(Inputs!$B$43),0))),0)))&gt;=100),CHOOSE(ArtifactsInput!$N$42+1,40,48,56,64,72,80),0))))/100)*((1+(((C1376=TRUE)*F1376*5/7)+((C1383=TRUE)*(F1383-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1370)</f>
        <v/>
      </c>
      <c r="L1370">
        <f>K1370*(MIN(Inputs!$B$22+((C1381=TRUE)*(F1381-Calc!F22)),(Inputs!$B$23+0+(IF(ArtifactsInput!$M$15,CHOOSE(ArtifactsInput!$N$15+1,25,30,35,40,45,50)/100*(Inputs!$B$11-Inputs!$B$11),0))))/100+(Inputs!$B$23+0+(IF(ArtifactsInput!$M$15,CHOOSE(ArtifactsInput!$N$15+1,25,30,35,40,45,50)/100*(Inputs!$B$11-Inputs!$B$11),0)))/100)/2</f>
        <v/>
      </c>
      <c r="M1370">
        <f>L1370*(1+(Inputs!$B$10+((C1384=TRUE)*(F1384-Calc!F25))+B1395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70">
        <f>L1370*(1-MIN((Inputs!$B$9+((C1378=TRUE)*(F1378-Calc!F19))+B1390+(ArtifactsInput!$M$24-ArtifactsInput!$M$24)*CHOOSE(ArtifactsInput!$N$24+1,10,12,14,16,18,20)+(IF(AND(Inputs!$B$38&lt;&gt;"pvp",Inputs!$B$43=0),1,IF(IF(Inputs!$B$38="pvp",15,Inputs!$B$43)-(B1397)&lt;=0,1,MAX(0,IF(Inputs!$B$38="pvp",15,Inputs!$B$43)-MAX(5,B1397))/(IF(Inputs!$B$38="pvp",15,Inputs!$B$43)-(B1397))))*IF(AND(ArtifactsInput!$M$42,((Inputs!$B$9+((C1378=TRUE)*(F1378-Calc!F19))+B1390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1370*(MIN((Inputs!$B$9+((C1378=TRUE)*(F1378-Calc!F19))+B1390+(ArtifactsInput!$M$24-ArtifactsInput!$M$24)*CHOOSE(ArtifactsInput!$N$24+1,10,12,14,16,18,20)+(IF(AND(Inputs!$B$38&lt;&gt;"pvp",Inputs!$B$43=0),1,IF(IF(Inputs!$B$38="pvp",15,Inputs!$B$43)-(B1397)&lt;=0,1,MAX(0,IF(Inputs!$B$38="pvp",15,Inputs!$B$43)-MAX(5,B1397))/(IF(Inputs!$B$38="pvp",15,Inputs!$B$43)-(B1397))))*IF(AND(ArtifactsInput!$M$42,((Inputs!$B$9+((C1378=TRUE)*(F1378-Calc!F19))+B1390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70">
        <f>(1-Summary!$B$11)*T1370+Summary!$B$11*V1370</f>
        <v/>
      </c>
      <c r="P1370">
        <f>IF(B1400=0,0,O1370/B1400)</f>
        <v/>
      </c>
      <c r="Q1370">
        <f>IFERROR(1/((IF(Inputs!$B$38="pvp",15,MAX(0.1,Skills!D11-IF(TRUE=TRUE,Inputs!$B$32,0)))*(1-IF(AND(ArtifactsInput!$M$27,Inputs!$B$4="Chapter Hunt"),CHOOSE(ArtifactsInput!$N$27+1,20,24,28,32,36,40),0)/100))/B1401),0)</f>
        <v/>
      </c>
      <c r="R1370">
        <f>IF(AND(Inputs!$B$38&lt;&gt;"pvp",Inputs!$B$43&gt;0),IF(MAX(0,Inputs!$B$43-B1397)&lt;=0,0,(INT(MAX(0,Inputs!$B$43-B1397)/((IF(Inputs!$B$38="pvp",15,MAX(0.1,Skills!D11-IF(TRUE=TRUE,Inputs!$B$32,0)))*(1-IF(AND(ArtifactsInput!$M$27,Inputs!$B$4="Chapter Hunt"),CHOOSE(ArtifactsInput!$N$27+1,20,24,28,32,36,40),0)/100))/B1401))+1)),0)</f>
        <v/>
      </c>
      <c r="S1370">
        <f>IFERROR(O1370/N1370,0)</f>
        <v/>
      </c>
      <c r="T1370">
        <f>IF(C1370,(H1370*N1370*IF(AND(Inputs!$B$38&lt;&gt;"pvp",Inputs!$B$43&gt;0),((Skills!G11*((R1370-1)*IF(Skills!H11&gt;0,INT(Skills!I11/Skills!H11+0.000000001),1)+IF(Skills!H11&gt;0,INT(MIN(Skills!I11,MAX(0,MAX(0,Inputs!$B$43-B1397)-((R1370-1)*((IF(Inputs!$B$38="pvp",15,MAX(0.1,Skills!D11-IF(TRUE=TRUE,Inputs!$B$32,0)))*(1-IF(AND(ArtifactsInput!$M$27,Inputs!$B$4="Chapter Hunt"),CHOOSE(ArtifactsInput!$N$27+1,20,24,28,32,36,40),0)/100))/B1401))))/Skills!H11+0.000000001),1)))/Inputs!$B$43),G1370*Q1370))*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Hunt"),CHOOSE(ArtifactsInput!$N$35+1,15,18,21,24,27,30)*(1-EXP(-(0.2*B1392)*5)),0)+IF(AND(ArtifactsInput!$M$22,Inputs!$B$4&lt;&gt;"Chapter Hunt"),CHOOSE(ArtifactsInput!$N$22+1,10,12,14,16,18,20)*((0*(((0.15*B1392*5))^0/1)+1*(((0.15*B1392*5))^1/1)+2*(((0.15*B1392*5))^2/2)+3*(((0.15*B1392*5))^3/6)+4*(((0.15*B1392*5))^4/24)+5*(((0.15*B1392*5))^5/120))/((((0.15*B1392*5))^0/1)+(((0.15*B1392*5))^1/1)+(((0.15*B1392*5))^2/2)+(((0.15*B1392*5))^3/6)+(((0.15*B1392*5))^4/24)+(((0.15*B1392*5))^5/120))),0))+IF(Inputs!$B$3&gt;=54,9*(C1362=TRUE)*MIN(1,8*(1+Inputs!$B$34/100)*Q1362)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1370*(1-MIN(100,(Inputs!$B$9+((C1378=TRUE)*(F1378-Calc!F19))+B1390+(ArtifactsInput!$M$24-ArtifactsInput!$M$24)*CHOOSE(ArtifactsInput!$N$24+1,10,12,14,16,18,20)+(IF(AND(Inputs!$B$38&lt;&gt;"pvp",Inputs!$B$43=0),1,IF(IF(Inputs!$B$38="pvp",15,Inputs!$B$43)-(B1397)&lt;=0,1,MAX(0,IF(Inputs!$B$38="pvp",15,Inputs!$B$43)-MAX(5,B1397))/(IF(Inputs!$B$38="pvp",15,Inputs!$B$43)-(B1397))))*IF(AND(ArtifactsInput!$M$42,((Inputs!$B$9+((C1378=TRUE)*(F1378-Calc!F19))+B1390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1370*(MIN(100,(Inputs!$B$9+((C1378=TRUE)*(F1378-Calc!F19))+B1390+(ArtifactsInput!$M$24-ArtifactsInput!$M$24)*CHOOSE(ArtifactsInput!$N$24+1,10,12,14,16,18,20)+(IF(AND(Inputs!$B$38&lt;&gt;"pvp",Inputs!$B$43=0),1,IF(IF(Inputs!$B$38="pvp",15,Inputs!$B$43)-(B1397)&lt;=0,1,MAX(0,IF(Inputs!$B$38="pvp",15,Inputs!$B$43)-MAX(5,B1397))/(IF(Inputs!$B$38="pvp",15,Inputs!$B$43)-(B1397))))*IF(AND(ArtifactsInput!$M$42,((Inputs!$B$9+((C1378=TRUE)*(F1378-Calc!F19))+B1390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1370*(1-MIN(100,(Inputs!$B$9+((C1378=TRUE)*(F1378-Calc!F19))+B1390+(ArtifactsInput!$M$24-ArtifactsInput!$M$24)*CHOOSE(ArtifactsInput!$N$24+1,10,12,14,16,18,20)+(IF(AND(Inputs!$B$38&lt;&gt;"pvp",Inputs!$B$43=0),1,IF(IF(Inputs!$B$38="pvp",15,Inputs!$B$43)-(B1397)&lt;=0,1,MAX(0,IF(Inputs!$B$38="pvp",15,Inputs!$B$43)-MAX(5,B1397))/(IF(Inputs!$B$38="pvp",15,Inputs!$B$43)-(B1397))))*IF(AND(ArtifactsInput!$M$42,((Inputs!$B$9+((C1378=TRUE)*(F1378-Calc!F19))+B1390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1370*(MIN(100,(Inputs!$B$9+((C1378=TRUE)*(F1378-Calc!F19))+B1390+(ArtifactsInput!$M$24-ArtifactsInput!$M$24)*CHOOSE(ArtifactsInput!$N$24+1,10,12,14,16,18,20)+(IF(AND(Inputs!$B$38&lt;&gt;"pvp",Inputs!$B$43=0),1,IF(IF(Inputs!$B$38="pvp",15,Inputs!$B$43)-(B1397)&lt;=0,1,MAX(0,IF(Inputs!$B$38="pvp",15,Inputs!$B$43)-MAX(5,B1397))/(IF(Inputs!$B$38="pvp",15,Inputs!$B$43)-(B1397))))*IF(AND(ArtifactsInput!$M$42,((Inputs!$B$9+((C1378=TRUE)*(F1378-Calc!F19))+B1390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370">
        <f>IF(C1370,(H1370*N1370*IF(AND(Inputs!$B$38&lt;&gt;"pvp",Inputs!$B$43&gt;0),((Skills!G11*((R1370-1)*IF(Skills!H11&gt;0,INT(Skills!I11/Skills!H11+0.000000001),1)+IF(Skills!H11&gt;0,INT(MIN(Skills!I11,MAX(0,MAX(0,Inputs!$B$43-B1397)-((R1370-1)*((IF(Inputs!$B$38="pvp",15,MAX(0.1,Skills!D11-IF(TRUE=TRUE,Inputs!$B$32,0)))*(1-IF(AND(ArtifactsInput!$M$27,Inputs!$B$4="Chapter Hunt"),CHOOSE(ArtifactsInput!$N$27+1,20,24,28,32,36,40),0)/100))/B1401))))/Skills!H11+0.000000001),1)))/Inputs!$B$43),G1370*Q1370))*IF(Inputs!$B$38="pvp",1,(1+(Inputs!$B$21+Skills!Q11+(IF(ArtifactsInput!$M$33,CHOOSE(ArtifactsInput!$N$33+1,30,36,42,48,54,60),0))+(IF(AND(ArtifactsInput!$M$35,Inputs!$B$4&lt;&gt;"Chapter Hunt"),CHOOSE(ArtifactsInput!$N$35+1,15,18,21,24,27,30)*(1-EXP(-(0.2*B1392)*5)),0)+IF(AND(ArtifactsInput!$M$22,Inputs!$B$4&lt;&gt;"Chapter Hunt"),CHOOSE(ArtifactsInput!$N$22+1,10,12,14,16,18,20)*((0*(((0.15*B1392*5))^0/1)+1*(((0.15*B1392*5))^1/1)+2*(((0.15*B1392*5))^2/2)+3*(((0.15*B1392*5))^3/6)+4*(((0.15*B1392*5))^4/24)+5*(((0.15*B1392*5))^5/120))/((((0.15*B1392*5))^0/1)+(((0.15*B1392*5))^1/1)+(((0.15*B1392*5))^2/2)+(((0.15*B1392*5))^3/6)+(((0.15*B1392*5))^4/24)+(((0.15*B1392*5))^5/120))),0))+IF(Inputs!$B$3&gt;=54,9*(C1362=TRUE)*MIN(1,8*(1+Inputs!$B$34/100)*Q1362),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71">
      <c r="A1371">
        <f>Skills!A12</f>
        <v/>
      </c>
      <c r="B1371">
        <f>Skills!B12</f>
        <v/>
      </c>
      <c r="C1371">
        <f>Inputs!$B$3&gt;=110</f>
        <v/>
      </c>
      <c r="D1371">
        <f>IF(Skills!C12=1,60+Inputs!$B$25+Inputs!$B$29,IF(Skills!C12=2,90+Inputs!$B$26+Inputs!$B$29,IF(Skills!C12=3,120+Inputs!$B$27+Inputs!$B$29,MAX(0,(Inputs!$B$3-100)*3)+Inputs!$B$28+Inputs!$B$29)))</f>
        <v/>
      </c>
      <c r="E1371">
        <f>INDEX(FactorTable!$B$2:$Y$301, MATCH(ROUND(MIN(300,MAX(1,D1371)),0), FactorTable!$A$2:$A$301,0), Skills!M12+1)</f>
        <v/>
      </c>
      <c r="F1371">
        <f>IF(Skills!N12=TRUE,(Skills!L12/10)*(E1371/1000),Skills!L12/10)+Skills!O12</f>
        <v/>
      </c>
      <c r="G1371">
        <f>Skills!G12*IF(Skills!H12&gt;0,INT(IF(Inputs!$B$38="pvp",MIN(Skills!I12,15),Skills!I12)/Skills!H12+0.000000001),1)</f>
        <v/>
      </c>
      <c r="H1371">
        <f>1-(1-Skills!J12/100)^Skills!K12</f>
        <v/>
      </c>
      <c r="I1371" t="inlineStr">
        <is>
          <t>1</t>
        </is>
      </c>
      <c r="J1371">
        <f>((Inputs!$B$6*(1+Inputs!$B$7/100))+(((Inputs!$B$12*(1+Inputs!$B$13/100))-(Inputs!$B$12*(1+Inputs!$B$13/100)))+0.25*(Inputs!$B$14-Inputs!$B$14))*(1+Inputs!$B$7/100))*(F1371/100)</f>
        <v/>
      </c>
      <c r="K1371">
        <f>J1371*(1+((Inputs!$B$12*(1+Inputs!$B$13/100))*0.01+Inputs!$B$14*0.0025)/100)*(1+Inputs!$B$15/100)*(1+Inputs!$B$16/100)*(5000/(6000+Inputs!$B$42*(1-(100*(1-(1-(Inputs!$B$19+0)/100)*(1-CHOOSE(ArtifactsInput!$N$40+1,5,6,7,8,9,10)/100)^(ArtifactsInput!$M$40-ArtifactsInput!$M$40)))/100)))*(1+(Inputs!$B$24+((C1385=TRUE)*(F1385-Calc!F26))+B1396)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EIGHT_LEGS_EASTON",Inputs!$B$17+((C1382=TRUE)*(F1382-Calc!F23))+((C1386=TRUE)*(F1386-Calc!F27))+((IF(AND(Inputs!$B$38&lt;&gt;"pvp",Inputs!$B$43=0),1,IF(IF(Inputs!$B$38="pvp",15,Inputs!$B$43)-(B1397)&lt;=0,1,MAX(0,IF(Inputs!$B$38="pvp",15,Inputs!$B$43)-MAX(5,B1397))/(IF(Inputs!$B$38="pvp",15,Inputs!$B$43)-(B1397))))*(IF(AND(ArtifactsInput!$M$42,((Inputs!$B$9+((C1378=TRUE)*(F1378-Calc!F19))+B1390+(ArtifactsInput!$M$24-ArtifactsInput!$M$24)*CHOOSE(ArtifactsInput!$N$24+1,10,12,14,16,18,20)+IF(ArtifactsInput!$M$10,CHOOSE(ArtifactsInput!$N$10+1,15,18,21,24,27,30)*(IF(Inputs!$B$38="pvp",MIN(15,15)/15,IF(AND(Inputs!$B$38&lt;&gt;"pvp",Inputs!$B$43&gt;0),MIN(15,Inputs!$B$43)/(Inputs!$B$43),0))),0)))&gt;=100),MIN(100,((Inputs!$B$9+((C1378=TRUE)*(F1378-Calc!F19))+B1390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1397)&lt;=0,1,MAX(0,IF(Inputs!$B$38="pvp",15,Inputs!$B$43)-MAX(5,B1397))/(IF(Inputs!$B$38="pvp",15,Inputs!$B$43)-(B1397))))*IF(AND(ArtifactsInput!$M$42,((Inputs!$B$9+((C1378=TRUE)*(F1378-Calc!F19))+B1390+(ArtifactsInput!$M$24-ArtifactsInput!$M$24)*CHOOSE(ArtifactsInput!$N$24+1,10,12,14,16,18,20)+IF(ArtifactsInput!$M$10,CHOOSE(ArtifactsInput!$N$10+1,15,18,21,24,27,30)*(IF(Inputs!$B$38="pvp",MIN(15,15)/15,IF(AND(Inputs!$B$38&lt;&gt;"pvp",Inputs!$B$43&gt;0),MIN(15,Inputs!$B$43)/(Inputs!$B$43),0))),0)))&gt;=100),CHOOSE(ArtifactsInput!$N$42+1,40,48,56,64,72,80),0))))/100)*((1+(((C1376=TRUE)*F1376*5/7)+((C1383=TRUE)*(F1383-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1371)</f>
        <v/>
      </c>
      <c r="L1371">
        <f>K1371*(MIN(Inputs!$B$22+((C1381=TRUE)*(F1381-Calc!F22)),(Inputs!$B$23+0+(IF(ArtifactsInput!$M$15,CHOOSE(ArtifactsInput!$N$15+1,25,30,35,40,45,50)/100*(Inputs!$B$11-Inputs!$B$11),0))))/100+(Inputs!$B$23+0+(IF(ArtifactsInput!$M$15,CHOOSE(ArtifactsInput!$N$15+1,25,30,35,40,45,50)/100*(Inputs!$B$11-Inputs!$B$11),0)))/100)/2</f>
        <v/>
      </c>
      <c r="M1371">
        <f>L1371*(1+(Inputs!$B$10+((C1384=TRUE)*(F1384-Calc!F25))+B1395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71">
        <f>L1371*(1-MIN((Inputs!$B$9+((C1378=TRUE)*(F1378-Calc!F19))+B1390+(ArtifactsInput!$M$24-ArtifactsInput!$M$24)*CHOOSE(ArtifactsInput!$N$24+1,10,12,14,16,18,20)+(IF(AND(Inputs!$B$38&lt;&gt;"pvp",Inputs!$B$43=0),1,IF(IF(Inputs!$B$38="pvp",15,Inputs!$B$43)-(B1397)&lt;=0,1,MAX(0,IF(Inputs!$B$38="pvp",15,Inputs!$B$43)-MAX(5,B1397))/(IF(Inputs!$B$38="pvp",15,Inputs!$B$43)-(B1397))))*IF(AND(ArtifactsInput!$M$42,((Inputs!$B$9+((C1378=TRUE)*(F1378-Calc!F19))+B1390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1371*(MIN((Inputs!$B$9+((C1378=TRUE)*(F1378-Calc!F19))+B1390+(ArtifactsInput!$M$24-ArtifactsInput!$M$24)*CHOOSE(ArtifactsInput!$N$24+1,10,12,14,16,18,20)+(IF(AND(Inputs!$B$38&lt;&gt;"pvp",Inputs!$B$43=0),1,IF(IF(Inputs!$B$38="pvp",15,Inputs!$B$43)-(B1397)&lt;=0,1,MAX(0,IF(Inputs!$B$38="pvp",15,Inputs!$B$43)-MAX(5,B1397))/(IF(Inputs!$B$38="pvp",15,Inputs!$B$43)-(B1397))))*IF(AND(ArtifactsInput!$M$42,((Inputs!$B$9+((C1378=TRUE)*(F1378-Calc!F19))+B1390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71">
        <f>(1-Summary!$B$11)*T1371+Summary!$B$11*V1371</f>
        <v/>
      </c>
      <c r="P1371">
        <f>IF(B1400=0,0,O1371/B1400)</f>
        <v/>
      </c>
      <c r="Q1371">
        <f>IFERROR(1/(IF(Inputs!$B$38="pvp",15,MAX(0.1,Skills!D12-IF(TRUE=TRUE,Inputs!$B$32,0)))*(1-IF(AND(ArtifactsInput!$M$27,Inputs!$B$4="Chapter Hunt"),CHOOSE(ArtifactsInput!$N$27+1,20,24,28,32,36,40),0)/100)),0)</f>
        <v/>
      </c>
      <c r="R1371">
        <f>IF(AND(Inputs!$B$38&lt;&gt;"pvp",Inputs!$B$43&gt;0),IF(MAX(0,Inputs!$B$43-B1397)&lt;=0,0,(INT(MAX(0,Inputs!$B$43-B1397)/(IF(Inputs!$B$38="pvp",15,MAX(0.1,Skills!D12-IF(TRUE=TRUE,Inputs!$B$32,0)))*(1-IF(AND(ArtifactsInput!$M$27,Inputs!$B$4="Chapter Hunt"),CHOOSE(ArtifactsInput!$N$27+1,20,24,28,32,36,40),0)/100)))+1)),0)</f>
        <v/>
      </c>
      <c r="S1371">
        <f>IFERROR(O1371/N1371,0)</f>
        <v/>
      </c>
      <c r="T1371">
        <f>IF(C1371,(H1371*N1371*IF(AND(Inputs!$B$38&lt;&gt;"pvp",Inputs!$B$43&gt;0),((Skills!G12*((R1371-1)*IF(Skills!H12&gt;0,INT(Skills!I12/Skills!H12+0.000000001),1)+IF(Skills!H12&gt;0,INT(MIN(Skills!I12,MAX(0,MAX(0,Inputs!$B$43-B1397)-((R1371-1)*(IF(Inputs!$B$38="pvp",15,MAX(0.1,Skills!D12-IF(TRUE=TRUE,Inputs!$B$32,0)))*(1-IF(AND(ArtifactsInput!$M$27,Inputs!$B$4="Chapter Hunt"),CHOOSE(ArtifactsInput!$N$27+1,20,24,28,32,36,40),0)/100)))))/Skills!H12+0.000000001),1)))/Inputs!$B$43),G1371*Q1371))*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Hunt"),CHOOSE(ArtifactsInput!$N$35+1,15,18,21,24,27,30)*(1-EXP(-(0.2*B1392)*5)),0)+IF(AND(ArtifactsInput!$M$22,Inputs!$B$4&lt;&gt;"Chapter Hunt"),CHOOSE(ArtifactsInput!$N$22+1,10,12,14,16,18,20)*((0*(((0.15*B1392*5))^0/1)+1*(((0.15*B1392*5))^1/1)+2*(((0.15*B1392*5))^2/2)+3*(((0.15*B1392*5))^3/6)+4*(((0.15*B1392*5))^4/24)+5*(((0.15*B1392*5))^5/120))/((((0.15*B1392*5))^0/1)+(((0.15*B1392*5))^1/1)+(((0.15*B1392*5))^2/2)+(((0.15*B1392*5))^3/6)+(((0.15*B1392*5))^4/24)+(((0.15*B1392*5))^5/120))),0))+IF(Inputs!$B$3&gt;=54,9*(C1362=TRUE)*MIN(1,8*(1+Inputs!$B$34/100)*Q1362)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1371*(1-MIN(100,(Inputs!$B$9+((C1378=TRUE)*(F1378-Calc!F19))+B1390+(ArtifactsInput!$M$24-ArtifactsInput!$M$24)*CHOOSE(ArtifactsInput!$N$24+1,10,12,14,16,18,20)+(IF(AND(Inputs!$B$38&lt;&gt;"pvp",Inputs!$B$43=0),1,IF(IF(Inputs!$B$38="pvp",15,Inputs!$B$43)-(B1397)&lt;=0,1,MAX(0,IF(Inputs!$B$38="pvp",15,Inputs!$B$43)-MAX(5,B1397))/(IF(Inputs!$B$38="pvp",15,Inputs!$B$43)-(B1397))))*IF(AND(ArtifactsInput!$M$42,((Inputs!$B$9+((C1378=TRUE)*(F1378-Calc!F19))+B1390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1371*(MIN(100,(Inputs!$B$9+((C1378=TRUE)*(F1378-Calc!F19))+B1390+(ArtifactsInput!$M$24-ArtifactsInput!$M$24)*CHOOSE(ArtifactsInput!$N$24+1,10,12,14,16,18,20)+(IF(AND(Inputs!$B$38&lt;&gt;"pvp",Inputs!$B$43=0),1,IF(IF(Inputs!$B$38="pvp",15,Inputs!$B$43)-(B1397)&lt;=0,1,MAX(0,IF(Inputs!$B$38="pvp",15,Inputs!$B$43)-MAX(5,B1397))/(IF(Inputs!$B$38="pvp",15,Inputs!$B$43)-(B1397))))*IF(AND(ArtifactsInput!$M$42,((Inputs!$B$9+((C1378=TRUE)*(F1378-Calc!F19))+B1390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1371*(1-MIN(100,(Inputs!$B$9+((C1378=TRUE)*(F1378-Calc!F19))+B1390+(ArtifactsInput!$M$24-ArtifactsInput!$M$24)*CHOOSE(ArtifactsInput!$N$24+1,10,12,14,16,18,20)+(IF(AND(Inputs!$B$38&lt;&gt;"pvp",Inputs!$B$43=0),1,IF(IF(Inputs!$B$38="pvp",15,Inputs!$B$43)-(B1397)&lt;=0,1,MAX(0,IF(Inputs!$B$38="pvp",15,Inputs!$B$43)-MAX(5,B1397))/(IF(Inputs!$B$38="pvp",15,Inputs!$B$43)-(B1397))))*IF(AND(ArtifactsInput!$M$42,((Inputs!$B$9+((C1378=TRUE)*(F1378-Calc!F19))+B1390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1371*(MIN(100,(Inputs!$B$9+((C1378=TRUE)*(F1378-Calc!F19))+B1390+(ArtifactsInput!$M$24-ArtifactsInput!$M$24)*CHOOSE(ArtifactsInput!$N$24+1,10,12,14,16,18,20)+(IF(AND(Inputs!$B$38&lt;&gt;"pvp",Inputs!$B$43=0),1,IF(IF(Inputs!$B$38="pvp",15,Inputs!$B$43)-(B1397)&lt;=0,1,MAX(0,IF(Inputs!$B$38="pvp",15,Inputs!$B$43)-MAX(5,B1397))/(IF(Inputs!$B$38="pvp",15,Inputs!$B$43)-(B1397))))*IF(AND(ArtifactsInput!$M$42,((Inputs!$B$9+((C1378=TRUE)*(F1378-Calc!F19))+B1390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371">
        <f>IF(C1371,(H1371*N1371*IF(AND(Inputs!$B$38&lt;&gt;"pvp",Inputs!$B$43&gt;0),((Skills!G12*((R1371-1)*IF(Skills!H12&gt;0,INT(Skills!I12/Skills!H12+0.000000001),1)+IF(Skills!H12&gt;0,INT(MIN(Skills!I12,MAX(0,MAX(0,Inputs!$B$43-B1397)-((R1371-1)*(IF(Inputs!$B$38="pvp",15,MAX(0.1,Skills!D12-IF(TRUE=TRUE,Inputs!$B$32,0)))*(1-IF(AND(ArtifactsInput!$M$27,Inputs!$B$4="Chapter Hunt"),CHOOSE(ArtifactsInput!$N$27+1,20,24,28,32,36,40),0)/100)))))/Skills!H12+0.000000001),1)))/Inputs!$B$43),G1371*Q1371))*IF(Inputs!$B$38="pvp",1,(1+(Inputs!$B$21+Skills!Q12+(IF(ArtifactsInput!$M$33,CHOOSE(ArtifactsInput!$N$33+1,30,36,42,48,54,60),0))+(IF(AND(ArtifactsInput!$M$35,Inputs!$B$4&lt;&gt;"Chapter Hunt"),CHOOSE(ArtifactsInput!$N$35+1,15,18,21,24,27,30)*(1-EXP(-(0.2*B1392)*5)),0)+IF(AND(ArtifactsInput!$M$22,Inputs!$B$4&lt;&gt;"Chapter Hunt"),CHOOSE(ArtifactsInput!$N$22+1,10,12,14,16,18,20)*((0*(((0.15*B1392*5))^0/1)+1*(((0.15*B1392*5))^1/1)+2*(((0.15*B1392*5))^2/2)+3*(((0.15*B1392*5))^3/6)+4*(((0.15*B1392*5))^4/24)+5*(((0.15*B1392*5))^5/120))/((((0.15*B1392*5))^0/1)+(((0.15*B1392*5))^1/1)+(((0.15*B1392*5))^2/2)+(((0.15*B1392*5))^3/6)+(((0.15*B1392*5))^4/24)+(((0.15*B1392*5))^5/120))),0))+IF(Inputs!$B$3&gt;=54,9*(C1362=TRUE)*MIN(1,8*(1+Inputs!$B$34/100)*Q1362),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72">
      <c r="A1372">
        <f>Skills!A13</f>
        <v/>
      </c>
      <c r="B1372">
        <f>Skills!B13</f>
        <v/>
      </c>
      <c r="C1372">
        <f>Inputs!$B$3&gt;=110</f>
        <v/>
      </c>
      <c r="D1372">
        <f>IF(Skills!C13=1,60+Inputs!$B$25+Inputs!$B$29,IF(Skills!C13=2,90+Inputs!$B$26+Inputs!$B$29,IF(Skills!C13=3,120+Inputs!$B$27+Inputs!$B$29,MAX(0,(Inputs!$B$3-100)*3)+Inputs!$B$28+Inputs!$B$29)))</f>
        <v/>
      </c>
      <c r="E1372">
        <f>INDEX(FactorTable!$B$2:$Y$301, MATCH(ROUND(MIN(300,MAX(1,D1372)),0), FactorTable!$A$2:$A$301,0), Skills!M13+1)</f>
        <v/>
      </c>
      <c r="F1372">
        <f>IF(Skills!N13=TRUE,(Skills!L13/10)*(E1372/1000),Skills!L13/10)+Skills!O13</f>
        <v/>
      </c>
      <c r="G1372">
        <f>Skills!G13*IF(Skills!H13&gt;0,INT(IF(Inputs!$B$38="pvp",MIN(Skills!I13,15),Skills!I13)/Skills!H13+0.000000001),1)</f>
        <v/>
      </c>
      <c r="H1372">
        <f>1-(1-Skills!J13/100)^Skills!K13</f>
        <v/>
      </c>
      <c r="I1372" t="inlineStr">
        <is>
          <t>1</t>
        </is>
      </c>
      <c r="J1372">
        <f>((Inputs!$B$6*(1+Inputs!$B$7/100))+(((Inputs!$B$12*(1+Inputs!$B$13/100))-(Inputs!$B$12*(1+Inputs!$B$13/100)))+0.25*(Inputs!$B$14-Inputs!$B$14))*(1+Inputs!$B$7/100))*(F1372/100)</f>
        <v/>
      </c>
      <c r="K1372">
        <f>J1372*(1+((Inputs!$B$12*(1+Inputs!$B$13/100))*0.01+Inputs!$B$14*0.0025)/100)*(1+Inputs!$B$15/100)*(1+Inputs!$B$16/100)*(5000/(6000+Inputs!$B$42*(1-(100*(1-(1-(Inputs!$B$19+0)/100)*(1-CHOOSE(ArtifactsInput!$N$40+1,5,6,7,8,9,10)/100)^(ArtifactsInput!$M$40-ArtifactsInput!$M$40)))/100)))*(1+(Inputs!$B$24+((C1385=TRUE)*(F1385-Calc!F26))+B1396)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EIGHT_LEGS_EASTON",Inputs!$B$17+((C1382=TRUE)*(F1382-Calc!F23))+((C1386=TRUE)*(F1386-Calc!F27))+((IF(AND(Inputs!$B$38&lt;&gt;"pvp",Inputs!$B$43=0),1,IF(IF(Inputs!$B$38="pvp",15,Inputs!$B$43)-(B1397)&lt;=0,1,MAX(0,IF(Inputs!$B$38="pvp",15,Inputs!$B$43)-MAX(5,B1397))/(IF(Inputs!$B$38="pvp",15,Inputs!$B$43)-(B1397))))*(IF(AND(ArtifactsInput!$M$42,((Inputs!$B$9+((C1378=TRUE)*(F1378-Calc!F19))+B1390+(ArtifactsInput!$M$24-ArtifactsInput!$M$24)*CHOOSE(ArtifactsInput!$N$24+1,10,12,14,16,18,20)+IF(ArtifactsInput!$M$10,CHOOSE(ArtifactsInput!$N$10+1,15,18,21,24,27,30)*(IF(Inputs!$B$38="pvp",MIN(15,15)/15,IF(AND(Inputs!$B$38&lt;&gt;"pvp",Inputs!$B$43&gt;0),MIN(15,Inputs!$B$43)/(Inputs!$B$43),0))),0)))&gt;=100),MIN(100,((Inputs!$B$9+((C1378=TRUE)*(F1378-Calc!F19))+B1390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1397)&lt;=0,1,MAX(0,IF(Inputs!$B$38="pvp",15,Inputs!$B$43)-MAX(5,B1397))/(IF(Inputs!$B$38="pvp",15,Inputs!$B$43)-(B1397))))*IF(AND(ArtifactsInput!$M$42,((Inputs!$B$9+((C1378=TRUE)*(F1378-Calc!F19))+B1390+(ArtifactsInput!$M$24-ArtifactsInput!$M$24)*CHOOSE(ArtifactsInput!$N$24+1,10,12,14,16,18,20)+IF(ArtifactsInput!$M$10,CHOOSE(ArtifactsInput!$N$10+1,15,18,21,24,27,30)*(IF(Inputs!$B$38="pvp",MIN(15,15)/15,IF(AND(Inputs!$B$38&lt;&gt;"pvp",Inputs!$B$43&gt;0),MIN(15,Inputs!$B$43)/(Inputs!$B$43),0))),0)))&gt;=100),CHOOSE(ArtifactsInput!$N$42+1,40,48,56,64,72,80),0))))/100)*((1+(((C1376=TRUE)*F1376*5/7)+((C1383=TRUE)*(F1383-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1372)</f>
        <v/>
      </c>
      <c r="L1372">
        <f>K1372*(MIN(Inputs!$B$22+((C1381=TRUE)*(F1381-Calc!F22)),(Inputs!$B$23+0+(IF(ArtifactsInput!$M$15,CHOOSE(ArtifactsInput!$N$15+1,25,30,35,40,45,50)/100*(Inputs!$B$11-Inputs!$B$11),0))))/100+(Inputs!$B$23+0+(IF(ArtifactsInput!$M$15,CHOOSE(ArtifactsInput!$N$15+1,25,30,35,40,45,50)/100*(Inputs!$B$11-Inputs!$B$11),0)))/100)/2</f>
        <v/>
      </c>
      <c r="M1372">
        <f>L1372*(1+(Inputs!$B$10+((C1384=TRUE)*(F1384-Calc!F25))+B1395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72">
        <f>L1372*(1-MIN((Inputs!$B$9+((C1378=TRUE)*(F1378-Calc!F19))+B1390+(ArtifactsInput!$M$24-ArtifactsInput!$M$24)*CHOOSE(ArtifactsInput!$N$24+1,10,12,14,16,18,20)+(IF(AND(Inputs!$B$38&lt;&gt;"pvp",Inputs!$B$43=0),1,IF(IF(Inputs!$B$38="pvp",15,Inputs!$B$43)-(B1397)&lt;=0,1,MAX(0,IF(Inputs!$B$38="pvp",15,Inputs!$B$43)-MAX(5,B1397))/(IF(Inputs!$B$38="pvp",15,Inputs!$B$43)-(B1397))))*IF(AND(ArtifactsInput!$M$42,((Inputs!$B$9+((C1378=TRUE)*(F1378-Calc!F19))+B1390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1372*(MIN((Inputs!$B$9+((C1378=TRUE)*(F1378-Calc!F19))+B1390+(ArtifactsInput!$M$24-ArtifactsInput!$M$24)*CHOOSE(ArtifactsInput!$N$24+1,10,12,14,16,18,20)+(IF(AND(Inputs!$B$38&lt;&gt;"pvp",Inputs!$B$43=0),1,IF(IF(Inputs!$B$38="pvp",15,Inputs!$B$43)-(B1397)&lt;=0,1,MAX(0,IF(Inputs!$B$38="pvp",15,Inputs!$B$43)-MAX(5,B1397))/(IF(Inputs!$B$38="pvp",15,Inputs!$B$43)-(B1397))))*IF(AND(ArtifactsInput!$M$42,((Inputs!$B$9+((C1378=TRUE)*(F1378-Calc!F19))+B1390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72">
        <f>(1-Summary!$B$11)*T1372+Summary!$B$11*V1372</f>
        <v/>
      </c>
      <c r="P1372">
        <f>IF(B1400=0,0,O1372/B1400)</f>
        <v/>
      </c>
      <c r="Q1372">
        <f>IFERROR(1/(IF(Inputs!$B$38="pvp",15,MAX(0.1,Skills!D13-IF(TRUE=TRUE,Inputs!$B$32,0)))*(1-IF(AND(ArtifactsInput!$M$27,Inputs!$B$4="Chapter Hunt"),CHOOSE(ArtifactsInput!$N$27+1,20,24,28,32,36,40),0)/100)),0)</f>
        <v/>
      </c>
      <c r="R1372">
        <f>IF(AND(Inputs!$B$38&lt;&gt;"pvp",Inputs!$B$43&gt;0),IF(MAX(0,Inputs!$B$43-B1397)&lt;=0,0,(INT(MAX(0,Inputs!$B$43-B1397)/(IF(Inputs!$B$38="pvp",15,MAX(0.1,Skills!D13-IF(TRUE=TRUE,Inputs!$B$32,0)))*(1-IF(AND(ArtifactsInput!$M$27,Inputs!$B$4="Chapter Hunt"),CHOOSE(ArtifactsInput!$N$27+1,20,24,28,32,36,40),0)/100)))+1)),0)</f>
        <v/>
      </c>
      <c r="S1372">
        <f>IFERROR(O1372/N1372,0)</f>
        <v/>
      </c>
      <c r="T1372">
        <f>IF(C1372,(H1372*N1372*IF(AND(Inputs!$B$38&lt;&gt;"pvp",Inputs!$B$43&gt;0),((Skills!G13*((R1372-1)*IF(Skills!H13&gt;0,INT(Skills!I13/Skills!H13+0.000000001),1)+IF(Skills!H13&gt;0,INT(MIN(Skills!I13,MAX(0,MAX(0,Inputs!$B$43-B1397)-((R1372-1)*(IF(Inputs!$B$38="pvp",15,MAX(0.1,Skills!D13-IF(TRUE=TRUE,Inputs!$B$32,0)))*(1-IF(AND(ArtifactsInput!$M$27,Inputs!$B$4="Chapter Hunt"),CHOOSE(ArtifactsInput!$N$27+1,20,24,28,32,36,40),0)/100)))))/Skills!H13+0.000000001),1)))/Inputs!$B$43),G1372*Q1372))*IF(Inputs!$B$38="pvp",1,1+(Inputs!$B$20+0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Hunt"),CHOOSE(ArtifactsInput!$N$35+1,15,18,21,24,27,30)*(1-EXP(-(0.2*B1392)*5)),0)+IF(AND(ArtifactsInput!$M$22,Inputs!$B$4&lt;&gt;"Chapter Hunt"),CHOOSE(ArtifactsInput!$N$22+1,10,12,14,16,18,20)*((0*(((0.15*B1392*5))^0/1)+1*(((0.15*B1392*5))^1/1)+2*(((0.15*B1392*5))^2/2)+3*(((0.15*B1392*5))^3/6)+4*(((0.15*B1392*5))^4/24)+5*(((0.15*B1392*5))^5/120))/((((0.15*B1392*5))^0/1)+(((0.15*B1392*5))^1/1)+(((0.15*B1392*5))^2/2)+(((0.15*B1392*5))^3/6)+(((0.15*B1392*5))^4/24)+(((0.15*B1392*5))^5/120))),0))+IF(Inputs!$B$3&gt;=54,9*(C1362=TRUE)*MIN(1,8*(1+Inputs!$B$34/100)*Q1362)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1372*(1-MIN(100,(Inputs!$B$9+((C1378=TRUE)*(F1378-Calc!F19))+B1390+(ArtifactsInput!$M$24-ArtifactsInput!$M$24)*CHOOSE(ArtifactsInput!$N$24+1,10,12,14,16,18,20)+(IF(AND(Inputs!$B$38&lt;&gt;"pvp",Inputs!$B$43=0),1,IF(IF(Inputs!$B$38="pvp",15,Inputs!$B$43)-(B1397)&lt;=0,1,MAX(0,IF(Inputs!$B$38="pvp",15,Inputs!$B$43)-MAX(5,B1397))/(IF(Inputs!$B$38="pvp",15,Inputs!$B$43)-(B1397))))*IF(AND(ArtifactsInput!$M$42,((Inputs!$B$9+((C1378=TRUE)*(F1378-Calc!F19))+B1390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1372*(MIN(100,(Inputs!$B$9+((C1378=TRUE)*(F1378-Calc!F19))+B1390+(ArtifactsInput!$M$24-ArtifactsInput!$M$24)*CHOOSE(ArtifactsInput!$N$24+1,10,12,14,16,18,20)+(IF(AND(Inputs!$B$38&lt;&gt;"pvp",Inputs!$B$43=0),1,IF(IF(Inputs!$B$38="pvp",15,Inputs!$B$43)-(B1397)&lt;=0,1,MAX(0,IF(Inputs!$B$38="pvp",15,Inputs!$B$43)-MAX(5,B1397))/(IF(Inputs!$B$38="pvp",15,Inputs!$B$43)-(B1397))))*IF(AND(ArtifactsInput!$M$42,((Inputs!$B$9+((C1378=TRUE)*(F1378-Calc!F19))+B1390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1372*(1-MIN(100,(Inputs!$B$9+((C1378=TRUE)*(F1378-Calc!F19))+B1390+(ArtifactsInput!$M$24-ArtifactsInput!$M$24)*CHOOSE(ArtifactsInput!$N$24+1,10,12,14,16,18,20)+(IF(AND(Inputs!$B$38&lt;&gt;"pvp",Inputs!$B$43=0),1,IF(IF(Inputs!$B$38="pvp",15,Inputs!$B$43)-(B1397)&lt;=0,1,MAX(0,IF(Inputs!$B$38="pvp",15,Inputs!$B$43)-MAX(5,B1397))/(IF(Inputs!$B$38="pvp",15,Inputs!$B$43)-(B1397))))*IF(AND(ArtifactsInput!$M$42,((Inputs!$B$9+((C1378=TRUE)*(F1378-Calc!F19))+B1390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1372*(MIN(100,(Inputs!$B$9+((C1378=TRUE)*(F1378-Calc!F19))+B1390+(ArtifactsInput!$M$24-ArtifactsInput!$M$24)*CHOOSE(ArtifactsInput!$N$24+1,10,12,14,16,18,20)+(IF(AND(Inputs!$B$38&lt;&gt;"pvp",Inputs!$B$43=0),1,IF(IF(Inputs!$B$38="pvp",15,Inputs!$B$43)-(B1397)&lt;=0,1,MAX(0,IF(Inputs!$B$38="pvp",15,Inputs!$B$43)-MAX(5,B1397))/(IF(Inputs!$B$38="pvp",15,Inputs!$B$43)-(B1397))))*IF(AND(ArtifactsInput!$M$42,((Inputs!$B$9+((C1378=TRUE)*(F1378-Calc!F19))+B1390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372">
        <f>IF(C1372,(H1372*N1372*IF(AND(Inputs!$B$38&lt;&gt;"pvp",Inputs!$B$43&gt;0),((Skills!G13*((R1372-1)*IF(Skills!H13&gt;0,INT(Skills!I13/Skills!H13+0.000000001),1)+IF(Skills!H13&gt;0,INT(MIN(Skills!I13,MAX(0,MAX(0,Inputs!$B$43-B1397)-((R1372-1)*(IF(Inputs!$B$38="pvp",15,MAX(0.1,Skills!D13-IF(TRUE=TRUE,Inputs!$B$32,0)))*(1-IF(AND(ArtifactsInput!$M$27,Inputs!$B$4="Chapter Hunt"),CHOOSE(ArtifactsInput!$N$27+1,20,24,28,32,36,40),0)/100)))))/Skills!H13+0.000000001),1)))/Inputs!$B$43),G1372*Q1372))*IF(Inputs!$B$38="pvp",1,(1+(Inputs!$B$21+Skills!Q13+(IF(ArtifactsInput!$M$33,CHOOSE(ArtifactsInput!$N$33+1,30,36,42,48,54,60),0))+(IF(AND(ArtifactsInput!$M$35,Inputs!$B$4&lt;&gt;"Chapter Hunt"),CHOOSE(ArtifactsInput!$N$35+1,15,18,21,24,27,30)*(1-EXP(-(0.2*B1392)*5)),0)+IF(AND(ArtifactsInput!$M$22,Inputs!$B$4&lt;&gt;"Chapter Hunt"),CHOOSE(ArtifactsInput!$N$22+1,10,12,14,16,18,20)*((0*(((0.15*B1392*5))^0/1)+1*(((0.15*B1392*5))^1/1)+2*(((0.15*B1392*5))^2/2)+3*(((0.15*B1392*5))^3/6)+4*(((0.15*B1392*5))^4/24)+5*(((0.15*B1392*5))^5/120))/((((0.15*B1392*5))^0/1)+(((0.15*B1392*5))^1/1)+(((0.15*B1392*5))^2/2)+(((0.15*B1392*5))^3/6)+(((0.15*B1392*5))^4/24)+(((0.15*B1392*5))^5/120))),0))+IF(Inputs!$B$3&gt;=54,9*(C1362=TRUE)*MIN(1,8*(1+Inputs!$B$34/100)*Q1362),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73">
      <c r="A1373">
        <f>Skills!A14</f>
        <v/>
      </c>
      <c r="B1373">
        <f>Skills!B14</f>
        <v/>
      </c>
      <c r="C1373">
        <f>Inputs!$B$3&gt;=120</f>
        <v/>
      </c>
      <c r="D1373">
        <f>IF(Skills!C14=1,60+Inputs!$B$25+Inputs!$B$29,IF(Skills!C14=2,90+Inputs!$B$26+Inputs!$B$29,IF(Skills!C14=3,120+Inputs!$B$27+Inputs!$B$29,MAX(0,(Inputs!$B$3-100)*3)+Inputs!$B$28+Inputs!$B$29)))</f>
        <v/>
      </c>
      <c r="E1373">
        <f>INDEX(FactorTable!$B$2:$Y$301, MATCH(ROUND(MIN(300,MAX(1,D1373)),0), FactorTable!$A$2:$A$301,0), Skills!M14+1)</f>
        <v/>
      </c>
      <c r="F1373">
        <f>IF(Skills!N14=TRUE,(Skills!L14/10)*(E1373/1000),Skills!L14/10)+Skills!O14</f>
        <v/>
      </c>
      <c r="G1373">
        <f>Skills!G14*IF(Skills!H14&gt;0,INT(IF(Inputs!$B$38="pvp",MIN(Skills!I14,15),Skills!I14)/Skills!H14+0.000000001),1)</f>
        <v/>
      </c>
      <c r="H1373">
        <f>1-(1-Skills!J14/100)^Skills!K14</f>
        <v/>
      </c>
      <c r="I1373" t="inlineStr">
        <is>
          <t>1</t>
        </is>
      </c>
      <c r="J1373">
        <f>((Inputs!$B$6*(1+Inputs!$B$7/100))+(((Inputs!$B$12*(1+Inputs!$B$13/100))-(Inputs!$B$12*(1+Inputs!$B$13/100)))+0.25*(Inputs!$B$14-Inputs!$B$14))*(1+Inputs!$B$7/100))*(F1373/100)</f>
        <v/>
      </c>
      <c r="K1373">
        <f>J1373*(1+((Inputs!$B$12*(1+Inputs!$B$13/100))*0.01+Inputs!$B$14*0.0025)/100)*(1+Inputs!$B$15/100)*(1+Inputs!$B$16/100)*(5000/(6000+Inputs!$B$42*(1-(100*(1-(1-(Inputs!$B$19+0)/100)*(1-CHOOSE(ArtifactsInput!$N$40+1,5,6,7,8,9,10)/100)^(ArtifactsInput!$M$40-ArtifactsInput!$M$40)))/100)))*(1+(Inputs!$B$24+((C1385=TRUE)*(F1385-Calc!F26))+B1396)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EIGHT_LEGS_EASTON",Inputs!$B$17+((C1382=TRUE)*(F1382-Calc!F23))+((C1386=TRUE)*(F1386-Calc!F27))+((IF(AND(Inputs!$B$38&lt;&gt;"pvp",Inputs!$B$43=0),1,IF(IF(Inputs!$B$38="pvp",15,Inputs!$B$43)-(B1397)&lt;=0,1,MAX(0,IF(Inputs!$B$38="pvp",15,Inputs!$B$43)-MAX(5,B1397))/(IF(Inputs!$B$38="pvp",15,Inputs!$B$43)-(B1397))))*(IF(AND(ArtifactsInput!$M$42,((Inputs!$B$9+((C1378=TRUE)*(F1378-Calc!F19))+B1390+(ArtifactsInput!$M$24-ArtifactsInput!$M$24)*CHOOSE(ArtifactsInput!$N$24+1,10,12,14,16,18,20)+IF(ArtifactsInput!$M$10,CHOOSE(ArtifactsInput!$N$10+1,15,18,21,24,27,30)*(IF(Inputs!$B$38="pvp",MIN(15,15)/15,IF(AND(Inputs!$B$38&lt;&gt;"pvp",Inputs!$B$43&gt;0),MIN(15,Inputs!$B$43)/(Inputs!$B$43),0))),0)))&gt;=100),MIN(100,((Inputs!$B$9+((C1378=TRUE)*(F1378-Calc!F19))+B1390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1397)&lt;=0,1,MAX(0,IF(Inputs!$B$38="pvp",15,Inputs!$B$43)-MAX(5,B1397))/(IF(Inputs!$B$38="pvp",15,Inputs!$B$43)-(B1397))))*IF(AND(ArtifactsInput!$M$42,((Inputs!$B$9+((C1378=TRUE)*(F1378-Calc!F19))+B1390+(ArtifactsInput!$M$24-ArtifactsInput!$M$24)*CHOOSE(ArtifactsInput!$N$24+1,10,12,14,16,18,20)+IF(ArtifactsInput!$M$10,CHOOSE(ArtifactsInput!$N$10+1,15,18,21,24,27,30)*(IF(Inputs!$B$38="pvp",MIN(15,15)/15,IF(AND(Inputs!$B$38&lt;&gt;"pvp",Inputs!$B$43&gt;0),MIN(15,Inputs!$B$43)/(Inputs!$B$43),0))),0)))&gt;=100),CHOOSE(ArtifactsInput!$N$42+1,40,48,56,64,72,80),0))))/100)*((1+(((C1376=TRUE)*F1376*5/7)+((C1383=TRUE)*(F1383-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1373)</f>
        <v/>
      </c>
      <c r="L1373">
        <f>K1373*(MIN(Inputs!$B$22+((C1381=TRUE)*(F1381-Calc!F22)),(Inputs!$B$23+0+(IF(ArtifactsInput!$M$15,CHOOSE(ArtifactsInput!$N$15+1,25,30,35,40,45,50)/100*(Inputs!$B$11-Inputs!$B$11),0))))/100+(Inputs!$B$23+0+(IF(ArtifactsInput!$M$15,CHOOSE(ArtifactsInput!$N$15+1,25,30,35,40,45,50)/100*(Inputs!$B$11-Inputs!$B$11),0)))/100)/2</f>
        <v/>
      </c>
      <c r="M1373">
        <f>L1373*(1+(Inputs!$B$10+((C1384=TRUE)*(F1384-Calc!F25))+B1395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73">
        <f>L1373*(1-MIN((Inputs!$B$9+((C1378=TRUE)*(F1378-Calc!F19))+B1390+(ArtifactsInput!$M$24-ArtifactsInput!$M$24)*CHOOSE(ArtifactsInput!$N$24+1,10,12,14,16,18,20)+(IF(AND(Inputs!$B$38&lt;&gt;"pvp",Inputs!$B$43=0),1,IF(IF(Inputs!$B$38="pvp",15,Inputs!$B$43)-(B1397)&lt;=0,1,MAX(0,IF(Inputs!$B$38="pvp",15,Inputs!$B$43)-MAX(5,B1397))/(IF(Inputs!$B$38="pvp",15,Inputs!$B$43)-(B1397))))*IF(AND(ArtifactsInput!$M$42,((Inputs!$B$9+((C1378=TRUE)*(F1378-Calc!F19))+B1390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1373*(MIN((Inputs!$B$9+((C1378=TRUE)*(F1378-Calc!F19))+B1390+(ArtifactsInput!$M$24-ArtifactsInput!$M$24)*CHOOSE(ArtifactsInput!$N$24+1,10,12,14,16,18,20)+(IF(AND(Inputs!$B$38&lt;&gt;"pvp",Inputs!$B$43=0),1,IF(IF(Inputs!$B$38="pvp",15,Inputs!$B$43)-(B1397)&lt;=0,1,MAX(0,IF(Inputs!$B$38="pvp",15,Inputs!$B$43)-MAX(5,B1397))/(IF(Inputs!$B$38="pvp",15,Inputs!$B$43)-(B1397))))*IF(AND(ArtifactsInput!$M$42,((Inputs!$B$9+((C1378=TRUE)*(F1378-Calc!F19))+B1390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73">
        <f>(1-Summary!$B$11)*T1373+Summary!$B$11*V1373</f>
        <v/>
      </c>
      <c r="P1373">
        <f>IF(B1400=0,0,O1373/B1400)</f>
        <v/>
      </c>
      <c r="Q1373" t="n">
        <v>0</v>
      </c>
      <c r="R1373" t="n">
        <v>0</v>
      </c>
      <c r="S1373">
        <f>IFERROR(O1373/N1373,0)</f>
        <v/>
      </c>
      <c r="T1373">
        <f>IF(C1373,((H1373*(B1394+IF(AND(Inputs!$B$38&lt;&gt;"pvp",Inputs!$B$43&gt;0),((Skills!G8*((R1367-1)*IF(Skills!H8&gt;0,INT(Skills!I8/Skills!H8+0.000000001),1)+IF(Skills!H8&gt;0,INT(MIN(Skills!I8,MAX(0,MAX(0,Inputs!$B$43-B1397)-((R1367-1)*((IF(Inputs!$B$38="pvp",15,MAX(0.1,Skills!D8-IF(TRUE=TRUE,Inputs!$B$32,0)))*(1-IF(AND(ArtifactsInput!$M$27,Inputs!$B$4="Chapter Hunt"),CHOOSE(ArtifactsInput!$N$27+1,20,24,28,32,36,40),0)/100))/B1401))))/Skills!H8+0.000000001),1)))/Inputs!$B$43),G1367*Q1367)+IF(AND(Inputs!$B$38&lt;&gt;"pvp",Inputs!$B$43&gt;0),((Skills!G11*((R1370-1)*IF(Skills!H11&gt;0,INT(Skills!I11/Skills!H11+0.000000001),1)+IF(Skills!H11&gt;0,INT(MIN(Skills!I11,MAX(0,MAX(0,Inputs!$B$43-B1397)-((R1370-1)*((IF(Inputs!$B$38="pvp",15,MAX(0.1,Skills!D11-IF(TRUE=TRUE,Inputs!$B$32,0)))*(1-IF(AND(ArtifactsInput!$M$27,Inputs!$B$4="Chapter Hunt"),CHOOSE(ArtifactsInput!$N$27+1,20,24,28,32,36,40),0)/100))/B1401))))/Skills!H11+0.000000001),1)))/Inputs!$B$43),G1370*Q1370)))/(1+Skills!H14*H1373*(B1394+IF(AND(Inputs!$B$38&lt;&gt;"pvp",Inputs!$B$43&gt;0),((Skills!G8*((R1367-1)*IF(Skills!H8&gt;0,INT(Skills!I8/Skills!H8+0.000000001),1)+IF(Skills!H8&gt;0,INT(MIN(Skills!I8,MAX(0,MAX(0,Inputs!$B$43-B1397)-((R1367-1)*((IF(Inputs!$B$38="pvp",15,MAX(0.1,Skills!D8-IF(TRUE=TRUE,Inputs!$B$32,0)))*(1-IF(AND(ArtifactsInput!$M$27,Inputs!$B$4="Chapter Hunt"),CHOOSE(ArtifactsInput!$N$27+1,20,24,28,32,36,40),0)/100))/B1401))))/Skills!H8+0.000000001),1)))/Inputs!$B$43),G1367*Q1367)+IF(AND(Inputs!$B$38&lt;&gt;"pvp",Inputs!$B$43&gt;0),((Skills!G11*((R1370-1)*IF(Skills!H11&gt;0,INT(Skills!I11/Skills!H11+0.000000001),1)+IF(Skills!H11&gt;0,INT(MIN(Skills!I11,MAX(0,MAX(0,Inputs!$B$43-B1397)-((R1370-1)*((IF(Inputs!$B$38="pvp",15,MAX(0.1,Skills!D11-IF(TRUE=TRUE,Inputs!$B$32,0)))*(1-IF(AND(ArtifactsInput!$M$27,Inputs!$B$4="Chapter Hunt"),CHOOSE(ArtifactsInput!$N$27+1,20,24,28,32,36,40),0)/100))/B1401))))/Skills!H11+0.000000001),1)))/Inputs!$B$43),G1370*Q1370)))*N1373)*IF(Inputs!$B$38="pvp",1,1+(Inputs!$B$20+0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Hunt"),CHOOSE(ArtifactsInput!$N$35+1,15,18,21,24,27,30)*(1-EXP(-(0.2*B1392)*5)),0)+IF(AND(ArtifactsInput!$M$22,Inputs!$B$4&lt;&gt;"Chapter Hunt"),CHOOSE(ArtifactsInput!$N$22+1,10,12,14,16,18,20)*((0*(((0.15*B1392*5))^0/1)+1*(((0.15*B1392*5))^1/1)+2*(((0.15*B1392*5))^2/2)+3*(((0.15*B1392*5))^3/6)+4*(((0.15*B1392*5))^4/24)+5*(((0.15*B1392*5))^5/120))/((((0.15*B1392*5))^0/1)+(((0.15*B1392*5))^1/1)+(((0.15*B1392*5))^2/2)+(((0.15*B1392*5))^3/6)+(((0.15*B1392*5))^4/24)+(((0.15*B1392*5))^5/120))),0))+IF(Inputs!$B$3&gt;=54,9*(C1362=TRUE)*MIN(1,8*(1+Inputs!$B$34/100)*Q1362)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1373*(1-MIN(100,(Inputs!$B$9+((C1378=TRUE)*(F1378-Calc!F19))+B1390+(ArtifactsInput!$M$24-ArtifactsInput!$M$24)*CHOOSE(ArtifactsInput!$N$24+1,10,12,14,16,18,20)+(IF(AND(Inputs!$B$38&lt;&gt;"pvp",Inputs!$B$43=0),1,IF(IF(Inputs!$B$38="pvp",15,Inputs!$B$43)-(B1397)&lt;=0,1,MAX(0,IF(Inputs!$B$38="pvp",15,Inputs!$B$43)-MAX(5,B1397))/(IF(Inputs!$B$38="pvp",15,Inputs!$B$43)-(B1397))))*IF(AND(ArtifactsInput!$M$42,((Inputs!$B$9+((C1378=TRUE)*(F1378-Calc!F19))+B1390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1373*(MIN(100,(Inputs!$B$9+((C1378=TRUE)*(F1378-Calc!F19))+B1390+(ArtifactsInput!$M$24-ArtifactsInput!$M$24)*CHOOSE(ArtifactsInput!$N$24+1,10,12,14,16,18,20)+(IF(AND(Inputs!$B$38&lt;&gt;"pvp",Inputs!$B$43=0),1,IF(IF(Inputs!$B$38="pvp",15,Inputs!$B$43)-(B1397)&lt;=0,1,MAX(0,IF(Inputs!$B$38="pvp",15,Inputs!$B$43)-MAX(5,B1397))/(IF(Inputs!$B$38="pvp",15,Inputs!$B$43)-(B1397))))*IF(AND(ArtifactsInput!$M$42,((Inputs!$B$9+((C1378=TRUE)*(F1378-Calc!F19))+B1390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1373*(1-MIN(100,(Inputs!$B$9+((C1378=TRUE)*(F1378-Calc!F19))+B1390+(ArtifactsInput!$M$24-ArtifactsInput!$M$24)*CHOOSE(ArtifactsInput!$N$24+1,10,12,14,16,18,20)+(IF(AND(Inputs!$B$38&lt;&gt;"pvp",Inputs!$B$43=0),1,IF(IF(Inputs!$B$38="pvp",15,Inputs!$B$43)-(B1397)&lt;=0,1,MAX(0,IF(Inputs!$B$38="pvp",15,Inputs!$B$43)-MAX(5,B1397))/(IF(Inputs!$B$38="pvp",15,Inputs!$B$43)-(B1397))))*IF(AND(ArtifactsInput!$M$42,((Inputs!$B$9+((C1378=TRUE)*(F1378-Calc!F19))+B1390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1373*(MIN(100,(Inputs!$B$9+((C1378=TRUE)*(F1378-Calc!F19))+B1390+(ArtifactsInput!$M$24-ArtifactsInput!$M$24)*CHOOSE(ArtifactsInput!$N$24+1,10,12,14,16,18,20)+(IF(AND(Inputs!$B$38&lt;&gt;"pvp",Inputs!$B$43=0),1,IF(IF(Inputs!$B$38="pvp",15,Inputs!$B$43)-(B1397)&lt;=0,1,MAX(0,IF(Inputs!$B$38="pvp",15,Inputs!$B$43)-MAX(5,B1397))/(IF(Inputs!$B$38="pvp",15,Inputs!$B$43)-(B1397))))*IF(AND(ArtifactsInput!$M$42,((Inputs!$B$9+((C1378=TRUE)*(F1378-Calc!F19))+B1390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373">
        <f>IF(C1373,((H1373*(B1394+IF(AND(Inputs!$B$38&lt;&gt;"pvp",Inputs!$B$43&gt;0),((Skills!G8*((R1367-1)*IF(Skills!H8&gt;0,INT(Skills!I8/Skills!H8+0.000000001),1)+IF(Skills!H8&gt;0,INT(MIN(Skills!I8,MAX(0,MAX(0,Inputs!$B$43-B1397)-((R1367-1)*((IF(Inputs!$B$38="pvp",15,MAX(0.1,Skills!D8-IF(TRUE=TRUE,Inputs!$B$32,0)))*(1-IF(AND(ArtifactsInput!$M$27,Inputs!$B$4="Chapter Hunt"),CHOOSE(ArtifactsInput!$N$27+1,20,24,28,32,36,40),0)/100))/B1401))))/Skills!H8+0.000000001),1)))/Inputs!$B$43),G1367*Q1367)+IF(AND(Inputs!$B$38&lt;&gt;"pvp",Inputs!$B$43&gt;0),((Skills!G11*((R1370-1)*IF(Skills!H11&gt;0,INT(Skills!I11/Skills!H11+0.000000001),1)+IF(Skills!H11&gt;0,INT(MIN(Skills!I11,MAX(0,MAX(0,Inputs!$B$43-B1397)-((R1370-1)*((IF(Inputs!$B$38="pvp",15,MAX(0.1,Skills!D11-IF(TRUE=TRUE,Inputs!$B$32,0)))*(1-IF(AND(ArtifactsInput!$M$27,Inputs!$B$4="Chapter Hunt"),CHOOSE(ArtifactsInput!$N$27+1,20,24,28,32,36,40),0)/100))/B1401))))/Skills!H11+0.000000001),1)))/Inputs!$B$43),G1370*Q1370)))/(1+Skills!H14*H1373*(B1394+IF(AND(Inputs!$B$38&lt;&gt;"pvp",Inputs!$B$43&gt;0),((Skills!G8*((R1367-1)*IF(Skills!H8&gt;0,INT(Skills!I8/Skills!H8+0.000000001),1)+IF(Skills!H8&gt;0,INT(MIN(Skills!I8,MAX(0,MAX(0,Inputs!$B$43-B1397)-((R1367-1)*((IF(Inputs!$B$38="pvp",15,MAX(0.1,Skills!D8-IF(TRUE=TRUE,Inputs!$B$32,0)))*(1-IF(AND(ArtifactsInput!$M$27,Inputs!$B$4="Chapter Hunt"),CHOOSE(ArtifactsInput!$N$27+1,20,24,28,32,36,40),0)/100))/B1401))))/Skills!H8+0.000000001),1)))/Inputs!$B$43),G1367*Q1367)+IF(AND(Inputs!$B$38&lt;&gt;"pvp",Inputs!$B$43&gt;0),((Skills!G11*((R1370-1)*IF(Skills!H11&gt;0,INT(Skills!I11/Skills!H11+0.000000001),1)+IF(Skills!H11&gt;0,INT(MIN(Skills!I11,MAX(0,MAX(0,Inputs!$B$43-B1397)-((R1370-1)*((IF(Inputs!$B$38="pvp",15,MAX(0.1,Skills!D11-IF(TRUE=TRUE,Inputs!$B$32,0)))*(1-IF(AND(ArtifactsInput!$M$27,Inputs!$B$4="Chapter Hunt"),CHOOSE(ArtifactsInput!$N$27+1,20,24,28,32,36,40),0)/100))/B1401))))/Skills!H11+0.000000001),1)))/Inputs!$B$43),G1370*Q1370)))*N1373)*IF(Inputs!$B$38="pvp",1,(1+(Inputs!$B$21+Skills!Q14+(IF(ArtifactsInput!$M$33,CHOOSE(ArtifactsInput!$N$33+1,30,36,42,48,54,60),0))+(IF(AND(ArtifactsInput!$M$35,Inputs!$B$4&lt;&gt;"Chapter Hunt"),CHOOSE(ArtifactsInput!$N$35+1,15,18,21,24,27,30)*(1-EXP(-(0.2*B1392)*5)),0)+IF(AND(ArtifactsInput!$M$22,Inputs!$B$4&lt;&gt;"Chapter Hunt"),CHOOSE(ArtifactsInput!$N$22+1,10,12,14,16,18,20)*((0*(((0.15*B1392*5))^0/1)+1*(((0.15*B1392*5))^1/1)+2*(((0.15*B1392*5))^2/2)+3*(((0.15*B1392*5))^3/6)+4*(((0.15*B1392*5))^4/24)+5*(((0.15*B1392*5))^5/120))/((((0.15*B1392*5))^0/1)+(((0.15*B1392*5))^1/1)+(((0.15*B1392*5))^2/2)+(((0.15*B1392*5))^3/6)+(((0.15*B1392*5))^4/24)+(((0.15*B1392*5))^5/120))),0))+IF(Inputs!$B$3&gt;=54,9*(C1362=TRUE)*MIN(1,8*(1+Inputs!$B$34/100)*Q1362),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74">
      <c r="A1374">
        <f>Skills!A15</f>
        <v/>
      </c>
      <c r="B1374">
        <f>Skills!B15</f>
        <v/>
      </c>
      <c r="C1374">
        <f>Inputs!$B$3&gt;=100</f>
        <v/>
      </c>
      <c r="D1374">
        <f>IF(Skills!C15=1,60+Inputs!$B$25+Inputs!$B$29,IF(Skills!C15=2,90+Inputs!$B$26+Inputs!$B$29,IF(Skills!C15=3,120+Inputs!$B$27+Inputs!$B$29,MAX(0,(Inputs!$B$3-100)*3)+Inputs!$B$28+Inputs!$B$29)))</f>
        <v/>
      </c>
      <c r="E1374">
        <f>INDEX(FactorTable!$B$2:$Y$301, MATCH(ROUND(MIN(300,MAX(1,D1374)),0), FactorTable!$A$2:$A$301,0), Skills!M15+1)</f>
        <v/>
      </c>
      <c r="F1374">
        <f>IF(Skills!N15=TRUE,(Skills!L15/10)*(E1374/1000),Skills!L15/10)+Skills!O15</f>
        <v/>
      </c>
      <c r="G1374" t="inlineStr"/>
      <c r="H1374" t="inlineStr"/>
      <c r="I1374" t="inlineStr">
        <is>
          <t>1</t>
        </is>
      </c>
      <c r="J1374" t="inlineStr"/>
      <c r="K1374" t="inlineStr"/>
      <c r="L1374" t="inlineStr"/>
      <c r="M1374" t="inlineStr"/>
      <c r="N1374" t="inlineStr"/>
      <c r="O1374" t="inlineStr"/>
      <c r="P1374" t="inlineStr"/>
      <c r="Q1374" t="inlineStr"/>
      <c r="R1374" t="inlineStr"/>
      <c r="S1374" t="inlineStr"/>
    </row>
    <row r="1375">
      <c r="A1375">
        <f>Skills!A16</f>
        <v/>
      </c>
      <c r="B1375">
        <f>Skills!B16</f>
        <v/>
      </c>
      <c r="C1375">
        <f>Inputs!$B$3&gt;=107</f>
        <v/>
      </c>
      <c r="D1375">
        <f>IF(Skills!C16=1,60+Inputs!$B$25+Inputs!$B$29,IF(Skills!C16=2,90+Inputs!$B$26+Inputs!$B$29,IF(Skills!C16=3,120+Inputs!$B$27+Inputs!$B$29,MAX(0,(Inputs!$B$3-100)*3)+Inputs!$B$28+Inputs!$B$29)))</f>
        <v/>
      </c>
      <c r="E1375">
        <f>INDEX(FactorTable!$B$2:$Y$301, MATCH(ROUND(MIN(300,MAX(1,D1375)),0), FactorTable!$A$2:$A$301,0), Skills!M16+1)</f>
        <v/>
      </c>
      <c r="F1375">
        <f>IF(Skills!N16=TRUE,(Skills!L16/10)*(E1375/1000),Skills!L16/10)+Skills!O16</f>
        <v/>
      </c>
      <c r="G1375" t="inlineStr"/>
      <c r="H1375" t="inlineStr"/>
      <c r="I1375" t="inlineStr">
        <is>
          <t>1</t>
        </is>
      </c>
      <c r="J1375" t="inlineStr"/>
      <c r="K1375" t="inlineStr"/>
      <c r="L1375" t="inlineStr"/>
      <c r="M1375" t="inlineStr"/>
      <c r="N1375" t="inlineStr"/>
      <c r="O1375" t="inlineStr"/>
      <c r="P1375" t="inlineStr"/>
      <c r="Q1375" t="inlineStr"/>
      <c r="R1375" t="inlineStr"/>
      <c r="S1375" t="inlineStr"/>
    </row>
    <row r="1376">
      <c r="A1376">
        <f>Skills!A17</f>
        <v/>
      </c>
      <c r="B1376">
        <f>Skills!B17</f>
        <v/>
      </c>
      <c r="C1376">
        <f>Inputs!$B$3&gt;=74</f>
        <v/>
      </c>
      <c r="D1376">
        <f>IF(Skills!C17=1,60+Inputs!$B$25+Inputs!$B$29,IF(Skills!C17=2,90+Inputs!$B$26+Inputs!$B$29,IF(Skills!C17=3,120+Inputs!$B$27+Inputs!$B$29,MAX(0,(Inputs!$B$3-100)*3)+Inputs!$B$28+Inputs!$B$29)))</f>
        <v/>
      </c>
      <c r="E1376">
        <f>INDEX(FactorTable!$B$2:$Y$301, MATCH(ROUND(MIN(300,MAX(1,D1376)),0), FactorTable!$A$2:$A$301,0), Skills!M17+1)</f>
        <v/>
      </c>
      <c r="F1376">
        <f>IF(Skills!N17=TRUE,(Skills!L17/10)*(E1376/1000),Skills!L17/10)+Skills!O17</f>
        <v/>
      </c>
      <c r="G1376">
        <f>Skills!G17*IF(Skills!H17&gt;0,INT(IF(Inputs!$B$38="pvp",MIN(Skills!I17,15),Skills!I17)/Skills!H17+0.000000001),1)</f>
        <v/>
      </c>
      <c r="H1376">
        <f>1-(1-Skills!J17/100)^Skills!K17</f>
        <v/>
      </c>
      <c r="I1376" t="inlineStr">
        <is>
          <t>1</t>
        </is>
      </c>
      <c r="J1376" t="inlineStr"/>
      <c r="K1376" t="inlineStr"/>
      <c r="L1376" t="inlineStr"/>
      <c r="M1376" t="inlineStr"/>
      <c r="N1376" t="inlineStr"/>
      <c r="O1376">
        <f>(1-Summary!$B$11)*T1376+Summary!$B$11*V1376</f>
        <v/>
      </c>
      <c r="P1376">
        <f>IF(B1400=0,0,O1376/B1400)</f>
        <v/>
      </c>
      <c r="Q1376" t="n">
        <v>0</v>
      </c>
      <c r="R1376" t="n">
        <v>0</v>
      </c>
      <c r="S1376">
        <f>IFERROR(O1376/N1376,0)</f>
        <v/>
      </c>
      <c r="T1376" t="n">
        <v>0</v>
      </c>
      <c r="V1376" t="n">
        <v>0</v>
      </c>
    </row>
    <row r="1377">
      <c r="A1377">
        <f>Skills!A18</f>
        <v/>
      </c>
      <c r="B1377">
        <f>Skills!B18</f>
        <v/>
      </c>
      <c r="C1377">
        <f>Inputs!$B$3&gt;=115</f>
        <v/>
      </c>
      <c r="D1377">
        <f>IF(Skills!C18=1,60+Inputs!$B$25+Inputs!$B$29,IF(Skills!C18=2,90+Inputs!$B$26+Inputs!$B$29,IF(Skills!C18=3,120+Inputs!$B$27+Inputs!$B$29,MAX(0,(Inputs!$B$3-100)*3)+Inputs!$B$28+Inputs!$B$29)))</f>
        <v/>
      </c>
      <c r="E1377">
        <f>INDEX(FactorTable!$B$2:$Y$301, MATCH(ROUND(MIN(300,MAX(1,D1377)),0), FactorTable!$A$2:$A$301,0), Skills!M18+1)</f>
        <v/>
      </c>
      <c r="F1377">
        <f>IF(Skills!N18=TRUE,(Skills!L18/10)*(E1377/1000),Skills!L18/10)+Skills!O18</f>
        <v/>
      </c>
      <c r="G1377">
        <f>Skills!G18*IF(Skills!H18&gt;0,INT(IF(Inputs!$B$38="pvp",MIN(Skills!I18,15),Skills!I18)/Skills!H18+0.000000001),1)</f>
        <v/>
      </c>
      <c r="H1377">
        <f>1-(1-Skills!J18/100)^Skills!K18</f>
        <v/>
      </c>
      <c r="I1377" t="inlineStr">
        <is>
          <t>1</t>
        </is>
      </c>
      <c r="J1377" t="inlineStr"/>
      <c r="K1377" t="inlineStr"/>
      <c r="L1377" t="inlineStr"/>
      <c r="M1377" t="inlineStr"/>
      <c r="N1377" t="inlineStr"/>
      <c r="O1377">
        <f>(1-Summary!$B$11)*T1377+Summary!$B$11*V1377</f>
        <v/>
      </c>
      <c r="P1377">
        <f>IF(B1400=0,0,O1377/B1400)</f>
        <v/>
      </c>
      <c r="Q1377">
        <f>IFERROR(1/(IF(Inputs!$B$38="pvp",15,MAX(0.1,Skills!D18-IF(TRUE=TRUE,Inputs!$B$32,0)))*(1-IF(AND(ArtifactsInput!$M$27,Inputs!$B$4="Chapter Hunt"),CHOOSE(ArtifactsInput!$N$27+1,20,24,28,32,36,40),0)/100)),0)</f>
        <v/>
      </c>
      <c r="R1377">
        <f>IF(AND(Inputs!$B$38&lt;&gt;"pvp",Inputs!$B$43&gt;0),IF(Inputs!$B$43&lt;=0,0,(INT(Inputs!$B$43/(IF(Inputs!$B$38="pvp",15,MAX(0.1,Skills!D18-IF(TRUE=TRUE,Inputs!$B$32,0)))*(1-IF(AND(ArtifactsInput!$M$27,Inputs!$B$4="Chapter Hunt"),CHOOSE(ArtifactsInput!$N$27+1,20,24,28,32,36,40),0)/100)))+1)),0)</f>
        <v/>
      </c>
      <c r="S1377">
        <f>IFERROR(O1377/N1377,0)</f>
        <v/>
      </c>
      <c r="T1377" t="n">
        <v>0</v>
      </c>
      <c r="V1377" t="n">
        <v>0</v>
      </c>
    </row>
    <row r="1378">
      <c r="A1378">
        <f>Skills!A19</f>
        <v/>
      </c>
      <c r="B1378">
        <f>Skills!B19</f>
        <v/>
      </c>
      <c r="C1378">
        <f>Inputs!$B$3&gt;=10</f>
        <v/>
      </c>
      <c r="D1378">
        <f>IF(Skills!C19=1,60+Inputs!$B$25+Inputs!$B$29,IF(Skills!C19=2,90+Inputs!$B$26+Inputs!$B$29,IF(Skills!C19=3,120+Inputs!$B$27+Inputs!$B$29,MAX(0,(Inputs!$B$3-100)*3)+Inputs!$B$28+Inputs!$B$29)))</f>
        <v/>
      </c>
      <c r="E1378">
        <f>INDEX(FactorTable!$B$2:$Y$301, MATCH(ROUND(MIN(300,MAX(1,D1378)),0), FactorTable!$A$2:$A$301,0), Skills!M19+1)</f>
        <v/>
      </c>
      <c r="F1378">
        <f>IF(Skills!N19=TRUE,(Skills!L19/10)*(E1378/1000),Skills!L19/10)+Skills!O19</f>
        <v/>
      </c>
      <c r="G1378">
        <f>Skills!G19*IF(Skills!H19&gt;0,INT(IF(Inputs!$B$38="pvp",MIN(Skills!I19,15),Skills!I19)/Skills!H19+0.000000001),1)</f>
        <v/>
      </c>
      <c r="H1378">
        <f>1-(1-Skills!J19/100)^Skills!K19</f>
        <v/>
      </c>
      <c r="I1378" t="inlineStr">
        <is>
          <t>1</t>
        </is>
      </c>
      <c r="J1378" t="inlineStr"/>
      <c r="K1378" t="inlineStr"/>
      <c r="L1378" t="inlineStr"/>
      <c r="M1378" t="inlineStr"/>
      <c r="N1378" t="inlineStr"/>
      <c r="O1378">
        <f>(1-Summary!$B$11)*T1378+Summary!$B$11*V1378</f>
        <v/>
      </c>
      <c r="P1378">
        <f>IF(B1400=0,0,O1378/B1400)</f>
        <v/>
      </c>
      <c r="Q1378" t="n">
        <v>0</v>
      </c>
      <c r="R1378" t="n">
        <v>0</v>
      </c>
      <c r="S1378">
        <f>IFERROR(O1378/N1378,0)</f>
        <v/>
      </c>
      <c r="T1378" t="n">
        <v>0</v>
      </c>
      <c r="V1378" t="n">
        <v>0</v>
      </c>
    </row>
    <row r="1379">
      <c r="A1379">
        <f>Skills!A20</f>
        <v/>
      </c>
      <c r="B1379">
        <f>Skills!B20</f>
        <v/>
      </c>
      <c r="C1379">
        <f>Inputs!$B$3&gt;=15</f>
        <v/>
      </c>
      <c r="D1379">
        <f>IF(Skills!C20=1,60+Inputs!$B$25+Inputs!$B$29,IF(Skills!C20=2,90+Inputs!$B$26+Inputs!$B$29,IF(Skills!C20=3,120+Inputs!$B$27+Inputs!$B$29,MAX(0,(Inputs!$B$3-100)*3)+Inputs!$B$28+Inputs!$B$29)))</f>
        <v/>
      </c>
      <c r="E1379">
        <f>INDEX(FactorTable!$B$2:$Y$301, MATCH(ROUND(MIN(300,MAX(1,D1379)),0), FactorTable!$A$2:$A$301,0), Skills!M20+1)</f>
        <v/>
      </c>
      <c r="F1379">
        <f>IF(Skills!N20=TRUE,(Skills!L20/10)*(E1379/1000),Skills!L20/10)+Skills!O20</f>
        <v/>
      </c>
      <c r="G1379">
        <f>Skills!G20*IF(Skills!H20&gt;0,INT(IF(Inputs!$B$38="pvp",MIN(Skills!I20,15),Skills!I20)/Skills!H20+0.000000001),1)</f>
        <v/>
      </c>
      <c r="H1379">
        <f>1-(1-Skills!J20/100)^Skills!K20</f>
        <v/>
      </c>
      <c r="I1379" t="inlineStr">
        <is>
          <t>1</t>
        </is>
      </c>
      <c r="J1379" t="inlineStr"/>
      <c r="K1379" t="inlineStr"/>
      <c r="L1379" t="inlineStr"/>
      <c r="M1379" t="inlineStr"/>
      <c r="N1379" t="inlineStr"/>
      <c r="O1379">
        <f>(1-Summary!$B$11)*T1379+Summary!$B$11*V1379</f>
        <v/>
      </c>
      <c r="P1379">
        <f>IF(B1400=0,0,O1379/B1400)</f>
        <v/>
      </c>
      <c r="Q1379" t="n">
        <v>0</v>
      </c>
      <c r="R1379" t="n">
        <v>0</v>
      </c>
      <c r="S1379">
        <f>IFERROR(O1379/N1379,0)</f>
        <v/>
      </c>
      <c r="T1379" t="n">
        <v>0</v>
      </c>
      <c r="V1379" t="n">
        <v>0</v>
      </c>
    </row>
    <row r="1380">
      <c r="A1380">
        <f>Skills!A21</f>
        <v/>
      </c>
      <c r="B1380">
        <f>Skills!B21</f>
        <v/>
      </c>
      <c r="C1380">
        <f>Inputs!$B$3&gt;=40</f>
        <v/>
      </c>
      <c r="D1380">
        <f>IF(Skills!C21=1,60+Inputs!$B$25+Inputs!$B$29,IF(Skills!C21=2,90+Inputs!$B$26+Inputs!$B$29,IF(Skills!C21=3,120+Inputs!$B$27+Inputs!$B$29,MAX(0,(Inputs!$B$3-100)*3)+Inputs!$B$28+Inputs!$B$29)))</f>
        <v/>
      </c>
      <c r="E1380">
        <f>INDEX(FactorTable!$B$2:$Y$301, MATCH(ROUND(MIN(300,MAX(1,D1380)),0), FactorTable!$A$2:$A$301,0), Skills!M21+1)</f>
        <v/>
      </c>
      <c r="F1380">
        <f>IF(Skills!N21=TRUE,(Skills!L21/10)*(E1380/1000),Skills!L21/10)+Skills!O21</f>
        <v/>
      </c>
      <c r="G1380">
        <f>Skills!G21*IF(Skills!H21&gt;0,INT(IF(Inputs!$B$38="pvp",MIN(Skills!I21,15),Skills!I21)/Skills!H21+0.000000001),1)</f>
        <v/>
      </c>
      <c r="H1380">
        <f>1-(1-Skills!J21/100)^Skills!K21</f>
        <v/>
      </c>
      <c r="I1380" t="inlineStr">
        <is>
          <t>1</t>
        </is>
      </c>
      <c r="J1380" t="inlineStr"/>
      <c r="K1380" t="inlineStr"/>
      <c r="L1380" t="inlineStr"/>
      <c r="M1380" t="inlineStr"/>
      <c r="N1380" t="inlineStr"/>
      <c r="O1380">
        <f>(1-Summary!$B$11)*T1380+Summary!$B$11*V1380</f>
        <v/>
      </c>
      <c r="P1380">
        <f>IF(B1400=0,0,O1380/B1400)</f>
        <v/>
      </c>
      <c r="Q1380" t="n">
        <v>0</v>
      </c>
      <c r="R1380" t="n">
        <v>0</v>
      </c>
      <c r="S1380">
        <f>IFERROR(O1380/N1380,0)</f>
        <v/>
      </c>
      <c r="T1380" t="n">
        <v>0</v>
      </c>
      <c r="V1380" t="n">
        <v>0</v>
      </c>
    </row>
    <row r="1381">
      <c r="A1381">
        <f>Skills!A22</f>
        <v/>
      </c>
      <c r="B1381">
        <f>Skills!B22</f>
        <v/>
      </c>
      <c r="C1381">
        <f>Inputs!$B$3&gt;=43</f>
        <v/>
      </c>
      <c r="D1381">
        <f>IF(Skills!C22=1,60+Inputs!$B$25+Inputs!$B$29,IF(Skills!C22=2,90+Inputs!$B$26+Inputs!$B$29,IF(Skills!C22=3,120+Inputs!$B$27+Inputs!$B$29,MAX(0,(Inputs!$B$3-100)*3)+Inputs!$B$28+Inputs!$B$29)))</f>
        <v/>
      </c>
      <c r="E1381">
        <f>INDEX(FactorTable!$B$2:$Y$301, MATCH(ROUND(MIN(300,MAX(1,D1381)),0), FactorTable!$A$2:$A$301,0), Skills!M22+1)</f>
        <v/>
      </c>
      <c r="F1381">
        <f>IF(Skills!N22=TRUE,(Skills!L22/10)*(E1381/1000),Skills!L22/10)+Skills!O22</f>
        <v/>
      </c>
      <c r="G1381">
        <f>Skills!G22*IF(Skills!H22&gt;0,INT(IF(Inputs!$B$38="pvp",MIN(Skills!I22,15),Skills!I22)/Skills!H22+0.000000001),1)</f>
        <v/>
      </c>
      <c r="H1381">
        <f>1-(1-Skills!J22/100)^Skills!K22</f>
        <v/>
      </c>
      <c r="I1381" t="inlineStr">
        <is>
          <t>1</t>
        </is>
      </c>
      <c r="J1381" t="inlineStr"/>
      <c r="K1381" t="inlineStr"/>
      <c r="L1381" t="inlineStr"/>
      <c r="M1381" t="inlineStr"/>
      <c r="N1381" t="inlineStr"/>
      <c r="O1381">
        <f>(1-Summary!$B$11)*T1381+Summary!$B$11*V1381</f>
        <v/>
      </c>
      <c r="P1381">
        <f>IF(B1400=0,0,O1381/B1400)</f>
        <v/>
      </c>
      <c r="Q1381" t="n">
        <v>0</v>
      </c>
      <c r="R1381" t="n">
        <v>0</v>
      </c>
      <c r="S1381">
        <f>IFERROR(O1381/N1381,0)</f>
        <v/>
      </c>
      <c r="T1381" t="n">
        <v>0</v>
      </c>
      <c r="V1381" t="n">
        <v>0</v>
      </c>
    </row>
    <row r="1382">
      <c r="A1382">
        <f>Skills!A23</f>
        <v/>
      </c>
      <c r="B1382">
        <f>Skills!B23</f>
        <v/>
      </c>
      <c r="C1382">
        <f>Inputs!$B$3&gt;=38</f>
        <v/>
      </c>
      <c r="D1382">
        <f>IF(Skills!C23=1,60+Inputs!$B$25+Inputs!$B$29,IF(Skills!C23=2,90+Inputs!$B$26+Inputs!$B$29,IF(Skills!C23=3,120+Inputs!$B$27+Inputs!$B$29,MAX(0,(Inputs!$B$3-100)*3)+Inputs!$B$28+Inputs!$B$29)))</f>
        <v/>
      </c>
      <c r="E1382">
        <f>INDEX(FactorTable!$B$2:$Y$301, MATCH(ROUND(MIN(300,MAX(1,D1382)),0), FactorTable!$A$2:$A$301,0), Skills!M23+1)</f>
        <v/>
      </c>
      <c r="F1382">
        <f>IF(Skills!N23=TRUE,(Skills!L23/10)*(E1382/1000),Skills!L23/10)+Skills!O23</f>
        <v/>
      </c>
      <c r="G1382">
        <f>Skills!G23*IF(Skills!H23&gt;0,INT(IF(Inputs!$B$38="pvp",MIN(Skills!I23,15),Skills!I23)/Skills!H23+0.000000001),1)</f>
        <v/>
      </c>
      <c r="H1382">
        <f>1-(1-Skills!J23/100)^Skills!K23</f>
        <v/>
      </c>
      <c r="I1382" t="inlineStr">
        <is>
          <t>1</t>
        </is>
      </c>
      <c r="J1382" t="inlineStr"/>
      <c r="K1382" t="inlineStr"/>
      <c r="L1382" t="inlineStr"/>
      <c r="M1382" t="inlineStr"/>
      <c r="N1382" t="inlineStr"/>
      <c r="O1382">
        <f>(1-Summary!$B$11)*T1382+Summary!$B$11*V1382</f>
        <v/>
      </c>
      <c r="P1382">
        <f>IF(B1400=0,0,O1382/B1400)</f>
        <v/>
      </c>
      <c r="Q1382" t="n">
        <v>0</v>
      </c>
      <c r="R1382" t="n">
        <v>0</v>
      </c>
      <c r="S1382">
        <f>IFERROR(O1382/N1382,0)</f>
        <v/>
      </c>
      <c r="T1382" t="n">
        <v>0</v>
      </c>
      <c r="V1382" t="n">
        <v>0</v>
      </c>
    </row>
    <row r="1383">
      <c r="A1383">
        <f>Skills!A24</f>
        <v/>
      </c>
      <c r="B1383">
        <f>Skills!B24</f>
        <v/>
      </c>
      <c r="C1383">
        <f>Inputs!$B$3&gt;=45</f>
        <v/>
      </c>
      <c r="D1383">
        <f>IF(Skills!C24=1,60+Inputs!$B$25+Inputs!$B$29,IF(Skills!C24=2,90+Inputs!$B$26+Inputs!$B$29,IF(Skills!C24=3,120+Inputs!$B$27+Inputs!$B$29,MAX(0,(Inputs!$B$3-100)*3)+Inputs!$B$28+Inputs!$B$29)))</f>
        <v/>
      </c>
      <c r="E1383">
        <f>INDEX(FactorTable!$B$2:$Y$301, MATCH(ROUND(MIN(300,MAX(1,D1383)),0), FactorTable!$A$2:$A$301,0), Skills!M24+1)</f>
        <v/>
      </c>
      <c r="F1383">
        <f>IF(Skills!N24=TRUE,(Skills!L24/10)*(E1383/1000),Skills!L24/10)+Skills!O24</f>
        <v/>
      </c>
      <c r="G1383">
        <f>Skills!G24*IF(Skills!H24&gt;0,INT(IF(Inputs!$B$38="pvp",MIN(Skills!I24,15),Skills!I24)/Skills!H24+0.000000001),1)</f>
        <v/>
      </c>
      <c r="H1383">
        <f>1-(1-Skills!J24/100)^Skills!K24</f>
        <v/>
      </c>
      <c r="I1383" t="inlineStr">
        <is>
          <t>1</t>
        </is>
      </c>
      <c r="J1383" t="inlineStr"/>
      <c r="K1383" t="inlineStr"/>
      <c r="L1383" t="inlineStr"/>
      <c r="M1383" t="inlineStr"/>
      <c r="N1383" t="inlineStr"/>
      <c r="O1383">
        <f>(1-Summary!$B$11)*T1383+Summary!$B$11*V1383</f>
        <v/>
      </c>
      <c r="P1383">
        <f>IF(B1400=0,0,O1383/B1400)</f>
        <v/>
      </c>
      <c r="Q1383" t="n">
        <v>0</v>
      </c>
      <c r="R1383" t="n">
        <v>0</v>
      </c>
      <c r="S1383">
        <f>IFERROR(O1383/N1383,0)</f>
        <v/>
      </c>
      <c r="T1383" t="n">
        <v>0</v>
      </c>
      <c r="V1383" t="n">
        <v>0</v>
      </c>
    </row>
    <row r="1384">
      <c r="A1384">
        <f>Skills!A25</f>
        <v/>
      </c>
      <c r="B1384">
        <f>Skills!B25</f>
        <v/>
      </c>
      <c r="C1384">
        <f>Inputs!$B$3&gt;=72</f>
        <v/>
      </c>
      <c r="D1384">
        <f>IF(Skills!C25=1,60+Inputs!$B$25+Inputs!$B$29,IF(Skills!C25=2,90+Inputs!$B$26+Inputs!$B$29,IF(Skills!C25=3,120+Inputs!$B$27+Inputs!$B$29,MAX(0,(Inputs!$B$3-100)*3)+Inputs!$B$28+Inputs!$B$29)))</f>
        <v/>
      </c>
      <c r="E1384">
        <f>INDEX(FactorTable!$B$2:$Y$301, MATCH(ROUND(MIN(300,MAX(1,D1384)),0), FactorTable!$A$2:$A$301,0), Skills!M25+1)</f>
        <v/>
      </c>
      <c r="F1384">
        <f>IF(Skills!N25=TRUE,(Skills!L25/10)*(E1384/1000),Skills!L25/10)+Skills!O25</f>
        <v/>
      </c>
      <c r="G1384">
        <f>Skills!G25*IF(Skills!H25&gt;0,INT(IF(Inputs!$B$38="pvp",MIN(Skills!I25,15),Skills!I25)/Skills!H25+0.000000001),1)</f>
        <v/>
      </c>
      <c r="H1384">
        <f>1-(1-Skills!J25/100)^Skills!K25</f>
        <v/>
      </c>
      <c r="I1384" t="inlineStr">
        <is>
          <t>1</t>
        </is>
      </c>
      <c r="J1384" t="inlineStr"/>
      <c r="K1384" t="inlineStr"/>
      <c r="L1384" t="inlineStr"/>
      <c r="M1384" t="inlineStr"/>
      <c r="N1384" t="inlineStr"/>
      <c r="O1384">
        <f>(1-Summary!$B$11)*T1384+Summary!$B$11*V1384</f>
        <v/>
      </c>
      <c r="P1384">
        <f>IF(B1400=0,0,O1384/B1400)</f>
        <v/>
      </c>
      <c r="Q1384" t="n">
        <v>0</v>
      </c>
      <c r="R1384" t="n">
        <v>0</v>
      </c>
      <c r="S1384">
        <f>IFERROR(O1384/N1384,0)</f>
        <v/>
      </c>
      <c r="T1384" t="n">
        <v>0</v>
      </c>
      <c r="V1384" t="n">
        <v>0</v>
      </c>
    </row>
    <row r="1385">
      <c r="A1385">
        <f>Skills!A26</f>
        <v/>
      </c>
      <c r="B1385">
        <f>Skills!B26</f>
        <v/>
      </c>
      <c r="C1385">
        <f>Inputs!$B$3&gt;=75</f>
        <v/>
      </c>
      <c r="D1385">
        <f>IF(Skills!C26=1,60+Inputs!$B$25+Inputs!$B$29,IF(Skills!C26=2,90+Inputs!$B$26+Inputs!$B$29,IF(Skills!C26=3,120+Inputs!$B$27+Inputs!$B$29,MAX(0,(Inputs!$B$3-100)*3)+Inputs!$B$28+Inputs!$B$29)))</f>
        <v/>
      </c>
      <c r="E1385">
        <f>INDEX(FactorTable!$B$2:$Y$301, MATCH(ROUND(MIN(300,MAX(1,D1385)),0), FactorTable!$A$2:$A$301,0), Skills!M26+1)</f>
        <v/>
      </c>
      <c r="F1385">
        <f>IF(Skills!N26=TRUE,(Skills!L26/10)*(E1385/1000),Skills!L26/10)+Skills!O26</f>
        <v/>
      </c>
      <c r="G1385">
        <f>Skills!G26*IF(Skills!H26&gt;0,INT(IF(Inputs!$B$38="pvp",MIN(Skills!I26,15),Skills!I26)/Skills!H26+0.000000001),1)</f>
        <v/>
      </c>
      <c r="H1385">
        <f>1-(1-Skills!J26/100)^Skills!K26</f>
        <v/>
      </c>
      <c r="I1385" t="inlineStr">
        <is>
          <t>1</t>
        </is>
      </c>
      <c r="J1385" t="inlineStr"/>
      <c r="K1385" t="inlineStr"/>
      <c r="L1385" t="inlineStr"/>
      <c r="M1385" t="inlineStr"/>
      <c r="N1385" t="inlineStr"/>
      <c r="O1385">
        <f>(1-Summary!$B$11)*T1385+Summary!$B$11*V1385</f>
        <v/>
      </c>
      <c r="P1385">
        <f>IF(B1400=0,0,O1385/B1400)</f>
        <v/>
      </c>
      <c r="Q1385" t="n">
        <v>0</v>
      </c>
      <c r="R1385" t="n">
        <v>0</v>
      </c>
      <c r="S1385">
        <f>IFERROR(O1385/N1385,0)</f>
        <v/>
      </c>
      <c r="T1385" t="n">
        <v>0</v>
      </c>
      <c r="V1385" t="n">
        <v>0</v>
      </c>
    </row>
    <row r="1386">
      <c r="A1386">
        <f>Skills!A27</f>
        <v/>
      </c>
      <c r="B1386">
        <f>Skills!B27</f>
        <v/>
      </c>
      <c r="C1386">
        <f>Inputs!$B$3&gt;=125</f>
        <v/>
      </c>
      <c r="D1386">
        <f>IF(Skills!C27=1,60+Inputs!$B$25+Inputs!$B$29,IF(Skills!C27=2,90+Inputs!$B$26+Inputs!$B$29,IF(Skills!C27=3,120+Inputs!$B$27+Inputs!$B$29,MAX(0,(Inputs!$B$3-100)*3)+Inputs!$B$28+Inputs!$B$29)))</f>
        <v/>
      </c>
      <c r="E1386">
        <f>INDEX(FactorTable!$B$2:$Y$301, MATCH(ROUND(MIN(300,MAX(1,D1386)),0), FactorTable!$A$2:$A$301,0), Skills!M27+1)</f>
        <v/>
      </c>
      <c r="F1386">
        <f>IF(Skills!N27=TRUE,(Skills!L27/10)*(E1386/1000),Skills!L27/10)+Skills!O27</f>
        <v/>
      </c>
      <c r="G1386">
        <f>Skills!G27*IF(Skills!H27&gt;0,INT(IF(Inputs!$B$38="pvp",MIN(Skills!I27,15),Skills!I27)/Skills!H27+0.000000001),1)</f>
        <v/>
      </c>
      <c r="H1386">
        <f>1-(1-Skills!J27/100)^Skills!K27</f>
        <v/>
      </c>
      <c r="I1386" t="inlineStr">
        <is>
          <t>1</t>
        </is>
      </c>
      <c r="J1386" t="inlineStr"/>
      <c r="K1386" t="inlineStr"/>
      <c r="L1386" t="inlineStr"/>
      <c r="M1386" t="inlineStr"/>
      <c r="N1386" t="inlineStr"/>
      <c r="O1386">
        <f>(1-Summary!$B$11)*T1386+Summary!$B$11*V1386</f>
        <v/>
      </c>
      <c r="P1386">
        <f>IF(B1400=0,0,O1386/B1400)</f>
        <v/>
      </c>
      <c r="Q1386" t="n">
        <v>0</v>
      </c>
      <c r="R1386" t="n">
        <v>0</v>
      </c>
      <c r="S1386">
        <f>IFERROR(O1386/N1386,0)</f>
        <v/>
      </c>
      <c r="T1386" t="n">
        <v>0</v>
      </c>
      <c r="V1386" t="n">
        <v>0</v>
      </c>
    </row>
    <row r="1387">
      <c r="A1387">
        <f>Skills!A28</f>
        <v/>
      </c>
      <c r="B1387">
        <f>Skills!B28</f>
        <v/>
      </c>
      <c r="C1387">
        <f>TRUE</f>
        <v/>
      </c>
      <c r="D1387">
        <f>IF(Skills!C28=1,60+Inputs!$B$25+Inputs!$B$29,IF(Skills!C28=2,90+Inputs!$B$26+Inputs!$B$29,IF(Skills!C28=3,120+Inputs!$B$27+Inputs!$B$29,MAX(0,(Inputs!$B$3-100)*3)+Inputs!$B$28+Inputs!$B$29)))</f>
        <v/>
      </c>
      <c r="E1387">
        <f>INDEX(FactorTable!$B$2:$Y$301, MATCH(ROUND(MIN(300,MAX(1,D1387)),0), FactorTable!$A$2:$A$301,0), Skills!M28+1)</f>
        <v/>
      </c>
      <c r="F1387">
        <f>IF(Skills!N28=TRUE,(Skills!L28/10)*(E1387/1000),Skills!L28/10)+Skills!O28</f>
        <v/>
      </c>
      <c r="G1387">
        <f>Skills!G28*IF(Skills!H28&gt;0,INT(IF(Inputs!$B$38="pvp",MIN(Skills!I28,15),Skills!I28)/Skills!H28+0.000000001),1)</f>
        <v/>
      </c>
      <c r="H1387">
        <f>1-(1-Skills!J28/100)^Skills!K28</f>
        <v/>
      </c>
      <c r="I1387" t="inlineStr">
        <is>
          <t>1</t>
        </is>
      </c>
      <c r="J1387" t="inlineStr"/>
      <c r="K1387" t="inlineStr"/>
      <c r="L1387" t="inlineStr"/>
      <c r="M1387" t="inlineStr"/>
      <c r="N1387" t="inlineStr"/>
      <c r="O1387">
        <f>(1-Summary!$B$11)*T1387+Summary!$B$11*V1387</f>
        <v/>
      </c>
      <c r="P1387">
        <f>IF(B1400=0,0,O1387/B1400)</f>
        <v/>
      </c>
      <c r="Q1387">
        <f>IFERROR(1/(IF(Inputs!$B$38="pvp",15,MAX(0.1,Skills!D28-IF(TRUE=TRUE,Inputs!$B$32,0)))*(1-IF(AND(ArtifactsInput!$M$27,Inputs!$B$4="Chapter Hunt"),CHOOSE(ArtifactsInput!$N$27+1,20,24,28,32,36,40),0)/100)),0)</f>
        <v/>
      </c>
      <c r="R1387">
        <f>IF(AND(Inputs!$B$38&lt;&gt;"pvp",Inputs!$B$43&gt;0),IF(Inputs!$B$43&lt;=0,0,(INT(Inputs!$B$43/(IF(Inputs!$B$38="pvp",15,MAX(0.1,Skills!D28-IF(TRUE=TRUE,Inputs!$B$32,0)))*(1-IF(AND(ArtifactsInput!$M$27,Inputs!$B$4="Chapter Hunt"),CHOOSE(ArtifactsInput!$N$27+1,20,24,28,32,36,40),0)/100)))+1)),0)</f>
        <v/>
      </c>
      <c r="S1387">
        <f>IFERROR(O1387/N1387,0)</f>
        <v/>
      </c>
      <c r="T1387" t="n">
        <v>0</v>
      </c>
      <c r="V1387" t="n">
        <v>0</v>
      </c>
    </row>
    <row r="1389">
      <c r="A1389" t="inlineStr">
        <is>
          <t>Attack% Bucket Multiplier</t>
        </is>
      </c>
      <c r="B1389">
        <f>(1+(((C1376=TRUE)*F1376*5/7)+((C1383=TRUE)*(F1383-Calc!F24))+(IF(ArtifactsInput!$M$21,CHOOSE(ArtifactsInput!$N$21+1,25,30,35,40,45,50)*(IF(OR(Inputs!$B$4="Chapter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390">
      <c r="A1390" t="inlineStr">
        <is>
          <t>Global Crit Rate Bonus %</t>
        </is>
      </c>
      <c r="B1390" t="n">
        <v>0</v>
      </c>
    </row>
    <row r="1391">
      <c r="A1391" t="inlineStr">
        <is>
          <t>Attack Speed Buff Bonus % (Nimble Feet, duty-cycle averaged)</t>
        </is>
      </c>
      <c r="B1391">
        <f>((C1387=TRUE)*F1387*IF(AND(Inputs!$B$38&lt;&gt;"pvp",Inputs!$B$43&gt;0),(((R1387-1)*MIN((Skills!T28*(1+Inputs!$B$34/100)),(1/Q1387))+MIN((Skills!T28*(1+Inputs!$B$34/100)),MAX(0,Inputs!$B$43-((R1387-1)*(1/Q1387)))))/Inputs!$B$43),IF(Inputs!$B$38="pvp",MIN((Skills!T28*(1+Inputs!$B$34/100)),15)/15,MIN(1,(Skills!T28*(1+Inputs!$B$34/100))/(1/Q1387)))))</f>
        <v/>
      </c>
    </row>
    <row r="1392">
      <c r="A1392" t="inlineStr">
        <is>
          <t>Actions Per Second</t>
        </is>
      </c>
      <c r="B1392">
        <f>1+MIN(150,150*(1-(1-(Inputs!$B$11+((C1379=TRUE)*(F1379-Calc!F20))+((C1380=TRUE)*(F1380-Calc!F21)))/150)*(1-B1391/150)))/100</f>
        <v/>
      </c>
    </row>
    <row r="1393">
      <c r="A1393" t="inlineStr">
        <is>
          <t>Skill + Buff Cast Rate</t>
        </is>
      </c>
      <c r="B1393">
        <f>IF(AND(Inputs!$B$38&lt;&gt;"pvp",Inputs!$B$43&gt;0),SUMPRODUCT((Skills!E2:E28=TRUE)*(C1361:C1387=TRUE)*R1361:R1387*Skills!F2:F28)/Inputs!$B$43,SUMPRODUCT((Skills!E2:E28=TRUE)*(C1361:C1387=TRUE)*Q1361:Q1387*Skills!F2:F28))</f>
        <v/>
      </c>
    </row>
    <row r="1394">
      <c r="A1394" t="inlineStr">
        <is>
          <t>Eight-Legs Easton Casts Per Second</t>
        </is>
      </c>
      <c r="B1394">
        <f>MAX(0,B1392-B1393)</f>
        <v/>
      </c>
    </row>
    <row r="1395">
      <c r="A1395" t="inlineStr">
        <is>
          <t>Global Critical Damage Bonus % (unused)</t>
        </is>
      </c>
      <c r="B1395" t="n">
        <v>0</v>
      </c>
    </row>
    <row r="1396">
      <c r="A1396" t="inlineStr">
        <is>
          <t>Global Final Damage Bonus % (Jolly Roger + Ahoy Mateys - Final Damage proc)</t>
        </is>
      </c>
      <c r="B1396">
        <f>((C1377=TRUE)*F1377*IF(AND(Inputs!$B$38&lt;&gt;"pvp",Inputs!$B$43&gt;0),(((R1377-1)*MIN((Skills!T18*(1+Inputs!$B$34/100)),(1/Q1377))+MIN((Skills!T18*(1+Inputs!$B$34/100)),MAX(0,Inputs!$B$43-((R1377-1)*(1/Q1377)))))/Inputs!$B$43),IF(Inputs!$B$38="pvp",MIN((Skills!T18*(1+Inputs!$B$34/100)),15)/15,MIN(1,(Skills!T18*(1+Inputs!$B$34/100))/(1/Q1377)))))+IF(Inputs!$B$3&gt;=122,20*IF(Inputs!$B$38="pvp",MIN((20*(1+Inputs!$B$34/100)),15)/15,MIN(1,(20*(1+Inputs!$B$34/100))/(1/Q1363))),0)</f>
        <v/>
      </c>
    </row>
    <row r="1397">
      <c r="A1397" t="inlineStr">
        <is>
          <t>Buff-Casting Startup Delay (s, fixed-duration only)</t>
        </is>
      </c>
      <c r="B1397">
        <f>IF(AND(Inputs!$B$38&lt;&gt;"pvp",Inputs!$B$43&gt;0),SUMPRODUCT((Skills!T2:T28&gt;0)*(Skills!E2:E28=TRUE)*(C1361:C1387=TRUE))/B1392,0)</f>
        <v/>
      </c>
    </row>
    <row r="1398">
      <c r="A1398" t="inlineStr">
        <is>
          <t>Boss-Only Total DPS (this block's swept value)</t>
        </is>
      </c>
      <c r="B1398">
        <f>SUM(T1361:T1387)</f>
        <v/>
      </c>
    </row>
    <row r="1399">
      <c r="A1399" t="inlineStr">
        <is>
          <t>Normal-Only Total DPS (this block's swept value)</t>
        </is>
      </c>
      <c r="B1399">
        <f>SUM(V1361:V1387)</f>
        <v/>
      </c>
    </row>
    <row r="1400">
      <c r="A1400" s="6" t="inlineStr">
        <is>
          <t>TOTAL DPS</t>
        </is>
      </c>
      <c r="B1400" s="6">
        <f>SUM(O1361:O1387)</f>
        <v/>
      </c>
    </row>
    <row r="1401">
      <c r="A1401" t="inlineStr">
        <is>
          <t>Quickdraw cooldown divisor (this block's own APS / Q)</t>
        </is>
      </c>
      <c r="B1401">
        <f>IF(AND(C1386=TRUE,Inputs!$B$38&lt;&gt;"pvp"),1+0.25*MAX(0,(B1392-(((C1362=TRUE)*Q1362*1)+((C1363=TRUE)*Q1363*1)+((C1365=TRUE)*Q1365*1)+((C1366=TRUE)*Q1366*1)+((C1368=TRUE)*Q1368*1)+((C1371=TRUE)*Q1371*1)+((C1377=TRUE)*Q1377*1)+((C1387=TRUE)*Q1387*1))-((C1367=TRUE)/(IF(Inputs!$B$38="pvp",15,MAX(0.1,Skills!D8-IF(TRUE=TRUE,Inputs!$B$32,0)))*(1-IF(AND(ArtifactsInput!$M$27,Inputs!$B$4="Chapter Hunt"),CHOOSE(ArtifactsInput!$N$27+1,20,24,28,32,36,40),0)/100))+(C1370=TRUE)/(IF(Inputs!$B$38="pvp",15,MAX(0.1,Skills!D11-IF(TRUE=TRUE,Inputs!$B$32,0)))*(1-IF(AND(ArtifactsInput!$M$27,Inputs!$B$4="Chapter Hunt"),CHOOSE(ArtifactsInput!$N$27+1,20,24,28,32,36,40),0)/100))))/(1+0.25*((C1367=TRUE)/(IF(Inputs!$B$38="pvp",15,MAX(0.1,Skills!D8-IF(TRUE=TRUE,Inputs!$B$32,0)))*(1-IF(AND(ArtifactsInput!$M$27,Inputs!$B$4="Chapter Hunt"),CHOOSE(ArtifactsInput!$N$27+1,20,24,28,32,36,40),0)/100))+(C1370=TRUE)/(IF(Inputs!$B$38="pvp",15,MAX(0.1,Skills!D11-IF(TRUE=TRUE,Inputs!$B$32,0)))*(1-IF(AND(ArtifactsInput!$M$27,Inputs!$B$4="Chapter Hunt"),CHOOSE(ArtifactsInput!$N$27+1,20,24,28,32,36,40),0)/100))))),1)</f>
        <v/>
      </c>
    </row>
    <row r="1402">
      <c r="A1402" t="inlineStr">
        <is>
          <t>Nautilus Strike - Final Attack trigger rate (this block's own Q/R)</t>
        </is>
      </c>
      <c r="B1402">
        <f>IF(AND(Inputs!$B$38&lt;&gt;"pvp",Inputs!$B$43&gt;0),(((C1362=TRUE)*R1362)+((C1365=TRUE)*R1365)+((C1367=TRUE)*R1367)+((C1368=TRUE)*R1368)+((C1370=TRUE)*R1370))/Inputs!$B$43,((C1362=TRUE)*Q1362)+((C1365=TRUE)*Q1365)+((C1367=TRUE)*Q1367)+((C1368=TRUE)*Q1368)+((C1370=TRUE)*Q1370))+B1394</f>
        <v/>
      </c>
    </row>
    <row r="1405">
      <c r="A1405" s="6" t="inlineStr">
        <is>
          <t>Stat: The Contract of Darkness (Equip)</t>
        </is>
      </c>
    </row>
    <row r="1406">
      <c r="A1406" s="5" t="inlineStr">
        <is>
          <t>Key</t>
        </is>
      </c>
      <c r="B1406" s="5" t="inlineStr">
        <is>
          <t>Name</t>
        </is>
      </c>
      <c r="C1406" s="5" t="inlineStr">
        <is>
          <t>Unlocked</t>
        </is>
      </c>
      <c r="D1406" s="5" t="inlineStr">
        <is>
          <t>InputLevel</t>
        </is>
      </c>
      <c r="E1406" s="5" t="inlineStr">
        <is>
          <t>Factor</t>
        </is>
      </c>
      <c r="F1406" s="5" t="inlineStr">
        <is>
          <t>CoefficientPercent</t>
        </is>
      </c>
      <c r="G1406" s="5" t="inlineStr">
        <is>
          <t>EffectiveHits</t>
        </is>
      </c>
      <c r="H1406" s="5" t="inlineStr">
        <is>
          <t>ProcProbability</t>
        </is>
      </c>
      <c r="I1406" s="5" t="inlineStr">
        <is>
          <t>MapleHeroMultiplier</t>
        </is>
      </c>
      <c r="J1406" s="5" t="inlineStr">
        <is>
          <t>BaseDamage</t>
        </is>
      </c>
      <c r="K1406" s="5" t="inlineStr">
        <is>
          <t>BaseHitDamage</t>
        </is>
      </c>
      <c r="L1406" s="5" t="inlineStr">
        <is>
          <t>NonCritAvg</t>
        </is>
      </c>
      <c r="M1406" s="5" t="inlineStr">
        <is>
          <t>CritAvg</t>
        </is>
      </c>
      <c r="N1406" s="5" t="inlineStr">
        <is>
          <t>ExpectedDamage(perHit)</t>
        </is>
      </c>
      <c r="O1406" s="5" t="inlineStr">
        <is>
          <t>DPS</t>
        </is>
      </c>
      <c r="P1406" s="5" t="inlineStr">
        <is>
          <t>% of Total</t>
        </is>
      </c>
      <c r="Q1406" s="5" t="inlineStr">
        <is>
          <t>InvCooldown</t>
        </is>
      </c>
      <c r="R1406" s="5" t="inlineStr">
        <is>
          <t>CastsInFight</t>
        </is>
      </c>
      <c r="S1406" s="5" t="inlineStr">
        <is>
          <t>HitRate(perSec)</t>
        </is>
      </c>
      <c r="U1406" t="inlineStr">
        <is>
          <t>helpers</t>
        </is>
      </c>
    </row>
    <row r="1407">
      <c r="A1407">
        <f>Skills!A2</f>
        <v/>
      </c>
      <c r="B1407">
        <f>Skills!B2</f>
        <v/>
      </c>
      <c r="C1407">
        <f>Inputs!$B$3&gt;=100</f>
        <v/>
      </c>
      <c r="D1407" t="inlineStr"/>
      <c r="E1407" t="inlineStr"/>
      <c r="F1407">
        <f>U1409+Skills!O2</f>
        <v/>
      </c>
      <c r="G1407">
        <f>Skills!G2*IF(Skills!H2&gt;0,INT(IF(Inputs!$B$38="pvp",MIN(Skills!I2,15),Skills!I2)/Skills!H2+0.000000001),1)</f>
        <v/>
      </c>
      <c r="H1407">
        <f>1-(1-Skills!J2/100)^Skills!K2</f>
        <v/>
      </c>
      <c r="I1407" t="inlineStr">
        <is>
          <t>1</t>
        </is>
      </c>
      <c r="J1407">
        <f>((Inputs!$B$6*(1+Inputs!$B$7/100))+(((Inputs!$B$12*(1+Inputs!$B$13/100))-(Inputs!$B$12*(1+Inputs!$B$13/100)))+0.25*(Inputs!$B$14-Inputs!$B$14))*(1+Inputs!$B$7/100))*(F1407/100)</f>
        <v/>
      </c>
      <c r="K1407">
        <f>J1407*(1+((Inputs!$B$12*(1+Inputs!$B$13/100))*0.01+Inputs!$B$14*0.0025)/100)*(1+Inputs!$B$15/100)*(1+Inputs!$B$16/100)*(5000/(6000+Inputs!$B$42*(1-(100*(1-(1-(Inputs!$B$19+0)/100)*(1-CHOOSE(ArtifactsInput!$N$40+1,5,6,7,8,9,10)/100)^(ArtifactsInput!$M$40-ArtifactsInput!$M$40)))/100)))*(1+(Inputs!$B$24+((C1431=TRUE)*(F1431-Calc!F26))+B1442)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IGHT_LEGS_EASTON",Inputs!$B$17+((C1428=TRUE)*(F1428-Calc!F23))+((C1432=TRUE)*(F1432-Calc!F27))+((IF(AND(Inputs!$B$38&lt;&gt;"pvp",Inputs!$B$43=0),1,IF(IF(Inputs!$B$38="pvp",15,Inputs!$B$43)-(B1443)&lt;=0,1,MAX(0,IF(Inputs!$B$38="pvp",15,Inputs!$B$43)-MAX(5,B1443))/(IF(Inputs!$B$38="pvp",15,Inputs!$B$43)-(B1443))))*(IF(AND(ArtifactsInput!$M$42,((Inputs!$B$9+((C1424=TRUE)*(F1424-Calc!F19))+B1436+(ArtifactsInput!$M$24-ArtifactsInput!$M$24)*CHOOSE(ArtifactsInput!$N$24+1,10,12,14,16,18,20)+IF(ArtifactsInput!$M$10,CHOOSE(ArtifactsInput!$N$10+1,15,18,21,24,27,30)*(IF(Inputs!$B$38="pvp",MIN(15,15)/15,IF(AND(Inputs!$B$38&lt;&gt;"pvp",Inputs!$B$43&gt;0),MIN(15,Inputs!$B$43)/(Inputs!$B$43),0))),0)))&gt;=100),MIN(100,((Inputs!$B$9+((C1424=TRUE)*(F1424-Calc!F19))+B1436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1443)&lt;=0,1,MAX(0,IF(Inputs!$B$38="pvp",15,Inputs!$B$43)-MAX(5,B1443))/(IF(Inputs!$B$38="pvp",15,Inputs!$B$43)-(B1443))))*IF(AND(ArtifactsInput!$M$42,((Inputs!$B$9+((C1424=TRUE)*(F1424-Calc!F19))+B1436+(ArtifactsInput!$M$24-ArtifactsInput!$M$24)*CHOOSE(ArtifactsInput!$N$24+1,10,12,14,16,18,20)+IF(ArtifactsInput!$M$10,CHOOSE(ArtifactsInput!$N$10+1,15,18,21,24,27,30)*(IF(Inputs!$B$38="pvp",MIN(15,15)/15,IF(AND(Inputs!$B$38&lt;&gt;"pvp",Inputs!$B$43&gt;0),MIN(15,Inputs!$B$43)/(Inputs!$B$43),0))),0)))&gt;=100),CHOOSE(ArtifactsInput!$N$42+1,40,48,56,64,72,80),0))))/100)*((1+(((C1422=TRUE)*F1422*5/7)+((C1429=TRUE)*(F1429-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1407)</f>
        <v/>
      </c>
      <c r="L1407">
        <f>K1407*(MIN(Inputs!$B$22+((C1427=TRUE)*(F1427-Calc!F22)),(Inputs!$B$23+0+(IF(ArtifactsInput!$M$15,CHOOSE(ArtifactsInput!$N$15+1,25,30,35,40,45,50)/100*(Inputs!$B$11-Inputs!$B$11),0))))/100+(Inputs!$B$23+0+(IF(ArtifactsInput!$M$15,CHOOSE(ArtifactsInput!$N$15+1,25,30,35,40,45,50)/100*(Inputs!$B$11-Inputs!$B$11),0)))/100)/2</f>
        <v/>
      </c>
      <c r="M1407">
        <f>L1407*(1+(Inputs!$B$10+((C1430=TRUE)*(F1430-Calc!F25))+B1441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07">
        <f>L1407*(1-MIN((Inputs!$B$9+((C1424=TRUE)*(F1424-Calc!F19))+B1436+(ArtifactsInput!$M$24-ArtifactsInput!$M$24)*CHOOSE(ArtifactsInput!$N$24+1,10,12,14,16,18,20)+(IF(AND(Inputs!$B$38&lt;&gt;"pvp",Inputs!$B$43=0),1,IF(IF(Inputs!$B$38="pvp",15,Inputs!$B$43)-(B1443)&lt;=0,1,MAX(0,IF(Inputs!$B$38="pvp",15,Inputs!$B$43)-MAX(5,B1443))/(IF(Inputs!$B$38="pvp",15,Inputs!$B$43)-(B1443))))*IF(AND(ArtifactsInput!$M$42,((Inputs!$B$9+((C1424=TRUE)*(F1424-Calc!F19))+B1436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1407*(MIN((Inputs!$B$9+((C1424=TRUE)*(F1424-Calc!F19))+B1436+(ArtifactsInput!$M$24-ArtifactsInput!$M$24)*CHOOSE(ArtifactsInput!$N$24+1,10,12,14,16,18,20)+(IF(AND(Inputs!$B$38&lt;&gt;"pvp",Inputs!$B$43=0),1,IF(IF(Inputs!$B$38="pvp",15,Inputs!$B$43)-(B1443)&lt;=0,1,MAX(0,IF(Inputs!$B$38="pvp",15,Inputs!$B$43)-MAX(5,B1443))/(IF(Inputs!$B$38="pvp",15,Inputs!$B$43)-(B1443))))*IF(AND(ArtifactsInput!$M$42,((Inputs!$B$9+((C1424=TRUE)*(F1424-Calc!F19))+B1436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07">
        <f>(1-Summary!$B$11)*T1407+Summary!$B$11*V1407</f>
        <v/>
      </c>
      <c r="P1407">
        <f>IF(B1446=0,0,O1407/B1446)</f>
        <v/>
      </c>
      <c r="Q1407" t="n">
        <v>0</v>
      </c>
      <c r="R1407" t="n">
        <v>0</v>
      </c>
      <c r="S1407">
        <f>IFERROR(O1407/N1407,0)</f>
        <v/>
      </c>
      <c r="T1407">
        <f>IF(C1407,(Skills!G2*N1407*B1440*(1+IF(C1432=TRUE,1/3,0)))*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Hunt"),CHOOSE(ArtifactsInput!$N$35+1,15,18,21,24,27,30)*(1-EXP(-(0.2*B1438)*5)),0)+IF(AND(ArtifactsInput!$M$22,Inputs!$B$4&lt;&gt;"Chapter Hunt"),CHOOSE(ArtifactsInput!$N$22+1,10,12,14,16,18,20)*((0*(((0.15*B1438*5))^0/1)+1*(((0.15*B1438*5))^1/1)+2*(((0.15*B1438*5))^2/2)+3*(((0.15*B1438*5))^3/6)+4*(((0.15*B1438*5))^4/24)+5*(((0.15*B1438*5))^5/120))/((((0.15*B1438*5))^0/1)+(((0.15*B1438*5))^1/1)+(((0.15*B1438*5))^2/2)+(((0.15*B1438*5))^3/6)+(((0.15*B1438*5))^4/24)+(((0.15*B1438*5))^5/120))),0))+IF(Inputs!$B$3&gt;=54,9*(C1408=TRUE)*MIN(1,8*(1+Inputs!$B$34/100)*Q1408)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1407*(1-MIN(100,(Inputs!$B$9+((C1424=TRUE)*(F1424-Calc!F19))+B1436+(ArtifactsInput!$M$24-ArtifactsInput!$M$24)*CHOOSE(ArtifactsInput!$N$24+1,10,12,14,16,18,20)+(IF(AND(Inputs!$B$38&lt;&gt;"pvp",Inputs!$B$43=0),1,IF(IF(Inputs!$B$38="pvp",15,Inputs!$B$43)-(B1443)&lt;=0,1,MAX(0,IF(Inputs!$B$38="pvp",15,Inputs!$B$43)-MAX(5,B1443))/(IF(Inputs!$B$38="pvp",15,Inputs!$B$43)-(B1443))))*IF(AND(ArtifactsInput!$M$42,((Inputs!$B$9+((C1424=TRUE)*(F1424-Calc!F19))+B1436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M1407*(MIN(100,(Inputs!$B$9+((C1424=TRUE)*(F1424-Calc!F19))+B1436+(ArtifactsInput!$M$24-ArtifactsInput!$M$24)*CHOOSE(ArtifactsInput!$N$24+1,10,12,14,16,18,20)+(IF(AND(Inputs!$B$38&lt;&gt;"pvp",Inputs!$B$43=0),1,IF(IF(Inputs!$B$38="pvp",15,Inputs!$B$43)-(B1443)&lt;=0,1,MAX(0,IF(Inputs!$B$38="pvp",15,Inputs!$B$43)-MAX(5,B1443))/(IF(Inputs!$B$38="pvp",15,Inputs!$B$43)-(B1443))))*IF(AND(ArtifactsInput!$M$42,((Inputs!$B$9+((C1424=TRUE)*(F1424-Calc!F19))+B1436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L1407*(1-MIN(100,(Inputs!$B$9+((C1424=TRUE)*(F1424-Calc!F19))+B1436+(ArtifactsInput!$M$24-ArtifactsInput!$M$24)*CHOOSE(ArtifactsInput!$N$24+1,10,12,14,16,18,20)+(IF(AND(Inputs!$B$38&lt;&gt;"pvp",Inputs!$B$43=0),1,IF(IF(Inputs!$B$38="pvp",15,Inputs!$B$43)-(B1443)&lt;=0,1,MAX(0,IF(Inputs!$B$38="pvp",15,Inputs!$B$43)-MAX(5,B1443))/(IF(Inputs!$B$38="pvp",15,Inputs!$B$43)-(B1443))))*IF(AND(ArtifactsInput!$M$42,((Inputs!$B$9+((C1424=TRUE)*(F1424-Calc!F19))+B1436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1407*(MIN(100,(Inputs!$B$9+((C1424=TRUE)*(F1424-Calc!F19))+B1436+(ArtifactsInput!$M$24-ArtifactsInput!$M$24)*CHOOSE(ArtifactsInput!$N$24+1,10,12,14,16,18,20)+(IF(AND(Inputs!$B$38&lt;&gt;"pvp",Inputs!$B$43=0),1,IF(IF(Inputs!$B$38="pvp",15,Inputs!$B$43)-(B1443)&lt;=0,1,MAX(0,IF(Inputs!$B$38="pvp",15,Inputs!$B$43)-MAX(5,B1443))/(IF(Inputs!$B$38="pvp",15,Inputs!$B$43)-(B1443))))*IF(AND(ArtifactsInput!$M$42,((Inputs!$B$9+((C1424=TRUE)*(F1424-Calc!F19))+B1436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407">
        <f>MAX(0,(Inputs!$B$3-100)*3)+Inputs!$B$28+Inputs!$B$29</f>
        <v/>
      </c>
      <c r="V1407">
        <f>IF(C1407,(Skills!G2*N1407*B1440*(1+IF(C1432=TRUE,1/3,0)))*IF(Inputs!$B$38="pvp",1,(1+(Inputs!$B$21+Skills!Q2+(IF(ArtifactsInput!$M$33,CHOOSE(ArtifactsInput!$N$33+1,30,36,42,48,54,60),0))+(IF(AND(ArtifactsInput!$M$35,Inputs!$B$4&lt;&gt;"Chapter Hunt"),CHOOSE(ArtifactsInput!$N$35+1,15,18,21,24,27,30)*(1-EXP(-(0.2*B1438)*5)),0)+IF(AND(ArtifactsInput!$M$22,Inputs!$B$4&lt;&gt;"Chapter Hunt"),CHOOSE(ArtifactsInput!$N$22+1,10,12,14,16,18,20)*((0*(((0.15*B1438*5))^0/1)+1*(((0.15*B1438*5))^1/1)+2*(((0.15*B1438*5))^2/2)+3*(((0.15*B1438*5))^3/6)+4*(((0.15*B1438*5))^4/24)+5*(((0.15*B1438*5))^5/120))/((((0.15*B1438*5))^0/1)+(((0.15*B1438*5))^1/1)+(((0.15*B1438*5))^2/2)+(((0.15*B1438*5))^3/6)+(((0.15*B1438*5))^4/24)+(((0.15*B1438*5))^5/120))),0))+IF(Inputs!$B$3&gt;=54,9*(C1408=TRUE)*MIN(1,8*(1+Inputs!$B$34/100)*Q1408),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08">
      <c r="A1408">
        <f>Skills!A3</f>
        <v/>
      </c>
      <c r="B1408">
        <f>Skills!B3</f>
        <v/>
      </c>
      <c r="C1408">
        <f>Inputs!$B$3&gt;=33</f>
        <v/>
      </c>
      <c r="D1408">
        <f>IF(Skills!C3=1,60+Inputs!$B$25+Inputs!$B$29,IF(Skills!C3=2,90+Inputs!$B$26+Inputs!$B$29,IF(Skills!C3=3,120+Inputs!$B$27+Inputs!$B$29,MAX(0,(Inputs!$B$3-100)*3)+Inputs!$B$28+Inputs!$B$29)))</f>
        <v/>
      </c>
      <c r="E1408">
        <f>INDEX(FactorTable!$B$2:$Y$301, MATCH(ROUND(MIN(300,MAX(1,D1408)),0), FactorTable!$A$2:$A$301,0), Skills!M3+1)</f>
        <v/>
      </c>
      <c r="F1408">
        <f>IF(Skills!N3=TRUE,(Skills!L3/10)*(E1408/1000),Skills!L3/10)+Skills!O3</f>
        <v/>
      </c>
      <c r="G1408">
        <f>Skills!G3*IF(Skills!H3&gt;0,INT(IF(Inputs!$B$38="pvp",MIN(Skills!I3,15),Skills!I3)/Skills!H3+0.000000001),1)</f>
        <v/>
      </c>
      <c r="H1408">
        <f>1-(1-Skills!J3/100)^Skills!K3</f>
        <v/>
      </c>
      <c r="I1408" t="inlineStr">
        <is>
          <t>1</t>
        </is>
      </c>
      <c r="J1408">
        <f>((Inputs!$B$6*(1+Inputs!$B$7/100))+(((Inputs!$B$12*(1+Inputs!$B$13/100))-(Inputs!$B$12*(1+Inputs!$B$13/100)))+0.25*(Inputs!$B$14-Inputs!$B$14))*(1+Inputs!$B$7/100))*(F1408/100)</f>
        <v/>
      </c>
      <c r="K1408">
        <f>J1408*(1+((Inputs!$B$12*(1+Inputs!$B$13/100))*0.01+Inputs!$B$14*0.0025)/100)*(1+Inputs!$B$15/100)*(1+Inputs!$B$16/100)*(5000/(6000+Inputs!$B$42*(1-(100*(1-(1-(Inputs!$B$19+0)/100)*(1-CHOOSE(ArtifactsInput!$N$40+1,5,6,7,8,9,10)/100)^(ArtifactsInput!$M$40-ArtifactsInput!$M$40)))/100)))*(1+(Inputs!$B$24+((C1431=TRUE)*(F1431-Calc!F26))+B1442)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1420=TRUE,F1420,0)/100)*(1+(IF(Skills!A3="EIGHT_LEGS_EASTON",Inputs!$B$17+((C1428=TRUE)*(F1428-Calc!F23))+((C1432=TRUE)*(F1432-Calc!F27))+((IF(AND(Inputs!$B$38&lt;&gt;"pvp",Inputs!$B$43=0),1,IF(IF(Inputs!$B$38="pvp",15,Inputs!$B$43)-(B1443)&lt;=0,1,MAX(0,IF(Inputs!$B$38="pvp",15,Inputs!$B$43)-MAX(5,B1443))/(IF(Inputs!$B$38="pvp",15,Inputs!$B$43)-(B1443))))*(IF(AND(ArtifactsInput!$M$42,((Inputs!$B$9+((C1424=TRUE)*(F1424-Calc!F19))+B1436+(ArtifactsInput!$M$24-ArtifactsInput!$M$24)*CHOOSE(ArtifactsInput!$N$24+1,10,12,14,16,18,20)+IF(ArtifactsInput!$M$10,CHOOSE(ArtifactsInput!$N$10+1,15,18,21,24,27,30)*(IF(Inputs!$B$38="pvp",MIN(15,15)/15,IF(AND(Inputs!$B$38&lt;&gt;"pvp",Inputs!$B$43&gt;0),MIN(15,Inputs!$B$43)/(Inputs!$B$43),0))),0)))&gt;=100),MIN(100,((Inputs!$B$9+((C1424=TRUE)*(F1424-Calc!F19))+B1436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1443)&lt;=0,1,MAX(0,IF(Inputs!$B$38="pvp",15,Inputs!$B$43)-MAX(5,B1443))/(IF(Inputs!$B$38="pvp",15,Inputs!$B$43)-(B1443))))*IF(AND(ArtifactsInput!$M$42,((Inputs!$B$9+((C1424=TRUE)*(F1424-Calc!F19))+B1436+(ArtifactsInput!$M$24-ArtifactsInput!$M$24)*CHOOSE(ArtifactsInput!$N$24+1,10,12,14,16,18,20)+IF(ArtifactsInput!$M$10,CHOOSE(ArtifactsInput!$N$10+1,15,18,21,24,27,30)*(IF(Inputs!$B$38="pvp",MIN(15,15)/15,IF(AND(Inputs!$B$38&lt;&gt;"pvp",Inputs!$B$43&gt;0),MIN(15,Inputs!$B$43)/(Inputs!$B$43),0))),0)))&gt;=100),CHOOSE(ArtifactsInput!$N$42+1,40,48,56,64,72,80),0))))/100)*((1+(((C1422=TRUE)*F1422*5/7)+((C1429=TRUE)*(F1429-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1408)</f>
        <v/>
      </c>
      <c r="L1408">
        <f>K1408*(MIN(Inputs!$B$22+((C1427=TRUE)*(F1427-Calc!F22)),(Inputs!$B$23+0+(IF(ArtifactsInput!$M$15,CHOOSE(ArtifactsInput!$N$15+1,25,30,35,40,45,50)/100*(Inputs!$B$11-Inputs!$B$11),0))))/100+(Inputs!$B$23+0+(IF(ArtifactsInput!$M$15,CHOOSE(ArtifactsInput!$N$15+1,25,30,35,40,45,50)/100*(Inputs!$B$11-Inputs!$B$11),0)))/100)/2</f>
        <v/>
      </c>
      <c r="M1408">
        <f>L1408*(1+(Inputs!$B$10+((C1430=TRUE)*(F1430-Calc!F25))+B1441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08">
        <f>L1408*(1-MIN((Inputs!$B$9+((C1424=TRUE)*(F1424-Calc!F19))+B1436+(ArtifactsInput!$M$24-ArtifactsInput!$M$24)*CHOOSE(ArtifactsInput!$N$24+1,10,12,14,16,18,20)+(IF(AND(Inputs!$B$38&lt;&gt;"pvp",Inputs!$B$43=0),1,IF(IF(Inputs!$B$38="pvp",15,Inputs!$B$43)-(B1443)&lt;=0,1,MAX(0,IF(Inputs!$B$38="pvp",15,Inputs!$B$43)-MAX(5,B1443))/(IF(Inputs!$B$38="pvp",15,Inputs!$B$43)-(B1443))))*IF(AND(ArtifactsInput!$M$42,((Inputs!$B$9+((C1424=TRUE)*(F1424-Calc!F19))+B1436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1408*(MIN((Inputs!$B$9+((C1424=TRUE)*(F1424-Calc!F19))+B1436+(ArtifactsInput!$M$24-ArtifactsInput!$M$24)*CHOOSE(ArtifactsInput!$N$24+1,10,12,14,16,18,20)+(IF(AND(Inputs!$B$38&lt;&gt;"pvp",Inputs!$B$43=0),1,IF(IF(Inputs!$B$38="pvp",15,Inputs!$B$43)-(B1443)&lt;=0,1,MAX(0,IF(Inputs!$B$38="pvp",15,Inputs!$B$43)-MAX(5,B1443))/(IF(Inputs!$B$38="pvp",15,Inputs!$B$43)-(B1443))))*IF(AND(ArtifactsInput!$M$42,((Inputs!$B$9+((C1424=TRUE)*(F1424-Calc!F19))+B1436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08">
        <f>(1-Summary!$B$11)*T1408+Summary!$B$11*V1408</f>
        <v/>
      </c>
      <c r="P1408">
        <f>IF(B1446=0,0,O1408/B1446)</f>
        <v/>
      </c>
      <c r="Q1408">
        <f>IFERROR(1/(IF(Inputs!$B$38="pvp",15,MAX(0.1,Skills!D3-IF(TRUE=TRUE,Inputs!$B$32,0)))*(1-IF(AND(ArtifactsInput!$M$27,Inputs!$B$4="Chapter Hunt"),CHOOSE(ArtifactsInput!$N$27+1,20,24,28,32,36,40),0)/100)),0)</f>
        <v/>
      </c>
      <c r="R1408">
        <f>IF(AND(Inputs!$B$38&lt;&gt;"pvp",Inputs!$B$43&gt;0),IF(MAX(0,Inputs!$B$43-B1443)&lt;=0,0,(INT(MAX(0,Inputs!$B$43-B1443)/(IF(Inputs!$B$38="pvp",15,MAX(0.1,Skills!D3-IF(TRUE=TRUE,Inputs!$B$32,0)))*(1-IF(AND(ArtifactsInput!$M$27,Inputs!$B$4="Chapter Hunt"),CHOOSE(ArtifactsInput!$N$27+1,20,24,28,32,36,40),0)/100)))+1)),0)</f>
        <v/>
      </c>
      <c r="S1408">
        <f>IFERROR(O1408/N1408,0)</f>
        <v/>
      </c>
      <c r="T1408">
        <f>IF(C1408,(H1408*N1408*IF(AND(Inputs!$B$38&lt;&gt;"pvp",Inputs!$B$43&gt;0),((Skills!G3*((R1408-1)*IF(Skills!H3&gt;0,INT(Skills!I3/Skills!H3+0.000000001),1)+IF(Skills!H3&gt;0,INT(MIN(Skills!I3,MAX(0,MAX(0,Inputs!$B$43-B1443)-((R1408-1)*(IF(Inputs!$B$38="pvp",15,MAX(0.1,Skills!D3-IF(TRUE=TRUE,Inputs!$B$32,0)))*(1-IF(AND(ArtifactsInput!$M$27,Inputs!$B$4="Chapter Hunt"),CHOOSE(ArtifactsInput!$N$27+1,20,24,28,32,36,40),0)/100)))))/Skills!H3+0.000000001),1)))/Inputs!$B$43),G1408*Q1408))*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Hunt"),CHOOSE(ArtifactsInput!$N$35+1,15,18,21,24,27,30)*(1-EXP(-(0.2*B1438)*5)),0)+IF(AND(ArtifactsInput!$M$22,Inputs!$B$4&lt;&gt;"Chapter Hunt"),CHOOSE(ArtifactsInput!$N$22+1,10,12,14,16,18,20)*((0*(((0.15*B1438*5))^0/1)+1*(((0.15*B1438*5))^1/1)+2*(((0.15*B1438*5))^2/2)+3*(((0.15*B1438*5))^3/6)+4*(((0.15*B1438*5))^4/24)+5*(((0.15*B1438*5))^5/120))/((((0.15*B1438*5))^0/1)+(((0.15*B1438*5))^1/1)+(((0.15*B1438*5))^2/2)+(((0.15*B1438*5))^3/6)+(((0.15*B1438*5))^4/24)+(((0.15*B1438*5))^5/120))),0))+IF(Inputs!$B$3&gt;=54,9*(C1408=TRUE)*MIN(1,8*(1+Inputs!$B$34/100)*Q1408)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1408*(1-MIN(100,(Inputs!$B$9+((C1424=TRUE)*(F1424-Calc!F19))+B1436+(ArtifactsInput!$M$24-ArtifactsInput!$M$24)*CHOOSE(ArtifactsInput!$N$24+1,10,12,14,16,18,20)+(IF(AND(Inputs!$B$38&lt;&gt;"pvp",Inputs!$B$43=0),1,IF(IF(Inputs!$B$38="pvp",15,Inputs!$B$43)-(B1443)&lt;=0,1,MAX(0,IF(Inputs!$B$38="pvp",15,Inputs!$B$43)-MAX(5,B1443))/(IF(Inputs!$B$38="pvp",15,Inputs!$B$43)-(B1443))))*IF(AND(ArtifactsInput!$M$42,((Inputs!$B$9+((C1424=TRUE)*(F1424-Calc!F19))+B1436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M1408*(MIN(100,(Inputs!$B$9+((C1424=TRUE)*(F1424-Calc!F19))+B1436+(ArtifactsInput!$M$24-ArtifactsInput!$M$24)*CHOOSE(ArtifactsInput!$N$24+1,10,12,14,16,18,20)+(IF(AND(Inputs!$B$38&lt;&gt;"pvp",Inputs!$B$43=0),1,IF(IF(Inputs!$B$38="pvp",15,Inputs!$B$43)-(B1443)&lt;=0,1,MAX(0,IF(Inputs!$B$38="pvp",15,Inputs!$B$43)-MAX(5,B1443))/(IF(Inputs!$B$38="pvp",15,Inputs!$B$43)-(B1443))))*IF(AND(ArtifactsInput!$M$42,((Inputs!$B$9+((C1424=TRUE)*(F1424-Calc!F19))+B1436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L1408*(1-MIN(100,(Inputs!$B$9+((C1424=TRUE)*(F1424-Calc!F19))+B1436+(ArtifactsInput!$M$24-ArtifactsInput!$M$24)*CHOOSE(ArtifactsInput!$N$24+1,10,12,14,16,18,20)+(IF(AND(Inputs!$B$38&lt;&gt;"pvp",Inputs!$B$43=0),1,IF(IF(Inputs!$B$38="pvp",15,Inputs!$B$43)-(B1443)&lt;=0,1,MAX(0,IF(Inputs!$B$38="pvp",15,Inputs!$B$43)-MAX(5,B1443))/(IF(Inputs!$B$38="pvp",15,Inputs!$B$43)-(B1443))))*IF(AND(ArtifactsInput!$M$42,((Inputs!$B$9+((C1424=TRUE)*(F1424-Calc!F19))+B1436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1408*(MIN(100,(Inputs!$B$9+((C1424=TRUE)*(F1424-Calc!F19))+B1436+(ArtifactsInput!$M$24-ArtifactsInput!$M$24)*CHOOSE(ArtifactsInput!$N$24+1,10,12,14,16,18,20)+(IF(AND(Inputs!$B$38&lt;&gt;"pvp",Inputs!$B$43=0),1,IF(IF(Inputs!$B$38="pvp",15,Inputs!$B$43)-(B1443)&lt;=0,1,MAX(0,IF(Inputs!$B$38="pvp",15,Inputs!$B$43)-MAX(5,B1443))/(IF(Inputs!$B$38="pvp",15,Inputs!$B$43)-(B1443))))*IF(AND(ArtifactsInput!$M$42,((Inputs!$B$9+((C1424=TRUE)*(F1424-Calc!F19))+B1436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408">
        <f>INDEX(FactorTable!$B$2:$Y$301, MATCH(ROUND(MIN(300,MAX(1,U1407)),0), FactorTable!$A$2:$A$301,0), 22)</f>
        <v/>
      </c>
      <c r="V1408">
        <f>IF(C1408,(H1408*N1408*IF(AND(Inputs!$B$38&lt;&gt;"pvp",Inputs!$B$43&gt;0),((Skills!G3*((R1408-1)*IF(Skills!H3&gt;0,INT(Skills!I3/Skills!H3+0.000000001),1)+IF(Skills!H3&gt;0,INT(MIN(Skills!I3,MAX(0,MAX(0,Inputs!$B$43-B1443)-((R1408-1)*(IF(Inputs!$B$38="pvp",15,MAX(0.1,Skills!D3-IF(TRUE=TRUE,Inputs!$B$32,0)))*(1-IF(AND(ArtifactsInput!$M$27,Inputs!$B$4="Chapter Hunt"),CHOOSE(ArtifactsInput!$N$27+1,20,24,28,32,36,40),0)/100)))))/Skills!H3+0.000000001),1)))/Inputs!$B$43),G1408*Q1408))*IF(Inputs!$B$38="pvp",1,(1+(Inputs!$B$21+Skills!Q3+(IF(ArtifactsInput!$M$33,CHOOSE(ArtifactsInput!$N$33+1,30,36,42,48,54,60),0))+(IF(AND(ArtifactsInput!$M$35,Inputs!$B$4&lt;&gt;"Chapter Hunt"),CHOOSE(ArtifactsInput!$N$35+1,15,18,21,24,27,30)*(1-EXP(-(0.2*B1438)*5)),0)+IF(AND(ArtifactsInput!$M$22,Inputs!$B$4&lt;&gt;"Chapter Hunt"),CHOOSE(ArtifactsInput!$N$22+1,10,12,14,16,18,20)*((0*(((0.15*B1438*5))^0/1)+1*(((0.15*B1438*5))^1/1)+2*(((0.15*B1438*5))^2/2)+3*(((0.15*B1438*5))^3/6)+4*(((0.15*B1438*5))^4/24)+5*(((0.15*B1438*5))^5/120))/((((0.15*B1438*5))^0/1)+(((0.15*B1438*5))^1/1)+(((0.15*B1438*5))^2/2)+(((0.15*B1438*5))^3/6)+(((0.15*B1438*5))^4/24)+(((0.15*B1438*5))^5/120))),0))+IF(Inputs!$B$3&gt;=54,9*(C1408=TRUE)*MIN(1,8*(1+Inputs!$B$34/100)*Q1408),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09">
      <c r="A1409">
        <f>Skills!A4</f>
        <v/>
      </c>
      <c r="B1409">
        <f>Skills!B4</f>
        <v/>
      </c>
      <c r="C1409">
        <f>Inputs!$B$3&gt;=35</f>
        <v/>
      </c>
      <c r="D1409">
        <f>IF(Skills!C4=1,60+Inputs!$B$25+Inputs!$B$29,IF(Skills!C4=2,90+Inputs!$B$26+Inputs!$B$29,IF(Skills!C4=3,120+Inputs!$B$27+Inputs!$B$29,MAX(0,(Inputs!$B$3-100)*3)+Inputs!$B$28+Inputs!$B$29)))</f>
        <v/>
      </c>
      <c r="E1409">
        <f>INDEX(FactorTable!$B$2:$Y$301, MATCH(ROUND(MIN(300,MAX(1,D1409)),0), FactorTable!$A$2:$A$301,0), Skills!M4+1)</f>
        <v/>
      </c>
      <c r="F1409">
        <f>IF(Skills!N4=TRUE,(Skills!L4/10)*(E1409/1000),Skills!L4/10)+Skills!O4</f>
        <v/>
      </c>
      <c r="G1409">
        <f>Skills!G4*IF(Skills!H4&gt;0,INT(IF(Inputs!$B$38="pvp",MIN(IF(Inputs!$B$3&gt;=104,MIN(35,20*(1+Inputs!$B$34/100)),20),15),IF(Inputs!$B$3&gt;=104,MIN(35,20*(1+Inputs!$B$34/100)),20))/Skills!H4+0.000000001),1)</f>
        <v/>
      </c>
      <c r="H1409">
        <f>1-(1-Skills!J4/100)^Skills!K4</f>
        <v/>
      </c>
      <c r="I1409" t="inlineStr">
        <is>
          <t>1</t>
        </is>
      </c>
      <c r="J1409">
        <f>((Inputs!$B$6*(1+Inputs!$B$7/100))+(((Inputs!$B$12*(1+Inputs!$B$13/100))-(Inputs!$B$12*(1+Inputs!$B$13/100)))+0.25*(Inputs!$B$14-Inputs!$B$14))*(1+Inputs!$B$7/100))*(F1409/100)</f>
        <v/>
      </c>
      <c r="K1409">
        <f>J1409*(1+((Inputs!$B$12*(1+Inputs!$B$13/100))*0.01+Inputs!$B$14*0.0025)/100)*(1+Inputs!$B$15/100)*(1+Inputs!$B$16/100)*(5000/(6000+Inputs!$B$42*(1-(100*(1-(1-(Inputs!$B$19+0)/100)*(1-CHOOSE(ArtifactsInput!$N$40+1,5,6,7,8,9,10)/100)^(ArtifactsInput!$M$40-ArtifactsInput!$M$40)))/100)))*(1+(Inputs!$B$24+((C1431=TRUE)*(F1431-Calc!F26))+B1442)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1421=TRUE,F1421,0)/100)*(1+(IF(Skills!A4="EIGHT_LEGS_EASTON",Inputs!$B$17+((C1428=TRUE)*(F1428-Calc!F23))+((C1432=TRUE)*(F1432-Calc!F27))+((IF(AND(Inputs!$B$38&lt;&gt;"pvp",Inputs!$B$43=0),1,IF(IF(Inputs!$B$38="pvp",15,Inputs!$B$43)-(B1443)&lt;=0,1,MAX(0,IF(Inputs!$B$38="pvp",15,Inputs!$B$43)-MAX(5,B1443))/(IF(Inputs!$B$38="pvp",15,Inputs!$B$43)-(B1443))))*(IF(AND(ArtifactsInput!$M$42,((Inputs!$B$9+((C1424=TRUE)*(F1424-Calc!F19))+B1436+(ArtifactsInput!$M$24-ArtifactsInput!$M$24)*CHOOSE(ArtifactsInput!$N$24+1,10,12,14,16,18,20)+IF(ArtifactsInput!$M$10,CHOOSE(ArtifactsInput!$N$10+1,15,18,21,24,27,30)*(IF(Inputs!$B$38="pvp",MIN(15,15)/15,IF(AND(Inputs!$B$38&lt;&gt;"pvp",Inputs!$B$43&gt;0),MIN(15,Inputs!$B$43)/(Inputs!$B$43),0))),0)))&gt;=100),MIN(100,((Inputs!$B$9+((C1424=TRUE)*(F1424-Calc!F19))+B1436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1443)&lt;=0,1,MAX(0,IF(Inputs!$B$38="pvp",15,Inputs!$B$43)-MAX(5,B1443))/(IF(Inputs!$B$38="pvp",15,Inputs!$B$43)-(B1443))))*IF(AND(ArtifactsInput!$M$42,((Inputs!$B$9+((C1424=TRUE)*(F1424-Calc!F19))+B1436+(ArtifactsInput!$M$24-ArtifactsInput!$M$24)*CHOOSE(ArtifactsInput!$N$24+1,10,12,14,16,18,20)+IF(ArtifactsInput!$M$10,CHOOSE(ArtifactsInput!$N$10+1,15,18,21,24,27,30)*(IF(Inputs!$B$38="pvp",MIN(15,15)/15,IF(AND(Inputs!$B$38&lt;&gt;"pvp",Inputs!$B$43&gt;0),MIN(15,Inputs!$B$43)/(Inputs!$B$43),0))),0)))&gt;=100),CHOOSE(ArtifactsInput!$N$42+1,40,48,56,64,72,80),0))))/100)*((1+(((C1422=TRUE)*F1422*5/7)+((C1429=TRUE)*(F1429-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1409)</f>
        <v/>
      </c>
      <c r="L1409">
        <f>K1409*(MIN(Inputs!$B$22+((C1427=TRUE)*(F1427-Calc!F22)),(Inputs!$B$23+0+(IF(ArtifactsInput!$M$15,CHOOSE(ArtifactsInput!$N$15+1,25,30,35,40,45,50)/100*(Inputs!$B$11-Inputs!$B$11),0))))/100+(Inputs!$B$23+0+(IF(ArtifactsInput!$M$15,CHOOSE(ArtifactsInput!$N$15+1,25,30,35,40,45,50)/100*(Inputs!$B$11-Inputs!$B$11),0)))/100)/2</f>
        <v/>
      </c>
      <c r="M1409">
        <f>L1409*(1+(Inputs!$B$10+((C1430=TRUE)*(F1430-Calc!F25))+B1441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09">
        <f>L1409*(1-MIN((Inputs!$B$9+((C1424=TRUE)*(F1424-Calc!F19))+B1436+(ArtifactsInput!$M$24-ArtifactsInput!$M$24)*CHOOSE(ArtifactsInput!$N$24+1,10,12,14,16,18,20)+(IF(AND(Inputs!$B$38&lt;&gt;"pvp",Inputs!$B$43=0),1,IF(IF(Inputs!$B$38="pvp",15,Inputs!$B$43)-(B1443)&lt;=0,1,MAX(0,IF(Inputs!$B$38="pvp",15,Inputs!$B$43)-MAX(5,B1443))/(IF(Inputs!$B$38="pvp",15,Inputs!$B$43)-(B1443))))*IF(AND(ArtifactsInput!$M$42,((Inputs!$B$9+((C1424=TRUE)*(F1424-Calc!F19))+B1436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1409*(MIN((Inputs!$B$9+((C1424=TRUE)*(F1424-Calc!F19))+B1436+(ArtifactsInput!$M$24-ArtifactsInput!$M$24)*CHOOSE(ArtifactsInput!$N$24+1,10,12,14,16,18,20)+(IF(AND(Inputs!$B$38&lt;&gt;"pvp",Inputs!$B$43=0),1,IF(IF(Inputs!$B$38="pvp",15,Inputs!$B$43)-(B1443)&lt;=0,1,MAX(0,IF(Inputs!$B$38="pvp",15,Inputs!$B$43)-MAX(5,B1443))/(IF(Inputs!$B$38="pvp",15,Inputs!$B$43)-(B1443))))*IF(AND(ArtifactsInput!$M$42,((Inputs!$B$9+((C1424=TRUE)*(F1424-Calc!F19))+B1436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09">
        <f>(1-Summary!$B$11)*T1409+Summary!$B$11*V1409</f>
        <v/>
      </c>
      <c r="P1409">
        <f>IF(B1446=0,0,O1409/B1446)</f>
        <v/>
      </c>
      <c r="Q1409">
        <f>IFERROR(1/(IF(Inputs!$B$38="pvp",15,MAX(0.1,Skills!D4-IF(TRUE=TRUE,Inputs!$B$32,0)))*(1-IF(AND(ArtifactsInput!$M$27,Inputs!$B$4="Chapter Hunt"),CHOOSE(ArtifactsInput!$N$27+1,20,24,28,32,36,40),0)/100)),0)</f>
        <v/>
      </c>
      <c r="R1409">
        <f>IF(AND(Inputs!$B$38&lt;&gt;"pvp",Inputs!$B$43&gt;0),IF(MAX(0,Inputs!$B$43-B1443)&lt;=0,0,(INT(MAX(0,Inputs!$B$43-B1443)/(IF(Inputs!$B$38="pvp",15,MAX(0.1,Skills!D4-IF(TRUE=TRUE,Inputs!$B$32,0)))*(1-IF(AND(ArtifactsInput!$M$27,Inputs!$B$4="Chapter Hunt"),CHOOSE(ArtifactsInput!$N$27+1,20,24,28,32,36,40),0)/100)))+1)),0)</f>
        <v/>
      </c>
      <c r="S1409">
        <f>IFERROR(O1409/N1409,0)</f>
        <v/>
      </c>
      <c r="T1409">
        <f>IF(C1409,(H1409*N1409*IF(AND(Inputs!$B$38&lt;&gt;"pvp",Inputs!$B$43&gt;0),((Skills!G4*((R1409-1)*IF(Skills!H4&gt;0,INT(IF(Inputs!$B$3&gt;=104,MIN(35,20*(1+Inputs!$B$34/100)),20)/Skills!H4+0.000000001),1)+IF(Skills!H4&gt;0,INT(MIN(IF(Inputs!$B$3&gt;=104,MIN(35,20*(1+Inputs!$B$34/100)),20),MAX(0,MAX(0,Inputs!$B$43-B1443)-((R1409-1)*(IF(Inputs!$B$38="pvp",15,MAX(0.1,Skills!D4-IF(TRUE=TRUE,Inputs!$B$32,0)))*(1-IF(AND(ArtifactsInput!$M$27,Inputs!$B$4="Chapter Hunt"),CHOOSE(ArtifactsInput!$N$27+1,20,24,28,32,36,40),0)/100)))))/Skills!H4+0.000000001),1)))/Inputs!$B$43),G1409*Q1409))*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Hunt"),CHOOSE(ArtifactsInput!$N$35+1,15,18,21,24,27,30)*(1-EXP(-(0.2*B1438)*5)),0)+IF(AND(ArtifactsInput!$M$22,Inputs!$B$4&lt;&gt;"Chapter Hunt"),CHOOSE(ArtifactsInput!$N$22+1,10,12,14,16,18,20)*((0*(((0.15*B1438*5))^0/1)+1*(((0.15*B1438*5))^1/1)+2*(((0.15*B1438*5))^2/2)+3*(((0.15*B1438*5))^3/6)+4*(((0.15*B1438*5))^4/24)+5*(((0.15*B1438*5))^5/120))/((((0.15*B1438*5))^0/1)+(((0.15*B1438*5))^1/1)+(((0.15*B1438*5))^2/2)+(((0.15*B1438*5))^3/6)+(((0.15*B1438*5))^4/24)+(((0.15*B1438*5))^5/120))),0))+IF(Inputs!$B$3&gt;=54,9*(C1408=TRUE)*MIN(1,8*(1+Inputs!$B$34/100)*Q1408)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1409*(1-MIN(100,(Inputs!$B$9+((C1424=TRUE)*(F1424-Calc!F19))+B1436+(ArtifactsInput!$M$24-ArtifactsInput!$M$24)*CHOOSE(ArtifactsInput!$N$24+1,10,12,14,16,18,20)+(IF(AND(Inputs!$B$38&lt;&gt;"pvp",Inputs!$B$43=0),1,IF(IF(Inputs!$B$38="pvp",15,Inputs!$B$43)-(B1443)&lt;=0,1,MAX(0,IF(Inputs!$B$38="pvp",15,Inputs!$B$43)-MAX(5,B1443))/(IF(Inputs!$B$38="pvp",15,Inputs!$B$43)-(B1443))))*IF(AND(ArtifactsInput!$M$42,((Inputs!$B$9+((C1424=TRUE)*(F1424-Calc!F19))+B1436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M1409*(MIN(100,(Inputs!$B$9+((C1424=TRUE)*(F1424-Calc!F19))+B1436+(ArtifactsInput!$M$24-ArtifactsInput!$M$24)*CHOOSE(ArtifactsInput!$N$24+1,10,12,14,16,18,20)+(IF(AND(Inputs!$B$38&lt;&gt;"pvp",Inputs!$B$43=0),1,IF(IF(Inputs!$B$38="pvp",15,Inputs!$B$43)-(B1443)&lt;=0,1,MAX(0,IF(Inputs!$B$38="pvp",15,Inputs!$B$43)-MAX(5,B1443))/(IF(Inputs!$B$38="pvp",15,Inputs!$B$43)-(B1443))))*IF(AND(ArtifactsInput!$M$42,((Inputs!$B$9+((C1424=TRUE)*(F1424-Calc!F19))+B1436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L1409*(1-MIN(100,(Inputs!$B$9+((C1424=TRUE)*(F1424-Calc!F19))+B1436+(ArtifactsInput!$M$24-ArtifactsInput!$M$24)*CHOOSE(ArtifactsInput!$N$24+1,10,12,14,16,18,20)+(IF(AND(Inputs!$B$38&lt;&gt;"pvp",Inputs!$B$43=0),1,IF(IF(Inputs!$B$38="pvp",15,Inputs!$B$43)-(B1443)&lt;=0,1,MAX(0,IF(Inputs!$B$38="pvp",15,Inputs!$B$43)-MAX(5,B1443))/(IF(Inputs!$B$38="pvp",15,Inputs!$B$43)-(B1443))))*IF(AND(ArtifactsInput!$M$42,((Inputs!$B$9+((C1424=TRUE)*(F1424-Calc!F19))+B1436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1409*(MIN(100,(Inputs!$B$9+((C1424=TRUE)*(F1424-Calc!F19))+B1436+(ArtifactsInput!$M$24-ArtifactsInput!$M$24)*CHOOSE(ArtifactsInput!$N$24+1,10,12,14,16,18,20)+(IF(AND(Inputs!$B$38&lt;&gt;"pvp",Inputs!$B$43=0),1,IF(IF(Inputs!$B$38="pvp",15,Inputs!$B$43)-(B1443)&lt;=0,1,MAX(0,IF(Inputs!$B$38="pvp",15,Inputs!$B$43)-MAX(5,B1443))/(IF(Inputs!$B$38="pvp",15,Inputs!$B$43)-(B1443))))*IF(AND(ArtifactsInput!$M$42,((Inputs!$B$9+((C1424=TRUE)*(F1424-Calc!F19))+B1436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409">
        <f>290*U1408/1000</f>
        <v/>
      </c>
      <c r="V1409">
        <f>IF(C1409,(H1409*N1409*IF(AND(Inputs!$B$38&lt;&gt;"pvp",Inputs!$B$43&gt;0),((Skills!G4*((R1409-1)*IF(Skills!H4&gt;0,INT(IF(Inputs!$B$3&gt;=104,MIN(35,20*(1+Inputs!$B$34/100)),20)/Skills!H4+0.000000001),1)+IF(Skills!H4&gt;0,INT(MIN(IF(Inputs!$B$3&gt;=104,MIN(35,20*(1+Inputs!$B$34/100)),20),MAX(0,MAX(0,Inputs!$B$43-B1443)-((R1409-1)*(IF(Inputs!$B$38="pvp",15,MAX(0.1,Skills!D4-IF(TRUE=TRUE,Inputs!$B$32,0)))*(1-IF(AND(ArtifactsInput!$M$27,Inputs!$B$4="Chapter Hunt"),CHOOSE(ArtifactsInput!$N$27+1,20,24,28,32,36,40),0)/100)))))/Skills!H4+0.000000001),1)))/Inputs!$B$43),G1409*Q1409))*IF(Inputs!$B$38="pvp",1,(1+(Inputs!$B$21+Skills!Q4+(IF(ArtifactsInput!$M$33,CHOOSE(ArtifactsInput!$N$33+1,30,36,42,48,54,60),0))+(IF(AND(ArtifactsInput!$M$35,Inputs!$B$4&lt;&gt;"Chapter Hunt"),CHOOSE(ArtifactsInput!$N$35+1,15,18,21,24,27,30)*(1-EXP(-(0.2*B1438)*5)),0)+IF(AND(ArtifactsInput!$M$22,Inputs!$B$4&lt;&gt;"Chapter Hunt"),CHOOSE(ArtifactsInput!$N$22+1,10,12,14,16,18,20)*((0*(((0.15*B1438*5))^0/1)+1*(((0.15*B1438*5))^1/1)+2*(((0.15*B1438*5))^2/2)+3*(((0.15*B1438*5))^3/6)+4*(((0.15*B1438*5))^4/24)+5*(((0.15*B1438*5))^5/120))/((((0.15*B1438*5))^0/1)+(((0.15*B1438*5))^1/1)+(((0.15*B1438*5))^2/2)+(((0.15*B1438*5))^3/6)+(((0.15*B1438*5))^4/24)+(((0.15*B1438*5))^5/120))),0))+IF(Inputs!$B$3&gt;=54,9*(C1408=TRUE)*MIN(1,8*(1+Inputs!$B$34/100)*Q1408),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10">
      <c r="A1410">
        <f>Skills!A5</f>
        <v/>
      </c>
      <c r="B1410">
        <f>Skills!B5</f>
        <v/>
      </c>
      <c r="C1410">
        <f>Inputs!$B$3&gt;=69</f>
        <v/>
      </c>
      <c r="D1410">
        <f>IF(Skills!C5=1,60+Inputs!$B$25+Inputs!$B$29,IF(Skills!C5=2,90+Inputs!$B$26+Inputs!$B$29,IF(Skills!C5=3,120+Inputs!$B$27+Inputs!$B$29,MAX(0,(Inputs!$B$3-100)*3)+Inputs!$B$28+Inputs!$B$29)))</f>
        <v/>
      </c>
      <c r="E1410">
        <f>INDEX(FactorTable!$B$2:$Y$301, MATCH(ROUND(MIN(300,MAX(1,D1410)),0), FactorTable!$A$2:$A$301,0), Skills!M5+1)</f>
        <v/>
      </c>
      <c r="F1410">
        <f>IF(Skills!N5=TRUE,(Skills!L5/10)*(E1410/1000),Skills!L5/10)+Skills!O5</f>
        <v/>
      </c>
      <c r="G1410">
        <f>Skills!G5*IF(Skills!H5&gt;0,INT(IF(Inputs!$B$38="pvp",MIN(IF(Inputs!$B$3&gt;=104,MIN(35,20*(1+Inputs!$B$34/100)),20),15),IF(Inputs!$B$3&gt;=104,MIN(35,20*(1+Inputs!$B$34/100)),20))/Skills!H5+0.000000001),1)</f>
        <v/>
      </c>
      <c r="H1410">
        <f>1-(1-Skills!J5/100)^Skills!K5</f>
        <v/>
      </c>
      <c r="I1410" t="inlineStr">
        <is>
          <t>1</t>
        </is>
      </c>
      <c r="J1410">
        <f>((Inputs!$B$6*(1+Inputs!$B$7/100))+(((Inputs!$B$12*(1+Inputs!$B$13/100))-(Inputs!$B$12*(1+Inputs!$B$13/100)))+0.25*(Inputs!$B$14-Inputs!$B$14))*(1+Inputs!$B$7/100))*(F1410/100)</f>
        <v/>
      </c>
      <c r="K1410">
        <f>J1410*(1+((Inputs!$B$12*(1+Inputs!$B$13/100))*0.01+Inputs!$B$14*0.0025)/100)*(1+Inputs!$B$15/100)*(1+Inputs!$B$16/100)*(5000/(6000+Inputs!$B$42*(1-(100*(1-(1-(Inputs!$B$19+0)/100)*(1-CHOOSE(ArtifactsInput!$N$40+1,5,6,7,8,9,10)/100)^(ArtifactsInput!$M$40-ArtifactsInput!$M$40)))/100)))*(1+(Inputs!$B$24+((C1431=TRUE)*(F1431-Calc!F26))+B1442)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+0.4*IF(C1421=TRUE,F1421,0)/100)*(1+(IF(Skills!A5="EIGHT_LEGS_EASTON",Inputs!$B$17+((C1428=TRUE)*(F1428-Calc!F23))+((C1432=TRUE)*(F1432-Calc!F27))+((IF(AND(Inputs!$B$38&lt;&gt;"pvp",Inputs!$B$43=0),1,IF(IF(Inputs!$B$38="pvp",15,Inputs!$B$43)-(B1443)&lt;=0,1,MAX(0,IF(Inputs!$B$38="pvp",15,Inputs!$B$43)-MAX(5,B1443))/(IF(Inputs!$B$38="pvp",15,Inputs!$B$43)-(B1443))))*(IF(AND(ArtifactsInput!$M$42,((Inputs!$B$9+((C1424=TRUE)*(F1424-Calc!F19))+B1436+(ArtifactsInput!$M$24-ArtifactsInput!$M$24)*CHOOSE(ArtifactsInput!$N$24+1,10,12,14,16,18,20)+IF(ArtifactsInput!$M$10,CHOOSE(ArtifactsInput!$N$10+1,15,18,21,24,27,30)*(IF(Inputs!$B$38="pvp",MIN(15,15)/15,IF(AND(Inputs!$B$38&lt;&gt;"pvp",Inputs!$B$43&gt;0),MIN(15,Inputs!$B$43)/(Inputs!$B$43),0))),0)))&gt;=100),MIN(100,((Inputs!$B$9+((C1424=TRUE)*(F1424-Calc!F19))+B1436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1443)&lt;=0,1,MAX(0,IF(Inputs!$B$38="pvp",15,Inputs!$B$43)-MAX(5,B1443))/(IF(Inputs!$B$38="pvp",15,Inputs!$B$43)-(B1443))))*IF(AND(ArtifactsInput!$M$42,((Inputs!$B$9+((C1424=TRUE)*(F1424-Calc!F19))+B1436+(ArtifactsInput!$M$24-ArtifactsInput!$M$24)*CHOOSE(ArtifactsInput!$N$24+1,10,12,14,16,18,20)+IF(ArtifactsInput!$M$10,CHOOSE(ArtifactsInput!$N$10+1,15,18,21,24,27,30)*(IF(Inputs!$B$38="pvp",MIN(15,15)/15,IF(AND(Inputs!$B$38&lt;&gt;"pvp",Inputs!$B$43&gt;0),MIN(15,Inputs!$B$43)/(Inputs!$B$43),0))),0)))&gt;=100),CHOOSE(ArtifactsInput!$N$42+1,40,48,56,64,72,80),0))))/100)*((1+(((C1422=TRUE)*F1422*5/7)+((C1429=TRUE)*(F1429-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1410)</f>
        <v/>
      </c>
      <c r="L1410">
        <f>K1410*(MIN(Inputs!$B$22+((C1427=TRUE)*(F1427-Calc!F22)),(Inputs!$B$23+0+(IF(ArtifactsInput!$M$15,CHOOSE(ArtifactsInput!$N$15+1,25,30,35,40,45,50)/100*(Inputs!$B$11-Inputs!$B$11),0))))/100+(Inputs!$B$23+0+(IF(ArtifactsInput!$M$15,CHOOSE(ArtifactsInput!$N$15+1,25,30,35,40,45,50)/100*(Inputs!$B$11-Inputs!$B$11),0)))/100)/2</f>
        <v/>
      </c>
      <c r="M1410">
        <f>L1410*(1+(Inputs!$B$10+((C1430=TRUE)*(F1430-Calc!F25))+B1441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10">
        <f>L1410*(1-MIN((Inputs!$B$9+((C1424=TRUE)*(F1424-Calc!F19))+B1436+(ArtifactsInput!$M$24-ArtifactsInput!$M$24)*CHOOSE(ArtifactsInput!$N$24+1,10,12,14,16,18,20)+(IF(AND(Inputs!$B$38&lt;&gt;"pvp",Inputs!$B$43=0),1,IF(IF(Inputs!$B$38="pvp",15,Inputs!$B$43)-(B1443)&lt;=0,1,MAX(0,IF(Inputs!$B$38="pvp",15,Inputs!$B$43)-MAX(5,B1443))/(IF(Inputs!$B$38="pvp",15,Inputs!$B$43)-(B1443))))*IF(AND(ArtifactsInput!$M$42,((Inputs!$B$9+((C1424=TRUE)*(F1424-Calc!F19))+B1436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1410*(MIN((Inputs!$B$9+((C1424=TRUE)*(F1424-Calc!F19))+B1436+(ArtifactsInput!$M$24-ArtifactsInput!$M$24)*CHOOSE(ArtifactsInput!$N$24+1,10,12,14,16,18,20)+(IF(AND(Inputs!$B$38&lt;&gt;"pvp",Inputs!$B$43=0),1,IF(IF(Inputs!$B$38="pvp",15,Inputs!$B$43)-(B1443)&lt;=0,1,MAX(0,IF(Inputs!$B$38="pvp",15,Inputs!$B$43)-MAX(5,B1443))/(IF(Inputs!$B$38="pvp",15,Inputs!$B$43)-(B1443))))*IF(AND(ArtifactsInput!$M$42,((Inputs!$B$9+((C1424=TRUE)*(F1424-Calc!F19))+B1436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10">
        <f>(1-Summary!$B$11)*T1410+Summary!$B$11*V1410</f>
        <v/>
      </c>
      <c r="P1410">
        <f>IF(B1446=0,0,O1410/B1446)</f>
        <v/>
      </c>
      <c r="Q1410">
        <f>IFERROR(1/(IF(Inputs!$B$38="pvp",15,MAX(0.1,Skills!D5-IF(TRUE=TRUE,Inputs!$B$32,0)))*(1-IF(AND(ArtifactsInput!$M$27,Inputs!$B$4="Chapter Hunt"),CHOOSE(ArtifactsInput!$N$27+1,20,24,28,32,36,40),0)/100)),0)</f>
        <v/>
      </c>
      <c r="R1410">
        <f>IF(AND(Inputs!$B$38&lt;&gt;"pvp",Inputs!$B$43&gt;0),IF(MAX(0,Inputs!$B$43-B1443)&lt;=0,0,(INT(MAX(0,Inputs!$B$43-B1443)/(IF(Inputs!$B$38="pvp",15,MAX(0.1,Skills!D5-IF(TRUE=TRUE,Inputs!$B$32,0)))*(1-IF(AND(ArtifactsInput!$M$27,Inputs!$B$4="Chapter Hunt"),CHOOSE(ArtifactsInput!$N$27+1,20,24,28,32,36,40),0)/100)))+1)),0)</f>
        <v/>
      </c>
      <c r="S1410">
        <f>IFERROR(O1410/N1410,0)</f>
        <v/>
      </c>
      <c r="T1410">
        <f>IF(C1410,(H1410*N1410*IF(AND(Inputs!$B$38&lt;&gt;"pvp",Inputs!$B$43&gt;0),((Skills!G5*((R1410-1)*IF(Skills!H5&gt;0,INT(IF(Inputs!$B$3&gt;=104,MIN(35,20*(1+Inputs!$B$34/100)),20)/Skills!H5+0.000000001),1)+IF(Skills!H5&gt;0,INT(MIN(IF(Inputs!$B$3&gt;=104,MIN(35,20*(1+Inputs!$B$34/100)),20),MAX(0,MAX(0,Inputs!$B$43-B1443)-((R1410-1)*(IF(Inputs!$B$38="pvp",15,MAX(0.1,Skills!D5-IF(TRUE=TRUE,Inputs!$B$32,0)))*(1-IF(AND(ArtifactsInput!$M$27,Inputs!$B$4="Chapter Hunt"),CHOOSE(ArtifactsInput!$N$27+1,20,24,28,32,36,40),0)/100)))))/Skills!H5+0.000000001),1)))/Inputs!$B$43),G1410*Q1410))*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Hunt"),CHOOSE(ArtifactsInput!$N$35+1,15,18,21,24,27,30)*(1-EXP(-(0.2*B1438)*5)),0)+IF(AND(ArtifactsInput!$M$22,Inputs!$B$4&lt;&gt;"Chapter Hunt"),CHOOSE(ArtifactsInput!$N$22+1,10,12,14,16,18,20)*((0*(((0.15*B1438*5))^0/1)+1*(((0.15*B1438*5))^1/1)+2*(((0.15*B1438*5))^2/2)+3*(((0.15*B1438*5))^3/6)+4*(((0.15*B1438*5))^4/24)+5*(((0.15*B1438*5))^5/120))/((((0.15*B1438*5))^0/1)+(((0.15*B1438*5))^1/1)+(((0.15*B1438*5))^2/2)+(((0.15*B1438*5))^3/6)+(((0.15*B1438*5))^4/24)+(((0.15*B1438*5))^5/120))),0))+IF(Inputs!$B$3&gt;=54,9*(C1408=TRUE)*MIN(1,8*(1+Inputs!$B$34/100)*Q1408)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1410*(1-MIN(100,(Inputs!$B$9+((C1424=TRUE)*(F1424-Calc!F19))+B1436+(ArtifactsInput!$M$24-ArtifactsInput!$M$24)*CHOOSE(ArtifactsInput!$N$24+1,10,12,14,16,18,20)+(IF(AND(Inputs!$B$38&lt;&gt;"pvp",Inputs!$B$43=0),1,IF(IF(Inputs!$B$38="pvp",15,Inputs!$B$43)-(B1443)&lt;=0,1,MAX(0,IF(Inputs!$B$38="pvp",15,Inputs!$B$43)-MAX(5,B1443))/(IF(Inputs!$B$38="pvp",15,Inputs!$B$43)-(B1443))))*IF(AND(ArtifactsInput!$M$42,((Inputs!$B$9+((C1424=TRUE)*(F1424-Calc!F19))+B1436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M1410*(MIN(100,(Inputs!$B$9+((C1424=TRUE)*(F1424-Calc!F19))+B1436+(ArtifactsInput!$M$24-ArtifactsInput!$M$24)*CHOOSE(ArtifactsInput!$N$24+1,10,12,14,16,18,20)+(IF(AND(Inputs!$B$38&lt;&gt;"pvp",Inputs!$B$43=0),1,IF(IF(Inputs!$B$38="pvp",15,Inputs!$B$43)-(B1443)&lt;=0,1,MAX(0,IF(Inputs!$B$38="pvp",15,Inputs!$B$43)-MAX(5,B1443))/(IF(Inputs!$B$38="pvp",15,Inputs!$B$43)-(B1443))))*IF(AND(ArtifactsInput!$M$42,((Inputs!$B$9+((C1424=TRUE)*(F1424-Calc!F19))+B1436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L1410*(1-MIN(100,(Inputs!$B$9+((C1424=TRUE)*(F1424-Calc!F19))+B1436+(ArtifactsInput!$M$24-ArtifactsInput!$M$24)*CHOOSE(ArtifactsInput!$N$24+1,10,12,14,16,18,20)+(IF(AND(Inputs!$B$38&lt;&gt;"pvp",Inputs!$B$43=0),1,IF(IF(Inputs!$B$38="pvp",15,Inputs!$B$43)-(B1443)&lt;=0,1,MAX(0,IF(Inputs!$B$38="pvp",15,Inputs!$B$43)-MAX(5,B1443))/(IF(Inputs!$B$38="pvp",15,Inputs!$B$43)-(B1443))))*IF(AND(ArtifactsInput!$M$42,((Inputs!$B$9+((C1424=TRUE)*(F1424-Calc!F19))+B1436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1410*(MIN(100,(Inputs!$B$9+((C1424=TRUE)*(F1424-Calc!F19))+B1436+(ArtifactsInput!$M$24-ArtifactsInput!$M$24)*CHOOSE(ArtifactsInput!$N$24+1,10,12,14,16,18,20)+(IF(AND(Inputs!$B$38&lt;&gt;"pvp",Inputs!$B$43=0),1,IF(IF(Inputs!$B$38="pvp",15,Inputs!$B$43)-(B1443)&lt;=0,1,MAX(0,IF(Inputs!$B$38="pvp",15,Inputs!$B$43)-MAX(5,B1443))/(IF(Inputs!$B$38="pvp",15,Inputs!$B$43)-(B1443))))*IF(AND(ArtifactsInput!$M$42,((Inputs!$B$9+((C1424=TRUE)*(F1424-Calc!F19))+B1436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410">
        <f>IF(C1410,(H1410*N1410*IF(AND(Inputs!$B$38&lt;&gt;"pvp",Inputs!$B$43&gt;0),((Skills!G5*((R1410-1)*IF(Skills!H5&gt;0,INT(IF(Inputs!$B$3&gt;=104,MIN(35,20*(1+Inputs!$B$34/100)),20)/Skills!H5+0.000000001),1)+IF(Skills!H5&gt;0,INT(MIN(IF(Inputs!$B$3&gt;=104,MIN(35,20*(1+Inputs!$B$34/100)),20),MAX(0,MAX(0,Inputs!$B$43-B1443)-((R1410-1)*(IF(Inputs!$B$38="pvp",15,MAX(0.1,Skills!D5-IF(TRUE=TRUE,Inputs!$B$32,0)))*(1-IF(AND(ArtifactsInput!$M$27,Inputs!$B$4="Chapter Hunt"),CHOOSE(ArtifactsInput!$N$27+1,20,24,28,32,36,40),0)/100)))))/Skills!H5+0.000000001),1)))/Inputs!$B$43),G1410*Q1410))*IF(Inputs!$B$38="pvp",1,(1+(Inputs!$B$21+Skills!Q5+(IF(ArtifactsInput!$M$33,CHOOSE(ArtifactsInput!$N$33+1,30,36,42,48,54,60),0))+(IF(AND(ArtifactsInput!$M$35,Inputs!$B$4&lt;&gt;"Chapter Hunt"),CHOOSE(ArtifactsInput!$N$35+1,15,18,21,24,27,30)*(1-EXP(-(0.2*B1438)*5)),0)+IF(AND(ArtifactsInput!$M$22,Inputs!$B$4&lt;&gt;"Chapter Hunt"),CHOOSE(ArtifactsInput!$N$22+1,10,12,14,16,18,20)*((0*(((0.15*B1438*5))^0/1)+1*(((0.15*B1438*5))^1/1)+2*(((0.15*B1438*5))^2/2)+3*(((0.15*B1438*5))^3/6)+4*(((0.15*B1438*5))^4/24)+5*(((0.15*B1438*5))^5/120))/((((0.15*B1438*5))^0/1)+(((0.15*B1438*5))^1/1)+(((0.15*B1438*5))^2/2)+(((0.15*B1438*5))^3/6)+(((0.15*B1438*5))^4/24)+(((0.15*B1438*5))^5/120))),0))+IF(Inputs!$B$3&gt;=54,9*(C1408=TRUE)*MIN(1,8*(1+Inputs!$B$34/100)*Q1408),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11">
      <c r="A1411">
        <f>Skills!A6</f>
        <v/>
      </c>
      <c r="B1411">
        <f>Skills!B6</f>
        <v/>
      </c>
      <c r="C1411">
        <f>Inputs!$B$3&gt;=66</f>
        <v/>
      </c>
      <c r="D1411">
        <f>IF(Skills!C6=1,60+Inputs!$B$25+Inputs!$B$29,IF(Skills!C6=2,90+Inputs!$B$26+Inputs!$B$29,IF(Skills!C6=3,120+Inputs!$B$27+Inputs!$B$29,MAX(0,(Inputs!$B$3-100)*3)+Inputs!$B$28+Inputs!$B$29)))</f>
        <v/>
      </c>
      <c r="E1411">
        <f>INDEX(FactorTable!$B$2:$Y$301, MATCH(ROUND(MIN(300,MAX(1,D1411)),0), FactorTable!$A$2:$A$301,0), Skills!M6+1)</f>
        <v/>
      </c>
      <c r="F1411">
        <f>IF(Skills!N6=TRUE,(Skills!L6/10)*(E1411/1000),Skills!L6/10)+Skills!O6</f>
        <v/>
      </c>
      <c r="G1411">
        <f>Skills!G6*IF(Skills!H6&gt;0,INT(IF(Inputs!$B$38="pvp",MIN(Skills!I6,15),Skills!I6)/Skills!H6+0.000000001),1)</f>
        <v/>
      </c>
      <c r="H1411">
        <f>1-(1-Skills!J6/100)^Skills!K6</f>
        <v/>
      </c>
      <c r="I1411" t="inlineStr">
        <is>
          <t>1</t>
        </is>
      </c>
      <c r="J1411">
        <f>((Inputs!$B$6*(1+Inputs!$B$7/100))+(((Inputs!$B$12*(1+Inputs!$B$13/100))-(Inputs!$B$12*(1+Inputs!$B$13/100)))+0.25*(Inputs!$B$14-Inputs!$B$14))*(1+Inputs!$B$7/100))*(F1411/100)</f>
        <v/>
      </c>
      <c r="K1411">
        <f>J1411*(1+((Inputs!$B$12*(1+Inputs!$B$13/100))*0.01+Inputs!$B$14*0.0025)/100)*(1+Inputs!$B$15/100)*(1+Inputs!$B$16/100)*(5000/(6000+Inputs!$B$42*(1-(100*(1-(1-(Inputs!$B$19+0)/100)*(1-CHOOSE(ArtifactsInput!$N$40+1,5,6,7,8,9,10)/100)^(ArtifactsInput!$M$40-ArtifactsInput!$M$40)))/100)))*(1+(Inputs!$B$24+((C1431=TRUE)*(F1431-Calc!F26))+B1442)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+2.0*IF(C1420=TRUE,F1420,0)/100)*(1+(IF(Skills!A6="EIGHT_LEGS_EASTON",Inputs!$B$17+((C1428=TRUE)*(F1428-Calc!F23))+((C1432=TRUE)*(F1432-Calc!F27))+((IF(AND(Inputs!$B$38&lt;&gt;"pvp",Inputs!$B$43=0),1,IF(IF(Inputs!$B$38="pvp",15,Inputs!$B$43)-(B1443)&lt;=0,1,MAX(0,IF(Inputs!$B$38="pvp",15,Inputs!$B$43)-MAX(5,B1443))/(IF(Inputs!$B$38="pvp",15,Inputs!$B$43)-(B1443))))*(IF(AND(ArtifactsInput!$M$42,((Inputs!$B$9+((C1424=TRUE)*(F1424-Calc!F19))+B1436+(ArtifactsInput!$M$24-ArtifactsInput!$M$24)*CHOOSE(ArtifactsInput!$N$24+1,10,12,14,16,18,20)+IF(ArtifactsInput!$M$10,CHOOSE(ArtifactsInput!$N$10+1,15,18,21,24,27,30)*(IF(Inputs!$B$38="pvp",MIN(15,15)/15,IF(AND(Inputs!$B$38&lt;&gt;"pvp",Inputs!$B$43&gt;0),MIN(15,Inputs!$B$43)/(Inputs!$B$43),0))),0)))&gt;=100),MIN(100,((Inputs!$B$9+((C1424=TRUE)*(F1424-Calc!F19))+B1436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1443)&lt;=0,1,MAX(0,IF(Inputs!$B$38="pvp",15,Inputs!$B$43)-MAX(5,B1443))/(IF(Inputs!$B$38="pvp",15,Inputs!$B$43)-(B1443))))*IF(AND(ArtifactsInput!$M$42,((Inputs!$B$9+((C1424=TRUE)*(F1424-Calc!F19))+B1436+(ArtifactsInput!$M$24-ArtifactsInput!$M$24)*CHOOSE(ArtifactsInput!$N$24+1,10,12,14,16,18,20)+IF(ArtifactsInput!$M$10,CHOOSE(ArtifactsInput!$N$10+1,15,18,21,24,27,30)*(IF(Inputs!$B$38="pvp",MIN(15,15)/15,IF(AND(Inputs!$B$38&lt;&gt;"pvp",Inputs!$B$43&gt;0),MIN(15,Inputs!$B$43)/(Inputs!$B$43),0))),0)))&gt;=100),CHOOSE(ArtifactsInput!$N$42+1,40,48,56,64,72,80),0))))/100)*((1+(((C1422=TRUE)*F1422*5/7)+((C1429=TRUE)*(F1429-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1411)</f>
        <v/>
      </c>
      <c r="L1411">
        <f>K1411*(MIN(Inputs!$B$22+((C1427=TRUE)*(F1427-Calc!F22)),(Inputs!$B$23+0+(IF(ArtifactsInput!$M$15,CHOOSE(ArtifactsInput!$N$15+1,25,30,35,40,45,50)/100*(Inputs!$B$11-Inputs!$B$11),0))))/100+(Inputs!$B$23+0+(IF(ArtifactsInput!$M$15,CHOOSE(ArtifactsInput!$N$15+1,25,30,35,40,45,50)/100*(Inputs!$B$11-Inputs!$B$11),0)))/100)/2</f>
        <v/>
      </c>
      <c r="M1411">
        <f>L1411*(1+(Inputs!$B$10+((C1430=TRUE)*(F1430-Calc!F25))+B1441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11">
        <f>L1411*(1-MIN((Inputs!$B$9+((C1424=TRUE)*(F1424-Calc!F19))+B1436+(ArtifactsInput!$M$24-ArtifactsInput!$M$24)*CHOOSE(ArtifactsInput!$N$24+1,10,12,14,16,18,20)+(IF(AND(Inputs!$B$38&lt;&gt;"pvp",Inputs!$B$43=0),1,IF(IF(Inputs!$B$38="pvp",15,Inputs!$B$43)-(B1443)&lt;=0,1,MAX(0,IF(Inputs!$B$38="pvp",15,Inputs!$B$43)-MAX(5,B1443))/(IF(Inputs!$B$38="pvp",15,Inputs!$B$43)-(B1443))))*IF(AND(ArtifactsInput!$M$42,((Inputs!$B$9+((C1424=TRUE)*(F1424-Calc!F19))+B1436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1411*(MIN((Inputs!$B$9+((C1424=TRUE)*(F1424-Calc!F19))+B1436+(ArtifactsInput!$M$24-ArtifactsInput!$M$24)*CHOOSE(ArtifactsInput!$N$24+1,10,12,14,16,18,20)+(IF(AND(Inputs!$B$38&lt;&gt;"pvp",Inputs!$B$43=0),1,IF(IF(Inputs!$B$38="pvp",15,Inputs!$B$43)-(B1443)&lt;=0,1,MAX(0,IF(Inputs!$B$38="pvp",15,Inputs!$B$43)-MAX(5,B1443))/(IF(Inputs!$B$38="pvp",15,Inputs!$B$43)-(B1443))))*IF(AND(ArtifactsInput!$M$42,((Inputs!$B$9+((C1424=TRUE)*(F1424-Calc!F19))+B1436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11">
        <f>(1-Summary!$B$11)*T1411+Summary!$B$11*V1411</f>
        <v/>
      </c>
      <c r="P1411">
        <f>IF(B1446=0,0,O1411/B1446)</f>
        <v/>
      </c>
      <c r="Q1411">
        <f>IFERROR(1/(IF(Inputs!$B$38="pvp",15,MAX(0.1,Skills!D6-IF(TRUE=TRUE,Inputs!$B$32,0)))*(1-IF(AND(ArtifactsInput!$M$27,Inputs!$B$4="Chapter Hunt"),CHOOSE(ArtifactsInput!$N$27+1,20,24,28,32,36,40),0)/100)),0)</f>
        <v/>
      </c>
      <c r="R1411">
        <f>IF(AND(Inputs!$B$38&lt;&gt;"pvp",Inputs!$B$43&gt;0),IF(MAX(0,Inputs!$B$43-B1443)&lt;=0,0,(INT(MAX(0,Inputs!$B$43-B1443)/(IF(Inputs!$B$38="pvp",15,MAX(0.1,Skills!D6-IF(TRUE=TRUE,Inputs!$B$32,0)))*(1-IF(AND(ArtifactsInput!$M$27,Inputs!$B$4="Chapter Hunt"),CHOOSE(ArtifactsInput!$N$27+1,20,24,28,32,36,40),0)/100)))+1)),0)</f>
        <v/>
      </c>
      <c r="S1411">
        <f>IFERROR(O1411/N1411,0)</f>
        <v/>
      </c>
      <c r="T1411">
        <f>IF(C1411,(H1411*N1411*IF(AND(Inputs!$B$38&lt;&gt;"pvp",Inputs!$B$43&gt;0),((Skills!G6*((R1411-1)*IF(Skills!H6&gt;0,INT(Skills!I6/Skills!H6+0.000000001),1)+IF(Skills!H6&gt;0,INT(MIN(Skills!I6,MAX(0,MAX(0,Inputs!$B$43-B1443)-((R1411-1)*(IF(Inputs!$B$38="pvp",15,MAX(0.1,Skills!D6-IF(TRUE=TRUE,Inputs!$B$32,0)))*(1-IF(AND(ArtifactsInput!$M$27,Inputs!$B$4="Chapter Hunt"),CHOOSE(ArtifactsInput!$N$27+1,20,24,28,32,36,40),0)/100)))))/Skills!H6+0.000000001),1)))/Inputs!$B$43),G1411*Q1411))*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Hunt"),CHOOSE(ArtifactsInput!$N$35+1,15,18,21,24,27,30)*(1-EXP(-(0.2*B1438)*5)),0)+IF(AND(ArtifactsInput!$M$22,Inputs!$B$4&lt;&gt;"Chapter Hunt"),CHOOSE(ArtifactsInput!$N$22+1,10,12,14,16,18,20)*((0*(((0.15*B1438*5))^0/1)+1*(((0.15*B1438*5))^1/1)+2*(((0.15*B1438*5))^2/2)+3*(((0.15*B1438*5))^3/6)+4*(((0.15*B1438*5))^4/24)+5*(((0.15*B1438*5))^5/120))/((((0.15*B1438*5))^0/1)+(((0.15*B1438*5))^1/1)+(((0.15*B1438*5))^2/2)+(((0.15*B1438*5))^3/6)+(((0.15*B1438*5))^4/24)+(((0.15*B1438*5))^5/120))),0))+IF(Inputs!$B$3&gt;=54,9*(C1408=TRUE)*MIN(1,8*(1+Inputs!$B$34/100)*Q1408)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1411*(1-MIN(100,(Inputs!$B$9+((C1424=TRUE)*(F1424-Calc!F19))+B1436+(ArtifactsInput!$M$24-ArtifactsInput!$M$24)*CHOOSE(ArtifactsInput!$N$24+1,10,12,14,16,18,20)+(IF(AND(Inputs!$B$38&lt;&gt;"pvp",Inputs!$B$43=0),1,IF(IF(Inputs!$B$38="pvp",15,Inputs!$B$43)-(B1443)&lt;=0,1,MAX(0,IF(Inputs!$B$38="pvp",15,Inputs!$B$43)-MAX(5,B1443))/(IF(Inputs!$B$38="pvp",15,Inputs!$B$43)-(B1443))))*IF(AND(ArtifactsInput!$M$42,((Inputs!$B$9+((C1424=TRUE)*(F1424-Calc!F19))+B1436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M1411*(MIN(100,(Inputs!$B$9+((C1424=TRUE)*(F1424-Calc!F19))+B1436+(ArtifactsInput!$M$24-ArtifactsInput!$M$24)*CHOOSE(ArtifactsInput!$N$24+1,10,12,14,16,18,20)+(IF(AND(Inputs!$B$38&lt;&gt;"pvp",Inputs!$B$43=0),1,IF(IF(Inputs!$B$38="pvp",15,Inputs!$B$43)-(B1443)&lt;=0,1,MAX(0,IF(Inputs!$B$38="pvp",15,Inputs!$B$43)-MAX(5,B1443))/(IF(Inputs!$B$38="pvp",15,Inputs!$B$43)-(B1443))))*IF(AND(ArtifactsInput!$M$42,((Inputs!$B$9+((C1424=TRUE)*(F1424-Calc!F19))+B1436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L1411*(1-MIN(100,(Inputs!$B$9+((C1424=TRUE)*(F1424-Calc!F19))+B1436+(ArtifactsInput!$M$24-ArtifactsInput!$M$24)*CHOOSE(ArtifactsInput!$N$24+1,10,12,14,16,18,20)+(IF(AND(Inputs!$B$38&lt;&gt;"pvp",Inputs!$B$43=0),1,IF(IF(Inputs!$B$38="pvp",15,Inputs!$B$43)-(B1443)&lt;=0,1,MAX(0,IF(Inputs!$B$38="pvp",15,Inputs!$B$43)-MAX(5,B1443))/(IF(Inputs!$B$38="pvp",15,Inputs!$B$43)-(B1443))))*IF(AND(ArtifactsInput!$M$42,((Inputs!$B$9+((C1424=TRUE)*(F1424-Calc!F19))+B1436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1411*(MIN(100,(Inputs!$B$9+((C1424=TRUE)*(F1424-Calc!F19))+B1436+(ArtifactsInput!$M$24-ArtifactsInput!$M$24)*CHOOSE(ArtifactsInput!$N$24+1,10,12,14,16,18,20)+(IF(AND(Inputs!$B$38&lt;&gt;"pvp",Inputs!$B$43=0),1,IF(IF(Inputs!$B$38="pvp",15,Inputs!$B$43)-(B1443)&lt;=0,1,MAX(0,IF(Inputs!$B$38="pvp",15,Inputs!$B$43)-MAX(5,B1443))/(IF(Inputs!$B$38="pvp",15,Inputs!$B$43)-(B1443))))*IF(AND(ArtifactsInput!$M$42,((Inputs!$B$9+((C1424=TRUE)*(F1424-Calc!F19))+B1436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411">
        <f>IF(C1411,(H1411*N1411*IF(AND(Inputs!$B$38&lt;&gt;"pvp",Inputs!$B$43&gt;0),((Skills!G6*((R1411-1)*IF(Skills!H6&gt;0,INT(Skills!I6/Skills!H6+0.000000001),1)+IF(Skills!H6&gt;0,INT(MIN(Skills!I6,MAX(0,MAX(0,Inputs!$B$43-B1443)-((R1411-1)*(IF(Inputs!$B$38="pvp",15,MAX(0.1,Skills!D6-IF(TRUE=TRUE,Inputs!$B$32,0)))*(1-IF(AND(ArtifactsInput!$M$27,Inputs!$B$4="Chapter Hunt"),CHOOSE(ArtifactsInput!$N$27+1,20,24,28,32,36,40),0)/100)))))/Skills!H6+0.000000001),1)))/Inputs!$B$43),G1411*Q1411))*IF(Inputs!$B$38="pvp",1,(1+(Inputs!$B$21+Skills!Q6+(IF(ArtifactsInput!$M$33,CHOOSE(ArtifactsInput!$N$33+1,30,36,42,48,54,60),0))+(IF(AND(ArtifactsInput!$M$35,Inputs!$B$4&lt;&gt;"Chapter Hunt"),CHOOSE(ArtifactsInput!$N$35+1,15,18,21,24,27,30)*(1-EXP(-(0.2*B1438)*5)),0)+IF(AND(ArtifactsInput!$M$22,Inputs!$B$4&lt;&gt;"Chapter Hunt"),CHOOSE(ArtifactsInput!$N$22+1,10,12,14,16,18,20)*((0*(((0.15*B1438*5))^0/1)+1*(((0.15*B1438*5))^1/1)+2*(((0.15*B1438*5))^2/2)+3*(((0.15*B1438*5))^3/6)+4*(((0.15*B1438*5))^4/24)+5*(((0.15*B1438*5))^5/120))/((((0.15*B1438*5))^0/1)+(((0.15*B1438*5))^1/1)+(((0.15*B1438*5))^2/2)+(((0.15*B1438*5))^3/6)+(((0.15*B1438*5))^4/24)+(((0.15*B1438*5))^5/120))),0))+IF(Inputs!$B$3&gt;=54,9*(C1408=TRUE)*MIN(1,8*(1+Inputs!$B$34/100)*Q1408),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12">
      <c r="A1412">
        <f>Skills!A7</f>
        <v/>
      </c>
      <c r="B1412">
        <f>Skills!B7</f>
        <v/>
      </c>
      <c r="C1412">
        <f>Inputs!$B$3&gt;=63</f>
        <v/>
      </c>
      <c r="D1412">
        <f>IF(Skills!C7=1,60+Inputs!$B$25+Inputs!$B$29,IF(Skills!C7=2,90+Inputs!$B$26+Inputs!$B$29,IF(Skills!C7=3,120+Inputs!$B$27+Inputs!$B$29,MAX(0,(Inputs!$B$3-100)*3)+Inputs!$B$28+Inputs!$B$29)))</f>
        <v/>
      </c>
      <c r="E1412">
        <f>INDEX(FactorTable!$B$2:$Y$301, MATCH(ROUND(MIN(300,MAX(1,D1412)),0), FactorTable!$A$2:$A$301,0), Skills!M7+1)</f>
        <v/>
      </c>
      <c r="F1412">
        <f>IF(Skills!N7=TRUE,(Skills!L7/10)*(E1412/1000),Skills!L7/10)+Skills!O7</f>
        <v/>
      </c>
      <c r="G1412">
        <f>Skills!G7*IF(Skills!H7&gt;0,INT(IF(Inputs!$B$38="pvp",MIN(Skills!I7,15),Skills!I7)/Skills!H7+0.000000001),1)</f>
        <v/>
      </c>
      <c r="H1412">
        <f>1-(1-Skills!J7/100)^Skills!K7</f>
        <v/>
      </c>
      <c r="I1412" t="inlineStr">
        <is>
          <t>1</t>
        </is>
      </c>
      <c r="J1412">
        <f>((Inputs!$B$6*(1+Inputs!$B$7/100))+(((Inputs!$B$12*(1+Inputs!$B$13/100))-(Inputs!$B$12*(1+Inputs!$B$13/100)))+0.25*(Inputs!$B$14-Inputs!$B$14))*(1+Inputs!$B$7/100))*(F1412/100)</f>
        <v/>
      </c>
      <c r="K1412">
        <f>J1412*(1+((Inputs!$B$12*(1+Inputs!$B$13/100))*0.01+Inputs!$B$14*0.0025)/100)*(1+Inputs!$B$15/100)*(1+Inputs!$B$16/100)*(5000/(6000+Inputs!$B$42*(1-(100*(1-(1-(Inputs!$B$19+0)/100)*(1-CHOOSE(ArtifactsInput!$N$40+1,5,6,7,8,9,10)/100)^(ArtifactsInput!$M$40-ArtifactsInput!$M$40)))/100)))*(1+(Inputs!$B$24+((C1431=TRUE)*(F1431-Calc!F26))+B1442)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1420=TRUE,F1420,0)/100)*(1+(IF(Skills!A7="EIGHT_LEGS_EASTON",Inputs!$B$17+((C1428=TRUE)*(F1428-Calc!F23))+((C1432=TRUE)*(F1432-Calc!F27))+((IF(AND(Inputs!$B$38&lt;&gt;"pvp",Inputs!$B$43=0),1,IF(IF(Inputs!$B$38="pvp",15,Inputs!$B$43)-(B1443)&lt;=0,1,MAX(0,IF(Inputs!$B$38="pvp",15,Inputs!$B$43)-MAX(5,B1443))/(IF(Inputs!$B$38="pvp",15,Inputs!$B$43)-(B1443))))*(IF(AND(ArtifactsInput!$M$42,((Inputs!$B$9+((C1424=TRUE)*(F1424-Calc!F19))+B1436+(ArtifactsInput!$M$24-ArtifactsInput!$M$24)*CHOOSE(ArtifactsInput!$N$24+1,10,12,14,16,18,20)+IF(ArtifactsInput!$M$10,CHOOSE(ArtifactsInput!$N$10+1,15,18,21,24,27,30)*(IF(Inputs!$B$38="pvp",MIN(15,15)/15,IF(AND(Inputs!$B$38&lt;&gt;"pvp",Inputs!$B$43&gt;0),MIN(15,Inputs!$B$43)/(Inputs!$B$43),0))),0)))&gt;=100),MIN(100,((Inputs!$B$9+((C1424=TRUE)*(F1424-Calc!F19))+B1436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1443)&lt;=0,1,MAX(0,IF(Inputs!$B$38="pvp",15,Inputs!$B$43)-MAX(5,B1443))/(IF(Inputs!$B$38="pvp",15,Inputs!$B$43)-(B1443))))*IF(AND(ArtifactsInput!$M$42,((Inputs!$B$9+((C1424=TRUE)*(F1424-Calc!F19))+B1436+(ArtifactsInput!$M$24-ArtifactsInput!$M$24)*CHOOSE(ArtifactsInput!$N$24+1,10,12,14,16,18,20)+IF(ArtifactsInput!$M$10,CHOOSE(ArtifactsInput!$N$10+1,15,18,21,24,27,30)*(IF(Inputs!$B$38="pvp",MIN(15,15)/15,IF(AND(Inputs!$B$38&lt;&gt;"pvp",Inputs!$B$43&gt;0),MIN(15,Inputs!$B$43)/(Inputs!$B$43),0))),0)))&gt;=100),CHOOSE(ArtifactsInput!$N$42+1,40,48,56,64,72,80),0))))/100)*((1+(((C1422=TRUE)*F1422*5/7)+((C1429=TRUE)*(F1429-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1412)</f>
        <v/>
      </c>
      <c r="L1412">
        <f>K1412*(MIN(Inputs!$B$22+((C1427=TRUE)*(F1427-Calc!F22)),(Inputs!$B$23+0+(IF(ArtifactsInput!$M$15,CHOOSE(ArtifactsInput!$N$15+1,25,30,35,40,45,50)/100*(Inputs!$B$11-Inputs!$B$11),0))))/100+(Inputs!$B$23+0+(IF(ArtifactsInput!$M$15,CHOOSE(ArtifactsInput!$N$15+1,25,30,35,40,45,50)/100*(Inputs!$B$11-Inputs!$B$11),0)))/100)/2</f>
        <v/>
      </c>
      <c r="M1412">
        <f>L1412*(1+(Inputs!$B$10+((C1430=TRUE)*(F1430-Calc!F25))+B1441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12">
        <f>L1412*(1-MIN((Inputs!$B$9+((C1424=TRUE)*(F1424-Calc!F19))+B1436+(ArtifactsInput!$M$24-ArtifactsInput!$M$24)*CHOOSE(ArtifactsInput!$N$24+1,10,12,14,16,18,20)+(IF(AND(Inputs!$B$38&lt;&gt;"pvp",Inputs!$B$43=0),1,IF(IF(Inputs!$B$38="pvp",15,Inputs!$B$43)-(B1443)&lt;=0,1,MAX(0,IF(Inputs!$B$38="pvp",15,Inputs!$B$43)-MAX(5,B1443))/(IF(Inputs!$B$38="pvp",15,Inputs!$B$43)-(B1443))))*IF(AND(ArtifactsInput!$M$42,((Inputs!$B$9+((C1424=TRUE)*(F1424-Calc!F19))+B1436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1412*(MIN((Inputs!$B$9+((C1424=TRUE)*(F1424-Calc!F19))+B1436+(ArtifactsInput!$M$24-ArtifactsInput!$M$24)*CHOOSE(ArtifactsInput!$N$24+1,10,12,14,16,18,20)+(IF(AND(Inputs!$B$38&lt;&gt;"pvp",Inputs!$B$43=0),1,IF(IF(Inputs!$B$38="pvp",15,Inputs!$B$43)-(B1443)&lt;=0,1,MAX(0,IF(Inputs!$B$38="pvp",15,Inputs!$B$43)-MAX(5,B1443))/(IF(Inputs!$B$38="pvp",15,Inputs!$B$43)-(B1443))))*IF(AND(ArtifactsInput!$M$42,((Inputs!$B$9+((C1424=TRUE)*(F1424-Calc!F19))+B1436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12">
        <f>(1-Summary!$B$11)*T1412+Summary!$B$11*V1412</f>
        <v/>
      </c>
      <c r="P1412">
        <f>IF(B1446=0,0,O1412/B1446)</f>
        <v/>
      </c>
      <c r="Q1412">
        <f>IFERROR(1/(IF(Inputs!$B$38="pvp",15,MAX(0.1,Skills!D7-IF(TRUE=TRUE,Inputs!$B$32,0)))*(1-IF(AND(ArtifactsInput!$M$27,Inputs!$B$4="Chapter Hunt"),CHOOSE(ArtifactsInput!$N$27+1,20,24,28,32,36,40),0)/100)),0)</f>
        <v/>
      </c>
      <c r="R1412">
        <f>IF(AND(Inputs!$B$38&lt;&gt;"pvp",Inputs!$B$43&gt;0),IF(MAX(0,Inputs!$B$43-B1443)&lt;=0,0,(INT(MAX(0,Inputs!$B$43-B1443)/(IF(Inputs!$B$38="pvp",15,MAX(0.1,Skills!D7-IF(TRUE=TRUE,Inputs!$B$32,0)))*(1-IF(AND(ArtifactsInput!$M$27,Inputs!$B$4="Chapter Hunt"),CHOOSE(ArtifactsInput!$N$27+1,20,24,28,32,36,40),0)/100)))+1)),0)</f>
        <v/>
      </c>
      <c r="S1412">
        <f>IFERROR(O1412/N1412,0)</f>
        <v/>
      </c>
      <c r="T1412">
        <f>IF(C1412,(H1412*N1412*IF(AND(Inputs!$B$38&lt;&gt;"pvp",Inputs!$B$43&gt;0),((Skills!G7*((R1412-1)*IF(Skills!H7&gt;0,INT(Skills!I7/Skills!H7+0.000000001),1)+IF(Skills!H7&gt;0,INT(MIN(Skills!I7,MAX(0,MAX(0,Inputs!$B$43-B1443)-((R1412-1)*(IF(Inputs!$B$38="pvp",15,MAX(0.1,Skills!D7-IF(TRUE=TRUE,Inputs!$B$32,0)))*(1-IF(AND(ArtifactsInput!$M$27,Inputs!$B$4="Chapter Hunt"),CHOOSE(ArtifactsInput!$N$27+1,20,24,28,32,36,40),0)/100)))))/Skills!H7+0.000000001),1)))/Inputs!$B$43),G1412*Q1412))*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Hunt"),CHOOSE(ArtifactsInput!$N$35+1,15,18,21,24,27,30)*(1-EXP(-(0.2*B1438)*5)),0)+IF(AND(ArtifactsInput!$M$22,Inputs!$B$4&lt;&gt;"Chapter Hunt"),CHOOSE(ArtifactsInput!$N$22+1,10,12,14,16,18,20)*((0*(((0.15*B1438*5))^0/1)+1*(((0.15*B1438*5))^1/1)+2*(((0.15*B1438*5))^2/2)+3*(((0.15*B1438*5))^3/6)+4*(((0.15*B1438*5))^4/24)+5*(((0.15*B1438*5))^5/120))/((((0.15*B1438*5))^0/1)+(((0.15*B1438*5))^1/1)+(((0.15*B1438*5))^2/2)+(((0.15*B1438*5))^3/6)+(((0.15*B1438*5))^4/24)+(((0.15*B1438*5))^5/120))),0))+IF(Inputs!$B$3&gt;=54,9*(C1408=TRUE)*MIN(1,8*(1+Inputs!$B$34/100)*Q1408)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1412*(1-MIN(100,(Inputs!$B$9+((C1424=TRUE)*(F1424-Calc!F19))+B1436+(ArtifactsInput!$M$24-ArtifactsInput!$M$24)*CHOOSE(ArtifactsInput!$N$24+1,10,12,14,16,18,20)+(IF(AND(Inputs!$B$38&lt;&gt;"pvp",Inputs!$B$43=0),1,IF(IF(Inputs!$B$38="pvp",15,Inputs!$B$43)-(B1443)&lt;=0,1,MAX(0,IF(Inputs!$B$38="pvp",15,Inputs!$B$43)-MAX(5,B1443))/(IF(Inputs!$B$38="pvp",15,Inputs!$B$43)-(B1443))))*IF(AND(ArtifactsInput!$M$42,((Inputs!$B$9+((C1424=TRUE)*(F1424-Calc!F19))+B1436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M1412*(MIN(100,(Inputs!$B$9+((C1424=TRUE)*(F1424-Calc!F19))+B1436+(ArtifactsInput!$M$24-ArtifactsInput!$M$24)*CHOOSE(ArtifactsInput!$N$24+1,10,12,14,16,18,20)+(IF(AND(Inputs!$B$38&lt;&gt;"pvp",Inputs!$B$43=0),1,IF(IF(Inputs!$B$38="pvp",15,Inputs!$B$43)-(B1443)&lt;=0,1,MAX(0,IF(Inputs!$B$38="pvp",15,Inputs!$B$43)-MAX(5,B1443))/(IF(Inputs!$B$38="pvp",15,Inputs!$B$43)-(B1443))))*IF(AND(ArtifactsInput!$M$42,((Inputs!$B$9+((C1424=TRUE)*(F1424-Calc!F19))+B1436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L1412*(1-MIN(100,(Inputs!$B$9+((C1424=TRUE)*(F1424-Calc!F19))+B1436+(ArtifactsInput!$M$24-ArtifactsInput!$M$24)*CHOOSE(ArtifactsInput!$N$24+1,10,12,14,16,18,20)+(IF(AND(Inputs!$B$38&lt;&gt;"pvp",Inputs!$B$43=0),1,IF(IF(Inputs!$B$38="pvp",15,Inputs!$B$43)-(B1443)&lt;=0,1,MAX(0,IF(Inputs!$B$38="pvp",15,Inputs!$B$43)-MAX(5,B1443))/(IF(Inputs!$B$38="pvp",15,Inputs!$B$43)-(B1443))))*IF(AND(ArtifactsInput!$M$42,((Inputs!$B$9+((C1424=TRUE)*(F1424-Calc!F19))+B1436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1412*(MIN(100,(Inputs!$B$9+((C1424=TRUE)*(F1424-Calc!F19))+B1436+(ArtifactsInput!$M$24-ArtifactsInput!$M$24)*CHOOSE(ArtifactsInput!$N$24+1,10,12,14,16,18,20)+(IF(AND(Inputs!$B$38&lt;&gt;"pvp",Inputs!$B$43=0),1,IF(IF(Inputs!$B$38="pvp",15,Inputs!$B$43)-(B1443)&lt;=0,1,MAX(0,IF(Inputs!$B$38="pvp",15,Inputs!$B$43)-MAX(5,B1443))/(IF(Inputs!$B$38="pvp",15,Inputs!$B$43)-(B1443))))*IF(AND(ArtifactsInput!$M$42,((Inputs!$B$9+((C1424=TRUE)*(F1424-Calc!F19))+B1436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412">
        <f>IF(C1412,(H1412*N1412*IF(AND(Inputs!$B$38&lt;&gt;"pvp",Inputs!$B$43&gt;0),((Skills!G7*((R1412-1)*IF(Skills!H7&gt;0,INT(Skills!I7/Skills!H7+0.000000001),1)+IF(Skills!H7&gt;0,INT(MIN(Skills!I7,MAX(0,MAX(0,Inputs!$B$43-B1443)-((R1412-1)*(IF(Inputs!$B$38="pvp",15,MAX(0.1,Skills!D7-IF(TRUE=TRUE,Inputs!$B$32,0)))*(1-IF(AND(ArtifactsInput!$M$27,Inputs!$B$4="Chapter Hunt"),CHOOSE(ArtifactsInput!$N$27+1,20,24,28,32,36,40),0)/100)))))/Skills!H7+0.000000001),1)))/Inputs!$B$43),G1412*Q1412))*IF(Inputs!$B$38="pvp",1,(1+(Inputs!$B$21+Skills!Q7+(IF(ArtifactsInput!$M$33,CHOOSE(ArtifactsInput!$N$33+1,30,36,42,48,54,60),0))+(IF(AND(ArtifactsInput!$M$35,Inputs!$B$4&lt;&gt;"Chapter Hunt"),CHOOSE(ArtifactsInput!$N$35+1,15,18,21,24,27,30)*(1-EXP(-(0.2*B1438)*5)),0)+IF(AND(ArtifactsInput!$M$22,Inputs!$B$4&lt;&gt;"Chapter Hunt"),CHOOSE(ArtifactsInput!$N$22+1,10,12,14,16,18,20)*((0*(((0.15*B1438*5))^0/1)+1*(((0.15*B1438*5))^1/1)+2*(((0.15*B1438*5))^2/2)+3*(((0.15*B1438*5))^3/6)+4*(((0.15*B1438*5))^4/24)+5*(((0.15*B1438*5))^5/120))/((((0.15*B1438*5))^0/1)+(((0.15*B1438*5))^1/1)+(((0.15*B1438*5))^2/2)+(((0.15*B1438*5))^3/6)+(((0.15*B1438*5))^4/24)+(((0.15*B1438*5))^5/120))),0))+IF(Inputs!$B$3&gt;=54,9*(C1408=TRUE)*MIN(1,8*(1+Inputs!$B$34/100)*Q1408),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13">
      <c r="A1413">
        <f>Skills!A8</f>
        <v/>
      </c>
      <c r="B1413">
        <f>Skills!B8</f>
        <v/>
      </c>
      <c r="C1413">
        <f>Inputs!$B$3&gt;=103</f>
        <v/>
      </c>
      <c r="D1413">
        <f>IF(Skills!C8=1,60+Inputs!$B$25+Inputs!$B$29,IF(Skills!C8=2,90+Inputs!$B$26+Inputs!$B$29,IF(Skills!C8=3,120+Inputs!$B$27+Inputs!$B$29,MAX(0,(Inputs!$B$3-100)*3)+Inputs!$B$28+Inputs!$B$29)))</f>
        <v/>
      </c>
      <c r="E1413">
        <f>INDEX(FactorTable!$B$2:$Y$301, MATCH(ROUND(MIN(300,MAX(1,D1413)),0), FactorTable!$A$2:$A$301,0), Skills!M8+1)</f>
        <v/>
      </c>
      <c r="F1413">
        <f>IF(Skills!N8=TRUE,(Skills!L8/10)*(E1413/1000),Skills!L8/10)+Skills!O8</f>
        <v/>
      </c>
      <c r="G1413">
        <f>Skills!G8*IF(Skills!H8&gt;0,INT(IF(Inputs!$B$38="pvp",MIN(Skills!I8,15),Skills!I8)/Skills!H8+0.000000001),1)</f>
        <v/>
      </c>
      <c r="H1413">
        <f>1-(1-Skills!J8/100)^Skills!K8</f>
        <v/>
      </c>
      <c r="I1413" t="inlineStr">
        <is>
          <t>1</t>
        </is>
      </c>
      <c r="J1413">
        <f>((Inputs!$B$6*(1+Inputs!$B$7/100))+(((Inputs!$B$12*(1+Inputs!$B$13/100))-(Inputs!$B$12*(1+Inputs!$B$13/100)))+0.25*(Inputs!$B$14-Inputs!$B$14))*(1+Inputs!$B$7/100))*(F1413/100)</f>
        <v/>
      </c>
      <c r="K1413">
        <f>J1413*(1+((Inputs!$B$12*(1+Inputs!$B$13/100))*0.01+Inputs!$B$14*0.0025)/100)*(1+Inputs!$B$15/100)*(1+Inputs!$B$16/100)*(5000/(6000+Inputs!$B$42*(1-(100*(1-(1-(Inputs!$B$19+0)/100)*(1-CHOOSE(ArtifactsInput!$N$40+1,5,6,7,8,9,10)/100)^(ArtifactsInput!$M$40-ArtifactsInput!$M$40)))/100)))*(1+(Inputs!$B$24+((C1431=TRUE)*(F1431-Calc!F26))+B1442)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IGHT_LEGS_EASTON",Inputs!$B$17+((C1428=TRUE)*(F1428-Calc!F23))+((C1432=TRUE)*(F1432-Calc!F27))+((IF(AND(Inputs!$B$38&lt;&gt;"pvp",Inputs!$B$43=0),1,IF(IF(Inputs!$B$38="pvp",15,Inputs!$B$43)-(B1443)&lt;=0,1,MAX(0,IF(Inputs!$B$38="pvp",15,Inputs!$B$43)-MAX(5,B1443))/(IF(Inputs!$B$38="pvp",15,Inputs!$B$43)-(B1443))))*(IF(AND(ArtifactsInput!$M$42,((Inputs!$B$9+((C1424=TRUE)*(F1424-Calc!F19))+B1436+(ArtifactsInput!$M$24-ArtifactsInput!$M$24)*CHOOSE(ArtifactsInput!$N$24+1,10,12,14,16,18,20)+IF(ArtifactsInput!$M$10,CHOOSE(ArtifactsInput!$N$10+1,15,18,21,24,27,30)*(IF(Inputs!$B$38="pvp",MIN(15,15)/15,IF(AND(Inputs!$B$38&lt;&gt;"pvp",Inputs!$B$43&gt;0),MIN(15,Inputs!$B$43)/(Inputs!$B$43),0))),0)))&gt;=100),MIN(100,((Inputs!$B$9+((C1424=TRUE)*(F1424-Calc!F19))+B1436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1443)&lt;=0,1,MAX(0,IF(Inputs!$B$38="pvp",15,Inputs!$B$43)-MAX(5,B1443))/(IF(Inputs!$B$38="pvp",15,Inputs!$B$43)-(B1443))))*IF(AND(ArtifactsInput!$M$42,((Inputs!$B$9+((C1424=TRUE)*(F1424-Calc!F19))+B1436+(ArtifactsInput!$M$24-ArtifactsInput!$M$24)*CHOOSE(ArtifactsInput!$N$24+1,10,12,14,16,18,20)+IF(ArtifactsInput!$M$10,CHOOSE(ArtifactsInput!$N$10+1,15,18,21,24,27,30)*(IF(Inputs!$B$38="pvp",MIN(15,15)/15,IF(AND(Inputs!$B$38&lt;&gt;"pvp",Inputs!$B$43&gt;0),MIN(15,Inputs!$B$43)/(Inputs!$B$43),0))),0)))&gt;=100),CHOOSE(ArtifactsInput!$N$42+1,40,48,56,64,72,80),0))))/100)*((1+(((C1422=TRUE)*F1422*5/7)+((C1429=TRUE)*(F1429-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1413)</f>
        <v/>
      </c>
      <c r="L1413">
        <f>K1413*(MIN(Inputs!$B$22+((C1427=TRUE)*(F1427-Calc!F22)),(Inputs!$B$23+0+(IF(ArtifactsInput!$M$15,CHOOSE(ArtifactsInput!$N$15+1,25,30,35,40,45,50)/100*(Inputs!$B$11-Inputs!$B$11),0))))/100+(Inputs!$B$23+0+(IF(ArtifactsInput!$M$15,CHOOSE(ArtifactsInput!$N$15+1,25,30,35,40,45,50)/100*(Inputs!$B$11-Inputs!$B$11),0)))/100)/2</f>
        <v/>
      </c>
      <c r="M1413">
        <f>L1413*(1+(Inputs!$B$10+((C1430=TRUE)*(F1430-Calc!F25))+B1441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13">
        <f>L1413*(1-MIN((Inputs!$B$9+((C1424=TRUE)*(F1424-Calc!F19))+B1436+(ArtifactsInput!$M$24-ArtifactsInput!$M$24)*CHOOSE(ArtifactsInput!$N$24+1,10,12,14,16,18,20)+(IF(AND(Inputs!$B$38&lt;&gt;"pvp",Inputs!$B$43=0),1,IF(IF(Inputs!$B$38="pvp",15,Inputs!$B$43)-(B1443)&lt;=0,1,MAX(0,IF(Inputs!$B$38="pvp",15,Inputs!$B$43)-MAX(5,B1443))/(IF(Inputs!$B$38="pvp",15,Inputs!$B$43)-(B1443))))*IF(AND(ArtifactsInput!$M$42,((Inputs!$B$9+((C1424=TRUE)*(F1424-Calc!F19))+B1436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1413*(MIN((Inputs!$B$9+((C1424=TRUE)*(F1424-Calc!F19))+B1436+(ArtifactsInput!$M$24-ArtifactsInput!$M$24)*CHOOSE(ArtifactsInput!$N$24+1,10,12,14,16,18,20)+(IF(AND(Inputs!$B$38&lt;&gt;"pvp",Inputs!$B$43=0),1,IF(IF(Inputs!$B$38="pvp",15,Inputs!$B$43)-(B1443)&lt;=0,1,MAX(0,IF(Inputs!$B$38="pvp",15,Inputs!$B$43)-MAX(5,B1443))/(IF(Inputs!$B$38="pvp",15,Inputs!$B$43)-(B1443))))*IF(AND(ArtifactsInput!$M$42,((Inputs!$B$9+((C1424=TRUE)*(F1424-Calc!F19))+B1436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13">
        <f>(1-Summary!$B$11)*T1413+Summary!$B$11*V1413</f>
        <v/>
      </c>
      <c r="P1413">
        <f>IF(B1446=0,0,O1413/B1446)</f>
        <v/>
      </c>
      <c r="Q1413">
        <f>IFERROR(1/((IF(Inputs!$B$38="pvp",15,MAX(0.1,Skills!D8-IF(TRUE=TRUE,Inputs!$B$32,0)))*(1-IF(AND(ArtifactsInput!$M$27,Inputs!$B$4="Chapter Hunt"),CHOOSE(ArtifactsInput!$N$27+1,20,24,28,32,36,40),0)/100))/B1447),0)</f>
        <v/>
      </c>
      <c r="R1413">
        <f>IF(AND(Inputs!$B$38&lt;&gt;"pvp",Inputs!$B$43&gt;0),IF(MAX(0,Inputs!$B$43-B1443)&lt;=0,0,(INT(MAX(0,Inputs!$B$43-B1443)/((IF(Inputs!$B$38="pvp",15,MAX(0.1,Skills!D8-IF(TRUE=TRUE,Inputs!$B$32,0)))*(1-IF(AND(ArtifactsInput!$M$27,Inputs!$B$4="Chapter Hunt"),CHOOSE(ArtifactsInput!$N$27+1,20,24,28,32,36,40),0)/100))/B1447))+1)),0)</f>
        <v/>
      </c>
      <c r="S1413">
        <f>IFERROR(O1413/N1413,0)</f>
        <v/>
      </c>
      <c r="T1413">
        <f>IF(C1413,(H1413*N1413*IF(AND(Inputs!$B$38&lt;&gt;"pvp",Inputs!$B$43&gt;0),((Skills!G8*((R1413-1)*IF(Skills!H8&gt;0,INT(Skills!I8/Skills!H8+0.000000001),1)+IF(Skills!H8&gt;0,INT(MIN(Skills!I8,MAX(0,MAX(0,Inputs!$B$43-B1443)-((R1413-1)*((IF(Inputs!$B$38="pvp",15,MAX(0.1,Skills!D8-IF(TRUE=TRUE,Inputs!$B$32,0)))*(1-IF(AND(ArtifactsInput!$M$27,Inputs!$B$4="Chapter Hunt"),CHOOSE(ArtifactsInput!$N$27+1,20,24,28,32,36,40),0)/100))/B1447))))/Skills!H8+0.000000001),1)))/Inputs!$B$43),G1413*Q1413))*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Hunt"),CHOOSE(ArtifactsInput!$N$35+1,15,18,21,24,27,30)*(1-EXP(-(0.2*B1438)*5)),0)+IF(AND(ArtifactsInput!$M$22,Inputs!$B$4&lt;&gt;"Chapter Hunt"),CHOOSE(ArtifactsInput!$N$22+1,10,12,14,16,18,20)*((0*(((0.15*B1438*5))^0/1)+1*(((0.15*B1438*5))^1/1)+2*(((0.15*B1438*5))^2/2)+3*(((0.15*B1438*5))^3/6)+4*(((0.15*B1438*5))^4/24)+5*(((0.15*B1438*5))^5/120))/((((0.15*B1438*5))^0/1)+(((0.15*B1438*5))^1/1)+(((0.15*B1438*5))^2/2)+(((0.15*B1438*5))^3/6)+(((0.15*B1438*5))^4/24)+(((0.15*B1438*5))^5/120))),0))+IF(Inputs!$B$3&gt;=54,9*(C1408=TRUE)*MIN(1,8*(1+Inputs!$B$34/100)*Q1408)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1413*(1-MIN(100,(Inputs!$B$9+((C1424=TRUE)*(F1424-Calc!F19))+B1436+(ArtifactsInput!$M$24-ArtifactsInput!$M$24)*CHOOSE(ArtifactsInput!$N$24+1,10,12,14,16,18,20)+(IF(AND(Inputs!$B$38&lt;&gt;"pvp",Inputs!$B$43=0),1,IF(IF(Inputs!$B$38="pvp",15,Inputs!$B$43)-(B1443)&lt;=0,1,MAX(0,IF(Inputs!$B$38="pvp",15,Inputs!$B$43)-MAX(5,B1443))/(IF(Inputs!$B$38="pvp",15,Inputs!$B$43)-(B1443))))*IF(AND(ArtifactsInput!$M$42,((Inputs!$B$9+((C1424=TRUE)*(F1424-Calc!F19))+B1436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M1413*(MIN(100,(Inputs!$B$9+((C1424=TRUE)*(F1424-Calc!F19))+B1436+(ArtifactsInput!$M$24-ArtifactsInput!$M$24)*CHOOSE(ArtifactsInput!$N$24+1,10,12,14,16,18,20)+(IF(AND(Inputs!$B$38&lt;&gt;"pvp",Inputs!$B$43=0),1,IF(IF(Inputs!$B$38="pvp",15,Inputs!$B$43)-(B1443)&lt;=0,1,MAX(0,IF(Inputs!$B$38="pvp",15,Inputs!$B$43)-MAX(5,B1443))/(IF(Inputs!$B$38="pvp",15,Inputs!$B$43)-(B1443))))*IF(AND(ArtifactsInput!$M$42,((Inputs!$B$9+((C1424=TRUE)*(F1424-Calc!F19))+B1436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L1413*(1-MIN(100,(Inputs!$B$9+((C1424=TRUE)*(F1424-Calc!F19))+B1436+(ArtifactsInput!$M$24-ArtifactsInput!$M$24)*CHOOSE(ArtifactsInput!$N$24+1,10,12,14,16,18,20)+(IF(AND(Inputs!$B$38&lt;&gt;"pvp",Inputs!$B$43=0),1,IF(IF(Inputs!$B$38="pvp",15,Inputs!$B$43)-(B1443)&lt;=0,1,MAX(0,IF(Inputs!$B$38="pvp",15,Inputs!$B$43)-MAX(5,B1443))/(IF(Inputs!$B$38="pvp",15,Inputs!$B$43)-(B1443))))*IF(AND(ArtifactsInput!$M$42,((Inputs!$B$9+((C1424=TRUE)*(F1424-Calc!F19))+B1436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1413*(MIN(100,(Inputs!$B$9+((C1424=TRUE)*(F1424-Calc!F19))+B1436+(ArtifactsInput!$M$24-ArtifactsInput!$M$24)*CHOOSE(ArtifactsInput!$N$24+1,10,12,14,16,18,20)+(IF(AND(Inputs!$B$38&lt;&gt;"pvp",Inputs!$B$43=0),1,IF(IF(Inputs!$B$38="pvp",15,Inputs!$B$43)-(B1443)&lt;=0,1,MAX(0,IF(Inputs!$B$38="pvp",15,Inputs!$B$43)-MAX(5,B1443))/(IF(Inputs!$B$38="pvp",15,Inputs!$B$43)-(B1443))))*IF(AND(ArtifactsInput!$M$42,((Inputs!$B$9+((C1424=TRUE)*(F1424-Calc!F19))+B1436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413">
        <f>IF(C1413,(H1413*N1413*IF(AND(Inputs!$B$38&lt;&gt;"pvp",Inputs!$B$43&gt;0),((Skills!G8*((R1413-1)*IF(Skills!H8&gt;0,INT(Skills!I8/Skills!H8+0.000000001),1)+IF(Skills!H8&gt;0,INT(MIN(Skills!I8,MAX(0,MAX(0,Inputs!$B$43-B1443)-((R1413-1)*((IF(Inputs!$B$38="pvp",15,MAX(0.1,Skills!D8-IF(TRUE=TRUE,Inputs!$B$32,0)))*(1-IF(AND(ArtifactsInput!$M$27,Inputs!$B$4="Chapter Hunt"),CHOOSE(ArtifactsInput!$N$27+1,20,24,28,32,36,40),0)/100))/B1447))))/Skills!H8+0.000000001),1)))/Inputs!$B$43),G1413*Q1413))*IF(Inputs!$B$38="pvp",1,(1+(Inputs!$B$21+Skills!Q8+(IF(ArtifactsInput!$M$33,CHOOSE(ArtifactsInput!$N$33+1,30,36,42,48,54,60),0))+(IF(AND(ArtifactsInput!$M$35,Inputs!$B$4&lt;&gt;"Chapter Hunt"),CHOOSE(ArtifactsInput!$N$35+1,15,18,21,24,27,30)*(1-EXP(-(0.2*B1438)*5)),0)+IF(AND(ArtifactsInput!$M$22,Inputs!$B$4&lt;&gt;"Chapter Hunt"),CHOOSE(ArtifactsInput!$N$22+1,10,12,14,16,18,20)*((0*(((0.15*B1438*5))^0/1)+1*(((0.15*B1438*5))^1/1)+2*(((0.15*B1438*5))^2/2)+3*(((0.15*B1438*5))^3/6)+4*(((0.15*B1438*5))^4/24)+5*(((0.15*B1438*5))^5/120))/((((0.15*B1438*5))^0/1)+(((0.15*B1438*5))^1/1)+(((0.15*B1438*5))^2/2)+(((0.15*B1438*5))^3/6)+(((0.15*B1438*5))^4/24)+(((0.15*B1438*5))^5/120))),0))+IF(Inputs!$B$3&gt;=54,9*(C1408=TRUE)*MIN(1,8*(1+Inputs!$B$34/100)*Q1408),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14">
      <c r="A1414">
        <f>Skills!A9</f>
        <v/>
      </c>
      <c r="B1414">
        <f>Skills!B9</f>
        <v/>
      </c>
      <c r="C1414">
        <f>Inputs!$B$3&gt;=105</f>
        <v/>
      </c>
      <c r="D1414">
        <f>IF(Skills!C9=1,60+Inputs!$B$25+Inputs!$B$29,IF(Skills!C9=2,90+Inputs!$B$26+Inputs!$B$29,IF(Skills!C9=3,120+Inputs!$B$27+Inputs!$B$29,MAX(0,(Inputs!$B$3-100)*3)+Inputs!$B$28+Inputs!$B$29)))</f>
        <v/>
      </c>
      <c r="E1414">
        <f>INDEX(FactorTable!$B$2:$Y$301, MATCH(ROUND(MIN(300,MAX(1,D1414)),0), FactorTable!$A$2:$A$301,0), Skills!M9+1)</f>
        <v/>
      </c>
      <c r="F1414">
        <f>IF(Skills!N9=TRUE,(Skills!L9/10)*(E1414/1000),Skills!L9/10)+Skills!O9</f>
        <v/>
      </c>
      <c r="G1414">
        <f>Skills!G9*IF(Skills!H9&gt;0,INT(IF(Inputs!$B$38="pvp",MIN(Skills!I9,15),Skills!I9)/Skills!H9+0.000000001),1)</f>
        <v/>
      </c>
      <c r="H1414">
        <f>1-(1-Skills!J9/100)^Skills!K9</f>
        <v/>
      </c>
      <c r="I1414" t="inlineStr">
        <is>
          <t>1</t>
        </is>
      </c>
      <c r="J1414">
        <f>((Inputs!$B$6*(1+Inputs!$B$7/100))+(((Inputs!$B$12*(1+Inputs!$B$13/100))-(Inputs!$B$12*(1+Inputs!$B$13/100)))+0.25*(Inputs!$B$14-Inputs!$B$14))*(1+Inputs!$B$7/100))*(F1414/100)</f>
        <v/>
      </c>
      <c r="K1414">
        <f>J1414*(1+((Inputs!$B$12*(1+Inputs!$B$13/100))*0.01+Inputs!$B$14*0.0025)/100)*(1+Inputs!$B$15/100)*(1+Inputs!$B$16/100)*(5000/(6000+Inputs!$B$42*(1-(100*(1-(1-(Inputs!$B$19+0)/100)*(1-CHOOSE(ArtifactsInput!$N$40+1,5,6,7,8,9,10)/100)^(ArtifactsInput!$M$40-ArtifactsInput!$M$40)))/100)))*(1+(Inputs!$B$24+((C1431=TRUE)*(F1431-Calc!F26))+B1442)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IGHT_LEGS_EASTON",Inputs!$B$17+((C1428=TRUE)*(F1428-Calc!F23))+((C1432=TRUE)*(F1432-Calc!F27))+((IF(AND(Inputs!$B$38&lt;&gt;"pvp",Inputs!$B$43=0),1,IF(IF(Inputs!$B$38="pvp",15,Inputs!$B$43)-(B1443)&lt;=0,1,MAX(0,IF(Inputs!$B$38="pvp",15,Inputs!$B$43)-MAX(5,B1443))/(IF(Inputs!$B$38="pvp",15,Inputs!$B$43)-(B1443))))*(IF(AND(ArtifactsInput!$M$42,((Inputs!$B$9+((C1424=TRUE)*(F1424-Calc!F19))+B1436+(ArtifactsInput!$M$24-ArtifactsInput!$M$24)*CHOOSE(ArtifactsInput!$N$24+1,10,12,14,16,18,20)+IF(ArtifactsInput!$M$10,CHOOSE(ArtifactsInput!$N$10+1,15,18,21,24,27,30)*(IF(Inputs!$B$38="pvp",MIN(15,15)/15,IF(AND(Inputs!$B$38&lt;&gt;"pvp",Inputs!$B$43&gt;0),MIN(15,Inputs!$B$43)/(Inputs!$B$43),0))),0)))&gt;=100),MIN(100,((Inputs!$B$9+((C1424=TRUE)*(F1424-Calc!F19))+B1436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1443)&lt;=0,1,MAX(0,IF(Inputs!$B$38="pvp",15,Inputs!$B$43)-MAX(5,B1443))/(IF(Inputs!$B$38="pvp",15,Inputs!$B$43)-(B1443))))*IF(AND(ArtifactsInput!$M$42,((Inputs!$B$9+((C1424=TRUE)*(F1424-Calc!F19))+B1436+(ArtifactsInput!$M$24-ArtifactsInput!$M$24)*CHOOSE(ArtifactsInput!$N$24+1,10,12,14,16,18,20)+IF(ArtifactsInput!$M$10,CHOOSE(ArtifactsInput!$N$10+1,15,18,21,24,27,30)*(IF(Inputs!$B$38="pvp",MIN(15,15)/15,IF(AND(Inputs!$B$38&lt;&gt;"pvp",Inputs!$B$43&gt;0),MIN(15,Inputs!$B$43)/(Inputs!$B$43),0))),0)))&gt;=100),CHOOSE(ArtifactsInput!$N$42+1,40,48,56,64,72,80),0))))/100)*((1+(((C1422=TRUE)*F1422*5/7)+((C1429=TRUE)*(F1429-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1414)</f>
        <v/>
      </c>
      <c r="L1414">
        <f>K1414*(MIN(Inputs!$B$22+((C1427=TRUE)*(F1427-Calc!F22)),(Inputs!$B$23+0+(IF(ArtifactsInput!$M$15,CHOOSE(ArtifactsInput!$N$15+1,25,30,35,40,45,50)/100*(Inputs!$B$11-Inputs!$B$11),0))))/100+(Inputs!$B$23+0+(IF(ArtifactsInput!$M$15,CHOOSE(ArtifactsInput!$N$15+1,25,30,35,40,45,50)/100*(Inputs!$B$11-Inputs!$B$11),0)))/100)/2</f>
        <v/>
      </c>
      <c r="M1414">
        <f>L1414*(1+(Inputs!$B$10+((C1430=TRUE)*(F1430-Calc!F25))+B1441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14">
        <f>L1414*(1-MIN((Inputs!$B$9+((C1424=TRUE)*(F1424-Calc!F19))+B1436+(ArtifactsInput!$M$24-ArtifactsInput!$M$24)*CHOOSE(ArtifactsInput!$N$24+1,10,12,14,16,18,20)+(IF(AND(Inputs!$B$38&lt;&gt;"pvp",Inputs!$B$43=0),1,IF(IF(Inputs!$B$38="pvp",15,Inputs!$B$43)-(B1443)&lt;=0,1,MAX(0,IF(Inputs!$B$38="pvp",15,Inputs!$B$43)-MAX(5,B1443))/(IF(Inputs!$B$38="pvp",15,Inputs!$B$43)-(B1443))))*IF(AND(ArtifactsInput!$M$42,((Inputs!$B$9+((C1424=TRUE)*(F1424-Calc!F19))+B1436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1414*(MIN((Inputs!$B$9+((C1424=TRUE)*(F1424-Calc!F19))+B1436+(ArtifactsInput!$M$24-ArtifactsInput!$M$24)*CHOOSE(ArtifactsInput!$N$24+1,10,12,14,16,18,20)+(IF(AND(Inputs!$B$38&lt;&gt;"pvp",Inputs!$B$43=0),1,IF(IF(Inputs!$B$38="pvp",15,Inputs!$B$43)-(B1443)&lt;=0,1,MAX(0,IF(Inputs!$B$38="pvp",15,Inputs!$B$43)-MAX(5,B1443))/(IF(Inputs!$B$38="pvp",15,Inputs!$B$43)-(B1443))))*IF(AND(ArtifactsInput!$M$42,((Inputs!$B$9+((C1424=TRUE)*(F1424-Calc!F19))+B1436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14">
        <f>(1-Summary!$B$11)*T1414+Summary!$B$11*V1414</f>
        <v/>
      </c>
      <c r="P1414">
        <f>IF(B1446=0,0,O1414/B1446)</f>
        <v/>
      </c>
      <c r="Q1414">
        <f>IFERROR(1/(IF(Inputs!$B$38="pvp",15,MAX(0.1,Skills!D9-IF(TRUE=TRUE,Inputs!$B$32,0)))*(1-IF(AND(ArtifactsInput!$M$27,Inputs!$B$4="Chapter Hunt"),CHOOSE(ArtifactsInput!$N$27+1,20,24,28,32,36,40),0)/100)),0)</f>
        <v/>
      </c>
      <c r="R1414">
        <f>IF(AND(Inputs!$B$38&lt;&gt;"pvp",Inputs!$B$43&gt;0),IF(MAX(0,Inputs!$B$43-B1443)&lt;=0,0,(INT(MAX(0,Inputs!$B$43-B1443)/(IF(Inputs!$B$38="pvp",15,MAX(0.1,Skills!D9-IF(TRUE=TRUE,Inputs!$B$32,0)))*(1-IF(AND(ArtifactsInput!$M$27,Inputs!$B$4="Chapter Hunt"),CHOOSE(ArtifactsInput!$N$27+1,20,24,28,32,36,40),0)/100)))+1)),0)</f>
        <v/>
      </c>
      <c r="S1414">
        <f>IFERROR(O1414/N1414,0)</f>
        <v/>
      </c>
      <c r="T1414">
        <f>IF(C1414,(H1414*N1414*IF(AND(Inputs!$B$38&lt;&gt;"pvp",Inputs!$B$43&gt;0),((Skills!G9*((R1414-1)*IF(Skills!H9&gt;0,INT(Skills!I9/Skills!H9+0.000000001),1)+IF(Skills!H9&gt;0,INT(MIN(Skills!I9,MAX(0,MAX(0,Inputs!$B$43-B1443)-((R1414-1)*(IF(Inputs!$B$38="pvp",15,MAX(0.1,Skills!D9-IF(TRUE=TRUE,Inputs!$B$32,0)))*(1-IF(AND(ArtifactsInput!$M$27,Inputs!$B$4="Chapter Hunt"),CHOOSE(ArtifactsInput!$N$27+1,20,24,28,32,36,40),0)/100)))))/Skills!H9+0.000000001),1)))/Inputs!$B$43),G1414*Q1414))*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Hunt"),CHOOSE(ArtifactsInput!$N$35+1,15,18,21,24,27,30)*(1-EXP(-(0.2*B1438)*5)),0)+IF(AND(ArtifactsInput!$M$22,Inputs!$B$4&lt;&gt;"Chapter Hunt"),CHOOSE(ArtifactsInput!$N$22+1,10,12,14,16,18,20)*((0*(((0.15*B1438*5))^0/1)+1*(((0.15*B1438*5))^1/1)+2*(((0.15*B1438*5))^2/2)+3*(((0.15*B1438*5))^3/6)+4*(((0.15*B1438*5))^4/24)+5*(((0.15*B1438*5))^5/120))/((((0.15*B1438*5))^0/1)+(((0.15*B1438*5))^1/1)+(((0.15*B1438*5))^2/2)+(((0.15*B1438*5))^3/6)+(((0.15*B1438*5))^4/24)+(((0.15*B1438*5))^5/120))),0))+IF(Inputs!$B$3&gt;=54,9*(C1408=TRUE)*MIN(1,8*(1+Inputs!$B$34/100)*Q1408)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1414*(1-MIN(100,(Inputs!$B$9+((C1424=TRUE)*(F1424-Calc!F19))+B1436+(ArtifactsInput!$M$24-ArtifactsInput!$M$24)*CHOOSE(ArtifactsInput!$N$24+1,10,12,14,16,18,20)+(IF(AND(Inputs!$B$38&lt;&gt;"pvp",Inputs!$B$43=0),1,IF(IF(Inputs!$B$38="pvp",15,Inputs!$B$43)-(B1443)&lt;=0,1,MAX(0,IF(Inputs!$B$38="pvp",15,Inputs!$B$43)-MAX(5,B1443))/(IF(Inputs!$B$38="pvp",15,Inputs!$B$43)-(B1443))))*IF(AND(ArtifactsInput!$M$42,((Inputs!$B$9+((C1424=TRUE)*(F1424-Calc!F19))+B1436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M1414*(MIN(100,(Inputs!$B$9+((C1424=TRUE)*(F1424-Calc!F19))+B1436+(ArtifactsInput!$M$24-ArtifactsInput!$M$24)*CHOOSE(ArtifactsInput!$N$24+1,10,12,14,16,18,20)+(IF(AND(Inputs!$B$38&lt;&gt;"pvp",Inputs!$B$43=0),1,IF(IF(Inputs!$B$38="pvp",15,Inputs!$B$43)-(B1443)&lt;=0,1,MAX(0,IF(Inputs!$B$38="pvp",15,Inputs!$B$43)-MAX(5,B1443))/(IF(Inputs!$B$38="pvp",15,Inputs!$B$43)-(B1443))))*IF(AND(ArtifactsInput!$M$42,((Inputs!$B$9+((C1424=TRUE)*(F1424-Calc!F19))+B1436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L1414*(1-MIN(100,(Inputs!$B$9+((C1424=TRUE)*(F1424-Calc!F19))+B1436+(ArtifactsInput!$M$24-ArtifactsInput!$M$24)*CHOOSE(ArtifactsInput!$N$24+1,10,12,14,16,18,20)+(IF(AND(Inputs!$B$38&lt;&gt;"pvp",Inputs!$B$43=0),1,IF(IF(Inputs!$B$38="pvp",15,Inputs!$B$43)-(B1443)&lt;=0,1,MAX(0,IF(Inputs!$B$38="pvp",15,Inputs!$B$43)-MAX(5,B1443))/(IF(Inputs!$B$38="pvp",15,Inputs!$B$43)-(B1443))))*IF(AND(ArtifactsInput!$M$42,((Inputs!$B$9+((C1424=TRUE)*(F1424-Calc!F19))+B1436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1414*(MIN(100,(Inputs!$B$9+((C1424=TRUE)*(F1424-Calc!F19))+B1436+(ArtifactsInput!$M$24-ArtifactsInput!$M$24)*CHOOSE(ArtifactsInput!$N$24+1,10,12,14,16,18,20)+(IF(AND(Inputs!$B$38&lt;&gt;"pvp",Inputs!$B$43=0),1,IF(IF(Inputs!$B$38="pvp",15,Inputs!$B$43)-(B1443)&lt;=0,1,MAX(0,IF(Inputs!$B$38="pvp",15,Inputs!$B$43)-MAX(5,B1443))/(IF(Inputs!$B$38="pvp",15,Inputs!$B$43)-(B1443))))*IF(AND(ArtifactsInput!$M$42,((Inputs!$B$9+((C1424=TRUE)*(F1424-Calc!F19))+B1436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414">
        <f>IF(C1414,(H1414*N1414*IF(AND(Inputs!$B$38&lt;&gt;"pvp",Inputs!$B$43&gt;0),((Skills!G9*((R1414-1)*IF(Skills!H9&gt;0,INT(Skills!I9/Skills!H9+0.000000001),1)+IF(Skills!H9&gt;0,INT(MIN(Skills!I9,MAX(0,MAX(0,Inputs!$B$43-B1443)-((R1414-1)*(IF(Inputs!$B$38="pvp",15,MAX(0.1,Skills!D9-IF(TRUE=TRUE,Inputs!$B$32,0)))*(1-IF(AND(ArtifactsInput!$M$27,Inputs!$B$4="Chapter Hunt"),CHOOSE(ArtifactsInput!$N$27+1,20,24,28,32,36,40),0)/100)))))/Skills!H9+0.000000001),1)))/Inputs!$B$43),G1414*Q1414))*IF(Inputs!$B$38="pvp",1,(1+(Inputs!$B$21+Skills!Q9+(IF(ArtifactsInput!$M$33,CHOOSE(ArtifactsInput!$N$33+1,30,36,42,48,54,60),0))+(IF(AND(ArtifactsInput!$M$35,Inputs!$B$4&lt;&gt;"Chapter Hunt"),CHOOSE(ArtifactsInput!$N$35+1,15,18,21,24,27,30)*(1-EXP(-(0.2*B1438)*5)),0)+IF(AND(ArtifactsInput!$M$22,Inputs!$B$4&lt;&gt;"Chapter Hunt"),CHOOSE(ArtifactsInput!$N$22+1,10,12,14,16,18,20)*((0*(((0.15*B1438*5))^0/1)+1*(((0.15*B1438*5))^1/1)+2*(((0.15*B1438*5))^2/2)+3*(((0.15*B1438*5))^3/6)+4*(((0.15*B1438*5))^4/24)+5*(((0.15*B1438*5))^5/120))/((((0.15*B1438*5))^0/1)+(((0.15*B1438*5))^1/1)+(((0.15*B1438*5))^2/2)+(((0.15*B1438*5))^3/6)+(((0.15*B1438*5))^4/24)+(((0.15*B1438*5))^5/120))),0))+IF(Inputs!$B$3&gt;=54,9*(C1408=TRUE)*MIN(1,8*(1+Inputs!$B$34/100)*Q1408),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15">
      <c r="A1415">
        <f>Skills!A10</f>
        <v/>
      </c>
      <c r="B1415">
        <f>Skills!B10</f>
        <v/>
      </c>
      <c r="C1415">
        <f>Inputs!$B$3&gt;=113</f>
        <v/>
      </c>
      <c r="D1415">
        <f>IF(Skills!C10=1,60+Inputs!$B$25+Inputs!$B$29,IF(Skills!C10=2,90+Inputs!$B$26+Inputs!$B$29,IF(Skills!C10=3,120+Inputs!$B$27+Inputs!$B$29,MAX(0,(Inputs!$B$3-100)*3)+Inputs!$B$28+Inputs!$B$29)))</f>
        <v/>
      </c>
      <c r="E1415">
        <f>INDEX(FactorTable!$B$2:$Y$301, MATCH(ROUND(MIN(300,MAX(1,D1415)),0), FactorTable!$A$2:$A$301,0), Skills!M10+1)</f>
        <v/>
      </c>
      <c r="F1415">
        <f>IF(Skills!N10=TRUE,(Skills!L10/10)*(E1415/1000),Skills!L10/10)+Skills!O10</f>
        <v/>
      </c>
      <c r="G1415">
        <f>Skills!G10*IF(Skills!H10&gt;0,INT(IF(Inputs!$B$38="pvp",MIN(Skills!I10,15),Skills!I10)/Skills!H10+0.000000001),1)</f>
        <v/>
      </c>
      <c r="H1415">
        <f>1-(1-Skills!J10/100)^Skills!K10</f>
        <v/>
      </c>
      <c r="I1415" t="inlineStr">
        <is>
          <t>1</t>
        </is>
      </c>
      <c r="J1415">
        <f>((Inputs!$B$6*(1+Inputs!$B$7/100))+(((Inputs!$B$12*(1+Inputs!$B$13/100))-(Inputs!$B$12*(1+Inputs!$B$13/100)))+0.25*(Inputs!$B$14-Inputs!$B$14))*(1+Inputs!$B$7/100))*(F1415/100)</f>
        <v/>
      </c>
      <c r="K1415">
        <f>J1415*(1+((Inputs!$B$12*(1+Inputs!$B$13/100))*0.01+Inputs!$B$14*0.0025)/100)*(1+Inputs!$B$15/100)*(1+Inputs!$B$16/100)*(5000/(6000+Inputs!$B$42*(1-(100*(1-(1-(Inputs!$B$19+0)/100)*(1-CHOOSE(ArtifactsInput!$N$40+1,5,6,7,8,9,10)/100)^(ArtifactsInput!$M$40-ArtifactsInput!$M$40)))/100)))*(1+(Inputs!$B$24+((C1431=TRUE)*(F1431-Calc!F26))+B1442)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IGHT_LEGS_EASTON",Inputs!$B$17+((C1428=TRUE)*(F1428-Calc!F23))+((C1432=TRUE)*(F1432-Calc!F27))+((IF(AND(Inputs!$B$38&lt;&gt;"pvp",Inputs!$B$43=0),1,IF(IF(Inputs!$B$38="pvp",15,Inputs!$B$43)-(B1443)&lt;=0,1,MAX(0,IF(Inputs!$B$38="pvp",15,Inputs!$B$43)-MAX(5,B1443))/(IF(Inputs!$B$38="pvp",15,Inputs!$B$43)-(B1443))))*(IF(AND(ArtifactsInput!$M$42,((Inputs!$B$9+((C1424=TRUE)*(F1424-Calc!F19))+B1436+(ArtifactsInput!$M$24-ArtifactsInput!$M$24)*CHOOSE(ArtifactsInput!$N$24+1,10,12,14,16,18,20)+IF(ArtifactsInput!$M$10,CHOOSE(ArtifactsInput!$N$10+1,15,18,21,24,27,30)*(IF(Inputs!$B$38="pvp",MIN(15,15)/15,IF(AND(Inputs!$B$38&lt;&gt;"pvp",Inputs!$B$43&gt;0),MIN(15,Inputs!$B$43)/(Inputs!$B$43),0))),0)))&gt;=100),MIN(100,((Inputs!$B$9+((C1424=TRUE)*(F1424-Calc!F19))+B1436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1443)&lt;=0,1,MAX(0,IF(Inputs!$B$38="pvp",15,Inputs!$B$43)-MAX(5,B1443))/(IF(Inputs!$B$38="pvp",15,Inputs!$B$43)-(B1443))))*IF(AND(ArtifactsInput!$M$42,((Inputs!$B$9+((C1424=TRUE)*(F1424-Calc!F19))+B1436+(ArtifactsInput!$M$24-ArtifactsInput!$M$24)*CHOOSE(ArtifactsInput!$N$24+1,10,12,14,16,18,20)+IF(ArtifactsInput!$M$10,CHOOSE(ArtifactsInput!$N$10+1,15,18,21,24,27,30)*(IF(Inputs!$B$38="pvp",MIN(15,15)/15,IF(AND(Inputs!$B$38&lt;&gt;"pvp",Inputs!$B$43&gt;0),MIN(15,Inputs!$B$43)/(Inputs!$B$43),0))),0)))&gt;=100),CHOOSE(ArtifactsInput!$N$42+1,40,48,56,64,72,80),0))))/100)*((1+(((C1422=TRUE)*F1422*5/7)+((C1429=TRUE)*(F1429-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1415)</f>
        <v/>
      </c>
      <c r="L1415">
        <f>K1415*(MIN(Inputs!$B$22+((C1427=TRUE)*(F1427-Calc!F22)),(Inputs!$B$23+0+(IF(ArtifactsInput!$M$15,CHOOSE(ArtifactsInput!$N$15+1,25,30,35,40,45,50)/100*(Inputs!$B$11-Inputs!$B$11),0))))/100+(Inputs!$B$23+0+(IF(ArtifactsInput!$M$15,CHOOSE(ArtifactsInput!$N$15+1,25,30,35,40,45,50)/100*(Inputs!$B$11-Inputs!$B$11),0)))/100)/2</f>
        <v/>
      </c>
      <c r="M1415">
        <f>L1415*(1+(Inputs!$B$10+((C1430=TRUE)*(F1430-Calc!F25))+B1441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15">
        <f>L1415*(1-MIN((Inputs!$B$9+((C1424=TRUE)*(F1424-Calc!F19))+B1436+(ArtifactsInput!$M$24-ArtifactsInput!$M$24)*CHOOSE(ArtifactsInput!$N$24+1,10,12,14,16,18,20)+(IF(AND(Inputs!$B$38&lt;&gt;"pvp",Inputs!$B$43=0),1,IF(IF(Inputs!$B$38="pvp",15,Inputs!$B$43)-(B1443)&lt;=0,1,MAX(0,IF(Inputs!$B$38="pvp",15,Inputs!$B$43)-MAX(5,B1443))/(IF(Inputs!$B$38="pvp",15,Inputs!$B$43)-(B1443))))*IF(AND(ArtifactsInput!$M$42,((Inputs!$B$9+((C1424=TRUE)*(F1424-Calc!F19))+B1436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1415*(MIN((Inputs!$B$9+((C1424=TRUE)*(F1424-Calc!F19))+B1436+(ArtifactsInput!$M$24-ArtifactsInput!$M$24)*CHOOSE(ArtifactsInput!$N$24+1,10,12,14,16,18,20)+(IF(AND(Inputs!$B$38&lt;&gt;"pvp",Inputs!$B$43=0),1,IF(IF(Inputs!$B$38="pvp",15,Inputs!$B$43)-(B1443)&lt;=0,1,MAX(0,IF(Inputs!$B$38="pvp",15,Inputs!$B$43)-MAX(5,B1443))/(IF(Inputs!$B$38="pvp",15,Inputs!$B$43)-(B1443))))*IF(AND(ArtifactsInput!$M$42,((Inputs!$B$9+((C1424=TRUE)*(F1424-Calc!F19))+B1436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15">
        <f>(1-Summary!$B$11)*T1415+Summary!$B$11*V1415</f>
        <v/>
      </c>
      <c r="P1415">
        <f>IF(B1446=0,0,O1415/B1446)</f>
        <v/>
      </c>
      <c r="Q1415" t="n">
        <v>0</v>
      </c>
      <c r="R1415" t="n">
        <v>0</v>
      </c>
      <c r="S1415">
        <f>IFERROR(O1415/N1415,0)</f>
        <v/>
      </c>
      <c r="T1415">
        <f>IF(C1415,((H1415*B1448)/(1+Skills!H10*H1415*B1448)*N1415)*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Hunt"),CHOOSE(ArtifactsInput!$N$35+1,15,18,21,24,27,30)*(1-EXP(-(0.2*B1438)*5)),0)+IF(AND(ArtifactsInput!$M$22,Inputs!$B$4&lt;&gt;"Chapter Hunt"),CHOOSE(ArtifactsInput!$N$22+1,10,12,14,16,18,20)*((0*(((0.15*B1438*5))^0/1)+1*(((0.15*B1438*5))^1/1)+2*(((0.15*B1438*5))^2/2)+3*(((0.15*B1438*5))^3/6)+4*(((0.15*B1438*5))^4/24)+5*(((0.15*B1438*5))^5/120))/((((0.15*B1438*5))^0/1)+(((0.15*B1438*5))^1/1)+(((0.15*B1438*5))^2/2)+(((0.15*B1438*5))^3/6)+(((0.15*B1438*5))^4/24)+(((0.15*B1438*5))^5/120))),0))+IF(Inputs!$B$3&gt;=54,9*(C1408=TRUE)*MIN(1,8*(1+Inputs!$B$34/100)*Q1408)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1415*(1-MIN(100,(Inputs!$B$9+((C1424=TRUE)*(F1424-Calc!F19))+B1436+(ArtifactsInput!$M$24-ArtifactsInput!$M$24)*CHOOSE(ArtifactsInput!$N$24+1,10,12,14,16,18,20)+(IF(AND(Inputs!$B$38&lt;&gt;"pvp",Inputs!$B$43=0),1,IF(IF(Inputs!$B$38="pvp",15,Inputs!$B$43)-(B1443)&lt;=0,1,MAX(0,IF(Inputs!$B$38="pvp",15,Inputs!$B$43)-MAX(5,B1443))/(IF(Inputs!$B$38="pvp",15,Inputs!$B$43)-(B1443))))*IF(AND(ArtifactsInput!$M$42,((Inputs!$B$9+((C1424=TRUE)*(F1424-Calc!F19))+B1436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M1415*(MIN(100,(Inputs!$B$9+((C1424=TRUE)*(F1424-Calc!F19))+B1436+(ArtifactsInput!$M$24-ArtifactsInput!$M$24)*CHOOSE(ArtifactsInput!$N$24+1,10,12,14,16,18,20)+(IF(AND(Inputs!$B$38&lt;&gt;"pvp",Inputs!$B$43=0),1,IF(IF(Inputs!$B$38="pvp",15,Inputs!$B$43)-(B1443)&lt;=0,1,MAX(0,IF(Inputs!$B$38="pvp",15,Inputs!$B$43)-MAX(5,B1443))/(IF(Inputs!$B$38="pvp",15,Inputs!$B$43)-(B1443))))*IF(AND(ArtifactsInput!$M$42,((Inputs!$B$9+((C1424=TRUE)*(F1424-Calc!F19))+B1436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L1415*(1-MIN(100,(Inputs!$B$9+((C1424=TRUE)*(F1424-Calc!F19))+B1436+(ArtifactsInput!$M$24-ArtifactsInput!$M$24)*CHOOSE(ArtifactsInput!$N$24+1,10,12,14,16,18,20)+(IF(AND(Inputs!$B$38&lt;&gt;"pvp",Inputs!$B$43=0),1,IF(IF(Inputs!$B$38="pvp",15,Inputs!$B$43)-(B1443)&lt;=0,1,MAX(0,IF(Inputs!$B$38="pvp",15,Inputs!$B$43)-MAX(5,B1443))/(IF(Inputs!$B$38="pvp",15,Inputs!$B$43)-(B1443))))*IF(AND(ArtifactsInput!$M$42,((Inputs!$B$9+((C1424=TRUE)*(F1424-Calc!F19))+B1436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1415*(MIN(100,(Inputs!$B$9+((C1424=TRUE)*(F1424-Calc!F19))+B1436+(ArtifactsInput!$M$24-ArtifactsInput!$M$24)*CHOOSE(ArtifactsInput!$N$24+1,10,12,14,16,18,20)+(IF(AND(Inputs!$B$38&lt;&gt;"pvp",Inputs!$B$43=0),1,IF(IF(Inputs!$B$38="pvp",15,Inputs!$B$43)-(B1443)&lt;=0,1,MAX(0,IF(Inputs!$B$38="pvp",15,Inputs!$B$43)-MAX(5,B1443))/(IF(Inputs!$B$38="pvp",15,Inputs!$B$43)-(B1443))))*IF(AND(ArtifactsInput!$M$42,((Inputs!$B$9+((C1424=TRUE)*(F1424-Calc!F19))+B1436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415">
        <f>IF(C1415,((H1415*B1448)/(1+Skills!H10*H1415*B1448)*N1415)*IF(Inputs!$B$38="pvp",1,(1+(Inputs!$B$21+Skills!Q10+(IF(ArtifactsInput!$M$33,CHOOSE(ArtifactsInput!$N$33+1,30,36,42,48,54,60),0))+(IF(AND(ArtifactsInput!$M$35,Inputs!$B$4&lt;&gt;"Chapter Hunt"),CHOOSE(ArtifactsInput!$N$35+1,15,18,21,24,27,30)*(1-EXP(-(0.2*B1438)*5)),0)+IF(AND(ArtifactsInput!$M$22,Inputs!$B$4&lt;&gt;"Chapter Hunt"),CHOOSE(ArtifactsInput!$N$22+1,10,12,14,16,18,20)*((0*(((0.15*B1438*5))^0/1)+1*(((0.15*B1438*5))^1/1)+2*(((0.15*B1438*5))^2/2)+3*(((0.15*B1438*5))^3/6)+4*(((0.15*B1438*5))^4/24)+5*(((0.15*B1438*5))^5/120))/((((0.15*B1438*5))^0/1)+(((0.15*B1438*5))^1/1)+(((0.15*B1438*5))^2/2)+(((0.15*B1438*5))^3/6)+(((0.15*B1438*5))^4/24)+(((0.15*B1438*5))^5/120))),0))+IF(Inputs!$B$3&gt;=54,9*(C1408=TRUE)*MIN(1,8*(1+Inputs!$B$34/100)*Q1408),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16">
      <c r="A1416">
        <f>Skills!A11</f>
        <v/>
      </c>
      <c r="B1416">
        <f>Skills!B11</f>
        <v/>
      </c>
      <c r="C1416">
        <f>Inputs!$B$3&gt;=117</f>
        <v/>
      </c>
      <c r="D1416">
        <f>IF(Skills!C11=1,60+Inputs!$B$25+Inputs!$B$29,IF(Skills!C11=2,90+Inputs!$B$26+Inputs!$B$29,IF(Skills!C11=3,120+Inputs!$B$27+Inputs!$B$29,MAX(0,(Inputs!$B$3-100)*3)+Inputs!$B$28+Inputs!$B$29)))</f>
        <v/>
      </c>
      <c r="E1416">
        <f>INDEX(FactorTable!$B$2:$Y$301, MATCH(ROUND(MIN(300,MAX(1,D1416)),0), FactorTable!$A$2:$A$301,0), Skills!M11+1)</f>
        <v/>
      </c>
      <c r="F1416">
        <f>IF(Skills!N11=TRUE,(Skills!L11/10)*(E1416/1000),Skills!L11/10)+Skills!O11</f>
        <v/>
      </c>
      <c r="G1416">
        <f>Skills!G11*IF(Skills!H11&gt;0,INT(IF(Inputs!$B$38="pvp",MIN(Skills!I11,15),Skills!I11)/Skills!H11+0.000000001),1)</f>
        <v/>
      </c>
      <c r="H1416">
        <f>1-(1-Skills!J11/100)^Skills!K11</f>
        <v/>
      </c>
      <c r="I1416" t="inlineStr">
        <is>
          <t>1</t>
        </is>
      </c>
      <c r="J1416">
        <f>((Inputs!$B$6*(1+Inputs!$B$7/100))+(((Inputs!$B$12*(1+Inputs!$B$13/100))-(Inputs!$B$12*(1+Inputs!$B$13/100)))+0.25*(Inputs!$B$14-Inputs!$B$14))*(1+Inputs!$B$7/100))*(F1416/100)</f>
        <v/>
      </c>
      <c r="K1416">
        <f>J1416*(1+((Inputs!$B$12*(1+Inputs!$B$13/100))*0.01+Inputs!$B$14*0.0025)/100)*(1+Inputs!$B$15/100)*(1+Inputs!$B$16/100)*(5000/(6000+Inputs!$B$42*(1-(100*(1-(1-(Inputs!$B$19+0)/100)*(1-CHOOSE(ArtifactsInput!$N$40+1,5,6,7,8,9,10)/100)^(ArtifactsInput!$M$40-ArtifactsInput!$M$40)))/100)))*(1+(Inputs!$B$24+((C1431=TRUE)*(F1431-Calc!F26))+B1442)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IGHT_LEGS_EASTON",Inputs!$B$17+((C1428=TRUE)*(F1428-Calc!F23))+((C1432=TRUE)*(F1432-Calc!F27))+((IF(AND(Inputs!$B$38&lt;&gt;"pvp",Inputs!$B$43=0),1,IF(IF(Inputs!$B$38="pvp",15,Inputs!$B$43)-(B1443)&lt;=0,1,MAX(0,IF(Inputs!$B$38="pvp",15,Inputs!$B$43)-MAX(5,B1443))/(IF(Inputs!$B$38="pvp",15,Inputs!$B$43)-(B1443))))*(IF(AND(ArtifactsInput!$M$42,((Inputs!$B$9+((C1424=TRUE)*(F1424-Calc!F19))+B1436+(ArtifactsInput!$M$24-ArtifactsInput!$M$24)*CHOOSE(ArtifactsInput!$N$24+1,10,12,14,16,18,20)+IF(ArtifactsInput!$M$10,CHOOSE(ArtifactsInput!$N$10+1,15,18,21,24,27,30)*(IF(Inputs!$B$38="pvp",MIN(15,15)/15,IF(AND(Inputs!$B$38&lt;&gt;"pvp",Inputs!$B$43&gt;0),MIN(15,Inputs!$B$43)/(Inputs!$B$43),0))),0)))&gt;=100),MIN(100,((Inputs!$B$9+((C1424=TRUE)*(F1424-Calc!F19))+B1436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1443)&lt;=0,1,MAX(0,IF(Inputs!$B$38="pvp",15,Inputs!$B$43)-MAX(5,B1443))/(IF(Inputs!$B$38="pvp",15,Inputs!$B$43)-(B1443))))*IF(AND(ArtifactsInput!$M$42,((Inputs!$B$9+((C1424=TRUE)*(F1424-Calc!F19))+B1436+(ArtifactsInput!$M$24-ArtifactsInput!$M$24)*CHOOSE(ArtifactsInput!$N$24+1,10,12,14,16,18,20)+IF(ArtifactsInput!$M$10,CHOOSE(ArtifactsInput!$N$10+1,15,18,21,24,27,30)*(IF(Inputs!$B$38="pvp",MIN(15,15)/15,IF(AND(Inputs!$B$38&lt;&gt;"pvp",Inputs!$B$43&gt;0),MIN(15,Inputs!$B$43)/(Inputs!$B$43),0))),0)))&gt;=100),CHOOSE(ArtifactsInput!$N$42+1,40,48,56,64,72,80),0))))/100)*((1+(((C1422=TRUE)*F1422*5/7)+((C1429=TRUE)*(F1429-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1416)</f>
        <v/>
      </c>
      <c r="L1416">
        <f>K1416*(MIN(Inputs!$B$22+((C1427=TRUE)*(F1427-Calc!F22)),(Inputs!$B$23+0+(IF(ArtifactsInput!$M$15,CHOOSE(ArtifactsInput!$N$15+1,25,30,35,40,45,50)/100*(Inputs!$B$11-Inputs!$B$11),0))))/100+(Inputs!$B$23+0+(IF(ArtifactsInput!$M$15,CHOOSE(ArtifactsInput!$N$15+1,25,30,35,40,45,50)/100*(Inputs!$B$11-Inputs!$B$11),0)))/100)/2</f>
        <v/>
      </c>
      <c r="M1416">
        <f>L1416*(1+(Inputs!$B$10+((C1430=TRUE)*(F1430-Calc!F25))+B1441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16">
        <f>L1416*(1-MIN((Inputs!$B$9+((C1424=TRUE)*(F1424-Calc!F19))+B1436+(ArtifactsInput!$M$24-ArtifactsInput!$M$24)*CHOOSE(ArtifactsInput!$N$24+1,10,12,14,16,18,20)+(IF(AND(Inputs!$B$38&lt;&gt;"pvp",Inputs!$B$43=0),1,IF(IF(Inputs!$B$38="pvp",15,Inputs!$B$43)-(B1443)&lt;=0,1,MAX(0,IF(Inputs!$B$38="pvp",15,Inputs!$B$43)-MAX(5,B1443))/(IF(Inputs!$B$38="pvp",15,Inputs!$B$43)-(B1443))))*IF(AND(ArtifactsInput!$M$42,((Inputs!$B$9+((C1424=TRUE)*(F1424-Calc!F19))+B1436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1416*(MIN((Inputs!$B$9+((C1424=TRUE)*(F1424-Calc!F19))+B1436+(ArtifactsInput!$M$24-ArtifactsInput!$M$24)*CHOOSE(ArtifactsInput!$N$24+1,10,12,14,16,18,20)+(IF(AND(Inputs!$B$38&lt;&gt;"pvp",Inputs!$B$43=0),1,IF(IF(Inputs!$B$38="pvp",15,Inputs!$B$43)-(B1443)&lt;=0,1,MAX(0,IF(Inputs!$B$38="pvp",15,Inputs!$B$43)-MAX(5,B1443))/(IF(Inputs!$B$38="pvp",15,Inputs!$B$43)-(B1443))))*IF(AND(ArtifactsInput!$M$42,((Inputs!$B$9+((C1424=TRUE)*(F1424-Calc!F19))+B1436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16">
        <f>(1-Summary!$B$11)*T1416+Summary!$B$11*V1416</f>
        <v/>
      </c>
      <c r="P1416">
        <f>IF(B1446=0,0,O1416/B1446)</f>
        <v/>
      </c>
      <c r="Q1416">
        <f>IFERROR(1/((IF(Inputs!$B$38="pvp",15,MAX(0.1,Skills!D11-IF(TRUE=TRUE,Inputs!$B$32,0)))*(1-IF(AND(ArtifactsInput!$M$27,Inputs!$B$4="Chapter Hunt"),CHOOSE(ArtifactsInput!$N$27+1,20,24,28,32,36,40),0)/100))/B1447),0)</f>
        <v/>
      </c>
      <c r="R1416">
        <f>IF(AND(Inputs!$B$38&lt;&gt;"pvp",Inputs!$B$43&gt;0),IF(MAX(0,Inputs!$B$43-B1443)&lt;=0,0,(INT(MAX(0,Inputs!$B$43-B1443)/((IF(Inputs!$B$38="pvp",15,MAX(0.1,Skills!D11-IF(TRUE=TRUE,Inputs!$B$32,0)))*(1-IF(AND(ArtifactsInput!$M$27,Inputs!$B$4="Chapter Hunt"),CHOOSE(ArtifactsInput!$N$27+1,20,24,28,32,36,40),0)/100))/B1447))+1)),0)</f>
        <v/>
      </c>
      <c r="S1416">
        <f>IFERROR(O1416/N1416,0)</f>
        <v/>
      </c>
      <c r="T1416">
        <f>IF(C1416,(H1416*N1416*IF(AND(Inputs!$B$38&lt;&gt;"pvp",Inputs!$B$43&gt;0),((Skills!G11*((R1416-1)*IF(Skills!H11&gt;0,INT(Skills!I11/Skills!H11+0.000000001),1)+IF(Skills!H11&gt;0,INT(MIN(Skills!I11,MAX(0,MAX(0,Inputs!$B$43-B1443)-((R1416-1)*((IF(Inputs!$B$38="pvp",15,MAX(0.1,Skills!D11-IF(TRUE=TRUE,Inputs!$B$32,0)))*(1-IF(AND(ArtifactsInput!$M$27,Inputs!$B$4="Chapter Hunt"),CHOOSE(ArtifactsInput!$N$27+1,20,24,28,32,36,40),0)/100))/B1447))))/Skills!H11+0.000000001),1)))/Inputs!$B$43),G1416*Q1416))*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Hunt"),CHOOSE(ArtifactsInput!$N$35+1,15,18,21,24,27,30)*(1-EXP(-(0.2*B1438)*5)),0)+IF(AND(ArtifactsInput!$M$22,Inputs!$B$4&lt;&gt;"Chapter Hunt"),CHOOSE(ArtifactsInput!$N$22+1,10,12,14,16,18,20)*((0*(((0.15*B1438*5))^0/1)+1*(((0.15*B1438*5))^1/1)+2*(((0.15*B1438*5))^2/2)+3*(((0.15*B1438*5))^3/6)+4*(((0.15*B1438*5))^4/24)+5*(((0.15*B1438*5))^5/120))/((((0.15*B1438*5))^0/1)+(((0.15*B1438*5))^1/1)+(((0.15*B1438*5))^2/2)+(((0.15*B1438*5))^3/6)+(((0.15*B1438*5))^4/24)+(((0.15*B1438*5))^5/120))),0))+IF(Inputs!$B$3&gt;=54,9*(C1408=TRUE)*MIN(1,8*(1+Inputs!$B$34/100)*Q1408)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1416*(1-MIN(100,(Inputs!$B$9+((C1424=TRUE)*(F1424-Calc!F19))+B1436+(ArtifactsInput!$M$24-ArtifactsInput!$M$24)*CHOOSE(ArtifactsInput!$N$24+1,10,12,14,16,18,20)+(IF(AND(Inputs!$B$38&lt;&gt;"pvp",Inputs!$B$43=0),1,IF(IF(Inputs!$B$38="pvp",15,Inputs!$B$43)-(B1443)&lt;=0,1,MAX(0,IF(Inputs!$B$38="pvp",15,Inputs!$B$43)-MAX(5,B1443))/(IF(Inputs!$B$38="pvp",15,Inputs!$B$43)-(B1443))))*IF(AND(ArtifactsInput!$M$42,((Inputs!$B$9+((C1424=TRUE)*(F1424-Calc!F19))+B1436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M1416*(MIN(100,(Inputs!$B$9+((C1424=TRUE)*(F1424-Calc!F19))+B1436+(ArtifactsInput!$M$24-ArtifactsInput!$M$24)*CHOOSE(ArtifactsInput!$N$24+1,10,12,14,16,18,20)+(IF(AND(Inputs!$B$38&lt;&gt;"pvp",Inputs!$B$43=0),1,IF(IF(Inputs!$B$38="pvp",15,Inputs!$B$43)-(B1443)&lt;=0,1,MAX(0,IF(Inputs!$B$38="pvp",15,Inputs!$B$43)-MAX(5,B1443))/(IF(Inputs!$B$38="pvp",15,Inputs!$B$43)-(B1443))))*IF(AND(ArtifactsInput!$M$42,((Inputs!$B$9+((C1424=TRUE)*(F1424-Calc!F19))+B1436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L1416*(1-MIN(100,(Inputs!$B$9+((C1424=TRUE)*(F1424-Calc!F19))+B1436+(ArtifactsInput!$M$24-ArtifactsInput!$M$24)*CHOOSE(ArtifactsInput!$N$24+1,10,12,14,16,18,20)+(IF(AND(Inputs!$B$38&lt;&gt;"pvp",Inputs!$B$43=0),1,IF(IF(Inputs!$B$38="pvp",15,Inputs!$B$43)-(B1443)&lt;=0,1,MAX(0,IF(Inputs!$B$38="pvp",15,Inputs!$B$43)-MAX(5,B1443))/(IF(Inputs!$B$38="pvp",15,Inputs!$B$43)-(B1443))))*IF(AND(ArtifactsInput!$M$42,((Inputs!$B$9+((C1424=TRUE)*(F1424-Calc!F19))+B1436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1416*(MIN(100,(Inputs!$B$9+((C1424=TRUE)*(F1424-Calc!F19))+B1436+(ArtifactsInput!$M$24-ArtifactsInput!$M$24)*CHOOSE(ArtifactsInput!$N$24+1,10,12,14,16,18,20)+(IF(AND(Inputs!$B$38&lt;&gt;"pvp",Inputs!$B$43=0),1,IF(IF(Inputs!$B$38="pvp",15,Inputs!$B$43)-(B1443)&lt;=0,1,MAX(0,IF(Inputs!$B$38="pvp",15,Inputs!$B$43)-MAX(5,B1443))/(IF(Inputs!$B$38="pvp",15,Inputs!$B$43)-(B1443))))*IF(AND(ArtifactsInput!$M$42,((Inputs!$B$9+((C1424=TRUE)*(F1424-Calc!F19))+B1436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416">
        <f>IF(C1416,(H1416*N1416*IF(AND(Inputs!$B$38&lt;&gt;"pvp",Inputs!$B$43&gt;0),((Skills!G11*((R1416-1)*IF(Skills!H11&gt;0,INT(Skills!I11/Skills!H11+0.000000001),1)+IF(Skills!H11&gt;0,INT(MIN(Skills!I11,MAX(0,MAX(0,Inputs!$B$43-B1443)-((R1416-1)*((IF(Inputs!$B$38="pvp",15,MAX(0.1,Skills!D11-IF(TRUE=TRUE,Inputs!$B$32,0)))*(1-IF(AND(ArtifactsInput!$M$27,Inputs!$B$4="Chapter Hunt"),CHOOSE(ArtifactsInput!$N$27+1,20,24,28,32,36,40),0)/100))/B1447))))/Skills!H11+0.000000001),1)))/Inputs!$B$43),G1416*Q1416))*IF(Inputs!$B$38="pvp",1,(1+(Inputs!$B$21+Skills!Q11+(IF(ArtifactsInput!$M$33,CHOOSE(ArtifactsInput!$N$33+1,30,36,42,48,54,60),0))+(IF(AND(ArtifactsInput!$M$35,Inputs!$B$4&lt;&gt;"Chapter Hunt"),CHOOSE(ArtifactsInput!$N$35+1,15,18,21,24,27,30)*(1-EXP(-(0.2*B1438)*5)),0)+IF(AND(ArtifactsInput!$M$22,Inputs!$B$4&lt;&gt;"Chapter Hunt"),CHOOSE(ArtifactsInput!$N$22+1,10,12,14,16,18,20)*((0*(((0.15*B1438*5))^0/1)+1*(((0.15*B1438*5))^1/1)+2*(((0.15*B1438*5))^2/2)+3*(((0.15*B1438*5))^3/6)+4*(((0.15*B1438*5))^4/24)+5*(((0.15*B1438*5))^5/120))/((((0.15*B1438*5))^0/1)+(((0.15*B1438*5))^1/1)+(((0.15*B1438*5))^2/2)+(((0.15*B1438*5))^3/6)+(((0.15*B1438*5))^4/24)+(((0.15*B1438*5))^5/120))),0))+IF(Inputs!$B$3&gt;=54,9*(C1408=TRUE)*MIN(1,8*(1+Inputs!$B$34/100)*Q1408),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17">
      <c r="A1417">
        <f>Skills!A12</f>
        <v/>
      </c>
      <c r="B1417">
        <f>Skills!B12</f>
        <v/>
      </c>
      <c r="C1417">
        <f>Inputs!$B$3&gt;=110</f>
        <v/>
      </c>
      <c r="D1417">
        <f>IF(Skills!C12=1,60+Inputs!$B$25+Inputs!$B$29,IF(Skills!C12=2,90+Inputs!$B$26+Inputs!$B$29,IF(Skills!C12=3,120+Inputs!$B$27+Inputs!$B$29,MAX(0,(Inputs!$B$3-100)*3)+Inputs!$B$28+Inputs!$B$29)))</f>
        <v/>
      </c>
      <c r="E1417">
        <f>INDEX(FactorTable!$B$2:$Y$301, MATCH(ROUND(MIN(300,MAX(1,D1417)),0), FactorTable!$A$2:$A$301,0), Skills!M12+1)</f>
        <v/>
      </c>
      <c r="F1417">
        <f>IF(Skills!N12=TRUE,(Skills!L12/10)*(E1417/1000),Skills!L12/10)+Skills!O12</f>
        <v/>
      </c>
      <c r="G1417">
        <f>Skills!G12*IF(Skills!H12&gt;0,INT(IF(Inputs!$B$38="pvp",MIN(Skills!I12,15),Skills!I12)/Skills!H12+0.000000001),1)</f>
        <v/>
      </c>
      <c r="H1417">
        <f>1-(1-Skills!J12/100)^Skills!K12</f>
        <v/>
      </c>
      <c r="I1417" t="inlineStr">
        <is>
          <t>1</t>
        </is>
      </c>
      <c r="J1417">
        <f>((Inputs!$B$6*(1+Inputs!$B$7/100))+(((Inputs!$B$12*(1+Inputs!$B$13/100))-(Inputs!$B$12*(1+Inputs!$B$13/100)))+0.25*(Inputs!$B$14-Inputs!$B$14))*(1+Inputs!$B$7/100))*(F1417/100)</f>
        <v/>
      </c>
      <c r="K1417">
        <f>J1417*(1+((Inputs!$B$12*(1+Inputs!$B$13/100))*0.01+Inputs!$B$14*0.0025)/100)*(1+Inputs!$B$15/100)*(1+Inputs!$B$16/100)*(5000/(6000+Inputs!$B$42*(1-(100*(1-(1-(Inputs!$B$19+0)/100)*(1-CHOOSE(ArtifactsInput!$N$40+1,5,6,7,8,9,10)/100)^(ArtifactsInput!$M$40-ArtifactsInput!$M$40)))/100)))*(1+(Inputs!$B$24+((C1431=TRUE)*(F1431-Calc!F26))+B1442)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EIGHT_LEGS_EASTON",Inputs!$B$17+((C1428=TRUE)*(F1428-Calc!F23))+((C1432=TRUE)*(F1432-Calc!F27))+((IF(AND(Inputs!$B$38&lt;&gt;"pvp",Inputs!$B$43=0),1,IF(IF(Inputs!$B$38="pvp",15,Inputs!$B$43)-(B1443)&lt;=0,1,MAX(0,IF(Inputs!$B$38="pvp",15,Inputs!$B$43)-MAX(5,B1443))/(IF(Inputs!$B$38="pvp",15,Inputs!$B$43)-(B1443))))*(IF(AND(ArtifactsInput!$M$42,((Inputs!$B$9+((C1424=TRUE)*(F1424-Calc!F19))+B1436+(ArtifactsInput!$M$24-ArtifactsInput!$M$24)*CHOOSE(ArtifactsInput!$N$24+1,10,12,14,16,18,20)+IF(ArtifactsInput!$M$10,CHOOSE(ArtifactsInput!$N$10+1,15,18,21,24,27,30)*(IF(Inputs!$B$38="pvp",MIN(15,15)/15,IF(AND(Inputs!$B$38&lt;&gt;"pvp",Inputs!$B$43&gt;0),MIN(15,Inputs!$B$43)/(Inputs!$B$43),0))),0)))&gt;=100),MIN(100,((Inputs!$B$9+((C1424=TRUE)*(F1424-Calc!F19))+B1436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1443)&lt;=0,1,MAX(0,IF(Inputs!$B$38="pvp",15,Inputs!$B$43)-MAX(5,B1443))/(IF(Inputs!$B$38="pvp",15,Inputs!$B$43)-(B1443))))*IF(AND(ArtifactsInput!$M$42,((Inputs!$B$9+((C1424=TRUE)*(F1424-Calc!F19))+B1436+(ArtifactsInput!$M$24-ArtifactsInput!$M$24)*CHOOSE(ArtifactsInput!$N$24+1,10,12,14,16,18,20)+IF(ArtifactsInput!$M$10,CHOOSE(ArtifactsInput!$N$10+1,15,18,21,24,27,30)*(IF(Inputs!$B$38="pvp",MIN(15,15)/15,IF(AND(Inputs!$B$38&lt;&gt;"pvp",Inputs!$B$43&gt;0),MIN(15,Inputs!$B$43)/(Inputs!$B$43),0))),0)))&gt;=100),CHOOSE(ArtifactsInput!$N$42+1,40,48,56,64,72,80),0))))/100)*((1+(((C1422=TRUE)*F1422*5/7)+((C1429=TRUE)*(F1429-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1417)</f>
        <v/>
      </c>
      <c r="L1417">
        <f>K1417*(MIN(Inputs!$B$22+((C1427=TRUE)*(F1427-Calc!F22)),(Inputs!$B$23+0+(IF(ArtifactsInput!$M$15,CHOOSE(ArtifactsInput!$N$15+1,25,30,35,40,45,50)/100*(Inputs!$B$11-Inputs!$B$11),0))))/100+(Inputs!$B$23+0+(IF(ArtifactsInput!$M$15,CHOOSE(ArtifactsInput!$N$15+1,25,30,35,40,45,50)/100*(Inputs!$B$11-Inputs!$B$11),0)))/100)/2</f>
        <v/>
      </c>
      <c r="M1417">
        <f>L1417*(1+(Inputs!$B$10+((C1430=TRUE)*(F1430-Calc!F25))+B1441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17">
        <f>L1417*(1-MIN((Inputs!$B$9+((C1424=TRUE)*(F1424-Calc!F19))+B1436+(ArtifactsInput!$M$24-ArtifactsInput!$M$24)*CHOOSE(ArtifactsInput!$N$24+1,10,12,14,16,18,20)+(IF(AND(Inputs!$B$38&lt;&gt;"pvp",Inputs!$B$43=0),1,IF(IF(Inputs!$B$38="pvp",15,Inputs!$B$43)-(B1443)&lt;=0,1,MAX(0,IF(Inputs!$B$38="pvp",15,Inputs!$B$43)-MAX(5,B1443))/(IF(Inputs!$B$38="pvp",15,Inputs!$B$43)-(B1443))))*IF(AND(ArtifactsInput!$M$42,((Inputs!$B$9+((C1424=TRUE)*(F1424-Calc!F19))+B1436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1417*(MIN((Inputs!$B$9+((C1424=TRUE)*(F1424-Calc!F19))+B1436+(ArtifactsInput!$M$24-ArtifactsInput!$M$24)*CHOOSE(ArtifactsInput!$N$24+1,10,12,14,16,18,20)+(IF(AND(Inputs!$B$38&lt;&gt;"pvp",Inputs!$B$43=0),1,IF(IF(Inputs!$B$38="pvp",15,Inputs!$B$43)-(B1443)&lt;=0,1,MAX(0,IF(Inputs!$B$38="pvp",15,Inputs!$B$43)-MAX(5,B1443))/(IF(Inputs!$B$38="pvp",15,Inputs!$B$43)-(B1443))))*IF(AND(ArtifactsInput!$M$42,((Inputs!$B$9+((C1424=TRUE)*(F1424-Calc!F19))+B1436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17">
        <f>(1-Summary!$B$11)*T1417+Summary!$B$11*V1417</f>
        <v/>
      </c>
      <c r="P1417">
        <f>IF(B1446=0,0,O1417/B1446)</f>
        <v/>
      </c>
      <c r="Q1417">
        <f>IFERROR(1/(IF(Inputs!$B$38="pvp",15,MAX(0.1,Skills!D12-IF(TRUE=TRUE,Inputs!$B$32,0)))*(1-IF(AND(ArtifactsInput!$M$27,Inputs!$B$4="Chapter Hunt"),CHOOSE(ArtifactsInput!$N$27+1,20,24,28,32,36,40),0)/100)),0)</f>
        <v/>
      </c>
      <c r="R1417">
        <f>IF(AND(Inputs!$B$38&lt;&gt;"pvp",Inputs!$B$43&gt;0),IF(MAX(0,Inputs!$B$43-B1443)&lt;=0,0,(INT(MAX(0,Inputs!$B$43-B1443)/(IF(Inputs!$B$38="pvp",15,MAX(0.1,Skills!D12-IF(TRUE=TRUE,Inputs!$B$32,0)))*(1-IF(AND(ArtifactsInput!$M$27,Inputs!$B$4="Chapter Hunt"),CHOOSE(ArtifactsInput!$N$27+1,20,24,28,32,36,40),0)/100)))+1)),0)</f>
        <v/>
      </c>
      <c r="S1417">
        <f>IFERROR(O1417/N1417,0)</f>
        <v/>
      </c>
      <c r="T1417">
        <f>IF(C1417,(H1417*N1417*IF(AND(Inputs!$B$38&lt;&gt;"pvp",Inputs!$B$43&gt;0),((Skills!G12*((R1417-1)*IF(Skills!H12&gt;0,INT(Skills!I12/Skills!H12+0.000000001),1)+IF(Skills!H12&gt;0,INT(MIN(Skills!I12,MAX(0,MAX(0,Inputs!$B$43-B1443)-((R1417-1)*(IF(Inputs!$B$38="pvp",15,MAX(0.1,Skills!D12-IF(TRUE=TRUE,Inputs!$B$32,0)))*(1-IF(AND(ArtifactsInput!$M$27,Inputs!$B$4="Chapter Hunt"),CHOOSE(ArtifactsInput!$N$27+1,20,24,28,32,36,40),0)/100)))))/Skills!H12+0.000000001),1)))/Inputs!$B$43),G1417*Q1417))*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Hunt"),CHOOSE(ArtifactsInput!$N$35+1,15,18,21,24,27,30)*(1-EXP(-(0.2*B1438)*5)),0)+IF(AND(ArtifactsInput!$M$22,Inputs!$B$4&lt;&gt;"Chapter Hunt"),CHOOSE(ArtifactsInput!$N$22+1,10,12,14,16,18,20)*((0*(((0.15*B1438*5))^0/1)+1*(((0.15*B1438*5))^1/1)+2*(((0.15*B1438*5))^2/2)+3*(((0.15*B1438*5))^3/6)+4*(((0.15*B1438*5))^4/24)+5*(((0.15*B1438*5))^5/120))/((((0.15*B1438*5))^0/1)+(((0.15*B1438*5))^1/1)+(((0.15*B1438*5))^2/2)+(((0.15*B1438*5))^3/6)+(((0.15*B1438*5))^4/24)+(((0.15*B1438*5))^5/120))),0))+IF(Inputs!$B$3&gt;=54,9*(C1408=TRUE)*MIN(1,8*(1+Inputs!$B$34/100)*Q1408)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1417*(1-MIN(100,(Inputs!$B$9+((C1424=TRUE)*(F1424-Calc!F19))+B1436+(ArtifactsInput!$M$24-ArtifactsInput!$M$24)*CHOOSE(ArtifactsInput!$N$24+1,10,12,14,16,18,20)+(IF(AND(Inputs!$B$38&lt;&gt;"pvp",Inputs!$B$43=0),1,IF(IF(Inputs!$B$38="pvp",15,Inputs!$B$43)-(B1443)&lt;=0,1,MAX(0,IF(Inputs!$B$38="pvp",15,Inputs!$B$43)-MAX(5,B1443))/(IF(Inputs!$B$38="pvp",15,Inputs!$B$43)-(B1443))))*IF(AND(ArtifactsInput!$M$42,((Inputs!$B$9+((C1424=TRUE)*(F1424-Calc!F19))+B1436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M1417*(MIN(100,(Inputs!$B$9+((C1424=TRUE)*(F1424-Calc!F19))+B1436+(ArtifactsInput!$M$24-ArtifactsInput!$M$24)*CHOOSE(ArtifactsInput!$N$24+1,10,12,14,16,18,20)+(IF(AND(Inputs!$B$38&lt;&gt;"pvp",Inputs!$B$43=0),1,IF(IF(Inputs!$B$38="pvp",15,Inputs!$B$43)-(B1443)&lt;=0,1,MAX(0,IF(Inputs!$B$38="pvp",15,Inputs!$B$43)-MAX(5,B1443))/(IF(Inputs!$B$38="pvp",15,Inputs!$B$43)-(B1443))))*IF(AND(ArtifactsInput!$M$42,((Inputs!$B$9+((C1424=TRUE)*(F1424-Calc!F19))+B1436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L1417*(1-MIN(100,(Inputs!$B$9+((C1424=TRUE)*(F1424-Calc!F19))+B1436+(ArtifactsInput!$M$24-ArtifactsInput!$M$24)*CHOOSE(ArtifactsInput!$N$24+1,10,12,14,16,18,20)+(IF(AND(Inputs!$B$38&lt;&gt;"pvp",Inputs!$B$43=0),1,IF(IF(Inputs!$B$38="pvp",15,Inputs!$B$43)-(B1443)&lt;=0,1,MAX(0,IF(Inputs!$B$38="pvp",15,Inputs!$B$43)-MAX(5,B1443))/(IF(Inputs!$B$38="pvp",15,Inputs!$B$43)-(B1443))))*IF(AND(ArtifactsInput!$M$42,((Inputs!$B$9+((C1424=TRUE)*(F1424-Calc!F19))+B1436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1417*(MIN(100,(Inputs!$B$9+((C1424=TRUE)*(F1424-Calc!F19))+B1436+(ArtifactsInput!$M$24-ArtifactsInput!$M$24)*CHOOSE(ArtifactsInput!$N$24+1,10,12,14,16,18,20)+(IF(AND(Inputs!$B$38&lt;&gt;"pvp",Inputs!$B$43=0),1,IF(IF(Inputs!$B$38="pvp",15,Inputs!$B$43)-(B1443)&lt;=0,1,MAX(0,IF(Inputs!$B$38="pvp",15,Inputs!$B$43)-MAX(5,B1443))/(IF(Inputs!$B$38="pvp",15,Inputs!$B$43)-(B1443))))*IF(AND(ArtifactsInput!$M$42,((Inputs!$B$9+((C1424=TRUE)*(F1424-Calc!F19))+B1436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417">
        <f>IF(C1417,(H1417*N1417*IF(AND(Inputs!$B$38&lt;&gt;"pvp",Inputs!$B$43&gt;0),((Skills!G12*((R1417-1)*IF(Skills!H12&gt;0,INT(Skills!I12/Skills!H12+0.000000001),1)+IF(Skills!H12&gt;0,INT(MIN(Skills!I12,MAX(0,MAX(0,Inputs!$B$43-B1443)-((R1417-1)*(IF(Inputs!$B$38="pvp",15,MAX(0.1,Skills!D12-IF(TRUE=TRUE,Inputs!$B$32,0)))*(1-IF(AND(ArtifactsInput!$M$27,Inputs!$B$4="Chapter Hunt"),CHOOSE(ArtifactsInput!$N$27+1,20,24,28,32,36,40),0)/100)))))/Skills!H12+0.000000001),1)))/Inputs!$B$43),G1417*Q1417))*IF(Inputs!$B$38="pvp",1,(1+(Inputs!$B$21+Skills!Q12+(IF(ArtifactsInput!$M$33,CHOOSE(ArtifactsInput!$N$33+1,30,36,42,48,54,60),0))+(IF(AND(ArtifactsInput!$M$35,Inputs!$B$4&lt;&gt;"Chapter Hunt"),CHOOSE(ArtifactsInput!$N$35+1,15,18,21,24,27,30)*(1-EXP(-(0.2*B1438)*5)),0)+IF(AND(ArtifactsInput!$M$22,Inputs!$B$4&lt;&gt;"Chapter Hunt"),CHOOSE(ArtifactsInput!$N$22+1,10,12,14,16,18,20)*((0*(((0.15*B1438*5))^0/1)+1*(((0.15*B1438*5))^1/1)+2*(((0.15*B1438*5))^2/2)+3*(((0.15*B1438*5))^3/6)+4*(((0.15*B1438*5))^4/24)+5*(((0.15*B1438*5))^5/120))/((((0.15*B1438*5))^0/1)+(((0.15*B1438*5))^1/1)+(((0.15*B1438*5))^2/2)+(((0.15*B1438*5))^3/6)+(((0.15*B1438*5))^4/24)+(((0.15*B1438*5))^5/120))),0))+IF(Inputs!$B$3&gt;=54,9*(C1408=TRUE)*MIN(1,8*(1+Inputs!$B$34/100)*Q1408),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18">
      <c r="A1418">
        <f>Skills!A13</f>
        <v/>
      </c>
      <c r="B1418">
        <f>Skills!B13</f>
        <v/>
      </c>
      <c r="C1418">
        <f>Inputs!$B$3&gt;=110</f>
        <v/>
      </c>
      <c r="D1418">
        <f>IF(Skills!C13=1,60+Inputs!$B$25+Inputs!$B$29,IF(Skills!C13=2,90+Inputs!$B$26+Inputs!$B$29,IF(Skills!C13=3,120+Inputs!$B$27+Inputs!$B$29,MAX(0,(Inputs!$B$3-100)*3)+Inputs!$B$28+Inputs!$B$29)))</f>
        <v/>
      </c>
      <c r="E1418">
        <f>INDEX(FactorTable!$B$2:$Y$301, MATCH(ROUND(MIN(300,MAX(1,D1418)),0), FactorTable!$A$2:$A$301,0), Skills!M13+1)</f>
        <v/>
      </c>
      <c r="F1418">
        <f>IF(Skills!N13=TRUE,(Skills!L13/10)*(E1418/1000),Skills!L13/10)+Skills!O13</f>
        <v/>
      </c>
      <c r="G1418">
        <f>Skills!G13*IF(Skills!H13&gt;0,INT(IF(Inputs!$B$38="pvp",MIN(Skills!I13,15),Skills!I13)/Skills!H13+0.000000001),1)</f>
        <v/>
      </c>
      <c r="H1418">
        <f>1-(1-Skills!J13/100)^Skills!K13</f>
        <v/>
      </c>
      <c r="I1418" t="inlineStr">
        <is>
          <t>1</t>
        </is>
      </c>
      <c r="J1418">
        <f>((Inputs!$B$6*(1+Inputs!$B$7/100))+(((Inputs!$B$12*(1+Inputs!$B$13/100))-(Inputs!$B$12*(1+Inputs!$B$13/100)))+0.25*(Inputs!$B$14-Inputs!$B$14))*(1+Inputs!$B$7/100))*(F1418/100)</f>
        <v/>
      </c>
      <c r="K1418">
        <f>J1418*(1+((Inputs!$B$12*(1+Inputs!$B$13/100))*0.01+Inputs!$B$14*0.0025)/100)*(1+Inputs!$B$15/100)*(1+Inputs!$B$16/100)*(5000/(6000+Inputs!$B$42*(1-(100*(1-(1-(Inputs!$B$19+0)/100)*(1-CHOOSE(ArtifactsInput!$N$40+1,5,6,7,8,9,10)/100)^(ArtifactsInput!$M$40-ArtifactsInput!$M$40)))/100)))*(1+(Inputs!$B$24+((C1431=TRUE)*(F1431-Calc!F26))+B1442)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EIGHT_LEGS_EASTON",Inputs!$B$17+((C1428=TRUE)*(F1428-Calc!F23))+((C1432=TRUE)*(F1432-Calc!F27))+((IF(AND(Inputs!$B$38&lt;&gt;"pvp",Inputs!$B$43=0),1,IF(IF(Inputs!$B$38="pvp",15,Inputs!$B$43)-(B1443)&lt;=0,1,MAX(0,IF(Inputs!$B$38="pvp",15,Inputs!$B$43)-MAX(5,B1443))/(IF(Inputs!$B$38="pvp",15,Inputs!$B$43)-(B1443))))*(IF(AND(ArtifactsInput!$M$42,((Inputs!$B$9+((C1424=TRUE)*(F1424-Calc!F19))+B1436+(ArtifactsInput!$M$24-ArtifactsInput!$M$24)*CHOOSE(ArtifactsInput!$N$24+1,10,12,14,16,18,20)+IF(ArtifactsInput!$M$10,CHOOSE(ArtifactsInput!$N$10+1,15,18,21,24,27,30)*(IF(Inputs!$B$38="pvp",MIN(15,15)/15,IF(AND(Inputs!$B$38&lt;&gt;"pvp",Inputs!$B$43&gt;0),MIN(15,Inputs!$B$43)/(Inputs!$B$43),0))),0)))&gt;=100),MIN(100,((Inputs!$B$9+((C1424=TRUE)*(F1424-Calc!F19))+B1436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1443)&lt;=0,1,MAX(0,IF(Inputs!$B$38="pvp",15,Inputs!$B$43)-MAX(5,B1443))/(IF(Inputs!$B$38="pvp",15,Inputs!$B$43)-(B1443))))*IF(AND(ArtifactsInput!$M$42,((Inputs!$B$9+((C1424=TRUE)*(F1424-Calc!F19))+B1436+(ArtifactsInput!$M$24-ArtifactsInput!$M$24)*CHOOSE(ArtifactsInput!$N$24+1,10,12,14,16,18,20)+IF(ArtifactsInput!$M$10,CHOOSE(ArtifactsInput!$N$10+1,15,18,21,24,27,30)*(IF(Inputs!$B$38="pvp",MIN(15,15)/15,IF(AND(Inputs!$B$38&lt;&gt;"pvp",Inputs!$B$43&gt;0),MIN(15,Inputs!$B$43)/(Inputs!$B$43),0))),0)))&gt;=100),CHOOSE(ArtifactsInput!$N$42+1,40,48,56,64,72,80),0))))/100)*((1+(((C1422=TRUE)*F1422*5/7)+((C1429=TRUE)*(F1429-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1418)</f>
        <v/>
      </c>
      <c r="L1418">
        <f>K1418*(MIN(Inputs!$B$22+((C1427=TRUE)*(F1427-Calc!F22)),(Inputs!$B$23+0+(IF(ArtifactsInput!$M$15,CHOOSE(ArtifactsInput!$N$15+1,25,30,35,40,45,50)/100*(Inputs!$B$11-Inputs!$B$11),0))))/100+(Inputs!$B$23+0+(IF(ArtifactsInput!$M$15,CHOOSE(ArtifactsInput!$N$15+1,25,30,35,40,45,50)/100*(Inputs!$B$11-Inputs!$B$11),0)))/100)/2</f>
        <v/>
      </c>
      <c r="M1418">
        <f>L1418*(1+(Inputs!$B$10+((C1430=TRUE)*(F1430-Calc!F25))+B1441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18">
        <f>L1418*(1-MIN((Inputs!$B$9+((C1424=TRUE)*(F1424-Calc!F19))+B1436+(ArtifactsInput!$M$24-ArtifactsInput!$M$24)*CHOOSE(ArtifactsInput!$N$24+1,10,12,14,16,18,20)+(IF(AND(Inputs!$B$38&lt;&gt;"pvp",Inputs!$B$43=0),1,IF(IF(Inputs!$B$38="pvp",15,Inputs!$B$43)-(B1443)&lt;=0,1,MAX(0,IF(Inputs!$B$38="pvp",15,Inputs!$B$43)-MAX(5,B1443))/(IF(Inputs!$B$38="pvp",15,Inputs!$B$43)-(B1443))))*IF(AND(ArtifactsInput!$M$42,((Inputs!$B$9+((C1424=TRUE)*(F1424-Calc!F19))+B1436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1418*(MIN((Inputs!$B$9+((C1424=TRUE)*(F1424-Calc!F19))+B1436+(ArtifactsInput!$M$24-ArtifactsInput!$M$24)*CHOOSE(ArtifactsInput!$N$24+1,10,12,14,16,18,20)+(IF(AND(Inputs!$B$38&lt;&gt;"pvp",Inputs!$B$43=0),1,IF(IF(Inputs!$B$38="pvp",15,Inputs!$B$43)-(B1443)&lt;=0,1,MAX(0,IF(Inputs!$B$38="pvp",15,Inputs!$B$43)-MAX(5,B1443))/(IF(Inputs!$B$38="pvp",15,Inputs!$B$43)-(B1443))))*IF(AND(ArtifactsInput!$M$42,((Inputs!$B$9+((C1424=TRUE)*(F1424-Calc!F19))+B1436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18">
        <f>(1-Summary!$B$11)*T1418+Summary!$B$11*V1418</f>
        <v/>
      </c>
      <c r="P1418">
        <f>IF(B1446=0,0,O1418/B1446)</f>
        <v/>
      </c>
      <c r="Q1418">
        <f>IFERROR(1/(IF(Inputs!$B$38="pvp",15,MAX(0.1,Skills!D13-IF(TRUE=TRUE,Inputs!$B$32,0)))*(1-IF(AND(ArtifactsInput!$M$27,Inputs!$B$4="Chapter Hunt"),CHOOSE(ArtifactsInput!$N$27+1,20,24,28,32,36,40),0)/100)),0)</f>
        <v/>
      </c>
      <c r="R1418">
        <f>IF(AND(Inputs!$B$38&lt;&gt;"pvp",Inputs!$B$43&gt;0),IF(MAX(0,Inputs!$B$43-B1443)&lt;=0,0,(INT(MAX(0,Inputs!$B$43-B1443)/(IF(Inputs!$B$38="pvp",15,MAX(0.1,Skills!D13-IF(TRUE=TRUE,Inputs!$B$32,0)))*(1-IF(AND(ArtifactsInput!$M$27,Inputs!$B$4="Chapter Hunt"),CHOOSE(ArtifactsInput!$N$27+1,20,24,28,32,36,40),0)/100)))+1)),0)</f>
        <v/>
      </c>
      <c r="S1418">
        <f>IFERROR(O1418/N1418,0)</f>
        <v/>
      </c>
      <c r="T1418">
        <f>IF(C1418,(H1418*N1418*IF(AND(Inputs!$B$38&lt;&gt;"pvp",Inputs!$B$43&gt;0),((Skills!G13*((R1418-1)*IF(Skills!H13&gt;0,INT(Skills!I13/Skills!H13+0.000000001),1)+IF(Skills!H13&gt;0,INT(MIN(Skills!I13,MAX(0,MAX(0,Inputs!$B$43-B1443)-((R1418-1)*(IF(Inputs!$B$38="pvp",15,MAX(0.1,Skills!D13-IF(TRUE=TRUE,Inputs!$B$32,0)))*(1-IF(AND(ArtifactsInput!$M$27,Inputs!$B$4="Chapter Hunt"),CHOOSE(ArtifactsInput!$N$27+1,20,24,28,32,36,40),0)/100)))))/Skills!H13+0.000000001),1)))/Inputs!$B$43),G1418*Q1418))*IF(Inputs!$B$38="pvp",1,1+(Inputs!$B$20+0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Hunt"),CHOOSE(ArtifactsInput!$N$35+1,15,18,21,24,27,30)*(1-EXP(-(0.2*B1438)*5)),0)+IF(AND(ArtifactsInput!$M$22,Inputs!$B$4&lt;&gt;"Chapter Hunt"),CHOOSE(ArtifactsInput!$N$22+1,10,12,14,16,18,20)*((0*(((0.15*B1438*5))^0/1)+1*(((0.15*B1438*5))^1/1)+2*(((0.15*B1438*5))^2/2)+3*(((0.15*B1438*5))^3/6)+4*(((0.15*B1438*5))^4/24)+5*(((0.15*B1438*5))^5/120))/((((0.15*B1438*5))^0/1)+(((0.15*B1438*5))^1/1)+(((0.15*B1438*5))^2/2)+(((0.15*B1438*5))^3/6)+(((0.15*B1438*5))^4/24)+(((0.15*B1438*5))^5/120))),0))+IF(Inputs!$B$3&gt;=54,9*(C1408=TRUE)*MIN(1,8*(1+Inputs!$B$34/100)*Q1408)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1418*(1-MIN(100,(Inputs!$B$9+((C1424=TRUE)*(F1424-Calc!F19))+B1436+(ArtifactsInput!$M$24-ArtifactsInput!$M$24)*CHOOSE(ArtifactsInput!$N$24+1,10,12,14,16,18,20)+(IF(AND(Inputs!$B$38&lt;&gt;"pvp",Inputs!$B$43=0),1,IF(IF(Inputs!$B$38="pvp",15,Inputs!$B$43)-(B1443)&lt;=0,1,MAX(0,IF(Inputs!$B$38="pvp",15,Inputs!$B$43)-MAX(5,B1443))/(IF(Inputs!$B$38="pvp",15,Inputs!$B$43)-(B1443))))*IF(AND(ArtifactsInput!$M$42,((Inputs!$B$9+((C1424=TRUE)*(F1424-Calc!F19))+B1436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M1418*(MIN(100,(Inputs!$B$9+((C1424=TRUE)*(F1424-Calc!F19))+B1436+(ArtifactsInput!$M$24-ArtifactsInput!$M$24)*CHOOSE(ArtifactsInput!$N$24+1,10,12,14,16,18,20)+(IF(AND(Inputs!$B$38&lt;&gt;"pvp",Inputs!$B$43=0),1,IF(IF(Inputs!$B$38="pvp",15,Inputs!$B$43)-(B1443)&lt;=0,1,MAX(0,IF(Inputs!$B$38="pvp",15,Inputs!$B$43)-MAX(5,B1443))/(IF(Inputs!$B$38="pvp",15,Inputs!$B$43)-(B1443))))*IF(AND(ArtifactsInput!$M$42,((Inputs!$B$9+((C1424=TRUE)*(F1424-Calc!F19))+B1436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L1418*(1-MIN(100,(Inputs!$B$9+((C1424=TRUE)*(F1424-Calc!F19))+B1436+(ArtifactsInput!$M$24-ArtifactsInput!$M$24)*CHOOSE(ArtifactsInput!$N$24+1,10,12,14,16,18,20)+(IF(AND(Inputs!$B$38&lt;&gt;"pvp",Inputs!$B$43=0),1,IF(IF(Inputs!$B$38="pvp",15,Inputs!$B$43)-(B1443)&lt;=0,1,MAX(0,IF(Inputs!$B$38="pvp",15,Inputs!$B$43)-MAX(5,B1443))/(IF(Inputs!$B$38="pvp",15,Inputs!$B$43)-(B1443))))*IF(AND(ArtifactsInput!$M$42,((Inputs!$B$9+((C1424=TRUE)*(F1424-Calc!F19))+B1436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1418*(MIN(100,(Inputs!$B$9+((C1424=TRUE)*(F1424-Calc!F19))+B1436+(ArtifactsInput!$M$24-ArtifactsInput!$M$24)*CHOOSE(ArtifactsInput!$N$24+1,10,12,14,16,18,20)+(IF(AND(Inputs!$B$38&lt;&gt;"pvp",Inputs!$B$43=0),1,IF(IF(Inputs!$B$38="pvp",15,Inputs!$B$43)-(B1443)&lt;=0,1,MAX(0,IF(Inputs!$B$38="pvp",15,Inputs!$B$43)-MAX(5,B1443))/(IF(Inputs!$B$38="pvp",15,Inputs!$B$43)-(B1443))))*IF(AND(ArtifactsInput!$M$42,((Inputs!$B$9+((C1424=TRUE)*(F1424-Calc!F19))+B1436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418">
        <f>IF(C1418,(H1418*N1418*IF(AND(Inputs!$B$38&lt;&gt;"pvp",Inputs!$B$43&gt;0),((Skills!G13*((R1418-1)*IF(Skills!H13&gt;0,INT(Skills!I13/Skills!H13+0.000000001),1)+IF(Skills!H13&gt;0,INT(MIN(Skills!I13,MAX(0,MAX(0,Inputs!$B$43-B1443)-((R1418-1)*(IF(Inputs!$B$38="pvp",15,MAX(0.1,Skills!D13-IF(TRUE=TRUE,Inputs!$B$32,0)))*(1-IF(AND(ArtifactsInput!$M$27,Inputs!$B$4="Chapter Hunt"),CHOOSE(ArtifactsInput!$N$27+1,20,24,28,32,36,40),0)/100)))))/Skills!H13+0.000000001),1)))/Inputs!$B$43),G1418*Q1418))*IF(Inputs!$B$38="pvp",1,(1+(Inputs!$B$21+Skills!Q13+(IF(ArtifactsInput!$M$33,CHOOSE(ArtifactsInput!$N$33+1,30,36,42,48,54,60),0))+(IF(AND(ArtifactsInput!$M$35,Inputs!$B$4&lt;&gt;"Chapter Hunt"),CHOOSE(ArtifactsInput!$N$35+1,15,18,21,24,27,30)*(1-EXP(-(0.2*B1438)*5)),0)+IF(AND(ArtifactsInput!$M$22,Inputs!$B$4&lt;&gt;"Chapter Hunt"),CHOOSE(ArtifactsInput!$N$22+1,10,12,14,16,18,20)*((0*(((0.15*B1438*5))^0/1)+1*(((0.15*B1438*5))^1/1)+2*(((0.15*B1438*5))^2/2)+3*(((0.15*B1438*5))^3/6)+4*(((0.15*B1438*5))^4/24)+5*(((0.15*B1438*5))^5/120))/((((0.15*B1438*5))^0/1)+(((0.15*B1438*5))^1/1)+(((0.15*B1438*5))^2/2)+(((0.15*B1438*5))^3/6)+(((0.15*B1438*5))^4/24)+(((0.15*B1438*5))^5/120))),0))+IF(Inputs!$B$3&gt;=54,9*(C1408=TRUE)*MIN(1,8*(1+Inputs!$B$34/100)*Q1408),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19">
      <c r="A1419">
        <f>Skills!A14</f>
        <v/>
      </c>
      <c r="B1419">
        <f>Skills!B14</f>
        <v/>
      </c>
      <c r="C1419">
        <f>Inputs!$B$3&gt;=120</f>
        <v/>
      </c>
      <c r="D1419">
        <f>IF(Skills!C14=1,60+Inputs!$B$25+Inputs!$B$29,IF(Skills!C14=2,90+Inputs!$B$26+Inputs!$B$29,IF(Skills!C14=3,120+Inputs!$B$27+Inputs!$B$29,MAX(0,(Inputs!$B$3-100)*3)+Inputs!$B$28+Inputs!$B$29)))</f>
        <v/>
      </c>
      <c r="E1419">
        <f>INDEX(FactorTable!$B$2:$Y$301, MATCH(ROUND(MIN(300,MAX(1,D1419)),0), FactorTable!$A$2:$A$301,0), Skills!M14+1)</f>
        <v/>
      </c>
      <c r="F1419">
        <f>IF(Skills!N14=TRUE,(Skills!L14/10)*(E1419/1000),Skills!L14/10)+Skills!O14</f>
        <v/>
      </c>
      <c r="G1419">
        <f>Skills!G14*IF(Skills!H14&gt;0,INT(IF(Inputs!$B$38="pvp",MIN(Skills!I14,15),Skills!I14)/Skills!H14+0.000000001),1)</f>
        <v/>
      </c>
      <c r="H1419">
        <f>1-(1-Skills!J14/100)^Skills!K14</f>
        <v/>
      </c>
      <c r="I1419" t="inlineStr">
        <is>
          <t>1</t>
        </is>
      </c>
      <c r="J1419">
        <f>((Inputs!$B$6*(1+Inputs!$B$7/100))+(((Inputs!$B$12*(1+Inputs!$B$13/100))-(Inputs!$B$12*(1+Inputs!$B$13/100)))+0.25*(Inputs!$B$14-Inputs!$B$14))*(1+Inputs!$B$7/100))*(F1419/100)</f>
        <v/>
      </c>
      <c r="K1419">
        <f>J1419*(1+((Inputs!$B$12*(1+Inputs!$B$13/100))*0.01+Inputs!$B$14*0.0025)/100)*(1+Inputs!$B$15/100)*(1+Inputs!$B$16/100)*(5000/(6000+Inputs!$B$42*(1-(100*(1-(1-(Inputs!$B$19+0)/100)*(1-CHOOSE(ArtifactsInput!$N$40+1,5,6,7,8,9,10)/100)^(ArtifactsInput!$M$40-ArtifactsInput!$M$40)))/100)))*(1+(Inputs!$B$24+((C1431=TRUE)*(F1431-Calc!F26))+B1442)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EIGHT_LEGS_EASTON",Inputs!$B$17+((C1428=TRUE)*(F1428-Calc!F23))+((C1432=TRUE)*(F1432-Calc!F27))+((IF(AND(Inputs!$B$38&lt;&gt;"pvp",Inputs!$B$43=0),1,IF(IF(Inputs!$B$38="pvp",15,Inputs!$B$43)-(B1443)&lt;=0,1,MAX(0,IF(Inputs!$B$38="pvp",15,Inputs!$B$43)-MAX(5,B1443))/(IF(Inputs!$B$38="pvp",15,Inputs!$B$43)-(B1443))))*(IF(AND(ArtifactsInput!$M$42,((Inputs!$B$9+((C1424=TRUE)*(F1424-Calc!F19))+B1436+(ArtifactsInput!$M$24-ArtifactsInput!$M$24)*CHOOSE(ArtifactsInput!$N$24+1,10,12,14,16,18,20)+IF(ArtifactsInput!$M$10,CHOOSE(ArtifactsInput!$N$10+1,15,18,21,24,27,30)*(IF(Inputs!$B$38="pvp",MIN(15,15)/15,IF(AND(Inputs!$B$38&lt;&gt;"pvp",Inputs!$B$43&gt;0),MIN(15,Inputs!$B$43)/(Inputs!$B$43),0))),0)))&gt;=100),MIN(100,((Inputs!$B$9+((C1424=TRUE)*(F1424-Calc!F19))+B1436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1443)&lt;=0,1,MAX(0,IF(Inputs!$B$38="pvp",15,Inputs!$B$43)-MAX(5,B1443))/(IF(Inputs!$B$38="pvp",15,Inputs!$B$43)-(B1443))))*IF(AND(ArtifactsInput!$M$42,((Inputs!$B$9+((C1424=TRUE)*(F1424-Calc!F19))+B1436+(ArtifactsInput!$M$24-ArtifactsInput!$M$24)*CHOOSE(ArtifactsInput!$N$24+1,10,12,14,16,18,20)+IF(ArtifactsInput!$M$10,CHOOSE(ArtifactsInput!$N$10+1,15,18,21,24,27,30)*(IF(Inputs!$B$38="pvp",MIN(15,15)/15,IF(AND(Inputs!$B$38&lt;&gt;"pvp",Inputs!$B$43&gt;0),MIN(15,Inputs!$B$43)/(Inputs!$B$43),0))),0)))&gt;=100),CHOOSE(ArtifactsInput!$N$42+1,40,48,56,64,72,80),0))))/100)*((1+(((C1422=TRUE)*F1422*5/7)+((C1429=TRUE)*(F1429-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1419)</f>
        <v/>
      </c>
      <c r="L1419">
        <f>K1419*(MIN(Inputs!$B$22+((C1427=TRUE)*(F1427-Calc!F22)),(Inputs!$B$23+0+(IF(ArtifactsInput!$M$15,CHOOSE(ArtifactsInput!$N$15+1,25,30,35,40,45,50)/100*(Inputs!$B$11-Inputs!$B$11),0))))/100+(Inputs!$B$23+0+(IF(ArtifactsInput!$M$15,CHOOSE(ArtifactsInput!$N$15+1,25,30,35,40,45,50)/100*(Inputs!$B$11-Inputs!$B$11),0)))/100)/2</f>
        <v/>
      </c>
      <c r="M1419">
        <f>L1419*(1+(Inputs!$B$10+((C1430=TRUE)*(F1430-Calc!F25))+B1441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19">
        <f>L1419*(1-MIN((Inputs!$B$9+((C1424=TRUE)*(F1424-Calc!F19))+B1436+(ArtifactsInput!$M$24-ArtifactsInput!$M$24)*CHOOSE(ArtifactsInput!$N$24+1,10,12,14,16,18,20)+(IF(AND(Inputs!$B$38&lt;&gt;"pvp",Inputs!$B$43=0),1,IF(IF(Inputs!$B$38="pvp",15,Inputs!$B$43)-(B1443)&lt;=0,1,MAX(0,IF(Inputs!$B$38="pvp",15,Inputs!$B$43)-MAX(5,B1443))/(IF(Inputs!$B$38="pvp",15,Inputs!$B$43)-(B1443))))*IF(AND(ArtifactsInput!$M$42,((Inputs!$B$9+((C1424=TRUE)*(F1424-Calc!F19))+B1436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1419*(MIN((Inputs!$B$9+((C1424=TRUE)*(F1424-Calc!F19))+B1436+(ArtifactsInput!$M$24-ArtifactsInput!$M$24)*CHOOSE(ArtifactsInput!$N$24+1,10,12,14,16,18,20)+(IF(AND(Inputs!$B$38&lt;&gt;"pvp",Inputs!$B$43=0),1,IF(IF(Inputs!$B$38="pvp",15,Inputs!$B$43)-(B1443)&lt;=0,1,MAX(0,IF(Inputs!$B$38="pvp",15,Inputs!$B$43)-MAX(5,B1443))/(IF(Inputs!$B$38="pvp",15,Inputs!$B$43)-(B1443))))*IF(AND(ArtifactsInput!$M$42,((Inputs!$B$9+((C1424=TRUE)*(F1424-Calc!F19))+B1436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19">
        <f>(1-Summary!$B$11)*T1419+Summary!$B$11*V1419</f>
        <v/>
      </c>
      <c r="P1419">
        <f>IF(B1446=0,0,O1419/B1446)</f>
        <v/>
      </c>
      <c r="Q1419" t="n">
        <v>0</v>
      </c>
      <c r="R1419" t="n">
        <v>0</v>
      </c>
      <c r="S1419">
        <f>IFERROR(O1419/N1419,0)</f>
        <v/>
      </c>
      <c r="T1419">
        <f>IF(C1419,((H1419*(B1440+IF(AND(Inputs!$B$38&lt;&gt;"pvp",Inputs!$B$43&gt;0),((Skills!G8*((R1413-1)*IF(Skills!H8&gt;0,INT(Skills!I8/Skills!H8+0.000000001),1)+IF(Skills!H8&gt;0,INT(MIN(Skills!I8,MAX(0,MAX(0,Inputs!$B$43-B1443)-((R1413-1)*((IF(Inputs!$B$38="pvp",15,MAX(0.1,Skills!D8-IF(TRUE=TRUE,Inputs!$B$32,0)))*(1-IF(AND(ArtifactsInput!$M$27,Inputs!$B$4="Chapter Hunt"),CHOOSE(ArtifactsInput!$N$27+1,20,24,28,32,36,40),0)/100))/B1447))))/Skills!H8+0.000000001),1)))/Inputs!$B$43),G1413*Q1413)+IF(AND(Inputs!$B$38&lt;&gt;"pvp",Inputs!$B$43&gt;0),((Skills!G11*((R1416-1)*IF(Skills!H11&gt;0,INT(Skills!I11/Skills!H11+0.000000001),1)+IF(Skills!H11&gt;0,INT(MIN(Skills!I11,MAX(0,MAX(0,Inputs!$B$43-B1443)-((R1416-1)*((IF(Inputs!$B$38="pvp",15,MAX(0.1,Skills!D11-IF(TRUE=TRUE,Inputs!$B$32,0)))*(1-IF(AND(ArtifactsInput!$M$27,Inputs!$B$4="Chapter Hunt"),CHOOSE(ArtifactsInput!$N$27+1,20,24,28,32,36,40),0)/100))/B1447))))/Skills!H11+0.000000001),1)))/Inputs!$B$43),G1416*Q1416)))/(1+Skills!H14*H1419*(B1440+IF(AND(Inputs!$B$38&lt;&gt;"pvp",Inputs!$B$43&gt;0),((Skills!G8*((R1413-1)*IF(Skills!H8&gt;0,INT(Skills!I8/Skills!H8+0.000000001),1)+IF(Skills!H8&gt;0,INT(MIN(Skills!I8,MAX(0,MAX(0,Inputs!$B$43-B1443)-((R1413-1)*((IF(Inputs!$B$38="pvp",15,MAX(0.1,Skills!D8-IF(TRUE=TRUE,Inputs!$B$32,0)))*(1-IF(AND(ArtifactsInput!$M$27,Inputs!$B$4="Chapter Hunt"),CHOOSE(ArtifactsInput!$N$27+1,20,24,28,32,36,40),0)/100))/B1447))))/Skills!H8+0.000000001),1)))/Inputs!$B$43),G1413*Q1413)+IF(AND(Inputs!$B$38&lt;&gt;"pvp",Inputs!$B$43&gt;0),((Skills!G11*((R1416-1)*IF(Skills!H11&gt;0,INT(Skills!I11/Skills!H11+0.000000001),1)+IF(Skills!H11&gt;0,INT(MIN(Skills!I11,MAX(0,MAX(0,Inputs!$B$43-B1443)-((R1416-1)*((IF(Inputs!$B$38="pvp",15,MAX(0.1,Skills!D11-IF(TRUE=TRUE,Inputs!$B$32,0)))*(1-IF(AND(ArtifactsInput!$M$27,Inputs!$B$4="Chapter Hunt"),CHOOSE(ArtifactsInput!$N$27+1,20,24,28,32,36,40),0)/100))/B1447))))/Skills!H11+0.000000001),1)))/Inputs!$B$43),G1416*Q1416)))*N1419)*IF(Inputs!$B$38="pvp",1,1+(Inputs!$B$20+0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Hunt"),CHOOSE(ArtifactsInput!$N$35+1,15,18,21,24,27,30)*(1-EXP(-(0.2*B1438)*5)),0)+IF(AND(ArtifactsInput!$M$22,Inputs!$B$4&lt;&gt;"Chapter Hunt"),CHOOSE(ArtifactsInput!$N$22+1,10,12,14,16,18,20)*((0*(((0.15*B1438*5))^0/1)+1*(((0.15*B1438*5))^1/1)+2*(((0.15*B1438*5))^2/2)+3*(((0.15*B1438*5))^3/6)+4*(((0.15*B1438*5))^4/24)+5*(((0.15*B1438*5))^5/120))/((((0.15*B1438*5))^0/1)+(((0.15*B1438*5))^1/1)+(((0.15*B1438*5))^2/2)+(((0.15*B1438*5))^3/6)+(((0.15*B1438*5))^4/24)+(((0.15*B1438*5))^5/120))),0))+IF(Inputs!$B$3&gt;=54,9*(C1408=TRUE)*MIN(1,8*(1+Inputs!$B$34/100)*Q1408)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1419*(1-MIN(100,(Inputs!$B$9+((C1424=TRUE)*(F1424-Calc!F19))+B1436+(ArtifactsInput!$M$24-ArtifactsInput!$M$24)*CHOOSE(ArtifactsInput!$N$24+1,10,12,14,16,18,20)+(IF(AND(Inputs!$B$38&lt;&gt;"pvp",Inputs!$B$43=0),1,IF(IF(Inputs!$B$38="pvp",15,Inputs!$B$43)-(B1443)&lt;=0,1,MAX(0,IF(Inputs!$B$38="pvp",15,Inputs!$B$43)-MAX(5,B1443))/(IF(Inputs!$B$38="pvp",15,Inputs!$B$43)-(B1443))))*IF(AND(ArtifactsInput!$M$42,((Inputs!$B$9+((C1424=TRUE)*(F1424-Calc!F19))+B1436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M1419*(MIN(100,(Inputs!$B$9+((C1424=TRUE)*(F1424-Calc!F19))+B1436+(ArtifactsInput!$M$24-ArtifactsInput!$M$24)*CHOOSE(ArtifactsInput!$N$24+1,10,12,14,16,18,20)+(IF(AND(Inputs!$B$38&lt;&gt;"pvp",Inputs!$B$43=0),1,IF(IF(Inputs!$B$38="pvp",15,Inputs!$B$43)-(B1443)&lt;=0,1,MAX(0,IF(Inputs!$B$38="pvp",15,Inputs!$B$43)-MAX(5,B1443))/(IF(Inputs!$B$38="pvp",15,Inputs!$B$43)-(B1443))))*IF(AND(ArtifactsInput!$M$42,((Inputs!$B$9+((C1424=TRUE)*(F1424-Calc!F19))+B1436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L1419*(1-MIN(100,(Inputs!$B$9+((C1424=TRUE)*(F1424-Calc!F19))+B1436+(ArtifactsInput!$M$24-ArtifactsInput!$M$24)*CHOOSE(ArtifactsInput!$N$24+1,10,12,14,16,18,20)+(IF(AND(Inputs!$B$38&lt;&gt;"pvp",Inputs!$B$43=0),1,IF(IF(Inputs!$B$38="pvp",15,Inputs!$B$43)-(B1443)&lt;=0,1,MAX(0,IF(Inputs!$B$38="pvp",15,Inputs!$B$43)-MAX(5,B1443))/(IF(Inputs!$B$38="pvp",15,Inputs!$B$43)-(B1443))))*IF(AND(ArtifactsInput!$M$42,((Inputs!$B$9+((C1424=TRUE)*(F1424-Calc!F19))+B1436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1419*(MIN(100,(Inputs!$B$9+((C1424=TRUE)*(F1424-Calc!F19))+B1436+(ArtifactsInput!$M$24-ArtifactsInput!$M$24)*CHOOSE(ArtifactsInput!$N$24+1,10,12,14,16,18,20)+(IF(AND(Inputs!$B$38&lt;&gt;"pvp",Inputs!$B$43=0),1,IF(IF(Inputs!$B$38="pvp",15,Inputs!$B$43)-(B1443)&lt;=0,1,MAX(0,IF(Inputs!$B$38="pvp",15,Inputs!$B$43)-MAX(5,B1443))/(IF(Inputs!$B$38="pvp",15,Inputs!$B$43)-(B1443))))*IF(AND(ArtifactsInput!$M$42,((Inputs!$B$9+((C1424=TRUE)*(F1424-Calc!F19))+B1436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419">
        <f>IF(C1419,((H1419*(B1440+IF(AND(Inputs!$B$38&lt;&gt;"pvp",Inputs!$B$43&gt;0),((Skills!G8*((R1413-1)*IF(Skills!H8&gt;0,INT(Skills!I8/Skills!H8+0.000000001),1)+IF(Skills!H8&gt;0,INT(MIN(Skills!I8,MAX(0,MAX(0,Inputs!$B$43-B1443)-((R1413-1)*((IF(Inputs!$B$38="pvp",15,MAX(0.1,Skills!D8-IF(TRUE=TRUE,Inputs!$B$32,0)))*(1-IF(AND(ArtifactsInput!$M$27,Inputs!$B$4="Chapter Hunt"),CHOOSE(ArtifactsInput!$N$27+1,20,24,28,32,36,40),0)/100))/B1447))))/Skills!H8+0.000000001),1)))/Inputs!$B$43),G1413*Q1413)+IF(AND(Inputs!$B$38&lt;&gt;"pvp",Inputs!$B$43&gt;0),((Skills!G11*((R1416-1)*IF(Skills!H11&gt;0,INT(Skills!I11/Skills!H11+0.000000001),1)+IF(Skills!H11&gt;0,INT(MIN(Skills!I11,MAX(0,MAX(0,Inputs!$B$43-B1443)-((R1416-1)*((IF(Inputs!$B$38="pvp",15,MAX(0.1,Skills!D11-IF(TRUE=TRUE,Inputs!$B$32,0)))*(1-IF(AND(ArtifactsInput!$M$27,Inputs!$B$4="Chapter Hunt"),CHOOSE(ArtifactsInput!$N$27+1,20,24,28,32,36,40),0)/100))/B1447))))/Skills!H11+0.000000001),1)))/Inputs!$B$43),G1416*Q1416)))/(1+Skills!H14*H1419*(B1440+IF(AND(Inputs!$B$38&lt;&gt;"pvp",Inputs!$B$43&gt;0),((Skills!G8*((R1413-1)*IF(Skills!H8&gt;0,INT(Skills!I8/Skills!H8+0.000000001),1)+IF(Skills!H8&gt;0,INT(MIN(Skills!I8,MAX(0,MAX(0,Inputs!$B$43-B1443)-((R1413-1)*((IF(Inputs!$B$38="pvp",15,MAX(0.1,Skills!D8-IF(TRUE=TRUE,Inputs!$B$32,0)))*(1-IF(AND(ArtifactsInput!$M$27,Inputs!$B$4="Chapter Hunt"),CHOOSE(ArtifactsInput!$N$27+1,20,24,28,32,36,40),0)/100))/B1447))))/Skills!H8+0.000000001),1)))/Inputs!$B$43),G1413*Q1413)+IF(AND(Inputs!$B$38&lt;&gt;"pvp",Inputs!$B$43&gt;0),((Skills!G11*((R1416-1)*IF(Skills!H11&gt;0,INT(Skills!I11/Skills!H11+0.000000001),1)+IF(Skills!H11&gt;0,INT(MIN(Skills!I11,MAX(0,MAX(0,Inputs!$B$43-B1443)-((R1416-1)*((IF(Inputs!$B$38="pvp",15,MAX(0.1,Skills!D11-IF(TRUE=TRUE,Inputs!$B$32,0)))*(1-IF(AND(ArtifactsInput!$M$27,Inputs!$B$4="Chapter Hunt"),CHOOSE(ArtifactsInput!$N$27+1,20,24,28,32,36,40),0)/100))/B1447))))/Skills!H11+0.000000001),1)))/Inputs!$B$43),G1416*Q1416)))*N1419)*IF(Inputs!$B$38="pvp",1,(1+(Inputs!$B$21+Skills!Q14+(IF(ArtifactsInput!$M$33,CHOOSE(ArtifactsInput!$N$33+1,30,36,42,48,54,60),0))+(IF(AND(ArtifactsInput!$M$35,Inputs!$B$4&lt;&gt;"Chapter Hunt"),CHOOSE(ArtifactsInput!$N$35+1,15,18,21,24,27,30)*(1-EXP(-(0.2*B1438)*5)),0)+IF(AND(ArtifactsInput!$M$22,Inputs!$B$4&lt;&gt;"Chapter Hunt"),CHOOSE(ArtifactsInput!$N$22+1,10,12,14,16,18,20)*((0*(((0.15*B1438*5))^0/1)+1*(((0.15*B1438*5))^1/1)+2*(((0.15*B1438*5))^2/2)+3*(((0.15*B1438*5))^3/6)+4*(((0.15*B1438*5))^4/24)+5*(((0.15*B1438*5))^5/120))/((((0.15*B1438*5))^0/1)+(((0.15*B1438*5))^1/1)+(((0.15*B1438*5))^2/2)+(((0.15*B1438*5))^3/6)+(((0.15*B1438*5))^4/24)+(((0.15*B1438*5))^5/120))),0))+IF(Inputs!$B$3&gt;=54,9*(C1408=TRUE)*MIN(1,8*(1+Inputs!$B$34/100)*Q1408),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20">
      <c r="A1420">
        <f>Skills!A15</f>
        <v/>
      </c>
      <c r="B1420">
        <f>Skills!B15</f>
        <v/>
      </c>
      <c r="C1420">
        <f>Inputs!$B$3&gt;=100</f>
        <v/>
      </c>
      <c r="D1420">
        <f>IF(Skills!C15=1,60+Inputs!$B$25+Inputs!$B$29,IF(Skills!C15=2,90+Inputs!$B$26+Inputs!$B$29,IF(Skills!C15=3,120+Inputs!$B$27+Inputs!$B$29,MAX(0,(Inputs!$B$3-100)*3)+Inputs!$B$28+Inputs!$B$29)))</f>
        <v/>
      </c>
      <c r="E1420">
        <f>INDEX(FactorTable!$B$2:$Y$301, MATCH(ROUND(MIN(300,MAX(1,D1420)),0), FactorTable!$A$2:$A$301,0), Skills!M15+1)</f>
        <v/>
      </c>
      <c r="F1420">
        <f>IF(Skills!N15=TRUE,(Skills!L15/10)*(E1420/1000),Skills!L15/10)+Skills!O15</f>
        <v/>
      </c>
      <c r="G1420" t="inlineStr"/>
      <c r="H1420" t="inlineStr"/>
      <c r="I1420" t="inlineStr">
        <is>
          <t>1</t>
        </is>
      </c>
      <c r="J1420" t="inlineStr"/>
      <c r="K1420" t="inlineStr"/>
      <c r="L1420" t="inlineStr"/>
      <c r="M1420" t="inlineStr"/>
      <c r="N1420" t="inlineStr"/>
      <c r="O1420" t="inlineStr"/>
      <c r="P1420" t="inlineStr"/>
      <c r="Q1420" t="inlineStr"/>
      <c r="R1420" t="inlineStr"/>
      <c r="S1420" t="inlineStr"/>
    </row>
    <row r="1421">
      <c r="A1421">
        <f>Skills!A16</f>
        <v/>
      </c>
      <c r="B1421">
        <f>Skills!B16</f>
        <v/>
      </c>
      <c r="C1421">
        <f>Inputs!$B$3&gt;=107</f>
        <v/>
      </c>
      <c r="D1421">
        <f>IF(Skills!C16=1,60+Inputs!$B$25+Inputs!$B$29,IF(Skills!C16=2,90+Inputs!$B$26+Inputs!$B$29,IF(Skills!C16=3,120+Inputs!$B$27+Inputs!$B$29,MAX(0,(Inputs!$B$3-100)*3)+Inputs!$B$28+Inputs!$B$29)))</f>
        <v/>
      </c>
      <c r="E1421">
        <f>INDEX(FactorTable!$B$2:$Y$301, MATCH(ROUND(MIN(300,MAX(1,D1421)),0), FactorTable!$A$2:$A$301,0), Skills!M16+1)</f>
        <v/>
      </c>
      <c r="F1421">
        <f>IF(Skills!N16=TRUE,(Skills!L16/10)*(E1421/1000),Skills!L16/10)+Skills!O16</f>
        <v/>
      </c>
      <c r="G1421" t="inlineStr"/>
      <c r="H1421" t="inlineStr"/>
      <c r="I1421" t="inlineStr">
        <is>
          <t>1</t>
        </is>
      </c>
      <c r="J1421" t="inlineStr"/>
      <c r="K1421" t="inlineStr"/>
      <c r="L1421" t="inlineStr"/>
      <c r="M1421" t="inlineStr"/>
      <c r="N1421" t="inlineStr"/>
      <c r="O1421" t="inlineStr"/>
      <c r="P1421" t="inlineStr"/>
      <c r="Q1421" t="inlineStr"/>
      <c r="R1421" t="inlineStr"/>
      <c r="S1421" t="inlineStr"/>
    </row>
    <row r="1422">
      <c r="A1422">
        <f>Skills!A17</f>
        <v/>
      </c>
      <c r="B1422">
        <f>Skills!B17</f>
        <v/>
      </c>
      <c r="C1422">
        <f>Inputs!$B$3&gt;=74</f>
        <v/>
      </c>
      <c r="D1422">
        <f>IF(Skills!C17=1,60+Inputs!$B$25+Inputs!$B$29,IF(Skills!C17=2,90+Inputs!$B$26+Inputs!$B$29,IF(Skills!C17=3,120+Inputs!$B$27+Inputs!$B$29,MAX(0,(Inputs!$B$3-100)*3)+Inputs!$B$28+Inputs!$B$29)))</f>
        <v/>
      </c>
      <c r="E1422">
        <f>INDEX(FactorTable!$B$2:$Y$301, MATCH(ROUND(MIN(300,MAX(1,D1422)),0), FactorTable!$A$2:$A$301,0), Skills!M17+1)</f>
        <v/>
      </c>
      <c r="F1422">
        <f>IF(Skills!N17=TRUE,(Skills!L17/10)*(E1422/1000),Skills!L17/10)+Skills!O17</f>
        <v/>
      </c>
      <c r="G1422">
        <f>Skills!G17*IF(Skills!H17&gt;0,INT(IF(Inputs!$B$38="pvp",MIN(Skills!I17,15),Skills!I17)/Skills!H17+0.000000001),1)</f>
        <v/>
      </c>
      <c r="H1422">
        <f>1-(1-Skills!J17/100)^Skills!K17</f>
        <v/>
      </c>
      <c r="I1422" t="inlineStr">
        <is>
          <t>1</t>
        </is>
      </c>
      <c r="J1422" t="inlineStr"/>
      <c r="K1422" t="inlineStr"/>
      <c r="L1422" t="inlineStr"/>
      <c r="M1422" t="inlineStr"/>
      <c r="N1422" t="inlineStr"/>
      <c r="O1422">
        <f>(1-Summary!$B$11)*T1422+Summary!$B$11*V1422</f>
        <v/>
      </c>
      <c r="P1422">
        <f>IF(B1446=0,0,O1422/B1446)</f>
        <v/>
      </c>
      <c r="Q1422" t="n">
        <v>0</v>
      </c>
      <c r="R1422" t="n">
        <v>0</v>
      </c>
      <c r="S1422">
        <f>IFERROR(O1422/N1422,0)</f>
        <v/>
      </c>
      <c r="T1422" t="n">
        <v>0</v>
      </c>
      <c r="V1422" t="n">
        <v>0</v>
      </c>
    </row>
    <row r="1423">
      <c r="A1423">
        <f>Skills!A18</f>
        <v/>
      </c>
      <c r="B1423">
        <f>Skills!B18</f>
        <v/>
      </c>
      <c r="C1423">
        <f>Inputs!$B$3&gt;=115</f>
        <v/>
      </c>
      <c r="D1423">
        <f>IF(Skills!C18=1,60+Inputs!$B$25+Inputs!$B$29,IF(Skills!C18=2,90+Inputs!$B$26+Inputs!$B$29,IF(Skills!C18=3,120+Inputs!$B$27+Inputs!$B$29,MAX(0,(Inputs!$B$3-100)*3)+Inputs!$B$28+Inputs!$B$29)))</f>
        <v/>
      </c>
      <c r="E1423">
        <f>INDEX(FactorTable!$B$2:$Y$301, MATCH(ROUND(MIN(300,MAX(1,D1423)),0), FactorTable!$A$2:$A$301,0), Skills!M18+1)</f>
        <v/>
      </c>
      <c r="F1423">
        <f>IF(Skills!N18=TRUE,(Skills!L18/10)*(E1423/1000),Skills!L18/10)+Skills!O18</f>
        <v/>
      </c>
      <c r="G1423">
        <f>Skills!G18*IF(Skills!H18&gt;0,INT(IF(Inputs!$B$38="pvp",MIN(Skills!I18,15),Skills!I18)/Skills!H18+0.000000001),1)</f>
        <v/>
      </c>
      <c r="H1423">
        <f>1-(1-Skills!J18/100)^Skills!K18</f>
        <v/>
      </c>
      <c r="I1423" t="inlineStr">
        <is>
          <t>1</t>
        </is>
      </c>
      <c r="J1423" t="inlineStr"/>
      <c r="K1423" t="inlineStr"/>
      <c r="L1423" t="inlineStr"/>
      <c r="M1423" t="inlineStr"/>
      <c r="N1423" t="inlineStr"/>
      <c r="O1423">
        <f>(1-Summary!$B$11)*T1423+Summary!$B$11*V1423</f>
        <v/>
      </c>
      <c r="P1423">
        <f>IF(B1446=0,0,O1423/B1446)</f>
        <v/>
      </c>
      <c r="Q1423">
        <f>IFERROR(1/(IF(Inputs!$B$38="pvp",15,MAX(0.1,Skills!D18-IF(TRUE=TRUE,Inputs!$B$32,0)))*(1-IF(AND(ArtifactsInput!$M$27,Inputs!$B$4="Chapter Hunt"),CHOOSE(ArtifactsInput!$N$27+1,20,24,28,32,36,40),0)/100)),0)</f>
        <v/>
      </c>
      <c r="R1423">
        <f>IF(AND(Inputs!$B$38&lt;&gt;"pvp",Inputs!$B$43&gt;0),IF(Inputs!$B$43&lt;=0,0,(INT(Inputs!$B$43/(IF(Inputs!$B$38="pvp",15,MAX(0.1,Skills!D18-IF(TRUE=TRUE,Inputs!$B$32,0)))*(1-IF(AND(ArtifactsInput!$M$27,Inputs!$B$4="Chapter Hunt"),CHOOSE(ArtifactsInput!$N$27+1,20,24,28,32,36,40),0)/100)))+1)),0)</f>
        <v/>
      </c>
      <c r="S1423">
        <f>IFERROR(O1423/N1423,0)</f>
        <v/>
      </c>
      <c r="T1423" t="n">
        <v>0</v>
      </c>
      <c r="V1423" t="n">
        <v>0</v>
      </c>
    </row>
    <row r="1424">
      <c r="A1424">
        <f>Skills!A19</f>
        <v/>
      </c>
      <c r="B1424">
        <f>Skills!B19</f>
        <v/>
      </c>
      <c r="C1424">
        <f>Inputs!$B$3&gt;=10</f>
        <v/>
      </c>
      <c r="D1424">
        <f>IF(Skills!C19=1,60+Inputs!$B$25+Inputs!$B$29,IF(Skills!C19=2,90+Inputs!$B$26+Inputs!$B$29,IF(Skills!C19=3,120+Inputs!$B$27+Inputs!$B$29,MAX(0,(Inputs!$B$3-100)*3)+Inputs!$B$28+Inputs!$B$29)))</f>
        <v/>
      </c>
      <c r="E1424">
        <f>INDEX(FactorTable!$B$2:$Y$301, MATCH(ROUND(MIN(300,MAX(1,D1424)),0), FactorTable!$A$2:$A$301,0), Skills!M19+1)</f>
        <v/>
      </c>
      <c r="F1424">
        <f>IF(Skills!N19=TRUE,(Skills!L19/10)*(E1424/1000),Skills!L19/10)+Skills!O19</f>
        <v/>
      </c>
      <c r="G1424">
        <f>Skills!G19*IF(Skills!H19&gt;0,INT(IF(Inputs!$B$38="pvp",MIN(Skills!I19,15),Skills!I19)/Skills!H19+0.000000001),1)</f>
        <v/>
      </c>
      <c r="H1424">
        <f>1-(1-Skills!J19/100)^Skills!K19</f>
        <v/>
      </c>
      <c r="I1424" t="inlineStr">
        <is>
          <t>1</t>
        </is>
      </c>
      <c r="J1424" t="inlineStr"/>
      <c r="K1424" t="inlineStr"/>
      <c r="L1424" t="inlineStr"/>
      <c r="M1424" t="inlineStr"/>
      <c r="N1424" t="inlineStr"/>
      <c r="O1424">
        <f>(1-Summary!$B$11)*T1424+Summary!$B$11*V1424</f>
        <v/>
      </c>
      <c r="P1424">
        <f>IF(B1446=0,0,O1424/B1446)</f>
        <v/>
      </c>
      <c r="Q1424" t="n">
        <v>0</v>
      </c>
      <c r="R1424" t="n">
        <v>0</v>
      </c>
      <c r="S1424">
        <f>IFERROR(O1424/N1424,0)</f>
        <v/>
      </c>
      <c r="T1424" t="n">
        <v>0</v>
      </c>
      <c r="V1424" t="n">
        <v>0</v>
      </c>
    </row>
    <row r="1425">
      <c r="A1425">
        <f>Skills!A20</f>
        <v/>
      </c>
      <c r="B1425">
        <f>Skills!B20</f>
        <v/>
      </c>
      <c r="C1425">
        <f>Inputs!$B$3&gt;=15</f>
        <v/>
      </c>
      <c r="D1425">
        <f>IF(Skills!C20=1,60+Inputs!$B$25+Inputs!$B$29,IF(Skills!C20=2,90+Inputs!$B$26+Inputs!$B$29,IF(Skills!C20=3,120+Inputs!$B$27+Inputs!$B$29,MAX(0,(Inputs!$B$3-100)*3)+Inputs!$B$28+Inputs!$B$29)))</f>
        <v/>
      </c>
      <c r="E1425">
        <f>INDEX(FactorTable!$B$2:$Y$301, MATCH(ROUND(MIN(300,MAX(1,D1425)),0), FactorTable!$A$2:$A$301,0), Skills!M20+1)</f>
        <v/>
      </c>
      <c r="F1425">
        <f>IF(Skills!N20=TRUE,(Skills!L20/10)*(E1425/1000),Skills!L20/10)+Skills!O20</f>
        <v/>
      </c>
      <c r="G1425">
        <f>Skills!G20*IF(Skills!H20&gt;0,INT(IF(Inputs!$B$38="pvp",MIN(Skills!I20,15),Skills!I20)/Skills!H20+0.000000001),1)</f>
        <v/>
      </c>
      <c r="H1425">
        <f>1-(1-Skills!J20/100)^Skills!K20</f>
        <v/>
      </c>
      <c r="I1425" t="inlineStr">
        <is>
          <t>1</t>
        </is>
      </c>
      <c r="J1425" t="inlineStr"/>
      <c r="K1425" t="inlineStr"/>
      <c r="L1425" t="inlineStr"/>
      <c r="M1425" t="inlineStr"/>
      <c r="N1425" t="inlineStr"/>
      <c r="O1425">
        <f>(1-Summary!$B$11)*T1425+Summary!$B$11*V1425</f>
        <v/>
      </c>
      <c r="P1425">
        <f>IF(B1446=0,0,O1425/B1446)</f>
        <v/>
      </c>
      <c r="Q1425" t="n">
        <v>0</v>
      </c>
      <c r="R1425" t="n">
        <v>0</v>
      </c>
      <c r="S1425">
        <f>IFERROR(O1425/N1425,0)</f>
        <v/>
      </c>
      <c r="T1425" t="n">
        <v>0</v>
      </c>
      <c r="V1425" t="n">
        <v>0</v>
      </c>
    </row>
    <row r="1426">
      <c r="A1426">
        <f>Skills!A21</f>
        <v/>
      </c>
      <c r="B1426">
        <f>Skills!B21</f>
        <v/>
      </c>
      <c r="C1426">
        <f>Inputs!$B$3&gt;=40</f>
        <v/>
      </c>
      <c r="D1426">
        <f>IF(Skills!C21=1,60+Inputs!$B$25+Inputs!$B$29,IF(Skills!C21=2,90+Inputs!$B$26+Inputs!$B$29,IF(Skills!C21=3,120+Inputs!$B$27+Inputs!$B$29,MAX(0,(Inputs!$B$3-100)*3)+Inputs!$B$28+Inputs!$B$29)))</f>
        <v/>
      </c>
      <c r="E1426">
        <f>INDEX(FactorTable!$B$2:$Y$301, MATCH(ROUND(MIN(300,MAX(1,D1426)),0), FactorTable!$A$2:$A$301,0), Skills!M21+1)</f>
        <v/>
      </c>
      <c r="F1426">
        <f>IF(Skills!N21=TRUE,(Skills!L21/10)*(E1426/1000),Skills!L21/10)+Skills!O21</f>
        <v/>
      </c>
      <c r="G1426">
        <f>Skills!G21*IF(Skills!H21&gt;0,INT(IF(Inputs!$B$38="pvp",MIN(Skills!I21,15),Skills!I21)/Skills!H21+0.000000001),1)</f>
        <v/>
      </c>
      <c r="H1426">
        <f>1-(1-Skills!J21/100)^Skills!K21</f>
        <v/>
      </c>
      <c r="I1426" t="inlineStr">
        <is>
          <t>1</t>
        </is>
      </c>
      <c r="J1426" t="inlineStr"/>
      <c r="K1426" t="inlineStr"/>
      <c r="L1426" t="inlineStr"/>
      <c r="M1426" t="inlineStr"/>
      <c r="N1426" t="inlineStr"/>
      <c r="O1426">
        <f>(1-Summary!$B$11)*T1426+Summary!$B$11*V1426</f>
        <v/>
      </c>
      <c r="P1426">
        <f>IF(B1446=0,0,O1426/B1446)</f>
        <v/>
      </c>
      <c r="Q1426" t="n">
        <v>0</v>
      </c>
      <c r="R1426" t="n">
        <v>0</v>
      </c>
      <c r="S1426">
        <f>IFERROR(O1426/N1426,0)</f>
        <v/>
      </c>
      <c r="T1426" t="n">
        <v>0</v>
      </c>
      <c r="V1426" t="n">
        <v>0</v>
      </c>
    </row>
    <row r="1427">
      <c r="A1427">
        <f>Skills!A22</f>
        <v/>
      </c>
      <c r="B1427">
        <f>Skills!B22</f>
        <v/>
      </c>
      <c r="C1427">
        <f>Inputs!$B$3&gt;=43</f>
        <v/>
      </c>
      <c r="D1427">
        <f>IF(Skills!C22=1,60+Inputs!$B$25+Inputs!$B$29,IF(Skills!C22=2,90+Inputs!$B$26+Inputs!$B$29,IF(Skills!C22=3,120+Inputs!$B$27+Inputs!$B$29,MAX(0,(Inputs!$B$3-100)*3)+Inputs!$B$28+Inputs!$B$29)))</f>
        <v/>
      </c>
      <c r="E1427">
        <f>INDEX(FactorTable!$B$2:$Y$301, MATCH(ROUND(MIN(300,MAX(1,D1427)),0), FactorTable!$A$2:$A$301,0), Skills!M22+1)</f>
        <v/>
      </c>
      <c r="F1427">
        <f>IF(Skills!N22=TRUE,(Skills!L22/10)*(E1427/1000),Skills!L22/10)+Skills!O22</f>
        <v/>
      </c>
      <c r="G1427">
        <f>Skills!G22*IF(Skills!H22&gt;0,INT(IF(Inputs!$B$38="pvp",MIN(Skills!I22,15),Skills!I22)/Skills!H22+0.000000001),1)</f>
        <v/>
      </c>
      <c r="H1427">
        <f>1-(1-Skills!J22/100)^Skills!K22</f>
        <v/>
      </c>
      <c r="I1427" t="inlineStr">
        <is>
          <t>1</t>
        </is>
      </c>
      <c r="J1427" t="inlineStr"/>
      <c r="K1427" t="inlineStr"/>
      <c r="L1427" t="inlineStr"/>
      <c r="M1427" t="inlineStr"/>
      <c r="N1427" t="inlineStr"/>
      <c r="O1427">
        <f>(1-Summary!$B$11)*T1427+Summary!$B$11*V1427</f>
        <v/>
      </c>
      <c r="P1427">
        <f>IF(B1446=0,0,O1427/B1446)</f>
        <v/>
      </c>
      <c r="Q1427" t="n">
        <v>0</v>
      </c>
      <c r="R1427" t="n">
        <v>0</v>
      </c>
      <c r="S1427">
        <f>IFERROR(O1427/N1427,0)</f>
        <v/>
      </c>
      <c r="T1427" t="n">
        <v>0</v>
      </c>
      <c r="V1427" t="n">
        <v>0</v>
      </c>
    </row>
    <row r="1428">
      <c r="A1428">
        <f>Skills!A23</f>
        <v/>
      </c>
      <c r="B1428">
        <f>Skills!B23</f>
        <v/>
      </c>
      <c r="C1428">
        <f>Inputs!$B$3&gt;=38</f>
        <v/>
      </c>
      <c r="D1428">
        <f>IF(Skills!C23=1,60+Inputs!$B$25+Inputs!$B$29,IF(Skills!C23=2,90+Inputs!$B$26+Inputs!$B$29,IF(Skills!C23=3,120+Inputs!$B$27+Inputs!$B$29,MAX(0,(Inputs!$B$3-100)*3)+Inputs!$B$28+Inputs!$B$29)))</f>
        <v/>
      </c>
      <c r="E1428">
        <f>INDEX(FactorTable!$B$2:$Y$301, MATCH(ROUND(MIN(300,MAX(1,D1428)),0), FactorTable!$A$2:$A$301,0), Skills!M23+1)</f>
        <v/>
      </c>
      <c r="F1428">
        <f>IF(Skills!N23=TRUE,(Skills!L23/10)*(E1428/1000),Skills!L23/10)+Skills!O23</f>
        <v/>
      </c>
      <c r="G1428">
        <f>Skills!G23*IF(Skills!H23&gt;0,INT(IF(Inputs!$B$38="pvp",MIN(Skills!I23,15),Skills!I23)/Skills!H23+0.000000001),1)</f>
        <v/>
      </c>
      <c r="H1428">
        <f>1-(1-Skills!J23/100)^Skills!K23</f>
        <v/>
      </c>
      <c r="I1428" t="inlineStr">
        <is>
          <t>1</t>
        </is>
      </c>
      <c r="J1428" t="inlineStr"/>
      <c r="K1428" t="inlineStr"/>
      <c r="L1428" t="inlineStr"/>
      <c r="M1428" t="inlineStr"/>
      <c r="N1428" t="inlineStr"/>
      <c r="O1428">
        <f>(1-Summary!$B$11)*T1428+Summary!$B$11*V1428</f>
        <v/>
      </c>
      <c r="P1428">
        <f>IF(B1446=0,0,O1428/B1446)</f>
        <v/>
      </c>
      <c r="Q1428" t="n">
        <v>0</v>
      </c>
      <c r="R1428" t="n">
        <v>0</v>
      </c>
      <c r="S1428">
        <f>IFERROR(O1428/N1428,0)</f>
        <v/>
      </c>
      <c r="T1428" t="n">
        <v>0</v>
      </c>
      <c r="V1428" t="n">
        <v>0</v>
      </c>
    </row>
    <row r="1429">
      <c r="A1429">
        <f>Skills!A24</f>
        <v/>
      </c>
      <c r="B1429">
        <f>Skills!B24</f>
        <v/>
      </c>
      <c r="C1429">
        <f>Inputs!$B$3&gt;=45</f>
        <v/>
      </c>
      <c r="D1429">
        <f>IF(Skills!C24=1,60+Inputs!$B$25+Inputs!$B$29,IF(Skills!C24=2,90+Inputs!$B$26+Inputs!$B$29,IF(Skills!C24=3,120+Inputs!$B$27+Inputs!$B$29,MAX(0,(Inputs!$B$3-100)*3)+Inputs!$B$28+Inputs!$B$29)))</f>
        <v/>
      </c>
      <c r="E1429">
        <f>INDEX(FactorTable!$B$2:$Y$301, MATCH(ROUND(MIN(300,MAX(1,D1429)),0), FactorTable!$A$2:$A$301,0), Skills!M24+1)</f>
        <v/>
      </c>
      <c r="F1429">
        <f>IF(Skills!N24=TRUE,(Skills!L24/10)*(E1429/1000),Skills!L24/10)+Skills!O24</f>
        <v/>
      </c>
      <c r="G1429">
        <f>Skills!G24*IF(Skills!H24&gt;0,INT(IF(Inputs!$B$38="pvp",MIN(Skills!I24,15),Skills!I24)/Skills!H24+0.000000001),1)</f>
        <v/>
      </c>
      <c r="H1429">
        <f>1-(1-Skills!J24/100)^Skills!K24</f>
        <v/>
      </c>
      <c r="I1429" t="inlineStr">
        <is>
          <t>1</t>
        </is>
      </c>
      <c r="J1429" t="inlineStr"/>
      <c r="K1429" t="inlineStr"/>
      <c r="L1429" t="inlineStr"/>
      <c r="M1429" t="inlineStr"/>
      <c r="N1429" t="inlineStr"/>
      <c r="O1429">
        <f>(1-Summary!$B$11)*T1429+Summary!$B$11*V1429</f>
        <v/>
      </c>
      <c r="P1429">
        <f>IF(B1446=0,0,O1429/B1446)</f>
        <v/>
      </c>
      <c r="Q1429" t="n">
        <v>0</v>
      </c>
      <c r="R1429" t="n">
        <v>0</v>
      </c>
      <c r="S1429">
        <f>IFERROR(O1429/N1429,0)</f>
        <v/>
      </c>
      <c r="T1429" t="n">
        <v>0</v>
      </c>
      <c r="V1429" t="n">
        <v>0</v>
      </c>
    </row>
    <row r="1430">
      <c r="A1430">
        <f>Skills!A25</f>
        <v/>
      </c>
      <c r="B1430">
        <f>Skills!B25</f>
        <v/>
      </c>
      <c r="C1430">
        <f>Inputs!$B$3&gt;=72</f>
        <v/>
      </c>
      <c r="D1430">
        <f>IF(Skills!C25=1,60+Inputs!$B$25+Inputs!$B$29,IF(Skills!C25=2,90+Inputs!$B$26+Inputs!$B$29,IF(Skills!C25=3,120+Inputs!$B$27+Inputs!$B$29,MAX(0,(Inputs!$B$3-100)*3)+Inputs!$B$28+Inputs!$B$29)))</f>
        <v/>
      </c>
      <c r="E1430">
        <f>INDEX(FactorTable!$B$2:$Y$301, MATCH(ROUND(MIN(300,MAX(1,D1430)),0), FactorTable!$A$2:$A$301,0), Skills!M25+1)</f>
        <v/>
      </c>
      <c r="F1430">
        <f>IF(Skills!N25=TRUE,(Skills!L25/10)*(E1430/1000),Skills!L25/10)+Skills!O25</f>
        <v/>
      </c>
      <c r="G1430">
        <f>Skills!G25*IF(Skills!H25&gt;0,INT(IF(Inputs!$B$38="pvp",MIN(Skills!I25,15),Skills!I25)/Skills!H25+0.000000001),1)</f>
        <v/>
      </c>
      <c r="H1430">
        <f>1-(1-Skills!J25/100)^Skills!K25</f>
        <v/>
      </c>
      <c r="I1430" t="inlineStr">
        <is>
          <t>1</t>
        </is>
      </c>
      <c r="J1430" t="inlineStr"/>
      <c r="K1430" t="inlineStr"/>
      <c r="L1430" t="inlineStr"/>
      <c r="M1430" t="inlineStr"/>
      <c r="N1430" t="inlineStr"/>
      <c r="O1430">
        <f>(1-Summary!$B$11)*T1430+Summary!$B$11*V1430</f>
        <v/>
      </c>
      <c r="P1430">
        <f>IF(B1446=0,0,O1430/B1446)</f>
        <v/>
      </c>
      <c r="Q1430" t="n">
        <v>0</v>
      </c>
      <c r="R1430" t="n">
        <v>0</v>
      </c>
      <c r="S1430">
        <f>IFERROR(O1430/N1430,0)</f>
        <v/>
      </c>
      <c r="T1430" t="n">
        <v>0</v>
      </c>
      <c r="V1430" t="n">
        <v>0</v>
      </c>
    </row>
    <row r="1431">
      <c r="A1431">
        <f>Skills!A26</f>
        <v/>
      </c>
      <c r="B1431">
        <f>Skills!B26</f>
        <v/>
      </c>
      <c r="C1431">
        <f>Inputs!$B$3&gt;=75</f>
        <v/>
      </c>
      <c r="D1431">
        <f>IF(Skills!C26=1,60+Inputs!$B$25+Inputs!$B$29,IF(Skills!C26=2,90+Inputs!$B$26+Inputs!$B$29,IF(Skills!C26=3,120+Inputs!$B$27+Inputs!$B$29,MAX(0,(Inputs!$B$3-100)*3)+Inputs!$B$28+Inputs!$B$29)))</f>
        <v/>
      </c>
      <c r="E1431">
        <f>INDEX(FactorTable!$B$2:$Y$301, MATCH(ROUND(MIN(300,MAX(1,D1431)),0), FactorTable!$A$2:$A$301,0), Skills!M26+1)</f>
        <v/>
      </c>
      <c r="F1431">
        <f>IF(Skills!N26=TRUE,(Skills!L26/10)*(E1431/1000),Skills!L26/10)+Skills!O26</f>
        <v/>
      </c>
      <c r="G1431">
        <f>Skills!G26*IF(Skills!H26&gt;0,INT(IF(Inputs!$B$38="pvp",MIN(Skills!I26,15),Skills!I26)/Skills!H26+0.000000001),1)</f>
        <v/>
      </c>
      <c r="H1431">
        <f>1-(1-Skills!J26/100)^Skills!K26</f>
        <v/>
      </c>
      <c r="I1431" t="inlineStr">
        <is>
          <t>1</t>
        </is>
      </c>
      <c r="J1431" t="inlineStr"/>
      <c r="K1431" t="inlineStr"/>
      <c r="L1431" t="inlineStr"/>
      <c r="M1431" t="inlineStr"/>
      <c r="N1431" t="inlineStr"/>
      <c r="O1431">
        <f>(1-Summary!$B$11)*T1431+Summary!$B$11*V1431</f>
        <v/>
      </c>
      <c r="P1431">
        <f>IF(B1446=0,0,O1431/B1446)</f>
        <v/>
      </c>
      <c r="Q1431" t="n">
        <v>0</v>
      </c>
      <c r="R1431" t="n">
        <v>0</v>
      </c>
      <c r="S1431">
        <f>IFERROR(O1431/N1431,0)</f>
        <v/>
      </c>
      <c r="T1431" t="n">
        <v>0</v>
      </c>
      <c r="V1431" t="n">
        <v>0</v>
      </c>
    </row>
    <row r="1432">
      <c r="A1432">
        <f>Skills!A27</f>
        <v/>
      </c>
      <c r="B1432">
        <f>Skills!B27</f>
        <v/>
      </c>
      <c r="C1432">
        <f>Inputs!$B$3&gt;=125</f>
        <v/>
      </c>
      <c r="D1432">
        <f>IF(Skills!C27=1,60+Inputs!$B$25+Inputs!$B$29,IF(Skills!C27=2,90+Inputs!$B$26+Inputs!$B$29,IF(Skills!C27=3,120+Inputs!$B$27+Inputs!$B$29,MAX(0,(Inputs!$B$3-100)*3)+Inputs!$B$28+Inputs!$B$29)))</f>
        <v/>
      </c>
      <c r="E1432">
        <f>INDEX(FactorTable!$B$2:$Y$301, MATCH(ROUND(MIN(300,MAX(1,D1432)),0), FactorTable!$A$2:$A$301,0), Skills!M27+1)</f>
        <v/>
      </c>
      <c r="F1432">
        <f>IF(Skills!N27=TRUE,(Skills!L27/10)*(E1432/1000),Skills!L27/10)+Skills!O27</f>
        <v/>
      </c>
      <c r="G1432">
        <f>Skills!G27*IF(Skills!H27&gt;0,INT(IF(Inputs!$B$38="pvp",MIN(Skills!I27,15),Skills!I27)/Skills!H27+0.000000001),1)</f>
        <v/>
      </c>
      <c r="H1432">
        <f>1-(1-Skills!J27/100)^Skills!K27</f>
        <v/>
      </c>
      <c r="I1432" t="inlineStr">
        <is>
          <t>1</t>
        </is>
      </c>
      <c r="J1432" t="inlineStr"/>
      <c r="K1432" t="inlineStr"/>
      <c r="L1432" t="inlineStr"/>
      <c r="M1432" t="inlineStr"/>
      <c r="N1432" t="inlineStr"/>
      <c r="O1432">
        <f>(1-Summary!$B$11)*T1432+Summary!$B$11*V1432</f>
        <v/>
      </c>
      <c r="P1432">
        <f>IF(B1446=0,0,O1432/B1446)</f>
        <v/>
      </c>
      <c r="Q1432" t="n">
        <v>0</v>
      </c>
      <c r="R1432" t="n">
        <v>0</v>
      </c>
      <c r="S1432">
        <f>IFERROR(O1432/N1432,0)</f>
        <v/>
      </c>
      <c r="T1432" t="n">
        <v>0</v>
      </c>
      <c r="V1432" t="n">
        <v>0</v>
      </c>
    </row>
    <row r="1433">
      <c r="A1433">
        <f>Skills!A28</f>
        <v/>
      </c>
      <c r="B1433">
        <f>Skills!B28</f>
        <v/>
      </c>
      <c r="C1433">
        <f>TRUE</f>
        <v/>
      </c>
      <c r="D1433">
        <f>IF(Skills!C28=1,60+Inputs!$B$25+Inputs!$B$29,IF(Skills!C28=2,90+Inputs!$B$26+Inputs!$B$29,IF(Skills!C28=3,120+Inputs!$B$27+Inputs!$B$29,MAX(0,(Inputs!$B$3-100)*3)+Inputs!$B$28+Inputs!$B$29)))</f>
        <v/>
      </c>
      <c r="E1433">
        <f>INDEX(FactorTable!$B$2:$Y$301, MATCH(ROUND(MIN(300,MAX(1,D1433)),0), FactorTable!$A$2:$A$301,0), Skills!M28+1)</f>
        <v/>
      </c>
      <c r="F1433">
        <f>IF(Skills!N28=TRUE,(Skills!L28/10)*(E1433/1000),Skills!L28/10)+Skills!O28</f>
        <v/>
      </c>
      <c r="G1433">
        <f>Skills!G28*IF(Skills!H28&gt;0,INT(IF(Inputs!$B$38="pvp",MIN(Skills!I28,15),Skills!I28)/Skills!H28+0.000000001),1)</f>
        <v/>
      </c>
      <c r="H1433">
        <f>1-(1-Skills!J28/100)^Skills!K28</f>
        <v/>
      </c>
      <c r="I1433" t="inlineStr">
        <is>
          <t>1</t>
        </is>
      </c>
      <c r="J1433" t="inlineStr"/>
      <c r="K1433" t="inlineStr"/>
      <c r="L1433" t="inlineStr"/>
      <c r="M1433" t="inlineStr"/>
      <c r="N1433" t="inlineStr"/>
      <c r="O1433">
        <f>(1-Summary!$B$11)*T1433+Summary!$B$11*V1433</f>
        <v/>
      </c>
      <c r="P1433">
        <f>IF(B1446=0,0,O1433/B1446)</f>
        <v/>
      </c>
      <c r="Q1433">
        <f>IFERROR(1/(IF(Inputs!$B$38="pvp",15,MAX(0.1,Skills!D28-IF(TRUE=TRUE,Inputs!$B$32,0)))*(1-IF(AND(ArtifactsInput!$M$27,Inputs!$B$4="Chapter Hunt"),CHOOSE(ArtifactsInput!$N$27+1,20,24,28,32,36,40),0)/100)),0)</f>
        <v/>
      </c>
      <c r="R1433">
        <f>IF(AND(Inputs!$B$38&lt;&gt;"pvp",Inputs!$B$43&gt;0),IF(Inputs!$B$43&lt;=0,0,(INT(Inputs!$B$43/(IF(Inputs!$B$38="pvp",15,MAX(0.1,Skills!D28-IF(TRUE=TRUE,Inputs!$B$32,0)))*(1-IF(AND(ArtifactsInput!$M$27,Inputs!$B$4="Chapter Hunt"),CHOOSE(ArtifactsInput!$N$27+1,20,24,28,32,36,40),0)/100)))+1)),0)</f>
        <v/>
      </c>
      <c r="S1433">
        <f>IFERROR(O1433/N1433,0)</f>
        <v/>
      </c>
      <c r="T1433" t="n">
        <v>0</v>
      </c>
      <c r="V1433" t="n">
        <v>0</v>
      </c>
    </row>
    <row r="1435">
      <c r="A1435" t="inlineStr">
        <is>
          <t>Attack% Bucket Multiplier</t>
        </is>
      </c>
      <c r="B1435">
        <f>(1+(((C1422=TRUE)*F1422*5/7)+((C1429=TRUE)*(F1429-Calc!F24))+(IF(ArtifactsInput!$M$21,CHOOSE(ArtifactsInput!$N$21+1,25,30,35,40,45,50)*(IF(OR(Inputs!$B$4="Chapter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436">
      <c r="A1436" t="inlineStr">
        <is>
          <t>Global Crit Rate Bonus %</t>
        </is>
      </c>
      <c r="B1436" t="n">
        <v>0</v>
      </c>
    </row>
    <row r="1437">
      <c r="A1437" t="inlineStr">
        <is>
          <t>Attack Speed Buff Bonus % (Nimble Feet, duty-cycle averaged)</t>
        </is>
      </c>
      <c r="B1437">
        <f>((C1433=TRUE)*F1433*IF(AND(Inputs!$B$38&lt;&gt;"pvp",Inputs!$B$43&gt;0),(((R1433-1)*MIN((Skills!T28*(1+Inputs!$B$34/100)),(1/Q1433))+MIN((Skills!T28*(1+Inputs!$B$34/100)),MAX(0,Inputs!$B$43-((R1433-1)*(1/Q1433)))))/Inputs!$B$43),IF(Inputs!$B$38="pvp",MIN((Skills!T28*(1+Inputs!$B$34/100)),15)/15,MIN(1,(Skills!T28*(1+Inputs!$B$34/100))/(1/Q1433)))))</f>
        <v/>
      </c>
    </row>
    <row r="1438">
      <c r="A1438" t="inlineStr">
        <is>
          <t>Actions Per Second</t>
        </is>
      </c>
      <c r="B1438">
        <f>1+MIN(150,150*(1-(1-(Inputs!$B$11+((C1425=TRUE)*(F1425-Calc!F20))+((C1426=TRUE)*(F1426-Calc!F21)))/150)*(1-B1437/150)))/100</f>
        <v/>
      </c>
    </row>
    <row r="1439">
      <c r="A1439" t="inlineStr">
        <is>
          <t>Skill + Buff Cast Rate</t>
        </is>
      </c>
      <c r="B1439">
        <f>IF(AND(Inputs!$B$38&lt;&gt;"pvp",Inputs!$B$43&gt;0),SUMPRODUCT((Skills!E2:E28=TRUE)*(C1407:C1433=TRUE)*R1407:R1433*Skills!F2:F28)/Inputs!$B$43,SUMPRODUCT((Skills!E2:E28=TRUE)*(C1407:C1433=TRUE)*Q1407:Q1433*Skills!F2:F28))</f>
        <v/>
      </c>
    </row>
    <row r="1440">
      <c r="A1440" t="inlineStr">
        <is>
          <t>Eight-Legs Easton Casts Per Second</t>
        </is>
      </c>
      <c r="B1440">
        <f>MAX(0,B1438-B1439)</f>
        <v/>
      </c>
    </row>
    <row r="1441">
      <c r="A1441" t="inlineStr">
        <is>
          <t>Global Critical Damage Bonus % (unused)</t>
        </is>
      </c>
      <c r="B1441" t="n">
        <v>0</v>
      </c>
    </row>
    <row r="1442">
      <c r="A1442" t="inlineStr">
        <is>
          <t>Global Final Damage Bonus % (Jolly Roger + Ahoy Mateys - Final Damage proc)</t>
        </is>
      </c>
      <c r="B1442">
        <f>((C1423=TRUE)*F1423*IF(AND(Inputs!$B$38&lt;&gt;"pvp",Inputs!$B$43&gt;0),(((R1423-1)*MIN((Skills!T18*(1+Inputs!$B$34/100)),(1/Q1423))+MIN((Skills!T18*(1+Inputs!$B$34/100)),MAX(0,Inputs!$B$43-((R1423-1)*(1/Q1423)))))/Inputs!$B$43),IF(Inputs!$B$38="pvp",MIN((Skills!T18*(1+Inputs!$B$34/100)),15)/15,MIN(1,(Skills!T18*(1+Inputs!$B$34/100))/(1/Q1423)))))+IF(Inputs!$B$3&gt;=122,20*IF(Inputs!$B$38="pvp",MIN((20*(1+Inputs!$B$34/100)),15)/15,MIN(1,(20*(1+Inputs!$B$34/100))/(1/Q1409))),0)</f>
        <v/>
      </c>
    </row>
    <row r="1443">
      <c r="A1443" t="inlineStr">
        <is>
          <t>Buff-Casting Startup Delay (s, fixed-duration only)</t>
        </is>
      </c>
      <c r="B1443">
        <f>IF(AND(Inputs!$B$38&lt;&gt;"pvp",Inputs!$B$43&gt;0),SUMPRODUCT((Skills!T2:T28&gt;0)*(Skills!E2:E28=TRUE)*(C1407:C1433=TRUE))/B1438,0)</f>
        <v/>
      </c>
    </row>
    <row r="1444">
      <c r="A1444" t="inlineStr">
        <is>
          <t>Boss-Only Total DPS (this block's swept value)</t>
        </is>
      </c>
      <c r="B1444">
        <f>SUM(T1407:T1433)</f>
        <v/>
      </c>
    </row>
    <row r="1445">
      <c r="A1445" t="inlineStr">
        <is>
          <t>Normal-Only Total DPS (this block's swept value)</t>
        </is>
      </c>
      <c r="B1445">
        <f>SUM(V1407:V1433)</f>
        <v/>
      </c>
    </row>
    <row r="1446">
      <c r="A1446" s="6" t="inlineStr">
        <is>
          <t>TOTAL DPS</t>
        </is>
      </c>
      <c r="B1446" s="6">
        <f>SUM(O1407:O1433)</f>
        <v/>
      </c>
    </row>
    <row r="1447">
      <c r="A1447" t="inlineStr">
        <is>
          <t>Quickdraw cooldown divisor (this block's own APS / Q)</t>
        </is>
      </c>
      <c r="B1447">
        <f>IF(AND(C1432=TRUE,Inputs!$B$38&lt;&gt;"pvp"),1+0.25*MAX(0,(B1438-(((C1408=TRUE)*Q1408*1)+((C1409=TRUE)*Q1409*1)+((C1411=TRUE)*Q1411*1)+((C1412=TRUE)*Q1412*1)+((C1414=TRUE)*Q1414*1)+((C1417=TRUE)*Q1417*1)+((C1423=TRUE)*Q1423*1)+((C1433=TRUE)*Q1433*1))-((C1413=TRUE)/(IF(Inputs!$B$38="pvp",15,MAX(0.1,Skills!D8-IF(TRUE=TRUE,Inputs!$B$32,0)))*(1-IF(AND(ArtifactsInput!$M$27,Inputs!$B$4="Chapter Hunt"),CHOOSE(ArtifactsInput!$N$27+1,20,24,28,32,36,40),0)/100))+(C1416=TRUE)/(IF(Inputs!$B$38="pvp",15,MAX(0.1,Skills!D11-IF(TRUE=TRUE,Inputs!$B$32,0)))*(1-IF(AND(ArtifactsInput!$M$27,Inputs!$B$4="Chapter Hunt"),CHOOSE(ArtifactsInput!$N$27+1,20,24,28,32,36,40),0)/100))))/(1+0.25*((C1413=TRUE)/(IF(Inputs!$B$38="pvp",15,MAX(0.1,Skills!D8-IF(TRUE=TRUE,Inputs!$B$32,0)))*(1-IF(AND(ArtifactsInput!$M$27,Inputs!$B$4="Chapter Hunt"),CHOOSE(ArtifactsInput!$N$27+1,20,24,28,32,36,40),0)/100))+(C1416=TRUE)/(IF(Inputs!$B$38="pvp",15,MAX(0.1,Skills!D11-IF(TRUE=TRUE,Inputs!$B$32,0)))*(1-IF(AND(ArtifactsInput!$M$27,Inputs!$B$4="Chapter Hunt"),CHOOSE(ArtifactsInput!$N$27+1,20,24,28,32,36,40),0)/100))))),1)</f>
        <v/>
      </c>
    </row>
    <row r="1448">
      <c r="A1448" t="inlineStr">
        <is>
          <t>Nautilus Strike - Final Attack trigger rate (this block's own Q/R)</t>
        </is>
      </c>
      <c r="B1448">
        <f>IF(AND(Inputs!$B$38&lt;&gt;"pvp",Inputs!$B$43&gt;0),(((C1408=TRUE)*R1408)+((C1411=TRUE)*R1411)+((C1413=TRUE)*R1413)+((C1414=TRUE)*R1414)+((C1416=TRUE)*R1416))/Inputs!$B$43,((C1408=TRUE)*Q1408)+((C1411=TRUE)*Q1411)+((C1413=TRUE)*Q1413)+((C1414=TRUE)*Q1414)+((C1416=TRUE)*Q1416))+B1440</f>
        <v/>
      </c>
    </row>
    <row r="1451">
      <c r="A1451" s="6" t="inlineStr">
        <is>
          <t>Stat: Rainbow-colored Snail Shell (Equip)</t>
        </is>
      </c>
    </row>
    <row r="1452">
      <c r="A1452" s="5" t="inlineStr">
        <is>
          <t>Key</t>
        </is>
      </c>
      <c r="B1452" s="5" t="inlineStr">
        <is>
          <t>Name</t>
        </is>
      </c>
      <c r="C1452" s="5" t="inlineStr">
        <is>
          <t>Unlocked</t>
        </is>
      </c>
      <c r="D1452" s="5" t="inlineStr">
        <is>
          <t>InputLevel</t>
        </is>
      </c>
      <c r="E1452" s="5" t="inlineStr">
        <is>
          <t>Factor</t>
        </is>
      </c>
      <c r="F1452" s="5" t="inlineStr">
        <is>
          <t>CoefficientPercent</t>
        </is>
      </c>
      <c r="G1452" s="5" t="inlineStr">
        <is>
          <t>EffectiveHits</t>
        </is>
      </c>
      <c r="H1452" s="5" t="inlineStr">
        <is>
          <t>ProcProbability</t>
        </is>
      </c>
      <c r="I1452" s="5" t="inlineStr">
        <is>
          <t>MapleHeroMultiplier</t>
        </is>
      </c>
      <c r="J1452" s="5" t="inlineStr">
        <is>
          <t>BaseDamage</t>
        </is>
      </c>
      <c r="K1452" s="5" t="inlineStr">
        <is>
          <t>BaseHitDamage</t>
        </is>
      </c>
      <c r="L1452" s="5" t="inlineStr">
        <is>
          <t>NonCritAvg</t>
        </is>
      </c>
      <c r="M1452" s="5" t="inlineStr">
        <is>
          <t>CritAvg</t>
        </is>
      </c>
      <c r="N1452" s="5" t="inlineStr">
        <is>
          <t>ExpectedDamage(perHit)</t>
        </is>
      </c>
      <c r="O1452" s="5" t="inlineStr">
        <is>
          <t>DPS</t>
        </is>
      </c>
      <c r="P1452" s="5" t="inlineStr">
        <is>
          <t>% of Total</t>
        </is>
      </c>
      <c r="Q1452" s="5" t="inlineStr">
        <is>
          <t>InvCooldown</t>
        </is>
      </c>
      <c r="R1452" s="5" t="inlineStr">
        <is>
          <t>CastsInFight</t>
        </is>
      </c>
      <c r="S1452" s="5" t="inlineStr">
        <is>
          <t>HitRate(perSec)</t>
        </is>
      </c>
      <c r="U1452" t="inlineStr">
        <is>
          <t>helpers</t>
        </is>
      </c>
    </row>
    <row r="1453">
      <c r="A1453">
        <f>Skills!A2</f>
        <v/>
      </c>
      <c r="B1453">
        <f>Skills!B2</f>
        <v/>
      </c>
      <c r="C1453">
        <f>Inputs!$B$3&gt;=100</f>
        <v/>
      </c>
      <c r="D1453" t="inlineStr"/>
      <c r="E1453" t="inlineStr"/>
      <c r="F1453">
        <f>U1455+Skills!O2</f>
        <v/>
      </c>
      <c r="G1453">
        <f>Skills!G2*IF(Skills!H2&gt;0,INT(IF(Inputs!$B$38="pvp",MIN(Skills!I2,15),Skills!I2)/Skills!H2+0.000000001),1)</f>
        <v/>
      </c>
      <c r="H1453">
        <f>1-(1-Skills!J2/100)^Skills!K2</f>
        <v/>
      </c>
      <c r="I1453" t="inlineStr">
        <is>
          <t>1</t>
        </is>
      </c>
      <c r="J1453">
        <f>((Inputs!$B$6*(1+Inputs!$B$7/100))+(((Inputs!$B$12*(1+Inputs!$B$13/100))-(Inputs!$B$12*(1+Inputs!$B$13/100)))+0.25*(Inputs!$B$14-Inputs!$B$14))*(1+Inputs!$B$7/100))*(F1453/100)</f>
        <v/>
      </c>
      <c r="K1453">
        <f>J1453*(1+((Inputs!$B$12*(1+Inputs!$B$13/100))*0.01+Inputs!$B$14*0.0025)/100)*(1+Inputs!$B$15/100)*(1+Inputs!$B$16/100)*(5000/(6000+Inputs!$B$42*(1-(100*(1-(1-(Inputs!$B$19+0)/100)*(1-CHOOSE(ArtifactsInput!$N$40+1,5,6,7,8,9,10)/100)^(ArtifactsInput!$M$40-ArtifactsInput!$M$40)))/100)))*(1+(Inputs!$B$24+((C1477=TRUE)*(F1477-Calc!F26))+B1488)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IGHT_LEGS_EASTON",Inputs!$B$17+((C1474=TRUE)*(F1474-Calc!F23))+((C1478=TRUE)*(F1478-Calc!F27))+((IF(AND(Inputs!$B$38&lt;&gt;"pvp",Inputs!$B$43=0),1,IF(IF(Inputs!$B$38="pvp",15,Inputs!$B$43)-(B1489)&lt;=0,1,MAX(0,IF(Inputs!$B$38="pvp",15,Inputs!$B$43)-MAX(5,B1489))/(IF(Inputs!$B$38="pvp",15,Inputs!$B$43)-(B1489))))*(IF(AND(ArtifactsInput!$M$42,((Inputs!$B$9+((C1470=TRUE)*(F1470-Calc!F19))+B1482+(ArtifactsInput!$M$24-ArtifactsInput!$M$24)*CHOOSE(ArtifactsInput!$N$24+1,10,12,14,16,18,20)+IF(IF(ArtifactsInput!$M$10,FALSE,TRUE),CHOOSE(ArtifactsInput!$N$10+1,15,18,21,24,27,30)*(IF(Inputs!$B$38="pvp",MIN(15,15)/15,IF(AND(Inputs!$B$38&lt;&gt;"pvp",Inputs!$B$43&gt;0),MIN(15,Inputs!$B$43)/(Inputs!$B$43),0))),0)))&gt;=100),MIN(100,((Inputs!$B$9+((C1470=TRUE)*(F1470-Calc!F19))+B1482+(ArtifactsInput!$M$24-ArtifactsInput!$M$24)*CHOOSE(ArtifactsInput!$N$24+1,10,12,14,16,18,20)+IF(IF(ArtifactsInput!$M$10,FALSE,TRUE),CHOOSE(ArtifactsInput!$N$10+1,15,18,21,24,27,30)*(IF(Inputs!$B$38="pvp",MIN(15,15)/15,IF(AND(Inputs!$B$38&lt;&gt;"pvp",Inputs!$B$43&gt;0),MIN(15,Inputs!$B$43)/(Inputs!$B$43),0))),0)))-100),0))*CHOOSE(ArtifactsInput!$N$42+1,0.6,0.72,0.84,0.96,1.08,1.2))),Inputs!$B$18+0+(IF(AND(Inputs!$B$38&lt;&gt;"pvp",Inputs!$B$43=0),1,IF(IF(Inputs!$B$38="pvp",15,Inputs!$B$43)-(B1489)&lt;=0,1,MAX(0,IF(Inputs!$B$38="pvp",15,Inputs!$B$43)-MAX(5,B1489))/(IF(Inputs!$B$38="pvp",15,Inputs!$B$43)-(B1489))))*IF(AND(ArtifactsInput!$M$42,((Inputs!$B$9+((C1470=TRUE)*(F1470-Calc!F19))+B1482+(ArtifactsInput!$M$24-ArtifactsInput!$M$24)*CHOOSE(ArtifactsInput!$N$24+1,10,12,14,16,18,20)+IF(IF(ArtifactsInput!$M$10,FALSE,TRUE),CHOOSE(ArtifactsInput!$N$10+1,15,18,21,24,27,30)*(IF(Inputs!$B$38="pvp",MIN(15,15)/15,IF(AND(Inputs!$B$38&lt;&gt;"pvp",Inputs!$B$43&gt;0),MIN(15,Inputs!$B$43)/(Inputs!$B$43),0))),0)))&gt;=100),CHOOSE(ArtifactsInput!$N$42+1,40,48,56,64,72,80),0))))/100)*((1+(((C1468=TRUE)*F1468*5/7)+((C1475=TRUE)*(F1475-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1453)</f>
        <v/>
      </c>
      <c r="L1453">
        <f>K1453*(MIN(Inputs!$B$22+((C1473=TRUE)*(F1473-Calc!F22)),(Inputs!$B$23+0+(IF(ArtifactsInput!$M$15,CHOOSE(ArtifactsInput!$N$15+1,25,30,35,40,45,50)/100*(Inputs!$B$11-Inputs!$B$11),0))))/100+(Inputs!$B$23+0+(IF(ArtifactsInput!$M$15,CHOOSE(ArtifactsInput!$N$15+1,25,30,35,40,45,50)/100*(Inputs!$B$11-Inputs!$B$11),0)))/100)/2</f>
        <v/>
      </c>
      <c r="M1453">
        <f>L1453*(1+(Inputs!$B$10+((C1476=TRUE)*(F1476-Calc!F25))+B1487+(IF(ArtifactsInput!$M$24,CHOOSE(ArtifactsInput!$N$24+1,30,36,42,48,54,60)/100*(Inputs!$B$9-Inputs!$B$9),0)+IF(IF(ArtifactsInput!$M$10,FALSE,TRUE),CHOOSE(ArtifactsInput!$N$10+1,20,24,28,32,36,40)*(IF(Inputs!$B$38="pvp",MIN(15,15)/15,IF(AND(Inputs!$B$38&lt;&gt;"pvp",Inputs!$B$43&gt;0),MIN(15,Inputs!$B$43)/(Inputs!$B$43),0))),0)+IF(ArtifactsInput!$M$31,1.5*CHOOSE(ArtifactsInput!$N$31+1,20,24,28,32,36,40),0)))/100)</f>
        <v/>
      </c>
      <c r="N1453">
        <f>L1453*(1-MIN((Inputs!$B$9+((C1470=TRUE)*(F1470-Calc!F19))+B1482+(ArtifactsInput!$M$24-ArtifactsInput!$M$24)*CHOOSE(ArtifactsInput!$N$24+1,10,12,14,16,18,20)+(IF(AND(Inputs!$B$38&lt;&gt;"pvp",Inputs!$B$43=0),1,IF(IF(Inputs!$B$38="pvp",15,Inputs!$B$43)-(B1489)&lt;=0,1,MAX(0,IF(Inputs!$B$38="pvp",15,Inputs!$B$43)-MAX(5,B1489))/(IF(Inputs!$B$38="pvp",15,Inputs!$B$43)-(B1489))))*IF(AND(ArtifactsInput!$M$42,((Inputs!$B$9+((C1470=TRUE)*(F1470-Calc!F19))+B1482+(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M1453*(MIN((Inputs!$B$9+((C1470=TRUE)*(F1470-Calc!F19))+B1482+(ArtifactsInput!$M$24-ArtifactsInput!$M$24)*CHOOSE(ArtifactsInput!$N$24+1,10,12,14,16,18,20)+(IF(AND(Inputs!$B$38&lt;&gt;"pvp",Inputs!$B$43=0),1,IF(IF(Inputs!$B$38="pvp",15,Inputs!$B$43)-(B1489)&lt;=0,1,MAX(0,IF(Inputs!$B$38="pvp",15,Inputs!$B$43)-MAX(5,B1489))/(IF(Inputs!$B$38="pvp",15,Inputs!$B$43)-(B1489))))*IF(AND(ArtifactsInput!$M$42,((Inputs!$B$9+((C1470=TRUE)*(F1470-Calc!F19))+B1482+(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f>
        <v/>
      </c>
      <c r="O1453">
        <f>(1-Summary!$B$11)*T1453+Summary!$B$11*V1453</f>
        <v/>
      </c>
      <c r="P1453">
        <f>IF(B1492=0,0,O1453/B1492)</f>
        <v/>
      </c>
      <c r="Q1453" t="n">
        <v>0</v>
      </c>
      <c r="R1453" t="n">
        <v>0</v>
      </c>
      <c r="S1453">
        <f>IFERROR(O1453/N1453,0)</f>
        <v/>
      </c>
      <c r="T1453">
        <f>IF(C1453,(Skills!G2*N1453*B1486*(1+IF(C1478=TRUE,1/3,0)))*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Hunt"),CHOOSE(ArtifactsInput!$N$35+1,15,18,21,24,27,30)*(1-EXP(-(0.2*B1484)*5)),0)+IF(AND(ArtifactsInput!$M$22,Inputs!$B$4&lt;&gt;"Chapter Hunt"),CHOOSE(ArtifactsInput!$N$22+1,10,12,14,16,18,20)*((0*(((0.15*B1484*5))^0/1)+1*(((0.15*B1484*5))^1/1)+2*(((0.15*B1484*5))^2/2)+3*(((0.15*B1484*5))^3/6)+4*(((0.15*B1484*5))^4/24)+5*(((0.15*B1484*5))^5/120))/((((0.15*B1484*5))^0/1)+(((0.15*B1484*5))^1/1)+(((0.15*B1484*5))^2/2)+(((0.15*B1484*5))^3/6)+(((0.15*B1484*5))^4/24)+(((0.15*B1484*5))^5/120))),0))+IF(Inputs!$B$3&gt;=54,9*(C1454=TRUE)*MIN(1,8*(1+Inputs!$B$34/100)*Q1454)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1453*(1-MIN(100,(Inputs!$B$9+((C1470=TRUE)*(F1470-Calc!F19))+B1482+(ArtifactsInput!$M$24-ArtifactsInput!$M$24)*CHOOSE(ArtifactsInput!$N$24+1,10,12,14,16,18,20)+(IF(AND(Inputs!$B$38&lt;&gt;"pvp",Inputs!$B$43=0),1,IF(IF(Inputs!$B$38="pvp",15,Inputs!$B$43)-(B1489)&lt;=0,1,MAX(0,IF(Inputs!$B$38="pvp",15,Inputs!$B$43)-MAX(5,B1489))/(IF(Inputs!$B$38="pvp",15,Inputs!$B$43)-(B1489))))*IF(AND(ArtifactsInput!$M$42,((Inputs!$B$9+((C1470=TRUE)*(F1470-Calc!F19))+B1482+(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M1453*(MIN(100,(Inputs!$B$9+((C1470=TRUE)*(F1470-Calc!F19))+B1482+(ArtifactsInput!$M$24-ArtifactsInput!$M$24)*CHOOSE(ArtifactsInput!$N$24+1,10,12,14,16,18,20)+(IF(AND(Inputs!$B$38&lt;&gt;"pvp",Inputs!$B$43=0),1,IF(IF(Inputs!$B$38="pvp",15,Inputs!$B$43)-(B1489)&lt;=0,1,MAX(0,IF(Inputs!$B$38="pvp",15,Inputs!$B$43)-MAX(5,B1489))/(IF(Inputs!$B$38="pvp",15,Inputs!$B$43)-(B1489))))*IF(AND(ArtifactsInput!$M$42,((Inputs!$B$9+((C1470=TRUE)*(F1470-Calc!F19))+B1482+(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L1453*(1-MIN(100,(Inputs!$B$9+((C1470=TRUE)*(F1470-Calc!F19))+B1482+(ArtifactsInput!$M$24-ArtifactsInput!$M$24)*CHOOSE(ArtifactsInput!$N$24+1,10,12,14,16,18,20)+(IF(AND(Inputs!$B$38&lt;&gt;"pvp",Inputs!$B$43=0),1,IF(IF(Inputs!$B$38="pvp",15,Inputs!$B$43)-(B1489)&lt;=0,1,MAX(0,IF(Inputs!$B$38="pvp",15,Inputs!$B$43)-MAX(5,B1489))/(IF(Inputs!$B$38="pvp",15,Inputs!$B$43)-(B1489))))*IF(AND(ArtifactsInput!$M$42,((Inputs!$B$9+((C1470=TRUE)*(F1470-Calc!F19))+B1482+(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M1453*(MIN(100,(Inputs!$B$9+((C1470=TRUE)*(F1470-Calc!F19))+B1482+(ArtifactsInput!$M$24-ArtifactsInput!$M$24)*CHOOSE(ArtifactsInput!$N$24+1,10,12,14,16,18,20)+(IF(AND(Inputs!$B$38&lt;&gt;"pvp",Inputs!$B$43=0),1,IF(IF(Inputs!$B$38="pvp",15,Inputs!$B$43)-(B1489)&lt;=0,1,MAX(0,IF(Inputs!$B$38="pvp",15,Inputs!$B$43)-MAX(5,B1489))/(IF(Inputs!$B$38="pvp",15,Inputs!$B$43)-(B1489))))*IF(AND(ArtifactsInput!$M$42,((Inputs!$B$9+((C1470=TRUE)*(F1470-Calc!F19))+B1482+(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453">
        <f>MAX(0,(Inputs!$B$3-100)*3)+Inputs!$B$28+Inputs!$B$29</f>
        <v/>
      </c>
      <c r="V1453">
        <f>IF(C1453,(Skills!G2*N1453*B1486*(1+IF(C1478=TRUE,1/3,0)))*IF(Inputs!$B$38="pvp",1,(1+(Inputs!$B$21+Skills!Q2+(IF(ArtifactsInput!$M$33,CHOOSE(ArtifactsInput!$N$33+1,30,36,42,48,54,60),0))+(IF(AND(ArtifactsInput!$M$35,Inputs!$B$4&lt;&gt;"Chapter Hunt"),CHOOSE(ArtifactsInput!$N$35+1,15,18,21,24,27,30)*(1-EXP(-(0.2*B1484)*5)),0)+IF(AND(ArtifactsInput!$M$22,Inputs!$B$4&lt;&gt;"Chapter Hunt"),CHOOSE(ArtifactsInput!$N$22+1,10,12,14,16,18,20)*((0*(((0.15*B1484*5))^0/1)+1*(((0.15*B1484*5))^1/1)+2*(((0.15*B1484*5))^2/2)+3*(((0.15*B1484*5))^3/6)+4*(((0.15*B1484*5))^4/24)+5*(((0.15*B1484*5))^5/120))/((((0.15*B1484*5))^0/1)+(((0.15*B1484*5))^1/1)+(((0.15*B1484*5))^2/2)+(((0.15*B1484*5))^3/6)+(((0.15*B1484*5))^4/24)+(((0.15*B1484*5))^5/120))),0))+IF(Inputs!$B$3&gt;=54,9*(C1454=TRUE)*MIN(1,8*(1+Inputs!$B$34/100)*Q1454),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54">
      <c r="A1454">
        <f>Skills!A3</f>
        <v/>
      </c>
      <c r="B1454">
        <f>Skills!B3</f>
        <v/>
      </c>
      <c r="C1454">
        <f>Inputs!$B$3&gt;=33</f>
        <v/>
      </c>
      <c r="D1454">
        <f>IF(Skills!C3=1,60+Inputs!$B$25+Inputs!$B$29,IF(Skills!C3=2,90+Inputs!$B$26+Inputs!$B$29,IF(Skills!C3=3,120+Inputs!$B$27+Inputs!$B$29,MAX(0,(Inputs!$B$3-100)*3)+Inputs!$B$28+Inputs!$B$29)))</f>
        <v/>
      </c>
      <c r="E1454">
        <f>INDEX(FactorTable!$B$2:$Y$301, MATCH(ROUND(MIN(300,MAX(1,D1454)),0), FactorTable!$A$2:$A$301,0), Skills!M3+1)</f>
        <v/>
      </c>
      <c r="F1454">
        <f>IF(Skills!N3=TRUE,(Skills!L3/10)*(E1454/1000),Skills!L3/10)+Skills!O3</f>
        <v/>
      </c>
      <c r="G1454">
        <f>Skills!G3*IF(Skills!H3&gt;0,INT(IF(Inputs!$B$38="pvp",MIN(Skills!I3,15),Skills!I3)/Skills!H3+0.000000001),1)</f>
        <v/>
      </c>
      <c r="H1454">
        <f>1-(1-Skills!J3/100)^Skills!K3</f>
        <v/>
      </c>
      <c r="I1454" t="inlineStr">
        <is>
          <t>1</t>
        </is>
      </c>
      <c r="J1454">
        <f>((Inputs!$B$6*(1+Inputs!$B$7/100))+(((Inputs!$B$12*(1+Inputs!$B$13/100))-(Inputs!$B$12*(1+Inputs!$B$13/100)))+0.25*(Inputs!$B$14-Inputs!$B$14))*(1+Inputs!$B$7/100))*(F1454/100)</f>
        <v/>
      </c>
      <c r="K1454">
        <f>J1454*(1+((Inputs!$B$12*(1+Inputs!$B$13/100))*0.01+Inputs!$B$14*0.0025)/100)*(1+Inputs!$B$15/100)*(1+Inputs!$B$16/100)*(5000/(6000+Inputs!$B$42*(1-(100*(1-(1-(Inputs!$B$19+0)/100)*(1-CHOOSE(ArtifactsInput!$N$40+1,5,6,7,8,9,10)/100)^(ArtifactsInput!$M$40-ArtifactsInput!$M$40)))/100)))*(1+(Inputs!$B$24+((C1477=TRUE)*(F1477-Calc!F26))+B1488)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1466=TRUE,F1466,0)/100)*(1+(IF(Skills!A3="EIGHT_LEGS_EASTON",Inputs!$B$17+((C1474=TRUE)*(F1474-Calc!F23))+((C1478=TRUE)*(F1478-Calc!F27))+((IF(AND(Inputs!$B$38&lt;&gt;"pvp",Inputs!$B$43=0),1,IF(IF(Inputs!$B$38="pvp",15,Inputs!$B$43)-(B1489)&lt;=0,1,MAX(0,IF(Inputs!$B$38="pvp",15,Inputs!$B$43)-MAX(5,B1489))/(IF(Inputs!$B$38="pvp",15,Inputs!$B$43)-(B1489))))*(IF(AND(ArtifactsInput!$M$42,((Inputs!$B$9+((C1470=TRUE)*(F1470-Calc!F19))+B1482+(ArtifactsInput!$M$24-ArtifactsInput!$M$24)*CHOOSE(ArtifactsInput!$N$24+1,10,12,14,16,18,20)+IF(IF(ArtifactsInput!$M$10,FALSE,TRUE),CHOOSE(ArtifactsInput!$N$10+1,15,18,21,24,27,30)*(IF(Inputs!$B$38="pvp",MIN(15,15)/15,IF(AND(Inputs!$B$38&lt;&gt;"pvp",Inputs!$B$43&gt;0),MIN(15,Inputs!$B$43)/(Inputs!$B$43),0))),0)))&gt;=100),MIN(100,((Inputs!$B$9+((C1470=TRUE)*(F1470-Calc!F19))+B1482+(ArtifactsInput!$M$24-ArtifactsInput!$M$24)*CHOOSE(ArtifactsInput!$N$24+1,10,12,14,16,18,20)+IF(IF(ArtifactsInput!$M$10,FALSE,TRUE),CHOOSE(ArtifactsInput!$N$10+1,15,18,21,24,27,30)*(IF(Inputs!$B$38="pvp",MIN(15,15)/15,IF(AND(Inputs!$B$38&lt;&gt;"pvp",Inputs!$B$43&gt;0),MIN(15,Inputs!$B$43)/(Inputs!$B$43),0))),0)))-100),0))*CHOOSE(ArtifactsInput!$N$42+1,0.6,0.72,0.84,0.96,1.08,1.2))),Inputs!$B$18+0+(IF(AND(Inputs!$B$38&lt;&gt;"pvp",Inputs!$B$43=0),1,IF(IF(Inputs!$B$38="pvp",15,Inputs!$B$43)-(B1489)&lt;=0,1,MAX(0,IF(Inputs!$B$38="pvp",15,Inputs!$B$43)-MAX(5,B1489))/(IF(Inputs!$B$38="pvp",15,Inputs!$B$43)-(B1489))))*IF(AND(ArtifactsInput!$M$42,((Inputs!$B$9+((C1470=TRUE)*(F1470-Calc!F19))+B1482+(ArtifactsInput!$M$24-ArtifactsInput!$M$24)*CHOOSE(ArtifactsInput!$N$24+1,10,12,14,16,18,20)+IF(IF(ArtifactsInput!$M$10,FALSE,TRUE),CHOOSE(ArtifactsInput!$N$10+1,15,18,21,24,27,30)*(IF(Inputs!$B$38="pvp",MIN(15,15)/15,IF(AND(Inputs!$B$38&lt;&gt;"pvp",Inputs!$B$43&gt;0),MIN(15,Inputs!$B$43)/(Inputs!$B$43),0))),0)))&gt;=100),CHOOSE(ArtifactsInput!$N$42+1,40,48,56,64,72,80),0))))/100)*((1+(((C1468=TRUE)*F1468*5/7)+((C1475=TRUE)*(F1475-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1454)</f>
        <v/>
      </c>
      <c r="L1454">
        <f>K1454*(MIN(Inputs!$B$22+((C1473=TRUE)*(F1473-Calc!F22)),(Inputs!$B$23+0+(IF(ArtifactsInput!$M$15,CHOOSE(ArtifactsInput!$N$15+1,25,30,35,40,45,50)/100*(Inputs!$B$11-Inputs!$B$11),0))))/100+(Inputs!$B$23+0+(IF(ArtifactsInput!$M$15,CHOOSE(ArtifactsInput!$N$15+1,25,30,35,40,45,50)/100*(Inputs!$B$11-Inputs!$B$11),0)))/100)/2</f>
        <v/>
      </c>
      <c r="M1454">
        <f>L1454*(1+(Inputs!$B$10+((C1476=TRUE)*(F1476-Calc!F25))+B1487+(IF(ArtifactsInput!$M$24,CHOOSE(ArtifactsInput!$N$24+1,30,36,42,48,54,60)/100*(Inputs!$B$9-Inputs!$B$9),0)+IF(IF(ArtifactsInput!$M$10,FALSE,TRUE),CHOOSE(ArtifactsInput!$N$10+1,20,24,28,32,36,40)*(IF(Inputs!$B$38="pvp",MIN(15,15)/15,IF(AND(Inputs!$B$38&lt;&gt;"pvp",Inputs!$B$43&gt;0),MIN(15,Inputs!$B$43)/(Inputs!$B$43),0))),0)+IF(ArtifactsInput!$M$31,1.5*CHOOSE(ArtifactsInput!$N$31+1,20,24,28,32,36,40),0)))/100)</f>
        <v/>
      </c>
      <c r="N1454">
        <f>L1454*(1-MIN((Inputs!$B$9+((C1470=TRUE)*(F1470-Calc!F19))+B1482+(ArtifactsInput!$M$24-ArtifactsInput!$M$24)*CHOOSE(ArtifactsInput!$N$24+1,10,12,14,16,18,20)+(IF(AND(Inputs!$B$38&lt;&gt;"pvp",Inputs!$B$43=0),1,IF(IF(Inputs!$B$38="pvp",15,Inputs!$B$43)-(B1489)&lt;=0,1,MAX(0,IF(Inputs!$B$38="pvp",15,Inputs!$B$43)-MAX(5,B1489))/(IF(Inputs!$B$38="pvp",15,Inputs!$B$43)-(B1489))))*IF(AND(ArtifactsInput!$M$42,((Inputs!$B$9+((C1470=TRUE)*(F1470-Calc!F19))+B1482+(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M1454*(MIN((Inputs!$B$9+((C1470=TRUE)*(F1470-Calc!F19))+B1482+(ArtifactsInput!$M$24-ArtifactsInput!$M$24)*CHOOSE(ArtifactsInput!$N$24+1,10,12,14,16,18,20)+(IF(AND(Inputs!$B$38&lt;&gt;"pvp",Inputs!$B$43=0),1,IF(IF(Inputs!$B$38="pvp",15,Inputs!$B$43)-(B1489)&lt;=0,1,MAX(0,IF(Inputs!$B$38="pvp",15,Inputs!$B$43)-MAX(5,B1489))/(IF(Inputs!$B$38="pvp",15,Inputs!$B$43)-(B1489))))*IF(AND(ArtifactsInput!$M$42,((Inputs!$B$9+((C1470=TRUE)*(F1470-Calc!F19))+B1482+(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f>
        <v/>
      </c>
      <c r="O1454">
        <f>(1-Summary!$B$11)*T1454+Summary!$B$11*V1454</f>
        <v/>
      </c>
      <c r="P1454">
        <f>IF(B1492=0,0,O1454/B1492)</f>
        <v/>
      </c>
      <c r="Q1454">
        <f>IFERROR(1/(IF(Inputs!$B$38="pvp",15,MAX(0.1,Skills!D3-IF(TRUE=TRUE,Inputs!$B$32,0)))*(1-IF(AND(ArtifactsInput!$M$27,Inputs!$B$4="Chapter Hunt"),CHOOSE(ArtifactsInput!$N$27+1,20,24,28,32,36,40),0)/100)),0)</f>
        <v/>
      </c>
      <c r="R1454">
        <f>IF(AND(Inputs!$B$38&lt;&gt;"pvp",Inputs!$B$43&gt;0),IF(MAX(0,Inputs!$B$43-B1489)&lt;=0,0,(INT(MAX(0,Inputs!$B$43-B1489)/(IF(Inputs!$B$38="pvp",15,MAX(0.1,Skills!D3-IF(TRUE=TRUE,Inputs!$B$32,0)))*(1-IF(AND(ArtifactsInput!$M$27,Inputs!$B$4="Chapter Hunt"),CHOOSE(ArtifactsInput!$N$27+1,20,24,28,32,36,40),0)/100)))+1)),0)</f>
        <v/>
      </c>
      <c r="S1454">
        <f>IFERROR(O1454/N1454,0)</f>
        <v/>
      </c>
      <c r="T1454">
        <f>IF(C1454,(H1454*N1454*IF(AND(Inputs!$B$38&lt;&gt;"pvp",Inputs!$B$43&gt;0),((Skills!G3*((R1454-1)*IF(Skills!H3&gt;0,INT(Skills!I3/Skills!H3+0.000000001),1)+IF(Skills!H3&gt;0,INT(MIN(Skills!I3,MAX(0,MAX(0,Inputs!$B$43-B1489)-((R1454-1)*(IF(Inputs!$B$38="pvp",15,MAX(0.1,Skills!D3-IF(TRUE=TRUE,Inputs!$B$32,0)))*(1-IF(AND(ArtifactsInput!$M$27,Inputs!$B$4="Chapter Hunt"),CHOOSE(ArtifactsInput!$N$27+1,20,24,28,32,36,40),0)/100)))))/Skills!H3+0.000000001),1)))/Inputs!$B$43),G1454*Q1454))*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Hunt"),CHOOSE(ArtifactsInput!$N$35+1,15,18,21,24,27,30)*(1-EXP(-(0.2*B1484)*5)),0)+IF(AND(ArtifactsInput!$M$22,Inputs!$B$4&lt;&gt;"Chapter Hunt"),CHOOSE(ArtifactsInput!$N$22+1,10,12,14,16,18,20)*((0*(((0.15*B1484*5))^0/1)+1*(((0.15*B1484*5))^1/1)+2*(((0.15*B1484*5))^2/2)+3*(((0.15*B1484*5))^3/6)+4*(((0.15*B1484*5))^4/24)+5*(((0.15*B1484*5))^5/120))/((((0.15*B1484*5))^0/1)+(((0.15*B1484*5))^1/1)+(((0.15*B1484*5))^2/2)+(((0.15*B1484*5))^3/6)+(((0.15*B1484*5))^4/24)+(((0.15*B1484*5))^5/120))),0))+IF(Inputs!$B$3&gt;=54,9*(C1454=TRUE)*MIN(1,8*(1+Inputs!$B$34/100)*Q1454)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1454*(1-MIN(100,(Inputs!$B$9+((C1470=TRUE)*(F1470-Calc!F19))+B1482+(ArtifactsInput!$M$24-ArtifactsInput!$M$24)*CHOOSE(ArtifactsInput!$N$24+1,10,12,14,16,18,20)+(IF(AND(Inputs!$B$38&lt;&gt;"pvp",Inputs!$B$43=0),1,IF(IF(Inputs!$B$38="pvp",15,Inputs!$B$43)-(B1489)&lt;=0,1,MAX(0,IF(Inputs!$B$38="pvp",15,Inputs!$B$43)-MAX(5,B1489))/(IF(Inputs!$B$38="pvp",15,Inputs!$B$43)-(B1489))))*IF(AND(ArtifactsInput!$M$42,((Inputs!$B$9+((C1470=TRUE)*(F1470-Calc!F19))+B1482+(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M1454*(MIN(100,(Inputs!$B$9+((C1470=TRUE)*(F1470-Calc!F19))+B1482+(ArtifactsInput!$M$24-ArtifactsInput!$M$24)*CHOOSE(ArtifactsInput!$N$24+1,10,12,14,16,18,20)+(IF(AND(Inputs!$B$38&lt;&gt;"pvp",Inputs!$B$43=0),1,IF(IF(Inputs!$B$38="pvp",15,Inputs!$B$43)-(B1489)&lt;=0,1,MAX(0,IF(Inputs!$B$38="pvp",15,Inputs!$B$43)-MAX(5,B1489))/(IF(Inputs!$B$38="pvp",15,Inputs!$B$43)-(B1489))))*IF(AND(ArtifactsInput!$M$42,((Inputs!$B$9+((C1470=TRUE)*(F1470-Calc!F19))+B1482+(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L1454*(1-MIN(100,(Inputs!$B$9+((C1470=TRUE)*(F1470-Calc!F19))+B1482+(ArtifactsInput!$M$24-ArtifactsInput!$M$24)*CHOOSE(ArtifactsInput!$N$24+1,10,12,14,16,18,20)+(IF(AND(Inputs!$B$38&lt;&gt;"pvp",Inputs!$B$43=0),1,IF(IF(Inputs!$B$38="pvp",15,Inputs!$B$43)-(B1489)&lt;=0,1,MAX(0,IF(Inputs!$B$38="pvp",15,Inputs!$B$43)-MAX(5,B1489))/(IF(Inputs!$B$38="pvp",15,Inputs!$B$43)-(B1489))))*IF(AND(ArtifactsInput!$M$42,((Inputs!$B$9+((C1470=TRUE)*(F1470-Calc!F19))+B1482+(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M1454*(MIN(100,(Inputs!$B$9+((C1470=TRUE)*(F1470-Calc!F19))+B1482+(ArtifactsInput!$M$24-ArtifactsInput!$M$24)*CHOOSE(ArtifactsInput!$N$24+1,10,12,14,16,18,20)+(IF(AND(Inputs!$B$38&lt;&gt;"pvp",Inputs!$B$43=0),1,IF(IF(Inputs!$B$38="pvp",15,Inputs!$B$43)-(B1489)&lt;=0,1,MAX(0,IF(Inputs!$B$38="pvp",15,Inputs!$B$43)-MAX(5,B1489))/(IF(Inputs!$B$38="pvp",15,Inputs!$B$43)-(B1489))))*IF(AND(ArtifactsInput!$M$42,((Inputs!$B$9+((C1470=TRUE)*(F1470-Calc!F19))+B1482+(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454">
        <f>INDEX(FactorTable!$B$2:$Y$301, MATCH(ROUND(MIN(300,MAX(1,U1453)),0), FactorTable!$A$2:$A$301,0), 22)</f>
        <v/>
      </c>
      <c r="V1454">
        <f>IF(C1454,(H1454*N1454*IF(AND(Inputs!$B$38&lt;&gt;"pvp",Inputs!$B$43&gt;0),((Skills!G3*((R1454-1)*IF(Skills!H3&gt;0,INT(Skills!I3/Skills!H3+0.000000001),1)+IF(Skills!H3&gt;0,INT(MIN(Skills!I3,MAX(0,MAX(0,Inputs!$B$43-B1489)-((R1454-1)*(IF(Inputs!$B$38="pvp",15,MAX(0.1,Skills!D3-IF(TRUE=TRUE,Inputs!$B$32,0)))*(1-IF(AND(ArtifactsInput!$M$27,Inputs!$B$4="Chapter Hunt"),CHOOSE(ArtifactsInput!$N$27+1,20,24,28,32,36,40),0)/100)))))/Skills!H3+0.000000001),1)))/Inputs!$B$43),G1454*Q1454))*IF(Inputs!$B$38="pvp",1,(1+(Inputs!$B$21+Skills!Q3+(IF(ArtifactsInput!$M$33,CHOOSE(ArtifactsInput!$N$33+1,30,36,42,48,54,60),0))+(IF(AND(ArtifactsInput!$M$35,Inputs!$B$4&lt;&gt;"Chapter Hunt"),CHOOSE(ArtifactsInput!$N$35+1,15,18,21,24,27,30)*(1-EXP(-(0.2*B1484)*5)),0)+IF(AND(ArtifactsInput!$M$22,Inputs!$B$4&lt;&gt;"Chapter Hunt"),CHOOSE(ArtifactsInput!$N$22+1,10,12,14,16,18,20)*((0*(((0.15*B1484*5))^0/1)+1*(((0.15*B1484*5))^1/1)+2*(((0.15*B1484*5))^2/2)+3*(((0.15*B1484*5))^3/6)+4*(((0.15*B1484*5))^4/24)+5*(((0.15*B1484*5))^5/120))/((((0.15*B1484*5))^0/1)+(((0.15*B1484*5))^1/1)+(((0.15*B1484*5))^2/2)+(((0.15*B1484*5))^3/6)+(((0.15*B1484*5))^4/24)+(((0.15*B1484*5))^5/120))),0))+IF(Inputs!$B$3&gt;=54,9*(C1454=TRUE)*MIN(1,8*(1+Inputs!$B$34/100)*Q1454),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55">
      <c r="A1455">
        <f>Skills!A4</f>
        <v/>
      </c>
      <c r="B1455">
        <f>Skills!B4</f>
        <v/>
      </c>
      <c r="C1455">
        <f>Inputs!$B$3&gt;=35</f>
        <v/>
      </c>
      <c r="D1455">
        <f>IF(Skills!C4=1,60+Inputs!$B$25+Inputs!$B$29,IF(Skills!C4=2,90+Inputs!$B$26+Inputs!$B$29,IF(Skills!C4=3,120+Inputs!$B$27+Inputs!$B$29,MAX(0,(Inputs!$B$3-100)*3)+Inputs!$B$28+Inputs!$B$29)))</f>
        <v/>
      </c>
      <c r="E1455">
        <f>INDEX(FactorTable!$B$2:$Y$301, MATCH(ROUND(MIN(300,MAX(1,D1455)),0), FactorTable!$A$2:$A$301,0), Skills!M4+1)</f>
        <v/>
      </c>
      <c r="F1455">
        <f>IF(Skills!N4=TRUE,(Skills!L4/10)*(E1455/1000),Skills!L4/10)+Skills!O4</f>
        <v/>
      </c>
      <c r="G1455">
        <f>Skills!G4*IF(Skills!H4&gt;0,INT(IF(Inputs!$B$38="pvp",MIN(IF(Inputs!$B$3&gt;=104,MIN(35,20*(1+Inputs!$B$34/100)),20),15),IF(Inputs!$B$3&gt;=104,MIN(35,20*(1+Inputs!$B$34/100)),20))/Skills!H4+0.000000001),1)</f>
        <v/>
      </c>
      <c r="H1455">
        <f>1-(1-Skills!J4/100)^Skills!K4</f>
        <v/>
      </c>
      <c r="I1455" t="inlineStr">
        <is>
          <t>1</t>
        </is>
      </c>
      <c r="J1455">
        <f>((Inputs!$B$6*(1+Inputs!$B$7/100))+(((Inputs!$B$12*(1+Inputs!$B$13/100))-(Inputs!$B$12*(1+Inputs!$B$13/100)))+0.25*(Inputs!$B$14-Inputs!$B$14))*(1+Inputs!$B$7/100))*(F1455/100)</f>
        <v/>
      </c>
      <c r="K1455">
        <f>J1455*(1+((Inputs!$B$12*(1+Inputs!$B$13/100))*0.01+Inputs!$B$14*0.0025)/100)*(1+Inputs!$B$15/100)*(1+Inputs!$B$16/100)*(5000/(6000+Inputs!$B$42*(1-(100*(1-(1-(Inputs!$B$19+0)/100)*(1-CHOOSE(ArtifactsInput!$N$40+1,5,6,7,8,9,10)/100)^(ArtifactsInput!$M$40-ArtifactsInput!$M$40)))/100)))*(1+(Inputs!$B$24+((C1477=TRUE)*(F1477-Calc!F26))+B1488)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1467=TRUE,F1467,0)/100)*(1+(IF(Skills!A4="EIGHT_LEGS_EASTON",Inputs!$B$17+((C1474=TRUE)*(F1474-Calc!F23))+((C1478=TRUE)*(F1478-Calc!F27))+((IF(AND(Inputs!$B$38&lt;&gt;"pvp",Inputs!$B$43=0),1,IF(IF(Inputs!$B$38="pvp",15,Inputs!$B$43)-(B1489)&lt;=0,1,MAX(0,IF(Inputs!$B$38="pvp",15,Inputs!$B$43)-MAX(5,B1489))/(IF(Inputs!$B$38="pvp",15,Inputs!$B$43)-(B1489))))*(IF(AND(ArtifactsInput!$M$42,((Inputs!$B$9+((C1470=TRUE)*(F1470-Calc!F19))+B1482+(ArtifactsInput!$M$24-ArtifactsInput!$M$24)*CHOOSE(ArtifactsInput!$N$24+1,10,12,14,16,18,20)+IF(IF(ArtifactsInput!$M$10,FALSE,TRUE),CHOOSE(ArtifactsInput!$N$10+1,15,18,21,24,27,30)*(IF(Inputs!$B$38="pvp",MIN(15,15)/15,IF(AND(Inputs!$B$38&lt;&gt;"pvp",Inputs!$B$43&gt;0),MIN(15,Inputs!$B$43)/(Inputs!$B$43),0))),0)))&gt;=100),MIN(100,((Inputs!$B$9+((C1470=TRUE)*(F1470-Calc!F19))+B1482+(ArtifactsInput!$M$24-ArtifactsInput!$M$24)*CHOOSE(ArtifactsInput!$N$24+1,10,12,14,16,18,20)+IF(IF(ArtifactsInput!$M$10,FALSE,TRUE),CHOOSE(ArtifactsInput!$N$10+1,15,18,21,24,27,30)*(IF(Inputs!$B$38="pvp",MIN(15,15)/15,IF(AND(Inputs!$B$38&lt;&gt;"pvp",Inputs!$B$43&gt;0),MIN(15,Inputs!$B$43)/(Inputs!$B$43),0))),0)))-100),0))*CHOOSE(ArtifactsInput!$N$42+1,0.6,0.72,0.84,0.96,1.08,1.2))),Inputs!$B$18+0+(IF(AND(Inputs!$B$38&lt;&gt;"pvp",Inputs!$B$43=0),1,IF(IF(Inputs!$B$38="pvp",15,Inputs!$B$43)-(B1489)&lt;=0,1,MAX(0,IF(Inputs!$B$38="pvp",15,Inputs!$B$43)-MAX(5,B1489))/(IF(Inputs!$B$38="pvp",15,Inputs!$B$43)-(B1489))))*IF(AND(ArtifactsInput!$M$42,((Inputs!$B$9+((C1470=TRUE)*(F1470-Calc!F19))+B1482+(ArtifactsInput!$M$24-ArtifactsInput!$M$24)*CHOOSE(ArtifactsInput!$N$24+1,10,12,14,16,18,20)+IF(IF(ArtifactsInput!$M$10,FALSE,TRUE),CHOOSE(ArtifactsInput!$N$10+1,15,18,21,24,27,30)*(IF(Inputs!$B$38="pvp",MIN(15,15)/15,IF(AND(Inputs!$B$38&lt;&gt;"pvp",Inputs!$B$43&gt;0),MIN(15,Inputs!$B$43)/(Inputs!$B$43),0))),0)))&gt;=100),CHOOSE(ArtifactsInput!$N$42+1,40,48,56,64,72,80),0))))/100)*((1+(((C1468=TRUE)*F1468*5/7)+((C1475=TRUE)*(F1475-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1455)</f>
        <v/>
      </c>
      <c r="L1455">
        <f>K1455*(MIN(Inputs!$B$22+((C1473=TRUE)*(F1473-Calc!F22)),(Inputs!$B$23+0+(IF(ArtifactsInput!$M$15,CHOOSE(ArtifactsInput!$N$15+1,25,30,35,40,45,50)/100*(Inputs!$B$11-Inputs!$B$11),0))))/100+(Inputs!$B$23+0+(IF(ArtifactsInput!$M$15,CHOOSE(ArtifactsInput!$N$15+1,25,30,35,40,45,50)/100*(Inputs!$B$11-Inputs!$B$11),0)))/100)/2</f>
        <v/>
      </c>
      <c r="M1455">
        <f>L1455*(1+(Inputs!$B$10+((C1476=TRUE)*(F1476-Calc!F25))+B1487+(IF(ArtifactsInput!$M$24,CHOOSE(ArtifactsInput!$N$24+1,30,36,42,48,54,60)/100*(Inputs!$B$9-Inputs!$B$9),0)+IF(IF(ArtifactsInput!$M$10,FALSE,TRUE),CHOOSE(ArtifactsInput!$N$10+1,20,24,28,32,36,40)*(IF(Inputs!$B$38="pvp",MIN(15,15)/15,IF(AND(Inputs!$B$38&lt;&gt;"pvp",Inputs!$B$43&gt;0),MIN(15,Inputs!$B$43)/(Inputs!$B$43),0))),0)+IF(ArtifactsInput!$M$31,1.5*CHOOSE(ArtifactsInput!$N$31+1,20,24,28,32,36,40),0)))/100)</f>
        <v/>
      </c>
      <c r="N1455">
        <f>L1455*(1-MIN((Inputs!$B$9+((C1470=TRUE)*(F1470-Calc!F19))+B1482+(ArtifactsInput!$M$24-ArtifactsInput!$M$24)*CHOOSE(ArtifactsInput!$N$24+1,10,12,14,16,18,20)+(IF(AND(Inputs!$B$38&lt;&gt;"pvp",Inputs!$B$43=0),1,IF(IF(Inputs!$B$38="pvp",15,Inputs!$B$43)-(B1489)&lt;=0,1,MAX(0,IF(Inputs!$B$38="pvp",15,Inputs!$B$43)-MAX(5,B1489))/(IF(Inputs!$B$38="pvp",15,Inputs!$B$43)-(B1489))))*IF(AND(ArtifactsInput!$M$42,((Inputs!$B$9+((C1470=TRUE)*(F1470-Calc!F19))+B1482+(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M1455*(MIN((Inputs!$B$9+((C1470=TRUE)*(F1470-Calc!F19))+B1482+(ArtifactsInput!$M$24-ArtifactsInput!$M$24)*CHOOSE(ArtifactsInput!$N$24+1,10,12,14,16,18,20)+(IF(AND(Inputs!$B$38&lt;&gt;"pvp",Inputs!$B$43=0),1,IF(IF(Inputs!$B$38="pvp",15,Inputs!$B$43)-(B1489)&lt;=0,1,MAX(0,IF(Inputs!$B$38="pvp",15,Inputs!$B$43)-MAX(5,B1489))/(IF(Inputs!$B$38="pvp",15,Inputs!$B$43)-(B1489))))*IF(AND(ArtifactsInput!$M$42,((Inputs!$B$9+((C1470=TRUE)*(F1470-Calc!F19))+B1482+(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f>
        <v/>
      </c>
      <c r="O1455">
        <f>(1-Summary!$B$11)*T1455+Summary!$B$11*V1455</f>
        <v/>
      </c>
      <c r="P1455">
        <f>IF(B1492=0,0,O1455/B1492)</f>
        <v/>
      </c>
      <c r="Q1455">
        <f>IFERROR(1/(IF(Inputs!$B$38="pvp",15,MAX(0.1,Skills!D4-IF(TRUE=TRUE,Inputs!$B$32,0)))*(1-IF(AND(ArtifactsInput!$M$27,Inputs!$B$4="Chapter Hunt"),CHOOSE(ArtifactsInput!$N$27+1,20,24,28,32,36,40),0)/100)),0)</f>
        <v/>
      </c>
      <c r="R1455">
        <f>IF(AND(Inputs!$B$38&lt;&gt;"pvp",Inputs!$B$43&gt;0),IF(MAX(0,Inputs!$B$43-B1489)&lt;=0,0,(INT(MAX(0,Inputs!$B$43-B1489)/(IF(Inputs!$B$38="pvp",15,MAX(0.1,Skills!D4-IF(TRUE=TRUE,Inputs!$B$32,0)))*(1-IF(AND(ArtifactsInput!$M$27,Inputs!$B$4="Chapter Hunt"),CHOOSE(ArtifactsInput!$N$27+1,20,24,28,32,36,40),0)/100)))+1)),0)</f>
        <v/>
      </c>
      <c r="S1455">
        <f>IFERROR(O1455/N1455,0)</f>
        <v/>
      </c>
      <c r="T1455">
        <f>IF(C1455,(H1455*N1455*IF(AND(Inputs!$B$38&lt;&gt;"pvp",Inputs!$B$43&gt;0),((Skills!G4*((R1455-1)*IF(Skills!H4&gt;0,INT(IF(Inputs!$B$3&gt;=104,MIN(35,20*(1+Inputs!$B$34/100)),20)/Skills!H4+0.000000001),1)+IF(Skills!H4&gt;0,INT(MIN(IF(Inputs!$B$3&gt;=104,MIN(35,20*(1+Inputs!$B$34/100)),20),MAX(0,MAX(0,Inputs!$B$43-B1489)-((R1455-1)*(IF(Inputs!$B$38="pvp",15,MAX(0.1,Skills!D4-IF(TRUE=TRUE,Inputs!$B$32,0)))*(1-IF(AND(ArtifactsInput!$M$27,Inputs!$B$4="Chapter Hunt"),CHOOSE(ArtifactsInput!$N$27+1,20,24,28,32,36,40),0)/100)))))/Skills!H4+0.000000001),1)))/Inputs!$B$43),G1455*Q1455))*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Hunt"),CHOOSE(ArtifactsInput!$N$35+1,15,18,21,24,27,30)*(1-EXP(-(0.2*B1484)*5)),0)+IF(AND(ArtifactsInput!$M$22,Inputs!$B$4&lt;&gt;"Chapter Hunt"),CHOOSE(ArtifactsInput!$N$22+1,10,12,14,16,18,20)*((0*(((0.15*B1484*5))^0/1)+1*(((0.15*B1484*5))^1/1)+2*(((0.15*B1484*5))^2/2)+3*(((0.15*B1484*5))^3/6)+4*(((0.15*B1484*5))^4/24)+5*(((0.15*B1484*5))^5/120))/((((0.15*B1484*5))^0/1)+(((0.15*B1484*5))^1/1)+(((0.15*B1484*5))^2/2)+(((0.15*B1484*5))^3/6)+(((0.15*B1484*5))^4/24)+(((0.15*B1484*5))^5/120))),0))+IF(Inputs!$B$3&gt;=54,9*(C1454=TRUE)*MIN(1,8*(1+Inputs!$B$34/100)*Q1454)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1455*(1-MIN(100,(Inputs!$B$9+((C1470=TRUE)*(F1470-Calc!F19))+B1482+(ArtifactsInput!$M$24-ArtifactsInput!$M$24)*CHOOSE(ArtifactsInput!$N$24+1,10,12,14,16,18,20)+(IF(AND(Inputs!$B$38&lt;&gt;"pvp",Inputs!$B$43=0),1,IF(IF(Inputs!$B$38="pvp",15,Inputs!$B$43)-(B1489)&lt;=0,1,MAX(0,IF(Inputs!$B$38="pvp",15,Inputs!$B$43)-MAX(5,B1489))/(IF(Inputs!$B$38="pvp",15,Inputs!$B$43)-(B1489))))*IF(AND(ArtifactsInput!$M$42,((Inputs!$B$9+((C1470=TRUE)*(F1470-Calc!F19))+B1482+(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M1455*(MIN(100,(Inputs!$B$9+((C1470=TRUE)*(F1470-Calc!F19))+B1482+(ArtifactsInput!$M$24-ArtifactsInput!$M$24)*CHOOSE(ArtifactsInput!$N$24+1,10,12,14,16,18,20)+(IF(AND(Inputs!$B$38&lt;&gt;"pvp",Inputs!$B$43=0),1,IF(IF(Inputs!$B$38="pvp",15,Inputs!$B$43)-(B1489)&lt;=0,1,MAX(0,IF(Inputs!$B$38="pvp",15,Inputs!$B$43)-MAX(5,B1489))/(IF(Inputs!$B$38="pvp",15,Inputs!$B$43)-(B1489))))*IF(AND(ArtifactsInput!$M$42,((Inputs!$B$9+((C1470=TRUE)*(F1470-Calc!F19))+B1482+(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L1455*(1-MIN(100,(Inputs!$B$9+((C1470=TRUE)*(F1470-Calc!F19))+B1482+(ArtifactsInput!$M$24-ArtifactsInput!$M$24)*CHOOSE(ArtifactsInput!$N$24+1,10,12,14,16,18,20)+(IF(AND(Inputs!$B$38&lt;&gt;"pvp",Inputs!$B$43=0),1,IF(IF(Inputs!$B$38="pvp",15,Inputs!$B$43)-(B1489)&lt;=0,1,MAX(0,IF(Inputs!$B$38="pvp",15,Inputs!$B$43)-MAX(5,B1489))/(IF(Inputs!$B$38="pvp",15,Inputs!$B$43)-(B1489))))*IF(AND(ArtifactsInput!$M$42,((Inputs!$B$9+((C1470=TRUE)*(F1470-Calc!F19))+B1482+(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M1455*(MIN(100,(Inputs!$B$9+((C1470=TRUE)*(F1470-Calc!F19))+B1482+(ArtifactsInput!$M$24-ArtifactsInput!$M$24)*CHOOSE(ArtifactsInput!$N$24+1,10,12,14,16,18,20)+(IF(AND(Inputs!$B$38&lt;&gt;"pvp",Inputs!$B$43=0),1,IF(IF(Inputs!$B$38="pvp",15,Inputs!$B$43)-(B1489)&lt;=0,1,MAX(0,IF(Inputs!$B$38="pvp",15,Inputs!$B$43)-MAX(5,B1489))/(IF(Inputs!$B$38="pvp",15,Inputs!$B$43)-(B1489))))*IF(AND(ArtifactsInput!$M$42,((Inputs!$B$9+((C1470=TRUE)*(F1470-Calc!F19))+B1482+(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455">
        <f>290*U1454/1000</f>
        <v/>
      </c>
      <c r="V1455">
        <f>IF(C1455,(H1455*N1455*IF(AND(Inputs!$B$38&lt;&gt;"pvp",Inputs!$B$43&gt;0),((Skills!G4*((R1455-1)*IF(Skills!H4&gt;0,INT(IF(Inputs!$B$3&gt;=104,MIN(35,20*(1+Inputs!$B$34/100)),20)/Skills!H4+0.000000001),1)+IF(Skills!H4&gt;0,INT(MIN(IF(Inputs!$B$3&gt;=104,MIN(35,20*(1+Inputs!$B$34/100)),20),MAX(0,MAX(0,Inputs!$B$43-B1489)-((R1455-1)*(IF(Inputs!$B$38="pvp",15,MAX(0.1,Skills!D4-IF(TRUE=TRUE,Inputs!$B$32,0)))*(1-IF(AND(ArtifactsInput!$M$27,Inputs!$B$4="Chapter Hunt"),CHOOSE(ArtifactsInput!$N$27+1,20,24,28,32,36,40),0)/100)))))/Skills!H4+0.000000001),1)))/Inputs!$B$43),G1455*Q1455))*IF(Inputs!$B$38="pvp",1,(1+(Inputs!$B$21+Skills!Q4+(IF(ArtifactsInput!$M$33,CHOOSE(ArtifactsInput!$N$33+1,30,36,42,48,54,60),0))+(IF(AND(ArtifactsInput!$M$35,Inputs!$B$4&lt;&gt;"Chapter Hunt"),CHOOSE(ArtifactsInput!$N$35+1,15,18,21,24,27,30)*(1-EXP(-(0.2*B1484)*5)),0)+IF(AND(ArtifactsInput!$M$22,Inputs!$B$4&lt;&gt;"Chapter Hunt"),CHOOSE(ArtifactsInput!$N$22+1,10,12,14,16,18,20)*((0*(((0.15*B1484*5))^0/1)+1*(((0.15*B1484*5))^1/1)+2*(((0.15*B1484*5))^2/2)+3*(((0.15*B1484*5))^3/6)+4*(((0.15*B1484*5))^4/24)+5*(((0.15*B1484*5))^5/120))/((((0.15*B1484*5))^0/1)+(((0.15*B1484*5))^1/1)+(((0.15*B1484*5))^2/2)+(((0.15*B1484*5))^3/6)+(((0.15*B1484*5))^4/24)+(((0.15*B1484*5))^5/120))),0))+IF(Inputs!$B$3&gt;=54,9*(C1454=TRUE)*MIN(1,8*(1+Inputs!$B$34/100)*Q1454),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56">
      <c r="A1456">
        <f>Skills!A5</f>
        <v/>
      </c>
      <c r="B1456">
        <f>Skills!B5</f>
        <v/>
      </c>
      <c r="C1456">
        <f>Inputs!$B$3&gt;=69</f>
        <v/>
      </c>
      <c r="D1456">
        <f>IF(Skills!C5=1,60+Inputs!$B$25+Inputs!$B$29,IF(Skills!C5=2,90+Inputs!$B$26+Inputs!$B$29,IF(Skills!C5=3,120+Inputs!$B$27+Inputs!$B$29,MAX(0,(Inputs!$B$3-100)*3)+Inputs!$B$28+Inputs!$B$29)))</f>
        <v/>
      </c>
      <c r="E1456">
        <f>INDEX(FactorTable!$B$2:$Y$301, MATCH(ROUND(MIN(300,MAX(1,D1456)),0), FactorTable!$A$2:$A$301,0), Skills!M5+1)</f>
        <v/>
      </c>
      <c r="F1456">
        <f>IF(Skills!N5=TRUE,(Skills!L5/10)*(E1456/1000),Skills!L5/10)+Skills!O5</f>
        <v/>
      </c>
      <c r="G1456">
        <f>Skills!G5*IF(Skills!H5&gt;0,INT(IF(Inputs!$B$38="pvp",MIN(IF(Inputs!$B$3&gt;=104,MIN(35,20*(1+Inputs!$B$34/100)),20),15),IF(Inputs!$B$3&gt;=104,MIN(35,20*(1+Inputs!$B$34/100)),20))/Skills!H5+0.000000001),1)</f>
        <v/>
      </c>
      <c r="H1456">
        <f>1-(1-Skills!J5/100)^Skills!K5</f>
        <v/>
      </c>
      <c r="I1456" t="inlineStr">
        <is>
          <t>1</t>
        </is>
      </c>
      <c r="J1456">
        <f>((Inputs!$B$6*(1+Inputs!$B$7/100))+(((Inputs!$B$12*(1+Inputs!$B$13/100))-(Inputs!$B$12*(1+Inputs!$B$13/100)))+0.25*(Inputs!$B$14-Inputs!$B$14))*(1+Inputs!$B$7/100))*(F1456/100)</f>
        <v/>
      </c>
      <c r="K1456">
        <f>J1456*(1+((Inputs!$B$12*(1+Inputs!$B$13/100))*0.01+Inputs!$B$14*0.0025)/100)*(1+Inputs!$B$15/100)*(1+Inputs!$B$16/100)*(5000/(6000+Inputs!$B$42*(1-(100*(1-(1-(Inputs!$B$19+0)/100)*(1-CHOOSE(ArtifactsInput!$N$40+1,5,6,7,8,9,10)/100)^(ArtifactsInput!$M$40-ArtifactsInput!$M$40)))/100)))*(1+(Inputs!$B$24+((C1477=TRUE)*(F1477-Calc!F26))+B1488)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+0.4*IF(C1467=TRUE,F1467,0)/100)*(1+(IF(Skills!A5="EIGHT_LEGS_EASTON",Inputs!$B$17+((C1474=TRUE)*(F1474-Calc!F23))+((C1478=TRUE)*(F1478-Calc!F27))+((IF(AND(Inputs!$B$38&lt;&gt;"pvp",Inputs!$B$43=0),1,IF(IF(Inputs!$B$38="pvp",15,Inputs!$B$43)-(B1489)&lt;=0,1,MAX(0,IF(Inputs!$B$38="pvp",15,Inputs!$B$43)-MAX(5,B1489))/(IF(Inputs!$B$38="pvp",15,Inputs!$B$43)-(B1489))))*(IF(AND(ArtifactsInput!$M$42,((Inputs!$B$9+((C1470=TRUE)*(F1470-Calc!F19))+B1482+(ArtifactsInput!$M$24-ArtifactsInput!$M$24)*CHOOSE(ArtifactsInput!$N$24+1,10,12,14,16,18,20)+IF(IF(ArtifactsInput!$M$10,FALSE,TRUE),CHOOSE(ArtifactsInput!$N$10+1,15,18,21,24,27,30)*(IF(Inputs!$B$38="pvp",MIN(15,15)/15,IF(AND(Inputs!$B$38&lt;&gt;"pvp",Inputs!$B$43&gt;0),MIN(15,Inputs!$B$43)/(Inputs!$B$43),0))),0)))&gt;=100),MIN(100,((Inputs!$B$9+((C1470=TRUE)*(F1470-Calc!F19))+B1482+(ArtifactsInput!$M$24-ArtifactsInput!$M$24)*CHOOSE(ArtifactsInput!$N$24+1,10,12,14,16,18,20)+IF(IF(ArtifactsInput!$M$10,FALSE,TRUE),CHOOSE(ArtifactsInput!$N$10+1,15,18,21,24,27,30)*(IF(Inputs!$B$38="pvp",MIN(15,15)/15,IF(AND(Inputs!$B$38&lt;&gt;"pvp",Inputs!$B$43&gt;0),MIN(15,Inputs!$B$43)/(Inputs!$B$43),0))),0)))-100),0))*CHOOSE(ArtifactsInput!$N$42+1,0.6,0.72,0.84,0.96,1.08,1.2))),Inputs!$B$18+0+(IF(AND(Inputs!$B$38&lt;&gt;"pvp",Inputs!$B$43=0),1,IF(IF(Inputs!$B$38="pvp",15,Inputs!$B$43)-(B1489)&lt;=0,1,MAX(0,IF(Inputs!$B$38="pvp",15,Inputs!$B$43)-MAX(5,B1489))/(IF(Inputs!$B$38="pvp",15,Inputs!$B$43)-(B1489))))*IF(AND(ArtifactsInput!$M$42,((Inputs!$B$9+((C1470=TRUE)*(F1470-Calc!F19))+B1482+(ArtifactsInput!$M$24-ArtifactsInput!$M$24)*CHOOSE(ArtifactsInput!$N$24+1,10,12,14,16,18,20)+IF(IF(ArtifactsInput!$M$10,FALSE,TRUE),CHOOSE(ArtifactsInput!$N$10+1,15,18,21,24,27,30)*(IF(Inputs!$B$38="pvp",MIN(15,15)/15,IF(AND(Inputs!$B$38&lt;&gt;"pvp",Inputs!$B$43&gt;0),MIN(15,Inputs!$B$43)/(Inputs!$B$43),0))),0)))&gt;=100),CHOOSE(ArtifactsInput!$N$42+1,40,48,56,64,72,80),0))))/100)*((1+(((C1468=TRUE)*F1468*5/7)+((C1475=TRUE)*(F1475-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1456)</f>
        <v/>
      </c>
      <c r="L1456">
        <f>K1456*(MIN(Inputs!$B$22+((C1473=TRUE)*(F1473-Calc!F22)),(Inputs!$B$23+0+(IF(ArtifactsInput!$M$15,CHOOSE(ArtifactsInput!$N$15+1,25,30,35,40,45,50)/100*(Inputs!$B$11-Inputs!$B$11),0))))/100+(Inputs!$B$23+0+(IF(ArtifactsInput!$M$15,CHOOSE(ArtifactsInput!$N$15+1,25,30,35,40,45,50)/100*(Inputs!$B$11-Inputs!$B$11),0)))/100)/2</f>
        <v/>
      </c>
      <c r="M1456">
        <f>L1456*(1+(Inputs!$B$10+((C1476=TRUE)*(F1476-Calc!F25))+B1487+(IF(ArtifactsInput!$M$24,CHOOSE(ArtifactsInput!$N$24+1,30,36,42,48,54,60)/100*(Inputs!$B$9-Inputs!$B$9),0)+IF(IF(ArtifactsInput!$M$10,FALSE,TRUE),CHOOSE(ArtifactsInput!$N$10+1,20,24,28,32,36,40)*(IF(Inputs!$B$38="pvp",MIN(15,15)/15,IF(AND(Inputs!$B$38&lt;&gt;"pvp",Inputs!$B$43&gt;0),MIN(15,Inputs!$B$43)/(Inputs!$B$43),0))),0)+IF(ArtifactsInput!$M$31,1.5*CHOOSE(ArtifactsInput!$N$31+1,20,24,28,32,36,40),0)))/100)</f>
        <v/>
      </c>
      <c r="N1456">
        <f>L1456*(1-MIN((Inputs!$B$9+((C1470=TRUE)*(F1470-Calc!F19))+B1482+(ArtifactsInput!$M$24-ArtifactsInput!$M$24)*CHOOSE(ArtifactsInput!$N$24+1,10,12,14,16,18,20)+(IF(AND(Inputs!$B$38&lt;&gt;"pvp",Inputs!$B$43=0),1,IF(IF(Inputs!$B$38="pvp",15,Inputs!$B$43)-(B1489)&lt;=0,1,MAX(0,IF(Inputs!$B$38="pvp",15,Inputs!$B$43)-MAX(5,B1489))/(IF(Inputs!$B$38="pvp",15,Inputs!$B$43)-(B1489))))*IF(AND(ArtifactsInput!$M$42,((Inputs!$B$9+((C1470=TRUE)*(F1470-Calc!F19))+B1482+(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M1456*(MIN((Inputs!$B$9+((C1470=TRUE)*(F1470-Calc!F19))+B1482+(ArtifactsInput!$M$24-ArtifactsInput!$M$24)*CHOOSE(ArtifactsInput!$N$24+1,10,12,14,16,18,20)+(IF(AND(Inputs!$B$38&lt;&gt;"pvp",Inputs!$B$43=0),1,IF(IF(Inputs!$B$38="pvp",15,Inputs!$B$43)-(B1489)&lt;=0,1,MAX(0,IF(Inputs!$B$38="pvp",15,Inputs!$B$43)-MAX(5,B1489))/(IF(Inputs!$B$38="pvp",15,Inputs!$B$43)-(B1489))))*IF(AND(ArtifactsInput!$M$42,((Inputs!$B$9+((C1470=TRUE)*(F1470-Calc!F19))+B1482+(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f>
        <v/>
      </c>
      <c r="O1456">
        <f>(1-Summary!$B$11)*T1456+Summary!$B$11*V1456</f>
        <v/>
      </c>
      <c r="P1456">
        <f>IF(B1492=0,0,O1456/B1492)</f>
        <v/>
      </c>
      <c r="Q1456">
        <f>IFERROR(1/(IF(Inputs!$B$38="pvp",15,MAX(0.1,Skills!D5-IF(TRUE=TRUE,Inputs!$B$32,0)))*(1-IF(AND(ArtifactsInput!$M$27,Inputs!$B$4="Chapter Hunt"),CHOOSE(ArtifactsInput!$N$27+1,20,24,28,32,36,40),0)/100)),0)</f>
        <v/>
      </c>
      <c r="R1456">
        <f>IF(AND(Inputs!$B$38&lt;&gt;"pvp",Inputs!$B$43&gt;0),IF(MAX(0,Inputs!$B$43-B1489)&lt;=0,0,(INT(MAX(0,Inputs!$B$43-B1489)/(IF(Inputs!$B$38="pvp",15,MAX(0.1,Skills!D5-IF(TRUE=TRUE,Inputs!$B$32,0)))*(1-IF(AND(ArtifactsInput!$M$27,Inputs!$B$4="Chapter Hunt"),CHOOSE(ArtifactsInput!$N$27+1,20,24,28,32,36,40),0)/100)))+1)),0)</f>
        <v/>
      </c>
      <c r="S1456">
        <f>IFERROR(O1456/N1456,0)</f>
        <v/>
      </c>
      <c r="T1456">
        <f>IF(C1456,(H1456*N1456*IF(AND(Inputs!$B$38&lt;&gt;"pvp",Inputs!$B$43&gt;0),((Skills!G5*((R1456-1)*IF(Skills!H5&gt;0,INT(IF(Inputs!$B$3&gt;=104,MIN(35,20*(1+Inputs!$B$34/100)),20)/Skills!H5+0.000000001),1)+IF(Skills!H5&gt;0,INT(MIN(IF(Inputs!$B$3&gt;=104,MIN(35,20*(1+Inputs!$B$34/100)),20),MAX(0,MAX(0,Inputs!$B$43-B1489)-((R1456-1)*(IF(Inputs!$B$38="pvp",15,MAX(0.1,Skills!D5-IF(TRUE=TRUE,Inputs!$B$32,0)))*(1-IF(AND(ArtifactsInput!$M$27,Inputs!$B$4="Chapter Hunt"),CHOOSE(ArtifactsInput!$N$27+1,20,24,28,32,36,40),0)/100)))))/Skills!H5+0.000000001),1)))/Inputs!$B$43),G1456*Q1456))*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Hunt"),CHOOSE(ArtifactsInput!$N$35+1,15,18,21,24,27,30)*(1-EXP(-(0.2*B1484)*5)),0)+IF(AND(ArtifactsInput!$M$22,Inputs!$B$4&lt;&gt;"Chapter Hunt"),CHOOSE(ArtifactsInput!$N$22+1,10,12,14,16,18,20)*((0*(((0.15*B1484*5))^0/1)+1*(((0.15*B1484*5))^1/1)+2*(((0.15*B1484*5))^2/2)+3*(((0.15*B1484*5))^3/6)+4*(((0.15*B1484*5))^4/24)+5*(((0.15*B1484*5))^5/120))/((((0.15*B1484*5))^0/1)+(((0.15*B1484*5))^1/1)+(((0.15*B1484*5))^2/2)+(((0.15*B1484*5))^3/6)+(((0.15*B1484*5))^4/24)+(((0.15*B1484*5))^5/120))),0))+IF(Inputs!$B$3&gt;=54,9*(C1454=TRUE)*MIN(1,8*(1+Inputs!$B$34/100)*Q1454)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1456*(1-MIN(100,(Inputs!$B$9+((C1470=TRUE)*(F1470-Calc!F19))+B1482+(ArtifactsInput!$M$24-ArtifactsInput!$M$24)*CHOOSE(ArtifactsInput!$N$24+1,10,12,14,16,18,20)+(IF(AND(Inputs!$B$38&lt;&gt;"pvp",Inputs!$B$43=0),1,IF(IF(Inputs!$B$38="pvp",15,Inputs!$B$43)-(B1489)&lt;=0,1,MAX(0,IF(Inputs!$B$38="pvp",15,Inputs!$B$43)-MAX(5,B1489))/(IF(Inputs!$B$38="pvp",15,Inputs!$B$43)-(B1489))))*IF(AND(ArtifactsInput!$M$42,((Inputs!$B$9+((C1470=TRUE)*(F1470-Calc!F19))+B1482+(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M1456*(MIN(100,(Inputs!$B$9+((C1470=TRUE)*(F1470-Calc!F19))+B1482+(ArtifactsInput!$M$24-ArtifactsInput!$M$24)*CHOOSE(ArtifactsInput!$N$24+1,10,12,14,16,18,20)+(IF(AND(Inputs!$B$38&lt;&gt;"pvp",Inputs!$B$43=0),1,IF(IF(Inputs!$B$38="pvp",15,Inputs!$B$43)-(B1489)&lt;=0,1,MAX(0,IF(Inputs!$B$38="pvp",15,Inputs!$B$43)-MAX(5,B1489))/(IF(Inputs!$B$38="pvp",15,Inputs!$B$43)-(B1489))))*IF(AND(ArtifactsInput!$M$42,((Inputs!$B$9+((C1470=TRUE)*(F1470-Calc!F19))+B1482+(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L1456*(1-MIN(100,(Inputs!$B$9+((C1470=TRUE)*(F1470-Calc!F19))+B1482+(ArtifactsInput!$M$24-ArtifactsInput!$M$24)*CHOOSE(ArtifactsInput!$N$24+1,10,12,14,16,18,20)+(IF(AND(Inputs!$B$38&lt;&gt;"pvp",Inputs!$B$43=0),1,IF(IF(Inputs!$B$38="pvp",15,Inputs!$B$43)-(B1489)&lt;=0,1,MAX(0,IF(Inputs!$B$38="pvp",15,Inputs!$B$43)-MAX(5,B1489))/(IF(Inputs!$B$38="pvp",15,Inputs!$B$43)-(B1489))))*IF(AND(ArtifactsInput!$M$42,((Inputs!$B$9+((C1470=TRUE)*(F1470-Calc!F19))+B1482+(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M1456*(MIN(100,(Inputs!$B$9+((C1470=TRUE)*(F1470-Calc!F19))+B1482+(ArtifactsInput!$M$24-ArtifactsInput!$M$24)*CHOOSE(ArtifactsInput!$N$24+1,10,12,14,16,18,20)+(IF(AND(Inputs!$B$38&lt;&gt;"pvp",Inputs!$B$43=0),1,IF(IF(Inputs!$B$38="pvp",15,Inputs!$B$43)-(B1489)&lt;=0,1,MAX(0,IF(Inputs!$B$38="pvp",15,Inputs!$B$43)-MAX(5,B1489))/(IF(Inputs!$B$38="pvp",15,Inputs!$B$43)-(B1489))))*IF(AND(ArtifactsInput!$M$42,((Inputs!$B$9+((C1470=TRUE)*(F1470-Calc!F19))+B1482+(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456">
        <f>IF(C1456,(H1456*N1456*IF(AND(Inputs!$B$38&lt;&gt;"pvp",Inputs!$B$43&gt;0),((Skills!G5*((R1456-1)*IF(Skills!H5&gt;0,INT(IF(Inputs!$B$3&gt;=104,MIN(35,20*(1+Inputs!$B$34/100)),20)/Skills!H5+0.000000001),1)+IF(Skills!H5&gt;0,INT(MIN(IF(Inputs!$B$3&gt;=104,MIN(35,20*(1+Inputs!$B$34/100)),20),MAX(0,MAX(0,Inputs!$B$43-B1489)-((R1456-1)*(IF(Inputs!$B$38="pvp",15,MAX(0.1,Skills!D5-IF(TRUE=TRUE,Inputs!$B$32,0)))*(1-IF(AND(ArtifactsInput!$M$27,Inputs!$B$4="Chapter Hunt"),CHOOSE(ArtifactsInput!$N$27+1,20,24,28,32,36,40),0)/100)))))/Skills!H5+0.000000001),1)))/Inputs!$B$43),G1456*Q1456))*IF(Inputs!$B$38="pvp",1,(1+(Inputs!$B$21+Skills!Q5+(IF(ArtifactsInput!$M$33,CHOOSE(ArtifactsInput!$N$33+1,30,36,42,48,54,60),0))+(IF(AND(ArtifactsInput!$M$35,Inputs!$B$4&lt;&gt;"Chapter Hunt"),CHOOSE(ArtifactsInput!$N$35+1,15,18,21,24,27,30)*(1-EXP(-(0.2*B1484)*5)),0)+IF(AND(ArtifactsInput!$M$22,Inputs!$B$4&lt;&gt;"Chapter Hunt"),CHOOSE(ArtifactsInput!$N$22+1,10,12,14,16,18,20)*((0*(((0.15*B1484*5))^0/1)+1*(((0.15*B1484*5))^1/1)+2*(((0.15*B1484*5))^2/2)+3*(((0.15*B1484*5))^3/6)+4*(((0.15*B1484*5))^4/24)+5*(((0.15*B1484*5))^5/120))/((((0.15*B1484*5))^0/1)+(((0.15*B1484*5))^1/1)+(((0.15*B1484*5))^2/2)+(((0.15*B1484*5))^3/6)+(((0.15*B1484*5))^4/24)+(((0.15*B1484*5))^5/120))),0))+IF(Inputs!$B$3&gt;=54,9*(C1454=TRUE)*MIN(1,8*(1+Inputs!$B$34/100)*Q1454),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57">
      <c r="A1457">
        <f>Skills!A6</f>
        <v/>
      </c>
      <c r="B1457">
        <f>Skills!B6</f>
        <v/>
      </c>
      <c r="C1457">
        <f>Inputs!$B$3&gt;=66</f>
        <v/>
      </c>
      <c r="D1457">
        <f>IF(Skills!C6=1,60+Inputs!$B$25+Inputs!$B$29,IF(Skills!C6=2,90+Inputs!$B$26+Inputs!$B$29,IF(Skills!C6=3,120+Inputs!$B$27+Inputs!$B$29,MAX(0,(Inputs!$B$3-100)*3)+Inputs!$B$28+Inputs!$B$29)))</f>
        <v/>
      </c>
      <c r="E1457">
        <f>INDEX(FactorTable!$B$2:$Y$301, MATCH(ROUND(MIN(300,MAX(1,D1457)),0), FactorTable!$A$2:$A$301,0), Skills!M6+1)</f>
        <v/>
      </c>
      <c r="F1457">
        <f>IF(Skills!N6=TRUE,(Skills!L6/10)*(E1457/1000),Skills!L6/10)+Skills!O6</f>
        <v/>
      </c>
      <c r="G1457">
        <f>Skills!G6*IF(Skills!H6&gt;0,INT(IF(Inputs!$B$38="pvp",MIN(Skills!I6,15),Skills!I6)/Skills!H6+0.000000001),1)</f>
        <v/>
      </c>
      <c r="H1457">
        <f>1-(1-Skills!J6/100)^Skills!K6</f>
        <v/>
      </c>
      <c r="I1457" t="inlineStr">
        <is>
          <t>1</t>
        </is>
      </c>
      <c r="J1457">
        <f>((Inputs!$B$6*(1+Inputs!$B$7/100))+(((Inputs!$B$12*(1+Inputs!$B$13/100))-(Inputs!$B$12*(1+Inputs!$B$13/100)))+0.25*(Inputs!$B$14-Inputs!$B$14))*(1+Inputs!$B$7/100))*(F1457/100)</f>
        <v/>
      </c>
      <c r="K1457">
        <f>J1457*(1+((Inputs!$B$12*(1+Inputs!$B$13/100))*0.01+Inputs!$B$14*0.0025)/100)*(1+Inputs!$B$15/100)*(1+Inputs!$B$16/100)*(5000/(6000+Inputs!$B$42*(1-(100*(1-(1-(Inputs!$B$19+0)/100)*(1-CHOOSE(ArtifactsInput!$N$40+1,5,6,7,8,9,10)/100)^(ArtifactsInput!$M$40-ArtifactsInput!$M$40)))/100)))*(1+(Inputs!$B$24+((C1477=TRUE)*(F1477-Calc!F26))+B1488)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+2.0*IF(C1466=TRUE,F1466,0)/100)*(1+(IF(Skills!A6="EIGHT_LEGS_EASTON",Inputs!$B$17+((C1474=TRUE)*(F1474-Calc!F23))+((C1478=TRUE)*(F1478-Calc!F27))+((IF(AND(Inputs!$B$38&lt;&gt;"pvp",Inputs!$B$43=0),1,IF(IF(Inputs!$B$38="pvp",15,Inputs!$B$43)-(B1489)&lt;=0,1,MAX(0,IF(Inputs!$B$38="pvp",15,Inputs!$B$43)-MAX(5,B1489))/(IF(Inputs!$B$38="pvp",15,Inputs!$B$43)-(B1489))))*(IF(AND(ArtifactsInput!$M$42,((Inputs!$B$9+((C1470=TRUE)*(F1470-Calc!F19))+B1482+(ArtifactsInput!$M$24-ArtifactsInput!$M$24)*CHOOSE(ArtifactsInput!$N$24+1,10,12,14,16,18,20)+IF(IF(ArtifactsInput!$M$10,FALSE,TRUE),CHOOSE(ArtifactsInput!$N$10+1,15,18,21,24,27,30)*(IF(Inputs!$B$38="pvp",MIN(15,15)/15,IF(AND(Inputs!$B$38&lt;&gt;"pvp",Inputs!$B$43&gt;0),MIN(15,Inputs!$B$43)/(Inputs!$B$43),0))),0)))&gt;=100),MIN(100,((Inputs!$B$9+((C1470=TRUE)*(F1470-Calc!F19))+B1482+(ArtifactsInput!$M$24-ArtifactsInput!$M$24)*CHOOSE(ArtifactsInput!$N$24+1,10,12,14,16,18,20)+IF(IF(ArtifactsInput!$M$10,FALSE,TRUE),CHOOSE(ArtifactsInput!$N$10+1,15,18,21,24,27,30)*(IF(Inputs!$B$38="pvp",MIN(15,15)/15,IF(AND(Inputs!$B$38&lt;&gt;"pvp",Inputs!$B$43&gt;0),MIN(15,Inputs!$B$43)/(Inputs!$B$43),0))),0)))-100),0))*CHOOSE(ArtifactsInput!$N$42+1,0.6,0.72,0.84,0.96,1.08,1.2))),Inputs!$B$18+0+(IF(AND(Inputs!$B$38&lt;&gt;"pvp",Inputs!$B$43=0),1,IF(IF(Inputs!$B$38="pvp",15,Inputs!$B$43)-(B1489)&lt;=0,1,MAX(0,IF(Inputs!$B$38="pvp",15,Inputs!$B$43)-MAX(5,B1489))/(IF(Inputs!$B$38="pvp",15,Inputs!$B$43)-(B1489))))*IF(AND(ArtifactsInput!$M$42,((Inputs!$B$9+((C1470=TRUE)*(F1470-Calc!F19))+B1482+(ArtifactsInput!$M$24-ArtifactsInput!$M$24)*CHOOSE(ArtifactsInput!$N$24+1,10,12,14,16,18,20)+IF(IF(ArtifactsInput!$M$10,FALSE,TRUE),CHOOSE(ArtifactsInput!$N$10+1,15,18,21,24,27,30)*(IF(Inputs!$B$38="pvp",MIN(15,15)/15,IF(AND(Inputs!$B$38&lt;&gt;"pvp",Inputs!$B$43&gt;0),MIN(15,Inputs!$B$43)/(Inputs!$B$43),0))),0)))&gt;=100),CHOOSE(ArtifactsInput!$N$42+1,40,48,56,64,72,80),0))))/100)*((1+(((C1468=TRUE)*F1468*5/7)+((C1475=TRUE)*(F1475-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1457)</f>
        <v/>
      </c>
      <c r="L1457">
        <f>K1457*(MIN(Inputs!$B$22+((C1473=TRUE)*(F1473-Calc!F22)),(Inputs!$B$23+0+(IF(ArtifactsInput!$M$15,CHOOSE(ArtifactsInput!$N$15+1,25,30,35,40,45,50)/100*(Inputs!$B$11-Inputs!$B$11),0))))/100+(Inputs!$B$23+0+(IF(ArtifactsInput!$M$15,CHOOSE(ArtifactsInput!$N$15+1,25,30,35,40,45,50)/100*(Inputs!$B$11-Inputs!$B$11),0)))/100)/2</f>
        <v/>
      </c>
      <c r="M1457">
        <f>L1457*(1+(Inputs!$B$10+((C1476=TRUE)*(F1476-Calc!F25))+B1487+(IF(ArtifactsInput!$M$24,CHOOSE(ArtifactsInput!$N$24+1,30,36,42,48,54,60)/100*(Inputs!$B$9-Inputs!$B$9),0)+IF(IF(ArtifactsInput!$M$10,FALSE,TRUE),CHOOSE(ArtifactsInput!$N$10+1,20,24,28,32,36,40)*(IF(Inputs!$B$38="pvp",MIN(15,15)/15,IF(AND(Inputs!$B$38&lt;&gt;"pvp",Inputs!$B$43&gt;0),MIN(15,Inputs!$B$43)/(Inputs!$B$43),0))),0)+IF(ArtifactsInput!$M$31,1.5*CHOOSE(ArtifactsInput!$N$31+1,20,24,28,32,36,40),0)))/100)</f>
        <v/>
      </c>
      <c r="N1457">
        <f>L1457*(1-MIN((Inputs!$B$9+((C1470=TRUE)*(F1470-Calc!F19))+B1482+(ArtifactsInput!$M$24-ArtifactsInput!$M$24)*CHOOSE(ArtifactsInput!$N$24+1,10,12,14,16,18,20)+(IF(AND(Inputs!$B$38&lt;&gt;"pvp",Inputs!$B$43=0),1,IF(IF(Inputs!$B$38="pvp",15,Inputs!$B$43)-(B1489)&lt;=0,1,MAX(0,IF(Inputs!$B$38="pvp",15,Inputs!$B$43)-MAX(5,B1489))/(IF(Inputs!$B$38="pvp",15,Inputs!$B$43)-(B1489))))*IF(AND(ArtifactsInput!$M$42,((Inputs!$B$9+((C1470=TRUE)*(F1470-Calc!F19))+B1482+(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M1457*(MIN((Inputs!$B$9+((C1470=TRUE)*(F1470-Calc!F19))+B1482+(ArtifactsInput!$M$24-ArtifactsInput!$M$24)*CHOOSE(ArtifactsInput!$N$24+1,10,12,14,16,18,20)+(IF(AND(Inputs!$B$38&lt;&gt;"pvp",Inputs!$B$43=0),1,IF(IF(Inputs!$B$38="pvp",15,Inputs!$B$43)-(B1489)&lt;=0,1,MAX(0,IF(Inputs!$B$38="pvp",15,Inputs!$B$43)-MAX(5,B1489))/(IF(Inputs!$B$38="pvp",15,Inputs!$B$43)-(B1489))))*IF(AND(ArtifactsInput!$M$42,((Inputs!$B$9+((C1470=TRUE)*(F1470-Calc!F19))+B1482+(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f>
        <v/>
      </c>
      <c r="O1457">
        <f>(1-Summary!$B$11)*T1457+Summary!$B$11*V1457</f>
        <v/>
      </c>
      <c r="P1457">
        <f>IF(B1492=0,0,O1457/B1492)</f>
        <v/>
      </c>
      <c r="Q1457">
        <f>IFERROR(1/(IF(Inputs!$B$38="pvp",15,MAX(0.1,Skills!D6-IF(TRUE=TRUE,Inputs!$B$32,0)))*(1-IF(AND(ArtifactsInput!$M$27,Inputs!$B$4="Chapter Hunt"),CHOOSE(ArtifactsInput!$N$27+1,20,24,28,32,36,40),0)/100)),0)</f>
        <v/>
      </c>
      <c r="R1457">
        <f>IF(AND(Inputs!$B$38&lt;&gt;"pvp",Inputs!$B$43&gt;0),IF(MAX(0,Inputs!$B$43-B1489)&lt;=0,0,(INT(MAX(0,Inputs!$B$43-B1489)/(IF(Inputs!$B$38="pvp",15,MAX(0.1,Skills!D6-IF(TRUE=TRUE,Inputs!$B$32,0)))*(1-IF(AND(ArtifactsInput!$M$27,Inputs!$B$4="Chapter Hunt"),CHOOSE(ArtifactsInput!$N$27+1,20,24,28,32,36,40),0)/100)))+1)),0)</f>
        <v/>
      </c>
      <c r="S1457">
        <f>IFERROR(O1457/N1457,0)</f>
        <v/>
      </c>
      <c r="T1457">
        <f>IF(C1457,(H1457*N1457*IF(AND(Inputs!$B$38&lt;&gt;"pvp",Inputs!$B$43&gt;0),((Skills!G6*((R1457-1)*IF(Skills!H6&gt;0,INT(Skills!I6/Skills!H6+0.000000001),1)+IF(Skills!H6&gt;0,INT(MIN(Skills!I6,MAX(0,MAX(0,Inputs!$B$43-B1489)-((R1457-1)*(IF(Inputs!$B$38="pvp",15,MAX(0.1,Skills!D6-IF(TRUE=TRUE,Inputs!$B$32,0)))*(1-IF(AND(ArtifactsInput!$M$27,Inputs!$B$4="Chapter Hunt"),CHOOSE(ArtifactsInput!$N$27+1,20,24,28,32,36,40),0)/100)))))/Skills!H6+0.000000001),1)))/Inputs!$B$43),G1457*Q1457)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Hunt"),CHOOSE(ArtifactsInput!$N$35+1,15,18,21,24,27,30)*(1-EXP(-(0.2*B1484)*5)),0)+IF(AND(ArtifactsInput!$M$22,Inputs!$B$4&lt;&gt;"Chapter Hunt"),CHOOSE(ArtifactsInput!$N$22+1,10,12,14,16,18,20)*((0*(((0.15*B1484*5))^0/1)+1*(((0.15*B1484*5))^1/1)+2*(((0.15*B1484*5))^2/2)+3*(((0.15*B1484*5))^3/6)+4*(((0.15*B1484*5))^4/24)+5*(((0.15*B1484*5))^5/120))/((((0.15*B1484*5))^0/1)+(((0.15*B1484*5))^1/1)+(((0.15*B1484*5))^2/2)+(((0.15*B1484*5))^3/6)+(((0.15*B1484*5))^4/24)+(((0.15*B1484*5))^5/120))),0))+IF(Inputs!$B$3&gt;=54,9*(C1454=TRUE)*MIN(1,8*(1+Inputs!$B$34/100)*Q1454)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1457*(1-MIN(100,(Inputs!$B$9+((C1470=TRUE)*(F1470-Calc!F19))+B1482+(ArtifactsInput!$M$24-ArtifactsInput!$M$24)*CHOOSE(ArtifactsInput!$N$24+1,10,12,14,16,18,20)+(IF(AND(Inputs!$B$38&lt;&gt;"pvp",Inputs!$B$43=0),1,IF(IF(Inputs!$B$38="pvp",15,Inputs!$B$43)-(B1489)&lt;=0,1,MAX(0,IF(Inputs!$B$38="pvp",15,Inputs!$B$43)-MAX(5,B1489))/(IF(Inputs!$B$38="pvp",15,Inputs!$B$43)-(B1489))))*IF(AND(ArtifactsInput!$M$42,((Inputs!$B$9+((C1470=TRUE)*(F1470-Calc!F19))+B1482+(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M1457*(MIN(100,(Inputs!$B$9+((C1470=TRUE)*(F1470-Calc!F19))+B1482+(ArtifactsInput!$M$24-ArtifactsInput!$M$24)*CHOOSE(ArtifactsInput!$N$24+1,10,12,14,16,18,20)+(IF(AND(Inputs!$B$38&lt;&gt;"pvp",Inputs!$B$43=0),1,IF(IF(Inputs!$B$38="pvp",15,Inputs!$B$43)-(B1489)&lt;=0,1,MAX(0,IF(Inputs!$B$38="pvp",15,Inputs!$B$43)-MAX(5,B1489))/(IF(Inputs!$B$38="pvp",15,Inputs!$B$43)-(B1489))))*IF(AND(ArtifactsInput!$M$42,((Inputs!$B$9+((C1470=TRUE)*(F1470-Calc!F19))+B1482+(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L1457*(1-MIN(100,(Inputs!$B$9+((C1470=TRUE)*(F1470-Calc!F19))+B1482+(ArtifactsInput!$M$24-ArtifactsInput!$M$24)*CHOOSE(ArtifactsInput!$N$24+1,10,12,14,16,18,20)+(IF(AND(Inputs!$B$38&lt;&gt;"pvp",Inputs!$B$43=0),1,IF(IF(Inputs!$B$38="pvp",15,Inputs!$B$43)-(B1489)&lt;=0,1,MAX(0,IF(Inputs!$B$38="pvp",15,Inputs!$B$43)-MAX(5,B1489))/(IF(Inputs!$B$38="pvp",15,Inputs!$B$43)-(B1489))))*IF(AND(ArtifactsInput!$M$42,((Inputs!$B$9+((C1470=TRUE)*(F1470-Calc!F19))+B1482+(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M1457*(MIN(100,(Inputs!$B$9+((C1470=TRUE)*(F1470-Calc!F19))+B1482+(ArtifactsInput!$M$24-ArtifactsInput!$M$24)*CHOOSE(ArtifactsInput!$N$24+1,10,12,14,16,18,20)+(IF(AND(Inputs!$B$38&lt;&gt;"pvp",Inputs!$B$43=0),1,IF(IF(Inputs!$B$38="pvp",15,Inputs!$B$43)-(B1489)&lt;=0,1,MAX(0,IF(Inputs!$B$38="pvp",15,Inputs!$B$43)-MAX(5,B1489))/(IF(Inputs!$B$38="pvp",15,Inputs!$B$43)-(B1489))))*IF(AND(ArtifactsInput!$M$42,((Inputs!$B$9+((C1470=TRUE)*(F1470-Calc!F19))+B1482+(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457">
        <f>IF(C1457,(H1457*N1457*IF(AND(Inputs!$B$38&lt;&gt;"pvp",Inputs!$B$43&gt;0),((Skills!G6*((R1457-1)*IF(Skills!H6&gt;0,INT(Skills!I6/Skills!H6+0.000000001),1)+IF(Skills!H6&gt;0,INT(MIN(Skills!I6,MAX(0,MAX(0,Inputs!$B$43-B1489)-((R1457-1)*(IF(Inputs!$B$38="pvp",15,MAX(0.1,Skills!D6-IF(TRUE=TRUE,Inputs!$B$32,0)))*(1-IF(AND(ArtifactsInput!$M$27,Inputs!$B$4="Chapter Hunt"),CHOOSE(ArtifactsInput!$N$27+1,20,24,28,32,36,40),0)/100)))))/Skills!H6+0.000000001),1)))/Inputs!$B$43),G1457*Q1457))*IF(Inputs!$B$38="pvp",1,(1+(Inputs!$B$21+Skills!Q6+(IF(ArtifactsInput!$M$33,CHOOSE(ArtifactsInput!$N$33+1,30,36,42,48,54,60),0))+(IF(AND(ArtifactsInput!$M$35,Inputs!$B$4&lt;&gt;"Chapter Hunt"),CHOOSE(ArtifactsInput!$N$35+1,15,18,21,24,27,30)*(1-EXP(-(0.2*B1484)*5)),0)+IF(AND(ArtifactsInput!$M$22,Inputs!$B$4&lt;&gt;"Chapter Hunt"),CHOOSE(ArtifactsInput!$N$22+1,10,12,14,16,18,20)*((0*(((0.15*B1484*5))^0/1)+1*(((0.15*B1484*5))^1/1)+2*(((0.15*B1484*5))^2/2)+3*(((0.15*B1484*5))^3/6)+4*(((0.15*B1484*5))^4/24)+5*(((0.15*B1484*5))^5/120))/((((0.15*B1484*5))^0/1)+(((0.15*B1484*5))^1/1)+(((0.15*B1484*5))^2/2)+(((0.15*B1484*5))^3/6)+(((0.15*B1484*5))^4/24)+(((0.15*B1484*5))^5/120))),0))+IF(Inputs!$B$3&gt;=54,9*(C1454=TRUE)*MIN(1,8*(1+Inputs!$B$34/100)*Q1454),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58">
      <c r="A1458">
        <f>Skills!A7</f>
        <v/>
      </c>
      <c r="B1458">
        <f>Skills!B7</f>
        <v/>
      </c>
      <c r="C1458">
        <f>Inputs!$B$3&gt;=63</f>
        <v/>
      </c>
      <c r="D1458">
        <f>IF(Skills!C7=1,60+Inputs!$B$25+Inputs!$B$29,IF(Skills!C7=2,90+Inputs!$B$26+Inputs!$B$29,IF(Skills!C7=3,120+Inputs!$B$27+Inputs!$B$29,MAX(0,(Inputs!$B$3-100)*3)+Inputs!$B$28+Inputs!$B$29)))</f>
        <v/>
      </c>
      <c r="E1458">
        <f>INDEX(FactorTable!$B$2:$Y$301, MATCH(ROUND(MIN(300,MAX(1,D1458)),0), FactorTable!$A$2:$A$301,0), Skills!M7+1)</f>
        <v/>
      </c>
      <c r="F1458">
        <f>IF(Skills!N7=TRUE,(Skills!L7/10)*(E1458/1000),Skills!L7/10)+Skills!O7</f>
        <v/>
      </c>
      <c r="G1458">
        <f>Skills!G7*IF(Skills!H7&gt;0,INT(IF(Inputs!$B$38="pvp",MIN(Skills!I7,15),Skills!I7)/Skills!H7+0.000000001),1)</f>
        <v/>
      </c>
      <c r="H1458">
        <f>1-(1-Skills!J7/100)^Skills!K7</f>
        <v/>
      </c>
      <c r="I1458" t="inlineStr">
        <is>
          <t>1</t>
        </is>
      </c>
      <c r="J1458">
        <f>((Inputs!$B$6*(1+Inputs!$B$7/100))+(((Inputs!$B$12*(1+Inputs!$B$13/100))-(Inputs!$B$12*(1+Inputs!$B$13/100)))+0.25*(Inputs!$B$14-Inputs!$B$14))*(1+Inputs!$B$7/100))*(F1458/100)</f>
        <v/>
      </c>
      <c r="K1458">
        <f>J1458*(1+((Inputs!$B$12*(1+Inputs!$B$13/100))*0.01+Inputs!$B$14*0.0025)/100)*(1+Inputs!$B$15/100)*(1+Inputs!$B$16/100)*(5000/(6000+Inputs!$B$42*(1-(100*(1-(1-(Inputs!$B$19+0)/100)*(1-CHOOSE(ArtifactsInput!$N$40+1,5,6,7,8,9,10)/100)^(ArtifactsInput!$M$40-ArtifactsInput!$M$40)))/100)))*(1+(Inputs!$B$24+((C1477=TRUE)*(F1477-Calc!F26))+B1488)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1466=TRUE,F1466,0)/100)*(1+(IF(Skills!A7="EIGHT_LEGS_EASTON",Inputs!$B$17+((C1474=TRUE)*(F1474-Calc!F23))+((C1478=TRUE)*(F1478-Calc!F27))+((IF(AND(Inputs!$B$38&lt;&gt;"pvp",Inputs!$B$43=0),1,IF(IF(Inputs!$B$38="pvp",15,Inputs!$B$43)-(B1489)&lt;=0,1,MAX(0,IF(Inputs!$B$38="pvp",15,Inputs!$B$43)-MAX(5,B1489))/(IF(Inputs!$B$38="pvp",15,Inputs!$B$43)-(B1489))))*(IF(AND(ArtifactsInput!$M$42,((Inputs!$B$9+((C1470=TRUE)*(F1470-Calc!F19))+B1482+(ArtifactsInput!$M$24-ArtifactsInput!$M$24)*CHOOSE(ArtifactsInput!$N$24+1,10,12,14,16,18,20)+IF(IF(ArtifactsInput!$M$10,FALSE,TRUE),CHOOSE(ArtifactsInput!$N$10+1,15,18,21,24,27,30)*(IF(Inputs!$B$38="pvp",MIN(15,15)/15,IF(AND(Inputs!$B$38&lt;&gt;"pvp",Inputs!$B$43&gt;0),MIN(15,Inputs!$B$43)/(Inputs!$B$43),0))),0)))&gt;=100),MIN(100,((Inputs!$B$9+((C1470=TRUE)*(F1470-Calc!F19))+B1482+(ArtifactsInput!$M$24-ArtifactsInput!$M$24)*CHOOSE(ArtifactsInput!$N$24+1,10,12,14,16,18,20)+IF(IF(ArtifactsInput!$M$10,FALSE,TRUE),CHOOSE(ArtifactsInput!$N$10+1,15,18,21,24,27,30)*(IF(Inputs!$B$38="pvp",MIN(15,15)/15,IF(AND(Inputs!$B$38&lt;&gt;"pvp",Inputs!$B$43&gt;0),MIN(15,Inputs!$B$43)/(Inputs!$B$43),0))),0)))-100),0))*CHOOSE(ArtifactsInput!$N$42+1,0.6,0.72,0.84,0.96,1.08,1.2))),Inputs!$B$18+0+(IF(AND(Inputs!$B$38&lt;&gt;"pvp",Inputs!$B$43=0),1,IF(IF(Inputs!$B$38="pvp",15,Inputs!$B$43)-(B1489)&lt;=0,1,MAX(0,IF(Inputs!$B$38="pvp",15,Inputs!$B$43)-MAX(5,B1489))/(IF(Inputs!$B$38="pvp",15,Inputs!$B$43)-(B1489))))*IF(AND(ArtifactsInput!$M$42,((Inputs!$B$9+((C1470=TRUE)*(F1470-Calc!F19))+B1482+(ArtifactsInput!$M$24-ArtifactsInput!$M$24)*CHOOSE(ArtifactsInput!$N$24+1,10,12,14,16,18,20)+IF(IF(ArtifactsInput!$M$10,FALSE,TRUE),CHOOSE(ArtifactsInput!$N$10+1,15,18,21,24,27,30)*(IF(Inputs!$B$38="pvp",MIN(15,15)/15,IF(AND(Inputs!$B$38&lt;&gt;"pvp",Inputs!$B$43&gt;0),MIN(15,Inputs!$B$43)/(Inputs!$B$43),0))),0)))&gt;=100),CHOOSE(ArtifactsInput!$N$42+1,40,48,56,64,72,80),0))))/100)*((1+(((C1468=TRUE)*F1468*5/7)+((C1475=TRUE)*(F1475-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1458)</f>
        <v/>
      </c>
      <c r="L1458">
        <f>K1458*(MIN(Inputs!$B$22+((C1473=TRUE)*(F1473-Calc!F22)),(Inputs!$B$23+0+(IF(ArtifactsInput!$M$15,CHOOSE(ArtifactsInput!$N$15+1,25,30,35,40,45,50)/100*(Inputs!$B$11-Inputs!$B$11),0))))/100+(Inputs!$B$23+0+(IF(ArtifactsInput!$M$15,CHOOSE(ArtifactsInput!$N$15+1,25,30,35,40,45,50)/100*(Inputs!$B$11-Inputs!$B$11),0)))/100)/2</f>
        <v/>
      </c>
      <c r="M1458">
        <f>L1458*(1+(Inputs!$B$10+((C1476=TRUE)*(F1476-Calc!F25))+B1487+(IF(ArtifactsInput!$M$24,CHOOSE(ArtifactsInput!$N$24+1,30,36,42,48,54,60)/100*(Inputs!$B$9-Inputs!$B$9),0)+IF(IF(ArtifactsInput!$M$10,FALSE,TRUE),CHOOSE(ArtifactsInput!$N$10+1,20,24,28,32,36,40)*(IF(Inputs!$B$38="pvp",MIN(15,15)/15,IF(AND(Inputs!$B$38&lt;&gt;"pvp",Inputs!$B$43&gt;0),MIN(15,Inputs!$B$43)/(Inputs!$B$43),0))),0)+IF(ArtifactsInput!$M$31,1.5*CHOOSE(ArtifactsInput!$N$31+1,20,24,28,32,36,40),0)))/100)</f>
        <v/>
      </c>
      <c r="N1458">
        <f>L1458*(1-MIN((Inputs!$B$9+((C1470=TRUE)*(F1470-Calc!F19))+B1482+(ArtifactsInput!$M$24-ArtifactsInput!$M$24)*CHOOSE(ArtifactsInput!$N$24+1,10,12,14,16,18,20)+(IF(AND(Inputs!$B$38&lt;&gt;"pvp",Inputs!$B$43=0),1,IF(IF(Inputs!$B$38="pvp",15,Inputs!$B$43)-(B1489)&lt;=0,1,MAX(0,IF(Inputs!$B$38="pvp",15,Inputs!$B$43)-MAX(5,B1489))/(IF(Inputs!$B$38="pvp",15,Inputs!$B$43)-(B1489))))*IF(AND(ArtifactsInput!$M$42,((Inputs!$B$9+((C1470=TRUE)*(F1470-Calc!F19))+B1482+(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M1458*(MIN((Inputs!$B$9+((C1470=TRUE)*(F1470-Calc!F19))+B1482+(ArtifactsInput!$M$24-ArtifactsInput!$M$24)*CHOOSE(ArtifactsInput!$N$24+1,10,12,14,16,18,20)+(IF(AND(Inputs!$B$38&lt;&gt;"pvp",Inputs!$B$43=0),1,IF(IF(Inputs!$B$38="pvp",15,Inputs!$B$43)-(B1489)&lt;=0,1,MAX(0,IF(Inputs!$B$38="pvp",15,Inputs!$B$43)-MAX(5,B1489))/(IF(Inputs!$B$38="pvp",15,Inputs!$B$43)-(B1489))))*IF(AND(ArtifactsInput!$M$42,((Inputs!$B$9+((C1470=TRUE)*(F1470-Calc!F19))+B1482+(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f>
        <v/>
      </c>
      <c r="O1458">
        <f>(1-Summary!$B$11)*T1458+Summary!$B$11*V1458</f>
        <v/>
      </c>
      <c r="P1458">
        <f>IF(B1492=0,0,O1458/B1492)</f>
        <v/>
      </c>
      <c r="Q1458">
        <f>IFERROR(1/(IF(Inputs!$B$38="pvp",15,MAX(0.1,Skills!D7-IF(TRUE=TRUE,Inputs!$B$32,0)))*(1-IF(AND(ArtifactsInput!$M$27,Inputs!$B$4="Chapter Hunt"),CHOOSE(ArtifactsInput!$N$27+1,20,24,28,32,36,40),0)/100)),0)</f>
        <v/>
      </c>
      <c r="R1458">
        <f>IF(AND(Inputs!$B$38&lt;&gt;"pvp",Inputs!$B$43&gt;0),IF(MAX(0,Inputs!$B$43-B1489)&lt;=0,0,(INT(MAX(0,Inputs!$B$43-B1489)/(IF(Inputs!$B$38="pvp",15,MAX(0.1,Skills!D7-IF(TRUE=TRUE,Inputs!$B$32,0)))*(1-IF(AND(ArtifactsInput!$M$27,Inputs!$B$4="Chapter Hunt"),CHOOSE(ArtifactsInput!$N$27+1,20,24,28,32,36,40),0)/100)))+1)),0)</f>
        <v/>
      </c>
      <c r="S1458">
        <f>IFERROR(O1458/N1458,0)</f>
        <v/>
      </c>
      <c r="T1458">
        <f>IF(C1458,(H1458*N1458*IF(AND(Inputs!$B$38&lt;&gt;"pvp",Inputs!$B$43&gt;0),((Skills!G7*((R1458-1)*IF(Skills!H7&gt;0,INT(Skills!I7/Skills!H7+0.000000001),1)+IF(Skills!H7&gt;0,INT(MIN(Skills!I7,MAX(0,MAX(0,Inputs!$B$43-B1489)-((R1458-1)*(IF(Inputs!$B$38="pvp",15,MAX(0.1,Skills!D7-IF(TRUE=TRUE,Inputs!$B$32,0)))*(1-IF(AND(ArtifactsInput!$M$27,Inputs!$B$4="Chapter Hunt"),CHOOSE(ArtifactsInput!$N$27+1,20,24,28,32,36,40),0)/100)))))/Skills!H7+0.000000001),1)))/Inputs!$B$43),G1458*Q1458)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Hunt"),CHOOSE(ArtifactsInput!$N$35+1,15,18,21,24,27,30)*(1-EXP(-(0.2*B1484)*5)),0)+IF(AND(ArtifactsInput!$M$22,Inputs!$B$4&lt;&gt;"Chapter Hunt"),CHOOSE(ArtifactsInput!$N$22+1,10,12,14,16,18,20)*((0*(((0.15*B1484*5))^0/1)+1*(((0.15*B1484*5))^1/1)+2*(((0.15*B1484*5))^2/2)+3*(((0.15*B1484*5))^3/6)+4*(((0.15*B1484*5))^4/24)+5*(((0.15*B1484*5))^5/120))/((((0.15*B1484*5))^0/1)+(((0.15*B1484*5))^1/1)+(((0.15*B1484*5))^2/2)+(((0.15*B1484*5))^3/6)+(((0.15*B1484*5))^4/24)+(((0.15*B1484*5))^5/120))),0))+IF(Inputs!$B$3&gt;=54,9*(C1454=TRUE)*MIN(1,8*(1+Inputs!$B$34/100)*Q1454)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1458*(1-MIN(100,(Inputs!$B$9+((C1470=TRUE)*(F1470-Calc!F19))+B1482+(ArtifactsInput!$M$24-ArtifactsInput!$M$24)*CHOOSE(ArtifactsInput!$N$24+1,10,12,14,16,18,20)+(IF(AND(Inputs!$B$38&lt;&gt;"pvp",Inputs!$B$43=0),1,IF(IF(Inputs!$B$38="pvp",15,Inputs!$B$43)-(B1489)&lt;=0,1,MAX(0,IF(Inputs!$B$38="pvp",15,Inputs!$B$43)-MAX(5,B1489))/(IF(Inputs!$B$38="pvp",15,Inputs!$B$43)-(B1489))))*IF(AND(ArtifactsInput!$M$42,((Inputs!$B$9+((C1470=TRUE)*(F1470-Calc!F19))+B1482+(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M1458*(MIN(100,(Inputs!$B$9+((C1470=TRUE)*(F1470-Calc!F19))+B1482+(ArtifactsInput!$M$24-ArtifactsInput!$M$24)*CHOOSE(ArtifactsInput!$N$24+1,10,12,14,16,18,20)+(IF(AND(Inputs!$B$38&lt;&gt;"pvp",Inputs!$B$43=0),1,IF(IF(Inputs!$B$38="pvp",15,Inputs!$B$43)-(B1489)&lt;=0,1,MAX(0,IF(Inputs!$B$38="pvp",15,Inputs!$B$43)-MAX(5,B1489))/(IF(Inputs!$B$38="pvp",15,Inputs!$B$43)-(B1489))))*IF(AND(ArtifactsInput!$M$42,((Inputs!$B$9+((C1470=TRUE)*(F1470-Calc!F19))+B1482+(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L1458*(1-MIN(100,(Inputs!$B$9+((C1470=TRUE)*(F1470-Calc!F19))+B1482+(ArtifactsInput!$M$24-ArtifactsInput!$M$24)*CHOOSE(ArtifactsInput!$N$24+1,10,12,14,16,18,20)+(IF(AND(Inputs!$B$38&lt;&gt;"pvp",Inputs!$B$43=0),1,IF(IF(Inputs!$B$38="pvp",15,Inputs!$B$43)-(B1489)&lt;=0,1,MAX(0,IF(Inputs!$B$38="pvp",15,Inputs!$B$43)-MAX(5,B1489))/(IF(Inputs!$B$38="pvp",15,Inputs!$B$43)-(B1489))))*IF(AND(ArtifactsInput!$M$42,((Inputs!$B$9+((C1470=TRUE)*(F1470-Calc!F19))+B1482+(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M1458*(MIN(100,(Inputs!$B$9+((C1470=TRUE)*(F1470-Calc!F19))+B1482+(ArtifactsInput!$M$24-ArtifactsInput!$M$24)*CHOOSE(ArtifactsInput!$N$24+1,10,12,14,16,18,20)+(IF(AND(Inputs!$B$38&lt;&gt;"pvp",Inputs!$B$43=0),1,IF(IF(Inputs!$B$38="pvp",15,Inputs!$B$43)-(B1489)&lt;=0,1,MAX(0,IF(Inputs!$B$38="pvp",15,Inputs!$B$43)-MAX(5,B1489))/(IF(Inputs!$B$38="pvp",15,Inputs!$B$43)-(B1489))))*IF(AND(ArtifactsInput!$M$42,((Inputs!$B$9+((C1470=TRUE)*(F1470-Calc!F19))+B1482+(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458">
        <f>IF(C1458,(H1458*N1458*IF(AND(Inputs!$B$38&lt;&gt;"pvp",Inputs!$B$43&gt;0),((Skills!G7*((R1458-1)*IF(Skills!H7&gt;0,INT(Skills!I7/Skills!H7+0.000000001),1)+IF(Skills!H7&gt;0,INT(MIN(Skills!I7,MAX(0,MAX(0,Inputs!$B$43-B1489)-((R1458-1)*(IF(Inputs!$B$38="pvp",15,MAX(0.1,Skills!D7-IF(TRUE=TRUE,Inputs!$B$32,0)))*(1-IF(AND(ArtifactsInput!$M$27,Inputs!$B$4="Chapter Hunt"),CHOOSE(ArtifactsInput!$N$27+1,20,24,28,32,36,40),0)/100)))))/Skills!H7+0.000000001),1)))/Inputs!$B$43),G1458*Q1458))*IF(Inputs!$B$38="pvp",1,(1+(Inputs!$B$21+Skills!Q7+(IF(ArtifactsInput!$M$33,CHOOSE(ArtifactsInput!$N$33+1,30,36,42,48,54,60),0))+(IF(AND(ArtifactsInput!$M$35,Inputs!$B$4&lt;&gt;"Chapter Hunt"),CHOOSE(ArtifactsInput!$N$35+1,15,18,21,24,27,30)*(1-EXP(-(0.2*B1484)*5)),0)+IF(AND(ArtifactsInput!$M$22,Inputs!$B$4&lt;&gt;"Chapter Hunt"),CHOOSE(ArtifactsInput!$N$22+1,10,12,14,16,18,20)*((0*(((0.15*B1484*5))^0/1)+1*(((0.15*B1484*5))^1/1)+2*(((0.15*B1484*5))^2/2)+3*(((0.15*B1484*5))^3/6)+4*(((0.15*B1484*5))^4/24)+5*(((0.15*B1484*5))^5/120))/((((0.15*B1484*5))^0/1)+(((0.15*B1484*5))^1/1)+(((0.15*B1484*5))^2/2)+(((0.15*B1484*5))^3/6)+(((0.15*B1484*5))^4/24)+(((0.15*B1484*5))^5/120))),0))+IF(Inputs!$B$3&gt;=54,9*(C1454=TRUE)*MIN(1,8*(1+Inputs!$B$34/100)*Q1454),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59">
      <c r="A1459">
        <f>Skills!A8</f>
        <v/>
      </c>
      <c r="B1459">
        <f>Skills!B8</f>
        <v/>
      </c>
      <c r="C1459">
        <f>Inputs!$B$3&gt;=103</f>
        <v/>
      </c>
      <c r="D1459">
        <f>IF(Skills!C8=1,60+Inputs!$B$25+Inputs!$B$29,IF(Skills!C8=2,90+Inputs!$B$26+Inputs!$B$29,IF(Skills!C8=3,120+Inputs!$B$27+Inputs!$B$29,MAX(0,(Inputs!$B$3-100)*3)+Inputs!$B$28+Inputs!$B$29)))</f>
        <v/>
      </c>
      <c r="E1459">
        <f>INDEX(FactorTable!$B$2:$Y$301, MATCH(ROUND(MIN(300,MAX(1,D1459)),0), FactorTable!$A$2:$A$301,0), Skills!M8+1)</f>
        <v/>
      </c>
      <c r="F1459">
        <f>IF(Skills!N8=TRUE,(Skills!L8/10)*(E1459/1000),Skills!L8/10)+Skills!O8</f>
        <v/>
      </c>
      <c r="G1459">
        <f>Skills!G8*IF(Skills!H8&gt;0,INT(IF(Inputs!$B$38="pvp",MIN(Skills!I8,15),Skills!I8)/Skills!H8+0.000000001),1)</f>
        <v/>
      </c>
      <c r="H1459">
        <f>1-(1-Skills!J8/100)^Skills!K8</f>
        <v/>
      </c>
      <c r="I1459" t="inlineStr">
        <is>
          <t>1</t>
        </is>
      </c>
      <c r="J1459">
        <f>((Inputs!$B$6*(1+Inputs!$B$7/100))+(((Inputs!$B$12*(1+Inputs!$B$13/100))-(Inputs!$B$12*(1+Inputs!$B$13/100)))+0.25*(Inputs!$B$14-Inputs!$B$14))*(1+Inputs!$B$7/100))*(F1459/100)</f>
        <v/>
      </c>
      <c r="K1459">
        <f>J1459*(1+((Inputs!$B$12*(1+Inputs!$B$13/100))*0.01+Inputs!$B$14*0.0025)/100)*(1+Inputs!$B$15/100)*(1+Inputs!$B$16/100)*(5000/(6000+Inputs!$B$42*(1-(100*(1-(1-(Inputs!$B$19+0)/100)*(1-CHOOSE(ArtifactsInput!$N$40+1,5,6,7,8,9,10)/100)^(ArtifactsInput!$M$40-ArtifactsInput!$M$40)))/100)))*(1+(Inputs!$B$24+((C1477=TRUE)*(F1477-Calc!F26))+B1488)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IGHT_LEGS_EASTON",Inputs!$B$17+((C1474=TRUE)*(F1474-Calc!F23))+((C1478=TRUE)*(F1478-Calc!F27))+((IF(AND(Inputs!$B$38&lt;&gt;"pvp",Inputs!$B$43=0),1,IF(IF(Inputs!$B$38="pvp",15,Inputs!$B$43)-(B1489)&lt;=0,1,MAX(0,IF(Inputs!$B$38="pvp",15,Inputs!$B$43)-MAX(5,B1489))/(IF(Inputs!$B$38="pvp",15,Inputs!$B$43)-(B1489))))*(IF(AND(ArtifactsInput!$M$42,((Inputs!$B$9+((C1470=TRUE)*(F1470-Calc!F19))+B1482+(ArtifactsInput!$M$24-ArtifactsInput!$M$24)*CHOOSE(ArtifactsInput!$N$24+1,10,12,14,16,18,20)+IF(IF(ArtifactsInput!$M$10,FALSE,TRUE),CHOOSE(ArtifactsInput!$N$10+1,15,18,21,24,27,30)*(IF(Inputs!$B$38="pvp",MIN(15,15)/15,IF(AND(Inputs!$B$38&lt;&gt;"pvp",Inputs!$B$43&gt;0),MIN(15,Inputs!$B$43)/(Inputs!$B$43),0))),0)))&gt;=100),MIN(100,((Inputs!$B$9+((C1470=TRUE)*(F1470-Calc!F19))+B1482+(ArtifactsInput!$M$24-ArtifactsInput!$M$24)*CHOOSE(ArtifactsInput!$N$24+1,10,12,14,16,18,20)+IF(IF(ArtifactsInput!$M$10,FALSE,TRUE),CHOOSE(ArtifactsInput!$N$10+1,15,18,21,24,27,30)*(IF(Inputs!$B$38="pvp",MIN(15,15)/15,IF(AND(Inputs!$B$38&lt;&gt;"pvp",Inputs!$B$43&gt;0),MIN(15,Inputs!$B$43)/(Inputs!$B$43),0))),0)))-100),0))*CHOOSE(ArtifactsInput!$N$42+1,0.6,0.72,0.84,0.96,1.08,1.2))),Inputs!$B$18+0+(IF(AND(Inputs!$B$38&lt;&gt;"pvp",Inputs!$B$43=0),1,IF(IF(Inputs!$B$38="pvp",15,Inputs!$B$43)-(B1489)&lt;=0,1,MAX(0,IF(Inputs!$B$38="pvp",15,Inputs!$B$43)-MAX(5,B1489))/(IF(Inputs!$B$38="pvp",15,Inputs!$B$43)-(B1489))))*IF(AND(ArtifactsInput!$M$42,((Inputs!$B$9+((C1470=TRUE)*(F1470-Calc!F19))+B1482+(ArtifactsInput!$M$24-ArtifactsInput!$M$24)*CHOOSE(ArtifactsInput!$N$24+1,10,12,14,16,18,20)+IF(IF(ArtifactsInput!$M$10,FALSE,TRUE),CHOOSE(ArtifactsInput!$N$10+1,15,18,21,24,27,30)*(IF(Inputs!$B$38="pvp",MIN(15,15)/15,IF(AND(Inputs!$B$38&lt;&gt;"pvp",Inputs!$B$43&gt;0),MIN(15,Inputs!$B$43)/(Inputs!$B$43),0))),0)))&gt;=100),CHOOSE(ArtifactsInput!$N$42+1,40,48,56,64,72,80),0))))/100)*((1+(((C1468=TRUE)*F1468*5/7)+((C1475=TRUE)*(F1475-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1459)</f>
        <v/>
      </c>
      <c r="L1459">
        <f>K1459*(MIN(Inputs!$B$22+((C1473=TRUE)*(F1473-Calc!F22)),(Inputs!$B$23+0+(IF(ArtifactsInput!$M$15,CHOOSE(ArtifactsInput!$N$15+1,25,30,35,40,45,50)/100*(Inputs!$B$11-Inputs!$B$11),0))))/100+(Inputs!$B$23+0+(IF(ArtifactsInput!$M$15,CHOOSE(ArtifactsInput!$N$15+1,25,30,35,40,45,50)/100*(Inputs!$B$11-Inputs!$B$11),0)))/100)/2</f>
        <v/>
      </c>
      <c r="M1459">
        <f>L1459*(1+(Inputs!$B$10+((C1476=TRUE)*(F1476-Calc!F25))+B1487+(IF(ArtifactsInput!$M$24,CHOOSE(ArtifactsInput!$N$24+1,30,36,42,48,54,60)/100*(Inputs!$B$9-Inputs!$B$9),0)+IF(IF(ArtifactsInput!$M$10,FALSE,TRUE),CHOOSE(ArtifactsInput!$N$10+1,20,24,28,32,36,40)*(IF(Inputs!$B$38="pvp",MIN(15,15)/15,IF(AND(Inputs!$B$38&lt;&gt;"pvp",Inputs!$B$43&gt;0),MIN(15,Inputs!$B$43)/(Inputs!$B$43),0))),0)+IF(ArtifactsInput!$M$31,1.5*CHOOSE(ArtifactsInput!$N$31+1,20,24,28,32,36,40),0)))/100)</f>
        <v/>
      </c>
      <c r="N1459">
        <f>L1459*(1-MIN((Inputs!$B$9+((C1470=TRUE)*(F1470-Calc!F19))+B1482+(ArtifactsInput!$M$24-ArtifactsInput!$M$24)*CHOOSE(ArtifactsInput!$N$24+1,10,12,14,16,18,20)+(IF(AND(Inputs!$B$38&lt;&gt;"pvp",Inputs!$B$43=0),1,IF(IF(Inputs!$B$38="pvp",15,Inputs!$B$43)-(B1489)&lt;=0,1,MAX(0,IF(Inputs!$B$38="pvp",15,Inputs!$B$43)-MAX(5,B1489))/(IF(Inputs!$B$38="pvp",15,Inputs!$B$43)-(B1489))))*IF(AND(ArtifactsInput!$M$42,((Inputs!$B$9+((C1470=TRUE)*(F1470-Calc!F19))+B1482+(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M1459*(MIN((Inputs!$B$9+((C1470=TRUE)*(F1470-Calc!F19))+B1482+(ArtifactsInput!$M$24-ArtifactsInput!$M$24)*CHOOSE(ArtifactsInput!$N$24+1,10,12,14,16,18,20)+(IF(AND(Inputs!$B$38&lt;&gt;"pvp",Inputs!$B$43=0),1,IF(IF(Inputs!$B$38="pvp",15,Inputs!$B$43)-(B1489)&lt;=0,1,MAX(0,IF(Inputs!$B$38="pvp",15,Inputs!$B$43)-MAX(5,B1489))/(IF(Inputs!$B$38="pvp",15,Inputs!$B$43)-(B1489))))*IF(AND(ArtifactsInput!$M$42,((Inputs!$B$9+((C1470=TRUE)*(F1470-Calc!F19))+B1482+(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f>
        <v/>
      </c>
      <c r="O1459">
        <f>(1-Summary!$B$11)*T1459+Summary!$B$11*V1459</f>
        <v/>
      </c>
      <c r="P1459">
        <f>IF(B1492=0,0,O1459/B1492)</f>
        <v/>
      </c>
      <c r="Q1459">
        <f>IFERROR(1/((IF(Inputs!$B$38="pvp",15,MAX(0.1,Skills!D8-IF(TRUE=TRUE,Inputs!$B$32,0)))*(1-IF(AND(ArtifactsInput!$M$27,Inputs!$B$4="Chapter Hunt"),CHOOSE(ArtifactsInput!$N$27+1,20,24,28,32,36,40),0)/100))/B1493),0)</f>
        <v/>
      </c>
      <c r="R1459">
        <f>IF(AND(Inputs!$B$38&lt;&gt;"pvp",Inputs!$B$43&gt;0),IF(MAX(0,Inputs!$B$43-B1489)&lt;=0,0,(INT(MAX(0,Inputs!$B$43-B1489)/((IF(Inputs!$B$38="pvp",15,MAX(0.1,Skills!D8-IF(TRUE=TRUE,Inputs!$B$32,0)))*(1-IF(AND(ArtifactsInput!$M$27,Inputs!$B$4="Chapter Hunt"),CHOOSE(ArtifactsInput!$N$27+1,20,24,28,32,36,40),0)/100))/B1493))+1)),0)</f>
        <v/>
      </c>
      <c r="S1459">
        <f>IFERROR(O1459/N1459,0)</f>
        <v/>
      </c>
      <c r="T1459">
        <f>IF(C1459,(H1459*N1459*IF(AND(Inputs!$B$38&lt;&gt;"pvp",Inputs!$B$43&gt;0),((Skills!G8*((R1459-1)*IF(Skills!H8&gt;0,INT(Skills!I8/Skills!H8+0.000000001),1)+IF(Skills!H8&gt;0,INT(MIN(Skills!I8,MAX(0,MAX(0,Inputs!$B$43-B1489)-((R1459-1)*((IF(Inputs!$B$38="pvp",15,MAX(0.1,Skills!D8-IF(TRUE=TRUE,Inputs!$B$32,0)))*(1-IF(AND(ArtifactsInput!$M$27,Inputs!$B$4="Chapter Hunt"),CHOOSE(ArtifactsInput!$N$27+1,20,24,28,32,36,40),0)/100))/B1493))))/Skills!H8+0.000000001),1)))/Inputs!$B$43),G1459*Q1459))*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Hunt"),CHOOSE(ArtifactsInput!$N$35+1,15,18,21,24,27,30)*(1-EXP(-(0.2*B1484)*5)),0)+IF(AND(ArtifactsInput!$M$22,Inputs!$B$4&lt;&gt;"Chapter Hunt"),CHOOSE(ArtifactsInput!$N$22+1,10,12,14,16,18,20)*((0*(((0.15*B1484*5))^0/1)+1*(((0.15*B1484*5))^1/1)+2*(((0.15*B1484*5))^2/2)+3*(((0.15*B1484*5))^3/6)+4*(((0.15*B1484*5))^4/24)+5*(((0.15*B1484*5))^5/120))/((((0.15*B1484*5))^0/1)+(((0.15*B1484*5))^1/1)+(((0.15*B1484*5))^2/2)+(((0.15*B1484*5))^3/6)+(((0.15*B1484*5))^4/24)+(((0.15*B1484*5))^5/120))),0))+IF(Inputs!$B$3&gt;=54,9*(C1454=TRUE)*MIN(1,8*(1+Inputs!$B$34/100)*Q1454)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1459*(1-MIN(100,(Inputs!$B$9+((C1470=TRUE)*(F1470-Calc!F19))+B1482+(ArtifactsInput!$M$24-ArtifactsInput!$M$24)*CHOOSE(ArtifactsInput!$N$24+1,10,12,14,16,18,20)+(IF(AND(Inputs!$B$38&lt;&gt;"pvp",Inputs!$B$43=0),1,IF(IF(Inputs!$B$38="pvp",15,Inputs!$B$43)-(B1489)&lt;=0,1,MAX(0,IF(Inputs!$B$38="pvp",15,Inputs!$B$43)-MAX(5,B1489))/(IF(Inputs!$B$38="pvp",15,Inputs!$B$43)-(B1489))))*IF(AND(ArtifactsInput!$M$42,((Inputs!$B$9+((C1470=TRUE)*(F1470-Calc!F19))+B1482+(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M1459*(MIN(100,(Inputs!$B$9+((C1470=TRUE)*(F1470-Calc!F19))+B1482+(ArtifactsInput!$M$24-ArtifactsInput!$M$24)*CHOOSE(ArtifactsInput!$N$24+1,10,12,14,16,18,20)+(IF(AND(Inputs!$B$38&lt;&gt;"pvp",Inputs!$B$43=0),1,IF(IF(Inputs!$B$38="pvp",15,Inputs!$B$43)-(B1489)&lt;=0,1,MAX(0,IF(Inputs!$B$38="pvp",15,Inputs!$B$43)-MAX(5,B1489))/(IF(Inputs!$B$38="pvp",15,Inputs!$B$43)-(B1489))))*IF(AND(ArtifactsInput!$M$42,((Inputs!$B$9+((C1470=TRUE)*(F1470-Calc!F19))+B1482+(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L1459*(1-MIN(100,(Inputs!$B$9+((C1470=TRUE)*(F1470-Calc!F19))+B1482+(ArtifactsInput!$M$24-ArtifactsInput!$M$24)*CHOOSE(ArtifactsInput!$N$24+1,10,12,14,16,18,20)+(IF(AND(Inputs!$B$38&lt;&gt;"pvp",Inputs!$B$43=0),1,IF(IF(Inputs!$B$38="pvp",15,Inputs!$B$43)-(B1489)&lt;=0,1,MAX(0,IF(Inputs!$B$38="pvp",15,Inputs!$B$43)-MAX(5,B1489))/(IF(Inputs!$B$38="pvp",15,Inputs!$B$43)-(B1489))))*IF(AND(ArtifactsInput!$M$42,((Inputs!$B$9+((C1470=TRUE)*(F1470-Calc!F19))+B1482+(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M1459*(MIN(100,(Inputs!$B$9+((C1470=TRUE)*(F1470-Calc!F19))+B1482+(ArtifactsInput!$M$24-ArtifactsInput!$M$24)*CHOOSE(ArtifactsInput!$N$24+1,10,12,14,16,18,20)+(IF(AND(Inputs!$B$38&lt;&gt;"pvp",Inputs!$B$43=0),1,IF(IF(Inputs!$B$38="pvp",15,Inputs!$B$43)-(B1489)&lt;=0,1,MAX(0,IF(Inputs!$B$38="pvp",15,Inputs!$B$43)-MAX(5,B1489))/(IF(Inputs!$B$38="pvp",15,Inputs!$B$43)-(B1489))))*IF(AND(ArtifactsInput!$M$42,((Inputs!$B$9+((C1470=TRUE)*(F1470-Calc!F19))+B1482+(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459">
        <f>IF(C1459,(H1459*N1459*IF(AND(Inputs!$B$38&lt;&gt;"pvp",Inputs!$B$43&gt;0),((Skills!G8*((R1459-1)*IF(Skills!H8&gt;0,INT(Skills!I8/Skills!H8+0.000000001),1)+IF(Skills!H8&gt;0,INT(MIN(Skills!I8,MAX(0,MAX(0,Inputs!$B$43-B1489)-((R1459-1)*((IF(Inputs!$B$38="pvp",15,MAX(0.1,Skills!D8-IF(TRUE=TRUE,Inputs!$B$32,0)))*(1-IF(AND(ArtifactsInput!$M$27,Inputs!$B$4="Chapter Hunt"),CHOOSE(ArtifactsInput!$N$27+1,20,24,28,32,36,40),0)/100))/B1493))))/Skills!H8+0.000000001),1)))/Inputs!$B$43),G1459*Q1459))*IF(Inputs!$B$38="pvp",1,(1+(Inputs!$B$21+Skills!Q8+(IF(ArtifactsInput!$M$33,CHOOSE(ArtifactsInput!$N$33+1,30,36,42,48,54,60),0))+(IF(AND(ArtifactsInput!$M$35,Inputs!$B$4&lt;&gt;"Chapter Hunt"),CHOOSE(ArtifactsInput!$N$35+1,15,18,21,24,27,30)*(1-EXP(-(0.2*B1484)*5)),0)+IF(AND(ArtifactsInput!$M$22,Inputs!$B$4&lt;&gt;"Chapter Hunt"),CHOOSE(ArtifactsInput!$N$22+1,10,12,14,16,18,20)*((0*(((0.15*B1484*5))^0/1)+1*(((0.15*B1484*5))^1/1)+2*(((0.15*B1484*5))^2/2)+3*(((0.15*B1484*5))^3/6)+4*(((0.15*B1484*5))^4/24)+5*(((0.15*B1484*5))^5/120))/((((0.15*B1484*5))^0/1)+(((0.15*B1484*5))^1/1)+(((0.15*B1484*5))^2/2)+(((0.15*B1484*5))^3/6)+(((0.15*B1484*5))^4/24)+(((0.15*B1484*5))^5/120))),0))+IF(Inputs!$B$3&gt;=54,9*(C1454=TRUE)*MIN(1,8*(1+Inputs!$B$34/100)*Q1454),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60">
      <c r="A1460">
        <f>Skills!A9</f>
        <v/>
      </c>
      <c r="B1460">
        <f>Skills!B9</f>
        <v/>
      </c>
      <c r="C1460">
        <f>Inputs!$B$3&gt;=105</f>
        <v/>
      </c>
      <c r="D1460">
        <f>IF(Skills!C9=1,60+Inputs!$B$25+Inputs!$B$29,IF(Skills!C9=2,90+Inputs!$B$26+Inputs!$B$29,IF(Skills!C9=3,120+Inputs!$B$27+Inputs!$B$29,MAX(0,(Inputs!$B$3-100)*3)+Inputs!$B$28+Inputs!$B$29)))</f>
        <v/>
      </c>
      <c r="E1460">
        <f>INDEX(FactorTable!$B$2:$Y$301, MATCH(ROUND(MIN(300,MAX(1,D1460)),0), FactorTable!$A$2:$A$301,0), Skills!M9+1)</f>
        <v/>
      </c>
      <c r="F1460">
        <f>IF(Skills!N9=TRUE,(Skills!L9/10)*(E1460/1000),Skills!L9/10)+Skills!O9</f>
        <v/>
      </c>
      <c r="G1460">
        <f>Skills!G9*IF(Skills!H9&gt;0,INT(IF(Inputs!$B$38="pvp",MIN(Skills!I9,15),Skills!I9)/Skills!H9+0.000000001),1)</f>
        <v/>
      </c>
      <c r="H1460">
        <f>1-(1-Skills!J9/100)^Skills!K9</f>
        <v/>
      </c>
      <c r="I1460" t="inlineStr">
        <is>
          <t>1</t>
        </is>
      </c>
      <c r="J1460">
        <f>((Inputs!$B$6*(1+Inputs!$B$7/100))+(((Inputs!$B$12*(1+Inputs!$B$13/100))-(Inputs!$B$12*(1+Inputs!$B$13/100)))+0.25*(Inputs!$B$14-Inputs!$B$14))*(1+Inputs!$B$7/100))*(F1460/100)</f>
        <v/>
      </c>
      <c r="K1460">
        <f>J1460*(1+((Inputs!$B$12*(1+Inputs!$B$13/100))*0.01+Inputs!$B$14*0.0025)/100)*(1+Inputs!$B$15/100)*(1+Inputs!$B$16/100)*(5000/(6000+Inputs!$B$42*(1-(100*(1-(1-(Inputs!$B$19+0)/100)*(1-CHOOSE(ArtifactsInput!$N$40+1,5,6,7,8,9,10)/100)^(ArtifactsInput!$M$40-ArtifactsInput!$M$40)))/100)))*(1+(Inputs!$B$24+((C1477=TRUE)*(F1477-Calc!F26))+B1488)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IGHT_LEGS_EASTON",Inputs!$B$17+((C1474=TRUE)*(F1474-Calc!F23))+((C1478=TRUE)*(F1478-Calc!F27))+((IF(AND(Inputs!$B$38&lt;&gt;"pvp",Inputs!$B$43=0),1,IF(IF(Inputs!$B$38="pvp",15,Inputs!$B$43)-(B1489)&lt;=0,1,MAX(0,IF(Inputs!$B$38="pvp",15,Inputs!$B$43)-MAX(5,B1489))/(IF(Inputs!$B$38="pvp",15,Inputs!$B$43)-(B1489))))*(IF(AND(ArtifactsInput!$M$42,((Inputs!$B$9+((C1470=TRUE)*(F1470-Calc!F19))+B1482+(ArtifactsInput!$M$24-ArtifactsInput!$M$24)*CHOOSE(ArtifactsInput!$N$24+1,10,12,14,16,18,20)+IF(IF(ArtifactsInput!$M$10,FALSE,TRUE),CHOOSE(ArtifactsInput!$N$10+1,15,18,21,24,27,30)*(IF(Inputs!$B$38="pvp",MIN(15,15)/15,IF(AND(Inputs!$B$38&lt;&gt;"pvp",Inputs!$B$43&gt;0),MIN(15,Inputs!$B$43)/(Inputs!$B$43),0))),0)))&gt;=100),MIN(100,((Inputs!$B$9+((C1470=TRUE)*(F1470-Calc!F19))+B1482+(ArtifactsInput!$M$24-ArtifactsInput!$M$24)*CHOOSE(ArtifactsInput!$N$24+1,10,12,14,16,18,20)+IF(IF(ArtifactsInput!$M$10,FALSE,TRUE),CHOOSE(ArtifactsInput!$N$10+1,15,18,21,24,27,30)*(IF(Inputs!$B$38="pvp",MIN(15,15)/15,IF(AND(Inputs!$B$38&lt;&gt;"pvp",Inputs!$B$43&gt;0),MIN(15,Inputs!$B$43)/(Inputs!$B$43),0))),0)))-100),0))*CHOOSE(ArtifactsInput!$N$42+1,0.6,0.72,0.84,0.96,1.08,1.2))),Inputs!$B$18+0+(IF(AND(Inputs!$B$38&lt;&gt;"pvp",Inputs!$B$43=0),1,IF(IF(Inputs!$B$38="pvp",15,Inputs!$B$43)-(B1489)&lt;=0,1,MAX(0,IF(Inputs!$B$38="pvp",15,Inputs!$B$43)-MAX(5,B1489))/(IF(Inputs!$B$38="pvp",15,Inputs!$B$43)-(B1489))))*IF(AND(ArtifactsInput!$M$42,((Inputs!$B$9+((C1470=TRUE)*(F1470-Calc!F19))+B1482+(ArtifactsInput!$M$24-ArtifactsInput!$M$24)*CHOOSE(ArtifactsInput!$N$24+1,10,12,14,16,18,20)+IF(IF(ArtifactsInput!$M$10,FALSE,TRUE),CHOOSE(ArtifactsInput!$N$10+1,15,18,21,24,27,30)*(IF(Inputs!$B$38="pvp",MIN(15,15)/15,IF(AND(Inputs!$B$38&lt;&gt;"pvp",Inputs!$B$43&gt;0),MIN(15,Inputs!$B$43)/(Inputs!$B$43),0))),0)))&gt;=100),CHOOSE(ArtifactsInput!$N$42+1,40,48,56,64,72,80),0))))/100)*((1+(((C1468=TRUE)*F1468*5/7)+((C1475=TRUE)*(F1475-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1460)</f>
        <v/>
      </c>
      <c r="L1460">
        <f>K1460*(MIN(Inputs!$B$22+((C1473=TRUE)*(F1473-Calc!F22)),(Inputs!$B$23+0+(IF(ArtifactsInput!$M$15,CHOOSE(ArtifactsInput!$N$15+1,25,30,35,40,45,50)/100*(Inputs!$B$11-Inputs!$B$11),0))))/100+(Inputs!$B$23+0+(IF(ArtifactsInput!$M$15,CHOOSE(ArtifactsInput!$N$15+1,25,30,35,40,45,50)/100*(Inputs!$B$11-Inputs!$B$11),0)))/100)/2</f>
        <v/>
      </c>
      <c r="M1460">
        <f>L1460*(1+(Inputs!$B$10+((C1476=TRUE)*(F1476-Calc!F25))+B1487+(IF(ArtifactsInput!$M$24,CHOOSE(ArtifactsInput!$N$24+1,30,36,42,48,54,60)/100*(Inputs!$B$9-Inputs!$B$9),0)+IF(IF(ArtifactsInput!$M$10,FALSE,TRUE),CHOOSE(ArtifactsInput!$N$10+1,20,24,28,32,36,40)*(IF(Inputs!$B$38="pvp",MIN(15,15)/15,IF(AND(Inputs!$B$38&lt;&gt;"pvp",Inputs!$B$43&gt;0),MIN(15,Inputs!$B$43)/(Inputs!$B$43),0))),0)+IF(ArtifactsInput!$M$31,1.5*CHOOSE(ArtifactsInput!$N$31+1,20,24,28,32,36,40),0)))/100)</f>
        <v/>
      </c>
      <c r="N1460">
        <f>L1460*(1-MIN((Inputs!$B$9+((C1470=TRUE)*(F1470-Calc!F19))+B1482+(ArtifactsInput!$M$24-ArtifactsInput!$M$24)*CHOOSE(ArtifactsInput!$N$24+1,10,12,14,16,18,20)+(IF(AND(Inputs!$B$38&lt;&gt;"pvp",Inputs!$B$43=0),1,IF(IF(Inputs!$B$38="pvp",15,Inputs!$B$43)-(B1489)&lt;=0,1,MAX(0,IF(Inputs!$B$38="pvp",15,Inputs!$B$43)-MAX(5,B1489))/(IF(Inputs!$B$38="pvp",15,Inputs!$B$43)-(B1489))))*IF(AND(ArtifactsInput!$M$42,((Inputs!$B$9+((C1470=TRUE)*(F1470-Calc!F19))+B1482+(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M1460*(MIN((Inputs!$B$9+((C1470=TRUE)*(F1470-Calc!F19))+B1482+(ArtifactsInput!$M$24-ArtifactsInput!$M$24)*CHOOSE(ArtifactsInput!$N$24+1,10,12,14,16,18,20)+(IF(AND(Inputs!$B$38&lt;&gt;"pvp",Inputs!$B$43=0),1,IF(IF(Inputs!$B$38="pvp",15,Inputs!$B$43)-(B1489)&lt;=0,1,MAX(0,IF(Inputs!$B$38="pvp",15,Inputs!$B$43)-MAX(5,B1489))/(IF(Inputs!$B$38="pvp",15,Inputs!$B$43)-(B1489))))*IF(AND(ArtifactsInput!$M$42,((Inputs!$B$9+((C1470=TRUE)*(F1470-Calc!F19))+B1482+(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f>
        <v/>
      </c>
      <c r="O1460">
        <f>(1-Summary!$B$11)*T1460+Summary!$B$11*V1460</f>
        <v/>
      </c>
      <c r="P1460">
        <f>IF(B1492=0,0,O1460/B1492)</f>
        <v/>
      </c>
      <c r="Q1460">
        <f>IFERROR(1/(IF(Inputs!$B$38="pvp",15,MAX(0.1,Skills!D9-IF(TRUE=TRUE,Inputs!$B$32,0)))*(1-IF(AND(ArtifactsInput!$M$27,Inputs!$B$4="Chapter Hunt"),CHOOSE(ArtifactsInput!$N$27+1,20,24,28,32,36,40),0)/100)),0)</f>
        <v/>
      </c>
      <c r="R1460">
        <f>IF(AND(Inputs!$B$38&lt;&gt;"pvp",Inputs!$B$43&gt;0),IF(MAX(0,Inputs!$B$43-B1489)&lt;=0,0,(INT(MAX(0,Inputs!$B$43-B1489)/(IF(Inputs!$B$38="pvp",15,MAX(0.1,Skills!D9-IF(TRUE=TRUE,Inputs!$B$32,0)))*(1-IF(AND(ArtifactsInput!$M$27,Inputs!$B$4="Chapter Hunt"),CHOOSE(ArtifactsInput!$N$27+1,20,24,28,32,36,40),0)/100)))+1)),0)</f>
        <v/>
      </c>
      <c r="S1460">
        <f>IFERROR(O1460/N1460,0)</f>
        <v/>
      </c>
      <c r="T1460">
        <f>IF(C1460,(H1460*N1460*IF(AND(Inputs!$B$38&lt;&gt;"pvp",Inputs!$B$43&gt;0),((Skills!G9*((R1460-1)*IF(Skills!H9&gt;0,INT(Skills!I9/Skills!H9+0.000000001),1)+IF(Skills!H9&gt;0,INT(MIN(Skills!I9,MAX(0,MAX(0,Inputs!$B$43-B1489)-((R1460-1)*(IF(Inputs!$B$38="pvp",15,MAX(0.1,Skills!D9-IF(TRUE=TRUE,Inputs!$B$32,0)))*(1-IF(AND(ArtifactsInput!$M$27,Inputs!$B$4="Chapter Hunt"),CHOOSE(ArtifactsInput!$N$27+1,20,24,28,32,36,40),0)/100)))))/Skills!H9+0.000000001),1)))/Inputs!$B$43),G1460*Q1460)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Hunt"),CHOOSE(ArtifactsInput!$N$35+1,15,18,21,24,27,30)*(1-EXP(-(0.2*B1484)*5)),0)+IF(AND(ArtifactsInput!$M$22,Inputs!$B$4&lt;&gt;"Chapter Hunt"),CHOOSE(ArtifactsInput!$N$22+1,10,12,14,16,18,20)*((0*(((0.15*B1484*5))^0/1)+1*(((0.15*B1484*5))^1/1)+2*(((0.15*B1484*5))^2/2)+3*(((0.15*B1484*5))^3/6)+4*(((0.15*B1484*5))^4/24)+5*(((0.15*B1484*5))^5/120))/((((0.15*B1484*5))^0/1)+(((0.15*B1484*5))^1/1)+(((0.15*B1484*5))^2/2)+(((0.15*B1484*5))^3/6)+(((0.15*B1484*5))^4/24)+(((0.15*B1484*5))^5/120))),0))+IF(Inputs!$B$3&gt;=54,9*(C1454=TRUE)*MIN(1,8*(1+Inputs!$B$34/100)*Q1454)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1460*(1-MIN(100,(Inputs!$B$9+((C1470=TRUE)*(F1470-Calc!F19))+B1482+(ArtifactsInput!$M$24-ArtifactsInput!$M$24)*CHOOSE(ArtifactsInput!$N$24+1,10,12,14,16,18,20)+(IF(AND(Inputs!$B$38&lt;&gt;"pvp",Inputs!$B$43=0),1,IF(IF(Inputs!$B$38="pvp",15,Inputs!$B$43)-(B1489)&lt;=0,1,MAX(0,IF(Inputs!$B$38="pvp",15,Inputs!$B$43)-MAX(5,B1489))/(IF(Inputs!$B$38="pvp",15,Inputs!$B$43)-(B1489))))*IF(AND(ArtifactsInput!$M$42,((Inputs!$B$9+((C1470=TRUE)*(F1470-Calc!F19))+B1482+(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M1460*(MIN(100,(Inputs!$B$9+((C1470=TRUE)*(F1470-Calc!F19))+B1482+(ArtifactsInput!$M$24-ArtifactsInput!$M$24)*CHOOSE(ArtifactsInput!$N$24+1,10,12,14,16,18,20)+(IF(AND(Inputs!$B$38&lt;&gt;"pvp",Inputs!$B$43=0),1,IF(IF(Inputs!$B$38="pvp",15,Inputs!$B$43)-(B1489)&lt;=0,1,MAX(0,IF(Inputs!$B$38="pvp",15,Inputs!$B$43)-MAX(5,B1489))/(IF(Inputs!$B$38="pvp",15,Inputs!$B$43)-(B1489))))*IF(AND(ArtifactsInput!$M$42,((Inputs!$B$9+((C1470=TRUE)*(F1470-Calc!F19))+B1482+(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L1460*(1-MIN(100,(Inputs!$B$9+((C1470=TRUE)*(F1470-Calc!F19))+B1482+(ArtifactsInput!$M$24-ArtifactsInput!$M$24)*CHOOSE(ArtifactsInput!$N$24+1,10,12,14,16,18,20)+(IF(AND(Inputs!$B$38&lt;&gt;"pvp",Inputs!$B$43=0),1,IF(IF(Inputs!$B$38="pvp",15,Inputs!$B$43)-(B1489)&lt;=0,1,MAX(0,IF(Inputs!$B$38="pvp",15,Inputs!$B$43)-MAX(5,B1489))/(IF(Inputs!$B$38="pvp",15,Inputs!$B$43)-(B1489))))*IF(AND(ArtifactsInput!$M$42,((Inputs!$B$9+((C1470=TRUE)*(F1470-Calc!F19))+B1482+(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M1460*(MIN(100,(Inputs!$B$9+((C1470=TRUE)*(F1470-Calc!F19))+B1482+(ArtifactsInput!$M$24-ArtifactsInput!$M$24)*CHOOSE(ArtifactsInput!$N$24+1,10,12,14,16,18,20)+(IF(AND(Inputs!$B$38&lt;&gt;"pvp",Inputs!$B$43=0),1,IF(IF(Inputs!$B$38="pvp",15,Inputs!$B$43)-(B1489)&lt;=0,1,MAX(0,IF(Inputs!$B$38="pvp",15,Inputs!$B$43)-MAX(5,B1489))/(IF(Inputs!$B$38="pvp",15,Inputs!$B$43)-(B1489))))*IF(AND(ArtifactsInput!$M$42,((Inputs!$B$9+((C1470=TRUE)*(F1470-Calc!F19))+B1482+(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460">
        <f>IF(C1460,(H1460*N1460*IF(AND(Inputs!$B$38&lt;&gt;"pvp",Inputs!$B$43&gt;0),((Skills!G9*((R1460-1)*IF(Skills!H9&gt;0,INT(Skills!I9/Skills!H9+0.000000001),1)+IF(Skills!H9&gt;0,INT(MIN(Skills!I9,MAX(0,MAX(0,Inputs!$B$43-B1489)-((R1460-1)*(IF(Inputs!$B$38="pvp",15,MAX(0.1,Skills!D9-IF(TRUE=TRUE,Inputs!$B$32,0)))*(1-IF(AND(ArtifactsInput!$M$27,Inputs!$B$4="Chapter Hunt"),CHOOSE(ArtifactsInput!$N$27+1,20,24,28,32,36,40),0)/100)))))/Skills!H9+0.000000001),1)))/Inputs!$B$43),G1460*Q1460))*IF(Inputs!$B$38="pvp",1,(1+(Inputs!$B$21+Skills!Q9+(IF(ArtifactsInput!$M$33,CHOOSE(ArtifactsInput!$N$33+1,30,36,42,48,54,60),0))+(IF(AND(ArtifactsInput!$M$35,Inputs!$B$4&lt;&gt;"Chapter Hunt"),CHOOSE(ArtifactsInput!$N$35+1,15,18,21,24,27,30)*(1-EXP(-(0.2*B1484)*5)),0)+IF(AND(ArtifactsInput!$M$22,Inputs!$B$4&lt;&gt;"Chapter Hunt"),CHOOSE(ArtifactsInput!$N$22+1,10,12,14,16,18,20)*((0*(((0.15*B1484*5))^0/1)+1*(((0.15*B1484*5))^1/1)+2*(((0.15*B1484*5))^2/2)+3*(((0.15*B1484*5))^3/6)+4*(((0.15*B1484*5))^4/24)+5*(((0.15*B1484*5))^5/120))/((((0.15*B1484*5))^0/1)+(((0.15*B1484*5))^1/1)+(((0.15*B1484*5))^2/2)+(((0.15*B1484*5))^3/6)+(((0.15*B1484*5))^4/24)+(((0.15*B1484*5))^5/120))),0))+IF(Inputs!$B$3&gt;=54,9*(C1454=TRUE)*MIN(1,8*(1+Inputs!$B$34/100)*Q1454),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61">
      <c r="A1461">
        <f>Skills!A10</f>
        <v/>
      </c>
      <c r="B1461">
        <f>Skills!B10</f>
        <v/>
      </c>
      <c r="C1461">
        <f>Inputs!$B$3&gt;=113</f>
        <v/>
      </c>
      <c r="D1461">
        <f>IF(Skills!C10=1,60+Inputs!$B$25+Inputs!$B$29,IF(Skills!C10=2,90+Inputs!$B$26+Inputs!$B$29,IF(Skills!C10=3,120+Inputs!$B$27+Inputs!$B$29,MAX(0,(Inputs!$B$3-100)*3)+Inputs!$B$28+Inputs!$B$29)))</f>
        <v/>
      </c>
      <c r="E1461">
        <f>INDEX(FactorTable!$B$2:$Y$301, MATCH(ROUND(MIN(300,MAX(1,D1461)),0), FactorTable!$A$2:$A$301,0), Skills!M10+1)</f>
        <v/>
      </c>
      <c r="F1461">
        <f>IF(Skills!N10=TRUE,(Skills!L10/10)*(E1461/1000),Skills!L10/10)+Skills!O10</f>
        <v/>
      </c>
      <c r="G1461">
        <f>Skills!G10*IF(Skills!H10&gt;0,INT(IF(Inputs!$B$38="pvp",MIN(Skills!I10,15),Skills!I10)/Skills!H10+0.000000001),1)</f>
        <v/>
      </c>
      <c r="H1461">
        <f>1-(1-Skills!J10/100)^Skills!K10</f>
        <v/>
      </c>
      <c r="I1461" t="inlineStr">
        <is>
          <t>1</t>
        </is>
      </c>
      <c r="J1461">
        <f>((Inputs!$B$6*(1+Inputs!$B$7/100))+(((Inputs!$B$12*(1+Inputs!$B$13/100))-(Inputs!$B$12*(1+Inputs!$B$13/100)))+0.25*(Inputs!$B$14-Inputs!$B$14))*(1+Inputs!$B$7/100))*(F1461/100)</f>
        <v/>
      </c>
      <c r="K1461">
        <f>J1461*(1+((Inputs!$B$12*(1+Inputs!$B$13/100))*0.01+Inputs!$B$14*0.0025)/100)*(1+Inputs!$B$15/100)*(1+Inputs!$B$16/100)*(5000/(6000+Inputs!$B$42*(1-(100*(1-(1-(Inputs!$B$19+0)/100)*(1-CHOOSE(ArtifactsInput!$N$40+1,5,6,7,8,9,10)/100)^(ArtifactsInput!$M$40-ArtifactsInput!$M$40)))/100)))*(1+(Inputs!$B$24+((C1477=TRUE)*(F1477-Calc!F26))+B1488)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IGHT_LEGS_EASTON",Inputs!$B$17+((C1474=TRUE)*(F1474-Calc!F23))+((C1478=TRUE)*(F1478-Calc!F27))+((IF(AND(Inputs!$B$38&lt;&gt;"pvp",Inputs!$B$43=0),1,IF(IF(Inputs!$B$38="pvp",15,Inputs!$B$43)-(B1489)&lt;=0,1,MAX(0,IF(Inputs!$B$38="pvp",15,Inputs!$B$43)-MAX(5,B1489))/(IF(Inputs!$B$38="pvp",15,Inputs!$B$43)-(B1489))))*(IF(AND(ArtifactsInput!$M$42,((Inputs!$B$9+((C1470=TRUE)*(F1470-Calc!F19))+B1482+(ArtifactsInput!$M$24-ArtifactsInput!$M$24)*CHOOSE(ArtifactsInput!$N$24+1,10,12,14,16,18,20)+IF(IF(ArtifactsInput!$M$10,FALSE,TRUE),CHOOSE(ArtifactsInput!$N$10+1,15,18,21,24,27,30)*(IF(Inputs!$B$38="pvp",MIN(15,15)/15,IF(AND(Inputs!$B$38&lt;&gt;"pvp",Inputs!$B$43&gt;0),MIN(15,Inputs!$B$43)/(Inputs!$B$43),0))),0)))&gt;=100),MIN(100,((Inputs!$B$9+((C1470=TRUE)*(F1470-Calc!F19))+B1482+(ArtifactsInput!$M$24-ArtifactsInput!$M$24)*CHOOSE(ArtifactsInput!$N$24+1,10,12,14,16,18,20)+IF(IF(ArtifactsInput!$M$10,FALSE,TRUE),CHOOSE(ArtifactsInput!$N$10+1,15,18,21,24,27,30)*(IF(Inputs!$B$38="pvp",MIN(15,15)/15,IF(AND(Inputs!$B$38&lt;&gt;"pvp",Inputs!$B$43&gt;0),MIN(15,Inputs!$B$43)/(Inputs!$B$43),0))),0)))-100),0))*CHOOSE(ArtifactsInput!$N$42+1,0.6,0.72,0.84,0.96,1.08,1.2))),Inputs!$B$18+0+(IF(AND(Inputs!$B$38&lt;&gt;"pvp",Inputs!$B$43=0),1,IF(IF(Inputs!$B$38="pvp",15,Inputs!$B$43)-(B1489)&lt;=0,1,MAX(0,IF(Inputs!$B$38="pvp",15,Inputs!$B$43)-MAX(5,B1489))/(IF(Inputs!$B$38="pvp",15,Inputs!$B$43)-(B1489))))*IF(AND(ArtifactsInput!$M$42,((Inputs!$B$9+((C1470=TRUE)*(F1470-Calc!F19))+B1482+(ArtifactsInput!$M$24-ArtifactsInput!$M$24)*CHOOSE(ArtifactsInput!$N$24+1,10,12,14,16,18,20)+IF(IF(ArtifactsInput!$M$10,FALSE,TRUE),CHOOSE(ArtifactsInput!$N$10+1,15,18,21,24,27,30)*(IF(Inputs!$B$38="pvp",MIN(15,15)/15,IF(AND(Inputs!$B$38&lt;&gt;"pvp",Inputs!$B$43&gt;0),MIN(15,Inputs!$B$43)/(Inputs!$B$43),0))),0)))&gt;=100),CHOOSE(ArtifactsInput!$N$42+1,40,48,56,64,72,80),0))))/100)*((1+(((C1468=TRUE)*F1468*5/7)+((C1475=TRUE)*(F1475-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1461)</f>
        <v/>
      </c>
      <c r="L1461">
        <f>K1461*(MIN(Inputs!$B$22+((C1473=TRUE)*(F1473-Calc!F22)),(Inputs!$B$23+0+(IF(ArtifactsInput!$M$15,CHOOSE(ArtifactsInput!$N$15+1,25,30,35,40,45,50)/100*(Inputs!$B$11-Inputs!$B$11),0))))/100+(Inputs!$B$23+0+(IF(ArtifactsInput!$M$15,CHOOSE(ArtifactsInput!$N$15+1,25,30,35,40,45,50)/100*(Inputs!$B$11-Inputs!$B$11),0)))/100)/2</f>
        <v/>
      </c>
      <c r="M1461">
        <f>L1461*(1+(Inputs!$B$10+((C1476=TRUE)*(F1476-Calc!F25))+B1487+(IF(ArtifactsInput!$M$24,CHOOSE(ArtifactsInput!$N$24+1,30,36,42,48,54,60)/100*(Inputs!$B$9-Inputs!$B$9),0)+IF(IF(ArtifactsInput!$M$10,FALSE,TRUE),CHOOSE(ArtifactsInput!$N$10+1,20,24,28,32,36,40)*(IF(Inputs!$B$38="pvp",MIN(15,15)/15,IF(AND(Inputs!$B$38&lt;&gt;"pvp",Inputs!$B$43&gt;0),MIN(15,Inputs!$B$43)/(Inputs!$B$43),0))),0)+IF(ArtifactsInput!$M$31,1.5*CHOOSE(ArtifactsInput!$N$31+1,20,24,28,32,36,40),0)))/100)</f>
        <v/>
      </c>
      <c r="N1461">
        <f>L1461*(1-MIN((Inputs!$B$9+((C1470=TRUE)*(F1470-Calc!F19))+B1482+(ArtifactsInput!$M$24-ArtifactsInput!$M$24)*CHOOSE(ArtifactsInput!$N$24+1,10,12,14,16,18,20)+(IF(AND(Inputs!$B$38&lt;&gt;"pvp",Inputs!$B$43=0),1,IF(IF(Inputs!$B$38="pvp",15,Inputs!$B$43)-(B1489)&lt;=0,1,MAX(0,IF(Inputs!$B$38="pvp",15,Inputs!$B$43)-MAX(5,B1489))/(IF(Inputs!$B$38="pvp",15,Inputs!$B$43)-(B1489))))*IF(AND(ArtifactsInput!$M$42,((Inputs!$B$9+((C1470=TRUE)*(F1470-Calc!F19))+B1482+(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M1461*(MIN((Inputs!$B$9+((C1470=TRUE)*(F1470-Calc!F19))+B1482+(ArtifactsInput!$M$24-ArtifactsInput!$M$24)*CHOOSE(ArtifactsInput!$N$24+1,10,12,14,16,18,20)+(IF(AND(Inputs!$B$38&lt;&gt;"pvp",Inputs!$B$43=0),1,IF(IF(Inputs!$B$38="pvp",15,Inputs!$B$43)-(B1489)&lt;=0,1,MAX(0,IF(Inputs!$B$38="pvp",15,Inputs!$B$43)-MAX(5,B1489))/(IF(Inputs!$B$38="pvp",15,Inputs!$B$43)-(B1489))))*IF(AND(ArtifactsInput!$M$42,((Inputs!$B$9+((C1470=TRUE)*(F1470-Calc!F19))+B1482+(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f>
        <v/>
      </c>
      <c r="O1461">
        <f>(1-Summary!$B$11)*T1461+Summary!$B$11*V1461</f>
        <v/>
      </c>
      <c r="P1461">
        <f>IF(B1492=0,0,O1461/B1492)</f>
        <v/>
      </c>
      <c r="Q1461" t="n">
        <v>0</v>
      </c>
      <c r="R1461" t="n">
        <v>0</v>
      </c>
      <c r="S1461">
        <f>IFERROR(O1461/N1461,0)</f>
        <v/>
      </c>
      <c r="T1461">
        <f>IF(C1461,((H1461*B1494)/(1+Skills!H10*H1461*B1494)*N1461)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Hunt"),CHOOSE(ArtifactsInput!$N$35+1,15,18,21,24,27,30)*(1-EXP(-(0.2*B1484)*5)),0)+IF(AND(ArtifactsInput!$M$22,Inputs!$B$4&lt;&gt;"Chapter Hunt"),CHOOSE(ArtifactsInput!$N$22+1,10,12,14,16,18,20)*((0*(((0.15*B1484*5))^0/1)+1*(((0.15*B1484*5))^1/1)+2*(((0.15*B1484*5))^2/2)+3*(((0.15*B1484*5))^3/6)+4*(((0.15*B1484*5))^4/24)+5*(((0.15*B1484*5))^5/120))/((((0.15*B1484*5))^0/1)+(((0.15*B1484*5))^1/1)+(((0.15*B1484*5))^2/2)+(((0.15*B1484*5))^3/6)+(((0.15*B1484*5))^4/24)+(((0.15*B1484*5))^5/120))),0))+IF(Inputs!$B$3&gt;=54,9*(C1454=TRUE)*MIN(1,8*(1+Inputs!$B$34/100)*Q1454)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1461*(1-MIN(100,(Inputs!$B$9+((C1470=TRUE)*(F1470-Calc!F19))+B1482+(ArtifactsInput!$M$24-ArtifactsInput!$M$24)*CHOOSE(ArtifactsInput!$N$24+1,10,12,14,16,18,20)+(IF(AND(Inputs!$B$38&lt;&gt;"pvp",Inputs!$B$43=0),1,IF(IF(Inputs!$B$38="pvp",15,Inputs!$B$43)-(B1489)&lt;=0,1,MAX(0,IF(Inputs!$B$38="pvp",15,Inputs!$B$43)-MAX(5,B1489))/(IF(Inputs!$B$38="pvp",15,Inputs!$B$43)-(B1489))))*IF(AND(ArtifactsInput!$M$42,((Inputs!$B$9+((C1470=TRUE)*(F1470-Calc!F19))+B1482+(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M1461*(MIN(100,(Inputs!$B$9+((C1470=TRUE)*(F1470-Calc!F19))+B1482+(ArtifactsInput!$M$24-ArtifactsInput!$M$24)*CHOOSE(ArtifactsInput!$N$24+1,10,12,14,16,18,20)+(IF(AND(Inputs!$B$38&lt;&gt;"pvp",Inputs!$B$43=0),1,IF(IF(Inputs!$B$38="pvp",15,Inputs!$B$43)-(B1489)&lt;=0,1,MAX(0,IF(Inputs!$B$38="pvp",15,Inputs!$B$43)-MAX(5,B1489))/(IF(Inputs!$B$38="pvp",15,Inputs!$B$43)-(B1489))))*IF(AND(ArtifactsInput!$M$42,((Inputs!$B$9+((C1470=TRUE)*(F1470-Calc!F19))+B1482+(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L1461*(1-MIN(100,(Inputs!$B$9+((C1470=TRUE)*(F1470-Calc!F19))+B1482+(ArtifactsInput!$M$24-ArtifactsInput!$M$24)*CHOOSE(ArtifactsInput!$N$24+1,10,12,14,16,18,20)+(IF(AND(Inputs!$B$38&lt;&gt;"pvp",Inputs!$B$43=0),1,IF(IF(Inputs!$B$38="pvp",15,Inputs!$B$43)-(B1489)&lt;=0,1,MAX(0,IF(Inputs!$B$38="pvp",15,Inputs!$B$43)-MAX(5,B1489))/(IF(Inputs!$B$38="pvp",15,Inputs!$B$43)-(B1489))))*IF(AND(ArtifactsInput!$M$42,((Inputs!$B$9+((C1470=TRUE)*(F1470-Calc!F19))+B1482+(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M1461*(MIN(100,(Inputs!$B$9+((C1470=TRUE)*(F1470-Calc!F19))+B1482+(ArtifactsInput!$M$24-ArtifactsInput!$M$24)*CHOOSE(ArtifactsInput!$N$24+1,10,12,14,16,18,20)+(IF(AND(Inputs!$B$38&lt;&gt;"pvp",Inputs!$B$43=0),1,IF(IF(Inputs!$B$38="pvp",15,Inputs!$B$43)-(B1489)&lt;=0,1,MAX(0,IF(Inputs!$B$38="pvp",15,Inputs!$B$43)-MAX(5,B1489))/(IF(Inputs!$B$38="pvp",15,Inputs!$B$43)-(B1489))))*IF(AND(ArtifactsInput!$M$42,((Inputs!$B$9+((C1470=TRUE)*(F1470-Calc!F19))+B1482+(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461">
        <f>IF(C1461,((H1461*B1494)/(1+Skills!H10*H1461*B1494)*N1461)*IF(Inputs!$B$38="pvp",1,(1+(Inputs!$B$21+Skills!Q10+(IF(ArtifactsInput!$M$33,CHOOSE(ArtifactsInput!$N$33+1,30,36,42,48,54,60),0))+(IF(AND(ArtifactsInput!$M$35,Inputs!$B$4&lt;&gt;"Chapter Hunt"),CHOOSE(ArtifactsInput!$N$35+1,15,18,21,24,27,30)*(1-EXP(-(0.2*B1484)*5)),0)+IF(AND(ArtifactsInput!$M$22,Inputs!$B$4&lt;&gt;"Chapter Hunt"),CHOOSE(ArtifactsInput!$N$22+1,10,12,14,16,18,20)*((0*(((0.15*B1484*5))^0/1)+1*(((0.15*B1484*5))^1/1)+2*(((0.15*B1484*5))^2/2)+3*(((0.15*B1484*5))^3/6)+4*(((0.15*B1484*5))^4/24)+5*(((0.15*B1484*5))^5/120))/((((0.15*B1484*5))^0/1)+(((0.15*B1484*5))^1/1)+(((0.15*B1484*5))^2/2)+(((0.15*B1484*5))^3/6)+(((0.15*B1484*5))^4/24)+(((0.15*B1484*5))^5/120))),0))+IF(Inputs!$B$3&gt;=54,9*(C1454=TRUE)*MIN(1,8*(1+Inputs!$B$34/100)*Q1454),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62">
      <c r="A1462">
        <f>Skills!A11</f>
        <v/>
      </c>
      <c r="B1462">
        <f>Skills!B11</f>
        <v/>
      </c>
      <c r="C1462">
        <f>Inputs!$B$3&gt;=117</f>
        <v/>
      </c>
      <c r="D1462">
        <f>IF(Skills!C11=1,60+Inputs!$B$25+Inputs!$B$29,IF(Skills!C11=2,90+Inputs!$B$26+Inputs!$B$29,IF(Skills!C11=3,120+Inputs!$B$27+Inputs!$B$29,MAX(0,(Inputs!$B$3-100)*3)+Inputs!$B$28+Inputs!$B$29)))</f>
        <v/>
      </c>
      <c r="E1462">
        <f>INDEX(FactorTable!$B$2:$Y$301, MATCH(ROUND(MIN(300,MAX(1,D1462)),0), FactorTable!$A$2:$A$301,0), Skills!M11+1)</f>
        <v/>
      </c>
      <c r="F1462">
        <f>IF(Skills!N11=TRUE,(Skills!L11/10)*(E1462/1000),Skills!L11/10)+Skills!O11</f>
        <v/>
      </c>
      <c r="G1462">
        <f>Skills!G11*IF(Skills!H11&gt;0,INT(IF(Inputs!$B$38="pvp",MIN(Skills!I11,15),Skills!I11)/Skills!H11+0.000000001),1)</f>
        <v/>
      </c>
      <c r="H1462">
        <f>1-(1-Skills!J11/100)^Skills!K11</f>
        <v/>
      </c>
      <c r="I1462" t="inlineStr">
        <is>
          <t>1</t>
        </is>
      </c>
      <c r="J1462">
        <f>((Inputs!$B$6*(1+Inputs!$B$7/100))+(((Inputs!$B$12*(1+Inputs!$B$13/100))-(Inputs!$B$12*(1+Inputs!$B$13/100)))+0.25*(Inputs!$B$14-Inputs!$B$14))*(1+Inputs!$B$7/100))*(F1462/100)</f>
        <v/>
      </c>
      <c r="K1462">
        <f>J1462*(1+((Inputs!$B$12*(1+Inputs!$B$13/100))*0.01+Inputs!$B$14*0.0025)/100)*(1+Inputs!$B$15/100)*(1+Inputs!$B$16/100)*(5000/(6000+Inputs!$B$42*(1-(100*(1-(1-(Inputs!$B$19+0)/100)*(1-CHOOSE(ArtifactsInput!$N$40+1,5,6,7,8,9,10)/100)^(ArtifactsInput!$M$40-ArtifactsInput!$M$40)))/100)))*(1+(Inputs!$B$24+((C1477=TRUE)*(F1477-Calc!F26))+B1488)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IGHT_LEGS_EASTON",Inputs!$B$17+((C1474=TRUE)*(F1474-Calc!F23))+((C1478=TRUE)*(F1478-Calc!F27))+((IF(AND(Inputs!$B$38&lt;&gt;"pvp",Inputs!$B$43=0),1,IF(IF(Inputs!$B$38="pvp",15,Inputs!$B$43)-(B1489)&lt;=0,1,MAX(0,IF(Inputs!$B$38="pvp",15,Inputs!$B$43)-MAX(5,B1489))/(IF(Inputs!$B$38="pvp",15,Inputs!$B$43)-(B1489))))*(IF(AND(ArtifactsInput!$M$42,((Inputs!$B$9+((C1470=TRUE)*(F1470-Calc!F19))+B1482+(ArtifactsInput!$M$24-ArtifactsInput!$M$24)*CHOOSE(ArtifactsInput!$N$24+1,10,12,14,16,18,20)+IF(IF(ArtifactsInput!$M$10,FALSE,TRUE),CHOOSE(ArtifactsInput!$N$10+1,15,18,21,24,27,30)*(IF(Inputs!$B$38="pvp",MIN(15,15)/15,IF(AND(Inputs!$B$38&lt;&gt;"pvp",Inputs!$B$43&gt;0),MIN(15,Inputs!$B$43)/(Inputs!$B$43),0))),0)))&gt;=100),MIN(100,((Inputs!$B$9+((C1470=TRUE)*(F1470-Calc!F19))+B1482+(ArtifactsInput!$M$24-ArtifactsInput!$M$24)*CHOOSE(ArtifactsInput!$N$24+1,10,12,14,16,18,20)+IF(IF(ArtifactsInput!$M$10,FALSE,TRUE),CHOOSE(ArtifactsInput!$N$10+1,15,18,21,24,27,30)*(IF(Inputs!$B$38="pvp",MIN(15,15)/15,IF(AND(Inputs!$B$38&lt;&gt;"pvp",Inputs!$B$43&gt;0),MIN(15,Inputs!$B$43)/(Inputs!$B$43),0))),0)))-100),0))*CHOOSE(ArtifactsInput!$N$42+1,0.6,0.72,0.84,0.96,1.08,1.2))),Inputs!$B$18+0+(IF(AND(Inputs!$B$38&lt;&gt;"pvp",Inputs!$B$43=0),1,IF(IF(Inputs!$B$38="pvp",15,Inputs!$B$43)-(B1489)&lt;=0,1,MAX(0,IF(Inputs!$B$38="pvp",15,Inputs!$B$43)-MAX(5,B1489))/(IF(Inputs!$B$38="pvp",15,Inputs!$B$43)-(B1489))))*IF(AND(ArtifactsInput!$M$42,((Inputs!$B$9+((C1470=TRUE)*(F1470-Calc!F19))+B1482+(ArtifactsInput!$M$24-ArtifactsInput!$M$24)*CHOOSE(ArtifactsInput!$N$24+1,10,12,14,16,18,20)+IF(IF(ArtifactsInput!$M$10,FALSE,TRUE),CHOOSE(ArtifactsInput!$N$10+1,15,18,21,24,27,30)*(IF(Inputs!$B$38="pvp",MIN(15,15)/15,IF(AND(Inputs!$B$38&lt;&gt;"pvp",Inputs!$B$43&gt;0),MIN(15,Inputs!$B$43)/(Inputs!$B$43),0))),0)))&gt;=100),CHOOSE(ArtifactsInput!$N$42+1,40,48,56,64,72,80),0))))/100)*((1+(((C1468=TRUE)*F1468*5/7)+((C1475=TRUE)*(F1475-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1462)</f>
        <v/>
      </c>
      <c r="L1462">
        <f>K1462*(MIN(Inputs!$B$22+((C1473=TRUE)*(F1473-Calc!F22)),(Inputs!$B$23+0+(IF(ArtifactsInput!$M$15,CHOOSE(ArtifactsInput!$N$15+1,25,30,35,40,45,50)/100*(Inputs!$B$11-Inputs!$B$11),0))))/100+(Inputs!$B$23+0+(IF(ArtifactsInput!$M$15,CHOOSE(ArtifactsInput!$N$15+1,25,30,35,40,45,50)/100*(Inputs!$B$11-Inputs!$B$11),0)))/100)/2</f>
        <v/>
      </c>
      <c r="M1462">
        <f>L1462*(1+(Inputs!$B$10+((C1476=TRUE)*(F1476-Calc!F25))+B1487+(IF(ArtifactsInput!$M$24,CHOOSE(ArtifactsInput!$N$24+1,30,36,42,48,54,60)/100*(Inputs!$B$9-Inputs!$B$9),0)+IF(IF(ArtifactsInput!$M$10,FALSE,TRUE),CHOOSE(ArtifactsInput!$N$10+1,20,24,28,32,36,40)*(IF(Inputs!$B$38="pvp",MIN(15,15)/15,IF(AND(Inputs!$B$38&lt;&gt;"pvp",Inputs!$B$43&gt;0),MIN(15,Inputs!$B$43)/(Inputs!$B$43),0))),0)+IF(ArtifactsInput!$M$31,1.5*CHOOSE(ArtifactsInput!$N$31+1,20,24,28,32,36,40),0)))/100)</f>
        <v/>
      </c>
      <c r="N1462">
        <f>L1462*(1-MIN((Inputs!$B$9+((C1470=TRUE)*(F1470-Calc!F19))+B1482+(ArtifactsInput!$M$24-ArtifactsInput!$M$24)*CHOOSE(ArtifactsInput!$N$24+1,10,12,14,16,18,20)+(IF(AND(Inputs!$B$38&lt;&gt;"pvp",Inputs!$B$43=0),1,IF(IF(Inputs!$B$38="pvp",15,Inputs!$B$43)-(B1489)&lt;=0,1,MAX(0,IF(Inputs!$B$38="pvp",15,Inputs!$B$43)-MAX(5,B1489))/(IF(Inputs!$B$38="pvp",15,Inputs!$B$43)-(B1489))))*IF(AND(ArtifactsInput!$M$42,((Inputs!$B$9+((C1470=TRUE)*(F1470-Calc!F19))+B1482+(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M1462*(MIN((Inputs!$B$9+((C1470=TRUE)*(F1470-Calc!F19))+B1482+(ArtifactsInput!$M$24-ArtifactsInput!$M$24)*CHOOSE(ArtifactsInput!$N$24+1,10,12,14,16,18,20)+(IF(AND(Inputs!$B$38&lt;&gt;"pvp",Inputs!$B$43=0),1,IF(IF(Inputs!$B$38="pvp",15,Inputs!$B$43)-(B1489)&lt;=0,1,MAX(0,IF(Inputs!$B$38="pvp",15,Inputs!$B$43)-MAX(5,B1489))/(IF(Inputs!$B$38="pvp",15,Inputs!$B$43)-(B1489))))*IF(AND(ArtifactsInput!$M$42,((Inputs!$B$9+((C1470=TRUE)*(F1470-Calc!F19))+B1482+(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f>
        <v/>
      </c>
      <c r="O1462">
        <f>(1-Summary!$B$11)*T1462+Summary!$B$11*V1462</f>
        <v/>
      </c>
      <c r="P1462">
        <f>IF(B1492=0,0,O1462/B1492)</f>
        <v/>
      </c>
      <c r="Q1462">
        <f>IFERROR(1/((IF(Inputs!$B$38="pvp",15,MAX(0.1,Skills!D11-IF(TRUE=TRUE,Inputs!$B$32,0)))*(1-IF(AND(ArtifactsInput!$M$27,Inputs!$B$4="Chapter Hunt"),CHOOSE(ArtifactsInput!$N$27+1,20,24,28,32,36,40),0)/100))/B1493),0)</f>
        <v/>
      </c>
      <c r="R1462">
        <f>IF(AND(Inputs!$B$38&lt;&gt;"pvp",Inputs!$B$43&gt;0),IF(MAX(0,Inputs!$B$43-B1489)&lt;=0,0,(INT(MAX(0,Inputs!$B$43-B1489)/((IF(Inputs!$B$38="pvp",15,MAX(0.1,Skills!D11-IF(TRUE=TRUE,Inputs!$B$32,0)))*(1-IF(AND(ArtifactsInput!$M$27,Inputs!$B$4="Chapter Hunt"),CHOOSE(ArtifactsInput!$N$27+1,20,24,28,32,36,40),0)/100))/B1493))+1)),0)</f>
        <v/>
      </c>
      <c r="S1462">
        <f>IFERROR(O1462/N1462,0)</f>
        <v/>
      </c>
      <c r="T1462">
        <f>IF(C1462,(H1462*N1462*IF(AND(Inputs!$B$38&lt;&gt;"pvp",Inputs!$B$43&gt;0),((Skills!G11*((R1462-1)*IF(Skills!H11&gt;0,INT(Skills!I11/Skills!H11+0.000000001),1)+IF(Skills!H11&gt;0,INT(MIN(Skills!I11,MAX(0,MAX(0,Inputs!$B$43-B1489)-((R1462-1)*((IF(Inputs!$B$38="pvp",15,MAX(0.1,Skills!D11-IF(TRUE=TRUE,Inputs!$B$32,0)))*(1-IF(AND(ArtifactsInput!$M$27,Inputs!$B$4="Chapter Hunt"),CHOOSE(ArtifactsInput!$N$27+1,20,24,28,32,36,40),0)/100))/B1493))))/Skills!H11+0.000000001),1)))/Inputs!$B$43),G1462*Q1462)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Hunt"),CHOOSE(ArtifactsInput!$N$35+1,15,18,21,24,27,30)*(1-EXP(-(0.2*B1484)*5)),0)+IF(AND(ArtifactsInput!$M$22,Inputs!$B$4&lt;&gt;"Chapter Hunt"),CHOOSE(ArtifactsInput!$N$22+1,10,12,14,16,18,20)*((0*(((0.15*B1484*5))^0/1)+1*(((0.15*B1484*5))^1/1)+2*(((0.15*B1484*5))^2/2)+3*(((0.15*B1484*5))^3/6)+4*(((0.15*B1484*5))^4/24)+5*(((0.15*B1484*5))^5/120))/((((0.15*B1484*5))^0/1)+(((0.15*B1484*5))^1/1)+(((0.15*B1484*5))^2/2)+(((0.15*B1484*5))^3/6)+(((0.15*B1484*5))^4/24)+(((0.15*B1484*5))^5/120))),0))+IF(Inputs!$B$3&gt;=54,9*(C1454=TRUE)*MIN(1,8*(1+Inputs!$B$34/100)*Q1454)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1462*(1-MIN(100,(Inputs!$B$9+((C1470=TRUE)*(F1470-Calc!F19))+B1482+(ArtifactsInput!$M$24-ArtifactsInput!$M$24)*CHOOSE(ArtifactsInput!$N$24+1,10,12,14,16,18,20)+(IF(AND(Inputs!$B$38&lt;&gt;"pvp",Inputs!$B$43=0),1,IF(IF(Inputs!$B$38="pvp",15,Inputs!$B$43)-(B1489)&lt;=0,1,MAX(0,IF(Inputs!$B$38="pvp",15,Inputs!$B$43)-MAX(5,B1489))/(IF(Inputs!$B$38="pvp",15,Inputs!$B$43)-(B1489))))*IF(AND(ArtifactsInput!$M$42,((Inputs!$B$9+((C1470=TRUE)*(F1470-Calc!F19))+B1482+(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M1462*(MIN(100,(Inputs!$B$9+((C1470=TRUE)*(F1470-Calc!F19))+B1482+(ArtifactsInput!$M$24-ArtifactsInput!$M$24)*CHOOSE(ArtifactsInput!$N$24+1,10,12,14,16,18,20)+(IF(AND(Inputs!$B$38&lt;&gt;"pvp",Inputs!$B$43=0),1,IF(IF(Inputs!$B$38="pvp",15,Inputs!$B$43)-(B1489)&lt;=0,1,MAX(0,IF(Inputs!$B$38="pvp",15,Inputs!$B$43)-MAX(5,B1489))/(IF(Inputs!$B$38="pvp",15,Inputs!$B$43)-(B1489))))*IF(AND(ArtifactsInput!$M$42,((Inputs!$B$9+((C1470=TRUE)*(F1470-Calc!F19))+B1482+(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L1462*(1-MIN(100,(Inputs!$B$9+((C1470=TRUE)*(F1470-Calc!F19))+B1482+(ArtifactsInput!$M$24-ArtifactsInput!$M$24)*CHOOSE(ArtifactsInput!$N$24+1,10,12,14,16,18,20)+(IF(AND(Inputs!$B$38&lt;&gt;"pvp",Inputs!$B$43=0),1,IF(IF(Inputs!$B$38="pvp",15,Inputs!$B$43)-(B1489)&lt;=0,1,MAX(0,IF(Inputs!$B$38="pvp",15,Inputs!$B$43)-MAX(5,B1489))/(IF(Inputs!$B$38="pvp",15,Inputs!$B$43)-(B1489))))*IF(AND(ArtifactsInput!$M$42,((Inputs!$B$9+((C1470=TRUE)*(F1470-Calc!F19))+B1482+(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M1462*(MIN(100,(Inputs!$B$9+((C1470=TRUE)*(F1470-Calc!F19))+B1482+(ArtifactsInput!$M$24-ArtifactsInput!$M$24)*CHOOSE(ArtifactsInput!$N$24+1,10,12,14,16,18,20)+(IF(AND(Inputs!$B$38&lt;&gt;"pvp",Inputs!$B$43=0),1,IF(IF(Inputs!$B$38="pvp",15,Inputs!$B$43)-(B1489)&lt;=0,1,MAX(0,IF(Inputs!$B$38="pvp",15,Inputs!$B$43)-MAX(5,B1489))/(IF(Inputs!$B$38="pvp",15,Inputs!$B$43)-(B1489))))*IF(AND(ArtifactsInput!$M$42,((Inputs!$B$9+((C1470=TRUE)*(F1470-Calc!F19))+B1482+(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462">
        <f>IF(C1462,(H1462*N1462*IF(AND(Inputs!$B$38&lt;&gt;"pvp",Inputs!$B$43&gt;0),((Skills!G11*((R1462-1)*IF(Skills!H11&gt;0,INT(Skills!I11/Skills!H11+0.000000001),1)+IF(Skills!H11&gt;0,INT(MIN(Skills!I11,MAX(0,MAX(0,Inputs!$B$43-B1489)-((R1462-1)*((IF(Inputs!$B$38="pvp",15,MAX(0.1,Skills!D11-IF(TRUE=TRUE,Inputs!$B$32,0)))*(1-IF(AND(ArtifactsInput!$M$27,Inputs!$B$4="Chapter Hunt"),CHOOSE(ArtifactsInput!$N$27+1,20,24,28,32,36,40),0)/100))/B1493))))/Skills!H11+0.000000001),1)))/Inputs!$B$43),G1462*Q1462))*IF(Inputs!$B$38="pvp",1,(1+(Inputs!$B$21+Skills!Q11+(IF(ArtifactsInput!$M$33,CHOOSE(ArtifactsInput!$N$33+1,30,36,42,48,54,60),0))+(IF(AND(ArtifactsInput!$M$35,Inputs!$B$4&lt;&gt;"Chapter Hunt"),CHOOSE(ArtifactsInput!$N$35+1,15,18,21,24,27,30)*(1-EXP(-(0.2*B1484)*5)),0)+IF(AND(ArtifactsInput!$M$22,Inputs!$B$4&lt;&gt;"Chapter Hunt"),CHOOSE(ArtifactsInput!$N$22+1,10,12,14,16,18,20)*((0*(((0.15*B1484*5))^0/1)+1*(((0.15*B1484*5))^1/1)+2*(((0.15*B1484*5))^2/2)+3*(((0.15*B1484*5))^3/6)+4*(((0.15*B1484*5))^4/24)+5*(((0.15*B1484*5))^5/120))/((((0.15*B1484*5))^0/1)+(((0.15*B1484*5))^1/1)+(((0.15*B1484*5))^2/2)+(((0.15*B1484*5))^3/6)+(((0.15*B1484*5))^4/24)+(((0.15*B1484*5))^5/120))),0))+IF(Inputs!$B$3&gt;=54,9*(C1454=TRUE)*MIN(1,8*(1+Inputs!$B$34/100)*Q1454),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63">
      <c r="A1463">
        <f>Skills!A12</f>
        <v/>
      </c>
      <c r="B1463">
        <f>Skills!B12</f>
        <v/>
      </c>
      <c r="C1463">
        <f>Inputs!$B$3&gt;=110</f>
        <v/>
      </c>
      <c r="D1463">
        <f>IF(Skills!C12=1,60+Inputs!$B$25+Inputs!$B$29,IF(Skills!C12=2,90+Inputs!$B$26+Inputs!$B$29,IF(Skills!C12=3,120+Inputs!$B$27+Inputs!$B$29,MAX(0,(Inputs!$B$3-100)*3)+Inputs!$B$28+Inputs!$B$29)))</f>
        <v/>
      </c>
      <c r="E1463">
        <f>INDEX(FactorTable!$B$2:$Y$301, MATCH(ROUND(MIN(300,MAX(1,D1463)),0), FactorTable!$A$2:$A$301,0), Skills!M12+1)</f>
        <v/>
      </c>
      <c r="F1463">
        <f>IF(Skills!N12=TRUE,(Skills!L12/10)*(E1463/1000),Skills!L12/10)+Skills!O12</f>
        <v/>
      </c>
      <c r="G1463">
        <f>Skills!G12*IF(Skills!H12&gt;0,INT(IF(Inputs!$B$38="pvp",MIN(Skills!I12,15),Skills!I12)/Skills!H12+0.000000001),1)</f>
        <v/>
      </c>
      <c r="H1463">
        <f>1-(1-Skills!J12/100)^Skills!K12</f>
        <v/>
      </c>
      <c r="I1463" t="inlineStr">
        <is>
          <t>1</t>
        </is>
      </c>
      <c r="J1463">
        <f>((Inputs!$B$6*(1+Inputs!$B$7/100))+(((Inputs!$B$12*(1+Inputs!$B$13/100))-(Inputs!$B$12*(1+Inputs!$B$13/100)))+0.25*(Inputs!$B$14-Inputs!$B$14))*(1+Inputs!$B$7/100))*(F1463/100)</f>
        <v/>
      </c>
      <c r="K1463">
        <f>J1463*(1+((Inputs!$B$12*(1+Inputs!$B$13/100))*0.01+Inputs!$B$14*0.0025)/100)*(1+Inputs!$B$15/100)*(1+Inputs!$B$16/100)*(5000/(6000+Inputs!$B$42*(1-(100*(1-(1-(Inputs!$B$19+0)/100)*(1-CHOOSE(ArtifactsInput!$N$40+1,5,6,7,8,9,10)/100)^(ArtifactsInput!$M$40-ArtifactsInput!$M$40)))/100)))*(1+(Inputs!$B$24+((C1477=TRUE)*(F1477-Calc!F26))+B1488)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EIGHT_LEGS_EASTON",Inputs!$B$17+((C1474=TRUE)*(F1474-Calc!F23))+((C1478=TRUE)*(F1478-Calc!F27))+((IF(AND(Inputs!$B$38&lt;&gt;"pvp",Inputs!$B$43=0),1,IF(IF(Inputs!$B$38="pvp",15,Inputs!$B$43)-(B1489)&lt;=0,1,MAX(0,IF(Inputs!$B$38="pvp",15,Inputs!$B$43)-MAX(5,B1489))/(IF(Inputs!$B$38="pvp",15,Inputs!$B$43)-(B1489))))*(IF(AND(ArtifactsInput!$M$42,((Inputs!$B$9+((C1470=TRUE)*(F1470-Calc!F19))+B1482+(ArtifactsInput!$M$24-ArtifactsInput!$M$24)*CHOOSE(ArtifactsInput!$N$24+1,10,12,14,16,18,20)+IF(IF(ArtifactsInput!$M$10,FALSE,TRUE),CHOOSE(ArtifactsInput!$N$10+1,15,18,21,24,27,30)*(IF(Inputs!$B$38="pvp",MIN(15,15)/15,IF(AND(Inputs!$B$38&lt;&gt;"pvp",Inputs!$B$43&gt;0),MIN(15,Inputs!$B$43)/(Inputs!$B$43),0))),0)))&gt;=100),MIN(100,((Inputs!$B$9+((C1470=TRUE)*(F1470-Calc!F19))+B1482+(ArtifactsInput!$M$24-ArtifactsInput!$M$24)*CHOOSE(ArtifactsInput!$N$24+1,10,12,14,16,18,20)+IF(IF(ArtifactsInput!$M$10,FALSE,TRUE),CHOOSE(ArtifactsInput!$N$10+1,15,18,21,24,27,30)*(IF(Inputs!$B$38="pvp",MIN(15,15)/15,IF(AND(Inputs!$B$38&lt;&gt;"pvp",Inputs!$B$43&gt;0),MIN(15,Inputs!$B$43)/(Inputs!$B$43),0))),0)))-100),0))*CHOOSE(ArtifactsInput!$N$42+1,0.6,0.72,0.84,0.96,1.08,1.2))),Inputs!$B$18+0+(IF(AND(Inputs!$B$38&lt;&gt;"pvp",Inputs!$B$43=0),1,IF(IF(Inputs!$B$38="pvp",15,Inputs!$B$43)-(B1489)&lt;=0,1,MAX(0,IF(Inputs!$B$38="pvp",15,Inputs!$B$43)-MAX(5,B1489))/(IF(Inputs!$B$38="pvp",15,Inputs!$B$43)-(B1489))))*IF(AND(ArtifactsInput!$M$42,((Inputs!$B$9+((C1470=TRUE)*(F1470-Calc!F19))+B1482+(ArtifactsInput!$M$24-ArtifactsInput!$M$24)*CHOOSE(ArtifactsInput!$N$24+1,10,12,14,16,18,20)+IF(IF(ArtifactsInput!$M$10,FALSE,TRUE),CHOOSE(ArtifactsInput!$N$10+1,15,18,21,24,27,30)*(IF(Inputs!$B$38="pvp",MIN(15,15)/15,IF(AND(Inputs!$B$38&lt;&gt;"pvp",Inputs!$B$43&gt;0),MIN(15,Inputs!$B$43)/(Inputs!$B$43),0))),0)))&gt;=100),CHOOSE(ArtifactsInput!$N$42+1,40,48,56,64,72,80),0))))/100)*((1+(((C1468=TRUE)*F1468*5/7)+((C1475=TRUE)*(F1475-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1463)</f>
        <v/>
      </c>
      <c r="L1463">
        <f>K1463*(MIN(Inputs!$B$22+((C1473=TRUE)*(F1473-Calc!F22)),(Inputs!$B$23+0+(IF(ArtifactsInput!$M$15,CHOOSE(ArtifactsInput!$N$15+1,25,30,35,40,45,50)/100*(Inputs!$B$11-Inputs!$B$11),0))))/100+(Inputs!$B$23+0+(IF(ArtifactsInput!$M$15,CHOOSE(ArtifactsInput!$N$15+1,25,30,35,40,45,50)/100*(Inputs!$B$11-Inputs!$B$11),0)))/100)/2</f>
        <v/>
      </c>
      <c r="M1463">
        <f>L1463*(1+(Inputs!$B$10+((C1476=TRUE)*(F1476-Calc!F25))+B1487+(IF(ArtifactsInput!$M$24,CHOOSE(ArtifactsInput!$N$24+1,30,36,42,48,54,60)/100*(Inputs!$B$9-Inputs!$B$9),0)+IF(IF(ArtifactsInput!$M$10,FALSE,TRUE),CHOOSE(ArtifactsInput!$N$10+1,20,24,28,32,36,40)*(IF(Inputs!$B$38="pvp",MIN(15,15)/15,IF(AND(Inputs!$B$38&lt;&gt;"pvp",Inputs!$B$43&gt;0),MIN(15,Inputs!$B$43)/(Inputs!$B$43),0))),0)+IF(ArtifactsInput!$M$31,1.5*CHOOSE(ArtifactsInput!$N$31+1,20,24,28,32,36,40),0)))/100)</f>
        <v/>
      </c>
      <c r="N1463">
        <f>L1463*(1-MIN((Inputs!$B$9+((C1470=TRUE)*(F1470-Calc!F19))+B1482+(ArtifactsInput!$M$24-ArtifactsInput!$M$24)*CHOOSE(ArtifactsInput!$N$24+1,10,12,14,16,18,20)+(IF(AND(Inputs!$B$38&lt;&gt;"pvp",Inputs!$B$43=0),1,IF(IF(Inputs!$B$38="pvp",15,Inputs!$B$43)-(B1489)&lt;=0,1,MAX(0,IF(Inputs!$B$38="pvp",15,Inputs!$B$43)-MAX(5,B1489))/(IF(Inputs!$B$38="pvp",15,Inputs!$B$43)-(B1489))))*IF(AND(ArtifactsInput!$M$42,((Inputs!$B$9+((C1470=TRUE)*(F1470-Calc!F19))+B1482+(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M1463*(MIN((Inputs!$B$9+((C1470=TRUE)*(F1470-Calc!F19))+B1482+(ArtifactsInput!$M$24-ArtifactsInput!$M$24)*CHOOSE(ArtifactsInput!$N$24+1,10,12,14,16,18,20)+(IF(AND(Inputs!$B$38&lt;&gt;"pvp",Inputs!$B$43=0),1,IF(IF(Inputs!$B$38="pvp",15,Inputs!$B$43)-(B1489)&lt;=0,1,MAX(0,IF(Inputs!$B$38="pvp",15,Inputs!$B$43)-MAX(5,B1489))/(IF(Inputs!$B$38="pvp",15,Inputs!$B$43)-(B1489))))*IF(AND(ArtifactsInput!$M$42,((Inputs!$B$9+((C1470=TRUE)*(F1470-Calc!F19))+B1482+(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f>
        <v/>
      </c>
      <c r="O1463">
        <f>(1-Summary!$B$11)*T1463+Summary!$B$11*V1463</f>
        <v/>
      </c>
      <c r="P1463">
        <f>IF(B1492=0,0,O1463/B1492)</f>
        <v/>
      </c>
      <c r="Q1463">
        <f>IFERROR(1/(IF(Inputs!$B$38="pvp",15,MAX(0.1,Skills!D12-IF(TRUE=TRUE,Inputs!$B$32,0)))*(1-IF(AND(ArtifactsInput!$M$27,Inputs!$B$4="Chapter Hunt"),CHOOSE(ArtifactsInput!$N$27+1,20,24,28,32,36,40),0)/100)),0)</f>
        <v/>
      </c>
      <c r="R1463">
        <f>IF(AND(Inputs!$B$38&lt;&gt;"pvp",Inputs!$B$43&gt;0),IF(MAX(0,Inputs!$B$43-B1489)&lt;=0,0,(INT(MAX(0,Inputs!$B$43-B1489)/(IF(Inputs!$B$38="pvp",15,MAX(0.1,Skills!D12-IF(TRUE=TRUE,Inputs!$B$32,0)))*(1-IF(AND(ArtifactsInput!$M$27,Inputs!$B$4="Chapter Hunt"),CHOOSE(ArtifactsInput!$N$27+1,20,24,28,32,36,40),0)/100)))+1)),0)</f>
        <v/>
      </c>
      <c r="S1463">
        <f>IFERROR(O1463/N1463,0)</f>
        <v/>
      </c>
      <c r="T1463">
        <f>IF(C1463,(H1463*N1463*IF(AND(Inputs!$B$38&lt;&gt;"pvp",Inputs!$B$43&gt;0),((Skills!G12*((R1463-1)*IF(Skills!H12&gt;0,INT(Skills!I12/Skills!H12+0.000000001),1)+IF(Skills!H12&gt;0,INT(MIN(Skills!I12,MAX(0,MAX(0,Inputs!$B$43-B1489)-((R1463-1)*(IF(Inputs!$B$38="pvp",15,MAX(0.1,Skills!D12-IF(TRUE=TRUE,Inputs!$B$32,0)))*(1-IF(AND(ArtifactsInput!$M$27,Inputs!$B$4="Chapter Hunt"),CHOOSE(ArtifactsInput!$N$27+1,20,24,28,32,36,40),0)/100)))))/Skills!H12+0.000000001),1)))/Inputs!$B$43),G1463*Q1463))*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Hunt"),CHOOSE(ArtifactsInput!$N$35+1,15,18,21,24,27,30)*(1-EXP(-(0.2*B1484)*5)),0)+IF(AND(ArtifactsInput!$M$22,Inputs!$B$4&lt;&gt;"Chapter Hunt"),CHOOSE(ArtifactsInput!$N$22+1,10,12,14,16,18,20)*((0*(((0.15*B1484*5))^0/1)+1*(((0.15*B1484*5))^1/1)+2*(((0.15*B1484*5))^2/2)+3*(((0.15*B1484*5))^3/6)+4*(((0.15*B1484*5))^4/24)+5*(((0.15*B1484*5))^5/120))/((((0.15*B1484*5))^0/1)+(((0.15*B1484*5))^1/1)+(((0.15*B1484*5))^2/2)+(((0.15*B1484*5))^3/6)+(((0.15*B1484*5))^4/24)+(((0.15*B1484*5))^5/120))),0))+IF(Inputs!$B$3&gt;=54,9*(C1454=TRUE)*MIN(1,8*(1+Inputs!$B$34/100)*Q1454)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1463*(1-MIN(100,(Inputs!$B$9+((C1470=TRUE)*(F1470-Calc!F19))+B1482+(ArtifactsInput!$M$24-ArtifactsInput!$M$24)*CHOOSE(ArtifactsInput!$N$24+1,10,12,14,16,18,20)+(IF(AND(Inputs!$B$38&lt;&gt;"pvp",Inputs!$B$43=0),1,IF(IF(Inputs!$B$38="pvp",15,Inputs!$B$43)-(B1489)&lt;=0,1,MAX(0,IF(Inputs!$B$38="pvp",15,Inputs!$B$43)-MAX(5,B1489))/(IF(Inputs!$B$38="pvp",15,Inputs!$B$43)-(B1489))))*IF(AND(ArtifactsInput!$M$42,((Inputs!$B$9+((C1470=TRUE)*(F1470-Calc!F19))+B1482+(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M1463*(MIN(100,(Inputs!$B$9+((C1470=TRUE)*(F1470-Calc!F19))+B1482+(ArtifactsInput!$M$24-ArtifactsInput!$M$24)*CHOOSE(ArtifactsInput!$N$24+1,10,12,14,16,18,20)+(IF(AND(Inputs!$B$38&lt;&gt;"pvp",Inputs!$B$43=0),1,IF(IF(Inputs!$B$38="pvp",15,Inputs!$B$43)-(B1489)&lt;=0,1,MAX(0,IF(Inputs!$B$38="pvp",15,Inputs!$B$43)-MAX(5,B1489))/(IF(Inputs!$B$38="pvp",15,Inputs!$B$43)-(B1489))))*IF(AND(ArtifactsInput!$M$42,((Inputs!$B$9+((C1470=TRUE)*(F1470-Calc!F19))+B1482+(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L1463*(1-MIN(100,(Inputs!$B$9+((C1470=TRUE)*(F1470-Calc!F19))+B1482+(ArtifactsInput!$M$24-ArtifactsInput!$M$24)*CHOOSE(ArtifactsInput!$N$24+1,10,12,14,16,18,20)+(IF(AND(Inputs!$B$38&lt;&gt;"pvp",Inputs!$B$43=0),1,IF(IF(Inputs!$B$38="pvp",15,Inputs!$B$43)-(B1489)&lt;=0,1,MAX(0,IF(Inputs!$B$38="pvp",15,Inputs!$B$43)-MAX(5,B1489))/(IF(Inputs!$B$38="pvp",15,Inputs!$B$43)-(B1489))))*IF(AND(ArtifactsInput!$M$42,((Inputs!$B$9+((C1470=TRUE)*(F1470-Calc!F19))+B1482+(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M1463*(MIN(100,(Inputs!$B$9+((C1470=TRUE)*(F1470-Calc!F19))+B1482+(ArtifactsInput!$M$24-ArtifactsInput!$M$24)*CHOOSE(ArtifactsInput!$N$24+1,10,12,14,16,18,20)+(IF(AND(Inputs!$B$38&lt;&gt;"pvp",Inputs!$B$43=0),1,IF(IF(Inputs!$B$38="pvp",15,Inputs!$B$43)-(B1489)&lt;=0,1,MAX(0,IF(Inputs!$B$38="pvp",15,Inputs!$B$43)-MAX(5,B1489))/(IF(Inputs!$B$38="pvp",15,Inputs!$B$43)-(B1489))))*IF(AND(ArtifactsInput!$M$42,((Inputs!$B$9+((C1470=TRUE)*(F1470-Calc!F19))+B1482+(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463">
        <f>IF(C1463,(H1463*N1463*IF(AND(Inputs!$B$38&lt;&gt;"pvp",Inputs!$B$43&gt;0),((Skills!G12*((R1463-1)*IF(Skills!H12&gt;0,INT(Skills!I12/Skills!H12+0.000000001),1)+IF(Skills!H12&gt;0,INT(MIN(Skills!I12,MAX(0,MAX(0,Inputs!$B$43-B1489)-((R1463-1)*(IF(Inputs!$B$38="pvp",15,MAX(0.1,Skills!D12-IF(TRUE=TRUE,Inputs!$B$32,0)))*(1-IF(AND(ArtifactsInput!$M$27,Inputs!$B$4="Chapter Hunt"),CHOOSE(ArtifactsInput!$N$27+1,20,24,28,32,36,40),0)/100)))))/Skills!H12+0.000000001),1)))/Inputs!$B$43),G1463*Q1463))*IF(Inputs!$B$38="pvp",1,(1+(Inputs!$B$21+Skills!Q12+(IF(ArtifactsInput!$M$33,CHOOSE(ArtifactsInput!$N$33+1,30,36,42,48,54,60),0))+(IF(AND(ArtifactsInput!$M$35,Inputs!$B$4&lt;&gt;"Chapter Hunt"),CHOOSE(ArtifactsInput!$N$35+1,15,18,21,24,27,30)*(1-EXP(-(0.2*B1484)*5)),0)+IF(AND(ArtifactsInput!$M$22,Inputs!$B$4&lt;&gt;"Chapter Hunt"),CHOOSE(ArtifactsInput!$N$22+1,10,12,14,16,18,20)*((0*(((0.15*B1484*5))^0/1)+1*(((0.15*B1484*5))^1/1)+2*(((0.15*B1484*5))^2/2)+3*(((0.15*B1484*5))^3/6)+4*(((0.15*B1484*5))^4/24)+5*(((0.15*B1484*5))^5/120))/((((0.15*B1484*5))^0/1)+(((0.15*B1484*5))^1/1)+(((0.15*B1484*5))^2/2)+(((0.15*B1484*5))^3/6)+(((0.15*B1484*5))^4/24)+(((0.15*B1484*5))^5/120))),0))+IF(Inputs!$B$3&gt;=54,9*(C1454=TRUE)*MIN(1,8*(1+Inputs!$B$34/100)*Q1454),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64">
      <c r="A1464">
        <f>Skills!A13</f>
        <v/>
      </c>
      <c r="B1464">
        <f>Skills!B13</f>
        <v/>
      </c>
      <c r="C1464">
        <f>Inputs!$B$3&gt;=110</f>
        <v/>
      </c>
      <c r="D1464">
        <f>IF(Skills!C13=1,60+Inputs!$B$25+Inputs!$B$29,IF(Skills!C13=2,90+Inputs!$B$26+Inputs!$B$29,IF(Skills!C13=3,120+Inputs!$B$27+Inputs!$B$29,MAX(0,(Inputs!$B$3-100)*3)+Inputs!$B$28+Inputs!$B$29)))</f>
        <v/>
      </c>
      <c r="E1464">
        <f>INDEX(FactorTable!$B$2:$Y$301, MATCH(ROUND(MIN(300,MAX(1,D1464)),0), FactorTable!$A$2:$A$301,0), Skills!M13+1)</f>
        <v/>
      </c>
      <c r="F1464">
        <f>IF(Skills!N13=TRUE,(Skills!L13/10)*(E1464/1000),Skills!L13/10)+Skills!O13</f>
        <v/>
      </c>
      <c r="G1464">
        <f>Skills!G13*IF(Skills!H13&gt;0,INT(IF(Inputs!$B$38="pvp",MIN(Skills!I13,15),Skills!I13)/Skills!H13+0.000000001),1)</f>
        <v/>
      </c>
      <c r="H1464">
        <f>1-(1-Skills!J13/100)^Skills!K13</f>
        <v/>
      </c>
      <c r="I1464" t="inlineStr">
        <is>
          <t>1</t>
        </is>
      </c>
      <c r="J1464">
        <f>((Inputs!$B$6*(1+Inputs!$B$7/100))+(((Inputs!$B$12*(1+Inputs!$B$13/100))-(Inputs!$B$12*(1+Inputs!$B$13/100)))+0.25*(Inputs!$B$14-Inputs!$B$14))*(1+Inputs!$B$7/100))*(F1464/100)</f>
        <v/>
      </c>
      <c r="K1464">
        <f>J1464*(1+((Inputs!$B$12*(1+Inputs!$B$13/100))*0.01+Inputs!$B$14*0.0025)/100)*(1+Inputs!$B$15/100)*(1+Inputs!$B$16/100)*(5000/(6000+Inputs!$B$42*(1-(100*(1-(1-(Inputs!$B$19+0)/100)*(1-CHOOSE(ArtifactsInput!$N$40+1,5,6,7,8,9,10)/100)^(ArtifactsInput!$M$40-ArtifactsInput!$M$40)))/100)))*(1+(Inputs!$B$24+((C1477=TRUE)*(F1477-Calc!F26))+B1488)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EIGHT_LEGS_EASTON",Inputs!$B$17+((C1474=TRUE)*(F1474-Calc!F23))+((C1478=TRUE)*(F1478-Calc!F27))+((IF(AND(Inputs!$B$38&lt;&gt;"pvp",Inputs!$B$43=0),1,IF(IF(Inputs!$B$38="pvp",15,Inputs!$B$43)-(B1489)&lt;=0,1,MAX(0,IF(Inputs!$B$38="pvp",15,Inputs!$B$43)-MAX(5,B1489))/(IF(Inputs!$B$38="pvp",15,Inputs!$B$43)-(B1489))))*(IF(AND(ArtifactsInput!$M$42,((Inputs!$B$9+((C1470=TRUE)*(F1470-Calc!F19))+B1482+(ArtifactsInput!$M$24-ArtifactsInput!$M$24)*CHOOSE(ArtifactsInput!$N$24+1,10,12,14,16,18,20)+IF(IF(ArtifactsInput!$M$10,FALSE,TRUE),CHOOSE(ArtifactsInput!$N$10+1,15,18,21,24,27,30)*(IF(Inputs!$B$38="pvp",MIN(15,15)/15,IF(AND(Inputs!$B$38&lt;&gt;"pvp",Inputs!$B$43&gt;0),MIN(15,Inputs!$B$43)/(Inputs!$B$43),0))),0)))&gt;=100),MIN(100,((Inputs!$B$9+((C1470=TRUE)*(F1470-Calc!F19))+B1482+(ArtifactsInput!$M$24-ArtifactsInput!$M$24)*CHOOSE(ArtifactsInput!$N$24+1,10,12,14,16,18,20)+IF(IF(ArtifactsInput!$M$10,FALSE,TRUE),CHOOSE(ArtifactsInput!$N$10+1,15,18,21,24,27,30)*(IF(Inputs!$B$38="pvp",MIN(15,15)/15,IF(AND(Inputs!$B$38&lt;&gt;"pvp",Inputs!$B$43&gt;0),MIN(15,Inputs!$B$43)/(Inputs!$B$43),0))),0)))-100),0))*CHOOSE(ArtifactsInput!$N$42+1,0.6,0.72,0.84,0.96,1.08,1.2))),Inputs!$B$18+0+(IF(AND(Inputs!$B$38&lt;&gt;"pvp",Inputs!$B$43=0),1,IF(IF(Inputs!$B$38="pvp",15,Inputs!$B$43)-(B1489)&lt;=0,1,MAX(0,IF(Inputs!$B$38="pvp",15,Inputs!$B$43)-MAX(5,B1489))/(IF(Inputs!$B$38="pvp",15,Inputs!$B$43)-(B1489))))*IF(AND(ArtifactsInput!$M$42,((Inputs!$B$9+((C1470=TRUE)*(F1470-Calc!F19))+B1482+(ArtifactsInput!$M$24-ArtifactsInput!$M$24)*CHOOSE(ArtifactsInput!$N$24+1,10,12,14,16,18,20)+IF(IF(ArtifactsInput!$M$10,FALSE,TRUE),CHOOSE(ArtifactsInput!$N$10+1,15,18,21,24,27,30)*(IF(Inputs!$B$38="pvp",MIN(15,15)/15,IF(AND(Inputs!$B$38&lt;&gt;"pvp",Inputs!$B$43&gt;0),MIN(15,Inputs!$B$43)/(Inputs!$B$43),0))),0)))&gt;=100),CHOOSE(ArtifactsInput!$N$42+1,40,48,56,64,72,80),0))))/100)*((1+(((C1468=TRUE)*F1468*5/7)+((C1475=TRUE)*(F1475-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1464)</f>
        <v/>
      </c>
      <c r="L1464">
        <f>K1464*(MIN(Inputs!$B$22+((C1473=TRUE)*(F1473-Calc!F22)),(Inputs!$B$23+0+(IF(ArtifactsInput!$M$15,CHOOSE(ArtifactsInput!$N$15+1,25,30,35,40,45,50)/100*(Inputs!$B$11-Inputs!$B$11),0))))/100+(Inputs!$B$23+0+(IF(ArtifactsInput!$M$15,CHOOSE(ArtifactsInput!$N$15+1,25,30,35,40,45,50)/100*(Inputs!$B$11-Inputs!$B$11),0)))/100)/2</f>
        <v/>
      </c>
      <c r="M1464">
        <f>L1464*(1+(Inputs!$B$10+((C1476=TRUE)*(F1476-Calc!F25))+B1487+(IF(ArtifactsInput!$M$24,CHOOSE(ArtifactsInput!$N$24+1,30,36,42,48,54,60)/100*(Inputs!$B$9-Inputs!$B$9),0)+IF(IF(ArtifactsInput!$M$10,FALSE,TRUE),CHOOSE(ArtifactsInput!$N$10+1,20,24,28,32,36,40)*(IF(Inputs!$B$38="pvp",MIN(15,15)/15,IF(AND(Inputs!$B$38&lt;&gt;"pvp",Inputs!$B$43&gt;0),MIN(15,Inputs!$B$43)/(Inputs!$B$43),0))),0)+IF(ArtifactsInput!$M$31,1.5*CHOOSE(ArtifactsInput!$N$31+1,20,24,28,32,36,40),0)))/100)</f>
        <v/>
      </c>
      <c r="N1464">
        <f>L1464*(1-MIN((Inputs!$B$9+((C1470=TRUE)*(F1470-Calc!F19))+B1482+(ArtifactsInput!$M$24-ArtifactsInput!$M$24)*CHOOSE(ArtifactsInput!$N$24+1,10,12,14,16,18,20)+(IF(AND(Inputs!$B$38&lt;&gt;"pvp",Inputs!$B$43=0),1,IF(IF(Inputs!$B$38="pvp",15,Inputs!$B$43)-(B1489)&lt;=0,1,MAX(0,IF(Inputs!$B$38="pvp",15,Inputs!$B$43)-MAX(5,B1489))/(IF(Inputs!$B$38="pvp",15,Inputs!$B$43)-(B1489))))*IF(AND(ArtifactsInput!$M$42,((Inputs!$B$9+((C1470=TRUE)*(F1470-Calc!F19))+B1482+(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M1464*(MIN((Inputs!$B$9+((C1470=TRUE)*(F1470-Calc!F19))+B1482+(ArtifactsInput!$M$24-ArtifactsInput!$M$24)*CHOOSE(ArtifactsInput!$N$24+1,10,12,14,16,18,20)+(IF(AND(Inputs!$B$38&lt;&gt;"pvp",Inputs!$B$43=0),1,IF(IF(Inputs!$B$38="pvp",15,Inputs!$B$43)-(B1489)&lt;=0,1,MAX(0,IF(Inputs!$B$38="pvp",15,Inputs!$B$43)-MAX(5,B1489))/(IF(Inputs!$B$38="pvp",15,Inputs!$B$43)-(B1489))))*IF(AND(ArtifactsInput!$M$42,((Inputs!$B$9+((C1470=TRUE)*(F1470-Calc!F19))+B1482+(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f>
        <v/>
      </c>
      <c r="O1464">
        <f>(1-Summary!$B$11)*T1464+Summary!$B$11*V1464</f>
        <v/>
      </c>
      <c r="P1464">
        <f>IF(B1492=0,0,O1464/B1492)</f>
        <v/>
      </c>
      <c r="Q1464">
        <f>IFERROR(1/(IF(Inputs!$B$38="pvp",15,MAX(0.1,Skills!D13-IF(TRUE=TRUE,Inputs!$B$32,0)))*(1-IF(AND(ArtifactsInput!$M$27,Inputs!$B$4="Chapter Hunt"),CHOOSE(ArtifactsInput!$N$27+1,20,24,28,32,36,40),0)/100)),0)</f>
        <v/>
      </c>
      <c r="R1464">
        <f>IF(AND(Inputs!$B$38&lt;&gt;"pvp",Inputs!$B$43&gt;0),IF(MAX(0,Inputs!$B$43-B1489)&lt;=0,0,(INT(MAX(0,Inputs!$B$43-B1489)/(IF(Inputs!$B$38="pvp",15,MAX(0.1,Skills!D13-IF(TRUE=TRUE,Inputs!$B$32,0)))*(1-IF(AND(ArtifactsInput!$M$27,Inputs!$B$4="Chapter Hunt"),CHOOSE(ArtifactsInput!$N$27+1,20,24,28,32,36,40),0)/100)))+1)),0)</f>
        <v/>
      </c>
      <c r="S1464">
        <f>IFERROR(O1464/N1464,0)</f>
        <v/>
      </c>
      <c r="T1464">
        <f>IF(C1464,(H1464*N1464*IF(AND(Inputs!$B$38&lt;&gt;"pvp",Inputs!$B$43&gt;0),((Skills!G13*((R1464-1)*IF(Skills!H13&gt;0,INT(Skills!I13/Skills!H13+0.000000001),1)+IF(Skills!H13&gt;0,INT(MIN(Skills!I13,MAX(0,MAX(0,Inputs!$B$43-B1489)-((R1464-1)*(IF(Inputs!$B$38="pvp",15,MAX(0.1,Skills!D13-IF(TRUE=TRUE,Inputs!$B$32,0)))*(1-IF(AND(ArtifactsInput!$M$27,Inputs!$B$4="Chapter Hunt"),CHOOSE(ArtifactsInput!$N$27+1,20,24,28,32,36,40),0)/100)))))/Skills!H13+0.000000001),1)))/Inputs!$B$43),G1464*Q1464))*IF(Inputs!$B$38="pvp",1,1+(Inputs!$B$20+0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Hunt"),CHOOSE(ArtifactsInput!$N$35+1,15,18,21,24,27,30)*(1-EXP(-(0.2*B1484)*5)),0)+IF(AND(ArtifactsInput!$M$22,Inputs!$B$4&lt;&gt;"Chapter Hunt"),CHOOSE(ArtifactsInput!$N$22+1,10,12,14,16,18,20)*((0*(((0.15*B1484*5))^0/1)+1*(((0.15*B1484*5))^1/1)+2*(((0.15*B1484*5))^2/2)+3*(((0.15*B1484*5))^3/6)+4*(((0.15*B1484*5))^4/24)+5*(((0.15*B1484*5))^5/120))/((((0.15*B1484*5))^0/1)+(((0.15*B1484*5))^1/1)+(((0.15*B1484*5))^2/2)+(((0.15*B1484*5))^3/6)+(((0.15*B1484*5))^4/24)+(((0.15*B1484*5))^5/120))),0))+IF(Inputs!$B$3&gt;=54,9*(C1454=TRUE)*MIN(1,8*(1+Inputs!$B$34/100)*Q1454)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1464*(1-MIN(100,(Inputs!$B$9+((C1470=TRUE)*(F1470-Calc!F19))+B1482+(ArtifactsInput!$M$24-ArtifactsInput!$M$24)*CHOOSE(ArtifactsInput!$N$24+1,10,12,14,16,18,20)+(IF(AND(Inputs!$B$38&lt;&gt;"pvp",Inputs!$B$43=0),1,IF(IF(Inputs!$B$38="pvp",15,Inputs!$B$43)-(B1489)&lt;=0,1,MAX(0,IF(Inputs!$B$38="pvp",15,Inputs!$B$43)-MAX(5,B1489))/(IF(Inputs!$B$38="pvp",15,Inputs!$B$43)-(B1489))))*IF(AND(ArtifactsInput!$M$42,((Inputs!$B$9+((C1470=TRUE)*(F1470-Calc!F19))+B1482+(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M1464*(MIN(100,(Inputs!$B$9+((C1470=TRUE)*(F1470-Calc!F19))+B1482+(ArtifactsInput!$M$24-ArtifactsInput!$M$24)*CHOOSE(ArtifactsInput!$N$24+1,10,12,14,16,18,20)+(IF(AND(Inputs!$B$38&lt;&gt;"pvp",Inputs!$B$43=0),1,IF(IF(Inputs!$B$38="pvp",15,Inputs!$B$43)-(B1489)&lt;=0,1,MAX(0,IF(Inputs!$B$38="pvp",15,Inputs!$B$43)-MAX(5,B1489))/(IF(Inputs!$B$38="pvp",15,Inputs!$B$43)-(B1489))))*IF(AND(ArtifactsInput!$M$42,((Inputs!$B$9+((C1470=TRUE)*(F1470-Calc!F19))+B1482+(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L1464*(1-MIN(100,(Inputs!$B$9+((C1470=TRUE)*(F1470-Calc!F19))+B1482+(ArtifactsInput!$M$24-ArtifactsInput!$M$24)*CHOOSE(ArtifactsInput!$N$24+1,10,12,14,16,18,20)+(IF(AND(Inputs!$B$38&lt;&gt;"pvp",Inputs!$B$43=0),1,IF(IF(Inputs!$B$38="pvp",15,Inputs!$B$43)-(B1489)&lt;=0,1,MAX(0,IF(Inputs!$B$38="pvp",15,Inputs!$B$43)-MAX(5,B1489))/(IF(Inputs!$B$38="pvp",15,Inputs!$B$43)-(B1489))))*IF(AND(ArtifactsInput!$M$42,((Inputs!$B$9+((C1470=TRUE)*(F1470-Calc!F19))+B1482+(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M1464*(MIN(100,(Inputs!$B$9+((C1470=TRUE)*(F1470-Calc!F19))+B1482+(ArtifactsInput!$M$24-ArtifactsInput!$M$24)*CHOOSE(ArtifactsInput!$N$24+1,10,12,14,16,18,20)+(IF(AND(Inputs!$B$38&lt;&gt;"pvp",Inputs!$B$43=0),1,IF(IF(Inputs!$B$38="pvp",15,Inputs!$B$43)-(B1489)&lt;=0,1,MAX(0,IF(Inputs!$B$38="pvp",15,Inputs!$B$43)-MAX(5,B1489))/(IF(Inputs!$B$38="pvp",15,Inputs!$B$43)-(B1489))))*IF(AND(ArtifactsInput!$M$42,((Inputs!$B$9+((C1470=TRUE)*(F1470-Calc!F19))+B1482+(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464">
        <f>IF(C1464,(H1464*N1464*IF(AND(Inputs!$B$38&lt;&gt;"pvp",Inputs!$B$43&gt;0),((Skills!G13*((R1464-1)*IF(Skills!H13&gt;0,INT(Skills!I13/Skills!H13+0.000000001),1)+IF(Skills!H13&gt;0,INT(MIN(Skills!I13,MAX(0,MAX(0,Inputs!$B$43-B1489)-((R1464-1)*(IF(Inputs!$B$38="pvp",15,MAX(0.1,Skills!D13-IF(TRUE=TRUE,Inputs!$B$32,0)))*(1-IF(AND(ArtifactsInput!$M$27,Inputs!$B$4="Chapter Hunt"),CHOOSE(ArtifactsInput!$N$27+1,20,24,28,32,36,40),0)/100)))))/Skills!H13+0.000000001),1)))/Inputs!$B$43),G1464*Q1464))*IF(Inputs!$B$38="pvp",1,(1+(Inputs!$B$21+Skills!Q13+(IF(ArtifactsInput!$M$33,CHOOSE(ArtifactsInput!$N$33+1,30,36,42,48,54,60),0))+(IF(AND(ArtifactsInput!$M$35,Inputs!$B$4&lt;&gt;"Chapter Hunt"),CHOOSE(ArtifactsInput!$N$35+1,15,18,21,24,27,30)*(1-EXP(-(0.2*B1484)*5)),0)+IF(AND(ArtifactsInput!$M$22,Inputs!$B$4&lt;&gt;"Chapter Hunt"),CHOOSE(ArtifactsInput!$N$22+1,10,12,14,16,18,20)*((0*(((0.15*B1484*5))^0/1)+1*(((0.15*B1484*5))^1/1)+2*(((0.15*B1484*5))^2/2)+3*(((0.15*B1484*5))^3/6)+4*(((0.15*B1484*5))^4/24)+5*(((0.15*B1484*5))^5/120))/((((0.15*B1484*5))^0/1)+(((0.15*B1484*5))^1/1)+(((0.15*B1484*5))^2/2)+(((0.15*B1484*5))^3/6)+(((0.15*B1484*5))^4/24)+(((0.15*B1484*5))^5/120))),0))+IF(Inputs!$B$3&gt;=54,9*(C1454=TRUE)*MIN(1,8*(1+Inputs!$B$34/100)*Q1454),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65">
      <c r="A1465">
        <f>Skills!A14</f>
        <v/>
      </c>
      <c r="B1465">
        <f>Skills!B14</f>
        <v/>
      </c>
      <c r="C1465">
        <f>Inputs!$B$3&gt;=120</f>
        <v/>
      </c>
      <c r="D1465">
        <f>IF(Skills!C14=1,60+Inputs!$B$25+Inputs!$B$29,IF(Skills!C14=2,90+Inputs!$B$26+Inputs!$B$29,IF(Skills!C14=3,120+Inputs!$B$27+Inputs!$B$29,MAX(0,(Inputs!$B$3-100)*3)+Inputs!$B$28+Inputs!$B$29)))</f>
        <v/>
      </c>
      <c r="E1465">
        <f>INDEX(FactorTable!$B$2:$Y$301, MATCH(ROUND(MIN(300,MAX(1,D1465)),0), FactorTable!$A$2:$A$301,0), Skills!M14+1)</f>
        <v/>
      </c>
      <c r="F1465">
        <f>IF(Skills!N14=TRUE,(Skills!L14/10)*(E1465/1000),Skills!L14/10)+Skills!O14</f>
        <v/>
      </c>
      <c r="G1465">
        <f>Skills!G14*IF(Skills!H14&gt;0,INT(IF(Inputs!$B$38="pvp",MIN(Skills!I14,15),Skills!I14)/Skills!H14+0.000000001),1)</f>
        <v/>
      </c>
      <c r="H1465">
        <f>1-(1-Skills!J14/100)^Skills!K14</f>
        <v/>
      </c>
      <c r="I1465" t="inlineStr">
        <is>
          <t>1</t>
        </is>
      </c>
      <c r="J1465">
        <f>((Inputs!$B$6*(1+Inputs!$B$7/100))+(((Inputs!$B$12*(1+Inputs!$B$13/100))-(Inputs!$B$12*(1+Inputs!$B$13/100)))+0.25*(Inputs!$B$14-Inputs!$B$14))*(1+Inputs!$B$7/100))*(F1465/100)</f>
        <v/>
      </c>
      <c r="K1465">
        <f>J1465*(1+((Inputs!$B$12*(1+Inputs!$B$13/100))*0.01+Inputs!$B$14*0.0025)/100)*(1+Inputs!$B$15/100)*(1+Inputs!$B$16/100)*(5000/(6000+Inputs!$B$42*(1-(100*(1-(1-(Inputs!$B$19+0)/100)*(1-CHOOSE(ArtifactsInput!$N$40+1,5,6,7,8,9,10)/100)^(ArtifactsInput!$M$40-ArtifactsInput!$M$40)))/100)))*(1+(Inputs!$B$24+((C1477=TRUE)*(F1477-Calc!F26))+B1488)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EIGHT_LEGS_EASTON",Inputs!$B$17+((C1474=TRUE)*(F1474-Calc!F23))+((C1478=TRUE)*(F1478-Calc!F27))+((IF(AND(Inputs!$B$38&lt;&gt;"pvp",Inputs!$B$43=0),1,IF(IF(Inputs!$B$38="pvp",15,Inputs!$B$43)-(B1489)&lt;=0,1,MAX(0,IF(Inputs!$B$38="pvp",15,Inputs!$B$43)-MAX(5,B1489))/(IF(Inputs!$B$38="pvp",15,Inputs!$B$43)-(B1489))))*(IF(AND(ArtifactsInput!$M$42,((Inputs!$B$9+((C1470=TRUE)*(F1470-Calc!F19))+B1482+(ArtifactsInput!$M$24-ArtifactsInput!$M$24)*CHOOSE(ArtifactsInput!$N$24+1,10,12,14,16,18,20)+IF(IF(ArtifactsInput!$M$10,FALSE,TRUE),CHOOSE(ArtifactsInput!$N$10+1,15,18,21,24,27,30)*(IF(Inputs!$B$38="pvp",MIN(15,15)/15,IF(AND(Inputs!$B$38&lt;&gt;"pvp",Inputs!$B$43&gt;0),MIN(15,Inputs!$B$43)/(Inputs!$B$43),0))),0)))&gt;=100),MIN(100,((Inputs!$B$9+((C1470=TRUE)*(F1470-Calc!F19))+B1482+(ArtifactsInput!$M$24-ArtifactsInput!$M$24)*CHOOSE(ArtifactsInput!$N$24+1,10,12,14,16,18,20)+IF(IF(ArtifactsInput!$M$10,FALSE,TRUE),CHOOSE(ArtifactsInput!$N$10+1,15,18,21,24,27,30)*(IF(Inputs!$B$38="pvp",MIN(15,15)/15,IF(AND(Inputs!$B$38&lt;&gt;"pvp",Inputs!$B$43&gt;0),MIN(15,Inputs!$B$43)/(Inputs!$B$43),0))),0)))-100),0))*CHOOSE(ArtifactsInput!$N$42+1,0.6,0.72,0.84,0.96,1.08,1.2))),Inputs!$B$18+0+(IF(AND(Inputs!$B$38&lt;&gt;"pvp",Inputs!$B$43=0),1,IF(IF(Inputs!$B$38="pvp",15,Inputs!$B$43)-(B1489)&lt;=0,1,MAX(0,IF(Inputs!$B$38="pvp",15,Inputs!$B$43)-MAX(5,B1489))/(IF(Inputs!$B$38="pvp",15,Inputs!$B$43)-(B1489))))*IF(AND(ArtifactsInput!$M$42,((Inputs!$B$9+((C1470=TRUE)*(F1470-Calc!F19))+B1482+(ArtifactsInput!$M$24-ArtifactsInput!$M$24)*CHOOSE(ArtifactsInput!$N$24+1,10,12,14,16,18,20)+IF(IF(ArtifactsInput!$M$10,FALSE,TRUE),CHOOSE(ArtifactsInput!$N$10+1,15,18,21,24,27,30)*(IF(Inputs!$B$38="pvp",MIN(15,15)/15,IF(AND(Inputs!$B$38&lt;&gt;"pvp",Inputs!$B$43&gt;0),MIN(15,Inputs!$B$43)/(Inputs!$B$43),0))),0)))&gt;=100),CHOOSE(ArtifactsInput!$N$42+1,40,48,56,64,72,80),0))))/100)*((1+(((C1468=TRUE)*F1468*5/7)+((C1475=TRUE)*(F1475-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1465)</f>
        <v/>
      </c>
      <c r="L1465">
        <f>K1465*(MIN(Inputs!$B$22+((C1473=TRUE)*(F1473-Calc!F22)),(Inputs!$B$23+0+(IF(ArtifactsInput!$M$15,CHOOSE(ArtifactsInput!$N$15+1,25,30,35,40,45,50)/100*(Inputs!$B$11-Inputs!$B$11),0))))/100+(Inputs!$B$23+0+(IF(ArtifactsInput!$M$15,CHOOSE(ArtifactsInput!$N$15+1,25,30,35,40,45,50)/100*(Inputs!$B$11-Inputs!$B$11),0)))/100)/2</f>
        <v/>
      </c>
      <c r="M1465">
        <f>L1465*(1+(Inputs!$B$10+((C1476=TRUE)*(F1476-Calc!F25))+B1487+(IF(ArtifactsInput!$M$24,CHOOSE(ArtifactsInput!$N$24+1,30,36,42,48,54,60)/100*(Inputs!$B$9-Inputs!$B$9),0)+IF(IF(ArtifactsInput!$M$10,FALSE,TRUE),CHOOSE(ArtifactsInput!$N$10+1,20,24,28,32,36,40)*(IF(Inputs!$B$38="pvp",MIN(15,15)/15,IF(AND(Inputs!$B$38&lt;&gt;"pvp",Inputs!$B$43&gt;0),MIN(15,Inputs!$B$43)/(Inputs!$B$43),0))),0)+IF(ArtifactsInput!$M$31,1.5*CHOOSE(ArtifactsInput!$N$31+1,20,24,28,32,36,40),0)))/100)</f>
        <v/>
      </c>
      <c r="N1465">
        <f>L1465*(1-MIN((Inputs!$B$9+((C1470=TRUE)*(F1470-Calc!F19))+B1482+(ArtifactsInput!$M$24-ArtifactsInput!$M$24)*CHOOSE(ArtifactsInput!$N$24+1,10,12,14,16,18,20)+(IF(AND(Inputs!$B$38&lt;&gt;"pvp",Inputs!$B$43=0),1,IF(IF(Inputs!$B$38="pvp",15,Inputs!$B$43)-(B1489)&lt;=0,1,MAX(0,IF(Inputs!$B$38="pvp",15,Inputs!$B$43)-MAX(5,B1489))/(IF(Inputs!$B$38="pvp",15,Inputs!$B$43)-(B1489))))*IF(AND(ArtifactsInput!$M$42,((Inputs!$B$9+((C1470=TRUE)*(F1470-Calc!F19))+B1482+(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M1465*(MIN((Inputs!$B$9+((C1470=TRUE)*(F1470-Calc!F19))+B1482+(ArtifactsInput!$M$24-ArtifactsInput!$M$24)*CHOOSE(ArtifactsInput!$N$24+1,10,12,14,16,18,20)+(IF(AND(Inputs!$B$38&lt;&gt;"pvp",Inputs!$B$43=0),1,IF(IF(Inputs!$B$38="pvp",15,Inputs!$B$43)-(B1489)&lt;=0,1,MAX(0,IF(Inputs!$B$38="pvp",15,Inputs!$B$43)-MAX(5,B1489))/(IF(Inputs!$B$38="pvp",15,Inputs!$B$43)-(B1489))))*IF(AND(ArtifactsInput!$M$42,((Inputs!$B$9+((C1470=TRUE)*(F1470-Calc!F19))+B1482+(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f>
        <v/>
      </c>
      <c r="O1465">
        <f>(1-Summary!$B$11)*T1465+Summary!$B$11*V1465</f>
        <v/>
      </c>
      <c r="P1465">
        <f>IF(B1492=0,0,O1465/B1492)</f>
        <v/>
      </c>
      <c r="Q1465" t="n">
        <v>0</v>
      </c>
      <c r="R1465" t="n">
        <v>0</v>
      </c>
      <c r="S1465">
        <f>IFERROR(O1465/N1465,0)</f>
        <v/>
      </c>
      <c r="T1465">
        <f>IF(C1465,((H1465*(B1486+IF(AND(Inputs!$B$38&lt;&gt;"pvp",Inputs!$B$43&gt;0),((Skills!G8*((R1459-1)*IF(Skills!H8&gt;0,INT(Skills!I8/Skills!H8+0.000000001),1)+IF(Skills!H8&gt;0,INT(MIN(Skills!I8,MAX(0,MAX(0,Inputs!$B$43-B1489)-((R1459-1)*((IF(Inputs!$B$38="pvp",15,MAX(0.1,Skills!D8-IF(TRUE=TRUE,Inputs!$B$32,0)))*(1-IF(AND(ArtifactsInput!$M$27,Inputs!$B$4="Chapter Hunt"),CHOOSE(ArtifactsInput!$N$27+1,20,24,28,32,36,40),0)/100))/B1493))))/Skills!H8+0.000000001),1)))/Inputs!$B$43),G1459*Q1459)+IF(AND(Inputs!$B$38&lt;&gt;"pvp",Inputs!$B$43&gt;0),((Skills!G11*((R1462-1)*IF(Skills!H11&gt;0,INT(Skills!I11/Skills!H11+0.000000001),1)+IF(Skills!H11&gt;0,INT(MIN(Skills!I11,MAX(0,MAX(0,Inputs!$B$43-B1489)-((R1462-1)*((IF(Inputs!$B$38="pvp",15,MAX(0.1,Skills!D11-IF(TRUE=TRUE,Inputs!$B$32,0)))*(1-IF(AND(ArtifactsInput!$M$27,Inputs!$B$4="Chapter Hunt"),CHOOSE(ArtifactsInput!$N$27+1,20,24,28,32,36,40),0)/100))/B1493))))/Skills!H11+0.000000001),1)))/Inputs!$B$43),G1462*Q1462)))/(1+Skills!H14*H1465*(B1486+IF(AND(Inputs!$B$38&lt;&gt;"pvp",Inputs!$B$43&gt;0),((Skills!G8*((R1459-1)*IF(Skills!H8&gt;0,INT(Skills!I8/Skills!H8+0.000000001),1)+IF(Skills!H8&gt;0,INT(MIN(Skills!I8,MAX(0,MAX(0,Inputs!$B$43-B1489)-((R1459-1)*((IF(Inputs!$B$38="pvp",15,MAX(0.1,Skills!D8-IF(TRUE=TRUE,Inputs!$B$32,0)))*(1-IF(AND(ArtifactsInput!$M$27,Inputs!$B$4="Chapter Hunt"),CHOOSE(ArtifactsInput!$N$27+1,20,24,28,32,36,40),0)/100))/B1493))))/Skills!H8+0.000000001),1)))/Inputs!$B$43),G1459*Q1459)+IF(AND(Inputs!$B$38&lt;&gt;"pvp",Inputs!$B$43&gt;0),((Skills!G11*((R1462-1)*IF(Skills!H11&gt;0,INT(Skills!I11/Skills!H11+0.000000001),1)+IF(Skills!H11&gt;0,INT(MIN(Skills!I11,MAX(0,MAX(0,Inputs!$B$43-B1489)-((R1462-1)*((IF(Inputs!$B$38="pvp",15,MAX(0.1,Skills!D11-IF(TRUE=TRUE,Inputs!$B$32,0)))*(1-IF(AND(ArtifactsInput!$M$27,Inputs!$B$4="Chapter Hunt"),CHOOSE(ArtifactsInput!$N$27+1,20,24,28,32,36,40),0)/100))/B1493))))/Skills!H11+0.000000001),1)))/Inputs!$B$43),G1462*Q1462)))*N1465)*IF(Inputs!$B$38="pvp",1,1+(Inputs!$B$20+0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Hunt"),CHOOSE(ArtifactsInput!$N$35+1,15,18,21,24,27,30)*(1-EXP(-(0.2*B1484)*5)),0)+IF(AND(ArtifactsInput!$M$22,Inputs!$B$4&lt;&gt;"Chapter Hunt"),CHOOSE(ArtifactsInput!$N$22+1,10,12,14,16,18,20)*((0*(((0.15*B1484*5))^0/1)+1*(((0.15*B1484*5))^1/1)+2*(((0.15*B1484*5))^2/2)+3*(((0.15*B1484*5))^3/6)+4*(((0.15*B1484*5))^4/24)+5*(((0.15*B1484*5))^5/120))/((((0.15*B1484*5))^0/1)+(((0.15*B1484*5))^1/1)+(((0.15*B1484*5))^2/2)+(((0.15*B1484*5))^3/6)+(((0.15*B1484*5))^4/24)+(((0.15*B1484*5))^5/120))),0))+IF(Inputs!$B$3&gt;=54,9*(C1454=TRUE)*MIN(1,8*(1+Inputs!$B$34/100)*Q1454)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1465*(1-MIN(100,(Inputs!$B$9+((C1470=TRUE)*(F1470-Calc!F19))+B1482+(ArtifactsInput!$M$24-ArtifactsInput!$M$24)*CHOOSE(ArtifactsInput!$N$24+1,10,12,14,16,18,20)+(IF(AND(Inputs!$B$38&lt;&gt;"pvp",Inputs!$B$43=0),1,IF(IF(Inputs!$B$38="pvp",15,Inputs!$B$43)-(B1489)&lt;=0,1,MAX(0,IF(Inputs!$B$38="pvp",15,Inputs!$B$43)-MAX(5,B1489))/(IF(Inputs!$B$38="pvp",15,Inputs!$B$43)-(B1489))))*IF(AND(ArtifactsInput!$M$42,((Inputs!$B$9+((C1470=TRUE)*(F1470-Calc!F19))+B1482+(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M1465*(MIN(100,(Inputs!$B$9+((C1470=TRUE)*(F1470-Calc!F19))+B1482+(ArtifactsInput!$M$24-ArtifactsInput!$M$24)*CHOOSE(ArtifactsInput!$N$24+1,10,12,14,16,18,20)+(IF(AND(Inputs!$B$38&lt;&gt;"pvp",Inputs!$B$43=0),1,IF(IF(Inputs!$B$38="pvp",15,Inputs!$B$43)-(B1489)&lt;=0,1,MAX(0,IF(Inputs!$B$38="pvp",15,Inputs!$B$43)-MAX(5,B1489))/(IF(Inputs!$B$38="pvp",15,Inputs!$B$43)-(B1489))))*IF(AND(ArtifactsInput!$M$42,((Inputs!$B$9+((C1470=TRUE)*(F1470-Calc!F19))+B1482+(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L1465*(1-MIN(100,(Inputs!$B$9+((C1470=TRUE)*(F1470-Calc!F19))+B1482+(ArtifactsInput!$M$24-ArtifactsInput!$M$24)*CHOOSE(ArtifactsInput!$N$24+1,10,12,14,16,18,20)+(IF(AND(Inputs!$B$38&lt;&gt;"pvp",Inputs!$B$43=0),1,IF(IF(Inputs!$B$38="pvp",15,Inputs!$B$43)-(B1489)&lt;=0,1,MAX(0,IF(Inputs!$B$38="pvp",15,Inputs!$B$43)-MAX(5,B1489))/(IF(Inputs!$B$38="pvp",15,Inputs!$B$43)-(B1489))))*IF(AND(ArtifactsInput!$M$42,((Inputs!$B$9+((C1470=TRUE)*(F1470-Calc!F19))+B1482+(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M1465*(MIN(100,(Inputs!$B$9+((C1470=TRUE)*(F1470-Calc!F19))+B1482+(ArtifactsInput!$M$24-ArtifactsInput!$M$24)*CHOOSE(ArtifactsInput!$N$24+1,10,12,14,16,18,20)+(IF(AND(Inputs!$B$38&lt;&gt;"pvp",Inputs!$B$43=0),1,IF(IF(Inputs!$B$38="pvp",15,Inputs!$B$43)-(B1489)&lt;=0,1,MAX(0,IF(Inputs!$B$38="pvp",15,Inputs!$B$43)-MAX(5,B1489))/(IF(Inputs!$B$38="pvp",15,Inputs!$B$43)-(B1489))))*IF(AND(ArtifactsInput!$M$42,((Inputs!$B$9+((C1470=TRUE)*(F1470-Calc!F19))+B1482+(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465">
        <f>IF(C1465,((H1465*(B1486+IF(AND(Inputs!$B$38&lt;&gt;"pvp",Inputs!$B$43&gt;0),((Skills!G8*((R1459-1)*IF(Skills!H8&gt;0,INT(Skills!I8/Skills!H8+0.000000001),1)+IF(Skills!H8&gt;0,INT(MIN(Skills!I8,MAX(0,MAX(0,Inputs!$B$43-B1489)-((R1459-1)*((IF(Inputs!$B$38="pvp",15,MAX(0.1,Skills!D8-IF(TRUE=TRUE,Inputs!$B$32,0)))*(1-IF(AND(ArtifactsInput!$M$27,Inputs!$B$4="Chapter Hunt"),CHOOSE(ArtifactsInput!$N$27+1,20,24,28,32,36,40),0)/100))/B1493))))/Skills!H8+0.000000001),1)))/Inputs!$B$43),G1459*Q1459)+IF(AND(Inputs!$B$38&lt;&gt;"pvp",Inputs!$B$43&gt;0),((Skills!G11*((R1462-1)*IF(Skills!H11&gt;0,INT(Skills!I11/Skills!H11+0.000000001),1)+IF(Skills!H11&gt;0,INT(MIN(Skills!I11,MAX(0,MAX(0,Inputs!$B$43-B1489)-((R1462-1)*((IF(Inputs!$B$38="pvp",15,MAX(0.1,Skills!D11-IF(TRUE=TRUE,Inputs!$B$32,0)))*(1-IF(AND(ArtifactsInput!$M$27,Inputs!$B$4="Chapter Hunt"),CHOOSE(ArtifactsInput!$N$27+1,20,24,28,32,36,40),0)/100))/B1493))))/Skills!H11+0.000000001),1)))/Inputs!$B$43),G1462*Q1462)))/(1+Skills!H14*H1465*(B1486+IF(AND(Inputs!$B$38&lt;&gt;"pvp",Inputs!$B$43&gt;0),((Skills!G8*((R1459-1)*IF(Skills!H8&gt;0,INT(Skills!I8/Skills!H8+0.000000001),1)+IF(Skills!H8&gt;0,INT(MIN(Skills!I8,MAX(0,MAX(0,Inputs!$B$43-B1489)-((R1459-1)*((IF(Inputs!$B$38="pvp",15,MAX(0.1,Skills!D8-IF(TRUE=TRUE,Inputs!$B$32,0)))*(1-IF(AND(ArtifactsInput!$M$27,Inputs!$B$4="Chapter Hunt"),CHOOSE(ArtifactsInput!$N$27+1,20,24,28,32,36,40),0)/100))/B1493))))/Skills!H8+0.000000001),1)))/Inputs!$B$43),G1459*Q1459)+IF(AND(Inputs!$B$38&lt;&gt;"pvp",Inputs!$B$43&gt;0),((Skills!G11*((R1462-1)*IF(Skills!H11&gt;0,INT(Skills!I11/Skills!H11+0.000000001),1)+IF(Skills!H11&gt;0,INT(MIN(Skills!I11,MAX(0,MAX(0,Inputs!$B$43-B1489)-((R1462-1)*((IF(Inputs!$B$38="pvp",15,MAX(0.1,Skills!D11-IF(TRUE=TRUE,Inputs!$B$32,0)))*(1-IF(AND(ArtifactsInput!$M$27,Inputs!$B$4="Chapter Hunt"),CHOOSE(ArtifactsInput!$N$27+1,20,24,28,32,36,40),0)/100))/B1493))))/Skills!H11+0.000000001),1)))/Inputs!$B$43),G1462*Q1462)))*N1465)*IF(Inputs!$B$38="pvp",1,(1+(Inputs!$B$21+Skills!Q14+(IF(ArtifactsInput!$M$33,CHOOSE(ArtifactsInput!$N$33+1,30,36,42,48,54,60),0))+(IF(AND(ArtifactsInput!$M$35,Inputs!$B$4&lt;&gt;"Chapter Hunt"),CHOOSE(ArtifactsInput!$N$35+1,15,18,21,24,27,30)*(1-EXP(-(0.2*B1484)*5)),0)+IF(AND(ArtifactsInput!$M$22,Inputs!$B$4&lt;&gt;"Chapter Hunt"),CHOOSE(ArtifactsInput!$N$22+1,10,12,14,16,18,20)*((0*(((0.15*B1484*5))^0/1)+1*(((0.15*B1484*5))^1/1)+2*(((0.15*B1484*5))^2/2)+3*(((0.15*B1484*5))^3/6)+4*(((0.15*B1484*5))^4/24)+5*(((0.15*B1484*5))^5/120))/((((0.15*B1484*5))^0/1)+(((0.15*B1484*5))^1/1)+(((0.15*B1484*5))^2/2)+(((0.15*B1484*5))^3/6)+(((0.15*B1484*5))^4/24)+(((0.15*B1484*5))^5/120))),0))+IF(Inputs!$B$3&gt;=54,9*(C1454=TRUE)*MIN(1,8*(1+Inputs!$B$34/100)*Q1454),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66">
      <c r="A1466">
        <f>Skills!A15</f>
        <v/>
      </c>
      <c r="B1466">
        <f>Skills!B15</f>
        <v/>
      </c>
      <c r="C1466">
        <f>Inputs!$B$3&gt;=100</f>
        <v/>
      </c>
      <c r="D1466">
        <f>IF(Skills!C15=1,60+Inputs!$B$25+Inputs!$B$29,IF(Skills!C15=2,90+Inputs!$B$26+Inputs!$B$29,IF(Skills!C15=3,120+Inputs!$B$27+Inputs!$B$29,MAX(0,(Inputs!$B$3-100)*3)+Inputs!$B$28+Inputs!$B$29)))</f>
        <v/>
      </c>
      <c r="E1466">
        <f>INDEX(FactorTable!$B$2:$Y$301, MATCH(ROUND(MIN(300,MAX(1,D1466)),0), FactorTable!$A$2:$A$301,0), Skills!M15+1)</f>
        <v/>
      </c>
      <c r="F1466">
        <f>IF(Skills!N15=TRUE,(Skills!L15/10)*(E1466/1000),Skills!L15/10)+Skills!O15</f>
        <v/>
      </c>
      <c r="G1466" t="inlineStr"/>
      <c r="H1466" t="inlineStr"/>
      <c r="I1466" t="inlineStr">
        <is>
          <t>1</t>
        </is>
      </c>
      <c r="J1466" t="inlineStr"/>
      <c r="K1466" t="inlineStr"/>
      <c r="L1466" t="inlineStr"/>
      <c r="M1466" t="inlineStr"/>
      <c r="N1466" t="inlineStr"/>
      <c r="O1466" t="inlineStr"/>
      <c r="P1466" t="inlineStr"/>
      <c r="Q1466" t="inlineStr"/>
      <c r="R1466" t="inlineStr"/>
      <c r="S1466" t="inlineStr"/>
    </row>
    <row r="1467">
      <c r="A1467">
        <f>Skills!A16</f>
        <v/>
      </c>
      <c r="B1467">
        <f>Skills!B16</f>
        <v/>
      </c>
      <c r="C1467">
        <f>Inputs!$B$3&gt;=107</f>
        <v/>
      </c>
      <c r="D1467">
        <f>IF(Skills!C16=1,60+Inputs!$B$25+Inputs!$B$29,IF(Skills!C16=2,90+Inputs!$B$26+Inputs!$B$29,IF(Skills!C16=3,120+Inputs!$B$27+Inputs!$B$29,MAX(0,(Inputs!$B$3-100)*3)+Inputs!$B$28+Inputs!$B$29)))</f>
        <v/>
      </c>
      <c r="E1467">
        <f>INDEX(FactorTable!$B$2:$Y$301, MATCH(ROUND(MIN(300,MAX(1,D1467)),0), FactorTable!$A$2:$A$301,0), Skills!M16+1)</f>
        <v/>
      </c>
      <c r="F1467">
        <f>IF(Skills!N16=TRUE,(Skills!L16/10)*(E1467/1000),Skills!L16/10)+Skills!O16</f>
        <v/>
      </c>
      <c r="G1467" t="inlineStr"/>
      <c r="H1467" t="inlineStr"/>
      <c r="I1467" t="inlineStr">
        <is>
          <t>1</t>
        </is>
      </c>
      <c r="J1467" t="inlineStr"/>
      <c r="K1467" t="inlineStr"/>
      <c r="L1467" t="inlineStr"/>
      <c r="M1467" t="inlineStr"/>
      <c r="N1467" t="inlineStr"/>
      <c r="O1467" t="inlineStr"/>
      <c r="P1467" t="inlineStr"/>
      <c r="Q1467" t="inlineStr"/>
      <c r="R1467" t="inlineStr"/>
      <c r="S1467" t="inlineStr"/>
    </row>
    <row r="1468">
      <c r="A1468">
        <f>Skills!A17</f>
        <v/>
      </c>
      <c r="B1468">
        <f>Skills!B17</f>
        <v/>
      </c>
      <c r="C1468">
        <f>Inputs!$B$3&gt;=74</f>
        <v/>
      </c>
      <c r="D1468">
        <f>IF(Skills!C17=1,60+Inputs!$B$25+Inputs!$B$29,IF(Skills!C17=2,90+Inputs!$B$26+Inputs!$B$29,IF(Skills!C17=3,120+Inputs!$B$27+Inputs!$B$29,MAX(0,(Inputs!$B$3-100)*3)+Inputs!$B$28+Inputs!$B$29)))</f>
        <v/>
      </c>
      <c r="E1468">
        <f>INDEX(FactorTable!$B$2:$Y$301, MATCH(ROUND(MIN(300,MAX(1,D1468)),0), FactorTable!$A$2:$A$301,0), Skills!M17+1)</f>
        <v/>
      </c>
      <c r="F1468">
        <f>IF(Skills!N17=TRUE,(Skills!L17/10)*(E1468/1000),Skills!L17/10)+Skills!O17</f>
        <v/>
      </c>
      <c r="G1468">
        <f>Skills!G17*IF(Skills!H17&gt;0,INT(IF(Inputs!$B$38="pvp",MIN(Skills!I17,15),Skills!I17)/Skills!H17+0.000000001),1)</f>
        <v/>
      </c>
      <c r="H1468">
        <f>1-(1-Skills!J17/100)^Skills!K17</f>
        <v/>
      </c>
      <c r="I1468" t="inlineStr">
        <is>
          <t>1</t>
        </is>
      </c>
      <c r="J1468" t="inlineStr"/>
      <c r="K1468" t="inlineStr"/>
      <c r="L1468" t="inlineStr"/>
      <c r="M1468" t="inlineStr"/>
      <c r="N1468" t="inlineStr"/>
      <c r="O1468">
        <f>(1-Summary!$B$11)*T1468+Summary!$B$11*V1468</f>
        <v/>
      </c>
      <c r="P1468">
        <f>IF(B1492=0,0,O1468/B1492)</f>
        <v/>
      </c>
      <c r="Q1468" t="n">
        <v>0</v>
      </c>
      <c r="R1468" t="n">
        <v>0</v>
      </c>
      <c r="S1468">
        <f>IFERROR(O1468/N1468,0)</f>
        <v/>
      </c>
      <c r="T1468" t="n">
        <v>0</v>
      </c>
      <c r="V1468" t="n">
        <v>0</v>
      </c>
    </row>
    <row r="1469">
      <c r="A1469">
        <f>Skills!A18</f>
        <v/>
      </c>
      <c r="B1469">
        <f>Skills!B18</f>
        <v/>
      </c>
      <c r="C1469">
        <f>Inputs!$B$3&gt;=115</f>
        <v/>
      </c>
      <c r="D1469">
        <f>IF(Skills!C18=1,60+Inputs!$B$25+Inputs!$B$29,IF(Skills!C18=2,90+Inputs!$B$26+Inputs!$B$29,IF(Skills!C18=3,120+Inputs!$B$27+Inputs!$B$29,MAX(0,(Inputs!$B$3-100)*3)+Inputs!$B$28+Inputs!$B$29)))</f>
        <v/>
      </c>
      <c r="E1469">
        <f>INDEX(FactorTable!$B$2:$Y$301, MATCH(ROUND(MIN(300,MAX(1,D1469)),0), FactorTable!$A$2:$A$301,0), Skills!M18+1)</f>
        <v/>
      </c>
      <c r="F1469">
        <f>IF(Skills!N18=TRUE,(Skills!L18/10)*(E1469/1000),Skills!L18/10)+Skills!O18</f>
        <v/>
      </c>
      <c r="G1469">
        <f>Skills!G18*IF(Skills!H18&gt;0,INT(IF(Inputs!$B$38="pvp",MIN(Skills!I18,15),Skills!I18)/Skills!H18+0.000000001),1)</f>
        <v/>
      </c>
      <c r="H1469">
        <f>1-(1-Skills!J18/100)^Skills!K18</f>
        <v/>
      </c>
      <c r="I1469" t="inlineStr">
        <is>
          <t>1</t>
        </is>
      </c>
      <c r="J1469" t="inlineStr"/>
      <c r="K1469" t="inlineStr"/>
      <c r="L1469" t="inlineStr"/>
      <c r="M1469" t="inlineStr"/>
      <c r="N1469" t="inlineStr"/>
      <c r="O1469">
        <f>(1-Summary!$B$11)*T1469+Summary!$B$11*V1469</f>
        <v/>
      </c>
      <c r="P1469">
        <f>IF(B1492=0,0,O1469/B1492)</f>
        <v/>
      </c>
      <c r="Q1469">
        <f>IFERROR(1/(IF(Inputs!$B$38="pvp",15,MAX(0.1,Skills!D18-IF(TRUE=TRUE,Inputs!$B$32,0)))*(1-IF(AND(ArtifactsInput!$M$27,Inputs!$B$4="Chapter Hunt"),CHOOSE(ArtifactsInput!$N$27+1,20,24,28,32,36,40),0)/100)),0)</f>
        <v/>
      </c>
      <c r="R1469">
        <f>IF(AND(Inputs!$B$38&lt;&gt;"pvp",Inputs!$B$43&gt;0),IF(Inputs!$B$43&lt;=0,0,(INT(Inputs!$B$43/(IF(Inputs!$B$38="pvp",15,MAX(0.1,Skills!D18-IF(TRUE=TRUE,Inputs!$B$32,0)))*(1-IF(AND(ArtifactsInput!$M$27,Inputs!$B$4="Chapter Hunt"),CHOOSE(ArtifactsInput!$N$27+1,20,24,28,32,36,40),0)/100)))+1)),0)</f>
        <v/>
      </c>
      <c r="S1469">
        <f>IFERROR(O1469/N1469,0)</f>
        <v/>
      </c>
      <c r="T1469" t="n">
        <v>0</v>
      </c>
      <c r="V1469" t="n">
        <v>0</v>
      </c>
    </row>
    <row r="1470">
      <c r="A1470">
        <f>Skills!A19</f>
        <v/>
      </c>
      <c r="B1470">
        <f>Skills!B19</f>
        <v/>
      </c>
      <c r="C1470">
        <f>Inputs!$B$3&gt;=10</f>
        <v/>
      </c>
      <c r="D1470">
        <f>IF(Skills!C19=1,60+Inputs!$B$25+Inputs!$B$29,IF(Skills!C19=2,90+Inputs!$B$26+Inputs!$B$29,IF(Skills!C19=3,120+Inputs!$B$27+Inputs!$B$29,MAX(0,(Inputs!$B$3-100)*3)+Inputs!$B$28+Inputs!$B$29)))</f>
        <v/>
      </c>
      <c r="E1470">
        <f>INDEX(FactorTable!$B$2:$Y$301, MATCH(ROUND(MIN(300,MAX(1,D1470)),0), FactorTable!$A$2:$A$301,0), Skills!M19+1)</f>
        <v/>
      </c>
      <c r="F1470">
        <f>IF(Skills!N19=TRUE,(Skills!L19/10)*(E1470/1000),Skills!L19/10)+Skills!O19</f>
        <v/>
      </c>
      <c r="G1470">
        <f>Skills!G19*IF(Skills!H19&gt;0,INT(IF(Inputs!$B$38="pvp",MIN(Skills!I19,15),Skills!I19)/Skills!H19+0.000000001),1)</f>
        <v/>
      </c>
      <c r="H1470">
        <f>1-(1-Skills!J19/100)^Skills!K19</f>
        <v/>
      </c>
      <c r="I1470" t="inlineStr">
        <is>
          <t>1</t>
        </is>
      </c>
      <c r="J1470" t="inlineStr"/>
      <c r="K1470" t="inlineStr"/>
      <c r="L1470" t="inlineStr"/>
      <c r="M1470" t="inlineStr"/>
      <c r="N1470" t="inlineStr"/>
      <c r="O1470">
        <f>(1-Summary!$B$11)*T1470+Summary!$B$11*V1470</f>
        <v/>
      </c>
      <c r="P1470">
        <f>IF(B1492=0,0,O1470/B1492)</f>
        <v/>
      </c>
      <c r="Q1470" t="n">
        <v>0</v>
      </c>
      <c r="R1470" t="n">
        <v>0</v>
      </c>
      <c r="S1470">
        <f>IFERROR(O1470/N1470,0)</f>
        <v/>
      </c>
      <c r="T1470" t="n">
        <v>0</v>
      </c>
      <c r="V1470" t="n">
        <v>0</v>
      </c>
    </row>
    <row r="1471">
      <c r="A1471">
        <f>Skills!A20</f>
        <v/>
      </c>
      <c r="B1471">
        <f>Skills!B20</f>
        <v/>
      </c>
      <c r="C1471">
        <f>Inputs!$B$3&gt;=15</f>
        <v/>
      </c>
      <c r="D1471">
        <f>IF(Skills!C20=1,60+Inputs!$B$25+Inputs!$B$29,IF(Skills!C20=2,90+Inputs!$B$26+Inputs!$B$29,IF(Skills!C20=3,120+Inputs!$B$27+Inputs!$B$29,MAX(0,(Inputs!$B$3-100)*3)+Inputs!$B$28+Inputs!$B$29)))</f>
        <v/>
      </c>
      <c r="E1471">
        <f>INDEX(FactorTable!$B$2:$Y$301, MATCH(ROUND(MIN(300,MAX(1,D1471)),0), FactorTable!$A$2:$A$301,0), Skills!M20+1)</f>
        <v/>
      </c>
      <c r="F1471">
        <f>IF(Skills!N20=TRUE,(Skills!L20/10)*(E1471/1000),Skills!L20/10)+Skills!O20</f>
        <v/>
      </c>
      <c r="G1471">
        <f>Skills!G20*IF(Skills!H20&gt;0,INT(IF(Inputs!$B$38="pvp",MIN(Skills!I20,15),Skills!I20)/Skills!H20+0.000000001),1)</f>
        <v/>
      </c>
      <c r="H1471">
        <f>1-(1-Skills!J20/100)^Skills!K20</f>
        <v/>
      </c>
      <c r="I1471" t="inlineStr">
        <is>
          <t>1</t>
        </is>
      </c>
      <c r="J1471" t="inlineStr"/>
      <c r="K1471" t="inlineStr"/>
      <c r="L1471" t="inlineStr"/>
      <c r="M1471" t="inlineStr"/>
      <c r="N1471" t="inlineStr"/>
      <c r="O1471">
        <f>(1-Summary!$B$11)*T1471+Summary!$B$11*V1471</f>
        <v/>
      </c>
      <c r="P1471">
        <f>IF(B1492=0,0,O1471/B1492)</f>
        <v/>
      </c>
      <c r="Q1471" t="n">
        <v>0</v>
      </c>
      <c r="R1471" t="n">
        <v>0</v>
      </c>
      <c r="S1471">
        <f>IFERROR(O1471/N1471,0)</f>
        <v/>
      </c>
      <c r="T1471" t="n">
        <v>0</v>
      </c>
      <c r="V1471" t="n">
        <v>0</v>
      </c>
    </row>
    <row r="1472">
      <c r="A1472">
        <f>Skills!A21</f>
        <v/>
      </c>
      <c r="B1472">
        <f>Skills!B21</f>
        <v/>
      </c>
      <c r="C1472">
        <f>Inputs!$B$3&gt;=40</f>
        <v/>
      </c>
      <c r="D1472">
        <f>IF(Skills!C21=1,60+Inputs!$B$25+Inputs!$B$29,IF(Skills!C21=2,90+Inputs!$B$26+Inputs!$B$29,IF(Skills!C21=3,120+Inputs!$B$27+Inputs!$B$29,MAX(0,(Inputs!$B$3-100)*3)+Inputs!$B$28+Inputs!$B$29)))</f>
        <v/>
      </c>
      <c r="E1472">
        <f>INDEX(FactorTable!$B$2:$Y$301, MATCH(ROUND(MIN(300,MAX(1,D1472)),0), FactorTable!$A$2:$A$301,0), Skills!M21+1)</f>
        <v/>
      </c>
      <c r="F1472">
        <f>IF(Skills!N21=TRUE,(Skills!L21/10)*(E1472/1000),Skills!L21/10)+Skills!O21</f>
        <v/>
      </c>
      <c r="G1472">
        <f>Skills!G21*IF(Skills!H21&gt;0,INT(IF(Inputs!$B$38="pvp",MIN(Skills!I21,15),Skills!I21)/Skills!H21+0.000000001),1)</f>
        <v/>
      </c>
      <c r="H1472">
        <f>1-(1-Skills!J21/100)^Skills!K21</f>
        <v/>
      </c>
      <c r="I1472" t="inlineStr">
        <is>
          <t>1</t>
        </is>
      </c>
      <c r="J1472" t="inlineStr"/>
      <c r="K1472" t="inlineStr"/>
      <c r="L1472" t="inlineStr"/>
      <c r="M1472" t="inlineStr"/>
      <c r="N1472" t="inlineStr"/>
      <c r="O1472">
        <f>(1-Summary!$B$11)*T1472+Summary!$B$11*V1472</f>
        <v/>
      </c>
      <c r="P1472">
        <f>IF(B1492=0,0,O1472/B1492)</f>
        <v/>
      </c>
      <c r="Q1472" t="n">
        <v>0</v>
      </c>
      <c r="R1472" t="n">
        <v>0</v>
      </c>
      <c r="S1472">
        <f>IFERROR(O1472/N1472,0)</f>
        <v/>
      </c>
      <c r="T1472" t="n">
        <v>0</v>
      </c>
      <c r="V1472" t="n">
        <v>0</v>
      </c>
    </row>
    <row r="1473">
      <c r="A1473">
        <f>Skills!A22</f>
        <v/>
      </c>
      <c r="B1473">
        <f>Skills!B22</f>
        <v/>
      </c>
      <c r="C1473">
        <f>Inputs!$B$3&gt;=43</f>
        <v/>
      </c>
      <c r="D1473">
        <f>IF(Skills!C22=1,60+Inputs!$B$25+Inputs!$B$29,IF(Skills!C22=2,90+Inputs!$B$26+Inputs!$B$29,IF(Skills!C22=3,120+Inputs!$B$27+Inputs!$B$29,MAX(0,(Inputs!$B$3-100)*3)+Inputs!$B$28+Inputs!$B$29)))</f>
        <v/>
      </c>
      <c r="E1473">
        <f>INDEX(FactorTable!$B$2:$Y$301, MATCH(ROUND(MIN(300,MAX(1,D1473)),0), FactorTable!$A$2:$A$301,0), Skills!M22+1)</f>
        <v/>
      </c>
      <c r="F1473">
        <f>IF(Skills!N22=TRUE,(Skills!L22/10)*(E1473/1000),Skills!L22/10)+Skills!O22</f>
        <v/>
      </c>
      <c r="G1473">
        <f>Skills!G22*IF(Skills!H22&gt;0,INT(IF(Inputs!$B$38="pvp",MIN(Skills!I22,15),Skills!I22)/Skills!H22+0.000000001),1)</f>
        <v/>
      </c>
      <c r="H1473">
        <f>1-(1-Skills!J22/100)^Skills!K22</f>
        <v/>
      </c>
      <c r="I1473" t="inlineStr">
        <is>
          <t>1</t>
        </is>
      </c>
      <c r="J1473" t="inlineStr"/>
      <c r="K1473" t="inlineStr"/>
      <c r="L1473" t="inlineStr"/>
      <c r="M1473" t="inlineStr"/>
      <c r="N1473" t="inlineStr"/>
      <c r="O1473">
        <f>(1-Summary!$B$11)*T1473+Summary!$B$11*V1473</f>
        <v/>
      </c>
      <c r="P1473">
        <f>IF(B1492=0,0,O1473/B1492)</f>
        <v/>
      </c>
      <c r="Q1473" t="n">
        <v>0</v>
      </c>
      <c r="R1473" t="n">
        <v>0</v>
      </c>
      <c r="S1473">
        <f>IFERROR(O1473/N1473,0)</f>
        <v/>
      </c>
      <c r="T1473" t="n">
        <v>0</v>
      </c>
      <c r="V1473" t="n">
        <v>0</v>
      </c>
    </row>
    <row r="1474">
      <c r="A1474">
        <f>Skills!A23</f>
        <v/>
      </c>
      <c r="B1474">
        <f>Skills!B23</f>
        <v/>
      </c>
      <c r="C1474">
        <f>Inputs!$B$3&gt;=38</f>
        <v/>
      </c>
      <c r="D1474">
        <f>IF(Skills!C23=1,60+Inputs!$B$25+Inputs!$B$29,IF(Skills!C23=2,90+Inputs!$B$26+Inputs!$B$29,IF(Skills!C23=3,120+Inputs!$B$27+Inputs!$B$29,MAX(0,(Inputs!$B$3-100)*3)+Inputs!$B$28+Inputs!$B$29)))</f>
        <v/>
      </c>
      <c r="E1474">
        <f>INDEX(FactorTable!$B$2:$Y$301, MATCH(ROUND(MIN(300,MAX(1,D1474)),0), FactorTable!$A$2:$A$301,0), Skills!M23+1)</f>
        <v/>
      </c>
      <c r="F1474">
        <f>IF(Skills!N23=TRUE,(Skills!L23/10)*(E1474/1000),Skills!L23/10)+Skills!O23</f>
        <v/>
      </c>
      <c r="G1474">
        <f>Skills!G23*IF(Skills!H23&gt;0,INT(IF(Inputs!$B$38="pvp",MIN(Skills!I23,15),Skills!I23)/Skills!H23+0.000000001),1)</f>
        <v/>
      </c>
      <c r="H1474">
        <f>1-(1-Skills!J23/100)^Skills!K23</f>
        <v/>
      </c>
      <c r="I1474" t="inlineStr">
        <is>
          <t>1</t>
        </is>
      </c>
      <c r="J1474" t="inlineStr"/>
      <c r="K1474" t="inlineStr"/>
      <c r="L1474" t="inlineStr"/>
      <c r="M1474" t="inlineStr"/>
      <c r="N1474" t="inlineStr"/>
      <c r="O1474">
        <f>(1-Summary!$B$11)*T1474+Summary!$B$11*V1474</f>
        <v/>
      </c>
      <c r="P1474">
        <f>IF(B1492=0,0,O1474/B1492)</f>
        <v/>
      </c>
      <c r="Q1474" t="n">
        <v>0</v>
      </c>
      <c r="R1474" t="n">
        <v>0</v>
      </c>
      <c r="S1474">
        <f>IFERROR(O1474/N1474,0)</f>
        <v/>
      </c>
      <c r="T1474" t="n">
        <v>0</v>
      </c>
      <c r="V1474" t="n">
        <v>0</v>
      </c>
    </row>
    <row r="1475">
      <c r="A1475">
        <f>Skills!A24</f>
        <v/>
      </c>
      <c r="B1475">
        <f>Skills!B24</f>
        <v/>
      </c>
      <c r="C1475">
        <f>Inputs!$B$3&gt;=45</f>
        <v/>
      </c>
      <c r="D1475">
        <f>IF(Skills!C24=1,60+Inputs!$B$25+Inputs!$B$29,IF(Skills!C24=2,90+Inputs!$B$26+Inputs!$B$29,IF(Skills!C24=3,120+Inputs!$B$27+Inputs!$B$29,MAX(0,(Inputs!$B$3-100)*3)+Inputs!$B$28+Inputs!$B$29)))</f>
        <v/>
      </c>
      <c r="E1475">
        <f>INDEX(FactorTable!$B$2:$Y$301, MATCH(ROUND(MIN(300,MAX(1,D1475)),0), FactorTable!$A$2:$A$301,0), Skills!M24+1)</f>
        <v/>
      </c>
      <c r="F1475">
        <f>IF(Skills!N24=TRUE,(Skills!L24/10)*(E1475/1000),Skills!L24/10)+Skills!O24</f>
        <v/>
      </c>
      <c r="G1475">
        <f>Skills!G24*IF(Skills!H24&gt;0,INT(IF(Inputs!$B$38="pvp",MIN(Skills!I24,15),Skills!I24)/Skills!H24+0.000000001),1)</f>
        <v/>
      </c>
      <c r="H1475">
        <f>1-(1-Skills!J24/100)^Skills!K24</f>
        <v/>
      </c>
      <c r="I1475" t="inlineStr">
        <is>
          <t>1</t>
        </is>
      </c>
      <c r="J1475" t="inlineStr"/>
      <c r="K1475" t="inlineStr"/>
      <c r="L1475" t="inlineStr"/>
      <c r="M1475" t="inlineStr"/>
      <c r="N1475" t="inlineStr"/>
      <c r="O1475">
        <f>(1-Summary!$B$11)*T1475+Summary!$B$11*V1475</f>
        <v/>
      </c>
      <c r="P1475">
        <f>IF(B1492=0,0,O1475/B1492)</f>
        <v/>
      </c>
      <c r="Q1475" t="n">
        <v>0</v>
      </c>
      <c r="R1475" t="n">
        <v>0</v>
      </c>
      <c r="S1475">
        <f>IFERROR(O1475/N1475,0)</f>
        <v/>
      </c>
      <c r="T1475" t="n">
        <v>0</v>
      </c>
      <c r="V1475" t="n">
        <v>0</v>
      </c>
    </row>
    <row r="1476">
      <c r="A1476">
        <f>Skills!A25</f>
        <v/>
      </c>
      <c r="B1476">
        <f>Skills!B25</f>
        <v/>
      </c>
      <c r="C1476">
        <f>Inputs!$B$3&gt;=72</f>
        <v/>
      </c>
      <c r="D1476">
        <f>IF(Skills!C25=1,60+Inputs!$B$25+Inputs!$B$29,IF(Skills!C25=2,90+Inputs!$B$26+Inputs!$B$29,IF(Skills!C25=3,120+Inputs!$B$27+Inputs!$B$29,MAX(0,(Inputs!$B$3-100)*3)+Inputs!$B$28+Inputs!$B$29)))</f>
        <v/>
      </c>
      <c r="E1476">
        <f>INDEX(FactorTable!$B$2:$Y$301, MATCH(ROUND(MIN(300,MAX(1,D1476)),0), FactorTable!$A$2:$A$301,0), Skills!M25+1)</f>
        <v/>
      </c>
      <c r="F1476">
        <f>IF(Skills!N25=TRUE,(Skills!L25/10)*(E1476/1000),Skills!L25/10)+Skills!O25</f>
        <v/>
      </c>
      <c r="G1476">
        <f>Skills!G25*IF(Skills!H25&gt;0,INT(IF(Inputs!$B$38="pvp",MIN(Skills!I25,15),Skills!I25)/Skills!H25+0.000000001),1)</f>
        <v/>
      </c>
      <c r="H1476">
        <f>1-(1-Skills!J25/100)^Skills!K25</f>
        <v/>
      </c>
      <c r="I1476" t="inlineStr">
        <is>
          <t>1</t>
        </is>
      </c>
      <c r="J1476" t="inlineStr"/>
      <c r="K1476" t="inlineStr"/>
      <c r="L1476" t="inlineStr"/>
      <c r="M1476" t="inlineStr"/>
      <c r="N1476" t="inlineStr"/>
      <c r="O1476">
        <f>(1-Summary!$B$11)*T1476+Summary!$B$11*V1476</f>
        <v/>
      </c>
      <c r="P1476">
        <f>IF(B1492=0,0,O1476/B1492)</f>
        <v/>
      </c>
      <c r="Q1476" t="n">
        <v>0</v>
      </c>
      <c r="R1476" t="n">
        <v>0</v>
      </c>
      <c r="S1476">
        <f>IFERROR(O1476/N1476,0)</f>
        <v/>
      </c>
      <c r="T1476" t="n">
        <v>0</v>
      </c>
      <c r="V1476" t="n">
        <v>0</v>
      </c>
    </row>
    <row r="1477">
      <c r="A1477">
        <f>Skills!A26</f>
        <v/>
      </c>
      <c r="B1477">
        <f>Skills!B26</f>
        <v/>
      </c>
      <c r="C1477">
        <f>Inputs!$B$3&gt;=75</f>
        <v/>
      </c>
      <c r="D1477">
        <f>IF(Skills!C26=1,60+Inputs!$B$25+Inputs!$B$29,IF(Skills!C26=2,90+Inputs!$B$26+Inputs!$B$29,IF(Skills!C26=3,120+Inputs!$B$27+Inputs!$B$29,MAX(0,(Inputs!$B$3-100)*3)+Inputs!$B$28+Inputs!$B$29)))</f>
        <v/>
      </c>
      <c r="E1477">
        <f>INDEX(FactorTable!$B$2:$Y$301, MATCH(ROUND(MIN(300,MAX(1,D1477)),0), FactorTable!$A$2:$A$301,0), Skills!M26+1)</f>
        <v/>
      </c>
      <c r="F1477">
        <f>IF(Skills!N26=TRUE,(Skills!L26/10)*(E1477/1000),Skills!L26/10)+Skills!O26</f>
        <v/>
      </c>
      <c r="G1477">
        <f>Skills!G26*IF(Skills!H26&gt;0,INT(IF(Inputs!$B$38="pvp",MIN(Skills!I26,15),Skills!I26)/Skills!H26+0.000000001),1)</f>
        <v/>
      </c>
      <c r="H1477">
        <f>1-(1-Skills!J26/100)^Skills!K26</f>
        <v/>
      </c>
      <c r="I1477" t="inlineStr">
        <is>
          <t>1</t>
        </is>
      </c>
      <c r="J1477" t="inlineStr"/>
      <c r="K1477" t="inlineStr"/>
      <c r="L1477" t="inlineStr"/>
      <c r="M1477" t="inlineStr"/>
      <c r="N1477" t="inlineStr"/>
      <c r="O1477">
        <f>(1-Summary!$B$11)*T1477+Summary!$B$11*V1477</f>
        <v/>
      </c>
      <c r="P1477">
        <f>IF(B1492=0,0,O1477/B1492)</f>
        <v/>
      </c>
      <c r="Q1477" t="n">
        <v>0</v>
      </c>
      <c r="R1477" t="n">
        <v>0</v>
      </c>
      <c r="S1477">
        <f>IFERROR(O1477/N1477,0)</f>
        <v/>
      </c>
      <c r="T1477" t="n">
        <v>0</v>
      </c>
      <c r="V1477" t="n">
        <v>0</v>
      </c>
    </row>
    <row r="1478">
      <c r="A1478">
        <f>Skills!A27</f>
        <v/>
      </c>
      <c r="B1478">
        <f>Skills!B27</f>
        <v/>
      </c>
      <c r="C1478">
        <f>Inputs!$B$3&gt;=125</f>
        <v/>
      </c>
      <c r="D1478">
        <f>IF(Skills!C27=1,60+Inputs!$B$25+Inputs!$B$29,IF(Skills!C27=2,90+Inputs!$B$26+Inputs!$B$29,IF(Skills!C27=3,120+Inputs!$B$27+Inputs!$B$29,MAX(0,(Inputs!$B$3-100)*3)+Inputs!$B$28+Inputs!$B$29)))</f>
        <v/>
      </c>
      <c r="E1478">
        <f>INDEX(FactorTable!$B$2:$Y$301, MATCH(ROUND(MIN(300,MAX(1,D1478)),0), FactorTable!$A$2:$A$301,0), Skills!M27+1)</f>
        <v/>
      </c>
      <c r="F1478">
        <f>IF(Skills!N27=TRUE,(Skills!L27/10)*(E1478/1000),Skills!L27/10)+Skills!O27</f>
        <v/>
      </c>
      <c r="G1478">
        <f>Skills!G27*IF(Skills!H27&gt;0,INT(IF(Inputs!$B$38="pvp",MIN(Skills!I27,15),Skills!I27)/Skills!H27+0.000000001),1)</f>
        <v/>
      </c>
      <c r="H1478">
        <f>1-(1-Skills!J27/100)^Skills!K27</f>
        <v/>
      </c>
      <c r="I1478" t="inlineStr">
        <is>
          <t>1</t>
        </is>
      </c>
      <c r="J1478" t="inlineStr"/>
      <c r="K1478" t="inlineStr"/>
      <c r="L1478" t="inlineStr"/>
      <c r="M1478" t="inlineStr"/>
      <c r="N1478" t="inlineStr"/>
      <c r="O1478">
        <f>(1-Summary!$B$11)*T1478+Summary!$B$11*V1478</f>
        <v/>
      </c>
      <c r="P1478">
        <f>IF(B1492=0,0,O1478/B1492)</f>
        <v/>
      </c>
      <c r="Q1478" t="n">
        <v>0</v>
      </c>
      <c r="R1478" t="n">
        <v>0</v>
      </c>
      <c r="S1478">
        <f>IFERROR(O1478/N1478,0)</f>
        <v/>
      </c>
      <c r="T1478" t="n">
        <v>0</v>
      </c>
      <c r="V1478" t="n">
        <v>0</v>
      </c>
    </row>
    <row r="1479">
      <c r="A1479">
        <f>Skills!A28</f>
        <v/>
      </c>
      <c r="B1479">
        <f>Skills!B28</f>
        <v/>
      </c>
      <c r="C1479">
        <f>TRUE</f>
        <v/>
      </c>
      <c r="D1479">
        <f>IF(Skills!C28=1,60+Inputs!$B$25+Inputs!$B$29,IF(Skills!C28=2,90+Inputs!$B$26+Inputs!$B$29,IF(Skills!C28=3,120+Inputs!$B$27+Inputs!$B$29,MAX(0,(Inputs!$B$3-100)*3)+Inputs!$B$28+Inputs!$B$29)))</f>
        <v/>
      </c>
      <c r="E1479">
        <f>INDEX(FactorTable!$B$2:$Y$301, MATCH(ROUND(MIN(300,MAX(1,D1479)),0), FactorTable!$A$2:$A$301,0), Skills!M28+1)</f>
        <v/>
      </c>
      <c r="F1479">
        <f>IF(Skills!N28=TRUE,(Skills!L28/10)*(E1479/1000),Skills!L28/10)+Skills!O28</f>
        <v/>
      </c>
      <c r="G1479">
        <f>Skills!G28*IF(Skills!H28&gt;0,INT(IF(Inputs!$B$38="pvp",MIN(Skills!I28,15),Skills!I28)/Skills!H28+0.000000001),1)</f>
        <v/>
      </c>
      <c r="H1479">
        <f>1-(1-Skills!J28/100)^Skills!K28</f>
        <v/>
      </c>
      <c r="I1479" t="inlineStr">
        <is>
          <t>1</t>
        </is>
      </c>
      <c r="J1479" t="inlineStr"/>
      <c r="K1479" t="inlineStr"/>
      <c r="L1479" t="inlineStr"/>
      <c r="M1479" t="inlineStr"/>
      <c r="N1479" t="inlineStr"/>
      <c r="O1479">
        <f>(1-Summary!$B$11)*T1479+Summary!$B$11*V1479</f>
        <v/>
      </c>
      <c r="P1479">
        <f>IF(B1492=0,0,O1479/B1492)</f>
        <v/>
      </c>
      <c r="Q1479">
        <f>IFERROR(1/(IF(Inputs!$B$38="pvp",15,MAX(0.1,Skills!D28-IF(TRUE=TRUE,Inputs!$B$32,0)))*(1-IF(AND(ArtifactsInput!$M$27,Inputs!$B$4="Chapter Hunt"),CHOOSE(ArtifactsInput!$N$27+1,20,24,28,32,36,40),0)/100)),0)</f>
        <v/>
      </c>
      <c r="R1479">
        <f>IF(AND(Inputs!$B$38&lt;&gt;"pvp",Inputs!$B$43&gt;0),IF(Inputs!$B$43&lt;=0,0,(INT(Inputs!$B$43/(IF(Inputs!$B$38="pvp",15,MAX(0.1,Skills!D28-IF(TRUE=TRUE,Inputs!$B$32,0)))*(1-IF(AND(ArtifactsInput!$M$27,Inputs!$B$4="Chapter Hunt"),CHOOSE(ArtifactsInput!$N$27+1,20,24,28,32,36,40),0)/100)))+1)),0)</f>
        <v/>
      </c>
      <c r="S1479">
        <f>IFERROR(O1479/N1479,0)</f>
        <v/>
      </c>
      <c r="T1479" t="n">
        <v>0</v>
      </c>
      <c r="V1479" t="n">
        <v>0</v>
      </c>
    </row>
    <row r="1481">
      <c r="A1481" t="inlineStr">
        <is>
          <t>Attack% Bucket Multiplier</t>
        </is>
      </c>
      <c r="B1481">
        <f>(1+(((C1468=TRUE)*F1468*5/7)+((C1475=TRUE)*(F1475-Calc!F24))+(IF(ArtifactsInput!$M$21,CHOOSE(ArtifactsInput!$N$21+1,25,30,35,40,45,50)*(IF(OR(Inputs!$B$4="Chapter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482">
      <c r="A1482" t="inlineStr">
        <is>
          <t>Global Crit Rate Bonus %</t>
        </is>
      </c>
      <c r="B1482" t="n">
        <v>0</v>
      </c>
    </row>
    <row r="1483">
      <c r="A1483" t="inlineStr">
        <is>
          <t>Attack Speed Buff Bonus % (Nimble Feet, duty-cycle averaged)</t>
        </is>
      </c>
      <c r="B1483">
        <f>((C1479=TRUE)*F1479*IF(AND(Inputs!$B$38&lt;&gt;"pvp",Inputs!$B$43&gt;0),(((R1479-1)*MIN((Skills!T28*(1+Inputs!$B$34/100)),(1/Q1479))+MIN((Skills!T28*(1+Inputs!$B$34/100)),MAX(0,Inputs!$B$43-((R1479-1)*(1/Q1479)))))/Inputs!$B$43),IF(Inputs!$B$38="pvp",MIN((Skills!T28*(1+Inputs!$B$34/100)),15)/15,MIN(1,(Skills!T28*(1+Inputs!$B$34/100))/(1/Q1479)))))</f>
        <v/>
      </c>
    </row>
    <row r="1484">
      <c r="A1484" t="inlineStr">
        <is>
          <t>Actions Per Second</t>
        </is>
      </c>
      <c r="B1484">
        <f>1+MIN(150,150*(1-(1-(Inputs!$B$11+((C1471=TRUE)*(F1471-Calc!F20))+((C1472=TRUE)*(F1472-Calc!F21)))/150)*(1-B1483/150)))/100</f>
        <v/>
      </c>
    </row>
    <row r="1485">
      <c r="A1485" t="inlineStr">
        <is>
          <t>Skill + Buff Cast Rate</t>
        </is>
      </c>
      <c r="B1485">
        <f>IF(AND(Inputs!$B$38&lt;&gt;"pvp",Inputs!$B$43&gt;0),SUMPRODUCT((Skills!E2:E28=TRUE)*(C1453:C1479=TRUE)*R1453:R1479*Skills!F2:F28)/Inputs!$B$43,SUMPRODUCT((Skills!E2:E28=TRUE)*(C1453:C1479=TRUE)*Q1453:Q1479*Skills!F2:F28))</f>
        <v/>
      </c>
    </row>
    <row r="1486">
      <c r="A1486" t="inlineStr">
        <is>
          <t>Eight-Legs Easton Casts Per Second</t>
        </is>
      </c>
      <c r="B1486">
        <f>MAX(0,B1484-B1485)</f>
        <v/>
      </c>
    </row>
    <row r="1487">
      <c r="A1487" t="inlineStr">
        <is>
          <t>Global Critical Damage Bonus % (unused)</t>
        </is>
      </c>
      <c r="B1487" t="n">
        <v>0</v>
      </c>
    </row>
    <row r="1488">
      <c r="A1488" t="inlineStr">
        <is>
          <t>Global Final Damage Bonus % (Jolly Roger + Ahoy Mateys - Final Damage proc)</t>
        </is>
      </c>
      <c r="B1488">
        <f>((C1469=TRUE)*F1469*IF(AND(Inputs!$B$38&lt;&gt;"pvp",Inputs!$B$43&gt;0),(((R1469-1)*MIN((Skills!T18*(1+Inputs!$B$34/100)),(1/Q1469))+MIN((Skills!T18*(1+Inputs!$B$34/100)),MAX(0,Inputs!$B$43-((R1469-1)*(1/Q1469)))))/Inputs!$B$43),IF(Inputs!$B$38="pvp",MIN((Skills!T18*(1+Inputs!$B$34/100)),15)/15,MIN(1,(Skills!T18*(1+Inputs!$B$34/100))/(1/Q1469)))))+IF(Inputs!$B$3&gt;=122,20*IF(Inputs!$B$38="pvp",MIN((20*(1+Inputs!$B$34/100)),15)/15,MIN(1,(20*(1+Inputs!$B$34/100))/(1/Q1455))),0)</f>
        <v/>
      </c>
    </row>
    <row r="1489">
      <c r="A1489" t="inlineStr">
        <is>
          <t>Buff-Casting Startup Delay (s, fixed-duration only)</t>
        </is>
      </c>
      <c r="B1489">
        <f>IF(AND(Inputs!$B$38&lt;&gt;"pvp",Inputs!$B$43&gt;0),SUMPRODUCT((Skills!T2:T28&gt;0)*(Skills!E2:E28=TRUE)*(C1453:C1479=TRUE))/B1484,0)</f>
        <v/>
      </c>
    </row>
    <row r="1490">
      <c r="A1490" t="inlineStr">
        <is>
          <t>Boss-Only Total DPS (this block's swept value)</t>
        </is>
      </c>
      <c r="B1490">
        <f>SUM(T1453:T1479)</f>
        <v/>
      </c>
    </row>
    <row r="1491">
      <c r="A1491" t="inlineStr">
        <is>
          <t>Normal-Only Total DPS (this block's swept value)</t>
        </is>
      </c>
      <c r="B1491">
        <f>SUM(V1453:V1479)</f>
        <v/>
      </c>
    </row>
    <row r="1492">
      <c r="A1492" s="6" t="inlineStr">
        <is>
          <t>TOTAL DPS</t>
        </is>
      </c>
      <c r="B1492" s="6">
        <f>SUM(O1453:O1479)</f>
        <v/>
      </c>
    </row>
    <row r="1493">
      <c r="A1493" t="inlineStr">
        <is>
          <t>Quickdraw cooldown divisor (this block's own APS / Q)</t>
        </is>
      </c>
      <c r="B1493">
        <f>IF(AND(C1478=TRUE,Inputs!$B$38&lt;&gt;"pvp"),1+0.25*MAX(0,(B1484-(((C1454=TRUE)*Q1454*1)+((C1455=TRUE)*Q1455*1)+((C1457=TRUE)*Q1457*1)+((C1458=TRUE)*Q1458*1)+((C1460=TRUE)*Q1460*1)+((C1463=TRUE)*Q1463*1)+((C1469=TRUE)*Q1469*1)+((C1479=TRUE)*Q1479*1))-((C1459=TRUE)/(IF(Inputs!$B$38="pvp",15,MAX(0.1,Skills!D8-IF(TRUE=TRUE,Inputs!$B$32,0)))*(1-IF(AND(ArtifactsInput!$M$27,Inputs!$B$4="Chapter Hunt"),CHOOSE(ArtifactsInput!$N$27+1,20,24,28,32,36,40),0)/100))+(C1462=TRUE)/(IF(Inputs!$B$38="pvp",15,MAX(0.1,Skills!D11-IF(TRUE=TRUE,Inputs!$B$32,0)))*(1-IF(AND(ArtifactsInput!$M$27,Inputs!$B$4="Chapter Hunt"),CHOOSE(ArtifactsInput!$N$27+1,20,24,28,32,36,40),0)/100))))/(1+0.25*((C1459=TRUE)/(IF(Inputs!$B$38="pvp",15,MAX(0.1,Skills!D8-IF(TRUE=TRUE,Inputs!$B$32,0)))*(1-IF(AND(ArtifactsInput!$M$27,Inputs!$B$4="Chapter Hunt"),CHOOSE(ArtifactsInput!$N$27+1,20,24,28,32,36,40),0)/100))+(C1462=TRUE)/(IF(Inputs!$B$38="pvp",15,MAX(0.1,Skills!D11-IF(TRUE=TRUE,Inputs!$B$32,0)))*(1-IF(AND(ArtifactsInput!$M$27,Inputs!$B$4="Chapter Hunt"),CHOOSE(ArtifactsInput!$N$27+1,20,24,28,32,36,40),0)/100))))),1)</f>
        <v/>
      </c>
    </row>
    <row r="1494">
      <c r="A1494" t="inlineStr">
        <is>
          <t>Nautilus Strike - Final Attack trigger rate (this block's own Q/R)</t>
        </is>
      </c>
      <c r="B1494">
        <f>IF(AND(Inputs!$B$38&lt;&gt;"pvp",Inputs!$B$43&gt;0),(((C1454=TRUE)*R1454)+((C1457=TRUE)*R1457)+((C1459=TRUE)*R1459)+((C1460=TRUE)*R1460)+((C1462=TRUE)*R1462))/Inputs!$B$43,((C1454=TRUE)*Q1454)+((C1457=TRUE)*Q1457)+((C1459=TRUE)*Q1459)+((C1460=TRUE)*Q1460)+((C1462=TRUE)*Q1462))+B1486</f>
        <v/>
      </c>
    </row>
    <row r="1497">
      <c r="A1497" s="6" t="inlineStr">
        <is>
          <t>Stat: Hexagon Necklace (Equip)</t>
        </is>
      </c>
    </row>
    <row r="1498">
      <c r="A1498" s="5" t="inlineStr">
        <is>
          <t>Key</t>
        </is>
      </c>
      <c r="B1498" s="5" t="inlineStr">
        <is>
          <t>Name</t>
        </is>
      </c>
      <c r="C1498" s="5" t="inlineStr">
        <is>
          <t>Unlocked</t>
        </is>
      </c>
      <c r="D1498" s="5" t="inlineStr">
        <is>
          <t>InputLevel</t>
        </is>
      </c>
      <c r="E1498" s="5" t="inlineStr">
        <is>
          <t>Factor</t>
        </is>
      </c>
      <c r="F1498" s="5" t="inlineStr">
        <is>
          <t>CoefficientPercent</t>
        </is>
      </c>
      <c r="G1498" s="5" t="inlineStr">
        <is>
          <t>EffectiveHits</t>
        </is>
      </c>
      <c r="H1498" s="5" t="inlineStr">
        <is>
          <t>ProcProbability</t>
        </is>
      </c>
      <c r="I1498" s="5" t="inlineStr">
        <is>
          <t>MapleHeroMultiplier</t>
        </is>
      </c>
      <c r="J1498" s="5" t="inlineStr">
        <is>
          <t>BaseDamage</t>
        </is>
      </c>
      <c r="K1498" s="5" t="inlineStr">
        <is>
          <t>BaseHitDamage</t>
        </is>
      </c>
      <c r="L1498" s="5" t="inlineStr">
        <is>
          <t>NonCritAvg</t>
        </is>
      </c>
      <c r="M1498" s="5" t="inlineStr">
        <is>
          <t>CritAvg</t>
        </is>
      </c>
      <c r="N1498" s="5" t="inlineStr">
        <is>
          <t>ExpectedDamage(perHit)</t>
        </is>
      </c>
      <c r="O1498" s="5" t="inlineStr">
        <is>
          <t>DPS</t>
        </is>
      </c>
      <c r="P1498" s="5" t="inlineStr">
        <is>
          <t>% of Total</t>
        </is>
      </c>
      <c r="Q1498" s="5" t="inlineStr">
        <is>
          <t>InvCooldown</t>
        </is>
      </c>
      <c r="R1498" s="5" t="inlineStr">
        <is>
          <t>CastsInFight</t>
        </is>
      </c>
      <c r="S1498" s="5" t="inlineStr">
        <is>
          <t>HitRate(perSec)</t>
        </is>
      </c>
      <c r="U1498" t="inlineStr">
        <is>
          <t>helpers</t>
        </is>
      </c>
    </row>
    <row r="1499">
      <c r="A1499">
        <f>Skills!A2</f>
        <v/>
      </c>
      <c r="B1499">
        <f>Skills!B2</f>
        <v/>
      </c>
      <c r="C1499">
        <f>Inputs!$B$3&gt;=100</f>
        <v/>
      </c>
      <c r="D1499" t="inlineStr"/>
      <c r="E1499" t="inlineStr"/>
      <c r="F1499">
        <f>U1501+Skills!O2</f>
        <v/>
      </c>
      <c r="G1499">
        <f>Skills!G2*IF(Skills!H2&gt;0,INT(IF(Inputs!$B$38="pvp",MIN(Skills!I2,15),Skills!I2)/Skills!H2+0.000000001),1)</f>
        <v/>
      </c>
      <c r="H1499">
        <f>1-(1-Skills!J2/100)^Skills!K2</f>
        <v/>
      </c>
      <c r="I1499" t="inlineStr">
        <is>
          <t>1</t>
        </is>
      </c>
      <c r="J1499">
        <f>((Inputs!$B$6*(1+Inputs!$B$7/100))+(((Inputs!$B$12*(1+Inputs!$B$13/100))-(Inputs!$B$12*(1+Inputs!$B$13/100)))+0.25*(Inputs!$B$14-Inputs!$B$14))*(1+Inputs!$B$7/100))*(F1499/100)</f>
        <v/>
      </c>
      <c r="K1499">
        <f>J1499*(1+((Inputs!$B$12*(1+Inputs!$B$13/100))*0.01+Inputs!$B$14*0.0025)/100)*(1+Inputs!$B$15/100)*(1+Inputs!$B$16/100)*(5000/(6000+Inputs!$B$42*(1-(100*(1-(1-(Inputs!$B$19+0)/100)*(1-CHOOSE(ArtifactsInput!$N$40+1,5,6,7,8,9,10)/100)^(ArtifactsInput!$M$40-ArtifactsInput!$M$40)))/100)))*(1+(Inputs!$B$24+((C1523=TRUE)*(F1523-Calc!F26))+B1534)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IGHT_LEGS_EASTON",Inputs!$B$17+((C1520=TRUE)*(F1520-Calc!F23))+((C1524=TRUE)*(F1524-Calc!F27))+((IF(AND(Inputs!$B$38&lt;&gt;"pvp",Inputs!$B$43=0),1,IF(IF(Inputs!$B$38="pvp",15,Inputs!$B$43)-(B1535)&lt;=0,1,MAX(0,IF(Inputs!$B$38="pvp",15,Inputs!$B$43)-MAX(5,B1535))/(IF(Inputs!$B$38="pvp",15,Inputs!$B$43)-(B1535))))*(IF(AND(ArtifactsInput!$M$42,((Inputs!$B$9+((C1516=TRUE)*(F1516-Calc!F19))+B1528+(ArtifactsInput!$M$24-ArtifactsInput!$M$24)*CHOOSE(ArtifactsInput!$N$24+1,10,12,14,16,18,20)+IF(ArtifactsInput!$M$10,CHOOSE(ArtifactsInput!$N$10+1,15,18,21,24,27,30)*(IF(Inputs!$B$38="pvp",MIN(15,15)/15,IF(AND(Inputs!$B$38&lt;&gt;"pvp",Inputs!$B$43&gt;0),MIN(15,Inputs!$B$43)/(Inputs!$B$43),0))),0)))&gt;=100),MIN(100,((Inputs!$B$9+((C1516=TRUE)*(F1516-Calc!F19))+B1528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1535)&lt;=0,1,MAX(0,IF(Inputs!$B$38="pvp",15,Inputs!$B$43)-MAX(5,B1535))/(IF(Inputs!$B$38="pvp",15,Inputs!$B$43)-(B1535))))*IF(AND(ArtifactsInput!$M$42,((Inputs!$B$9+((C1516=TRUE)*(F1516-Calc!F19))+B1528+(ArtifactsInput!$M$24-ArtifactsInput!$M$24)*CHOOSE(ArtifactsInput!$N$24+1,10,12,14,16,18,20)+IF(ArtifactsInput!$M$10,CHOOSE(ArtifactsInput!$N$10+1,15,18,21,24,27,30)*(IF(Inputs!$B$38="pvp",MIN(15,15)/15,IF(AND(Inputs!$B$38&lt;&gt;"pvp",Inputs!$B$43&gt;0),MIN(15,Inputs!$B$43)/(Inputs!$B$43),0))),0)))&gt;=100),CHOOSE(ArtifactsInput!$N$42+1,40,48,56,64,72,80),0))))/100)*((1+(((C1514=TRUE)*F1514*5/7)+((C1521=TRUE)*(F1521-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IF(ArtifactsInput!$M$11,FALSE,TRUE),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1499)</f>
        <v/>
      </c>
      <c r="L1499">
        <f>K1499*(MIN(Inputs!$B$22+((C1519=TRUE)*(F1519-Calc!F22)),(Inputs!$B$23+0+(IF(ArtifactsInput!$M$15,CHOOSE(ArtifactsInput!$N$15+1,25,30,35,40,45,50)/100*(Inputs!$B$11-Inputs!$B$11),0))))/100+(Inputs!$B$23+0+(IF(ArtifactsInput!$M$15,CHOOSE(ArtifactsInput!$N$15+1,25,30,35,40,45,50)/100*(Inputs!$B$11-Inputs!$B$11),0)))/100)/2</f>
        <v/>
      </c>
      <c r="M1499">
        <f>L1499*(1+(Inputs!$B$10+((C1522=TRUE)*(F1522-Calc!F25))+B1533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99">
        <f>L1499*(1-MIN((Inputs!$B$9+((C1516=TRUE)*(F1516-Calc!F19))+B1528+(ArtifactsInput!$M$24-ArtifactsInput!$M$24)*CHOOSE(ArtifactsInput!$N$24+1,10,12,14,16,18,20)+(IF(AND(Inputs!$B$38&lt;&gt;"pvp",Inputs!$B$43=0),1,IF(IF(Inputs!$B$38="pvp",15,Inputs!$B$43)-(B1535)&lt;=0,1,MAX(0,IF(Inputs!$B$38="pvp",15,Inputs!$B$43)-MAX(5,B1535))/(IF(Inputs!$B$38="pvp",15,Inputs!$B$43)-(B1535))))*IF(AND(ArtifactsInput!$M$42,((Inputs!$B$9+((C1516=TRUE)*(F1516-Calc!F19))+B1528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1499*(MIN((Inputs!$B$9+((C1516=TRUE)*(F1516-Calc!F19))+B1528+(ArtifactsInput!$M$24-ArtifactsInput!$M$24)*CHOOSE(ArtifactsInput!$N$24+1,10,12,14,16,18,20)+(IF(AND(Inputs!$B$38&lt;&gt;"pvp",Inputs!$B$43=0),1,IF(IF(Inputs!$B$38="pvp",15,Inputs!$B$43)-(B1535)&lt;=0,1,MAX(0,IF(Inputs!$B$38="pvp",15,Inputs!$B$43)-MAX(5,B1535))/(IF(Inputs!$B$38="pvp",15,Inputs!$B$43)-(B1535))))*IF(AND(ArtifactsInput!$M$42,((Inputs!$B$9+((C1516=TRUE)*(F1516-Calc!F19))+B1528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99">
        <f>(1-Summary!$B$11)*T1499+Summary!$B$11*V1499</f>
        <v/>
      </c>
      <c r="P1499">
        <f>IF(B1538=0,0,O1499/B1538)</f>
        <v/>
      </c>
      <c r="Q1499" t="n">
        <v>0</v>
      </c>
      <c r="R1499" t="n">
        <v>0</v>
      </c>
      <c r="S1499">
        <f>IFERROR(O1499/N1499,0)</f>
        <v/>
      </c>
      <c r="T1499">
        <f>IF(C1499,(Skills!G2*N1499*B1532*(1+IF(C1524=TRUE,1/3,0)))*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Hunt"),CHOOSE(ArtifactsInput!$N$35+1,15,18,21,24,27,30)*(1-EXP(-(0.2*B1530)*5)),0)+IF(AND(ArtifactsInput!$M$22,Inputs!$B$4&lt;&gt;"Chapter Hunt"),CHOOSE(ArtifactsInput!$N$22+1,10,12,14,16,18,20)*((0*(((0.15*B1530*5))^0/1)+1*(((0.15*B1530*5))^1/1)+2*(((0.15*B1530*5))^2/2)+3*(((0.15*B1530*5))^3/6)+4*(((0.15*B1530*5))^4/24)+5*(((0.15*B1530*5))^5/120))/((((0.15*B1530*5))^0/1)+(((0.15*B1530*5))^1/1)+(((0.15*B1530*5))^2/2)+(((0.15*B1530*5))^3/6)+(((0.15*B1530*5))^4/24)+(((0.15*B1530*5))^5/120))),0))+IF(Inputs!$B$3&gt;=54,9*(C1500=TRUE)*MIN(1,8*(1+Inputs!$B$34/100)*Q1500)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1499*(1-MIN(100,(Inputs!$B$9+((C1516=TRUE)*(F1516-Calc!F19))+B1528+(ArtifactsInput!$M$24-ArtifactsInput!$M$24)*CHOOSE(ArtifactsInput!$N$24+1,10,12,14,16,18,20)+(IF(AND(Inputs!$B$38&lt;&gt;"pvp",Inputs!$B$43=0),1,IF(IF(Inputs!$B$38="pvp",15,Inputs!$B$43)-(B1535)&lt;=0,1,MAX(0,IF(Inputs!$B$38="pvp",15,Inputs!$B$43)-MAX(5,B1535))/(IF(Inputs!$B$38="pvp",15,Inputs!$B$43)-(B1535))))*IF(AND(ArtifactsInput!$M$42,((Inputs!$B$9+((C1516=TRUE)*(F1516-Calc!F19))+B1528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1499*(MIN(100,(Inputs!$B$9+((C1516=TRUE)*(F1516-Calc!F19))+B1528+(ArtifactsInput!$M$24-ArtifactsInput!$M$24)*CHOOSE(ArtifactsInput!$N$24+1,10,12,14,16,18,20)+(IF(AND(Inputs!$B$38&lt;&gt;"pvp",Inputs!$B$43=0),1,IF(IF(Inputs!$B$38="pvp",15,Inputs!$B$43)-(B1535)&lt;=0,1,MAX(0,IF(Inputs!$B$38="pvp",15,Inputs!$B$43)-MAX(5,B1535))/(IF(Inputs!$B$38="pvp",15,Inputs!$B$43)-(B1535))))*IF(AND(ArtifactsInput!$M$42,((Inputs!$B$9+((C1516=TRUE)*(F1516-Calc!F19))+B1528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1499*(1-MIN(100,(Inputs!$B$9+((C1516=TRUE)*(F1516-Calc!F19))+B1528+(ArtifactsInput!$M$24-ArtifactsInput!$M$24)*CHOOSE(ArtifactsInput!$N$24+1,10,12,14,16,18,20)+(IF(AND(Inputs!$B$38&lt;&gt;"pvp",Inputs!$B$43=0),1,IF(IF(Inputs!$B$38="pvp",15,Inputs!$B$43)-(B1535)&lt;=0,1,MAX(0,IF(Inputs!$B$38="pvp",15,Inputs!$B$43)-MAX(5,B1535))/(IF(Inputs!$B$38="pvp",15,Inputs!$B$43)-(B1535))))*IF(AND(ArtifactsInput!$M$42,((Inputs!$B$9+((C1516=TRUE)*(F1516-Calc!F19))+B1528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1499*(MIN(100,(Inputs!$B$9+((C1516=TRUE)*(F1516-Calc!F19))+B1528+(ArtifactsInput!$M$24-ArtifactsInput!$M$24)*CHOOSE(ArtifactsInput!$N$24+1,10,12,14,16,18,20)+(IF(AND(Inputs!$B$38&lt;&gt;"pvp",Inputs!$B$43=0),1,IF(IF(Inputs!$B$38="pvp",15,Inputs!$B$43)-(B1535)&lt;=0,1,MAX(0,IF(Inputs!$B$38="pvp",15,Inputs!$B$43)-MAX(5,B1535))/(IF(Inputs!$B$38="pvp",15,Inputs!$B$43)-(B1535))))*IF(AND(ArtifactsInput!$M$42,((Inputs!$B$9+((C1516=TRUE)*(F1516-Calc!F19))+B1528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499">
        <f>MAX(0,(Inputs!$B$3-100)*3)+Inputs!$B$28+Inputs!$B$29</f>
        <v/>
      </c>
      <c r="V1499">
        <f>IF(C1499,(Skills!G2*N1499*B1532*(1+IF(C1524=TRUE,1/3,0)))*IF(Inputs!$B$38="pvp",1,(1+(Inputs!$B$21+Skills!Q2+(IF(ArtifactsInput!$M$33,CHOOSE(ArtifactsInput!$N$33+1,30,36,42,48,54,60),0))+(IF(AND(ArtifactsInput!$M$35,Inputs!$B$4&lt;&gt;"Chapter Hunt"),CHOOSE(ArtifactsInput!$N$35+1,15,18,21,24,27,30)*(1-EXP(-(0.2*B1530)*5)),0)+IF(AND(ArtifactsInput!$M$22,Inputs!$B$4&lt;&gt;"Chapter Hunt"),CHOOSE(ArtifactsInput!$N$22+1,10,12,14,16,18,20)*((0*(((0.15*B1530*5))^0/1)+1*(((0.15*B1530*5))^1/1)+2*(((0.15*B1530*5))^2/2)+3*(((0.15*B1530*5))^3/6)+4*(((0.15*B1530*5))^4/24)+5*(((0.15*B1530*5))^5/120))/((((0.15*B1530*5))^0/1)+(((0.15*B1530*5))^1/1)+(((0.15*B1530*5))^2/2)+(((0.15*B1530*5))^3/6)+(((0.15*B1530*5))^4/24)+(((0.15*B1530*5))^5/120))),0))+IF(Inputs!$B$3&gt;=54,9*(C1500=TRUE)*MIN(1,8*(1+Inputs!$B$34/100)*Q1500)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00">
      <c r="A1500">
        <f>Skills!A3</f>
        <v/>
      </c>
      <c r="B1500">
        <f>Skills!B3</f>
        <v/>
      </c>
      <c r="C1500">
        <f>Inputs!$B$3&gt;=33</f>
        <v/>
      </c>
      <c r="D1500">
        <f>IF(Skills!C3=1,60+Inputs!$B$25+Inputs!$B$29,IF(Skills!C3=2,90+Inputs!$B$26+Inputs!$B$29,IF(Skills!C3=3,120+Inputs!$B$27+Inputs!$B$29,MAX(0,(Inputs!$B$3-100)*3)+Inputs!$B$28+Inputs!$B$29)))</f>
        <v/>
      </c>
      <c r="E1500">
        <f>INDEX(FactorTable!$B$2:$Y$301, MATCH(ROUND(MIN(300,MAX(1,D1500)),0), FactorTable!$A$2:$A$301,0), Skills!M3+1)</f>
        <v/>
      </c>
      <c r="F1500">
        <f>IF(Skills!N3=TRUE,(Skills!L3/10)*(E1500/1000),Skills!L3/10)+Skills!O3</f>
        <v/>
      </c>
      <c r="G1500">
        <f>Skills!G3*IF(Skills!H3&gt;0,INT(IF(Inputs!$B$38="pvp",MIN(Skills!I3,15),Skills!I3)/Skills!H3+0.000000001),1)</f>
        <v/>
      </c>
      <c r="H1500">
        <f>1-(1-Skills!J3/100)^Skills!K3</f>
        <v/>
      </c>
      <c r="I1500" t="inlineStr">
        <is>
          <t>1</t>
        </is>
      </c>
      <c r="J1500">
        <f>((Inputs!$B$6*(1+Inputs!$B$7/100))+(((Inputs!$B$12*(1+Inputs!$B$13/100))-(Inputs!$B$12*(1+Inputs!$B$13/100)))+0.25*(Inputs!$B$14-Inputs!$B$14))*(1+Inputs!$B$7/100))*(F1500/100)</f>
        <v/>
      </c>
      <c r="K1500">
        <f>J1500*(1+((Inputs!$B$12*(1+Inputs!$B$13/100))*0.01+Inputs!$B$14*0.0025)/100)*(1+Inputs!$B$15/100)*(1+Inputs!$B$16/100)*(5000/(6000+Inputs!$B$42*(1-(100*(1-(1-(Inputs!$B$19+0)/100)*(1-CHOOSE(ArtifactsInput!$N$40+1,5,6,7,8,9,10)/100)^(ArtifactsInput!$M$40-ArtifactsInput!$M$40)))/100)))*(1+(Inputs!$B$24+((C1523=TRUE)*(F1523-Calc!F26))+B1534)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1512=TRUE,F1512,0)/100)*(1+(IF(Skills!A3="EIGHT_LEGS_EASTON",Inputs!$B$17+((C1520=TRUE)*(F1520-Calc!F23))+((C1524=TRUE)*(F1524-Calc!F27))+((IF(AND(Inputs!$B$38&lt;&gt;"pvp",Inputs!$B$43=0),1,IF(IF(Inputs!$B$38="pvp",15,Inputs!$B$43)-(B1535)&lt;=0,1,MAX(0,IF(Inputs!$B$38="pvp",15,Inputs!$B$43)-MAX(5,B1535))/(IF(Inputs!$B$38="pvp",15,Inputs!$B$43)-(B1535))))*(IF(AND(ArtifactsInput!$M$42,((Inputs!$B$9+((C1516=TRUE)*(F1516-Calc!F19))+B1528+(ArtifactsInput!$M$24-ArtifactsInput!$M$24)*CHOOSE(ArtifactsInput!$N$24+1,10,12,14,16,18,20)+IF(ArtifactsInput!$M$10,CHOOSE(ArtifactsInput!$N$10+1,15,18,21,24,27,30)*(IF(Inputs!$B$38="pvp",MIN(15,15)/15,IF(AND(Inputs!$B$38&lt;&gt;"pvp",Inputs!$B$43&gt;0),MIN(15,Inputs!$B$43)/(Inputs!$B$43),0))),0)))&gt;=100),MIN(100,((Inputs!$B$9+((C1516=TRUE)*(F1516-Calc!F19))+B1528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1535)&lt;=0,1,MAX(0,IF(Inputs!$B$38="pvp",15,Inputs!$B$43)-MAX(5,B1535))/(IF(Inputs!$B$38="pvp",15,Inputs!$B$43)-(B1535))))*IF(AND(ArtifactsInput!$M$42,((Inputs!$B$9+((C1516=TRUE)*(F1516-Calc!F19))+B1528+(ArtifactsInput!$M$24-ArtifactsInput!$M$24)*CHOOSE(ArtifactsInput!$N$24+1,10,12,14,16,18,20)+IF(ArtifactsInput!$M$10,CHOOSE(ArtifactsInput!$N$10+1,15,18,21,24,27,30)*(IF(Inputs!$B$38="pvp",MIN(15,15)/15,IF(AND(Inputs!$B$38&lt;&gt;"pvp",Inputs!$B$43&gt;0),MIN(15,Inputs!$B$43)/(Inputs!$B$43),0))),0)))&gt;=100),CHOOSE(ArtifactsInput!$N$42+1,40,48,56,64,72,80),0))))/100)*((1+(((C1514=TRUE)*F1514*5/7)+((C1521=TRUE)*(F1521-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IF(ArtifactsInput!$M$11,FALSE,TRUE),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1500)</f>
        <v/>
      </c>
      <c r="L1500">
        <f>K1500*(MIN(Inputs!$B$22+((C1519=TRUE)*(F1519-Calc!F22)),(Inputs!$B$23+0+(IF(ArtifactsInput!$M$15,CHOOSE(ArtifactsInput!$N$15+1,25,30,35,40,45,50)/100*(Inputs!$B$11-Inputs!$B$11),0))))/100+(Inputs!$B$23+0+(IF(ArtifactsInput!$M$15,CHOOSE(ArtifactsInput!$N$15+1,25,30,35,40,45,50)/100*(Inputs!$B$11-Inputs!$B$11),0)))/100)/2</f>
        <v/>
      </c>
      <c r="M1500">
        <f>L1500*(1+(Inputs!$B$10+((C1522=TRUE)*(F1522-Calc!F25))+B1533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00">
        <f>L1500*(1-MIN((Inputs!$B$9+((C1516=TRUE)*(F1516-Calc!F19))+B1528+(ArtifactsInput!$M$24-ArtifactsInput!$M$24)*CHOOSE(ArtifactsInput!$N$24+1,10,12,14,16,18,20)+(IF(AND(Inputs!$B$38&lt;&gt;"pvp",Inputs!$B$43=0),1,IF(IF(Inputs!$B$38="pvp",15,Inputs!$B$43)-(B1535)&lt;=0,1,MAX(0,IF(Inputs!$B$38="pvp",15,Inputs!$B$43)-MAX(5,B1535))/(IF(Inputs!$B$38="pvp",15,Inputs!$B$43)-(B1535))))*IF(AND(ArtifactsInput!$M$42,((Inputs!$B$9+((C1516=TRUE)*(F1516-Calc!F19))+B1528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1500*(MIN((Inputs!$B$9+((C1516=TRUE)*(F1516-Calc!F19))+B1528+(ArtifactsInput!$M$24-ArtifactsInput!$M$24)*CHOOSE(ArtifactsInput!$N$24+1,10,12,14,16,18,20)+(IF(AND(Inputs!$B$38&lt;&gt;"pvp",Inputs!$B$43=0),1,IF(IF(Inputs!$B$38="pvp",15,Inputs!$B$43)-(B1535)&lt;=0,1,MAX(0,IF(Inputs!$B$38="pvp",15,Inputs!$B$43)-MAX(5,B1535))/(IF(Inputs!$B$38="pvp",15,Inputs!$B$43)-(B1535))))*IF(AND(ArtifactsInput!$M$42,((Inputs!$B$9+((C1516=TRUE)*(F1516-Calc!F19))+B1528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00">
        <f>(1-Summary!$B$11)*T1500+Summary!$B$11*V1500</f>
        <v/>
      </c>
      <c r="P1500">
        <f>IF(B1538=0,0,O1500/B1538)</f>
        <v/>
      </c>
      <c r="Q1500">
        <f>IFERROR(1/(IF(Inputs!$B$38="pvp",15,MAX(0.1,Skills!D3-IF(TRUE=TRUE,Inputs!$B$32,0)))*(1-IF(AND(ArtifactsInput!$M$27,Inputs!$B$4="Chapter Hunt"),CHOOSE(ArtifactsInput!$N$27+1,20,24,28,32,36,40),0)/100)),0)</f>
        <v/>
      </c>
      <c r="R1500">
        <f>IF(AND(Inputs!$B$38&lt;&gt;"pvp",Inputs!$B$43&gt;0),IF(MAX(0,Inputs!$B$43-B1535)&lt;=0,0,(INT(MAX(0,Inputs!$B$43-B1535)/(IF(Inputs!$B$38="pvp",15,MAX(0.1,Skills!D3-IF(TRUE=TRUE,Inputs!$B$32,0)))*(1-IF(AND(ArtifactsInput!$M$27,Inputs!$B$4="Chapter Hunt"),CHOOSE(ArtifactsInput!$N$27+1,20,24,28,32,36,40),0)/100)))+1)),0)</f>
        <v/>
      </c>
      <c r="S1500">
        <f>IFERROR(O1500/N1500,0)</f>
        <v/>
      </c>
      <c r="T1500">
        <f>IF(C1500,(H1500*N1500*IF(AND(Inputs!$B$38&lt;&gt;"pvp",Inputs!$B$43&gt;0),((Skills!G3*((R1500-1)*IF(Skills!H3&gt;0,INT(Skills!I3/Skills!H3+0.000000001),1)+IF(Skills!H3&gt;0,INT(MIN(Skills!I3,MAX(0,MAX(0,Inputs!$B$43-B1535)-((R1500-1)*(IF(Inputs!$B$38="pvp",15,MAX(0.1,Skills!D3-IF(TRUE=TRUE,Inputs!$B$32,0)))*(1-IF(AND(ArtifactsInput!$M$27,Inputs!$B$4="Chapter Hunt"),CHOOSE(ArtifactsInput!$N$27+1,20,24,28,32,36,40),0)/100)))))/Skills!H3+0.000000001),1)))/Inputs!$B$43),G1500*Q1500))*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Hunt"),CHOOSE(ArtifactsInput!$N$35+1,15,18,21,24,27,30)*(1-EXP(-(0.2*B1530)*5)),0)+IF(AND(ArtifactsInput!$M$22,Inputs!$B$4&lt;&gt;"Chapter Hunt"),CHOOSE(ArtifactsInput!$N$22+1,10,12,14,16,18,20)*((0*(((0.15*B1530*5))^0/1)+1*(((0.15*B1530*5))^1/1)+2*(((0.15*B1530*5))^2/2)+3*(((0.15*B1530*5))^3/6)+4*(((0.15*B1530*5))^4/24)+5*(((0.15*B1530*5))^5/120))/((((0.15*B1530*5))^0/1)+(((0.15*B1530*5))^1/1)+(((0.15*B1530*5))^2/2)+(((0.15*B1530*5))^3/6)+(((0.15*B1530*5))^4/24)+(((0.15*B1530*5))^5/120))),0))+IF(Inputs!$B$3&gt;=54,9*(C1500=TRUE)*MIN(1,8*(1+Inputs!$B$34/100)*Q1500)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1500*(1-MIN(100,(Inputs!$B$9+((C1516=TRUE)*(F1516-Calc!F19))+B1528+(ArtifactsInput!$M$24-ArtifactsInput!$M$24)*CHOOSE(ArtifactsInput!$N$24+1,10,12,14,16,18,20)+(IF(AND(Inputs!$B$38&lt;&gt;"pvp",Inputs!$B$43=0),1,IF(IF(Inputs!$B$38="pvp",15,Inputs!$B$43)-(B1535)&lt;=0,1,MAX(0,IF(Inputs!$B$38="pvp",15,Inputs!$B$43)-MAX(5,B1535))/(IF(Inputs!$B$38="pvp",15,Inputs!$B$43)-(B1535))))*IF(AND(ArtifactsInput!$M$42,((Inputs!$B$9+((C1516=TRUE)*(F1516-Calc!F19))+B1528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1500*(MIN(100,(Inputs!$B$9+((C1516=TRUE)*(F1516-Calc!F19))+B1528+(ArtifactsInput!$M$24-ArtifactsInput!$M$24)*CHOOSE(ArtifactsInput!$N$24+1,10,12,14,16,18,20)+(IF(AND(Inputs!$B$38&lt;&gt;"pvp",Inputs!$B$43=0),1,IF(IF(Inputs!$B$38="pvp",15,Inputs!$B$43)-(B1535)&lt;=0,1,MAX(0,IF(Inputs!$B$38="pvp",15,Inputs!$B$43)-MAX(5,B1535))/(IF(Inputs!$B$38="pvp",15,Inputs!$B$43)-(B1535))))*IF(AND(ArtifactsInput!$M$42,((Inputs!$B$9+((C1516=TRUE)*(F1516-Calc!F19))+B1528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1500*(1-MIN(100,(Inputs!$B$9+((C1516=TRUE)*(F1516-Calc!F19))+B1528+(ArtifactsInput!$M$24-ArtifactsInput!$M$24)*CHOOSE(ArtifactsInput!$N$24+1,10,12,14,16,18,20)+(IF(AND(Inputs!$B$38&lt;&gt;"pvp",Inputs!$B$43=0),1,IF(IF(Inputs!$B$38="pvp",15,Inputs!$B$43)-(B1535)&lt;=0,1,MAX(0,IF(Inputs!$B$38="pvp",15,Inputs!$B$43)-MAX(5,B1535))/(IF(Inputs!$B$38="pvp",15,Inputs!$B$43)-(B1535))))*IF(AND(ArtifactsInput!$M$42,((Inputs!$B$9+((C1516=TRUE)*(F1516-Calc!F19))+B1528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1500*(MIN(100,(Inputs!$B$9+((C1516=TRUE)*(F1516-Calc!F19))+B1528+(ArtifactsInput!$M$24-ArtifactsInput!$M$24)*CHOOSE(ArtifactsInput!$N$24+1,10,12,14,16,18,20)+(IF(AND(Inputs!$B$38&lt;&gt;"pvp",Inputs!$B$43=0),1,IF(IF(Inputs!$B$38="pvp",15,Inputs!$B$43)-(B1535)&lt;=0,1,MAX(0,IF(Inputs!$B$38="pvp",15,Inputs!$B$43)-MAX(5,B1535))/(IF(Inputs!$B$38="pvp",15,Inputs!$B$43)-(B1535))))*IF(AND(ArtifactsInput!$M$42,((Inputs!$B$9+((C1516=TRUE)*(F1516-Calc!F19))+B1528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500">
        <f>INDEX(FactorTable!$B$2:$Y$301, MATCH(ROUND(MIN(300,MAX(1,U1499)),0), FactorTable!$A$2:$A$301,0), 22)</f>
        <v/>
      </c>
      <c r="V1500">
        <f>IF(C1500,(H1500*N1500*IF(AND(Inputs!$B$38&lt;&gt;"pvp",Inputs!$B$43&gt;0),((Skills!G3*((R1500-1)*IF(Skills!H3&gt;0,INT(Skills!I3/Skills!H3+0.000000001),1)+IF(Skills!H3&gt;0,INT(MIN(Skills!I3,MAX(0,MAX(0,Inputs!$B$43-B1535)-((R1500-1)*(IF(Inputs!$B$38="pvp",15,MAX(0.1,Skills!D3-IF(TRUE=TRUE,Inputs!$B$32,0)))*(1-IF(AND(ArtifactsInput!$M$27,Inputs!$B$4="Chapter Hunt"),CHOOSE(ArtifactsInput!$N$27+1,20,24,28,32,36,40),0)/100)))))/Skills!H3+0.000000001),1)))/Inputs!$B$43),G1500*Q1500))*IF(Inputs!$B$38="pvp",1,(1+(Inputs!$B$21+Skills!Q3+(IF(ArtifactsInput!$M$33,CHOOSE(ArtifactsInput!$N$33+1,30,36,42,48,54,60),0))+(IF(AND(ArtifactsInput!$M$35,Inputs!$B$4&lt;&gt;"Chapter Hunt"),CHOOSE(ArtifactsInput!$N$35+1,15,18,21,24,27,30)*(1-EXP(-(0.2*B1530)*5)),0)+IF(AND(ArtifactsInput!$M$22,Inputs!$B$4&lt;&gt;"Chapter Hunt"),CHOOSE(ArtifactsInput!$N$22+1,10,12,14,16,18,20)*((0*(((0.15*B1530*5))^0/1)+1*(((0.15*B1530*5))^1/1)+2*(((0.15*B1530*5))^2/2)+3*(((0.15*B1530*5))^3/6)+4*(((0.15*B1530*5))^4/24)+5*(((0.15*B1530*5))^5/120))/((((0.15*B1530*5))^0/1)+(((0.15*B1530*5))^1/1)+(((0.15*B1530*5))^2/2)+(((0.15*B1530*5))^3/6)+(((0.15*B1530*5))^4/24)+(((0.15*B1530*5))^5/120))),0))+IF(Inputs!$B$3&gt;=54,9*(C1500=TRUE)*MIN(1,8*(1+Inputs!$B$34/100)*Q1500)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01">
      <c r="A1501">
        <f>Skills!A4</f>
        <v/>
      </c>
      <c r="B1501">
        <f>Skills!B4</f>
        <v/>
      </c>
      <c r="C1501">
        <f>Inputs!$B$3&gt;=35</f>
        <v/>
      </c>
      <c r="D1501">
        <f>IF(Skills!C4=1,60+Inputs!$B$25+Inputs!$B$29,IF(Skills!C4=2,90+Inputs!$B$26+Inputs!$B$29,IF(Skills!C4=3,120+Inputs!$B$27+Inputs!$B$29,MAX(0,(Inputs!$B$3-100)*3)+Inputs!$B$28+Inputs!$B$29)))</f>
        <v/>
      </c>
      <c r="E1501">
        <f>INDEX(FactorTable!$B$2:$Y$301, MATCH(ROUND(MIN(300,MAX(1,D1501)),0), FactorTable!$A$2:$A$301,0), Skills!M4+1)</f>
        <v/>
      </c>
      <c r="F1501">
        <f>IF(Skills!N4=TRUE,(Skills!L4/10)*(E1501/1000),Skills!L4/10)+Skills!O4</f>
        <v/>
      </c>
      <c r="G1501">
        <f>Skills!G4*IF(Skills!H4&gt;0,INT(IF(Inputs!$B$38="pvp",MIN(IF(Inputs!$B$3&gt;=104,MIN(35,20*(1+Inputs!$B$34/100)),20),15),IF(Inputs!$B$3&gt;=104,MIN(35,20*(1+Inputs!$B$34/100)),20))/Skills!H4+0.000000001),1)</f>
        <v/>
      </c>
      <c r="H1501">
        <f>1-(1-Skills!J4/100)^Skills!K4</f>
        <v/>
      </c>
      <c r="I1501" t="inlineStr">
        <is>
          <t>1</t>
        </is>
      </c>
      <c r="J1501">
        <f>((Inputs!$B$6*(1+Inputs!$B$7/100))+(((Inputs!$B$12*(1+Inputs!$B$13/100))-(Inputs!$B$12*(1+Inputs!$B$13/100)))+0.25*(Inputs!$B$14-Inputs!$B$14))*(1+Inputs!$B$7/100))*(F1501/100)</f>
        <v/>
      </c>
      <c r="K1501">
        <f>J1501*(1+((Inputs!$B$12*(1+Inputs!$B$13/100))*0.01+Inputs!$B$14*0.0025)/100)*(1+Inputs!$B$15/100)*(1+Inputs!$B$16/100)*(5000/(6000+Inputs!$B$42*(1-(100*(1-(1-(Inputs!$B$19+0)/100)*(1-CHOOSE(ArtifactsInput!$N$40+1,5,6,7,8,9,10)/100)^(ArtifactsInput!$M$40-ArtifactsInput!$M$40)))/100)))*(1+(Inputs!$B$24+((C1523=TRUE)*(F1523-Calc!F26))+B1534)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1513=TRUE,F1513,0)/100)*(1+(IF(Skills!A4="EIGHT_LEGS_EASTON",Inputs!$B$17+((C1520=TRUE)*(F1520-Calc!F23))+((C1524=TRUE)*(F1524-Calc!F27))+((IF(AND(Inputs!$B$38&lt;&gt;"pvp",Inputs!$B$43=0),1,IF(IF(Inputs!$B$38="pvp",15,Inputs!$B$43)-(B1535)&lt;=0,1,MAX(0,IF(Inputs!$B$38="pvp",15,Inputs!$B$43)-MAX(5,B1535))/(IF(Inputs!$B$38="pvp",15,Inputs!$B$43)-(B1535))))*(IF(AND(ArtifactsInput!$M$42,((Inputs!$B$9+((C1516=TRUE)*(F1516-Calc!F19))+B1528+(ArtifactsInput!$M$24-ArtifactsInput!$M$24)*CHOOSE(ArtifactsInput!$N$24+1,10,12,14,16,18,20)+IF(ArtifactsInput!$M$10,CHOOSE(ArtifactsInput!$N$10+1,15,18,21,24,27,30)*(IF(Inputs!$B$38="pvp",MIN(15,15)/15,IF(AND(Inputs!$B$38&lt;&gt;"pvp",Inputs!$B$43&gt;0),MIN(15,Inputs!$B$43)/(Inputs!$B$43),0))),0)))&gt;=100),MIN(100,((Inputs!$B$9+((C1516=TRUE)*(F1516-Calc!F19))+B1528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1535)&lt;=0,1,MAX(0,IF(Inputs!$B$38="pvp",15,Inputs!$B$43)-MAX(5,B1535))/(IF(Inputs!$B$38="pvp",15,Inputs!$B$43)-(B1535))))*IF(AND(ArtifactsInput!$M$42,((Inputs!$B$9+((C1516=TRUE)*(F1516-Calc!F19))+B1528+(ArtifactsInput!$M$24-ArtifactsInput!$M$24)*CHOOSE(ArtifactsInput!$N$24+1,10,12,14,16,18,20)+IF(ArtifactsInput!$M$10,CHOOSE(ArtifactsInput!$N$10+1,15,18,21,24,27,30)*(IF(Inputs!$B$38="pvp",MIN(15,15)/15,IF(AND(Inputs!$B$38&lt;&gt;"pvp",Inputs!$B$43&gt;0),MIN(15,Inputs!$B$43)/(Inputs!$B$43),0))),0)))&gt;=100),CHOOSE(ArtifactsInput!$N$42+1,40,48,56,64,72,80),0))))/100)*((1+(((C1514=TRUE)*F1514*5/7)+((C1521=TRUE)*(F1521-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IF(ArtifactsInput!$M$11,FALSE,TRUE),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1501)</f>
        <v/>
      </c>
      <c r="L1501">
        <f>K1501*(MIN(Inputs!$B$22+((C1519=TRUE)*(F1519-Calc!F22)),(Inputs!$B$23+0+(IF(ArtifactsInput!$M$15,CHOOSE(ArtifactsInput!$N$15+1,25,30,35,40,45,50)/100*(Inputs!$B$11-Inputs!$B$11),0))))/100+(Inputs!$B$23+0+(IF(ArtifactsInput!$M$15,CHOOSE(ArtifactsInput!$N$15+1,25,30,35,40,45,50)/100*(Inputs!$B$11-Inputs!$B$11),0)))/100)/2</f>
        <v/>
      </c>
      <c r="M1501">
        <f>L1501*(1+(Inputs!$B$10+((C1522=TRUE)*(F1522-Calc!F25))+B1533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01">
        <f>L1501*(1-MIN((Inputs!$B$9+((C1516=TRUE)*(F1516-Calc!F19))+B1528+(ArtifactsInput!$M$24-ArtifactsInput!$M$24)*CHOOSE(ArtifactsInput!$N$24+1,10,12,14,16,18,20)+(IF(AND(Inputs!$B$38&lt;&gt;"pvp",Inputs!$B$43=0),1,IF(IF(Inputs!$B$38="pvp",15,Inputs!$B$43)-(B1535)&lt;=0,1,MAX(0,IF(Inputs!$B$38="pvp",15,Inputs!$B$43)-MAX(5,B1535))/(IF(Inputs!$B$38="pvp",15,Inputs!$B$43)-(B1535))))*IF(AND(ArtifactsInput!$M$42,((Inputs!$B$9+((C1516=TRUE)*(F1516-Calc!F19))+B1528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1501*(MIN((Inputs!$B$9+((C1516=TRUE)*(F1516-Calc!F19))+B1528+(ArtifactsInput!$M$24-ArtifactsInput!$M$24)*CHOOSE(ArtifactsInput!$N$24+1,10,12,14,16,18,20)+(IF(AND(Inputs!$B$38&lt;&gt;"pvp",Inputs!$B$43=0),1,IF(IF(Inputs!$B$38="pvp",15,Inputs!$B$43)-(B1535)&lt;=0,1,MAX(0,IF(Inputs!$B$38="pvp",15,Inputs!$B$43)-MAX(5,B1535))/(IF(Inputs!$B$38="pvp",15,Inputs!$B$43)-(B1535))))*IF(AND(ArtifactsInput!$M$42,((Inputs!$B$9+((C1516=TRUE)*(F1516-Calc!F19))+B1528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01">
        <f>(1-Summary!$B$11)*T1501+Summary!$B$11*V1501</f>
        <v/>
      </c>
      <c r="P1501">
        <f>IF(B1538=0,0,O1501/B1538)</f>
        <v/>
      </c>
      <c r="Q1501">
        <f>IFERROR(1/(IF(Inputs!$B$38="pvp",15,MAX(0.1,Skills!D4-IF(TRUE=TRUE,Inputs!$B$32,0)))*(1-IF(AND(ArtifactsInput!$M$27,Inputs!$B$4="Chapter Hunt"),CHOOSE(ArtifactsInput!$N$27+1,20,24,28,32,36,40),0)/100)),0)</f>
        <v/>
      </c>
      <c r="R1501">
        <f>IF(AND(Inputs!$B$38&lt;&gt;"pvp",Inputs!$B$43&gt;0),IF(MAX(0,Inputs!$B$43-B1535)&lt;=0,0,(INT(MAX(0,Inputs!$B$43-B1535)/(IF(Inputs!$B$38="pvp",15,MAX(0.1,Skills!D4-IF(TRUE=TRUE,Inputs!$B$32,0)))*(1-IF(AND(ArtifactsInput!$M$27,Inputs!$B$4="Chapter Hunt"),CHOOSE(ArtifactsInput!$N$27+1,20,24,28,32,36,40),0)/100)))+1)),0)</f>
        <v/>
      </c>
      <c r="S1501">
        <f>IFERROR(O1501/N1501,0)</f>
        <v/>
      </c>
      <c r="T1501">
        <f>IF(C1501,(H1501*N1501*IF(AND(Inputs!$B$38&lt;&gt;"pvp",Inputs!$B$43&gt;0),((Skills!G4*((R1501-1)*IF(Skills!H4&gt;0,INT(IF(Inputs!$B$3&gt;=104,MIN(35,20*(1+Inputs!$B$34/100)),20)/Skills!H4+0.000000001),1)+IF(Skills!H4&gt;0,INT(MIN(IF(Inputs!$B$3&gt;=104,MIN(35,20*(1+Inputs!$B$34/100)),20),MAX(0,MAX(0,Inputs!$B$43-B1535)-((R1501-1)*(IF(Inputs!$B$38="pvp",15,MAX(0.1,Skills!D4-IF(TRUE=TRUE,Inputs!$B$32,0)))*(1-IF(AND(ArtifactsInput!$M$27,Inputs!$B$4="Chapter Hunt"),CHOOSE(ArtifactsInput!$N$27+1,20,24,28,32,36,40),0)/100)))))/Skills!H4+0.000000001),1)))/Inputs!$B$43),G1501*Q1501))*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Hunt"),CHOOSE(ArtifactsInput!$N$35+1,15,18,21,24,27,30)*(1-EXP(-(0.2*B1530)*5)),0)+IF(AND(ArtifactsInput!$M$22,Inputs!$B$4&lt;&gt;"Chapter Hunt"),CHOOSE(ArtifactsInput!$N$22+1,10,12,14,16,18,20)*((0*(((0.15*B1530*5))^0/1)+1*(((0.15*B1530*5))^1/1)+2*(((0.15*B1530*5))^2/2)+3*(((0.15*B1530*5))^3/6)+4*(((0.15*B1530*5))^4/24)+5*(((0.15*B1530*5))^5/120))/((((0.15*B1530*5))^0/1)+(((0.15*B1530*5))^1/1)+(((0.15*B1530*5))^2/2)+(((0.15*B1530*5))^3/6)+(((0.15*B1530*5))^4/24)+(((0.15*B1530*5))^5/120))),0))+IF(Inputs!$B$3&gt;=54,9*(C1500=TRUE)*MIN(1,8*(1+Inputs!$B$34/100)*Q1500)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1501*(1-MIN(100,(Inputs!$B$9+((C1516=TRUE)*(F1516-Calc!F19))+B1528+(ArtifactsInput!$M$24-ArtifactsInput!$M$24)*CHOOSE(ArtifactsInput!$N$24+1,10,12,14,16,18,20)+(IF(AND(Inputs!$B$38&lt;&gt;"pvp",Inputs!$B$43=0),1,IF(IF(Inputs!$B$38="pvp",15,Inputs!$B$43)-(B1535)&lt;=0,1,MAX(0,IF(Inputs!$B$38="pvp",15,Inputs!$B$43)-MAX(5,B1535))/(IF(Inputs!$B$38="pvp",15,Inputs!$B$43)-(B1535))))*IF(AND(ArtifactsInput!$M$42,((Inputs!$B$9+((C1516=TRUE)*(F1516-Calc!F19))+B1528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1501*(MIN(100,(Inputs!$B$9+((C1516=TRUE)*(F1516-Calc!F19))+B1528+(ArtifactsInput!$M$24-ArtifactsInput!$M$24)*CHOOSE(ArtifactsInput!$N$24+1,10,12,14,16,18,20)+(IF(AND(Inputs!$B$38&lt;&gt;"pvp",Inputs!$B$43=0),1,IF(IF(Inputs!$B$38="pvp",15,Inputs!$B$43)-(B1535)&lt;=0,1,MAX(0,IF(Inputs!$B$38="pvp",15,Inputs!$B$43)-MAX(5,B1535))/(IF(Inputs!$B$38="pvp",15,Inputs!$B$43)-(B1535))))*IF(AND(ArtifactsInput!$M$42,((Inputs!$B$9+((C1516=TRUE)*(F1516-Calc!F19))+B1528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1501*(1-MIN(100,(Inputs!$B$9+((C1516=TRUE)*(F1516-Calc!F19))+B1528+(ArtifactsInput!$M$24-ArtifactsInput!$M$24)*CHOOSE(ArtifactsInput!$N$24+1,10,12,14,16,18,20)+(IF(AND(Inputs!$B$38&lt;&gt;"pvp",Inputs!$B$43=0),1,IF(IF(Inputs!$B$38="pvp",15,Inputs!$B$43)-(B1535)&lt;=0,1,MAX(0,IF(Inputs!$B$38="pvp",15,Inputs!$B$43)-MAX(5,B1535))/(IF(Inputs!$B$38="pvp",15,Inputs!$B$43)-(B1535))))*IF(AND(ArtifactsInput!$M$42,((Inputs!$B$9+((C1516=TRUE)*(F1516-Calc!F19))+B1528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1501*(MIN(100,(Inputs!$B$9+((C1516=TRUE)*(F1516-Calc!F19))+B1528+(ArtifactsInput!$M$24-ArtifactsInput!$M$24)*CHOOSE(ArtifactsInput!$N$24+1,10,12,14,16,18,20)+(IF(AND(Inputs!$B$38&lt;&gt;"pvp",Inputs!$B$43=0),1,IF(IF(Inputs!$B$38="pvp",15,Inputs!$B$43)-(B1535)&lt;=0,1,MAX(0,IF(Inputs!$B$38="pvp",15,Inputs!$B$43)-MAX(5,B1535))/(IF(Inputs!$B$38="pvp",15,Inputs!$B$43)-(B1535))))*IF(AND(ArtifactsInput!$M$42,((Inputs!$B$9+((C1516=TRUE)*(F1516-Calc!F19))+B1528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501">
        <f>290*U1500/1000</f>
        <v/>
      </c>
      <c r="V1501">
        <f>IF(C1501,(H1501*N1501*IF(AND(Inputs!$B$38&lt;&gt;"pvp",Inputs!$B$43&gt;0),((Skills!G4*((R1501-1)*IF(Skills!H4&gt;0,INT(IF(Inputs!$B$3&gt;=104,MIN(35,20*(1+Inputs!$B$34/100)),20)/Skills!H4+0.000000001),1)+IF(Skills!H4&gt;0,INT(MIN(IF(Inputs!$B$3&gt;=104,MIN(35,20*(1+Inputs!$B$34/100)),20),MAX(0,MAX(0,Inputs!$B$43-B1535)-((R1501-1)*(IF(Inputs!$B$38="pvp",15,MAX(0.1,Skills!D4-IF(TRUE=TRUE,Inputs!$B$32,0)))*(1-IF(AND(ArtifactsInput!$M$27,Inputs!$B$4="Chapter Hunt"),CHOOSE(ArtifactsInput!$N$27+1,20,24,28,32,36,40),0)/100)))))/Skills!H4+0.000000001),1)))/Inputs!$B$43),G1501*Q1501))*IF(Inputs!$B$38="pvp",1,(1+(Inputs!$B$21+Skills!Q4+(IF(ArtifactsInput!$M$33,CHOOSE(ArtifactsInput!$N$33+1,30,36,42,48,54,60),0))+(IF(AND(ArtifactsInput!$M$35,Inputs!$B$4&lt;&gt;"Chapter Hunt"),CHOOSE(ArtifactsInput!$N$35+1,15,18,21,24,27,30)*(1-EXP(-(0.2*B1530)*5)),0)+IF(AND(ArtifactsInput!$M$22,Inputs!$B$4&lt;&gt;"Chapter Hunt"),CHOOSE(ArtifactsInput!$N$22+1,10,12,14,16,18,20)*((0*(((0.15*B1530*5))^0/1)+1*(((0.15*B1530*5))^1/1)+2*(((0.15*B1530*5))^2/2)+3*(((0.15*B1530*5))^3/6)+4*(((0.15*B1530*5))^4/24)+5*(((0.15*B1530*5))^5/120))/((((0.15*B1530*5))^0/1)+(((0.15*B1530*5))^1/1)+(((0.15*B1530*5))^2/2)+(((0.15*B1530*5))^3/6)+(((0.15*B1530*5))^4/24)+(((0.15*B1530*5))^5/120))),0))+IF(Inputs!$B$3&gt;=54,9*(C1500=TRUE)*MIN(1,8*(1+Inputs!$B$34/100)*Q1500),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02">
      <c r="A1502">
        <f>Skills!A5</f>
        <v/>
      </c>
      <c r="B1502">
        <f>Skills!B5</f>
        <v/>
      </c>
      <c r="C1502">
        <f>Inputs!$B$3&gt;=69</f>
        <v/>
      </c>
      <c r="D1502">
        <f>IF(Skills!C5=1,60+Inputs!$B$25+Inputs!$B$29,IF(Skills!C5=2,90+Inputs!$B$26+Inputs!$B$29,IF(Skills!C5=3,120+Inputs!$B$27+Inputs!$B$29,MAX(0,(Inputs!$B$3-100)*3)+Inputs!$B$28+Inputs!$B$29)))</f>
        <v/>
      </c>
      <c r="E1502">
        <f>INDEX(FactorTable!$B$2:$Y$301, MATCH(ROUND(MIN(300,MAX(1,D1502)),0), FactorTable!$A$2:$A$301,0), Skills!M5+1)</f>
        <v/>
      </c>
      <c r="F1502">
        <f>IF(Skills!N5=TRUE,(Skills!L5/10)*(E1502/1000),Skills!L5/10)+Skills!O5</f>
        <v/>
      </c>
      <c r="G1502">
        <f>Skills!G5*IF(Skills!H5&gt;0,INT(IF(Inputs!$B$38="pvp",MIN(IF(Inputs!$B$3&gt;=104,MIN(35,20*(1+Inputs!$B$34/100)),20),15),IF(Inputs!$B$3&gt;=104,MIN(35,20*(1+Inputs!$B$34/100)),20))/Skills!H5+0.000000001),1)</f>
        <v/>
      </c>
      <c r="H1502">
        <f>1-(1-Skills!J5/100)^Skills!K5</f>
        <v/>
      </c>
      <c r="I1502" t="inlineStr">
        <is>
          <t>1</t>
        </is>
      </c>
      <c r="J1502">
        <f>((Inputs!$B$6*(1+Inputs!$B$7/100))+(((Inputs!$B$12*(1+Inputs!$B$13/100))-(Inputs!$B$12*(1+Inputs!$B$13/100)))+0.25*(Inputs!$B$14-Inputs!$B$14))*(1+Inputs!$B$7/100))*(F1502/100)</f>
        <v/>
      </c>
      <c r="K1502">
        <f>J1502*(1+((Inputs!$B$12*(1+Inputs!$B$13/100))*0.01+Inputs!$B$14*0.0025)/100)*(1+Inputs!$B$15/100)*(1+Inputs!$B$16/100)*(5000/(6000+Inputs!$B$42*(1-(100*(1-(1-(Inputs!$B$19+0)/100)*(1-CHOOSE(ArtifactsInput!$N$40+1,5,6,7,8,9,10)/100)^(ArtifactsInput!$M$40-ArtifactsInput!$M$40)))/100)))*(1+(Inputs!$B$24+((C1523=TRUE)*(F1523-Calc!F26))+B1534)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+0.4*IF(C1513=TRUE,F1513,0)/100)*(1+(IF(Skills!A5="EIGHT_LEGS_EASTON",Inputs!$B$17+((C1520=TRUE)*(F1520-Calc!F23))+((C1524=TRUE)*(F1524-Calc!F27))+((IF(AND(Inputs!$B$38&lt;&gt;"pvp",Inputs!$B$43=0),1,IF(IF(Inputs!$B$38="pvp",15,Inputs!$B$43)-(B1535)&lt;=0,1,MAX(0,IF(Inputs!$B$38="pvp",15,Inputs!$B$43)-MAX(5,B1535))/(IF(Inputs!$B$38="pvp",15,Inputs!$B$43)-(B1535))))*(IF(AND(ArtifactsInput!$M$42,((Inputs!$B$9+((C1516=TRUE)*(F1516-Calc!F19))+B1528+(ArtifactsInput!$M$24-ArtifactsInput!$M$24)*CHOOSE(ArtifactsInput!$N$24+1,10,12,14,16,18,20)+IF(ArtifactsInput!$M$10,CHOOSE(ArtifactsInput!$N$10+1,15,18,21,24,27,30)*(IF(Inputs!$B$38="pvp",MIN(15,15)/15,IF(AND(Inputs!$B$38&lt;&gt;"pvp",Inputs!$B$43&gt;0),MIN(15,Inputs!$B$43)/(Inputs!$B$43),0))),0)))&gt;=100),MIN(100,((Inputs!$B$9+((C1516=TRUE)*(F1516-Calc!F19))+B1528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1535)&lt;=0,1,MAX(0,IF(Inputs!$B$38="pvp",15,Inputs!$B$43)-MAX(5,B1535))/(IF(Inputs!$B$38="pvp",15,Inputs!$B$43)-(B1535))))*IF(AND(ArtifactsInput!$M$42,((Inputs!$B$9+((C1516=TRUE)*(F1516-Calc!F19))+B1528+(ArtifactsInput!$M$24-ArtifactsInput!$M$24)*CHOOSE(ArtifactsInput!$N$24+1,10,12,14,16,18,20)+IF(ArtifactsInput!$M$10,CHOOSE(ArtifactsInput!$N$10+1,15,18,21,24,27,30)*(IF(Inputs!$B$38="pvp",MIN(15,15)/15,IF(AND(Inputs!$B$38&lt;&gt;"pvp",Inputs!$B$43&gt;0),MIN(15,Inputs!$B$43)/(Inputs!$B$43),0))),0)))&gt;=100),CHOOSE(ArtifactsInput!$N$42+1,40,48,56,64,72,80),0))))/100)*((1+(((C1514=TRUE)*F1514*5/7)+((C1521=TRUE)*(F1521-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IF(ArtifactsInput!$M$11,FALSE,TRUE),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1502)</f>
        <v/>
      </c>
      <c r="L1502">
        <f>K1502*(MIN(Inputs!$B$22+((C1519=TRUE)*(F1519-Calc!F22)),(Inputs!$B$23+0+(IF(ArtifactsInput!$M$15,CHOOSE(ArtifactsInput!$N$15+1,25,30,35,40,45,50)/100*(Inputs!$B$11-Inputs!$B$11),0))))/100+(Inputs!$B$23+0+(IF(ArtifactsInput!$M$15,CHOOSE(ArtifactsInput!$N$15+1,25,30,35,40,45,50)/100*(Inputs!$B$11-Inputs!$B$11),0)))/100)/2</f>
        <v/>
      </c>
      <c r="M1502">
        <f>L1502*(1+(Inputs!$B$10+((C1522=TRUE)*(F1522-Calc!F25))+B1533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02">
        <f>L1502*(1-MIN((Inputs!$B$9+((C1516=TRUE)*(F1516-Calc!F19))+B1528+(ArtifactsInput!$M$24-ArtifactsInput!$M$24)*CHOOSE(ArtifactsInput!$N$24+1,10,12,14,16,18,20)+(IF(AND(Inputs!$B$38&lt;&gt;"pvp",Inputs!$B$43=0),1,IF(IF(Inputs!$B$38="pvp",15,Inputs!$B$43)-(B1535)&lt;=0,1,MAX(0,IF(Inputs!$B$38="pvp",15,Inputs!$B$43)-MAX(5,B1535))/(IF(Inputs!$B$38="pvp",15,Inputs!$B$43)-(B1535))))*IF(AND(ArtifactsInput!$M$42,((Inputs!$B$9+((C1516=TRUE)*(F1516-Calc!F19))+B1528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1502*(MIN((Inputs!$B$9+((C1516=TRUE)*(F1516-Calc!F19))+B1528+(ArtifactsInput!$M$24-ArtifactsInput!$M$24)*CHOOSE(ArtifactsInput!$N$24+1,10,12,14,16,18,20)+(IF(AND(Inputs!$B$38&lt;&gt;"pvp",Inputs!$B$43=0),1,IF(IF(Inputs!$B$38="pvp",15,Inputs!$B$43)-(B1535)&lt;=0,1,MAX(0,IF(Inputs!$B$38="pvp",15,Inputs!$B$43)-MAX(5,B1535))/(IF(Inputs!$B$38="pvp",15,Inputs!$B$43)-(B1535))))*IF(AND(ArtifactsInput!$M$42,((Inputs!$B$9+((C1516=TRUE)*(F1516-Calc!F19))+B1528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02">
        <f>(1-Summary!$B$11)*T1502+Summary!$B$11*V1502</f>
        <v/>
      </c>
      <c r="P1502">
        <f>IF(B1538=0,0,O1502/B1538)</f>
        <v/>
      </c>
      <c r="Q1502">
        <f>IFERROR(1/(IF(Inputs!$B$38="pvp",15,MAX(0.1,Skills!D5-IF(TRUE=TRUE,Inputs!$B$32,0)))*(1-IF(AND(ArtifactsInput!$M$27,Inputs!$B$4="Chapter Hunt"),CHOOSE(ArtifactsInput!$N$27+1,20,24,28,32,36,40),0)/100)),0)</f>
        <v/>
      </c>
      <c r="R1502">
        <f>IF(AND(Inputs!$B$38&lt;&gt;"pvp",Inputs!$B$43&gt;0),IF(MAX(0,Inputs!$B$43-B1535)&lt;=0,0,(INT(MAX(0,Inputs!$B$43-B1535)/(IF(Inputs!$B$38="pvp",15,MAX(0.1,Skills!D5-IF(TRUE=TRUE,Inputs!$B$32,0)))*(1-IF(AND(ArtifactsInput!$M$27,Inputs!$B$4="Chapter Hunt"),CHOOSE(ArtifactsInput!$N$27+1,20,24,28,32,36,40),0)/100)))+1)),0)</f>
        <v/>
      </c>
      <c r="S1502">
        <f>IFERROR(O1502/N1502,0)</f>
        <v/>
      </c>
      <c r="T1502">
        <f>IF(C1502,(H1502*N1502*IF(AND(Inputs!$B$38&lt;&gt;"pvp",Inputs!$B$43&gt;0),((Skills!G5*((R1502-1)*IF(Skills!H5&gt;0,INT(IF(Inputs!$B$3&gt;=104,MIN(35,20*(1+Inputs!$B$34/100)),20)/Skills!H5+0.000000001),1)+IF(Skills!H5&gt;0,INT(MIN(IF(Inputs!$B$3&gt;=104,MIN(35,20*(1+Inputs!$B$34/100)),20),MAX(0,MAX(0,Inputs!$B$43-B1535)-((R1502-1)*(IF(Inputs!$B$38="pvp",15,MAX(0.1,Skills!D5-IF(TRUE=TRUE,Inputs!$B$32,0)))*(1-IF(AND(ArtifactsInput!$M$27,Inputs!$B$4="Chapter Hunt"),CHOOSE(ArtifactsInput!$N$27+1,20,24,28,32,36,40),0)/100)))))/Skills!H5+0.000000001),1)))/Inputs!$B$43),G1502*Q1502))*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Hunt"),CHOOSE(ArtifactsInput!$N$35+1,15,18,21,24,27,30)*(1-EXP(-(0.2*B1530)*5)),0)+IF(AND(ArtifactsInput!$M$22,Inputs!$B$4&lt;&gt;"Chapter Hunt"),CHOOSE(ArtifactsInput!$N$22+1,10,12,14,16,18,20)*((0*(((0.15*B1530*5))^0/1)+1*(((0.15*B1530*5))^1/1)+2*(((0.15*B1530*5))^2/2)+3*(((0.15*B1530*5))^3/6)+4*(((0.15*B1530*5))^4/24)+5*(((0.15*B1530*5))^5/120))/((((0.15*B1530*5))^0/1)+(((0.15*B1530*5))^1/1)+(((0.15*B1530*5))^2/2)+(((0.15*B1530*5))^3/6)+(((0.15*B1530*5))^4/24)+(((0.15*B1530*5))^5/120))),0))+IF(Inputs!$B$3&gt;=54,9*(C1500=TRUE)*MIN(1,8*(1+Inputs!$B$34/100)*Q1500)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1502*(1-MIN(100,(Inputs!$B$9+((C1516=TRUE)*(F1516-Calc!F19))+B1528+(ArtifactsInput!$M$24-ArtifactsInput!$M$24)*CHOOSE(ArtifactsInput!$N$24+1,10,12,14,16,18,20)+(IF(AND(Inputs!$B$38&lt;&gt;"pvp",Inputs!$B$43=0),1,IF(IF(Inputs!$B$38="pvp",15,Inputs!$B$43)-(B1535)&lt;=0,1,MAX(0,IF(Inputs!$B$38="pvp",15,Inputs!$B$43)-MAX(5,B1535))/(IF(Inputs!$B$38="pvp",15,Inputs!$B$43)-(B1535))))*IF(AND(ArtifactsInput!$M$42,((Inputs!$B$9+((C1516=TRUE)*(F1516-Calc!F19))+B1528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1502*(MIN(100,(Inputs!$B$9+((C1516=TRUE)*(F1516-Calc!F19))+B1528+(ArtifactsInput!$M$24-ArtifactsInput!$M$24)*CHOOSE(ArtifactsInput!$N$24+1,10,12,14,16,18,20)+(IF(AND(Inputs!$B$38&lt;&gt;"pvp",Inputs!$B$43=0),1,IF(IF(Inputs!$B$38="pvp",15,Inputs!$B$43)-(B1535)&lt;=0,1,MAX(0,IF(Inputs!$B$38="pvp",15,Inputs!$B$43)-MAX(5,B1535))/(IF(Inputs!$B$38="pvp",15,Inputs!$B$43)-(B1535))))*IF(AND(ArtifactsInput!$M$42,((Inputs!$B$9+((C1516=TRUE)*(F1516-Calc!F19))+B1528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1502*(1-MIN(100,(Inputs!$B$9+((C1516=TRUE)*(F1516-Calc!F19))+B1528+(ArtifactsInput!$M$24-ArtifactsInput!$M$24)*CHOOSE(ArtifactsInput!$N$24+1,10,12,14,16,18,20)+(IF(AND(Inputs!$B$38&lt;&gt;"pvp",Inputs!$B$43=0),1,IF(IF(Inputs!$B$38="pvp",15,Inputs!$B$43)-(B1535)&lt;=0,1,MAX(0,IF(Inputs!$B$38="pvp",15,Inputs!$B$43)-MAX(5,B1535))/(IF(Inputs!$B$38="pvp",15,Inputs!$B$43)-(B1535))))*IF(AND(ArtifactsInput!$M$42,((Inputs!$B$9+((C1516=TRUE)*(F1516-Calc!F19))+B1528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1502*(MIN(100,(Inputs!$B$9+((C1516=TRUE)*(F1516-Calc!F19))+B1528+(ArtifactsInput!$M$24-ArtifactsInput!$M$24)*CHOOSE(ArtifactsInput!$N$24+1,10,12,14,16,18,20)+(IF(AND(Inputs!$B$38&lt;&gt;"pvp",Inputs!$B$43=0),1,IF(IF(Inputs!$B$38="pvp",15,Inputs!$B$43)-(B1535)&lt;=0,1,MAX(0,IF(Inputs!$B$38="pvp",15,Inputs!$B$43)-MAX(5,B1535))/(IF(Inputs!$B$38="pvp",15,Inputs!$B$43)-(B1535))))*IF(AND(ArtifactsInput!$M$42,((Inputs!$B$9+((C1516=TRUE)*(F1516-Calc!F19))+B1528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502">
        <f>IF(C1502,(H1502*N1502*IF(AND(Inputs!$B$38&lt;&gt;"pvp",Inputs!$B$43&gt;0),((Skills!G5*((R1502-1)*IF(Skills!H5&gt;0,INT(IF(Inputs!$B$3&gt;=104,MIN(35,20*(1+Inputs!$B$34/100)),20)/Skills!H5+0.000000001),1)+IF(Skills!H5&gt;0,INT(MIN(IF(Inputs!$B$3&gt;=104,MIN(35,20*(1+Inputs!$B$34/100)),20),MAX(0,MAX(0,Inputs!$B$43-B1535)-((R1502-1)*(IF(Inputs!$B$38="pvp",15,MAX(0.1,Skills!D5-IF(TRUE=TRUE,Inputs!$B$32,0)))*(1-IF(AND(ArtifactsInput!$M$27,Inputs!$B$4="Chapter Hunt"),CHOOSE(ArtifactsInput!$N$27+1,20,24,28,32,36,40),0)/100)))))/Skills!H5+0.000000001),1)))/Inputs!$B$43),G1502*Q1502))*IF(Inputs!$B$38="pvp",1,(1+(Inputs!$B$21+Skills!Q5+(IF(ArtifactsInput!$M$33,CHOOSE(ArtifactsInput!$N$33+1,30,36,42,48,54,60),0))+(IF(AND(ArtifactsInput!$M$35,Inputs!$B$4&lt;&gt;"Chapter Hunt"),CHOOSE(ArtifactsInput!$N$35+1,15,18,21,24,27,30)*(1-EXP(-(0.2*B1530)*5)),0)+IF(AND(ArtifactsInput!$M$22,Inputs!$B$4&lt;&gt;"Chapter Hunt"),CHOOSE(ArtifactsInput!$N$22+1,10,12,14,16,18,20)*((0*(((0.15*B1530*5))^0/1)+1*(((0.15*B1530*5))^1/1)+2*(((0.15*B1530*5))^2/2)+3*(((0.15*B1530*5))^3/6)+4*(((0.15*B1530*5))^4/24)+5*(((0.15*B1530*5))^5/120))/((((0.15*B1530*5))^0/1)+(((0.15*B1530*5))^1/1)+(((0.15*B1530*5))^2/2)+(((0.15*B1530*5))^3/6)+(((0.15*B1530*5))^4/24)+(((0.15*B1530*5))^5/120))),0))+IF(Inputs!$B$3&gt;=54,9*(C1500=TRUE)*MIN(1,8*(1+Inputs!$B$34/100)*Q1500)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03">
      <c r="A1503">
        <f>Skills!A6</f>
        <v/>
      </c>
      <c r="B1503">
        <f>Skills!B6</f>
        <v/>
      </c>
      <c r="C1503">
        <f>Inputs!$B$3&gt;=66</f>
        <v/>
      </c>
      <c r="D1503">
        <f>IF(Skills!C6=1,60+Inputs!$B$25+Inputs!$B$29,IF(Skills!C6=2,90+Inputs!$B$26+Inputs!$B$29,IF(Skills!C6=3,120+Inputs!$B$27+Inputs!$B$29,MAX(0,(Inputs!$B$3-100)*3)+Inputs!$B$28+Inputs!$B$29)))</f>
        <v/>
      </c>
      <c r="E1503">
        <f>INDEX(FactorTable!$B$2:$Y$301, MATCH(ROUND(MIN(300,MAX(1,D1503)),0), FactorTable!$A$2:$A$301,0), Skills!M6+1)</f>
        <v/>
      </c>
      <c r="F1503">
        <f>IF(Skills!N6=TRUE,(Skills!L6/10)*(E1503/1000),Skills!L6/10)+Skills!O6</f>
        <v/>
      </c>
      <c r="G1503">
        <f>Skills!G6*IF(Skills!H6&gt;0,INT(IF(Inputs!$B$38="pvp",MIN(Skills!I6,15),Skills!I6)/Skills!H6+0.000000001),1)</f>
        <v/>
      </c>
      <c r="H1503">
        <f>1-(1-Skills!J6/100)^Skills!K6</f>
        <v/>
      </c>
      <c r="I1503" t="inlineStr">
        <is>
          <t>1</t>
        </is>
      </c>
      <c r="J1503">
        <f>((Inputs!$B$6*(1+Inputs!$B$7/100))+(((Inputs!$B$12*(1+Inputs!$B$13/100))-(Inputs!$B$12*(1+Inputs!$B$13/100)))+0.25*(Inputs!$B$14-Inputs!$B$14))*(1+Inputs!$B$7/100))*(F1503/100)</f>
        <v/>
      </c>
      <c r="K1503">
        <f>J1503*(1+((Inputs!$B$12*(1+Inputs!$B$13/100))*0.01+Inputs!$B$14*0.0025)/100)*(1+Inputs!$B$15/100)*(1+Inputs!$B$16/100)*(5000/(6000+Inputs!$B$42*(1-(100*(1-(1-(Inputs!$B$19+0)/100)*(1-CHOOSE(ArtifactsInput!$N$40+1,5,6,7,8,9,10)/100)^(ArtifactsInput!$M$40-ArtifactsInput!$M$40)))/100)))*(1+(Inputs!$B$24+((C1523=TRUE)*(F1523-Calc!F26))+B1534)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+2.0*IF(C1512=TRUE,F1512,0)/100)*(1+(IF(Skills!A6="EIGHT_LEGS_EASTON",Inputs!$B$17+((C1520=TRUE)*(F1520-Calc!F23))+((C1524=TRUE)*(F1524-Calc!F27))+((IF(AND(Inputs!$B$38&lt;&gt;"pvp",Inputs!$B$43=0),1,IF(IF(Inputs!$B$38="pvp",15,Inputs!$B$43)-(B1535)&lt;=0,1,MAX(0,IF(Inputs!$B$38="pvp",15,Inputs!$B$43)-MAX(5,B1535))/(IF(Inputs!$B$38="pvp",15,Inputs!$B$43)-(B1535))))*(IF(AND(ArtifactsInput!$M$42,((Inputs!$B$9+((C1516=TRUE)*(F1516-Calc!F19))+B1528+(ArtifactsInput!$M$24-ArtifactsInput!$M$24)*CHOOSE(ArtifactsInput!$N$24+1,10,12,14,16,18,20)+IF(ArtifactsInput!$M$10,CHOOSE(ArtifactsInput!$N$10+1,15,18,21,24,27,30)*(IF(Inputs!$B$38="pvp",MIN(15,15)/15,IF(AND(Inputs!$B$38&lt;&gt;"pvp",Inputs!$B$43&gt;0),MIN(15,Inputs!$B$43)/(Inputs!$B$43),0))),0)))&gt;=100),MIN(100,((Inputs!$B$9+((C1516=TRUE)*(F1516-Calc!F19))+B1528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1535)&lt;=0,1,MAX(0,IF(Inputs!$B$38="pvp",15,Inputs!$B$43)-MAX(5,B1535))/(IF(Inputs!$B$38="pvp",15,Inputs!$B$43)-(B1535))))*IF(AND(ArtifactsInput!$M$42,((Inputs!$B$9+((C1516=TRUE)*(F1516-Calc!F19))+B1528+(ArtifactsInput!$M$24-ArtifactsInput!$M$24)*CHOOSE(ArtifactsInput!$N$24+1,10,12,14,16,18,20)+IF(ArtifactsInput!$M$10,CHOOSE(ArtifactsInput!$N$10+1,15,18,21,24,27,30)*(IF(Inputs!$B$38="pvp",MIN(15,15)/15,IF(AND(Inputs!$B$38&lt;&gt;"pvp",Inputs!$B$43&gt;0),MIN(15,Inputs!$B$43)/(Inputs!$B$43),0))),0)))&gt;=100),CHOOSE(ArtifactsInput!$N$42+1,40,48,56,64,72,80),0))))/100)*((1+(((C1514=TRUE)*F1514*5/7)+((C1521=TRUE)*(F1521-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IF(ArtifactsInput!$M$11,FALSE,TRUE),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1503)</f>
        <v/>
      </c>
      <c r="L1503">
        <f>K1503*(MIN(Inputs!$B$22+((C1519=TRUE)*(F1519-Calc!F22)),(Inputs!$B$23+0+(IF(ArtifactsInput!$M$15,CHOOSE(ArtifactsInput!$N$15+1,25,30,35,40,45,50)/100*(Inputs!$B$11-Inputs!$B$11),0))))/100+(Inputs!$B$23+0+(IF(ArtifactsInput!$M$15,CHOOSE(ArtifactsInput!$N$15+1,25,30,35,40,45,50)/100*(Inputs!$B$11-Inputs!$B$11),0)))/100)/2</f>
        <v/>
      </c>
      <c r="M1503">
        <f>L1503*(1+(Inputs!$B$10+((C1522=TRUE)*(F1522-Calc!F25))+B1533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03">
        <f>L1503*(1-MIN((Inputs!$B$9+((C1516=TRUE)*(F1516-Calc!F19))+B1528+(ArtifactsInput!$M$24-ArtifactsInput!$M$24)*CHOOSE(ArtifactsInput!$N$24+1,10,12,14,16,18,20)+(IF(AND(Inputs!$B$38&lt;&gt;"pvp",Inputs!$B$43=0),1,IF(IF(Inputs!$B$38="pvp",15,Inputs!$B$43)-(B1535)&lt;=0,1,MAX(0,IF(Inputs!$B$38="pvp",15,Inputs!$B$43)-MAX(5,B1535))/(IF(Inputs!$B$38="pvp",15,Inputs!$B$43)-(B1535))))*IF(AND(ArtifactsInput!$M$42,((Inputs!$B$9+((C1516=TRUE)*(F1516-Calc!F19))+B1528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1503*(MIN((Inputs!$B$9+((C1516=TRUE)*(F1516-Calc!F19))+B1528+(ArtifactsInput!$M$24-ArtifactsInput!$M$24)*CHOOSE(ArtifactsInput!$N$24+1,10,12,14,16,18,20)+(IF(AND(Inputs!$B$38&lt;&gt;"pvp",Inputs!$B$43=0),1,IF(IF(Inputs!$B$38="pvp",15,Inputs!$B$43)-(B1535)&lt;=0,1,MAX(0,IF(Inputs!$B$38="pvp",15,Inputs!$B$43)-MAX(5,B1535))/(IF(Inputs!$B$38="pvp",15,Inputs!$B$43)-(B1535))))*IF(AND(ArtifactsInput!$M$42,((Inputs!$B$9+((C1516=TRUE)*(F1516-Calc!F19))+B1528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03">
        <f>(1-Summary!$B$11)*T1503+Summary!$B$11*V1503</f>
        <v/>
      </c>
      <c r="P1503">
        <f>IF(B1538=0,0,O1503/B1538)</f>
        <v/>
      </c>
      <c r="Q1503">
        <f>IFERROR(1/(IF(Inputs!$B$38="pvp",15,MAX(0.1,Skills!D6-IF(TRUE=TRUE,Inputs!$B$32,0)))*(1-IF(AND(ArtifactsInput!$M$27,Inputs!$B$4="Chapter Hunt"),CHOOSE(ArtifactsInput!$N$27+1,20,24,28,32,36,40),0)/100)),0)</f>
        <v/>
      </c>
      <c r="R1503">
        <f>IF(AND(Inputs!$B$38&lt;&gt;"pvp",Inputs!$B$43&gt;0),IF(MAX(0,Inputs!$B$43-B1535)&lt;=0,0,(INT(MAX(0,Inputs!$B$43-B1535)/(IF(Inputs!$B$38="pvp",15,MAX(0.1,Skills!D6-IF(TRUE=TRUE,Inputs!$B$32,0)))*(1-IF(AND(ArtifactsInput!$M$27,Inputs!$B$4="Chapter Hunt"),CHOOSE(ArtifactsInput!$N$27+1,20,24,28,32,36,40),0)/100)))+1)),0)</f>
        <v/>
      </c>
      <c r="S1503">
        <f>IFERROR(O1503/N1503,0)</f>
        <v/>
      </c>
      <c r="T1503">
        <f>IF(C1503,(H1503*N1503*IF(AND(Inputs!$B$38&lt;&gt;"pvp",Inputs!$B$43&gt;0),((Skills!G6*((R1503-1)*IF(Skills!H6&gt;0,INT(Skills!I6/Skills!H6+0.000000001),1)+IF(Skills!H6&gt;0,INT(MIN(Skills!I6,MAX(0,MAX(0,Inputs!$B$43-B1535)-((R1503-1)*(IF(Inputs!$B$38="pvp",15,MAX(0.1,Skills!D6-IF(TRUE=TRUE,Inputs!$B$32,0)))*(1-IF(AND(ArtifactsInput!$M$27,Inputs!$B$4="Chapter Hunt"),CHOOSE(ArtifactsInput!$N$27+1,20,24,28,32,36,40),0)/100)))))/Skills!H6+0.000000001),1)))/Inputs!$B$43),G1503*Q1503))*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Hunt"),CHOOSE(ArtifactsInput!$N$35+1,15,18,21,24,27,30)*(1-EXP(-(0.2*B1530)*5)),0)+IF(AND(ArtifactsInput!$M$22,Inputs!$B$4&lt;&gt;"Chapter Hunt"),CHOOSE(ArtifactsInput!$N$22+1,10,12,14,16,18,20)*((0*(((0.15*B1530*5))^0/1)+1*(((0.15*B1530*5))^1/1)+2*(((0.15*B1530*5))^2/2)+3*(((0.15*B1530*5))^3/6)+4*(((0.15*B1530*5))^4/24)+5*(((0.15*B1530*5))^5/120))/((((0.15*B1530*5))^0/1)+(((0.15*B1530*5))^1/1)+(((0.15*B1530*5))^2/2)+(((0.15*B1530*5))^3/6)+(((0.15*B1530*5))^4/24)+(((0.15*B1530*5))^5/120))),0))+IF(Inputs!$B$3&gt;=54,9*(C1500=TRUE)*MIN(1,8*(1+Inputs!$B$34/100)*Q1500)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1503*(1-MIN(100,(Inputs!$B$9+((C1516=TRUE)*(F1516-Calc!F19))+B1528+(ArtifactsInput!$M$24-ArtifactsInput!$M$24)*CHOOSE(ArtifactsInput!$N$24+1,10,12,14,16,18,20)+(IF(AND(Inputs!$B$38&lt;&gt;"pvp",Inputs!$B$43=0),1,IF(IF(Inputs!$B$38="pvp",15,Inputs!$B$43)-(B1535)&lt;=0,1,MAX(0,IF(Inputs!$B$38="pvp",15,Inputs!$B$43)-MAX(5,B1535))/(IF(Inputs!$B$38="pvp",15,Inputs!$B$43)-(B1535))))*IF(AND(ArtifactsInput!$M$42,((Inputs!$B$9+((C1516=TRUE)*(F1516-Calc!F19))+B1528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1503*(MIN(100,(Inputs!$B$9+((C1516=TRUE)*(F1516-Calc!F19))+B1528+(ArtifactsInput!$M$24-ArtifactsInput!$M$24)*CHOOSE(ArtifactsInput!$N$24+1,10,12,14,16,18,20)+(IF(AND(Inputs!$B$38&lt;&gt;"pvp",Inputs!$B$43=0),1,IF(IF(Inputs!$B$38="pvp",15,Inputs!$B$43)-(B1535)&lt;=0,1,MAX(0,IF(Inputs!$B$38="pvp",15,Inputs!$B$43)-MAX(5,B1535))/(IF(Inputs!$B$38="pvp",15,Inputs!$B$43)-(B1535))))*IF(AND(ArtifactsInput!$M$42,((Inputs!$B$9+((C1516=TRUE)*(F1516-Calc!F19))+B1528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1503*(1-MIN(100,(Inputs!$B$9+((C1516=TRUE)*(F1516-Calc!F19))+B1528+(ArtifactsInput!$M$24-ArtifactsInput!$M$24)*CHOOSE(ArtifactsInput!$N$24+1,10,12,14,16,18,20)+(IF(AND(Inputs!$B$38&lt;&gt;"pvp",Inputs!$B$43=0),1,IF(IF(Inputs!$B$38="pvp",15,Inputs!$B$43)-(B1535)&lt;=0,1,MAX(0,IF(Inputs!$B$38="pvp",15,Inputs!$B$43)-MAX(5,B1535))/(IF(Inputs!$B$38="pvp",15,Inputs!$B$43)-(B1535))))*IF(AND(ArtifactsInput!$M$42,((Inputs!$B$9+((C1516=TRUE)*(F1516-Calc!F19))+B1528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1503*(MIN(100,(Inputs!$B$9+((C1516=TRUE)*(F1516-Calc!F19))+B1528+(ArtifactsInput!$M$24-ArtifactsInput!$M$24)*CHOOSE(ArtifactsInput!$N$24+1,10,12,14,16,18,20)+(IF(AND(Inputs!$B$38&lt;&gt;"pvp",Inputs!$B$43=0),1,IF(IF(Inputs!$B$38="pvp",15,Inputs!$B$43)-(B1535)&lt;=0,1,MAX(0,IF(Inputs!$B$38="pvp",15,Inputs!$B$43)-MAX(5,B1535))/(IF(Inputs!$B$38="pvp",15,Inputs!$B$43)-(B1535))))*IF(AND(ArtifactsInput!$M$42,((Inputs!$B$9+((C1516=TRUE)*(F1516-Calc!F19))+B1528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503">
        <f>IF(C1503,(H1503*N1503*IF(AND(Inputs!$B$38&lt;&gt;"pvp",Inputs!$B$43&gt;0),((Skills!G6*((R1503-1)*IF(Skills!H6&gt;0,INT(Skills!I6/Skills!H6+0.000000001),1)+IF(Skills!H6&gt;0,INT(MIN(Skills!I6,MAX(0,MAX(0,Inputs!$B$43-B1535)-((R1503-1)*(IF(Inputs!$B$38="pvp",15,MAX(0.1,Skills!D6-IF(TRUE=TRUE,Inputs!$B$32,0)))*(1-IF(AND(ArtifactsInput!$M$27,Inputs!$B$4="Chapter Hunt"),CHOOSE(ArtifactsInput!$N$27+1,20,24,28,32,36,40),0)/100)))))/Skills!H6+0.000000001),1)))/Inputs!$B$43),G1503*Q1503))*IF(Inputs!$B$38="pvp",1,(1+(Inputs!$B$21+Skills!Q6+(IF(ArtifactsInput!$M$33,CHOOSE(ArtifactsInput!$N$33+1,30,36,42,48,54,60),0))+(IF(AND(ArtifactsInput!$M$35,Inputs!$B$4&lt;&gt;"Chapter Hunt"),CHOOSE(ArtifactsInput!$N$35+1,15,18,21,24,27,30)*(1-EXP(-(0.2*B1530)*5)),0)+IF(AND(ArtifactsInput!$M$22,Inputs!$B$4&lt;&gt;"Chapter Hunt"),CHOOSE(ArtifactsInput!$N$22+1,10,12,14,16,18,20)*((0*(((0.15*B1530*5))^0/1)+1*(((0.15*B1530*5))^1/1)+2*(((0.15*B1530*5))^2/2)+3*(((0.15*B1530*5))^3/6)+4*(((0.15*B1530*5))^4/24)+5*(((0.15*B1530*5))^5/120))/((((0.15*B1530*5))^0/1)+(((0.15*B1530*5))^1/1)+(((0.15*B1530*5))^2/2)+(((0.15*B1530*5))^3/6)+(((0.15*B1530*5))^4/24)+(((0.15*B1530*5))^5/120))),0))+IF(Inputs!$B$3&gt;=54,9*(C1500=TRUE)*MIN(1,8*(1+Inputs!$B$34/100)*Q1500)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04">
      <c r="A1504">
        <f>Skills!A7</f>
        <v/>
      </c>
      <c r="B1504">
        <f>Skills!B7</f>
        <v/>
      </c>
      <c r="C1504">
        <f>Inputs!$B$3&gt;=63</f>
        <v/>
      </c>
      <c r="D1504">
        <f>IF(Skills!C7=1,60+Inputs!$B$25+Inputs!$B$29,IF(Skills!C7=2,90+Inputs!$B$26+Inputs!$B$29,IF(Skills!C7=3,120+Inputs!$B$27+Inputs!$B$29,MAX(0,(Inputs!$B$3-100)*3)+Inputs!$B$28+Inputs!$B$29)))</f>
        <v/>
      </c>
      <c r="E1504">
        <f>INDEX(FactorTable!$B$2:$Y$301, MATCH(ROUND(MIN(300,MAX(1,D1504)),0), FactorTable!$A$2:$A$301,0), Skills!M7+1)</f>
        <v/>
      </c>
      <c r="F1504">
        <f>IF(Skills!N7=TRUE,(Skills!L7/10)*(E1504/1000),Skills!L7/10)+Skills!O7</f>
        <v/>
      </c>
      <c r="G1504">
        <f>Skills!G7*IF(Skills!H7&gt;0,INT(IF(Inputs!$B$38="pvp",MIN(Skills!I7,15),Skills!I7)/Skills!H7+0.000000001),1)</f>
        <v/>
      </c>
      <c r="H1504">
        <f>1-(1-Skills!J7/100)^Skills!K7</f>
        <v/>
      </c>
      <c r="I1504" t="inlineStr">
        <is>
          <t>1</t>
        </is>
      </c>
      <c r="J1504">
        <f>((Inputs!$B$6*(1+Inputs!$B$7/100))+(((Inputs!$B$12*(1+Inputs!$B$13/100))-(Inputs!$B$12*(1+Inputs!$B$13/100)))+0.25*(Inputs!$B$14-Inputs!$B$14))*(1+Inputs!$B$7/100))*(F1504/100)</f>
        <v/>
      </c>
      <c r="K1504">
        <f>J1504*(1+((Inputs!$B$12*(1+Inputs!$B$13/100))*0.01+Inputs!$B$14*0.0025)/100)*(1+Inputs!$B$15/100)*(1+Inputs!$B$16/100)*(5000/(6000+Inputs!$B$42*(1-(100*(1-(1-(Inputs!$B$19+0)/100)*(1-CHOOSE(ArtifactsInput!$N$40+1,5,6,7,8,9,10)/100)^(ArtifactsInput!$M$40-ArtifactsInput!$M$40)))/100)))*(1+(Inputs!$B$24+((C1523=TRUE)*(F1523-Calc!F26))+B1534)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1512=TRUE,F1512,0)/100)*(1+(IF(Skills!A7="EIGHT_LEGS_EASTON",Inputs!$B$17+((C1520=TRUE)*(F1520-Calc!F23))+((C1524=TRUE)*(F1524-Calc!F27))+((IF(AND(Inputs!$B$38&lt;&gt;"pvp",Inputs!$B$43=0),1,IF(IF(Inputs!$B$38="pvp",15,Inputs!$B$43)-(B1535)&lt;=0,1,MAX(0,IF(Inputs!$B$38="pvp",15,Inputs!$B$43)-MAX(5,B1535))/(IF(Inputs!$B$38="pvp",15,Inputs!$B$43)-(B1535))))*(IF(AND(ArtifactsInput!$M$42,((Inputs!$B$9+((C1516=TRUE)*(F1516-Calc!F19))+B1528+(ArtifactsInput!$M$24-ArtifactsInput!$M$24)*CHOOSE(ArtifactsInput!$N$24+1,10,12,14,16,18,20)+IF(ArtifactsInput!$M$10,CHOOSE(ArtifactsInput!$N$10+1,15,18,21,24,27,30)*(IF(Inputs!$B$38="pvp",MIN(15,15)/15,IF(AND(Inputs!$B$38&lt;&gt;"pvp",Inputs!$B$43&gt;0),MIN(15,Inputs!$B$43)/(Inputs!$B$43),0))),0)))&gt;=100),MIN(100,((Inputs!$B$9+((C1516=TRUE)*(F1516-Calc!F19))+B1528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1535)&lt;=0,1,MAX(0,IF(Inputs!$B$38="pvp",15,Inputs!$B$43)-MAX(5,B1535))/(IF(Inputs!$B$38="pvp",15,Inputs!$B$43)-(B1535))))*IF(AND(ArtifactsInput!$M$42,((Inputs!$B$9+((C1516=TRUE)*(F1516-Calc!F19))+B1528+(ArtifactsInput!$M$24-ArtifactsInput!$M$24)*CHOOSE(ArtifactsInput!$N$24+1,10,12,14,16,18,20)+IF(ArtifactsInput!$M$10,CHOOSE(ArtifactsInput!$N$10+1,15,18,21,24,27,30)*(IF(Inputs!$B$38="pvp",MIN(15,15)/15,IF(AND(Inputs!$B$38&lt;&gt;"pvp",Inputs!$B$43&gt;0),MIN(15,Inputs!$B$43)/(Inputs!$B$43),0))),0)))&gt;=100),CHOOSE(ArtifactsInput!$N$42+1,40,48,56,64,72,80),0))))/100)*((1+(((C1514=TRUE)*F1514*5/7)+((C1521=TRUE)*(F1521-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IF(ArtifactsInput!$M$11,FALSE,TRUE),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1504)</f>
        <v/>
      </c>
      <c r="L1504">
        <f>K1504*(MIN(Inputs!$B$22+((C1519=TRUE)*(F1519-Calc!F22)),(Inputs!$B$23+0+(IF(ArtifactsInput!$M$15,CHOOSE(ArtifactsInput!$N$15+1,25,30,35,40,45,50)/100*(Inputs!$B$11-Inputs!$B$11),0))))/100+(Inputs!$B$23+0+(IF(ArtifactsInput!$M$15,CHOOSE(ArtifactsInput!$N$15+1,25,30,35,40,45,50)/100*(Inputs!$B$11-Inputs!$B$11),0)))/100)/2</f>
        <v/>
      </c>
      <c r="M1504">
        <f>L1504*(1+(Inputs!$B$10+((C1522=TRUE)*(F1522-Calc!F25))+B1533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04">
        <f>L1504*(1-MIN((Inputs!$B$9+((C1516=TRUE)*(F1516-Calc!F19))+B1528+(ArtifactsInput!$M$24-ArtifactsInput!$M$24)*CHOOSE(ArtifactsInput!$N$24+1,10,12,14,16,18,20)+(IF(AND(Inputs!$B$38&lt;&gt;"pvp",Inputs!$B$43=0),1,IF(IF(Inputs!$B$38="pvp",15,Inputs!$B$43)-(B1535)&lt;=0,1,MAX(0,IF(Inputs!$B$38="pvp",15,Inputs!$B$43)-MAX(5,B1535))/(IF(Inputs!$B$38="pvp",15,Inputs!$B$43)-(B1535))))*IF(AND(ArtifactsInput!$M$42,((Inputs!$B$9+((C1516=TRUE)*(F1516-Calc!F19))+B1528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1504*(MIN((Inputs!$B$9+((C1516=TRUE)*(F1516-Calc!F19))+B1528+(ArtifactsInput!$M$24-ArtifactsInput!$M$24)*CHOOSE(ArtifactsInput!$N$24+1,10,12,14,16,18,20)+(IF(AND(Inputs!$B$38&lt;&gt;"pvp",Inputs!$B$43=0),1,IF(IF(Inputs!$B$38="pvp",15,Inputs!$B$43)-(B1535)&lt;=0,1,MAX(0,IF(Inputs!$B$38="pvp",15,Inputs!$B$43)-MAX(5,B1535))/(IF(Inputs!$B$38="pvp",15,Inputs!$B$43)-(B1535))))*IF(AND(ArtifactsInput!$M$42,((Inputs!$B$9+((C1516=TRUE)*(F1516-Calc!F19))+B1528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04">
        <f>(1-Summary!$B$11)*T1504+Summary!$B$11*V1504</f>
        <v/>
      </c>
      <c r="P1504">
        <f>IF(B1538=0,0,O1504/B1538)</f>
        <v/>
      </c>
      <c r="Q1504">
        <f>IFERROR(1/(IF(Inputs!$B$38="pvp",15,MAX(0.1,Skills!D7-IF(TRUE=TRUE,Inputs!$B$32,0)))*(1-IF(AND(ArtifactsInput!$M$27,Inputs!$B$4="Chapter Hunt"),CHOOSE(ArtifactsInput!$N$27+1,20,24,28,32,36,40),0)/100)),0)</f>
        <v/>
      </c>
      <c r="R1504">
        <f>IF(AND(Inputs!$B$38&lt;&gt;"pvp",Inputs!$B$43&gt;0),IF(MAX(0,Inputs!$B$43-B1535)&lt;=0,0,(INT(MAX(0,Inputs!$B$43-B1535)/(IF(Inputs!$B$38="pvp",15,MAX(0.1,Skills!D7-IF(TRUE=TRUE,Inputs!$B$32,0)))*(1-IF(AND(ArtifactsInput!$M$27,Inputs!$B$4="Chapter Hunt"),CHOOSE(ArtifactsInput!$N$27+1,20,24,28,32,36,40),0)/100)))+1)),0)</f>
        <v/>
      </c>
      <c r="S1504">
        <f>IFERROR(O1504/N1504,0)</f>
        <v/>
      </c>
      <c r="T1504">
        <f>IF(C1504,(H1504*N1504*IF(AND(Inputs!$B$38&lt;&gt;"pvp",Inputs!$B$43&gt;0),((Skills!G7*((R1504-1)*IF(Skills!H7&gt;0,INT(Skills!I7/Skills!H7+0.000000001),1)+IF(Skills!H7&gt;0,INT(MIN(Skills!I7,MAX(0,MAX(0,Inputs!$B$43-B1535)-((R1504-1)*(IF(Inputs!$B$38="pvp",15,MAX(0.1,Skills!D7-IF(TRUE=TRUE,Inputs!$B$32,0)))*(1-IF(AND(ArtifactsInput!$M$27,Inputs!$B$4="Chapter Hunt"),CHOOSE(ArtifactsInput!$N$27+1,20,24,28,32,36,40),0)/100)))))/Skills!H7+0.000000001),1)))/Inputs!$B$43),G1504*Q1504))*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Hunt"),CHOOSE(ArtifactsInput!$N$35+1,15,18,21,24,27,30)*(1-EXP(-(0.2*B1530)*5)),0)+IF(AND(ArtifactsInput!$M$22,Inputs!$B$4&lt;&gt;"Chapter Hunt"),CHOOSE(ArtifactsInput!$N$22+1,10,12,14,16,18,20)*((0*(((0.15*B1530*5))^0/1)+1*(((0.15*B1530*5))^1/1)+2*(((0.15*B1530*5))^2/2)+3*(((0.15*B1530*5))^3/6)+4*(((0.15*B1530*5))^4/24)+5*(((0.15*B1530*5))^5/120))/((((0.15*B1530*5))^0/1)+(((0.15*B1530*5))^1/1)+(((0.15*B1530*5))^2/2)+(((0.15*B1530*5))^3/6)+(((0.15*B1530*5))^4/24)+(((0.15*B1530*5))^5/120))),0))+IF(Inputs!$B$3&gt;=54,9*(C1500=TRUE)*MIN(1,8*(1+Inputs!$B$34/100)*Q1500)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1504*(1-MIN(100,(Inputs!$B$9+((C1516=TRUE)*(F1516-Calc!F19))+B1528+(ArtifactsInput!$M$24-ArtifactsInput!$M$24)*CHOOSE(ArtifactsInput!$N$24+1,10,12,14,16,18,20)+(IF(AND(Inputs!$B$38&lt;&gt;"pvp",Inputs!$B$43=0),1,IF(IF(Inputs!$B$38="pvp",15,Inputs!$B$43)-(B1535)&lt;=0,1,MAX(0,IF(Inputs!$B$38="pvp",15,Inputs!$B$43)-MAX(5,B1535))/(IF(Inputs!$B$38="pvp",15,Inputs!$B$43)-(B1535))))*IF(AND(ArtifactsInput!$M$42,((Inputs!$B$9+((C1516=TRUE)*(F1516-Calc!F19))+B1528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1504*(MIN(100,(Inputs!$B$9+((C1516=TRUE)*(F1516-Calc!F19))+B1528+(ArtifactsInput!$M$24-ArtifactsInput!$M$24)*CHOOSE(ArtifactsInput!$N$24+1,10,12,14,16,18,20)+(IF(AND(Inputs!$B$38&lt;&gt;"pvp",Inputs!$B$43=0),1,IF(IF(Inputs!$B$38="pvp",15,Inputs!$B$43)-(B1535)&lt;=0,1,MAX(0,IF(Inputs!$B$38="pvp",15,Inputs!$B$43)-MAX(5,B1535))/(IF(Inputs!$B$38="pvp",15,Inputs!$B$43)-(B1535))))*IF(AND(ArtifactsInput!$M$42,((Inputs!$B$9+((C1516=TRUE)*(F1516-Calc!F19))+B1528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1504*(1-MIN(100,(Inputs!$B$9+((C1516=TRUE)*(F1516-Calc!F19))+B1528+(ArtifactsInput!$M$24-ArtifactsInput!$M$24)*CHOOSE(ArtifactsInput!$N$24+1,10,12,14,16,18,20)+(IF(AND(Inputs!$B$38&lt;&gt;"pvp",Inputs!$B$43=0),1,IF(IF(Inputs!$B$38="pvp",15,Inputs!$B$43)-(B1535)&lt;=0,1,MAX(0,IF(Inputs!$B$38="pvp",15,Inputs!$B$43)-MAX(5,B1535))/(IF(Inputs!$B$38="pvp",15,Inputs!$B$43)-(B1535))))*IF(AND(ArtifactsInput!$M$42,((Inputs!$B$9+((C1516=TRUE)*(F1516-Calc!F19))+B1528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1504*(MIN(100,(Inputs!$B$9+((C1516=TRUE)*(F1516-Calc!F19))+B1528+(ArtifactsInput!$M$24-ArtifactsInput!$M$24)*CHOOSE(ArtifactsInput!$N$24+1,10,12,14,16,18,20)+(IF(AND(Inputs!$B$38&lt;&gt;"pvp",Inputs!$B$43=0),1,IF(IF(Inputs!$B$38="pvp",15,Inputs!$B$43)-(B1535)&lt;=0,1,MAX(0,IF(Inputs!$B$38="pvp",15,Inputs!$B$43)-MAX(5,B1535))/(IF(Inputs!$B$38="pvp",15,Inputs!$B$43)-(B1535))))*IF(AND(ArtifactsInput!$M$42,((Inputs!$B$9+((C1516=TRUE)*(F1516-Calc!F19))+B1528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504">
        <f>IF(C1504,(H1504*N1504*IF(AND(Inputs!$B$38&lt;&gt;"pvp",Inputs!$B$43&gt;0),((Skills!G7*((R1504-1)*IF(Skills!H7&gt;0,INT(Skills!I7/Skills!H7+0.000000001),1)+IF(Skills!H7&gt;0,INT(MIN(Skills!I7,MAX(0,MAX(0,Inputs!$B$43-B1535)-((R1504-1)*(IF(Inputs!$B$38="pvp",15,MAX(0.1,Skills!D7-IF(TRUE=TRUE,Inputs!$B$32,0)))*(1-IF(AND(ArtifactsInput!$M$27,Inputs!$B$4="Chapter Hunt"),CHOOSE(ArtifactsInput!$N$27+1,20,24,28,32,36,40),0)/100)))))/Skills!H7+0.000000001),1)))/Inputs!$B$43),G1504*Q1504))*IF(Inputs!$B$38="pvp",1,(1+(Inputs!$B$21+Skills!Q7+(IF(ArtifactsInput!$M$33,CHOOSE(ArtifactsInput!$N$33+1,30,36,42,48,54,60),0))+(IF(AND(ArtifactsInput!$M$35,Inputs!$B$4&lt;&gt;"Chapter Hunt"),CHOOSE(ArtifactsInput!$N$35+1,15,18,21,24,27,30)*(1-EXP(-(0.2*B1530)*5)),0)+IF(AND(ArtifactsInput!$M$22,Inputs!$B$4&lt;&gt;"Chapter Hunt"),CHOOSE(ArtifactsInput!$N$22+1,10,12,14,16,18,20)*((0*(((0.15*B1530*5))^0/1)+1*(((0.15*B1530*5))^1/1)+2*(((0.15*B1530*5))^2/2)+3*(((0.15*B1530*5))^3/6)+4*(((0.15*B1530*5))^4/24)+5*(((0.15*B1530*5))^5/120))/((((0.15*B1530*5))^0/1)+(((0.15*B1530*5))^1/1)+(((0.15*B1530*5))^2/2)+(((0.15*B1530*5))^3/6)+(((0.15*B1530*5))^4/24)+(((0.15*B1530*5))^5/120))),0))+IF(Inputs!$B$3&gt;=54,9*(C1500=TRUE)*MIN(1,8*(1+Inputs!$B$34/100)*Q1500)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05">
      <c r="A1505">
        <f>Skills!A8</f>
        <v/>
      </c>
      <c r="B1505">
        <f>Skills!B8</f>
        <v/>
      </c>
      <c r="C1505">
        <f>Inputs!$B$3&gt;=103</f>
        <v/>
      </c>
      <c r="D1505">
        <f>IF(Skills!C8=1,60+Inputs!$B$25+Inputs!$B$29,IF(Skills!C8=2,90+Inputs!$B$26+Inputs!$B$29,IF(Skills!C8=3,120+Inputs!$B$27+Inputs!$B$29,MAX(0,(Inputs!$B$3-100)*3)+Inputs!$B$28+Inputs!$B$29)))</f>
        <v/>
      </c>
      <c r="E1505">
        <f>INDEX(FactorTable!$B$2:$Y$301, MATCH(ROUND(MIN(300,MAX(1,D1505)),0), FactorTable!$A$2:$A$301,0), Skills!M8+1)</f>
        <v/>
      </c>
      <c r="F1505">
        <f>IF(Skills!N8=TRUE,(Skills!L8/10)*(E1505/1000),Skills!L8/10)+Skills!O8</f>
        <v/>
      </c>
      <c r="G1505">
        <f>Skills!G8*IF(Skills!H8&gt;0,INT(IF(Inputs!$B$38="pvp",MIN(Skills!I8,15),Skills!I8)/Skills!H8+0.000000001),1)</f>
        <v/>
      </c>
      <c r="H1505">
        <f>1-(1-Skills!J8/100)^Skills!K8</f>
        <v/>
      </c>
      <c r="I1505" t="inlineStr">
        <is>
          <t>1</t>
        </is>
      </c>
      <c r="J1505">
        <f>((Inputs!$B$6*(1+Inputs!$B$7/100))+(((Inputs!$B$12*(1+Inputs!$B$13/100))-(Inputs!$B$12*(1+Inputs!$B$13/100)))+0.25*(Inputs!$B$14-Inputs!$B$14))*(1+Inputs!$B$7/100))*(F1505/100)</f>
        <v/>
      </c>
      <c r="K1505">
        <f>J1505*(1+((Inputs!$B$12*(1+Inputs!$B$13/100))*0.01+Inputs!$B$14*0.0025)/100)*(1+Inputs!$B$15/100)*(1+Inputs!$B$16/100)*(5000/(6000+Inputs!$B$42*(1-(100*(1-(1-(Inputs!$B$19+0)/100)*(1-CHOOSE(ArtifactsInput!$N$40+1,5,6,7,8,9,10)/100)^(ArtifactsInput!$M$40-ArtifactsInput!$M$40)))/100)))*(1+(Inputs!$B$24+((C1523=TRUE)*(F1523-Calc!F26))+B1534)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IGHT_LEGS_EASTON",Inputs!$B$17+((C1520=TRUE)*(F1520-Calc!F23))+((C1524=TRUE)*(F1524-Calc!F27))+((IF(AND(Inputs!$B$38&lt;&gt;"pvp",Inputs!$B$43=0),1,IF(IF(Inputs!$B$38="pvp",15,Inputs!$B$43)-(B1535)&lt;=0,1,MAX(0,IF(Inputs!$B$38="pvp",15,Inputs!$B$43)-MAX(5,B1535))/(IF(Inputs!$B$38="pvp",15,Inputs!$B$43)-(B1535))))*(IF(AND(ArtifactsInput!$M$42,((Inputs!$B$9+((C1516=TRUE)*(F1516-Calc!F19))+B1528+(ArtifactsInput!$M$24-ArtifactsInput!$M$24)*CHOOSE(ArtifactsInput!$N$24+1,10,12,14,16,18,20)+IF(ArtifactsInput!$M$10,CHOOSE(ArtifactsInput!$N$10+1,15,18,21,24,27,30)*(IF(Inputs!$B$38="pvp",MIN(15,15)/15,IF(AND(Inputs!$B$38&lt;&gt;"pvp",Inputs!$B$43&gt;0),MIN(15,Inputs!$B$43)/(Inputs!$B$43),0))),0)))&gt;=100),MIN(100,((Inputs!$B$9+((C1516=TRUE)*(F1516-Calc!F19))+B1528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1535)&lt;=0,1,MAX(0,IF(Inputs!$B$38="pvp",15,Inputs!$B$43)-MAX(5,B1535))/(IF(Inputs!$B$38="pvp",15,Inputs!$B$43)-(B1535))))*IF(AND(ArtifactsInput!$M$42,((Inputs!$B$9+((C1516=TRUE)*(F1516-Calc!F19))+B1528+(ArtifactsInput!$M$24-ArtifactsInput!$M$24)*CHOOSE(ArtifactsInput!$N$24+1,10,12,14,16,18,20)+IF(ArtifactsInput!$M$10,CHOOSE(ArtifactsInput!$N$10+1,15,18,21,24,27,30)*(IF(Inputs!$B$38="pvp",MIN(15,15)/15,IF(AND(Inputs!$B$38&lt;&gt;"pvp",Inputs!$B$43&gt;0),MIN(15,Inputs!$B$43)/(Inputs!$B$43),0))),0)))&gt;=100),CHOOSE(ArtifactsInput!$N$42+1,40,48,56,64,72,80),0))))/100)*((1+(((C1514=TRUE)*F1514*5/7)+((C1521=TRUE)*(F1521-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IF(ArtifactsInput!$M$11,FALSE,TRUE),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1505)</f>
        <v/>
      </c>
      <c r="L1505">
        <f>K1505*(MIN(Inputs!$B$22+((C1519=TRUE)*(F1519-Calc!F22)),(Inputs!$B$23+0+(IF(ArtifactsInput!$M$15,CHOOSE(ArtifactsInput!$N$15+1,25,30,35,40,45,50)/100*(Inputs!$B$11-Inputs!$B$11),0))))/100+(Inputs!$B$23+0+(IF(ArtifactsInput!$M$15,CHOOSE(ArtifactsInput!$N$15+1,25,30,35,40,45,50)/100*(Inputs!$B$11-Inputs!$B$11),0)))/100)/2</f>
        <v/>
      </c>
      <c r="M1505">
        <f>L1505*(1+(Inputs!$B$10+((C1522=TRUE)*(F1522-Calc!F25))+B1533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05">
        <f>L1505*(1-MIN((Inputs!$B$9+((C1516=TRUE)*(F1516-Calc!F19))+B1528+(ArtifactsInput!$M$24-ArtifactsInput!$M$24)*CHOOSE(ArtifactsInput!$N$24+1,10,12,14,16,18,20)+(IF(AND(Inputs!$B$38&lt;&gt;"pvp",Inputs!$B$43=0),1,IF(IF(Inputs!$B$38="pvp",15,Inputs!$B$43)-(B1535)&lt;=0,1,MAX(0,IF(Inputs!$B$38="pvp",15,Inputs!$B$43)-MAX(5,B1535))/(IF(Inputs!$B$38="pvp",15,Inputs!$B$43)-(B1535))))*IF(AND(ArtifactsInput!$M$42,((Inputs!$B$9+((C1516=TRUE)*(F1516-Calc!F19))+B1528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1505*(MIN((Inputs!$B$9+((C1516=TRUE)*(F1516-Calc!F19))+B1528+(ArtifactsInput!$M$24-ArtifactsInput!$M$24)*CHOOSE(ArtifactsInput!$N$24+1,10,12,14,16,18,20)+(IF(AND(Inputs!$B$38&lt;&gt;"pvp",Inputs!$B$43=0),1,IF(IF(Inputs!$B$38="pvp",15,Inputs!$B$43)-(B1535)&lt;=0,1,MAX(0,IF(Inputs!$B$38="pvp",15,Inputs!$B$43)-MAX(5,B1535))/(IF(Inputs!$B$38="pvp",15,Inputs!$B$43)-(B1535))))*IF(AND(ArtifactsInput!$M$42,((Inputs!$B$9+((C1516=TRUE)*(F1516-Calc!F19))+B1528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05">
        <f>(1-Summary!$B$11)*T1505+Summary!$B$11*V1505</f>
        <v/>
      </c>
      <c r="P1505">
        <f>IF(B1538=0,0,O1505/B1538)</f>
        <v/>
      </c>
      <c r="Q1505">
        <f>IFERROR(1/((IF(Inputs!$B$38="pvp",15,MAX(0.1,Skills!D8-IF(TRUE=TRUE,Inputs!$B$32,0)))*(1-IF(AND(ArtifactsInput!$M$27,Inputs!$B$4="Chapter Hunt"),CHOOSE(ArtifactsInput!$N$27+1,20,24,28,32,36,40),0)/100))/B1539),0)</f>
        <v/>
      </c>
      <c r="R1505">
        <f>IF(AND(Inputs!$B$38&lt;&gt;"pvp",Inputs!$B$43&gt;0),IF(MAX(0,Inputs!$B$43-B1535)&lt;=0,0,(INT(MAX(0,Inputs!$B$43-B1535)/((IF(Inputs!$B$38="pvp",15,MAX(0.1,Skills!D8-IF(TRUE=TRUE,Inputs!$B$32,0)))*(1-IF(AND(ArtifactsInput!$M$27,Inputs!$B$4="Chapter Hunt"),CHOOSE(ArtifactsInput!$N$27+1,20,24,28,32,36,40),0)/100))/B1539))+1)),0)</f>
        <v/>
      </c>
      <c r="S1505">
        <f>IFERROR(O1505/N1505,0)</f>
        <v/>
      </c>
      <c r="T1505">
        <f>IF(C1505,(H1505*N1505*IF(AND(Inputs!$B$38&lt;&gt;"pvp",Inputs!$B$43&gt;0),((Skills!G8*((R1505-1)*IF(Skills!H8&gt;0,INT(Skills!I8/Skills!H8+0.000000001),1)+IF(Skills!H8&gt;0,INT(MIN(Skills!I8,MAX(0,MAX(0,Inputs!$B$43-B1535)-((R1505-1)*((IF(Inputs!$B$38="pvp",15,MAX(0.1,Skills!D8-IF(TRUE=TRUE,Inputs!$B$32,0)))*(1-IF(AND(ArtifactsInput!$M$27,Inputs!$B$4="Chapter Hunt"),CHOOSE(ArtifactsInput!$N$27+1,20,24,28,32,36,40),0)/100))/B1539))))/Skills!H8+0.000000001),1)))/Inputs!$B$43),G1505*Q1505))*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Hunt"),CHOOSE(ArtifactsInput!$N$35+1,15,18,21,24,27,30)*(1-EXP(-(0.2*B1530)*5)),0)+IF(AND(ArtifactsInput!$M$22,Inputs!$B$4&lt;&gt;"Chapter Hunt"),CHOOSE(ArtifactsInput!$N$22+1,10,12,14,16,18,20)*((0*(((0.15*B1530*5))^0/1)+1*(((0.15*B1530*5))^1/1)+2*(((0.15*B1530*5))^2/2)+3*(((0.15*B1530*5))^3/6)+4*(((0.15*B1530*5))^4/24)+5*(((0.15*B1530*5))^5/120))/((((0.15*B1530*5))^0/1)+(((0.15*B1530*5))^1/1)+(((0.15*B1530*5))^2/2)+(((0.15*B1530*5))^3/6)+(((0.15*B1530*5))^4/24)+(((0.15*B1530*5))^5/120))),0))+IF(Inputs!$B$3&gt;=54,9*(C1500=TRUE)*MIN(1,8*(1+Inputs!$B$34/100)*Q1500)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1505*(1-MIN(100,(Inputs!$B$9+((C1516=TRUE)*(F1516-Calc!F19))+B1528+(ArtifactsInput!$M$24-ArtifactsInput!$M$24)*CHOOSE(ArtifactsInput!$N$24+1,10,12,14,16,18,20)+(IF(AND(Inputs!$B$38&lt;&gt;"pvp",Inputs!$B$43=0),1,IF(IF(Inputs!$B$38="pvp",15,Inputs!$B$43)-(B1535)&lt;=0,1,MAX(0,IF(Inputs!$B$38="pvp",15,Inputs!$B$43)-MAX(5,B1535))/(IF(Inputs!$B$38="pvp",15,Inputs!$B$43)-(B1535))))*IF(AND(ArtifactsInput!$M$42,((Inputs!$B$9+((C1516=TRUE)*(F1516-Calc!F19))+B1528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1505*(MIN(100,(Inputs!$B$9+((C1516=TRUE)*(F1516-Calc!F19))+B1528+(ArtifactsInput!$M$24-ArtifactsInput!$M$24)*CHOOSE(ArtifactsInput!$N$24+1,10,12,14,16,18,20)+(IF(AND(Inputs!$B$38&lt;&gt;"pvp",Inputs!$B$43=0),1,IF(IF(Inputs!$B$38="pvp",15,Inputs!$B$43)-(B1535)&lt;=0,1,MAX(0,IF(Inputs!$B$38="pvp",15,Inputs!$B$43)-MAX(5,B1535))/(IF(Inputs!$B$38="pvp",15,Inputs!$B$43)-(B1535))))*IF(AND(ArtifactsInput!$M$42,((Inputs!$B$9+((C1516=TRUE)*(F1516-Calc!F19))+B1528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1505*(1-MIN(100,(Inputs!$B$9+((C1516=TRUE)*(F1516-Calc!F19))+B1528+(ArtifactsInput!$M$24-ArtifactsInput!$M$24)*CHOOSE(ArtifactsInput!$N$24+1,10,12,14,16,18,20)+(IF(AND(Inputs!$B$38&lt;&gt;"pvp",Inputs!$B$43=0),1,IF(IF(Inputs!$B$38="pvp",15,Inputs!$B$43)-(B1535)&lt;=0,1,MAX(0,IF(Inputs!$B$38="pvp",15,Inputs!$B$43)-MAX(5,B1535))/(IF(Inputs!$B$38="pvp",15,Inputs!$B$43)-(B1535))))*IF(AND(ArtifactsInput!$M$42,((Inputs!$B$9+((C1516=TRUE)*(F1516-Calc!F19))+B1528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1505*(MIN(100,(Inputs!$B$9+((C1516=TRUE)*(F1516-Calc!F19))+B1528+(ArtifactsInput!$M$24-ArtifactsInput!$M$24)*CHOOSE(ArtifactsInput!$N$24+1,10,12,14,16,18,20)+(IF(AND(Inputs!$B$38&lt;&gt;"pvp",Inputs!$B$43=0),1,IF(IF(Inputs!$B$38="pvp",15,Inputs!$B$43)-(B1535)&lt;=0,1,MAX(0,IF(Inputs!$B$38="pvp",15,Inputs!$B$43)-MAX(5,B1535))/(IF(Inputs!$B$38="pvp",15,Inputs!$B$43)-(B1535))))*IF(AND(ArtifactsInput!$M$42,((Inputs!$B$9+((C1516=TRUE)*(F1516-Calc!F19))+B1528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505">
        <f>IF(C1505,(H1505*N1505*IF(AND(Inputs!$B$38&lt;&gt;"pvp",Inputs!$B$43&gt;0),((Skills!G8*((R1505-1)*IF(Skills!H8&gt;0,INT(Skills!I8/Skills!H8+0.000000001),1)+IF(Skills!H8&gt;0,INT(MIN(Skills!I8,MAX(0,MAX(0,Inputs!$B$43-B1535)-((R1505-1)*((IF(Inputs!$B$38="pvp",15,MAX(0.1,Skills!D8-IF(TRUE=TRUE,Inputs!$B$32,0)))*(1-IF(AND(ArtifactsInput!$M$27,Inputs!$B$4="Chapter Hunt"),CHOOSE(ArtifactsInput!$N$27+1,20,24,28,32,36,40),0)/100))/B1539))))/Skills!H8+0.000000001),1)))/Inputs!$B$43),G1505*Q1505))*IF(Inputs!$B$38="pvp",1,(1+(Inputs!$B$21+Skills!Q8+(IF(ArtifactsInput!$M$33,CHOOSE(ArtifactsInput!$N$33+1,30,36,42,48,54,60),0))+(IF(AND(ArtifactsInput!$M$35,Inputs!$B$4&lt;&gt;"Chapter Hunt"),CHOOSE(ArtifactsInput!$N$35+1,15,18,21,24,27,30)*(1-EXP(-(0.2*B1530)*5)),0)+IF(AND(ArtifactsInput!$M$22,Inputs!$B$4&lt;&gt;"Chapter Hunt"),CHOOSE(ArtifactsInput!$N$22+1,10,12,14,16,18,20)*((0*(((0.15*B1530*5))^0/1)+1*(((0.15*B1530*5))^1/1)+2*(((0.15*B1530*5))^2/2)+3*(((0.15*B1530*5))^3/6)+4*(((0.15*B1530*5))^4/24)+5*(((0.15*B1530*5))^5/120))/((((0.15*B1530*5))^0/1)+(((0.15*B1530*5))^1/1)+(((0.15*B1530*5))^2/2)+(((0.15*B1530*5))^3/6)+(((0.15*B1530*5))^4/24)+(((0.15*B1530*5))^5/120))),0))+IF(Inputs!$B$3&gt;=54,9*(C1500=TRUE)*MIN(1,8*(1+Inputs!$B$34/100)*Q1500)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06">
      <c r="A1506">
        <f>Skills!A9</f>
        <v/>
      </c>
      <c r="B1506">
        <f>Skills!B9</f>
        <v/>
      </c>
      <c r="C1506">
        <f>Inputs!$B$3&gt;=105</f>
        <v/>
      </c>
      <c r="D1506">
        <f>IF(Skills!C9=1,60+Inputs!$B$25+Inputs!$B$29,IF(Skills!C9=2,90+Inputs!$B$26+Inputs!$B$29,IF(Skills!C9=3,120+Inputs!$B$27+Inputs!$B$29,MAX(0,(Inputs!$B$3-100)*3)+Inputs!$B$28+Inputs!$B$29)))</f>
        <v/>
      </c>
      <c r="E1506">
        <f>INDEX(FactorTable!$B$2:$Y$301, MATCH(ROUND(MIN(300,MAX(1,D1506)),0), FactorTable!$A$2:$A$301,0), Skills!M9+1)</f>
        <v/>
      </c>
      <c r="F1506">
        <f>IF(Skills!N9=TRUE,(Skills!L9/10)*(E1506/1000),Skills!L9/10)+Skills!O9</f>
        <v/>
      </c>
      <c r="G1506">
        <f>Skills!G9*IF(Skills!H9&gt;0,INT(IF(Inputs!$B$38="pvp",MIN(Skills!I9,15),Skills!I9)/Skills!H9+0.000000001),1)</f>
        <v/>
      </c>
      <c r="H1506">
        <f>1-(1-Skills!J9/100)^Skills!K9</f>
        <v/>
      </c>
      <c r="I1506" t="inlineStr">
        <is>
          <t>1</t>
        </is>
      </c>
      <c r="J1506">
        <f>((Inputs!$B$6*(1+Inputs!$B$7/100))+(((Inputs!$B$12*(1+Inputs!$B$13/100))-(Inputs!$B$12*(1+Inputs!$B$13/100)))+0.25*(Inputs!$B$14-Inputs!$B$14))*(1+Inputs!$B$7/100))*(F1506/100)</f>
        <v/>
      </c>
      <c r="K1506">
        <f>J1506*(1+((Inputs!$B$12*(1+Inputs!$B$13/100))*0.01+Inputs!$B$14*0.0025)/100)*(1+Inputs!$B$15/100)*(1+Inputs!$B$16/100)*(5000/(6000+Inputs!$B$42*(1-(100*(1-(1-(Inputs!$B$19+0)/100)*(1-CHOOSE(ArtifactsInput!$N$40+1,5,6,7,8,9,10)/100)^(ArtifactsInput!$M$40-ArtifactsInput!$M$40)))/100)))*(1+(Inputs!$B$24+((C1523=TRUE)*(F1523-Calc!F26))+B1534)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IGHT_LEGS_EASTON",Inputs!$B$17+((C1520=TRUE)*(F1520-Calc!F23))+((C1524=TRUE)*(F1524-Calc!F27))+((IF(AND(Inputs!$B$38&lt;&gt;"pvp",Inputs!$B$43=0),1,IF(IF(Inputs!$B$38="pvp",15,Inputs!$B$43)-(B1535)&lt;=0,1,MAX(0,IF(Inputs!$B$38="pvp",15,Inputs!$B$43)-MAX(5,B1535))/(IF(Inputs!$B$38="pvp",15,Inputs!$B$43)-(B1535))))*(IF(AND(ArtifactsInput!$M$42,((Inputs!$B$9+((C1516=TRUE)*(F1516-Calc!F19))+B1528+(ArtifactsInput!$M$24-ArtifactsInput!$M$24)*CHOOSE(ArtifactsInput!$N$24+1,10,12,14,16,18,20)+IF(ArtifactsInput!$M$10,CHOOSE(ArtifactsInput!$N$10+1,15,18,21,24,27,30)*(IF(Inputs!$B$38="pvp",MIN(15,15)/15,IF(AND(Inputs!$B$38&lt;&gt;"pvp",Inputs!$B$43&gt;0),MIN(15,Inputs!$B$43)/(Inputs!$B$43),0))),0)))&gt;=100),MIN(100,((Inputs!$B$9+((C1516=TRUE)*(F1516-Calc!F19))+B1528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1535)&lt;=0,1,MAX(0,IF(Inputs!$B$38="pvp",15,Inputs!$B$43)-MAX(5,B1535))/(IF(Inputs!$B$38="pvp",15,Inputs!$B$43)-(B1535))))*IF(AND(ArtifactsInput!$M$42,((Inputs!$B$9+((C1516=TRUE)*(F1516-Calc!F19))+B1528+(ArtifactsInput!$M$24-ArtifactsInput!$M$24)*CHOOSE(ArtifactsInput!$N$24+1,10,12,14,16,18,20)+IF(ArtifactsInput!$M$10,CHOOSE(ArtifactsInput!$N$10+1,15,18,21,24,27,30)*(IF(Inputs!$B$38="pvp",MIN(15,15)/15,IF(AND(Inputs!$B$38&lt;&gt;"pvp",Inputs!$B$43&gt;0),MIN(15,Inputs!$B$43)/(Inputs!$B$43),0))),0)))&gt;=100),CHOOSE(ArtifactsInput!$N$42+1,40,48,56,64,72,80),0))))/100)*((1+(((C1514=TRUE)*F1514*5/7)+((C1521=TRUE)*(F1521-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IF(ArtifactsInput!$M$11,FALSE,TRUE),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1506)</f>
        <v/>
      </c>
      <c r="L1506">
        <f>K1506*(MIN(Inputs!$B$22+((C1519=TRUE)*(F1519-Calc!F22)),(Inputs!$B$23+0+(IF(ArtifactsInput!$M$15,CHOOSE(ArtifactsInput!$N$15+1,25,30,35,40,45,50)/100*(Inputs!$B$11-Inputs!$B$11),0))))/100+(Inputs!$B$23+0+(IF(ArtifactsInput!$M$15,CHOOSE(ArtifactsInput!$N$15+1,25,30,35,40,45,50)/100*(Inputs!$B$11-Inputs!$B$11),0)))/100)/2</f>
        <v/>
      </c>
      <c r="M1506">
        <f>L1506*(1+(Inputs!$B$10+((C1522=TRUE)*(F1522-Calc!F25))+B1533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06">
        <f>L1506*(1-MIN((Inputs!$B$9+((C1516=TRUE)*(F1516-Calc!F19))+B1528+(ArtifactsInput!$M$24-ArtifactsInput!$M$24)*CHOOSE(ArtifactsInput!$N$24+1,10,12,14,16,18,20)+(IF(AND(Inputs!$B$38&lt;&gt;"pvp",Inputs!$B$43=0),1,IF(IF(Inputs!$B$38="pvp",15,Inputs!$B$43)-(B1535)&lt;=0,1,MAX(0,IF(Inputs!$B$38="pvp",15,Inputs!$B$43)-MAX(5,B1535))/(IF(Inputs!$B$38="pvp",15,Inputs!$B$43)-(B1535))))*IF(AND(ArtifactsInput!$M$42,((Inputs!$B$9+((C1516=TRUE)*(F1516-Calc!F19))+B1528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1506*(MIN((Inputs!$B$9+((C1516=TRUE)*(F1516-Calc!F19))+B1528+(ArtifactsInput!$M$24-ArtifactsInput!$M$24)*CHOOSE(ArtifactsInput!$N$24+1,10,12,14,16,18,20)+(IF(AND(Inputs!$B$38&lt;&gt;"pvp",Inputs!$B$43=0),1,IF(IF(Inputs!$B$38="pvp",15,Inputs!$B$43)-(B1535)&lt;=0,1,MAX(0,IF(Inputs!$B$38="pvp",15,Inputs!$B$43)-MAX(5,B1535))/(IF(Inputs!$B$38="pvp",15,Inputs!$B$43)-(B1535))))*IF(AND(ArtifactsInput!$M$42,((Inputs!$B$9+((C1516=TRUE)*(F1516-Calc!F19))+B1528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06">
        <f>(1-Summary!$B$11)*T1506+Summary!$B$11*V1506</f>
        <v/>
      </c>
      <c r="P1506">
        <f>IF(B1538=0,0,O1506/B1538)</f>
        <v/>
      </c>
      <c r="Q1506">
        <f>IFERROR(1/(IF(Inputs!$B$38="pvp",15,MAX(0.1,Skills!D9-IF(TRUE=TRUE,Inputs!$B$32,0)))*(1-IF(AND(ArtifactsInput!$M$27,Inputs!$B$4="Chapter Hunt"),CHOOSE(ArtifactsInput!$N$27+1,20,24,28,32,36,40),0)/100)),0)</f>
        <v/>
      </c>
      <c r="R1506">
        <f>IF(AND(Inputs!$B$38&lt;&gt;"pvp",Inputs!$B$43&gt;0),IF(MAX(0,Inputs!$B$43-B1535)&lt;=0,0,(INT(MAX(0,Inputs!$B$43-B1535)/(IF(Inputs!$B$38="pvp",15,MAX(0.1,Skills!D9-IF(TRUE=TRUE,Inputs!$B$32,0)))*(1-IF(AND(ArtifactsInput!$M$27,Inputs!$B$4="Chapter Hunt"),CHOOSE(ArtifactsInput!$N$27+1,20,24,28,32,36,40),0)/100)))+1)),0)</f>
        <v/>
      </c>
      <c r="S1506">
        <f>IFERROR(O1506/N1506,0)</f>
        <v/>
      </c>
      <c r="T1506">
        <f>IF(C1506,(H1506*N1506*IF(AND(Inputs!$B$38&lt;&gt;"pvp",Inputs!$B$43&gt;0),((Skills!G9*((R1506-1)*IF(Skills!H9&gt;0,INT(Skills!I9/Skills!H9+0.000000001),1)+IF(Skills!H9&gt;0,INT(MIN(Skills!I9,MAX(0,MAX(0,Inputs!$B$43-B1535)-((R1506-1)*(IF(Inputs!$B$38="pvp",15,MAX(0.1,Skills!D9-IF(TRUE=TRUE,Inputs!$B$32,0)))*(1-IF(AND(ArtifactsInput!$M$27,Inputs!$B$4="Chapter Hunt"),CHOOSE(ArtifactsInput!$N$27+1,20,24,28,32,36,40),0)/100)))))/Skills!H9+0.000000001),1)))/Inputs!$B$43),G1506*Q1506))*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Hunt"),CHOOSE(ArtifactsInput!$N$35+1,15,18,21,24,27,30)*(1-EXP(-(0.2*B1530)*5)),0)+IF(AND(ArtifactsInput!$M$22,Inputs!$B$4&lt;&gt;"Chapter Hunt"),CHOOSE(ArtifactsInput!$N$22+1,10,12,14,16,18,20)*((0*(((0.15*B1530*5))^0/1)+1*(((0.15*B1530*5))^1/1)+2*(((0.15*B1530*5))^2/2)+3*(((0.15*B1530*5))^3/6)+4*(((0.15*B1530*5))^4/24)+5*(((0.15*B1530*5))^5/120))/((((0.15*B1530*5))^0/1)+(((0.15*B1530*5))^1/1)+(((0.15*B1530*5))^2/2)+(((0.15*B1530*5))^3/6)+(((0.15*B1530*5))^4/24)+(((0.15*B1530*5))^5/120))),0))+IF(Inputs!$B$3&gt;=54,9*(C1500=TRUE)*MIN(1,8*(1+Inputs!$B$34/100)*Q1500)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1506*(1-MIN(100,(Inputs!$B$9+((C1516=TRUE)*(F1516-Calc!F19))+B1528+(ArtifactsInput!$M$24-ArtifactsInput!$M$24)*CHOOSE(ArtifactsInput!$N$24+1,10,12,14,16,18,20)+(IF(AND(Inputs!$B$38&lt;&gt;"pvp",Inputs!$B$43=0),1,IF(IF(Inputs!$B$38="pvp",15,Inputs!$B$43)-(B1535)&lt;=0,1,MAX(0,IF(Inputs!$B$38="pvp",15,Inputs!$B$43)-MAX(5,B1535))/(IF(Inputs!$B$38="pvp",15,Inputs!$B$43)-(B1535))))*IF(AND(ArtifactsInput!$M$42,((Inputs!$B$9+((C1516=TRUE)*(F1516-Calc!F19))+B1528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1506*(MIN(100,(Inputs!$B$9+((C1516=TRUE)*(F1516-Calc!F19))+B1528+(ArtifactsInput!$M$24-ArtifactsInput!$M$24)*CHOOSE(ArtifactsInput!$N$24+1,10,12,14,16,18,20)+(IF(AND(Inputs!$B$38&lt;&gt;"pvp",Inputs!$B$43=0),1,IF(IF(Inputs!$B$38="pvp",15,Inputs!$B$43)-(B1535)&lt;=0,1,MAX(0,IF(Inputs!$B$38="pvp",15,Inputs!$B$43)-MAX(5,B1535))/(IF(Inputs!$B$38="pvp",15,Inputs!$B$43)-(B1535))))*IF(AND(ArtifactsInput!$M$42,((Inputs!$B$9+((C1516=TRUE)*(F1516-Calc!F19))+B1528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1506*(1-MIN(100,(Inputs!$B$9+((C1516=TRUE)*(F1516-Calc!F19))+B1528+(ArtifactsInput!$M$24-ArtifactsInput!$M$24)*CHOOSE(ArtifactsInput!$N$24+1,10,12,14,16,18,20)+(IF(AND(Inputs!$B$38&lt;&gt;"pvp",Inputs!$B$43=0),1,IF(IF(Inputs!$B$38="pvp",15,Inputs!$B$43)-(B1535)&lt;=0,1,MAX(0,IF(Inputs!$B$38="pvp",15,Inputs!$B$43)-MAX(5,B1535))/(IF(Inputs!$B$38="pvp",15,Inputs!$B$43)-(B1535))))*IF(AND(ArtifactsInput!$M$42,((Inputs!$B$9+((C1516=TRUE)*(F1516-Calc!F19))+B1528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1506*(MIN(100,(Inputs!$B$9+((C1516=TRUE)*(F1516-Calc!F19))+B1528+(ArtifactsInput!$M$24-ArtifactsInput!$M$24)*CHOOSE(ArtifactsInput!$N$24+1,10,12,14,16,18,20)+(IF(AND(Inputs!$B$38&lt;&gt;"pvp",Inputs!$B$43=0),1,IF(IF(Inputs!$B$38="pvp",15,Inputs!$B$43)-(B1535)&lt;=0,1,MAX(0,IF(Inputs!$B$38="pvp",15,Inputs!$B$43)-MAX(5,B1535))/(IF(Inputs!$B$38="pvp",15,Inputs!$B$43)-(B1535))))*IF(AND(ArtifactsInput!$M$42,((Inputs!$B$9+((C1516=TRUE)*(F1516-Calc!F19))+B1528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506">
        <f>IF(C1506,(H1506*N1506*IF(AND(Inputs!$B$38&lt;&gt;"pvp",Inputs!$B$43&gt;0),((Skills!G9*((R1506-1)*IF(Skills!H9&gt;0,INT(Skills!I9/Skills!H9+0.000000001),1)+IF(Skills!H9&gt;0,INT(MIN(Skills!I9,MAX(0,MAX(0,Inputs!$B$43-B1535)-((R1506-1)*(IF(Inputs!$B$38="pvp",15,MAX(0.1,Skills!D9-IF(TRUE=TRUE,Inputs!$B$32,0)))*(1-IF(AND(ArtifactsInput!$M$27,Inputs!$B$4="Chapter Hunt"),CHOOSE(ArtifactsInput!$N$27+1,20,24,28,32,36,40),0)/100)))))/Skills!H9+0.000000001),1)))/Inputs!$B$43),G1506*Q1506))*IF(Inputs!$B$38="pvp",1,(1+(Inputs!$B$21+Skills!Q9+(IF(ArtifactsInput!$M$33,CHOOSE(ArtifactsInput!$N$33+1,30,36,42,48,54,60),0))+(IF(AND(ArtifactsInput!$M$35,Inputs!$B$4&lt;&gt;"Chapter Hunt"),CHOOSE(ArtifactsInput!$N$35+1,15,18,21,24,27,30)*(1-EXP(-(0.2*B1530)*5)),0)+IF(AND(ArtifactsInput!$M$22,Inputs!$B$4&lt;&gt;"Chapter Hunt"),CHOOSE(ArtifactsInput!$N$22+1,10,12,14,16,18,20)*((0*(((0.15*B1530*5))^0/1)+1*(((0.15*B1530*5))^1/1)+2*(((0.15*B1530*5))^2/2)+3*(((0.15*B1530*5))^3/6)+4*(((0.15*B1530*5))^4/24)+5*(((0.15*B1530*5))^5/120))/((((0.15*B1530*5))^0/1)+(((0.15*B1530*5))^1/1)+(((0.15*B1530*5))^2/2)+(((0.15*B1530*5))^3/6)+(((0.15*B1530*5))^4/24)+(((0.15*B1530*5))^5/120))),0))+IF(Inputs!$B$3&gt;=54,9*(C1500=TRUE)*MIN(1,8*(1+Inputs!$B$34/100)*Q1500)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07">
      <c r="A1507">
        <f>Skills!A10</f>
        <v/>
      </c>
      <c r="B1507">
        <f>Skills!B10</f>
        <v/>
      </c>
      <c r="C1507">
        <f>Inputs!$B$3&gt;=113</f>
        <v/>
      </c>
      <c r="D1507">
        <f>IF(Skills!C10=1,60+Inputs!$B$25+Inputs!$B$29,IF(Skills!C10=2,90+Inputs!$B$26+Inputs!$B$29,IF(Skills!C10=3,120+Inputs!$B$27+Inputs!$B$29,MAX(0,(Inputs!$B$3-100)*3)+Inputs!$B$28+Inputs!$B$29)))</f>
        <v/>
      </c>
      <c r="E1507">
        <f>INDEX(FactorTable!$B$2:$Y$301, MATCH(ROUND(MIN(300,MAX(1,D1507)),0), FactorTable!$A$2:$A$301,0), Skills!M10+1)</f>
        <v/>
      </c>
      <c r="F1507">
        <f>IF(Skills!N10=TRUE,(Skills!L10/10)*(E1507/1000),Skills!L10/10)+Skills!O10</f>
        <v/>
      </c>
      <c r="G1507">
        <f>Skills!G10*IF(Skills!H10&gt;0,INT(IF(Inputs!$B$38="pvp",MIN(Skills!I10,15),Skills!I10)/Skills!H10+0.000000001),1)</f>
        <v/>
      </c>
      <c r="H1507">
        <f>1-(1-Skills!J10/100)^Skills!K10</f>
        <v/>
      </c>
      <c r="I1507" t="inlineStr">
        <is>
          <t>1</t>
        </is>
      </c>
      <c r="J1507">
        <f>((Inputs!$B$6*(1+Inputs!$B$7/100))+(((Inputs!$B$12*(1+Inputs!$B$13/100))-(Inputs!$B$12*(1+Inputs!$B$13/100)))+0.25*(Inputs!$B$14-Inputs!$B$14))*(1+Inputs!$B$7/100))*(F1507/100)</f>
        <v/>
      </c>
      <c r="K1507">
        <f>J1507*(1+((Inputs!$B$12*(1+Inputs!$B$13/100))*0.01+Inputs!$B$14*0.0025)/100)*(1+Inputs!$B$15/100)*(1+Inputs!$B$16/100)*(5000/(6000+Inputs!$B$42*(1-(100*(1-(1-(Inputs!$B$19+0)/100)*(1-CHOOSE(ArtifactsInput!$N$40+1,5,6,7,8,9,10)/100)^(ArtifactsInput!$M$40-ArtifactsInput!$M$40)))/100)))*(1+(Inputs!$B$24+((C1523=TRUE)*(F1523-Calc!F26))+B1534)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IGHT_LEGS_EASTON",Inputs!$B$17+((C1520=TRUE)*(F1520-Calc!F23))+((C1524=TRUE)*(F1524-Calc!F27))+((IF(AND(Inputs!$B$38&lt;&gt;"pvp",Inputs!$B$43=0),1,IF(IF(Inputs!$B$38="pvp",15,Inputs!$B$43)-(B1535)&lt;=0,1,MAX(0,IF(Inputs!$B$38="pvp",15,Inputs!$B$43)-MAX(5,B1535))/(IF(Inputs!$B$38="pvp",15,Inputs!$B$43)-(B1535))))*(IF(AND(ArtifactsInput!$M$42,((Inputs!$B$9+((C1516=TRUE)*(F1516-Calc!F19))+B1528+(ArtifactsInput!$M$24-ArtifactsInput!$M$24)*CHOOSE(ArtifactsInput!$N$24+1,10,12,14,16,18,20)+IF(ArtifactsInput!$M$10,CHOOSE(ArtifactsInput!$N$10+1,15,18,21,24,27,30)*(IF(Inputs!$B$38="pvp",MIN(15,15)/15,IF(AND(Inputs!$B$38&lt;&gt;"pvp",Inputs!$B$43&gt;0),MIN(15,Inputs!$B$43)/(Inputs!$B$43),0))),0)))&gt;=100),MIN(100,((Inputs!$B$9+((C1516=TRUE)*(F1516-Calc!F19))+B1528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1535)&lt;=0,1,MAX(0,IF(Inputs!$B$38="pvp",15,Inputs!$B$43)-MAX(5,B1535))/(IF(Inputs!$B$38="pvp",15,Inputs!$B$43)-(B1535))))*IF(AND(ArtifactsInput!$M$42,((Inputs!$B$9+((C1516=TRUE)*(F1516-Calc!F19))+B1528+(ArtifactsInput!$M$24-ArtifactsInput!$M$24)*CHOOSE(ArtifactsInput!$N$24+1,10,12,14,16,18,20)+IF(ArtifactsInput!$M$10,CHOOSE(ArtifactsInput!$N$10+1,15,18,21,24,27,30)*(IF(Inputs!$B$38="pvp",MIN(15,15)/15,IF(AND(Inputs!$B$38&lt;&gt;"pvp",Inputs!$B$43&gt;0),MIN(15,Inputs!$B$43)/(Inputs!$B$43),0))),0)))&gt;=100),CHOOSE(ArtifactsInput!$N$42+1,40,48,56,64,72,80),0))))/100)*((1+(((C1514=TRUE)*F1514*5/7)+((C1521=TRUE)*(F1521-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IF(ArtifactsInput!$M$11,FALSE,TRUE),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1507)</f>
        <v/>
      </c>
      <c r="L1507">
        <f>K1507*(MIN(Inputs!$B$22+((C1519=TRUE)*(F1519-Calc!F22)),(Inputs!$B$23+0+(IF(ArtifactsInput!$M$15,CHOOSE(ArtifactsInput!$N$15+1,25,30,35,40,45,50)/100*(Inputs!$B$11-Inputs!$B$11),0))))/100+(Inputs!$B$23+0+(IF(ArtifactsInput!$M$15,CHOOSE(ArtifactsInput!$N$15+1,25,30,35,40,45,50)/100*(Inputs!$B$11-Inputs!$B$11),0)))/100)/2</f>
        <v/>
      </c>
      <c r="M1507">
        <f>L1507*(1+(Inputs!$B$10+((C1522=TRUE)*(F1522-Calc!F25))+B1533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07">
        <f>L1507*(1-MIN((Inputs!$B$9+((C1516=TRUE)*(F1516-Calc!F19))+B1528+(ArtifactsInput!$M$24-ArtifactsInput!$M$24)*CHOOSE(ArtifactsInput!$N$24+1,10,12,14,16,18,20)+(IF(AND(Inputs!$B$38&lt;&gt;"pvp",Inputs!$B$43=0),1,IF(IF(Inputs!$B$38="pvp",15,Inputs!$B$43)-(B1535)&lt;=0,1,MAX(0,IF(Inputs!$B$38="pvp",15,Inputs!$B$43)-MAX(5,B1535))/(IF(Inputs!$B$38="pvp",15,Inputs!$B$43)-(B1535))))*IF(AND(ArtifactsInput!$M$42,((Inputs!$B$9+((C1516=TRUE)*(F1516-Calc!F19))+B1528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1507*(MIN((Inputs!$B$9+((C1516=TRUE)*(F1516-Calc!F19))+B1528+(ArtifactsInput!$M$24-ArtifactsInput!$M$24)*CHOOSE(ArtifactsInput!$N$24+1,10,12,14,16,18,20)+(IF(AND(Inputs!$B$38&lt;&gt;"pvp",Inputs!$B$43=0),1,IF(IF(Inputs!$B$38="pvp",15,Inputs!$B$43)-(B1535)&lt;=0,1,MAX(0,IF(Inputs!$B$38="pvp",15,Inputs!$B$43)-MAX(5,B1535))/(IF(Inputs!$B$38="pvp",15,Inputs!$B$43)-(B1535))))*IF(AND(ArtifactsInput!$M$42,((Inputs!$B$9+((C1516=TRUE)*(F1516-Calc!F19))+B1528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07">
        <f>(1-Summary!$B$11)*T1507+Summary!$B$11*V1507</f>
        <v/>
      </c>
      <c r="P1507">
        <f>IF(B1538=0,0,O1507/B1538)</f>
        <v/>
      </c>
      <c r="Q1507" t="n">
        <v>0</v>
      </c>
      <c r="R1507" t="n">
        <v>0</v>
      </c>
      <c r="S1507">
        <f>IFERROR(O1507/N1507,0)</f>
        <v/>
      </c>
      <c r="T1507">
        <f>IF(C1507,((H1507*B1540)/(1+Skills!H10*H1507*B1540)*N1507)*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Hunt"),CHOOSE(ArtifactsInput!$N$35+1,15,18,21,24,27,30)*(1-EXP(-(0.2*B1530)*5)),0)+IF(AND(ArtifactsInput!$M$22,Inputs!$B$4&lt;&gt;"Chapter Hunt"),CHOOSE(ArtifactsInput!$N$22+1,10,12,14,16,18,20)*((0*(((0.15*B1530*5))^0/1)+1*(((0.15*B1530*5))^1/1)+2*(((0.15*B1530*5))^2/2)+3*(((0.15*B1530*5))^3/6)+4*(((0.15*B1530*5))^4/24)+5*(((0.15*B1530*5))^5/120))/((((0.15*B1530*5))^0/1)+(((0.15*B1530*5))^1/1)+(((0.15*B1530*5))^2/2)+(((0.15*B1530*5))^3/6)+(((0.15*B1530*5))^4/24)+(((0.15*B1530*5))^5/120))),0))+IF(Inputs!$B$3&gt;=54,9*(C1500=TRUE)*MIN(1,8*(1+Inputs!$B$34/100)*Q1500)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1507*(1-MIN(100,(Inputs!$B$9+((C1516=TRUE)*(F1516-Calc!F19))+B1528+(ArtifactsInput!$M$24-ArtifactsInput!$M$24)*CHOOSE(ArtifactsInput!$N$24+1,10,12,14,16,18,20)+(IF(AND(Inputs!$B$38&lt;&gt;"pvp",Inputs!$B$43=0),1,IF(IF(Inputs!$B$38="pvp",15,Inputs!$B$43)-(B1535)&lt;=0,1,MAX(0,IF(Inputs!$B$38="pvp",15,Inputs!$B$43)-MAX(5,B1535))/(IF(Inputs!$B$38="pvp",15,Inputs!$B$43)-(B1535))))*IF(AND(ArtifactsInput!$M$42,((Inputs!$B$9+((C1516=TRUE)*(F1516-Calc!F19))+B1528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1507*(MIN(100,(Inputs!$B$9+((C1516=TRUE)*(F1516-Calc!F19))+B1528+(ArtifactsInput!$M$24-ArtifactsInput!$M$24)*CHOOSE(ArtifactsInput!$N$24+1,10,12,14,16,18,20)+(IF(AND(Inputs!$B$38&lt;&gt;"pvp",Inputs!$B$43=0),1,IF(IF(Inputs!$B$38="pvp",15,Inputs!$B$43)-(B1535)&lt;=0,1,MAX(0,IF(Inputs!$B$38="pvp",15,Inputs!$B$43)-MAX(5,B1535))/(IF(Inputs!$B$38="pvp",15,Inputs!$B$43)-(B1535))))*IF(AND(ArtifactsInput!$M$42,((Inputs!$B$9+((C1516=TRUE)*(F1516-Calc!F19))+B1528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1507*(1-MIN(100,(Inputs!$B$9+((C1516=TRUE)*(F1516-Calc!F19))+B1528+(ArtifactsInput!$M$24-ArtifactsInput!$M$24)*CHOOSE(ArtifactsInput!$N$24+1,10,12,14,16,18,20)+(IF(AND(Inputs!$B$38&lt;&gt;"pvp",Inputs!$B$43=0),1,IF(IF(Inputs!$B$38="pvp",15,Inputs!$B$43)-(B1535)&lt;=0,1,MAX(0,IF(Inputs!$B$38="pvp",15,Inputs!$B$43)-MAX(5,B1535))/(IF(Inputs!$B$38="pvp",15,Inputs!$B$43)-(B1535))))*IF(AND(ArtifactsInput!$M$42,((Inputs!$B$9+((C1516=TRUE)*(F1516-Calc!F19))+B1528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1507*(MIN(100,(Inputs!$B$9+((C1516=TRUE)*(F1516-Calc!F19))+B1528+(ArtifactsInput!$M$24-ArtifactsInput!$M$24)*CHOOSE(ArtifactsInput!$N$24+1,10,12,14,16,18,20)+(IF(AND(Inputs!$B$38&lt;&gt;"pvp",Inputs!$B$43=0),1,IF(IF(Inputs!$B$38="pvp",15,Inputs!$B$43)-(B1535)&lt;=0,1,MAX(0,IF(Inputs!$B$38="pvp",15,Inputs!$B$43)-MAX(5,B1535))/(IF(Inputs!$B$38="pvp",15,Inputs!$B$43)-(B1535))))*IF(AND(ArtifactsInput!$M$42,((Inputs!$B$9+((C1516=TRUE)*(F1516-Calc!F19))+B1528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507">
        <f>IF(C1507,((H1507*B1540)/(1+Skills!H10*H1507*B1540)*N1507)*IF(Inputs!$B$38="pvp",1,(1+(Inputs!$B$21+Skills!Q10+(IF(ArtifactsInput!$M$33,CHOOSE(ArtifactsInput!$N$33+1,30,36,42,48,54,60),0))+(IF(AND(ArtifactsInput!$M$35,Inputs!$B$4&lt;&gt;"Chapter Hunt"),CHOOSE(ArtifactsInput!$N$35+1,15,18,21,24,27,30)*(1-EXP(-(0.2*B1530)*5)),0)+IF(AND(ArtifactsInput!$M$22,Inputs!$B$4&lt;&gt;"Chapter Hunt"),CHOOSE(ArtifactsInput!$N$22+1,10,12,14,16,18,20)*((0*(((0.15*B1530*5))^0/1)+1*(((0.15*B1530*5))^1/1)+2*(((0.15*B1530*5))^2/2)+3*(((0.15*B1530*5))^3/6)+4*(((0.15*B1530*5))^4/24)+5*(((0.15*B1530*5))^5/120))/((((0.15*B1530*5))^0/1)+(((0.15*B1530*5))^1/1)+(((0.15*B1530*5))^2/2)+(((0.15*B1530*5))^3/6)+(((0.15*B1530*5))^4/24)+(((0.15*B1530*5))^5/120))),0))+IF(Inputs!$B$3&gt;=54,9*(C1500=TRUE)*MIN(1,8*(1+Inputs!$B$34/100)*Q1500)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08">
      <c r="A1508">
        <f>Skills!A11</f>
        <v/>
      </c>
      <c r="B1508">
        <f>Skills!B11</f>
        <v/>
      </c>
      <c r="C1508">
        <f>Inputs!$B$3&gt;=117</f>
        <v/>
      </c>
      <c r="D1508">
        <f>IF(Skills!C11=1,60+Inputs!$B$25+Inputs!$B$29,IF(Skills!C11=2,90+Inputs!$B$26+Inputs!$B$29,IF(Skills!C11=3,120+Inputs!$B$27+Inputs!$B$29,MAX(0,(Inputs!$B$3-100)*3)+Inputs!$B$28+Inputs!$B$29)))</f>
        <v/>
      </c>
      <c r="E1508">
        <f>INDEX(FactorTable!$B$2:$Y$301, MATCH(ROUND(MIN(300,MAX(1,D1508)),0), FactorTable!$A$2:$A$301,0), Skills!M11+1)</f>
        <v/>
      </c>
      <c r="F1508">
        <f>IF(Skills!N11=TRUE,(Skills!L11/10)*(E1508/1000),Skills!L11/10)+Skills!O11</f>
        <v/>
      </c>
      <c r="G1508">
        <f>Skills!G11*IF(Skills!H11&gt;0,INT(IF(Inputs!$B$38="pvp",MIN(Skills!I11,15),Skills!I11)/Skills!H11+0.000000001),1)</f>
        <v/>
      </c>
      <c r="H1508">
        <f>1-(1-Skills!J11/100)^Skills!K11</f>
        <v/>
      </c>
      <c r="I1508" t="inlineStr">
        <is>
          <t>1</t>
        </is>
      </c>
      <c r="J1508">
        <f>((Inputs!$B$6*(1+Inputs!$B$7/100))+(((Inputs!$B$12*(1+Inputs!$B$13/100))-(Inputs!$B$12*(1+Inputs!$B$13/100)))+0.25*(Inputs!$B$14-Inputs!$B$14))*(1+Inputs!$B$7/100))*(F1508/100)</f>
        <v/>
      </c>
      <c r="K1508">
        <f>J1508*(1+((Inputs!$B$12*(1+Inputs!$B$13/100))*0.01+Inputs!$B$14*0.0025)/100)*(1+Inputs!$B$15/100)*(1+Inputs!$B$16/100)*(5000/(6000+Inputs!$B$42*(1-(100*(1-(1-(Inputs!$B$19+0)/100)*(1-CHOOSE(ArtifactsInput!$N$40+1,5,6,7,8,9,10)/100)^(ArtifactsInput!$M$40-ArtifactsInput!$M$40)))/100)))*(1+(Inputs!$B$24+((C1523=TRUE)*(F1523-Calc!F26))+B1534)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IGHT_LEGS_EASTON",Inputs!$B$17+((C1520=TRUE)*(F1520-Calc!F23))+((C1524=TRUE)*(F1524-Calc!F27))+((IF(AND(Inputs!$B$38&lt;&gt;"pvp",Inputs!$B$43=0),1,IF(IF(Inputs!$B$38="pvp",15,Inputs!$B$43)-(B1535)&lt;=0,1,MAX(0,IF(Inputs!$B$38="pvp",15,Inputs!$B$43)-MAX(5,B1535))/(IF(Inputs!$B$38="pvp",15,Inputs!$B$43)-(B1535))))*(IF(AND(ArtifactsInput!$M$42,((Inputs!$B$9+((C1516=TRUE)*(F1516-Calc!F19))+B1528+(ArtifactsInput!$M$24-ArtifactsInput!$M$24)*CHOOSE(ArtifactsInput!$N$24+1,10,12,14,16,18,20)+IF(ArtifactsInput!$M$10,CHOOSE(ArtifactsInput!$N$10+1,15,18,21,24,27,30)*(IF(Inputs!$B$38="pvp",MIN(15,15)/15,IF(AND(Inputs!$B$38&lt;&gt;"pvp",Inputs!$B$43&gt;0),MIN(15,Inputs!$B$43)/(Inputs!$B$43),0))),0)))&gt;=100),MIN(100,((Inputs!$B$9+((C1516=TRUE)*(F1516-Calc!F19))+B1528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1535)&lt;=0,1,MAX(0,IF(Inputs!$B$38="pvp",15,Inputs!$B$43)-MAX(5,B1535))/(IF(Inputs!$B$38="pvp",15,Inputs!$B$43)-(B1535))))*IF(AND(ArtifactsInput!$M$42,((Inputs!$B$9+((C1516=TRUE)*(F1516-Calc!F19))+B1528+(ArtifactsInput!$M$24-ArtifactsInput!$M$24)*CHOOSE(ArtifactsInput!$N$24+1,10,12,14,16,18,20)+IF(ArtifactsInput!$M$10,CHOOSE(ArtifactsInput!$N$10+1,15,18,21,24,27,30)*(IF(Inputs!$B$38="pvp",MIN(15,15)/15,IF(AND(Inputs!$B$38&lt;&gt;"pvp",Inputs!$B$43&gt;0),MIN(15,Inputs!$B$43)/(Inputs!$B$43),0))),0)))&gt;=100),CHOOSE(ArtifactsInput!$N$42+1,40,48,56,64,72,80),0))))/100)*((1+(((C1514=TRUE)*F1514*5/7)+((C1521=TRUE)*(F1521-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IF(ArtifactsInput!$M$11,FALSE,TRUE),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1508)</f>
        <v/>
      </c>
      <c r="L1508">
        <f>K1508*(MIN(Inputs!$B$22+((C1519=TRUE)*(F1519-Calc!F22)),(Inputs!$B$23+0+(IF(ArtifactsInput!$M$15,CHOOSE(ArtifactsInput!$N$15+1,25,30,35,40,45,50)/100*(Inputs!$B$11-Inputs!$B$11),0))))/100+(Inputs!$B$23+0+(IF(ArtifactsInput!$M$15,CHOOSE(ArtifactsInput!$N$15+1,25,30,35,40,45,50)/100*(Inputs!$B$11-Inputs!$B$11),0)))/100)/2</f>
        <v/>
      </c>
      <c r="M1508">
        <f>L1508*(1+(Inputs!$B$10+((C1522=TRUE)*(F1522-Calc!F25))+B1533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08">
        <f>L1508*(1-MIN((Inputs!$B$9+((C1516=TRUE)*(F1516-Calc!F19))+B1528+(ArtifactsInput!$M$24-ArtifactsInput!$M$24)*CHOOSE(ArtifactsInput!$N$24+1,10,12,14,16,18,20)+(IF(AND(Inputs!$B$38&lt;&gt;"pvp",Inputs!$B$43=0),1,IF(IF(Inputs!$B$38="pvp",15,Inputs!$B$43)-(B1535)&lt;=0,1,MAX(0,IF(Inputs!$B$38="pvp",15,Inputs!$B$43)-MAX(5,B1535))/(IF(Inputs!$B$38="pvp",15,Inputs!$B$43)-(B1535))))*IF(AND(ArtifactsInput!$M$42,((Inputs!$B$9+((C1516=TRUE)*(F1516-Calc!F19))+B1528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1508*(MIN((Inputs!$B$9+((C1516=TRUE)*(F1516-Calc!F19))+B1528+(ArtifactsInput!$M$24-ArtifactsInput!$M$24)*CHOOSE(ArtifactsInput!$N$24+1,10,12,14,16,18,20)+(IF(AND(Inputs!$B$38&lt;&gt;"pvp",Inputs!$B$43=0),1,IF(IF(Inputs!$B$38="pvp",15,Inputs!$B$43)-(B1535)&lt;=0,1,MAX(0,IF(Inputs!$B$38="pvp",15,Inputs!$B$43)-MAX(5,B1535))/(IF(Inputs!$B$38="pvp",15,Inputs!$B$43)-(B1535))))*IF(AND(ArtifactsInput!$M$42,((Inputs!$B$9+((C1516=TRUE)*(F1516-Calc!F19))+B1528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08">
        <f>(1-Summary!$B$11)*T1508+Summary!$B$11*V1508</f>
        <v/>
      </c>
      <c r="P1508">
        <f>IF(B1538=0,0,O1508/B1538)</f>
        <v/>
      </c>
      <c r="Q1508">
        <f>IFERROR(1/((IF(Inputs!$B$38="pvp",15,MAX(0.1,Skills!D11-IF(TRUE=TRUE,Inputs!$B$32,0)))*(1-IF(AND(ArtifactsInput!$M$27,Inputs!$B$4="Chapter Hunt"),CHOOSE(ArtifactsInput!$N$27+1,20,24,28,32,36,40),0)/100))/B1539),0)</f>
        <v/>
      </c>
      <c r="R1508">
        <f>IF(AND(Inputs!$B$38&lt;&gt;"pvp",Inputs!$B$43&gt;0),IF(MAX(0,Inputs!$B$43-B1535)&lt;=0,0,(INT(MAX(0,Inputs!$B$43-B1535)/((IF(Inputs!$B$38="pvp",15,MAX(0.1,Skills!D11-IF(TRUE=TRUE,Inputs!$B$32,0)))*(1-IF(AND(ArtifactsInput!$M$27,Inputs!$B$4="Chapter Hunt"),CHOOSE(ArtifactsInput!$N$27+1,20,24,28,32,36,40),0)/100))/B1539))+1)),0)</f>
        <v/>
      </c>
      <c r="S1508">
        <f>IFERROR(O1508/N1508,0)</f>
        <v/>
      </c>
      <c r="T1508">
        <f>IF(C1508,(H1508*N1508*IF(AND(Inputs!$B$38&lt;&gt;"pvp",Inputs!$B$43&gt;0),((Skills!G11*((R1508-1)*IF(Skills!H11&gt;0,INT(Skills!I11/Skills!H11+0.000000001),1)+IF(Skills!H11&gt;0,INT(MIN(Skills!I11,MAX(0,MAX(0,Inputs!$B$43-B1535)-((R1508-1)*((IF(Inputs!$B$38="pvp",15,MAX(0.1,Skills!D11-IF(TRUE=TRUE,Inputs!$B$32,0)))*(1-IF(AND(ArtifactsInput!$M$27,Inputs!$B$4="Chapter Hunt"),CHOOSE(ArtifactsInput!$N$27+1,20,24,28,32,36,40),0)/100))/B1539))))/Skills!H11+0.000000001),1)))/Inputs!$B$43),G1508*Q1508))*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Hunt"),CHOOSE(ArtifactsInput!$N$35+1,15,18,21,24,27,30)*(1-EXP(-(0.2*B1530)*5)),0)+IF(AND(ArtifactsInput!$M$22,Inputs!$B$4&lt;&gt;"Chapter Hunt"),CHOOSE(ArtifactsInput!$N$22+1,10,12,14,16,18,20)*((0*(((0.15*B1530*5))^0/1)+1*(((0.15*B1530*5))^1/1)+2*(((0.15*B1530*5))^2/2)+3*(((0.15*B1530*5))^3/6)+4*(((0.15*B1530*5))^4/24)+5*(((0.15*B1530*5))^5/120))/((((0.15*B1530*5))^0/1)+(((0.15*B1530*5))^1/1)+(((0.15*B1530*5))^2/2)+(((0.15*B1530*5))^3/6)+(((0.15*B1530*5))^4/24)+(((0.15*B1530*5))^5/120))),0))+IF(Inputs!$B$3&gt;=54,9*(C1500=TRUE)*MIN(1,8*(1+Inputs!$B$34/100)*Q1500)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1508*(1-MIN(100,(Inputs!$B$9+((C1516=TRUE)*(F1516-Calc!F19))+B1528+(ArtifactsInput!$M$24-ArtifactsInput!$M$24)*CHOOSE(ArtifactsInput!$N$24+1,10,12,14,16,18,20)+(IF(AND(Inputs!$B$38&lt;&gt;"pvp",Inputs!$B$43=0),1,IF(IF(Inputs!$B$38="pvp",15,Inputs!$B$43)-(B1535)&lt;=0,1,MAX(0,IF(Inputs!$B$38="pvp",15,Inputs!$B$43)-MAX(5,B1535))/(IF(Inputs!$B$38="pvp",15,Inputs!$B$43)-(B1535))))*IF(AND(ArtifactsInput!$M$42,((Inputs!$B$9+((C1516=TRUE)*(F1516-Calc!F19))+B1528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1508*(MIN(100,(Inputs!$B$9+((C1516=TRUE)*(F1516-Calc!F19))+B1528+(ArtifactsInput!$M$24-ArtifactsInput!$M$24)*CHOOSE(ArtifactsInput!$N$24+1,10,12,14,16,18,20)+(IF(AND(Inputs!$B$38&lt;&gt;"pvp",Inputs!$B$43=0),1,IF(IF(Inputs!$B$38="pvp",15,Inputs!$B$43)-(B1535)&lt;=0,1,MAX(0,IF(Inputs!$B$38="pvp",15,Inputs!$B$43)-MAX(5,B1535))/(IF(Inputs!$B$38="pvp",15,Inputs!$B$43)-(B1535))))*IF(AND(ArtifactsInput!$M$42,((Inputs!$B$9+((C1516=TRUE)*(F1516-Calc!F19))+B1528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1508*(1-MIN(100,(Inputs!$B$9+((C1516=TRUE)*(F1516-Calc!F19))+B1528+(ArtifactsInput!$M$24-ArtifactsInput!$M$24)*CHOOSE(ArtifactsInput!$N$24+1,10,12,14,16,18,20)+(IF(AND(Inputs!$B$38&lt;&gt;"pvp",Inputs!$B$43=0),1,IF(IF(Inputs!$B$38="pvp",15,Inputs!$B$43)-(B1535)&lt;=0,1,MAX(0,IF(Inputs!$B$38="pvp",15,Inputs!$B$43)-MAX(5,B1535))/(IF(Inputs!$B$38="pvp",15,Inputs!$B$43)-(B1535))))*IF(AND(ArtifactsInput!$M$42,((Inputs!$B$9+((C1516=TRUE)*(F1516-Calc!F19))+B1528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1508*(MIN(100,(Inputs!$B$9+((C1516=TRUE)*(F1516-Calc!F19))+B1528+(ArtifactsInput!$M$24-ArtifactsInput!$M$24)*CHOOSE(ArtifactsInput!$N$24+1,10,12,14,16,18,20)+(IF(AND(Inputs!$B$38&lt;&gt;"pvp",Inputs!$B$43=0),1,IF(IF(Inputs!$B$38="pvp",15,Inputs!$B$43)-(B1535)&lt;=0,1,MAX(0,IF(Inputs!$B$38="pvp",15,Inputs!$B$43)-MAX(5,B1535))/(IF(Inputs!$B$38="pvp",15,Inputs!$B$43)-(B1535))))*IF(AND(ArtifactsInput!$M$42,((Inputs!$B$9+((C1516=TRUE)*(F1516-Calc!F19))+B1528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508">
        <f>IF(C1508,(H1508*N1508*IF(AND(Inputs!$B$38&lt;&gt;"pvp",Inputs!$B$43&gt;0),((Skills!G11*((R1508-1)*IF(Skills!H11&gt;0,INT(Skills!I11/Skills!H11+0.000000001),1)+IF(Skills!H11&gt;0,INT(MIN(Skills!I11,MAX(0,MAX(0,Inputs!$B$43-B1535)-((R1508-1)*((IF(Inputs!$B$38="pvp",15,MAX(0.1,Skills!D11-IF(TRUE=TRUE,Inputs!$B$32,0)))*(1-IF(AND(ArtifactsInput!$M$27,Inputs!$B$4="Chapter Hunt"),CHOOSE(ArtifactsInput!$N$27+1,20,24,28,32,36,40),0)/100))/B1539))))/Skills!H11+0.000000001),1)))/Inputs!$B$43),G1508*Q1508))*IF(Inputs!$B$38="pvp",1,(1+(Inputs!$B$21+Skills!Q11+(IF(ArtifactsInput!$M$33,CHOOSE(ArtifactsInput!$N$33+1,30,36,42,48,54,60),0))+(IF(AND(ArtifactsInput!$M$35,Inputs!$B$4&lt;&gt;"Chapter Hunt"),CHOOSE(ArtifactsInput!$N$35+1,15,18,21,24,27,30)*(1-EXP(-(0.2*B1530)*5)),0)+IF(AND(ArtifactsInput!$M$22,Inputs!$B$4&lt;&gt;"Chapter Hunt"),CHOOSE(ArtifactsInput!$N$22+1,10,12,14,16,18,20)*((0*(((0.15*B1530*5))^0/1)+1*(((0.15*B1530*5))^1/1)+2*(((0.15*B1530*5))^2/2)+3*(((0.15*B1530*5))^3/6)+4*(((0.15*B1530*5))^4/24)+5*(((0.15*B1530*5))^5/120))/((((0.15*B1530*5))^0/1)+(((0.15*B1530*5))^1/1)+(((0.15*B1530*5))^2/2)+(((0.15*B1530*5))^3/6)+(((0.15*B1530*5))^4/24)+(((0.15*B1530*5))^5/120))),0))+IF(Inputs!$B$3&gt;=54,9*(C1500=TRUE)*MIN(1,8*(1+Inputs!$B$34/100)*Q1500)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09">
      <c r="A1509">
        <f>Skills!A12</f>
        <v/>
      </c>
      <c r="B1509">
        <f>Skills!B12</f>
        <v/>
      </c>
      <c r="C1509">
        <f>Inputs!$B$3&gt;=110</f>
        <v/>
      </c>
      <c r="D1509">
        <f>IF(Skills!C12=1,60+Inputs!$B$25+Inputs!$B$29,IF(Skills!C12=2,90+Inputs!$B$26+Inputs!$B$29,IF(Skills!C12=3,120+Inputs!$B$27+Inputs!$B$29,MAX(0,(Inputs!$B$3-100)*3)+Inputs!$B$28+Inputs!$B$29)))</f>
        <v/>
      </c>
      <c r="E1509">
        <f>INDEX(FactorTable!$B$2:$Y$301, MATCH(ROUND(MIN(300,MAX(1,D1509)),0), FactorTable!$A$2:$A$301,0), Skills!M12+1)</f>
        <v/>
      </c>
      <c r="F1509">
        <f>IF(Skills!N12=TRUE,(Skills!L12/10)*(E1509/1000),Skills!L12/10)+Skills!O12</f>
        <v/>
      </c>
      <c r="G1509">
        <f>Skills!G12*IF(Skills!H12&gt;0,INT(IF(Inputs!$B$38="pvp",MIN(Skills!I12,15),Skills!I12)/Skills!H12+0.000000001),1)</f>
        <v/>
      </c>
      <c r="H1509">
        <f>1-(1-Skills!J12/100)^Skills!K12</f>
        <v/>
      </c>
      <c r="I1509" t="inlineStr">
        <is>
          <t>1</t>
        </is>
      </c>
      <c r="J1509">
        <f>((Inputs!$B$6*(1+Inputs!$B$7/100))+(((Inputs!$B$12*(1+Inputs!$B$13/100))-(Inputs!$B$12*(1+Inputs!$B$13/100)))+0.25*(Inputs!$B$14-Inputs!$B$14))*(1+Inputs!$B$7/100))*(F1509/100)</f>
        <v/>
      </c>
      <c r="K1509">
        <f>J1509*(1+((Inputs!$B$12*(1+Inputs!$B$13/100))*0.01+Inputs!$B$14*0.0025)/100)*(1+Inputs!$B$15/100)*(1+Inputs!$B$16/100)*(5000/(6000+Inputs!$B$42*(1-(100*(1-(1-(Inputs!$B$19+0)/100)*(1-CHOOSE(ArtifactsInput!$N$40+1,5,6,7,8,9,10)/100)^(ArtifactsInput!$M$40-ArtifactsInput!$M$40)))/100)))*(1+(Inputs!$B$24+((C1523=TRUE)*(F1523-Calc!F26))+B1534)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EIGHT_LEGS_EASTON",Inputs!$B$17+((C1520=TRUE)*(F1520-Calc!F23))+((C1524=TRUE)*(F1524-Calc!F27))+((IF(AND(Inputs!$B$38&lt;&gt;"pvp",Inputs!$B$43=0),1,IF(IF(Inputs!$B$38="pvp",15,Inputs!$B$43)-(B1535)&lt;=0,1,MAX(0,IF(Inputs!$B$38="pvp",15,Inputs!$B$43)-MAX(5,B1535))/(IF(Inputs!$B$38="pvp",15,Inputs!$B$43)-(B1535))))*(IF(AND(ArtifactsInput!$M$42,((Inputs!$B$9+((C1516=TRUE)*(F1516-Calc!F19))+B1528+(ArtifactsInput!$M$24-ArtifactsInput!$M$24)*CHOOSE(ArtifactsInput!$N$24+1,10,12,14,16,18,20)+IF(ArtifactsInput!$M$10,CHOOSE(ArtifactsInput!$N$10+1,15,18,21,24,27,30)*(IF(Inputs!$B$38="pvp",MIN(15,15)/15,IF(AND(Inputs!$B$38&lt;&gt;"pvp",Inputs!$B$43&gt;0),MIN(15,Inputs!$B$43)/(Inputs!$B$43),0))),0)))&gt;=100),MIN(100,((Inputs!$B$9+((C1516=TRUE)*(F1516-Calc!F19))+B1528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1535)&lt;=0,1,MAX(0,IF(Inputs!$B$38="pvp",15,Inputs!$B$43)-MAX(5,B1535))/(IF(Inputs!$B$38="pvp",15,Inputs!$B$43)-(B1535))))*IF(AND(ArtifactsInput!$M$42,((Inputs!$B$9+((C1516=TRUE)*(F1516-Calc!F19))+B1528+(ArtifactsInput!$M$24-ArtifactsInput!$M$24)*CHOOSE(ArtifactsInput!$N$24+1,10,12,14,16,18,20)+IF(ArtifactsInput!$M$10,CHOOSE(ArtifactsInput!$N$10+1,15,18,21,24,27,30)*(IF(Inputs!$B$38="pvp",MIN(15,15)/15,IF(AND(Inputs!$B$38&lt;&gt;"pvp",Inputs!$B$43&gt;0),MIN(15,Inputs!$B$43)/(Inputs!$B$43),0))),0)))&gt;=100),CHOOSE(ArtifactsInput!$N$42+1,40,48,56,64,72,80),0))))/100)*((1+(((C1514=TRUE)*F1514*5/7)+((C1521=TRUE)*(F1521-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IF(ArtifactsInput!$M$11,FALSE,TRUE),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1509)</f>
        <v/>
      </c>
      <c r="L1509">
        <f>K1509*(MIN(Inputs!$B$22+((C1519=TRUE)*(F1519-Calc!F22)),(Inputs!$B$23+0+(IF(ArtifactsInput!$M$15,CHOOSE(ArtifactsInput!$N$15+1,25,30,35,40,45,50)/100*(Inputs!$B$11-Inputs!$B$11),0))))/100+(Inputs!$B$23+0+(IF(ArtifactsInput!$M$15,CHOOSE(ArtifactsInput!$N$15+1,25,30,35,40,45,50)/100*(Inputs!$B$11-Inputs!$B$11),0)))/100)/2</f>
        <v/>
      </c>
      <c r="M1509">
        <f>L1509*(1+(Inputs!$B$10+((C1522=TRUE)*(F1522-Calc!F25))+B1533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09">
        <f>L1509*(1-MIN((Inputs!$B$9+((C1516=TRUE)*(F1516-Calc!F19))+B1528+(ArtifactsInput!$M$24-ArtifactsInput!$M$24)*CHOOSE(ArtifactsInput!$N$24+1,10,12,14,16,18,20)+(IF(AND(Inputs!$B$38&lt;&gt;"pvp",Inputs!$B$43=0),1,IF(IF(Inputs!$B$38="pvp",15,Inputs!$B$43)-(B1535)&lt;=0,1,MAX(0,IF(Inputs!$B$38="pvp",15,Inputs!$B$43)-MAX(5,B1535))/(IF(Inputs!$B$38="pvp",15,Inputs!$B$43)-(B1535))))*IF(AND(ArtifactsInput!$M$42,((Inputs!$B$9+((C1516=TRUE)*(F1516-Calc!F19))+B1528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1509*(MIN((Inputs!$B$9+((C1516=TRUE)*(F1516-Calc!F19))+B1528+(ArtifactsInput!$M$24-ArtifactsInput!$M$24)*CHOOSE(ArtifactsInput!$N$24+1,10,12,14,16,18,20)+(IF(AND(Inputs!$B$38&lt;&gt;"pvp",Inputs!$B$43=0),1,IF(IF(Inputs!$B$38="pvp",15,Inputs!$B$43)-(B1535)&lt;=0,1,MAX(0,IF(Inputs!$B$38="pvp",15,Inputs!$B$43)-MAX(5,B1535))/(IF(Inputs!$B$38="pvp",15,Inputs!$B$43)-(B1535))))*IF(AND(ArtifactsInput!$M$42,((Inputs!$B$9+((C1516=TRUE)*(F1516-Calc!F19))+B1528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09">
        <f>(1-Summary!$B$11)*T1509+Summary!$B$11*V1509</f>
        <v/>
      </c>
      <c r="P1509">
        <f>IF(B1538=0,0,O1509/B1538)</f>
        <v/>
      </c>
      <c r="Q1509">
        <f>IFERROR(1/(IF(Inputs!$B$38="pvp",15,MAX(0.1,Skills!D12-IF(TRUE=TRUE,Inputs!$B$32,0)))*(1-IF(AND(ArtifactsInput!$M$27,Inputs!$B$4="Chapter Hunt"),CHOOSE(ArtifactsInput!$N$27+1,20,24,28,32,36,40),0)/100)),0)</f>
        <v/>
      </c>
      <c r="R1509">
        <f>IF(AND(Inputs!$B$38&lt;&gt;"pvp",Inputs!$B$43&gt;0),IF(MAX(0,Inputs!$B$43-B1535)&lt;=0,0,(INT(MAX(0,Inputs!$B$43-B1535)/(IF(Inputs!$B$38="pvp",15,MAX(0.1,Skills!D12-IF(TRUE=TRUE,Inputs!$B$32,0)))*(1-IF(AND(ArtifactsInput!$M$27,Inputs!$B$4="Chapter Hunt"),CHOOSE(ArtifactsInput!$N$27+1,20,24,28,32,36,40),0)/100)))+1)),0)</f>
        <v/>
      </c>
      <c r="S1509">
        <f>IFERROR(O1509/N1509,0)</f>
        <v/>
      </c>
      <c r="T1509">
        <f>IF(C1509,(H1509*N1509*IF(AND(Inputs!$B$38&lt;&gt;"pvp",Inputs!$B$43&gt;0),((Skills!G12*((R1509-1)*IF(Skills!H12&gt;0,INT(Skills!I12/Skills!H12+0.000000001),1)+IF(Skills!H12&gt;0,INT(MIN(Skills!I12,MAX(0,MAX(0,Inputs!$B$43-B1535)-((R1509-1)*(IF(Inputs!$B$38="pvp",15,MAX(0.1,Skills!D12-IF(TRUE=TRUE,Inputs!$B$32,0)))*(1-IF(AND(ArtifactsInput!$M$27,Inputs!$B$4="Chapter Hunt"),CHOOSE(ArtifactsInput!$N$27+1,20,24,28,32,36,40),0)/100)))))/Skills!H12+0.000000001),1)))/Inputs!$B$43),G1509*Q1509))*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Hunt"),CHOOSE(ArtifactsInput!$N$35+1,15,18,21,24,27,30)*(1-EXP(-(0.2*B1530)*5)),0)+IF(AND(ArtifactsInput!$M$22,Inputs!$B$4&lt;&gt;"Chapter Hunt"),CHOOSE(ArtifactsInput!$N$22+1,10,12,14,16,18,20)*((0*(((0.15*B1530*5))^0/1)+1*(((0.15*B1530*5))^1/1)+2*(((0.15*B1530*5))^2/2)+3*(((0.15*B1530*5))^3/6)+4*(((0.15*B1530*5))^4/24)+5*(((0.15*B1530*5))^5/120))/((((0.15*B1530*5))^0/1)+(((0.15*B1530*5))^1/1)+(((0.15*B1530*5))^2/2)+(((0.15*B1530*5))^3/6)+(((0.15*B1530*5))^4/24)+(((0.15*B1530*5))^5/120))),0))+IF(Inputs!$B$3&gt;=54,9*(C1500=TRUE)*MIN(1,8*(1+Inputs!$B$34/100)*Q1500)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1509*(1-MIN(100,(Inputs!$B$9+((C1516=TRUE)*(F1516-Calc!F19))+B1528+(ArtifactsInput!$M$24-ArtifactsInput!$M$24)*CHOOSE(ArtifactsInput!$N$24+1,10,12,14,16,18,20)+(IF(AND(Inputs!$B$38&lt;&gt;"pvp",Inputs!$B$43=0),1,IF(IF(Inputs!$B$38="pvp",15,Inputs!$B$43)-(B1535)&lt;=0,1,MAX(0,IF(Inputs!$B$38="pvp",15,Inputs!$B$43)-MAX(5,B1535))/(IF(Inputs!$B$38="pvp",15,Inputs!$B$43)-(B1535))))*IF(AND(ArtifactsInput!$M$42,((Inputs!$B$9+((C1516=TRUE)*(F1516-Calc!F19))+B1528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1509*(MIN(100,(Inputs!$B$9+((C1516=TRUE)*(F1516-Calc!F19))+B1528+(ArtifactsInput!$M$24-ArtifactsInput!$M$24)*CHOOSE(ArtifactsInput!$N$24+1,10,12,14,16,18,20)+(IF(AND(Inputs!$B$38&lt;&gt;"pvp",Inputs!$B$43=0),1,IF(IF(Inputs!$B$38="pvp",15,Inputs!$B$43)-(B1535)&lt;=0,1,MAX(0,IF(Inputs!$B$38="pvp",15,Inputs!$B$43)-MAX(5,B1535))/(IF(Inputs!$B$38="pvp",15,Inputs!$B$43)-(B1535))))*IF(AND(ArtifactsInput!$M$42,((Inputs!$B$9+((C1516=TRUE)*(F1516-Calc!F19))+B1528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1509*(1-MIN(100,(Inputs!$B$9+((C1516=TRUE)*(F1516-Calc!F19))+B1528+(ArtifactsInput!$M$24-ArtifactsInput!$M$24)*CHOOSE(ArtifactsInput!$N$24+1,10,12,14,16,18,20)+(IF(AND(Inputs!$B$38&lt;&gt;"pvp",Inputs!$B$43=0),1,IF(IF(Inputs!$B$38="pvp",15,Inputs!$B$43)-(B1535)&lt;=0,1,MAX(0,IF(Inputs!$B$38="pvp",15,Inputs!$B$43)-MAX(5,B1535))/(IF(Inputs!$B$38="pvp",15,Inputs!$B$43)-(B1535))))*IF(AND(ArtifactsInput!$M$42,((Inputs!$B$9+((C1516=TRUE)*(F1516-Calc!F19))+B1528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1509*(MIN(100,(Inputs!$B$9+((C1516=TRUE)*(F1516-Calc!F19))+B1528+(ArtifactsInput!$M$24-ArtifactsInput!$M$24)*CHOOSE(ArtifactsInput!$N$24+1,10,12,14,16,18,20)+(IF(AND(Inputs!$B$38&lt;&gt;"pvp",Inputs!$B$43=0),1,IF(IF(Inputs!$B$38="pvp",15,Inputs!$B$43)-(B1535)&lt;=0,1,MAX(0,IF(Inputs!$B$38="pvp",15,Inputs!$B$43)-MAX(5,B1535))/(IF(Inputs!$B$38="pvp",15,Inputs!$B$43)-(B1535))))*IF(AND(ArtifactsInput!$M$42,((Inputs!$B$9+((C1516=TRUE)*(F1516-Calc!F19))+B1528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509">
        <f>IF(C1509,(H1509*N1509*IF(AND(Inputs!$B$38&lt;&gt;"pvp",Inputs!$B$43&gt;0),((Skills!G12*((R1509-1)*IF(Skills!H12&gt;0,INT(Skills!I12/Skills!H12+0.000000001),1)+IF(Skills!H12&gt;0,INT(MIN(Skills!I12,MAX(0,MAX(0,Inputs!$B$43-B1535)-((R1509-1)*(IF(Inputs!$B$38="pvp",15,MAX(0.1,Skills!D12-IF(TRUE=TRUE,Inputs!$B$32,0)))*(1-IF(AND(ArtifactsInput!$M$27,Inputs!$B$4="Chapter Hunt"),CHOOSE(ArtifactsInput!$N$27+1,20,24,28,32,36,40),0)/100)))))/Skills!H12+0.000000001),1)))/Inputs!$B$43),G1509*Q1509))*IF(Inputs!$B$38="pvp",1,(1+(Inputs!$B$21+Skills!Q12+(IF(ArtifactsInput!$M$33,CHOOSE(ArtifactsInput!$N$33+1,30,36,42,48,54,60),0))+(IF(AND(ArtifactsInput!$M$35,Inputs!$B$4&lt;&gt;"Chapter Hunt"),CHOOSE(ArtifactsInput!$N$35+1,15,18,21,24,27,30)*(1-EXP(-(0.2*B1530)*5)),0)+IF(AND(ArtifactsInput!$M$22,Inputs!$B$4&lt;&gt;"Chapter Hunt"),CHOOSE(ArtifactsInput!$N$22+1,10,12,14,16,18,20)*((0*(((0.15*B1530*5))^0/1)+1*(((0.15*B1530*5))^1/1)+2*(((0.15*B1530*5))^2/2)+3*(((0.15*B1530*5))^3/6)+4*(((0.15*B1530*5))^4/24)+5*(((0.15*B1530*5))^5/120))/((((0.15*B1530*5))^0/1)+(((0.15*B1530*5))^1/1)+(((0.15*B1530*5))^2/2)+(((0.15*B1530*5))^3/6)+(((0.15*B1530*5))^4/24)+(((0.15*B1530*5))^5/120))),0))+IF(Inputs!$B$3&gt;=54,9*(C1500=TRUE)*MIN(1,8*(1+Inputs!$B$34/100)*Q1500),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10">
      <c r="A1510">
        <f>Skills!A13</f>
        <v/>
      </c>
      <c r="B1510">
        <f>Skills!B13</f>
        <v/>
      </c>
      <c r="C1510">
        <f>Inputs!$B$3&gt;=110</f>
        <v/>
      </c>
      <c r="D1510">
        <f>IF(Skills!C13=1,60+Inputs!$B$25+Inputs!$B$29,IF(Skills!C13=2,90+Inputs!$B$26+Inputs!$B$29,IF(Skills!C13=3,120+Inputs!$B$27+Inputs!$B$29,MAX(0,(Inputs!$B$3-100)*3)+Inputs!$B$28+Inputs!$B$29)))</f>
        <v/>
      </c>
      <c r="E1510">
        <f>INDEX(FactorTable!$B$2:$Y$301, MATCH(ROUND(MIN(300,MAX(1,D1510)),0), FactorTable!$A$2:$A$301,0), Skills!M13+1)</f>
        <v/>
      </c>
      <c r="F1510">
        <f>IF(Skills!N13=TRUE,(Skills!L13/10)*(E1510/1000),Skills!L13/10)+Skills!O13</f>
        <v/>
      </c>
      <c r="G1510">
        <f>Skills!G13*IF(Skills!H13&gt;0,INT(IF(Inputs!$B$38="pvp",MIN(Skills!I13,15),Skills!I13)/Skills!H13+0.000000001),1)</f>
        <v/>
      </c>
      <c r="H1510">
        <f>1-(1-Skills!J13/100)^Skills!K13</f>
        <v/>
      </c>
      <c r="I1510" t="inlineStr">
        <is>
          <t>1</t>
        </is>
      </c>
      <c r="J1510">
        <f>((Inputs!$B$6*(1+Inputs!$B$7/100))+(((Inputs!$B$12*(1+Inputs!$B$13/100))-(Inputs!$B$12*(1+Inputs!$B$13/100)))+0.25*(Inputs!$B$14-Inputs!$B$14))*(1+Inputs!$B$7/100))*(F1510/100)</f>
        <v/>
      </c>
      <c r="K1510">
        <f>J1510*(1+((Inputs!$B$12*(1+Inputs!$B$13/100))*0.01+Inputs!$B$14*0.0025)/100)*(1+Inputs!$B$15/100)*(1+Inputs!$B$16/100)*(5000/(6000+Inputs!$B$42*(1-(100*(1-(1-(Inputs!$B$19+0)/100)*(1-CHOOSE(ArtifactsInput!$N$40+1,5,6,7,8,9,10)/100)^(ArtifactsInput!$M$40-ArtifactsInput!$M$40)))/100)))*(1+(Inputs!$B$24+((C1523=TRUE)*(F1523-Calc!F26))+B1534)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EIGHT_LEGS_EASTON",Inputs!$B$17+((C1520=TRUE)*(F1520-Calc!F23))+((C1524=TRUE)*(F1524-Calc!F27))+((IF(AND(Inputs!$B$38&lt;&gt;"pvp",Inputs!$B$43=0),1,IF(IF(Inputs!$B$38="pvp",15,Inputs!$B$43)-(B1535)&lt;=0,1,MAX(0,IF(Inputs!$B$38="pvp",15,Inputs!$B$43)-MAX(5,B1535))/(IF(Inputs!$B$38="pvp",15,Inputs!$B$43)-(B1535))))*(IF(AND(ArtifactsInput!$M$42,((Inputs!$B$9+((C1516=TRUE)*(F1516-Calc!F19))+B1528+(ArtifactsInput!$M$24-ArtifactsInput!$M$24)*CHOOSE(ArtifactsInput!$N$24+1,10,12,14,16,18,20)+IF(ArtifactsInput!$M$10,CHOOSE(ArtifactsInput!$N$10+1,15,18,21,24,27,30)*(IF(Inputs!$B$38="pvp",MIN(15,15)/15,IF(AND(Inputs!$B$38&lt;&gt;"pvp",Inputs!$B$43&gt;0),MIN(15,Inputs!$B$43)/(Inputs!$B$43),0))),0)))&gt;=100),MIN(100,((Inputs!$B$9+((C1516=TRUE)*(F1516-Calc!F19))+B1528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1535)&lt;=0,1,MAX(0,IF(Inputs!$B$38="pvp",15,Inputs!$B$43)-MAX(5,B1535))/(IF(Inputs!$B$38="pvp",15,Inputs!$B$43)-(B1535))))*IF(AND(ArtifactsInput!$M$42,((Inputs!$B$9+((C1516=TRUE)*(F1516-Calc!F19))+B1528+(ArtifactsInput!$M$24-ArtifactsInput!$M$24)*CHOOSE(ArtifactsInput!$N$24+1,10,12,14,16,18,20)+IF(ArtifactsInput!$M$10,CHOOSE(ArtifactsInput!$N$10+1,15,18,21,24,27,30)*(IF(Inputs!$B$38="pvp",MIN(15,15)/15,IF(AND(Inputs!$B$38&lt;&gt;"pvp",Inputs!$B$43&gt;0),MIN(15,Inputs!$B$43)/(Inputs!$B$43),0))),0)))&gt;=100),CHOOSE(ArtifactsInput!$N$42+1,40,48,56,64,72,80),0))))/100)*((1+(((C1514=TRUE)*F1514*5/7)+((C1521=TRUE)*(F1521-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IF(ArtifactsInput!$M$11,FALSE,TRUE),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1510)</f>
        <v/>
      </c>
      <c r="L1510">
        <f>K1510*(MIN(Inputs!$B$22+((C1519=TRUE)*(F1519-Calc!F22)),(Inputs!$B$23+0+(IF(ArtifactsInput!$M$15,CHOOSE(ArtifactsInput!$N$15+1,25,30,35,40,45,50)/100*(Inputs!$B$11-Inputs!$B$11),0))))/100+(Inputs!$B$23+0+(IF(ArtifactsInput!$M$15,CHOOSE(ArtifactsInput!$N$15+1,25,30,35,40,45,50)/100*(Inputs!$B$11-Inputs!$B$11),0)))/100)/2</f>
        <v/>
      </c>
      <c r="M1510">
        <f>L1510*(1+(Inputs!$B$10+((C1522=TRUE)*(F1522-Calc!F25))+B1533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10">
        <f>L1510*(1-MIN((Inputs!$B$9+((C1516=TRUE)*(F1516-Calc!F19))+B1528+(ArtifactsInput!$M$24-ArtifactsInput!$M$24)*CHOOSE(ArtifactsInput!$N$24+1,10,12,14,16,18,20)+(IF(AND(Inputs!$B$38&lt;&gt;"pvp",Inputs!$B$43=0),1,IF(IF(Inputs!$B$38="pvp",15,Inputs!$B$43)-(B1535)&lt;=0,1,MAX(0,IF(Inputs!$B$38="pvp",15,Inputs!$B$43)-MAX(5,B1535))/(IF(Inputs!$B$38="pvp",15,Inputs!$B$43)-(B1535))))*IF(AND(ArtifactsInput!$M$42,((Inputs!$B$9+((C1516=TRUE)*(F1516-Calc!F19))+B1528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1510*(MIN((Inputs!$B$9+((C1516=TRUE)*(F1516-Calc!F19))+B1528+(ArtifactsInput!$M$24-ArtifactsInput!$M$24)*CHOOSE(ArtifactsInput!$N$24+1,10,12,14,16,18,20)+(IF(AND(Inputs!$B$38&lt;&gt;"pvp",Inputs!$B$43=0),1,IF(IF(Inputs!$B$38="pvp",15,Inputs!$B$43)-(B1535)&lt;=0,1,MAX(0,IF(Inputs!$B$38="pvp",15,Inputs!$B$43)-MAX(5,B1535))/(IF(Inputs!$B$38="pvp",15,Inputs!$B$43)-(B1535))))*IF(AND(ArtifactsInput!$M$42,((Inputs!$B$9+((C1516=TRUE)*(F1516-Calc!F19))+B1528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10">
        <f>(1-Summary!$B$11)*T1510+Summary!$B$11*V1510</f>
        <v/>
      </c>
      <c r="P1510">
        <f>IF(B1538=0,0,O1510/B1538)</f>
        <v/>
      </c>
      <c r="Q1510">
        <f>IFERROR(1/(IF(Inputs!$B$38="pvp",15,MAX(0.1,Skills!D13-IF(TRUE=TRUE,Inputs!$B$32,0)))*(1-IF(AND(ArtifactsInput!$M$27,Inputs!$B$4="Chapter Hunt"),CHOOSE(ArtifactsInput!$N$27+1,20,24,28,32,36,40),0)/100)),0)</f>
        <v/>
      </c>
      <c r="R1510">
        <f>IF(AND(Inputs!$B$38&lt;&gt;"pvp",Inputs!$B$43&gt;0),IF(MAX(0,Inputs!$B$43-B1535)&lt;=0,0,(INT(MAX(0,Inputs!$B$43-B1535)/(IF(Inputs!$B$38="pvp",15,MAX(0.1,Skills!D13-IF(TRUE=TRUE,Inputs!$B$32,0)))*(1-IF(AND(ArtifactsInput!$M$27,Inputs!$B$4="Chapter Hunt"),CHOOSE(ArtifactsInput!$N$27+1,20,24,28,32,36,40),0)/100)))+1)),0)</f>
        <v/>
      </c>
      <c r="S1510">
        <f>IFERROR(O1510/N1510,0)</f>
        <v/>
      </c>
      <c r="T1510">
        <f>IF(C1510,(H1510*N1510*IF(AND(Inputs!$B$38&lt;&gt;"pvp",Inputs!$B$43&gt;0),((Skills!G13*((R1510-1)*IF(Skills!H13&gt;0,INT(Skills!I13/Skills!H13+0.000000001),1)+IF(Skills!H13&gt;0,INT(MIN(Skills!I13,MAX(0,MAX(0,Inputs!$B$43-B1535)-((R1510-1)*(IF(Inputs!$B$38="pvp",15,MAX(0.1,Skills!D13-IF(TRUE=TRUE,Inputs!$B$32,0)))*(1-IF(AND(ArtifactsInput!$M$27,Inputs!$B$4="Chapter Hunt"),CHOOSE(ArtifactsInput!$N$27+1,20,24,28,32,36,40),0)/100)))))/Skills!H13+0.000000001),1)))/Inputs!$B$43),G1510*Q1510))*IF(Inputs!$B$38="pvp",1,1+(Inputs!$B$20+0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Hunt"),CHOOSE(ArtifactsInput!$N$35+1,15,18,21,24,27,30)*(1-EXP(-(0.2*B1530)*5)),0)+IF(AND(ArtifactsInput!$M$22,Inputs!$B$4&lt;&gt;"Chapter Hunt"),CHOOSE(ArtifactsInput!$N$22+1,10,12,14,16,18,20)*((0*(((0.15*B1530*5))^0/1)+1*(((0.15*B1530*5))^1/1)+2*(((0.15*B1530*5))^2/2)+3*(((0.15*B1530*5))^3/6)+4*(((0.15*B1530*5))^4/24)+5*(((0.15*B1530*5))^5/120))/((((0.15*B1530*5))^0/1)+(((0.15*B1530*5))^1/1)+(((0.15*B1530*5))^2/2)+(((0.15*B1530*5))^3/6)+(((0.15*B1530*5))^4/24)+(((0.15*B1530*5))^5/120))),0))+IF(Inputs!$B$3&gt;=54,9*(C1500=TRUE)*MIN(1,8*(1+Inputs!$B$34/100)*Q1500)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1510*(1-MIN(100,(Inputs!$B$9+((C1516=TRUE)*(F1516-Calc!F19))+B1528+(ArtifactsInput!$M$24-ArtifactsInput!$M$24)*CHOOSE(ArtifactsInput!$N$24+1,10,12,14,16,18,20)+(IF(AND(Inputs!$B$38&lt;&gt;"pvp",Inputs!$B$43=0),1,IF(IF(Inputs!$B$38="pvp",15,Inputs!$B$43)-(B1535)&lt;=0,1,MAX(0,IF(Inputs!$B$38="pvp",15,Inputs!$B$43)-MAX(5,B1535))/(IF(Inputs!$B$38="pvp",15,Inputs!$B$43)-(B1535))))*IF(AND(ArtifactsInput!$M$42,((Inputs!$B$9+((C1516=TRUE)*(F1516-Calc!F19))+B1528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1510*(MIN(100,(Inputs!$B$9+((C1516=TRUE)*(F1516-Calc!F19))+B1528+(ArtifactsInput!$M$24-ArtifactsInput!$M$24)*CHOOSE(ArtifactsInput!$N$24+1,10,12,14,16,18,20)+(IF(AND(Inputs!$B$38&lt;&gt;"pvp",Inputs!$B$43=0),1,IF(IF(Inputs!$B$38="pvp",15,Inputs!$B$43)-(B1535)&lt;=0,1,MAX(0,IF(Inputs!$B$38="pvp",15,Inputs!$B$43)-MAX(5,B1535))/(IF(Inputs!$B$38="pvp",15,Inputs!$B$43)-(B1535))))*IF(AND(ArtifactsInput!$M$42,((Inputs!$B$9+((C1516=TRUE)*(F1516-Calc!F19))+B1528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1510*(1-MIN(100,(Inputs!$B$9+((C1516=TRUE)*(F1516-Calc!F19))+B1528+(ArtifactsInput!$M$24-ArtifactsInput!$M$24)*CHOOSE(ArtifactsInput!$N$24+1,10,12,14,16,18,20)+(IF(AND(Inputs!$B$38&lt;&gt;"pvp",Inputs!$B$43=0),1,IF(IF(Inputs!$B$38="pvp",15,Inputs!$B$43)-(B1535)&lt;=0,1,MAX(0,IF(Inputs!$B$38="pvp",15,Inputs!$B$43)-MAX(5,B1535))/(IF(Inputs!$B$38="pvp",15,Inputs!$B$43)-(B1535))))*IF(AND(ArtifactsInput!$M$42,((Inputs!$B$9+((C1516=TRUE)*(F1516-Calc!F19))+B1528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1510*(MIN(100,(Inputs!$B$9+((C1516=TRUE)*(F1516-Calc!F19))+B1528+(ArtifactsInput!$M$24-ArtifactsInput!$M$24)*CHOOSE(ArtifactsInput!$N$24+1,10,12,14,16,18,20)+(IF(AND(Inputs!$B$38&lt;&gt;"pvp",Inputs!$B$43=0),1,IF(IF(Inputs!$B$38="pvp",15,Inputs!$B$43)-(B1535)&lt;=0,1,MAX(0,IF(Inputs!$B$38="pvp",15,Inputs!$B$43)-MAX(5,B1535))/(IF(Inputs!$B$38="pvp",15,Inputs!$B$43)-(B1535))))*IF(AND(ArtifactsInput!$M$42,((Inputs!$B$9+((C1516=TRUE)*(F1516-Calc!F19))+B1528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510">
        <f>IF(C1510,(H1510*N1510*IF(AND(Inputs!$B$38&lt;&gt;"pvp",Inputs!$B$43&gt;0),((Skills!G13*((R1510-1)*IF(Skills!H13&gt;0,INT(Skills!I13/Skills!H13+0.000000001),1)+IF(Skills!H13&gt;0,INT(MIN(Skills!I13,MAX(0,MAX(0,Inputs!$B$43-B1535)-((R1510-1)*(IF(Inputs!$B$38="pvp",15,MAX(0.1,Skills!D13-IF(TRUE=TRUE,Inputs!$B$32,0)))*(1-IF(AND(ArtifactsInput!$M$27,Inputs!$B$4="Chapter Hunt"),CHOOSE(ArtifactsInput!$N$27+1,20,24,28,32,36,40),0)/100)))))/Skills!H13+0.000000001),1)))/Inputs!$B$43),G1510*Q1510))*IF(Inputs!$B$38="pvp",1,(1+(Inputs!$B$21+Skills!Q13+(IF(ArtifactsInput!$M$33,CHOOSE(ArtifactsInput!$N$33+1,30,36,42,48,54,60),0))+(IF(AND(ArtifactsInput!$M$35,Inputs!$B$4&lt;&gt;"Chapter Hunt"),CHOOSE(ArtifactsInput!$N$35+1,15,18,21,24,27,30)*(1-EXP(-(0.2*B1530)*5)),0)+IF(AND(ArtifactsInput!$M$22,Inputs!$B$4&lt;&gt;"Chapter Hunt"),CHOOSE(ArtifactsInput!$N$22+1,10,12,14,16,18,20)*((0*(((0.15*B1530*5))^0/1)+1*(((0.15*B1530*5))^1/1)+2*(((0.15*B1530*5))^2/2)+3*(((0.15*B1530*5))^3/6)+4*(((0.15*B1530*5))^4/24)+5*(((0.15*B1530*5))^5/120))/((((0.15*B1530*5))^0/1)+(((0.15*B1530*5))^1/1)+(((0.15*B1530*5))^2/2)+(((0.15*B1530*5))^3/6)+(((0.15*B1530*5))^4/24)+(((0.15*B1530*5))^5/120))),0))+IF(Inputs!$B$3&gt;=54,9*(C1500=TRUE)*MIN(1,8*(1+Inputs!$B$34/100)*Q1500),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11">
      <c r="A1511">
        <f>Skills!A14</f>
        <v/>
      </c>
      <c r="B1511">
        <f>Skills!B14</f>
        <v/>
      </c>
      <c r="C1511">
        <f>Inputs!$B$3&gt;=120</f>
        <v/>
      </c>
      <c r="D1511">
        <f>IF(Skills!C14=1,60+Inputs!$B$25+Inputs!$B$29,IF(Skills!C14=2,90+Inputs!$B$26+Inputs!$B$29,IF(Skills!C14=3,120+Inputs!$B$27+Inputs!$B$29,MAX(0,(Inputs!$B$3-100)*3)+Inputs!$B$28+Inputs!$B$29)))</f>
        <v/>
      </c>
      <c r="E1511">
        <f>INDEX(FactorTable!$B$2:$Y$301, MATCH(ROUND(MIN(300,MAX(1,D1511)),0), FactorTable!$A$2:$A$301,0), Skills!M14+1)</f>
        <v/>
      </c>
      <c r="F1511">
        <f>IF(Skills!N14=TRUE,(Skills!L14/10)*(E1511/1000),Skills!L14/10)+Skills!O14</f>
        <v/>
      </c>
      <c r="G1511">
        <f>Skills!G14*IF(Skills!H14&gt;0,INT(IF(Inputs!$B$38="pvp",MIN(Skills!I14,15),Skills!I14)/Skills!H14+0.000000001),1)</f>
        <v/>
      </c>
      <c r="H1511">
        <f>1-(1-Skills!J14/100)^Skills!K14</f>
        <v/>
      </c>
      <c r="I1511" t="inlineStr">
        <is>
          <t>1</t>
        </is>
      </c>
      <c r="J1511">
        <f>((Inputs!$B$6*(1+Inputs!$B$7/100))+(((Inputs!$B$12*(1+Inputs!$B$13/100))-(Inputs!$B$12*(1+Inputs!$B$13/100)))+0.25*(Inputs!$B$14-Inputs!$B$14))*(1+Inputs!$B$7/100))*(F1511/100)</f>
        <v/>
      </c>
      <c r="K1511">
        <f>J1511*(1+((Inputs!$B$12*(1+Inputs!$B$13/100))*0.01+Inputs!$B$14*0.0025)/100)*(1+Inputs!$B$15/100)*(1+Inputs!$B$16/100)*(5000/(6000+Inputs!$B$42*(1-(100*(1-(1-(Inputs!$B$19+0)/100)*(1-CHOOSE(ArtifactsInput!$N$40+1,5,6,7,8,9,10)/100)^(ArtifactsInput!$M$40-ArtifactsInput!$M$40)))/100)))*(1+(Inputs!$B$24+((C1523=TRUE)*(F1523-Calc!F26))+B1534)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EIGHT_LEGS_EASTON",Inputs!$B$17+((C1520=TRUE)*(F1520-Calc!F23))+((C1524=TRUE)*(F1524-Calc!F27))+((IF(AND(Inputs!$B$38&lt;&gt;"pvp",Inputs!$B$43=0),1,IF(IF(Inputs!$B$38="pvp",15,Inputs!$B$43)-(B1535)&lt;=0,1,MAX(0,IF(Inputs!$B$38="pvp",15,Inputs!$B$43)-MAX(5,B1535))/(IF(Inputs!$B$38="pvp",15,Inputs!$B$43)-(B1535))))*(IF(AND(ArtifactsInput!$M$42,((Inputs!$B$9+((C1516=TRUE)*(F1516-Calc!F19))+B1528+(ArtifactsInput!$M$24-ArtifactsInput!$M$24)*CHOOSE(ArtifactsInput!$N$24+1,10,12,14,16,18,20)+IF(ArtifactsInput!$M$10,CHOOSE(ArtifactsInput!$N$10+1,15,18,21,24,27,30)*(IF(Inputs!$B$38="pvp",MIN(15,15)/15,IF(AND(Inputs!$B$38&lt;&gt;"pvp",Inputs!$B$43&gt;0),MIN(15,Inputs!$B$43)/(Inputs!$B$43),0))),0)))&gt;=100),MIN(100,((Inputs!$B$9+((C1516=TRUE)*(F1516-Calc!F19))+B1528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1535)&lt;=0,1,MAX(0,IF(Inputs!$B$38="pvp",15,Inputs!$B$43)-MAX(5,B1535))/(IF(Inputs!$B$38="pvp",15,Inputs!$B$43)-(B1535))))*IF(AND(ArtifactsInput!$M$42,((Inputs!$B$9+((C1516=TRUE)*(F1516-Calc!F19))+B1528+(ArtifactsInput!$M$24-ArtifactsInput!$M$24)*CHOOSE(ArtifactsInput!$N$24+1,10,12,14,16,18,20)+IF(ArtifactsInput!$M$10,CHOOSE(ArtifactsInput!$N$10+1,15,18,21,24,27,30)*(IF(Inputs!$B$38="pvp",MIN(15,15)/15,IF(AND(Inputs!$B$38&lt;&gt;"pvp",Inputs!$B$43&gt;0),MIN(15,Inputs!$B$43)/(Inputs!$B$43),0))),0)))&gt;=100),CHOOSE(ArtifactsInput!$N$42+1,40,48,56,64,72,80),0))))/100)*((1+(((C1514=TRUE)*F1514*5/7)+((C1521=TRUE)*(F1521-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IF(ArtifactsInput!$M$11,FALSE,TRUE),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1511)</f>
        <v/>
      </c>
      <c r="L1511">
        <f>K1511*(MIN(Inputs!$B$22+((C1519=TRUE)*(F1519-Calc!F22)),(Inputs!$B$23+0+(IF(ArtifactsInput!$M$15,CHOOSE(ArtifactsInput!$N$15+1,25,30,35,40,45,50)/100*(Inputs!$B$11-Inputs!$B$11),0))))/100+(Inputs!$B$23+0+(IF(ArtifactsInput!$M$15,CHOOSE(ArtifactsInput!$N$15+1,25,30,35,40,45,50)/100*(Inputs!$B$11-Inputs!$B$11),0)))/100)/2</f>
        <v/>
      </c>
      <c r="M1511">
        <f>L1511*(1+(Inputs!$B$10+((C1522=TRUE)*(F1522-Calc!F25))+B1533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11">
        <f>L1511*(1-MIN((Inputs!$B$9+((C1516=TRUE)*(F1516-Calc!F19))+B1528+(ArtifactsInput!$M$24-ArtifactsInput!$M$24)*CHOOSE(ArtifactsInput!$N$24+1,10,12,14,16,18,20)+(IF(AND(Inputs!$B$38&lt;&gt;"pvp",Inputs!$B$43=0),1,IF(IF(Inputs!$B$38="pvp",15,Inputs!$B$43)-(B1535)&lt;=0,1,MAX(0,IF(Inputs!$B$38="pvp",15,Inputs!$B$43)-MAX(5,B1535))/(IF(Inputs!$B$38="pvp",15,Inputs!$B$43)-(B1535))))*IF(AND(ArtifactsInput!$M$42,((Inputs!$B$9+((C1516=TRUE)*(F1516-Calc!F19))+B1528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1511*(MIN((Inputs!$B$9+((C1516=TRUE)*(F1516-Calc!F19))+B1528+(ArtifactsInput!$M$24-ArtifactsInput!$M$24)*CHOOSE(ArtifactsInput!$N$24+1,10,12,14,16,18,20)+(IF(AND(Inputs!$B$38&lt;&gt;"pvp",Inputs!$B$43=0),1,IF(IF(Inputs!$B$38="pvp",15,Inputs!$B$43)-(B1535)&lt;=0,1,MAX(0,IF(Inputs!$B$38="pvp",15,Inputs!$B$43)-MAX(5,B1535))/(IF(Inputs!$B$38="pvp",15,Inputs!$B$43)-(B1535))))*IF(AND(ArtifactsInput!$M$42,((Inputs!$B$9+((C1516=TRUE)*(F1516-Calc!F19))+B1528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11">
        <f>(1-Summary!$B$11)*T1511+Summary!$B$11*V1511</f>
        <v/>
      </c>
      <c r="P1511">
        <f>IF(B1538=0,0,O1511/B1538)</f>
        <v/>
      </c>
      <c r="Q1511" t="n">
        <v>0</v>
      </c>
      <c r="R1511" t="n">
        <v>0</v>
      </c>
      <c r="S1511">
        <f>IFERROR(O1511/N1511,0)</f>
        <v/>
      </c>
      <c r="T1511">
        <f>IF(C1511,((H1511*(B1532+IF(AND(Inputs!$B$38&lt;&gt;"pvp",Inputs!$B$43&gt;0),((Skills!G8*((R1505-1)*IF(Skills!H8&gt;0,INT(Skills!I8/Skills!H8+0.000000001),1)+IF(Skills!H8&gt;0,INT(MIN(Skills!I8,MAX(0,MAX(0,Inputs!$B$43-B1535)-((R1505-1)*((IF(Inputs!$B$38="pvp",15,MAX(0.1,Skills!D8-IF(TRUE=TRUE,Inputs!$B$32,0)))*(1-IF(AND(ArtifactsInput!$M$27,Inputs!$B$4="Chapter Hunt"),CHOOSE(ArtifactsInput!$N$27+1,20,24,28,32,36,40),0)/100))/B1539))))/Skills!H8+0.000000001),1)))/Inputs!$B$43),G1505*Q1505)+IF(AND(Inputs!$B$38&lt;&gt;"pvp",Inputs!$B$43&gt;0),((Skills!G11*((R1508-1)*IF(Skills!H11&gt;0,INT(Skills!I11/Skills!H11+0.000000001),1)+IF(Skills!H11&gt;0,INT(MIN(Skills!I11,MAX(0,MAX(0,Inputs!$B$43-B1535)-((R1508-1)*((IF(Inputs!$B$38="pvp",15,MAX(0.1,Skills!D11-IF(TRUE=TRUE,Inputs!$B$32,0)))*(1-IF(AND(ArtifactsInput!$M$27,Inputs!$B$4="Chapter Hunt"),CHOOSE(ArtifactsInput!$N$27+1,20,24,28,32,36,40),0)/100))/B1539))))/Skills!H11+0.000000001),1)))/Inputs!$B$43),G1508*Q1508)))/(1+Skills!H14*H1511*(B1532+IF(AND(Inputs!$B$38&lt;&gt;"pvp",Inputs!$B$43&gt;0),((Skills!G8*((R1505-1)*IF(Skills!H8&gt;0,INT(Skills!I8/Skills!H8+0.000000001),1)+IF(Skills!H8&gt;0,INT(MIN(Skills!I8,MAX(0,MAX(0,Inputs!$B$43-B1535)-((R1505-1)*((IF(Inputs!$B$38="pvp",15,MAX(0.1,Skills!D8-IF(TRUE=TRUE,Inputs!$B$32,0)))*(1-IF(AND(ArtifactsInput!$M$27,Inputs!$B$4="Chapter Hunt"),CHOOSE(ArtifactsInput!$N$27+1,20,24,28,32,36,40),0)/100))/B1539))))/Skills!H8+0.000000001),1)))/Inputs!$B$43),G1505*Q1505)+IF(AND(Inputs!$B$38&lt;&gt;"pvp",Inputs!$B$43&gt;0),((Skills!G11*((R1508-1)*IF(Skills!H11&gt;0,INT(Skills!I11/Skills!H11+0.000000001),1)+IF(Skills!H11&gt;0,INT(MIN(Skills!I11,MAX(0,MAX(0,Inputs!$B$43-B1535)-((R1508-1)*((IF(Inputs!$B$38="pvp",15,MAX(0.1,Skills!D11-IF(TRUE=TRUE,Inputs!$B$32,0)))*(1-IF(AND(ArtifactsInput!$M$27,Inputs!$B$4="Chapter Hunt"),CHOOSE(ArtifactsInput!$N$27+1,20,24,28,32,36,40),0)/100))/B1539))))/Skills!H11+0.000000001),1)))/Inputs!$B$43),G1508*Q1508)))*N1511)*IF(Inputs!$B$38="pvp",1,1+(Inputs!$B$20+0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Hunt"),CHOOSE(ArtifactsInput!$N$35+1,15,18,21,24,27,30)*(1-EXP(-(0.2*B1530)*5)),0)+IF(AND(ArtifactsInput!$M$22,Inputs!$B$4&lt;&gt;"Chapter Hunt"),CHOOSE(ArtifactsInput!$N$22+1,10,12,14,16,18,20)*((0*(((0.15*B1530*5))^0/1)+1*(((0.15*B1530*5))^1/1)+2*(((0.15*B1530*5))^2/2)+3*(((0.15*B1530*5))^3/6)+4*(((0.15*B1530*5))^4/24)+5*(((0.15*B1530*5))^5/120))/((((0.15*B1530*5))^0/1)+(((0.15*B1530*5))^1/1)+(((0.15*B1530*5))^2/2)+(((0.15*B1530*5))^3/6)+(((0.15*B1530*5))^4/24)+(((0.15*B1530*5))^5/120))),0))+IF(Inputs!$B$3&gt;=54,9*(C1500=TRUE)*MIN(1,8*(1+Inputs!$B$34/100)*Q1500)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1511*(1-MIN(100,(Inputs!$B$9+((C1516=TRUE)*(F1516-Calc!F19))+B1528+(ArtifactsInput!$M$24-ArtifactsInput!$M$24)*CHOOSE(ArtifactsInput!$N$24+1,10,12,14,16,18,20)+(IF(AND(Inputs!$B$38&lt;&gt;"pvp",Inputs!$B$43=0),1,IF(IF(Inputs!$B$38="pvp",15,Inputs!$B$43)-(B1535)&lt;=0,1,MAX(0,IF(Inputs!$B$38="pvp",15,Inputs!$B$43)-MAX(5,B1535))/(IF(Inputs!$B$38="pvp",15,Inputs!$B$43)-(B1535))))*IF(AND(ArtifactsInput!$M$42,((Inputs!$B$9+((C1516=TRUE)*(F1516-Calc!F19))+B1528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1511*(MIN(100,(Inputs!$B$9+((C1516=TRUE)*(F1516-Calc!F19))+B1528+(ArtifactsInput!$M$24-ArtifactsInput!$M$24)*CHOOSE(ArtifactsInput!$N$24+1,10,12,14,16,18,20)+(IF(AND(Inputs!$B$38&lt;&gt;"pvp",Inputs!$B$43=0),1,IF(IF(Inputs!$B$38="pvp",15,Inputs!$B$43)-(B1535)&lt;=0,1,MAX(0,IF(Inputs!$B$38="pvp",15,Inputs!$B$43)-MAX(5,B1535))/(IF(Inputs!$B$38="pvp",15,Inputs!$B$43)-(B1535))))*IF(AND(ArtifactsInput!$M$42,((Inputs!$B$9+((C1516=TRUE)*(F1516-Calc!F19))+B1528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1511*(1-MIN(100,(Inputs!$B$9+((C1516=TRUE)*(F1516-Calc!F19))+B1528+(ArtifactsInput!$M$24-ArtifactsInput!$M$24)*CHOOSE(ArtifactsInput!$N$24+1,10,12,14,16,18,20)+(IF(AND(Inputs!$B$38&lt;&gt;"pvp",Inputs!$B$43=0),1,IF(IF(Inputs!$B$38="pvp",15,Inputs!$B$43)-(B1535)&lt;=0,1,MAX(0,IF(Inputs!$B$38="pvp",15,Inputs!$B$43)-MAX(5,B1535))/(IF(Inputs!$B$38="pvp",15,Inputs!$B$43)-(B1535))))*IF(AND(ArtifactsInput!$M$42,((Inputs!$B$9+((C1516=TRUE)*(F1516-Calc!F19))+B1528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1511*(MIN(100,(Inputs!$B$9+((C1516=TRUE)*(F1516-Calc!F19))+B1528+(ArtifactsInput!$M$24-ArtifactsInput!$M$24)*CHOOSE(ArtifactsInput!$N$24+1,10,12,14,16,18,20)+(IF(AND(Inputs!$B$38&lt;&gt;"pvp",Inputs!$B$43=0),1,IF(IF(Inputs!$B$38="pvp",15,Inputs!$B$43)-(B1535)&lt;=0,1,MAX(0,IF(Inputs!$B$38="pvp",15,Inputs!$B$43)-MAX(5,B1535))/(IF(Inputs!$B$38="pvp",15,Inputs!$B$43)-(B1535))))*IF(AND(ArtifactsInput!$M$42,((Inputs!$B$9+((C1516=TRUE)*(F1516-Calc!F19))+B1528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511">
        <f>IF(C1511,((H1511*(B1532+IF(AND(Inputs!$B$38&lt;&gt;"pvp",Inputs!$B$43&gt;0),((Skills!G8*((R1505-1)*IF(Skills!H8&gt;0,INT(Skills!I8/Skills!H8+0.000000001),1)+IF(Skills!H8&gt;0,INT(MIN(Skills!I8,MAX(0,MAX(0,Inputs!$B$43-B1535)-((R1505-1)*((IF(Inputs!$B$38="pvp",15,MAX(0.1,Skills!D8-IF(TRUE=TRUE,Inputs!$B$32,0)))*(1-IF(AND(ArtifactsInput!$M$27,Inputs!$B$4="Chapter Hunt"),CHOOSE(ArtifactsInput!$N$27+1,20,24,28,32,36,40),0)/100))/B1539))))/Skills!H8+0.000000001),1)))/Inputs!$B$43),G1505*Q1505)+IF(AND(Inputs!$B$38&lt;&gt;"pvp",Inputs!$B$43&gt;0),((Skills!G11*((R1508-1)*IF(Skills!H11&gt;0,INT(Skills!I11/Skills!H11+0.000000001),1)+IF(Skills!H11&gt;0,INT(MIN(Skills!I11,MAX(0,MAX(0,Inputs!$B$43-B1535)-((R1508-1)*((IF(Inputs!$B$38="pvp",15,MAX(0.1,Skills!D11-IF(TRUE=TRUE,Inputs!$B$32,0)))*(1-IF(AND(ArtifactsInput!$M$27,Inputs!$B$4="Chapter Hunt"),CHOOSE(ArtifactsInput!$N$27+1,20,24,28,32,36,40),0)/100))/B1539))))/Skills!H11+0.000000001),1)))/Inputs!$B$43),G1508*Q1508)))/(1+Skills!H14*H1511*(B1532+IF(AND(Inputs!$B$38&lt;&gt;"pvp",Inputs!$B$43&gt;0),((Skills!G8*((R1505-1)*IF(Skills!H8&gt;0,INT(Skills!I8/Skills!H8+0.000000001),1)+IF(Skills!H8&gt;0,INT(MIN(Skills!I8,MAX(0,MAX(0,Inputs!$B$43-B1535)-((R1505-1)*((IF(Inputs!$B$38="pvp",15,MAX(0.1,Skills!D8-IF(TRUE=TRUE,Inputs!$B$32,0)))*(1-IF(AND(ArtifactsInput!$M$27,Inputs!$B$4="Chapter Hunt"),CHOOSE(ArtifactsInput!$N$27+1,20,24,28,32,36,40),0)/100))/B1539))))/Skills!H8+0.000000001),1)))/Inputs!$B$43),G1505*Q1505)+IF(AND(Inputs!$B$38&lt;&gt;"pvp",Inputs!$B$43&gt;0),((Skills!G11*((R1508-1)*IF(Skills!H11&gt;0,INT(Skills!I11/Skills!H11+0.000000001),1)+IF(Skills!H11&gt;0,INT(MIN(Skills!I11,MAX(0,MAX(0,Inputs!$B$43-B1535)-((R1508-1)*((IF(Inputs!$B$38="pvp",15,MAX(0.1,Skills!D11-IF(TRUE=TRUE,Inputs!$B$32,0)))*(1-IF(AND(ArtifactsInput!$M$27,Inputs!$B$4="Chapter Hunt"),CHOOSE(ArtifactsInput!$N$27+1,20,24,28,32,36,40),0)/100))/B1539))))/Skills!H11+0.000000001),1)))/Inputs!$B$43),G1508*Q1508)))*N1511)*IF(Inputs!$B$38="pvp",1,(1+(Inputs!$B$21+Skills!Q14+(IF(ArtifactsInput!$M$33,CHOOSE(ArtifactsInput!$N$33+1,30,36,42,48,54,60),0))+(IF(AND(ArtifactsInput!$M$35,Inputs!$B$4&lt;&gt;"Chapter Hunt"),CHOOSE(ArtifactsInput!$N$35+1,15,18,21,24,27,30)*(1-EXP(-(0.2*B1530)*5)),0)+IF(AND(ArtifactsInput!$M$22,Inputs!$B$4&lt;&gt;"Chapter Hunt"),CHOOSE(ArtifactsInput!$N$22+1,10,12,14,16,18,20)*((0*(((0.15*B1530*5))^0/1)+1*(((0.15*B1530*5))^1/1)+2*(((0.15*B1530*5))^2/2)+3*(((0.15*B1530*5))^3/6)+4*(((0.15*B1530*5))^4/24)+5*(((0.15*B1530*5))^5/120))/((((0.15*B1530*5))^0/1)+(((0.15*B1530*5))^1/1)+(((0.15*B1530*5))^2/2)+(((0.15*B1530*5))^3/6)+(((0.15*B1530*5))^4/24)+(((0.15*B1530*5))^5/120))),0))+IF(Inputs!$B$3&gt;=54,9*(C1500=TRUE)*MIN(1,8*(1+Inputs!$B$34/100)*Q1500),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12">
      <c r="A1512">
        <f>Skills!A15</f>
        <v/>
      </c>
      <c r="B1512">
        <f>Skills!B15</f>
        <v/>
      </c>
      <c r="C1512">
        <f>Inputs!$B$3&gt;=100</f>
        <v/>
      </c>
      <c r="D1512">
        <f>IF(Skills!C15=1,60+Inputs!$B$25+Inputs!$B$29,IF(Skills!C15=2,90+Inputs!$B$26+Inputs!$B$29,IF(Skills!C15=3,120+Inputs!$B$27+Inputs!$B$29,MAX(0,(Inputs!$B$3-100)*3)+Inputs!$B$28+Inputs!$B$29)))</f>
        <v/>
      </c>
      <c r="E1512">
        <f>INDEX(FactorTable!$B$2:$Y$301, MATCH(ROUND(MIN(300,MAX(1,D1512)),0), FactorTable!$A$2:$A$301,0), Skills!M15+1)</f>
        <v/>
      </c>
      <c r="F1512">
        <f>IF(Skills!N15=TRUE,(Skills!L15/10)*(E1512/1000),Skills!L15/10)+Skills!O15</f>
        <v/>
      </c>
      <c r="G1512" t="inlineStr"/>
      <c r="H1512" t="inlineStr"/>
      <c r="I1512" t="inlineStr">
        <is>
          <t>1</t>
        </is>
      </c>
      <c r="J1512" t="inlineStr"/>
      <c r="K1512" t="inlineStr"/>
      <c r="L1512" t="inlineStr"/>
      <c r="M1512" t="inlineStr"/>
      <c r="N1512" t="inlineStr"/>
      <c r="O1512" t="inlineStr"/>
      <c r="P1512" t="inlineStr"/>
      <c r="Q1512" t="inlineStr"/>
      <c r="R1512" t="inlineStr"/>
      <c r="S1512" t="inlineStr"/>
    </row>
    <row r="1513">
      <c r="A1513">
        <f>Skills!A16</f>
        <v/>
      </c>
      <c r="B1513">
        <f>Skills!B16</f>
        <v/>
      </c>
      <c r="C1513">
        <f>Inputs!$B$3&gt;=107</f>
        <v/>
      </c>
      <c r="D1513">
        <f>IF(Skills!C16=1,60+Inputs!$B$25+Inputs!$B$29,IF(Skills!C16=2,90+Inputs!$B$26+Inputs!$B$29,IF(Skills!C16=3,120+Inputs!$B$27+Inputs!$B$29,MAX(0,(Inputs!$B$3-100)*3)+Inputs!$B$28+Inputs!$B$29)))</f>
        <v/>
      </c>
      <c r="E1513">
        <f>INDEX(FactorTable!$B$2:$Y$301, MATCH(ROUND(MIN(300,MAX(1,D1513)),0), FactorTable!$A$2:$A$301,0), Skills!M16+1)</f>
        <v/>
      </c>
      <c r="F1513">
        <f>IF(Skills!N16=TRUE,(Skills!L16/10)*(E1513/1000),Skills!L16/10)+Skills!O16</f>
        <v/>
      </c>
      <c r="G1513" t="inlineStr"/>
      <c r="H1513" t="inlineStr"/>
      <c r="I1513" t="inlineStr">
        <is>
          <t>1</t>
        </is>
      </c>
      <c r="J1513" t="inlineStr"/>
      <c r="K1513" t="inlineStr"/>
      <c r="L1513" t="inlineStr"/>
      <c r="M1513" t="inlineStr"/>
      <c r="N1513" t="inlineStr"/>
      <c r="O1513" t="inlineStr"/>
      <c r="P1513" t="inlineStr"/>
      <c r="Q1513" t="inlineStr"/>
      <c r="R1513" t="inlineStr"/>
      <c r="S1513" t="inlineStr"/>
    </row>
    <row r="1514">
      <c r="A1514">
        <f>Skills!A17</f>
        <v/>
      </c>
      <c r="B1514">
        <f>Skills!B17</f>
        <v/>
      </c>
      <c r="C1514">
        <f>Inputs!$B$3&gt;=74</f>
        <v/>
      </c>
      <c r="D1514">
        <f>IF(Skills!C17=1,60+Inputs!$B$25+Inputs!$B$29,IF(Skills!C17=2,90+Inputs!$B$26+Inputs!$B$29,IF(Skills!C17=3,120+Inputs!$B$27+Inputs!$B$29,MAX(0,(Inputs!$B$3-100)*3)+Inputs!$B$28+Inputs!$B$29)))</f>
        <v/>
      </c>
      <c r="E1514">
        <f>INDEX(FactorTable!$B$2:$Y$301, MATCH(ROUND(MIN(300,MAX(1,D1514)),0), FactorTable!$A$2:$A$301,0), Skills!M17+1)</f>
        <v/>
      </c>
      <c r="F1514">
        <f>IF(Skills!N17=TRUE,(Skills!L17/10)*(E1514/1000),Skills!L17/10)+Skills!O17</f>
        <v/>
      </c>
      <c r="G1514">
        <f>Skills!G17*IF(Skills!H17&gt;0,INT(IF(Inputs!$B$38="pvp",MIN(Skills!I17,15),Skills!I17)/Skills!H17+0.000000001),1)</f>
        <v/>
      </c>
      <c r="H1514">
        <f>1-(1-Skills!J17/100)^Skills!K17</f>
        <v/>
      </c>
      <c r="I1514" t="inlineStr">
        <is>
          <t>1</t>
        </is>
      </c>
      <c r="J1514" t="inlineStr"/>
      <c r="K1514" t="inlineStr"/>
      <c r="L1514" t="inlineStr"/>
      <c r="M1514" t="inlineStr"/>
      <c r="N1514" t="inlineStr"/>
      <c r="O1514">
        <f>(1-Summary!$B$11)*T1514+Summary!$B$11*V1514</f>
        <v/>
      </c>
      <c r="P1514">
        <f>IF(B1538=0,0,O1514/B1538)</f>
        <v/>
      </c>
      <c r="Q1514" t="n">
        <v>0</v>
      </c>
      <c r="R1514" t="n">
        <v>0</v>
      </c>
      <c r="S1514">
        <f>IFERROR(O1514/N1514,0)</f>
        <v/>
      </c>
      <c r="T1514" t="n">
        <v>0</v>
      </c>
      <c r="V1514" t="n">
        <v>0</v>
      </c>
    </row>
    <row r="1515">
      <c r="A1515">
        <f>Skills!A18</f>
        <v/>
      </c>
      <c r="B1515">
        <f>Skills!B18</f>
        <v/>
      </c>
      <c r="C1515">
        <f>Inputs!$B$3&gt;=115</f>
        <v/>
      </c>
      <c r="D1515">
        <f>IF(Skills!C18=1,60+Inputs!$B$25+Inputs!$B$29,IF(Skills!C18=2,90+Inputs!$B$26+Inputs!$B$29,IF(Skills!C18=3,120+Inputs!$B$27+Inputs!$B$29,MAX(0,(Inputs!$B$3-100)*3)+Inputs!$B$28+Inputs!$B$29)))</f>
        <v/>
      </c>
      <c r="E1515">
        <f>INDEX(FactorTable!$B$2:$Y$301, MATCH(ROUND(MIN(300,MAX(1,D1515)),0), FactorTable!$A$2:$A$301,0), Skills!M18+1)</f>
        <v/>
      </c>
      <c r="F1515">
        <f>IF(Skills!N18=TRUE,(Skills!L18/10)*(E1515/1000),Skills!L18/10)+Skills!O18</f>
        <v/>
      </c>
      <c r="G1515">
        <f>Skills!G18*IF(Skills!H18&gt;0,INT(IF(Inputs!$B$38="pvp",MIN(Skills!I18,15),Skills!I18)/Skills!H18+0.000000001),1)</f>
        <v/>
      </c>
      <c r="H1515">
        <f>1-(1-Skills!J18/100)^Skills!K18</f>
        <v/>
      </c>
      <c r="I1515" t="inlineStr">
        <is>
          <t>1</t>
        </is>
      </c>
      <c r="J1515" t="inlineStr"/>
      <c r="K1515" t="inlineStr"/>
      <c r="L1515" t="inlineStr"/>
      <c r="M1515" t="inlineStr"/>
      <c r="N1515" t="inlineStr"/>
      <c r="O1515">
        <f>(1-Summary!$B$11)*T1515+Summary!$B$11*V1515</f>
        <v/>
      </c>
      <c r="P1515">
        <f>IF(B1538=0,0,O1515/B1538)</f>
        <v/>
      </c>
      <c r="Q1515">
        <f>IFERROR(1/(IF(Inputs!$B$38="pvp",15,MAX(0.1,Skills!D18-IF(TRUE=TRUE,Inputs!$B$32,0)))*(1-IF(AND(ArtifactsInput!$M$27,Inputs!$B$4="Chapter Hunt"),CHOOSE(ArtifactsInput!$N$27+1,20,24,28,32,36,40),0)/100)),0)</f>
        <v/>
      </c>
      <c r="R1515">
        <f>IF(AND(Inputs!$B$38&lt;&gt;"pvp",Inputs!$B$43&gt;0),IF(Inputs!$B$43&lt;=0,0,(INT(Inputs!$B$43/(IF(Inputs!$B$38="pvp",15,MAX(0.1,Skills!D18-IF(TRUE=TRUE,Inputs!$B$32,0)))*(1-IF(AND(ArtifactsInput!$M$27,Inputs!$B$4="Chapter Hunt"),CHOOSE(ArtifactsInput!$N$27+1,20,24,28,32,36,40),0)/100)))+1)),0)</f>
        <v/>
      </c>
      <c r="S1515">
        <f>IFERROR(O1515/N1515,0)</f>
        <v/>
      </c>
      <c r="T1515" t="n">
        <v>0</v>
      </c>
      <c r="V1515" t="n">
        <v>0</v>
      </c>
    </row>
    <row r="1516">
      <c r="A1516">
        <f>Skills!A19</f>
        <v/>
      </c>
      <c r="B1516">
        <f>Skills!B19</f>
        <v/>
      </c>
      <c r="C1516">
        <f>Inputs!$B$3&gt;=10</f>
        <v/>
      </c>
      <c r="D1516">
        <f>IF(Skills!C19=1,60+Inputs!$B$25+Inputs!$B$29,IF(Skills!C19=2,90+Inputs!$B$26+Inputs!$B$29,IF(Skills!C19=3,120+Inputs!$B$27+Inputs!$B$29,MAX(0,(Inputs!$B$3-100)*3)+Inputs!$B$28+Inputs!$B$29)))</f>
        <v/>
      </c>
      <c r="E1516">
        <f>INDEX(FactorTable!$B$2:$Y$301, MATCH(ROUND(MIN(300,MAX(1,D1516)),0), FactorTable!$A$2:$A$301,0), Skills!M19+1)</f>
        <v/>
      </c>
      <c r="F1516">
        <f>IF(Skills!N19=TRUE,(Skills!L19/10)*(E1516/1000),Skills!L19/10)+Skills!O19</f>
        <v/>
      </c>
      <c r="G1516">
        <f>Skills!G19*IF(Skills!H19&gt;0,INT(IF(Inputs!$B$38="pvp",MIN(Skills!I19,15),Skills!I19)/Skills!H19+0.000000001),1)</f>
        <v/>
      </c>
      <c r="H1516">
        <f>1-(1-Skills!J19/100)^Skills!K19</f>
        <v/>
      </c>
      <c r="I1516" t="inlineStr">
        <is>
          <t>1</t>
        </is>
      </c>
      <c r="J1516" t="inlineStr"/>
      <c r="K1516" t="inlineStr"/>
      <c r="L1516" t="inlineStr"/>
      <c r="M1516" t="inlineStr"/>
      <c r="N1516" t="inlineStr"/>
      <c r="O1516">
        <f>(1-Summary!$B$11)*T1516+Summary!$B$11*V1516</f>
        <v/>
      </c>
      <c r="P1516">
        <f>IF(B1538=0,0,O1516/B1538)</f>
        <v/>
      </c>
      <c r="Q1516" t="n">
        <v>0</v>
      </c>
      <c r="R1516" t="n">
        <v>0</v>
      </c>
      <c r="S1516">
        <f>IFERROR(O1516/N1516,0)</f>
        <v/>
      </c>
      <c r="T1516" t="n">
        <v>0</v>
      </c>
      <c r="V1516" t="n">
        <v>0</v>
      </c>
    </row>
    <row r="1517">
      <c r="A1517">
        <f>Skills!A20</f>
        <v/>
      </c>
      <c r="B1517">
        <f>Skills!B20</f>
        <v/>
      </c>
      <c r="C1517">
        <f>Inputs!$B$3&gt;=15</f>
        <v/>
      </c>
      <c r="D1517">
        <f>IF(Skills!C20=1,60+Inputs!$B$25+Inputs!$B$29,IF(Skills!C20=2,90+Inputs!$B$26+Inputs!$B$29,IF(Skills!C20=3,120+Inputs!$B$27+Inputs!$B$29,MAX(0,(Inputs!$B$3-100)*3)+Inputs!$B$28+Inputs!$B$29)))</f>
        <v/>
      </c>
      <c r="E1517">
        <f>INDEX(FactorTable!$B$2:$Y$301, MATCH(ROUND(MIN(300,MAX(1,D1517)),0), FactorTable!$A$2:$A$301,0), Skills!M20+1)</f>
        <v/>
      </c>
      <c r="F1517">
        <f>IF(Skills!N20=TRUE,(Skills!L20/10)*(E1517/1000),Skills!L20/10)+Skills!O20</f>
        <v/>
      </c>
      <c r="G1517">
        <f>Skills!G20*IF(Skills!H20&gt;0,INT(IF(Inputs!$B$38="pvp",MIN(Skills!I20,15),Skills!I20)/Skills!H20+0.000000001),1)</f>
        <v/>
      </c>
      <c r="H1517">
        <f>1-(1-Skills!J20/100)^Skills!K20</f>
        <v/>
      </c>
      <c r="I1517" t="inlineStr">
        <is>
          <t>1</t>
        </is>
      </c>
      <c r="J1517" t="inlineStr"/>
      <c r="K1517" t="inlineStr"/>
      <c r="L1517" t="inlineStr"/>
      <c r="M1517" t="inlineStr"/>
      <c r="N1517" t="inlineStr"/>
      <c r="O1517">
        <f>(1-Summary!$B$11)*T1517+Summary!$B$11*V1517</f>
        <v/>
      </c>
      <c r="P1517">
        <f>IF(B1538=0,0,O1517/B1538)</f>
        <v/>
      </c>
      <c r="Q1517" t="n">
        <v>0</v>
      </c>
      <c r="R1517" t="n">
        <v>0</v>
      </c>
      <c r="S1517">
        <f>IFERROR(O1517/N1517,0)</f>
        <v/>
      </c>
      <c r="T1517" t="n">
        <v>0</v>
      </c>
      <c r="V1517" t="n">
        <v>0</v>
      </c>
    </row>
    <row r="1518">
      <c r="A1518">
        <f>Skills!A21</f>
        <v/>
      </c>
      <c r="B1518">
        <f>Skills!B21</f>
        <v/>
      </c>
      <c r="C1518">
        <f>Inputs!$B$3&gt;=40</f>
        <v/>
      </c>
      <c r="D1518">
        <f>IF(Skills!C21=1,60+Inputs!$B$25+Inputs!$B$29,IF(Skills!C21=2,90+Inputs!$B$26+Inputs!$B$29,IF(Skills!C21=3,120+Inputs!$B$27+Inputs!$B$29,MAX(0,(Inputs!$B$3-100)*3)+Inputs!$B$28+Inputs!$B$29)))</f>
        <v/>
      </c>
      <c r="E1518">
        <f>INDEX(FactorTable!$B$2:$Y$301, MATCH(ROUND(MIN(300,MAX(1,D1518)),0), FactorTable!$A$2:$A$301,0), Skills!M21+1)</f>
        <v/>
      </c>
      <c r="F1518">
        <f>IF(Skills!N21=TRUE,(Skills!L21/10)*(E1518/1000),Skills!L21/10)+Skills!O21</f>
        <v/>
      </c>
      <c r="G1518">
        <f>Skills!G21*IF(Skills!H21&gt;0,INT(IF(Inputs!$B$38="pvp",MIN(Skills!I21,15),Skills!I21)/Skills!H21+0.000000001),1)</f>
        <v/>
      </c>
      <c r="H1518">
        <f>1-(1-Skills!J21/100)^Skills!K21</f>
        <v/>
      </c>
      <c r="I1518" t="inlineStr">
        <is>
          <t>1</t>
        </is>
      </c>
      <c r="J1518" t="inlineStr"/>
      <c r="K1518" t="inlineStr"/>
      <c r="L1518" t="inlineStr"/>
      <c r="M1518" t="inlineStr"/>
      <c r="N1518" t="inlineStr"/>
      <c r="O1518">
        <f>(1-Summary!$B$11)*T1518+Summary!$B$11*V1518</f>
        <v/>
      </c>
      <c r="P1518">
        <f>IF(B1538=0,0,O1518/B1538)</f>
        <v/>
      </c>
      <c r="Q1518" t="n">
        <v>0</v>
      </c>
      <c r="R1518" t="n">
        <v>0</v>
      </c>
      <c r="S1518">
        <f>IFERROR(O1518/N1518,0)</f>
        <v/>
      </c>
      <c r="T1518" t="n">
        <v>0</v>
      </c>
      <c r="V1518" t="n">
        <v>0</v>
      </c>
    </row>
    <row r="1519">
      <c r="A1519">
        <f>Skills!A22</f>
        <v/>
      </c>
      <c r="B1519">
        <f>Skills!B22</f>
        <v/>
      </c>
      <c r="C1519">
        <f>Inputs!$B$3&gt;=43</f>
        <v/>
      </c>
      <c r="D1519">
        <f>IF(Skills!C22=1,60+Inputs!$B$25+Inputs!$B$29,IF(Skills!C22=2,90+Inputs!$B$26+Inputs!$B$29,IF(Skills!C22=3,120+Inputs!$B$27+Inputs!$B$29,MAX(0,(Inputs!$B$3-100)*3)+Inputs!$B$28+Inputs!$B$29)))</f>
        <v/>
      </c>
      <c r="E1519">
        <f>INDEX(FactorTable!$B$2:$Y$301, MATCH(ROUND(MIN(300,MAX(1,D1519)),0), FactorTable!$A$2:$A$301,0), Skills!M22+1)</f>
        <v/>
      </c>
      <c r="F1519">
        <f>IF(Skills!N22=TRUE,(Skills!L22/10)*(E1519/1000),Skills!L22/10)+Skills!O22</f>
        <v/>
      </c>
      <c r="G1519">
        <f>Skills!G22*IF(Skills!H22&gt;0,INT(IF(Inputs!$B$38="pvp",MIN(Skills!I22,15),Skills!I22)/Skills!H22+0.000000001),1)</f>
        <v/>
      </c>
      <c r="H1519">
        <f>1-(1-Skills!J22/100)^Skills!K22</f>
        <v/>
      </c>
      <c r="I1519" t="inlineStr">
        <is>
          <t>1</t>
        </is>
      </c>
      <c r="J1519" t="inlineStr"/>
      <c r="K1519" t="inlineStr"/>
      <c r="L1519" t="inlineStr"/>
      <c r="M1519" t="inlineStr"/>
      <c r="N1519" t="inlineStr"/>
      <c r="O1519">
        <f>(1-Summary!$B$11)*T1519+Summary!$B$11*V1519</f>
        <v/>
      </c>
      <c r="P1519">
        <f>IF(B1538=0,0,O1519/B1538)</f>
        <v/>
      </c>
      <c r="Q1519" t="n">
        <v>0</v>
      </c>
      <c r="R1519" t="n">
        <v>0</v>
      </c>
      <c r="S1519">
        <f>IFERROR(O1519/N1519,0)</f>
        <v/>
      </c>
      <c r="T1519" t="n">
        <v>0</v>
      </c>
      <c r="V1519" t="n">
        <v>0</v>
      </c>
    </row>
    <row r="1520">
      <c r="A1520">
        <f>Skills!A23</f>
        <v/>
      </c>
      <c r="B1520">
        <f>Skills!B23</f>
        <v/>
      </c>
      <c r="C1520">
        <f>Inputs!$B$3&gt;=38</f>
        <v/>
      </c>
      <c r="D1520">
        <f>IF(Skills!C23=1,60+Inputs!$B$25+Inputs!$B$29,IF(Skills!C23=2,90+Inputs!$B$26+Inputs!$B$29,IF(Skills!C23=3,120+Inputs!$B$27+Inputs!$B$29,MAX(0,(Inputs!$B$3-100)*3)+Inputs!$B$28+Inputs!$B$29)))</f>
        <v/>
      </c>
      <c r="E1520">
        <f>INDEX(FactorTable!$B$2:$Y$301, MATCH(ROUND(MIN(300,MAX(1,D1520)),0), FactorTable!$A$2:$A$301,0), Skills!M23+1)</f>
        <v/>
      </c>
      <c r="F1520">
        <f>IF(Skills!N23=TRUE,(Skills!L23/10)*(E1520/1000),Skills!L23/10)+Skills!O23</f>
        <v/>
      </c>
      <c r="G1520">
        <f>Skills!G23*IF(Skills!H23&gt;0,INT(IF(Inputs!$B$38="pvp",MIN(Skills!I23,15),Skills!I23)/Skills!H23+0.000000001),1)</f>
        <v/>
      </c>
      <c r="H1520">
        <f>1-(1-Skills!J23/100)^Skills!K23</f>
        <v/>
      </c>
      <c r="I1520" t="inlineStr">
        <is>
          <t>1</t>
        </is>
      </c>
      <c r="J1520" t="inlineStr"/>
      <c r="K1520" t="inlineStr"/>
      <c r="L1520" t="inlineStr"/>
      <c r="M1520" t="inlineStr"/>
      <c r="N1520" t="inlineStr"/>
      <c r="O1520">
        <f>(1-Summary!$B$11)*T1520+Summary!$B$11*V1520</f>
        <v/>
      </c>
      <c r="P1520">
        <f>IF(B1538=0,0,O1520/B1538)</f>
        <v/>
      </c>
      <c r="Q1520" t="n">
        <v>0</v>
      </c>
      <c r="R1520" t="n">
        <v>0</v>
      </c>
      <c r="S1520">
        <f>IFERROR(O1520/N1520,0)</f>
        <v/>
      </c>
      <c r="T1520" t="n">
        <v>0</v>
      </c>
      <c r="V1520" t="n">
        <v>0</v>
      </c>
    </row>
    <row r="1521">
      <c r="A1521">
        <f>Skills!A24</f>
        <v/>
      </c>
      <c r="B1521">
        <f>Skills!B24</f>
        <v/>
      </c>
      <c r="C1521">
        <f>Inputs!$B$3&gt;=45</f>
        <v/>
      </c>
      <c r="D1521">
        <f>IF(Skills!C24=1,60+Inputs!$B$25+Inputs!$B$29,IF(Skills!C24=2,90+Inputs!$B$26+Inputs!$B$29,IF(Skills!C24=3,120+Inputs!$B$27+Inputs!$B$29,MAX(0,(Inputs!$B$3-100)*3)+Inputs!$B$28+Inputs!$B$29)))</f>
        <v/>
      </c>
      <c r="E1521">
        <f>INDEX(FactorTable!$B$2:$Y$301, MATCH(ROUND(MIN(300,MAX(1,D1521)),0), FactorTable!$A$2:$A$301,0), Skills!M24+1)</f>
        <v/>
      </c>
      <c r="F1521">
        <f>IF(Skills!N24=TRUE,(Skills!L24/10)*(E1521/1000),Skills!L24/10)+Skills!O24</f>
        <v/>
      </c>
      <c r="G1521">
        <f>Skills!G24*IF(Skills!H24&gt;0,INT(IF(Inputs!$B$38="pvp",MIN(Skills!I24,15),Skills!I24)/Skills!H24+0.000000001),1)</f>
        <v/>
      </c>
      <c r="H1521">
        <f>1-(1-Skills!J24/100)^Skills!K24</f>
        <v/>
      </c>
      <c r="I1521" t="inlineStr">
        <is>
          <t>1</t>
        </is>
      </c>
      <c r="J1521" t="inlineStr"/>
      <c r="K1521" t="inlineStr"/>
      <c r="L1521" t="inlineStr"/>
      <c r="M1521" t="inlineStr"/>
      <c r="N1521" t="inlineStr"/>
      <c r="O1521">
        <f>(1-Summary!$B$11)*T1521+Summary!$B$11*V1521</f>
        <v/>
      </c>
      <c r="P1521">
        <f>IF(B1538=0,0,O1521/B1538)</f>
        <v/>
      </c>
      <c r="Q1521" t="n">
        <v>0</v>
      </c>
      <c r="R1521" t="n">
        <v>0</v>
      </c>
      <c r="S1521">
        <f>IFERROR(O1521/N1521,0)</f>
        <v/>
      </c>
      <c r="T1521" t="n">
        <v>0</v>
      </c>
      <c r="V1521" t="n">
        <v>0</v>
      </c>
    </row>
    <row r="1522">
      <c r="A1522">
        <f>Skills!A25</f>
        <v/>
      </c>
      <c r="B1522">
        <f>Skills!B25</f>
        <v/>
      </c>
      <c r="C1522">
        <f>Inputs!$B$3&gt;=72</f>
        <v/>
      </c>
      <c r="D1522">
        <f>IF(Skills!C25=1,60+Inputs!$B$25+Inputs!$B$29,IF(Skills!C25=2,90+Inputs!$B$26+Inputs!$B$29,IF(Skills!C25=3,120+Inputs!$B$27+Inputs!$B$29,MAX(0,(Inputs!$B$3-100)*3)+Inputs!$B$28+Inputs!$B$29)))</f>
        <v/>
      </c>
      <c r="E1522">
        <f>INDEX(FactorTable!$B$2:$Y$301, MATCH(ROUND(MIN(300,MAX(1,D1522)),0), FactorTable!$A$2:$A$301,0), Skills!M25+1)</f>
        <v/>
      </c>
      <c r="F1522">
        <f>IF(Skills!N25=TRUE,(Skills!L25/10)*(E1522/1000),Skills!L25/10)+Skills!O25</f>
        <v/>
      </c>
      <c r="G1522">
        <f>Skills!G25*IF(Skills!H25&gt;0,INT(IF(Inputs!$B$38="pvp",MIN(Skills!I25,15),Skills!I25)/Skills!H25+0.000000001),1)</f>
        <v/>
      </c>
      <c r="H1522">
        <f>1-(1-Skills!J25/100)^Skills!K25</f>
        <v/>
      </c>
      <c r="I1522" t="inlineStr">
        <is>
          <t>1</t>
        </is>
      </c>
      <c r="J1522" t="inlineStr"/>
      <c r="K1522" t="inlineStr"/>
      <c r="L1522" t="inlineStr"/>
      <c r="M1522" t="inlineStr"/>
      <c r="N1522" t="inlineStr"/>
      <c r="O1522">
        <f>(1-Summary!$B$11)*T1522+Summary!$B$11*V1522</f>
        <v/>
      </c>
      <c r="P1522">
        <f>IF(B1538=0,0,O1522/B1538)</f>
        <v/>
      </c>
      <c r="Q1522" t="n">
        <v>0</v>
      </c>
      <c r="R1522" t="n">
        <v>0</v>
      </c>
      <c r="S1522">
        <f>IFERROR(O1522/N1522,0)</f>
        <v/>
      </c>
      <c r="T1522" t="n">
        <v>0</v>
      </c>
      <c r="V1522" t="n">
        <v>0</v>
      </c>
    </row>
    <row r="1523">
      <c r="A1523">
        <f>Skills!A26</f>
        <v/>
      </c>
      <c r="B1523">
        <f>Skills!B26</f>
        <v/>
      </c>
      <c r="C1523">
        <f>Inputs!$B$3&gt;=75</f>
        <v/>
      </c>
      <c r="D1523">
        <f>IF(Skills!C26=1,60+Inputs!$B$25+Inputs!$B$29,IF(Skills!C26=2,90+Inputs!$B$26+Inputs!$B$29,IF(Skills!C26=3,120+Inputs!$B$27+Inputs!$B$29,MAX(0,(Inputs!$B$3-100)*3)+Inputs!$B$28+Inputs!$B$29)))</f>
        <v/>
      </c>
      <c r="E1523">
        <f>INDEX(FactorTable!$B$2:$Y$301, MATCH(ROUND(MIN(300,MAX(1,D1523)),0), FactorTable!$A$2:$A$301,0), Skills!M26+1)</f>
        <v/>
      </c>
      <c r="F1523">
        <f>IF(Skills!N26=TRUE,(Skills!L26/10)*(E1523/1000),Skills!L26/10)+Skills!O26</f>
        <v/>
      </c>
      <c r="G1523">
        <f>Skills!G26*IF(Skills!H26&gt;0,INT(IF(Inputs!$B$38="pvp",MIN(Skills!I26,15),Skills!I26)/Skills!H26+0.000000001),1)</f>
        <v/>
      </c>
      <c r="H1523">
        <f>1-(1-Skills!J26/100)^Skills!K26</f>
        <v/>
      </c>
      <c r="I1523" t="inlineStr">
        <is>
          <t>1</t>
        </is>
      </c>
      <c r="J1523" t="inlineStr"/>
      <c r="K1523" t="inlineStr"/>
      <c r="L1523" t="inlineStr"/>
      <c r="M1523" t="inlineStr"/>
      <c r="N1523" t="inlineStr"/>
      <c r="O1523">
        <f>(1-Summary!$B$11)*T1523+Summary!$B$11*V1523</f>
        <v/>
      </c>
      <c r="P1523">
        <f>IF(B1538=0,0,O1523/B1538)</f>
        <v/>
      </c>
      <c r="Q1523" t="n">
        <v>0</v>
      </c>
      <c r="R1523" t="n">
        <v>0</v>
      </c>
      <c r="S1523">
        <f>IFERROR(O1523/N1523,0)</f>
        <v/>
      </c>
      <c r="T1523" t="n">
        <v>0</v>
      </c>
      <c r="V1523" t="n">
        <v>0</v>
      </c>
    </row>
    <row r="1524">
      <c r="A1524">
        <f>Skills!A27</f>
        <v/>
      </c>
      <c r="B1524">
        <f>Skills!B27</f>
        <v/>
      </c>
      <c r="C1524">
        <f>Inputs!$B$3&gt;=125</f>
        <v/>
      </c>
      <c r="D1524">
        <f>IF(Skills!C27=1,60+Inputs!$B$25+Inputs!$B$29,IF(Skills!C27=2,90+Inputs!$B$26+Inputs!$B$29,IF(Skills!C27=3,120+Inputs!$B$27+Inputs!$B$29,MAX(0,(Inputs!$B$3-100)*3)+Inputs!$B$28+Inputs!$B$29)))</f>
        <v/>
      </c>
      <c r="E1524">
        <f>INDEX(FactorTable!$B$2:$Y$301, MATCH(ROUND(MIN(300,MAX(1,D1524)),0), FactorTable!$A$2:$A$301,0), Skills!M27+1)</f>
        <v/>
      </c>
      <c r="F1524">
        <f>IF(Skills!N27=TRUE,(Skills!L27/10)*(E1524/1000),Skills!L27/10)+Skills!O27</f>
        <v/>
      </c>
      <c r="G1524">
        <f>Skills!G27*IF(Skills!H27&gt;0,INT(IF(Inputs!$B$38="pvp",MIN(Skills!I27,15),Skills!I27)/Skills!H27+0.000000001),1)</f>
        <v/>
      </c>
      <c r="H1524">
        <f>1-(1-Skills!J27/100)^Skills!K27</f>
        <v/>
      </c>
      <c r="I1524" t="inlineStr">
        <is>
          <t>1</t>
        </is>
      </c>
      <c r="J1524" t="inlineStr"/>
      <c r="K1524" t="inlineStr"/>
      <c r="L1524" t="inlineStr"/>
      <c r="M1524" t="inlineStr"/>
      <c r="N1524" t="inlineStr"/>
      <c r="O1524">
        <f>(1-Summary!$B$11)*T1524+Summary!$B$11*V1524</f>
        <v/>
      </c>
      <c r="P1524">
        <f>IF(B1538=0,0,O1524/B1538)</f>
        <v/>
      </c>
      <c r="Q1524" t="n">
        <v>0</v>
      </c>
      <c r="R1524" t="n">
        <v>0</v>
      </c>
      <c r="S1524">
        <f>IFERROR(O1524/N1524,0)</f>
        <v/>
      </c>
      <c r="T1524" t="n">
        <v>0</v>
      </c>
      <c r="V1524" t="n">
        <v>0</v>
      </c>
    </row>
    <row r="1525">
      <c r="A1525">
        <f>Skills!A28</f>
        <v/>
      </c>
      <c r="B1525">
        <f>Skills!B28</f>
        <v/>
      </c>
      <c r="C1525">
        <f>TRUE</f>
        <v/>
      </c>
      <c r="D1525">
        <f>IF(Skills!C28=1,60+Inputs!$B$25+Inputs!$B$29,IF(Skills!C28=2,90+Inputs!$B$26+Inputs!$B$29,IF(Skills!C28=3,120+Inputs!$B$27+Inputs!$B$29,MAX(0,(Inputs!$B$3-100)*3)+Inputs!$B$28+Inputs!$B$29)))</f>
        <v/>
      </c>
      <c r="E1525">
        <f>INDEX(FactorTable!$B$2:$Y$301, MATCH(ROUND(MIN(300,MAX(1,D1525)),0), FactorTable!$A$2:$A$301,0), Skills!M28+1)</f>
        <v/>
      </c>
      <c r="F1525">
        <f>IF(Skills!N28=TRUE,(Skills!L28/10)*(E1525/1000),Skills!L28/10)+Skills!O28</f>
        <v/>
      </c>
      <c r="G1525">
        <f>Skills!G28*IF(Skills!H28&gt;0,INT(IF(Inputs!$B$38="pvp",MIN(Skills!I28,15),Skills!I28)/Skills!H28+0.000000001),1)</f>
        <v/>
      </c>
      <c r="H1525">
        <f>1-(1-Skills!J28/100)^Skills!K28</f>
        <v/>
      </c>
      <c r="I1525" t="inlineStr">
        <is>
          <t>1</t>
        </is>
      </c>
      <c r="J1525" t="inlineStr"/>
      <c r="K1525" t="inlineStr"/>
      <c r="L1525" t="inlineStr"/>
      <c r="M1525" t="inlineStr"/>
      <c r="N1525" t="inlineStr"/>
      <c r="O1525">
        <f>(1-Summary!$B$11)*T1525+Summary!$B$11*V1525</f>
        <v/>
      </c>
      <c r="P1525">
        <f>IF(B1538=0,0,O1525/B1538)</f>
        <v/>
      </c>
      <c r="Q1525">
        <f>IFERROR(1/(IF(Inputs!$B$38="pvp",15,MAX(0.1,Skills!D28-IF(TRUE=TRUE,Inputs!$B$32,0)))*(1-IF(AND(ArtifactsInput!$M$27,Inputs!$B$4="Chapter Hunt"),CHOOSE(ArtifactsInput!$N$27+1,20,24,28,32,36,40),0)/100)),0)</f>
        <v/>
      </c>
      <c r="R1525">
        <f>IF(AND(Inputs!$B$38&lt;&gt;"pvp",Inputs!$B$43&gt;0),IF(Inputs!$B$43&lt;=0,0,(INT(Inputs!$B$43/(IF(Inputs!$B$38="pvp",15,MAX(0.1,Skills!D28-IF(TRUE=TRUE,Inputs!$B$32,0)))*(1-IF(AND(ArtifactsInput!$M$27,Inputs!$B$4="Chapter Hunt"),CHOOSE(ArtifactsInput!$N$27+1,20,24,28,32,36,40),0)/100)))+1)),0)</f>
        <v/>
      </c>
      <c r="S1525">
        <f>IFERROR(O1525/N1525,0)</f>
        <v/>
      </c>
      <c r="T1525" t="n">
        <v>0</v>
      </c>
      <c r="V1525" t="n">
        <v>0</v>
      </c>
    </row>
    <row r="1527">
      <c r="A1527" t="inlineStr">
        <is>
          <t>Attack% Bucket Multiplier</t>
        </is>
      </c>
      <c r="B1527">
        <f>(1+(((C1514=TRUE)*F1514*5/7)+((C1521=TRUE)*(F1521-Calc!F24))+(IF(ArtifactsInput!$M$21,CHOOSE(ArtifactsInput!$N$21+1,25,30,35,40,45,50)*(IF(OR(Inputs!$B$4="Chapter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528">
      <c r="A1528" t="inlineStr">
        <is>
          <t>Global Crit Rate Bonus %</t>
        </is>
      </c>
      <c r="B1528" t="n">
        <v>0</v>
      </c>
    </row>
    <row r="1529">
      <c r="A1529" t="inlineStr">
        <is>
          <t>Attack Speed Buff Bonus % (Nimble Feet, duty-cycle averaged)</t>
        </is>
      </c>
      <c r="B1529">
        <f>((C1525=TRUE)*F1525*IF(AND(Inputs!$B$38&lt;&gt;"pvp",Inputs!$B$43&gt;0),(((R1525-1)*MIN((Skills!T28*(1+Inputs!$B$34/100)),(1/Q1525))+MIN((Skills!T28*(1+Inputs!$B$34/100)),MAX(0,Inputs!$B$43-((R1525-1)*(1/Q1525)))))/Inputs!$B$43),IF(Inputs!$B$38="pvp",MIN((Skills!T28*(1+Inputs!$B$34/100)),15)/15,MIN(1,(Skills!T28*(1+Inputs!$B$34/100))/(1/Q1525)))))</f>
        <v/>
      </c>
    </row>
    <row r="1530">
      <c r="A1530" t="inlineStr">
        <is>
          <t>Actions Per Second</t>
        </is>
      </c>
      <c r="B1530">
        <f>1+MIN(150,150*(1-(1-(Inputs!$B$11+((C1517=TRUE)*(F1517-Calc!F20))+((C1518=TRUE)*(F1518-Calc!F21)))/150)*(1-B1529/150)))/100</f>
        <v/>
      </c>
    </row>
    <row r="1531">
      <c r="A1531" t="inlineStr">
        <is>
          <t>Skill + Buff Cast Rate</t>
        </is>
      </c>
      <c r="B1531">
        <f>IF(AND(Inputs!$B$38&lt;&gt;"pvp",Inputs!$B$43&gt;0),SUMPRODUCT((Skills!E2:E28=TRUE)*(C1499:C1525=TRUE)*R1499:R1525*Skills!F2:F28)/Inputs!$B$43,SUMPRODUCT((Skills!E2:E28=TRUE)*(C1499:C1525=TRUE)*Q1499:Q1525*Skills!F2:F28))</f>
        <v/>
      </c>
    </row>
    <row r="1532">
      <c r="A1532" t="inlineStr">
        <is>
          <t>Eight-Legs Easton Casts Per Second</t>
        </is>
      </c>
      <c r="B1532">
        <f>MAX(0,B1530-B1531)</f>
        <v/>
      </c>
    </row>
    <row r="1533">
      <c r="A1533" t="inlineStr">
        <is>
          <t>Global Critical Damage Bonus % (unused)</t>
        </is>
      </c>
      <c r="B1533" t="n">
        <v>0</v>
      </c>
    </row>
    <row r="1534">
      <c r="A1534" t="inlineStr">
        <is>
          <t>Global Final Damage Bonus % (Jolly Roger + Ahoy Mateys - Final Damage proc)</t>
        </is>
      </c>
      <c r="B1534">
        <f>((C1515=TRUE)*F1515*IF(AND(Inputs!$B$38&lt;&gt;"pvp",Inputs!$B$43&gt;0),(((R1515-1)*MIN((Skills!T18*(1+Inputs!$B$34/100)),(1/Q1515))+MIN((Skills!T18*(1+Inputs!$B$34/100)),MAX(0,Inputs!$B$43-((R1515-1)*(1/Q1515)))))/Inputs!$B$43),IF(Inputs!$B$38="pvp",MIN((Skills!T18*(1+Inputs!$B$34/100)),15)/15,MIN(1,(Skills!T18*(1+Inputs!$B$34/100))/(1/Q1515)))))+IF(Inputs!$B$3&gt;=122,20*IF(Inputs!$B$38="pvp",MIN((20*(1+Inputs!$B$34/100)),15)/15,MIN(1,(20*(1+Inputs!$B$34/100))/(1/Q1501))),0)</f>
        <v/>
      </c>
    </row>
    <row r="1535">
      <c r="A1535" t="inlineStr">
        <is>
          <t>Buff-Casting Startup Delay (s, fixed-duration only)</t>
        </is>
      </c>
      <c r="B1535">
        <f>IF(AND(Inputs!$B$38&lt;&gt;"pvp",Inputs!$B$43&gt;0),SUMPRODUCT((Skills!T2:T28&gt;0)*(Skills!E2:E28=TRUE)*(C1499:C1525=TRUE))/B1530,0)</f>
        <v/>
      </c>
    </row>
    <row r="1536">
      <c r="A1536" t="inlineStr">
        <is>
          <t>Boss-Only Total DPS (this block's swept value)</t>
        </is>
      </c>
      <c r="B1536">
        <f>SUM(T1499:T1525)</f>
        <v/>
      </c>
    </row>
    <row r="1537">
      <c r="A1537" t="inlineStr">
        <is>
          <t>Normal-Only Total DPS (this block's swept value)</t>
        </is>
      </c>
      <c r="B1537">
        <f>SUM(V1499:V1525)</f>
        <v/>
      </c>
    </row>
    <row r="1538">
      <c r="A1538" s="6" t="inlineStr">
        <is>
          <t>TOTAL DPS</t>
        </is>
      </c>
      <c r="B1538" s="6">
        <f>SUM(O1499:O1525)</f>
        <v/>
      </c>
    </row>
    <row r="1539">
      <c r="A1539" t="inlineStr">
        <is>
          <t>Quickdraw cooldown divisor (this block's own APS / Q)</t>
        </is>
      </c>
      <c r="B1539">
        <f>IF(AND(C1524=TRUE,Inputs!$B$38&lt;&gt;"pvp"),1+0.25*MAX(0,(B1530-(((C1500=TRUE)*Q1500*1)+((C1501=TRUE)*Q1501*1)+((C1503=TRUE)*Q1503*1)+((C1504=TRUE)*Q1504*1)+((C1506=TRUE)*Q1506*1)+((C1509=TRUE)*Q1509*1)+((C1515=TRUE)*Q1515*1)+((C1525=TRUE)*Q1525*1))-((C1505=TRUE)/(IF(Inputs!$B$38="pvp",15,MAX(0.1,Skills!D8-IF(TRUE=TRUE,Inputs!$B$32,0)))*(1-IF(AND(ArtifactsInput!$M$27,Inputs!$B$4="Chapter Hunt"),CHOOSE(ArtifactsInput!$N$27+1,20,24,28,32,36,40),0)/100))+(C1508=TRUE)/(IF(Inputs!$B$38="pvp",15,MAX(0.1,Skills!D11-IF(TRUE=TRUE,Inputs!$B$32,0)))*(1-IF(AND(ArtifactsInput!$M$27,Inputs!$B$4="Chapter Hunt"),CHOOSE(ArtifactsInput!$N$27+1,20,24,28,32,36,40),0)/100))))/(1+0.25*((C1505=TRUE)/(IF(Inputs!$B$38="pvp",15,MAX(0.1,Skills!D8-IF(TRUE=TRUE,Inputs!$B$32,0)))*(1-IF(AND(ArtifactsInput!$M$27,Inputs!$B$4="Chapter Hunt"),CHOOSE(ArtifactsInput!$N$27+1,20,24,28,32,36,40),0)/100))+(C1508=TRUE)/(IF(Inputs!$B$38="pvp",15,MAX(0.1,Skills!D11-IF(TRUE=TRUE,Inputs!$B$32,0)))*(1-IF(AND(ArtifactsInput!$M$27,Inputs!$B$4="Chapter Hunt"),CHOOSE(ArtifactsInput!$N$27+1,20,24,28,32,36,40),0)/100))))),1)</f>
        <v/>
      </c>
    </row>
    <row r="1540">
      <c r="A1540" t="inlineStr">
        <is>
          <t>Nautilus Strike - Final Attack trigger rate (this block's own Q/R)</t>
        </is>
      </c>
      <c r="B1540">
        <f>IF(AND(Inputs!$B$38&lt;&gt;"pvp",Inputs!$B$43&gt;0),(((C1500=TRUE)*R1500)+((C1503=TRUE)*R1503)+((C1505=TRUE)*R1505)+((C1506=TRUE)*R1506)+((C1508=TRUE)*R1508))/Inputs!$B$43,((C1500=TRUE)*Q1500)+((C1503=TRUE)*Q1503)+((C1505=TRUE)*Q1505)+((C1506=TRUE)*Q1506)+((C1508=TRUE)*Q1508))+B1532</f>
        <v/>
      </c>
    </row>
    <row r="1543">
      <c r="A1543" s="6" t="inlineStr">
        <is>
          <t>Stat: Arwen's Glass Shoes (Equip)</t>
        </is>
      </c>
    </row>
    <row r="1544">
      <c r="A1544" s="5" t="inlineStr">
        <is>
          <t>Key</t>
        </is>
      </c>
      <c r="B1544" s="5" t="inlineStr">
        <is>
          <t>Name</t>
        </is>
      </c>
      <c r="C1544" s="5" t="inlineStr">
        <is>
          <t>Unlocked</t>
        </is>
      </c>
      <c r="D1544" s="5" t="inlineStr">
        <is>
          <t>InputLevel</t>
        </is>
      </c>
      <c r="E1544" s="5" t="inlineStr">
        <is>
          <t>Factor</t>
        </is>
      </c>
      <c r="F1544" s="5" t="inlineStr">
        <is>
          <t>CoefficientPercent</t>
        </is>
      </c>
      <c r="G1544" s="5" t="inlineStr">
        <is>
          <t>EffectiveHits</t>
        </is>
      </c>
      <c r="H1544" s="5" t="inlineStr">
        <is>
          <t>ProcProbability</t>
        </is>
      </c>
      <c r="I1544" s="5" t="inlineStr">
        <is>
          <t>MapleHeroMultiplier</t>
        </is>
      </c>
      <c r="J1544" s="5" t="inlineStr">
        <is>
          <t>BaseDamage</t>
        </is>
      </c>
      <c r="K1544" s="5" t="inlineStr">
        <is>
          <t>BaseHitDamage</t>
        </is>
      </c>
      <c r="L1544" s="5" t="inlineStr">
        <is>
          <t>NonCritAvg</t>
        </is>
      </c>
      <c r="M1544" s="5" t="inlineStr">
        <is>
          <t>CritAvg</t>
        </is>
      </c>
      <c r="N1544" s="5" t="inlineStr">
        <is>
          <t>ExpectedDamage(perHit)</t>
        </is>
      </c>
      <c r="O1544" s="5" t="inlineStr">
        <is>
          <t>DPS</t>
        </is>
      </c>
      <c r="P1544" s="5" t="inlineStr">
        <is>
          <t>% of Total</t>
        </is>
      </c>
      <c r="Q1544" s="5" t="inlineStr">
        <is>
          <t>InvCooldown</t>
        </is>
      </c>
      <c r="R1544" s="5" t="inlineStr">
        <is>
          <t>CastsInFight</t>
        </is>
      </c>
      <c r="S1544" s="5" t="inlineStr">
        <is>
          <t>HitRate(perSec)</t>
        </is>
      </c>
      <c r="U1544" t="inlineStr">
        <is>
          <t>helpers</t>
        </is>
      </c>
    </row>
    <row r="1545">
      <c r="A1545">
        <f>Skills!A2</f>
        <v/>
      </c>
      <c r="B1545">
        <f>Skills!B2</f>
        <v/>
      </c>
      <c r="C1545">
        <f>Inputs!$B$3&gt;=100</f>
        <v/>
      </c>
      <c r="D1545" t="inlineStr"/>
      <c r="E1545" t="inlineStr"/>
      <c r="F1545">
        <f>U1547+Skills!O2</f>
        <v/>
      </c>
      <c r="G1545">
        <f>Skills!G2*IF(Skills!H2&gt;0,INT(IF(Inputs!$B$38="pvp",MIN(Skills!I2,15),Skills!I2)/Skills!H2+0.000000001),1)</f>
        <v/>
      </c>
      <c r="H1545">
        <f>1-(1-Skills!J2/100)^Skills!K2</f>
        <v/>
      </c>
      <c r="I1545" t="inlineStr">
        <is>
          <t>1</t>
        </is>
      </c>
      <c r="J1545">
        <f>((Inputs!$B$6*(1+Inputs!$B$7/100))+(((Inputs!$B$12*(1+Inputs!$B$13/100))-(Inputs!$B$12*(1+Inputs!$B$13/100)))+0.25*(Inputs!$B$14-Inputs!$B$14))*(1+Inputs!$B$7/100))*(F1545/100)</f>
        <v/>
      </c>
      <c r="K1545">
        <f>J1545*(1+((Inputs!$B$12*(1+Inputs!$B$13/100))*0.01+Inputs!$B$14*0.0025)/100)*(1+Inputs!$B$15/100)*(1+Inputs!$B$16/100)*(5000/(6000+Inputs!$B$42*(1-(100*(1-(1-(Inputs!$B$19+0)/100)*(1-CHOOSE(ArtifactsInput!$N$40+1,5,6,7,8,9,10)/100)^(ArtifactsInput!$M$40-ArtifactsInput!$M$40)))/100)))*(1+(Inputs!$B$24+((C1569=TRUE)*(F1569-Calc!F26))+B1580)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IGHT_LEGS_EASTON",Inputs!$B$17+((C1566=TRUE)*(F1566-Calc!F23))+((C1570=TRUE)*(F1570-Calc!F27))+((IF(AND(Inputs!$B$38&lt;&gt;"pvp",Inputs!$B$43=0),1,IF(IF(Inputs!$B$38="pvp",15,Inputs!$B$43)-(B1581)&lt;=0,1,MAX(0,IF(Inputs!$B$38="pvp",15,Inputs!$B$43)-MAX(5,B1581))/(IF(Inputs!$B$38="pvp",15,Inputs!$B$43)-(B1581))))*(IF(AND(ArtifactsInput!$M$42,((Inputs!$B$9+((C1562=TRUE)*(F1562-Calc!F19))+B1574+(ArtifactsInput!$M$24-ArtifactsInput!$M$24)*CHOOSE(ArtifactsInput!$N$24+1,10,12,14,16,18,20)+IF(ArtifactsInput!$M$10,CHOOSE(ArtifactsInput!$N$10+1,15,18,21,24,27,30)*(IF(Inputs!$B$38="pvp",MIN(15,15)/15,IF(AND(Inputs!$B$38&lt;&gt;"pvp",Inputs!$B$43&gt;0),MIN(15,Inputs!$B$43)/(Inputs!$B$43),0))),0)))&gt;=100),MIN(100,((Inputs!$B$9+((C1562=TRUE)*(F1562-Calc!F19))+B1574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1581)&lt;=0,1,MAX(0,IF(Inputs!$B$38="pvp",15,Inputs!$B$43)-MAX(5,B1581))/(IF(Inputs!$B$38="pvp",15,Inputs!$B$43)-(B1581))))*IF(AND(ArtifactsInput!$M$42,((Inputs!$B$9+((C1562=TRUE)*(F1562-Calc!F19))+B1574+(ArtifactsInput!$M$24-ArtifactsInput!$M$24)*CHOOSE(ArtifactsInput!$N$24+1,10,12,14,16,18,20)+IF(ArtifactsInput!$M$10,CHOOSE(ArtifactsInput!$N$10+1,15,18,21,24,27,30)*(IF(Inputs!$B$38="pvp",MIN(15,15)/15,IF(AND(Inputs!$B$38&lt;&gt;"pvp",Inputs!$B$43&gt;0),MIN(15,Inputs!$B$43)/(Inputs!$B$43),0))),0)))&gt;=100),CHOOSE(ArtifactsInput!$N$42+1,40,48,56,64,72,80),0))))/100)*((1+(((C1560=TRUE)*F1560*5/7)+((C1567=TRUE)*(F1567-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1545)</f>
        <v/>
      </c>
      <c r="L1545">
        <f>K1545*(MIN(Inputs!$B$22+((C1565=TRUE)*(F1565-Calc!F22)),(Inputs!$B$23+0+(IF(ArtifactsInput!$M$15,CHOOSE(ArtifactsInput!$N$15+1,25,30,35,40,45,50)/100*(Inputs!$B$11-Inputs!$B$11),0))))/100+(Inputs!$B$23+0+(IF(ArtifactsInput!$M$15,CHOOSE(ArtifactsInput!$N$15+1,25,30,35,40,45,50)/100*(Inputs!$B$11-Inputs!$B$11),0)))/100)/2</f>
        <v/>
      </c>
      <c r="M1545">
        <f>L1545*(1+(Inputs!$B$10+((C1568=TRUE)*(F1568-Calc!F25))+B1579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45">
        <f>L1545*(1-MIN((Inputs!$B$9+((C1562=TRUE)*(F1562-Calc!F19))+B1574+(ArtifactsInput!$M$24-ArtifactsInput!$M$24)*CHOOSE(ArtifactsInput!$N$24+1,10,12,14,16,18,20)+(IF(AND(Inputs!$B$38&lt;&gt;"pvp",Inputs!$B$43=0),1,IF(IF(Inputs!$B$38="pvp",15,Inputs!$B$43)-(B1581)&lt;=0,1,MAX(0,IF(Inputs!$B$38="pvp",15,Inputs!$B$43)-MAX(5,B1581))/(IF(Inputs!$B$38="pvp",15,Inputs!$B$43)-(B1581))))*IF(AND(ArtifactsInput!$M$42,((Inputs!$B$9+((C1562=TRUE)*(F1562-Calc!F19))+B1574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1545*(MIN((Inputs!$B$9+((C1562=TRUE)*(F1562-Calc!F19))+B1574+(ArtifactsInput!$M$24-ArtifactsInput!$M$24)*CHOOSE(ArtifactsInput!$N$24+1,10,12,14,16,18,20)+(IF(AND(Inputs!$B$38&lt;&gt;"pvp",Inputs!$B$43=0),1,IF(IF(Inputs!$B$38="pvp",15,Inputs!$B$43)-(B1581)&lt;=0,1,MAX(0,IF(Inputs!$B$38="pvp",15,Inputs!$B$43)-MAX(5,B1581))/(IF(Inputs!$B$38="pvp",15,Inputs!$B$43)-(B1581))))*IF(AND(ArtifactsInput!$M$42,((Inputs!$B$9+((C1562=TRUE)*(F1562-Calc!F19))+B1574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45">
        <f>(1-Summary!$B$11)*T1545+Summary!$B$11*V1545</f>
        <v/>
      </c>
      <c r="P1545">
        <f>IF(B1584=0,0,O1545/B1584)</f>
        <v/>
      </c>
      <c r="Q1545" t="n">
        <v>0</v>
      </c>
      <c r="R1545" t="n">
        <v>0</v>
      </c>
      <c r="S1545">
        <f>IFERROR(O1545/N1545,0)</f>
        <v/>
      </c>
      <c r="T1545">
        <f>IF(C1545,(Skills!G2*N1545*B1578*(1+IF(C1570=TRUE,1/3,0)))*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Hunt"),CHOOSE(ArtifactsInput!$N$35+1,15,18,21,24,27,30)*(1-EXP(-(0.2*B1576)*5)),0)+IF(AND(ArtifactsInput!$M$22,Inputs!$B$4&lt;&gt;"Chapter Hunt"),CHOOSE(ArtifactsInput!$N$22+1,10,12,14,16,18,20)*((0*(((0.15*B1576*5))^0/1)+1*(((0.15*B1576*5))^1/1)+2*(((0.15*B1576*5))^2/2)+3*(((0.15*B1576*5))^3/6)+4*(((0.15*B1576*5))^4/24)+5*(((0.15*B1576*5))^5/120))/((((0.15*B1576*5))^0/1)+(((0.15*B1576*5))^1/1)+(((0.15*B1576*5))^2/2)+(((0.15*B1576*5))^3/6)+(((0.15*B1576*5))^4/24)+(((0.15*B1576*5))^5/120))),0))+IF(Inputs!$B$3&gt;=54,9*(C1546=TRUE)*MIN(1,8*(1+Inputs!$B$34/100)*Q1546)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1545*(1-MIN(100,(Inputs!$B$9+((C1562=TRUE)*(F1562-Calc!F19))+B1574+(ArtifactsInput!$M$24-ArtifactsInput!$M$24)*CHOOSE(ArtifactsInput!$N$24+1,10,12,14,16,18,20)+(IF(AND(Inputs!$B$38&lt;&gt;"pvp",Inputs!$B$43=0),1,IF(IF(Inputs!$B$38="pvp",15,Inputs!$B$43)-(B1581)&lt;=0,1,MAX(0,IF(Inputs!$B$38="pvp",15,Inputs!$B$43)-MAX(5,B1581))/(IF(Inputs!$B$38="pvp",15,Inputs!$B$43)-(B1581))))*IF(AND(ArtifactsInput!$M$42,((Inputs!$B$9+((C1562=TRUE)*(F1562-Calc!F19))+B1574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1545*(MIN(100,(Inputs!$B$9+((C1562=TRUE)*(F1562-Calc!F19))+B1574+(ArtifactsInput!$M$24-ArtifactsInput!$M$24)*CHOOSE(ArtifactsInput!$N$24+1,10,12,14,16,18,20)+(IF(AND(Inputs!$B$38&lt;&gt;"pvp",Inputs!$B$43=0),1,IF(IF(Inputs!$B$38="pvp",15,Inputs!$B$43)-(B1581)&lt;=0,1,MAX(0,IF(Inputs!$B$38="pvp",15,Inputs!$B$43)-MAX(5,B1581))/(IF(Inputs!$B$38="pvp",15,Inputs!$B$43)-(B1581))))*IF(AND(ArtifactsInput!$M$42,((Inputs!$B$9+((C1562=TRUE)*(F1562-Calc!F19))+B1574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1545*(1-MIN(100,(Inputs!$B$9+((C1562=TRUE)*(F1562-Calc!F19))+B1574+(ArtifactsInput!$M$24-ArtifactsInput!$M$24)*CHOOSE(ArtifactsInput!$N$24+1,10,12,14,16,18,20)+(IF(AND(Inputs!$B$38&lt;&gt;"pvp",Inputs!$B$43=0),1,IF(IF(Inputs!$B$38="pvp",15,Inputs!$B$43)-(B1581)&lt;=0,1,MAX(0,IF(Inputs!$B$38="pvp",15,Inputs!$B$43)-MAX(5,B1581))/(IF(Inputs!$B$38="pvp",15,Inputs!$B$43)-(B1581))))*IF(AND(ArtifactsInput!$M$42,((Inputs!$B$9+((C1562=TRUE)*(F1562-Calc!F19))+B1574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1545*(MIN(100,(Inputs!$B$9+((C1562=TRUE)*(F1562-Calc!F19))+B1574+(ArtifactsInput!$M$24-ArtifactsInput!$M$24)*CHOOSE(ArtifactsInput!$N$24+1,10,12,14,16,18,20)+(IF(AND(Inputs!$B$38&lt;&gt;"pvp",Inputs!$B$43=0),1,IF(IF(Inputs!$B$38="pvp",15,Inputs!$B$43)-(B1581)&lt;=0,1,MAX(0,IF(Inputs!$B$38="pvp",15,Inputs!$B$43)-MAX(5,B1581))/(IF(Inputs!$B$38="pvp",15,Inputs!$B$43)-(B1581))))*IF(AND(ArtifactsInput!$M$42,((Inputs!$B$9+((C1562=TRUE)*(F1562-Calc!F19))+B1574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545">
        <f>MAX(0,(Inputs!$B$3-100)*3)+Inputs!$B$28+Inputs!$B$29</f>
        <v/>
      </c>
      <c r="V1545">
        <f>IF(C1545,(Skills!G2*N1545*B1578*(1+IF(C1570=TRUE,1/3,0)))*IF(Inputs!$B$38="pvp",1,(1+(Inputs!$B$21+Skills!Q2+(IF(ArtifactsInput!$M$33,CHOOSE(ArtifactsInput!$N$33+1,30,36,42,48,54,60),0))+(IF(AND(ArtifactsInput!$M$35,Inputs!$B$4&lt;&gt;"Chapter Hunt"),CHOOSE(ArtifactsInput!$N$35+1,15,18,21,24,27,30)*(1-EXP(-(0.2*B1576)*5)),0)+IF(AND(ArtifactsInput!$M$22,Inputs!$B$4&lt;&gt;"Chapter Hunt"),CHOOSE(ArtifactsInput!$N$22+1,10,12,14,16,18,20)*((0*(((0.15*B1576*5))^0/1)+1*(((0.15*B1576*5))^1/1)+2*(((0.15*B1576*5))^2/2)+3*(((0.15*B1576*5))^3/6)+4*(((0.15*B1576*5))^4/24)+5*(((0.15*B1576*5))^5/120))/((((0.15*B1576*5))^0/1)+(((0.15*B1576*5))^1/1)+(((0.15*B1576*5))^2/2)+(((0.15*B1576*5))^3/6)+(((0.15*B1576*5))^4/24)+(((0.15*B1576*5))^5/120))),0))+IF(Inputs!$B$3&gt;=54,9*(C1546=TRUE)*MIN(1,8*(1+Inputs!$B$34/100)*Q1546),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46">
      <c r="A1546">
        <f>Skills!A3</f>
        <v/>
      </c>
      <c r="B1546">
        <f>Skills!B3</f>
        <v/>
      </c>
      <c r="C1546">
        <f>Inputs!$B$3&gt;=33</f>
        <v/>
      </c>
      <c r="D1546">
        <f>IF(Skills!C3=1,60+Inputs!$B$25+Inputs!$B$29,IF(Skills!C3=2,90+Inputs!$B$26+Inputs!$B$29,IF(Skills!C3=3,120+Inputs!$B$27+Inputs!$B$29,MAX(0,(Inputs!$B$3-100)*3)+Inputs!$B$28+Inputs!$B$29)))</f>
        <v/>
      </c>
      <c r="E1546">
        <f>INDEX(FactorTable!$B$2:$Y$301, MATCH(ROUND(MIN(300,MAX(1,D1546)),0), FactorTable!$A$2:$A$301,0), Skills!M3+1)</f>
        <v/>
      </c>
      <c r="F1546">
        <f>IF(Skills!N3=TRUE,(Skills!L3/10)*(E1546/1000),Skills!L3/10)+Skills!O3</f>
        <v/>
      </c>
      <c r="G1546">
        <f>Skills!G3*IF(Skills!H3&gt;0,INT(IF(Inputs!$B$38="pvp",MIN(Skills!I3,15),Skills!I3)/Skills!H3+0.000000001),1)</f>
        <v/>
      </c>
      <c r="H1546">
        <f>1-(1-Skills!J3/100)^Skills!K3</f>
        <v/>
      </c>
      <c r="I1546" t="inlineStr">
        <is>
          <t>1</t>
        </is>
      </c>
      <c r="J1546">
        <f>((Inputs!$B$6*(1+Inputs!$B$7/100))+(((Inputs!$B$12*(1+Inputs!$B$13/100))-(Inputs!$B$12*(1+Inputs!$B$13/100)))+0.25*(Inputs!$B$14-Inputs!$B$14))*(1+Inputs!$B$7/100))*(F1546/100)</f>
        <v/>
      </c>
      <c r="K1546">
        <f>J1546*(1+((Inputs!$B$12*(1+Inputs!$B$13/100))*0.01+Inputs!$B$14*0.0025)/100)*(1+Inputs!$B$15/100)*(1+Inputs!$B$16/100)*(5000/(6000+Inputs!$B$42*(1-(100*(1-(1-(Inputs!$B$19+0)/100)*(1-CHOOSE(ArtifactsInput!$N$40+1,5,6,7,8,9,10)/100)^(ArtifactsInput!$M$40-ArtifactsInput!$M$40)))/100)))*(1+(Inputs!$B$24+((C1569=TRUE)*(F1569-Calc!F26))+B1580)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1558=TRUE,F1558,0)/100)*(1+(IF(Skills!A3="EIGHT_LEGS_EASTON",Inputs!$B$17+((C1566=TRUE)*(F1566-Calc!F23))+((C1570=TRUE)*(F1570-Calc!F27))+((IF(AND(Inputs!$B$38&lt;&gt;"pvp",Inputs!$B$43=0),1,IF(IF(Inputs!$B$38="pvp",15,Inputs!$B$43)-(B1581)&lt;=0,1,MAX(0,IF(Inputs!$B$38="pvp",15,Inputs!$B$43)-MAX(5,B1581))/(IF(Inputs!$B$38="pvp",15,Inputs!$B$43)-(B1581))))*(IF(AND(ArtifactsInput!$M$42,((Inputs!$B$9+((C1562=TRUE)*(F1562-Calc!F19))+B1574+(ArtifactsInput!$M$24-ArtifactsInput!$M$24)*CHOOSE(ArtifactsInput!$N$24+1,10,12,14,16,18,20)+IF(ArtifactsInput!$M$10,CHOOSE(ArtifactsInput!$N$10+1,15,18,21,24,27,30)*(IF(Inputs!$B$38="pvp",MIN(15,15)/15,IF(AND(Inputs!$B$38&lt;&gt;"pvp",Inputs!$B$43&gt;0),MIN(15,Inputs!$B$43)/(Inputs!$B$43),0))),0)))&gt;=100),MIN(100,((Inputs!$B$9+((C1562=TRUE)*(F1562-Calc!F19))+B1574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1581)&lt;=0,1,MAX(0,IF(Inputs!$B$38="pvp",15,Inputs!$B$43)-MAX(5,B1581))/(IF(Inputs!$B$38="pvp",15,Inputs!$B$43)-(B1581))))*IF(AND(ArtifactsInput!$M$42,((Inputs!$B$9+((C1562=TRUE)*(F1562-Calc!F19))+B1574+(ArtifactsInput!$M$24-ArtifactsInput!$M$24)*CHOOSE(ArtifactsInput!$N$24+1,10,12,14,16,18,20)+IF(ArtifactsInput!$M$10,CHOOSE(ArtifactsInput!$N$10+1,15,18,21,24,27,30)*(IF(Inputs!$B$38="pvp",MIN(15,15)/15,IF(AND(Inputs!$B$38&lt;&gt;"pvp",Inputs!$B$43&gt;0),MIN(15,Inputs!$B$43)/(Inputs!$B$43),0))),0)))&gt;=100),CHOOSE(ArtifactsInput!$N$42+1,40,48,56,64,72,80),0))))/100)*((1+(((C1560=TRUE)*F1560*5/7)+((C1567=TRUE)*(F1567-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1546)</f>
        <v/>
      </c>
      <c r="L1546">
        <f>K1546*(MIN(Inputs!$B$22+((C1565=TRUE)*(F1565-Calc!F22)),(Inputs!$B$23+0+(IF(ArtifactsInput!$M$15,CHOOSE(ArtifactsInput!$N$15+1,25,30,35,40,45,50)/100*(Inputs!$B$11-Inputs!$B$11),0))))/100+(Inputs!$B$23+0+(IF(ArtifactsInput!$M$15,CHOOSE(ArtifactsInput!$N$15+1,25,30,35,40,45,50)/100*(Inputs!$B$11-Inputs!$B$11),0)))/100)/2</f>
        <v/>
      </c>
      <c r="M1546">
        <f>L1546*(1+(Inputs!$B$10+((C1568=TRUE)*(F1568-Calc!F25))+B1579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46">
        <f>L1546*(1-MIN((Inputs!$B$9+((C1562=TRUE)*(F1562-Calc!F19))+B1574+(ArtifactsInput!$M$24-ArtifactsInput!$M$24)*CHOOSE(ArtifactsInput!$N$24+1,10,12,14,16,18,20)+(IF(AND(Inputs!$B$38&lt;&gt;"pvp",Inputs!$B$43=0),1,IF(IF(Inputs!$B$38="pvp",15,Inputs!$B$43)-(B1581)&lt;=0,1,MAX(0,IF(Inputs!$B$38="pvp",15,Inputs!$B$43)-MAX(5,B1581))/(IF(Inputs!$B$38="pvp",15,Inputs!$B$43)-(B1581))))*IF(AND(ArtifactsInput!$M$42,((Inputs!$B$9+((C1562=TRUE)*(F1562-Calc!F19))+B1574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1546*(MIN((Inputs!$B$9+((C1562=TRUE)*(F1562-Calc!F19))+B1574+(ArtifactsInput!$M$24-ArtifactsInput!$M$24)*CHOOSE(ArtifactsInput!$N$24+1,10,12,14,16,18,20)+(IF(AND(Inputs!$B$38&lt;&gt;"pvp",Inputs!$B$43=0),1,IF(IF(Inputs!$B$38="pvp",15,Inputs!$B$43)-(B1581)&lt;=0,1,MAX(0,IF(Inputs!$B$38="pvp",15,Inputs!$B$43)-MAX(5,B1581))/(IF(Inputs!$B$38="pvp",15,Inputs!$B$43)-(B1581))))*IF(AND(ArtifactsInput!$M$42,((Inputs!$B$9+((C1562=TRUE)*(F1562-Calc!F19))+B1574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46">
        <f>(1-Summary!$B$11)*T1546+Summary!$B$11*V1546</f>
        <v/>
      </c>
      <c r="P1546">
        <f>IF(B1584=0,0,O1546/B1584)</f>
        <v/>
      </c>
      <c r="Q1546">
        <f>IFERROR(1/(IF(Inputs!$B$38="pvp",15,MAX(0.1,Skills!D3-IF(TRUE=TRUE,Inputs!$B$32,0)))*(1-IF(AND(ArtifactsInput!$M$27,Inputs!$B$4="Chapter Hunt"),CHOOSE(ArtifactsInput!$N$27+1,20,24,28,32,36,40),0)/100)),0)</f>
        <v/>
      </c>
      <c r="R1546">
        <f>IF(AND(Inputs!$B$38&lt;&gt;"pvp",Inputs!$B$43&gt;0),IF(MAX(0,Inputs!$B$43-B1581)&lt;=0,0,(INT(MAX(0,Inputs!$B$43-B1581)/(IF(Inputs!$B$38="pvp",15,MAX(0.1,Skills!D3-IF(TRUE=TRUE,Inputs!$B$32,0)))*(1-IF(AND(ArtifactsInput!$M$27,Inputs!$B$4="Chapter Hunt"),CHOOSE(ArtifactsInput!$N$27+1,20,24,28,32,36,40),0)/100)))+1)),0)</f>
        <v/>
      </c>
      <c r="S1546">
        <f>IFERROR(O1546/N1546,0)</f>
        <v/>
      </c>
      <c r="T1546">
        <f>IF(C1546,(H1546*N1546*IF(AND(Inputs!$B$38&lt;&gt;"pvp",Inputs!$B$43&gt;0),((Skills!G3*((R1546-1)*IF(Skills!H3&gt;0,INT(Skills!I3/Skills!H3+0.000000001),1)+IF(Skills!H3&gt;0,INT(MIN(Skills!I3,MAX(0,MAX(0,Inputs!$B$43-B1581)-((R1546-1)*(IF(Inputs!$B$38="pvp",15,MAX(0.1,Skills!D3-IF(TRUE=TRUE,Inputs!$B$32,0)))*(1-IF(AND(ArtifactsInput!$M$27,Inputs!$B$4="Chapter Hunt"),CHOOSE(ArtifactsInput!$N$27+1,20,24,28,32,36,40),0)/100)))))/Skills!H3+0.000000001),1)))/Inputs!$B$43),G1546*Q1546))*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Hunt"),CHOOSE(ArtifactsInput!$N$35+1,15,18,21,24,27,30)*(1-EXP(-(0.2*B1576)*5)),0)+IF(AND(ArtifactsInput!$M$22,Inputs!$B$4&lt;&gt;"Chapter Hunt"),CHOOSE(ArtifactsInput!$N$22+1,10,12,14,16,18,20)*((0*(((0.15*B1576*5))^0/1)+1*(((0.15*B1576*5))^1/1)+2*(((0.15*B1576*5))^2/2)+3*(((0.15*B1576*5))^3/6)+4*(((0.15*B1576*5))^4/24)+5*(((0.15*B1576*5))^5/120))/((((0.15*B1576*5))^0/1)+(((0.15*B1576*5))^1/1)+(((0.15*B1576*5))^2/2)+(((0.15*B1576*5))^3/6)+(((0.15*B1576*5))^4/24)+(((0.15*B1576*5))^5/120))),0))+IF(Inputs!$B$3&gt;=54,9*(C1546=TRUE)*MIN(1,8*(1+Inputs!$B$34/100)*Q1546)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1546*(1-MIN(100,(Inputs!$B$9+((C1562=TRUE)*(F1562-Calc!F19))+B1574+(ArtifactsInput!$M$24-ArtifactsInput!$M$24)*CHOOSE(ArtifactsInput!$N$24+1,10,12,14,16,18,20)+(IF(AND(Inputs!$B$38&lt;&gt;"pvp",Inputs!$B$43=0),1,IF(IF(Inputs!$B$38="pvp",15,Inputs!$B$43)-(B1581)&lt;=0,1,MAX(0,IF(Inputs!$B$38="pvp",15,Inputs!$B$43)-MAX(5,B1581))/(IF(Inputs!$B$38="pvp",15,Inputs!$B$43)-(B1581))))*IF(AND(ArtifactsInput!$M$42,((Inputs!$B$9+((C1562=TRUE)*(F1562-Calc!F19))+B1574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1546*(MIN(100,(Inputs!$B$9+((C1562=TRUE)*(F1562-Calc!F19))+B1574+(ArtifactsInput!$M$24-ArtifactsInput!$M$24)*CHOOSE(ArtifactsInput!$N$24+1,10,12,14,16,18,20)+(IF(AND(Inputs!$B$38&lt;&gt;"pvp",Inputs!$B$43=0),1,IF(IF(Inputs!$B$38="pvp",15,Inputs!$B$43)-(B1581)&lt;=0,1,MAX(0,IF(Inputs!$B$38="pvp",15,Inputs!$B$43)-MAX(5,B1581))/(IF(Inputs!$B$38="pvp",15,Inputs!$B$43)-(B1581))))*IF(AND(ArtifactsInput!$M$42,((Inputs!$B$9+((C1562=TRUE)*(F1562-Calc!F19))+B1574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1546*(1-MIN(100,(Inputs!$B$9+((C1562=TRUE)*(F1562-Calc!F19))+B1574+(ArtifactsInput!$M$24-ArtifactsInput!$M$24)*CHOOSE(ArtifactsInput!$N$24+1,10,12,14,16,18,20)+(IF(AND(Inputs!$B$38&lt;&gt;"pvp",Inputs!$B$43=0),1,IF(IF(Inputs!$B$38="pvp",15,Inputs!$B$43)-(B1581)&lt;=0,1,MAX(0,IF(Inputs!$B$38="pvp",15,Inputs!$B$43)-MAX(5,B1581))/(IF(Inputs!$B$38="pvp",15,Inputs!$B$43)-(B1581))))*IF(AND(ArtifactsInput!$M$42,((Inputs!$B$9+((C1562=TRUE)*(F1562-Calc!F19))+B1574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1546*(MIN(100,(Inputs!$B$9+((C1562=TRUE)*(F1562-Calc!F19))+B1574+(ArtifactsInput!$M$24-ArtifactsInput!$M$24)*CHOOSE(ArtifactsInput!$N$24+1,10,12,14,16,18,20)+(IF(AND(Inputs!$B$38&lt;&gt;"pvp",Inputs!$B$43=0),1,IF(IF(Inputs!$B$38="pvp",15,Inputs!$B$43)-(B1581)&lt;=0,1,MAX(0,IF(Inputs!$B$38="pvp",15,Inputs!$B$43)-MAX(5,B1581))/(IF(Inputs!$B$38="pvp",15,Inputs!$B$43)-(B1581))))*IF(AND(ArtifactsInput!$M$42,((Inputs!$B$9+((C1562=TRUE)*(F1562-Calc!F19))+B1574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546">
        <f>INDEX(FactorTable!$B$2:$Y$301, MATCH(ROUND(MIN(300,MAX(1,U1545)),0), FactorTable!$A$2:$A$301,0), 22)</f>
        <v/>
      </c>
      <c r="V1546">
        <f>IF(C1546,(H1546*N1546*IF(AND(Inputs!$B$38&lt;&gt;"pvp",Inputs!$B$43&gt;0),((Skills!G3*((R1546-1)*IF(Skills!H3&gt;0,INT(Skills!I3/Skills!H3+0.000000001),1)+IF(Skills!H3&gt;0,INT(MIN(Skills!I3,MAX(0,MAX(0,Inputs!$B$43-B1581)-((R1546-1)*(IF(Inputs!$B$38="pvp",15,MAX(0.1,Skills!D3-IF(TRUE=TRUE,Inputs!$B$32,0)))*(1-IF(AND(ArtifactsInput!$M$27,Inputs!$B$4="Chapter Hunt"),CHOOSE(ArtifactsInput!$N$27+1,20,24,28,32,36,40),0)/100)))))/Skills!H3+0.000000001),1)))/Inputs!$B$43),G1546*Q1546))*IF(Inputs!$B$38="pvp",1,(1+(Inputs!$B$21+Skills!Q3+(IF(ArtifactsInput!$M$33,CHOOSE(ArtifactsInput!$N$33+1,30,36,42,48,54,60),0))+(IF(AND(ArtifactsInput!$M$35,Inputs!$B$4&lt;&gt;"Chapter Hunt"),CHOOSE(ArtifactsInput!$N$35+1,15,18,21,24,27,30)*(1-EXP(-(0.2*B1576)*5)),0)+IF(AND(ArtifactsInput!$M$22,Inputs!$B$4&lt;&gt;"Chapter Hunt"),CHOOSE(ArtifactsInput!$N$22+1,10,12,14,16,18,20)*((0*(((0.15*B1576*5))^0/1)+1*(((0.15*B1576*5))^1/1)+2*(((0.15*B1576*5))^2/2)+3*(((0.15*B1576*5))^3/6)+4*(((0.15*B1576*5))^4/24)+5*(((0.15*B1576*5))^5/120))/((((0.15*B1576*5))^0/1)+(((0.15*B1576*5))^1/1)+(((0.15*B1576*5))^2/2)+(((0.15*B1576*5))^3/6)+(((0.15*B1576*5))^4/24)+(((0.15*B1576*5))^5/120))),0))+IF(Inputs!$B$3&gt;=54,9*(C1546=TRUE)*MIN(1,8*(1+Inputs!$B$34/100)*Q1546),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47">
      <c r="A1547">
        <f>Skills!A4</f>
        <v/>
      </c>
      <c r="B1547">
        <f>Skills!B4</f>
        <v/>
      </c>
      <c r="C1547">
        <f>Inputs!$B$3&gt;=35</f>
        <v/>
      </c>
      <c r="D1547">
        <f>IF(Skills!C4=1,60+Inputs!$B$25+Inputs!$B$29,IF(Skills!C4=2,90+Inputs!$B$26+Inputs!$B$29,IF(Skills!C4=3,120+Inputs!$B$27+Inputs!$B$29,MAX(0,(Inputs!$B$3-100)*3)+Inputs!$B$28+Inputs!$B$29)))</f>
        <v/>
      </c>
      <c r="E1547">
        <f>INDEX(FactorTable!$B$2:$Y$301, MATCH(ROUND(MIN(300,MAX(1,D1547)),0), FactorTable!$A$2:$A$301,0), Skills!M4+1)</f>
        <v/>
      </c>
      <c r="F1547">
        <f>IF(Skills!N4=TRUE,(Skills!L4/10)*(E1547/1000),Skills!L4/10)+Skills!O4</f>
        <v/>
      </c>
      <c r="G1547">
        <f>Skills!G4*IF(Skills!H4&gt;0,INT(IF(Inputs!$B$38="pvp",MIN(IF(Inputs!$B$3&gt;=104,MIN(35,20*(1+Inputs!$B$34/100)),20),15),IF(Inputs!$B$3&gt;=104,MIN(35,20*(1+Inputs!$B$34/100)),20))/Skills!H4+0.000000001),1)</f>
        <v/>
      </c>
      <c r="H1547">
        <f>1-(1-Skills!J4/100)^Skills!K4</f>
        <v/>
      </c>
      <c r="I1547" t="inlineStr">
        <is>
          <t>1</t>
        </is>
      </c>
      <c r="J1547">
        <f>((Inputs!$B$6*(1+Inputs!$B$7/100))+(((Inputs!$B$12*(1+Inputs!$B$13/100))-(Inputs!$B$12*(1+Inputs!$B$13/100)))+0.25*(Inputs!$B$14-Inputs!$B$14))*(1+Inputs!$B$7/100))*(F1547/100)</f>
        <v/>
      </c>
      <c r="K1547">
        <f>J1547*(1+((Inputs!$B$12*(1+Inputs!$B$13/100))*0.01+Inputs!$B$14*0.0025)/100)*(1+Inputs!$B$15/100)*(1+Inputs!$B$16/100)*(5000/(6000+Inputs!$B$42*(1-(100*(1-(1-(Inputs!$B$19+0)/100)*(1-CHOOSE(ArtifactsInput!$N$40+1,5,6,7,8,9,10)/100)^(ArtifactsInput!$M$40-ArtifactsInput!$M$40)))/100)))*(1+(Inputs!$B$24+((C1569=TRUE)*(F1569-Calc!F26))+B1580)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1559=TRUE,F1559,0)/100)*(1+(IF(Skills!A4="EIGHT_LEGS_EASTON",Inputs!$B$17+((C1566=TRUE)*(F1566-Calc!F23))+((C1570=TRUE)*(F1570-Calc!F27))+((IF(AND(Inputs!$B$38&lt;&gt;"pvp",Inputs!$B$43=0),1,IF(IF(Inputs!$B$38="pvp",15,Inputs!$B$43)-(B1581)&lt;=0,1,MAX(0,IF(Inputs!$B$38="pvp",15,Inputs!$B$43)-MAX(5,B1581))/(IF(Inputs!$B$38="pvp",15,Inputs!$B$43)-(B1581))))*(IF(AND(ArtifactsInput!$M$42,((Inputs!$B$9+((C1562=TRUE)*(F1562-Calc!F19))+B1574+(ArtifactsInput!$M$24-ArtifactsInput!$M$24)*CHOOSE(ArtifactsInput!$N$24+1,10,12,14,16,18,20)+IF(ArtifactsInput!$M$10,CHOOSE(ArtifactsInput!$N$10+1,15,18,21,24,27,30)*(IF(Inputs!$B$38="pvp",MIN(15,15)/15,IF(AND(Inputs!$B$38&lt;&gt;"pvp",Inputs!$B$43&gt;0),MIN(15,Inputs!$B$43)/(Inputs!$B$43),0))),0)))&gt;=100),MIN(100,((Inputs!$B$9+((C1562=TRUE)*(F1562-Calc!F19))+B1574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1581)&lt;=0,1,MAX(0,IF(Inputs!$B$38="pvp",15,Inputs!$B$43)-MAX(5,B1581))/(IF(Inputs!$B$38="pvp",15,Inputs!$B$43)-(B1581))))*IF(AND(ArtifactsInput!$M$42,((Inputs!$B$9+((C1562=TRUE)*(F1562-Calc!F19))+B1574+(ArtifactsInput!$M$24-ArtifactsInput!$M$24)*CHOOSE(ArtifactsInput!$N$24+1,10,12,14,16,18,20)+IF(ArtifactsInput!$M$10,CHOOSE(ArtifactsInput!$N$10+1,15,18,21,24,27,30)*(IF(Inputs!$B$38="pvp",MIN(15,15)/15,IF(AND(Inputs!$B$38&lt;&gt;"pvp",Inputs!$B$43&gt;0),MIN(15,Inputs!$B$43)/(Inputs!$B$43),0))),0)))&gt;=100),CHOOSE(ArtifactsInput!$N$42+1,40,48,56,64,72,80),0))))/100)*((1+(((C1560=TRUE)*F1560*5/7)+((C1567=TRUE)*(F1567-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1547)</f>
        <v/>
      </c>
      <c r="L1547">
        <f>K1547*(MIN(Inputs!$B$22+((C1565=TRUE)*(F1565-Calc!F22)),(Inputs!$B$23+0+(IF(ArtifactsInput!$M$15,CHOOSE(ArtifactsInput!$N$15+1,25,30,35,40,45,50)/100*(Inputs!$B$11-Inputs!$B$11),0))))/100+(Inputs!$B$23+0+(IF(ArtifactsInput!$M$15,CHOOSE(ArtifactsInput!$N$15+1,25,30,35,40,45,50)/100*(Inputs!$B$11-Inputs!$B$11),0)))/100)/2</f>
        <v/>
      </c>
      <c r="M1547">
        <f>L1547*(1+(Inputs!$B$10+((C1568=TRUE)*(F1568-Calc!F25))+B1579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47">
        <f>L1547*(1-MIN((Inputs!$B$9+((C1562=TRUE)*(F1562-Calc!F19))+B1574+(ArtifactsInput!$M$24-ArtifactsInput!$M$24)*CHOOSE(ArtifactsInput!$N$24+1,10,12,14,16,18,20)+(IF(AND(Inputs!$B$38&lt;&gt;"pvp",Inputs!$B$43=0),1,IF(IF(Inputs!$B$38="pvp",15,Inputs!$B$43)-(B1581)&lt;=0,1,MAX(0,IF(Inputs!$B$38="pvp",15,Inputs!$B$43)-MAX(5,B1581))/(IF(Inputs!$B$38="pvp",15,Inputs!$B$43)-(B1581))))*IF(AND(ArtifactsInput!$M$42,((Inputs!$B$9+((C1562=TRUE)*(F1562-Calc!F19))+B1574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1547*(MIN((Inputs!$B$9+((C1562=TRUE)*(F1562-Calc!F19))+B1574+(ArtifactsInput!$M$24-ArtifactsInput!$M$24)*CHOOSE(ArtifactsInput!$N$24+1,10,12,14,16,18,20)+(IF(AND(Inputs!$B$38&lt;&gt;"pvp",Inputs!$B$43=0),1,IF(IF(Inputs!$B$38="pvp",15,Inputs!$B$43)-(B1581)&lt;=0,1,MAX(0,IF(Inputs!$B$38="pvp",15,Inputs!$B$43)-MAX(5,B1581))/(IF(Inputs!$B$38="pvp",15,Inputs!$B$43)-(B1581))))*IF(AND(ArtifactsInput!$M$42,((Inputs!$B$9+((C1562=TRUE)*(F1562-Calc!F19))+B1574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47">
        <f>(1-Summary!$B$11)*T1547+Summary!$B$11*V1547</f>
        <v/>
      </c>
      <c r="P1547">
        <f>IF(B1584=0,0,O1547/B1584)</f>
        <v/>
      </c>
      <c r="Q1547">
        <f>IFERROR(1/(IF(Inputs!$B$38="pvp",15,MAX(0.1,Skills!D4-IF(TRUE=TRUE,Inputs!$B$32,0)))*(1-IF(AND(ArtifactsInput!$M$27,Inputs!$B$4="Chapter Hunt"),CHOOSE(ArtifactsInput!$N$27+1,20,24,28,32,36,40),0)/100)),0)</f>
        <v/>
      </c>
      <c r="R1547">
        <f>IF(AND(Inputs!$B$38&lt;&gt;"pvp",Inputs!$B$43&gt;0),IF(MAX(0,Inputs!$B$43-B1581)&lt;=0,0,(INT(MAX(0,Inputs!$B$43-B1581)/(IF(Inputs!$B$38="pvp",15,MAX(0.1,Skills!D4-IF(TRUE=TRUE,Inputs!$B$32,0)))*(1-IF(AND(ArtifactsInput!$M$27,Inputs!$B$4="Chapter Hunt"),CHOOSE(ArtifactsInput!$N$27+1,20,24,28,32,36,40),0)/100)))+1)),0)</f>
        <v/>
      </c>
      <c r="S1547">
        <f>IFERROR(O1547/N1547,0)</f>
        <v/>
      </c>
      <c r="T1547">
        <f>IF(C1547,(H1547*N1547*IF(AND(Inputs!$B$38&lt;&gt;"pvp",Inputs!$B$43&gt;0),((Skills!G4*((R1547-1)*IF(Skills!H4&gt;0,INT(IF(Inputs!$B$3&gt;=104,MIN(35,20*(1+Inputs!$B$34/100)),20)/Skills!H4+0.000000001),1)+IF(Skills!H4&gt;0,INT(MIN(IF(Inputs!$B$3&gt;=104,MIN(35,20*(1+Inputs!$B$34/100)),20),MAX(0,MAX(0,Inputs!$B$43-B1581)-((R1547-1)*(IF(Inputs!$B$38="pvp",15,MAX(0.1,Skills!D4-IF(TRUE=TRUE,Inputs!$B$32,0)))*(1-IF(AND(ArtifactsInput!$M$27,Inputs!$B$4="Chapter Hunt"),CHOOSE(ArtifactsInput!$N$27+1,20,24,28,32,36,40),0)/100)))))/Skills!H4+0.000000001),1)))/Inputs!$B$43),G1547*Q1547))*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Hunt"),CHOOSE(ArtifactsInput!$N$35+1,15,18,21,24,27,30)*(1-EXP(-(0.2*B1576)*5)),0)+IF(AND(ArtifactsInput!$M$22,Inputs!$B$4&lt;&gt;"Chapter Hunt"),CHOOSE(ArtifactsInput!$N$22+1,10,12,14,16,18,20)*((0*(((0.15*B1576*5))^0/1)+1*(((0.15*B1576*5))^1/1)+2*(((0.15*B1576*5))^2/2)+3*(((0.15*B1576*5))^3/6)+4*(((0.15*B1576*5))^4/24)+5*(((0.15*B1576*5))^5/120))/((((0.15*B1576*5))^0/1)+(((0.15*B1576*5))^1/1)+(((0.15*B1576*5))^2/2)+(((0.15*B1576*5))^3/6)+(((0.15*B1576*5))^4/24)+(((0.15*B1576*5))^5/120))),0))+IF(Inputs!$B$3&gt;=54,9*(C1546=TRUE)*MIN(1,8*(1+Inputs!$B$34/100)*Q1546)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1547*(1-MIN(100,(Inputs!$B$9+((C1562=TRUE)*(F1562-Calc!F19))+B1574+(ArtifactsInput!$M$24-ArtifactsInput!$M$24)*CHOOSE(ArtifactsInput!$N$24+1,10,12,14,16,18,20)+(IF(AND(Inputs!$B$38&lt;&gt;"pvp",Inputs!$B$43=0),1,IF(IF(Inputs!$B$38="pvp",15,Inputs!$B$43)-(B1581)&lt;=0,1,MAX(0,IF(Inputs!$B$38="pvp",15,Inputs!$B$43)-MAX(5,B1581))/(IF(Inputs!$B$38="pvp",15,Inputs!$B$43)-(B1581))))*IF(AND(ArtifactsInput!$M$42,((Inputs!$B$9+((C1562=TRUE)*(F1562-Calc!F19))+B1574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1547*(MIN(100,(Inputs!$B$9+((C1562=TRUE)*(F1562-Calc!F19))+B1574+(ArtifactsInput!$M$24-ArtifactsInput!$M$24)*CHOOSE(ArtifactsInput!$N$24+1,10,12,14,16,18,20)+(IF(AND(Inputs!$B$38&lt;&gt;"pvp",Inputs!$B$43=0),1,IF(IF(Inputs!$B$38="pvp",15,Inputs!$B$43)-(B1581)&lt;=0,1,MAX(0,IF(Inputs!$B$38="pvp",15,Inputs!$B$43)-MAX(5,B1581))/(IF(Inputs!$B$38="pvp",15,Inputs!$B$43)-(B1581))))*IF(AND(ArtifactsInput!$M$42,((Inputs!$B$9+((C1562=TRUE)*(F1562-Calc!F19))+B1574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1547*(1-MIN(100,(Inputs!$B$9+((C1562=TRUE)*(F1562-Calc!F19))+B1574+(ArtifactsInput!$M$24-ArtifactsInput!$M$24)*CHOOSE(ArtifactsInput!$N$24+1,10,12,14,16,18,20)+(IF(AND(Inputs!$B$38&lt;&gt;"pvp",Inputs!$B$43=0),1,IF(IF(Inputs!$B$38="pvp",15,Inputs!$B$43)-(B1581)&lt;=0,1,MAX(0,IF(Inputs!$B$38="pvp",15,Inputs!$B$43)-MAX(5,B1581))/(IF(Inputs!$B$38="pvp",15,Inputs!$B$43)-(B1581))))*IF(AND(ArtifactsInput!$M$42,((Inputs!$B$9+((C1562=TRUE)*(F1562-Calc!F19))+B1574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1547*(MIN(100,(Inputs!$B$9+((C1562=TRUE)*(F1562-Calc!F19))+B1574+(ArtifactsInput!$M$24-ArtifactsInput!$M$24)*CHOOSE(ArtifactsInput!$N$24+1,10,12,14,16,18,20)+(IF(AND(Inputs!$B$38&lt;&gt;"pvp",Inputs!$B$43=0),1,IF(IF(Inputs!$B$38="pvp",15,Inputs!$B$43)-(B1581)&lt;=0,1,MAX(0,IF(Inputs!$B$38="pvp",15,Inputs!$B$43)-MAX(5,B1581))/(IF(Inputs!$B$38="pvp",15,Inputs!$B$43)-(B1581))))*IF(AND(ArtifactsInput!$M$42,((Inputs!$B$9+((C1562=TRUE)*(F1562-Calc!F19))+B1574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547">
        <f>290*U1546/1000</f>
        <v/>
      </c>
      <c r="V1547">
        <f>IF(C1547,(H1547*N1547*IF(AND(Inputs!$B$38&lt;&gt;"pvp",Inputs!$B$43&gt;0),((Skills!G4*((R1547-1)*IF(Skills!H4&gt;0,INT(IF(Inputs!$B$3&gt;=104,MIN(35,20*(1+Inputs!$B$34/100)),20)/Skills!H4+0.000000001),1)+IF(Skills!H4&gt;0,INT(MIN(IF(Inputs!$B$3&gt;=104,MIN(35,20*(1+Inputs!$B$34/100)),20),MAX(0,MAX(0,Inputs!$B$43-B1581)-((R1547-1)*(IF(Inputs!$B$38="pvp",15,MAX(0.1,Skills!D4-IF(TRUE=TRUE,Inputs!$B$32,0)))*(1-IF(AND(ArtifactsInput!$M$27,Inputs!$B$4="Chapter Hunt"),CHOOSE(ArtifactsInput!$N$27+1,20,24,28,32,36,40),0)/100)))))/Skills!H4+0.000000001),1)))/Inputs!$B$43),G1547*Q1547))*IF(Inputs!$B$38="pvp",1,(1+(Inputs!$B$21+Skills!Q4+(IF(ArtifactsInput!$M$33,CHOOSE(ArtifactsInput!$N$33+1,30,36,42,48,54,60),0))+(IF(AND(ArtifactsInput!$M$35,Inputs!$B$4&lt;&gt;"Chapter Hunt"),CHOOSE(ArtifactsInput!$N$35+1,15,18,21,24,27,30)*(1-EXP(-(0.2*B1576)*5)),0)+IF(AND(ArtifactsInput!$M$22,Inputs!$B$4&lt;&gt;"Chapter Hunt"),CHOOSE(ArtifactsInput!$N$22+1,10,12,14,16,18,20)*((0*(((0.15*B1576*5))^0/1)+1*(((0.15*B1576*5))^1/1)+2*(((0.15*B1576*5))^2/2)+3*(((0.15*B1576*5))^3/6)+4*(((0.15*B1576*5))^4/24)+5*(((0.15*B1576*5))^5/120))/((((0.15*B1576*5))^0/1)+(((0.15*B1576*5))^1/1)+(((0.15*B1576*5))^2/2)+(((0.15*B1576*5))^3/6)+(((0.15*B1576*5))^4/24)+(((0.15*B1576*5))^5/120))),0))+IF(Inputs!$B$3&gt;=54,9*(C1546=TRUE)*MIN(1,8*(1+Inputs!$B$34/100)*Q1546),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48">
      <c r="A1548">
        <f>Skills!A5</f>
        <v/>
      </c>
      <c r="B1548">
        <f>Skills!B5</f>
        <v/>
      </c>
      <c r="C1548">
        <f>Inputs!$B$3&gt;=69</f>
        <v/>
      </c>
      <c r="D1548">
        <f>IF(Skills!C5=1,60+Inputs!$B$25+Inputs!$B$29,IF(Skills!C5=2,90+Inputs!$B$26+Inputs!$B$29,IF(Skills!C5=3,120+Inputs!$B$27+Inputs!$B$29,MAX(0,(Inputs!$B$3-100)*3)+Inputs!$B$28+Inputs!$B$29)))</f>
        <v/>
      </c>
      <c r="E1548">
        <f>INDEX(FactorTable!$B$2:$Y$301, MATCH(ROUND(MIN(300,MAX(1,D1548)),0), FactorTable!$A$2:$A$301,0), Skills!M5+1)</f>
        <v/>
      </c>
      <c r="F1548">
        <f>IF(Skills!N5=TRUE,(Skills!L5/10)*(E1548/1000),Skills!L5/10)+Skills!O5</f>
        <v/>
      </c>
      <c r="G1548">
        <f>Skills!G5*IF(Skills!H5&gt;0,INT(IF(Inputs!$B$38="pvp",MIN(IF(Inputs!$B$3&gt;=104,MIN(35,20*(1+Inputs!$B$34/100)),20),15),IF(Inputs!$B$3&gt;=104,MIN(35,20*(1+Inputs!$B$34/100)),20))/Skills!H5+0.000000001),1)</f>
        <v/>
      </c>
      <c r="H1548">
        <f>1-(1-Skills!J5/100)^Skills!K5</f>
        <v/>
      </c>
      <c r="I1548" t="inlineStr">
        <is>
          <t>1</t>
        </is>
      </c>
      <c r="J1548">
        <f>((Inputs!$B$6*(1+Inputs!$B$7/100))+(((Inputs!$B$12*(1+Inputs!$B$13/100))-(Inputs!$B$12*(1+Inputs!$B$13/100)))+0.25*(Inputs!$B$14-Inputs!$B$14))*(1+Inputs!$B$7/100))*(F1548/100)</f>
        <v/>
      </c>
      <c r="K1548">
        <f>J1548*(1+((Inputs!$B$12*(1+Inputs!$B$13/100))*0.01+Inputs!$B$14*0.0025)/100)*(1+Inputs!$B$15/100)*(1+Inputs!$B$16/100)*(5000/(6000+Inputs!$B$42*(1-(100*(1-(1-(Inputs!$B$19+0)/100)*(1-CHOOSE(ArtifactsInput!$N$40+1,5,6,7,8,9,10)/100)^(ArtifactsInput!$M$40-ArtifactsInput!$M$40)))/100)))*(1+(Inputs!$B$24+((C1569=TRUE)*(F1569-Calc!F26))+B1580)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+0.4*IF(C1559=TRUE,F1559,0)/100)*(1+(IF(Skills!A5="EIGHT_LEGS_EASTON",Inputs!$B$17+((C1566=TRUE)*(F1566-Calc!F23))+((C1570=TRUE)*(F1570-Calc!F27))+((IF(AND(Inputs!$B$38&lt;&gt;"pvp",Inputs!$B$43=0),1,IF(IF(Inputs!$B$38="pvp",15,Inputs!$B$43)-(B1581)&lt;=0,1,MAX(0,IF(Inputs!$B$38="pvp",15,Inputs!$B$43)-MAX(5,B1581))/(IF(Inputs!$B$38="pvp",15,Inputs!$B$43)-(B1581))))*(IF(AND(ArtifactsInput!$M$42,((Inputs!$B$9+((C1562=TRUE)*(F1562-Calc!F19))+B1574+(ArtifactsInput!$M$24-ArtifactsInput!$M$24)*CHOOSE(ArtifactsInput!$N$24+1,10,12,14,16,18,20)+IF(ArtifactsInput!$M$10,CHOOSE(ArtifactsInput!$N$10+1,15,18,21,24,27,30)*(IF(Inputs!$B$38="pvp",MIN(15,15)/15,IF(AND(Inputs!$B$38&lt;&gt;"pvp",Inputs!$B$43&gt;0),MIN(15,Inputs!$B$43)/(Inputs!$B$43),0))),0)))&gt;=100),MIN(100,((Inputs!$B$9+((C1562=TRUE)*(F1562-Calc!F19))+B1574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1581)&lt;=0,1,MAX(0,IF(Inputs!$B$38="pvp",15,Inputs!$B$43)-MAX(5,B1581))/(IF(Inputs!$B$38="pvp",15,Inputs!$B$43)-(B1581))))*IF(AND(ArtifactsInput!$M$42,((Inputs!$B$9+((C1562=TRUE)*(F1562-Calc!F19))+B1574+(ArtifactsInput!$M$24-ArtifactsInput!$M$24)*CHOOSE(ArtifactsInput!$N$24+1,10,12,14,16,18,20)+IF(ArtifactsInput!$M$10,CHOOSE(ArtifactsInput!$N$10+1,15,18,21,24,27,30)*(IF(Inputs!$B$38="pvp",MIN(15,15)/15,IF(AND(Inputs!$B$38&lt;&gt;"pvp",Inputs!$B$43&gt;0),MIN(15,Inputs!$B$43)/(Inputs!$B$43),0))),0)))&gt;=100),CHOOSE(ArtifactsInput!$N$42+1,40,48,56,64,72,80),0))))/100)*((1+(((C1560=TRUE)*F1560*5/7)+((C1567=TRUE)*(F1567-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1548)</f>
        <v/>
      </c>
      <c r="L1548">
        <f>K1548*(MIN(Inputs!$B$22+((C1565=TRUE)*(F1565-Calc!F22)),(Inputs!$B$23+0+(IF(ArtifactsInput!$M$15,CHOOSE(ArtifactsInput!$N$15+1,25,30,35,40,45,50)/100*(Inputs!$B$11-Inputs!$B$11),0))))/100+(Inputs!$B$23+0+(IF(ArtifactsInput!$M$15,CHOOSE(ArtifactsInput!$N$15+1,25,30,35,40,45,50)/100*(Inputs!$B$11-Inputs!$B$11),0)))/100)/2</f>
        <v/>
      </c>
      <c r="M1548">
        <f>L1548*(1+(Inputs!$B$10+((C1568=TRUE)*(F1568-Calc!F25))+B1579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48">
        <f>L1548*(1-MIN((Inputs!$B$9+((C1562=TRUE)*(F1562-Calc!F19))+B1574+(ArtifactsInput!$M$24-ArtifactsInput!$M$24)*CHOOSE(ArtifactsInput!$N$24+1,10,12,14,16,18,20)+(IF(AND(Inputs!$B$38&lt;&gt;"pvp",Inputs!$B$43=0),1,IF(IF(Inputs!$B$38="pvp",15,Inputs!$B$43)-(B1581)&lt;=0,1,MAX(0,IF(Inputs!$B$38="pvp",15,Inputs!$B$43)-MAX(5,B1581))/(IF(Inputs!$B$38="pvp",15,Inputs!$B$43)-(B1581))))*IF(AND(ArtifactsInput!$M$42,((Inputs!$B$9+((C1562=TRUE)*(F1562-Calc!F19))+B1574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1548*(MIN((Inputs!$B$9+((C1562=TRUE)*(F1562-Calc!F19))+B1574+(ArtifactsInput!$M$24-ArtifactsInput!$M$24)*CHOOSE(ArtifactsInput!$N$24+1,10,12,14,16,18,20)+(IF(AND(Inputs!$B$38&lt;&gt;"pvp",Inputs!$B$43=0),1,IF(IF(Inputs!$B$38="pvp",15,Inputs!$B$43)-(B1581)&lt;=0,1,MAX(0,IF(Inputs!$B$38="pvp",15,Inputs!$B$43)-MAX(5,B1581))/(IF(Inputs!$B$38="pvp",15,Inputs!$B$43)-(B1581))))*IF(AND(ArtifactsInput!$M$42,((Inputs!$B$9+((C1562=TRUE)*(F1562-Calc!F19))+B1574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48">
        <f>(1-Summary!$B$11)*T1548+Summary!$B$11*V1548</f>
        <v/>
      </c>
      <c r="P1548">
        <f>IF(B1584=0,0,O1548/B1584)</f>
        <v/>
      </c>
      <c r="Q1548">
        <f>IFERROR(1/(IF(Inputs!$B$38="pvp",15,MAX(0.1,Skills!D5-IF(TRUE=TRUE,Inputs!$B$32,0)))*(1-IF(AND(ArtifactsInput!$M$27,Inputs!$B$4="Chapter Hunt"),CHOOSE(ArtifactsInput!$N$27+1,20,24,28,32,36,40),0)/100)),0)</f>
        <v/>
      </c>
      <c r="R1548">
        <f>IF(AND(Inputs!$B$38&lt;&gt;"pvp",Inputs!$B$43&gt;0),IF(MAX(0,Inputs!$B$43-B1581)&lt;=0,0,(INT(MAX(0,Inputs!$B$43-B1581)/(IF(Inputs!$B$38="pvp",15,MAX(0.1,Skills!D5-IF(TRUE=TRUE,Inputs!$B$32,0)))*(1-IF(AND(ArtifactsInput!$M$27,Inputs!$B$4="Chapter Hunt"),CHOOSE(ArtifactsInput!$N$27+1,20,24,28,32,36,40),0)/100)))+1)),0)</f>
        <v/>
      </c>
      <c r="S1548">
        <f>IFERROR(O1548/N1548,0)</f>
        <v/>
      </c>
      <c r="T1548">
        <f>IF(C1548,(H1548*N1548*IF(AND(Inputs!$B$38&lt;&gt;"pvp",Inputs!$B$43&gt;0),((Skills!G5*((R1548-1)*IF(Skills!H5&gt;0,INT(IF(Inputs!$B$3&gt;=104,MIN(35,20*(1+Inputs!$B$34/100)),20)/Skills!H5+0.000000001),1)+IF(Skills!H5&gt;0,INT(MIN(IF(Inputs!$B$3&gt;=104,MIN(35,20*(1+Inputs!$B$34/100)),20),MAX(0,MAX(0,Inputs!$B$43-B1581)-((R1548-1)*(IF(Inputs!$B$38="pvp",15,MAX(0.1,Skills!D5-IF(TRUE=TRUE,Inputs!$B$32,0)))*(1-IF(AND(ArtifactsInput!$M$27,Inputs!$B$4="Chapter Hunt"),CHOOSE(ArtifactsInput!$N$27+1,20,24,28,32,36,40),0)/100)))))/Skills!H5+0.000000001),1)))/Inputs!$B$43),G1548*Q1548))*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Hunt"),CHOOSE(ArtifactsInput!$N$35+1,15,18,21,24,27,30)*(1-EXP(-(0.2*B1576)*5)),0)+IF(AND(ArtifactsInput!$M$22,Inputs!$B$4&lt;&gt;"Chapter Hunt"),CHOOSE(ArtifactsInput!$N$22+1,10,12,14,16,18,20)*((0*(((0.15*B1576*5))^0/1)+1*(((0.15*B1576*5))^1/1)+2*(((0.15*B1576*5))^2/2)+3*(((0.15*B1576*5))^3/6)+4*(((0.15*B1576*5))^4/24)+5*(((0.15*B1576*5))^5/120))/((((0.15*B1576*5))^0/1)+(((0.15*B1576*5))^1/1)+(((0.15*B1576*5))^2/2)+(((0.15*B1576*5))^3/6)+(((0.15*B1576*5))^4/24)+(((0.15*B1576*5))^5/120))),0))+IF(Inputs!$B$3&gt;=54,9*(C1546=TRUE)*MIN(1,8*(1+Inputs!$B$34/100)*Q1546)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1548*(1-MIN(100,(Inputs!$B$9+((C1562=TRUE)*(F1562-Calc!F19))+B1574+(ArtifactsInput!$M$24-ArtifactsInput!$M$24)*CHOOSE(ArtifactsInput!$N$24+1,10,12,14,16,18,20)+(IF(AND(Inputs!$B$38&lt;&gt;"pvp",Inputs!$B$43=0),1,IF(IF(Inputs!$B$38="pvp",15,Inputs!$B$43)-(B1581)&lt;=0,1,MAX(0,IF(Inputs!$B$38="pvp",15,Inputs!$B$43)-MAX(5,B1581))/(IF(Inputs!$B$38="pvp",15,Inputs!$B$43)-(B1581))))*IF(AND(ArtifactsInput!$M$42,((Inputs!$B$9+((C1562=TRUE)*(F1562-Calc!F19))+B1574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1548*(MIN(100,(Inputs!$B$9+((C1562=TRUE)*(F1562-Calc!F19))+B1574+(ArtifactsInput!$M$24-ArtifactsInput!$M$24)*CHOOSE(ArtifactsInput!$N$24+1,10,12,14,16,18,20)+(IF(AND(Inputs!$B$38&lt;&gt;"pvp",Inputs!$B$43=0),1,IF(IF(Inputs!$B$38="pvp",15,Inputs!$B$43)-(B1581)&lt;=0,1,MAX(0,IF(Inputs!$B$38="pvp",15,Inputs!$B$43)-MAX(5,B1581))/(IF(Inputs!$B$38="pvp",15,Inputs!$B$43)-(B1581))))*IF(AND(ArtifactsInput!$M$42,((Inputs!$B$9+((C1562=TRUE)*(F1562-Calc!F19))+B1574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1548*(1-MIN(100,(Inputs!$B$9+((C1562=TRUE)*(F1562-Calc!F19))+B1574+(ArtifactsInput!$M$24-ArtifactsInput!$M$24)*CHOOSE(ArtifactsInput!$N$24+1,10,12,14,16,18,20)+(IF(AND(Inputs!$B$38&lt;&gt;"pvp",Inputs!$B$43=0),1,IF(IF(Inputs!$B$38="pvp",15,Inputs!$B$43)-(B1581)&lt;=0,1,MAX(0,IF(Inputs!$B$38="pvp",15,Inputs!$B$43)-MAX(5,B1581))/(IF(Inputs!$B$38="pvp",15,Inputs!$B$43)-(B1581))))*IF(AND(ArtifactsInput!$M$42,((Inputs!$B$9+((C1562=TRUE)*(F1562-Calc!F19))+B1574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1548*(MIN(100,(Inputs!$B$9+((C1562=TRUE)*(F1562-Calc!F19))+B1574+(ArtifactsInput!$M$24-ArtifactsInput!$M$24)*CHOOSE(ArtifactsInput!$N$24+1,10,12,14,16,18,20)+(IF(AND(Inputs!$B$38&lt;&gt;"pvp",Inputs!$B$43=0),1,IF(IF(Inputs!$B$38="pvp",15,Inputs!$B$43)-(B1581)&lt;=0,1,MAX(0,IF(Inputs!$B$38="pvp",15,Inputs!$B$43)-MAX(5,B1581))/(IF(Inputs!$B$38="pvp",15,Inputs!$B$43)-(B1581))))*IF(AND(ArtifactsInput!$M$42,((Inputs!$B$9+((C1562=TRUE)*(F1562-Calc!F19))+B1574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548">
        <f>IF(C1548,(H1548*N1548*IF(AND(Inputs!$B$38&lt;&gt;"pvp",Inputs!$B$43&gt;0),((Skills!G5*((R1548-1)*IF(Skills!H5&gt;0,INT(IF(Inputs!$B$3&gt;=104,MIN(35,20*(1+Inputs!$B$34/100)),20)/Skills!H5+0.000000001),1)+IF(Skills!H5&gt;0,INT(MIN(IF(Inputs!$B$3&gt;=104,MIN(35,20*(1+Inputs!$B$34/100)),20),MAX(0,MAX(0,Inputs!$B$43-B1581)-((R1548-1)*(IF(Inputs!$B$38="pvp",15,MAX(0.1,Skills!D5-IF(TRUE=TRUE,Inputs!$B$32,0)))*(1-IF(AND(ArtifactsInput!$M$27,Inputs!$B$4="Chapter Hunt"),CHOOSE(ArtifactsInput!$N$27+1,20,24,28,32,36,40),0)/100)))))/Skills!H5+0.000000001),1)))/Inputs!$B$43),G1548*Q1548))*IF(Inputs!$B$38="pvp",1,(1+(Inputs!$B$21+Skills!Q5+(IF(ArtifactsInput!$M$33,CHOOSE(ArtifactsInput!$N$33+1,30,36,42,48,54,60),0))+(IF(AND(ArtifactsInput!$M$35,Inputs!$B$4&lt;&gt;"Chapter Hunt"),CHOOSE(ArtifactsInput!$N$35+1,15,18,21,24,27,30)*(1-EXP(-(0.2*B1576)*5)),0)+IF(AND(ArtifactsInput!$M$22,Inputs!$B$4&lt;&gt;"Chapter Hunt"),CHOOSE(ArtifactsInput!$N$22+1,10,12,14,16,18,20)*((0*(((0.15*B1576*5))^0/1)+1*(((0.15*B1576*5))^1/1)+2*(((0.15*B1576*5))^2/2)+3*(((0.15*B1576*5))^3/6)+4*(((0.15*B1576*5))^4/24)+5*(((0.15*B1576*5))^5/120))/((((0.15*B1576*5))^0/1)+(((0.15*B1576*5))^1/1)+(((0.15*B1576*5))^2/2)+(((0.15*B1576*5))^3/6)+(((0.15*B1576*5))^4/24)+(((0.15*B1576*5))^5/120))),0))+IF(Inputs!$B$3&gt;=54,9*(C1546=TRUE)*MIN(1,8*(1+Inputs!$B$34/100)*Q1546),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49">
      <c r="A1549">
        <f>Skills!A6</f>
        <v/>
      </c>
      <c r="B1549">
        <f>Skills!B6</f>
        <v/>
      </c>
      <c r="C1549">
        <f>Inputs!$B$3&gt;=66</f>
        <v/>
      </c>
      <c r="D1549">
        <f>IF(Skills!C6=1,60+Inputs!$B$25+Inputs!$B$29,IF(Skills!C6=2,90+Inputs!$B$26+Inputs!$B$29,IF(Skills!C6=3,120+Inputs!$B$27+Inputs!$B$29,MAX(0,(Inputs!$B$3-100)*3)+Inputs!$B$28+Inputs!$B$29)))</f>
        <v/>
      </c>
      <c r="E1549">
        <f>INDEX(FactorTable!$B$2:$Y$301, MATCH(ROUND(MIN(300,MAX(1,D1549)),0), FactorTable!$A$2:$A$301,0), Skills!M6+1)</f>
        <v/>
      </c>
      <c r="F1549">
        <f>IF(Skills!N6=TRUE,(Skills!L6/10)*(E1549/1000),Skills!L6/10)+Skills!O6</f>
        <v/>
      </c>
      <c r="G1549">
        <f>Skills!G6*IF(Skills!H6&gt;0,INT(IF(Inputs!$B$38="pvp",MIN(Skills!I6,15),Skills!I6)/Skills!H6+0.000000001),1)</f>
        <v/>
      </c>
      <c r="H1549">
        <f>1-(1-Skills!J6/100)^Skills!K6</f>
        <v/>
      </c>
      <c r="I1549" t="inlineStr">
        <is>
          <t>1</t>
        </is>
      </c>
      <c r="J1549">
        <f>((Inputs!$B$6*(1+Inputs!$B$7/100))+(((Inputs!$B$12*(1+Inputs!$B$13/100))-(Inputs!$B$12*(1+Inputs!$B$13/100)))+0.25*(Inputs!$B$14-Inputs!$B$14))*(1+Inputs!$B$7/100))*(F1549/100)</f>
        <v/>
      </c>
      <c r="K1549">
        <f>J1549*(1+((Inputs!$B$12*(1+Inputs!$B$13/100))*0.01+Inputs!$B$14*0.0025)/100)*(1+Inputs!$B$15/100)*(1+Inputs!$B$16/100)*(5000/(6000+Inputs!$B$42*(1-(100*(1-(1-(Inputs!$B$19+0)/100)*(1-CHOOSE(ArtifactsInput!$N$40+1,5,6,7,8,9,10)/100)^(ArtifactsInput!$M$40-ArtifactsInput!$M$40)))/100)))*(1+(Inputs!$B$24+((C1569=TRUE)*(F1569-Calc!F26))+B1580)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+2.0*IF(C1558=TRUE,F1558,0)/100)*(1+(IF(Skills!A6="EIGHT_LEGS_EASTON",Inputs!$B$17+((C1566=TRUE)*(F1566-Calc!F23))+((C1570=TRUE)*(F1570-Calc!F27))+((IF(AND(Inputs!$B$38&lt;&gt;"pvp",Inputs!$B$43=0),1,IF(IF(Inputs!$B$38="pvp",15,Inputs!$B$43)-(B1581)&lt;=0,1,MAX(0,IF(Inputs!$B$38="pvp",15,Inputs!$B$43)-MAX(5,B1581))/(IF(Inputs!$B$38="pvp",15,Inputs!$B$43)-(B1581))))*(IF(AND(ArtifactsInput!$M$42,((Inputs!$B$9+((C1562=TRUE)*(F1562-Calc!F19))+B1574+(ArtifactsInput!$M$24-ArtifactsInput!$M$24)*CHOOSE(ArtifactsInput!$N$24+1,10,12,14,16,18,20)+IF(ArtifactsInput!$M$10,CHOOSE(ArtifactsInput!$N$10+1,15,18,21,24,27,30)*(IF(Inputs!$B$38="pvp",MIN(15,15)/15,IF(AND(Inputs!$B$38&lt;&gt;"pvp",Inputs!$B$43&gt;0),MIN(15,Inputs!$B$43)/(Inputs!$B$43),0))),0)))&gt;=100),MIN(100,((Inputs!$B$9+((C1562=TRUE)*(F1562-Calc!F19))+B1574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1581)&lt;=0,1,MAX(0,IF(Inputs!$B$38="pvp",15,Inputs!$B$43)-MAX(5,B1581))/(IF(Inputs!$B$38="pvp",15,Inputs!$B$43)-(B1581))))*IF(AND(ArtifactsInput!$M$42,((Inputs!$B$9+((C1562=TRUE)*(F1562-Calc!F19))+B1574+(ArtifactsInput!$M$24-ArtifactsInput!$M$24)*CHOOSE(ArtifactsInput!$N$24+1,10,12,14,16,18,20)+IF(ArtifactsInput!$M$10,CHOOSE(ArtifactsInput!$N$10+1,15,18,21,24,27,30)*(IF(Inputs!$B$38="pvp",MIN(15,15)/15,IF(AND(Inputs!$B$38&lt;&gt;"pvp",Inputs!$B$43&gt;0),MIN(15,Inputs!$B$43)/(Inputs!$B$43),0))),0)))&gt;=100),CHOOSE(ArtifactsInput!$N$42+1,40,48,56,64,72,80),0))))/100)*((1+(((C1560=TRUE)*F1560*5/7)+((C1567=TRUE)*(F1567-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1549)</f>
        <v/>
      </c>
      <c r="L1549">
        <f>K1549*(MIN(Inputs!$B$22+((C1565=TRUE)*(F1565-Calc!F22)),(Inputs!$B$23+0+(IF(ArtifactsInput!$M$15,CHOOSE(ArtifactsInput!$N$15+1,25,30,35,40,45,50)/100*(Inputs!$B$11-Inputs!$B$11),0))))/100+(Inputs!$B$23+0+(IF(ArtifactsInput!$M$15,CHOOSE(ArtifactsInput!$N$15+1,25,30,35,40,45,50)/100*(Inputs!$B$11-Inputs!$B$11),0)))/100)/2</f>
        <v/>
      </c>
      <c r="M1549">
        <f>L1549*(1+(Inputs!$B$10+((C1568=TRUE)*(F1568-Calc!F25))+B1579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49">
        <f>L1549*(1-MIN((Inputs!$B$9+((C1562=TRUE)*(F1562-Calc!F19))+B1574+(ArtifactsInput!$M$24-ArtifactsInput!$M$24)*CHOOSE(ArtifactsInput!$N$24+1,10,12,14,16,18,20)+(IF(AND(Inputs!$B$38&lt;&gt;"pvp",Inputs!$B$43=0),1,IF(IF(Inputs!$B$38="pvp",15,Inputs!$B$43)-(B1581)&lt;=0,1,MAX(0,IF(Inputs!$B$38="pvp",15,Inputs!$B$43)-MAX(5,B1581))/(IF(Inputs!$B$38="pvp",15,Inputs!$B$43)-(B1581))))*IF(AND(ArtifactsInput!$M$42,((Inputs!$B$9+((C1562=TRUE)*(F1562-Calc!F19))+B1574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1549*(MIN((Inputs!$B$9+((C1562=TRUE)*(F1562-Calc!F19))+B1574+(ArtifactsInput!$M$24-ArtifactsInput!$M$24)*CHOOSE(ArtifactsInput!$N$24+1,10,12,14,16,18,20)+(IF(AND(Inputs!$B$38&lt;&gt;"pvp",Inputs!$B$43=0),1,IF(IF(Inputs!$B$38="pvp",15,Inputs!$B$43)-(B1581)&lt;=0,1,MAX(0,IF(Inputs!$B$38="pvp",15,Inputs!$B$43)-MAX(5,B1581))/(IF(Inputs!$B$38="pvp",15,Inputs!$B$43)-(B1581))))*IF(AND(ArtifactsInput!$M$42,((Inputs!$B$9+((C1562=TRUE)*(F1562-Calc!F19))+B1574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49">
        <f>(1-Summary!$B$11)*T1549+Summary!$B$11*V1549</f>
        <v/>
      </c>
      <c r="P1549">
        <f>IF(B1584=0,0,O1549/B1584)</f>
        <v/>
      </c>
      <c r="Q1549">
        <f>IFERROR(1/(IF(Inputs!$B$38="pvp",15,MAX(0.1,Skills!D6-IF(TRUE=TRUE,Inputs!$B$32,0)))*(1-IF(AND(ArtifactsInput!$M$27,Inputs!$B$4="Chapter Hunt"),CHOOSE(ArtifactsInput!$N$27+1,20,24,28,32,36,40),0)/100)),0)</f>
        <v/>
      </c>
      <c r="R1549">
        <f>IF(AND(Inputs!$B$38&lt;&gt;"pvp",Inputs!$B$43&gt;0),IF(MAX(0,Inputs!$B$43-B1581)&lt;=0,0,(INT(MAX(0,Inputs!$B$43-B1581)/(IF(Inputs!$B$38="pvp",15,MAX(0.1,Skills!D6-IF(TRUE=TRUE,Inputs!$B$32,0)))*(1-IF(AND(ArtifactsInput!$M$27,Inputs!$B$4="Chapter Hunt"),CHOOSE(ArtifactsInput!$N$27+1,20,24,28,32,36,40),0)/100)))+1)),0)</f>
        <v/>
      </c>
      <c r="S1549">
        <f>IFERROR(O1549/N1549,0)</f>
        <v/>
      </c>
      <c r="T1549">
        <f>IF(C1549,(H1549*N1549*IF(AND(Inputs!$B$38&lt;&gt;"pvp",Inputs!$B$43&gt;0),((Skills!G6*((R1549-1)*IF(Skills!H6&gt;0,INT(Skills!I6/Skills!H6+0.000000001),1)+IF(Skills!H6&gt;0,INT(MIN(Skills!I6,MAX(0,MAX(0,Inputs!$B$43-B1581)-((R1549-1)*(IF(Inputs!$B$38="pvp",15,MAX(0.1,Skills!D6-IF(TRUE=TRUE,Inputs!$B$32,0)))*(1-IF(AND(ArtifactsInput!$M$27,Inputs!$B$4="Chapter Hunt"),CHOOSE(ArtifactsInput!$N$27+1,20,24,28,32,36,40),0)/100)))))/Skills!H6+0.000000001),1)))/Inputs!$B$43),G1549*Q1549))*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Hunt"),CHOOSE(ArtifactsInput!$N$35+1,15,18,21,24,27,30)*(1-EXP(-(0.2*B1576)*5)),0)+IF(AND(ArtifactsInput!$M$22,Inputs!$B$4&lt;&gt;"Chapter Hunt"),CHOOSE(ArtifactsInput!$N$22+1,10,12,14,16,18,20)*((0*(((0.15*B1576*5))^0/1)+1*(((0.15*B1576*5))^1/1)+2*(((0.15*B1576*5))^2/2)+3*(((0.15*B1576*5))^3/6)+4*(((0.15*B1576*5))^4/24)+5*(((0.15*B1576*5))^5/120))/((((0.15*B1576*5))^0/1)+(((0.15*B1576*5))^1/1)+(((0.15*B1576*5))^2/2)+(((0.15*B1576*5))^3/6)+(((0.15*B1576*5))^4/24)+(((0.15*B1576*5))^5/120))),0))+IF(Inputs!$B$3&gt;=54,9*(C1546=TRUE)*MIN(1,8*(1+Inputs!$B$34/100)*Q1546)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1549*(1-MIN(100,(Inputs!$B$9+((C1562=TRUE)*(F1562-Calc!F19))+B1574+(ArtifactsInput!$M$24-ArtifactsInput!$M$24)*CHOOSE(ArtifactsInput!$N$24+1,10,12,14,16,18,20)+(IF(AND(Inputs!$B$38&lt;&gt;"pvp",Inputs!$B$43=0),1,IF(IF(Inputs!$B$38="pvp",15,Inputs!$B$43)-(B1581)&lt;=0,1,MAX(0,IF(Inputs!$B$38="pvp",15,Inputs!$B$43)-MAX(5,B1581))/(IF(Inputs!$B$38="pvp",15,Inputs!$B$43)-(B1581))))*IF(AND(ArtifactsInput!$M$42,((Inputs!$B$9+((C1562=TRUE)*(F1562-Calc!F19))+B1574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1549*(MIN(100,(Inputs!$B$9+((C1562=TRUE)*(F1562-Calc!F19))+B1574+(ArtifactsInput!$M$24-ArtifactsInput!$M$24)*CHOOSE(ArtifactsInput!$N$24+1,10,12,14,16,18,20)+(IF(AND(Inputs!$B$38&lt;&gt;"pvp",Inputs!$B$43=0),1,IF(IF(Inputs!$B$38="pvp",15,Inputs!$B$43)-(B1581)&lt;=0,1,MAX(0,IF(Inputs!$B$38="pvp",15,Inputs!$B$43)-MAX(5,B1581))/(IF(Inputs!$B$38="pvp",15,Inputs!$B$43)-(B1581))))*IF(AND(ArtifactsInput!$M$42,((Inputs!$B$9+((C1562=TRUE)*(F1562-Calc!F19))+B1574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1549*(1-MIN(100,(Inputs!$B$9+((C1562=TRUE)*(F1562-Calc!F19))+B1574+(ArtifactsInput!$M$24-ArtifactsInput!$M$24)*CHOOSE(ArtifactsInput!$N$24+1,10,12,14,16,18,20)+(IF(AND(Inputs!$B$38&lt;&gt;"pvp",Inputs!$B$43=0),1,IF(IF(Inputs!$B$38="pvp",15,Inputs!$B$43)-(B1581)&lt;=0,1,MAX(0,IF(Inputs!$B$38="pvp",15,Inputs!$B$43)-MAX(5,B1581))/(IF(Inputs!$B$38="pvp",15,Inputs!$B$43)-(B1581))))*IF(AND(ArtifactsInput!$M$42,((Inputs!$B$9+((C1562=TRUE)*(F1562-Calc!F19))+B1574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1549*(MIN(100,(Inputs!$B$9+((C1562=TRUE)*(F1562-Calc!F19))+B1574+(ArtifactsInput!$M$24-ArtifactsInput!$M$24)*CHOOSE(ArtifactsInput!$N$24+1,10,12,14,16,18,20)+(IF(AND(Inputs!$B$38&lt;&gt;"pvp",Inputs!$B$43=0),1,IF(IF(Inputs!$B$38="pvp",15,Inputs!$B$43)-(B1581)&lt;=0,1,MAX(0,IF(Inputs!$B$38="pvp",15,Inputs!$B$43)-MAX(5,B1581))/(IF(Inputs!$B$38="pvp",15,Inputs!$B$43)-(B1581))))*IF(AND(ArtifactsInput!$M$42,((Inputs!$B$9+((C1562=TRUE)*(F1562-Calc!F19))+B1574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549">
        <f>IF(C1549,(H1549*N1549*IF(AND(Inputs!$B$38&lt;&gt;"pvp",Inputs!$B$43&gt;0),((Skills!G6*((R1549-1)*IF(Skills!H6&gt;0,INT(Skills!I6/Skills!H6+0.000000001),1)+IF(Skills!H6&gt;0,INT(MIN(Skills!I6,MAX(0,MAX(0,Inputs!$B$43-B1581)-((R1549-1)*(IF(Inputs!$B$38="pvp",15,MAX(0.1,Skills!D6-IF(TRUE=TRUE,Inputs!$B$32,0)))*(1-IF(AND(ArtifactsInput!$M$27,Inputs!$B$4="Chapter Hunt"),CHOOSE(ArtifactsInput!$N$27+1,20,24,28,32,36,40),0)/100)))))/Skills!H6+0.000000001),1)))/Inputs!$B$43),G1549*Q1549))*IF(Inputs!$B$38="pvp",1,(1+(Inputs!$B$21+Skills!Q6+(IF(ArtifactsInput!$M$33,CHOOSE(ArtifactsInput!$N$33+1,30,36,42,48,54,60),0))+(IF(AND(ArtifactsInput!$M$35,Inputs!$B$4&lt;&gt;"Chapter Hunt"),CHOOSE(ArtifactsInput!$N$35+1,15,18,21,24,27,30)*(1-EXP(-(0.2*B1576)*5)),0)+IF(AND(ArtifactsInput!$M$22,Inputs!$B$4&lt;&gt;"Chapter Hunt"),CHOOSE(ArtifactsInput!$N$22+1,10,12,14,16,18,20)*((0*(((0.15*B1576*5))^0/1)+1*(((0.15*B1576*5))^1/1)+2*(((0.15*B1576*5))^2/2)+3*(((0.15*B1576*5))^3/6)+4*(((0.15*B1576*5))^4/24)+5*(((0.15*B1576*5))^5/120))/((((0.15*B1576*5))^0/1)+(((0.15*B1576*5))^1/1)+(((0.15*B1576*5))^2/2)+(((0.15*B1576*5))^3/6)+(((0.15*B1576*5))^4/24)+(((0.15*B1576*5))^5/120))),0))+IF(Inputs!$B$3&gt;=54,9*(C1546=TRUE)*MIN(1,8*(1+Inputs!$B$34/100)*Q1546),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50">
      <c r="A1550">
        <f>Skills!A7</f>
        <v/>
      </c>
      <c r="B1550">
        <f>Skills!B7</f>
        <v/>
      </c>
      <c r="C1550">
        <f>Inputs!$B$3&gt;=63</f>
        <v/>
      </c>
      <c r="D1550">
        <f>IF(Skills!C7=1,60+Inputs!$B$25+Inputs!$B$29,IF(Skills!C7=2,90+Inputs!$B$26+Inputs!$B$29,IF(Skills!C7=3,120+Inputs!$B$27+Inputs!$B$29,MAX(0,(Inputs!$B$3-100)*3)+Inputs!$B$28+Inputs!$B$29)))</f>
        <v/>
      </c>
      <c r="E1550">
        <f>INDEX(FactorTable!$B$2:$Y$301, MATCH(ROUND(MIN(300,MAX(1,D1550)),0), FactorTable!$A$2:$A$301,0), Skills!M7+1)</f>
        <v/>
      </c>
      <c r="F1550">
        <f>IF(Skills!N7=TRUE,(Skills!L7/10)*(E1550/1000),Skills!L7/10)+Skills!O7</f>
        <v/>
      </c>
      <c r="G1550">
        <f>Skills!G7*IF(Skills!H7&gt;0,INT(IF(Inputs!$B$38="pvp",MIN(Skills!I7,15),Skills!I7)/Skills!H7+0.000000001),1)</f>
        <v/>
      </c>
      <c r="H1550">
        <f>1-(1-Skills!J7/100)^Skills!K7</f>
        <v/>
      </c>
      <c r="I1550" t="inlineStr">
        <is>
          <t>1</t>
        </is>
      </c>
      <c r="J1550">
        <f>((Inputs!$B$6*(1+Inputs!$B$7/100))+(((Inputs!$B$12*(1+Inputs!$B$13/100))-(Inputs!$B$12*(1+Inputs!$B$13/100)))+0.25*(Inputs!$B$14-Inputs!$B$14))*(1+Inputs!$B$7/100))*(F1550/100)</f>
        <v/>
      </c>
      <c r="K1550">
        <f>J1550*(1+((Inputs!$B$12*(1+Inputs!$B$13/100))*0.01+Inputs!$B$14*0.0025)/100)*(1+Inputs!$B$15/100)*(1+Inputs!$B$16/100)*(5000/(6000+Inputs!$B$42*(1-(100*(1-(1-(Inputs!$B$19+0)/100)*(1-CHOOSE(ArtifactsInput!$N$40+1,5,6,7,8,9,10)/100)^(ArtifactsInput!$M$40-ArtifactsInput!$M$40)))/100)))*(1+(Inputs!$B$24+((C1569=TRUE)*(F1569-Calc!F26))+B1580)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1558=TRUE,F1558,0)/100)*(1+(IF(Skills!A7="EIGHT_LEGS_EASTON",Inputs!$B$17+((C1566=TRUE)*(F1566-Calc!F23))+((C1570=TRUE)*(F1570-Calc!F27))+((IF(AND(Inputs!$B$38&lt;&gt;"pvp",Inputs!$B$43=0),1,IF(IF(Inputs!$B$38="pvp",15,Inputs!$B$43)-(B1581)&lt;=0,1,MAX(0,IF(Inputs!$B$38="pvp",15,Inputs!$B$43)-MAX(5,B1581))/(IF(Inputs!$B$38="pvp",15,Inputs!$B$43)-(B1581))))*(IF(AND(ArtifactsInput!$M$42,((Inputs!$B$9+((C1562=TRUE)*(F1562-Calc!F19))+B1574+(ArtifactsInput!$M$24-ArtifactsInput!$M$24)*CHOOSE(ArtifactsInput!$N$24+1,10,12,14,16,18,20)+IF(ArtifactsInput!$M$10,CHOOSE(ArtifactsInput!$N$10+1,15,18,21,24,27,30)*(IF(Inputs!$B$38="pvp",MIN(15,15)/15,IF(AND(Inputs!$B$38&lt;&gt;"pvp",Inputs!$B$43&gt;0),MIN(15,Inputs!$B$43)/(Inputs!$B$43),0))),0)))&gt;=100),MIN(100,((Inputs!$B$9+((C1562=TRUE)*(F1562-Calc!F19))+B1574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1581)&lt;=0,1,MAX(0,IF(Inputs!$B$38="pvp",15,Inputs!$B$43)-MAX(5,B1581))/(IF(Inputs!$B$38="pvp",15,Inputs!$B$43)-(B1581))))*IF(AND(ArtifactsInput!$M$42,((Inputs!$B$9+((C1562=TRUE)*(F1562-Calc!F19))+B1574+(ArtifactsInput!$M$24-ArtifactsInput!$M$24)*CHOOSE(ArtifactsInput!$N$24+1,10,12,14,16,18,20)+IF(ArtifactsInput!$M$10,CHOOSE(ArtifactsInput!$N$10+1,15,18,21,24,27,30)*(IF(Inputs!$B$38="pvp",MIN(15,15)/15,IF(AND(Inputs!$B$38&lt;&gt;"pvp",Inputs!$B$43&gt;0),MIN(15,Inputs!$B$43)/(Inputs!$B$43),0))),0)))&gt;=100),CHOOSE(ArtifactsInput!$N$42+1,40,48,56,64,72,80),0))))/100)*((1+(((C1560=TRUE)*F1560*5/7)+((C1567=TRUE)*(F1567-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1550)</f>
        <v/>
      </c>
      <c r="L1550">
        <f>K1550*(MIN(Inputs!$B$22+((C1565=TRUE)*(F1565-Calc!F22)),(Inputs!$B$23+0+(IF(ArtifactsInput!$M$15,CHOOSE(ArtifactsInput!$N$15+1,25,30,35,40,45,50)/100*(Inputs!$B$11-Inputs!$B$11),0))))/100+(Inputs!$B$23+0+(IF(ArtifactsInput!$M$15,CHOOSE(ArtifactsInput!$N$15+1,25,30,35,40,45,50)/100*(Inputs!$B$11-Inputs!$B$11),0)))/100)/2</f>
        <v/>
      </c>
      <c r="M1550">
        <f>L1550*(1+(Inputs!$B$10+((C1568=TRUE)*(F1568-Calc!F25))+B1579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50">
        <f>L1550*(1-MIN((Inputs!$B$9+((C1562=TRUE)*(F1562-Calc!F19))+B1574+(ArtifactsInput!$M$24-ArtifactsInput!$M$24)*CHOOSE(ArtifactsInput!$N$24+1,10,12,14,16,18,20)+(IF(AND(Inputs!$B$38&lt;&gt;"pvp",Inputs!$B$43=0),1,IF(IF(Inputs!$B$38="pvp",15,Inputs!$B$43)-(B1581)&lt;=0,1,MAX(0,IF(Inputs!$B$38="pvp",15,Inputs!$B$43)-MAX(5,B1581))/(IF(Inputs!$B$38="pvp",15,Inputs!$B$43)-(B1581))))*IF(AND(ArtifactsInput!$M$42,((Inputs!$B$9+((C1562=TRUE)*(F1562-Calc!F19))+B1574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1550*(MIN((Inputs!$B$9+((C1562=TRUE)*(F1562-Calc!F19))+B1574+(ArtifactsInput!$M$24-ArtifactsInput!$M$24)*CHOOSE(ArtifactsInput!$N$24+1,10,12,14,16,18,20)+(IF(AND(Inputs!$B$38&lt;&gt;"pvp",Inputs!$B$43=0),1,IF(IF(Inputs!$B$38="pvp",15,Inputs!$B$43)-(B1581)&lt;=0,1,MAX(0,IF(Inputs!$B$38="pvp",15,Inputs!$B$43)-MAX(5,B1581))/(IF(Inputs!$B$38="pvp",15,Inputs!$B$43)-(B1581))))*IF(AND(ArtifactsInput!$M$42,((Inputs!$B$9+((C1562=TRUE)*(F1562-Calc!F19))+B1574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50">
        <f>(1-Summary!$B$11)*T1550+Summary!$B$11*V1550</f>
        <v/>
      </c>
      <c r="P1550">
        <f>IF(B1584=0,0,O1550/B1584)</f>
        <v/>
      </c>
      <c r="Q1550">
        <f>IFERROR(1/(IF(Inputs!$B$38="pvp",15,MAX(0.1,Skills!D7-IF(TRUE=TRUE,Inputs!$B$32,0)))*(1-IF(AND(ArtifactsInput!$M$27,Inputs!$B$4="Chapter Hunt"),CHOOSE(ArtifactsInput!$N$27+1,20,24,28,32,36,40),0)/100)),0)</f>
        <v/>
      </c>
      <c r="R1550">
        <f>IF(AND(Inputs!$B$38&lt;&gt;"pvp",Inputs!$B$43&gt;0),IF(MAX(0,Inputs!$B$43-B1581)&lt;=0,0,(INT(MAX(0,Inputs!$B$43-B1581)/(IF(Inputs!$B$38="pvp",15,MAX(0.1,Skills!D7-IF(TRUE=TRUE,Inputs!$B$32,0)))*(1-IF(AND(ArtifactsInput!$M$27,Inputs!$B$4="Chapter Hunt"),CHOOSE(ArtifactsInput!$N$27+1,20,24,28,32,36,40),0)/100)))+1)),0)</f>
        <v/>
      </c>
      <c r="S1550">
        <f>IFERROR(O1550/N1550,0)</f>
        <v/>
      </c>
      <c r="T1550">
        <f>IF(C1550,(H1550*N1550*IF(AND(Inputs!$B$38&lt;&gt;"pvp",Inputs!$B$43&gt;0),((Skills!G7*((R1550-1)*IF(Skills!H7&gt;0,INT(Skills!I7/Skills!H7+0.000000001),1)+IF(Skills!H7&gt;0,INT(MIN(Skills!I7,MAX(0,MAX(0,Inputs!$B$43-B1581)-((R1550-1)*(IF(Inputs!$B$38="pvp",15,MAX(0.1,Skills!D7-IF(TRUE=TRUE,Inputs!$B$32,0)))*(1-IF(AND(ArtifactsInput!$M$27,Inputs!$B$4="Chapter Hunt"),CHOOSE(ArtifactsInput!$N$27+1,20,24,28,32,36,40),0)/100)))))/Skills!H7+0.000000001),1)))/Inputs!$B$43),G1550*Q1550))*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Hunt"),CHOOSE(ArtifactsInput!$N$35+1,15,18,21,24,27,30)*(1-EXP(-(0.2*B1576)*5)),0)+IF(AND(ArtifactsInput!$M$22,Inputs!$B$4&lt;&gt;"Chapter Hunt"),CHOOSE(ArtifactsInput!$N$22+1,10,12,14,16,18,20)*((0*(((0.15*B1576*5))^0/1)+1*(((0.15*B1576*5))^1/1)+2*(((0.15*B1576*5))^2/2)+3*(((0.15*B1576*5))^3/6)+4*(((0.15*B1576*5))^4/24)+5*(((0.15*B1576*5))^5/120))/((((0.15*B1576*5))^0/1)+(((0.15*B1576*5))^1/1)+(((0.15*B1576*5))^2/2)+(((0.15*B1576*5))^3/6)+(((0.15*B1576*5))^4/24)+(((0.15*B1576*5))^5/120))),0))+IF(Inputs!$B$3&gt;=54,9*(C1546=TRUE)*MIN(1,8*(1+Inputs!$B$34/100)*Q1546)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1550*(1-MIN(100,(Inputs!$B$9+((C1562=TRUE)*(F1562-Calc!F19))+B1574+(ArtifactsInput!$M$24-ArtifactsInput!$M$24)*CHOOSE(ArtifactsInput!$N$24+1,10,12,14,16,18,20)+(IF(AND(Inputs!$B$38&lt;&gt;"pvp",Inputs!$B$43=0),1,IF(IF(Inputs!$B$38="pvp",15,Inputs!$B$43)-(B1581)&lt;=0,1,MAX(0,IF(Inputs!$B$38="pvp",15,Inputs!$B$43)-MAX(5,B1581))/(IF(Inputs!$B$38="pvp",15,Inputs!$B$43)-(B1581))))*IF(AND(ArtifactsInput!$M$42,((Inputs!$B$9+((C1562=TRUE)*(F1562-Calc!F19))+B1574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1550*(MIN(100,(Inputs!$B$9+((C1562=TRUE)*(F1562-Calc!F19))+B1574+(ArtifactsInput!$M$24-ArtifactsInput!$M$24)*CHOOSE(ArtifactsInput!$N$24+1,10,12,14,16,18,20)+(IF(AND(Inputs!$B$38&lt;&gt;"pvp",Inputs!$B$43=0),1,IF(IF(Inputs!$B$38="pvp",15,Inputs!$B$43)-(B1581)&lt;=0,1,MAX(0,IF(Inputs!$B$38="pvp",15,Inputs!$B$43)-MAX(5,B1581))/(IF(Inputs!$B$38="pvp",15,Inputs!$B$43)-(B1581))))*IF(AND(ArtifactsInput!$M$42,((Inputs!$B$9+((C1562=TRUE)*(F1562-Calc!F19))+B1574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1550*(1-MIN(100,(Inputs!$B$9+((C1562=TRUE)*(F1562-Calc!F19))+B1574+(ArtifactsInput!$M$24-ArtifactsInput!$M$24)*CHOOSE(ArtifactsInput!$N$24+1,10,12,14,16,18,20)+(IF(AND(Inputs!$B$38&lt;&gt;"pvp",Inputs!$B$43=0),1,IF(IF(Inputs!$B$38="pvp",15,Inputs!$B$43)-(B1581)&lt;=0,1,MAX(0,IF(Inputs!$B$38="pvp",15,Inputs!$B$43)-MAX(5,B1581))/(IF(Inputs!$B$38="pvp",15,Inputs!$B$43)-(B1581))))*IF(AND(ArtifactsInput!$M$42,((Inputs!$B$9+((C1562=TRUE)*(F1562-Calc!F19))+B1574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1550*(MIN(100,(Inputs!$B$9+((C1562=TRUE)*(F1562-Calc!F19))+B1574+(ArtifactsInput!$M$24-ArtifactsInput!$M$24)*CHOOSE(ArtifactsInput!$N$24+1,10,12,14,16,18,20)+(IF(AND(Inputs!$B$38&lt;&gt;"pvp",Inputs!$B$43=0),1,IF(IF(Inputs!$B$38="pvp",15,Inputs!$B$43)-(B1581)&lt;=0,1,MAX(0,IF(Inputs!$B$38="pvp",15,Inputs!$B$43)-MAX(5,B1581))/(IF(Inputs!$B$38="pvp",15,Inputs!$B$43)-(B1581))))*IF(AND(ArtifactsInput!$M$42,((Inputs!$B$9+((C1562=TRUE)*(F1562-Calc!F19))+B1574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550">
        <f>IF(C1550,(H1550*N1550*IF(AND(Inputs!$B$38&lt;&gt;"pvp",Inputs!$B$43&gt;0),((Skills!G7*((R1550-1)*IF(Skills!H7&gt;0,INT(Skills!I7/Skills!H7+0.000000001),1)+IF(Skills!H7&gt;0,INT(MIN(Skills!I7,MAX(0,MAX(0,Inputs!$B$43-B1581)-((R1550-1)*(IF(Inputs!$B$38="pvp",15,MAX(0.1,Skills!D7-IF(TRUE=TRUE,Inputs!$B$32,0)))*(1-IF(AND(ArtifactsInput!$M$27,Inputs!$B$4="Chapter Hunt"),CHOOSE(ArtifactsInput!$N$27+1,20,24,28,32,36,40),0)/100)))))/Skills!H7+0.000000001),1)))/Inputs!$B$43),G1550*Q1550))*IF(Inputs!$B$38="pvp",1,(1+(Inputs!$B$21+Skills!Q7+(IF(ArtifactsInput!$M$33,CHOOSE(ArtifactsInput!$N$33+1,30,36,42,48,54,60),0))+(IF(AND(ArtifactsInput!$M$35,Inputs!$B$4&lt;&gt;"Chapter Hunt"),CHOOSE(ArtifactsInput!$N$35+1,15,18,21,24,27,30)*(1-EXP(-(0.2*B1576)*5)),0)+IF(AND(ArtifactsInput!$M$22,Inputs!$B$4&lt;&gt;"Chapter Hunt"),CHOOSE(ArtifactsInput!$N$22+1,10,12,14,16,18,20)*((0*(((0.15*B1576*5))^0/1)+1*(((0.15*B1576*5))^1/1)+2*(((0.15*B1576*5))^2/2)+3*(((0.15*B1576*5))^3/6)+4*(((0.15*B1576*5))^4/24)+5*(((0.15*B1576*5))^5/120))/((((0.15*B1576*5))^0/1)+(((0.15*B1576*5))^1/1)+(((0.15*B1576*5))^2/2)+(((0.15*B1576*5))^3/6)+(((0.15*B1576*5))^4/24)+(((0.15*B1576*5))^5/120))),0))+IF(Inputs!$B$3&gt;=54,9*(C1546=TRUE)*MIN(1,8*(1+Inputs!$B$34/100)*Q1546),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51">
      <c r="A1551">
        <f>Skills!A8</f>
        <v/>
      </c>
      <c r="B1551">
        <f>Skills!B8</f>
        <v/>
      </c>
      <c r="C1551">
        <f>Inputs!$B$3&gt;=103</f>
        <v/>
      </c>
      <c r="D1551">
        <f>IF(Skills!C8=1,60+Inputs!$B$25+Inputs!$B$29,IF(Skills!C8=2,90+Inputs!$B$26+Inputs!$B$29,IF(Skills!C8=3,120+Inputs!$B$27+Inputs!$B$29,MAX(0,(Inputs!$B$3-100)*3)+Inputs!$B$28+Inputs!$B$29)))</f>
        <v/>
      </c>
      <c r="E1551">
        <f>INDEX(FactorTable!$B$2:$Y$301, MATCH(ROUND(MIN(300,MAX(1,D1551)),0), FactorTable!$A$2:$A$301,0), Skills!M8+1)</f>
        <v/>
      </c>
      <c r="F1551">
        <f>IF(Skills!N8=TRUE,(Skills!L8/10)*(E1551/1000),Skills!L8/10)+Skills!O8</f>
        <v/>
      </c>
      <c r="G1551">
        <f>Skills!G8*IF(Skills!H8&gt;0,INT(IF(Inputs!$B$38="pvp",MIN(Skills!I8,15),Skills!I8)/Skills!H8+0.000000001),1)</f>
        <v/>
      </c>
      <c r="H1551">
        <f>1-(1-Skills!J8/100)^Skills!K8</f>
        <v/>
      </c>
      <c r="I1551" t="inlineStr">
        <is>
          <t>1</t>
        </is>
      </c>
      <c r="J1551">
        <f>((Inputs!$B$6*(1+Inputs!$B$7/100))+(((Inputs!$B$12*(1+Inputs!$B$13/100))-(Inputs!$B$12*(1+Inputs!$B$13/100)))+0.25*(Inputs!$B$14-Inputs!$B$14))*(1+Inputs!$B$7/100))*(F1551/100)</f>
        <v/>
      </c>
      <c r="K1551">
        <f>J1551*(1+((Inputs!$B$12*(1+Inputs!$B$13/100))*0.01+Inputs!$B$14*0.0025)/100)*(1+Inputs!$B$15/100)*(1+Inputs!$B$16/100)*(5000/(6000+Inputs!$B$42*(1-(100*(1-(1-(Inputs!$B$19+0)/100)*(1-CHOOSE(ArtifactsInput!$N$40+1,5,6,7,8,9,10)/100)^(ArtifactsInput!$M$40-ArtifactsInput!$M$40)))/100)))*(1+(Inputs!$B$24+((C1569=TRUE)*(F1569-Calc!F26))+B1580)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IGHT_LEGS_EASTON",Inputs!$B$17+((C1566=TRUE)*(F1566-Calc!F23))+((C1570=TRUE)*(F1570-Calc!F27))+((IF(AND(Inputs!$B$38&lt;&gt;"pvp",Inputs!$B$43=0),1,IF(IF(Inputs!$B$38="pvp",15,Inputs!$B$43)-(B1581)&lt;=0,1,MAX(0,IF(Inputs!$B$38="pvp",15,Inputs!$B$43)-MAX(5,B1581))/(IF(Inputs!$B$38="pvp",15,Inputs!$B$43)-(B1581))))*(IF(AND(ArtifactsInput!$M$42,((Inputs!$B$9+((C1562=TRUE)*(F1562-Calc!F19))+B1574+(ArtifactsInput!$M$24-ArtifactsInput!$M$24)*CHOOSE(ArtifactsInput!$N$24+1,10,12,14,16,18,20)+IF(ArtifactsInput!$M$10,CHOOSE(ArtifactsInput!$N$10+1,15,18,21,24,27,30)*(IF(Inputs!$B$38="pvp",MIN(15,15)/15,IF(AND(Inputs!$B$38&lt;&gt;"pvp",Inputs!$B$43&gt;0),MIN(15,Inputs!$B$43)/(Inputs!$B$43),0))),0)))&gt;=100),MIN(100,((Inputs!$B$9+((C1562=TRUE)*(F1562-Calc!F19))+B1574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1581)&lt;=0,1,MAX(0,IF(Inputs!$B$38="pvp",15,Inputs!$B$43)-MAX(5,B1581))/(IF(Inputs!$B$38="pvp",15,Inputs!$B$43)-(B1581))))*IF(AND(ArtifactsInput!$M$42,((Inputs!$B$9+((C1562=TRUE)*(F1562-Calc!F19))+B1574+(ArtifactsInput!$M$24-ArtifactsInput!$M$24)*CHOOSE(ArtifactsInput!$N$24+1,10,12,14,16,18,20)+IF(ArtifactsInput!$M$10,CHOOSE(ArtifactsInput!$N$10+1,15,18,21,24,27,30)*(IF(Inputs!$B$38="pvp",MIN(15,15)/15,IF(AND(Inputs!$B$38&lt;&gt;"pvp",Inputs!$B$43&gt;0),MIN(15,Inputs!$B$43)/(Inputs!$B$43),0))),0)))&gt;=100),CHOOSE(ArtifactsInput!$N$42+1,40,48,56,64,72,80),0))))/100)*((1+(((C1560=TRUE)*F1560*5/7)+((C1567=TRUE)*(F1567-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1551)</f>
        <v/>
      </c>
      <c r="L1551">
        <f>K1551*(MIN(Inputs!$B$22+((C1565=TRUE)*(F1565-Calc!F22)),(Inputs!$B$23+0+(IF(ArtifactsInput!$M$15,CHOOSE(ArtifactsInput!$N$15+1,25,30,35,40,45,50)/100*(Inputs!$B$11-Inputs!$B$11),0))))/100+(Inputs!$B$23+0+(IF(ArtifactsInput!$M$15,CHOOSE(ArtifactsInput!$N$15+1,25,30,35,40,45,50)/100*(Inputs!$B$11-Inputs!$B$11),0)))/100)/2</f>
        <v/>
      </c>
      <c r="M1551">
        <f>L1551*(1+(Inputs!$B$10+((C1568=TRUE)*(F1568-Calc!F25))+B1579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51">
        <f>L1551*(1-MIN((Inputs!$B$9+((C1562=TRUE)*(F1562-Calc!F19))+B1574+(ArtifactsInput!$M$24-ArtifactsInput!$M$24)*CHOOSE(ArtifactsInput!$N$24+1,10,12,14,16,18,20)+(IF(AND(Inputs!$B$38&lt;&gt;"pvp",Inputs!$B$43=0),1,IF(IF(Inputs!$B$38="pvp",15,Inputs!$B$43)-(B1581)&lt;=0,1,MAX(0,IF(Inputs!$B$38="pvp",15,Inputs!$B$43)-MAX(5,B1581))/(IF(Inputs!$B$38="pvp",15,Inputs!$B$43)-(B1581))))*IF(AND(ArtifactsInput!$M$42,((Inputs!$B$9+((C1562=TRUE)*(F1562-Calc!F19))+B1574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1551*(MIN((Inputs!$B$9+((C1562=TRUE)*(F1562-Calc!F19))+B1574+(ArtifactsInput!$M$24-ArtifactsInput!$M$24)*CHOOSE(ArtifactsInput!$N$24+1,10,12,14,16,18,20)+(IF(AND(Inputs!$B$38&lt;&gt;"pvp",Inputs!$B$43=0),1,IF(IF(Inputs!$B$38="pvp",15,Inputs!$B$43)-(B1581)&lt;=0,1,MAX(0,IF(Inputs!$B$38="pvp",15,Inputs!$B$43)-MAX(5,B1581))/(IF(Inputs!$B$38="pvp",15,Inputs!$B$43)-(B1581))))*IF(AND(ArtifactsInput!$M$42,((Inputs!$B$9+((C1562=TRUE)*(F1562-Calc!F19))+B1574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51">
        <f>(1-Summary!$B$11)*T1551+Summary!$B$11*V1551</f>
        <v/>
      </c>
      <c r="P1551">
        <f>IF(B1584=0,0,O1551/B1584)</f>
        <v/>
      </c>
      <c r="Q1551">
        <f>IFERROR(1/((IF(Inputs!$B$38="pvp",15,MAX(0.1,Skills!D8-IF(TRUE=TRUE,Inputs!$B$32,0)))*(1-IF(AND(ArtifactsInput!$M$27,Inputs!$B$4="Chapter Hunt"),CHOOSE(ArtifactsInput!$N$27+1,20,24,28,32,36,40),0)/100))/B1585),0)</f>
        <v/>
      </c>
      <c r="R1551">
        <f>IF(AND(Inputs!$B$38&lt;&gt;"pvp",Inputs!$B$43&gt;0),IF(MAX(0,Inputs!$B$43-B1581)&lt;=0,0,(INT(MAX(0,Inputs!$B$43-B1581)/((IF(Inputs!$B$38="pvp",15,MAX(0.1,Skills!D8-IF(TRUE=TRUE,Inputs!$B$32,0)))*(1-IF(AND(ArtifactsInput!$M$27,Inputs!$B$4="Chapter Hunt"),CHOOSE(ArtifactsInput!$N$27+1,20,24,28,32,36,40),0)/100))/B1585))+1)),0)</f>
        <v/>
      </c>
      <c r="S1551">
        <f>IFERROR(O1551/N1551,0)</f>
        <v/>
      </c>
      <c r="T1551">
        <f>IF(C1551,(H1551*N1551*IF(AND(Inputs!$B$38&lt;&gt;"pvp",Inputs!$B$43&gt;0),((Skills!G8*((R1551-1)*IF(Skills!H8&gt;0,INT(Skills!I8/Skills!H8+0.000000001),1)+IF(Skills!H8&gt;0,INT(MIN(Skills!I8,MAX(0,MAX(0,Inputs!$B$43-B1581)-((R1551-1)*((IF(Inputs!$B$38="pvp",15,MAX(0.1,Skills!D8-IF(TRUE=TRUE,Inputs!$B$32,0)))*(1-IF(AND(ArtifactsInput!$M$27,Inputs!$B$4="Chapter Hunt"),CHOOSE(ArtifactsInput!$N$27+1,20,24,28,32,36,40),0)/100))/B1585))))/Skills!H8+0.000000001),1)))/Inputs!$B$43),G1551*Q1551))*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Hunt"),CHOOSE(ArtifactsInput!$N$35+1,15,18,21,24,27,30)*(1-EXP(-(0.2*B1576)*5)),0)+IF(AND(ArtifactsInput!$M$22,Inputs!$B$4&lt;&gt;"Chapter Hunt"),CHOOSE(ArtifactsInput!$N$22+1,10,12,14,16,18,20)*((0*(((0.15*B1576*5))^0/1)+1*(((0.15*B1576*5))^1/1)+2*(((0.15*B1576*5))^2/2)+3*(((0.15*B1576*5))^3/6)+4*(((0.15*B1576*5))^4/24)+5*(((0.15*B1576*5))^5/120))/((((0.15*B1576*5))^0/1)+(((0.15*B1576*5))^1/1)+(((0.15*B1576*5))^2/2)+(((0.15*B1576*5))^3/6)+(((0.15*B1576*5))^4/24)+(((0.15*B1576*5))^5/120))),0))+IF(Inputs!$B$3&gt;=54,9*(C1546=TRUE)*MIN(1,8*(1+Inputs!$B$34/100)*Q1546)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1551*(1-MIN(100,(Inputs!$B$9+((C1562=TRUE)*(F1562-Calc!F19))+B1574+(ArtifactsInput!$M$24-ArtifactsInput!$M$24)*CHOOSE(ArtifactsInput!$N$24+1,10,12,14,16,18,20)+(IF(AND(Inputs!$B$38&lt;&gt;"pvp",Inputs!$B$43=0),1,IF(IF(Inputs!$B$38="pvp",15,Inputs!$B$43)-(B1581)&lt;=0,1,MAX(0,IF(Inputs!$B$38="pvp",15,Inputs!$B$43)-MAX(5,B1581))/(IF(Inputs!$B$38="pvp",15,Inputs!$B$43)-(B1581))))*IF(AND(ArtifactsInput!$M$42,((Inputs!$B$9+((C1562=TRUE)*(F1562-Calc!F19))+B1574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1551*(MIN(100,(Inputs!$B$9+((C1562=TRUE)*(F1562-Calc!F19))+B1574+(ArtifactsInput!$M$24-ArtifactsInput!$M$24)*CHOOSE(ArtifactsInput!$N$24+1,10,12,14,16,18,20)+(IF(AND(Inputs!$B$38&lt;&gt;"pvp",Inputs!$B$43=0),1,IF(IF(Inputs!$B$38="pvp",15,Inputs!$B$43)-(B1581)&lt;=0,1,MAX(0,IF(Inputs!$B$38="pvp",15,Inputs!$B$43)-MAX(5,B1581))/(IF(Inputs!$B$38="pvp",15,Inputs!$B$43)-(B1581))))*IF(AND(ArtifactsInput!$M$42,((Inputs!$B$9+((C1562=TRUE)*(F1562-Calc!F19))+B1574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1551*(1-MIN(100,(Inputs!$B$9+((C1562=TRUE)*(F1562-Calc!F19))+B1574+(ArtifactsInput!$M$24-ArtifactsInput!$M$24)*CHOOSE(ArtifactsInput!$N$24+1,10,12,14,16,18,20)+(IF(AND(Inputs!$B$38&lt;&gt;"pvp",Inputs!$B$43=0),1,IF(IF(Inputs!$B$38="pvp",15,Inputs!$B$43)-(B1581)&lt;=0,1,MAX(0,IF(Inputs!$B$38="pvp",15,Inputs!$B$43)-MAX(5,B1581))/(IF(Inputs!$B$38="pvp",15,Inputs!$B$43)-(B1581))))*IF(AND(ArtifactsInput!$M$42,((Inputs!$B$9+((C1562=TRUE)*(F1562-Calc!F19))+B1574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1551*(MIN(100,(Inputs!$B$9+((C1562=TRUE)*(F1562-Calc!F19))+B1574+(ArtifactsInput!$M$24-ArtifactsInput!$M$24)*CHOOSE(ArtifactsInput!$N$24+1,10,12,14,16,18,20)+(IF(AND(Inputs!$B$38&lt;&gt;"pvp",Inputs!$B$43=0),1,IF(IF(Inputs!$B$38="pvp",15,Inputs!$B$43)-(B1581)&lt;=0,1,MAX(0,IF(Inputs!$B$38="pvp",15,Inputs!$B$43)-MAX(5,B1581))/(IF(Inputs!$B$38="pvp",15,Inputs!$B$43)-(B1581))))*IF(AND(ArtifactsInput!$M$42,((Inputs!$B$9+((C1562=TRUE)*(F1562-Calc!F19))+B1574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551">
        <f>IF(C1551,(H1551*N1551*IF(AND(Inputs!$B$38&lt;&gt;"pvp",Inputs!$B$43&gt;0),((Skills!G8*((R1551-1)*IF(Skills!H8&gt;0,INT(Skills!I8/Skills!H8+0.000000001),1)+IF(Skills!H8&gt;0,INT(MIN(Skills!I8,MAX(0,MAX(0,Inputs!$B$43-B1581)-((R1551-1)*((IF(Inputs!$B$38="pvp",15,MAX(0.1,Skills!D8-IF(TRUE=TRUE,Inputs!$B$32,0)))*(1-IF(AND(ArtifactsInput!$M$27,Inputs!$B$4="Chapter Hunt"),CHOOSE(ArtifactsInput!$N$27+1,20,24,28,32,36,40),0)/100))/B1585))))/Skills!H8+0.000000001),1)))/Inputs!$B$43),G1551*Q1551))*IF(Inputs!$B$38="pvp",1,(1+(Inputs!$B$21+Skills!Q8+(IF(ArtifactsInput!$M$33,CHOOSE(ArtifactsInput!$N$33+1,30,36,42,48,54,60),0))+(IF(AND(ArtifactsInput!$M$35,Inputs!$B$4&lt;&gt;"Chapter Hunt"),CHOOSE(ArtifactsInput!$N$35+1,15,18,21,24,27,30)*(1-EXP(-(0.2*B1576)*5)),0)+IF(AND(ArtifactsInput!$M$22,Inputs!$B$4&lt;&gt;"Chapter Hunt"),CHOOSE(ArtifactsInput!$N$22+1,10,12,14,16,18,20)*((0*(((0.15*B1576*5))^0/1)+1*(((0.15*B1576*5))^1/1)+2*(((0.15*B1576*5))^2/2)+3*(((0.15*B1576*5))^3/6)+4*(((0.15*B1576*5))^4/24)+5*(((0.15*B1576*5))^5/120))/((((0.15*B1576*5))^0/1)+(((0.15*B1576*5))^1/1)+(((0.15*B1576*5))^2/2)+(((0.15*B1576*5))^3/6)+(((0.15*B1576*5))^4/24)+(((0.15*B1576*5))^5/120))),0))+IF(Inputs!$B$3&gt;=54,9*(C1546=TRUE)*MIN(1,8*(1+Inputs!$B$34/100)*Q1546),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52">
      <c r="A1552">
        <f>Skills!A9</f>
        <v/>
      </c>
      <c r="B1552">
        <f>Skills!B9</f>
        <v/>
      </c>
      <c r="C1552">
        <f>Inputs!$B$3&gt;=105</f>
        <v/>
      </c>
      <c r="D1552">
        <f>IF(Skills!C9=1,60+Inputs!$B$25+Inputs!$B$29,IF(Skills!C9=2,90+Inputs!$B$26+Inputs!$B$29,IF(Skills!C9=3,120+Inputs!$B$27+Inputs!$B$29,MAX(0,(Inputs!$B$3-100)*3)+Inputs!$B$28+Inputs!$B$29)))</f>
        <v/>
      </c>
      <c r="E1552">
        <f>INDEX(FactorTable!$B$2:$Y$301, MATCH(ROUND(MIN(300,MAX(1,D1552)),0), FactorTable!$A$2:$A$301,0), Skills!M9+1)</f>
        <v/>
      </c>
      <c r="F1552">
        <f>IF(Skills!N9=TRUE,(Skills!L9/10)*(E1552/1000),Skills!L9/10)+Skills!O9</f>
        <v/>
      </c>
      <c r="G1552">
        <f>Skills!G9*IF(Skills!H9&gt;0,INT(IF(Inputs!$B$38="pvp",MIN(Skills!I9,15),Skills!I9)/Skills!H9+0.000000001),1)</f>
        <v/>
      </c>
      <c r="H1552">
        <f>1-(1-Skills!J9/100)^Skills!K9</f>
        <v/>
      </c>
      <c r="I1552" t="inlineStr">
        <is>
          <t>1</t>
        </is>
      </c>
      <c r="J1552">
        <f>((Inputs!$B$6*(1+Inputs!$B$7/100))+(((Inputs!$B$12*(1+Inputs!$B$13/100))-(Inputs!$B$12*(1+Inputs!$B$13/100)))+0.25*(Inputs!$B$14-Inputs!$B$14))*(1+Inputs!$B$7/100))*(F1552/100)</f>
        <v/>
      </c>
      <c r="K1552">
        <f>J1552*(1+((Inputs!$B$12*(1+Inputs!$B$13/100))*0.01+Inputs!$B$14*0.0025)/100)*(1+Inputs!$B$15/100)*(1+Inputs!$B$16/100)*(5000/(6000+Inputs!$B$42*(1-(100*(1-(1-(Inputs!$B$19+0)/100)*(1-CHOOSE(ArtifactsInput!$N$40+1,5,6,7,8,9,10)/100)^(ArtifactsInput!$M$40-ArtifactsInput!$M$40)))/100)))*(1+(Inputs!$B$24+((C1569=TRUE)*(F1569-Calc!F26))+B1580)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IGHT_LEGS_EASTON",Inputs!$B$17+((C1566=TRUE)*(F1566-Calc!F23))+((C1570=TRUE)*(F1570-Calc!F27))+((IF(AND(Inputs!$B$38&lt;&gt;"pvp",Inputs!$B$43=0),1,IF(IF(Inputs!$B$38="pvp",15,Inputs!$B$43)-(B1581)&lt;=0,1,MAX(0,IF(Inputs!$B$38="pvp",15,Inputs!$B$43)-MAX(5,B1581))/(IF(Inputs!$B$38="pvp",15,Inputs!$B$43)-(B1581))))*(IF(AND(ArtifactsInput!$M$42,((Inputs!$B$9+((C1562=TRUE)*(F1562-Calc!F19))+B1574+(ArtifactsInput!$M$24-ArtifactsInput!$M$24)*CHOOSE(ArtifactsInput!$N$24+1,10,12,14,16,18,20)+IF(ArtifactsInput!$M$10,CHOOSE(ArtifactsInput!$N$10+1,15,18,21,24,27,30)*(IF(Inputs!$B$38="pvp",MIN(15,15)/15,IF(AND(Inputs!$B$38&lt;&gt;"pvp",Inputs!$B$43&gt;0),MIN(15,Inputs!$B$43)/(Inputs!$B$43),0))),0)))&gt;=100),MIN(100,((Inputs!$B$9+((C1562=TRUE)*(F1562-Calc!F19))+B1574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1581)&lt;=0,1,MAX(0,IF(Inputs!$B$38="pvp",15,Inputs!$B$43)-MAX(5,B1581))/(IF(Inputs!$B$38="pvp",15,Inputs!$B$43)-(B1581))))*IF(AND(ArtifactsInput!$M$42,((Inputs!$B$9+((C1562=TRUE)*(F1562-Calc!F19))+B1574+(ArtifactsInput!$M$24-ArtifactsInput!$M$24)*CHOOSE(ArtifactsInput!$N$24+1,10,12,14,16,18,20)+IF(ArtifactsInput!$M$10,CHOOSE(ArtifactsInput!$N$10+1,15,18,21,24,27,30)*(IF(Inputs!$B$38="pvp",MIN(15,15)/15,IF(AND(Inputs!$B$38&lt;&gt;"pvp",Inputs!$B$43&gt;0),MIN(15,Inputs!$B$43)/(Inputs!$B$43),0))),0)))&gt;=100),CHOOSE(ArtifactsInput!$N$42+1,40,48,56,64,72,80),0))))/100)*((1+(((C1560=TRUE)*F1560*5/7)+((C1567=TRUE)*(F1567-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1552)</f>
        <v/>
      </c>
      <c r="L1552">
        <f>K1552*(MIN(Inputs!$B$22+((C1565=TRUE)*(F1565-Calc!F22)),(Inputs!$B$23+0+(IF(ArtifactsInput!$M$15,CHOOSE(ArtifactsInput!$N$15+1,25,30,35,40,45,50)/100*(Inputs!$B$11-Inputs!$B$11),0))))/100+(Inputs!$B$23+0+(IF(ArtifactsInput!$M$15,CHOOSE(ArtifactsInput!$N$15+1,25,30,35,40,45,50)/100*(Inputs!$B$11-Inputs!$B$11),0)))/100)/2</f>
        <v/>
      </c>
      <c r="M1552">
        <f>L1552*(1+(Inputs!$B$10+((C1568=TRUE)*(F1568-Calc!F25))+B1579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52">
        <f>L1552*(1-MIN((Inputs!$B$9+((C1562=TRUE)*(F1562-Calc!F19))+B1574+(ArtifactsInput!$M$24-ArtifactsInput!$M$24)*CHOOSE(ArtifactsInput!$N$24+1,10,12,14,16,18,20)+(IF(AND(Inputs!$B$38&lt;&gt;"pvp",Inputs!$B$43=0),1,IF(IF(Inputs!$B$38="pvp",15,Inputs!$B$43)-(B1581)&lt;=0,1,MAX(0,IF(Inputs!$B$38="pvp",15,Inputs!$B$43)-MAX(5,B1581))/(IF(Inputs!$B$38="pvp",15,Inputs!$B$43)-(B1581))))*IF(AND(ArtifactsInput!$M$42,((Inputs!$B$9+((C1562=TRUE)*(F1562-Calc!F19))+B1574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1552*(MIN((Inputs!$B$9+((C1562=TRUE)*(F1562-Calc!F19))+B1574+(ArtifactsInput!$M$24-ArtifactsInput!$M$24)*CHOOSE(ArtifactsInput!$N$24+1,10,12,14,16,18,20)+(IF(AND(Inputs!$B$38&lt;&gt;"pvp",Inputs!$B$43=0),1,IF(IF(Inputs!$B$38="pvp",15,Inputs!$B$43)-(B1581)&lt;=0,1,MAX(0,IF(Inputs!$B$38="pvp",15,Inputs!$B$43)-MAX(5,B1581))/(IF(Inputs!$B$38="pvp",15,Inputs!$B$43)-(B1581))))*IF(AND(ArtifactsInput!$M$42,((Inputs!$B$9+((C1562=TRUE)*(F1562-Calc!F19))+B1574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52">
        <f>(1-Summary!$B$11)*T1552+Summary!$B$11*V1552</f>
        <v/>
      </c>
      <c r="P1552">
        <f>IF(B1584=0,0,O1552/B1584)</f>
        <v/>
      </c>
      <c r="Q1552">
        <f>IFERROR(1/(IF(Inputs!$B$38="pvp",15,MAX(0.1,Skills!D9-IF(TRUE=TRUE,Inputs!$B$32,0)))*(1-IF(AND(ArtifactsInput!$M$27,Inputs!$B$4="Chapter Hunt"),CHOOSE(ArtifactsInput!$N$27+1,20,24,28,32,36,40),0)/100)),0)</f>
        <v/>
      </c>
      <c r="R1552">
        <f>IF(AND(Inputs!$B$38&lt;&gt;"pvp",Inputs!$B$43&gt;0),IF(MAX(0,Inputs!$B$43-B1581)&lt;=0,0,(INT(MAX(0,Inputs!$B$43-B1581)/(IF(Inputs!$B$38="pvp",15,MAX(0.1,Skills!D9-IF(TRUE=TRUE,Inputs!$B$32,0)))*(1-IF(AND(ArtifactsInput!$M$27,Inputs!$B$4="Chapter Hunt"),CHOOSE(ArtifactsInput!$N$27+1,20,24,28,32,36,40),0)/100)))+1)),0)</f>
        <v/>
      </c>
      <c r="S1552">
        <f>IFERROR(O1552/N1552,0)</f>
        <v/>
      </c>
      <c r="T1552">
        <f>IF(C1552,(H1552*N1552*IF(AND(Inputs!$B$38&lt;&gt;"pvp",Inputs!$B$43&gt;0),((Skills!G9*((R1552-1)*IF(Skills!H9&gt;0,INT(Skills!I9/Skills!H9+0.000000001),1)+IF(Skills!H9&gt;0,INT(MIN(Skills!I9,MAX(0,MAX(0,Inputs!$B$43-B1581)-((R1552-1)*(IF(Inputs!$B$38="pvp",15,MAX(0.1,Skills!D9-IF(TRUE=TRUE,Inputs!$B$32,0)))*(1-IF(AND(ArtifactsInput!$M$27,Inputs!$B$4="Chapter Hunt"),CHOOSE(ArtifactsInput!$N$27+1,20,24,28,32,36,40),0)/100)))))/Skills!H9+0.000000001),1)))/Inputs!$B$43),G1552*Q1552))*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Hunt"),CHOOSE(ArtifactsInput!$N$35+1,15,18,21,24,27,30)*(1-EXP(-(0.2*B1576)*5)),0)+IF(AND(ArtifactsInput!$M$22,Inputs!$B$4&lt;&gt;"Chapter Hunt"),CHOOSE(ArtifactsInput!$N$22+1,10,12,14,16,18,20)*((0*(((0.15*B1576*5))^0/1)+1*(((0.15*B1576*5))^1/1)+2*(((0.15*B1576*5))^2/2)+3*(((0.15*B1576*5))^3/6)+4*(((0.15*B1576*5))^4/24)+5*(((0.15*B1576*5))^5/120))/((((0.15*B1576*5))^0/1)+(((0.15*B1576*5))^1/1)+(((0.15*B1576*5))^2/2)+(((0.15*B1576*5))^3/6)+(((0.15*B1576*5))^4/24)+(((0.15*B1576*5))^5/120))),0))+IF(Inputs!$B$3&gt;=54,9*(C1546=TRUE)*MIN(1,8*(1+Inputs!$B$34/100)*Q1546)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1552*(1-MIN(100,(Inputs!$B$9+((C1562=TRUE)*(F1562-Calc!F19))+B1574+(ArtifactsInput!$M$24-ArtifactsInput!$M$24)*CHOOSE(ArtifactsInput!$N$24+1,10,12,14,16,18,20)+(IF(AND(Inputs!$B$38&lt;&gt;"pvp",Inputs!$B$43=0),1,IF(IF(Inputs!$B$38="pvp",15,Inputs!$B$43)-(B1581)&lt;=0,1,MAX(0,IF(Inputs!$B$38="pvp",15,Inputs!$B$43)-MAX(5,B1581))/(IF(Inputs!$B$38="pvp",15,Inputs!$B$43)-(B1581))))*IF(AND(ArtifactsInput!$M$42,((Inputs!$B$9+((C1562=TRUE)*(F1562-Calc!F19))+B1574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1552*(MIN(100,(Inputs!$B$9+((C1562=TRUE)*(F1562-Calc!F19))+B1574+(ArtifactsInput!$M$24-ArtifactsInput!$M$24)*CHOOSE(ArtifactsInput!$N$24+1,10,12,14,16,18,20)+(IF(AND(Inputs!$B$38&lt;&gt;"pvp",Inputs!$B$43=0),1,IF(IF(Inputs!$B$38="pvp",15,Inputs!$B$43)-(B1581)&lt;=0,1,MAX(0,IF(Inputs!$B$38="pvp",15,Inputs!$B$43)-MAX(5,B1581))/(IF(Inputs!$B$38="pvp",15,Inputs!$B$43)-(B1581))))*IF(AND(ArtifactsInput!$M$42,((Inputs!$B$9+((C1562=TRUE)*(F1562-Calc!F19))+B1574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1552*(1-MIN(100,(Inputs!$B$9+((C1562=TRUE)*(F1562-Calc!F19))+B1574+(ArtifactsInput!$M$24-ArtifactsInput!$M$24)*CHOOSE(ArtifactsInput!$N$24+1,10,12,14,16,18,20)+(IF(AND(Inputs!$B$38&lt;&gt;"pvp",Inputs!$B$43=0),1,IF(IF(Inputs!$B$38="pvp",15,Inputs!$B$43)-(B1581)&lt;=0,1,MAX(0,IF(Inputs!$B$38="pvp",15,Inputs!$B$43)-MAX(5,B1581))/(IF(Inputs!$B$38="pvp",15,Inputs!$B$43)-(B1581))))*IF(AND(ArtifactsInput!$M$42,((Inputs!$B$9+((C1562=TRUE)*(F1562-Calc!F19))+B1574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1552*(MIN(100,(Inputs!$B$9+((C1562=TRUE)*(F1562-Calc!F19))+B1574+(ArtifactsInput!$M$24-ArtifactsInput!$M$24)*CHOOSE(ArtifactsInput!$N$24+1,10,12,14,16,18,20)+(IF(AND(Inputs!$B$38&lt;&gt;"pvp",Inputs!$B$43=0),1,IF(IF(Inputs!$B$38="pvp",15,Inputs!$B$43)-(B1581)&lt;=0,1,MAX(0,IF(Inputs!$B$38="pvp",15,Inputs!$B$43)-MAX(5,B1581))/(IF(Inputs!$B$38="pvp",15,Inputs!$B$43)-(B1581))))*IF(AND(ArtifactsInput!$M$42,((Inputs!$B$9+((C1562=TRUE)*(F1562-Calc!F19))+B1574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552">
        <f>IF(C1552,(H1552*N1552*IF(AND(Inputs!$B$38&lt;&gt;"pvp",Inputs!$B$43&gt;0),((Skills!G9*((R1552-1)*IF(Skills!H9&gt;0,INT(Skills!I9/Skills!H9+0.000000001),1)+IF(Skills!H9&gt;0,INT(MIN(Skills!I9,MAX(0,MAX(0,Inputs!$B$43-B1581)-((R1552-1)*(IF(Inputs!$B$38="pvp",15,MAX(0.1,Skills!D9-IF(TRUE=TRUE,Inputs!$B$32,0)))*(1-IF(AND(ArtifactsInput!$M$27,Inputs!$B$4="Chapter Hunt"),CHOOSE(ArtifactsInput!$N$27+1,20,24,28,32,36,40),0)/100)))))/Skills!H9+0.000000001),1)))/Inputs!$B$43),G1552*Q1552))*IF(Inputs!$B$38="pvp",1,(1+(Inputs!$B$21+Skills!Q9+(IF(ArtifactsInput!$M$33,CHOOSE(ArtifactsInput!$N$33+1,30,36,42,48,54,60),0))+(IF(AND(ArtifactsInput!$M$35,Inputs!$B$4&lt;&gt;"Chapter Hunt"),CHOOSE(ArtifactsInput!$N$35+1,15,18,21,24,27,30)*(1-EXP(-(0.2*B1576)*5)),0)+IF(AND(ArtifactsInput!$M$22,Inputs!$B$4&lt;&gt;"Chapter Hunt"),CHOOSE(ArtifactsInput!$N$22+1,10,12,14,16,18,20)*((0*(((0.15*B1576*5))^0/1)+1*(((0.15*B1576*5))^1/1)+2*(((0.15*B1576*5))^2/2)+3*(((0.15*B1576*5))^3/6)+4*(((0.15*B1576*5))^4/24)+5*(((0.15*B1576*5))^5/120))/((((0.15*B1576*5))^0/1)+(((0.15*B1576*5))^1/1)+(((0.15*B1576*5))^2/2)+(((0.15*B1576*5))^3/6)+(((0.15*B1576*5))^4/24)+(((0.15*B1576*5))^5/120))),0))+IF(Inputs!$B$3&gt;=54,9*(C1546=TRUE)*MIN(1,8*(1+Inputs!$B$34/100)*Q1546),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53">
      <c r="A1553">
        <f>Skills!A10</f>
        <v/>
      </c>
      <c r="B1553">
        <f>Skills!B10</f>
        <v/>
      </c>
      <c r="C1553">
        <f>Inputs!$B$3&gt;=113</f>
        <v/>
      </c>
      <c r="D1553">
        <f>IF(Skills!C10=1,60+Inputs!$B$25+Inputs!$B$29,IF(Skills!C10=2,90+Inputs!$B$26+Inputs!$B$29,IF(Skills!C10=3,120+Inputs!$B$27+Inputs!$B$29,MAX(0,(Inputs!$B$3-100)*3)+Inputs!$B$28+Inputs!$B$29)))</f>
        <v/>
      </c>
      <c r="E1553">
        <f>INDEX(FactorTable!$B$2:$Y$301, MATCH(ROUND(MIN(300,MAX(1,D1553)),0), FactorTable!$A$2:$A$301,0), Skills!M10+1)</f>
        <v/>
      </c>
      <c r="F1553">
        <f>IF(Skills!N10=TRUE,(Skills!L10/10)*(E1553/1000),Skills!L10/10)+Skills!O10</f>
        <v/>
      </c>
      <c r="G1553">
        <f>Skills!G10*IF(Skills!H10&gt;0,INT(IF(Inputs!$B$38="pvp",MIN(Skills!I10,15),Skills!I10)/Skills!H10+0.000000001),1)</f>
        <v/>
      </c>
      <c r="H1553">
        <f>1-(1-Skills!J10/100)^Skills!K10</f>
        <v/>
      </c>
      <c r="I1553" t="inlineStr">
        <is>
          <t>1</t>
        </is>
      </c>
      <c r="J1553">
        <f>((Inputs!$B$6*(1+Inputs!$B$7/100))+(((Inputs!$B$12*(1+Inputs!$B$13/100))-(Inputs!$B$12*(1+Inputs!$B$13/100)))+0.25*(Inputs!$B$14-Inputs!$B$14))*(1+Inputs!$B$7/100))*(F1553/100)</f>
        <v/>
      </c>
      <c r="K1553">
        <f>J1553*(1+((Inputs!$B$12*(1+Inputs!$B$13/100))*0.01+Inputs!$B$14*0.0025)/100)*(1+Inputs!$B$15/100)*(1+Inputs!$B$16/100)*(5000/(6000+Inputs!$B$42*(1-(100*(1-(1-(Inputs!$B$19+0)/100)*(1-CHOOSE(ArtifactsInput!$N$40+1,5,6,7,8,9,10)/100)^(ArtifactsInput!$M$40-ArtifactsInput!$M$40)))/100)))*(1+(Inputs!$B$24+((C1569=TRUE)*(F1569-Calc!F26))+B1580)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IGHT_LEGS_EASTON",Inputs!$B$17+((C1566=TRUE)*(F1566-Calc!F23))+((C1570=TRUE)*(F1570-Calc!F27))+((IF(AND(Inputs!$B$38&lt;&gt;"pvp",Inputs!$B$43=0),1,IF(IF(Inputs!$B$38="pvp",15,Inputs!$B$43)-(B1581)&lt;=0,1,MAX(0,IF(Inputs!$B$38="pvp",15,Inputs!$B$43)-MAX(5,B1581))/(IF(Inputs!$B$38="pvp",15,Inputs!$B$43)-(B1581))))*(IF(AND(ArtifactsInput!$M$42,((Inputs!$B$9+((C1562=TRUE)*(F1562-Calc!F19))+B1574+(ArtifactsInput!$M$24-ArtifactsInput!$M$24)*CHOOSE(ArtifactsInput!$N$24+1,10,12,14,16,18,20)+IF(ArtifactsInput!$M$10,CHOOSE(ArtifactsInput!$N$10+1,15,18,21,24,27,30)*(IF(Inputs!$B$38="pvp",MIN(15,15)/15,IF(AND(Inputs!$B$38&lt;&gt;"pvp",Inputs!$B$43&gt;0),MIN(15,Inputs!$B$43)/(Inputs!$B$43),0))),0)))&gt;=100),MIN(100,((Inputs!$B$9+((C1562=TRUE)*(F1562-Calc!F19))+B1574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1581)&lt;=0,1,MAX(0,IF(Inputs!$B$38="pvp",15,Inputs!$B$43)-MAX(5,B1581))/(IF(Inputs!$B$38="pvp",15,Inputs!$B$43)-(B1581))))*IF(AND(ArtifactsInput!$M$42,((Inputs!$B$9+((C1562=TRUE)*(F1562-Calc!F19))+B1574+(ArtifactsInput!$M$24-ArtifactsInput!$M$24)*CHOOSE(ArtifactsInput!$N$24+1,10,12,14,16,18,20)+IF(ArtifactsInput!$M$10,CHOOSE(ArtifactsInput!$N$10+1,15,18,21,24,27,30)*(IF(Inputs!$B$38="pvp",MIN(15,15)/15,IF(AND(Inputs!$B$38&lt;&gt;"pvp",Inputs!$B$43&gt;0),MIN(15,Inputs!$B$43)/(Inputs!$B$43),0))),0)))&gt;=100),CHOOSE(ArtifactsInput!$N$42+1,40,48,56,64,72,80),0))))/100)*((1+(((C1560=TRUE)*F1560*5/7)+((C1567=TRUE)*(F1567-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1553)</f>
        <v/>
      </c>
      <c r="L1553">
        <f>K1553*(MIN(Inputs!$B$22+((C1565=TRUE)*(F1565-Calc!F22)),(Inputs!$B$23+0+(IF(ArtifactsInput!$M$15,CHOOSE(ArtifactsInput!$N$15+1,25,30,35,40,45,50)/100*(Inputs!$B$11-Inputs!$B$11),0))))/100+(Inputs!$B$23+0+(IF(ArtifactsInput!$M$15,CHOOSE(ArtifactsInput!$N$15+1,25,30,35,40,45,50)/100*(Inputs!$B$11-Inputs!$B$11),0)))/100)/2</f>
        <v/>
      </c>
      <c r="M1553">
        <f>L1553*(1+(Inputs!$B$10+((C1568=TRUE)*(F1568-Calc!F25))+B1579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53">
        <f>L1553*(1-MIN((Inputs!$B$9+((C1562=TRUE)*(F1562-Calc!F19))+B1574+(ArtifactsInput!$M$24-ArtifactsInput!$M$24)*CHOOSE(ArtifactsInput!$N$24+1,10,12,14,16,18,20)+(IF(AND(Inputs!$B$38&lt;&gt;"pvp",Inputs!$B$43=0),1,IF(IF(Inputs!$B$38="pvp",15,Inputs!$B$43)-(B1581)&lt;=0,1,MAX(0,IF(Inputs!$B$38="pvp",15,Inputs!$B$43)-MAX(5,B1581))/(IF(Inputs!$B$38="pvp",15,Inputs!$B$43)-(B1581))))*IF(AND(ArtifactsInput!$M$42,((Inputs!$B$9+((C1562=TRUE)*(F1562-Calc!F19))+B1574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1553*(MIN((Inputs!$B$9+((C1562=TRUE)*(F1562-Calc!F19))+B1574+(ArtifactsInput!$M$24-ArtifactsInput!$M$24)*CHOOSE(ArtifactsInput!$N$24+1,10,12,14,16,18,20)+(IF(AND(Inputs!$B$38&lt;&gt;"pvp",Inputs!$B$43=0),1,IF(IF(Inputs!$B$38="pvp",15,Inputs!$B$43)-(B1581)&lt;=0,1,MAX(0,IF(Inputs!$B$38="pvp",15,Inputs!$B$43)-MAX(5,B1581))/(IF(Inputs!$B$38="pvp",15,Inputs!$B$43)-(B1581))))*IF(AND(ArtifactsInput!$M$42,((Inputs!$B$9+((C1562=TRUE)*(F1562-Calc!F19))+B1574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53">
        <f>(1-Summary!$B$11)*T1553+Summary!$B$11*V1553</f>
        <v/>
      </c>
      <c r="P1553">
        <f>IF(B1584=0,0,O1553/B1584)</f>
        <v/>
      </c>
      <c r="Q1553" t="n">
        <v>0</v>
      </c>
      <c r="R1553" t="n">
        <v>0</v>
      </c>
      <c r="S1553">
        <f>IFERROR(O1553/N1553,0)</f>
        <v/>
      </c>
      <c r="T1553">
        <f>IF(C1553,((H1553*B1586)/(1+Skills!H10*H1553*B1586)*N1553)*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Hunt"),CHOOSE(ArtifactsInput!$N$35+1,15,18,21,24,27,30)*(1-EXP(-(0.2*B1576)*5)),0)+IF(AND(ArtifactsInput!$M$22,Inputs!$B$4&lt;&gt;"Chapter Hunt"),CHOOSE(ArtifactsInput!$N$22+1,10,12,14,16,18,20)*((0*(((0.15*B1576*5))^0/1)+1*(((0.15*B1576*5))^1/1)+2*(((0.15*B1576*5))^2/2)+3*(((0.15*B1576*5))^3/6)+4*(((0.15*B1576*5))^4/24)+5*(((0.15*B1576*5))^5/120))/((((0.15*B1576*5))^0/1)+(((0.15*B1576*5))^1/1)+(((0.15*B1576*5))^2/2)+(((0.15*B1576*5))^3/6)+(((0.15*B1576*5))^4/24)+(((0.15*B1576*5))^5/120))),0))+IF(Inputs!$B$3&gt;=54,9*(C1546=TRUE)*MIN(1,8*(1+Inputs!$B$34/100)*Q1546)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1553*(1-MIN(100,(Inputs!$B$9+((C1562=TRUE)*(F1562-Calc!F19))+B1574+(ArtifactsInput!$M$24-ArtifactsInput!$M$24)*CHOOSE(ArtifactsInput!$N$24+1,10,12,14,16,18,20)+(IF(AND(Inputs!$B$38&lt;&gt;"pvp",Inputs!$B$43=0),1,IF(IF(Inputs!$B$38="pvp",15,Inputs!$B$43)-(B1581)&lt;=0,1,MAX(0,IF(Inputs!$B$38="pvp",15,Inputs!$B$43)-MAX(5,B1581))/(IF(Inputs!$B$38="pvp",15,Inputs!$B$43)-(B1581))))*IF(AND(ArtifactsInput!$M$42,((Inputs!$B$9+((C1562=TRUE)*(F1562-Calc!F19))+B1574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1553*(MIN(100,(Inputs!$B$9+((C1562=TRUE)*(F1562-Calc!F19))+B1574+(ArtifactsInput!$M$24-ArtifactsInput!$M$24)*CHOOSE(ArtifactsInput!$N$24+1,10,12,14,16,18,20)+(IF(AND(Inputs!$B$38&lt;&gt;"pvp",Inputs!$B$43=0),1,IF(IF(Inputs!$B$38="pvp",15,Inputs!$B$43)-(B1581)&lt;=0,1,MAX(0,IF(Inputs!$B$38="pvp",15,Inputs!$B$43)-MAX(5,B1581))/(IF(Inputs!$B$38="pvp",15,Inputs!$B$43)-(B1581))))*IF(AND(ArtifactsInput!$M$42,((Inputs!$B$9+((C1562=TRUE)*(F1562-Calc!F19))+B1574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1553*(1-MIN(100,(Inputs!$B$9+((C1562=TRUE)*(F1562-Calc!F19))+B1574+(ArtifactsInput!$M$24-ArtifactsInput!$M$24)*CHOOSE(ArtifactsInput!$N$24+1,10,12,14,16,18,20)+(IF(AND(Inputs!$B$38&lt;&gt;"pvp",Inputs!$B$43=0),1,IF(IF(Inputs!$B$38="pvp",15,Inputs!$B$43)-(B1581)&lt;=0,1,MAX(0,IF(Inputs!$B$38="pvp",15,Inputs!$B$43)-MAX(5,B1581))/(IF(Inputs!$B$38="pvp",15,Inputs!$B$43)-(B1581))))*IF(AND(ArtifactsInput!$M$42,((Inputs!$B$9+((C1562=TRUE)*(F1562-Calc!F19))+B1574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1553*(MIN(100,(Inputs!$B$9+((C1562=TRUE)*(F1562-Calc!F19))+B1574+(ArtifactsInput!$M$24-ArtifactsInput!$M$24)*CHOOSE(ArtifactsInput!$N$24+1,10,12,14,16,18,20)+(IF(AND(Inputs!$B$38&lt;&gt;"pvp",Inputs!$B$43=0),1,IF(IF(Inputs!$B$38="pvp",15,Inputs!$B$43)-(B1581)&lt;=0,1,MAX(0,IF(Inputs!$B$38="pvp",15,Inputs!$B$43)-MAX(5,B1581))/(IF(Inputs!$B$38="pvp",15,Inputs!$B$43)-(B1581))))*IF(AND(ArtifactsInput!$M$42,((Inputs!$B$9+((C1562=TRUE)*(F1562-Calc!F19))+B1574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553">
        <f>IF(C1553,((H1553*B1586)/(1+Skills!H10*H1553*B1586)*N1553)*IF(Inputs!$B$38="pvp",1,(1+(Inputs!$B$21+Skills!Q10+(IF(ArtifactsInput!$M$33,CHOOSE(ArtifactsInput!$N$33+1,30,36,42,48,54,60),0))+(IF(AND(ArtifactsInput!$M$35,Inputs!$B$4&lt;&gt;"Chapter Hunt"),CHOOSE(ArtifactsInput!$N$35+1,15,18,21,24,27,30)*(1-EXP(-(0.2*B1576)*5)),0)+IF(AND(ArtifactsInput!$M$22,Inputs!$B$4&lt;&gt;"Chapter Hunt"),CHOOSE(ArtifactsInput!$N$22+1,10,12,14,16,18,20)*((0*(((0.15*B1576*5))^0/1)+1*(((0.15*B1576*5))^1/1)+2*(((0.15*B1576*5))^2/2)+3*(((0.15*B1576*5))^3/6)+4*(((0.15*B1576*5))^4/24)+5*(((0.15*B1576*5))^5/120))/((((0.15*B1576*5))^0/1)+(((0.15*B1576*5))^1/1)+(((0.15*B1576*5))^2/2)+(((0.15*B1576*5))^3/6)+(((0.15*B1576*5))^4/24)+(((0.15*B1576*5))^5/120))),0))+IF(Inputs!$B$3&gt;=54,9*(C1546=TRUE)*MIN(1,8*(1+Inputs!$B$34/100)*Q1546),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54">
      <c r="A1554">
        <f>Skills!A11</f>
        <v/>
      </c>
      <c r="B1554">
        <f>Skills!B11</f>
        <v/>
      </c>
      <c r="C1554">
        <f>Inputs!$B$3&gt;=117</f>
        <v/>
      </c>
      <c r="D1554">
        <f>IF(Skills!C11=1,60+Inputs!$B$25+Inputs!$B$29,IF(Skills!C11=2,90+Inputs!$B$26+Inputs!$B$29,IF(Skills!C11=3,120+Inputs!$B$27+Inputs!$B$29,MAX(0,(Inputs!$B$3-100)*3)+Inputs!$B$28+Inputs!$B$29)))</f>
        <v/>
      </c>
      <c r="E1554">
        <f>INDEX(FactorTable!$B$2:$Y$301, MATCH(ROUND(MIN(300,MAX(1,D1554)),0), FactorTable!$A$2:$A$301,0), Skills!M11+1)</f>
        <v/>
      </c>
      <c r="F1554">
        <f>IF(Skills!N11=TRUE,(Skills!L11/10)*(E1554/1000),Skills!L11/10)+Skills!O11</f>
        <v/>
      </c>
      <c r="G1554">
        <f>Skills!G11*IF(Skills!H11&gt;0,INT(IF(Inputs!$B$38="pvp",MIN(Skills!I11,15),Skills!I11)/Skills!H11+0.000000001),1)</f>
        <v/>
      </c>
      <c r="H1554">
        <f>1-(1-Skills!J11/100)^Skills!K11</f>
        <v/>
      </c>
      <c r="I1554" t="inlineStr">
        <is>
          <t>1</t>
        </is>
      </c>
      <c r="J1554">
        <f>((Inputs!$B$6*(1+Inputs!$B$7/100))+(((Inputs!$B$12*(1+Inputs!$B$13/100))-(Inputs!$B$12*(1+Inputs!$B$13/100)))+0.25*(Inputs!$B$14-Inputs!$B$14))*(1+Inputs!$B$7/100))*(F1554/100)</f>
        <v/>
      </c>
      <c r="K1554">
        <f>J1554*(1+((Inputs!$B$12*(1+Inputs!$B$13/100))*0.01+Inputs!$B$14*0.0025)/100)*(1+Inputs!$B$15/100)*(1+Inputs!$B$16/100)*(5000/(6000+Inputs!$B$42*(1-(100*(1-(1-(Inputs!$B$19+0)/100)*(1-CHOOSE(ArtifactsInput!$N$40+1,5,6,7,8,9,10)/100)^(ArtifactsInput!$M$40-ArtifactsInput!$M$40)))/100)))*(1+(Inputs!$B$24+((C1569=TRUE)*(F1569-Calc!F26))+B1580)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IGHT_LEGS_EASTON",Inputs!$B$17+((C1566=TRUE)*(F1566-Calc!F23))+((C1570=TRUE)*(F1570-Calc!F27))+((IF(AND(Inputs!$B$38&lt;&gt;"pvp",Inputs!$B$43=0),1,IF(IF(Inputs!$B$38="pvp",15,Inputs!$B$43)-(B1581)&lt;=0,1,MAX(0,IF(Inputs!$B$38="pvp",15,Inputs!$B$43)-MAX(5,B1581))/(IF(Inputs!$B$38="pvp",15,Inputs!$B$43)-(B1581))))*(IF(AND(ArtifactsInput!$M$42,((Inputs!$B$9+((C1562=TRUE)*(F1562-Calc!F19))+B1574+(ArtifactsInput!$M$24-ArtifactsInput!$M$24)*CHOOSE(ArtifactsInput!$N$24+1,10,12,14,16,18,20)+IF(ArtifactsInput!$M$10,CHOOSE(ArtifactsInput!$N$10+1,15,18,21,24,27,30)*(IF(Inputs!$B$38="pvp",MIN(15,15)/15,IF(AND(Inputs!$B$38&lt;&gt;"pvp",Inputs!$B$43&gt;0),MIN(15,Inputs!$B$43)/(Inputs!$B$43),0))),0)))&gt;=100),MIN(100,((Inputs!$B$9+((C1562=TRUE)*(F1562-Calc!F19))+B1574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1581)&lt;=0,1,MAX(0,IF(Inputs!$B$38="pvp",15,Inputs!$B$43)-MAX(5,B1581))/(IF(Inputs!$B$38="pvp",15,Inputs!$B$43)-(B1581))))*IF(AND(ArtifactsInput!$M$42,((Inputs!$B$9+((C1562=TRUE)*(F1562-Calc!F19))+B1574+(ArtifactsInput!$M$24-ArtifactsInput!$M$24)*CHOOSE(ArtifactsInput!$N$24+1,10,12,14,16,18,20)+IF(ArtifactsInput!$M$10,CHOOSE(ArtifactsInput!$N$10+1,15,18,21,24,27,30)*(IF(Inputs!$B$38="pvp",MIN(15,15)/15,IF(AND(Inputs!$B$38&lt;&gt;"pvp",Inputs!$B$43&gt;0),MIN(15,Inputs!$B$43)/(Inputs!$B$43),0))),0)))&gt;=100),CHOOSE(ArtifactsInput!$N$42+1,40,48,56,64,72,80),0))))/100)*((1+(((C1560=TRUE)*F1560*5/7)+((C1567=TRUE)*(F1567-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1554)</f>
        <v/>
      </c>
      <c r="L1554">
        <f>K1554*(MIN(Inputs!$B$22+((C1565=TRUE)*(F1565-Calc!F22)),(Inputs!$B$23+0+(IF(ArtifactsInput!$M$15,CHOOSE(ArtifactsInput!$N$15+1,25,30,35,40,45,50)/100*(Inputs!$B$11-Inputs!$B$11),0))))/100+(Inputs!$B$23+0+(IF(ArtifactsInput!$M$15,CHOOSE(ArtifactsInput!$N$15+1,25,30,35,40,45,50)/100*(Inputs!$B$11-Inputs!$B$11),0)))/100)/2</f>
        <v/>
      </c>
      <c r="M1554">
        <f>L1554*(1+(Inputs!$B$10+((C1568=TRUE)*(F1568-Calc!F25))+B1579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54">
        <f>L1554*(1-MIN((Inputs!$B$9+((C1562=TRUE)*(F1562-Calc!F19))+B1574+(ArtifactsInput!$M$24-ArtifactsInput!$M$24)*CHOOSE(ArtifactsInput!$N$24+1,10,12,14,16,18,20)+(IF(AND(Inputs!$B$38&lt;&gt;"pvp",Inputs!$B$43=0),1,IF(IF(Inputs!$B$38="pvp",15,Inputs!$B$43)-(B1581)&lt;=0,1,MAX(0,IF(Inputs!$B$38="pvp",15,Inputs!$B$43)-MAX(5,B1581))/(IF(Inputs!$B$38="pvp",15,Inputs!$B$43)-(B1581))))*IF(AND(ArtifactsInput!$M$42,((Inputs!$B$9+((C1562=TRUE)*(F1562-Calc!F19))+B1574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1554*(MIN((Inputs!$B$9+((C1562=TRUE)*(F1562-Calc!F19))+B1574+(ArtifactsInput!$M$24-ArtifactsInput!$M$24)*CHOOSE(ArtifactsInput!$N$24+1,10,12,14,16,18,20)+(IF(AND(Inputs!$B$38&lt;&gt;"pvp",Inputs!$B$43=0),1,IF(IF(Inputs!$B$38="pvp",15,Inputs!$B$43)-(B1581)&lt;=0,1,MAX(0,IF(Inputs!$B$38="pvp",15,Inputs!$B$43)-MAX(5,B1581))/(IF(Inputs!$B$38="pvp",15,Inputs!$B$43)-(B1581))))*IF(AND(ArtifactsInput!$M$42,((Inputs!$B$9+((C1562=TRUE)*(F1562-Calc!F19))+B1574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54">
        <f>(1-Summary!$B$11)*T1554+Summary!$B$11*V1554</f>
        <v/>
      </c>
      <c r="P1554">
        <f>IF(B1584=0,0,O1554/B1584)</f>
        <v/>
      </c>
      <c r="Q1554">
        <f>IFERROR(1/((IF(Inputs!$B$38="pvp",15,MAX(0.1,Skills!D11-IF(TRUE=TRUE,Inputs!$B$32,0)))*(1-IF(AND(ArtifactsInput!$M$27,Inputs!$B$4="Chapter Hunt"),CHOOSE(ArtifactsInput!$N$27+1,20,24,28,32,36,40),0)/100))/B1585),0)</f>
        <v/>
      </c>
      <c r="R1554">
        <f>IF(AND(Inputs!$B$38&lt;&gt;"pvp",Inputs!$B$43&gt;0),IF(MAX(0,Inputs!$B$43-B1581)&lt;=0,0,(INT(MAX(0,Inputs!$B$43-B1581)/((IF(Inputs!$B$38="pvp",15,MAX(0.1,Skills!D11-IF(TRUE=TRUE,Inputs!$B$32,0)))*(1-IF(AND(ArtifactsInput!$M$27,Inputs!$B$4="Chapter Hunt"),CHOOSE(ArtifactsInput!$N$27+1,20,24,28,32,36,40),0)/100))/B1585))+1)),0)</f>
        <v/>
      </c>
      <c r="S1554">
        <f>IFERROR(O1554/N1554,0)</f>
        <v/>
      </c>
      <c r="T1554">
        <f>IF(C1554,(H1554*N1554*IF(AND(Inputs!$B$38&lt;&gt;"pvp",Inputs!$B$43&gt;0),((Skills!G11*((R1554-1)*IF(Skills!H11&gt;0,INT(Skills!I11/Skills!H11+0.000000001),1)+IF(Skills!H11&gt;0,INT(MIN(Skills!I11,MAX(0,MAX(0,Inputs!$B$43-B1581)-((R1554-1)*((IF(Inputs!$B$38="pvp",15,MAX(0.1,Skills!D11-IF(TRUE=TRUE,Inputs!$B$32,0)))*(1-IF(AND(ArtifactsInput!$M$27,Inputs!$B$4="Chapter Hunt"),CHOOSE(ArtifactsInput!$N$27+1,20,24,28,32,36,40),0)/100))/B1585))))/Skills!H11+0.000000001),1)))/Inputs!$B$43),G1554*Q1554))*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Hunt"),CHOOSE(ArtifactsInput!$N$35+1,15,18,21,24,27,30)*(1-EXP(-(0.2*B1576)*5)),0)+IF(AND(ArtifactsInput!$M$22,Inputs!$B$4&lt;&gt;"Chapter Hunt"),CHOOSE(ArtifactsInput!$N$22+1,10,12,14,16,18,20)*((0*(((0.15*B1576*5))^0/1)+1*(((0.15*B1576*5))^1/1)+2*(((0.15*B1576*5))^2/2)+3*(((0.15*B1576*5))^3/6)+4*(((0.15*B1576*5))^4/24)+5*(((0.15*B1576*5))^5/120))/((((0.15*B1576*5))^0/1)+(((0.15*B1576*5))^1/1)+(((0.15*B1576*5))^2/2)+(((0.15*B1576*5))^3/6)+(((0.15*B1576*5))^4/24)+(((0.15*B1576*5))^5/120))),0))+IF(Inputs!$B$3&gt;=54,9*(C1546=TRUE)*MIN(1,8*(1+Inputs!$B$34/100)*Q1546)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1554*(1-MIN(100,(Inputs!$B$9+((C1562=TRUE)*(F1562-Calc!F19))+B1574+(ArtifactsInput!$M$24-ArtifactsInput!$M$24)*CHOOSE(ArtifactsInput!$N$24+1,10,12,14,16,18,20)+(IF(AND(Inputs!$B$38&lt;&gt;"pvp",Inputs!$B$43=0),1,IF(IF(Inputs!$B$38="pvp",15,Inputs!$B$43)-(B1581)&lt;=0,1,MAX(0,IF(Inputs!$B$38="pvp",15,Inputs!$B$43)-MAX(5,B1581))/(IF(Inputs!$B$38="pvp",15,Inputs!$B$43)-(B1581))))*IF(AND(ArtifactsInput!$M$42,((Inputs!$B$9+((C1562=TRUE)*(F1562-Calc!F19))+B1574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1554*(MIN(100,(Inputs!$B$9+((C1562=TRUE)*(F1562-Calc!F19))+B1574+(ArtifactsInput!$M$24-ArtifactsInput!$M$24)*CHOOSE(ArtifactsInput!$N$24+1,10,12,14,16,18,20)+(IF(AND(Inputs!$B$38&lt;&gt;"pvp",Inputs!$B$43=0),1,IF(IF(Inputs!$B$38="pvp",15,Inputs!$B$43)-(B1581)&lt;=0,1,MAX(0,IF(Inputs!$B$38="pvp",15,Inputs!$B$43)-MAX(5,B1581))/(IF(Inputs!$B$38="pvp",15,Inputs!$B$43)-(B1581))))*IF(AND(ArtifactsInput!$M$42,((Inputs!$B$9+((C1562=TRUE)*(F1562-Calc!F19))+B1574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1554*(1-MIN(100,(Inputs!$B$9+((C1562=TRUE)*(F1562-Calc!F19))+B1574+(ArtifactsInput!$M$24-ArtifactsInput!$M$24)*CHOOSE(ArtifactsInput!$N$24+1,10,12,14,16,18,20)+(IF(AND(Inputs!$B$38&lt;&gt;"pvp",Inputs!$B$43=0),1,IF(IF(Inputs!$B$38="pvp",15,Inputs!$B$43)-(B1581)&lt;=0,1,MAX(0,IF(Inputs!$B$38="pvp",15,Inputs!$B$43)-MAX(5,B1581))/(IF(Inputs!$B$38="pvp",15,Inputs!$B$43)-(B1581))))*IF(AND(ArtifactsInput!$M$42,((Inputs!$B$9+((C1562=TRUE)*(F1562-Calc!F19))+B1574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1554*(MIN(100,(Inputs!$B$9+((C1562=TRUE)*(F1562-Calc!F19))+B1574+(ArtifactsInput!$M$24-ArtifactsInput!$M$24)*CHOOSE(ArtifactsInput!$N$24+1,10,12,14,16,18,20)+(IF(AND(Inputs!$B$38&lt;&gt;"pvp",Inputs!$B$43=0),1,IF(IF(Inputs!$B$38="pvp",15,Inputs!$B$43)-(B1581)&lt;=0,1,MAX(0,IF(Inputs!$B$38="pvp",15,Inputs!$B$43)-MAX(5,B1581))/(IF(Inputs!$B$38="pvp",15,Inputs!$B$43)-(B1581))))*IF(AND(ArtifactsInput!$M$42,((Inputs!$B$9+((C1562=TRUE)*(F1562-Calc!F19))+B1574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554">
        <f>IF(C1554,(H1554*N1554*IF(AND(Inputs!$B$38&lt;&gt;"pvp",Inputs!$B$43&gt;0),((Skills!G11*((R1554-1)*IF(Skills!H11&gt;0,INT(Skills!I11/Skills!H11+0.000000001),1)+IF(Skills!H11&gt;0,INT(MIN(Skills!I11,MAX(0,MAX(0,Inputs!$B$43-B1581)-((R1554-1)*((IF(Inputs!$B$38="pvp",15,MAX(0.1,Skills!D11-IF(TRUE=TRUE,Inputs!$B$32,0)))*(1-IF(AND(ArtifactsInput!$M$27,Inputs!$B$4="Chapter Hunt"),CHOOSE(ArtifactsInput!$N$27+1,20,24,28,32,36,40),0)/100))/B1585))))/Skills!H11+0.000000001),1)))/Inputs!$B$43),G1554*Q1554))*IF(Inputs!$B$38="pvp",1,(1+(Inputs!$B$21+Skills!Q11+(IF(ArtifactsInput!$M$33,CHOOSE(ArtifactsInput!$N$33+1,30,36,42,48,54,60),0))+(IF(AND(ArtifactsInput!$M$35,Inputs!$B$4&lt;&gt;"Chapter Hunt"),CHOOSE(ArtifactsInput!$N$35+1,15,18,21,24,27,30)*(1-EXP(-(0.2*B1576)*5)),0)+IF(AND(ArtifactsInput!$M$22,Inputs!$B$4&lt;&gt;"Chapter Hunt"),CHOOSE(ArtifactsInput!$N$22+1,10,12,14,16,18,20)*((0*(((0.15*B1576*5))^0/1)+1*(((0.15*B1576*5))^1/1)+2*(((0.15*B1576*5))^2/2)+3*(((0.15*B1576*5))^3/6)+4*(((0.15*B1576*5))^4/24)+5*(((0.15*B1576*5))^5/120))/((((0.15*B1576*5))^0/1)+(((0.15*B1576*5))^1/1)+(((0.15*B1576*5))^2/2)+(((0.15*B1576*5))^3/6)+(((0.15*B1576*5))^4/24)+(((0.15*B1576*5))^5/120))),0))+IF(Inputs!$B$3&gt;=54,9*(C1546=TRUE)*MIN(1,8*(1+Inputs!$B$34/100)*Q1546),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55">
      <c r="A1555">
        <f>Skills!A12</f>
        <v/>
      </c>
      <c r="B1555">
        <f>Skills!B12</f>
        <v/>
      </c>
      <c r="C1555">
        <f>Inputs!$B$3&gt;=110</f>
        <v/>
      </c>
      <c r="D1555">
        <f>IF(Skills!C12=1,60+Inputs!$B$25+Inputs!$B$29,IF(Skills!C12=2,90+Inputs!$B$26+Inputs!$B$29,IF(Skills!C12=3,120+Inputs!$B$27+Inputs!$B$29,MAX(0,(Inputs!$B$3-100)*3)+Inputs!$B$28+Inputs!$B$29)))</f>
        <v/>
      </c>
      <c r="E1555">
        <f>INDEX(FactorTable!$B$2:$Y$301, MATCH(ROUND(MIN(300,MAX(1,D1555)),0), FactorTable!$A$2:$A$301,0), Skills!M12+1)</f>
        <v/>
      </c>
      <c r="F1555">
        <f>IF(Skills!N12=TRUE,(Skills!L12/10)*(E1555/1000),Skills!L12/10)+Skills!O12</f>
        <v/>
      </c>
      <c r="G1555">
        <f>Skills!G12*IF(Skills!H12&gt;0,INT(IF(Inputs!$B$38="pvp",MIN(Skills!I12,15),Skills!I12)/Skills!H12+0.000000001),1)</f>
        <v/>
      </c>
      <c r="H1555">
        <f>1-(1-Skills!J12/100)^Skills!K12</f>
        <v/>
      </c>
      <c r="I1555" t="inlineStr">
        <is>
          <t>1</t>
        </is>
      </c>
      <c r="J1555">
        <f>((Inputs!$B$6*(1+Inputs!$B$7/100))+(((Inputs!$B$12*(1+Inputs!$B$13/100))-(Inputs!$B$12*(1+Inputs!$B$13/100)))+0.25*(Inputs!$B$14-Inputs!$B$14))*(1+Inputs!$B$7/100))*(F1555/100)</f>
        <v/>
      </c>
      <c r="K1555">
        <f>J1555*(1+((Inputs!$B$12*(1+Inputs!$B$13/100))*0.01+Inputs!$B$14*0.0025)/100)*(1+Inputs!$B$15/100)*(1+Inputs!$B$16/100)*(5000/(6000+Inputs!$B$42*(1-(100*(1-(1-(Inputs!$B$19+0)/100)*(1-CHOOSE(ArtifactsInput!$N$40+1,5,6,7,8,9,10)/100)^(ArtifactsInput!$M$40-ArtifactsInput!$M$40)))/100)))*(1+(Inputs!$B$24+((C1569=TRUE)*(F1569-Calc!F26))+B1580)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EIGHT_LEGS_EASTON",Inputs!$B$17+((C1566=TRUE)*(F1566-Calc!F23))+((C1570=TRUE)*(F1570-Calc!F27))+((IF(AND(Inputs!$B$38&lt;&gt;"pvp",Inputs!$B$43=0),1,IF(IF(Inputs!$B$38="pvp",15,Inputs!$B$43)-(B1581)&lt;=0,1,MAX(0,IF(Inputs!$B$38="pvp",15,Inputs!$B$43)-MAX(5,B1581))/(IF(Inputs!$B$38="pvp",15,Inputs!$B$43)-(B1581))))*(IF(AND(ArtifactsInput!$M$42,((Inputs!$B$9+((C1562=TRUE)*(F1562-Calc!F19))+B1574+(ArtifactsInput!$M$24-ArtifactsInput!$M$24)*CHOOSE(ArtifactsInput!$N$24+1,10,12,14,16,18,20)+IF(ArtifactsInput!$M$10,CHOOSE(ArtifactsInput!$N$10+1,15,18,21,24,27,30)*(IF(Inputs!$B$38="pvp",MIN(15,15)/15,IF(AND(Inputs!$B$38&lt;&gt;"pvp",Inputs!$B$43&gt;0),MIN(15,Inputs!$B$43)/(Inputs!$B$43),0))),0)))&gt;=100),MIN(100,((Inputs!$B$9+((C1562=TRUE)*(F1562-Calc!F19))+B1574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1581)&lt;=0,1,MAX(0,IF(Inputs!$B$38="pvp",15,Inputs!$B$43)-MAX(5,B1581))/(IF(Inputs!$B$38="pvp",15,Inputs!$B$43)-(B1581))))*IF(AND(ArtifactsInput!$M$42,((Inputs!$B$9+((C1562=TRUE)*(F1562-Calc!F19))+B1574+(ArtifactsInput!$M$24-ArtifactsInput!$M$24)*CHOOSE(ArtifactsInput!$N$24+1,10,12,14,16,18,20)+IF(ArtifactsInput!$M$10,CHOOSE(ArtifactsInput!$N$10+1,15,18,21,24,27,30)*(IF(Inputs!$B$38="pvp",MIN(15,15)/15,IF(AND(Inputs!$B$38&lt;&gt;"pvp",Inputs!$B$43&gt;0),MIN(15,Inputs!$B$43)/(Inputs!$B$43),0))),0)))&gt;=100),CHOOSE(ArtifactsInput!$N$42+1,40,48,56,64,72,80),0))))/100)*((1+(((C1560=TRUE)*F1560*5/7)+((C1567=TRUE)*(F1567-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1555)</f>
        <v/>
      </c>
      <c r="L1555">
        <f>K1555*(MIN(Inputs!$B$22+((C1565=TRUE)*(F1565-Calc!F22)),(Inputs!$B$23+0+(IF(ArtifactsInput!$M$15,CHOOSE(ArtifactsInput!$N$15+1,25,30,35,40,45,50)/100*(Inputs!$B$11-Inputs!$B$11),0))))/100+(Inputs!$B$23+0+(IF(ArtifactsInput!$M$15,CHOOSE(ArtifactsInput!$N$15+1,25,30,35,40,45,50)/100*(Inputs!$B$11-Inputs!$B$11),0)))/100)/2</f>
        <v/>
      </c>
      <c r="M1555">
        <f>L1555*(1+(Inputs!$B$10+((C1568=TRUE)*(F1568-Calc!F25))+B1579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55">
        <f>L1555*(1-MIN((Inputs!$B$9+((C1562=TRUE)*(F1562-Calc!F19))+B1574+(ArtifactsInput!$M$24-ArtifactsInput!$M$24)*CHOOSE(ArtifactsInput!$N$24+1,10,12,14,16,18,20)+(IF(AND(Inputs!$B$38&lt;&gt;"pvp",Inputs!$B$43=0),1,IF(IF(Inputs!$B$38="pvp",15,Inputs!$B$43)-(B1581)&lt;=0,1,MAX(0,IF(Inputs!$B$38="pvp",15,Inputs!$B$43)-MAX(5,B1581))/(IF(Inputs!$B$38="pvp",15,Inputs!$B$43)-(B1581))))*IF(AND(ArtifactsInput!$M$42,((Inputs!$B$9+((C1562=TRUE)*(F1562-Calc!F19))+B1574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1555*(MIN((Inputs!$B$9+((C1562=TRUE)*(F1562-Calc!F19))+B1574+(ArtifactsInput!$M$24-ArtifactsInput!$M$24)*CHOOSE(ArtifactsInput!$N$24+1,10,12,14,16,18,20)+(IF(AND(Inputs!$B$38&lt;&gt;"pvp",Inputs!$B$43=0),1,IF(IF(Inputs!$B$38="pvp",15,Inputs!$B$43)-(B1581)&lt;=0,1,MAX(0,IF(Inputs!$B$38="pvp",15,Inputs!$B$43)-MAX(5,B1581))/(IF(Inputs!$B$38="pvp",15,Inputs!$B$43)-(B1581))))*IF(AND(ArtifactsInput!$M$42,((Inputs!$B$9+((C1562=TRUE)*(F1562-Calc!F19))+B1574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55">
        <f>(1-Summary!$B$11)*T1555+Summary!$B$11*V1555</f>
        <v/>
      </c>
      <c r="P1555">
        <f>IF(B1584=0,0,O1555/B1584)</f>
        <v/>
      </c>
      <c r="Q1555">
        <f>IFERROR(1/(IF(Inputs!$B$38="pvp",15,MAX(0.1,Skills!D12-IF(TRUE=TRUE,Inputs!$B$32,0)))*(1-IF(AND(ArtifactsInput!$M$27,Inputs!$B$4="Chapter Hunt"),CHOOSE(ArtifactsInput!$N$27+1,20,24,28,32,36,40),0)/100)),0)</f>
        <v/>
      </c>
      <c r="R1555">
        <f>IF(AND(Inputs!$B$38&lt;&gt;"pvp",Inputs!$B$43&gt;0),IF(MAX(0,Inputs!$B$43-B1581)&lt;=0,0,(INT(MAX(0,Inputs!$B$43-B1581)/(IF(Inputs!$B$38="pvp",15,MAX(0.1,Skills!D12-IF(TRUE=TRUE,Inputs!$B$32,0)))*(1-IF(AND(ArtifactsInput!$M$27,Inputs!$B$4="Chapter Hunt"),CHOOSE(ArtifactsInput!$N$27+1,20,24,28,32,36,40),0)/100)))+1)),0)</f>
        <v/>
      </c>
      <c r="S1555">
        <f>IFERROR(O1555/N1555,0)</f>
        <v/>
      </c>
      <c r="T1555">
        <f>IF(C1555,(H1555*N1555*IF(AND(Inputs!$B$38&lt;&gt;"pvp",Inputs!$B$43&gt;0),((Skills!G12*((R1555-1)*IF(Skills!H12&gt;0,INT(Skills!I12/Skills!H12+0.000000001),1)+IF(Skills!H12&gt;0,INT(MIN(Skills!I12,MAX(0,MAX(0,Inputs!$B$43-B1581)-((R1555-1)*(IF(Inputs!$B$38="pvp",15,MAX(0.1,Skills!D12-IF(TRUE=TRUE,Inputs!$B$32,0)))*(1-IF(AND(ArtifactsInput!$M$27,Inputs!$B$4="Chapter Hunt"),CHOOSE(ArtifactsInput!$N$27+1,20,24,28,32,36,40),0)/100)))))/Skills!H12+0.000000001),1)))/Inputs!$B$43),G1555*Q1555))*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Hunt"),CHOOSE(ArtifactsInput!$N$35+1,15,18,21,24,27,30)*(1-EXP(-(0.2*B1576)*5)),0)+IF(AND(ArtifactsInput!$M$22,Inputs!$B$4&lt;&gt;"Chapter Hunt"),CHOOSE(ArtifactsInput!$N$22+1,10,12,14,16,18,20)*((0*(((0.15*B1576*5))^0/1)+1*(((0.15*B1576*5))^1/1)+2*(((0.15*B1576*5))^2/2)+3*(((0.15*B1576*5))^3/6)+4*(((0.15*B1576*5))^4/24)+5*(((0.15*B1576*5))^5/120))/((((0.15*B1576*5))^0/1)+(((0.15*B1576*5))^1/1)+(((0.15*B1576*5))^2/2)+(((0.15*B1576*5))^3/6)+(((0.15*B1576*5))^4/24)+(((0.15*B1576*5))^5/120))),0))+IF(Inputs!$B$3&gt;=54,9*(C1546=TRUE)*MIN(1,8*(1+Inputs!$B$34/100)*Q1546)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1555*(1-MIN(100,(Inputs!$B$9+((C1562=TRUE)*(F1562-Calc!F19))+B1574+(ArtifactsInput!$M$24-ArtifactsInput!$M$24)*CHOOSE(ArtifactsInput!$N$24+1,10,12,14,16,18,20)+(IF(AND(Inputs!$B$38&lt;&gt;"pvp",Inputs!$B$43=0),1,IF(IF(Inputs!$B$38="pvp",15,Inputs!$B$43)-(B1581)&lt;=0,1,MAX(0,IF(Inputs!$B$38="pvp",15,Inputs!$B$43)-MAX(5,B1581))/(IF(Inputs!$B$38="pvp",15,Inputs!$B$43)-(B1581))))*IF(AND(ArtifactsInput!$M$42,((Inputs!$B$9+((C1562=TRUE)*(F1562-Calc!F19))+B1574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1555*(MIN(100,(Inputs!$B$9+((C1562=TRUE)*(F1562-Calc!F19))+B1574+(ArtifactsInput!$M$24-ArtifactsInput!$M$24)*CHOOSE(ArtifactsInput!$N$24+1,10,12,14,16,18,20)+(IF(AND(Inputs!$B$38&lt;&gt;"pvp",Inputs!$B$43=0),1,IF(IF(Inputs!$B$38="pvp",15,Inputs!$B$43)-(B1581)&lt;=0,1,MAX(0,IF(Inputs!$B$38="pvp",15,Inputs!$B$43)-MAX(5,B1581))/(IF(Inputs!$B$38="pvp",15,Inputs!$B$43)-(B1581))))*IF(AND(ArtifactsInput!$M$42,((Inputs!$B$9+((C1562=TRUE)*(F1562-Calc!F19))+B1574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1555*(1-MIN(100,(Inputs!$B$9+((C1562=TRUE)*(F1562-Calc!F19))+B1574+(ArtifactsInput!$M$24-ArtifactsInput!$M$24)*CHOOSE(ArtifactsInput!$N$24+1,10,12,14,16,18,20)+(IF(AND(Inputs!$B$38&lt;&gt;"pvp",Inputs!$B$43=0),1,IF(IF(Inputs!$B$38="pvp",15,Inputs!$B$43)-(B1581)&lt;=0,1,MAX(0,IF(Inputs!$B$38="pvp",15,Inputs!$B$43)-MAX(5,B1581))/(IF(Inputs!$B$38="pvp",15,Inputs!$B$43)-(B1581))))*IF(AND(ArtifactsInput!$M$42,((Inputs!$B$9+((C1562=TRUE)*(F1562-Calc!F19))+B1574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1555*(MIN(100,(Inputs!$B$9+((C1562=TRUE)*(F1562-Calc!F19))+B1574+(ArtifactsInput!$M$24-ArtifactsInput!$M$24)*CHOOSE(ArtifactsInput!$N$24+1,10,12,14,16,18,20)+(IF(AND(Inputs!$B$38&lt;&gt;"pvp",Inputs!$B$43=0),1,IF(IF(Inputs!$B$38="pvp",15,Inputs!$B$43)-(B1581)&lt;=0,1,MAX(0,IF(Inputs!$B$38="pvp",15,Inputs!$B$43)-MAX(5,B1581))/(IF(Inputs!$B$38="pvp",15,Inputs!$B$43)-(B1581))))*IF(AND(ArtifactsInput!$M$42,((Inputs!$B$9+((C1562=TRUE)*(F1562-Calc!F19))+B1574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555">
        <f>IF(C1555,(H1555*N1555*IF(AND(Inputs!$B$38&lt;&gt;"pvp",Inputs!$B$43&gt;0),((Skills!G12*((R1555-1)*IF(Skills!H12&gt;0,INT(Skills!I12/Skills!H12+0.000000001),1)+IF(Skills!H12&gt;0,INT(MIN(Skills!I12,MAX(0,MAX(0,Inputs!$B$43-B1581)-((R1555-1)*(IF(Inputs!$B$38="pvp",15,MAX(0.1,Skills!D12-IF(TRUE=TRUE,Inputs!$B$32,0)))*(1-IF(AND(ArtifactsInput!$M$27,Inputs!$B$4="Chapter Hunt"),CHOOSE(ArtifactsInput!$N$27+1,20,24,28,32,36,40),0)/100)))))/Skills!H12+0.000000001),1)))/Inputs!$B$43),G1555*Q1555))*IF(Inputs!$B$38="pvp",1,(1+(Inputs!$B$21+Skills!Q12+(IF(ArtifactsInput!$M$33,CHOOSE(ArtifactsInput!$N$33+1,30,36,42,48,54,60),0))+(IF(AND(ArtifactsInput!$M$35,Inputs!$B$4&lt;&gt;"Chapter Hunt"),CHOOSE(ArtifactsInput!$N$35+1,15,18,21,24,27,30)*(1-EXP(-(0.2*B1576)*5)),0)+IF(AND(ArtifactsInput!$M$22,Inputs!$B$4&lt;&gt;"Chapter Hunt"),CHOOSE(ArtifactsInput!$N$22+1,10,12,14,16,18,20)*((0*(((0.15*B1576*5))^0/1)+1*(((0.15*B1576*5))^1/1)+2*(((0.15*B1576*5))^2/2)+3*(((0.15*B1576*5))^3/6)+4*(((0.15*B1576*5))^4/24)+5*(((0.15*B1576*5))^5/120))/((((0.15*B1576*5))^0/1)+(((0.15*B1576*5))^1/1)+(((0.15*B1576*5))^2/2)+(((0.15*B1576*5))^3/6)+(((0.15*B1576*5))^4/24)+(((0.15*B1576*5))^5/120))),0))+IF(Inputs!$B$3&gt;=54,9*(C1546=TRUE)*MIN(1,8*(1+Inputs!$B$34/100)*Q1546),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56">
      <c r="A1556">
        <f>Skills!A13</f>
        <v/>
      </c>
      <c r="B1556">
        <f>Skills!B13</f>
        <v/>
      </c>
      <c r="C1556">
        <f>Inputs!$B$3&gt;=110</f>
        <v/>
      </c>
      <c r="D1556">
        <f>IF(Skills!C13=1,60+Inputs!$B$25+Inputs!$B$29,IF(Skills!C13=2,90+Inputs!$B$26+Inputs!$B$29,IF(Skills!C13=3,120+Inputs!$B$27+Inputs!$B$29,MAX(0,(Inputs!$B$3-100)*3)+Inputs!$B$28+Inputs!$B$29)))</f>
        <v/>
      </c>
      <c r="E1556">
        <f>INDEX(FactorTable!$B$2:$Y$301, MATCH(ROUND(MIN(300,MAX(1,D1556)),0), FactorTable!$A$2:$A$301,0), Skills!M13+1)</f>
        <v/>
      </c>
      <c r="F1556">
        <f>IF(Skills!N13=TRUE,(Skills!L13/10)*(E1556/1000),Skills!L13/10)+Skills!O13</f>
        <v/>
      </c>
      <c r="G1556">
        <f>Skills!G13*IF(Skills!H13&gt;0,INT(IF(Inputs!$B$38="pvp",MIN(Skills!I13,15),Skills!I13)/Skills!H13+0.000000001),1)</f>
        <v/>
      </c>
      <c r="H1556">
        <f>1-(1-Skills!J13/100)^Skills!K13</f>
        <v/>
      </c>
      <c r="I1556" t="inlineStr">
        <is>
          <t>1</t>
        </is>
      </c>
      <c r="J1556">
        <f>((Inputs!$B$6*(1+Inputs!$B$7/100))+(((Inputs!$B$12*(1+Inputs!$B$13/100))-(Inputs!$B$12*(1+Inputs!$B$13/100)))+0.25*(Inputs!$B$14-Inputs!$B$14))*(1+Inputs!$B$7/100))*(F1556/100)</f>
        <v/>
      </c>
      <c r="K1556">
        <f>J1556*(1+((Inputs!$B$12*(1+Inputs!$B$13/100))*0.01+Inputs!$B$14*0.0025)/100)*(1+Inputs!$B$15/100)*(1+Inputs!$B$16/100)*(5000/(6000+Inputs!$B$42*(1-(100*(1-(1-(Inputs!$B$19+0)/100)*(1-CHOOSE(ArtifactsInput!$N$40+1,5,6,7,8,9,10)/100)^(ArtifactsInput!$M$40-ArtifactsInput!$M$40)))/100)))*(1+(Inputs!$B$24+((C1569=TRUE)*(F1569-Calc!F26))+B1580)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EIGHT_LEGS_EASTON",Inputs!$B$17+((C1566=TRUE)*(F1566-Calc!F23))+((C1570=TRUE)*(F1570-Calc!F27))+((IF(AND(Inputs!$B$38&lt;&gt;"pvp",Inputs!$B$43=0),1,IF(IF(Inputs!$B$38="pvp",15,Inputs!$B$43)-(B1581)&lt;=0,1,MAX(0,IF(Inputs!$B$38="pvp",15,Inputs!$B$43)-MAX(5,B1581))/(IF(Inputs!$B$38="pvp",15,Inputs!$B$43)-(B1581))))*(IF(AND(ArtifactsInput!$M$42,((Inputs!$B$9+((C1562=TRUE)*(F1562-Calc!F19))+B1574+(ArtifactsInput!$M$24-ArtifactsInput!$M$24)*CHOOSE(ArtifactsInput!$N$24+1,10,12,14,16,18,20)+IF(ArtifactsInput!$M$10,CHOOSE(ArtifactsInput!$N$10+1,15,18,21,24,27,30)*(IF(Inputs!$B$38="pvp",MIN(15,15)/15,IF(AND(Inputs!$B$38&lt;&gt;"pvp",Inputs!$B$43&gt;0),MIN(15,Inputs!$B$43)/(Inputs!$B$43),0))),0)))&gt;=100),MIN(100,((Inputs!$B$9+((C1562=TRUE)*(F1562-Calc!F19))+B1574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1581)&lt;=0,1,MAX(0,IF(Inputs!$B$38="pvp",15,Inputs!$B$43)-MAX(5,B1581))/(IF(Inputs!$B$38="pvp",15,Inputs!$B$43)-(B1581))))*IF(AND(ArtifactsInput!$M$42,((Inputs!$B$9+((C1562=TRUE)*(F1562-Calc!F19))+B1574+(ArtifactsInput!$M$24-ArtifactsInput!$M$24)*CHOOSE(ArtifactsInput!$N$24+1,10,12,14,16,18,20)+IF(ArtifactsInput!$M$10,CHOOSE(ArtifactsInput!$N$10+1,15,18,21,24,27,30)*(IF(Inputs!$B$38="pvp",MIN(15,15)/15,IF(AND(Inputs!$B$38&lt;&gt;"pvp",Inputs!$B$43&gt;0),MIN(15,Inputs!$B$43)/(Inputs!$B$43),0))),0)))&gt;=100),CHOOSE(ArtifactsInput!$N$42+1,40,48,56,64,72,80),0))))/100)*((1+(((C1560=TRUE)*F1560*5/7)+((C1567=TRUE)*(F1567-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1556)</f>
        <v/>
      </c>
      <c r="L1556">
        <f>K1556*(MIN(Inputs!$B$22+((C1565=TRUE)*(F1565-Calc!F22)),(Inputs!$B$23+0+(IF(ArtifactsInput!$M$15,CHOOSE(ArtifactsInput!$N$15+1,25,30,35,40,45,50)/100*(Inputs!$B$11-Inputs!$B$11),0))))/100+(Inputs!$B$23+0+(IF(ArtifactsInput!$M$15,CHOOSE(ArtifactsInput!$N$15+1,25,30,35,40,45,50)/100*(Inputs!$B$11-Inputs!$B$11),0)))/100)/2</f>
        <v/>
      </c>
      <c r="M1556">
        <f>L1556*(1+(Inputs!$B$10+((C1568=TRUE)*(F1568-Calc!F25))+B1579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56">
        <f>L1556*(1-MIN((Inputs!$B$9+((C1562=TRUE)*(F1562-Calc!F19))+B1574+(ArtifactsInput!$M$24-ArtifactsInput!$M$24)*CHOOSE(ArtifactsInput!$N$24+1,10,12,14,16,18,20)+(IF(AND(Inputs!$B$38&lt;&gt;"pvp",Inputs!$B$43=0),1,IF(IF(Inputs!$B$38="pvp",15,Inputs!$B$43)-(B1581)&lt;=0,1,MAX(0,IF(Inputs!$B$38="pvp",15,Inputs!$B$43)-MAX(5,B1581))/(IF(Inputs!$B$38="pvp",15,Inputs!$B$43)-(B1581))))*IF(AND(ArtifactsInput!$M$42,((Inputs!$B$9+((C1562=TRUE)*(F1562-Calc!F19))+B1574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1556*(MIN((Inputs!$B$9+((C1562=TRUE)*(F1562-Calc!F19))+B1574+(ArtifactsInput!$M$24-ArtifactsInput!$M$24)*CHOOSE(ArtifactsInput!$N$24+1,10,12,14,16,18,20)+(IF(AND(Inputs!$B$38&lt;&gt;"pvp",Inputs!$B$43=0),1,IF(IF(Inputs!$B$38="pvp",15,Inputs!$B$43)-(B1581)&lt;=0,1,MAX(0,IF(Inputs!$B$38="pvp",15,Inputs!$B$43)-MAX(5,B1581))/(IF(Inputs!$B$38="pvp",15,Inputs!$B$43)-(B1581))))*IF(AND(ArtifactsInput!$M$42,((Inputs!$B$9+((C1562=TRUE)*(F1562-Calc!F19))+B1574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56">
        <f>(1-Summary!$B$11)*T1556+Summary!$B$11*V1556</f>
        <v/>
      </c>
      <c r="P1556">
        <f>IF(B1584=0,0,O1556/B1584)</f>
        <v/>
      </c>
      <c r="Q1556">
        <f>IFERROR(1/(IF(Inputs!$B$38="pvp",15,MAX(0.1,Skills!D13-IF(TRUE=TRUE,Inputs!$B$32,0)))*(1-IF(AND(ArtifactsInput!$M$27,Inputs!$B$4="Chapter Hunt"),CHOOSE(ArtifactsInput!$N$27+1,20,24,28,32,36,40),0)/100)),0)</f>
        <v/>
      </c>
      <c r="R1556">
        <f>IF(AND(Inputs!$B$38&lt;&gt;"pvp",Inputs!$B$43&gt;0),IF(MAX(0,Inputs!$B$43-B1581)&lt;=0,0,(INT(MAX(0,Inputs!$B$43-B1581)/(IF(Inputs!$B$38="pvp",15,MAX(0.1,Skills!D13-IF(TRUE=TRUE,Inputs!$B$32,0)))*(1-IF(AND(ArtifactsInput!$M$27,Inputs!$B$4="Chapter Hunt"),CHOOSE(ArtifactsInput!$N$27+1,20,24,28,32,36,40),0)/100)))+1)),0)</f>
        <v/>
      </c>
      <c r="S1556">
        <f>IFERROR(O1556/N1556,0)</f>
        <v/>
      </c>
      <c r="T1556">
        <f>IF(C1556,(H1556*N1556*IF(AND(Inputs!$B$38&lt;&gt;"pvp",Inputs!$B$43&gt;0),((Skills!G13*((R1556-1)*IF(Skills!H13&gt;0,INT(Skills!I13/Skills!H13+0.000000001),1)+IF(Skills!H13&gt;0,INT(MIN(Skills!I13,MAX(0,MAX(0,Inputs!$B$43-B1581)-((R1556-1)*(IF(Inputs!$B$38="pvp",15,MAX(0.1,Skills!D13-IF(TRUE=TRUE,Inputs!$B$32,0)))*(1-IF(AND(ArtifactsInput!$M$27,Inputs!$B$4="Chapter Hunt"),CHOOSE(ArtifactsInput!$N$27+1,20,24,28,32,36,40),0)/100)))))/Skills!H13+0.000000001),1)))/Inputs!$B$43),G1556*Q1556))*IF(Inputs!$B$38="pvp",1,1+(Inputs!$B$20+0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Hunt"),CHOOSE(ArtifactsInput!$N$35+1,15,18,21,24,27,30)*(1-EXP(-(0.2*B1576)*5)),0)+IF(AND(ArtifactsInput!$M$22,Inputs!$B$4&lt;&gt;"Chapter Hunt"),CHOOSE(ArtifactsInput!$N$22+1,10,12,14,16,18,20)*((0*(((0.15*B1576*5))^0/1)+1*(((0.15*B1576*5))^1/1)+2*(((0.15*B1576*5))^2/2)+3*(((0.15*B1576*5))^3/6)+4*(((0.15*B1576*5))^4/24)+5*(((0.15*B1576*5))^5/120))/((((0.15*B1576*5))^0/1)+(((0.15*B1576*5))^1/1)+(((0.15*B1576*5))^2/2)+(((0.15*B1576*5))^3/6)+(((0.15*B1576*5))^4/24)+(((0.15*B1576*5))^5/120))),0))+IF(Inputs!$B$3&gt;=54,9*(C1546=TRUE)*MIN(1,8*(1+Inputs!$B$34/100)*Q1546)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1556*(1-MIN(100,(Inputs!$B$9+((C1562=TRUE)*(F1562-Calc!F19))+B1574+(ArtifactsInput!$M$24-ArtifactsInput!$M$24)*CHOOSE(ArtifactsInput!$N$24+1,10,12,14,16,18,20)+(IF(AND(Inputs!$B$38&lt;&gt;"pvp",Inputs!$B$43=0),1,IF(IF(Inputs!$B$38="pvp",15,Inputs!$B$43)-(B1581)&lt;=0,1,MAX(0,IF(Inputs!$B$38="pvp",15,Inputs!$B$43)-MAX(5,B1581))/(IF(Inputs!$B$38="pvp",15,Inputs!$B$43)-(B1581))))*IF(AND(ArtifactsInput!$M$42,((Inputs!$B$9+((C1562=TRUE)*(F1562-Calc!F19))+B1574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1556*(MIN(100,(Inputs!$B$9+((C1562=TRUE)*(F1562-Calc!F19))+B1574+(ArtifactsInput!$M$24-ArtifactsInput!$M$24)*CHOOSE(ArtifactsInput!$N$24+1,10,12,14,16,18,20)+(IF(AND(Inputs!$B$38&lt;&gt;"pvp",Inputs!$B$43=0),1,IF(IF(Inputs!$B$38="pvp",15,Inputs!$B$43)-(B1581)&lt;=0,1,MAX(0,IF(Inputs!$B$38="pvp",15,Inputs!$B$43)-MAX(5,B1581))/(IF(Inputs!$B$38="pvp",15,Inputs!$B$43)-(B1581))))*IF(AND(ArtifactsInput!$M$42,((Inputs!$B$9+((C1562=TRUE)*(F1562-Calc!F19))+B1574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1556*(1-MIN(100,(Inputs!$B$9+((C1562=TRUE)*(F1562-Calc!F19))+B1574+(ArtifactsInput!$M$24-ArtifactsInput!$M$24)*CHOOSE(ArtifactsInput!$N$24+1,10,12,14,16,18,20)+(IF(AND(Inputs!$B$38&lt;&gt;"pvp",Inputs!$B$43=0),1,IF(IF(Inputs!$B$38="pvp",15,Inputs!$B$43)-(B1581)&lt;=0,1,MAX(0,IF(Inputs!$B$38="pvp",15,Inputs!$B$43)-MAX(5,B1581))/(IF(Inputs!$B$38="pvp",15,Inputs!$B$43)-(B1581))))*IF(AND(ArtifactsInput!$M$42,((Inputs!$B$9+((C1562=TRUE)*(F1562-Calc!F19))+B1574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1556*(MIN(100,(Inputs!$B$9+((C1562=TRUE)*(F1562-Calc!F19))+B1574+(ArtifactsInput!$M$24-ArtifactsInput!$M$24)*CHOOSE(ArtifactsInput!$N$24+1,10,12,14,16,18,20)+(IF(AND(Inputs!$B$38&lt;&gt;"pvp",Inputs!$B$43=0),1,IF(IF(Inputs!$B$38="pvp",15,Inputs!$B$43)-(B1581)&lt;=0,1,MAX(0,IF(Inputs!$B$38="pvp",15,Inputs!$B$43)-MAX(5,B1581))/(IF(Inputs!$B$38="pvp",15,Inputs!$B$43)-(B1581))))*IF(AND(ArtifactsInput!$M$42,((Inputs!$B$9+((C1562=TRUE)*(F1562-Calc!F19))+B1574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556">
        <f>IF(C1556,(H1556*N1556*IF(AND(Inputs!$B$38&lt;&gt;"pvp",Inputs!$B$43&gt;0),((Skills!G13*((R1556-1)*IF(Skills!H13&gt;0,INT(Skills!I13/Skills!H13+0.000000001),1)+IF(Skills!H13&gt;0,INT(MIN(Skills!I13,MAX(0,MAX(0,Inputs!$B$43-B1581)-((R1556-1)*(IF(Inputs!$B$38="pvp",15,MAX(0.1,Skills!D13-IF(TRUE=TRUE,Inputs!$B$32,0)))*(1-IF(AND(ArtifactsInput!$M$27,Inputs!$B$4="Chapter Hunt"),CHOOSE(ArtifactsInput!$N$27+1,20,24,28,32,36,40),0)/100)))))/Skills!H13+0.000000001),1)))/Inputs!$B$43),G1556*Q1556))*IF(Inputs!$B$38="pvp",1,(1+(Inputs!$B$21+Skills!Q13+(IF(ArtifactsInput!$M$33,CHOOSE(ArtifactsInput!$N$33+1,30,36,42,48,54,60),0))+(IF(AND(ArtifactsInput!$M$35,Inputs!$B$4&lt;&gt;"Chapter Hunt"),CHOOSE(ArtifactsInput!$N$35+1,15,18,21,24,27,30)*(1-EXP(-(0.2*B1576)*5)),0)+IF(AND(ArtifactsInput!$M$22,Inputs!$B$4&lt;&gt;"Chapter Hunt"),CHOOSE(ArtifactsInput!$N$22+1,10,12,14,16,18,20)*((0*(((0.15*B1576*5))^0/1)+1*(((0.15*B1576*5))^1/1)+2*(((0.15*B1576*5))^2/2)+3*(((0.15*B1576*5))^3/6)+4*(((0.15*B1576*5))^4/24)+5*(((0.15*B1576*5))^5/120))/((((0.15*B1576*5))^0/1)+(((0.15*B1576*5))^1/1)+(((0.15*B1576*5))^2/2)+(((0.15*B1576*5))^3/6)+(((0.15*B1576*5))^4/24)+(((0.15*B1576*5))^5/120))),0))+IF(Inputs!$B$3&gt;=54,9*(C1546=TRUE)*MIN(1,8*(1+Inputs!$B$34/100)*Q1546),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57">
      <c r="A1557">
        <f>Skills!A14</f>
        <v/>
      </c>
      <c r="B1557">
        <f>Skills!B14</f>
        <v/>
      </c>
      <c r="C1557">
        <f>Inputs!$B$3&gt;=120</f>
        <v/>
      </c>
      <c r="D1557">
        <f>IF(Skills!C14=1,60+Inputs!$B$25+Inputs!$B$29,IF(Skills!C14=2,90+Inputs!$B$26+Inputs!$B$29,IF(Skills!C14=3,120+Inputs!$B$27+Inputs!$B$29,MAX(0,(Inputs!$B$3-100)*3)+Inputs!$B$28+Inputs!$B$29)))</f>
        <v/>
      </c>
      <c r="E1557">
        <f>INDEX(FactorTable!$B$2:$Y$301, MATCH(ROUND(MIN(300,MAX(1,D1557)),0), FactorTable!$A$2:$A$301,0), Skills!M14+1)</f>
        <v/>
      </c>
      <c r="F1557">
        <f>IF(Skills!N14=TRUE,(Skills!L14/10)*(E1557/1000),Skills!L14/10)+Skills!O14</f>
        <v/>
      </c>
      <c r="G1557">
        <f>Skills!G14*IF(Skills!H14&gt;0,INT(IF(Inputs!$B$38="pvp",MIN(Skills!I14,15),Skills!I14)/Skills!H14+0.000000001),1)</f>
        <v/>
      </c>
      <c r="H1557">
        <f>1-(1-Skills!J14/100)^Skills!K14</f>
        <v/>
      </c>
      <c r="I1557" t="inlineStr">
        <is>
          <t>1</t>
        </is>
      </c>
      <c r="J1557">
        <f>((Inputs!$B$6*(1+Inputs!$B$7/100))+(((Inputs!$B$12*(1+Inputs!$B$13/100))-(Inputs!$B$12*(1+Inputs!$B$13/100)))+0.25*(Inputs!$B$14-Inputs!$B$14))*(1+Inputs!$B$7/100))*(F1557/100)</f>
        <v/>
      </c>
      <c r="K1557">
        <f>J1557*(1+((Inputs!$B$12*(1+Inputs!$B$13/100))*0.01+Inputs!$B$14*0.0025)/100)*(1+Inputs!$B$15/100)*(1+Inputs!$B$16/100)*(5000/(6000+Inputs!$B$42*(1-(100*(1-(1-(Inputs!$B$19+0)/100)*(1-CHOOSE(ArtifactsInput!$N$40+1,5,6,7,8,9,10)/100)^(ArtifactsInput!$M$40-ArtifactsInput!$M$40)))/100)))*(1+(Inputs!$B$24+((C1569=TRUE)*(F1569-Calc!F26))+B1580)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EIGHT_LEGS_EASTON",Inputs!$B$17+((C1566=TRUE)*(F1566-Calc!F23))+((C1570=TRUE)*(F1570-Calc!F27))+((IF(AND(Inputs!$B$38&lt;&gt;"pvp",Inputs!$B$43=0),1,IF(IF(Inputs!$B$38="pvp",15,Inputs!$B$43)-(B1581)&lt;=0,1,MAX(0,IF(Inputs!$B$38="pvp",15,Inputs!$B$43)-MAX(5,B1581))/(IF(Inputs!$B$38="pvp",15,Inputs!$B$43)-(B1581))))*(IF(AND(ArtifactsInput!$M$42,((Inputs!$B$9+((C1562=TRUE)*(F1562-Calc!F19))+B1574+(ArtifactsInput!$M$24-ArtifactsInput!$M$24)*CHOOSE(ArtifactsInput!$N$24+1,10,12,14,16,18,20)+IF(ArtifactsInput!$M$10,CHOOSE(ArtifactsInput!$N$10+1,15,18,21,24,27,30)*(IF(Inputs!$B$38="pvp",MIN(15,15)/15,IF(AND(Inputs!$B$38&lt;&gt;"pvp",Inputs!$B$43&gt;0),MIN(15,Inputs!$B$43)/(Inputs!$B$43),0))),0)))&gt;=100),MIN(100,((Inputs!$B$9+((C1562=TRUE)*(F1562-Calc!F19))+B1574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1581)&lt;=0,1,MAX(0,IF(Inputs!$B$38="pvp",15,Inputs!$B$43)-MAX(5,B1581))/(IF(Inputs!$B$38="pvp",15,Inputs!$B$43)-(B1581))))*IF(AND(ArtifactsInput!$M$42,((Inputs!$B$9+((C1562=TRUE)*(F1562-Calc!F19))+B1574+(ArtifactsInput!$M$24-ArtifactsInput!$M$24)*CHOOSE(ArtifactsInput!$N$24+1,10,12,14,16,18,20)+IF(ArtifactsInput!$M$10,CHOOSE(ArtifactsInput!$N$10+1,15,18,21,24,27,30)*(IF(Inputs!$B$38="pvp",MIN(15,15)/15,IF(AND(Inputs!$B$38&lt;&gt;"pvp",Inputs!$B$43&gt;0),MIN(15,Inputs!$B$43)/(Inputs!$B$43),0))),0)))&gt;=100),CHOOSE(ArtifactsInput!$N$42+1,40,48,56,64,72,80),0))))/100)*((1+(((C1560=TRUE)*F1560*5/7)+((C1567=TRUE)*(F1567-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1557)</f>
        <v/>
      </c>
      <c r="L1557">
        <f>K1557*(MIN(Inputs!$B$22+((C1565=TRUE)*(F1565-Calc!F22)),(Inputs!$B$23+0+(IF(ArtifactsInput!$M$15,CHOOSE(ArtifactsInput!$N$15+1,25,30,35,40,45,50)/100*(Inputs!$B$11-Inputs!$B$11),0))))/100+(Inputs!$B$23+0+(IF(ArtifactsInput!$M$15,CHOOSE(ArtifactsInput!$N$15+1,25,30,35,40,45,50)/100*(Inputs!$B$11-Inputs!$B$11),0)))/100)/2</f>
        <v/>
      </c>
      <c r="M1557">
        <f>L1557*(1+(Inputs!$B$10+((C1568=TRUE)*(F1568-Calc!F25))+B1579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57">
        <f>L1557*(1-MIN((Inputs!$B$9+((C1562=TRUE)*(F1562-Calc!F19))+B1574+(ArtifactsInput!$M$24-ArtifactsInput!$M$24)*CHOOSE(ArtifactsInput!$N$24+1,10,12,14,16,18,20)+(IF(AND(Inputs!$B$38&lt;&gt;"pvp",Inputs!$B$43=0),1,IF(IF(Inputs!$B$38="pvp",15,Inputs!$B$43)-(B1581)&lt;=0,1,MAX(0,IF(Inputs!$B$38="pvp",15,Inputs!$B$43)-MAX(5,B1581))/(IF(Inputs!$B$38="pvp",15,Inputs!$B$43)-(B1581))))*IF(AND(ArtifactsInput!$M$42,((Inputs!$B$9+((C1562=TRUE)*(F1562-Calc!F19))+B1574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1557*(MIN((Inputs!$B$9+((C1562=TRUE)*(F1562-Calc!F19))+B1574+(ArtifactsInput!$M$24-ArtifactsInput!$M$24)*CHOOSE(ArtifactsInput!$N$24+1,10,12,14,16,18,20)+(IF(AND(Inputs!$B$38&lt;&gt;"pvp",Inputs!$B$43=0),1,IF(IF(Inputs!$B$38="pvp",15,Inputs!$B$43)-(B1581)&lt;=0,1,MAX(0,IF(Inputs!$B$38="pvp",15,Inputs!$B$43)-MAX(5,B1581))/(IF(Inputs!$B$38="pvp",15,Inputs!$B$43)-(B1581))))*IF(AND(ArtifactsInput!$M$42,((Inputs!$B$9+((C1562=TRUE)*(F1562-Calc!F19))+B1574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57">
        <f>(1-Summary!$B$11)*T1557+Summary!$B$11*V1557</f>
        <v/>
      </c>
      <c r="P1557">
        <f>IF(B1584=0,0,O1557/B1584)</f>
        <v/>
      </c>
      <c r="Q1557" t="n">
        <v>0</v>
      </c>
      <c r="R1557" t="n">
        <v>0</v>
      </c>
      <c r="S1557">
        <f>IFERROR(O1557/N1557,0)</f>
        <v/>
      </c>
      <c r="T1557">
        <f>IF(C1557,((H1557*(B1578+IF(AND(Inputs!$B$38&lt;&gt;"pvp",Inputs!$B$43&gt;0),((Skills!G8*((R1551-1)*IF(Skills!H8&gt;0,INT(Skills!I8/Skills!H8+0.000000001),1)+IF(Skills!H8&gt;0,INT(MIN(Skills!I8,MAX(0,MAX(0,Inputs!$B$43-B1581)-((R1551-1)*((IF(Inputs!$B$38="pvp",15,MAX(0.1,Skills!D8-IF(TRUE=TRUE,Inputs!$B$32,0)))*(1-IF(AND(ArtifactsInput!$M$27,Inputs!$B$4="Chapter Hunt"),CHOOSE(ArtifactsInput!$N$27+1,20,24,28,32,36,40),0)/100))/B1585))))/Skills!H8+0.000000001),1)))/Inputs!$B$43),G1551*Q1551)+IF(AND(Inputs!$B$38&lt;&gt;"pvp",Inputs!$B$43&gt;0),((Skills!G11*((R1554-1)*IF(Skills!H11&gt;0,INT(Skills!I11/Skills!H11+0.000000001),1)+IF(Skills!H11&gt;0,INT(MIN(Skills!I11,MAX(0,MAX(0,Inputs!$B$43-B1581)-((R1554-1)*((IF(Inputs!$B$38="pvp",15,MAX(0.1,Skills!D11-IF(TRUE=TRUE,Inputs!$B$32,0)))*(1-IF(AND(ArtifactsInput!$M$27,Inputs!$B$4="Chapter Hunt"),CHOOSE(ArtifactsInput!$N$27+1,20,24,28,32,36,40),0)/100))/B1585))))/Skills!H11+0.000000001),1)))/Inputs!$B$43),G1554*Q1554)))/(1+Skills!H14*H1557*(B1578+IF(AND(Inputs!$B$38&lt;&gt;"pvp",Inputs!$B$43&gt;0),((Skills!G8*((R1551-1)*IF(Skills!H8&gt;0,INT(Skills!I8/Skills!H8+0.000000001),1)+IF(Skills!H8&gt;0,INT(MIN(Skills!I8,MAX(0,MAX(0,Inputs!$B$43-B1581)-((R1551-1)*((IF(Inputs!$B$38="pvp",15,MAX(0.1,Skills!D8-IF(TRUE=TRUE,Inputs!$B$32,0)))*(1-IF(AND(ArtifactsInput!$M$27,Inputs!$B$4="Chapter Hunt"),CHOOSE(ArtifactsInput!$N$27+1,20,24,28,32,36,40),0)/100))/B1585))))/Skills!H8+0.000000001),1)))/Inputs!$B$43),G1551*Q1551)+IF(AND(Inputs!$B$38&lt;&gt;"pvp",Inputs!$B$43&gt;0),((Skills!G11*((R1554-1)*IF(Skills!H11&gt;0,INT(Skills!I11/Skills!H11+0.000000001),1)+IF(Skills!H11&gt;0,INT(MIN(Skills!I11,MAX(0,MAX(0,Inputs!$B$43-B1581)-((R1554-1)*((IF(Inputs!$B$38="pvp",15,MAX(0.1,Skills!D11-IF(TRUE=TRUE,Inputs!$B$32,0)))*(1-IF(AND(ArtifactsInput!$M$27,Inputs!$B$4="Chapter Hunt"),CHOOSE(ArtifactsInput!$N$27+1,20,24,28,32,36,40),0)/100))/B1585))))/Skills!H11+0.000000001),1)))/Inputs!$B$43),G1554*Q1554)))*N1557)*IF(Inputs!$B$38="pvp",1,1+(Inputs!$B$20+0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Hunt"),CHOOSE(ArtifactsInput!$N$35+1,15,18,21,24,27,30)*(1-EXP(-(0.2*B1576)*5)),0)+IF(AND(ArtifactsInput!$M$22,Inputs!$B$4&lt;&gt;"Chapter Hunt"),CHOOSE(ArtifactsInput!$N$22+1,10,12,14,16,18,20)*((0*(((0.15*B1576*5))^0/1)+1*(((0.15*B1576*5))^1/1)+2*(((0.15*B1576*5))^2/2)+3*(((0.15*B1576*5))^3/6)+4*(((0.15*B1576*5))^4/24)+5*(((0.15*B1576*5))^5/120))/((((0.15*B1576*5))^0/1)+(((0.15*B1576*5))^1/1)+(((0.15*B1576*5))^2/2)+(((0.15*B1576*5))^3/6)+(((0.15*B1576*5))^4/24)+(((0.15*B1576*5))^5/120))),0))+IF(Inputs!$B$3&gt;=54,9*(C1546=TRUE)*MIN(1,8*(1+Inputs!$B$34/100)*Q1546)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1557*(1-MIN(100,(Inputs!$B$9+((C1562=TRUE)*(F1562-Calc!F19))+B1574+(ArtifactsInput!$M$24-ArtifactsInput!$M$24)*CHOOSE(ArtifactsInput!$N$24+1,10,12,14,16,18,20)+(IF(AND(Inputs!$B$38&lt;&gt;"pvp",Inputs!$B$43=0),1,IF(IF(Inputs!$B$38="pvp",15,Inputs!$B$43)-(B1581)&lt;=0,1,MAX(0,IF(Inputs!$B$38="pvp",15,Inputs!$B$43)-MAX(5,B1581))/(IF(Inputs!$B$38="pvp",15,Inputs!$B$43)-(B1581))))*IF(AND(ArtifactsInput!$M$42,((Inputs!$B$9+((C1562=TRUE)*(F1562-Calc!F19))+B1574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1557*(MIN(100,(Inputs!$B$9+((C1562=TRUE)*(F1562-Calc!F19))+B1574+(ArtifactsInput!$M$24-ArtifactsInput!$M$24)*CHOOSE(ArtifactsInput!$N$24+1,10,12,14,16,18,20)+(IF(AND(Inputs!$B$38&lt;&gt;"pvp",Inputs!$B$43=0),1,IF(IF(Inputs!$B$38="pvp",15,Inputs!$B$43)-(B1581)&lt;=0,1,MAX(0,IF(Inputs!$B$38="pvp",15,Inputs!$B$43)-MAX(5,B1581))/(IF(Inputs!$B$38="pvp",15,Inputs!$B$43)-(B1581))))*IF(AND(ArtifactsInput!$M$42,((Inputs!$B$9+((C1562=TRUE)*(F1562-Calc!F19))+B1574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1557*(1-MIN(100,(Inputs!$B$9+((C1562=TRUE)*(F1562-Calc!F19))+B1574+(ArtifactsInput!$M$24-ArtifactsInput!$M$24)*CHOOSE(ArtifactsInput!$N$24+1,10,12,14,16,18,20)+(IF(AND(Inputs!$B$38&lt;&gt;"pvp",Inputs!$B$43=0),1,IF(IF(Inputs!$B$38="pvp",15,Inputs!$B$43)-(B1581)&lt;=0,1,MAX(0,IF(Inputs!$B$38="pvp",15,Inputs!$B$43)-MAX(5,B1581))/(IF(Inputs!$B$38="pvp",15,Inputs!$B$43)-(B1581))))*IF(AND(ArtifactsInput!$M$42,((Inputs!$B$9+((C1562=TRUE)*(F1562-Calc!F19))+B1574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1557*(MIN(100,(Inputs!$B$9+((C1562=TRUE)*(F1562-Calc!F19))+B1574+(ArtifactsInput!$M$24-ArtifactsInput!$M$24)*CHOOSE(ArtifactsInput!$N$24+1,10,12,14,16,18,20)+(IF(AND(Inputs!$B$38&lt;&gt;"pvp",Inputs!$B$43=0),1,IF(IF(Inputs!$B$38="pvp",15,Inputs!$B$43)-(B1581)&lt;=0,1,MAX(0,IF(Inputs!$B$38="pvp",15,Inputs!$B$43)-MAX(5,B1581))/(IF(Inputs!$B$38="pvp",15,Inputs!$B$43)-(B1581))))*IF(AND(ArtifactsInput!$M$42,((Inputs!$B$9+((C1562=TRUE)*(F1562-Calc!F19))+B1574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557">
        <f>IF(C1557,((H1557*(B1578+IF(AND(Inputs!$B$38&lt;&gt;"pvp",Inputs!$B$43&gt;0),((Skills!G8*((R1551-1)*IF(Skills!H8&gt;0,INT(Skills!I8/Skills!H8+0.000000001),1)+IF(Skills!H8&gt;0,INT(MIN(Skills!I8,MAX(0,MAX(0,Inputs!$B$43-B1581)-((R1551-1)*((IF(Inputs!$B$38="pvp",15,MAX(0.1,Skills!D8-IF(TRUE=TRUE,Inputs!$B$32,0)))*(1-IF(AND(ArtifactsInput!$M$27,Inputs!$B$4="Chapter Hunt"),CHOOSE(ArtifactsInput!$N$27+1,20,24,28,32,36,40),0)/100))/B1585))))/Skills!H8+0.000000001),1)))/Inputs!$B$43),G1551*Q1551)+IF(AND(Inputs!$B$38&lt;&gt;"pvp",Inputs!$B$43&gt;0),((Skills!G11*((R1554-1)*IF(Skills!H11&gt;0,INT(Skills!I11/Skills!H11+0.000000001),1)+IF(Skills!H11&gt;0,INT(MIN(Skills!I11,MAX(0,MAX(0,Inputs!$B$43-B1581)-((R1554-1)*((IF(Inputs!$B$38="pvp",15,MAX(0.1,Skills!D11-IF(TRUE=TRUE,Inputs!$B$32,0)))*(1-IF(AND(ArtifactsInput!$M$27,Inputs!$B$4="Chapter Hunt"),CHOOSE(ArtifactsInput!$N$27+1,20,24,28,32,36,40),0)/100))/B1585))))/Skills!H11+0.000000001),1)))/Inputs!$B$43),G1554*Q1554)))/(1+Skills!H14*H1557*(B1578+IF(AND(Inputs!$B$38&lt;&gt;"pvp",Inputs!$B$43&gt;0),((Skills!G8*((R1551-1)*IF(Skills!H8&gt;0,INT(Skills!I8/Skills!H8+0.000000001),1)+IF(Skills!H8&gt;0,INT(MIN(Skills!I8,MAX(0,MAX(0,Inputs!$B$43-B1581)-((R1551-1)*((IF(Inputs!$B$38="pvp",15,MAX(0.1,Skills!D8-IF(TRUE=TRUE,Inputs!$B$32,0)))*(1-IF(AND(ArtifactsInput!$M$27,Inputs!$B$4="Chapter Hunt"),CHOOSE(ArtifactsInput!$N$27+1,20,24,28,32,36,40),0)/100))/B1585))))/Skills!H8+0.000000001),1)))/Inputs!$B$43),G1551*Q1551)+IF(AND(Inputs!$B$38&lt;&gt;"pvp",Inputs!$B$43&gt;0),((Skills!G11*((R1554-1)*IF(Skills!H11&gt;0,INT(Skills!I11/Skills!H11+0.000000001),1)+IF(Skills!H11&gt;0,INT(MIN(Skills!I11,MAX(0,MAX(0,Inputs!$B$43-B1581)-((R1554-1)*((IF(Inputs!$B$38="pvp",15,MAX(0.1,Skills!D11-IF(TRUE=TRUE,Inputs!$B$32,0)))*(1-IF(AND(ArtifactsInput!$M$27,Inputs!$B$4="Chapter Hunt"),CHOOSE(ArtifactsInput!$N$27+1,20,24,28,32,36,40),0)/100))/B1585))))/Skills!H11+0.000000001),1)))/Inputs!$B$43),G1554*Q1554)))*N1557)*IF(Inputs!$B$38="pvp",1,(1+(Inputs!$B$21+Skills!Q14+(IF(ArtifactsInput!$M$33,CHOOSE(ArtifactsInput!$N$33+1,30,36,42,48,54,60),0))+(IF(AND(ArtifactsInput!$M$35,Inputs!$B$4&lt;&gt;"Chapter Hunt"),CHOOSE(ArtifactsInput!$N$35+1,15,18,21,24,27,30)*(1-EXP(-(0.2*B1576)*5)),0)+IF(AND(ArtifactsInput!$M$22,Inputs!$B$4&lt;&gt;"Chapter Hunt"),CHOOSE(ArtifactsInput!$N$22+1,10,12,14,16,18,20)*((0*(((0.15*B1576*5))^0/1)+1*(((0.15*B1576*5))^1/1)+2*(((0.15*B1576*5))^2/2)+3*(((0.15*B1576*5))^3/6)+4*(((0.15*B1576*5))^4/24)+5*(((0.15*B1576*5))^5/120))/((((0.15*B1576*5))^0/1)+(((0.15*B1576*5))^1/1)+(((0.15*B1576*5))^2/2)+(((0.15*B1576*5))^3/6)+(((0.15*B1576*5))^4/24)+(((0.15*B1576*5))^5/120))),0))+IF(Inputs!$B$3&gt;=54,9*(C1546=TRUE)*MIN(1,8*(1+Inputs!$B$34/100)*Q1546),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58">
      <c r="A1558">
        <f>Skills!A15</f>
        <v/>
      </c>
      <c r="B1558">
        <f>Skills!B15</f>
        <v/>
      </c>
      <c r="C1558">
        <f>Inputs!$B$3&gt;=100</f>
        <v/>
      </c>
      <c r="D1558">
        <f>IF(Skills!C15=1,60+Inputs!$B$25+Inputs!$B$29,IF(Skills!C15=2,90+Inputs!$B$26+Inputs!$B$29,IF(Skills!C15=3,120+Inputs!$B$27+Inputs!$B$29,MAX(0,(Inputs!$B$3-100)*3)+Inputs!$B$28+Inputs!$B$29)))</f>
        <v/>
      </c>
      <c r="E1558">
        <f>INDEX(FactorTable!$B$2:$Y$301, MATCH(ROUND(MIN(300,MAX(1,D1558)),0), FactorTable!$A$2:$A$301,0), Skills!M15+1)</f>
        <v/>
      </c>
      <c r="F1558">
        <f>IF(Skills!N15=TRUE,(Skills!L15/10)*(E1558/1000),Skills!L15/10)+Skills!O15</f>
        <v/>
      </c>
      <c r="G1558" t="inlineStr"/>
      <c r="H1558" t="inlineStr"/>
      <c r="I1558" t="inlineStr">
        <is>
          <t>1</t>
        </is>
      </c>
      <c r="J1558" t="inlineStr"/>
      <c r="K1558" t="inlineStr"/>
      <c r="L1558" t="inlineStr"/>
      <c r="M1558" t="inlineStr"/>
      <c r="N1558" t="inlineStr"/>
      <c r="O1558" t="inlineStr"/>
      <c r="P1558" t="inlineStr"/>
      <c r="Q1558" t="inlineStr"/>
      <c r="R1558" t="inlineStr"/>
      <c r="S1558" t="inlineStr"/>
    </row>
    <row r="1559">
      <c r="A1559">
        <f>Skills!A16</f>
        <v/>
      </c>
      <c r="B1559">
        <f>Skills!B16</f>
        <v/>
      </c>
      <c r="C1559">
        <f>Inputs!$B$3&gt;=107</f>
        <v/>
      </c>
      <c r="D1559">
        <f>IF(Skills!C16=1,60+Inputs!$B$25+Inputs!$B$29,IF(Skills!C16=2,90+Inputs!$B$26+Inputs!$B$29,IF(Skills!C16=3,120+Inputs!$B$27+Inputs!$B$29,MAX(0,(Inputs!$B$3-100)*3)+Inputs!$B$28+Inputs!$B$29)))</f>
        <v/>
      </c>
      <c r="E1559">
        <f>INDEX(FactorTable!$B$2:$Y$301, MATCH(ROUND(MIN(300,MAX(1,D1559)),0), FactorTable!$A$2:$A$301,0), Skills!M16+1)</f>
        <v/>
      </c>
      <c r="F1559">
        <f>IF(Skills!N16=TRUE,(Skills!L16/10)*(E1559/1000),Skills!L16/10)+Skills!O16</f>
        <v/>
      </c>
      <c r="G1559" t="inlineStr"/>
      <c r="H1559" t="inlineStr"/>
      <c r="I1559" t="inlineStr">
        <is>
          <t>1</t>
        </is>
      </c>
      <c r="J1559" t="inlineStr"/>
      <c r="K1559" t="inlineStr"/>
      <c r="L1559" t="inlineStr"/>
      <c r="M1559" t="inlineStr"/>
      <c r="N1559" t="inlineStr"/>
      <c r="O1559" t="inlineStr"/>
      <c r="P1559" t="inlineStr"/>
      <c r="Q1559" t="inlineStr"/>
      <c r="R1559" t="inlineStr"/>
      <c r="S1559" t="inlineStr"/>
    </row>
    <row r="1560">
      <c r="A1560">
        <f>Skills!A17</f>
        <v/>
      </c>
      <c r="B1560">
        <f>Skills!B17</f>
        <v/>
      </c>
      <c r="C1560">
        <f>Inputs!$B$3&gt;=74</f>
        <v/>
      </c>
      <c r="D1560">
        <f>IF(Skills!C17=1,60+Inputs!$B$25+Inputs!$B$29,IF(Skills!C17=2,90+Inputs!$B$26+Inputs!$B$29,IF(Skills!C17=3,120+Inputs!$B$27+Inputs!$B$29,MAX(0,(Inputs!$B$3-100)*3)+Inputs!$B$28+Inputs!$B$29)))</f>
        <v/>
      </c>
      <c r="E1560">
        <f>INDEX(FactorTable!$B$2:$Y$301, MATCH(ROUND(MIN(300,MAX(1,D1560)),0), FactorTable!$A$2:$A$301,0), Skills!M17+1)</f>
        <v/>
      </c>
      <c r="F1560">
        <f>IF(Skills!N17=TRUE,(Skills!L17/10)*(E1560/1000),Skills!L17/10)+Skills!O17</f>
        <v/>
      </c>
      <c r="G1560">
        <f>Skills!G17*IF(Skills!H17&gt;0,INT(IF(Inputs!$B$38="pvp",MIN(Skills!I17,15),Skills!I17)/Skills!H17+0.000000001),1)</f>
        <v/>
      </c>
      <c r="H1560">
        <f>1-(1-Skills!J17/100)^Skills!K17</f>
        <v/>
      </c>
      <c r="I1560" t="inlineStr">
        <is>
          <t>1</t>
        </is>
      </c>
      <c r="J1560" t="inlineStr"/>
      <c r="K1560" t="inlineStr"/>
      <c r="L1560" t="inlineStr"/>
      <c r="M1560" t="inlineStr"/>
      <c r="N1560" t="inlineStr"/>
      <c r="O1560">
        <f>(1-Summary!$B$11)*T1560+Summary!$B$11*V1560</f>
        <v/>
      </c>
      <c r="P1560">
        <f>IF(B1584=0,0,O1560/B1584)</f>
        <v/>
      </c>
      <c r="Q1560" t="n">
        <v>0</v>
      </c>
      <c r="R1560" t="n">
        <v>0</v>
      </c>
      <c r="S1560">
        <f>IFERROR(O1560/N1560,0)</f>
        <v/>
      </c>
      <c r="T1560" t="n">
        <v>0</v>
      </c>
      <c r="V1560" t="n">
        <v>0</v>
      </c>
    </row>
    <row r="1561">
      <c r="A1561">
        <f>Skills!A18</f>
        <v/>
      </c>
      <c r="B1561">
        <f>Skills!B18</f>
        <v/>
      </c>
      <c r="C1561">
        <f>Inputs!$B$3&gt;=115</f>
        <v/>
      </c>
      <c r="D1561">
        <f>IF(Skills!C18=1,60+Inputs!$B$25+Inputs!$B$29,IF(Skills!C18=2,90+Inputs!$B$26+Inputs!$B$29,IF(Skills!C18=3,120+Inputs!$B$27+Inputs!$B$29,MAX(0,(Inputs!$B$3-100)*3)+Inputs!$B$28+Inputs!$B$29)))</f>
        <v/>
      </c>
      <c r="E1561">
        <f>INDEX(FactorTable!$B$2:$Y$301, MATCH(ROUND(MIN(300,MAX(1,D1561)),0), FactorTable!$A$2:$A$301,0), Skills!M18+1)</f>
        <v/>
      </c>
      <c r="F1561">
        <f>IF(Skills!N18=TRUE,(Skills!L18/10)*(E1561/1000),Skills!L18/10)+Skills!O18</f>
        <v/>
      </c>
      <c r="G1561">
        <f>Skills!G18*IF(Skills!H18&gt;0,INT(IF(Inputs!$B$38="pvp",MIN(Skills!I18,15),Skills!I18)/Skills!H18+0.000000001),1)</f>
        <v/>
      </c>
      <c r="H1561">
        <f>1-(1-Skills!J18/100)^Skills!K18</f>
        <v/>
      </c>
      <c r="I1561" t="inlineStr">
        <is>
          <t>1</t>
        </is>
      </c>
      <c r="J1561" t="inlineStr"/>
      <c r="K1561" t="inlineStr"/>
      <c r="L1561" t="inlineStr"/>
      <c r="M1561" t="inlineStr"/>
      <c r="N1561" t="inlineStr"/>
      <c r="O1561">
        <f>(1-Summary!$B$11)*T1561+Summary!$B$11*V1561</f>
        <v/>
      </c>
      <c r="P1561">
        <f>IF(B1584=0,0,O1561/B1584)</f>
        <v/>
      </c>
      <c r="Q1561">
        <f>IFERROR(1/(IF(Inputs!$B$38="pvp",15,MAX(0.1,Skills!D18-IF(TRUE=TRUE,Inputs!$B$32,0)))*(1-IF(AND(ArtifactsInput!$M$27,Inputs!$B$4="Chapter Hunt"),CHOOSE(ArtifactsInput!$N$27+1,20,24,28,32,36,40),0)/100)),0)</f>
        <v/>
      </c>
      <c r="R1561">
        <f>IF(AND(Inputs!$B$38&lt;&gt;"pvp",Inputs!$B$43&gt;0),IF(Inputs!$B$43&lt;=0,0,(INT(Inputs!$B$43/(IF(Inputs!$B$38="pvp",15,MAX(0.1,Skills!D18-IF(TRUE=TRUE,Inputs!$B$32,0)))*(1-IF(AND(ArtifactsInput!$M$27,Inputs!$B$4="Chapter Hunt"),CHOOSE(ArtifactsInput!$N$27+1,20,24,28,32,36,40),0)/100)))+1)),0)</f>
        <v/>
      </c>
      <c r="S1561">
        <f>IFERROR(O1561/N1561,0)</f>
        <v/>
      </c>
      <c r="T1561" t="n">
        <v>0</v>
      </c>
      <c r="V1561" t="n">
        <v>0</v>
      </c>
    </row>
    <row r="1562">
      <c r="A1562">
        <f>Skills!A19</f>
        <v/>
      </c>
      <c r="B1562">
        <f>Skills!B19</f>
        <v/>
      </c>
      <c r="C1562">
        <f>Inputs!$B$3&gt;=10</f>
        <v/>
      </c>
      <c r="D1562">
        <f>IF(Skills!C19=1,60+Inputs!$B$25+Inputs!$B$29,IF(Skills!C19=2,90+Inputs!$B$26+Inputs!$B$29,IF(Skills!C19=3,120+Inputs!$B$27+Inputs!$B$29,MAX(0,(Inputs!$B$3-100)*3)+Inputs!$B$28+Inputs!$B$29)))</f>
        <v/>
      </c>
      <c r="E1562">
        <f>INDEX(FactorTable!$B$2:$Y$301, MATCH(ROUND(MIN(300,MAX(1,D1562)),0), FactorTable!$A$2:$A$301,0), Skills!M19+1)</f>
        <v/>
      </c>
      <c r="F1562">
        <f>IF(Skills!N19=TRUE,(Skills!L19/10)*(E1562/1000),Skills!L19/10)+Skills!O19</f>
        <v/>
      </c>
      <c r="G1562">
        <f>Skills!G19*IF(Skills!H19&gt;0,INT(IF(Inputs!$B$38="pvp",MIN(Skills!I19,15),Skills!I19)/Skills!H19+0.000000001),1)</f>
        <v/>
      </c>
      <c r="H1562">
        <f>1-(1-Skills!J19/100)^Skills!K19</f>
        <v/>
      </c>
      <c r="I1562" t="inlineStr">
        <is>
          <t>1</t>
        </is>
      </c>
      <c r="J1562" t="inlineStr"/>
      <c r="K1562" t="inlineStr"/>
      <c r="L1562" t="inlineStr"/>
      <c r="M1562" t="inlineStr"/>
      <c r="N1562" t="inlineStr"/>
      <c r="O1562">
        <f>(1-Summary!$B$11)*T1562+Summary!$B$11*V1562</f>
        <v/>
      </c>
      <c r="P1562">
        <f>IF(B1584=0,0,O1562/B1584)</f>
        <v/>
      </c>
      <c r="Q1562" t="n">
        <v>0</v>
      </c>
      <c r="R1562" t="n">
        <v>0</v>
      </c>
      <c r="S1562">
        <f>IFERROR(O1562/N1562,0)</f>
        <v/>
      </c>
      <c r="T1562" t="n">
        <v>0</v>
      </c>
      <c r="V1562" t="n">
        <v>0</v>
      </c>
    </row>
    <row r="1563">
      <c r="A1563">
        <f>Skills!A20</f>
        <v/>
      </c>
      <c r="B1563">
        <f>Skills!B20</f>
        <v/>
      </c>
      <c r="C1563">
        <f>Inputs!$B$3&gt;=15</f>
        <v/>
      </c>
      <c r="D1563">
        <f>IF(Skills!C20=1,60+Inputs!$B$25+Inputs!$B$29,IF(Skills!C20=2,90+Inputs!$B$26+Inputs!$B$29,IF(Skills!C20=3,120+Inputs!$B$27+Inputs!$B$29,MAX(0,(Inputs!$B$3-100)*3)+Inputs!$B$28+Inputs!$B$29)))</f>
        <v/>
      </c>
      <c r="E1563">
        <f>INDEX(FactorTable!$B$2:$Y$301, MATCH(ROUND(MIN(300,MAX(1,D1563)),0), FactorTable!$A$2:$A$301,0), Skills!M20+1)</f>
        <v/>
      </c>
      <c r="F1563">
        <f>IF(Skills!N20=TRUE,(Skills!L20/10)*(E1563/1000),Skills!L20/10)+Skills!O20</f>
        <v/>
      </c>
      <c r="G1563">
        <f>Skills!G20*IF(Skills!H20&gt;0,INT(IF(Inputs!$B$38="pvp",MIN(Skills!I20,15),Skills!I20)/Skills!H20+0.000000001),1)</f>
        <v/>
      </c>
      <c r="H1563">
        <f>1-(1-Skills!J20/100)^Skills!K20</f>
        <v/>
      </c>
      <c r="I1563" t="inlineStr">
        <is>
          <t>1</t>
        </is>
      </c>
      <c r="J1563" t="inlineStr"/>
      <c r="K1563" t="inlineStr"/>
      <c r="L1563" t="inlineStr"/>
      <c r="M1563" t="inlineStr"/>
      <c r="N1563" t="inlineStr"/>
      <c r="O1563">
        <f>(1-Summary!$B$11)*T1563+Summary!$B$11*V1563</f>
        <v/>
      </c>
      <c r="P1563">
        <f>IF(B1584=0,0,O1563/B1584)</f>
        <v/>
      </c>
      <c r="Q1563" t="n">
        <v>0</v>
      </c>
      <c r="R1563" t="n">
        <v>0</v>
      </c>
      <c r="S1563">
        <f>IFERROR(O1563/N1563,0)</f>
        <v/>
      </c>
      <c r="T1563" t="n">
        <v>0</v>
      </c>
      <c r="V1563" t="n">
        <v>0</v>
      </c>
    </row>
    <row r="1564">
      <c r="A1564">
        <f>Skills!A21</f>
        <v/>
      </c>
      <c r="B1564">
        <f>Skills!B21</f>
        <v/>
      </c>
      <c r="C1564">
        <f>Inputs!$B$3&gt;=40</f>
        <v/>
      </c>
      <c r="D1564">
        <f>IF(Skills!C21=1,60+Inputs!$B$25+Inputs!$B$29,IF(Skills!C21=2,90+Inputs!$B$26+Inputs!$B$29,IF(Skills!C21=3,120+Inputs!$B$27+Inputs!$B$29,MAX(0,(Inputs!$B$3-100)*3)+Inputs!$B$28+Inputs!$B$29)))</f>
        <v/>
      </c>
      <c r="E1564">
        <f>INDEX(FactorTable!$B$2:$Y$301, MATCH(ROUND(MIN(300,MAX(1,D1564)),0), FactorTable!$A$2:$A$301,0), Skills!M21+1)</f>
        <v/>
      </c>
      <c r="F1564">
        <f>IF(Skills!N21=TRUE,(Skills!L21/10)*(E1564/1000),Skills!L21/10)+Skills!O21</f>
        <v/>
      </c>
      <c r="G1564">
        <f>Skills!G21*IF(Skills!H21&gt;0,INT(IF(Inputs!$B$38="pvp",MIN(Skills!I21,15),Skills!I21)/Skills!H21+0.000000001),1)</f>
        <v/>
      </c>
      <c r="H1564">
        <f>1-(1-Skills!J21/100)^Skills!K21</f>
        <v/>
      </c>
      <c r="I1564" t="inlineStr">
        <is>
          <t>1</t>
        </is>
      </c>
      <c r="J1564" t="inlineStr"/>
      <c r="K1564" t="inlineStr"/>
      <c r="L1564" t="inlineStr"/>
      <c r="M1564" t="inlineStr"/>
      <c r="N1564" t="inlineStr"/>
      <c r="O1564">
        <f>(1-Summary!$B$11)*T1564+Summary!$B$11*V1564</f>
        <v/>
      </c>
      <c r="P1564">
        <f>IF(B1584=0,0,O1564/B1584)</f>
        <v/>
      </c>
      <c r="Q1564" t="n">
        <v>0</v>
      </c>
      <c r="R1564" t="n">
        <v>0</v>
      </c>
      <c r="S1564">
        <f>IFERROR(O1564/N1564,0)</f>
        <v/>
      </c>
      <c r="T1564" t="n">
        <v>0</v>
      </c>
      <c r="V1564" t="n">
        <v>0</v>
      </c>
    </row>
    <row r="1565">
      <c r="A1565">
        <f>Skills!A22</f>
        <v/>
      </c>
      <c r="B1565">
        <f>Skills!B22</f>
        <v/>
      </c>
      <c r="C1565">
        <f>Inputs!$B$3&gt;=43</f>
        <v/>
      </c>
      <c r="D1565">
        <f>IF(Skills!C22=1,60+Inputs!$B$25+Inputs!$B$29,IF(Skills!C22=2,90+Inputs!$B$26+Inputs!$B$29,IF(Skills!C22=3,120+Inputs!$B$27+Inputs!$B$29,MAX(0,(Inputs!$B$3-100)*3)+Inputs!$B$28+Inputs!$B$29)))</f>
        <v/>
      </c>
      <c r="E1565">
        <f>INDEX(FactorTable!$B$2:$Y$301, MATCH(ROUND(MIN(300,MAX(1,D1565)),0), FactorTable!$A$2:$A$301,0), Skills!M22+1)</f>
        <v/>
      </c>
      <c r="F1565">
        <f>IF(Skills!N22=TRUE,(Skills!L22/10)*(E1565/1000),Skills!L22/10)+Skills!O22</f>
        <v/>
      </c>
      <c r="G1565">
        <f>Skills!G22*IF(Skills!H22&gt;0,INT(IF(Inputs!$B$38="pvp",MIN(Skills!I22,15),Skills!I22)/Skills!H22+0.000000001),1)</f>
        <v/>
      </c>
      <c r="H1565">
        <f>1-(1-Skills!J22/100)^Skills!K22</f>
        <v/>
      </c>
      <c r="I1565" t="inlineStr">
        <is>
          <t>1</t>
        </is>
      </c>
      <c r="J1565" t="inlineStr"/>
      <c r="K1565" t="inlineStr"/>
      <c r="L1565" t="inlineStr"/>
      <c r="M1565" t="inlineStr"/>
      <c r="N1565" t="inlineStr"/>
      <c r="O1565">
        <f>(1-Summary!$B$11)*T1565+Summary!$B$11*V1565</f>
        <v/>
      </c>
      <c r="P1565">
        <f>IF(B1584=0,0,O1565/B1584)</f>
        <v/>
      </c>
      <c r="Q1565" t="n">
        <v>0</v>
      </c>
      <c r="R1565" t="n">
        <v>0</v>
      </c>
      <c r="S1565">
        <f>IFERROR(O1565/N1565,0)</f>
        <v/>
      </c>
      <c r="T1565" t="n">
        <v>0</v>
      </c>
      <c r="V1565" t="n">
        <v>0</v>
      </c>
    </row>
    <row r="1566">
      <c r="A1566">
        <f>Skills!A23</f>
        <v/>
      </c>
      <c r="B1566">
        <f>Skills!B23</f>
        <v/>
      </c>
      <c r="C1566">
        <f>Inputs!$B$3&gt;=38</f>
        <v/>
      </c>
      <c r="D1566">
        <f>IF(Skills!C23=1,60+Inputs!$B$25+Inputs!$B$29,IF(Skills!C23=2,90+Inputs!$B$26+Inputs!$B$29,IF(Skills!C23=3,120+Inputs!$B$27+Inputs!$B$29,MAX(0,(Inputs!$B$3-100)*3)+Inputs!$B$28+Inputs!$B$29)))</f>
        <v/>
      </c>
      <c r="E1566">
        <f>INDEX(FactorTable!$B$2:$Y$301, MATCH(ROUND(MIN(300,MAX(1,D1566)),0), FactorTable!$A$2:$A$301,0), Skills!M23+1)</f>
        <v/>
      </c>
      <c r="F1566">
        <f>IF(Skills!N23=TRUE,(Skills!L23/10)*(E1566/1000),Skills!L23/10)+Skills!O23</f>
        <v/>
      </c>
      <c r="G1566">
        <f>Skills!G23*IF(Skills!H23&gt;0,INT(IF(Inputs!$B$38="pvp",MIN(Skills!I23,15),Skills!I23)/Skills!H23+0.000000001),1)</f>
        <v/>
      </c>
      <c r="H1566">
        <f>1-(1-Skills!J23/100)^Skills!K23</f>
        <v/>
      </c>
      <c r="I1566" t="inlineStr">
        <is>
          <t>1</t>
        </is>
      </c>
      <c r="J1566" t="inlineStr"/>
      <c r="K1566" t="inlineStr"/>
      <c r="L1566" t="inlineStr"/>
      <c r="M1566" t="inlineStr"/>
      <c r="N1566" t="inlineStr"/>
      <c r="O1566">
        <f>(1-Summary!$B$11)*T1566+Summary!$B$11*V1566</f>
        <v/>
      </c>
      <c r="P1566">
        <f>IF(B1584=0,0,O1566/B1584)</f>
        <v/>
      </c>
      <c r="Q1566" t="n">
        <v>0</v>
      </c>
      <c r="R1566" t="n">
        <v>0</v>
      </c>
      <c r="S1566">
        <f>IFERROR(O1566/N1566,0)</f>
        <v/>
      </c>
      <c r="T1566" t="n">
        <v>0</v>
      </c>
      <c r="V1566" t="n">
        <v>0</v>
      </c>
    </row>
    <row r="1567">
      <c r="A1567">
        <f>Skills!A24</f>
        <v/>
      </c>
      <c r="B1567">
        <f>Skills!B24</f>
        <v/>
      </c>
      <c r="C1567">
        <f>Inputs!$B$3&gt;=45</f>
        <v/>
      </c>
      <c r="D1567">
        <f>IF(Skills!C24=1,60+Inputs!$B$25+Inputs!$B$29,IF(Skills!C24=2,90+Inputs!$B$26+Inputs!$B$29,IF(Skills!C24=3,120+Inputs!$B$27+Inputs!$B$29,MAX(0,(Inputs!$B$3-100)*3)+Inputs!$B$28+Inputs!$B$29)))</f>
        <v/>
      </c>
      <c r="E1567">
        <f>INDEX(FactorTable!$B$2:$Y$301, MATCH(ROUND(MIN(300,MAX(1,D1567)),0), FactorTable!$A$2:$A$301,0), Skills!M24+1)</f>
        <v/>
      </c>
      <c r="F1567">
        <f>IF(Skills!N24=TRUE,(Skills!L24/10)*(E1567/1000),Skills!L24/10)+Skills!O24</f>
        <v/>
      </c>
      <c r="G1567">
        <f>Skills!G24*IF(Skills!H24&gt;0,INT(IF(Inputs!$B$38="pvp",MIN(Skills!I24,15),Skills!I24)/Skills!H24+0.000000001),1)</f>
        <v/>
      </c>
      <c r="H1567">
        <f>1-(1-Skills!J24/100)^Skills!K24</f>
        <v/>
      </c>
      <c r="I1567" t="inlineStr">
        <is>
          <t>1</t>
        </is>
      </c>
      <c r="J1567" t="inlineStr"/>
      <c r="K1567" t="inlineStr"/>
      <c r="L1567" t="inlineStr"/>
      <c r="M1567" t="inlineStr"/>
      <c r="N1567" t="inlineStr"/>
      <c r="O1567">
        <f>(1-Summary!$B$11)*T1567+Summary!$B$11*V1567</f>
        <v/>
      </c>
      <c r="P1567">
        <f>IF(B1584=0,0,O1567/B1584)</f>
        <v/>
      </c>
      <c r="Q1567" t="n">
        <v>0</v>
      </c>
      <c r="R1567" t="n">
        <v>0</v>
      </c>
      <c r="S1567">
        <f>IFERROR(O1567/N1567,0)</f>
        <v/>
      </c>
      <c r="T1567" t="n">
        <v>0</v>
      </c>
      <c r="V1567" t="n">
        <v>0</v>
      </c>
    </row>
    <row r="1568">
      <c r="A1568">
        <f>Skills!A25</f>
        <v/>
      </c>
      <c r="B1568">
        <f>Skills!B25</f>
        <v/>
      </c>
      <c r="C1568">
        <f>Inputs!$B$3&gt;=72</f>
        <v/>
      </c>
      <c r="D1568">
        <f>IF(Skills!C25=1,60+Inputs!$B$25+Inputs!$B$29,IF(Skills!C25=2,90+Inputs!$B$26+Inputs!$B$29,IF(Skills!C25=3,120+Inputs!$B$27+Inputs!$B$29,MAX(0,(Inputs!$B$3-100)*3)+Inputs!$B$28+Inputs!$B$29)))</f>
        <v/>
      </c>
      <c r="E1568">
        <f>INDEX(FactorTable!$B$2:$Y$301, MATCH(ROUND(MIN(300,MAX(1,D1568)),0), FactorTable!$A$2:$A$301,0), Skills!M25+1)</f>
        <v/>
      </c>
      <c r="F1568">
        <f>IF(Skills!N25=TRUE,(Skills!L25/10)*(E1568/1000),Skills!L25/10)+Skills!O25</f>
        <v/>
      </c>
      <c r="G1568">
        <f>Skills!G25*IF(Skills!H25&gt;0,INT(IF(Inputs!$B$38="pvp",MIN(Skills!I25,15),Skills!I25)/Skills!H25+0.000000001),1)</f>
        <v/>
      </c>
      <c r="H1568">
        <f>1-(1-Skills!J25/100)^Skills!K25</f>
        <v/>
      </c>
      <c r="I1568" t="inlineStr">
        <is>
          <t>1</t>
        </is>
      </c>
      <c r="J1568" t="inlineStr"/>
      <c r="K1568" t="inlineStr"/>
      <c r="L1568" t="inlineStr"/>
      <c r="M1568" t="inlineStr"/>
      <c r="N1568" t="inlineStr"/>
      <c r="O1568">
        <f>(1-Summary!$B$11)*T1568+Summary!$B$11*V1568</f>
        <v/>
      </c>
      <c r="P1568">
        <f>IF(B1584=0,0,O1568/B1584)</f>
        <v/>
      </c>
      <c r="Q1568" t="n">
        <v>0</v>
      </c>
      <c r="R1568" t="n">
        <v>0</v>
      </c>
      <c r="S1568">
        <f>IFERROR(O1568/N1568,0)</f>
        <v/>
      </c>
      <c r="T1568" t="n">
        <v>0</v>
      </c>
      <c r="V1568" t="n">
        <v>0</v>
      </c>
    </row>
    <row r="1569">
      <c r="A1569">
        <f>Skills!A26</f>
        <v/>
      </c>
      <c r="B1569">
        <f>Skills!B26</f>
        <v/>
      </c>
      <c r="C1569">
        <f>Inputs!$B$3&gt;=75</f>
        <v/>
      </c>
      <c r="D1569">
        <f>IF(Skills!C26=1,60+Inputs!$B$25+Inputs!$B$29,IF(Skills!C26=2,90+Inputs!$B$26+Inputs!$B$29,IF(Skills!C26=3,120+Inputs!$B$27+Inputs!$B$29,MAX(0,(Inputs!$B$3-100)*3)+Inputs!$B$28+Inputs!$B$29)))</f>
        <v/>
      </c>
      <c r="E1569">
        <f>INDEX(FactorTable!$B$2:$Y$301, MATCH(ROUND(MIN(300,MAX(1,D1569)),0), FactorTable!$A$2:$A$301,0), Skills!M26+1)</f>
        <v/>
      </c>
      <c r="F1569">
        <f>IF(Skills!N26=TRUE,(Skills!L26/10)*(E1569/1000),Skills!L26/10)+Skills!O26</f>
        <v/>
      </c>
      <c r="G1569">
        <f>Skills!G26*IF(Skills!H26&gt;0,INT(IF(Inputs!$B$38="pvp",MIN(Skills!I26,15),Skills!I26)/Skills!H26+0.000000001),1)</f>
        <v/>
      </c>
      <c r="H1569">
        <f>1-(1-Skills!J26/100)^Skills!K26</f>
        <v/>
      </c>
      <c r="I1569" t="inlineStr">
        <is>
          <t>1</t>
        </is>
      </c>
      <c r="J1569" t="inlineStr"/>
      <c r="K1569" t="inlineStr"/>
      <c r="L1569" t="inlineStr"/>
      <c r="M1569" t="inlineStr"/>
      <c r="N1569" t="inlineStr"/>
      <c r="O1569">
        <f>(1-Summary!$B$11)*T1569+Summary!$B$11*V1569</f>
        <v/>
      </c>
      <c r="P1569">
        <f>IF(B1584=0,0,O1569/B1584)</f>
        <v/>
      </c>
      <c r="Q1569" t="n">
        <v>0</v>
      </c>
      <c r="R1569" t="n">
        <v>0</v>
      </c>
      <c r="S1569">
        <f>IFERROR(O1569/N1569,0)</f>
        <v/>
      </c>
      <c r="T1569" t="n">
        <v>0</v>
      </c>
      <c r="V1569" t="n">
        <v>0</v>
      </c>
    </row>
    <row r="1570">
      <c r="A1570">
        <f>Skills!A27</f>
        <v/>
      </c>
      <c r="B1570">
        <f>Skills!B27</f>
        <v/>
      </c>
      <c r="C1570">
        <f>Inputs!$B$3&gt;=125</f>
        <v/>
      </c>
      <c r="D1570">
        <f>IF(Skills!C27=1,60+Inputs!$B$25+Inputs!$B$29,IF(Skills!C27=2,90+Inputs!$B$26+Inputs!$B$29,IF(Skills!C27=3,120+Inputs!$B$27+Inputs!$B$29,MAX(0,(Inputs!$B$3-100)*3)+Inputs!$B$28+Inputs!$B$29)))</f>
        <v/>
      </c>
      <c r="E1570">
        <f>INDEX(FactorTable!$B$2:$Y$301, MATCH(ROUND(MIN(300,MAX(1,D1570)),0), FactorTable!$A$2:$A$301,0), Skills!M27+1)</f>
        <v/>
      </c>
      <c r="F1570">
        <f>IF(Skills!N27=TRUE,(Skills!L27/10)*(E1570/1000),Skills!L27/10)+Skills!O27</f>
        <v/>
      </c>
      <c r="G1570">
        <f>Skills!G27*IF(Skills!H27&gt;0,INT(IF(Inputs!$B$38="pvp",MIN(Skills!I27,15),Skills!I27)/Skills!H27+0.000000001),1)</f>
        <v/>
      </c>
      <c r="H1570">
        <f>1-(1-Skills!J27/100)^Skills!K27</f>
        <v/>
      </c>
      <c r="I1570" t="inlineStr">
        <is>
          <t>1</t>
        </is>
      </c>
      <c r="J1570" t="inlineStr"/>
      <c r="K1570" t="inlineStr"/>
      <c r="L1570" t="inlineStr"/>
      <c r="M1570" t="inlineStr"/>
      <c r="N1570" t="inlineStr"/>
      <c r="O1570">
        <f>(1-Summary!$B$11)*T1570+Summary!$B$11*V1570</f>
        <v/>
      </c>
      <c r="P1570">
        <f>IF(B1584=0,0,O1570/B1584)</f>
        <v/>
      </c>
      <c r="Q1570" t="n">
        <v>0</v>
      </c>
      <c r="R1570" t="n">
        <v>0</v>
      </c>
      <c r="S1570">
        <f>IFERROR(O1570/N1570,0)</f>
        <v/>
      </c>
      <c r="T1570" t="n">
        <v>0</v>
      </c>
      <c r="V1570" t="n">
        <v>0</v>
      </c>
    </row>
    <row r="1571">
      <c r="A1571">
        <f>Skills!A28</f>
        <v/>
      </c>
      <c r="B1571">
        <f>Skills!B28</f>
        <v/>
      </c>
      <c r="C1571">
        <f>TRUE</f>
        <v/>
      </c>
      <c r="D1571">
        <f>IF(Skills!C28=1,60+Inputs!$B$25+Inputs!$B$29,IF(Skills!C28=2,90+Inputs!$B$26+Inputs!$B$29,IF(Skills!C28=3,120+Inputs!$B$27+Inputs!$B$29,MAX(0,(Inputs!$B$3-100)*3)+Inputs!$B$28+Inputs!$B$29)))</f>
        <v/>
      </c>
      <c r="E1571">
        <f>INDEX(FactorTable!$B$2:$Y$301, MATCH(ROUND(MIN(300,MAX(1,D1571)),0), FactorTable!$A$2:$A$301,0), Skills!M28+1)</f>
        <v/>
      </c>
      <c r="F1571">
        <f>IF(Skills!N28=TRUE,(Skills!L28/10)*(E1571/1000),Skills!L28/10)+Skills!O28</f>
        <v/>
      </c>
      <c r="G1571">
        <f>Skills!G28*IF(Skills!H28&gt;0,INT(IF(Inputs!$B$38="pvp",MIN(Skills!I28,15),Skills!I28)/Skills!H28+0.000000001),1)</f>
        <v/>
      </c>
      <c r="H1571">
        <f>1-(1-Skills!J28/100)^Skills!K28</f>
        <v/>
      </c>
      <c r="I1571" t="inlineStr">
        <is>
          <t>1</t>
        </is>
      </c>
      <c r="J1571" t="inlineStr"/>
      <c r="K1571" t="inlineStr"/>
      <c r="L1571" t="inlineStr"/>
      <c r="M1571" t="inlineStr"/>
      <c r="N1571" t="inlineStr"/>
      <c r="O1571">
        <f>(1-Summary!$B$11)*T1571+Summary!$B$11*V1571</f>
        <v/>
      </c>
      <c r="P1571">
        <f>IF(B1584=0,0,O1571/B1584)</f>
        <v/>
      </c>
      <c r="Q1571">
        <f>IFERROR(1/(IF(Inputs!$B$38="pvp",15,MAX(0.1,Skills!D28-IF(TRUE=TRUE,Inputs!$B$32,0)))*(1-IF(AND(ArtifactsInput!$M$27,Inputs!$B$4="Chapter Hunt"),CHOOSE(ArtifactsInput!$N$27+1,20,24,28,32,36,40),0)/100)),0)</f>
        <v/>
      </c>
      <c r="R1571">
        <f>IF(AND(Inputs!$B$38&lt;&gt;"pvp",Inputs!$B$43&gt;0),IF(Inputs!$B$43&lt;=0,0,(INT(Inputs!$B$43/(IF(Inputs!$B$38="pvp",15,MAX(0.1,Skills!D28-IF(TRUE=TRUE,Inputs!$B$32,0)))*(1-IF(AND(ArtifactsInput!$M$27,Inputs!$B$4="Chapter Hunt"),CHOOSE(ArtifactsInput!$N$27+1,20,24,28,32,36,40),0)/100)))+1)),0)</f>
        <v/>
      </c>
      <c r="S1571">
        <f>IFERROR(O1571/N1571,0)</f>
        <v/>
      </c>
      <c r="T1571" t="n">
        <v>0</v>
      </c>
      <c r="V1571" t="n">
        <v>0</v>
      </c>
    </row>
    <row r="1573">
      <c r="A1573" t="inlineStr">
        <is>
          <t>Attack% Bucket Multiplier</t>
        </is>
      </c>
      <c r="B1573">
        <f>(1+(((C1560=TRUE)*F1560*5/7)+((C1567=TRUE)*(F1567-Calc!F24))+(IF(ArtifactsInput!$M$21,CHOOSE(ArtifactsInput!$N$21+1,25,30,35,40,45,50)*(IF(OR(Inputs!$B$4="Chapter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574">
      <c r="A1574" t="inlineStr">
        <is>
          <t>Global Crit Rate Bonus %</t>
        </is>
      </c>
      <c r="B1574" t="n">
        <v>0</v>
      </c>
    </row>
    <row r="1575">
      <c r="A1575" t="inlineStr">
        <is>
          <t>Attack Speed Buff Bonus % (Nimble Feet, duty-cycle averaged)</t>
        </is>
      </c>
      <c r="B1575">
        <f>((C1571=TRUE)*F1571*IF(AND(Inputs!$B$38&lt;&gt;"pvp",Inputs!$B$43&gt;0),(((R1571-1)*MIN((Skills!T28*(1+Inputs!$B$34/100)),(1/Q1571))+MIN((Skills!T28*(1+Inputs!$B$34/100)),MAX(0,Inputs!$B$43-((R1571-1)*(1/Q1571)))))/Inputs!$B$43),IF(Inputs!$B$38="pvp",MIN((Skills!T28*(1+Inputs!$B$34/100)),15)/15,MIN(1,(Skills!T28*(1+Inputs!$B$34/100))/(1/Q1571)))))</f>
        <v/>
      </c>
    </row>
    <row r="1576">
      <c r="A1576" t="inlineStr">
        <is>
          <t>Actions Per Second</t>
        </is>
      </c>
      <c r="B1576">
        <f>1+MIN(150,150*(1-(1-(Inputs!$B$11+((C1563=TRUE)*(F1563-Calc!F20))+((C1564=TRUE)*(F1564-Calc!F21)))/150)*(1-B1575/150)))/100</f>
        <v/>
      </c>
    </row>
    <row r="1577">
      <c r="A1577" t="inlineStr">
        <is>
          <t>Skill + Buff Cast Rate</t>
        </is>
      </c>
      <c r="B1577">
        <f>IF(AND(Inputs!$B$38&lt;&gt;"pvp",Inputs!$B$43&gt;0),SUMPRODUCT((Skills!E2:E28=TRUE)*(C1545:C1571=TRUE)*R1545:R1571*Skills!F2:F28)/Inputs!$B$43,SUMPRODUCT((Skills!E2:E28=TRUE)*(C1545:C1571=TRUE)*Q1545:Q1571*Skills!F2:F28))</f>
        <v/>
      </c>
    </row>
    <row r="1578">
      <c r="A1578" t="inlineStr">
        <is>
          <t>Eight-Legs Easton Casts Per Second</t>
        </is>
      </c>
      <c r="B1578">
        <f>MAX(0,B1576-B1577)</f>
        <v/>
      </c>
    </row>
    <row r="1579">
      <c r="A1579" t="inlineStr">
        <is>
          <t>Global Critical Damage Bonus % (unused)</t>
        </is>
      </c>
      <c r="B1579" t="n">
        <v>0</v>
      </c>
    </row>
    <row r="1580">
      <c r="A1580" t="inlineStr">
        <is>
          <t>Global Final Damage Bonus % (Jolly Roger + Ahoy Mateys - Final Damage proc)</t>
        </is>
      </c>
      <c r="B1580">
        <f>((C1561=TRUE)*F1561*IF(AND(Inputs!$B$38&lt;&gt;"pvp",Inputs!$B$43&gt;0),(((R1561-1)*MIN((Skills!T18*(1+Inputs!$B$34/100)),(1/Q1561))+MIN((Skills!T18*(1+Inputs!$B$34/100)),MAX(0,Inputs!$B$43-((R1561-1)*(1/Q1561)))))/Inputs!$B$43),IF(Inputs!$B$38="pvp",MIN((Skills!T18*(1+Inputs!$B$34/100)),15)/15,MIN(1,(Skills!T18*(1+Inputs!$B$34/100))/(1/Q1561)))))+IF(Inputs!$B$3&gt;=122,20*IF(Inputs!$B$38="pvp",MIN((20*(1+Inputs!$B$34/100)),15)/15,MIN(1,(20*(1+Inputs!$B$34/100))/(1/Q1547))),0)</f>
        <v/>
      </c>
    </row>
    <row r="1581">
      <c r="A1581" t="inlineStr">
        <is>
          <t>Buff-Casting Startup Delay (s, fixed-duration only)</t>
        </is>
      </c>
      <c r="B1581">
        <f>IF(AND(Inputs!$B$38&lt;&gt;"pvp",Inputs!$B$43&gt;0),SUMPRODUCT((Skills!T2:T28&gt;0)*(Skills!E2:E28=TRUE)*(C1545:C1571=TRUE))/B1576,0)</f>
        <v/>
      </c>
    </row>
    <row r="1582">
      <c r="A1582" t="inlineStr">
        <is>
          <t>Boss-Only Total DPS (this block's swept value)</t>
        </is>
      </c>
      <c r="B1582">
        <f>SUM(T1545:T1571)</f>
        <v/>
      </c>
    </row>
    <row r="1583">
      <c r="A1583" t="inlineStr">
        <is>
          <t>Normal-Only Total DPS (this block's swept value)</t>
        </is>
      </c>
      <c r="B1583">
        <f>SUM(V1545:V1571)</f>
        <v/>
      </c>
    </row>
    <row r="1584">
      <c r="A1584" s="6" t="inlineStr">
        <is>
          <t>TOTAL DPS</t>
        </is>
      </c>
      <c r="B1584" s="6">
        <f>SUM(O1545:O1571)</f>
        <v/>
      </c>
    </row>
    <row r="1585">
      <c r="A1585" t="inlineStr">
        <is>
          <t>Quickdraw cooldown divisor (this block's own APS / Q)</t>
        </is>
      </c>
      <c r="B1585">
        <f>IF(AND(C1570=TRUE,Inputs!$B$38&lt;&gt;"pvp"),1+0.25*MAX(0,(B1576-(((C1546=TRUE)*Q1546*1)+((C1547=TRUE)*Q1547*1)+((C1549=TRUE)*Q1549*1)+((C1550=TRUE)*Q1550*1)+((C1552=TRUE)*Q1552*1)+((C1555=TRUE)*Q1555*1)+((C1561=TRUE)*Q1561*1)+((C1571=TRUE)*Q1571*1))-((C1551=TRUE)/(IF(Inputs!$B$38="pvp",15,MAX(0.1,Skills!D8-IF(TRUE=TRUE,Inputs!$B$32,0)))*(1-IF(AND(ArtifactsInput!$M$27,Inputs!$B$4="Chapter Hunt"),CHOOSE(ArtifactsInput!$N$27+1,20,24,28,32,36,40),0)/100))+(C1554=TRUE)/(IF(Inputs!$B$38="pvp",15,MAX(0.1,Skills!D11-IF(TRUE=TRUE,Inputs!$B$32,0)))*(1-IF(AND(ArtifactsInput!$M$27,Inputs!$B$4="Chapter Hunt"),CHOOSE(ArtifactsInput!$N$27+1,20,24,28,32,36,40),0)/100))))/(1+0.25*((C1551=TRUE)/(IF(Inputs!$B$38="pvp",15,MAX(0.1,Skills!D8-IF(TRUE=TRUE,Inputs!$B$32,0)))*(1-IF(AND(ArtifactsInput!$M$27,Inputs!$B$4="Chapter Hunt"),CHOOSE(ArtifactsInput!$N$27+1,20,24,28,32,36,40),0)/100))+(C1554=TRUE)/(IF(Inputs!$B$38="pvp",15,MAX(0.1,Skills!D11-IF(TRUE=TRUE,Inputs!$B$32,0)))*(1-IF(AND(ArtifactsInput!$M$27,Inputs!$B$4="Chapter Hunt"),CHOOSE(ArtifactsInput!$N$27+1,20,24,28,32,36,40),0)/100))))),1)</f>
        <v/>
      </c>
    </row>
    <row r="1586">
      <c r="A1586" t="inlineStr">
        <is>
          <t>Nautilus Strike - Final Attack trigger rate (this block's own Q/R)</t>
        </is>
      </c>
      <c r="B1586">
        <f>IF(AND(Inputs!$B$38&lt;&gt;"pvp",Inputs!$B$43&gt;0),(((C1546=TRUE)*R1546)+((C1549=TRUE)*R1549)+((C1551=TRUE)*R1551)+((C1552=TRUE)*R1552)+((C1554=TRUE)*R1554))/Inputs!$B$43,((C1546=TRUE)*Q1546)+((C1549=TRUE)*Q1549)+((C1551=TRUE)*Q1551)+((C1552=TRUE)*Q1552)+((C1554=TRUE)*Q1554))+B1578</f>
        <v/>
      </c>
    </row>
    <row r="1589">
      <c r="A1589" s="6" t="inlineStr">
        <is>
          <t>Stat: Mushmom's Cap (Equip)</t>
        </is>
      </c>
    </row>
    <row r="1590">
      <c r="A1590" s="5" t="inlineStr">
        <is>
          <t>Key</t>
        </is>
      </c>
      <c r="B1590" s="5" t="inlineStr">
        <is>
          <t>Name</t>
        </is>
      </c>
      <c r="C1590" s="5" t="inlineStr">
        <is>
          <t>Unlocked</t>
        </is>
      </c>
      <c r="D1590" s="5" t="inlineStr">
        <is>
          <t>InputLevel</t>
        </is>
      </c>
      <c r="E1590" s="5" t="inlineStr">
        <is>
          <t>Factor</t>
        </is>
      </c>
      <c r="F1590" s="5" t="inlineStr">
        <is>
          <t>CoefficientPercent</t>
        </is>
      </c>
      <c r="G1590" s="5" t="inlineStr">
        <is>
          <t>EffectiveHits</t>
        </is>
      </c>
      <c r="H1590" s="5" t="inlineStr">
        <is>
          <t>ProcProbability</t>
        </is>
      </c>
      <c r="I1590" s="5" t="inlineStr">
        <is>
          <t>MapleHeroMultiplier</t>
        </is>
      </c>
      <c r="J1590" s="5" t="inlineStr">
        <is>
          <t>BaseDamage</t>
        </is>
      </c>
      <c r="K1590" s="5" t="inlineStr">
        <is>
          <t>BaseHitDamage</t>
        </is>
      </c>
      <c r="L1590" s="5" t="inlineStr">
        <is>
          <t>NonCritAvg</t>
        </is>
      </c>
      <c r="M1590" s="5" t="inlineStr">
        <is>
          <t>CritAvg</t>
        </is>
      </c>
      <c r="N1590" s="5" t="inlineStr">
        <is>
          <t>ExpectedDamage(perHit)</t>
        </is>
      </c>
      <c r="O1590" s="5" t="inlineStr">
        <is>
          <t>DPS</t>
        </is>
      </c>
      <c r="P1590" s="5" t="inlineStr">
        <is>
          <t>% of Total</t>
        </is>
      </c>
      <c r="Q1590" s="5" t="inlineStr">
        <is>
          <t>InvCooldown</t>
        </is>
      </c>
      <c r="R1590" s="5" t="inlineStr">
        <is>
          <t>CastsInFight</t>
        </is>
      </c>
      <c r="S1590" s="5" t="inlineStr">
        <is>
          <t>HitRate(perSec)</t>
        </is>
      </c>
      <c r="U1590" t="inlineStr">
        <is>
          <t>helpers</t>
        </is>
      </c>
    </row>
    <row r="1591">
      <c r="A1591">
        <f>Skills!A2</f>
        <v/>
      </c>
      <c r="B1591">
        <f>Skills!B2</f>
        <v/>
      </c>
      <c r="C1591">
        <f>Inputs!$B$3&gt;=100</f>
        <v/>
      </c>
      <c r="D1591" t="inlineStr"/>
      <c r="E1591" t="inlineStr"/>
      <c r="F1591">
        <f>U1593+Skills!O2</f>
        <v/>
      </c>
      <c r="G1591">
        <f>Skills!G2*IF(Skills!H2&gt;0,INT(IF(Inputs!$B$38="pvp",MIN(Skills!I2,15),Skills!I2)/Skills!H2+0.000000001),1)</f>
        <v/>
      </c>
      <c r="H1591">
        <f>1-(1-Skills!J2/100)^Skills!K2</f>
        <v/>
      </c>
      <c r="I1591" t="inlineStr">
        <is>
          <t>1</t>
        </is>
      </c>
      <c r="J1591">
        <f>((Inputs!$B$6*(1+Inputs!$B$7/100))+(((Inputs!$B$12*(1+Inputs!$B$13/100))-(Inputs!$B$12*(1+Inputs!$B$13/100)))+0.25*(Inputs!$B$14-Inputs!$B$14))*(1+Inputs!$B$7/100))*(F1591/100)</f>
        <v/>
      </c>
      <c r="K1591">
        <f>J1591*(1+((Inputs!$B$12*(1+Inputs!$B$13/100))*0.01+Inputs!$B$14*0.0025)/100)*(1+Inputs!$B$15/100)*(1+Inputs!$B$16/100)*(5000/(6000+Inputs!$B$42*(1-(100*(1-(1-(Inputs!$B$19+0)/100)*(1-CHOOSE(ArtifactsInput!$N$40+1,5,6,7,8,9,10)/100)^(ArtifactsInput!$M$40-ArtifactsInput!$M$40)))/100)))*(1+(Inputs!$B$24+((C1615=TRUE)*(F1615-Calc!F26))+B1626)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IGHT_LEGS_EASTON",Inputs!$B$17+((C1612=TRUE)*(F1612-Calc!F23))+((C1616=TRUE)*(F1616-Calc!F27))+((IF(AND(Inputs!$B$38&lt;&gt;"pvp",Inputs!$B$43=0),1,IF(IF(Inputs!$B$38="pvp",15,Inputs!$B$43)-(B1627)&lt;=0,1,MAX(0,IF(Inputs!$B$38="pvp",15,Inputs!$B$43)-MAX(5,B1627))/(IF(Inputs!$B$38="pvp",15,Inputs!$B$43)-(B1627))))*(IF(AND(ArtifactsInput!$M$42,((Inputs!$B$9+((C1608=TRUE)*(F1608-Calc!F19))+B1620+(ArtifactsInput!$M$24-ArtifactsInput!$M$24)*CHOOSE(ArtifactsInput!$N$24+1,10,12,14,16,18,20)+IF(ArtifactsInput!$M$10,CHOOSE(ArtifactsInput!$N$10+1,15,18,21,24,27,30)*(IF(Inputs!$B$38="pvp",MIN(15,15)/15,IF(AND(Inputs!$B$38&lt;&gt;"pvp",Inputs!$B$43&gt;0),MIN(15,Inputs!$B$43)/(Inputs!$B$43),0))),0)))&gt;=100),MIN(100,((Inputs!$B$9+((C1608=TRUE)*(F1608-Calc!F19))+B1620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1627)&lt;=0,1,MAX(0,IF(Inputs!$B$38="pvp",15,Inputs!$B$43)-MAX(5,B1627))/(IF(Inputs!$B$38="pvp",15,Inputs!$B$43)-(B1627))))*IF(AND(ArtifactsInput!$M$42,((Inputs!$B$9+((C1608=TRUE)*(F1608-Calc!F19))+B1620+(ArtifactsInput!$M$24-ArtifactsInput!$M$24)*CHOOSE(ArtifactsInput!$N$24+1,10,12,14,16,18,20)+IF(ArtifactsInput!$M$10,CHOOSE(ArtifactsInput!$N$10+1,15,18,21,24,27,30)*(IF(Inputs!$B$38="pvp",MIN(15,15)/15,IF(AND(Inputs!$B$38&lt;&gt;"pvp",Inputs!$B$43&gt;0),MIN(15,Inputs!$B$43)/(Inputs!$B$43),0))),0)))&gt;=100),CHOOSE(ArtifactsInput!$N$42+1,40,48,56,64,72,80),0))))/100)*((1+(((C1606=TRUE)*F1606*5/7)+((C1613=TRUE)*(F1613-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1591)</f>
        <v/>
      </c>
      <c r="L1591">
        <f>K1591*(MIN(Inputs!$B$22+((C1611=TRUE)*(F1611-Calc!F22)),(Inputs!$B$23+0+(IF(ArtifactsInput!$M$15,CHOOSE(ArtifactsInput!$N$15+1,25,30,35,40,45,50)/100*(Inputs!$B$11-Inputs!$B$11),0))))/100+(Inputs!$B$23+0+(IF(ArtifactsInput!$M$15,CHOOSE(ArtifactsInput!$N$15+1,25,30,35,40,45,50)/100*(Inputs!$B$11-Inputs!$B$11),0)))/100)/2</f>
        <v/>
      </c>
      <c r="M1591">
        <f>L1591*(1+(Inputs!$B$10+((C1614=TRUE)*(F1614-Calc!F25))+B1625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91">
        <f>L1591*(1-MIN((Inputs!$B$9+((C1608=TRUE)*(F1608-Calc!F19))+B1620+(ArtifactsInput!$M$24-ArtifactsInput!$M$24)*CHOOSE(ArtifactsInput!$N$24+1,10,12,14,16,18,20)+(IF(AND(Inputs!$B$38&lt;&gt;"pvp",Inputs!$B$43=0),1,IF(IF(Inputs!$B$38="pvp",15,Inputs!$B$43)-(B1627)&lt;=0,1,MAX(0,IF(Inputs!$B$38="pvp",15,Inputs!$B$43)-MAX(5,B1627))/(IF(Inputs!$B$38="pvp",15,Inputs!$B$43)-(B1627))))*IF(AND(ArtifactsInput!$M$42,((Inputs!$B$9+((C1608=TRUE)*(F1608-Calc!F19))+B1620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1591*(MIN((Inputs!$B$9+((C1608=TRUE)*(F1608-Calc!F19))+B1620+(ArtifactsInput!$M$24-ArtifactsInput!$M$24)*CHOOSE(ArtifactsInput!$N$24+1,10,12,14,16,18,20)+(IF(AND(Inputs!$B$38&lt;&gt;"pvp",Inputs!$B$43=0),1,IF(IF(Inputs!$B$38="pvp",15,Inputs!$B$43)-(B1627)&lt;=0,1,MAX(0,IF(Inputs!$B$38="pvp",15,Inputs!$B$43)-MAX(5,B1627))/(IF(Inputs!$B$38="pvp",15,Inputs!$B$43)-(B1627))))*IF(AND(ArtifactsInput!$M$42,((Inputs!$B$9+((C1608=TRUE)*(F1608-Calc!F19))+B1620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91">
        <f>(1-Summary!$B$11)*T1591+Summary!$B$11*V1591</f>
        <v/>
      </c>
      <c r="P1591">
        <f>IF(B1630=0,0,O1591/B1630)</f>
        <v/>
      </c>
      <c r="Q1591" t="n">
        <v>0</v>
      </c>
      <c r="R1591" t="n">
        <v>0</v>
      </c>
      <c r="S1591">
        <f>IFERROR(O1591/N1591,0)</f>
        <v/>
      </c>
      <c r="T1591">
        <f>IF(C1591,(Skills!G2*N1591*B1624*(1+IF(C1616=TRUE,1/3,0)))*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Hunt"),CHOOSE(ArtifactsInput!$N$35+1,15,18,21,24,27,30)*(1-EXP(-(0.2*B1622)*5)),0)+IF(AND(ArtifactsInput!$M$22,Inputs!$B$4&lt;&gt;"Chapter Hunt"),CHOOSE(ArtifactsInput!$N$22+1,10,12,14,16,18,20)*((0*(((0.15*B1622*5))^0/1)+1*(((0.15*B1622*5))^1/1)+2*(((0.15*B1622*5))^2/2)+3*(((0.15*B1622*5))^3/6)+4*(((0.15*B1622*5))^4/24)+5*(((0.15*B1622*5))^5/120))/((((0.15*B1622*5))^0/1)+(((0.15*B1622*5))^1/1)+(((0.15*B1622*5))^2/2)+(((0.15*B1622*5))^3/6)+(((0.15*B1622*5))^4/24)+(((0.15*B1622*5))^5/120))),0))+IF(Inputs!$B$3&gt;=54,9*(C1592=TRUE)*MIN(1,8*(1+Inputs!$B$34/100)*Q1592)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1591*(1-MIN(100,(Inputs!$B$9+((C1608=TRUE)*(F1608-Calc!F19))+B1620+(ArtifactsInput!$M$24-ArtifactsInput!$M$24)*CHOOSE(ArtifactsInput!$N$24+1,10,12,14,16,18,20)+(IF(AND(Inputs!$B$38&lt;&gt;"pvp",Inputs!$B$43=0),1,IF(IF(Inputs!$B$38="pvp",15,Inputs!$B$43)-(B1627)&lt;=0,1,MAX(0,IF(Inputs!$B$38="pvp",15,Inputs!$B$43)-MAX(5,B1627))/(IF(Inputs!$B$38="pvp",15,Inputs!$B$43)-(B1627))))*IF(AND(ArtifactsInput!$M$42,((Inputs!$B$9+((C1608=TRUE)*(F1608-Calc!F19))+B1620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1591*(MIN(100,(Inputs!$B$9+((C1608=TRUE)*(F1608-Calc!F19))+B1620+(ArtifactsInput!$M$24-ArtifactsInput!$M$24)*CHOOSE(ArtifactsInput!$N$24+1,10,12,14,16,18,20)+(IF(AND(Inputs!$B$38&lt;&gt;"pvp",Inputs!$B$43=0),1,IF(IF(Inputs!$B$38="pvp",15,Inputs!$B$43)-(B1627)&lt;=0,1,MAX(0,IF(Inputs!$B$38="pvp",15,Inputs!$B$43)-MAX(5,B1627))/(IF(Inputs!$B$38="pvp",15,Inputs!$B$43)-(B1627))))*IF(AND(ArtifactsInput!$M$42,((Inputs!$B$9+((C1608=TRUE)*(F1608-Calc!F19))+B1620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1591*(1-MIN(100,(Inputs!$B$9+((C1608=TRUE)*(F1608-Calc!F19))+B1620+(ArtifactsInput!$M$24-ArtifactsInput!$M$24)*CHOOSE(ArtifactsInput!$N$24+1,10,12,14,16,18,20)+(IF(AND(Inputs!$B$38&lt;&gt;"pvp",Inputs!$B$43=0),1,IF(IF(Inputs!$B$38="pvp",15,Inputs!$B$43)-(B1627)&lt;=0,1,MAX(0,IF(Inputs!$B$38="pvp",15,Inputs!$B$43)-MAX(5,B1627))/(IF(Inputs!$B$38="pvp",15,Inputs!$B$43)-(B1627))))*IF(AND(ArtifactsInput!$M$42,((Inputs!$B$9+((C1608=TRUE)*(F1608-Calc!F19))+B1620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1591*(MIN(100,(Inputs!$B$9+((C1608=TRUE)*(F1608-Calc!F19))+B1620+(ArtifactsInput!$M$24-ArtifactsInput!$M$24)*CHOOSE(ArtifactsInput!$N$24+1,10,12,14,16,18,20)+(IF(AND(Inputs!$B$38&lt;&gt;"pvp",Inputs!$B$43=0),1,IF(IF(Inputs!$B$38="pvp",15,Inputs!$B$43)-(B1627)&lt;=0,1,MAX(0,IF(Inputs!$B$38="pvp",15,Inputs!$B$43)-MAX(5,B1627))/(IF(Inputs!$B$38="pvp",15,Inputs!$B$43)-(B1627))))*IF(AND(ArtifactsInput!$M$42,((Inputs!$B$9+((C1608=TRUE)*(F1608-Calc!F19))+B1620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591">
        <f>MAX(0,(Inputs!$B$3-100)*3)+Inputs!$B$28+Inputs!$B$29</f>
        <v/>
      </c>
      <c r="V1591">
        <f>IF(C1591,(Skills!G2*N1591*B1624*(1+IF(C1616=TRUE,1/3,0)))*IF(Inputs!$B$38="pvp",1,(1+(Inputs!$B$21+Skills!Q2+(IF(ArtifactsInput!$M$33,CHOOSE(ArtifactsInput!$N$33+1,30,36,42,48,54,60),0))+(IF(AND(ArtifactsInput!$M$35,Inputs!$B$4&lt;&gt;"Chapter Hunt"),CHOOSE(ArtifactsInput!$N$35+1,15,18,21,24,27,30)*(1-EXP(-(0.2*B1622)*5)),0)+IF(AND(ArtifactsInput!$M$22,Inputs!$B$4&lt;&gt;"Chapter Hunt"),CHOOSE(ArtifactsInput!$N$22+1,10,12,14,16,18,20)*((0*(((0.15*B1622*5))^0/1)+1*(((0.15*B1622*5))^1/1)+2*(((0.15*B1622*5))^2/2)+3*(((0.15*B1622*5))^3/6)+4*(((0.15*B1622*5))^4/24)+5*(((0.15*B1622*5))^5/120))/((((0.15*B1622*5))^0/1)+(((0.15*B1622*5))^1/1)+(((0.15*B1622*5))^2/2)+(((0.15*B1622*5))^3/6)+(((0.15*B1622*5))^4/24)+(((0.15*B1622*5))^5/120))),0))+IF(Inputs!$B$3&gt;=54,9*(C1592=TRUE)*MIN(1,8*(1+Inputs!$B$34/100)*Q1592),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92">
      <c r="A1592">
        <f>Skills!A3</f>
        <v/>
      </c>
      <c r="B1592">
        <f>Skills!B3</f>
        <v/>
      </c>
      <c r="C1592">
        <f>Inputs!$B$3&gt;=33</f>
        <v/>
      </c>
      <c r="D1592">
        <f>IF(Skills!C3=1,60+Inputs!$B$25+Inputs!$B$29,IF(Skills!C3=2,90+Inputs!$B$26+Inputs!$B$29,IF(Skills!C3=3,120+Inputs!$B$27+Inputs!$B$29,MAX(0,(Inputs!$B$3-100)*3)+Inputs!$B$28+Inputs!$B$29)))</f>
        <v/>
      </c>
      <c r="E1592">
        <f>INDEX(FactorTable!$B$2:$Y$301, MATCH(ROUND(MIN(300,MAX(1,D1592)),0), FactorTable!$A$2:$A$301,0), Skills!M3+1)</f>
        <v/>
      </c>
      <c r="F1592">
        <f>IF(Skills!N3=TRUE,(Skills!L3/10)*(E1592/1000),Skills!L3/10)+Skills!O3</f>
        <v/>
      </c>
      <c r="G1592">
        <f>Skills!G3*IF(Skills!H3&gt;0,INT(IF(Inputs!$B$38="pvp",MIN(Skills!I3,15),Skills!I3)/Skills!H3+0.000000001),1)</f>
        <v/>
      </c>
      <c r="H1592">
        <f>1-(1-Skills!J3/100)^Skills!K3</f>
        <v/>
      </c>
      <c r="I1592" t="inlineStr">
        <is>
          <t>1</t>
        </is>
      </c>
      <c r="J1592">
        <f>((Inputs!$B$6*(1+Inputs!$B$7/100))+(((Inputs!$B$12*(1+Inputs!$B$13/100))-(Inputs!$B$12*(1+Inputs!$B$13/100)))+0.25*(Inputs!$B$14-Inputs!$B$14))*(1+Inputs!$B$7/100))*(F1592/100)</f>
        <v/>
      </c>
      <c r="K1592">
        <f>J1592*(1+((Inputs!$B$12*(1+Inputs!$B$13/100))*0.01+Inputs!$B$14*0.0025)/100)*(1+Inputs!$B$15/100)*(1+Inputs!$B$16/100)*(5000/(6000+Inputs!$B$42*(1-(100*(1-(1-(Inputs!$B$19+0)/100)*(1-CHOOSE(ArtifactsInput!$N$40+1,5,6,7,8,9,10)/100)^(ArtifactsInput!$M$40-ArtifactsInput!$M$40)))/100)))*(1+(Inputs!$B$24+((C1615=TRUE)*(F1615-Calc!F26))+B1626)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1604=TRUE,F1604,0)/100)*(1+(IF(Skills!A3="EIGHT_LEGS_EASTON",Inputs!$B$17+((C1612=TRUE)*(F1612-Calc!F23))+((C1616=TRUE)*(F1616-Calc!F27))+((IF(AND(Inputs!$B$38&lt;&gt;"pvp",Inputs!$B$43=0),1,IF(IF(Inputs!$B$38="pvp",15,Inputs!$B$43)-(B1627)&lt;=0,1,MAX(0,IF(Inputs!$B$38="pvp",15,Inputs!$B$43)-MAX(5,B1627))/(IF(Inputs!$B$38="pvp",15,Inputs!$B$43)-(B1627))))*(IF(AND(ArtifactsInput!$M$42,((Inputs!$B$9+((C1608=TRUE)*(F1608-Calc!F19))+B1620+(ArtifactsInput!$M$24-ArtifactsInput!$M$24)*CHOOSE(ArtifactsInput!$N$24+1,10,12,14,16,18,20)+IF(ArtifactsInput!$M$10,CHOOSE(ArtifactsInput!$N$10+1,15,18,21,24,27,30)*(IF(Inputs!$B$38="pvp",MIN(15,15)/15,IF(AND(Inputs!$B$38&lt;&gt;"pvp",Inputs!$B$43&gt;0),MIN(15,Inputs!$B$43)/(Inputs!$B$43),0))),0)))&gt;=100),MIN(100,((Inputs!$B$9+((C1608=TRUE)*(F1608-Calc!F19))+B1620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1627)&lt;=0,1,MAX(0,IF(Inputs!$B$38="pvp",15,Inputs!$B$43)-MAX(5,B1627))/(IF(Inputs!$B$38="pvp",15,Inputs!$B$43)-(B1627))))*IF(AND(ArtifactsInput!$M$42,((Inputs!$B$9+((C1608=TRUE)*(F1608-Calc!F19))+B1620+(ArtifactsInput!$M$24-ArtifactsInput!$M$24)*CHOOSE(ArtifactsInput!$N$24+1,10,12,14,16,18,20)+IF(ArtifactsInput!$M$10,CHOOSE(ArtifactsInput!$N$10+1,15,18,21,24,27,30)*(IF(Inputs!$B$38="pvp",MIN(15,15)/15,IF(AND(Inputs!$B$38&lt;&gt;"pvp",Inputs!$B$43&gt;0),MIN(15,Inputs!$B$43)/(Inputs!$B$43),0))),0)))&gt;=100),CHOOSE(ArtifactsInput!$N$42+1,40,48,56,64,72,80),0))))/100)*((1+(((C1606=TRUE)*F1606*5/7)+((C1613=TRUE)*(F1613-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1592)</f>
        <v/>
      </c>
      <c r="L1592">
        <f>K1592*(MIN(Inputs!$B$22+((C1611=TRUE)*(F1611-Calc!F22)),(Inputs!$B$23+0+(IF(ArtifactsInput!$M$15,CHOOSE(ArtifactsInput!$N$15+1,25,30,35,40,45,50)/100*(Inputs!$B$11-Inputs!$B$11),0))))/100+(Inputs!$B$23+0+(IF(ArtifactsInput!$M$15,CHOOSE(ArtifactsInput!$N$15+1,25,30,35,40,45,50)/100*(Inputs!$B$11-Inputs!$B$11),0)))/100)/2</f>
        <v/>
      </c>
      <c r="M1592">
        <f>L1592*(1+(Inputs!$B$10+((C1614=TRUE)*(F1614-Calc!F25))+B1625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92">
        <f>L1592*(1-MIN((Inputs!$B$9+((C1608=TRUE)*(F1608-Calc!F19))+B1620+(ArtifactsInput!$M$24-ArtifactsInput!$M$24)*CHOOSE(ArtifactsInput!$N$24+1,10,12,14,16,18,20)+(IF(AND(Inputs!$B$38&lt;&gt;"pvp",Inputs!$B$43=0),1,IF(IF(Inputs!$B$38="pvp",15,Inputs!$B$43)-(B1627)&lt;=0,1,MAX(0,IF(Inputs!$B$38="pvp",15,Inputs!$B$43)-MAX(5,B1627))/(IF(Inputs!$B$38="pvp",15,Inputs!$B$43)-(B1627))))*IF(AND(ArtifactsInput!$M$42,((Inputs!$B$9+((C1608=TRUE)*(F1608-Calc!F19))+B1620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1592*(MIN((Inputs!$B$9+((C1608=TRUE)*(F1608-Calc!F19))+B1620+(ArtifactsInput!$M$24-ArtifactsInput!$M$24)*CHOOSE(ArtifactsInput!$N$24+1,10,12,14,16,18,20)+(IF(AND(Inputs!$B$38&lt;&gt;"pvp",Inputs!$B$43=0),1,IF(IF(Inputs!$B$38="pvp",15,Inputs!$B$43)-(B1627)&lt;=0,1,MAX(0,IF(Inputs!$B$38="pvp",15,Inputs!$B$43)-MAX(5,B1627))/(IF(Inputs!$B$38="pvp",15,Inputs!$B$43)-(B1627))))*IF(AND(ArtifactsInput!$M$42,((Inputs!$B$9+((C1608=TRUE)*(F1608-Calc!F19))+B1620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92">
        <f>(1-Summary!$B$11)*T1592+Summary!$B$11*V1592</f>
        <v/>
      </c>
      <c r="P1592">
        <f>IF(B1630=0,0,O1592/B1630)</f>
        <v/>
      </c>
      <c r="Q1592">
        <f>IFERROR(1/(IF(Inputs!$B$38="pvp",15,MAX(0.1,Skills!D3-IF(TRUE=TRUE,Inputs!$B$32,0)))*(1-IF(AND(ArtifactsInput!$M$27,Inputs!$B$4="Chapter Hunt"),CHOOSE(ArtifactsInput!$N$27+1,20,24,28,32,36,40),0)/100)),0)</f>
        <v/>
      </c>
      <c r="R1592">
        <f>IF(AND(Inputs!$B$38&lt;&gt;"pvp",Inputs!$B$43&gt;0),IF(MAX(0,Inputs!$B$43-B1627)&lt;=0,0,(INT(MAX(0,Inputs!$B$43-B1627)/(IF(Inputs!$B$38="pvp",15,MAX(0.1,Skills!D3-IF(TRUE=TRUE,Inputs!$B$32,0)))*(1-IF(AND(ArtifactsInput!$M$27,Inputs!$B$4="Chapter Hunt"),CHOOSE(ArtifactsInput!$N$27+1,20,24,28,32,36,40),0)/100)))+1)),0)</f>
        <v/>
      </c>
      <c r="S1592">
        <f>IFERROR(O1592/N1592,0)</f>
        <v/>
      </c>
      <c r="T1592">
        <f>IF(C1592,(H1592*N1592*IF(AND(Inputs!$B$38&lt;&gt;"pvp",Inputs!$B$43&gt;0),((Skills!G3*((R1592-1)*IF(Skills!H3&gt;0,INT(Skills!I3/Skills!H3+0.000000001),1)+IF(Skills!H3&gt;0,INT(MIN(Skills!I3,MAX(0,MAX(0,Inputs!$B$43-B1627)-((R1592-1)*(IF(Inputs!$B$38="pvp",15,MAX(0.1,Skills!D3-IF(TRUE=TRUE,Inputs!$B$32,0)))*(1-IF(AND(ArtifactsInput!$M$27,Inputs!$B$4="Chapter Hunt"),CHOOSE(ArtifactsInput!$N$27+1,20,24,28,32,36,40),0)/100)))))/Skills!H3+0.000000001),1)))/Inputs!$B$43),G1592*Q1592))*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Hunt"),CHOOSE(ArtifactsInput!$N$35+1,15,18,21,24,27,30)*(1-EXP(-(0.2*B1622)*5)),0)+IF(AND(ArtifactsInput!$M$22,Inputs!$B$4&lt;&gt;"Chapter Hunt"),CHOOSE(ArtifactsInput!$N$22+1,10,12,14,16,18,20)*((0*(((0.15*B1622*5))^0/1)+1*(((0.15*B1622*5))^1/1)+2*(((0.15*B1622*5))^2/2)+3*(((0.15*B1622*5))^3/6)+4*(((0.15*B1622*5))^4/24)+5*(((0.15*B1622*5))^5/120))/((((0.15*B1622*5))^0/1)+(((0.15*B1622*5))^1/1)+(((0.15*B1622*5))^2/2)+(((0.15*B1622*5))^3/6)+(((0.15*B1622*5))^4/24)+(((0.15*B1622*5))^5/120))),0))+IF(Inputs!$B$3&gt;=54,9*(C1592=TRUE)*MIN(1,8*(1+Inputs!$B$34/100)*Q1592)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1592*(1-MIN(100,(Inputs!$B$9+((C1608=TRUE)*(F1608-Calc!F19))+B1620+(ArtifactsInput!$M$24-ArtifactsInput!$M$24)*CHOOSE(ArtifactsInput!$N$24+1,10,12,14,16,18,20)+(IF(AND(Inputs!$B$38&lt;&gt;"pvp",Inputs!$B$43=0),1,IF(IF(Inputs!$B$38="pvp",15,Inputs!$B$43)-(B1627)&lt;=0,1,MAX(0,IF(Inputs!$B$38="pvp",15,Inputs!$B$43)-MAX(5,B1627))/(IF(Inputs!$B$38="pvp",15,Inputs!$B$43)-(B1627))))*IF(AND(ArtifactsInput!$M$42,((Inputs!$B$9+((C1608=TRUE)*(F1608-Calc!F19))+B1620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1592*(MIN(100,(Inputs!$B$9+((C1608=TRUE)*(F1608-Calc!F19))+B1620+(ArtifactsInput!$M$24-ArtifactsInput!$M$24)*CHOOSE(ArtifactsInput!$N$24+1,10,12,14,16,18,20)+(IF(AND(Inputs!$B$38&lt;&gt;"pvp",Inputs!$B$43=0),1,IF(IF(Inputs!$B$38="pvp",15,Inputs!$B$43)-(B1627)&lt;=0,1,MAX(0,IF(Inputs!$B$38="pvp",15,Inputs!$B$43)-MAX(5,B1627))/(IF(Inputs!$B$38="pvp",15,Inputs!$B$43)-(B1627))))*IF(AND(ArtifactsInput!$M$42,((Inputs!$B$9+((C1608=TRUE)*(F1608-Calc!F19))+B1620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1592*(1-MIN(100,(Inputs!$B$9+((C1608=TRUE)*(F1608-Calc!F19))+B1620+(ArtifactsInput!$M$24-ArtifactsInput!$M$24)*CHOOSE(ArtifactsInput!$N$24+1,10,12,14,16,18,20)+(IF(AND(Inputs!$B$38&lt;&gt;"pvp",Inputs!$B$43=0),1,IF(IF(Inputs!$B$38="pvp",15,Inputs!$B$43)-(B1627)&lt;=0,1,MAX(0,IF(Inputs!$B$38="pvp",15,Inputs!$B$43)-MAX(5,B1627))/(IF(Inputs!$B$38="pvp",15,Inputs!$B$43)-(B1627))))*IF(AND(ArtifactsInput!$M$42,((Inputs!$B$9+((C1608=TRUE)*(F1608-Calc!F19))+B1620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1592*(MIN(100,(Inputs!$B$9+((C1608=TRUE)*(F1608-Calc!F19))+B1620+(ArtifactsInput!$M$24-ArtifactsInput!$M$24)*CHOOSE(ArtifactsInput!$N$24+1,10,12,14,16,18,20)+(IF(AND(Inputs!$B$38&lt;&gt;"pvp",Inputs!$B$43=0),1,IF(IF(Inputs!$B$38="pvp",15,Inputs!$B$43)-(B1627)&lt;=0,1,MAX(0,IF(Inputs!$B$38="pvp",15,Inputs!$B$43)-MAX(5,B1627))/(IF(Inputs!$B$38="pvp",15,Inputs!$B$43)-(B1627))))*IF(AND(ArtifactsInput!$M$42,((Inputs!$B$9+((C1608=TRUE)*(F1608-Calc!F19))+B1620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592">
        <f>INDEX(FactorTable!$B$2:$Y$301, MATCH(ROUND(MIN(300,MAX(1,U1591)),0), FactorTable!$A$2:$A$301,0), 22)</f>
        <v/>
      </c>
      <c r="V1592">
        <f>IF(C1592,(H1592*N1592*IF(AND(Inputs!$B$38&lt;&gt;"pvp",Inputs!$B$43&gt;0),((Skills!G3*((R1592-1)*IF(Skills!H3&gt;0,INT(Skills!I3/Skills!H3+0.000000001),1)+IF(Skills!H3&gt;0,INT(MIN(Skills!I3,MAX(0,MAX(0,Inputs!$B$43-B1627)-((R1592-1)*(IF(Inputs!$B$38="pvp",15,MAX(0.1,Skills!D3-IF(TRUE=TRUE,Inputs!$B$32,0)))*(1-IF(AND(ArtifactsInput!$M$27,Inputs!$B$4="Chapter Hunt"),CHOOSE(ArtifactsInput!$N$27+1,20,24,28,32,36,40),0)/100)))))/Skills!H3+0.000000001),1)))/Inputs!$B$43),G1592*Q1592))*IF(Inputs!$B$38="pvp",1,(1+(Inputs!$B$21+Skills!Q3+(IF(ArtifactsInput!$M$33,CHOOSE(ArtifactsInput!$N$33+1,30,36,42,48,54,60),0))+(IF(AND(ArtifactsInput!$M$35,Inputs!$B$4&lt;&gt;"Chapter Hunt"),CHOOSE(ArtifactsInput!$N$35+1,15,18,21,24,27,30)*(1-EXP(-(0.2*B1622)*5)),0)+IF(AND(ArtifactsInput!$M$22,Inputs!$B$4&lt;&gt;"Chapter Hunt"),CHOOSE(ArtifactsInput!$N$22+1,10,12,14,16,18,20)*((0*(((0.15*B1622*5))^0/1)+1*(((0.15*B1622*5))^1/1)+2*(((0.15*B1622*5))^2/2)+3*(((0.15*B1622*5))^3/6)+4*(((0.15*B1622*5))^4/24)+5*(((0.15*B1622*5))^5/120))/((((0.15*B1622*5))^0/1)+(((0.15*B1622*5))^1/1)+(((0.15*B1622*5))^2/2)+(((0.15*B1622*5))^3/6)+(((0.15*B1622*5))^4/24)+(((0.15*B1622*5))^5/120))),0))+IF(Inputs!$B$3&gt;=54,9*(C1592=TRUE)*MIN(1,8*(1+Inputs!$B$34/100)*Q1592),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93">
      <c r="A1593">
        <f>Skills!A4</f>
        <v/>
      </c>
      <c r="B1593">
        <f>Skills!B4</f>
        <v/>
      </c>
      <c r="C1593">
        <f>Inputs!$B$3&gt;=35</f>
        <v/>
      </c>
      <c r="D1593">
        <f>IF(Skills!C4=1,60+Inputs!$B$25+Inputs!$B$29,IF(Skills!C4=2,90+Inputs!$B$26+Inputs!$B$29,IF(Skills!C4=3,120+Inputs!$B$27+Inputs!$B$29,MAX(0,(Inputs!$B$3-100)*3)+Inputs!$B$28+Inputs!$B$29)))</f>
        <v/>
      </c>
      <c r="E1593">
        <f>INDEX(FactorTable!$B$2:$Y$301, MATCH(ROUND(MIN(300,MAX(1,D1593)),0), FactorTable!$A$2:$A$301,0), Skills!M4+1)</f>
        <v/>
      </c>
      <c r="F1593">
        <f>IF(Skills!N4=TRUE,(Skills!L4/10)*(E1593/1000),Skills!L4/10)+Skills!O4</f>
        <v/>
      </c>
      <c r="G1593">
        <f>Skills!G4*IF(Skills!H4&gt;0,INT(IF(Inputs!$B$38="pvp",MIN(IF(Inputs!$B$3&gt;=104,MIN(35,20*(1+Inputs!$B$34/100)),20),15),IF(Inputs!$B$3&gt;=104,MIN(35,20*(1+Inputs!$B$34/100)),20))/Skills!H4+0.000000001),1)</f>
        <v/>
      </c>
      <c r="H1593">
        <f>1-(1-Skills!J4/100)^Skills!K4</f>
        <v/>
      </c>
      <c r="I1593" t="inlineStr">
        <is>
          <t>1</t>
        </is>
      </c>
      <c r="J1593">
        <f>((Inputs!$B$6*(1+Inputs!$B$7/100))+(((Inputs!$B$12*(1+Inputs!$B$13/100))-(Inputs!$B$12*(1+Inputs!$B$13/100)))+0.25*(Inputs!$B$14-Inputs!$B$14))*(1+Inputs!$B$7/100))*(F1593/100)</f>
        <v/>
      </c>
      <c r="K1593">
        <f>J1593*(1+((Inputs!$B$12*(1+Inputs!$B$13/100))*0.01+Inputs!$B$14*0.0025)/100)*(1+Inputs!$B$15/100)*(1+Inputs!$B$16/100)*(5000/(6000+Inputs!$B$42*(1-(100*(1-(1-(Inputs!$B$19+0)/100)*(1-CHOOSE(ArtifactsInput!$N$40+1,5,6,7,8,9,10)/100)^(ArtifactsInput!$M$40-ArtifactsInput!$M$40)))/100)))*(1+(Inputs!$B$24+((C1615=TRUE)*(F1615-Calc!F26))+B1626)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1605=TRUE,F1605,0)/100)*(1+(IF(Skills!A4="EIGHT_LEGS_EASTON",Inputs!$B$17+((C1612=TRUE)*(F1612-Calc!F23))+((C1616=TRUE)*(F1616-Calc!F27))+((IF(AND(Inputs!$B$38&lt;&gt;"pvp",Inputs!$B$43=0),1,IF(IF(Inputs!$B$38="pvp",15,Inputs!$B$43)-(B1627)&lt;=0,1,MAX(0,IF(Inputs!$B$38="pvp",15,Inputs!$B$43)-MAX(5,B1627))/(IF(Inputs!$B$38="pvp",15,Inputs!$B$43)-(B1627))))*(IF(AND(ArtifactsInput!$M$42,((Inputs!$B$9+((C1608=TRUE)*(F1608-Calc!F19))+B1620+(ArtifactsInput!$M$24-ArtifactsInput!$M$24)*CHOOSE(ArtifactsInput!$N$24+1,10,12,14,16,18,20)+IF(ArtifactsInput!$M$10,CHOOSE(ArtifactsInput!$N$10+1,15,18,21,24,27,30)*(IF(Inputs!$B$38="pvp",MIN(15,15)/15,IF(AND(Inputs!$B$38&lt;&gt;"pvp",Inputs!$B$43&gt;0),MIN(15,Inputs!$B$43)/(Inputs!$B$43),0))),0)))&gt;=100),MIN(100,((Inputs!$B$9+((C1608=TRUE)*(F1608-Calc!F19))+B1620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1627)&lt;=0,1,MAX(0,IF(Inputs!$B$38="pvp",15,Inputs!$B$43)-MAX(5,B1627))/(IF(Inputs!$B$38="pvp",15,Inputs!$B$43)-(B1627))))*IF(AND(ArtifactsInput!$M$42,((Inputs!$B$9+((C1608=TRUE)*(F1608-Calc!F19))+B1620+(ArtifactsInput!$M$24-ArtifactsInput!$M$24)*CHOOSE(ArtifactsInput!$N$24+1,10,12,14,16,18,20)+IF(ArtifactsInput!$M$10,CHOOSE(ArtifactsInput!$N$10+1,15,18,21,24,27,30)*(IF(Inputs!$B$38="pvp",MIN(15,15)/15,IF(AND(Inputs!$B$38&lt;&gt;"pvp",Inputs!$B$43&gt;0),MIN(15,Inputs!$B$43)/(Inputs!$B$43),0))),0)))&gt;=100),CHOOSE(ArtifactsInput!$N$42+1,40,48,56,64,72,80),0))))/100)*((1+(((C1606=TRUE)*F1606*5/7)+((C1613=TRUE)*(F1613-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1593)</f>
        <v/>
      </c>
      <c r="L1593">
        <f>K1593*(MIN(Inputs!$B$22+((C1611=TRUE)*(F1611-Calc!F22)),(Inputs!$B$23+0+(IF(ArtifactsInput!$M$15,CHOOSE(ArtifactsInput!$N$15+1,25,30,35,40,45,50)/100*(Inputs!$B$11-Inputs!$B$11),0))))/100+(Inputs!$B$23+0+(IF(ArtifactsInput!$M$15,CHOOSE(ArtifactsInput!$N$15+1,25,30,35,40,45,50)/100*(Inputs!$B$11-Inputs!$B$11),0)))/100)/2</f>
        <v/>
      </c>
      <c r="M1593">
        <f>L1593*(1+(Inputs!$B$10+((C1614=TRUE)*(F1614-Calc!F25))+B1625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93">
        <f>L1593*(1-MIN((Inputs!$B$9+((C1608=TRUE)*(F1608-Calc!F19))+B1620+(ArtifactsInput!$M$24-ArtifactsInput!$M$24)*CHOOSE(ArtifactsInput!$N$24+1,10,12,14,16,18,20)+(IF(AND(Inputs!$B$38&lt;&gt;"pvp",Inputs!$B$43=0),1,IF(IF(Inputs!$B$38="pvp",15,Inputs!$B$43)-(B1627)&lt;=0,1,MAX(0,IF(Inputs!$B$38="pvp",15,Inputs!$B$43)-MAX(5,B1627))/(IF(Inputs!$B$38="pvp",15,Inputs!$B$43)-(B1627))))*IF(AND(ArtifactsInput!$M$42,((Inputs!$B$9+((C1608=TRUE)*(F1608-Calc!F19))+B1620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1593*(MIN((Inputs!$B$9+((C1608=TRUE)*(F1608-Calc!F19))+B1620+(ArtifactsInput!$M$24-ArtifactsInput!$M$24)*CHOOSE(ArtifactsInput!$N$24+1,10,12,14,16,18,20)+(IF(AND(Inputs!$B$38&lt;&gt;"pvp",Inputs!$B$43=0),1,IF(IF(Inputs!$B$38="pvp",15,Inputs!$B$43)-(B1627)&lt;=0,1,MAX(0,IF(Inputs!$B$38="pvp",15,Inputs!$B$43)-MAX(5,B1627))/(IF(Inputs!$B$38="pvp",15,Inputs!$B$43)-(B1627))))*IF(AND(ArtifactsInput!$M$42,((Inputs!$B$9+((C1608=TRUE)*(F1608-Calc!F19))+B1620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93">
        <f>(1-Summary!$B$11)*T1593+Summary!$B$11*V1593</f>
        <v/>
      </c>
      <c r="P1593">
        <f>IF(B1630=0,0,O1593/B1630)</f>
        <v/>
      </c>
      <c r="Q1593">
        <f>IFERROR(1/(IF(Inputs!$B$38="pvp",15,MAX(0.1,Skills!D4-IF(TRUE=TRUE,Inputs!$B$32,0)))*(1-IF(AND(ArtifactsInput!$M$27,Inputs!$B$4="Chapter Hunt"),CHOOSE(ArtifactsInput!$N$27+1,20,24,28,32,36,40),0)/100)),0)</f>
        <v/>
      </c>
      <c r="R1593">
        <f>IF(AND(Inputs!$B$38&lt;&gt;"pvp",Inputs!$B$43&gt;0),IF(MAX(0,Inputs!$B$43-B1627)&lt;=0,0,(INT(MAX(0,Inputs!$B$43-B1627)/(IF(Inputs!$B$38="pvp",15,MAX(0.1,Skills!D4-IF(TRUE=TRUE,Inputs!$B$32,0)))*(1-IF(AND(ArtifactsInput!$M$27,Inputs!$B$4="Chapter Hunt"),CHOOSE(ArtifactsInput!$N$27+1,20,24,28,32,36,40),0)/100)))+1)),0)</f>
        <v/>
      </c>
      <c r="S1593">
        <f>IFERROR(O1593/N1593,0)</f>
        <v/>
      </c>
      <c r="T1593">
        <f>IF(C1593,(H1593*N1593*IF(AND(Inputs!$B$38&lt;&gt;"pvp",Inputs!$B$43&gt;0),((Skills!G4*((R1593-1)*IF(Skills!H4&gt;0,INT(IF(Inputs!$B$3&gt;=104,MIN(35,20*(1+Inputs!$B$34/100)),20)/Skills!H4+0.000000001),1)+IF(Skills!H4&gt;0,INT(MIN(IF(Inputs!$B$3&gt;=104,MIN(35,20*(1+Inputs!$B$34/100)),20),MAX(0,MAX(0,Inputs!$B$43-B1627)-((R1593-1)*(IF(Inputs!$B$38="pvp",15,MAX(0.1,Skills!D4-IF(TRUE=TRUE,Inputs!$B$32,0)))*(1-IF(AND(ArtifactsInput!$M$27,Inputs!$B$4="Chapter Hunt"),CHOOSE(ArtifactsInput!$N$27+1,20,24,28,32,36,40),0)/100)))))/Skills!H4+0.000000001),1)))/Inputs!$B$43),G1593*Q1593))*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Hunt"),CHOOSE(ArtifactsInput!$N$35+1,15,18,21,24,27,30)*(1-EXP(-(0.2*B1622)*5)),0)+IF(AND(ArtifactsInput!$M$22,Inputs!$B$4&lt;&gt;"Chapter Hunt"),CHOOSE(ArtifactsInput!$N$22+1,10,12,14,16,18,20)*((0*(((0.15*B1622*5))^0/1)+1*(((0.15*B1622*5))^1/1)+2*(((0.15*B1622*5))^2/2)+3*(((0.15*B1622*5))^3/6)+4*(((0.15*B1622*5))^4/24)+5*(((0.15*B1622*5))^5/120))/((((0.15*B1622*5))^0/1)+(((0.15*B1622*5))^1/1)+(((0.15*B1622*5))^2/2)+(((0.15*B1622*5))^3/6)+(((0.15*B1622*5))^4/24)+(((0.15*B1622*5))^5/120))),0))+IF(Inputs!$B$3&gt;=54,9*(C1592=TRUE)*MIN(1,8*(1+Inputs!$B$34/100)*Q1592)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1593*(1-MIN(100,(Inputs!$B$9+((C1608=TRUE)*(F1608-Calc!F19))+B1620+(ArtifactsInput!$M$24-ArtifactsInput!$M$24)*CHOOSE(ArtifactsInput!$N$24+1,10,12,14,16,18,20)+(IF(AND(Inputs!$B$38&lt;&gt;"pvp",Inputs!$B$43=0),1,IF(IF(Inputs!$B$38="pvp",15,Inputs!$B$43)-(B1627)&lt;=0,1,MAX(0,IF(Inputs!$B$38="pvp",15,Inputs!$B$43)-MAX(5,B1627))/(IF(Inputs!$B$38="pvp",15,Inputs!$B$43)-(B1627))))*IF(AND(ArtifactsInput!$M$42,((Inputs!$B$9+((C1608=TRUE)*(F1608-Calc!F19))+B1620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1593*(MIN(100,(Inputs!$B$9+((C1608=TRUE)*(F1608-Calc!F19))+B1620+(ArtifactsInput!$M$24-ArtifactsInput!$M$24)*CHOOSE(ArtifactsInput!$N$24+1,10,12,14,16,18,20)+(IF(AND(Inputs!$B$38&lt;&gt;"pvp",Inputs!$B$43=0),1,IF(IF(Inputs!$B$38="pvp",15,Inputs!$B$43)-(B1627)&lt;=0,1,MAX(0,IF(Inputs!$B$38="pvp",15,Inputs!$B$43)-MAX(5,B1627))/(IF(Inputs!$B$38="pvp",15,Inputs!$B$43)-(B1627))))*IF(AND(ArtifactsInput!$M$42,((Inputs!$B$9+((C1608=TRUE)*(F1608-Calc!F19))+B1620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1593*(1-MIN(100,(Inputs!$B$9+((C1608=TRUE)*(F1608-Calc!F19))+B1620+(ArtifactsInput!$M$24-ArtifactsInput!$M$24)*CHOOSE(ArtifactsInput!$N$24+1,10,12,14,16,18,20)+(IF(AND(Inputs!$B$38&lt;&gt;"pvp",Inputs!$B$43=0),1,IF(IF(Inputs!$B$38="pvp",15,Inputs!$B$43)-(B1627)&lt;=0,1,MAX(0,IF(Inputs!$B$38="pvp",15,Inputs!$B$43)-MAX(5,B1627))/(IF(Inputs!$B$38="pvp",15,Inputs!$B$43)-(B1627))))*IF(AND(ArtifactsInput!$M$42,((Inputs!$B$9+((C1608=TRUE)*(F1608-Calc!F19))+B1620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1593*(MIN(100,(Inputs!$B$9+((C1608=TRUE)*(F1608-Calc!F19))+B1620+(ArtifactsInput!$M$24-ArtifactsInput!$M$24)*CHOOSE(ArtifactsInput!$N$24+1,10,12,14,16,18,20)+(IF(AND(Inputs!$B$38&lt;&gt;"pvp",Inputs!$B$43=0),1,IF(IF(Inputs!$B$38="pvp",15,Inputs!$B$43)-(B1627)&lt;=0,1,MAX(0,IF(Inputs!$B$38="pvp",15,Inputs!$B$43)-MAX(5,B1627))/(IF(Inputs!$B$38="pvp",15,Inputs!$B$43)-(B1627))))*IF(AND(ArtifactsInput!$M$42,((Inputs!$B$9+((C1608=TRUE)*(F1608-Calc!F19))+B1620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593">
        <f>290*U1592/1000</f>
        <v/>
      </c>
      <c r="V1593">
        <f>IF(C1593,(H1593*N1593*IF(AND(Inputs!$B$38&lt;&gt;"pvp",Inputs!$B$43&gt;0),((Skills!G4*((R1593-1)*IF(Skills!H4&gt;0,INT(IF(Inputs!$B$3&gt;=104,MIN(35,20*(1+Inputs!$B$34/100)),20)/Skills!H4+0.000000001),1)+IF(Skills!H4&gt;0,INT(MIN(IF(Inputs!$B$3&gt;=104,MIN(35,20*(1+Inputs!$B$34/100)),20),MAX(0,MAX(0,Inputs!$B$43-B1627)-((R1593-1)*(IF(Inputs!$B$38="pvp",15,MAX(0.1,Skills!D4-IF(TRUE=TRUE,Inputs!$B$32,0)))*(1-IF(AND(ArtifactsInput!$M$27,Inputs!$B$4="Chapter Hunt"),CHOOSE(ArtifactsInput!$N$27+1,20,24,28,32,36,40),0)/100)))))/Skills!H4+0.000000001),1)))/Inputs!$B$43),G1593*Q1593))*IF(Inputs!$B$38="pvp",1,(1+(Inputs!$B$21+Skills!Q4+(IF(ArtifactsInput!$M$33,CHOOSE(ArtifactsInput!$N$33+1,30,36,42,48,54,60),0))+(IF(AND(ArtifactsInput!$M$35,Inputs!$B$4&lt;&gt;"Chapter Hunt"),CHOOSE(ArtifactsInput!$N$35+1,15,18,21,24,27,30)*(1-EXP(-(0.2*B1622)*5)),0)+IF(AND(ArtifactsInput!$M$22,Inputs!$B$4&lt;&gt;"Chapter Hunt"),CHOOSE(ArtifactsInput!$N$22+1,10,12,14,16,18,20)*((0*(((0.15*B1622*5))^0/1)+1*(((0.15*B1622*5))^1/1)+2*(((0.15*B1622*5))^2/2)+3*(((0.15*B1622*5))^3/6)+4*(((0.15*B1622*5))^4/24)+5*(((0.15*B1622*5))^5/120))/((((0.15*B1622*5))^0/1)+(((0.15*B1622*5))^1/1)+(((0.15*B1622*5))^2/2)+(((0.15*B1622*5))^3/6)+(((0.15*B1622*5))^4/24)+(((0.15*B1622*5))^5/120))),0))+IF(Inputs!$B$3&gt;=54,9*(C1592=TRUE)*MIN(1,8*(1+Inputs!$B$34/100)*Q1592),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94">
      <c r="A1594">
        <f>Skills!A5</f>
        <v/>
      </c>
      <c r="B1594">
        <f>Skills!B5</f>
        <v/>
      </c>
      <c r="C1594">
        <f>Inputs!$B$3&gt;=69</f>
        <v/>
      </c>
      <c r="D1594">
        <f>IF(Skills!C5=1,60+Inputs!$B$25+Inputs!$B$29,IF(Skills!C5=2,90+Inputs!$B$26+Inputs!$B$29,IF(Skills!C5=3,120+Inputs!$B$27+Inputs!$B$29,MAX(0,(Inputs!$B$3-100)*3)+Inputs!$B$28+Inputs!$B$29)))</f>
        <v/>
      </c>
      <c r="E1594">
        <f>INDEX(FactorTable!$B$2:$Y$301, MATCH(ROUND(MIN(300,MAX(1,D1594)),0), FactorTable!$A$2:$A$301,0), Skills!M5+1)</f>
        <v/>
      </c>
      <c r="F1594">
        <f>IF(Skills!N5=TRUE,(Skills!L5/10)*(E1594/1000),Skills!L5/10)+Skills!O5</f>
        <v/>
      </c>
      <c r="G1594">
        <f>Skills!G5*IF(Skills!H5&gt;0,INT(IF(Inputs!$B$38="pvp",MIN(IF(Inputs!$B$3&gt;=104,MIN(35,20*(1+Inputs!$B$34/100)),20),15),IF(Inputs!$B$3&gt;=104,MIN(35,20*(1+Inputs!$B$34/100)),20))/Skills!H5+0.000000001),1)</f>
        <v/>
      </c>
      <c r="H1594">
        <f>1-(1-Skills!J5/100)^Skills!K5</f>
        <v/>
      </c>
      <c r="I1594" t="inlineStr">
        <is>
          <t>1</t>
        </is>
      </c>
      <c r="J1594">
        <f>((Inputs!$B$6*(1+Inputs!$B$7/100))+(((Inputs!$B$12*(1+Inputs!$B$13/100))-(Inputs!$B$12*(1+Inputs!$B$13/100)))+0.25*(Inputs!$B$14-Inputs!$B$14))*(1+Inputs!$B$7/100))*(F1594/100)</f>
        <v/>
      </c>
      <c r="K1594">
        <f>J1594*(1+((Inputs!$B$12*(1+Inputs!$B$13/100))*0.01+Inputs!$B$14*0.0025)/100)*(1+Inputs!$B$15/100)*(1+Inputs!$B$16/100)*(5000/(6000+Inputs!$B$42*(1-(100*(1-(1-(Inputs!$B$19+0)/100)*(1-CHOOSE(ArtifactsInput!$N$40+1,5,6,7,8,9,10)/100)^(ArtifactsInput!$M$40-ArtifactsInput!$M$40)))/100)))*(1+(Inputs!$B$24+((C1615=TRUE)*(F1615-Calc!F26))+B1626)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+0.4*IF(C1605=TRUE,F1605,0)/100)*(1+(IF(Skills!A5="EIGHT_LEGS_EASTON",Inputs!$B$17+((C1612=TRUE)*(F1612-Calc!F23))+((C1616=TRUE)*(F1616-Calc!F27))+((IF(AND(Inputs!$B$38&lt;&gt;"pvp",Inputs!$B$43=0),1,IF(IF(Inputs!$B$38="pvp",15,Inputs!$B$43)-(B1627)&lt;=0,1,MAX(0,IF(Inputs!$B$38="pvp",15,Inputs!$B$43)-MAX(5,B1627))/(IF(Inputs!$B$38="pvp",15,Inputs!$B$43)-(B1627))))*(IF(AND(ArtifactsInput!$M$42,((Inputs!$B$9+((C1608=TRUE)*(F1608-Calc!F19))+B1620+(ArtifactsInput!$M$24-ArtifactsInput!$M$24)*CHOOSE(ArtifactsInput!$N$24+1,10,12,14,16,18,20)+IF(ArtifactsInput!$M$10,CHOOSE(ArtifactsInput!$N$10+1,15,18,21,24,27,30)*(IF(Inputs!$B$38="pvp",MIN(15,15)/15,IF(AND(Inputs!$B$38&lt;&gt;"pvp",Inputs!$B$43&gt;0),MIN(15,Inputs!$B$43)/(Inputs!$B$43),0))),0)))&gt;=100),MIN(100,((Inputs!$B$9+((C1608=TRUE)*(F1608-Calc!F19))+B1620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1627)&lt;=0,1,MAX(0,IF(Inputs!$B$38="pvp",15,Inputs!$B$43)-MAX(5,B1627))/(IF(Inputs!$B$38="pvp",15,Inputs!$B$43)-(B1627))))*IF(AND(ArtifactsInput!$M$42,((Inputs!$B$9+((C1608=TRUE)*(F1608-Calc!F19))+B1620+(ArtifactsInput!$M$24-ArtifactsInput!$M$24)*CHOOSE(ArtifactsInput!$N$24+1,10,12,14,16,18,20)+IF(ArtifactsInput!$M$10,CHOOSE(ArtifactsInput!$N$10+1,15,18,21,24,27,30)*(IF(Inputs!$B$38="pvp",MIN(15,15)/15,IF(AND(Inputs!$B$38&lt;&gt;"pvp",Inputs!$B$43&gt;0),MIN(15,Inputs!$B$43)/(Inputs!$B$43),0))),0)))&gt;=100),CHOOSE(ArtifactsInput!$N$42+1,40,48,56,64,72,80),0))))/100)*((1+(((C1606=TRUE)*F1606*5/7)+((C1613=TRUE)*(F1613-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1594)</f>
        <v/>
      </c>
      <c r="L1594">
        <f>K1594*(MIN(Inputs!$B$22+((C1611=TRUE)*(F1611-Calc!F22)),(Inputs!$B$23+0+(IF(ArtifactsInput!$M$15,CHOOSE(ArtifactsInput!$N$15+1,25,30,35,40,45,50)/100*(Inputs!$B$11-Inputs!$B$11),0))))/100+(Inputs!$B$23+0+(IF(ArtifactsInput!$M$15,CHOOSE(ArtifactsInput!$N$15+1,25,30,35,40,45,50)/100*(Inputs!$B$11-Inputs!$B$11),0)))/100)/2</f>
        <v/>
      </c>
      <c r="M1594">
        <f>L1594*(1+(Inputs!$B$10+((C1614=TRUE)*(F1614-Calc!F25))+B1625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94">
        <f>L1594*(1-MIN((Inputs!$B$9+((C1608=TRUE)*(F1608-Calc!F19))+B1620+(ArtifactsInput!$M$24-ArtifactsInput!$M$24)*CHOOSE(ArtifactsInput!$N$24+1,10,12,14,16,18,20)+(IF(AND(Inputs!$B$38&lt;&gt;"pvp",Inputs!$B$43=0),1,IF(IF(Inputs!$B$38="pvp",15,Inputs!$B$43)-(B1627)&lt;=0,1,MAX(0,IF(Inputs!$B$38="pvp",15,Inputs!$B$43)-MAX(5,B1627))/(IF(Inputs!$B$38="pvp",15,Inputs!$B$43)-(B1627))))*IF(AND(ArtifactsInput!$M$42,((Inputs!$B$9+((C1608=TRUE)*(F1608-Calc!F19))+B1620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1594*(MIN((Inputs!$B$9+((C1608=TRUE)*(F1608-Calc!F19))+B1620+(ArtifactsInput!$M$24-ArtifactsInput!$M$24)*CHOOSE(ArtifactsInput!$N$24+1,10,12,14,16,18,20)+(IF(AND(Inputs!$B$38&lt;&gt;"pvp",Inputs!$B$43=0),1,IF(IF(Inputs!$B$38="pvp",15,Inputs!$B$43)-(B1627)&lt;=0,1,MAX(0,IF(Inputs!$B$38="pvp",15,Inputs!$B$43)-MAX(5,B1627))/(IF(Inputs!$B$38="pvp",15,Inputs!$B$43)-(B1627))))*IF(AND(ArtifactsInput!$M$42,((Inputs!$B$9+((C1608=TRUE)*(F1608-Calc!F19))+B1620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94">
        <f>(1-Summary!$B$11)*T1594+Summary!$B$11*V1594</f>
        <v/>
      </c>
      <c r="P1594">
        <f>IF(B1630=0,0,O1594/B1630)</f>
        <v/>
      </c>
      <c r="Q1594">
        <f>IFERROR(1/(IF(Inputs!$B$38="pvp",15,MAX(0.1,Skills!D5-IF(TRUE=TRUE,Inputs!$B$32,0)))*(1-IF(AND(ArtifactsInput!$M$27,Inputs!$B$4="Chapter Hunt"),CHOOSE(ArtifactsInput!$N$27+1,20,24,28,32,36,40),0)/100)),0)</f>
        <v/>
      </c>
      <c r="R1594">
        <f>IF(AND(Inputs!$B$38&lt;&gt;"pvp",Inputs!$B$43&gt;0),IF(MAX(0,Inputs!$B$43-B1627)&lt;=0,0,(INT(MAX(0,Inputs!$B$43-B1627)/(IF(Inputs!$B$38="pvp",15,MAX(0.1,Skills!D5-IF(TRUE=TRUE,Inputs!$B$32,0)))*(1-IF(AND(ArtifactsInput!$M$27,Inputs!$B$4="Chapter Hunt"),CHOOSE(ArtifactsInput!$N$27+1,20,24,28,32,36,40),0)/100)))+1)),0)</f>
        <v/>
      </c>
      <c r="S1594">
        <f>IFERROR(O1594/N1594,0)</f>
        <v/>
      </c>
      <c r="T1594">
        <f>IF(C1594,(H1594*N1594*IF(AND(Inputs!$B$38&lt;&gt;"pvp",Inputs!$B$43&gt;0),((Skills!G5*((R1594-1)*IF(Skills!H5&gt;0,INT(IF(Inputs!$B$3&gt;=104,MIN(35,20*(1+Inputs!$B$34/100)),20)/Skills!H5+0.000000001),1)+IF(Skills!H5&gt;0,INT(MIN(IF(Inputs!$B$3&gt;=104,MIN(35,20*(1+Inputs!$B$34/100)),20),MAX(0,MAX(0,Inputs!$B$43-B1627)-((R1594-1)*(IF(Inputs!$B$38="pvp",15,MAX(0.1,Skills!D5-IF(TRUE=TRUE,Inputs!$B$32,0)))*(1-IF(AND(ArtifactsInput!$M$27,Inputs!$B$4="Chapter Hunt"),CHOOSE(ArtifactsInput!$N$27+1,20,24,28,32,36,40),0)/100)))))/Skills!H5+0.000000001),1)))/Inputs!$B$43),G1594*Q1594))*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Hunt"),CHOOSE(ArtifactsInput!$N$35+1,15,18,21,24,27,30)*(1-EXP(-(0.2*B1622)*5)),0)+IF(AND(ArtifactsInput!$M$22,Inputs!$B$4&lt;&gt;"Chapter Hunt"),CHOOSE(ArtifactsInput!$N$22+1,10,12,14,16,18,20)*((0*(((0.15*B1622*5))^0/1)+1*(((0.15*B1622*5))^1/1)+2*(((0.15*B1622*5))^2/2)+3*(((0.15*B1622*5))^3/6)+4*(((0.15*B1622*5))^4/24)+5*(((0.15*B1622*5))^5/120))/((((0.15*B1622*5))^0/1)+(((0.15*B1622*5))^1/1)+(((0.15*B1622*5))^2/2)+(((0.15*B1622*5))^3/6)+(((0.15*B1622*5))^4/24)+(((0.15*B1622*5))^5/120))),0))+IF(Inputs!$B$3&gt;=54,9*(C1592=TRUE)*MIN(1,8*(1+Inputs!$B$34/100)*Q1592)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1594*(1-MIN(100,(Inputs!$B$9+((C1608=TRUE)*(F1608-Calc!F19))+B1620+(ArtifactsInput!$M$24-ArtifactsInput!$M$24)*CHOOSE(ArtifactsInput!$N$24+1,10,12,14,16,18,20)+(IF(AND(Inputs!$B$38&lt;&gt;"pvp",Inputs!$B$43=0),1,IF(IF(Inputs!$B$38="pvp",15,Inputs!$B$43)-(B1627)&lt;=0,1,MAX(0,IF(Inputs!$B$38="pvp",15,Inputs!$B$43)-MAX(5,B1627))/(IF(Inputs!$B$38="pvp",15,Inputs!$B$43)-(B1627))))*IF(AND(ArtifactsInput!$M$42,((Inputs!$B$9+((C1608=TRUE)*(F1608-Calc!F19))+B1620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1594*(MIN(100,(Inputs!$B$9+((C1608=TRUE)*(F1608-Calc!F19))+B1620+(ArtifactsInput!$M$24-ArtifactsInput!$M$24)*CHOOSE(ArtifactsInput!$N$24+1,10,12,14,16,18,20)+(IF(AND(Inputs!$B$38&lt;&gt;"pvp",Inputs!$B$43=0),1,IF(IF(Inputs!$B$38="pvp",15,Inputs!$B$43)-(B1627)&lt;=0,1,MAX(0,IF(Inputs!$B$38="pvp",15,Inputs!$B$43)-MAX(5,B1627))/(IF(Inputs!$B$38="pvp",15,Inputs!$B$43)-(B1627))))*IF(AND(ArtifactsInput!$M$42,((Inputs!$B$9+((C1608=TRUE)*(F1608-Calc!F19))+B1620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1594*(1-MIN(100,(Inputs!$B$9+((C1608=TRUE)*(F1608-Calc!F19))+B1620+(ArtifactsInput!$M$24-ArtifactsInput!$M$24)*CHOOSE(ArtifactsInput!$N$24+1,10,12,14,16,18,20)+(IF(AND(Inputs!$B$38&lt;&gt;"pvp",Inputs!$B$43=0),1,IF(IF(Inputs!$B$38="pvp",15,Inputs!$B$43)-(B1627)&lt;=0,1,MAX(0,IF(Inputs!$B$38="pvp",15,Inputs!$B$43)-MAX(5,B1627))/(IF(Inputs!$B$38="pvp",15,Inputs!$B$43)-(B1627))))*IF(AND(ArtifactsInput!$M$42,((Inputs!$B$9+((C1608=TRUE)*(F1608-Calc!F19))+B1620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1594*(MIN(100,(Inputs!$B$9+((C1608=TRUE)*(F1608-Calc!F19))+B1620+(ArtifactsInput!$M$24-ArtifactsInput!$M$24)*CHOOSE(ArtifactsInput!$N$24+1,10,12,14,16,18,20)+(IF(AND(Inputs!$B$38&lt;&gt;"pvp",Inputs!$B$43=0),1,IF(IF(Inputs!$B$38="pvp",15,Inputs!$B$43)-(B1627)&lt;=0,1,MAX(0,IF(Inputs!$B$38="pvp",15,Inputs!$B$43)-MAX(5,B1627))/(IF(Inputs!$B$38="pvp",15,Inputs!$B$43)-(B1627))))*IF(AND(ArtifactsInput!$M$42,((Inputs!$B$9+((C1608=TRUE)*(F1608-Calc!F19))+B1620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594">
        <f>IF(C1594,(H1594*N1594*IF(AND(Inputs!$B$38&lt;&gt;"pvp",Inputs!$B$43&gt;0),((Skills!G5*((R1594-1)*IF(Skills!H5&gt;0,INT(IF(Inputs!$B$3&gt;=104,MIN(35,20*(1+Inputs!$B$34/100)),20)/Skills!H5+0.000000001),1)+IF(Skills!H5&gt;0,INT(MIN(IF(Inputs!$B$3&gt;=104,MIN(35,20*(1+Inputs!$B$34/100)),20),MAX(0,MAX(0,Inputs!$B$43-B1627)-((R1594-1)*(IF(Inputs!$B$38="pvp",15,MAX(0.1,Skills!D5-IF(TRUE=TRUE,Inputs!$B$32,0)))*(1-IF(AND(ArtifactsInput!$M$27,Inputs!$B$4="Chapter Hunt"),CHOOSE(ArtifactsInput!$N$27+1,20,24,28,32,36,40),0)/100)))))/Skills!H5+0.000000001),1)))/Inputs!$B$43),G1594*Q1594))*IF(Inputs!$B$38="pvp",1,(1+(Inputs!$B$21+Skills!Q5+(IF(ArtifactsInput!$M$33,CHOOSE(ArtifactsInput!$N$33+1,30,36,42,48,54,60),0))+(IF(AND(ArtifactsInput!$M$35,Inputs!$B$4&lt;&gt;"Chapter Hunt"),CHOOSE(ArtifactsInput!$N$35+1,15,18,21,24,27,30)*(1-EXP(-(0.2*B1622)*5)),0)+IF(AND(ArtifactsInput!$M$22,Inputs!$B$4&lt;&gt;"Chapter Hunt"),CHOOSE(ArtifactsInput!$N$22+1,10,12,14,16,18,20)*((0*(((0.15*B1622*5))^0/1)+1*(((0.15*B1622*5))^1/1)+2*(((0.15*B1622*5))^2/2)+3*(((0.15*B1622*5))^3/6)+4*(((0.15*B1622*5))^4/24)+5*(((0.15*B1622*5))^5/120))/((((0.15*B1622*5))^0/1)+(((0.15*B1622*5))^1/1)+(((0.15*B1622*5))^2/2)+(((0.15*B1622*5))^3/6)+(((0.15*B1622*5))^4/24)+(((0.15*B1622*5))^5/120))),0))+IF(Inputs!$B$3&gt;=54,9*(C1592=TRUE)*MIN(1,8*(1+Inputs!$B$34/100)*Q1592),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95">
      <c r="A1595">
        <f>Skills!A6</f>
        <v/>
      </c>
      <c r="B1595">
        <f>Skills!B6</f>
        <v/>
      </c>
      <c r="C1595">
        <f>Inputs!$B$3&gt;=66</f>
        <v/>
      </c>
      <c r="D1595">
        <f>IF(Skills!C6=1,60+Inputs!$B$25+Inputs!$B$29,IF(Skills!C6=2,90+Inputs!$B$26+Inputs!$B$29,IF(Skills!C6=3,120+Inputs!$B$27+Inputs!$B$29,MAX(0,(Inputs!$B$3-100)*3)+Inputs!$B$28+Inputs!$B$29)))</f>
        <v/>
      </c>
      <c r="E1595">
        <f>INDEX(FactorTable!$B$2:$Y$301, MATCH(ROUND(MIN(300,MAX(1,D1595)),0), FactorTable!$A$2:$A$301,0), Skills!M6+1)</f>
        <v/>
      </c>
      <c r="F1595">
        <f>IF(Skills!N6=TRUE,(Skills!L6/10)*(E1595/1000),Skills!L6/10)+Skills!O6</f>
        <v/>
      </c>
      <c r="G1595">
        <f>Skills!G6*IF(Skills!H6&gt;0,INT(IF(Inputs!$B$38="pvp",MIN(Skills!I6,15),Skills!I6)/Skills!H6+0.000000001),1)</f>
        <v/>
      </c>
      <c r="H1595">
        <f>1-(1-Skills!J6/100)^Skills!K6</f>
        <v/>
      </c>
      <c r="I1595" t="inlineStr">
        <is>
          <t>1</t>
        </is>
      </c>
      <c r="J1595">
        <f>((Inputs!$B$6*(1+Inputs!$B$7/100))+(((Inputs!$B$12*(1+Inputs!$B$13/100))-(Inputs!$B$12*(1+Inputs!$B$13/100)))+0.25*(Inputs!$B$14-Inputs!$B$14))*(1+Inputs!$B$7/100))*(F1595/100)</f>
        <v/>
      </c>
      <c r="K1595">
        <f>J1595*(1+((Inputs!$B$12*(1+Inputs!$B$13/100))*0.01+Inputs!$B$14*0.0025)/100)*(1+Inputs!$B$15/100)*(1+Inputs!$B$16/100)*(5000/(6000+Inputs!$B$42*(1-(100*(1-(1-(Inputs!$B$19+0)/100)*(1-CHOOSE(ArtifactsInput!$N$40+1,5,6,7,8,9,10)/100)^(ArtifactsInput!$M$40-ArtifactsInput!$M$40)))/100)))*(1+(Inputs!$B$24+((C1615=TRUE)*(F1615-Calc!F26))+B1626)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+2.0*IF(C1604=TRUE,F1604,0)/100)*(1+(IF(Skills!A6="EIGHT_LEGS_EASTON",Inputs!$B$17+((C1612=TRUE)*(F1612-Calc!F23))+((C1616=TRUE)*(F1616-Calc!F27))+((IF(AND(Inputs!$B$38&lt;&gt;"pvp",Inputs!$B$43=0),1,IF(IF(Inputs!$B$38="pvp",15,Inputs!$B$43)-(B1627)&lt;=0,1,MAX(0,IF(Inputs!$B$38="pvp",15,Inputs!$B$43)-MAX(5,B1627))/(IF(Inputs!$B$38="pvp",15,Inputs!$B$43)-(B1627))))*(IF(AND(ArtifactsInput!$M$42,((Inputs!$B$9+((C1608=TRUE)*(F1608-Calc!F19))+B1620+(ArtifactsInput!$M$24-ArtifactsInput!$M$24)*CHOOSE(ArtifactsInput!$N$24+1,10,12,14,16,18,20)+IF(ArtifactsInput!$M$10,CHOOSE(ArtifactsInput!$N$10+1,15,18,21,24,27,30)*(IF(Inputs!$B$38="pvp",MIN(15,15)/15,IF(AND(Inputs!$B$38&lt;&gt;"pvp",Inputs!$B$43&gt;0),MIN(15,Inputs!$B$43)/(Inputs!$B$43),0))),0)))&gt;=100),MIN(100,((Inputs!$B$9+((C1608=TRUE)*(F1608-Calc!F19))+B1620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1627)&lt;=0,1,MAX(0,IF(Inputs!$B$38="pvp",15,Inputs!$B$43)-MAX(5,B1627))/(IF(Inputs!$B$38="pvp",15,Inputs!$B$43)-(B1627))))*IF(AND(ArtifactsInput!$M$42,((Inputs!$B$9+((C1608=TRUE)*(F1608-Calc!F19))+B1620+(ArtifactsInput!$M$24-ArtifactsInput!$M$24)*CHOOSE(ArtifactsInput!$N$24+1,10,12,14,16,18,20)+IF(ArtifactsInput!$M$10,CHOOSE(ArtifactsInput!$N$10+1,15,18,21,24,27,30)*(IF(Inputs!$B$38="pvp",MIN(15,15)/15,IF(AND(Inputs!$B$38&lt;&gt;"pvp",Inputs!$B$43&gt;0),MIN(15,Inputs!$B$43)/(Inputs!$B$43),0))),0)))&gt;=100),CHOOSE(ArtifactsInput!$N$42+1,40,48,56,64,72,80),0))))/100)*((1+(((C1606=TRUE)*F1606*5/7)+((C1613=TRUE)*(F1613-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1595)</f>
        <v/>
      </c>
      <c r="L1595">
        <f>K1595*(MIN(Inputs!$B$22+((C1611=TRUE)*(F1611-Calc!F22)),(Inputs!$B$23+0+(IF(ArtifactsInput!$M$15,CHOOSE(ArtifactsInput!$N$15+1,25,30,35,40,45,50)/100*(Inputs!$B$11-Inputs!$B$11),0))))/100+(Inputs!$B$23+0+(IF(ArtifactsInput!$M$15,CHOOSE(ArtifactsInput!$N$15+1,25,30,35,40,45,50)/100*(Inputs!$B$11-Inputs!$B$11),0)))/100)/2</f>
        <v/>
      </c>
      <c r="M1595">
        <f>L1595*(1+(Inputs!$B$10+((C1614=TRUE)*(F1614-Calc!F25))+B1625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95">
        <f>L1595*(1-MIN((Inputs!$B$9+((C1608=TRUE)*(F1608-Calc!F19))+B1620+(ArtifactsInput!$M$24-ArtifactsInput!$M$24)*CHOOSE(ArtifactsInput!$N$24+1,10,12,14,16,18,20)+(IF(AND(Inputs!$B$38&lt;&gt;"pvp",Inputs!$B$43=0),1,IF(IF(Inputs!$B$38="pvp",15,Inputs!$B$43)-(B1627)&lt;=0,1,MAX(0,IF(Inputs!$B$38="pvp",15,Inputs!$B$43)-MAX(5,B1627))/(IF(Inputs!$B$38="pvp",15,Inputs!$B$43)-(B1627))))*IF(AND(ArtifactsInput!$M$42,((Inputs!$B$9+((C1608=TRUE)*(F1608-Calc!F19))+B1620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1595*(MIN((Inputs!$B$9+((C1608=TRUE)*(F1608-Calc!F19))+B1620+(ArtifactsInput!$M$24-ArtifactsInput!$M$24)*CHOOSE(ArtifactsInput!$N$24+1,10,12,14,16,18,20)+(IF(AND(Inputs!$B$38&lt;&gt;"pvp",Inputs!$B$43=0),1,IF(IF(Inputs!$B$38="pvp",15,Inputs!$B$43)-(B1627)&lt;=0,1,MAX(0,IF(Inputs!$B$38="pvp",15,Inputs!$B$43)-MAX(5,B1627))/(IF(Inputs!$B$38="pvp",15,Inputs!$B$43)-(B1627))))*IF(AND(ArtifactsInput!$M$42,((Inputs!$B$9+((C1608=TRUE)*(F1608-Calc!F19))+B1620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95">
        <f>(1-Summary!$B$11)*T1595+Summary!$B$11*V1595</f>
        <v/>
      </c>
      <c r="P1595">
        <f>IF(B1630=0,0,O1595/B1630)</f>
        <v/>
      </c>
      <c r="Q1595">
        <f>IFERROR(1/(IF(Inputs!$B$38="pvp",15,MAX(0.1,Skills!D6-IF(TRUE=TRUE,Inputs!$B$32,0)))*(1-IF(AND(ArtifactsInput!$M$27,Inputs!$B$4="Chapter Hunt"),CHOOSE(ArtifactsInput!$N$27+1,20,24,28,32,36,40),0)/100)),0)</f>
        <v/>
      </c>
      <c r="R1595">
        <f>IF(AND(Inputs!$B$38&lt;&gt;"pvp",Inputs!$B$43&gt;0),IF(MAX(0,Inputs!$B$43-B1627)&lt;=0,0,(INT(MAX(0,Inputs!$B$43-B1627)/(IF(Inputs!$B$38="pvp",15,MAX(0.1,Skills!D6-IF(TRUE=TRUE,Inputs!$B$32,0)))*(1-IF(AND(ArtifactsInput!$M$27,Inputs!$B$4="Chapter Hunt"),CHOOSE(ArtifactsInput!$N$27+1,20,24,28,32,36,40),0)/100)))+1)),0)</f>
        <v/>
      </c>
      <c r="S1595">
        <f>IFERROR(O1595/N1595,0)</f>
        <v/>
      </c>
      <c r="T1595">
        <f>IF(C1595,(H1595*N1595*IF(AND(Inputs!$B$38&lt;&gt;"pvp",Inputs!$B$43&gt;0),((Skills!G6*((R1595-1)*IF(Skills!H6&gt;0,INT(Skills!I6/Skills!H6+0.000000001),1)+IF(Skills!H6&gt;0,INT(MIN(Skills!I6,MAX(0,MAX(0,Inputs!$B$43-B1627)-((R1595-1)*(IF(Inputs!$B$38="pvp",15,MAX(0.1,Skills!D6-IF(TRUE=TRUE,Inputs!$B$32,0)))*(1-IF(AND(ArtifactsInput!$M$27,Inputs!$B$4="Chapter Hunt"),CHOOSE(ArtifactsInput!$N$27+1,20,24,28,32,36,40),0)/100)))))/Skills!H6+0.000000001),1)))/Inputs!$B$43),G1595*Q1595))*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Hunt"),CHOOSE(ArtifactsInput!$N$35+1,15,18,21,24,27,30)*(1-EXP(-(0.2*B1622)*5)),0)+IF(AND(ArtifactsInput!$M$22,Inputs!$B$4&lt;&gt;"Chapter Hunt"),CHOOSE(ArtifactsInput!$N$22+1,10,12,14,16,18,20)*((0*(((0.15*B1622*5))^0/1)+1*(((0.15*B1622*5))^1/1)+2*(((0.15*B1622*5))^2/2)+3*(((0.15*B1622*5))^3/6)+4*(((0.15*B1622*5))^4/24)+5*(((0.15*B1622*5))^5/120))/((((0.15*B1622*5))^0/1)+(((0.15*B1622*5))^1/1)+(((0.15*B1622*5))^2/2)+(((0.15*B1622*5))^3/6)+(((0.15*B1622*5))^4/24)+(((0.15*B1622*5))^5/120))),0))+IF(Inputs!$B$3&gt;=54,9*(C1592=TRUE)*MIN(1,8*(1+Inputs!$B$34/100)*Q1592)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1595*(1-MIN(100,(Inputs!$B$9+((C1608=TRUE)*(F1608-Calc!F19))+B1620+(ArtifactsInput!$M$24-ArtifactsInput!$M$24)*CHOOSE(ArtifactsInput!$N$24+1,10,12,14,16,18,20)+(IF(AND(Inputs!$B$38&lt;&gt;"pvp",Inputs!$B$43=0),1,IF(IF(Inputs!$B$38="pvp",15,Inputs!$B$43)-(B1627)&lt;=0,1,MAX(0,IF(Inputs!$B$38="pvp",15,Inputs!$B$43)-MAX(5,B1627))/(IF(Inputs!$B$38="pvp",15,Inputs!$B$43)-(B1627))))*IF(AND(ArtifactsInput!$M$42,((Inputs!$B$9+((C1608=TRUE)*(F1608-Calc!F19))+B1620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1595*(MIN(100,(Inputs!$B$9+((C1608=TRUE)*(F1608-Calc!F19))+B1620+(ArtifactsInput!$M$24-ArtifactsInput!$M$24)*CHOOSE(ArtifactsInput!$N$24+1,10,12,14,16,18,20)+(IF(AND(Inputs!$B$38&lt;&gt;"pvp",Inputs!$B$43=0),1,IF(IF(Inputs!$B$38="pvp",15,Inputs!$B$43)-(B1627)&lt;=0,1,MAX(0,IF(Inputs!$B$38="pvp",15,Inputs!$B$43)-MAX(5,B1627))/(IF(Inputs!$B$38="pvp",15,Inputs!$B$43)-(B1627))))*IF(AND(ArtifactsInput!$M$42,((Inputs!$B$9+((C1608=TRUE)*(F1608-Calc!F19))+B1620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1595*(1-MIN(100,(Inputs!$B$9+((C1608=TRUE)*(F1608-Calc!F19))+B1620+(ArtifactsInput!$M$24-ArtifactsInput!$M$24)*CHOOSE(ArtifactsInput!$N$24+1,10,12,14,16,18,20)+(IF(AND(Inputs!$B$38&lt;&gt;"pvp",Inputs!$B$43=0),1,IF(IF(Inputs!$B$38="pvp",15,Inputs!$B$43)-(B1627)&lt;=0,1,MAX(0,IF(Inputs!$B$38="pvp",15,Inputs!$B$43)-MAX(5,B1627))/(IF(Inputs!$B$38="pvp",15,Inputs!$B$43)-(B1627))))*IF(AND(ArtifactsInput!$M$42,((Inputs!$B$9+((C1608=TRUE)*(F1608-Calc!F19))+B1620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1595*(MIN(100,(Inputs!$B$9+((C1608=TRUE)*(F1608-Calc!F19))+B1620+(ArtifactsInput!$M$24-ArtifactsInput!$M$24)*CHOOSE(ArtifactsInput!$N$24+1,10,12,14,16,18,20)+(IF(AND(Inputs!$B$38&lt;&gt;"pvp",Inputs!$B$43=0),1,IF(IF(Inputs!$B$38="pvp",15,Inputs!$B$43)-(B1627)&lt;=0,1,MAX(0,IF(Inputs!$B$38="pvp",15,Inputs!$B$43)-MAX(5,B1627))/(IF(Inputs!$B$38="pvp",15,Inputs!$B$43)-(B1627))))*IF(AND(ArtifactsInput!$M$42,((Inputs!$B$9+((C1608=TRUE)*(F1608-Calc!F19))+B1620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595">
        <f>IF(C1595,(H1595*N1595*IF(AND(Inputs!$B$38&lt;&gt;"pvp",Inputs!$B$43&gt;0),((Skills!G6*((R1595-1)*IF(Skills!H6&gt;0,INT(Skills!I6/Skills!H6+0.000000001),1)+IF(Skills!H6&gt;0,INT(MIN(Skills!I6,MAX(0,MAX(0,Inputs!$B$43-B1627)-((R1595-1)*(IF(Inputs!$B$38="pvp",15,MAX(0.1,Skills!D6-IF(TRUE=TRUE,Inputs!$B$32,0)))*(1-IF(AND(ArtifactsInput!$M$27,Inputs!$B$4="Chapter Hunt"),CHOOSE(ArtifactsInput!$N$27+1,20,24,28,32,36,40),0)/100)))))/Skills!H6+0.000000001),1)))/Inputs!$B$43),G1595*Q1595))*IF(Inputs!$B$38="pvp",1,(1+(Inputs!$B$21+Skills!Q6+(IF(ArtifactsInput!$M$33,CHOOSE(ArtifactsInput!$N$33+1,30,36,42,48,54,60),0))+(IF(AND(ArtifactsInput!$M$35,Inputs!$B$4&lt;&gt;"Chapter Hunt"),CHOOSE(ArtifactsInput!$N$35+1,15,18,21,24,27,30)*(1-EXP(-(0.2*B1622)*5)),0)+IF(AND(ArtifactsInput!$M$22,Inputs!$B$4&lt;&gt;"Chapter Hunt"),CHOOSE(ArtifactsInput!$N$22+1,10,12,14,16,18,20)*((0*(((0.15*B1622*5))^0/1)+1*(((0.15*B1622*5))^1/1)+2*(((0.15*B1622*5))^2/2)+3*(((0.15*B1622*5))^3/6)+4*(((0.15*B1622*5))^4/24)+5*(((0.15*B1622*5))^5/120))/((((0.15*B1622*5))^0/1)+(((0.15*B1622*5))^1/1)+(((0.15*B1622*5))^2/2)+(((0.15*B1622*5))^3/6)+(((0.15*B1622*5))^4/24)+(((0.15*B1622*5))^5/120))),0))+IF(Inputs!$B$3&gt;=54,9*(C1592=TRUE)*MIN(1,8*(1+Inputs!$B$34/100)*Q1592),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96">
      <c r="A1596">
        <f>Skills!A7</f>
        <v/>
      </c>
      <c r="B1596">
        <f>Skills!B7</f>
        <v/>
      </c>
      <c r="C1596">
        <f>Inputs!$B$3&gt;=63</f>
        <v/>
      </c>
      <c r="D1596">
        <f>IF(Skills!C7=1,60+Inputs!$B$25+Inputs!$B$29,IF(Skills!C7=2,90+Inputs!$B$26+Inputs!$B$29,IF(Skills!C7=3,120+Inputs!$B$27+Inputs!$B$29,MAX(0,(Inputs!$B$3-100)*3)+Inputs!$B$28+Inputs!$B$29)))</f>
        <v/>
      </c>
      <c r="E1596">
        <f>INDEX(FactorTable!$B$2:$Y$301, MATCH(ROUND(MIN(300,MAX(1,D1596)),0), FactorTable!$A$2:$A$301,0), Skills!M7+1)</f>
        <v/>
      </c>
      <c r="F1596">
        <f>IF(Skills!N7=TRUE,(Skills!L7/10)*(E1596/1000),Skills!L7/10)+Skills!O7</f>
        <v/>
      </c>
      <c r="G1596">
        <f>Skills!G7*IF(Skills!H7&gt;0,INT(IF(Inputs!$B$38="pvp",MIN(Skills!I7,15),Skills!I7)/Skills!H7+0.000000001),1)</f>
        <v/>
      </c>
      <c r="H1596">
        <f>1-(1-Skills!J7/100)^Skills!K7</f>
        <v/>
      </c>
      <c r="I1596" t="inlineStr">
        <is>
          <t>1</t>
        </is>
      </c>
      <c r="J1596">
        <f>((Inputs!$B$6*(1+Inputs!$B$7/100))+(((Inputs!$B$12*(1+Inputs!$B$13/100))-(Inputs!$B$12*(1+Inputs!$B$13/100)))+0.25*(Inputs!$B$14-Inputs!$B$14))*(1+Inputs!$B$7/100))*(F1596/100)</f>
        <v/>
      </c>
      <c r="K1596">
        <f>J1596*(1+((Inputs!$B$12*(1+Inputs!$B$13/100))*0.01+Inputs!$B$14*0.0025)/100)*(1+Inputs!$B$15/100)*(1+Inputs!$B$16/100)*(5000/(6000+Inputs!$B$42*(1-(100*(1-(1-(Inputs!$B$19+0)/100)*(1-CHOOSE(ArtifactsInput!$N$40+1,5,6,7,8,9,10)/100)^(ArtifactsInput!$M$40-ArtifactsInput!$M$40)))/100)))*(1+(Inputs!$B$24+((C1615=TRUE)*(F1615-Calc!F26))+B1626)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1604=TRUE,F1604,0)/100)*(1+(IF(Skills!A7="EIGHT_LEGS_EASTON",Inputs!$B$17+((C1612=TRUE)*(F1612-Calc!F23))+((C1616=TRUE)*(F1616-Calc!F27))+((IF(AND(Inputs!$B$38&lt;&gt;"pvp",Inputs!$B$43=0),1,IF(IF(Inputs!$B$38="pvp",15,Inputs!$B$43)-(B1627)&lt;=0,1,MAX(0,IF(Inputs!$B$38="pvp",15,Inputs!$B$43)-MAX(5,B1627))/(IF(Inputs!$B$38="pvp",15,Inputs!$B$43)-(B1627))))*(IF(AND(ArtifactsInput!$M$42,((Inputs!$B$9+((C1608=TRUE)*(F1608-Calc!F19))+B1620+(ArtifactsInput!$M$24-ArtifactsInput!$M$24)*CHOOSE(ArtifactsInput!$N$24+1,10,12,14,16,18,20)+IF(ArtifactsInput!$M$10,CHOOSE(ArtifactsInput!$N$10+1,15,18,21,24,27,30)*(IF(Inputs!$B$38="pvp",MIN(15,15)/15,IF(AND(Inputs!$B$38&lt;&gt;"pvp",Inputs!$B$43&gt;0),MIN(15,Inputs!$B$43)/(Inputs!$B$43),0))),0)))&gt;=100),MIN(100,((Inputs!$B$9+((C1608=TRUE)*(F1608-Calc!F19))+B1620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1627)&lt;=0,1,MAX(0,IF(Inputs!$B$38="pvp",15,Inputs!$B$43)-MAX(5,B1627))/(IF(Inputs!$B$38="pvp",15,Inputs!$B$43)-(B1627))))*IF(AND(ArtifactsInput!$M$42,((Inputs!$B$9+((C1608=TRUE)*(F1608-Calc!F19))+B1620+(ArtifactsInput!$M$24-ArtifactsInput!$M$24)*CHOOSE(ArtifactsInput!$N$24+1,10,12,14,16,18,20)+IF(ArtifactsInput!$M$10,CHOOSE(ArtifactsInput!$N$10+1,15,18,21,24,27,30)*(IF(Inputs!$B$38="pvp",MIN(15,15)/15,IF(AND(Inputs!$B$38&lt;&gt;"pvp",Inputs!$B$43&gt;0),MIN(15,Inputs!$B$43)/(Inputs!$B$43),0))),0)))&gt;=100),CHOOSE(ArtifactsInput!$N$42+1,40,48,56,64,72,80),0))))/100)*((1+(((C1606=TRUE)*F1606*5/7)+((C1613=TRUE)*(F1613-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1596)</f>
        <v/>
      </c>
      <c r="L1596">
        <f>K1596*(MIN(Inputs!$B$22+((C1611=TRUE)*(F1611-Calc!F22)),(Inputs!$B$23+0+(IF(ArtifactsInput!$M$15,CHOOSE(ArtifactsInput!$N$15+1,25,30,35,40,45,50)/100*(Inputs!$B$11-Inputs!$B$11),0))))/100+(Inputs!$B$23+0+(IF(ArtifactsInput!$M$15,CHOOSE(ArtifactsInput!$N$15+1,25,30,35,40,45,50)/100*(Inputs!$B$11-Inputs!$B$11),0)))/100)/2</f>
        <v/>
      </c>
      <c r="M1596">
        <f>L1596*(1+(Inputs!$B$10+((C1614=TRUE)*(F1614-Calc!F25))+B1625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96">
        <f>L1596*(1-MIN((Inputs!$B$9+((C1608=TRUE)*(F1608-Calc!F19))+B1620+(ArtifactsInput!$M$24-ArtifactsInput!$M$24)*CHOOSE(ArtifactsInput!$N$24+1,10,12,14,16,18,20)+(IF(AND(Inputs!$B$38&lt;&gt;"pvp",Inputs!$B$43=0),1,IF(IF(Inputs!$B$38="pvp",15,Inputs!$B$43)-(B1627)&lt;=0,1,MAX(0,IF(Inputs!$B$38="pvp",15,Inputs!$B$43)-MAX(5,B1627))/(IF(Inputs!$B$38="pvp",15,Inputs!$B$43)-(B1627))))*IF(AND(ArtifactsInput!$M$42,((Inputs!$B$9+((C1608=TRUE)*(F1608-Calc!F19))+B1620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1596*(MIN((Inputs!$B$9+((C1608=TRUE)*(F1608-Calc!F19))+B1620+(ArtifactsInput!$M$24-ArtifactsInput!$M$24)*CHOOSE(ArtifactsInput!$N$24+1,10,12,14,16,18,20)+(IF(AND(Inputs!$B$38&lt;&gt;"pvp",Inputs!$B$43=0),1,IF(IF(Inputs!$B$38="pvp",15,Inputs!$B$43)-(B1627)&lt;=0,1,MAX(0,IF(Inputs!$B$38="pvp",15,Inputs!$B$43)-MAX(5,B1627))/(IF(Inputs!$B$38="pvp",15,Inputs!$B$43)-(B1627))))*IF(AND(ArtifactsInput!$M$42,((Inputs!$B$9+((C1608=TRUE)*(F1608-Calc!F19))+B1620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96">
        <f>(1-Summary!$B$11)*T1596+Summary!$B$11*V1596</f>
        <v/>
      </c>
      <c r="P1596">
        <f>IF(B1630=0,0,O1596/B1630)</f>
        <v/>
      </c>
      <c r="Q1596">
        <f>IFERROR(1/(IF(Inputs!$B$38="pvp",15,MAX(0.1,Skills!D7-IF(TRUE=TRUE,Inputs!$B$32,0)))*(1-IF(AND(ArtifactsInput!$M$27,Inputs!$B$4="Chapter Hunt"),CHOOSE(ArtifactsInput!$N$27+1,20,24,28,32,36,40),0)/100)),0)</f>
        <v/>
      </c>
      <c r="R1596">
        <f>IF(AND(Inputs!$B$38&lt;&gt;"pvp",Inputs!$B$43&gt;0),IF(MAX(0,Inputs!$B$43-B1627)&lt;=0,0,(INT(MAX(0,Inputs!$B$43-B1627)/(IF(Inputs!$B$38="pvp",15,MAX(0.1,Skills!D7-IF(TRUE=TRUE,Inputs!$B$32,0)))*(1-IF(AND(ArtifactsInput!$M$27,Inputs!$B$4="Chapter Hunt"),CHOOSE(ArtifactsInput!$N$27+1,20,24,28,32,36,40),0)/100)))+1)),0)</f>
        <v/>
      </c>
      <c r="S1596">
        <f>IFERROR(O1596/N1596,0)</f>
        <v/>
      </c>
      <c r="T1596">
        <f>IF(C1596,(H1596*N1596*IF(AND(Inputs!$B$38&lt;&gt;"pvp",Inputs!$B$43&gt;0),((Skills!G7*((R1596-1)*IF(Skills!H7&gt;0,INT(Skills!I7/Skills!H7+0.000000001),1)+IF(Skills!H7&gt;0,INT(MIN(Skills!I7,MAX(0,MAX(0,Inputs!$B$43-B1627)-((R1596-1)*(IF(Inputs!$B$38="pvp",15,MAX(0.1,Skills!D7-IF(TRUE=TRUE,Inputs!$B$32,0)))*(1-IF(AND(ArtifactsInput!$M$27,Inputs!$B$4="Chapter Hunt"),CHOOSE(ArtifactsInput!$N$27+1,20,24,28,32,36,40),0)/100)))))/Skills!H7+0.000000001),1)))/Inputs!$B$43),G1596*Q1596))*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Hunt"),CHOOSE(ArtifactsInput!$N$35+1,15,18,21,24,27,30)*(1-EXP(-(0.2*B1622)*5)),0)+IF(AND(ArtifactsInput!$M$22,Inputs!$B$4&lt;&gt;"Chapter Hunt"),CHOOSE(ArtifactsInput!$N$22+1,10,12,14,16,18,20)*((0*(((0.15*B1622*5))^0/1)+1*(((0.15*B1622*5))^1/1)+2*(((0.15*B1622*5))^2/2)+3*(((0.15*B1622*5))^3/6)+4*(((0.15*B1622*5))^4/24)+5*(((0.15*B1622*5))^5/120))/((((0.15*B1622*5))^0/1)+(((0.15*B1622*5))^1/1)+(((0.15*B1622*5))^2/2)+(((0.15*B1622*5))^3/6)+(((0.15*B1622*5))^4/24)+(((0.15*B1622*5))^5/120))),0))+IF(Inputs!$B$3&gt;=54,9*(C1592=TRUE)*MIN(1,8*(1+Inputs!$B$34/100)*Q1592)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1596*(1-MIN(100,(Inputs!$B$9+((C1608=TRUE)*(F1608-Calc!F19))+B1620+(ArtifactsInput!$M$24-ArtifactsInput!$M$24)*CHOOSE(ArtifactsInput!$N$24+1,10,12,14,16,18,20)+(IF(AND(Inputs!$B$38&lt;&gt;"pvp",Inputs!$B$43=0),1,IF(IF(Inputs!$B$38="pvp",15,Inputs!$B$43)-(B1627)&lt;=0,1,MAX(0,IF(Inputs!$B$38="pvp",15,Inputs!$B$43)-MAX(5,B1627))/(IF(Inputs!$B$38="pvp",15,Inputs!$B$43)-(B1627))))*IF(AND(ArtifactsInput!$M$42,((Inputs!$B$9+((C1608=TRUE)*(F1608-Calc!F19))+B1620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1596*(MIN(100,(Inputs!$B$9+((C1608=TRUE)*(F1608-Calc!F19))+B1620+(ArtifactsInput!$M$24-ArtifactsInput!$M$24)*CHOOSE(ArtifactsInput!$N$24+1,10,12,14,16,18,20)+(IF(AND(Inputs!$B$38&lt;&gt;"pvp",Inputs!$B$43=0),1,IF(IF(Inputs!$B$38="pvp",15,Inputs!$B$43)-(B1627)&lt;=0,1,MAX(0,IF(Inputs!$B$38="pvp",15,Inputs!$B$43)-MAX(5,B1627))/(IF(Inputs!$B$38="pvp",15,Inputs!$B$43)-(B1627))))*IF(AND(ArtifactsInput!$M$42,((Inputs!$B$9+((C1608=TRUE)*(F1608-Calc!F19))+B1620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1596*(1-MIN(100,(Inputs!$B$9+((C1608=TRUE)*(F1608-Calc!F19))+B1620+(ArtifactsInput!$M$24-ArtifactsInput!$M$24)*CHOOSE(ArtifactsInput!$N$24+1,10,12,14,16,18,20)+(IF(AND(Inputs!$B$38&lt;&gt;"pvp",Inputs!$B$43=0),1,IF(IF(Inputs!$B$38="pvp",15,Inputs!$B$43)-(B1627)&lt;=0,1,MAX(0,IF(Inputs!$B$38="pvp",15,Inputs!$B$43)-MAX(5,B1627))/(IF(Inputs!$B$38="pvp",15,Inputs!$B$43)-(B1627))))*IF(AND(ArtifactsInput!$M$42,((Inputs!$B$9+((C1608=TRUE)*(F1608-Calc!F19))+B1620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1596*(MIN(100,(Inputs!$B$9+((C1608=TRUE)*(F1608-Calc!F19))+B1620+(ArtifactsInput!$M$24-ArtifactsInput!$M$24)*CHOOSE(ArtifactsInput!$N$24+1,10,12,14,16,18,20)+(IF(AND(Inputs!$B$38&lt;&gt;"pvp",Inputs!$B$43=0),1,IF(IF(Inputs!$B$38="pvp",15,Inputs!$B$43)-(B1627)&lt;=0,1,MAX(0,IF(Inputs!$B$38="pvp",15,Inputs!$B$43)-MAX(5,B1627))/(IF(Inputs!$B$38="pvp",15,Inputs!$B$43)-(B1627))))*IF(AND(ArtifactsInput!$M$42,((Inputs!$B$9+((C1608=TRUE)*(F1608-Calc!F19))+B1620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596">
        <f>IF(C1596,(H1596*N1596*IF(AND(Inputs!$B$38&lt;&gt;"pvp",Inputs!$B$43&gt;0),((Skills!G7*((R1596-1)*IF(Skills!H7&gt;0,INT(Skills!I7/Skills!H7+0.000000001),1)+IF(Skills!H7&gt;0,INT(MIN(Skills!I7,MAX(0,MAX(0,Inputs!$B$43-B1627)-((R1596-1)*(IF(Inputs!$B$38="pvp",15,MAX(0.1,Skills!D7-IF(TRUE=TRUE,Inputs!$B$32,0)))*(1-IF(AND(ArtifactsInput!$M$27,Inputs!$B$4="Chapter Hunt"),CHOOSE(ArtifactsInput!$N$27+1,20,24,28,32,36,40),0)/100)))))/Skills!H7+0.000000001),1)))/Inputs!$B$43),G1596*Q1596))*IF(Inputs!$B$38="pvp",1,(1+(Inputs!$B$21+Skills!Q7+(IF(ArtifactsInput!$M$33,CHOOSE(ArtifactsInput!$N$33+1,30,36,42,48,54,60),0))+(IF(AND(ArtifactsInput!$M$35,Inputs!$B$4&lt;&gt;"Chapter Hunt"),CHOOSE(ArtifactsInput!$N$35+1,15,18,21,24,27,30)*(1-EXP(-(0.2*B1622)*5)),0)+IF(AND(ArtifactsInput!$M$22,Inputs!$B$4&lt;&gt;"Chapter Hunt"),CHOOSE(ArtifactsInput!$N$22+1,10,12,14,16,18,20)*((0*(((0.15*B1622*5))^0/1)+1*(((0.15*B1622*5))^1/1)+2*(((0.15*B1622*5))^2/2)+3*(((0.15*B1622*5))^3/6)+4*(((0.15*B1622*5))^4/24)+5*(((0.15*B1622*5))^5/120))/((((0.15*B1622*5))^0/1)+(((0.15*B1622*5))^1/1)+(((0.15*B1622*5))^2/2)+(((0.15*B1622*5))^3/6)+(((0.15*B1622*5))^4/24)+(((0.15*B1622*5))^5/120))),0))+IF(Inputs!$B$3&gt;=54,9*(C1592=TRUE)*MIN(1,8*(1+Inputs!$B$34/100)*Q1592),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97">
      <c r="A1597">
        <f>Skills!A8</f>
        <v/>
      </c>
      <c r="B1597">
        <f>Skills!B8</f>
        <v/>
      </c>
      <c r="C1597">
        <f>Inputs!$B$3&gt;=103</f>
        <v/>
      </c>
      <c r="D1597">
        <f>IF(Skills!C8=1,60+Inputs!$B$25+Inputs!$B$29,IF(Skills!C8=2,90+Inputs!$B$26+Inputs!$B$29,IF(Skills!C8=3,120+Inputs!$B$27+Inputs!$B$29,MAX(0,(Inputs!$B$3-100)*3)+Inputs!$B$28+Inputs!$B$29)))</f>
        <v/>
      </c>
      <c r="E1597">
        <f>INDEX(FactorTable!$B$2:$Y$301, MATCH(ROUND(MIN(300,MAX(1,D1597)),0), FactorTable!$A$2:$A$301,0), Skills!M8+1)</f>
        <v/>
      </c>
      <c r="F1597">
        <f>IF(Skills!N8=TRUE,(Skills!L8/10)*(E1597/1000),Skills!L8/10)+Skills!O8</f>
        <v/>
      </c>
      <c r="G1597">
        <f>Skills!G8*IF(Skills!H8&gt;0,INT(IF(Inputs!$B$38="pvp",MIN(Skills!I8,15),Skills!I8)/Skills!H8+0.000000001),1)</f>
        <v/>
      </c>
      <c r="H1597">
        <f>1-(1-Skills!J8/100)^Skills!K8</f>
        <v/>
      </c>
      <c r="I1597" t="inlineStr">
        <is>
          <t>1</t>
        </is>
      </c>
      <c r="J1597">
        <f>((Inputs!$B$6*(1+Inputs!$B$7/100))+(((Inputs!$B$12*(1+Inputs!$B$13/100))-(Inputs!$B$12*(1+Inputs!$B$13/100)))+0.25*(Inputs!$B$14-Inputs!$B$14))*(1+Inputs!$B$7/100))*(F1597/100)</f>
        <v/>
      </c>
      <c r="K1597">
        <f>J1597*(1+((Inputs!$B$12*(1+Inputs!$B$13/100))*0.01+Inputs!$B$14*0.0025)/100)*(1+Inputs!$B$15/100)*(1+Inputs!$B$16/100)*(5000/(6000+Inputs!$B$42*(1-(100*(1-(1-(Inputs!$B$19+0)/100)*(1-CHOOSE(ArtifactsInput!$N$40+1,5,6,7,8,9,10)/100)^(ArtifactsInput!$M$40-ArtifactsInput!$M$40)))/100)))*(1+(Inputs!$B$24+((C1615=TRUE)*(F1615-Calc!F26))+B1626)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IGHT_LEGS_EASTON",Inputs!$B$17+((C1612=TRUE)*(F1612-Calc!F23))+((C1616=TRUE)*(F1616-Calc!F27))+((IF(AND(Inputs!$B$38&lt;&gt;"pvp",Inputs!$B$43=0),1,IF(IF(Inputs!$B$38="pvp",15,Inputs!$B$43)-(B1627)&lt;=0,1,MAX(0,IF(Inputs!$B$38="pvp",15,Inputs!$B$43)-MAX(5,B1627))/(IF(Inputs!$B$38="pvp",15,Inputs!$B$43)-(B1627))))*(IF(AND(ArtifactsInput!$M$42,((Inputs!$B$9+((C1608=TRUE)*(F1608-Calc!F19))+B1620+(ArtifactsInput!$M$24-ArtifactsInput!$M$24)*CHOOSE(ArtifactsInput!$N$24+1,10,12,14,16,18,20)+IF(ArtifactsInput!$M$10,CHOOSE(ArtifactsInput!$N$10+1,15,18,21,24,27,30)*(IF(Inputs!$B$38="pvp",MIN(15,15)/15,IF(AND(Inputs!$B$38&lt;&gt;"pvp",Inputs!$B$43&gt;0),MIN(15,Inputs!$B$43)/(Inputs!$B$43),0))),0)))&gt;=100),MIN(100,((Inputs!$B$9+((C1608=TRUE)*(F1608-Calc!F19))+B1620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1627)&lt;=0,1,MAX(0,IF(Inputs!$B$38="pvp",15,Inputs!$B$43)-MAX(5,B1627))/(IF(Inputs!$B$38="pvp",15,Inputs!$B$43)-(B1627))))*IF(AND(ArtifactsInput!$M$42,((Inputs!$B$9+((C1608=TRUE)*(F1608-Calc!F19))+B1620+(ArtifactsInput!$M$24-ArtifactsInput!$M$24)*CHOOSE(ArtifactsInput!$N$24+1,10,12,14,16,18,20)+IF(ArtifactsInput!$M$10,CHOOSE(ArtifactsInput!$N$10+1,15,18,21,24,27,30)*(IF(Inputs!$B$38="pvp",MIN(15,15)/15,IF(AND(Inputs!$B$38&lt;&gt;"pvp",Inputs!$B$43&gt;0),MIN(15,Inputs!$B$43)/(Inputs!$B$43),0))),0)))&gt;=100),CHOOSE(ArtifactsInput!$N$42+1,40,48,56,64,72,80),0))))/100)*((1+(((C1606=TRUE)*F1606*5/7)+((C1613=TRUE)*(F1613-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1597)</f>
        <v/>
      </c>
      <c r="L1597">
        <f>K1597*(MIN(Inputs!$B$22+((C1611=TRUE)*(F1611-Calc!F22)),(Inputs!$B$23+0+(IF(ArtifactsInput!$M$15,CHOOSE(ArtifactsInput!$N$15+1,25,30,35,40,45,50)/100*(Inputs!$B$11-Inputs!$B$11),0))))/100+(Inputs!$B$23+0+(IF(ArtifactsInput!$M$15,CHOOSE(ArtifactsInput!$N$15+1,25,30,35,40,45,50)/100*(Inputs!$B$11-Inputs!$B$11),0)))/100)/2</f>
        <v/>
      </c>
      <c r="M1597">
        <f>L1597*(1+(Inputs!$B$10+((C1614=TRUE)*(F1614-Calc!F25))+B1625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97">
        <f>L1597*(1-MIN((Inputs!$B$9+((C1608=TRUE)*(F1608-Calc!F19))+B1620+(ArtifactsInput!$M$24-ArtifactsInput!$M$24)*CHOOSE(ArtifactsInput!$N$24+1,10,12,14,16,18,20)+(IF(AND(Inputs!$B$38&lt;&gt;"pvp",Inputs!$B$43=0),1,IF(IF(Inputs!$B$38="pvp",15,Inputs!$B$43)-(B1627)&lt;=0,1,MAX(0,IF(Inputs!$B$38="pvp",15,Inputs!$B$43)-MAX(5,B1627))/(IF(Inputs!$B$38="pvp",15,Inputs!$B$43)-(B1627))))*IF(AND(ArtifactsInput!$M$42,((Inputs!$B$9+((C1608=TRUE)*(F1608-Calc!F19))+B1620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1597*(MIN((Inputs!$B$9+((C1608=TRUE)*(F1608-Calc!F19))+B1620+(ArtifactsInput!$M$24-ArtifactsInput!$M$24)*CHOOSE(ArtifactsInput!$N$24+1,10,12,14,16,18,20)+(IF(AND(Inputs!$B$38&lt;&gt;"pvp",Inputs!$B$43=0),1,IF(IF(Inputs!$B$38="pvp",15,Inputs!$B$43)-(B1627)&lt;=0,1,MAX(0,IF(Inputs!$B$38="pvp",15,Inputs!$B$43)-MAX(5,B1627))/(IF(Inputs!$B$38="pvp",15,Inputs!$B$43)-(B1627))))*IF(AND(ArtifactsInput!$M$42,((Inputs!$B$9+((C1608=TRUE)*(F1608-Calc!F19))+B1620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97">
        <f>(1-Summary!$B$11)*T1597+Summary!$B$11*V1597</f>
        <v/>
      </c>
      <c r="P1597">
        <f>IF(B1630=0,0,O1597/B1630)</f>
        <v/>
      </c>
      <c r="Q1597">
        <f>IFERROR(1/((IF(Inputs!$B$38="pvp",15,MAX(0.1,Skills!D8-IF(TRUE=TRUE,Inputs!$B$32,0)))*(1-IF(AND(ArtifactsInput!$M$27,Inputs!$B$4="Chapter Hunt"),CHOOSE(ArtifactsInput!$N$27+1,20,24,28,32,36,40),0)/100))/B1631),0)</f>
        <v/>
      </c>
      <c r="R1597">
        <f>IF(AND(Inputs!$B$38&lt;&gt;"pvp",Inputs!$B$43&gt;0),IF(MAX(0,Inputs!$B$43-B1627)&lt;=0,0,(INT(MAX(0,Inputs!$B$43-B1627)/((IF(Inputs!$B$38="pvp",15,MAX(0.1,Skills!D8-IF(TRUE=TRUE,Inputs!$B$32,0)))*(1-IF(AND(ArtifactsInput!$M$27,Inputs!$B$4="Chapter Hunt"),CHOOSE(ArtifactsInput!$N$27+1,20,24,28,32,36,40),0)/100))/B1631))+1)),0)</f>
        <v/>
      </c>
      <c r="S1597">
        <f>IFERROR(O1597/N1597,0)</f>
        <v/>
      </c>
      <c r="T1597">
        <f>IF(C1597,(H1597*N1597*IF(AND(Inputs!$B$38&lt;&gt;"pvp",Inputs!$B$43&gt;0),((Skills!G8*((R1597-1)*IF(Skills!H8&gt;0,INT(Skills!I8/Skills!H8+0.000000001),1)+IF(Skills!H8&gt;0,INT(MIN(Skills!I8,MAX(0,MAX(0,Inputs!$B$43-B1627)-((R1597-1)*((IF(Inputs!$B$38="pvp",15,MAX(0.1,Skills!D8-IF(TRUE=TRUE,Inputs!$B$32,0)))*(1-IF(AND(ArtifactsInput!$M$27,Inputs!$B$4="Chapter Hunt"),CHOOSE(ArtifactsInput!$N$27+1,20,24,28,32,36,40),0)/100))/B1631))))/Skills!H8+0.000000001),1)))/Inputs!$B$43),G1597*Q1597))*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Hunt"),CHOOSE(ArtifactsInput!$N$35+1,15,18,21,24,27,30)*(1-EXP(-(0.2*B1622)*5)),0)+IF(AND(ArtifactsInput!$M$22,Inputs!$B$4&lt;&gt;"Chapter Hunt"),CHOOSE(ArtifactsInput!$N$22+1,10,12,14,16,18,20)*((0*(((0.15*B1622*5))^0/1)+1*(((0.15*B1622*5))^1/1)+2*(((0.15*B1622*5))^2/2)+3*(((0.15*B1622*5))^3/6)+4*(((0.15*B1622*5))^4/24)+5*(((0.15*B1622*5))^5/120))/((((0.15*B1622*5))^0/1)+(((0.15*B1622*5))^1/1)+(((0.15*B1622*5))^2/2)+(((0.15*B1622*5))^3/6)+(((0.15*B1622*5))^4/24)+(((0.15*B1622*5))^5/120))),0))+IF(Inputs!$B$3&gt;=54,9*(C1592=TRUE)*MIN(1,8*(1+Inputs!$B$34/100)*Q1592)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1597*(1-MIN(100,(Inputs!$B$9+((C1608=TRUE)*(F1608-Calc!F19))+B1620+(ArtifactsInput!$M$24-ArtifactsInput!$M$24)*CHOOSE(ArtifactsInput!$N$24+1,10,12,14,16,18,20)+(IF(AND(Inputs!$B$38&lt;&gt;"pvp",Inputs!$B$43=0),1,IF(IF(Inputs!$B$38="pvp",15,Inputs!$B$43)-(B1627)&lt;=0,1,MAX(0,IF(Inputs!$B$38="pvp",15,Inputs!$B$43)-MAX(5,B1627))/(IF(Inputs!$B$38="pvp",15,Inputs!$B$43)-(B1627))))*IF(AND(ArtifactsInput!$M$42,((Inputs!$B$9+((C1608=TRUE)*(F1608-Calc!F19))+B1620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1597*(MIN(100,(Inputs!$B$9+((C1608=TRUE)*(F1608-Calc!F19))+B1620+(ArtifactsInput!$M$24-ArtifactsInput!$M$24)*CHOOSE(ArtifactsInput!$N$24+1,10,12,14,16,18,20)+(IF(AND(Inputs!$B$38&lt;&gt;"pvp",Inputs!$B$43=0),1,IF(IF(Inputs!$B$38="pvp",15,Inputs!$B$43)-(B1627)&lt;=0,1,MAX(0,IF(Inputs!$B$38="pvp",15,Inputs!$B$43)-MAX(5,B1627))/(IF(Inputs!$B$38="pvp",15,Inputs!$B$43)-(B1627))))*IF(AND(ArtifactsInput!$M$42,((Inputs!$B$9+((C1608=TRUE)*(F1608-Calc!F19))+B1620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1597*(1-MIN(100,(Inputs!$B$9+((C1608=TRUE)*(F1608-Calc!F19))+B1620+(ArtifactsInput!$M$24-ArtifactsInput!$M$24)*CHOOSE(ArtifactsInput!$N$24+1,10,12,14,16,18,20)+(IF(AND(Inputs!$B$38&lt;&gt;"pvp",Inputs!$B$43=0),1,IF(IF(Inputs!$B$38="pvp",15,Inputs!$B$43)-(B1627)&lt;=0,1,MAX(0,IF(Inputs!$B$38="pvp",15,Inputs!$B$43)-MAX(5,B1627))/(IF(Inputs!$B$38="pvp",15,Inputs!$B$43)-(B1627))))*IF(AND(ArtifactsInput!$M$42,((Inputs!$B$9+((C1608=TRUE)*(F1608-Calc!F19))+B1620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1597*(MIN(100,(Inputs!$B$9+((C1608=TRUE)*(F1608-Calc!F19))+B1620+(ArtifactsInput!$M$24-ArtifactsInput!$M$24)*CHOOSE(ArtifactsInput!$N$24+1,10,12,14,16,18,20)+(IF(AND(Inputs!$B$38&lt;&gt;"pvp",Inputs!$B$43=0),1,IF(IF(Inputs!$B$38="pvp",15,Inputs!$B$43)-(B1627)&lt;=0,1,MAX(0,IF(Inputs!$B$38="pvp",15,Inputs!$B$43)-MAX(5,B1627))/(IF(Inputs!$B$38="pvp",15,Inputs!$B$43)-(B1627))))*IF(AND(ArtifactsInput!$M$42,((Inputs!$B$9+((C1608=TRUE)*(F1608-Calc!F19))+B1620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597">
        <f>IF(C1597,(H1597*N1597*IF(AND(Inputs!$B$38&lt;&gt;"pvp",Inputs!$B$43&gt;0),((Skills!G8*((R1597-1)*IF(Skills!H8&gt;0,INT(Skills!I8/Skills!H8+0.000000001),1)+IF(Skills!H8&gt;0,INT(MIN(Skills!I8,MAX(0,MAX(0,Inputs!$B$43-B1627)-((R1597-1)*((IF(Inputs!$B$38="pvp",15,MAX(0.1,Skills!D8-IF(TRUE=TRUE,Inputs!$B$32,0)))*(1-IF(AND(ArtifactsInput!$M$27,Inputs!$B$4="Chapter Hunt"),CHOOSE(ArtifactsInput!$N$27+1,20,24,28,32,36,40),0)/100))/B1631))))/Skills!H8+0.000000001),1)))/Inputs!$B$43),G1597*Q1597))*IF(Inputs!$B$38="pvp",1,(1+(Inputs!$B$21+Skills!Q8+(IF(ArtifactsInput!$M$33,CHOOSE(ArtifactsInput!$N$33+1,30,36,42,48,54,60),0))+(IF(AND(ArtifactsInput!$M$35,Inputs!$B$4&lt;&gt;"Chapter Hunt"),CHOOSE(ArtifactsInput!$N$35+1,15,18,21,24,27,30)*(1-EXP(-(0.2*B1622)*5)),0)+IF(AND(ArtifactsInput!$M$22,Inputs!$B$4&lt;&gt;"Chapter Hunt"),CHOOSE(ArtifactsInput!$N$22+1,10,12,14,16,18,20)*((0*(((0.15*B1622*5))^0/1)+1*(((0.15*B1622*5))^1/1)+2*(((0.15*B1622*5))^2/2)+3*(((0.15*B1622*5))^3/6)+4*(((0.15*B1622*5))^4/24)+5*(((0.15*B1622*5))^5/120))/((((0.15*B1622*5))^0/1)+(((0.15*B1622*5))^1/1)+(((0.15*B1622*5))^2/2)+(((0.15*B1622*5))^3/6)+(((0.15*B1622*5))^4/24)+(((0.15*B1622*5))^5/120))),0))+IF(Inputs!$B$3&gt;=54,9*(C1592=TRUE)*MIN(1,8*(1+Inputs!$B$34/100)*Q1592),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98">
      <c r="A1598">
        <f>Skills!A9</f>
        <v/>
      </c>
      <c r="B1598">
        <f>Skills!B9</f>
        <v/>
      </c>
      <c r="C1598">
        <f>Inputs!$B$3&gt;=105</f>
        <v/>
      </c>
      <c r="D1598">
        <f>IF(Skills!C9=1,60+Inputs!$B$25+Inputs!$B$29,IF(Skills!C9=2,90+Inputs!$B$26+Inputs!$B$29,IF(Skills!C9=3,120+Inputs!$B$27+Inputs!$B$29,MAX(0,(Inputs!$B$3-100)*3)+Inputs!$B$28+Inputs!$B$29)))</f>
        <v/>
      </c>
      <c r="E1598">
        <f>INDEX(FactorTable!$B$2:$Y$301, MATCH(ROUND(MIN(300,MAX(1,D1598)),0), FactorTable!$A$2:$A$301,0), Skills!M9+1)</f>
        <v/>
      </c>
      <c r="F1598">
        <f>IF(Skills!N9=TRUE,(Skills!L9/10)*(E1598/1000),Skills!L9/10)+Skills!O9</f>
        <v/>
      </c>
      <c r="G1598">
        <f>Skills!G9*IF(Skills!H9&gt;0,INT(IF(Inputs!$B$38="pvp",MIN(Skills!I9,15),Skills!I9)/Skills!H9+0.000000001),1)</f>
        <v/>
      </c>
      <c r="H1598">
        <f>1-(1-Skills!J9/100)^Skills!K9</f>
        <v/>
      </c>
      <c r="I1598" t="inlineStr">
        <is>
          <t>1</t>
        </is>
      </c>
      <c r="J1598">
        <f>((Inputs!$B$6*(1+Inputs!$B$7/100))+(((Inputs!$B$12*(1+Inputs!$B$13/100))-(Inputs!$B$12*(1+Inputs!$B$13/100)))+0.25*(Inputs!$B$14-Inputs!$B$14))*(1+Inputs!$B$7/100))*(F1598/100)</f>
        <v/>
      </c>
      <c r="K1598">
        <f>J1598*(1+((Inputs!$B$12*(1+Inputs!$B$13/100))*0.01+Inputs!$B$14*0.0025)/100)*(1+Inputs!$B$15/100)*(1+Inputs!$B$16/100)*(5000/(6000+Inputs!$B$42*(1-(100*(1-(1-(Inputs!$B$19+0)/100)*(1-CHOOSE(ArtifactsInput!$N$40+1,5,6,7,8,9,10)/100)^(ArtifactsInput!$M$40-ArtifactsInput!$M$40)))/100)))*(1+(Inputs!$B$24+((C1615=TRUE)*(F1615-Calc!F26))+B1626)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IGHT_LEGS_EASTON",Inputs!$B$17+((C1612=TRUE)*(F1612-Calc!F23))+((C1616=TRUE)*(F1616-Calc!F27))+((IF(AND(Inputs!$B$38&lt;&gt;"pvp",Inputs!$B$43=0),1,IF(IF(Inputs!$B$38="pvp",15,Inputs!$B$43)-(B1627)&lt;=0,1,MAX(0,IF(Inputs!$B$38="pvp",15,Inputs!$B$43)-MAX(5,B1627))/(IF(Inputs!$B$38="pvp",15,Inputs!$B$43)-(B1627))))*(IF(AND(ArtifactsInput!$M$42,((Inputs!$B$9+((C1608=TRUE)*(F1608-Calc!F19))+B1620+(ArtifactsInput!$M$24-ArtifactsInput!$M$24)*CHOOSE(ArtifactsInput!$N$24+1,10,12,14,16,18,20)+IF(ArtifactsInput!$M$10,CHOOSE(ArtifactsInput!$N$10+1,15,18,21,24,27,30)*(IF(Inputs!$B$38="pvp",MIN(15,15)/15,IF(AND(Inputs!$B$38&lt;&gt;"pvp",Inputs!$B$43&gt;0),MIN(15,Inputs!$B$43)/(Inputs!$B$43),0))),0)))&gt;=100),MIN(100,((Inputs!$B$9+((C1608=TRUE)*(F1608-Calc!F19))+B1620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1627)&lt;=0,1,MAX(0,IF(Inputs!$B$38="pvp",15,Inputs!$B$43)-MAX(5,B1627))/(IF(Inputs!$B$38="pvp",15,Inputs!$B$43)-(B1627))))*IF(AND(ArtifactsInput!$M$42,((Inputs!$B$9+((C1608=TRUE)*(F1608-Calc!F19))+B1620+(ArtifactsInput!$M$24-ArtifactsInput!$M$24)*CHOOSE(ArtifactsInput!$N$24+1,10,12,14,16,18,20)+IF(ArtifactsInput!$M$10,CHOOSE(ArtifactsInput!$N$10+1,15,18,21,24,27,30)*(IF(Inputs!$B$38="pvp",MIN(15,15)/15,IF(AND(Inputs!$B$38&lt;&gt;"pvp",Inputs!$B$43&gt;0),MIN(15,Inputs!$B$43)/(Inputs!$B$43),0))),0)))&gt;=100),CHOOSE(ArtifactsInput!$N$42+1,40,48,56,64,72,80),0))))/100)*((1+(((C1606=TRUE)*F1606*5/7)+((C1613=TRUE)*(F1613-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1598)</f>
        <v/>
      </c>
      <c r="L1598">
        <f>K1598*(MIN(Inputs!$B$22+((C1611=TRUE)*(F1611-Calc!F22)),(Inputs!$B$23+0+(IF(ArtifactsInput!$M$15,CHOOSE(ArtifactsInput!$N$15+1,25,30,35,40,45,50)/100*(Inputs!$B$11-Inputs!$B$11),0))))/100+(Inputs!$B$23+0+(IF(ArtifactsInput!$M$15,CHOOSE(ArtifactsInput!$N$15+1,25,30,35,40,45,50)/100*(Inputs!$B$11-Inputs!$B$11),0)))/100)/2</f>
        <v/>
      </c>
      <c r="M1598">
        <f>L1598*(1+(Inputs!$B$10+((C1614=TRUE)*(F1614-Calc!F25))+B1625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98">
        <f>L1598*(1-MIN((Inputs!$B$9+((C1608=TRUE)*(F1608-Calc!F19))+B1620+(ArtifactsInput!$M$24-ArtifactsInput!$M$24)*CHOOSE(ArtifactsInput!$N$24+1,10,12,14,16,18,20)+(IF(AND(Inputs!$B$38&lt;&gt;"pvp",Inputs!$B$43=0),1,IF(IF(Inputs!$B$38="pvp",15,Inputs!$B$43)-(B1627)&lt;=0,1,MAX(0,IF(Inputs!$B$38="pvp",15,Inputs!$B$43)-MAX(5,B1627))/(IF(Inputs!$B$38="pvp",15,Inputs!$B$43)-(B1627))))*IF(AND(ArtifactsInput!$M$42,((Inputs!$B$9+((C1608=TRUE)*(F1608-Calc!F19))+B1620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1598*(MIN((Inputs!$B$9+((C1608=TRUE)*(F1608-Calc!F19))+B1620+(ArtifactsInput!$M$24-ArtifactsInput!$M$24)*CHOOSE(ArtifactsInput!$N$24+1,10,12,14,16,18,20)+(IF(AND(Inputs!$B$38&lt;&gt;"pvp",Inputs!$B$43=0),1,IF(IF(Inputs!$B$38="pvp",15,Inputs!$B$43)-(B1627)&lt;=0,1,MAX(0,IF(Inputs!$B$38="pvp",15,Inputs!$B$43)-MAX(5,B1627))/(IF(Inputs!$B$38="pvp",15,Inputs!$B$43)-(B1627))))*IF(AND(ArtifactsInput!$M$42,((Inputs!$B$9+((C1608=TRUE)*(F1608-Calc!F19))+B1620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98">
        <f>(1-Summary!$B$11)*T1598+Summary!$B$11*V1598</f>
        <v/>
      </c>
      <c r="P1598">
        <f>IF(B1630=0,0,O1598/B1630)</f>
        <v/>
      </c>
      <c r="Q1598">
        <f>IFERROR(1/(IF(Inputs!$B$38="pvp",15,MAX(0.1,Skills!D9-IF(TRUE=TRUE,Inputs!$B$32,0)))*(1-IF(AND(ArtifactsInput!$M$27,Inputs!$B$4="Chapter Hunt"),CHOOSE(ArtifactsInput!$N$27+1,20,24,28,32,36,40),0)/100)),0)</f>
        <v/>
      </c>
      <c r="R1598">
        <f>IF(AND(Inputs!$B$38&lt;&gt;"pvp",Inputs!$B$43&gt;0),IF(MAX(0,Inputs!$B$43-B1627)&lt;=0,0,(INT(MAX(0,Inputs!$B$43-B1627)/(IF(Inputs!$B$38="pvp",15,MAX(0.1,Skills!D9-IF(TRUE=TRUE,Inputs!$B$32,0)))*(1-IF(AND(ArtifactsInput!$M$27,Inputs!$B$4="Chapter Hunt"),CHOOSE(ArtifactsInput!$N$27+1,20,24,28,32,36,40),0)/100)))+1)),0)</f>
        <v/>
      </c>
      <c r="S1598">
        <f>IFERROR(O1598/N1598,0)</f>
        <v/>
      </c>
      <c r="T1598">
        <f>IF(C1598,(H1598*N1598*IF(AND(Inputs!$B$38&lt;&gt;"pvp",Inputs!$B$43&gt;0),((Skills!G9*((R1598-1)*IF(Skills!H9&gt;0,INT(Skills!I9/Skills!H9+0.000000001),1)+IF(Skills!H9&gt;0,INT(MIN(Skills!I9,MAX(0,MAX(0,Inputs!$B$43-B1627)-((R1598-1)*(IF(Inputs!$B$38="pvp",15,MAX(0.1,Skills!D9-IF(TRUE=TRUE,Inputs!$B$32,0)))*(1-IF(AND(ArtifactsInput!$M$27,Inputs!$B$4="Chapter Hunt"),CHOOSE(ArtifactsInput!$N$27+1,20,24,28,32,36,40),0)/100)))))/Skills!H9+0.000000001),1)))/Inputs!$B$43),G1598*Q1598))*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Hunt"),CHOOSE(ArtifactsInput!$N$35+1,15,18,21,24,27,30)*(1-EXP(-(0.2*B1622)*5)),0)+IF(AND(ArtifactsInput!$M$22,Inputs!$B$4&lt;&gt;"Chapter Hunt"),CHOOSE(ArtifactsInput!$N$22+1,10,12,14,16,18,20)*((0*(((0.15*B1622*5))^0/1)+1*(((0.15*B1622*5))^1/1)+2*(((0.15*B1622*5))^2/2)+3*(((0.15*B1622*5))^3/6)+4*(((0.15*B1622*5))^4/24)+5*(((0.15*B1622*5))^5/120))/((((0.15*B1622*5))^0/1)+(((0.15*B1622*5))^1/1)+(((0.15*B1622*5))^2/2)+(((0.15*B1622*5))^3/6)+(((0.15*B1622*5))^4/24)+(((0.15*B1622*5))^5/120))),0))+IF(Inputs!$B$3&gt;=54,9*(C1592=TRUE)*MIN(1,8*(1+Inputs!$B$34/100)*Q1592)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1598*(1-MIN(100,(Inputs!$B$9+((C1608=TRUE)*(F1608-Calc!F19))+B1620+(ArtifactsInput!$M$24-ArtifactsInput!$M$24)*CHOOSE(ArtifactsInput!$N$24+1,10,12,14,16,18,20)+(IF(AND(Inputs!$B$38&lt;&gt;"pvp",Inputs!$B$43=0),1,IF(IF(Inputs!$B$38="pvp",15,Inputs!$B$43)-(B1627)&lt;=0,1,MAX(0,IF(Inputs!$B$38="pvp",15,Inputs!$B$43)-MAX(5,B1627))/(IF(Inputs!$B$38="pvp",15,Inputs!$B$43)-(B1627))))*IF(AND(ArtifactsInput!$M$42,((Inputs!$B$9+((C1608=TRUE)*(F1608-Calc!F19))+B1620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1598*(MIN(100,(Inputs!$B$9+((C1608=TRUE)*(F1608-Calc!F19))+B1620+(ArtifactsInput!$M$24-ArtifactsInput!$M$24)*CHOOSE(ArtifactsInput!$N$24+1,10,12,14,16,18,20)+(IF(AND(Inputs!$B$38&lt;&gt;"pvp",Inputs!$B$43=0),1,IF(IF(Inputs!$B$38="pvp",15,Inputs!$B$43)-(B1627)&lt;=0,1,MAX(0,IF(Inputs!$B$38="pvp",15,Inputs!$B$43)-MAX(5,B1627))/(IF(Inputs!$B$38="pvp",15,Inputs!$B$43)-(B1627))))*IF(AND(ArtifactsInput!$M$42,((Inputs!$B$9+((C1608=TRUE)*(F1608-Calc!F19))+B1620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1598*(1-MIN(100,(Inputs!$B$9+((C1608=TRUE)*(F1608-Calc!F19))+B1620+(ArtifactsInput!$M$24-ArtifactsInput!$M$24)*CHOOSE(ArtifactsInput!$N$24+1,10,12,14,16,18,20)+(IF(AND(Inputs!$B$38&lt;&gt;"pvp",Inputs!$B$43=0),1,IF(IF(Inputs!$B$38="pvp",15,Inputs!$B$43)-(B1627)&lt;=0,1,MAX(0,IF(Inputs!$B$38="pvp",15,Inputs!$B$43)-MAX(5,B1627))/(IF(Inputs!$B$38="pvp",15,Inputs!$B$43)-(B1627))))*IF(AND(ArtifactsInput!$M$42,((Inputs!$B$9+((C1608=TRUE)*(F1608-Calc!F19))+B1620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1598*(MIN(100,(Inputs!$B$9+((C1608=TRUE)*(F1608-Calc!F19))+B1620+(ArtifactsInput!$M$24-ArtifactsInput!$M$24)*CHOOSE(ArtifactsInput!$N$24+1,10,12,14,16,18,20)+(IF(AND(Inputs!$B$38&lt;&gt;"pvp",Inputs!$B$43=0),1,IF(IF(Inputs!$B$38="pvp",15,Inputs!$B$43)-(B1627)&lt;=0,1,MAX(0,IF(Inputs!$B$38="pvp",15,Inputs!$B$43)-MAX(5,B1627))/(IF(Inputs!$B$38="pvp",15,Inputs!$B$43)-(B1627))))*IF(AND(ArtifactsInput!$M$42,((Inputs!$B$9+((C1608=TRUE)*(F1608-Calc!F19))+B1620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598">
        <f>IF(C1598,(H1598*N1598*IF(AND(Inputs!$B$38&lt;&gt;"pvp",Inputs!$B$43&gt;0),((Skills!G9*((R1598-1)*IF(Skills!H9&gt;0,INT(Skills!I9/Skills!H9+0.000000001),1)+IF(Skills!H9&gt;0,INT(MIN(Skills!I9,MAX(0,MAX(0,Inputs!$B$43-B1627)-((R1598-1)*(IF(Inputs!$B$38="pvp",15,MAX(0.1,Skills!D9-IF(TRUE=TRUE,Inputs!$B$32,0)))*(1-IF(AND(ArtifactsInput!$M$27,Inputs!$B$4="Chapter Hunt"),CHOOSE(ArtifactsInput!$N$27+1,20,24,28,32,36,40),0)/100)))))/Skills!H9+0.000000001),1)))/Inputs!$B$43),G1598*Q1598))*IF(Inputs!$B$38="pvp",1,(1+(Inputs!$B$21+Skills!Q9+(IF(ArtifactsInput!$M$33,CHOOSE(ArtifactsInput!$N$33+1,30,36,42,48,54,60),0))+(IF(AND(ArtifactsInput!$M$35,Inputs!$B$4&lt;&gt;"Chapter Hunt"),CHOOSE(ArtifactsInput!$N$35+1,15,18,21,24,27,30)*(1-EXP(-(0.2*B1622)*5)),0)+IF(AND(ArtifactsInput!$M$22,Inputs!$B$4&lt;&gt;"Chapter Hunt"),CHOOSE(ArtifactsInput!$N$22+1,10,12,14,16,18,20)*((0*(((0.15*B1622*5))^0/1)+1*(((0.15*B1622*5))^1/1)+2*(((0.15*B1622*5))^2/2)+3*(((0.15*B1622*5))^3/6)+4*(((0.15*B1622*5))^4/24)+5*(((0.15*B1622*5))^5/120))/((((0.15*B1622*5))^0/1)+(((0.15*B1622*5))^1/1)+(((0.15*B1622*5))^2/2)+(((0.15*B1622*5))^3/6)+(((0.15*B1622*5))^4/24)+(((0.15*B1622*5))^5/120))),0))+IF(Inputs!$B$3&gt;=54,9*(C1592=TRUE)*MIN(1,8*(1+Inputs!$B$34/100)*Q1592),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99">
      <c r="A1599">
        <f>Skills!A10</f>
        <v/>
      </c>
      <c r="B1599">
        <f>Skills!B10</f>
        <v/>
      </c>
      <c r="C1599">
        <f>Inputs!$B$3&gt;=113</f>
        <v/>
      </c>
      <c r="D1599">
        <f>IF(Skills!C10=1,60+Inputs!$B$25+Inputs!$B$29,IF(Skills!C10=2,90+Inputs!$B$26+Inputs!$B$29,IF(Skills!C10=3,120+Inputs!$B$27+Inputs!$B$29,MAX(0,(Inputs!$B$3-100)*3)+Inputs!$B$28+Inputs!$B$29)))</f>
        <v/>
      </c>
      <c r="E1599">
        <f>INDEX(FactorTable!$B$2:$Y$301, MATCH(ROUND(MIN(300,MAX(1,D1599)),0), FactorTable!$A$2:$A$301,0), Skills!M10+1)</f>
        <v/>
      </c>
      <c r="F1599">
        <f>IF(Skills!N10=TRUE,(Skills!L10/10)*(E1599/1000),Skills!L10/10)+Skills!O10</f>
        <v/>
      </c>
      <c r="G1599">
        <f>Skills!G10*IF(Skills!H10&gt;0,INT(IF(Inputs!$B$38="pvp",MIN(Skills!I10,15),Skills!I10)/Skills!H10+0.000000001),1)</f>
        <v/>
      </c>
      <c r="H1599">
        <f>1-(1-Skills!J10/100)^Skills!K10</f>
        <v/>
      </c>
      <c r="I1599" t="inlineStr">
        <is>
          <t>1</t>
        </is>
      </c>
      <c r="J1599">
        <f>((Inputs!$B$6*(1+Inputs!$B$7/100))+(((Inputs!$B$12*(1+Inputs!$B$13/100))-(Inputs!$B$12*(1+Inputs!$B$13/100)))+0.25*(Inputs!$B$14-Inputs!$B$14))*(1+Inputs!$B$7/100))*(F1599/100)</f>
        <v/>
      </c>
      <c r="K1599">
        <f>J1599*(1+((Inputs!$B$12*(1+Inputs!$B$13/100))*0.01+Inputs!$B$14*0.0025)/100)*(1+Inputs!$B$15/100)*(1+Inputs!$B$16/100)*(5000/(6000+Inputs!$B$42*(1-(100*(1-(1-(Inputs!$B$19+0)/100)*(1-CHOOSE(ArtifactsInput!$N$40+1,5,6,7,8,9,10)/100)^(ArtifactsInput!$M$40-ArtifactsInput!$M$40)))/100)))*(1+(Inputs!$B$24+((C1615=TRUE)*(F1615-Calc!F26))+B1626)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IGHT_LEGS_EASTON",Inputs!$B$17+((C1612=TRUE)*(F1612-Calc!F23))+((C1616=TRUE)*(F1616-Calc!F27))+((IF(AND(Inputs!$B$38&lt;&gt;"pvp",Inputs!$B$43=0),1,IF(IF(Inputs!$B$38="pvp",15,Inputs!$B$43)-(B1627)&lt;=0,1,MAX(0,IF(Inputs!$B$38="pvp",15,Inputs!$B$43)-MAX(5,B1627))/(IF(Inputs!$B$38="pvp",15,Inputs!$B$43)-(B1627))))*(IF(AND(ArtifactsInput!$M$42,((Inputs!$B$9+((C1608=TRUE)*(F1608-Calc!F19))+B1620+(ArtifactsInput!$M$24-ArtifactsInput!$M$24)*CHOOSE(ArtifactsInput!$N$24+1,10,12,14,16,18,20)+IF(ArtifactsInput!$M$10,CHOOSE(ArtifactsInput!$N$10+1,15,18,21,24,27,30)*(IF(Inputs!$B$38="pvp",MIN(15,15)/15,IF(AND(Inputs!$B$38&lt;&gt;"pvp",Inputs!$B$43&gt;0),MIN(15,Inputs!$B$43)/(Inputs!$B$43),0))),0)))&gt;=100),MIN(100,((Inputs!$B$9+((C1608=TRUE)*(F1608-Calc!F19))+B1620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1627)&lt;=0,1,MAX(0,IF(Inputs!$B$38="pvp",15,Inputs!$B$43)-MAX(5,B1627))/(IF(Inputs!$B$38="pvp",15,Inputs!$B$43)-(B1627))))*IF(AND(ArtifactsInput!$M$42,((Inputs!$B$9+((C1608=TRUE)*(F1608-Calc!F19))+B1620+(ArtifactsInput!$M$24-ArtifactsInput!$M$24)*CHOOSE(ArtifactsInput!$N$24+1,10,12,14,16,18,20)+IF(ArtifactsInput!$M$10,CHOOSE(ArtifactsInput!$N$10+1,15,18,21,24,27,30)*(IF(Inputs!$B$38="pvp",MIN(15,15)/15,IF(AND(Inputs!$B$38&lt;&gt;"pvp",Inputs!$B$43&gt;0),MIN(15,Inputs!$B$43)/(Inputs!$B$43),0))),0)))&gt;=100),CHOOSE(ArtifactsInput!$N$42+1,40,48,56,64,72,80),0))))/100)*((1+(((C1606=TRUE)*F1606*5/7)+((C1613=TRUE)*(F1613-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1599)</f>
        <v/>
      </c>
      <c r="L1599">
        <f>K1599*(MIN(Inputs!$B$22+((C1611=TRUE)*(F1611-Calc!F22)),(Inputs!$B$23+0+(IF(ArtifactsInput!$M$15,CHOOSE(ArtifactsInput!$N$15+1,25,30,35,40,45,50)/100*(Inputs!$B$11-Inputs!$B$11),0))))/100+(Inputs!$B$23+0+(IF(ArtifactsInput!$M$15,CHOOSE(ArtifactsInput!$N$15+1,25,30,35,40,45,50)/100*(Inputs!$B$11-Inputs!$B$11),0)))/100)/2</f>
        <v/>
      </c>
      <c r="M1599">
        <f>L1599*(1+(Inputs!$B$10+((C1614=TRUE)*(F1614-Calc!F25))+B1625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99">
        <f>L1599*(1-MIN((Inputs!$B$9+((C1608=TRUE)*(F1608-Calc!F19))+B1620+(ArtifactsInput!$M$24-ArtifactsInput!$M$24)*CHOOSE(ArtifactsInput!$N$24+1,10,12,14,16,18,20)+(IF(AND(Inputs!$B$38&lt;&gt;"pvp",Inputs!$B$43=0),1,IF(IF(Inputs!$B$38="pvp",15,Inputs!$B$43)-(B1627)&lt;=0,1,MAX(0,IF(Inputs!$B$38="pvp",15,Inputs!$B$43)-MAX(5,B1627))/(IF(Inputs!$B$38="pvp",15,Inputs!$B$43)-(B1627))))*IF(AND(ArtifactsInput!$M$42,((Inputs!$B$9+((C1608=TRUE)*(F1608-Calc!F19))+B1620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1599*(MIN((Inputs!$B$9+((C1608=TRUE)*(F1608-Calc!F19))+B1620+(ArtifactsInput!$M$24-ArtifactsInput!$M$24)*CHOOSE(ArtifactsInput!$N$24+1,10,12,14,16,18,20)+(IF(AND(Inputs!$B$38&lt;&gt;"pvp",Inputs!$B$43=0),1,IF(IF(Inputs!$B$38="pvp",15,Inputs!$B$43)-(B1627)&lt;=0,1,MAX(0,IF(Inputs!$B$38="pvp",15,Inputs!$B$43)-MAX(5,B1627))/(IF(Inputs!$B$38="pvp",15,Inputs!$B$43)-(B1627))))*IF(AND(ArtifactsInput!$M$42,((Inputs!$B$9+((C1608=TRUE)*(F1608-Calc!F19))+B1620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99">
        <f>(1-Summary!$B$11)*T1599+Summary!$B$11*V1599</f>
        <v/>
      </c>
      <c r="P1599">
        <f>IF(B1630=0,0,O1599/B1630)</f>
        <v/>
      </c>
      <c r="Q1599" t="n">
        <v>0</v>
      </c>
      <c r="R1599" t="n">
        <v>0</v>
      </c>
      <c r="S1599">
        <f>IFERROR(O1599/N1599,0)</f>
        <v/>
      </c>
      <c r="T1599">
        <f>IF(C1599,((H1599*B1632)/(1+Skills!H10*H1599*B1632)*N1599)*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Hunt"),CHOOSE(ArtifactsInput!$N$35+1,15,18,21,24,27,30)*(1-EXP(-(0.2*B1622)*5)),0)+IF(AND(ArtifactsInput!$M$22,Inputs!$B$4&lt;&gt;"Chapter Hunt"),CHOOSE(ArtifactsInput!$N$22+1,10,12,14,16,18,20)*((0*(((0.15*B1622*5))^0/1)+1*(((0.15*B1622*5))^1/1)+2*(((0.15*B1622*5))^2/2)+3*(((0.15*B1622*5))^3/6)+4*(((0.15*B1622*5))^4/24)+5*(((0.15*B1622*5))^5/120))/((((0.15*B1622*5))^0/1)+(((0.15*B1622*5))^1/1)+(((0.15*B1622*5))^2/2)+(((0.15*B1622*5))^3/6)+(((0.15*B1622*5))^4/24)+(((0.15*B1622*5))^5/120))),0))+IF(Inputs!$B$3&gt;=54,9*(C1592=TRUE)*MIN(1,8*(1+Inputs!$B$34/100)*Q1592)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1599*(1-MIN(100,(Inputs!$B$9+((C1608=TRUE)*(F1608-Calc!F19))+B1620+(ArtifactsInput!$M$24-ArtifactsInput!$M$24)*CHOOSE(ArtifactsInput!$N$24+1,10,12,14,16,18,20)+(IF(AND(Inputs!$B$38&lt;&gt;"pvp",Inputs!$B$43=0),1,IF(IF(Inputs!$B$38="pvp",15,Inputs!$B$43)-(B1627)&lt;=0,1,MAX(0,IF(Inputs!$B$38="pvp",15,Inputs!$B$43)-MAX(5,B1627))/(IF(Inputs!$B$38="pvp",15,Inputs!$B$43)-(B1627))))*IF(AND(ArtifactsInput!$M$42,((Inputs!$B$9+((C1608=TRUE)*(F1608-Calc!F19))+B1620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1599*(MIN(100,(Inputs!$B$9+((C1608=TRUE)*(F1608-Calc!F19))+B1620+(ArtifactsInput!$M$24-ArtifactsInput!$M$24)*CHOOSE(ArtifactsInput!$N$24+1,10,12,14,16,18,20)+(IF(AND(Inputs!$B$38&lt;&gt;"pvp",Inputs!$B$43=0),1,IF(IF(Inputs!$B$38="pvp",15,Inputs!$B$43)-(B1627)&lt;=0,1,MAX(0,IF(Inputs!$B$38="pvp",15,Inputs!$B$43)-MAX(5,B1627))/(IF(Inputs!$B$38="pvp",15,Inputs!$B$43)-(B1627))))*IF(AND(ArtifactsInput!$M$42,((Inputs!$B$9+((C1608=TRUE)*(F1608-Calc!F19))+B1620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1599*(1-MIN(100,(Inputs!$B$9+((C1608=TRUE)*(F1608-Calc!F19))+B1620+(ArtifactsInput!$M$24-ArtifactsInput!$M$24)*CHOOSE(ArtifactsInput!$N$24+1,10,12,14,16,18,20)+(IF(AND(Inputs!$B$38&lt;&gt;"pvp",Inputs!$B$43=0),1,IF(IF(Inputs!$B$38="pvp",15,Inputs!$B$43)-(B1627)&lt;=0,1,MAX(0,IF(Inputs!$B$38="pvp",15,Inputs!$B$43)-MAX(5,B1627))/(IF(Inputs!$B$38="pvp",15,Inputs!$B$43)-(B1627))))*IF(AND(ArtifactsInput!$M$42,((Inputs!$B$9+((C1608=TRUE)*(F1608-Calc!F19))+B1620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1599*(MIN(100,(Inputs!$B$9+((C1608=TRUE)*(F1608-Calc!F19))+B1620+(ArtifactsInput!$M$24-ArtifactsInput!$M$24)*CHOOSE(ArtifactsInput!$N$24+1,10,12,14,16,18,20)+(IF(AND(Inputs!$B$38&lt;&gt;"pvp",Inputs!$B$43=0),1,IF(IF(Inputs!$B$38="pvp",15,Inputs!$B$43)-(B1627)&lt;=0,1,MAX(0,IF(Inputs!$B$38="pvp",15,Inputs!$B$43)-MAX(5,B1627))/(IF(Inputs!$B$38="pvp",15,Inputs!$B$43)-(B1627))))*IF(AND(ArtifactsInput!$M$42,((Inputs!$B$9+((C1608=TRUE)*(F1608-Calc!F19))+B1620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599">
        <f>IF(C1599,((H1599*B1632)/(1+Skills!H10*H1599*B1632)*N1599)*IF(Inputs!$B$38="pvp",1,(1+(Inputs!$B$21+Skills!Q10+(IF(ArtifactsInput!$M$33,CHOOSE(ArtifactsInput!$N$33+1,30,36,42,48,54,60),0))+(IF(AND(ArtifactsInput!$M$35,Inputs!$B$4&lt;&gt;"Chapter Hunt"),CHOOSE(ArtifactsInput!$N$35+1,15,18,21,24,27,30)*(1-EXP(-(0.2*B1622)*5)),0)+IF(AND(ArtifactsInput!$M$22,Inputs!$B$4&lt;&gt;"Chapter Hunt"),CHOOSE(ArtifactsInput!$N$22+1,10,12,14,16,18,20)*((0*(((0.15*B1622*5))^0/1)+1*(((0.15*B1622*5))^1/1)+2*(((0.15*B1622*5))^2/2)+3*(((0.15*B1622*5))^3/6)+4*(((0.15*B1622*5))^4/24)+5*(((0.15*B1622*5))^5/120))/((((0.15*B1622*5))^0/1)+(((0.15*B1622*5))^1/1)+(((0.15*B1622*5))^2/2)+(((0.15*B1622*5))^3/6)+(((0.15*B1622*5))^4/24)+(((0.15*B1622*5))^5/120))),0))+IF(Inputs!$B$3&gt;=54,9*(C1592=TRUE)*MIN(1,8*(1+Inputs!$B$34/100)*Q1592),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00">
      <c r="A1600">
        <f>Skills!A11</f>
        <v/>
      </c>
      <c r="B1600">
        <f>Skills!B11</f>
        <v/>
      </c>
      <c r="C1600">
        <f>Inputs!$B$3&gt;=117</f>
        <v/>
      </c>
      <c r="D1600">
        <f>IF(Skills!C11=1,60+Inputs!$B$25+Inputs!$B$29,IF(Skills!C11=2,90+Inputs!$B$26+Inputs!$B$29,IF(Skills!C11=3,120+Inputs!$B$27+Inputs!$B$29,MAX(0,(Inputs!$B$3-100)*3)+Inputs!$B$28+Inputs!$B$29)))</f>
        <v/>
      </c>
      <c r="E1600">
        <f>INDEX(FactorTable!$B$2:$Y$301, MATCH(ROUND(MIN(300,MAX(1,D1600)),0), FactorTable!$A$2:$A$301,0), Skills!M11+1)</f>
        <v/>
      </c>
      <c r="F1600">
        <f>IF(Skills!N11=TRUE,(Skills!L11/10)*(E1600/1000),Skills!L11/10)+Skills!O11</f>
        <v/>
      </c>
      <c r="G1600">
        <f>Skills!G11*IF(Skills!H11&gt;0,INT(IF(Inputs!$B$38="pvp",MIN(Skills!I11,15),Skills!I11)/Skills!H11+0.000000001),1)</f>
        <v/>
      </c>
      <c r="H1600">
        <f>1-(1-Skills!J11/100)^Skills!K11</f>
        <v/>
      </c>
      <c r="I1600" t="inlineStr">
        <is>
          <t>1</t>
        </is>
      </c>
      <c r="J1600">
        <f>((Inputs!$B$6*(1+Inputs!$B$7/100))+(((Inputs!$B$12*(1+Inputs!$B$13/100))-(Inputs!$B$12*(1+Inputs!$B$13/100)))+0.25*(Inputs!$B$14-Inputs!$B$14))*(1+Inputs!$B$7/100))*(F1600/100)</f>
        <v/>
      </c>
      <c r="K1600">
        <f>J1600*(1+((Inputs!$B$12*(1+Inputs!$B$13/100))*0.01+Inputs!$B$14*0.0025)/100)*(1+Inputs!$B$15/100)*(1+Inputs!$B$16/100)*(5000/(6000+Inputs!$B$42*(1-(100*(1-(1-(Inputs!$B$19+0)/100)*(1-CHOOSE(ArtifactsInput!$N$40+1,5,6,7,8,9,10)/100)^(ArtifactsInput!$M$40-ArtifactsInput!$M$40)))/100)))*(1+(Inputs!$B$24+((C1615=TRUE)*(F1615-Calc!F26))+B1626)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IGHT_LEGS_EASTON",Inputs!$B$17+((C1612=TRUE)*(F1612-Calc!F23))+((C1616=TRUE)*(F1616-Calc!F27))+((IF(AND(Inputs!$B$38&lt;&gt;"pvp",Inputs!$B$43=0),1,IF(IF(Inputs!$B$38="pvp",15,Inputs!$B$43)-(B1627)&lt;=0,1,MAX(0,IF(Inputs!$B$38="pvp",15,Inputs!$B$43)-MAX(5,B1627))/(IF(Inputs!$B$38="pvp",15,Inputs!$B$43)-(B1627))))*(IF(AND(ArtifactsInput!$M$42,((Inputs!$B$9+((C1608=TRUE)*(F1608-Calc!F19))+B1620+(ArtifactsInput!$M$24-ArtifactsInput!$M$24)*CHOOSE(ArtifactsInput!$N$24+1,10,12,14,16,18,20)+IF(ArtifactsInput!$M$10,CHOOSE(ArtifactsInput!$N$10+1,15,18,21,24,27,30)*(IF(Inputs!$B$38="pvp",MIN(15,15)/15,IF(AND(Inputs!$B$38&lt;&gt;"pvp",Inputs!$B$43&gt;0),MIN(15,Inputs!$B$43)/(Inputs!$B$43),0))),0)))&gt;=100),MIN(100,((Inputs!$B$9+((C1608=TRUE)*(F1608-Calc!F19))+B1620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1627)&lt;=0,1,MAX(0,IF(Inputs!$B$38="pvp",15,Inputs!$B$43)-MAX(5,B1627))/(IF(Inputs!$B$38="pvp",15,Inputs!$B$43)-(B1627))))*IF(AND(ArtifactsInput!$M$42,((Inputs!$B$9+((C1608=TRUE)*(F1608-Calc!F19))+B1620+(ArtifactsInput!$M$24-ArtifactsInput!$M$24)*CHOOSE(ArtifactsInput!$N$24+1,10,12,14,16,18,20)+IF(ArtifactsInput!$M$10,CHOOSE(ArtifactsInput!$N$10+1,15,18,21,24,27,30)*(IF(Inputs!$B$38="pvp",MIN(15,15)/15,IF(AND(Inputs!$B$38&lt;&gt;"pvp",Inputs!$B$43&gt;0),MIN(15,Inputs!$B$43)/(Inputs!$B$43),0))),0)))&gt;=100),CHOOSE(ArtifactsInput!$N$42+1,40,48,56,64,72,80),0))))/100)*((1+(((C1606=TRUE)*F1606*5/7)+((C1613=TRUE)*(F1613-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1600)</f>
        <v/>
      </c>
      <c r="L1600">
        <f>K1600*(MIN(Inputs!$B$22+((C1611=TRUE)*(F1611-Calc!F22)),(Inputs!$B$23+0+(IF(ArtifactsInput!$M$15,CHOOSE(ArtifactsInput!$N$15+1,25,30,35,40,45,50)/100*(Inputs!$B$11-Inputs!$B$11),0))))/100+(Inputs!$B$23+0+(IF(ArtifactsInput!$M$15,CHOOSE(ArtifactsInput!$N$15+1,25,30,35,40,45,50)/100*(Inputs!$B$11-Inputs!$B$11),0)))/100)/2</f>
        <v/>
      </c>
      <c r="M1600">
        <f>L1600*(1+(Inputs!$B$10+((C1614=TRUE)*(F1614-Calc!F25))+B1625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00">
        <f>L1600*(1-MIN((Inputs!$B$9+((C1608=TRUE)*(F1608-Calc!F19))+B1620+(ArtifactsInput!$M$24-ArtifactsInput!$M$24)*CHOOSE(ArtifactsInput!$N$24+1,10,12,14,16,18,20)+(IF(AND(Inputs!$B$38&lt;&gt;"pvp",Inputs!$B$43=0),1,IF(IF(Inputs!$B$38="pvp",15,Inputs!$B$43)-(B1627)&lt;=0,1,MAX(0,IF(Inputs!$B$38="pvp",15,Inputs!$B$43)-MAX(5,B1627))/(IF(Inputs!$B$38="pvp",15,Inputs!$B$43)-(B1627))))*IF(AND(ArtifactsInput!$M$42,((Inputs!$B$9+((C1608=TRUE)*(F1608-Calc!F19))+B1620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1600*(MIN((Inputs!$B$9+((C1608=TRUE)*(F1608-Calc!F19))+B1620+(ArtifactsInput!$M$24-ArtifactsInput!$M$24)*CHOOSE(ArtifactsInput!$N$24+1,10,12,14,16,18,20)+(IF(AND(Inputs!$B$38&lt;&gt;"pvp",Inputs!$B$43=0),1,IF(IF(Inputs!$B$38="pvp",15,Inputs!$B$43)-(B1627)&lt;=0,1,MAX(0,IF(Inputs!$B$38="pvp",15,Inputs!$B$43)-MAX(5,B1627))/(IF(Inputs!$B$38="pvp",15,Inputs!$B$43)-(B1627))))*IF(AND(ArtifactsInput!$M$42,((Inputs!$B$9+((C1608=TRUE)*(F1608-Calc!F19))+B1620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00">
        <f>(1-Summary!$B$11)*T1600+Summary!$B$11*V1600</f>
        <v/>
      </c>
      <c r="P1600">
        <f>IF(B1630=0,0,O1600/B1630)</f>
        <v/>
      </c>
      <c r="Q1600">
        <f>IFERROR(1/((IF(Inputs!$B$38="pvp",15,MAX(0.1,Skills!D11-IF(TRUE=TRUE,Inputs!$B$32,0)))*(1-IF(AND(ArtifactsInput!$M$27,Inputs!$B$4="Chapter Hunt"),CHOOSE(ArtifactsInput!$N$27+1,20,24,28,32,36,40),0)/100))/B1631),0)</f>
        <v/>
      </c>
      <c r="R1600">
        <f>IF(AND(Inputs!$B$38&lt;&gt;"pvp",Inputs!$B$43&gt;0),IF(MAX(0,Inputs!$B$43-B1627)&lt;=0,0,(INT(MAX(0,Inputs!$B$43-B1627)/((IF(Inputs!$B$38="pvp",15,MAX(0.1,Skills!D11-IF(TRUE=TRUE,Inputs!$B$32,0)))*(1-IF(AND(ArtifactsInput!$M$27,Inputs!$B$4="Chapter Hunt"),CHOOSE(ArtifactsInput!$N$27+1,20,24,28,32,36,40),0)/100))/B1631))+1)),0)</f>
        <v/>
      </c>
      <c r="S1600">
        <f>IFERROR(O1600/N1600,0)</f>
        <v/>
      </c>
      <c r="T1600">
        <f>IF(C1600,(H1600*N1600*IF(AND(Inputs!$B$38&lt;&gt;"pvp",Inputs!$B$43&gt;0),((Skills!G11*((R1600-1)*IF(Skills!H11&gt;0,INT(Skills!I11/Skills!H11+0.000000001),1)+IF(Skills!H11&gt;0,INT(MIN(Skills!I11,MAX(0,MAX(0,Inputs!$B$43-B1627)-((R1600-1)*((IF(Inputs!$B$38="pvp",15,MAX(0.1,Skills!D11-IF(TRUE=TRUE,Inputs!$B$32,0)))*(1-IF(AND(ArtifactsInput!$M$27,Inputs!$B$4="Chapter Hunt"),CHOOSE(ArtifactsInput!$N$27+1,20,24,28,32,36,40),0)/100))/B1631))))/Skills!H11+0.000000001),1)))/Inputs!$B$43),G1600*Q1600))*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Hunt"),CHOOSE(ArtifactsInput!$N$35+1,15,18,21,24,27,30)*(1-EXP(-(0.2*B1622)*5)),0)+IF(AND(ArtifactsInput!$M$22,Inputs!$B$4&lt;&gt;"Chapter Hunt"),CHOOSE(ArtifactsInput!$N$22+1,10,12,14,16,18,20)*((0*(((0.15*B1622*5))^0/1)+1*(((0.15*B1622*5))^1/1)+2*(((0.15*B1622*5))^2/2)+3*(((0.15*B1622*5))^3/6)+4*(((0.15*B1622*5))^4/24)+5*(((0.15*B1622*5))^5/120))/((((0.15*B1622*5))^0/1)+(((0.15*B1622*5))^1/1)+(((0.15*B1622*5))^2/2)+(((0.15*B1622*5))^3/6)+(((0.15*B1622*5))^4/24)+(((0.15*B1622*5))^5/120))),0))+IF(Inputs!$B$3&gt;=54,9*(C1592=TRUE)*MIN(1,8*(1+Inputs!$B$34/100)*Q1592)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1600*(1-MIN(100,(Inputs!$B$9+((C1608=TRUE)*(F1608-Calc!F19))+B1620+(ArtifactsInput!$M$24-ArtifactsInput!$M$24)*CHOOSE(ArtifactsInput!$N$24+1,10,12,14,16,18,20)+(IF(AND(Inputs!$B$38&lt;&gt;"pvp",Inputs!$B$43=0),1,IF(IF(Inputs!$B$38="pvp",15,Inputs!$B$43)-(B1627)&lt;=0,1,MAX(0,IF(Inputs!$B$38="pvp",15,Inputs!$B$43)-MAX(5,B1627))/(IF(Inputs!$B$38="pvp",15,Inputs!$B$43)-(B1627))))*IF(AND(ArtifactsInput!$M$42,((Inputs!$B$9+((C1608=TRUE)*(F1608-Calc!F19))+B1620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1600*(MIN(100,(Inputs!$B$9+((C1608=TRUE)*(F1608-Calc!F19))+B1620+(ArtifactsInput!$M$24-ArtifactsInput!$M$24)*CHOOSE(ArtifactsInput!$N$24+1,10,12,14,16,18,20)+(IF(AND(Inputs!$B$38&lt;&gt;"pvp",Inputs!$B$43=0),1,IF(IF(Inputs!$B$38="pvp",15,Inputs!$B$43)-(B1627)&lt;=0,1,MAX(0,IF(Inputs!$B$38="pvp",15,Inputs!$B$43)-MAX(5,B1627))/(IF(Inputs!$B$38="pvp",15,Inputs!$B$43)-(B1627))))*IF(AND(ArtifactsInput!$M$42,((Inputs!$B$9+((C1608=TRUE)*(F1608-Calc!F19))+B1620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1600*(1-MIN(100,(Inputs!$B$9+((C1608=TRUE)*(F1608-Calc!F19))+B1620+(ArtifactsInput!$M$24-ArtifactsInput!$M$24)*CHOOSE(ArtifactsInput!$N$24+1,10,12,14,16,18,20)+(IF(AND(Inputs!$B$38&lt;&gt;"pvp",Inputs!$B$43=0),1,IF(IF(Inputs!$B$38="pvp",15,Inputs!$B$43)-(B1627)&lt;=0,1,MAX(0,IF(Inputs!$B$38="pvp",15,Inputs!$B$43)-MAX(5,B1627))/(IF(Inputs!$B$38="pvp",15,Inputs!$B$43)-(B1627))))*IF(AND(ArtifactsInput!$M$42,((Inputs!$B$9+((C1608=TRUE)*(F1608-Calc!F19))+B1620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1600*(MIN(100,(Inputs!$B$9+((C1608=TRUE)*(F1608-Calc!F19))+B1620+(ArtifactsInput!$M$24-ArtifactsInput!$M$24)*CHOOSE(ArtifactsInput!$N$24+1,10,12,14,16,18,20)+(IF(AND(Inputs!$B$38&lt;&gt;"pvp",Inputs!$B$43=0),1,IF(IF(Inputs!$B$38="pvp",15,Inputs!$B$43)-(B1627)&lt;=0,1,MAX(0,IF(Inputs!$B$38="pvp",15,Inputs!$B$43)-MAX(5,B1627))/(IF(Inputs!$B$38="pvp",15,Inputs!$B$43)-(B1627))))*IF(AND(ArtifactsInput!$M$42,((Inputs!$B$9+((C1608=TRUE)*(F1608-Calc!F19))+B1620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600">
        <f>IF(C1600,(H1600*N1600*IF(AND(Inputs!$B$38&lt;&gt;"pvp",Inputs!$B$43&gt;0),((Skills!G11*((R1600-1)*IF(Skills!H11&gt;0,INT(Skills!I11/Skills!H11+0.000000001),1)+IF(Skills!H11&gt;0,INT(MIN(Skills!I11,MAX(0,MAX(0,Inputs!$B$43-B1627)-((R1600-1)*((IF(Inputs!$B$38="pvp",15,MAX(0.1,Skills!D11-IF(TRUE=TRUE,Inputs!$B$32,0)))*(1-IF(AND(ArtifactsInput!$M$27,Inputs!$B$4="Chapter Hunt"),CHOOSE(ArtifactsInput!$N$27+1,20,24,28,32,36,40),0)/100))/B1631))))/Skills!H11+0.000000001),1)))/Inputs!$B$43),G1600*Q1600))*IF(Inputs!$B$38="pvp",1,(1+(Inputs!$B$21+Skills!Q11+(IF(ArtifactsInput!$M$33,CHOOSE(ArtifactsInput!$N$33+1,30,36,42,48,54,60),0))+(IF(AND(ArtifactsInput!$M$35,Inputs!$B$4&lt;&gt;"Chapter Hunt"),CHOOSE(ArtifactsInput!$N$35+1,15,18,21,24,27,30)*(1-EXP(-(0.2*B1622)*5)),0)+IF(AND(ArtifactsInput!$M$22,Inputs!$B$4&lt;&gt;"Chapter Hunt"),CHOOSE(ArtifactsInput!$N$22+1,10,12,14,16,18,20)*((0*(((0.15*B1622*5))^0/1)+1*(((0.15*B1622*5))^1/1)+2*(((0.15*B1622*5))^2/2)+3*(((0.15*B1622*5))^3/6)+4*(((0.15*B1622*5))^4/24)+5*(((0.15*B1622*5))^5/120))/((((0.15*B1622*5))^0/1)+(((0.15*B1622*5))^1/1)+(((0.15*B1622*5))^2/2)+(((0.15*B1622*5))^3/6)+(((0.15*B1622*5))^4/24)+(((0.15*B1622*5))^5/120))),0))+IF(Inputs!$B$3&gt;=54,9*(C1592=TRUE)*MIN(1,8*(1+Inputs!$B$34/100)*Q1592),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01">
      <c r="A1601">
        <f>Skills!A12</f>
        <v/>
      </c>
      <c r="B1601">
        <f>Skills!B12</f>
        <v/>
      </c>
      <c r="C1601">
        <f>Inputs!$B$3&gt;=110</f>
        <v/>
      </c>
      <c r="D1601">
        <f>IF(Skills!C12=1,60+Inputs!$B$25+Inputs!$B$29,IF(Skills!C12=2,90+Inputs!$B$26+Inputs!$B$29,IF(Skills!C12=3,120+Inputs!$B$27+Inputs!$B$29,MAX(0,(Inputs!$B$3-100)*3)+Inputs!$B$28+Inputs!$B$29)))</f>
        <v/>
      </c>
      <c r="E1601">
        <f>INDEX(FactorTable!$B$2:$Y$301, MATCH(ROUND(MIN(300,MAX(1,D1601)),0), FactorTable!$A$2:$A$301,0), Skills!M12+1)</f>
        <v/>
      </c>
      <c r="F1601">
        <f>IF(Skills!N12=TRUE,(Skills!L12/10)*(E1601/1000),Skills!L12/10)+Skills!O12</f>
        <v/>
      </c>
      <c r="G1601">
        <f>Skills!G12*IF(Skills!H12&gt;0,INT(IF(Inputs!$B$38="pvp",MIN(Skills!I12,15),Skills!I12)/Skills!H12+0.000000001),1)</f>
        <v/>
      </c>
      <c r="H1601">
        <f>1-(1-Skills!J12/100)^Skills!K12</f>
        <v/>
      </c>
      <c r="I1601" t="inlineStr">
        <is>
          <t>1</t>
        </is>
      </c>
      <c r="J1601">
        <f>((Inputs!$B$6*(1+Inputs!$B$7/100))+(((Inputs!$B$12*(1+Inputs!$B$13/100))-(Inputs!$B$12*(1+Inputs!$B$13/100)))+0.25*(Inputs!$B$14-Inputs!$B$14))*(1+Inputs!$B$7/100))*(F1601/100)</f>
        <v/>
      </c>
      <c r="K1601">
        <f>J1601*(1+((Inputs!$B$12*(1+Inputs!$B$13/100))*0.01+Inputs!$B$14*0.0025)/100)*(1+Inputs!$B$15/100)*(1+Inputs!$B$16/100)*(5000/(6000+Inputs!$B$42*(1-(100*(1-(1-(Inputs!$B$19+0)/100)*(1-CHOOSE(ArtifactsInput!$N$40+1,5,6,7,8,9,10)/100)^(ArtifactsInput!$M$40-ArtifactsInput!$M$40)))/100)))*(1+(Inputs!$B$24+((C1615=TRUE)*(F1615-Calc!F26))+B1626)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EIGHT_LEGS_EASTON",Inputs!$B$17+((C1612=TRUE)*(F1612-Calc!F23))+((C1616=TRUE)*(F1616-Calc!F27))+((IF(AND(Inputs!$B$38&lt;&gt;"pvp",Inputs!$B$43=0),1,IF(IF(Inputs!$B$38="pvp",15,Inputs!$B$43)-(B1627)&lt;=0,1,MAX(0,IF(Inputs!$B$38="pvp",15,Inputs!$B$43)-MAX(5,B1627))/(IF(Inputs!$B$38="pvp",15,Inputs!$B$43)-(B1627))))*(IF(AND(ArtifactsInput!$M$42,((Inputs!$B$9+((C1608=TRUE)*(F1608-Calc!F19))+B1620+(ArtifactsInput!$M$24-ArtifactsInput!$M$24)*CHOOSE(ArtifactsInput!$N$24+1,10,12,14,16,18,20)+IF(ArtifactsInput!$M$10,CHOOSE(ArtifactsInput!$N$10+1,15,18,21,24,27,30)*(IF(Inputs!$B$38="pvp",MIN(15,15)/15,IF(AND(Inputs!$B$38&lt;&gt;"pvp",Inputs!$B$43&gt;0),MIN(15,Inputs!$B$43)/(Inputs!$B$43),0))),0)))&gt;=100),MIN(100,((Inputs!$B$9+((C1608=TRUE)*(F1608-Calc!F19))+B1620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1627)&lt;=0,1,MAX(0,IF(Inputs!$B$38="pvp",15,Inputs!$B$43)-MAX(5,B1627))/(IF(Inputs!$B$38="pvp",15,Inputs!$B$43)-(B1627))))*IF(AND(ArtifactsInput!$M$42,((Inputs!$B$9+((C1608=TRUE)*(F1608-Calc!F19))+B1620+(ArtifactsInput!$M$24-ArtifactsInput!$M$24)*CHOOSE(ArtifactsInput!$N$24+1,10,12,14,16,18,20)+IF(ArtifactsInput!$M$10,CHOOSE(ArtifactsInput!$N$10+1,15,18,21,24,27,30)*(IF(Inputs!$B$38="pvp",MIN(15,15)/15,IF(AND(Inputs!$B$38&lt;&gt;"pvp",Inputs!$B$43&gt;0),MIN(15,Inputs!$B$43)/(Inputs!$B$43),0))),0)))&gt;=100),CHOOSE(ArtifactsInput!$N$42+1,40,48,56,64,72,80),0))))/100)*((1+(((C1606=TRUE)*F1606*5/7)+((C1613=TRUE)*(F1613-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1601)</f>
        <v/>
      </c>
      <c r="L1601">
        <f>K1601*(MIN(Inputs!$B$22+((C1611=TRUE)*(F1611-Calc!F22)),(Inputs!$B$23+0+(IF(ArtifactsInput!$M$15,CHOOSE(ArtifactsInput!$N$15+1,25,30,35,40,45,50)/100*(Inputs!$B$11-Inputs!$B$11),0))))/100+(Inputs!$B$23+0+(IF(ArtifactsInput!$M$15,CHOOSE(ArtifactsInput!$N$15+1,25,30,35,40,45,50)/100*(Inputs!$B$11-Inputs!$B$11),0)))/100)/2</f>
        <v/>
      </c>
      <c r="M1601">
        <f>L1601*(1+(Inputs!$B$10+((C1614=TRUE)*(F1614-Calc!F25))+B1625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01">
        <f>L1601*(1-MIN((Inputs!$B$9+((C1608=TRUE)*(F1608-Calc!F19))+B1620+(ArtifactsInput!$M$24-ArtifactsInput!$M$24)*CHOOSE(ArtifactsInput!$N$24+1,10,12,14,16,18,20)+(IF(AND(Inputs!$B$38&lt;&gt;"pvp",Inputs!$B$43=0),1,IF(IF(Inputs!$B$38="pvp",15,Inputs!$B$43)-(B1627)&lt;=0,1,MAX(0,IF(Inputs!$B$38="pvp",15,Inputs!$B$43)-MAX(5,B1627))/(IF(Inputs!$B$38="pvp",15,Inputs!$B$43)-(B1627))))*IF(AND(ArtifactsInput!$M$42,((Inputs!$B$9+((C1608=TRUE)*(F1608-Calc!F19))+B1620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1601*(MIN((Inputs!$B$9+((C1608=TRUE)*(F1608-Calc!F19))+B1620+(ArtifactsInput!$M$24-ArtifactsInput!$M$24)*CHOOSE(ArtifactsInput!$N$24+1,10,12,14,16,18,20)+(IF(AND(Inputs!$B$38&lt;&gt;"pvp",Inputs!$B$43=0),1,IF(IF(Inputs!$B$38="pvp",15,Inputs!$B$43)-(B1627)&lt;=0,1,MAX(0,IF(Inputs!$B$38="pvp",15,Inputs!$B$43)-MAX(5,B1627))/(IF(Inputs!$B$38="pvp",15,Inputs!$B$43)-(B1627))))*IF(AND(ArtifactsInput!$M$42,((Inputs!$B$9+((C1608=TRUE)*(F1608-Calc!F19))+B1620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01">
        <f>(1-Summary!$B$11)*T1601+Summary!$B$11*V1601</f>
        <v/>
      </c>
      <c r="P1601">
        <f>IF(B1630=0,0,O1601/B1630)</f>
        <v/>
      </c>
      <c r="Q1601">
        <f>IFERROR(1/(IF(Inputs!$B$38="pvp",15,MAX(0.1,Skills!D12-IF(TRUE=TRUE,Inputs!$B$32,0)))*(1-IF(AND(ArtifactsInput!$M$27,Inputs!$B$4="Chapter Hunt"),CHOOSE(ArtifactsInput!$N$27+1,20,24,28,32,36,40),0)/100)),0)</f>
        <v/>
      </c>
      <c r="R1601">
        <f>IF(AND(Inputs!$B$38&lt;&gt;"pvp",Inputs!$B$43&gt;0),IF(MAX(0,Inputs!$B$43-B1627)&lt;=0,0,(INT(MAX(0,Inputs!$B$43-B1627)/(IF(Inputs!$B$38="pvp",15,MAX(0.1,Skills!D12-IF(TRUE=TRUE,Inputs!$B$32,0)))*(1-IF(AND(ArtifactsInput!$M$27,Inputs!$B$4="Chapter Hunt"),CHOOSE(ArtifactsInput!$N$27+1,20,24,28,32,36,40),0)/100)))+1)),0)</f>
        <v/>
      </c>
      <c r="S1601">
        <f>IFERROR(O1601/N1601,0)</f>
        <v/>
      </c>
      <c r="T1601">
        <f>IF(C1601,(H1601*N1601*IF(AND(Inputs!$B$38&lt;&gt;"pvp",Inputs!$B$43&gt;0),((Skills!G12*((R1601-1)*IF(Skills!H12&gt;0,INT(Skills!I12/Skills!H12+0.000000001),1)+IF(Skills!H12&gt;0,INT(MIN(Skills!I12,MAX(0,MAX(0,Inputs!$B$43-B1627)-((R1601-1)*(IF(Inputs!$B$38="pvp",15,MAX(0.1,Skills!D12-IF(TRUE=TRUE,Inputs!$B$32,0)))*(1-IF(AND(ArtifactsInput!$M$27,Inputs!$B$4="Chapter Hunt"),CHOOSE(ArtifactsInput!$N$27+1,20,24,28,32,36,40),0)/100)))))/Skills!H12+0.000000001),1)))/Inputs!$B$43),G1601*Q1601))*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Hunt"),CHOOSE(ArtifactsInput!$N$35+1,15,18,21,24,27,30)*(1-EXP(-(0.2*B1622)*5)),0)+IF(AND(ArtifactsInput!$M$22,Inputs!$B$4&lt;&gt;"Chapter Hunt"),CHOOSE(ArtifactsInput!$N$22+1,10,12,14,16,18,20)*((0*(((0.15*B1622*5))^0/1)+1*(((0.15*B1622*5))^1/1)+2*(((0.15*B1622*5))^2/2)+3*(((0.15*B1622*5))^3/6)+4*(((0.15*B1622*5))^4/24)+5*(((0.15*B1622*5))^5/120))/((((0.15*B1622*5))^0/1)+(((0.15*B1622*5))^1/1)+(((0.15*B1622*5))^2/2)+(((0.15*B1622*5))^3/6)+(((0.15*B1622*5))^4/24)+(((0.15*B1622*5))^5/120))),0))+IF(Inputs!$B$3&gt;=54,9*(C1592=TRUE)*MIN(1,8*(1+Inputs!$B$34/100)*Q1592)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1601*(1-MIN(100,(Inputs!$B$9+((C1608=TRUE)*(F1608-Calc!F19))+B1620+(ArtifactsInput!$M$24-ArtifactsInput!$M$24)*CHOOSE(ArtifactsInput!$N$24+1,10,12,14,16,18,20)+(IF(AND(Inputs!$B$38&lt;&gt;"pvp",Inputs!$B$43=0),1,IF(IF(Inputs!$B$38="pvp",15,Inputs!$B$43)-(B1627)&lt;=0,1,MAX(0,IF(Inputs!$B$38="pvp",15,Inputs!$B$43)-MAX(5,B1627))/(IF(Inputs!$B$38="pvp",15,Inputs!$B$43)-(B1627))))*IF(AND(ArtifactsInput!$M$42,((Inputs!$B$9+((C1608=TRUE)*(F1608-Calc!F19))+B1620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1601*(MIN(100,(Inputs!$B$9+((C1608=TRUE)*(F1608-Calc!F19))+B1620+(ArtifactsInput!$M$24-ArtifactsInput!$M$24)*CHOOSE(ArtifactsInput!$N$24+1,10,12,14,16,18,20)+(IF(AND(Inputs!$B$38&lt;&gt;"pvp",Inputs!$B$43=0),1,IF(IF(Inputs!$B$38="pvp",15,Inputs!$B$43)-(B1627)&lt;=0,1,MAX(0,IF(Inputs!$B$38="pvp",15,Inputs!$B$43)-MAX(5,B1627))/(IF(Inputs!$B$38="pvp",15,Inputs!$B$43)-(B1627))))*IF(AND(ArtifactsInput!$M$42,((Inputs!$B$9+((C1608=TRUE)*(F1608-Calc!F19))+B1620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1601*(1-MIN(100,(Inputs!$B$9+((C1608=TRUE)*(F1608-Calc!F19))+B1620+(ArtifactsInput!$M$24-ArtifactsInput!$M$24)*CHOOSE(ArtifactsInput!$N$24+1,10,12,14,16,18,20)+(IF(AND(Inputs!$B$38&lt;&gt;"pvp",Inputs!$B$43=0),1,IF(IF(Inputs!$B$38="pvp",15,Inputs!$B$43)-(B1627)&lt;=0,1,MAX(0,IF(Inputs!$B$38="pvp",15,Inputs!$B$43)-MAX(5,B1627))/(IF(Inputs!$B$38="pvp",15,Inputs!$B$43)-(B1627))))*IF(AND(ArtifactsInput!$M$42,((Inputs!$B$9+((C1608=TRUE)*(F1608-Calc!F19))+B1620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1601*(MIN(100,(Inputs!$B$9+((C1608=TRUE)*(F1608-Calc!F19))+B1620+(ArtifactsInput!$M$24-ArtifactsInput!$M$24)*CHOOSE(ArtifactsInput!$N$24+1,10,12,14,16,18,20)+(IF(AND(Inputs!$B$38&lt;&gt;"pvp",Inputs!$B$43=0),1,IF(IF(Inputs!$B$38="pvp",15,Inputs!$B$43)-(B1627)&lt;=0,1,MAX(0,IF(Inputs!$B$38="pvp",15,Inputs!$B$43)-MAX(5,B1627))/(IF(Inputs!$B$38="pvp",15,Inputs!$B$43)-(B1627))))*IF(AND(ArtifactsInput!$M$42,((Inputs!$B$9+((C1608=TRUE)*(F1608-Calc!F19))+B1620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601">
        <f>IF(C1601,(H1601*N1601*IF(AND(Inputs!$B$38&lt;&gt;"pvp",Inputs!$B$43&gt;0),((Skills!G12*((R1601-1)*IF(Skills!H12&gt;0,INT(Skills!I12/Skills!H12+0.000000001),1)+IF(Skills!H12&gt;0,INT(MIN(Skills!I12,MAX(0,MAX(0,Inputs!$B$43-B1627)-((R1601-1)*(IF(Inputs!$B$38="pvp",15,MAX(0.1,Skills!D12-IF(TRUE=TRUE,Inputs!$B$32,0)))*(1-IF(AND(ArtifactsInput!$M$27,Inputs!$B$4="Chapter Hunt"),CHOOSE(ArtifactsInput!$N$27+1,20,24,28,32,36,40),0)/100)))))/Skills!H12+0.000000001),1)))/Inputs!$B$43),G1601*Q1601))*IF(Inputs!$B$38="pvp",1,(1+(Inputs!$B$21+Skills!Q12+(IF(ArtifactsInput!$M$33,CHOOSE(ArtifactsInput!$N$33+1,30,36,42,48,54,60),0))+(IF(AND(ArtifactsInput!$M$35,Inputs!$B$4&lt;&gt;"Chapter Hunt"),CHOOSE(ArtifactsInput!$N$35+1,15,18,21,24,27,30)*(1-EXP(-(0.2*B1622)*5)),0)+IF(AND(ArtifactsInput!$M$22,Inputs!$B$4&lt;&gt;"Chapter Hunt"),CHOOSE(ArtifactsInput!$N$22+1,10,12,14,16,18,20)*((0*(((0.15*B1622*5))^0/1)+1*(((0.15*B1622*5))^1/1)+2*(((0.15*B1622*5))^2/2)+3*(((0.15*B1622*5))^3/6)+4*(((0.15*B1622*5))^4/24)+5*(((0.15*B1622*5))^5/120))/((((0.15*B1622*5))^0/1)+(((0.15*B1622*5))^1/1)+(((0.15*B1622*5))^2/2)+(((0.15*B1622*5))^3/6)+(((0.15*B1622*5))^4/24)+(((0.15*B1622*5))^5/120))),0))+IF(Inputs!$B$3&gt;=54,9*(C1592=TRUE)*MIN(1,8*(1+Inputs!$B$34/100)*Q1592),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02">
      <c r="A1602">
        <f>Skills!A13</f>
        <v/>
      </c>
      <c r="B1602">
        <f>Skills!B13</f>
        <v/>
      </c>
      <c r="C1602">
        <f>Inputs!$B$3&gt;=110</f>
        <v/>
      </c>
      <c r="D1602">
        <f>IF(Skills!C13=1,60+Inputs!$B$25+Inputs!$B$29,IF(Skills!C13=2,90+Inputs!$B$26+Inputs!$B$29,IF(Skills!C13=3,120+Inputs!$B$27+Inputs!$B$29,MAX(0,(Inputs!$B$3-100)*3)+Inputs!$B$28+Inputs!$B$29)))</f>
        <v/>
      </c>
      <c r="E1602">
        <f>INDEX(FactorTable!$B$2:$Y$301, MATCH(ROUND(MIN(300,MAX(1,D1602)),0), FactorTable!$A$2:$A$301,0), Skills!M13+1)</f>
        <v/>
      </c>
      <c r="F1602">
        <f>IF(Skills!N13=TRUE,(Skills!L13/10)*(E1602/1000),Skills!L13/10)+Skills!O13</f>
        <v/>
      </c>
      <c r="G1602">
        <f>Skills!G13*IF(Skills!H13&gt;0,INT(IF(Inputs!$B$38="pvp",MIN(Skills!I13,15),Skills!I13)/Skills!H13+0.000000001),1)</f>
        <v/>
      </c>
      <c r="H1602">
        <f>1-(1-Skills!J13/100)^Skills!K13</f>
        <v/>
      </c>
      <c r="I1602" t="inlineStr">
        <is>
          <t>1</t>
        </is>
      </c>
      <c r="J1602">
        <f>((Inputs!$B$6*(1+Inputs!$B$7/100))+(((Inputs!$B$12*(1+Inputs!$B$13/100))-(Inputs!$B$12*(1+Inputs!$B$13/100)))+0.25*(Inputs!$B$14-Inputs!$B$14))*(1+Inputs!$B$7/100))*(F1602/100)</f>
        <v/>
      </c>
      <c r="K1602">
        <f>J1602*(1+((Inputs!$B$12*(1+Inputs!$B$13/100))*0.01+Inputs!$B$14*0.0025)/100)*(1+Inputs!$B$15/100)*(1+Inputs!$B$16/100)*(5000/(6000+Inputs!$B$42*(1-(100*(1-(1-(Inputs!$B$19+0)/100)*(1-CHOOSE(ArtifactsInput!$N$40+1,5,6,7,8,9,10)/100)^(ArtifactsInput!$M$40-ArtifactsInput!$M$40)))/100)))*(1+(Inputs!$B$24+((C1615=TRUE)*(F1615-Calc!F26))+B1626)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EIGHT_LEGS_EASTON",Inputs!$B$17+((C1612=TRUE)*(F1612-Calc!F23))+((C1616=TRUE)*(F1616-Calc!F27))+((IF(AND(Inputs!$B$38&lt;&gt;"pvp",Inputs!$B$43=0),1,IF(IF(Inputs!$B$38="pvp",15,Inputs!$B$43)-(B1627)&lt;=0,1,MAX(0,IF(Inputs!$B$38="pvp",15,Inputs!$B$43)-MAX(5,B1627))/(IF(Inputs!$B$38="pvp",15,Inputs!$B$43)-(B1627))))*(IF(AND(ArtifactsInput!$M$42,((Inputs!$B$9+((C1608=TRUE)*(F1608-Calc!F19))+B1620+(ArtifactsInput!$M$24-ArtifactsInput!$M$24)*CHOOSE(ArtifactsInput!$N$24+1,10,12,14,16,18,20)+IF(ArtifactsInput!$M$10,CHOOSE(ArtifactsInput!$N$10+1,15,18,21,24,27,30)*(IF(Inputs!$B$38="pvp",MIN(15,15)/15,IF(AND(Inputs!$B$38&lt;&gt;"pvp",Inputs!$B$43&gt;0),MIN(15,Inputs!$B$43)/(Inputs!$B$43),0))),0)))&gt;=100),MIN(100,((Inputs!$B$9+((C1608=TRUE)*(F1608-Calc!F19))+B1620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1627)&lt;=0,1,MAX(0,IF(Inputs!$B$38="pvp",15,Inputs!$B$43)-MAX(5,B1627))/(IF(Inputs!$B$38="pvp",15,Inputs!$B$43)-(B1627))))*IF(AND(ArtifactsInput!$M$42,((Inputs!$B$9+((C1608=TRUE)*(F1608-Calc!F19))+B1620+(ArtifactsInput!$M$24-ArtifactsInput!$M$24)*CHOOSE(ArtifactsInput!$N$24+1,10,12,14,16,18,20)+IF(ArtifactsInput!$M$10,CHOOSE(ArtifactsInput!$N$10+1,15,18,21,24,27,30)*(IF(Inputs!$B$38="pvp",MIN(15,15)/15,IF(AND(Inputs!$B$38&lt;&gt;"pvp",Inputs!$B$43&gt;0),MIN(15,Inputs!$B$43)/(Inputs!$B$43),0))),0)))&gt;=100),CHOOSE(ArtifactsInput!$N$42+1,40,48,56,64,72,80),0))))/100)*((1+(((C1606=TRUE)*F1606*5/7)+((C1613=TRUE)*(F1613-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1602)</f>
        <v/>
      </c>
      <c r="L1602">
        <f>K1602*(MIN(Inputs!$B$22+((C1611=TRUE)*(F1611-Calc!F22)),(Inputs!$B$23+0+(IF(ArtifactsInput!$M$15,CHOOSE(ArtifactsInput!$N$15+1,25,30,35,40,45,50)/100*(Inputs!$B$11-Inputs!$B$11),0))))/100+(Inputs!$B$23+0+(IF(ArtifactsInput!$M$15,CHOOSE(ArtifactsInput!$N$15+1,25,30,35,40,45,50)/100*(Inputs!$B$11-Inputs!$B$11),0)))/100)/2</f>
        <v/>
      </c>
      <c r="M1602">
        <f>L1602*(1+(Inputs!$B$10+((C1614=TRUE)*(F1614-Calc!F25))+B1625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02">
        <f>L1602*(1-MIN((Inputs!$B$9+((C1608=TRUE)*(F1608-Calc!F19))+B1620+(ArtifactsInput!$M$24-ArtifactsInput!$M$24)*CHOOSE(ArtifactsInput!$N$24+1,10,12,14,16,18,20)+(IF(AND(Inputs!$B$38&lt;&gt;"pvp",Inputs!$B$43=0),1,IF(IF(Inputs!$B$38="pvp",15,Inputs!$B$43)-(B1627)&lt;=0,1,MAX(0,IF(Inputs!$B$38="pvp",15,Inputs!$B$43)-MAX(5,B1627))/(IF(Inputs!$B$38="pvp",15,Inputs!$B$43)-(B1627))))*IF(AND(ArtifactsInput!$M$42,((Inputs!$B$9+((C1608=TRUE)*(F1608-Calc!F19))+B1620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1602*(MIN((Inputs!$B$9+((C1608=TRUE)*(F1608-Calc!F19))+B1620+(ArtifactsInput!$M$24-ArtifactsInput!$M$24)*CHOOSE(ArtifactsInput!$N$24+1,10,12,14,16,18,20)+(IF(AND(Inputs!$B$38&lt;&gt;"pvp",Inputs!$B$43=0),1,IF(IF(Inputs!$B$38="pvp",15,Inputs!$B$43)-(B1627)&lt;=0,1,MAX(0,IF(Inputs!$B$38="pvp",15,Inputs!$B$43)-MAX(5,B1627))/(IF(Inputs!$B$38="pvp",15,Inputs!$B$43)-(B1627))))*IF(AND(ArtifactsInput!$M$42,((Inputs!$B$9+((C1608=TRUE)*(F1608-Calc!F19))+B1620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02">
        <f>(1-Summary!$B$11)*T1602+Summary!$B$11*V1602</f>
        <v/>
      </c>
      <c r="P1602">
        <f>IF(B1630=0,0,O1602/B1630)</f>
        <v/>
      </c>
      <c r="Q1602">
        <f>IFERROR(1/(IF(Inputs!$B$38="pvp",15,MAX(0.1,Skills!D13-IF(TRUE=TRUE,Inputs!$B$32,0)))*(1-IF(AND(ArtifactsInput!$M$27,Inputs!$B$4="Chapter Hunt"),CHOOSE(ArtifactsInput!$N$27+1,20,24,28,32,36,40),0)/100)),0)</f>
        <v/>
      </c>
      <c r="R1602">
        <f>IF(AND(Inputs!$B$38&lt;&gt;"pvp",Inputs!$B$43&gt;0),IF(MAX(0,Inputs!$B$43-B1627)&lt;=0,0,(INT(MAX(0,Inputs!$B$43-B1627)/(IF(Inputs!$B$38="pvp",15,MAX(0.1,Skills!D13-IF(TRUE=TRUE,Inputs!$B$32,0)))*(1-IF(AND(ArtifactsInput!$M$27,Inputs!$B$4="Chapter Hunt"),CHOOSE(ArtifactsInput!$N$27+1,20,24,28,32,36,40),0)/100)))+1)),0)</f>
        <v/>
      </c>
      <c r="S1602">
        <f>IFERROR(O1602/N1602,0)</f>
        <v/>
      </c>
      <c r="T1602">
        <f>IF(C1602,(H1602*N1602*IF(AND(Inputs!$B$38&lt;&gt;"pvp",Inputs!$B$43&gt;0),((Skills!G13*((R1602-1)*IF(Skills!H13&gt;0,INT(Skills!I13/Skills!H13+0.000000001),1)+IF(Skills!H13&gt;0,INT(MIN(Skills!I13,MAX(0,MAX(0,Inputs!$B$43-B1627)-((R1602-1)*(IF(Inputs!$B$38="pvp",15,MAX(0.1,Skills!D13-IF(TRUE=TRUE,Inputs!$B$32,0)))*(1-IF(AND(ArtifactsInput!$M$27,Inputs!$B$4="Chapter Hunt"),CHOOSE(ArtifactsInput!$N$27+1,20,24,28,32,36,40),0)/100)))))/Skills!H13+0.000000001),1)))/Inputs!$B$43),G1602*Q1602))*IF(Inputs!$B$38="pvp",1,1+(Inputs!$B$20+0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Hunt"),CHOOSE(ArtifactsInput!$N$35+1,15,18,21,24,27,30)*(1-EXP(-(0.2*B1622)*5)),0)+IF(AND(ArtifactsInput!$M$22,Inputs!$B$4&lt;&gt;"Chapter Hunt"),CHOOSE(ArtifactsInput!$N$22+1,10,12,14,16,18,20)*((0*(((0.15*B1622*5))^0/1)+1*(((0.15*B1622*5))^1/1)+2*(((0.15*B1622*5))^2/2)+3*(((0.15*B1622*5))^3/6)+4*(((0.15*B1622*5))^4/24)+5*(((0.15*B1622*5))^5/120))/((((0.15*B1622*5))^0/1)+(((0.15*B1622*5))^1/1)+(((0.15*B1622*5))^2/2)+(((0.15*B1622*5))^3/6)+(((0.15*B1622*5))^4/24)+(((0.15*B1622*5))^5/120))),0))+IF(Inputs!$B$3&gt;=54,9*(C1592=TRUE)*MIN(1,8*(1+Inputs!$B$34/100)*Q1592)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1602*(1-MIN(100,(Inputs!$B$9+((C1608=TRUE)*(F1608-Calc!F19))+B1620+(ArtifactsInput!$M$24-ArtifactsInput!$M$24)*CHOOSE(ArtifactsInput!$N$24+1,10,12,14,16,18,20)+(IF(AND(Inputs!$B$38&lt;&gt;"pvp",Inputs!$B$43=0),1,IF(IF(Inputs!$B$38="pvp",15,Inputs!$B$43)-(B1627)&lt;=0,1,MAX(0,IF(Inputs!$B$38="pvp",15,Inputs!$B$43)-MAX(5,B1627))/(IF(Inputs!$B$38="pvp",15,Inputs!$B$43)-(B1627))))*IF(AND(ArtifactsInput!$M$42,((Inputs!$B$9+((C1608=TRUE)*(F1608-Calc!F19))+B1620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1602*(MIN(100,(Inputs!$B$9+((C1608=TRUE)*(F1608-Calc!F19))+B1620+(ArtifactsInput!$M$24-ArtifactsInput!$M$24)*CHOOSE(ArtifactsInput!$N$24+1,10,12,14,16,18,20)+(IF(AND(Inputs!$B$38&lt;&gt;"pvp",Inputs!$B$43=0),1,IF(IF(Inputs!$B$38="pvp",15,Inputs!$B$43)-(B1627)&lt;=0,1,MAX(0,IF(Inputs!$B$38="pvp",15,Inputs!$B$43)-MAX(5,B1627))/(IF(Inputs!$B$38="pvp",15,Inputs!$B$43)-(B1627))))*IF(AND(ArtifactsInput!$M$42,((Inputs!$B$9+((C1608=TRUE)*(F1608-Calc!F19))+B1620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1602*(1-MIN(100,(Inputs!$B$9+((C1608=TRUE)*(F1608-Calc!F19))+B1620+(ArtifactsInput!$M$24-ArtifactsInput!$M$24)*CHOOSE(ArtifactsInput!$N$24+1,10,12,14,16,18,20)+(IF(AND(Inputs!$B$38&lt;&gt;"pvp",Inputs!$B$43=0),1,IF(IF(Inputs!$B$38="pvp",15,Inputs!$B$43)-(B1627)&lt;=0,1,MAX(0,IF(Inputs!$B$38="pvp",15,Inputs!$B$43)-MAX(5,B1627))/(IF(Inputs!$B$38="pvp",15,Inputs!$B$43)-(B1627))))*IF(AND(ArtifactsInput!$M$42,((Inputs!$B$9+((C1608=TRUE)*(F1608-Calc!F19))+B1620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1602*(MIN(100,(Inputs!$B$9+((C1608=TRUE)*(F1608-Calc!F19))+B1620+(ArtifactsInput!$M$24-ArtifactsInput!$M$24)*CHOOSE(ArtifactsInput!$N$24+1,10,12,14,16,18,20)+(IF(AND(Inputs!$B$38&lt;&gt;"pvp",Inputs!$B$43=0),1,IF(IF(Inputs!$B$38="pvp",15,Inputs!$B$43)-(B1627)&lt;=0,1,MAX(0,IF(Inputs!$B$38="pvp",15,Inputs!$B$43)-MAX(5,B1627))/(IF(Inputs!$B$38="pvp",15,Inputs!$B$43)-(B1627))))*IF(AND(ArtifactsInput!$M$42,((Inputs!$B$9+((C1608=TRUE)*(F1608-Calc!F19))+B1620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602">
        <f>IF(C1602,(H1602*N1602*IF(AND(Inputs!$B$38&lt;&gt;"pvp",Inputs!$B$43&gt;0),((Skills!G13*((R1602-1)*IF(Skills!H13&gt;0,INT(Skills!I13/Skills!H13+0.000000001),1)+IF(Skills!H13&gt;0,INT(MIN(Skills!I13,MAX(0,MAX(0,Inputs!$B$43-B1627)-((R1602-1)*(IF(Inputs!$B$38="pvp",15,MAX(0.1,Skills!D13-IF(TRUE=TRUE,Inputs!$B$32,0)))*(1-IF(AND(ArtifactsInput!$M$27,Inputs!$B$4="Chapter Hunt"),CHOOSE(ArtifactsInput!$N$27+1,20,24,28,32,36,40),0)/100)))))/Skills!H13+0.000000001),1)))/Inputs!$B$43),G1602*Q1602))*IF(Inputs!$B$38="pvp",1,(1+(Inputs!$B$21+Skills!Q13+(IF(ArtifactsInput!$M$33,CHOOSE(ArtifactsInput!$N$33+1,30,36,42,48,54,60),0))+(IF(AND(ArtifactsInput!$M$35,Inputs!$B$4&lt;&gt;"Chapter Hunt"),CHOOSE(ArtifactsInput!$N$35+1,15,18,21,24,27,30)*(1-EXP(-(0.2*B1622)*5)),0)+IF(AND(ArtifactsInput!$M$22,Inputs!$B$4&lt;&gt;"Chapter Hunt"),CHOOSE(ArtifactsInput!$N$22+1,10,12,14,16,18,20)*((0*(((0.15*B1622*5))^0/1)+1*(((0.15*B1622*5))^1/1)+2*(((0.15*B1622*5))^2/2)+3*(((0.15*B1622*5))^3/6)+4*(((0.15*B1622*5))^4/24)+5*(((0.15*B1622*5))^5/120))/((((0.15*B1622*5))^0/1)+(((0.15*B1622*5))^1/1)+(((0.15*B1622*5))^2/2)+(((0.15*B1622*5))^3/6)+(((0.15*B1622*5))^4/24)+(((0.15*B1622*5))^5/120))),0))+IF(Inputs!$B$3&gt;=54,9*(C1592=TRUE)*MIN(1,8*(1+Inputs!$B$34/100)*Q1592),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03">
      <c r="A1603">
        <f>Skills!A14</f>
        <v/>
      </c>
      <c r="B1603">
        <f>Skills!B14</f>
        <v/>
      </c>
      <c r="C1603">
        <f>Inputs!$B$3&gt;=120</f>
        <v/>
      </c>
      <c r="D1603">
        <f>IF(Skills!C14=1,60+Inputs!$B$25+Inputs!$B$29,IF(Skills!C14=2,90+Inputs!$B$26+Inputs!$B$29,IF(Skills!C14=3,120+Inputs!$B$27+Inputs!$B$29,MAX(0,(Inputs!$B$3-100)*3)+Inputs!$B$28+Inputs!$B$29)))</f>
        <v/>
      </c>
      <c r="E1603">
        <f>INDEX(FactorTable!$B$2:$Y$301, MATCH(ROUND(MIN(300,MAX(1,D1603)),0), FactorTable!$A$2:$A$301,0), Skills!M14+1)</f>
        <v/>
      </c>
      <c r="F1603">
        <f>IF(Skills!N14=TRUE,(Skills!L14/10)*(E1603/1000),Skills!L14/10)+Skills!O14</f>
        <v/>
      </c>
      <c r="G1603">
        <f>Skills!G14*IF(Skills!H14&gt;0,INT(IF(Inputs!$B$38="pvp",MIN(Skills!I14,15),Skills!I14)/Skills!H14+0.000000001),1)</f>
        <v/>
      </c>
      <c r="H1603">
        <f>1-(1-Skills!J14/100)^Skills!K14</f>
        <v/>
      </c>
      <c r="I1603" t="inlineStr">
        <is>
          <t>1</t>
        </is>
      </c>
      <c r="J1603">
        <f>((Inputs!$B$6*(1+Inputs!$B$7/100))+(((Inputs!$B$12*(1+Inputs!$B$13/100))-(Inputs!$B$12*(1+Inputs!$B$13/100)))+0.25*(Inputs!$B$14-Inputs!$B$14))*(1+Inputs!$B$7/100))*(F1603/100)</f>
        <v/>
      </c>
      <c r="K1603">
        <f>J1603*(1+((Inputs!$B$12*(1+Inputs!$B$13/100))*0.01+Inputs!$B$14*0.0025)/100)*(1+Inputs!$B$15/100)*(1+Inputs!$B$16/100)*(5000/(6000+Inputs!$B$42*(1-(100*(1-(1-(Inputs!$B$19+0)/100)*(1-CHOOSE(ArtifactsInput!$N$40+1,5,6,7,8,9,10)/100)^(ArtifactsInput!$M$40-ArtifactsInput!$M$40)))/100)))*(1+(Inputs!$B$24+((C1615=TRUE)*(F1615-Calc!F26))+B1626)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EIGHT_LEGS_EASTON",Inputs!$B$17+((C1612=TRUE)*(F1612-Calc!F23))+((C1616=TRUE)*(F1616-Calc!F27))+((IF(AND(Inputs!$B$38&lt;&gt;"pvp",Inputs!$B$43=0),1,IF(IF(Inputs!$B$38="pvp",15,Inputs!$B$43)-(B1627)&lt;=0,1,MAX(0,IF(Inputs!$B$38="pvp",15,Inputs!$B$43)-MAX(5,B1627))/(IF(Inputs!$B$38="pvp",15,Inputs!$B$43)-(B1627))))*(IF(AND(ArtifactsInput!$M$42,((Inputs!$B$9+((C1608=TRUE)*(F1608-Calc!F19))+B1620+(ArtifactsInput!$M$24-ArtifactsInput!$M$24)*CHOOSE(ArtifactsInput!$N$24+1,10,12,14,16,18,20)+IF(ArtifactsInput!$M$10,CHOOSE(ArtifactsInput!$N$10+1,15,18,21,24,27,30)*(IF(Inputs!$B$38="pvp",MIN(15,15)/15,IF(AND(Inputs!$B$38&lt;&gt;"pvp",Inputs!$B$43&gt;0),MIN(15,Inputs!$B$43)/(Inputs!$B$43),0))),0)))&gt;=100),MIN(100,((Inputs!$B$9+((C1608=TRUE)*(F1608-Calc!F19))+B1620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1627)&lt;=0,1,MAX(0,IF(Inputs!$B$38="pvp",15,Inputs!$B$43)-MAX(5,B1627))/(IF(Inputs!$B$38="pvp",15,Inputs!$B$43)-(B1627))))*IF(AND(ArtifactsInput!$M$42,((Inputs!$B$9+((C1608=TRUE)*(F1608-Calc!F19))+B1620+(ArtifactsInput!$M$24-ArtifactsInput!$M$24)*CHOOSE(ArtifactsInput!$N$24+1,10,12,14,16,18,20)+IF(ArtifactsInput!$M$10,CHOOSE(ArtifactsInput!$N$10+1,15,18,21,24,27,30)*(IF(Inputs!$B$38="pvp",MIN(15,15)/15,IF(AND(Inputs!$B$38&lt;&gt;"pvp",Inputs!$B$43&gt;0),MIN(15,Inputs!$B$43)/(Inputs!$B$43),0))),0)))&gt;=100),CHOOSE(ArtifactsInput!$N$42+1,40,48,56,64,72,80),0))))/100)*((1+(((C1606=TRUE)*F1606*5/7)+((C1613=TRUE)*(F1613-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1603)</f>
        <v/>
      </c>
      <c r="L1603">
        <f>K1603*(MIN(Inputs!$B$22+((C1611=TRUE)*(F1611-Calc!F22)),(Inputs!$B$23+0+(IF(ArtifactsInput!$M$15,CHOOSE(ArtifactsInput!$N$15+1,25,30,35,40,45,50)/100*(Inputs!$B$11-Inputs!$B$11),0))))/100+(Inputs!$B$23+0+(IF(ArtifactsInput!$M$15,CHOOSE(ArtifactsInput!$N$15+1,25,30,35,40,45,50)/100*(Inputs!$B$11-Inputs!$B$11),0)))/100)/2</f>
        <v/>
      </c>
      <c r="M1603">
        <f>L1603*(1+(Inputs!$B$10+((C1614=TRUE)*(F1614-Calc!F25))+B1625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03">
        <f>L1603*(1-MIN((Inputs!$B$9+((C1608=TRUE)*(F1608-Calc!F19))+B1620+(ArtifactsInput!$M$24-ArtifactsInput!$M$24)*CHOOSE(ArtifactsInput!$N$24+1,10,12,14,16,18,20)+(IF(AND(Inputs!$B$38&lt;&gt;"pvp",Inputs!$B$43=0),1,IF(IF(Inputs!$B$38="pvp",15,Inputs!$B$43)-(B1627)&lt;=0,1,MAX(0,IF(Inputs!$B$38="pvp",15,Inputs!$B$43)-MAX(5,B1627))/(IF(Inputs!$B$38="pvp",15,Inputs!$B$43)-(B1627))))*IF(AND(ArtifactsInput!$M$42,((Inputs!$B$9+((C1608=TRUE)*(F1608-Calc!F19))+B1620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1603*(MIN((Inputs!$B$9+((C1608=TRUE)*(F1608-Calc!F19))+B1620+(ArtifactsInput!$M$24-ArtifactsInput!$M$24)*CHOOSE(ArtifactsInput!$N$24+1,10,12,14,16,18,20)+(IF(AND(Inputs!$B$38&lt;&gt;"pvp",Inputs!$B$43=0),1,IF(IF(Inputs!$B$38="pvp",15,Inputs!$B$43)-(B1627)&lt;=0,1,MAX(0,IF(Inputs!$B$38="pvp",15,Inputs!$B$43)-MAX(5,B1627))/(IF(Inputs!$B$38="pvp",15,Inputs!$B$43)-(B1627))))*IF(AND(ArtifactsInput!$M$42,((Inputs!$B$9+((C1608=TRUE)*(F1608-Calc!F19))+B1620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03">
        <f>(1-Summary!$B$11)*T1603+Summary!$B$11*V1603</f>
        <v/>
      </c>
      <c r="P1603">
        <f>IF(B1630=0,0,O1603/B1630)</f>
        <v/>
      </c>
      <c r="Q1603" t="n">
        <v>0</v>
      </c>
      <c r="R1603" t="n">
        <v>0</v>
      </c>
      <c r="S1603">
        <f>IFERROR(O1603/N1603,0)</f>
        <v/>
      </c>
      <c r="T1603">
        <f>IF(C1603,((H1603*(B1624+IF(AND(Inputs!$B$38&lt;&gt;"pvp",Inputs!$B$43&gt;0),((Skills!G8*((R1597-1)*IF(Skills!H8&gt;0,INT(Skills!I8/Skills!H8+0.000000001),1)+IF(Skills!H8&gt;0,INT(MIN(Skills!I8,MAX(0,MAX(0,Inputs!$B$43-B1627)-((R1597-1)*((IF(Inputs!$B$38="pvp",15,MAX(0.1,Skills!D8-IF(TRUE=TRUE,Inputs!$B$32,0)))*(1-IF(AND(ArtifactsInput!$M$27,Inputs!$B$4="Chapter Hunt"),CHOOSE(ArtifactsInput!$N$27+1,20,24,28,32,36,40),0)/100))/B1631))))/Skills!H8+0.000000001),1)))/Inputs!$B$43),G1597*Q1597)+IF(AND(Inputs!$B$38&lt;&gt;"pvp",Inputs!$B$43&gt;0),((Skills!G11*((R1600-1)*IF(Skills!H11&gt;0,INT(Skills!I11/Skills!H11+0.000000001),1)+IF(Skills!H11&gt;0,INT(MIN(Skills!I11,MAX(0,MAX(0,Inputs!$B$43-B1627)-((R1600-1)*((IF(Inputs!$B$38="pvp",15,MAX(0.1,Skills!D11-IF(TRUE=TRUE,Inputs!$B$32,0)))*(1-IF(AND(ArtifactsInput!$M$27,Inputs!$B$4="Chapter Hunt"),CHOOSE(ArtifactsInput!$N$27+1,20,24,28,32,36,40),0)/100))/B1631))))/Skills!H11+0.000000001),1)))/Inputs!$B$43),G1600*Q1600)))/(1+Skills!H14*H1603*(B1624+IF(AND(Inputs!$B$38&lt;&gt;"pvp",Inputs!$B$43&gt;0),((Skills!G8*((R1597-1)*IF(Skills!H8&gt;0,INT(Skills!I8/Skills!H8+0.000000001),1)+IF(Skills!H8&gt;0,INT(MIN(Skills!I8,MAX(0,MAX(0,Inputs!$B$43-B1627)-((R1597-1)*((IF(Inputs!$B$38="pvp",15,MAX(0.1,Skills!D8-IF(TRUE=TRUE,Inputs!$B$32,0)))*(1-IF(AND(ArtifactsInput!$M$27,Inputs!$B$4="Chapter Hunt"),CHOOSE(ArtifactsInput!$N$27+1,20,24,28,32,36,40),0)/100))/B1631))))/Skills!H8+0.000000001),1)))/Inputs!$B$43),G1597*Q1597)+IF(AND(Inputs!$B$38&lt;&gt;"pvp",Inputs!$B$43&gt;0),((Skills!G11*((R1600-1)*IF(Skills!H11&gt;0,INT(Skills!I11/Skills!H11+0.000000001),1)+IF(Skills!H11&gt;0,INT(MIN(Skills!I11,MAX(0,MAX(0,Inputs!$B$43-B1627)-((R1600-1)*((IF(Inputs!$B$38="pvp",15,MAX(0.1,Skills!D11-IF(TRUE=TRUE,Inputs!$B$32,0)))*(1-IF(AND(ArtifactsInput!$M$27,Inputs!$B$4="Chapter Hunt"),CHOOSE(ArtifactsInput!$N$27+1,20,24,28,32,36,40),0)/100))/B1631))))/Skills!H11+0.000000001),1)))/Inputs!$B$43),G1600*Q1600)))*N1603)*IF(Inputs!$B$38="pvp",1,1+(Inputs!$B$20+0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Hunt"),CHOOSE(ArtifactsInput!$N$35+1,15,18,21,24,27,30)*(1-EXP(-(0.2*B1622)*5)),0)+IF(AND(ArtifactsInput!$M$22,Inputs!$B$4&lt;&gt;"Chapter Hunt"),CHOOSE(ArtifactsInput!$N$22+1,10,12,14,16,18,20)*((0*(((0.15*B1622*5))^0/1)+1*(((0.15*B1622*5))^1/1)+2*(((0.15*B1622*5))^2/2)+3*(((0.15*B1622*5))^3/6)+4*(((0.15*B1622*5))^4/24)+5*(((0.15*B1622*5))^5/120))/((((0.15*B1622*5))^0/1)+(((0.15*B1622*5))^1/1)+(((0.15*B1622*5))^2/2)+(((0.15*B1622*5))^3/6)+(((0.15*B1622*5))^4/24)+(((0.15*B1622*5))^5/120))),0))+IF(Inputs!$B$3&gt;=54,9*(C1592=TRUE)*MIN(1,8*(1+Inputs!$B$34/100)*Q1592)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1603*(1-MIN(100,(Inputs!$B$9+((C1608=TRUE)*(F1608-Calc!F19))+B1620+(ArtifactsInput!$M$24-ArtifactsInput!$M$24)*CHOOSE(ArtifactsInput!$N$24+1,10,12,14,16,18,20)+(IF(AND(Inputs!$B$38&lt;&gt;"pvp",Inputs!$B$43=0),1,IF(IF(Inputs!$B$38="pvp",15,Inputs!$B$43)-(B1627)&lt;=0,1,MAX(0,IF(Inputs!$B$38="pvp",15,Inputs!$B$43)-MAX(5,B1627))/(IF(Inputs!$B$38="pvp",15,Inputs!$B$43)-(B1627))))*IF(AND(ArtifactsInput!$M$42,((Inputs!$B$9+((C1608=TRUE)*(F1608-Calc!F19))+B1620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1603*(MIN(100,(Inputs!$B$9+((C1608=TRUE)*(F1608-Calc!F19))+B1620+(ArtifactsInput!$M$24-ArtifactsInput!$M$24)*CHOOSE(ArtifactsInput!$N$24+1,10,12,14,16,18,20)+(IF(AND(Inputs!$B$38&lt;&gt;"pvp",Inputs!$B$43=0),1,IF(IF(Inputs!$B$38="pvp",15,Inputs!$B$43)-(B1627)&lt;=0,1,MAX(0,IF(Inputs!$B$38="pvp",15,Inputs!$B$43)-MAX(5,B1627))/(IF(Inputs!$B$38="pvp",15,Inputs!$B$43)-(B1627))))*IF(AND(ArtifactsInput!$M$42,((Inputs!$B$9+((C1608=TRUE)*(F1608-Calc!F19))+B1620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1603*(1-MIN(100,(Inputs!$B$9+((C1608=TRUE)*(F1608-Calc!F19))+B1620+(ArtifactsInput!$M$24-ArtifactsInput!$M$24)*CHOOSE(ArtifactsInput!$N$24+1,10,12,14,16,18,20)+(IF(AND(Inputs!$B$38&lt;&gt;"pvp",Inputs!$B$43=0),1,IF(IF(Inputs!$B$38="pvp",15,Inputs!$B$43)-(B1627)&lt;=0,1,MAX(0,IF(Inputs!$B$38="pvp",15,Inputs!$B$43)-MAX(5,B1627))/(IF(Inputs!$B$38="pvp",15,Inputs!$B$43)-(B1627))))*IF(AND(ArtifactsInput!$M$42,((Inputs!$B$9+((C1608=TRUE)*(F1608-Calc!F19))+B1620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1603*(MIN(100,(Inputs!$B$9+((C1608=TRUE)*(F1608-Calc!F19))+B1620+(ArtifactsInput!$M$24-ArtifactsInput!$M$24)*CHOOSE(ArtifactsInput!$N$24+1,10,12,14,16,18,20)+(IF(AND(Inputs!$B$38&lt;&gt;"pvp",Inputs!$B$43=0),1,IF(IF(Inputs!$B$38="pvp",15,Inputs!$B$43)-(B1627)&lt;=0,1,MAX(0,IF(Inputs!$B$38="pvp",15,Inputs!$B$43)-MAX(5,B1627))/(IF(Inputs!$B$38="pvp",15,Inputs!$B$43)-(B1627))))*IF(AND(ArtifactsInput!$M$42,((Inputs!$B$9+((C1608=TRUE)*(F1608-Calc!F19))+B1620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603">
        <f>IF(C1603,((H1603*(B1624+IF(AND(Inputs!$B$38&lt;&gt;"pvp",Inputs!$B$43&gt;0),((Skills!G8*((R1597-1)*IF(Skills!H8&gt;0,INT(Skills!I8/Skills!H8+0.000000001),1)+IF(Skills!H8&gt;0,INT(MIN(Skills!I8,MAX(0,MAX(0,Inputs!$B$43-B1627)-((R1597-1)*((IF(Inputs!$B$38="pvp",15,MAX(0.1,Skills!D8-IF(TRUE=TRUE,Inputs!$B$32,0)))*(1-IF(AND(ArtifactsInput!$M$27,Inputs!$B$4="Chapter Hunt"),CHOOSE(ArtifactsInput!$N$27+1,20,24,28,32,36,40),0)/100))/B1631))))/Skills!H8+0.000000001),1)))/Inputs!$B$43),G1597*Q1597)+IF(AND(Inputs!$B$38&lt;&gt;"pvp",Inputs!$B$43&gt;0),((Skills!G11*((R1600-1)*IF(Skills!H11&gt;0,INT(Skills!I11/Skills!H11+0.000000001),1)+IF(Skills!H11&gt;0,INT(MIN(Skills!I11,MAX(0,MAX(0,Inputs!$B$43-B1627)-((R1600-1)*((IF(Inputs!$B$38="pvp",15,MAX(0.1,Skills!D11-IF(TRUE=TRUE,Inputs!$B$32,0)))*(1-IF(AND(ArtifactsInput!$M$27,Inputs!$B$4="Chapter Hunt"),CHOOSE(ArtifactsInput!$N$27+1,20,24,28,32,36,40),0)/100))/B1631))))/Skills!H11+0.000000001),1)))/Inputs!$B$43),G1600*Q1600)))/(1+Skills!H14*H1603*(B1624+IF(AND(Inputs!$B$38&lt;&gt;"pvp",Inputs!$B$43&gt;0),((Skills!G8*((R1597-1)*IF(Skills!H8&gt;0,INT(Skills!I8/Skills!H8+0.000000001),1)+IF(Skills!H8&gt;0,INT(MIN(Skills!I8,MAX(0,MAX(0,Inputs!$B$43-B1627)-((R1597-1)*((IF(Inputs!$B$38="pvp",15,MAX(0.1,Skills!D8-IF(TRUE=TRUE,Inputs!$B$32,0)))*(1-IF(AND(ArtifactsInput!$M$27,Inputs!$B$4="Chapter Hunt"),CHOOSE(ArtifactsInput!$N$27+1,20,24,28,32,36,40),0)/100))/B1631))))/Skills!H8+0.000000001),1)))/Inputs!$B$43),G1597*Q1597)+IF(AND(Inputs!$B$38&lt;&gt;"pvp",Inputs!$B$43&gt;0),((Skills!G11*((R1600-1)*IF(Skills!H11&gt;0,INT(Skills!I11/Skills!H11+0.000000001),1)+IF(Skills!H11&gt;0,INT(MIN(Skills!I11,MAX(0,MAX(0,Inputs!$B$43-B1627)-((R1600-1)*((IF(Inputs!$B$38="pvp",15,MAX(0.1,Skills!D11-IF(TRUE=TRUE,Inputs!$B$32,0)))*(1-IF(AND(ArtifactsInput!$M$27,Inputs!$B$4="Chapter Hunt"),CHOOSE(ArtifactsInput!$N$27+1,20,24,28,32,36,40),0)/100))/B1631))))/Skills!H11+0.000000001),1)))/Inputs!$B$43),G1600*Q1600)))*N1603)*IF(Inputs!$B$38="pvp",1,(1+(Inputs!$B$21+Skills!Q14+(IF(ArtifactsInput!$M$33,CHOOSE(ArtifactsInput!$N$33+1,30,36,42,48,54,60),0))+(IF(AND(ArtifactsInput!$M$35,Inputs!$B$4&lt;&gt;"Chapter Hunt"),CHOOSE(ArtifactsInput!$N$35+1,15,18,21,24,27,30)*(1-EXP(-(0.2*B1622)*5)),0)+IF(AND(ArtifactsInput!$M$22,Inputs!$B$4&lt;&gt;"Chapter Hunt"),CHOOSE(ArtifactsInput!$N$22+1,10,12,14,16,18,20)*((0*(((0.15*B1622*5))^0/1)+1*(((0.15*B1622*5))^1/1)+2*(((0.15*B1622*5))^2/2)+3*(((0.15*B1622*5))^3/6)+4*(((0.15*B1622*5))^4/24)+5*(((0.15*B1622*5))^5/120))/((((0.15*B1622*5))^0/1)+(((0.15*B1622*5))^1/1)+(((0.15*B1622*5))^2/2)+(((0.15*B1622*5))^3/6)+(((0.15*B1622*5))^4/24)+(((0.15*B1622*5))^5/120))),0))+IF(Inputs!$B$3&gt;=54,9*(C1592=TRUE)*MIN(1,8*(1+Inputs!$B$34/100)*Q1592),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04">
      <c r="A1604">
        <f>Skills!A15</f>
        <v/>
      </c>
      <c r="B1604">
        <f>Skills!B15</f>
        <v/>
      </c>
      <c r="C1604">
        <f>Inputs!$B$3&gt;=100</f>
        <v/>
      </c>
      <c r="D1604">
        <f>IF(Skills!C15=1,60+Inputs!$B$25+Inputs!$B$29,IF(Skills!C15=2,90+Inputs!$B$26+Inputs!$B$29,IF(Skills!C15=3,120+Inputs!$B$27+Inputs!$B$29,MAX(0,(Inputs!$B$3-100)*3)+Inputs!$B$28+Inputs!$B$29)))</f>
        <v/>
      </c>
      <c r="E1604">
        <f>INDEX(FactorTable!$B$2:$Y$301, MATCH(ROUND(MIN(300,MAX(1,D1604)),0), FactorTable!$A$2:$A$301,0), Skills!M15+1)</f>
        <v/>
      </c>
      <c r="F1604">
        <f>IF(Skills!N15=TRUE,(Skills!L15/10)*(E1604/1000),Skills!L15/10)+Skills!O15</f>
        <v/>
      </c>
      <c r="G1604" t="inlineStr"/>
      <c r="H1604" t="inlineStr"/>
      <c r="I1604" t="inlineStr">
        <is>
          <t>1</t>
        </is>
      </c>
      <c r="J1604" t="inlineStr"/>
      <c r="K1604" t="inlineStr"/>
      <c r="L1604" t="inlineStr"/>
      <c r="M1604" t="inlineStr"/>
      <c r="N1604" t="inlineStr"/>
      <c r="O1604" t="inlineStr"/>
      <c r="P1604" t="inlineStr"/>
      <c r="Q1604" t="inlineStr"/>
      <c r="R1604" t="inlineStr"/>
      <c r="S1604" t="inlineStr"/>
    </row>
    <row r="1605">
      <c r="A1605">
        <f>Skills!A16</f>
        <v/>
      </c>
      <c r="B1605">
        <f>Skills!B16</f>
        <v/>
      </c>
      <c r="C1605">
        <f>Inputs!$B$3&gt;=107</f>
        <v/>
      </c>
      <c r="D1605">
        <f>IF(Skills!C16=1,60+Inputs!$B$25+Inputs!$B$29,IF(Skills!C16=2,90+Inputs!$B$26+Inputs!$B$29,IF(Skills!C16=3,120+Inputs!$B$27+Inputs!$B$29,MAX(0,(Inputs!$B$3-100)*3)+Inputs!$B$28+Inputs!$B$29)))</f>
        <v/>
      </c>
      <c r="E1605">
        <f>INDEX(FactorTable!$B$2:$Y$301, MATCH(ROUND(MIN(300,MAX(1,D1605)),0), FactorTable!$A$2:$A$301,0), Skills!M16+1)</f>
        <v/>
      </c>
      <c r="F1605">
        <f>IF(Skills!N16=TRUE,(Skills!L16/10)*(E1605/1000),Skills!L16/10)+Skills!O16</f>
        <v/>
      </c>
      <c r="G1605" t="inlineStr"/>
      <c r="H1605" t="inlineStr"/>
      <c r="I1605" t="inlineStr">
        <is>
          <t>1</t>
        </is>
      </c>
      <c r="J1605" t="inlineStr"/>
      <c r="K1605" t="inlineStr"/>
      <c r="L1605" t="inlineStr"/>
      <c r="M1605" t="inlineStr"/>
      <c r="N1605" t="inlineStr"/>
      <c r="O1605" t="inlineStr"/>
      <c r="P1605" t="inlineStr"/>
      <c r="Q1605" t="inlineStr"/>
      <c r="R1605" t="inlineStr"/>
      <c r="S1605" t="inlineStr"/>
    </row>
    <row r="1606">
      <c r="A1606">
        <f>Skills!A17</f>
        <v/>
      </c>
      <c r="B1606">
        <f>Skills!B17</f>
        <v/>
      </c>
      <c r="C1606">
        <f>Inputs!$B$3&gt;=74</f>
        <v/>
      </c>
      <c r="D1606">
        <f>IF(Skills!C17=1,60+Inputs!$B$25+Inputs!$B$29,IF(Skills!C17=2,90+Inputs!$B$26+Inputs!$B$29,IF(Skills!C17=3,120+Inputs!$B$27+Inputs!$B$29,MAX(0,(Inputs!$B$3-100)*3)+Inputs!$B$28+Inputs!$B$29)))</f>
        <v/>
      </c>
      <c r="E1606">
        <f>INDEX(FactorTable!$B$2:$Y$301, MATCH(ROUND(MIN(300,MAX(1,D1606)),0), FactorTable!$A$2:$A$301,0), Skills!M17+1)</f>
        <v/>
      </c>
      <c r="F1606">
        <f>IF(Skills!N17=TRUE,(Skills!L17/10)*(E1606/1000),Skills!L17/10)+Skills!O17</f>
        <v/>
      </c>
      <c r="G1606">
        <f>Skills!G17*IF(Skills!H17&gt;0,INT(IF(Inputs!$B$38="pvp",MIN(Skills!I17,15),Skills!I17)/Skills!H17+0.000000001),1)</f>
        <v/>
      </c>
      <c r="H1606">
        <f>1-(1-Skills!J17/100)^Skills!K17</f>
        <v/>
      </c>
      <c r="I1606" t="inlineStr">
        <is>
          <t>1</t>
        </is>
      </c>
      <c r="J1606" t="inlineStr"/>
      <c r="K1606" t="inlineStr"/>
      <c r="L1606" t="inlineStr"/>
      <c r="M1606" t="inlineStr"/>
      <c r="N1606" t="inlineStr"/>
      <c r="O1606">
        <f>(1-Summary!$B$11)*T1606+Summary!$B$11*V1606</f>
        <v/>
      </c>
      <c r="P1606">
        <f>IF(B1630=0,0,O1606/B1630)</f>
        <v/>
      </c>
      <c r="Q1606" t="n">
        <v>0</v>
      </c>
      <c r="R1606" t="n">
        <v>0</v>
      </c>
      <c r="S1606">
        <f>IFERROR(O1606/N1606,0)</f>
        <v/>
      </c>
      <c r="T1606" t="n">
        <v>0</v>
      </c>
      <c r="V1606" t="n">
        <v>0</v>
      </c>
    </row>
    <row r="1607">
      <c r="A1607">
        <f>Skills!A18</f>
        <v/>
      </c>
      <c r="B1607">
        <f>Skills!B18</f>
        <v/>
      </c>
      <c r="C1607">
        <f>Inputs!$B$3&gt;=115</f>
        <v/>
      </c>
      <c r="D1607">
        <f>IF(Skills!C18=1,60+Inputs!$B$25+Inputs!$B$29,IF(Skills!C18=2,90+Inputs!$B$26+Inputs!$B$29,IF(Skills!C18=3,120+Inputs!$B$27+Inputs!$B$29,MAX(0,(Inputs!$B$3-100)*3)+Inputs!$B$28+Inputs!$B$29)))</f>
        <v/>
      </c>
      <c r="E1607">
        <f>INDEX(FactorTable!$B$2:$Y$301, MATCH(ROUND(MIN(300,MAX(1,D1607)),0), FactorTable!$A$2:$A$301,0), Skills!M18+1)</f>
        <v/>
      </c>
      <c r="F1607">
        <f>IF(Skills!N18=TRUE,(Skills!L18/10)*(E1607/1000),Skills!L18/10)+Skills!O18</f>
        <v/>
      </c>
      <c r="G1607">
        <f>Skills!G18*IF(Skills!H18&gt;0,INT(IF(Inputs!$B$38="pvp",MIN(Skills!I18,15),Skills!I18)/Skills!H18+0.000000001),1)</f>
        <v/>
      </c>
      <c r="H1607">
        <f>1-(1-Skills!J18/100)^Skills!K18</f>
        <v/>
      </c>
      <c r="I1607" t="inlineStr">
        <is>
          <t>1</t>
        </is>
      </c>
      <c r="J1607" t="inlineStr"/>
      <c r="K1607" t="inlineStr"/>
      <c r="L1607" t="inlineStr"/>
      <c r="M1607" t="inlineStr"/>
      <c r="N1607" t="inlineStr"/>
      <c r="O1607">
        <f>(1-Summary!$B$11)*T1607+Summary!$B$11*V1607</f>
        <v/>
      </c>
      <c r="P1607">
        <f>IF(B1630=0,0,O1607/B1630)</f>
        <v/>
      </c>
      <c r="Q1607">
        <f>IFERROR(1/(IF(Inputs!$B$38="pvp",15,MAX(0.1,Skills!D18-IF(TRUE=TRUE,Inputs!$B$32,0)))*(1-IF(AND(ArtifactsInput!$M$27,Inputs!$B$4="Chapter Hunt"),CHOOSE(ArtifactsInput!$N$27+1,20,24,28,32,36,40),0)/100)),0)</f>
        <v/>
      </c>
      <c r="R1607">
        <f>IF(AND(Inputs!$B$38&lt;&gt;"pvp",Inputs!$B$43&gt;0),IF(Inputs!$B$43&lt;=0,0,(INT(Inputs!$B$43/(IF(Inputs!$B$38="pvp",15,MAX(0.1,Skills!D18-IF(TRUE=TRUE,Inputs!$B$32,0)))*(1-IF(AND(ArtifactsInput!$M$27,Inputs!$B$4="Chapter Hunt"),CHOOSE(ArtifactsInput!$N$27+1,20,24,28,32,36,40),0)/100)))+1)),0)</f>
        <v/>
      </c>
      <c r="S1607">
        <f>IFERROR(O1607/N1607,0)</f>
        <v/>
      </c>
      <c r="T1607" t="n">
        <v>0</v>
      </c>
      <c r="V1607" t="n">
        <v>0</v>
      </c>
    </row>
    <row r="1608">
      <c r="A1608">
        <f>Skills!A19</f>
        <v/>
      </c>
      <c r="B1608">
        <f>Skills!B19</f>
        <v/>
      </c>
      <c r="C1608">
        <f>Inputs!$B$3&gt;=10</f>
        <v/>
      </c>
      <c r="D1608">
        <f>IF(Skills!C19=1,60+Inputs!$B$25+Inputs!$B$29,IF(Skills!C19=2,90+Inputs!$B$26+Inputs!$B$29,IF(Skills!C19=3,120+Inputs!$B$27+Inputs!$B$29,MAX(0,(Inputs!$B$3-100)*3)+Inputs!$B$28+Inputs!$B$29)))</f>
        <v/>
      </c>
      <c r="E1608">
        <f>INDEX(FactorTable!$B$2:$Y$301, MATCH(ROUND(MIN(300,MAX(1,D1608)),0), FactorTable!$A$2:$A$301,0), Skills!M19+1)</f>
        <v/>
      </c>
      <c r="F1608">
        <f>IF(Skills!N19=TRUE,(Skills!L19/10)*(E1608/1000),Skills!L19/10)+Skills!O19</f>
        <v/>
      </c>
      <c r="G1608">
        <f>Skills!G19*IF(Skills!H19&gt;0,INT(IF(Inputs!$B$38="pvp",MIN(Skills!I19,15),Skills!I19)/Skills!H19+0.000000001),1)</f>
        <v/>
      </c>
      <c r="H1608">
        <f>1-(1-Skills!J19/100)^Skills!K19</f>
        <v/>
      </c>
      <c r="I1608" t="inlineStr">
        <is>
          <t>1</t>
        </is>
      </c>
      <c r="J1608" t="inlineStr"/>
      <c r="K1608" t="inlineStr"/>
      <c r="L1608" t="inlineStr"/>
      <c r="M1608" t="inlineStr"/>
      <c r="N1608" t="inlineStr"/>
      <c r="O1608">
        <f>(1-Summary!$B$11)*T1608+Summary!$B$11*V1608</f>
        <v/>
      </c>
      <c r="P1608">
        <f>IF(B1630=0,0,O1608/B1630)</f>
        <v/>
      </c>
      <c r="Q1608" t="n">
        <v>0</v>
      </c>
      <c r="R1608" t="n">
        <v>0</v>
      </c>
      <c r="S1608">
        <f>IFERROR(O1608/N1608,0)</f>
        <v/>
      </c>
      <c r="T1608" t="n">
        <v>0</v>
      </c>
      <c r="V1608" t="n">
        <v>0</v>
      </c>
    </row>
    <row r="1609">
      <c r="A1609">
        <f>Skills!A20</f>
        <v/>
      </c>
      <c r="B1609">
        <f>Skills!B20</f>
        <v/>
      </c>
      <c r="C1609">
        <f>Inputs!$B$3&gt;=15</f>
        <v/>
      </c>
      <c r="D1609">
        <f>IF(Skills!C20=1,60+Inputs!$B$25+Inputs!$B$29,IF(Skills!C20=2,90+Inputs!$B$26+Inputs!$B$29,IF(Skills!C20=3,120+Inputs!$B$27+Inputs!$B$29,MAX(0,(Inputs!$B$3-100)*3)+Inputs!$B$28+Inputs!$B$29)))</f>
        <v/>
      </c>
      <c r="E1609">
        <f>INDEX(FactorTable!$B$2:$Y$301, MATCH(ROUND(MIN(300,MAX(1,D1609)),0), FactorTable!$A$2:$A$301,0), Skills!M20+1)</f>
        <v/>
      </c>
      <c r="F1609">
        <f>IF(Skills!N20=TRUE,(Skills!L20/10)*(E1609/1000),Skills!L20/10)+Skills!O20</f>
        <v/>
      </c>
      <c r="G1609">
        <f>Skills!G20*IF(Skills!H20&gt;0,INT(IF(Inputs!$B$38="pvp",MIN(Skills!I20,15),Skills!I20)/Skills!H20+0.000000001),1)</f>
        <v/>
      </c>
      <c r="H1609">
        <f>1-(1-Skills!J20/100)^Skills!K20</f>
        <v/>
      </c>
      <c r="I1609" t="inlineStr">
        <is>
          <t>1</t>
        </is>
      </c>
      <c r="J1609" t="inlineStr"/>
      <c r="K1609" t="inlineStr"/>
      <c r="L1609" t="inlineStr"/>
      <c r="M1609" t="inlineStr"/>
      <c r="N1609" t="inlineStr"/>
      <c r="O1609">
        <f>(1-Summary!$B$11)*T1609+Summary!$B$11*V1609</f>
        <v/>
      </c>
      <c r="P1609">
        <f>IF(B1630=0,0,O1609/B1630)</f>
        <v/>
      </c>
      <c r="Q1609" t="n">
        <v>0</v>
      </c>
      <c r="R1609" t="n">
        <v>0</v>
      </c>
      <c r="S1609">
        <f>IFERROR(O1609/N1609,0)</f>
        <v/>
      </c>
      <c r="T1609" t="n">
        <v>0</v>
      </c>
      <c r="V1609" t="n">
        <v>0</v>
      </c>
    </row>
    <row r="1610">
      <c r="A1610">
        <f>Skills!A21</f>
        <v/>
      </c>
      <c r="B1610">
        <f>Skills!B21</f>
        <v/>
      </c>
      <c r="C1610">
        <f>Inputs!$B$3&gt;=40</f>
        <v/>
      </c>
      <c r="D1610">
        <f>IF(Skills!C21=1,60+Inputs!$B$25+Inputs!$B$29,IF(Skills!C21=2,90+Inputs!$B$26+Inputs!$B$29,IF(Skills!C21=3,120+Inputs!$B$27+Inputs!$B$29,MAX(0,(Inputs!$B$3-100)*3)+Inputs!$B$28+Inputs!$B$29)))</f>
        <v/>
      </c>
      <c r="E1610">
        <f>INDEX(FactorTable!$B$2:$Y$301, MATCH(ROUND(MIN(300,MAX(1,D1610)),0), FactorTable!$A$2:$A$301,0), Skills!M21+1)</f>
        <v/>
      </c>
      <c r="F1610">
        <f>IF(Skills!N21=TRUE,(Skills!L21/10)*(E1610/1000),Skills!L21/10)+Skills!O21</f>
        <v/>
      </c>
      <c r="G1610">
        <f>Skills!G21*IF(Skills!H21&gt;0,INT(IF(Inputs!$B$38="pvp",MIN(Skills!I21,15),Skills!I21)/Skills!H21+0.000000001),1)</f>
        <v/>
      </c>
      <c r="H1610">
        <f>1-(1-Skills!J21/100)^Skills!K21</f>
        <v/>
      </c>
      <c r="I1610" t="inlineStr">
        <is>
          <t>1</t>
        </is>
      </c>
      <c r="J1610" t="inlineStr"/>
      <c r="K1610" t="inlineStr"/>
      <c r="L1610" t="inlineStr"/>
      <c r="M1610" t="inlineStr"/>
      <c r="N1610" t="inlineStr"/>
      <c r="O1610">
        <f>(1-Summary!$B$11)*T1610+Summary!$B$11*V1610</f>
        <v/>
      </c>
      <c r="P1610">
        <f>IF(B1630=0,0,O1610/B1630)</f>
        <v/>
      </c>
      <c r="Q1610" t="n">
        <v>0</v>
      </c>
      <c r="R1610" t="n">
        <v>0</v>
      </c>
      <c r="S1610">
        <f>IFERROR(O1610/N1610,0)</f>
        <v/>
      </c>
      <c r="T1610" t="n">
        <v>0</v>
      </c>
      <c r="V1610" t="n">
        <v>0</v>
      </c>
    </row>
    <row r="1611">
      <c r="A1611">
        <f>Skills!A22</f>
        <v/>
      </c>
      <c r="B1611">
        <f>Skills!B22</f>
        <v/>
      </c>
      <c r="C1611">
        <f>Inputs!$B$3&gt;=43</f>
        <v/>
      </c>
      <c r="D1611">
        <f>IF(Skills!C22=1,60+Inputs!$B$25+Inputs!$B$29,IF(Skills!C22=2,90+Inputs!$B$26+Inputs!$B$29,IF(Skills!C22=3,120+Inputs!$B$27+Inputs!$B$29,MAX(0,(Inputs!$B$3-100)*3)+Inputs!$B$28+Inputs!$B$29)))</f>
        <v/>
      </c>
      <c r="E1611">
        <f>INDEX(FactorTable!$B$2:$Y$301, MATCH(ROUND(MIN(300,MAX(1,D1611)),0), FactorTable!$A$2:$A$301,0), Skills!M22+1)</f>
        <v/>
      </c>
      <c r="F1611">
        <f>IF(Skills!N22=TRUE,(Skills!L22/10)*(E1611/1000),Skills!L22/10)+Skills!O22</f>
        <v/>
      </c>
      <c r="G1611">
        <f>Skills!G22*IF(Skills!H22&gt;0,INT(IF(Inputs!$B$38="pvp",MIN(Skills!I22,15),Skills!I22)/Skills!H22+0.000000001),1)</f>
        <v/>
      </c>
      <c r="H1611">
        <f>1-(1-Skills!J22/100)^Skills!K22</f>
        <v/>
      </c>
      <c r="I1611" t="inlineStr">
        <is>
          <t>1</t>
        </is>
      </c>
      <c r="J1611" t="inlineStr"/>
      <c r="K1611" t="inlineStr"/>
      <c r="L1611" t="inlineStr"/>
      <c r="M1611" t="inlineStr"/>
      <c r="N1611" t="inlineStr"/>
      <c r="O1611">
        <f>(1-Summary!$B$11)*T1611+Summary!$B$11*V1611</f>
        <v/>
      </c>
      <c r="P1611">
        <f>IF(B1630=0,0,O1611/B1630)</f>
        <v/>
      </c>
      <c r="Q1611" t="n">
        <v>0</v>
      </c>
      <c r="R1611" t="n">
        <v>0</v>
      </c>
      <c r="S1611">
        <f>IFERROR(O1611/N1611,0)</f>
        <v/>
      </c>
      <c r="T1611" t="n">
        <v>0</v>
      </c>
      <c r="V1611" t="n">
        <v>0</v>
      </c>
    </row>
    <row r="1612">
      <c r="A1612">
        <f>Skills!A23</f>
        <v/>
      </c>
      <c r="B1612">
        <f>Skills!B23</f>
        <v/>
      </c>
      <c r="C1612">
        <f>Inputs!$B$3&gt;=38</f>
        <v/>
      </c>
      <c r="D1612">
        <f>IF(Skills!C23=1,60+Inputs!$B$25+Inputs!$B$29,IF(Skills!C23=2,90+Inputs!$B$26+Inputs!$B$29,IF(Skills!C23=3,120+Inputs!$B$27+Inputs!$B$29,MAX(0,(Inputs!$B$3-100)*3)+Inputs!$B$28+Inputs!$B$29)))</f>
        <v/>
      </c>
      <c r="E1612">
        <f>INDEX(FactorTable!$B$2:$Y$301, MATCH(ROUND(MIN(300,MAX(1,D1612)),0), FactorTable!$A$2:$A$301,0), Skills!M23+1)</f>
        <v/>
      </c>
      <c r="F1612">
        <f>IF(Skills!N23=TRUE,(Skills!L23/10)*(E1612/1000),Skills!L23/10)+Skills!O23</f>
        <v/>
      </c>
      <c r="G1612">
        <f>Skills!G23*IF(Skills!H23&gt;0,INT(IF(Inputs!$B$38="pvp",MIN(Skills!I23,15),Skills!I23)/Skills!H23+0.000000001),1)</f>
        <v/>
      </c>
      <c r="H1612">
        <f>1-(1-Skills!J23/100)^Skills!K23</f>
        <v/>
      </c>
      <c r="I1612" t="inlineStr">
        <is>
          <t>1</t>
        </is>
      </c>
      <c r="J1612" t="inlineStr"/>
      <c r="K1612" t="inlineStr"/>
      <c r="L1612" t="inlineStr"/>
      <c r="M1612" t="inlineStr"/>
      <c r="N1612" t="inlineStr"/>
      <c r="O1612">
        <f>(1-Summary!$B$11)*T1612+Summary!$B$11*V1612</f>
        <v/>
      </c>
      <c r="P1612">
        <f>IF(B1630=0,0,O1612/B1630)</f>
        <v/>
      </c>
      <c r="Q1612" t="n">
        <v>0</v>
      </c>
      <c r="R1612" t="n">
        <v>0</v>
      </c>
      <c r="S1612">
        <f>IFERROR(O1612/N1612,0)</f>
        <v/>
      </c>
      <c r="T1612" t="n">
        <v>0</v>
      </c>
      <c r="V1612" t="n">
        <v>0</v>
      </c>
    </row>
    <row r="1613">
      <c r="A1613">
        <f>Skills!A24</f>
        <v/>
      </c>
      <c r="B1613">
        <f>Skills!B24</f>
        <v/>
      </c>
      <c r="C1613">
        <f>Inputs!$B$3&gt;=45</f>
        <v/>
      </c>
      <c r="D1613">
        <f>IF(Skills!C24=1,60+Inputs!$B$25+Inputs!$B$29,IF(Skills!C24=2,90+Inputs!$B$26+Inputs!$B$29,IF(Skills!C24=3,120+Inputs!$B$27+Inputs!$B$29,MAX(0,(Inputs!$B$3-100)*3)+Inputs!$B$28+Inputs!$B$29)))</f>
        <v/>
      </c>
      <c r="E1613">
        <f>INDEX(FactorTable!$B$2:$Y$301, MATCH(ROUND(MIN(300,MAX(1,D1613)),0), FactorTable!$A$2:$A$301,0), Skills!M24+1)</f>
        <v/>
      </c>
      <c r="F1613">
        <f>IF(Skills!N24=TRUE,(Skills!L24/10)*(E1613/1000),Skills!L24/10)+Skills!O24</f>
        <v/>
      </c>
      <c r="G1613">
        <f>Skills!G24*IF(Skills!H24&gt;0,INT(IF(Inputs!$B$38="pvp",MIN(Skills!I24,15),Skills!I24)/Skills!H24+0.000000001),1)</f>
        <v/>
      </c>
      <c r="H1613">
        <f>1-(1-Skills!J24/100)^Skills!K24</f>
        <v/>
      </c>
      <c r="I1613" t="inlineStr">
        <is>
          <t>1</t>
        </is>
      </c>
      <c r="J1613" t="inlineStr"/>
      <c r="K1613" t="inlineStr"/>
      <c r="L1613" t="inlineStr"/>
      <c r="M1613" t="inlineStr"/>
      <c r="N1613" t="inlineStr"/>
      <c r="O1613">
        <f>(1-Summary!$B$11)*T1613+Summary!$B$11*V1613</f>
        <v/>
      </c>
      <c r="P1613">
        <f>IF(B1630=0,0,O1613/B1630)</f>
        <v/>
      </c>
      <c r="Q1613" t="n">
        <v>0</v>
      </c>
      <c r="R1613" t="n">
        <v>0</v>
      </c>
      <c r="S1613">
        <f>IFERROR(O1613/N1613,0)</f>
        <v/>
      </c>
      <c r="T1613" t="n">
        <v>0</v>
      </c>
      <c r="V1613" t="n">
        <v>0</v>
      </c>
    </row>
    <row r="1614">
      <c r="A1614">
        <f>Skills!A25</f>
        <v/>
      </c>
      <c r="B1614">
        <f>Skills!B25</f>
        <v/>
      </c>
      <c r="C1614">
        <f>Inputs!$B$3&gt;=72</f>
        <v/>
      </c>
      <c r="D1614">
        <f>IF(Skills!C25=1,60+Inputs!$B$25+Inputs!$B$29,IF(Skills!C25=2,90+Inputs!$B$26+Inputs!$B$29,IF(Skills!C25=3,120+Inputs!$B$27+Inputs!$B$29,MAX(0,(Inputs!$B$3-100)*3)+Inputs!$B$28+Inputs!$B$29)))</f>
        <v/>
      </c>
      <c r="E1614">
        <f>INDEX(FactorTable!$B$2:$Y$301, MATCH(ROUND(MIN(300,MAX(1,D1614)),0), FactorTable!$A$2:$A$301,0), Skills!M25+1)</f>
        <v/>
      </c>
      <c r="F1614">
        <f>IF(Skills!N25=TRUE,(Skills!L25/10)*(E1614/1000),Skills!L25/10)+Skills!O25</f>
        <v/>
      </c>
      <c r="G1614">
        <f>Skills!G25*IF(Skills!H25&gt;0,INT(IF(Inputs!$B$38="pvp",MIN(Skills!I25,15),Skills!I25)/Skills!H25+0.000000001),1)</f>
        <v/>
      </c>
      <c r="H1614">
        <f>1-(1-Skills!J25/100)^Skills!K25</f>
        <v/>
      </c>
      <c r="I1614" t="inlineStr">
        <is>
          <t>1</t>
        </is>
      </c>
      <c r="J1614" t="inlineStr"/>
      <c r="K1614" t="inlineStr"/>
      <c r="L1614" t="inlineStr"/>
      <c r="M1614" t="inlineStr"/>
      <c r="N1614" t="inlineStr"/>
      <c r="O1614">
        <f>(1-Summary!$B$11)*T1614+Summary!$B$11*V1614</f>
        <v/>
      </c>
      <c r="P1614">
        <f>IF(B1630=0,0,O1614/B1630)</f>
        <v/>
      </c>
      <c r="Q1614" t="n">
        <v>0</v>
      </c>
      <c r="R1614" t="n">
        <v>0</v>
      </c>
      <c r="S1614">
        <f>IFERROR(O1614/N1614,0)</f>
        <v/>
      </c>
      <c r="T1614" t="n">
        <v>0</v>
      </c>
      <c r="V1614" t="n">
        <v>0</v>
      </c>
    </row>
    <row r="1615">
      <c r="A1615">
        <f>Skills!A26</f>
        <v/>
      </c>
      <c r="B1615">
        <f>Skills!B26</f>
        <v/>
      </c>
      <c r="C1615">
        <f>Inputs!$B$3&gt;=75</f>
        <v/>
      </c>
      <c r="D1615">
        <f>IF(Skills!C26=1,60+Inputs!$B$25+Inputs!$B$29,IF(Skills!C26=2,90+Inputs!$B$26+Inputs!$B$29,IF(Skills!C26=3,120+Inputs!$B$27+Inputs!$B$29,MAX(0,(Inputs!$B$3-100)*3)+Inputs!$B$28+Inputs!$B$29)))</f>
        <v/>
      </c>
      <c r="E1615">
        <f>INDEX(FactorTable!$B$2:$Y$301, MATCH(ROUND(MIN(300,MAX(1,D1615)),0), FactorTable!$A$2:$A$301,0), Skills!M26+1)</f>
        <v/>
      </c>
      <c r="F1615">
        <f>IF(Skills!N26=TRUE,(Skills!L26/10)*(E1615/1000),Skills!L26/10)+Skills!O26</f>
        <v/>
      </c>
      <c r="G1615">
        <f>Skills!G26*IF(Skills!H26&gt;0,INT(IF(Inputs!$B$38="pvp",MIN(Skills!I26,15),Skills!I26)/Skills!H26+0.000000001),1)</f>
        <v/>
      </c>
      <c r="H1615">
        <f>1-(1-Skills!J26/100)^Skills!K26</f>
        <v/>
      </c>
      <c r="I1615" t="inlineStr">
        <is>
          <t>1</t>
        </is>
      </c>
      <c r="J1615" t="inlineStr"/>
      <c r="K1615" t="inlineStr"/>
      <c r="L1615" t="inlineStr"/>
      <c r="M1615" t="inlineStr"/>
      <c r="N1615" t="inlineStr"/>
      <c r="O1615">
        <f>(1-Summary!$B$11)*T1615+Summary!$B$11*V1615</f>
        <v/>
      </c>
      <c r="P1615">
        <f>IF(B1630=0,0,O1615/B1630)</f>
        <v/>
      </c>
      <c r="Q1615" t="n">
        <v>0</v>
      </c>
      <c r="R1615" t="n">
        <v>0</v>
      </c>
      <c r="S1615">
        <f>IFERROR(O1615/N1615,0)</f>
        <v/>
      </c>
      <c r="T1615" t="n">
        <v>0</v>
      </c>
      <c r="V1615" t="n">
        <v>0</v>
      </c>
    </row>
    <row r="1616">
      <c r="A1616">
        <f>Skills!A27</f>
        <v/>
      </c>
      <c r="B1616">
        <f>Skills!B27</f>
        <v/>
      </c>
      <c r="C1616">
        <f>Inputs!$B$3&gt;=125</f>
        <v/>
      </c>
      <c r="D1616">
        <f>IF(Skills!C27=1,60+Inputs!$B$25+Inputs!$B$29,IF(Skills!C27=2,90+Inputs!$B$26+Inputs!$B$29,IF(Skills!C27=3,120+Inputs!$B$27+Inputs!$B$29,MAX(0,(Inputs!$B$3-100)*3)+Inputs!$B$28+Inputs!$B$29)))</f>
        <v/>
      </c>
      <c r="E1616">
        <f>INDEX(FactorTable!$B$2:$Y$301, MATCH(ROUND(MIN(300,MAX(1,D1616)),0), FactorTable!$A$2:$A$301,0), Skills!M27+1)</f>
        <v/>
      </c>
      <c r="F1616">
        <f>IF(Skills!N27=TRUE,(Skills!L27/10)*(E1616/1000),Skills!L27/10)+Skills!O27</f>
        <v/>
      </c>
      <c r="G1616">
        <f>Skills!G27*IF(Skills!H27&gt;0,INT(IF(Inputs!$B$38="pvp",MIN(Skills!I27,15),Skills!I27)/Skills!H27+0.000000001),1)</f>
        <v/>
      </c>
      <c r="H1616">
        <f>1-(1-Skills!J27/100)^Skills!K27</f>
        <v/>
      </c>
      <c r="I1616" t="inlineStr">
        <is>
          <t>1</t>
        </is>
      </c>
      <c r="J1616" t="inlineStr"/>
      <c r="K1616" t="inlineStr"/>
      <c r="L1616" t="inlineStr"/>
      <c r="M1616" t="inlineStr"/>
      <c r="N1616" t="inlineStr"/>
      <c r="O1616">
        <f>(1-Summary!$B$11)*T1616+Summary!$B$11*V1616</f>
        <v/>
      </c>
      <c r="P1616">
        <f>IF(B1630=0,0,O1616/B1630)</f>
        <v/>
      </c>
      <c r="Q1616" t="n">
        <v>0</v>
      </c>
      <c r="R1616" t="n">
        <v>0</v>
      </c>
      <c r="S1616">
        <f>IFERROR(O1616/N1616,0)</f>
        <v/>
      </c>
      <c r="T1616" t="n">
        <v>0</v>
      </c>
      <c r="V1616" t="n">
        <v>0</v>
      </c>
    </row>
    <row r="1617">
      <c r="A1617">
        <f>Skills!A28</f>
        <v/>
      </c>
      <c r="B1617">
        <f>Skills!B28</f>
        <v/>
      </c>
      <c r="C1617">
        <f>TRUE</f>
        <v/>
      </c>
      <c r="D1617">
        <f>IF(Skills!C28=1,60+Inputs!$B$25+Inputs!$B$29,IF(Skills!C28=2,90+Inputs!$B$26+Inputs!$B$29,IF(Skills!C28=3,120+Inputs!$B$27+Inputs!$B$29,MAX(0,(Inputs!$B$3-100)*3)+Inputs!$B$28+Inputs!$B$29)))</f>
        <v/>
      </c>
      <c r="E1617">
        <f>INDEX(FactorTable!$B$2:$Y$301, MATCH(ROUND(MIN(300,MAX(1,D1617)),0), FactorTable!$A$2:$A$301,0), Skills!M28+1)</f>
        <v/>
      </c>
      <c r="F1617">
        <f>IF(Skills!N28=TRUE,(Skills!L28/10)*(E1617/1000),Skills!L28/10)+Skills!O28</f>
        <v/>
      </c>
      <c r="G1617">
        <f>Skills!G28*IF(Skills!H28&gt;0,INT(IF(Inputs!$B$38="pvp",MIN(Skills!I28,15),Skills!I28)/Skills!H28+0.000000001),1)</f>
        <v/>
      </c>
      <c r="H1617">
        <f>1-(1-Skills!J28/100)^Skills!K28</f>
        <v/>
      </c>
      <c r="I1617" t="inlineStr">
        <is>
          <t>1</t>
        </is>
      </c>
      <c r="J1617" t="inlineStr"/>
      <c r="K1617" t="inlineStr"/>
      <c r="L1617" t="inlineStr"/>
      <c r="M1617" t="inlineStr"/>
      <c r="N1617" t="inlineStr"/>
      <c r="O1617">
        <f>(1-Summary!$B$11)*T1617+Summary!$B$11*V1617</f>
        <v/>
      </c>
      <c r="P1617">
        <f>IF(B1630=0,0,O1617/B1630)</f>
        <v/>
      </c>
      <c r="Q1617">
        <f>IFERROR(1/(IF(Inputs!$B$38="pvp",15,MAX(0.1,Skills!D28-IF(TRUE=TRUE,Inputs!$B$32,0)))*(1-IF(AND(ArtifactsInput!$M$27,Inputs!$B$4="Chapter Hunt"),CHOOSE(ArtifactsInput!$N$27+1,20,24,28,32,36,40),0)/100)),0)</f>
        <v/>
      </c>
      <c r="R1617">
        <f>IF(AND(Inputs!$B$38&lt;&gt;"pvp",Inputs!$B$43&gt;0),IF(Inputs!$B$43&lt;=0,0,(INT(Inputs!$B$43/(IF(Inputs!$B$38="pvp",15,MAX(0.1,Skills!D28-IF(TRUE=TRUE,Inputs!$B$32,0)))*(1-IF(AND(ArtifactsInput!$M$27,Inputs!$B$4="Chapter Hunt"),CHOOSE(ArtifactsInput!$N$27+1,20,24,28,32,36,40),0)/100)))+1)),0)</f>
        <v/>
      </c>
      <c r="S1617">
        <f>IFERROR(O1617/N1617,0)</f>
        <v/>
      </c>
      <c r="T1617" t="n">
        <v>0</v>
      </c>
      <c r="V1617" t="n">
        <v>0</v>
      </c>
    </row>
    <row r="1619">
      <c r="A1619" t="inlineStr">
        <is>
          <t>Attack% Bucket Multiplier</t>
        </is>
      </c>
      <c r="B1619">
        <f>(1+(((C1606=TRUE)*F1606*5/7)+((C1613=TRUE)*(F1613-Calc!F24))+(IF(ArtifactsInput!$M$21,CHOOSE(ArtifactsInput!$N$21+1,25,30,35,40,45,50)*(IF(OR(Inputs!$B$4="Chapter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620">
      <c r="A1620" t="inlineStr">
        <is>
          <t>Global Crit Rate Bonus %</t>
        </is>
      </c>
      <c r="B1620" t="n">
        <v>0</v>
      </c>
    </row>
    <row r="1621">
      <c r="A1621" t="inlineStr">
        <is>
          <t>Attack Speed Buff Bonus % (Nimble Feet, duty-cycle averaged)</t>
        </is>
      </c>
      <c r="B1621">
        <f>((C1617=TRUE)*F1617*IF(AND(Inputs!$B$38&lt;&gt;"pvp",Inputs!$B$43&gt;0),(((R1617-1)*MIN((Skills!T28*(1+Inputs!$B$34/100)),(1/Q1617))+MIN((Skills!T28*(1+Inputs!$B$34/100)),MAX(0,Inputs!$B$43-((R1617-1)*(1/Q1617)))))/Inputs!$B$43),IF(Inputs!$B$38="pvp",MIN((Skills!T28*(1+Inputs!$B$34/100)),15)/15,MIN(1,(Skills!T28*(1+Inputs!$B$34/100))/(1/Q1617)))))</f>
        <v/>
      </c>
    </row>
    <row r="1622">
      <c r="A1622" t="inlineStr">
        <is>
          <t>Actions Per Second</t>
        </is>
      </c>
      <c r="B1622">
        <f>1+MIN(150,150*(1-(1-(Inputs!$B$11+((C1609=TRUE)*(F1609-Calc!F20))+((C1610=TRUE)*(F1610-Calc!F21)))/150)*(1-B1621/150)))/100</f>
        <v/>
      </c>
    </row>
    <row r="1623">
      <c r="A1623" t="inlineStr">
        <is>
          <t>Skill + Buff Cast Rate</t>
        </is>
      </c>
      <c r="B1623">
        <f>IF(AND(Inputs!$B$38&lt;&gt;"pvp",Inputs!$B$43&gt;0),SUMPRODUCT((Skills!E2:E28=TRUE)*(C1591:C1617=TRUE)*R1591:R1617*Skills!F2:F28)/Inputs!$B$43,SUMPRODUCT((Skills!E2:E28=TRUE)*(C1591:C1617=TRUE)*Q1591:Q1617*Skills!F2:F28))</f>
        <v/>
      </c>
    </row>
    <row r="1624">
      <c r="A1624" t="inlineStr">
        <is>
          <t>Eight-Legs Easton Casts Per Second</t>
        </is>
      </c>
      <c r="B1624">
        <f>MAX(0,B1622-B1623)</f>
        <v/>
      </c>
    </row>
    <row r="1625">
      <c r="A1625" t="inlineStr">
        <is>
          <t>Global Critical Damage Bonus % (unused)</t>
        </is>
      </c>
      <c r="B1625" t="n">
        <v>0</v>
      </c>
    </row>
    <row r="1626">
      <c r="A1626" t="inlineStr">
        <is>
          <t>Global Final Damage Bonus % (Jolly Roger + Ahoy Mateys - Final Damage proc)</t>
        </is>
      </c>
      <c r="B1626">
        <f>((C1607=TRUE)*F1607*IF(AND(Inputs!$B$38&lt;&gt;"pvp",Inputs!$B$43&gt;0),(((R1607-1)*MIN((Skills!T18*(1+Inputs!$B$34/100)),(1/Q1607))+MIN((Skills!T18*(1+Inputs!$B$34/100)),MAX(0,Inputs!$B$43-((R1607-1)*(1/Q1607)))))/Inputs!$B$43),IF(Inputs!$B$38="pvp",MIN((Skills!T18*(1+Inputs!$B$34/100)),15)/15,MIN(1,(Skills!T18*(1+Inputs!$B$34/100))/(1/Q1607)))))+IF(Inputs!$B$3&gt;=122,20*IF(Inputs!$B$38="pvp",MIN((20*(1+Inputs!$B$34/100)),15)/15,MIN(1,(20*(1+Inputs!$B$34/100))/(1/Q1593))),0)</f>
        <v/>
      </c>
    </row>
    <row r="1627">
      <c r="A1627" t="inlineStr">
        <is>
          <t>Buff-Casting Startup Delay (s, fixed-duration only)</t>
        </is>
      </c>
      <c r="B1627">
        <f>IF(AND(Inputs!$B$38&lt;&gt;"pvp",Inputs!$B$43&gt;0),SUMPRODUCT((Skills!T2:T28&gt;0)*(Skills!E2:E28=TRUE)*(C1591:C1617=TRUE))/B1622,0)</f>
        <v/>
      </c>
    </row>
    <row r="1628">
      <c r="A1628" t="inlineStr">
        <is>
          <t>Boss-Only Total DPS (this block's swept value)</t>
        </is>
      </c>
      <c r="B1628">
        <f>SUM(T1591:T1617)</f>
        <v/>
      </c>
    </row>
    <row r="1629">
      <c r="A1629" t="inlineStr">
        <is>
          <t>Normal-Only Total DPS (this block's swept value)</t>
        </is>
      </c>
      <c r="B1629">
        <f>SUM(V1591:V1617)</f>
        <v/>
      </c>
    </row>
    <row r="1630">
      <c r="A1630" s="6" t="inlineStr">
        <is>
          <t>TOTAL DPS</t>
        </is>
      </c>
      <c r="B1630" s="6">
        <f>SUM(O1591:O1617)</f>
        <v/>
      </c>
    </row>
    <row r="1631">
      <c r="A1631" t="inlineStr">
        <is>
          <t>Quickdraw cooldown divisor (this block's own APS / Q)</t>
        </is>
      </c>
      <c r="B1631">
        <f>IF(AND(C1616=TRUE,Inputs!$B$38&lt;&gt;"pvp"),1+0.25*MAX(0,(B1622-(((C1592=TRUE)*Q1592*1)+((C1593=TRUE)*Q1593*1)+((C1595=TRUE)*Q1595*1)+((C1596=TRUE)*Q1596*1)+((C1598=TRUE)*Q1598*1)+((C1601=TRUE)*Q1601*1)+((C1607=TRUE)*Q1607*1)+((C1617=TRUE)*Q1617*1))-((C1597=TRUE)/(IF(Inputs!$B$38="pvp",15,MAX(0.1,Skills!D8-IF(TRUE=TRUE,Inputs!$B$32,0)))*(1-IF(AND(ArtifactsInput!$M$27,Inputs!$B$4="Chapter Hunt"),CHOOSE(ArtifactsInput!$N$27+1,20,24,28,32,36,40),0)/100))+(C1600=TRUE)/(IF(Inputs!$B$38="pvp",15,MAX(0.1,Skills!D11-IF(TRUE=TRUE,Inputs!$B$32,0)))*(1-IF(AND(ArtifactsInput!$M$27,Inputs!$B$4="Chapter Hunt"),CHOOSE(ArtifactsInput!$N$27+1,20,24,28,32,36,40),0)/100))))/(1+0.25*((C1597=TRUE)/(IF(Inputs!$B$38="pvp",15,MAX(0.1,Skills!D8-IF(TRUE=TRUE,Inputs!$B$32,0)))*(1-IF(AND(ArtifactsInput!$M$27,Inputs!$B$4="Chapter Hunt"),CHOOSE(ArtifactsInput!$N$27+1,20,24,28,32,36,40),0)/100))+(C1600=TRUE)/(IF(Inputs!$B$38="pvp",15,MAX(0.1,Skills!D11-IF(TRUE=TRUE,Inputs!$B$32,0)))*(1-IF(AND(ArtifactsInput!$M$27,Inputs!$B$4="Chapter Hunt"),CHOOSE(ArtifactsInput!$N$27+1,20,24,28,32,36,40),0)/100))))),1)</f>
        <v/>
      </c>
    </row>
    <row r="1632">
      <c r="A1632" t="inlineStr">
        <is>
          <t>Nautilus Strike - Final Attack trigger rate (this block's own Q/R)</t>
        </is>
      </c>
      <c r="B1632">
        <f>IF(AND(Inputs!$B$38&lt;&gt;"pvp",Inputs!$B$43&gt;0),(((C1592=TRUE)*R1592)+((C1595=TRUE)*R1595)+((C1597=TRUE)*R1597)+((C1598=TRUE)*R1598)+((C1600=TRUE)*R1600))/Inputs!$B$43,((C1592=TRUE)*Q1592)+((C1595=TRUE)*Q1595)+((C1597=TRUE)*Q1597)+((C1598=TRUE)*Q1598)+((C1600=TRUE)*Q1600))+B1624</f>
        <v/>
      </c>
    </row>
    <row r="1635">
      <c r="A1635" s="6" t="inlineStr">
        <is>
          <t>Stat: Clear Spring Water (Equip)</t>
        </is>
      </c>
    </row>
    <row r="1636">
      <c r="A1636" s="5" t="inlineStr">
        <is>
          <t>Key</t>
        </is>
      </c>
      <c r="B1636" s="5" t="inlineStr">
        <is>
          <t>Name</t>
        </is>
      </c>
      <c r="C1636" s="5" t="inlineStr">
        <is>
          <t>Unlocked</t>
        </is>
      </c>
      <c r="D1636" s="5" t="inlineStr">
        <is>
          <t>InputLevel</t>
        </is>
      </c>
      <c r="E1636" s="5" t="inlineStr">
        <is>
          <t>Factor</t>
        </is>
      </c>
      <c r="F1636" s="5" t="inlineStr">
        <is>
          <t>CoefficientPercent</t>
        </is>
      </c>
      <c r="G1636" s="5" t="inlineStr">
        <is>
          <t>EffectiveHits</t>
        </is>
      </c>
      <c r="H1636" s="5" t="inlineStr">
        <is>
          <t>ProcProbability</t>
        </is>
      </c>
      <c r="I1636" s="5" t="inlineStr">
        <is>
          <t>MapleHeroMultiplier</t>
        </is>
      </c>
      <c r="J1636" s="5" t="inlineStr">
        <is>
          <t>BaseDamage</t>
        </is>
      </c>
      <c r="K1636" s="5" t="inlineStr">
        <is>
          <t>BaseHitDamage</t>
        </is>
      </c>
      <c r="L1636" s="5" t="inlineStr">
        <is>
          <t>NonCritAvg</t>
        </is>
      </c>
      <c r="M1636" s="5" t="inlineStr">
        <is>
          <t>CritAvg</t>
        </is>
      </c>
      <c r="N1636" s="5" t="inlineStr">
        <is>
          <t>ExpectedDamage(perHit)</t>
        </is>
      </c>
      <c r="O1636" s="5" t="inlineStr">
        <is>
          <t>DPS</t>
        </is>
      </c>
      <c r="P1636" s="5" t="inlineStr">
        <is>
          <t>% of Total</t>
        </is>
      </c>
      <c r="Q1636" s="5" t="inlineStr">
        <is>
          <t>InvCooldown</t>
        </is>
      </c>
      <c r="R1636" s="5" t="inlineStr">
        <is>
          <t>CastsInFight</t>
        </is>
      </c>
      <c r="S1636" s="5" t="inlineStr">
        <is>
          <t>HitRate(perSec)</t>
        </is>
      </c>
      <c r="U1636" t="inlineStr">
        <is>
          <t>helpers</t>
        </is>
      </c>
    </row>
    <row r="1637">
      <c r="A1637">
        <f>Skills!A2</f>
        <v/>
      </c>
      <c r="B1637">
        <f>Skills!B2</f>
        <v/>
      </c>
      <c r="C1637">
        <f>Inputs!$B$3&gt;=100</f>
        <v/>
      </c>
      <c r="D1637" t="inlineStr"/>
      <c r="E1637" t="inlineStr"/>
      <c r="F1637">
        <f>U1639+Skills!O2</f>
        <v/>
      </c>
      <c r="G1637">
        <f>Skills!G2*IF(Skills!H2&gt;0,INT(IF(Inputs!$B$38="pvp",MIN(Skills!I2,15),Skills!I2)/Skills!H2+0.000000001),1)</f>
        <v/>
      </c>
      <c r="H1637">
        <f>1-(1-Skills!J2/100)^Skills!K2</f>
        <v/>
      </c>
      <c r="I1637" t="inlineStr">
        <is>
          <t>1</t>
        </is>
      </c>
      <c r="J1637">
        <f>((Inputs!$B$6*(1+Inputs!$B$7/100))+(((Inputs!$B$12*(1+Inputs!$B$13/100))-(Inputs!$B$12*(1+Inputs!$B$13/100)))+0.25*(Inputs!$B$14-Inputs!$B$14))*(1+Inputs!$B$7/100))*(F1637/100)</f>
        <v/>
      </c>
      <c r="K1637">
        <f>J1637*(1+((Inputs!$B$12*(1+Inputs!$B$13/100))*0.01+Inputs!$B$14*0.0025)/100)*(1+Inputs!$B$15/100)*(1+Inputs!$B$16/100)*(5000/(6000+Inputs!$B$42*(1-(100*(1-(1-(Inputs!$B$19+0)/100)*(1-CHOOSE(ArtifactsInput!$N$40+1,5,6,7,8,9,10)/100)^(ArtifactsInput!$M$40-ArtifactsInput!$M$40)))/100)))*(1+(Inputs!$B$24+((C1661=TRUE)*(F1661-Calc!F26))+B1672)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Boss",2,1),0)/100)-1)*100+(IF(ArtifactsInput!$M$14,FALSE,TRUE)-ArtifactsInput!$M$14)*IF(OR(Inputs!$B$4="Weapon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IGHT_LEGS_EASTON",Inputs!$B$17+((C1658=TRUE)*(F1658-Calc!F23))+((C1662=TRUE)*(F1662-Calc!F27))+((IF(AND(Inputs!$B$38&lt;&gt;"pvp",Inputs!$B$43=0),1,IF(IF(Inputs!$B$38="pvp",15,Inputs!$B$43)-(B1673)&lt;=0,1,MAX(0,IF(Inputs!$B$38="pvp",15,Inputs!$B$43)-MAX(5,B1673))/(IF(Inputs!$B$38="pvp",15,Inputs!$B$43)-(B1673))))*(IF(AND(ArtifactsInput!$M$42,((Inputs!$B$9+((C1654=TRUE)*(F1654-Calc!F19))+B1666+(ArtifactsInput!$M$24-ArtifactsInput!$M$24)*CHOOSE(ArtifactsInput!$N$24+1,10,12,14,16,18,20)+IF(ArtifactsInput!$M$10,CHOOSE(ArtifactsInput!$N$10+1,15,18,21,24,27,30)*(IF(Inputs!$B$38="pvp",MIN(15,15)/15,IF(AND(Inputs!$B$38&lt;&gt;"pvp",Inputs!$B$43&gt;0),MIN(15,Inputs!$B$43)/(Inputs!$B$43),0))),0)))&gt;=100),MIN(100,((Inputs!$B$9+((C1654=TRUE)*(F1654-Calc!F19))+B1666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1673)&lt;=0,1,MAX(0,IF(Inputs!$B$38="pvp",15,Inputs!$B$43)-MAX(5,B1673))/(IF(Inputs!$B$38="pvp",15,Inputs!$B$43)-(B1673))))*IF(AND(ArtifactsInput!$M$42,((Inputs!$B$9+((C1654=TRUE)*(F1654-Calc!F19))+B1666+(ArtifactsInput!$M$24-ArtifactsInput!$M$24)*CHOOSE(ArtifactsInput!$N$24+1,10,12,14,16,18,20)+IF(ArtifactsInput!$M$10,CHOOSE(ArtifactsInput!$N$10+1,15,18,21,24,27,30)*(IF(Inputs!$B$38="pvp",MIN(15,15)/15,IF(AND(Inputs!$B$38&lt;&gt;"pvp",Inputs!$B$43&gt;0),MIN(15,Inputs!$B$43)/(Inputs!$B$43),0))),0)))&gt;=100),CHOOSE(ArtifactsInput!$N$42+1,40,48,56,64,72,80),0))))/100)*((1+(((C1652=TRUE)*F1652*5/7)+((C1659=TRUE)*(F1659-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1637)</f>
        <v/>
      </c>
      <c r="L1637">
        <f>K1637*(MIN(Inputs!$B$22+((C1657=TRUE)*(F1657-Calc!F22)),(Inputs!$B$23+0+(IF(ArtifactsInput!$M$15,CHOOSE(ArtifactsInput!$N$15+1,25,30,35,40,45,50)/100*(Inputs!$B$11-Inputs!$B$11),0))))/100+(Inputs!$B$23+0+(IF(ArtifactsInput!$M$15,CHOOSE(ArtifactsInput!$N$15+1,25,30,35,40,45,50)/100*(Inputs!$B$11-Inputs!$B$11),0)))/100)/2</f>
        <v/>
      </c>
      <c r="M1637">
        <f>L1637*(1+(Inputs!$B$10+((C1660=TRUE)*(F1660-Calc!F25))+B1671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37">
        <f>L1637*(1-MIN((Inputs!$B$9+((C1654=TRUE)*(F1654-Calc!F19))+B1666+(ArtifactsInput!$M$24-ArtifactsInput!$M$24)*CHOOSE(ArtifactsInput!$N$24+1,10,12,14,16,18,20)+(IF(AND(Inputs!$B$38&lt;&gt;"pvp",Inputs!$B$43=0),1,IF(IF(Inputs!$B$38="pvp",15,Inputs!$B$43)-(B1673)&lt;=0,1,MAX(0,IF(Inputs!$B$38="pvp",15,Inputs!$B$43)-MAX(5,B1673))/(IF(Inputs!$B$38="pvp",15,Inputs!$B$43)-(B1673))))*IF(AND(ArtifactsInput!$M$42,((Inputs!$B$9+((C1654=TRUE)*(F1654-Calc!F19))+B1666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1637*(MIN((Inputs!$B$9+((C1654=TRUE)*(F1654-Calc!F19))+B1666+(ArtifactsInput!$M$24-ArtifactsInput!$M$24)*CHOOSE(ArtifactsInput!$N$24+1,10,12,14,16,18,20)+(IF(AND(Inputs!$B$38&lt;&gt;"pvp",Inputs!$B$43=0),1,IF(IF(Inputs!$B$38="pvp",15,Inputs!$B$43)-(B1673)&lt;=0,1,MAX(0,IF(Inputs!$B$38="pvp",15,Inputs!$B$43)-MAX(5,B1673))/(IF(Inputs!$B$38="pvp",15,Inputs!$B$43)-(B1673))))*IF(AND(ArtifactsInput!$M$42,((Inputs!$B$9+((C1654=TRUE)*(F1654-Calc!F19))+B1666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37">
        <f>(1-Summary!$B$11)*T1637+Summary!$B$11*V1637</f>
        <v/>
      </c>
      <c r="P1637">
        <f>IF(B1676=0,0,O1637/B1676)</f>
        <v/>
      </c>
      <c r="Q1637" t="n">
        <v>0</v>
      </c>
      <c r="R1637" t="n">
        <v>0</v>
      </c>
      <c r="S1637">
        <f>IFERROR(O1637/N1637,0)</f>
        <v/>
      </c>
      <c r="T1637">
        <f>IF(C1637,(Skills!G2*N1637*B1670*(1+IF(C1662=TRUE,1/3,0)))*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Hunt"),CHOOSE(ArtifactsInput!$N$35+1,15,18,21,24,27,30)*(1-EXP(-(0.2*B1668)*5)),0)+IF(AND(ArtifactsInput!$M$22,Inputs!$B$4&lt;&gt;"Chapter Hunt"),CHOOSE(ArtifactsInput!$N$22+1,10,12,14,16,18,20)*((0*(((0.15*B1668*5))^0/1)+1*(((0.15*B1668*5))^1/1)+2*(((0.15*B1668*5))^2/2)+3*(((0.15*B1668*5))^3/6)+4*(((0.15*B1668*5))^4/24)+5*(((0.15*B1668*5))^5/120))/((((0.15*B1668*5))^0/1)+(((0.15*B1668*5))^1/1)+(((0.15*B1668*5))^2/2)+(((0.15*B1668*5))^3/6)+(((0.15*B1668*5))^4/24)+(((0.15*B1668*5))^5/120))),0))+IF(Inputs!$B$3&gt;=54,9*(C1638=TRUE)*MIN(1,8*(1+Inputs!$B$34/100)*Q1638)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1637*(1-MIN(100,(Inputs!$B$9+((C1654=TRUE)*(F1654-Calc!F19))+B1666+(ArtifactsInput!$M$24-ArtifactsInput!$M$24)*CHOOSE(ArtifactsInput!$N$24+1,10,12,14,16,18,20)+(IF(AND(Inputs!$B$38&lt;&gt;"pvp",Inputs!$B$43=0),1,IF(IF(Inputs!$B$38="pvp",15,Inputs!$B$43)-(B1673)&lt;=0,1,MAX(0,IF(Inputs!$B$38="pvp",15,Inputs!$B$43)-MAX(5,B1673))/(IF(Inputs!$B$38="pvp",15,Inputs!$B$43)-(B1673))))*IF(AND(ArtifactsInput!$M$42,((Inputs!$B$9+((C1654=TRUE)*(F1654-Calc!F19))+B1666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1637*(MIN(100,(Inputs!$B$9+((C1654=TRUE)*(F1654-Calc!F19))+B1666+(ArtifactsInput!$M$24-ArtifactsInput!$M$24)*CHOOSE(ArtifactsInput!$N$24+1,10,12,14,16,18,20)+(IF(AND(Inputs!$B$38&lt;&gt;"pvp",Inputs!$B$43=0),1,IF(IF(Inputs!$B$38="pvp",15,Inputs!$B$43)-(B1673)&lt;=0,1,MAX(0,IF(Inputs!$B$38="pvp",15,Inputs!$B$43)-MAX(5,B1673))/(IF(Inputs!$B$38="pvp",15,Inputs!$B$43)-(B1673))))*IF(AND(ArtifactsInput!$M$42,((Inputs!$B$9+((C1654=TRUE)*(F1654-Calc!F19))+B1666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1637*(1-MIN(100,(Inputs!$B$9+((C1654=TRUE)*(F1654-Calc!F19))+B1666+(ArtifactsInput!$M$24-ArtifactsInput!$M$24)*CHOOSE(ArtifactsInput!$N$24+1,10,12,14,16,18,20)+(IF(AND(Inputs!$B$38&lt;&gt;"pvp",Inputs!$B$43=0),1,IF(IF(Inputs!$B$38="pvp",15,Inputs!$B$43)-(B1673)&lt;=0,1,MAX(0,IF(Inputs!$B$38="pvp",15,Inputs!$B$43)-MAX(5,B1673))/(IF(Inputs!$B$38="pvp",15,Inputs!$B$43)-(B1673))))*IF(AND(ArtifactsInput!$M$42,((Inputs!$B$9+((C1654=TRUE)*(F1654-Calc!F19))+B1666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1637*(MIN(100,(Inputs!$B$9+((C1654=TRUE)*(F1654-Calc!F19))+B1666+(ArtifactsInput!$M$24-ArtifactsInput!$M$24)*CHOOSE(ArtifactsInput!$N$24+1,10,12,14,16,18,20)+(IF(AND(Inputs!$B$38&lt;&gt;"pvp",Inputs!$B$43=0),1,IF(IF(Inputs!$B$38="pvp",15,Inputs!$B$43)-(B1673)&lt;=0,1,MAX(0,IF(Inputs!$B$38="pvp",15,Inputs!$B$43)-MAX(5,B1673))/(IF(Inputs!$B$38="pvp",15,Inputs!$B$43)-(B1673))))*IF(AND(ArtifactsInput!$M$42,((Inputs!$B$9+((C1654=TRUE)*(F1654-Calc!F19))+B1666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637">
        <f>MAX(0,(Inputs!$B$3-100)*3)+Inputs!$B$28+Inputs!$B$29</f>
        <v/>
      </c>
      <c r="V1637">
        <f>IF(C1637,(Skills!G2*N1637*B1670*(1+IF(C1662=TRUE,1/3,0)))*IF(Inputs!$B$38="pvp",1,(1+(Inputs!$B$21+Skills!Q2+(IF(ArtifactsInput!$M$33,CHOOSE(ArtifactsInput!$N$33+1,30,36,42,48,54,60),0))+(IF(AND(ArtifactsInput!$M$35,Inputs!$B$4&lt;&gt;"Chapter Hunt"),CHOOSE(ArtifactsInput!$N$35+1,15,18,21,24,27,30)*(1-EXP(-(0.2*B1668)*5)),0)+IF(AND(ArtifactsInput!$M$22,Inputs!$B$4&lt;&gt;"Chapter Hunt"),CHOOSE(ArtifactsInput!$N$22+1,10,12,14,16,18,20)*((0*(((0.15*B1668*5))^0/1)+1*(((0.15*B1668*5))^1/1)+2*(((0.15*B1668*5))^2/2)+3*(((0.15*B1668*5))^3/6)+4*(((0.15*B1668*5))^4/24)+5*(((0.15*B1668*5))^5/120))/((((0.15*B1668*5))^0/1)+(((0.15*B1668*5))^1/1)+(((0.15*B1668*5))^2/2)+(((0.15*B1668*5))^3/6)+(((0.15*B1668*5))^4/24)+(((0.15*B1668*5))^5/120))),0))+IF(Inputs!$B$3&gt;=54,9*(C1638=TRUE)*MIN(1,8*(1+Inputs!$B$34/100)*Q1638),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38">
      <c r="A1638">
        <f>Skills!A3</f>
        <v/>
      </c>
      <c r="B1638">
        <f>Skills!B3</f>
        <v/>
      </c>
      <c r="C1638">
        <f>Inputs!$B$3&gt;=33</f>
        <v/>
      </c>
      <c r="D1638">
        <f>IF(Skills!C3=1,60+Inputs!$B$25+Inputs!$B$29,IF(Skills!C3=2,90+Inputs!$B$26+Inputs!$B$29,IF(Skills!C3=3,120+Inputs!$B$27+Inputs!$B$29,MAX(0,(Inputs!$B$3-100)*3)+Inputs!$B$28+Inputs!$B$29)))</f>
        <v/>
      </c>
      <c r="E1638">
        <f>INDEX(FactorTable!$B$2:$Y$301, MATCH(ROUND(MIN(300,MAX(1,D1638)),0), FactorTable!$A$2:$A$301,0), Skills!M3+1)</f>
        <v/>
      </c>
      <c r="F1638">
        <f>IF(Skills!N3=TRUE,(Skills!L3/10)*(E1638/1000),Skills!L3/10)+Skills!O3</f>
        <v/>
      </c>
      <c r="G1638">
        <f>Skills!G3*IF(Skills!H3&gt;0,INT(IF(Inputs!$B$38="pvp",MIN(Skills!I3,15),Skills!I3)/Skills!H3+0.000000001),1)</f>
        <v/>
      </c>
      <c r="H1638">
        <f>1-(1-Skills!J3/100)^Skills!K3</f>
        <v/>
      </c>
      <c r="I1638" t="inlineStr">
        <is>
          <t>1</t>
        </is>
      </c>
      <c r="J1638">
        <f>((Inputs!$B$6*(1+Inputs!$B$7/100))+(((Inputs!$B$12*(1+Inputs!$B$13/100))-(Inputs!$B$12*(1+Inputs!$B$13/100)))+0.25*(Inputs!$B$14-Inputs!$B$14))*(1+Inputs!$B$7/100))*(F1638/100)</f>
        <v/>
      </c>
      <c r="K1638">
        <f>J1638*(1+((Inputs!$B$12*(1+Inputs!$B$13/100))*0.01+Inputs!$B$14*0.0025)/100)*(1+Inputs!$B$15/100)*(1+Inputs!$B$16/100)*(5000/(6000+Inputs!$B$42*(1-(100*(1-(1-(Inputs!$B$19+0)/100)*(1-CHOOSE(ArtifactsInput!$N$40+1,5,6,7,8,9,10)/100)^(ArtifactsInput!$M$40-ArtifactsInput!$M$40)))/100)))*(1+(Inputs!$B$24+((C1661=TRUE)*(F1661-Calc!F26))+B1672)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Boss",2,1),0)/100)-1)*100+(IF(ArtifactsInput!$M$14,FALSE,TRUE)-ArtifactsInput!$M$14)*IF(OR(Inputs!$B$4="Weapon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1650=TRUE,F1650,0)/100)*(1+(IF(Skills!A3="EIGHT_LEGS_EASTON",Inputs!$B$17+((C1658=TRUE)*(F1658-Calc!F23))+((C1662=TRUE)*(F1662-Calc!F27))+((IF(AND(Inputs!$B$38&lt;&gt;"pvp",Inputs!$B$43=0),1,IF(IF(Inputs!$B$38="pvp",15,Inputs!$B$43)-(B1673)&lt;=0,1,MAX(0,IF(Inputs!$B$38="pvp",15,Inputs!$B$43)-MAX(5,B1673))/(IF(Inputs!$B$38="pvp",15,Inputs!$B$43)-(B1673))))*(IF(AND(ArtifactsInput!$M$42,((Inputs!$B$9+((C1654=TRUE)*(F1654-Calc!F19))+B1666+(ArtifactsInput!$M$24-ArtifactsInput!$M$24)*CHOOSE(ArtifactsInput!$N$24+1,10,12,14,16,18,20)+IF(ArtifactsInput!$M$10,CHOOSE(ArtifactsInput!$N$10+1,15,18,21,24,27,30)*(IF(Inputs!$B$38="pvp",MIN(15,15)/15,IF(AND(Inputs!$B$38&lt;&gt;"pvp",Inputs!$B$43&gt;0),MIN(15,Inputs!$B$43)/(Inputs!$B$43),0))),0)))&gt;=100),MIN(100,((Inputs!$B$9+((C1654=TRUE)*(F1654-Calc!F19))+B1666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1673)&lt;=0,1,MAX(0,IF(Inputs!$B$38="pvp",15,Inputs!$B$43)-MAX(5,B1673))/(IF(Inputs!$B$38="pvp",15,Inputs!$B$43)-(B1673))))*IF(AND(ArtifactsInput!$M$42,((Inputs!$B$9+((C1654=TRUE)*(F1654-Calc!F19))+B1666+(ArtifactsInput!$M$24-ArtifactsInput!$M$24)*CHOOSE(ArtifactsInput!$N$24+1,10,12,14,16,18,20)+IF(ArtifactsInput!$M$10,CHOOSE(ArtifactsInput!$N$10+1,15,18,21,24,27,30)*(IF(Inputs!$B$38="pvp",MIN(15,15)/15,IF(AND(Inputs!$B$38&lt;&gt;"pvp",Inputs!$B$43&gt;0),MIN(15,Inputs!$B$43)/(Inputs!$B$43),0))),0)))&gt;=100),CHOOSE(ArtifactsInput!$N$42+1,40,48,56,64,72,80),0))))/100)*((1+(((C1652=TRUE)*F1652*5/7)+((C1659=TRUE)*(F1659-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1638)</f>
        <v/>
      </c>
      <c r="L1638">
        <f>K1638*(MIN(Inputs!$B$22+((C1657=TRUE)*(F1657-Calc!F22)),(Inputs!$B$23+0+(IF(ArtifactsInput!$M$15,CHOOSE(ArtifactsInput!$N$15+1,25,30,35,40,45,50)/100*(Inputs!$B$11-Inputs!$B$11),0))))/100+(Inputs!$B$23+0+(IF(ArtifactsInput!$M$15,CHOOSE(ArtifactsInput!$N$15+1,25,30,35,40,45,50)/100*(Inputs!$B$11-Inputs!$B$11),0)))/100)/2</f>
        <v/>
      </c>
      <c r="M1638">
        <f>L1638*(1+(Inputs!$B$10+((C1660=TRUE)*(F1660-Calc!F25))+B1671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38">
        <f>L1638*(1-MIN((Inputs!$B$9+((C1654=TRUE)*(F1654-Calc!F19))+B1666+(ArtifactsInput!$M$24-ArtifactsInput!$M$24)*CHOOSE(ArtifactsInput!$N$24+1,10,12,14,16,18,20)+(IF(AND(Inputs!$B$38&lt;&gt;"pvp",Inputs!$B$43=0),1,IF(IF(Inputs!$B$38="pvp",15,Inputs!$B$43)-(B1673)&lt;=0,1,MAX(0,IF(Inputs!$B$38="pvp",15,Inputs!$B$43)-MAX(5,B1673))/(IF(Inputs!$B$38="pvp",15,Inputs!$B$43)-(B1673))))*IF(AND(ArtifactsInput!$M$42,((Inputs!$B$9+((C1654=TRUE)*(F1654-Calc!F19))+B1666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1638*(MIN((Inputs!$B$9+((C1654=TRUE)*(F1654-Calc!F19))+B1666+(ArtifactsInput!$M$24-ArtifactsInput!$M$24)*CHOOSE(ArtifactsInput!$N$24+1,10,12,14,16,18,20)+(IF(AND(Inputs!$B$38&lt;&gt;"pvp",Inputs!$B$43=0),1,IF(IF(Inputs!$B$38="pvp",15,Inputs!$B$43)-(B1673)&lt;=0,1,MAX(0,IF(Inputs!$B$38="pvp",15,Inputs!$B$43)-MAX(5,B1673))/(IF(Inputs!$B$38="pvp",15,Inputs!$B$43)-(B1673))))*IF(AND(ArtifactsInput!$M$42,((Inputs!$B$9+((C1654=TRUE)*(F1654-Calc!F19))+B1666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38">
        <f>(1-Summary!$B$11)*T1638+Summary!$B$11*V1638</f>
        <v/>
      </c>
      <c r="P1638">
        <f>IF(B1676=0,0,O1638/B1676)</f>
        <v/>
      </c>
      <c r="Q1638">
        <f>IFERROR(1/(IF(Inputs!$B$38="pvp",15,MAX(0.1,Skills!D3-IF(TRUE=TRUE,Inputs!$B$32,0)))*(1-IF(AND(ArtifactsInput!$M$27,Inputs!$B$4="Chapter Hunt"),CHOOSE(ArtifactsInput!$N$27+1,20,24,28,32,36,40),0)/100)),0)</f>
        <v/>
      </c>
      <c r="R1638">
        <f>IF(AND(Inputs!$B$38&lt;&gt;"pvp",Inputs!$B$43&gt;0),IF(MAX(0,Inputs!$B$43-B1673)&lt;=0,0,(INT(MAX(0,Inputs!$B$43-B1673)/(IF(Inputs!$B$38="pvp",15,MAX(0.1,Skills!D3-IF(TRUE=TRUE,Inputs!$B$32,0)))*(1-IF(AND(ArtifactsInput!$M$27,Inputs!$B$4="Chapter Hunt"),CHOOSE(ArtifactsInput!$N$27+1,20,24,28,32,36,40),0)/100)))+1)),0)</f>
        <v/>
      </c>
      <c r="S1638">
        <f>IFERROR(O1638/N1638,0)</f>
        <v/>
      </c>
      <c r="T1638">
        <f>IF(C1638,(H1638*N1638*IF(AND(Inputs!$B$38&lt;&gt;"pvp",Inputs!$B$43&gt;0),((Skills!G3*((R1638-1)*IF(Skills!H3&gt;0,INT(Skills!I3/Skills!H3+0.000000001),1)+IF(Skills!H3&gt;0,INT(MIN(Skills!I3,MAX(0,MAX(0,Inputs!$B$43-B1673)-((R1638-1)*(IF(Inputs!$B$38="pvp",15,MAX(0.1,Skills!D3-IF(TRUE=TRUE,Inputs!$B$32,0)))*(1-IF(AND(ArtifactsInput!$M$27,Inputs!$B$4="Chapter Hunt"),CHOOSE(ArtifactsInput!$N$27+1,20,24,28,32,36,40),0)/100)))))/Skills!H3+0.000000001),1)))/Inputs!$B$43),G1638*Q1638))*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Hunt"),CHOOSE(ArtifactsInput!$N$35+1,15,18,21,24,27,30)*(1-EXP(-(0.2*B1668)*5)),0)+IF(AND(ArtifactsInput!$M$22,Inputs!$B$4&lt;&gt;"Chapter Hunt"),CHOOSE(ArtifactsInput!$N$22+1,10,12,14,16,18,20)*((0*(((0.15*B1668*5))^0/1)+1*(((0.15*B1668*5))^1/1)+2*(((0.15*B1668*5))^2/2)+3*(((0.15*B1668*5))^3/6)+4*(((0.15*B1668*5))^4/24)+5*(((0.15*B1668*5))^5/120))/((((0.15*B1668*5))^0/1)+(((0.15*B1668*5))^1/1)+(((0.15*B1668*5))^2/2)+(((0.15*B1668*5))^3/6)+(((0.15*B1668*5))^4/24)+(((0.15*B1668*5))^5/120))),0))+IF(Inputs!$B$3&gt;=54,9*(C1638=TRUE)*MIN(1,8*(1+Inputs!$B$34/100)*Q1638)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1638*(1-MIN(100,(Inputs!$B$9+((C1654=TRUE)*(F1654-Calc!F19))+B1666+(ArtifactsInput!$M$24-ArtifactsInput!$M$24)*CHOOSE(ArtifactsInput!$N$24+1,10,12,14,16,18,20)+(IF(AND(Inputs!$B$38&lt;&gt;"pvp",Inputs!$B$43=0),1,IF(IF(Inputs!$B$38="pvp",15,Inputs!$B$43)-(B1673)&lt;=0,1,MAX(0,IF(Inputs!$B$38="pvp",15,Inputs!$B$43)-MAX(5,B1673))/(IF(Inputs!$B$38="pvp",15,Inputs!$B$43)-(B1673))))*IF(AND(ArtifactsInput!$M$42,((Inputs!$B$9+((C1654=TRUE)*(F1654-Calc!F19))+B1666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1638*(MIN(100,(Inputs!$B$9+((C1654=TRUE)*(F1654-Calc!F19))+B1666+(ArtifactsInput!$M$24-ArtifactsInput!$M$24)*CHOOSE(ArtifactsInput!$N$24+1,10,12,14,16,18,20)+(IF(AND(Inputs!$B$38&lt;&gt;"pvp",Inputs!$B$43=0),1,IF(IF(Inputs!$B$38="pvp",15,Inputs!$B$43)-(B1673)&lt;=0,1,MAX(0,IF(Inputs!$B$38="pvp",15,Inputs!$B$43)-MAX(5,B1673))/(IF(Inputs!$B$38="pvp",15,Inputs!$B$43)-(B1673))))*IF(AND(ArtifactsInput!$M$42,((Inputs!$B$9+((C1654=TRUE)*(F1654-Calc!F19))+B1666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1638*(1-MIN(100,(Inputs!$B$9+((C1654=TRUE)*(F1654-Calc!F19))+B1666+(ArtifactsInput!$M$24-ArtifactsInput!$M$24)*CHOOSE(ArtifactsInput!$N$24+1,10,12,14,16,18,20)+(IF(AND(Inputs!$B$38&lt;&gt;"pvp",Inputs!$B$43=0),1,IF(IF(Inputs!$B$38="pvp",15,Inputs!$B$43)-(B1673)&lt;=0,1,MAX(0,IF(Inputs!$B$38="pvp",15,Inputs!$B$43)-MAX(5,B1673))/(IF(Inputs!$B$38="pvp",15,Inputs!$B$43)-(B1673))))*IF(AND(ArtifactsInput!$M$42,((Inputs!$B$9+((C1654=TRUE)*(F1654-Calc!F19))+B1666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1638*(MIN(100,(Inputs!$B$9+((C1654=TRUE)*(F1654-Calc!F19))+B1666+(ArtifactsInput!$M$24-ArtifactsInput!$M$24)*CHOOSE(ArtifactsInput!$N$24+1,10,12,14,16,18,20)+(IF(AND(Inputs!$B$38&lt;&gt;"pvp",Inputs!$B$43=0),1,IF(IF(Inputs!$B$38="pvp",15,Inputs!$B$43)-(B1673)&lt;=0,1,MAX(0,IF(Inputs!$B$38="pvp",15,Inputs!$B$43)-MAX(5,B1673))/(IF(Inputs!$B$38="pvp",15,Inputs!$B$43)-(B1673))))*IF(AND(ArtifactsInput!$M$42,((Inputs!$B$9+((C1654=TRUE)*(F1654-Calc!F19))+B1666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638">
        <f>INDEX(FactorTable!$B$2:$Y$301, MATCH(ROUND(MIN(300,MAX(1,U1637)),0), FactorTable!$A$2:$A$301,0), 22)</f>
        <v/>
      </c>
      <c r="V1638">
        <f>IF(C1638,(H1638*N1638*IF(AND(Inputs!$B$38&lt;&gt;"pvp",Inputs!$B$43&gt;0),((Skills!G3*((R1638-1)*IF(Skills!H3&gt;0,INT(Skills!I3/Skills!H3+0.000000001),1)+IF(Skills!H3&gt;0,INT(MIN(Skills!I3,MAX(0,MAX(0,Inputs!$B$43-B1673)-((R1638-1)*(IF(Inputs!$B$38="pvp",15,MAX(0.1,Skills!D3-IF(TRUE=TRUE,Inputs!$B$32,0)))*(1-IF(AND(ArtifactsInput!$M$27,Inputs!$B$4="Chapter Hunt"),CHOOSE(ArtifactsInput!$N$27+1,20,24,28,32,36,40),0)/100)))))/Skills!H3+0.000000001),1)))/Inputs!$B$43),G1638*Q1638))*IF(Inputs!$B$38="pvp",1,(1+(Inputs!$B$21+Skills!Q3+(IF(ArtifactsInput!$M$33,CHOOSE(ArtifactsInput!$N$33+1,30,36,42,48,54,60),0))+(IF(AND(ArtifactsInput!$M$35,Inputs!$B$4&lt;&gt;"Chapter Hunt"),CHOOSE(ArtifactsInput!$N$35+1,15,18,21,24,27,30)*(1-EXP(-(0.2*B1668)*5)),0)+IF(AND(ArtifactsInput!$M$22,Inputs!$B$4&lt;&gt;"Chapter Hunt"),CHOOSE(ArtifactsInput!$N$22+1,10,12,14,16,18,20)*((0*(((0.15*B1668*5))^0/1)+1*(((0.15*B1668*5))^1/1)+2*(((0.15*B1668*5))^2/2)+3*(((0.15*B1668*5))^3/6)+4*(((0.15*B1668*5))^4/24)+5*(((0.15*B1668*5))^5/120))/((((0.15*B1668*5))^0/1)+(((0.15*B1668*5))^1/1)+(((0.15*B1668*5))^2/2)+(((0.15*B1668*5))^3/6)+(((0.15*B1668*5))^4/24)+(((0.15*B1668*5))^5/120))),0))+IF(Inputs!$B$3&gt;=54,9*(C1638=TRUE)*MIN(1,8*(1+Inputs!$B$34/100)*Q1638),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39">
      <c r="A1639">
        <f>Skills!A4</f>
        <v/>
      </c>
      <c r="B1639">
        <f>Skills!B4</f>
        <v/>
      </c>
      <c r="C1639">
        <f>Inputs!$B$3&gt;=35</f>
        <v/>
      </c>
      <c r="D1639">
        <f>IF(Skills!C4=1,60+Inputs!$B$25+Inputs!$B$29,IF(Skills!C4=2,90+Inputs!$B$26+Inputs!$B$29,IF(Skills!C4=3,120+Inputs!$B$27+Inputs!$B$29,MAX(0,(Inputs!$B$3-100)*3)+Inputs!$B$28+Inputs!$B$29)))</f>
        <v/>
      </c>
      <c r="E1639">
        <f>INDEX(FactorTable!$B$2:$Y$301, MATCH(ROUND(MIN(300,MAX(1,D1639)),0), FactorTable!$A$2:$A$301,0), Skills!M4+1)</f>
        <v/>
      </c>
      <c r="F1639">
        <f>IF(Skills!N4=TRUE,(Skills!L4/10)*(E1639/1000),Skills!L4/10)+Skills!O4</f>
        <v/>
      </c>
      <c r="G1639">
        <f>Skills!G4*IF(Skills!H4&gt;0,INT(IF(Inputs!$B$38="pvp",MIN(IF(Inputs!$B$3&gt;=104,MIN(35,20*(1+Inputs!$B$34/100)),20),15),IF(Inputs!$B$3&gt;=104,MIN(35,20*(1+Inputs!$B$34/100)),20))/Skills!H4+0.000000001),1)</f>
        <v/>
      </c>
      <c r="H1639">
        <f>1-(1-Skills!J4/100)^Skills!K4</f>
        <v/>
      </c>
      <c r="I1639" t="inlineStr">
        <is>
          <t>1</t>
        </is>
      </c>
      <c r="J1639">
        <f>((Inputs!$B$6*(1+Inputs!$B$7/100))+(((Inputs!$B$12*(1+Inputs!$B$13/100))-(Inputs!$B$12*(1+Inputs!$B$13/100)))+0.25*(Inputs!$B$14-Inputs!$B$14))*(1+Inputs!$B$7/100))*(F1639/100)</f>
        <v/>
      </c>
      <c r="K1639">
        <f>J1639*(1+((Inputs!$B$12*(1+Inputs!$B$13/100))*0.01+Inputs!$B$14*0.0025)/100)*(1+Inputs!$B$15/100)*(1+Inputs!$B$16/100)*(5000/(6000+Inputs!$B$42*(1-(100*(1-(1-(Inputs!$B$19+0)/100)*(1-CHOOSE(ArtifactsInput!$N$40+1,5,6,7,8,9,10)/100)^(ArtifactsInput!$M$40-ArtifactsInput!$M$40)))/100)))*(1+(Inputs!$B$24+((C1661=TRUE)*(F1661-Calc!F26))+B1672)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Boss",2,1),0)/100)-1)*100+(IF(ArtifactsInput!$M$14,FALSE,TRUE)-ArtifactsInput!$M$14)*IF(OR(Inputs!$B$4="Weapon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1651=TRUE,F1651,0)/100)*(1+(IF(Skills!A4="EIGHT_LEGS_EASTON",Inputs!$B$17+((C1658=TRUE)*(F1658-Calc!F23))+((C1662=TRUE)*(F1662-Calc!F27))+((IF(AND(Inputs!$B$38&lt;&gt;"pvp",Inputs!$B$43=0),1,IF(IF(Inputs!$B$38="pvp",15,Inputs!$B$43)-(B1673)&lt;=0,1,MAX(0,IF(Inputs!$B$38="pvp",15,Inputs!$B$43)-MAX(5,B1673))/(IF(Inputs!$B$38="pvp",15,Inputs!$B$43)-(B1673))))*(IF(AND(ArtifactsInput!$M$42,((Inputs!$B$9+((C1654=TRUE)*(F1654-Calc!F19))+B1666+(ArtifactsInput!$M$24-ArtifactsInput!$M$24)*CHOOSE(ArtifactsInput!$N$24+1,10,12,14,16,18,20)+IF(ArtifactsInput!$M$10,CHOOSE(ArtifactsInput!$N$10+1,15,18,21,24,27,30)*(IF(Inputs!$B$38="pvp",MIN(15,15)/15,IF(AND(Inputs!$B$38&lt;&gt;"pvp",Inputs!$B$43&gt;0),MIN(15,Inputs!$B$43)/(Inputs!$B$43),0))),0)))&gt;=100),MIN(100,((Inputs!$B$9+((C1654=TRUE)*(F1654-Calc!F19))+B1666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1673)&lt;=0,1,MAX(0,IF(Inputs!$B$38="pvp",15,Inputs!$B$43)-MAX(5,B1673))/(IF(Inputs!$B$38="pvp",15,Inputs!$B$43)-(B1673))))*IF(AND(ArtifactsInput!$M$42,((Inputs!$B$9+((C1654=TRUE)*(F1654-Calc!F19))+B1666+(ArtifactsInput!$M$24-ArtifactsInput!$M$24)*CHOOSE(ArtifactsInput!$N$24+1,10,12,14,16,18,20)+IF(ArtifactsInput!$M$10,CHOOSE(ArtifactsInput!$N$10+1,15,18,21,24,27,30)*(IF(Inputs!$B$38="pvp",MIN(15,15)/15,IF(AND(Inputs!$B$38&lt;&gt;"pvp",Inputs!$B$43&gt;0),MIN(15,Inputs!$B$43)/(Inputs!$B$43),0))),0)))&gt;=100),CHOOSE(ArtifactsInput!$N$42+1,40,48,56,64,72,80),0))))/100)*((1+(((C1652=TRUE)*F1652*5/7)+((C1659=TRUE)*(F1659-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1639)</f>
        <v/>
      </c>
      <c r="L1639">
        <f>K1639*(MIN(Inputs!$B$22+((C1657=TRUE)*(F1657-Calc!F22)),(Inputs!$B$23+0+(IF(ArtifactsInput!$M$15,CHOOSE(ArtifactsInput!$N$15+1,25,30,35,40,45,50)/100*(Inputs!$B$11-Inputs!$B$11),0))))/100+(Inputs!$B$23+0+(IF(ArtifactsInput!$M$15,CHOOSE(ArtifactsInput!$N$15+1,25,30,35,40,45,50)/100*(Inputs!$B$11-Inputs!$B$11),0)))/100)/2</f>
        <v/>
      </c>
      <c r="M1639">
        <f>L1639*(1+(Inputs!$B$10+((C1660=TRUE)*(F1660-Calc!F25))+B1671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39">
        <f>L1639*(1-MIN((Inputs!$B$9+((C1654=TRUE)*(F1654-Calc!F19))+B1666+(ArtifactsInput!$M$24-ArtifactsInput!$M$24)*CHOOSE(ArtifactsInput!$N$24+1,10,12,14,16,18,20)+(IF(AND(Inputs!$B$38&lt;&gt;"pvp",Inputs!$B$43=0),1,IF(IF(Inputs!$B$38="pvp",15,Inputs!$B$43)-(B1673)&lt;=0,1,MAX(0,IF(Inputs!$B$38="pvp",15,Inputs!$B$43)-MAX(5,B1673))/(IF(Inputs!$B$38="pvp",15,Inputs!$B$43)-(B1673))))*IF(AND(ArtifactsInput!$M$42,((Inputs!$B$9+((C1654=TRUE)*(F1654-Calc!F19))+B1666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1639*(MIN((Inputs!$B$9+((C1654=TRUE)*(F1654-Calc!F19))+B1666+(ArtifactsInput!$M$24-ArtifactsInput!$M$24)*CHOOSE(ArtifactsInput!$N$24+1,10,12,14,16,18,20)+(IF(AND(Inputs!$B$38&lt;&gt;"pvp",Inputs!$B$43=0),1,IF(IF(Inputs!$B$38="pvp",15,Inputs!$B$43)-(B1673)&lt;=0,1,MAX(0,IF(Inputs!$B$38="pvp",15,Inputs!$B$43)-MAX(5,B1673))/(IF(Inputs!$B$38="pvp",15,Inputs!$B$43)-(B1673))))*IF(AND(ArtifactsInput!$M$42,((Inputs!$B$9+((C1654=TRUE)*(F1654-Calc!F19))+B1666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39">
        <f>(1-Summary!$B$11)*T1639+Summary!$B$11*V1639</f>
        <v/>
      </c>
      <c r="P1639">
        <f>IF(B1676=0,0,O1639/B1676)</f>
        <v/>
      </c>
      <c r="Q1639">
        <f>IFERROR(1/(IF(Inputs!$B$38="pvp",15,MAX(0.1,Skills!D4-IF(TRUE=TRUE,Inputs!$B$32,0)))*(1-IF(AND(ArtifactsInput!$M$27,Inputs!$B$4="Chapter Hunt"),CHOOSE(ArtifactsInput!$N$27+1,20,24,28,32,36,40),0)/100)),0)</f>
        <v/>
      </c>
      <c r="R1639">
        <f>IF(AND(Inputs!$B$38&lt;&gt;"pvp",Inputs!$B$43&gt;0),IF(MAX(0,Inputs!$B$43-B1673)&lt;=0,0,(INT(MAX(0,Inputs!$B$43-B1673)/(IF(Inputs!$B$38="pvp",15,MAX(0.1,Skills!D4-IF(TRUE=TRUE,Inputs!$B$32,0)))*(1-IF(AND(ArtifactsInput!$M$27,Inputs!$B$4="Chapter Hunt"),CHOOSE(ArtifactsInput!$N$27+1,20,24,28,32,36,40),0)/100)))+1)),0)</f>
        <v/>
      </c>
      <c r="S1639">
        <f>IFERROR(O1639/N1639,0)</f>
        <v/>
      </c>
      <c r="T1639">
        <f>IF(C1639,(H1639*N1639*IF(AND(Inputs!$B$38&lt;&gt;"pvp",Inputs!$B$43&gt;0),((Skills!G4*((R1639-1)*IF(Skills!H4&gt;0,INT(IF(Inputs!$B$3&gt;=104,MIN(35,20*(1+Inputs!$B$34/100)),20)/Skills!H4+0.000000001),1)+IF(Skills!H4&gt;0,INT(MIN(IF(Inputs!$B$3&gt;=104,MIN(35,20*(1+Inputs!$B$34/100)),20),MAX(0,MAX(0,Inputs!$B$43-B1673)-((R1639-1)*(IF(Inputs!$B$38="pvp",15,MAX(0.1,Skills!D4-IF(TRUE=TRUE,Inputs!$B$32,0)))*(1-IF(AND(ArtifactsInput!$M$27,Inputs!$B$4="Chapter Hunt"),CHOOSE(ArtifactsInput!$N$27+1,20,24,28,32,36,40),0)/100)))))/Skills!H4+0.000000001),1)))/Inputs!$B$43),G1639*Q1639))*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Hunt"),CHOOSE(ArtifactsInput!$N$35+1,15,18,21,24,27,30)*(1-EXP(-(0.2*B1668)*5)),0)+IF(AND(ArtifactsInput!$M$22,Inputs!$B$4&lt;&gt;"Chapter Hunt"),CHOOSE(ArtifactsInput!$N$22+1,10,12,14,16,18,20)*((0*(((0.15*B1668*5))^0/1)+1*(((0.15*B1668*5))^1/1)+2*(((0.15*B1668*5))^2/2)+3*(((0.15*B1668*5))^3/6)+4*(((0.15*B1668*5))^4/24)+5*(((0.15*B1668*5))^5/120))/((((0.15*B1668*5))^0/1)+(((0.15*B1668*5))^1/1)+(((0.15*B1668*5))^2/2)+(((0.15*B1668*5))^3/6)+(((0.15*B1668*5))^4/24)+(((0.15*B1668*5))^5/120))),0))+IF(Inputs!$B$3&gt;=54,9*(C1638=TRUE)*MIN(1,8*(1+Inputs!$B$34/100)*Q1638)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1639*(1-MIN(100,(Inputs!$B$9+((C1654=TRUE)*(F1654-Calc!F19))+B1666+(ArtifactsInput!$M$24-ArtifactsInput!$M$24)*CHOOSE(ArtifactsInput!$N$24+1,10,12,14,16,18,20)+(IF(AND(Inputs!$B$38&lt;&gt;"pvp",Inputs!$B$43=0),1,IF(IF(Inputs!$B$38="pvp",15,Inputs!$B$43)-(B1673)&lt;=0,1,MAX(0,IF(Inputs!$B$38="pvp",15,Inputs!$B$43)-MAX(5,B1673))/(IF(Inputs!$B$38="pvp",15,Inputs!$B$43)-(B1673))))*IF(AND(ArtifactsInput!$M$42,((Inputs!$B$9+((C1654=TRUE)*(F1654-Calc!F19))+B1666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1639*(MIN(100,(Inputs!$B$9+((C1654=TRUE)*(F1654-Calc!F19))+B1666+(ArtifactsInput!$M$24-ArtifactsInput!$M$24)*CHOOSE(ArtifactsInput!$N$24+1,10,12,14,16,18,20)+(IF(AND(Inputs!$B$38&lt;&gt;"pvp",Inputs!$B$43=0),1,IF(IF(Inputs!$B$38="pvp",15,Inputs!$B$43)-(B1673)&lt;=0,1,MAX(0,IF(Inputs!$B$38="pvp",15,Inputs!$B$43)-MAX(5,B1673))/(IF(Inputs!$B$38="pvp",15,Inputs!$B$43)-(B1673))))*IF(AND(ArtifactsInput!$M$42,((Inputs!$B$9+((C1654=TRUE)*(F1654-Calc!F19))+B1666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1639*(1-MIN(100,(Inputs!$B$9+((C1654=TRUE)*(F1654-Calc!F19))+B1666+(ArtifactsInput!$M$24-ArtifactsInput!$M$24)*CHOOSE(ArtifactsInput!$N$24+1,10,12,14,16,18,20)+(IF(AND(Inputs!$B$38&lt;&gt;"pvp",Inputs!$B$43=0),1,IF(IF(Inputs!$B$38="pvp",15,Inputs!$B$43)-(B1673)&lt;=0,1,MAX(0,IF(Inputs!$B$38="pvp",15,Inputs!$B$43)-MAX(5,B1673))/(IF(Inputs!$B$38="pvp",15,Inputs!$B$43)-(B1673))))*IF(AND(ArtifactsInput!$M$42,((Inputs!$B$9+((C1654=TRUE)*(F1654-Calc!F19))+B1666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1639*(MIN(100,(Inputs!$B$9+((C1654=TRUE)*(F1654-Calc!F19))+B1666+(ArtifactsInput!$M$24-ArtifactsInput!$M$24)*CHOOSE(ArtifactsInput!$N$24+1,10,12,14,16,18,20)+(IF(AND(Inputs!$B$38&lt;&gt;"pvp",Inputs!$B$43=0),1,IF(IF(Inputs!$B$38="pvp",15,Inputs!$B$43)-(B1673)&lt;=0,1,MAX(0,IF(Inputs!$B$38="pvp",15,Inputs!$B$43)-MAX(5,B1673))/(IF(Inputs!$B$38="pvp",15,Inputs!$B$43)-(B1673))))*IF(AND(ArtifactsInput!$M$42,((Inputs!$B$9+((C1654=TRUE)*(F1654-Calc!F19))+B1666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639">
        <f>290*U1638/1000</f>
        <v/>
      </c>
      <c r="V1639">
        <f>IF(C1639,(H1639*N1639*IF(AND(Inputs!$B$38&lt;&gt;"pvp",Inputs!$B$43&gt;0),((Skills!G4*((R1639-1)*IF(Skills!H4&gt;0,INT(IF(Inputs!$B$3&gt;=104,MIN(35,20*(1+Inputs!$B$34/100)),20)/Skills!H4+0.000000001),1)+IF(Skills!H4&gt;0,INT(MIN(IF(Inputs!$B$3&gt;=104,MIN(35,20*(1+Inputs!$B$34/100)),20),MAX(0,MAX(0,Inputs!$B$43-B1673)-((R1639-1)*(IF(Inputs!$B$38="pvp",15,MAX(0.1,Skills!D4-IF(TRUE=TRUE,Inputs!$B$32,0)))*(1-IF(AND(ArtifactsInput!$M$27,Inputs!$B$4="Chapter Hunt"),CHOOSE(ArtifactsInput!$N$27+1,20,24,28,32,36,40),0)/100)))))/Skills!H4+0.000000001),1)))/Inputs!$B$43),G1639*Q1639))*IF(Inputs!$B$38="pvp",1,(1+(Inputs!$B$21+Skills!Q4+(IF(ArtifactsInput!$M$33,CHOOSE(ArtifactsInput!$N$33+1,30,36,42,48,54,60),0))+(IF(AND(ArtifactsInput!$M$35,Inputs!$B$4&lt;&gt;"Chapter Hunt"),CHOOSE(ArtifactsInput!$N$35+1,15,18,21,24,27,30)*(1-EXP(-(0.2*B1668)*5)),0)+IF(AND(ArtifactsInput!$M$22,Inputs!$B$4&lt;&gt;"Chapter Hunt"),CHOOSE(ArtifactsInput!$N$22+1,10,12,14,16,18,20)*((0*(((0.15*B1668*5))^0/1)+1*(((0.15*B1668*5))^1/1)+2*(((0.15*B1668*5))^2/2)+3*(((0.15*B1668*5))^3/6)+4*(((0.15*B1668*5))^4/24)+5*(((0.15*B1668*5))^5/120))/((((0.15*B1668*5))^0/1)+(((0.15*B1668*5))^1/1)+(((0.15*B1668*5))^2/2)+(((0.15*B1668*5))^3/6)+(((0.15*B1668*5))^4/24)+(((0.15*B1668*5))^5/120))),0))+IF(Inputs!$B$3&gt;=54,9*(C1638=TRUE)*MIN(1,8*(1+Inputs!$B$34/100)*Q1638),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40">
      <c r="A1640">
        <f>Skills!A5</f>
        <v/>
      </c>
      <c r="B1640">
        <f>Skills!B5</f>
        <v/>
      </c>
      <c r="C1640">
        <f>Inputs!$B$3&gt;=69</f>
        <v/>
      </c>
      <c r="D1640">
        <f>IF(Skills!C5=1,60+Inputs!$B$25+Inputs!$B$29,IF(Skills!C5=2,90+Inputs!$B$26+Inputs!$B$29,IF(Skills!C5=3,120+Inputs!$B$27+Inputs!$B$29,MAX(0,(Inputs!$B$3-100)*3)+Inputs!$B$28+Inputs!$B$29)))</f>
        <v/>
      </c>
      <c r="E1640">
        <f>INDEX(FactorTable!$B$2:$Y$301, MATCH(ROUND(MIN(300,MAX(1,D1640)),0), FactorTable!$A$2:$A$301,0), Skills!M5+1)</f>
        <v/>
      </c>
      <c r="F1640">
        <f>IF(Skills!N5=TRUE,(Skills!L5/10)*(E1640/1000),Skills!L5/10)+Skills!O5</f>
        <v/>
      </c>
      <c r="G1640">
        <f>Skills!G5*IF(Skills!H5&gt;0,INT(IF(Inputs!$B$38="pvp",MIN(IF(Inputs!$B$3&gt;=104,MIN(35,20*(1+Inputs!$B$34/100)),20),15),IF(Inputs!$B$3&gt;=104,MIN(35,20*(1+Inputs!$B$34/100)),20))/Skills!H5+0.000000001),1)</f>
        <v/>
      </c>
      <c r="H1640">
        <f>1-(1-Skills!J5/100)^Skills!K5</f>
        <v/>
      </c>
      <c r="I1640" t="inlineStr">
        <is>
          <t>1</t>
        </is>
      </c>
      <c r="J1640">
        <f>((Inputs!$B$6*(1+Inputs!$B$7/100))+(((Inputs!$B$12*(1+Inputs!$B$13/100))-(Inputs!$B$12*(1+Inputs!$B$13/100)))+0.25*(Inputs!$B$14-Inputs!$B$14))*(1+Inputs!$B$7/100))*(F1640/100)</f>
        <v/>
      </c>
      <c r="K1640">
        <f>J1640*(1+((Inputs!$B$12*(1+Inputs!$B$13/100))*0.01+Inputs!$B$14*0.0025)/100)*(1+Inputs!$B$15/100)*(1+Inputs!$B$16/100)*(5000/(6000+Inputs!$B$42*(1-(100*(1-(1-(Inputs!$B$19+0)/100)*(1-CHOOSE(ArtifactsInput!$N$40+1,5,6,7,8,9,10)/100)^(ArtifactsInput!$M$40-ArtifactsInput!$M$40)))/100)))*(1+(Inputs!$B$24+((C1661=TRUE)*(F1661-Calc!F26))+B1672)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Boss",2,1),0)/100)-1)*100+(IF(ArtifactsInput!$M$14,FALSE,TRUE)-ArtifactsInput!$M$14)*IF(OR(Inputs!$B$4="Weapon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+0.4*IF(C1651=TRUE,F1651,0)/100)*(1+(IF(Skills!A5="EIGHT_LEGS_EASTON",Inputs!$B$17+((C1658=TRUE)*(F1658-Calc!F23))+((C1662=TRUE)*(F1662-Calc!F27))+((IF(AND(Inputs!$B$38&lt;&gt;"pvp",Inputs!$B$43=0),1,IF(IF(Inputs!$B$38="pvp",15,Inputs!$B$43)-(B1673)&lt;=0,1,MAX(0,IF(Inputs!$B$38="pvp",15,Inputs!$B$43)-MAX(5,B1673))/(IF(Inputs!$B$38="pvp",15,Inputs!$B$43)-(B1673))))*(IF(AND(ArtifactsInput!$M$42,((Inputs!$B$9+((C1654=TRUE)*(F1654-Calc!F19))+B1666+(ArtifactsInput!$M$24-ArtifactsInput!$M$24)*CHOOSE(ArtifactsInput!$N$24+1,10,12,14,16,18,20)+IF(ArtifactsInput!$M$10,CHOOSE(ArtifactsInput!$N$10+1,15,18,21,24,27,30)*(IF(Inputs!$B$38="pvp",MIN(15,15)/15,IF(AND(Inputs!$B$38&lt;&gt;"pvp",Inputs!$B$43&gt;0),MIN(15,Inputs!$B$43)/(Inputs!$B$43),0))),0)))&gt;=100),MIN(100,((Inputs!$B$9+((C1654=TRUE)*(F1654-Calc!F19))+B1666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1673)&lt;=0,1,MAX(0,IF(Inputs!$B$38="pvp",15,Inputs!$B$43)-MAX(5,B1673))/(IF(Inputs!$B$38="pvp",15,Inputs!$B$43)-(B1673))))*IF(AND(ArtifactsInput!$M$42,((Inputs!$B$9+((C1654=TRUE)*(F1654-Calc!F19))+B1666+(ArtifactsInput!$M$24-ArtifactsInput!$M$24)*CHOOSE(ArtifactsInput!$N$24+1,10,12,14,16,18,20)+IF(ArtifactsInput!$M$10,CHOOSE(ArtifactsInput!$N$10+1,15,18,21,24,27,30)*(IF(Inputs!$B$38="pvp",MIN(15,15)/15,IF(AND(Inputs!$B$38&lt;&gt;"pvp",Inputs!$B$43&gt;0),MIN(15,Inputs!$B$43)/(Inputs!$B$43),0))),0)))&gt;=100),CHOOSE(ArtifactsInput!$N$42+1,40,48,56,64,72,80),0))))/100)*((1+(((C1652=TRUE)*F1652*5/7)+((C1659=TRUE)*(F1659-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1640)</f>
        <v/>
      </c>
      <c r="L1640">
        <f>K1640*(MIN(Inputs!$B$22+((C1657=TRUE)*(F1657-Calc!F22)),(Inputs!$B$23+0+(IF(ArtifactsInput!$M$15,CHOOSE(ArtifactsInput!$N$15+1,25,30,35,40,45,50)/100*(Inputs!$B$11-Inputs!$B$11),0))))/100+(Inputs!$B$23+0+(IF(ArtifactsInput!$M$15,CHOOSE(ArtifactsInput!$N$15+1,25,30,35,40,45,50)/100*(Inputs!$B$11-Inputs!$B$11),0)))/100)/2</f>
        <v/>
      </c>
      <c r="M1640">
        <f>L1640*(1+(Inputs!$B$10+((C1660=TRUE)*(F1660-Calc!F25))+B1671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40">
        <f>L1640*(1-MIN((Inputs!$B$9+((C1654=TRUE)*(F1654-Calc!F19))+B1666+(ArtifactsInput!$M$24-ArtifactsInput!$M$24)*CHOOSE(ArtifactsInput!$N$24+1,10,12,14,16,18,20)+(IF(AND(Inputs!$B$38&lt;&gt;"pvp",Inputs!$B$43=0),1,IF(IF(Inputs!$B$38="pvp",15,Inputs!$B$43)-(B1673)&lt;=0,1,MAX(0,IF(Inputs!$B$38="pvp",15,Inputs!$B$43)-MAX(5,B1673))/(IF(Inputs!$B$38="pvp",15,Inputs!$B$43)-(B1673))))*IF(AND(ArtifactsInput!$M$42,((Inputs!$B$9+((C1654=TRUE)*(F1654-Calc!F19))+B1666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1640*(MIN((Inputs!$B$9+((C1654=TRUE)*(F1654-Calc!F19))+B1666+(ArtifactsInput!$M$24-ArtifactsInput!$M$24)*CHOOSE(ArtifactsInput!$N$24+1,10,12,14,16,18,20)+(IF(AND(Inputs!$B$38&lt;&gt;"pvp",Inputs!$B$43=0),1,IF(IF(Inputs!$B$38="pvp",15,Inputs!$B$43)-(B1673)&lt;=0,1,MAX(0,IF(Inputs!$B$38="pvp",15,Inputs!$B$43)-MAX(5,B1673))/(IF(Inputs!$B$38="pvp",15,Inputs!$B$43)-(B1673))))*IF(AND(ArtifactsInput!$M$42,((Inputs!$B$9+((C1654=TRUE)*(F1654-Calc!F19))+B1666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40">
        <f>(1-Summary!$B$11)*T1640+Summary!$B$11*V1640</f>
        <v/>
      </c>
      <c r="P1640">
        <f>IF(B1676=0,0,O1640/B1676)</f>
        <v/>
      </c>
      <c r="Q1640">
        <f>IFERROR(1/(IF(Inputs!$B$38="pvp",15,MAX(0.1,Skills!D5-IF(TRUE=TRUE,Inputs!$B$32,0)))*(1-IF(AND(ArtifactsInput!$M$27,Inputs!$B$4="Chapter Hunt"),CHOOSE(ArtifactsInput!$N$27+1,20,24,28,32,36,40),0)/100)),0)</f>
        <v/>
      </c>
      <c r="R1640">
        <f>IF(AND(Inputs!$B$38&lt;&gt;"pvp",Inputs!$B$43&gt;0),IF(MAX(0,Inputs!$B$43-B1673)&lt;=0,0,(INT(MAX(0,Inputs!$B$43-B1673)/(IF(Inputs!$B$38="pvp",15,MAX(0.1,Skills!D5-IF(TRUE=TRUE,Inputs!$B$32,0)))*(1-IF(AND(ArtifactsInput!$M$27,Inputs!$B$4="Chapter Hunt"),CHOOSE(ArtifactsInput!$N$27+1,20,24,28,32,36,40),0)/100)))+1)),0)</f>
        <v/>
      </c>
      <c r="S1640">
        <f>IFERROR(O1640/N1640,0)</f>
        <v/>
      </c>
      <c r="T1640">
        <f>IF(C1640,(H1640*N1640*IF(AND(Inputs!$B$38&lt;&gt;"pvp",Inputs!$B$43&gt;0),((Skills!G5*((R1640-1)*IF(Skills!H5&gt;0,INT(IF(Inputs!$B$3&gt;=104,MIN(35,20*(1+Inputs!$B$34/100)),20)/Skills!H5+0.000000001),1)+IF(Skills!H5&gt;0,INT(MIN(IF(Inputs!$B$3&gt;=104,MIN(35,20*(1+Inputs!$B$34/100)),20),MAX(0,MAX(0,Inputs!$B$43-B1673)-((R1640-1)*(IF(Inputs!$B$38="pvp",15,MAX(0.1,Skills!D5-IF(TRUE=TRUE,Inputs!$B$32,0)))*(1-IF(AND(ArtifactsInput!$M$27,Inputs!$B$4="Chapter Hunt"),CHOOSE(ArtifactsInput!$N$27+1,20,24,28,32,36,40),0)/100)))))/Skills!H5+0.000000001),1)))/Inputs!$B$43),G1640*Q1640))*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Hunt"),CHOOSE(ArtifactsInput!$N$35+1,15,18,21,24,27,30)*(1-EXP(-(0.2*B1668)*5)),0)+IF(AND(ArtifactsInput!$M$22,Inputs!$B$4&lt;&gt;"Chapter Hunt"),CHOOSE(ArtifactsInput!$N$22+1,10,12,14,16,18,20)*((0*(((0.15*B1668*5))^0/1)+1*(((0.15*B1668*5))^1/1)+2*(((0.15*B1668*5))^2/2)+3*(((0.15*B1668*5))^3/6)+4*(((0.15*B1668*5))^4/24)+5*(((0.15*B1668*5))^5/120))/((((0.15*B1668*5))^0/1)+(((0.15*B1668*5))^1/1)+(((0.15*B1668*5))^2/2)+(((0.15*B1668*5))^3/6)+(((0.15*B1668*5))^4/24)+(((0.15*B1668*5))^5/120))),0))+IF(Inputs!$B$3&gt;=54,9*(C1638=TRUE)*MIN(1,8*(1+Inputs!$B$34/100)*Q1638)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1640*(1-MIN(100,(Inputs!$B$9+((C1654=TRUE)*(F1654-Calc!F19))+B1666+(ArtifactsInput!$M$24-ArtifactsInput!$M$24)*CHOOSE(ArtifactsInput!$N$24+1,10,12,14,16,18,20)+(IF(AND(Inputs!$B$38&lt;&gt;"pvp",Inputs!$B$43=0),1,IF(IF(Inputs!$B$38="pvp",15,Inputs!$B$43)-(B1673)&lt;=0,1,MAX(0,IF(Inputs!$B$38="pvp",15,Inputs!$B$43)-MAX(5,B1673))/(IF(Inputs!$B$38="pvp",15,Inputs!$B$43)-(B1673))))*IF(AND(ArtifactsInput!$M$42,((Inputs!$B$9+((C1654=TRUE)*(F1654-Calc!F19))+B1666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1640*(MIN(100,(Inputs!$B$9+((C1654=TRUE)*(F1654-Calc!F19))+B1666+(ArtifactsInput!$M$24-ArtifactsInput!$M$24)*CHOOSE(ArtifactsInput!$N$24+1,10,12,14,16,18,20)+(IF(AND(Inputs!$B$38&lt;&gt;"pvp",Inputs!$B$43=0),1,IF(IF(Inputs!$B$38="pvp",15,Inputs!$B$43)-(B1673)&lt;=0,1,MAX(0,IF(Inputs!$B$38="pvp",15,Inputs!$B$43)-MAX(5,B1673))/(IF(Inputs!$B$38="pvp",15,Inputs!$B$43)-(B1673))))*IF(AND(ArtifactsInput!$M$42,((Inputs!$B$9+((C1654=TRUE)*(F1654-Calc!F19))+B1666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1640*(1-MIN(100,(Inputs!$B$9+((C1654=TRUE)*(F1654-Calc!F19))+B1666+(ArtifactsInput!$M$24-ArtifactsInput!$M$24)*CHOOSE(ArtifactsInput!$N$24+1,10,12,14,16,18,20)+(IF(AND(Inputs!$B$38&lt;&gt;"pvp",Inputs!$B$43=0),1,IF(IF(Inputs!$B$38="pvp",15,Inputs!$B$43)-(B1673)&lt;=0,1,MAX(0,IF(Inputs!$B$38="pvp",15,Inputs!$B$43)-MAX(5,B1673))/(IF(Inputs!$B$38="pvp",15,Inputs!$B$43)-(B1673))))*IF(AND(ArtifactsInput!$M$42,((Inputs!$B$9+((C1654=TRUE)*(F1654-Calc!F19))+B1666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1640*(MIN(100,(Inputs!$B$9+((C1654=TRUE)*(F1654-Calc!F19))+B1666+(ArtifactsInput!$M$24-ArtifactsInput!$M$24)*CHOOSE(ArtifactsInput!$N$24+1,10,12,14,16,18,20)+(IF(AND(Inputs!$B$38&lt;&gt;"pvp",Inputs!$B$43=0),1,IF(IF(Inputs!$B$38="pvp",15,Inputs!$B$43)-(B1673)&lt;=0,1,MAX(0,IF(Inputs!$B$38="pvp",15,Inputs!$B$43)-MAX(5,B1673))/(IF(Inputs!$B$38="pvp",15,Inputs!$B$43)-(B1673))))*IF(AND(ArtifactsInput!$M$42,((Inputs!$B$9+((C1654=TRUE)*(F1654-Calc!F19))+B1666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640">
        <f>IF(C1640,(H1640*N1640*IF(AND(Inputs!$B$38&lt;&gt;"pvp",Inputs!$B$43&gt;0),((Skills!G5*((R1640-1)*IF(Skills!H5&gt;0,INT(IF(Inputs!$B$3&gt;=104,MIN(35,20*(1+Inputs!$B$34/100)),20)/Skills!H5+0.000000001),1)+IF(Skills!H5&gt;0,INT(MIN(IF(Inputs!$B$3&gt;=104,MIN(35,20*(1+Inputs!$B$34/100)),20),MAX(0,MAX(0,Inputs!$B$43-B1673)-((R1640-1)*(IF(Inputs!$B$38="pvp",15,MAX(0.1,Skills!D5-IF(TRUE=TRUE,Inputs!$B$32,0)))*(1-IF(AND(ArtifactsInput!$M$27,Inputs!$B$4="Chapter Hunt"),CHOOSE(ArtifactsInput!$N$27+1,20,24,28,32,36,40),0)/100)))))/Skills!H5+0.000000001),1)))/Inputs!$B$43),G1640*Q1640))*IF(Inputs!$B$38="pvp",1,(1+(Inputs!$B$21+Skills!Q5+(IF(ArtifactsInput!$M$33,CHOOSE(ArtifactsInput!$N$33+1,30,36,42,48,54,60),0))+(IF(AND(ArtifactsInput!$M$35,Inputs!$B$4&lt;&gt;"Chapter Hunt"),CHOOSE(ArtifactsInput!$N$35+1,15,18,21,24,27,30)*(1-EXP(-(0.2*B1668)*5)),0)+IF(AND(ArtifactsInput!$M$22,Inputs!$B$4&lt;&gt;"Chapter Hunt"),CHOOSE(ArtifactsInput!$N$22+1,10,12,14,16,18,20)*((0*(((0.15*B1668*5))^0/1)+1*(((0.15*B1668*5))^1/1)+2*(((0.15*B1668*5))^2/2)+3*(((0.15*B1668*5))^3/6)+4*(((0.15*B1668*5))^4/24)+5*(((0.15*B1668*5))^5/120))/((((0.15*B1668*5))^0/1)+(((0.15*B1668*5))^1/1)+(((0.15*B1668*5))^2/2)+(((0.15*B1668*5))^3/6)+(((0.15*B1668*5))^4/24)+(((0.15*B1668*5))^5/120))),0))+IF(Inputs!$B$3&gt;=54,9*(C1638=TRUE)*MIN(1,8*(1+Inputs!$B$34/100)*Q1638),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41">
      <c r="A1641">
        <f>Skills!A6</f>
        <v/>
      </c>
      <c r="B1641">
        <f>Skills!B6</f>
        <v/>
      </c>
      <c r="C1641">
        <f>Inputs!$B$3&gt;=66</f>
        <v/>
      </c>
      <c r="D1641">
        <f>IF(Skills!C6=1,60+Inputs!$B$25+Inputs!$B$29,IF(Skills!C6=2,90+Inputs!$B$26+Inputs!$B$29,IF(Skills!C6=3,120+Inputs!$B$27+Inputs!$B$29,MAX(0,(Inputs!$B$3-100)*3)+Inputs!$B$28+Inputs!$B$29)))</f>
        <v/>
      </c>
      <c r="E1641">
        <f>INDEX(FactorTable!$B$2:$Y$301, MATCH(ROUND(MIN(300,MAX(1,D1641)),0), FactorTable!$A$2:$A$301,0), Skills!M6+1)</f>
        <v/>
      </c>
      <c r="F1641">
        <f>IF(Skills!N6=TRUE,(Skills!L6/10)*(E1641/1000),Skills!L6/10)+Skills!O6</f>
        <v/>
      </c>
      <c r="G1641">
        <f>Skills!G6*IF(Skills!H6&gt;0,INT(IF(Inputs!$B$38="pvp",MIN(Skills!I6,15),Skills!I6)/Skills!H6+0.000000001),1)</f>
        <v/>
      </c>
      <c r="H1641">
        <f>1-(1-Skills!J6/100)^Skills!K6</f>
        <v/>
      </c>
      <c r="I1641" t="inlineStr">
        <is>
          <t>1</t>
        </is>
      </c>
      <c r="J1641">
        <f>((Inputs!$B$6*(1+Inputs!$B$7/100))+(((Inputs!$B$12*(1+Inputs!$B$13/100))-(Inputs!$B$12*(1+Inputs!$B$13/100)))+0.25*(Inputs!$B$14-Inputs!$B$14))*(1+Inputs!$B$7/100))*(F1641/100)</f>
        <v/>
      </c>
      <c r="K1641">
        <f>J1641*(1+((Inputs!$B$12*(1+Inputs!$B$13/100))*0.01+Inputs!$B$14*0.0025)/100)*(1+Inputs!$B$15/100)*(1+Inputs!$B$16/100)*(5000/(6000+Inputs!$B$42*(1-(100*(1-(1-(Inputs!$B$19+0)/100)*(1-CHOOSE(ArtifactsInput!$N$40+1,5,6,7,8,9,10)/100)^(ArtifactsInput!$M$40-ArtifactsInput!$M$40)))/100)))*(1+(Inputs!$B$24+((C1661=TRUE)*(F1661-Calc!F26))+B1672)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Boss",2,1),0)/100)-1)*100+(IF(ArtifactsInput!$M$14,FALSE,TRUE)-ArtifactsInput!$M$14)*IF(OR(Inputs!$B$4="Weapon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+2.0*IF(C1650=TRUE,F1650,0)/100)*(1+(IF(Skills!A6="EIGHT_LEGS_EASTON",Inputs!$B$17+((C1658=TRUE)*(F1658-Calc!F23))+((C1662=TRUE)*(F1662-Calc!F27))+((IF(AND(Inputs!$B$38&lt;&gt;"pvp",Inputs!$B$43=0),1,IF(IF(Inputs!$B$38="pvp",15,Inputs!$B$43)-(B1673)&lt;=0,1,MAX(0,IF(Inputs!$B$38="pvp",15,Inputs!$B$43)-MAX(5,B1673))/(IF(Inputs!$B$38="pvp",15,Inputs!$B$43)-(B1673))))*(IF(AND(ArtifactsInput!$M$42,((Inputs!$B$9+((C1654=TRUE)*(F1654-Calc!F19))+B1666+(ArtifactsInput!$M$24-ArtifactsInput!$M$24)*CHOOSE(ArtifactsInput!$N$24+1,10,12,14,16,18,20)+IF(ArtifactsInput!$M$10,CHOOSE(ArtifactsInput!$N$10+1,15,18,21,24,27,30)*(IF(Inputs!$B$38="pvp",MIN(15,15)/15,IF(AND(Inputs!$B$38&lt;&gt;"pvp",Inputs!$B$43&gt;0),MIN(15,Inputs!$B$43)/(Inputs!$B$43),0))),0)))&gt;=100),MIN(100,((Inputs!$B$9+((C1654=TRUE)*(F1654-Calc!F19))+B1666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1673)&lt;=0,1,MAX(0,IF(Inputs!$B$38="pvp",15,Inputs!$B$43)-MAX(5,B1673))/(IF(Inputs!$B$38="pvp",15,Inputs!$B$43)-(B1673))))*IF(AND(ArtifactsInput!$M$42,((Inputs!$B$9+((C1654=TRUE)*(F1654-Calc!F19))+B1666+(ArtifactsInput!$M$24-ArtifactsInput!$M$24)*CHOOSE(ArtifactsInput!$N$24+1,10,12,14,16,18,20)+IF(ArtifactsInput!$M$10,CHOOSE(ArtifactsInput!$N$10+1,15,18,21,24,27,30)*(IF(Inputs!$B$38="pvp",MIN(15,15)/15,IF(AND(Inputs!$B$38&lt;&gt;"pvp",Inputs!$B$43&gt;0),MIN(15,Inputs!$B$43)/(Inputs!$B$43),0))),0)))&gt;=100),CHOOSE(ArtifactsInput!$N$42+1,40,48,56,64,72,80),0))))/100)*((1+(((C1652=TRUE)*F1652*5/7)+((C1659=TRUE)*(F1659-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1641)</f>
        <v/>
      </c>
      <c r="L1641">
        <f>K1641*(MIN(Inputs!$B$22+((C1657=TRUE)*(F1657-Calc!F22)),(Inputs!$B$23+0+(IF(ArtifactsInput!$M$15,CHOOSE(ArtifactsInput!$N$15+1,25,30,35,40,45,50)/100*(Inputs!$B$11-Inputs!$B$11),0))))/100+(Inputs!$B$23+0+(IF(ArtifactsInput!$M$15,CHOOSE(ArtifactsInput!$N$15+1,25,30,35,40,45,50)/100*(Inputs!$B$11-Inputs!$B$11),0)))/100)/2</f>
        <v/>
      </c>
      <c r="M1641">
        <f>L1641*(1+(Inputs!$B$10+((C1660=TRUE)*(F1660-Calc!F25))+B1671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41">
        <f>L1641*(1-MIN((Inputs!$B$9+((C1654=TRUE)*(F1654-Calc!F19))+B1666+(ArtifactsInput!$M$24-ArtifactsInput!$M$24)*CHOOSE(ArtifactsInput!$N$24+1,10,12,14,16,18,20)+(IF(AND(Inputs!$B$38&lt;&gt;"pvp",Inputs!$B$43=0),1,IF(IF(Inputs!$B$38="pvp",15,Inputs!$B$43)-(B1673)&lt;=0,1,MAX(0,IF(Inputs!$B$38="pvp",15,Inputs!$B$43)-MAX(5,B1673))/(IF(Inputs!$B$38="pvp",15,Inputs!$B$43)-(B1673))))*IF(AND(ArtifactsInput!$M$42,((Inputs!$B$9+((C1654=TRUE)*(F1654-Calc!F19))+B1666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1641*(MIN((Inputs!$B$9+((C1654=TRUE)*(F1654-Calc!F19))+B1666+(ArtifactsInput!$M$24-ArtifactsInput!$M$24)*CHOOSE(ArtifactsInput!$N$24+1,10,12,14,16,18,20)+(IF(AND(Inputs!$B$38&lt;&gt;"pvp",Inputs!$B$43=0),1,IF(IF(Inputs!$B$38="pvp",15,Inputs!$B$43)-(B1673)&lt;=0,1,MAX(0,IF(Inputs!$B$38="pvp",15,Inputs!$B$43)-MAX(5,B1673))/(IF(Inputs!$B$38="pvp",15,Inputs!$B$43)-(B1673))))*IF(AND(ArtifactsInput!$M$42,((Inputs!$B$9+((C1654=TRUE)*(F1654-Calc!F19))+B1666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41">
        <f>(1-Summary!$B$11)*T1641+Summary!$B$11*V1641</f>
        <v/>
      </c>
      <c r="P1641">
        <f>IF(B1676=0,0,O1641/B1676)</f>
        <v/>
      </c>
      <c r="Q1641">
        <f>IFERROR(1/(IF(Inputs!$B$38="pvp",15,MAX(0.1,Skills!D6-IF(TRUE=TRUE,Inputs!$B$32,0)))*(1-IF(AND(ArtifactsInput!$M$27,Inputs!$B$4="Chapter Hunt"),CHOOSE(ArtifactsInput!$N$27+1,20,24,28,32,36,40),0)/100)),0)</f>
        <v/>
      </c>
      <c r="R1641">
        <f>IF(AND(Inputs!$B$38&lt;&gt;"pvp",Inputs!$B$43&gt;0),IF(MAX(0,Inputs!$B$43-B1673)&lt;=0,0,(INT(MAX(0,Inputs!$B$43-B1673)/(IF(Inputs!$B$38="pvp",15,MAX(0.1,Skills!D6-IF(TRUE=TRUE,Inputs!$B$32,0)))*(1-IF(AND(ArtifactsInput!$M$27,Inputs!$B$4="Chapter Hunt"),CHOOSE(ArtifactsInput!$N$27+1,20,24,28,32,36,40),0)/100)))+1)),0)</f>
        <v/>
      </c>
      <c r="S1641">
        <f>IFERROR(O1641/N1641,0)</f>
        <v/>
      </c>
      <c r="T1641">
        <f>IF(C1641,(H1641*N1641*IF(AND(Inputs!$B$38&lt;&gt;"pvp",Inputs!$B$43&gt;0),((Skills!G6*((R1641-1)*IF(Skills!H6&gt;0,INT(Skills!I6/Skills!H6+0.000000001),1)+IF(Skills!H6&gt;0,INT(MIN(Skills!I6,MAX(0,MAX(0,Inputs!$B$43-B1673)-((R1641-1)*(IF(Inputs!$B$38="pvp",15,MAX(0.1,Skills!D6-IF(TRUE=TRUE,Inputs!$B$32,0)))*(1-IF(AND(ArtifactsInput!$M$27,Inputs!$B$4="Chapter Hunt"),CHOOSE(ArtifactsInput!$N$27+1,20,24,28,32,36,40),0)/100)))))/Skills!H6+0.000000001),1)))/Inputs!$B$43),G1641*Q1641))*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Hunt"),CHOOSE(ArtifactsInput!$N$35+1,15,18,21,24,27,30)*(1-EXP(-(0.2*B1668)*5)),0)+IF(AND(ArtifactsInput!$M$22,Inputs!$B$4&lt;&gt;"Chapter Hunt"),CHOOSE(ArtifactsInput!$N$22+1,10,12,14,16,18,20)*((0*(((0.15*B1668*5))^0/1)+1*(((0.15*B1668*5))^1/1)+2*(((0.15*B1668*5))^2/2)+3*(((0.15*B1668*5))^3/6)+4*(((0.15*B1668*5))^4/24)+5*(((0.15*B1668*5))^5/120))/((((0.15*B1668*5))^0/1)+(((0.15*B1668*5))^1/1)+(((0.15*B1668*5))^2/2)+(((0.15*B1668*5))^3/6)+(((0.15*B1668*5))^4/24)+(((0.15*B1668*5))^5/120))),0))+IF(Inputs!$B$3&gt;=54,9*(C1638=TRUE)*MIN(1,8*(1+Inputs!$B$34/100)*Q1638)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1641*(1-MIN(100,(Inputs!$B$9+((C1654=TRUE)*(F1654-Calc!F19))+B1666+(ArtifactsInput!$M$24-ArtifactsInput!$M$24)*CHOOSE(ArtifactsInput!$N$24+1,10,12,14,16,18,20)+(IF(AND(Inputs!$B$38&lt;&gt;"pvp",Inputs!$B$43=0),1,IF(IF(Inputs!$B$38="pvp",15,Inputs!$B$43)-(B1673)&lt;=0,1,MAX(0,IF(Inputs!$B$38="pvp",15,Inputs!$B$43)-MAX(5,B1673))/(IF(Inputs!$B$38="pvp",15,Inputs!$B$43)-(B1673))))*IF(AND(ArtifactsInput!$M$42,((Inputs!$B$9+((C1654=TRUE)*(F1654-Calc!F19))+B1666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1641*(MIN(100,(Inputs!$B$9+((C1654=TRUE)*(F1654-Calc!F19))+B1666+(ArtifactsInput!$M$24-ArtifactsInput!$M$24)*CHOOSE(ArtifactsInput!$N$24+1,10,12,14,16,18,20)+(IF(AND(Inputs!$B$38&lt;&gt;"pvp",Inputs!$B$43=0),1,IF(IF(Inputs!$B$38="pvp",15,Inputs!$B$43)-(B1673)&lt;=0,1,MAX(0,IF(Inputs!$B$38="pvp",15,Inputs!$B$43)-MAX(5,B1673))/(IF(Inputs!$B$38="pvp",15,Inputs!$B$43)-(B1673))))*IF(AND(ArtifactsInput!$M$42,((Inputs!$B$9+((C1654=TRUE)*(F1654-Calc!F19))+B1666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1641*(1-MIN(100,(Inputs!$B$9+((C1654=TRUE)*(F1654-Calc!F19))+B1666+(ArtifactsInput!$M$24-ArtifactsInput!$M$24)*CHOOSE(ArtifactsInput!$N$24+1,10,12,14,16,18,20)+(IF(AND(Inputs!$B$38&lt;&gt;"pvp",Inputs!$B$43=0),1,IF(IF(Inputs!$B$38="pvp",15,Inputs!$B$43)-(B1673)&lt;=0,1,MAX(0,IF(Inputs!$B$38="pvp",15,Inputs!$B$43)-MAX(5,B1673))/(IF(Inputs!$B$38="pvp",15,Inputs!$B$43)-(B1673))))*IF(AND(ArtifactsInput!$M$42,((Inputs!$B$9+((C1654=TRUE)*(F1654-Calc!F19))+B1666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1641*(MIN(100,(Inputs!$B$9+((C1654=TRUE)*(F1654-Calc!F19))+B1666+(ArtifactsInput!$M$24-ArtifactsInput!$M$24)*CHOOSE(ArtifactsInput!$N$24+1,10,12,14,16,18,20)+(IF(AND(Inputs!$B$38&lt;&gt;"pvp",Inputs!$B$43=0),1,IF(IF(Inputs!$B$38="pvp",15,Inputs!$B$43)-(B1673)&lt;=0,1,MAX(0,IF(Inputs!$B$38="pvp",15,Inputs!$B$43)-MAX(5,B1673))/(IF(Inputs!$B$38="pvp",15,Inputs!$B$43)-(B1673))))*IF(AND(ArtifactsInput!$M$42,((Inputs!$B$9+((C1654=TRUE)*(F1654-Calc!F19))+B1666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641">
        <f>IF(C1641,(H1641*N1641*IF(AND(Inputs!$B$38&lt;&gt;"pvp",Inputs!$B$43&gt;0),((Skills!G6*((R1641-1)*IF(Skills!H6&gt;0,INT(Skills!I6/Skills!H6+0.000000001),1)+IF(Skills!H6&gt;0,INT(MIN(Skills!I6,MAX(0,MAX(0,Inputs!$B$43-B1673)-((R1641-1)*(IF(Inputs!$B$38="pvp",15,MAX(0.1,Skills!D6-IF(TRUE=TRUE,Inputs!$B$32,0)))*(1-IF(AND(ArtifactsInput!$M$27,Inputs!$B$4="Chapter Hunt"),CHOOSE(ArtifactsInput!$N$27+1,20,24,28,32,36,40),0)/100)))))/Skills!H6+0.000000001),1)))/Inputs!$B$43),G1641*Q1641))*IF(Inputs!$B$38="pvp",1,(1+(Inputs!$B$21+Skills!Q6+(IF(ArtifactsInput!$M$33,CHOOSE(ArtifactsInput!$N$33+1,30,36,42,48,54,60),0))+(IF(AND(ArtifactsInput!$M$35,Inputs!$B$4&lt;&gt;"Chapter Hunt"),CHOOSE(ArtifactsInput!$N$35+1,15,18,21,24,27,30)*(1-EXP(-(0.2*B1668)*5)),0)+IF(AND(ArtifactsInput!$M$22,Inputs!$B$4&lt;&gt;"Chapter Hunt"),CHOOSE(ArtifactsInput!$N$22+1,10,12,14,16,18,20)*((0*(((0.15*B1668*5))^0/1)+1*(((0.15*B1668*5))^1/1)+2*(((0.15*B1668*5))^2/2)+3*(((0.15*B1668*5))^3/6)+4*(((0.15*B1668*5))^4/24)+5*(((0.15*B1668*5))^5/120))/((((0.15*B1668*5))^0/1)+(((0.15*B1668*5))^1/1)+(((0.15*B1668*5))^2/2)+(((0.15*B1668*5))^3/6)+(((0.15*B1668*5))^4/24)+(((0.15*B1668*5))^5/120))),0))+IF(Inputs!$B$3&gt;=54,9*(C1638=TRUE)*MIN(1,8*(1+Inputs!$B$34/100)*Q1638),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42">
      <c r="A1642">
        <f>Skills!A7</f>
        <v/>
      </c>
      <c r="B1642">
        <f>Skills!B7</f>
        <v/>
      </c>
      <c r="C1642">
        <f>Inputs!$B$3&gt;=63</f>
        <v/>
      </c>
      <c r="D1642">
        <f>IF(Skills!C7=1,60+Inputs!$B$25+Inputs!$B$29,IF(Skills!C7=2,90+Inputs!$B$26+Inputs!$B$29,IF(Skills!C7=3,120+Inputs!$B$27+Inputs!$B$29,MAX(0,(Inputs!$B$3-100)*3)+Inputs!$B$28+Inputs!$B$29)))</f>
        <v/>
      </c>
      <c r="E1642">
        <f>INDEX(FactorTable!$B$2:$Y$301, MATCH(ROUND(MIN(300,MAX(1,D1642)),0), FactorTable!$A$2:$A$301,0), Skills!M7+1)</f>
        <v/>
      </c>
      <c r="F1642">
        <f>IF(Skills!N7=TRUE,(Skills!L7/10)*(E1642/1000),Skills!L7/10)+Skills!O7</f>
        <v/>
      </c>
      <c r="G1642">
        <f>Skills!G7*IF(Skills!H7&gt;0,INT(IF(Inputs!$B$38="pvp",MIN(Skills!I7,15),Skills!I7)/Skills!H7+0.000000001),1)</f>
        <v/>
      </c>
      <c r="H1642">
        <f>1-(1-Skills!J7/100)^Skills!K7</f>
        <v/>
      </c>
      <c r="I1642" t="inlineStr">
        <is>
          <t>1</t>
        </is>
      </c>
      <c r="J1642">
        <f>((Inputs!$B$6*(1+Inputs!$B$7/100))+(((Inputs!$B$12*(1+Inputs!$B$13/100))-(Inputs!$B$12*(1+Inputs!$B$13/100)))+0.25*(Inputs!$B$14-Inputs!$B$14))*(1+Inputs!$B$7/100))*(F1642/100)</f>
        <v/>
      </c>
      <c r="K1642">
        <f>J1642*(1+((Inputs!$B$12*(1+Inputs!$B$13/100))*0.01+Inputs!$B$14*0.0025)/100)*(1+Inputs!$B$15/100)*(1+Inputs!$B$16/100)*(5000/(6000+Inputs!$B$42*(1-(100*(1-(1-(Inputs!$B$19+0)/100)*(1-CHOOSE(ArtifactsInput!$N$40+1,5,6,7,8,9,10)/100)^(ArtifactsInput!$M$40-ArtifactsInput!$M$40)))/100)))*(1+(Inputs!$B$24+((C1661=TRUE)*(F1661-Calc!F26))+B1672)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Boss",2,1),0)/100)-1)*100+(IF(ArtifactsInput!$M$14,FALSE,TRUE)-ArtifactsInput!$M$14)*IF(OR(Inputs!$B$4="Weapon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1650=TRUE,F1650,0)/100)*(1+(IF(Skills!A7="EIGHT_LEGS_EASTON",Inputs!$B$17+((C1658=TRUE)*(F1658-Calc!F23))+((C1662=TRUE)*(F1662-Calc!F27))+((IF(AND(Inputs!$B$38&lt;&gt;"pvp",Inputs!$B$43=0),1,IF(IF(Inputs!$B$38="pvp",15,Inputs!$B$43)-(B1673)&lt;=0,1,MAX(0,IF(Inputs!$B$38="pvp",15,Inputs!$B$43)-MAX(5,B1673))/(IF(Inputs!$B$38="pvp",15,Inputs!$B$43)-(B1673))))*(IF(AND(ArtifactsInput!$M$42,((Inputs!$B$9+((C1654=TRUE)*(F1654-Calc!F19))+B1666+(ArtifactsInput!$M$24-ArtifactsInput!$M$24)*CHOOSE(ArtifactsInput!$N$24+1,10,12,14,16,18,20)+IF(ArtifactsInput!$M$10,CHOOSE(ArtifactsInput!$N$10+1,15,18,21,24,27,30)*(IF(Inputs!$B$38="pvp",MIN(15,15)/15,IF(AND(Inputs!$B$38&lt;&gt;"pvp",Inputs!$B$43&gt;0),MIN(15,Inputs!$B$43)/(Inputs!$B$43),0))),0)))&gt;=100),MIN(100,((Inputs!$B$9+((C1654=TRUE)*(F1654-Calc!F19))+B1666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1673)&lt;=0,1,MAX(0,IF(Inputs!$B$38="pvp",15,Inputs!$B$43)-MAX(5,B1673))/(IF(Inputs!$B$38="pvp",15,Inputs!$B$43)-(B1673))))*IF(AND(ArtifactsInput!$M$42,((Inputs!$B$9+((C1654=TRUE)*(F1654-Calc!F19))+B1666+(ArtifactsInput!$M$24-ArtifactsInput!$M$24)*CHOOSE(ArtifactsInput!$N$24+1,10,12,14,16,18,20)+IF(ArtifactsInput!$M$10,CHOOSE(ArtifactsInput!$N$10+1,15,18,21,24,27,30)*(IF(Inputs!$B$38="pvp",MIN(15,15)/15,IF(AND(Inputs!$B$38&lt;&gt;"pvp",Inputs!$B$43&gt;0),MIN(15,Inputs!$B$43)/(Inputs!$B$43),0))),0)))&gt;=100),CHOOSE(ArtifactsInput!$N$42+1,40,48,56,64,72,80),0))))/100)*((1+(((C1652=TRUE)*F1652*5/7)+((C1659=TRUE)*(F1659-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1642)</f>
        <v/>
      </c>
      <c r="L1642">
        <f>K1642*(MIN(Inputs!$B$22+((C1657=TRUE)*(F1657-Calc!F22)),(Inputs!$B$23+0+(IF(ArtifactsInput!$M$15,CHOOSE(ArtifactsInput!$N$15+1,25,30,35,40,45,50)/100*(Inputs!$B$11-Inputs!$B$11),0))))/100+(Inputs!$B$23+0+(IF(ArtifactsInput!$M$15,CHOOSE(ArtifactsInput!$N$15+1,25,30,35,40,45,50)/100*(Inputs!$B$11-Inputs!$B$11),0)))/100)/2</f>
        <v/>
      </c>
      <c r="M1642">
        <f>L1642*(1+(Inputs!$B$10+((C1660=TRUE)*(F1660-Calc!F25))+B1671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42">
        <f>L1642*(1-MIN((Inputs!$B$9+((C1654=TRUE)*(F1654-Calc!F19))+B1666+(ArtifactsInput!$M$24-ArtifactsInput!$M$24)*CHOOSE(ArtifactsInput!$N$24+1,10,12,14,16,18,20)+(IF(AND(Inputs!$B$38&lt;&gt;"pvp",Inputs!$B$43=0),1,IF(IF(Inputs!$B$38="pvp",15,Inputs!$B$43)-(B1673)&lt;=0,1,MAX(0,IF(Inputs!$B$38="pvp",15,Inputs!$B$43)-MAX(5,B1673))/(IF(Inputs!$B$38="pvp",15,Inputs!$B$43)-(B1673))))*IF(AND(ArtifactsInput!$M$42,((Inputs!$B$9+((C1654=TRUE)*(F1654-Calc!F19))+B1666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1642*(MIN((Inputs!$B$9+((C1654=TRUE)*(F1654-Calc!F19))+B1666+(ArtifactsInput!$M$24-ArtifactsInput!$M$24)*CHOOSE(ArtifactsInput!$N$24+1,10,12,14,16,18,20)+(IF(AND(Inputs!$B$38&lt;&gt;"pvp",Inputs!$B$43=0),1,IF(IF(Inputs!$B$38="pvp",15,Inputs!$B$43)-(B1673)&lt;=0,1,MAX(0,IF(Inputs!$B$38="pvp",15,Inputs!$B$43)-MAX(5,B1673))/(IF(Inputs!$B$38="pvp",15,Inputs!$B$43)-(B1673))))*IF(AND(ArtifactsInput!$M$42,((Inputs!$B$9+((C1654=TRUE)*(F1654-Calc!F19))+B1666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42">
        <f>(1-Summary!$B$11)*T1642+Summary!$B$11*V1642</f>
        <v/>
      </c>
      <c r="P1642">
        <f>IF(B1676=0,0,O1642/B1676)</f>
        <v/>
      </c>
      <c r="Q1642">
        <f>IFERROR(1/(IF(Inputs!$B$38="pvp",15,MAX(0.1,Skills!D7-IF(TRUE=TRUE,Inputs!$B$32,0)))*(1-IF(AND(ArtifactsInput!$M$27,Inputs!$B$4="Chapter Hunt"),CHOOSE(ArtifactsInput!$N$27+1,20,24,28,32,36,40),0)/100)),0)</f>
        <v/>
      </c>
      <c r="R1642">
        <f>IF(AND(Inputs!$B$38&lt;&gt;"pvp",Inputs!$B$43&gt;0),IF(MAX(0,Inputs!$B$43-B1673)&lt;=0,0,(INT(MAX(0,Inputs!$B$43-B1673)/(IF(Inputs!$B$38="pvp",15,MAX(0.1,Skills!D7-IF(TRUE=TRUE,Inputs!$B$32,0)))*(1-IF(AND(ArtifactsInput!$M$27,Inputs!$B$4="Chapter Hunt"),CHOOSE(ArtifactsInput!$N$27+1,20,24,28,32,36,40),0)/100)))+1)),0)</f>
        <v/>
      </c>
      <c r="S1642">
        <f>IFERROR(O1642/N1642,0)</f>
        <v/>
      </c>
      <c r="T1642">
        <f>IF(C1642,(H1642*N1642*IF(AND(Inputs!$B$38&lt;&gt;"pvp",Inputs!$B$43&gt;0),((Skills!G7*((R1642-1)*IF(Skills!H7&gt;0,INT(Skills!I7/Skills!H7+0.000000001),1)+IF(Skills!H7&gt;0,INT(MIN(Skills!I7,MAX(0,MAX(0,Inputs!$B$43-B1673)-((R1642-1)*(IF(Inputs!$B$38="pvp",15,MAX(0.1,Skills!D7-IF(TRUE=TRUE,Inputs!$B$32,0)))*(1-IF(AND(ArtifactsInput!$M$27,Inputs!$B$4="Chapter Hunt"),CHOOSE(ArtifactsInput!$N$27+1,20,24,28,32,36,40),0)/100)))))/Skills!H7+0.000000001),1)))/Inputs!$B$43),G1642*Q1642))*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Hunt"),CHOOSE(ArtifactsInput!$N$35+1,15,18,21,24,27,30)*(1-EXP(-(0.2*B1668)*5)),0)+IF(AND(ArtifactsInput!$M$22,Inputs!$B$4&lt;&gt;"Chapter Hunt"),CHOOSE(ArtifactsInput!$N$22+1,10,12,14,16,18,20)*((0*(((0.15*B1668*5))^0/1)+1*(((0.15*B1668*5))^1/1)+2*(((0.15*B1668*5))^2/2)+3*(((0.15*B1668*5))^3/6)+4*(((0.15*B1668*5))^4/24)+5*(((0.15*B1668*5))^5/120))/((((0.15*B1668*5))^0/1)+(((0.15*B1668*5))^1/1)+(((0.15*B1668*5))^2/2)+(((0.15*B1668*5))^3/6)+(((0.15*B1668*5))^4/24)+(((0.15*B1668*5))^5/120))),0))+IF(Inputs!$B$3&gt;=54,9*(C1638=TRUE)*MIN(1,8*(1+Inputs!$B$34/100)*Q1638)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1642*(1-MIN(100,(Inputs!$B$9+((C1654=TRUE)*(F1654-Calc!F19))+B1666+(ArtifactsInput!$M$24-ArtifactsInput!$M$24)*CHOOSE(ArtifactsInput!$N$24+1,10,12,14,16,18,20)+(IF(AND(Inputs!$B$38&lt;&gt;"pvp",Inputs!$B$43=0),1,IF(IF(Inputs!$B$38="pvp",15,Inputs!$B$43)-(B1673)&lt;=0,1,MAX(0,IF(Inputs!$B$38="pvp",15,Inputs!$B$43)-MAX(5,B1673))/(IF(Inputs!$B$38="pvp",15,Inputs!$B$43)-(B1673))))*IF(AND(ArtifactsInput!$M$42,((Inputs!$B$9+((C1654=TRUE)*(F1654-Calc!F19))+B1666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1642*(MIN(100,(Inputs!$B$9+((C1654=TRUE)*(F1654-Calc!F19))+B1666+(ArtifactsInput!$M$24-ArtifactsInput!$M$24)*CHOOSE(ArtifactsInput!$N$24+1,10,12,14,16,18,20)+(IF(AND(Inputs!$B$38&lt;&gt;"pvp",Inputs!$B$43=0),1,IF(IF(Inputs!$B$38="pvp",15,Inputs!$B$43)-(B1673)&lt;=0,1,MAX(0,IF(Inputs!$B$38="pvp",15,Inputs!$B$43)-MAX(5,B1673))/(IF(Inputs!$B$38="pvp",15,Inputs!$B$43)-(B1673))))*IF(AND(ArtifactsInput!$M$42,((Inputs!$B$9+((C1654=TRUE)*(F1654-Calc!F19))+B1666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1642*(1-MIN(100,(Inputs!$B$9+((C1654=TRUE)*(F1654-Calc!F19))+B1666+(ArtifactsInput!$M$24-ArtifactsInput!$M$24)*CHOOSE(ArtifactsInput!$N$24+1,10,12,14,16,18,20)+(IF(AND(Inputs!$B$38&lt;&gt;"pvp",Inputs!$B$43=0),1,IF(IF(Inputs!$B$38="pvp",15,Inputs!$B$43)-(B1673)&lt;=0,1,MAX(0,IF(Inputs!$B$38="pvp",15,Inputs!$B$43)-MAX(5,B1673))/(IF(Inputs!$B$38="pvp",15,Inputs!$B$43)-(B1673))))*IF(AND(ArtifactsInput!$M$42,((Inputs!$B$9+((C1654=TRUE)*(F1654-Calc!F19))+B1666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1642*(MIN(100,(Inputs!$B$9+((C1654=TRUE)*(F1654-Calc!F19))+B1666+(ArtifactsInput!$M$24-ArtifactsInput!$M$24)*CHOOSE(ArtifactsInput!$N$24+1,10,12,14,16,18,20)+(IF(AND(Inputs!$B$38&lt;&gt;"pvp",Inputs!$B$43=0),1,IF(IF(Inputs!$B$38="pvp",15,Inputs!$B$43)-(B1673)&lt;=0,1,MAX(0,IF(Inputs!$B$38="pvp",15,Inputs!$B$43)-MAX(5,B1673))/(IF(Inputs!$B$38="pvp",15,Inputs!$B$43)-(B1673))))*IF(AND(ArtifactsInput!$M$42,((Inputs!$B$9+((C1654=TRUE)*(F1654-Calc!F19))+B1666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642">
        <f>IF(C1642,(H1642*N1642*IF(AND(Inputs!$B$38&lt;&gt;"pvp",Inputs!$B$43&gt;0),((Skills!G7*((R1642-1)*IF(Skills!H7&gt;0,INT(Skills!I7/Skills!H7+0.000000001),1)+IF(Skills!H7&gt;0,INT(MIN(Skills!I7,MAX(0,MAX(0,Inputs!$B$43-B1673)-((R1642-1)*(IF(Inputs!$B$38="pvp",15,MAX(0.1,Skills!D7-IF(TRUE=TRUE,Inputs!$B$32,0)))*(1-IF(AND(ArtifactsInput!$M$27,Inputs!$B$4="Chapter Hunt"),CHOOSE(ArtifactsInput!$N$27+1,20,24,28,32,36,40),0)/100)))))/Skills!H7+0.000000001),1)))/Inputs!$B$43),G1642*Q1642))*IF(Inputs!$B$38="pvp",1,(1+(Inputs!$B$21+Skills!Q7+(IF(ArtifactsInput!$M$33,CHOOSE(ArtifactsInput!$N$33+1,30,36,42,48,54,60),0))+(IF(AND(ArtifactsInput!$M$35,Inputs!$B$4&lt;&gt;"Chapter Hunt"),CHOOSE(ArtifactsInput!$N$35+1,15,18,21,24,27,30)*(1-EXP(-(0.2*B1668)*5)),0)+IF(AND(ArtifactsInput!$M$22,Inputs!$B$4&lt;&gt;"Chapter Hunt"),CHOOSE(ArtifactsInput!$N$22+1,10,12,14,16,18,20)*((0*(((0.15*B1668*5))^0/1)+1*(((0.15*B1668*5))^1/1)+2*(((0.15*B1668*5))^2/2)+3*(((0.15*B1668*5))^3/6)+4*(((0.15*B1668*5))^4/24)+5*(((0.15*B1668*5))^5/120))/((((0.15*B1668*5))^0/1)+(((0.15*B1668*5))^1/1)+(((0.15*B1668*5))^2/2)+(((0.15*B1668*5))^3/6)+(((0.15*B1668*5))^4/24)+(((0.15*B1668*5))^5/120))),0))+IF(Inputs!$B$3&gt;=54,9*(C1638=TRUE)*MIN(1,8*(1+Inputs!$B$34/100)*Q1638),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43">
      <c r="A1643">
        <f>Skills!A8</f>
        <v/>
      </c>
      <c r="B1643">
        <f>Skills!B8</f>
        <v/>
      </c>
      <c r="C1643">
        <f>Inputs!$B$3&gt;=103</f>
        <v/>
      </c>
      <c r="D1643">
        <f>IF(Skills!C8=1,60+Inputs!$B$25+Inputs!$B$29,IF(Skills!C8=2,90+Inputs!$B$26+Inputs!$B$29,IF(Skills!C8=3,120+Inputs!$B$27+Inputs!$B$29,MAX(0,(Inputs!$B$3-100)*3)+Inputs!$B$28+Inputs!$B$29)))</f>
        <v/>
      </c>
      <c r="E1643">
        <f>INDEX(FactorTable!$B$2:$Y$301, MATCH(ROUND(MIN(300,MAX(1,D1643)),0), FactorTable!$A$2:$A$301,0), Skills!M8+1)</f>
        <v/>
      </c>
      <c r="F1643">
        <f>IF(Skills!N8=TRUE,(Skills!L8/10)*(E1643/1000),Skills!L8/10)+Skills!O8</f>
        <v/>
      </c>
      <c r="G1643">
        <f>Skills!G8*IF(Skills!H8&gt;0,INT(IF(Inputs!$B$38="pvp",MIN(Skills!I8,15),Skills!I8)/Skills!H8+0.000000001),1)</f>
        <v/>
      </c>
      <c r="H1643">
        <f>1-(1-Skills!J8/100)^Skills!K8</f>
        <v/>
      </c>
      <c r="I1643" t="inlineStr">
        <is>
          <t>1</t>
        </is>
      </c>
      <c r="J1643">
        <f>((Inputs!$B$6*(1+Inputs!$B$7/100))+(((Inputs!$B$12*(1+Inputs!$B$13/100))-(Inputs!$B$12*(1+Inputs!$B$13/100)))+0.25*(Inputs!$B$14-Inputs!$B$14))*(1+Inputs!$B$7/100))*(F1643/100)</f>
        <v/>
      </c>
      <c r="K1643">
        <f>J1643*(1+((Inputs!$B$12*(1+Inputs!$B$13/100))*0.01+Inputs!$B$14*0.0025)/100)*(1+Inputs!$B$15/100)*(1+Inputs!$B$16/100)*(5000/(6000+Inputs!$B$42*(1-(100*(1-(1-(Inputs!$B$19+0)/100)*(1-CHOOSE(ArtifactsInput!$N$40+1,5,6,7,8,9,10)/100)^(ArtifactsInput!$M$40-ArtifactsInput!$M$40)))/100)))*(1+(Inputs!$B$24+((C1661=TRUE)*(F1661-Calc!F26))+B1672)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Boss",2,1),0)/100)-1)*100+(IF(ArtifactsInput!$M$14,FALSE,TRUE)-ArtifactsInput!$M$14)*IF(OR(Inputs!$B$4="Weapon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IGHT_LEGS_EASTON",Inputs!$B$17+((C1658=TRUE)*(F1658-Calc!F23))+((C1662=TRUE)*(F1662-Calc!F27))+((IF(AND(Inputs!$B$38&lt;&gt;"pvp",Inputs!$B$43=0),1,IF(IF(Inputs!$B$38="pvp",15,Inputs!$B$43)-(B1673)&lt;=0,1,MAX(0,IF(Inputs!$B$38="pvp",15,Inputs!$B$43)-MAX(5,B1673))/(IF(Inputs!$B$38="pvp",15,Inputs!$B$43)-(B1673))))*(IF(AND(ArtifactsInput!$M$42,((Inputs!$B$9+((C1654=TRUE)*(F1654-Calc!F19))+B1666+(ArtifactsInput!$M$24-ArtifactsInput!$M$24)*CHOOSE(ArtifactsInput!$N$24+1,10,12,14,16,18,20)+IF(ArtifactsInput!$M$10,CHOOSE(ArtifactsInput!$N$10+1,15,18,21,24,27,30)*(IF(Inputs!$B$38="pvp",MIN(15,15)/15,IF(AND(Inputs!$B$38&lt;&gt;"pvp",Inputs!$B$43&gt;0),MIN(15,Inputs!$B$43)/(Inputs!$B$43),0))),0)))&gt;=100),MIN(100,((Inputs!$B$9+((C1654=TRUE)*(F1654-Calc!F19))+B1666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1673)&lt;=0,1,MAX(0,IF(Inputs!$B$38="pvp",15,Inputs!$B$43)-MAX(5,B1673))/(IF(Inputs!$B$38="pvp",15,Inputs!$B$43)-(B1673))))*IF(AND(ArtifactsInput!$M$42,((Inputs!$B$9+((C1654=TRUE)*(F1654-Calc!F19))+B1666+(ArtifactsInput!$M$24-ArtifactsInput!$M$24)*CHOOSE(ArtifactsInput!$N$24+1,10,12,14,16,18,20)+IF(ArtifactsInput!$M$10,CHOOSE(ArtifactsInput!$N$10+1,15,18,21,24,27,30)*(IF(Inputs!$B$38="pvp",MIN(15,15)/15,IF(AND(Inputs!$B$38&lt;&gt;"pvp",Inputs!$B$43&gt;0),MIN(15,Inputs!$B$43)/(Inputs!$B$43),0))),0)))&gt;=100),CHOOSE(ArtifactsInput!$N$42+1,40,48,56,64,72,80),0))))/100)*((1+(((C1652=TRUE)*F1652*5/7)+((C1659=TRUE)*(F1659-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1643)</f>
        <v/>
      </c>
      <c r="L1643">
        <f>K1643*(MIN(Inputs!$B$22+((C1657=TRUE)*(F1657-Calc!F22)),(Inputs!$B$23+0+(IF(ArtifactsInput!$M$15,CHOOSE(ArtifactsInput!$N$15+1,25,30,35,40,45,50)/100*(Inputs!$B$11-Inputs!$B$11),0))))/100+(Inputs!$B$23+0+(IF(ArtifactsInput!$M$15,CHOOSE(ArtifactsInput!$N$15+1,25,30,35,40,45,50)/100*(Inputs!$B$11-Inputs!$B$11),0)))/100)/2</f>
        <v/>
      </c>
      <c r="M1643">
        <f>L1643*(1+(Inputs!$B$10+((C1660=TRUE)*(F1660-Calc!F25))+B1671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43">
        <f>L1643*(1-MIN((Inputs!$B$9+((C1654=TRUE)*(F1654-Calc!F19))+B1666+(ArtifactsInput!$M$24-ArtifactsInput!$M$24)*CHOOSE(ArtifactsInput!$N$24+1,10,12,14,16,18,20)+(IF(AND(Inputs!$B$38&lt;&gt;"pvp",Inputs!$B$43=0),1,IF(IF(Inputs!$B$38="pvp",15,Inputs!$B$43)-(B1673)&lt;=0,1,MAX(0,IF(Inputs!$B$38="pvp",15,Inputs!$B$43)-MAX(5,B1673))/(IF(Inputs!$B$38="pvp",15,Inputs!$B$43)-(B1673))))*IF(AND(ArtifactsInput!$M$42,((Inputs!$B$9+((C1654=TRUE)*(F1654-Calc!F19))+B1666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1643*(MIN((Inputs!$B$9+((C1654=TRUE)*(F1654-Calc!F19))+B1666+(ArtifactsInput!$M$24-ArtifactsInput!$M$24)*CHOOSE(ArtifactsInput!$N$24+1,10,12,14,16,18,20)+(IF(AND(Inputs!$B$38&lt;&gt;"pvp",Inputs!$B$43=0),1,IF(IF(Inputs!$B$38="pvp",15,Inputs!$B$43)-(B1673)&lt;=0,1,MAX(0,IF(Inputs!$B$38="pvp",15,Inputs!$B$43)-MAX(5,B1673))/(IF(Inputs!$B$38="pvp",15,Inputs!$B$43)-(B1673))))*IF(AND(ArtifactsInput!$M$42,((Inputs!$B$9+((C1654=TRUE)*(F1654-Calc!F19))+B1666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43">
        <f>(1-Summary!$B$11)*T1643+Summary!$B$11*V1643</f>
        <v/>
      </c>
      <c r="P1643">
        <f>IF(B1676=0,0,O1643/B1676)</f>
        <v/>
      </c>
      <c r="Q1643">
        <f>IFERROR(1/((IF(Inputs!$B$38="pvp",15,MAX(0.1,Skills!D8-IF(TRUE=TRUE,Inputs!$B$32,0)))*(1-IF(AND(ArtifactsInput!$M$27,Inputs!$B$4="Chapter Hunt"),CHOOSE(ArtifactsInput!$N$27+1,20,24,28,32,36,40),0)/100))/B1677),0)</f>
        <v/>
      </c>
      <c r="R1643">
        <f>IF(AND(Inputs!$B$38&lt;&gt;"pvp",Inputs!$B$43&gt;0),IF(MAX(0,Inputs!$B$43-B1673)&lt;=0,0,(INT(MAX(0,Inputs!$B$43-B1673)/((IF(Inputs!$B$38="pvp",15,MAX(0.1,Skills!D8-IF(TRUE=TRUE,Inputs!$B$32,0)))*(1-IF(AND(ArtifactsInput!$M$27,Inputs!$B$4="Chapter Hunt"),CHOOSE(ArtifactsInput!$N$27+1,20,24,28,32,36,40),0)/100))/B1677))+1)),0)</f>
        <v/>
      </c>
      <c r="S1643">
        <f>IFERROR(O1643/N1643,0)</f>
        <v/>
      </c>
      <c r="T1643">
        <f>IF(C1643,(H1643*N1643*IF(AND(Inputs!$B$38&lt;&gt;"pvp",Inputs!$B$43&gt;0),((Skills!G8*((R1643-1)*IF(Skills!H8&gt;0,INT(Skills!I8/Skills!H8+0.000000001),1)+IF(Skills!H8&gt;0,INT(MIN(Skills!I8,MAX(0,MAX(0,Inputs!$B$43-B1673)-((R1643-1)*((IF(Inputs!$B$38="pvp",15,MAX(0.1,Skills!D8-IF(TRUE=TRUE,Inputs!$B$32,0)))*(1-IF(AND(ArtifactsInput!$M$27,Inputs!$B$4="Chapter Hunt"),CHOOSE(ArtifactsInput!$N$27+1,20,24,28,32,36,40),0)/100))/B1677))))/Skills!H8+0.000000001),1)))/Inputs!$B$43),G1643*Q1643))*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Hunt"),CHOOSE(ArtifactsInput!$N$35+1,15,18,21,24,27,30)*(1-EXP(-(0.2*B1668)*5)),0)+IF(AND(ArtifactsInput!$M$22,Inputs!$B$4&lt;&gt;"Chapter Hunt"),CHOOSE(ArtifactsInput!$N$22+1,10,12,14,16,18,20)*((0*(((0.15*B1668*5))^0/1)+1*(((0.15*B1668*5))^1/1)+2*(((0.15*B1668*5))^2/2)+3*(((0.15*B1668*5))^3/6)+4*(((0.15*B1668*5))^4/24)+5*(((0.15*B1668*5))^5/120))/((((0.15*B1668*5))^0/1)+(((0.15*B1668*5))^1/1)+(((0.15*B1668*5))^2/2)+(((0.15*B1668*5))^3/6)+(((0.15*B1668*5))^4/24)+(((0.15*B1668*5))^5/120))),0))+IF(Inputs!$B$3&gt;=54,9*(C1638=TRUE)*MIN(1,8*(1+Inputs!$B$34/100)*Q1638)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1643*(1-MIN(100,(Inputs!$B$9+((C1654=TRUE)*(F1654-Calc!F19))+B1666+(ArtifactsInput!$M$24-ArtifactsInput!$M$24)*CHOOSE(ArtifactsInput!$N$24+1,10,12,14,16,18,20)+(IF(AND(Inputs!$B$38&lt;&gt;"pvp",Inputs!$B$43=0),1,IF(IF(Inputs!$B$38="pvp",15,Inputs!$B$43)-(B1673)&lt;=0,1,MAX(0,IF(Inputs!$B$38="pvp",15,Inputs!$B$43)-MAX(5,B1673))/(IF(Inputs!$B$38="pvp",15,Inputs!$B$43)-(B1673))))*IF(AND(ArtifactsInput!$M$42,((Inputs!$B$9+((C1654=TRUE)*(F1654-Calc!F19))+B1666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1643*(MIN(100,(Inputs!$B$9+((C1654=TRUE)*(F1654-Calc!F19))+B1666+(ArtifactsInput!$M$24-ArtifactsInput!$M$24)*CHOOSE(ArtifactsInput!$N$24+1,10,12,14,16,18,20)+(IF(AND(Inputs!$B$38&lt;&gt;"pvp",Inputs!$B$43=0),1,IF(IF(Inputs!$B$38="pvp",15,Inputs!$B$43)-(B1673)&lt;=0,1,MAX(0,IF(Inputs!$B$38="pvp",15,Inputs!$B$43)-MAX(5,B1673))/(IF(Inputs!$B$38="pvp",15,Inputs!$B$43)-(B1673))))*IF(AND(ArtifactsInput!$M$42,((Inputs!$B$9+((C1654=TRUE)*(F1654-Calc!F19))+B1666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1643*(1-MIN(100,(Inputs!$B$9+((C1654=TRUE)*(F1654-Calc!F19))+B1666+(ArtifactsInput!$M$24-ArtifactsInput!$M$24)*CHOOSE(ArtifactsInput!$N$24+1,10,12,14,16,18,20)+(IF(AND(Inputs!$B$38&lt;&gt;"pvp",Inputs!$B$43=0),1,IF(IF(Inputs!$B$38="pvp",15,Inputs!$B$43)-(B1673)&lt;=0,1,MAX(0,IF(Inputs!$B$38="pvp",15,Inputs!$B$43)-MAX(5,B1673))/(IF(Inputs!$B$38="pvp",15,Inputs!$B$43)-(B1673))))*IF(AND(ArtifactsInput!$M$42,((Inputs!$B$9+((C1654=TRUE)*(F1654-Calc!F19))+B1666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1643*(MIN(100,(Inputs!$B$9+((C1654=TRUE)*(F1654-Calc!F19))+B1666+(ArtifactsInput!$M$24-ArtifactsInput!$M$24)*CHOOSE(ArtifactsInput!$N$24+1,10,12,14,16,18,20)+(IF(AND(Inputs!$B$38&lt;&gt;"pvp",Inputs!$B$43=0),1,IF(IF(Inputs!$B$38="pvp",15,Inputs!$B$43)-(B1673)&lt;=0,1,MAX(0,IF(Inputs!$B$38="pvp",15,Inputs!$B$43)-MAX(5,B1673))/(IF(Inputs!$B$38="pvp",15,Inputs!$B$43)-(B1673))))*IF(AND(ArtifactsInput!$M$42,((Inputs!$B$9+((C1654=TRUE)*(F1654-Calc!F19))+B1666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643">
        <f>IF(C1643,(H1643*N1643*IF(AND(Inputs!$B$38&lt;&gt;"pvp",Inputs!$B$43&gt;0),((Skills!G8*((R1643-1)*IF(Skills!H8&gt;0,INT(Skills!I8/Skills!H8+0.000000001),1)+IF(Skills!H8&gt;0,INT(MIN(Skills!I8,MAX(0,MAX(0,Inputs!$B$43-B1673)-((R1643-1)*((IF(Inputs!$B$38="pvp",15,MAX(0.1,Skills!D8-IF(TRUE=TRUE,Inputs!$B$32,0)))*(1-IF(AND(ArtifactsInput!$M$27,Inputs!$B$4="Chapter Hunt"),CHOOSE(ArtifactsInput!$N$27+1,20,24,28,32,36,40),0)/100))/B1677))))/Skills!H8+0.000000001),1)))/Inputs!$B$43),G1643*Q1643))*IF(Inputs!$B$38="pvp",1,(1+(Inputs!$B$21+Skills!Q8+(IF(ArtifactsInput!$M$33,CHOOSE(ArtifactsInput!$N$33+1,30,36,42,48,54,60),0))+(IF(AND(ArtifactsInput!$M$35,Inputs!$B$4&lt;&gt;"Chapter Hunt"),CHOOSE(ArtifactsInput!$N$35+1,15,18,21,24,27,30)*(1-EXP(-(0.2*B1668)*5)),0)+IF(AND(ArtifactsInput!$M$22,Inputs!$B$4&lt;&gt;"Chapter Hunt"),CHOOSE(ArtifactsInput!$N$22+1,10,12,14,16,18,20)*((0*(((0.15*B1668*5))^0/1)+1*(((0.15*B1668*5))^1/1)+2*(((0.15*B1668*5))^2/2)+3*(((0.15*B1668*5))^3/6)+4*(((0.15*B1668*5))^4/24)+5*(((0.15*B1668*5))^5/120))/((((0.15*B1668*5))^0/1)+(((0.15*B1668*5))^1/1)+(((0.15*B1668*5))^2/2)+(((0.15*B1668*5))^3/6)+(((0.15*B1668*5))^4/24)+(((0.15*B1668*5))^5/120))),0))+IF(Inputs!$B$3&gt;=54,9*(C1638=TRUE)*MIN(1,8*(1+Inputs!$B$34/100)*Q1638),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44">
      <c r="A1644">
        <f>Skills!A9</f>
        <v/>
      </c>
      <c r="B1644">
        <f>Skills!B9</f>
        <v/>
      </c>
      <c r="C1644">
        <f>Inputs!$B$3&gt;=105</f>
        <v/>
      </c>
      <c r="D1644">
        <f>IF(Skills!C9=1,60+Inputs!$B$25+Inputs!$B$29,IF(Skills!C9=2,90+Inputs!$B$26+Inputs!$B$29,IF(Skills!C9=3,120+Inputs!$B$27+Inputs!$B$29,MAX(0,(Inputs!$B$3-100)*3)+Inputs!$B$28+Inputs!$B$29)))</f>
        <v/>
      </c>
      <c r="E1644">
        <f>INDEX(FactorTable!$B$2:$Y$301, MATCH(ROUND(MIN(300,MAX(1,D1644)),0), FactorTable!$A$2:$A$301,0), Skills!M9+1)</f>
        <v/>
      </c>
      <c r="F1644">
        <f>IF(Skills!N9=TRUE,(Skills!L9/10)*(E1644/1000),Skills!L9/10)+Skills!O9</f>
        <v/>
      </c>
      <c r="G1644">
        <f>Skills!G9*IF(Skills!H9&gt;0,INT(IF(Inputs!$B$38="pvp",MIN(Skills!I9,15),Skills!I9)/Skills!H9+0.000000001),1)</f>
        <v/>
      </c>
      <c r="H1644">
        <f>1-(1-Skills!J9/100)^Skills!K9</f>
        <v/>
      </c>
      <c r="I1644" t="inlineStr">
        <is>
          <t>1</t>
        </is>
      </c>
      <c r="J1644">
        <f>((Inputs!$B$6*(1+Inputs!$B$7/100))+(((Inputs!$B$12*(1+Inputs!$B$13/100))-(Inputs!$B$12*(1+Inputs!$B$13/100)))+0.25*(Inputs!$B$14-Inputs!$B$14))*(1+Inputs!$B$7/100))*(F1644/100)</f>
        <v/>
      </c>
      <c r="K1644">
        <f>J1644*(1+((Inputs!$B$12*(1+Inputs!$B$13/100))*0.01+Inputs!$B$14*0.0025)/100)*(1+Inputs!$B$15/100)*(1+Inputs!$B$16/100)*(5000/(6000+Inputs!$B$42*(1-(100*(1-(1-(Inputs!$B$19+0)/100)*(1-CHOOSE(ArtifactsInput!$N$40+1,5,6,7,8,9,10)/100)^(ArtifactsInput!$M$40-ArtifactsInput!$M$40)))/100)))*(1+(Inputs!$B$24+((C1661=TRUE)*(F1661-Calc!F26))+B1672)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Boss",2,1),0)/100)-1)*100+(IF(ArtifactsInput!$M$14,FALSE,TRUE)-ArtifactsInput!$M$14)*IF(OR(Inputs!$B$4="Weapon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IGHT_LEGS_EASTON",Inputs!$B$17+((C1658=TRUE)*(F1658-Calc!F23))+((C1662=TRUE)*(F1662-Calc!F27))+((IF(AND(Inputs!$B$38&lt;&gt;"pvp",Inputs!$B$43=0),1,IF(IF(Inputs!$B$38="pvp",15,Inputs!$B$43)-(B1673)&lt;=0,1,MAX(0,IF(Inputs!$B$38="pvp",15,Inputs!$B$43)-MAX(5,B1673))/(IF(Inputs!$B$38="pvp",15,Inputs!$B$43)-(B1673))))*(IF(AND(ArtifactsInput!$M$42,((Inputs!$B$9+((C1654=TRUE)*(F1654-Calc!F19))+B1666+(ArtifactsInput!$M$24-ArtifactsInput!$M$24)*CHOOSE(ArtifactsInput!$N$24+1,10,12,14,16,18,20)+IF(ArtifactsInput!$M$10,CHOOSE(ArtifactsInput!$N$10+1,15,18,21,24,27,30)*(IF(Inputs!$B$38="pvp",MIN(15,15)/15,IF(AND(Inputs!$B$38&lt;&gt;"pvp",Inputs!$B$43&gt;0),MIN(15,Inputs!$B$43)/(Inputs!$B$43),0))),0)))&gt;=100),MIN(100,((Inputs!$B$9+((C1654=TRUE)*(F1654-Calc!F19))+B1666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1673)&lt;=0,1,MAX(0,IF(Inputs!$B$38="pvp",15,Inputs!$B$43)-MAX(5,B1673))/(IF(Inputs!$B$38="pvp",15,Inputs!$B$43)-(B1673))))*IF(AND(ArtifactsInput!$M$42,((Inputs!$B$9+((C1654=TRUE)*(F1654-Calc!F19))+B1666+(ArtifactsInput!$M$24-ArtifactsInput!$M$24)*CHOOSE(ArtifactsInput!$N$24+1,10,12,14,16,18,20)+IF(ArtifactsInput!$M$10,CHOOSE(ArtifactsInput!$N$10+1,15,18,21,24,27,30)*(IF(Inputs!$B$38="pvp",MIN(15,15)/15,IF(AND(Inputs!$B$38&lt;&gt;"pvp",Inputs!$B$43&gt;0),MIN(15,Inputs!$B$43)/(Inputs!$B$43),0))),0)))&gt;=100),CHOOSE(ArtifactsInput!$N$42+1,40,48,56,64,72,80),0))))/100)*((1+(((C1652=TRUE)*F1652*5/7)+((C1659=TRUE)*(F1659-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1644)</f>
        <v/>
      </c>
      <c r="L1644">
        <f>K1644*(MIN(Inputs!$B$22+((C1657=TRUE)*(F1657-Calc!F22)),(Inputs!$B$23+0+(IF(ArtifactsInput!$M$15,CHOOSE(ArtifactsInput!$N$15+1,25,30,35,40,45,50)/100*(Inputs!$B$11-Inputs!$B$11),0))))/100+(Inputs!$B$23+0+(IF(ArtifactsInput!$M$15,CHOOSE(ArtifactsInput!$N$15+1,25,30,35,40,45,50)/100*(Inputs!$B$11-Inputs!$B$11),0)))/100)/2</f>
        <v/>
      </c>
      <c r="M1644">
        <f>L1644*(1+(Inputs!$B$10+((C1660=TRUE)*(F1660-Calc!F25))+B1671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44">
        <f>L1644*(1-MIN((Inputs!$B$9+((C1654=TRUE)*(F1654-Calc!F19))+B1666+(ArtifactsInput!$M$24-ArtifactsInput!$M$24)*CHOOSE(ArtifactsInput!$N$24+1,10,12,14,16,18,20)+(IF(AND(Inputs!$B$38&lt;&gt;"pvp",Inputs!$B$43=0),1,IF(IF(Inputs!$B$38="pvp",15,Inputs!$B$43)-(B1673)&lt;=0,1,MAX(0,IF(Inputs!$B$38="pvp",15,Inputs!$B$43)-MAX(5,B1673))/(IF(Inputs!$B$38="pvp",15,Inputs!$B$43)-(B1673))))*IF(AND(ArtifactsInput!$M$42,((Inputs!$B$9+((C1654=TRUE)*(F1654-Calc!F19))+B1666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1644*(MIN((Inputs!$B$9+((C1654=TRUE)*(F1654-Calc!F19))+B1666+(ArtifactsInput!$M$24-ArtifactsInput!$M$24)*CHOOSE(ArtifactsInput!$N$24+1,10,12,14,16,18,20)+(IF(AND(Inputs!$B$38&lt;&gt;"pvp",Inputs!$B$43=0),1,IF(IF(Inputs!$B$38="pvp",15,Inputs!$B$43)-(B1673)&lt;=0,1,MAX(0,IF(Inputs!$B$38="pvp",15,Inputs!$B$43)-MAX(5,B1673))/(IF(Inputs!$B$38="pvp",15,Inputs!$B$43)-(B1673))))*IF(AND(ArtifactsInput!$M$42,((Inputs!$B$9+((C1654=TRUE)*(F1654-Calc!F19))+B1666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44">
        <f>(1-Summary!$B$11)*T1644+Summary!$B$11*V1644</f>
        <v/>
      </c>
      <c r="P1644">
        <f>IF(B1676=0,0,O1644/B1676)</f>
        <v/>
      </c>
      <c r="Q1644">
        <f>IFERROR(1/(IF(Inputs!$B$38="pvp",15,MAX(0.1,Skills!D9-IF(TRUE=TRUE,Inputs!$B$32,0)))*(1-IF(AND(ArtifactsInput!$M$27,Inputs!$B$4="Chapter Hunt"),CHOOSE(ArtifactsInput!$N$27+1,20,24,28,32,36,40),0)/100)),0)</f>
        <v/>
      </c>
      <c r="R1644">
        <f>IF(AND(Inputs!$B$38&lt;&gt;"pvp",Inputs!$B$43&gt;0),IF(MAX(0,Inputs!$B$43-B1673)&lt;=0,0,(INT(MAX(0,Inputs!$B$43-B1673)/(IF(Inputs!$B$38="pvp",15,MAX(0.1,Skills!D9-IF(TRUE=TRUE,Inputs!$B$32,0)))*(1-IF(AND(ArtifactsInput!$M$27,Inputs!$B$4="Chapter Hunt"),CHOOSE(ArtifactsInput!$N$27+1,20,24,28,32,36,40),0)/100)))+1)),0)</f>
        <v/>
      </c>
      <c r="S1644">
        <f>IFERROR(O1644/N1644,0)</f>
        <v/>
      </c>
      <c r="T1644">
        <f>IF(C1644,(H1644*N1644*IF(AND(Inputs!$B$38&lt;&gt;"pvp",Inputs!$B$43&gt;0),((Skills!G9*((R1644-1)*IF(Skills!H9&gt;0,INT(Skills!I9/Skills!H9+0.000000001),1)+IF(Skills!H9&gt;0,INT(MIN(Skills!I9,MAX(0,MAX(0,Inputs!$B$43-B1673)-((R1644-1)*(IF(Inputs!$B$38="pvp",15,MAX(0.1,Skills!D9-IF(TRUE=TRUE,Inputs!$B$32,0)))*(1-IF(AND(ArtifactsInput!$M$27,Inputs!$B$4="Chapter Hunt"),CHOOSE(ArtifactsInput!$N$27+1,20,24,28,32,36,40),0)/100)))))/Skills!H9+0.000000001),1)))/Inputs!$B$43),G1644*Q1644))*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Hunt"),CHOOSE(ArtifactsInput!$N$35+1,15,18,21,24,27,30)*(1-EXP(-(0.2*B1668)*5)),0)+IF(AND(ArtifactsInput!$M$22,Inputs!$B$4&lt;&gt;"Chapter Hunt"),CHOOSE(ArtifactsInput!$N$22+1,10,12,14,16,18,20)*((0*(((0.15*B1668*5))^0/1)+1*(((0.15*B1668*5))^1/1)+2*(((0.15*B1668*5))^2/2)+3*(((0.15*B1668*5))^3/6)+4*(((0.15*B1668*5))^4/24)+5*(((0.15*B1668*5))^5/120))/((((0.15*B1668*5))^0/1)+(((0.15*B1668*5))^1/1)+(((0.15*B1668*5))^2/2)+(((0.15*B1668*5))^3/6)+(((0.15*B1668*5))^4/24)+(((0.15*B1668*5))^5/120))),0))+IF(Inputs!$B$3&gt;=54,9*(C1638=TRUE)*MIN(1,8*(1+Inputs!$B$34/100)*Q1638)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1644*(1-MIN(100,(Inputs!$B$9+((C1654=TRUE)*(F1654-Calc!F19))+B1666+(ArtifactsInput!$M$24-ArtifactsInput!$M$24)*CHOOSE(ArtifactsInput!$N$24+1,10,12,14,16,18,20)+(IF(AND(Inputs!$B$38&lt;&gt;"pvp",Inputs!$B$43=0),1,IF(IF(Inputs!$B$38="pvp",15,Inputs!$B$43)-(B1673)&lt;=0,1,MAX(0,IF(Inputs!$B$38="pvp",15,Inputs!$B$43)-MAX(5,B1673))/(IF(Inputs!$B$38="pvp",15,Inputs!$B$43)-(B1673))))*IF(AND(ArtifactsInput!$M$42,((Inputs!$B$9+((C1654=TRUE)*(F1654-Calc!F19))+B1666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1644*(MIN(100,(Inputs!$B$9+((C1654=TRUE)*(F1654-Calc!F19))+B1666+(ArtifactsInput!$M$24-ArtifactsInput!$M$24)*CHOOSE(ArtifactsInput!$N$24+1,10,12,14,16,18,20)+(IF(AND(Inputs!$B$38&lt;&gt;"pvp",Inputs!$B$43=0),1,IF(IF(Inputs!$B$38="pvp",15,Inputs!$B$43)-(B1673)&lt;=0,1,MAX(0,IF(Inputs!$B$38="pvp",15,Inputs!$B$43)-MAX(5,B1673))/(IF(Inputs!$B$38="pvp",15,Inputs!$B$43)-(B1673))))*IF(AND(ArtifactsInput!$M$42,((Inputs!$B$9+((C1654=TRUE)*(F1654-Calc!F19))+B1666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1644*(1-MIN(100,(Inputs!$B$9+((C1654=TRUE)*(F1654-Calc!F19))+B1666+(ArtifactsInput!$M$24-ArtifactsInput!$M$24)*CHOOSE(ArtifactsInput!$N$24+1,10,12,14,16,18,20)+(IF(AND(Inputs!$B$38&lt;&gt;"pvp",Inputs!$B$43=0),1,IF(IF(Inputs!$B$38="pvp",15,Inputs!$B$43)-(B1673)&lt;=0,1,MAX(0,IF(Inputs!$B$38="pvp",15,Inputs!$B$43)-MAX(5,B1673))/(IF(Inputs!$B$38="pvp",15,Inputs!$B$43)-(B1673))))*IF(AND(ArtifactsInput!$M$42,((Inputs!$B$9+((C1654=TRUE)*(F1654-Calc!F19))+B1666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1644*(MIN(100,(Inputs!$B$9+((C1654=TRUE)*(F1654-Calc!F19))+B1666+(ArtifactsInput!$M$24-ArtifactsInput!$M$24)*CHOOSE(ArtifactsInput!$N$24+1,10,12,14,16,18,20)+(IF(AND(Inputs!$B$38&lt;&gt;"pvp",Inputs!$B$43=0),1,IF(IF(Inputs!$B$38="pvp",15,Inputs!$B$43)-(B1673)&lt;=0,1,MAX(0,IF(Inputs!$B$38="pvp",15,Inputs!$B$43)-MAX(5,B1673))/(IF(Inputs!$B$38="pvp",15,Inputs!$B$43)-(B1673))))*IF(AND(ArtifactsInput!$M$42,((Inputs!$B$9+((C1654=TRUE)*(F1654-Calc!F19))+B1666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644">
        <f>IF(C1644,(H1644*N1644*IF(AND(Inputs!$B$38&lt;&gt;"pvp",Inputs!$B$43&gt;0),((Skills!G9*((R1644-1)*IF(Skills!H9&gt;0,INT(Skills!I9/Skills!H9+0.000000001),1)+IF(Skills!H9&gt;0,INT(MIN(Skills!I9,MAX(0,MAX(0,Inputs!$B$43-B1673)-((R1644-1)*(IF(Inputs!$B$38="pvp",15,MAX(0.1,Skills!D9-IF(TRUE=TRUE,Inputs!$B$32,0)))*(1-IF(AND(ArtifactsInput!$M$27,Inputs!$B$4="Chapter Hunt"),CHOOSE(ArtifactsInput!$N$27+1,20,24,28,32,36,40),0)/100)))))/Skills!H9+0.000000001),1)))/Inputs!$B$43),G1644*Q1644))*IF(Inputs!$B$38="pvp",1,(1+(Inputs!$B$21+Skills!Q9+(IF(ArtifactsInput!$M$33,CHOOSE(ArtifactsInput!$N$33+1,30,36,42,48,54,60),0))+(IF(AND(ArtifactsInput!$M$35,Inputs!$B$4&lt;&gt;"Chapter Hunt"),CHOOSE(ArtifactsInput!$N$35+1,15,18,21,24,27,30)*(1-EXP(-(0.2*B1668)*5)),0)+IF(AND(ArtifactsInput!$M$22,Inputs!$B$4&lt;&gt;"Chapter Hunt"),CHOOSE(ArtifactsInput!$N$22+1,10,12,14,16,18,20)*((0*(((0.15*B1668*5))^0/1)+1*(((0.15*B1668*5))^1/1)+2*(((0.15*B1668*5))^2/2)+3*(((0.15*B1668*5))^3/6)+4*(((0.15*B1668*5))^4/24)+5*(((0.15*B1668*5))^5/120))/((((0.15*B1668*5))^0/1)+(((0.15*B1668*5))^1/1)+(((0.15*B1668*5))^2/2)+(((0.15*B1668*5))^3/6)+(((0.15*B1668*5))^4/24)+(((0.15*B1668*5))^5/120))),0))+IF(Inputs!$B$3&gt;=54,9*(C1638=TRUE)*MIN(1,8*(1+Inputs!$B$34/100)*Q1638),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45">
      <c r="A1645">
        <f>Skills!A10</f>
        <v/>
      </c>
      <c r="B1645">
        <f>Skills!B10</f>
        <v/>
      </c>
      <c r="C1645">
        <f>Inputs!$B$3&gt;=113</f>
        <v/>
      </c>
      <c r="D1645">
        <f>IF(Skills!C10=1,60+Inputs!$B$25+Inputs!$B$29,IF(Skills!C10=2,90+Inputs!$B$26+Inputs!$B$29,IF(Skills!C10=3,120+Inputs!$B$27+Inputs!$B$29,MAX(0,(Inputs!$B$3-100)*3)+Inputs!$B$28+Inputs!$B$29)))</f>
        <v/>
      </c>
      <c r="E1645">
        <f>INDEX(FactorTable!$B$2:$Y$301, MATCH(ROUND(MIN(300,MAX(1,D1645)),0), FactorTable!$A$2:$A$301,0), Skills!M10+1)</f>
        <v/>
      </c>
      <c r="F1645">
        <f>IF(Skills!N10=TRUE,(Skills!L10/10)*(E1645/1000),Skills!L10/10)+Skills!O10</f>
        <v/>
      </c>
      <c r="G1645">
        <f>Skills!G10*IF(Skills!H10&gt;0,INT(IF(Inputs!$B$38="pvp",MIN(Skills!I10,15),Skills!I10)/Skills!H10+0.000000001),1)</f>
        <v/>
      </c>
      <c r="H1645">
        <f>1-(1-Skills!J10/100)^Skills!K10</f>
        <v/>
      </c>
      <c r="I1645" t="inlineStr">
        <is>
          <t>1</t>
        </is>
      </c>
      <c r="J1645">
        <f>((Inputs!$B$6*(1+Inputs!$B$7/100))+(((Inputs!$B$12*(1+Inputs!$B$13/100))-(Inputs!$B$12*(1+Inputs!$B$13/100)))+0.25*(Inputs!$B$14-Inputs!$B$14))*(1+Inputs!$B$7/100))*(F1645/100)</f>
        <v/>
      </c>
      <c r="K1645">
        <f>J1645*(1+((Inputs!$B$12*(1+Inputs!$B$13/100))*0.01+Inputs!$B$14*0.0025)/100)*(1+Inputs!$B$15/100)*(1+Inputs!$B$16/100)*(5000/(6000+Inputs!$B$42*(1-(100*(1-(1-(Inputs!$B$19+0)/100)*(1-CHOOSE(ArtifactsInput!$N$40+1,5,6,7,8,9,10)/100)^(ArtifactsInput!$M$40-ArtifactsInput!$M$40)))/100)))*(1+(Inputs!$B$24+((C1661=TRUE)*(F1661-Calc!F26))+B1672)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Boss",2,1),0)/100)-1)*100+(IF(ArtifactsInput!$M$14,FALSE,TRUE)-ArtifactsInput!$M$14)*IF(OR(Inputs!$B$4="Weapon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IGHT_LEGS_EASTON",Inputs!$B$17+((C1658=TRUE)*(F1658-Calc!F23))+((C1662=TRUE)*(F1662-Calc!F27))+((IF(AND(Inputs!$B$38&lt;&gt;"pvp",Inputs!$B$43=0),1,IF(IF(Inputs!$B$38="pvp",15,Inputs!$B$43)-(B1673)&lt;=0,1,MAX(0,IF(Inputs!$B$38="pvp",15,Inputs!$B$43)-MAX(5,B1673))/(IF(Inputs!$B$38="pvp",15,Inputs!$B$43)-(B1673))))*(IF(AND(ArtifactsInput!$M$42,((Inputs!$B$9+((C1654=TRUE)*(F1654-Calc!F19))+B1666+(ArtifactsInput!$M$24-ArtifactsInput!$M$24)*CHOOSE(ArtifactsInput!$N$24+1,10,12,14,16,18,20)+IF(ArtifactsInput!$M$10,CHOOSE(ArtifactsInput!$N$10+1,15,18,21,24,27,30)*(IF(Inputs!$B$38="pvp",MIN(15,15)/15,IF(AND(Inputs!$B$38&lt;&gt;"pvp",Inputs!$B$43&gt;0),MIN(15,Inputs!$B$43)/(Inputs!$B$43),0))),0)))&gt;=100),MIN(100,((Inputs!$B$9+((C1654=TRUE)*(F1654-Calc!F19))+B1666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1673)&lt;=0,1,MAX(0,IF(Inputs!$B$38="pvp",15,Inputs!$B$43)-MAX(5,B1673))/(IF(Inputs!$B$38="pvp",15,Inputs!$B$43)-(B1673))))*IF(AND(ArtifactsInput!$M$42,((Inputs!$B$9+((C1654=TRUE)*(F1654-Calc!F19))+B1666+(ArtifactsInput!$M$24-ArtifactsInput!$M$24)*CHOOSE(ArtifactsInput!$N$24+1,10,12,14,16,18,20)+IF(ArtifactsInput!$M$10,CHOOSE(ArtifactsInput!$N$10+1,15,18,21,24,27,30)*(IF(Inputs!$B$38="pvp",MIN(15,15)/15,IF(AND(Inputs!$B$38&lt;&gt;"pvp",Inputs!$B$43&gt;0),MIN(15,Inputs!$B$43)/(Inputs!$B$43),0))),0)))&gt;=100),CHOOSE(ArtifactsInput!$N$42+1,40,48,56,64,72,80),0))))/100)*((1+(((C1652=TRUE)*F1652*5/7)+((C1659=TRUE)*(F1659-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1645)</f>
        <v/>
      </c>
      <c r="L1645">
        <f>K1645*(MIN(Inputs!$B$22+((C1657=TRUE)*(F1657-Calc!F22)),(Inputs!$B$23+0+(IF(ArtifactsInput!$M$15,CHOOSE(ArtifactsInput!$N$15+1,25,30,35,40,45,50)/100*(Inputs!$B$11-Inputs!$B$11),0))))/100+(Inputs!$B$23+0+(IF(ArtifactsInput!$M$15,CHOOSE(ArtifactsInput!$N$15+1,25,30,35,40,45,50)/100*(Inputs!$B$11-Inputs!$B$11),0)))/100)/2</f>
        <v/>
      </c>
      <c r="M1645">
        <f>L1645*(1+(Inputs!$B$10+((C1660=TRUE)*(F1660-Calc!F25))+B1671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45">
        <f>L1645*(1-MIN((Inputs!$B$9+((C1654=TRUE)*(F1654-Calc!F19))+B1666+(ArtifactsInput!$M$24-ArtifactsInput!$M$24)*CHOOSE(ArtifactsInput!$N$24+1,10,12,14,16,18,20)+(IF(AND(Inputs!$B$38&lt;&gt;"pvp",Inputs!$B$43=0),1,IF(IF(Inputs!$B$38="pvp",15,Inputs!$B$43)-(B1673)&lt;=0,1,MAX(0,IF(Inputs!$B$38="pvp",15,Inputs!$B$43)-MAX(5,B1673))/(IF(Inputs!$B$38="pvp",15,Inputs!$B$43)-(B1673))))*IF(AND(ArtifactsInput!$M$42,((Inputs!$B$9+((C1654=TRUE)*(F1654-Calc!F19))+B1666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1645*(MIN((Inputs!$B$9+((C1654=TRUE)*(F1654-Calc!F19))+B1666+(ArtifactsInput!$M$24-ArtifactsInput!$M$24)*CHOOSE(ArtifactsInput!$N$24+1,10,12,14,16,18,20)+(IF(AND(Inputs!$B$38&lt;&gt;"pvp",Inputs!$B$43=0),1,IF(IF(Inputs!$B$38="pvp",15,Inputs!$B$43)-(B1673)&lt;=0,1,MAX(0,IF(Inputs!$B$38="pvp",15,Inputs!$B$43)-MAX(5,B1673))/(IF(Inputs!$B$38="pvp",15,Inputs!$B$43)-(B1673))))*IF(AND(ArtifactsInput!$M$42,((Inputs!$B$9+((C1654=TRUE)*(F1654-Calc!F19))+B1666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45">
        <f>(1-Summary!$B$11)*T1645+Summary!$B$11*V1645</f>
        <v/>
      </c>
      <c r="P1645">
        <f>IF(B1676=0,0,O1645/B1676)</f>
        <v/>
      </c>
      <c r="Q1645" t="n">
        <v>0</v>
      </c>
      <c r="R1645" t="n">
        <v>0</v>
      </c>
      <c r="S1645">
        <f>IFERROR(O1645/N1645,0)</f>
        <v/>
      </c>
      <c r="T1645">
        <f>IF(C1645,((H1645*B1678)/(1+Skills!H10*H1645*B1678)*N1645)*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Hunt"),CHOOSE(ArtifactsInput!$N$35+1,15,18,21,24,27,30)*(1-EXP(-(0.2*B1668)*5)),0)+IF(AND(ArtifactsInput!$M$22,Inputs!$B$4&lt;&gt;"Chapter Hunt"),CHOOSE(ArtifactsInput!$N$22+1,10,12,14,16,18,20)*((0*(((0.15*B1668*5))^0/1)+1*(((0.15*B1668*5))^1/1)+2*(((0.15*B1668*5))^2/2)+3*(((0.15*B1668*5))^3/6)+4*(((0.15*B1668*5))^4/24)+5*(((0.15*B1668*5))^5/120))/((((0.15*B1668*5))^0/1)+(((0.15*B1668*5))^1/1)+(((0.15*B1668*5))^2/2)+(((0.15*B1668*5))^3/6)+(((0.15*B1668*5))^4/24)+(((0.15*B1668*5))^5/120))),0))+IF(Inputs!$B$3&gt;=54,9*(C1638=TRUE)*MIN(1,8*(1+Inputs!$B$34/100)*Q1638)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1645*(1-MIN(100,(Inputs!$B$9+((C1654=TRUE)*(F1654-Calc!F19))+B1666+(ArtifactsInput!$M$24-ArtifactsInput!$M$24)*CHOOSE(ArtifactsInput!$N$24+1,10,12,14,16,18,20)+(IF(AND(Inputs!$B$38&lt;&gt;"pvp",Inputs!$B$43=0),1,IF(IF(Inputs!$B$38="pvp",15,Inputs!$B$43)-(B1673)&lt;=0,1,MAX(0,IF(Inputs!$B$38="pvp",15,Inputs!$B$43)-MAX(5,B1673))/(IF(Inputs!$B$38="pvp",15,Inputs!$B$43)-(B1673))))*IF(AND(ArtifactsInput!$M$42,((Inputs!$B$9+((C1654=TRUE)*(F1654-Calc!F19))+B1666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1645*(MIN(100,(Inputs!$B$9+((C1654=TRUE)*(F1654-Calc!F19))+B1666+(ArtifactsInput!$M$24-ArtifactsInput!$M$24)*CHOOSE(ArtifactsInput!$N$24+1,10,12,14,16,18,20)+(IF(AND(Inputs!$B$38&lt;&gt;"pvp",Inputs!$B$43=0),1,IF(IF(Inputs!$B$38="pvp",15,Inputs!$B$43)-(B1673)&lt;=0,1,MAX(0,IF(Inputs!$B$38="pvp",15,Inputs!$B$43)-MAX(5,B1673))/(IF(Inputs!$B$38="pvp",15,Inputs!$B$43)-(B1673))))*IF(AND(ArtifactsInput!$M$42,((Inputs!$B$9+((C1654=TRUE)*(F1654-Calc!F19))+B1666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1645*(1-MIN(100,(Inputs!$B$9+((C1654=TRUE)*(F1654-Calc!F19))+B1666+(ArtifactsInput!$M$24-ArtifactsInput!$M$24)*CHOOSE(ArtifactsInput!$N$24+1,10,12,14,16,18,20)+(IF(AND(Inputs!$B$38&lt;&gt;"pvp",Inputs!$B$43=0),1,IF(IF(Inputs!$B$38="pvp",15,Inputs!$B$43)-(B1673)&lt;=0,1,MAX(0,IF(Inputs!$B$38="pvp",15,Inputs!$B$43)-MAX(5,B1673))/(IF(Inputs!$B$38="pvp",15,Inputs!$B$43)-(B1673))))*IF(AND(ArtifactsInput!$M$42,((Inputs!$B$9+((C1654=TRUE)*(F1654-Calc!F19))+B1666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1645*(MIN(100,(Inputs!$B$9+((C1654=TRUE)*(F1654-Calc!F19))+B1666+(ArtifactsInput!$M$24-ArtifactsInput!$M$24)*CHOOSE(ArtifactsInput!$N$24+1,10,12,14,16,18,20)+(IF(AND(Inputs!$B$38&lt;&gt;"pvp",Inputs!$B$43=0),1,IF(IF(Inputs!$B$38="pvp",15,Inputs!$B$43)-(B1673)&lt;=0,1,MAX(0,IF(Inputs!$B$38="pvp",15,Inputs!$B$43)-MAX(5,B1673))/(IF(Inputs!$B$38="pvp",15,Inputs!$B$43)-(B1673))))*IF(AND(ArtifactsInput!$M$42,((Inputs!$B$9+((C1654=TRUE)*(F1654-Calc!F19))+B1666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645">
        <f>IF(C1645,((H1645*B1678)/(1+Skills!H10*H1645*B1678)*N1645)*IF(Inputs!$B$38="pvp",1,(1+(Inputs!$B$21+Skills!Q10+(IF(ArtifactsInput!$M$33,CHOOSE(ArtifactsInput!$N$33+1,30,36,42,48,54,60),0))+(IF(AND(ArtifactsInput!$M$35,Inputs!$B$4&lt;&gt;"Chapter Hunt"),CHOOSE(ArtifactsInput!$N$35+1,15,18,21,24,27,30)*(1-EXP(-(0.2*B1668)*5)),0)+IF(AND(ArtifactsInput!$M$22,Inputs!$B$4&lt;&gt;"Chapter Hunt"),CHOOSE(ArtifactsInput!$N$22+1,10,12,14,16,18,20)*((0*(((0.15*B1668*5))^0/1)+1*(((0.15*B1668*5))^1/1)+2*(((0.15*B1668*5))^2/2)+3*(((0.15*B1668*5))^3/6)+4*(((0.15*B1668*5))^4/24)+5*(((0.15*B1668*5))^5/120))/((((0.15*B1668*5))^0/1)+(((0.15*B1668*5))^1/1)+(((0.15*B1668*5))^2/2)+(((0.15*B1668*5))^3/6)+(((0.15*B1668*5))^4/24)+(((0.15*B1668*5))^5/120))),0))+IF(Inputs!$B$3&gt;=54,9*(C1638=TRUE)*MIN(1,8*(1+Inputs!$B$34/100)*Q1638),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46">
      <c r="A1646">
        <f>Skills!A11</f>
        <v/>
      </c>
      <c r="B1646">
        <f>Skills!B11</f>
        <v/>
      </c>
      <c r="C1646">
        <f>Inputs!$B$3&gt;=117</f>
        <v/>
      </c>
      <c r="D1646">
        <f>IF(Skills!C11=1,60+Inputs!$B$25+Inputs!$B$29,IF(Skills!C11=2,90+Inputs!$B$26+Inputs!$B$29,IF(Skills!C11=3,120+Inputs!$B$27+Inputs!$B$29,MAX(0,(Inputs!$B$3-100)*3)+Inputs!$B$28+Inputs!$B$29)))</f>
        <v/>
      </c>
      <c r="E1646">
        <f>INDEX(FactorTable!$B$2:$Y$301, MATCH(ROUND(MIN(300,MAX(1,D1646)),0), FactorTable!$A$2:$A$301,0), Skills!M11+1)</f>
        <v/>
      </c>
      <c r="F1646">
        <f>IF(Skills!N11=TRUE,(Skills!L11/10)*(E1646/1000),Skills!L11/10)+Skills!O11</f>
        <v/>
      </c>
      <c r="G1646">
        <f>Skills!G11*IF(Skills!H11&gt;0,INT(IF(Inputs!$B$38="pvp",MIN(Skills!I11,15),Skills!I11)/Skills!H11+0.000000001),1)</f>
        <v/>
      </c>
      <c r="H1646">
        <f>1-(1-Skills!J11/100)^Skills!K11</f>
        <v/>
      </c>
      <c r="I1646" t="inlineStr">
        <is>
          <t>1</t>
        </is>
      </c>
      <c r="J1646">
        <f>((Inputs!$B$6*(1+Inputs!$B$7/100))+(((Inputs!$B$12*(1+Inputs!$B$13/100))-(Inputs!$B$12*(1+Inputs!$B$13/100)))+0.25*(Inputs!$B$14-Inputs!$B$14))*(1+Inputs!$B$7/100))*(F1646/100)</f>
        <v/>
      </c>
      <c r="K1646">
        <f>J1646*(1+((Inputs!$B$12*(1+Inputs!$B$13/100))*0.01+Inputs!$B$14*0.0025)/100)*(1+Inputs!$B$15/100)*(1+Inputs!$B$16/100)*(5000/(6000+Inputs!$B$42*(1-(100*(1-(1-(Inputs!$B$19+0)/100)*(1-CHOOSE(ArtifactsInput!$N$40+1,5,6,7,8,9,10)/100)^(ArtifactsInput!$M$40-ArtifactsInput!$M$40)))/100)))*(1+(Inputs!$B$24+((C1661=TRUE)*(F1661-Calc!F26))+B1672)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Boss",2,1),0)/100)-1)*100+(IF(ArtifactsInput!$M$14,FALSE,TRUE)-ArtifactsInput!$M$14)*IF(OR(Inputs!$B$4="Weapon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IGHT_LEGS_EASTON",Inputs!$B$17+((C1658=TRUE)*(F1658-Calc!F23))+((C1662=TRUE)*(F1662-Calc!F27))+((IF(AND(Inputs!$B$38&lt;&gt;"pvp",Inputs!$B$43=0),1,IF(IF(Inputs!$B$38="pvp",15,Inputs!$B$43)-(B1673)&lt;=0,1,MAX(0,IF(Inputs!$B$38="pvp",15,Inputs!$B$43)-MAX(5,B1673))/(IF(Inputs!$B$38="pvp",15,Inputs!$B$43)-(B1673))))*(IF(AND(ArtifactsInput!$M$42,((Inputs!$B$9+((C1654=TRUE)*(F1654-Calc!F19))+B1666+(ArtifactsInput!$M$24-ArtifactsInput!$M$24)*CHOOSE(ArtifactsInput!$N$24+1,10,12,14,16,18,20)+IF(ArtifactsInput!$M$10,CHOOSE(ArtifactsInput!$N$10+1,15,18,21,24,27,30)*(IF(Inputs!$B$38="pvp",MIN(15,15)/15,IF(AND(Inputs!$B$38&lt;&gt;"pvp",Inputs!$B$43&gt;0),MIN(15,Inputs!$B$43)/(Inputs!$B$43),0))),0)))&gt;=100),MIN(100,((Inputs!$B$9+((C1654=TRUE)*(F1654-Calc!F19))+B1666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1673)&lt;=0,1,MAX(0,IF(Inputs!$B$38="pvp",15,Inputs!$B$43)-MAX(5,B1673))/(IF(Inputs!$B$38="pvp",15,Inputs!$B$43)-(B1673))))*IF(AND(ArtifactsInput!$M$42,((Inputs!$B$9+((C1654=TRUE)*(F1654-Calc!F19))+B1666+(ArtifactsInput!$M$24-ArtifactsInput!$M$24)*CHOOSE(ArtifactsInput!$N$24+1,10,12,14,16,18,20)+IF(ArtifactsInput!$M$10,CHOOSE(ArtifactsInput!$N$10+1,15,18,21,24,27,30)*(IF(Inputs!$B$38="pvp",MIN(15,15)/15,IF(AND(Inputs!$B$38&lt;&gt;"pvp",Inputs!$B$43&gt;0),MIN(15,Inputs!$B$43)/(Inputs!$B$43),0))),0)))&gt;=100),CHOOSE(ArtifactsInput!$N$42+1,40,48,56,64,72,80),0))))/100)*((1+(((C1652=TRUE)*F1652*5/7)+((C1659=TRUE)*(F1659-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1646)</f>
        <v/>
      </c>
      <c r="L1646">
        <f>K1646*(MIN(Inputs!$B$22+((C1657=TRUE)*(F1657-Calc!F22)),(Inputs!$B$23+0+(IF(ArtifactsInput!$M$15,CHOOSE(ArtifactsInput!$N$15+1,25,30,35,40,45,50)/100*(Inputs!$B$11-Inputs!$B$11),0))))/100+(Inputs!$B$23+0+(IF(ArtifactsInput!$M$15,CHOOSE(ArtifactsInput!$N$15+1,25,30,35,40,45,50)/100*(Inputs!$B$11-Inputs!$B$11),0)))/100)/2</f>
        <v/>
      </c>
      <c r="M1646">
        <f>L1646*(1+(Inputs!$B$10+((C1660=TRUE)*(F1660-Calc!F25))+B1671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46">
        <f>L1646*(1-MIN((Inputs!$B$9+((C1654=TRUE)*(F1654-Calc!F19))+B1666+(ArtifactsInput!$M$24-ArtifactsInput!$M$24)*CHOOSE(ArtifactsInput!$N$24+1,10,12,14,16,18,20)+(IF(AND(Inputs!$B$38&lt;&gt;"pvp",Inputs!$B$43=0),1,IF(IF(Inputs!$B$38="pvp",15,Inputs!$B$43)-(B1673)&lt;=0,1,MAX(0,IF(Inputs!$B$38="pvp",15,Inputs!$B$43)-MAX(5,B1673))/(IF(Inputs!$B$38="pvp",15,Inputs!$B$43)-(B1673))))*IF(AND(ArtifactsInput!$M$42,((Inputs!$B$9+((C1654=TRUE)*(F1654-Calc!F19))+B1666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1646*(MIN((Inputs!$B$9+((C1654=TRUE)*(F1654-Calc!F19))+B1666+(ArtifactsInput!$M$24-ArtifactsInput!$M$24)*CHOOSE(ArtifactsInput!$N$24+1,10,12,14,16,18,20)+(IF(AND(Inputs!$B$38&lt;&gt;"pvp",Inputs!$B$43=0),1,IF(IF(Inputs!$B$38="pvp",15,Inputs!$B$43)-(B1673)&lt;=0,1,MAX(0,IF(Inputs!$B$38="pvp",15,Inputs!$B$43)-MAX(5,B1673))/(IF(Inputs!$B$38="pvp",15,Inputs!$B$43)-(B1673))))*IF(AND(ArtifactsInput!$M$42,((Inputs!$B$9+((C1654=TRUE)*(F1654-Calc!F19))+B1666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46">
        <f>(1-Summary!$B$11)*T1646+Summary!$B$11*V1646</f>
        <v/>
      </c>
      <c r="P1646">
        <f>IF(B1676=0,0,O1646/B1676)</f>
        <v/>
      </c>
      <c r="Q1646">
        <f>IFERROR(1/((IF(Inputs!$B$38="pvp",15,MAX(0.1,Skills!D11-IF(TRUE=TRUE,Inputs!$B$32,0)))*(1-IF(AND(ArtifactsInput!$M$27,Inputs!$B$4="Chapter Hunt"),CHOOSE(ArtifactsInput!$N$27+1,20,24,28,32,36,40),0)/100))/B1677),0)</f>
        <v/>
      </c>
      <c r="R1646">
        <f>IF(AND(Inputs!$B$38&lt;&gt;"pvp",Inputs!$B$43&gt;0),IF(MAX(0,Inputs!$B$43-B1673)&lt;=0,0,(INT(MAX(0,Inputs!$B$43-B1673)/((IF(Inputs!$B$38="pvp",15,MAX(0.1,Skills!D11-IF(TRUE=TRUE,Inputs!$B$32,0)))*(1-IF(AND(ArtifactsInput!$M$27,Inputs!$B$4="Chapter Hunt"),CHOOSE(ArtifactsInput!$N$27+1,20,24,28,32,36,40),0)/100))/B1677))+1)),0)</f>
        <v/>
      </c>
      <c r="S1646">
        <f>IFERROR(O1646/N1646,0)</f>
        <v/>
      </c>
      <c r="T1646">
        <f>IF(C1646,(H1646*N1646*IF(AND(Inputs!$B$38&lt;&gt;"pvp",Inputs!$B$43&gt;0),((Skills!G11*((R1646-1)*IF(Skills!H11&gt;0,INT(Skills!I11/Skills!H11+0.000000001),1)+IF(Skills!H11&gt;0,INT(MIN(Skills!I11,MAX(0,MAX(0,Inputs!$B$43-B1673)-((R1646-1)*((IF(Inputs!$B$38="pvp",15,MAX(0.1,Skills!D11-IF(TRUE=TRUE,Inputs!$B$32,0)))*(1-IF(AND(ArtifactsInput!$M$27,Inputs!$B$4="Chapter Hunt"),CHOOSE(ArtifactsInput!$N$27+1,20,24,28,32,36,40),0)/100))/B1677))))/Skills!H11+0.000000001),1)))/Inputs!$B$43),G1646*Q1646))*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Hunt"),CHOOSE(ArtifactsInput!$N$35+1,15,18,21,24,27,30)*(1-EXP(-(0.2*B1668)*5)),0)+IF(AND(ArtifactsInput!$M$22,Inputs!$B$4&lt;&gt;"Chapter Hunt"),CHOOSE(ArtifactsInput!$N$22+1,10,12,14,16,18,20)*((0*(((0.15*B1668*5))^0/1)+1*(((0.15*B1668*5))^1/1)+2*(((0.15*B1668*5))^2/2)+3*(((0.15*B1668*5))^3/6)+4*(((0.15*B1668*5))^4/24)+5*(((0.15*B1668*5))^5/120))/((((0.15*B1668*5))^0/1)+(((0.15*B1668*5))^1/1)+(((0.15*B1668*5))^2/2)+(((0.15*B1668*5))^3/6)+(((0.15*B1668*5))^4/24)+(((0.15*B1668*5))^5/120))),0))+IF(Inputs!$B$3&gt;=54,9*(C1638=TRUE)*MIN(1,8*(1+Inputs!$B$34/100)*Q1638)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1646*(1-MIN(100,(Inputs!$B$9+((C1654=TRUE)*(F1654-Calc!F19))+B1666+(ArtifactsInput!$M$24-ArtifactsInput!$M$24)*CHOOSE(ArtifactsInput!$N$24+1,10,12,14,16,18,20)+(IF(AND(Inputs!$B$38&lt;&gt;"pvp",Inputs!$B$43=0),1,IF(IF(Inputs!$B$38="pvp",15,Inputs!$B$43)-(B1673)&lt;=0,1,MAX(0,IF(Inputs!$B$38="pvp",15,Inputs!$B$43)-MAX(5,B1673))/(IF(Inputs!$B$38="pvp",15,Inputs!$B$43)-(B1673))))*IF(AND(ArtifactsInput!$M$42,((Inputs!$B$9+((C1654=TRUE)*(F1654-Calc!F19))+B1666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1646*(MIN(100,(Inputs!$B$9+((C1654=TRUE)*(F1654-Calc!F19))+B1666+(ArtifactsInput!$M$24-ArtifactsInput!$M$24)*CHOOSE(ArtifactsInput!$N$24+1,10,12,14,16,18,20)+(IF(AND(Inputs!$B$38&lt;&gt;"pvp",Inputs!$B$43=0),1,IF(IF(Inputs!$B$38="pvp",15,Inputs!$B$43)-(B1673)&lt;=0,1,MAX(0,IF(Inputs!$B$38="pvp",15,Inputs!$B$43)-MAX(5,B1673))/(IF(Inputs!$B$38="pvp",15,Inputs!$B$43)-(B1673))))*IF(AND(ArtifactsInput!$M$42,((Inputs!$B$9+((C1654=TRUE)*(F1654-Calc!F19))+B1666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1646*(1-MIN(100,(Inputs!$B$9+((C1654=TRUE)*(F1654-Calc!F19))+B1666+(ArtifactsInput!$M$24-ArtifactsInput!$M$24)*CHOOSE(ArtifactsInput!$N$24+1,10,12,14,16,18,20)+(IF(AND(Inputs!$B$38&lt;&gt;"pvp",Inputs!$B$43=0),1,IF(IF(Inputs!$B$38="pvp",15,Inputs!$B$43)-(B1673)&lt;=0,1,MAX(0,IF(Inputs!$B$38="pvp",15,Inputs!$B$43)-MAX(5,B1673))/(IF(Inputs!$B$38="pvp",15,Inputs!$B$43)-(B1673))))*IF(AND(ArtifactsInput!$M$42,((Inputs!$B$9+((C1654=TRUE)*(F1654-Calc!F19))+B1666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1646*(MIN(100,(Inputs!$B$9+((C1654=TRUE)*(F1654-Calc!F19))+B1666+(ArtifactsInput!$M$24-ArtifactsInput!$M$24)*CHOOSE(ArtifactsInput!$N$24+1,10,12,14,16,18,20)+(IF(AND(Inputs!$B$38&lt;&gt;"pvp",Inputs!$B$43=0),1,IF(IF(Inputs!$B$38="pvp",15,Inputs!$B$43)-(B1673)&lt;=0,1,MAX(0,IF(Inputs!$B$38="pvp",15,Inputs!$B$43)-MAX(5,B1673))/(IF(Inputs!$B$38="pvp",15,Inputs!$B$43)-(B1673))))*IF(AND(ArtifactsInput!$M$42,((Inputs!$B$9+((C1654=TRUE)*(F1654-Calc!F19))+B1666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646">
        <f>IF(C1646,(H1646*N1646*IF(AND(Inputs!$B$38&lt;&gt;"pvp",Inputs!$B$43&gt;0),((Skills!G11*((R1646-1)*IF(Skills!H11&gt;0,INT(Skills!I11/Skills!H11+0.000000001),1)+IF(Skills!H11&gt;0,INT(MIN(Skills!I11,MAX(0,MAX(0,Inputs!$B$43-B1673)-((R1646-1)*((IF(Inputs!$B$38="pvp",15,MAX(0.1,Skills!D11-IF(TRUE=TRUE,Inputs!$B$32,0)))*(1-IF(AND(ArtifactsInput!$M$27,Inputs!$B$4="Chapter Hunt"),CHOOSE(ArtifactsInput!$N$27+1,20,24,28,32,36,40),0)/100))/B1677))))/Skills!H11+0.000000001),1)))/Inputs!$B$43),G1646*Q1646))*IF(Inputs!$B$38="pvp",1,(1+(Inputs!$B$21+Skills!Q11+(IF(ArtifactsInput!$M$33,CHOOSE(ArtifactsInput!$N$33+1,30,36,42,48,54,60),0))+(IF(AND(ArtifactsInput!$M$35,Inputs!$B$4&lt;&gt;"Chapter Hunt"),CHOOSE(ArtifactsInput!$N$35+1,15,18,21,24,27,30)*(1-EXP(-(0.2*B1668)*5)),0)+IF(AND(ArtifactsInput!$M$22,Inputs!$B$4&lt;&gt;"Chapter Hunt"),CHOOSE(ArtifactsInput!$N$22+1,10,12,14,16,18,20)*((0*(((0.15*B1668*5))^0/1)+1*(((0.15*B1668*5))^1/1)+2*(((0.15*B1668*5))^2/2)+3*(((0.15*B1668*5))^3/6)+4*(((0.15*B1668*5))^4/24)+5*(((0.15*B1668*5))^5/120))/((((0.15*B1668*5))^0/1)+(((0.15*B1668*5))^1/1)+(((0.15*B1668*5))^2/2)+(((0.15*B1668*5))^3/6)+(((0.15*B1668*5))^4/24)+(((0.15*B1668*5))^5/120))),0))+IF(Inputs!$B$3&gt;=54,9*(C1638=TRUE)*MIN(1,8*(1+Inputs!$B$34/100)*Q1638),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47">
      <c r="A1647">
        <f>Skills!A12</f>
        <v/>
      </c>
      <c r="B1647">
        <f>Skills!B12</f>
        <v/>
      </c>
      <c r="C1647">
        <f>Inputs!$B$3&gt;=110</f>
        <v/>
      </c>
      <c r="D1647">
        <f>IF(Skills!C12=1,60+Inputs!$B$25+Inputs!$B$29,IF(Skills!C12=2,90+Inputs!$B$26+Inputs!$B$29,IF(Skills!C12=3,120+Inputs!$B$27+Inputs!$B$29,MAX(0,(Inputs!$B$3-100)*3)+Inputs!$B$28+Inputs!$B$29)))</f>
        <v/>
      </c>
      <c r="E1647">
        <f>INDEX(FactorTable!$B$2:$Y$301, MATCH(ROUND(MIN(300,MAX(1,D1647)),0), FactorTable!$A$2:$A$301,0), Skills!M12+1)</f>
        <v/>
      </c>
      <c r="F1647">
        <f>IF(Skills!N12=TRUE,(Skills!L12/10)*(E1647/1000),Skills!L12/10)+Skills!O12</f>
        <v/>
      </c>
      <c r="G1647">
        <f>Skills!G12*IF(Skills!H12&gt;0,INT(IF(Inputs!$B$38="pvp",MIN(Skills!I12,15),Skills!I12)/Skills!H12+0.000000001),1)</f>
        <v/>
      </c>
      <c r="H1647">
        <f>1-(1-Skills!J12/100)^Skills!K12</f>
        <v/>
      </c>
      <c r="I1647" t="inlineStr">
        <is>
          <t>1</t>
        </is>
      </c>
      <c r="J1647">
        <f>((Inputs!$B$6*(1+Inputs!$B$7/100))+(((Inputs!$B$12*(1+Inputs!$B$13/100))-(Inputs!$B$12*(1+Inputs!$B$13/100)))+0.25*(Inputs!$B$14-Inputs!$B$14))*(1+Inputs!$B$7/100))*(F1647/100)</f>
        <v/>
      </c>
      <c r="K1647">
        <f>J1647*(1+((Inputs!$B$12*(1+Inputs!$B$13/100))*0.01+Inputs!$B$14*0.0025)/100)*(1+Inputs!$B$15/100)*(1+Inputs!$B$16/100)*(5000/(6000+Inputs!$B$42*(1-(100*(1-(1-(Inputs!$B$19+0)/100)*(1-CHOOSE(ArtifactsInput!$N$40+1,5,6,7,8,9,10)/100)^(ArtifactsInput!$M$40-ArtifactsInput!$M$40)))/100)))*(1+(Inputs!$B$24+((C1661=TRUE)*(F1661-Calc!F26))+B1672)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Boss",2,1),0)/100)-1)*100+(IF(ArtifactsInput!$M$14,FALSE,TRUE)-ArtifactsInput!$M$14)*IF(OR(Inputs!$B$4="Weapon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EIGHT_LEGS_EASTON",Inputs!$B$17+((C1658=TRUE)*(F1658-Calc!F23))+((C1662=TRUE)*(F1662-Calc!F27))+((IF(AND(Inputs!$B$38&lt;&gt;"pvp",Inputs!$B$43=0),1,IF(IF(Inputs!$B$38="pvp",15,Inputs!$B$43)-(B1673)&lt;=0,1,MAX(0,IF(Inputs!$B$38="pvp",15,Inputs!$B$43)-MAX(5,B1673))/(IF(Inputs!$B$38="pvp",15,Inputs!$B$43)-(B1673))))*(IF(AND(ArtifactsInput!$M$42,((Inputs!$B$9+((C1654=TRUE)*(F1654-Calc!F19))+B1666+(ArtifactsInput!$M$24-ArtifactsInput!$M$24)*CHOOSE(ArtifactsInput!$N$24+1,10,12,14,16,18,20)+IF(ArtifactsInput!$M$10,CHOOSE(ArtifactsInput!$N$10+1,15,18,21,24,27,30)*(IF(Inputs!$B$38="pvp",MIN(15,15)/15,IF(AND(Inputs!$B$38&lt;&gt;"pvp",Inputs!$B$43&gt;0),MIN(15,Inputs!$B$43)/(Inputs!$B$43),0))),0)))&gt;=100),MIN(100,((Inputs!$B$9+((C1654=TRUE)*(F1654-Calc!F19))+B1666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1673)&lt;=0,1,MAX(0,IF(Inputs!$B$38="pvp",15,Inputs!$B$43)-MAX(5,B1673))/(IF(Inputs!$B$38="pvp",15,Inputs!$B$43)-(B1673))))*IF(AND(ArtifactsInput!$M$42,((Inputs!$B$9+((C1654=TRUE)*(F1654-Calc!F19))+B1666+(ArtifactsInput!$M$24-ArtifactsInput!$M$24)*CHOOSE(ArtifactsInput!$N$24+1,10,12,14,16,18,20)+IF(ArtifactsInput!$M$10,CHOOSE(ArtifactsInput!$N$10+1,15,18,21,24,27,30)*(IF(Inputs!$B$38="pvp",MIN(15,15)/15,IF(AND(Inputs!$B$38&lt;&gt;"pvp",Inputs!$B$43&gt;0),MIN(15,Inputs!$B$43)/(Inputs!$B$43),0))),0)))&gt;=100),CHOOSE(ArtifactsInput!$N$42+1,40,48,56,64,72,80),0))))/100)*((1+(((C1652=TRUE)*F1652*5/7)+((C1659=TRUE)*(F1659-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1647)</f>
        <v/>
      </c>
      <c r="L1647">
        <f>K1647*(MIN(Inputs!$B$22+((C1657=TRUE)*(F1657-Calc!F22)),(Inputs!$B$23+0+(IF(ArtifactsInput!$M$15,CHOOSE(ArtifactsInput!$N$15+1,25,30,35,40,45,50)/100*(Inputs!$B$11-Inputs!$B$11),0))))/100+(Inputs!$B$23+0+(IF(ArtifactsInput!$M$15,CHOOSE(ArtifactsInput!$N$15+1,25,30,35,40,45,50)/100*(Inputs!$B$11-Inputs!$B$11),0)))/100)/2</f>
        <v/>
      </c>
      <c r="M1647">
        <f>L1647*(1+(Inputs!$B$10+((C1660=TRUE)*(F1660-Calc!F25))+B1671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47">
        <f>L1647*(1-MIN((Inputs!$B$9+((C1654=TRUE)*(F1654-Calc!F19))+B1666+(ArtifactsInput!$M$24-ArtifactsInput!$M$24)*CHOOSE(ArtifactsInput!$N$24+1,10,12,14,16,18,20)+(IF(AND(Inputs!$B$38&lt;&gt;"pvp",Inputs!$B$43=0),1,IF(IF(Inputs!$B$38="pvp",15,Inputs!$B$43)-(B1673)&lt;=0,1,MAX(0,IF(Inputs!$B$38="pvp",15,Inputs!$B$43)-MAX(5,B1673))/(IF(Inputs!$B$38="pvp",15,Inputs!$B$43)-(B1673))))*IF(AND(ArtifactsInput!$M$42,((Inputs!$B$9+((C1654=TRUE)*(F1654-Calc!F19))+B1666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1647*(MIN((Inputs!$B$9+((C1654=TRUE)*(F1654-Calc!F19))+B1666+(ArtifactsInput!$M$24-ArtifactsInput!$M$24)*CHOOSE(ArtifactsInput!$N$24+1,10,12,14,16,18,20)+(IF(AND(Inputs!$B$38&lt;&gt;"pvp",Inputs!$B$43=0),1,IF(IF(Inputs!$B$38="pvp",15,Inputs!$B$43)-(B1673)&lt;=0,1,MAX(0,IF(Inputs!$B$38="pvp",15,Inputs!$B$43)-MAX(5,B1673))/(IF(Inputs!$B$38="pvp",15,Inputs!$B$43)-(B1673))))*IF(AND(ArtifactsInput!$M$42,((Inputs!$B$9+((C1654=TRUE)*(F1654-Calc!F19))+B1666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47">
        <f>(1-Summary!$B$11)*T1647+Summary!$B$11*V1647</f>
        <v/>
      </c>
      <c r="P1647">
        <f>IF(B1676=0,0,O1647/B1676)</f>
        <v/>
      </c>
      <c r="Q1647">
        <f>IFERROR(1/(IF(Inputs!$B$38="pvp",15,MAX(0.1,Skills!D12-IF(TRUE=TRUE,Inputs!$B$32,0)))*(1-IF(AND(ArtifactsInput!$M$27,Inputs!$B$4="Chapter Hunt"),CHOOSE(ArtifactsInput!$N$27+1,20,24,28,32,36,40),0)/100)),0)</f>
        <v/>
      </c>
      <c r="R1647">
        <f>IF(AND(Inputs!$B$38&lt;&gt;"pvp",Inputs!$B$43&gt;0),IF(MAX(0,Inputs!$B$43-B1673)&lt;=0,0,(INT(MAX(0,Inputs!$B$43-B1673)/(IF(Inputs!$B$38="pvp",15,MAX(0.1,Skills!D12-IF(TRUE=TRUE,Inputs!$B$32,0)))*(1-IF(AND(ArtifactsInput!$M$27,Inputs!$B$4="Chapter Hunt"),CHOOSE(ArtifactsInput!$N$27+1,20,24,28,32,36,40),0)/100)))+1)),0)</f>
        <v/>
      </c>
      <c r="S1647">
        <f>IFERROR(O1647/N1647,0)</f>
        <v/>
      </c>
      <c r="T1647">
        <f>IF(C1647,(H1647*N1647*IF(AND(Inputs!$B$38&lt;&gt;"pvp",Inputs!$B$43&gt;0),((Skills!G12*((R1647-1)*IF(Skills!H12&gt;0,INT(Skills!I12/Skills!H12+0.000000001),1)+IF(Skills!H12&gt;0,INT(MIN(Skills!I12,MAX(0,MAX(0,Inputs!$B$43-B1673)-((R1647-1)*(IF(Inputs!$B$38="pvp",15,MAX(0.1,Skills!D12-IF(TRUE=TRUE,Inputs!$B$32,0)))*(1-IF(AND(ArtifactsInput!$M$27,Inputs!$B$4="Chapter Hunt"),CHOOSE(ArtifactsInput!$N$27+1,20,24,28,32,36,40),0)/100)))))/Skills!H12+0.000000001),1)))/Inputs!$B$43),G1647*Q1647))*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Hunt"),CHOOSE(ArtifactsInput!$N$35+1,15,18,21,24,27,30)*(1-EXP(-(0.2*B1668)*5)),0)+IF(AND(ArtifactsInput!$M$22,Inputs!$B$4&lt;&gt;"Chapter Hunt"),CHOOSE(ArtifactsInput!$N$22+1,10,12,14,16,18,20)*((0*(((0.15*B1668*5))^0/1)+1*(((0.15*B1668*5))^1/1)+2*(((0.15*B1668*5))^2/2)+3*(((0.15*B1668*5))^3/6)+4*(((0.15*B1668*5))^4/24)+5*(((0.15*B1668*5))^5/120))/((((0.15*B1668*5))^0/1)+(((0.15*B1668*5))^1/1)+(((0.15*B1668*5))^2/2)+(((0.15*B1668*5))^3/6)+(((0.15*B1668*5))^4/24)+(((0.15*B1668*5))^5/120))),0))+IF(Inputs!$B$3&gt;=54,9*(C1638=TRUE)*MIN(1,8*(1+Inputs!$B$34/100)*Q1638)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1647*(1-MIN(100,(Inputs!$B$9+((C1654=TRUE)*(F1654-Calc!F19))+B1666+(ArtifactsInput!$M$24-ArtifactsInput!$M$24)*CHOOSE(ArtifactsInput!$N$24+1,10,12,14,16,18,20)+(IF(AND(Inputs!$B$38&lt;&gt;"pvp",Inputs!$B$43=0),1,IF(IF(Inputs!$B$38="pvp",15,Inputs!$B$43)-(B1673)&lt;=0,1,MAX(0,IF(Inputs!$B$38="pvp",15,Inputs!$B$43)-MAX(5,B1673))/(IF(Inputs!$B$38="pvp",15,Inputs!$B$43)-(B1673))))*IF(AND(ArtifactsInput!$M$42,((Inputs!$B$9+((C1654=TRUE)*(F1654-Calc!F19))+B1666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1647*(MIN(100,(Inputs!$B$9+((C1654=TRUE)*(F1654-Calc!F19))+B1666+(ArtifactsInput!$M$24-ArtifactsInput!$M$24)*CHOOSE(ArtifactsInput!$N$24+1,10,12,14,16,18,20)+(IF(AND(Inputs!$B$38&lt;&gt;"pvp",Inputs!$B$43=0),1,IF(IF(Inputs!$B$38="pvp",15,Inputs!$B$43)-(B1673)&lt;=0,1,MAX(0,IF(Inputs!$B$38="pvp",15,Inputs!$B$43)-MAX(5,B1673))/(IF(Inputs!$B$38="pvp",15,Inputs!$B$43)-(B1673))))*IF(AND(ArtifactsInput!$M$42,((Inputs!$B$9+((C1654=TRUE)*(F1654-Calc!F19))+B1666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1647*(1-MIN(100,(Inputs!$B$9+((C1654=TRUE)*(F1654-Calc!F19))+B1666+(ArtifactsInput!$M$24-ArtifactsInput!$M$24)*CHOOSE(ArtifactsInput!$N$24+1,10,12,14,16,18,20)+(IF(AND(Inputs!$B$38&lt;&gt;"pvp",Inputs!$B$43=0),1,IF(IF(Inputs!$B$38="pvp",15,Inputs!$B$43)-(B1673)&lt;=0,1,MAX(0,IF(Inputs!$B$38="pvp",15,Inputs!$B$43)-MAX(5,B1673))/(IF(Inputs!$B$38="pvp",15,Inputs!$B$43)-(B1673))))*IF(AND(ArtifactsInput!$M$42,((Inputs!$B$9+((C1654=TRUE)*(F1654-Calc!F19))+B1666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1647*(MIN(100,(Inputs!$B$9+((C1654=TRUE)*(F1654-Calc!F19))+B1666+(ArtifactsInput!$M$24-ArtifactsInput!$M$24)*CHOOSE(ArtifactsInput!$N$24+1,10,12,14,16,18,20)+(IF(AND(Inputs!$B$38&lt;&gt;"pvp",Inputs!$B$43=0),1,IF(IF(Inputs!$B$38="pvp",15,Inputs!$B$43)-(B1673)&lt;=0,1,MAX(0,IF(Inputs!$B$38="pvp",15,Inputs!$B$43)-MAX(5,B1673))/(IF(Inputs!$B$38="pvp",15,Inputs!$B$43)-(B1673))))*IF(AND(ArtifactsInput!$M$42,((Inputs!$B$9+((C1654=TRUE)*(F1654-Calc!F19))+B1666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647">
        <f>IF(C1647,(H1647*N1647*IF(AND(Inputs!$B$38&lt;&gt;"pvp",Inputs!$B$43&gt;0),((Skills!G12*((R1647-1)*IF(Skills!H12&gt;0,INT(Skills!I12/Skills!H12+0.000000001),1)+IF(Skills!H12&gt;0,INT(MIN(Skills!I12,MAX(0,MAX(0,Inputs!$B$43-B1673)-((R1647-1)*(IF(Inputs!$B$38="pvp",15,MAX(0.1,Skills!D12-IF(TRUE=TRUE,Inputs!$B$32,0)))*(1-IF(AND(ArtifactsInput!$M$27,Inputs!$B$4="Chapter Hunt"),CHOOSE(ArtifactsInput!$N$27+1,20,24,28,32,36,40),0)/100)))))/Skills!H12+0.000000001),1)))/Inputs!$B$43),G1647*Q1647))*IF(Inputs!$B$38="pvp",1,(1+(Inputs!$B$21+Skills!Q12+(IF(ArtifactsInput!$M$33,CHOOSE(ArtifactsInput!$N$33+1,30,36,42,48,54,60),0))+(IF(AND(ArtifactsInput!$M$35,Inputs!$B$4&lt;&gt;"Chapter Hunt"),CHOOSE(ArtifactsInput!$N$35+1,15,18,21,24,27,30)*(1-EXP(-(0.2*B1668)*5)),0)+IF(AND(ArtifactsInput!$M$22,Inputs!$B$4&lt;&gt;"Chapter Hunt"),CHOOSE(ArtifactsInput!$N$22+1,10,12,14,16,18,20)*((0*(((0.15*B1668*5))^0/1)+1*(((0.15*B1668*5))^1/1)+2*(((0.15*B1668*5))^2/2)+3*(((0.15*B1668*5))^3/6)+4*(((0.15*B1668*5))^4/24)+5*(((0.15*B1668*5))^5/120))/((((0.15*B1668*5))^0/1)+(((0.15*B1668*5))^1/1)+(((0.15*B1668*5))^2/2)+(((0.15*B1668*5))^3/6)+(((0.15*B1668*5))^4/24)+(((0.15*B1668*5))^5/120))),0))+IF(Inputs!$B$3&gt;=54,9*(C1638=TRUE)*MIN(1,8*(1+Inputs!$B$34/100)*Q1638),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48">
      <c r="A1648">
        <f>Skills!A13</f>
        <v/>
      </c>
      <c r="B1648">
        <f>Skills!B13</f>
        <v/>
      </c>
      <c r="C1648">
        <f>Inputs!$B$3&gt;=110</f>
        <v/>
      </c>
      <c r="D1648">
        <f>IF(Skills!C13=1,60+Inputs!$B$25+Inputs!$B$29,IF(Skills!C13=2,90+Inputs!$B$26+Inputs!$B$29,IF(Skills!C13=3,120+Inputs!$B$27+Inputs!$B$29,MAX(0,(Inputs!$B$3-100)*3)+Inputs!$B$28+Inputs!$B$29)))</f>
        <v/>
      </c>
      <c r="E1648">
        <f>INDEX(FactorTable!$B$2:$Y$301, MATCH(ROUND(MIN(300,MAX(1,D1648)),0), FactorTable!$A$2:$A$301,0), Skills!M13+1)</f>
        <v/>
      </c>
      <c r="F1648">
        <f>IF(Skills!N13=TRUE,(Skills!L13/10)*(E1648/1000),Skills!L13/10)+Skills!O13</f>
        <v/>
      </c>
      <c r="G1648">
        <f>Skills!G13*IF(Skills!H13&gt;0,INT(IF(Inputs!$B$38="pvp",MIN(Skills!I13,15),Skills!I13)/Skills!H13+0.000000001),1)</f>
        <v/>
      </c>
      <c r="H1648">
        <f>1-(1-Skills!J13/100)^Skills!K13</f>
        <v/>
      </c>
      <c r="I1648" t="inlineStr">
        <is>
          <t>1</t>
        </is>
      </c>
      <c r="J1648">
        <f>((Inputs!$B$6*(1+Inputs!$B$7/100))+(((Inputs!$B$12*(1+Inputs!$B$13/100))-(Inputs!$B$12*(1+Inputs!$B$13/100)))+0.25*(Inputs!$B$14-Inputs!$B$14))*(1+Inputs!$B$7/100))*(F1648/100)</f>
        <v/>
      </c>
      <c r="K1648">
        <f>J1648*(1+((Inputs!$B$12*(1+Inputs!$B$13/100))*0.01+Inputs!$B$14*0.0025)/100)*(1+Inputs!$B$15/100)*(1+Inputs!$B$16/100)*(5000/(6000+Inputs!$B$42*(1-(100*(1-(1-(Inputs!$B$19+0)/100)*(1-CHOOSE(ArtifactsInput!$N$40+1,5,6,7,8,9,10)/100)^(ArtifactsInput!$M$40-ArtifactsInput!$M$40)))/100)))*(1+(Inputs!$B$24+((C1661=TRUE)*(F1661-Calc!F26))+B1672)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Boss",2,1),0)/100)-1)*100+(IF(ArtifactsInput!$M$14,FALSE,TRUE)-ArtifactsInput!$M$14)*IF(OR(Inputs!$B$4="Weapon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EIGHT_LEGS_EASTON",Inputs!$B$17+((C1658=TRUE)*(F1658-Calc!F23))+((C1662=TRUE)*(F1662-Calc!F27))+((IF(AND(Inputs!$B$38&lt;&gt;"pvp",Inputs!$B$43=0),1,IF(IF(Inputs!$B$38="pvp",15,Inputs!$B$43)-(B1673)&lt;=0,1,MAX(0,IF(Inputs!$B$38="pvp",15,Inputs!$B$43)-MAX(5,B1673))/(IF(Inputs!$B$38="pvp",15,Inputs!$B$43)-(B1673))))*(IF(AND(ArtifactsInput!$M$42,((Inputs!$B$9+((C1654=TRUE)*(F1654-Calc!F19))+B1666+(ArtifactsInput!$M$24-ArtifactsInput!$M$24)*CHOOSE(ArtifactsInput!$N$24+1,10,12,14,16,18,20)+IF(ArtifactsInput!$M$10,CHOOSE(ArtifactsInput!$N$10+1,15,18,21,24,27,30)*(IF(Inputs!$B$38="pvp",MIN(15,15)/15,IF(AND(Inputs!$B$38&lt;&gt;"pvp",Inputs!$B$43&gt;0),MIN(15,Inputs!$B$43)/(Inputs!$B$43),0))),0)))&gt;=100),MIN(100,((Inputs!$B$9+((C1654=TRUE)*(F1654-Calc!F19))+B1666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1673)&lt;=0,1,MAX(0,IF(Inputs!$B$38="pvp",15,Inputs!$B$43)-MAX(5,B1673))/(IF(Inputs!$B$38="pvp",15,Inputs!$B$43)-(B1673))))*IF(AND(ArtifactsInput!$M$42,((Inputs!$B$9+((C1654=TRUE)*(F1654-Calc!F19))+B1666+(ArtifactsInput!$M$24-ArtifactsInput!$M$24)*CHOOSE(ArtifactsInput!$N$24+1,10,12,14,16,18,20)+IF(ArtifactsInput!$M$10,CHOOSE(ArtifactsInput!$N$10+1,15,18,21,24,27,30)*(IF(Inputs!$B$38="pvp",MIN(15,15)/15,IF(AND(Inputs!$B$38&lt;&gt;"pvp",Inputs!$B$43&gt;0),MIN(15,Inputs!$B$43)/(Inputs!$B$43),0))),0)))&gt;=100),CHOOSE(ArtifactsInput!$N$42+1,40,48,56,64,72,80),0))))/100)*((1+(((C1652=TRUE)*F1652*5/7)+((C1659=TRUE)*(F1659-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1648)</f>
        <v/>
      </c>
      <c r="L1648">
        <f>K1648*(MIN(Inputs!$B$22+((C1657=TRUE)*(F1657-Calc!F22)),(Inputs!$B$23+0+(IF(ArtifactsInput!$M$15,CHOOSE(ArtifactsInput!$N$15+1,25,30,35,40,45,50)/100*(Inputs!$B$11-Inputs!$B$11),0))))/100+(Inputs!$B$23+0+(IF(ArtifactsInput!$M$15,CHOOSE(ArtifactsInput!$N$15+1,25,30,35,40,45,50)/100*(Inputs!$B$11-Inputs!$B$11),0)))/100)/2</f>
        <v/>
      </c>
      <c r="M1648">
        <f>L1648*(1+(Inputs!$B$10+((C1660=TRUE)*(F1660-Calc!F25))+B1671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48">
        <f>L1648*(1-MIN((Inputs!$B$9+((C1654=TRUE)*(F1654-Calc!F19))+B1666+(ArtifactsInput!$M$24-ArtifactsInput!$M$24)*CHOOSE(ArtifactsInput!$N$24+1,10,12,14,16,18,20)+(IF(AND(Inputs!$B$38&lt;&gt;"pvp",Inputs!$B$43=0),1,IF(IF(Inputs!$B$38="pvp",15,Inputs!$B$43)-(B1673)&lt;=0,1,MAX(0,IF(Inputs!$B$38="pvp",15,Inputs!$B$43)-MAX(5,B1673))/(IF(Inputs!$B$38="pvp",15,Inputs!$B$43)-(B1673))))*IF(AND(ArtifactsInput!$M$42,((Inputs!$B$9+((C1654=TRUE)*(F1654-Calc!F19))+B1666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1648*(MIN((Inputs!$B$9+((C1654=TRUE)*(F1654-Calc!F19))+B1666+(ArtifactsInput!$M$24-ArtifactsInput!$M$24)*CHOOSE(ArtifactsInput!$N$24+1,10,12,14,16,18,20)+(IF(AND(Inputs!$B$38&lt;&gt;"pvp",Inputs!$B$43=0),1,IF(IF(Inputs!$B$38="pvp",15,Inputs!$B$43)-(B1673)&lt;=0,1,MAX(0,IF(Inputs!$B$38="pvp",15,Inputs!$B$43)-MAX(5,B1673))/(IF(Inputs!$B$38="pvp",15,Inputs!$B$43)-(B1673))))*IF(AND(ArtifactsInput!$M$42,((Inputs!$B$9+((C1654=TRUE)*(F1654-Calc!F19))+B1666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48">
        <f>(1-Summary!$B$11)*T1648+Summary!$B$11*V1648</f>
        <v/>
      </c>
      <c r="P1648">
        <f>IF(B1676=0,0,O1648/B1676)</f>
        <v/>
      </c>
      <c r="Q1648">
        <f>IFERROR(1/(IF(Inputs!$B$38="pvp",15,MAX(0.1,Skills!D13-IF(TRUE=TRUE,Inputs!$B$32,0)))*(1-IF(AND(ArtifactsInput!$M$27,Inputs!$B$4="Chapter Hunt"),CHOOSE(ArtifactsInput!$N$27+1,20,24,28,32,36,40),0)/100)),0)</f>
        <v/>
      </c>
      <c r="R1648">
        <f>IF(AND(Inputs!$B$38&lt;&gt;"pvp",Inputs!$B$43&gt;0),IF(MAX(0,Inputs!$B$43-B1673)&lt;=0,0,(INT(MAX(0,Inputs!$B$43-B1673)/(IF(Inputs!$B$38="pvp",15,MAX(0.1,Skills!D13-IF(TRUE=TRUE,Inputs!$B$32,0)))*(1-IF(AND(ArtifactsInput!$M$27,Inputs!$B$4="Chapter Hunt"),CHOOSE(ArtifactsInput!$N$27+1,20,24,28,32,36,40),0)/100)))+1)),0)</f>
        <v/>
      </c>
      <c r="S1648">
        <f>IFERROR(O1648/N1648,0)</f>
        <v/>
      </c>
      <c r="T1648">
        <f>IF(C1648,(H1648*N1648*IF(AND(Inputs!$B$38&lt;&gt;"pvp",Inputs!$B$43&gt;0),((Skills!G13*((R1648-1)*IF(Skills!H13&gt;0,INT(Skills!I13/Skills!H13+0.000000001),1)+IF(Skills!H13&gt;0,INT(MIN(Skills!I13,MAX(0,MAX(0,Inputs!$B$43-B1673)-((R1648-1)*(IF(Inputs!$B$38="pvp",15,MAX(0.1,Skills!D13-IF(TRUE=TRUE,Inputs!$B$32,0)))*(1-IF(AND(ArtifactsInput!$M$27,Inputs!$B$4="Chapter Hunt"),CHOOSE(ArtifactsInput!$N$27+1,20,24,28,32,36,40),0)/100)))))/Skills!H13+0.000000001),1)))/Inputs!$B$43),G1648*Q1648))*IF(Inputs!$B$38="pvp",1,1+(Inputs!$B$20+0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Hunt"),CHOOSE(ArtifactsInput!$N$35+1,15,18,21,24,27,30)*(1-EXP(-(0.2*B1668)*5)),0)+IF(AND(ArtifactsInput!$M$22,Inputs!$B$4&lt;&gt;"Chapter Hunt"),CHOOSE(ArtifactsInput!$N$22+1,10,12,14,16,18,20)*((0*(((0.15*B1668*5))^0/1)+1*(((0.15*B1668*5))^1/1)+2*(((0.15*B1668*5))^2/2)+3*(((0.15*B1668*5))^3/6)+4*(((0.15*B1668*5))^4/24)+5*(((0.15*B1668*5))^5/120))/((((0.15*B1668*5))^0/1)+(((0.15*B1668*5))^1/1)+(((0.15*B1668*5))^2/2)+(((0.15*B1668*5))^3/6)+(((0.15*B1668*5))^4/24)+(((0.15*B1668*5))^5/120))),0))+IF(Inputs!$B$3&gt;=54,9*(C1638=TRUE)*MIN(1,8*(1+Inputs!$B$34/100)*Q1638)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1648*(1-MIN(100,(Inputs!$B$9+((C1654=TRUE)*(F1654-Calc!F19))+B1666+(ArtifactsInput!$M$24-ArtifactsInput!$M$24)*CHOOSE(ArtifactsInput!$N$24+1,10,12,14,16,18,20)+(IF(AND(Inputs!$B$38&lt;&gt;"pvp",Inputs!$B$43=0),1,IF(IF(Inputs!$B$38="pvp",15,Inputs!$B$43)-(B1673)&lt;=0,1,MAX(0,IF(Inputs!$B$38="pvp",15,Inputs!$B$43)-MAX(5,B1673))/(IF(Inputs!$B$38="pvp",15,Inputs!$B$43)-(B1673))))*IF(AND(ArtifactsInput!$M$42,((Inputs!$B$9+((C1654=TRUE)*(F1654-Calc!F19))+B1666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1648*(MIN(100,(Inputs!$B$9+((C1654=TRUE)*(F1654-Calc!F19))+B1666+(ArtifactsInput!$M$24-ArtifactsInput!$M$24)*CHOOSE(ArtifactsInput!$N$24+1,10,12,14,16,18,20)+(IF(AND(Inputs!$B$38&lt;&gt;"pvp",Inputs!$B$43=0),1,IF(IF(Inputs!$B$38="pvp",15,Inputs!$B$43)-(B1673)&lt;=0,1,MAX(0,IF(Inputs!$B$38="pvp",15,Inputs!$B$43)-MAX(5,B1673))/(IF(Inputs!$B$38="pvp",15,Inputs!$B$43)-(B1673))))*IF(AND(ArtifactsInput!$M$42,((Inputs!$B$9+((C1654=TRUE)*(F1654-Calc!F19))+B1666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1648*(1-MIN(100,(Inputs!$B$9+((C1654=TRUE)*(F1654-Calc!F19))+B1666+(ArtifactsInput!$M$24-ArtifactsInput!$M$24)*CHOOSE(ArtifactsInput!$N$24+1,10,12,14,16,18,20)+(IF(AND(Inputs!$B$38&lt;&gt;"pvp",Inputs!$B$43=0),1,IF(IF(Inputs!$B$38="pvp",15,Inputs!$B$43)-(B1673)&lt;=0,1,MAX(0,IF(Inputs!$B$38="pvp",15,Inputs!$B$43)-MAX(5,B1673))/(IF(Inputs!$B$38="pvp",15,Inputs!$B$43)-(B1673))))*IF(AND(ArtifactsInput!$M$42,((Inputs!$B$9+((C1654=TRUE)*(F1654-Calc!F19))+B1666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1648*(MIN(100,(Inputs!$B$9+((C1654=TRUE)*(F1654-Calc!F19))+B1666+(ArtifactsInput!$M$24-ArtifactsInput!$M$24)*CHOOSE(ArtifactsInput!$N$24+1,10,12,14,16,18,20)+(IF(AND(Inputs!$B$38&lt;&gt;"pvp",Inputs!$B$43=0),1,IF(IF(Inputs!$B$38="pvp",15,Inputs!$B$43)-(B1673)&lt;=0,1,MAX(0,IF(Inputs!$B$38="pvp",15,Inputs!$B$43)-MAX(5,B1673))/(IF(Inputs!$B$38="pvp",15,Inputs!$B$43)-(B1673))))*IF(AND(ArtifactsInput!$M$42,((Inputs!$B$9+((C1654=TRUE)*(F1654-Calc!F19))+B1666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648">
        <f>IF(C1648,(H1648*N1648*IF(AND(Inputs!$B$38&lt;&gt;"pvp",Inputs!$B$43&gt;0),((Skills!G13*((R1648-1)*IF(Skills!H13&gt;0,INT(Skills!I13/Skills!H13+0.000000001),1)+IF(Skills!H13&gt;0,INT(MIN(Skills!I13,MAX(0,MAX(0,Inputs!$B$43-B1673)-((R1648-1)*(IF(Inputs!$B$38="pvp",15,MAX(0.1,Skills!D13-IF(TRUE=TRUE,Inputs!$B$32,0)))*(1-IF(AND(ArtifactsInput!$M$27,Inputs!$B$4="Chapter Hunt"),CHOOSE(ArtifactsInput!$N$27+1,20,24,28,32,36,40),0)/100)))))/Skills!H13+0.000000001),1)))/Inputs!$B$43),G1648*Q1648))*IF(Inputs!$B$38="pvp",1,(1+(Inputs!$B$21+Skills!Q13+(IF(ArtifactsInput!$M$33,CHOOSE(ArtifactsInput!$N$33+1,30,36,42,48,54,60),0))+(IF(AND(ArtifactsInput!$M$35,Inputs!$B$4&lt;&gt;"Chapter Hunt"),CHOOSE(ArtifactsInput!$N$35+1,15,18,21,24,27,30)*(1-EXP(-(0.2*B1668)*5)),0)+IF(AND(ArtifactsInput!$M$22,Inputs!$B$4&lt;&gt;"Chapter Hunt"),CHOOSE(ArtifactsInput!$N$22+1,10,12,14,16,18,20)*((0*(((0.15*B1668*5))^0/1)+1*(((0.15*B1668*5))^1/1)+2*(((0.15*B1668*5))^2/2)+3*(((0.15*B1668*5))^3/6)+4*(((0.15*B1668*5))^4/24)+5*(((0.15*B1668*5))^5/120))/((((0.15*B1668*5))^0/1)+(((0.15*B1668*5))^1/1)+(((0.15*B1668*5))^2/2)+(((0.15*B1668*5))^3/6)+(((0.15*B1668*5))^4/24)+(((0.15*B1668*5))^5/120))),0))+IF(Inputs!$B$3&gt;=54,9*(C1638=TRUE)*MIN(1,8*(1+Inputs!$B$34/100)*Q1638),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49">
      <c r="A1649">
        <f>Skills!A14</f>
        <v/>
      </c>
      <c r="B1649">
        <f>Skills!B14</f>
        <v/>
      </c>
      <c r="C1649">
        <f>Inputs!$B$3&gt;=120</f>
        <v/>
      </c>
      <c r="D1649">
        <f>IF(Skills!C14=1,60+Inputs!$B$25+Inputs!$B$29,IF(Skills!C14=2,90+Inputs!$B$26+Inputs!$B$29,IF(Skills!C14=3,120+Inputs!$B$27+Inputs!$B$29,MAX(0,(Inputs!$B$3-100)*3)+Inputs!$B$28+Inputs!$B$29)))</f>
        <v/>
      </c>
      <c r="E1649">
        <f>INDEX(FactorTable!$B$2:$Y$301, MATCH(ROUND(MIN(300,MAX(1,D1649)),0), FactorTable!$A$2:$A$301,0), Skills!M14+1)</f>
        <v/>
      </c>
      <c r="F1649">
        <f>IF(Skills!N14=TRUE,(Skills!L14/10)*(E1649/1000),Skills!L14/10)+Skills!O14</f>
        <v/>
      </c>
      <c r="G1649">
        <f>Skills!G14*IF(Skills!H14&gt;0,INT(IF(Inputs!$B$38="pvp",MIN(Skills!I14,15),Skills!I14)/Skills!H14+0.000000001),1)</f>
        <v/>
      </c>
      <c r="H1649">
        <f>1-(1-Skills!J14/100)^Skills!K14</f>
        <v/>
      </c>
      <c r="I1649" t="inlineStr">
        <is>
          <t>1</t>
        </is>
      </c>
      <c r="J1649">
        <f>((Inputs!$B$6*(1+Inputs!$B$7/100))+(((Inputs!$B$12*(1+Inputs!$B$13/100))-(Inputs!$B$12*(1+Inputs!$B$13/100)))+0.25*(Inputs!$B$14-Inputs!$B$14))*(1+Inputs!$B$7/100))*(F1649/100)</f>
        <v/>
      </c>
      <c r="K1649">
        <f>J1649*(1+((Inputs!$B$12*(1+Inputs!$B$13/100))*0.01+Inputs!$B$14*0.0025)/100)*(1+Inputs!$B$15/100)*(1+Inputs!$B$16/100)*(5000/(6000+Inputs!$B$42*(1-(100*(1-(1-(Inputs!$B$19+0)/100)*(1-CHOOSE(ArtifactsInput!$N$40+1,5,6,7,8,9,10)/100)^(ArtifactsInput!$M$40-ArtifactsInput!$M$40)))/100)))*(1+(Inputs!$B$24+((C1661=TRUE)*(F1661-Calc!F26))+B1672)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Boss",2,1),0)/100)-1)*100+(IF(ArtifactsInput!$M$14,FALSE,TRUE)-ArtifactsInput!$M$14)*IF(OR(Inputs!$B$4="Weapon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EIGHT_LEGS_EASTON",Inputs!$B$17+((C1658=TRUE)*(F1658-Calc!F23))+((C1662=TRUE)*(F1662-Calc!F27))+((IF(AND(Inputs!$B$38&lt;&gt;"pvp",Inputs!$B$43=0),1,IF(IF(Inputs!$B$38="pvp",15,Inputs!$B$43)-(B1673)&lt;=0,1,MAX(0,IF(Inputs!$B$38="pvp",15,Inputs!$B$43)-MAX(5,B1673))/(IF(Inputs!$B$38="pvp",15,Inputs!$B$43)-(B1673))))*(IF(AND(ArtifactsInput!$M$42,((Inputs!$B$9+((C1654=TRUE)*(F1654-Calc!F19))+B1666+(ArtifactsInput!$M$24-ArtifactsInput!$M$24)*CHOOSE(ArtifactsInput!$N$24+1,10,12,14,16,18,20)+IF(ArtifactsInput!$M$10,CHOOSE(ArtifactsInput!$N$10+1,15,18,21,24,27,30)*(IF(Inputs!$B$38="pvp",MIN(15,15)/15,IF(AND(Inputs!$B$38&lt;&gt;"pvp",Inputs!$B$43&gt;0),MIN(15,Inputs!$B$43)/(Inputs!$B$43),0))),0)))&gt;=100),MIN(100,((Inputs!$B$9+((C1654=TRUE)*(F1654-Calc!F19))+B1666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1673)&lt;=0,1,MAX(0,IF(Inputs!$B$38="pvp",15,Inputs!$B$43)-MAX(5,B1673))/(IF(Inputs!$B$38="pvp",15,Inputs!$B$43)-(B1673))))*IF(AND(ArtifactsInput!$M$42,((Inputs!$B$9+((C1654=TRUE)*(F1654-Calc!F19))+B1666+(ArtifactsInput!$M$24-ArtifactsInput!$M$24)*CHOOSE(ArtifactsInput!$N$24+1,10,12,14,16,18,20)+IF(ArtifactsInput!$M$10,CHOOSE(ArtifactsInput!$N$10+1,15,18,21,24,27,30)*(IF(Inputs!$B$38="pvp",MIN(15,15)/15,IF(AND(Inputs!$B$38&lt;&gt;"pvp",Inputs!$B$43&gt;0),MIN(15,Inputs!$B$43)/(Inputs!$B$43),0))),0)))&gt;=100),CHOOSE(ArtifactsInput!$N$42+1,40,48,56,64,72,80),0))))/100)*((1+(((C1652=TRUE)*F1652*5/7)+((C1659=TRUE)*(F1659-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1649)</f>
        <v/>
      </c>
      <c r="L1649">
        <f>K1649*(MIN(Inputs!$B$22+((C1657=TRUE)*(F1657-Calc!F22)),(Inputs!$B$23+0+(IF(ArtifactsInput!$M$15,CHOOSE(ArtifactsInput!$N$15+1,25,30,35,40,45,50)/100*(Inputs!$B$11-Inputs!$B$11),0))))/100+(Inputs!$B$23+0+(IF(ArtifactsInput!$M$15,CHOOSE(ArtifactsInput!$N$15+1,25,30,35,40,45,50)/100*(Inputs!$B$11-Inputs!$B$11),0)))/100)/2</f>
        <v/>
      </c>
      <c r="M1649">
        <f>L1649*(1+(Inputs!$B$10+((C1660=TRUE)*(F1660-Calc!F25))+B1671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49">
        <f>L1649*(1-MIN((Inputs!$B$9+((C1654=TRUE)*(F1654-Calc!F19))+B1666+(ArtifactsInput!$M$24-ArtifactsInput!$M$24)*CHOOSE(ArtifactsInput!$N$24+1,10,12,14,16,18,20)+(IF(AND(Inputs!$B$38&lt;&gt;"pvp",Inputs!$B$43=0),1,IF(IF(Inputs!$B$38="pvp",15,Inputs!$B$43)-(B1673)&lt;=0,1,MAX(0,IF(Inputs!$B$38="pvp",15,Inputs!$B$43)-MAX(5,B1673))/(IF(Inputs!$B$38="pvp",15,Inputs!$B$43)-(B1673))))*IF(AND(ArtifactsInput!$M$42,((Inputs!$B$9+((C1654=TRUE)*(F1654-Calc!F19))+B1666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1649*(MIN((Inputs!$B$9+((C1654=TRUE)*(F1654-Calc!F19))+B1666+(ArtifactsInput!$M$24-ArtifactsInput!$M$24)*CHOOSE(ArtifactsInput!$N$24+1,10,12,14,16,18,20)+(IF(AND(Inputs!$B$38&lt;&gt;"pvp",Inputs!$B$43=0),1,IF(IF(Inputs!$B$38="pvp",15,Inputs!$B$43)-(B1673)&lt;=0,1,MAX(0,IF(Inputs!$B$38="pvp",15,Inputs!$B$43)-MAX(5,B1673))/(IF(Inputs!$B$38="pvp",15,Inputs!$B$43)-(B1673))))*IF(AND(ArtifactsInput!$M$42,((Inputs!$B$9+((C1654=TRUE)*(F1654-Calc!F19))+B1666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49">
        <f>(1-Summary!$B$11)*T1649+Summary!$B$11*V1649</f>
        <v/>
      </c>
      <c r="P1649">
        <f>IF(B1676=0,0,O1649/B1676)</f>
        <v/>
      </c>
      <c r="Q1649" t="n">
        <v>0</v>
      </c>
      <c r="R1649" t="n">
        <v>0</v>
      </c>
      <c r="S1649">
        <f>IFERROR(O1649/N1649,0)</f>
        <v/>
      </c>
      <c r="T1649">
        <f>IF(C1649,((H1649*(B1670+IF(AND(Inputs!$B$38&lt;&gt;"pvp",Inputs!$B$43&gt;0),((Skills!G8*((R1643-1)*IF(Skills!H8&gt;0,INT(Skills!I8/Skills!H8+0.000000001),1)+IF(Skills!H8&gt;0,INT(MIN(Skills!I8,MAX(0,MAX(0,Inputs!$B$43-B1673)-((R1643-1)*((IF(Inputs!$B$38="pvp",15,MAX(0.1,Skills!D8-IF(TRUE=TRUE,Inputs!$B$32,0)))*(1-IF(AND(ArtifactsInput!$M$27,Inputs!$B$4="Chapter Hunt"),CHOOSE(ArtifactsInput!$N$27+1,20,24,28,32,36,40),0)/100))/B1677))))/Skills!H8+0.000000001),1)))/Inputs!$B$43),G1643*Q1643)+IF(AND(Inputs!$B$38&lt;&gt;"pvp",Inputs!$B$43&gt;0),((Skills!G11*((R1646-1)*IF(Skills!H11&gt;0,INT(Skills!I11/Skills!H11+0.000000001),1)+IF(Skills!H11&gt;0,INT(MIN(Skills!I11,MAX(0,MAX(0,Inputs!$B$43-B1673)-((R1646-1)*((IF(Inputs!$B$38="pvp",15,MAX(0.1,Skills!D11-IF(TRUE=TRUE,Inputs!$B$32,0)))*(1-IF(AND(ArtifactsInput!$M$27,Inputs!$B$4="Chapter Hunt"),CHOOSE(ArtifactsInput!$N$27+1,20,24,28,32,36,40),0)/100))/B1677))))/Skills!H11+0.000000001),1)))/Inputs!$B$43),G1646*Q1646)))/(1+Skills!H14*H1649*(B1670+IF(AND(Inputs!$B$38&lt;&gt;"pvp",Inputs!$B$43&gt;0),((Skills!G8*((R1643-1)*IF(Skills!H8&gt;0,INT(Skills!I8/Skills!H8+0.000000001),1)+IF(Skills!H8&gt;0,INT(MIN(Skills!I8,MAX(0,MAX(0,Inputs!$B$43-B1673)-((R1643-1)*((IF(Inputs!$B$38="pvp",15,MAX(0.1,Skills!D8-IF(TRUE=TRUE,Inputs!$B$32,0)))*(1-IF(AND(ArtifactsInput!$M$27,Inputs!$B$4="Chapter Hunt"),CHOOSE(ArtifactsInput!$N$27+1,20,24,28,32,36,40),0)/100))/B1677))))/Skills!H8+0.000000001),1)))/Inputs!$B$43),G1643*Q1643)+IF(AND(Inputs!$B$38&lt;&gt;"pvp",Inputs!$B$43&gt;0),((Skills!G11*((R1646-1)*IF(Skills!H11&gt;0,INT(Skills!I11/Skills!H11+0.000000001),1)+IF(Skills!H11&gt;0,INT(MIN(Skills!I11,MAX(0,MAX(0,Inputs!$B$43-B1673)-((R1646-1)*((IF(Inputs!$B$38="pvp",15,MAX(0.1,Skills!D11-IF(TRUE=TRUE,Inputs!$B$32,0)))*(1-IF(AND(ArtifactsInput!$M$27,Inputs!$B$4="Chapter Hunt"),CHOOSE(ArtifactsInput!$N$27+1,20,24,28,32,36,40),0)/100))/B1677))))/Skills!H11+0.000000001),1)))/Inputs!$B$43),G1646*Q1646)))*N1649)*IF(Inputs!$B$38="pvp",1,1+(Inputs!$B$20+0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Hunt"),CHOOSE(ArtifactsInput!$N$35+1,15,18,21,24,27,30)*(1-EXP(-(0.2*B1668)*5)),0)+IF(AND(ArtifactsInput!$M$22,Inputs!$B$4&lt;&gt;"Chapter Hunt"),CHOOSE(ArtifactsInput!$N$22+1,10,12,14,16,18,20)*((0*(((0.15*B1668*5))^0/1)+1*(((0.15*B1668*5))^1/1)+2*(((0.15*B1668*5))^2/2)+3*(((0.15*B1668*5))^3/6)+4*(((0.15*B1668*5))^4/24)+5*(((0.15*B1668*5))^5/120))/((((0.15*B1668*5))^0/1)+(((0.15*B1668*5))^1/1)+(((0.15*B1668*5))^2/2)+(((0.15*B1668*5))^3/6)+(((0.15*B1668*5))^4/24)+(((0.15*B1668*5))^5/120))),0))+IF(Inputs!$B$3&gt;=54,9*(C1638=TRUE)*MIN(1,8*(1+Inputs!$B$34/100)*Q1638)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1649*(1-MIN(100,(Inputs!$B$9+((C1654=TRUE)*(F1654-Calc!F19))+B1666+(ArtifactsInput!$M$24-ArtifactsInput!$M$24)*CHOOSE(ArtifactsInput!$N$24+1,10,12,14,16,18,20)+(IF(AND(Inputs!$B$38&lt;&gt;"pvp",Inputs!$B$43=0),1,IF(IF(Inputs!$B$38="pvp",15,Inputs!$B$43)-(B1673)&lt;=0,1,MAX(0,IF(Inputs!$B$38="pvp",15,Inputs!$B$43)-MAX(5,B1673))/(IF(Inputs!$B$38="pvp",15,Inputs!$B$43)-(B1673))))*IF(AND(ArtifactsInput!$M$42,((Inputs!$B$9+((C1654=TRUE)*(F1654-Calc!F19))+B1666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1649*(MIN(100,(Inputs!$B$9+((C1654=TRUE)*(F1654-Calc!F19))+B1666+(ArtifactsInput!$M$24-ArtifactsInput!$M$24)*CHOOSE(ArtifactsInput!$N$24+1,10,12,14,16,18,20)+(IF(AND(Inputs!$B$38&lt;&gt;"pvp",Inputs!$B$43=0),1,IF(IF(Inputs!$B$38="pvp",15,Inputs!$B$43)-(B1673)&lt;=0,1,MAX(0,IF(Inputs!$B$38="pvp",15,Inputs!$B$43)-MAX(5,B1673))/(IF(Inputs!$B$38="pvp",15,Inputs!$B$43)-(B1673))))*IF(AND(ArtifactsInput!$M$42,((Inputs!$B$9+((C1654=TRUE)*(F1654-Calc!F19))+B1666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1649*(1-MIN(100,(Inputs!$B$9+((C1654=TRUE)*(F1654-Calc!F19))+B1666+(ArtifactsInput!$M$24-ArtifactsInput!$M$24)*CHOOSE(ArtifactsInput!$N$24+1,10,12,14,16,18,20)+(IF(AND(Inputs!$B$38&lt;&gt;"pvp",Inputs!$B$43=0),1,IF(IF(Inputs!$B$38="pvp",15,Inputs!$B$43)-(B1673)&lt;=0,1,MAX(0,IF(Inputs!$B$38="pvp",15,Inputs!$B$43)-MAX(5,B1673))/(IF(Inputs!$B$38="pvp",15,Inputs!$B$43)-(B1673))))*IF(AND(ArtifactsInput!$M$42,((Inputs!$B$9+((C1654=TRUE)*(F1654-Calc!F19))+B1666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1649*(MIN(100,(Inputs!$B$9+((C1654=TRUE)*(F1654-Calc!F19))+B1666+(ArtifactsInput!$M$24-ArtifactsInput!$M$24)*CHOOSE(ArtifactsInput!$N$24+1,10,12,14,16,18,20)+(IF(AND(Inputs!$B$38&lt;&gt;"pvp",Inputs!$B$43=0),1,IF(IF(Inputs!$B$38="pvp",15,Inputs!$B$43)-(B1673)&lt;=0,1,MAX(0,IF(Inputs!$B$38="pvp",15,Inputs!$B$43)-MAX(5,B1673))/(IF(Inputs!$B$38="pvp",15,Inputs!$B$43)-(B1673))))*IF(AND(ArtifactsInput!$M$42,((Inputs!$B$9+((C1654=TRUE)*(F1654-Calc!F19))+B1666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649">
        <f>IF(C1649,((H1649*(B1670+IF(AND(Inputs!$B$38&lt;&gt;"pvp",Inputs!$B$43&gt;0),((Skills!G8*((R1643-1)*IF(Skills!H8&gt;0,INT(Skills!I8/Skills!H8+0.000000001),1)+IF(Skills!H8&gt;0,INT(MIN(Skills!I8,MAX(0,MAX(0,Inputs!$B$43-B1673)-((R1643-1)*((IF(Inputs!$B$38="pvp",15,MAX(0.1,Skills!D8-IF(TRUE=TRUE,Inputs!$B$32,0)))*(1-IF(AND(ArtifactsInput!$M$27,Inputs!$B$4="Chapter Hunt"),CHOOSE(ArtifactsInput!$N$27+1,20,24,28,32,36,40),0)/100))/B1677))))/Skills!H8+0.000000001),1)))/Inputs!$B$43),G1643*Q1643)+IF(AND(Inputs!$B$38&lt;&gt;"pvp",Inputs!$B$43&gt;0),((Skills!G11*((R1646-1)*IF(Skills!H11&gt;0,INT(Skills!I11/Skills!H11+0.000000001),1)+IF(Skills!H11&gt;0,INT(MIN(Skills!I11,MAX(0,MAX(0,Inputs!$B$43-B1673)-((R1646-1)*((IF(Inputs!$B$38="pvp",15,MAX(0.1,Skills!D11-IF(TRUE=TRUE,Inputs!$B$32,0)))*(1-IF(AND(ArtifactsInput!$M$27,Inputs!$B$4="Chapter Hunt"),CHOOSE(ArtifactsInput!$N$27+1,20,24,28,32,36,40),0)/100))/B1677))))/Skills!H11+0.000000001),1)))/Inputs!$B$43),G1646*Q1646)))/(1+Skills!H14*H1649*(B1670+IF(AND(Inputs!$B$38&lt;&gt;"pvp",Inputs!$B$43&gt;0),((Skills!G8*((R1643-1)*IF(Skills!H8&gt;0,INT(Skills!I8/Skills!H8+0.000000001),1)+IF(Skills!H8&gt;0,INT(MIN(Skills!I8,MAX(0,MAX(0,Inputs!$B$43-B1673)-((R1643-1)*((IF(Inputs!$B$38="pvp",15,MAX(0.1,Skills!D8-IF(TRUE=TRUE,Inputs!$B$32,0)))*(1-IF(AND(ArtifactsInput!$M$27,Inputs!$B$4="Chapter Hunt"),CHOOSE(ArtifactsInput!$N$27+1,20,24,28,32,36,40),0)/100))/B1677))))/Skills!H8+0.000000001),1)))/Inputs!$B$43),G1643*Q1643)+IF(AND(Inputs!$B$38&lt;&gt;"pvp",Inputs!$B$43&gt;0),((Skills!G11*((R1646-1)*IF(Skills!H11&gt;0,INT(Skills!I11/Skills!H11+0.000000001),1)+IF(Skills!H11&gt;0,INT(MIN(Skills!I11,MAX(0,MAX(0,Inputs!$B$43-B1673)-((R1646-1)*((IF(Inputs!$B$38="pvp",15,MAX(0.1,Skills!D11-IF(TRUE=TRUE,Inputs!$B$32,0)))*(1-IF(AND(ArtifactsInput!$M$27,Inputs!$B$4="Chapter Hunt"),CHOOSE(ArtifactsInput!$N$27+1,20,24,28,32,36,40),0)/100))/B1677))))/Skills!H11+0.000000001),1)))/Inputs!$B$43),G1646*Q1646)))*N1649)*IF(Inputs!$B$38="pvp",1,(1+(Inputs!$B$21+Skills!Q14+(IF(ArtifactsInput!$M$33,CHOOSE(ArtifactsInput!$N$33+1,30,36,42,48,54,60),0))+(IF(AND(ArtifactsInput!$M$35,Inputs!$B$4&lt;&gt;"Chapter Hunt"),CHOOSE(ArtifactsInput!$N$35+1,15,18,21,24,27,30)*(1-EXP(-(0.2*B1668)*5)),0)+IF(AND(ArtifactsInput!$M$22,Inputs!$B$4&lt;&gt;"Chapter Hunt"),CHOOSE(ArtifactsInput!$N$22+1,10,12,14,16,18,20)*((0*(((0.15*B1668*5))^0/1)+1*(((0.15*B1668*5))^1/1)+2*(((0.15*B1668*5))^2/2)+3*(((0.15*B1668*5))^3/6)+4*(((0.15*B1668*5))^4/24)+5*(((0.15*B1668*5))^5/120))/((((0.15*B1668*5))^0/1)+(((0.15*B1668*5))^1/1)+(((0.15*B1668*5))^2/2)+(((0.15*B1668*5))^3/6)+(((0.15*B1668*5))^4/24)+(((0.15*B1668*5))^5/120))),0))+IF(Inputs!$B$3&gt;=54,9*(C1638=TRUE)*MIN(1,8*(1+Inputs!$B$34/100)*Q1638),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50">
      <c r="A1650">
        <f>Skills!A15</f>
        <v/>
      </c>
      <c r="B1650">
        <f>Skills!B15</f>
        <v/>
      </c>
      <c r="C1650">
        <f>Inputs!$B$3&gt;=100</f>
        <v/>
      </c>
      <c r="D1650">
        <f>IF(Skills!C15=1,60+Inputs!$B$25+Inputs!$B$29,IF(Skills!C15=2,90+Inputs!$B$26+Inputs!$B$29,IF(Skills!C15=3,120+Inputs!$B$27+Inputs!$B$29,MAX(0,(Inputs!$B$3-100)*3)+Inputs!$B$28+Inputs!$B$29)))</f>
        <v/>
      </c>
      <c r="E1650">
        <f>INDEX(FactorTable!$B$2:$Y$301, MATCH(ROUND(MIN(300,MAX(1,D1650)),0), FactorTable!$A$2:$A$301,0), Skills!M15+1)</f>
        <v/>
      </c>
      <c r="F1650">
        <f>IF(Skills!N15=TRUE,(Skills!L15/10)*(E1650/1000),Skills!L15/10)+Skills!O15</f>
        <v/>
      </c>
      <c r="G1650" t="inlineStr"/>
      <c r="H1650" t="inlineStr"/>
      <c r="I1650" t="inlineStr">
        <is>
          <t>1</t>
        </is>
      </c>
      <c r="J1650" t="inlineStr"/>
      <c r="K1650" t="inlineStr"/>
      <c r="L1650" t="inlineStr"/>
      <c r="M1650" t="inlineStr"/>
      <c r="N1650" t="inlineStr"/>
      <c r="O1650" t="inlineStr"/>
      <c r="P1650" t="inlineStr"/>
      <c r="Q1650" t="inlineStr"/>
      <c r="R1650" t="inlineStr"/>
      <c r="S1650" t="inlineStr"/>
    </row>
    <row r="1651">
      <c r="A1651">
        <f>Skills!A16</f>
        <v/>
      </c>
      <c r="B1651">
        <f>Skills!B16</f>
        <v/>
      </c>
      <c r="C1651">
        <f>Inputs!$B$3&gt;=107</f>
        <v/>
      </c>
      <c r="D1651">
        <f>IF(Skills!C16=1,60+Inputs!$B$25+Inputs!$B$29,IF(Skills!C16=2,90+Inputs!$B$26+Inputs!$B$29,IF(Skills!C16=3,120+Inputs!$B$27+Inputs!$B$29,MAX(0,(Inputs!$B$3-100)*3)+Inputs!$B$28+Inputs!$B$29)))</f>
        <v/>
      </c>
      <c r="E1651">
        <f>INDEX(FactorTable!$B$2:$Y$301, MATCH(ROUND(MIN(300,MAX(1,D1651)),0), FactorTable!$A$2:$A$301,0), Skills!M16+1)</f>
        <v/>
      </c>
      <c r="F1651">
        <f>IF(Skills!N16=TRUE,(Skills!L16/10)*(E1651/1000),Skills!L16/10)+Skills!O16</f>
        <v/>
      </c>
      <c r="G1651" t="inlineStr"/>
      <c r="H1651" t="inlineStr"/>
      <c r="I1651" t="inlineStr">
        <is>
          <t>1</t>
        </is>
      </c>
      <c r="J1651" t="inlineStr"/>
      <c r="K1651" t="inlineStr"/>
      <c r="L1651" t="inlineStr"/>
      <c r="M1651" t="inlineStr"/>
      <c r="N1651" t="inlineStr"/>
      <c r="O1651" t="inlineStr"/>
      <c r="P1651" t="inlineStr"/>
      <c r="Q1651" t="inlineStr"/>
      <c r="R1651" t="inlineStr"/>
      <c r="S1651" t="inlineStr"/>
    </row>
    <row r="1652">
      <c r="A1652">
        <f>Skills!A17</f>
        <v/>
      </c>
      <c r="B1652">
        <f>Skills!B17</f>
        <v/>
      </c>
      <c r="C1652">
        <f>Inputs!$B$3&gt;=74</f>
        <v/>
      </c>
      <c r="D1652">
        <f>IF(Skills!C17=1,60+Inputs!$B$25+Inputs!$B$29,IF(Skills!C17=2,90+Inputs!$B$26+Inputs!$B$29,IF(Skills!C17=3,120+Inputs!$B$27+Inputs!$B$29,MAX(0,(Inputs!$B$3-100)*3)+Inputs!$B$28+Inputs!$B$29)))</f>
        <v/>
      </c>
      <c r="E1652">
        <f>INDEX(FactorTable!$B$2:$Y$301, MATCH(ROUND(MIN(300,MAX(1,D1652)),0), FactorTable!$A$2:$A$301,0), Skills!M17+1)</f>
        <v/>
      </c>
      <c r="F1652">
        <f>IF(Skills!N17=TRUE,(Skills!L17/10)*(E1652/1000),Skills!L17/10)+Skills!O17</f>
        <v/>
      </c>
      <c r="G1652">
        <f>Skills!G17*IF(Skills!H17&gt;0,INT(IF(Inputs!$B$38="pvp",MIN(Skills!I17,15),Skills!I17)/Skills!H17+0.000000001),1)</f>
        <v/>
      </c>
      <c r="H1652">
        <f>1-(1-Skills!J17/100)^Skills!K17</f>
        <v/>
      </c>
      <c r="I1652" t="inlineStr">
        <is>
          <t>1</t>
        </is>
      </c>
      <c r="J1652" t="inlineStr"/>
      <c r="K1652" t="inlineStr"/>
      <c r="L1652" t="inlineStr"/>
      <c r="M1652" t="inlineStr"/>
      <c r="N1652" t="inlineStr"/>
      <c r="O1652">
        <f>(1-Summary!$B$11)*T1652+Summary!$B$11*V1652</f>
        <v/>
      </c>
      <c r="P1652">
        <f>IF(B1676=0,0,O1652/B1676)</f>
        <v/>
      </c>
      <c r="Q1652" t="n">
        <v>0</v>
      </c>
      <c r="R1652" t="n">
        <v>0</v>
      </c>
      <c r="S1652">
        <f>IFERROR(O1652/N1652,0)</f>
        <v/>
      </c>
      <c r="T1652" t="n">
        <v>0</v>
      </c>
      <c r="V1652" t="n">
        <v>0</v>
      </c>
    </row>
    <row r="1653">
      <c r="A1653">
        <f>Skills!A18</f>
        <v/>
      </c>
      <c r="B1653">
        <f>Skills!B18</f>
        <v/>
      </c>
      <c r="C1653">
        <f>Inputs!$B$3&gt;=115</f>
        <v/>
      </c>
      <c r="D1653">
        <f>IF(Skills!C18=1,60+Inputs!$B$25+Inputs!$B$29,IF(Skills!C18=2,90+Inputs!$B$26+Inputs!$B$29,IF(Skills!C18=3,120+Inputs!$B$27+Inputs!$B$29,MAX(0,(Inputs!$B$3-100)*3)+Inputs!$B$28+Inputs!$B$29)))</f>
        <v/>
      </c>
      <c r="E1653">
        <f>INDEX(FactorTable!$B$2:$Y$301, MATCH(ROUND(MIN(300,MAX(1,D1653)),0), FactorTable!$A$2:$A$301,0), Skills!M18+1)</f>
        <v/>
      </c>
      <c r="F1653">
        <f>IF(Skills!N18=TRUE,(Skills!L18/10)*(E1653/1000),Skills!L18/10)+Skills!O18</f>
        <v/>
      </c>
      <c r="G1653">
        <f>Skills!G18*IF(Skills!H18&gt;0,INT(IF(Inputs!$B$38="pvp",MIN(Skills!I18,15),Skills!I18)/Skills!H18+0.000000001),1)</f>
        <v/>
      </c>
      <c r="H1653">
        <f>1-(1-Skills!J18/100)^Skills!K18</f>
        <v/>
      </c>
      <c r="I1653" t="inlineStr">
        <is>
          <t>1</t>
        </is>
      </c>
      <c r="J1653" t="inlineStr"/>
      <c r="K1653" t="inlineStr"/>
      <c r="L1653" t="inlineStr"/>
      <c r="M1653" t="inlineStr"/>
      <c r="N1653" t="inlineStr"/>
      <c r="O1653">
        <f>(1-Summary!$B$11)*T1653+Summary!$B$11*V1653</f>
        <v/>
      </c>
      <c r="P1653">
        <f>IF(B1676=0,0,O1653/B1676)</f>
        <v/>
      </c>
      <c r="Q1653">
        <f>IFERROR(1/(IF(Inputs!$B$38="pvp",15,MAX(0.1,Skills!D18-IF(TRUE=TRUE,Inputs!$B$32,0)))*(1-IF(AND(ArtifactsInput!$M$27,Inputs!$B$4="Chapter Hunt"),CHOOSE(ArtifactsInput!$N$27+1,20,24,28,32,36,40),0)/100)),0)</f>
        <v/>
      </c>
      <c r="R1653">
        <f>IF(AND(Inputs!$B$38&lt;&gt;"pvp",Inputs!$B$43&gt;0),IF(Inputs!$B$43&lt;=0,0,(INT(Inputs!$B$43/(IF(Inputs!$B$38="pvp",15,MAX(0.1,Skills!D18-IF(TRUE=TRUE,Inputs!$B$32,0)))*(1-IF(AND(ArtifactsInput!$M$27,Inputs!$B$4="Chapter Hunt"),CHOOSE(ArtifactsInput!$N$27+1,20,24,28,32,36,40),0)/100)))+1)),0)</f>
        <v/>
      </c>
      <c r="S1653">
        <f>IFERROR(O1653/N1653,0)</f>
        <v/>
      </c>
      <c r="T1653" t="n">
        <v>0</v>
      </c>
      <c r="V1653" t="n">
        <v>0</v>
      </c>
    </row>
    <row r="1654">
      <c r="A1654">
        <f>Skills!A19</f>
        <v/>
      </c>
      <c r="B1654">
        <f>Skills!B19</f>
        <v/>
      </c>
      <c r="C1654">
        <f>Inputs!$B$3&gt;=10</f>
        <v/>
      </c>
      <c r="D1654">
        <f>IF(Skills!C19=1,60+Inputs!$B$25+Inputs!$B$29,IF(Skills!C19=2,90+Inputs!$B$26+Inputs!$B$29,IF(Skills!C19=3,120+Inputs!$B$27+Inputs!$B$29,MAX(0,(Inputs!$B$3-100)*3)+Inputs!$B$28+Inputs!$B$29)))</f>
        <v/>
      </c>
      <c r="E1654">
        <f>INDEX(FactorTable!$B$2:$Y$301, MATCH(ROUND(MIN(300,MAX(1,D1654)),0), FactorTable!$A$2:$A$301,0), Skills!M19+1)</f>
        <v/>
      </c>
      <c r="F1654">
        <f>IF(Skills!N19=TRUE,(Skills!L19/10)*(E1654/1000),Skills!L19/10)+Skills!O19</f>
        <v/>
      </c>
      <c r="G1654">
        <f>Skills!G19*IF(Skills!H19&gt;0,INT(IF(Inputs!$B$38="pvp",MIN(Skills!I19,15),Skills!I19)/Skills!H19+0.000000001),1)</f>
        <v/>
      </c>
      <c r="H1654">
        <f>1-(1-Skills!J19/100)^Skills!K19</f>
        <v/>
      </c>
      <c r="I1654" t="inlineStr">
        <is>
          <t>1</t>
        </is>
      </c>
      <c r="J1654" t="inlineStr"/>
      <c r="K1654" t="inlineStr"/>
      <c r="L1654" t="inlineStr"/>
      <c r="M1654" t="inlineStr"/>
      <c r="N1654" t="inlineStr"/>
      <c r="O1654">
        <f>(1-Summary!$B$11)*T1654+Summary!$B$11*V1654</f>
        <v/>
      </c>
      <c r="P1654">
        <f>IF(B1676=0,0,O1654/B1676)</f>
        <v/>
      </c>
      <c r="Q1654" t="n">
        <v>0</v>
      </c>
      <c r="R1654" t="n">
        <v>0</v>
      </c>
      <c r="S1654">
        <f>IFERROR(O1654/N1654,0)</f>
        <v/>
      </c>
      <c r="T1654" t="n">
        <v>0</v>
      </c>
      <c r="V1654" t="n">
        <v>0</v>
      </c>
    </row>
    <row r="1655">
      <c r="A1655">
        <f>Skills!A20</f>
        <v/>
      </c>
      <c r="B1655">
        <f>Skills!B20</f>
        <v/>
      </c>
      <c r="C1655">
        <f>Inputs!$B$3&gt;=15</f>
        <v/>
      </c>
      <c r="D1655">
        <f>IF(Skills!C20=1,60+Inputs!$B$25+Inputs!$B$29,IF(Skills!C20=2,90+Inputs!$B$26+Inputs!$B$29,IF(Skills!C20=3,120+Inputs!$B$27+Inputs!$B$29,MAX(0,(Inputs!$B$3-100)*3)+Inputs!$B$28+Inputs!$B$29)))</f>
        <v/>
      </c>
      <c r="E1655">
        <f>INDEX(FactorTable!$B$2:$Y$301, MATCH(ROUND(MIN(300,MAX(1,D1655)),0), FactorTable!$A$2:$A$301,0), Skills!M20+1)</f>
        <v/>
      </c>
      <c r="F1655">
        <f>IF(Skills!N20=TRUE,(Skills!L20/10)*(E1655/1000),Skills!L20/10)+Skills!O20</f>
        <v/>
      </c>
      <c r="G1655">
        <f>Skills!G20*IF(Skills!H20&gt;0,INT(IF(Inputs!$B$38="pvp",MIN(Skills!I20,15),Skills!I20)/Skills!H20+0.000000001),1)</f>
        <v/>
      </c>
      <c r="H1655">
        <f>1-(1-Skills!J20/100)^Skills!K20</f>
        <v/>
      </c>
      <c r="I1655" t="inlineStr">
        <is>
          <t>1</t>
        </is>
      </c>
      <c r="J1655" t="inlineStr"/>
      <c r="K1655" t="inlineStr"/>
      <c r="L1655" t="inlineStr"/>
      <c r="M1655" t="inlineStr"/>
      <c r="N1655" t="inlineStr"/>
      <c r="O1655">
        <f>(1-Summary!$B$11)*T1655+Summary!$B$11*V1655</f>
        <v/>
      </c>
      <c r="P1655">
        <f>IF(B1676=0,0,O1655/B1676)</f>
        <v/>
      </c>
      <c r="Q1655" t="n">
        <v>0</v>
      </c>
      <c r="R1655" t="n">
        <v>0</v>
      </c>
      <c r="S1655">
        <f>IFERROR(O1655/N1655,0)</f>
        <v/>
      </c>
      <c r="T1655" t="n">
        <v>0</v>
      </c>
      <c r="V1655" t="n">
        <v>0</v>
      </c>
    </row>
    <row r="1656">
      <c r="A1656">
        <f>Skills!A21</f>
        <v/>
      </c>
      <c r="B1656">
        <f>Skills!B21</f>
        <v/>
      </c>
      <c r="C1656">
        <f>Inputs!$B$3&gt;=40</f>
        <v/>
      </c>
      <c r="D1656">
        <f>IF(Skills!C21=1,60+Inputs!$B$25+Inputs!$B$29,IF(Skills!C21=2,90+Inputs!$B$26+Inputs!$B$29,IF(Skills!C21=3,120+Inputs!$B$27+Inputs!$B$29,MAX(0,(Inputs!$B$3-100)*3)+Inputs!$B$28+Inputs!$B$29)))</f>
        <v/>
      </c>
      <c r="E1656">
        <f>INDEX(FactorTable!$B$2:$Y$301, MATCH(ROUND(MIN(300,MAX(1,D1656)),0), FactorTable!$A$2:$A$301,0), Skills!M21+1)</f>
        <v/>
      </c>
      <c r="F1656">
        <f>IF(Skills!N21=TRUE,(Skills!L21/10)*(E1656/1000),Skills!L21/10)+Skills!O21</f>
        <v/>
      </c>
      <c r="G1656">
        <f>Skills!G21*IF(Skills!H21&gt;0,INT(IF(Inputs!$B$38="pvp",MIN(Skills!I21,15),Skills!I21)/Skills!H21+0.000000001),1)</f>
        <v/>
      </c>
      <c r="H1656">
        <f>1-(1-Skills!J21/100)^Skills!K21</f>
        <v/>
      </c>
      <c r="I1656" t="inlineStr">
        <is>
          <t>1</t>
        </is>
      </c>
      <c r="J1656" t="inlineStr"/>
      <c r="K1656" t="inlineStr"/>
      <c r="L1656" t="inlineStr"/>
      <c r="M1656" t="inlineStr"/>
      <c r="N1656" t="inlineStr"/>
      <c r="O1656">
        <f>(1-Summary!$B$11)*T1656+Summary!$B$11*V1656</f>
        <v/>
      </c>
      <c r="P1656">
        <f>IF(B1676=0,0,O1656/B1676)</f>
        <v/>
      </c>
      <c r="Q1656" t="n">
        <v>0</v>
      </c>
      <c r="R1656" t="n">
        <v>0</v>
      </c>
      <c r="S1656">
        <f>IFERROR(O1656/N1656,0)</f>
        <v/>
      </c>
      <c r="T1656" t="n">
        <v>0</v>
      </c>
      <c r="V1656" t="n">
        <v>0</v>
      </c>
    </row>
    <row r="1657">
      <c r="A1657">
        <f>Skills!A22</f>
        <v/>
      </c>
      <c r="B1657">
        <f>Skills!B22</f>
        <v/>
      </c>
      <c r="C1657">
        <f>Inputs!$B$3&gt;=43</f>
        <v/>
      </c>
      <c r="D1657">
        <f>IF(Skills!C22=1,60+Inputs!$B$25+Inputs!$B$29,IF(Skills!C22=2,90+Inputs!$B$26+Inputs!$B$29,IF(Skills!C22=3,120+Inputs!$B$27+Inputs!$B$29,MAX(0,(Inputs!$B$3-100)*3)+Inputs!$B$28+Inputs!$B$29)))</f>
        <v/>
      </c>
      <c r="E1657">
        <f>INDEX(FactorTable!$B$2:$Y$301, MATCH(ROUND(MIN(300,MAX(1,D1657)),0), FactorTable!$A$2:$A$301,0), Skills!M22+1)</f>
        <v/>
      </c>
      <c r="F1657">
        <f>IF(Skills!N22=TRUE,(Skills!L22/10)*(E1657/1000),Skills!L22/10)+Skills!O22</f>
        <v/>
      </c>
      <c r="G1657">
        <f>Skills!G22*IF(Skills!H22&gt;0,INT(IF(Inputs!$B$38="pvp",MIN(Skills!I22,15),Skills!I22)/Skills!H22+0.000000001),1)</f>
        <v/>
      </c>
      <c r="H1657">
        <f>1-(1-Skills!J22/100)^Skills!K22</f>
        <v/>
      </c>
      <c r="I1657" t="inlineStr">
        <is>
          <t>1</t>
        </is>
      </c>
      <c r="J1657" t="inlineStr"/>
      <c r="K1657" t="inlineStr"/>
      <c r="L1657" t="inlineStr"/>
      <c r="M1657" t="inlineStr"/>
      <c r="N1657" t="inlineStr"/>
      <c r="O1657">
        <f>(1-Summary!$B$11)*T1657+Summary!$B$11*V1657</f>
        <v/>
      </c>
      <c r="P1657">
        <f>IF(B1676=0,0,O1657/B1676)</f>
        <v/>
      </c>
      <c r="Q1657" t="n">
        <v>0</v>
      </c>
      <c r="R1657" t="n">
        <v>0</v>
      </c>
      <c r="S1657">
        <f>IFERROR(O1657/N1657,0)</f>
        <v/>
      </c>
      <c r="T1657" t="n">
        <v>0</v>
      </c>
      <c r="V1657" t="n">
        <v>0</v>
      </c>
    </row>
    <row r="1658">
      <c r="A1658">
        <f>Skills!A23</f>
        <v/>
      </c>
      <c r="B1658">
        <f>Skills!B23</f>
        <v/>
      </c>
      <c r="C1658">
        <f>Inputs!$B$3&gt;=38</f>
        <v/>
      </c>
      <c r="D1658">
        <f>IF(Skills!C23=1,60+Inputs!$B$25+Inputs!$B$29,IF(Skills!C23=2,90+Inputs!$B$26+Inputs!$B$29,IF(Skills!C23=3,120+Inputs!$B$27+Inputs!$B$29,MAX(0,(Inputs!$B$3-100)*3)+Inputs!$B$28+Inputs!$B$29)))</f>
        <v/>
      </c>
      <c r="E1658">
        <f>INDEX(FactorTable!$B$2:$Y$301, MATCH(ROUND(MIN(300,MAX(1,D1658)),0), FactorTable!$A$2:$A$301,0), Skills!M23+1)</f>
        <v/>
      </c>
      <c r="F1658">
        <f>IF(Skills!N23=TRUE,(Skills!L23/10)*(E1658/1000),Skills!L23/10)+Skills!O23</f>
        <v/>
      </c>
      <c r="G1658">
        <f>Skills!G23*IF(Skills!H23&gt;0,INT(IF(Inputs!$B$38="pvp",MIN(Skills!I23,15),Skills!I23)/Skills!H23+0.000000001),1)</f>
        <v/>
      </c>
      <c r="H1658">
        <f>1-(1-Skills!J23/100)^Skills!K23</f>
        <v/>
      </c>
      <c r="I1658" t="inlineStr">
        <is>
          <t>1</t>
        </is>
      </c>
      <c r="J1658" t="inlineStr"/>
      <c r="K1658" t="inlineStr"/>
      <c r="L1658" t="inlineStr"/>
      <c r="M1658" t="inlineStr"/>
      <c r="N1658" t="inlineStr"/>
      <c r="O1658">
        <f>(1-Summary!$B$11)*T1658+Summary!$B$11*V1658</f>
        <v/>
      </c>
      <c r="P1658">
        <f>IF(B1676=0,0,O1658/B1676)</f>
        <v/>
      </c>
      <c r="Q1658" t="n">
        <v>0</v>
      </c>
      <c r="R1658" t="n">
        <v>0</v>
      </c>
      <c r="S1658">
        <f>IFERROR(O1658/N1658,0)</f>
        <v/>
      </c>
      <c r="T1658" t="n">
        <v>0</v>
      </c>
      <c r="V1658" t="n">
        <v>0</v>
      </c>
    </row>
    <row r="1659">
      <c r="A1659">
        <f>Skills!A24</f>
        <v/>
      </c>
      <c r="B1659">
        <f>Skills!B24</f>
        <v/>
      </c>
      <c r="C1659">
        <f>Inputs!$B$3&gt;=45</f>
        <v/>
      </c>
      <c r="D1659">
        <f>IF(Skills!C24=1,60+Inputs!$B$25+Inputs!$B$29,IF(Skills!C24=2,90+Inputs!$B$26+Inputs!$B$29,IF(Skills!C24=3,120+Inputs!$B$27+Inputs!$B$29,MAX(0,(Inputs!$B$3-100)*3)+Inputs!$B$28+Inputs!$B$29)))</f>
        <v/>
      </c>
      <c r="E1659">
        <f>INDEX(FactorTable!$B$2:$Y$301, MATCH(ROUND(MIN(300,MAX(1,D1659)),0), FactorTable!$A$2:$A$301,0), Skills!M24+1)</f>
        <v/>
      </c>
      <c r="F1659">
        <f>IF(Skills!N24=TRUE,(Skills!L24/10)*(E1659/1000),Skills!L24/10)+Skills!O24</f>
        <v/>
      </c>
      <c r="G1659">
        <f>Skills!G24*IF(Skills!H24&gt;0,INT(IF(Inputs!$B$38="pvp",MIN(Skills!I24,15),Skills!I24)/Skills!H24+0.000000001),1)</f>
        <v/>
      </c>
      <c r="H1659">
        <f>1-(1-Skills!J24/100)^Skills!K24</f>
        <v/>
      </c>
      <c r="I1659" t="inlineStr">
        <is>
          <t>1</t>
        </is>
      </c>
      <c r="J1659" t="inlineStr"/>
      <c r="K1659" t="inlineStr"/>
      <c r="L1659" t="inlineStr"/>
      <c r="M1659" t="inlineStr"/>
      <c r="N1659" t="inlineStr"/>
      <c r="O1659">
        <f>(1-Summary!$B$11)*T1659+Summary!$B$11*V1659</f>
        <v/>
      </c>
      <c r="P1659">
        <f>IF(B1676=0,0,O1659/B1676)</f>
        <v/>
      </c>
      <c r="Q1659" t="n">
        <v>0</v>
      </c>
      <c r="R1659" t="n">
        <v>0</v>
      </c>
      <c r="S1659">
        <f>IFERROR(O1659/N1659,0)</f>
        <v/>
      </c>
      <c r="T1659" t="n">
        <v>0</v>
      </c>
      <c r="V1659" t="n">
        <v>0</v>
      </c>
    </row>
    <row r="1660">
      <c r="A1660">
        <f>Skills!A25</f>
        <v/>
      </c>
      <c r="B1660">
        <f>Skills!B25</f>
        <v/>
      </c>
      <c r="C1660">
        <f>Inputs!$B$3&gt;=72</f>
        <v/>
      </c>
      <c r="D1660">
        <f>IF(Skills!C25=1,60+Inputs!$B$25+Inputs!$B$29,IF(Skills!C25=2,90+Inputs!$B$26+Inputs!$B$29,IF(Skills!C25=3,120+Inputs!$B$27+Inputs!$B$29,MAX(0,(Inputs!$B$3-100)*3)+Inputs!$B$28+Inputs!$B$29)))</f>
        <v/>
      </c>
      <c r="E1660">
        <f>INDEX(FactorTable!$B$2:$Y$301, MATCH(ROUND(MIN(300,MAX(1,D1660)),0), FactorTable!$A$2:$A$301,0), Skills!M25+1)</f>
        <v/>
      </c>
      <c r="F1660">
        <f>IF(Skills!N25=TRUE,(Skills!L25/10)*(E1660/1000),Skills!L25/10)+Skills!O25</f>
        <v/>
      </c>
      <c r="G1660">
        <f>Skills!G25*IF(Skills!H25&gt;0,INT(IF(Inputs!$B$38="pvp",MIN(Skills!I25,15),Skills!I25)/Skills!H25+0.000000001),1)</f>
        <v/>
      </c>
      <c r="H1660">
        <f>1-(1-Skills!J25/100)^Skills!K25</f>
        <v/>
      </c>
      <c r="I1660" t="inlineStr">
        <is>
          <t>1</t>
        </is>
      </c>
      <c r="J1660" t="inlineStr"/>
      <c r="K1660" t="inlineStr"/>
      <c r="L1660" t="inlineStr"/>
      <c r="M1660" t="inlineStr"/>
      <c r="N1660" t="inlineStr"/>
      <c r="O1660">
        <f>(1-Summary!$B$11)*T1660+Summary!$B$11*V1660</f>
        <v/>
      </c>
      <c r="P1660">
        <f>IF(B1676=0,0,O1660/B1676)</f>
        <v/>
      </c>
      <c r="Q1660" t="n">
        <v>0</v>
      </c>
      <c r="R1660" t="n">
        <v>0</v>
      </c>
      <c r="S1660">
        <f>IFERROR(O1660/N1660,0)</f>
        <v/>
      </c>
      <c r="T1660" t="n">
        <v>0</v>
      </c>
      <c r="V1660" t="n">
        <v>0</v>
      </c>
    </row>
    <row r="1661">
      <c r="A1661">
        <f>Skills!A26</f>
        <v/>
      </c>
      <c r="B1661">
        <f>Skills!B26</f>
        <v/>
      </c>
      <c r="C1661">
        <f>Inputs!$B$3&gt;=75</f>
        <v/>
      </c>
      <c r="D1661">
        <f>IF(Skills!C26=1,60+Inputs!$B$25+Inputs!$B$29,IF(Skills!C26=2,90+Inputs!$B$26+Inputs!$B$29,IF(Skills!C26=3,120+Inputs!$B$27+Inputs!$B$29,MAX(0,(Inputs!$B$3-100)*3)+Inputs!$B$28+Inputs!$B$29)))</f>
        <v/>
      </c>
      <c r="E1661">
        <f>INDEX(FactorTable!$B$2:$Y$301, MATCH(ROUND(MIN(300,MAX(1,D1661)),0), FactorTable!$A$2:$A$301,0), Skills!M26+1)</f>
        <v/>
      </c>
      <c r="F1661">
        <f>IF(Skills!N26=TRUE,(Skills!L26/10)*(E1661/1000),Skills!L26/10)+Skills!O26</f>
        <v/>
      </c>
      <c r="G1661">
        <f>Skills!G26*IF(Skills!H26&gt;0,INT(IF(Inputs!$B$38="pvp",MIN(Skills!I26,15),Skills!I26)/Skills!H26+0.000000001),1)</f>
        <v/>
      </c>
      <c r="H1661">
        <f>1-(1-Skills!J26/100)^Skills!K26</f>
        <v/>
      </c>
      <c r="I1661" t="inlineStr">
        <is>
          <t>1</t>
        </is>
      </c>
      <c r="J1661" t="inlineStr"/>
      <c r="K1661" t="inlineStr"/>
      <c r="L1661" t="inlineStr"/>
      <c r="M1661" t="inlineStr"/>
      <c r="N1661" t="inlineStr"/>
      <c r="O1661">
        <f>(1-Summary!$B$11)*T1661+Summary!$B$11*V1661</f>
        <v/>
      </c>
      <c r="P1661">
        <f>IF(B1676=0,0,O1661/B1676)</f>
        <v/>
      </c>
      <c r="Q1661" t="n">
        <v>0</v>
      </c>
      <c r="R1661" t="n">
        <v>0</v>
      </c>
      <c r="S1661">
        <f>IFERROR(O1661/N1661,0)</f>
        <v/>
      </c>
      <c r="T1661" t="n">
        <v>0</v>
      </c>
      <c r="V1661" t="n">
        <v>0</v>
      </c>
    </row>
    <row r="1662">
      <c r="A1662">
        <f>Skills!A27</f>
        <v/>
      </c>
      <c r="B1662">
        <f>Skills!B27</f>
        <v/>
      </c>
      <c r="C1662">
        <f>Inputs!$B$3&gt;=125</f>
        <v/>
      </c>
      <c r="D1662">
        <f>IF(Skills!C27=1,60+Inputs!$B$25+Inputs!$B$29,IF(Skills!C27=2,90+Inputs!$B$26+Inputs!$B$29,IF(Skills!C27=3,120+Inputs!$B$27+Inputs!$B$29,MAX(0,(Inputs!$B$3-100)*3)+Inputs!$B$28+Inputs!$B$29)))</f>
        <v/>
      </c>
      <c r="E1662">
        <f>INDEX(FactorTable!$B$2:$Y$301, MATCH(ROUND(MIN(300,MAX(1,D1662)),0), FactorTable!$A$2:$A$301,0), Skills!M27+1)</f>
        <v/>
      </c>
      <c r="F1662">
        <f>IF(Skills!N27=TRUE,(Skills!L27/10)*(E1662/1000),Skills!L27/10)+Skills!O27</f>
        <v/>
      </c>
      <c r="G1662">
        <f>Skills!G27*IF(Skills!H27&gt;0,INT(IF(Inputs!$B$38="pvp",MIN(Skills!I27,15),Skills!I27)/Skills!H27+0.000000001),1)</f>
        <v/>
      </c>
      <c r="H1662">
        <f>1-(1-Skills!J27/100)^Skills!K27</f>
        <v/>
      </c>
      <c r="I1662" t="inlineStr">
        <is>
          <t>1</t>
        </is>
      </c>
      <c r="J1662" t="inlineStr"/>
      <c r="K1662" t="inlineStr"/>
      <c r="L1662" t="inlineStr"/>
      <c r="M1662" t="inlineStr"/>
      <c r="N1662" t="inlineStr"/>
      <c r="O1662">
        <f>(1-Summary!$B$11)*T1662+Summary!$B$11*V1662</f>
        <v/>
      </c>
      <c r="P1662">
        <f>IF(B1676=0,0,O1662/B1676)</f>
        <v/>
      </c>
      <c r="Q1662" t="n">
        <v>0</v>
      </c>
      <c r="R1662" t="n">
        <v>0</v>
      </c>
      <c r="S1662">
        <f>IFERROR(O1662/N1662,0)</f>
        <v/>
      </c>
      <c r="T1662" t="n">
        <v>0</v>
      </c>
      <c r="V1662" t="n">
        <v>0</v>
      </c>
    </row>
    <row r="1663">
      <c r="A1663">
        <f>Skills!A28</f>
        <v/>
      </c>
      <c r="B1663">
        <f>Skills!B28</f>
        <v/>
      </c>
      <c r="C1663">
        <f>TRUE</f>
        <v/>
      </c>
      <c r="D1663">
        <f>IF(Skills!C28=1,60+Inputs!$B$25+Inputs!$B$29,IF(Skills!C28=2,90+Inputs!$B$26+Inputs!$B$29,IF(Skills!C28=3,120+Inputs!$B$27+Inputs!$B$29,MAX(0,(Inputs!$B$3-100)*3)+Inputs!$B$28+Inputs!$B$29)))</f>
        <v/>
      </c>
      <c r="E1663">
        <f>INDEX(FactorTable!$B$2:$Y$301, MATCH(ROUND(MIN(300,MAX(1,D1663)),0), FactorTable!$A$2:$A$301,0), Skills!M28+1)</f>
        <v/>
      </c>
      <c r="F1663">
        <f>IF(Skills!N28=TRUE,(Skills!L28/10)*(E1663/1000),Skills!L28/10)+Skills!O28</f>
        <v/>
      </c>
      <c r="G1663">
        <f>Skills!G28*IF(Skills!H28&gt;0,INT(IF(Inputs!$B$38="pvp",MIN(Skills!I28,15),Skills!I28)/Skills!H28+0.000000001),1)</f>
        <v/>
      </c>
      <c r="H1663">
        <f>1-(1-Skills!J28/100)^Skills!K28</f>
        <v/>
      </c>
      <c r="I1663" t="inlineStr">
        <is>
          <t>1</t>
        </is>
      </c>
      <c r="J1663" t="inlineStr"/>
      <c r="K1663" t="inlineStr"/>
      <c r="L1663" t="inlineStr"/>
      <c r="M1663" t="inlineStr"/>
      <c r="N1663" t="inlineStr"/>
      <c r="O1663">
        <f>(1-Summary!$B$11)*T1663+Summary!$B$11*V1663</f>
        <v/>
      </c>
      <c r="P1663">
        <f>IF(B1676=0,0,O1663/B1676)</f>
        <v/>
      </c>
      <c r="Q1663">
        <f>IFERROR(1/(IF(Inputs!$B$38="pvp",15,MAX(0.1,Skills!D28-IF(TRUE=TRUE,Inputs!$B$32,0)))*(1-IF(AND(ArtifactsInput!$M$27,Inputs!$B$4="Chapter Hunt"),CHOOSE(ArtifactsInput!$N$27+1,20,24,28,32,36,40),0)/100)),0)</f>
        <v/>
      </c>
      <c r="R1663">
        <f>IF(AND(Inputs!$B$38&lt;&gt;"pvp",Inputs!$B$43&gt;0),IF(Inputs!$B$43&lt;=0,0,(INT(Inputs!$B$43/(IF(Inputs!$B$38="pvp",15,MAX(0.1,Skills!D28-IF(TRUE=TRUE,Inputs!$B$32,0)))*(1-IF(AND(ArtifactsInput!$M$27,Inputs!$B$4="Chapter Hunt"),CHOOSE(ArtifactsInput!$N$27+1,20,24,28,32,36,40),0)/100)))+1)),0)</f>
        <v/>
      </c>
      <c r="S1663">
        <f>IFERROR(O1663/N1663,0)</f>
        <v/>
      </c>
      <c r="T1663" t="n">
        <v>0</v>
      </c>
      <c r="V1663" t="n">
        <v>0</v>
      </c>
    </row>
    <row r="1665">
      <c r="A1665" t="inlineStr">
        <is>
          <t>Attack% Bucket Multiplier</t>
        </is>
      </c>
      <c r="B1665">
        <f>(1+(((C1652=TRUE)*F1652*5/7)+((C1659=TRUE)*(F1659-Calc!F24))+(IF(ArtifactsInput!$M$21,CHOOSE(ArtifactsInput!$N$21+1,25,30,35,40,45,50)*(IF(OR(Inputs!$B$4="Chapter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666">
      <c r="A1666" t="inlineStr">
        <is>
          <t>Global Crit Rate Bonus %</t>
        </is>
      </c>
      <c r="B1666" t="n">
        <v>0</v>
      </c>
    </row>
    <row r="1667">
      <c r="A1667" t="inlineStr">
        <is>
          <t>Attack Speed Buff Bonus % (Nimble Feet, duty-cycle averaged)</t>
        </is>
      </c>
      <c r="B1667">
        <f>((C1663=TRUE)*F1663*IF(AND(Inputs!$B$38&lt;&gt;"pvp",Inputs!$B$43&gt;0),(((R1663-1)*MIN((Skills!T28*(1+Inputs!$B$34/100)),(1/Q1663))+MIN((Skills!T28*(1+Inputs!$B$34/100)),MAX(0,Inputs!$B$43-((R1663-1)*(1/Q1663)))))/Inputs!$B$43),IF(Inputs!$B$38="pvp",MIN((Skills!T28*(1+Inputs!$B$34/100)),15)/15,MIN(1,(Skills!T28*(1+Inputs!$B$34/100))/(1/Q1663)))))</f>
        <v/>
      </c>
    </row>
    <row r="1668">
      <c r="A1668" t="inlineStr">
        <is>
          <t>Actions Per Second</t>
        </is>
      </c>
      <c r="B1668">
        <f>1+MIN(150,150*(1-(1-(Inputs!$B$11+((C1655=TRUE)*(F1655-Calc!F20))+((C1656=TRUE)*(F1656-Calc!F21)))/150)*(1-B1667/150)))/100</f>
        <v/>
      </c>
    </row>
    <row r="1669">
      <c r="A1669" t="inlineStr">
        <is>
          <t>Skill + Buff Cast Rate</t>
        </is>
      </c>
      <c r="B1669">
        <f>IF(AND(Inputs!$B$38&lt;&gt;"pvp",Inputs!$B$43&gt;0),SUMPRODUCT((Skills!E2:E28=TRUE)*(C1637:C1663=TRUE)*R1637:R1663*Skills!F2:F28)/Inputs!$B$43,SUMPRODUCT((Skills!E2:E28=TRUE)*(C1637:C1663=TRUE)*Q1637:Q1663*Skills!F2:F28))</f>
        <v/>
      </c>
    </row>
    <row r="1670">
      <c r="A1670" t="inlineStr">
        <is>
          <t>Eight-Legs Easton Casts Per Second</t>
        </is>
      </c>
      <c r="B1670">
        <f>MAX(0,B1668-B1669)</f>
        <v/>
      </c>
    </row>
    <row r="1671">
      <c r="A1671" t="inlineStr">
        <is>
          <t>Global Critical Damage Bonus % (unused)</t>
        </is>
      </c>
      <c r="B1671" t="n">
        <v>0</v>
      </c>
    </row>
    <row r="1672">
      <c r="A1672" t="inlineStr">
        <is>
          <t>Global Final Damage Bonus % (Jolly Roger + Ahoy Mateys - Final Damage proc)</t>
        </is>
      </c>
      <c r="B1672">
        <f>((C1653=TRUE)*F1653*IF(AND(Inputs!$B$38&lt;&gt;"pvp",Inputs!$B$43&gt;0),(((R1653-1)*MIN((Skills!T18*(1+Inputs!$B$34/100)),(1/Q1653))+MIN((Skills!T18*(1+Inputs!$B$34/100)),MAX(0,Inputs!$B$43-((R1653-1)*(1/Q1653)))))/Inputs!$B$43),IF(Inputs!$B$38="pvp",MIN((Skills!T18*(1+Inputs!$B$34/100)),15)/15,MIN(1,(Skills!T18*(1+Inputs!$B$34/100))/(1/Q1653)))))+IF(Inputs!$B$3&gt;=122,20*IF(Inputs!$B$38="pvp",MIN((20*(1+Inputs!$B$34/100)),15)/15,MIN(1,(20*(1+Inputs!$B$34/100))/(1/Q1639))),0)</f>
        <v/>
      </c>
    </row>
    <row r="1673">
      <c r="A1673" t="inlineStr">
        <is>
          <t>Buff-Casting Startup Delay (s, fixed-duration only)</t>
        </is>
      </c>
      <c r="B1673">
        <f>IF(AND(Inputs!$B$38&lt;&gt;"pvp",Inputs!$B$43&gt;0),SUMPRODUCT((Skills!T2:T28&gt;0)*(Skills!E2:E28=TRUE)*(C1637:C1663=TRUE))/B1668,0)</f>
        <v/>
      </c>
    </row>
    <row r="1674">
      <c r="A1674" t="inlineStr">
        <is>
          <t>Boss-Only Total DPS (this block's swept value)</t>
        </is>
      </c>
      <c r="B1674">
        <f>SUM(T1637:T1663)</f>
        <v/>
      </c>
    </row>
    <row r="1675">
      <c r="A1675" t="inlineStr">
        <is>
          <t>Normal-Only Total DPS (this block's swept value)</t>
        </is>
      </c>
      <c r="B1675">
        <f>SUM(V1637:V1663)</f>
        <v/>
      </c>
    </row>
    <row r="1676">
      <c r="A1676" s="6" t="inlineStr">
        <is>
          <t>TOTAL DPS</t>
        </is>
      </c>
      <c r="B1676" s="6">
        <f>SUM(O1637:O1663)</f>
        <v/>
      </c>
    </row>
    <row r="1677">
      <c r="A1677" t="inlineStr">
        <is>
          <t>Quickdraw cooldown divisor (this block's own APS / Q)</t>
        </is>
      </c>
      <c r="B1677">
        <f>IF(AND(C1662=TRUE,Inputs!$B$38&lt;&gt;"pvp"),1+0.25*MAX(0,(B1668-(((C1638=TRUE)*Q1638*1)+((C1639=TRUE)*Q1639*1)+((C1641=TRUE)*Q1641*1)+((C1642=TRUE)*Q1642*1)+((C1644=TRUE)*Q1644*1)+((C1647=TRUE)*Q1647*1)+((C1653=TRUE)*Q1653*1)+((C1663=TRUE)*Q1663*1))-((C1643=TRUE)/(IF(Inputs!$B$38="pvp",15,MAX(0.1,Skills!D8-IF(TRUE=TRUE,Inputs!$B$32,0)))*(1-IF(AND(ArtifactsInput!$M$27,Inputs!$B$4="Chapter Hunt"),CHOOSE(ArtifactsInput!$N$27+1,20,24,28,32,36,40),0)/100))+(C1646=TRUE)/(IF(Inputs!$B$38="pvp",15,MAX(0.1,Skills!D11-IF(TRUE=TRUE,Inputs!$B$32,0)))*(1-IF(AND(ArtifactsInput!$M$27,Inputs!$B$4="Chapter Hunt"),CHOOSE(ArtifactsInput!$N$27+1,20,24,28,32,36,40),0)/100))))/(1+0.25*((C1643=TRUE)/(IF(Inputs!$B$38="pvp",15,MAX(0.1,Skills!D8-IF(TRUE=TRUE,Inputs!$B$32,0)))*(1-IF(AND(ArtifactsInput!$M$27,Inputs!$B$4="Chapter Hunt"),CHOOSE(ArtifactsInput!$N$27+1,20,24,28,32,36,40),0)/100))+(C1646=TRUE)/(IF(Inputs!$B$38="pvp",15,MAX(0.1,Skills!D11-IF(TRUE=TRUE,Inputs!$B$32,0)))*(1-IF(AND(ArtifactsInput!$M$27,Inputs!$B$4="Chapter Hunt"),CHOOSE(ArtifactsInput!$N$27+1,20,24,28,32,36,40),0)/100))))),1)</f>
        <v/>
      </c>
    </row>
    <row r="1678">
      <c r="A1678" t="inlineStr">
        <is>
          <t>Nautilus Strike - Final Attack trigger rate (this block's own Q/R)</t>
        </is>
      </c>
      <c r="B1678">
        <f>IF(AND(Inputs!$B$38&lt;&gt;"pvp",Inputs!$B$43&gt;0),(((C1638=TRUE)*R1638)+((C1641=TRUE)*R1641)+((C1643=TRUE)*R1643)+((C1644=TRUE)*R1644)+((C1646=TRUE)*R1646))/Inputs!$B$43,((C1638=TRUE)*Q1638)+((C1641=TRUE)*Q1641)+((C1643=TRUE)*Q1643)+((C1644=TRUE)*Q1644)+((C1646=TRUE)*Q1646))+B1670</f>
        <v/>
      </c>
    </row>
    <row r="1681">
      <c r="A1681" s="6" t="inlineStr">
        <is>
          <t>Stat: Athena Pierce's Old Gloves (Equip)</t>
        </is>
      </c>
    </row>
    <row r="1682">
      <c r="A1682" s="5" t="inlineStr">
        <is>
          <t>Key</t>
        </is>
      </c>
      <c r="B1682" s="5" t="inlineStr">
        <is>
          <t>Name</t>
        </is>
      </c>
      <c r="C1682" s="5" t="inlineStr">
        <is>
          <t>Unlocked</t>
        </is>
      </c>
      <c r="D1682" s="5" t="inlineStr">
        <is>
          <t>InputLevel</t>
        </is>
      </c>
      <c r="E1682" s="5" t="inlineStr">
        <is>
          <t>Factor</t>
        </is>
      </c>
      <c r="F1682" s="5" t="inlineStr">
        <is>
          <t>CoefficientPercent</t>
        </is>
      </c>
      <c r="G1682" s="5" t="inlineStr">
        <is>
          <t>EffectiveHits</t>
        </is>
      </c>
      <c r="H1682" s="5" t="inlineStr">
        <is>
          <t>ProcProbability</t>
        </is>
      </c>
      <c r="I1682" s="5" t="inlineStr">
        <is>
          <t>MapleHeroMultiplier</t>
        </is>
      </c>
      <c r="J1682" s="5" t="inlineStr">
        <is>
          <t>BaseDamage</t>
        </is>
      </c>
      <c r="K1682" s="5" t="inlineStr">
        <is>
          <t>BaseHitDamage</t>
        </is>
      </c>
      <c r="L1682" s="5" t="inlineStr">
        <is>
          <t>NonCritAvg</t>
        </is>
      </c>
      <c r="M1682" s="5" t="inlineStr">
        <is>
          <t>CritAvg</t>
        </is>
      </c>
      <c r="N1682" s="5" t="inlineStr">
        <is>
          <t>ExpectedDamage(perHit)</t>
        </is>
      </c>
      <c r="O1682" s="5" t="inlineStr">
        <is>
          <t>DPS</t>
        </is>
      </c>
      <c r="P1682" s="5" t="inlineStr">
        <is>
          <t>% of Total</t>
        </is>
      </c>
      <c r="Q1682" s="5" t="inlineStr">
        <is>
          <t>InvCooldown</t>
        </is>
      </c>
      <c r="R1682" s="5" t="inlineStr">
        <is>
          <t>CastsInFight</t>
        </is>
      </c>
      <c r="S1682" s="5" t="inlineStr">
        <is>
          <t>HitRate(perSec)</t>
        </is>
      </c>
      <c r="U1682" t="inlineStr">
        <is>
          <t>helpers</t>
        </is>
      </c>
    </row>
    <row r="1683">
      <c r="A1683">
        <f>Skills!A2</f>
        <v/>
      </c>
      <c r="B1683">
        <f>Skills!B2</f>
        <v/>
      </c>
      <c r="C1683">
        <f>Inputs!$B$3&gt;=100</f>
        <v/>
      </c>
      <c r="D1683" t="inlineStr"/>
      <c r="E1683" t="inlineStr"/>
      <c r="F1683">
        <f>U1685+Skills!O2</f>
        <v/>
      </c>
      <c r="G1683">
        <f>Skills!G2*IF(Skills!H2&gt;0,INT(IF(Inputs!$B$38="pvp",MIN(Skills!I2,15),Skills!I2)/Skills!H2+0.000000001),1)</f>
        <v/>
      </c>
      <c r="H1683">
        <f>1-(1-Skills!J2/100)^Skills!K2</f>
        <v/>
      </c>
      <c r="I1683" t="inlineStr">
        <is>
          <t>1</t>
        </is>
      </c>
      <c r="J1683">
        <f>((Inputs!$B$6*(1+Inputs!$B$7/100))+(((Inputs!$B$12*(1+Inputs!$B$13/100))-(Inputs!$B$12*(1+Inputs!$B$13/100)))+0.25*(Inputs!$B$14-Inputs!$B$14))*(1+Inputs!$B$7/100))*(F1683/100)</f>
        <v/>
      </c>
      <c r="K1683">
        <f>J1683*(1+((Inputs!$B$12*(1+Inputs!$B$13/100))*0.01+Inputs!$B$14*0.0025)/100)*(1+Inputs!$B$15/100)*(1+Inputs!$B$16/100)*(5000/(6000+Inputs!$B$42*(1-(100*(1-(1-(Inputs!$B$19+0)/100)*(1-CHOOSE(ArtifactsInput!$N$40+1,5,6,7,8,9,10)/100)^(ArtifactsInput!$M$40-ArtifactsInput!$M$40)))/100)))*(1+(Inputs!$B$24+((C1707=TRUE)*(F1707-Calc!F26))+B1718)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IGHT_LEGS_EASTON",Inputs!$B$17+((C1704=TRUE)*(F1704-Calc!F23))+((C1708=TRUE)*(F1708-Calc!F27))+((IF(AND(Inputs!$B$38&lt;&gt;"pvp",Inputs!$B$43=0),1,IF(IF(Inputs!$B$38="pvp",15,Inputs!$B$43)-(B1719)&lt;=0,1,MAX(0,IF(Inputs!$B$38="pvp",15,Inputs!$B$43)-MAX(5,B1719))/(IF(Inputs!$B$38="pvp",15,Inputs!$B$43)-(B1719))))*(IF(AND(ArtifactsInput!$M$42,((Inputs!$B$9+((C1700=TRUE)*(F1700-Calc!F19))+B1712+(ArtifactsInput!$M$24-ArtifactsInput!$M$24)*CHOOSE(ArtifactsInput!$N$24+1,10,12,14,16,18,20)+IF(ArtifactsInput!$M$10,CHOOSE(ArtifactsInput!$N$10+1,15,18,21,24,27,30)*(IF(Inputs!$B$38="pvp",MIN(15,15)/15,IF(AND(Inputs!$B$38&lt;&gt;"pvp",Inputs!$B$43&gt;0),MIN(15,Inputs!$B$43)/(Inputs!$B$43),0))),0)))&gt;=100),MIN(100,((Inputs!$B$9+((C1700=TRUE)*(F1700-Calc!F19))+B1712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1719)&lt;=0,1,MAX(0,IF(Inputs!$B$38="pvp",15,Inputs!$B$43)-MAX(5,B1719))/(IF(Inputs!$B$38="pvp",15,Inputs!$B$43)-(B1719))))*IF(AND(ArtifactsInput!$M$42,((Inputs!$B$9+((C1700=TRUE)*(F1700-Calc!F19))+B1712+(ArtifactsInput!$M$24-ArtifactsInput!$M$24)*CHOOSE(ArtifactsInput!$N$24+1,10,12,14,16,18,20)+IF(ArtifactsInput!$M$10,CHOOSE(ArtifactsInput!$N$10+1,15,18,21,24,27,30)*(IF(Inputs!$B$38="pvp",MIN(15,15)/15,IF(AND(Inputs!$B$38&lt;&gt;"pvp",Inputs!$B$43&gt;0),MIN(15,Inputs!$B$43)/(Inputs!$B$43),0))),0)))&gt;=100),CHOOSE(ArtifactsInput!$N$42+1,40,48,56,64,72,80),0))))/100)*((1+(((C1698=TRUE)*F1698*5/7)+((C1705=TRUE)*(F1705-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1683)</f>
        <v/>
      </c>
      <c r="L1683">
        <f>K1683*(MIN(Inputs!$B$22+((C1703=TRUE)*(F1703-Calc!F22)),(Inputs!$B$23+0+((IF(IF(ArtifactsInput!$M$15,FALSE,TRUE),1,-1)*CHOOSE(ArtifactsInput!$N$15+1,25,30,35,40,45,50)/100*IF(IF(ArtifactsInput!$M$15,FALSE,TRUE),(Inputs!$B$11+((C1701=TRUE)*(F1701-Calc!F20))+((C1702=TRUE)*(F1702-Calc!F21))+(IF(ArtifactsInput!$M$15,FALSE,TRUE)-ArtifactsInput!$M$15)*CHOOSE(ArtifactsInput!$N$15+1,8,9.6,11.2,12.8,14.4,16)),Inputs!$B$11)))))/100+(Inputs!$B$23+0+((IF(IF(ArtifactsInput!$M$15,FALSE,TRUE),1,-1)*CHOOSE(ArtifactsInput!$N$15+1,25,30,35,40,45,50)/100*IF(IF(ArtifactsInput!$M$15,FALSE,TRUE),(Inputs!$B$11+((C1701=TRUE)*(F1701-Calc!F20))+((C1702=TRUE)*(F1702-Calc!F21))+(IF(ArtifactsInput!$M$15,FALSE,TRUE)-ArtifactsInput!$M$15)*CHOOSE(ArtifactsInput!$N$15+1,8,9.6,11.2,12.8,14.4,16)),Inputs!$B$11))))/100)/2</f>
        <v/>
      </c>
      <c r="M1683">
        <f>L1683*(1+(Inputs!$B$10+((C1706=TRUE)*(F1706-Calc!F25))+B1717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83">
        <f>L1683*(1-MIN((Inputs!$B$9+((C1700=TRUE)*(F1700-Calc!F19))+B1712+(ArtifactsInput!$M$24-ArtifactsInput!$M$24)*CHOOSE(ArtifactsInput!$N$24+1,10,12,14,16,18,20)+(IF(AND(Inputs!$B$38&lt;&gt;"pvp",Inputs!$B$43=0),1,IF(IF(Inputs!$B$38="pvp",15,Inputs!$B$43)-(B1719)&lt;=0,1,MAX(0,IF(Inputs!$B$38="pvp",15,Inputs!$B$43)-MAX(5,B1719))/(IF(Inputs!$B$38="pvp",15,Inputs!$B$43)-(B1719))))*IF(AND(ArtifactsInput!$M$42,((Inputs!$B$9+((C1700=TRUE)*(F1700-Calc!F19))+B1712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1683*(MIN((Inputs!$B$9+((C1700=TRUE)*(F1700-Calc!F19))+B1712+(ArtifactsInput!$M$24-ArtifactsInput!$M$24)*CHOOSE(ArtifactsInput!$N$24+1,10,12,14,16,18,20)+(IF(AND(Inputs!$B$38&lt;&gt;"pvp",Inputs!$B$43=0),1,IF(IF(Inputs!$B$38="pvp",15,Inputs!$B$43)-(B1719)&lt;=0,1,MAX(0,IF(Inputs!$B$38="pvp",15,Inputs!$B$43)-MAX(5,B1719))/(IF(Inputs!$B$38="pvp",15,Inputs!$B$43)-(B1719))))*IF(AND(ArtifactsInput!$M$42,((Inputs!$B$9+((C1700=TRUE)*(F1700-Calc!F19))+B1712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83">
        <f>(1-Summary!$B$11)*T1683+Summary!$B$11*V1683</f>
        <v/>
      </c>
      <c r="P1683">
        <f>IF(B1722=0,0,O1683/B1722)</f>
        <v/>
      </c>
      <c r="Q1683" t="n">
        <v>0</v>
      </c>
      <c r="R1683" t="n">
        <v>0</v>
      </c>
      <c r="S1683">
        <f>IFERROR(O1683/N1683,0)</f>
        <v/>
      </c>
      <c r="T1683">
        <f>IF(C1683,(Skills!G2*N1683*B1716*(1+IF(C1708=TRUE,1/3,0)))*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Hunt"),CHOOSE(ArtifactsInput!$N$35+1,15,18,21,24,27,30)*(1-EXP(-(0.2*B1714)*5)),0)+IF(AND(ArtifactsInput!$M$22,Inputs!$B$4&lt;&gt;"Chapter Hunt"),CHOOSE(ArtifactsInput!$N$22+1,10,12,14,16,18,20)*((0*(((0.15*B1714*5))^0/1)+1*(((0.15*B1714*5))^1/1)+2*(((0.15*B1714*5))^2/2)+3*(((0.15*B1714*5))^3/6)+4*(((0.15*B1714*5))^4/24)+5*(((0.15*B1714*5))^5/120))/((((0.15*B1714*5))^0/1)+(((0.15*B1714*5))^1/1)+(((0.15*B1714*5))^2/2)+(((0.15*B1714*5))^3/6)+(((0.15*B1714*5))^4/24)+(((0.15*B1714*5))^5/120))),0))+IF(Inputs!$B$3&gt;=54,9*(C1684=TRUE)*MIN(1,8*(1+Inputs!$B$34/100)*Q1684)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1683*(1-MIN(100,(Inputs!$B$9+((C1700=TRUE)*(F1700-Calc!F19))+B1712+(ArtifactsInput!$M$24-ArtifactsInput!$M$24)*CHOOSE(ArtifactsInput!$N$24+1,10,12,14,16,18,20)+(IF(AND(Inputs!$B$38&lt;&gt;"pvp",Inputs!$B$43=0),1,IF(IF(Inputs!$B$38="pvp",15,Inputs!$B$43)-(B1719)&lt;=0,1,MAX(0,IF(Inputs!$B$38="pvp",15,Inputs!$B$43)-MAX(5,B1719))/(IF(Inputs!$B$38="pvp",15,Inputs!$B$43)-(B1719))))*IF(AND(ArtifactsInput!$M$42,((Inputs!$B$9+((C1700=TRUE)*(F1700-Calc!F19))+B1712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1683*(MIN(100,(Inputs!$B$9+((C1700=TRUE)*(F1700-Calc!F19))+B1712+(ArtifactsInput!$M$24-ArtifactsInput!$M$24)*CHOOSE(ArtifactsInput!$N$24+1,10,12,14,16,18,20)+(IF(AND(Inputs!$B$38&lt;&gt;"pvp",Inputs!$B$43=0),1,IF(IF(Inputs!$B$38="pvp",15,Inputs!$B$43)-(B1719)&lt;=0,1,MAX(0,IF(Inputs!$B$38="pvp",15,Inputs!$B$43)-MAX(5,B1719))/(IF(Inputs!$B$38="pvp",15,Inputs!$B$43)-(B1719))))*IF(AND(ArtifactsInput!$M$42,((Inputs!$B$9+((C1700=TRUE)*(F1700-Calc!F19))+B1712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1683*(1-MIN(100,(Inputs!$B$9+((C1700=TRUE)*(F1700-Calc!F19))+B1712+(ArtifactsInput!$M$24-ArtifactsInput!$M$24)*CHOOSE(ArtifactsInput!$N$24+1,10,12,14,16,18,20)+(IF(AND(Inputs!$B$38&lt;&gt;"pvp",Inputs!$B$43=0),1,IF(IF(Inputs!$B$38="pvp",15,Inputs!$B$43)-(B1719)&lt;=0,1,MAX(0,IF(Inputs!$B$38="pvp",15,Inputs!$B$43)-MAX(5,B1719))/(IF(Inputs!$B$38="pvp",15,Inputs!$B$43)-(B1719))))*IF(AND(ArtifactsInput!$M$42,((Inputs!$B$9+((C1700=TRUE)*(F1700-Calc!F19))+B1712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1683*(MIN(100,(Inputs!$B$9+((C1700=TRUE)*(F1700-Calc!F19))+B1712+(ArtifactsInput!$M$24-ArtifactsInput!$M$24)*CHOOSE(ArtifactsInput!$N$24+1,10,12,14,16,18,20)+(IF(AND(Inputs!$B$38&lt;&gt;"pvp",Inputs!$B$43=0),1,IF(IF(Inputs!$B$38="pvp",15,Inputs!$B$43)-(B1719)&lt;=0,1,MAX(0,IF(Inputs!$B$38="pvp",15,Inputs!$B$43)-MAX(5,B1719))/(IF(Inputs!$B$38="pvp",15,Inputs!$B$43)-(B1719))))*IF(AND(ArtifactsInput!$M$42,((Inputs!$B$9+((C1700=TRUE)*(F1700-Calc!F19))+B1712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683">
        <f>MAX(0,(Inputs!$B$3-100)*3)+Inputs!$B$28+Inputs!$B$29</f>
        <v/>
      </c>
      <c r="V1683">
        <f>IF(C1683,(Skills!G2*N1683*B1716*(1+IF(C1708=TRUE,1/3,0)))*IF(Inputs!$B$38="pvp",1,(1+(Inputs!$B$21+Skills!Q2+(IF(ArtifactsInput!$M$33,CHOOSE(ArtifactsInput!$N$33+1,30,36,42,48,54,60),0))+(IF(AND(ArtifactsInput!$M$35,Inputs!$B$4&lt;&gt;"Chapter Hunt"),CHOOSE(ArtifactsInput!$N$35+1,15,18,21,24,27,30)*(1-EXP(-(0.2*B1714)*5)),0)+IF(AND(ArtifactsInput!$M$22,Inputs!$B$4&lt;&gt;"Chapter Hunt"),CHOOSE(ArtifactsInput!$N$22+1,10,12,14,16,18,20)*((0*(((0.15*B1714*5))^0/1)+1*(((0.15*B1714*5))^1/1)+2*(((0.15*B1714*5))^2/2)+3*(((0.15*B1714*5))^3/6)+4*(((0.15*B1714*5))^4/24)+5*(((0.15*B1714*5))^5/120))/((((0.15*B1714*5))^0/1)+(((0.15*B1714*5))^1/1)+(((0.15*B1714*5))^2/2)+(((0.15*B1714*5))^3/6)+(((0.15*B1714*5))^4/24)+(((0.15*B1714*5))^5/120))),0))+IF(Inputs!$B$3&gt;=54,9*(C1684=TRUE)*MIN(1,8*(1+Inputs!$B$34/100)*Q1684),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84">
      <c r="A1684">
        <f>Skills!A3</f>
        <v/>
      </c>
      <c r="B1684">
        <f>Skills!B3</f>
        <v/>
      </c>
      <c r="C1684">
        <f>Inputs!$B$3&gt;=33</f>
        <v/>
      </c>
      <c r="D1684">
        <f>IF(Skills!C3=1,60+Inputs!$B$25+Inputs!$B$29,IF(Skills!C3=2,90+Inputs!$B$26+Inputs!$B$29,IF(Skills!C3=3,120+Inputs!$B$27+Inputs!$B$29,MAX(0,(Inputs!$B$3-100)*3)+Inputs!$B$28+Inputs!$B$29)))</f>
        <v/>
      </c>
      <c r="E1684">
        <f>INDEX(FactorTable!$B$2:$Y$301, MATCH(ROUND(MIN(300,MAX(1,D1684)),0), FactorTable!$A$2:$A$301,0), Skills!M3+1)</f>
        <v/>
      </c>
      <c r="F1684">
        <f>IF(Skills!N3=TRUE,(Skills!L3/10)*(E1684/1000),Skills!L3/10)+Skills!O3</f>
        <v/>
      </c>
      <c r="G1684">
        <f>Skills!G3*IF(Skills!H3&gt;0,INT(IF(Inputs!$B$38="pvp",MIN(Skills!I3,15),Skills!I3)/Skills!H3+0.000000001),1)</f>
        <v/>
      </c>
      <c r="H1684">
        <f>1-(1-Skills!J3/100)^Skills!K3</f>
        <v/>
      </c>
      <c r="I1684" t="inlineStr">
        <is>
          <t>1</t>
        </is>
      </c>
      <c r="J1684">
        <f>((Inputs!$B$6*(1+Inputs!$B$7/100))+(((Inputs!$B$12*(1+Inputs!$B$13/100))-(Inputs!$B$12*(1+Inputs!$B$13/100)))+0.25*(Inputs!$B$14-Inputs!$B$14))*(1+Inputs!$B$7/100))*(F1684/100)</f>
        <v/>
      </c>
      <c r="K1684">
        <f>J1684*(1+((Inputs!$B$12*(1+Inputs!$B$13/100))*0.01+Inputs!$B$14*0.0025)/100)*(1+Inputs!$B$15/100)*(1+Inputs!$B$16/100)*(5000/(6000+Inputs!$B$42*(1-(100*(1-(1-(Inputs!$B$19+0)/100)*(1-CHOOSE(ArtifactsInput!$N$40+1,5,6,7,8,9,10)/100)^(ArtifactsInput!$M$40-ArtifactsInput!$M$40)))/100)))*(1+(Inputs!$B$24+((C1707=TRUE)*(F1707-Calc!F26))+B1718)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1696=TRUE,F1696,0)/100)*(1+(IF(Skills!A3="EIGHT_LEGS_EASTON",Inputs!$B$17+((C1704=TRUE)*(F1704-Calc!F23))+((C1708=TRUE)*(F1708-Calc!F27))+((IF(AND(Inputs!$B$38&lt;&gt;"pvp",Inputs!$B$43=0),1,IF(IF(Inputs!$B$38="pvp",15,Inputs!$B$43)-(B1719)&lt;=0,1,MAX(0,IF(Inputs!$B$38="pvp",15,Inputs!$B$43)-MAX(5,B1719))/(IF(Inputs!$B$38="pvp",15,Inputs!$B$43)-(B1719))))*(IF(AND(ArtifactsInput!$M$42,((Inputs!$B$9+((C1700=TRUE)*(F1700-Calc!F19))+B1712+(ArtifactsInput!$M$24-ArtifactsInput!$M$24)*CHOOSE(ArtifactsInput!$N$24+1,10,12,14,16,18,20)+IF(ArtifactsInput!$M$10,CHOOSE(ArtifactsInput!$N$10+1,15,18,21,24,27,30)*(IF(Inputs!$B$38="pvp",MIN(15,15)/15,IF(AND(Inputs!$B$38&lt;&gt;"pvp",Inputs!$B$43&gt;0),MIN(15,Inputs!$B$43)/(Inputs!$B$43),0))),0)))&gt;=100),MIN(100,((Inputs!$B$9+((C1700=TRUE)*(F1700-Calc!F19))+B1712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1719)&lt;=0,1,MAX(0,IF(Inputs!$B$38="pvp",15,Inputs!$B$43)-MAX(5,B1719))/(IF(Inputs!$B$38="pvp",15,Inputs!$B$43)-(B1719))))*IF(AND(ArtifactsInput!$M$42,((Inputs!$B$9+((C1700=TRUE)*(F1700-Calc!F19))+B1712+(ArtifactsInput!$M$24-ArtifactsInput!$M$24)*CHOOSE(ArtifactsInput!$N$24+1,10,12,14,16,18,20)+IF(ArtifactsInput!$M$10,CHOOSE(ArtifactsInput!$N$10+1,15,18,21,24,27,30)*(IF(Inputs!$B$38="pvp",MIN(15,15)/15,IF(AND(Inputs!$B$38&lt;&gt;"pvp",Inputs!$B$43&gt;0),MIN(15,Inputs!$B$43)/(Inputs!$B$43),0))),0)))&gt;=100),CHOOSE(ArtifactsInput!$N$42+1,40,48,56,64,72,80),0))))/100)*((1+(((C1698=TRUE)*F1698*5/7)+((C1705=TRUE)*(F1705-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1684)</f>
        <v/>
      </c>
      <c r="L1684">
        <f>K1684*(MIN(Inputs!$B$22+((C1703=TRUE)*(F1703-Calc!F22)),(Inputs!$B$23+0+((IF(IF(ArtifactsInput!$M$15,FALSE,TRUE),1,-1)*CHOOSE(ArtifactsInput!$N$15+1,25,30,35,40,45,50)/100*IF(IF(ArtifactsInput!$M$15,FALSE,TRUE),(Inputs!$B$11+((C1701=TRUE)*(F1701-Calc!F20))+((C1702=TRUE)*(F1702-Calc!F21))+(IF(ArtifactsInput!$M$15,FALSE,TRUE)-ArtifactsInput!$M$15)*CHOOSE(ArtifactsInput!$N$15+1,8,9.6,11.2,12.8,14.4,16)),Inputs!$B$11)))))/100+(Inputs!$B$23+0+((IF(IF(ArtifactsInput!$M$15,FALSE,TRUE),1,-1)*CHOOSE(ArtifactsInput!$N$15+1,25,30,35,40,45,50)/100*IF(IF(ArtifactsInput!$M$15,FALSE,TRUE),(Inputs!$B$11+((C1701=TRUE)*(F1701-Calc!F20))+((C1702=TRUE)*(F1702-Calc!F21))+(IF(ArtifactsInput!$M$15,FALSE,TRUE)-ArtifactsInput!$M$15)*CHOOSE(ArtifactsInput!$N$15+1,8,9.6,11.2,12.8,14.4,16)),Inputs!$B$11))))/100)/2</f>
        <v/>
      </c>
      <c r="M1684">
        <f>L1684*(1+(Inputs!$B$10+((C1706=TRUE)*(F1706-Calc!F25))+B1717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84">
        <f>L1684*(1-MIN((Inputs!$B$9+((C1700=TRUE)*(F1700-Calc!F19))+B1712+(ArtifactsInput!$M$24-ArtifactsInput!$M$24)*CHOOSE(ArtifactsInput!$N$24+1,10,12,14,16,18,20)+(IF(AND(Inputs!$B$38&lt;&gt;"pvp",Inputs!$B$43=0),1,IF(IF(Inputs!$B$38="pvp",15,Inputs!$B$43)-(B1719)&lt;=0,1,MAX(0,IF(Inputs!$B$38="pvp",15,Inputs!$B$43)-MAX(5,B1719))/(IF(Inputs!$B$38="pvp",15,Inputs!$B$43)-(B1719))))*IF(AND(ArtifactsInput!$M$42,((Inputs!$B$9+((C1700=TRUE)*(F1700-Calc!F19))+B1712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1684*(MIN((Inputs!$B$9+((C1700=TRUE)*(F1700-Calc!F19))+B1712+(ArtifactsInput!$M$24-ArtifactsInput!$M$24)*CHOOSE(ArtifactsInput!$N$24+1,10,12,14,16,18,20)+(IF(AND(Inputs!$B$38&lt;&gt;"pvp",Inputs!$B$43=0),1,IF(IF(Inputs!$B$38="pvp",15,Inputs!$B$43)-(B1719)&lt;=0,1,MAX(0,IF(Inputs!$B$38="pvp",15,Inputs!$B$43)-MAX(5,B1719))/(IF(Inputs!$B$38="pvp",15,Inputs!$B$43)-(B1719))))*IF(AND(ArtifactsInput!$M$42,((Inputs!$B$9+((C1700=TRUE)*(F1700-Calc!F19))+B1712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84">
        <f>(1-Summary!$B$11)*T1684+Summary!$B$11*V1684</f>
        <v/>
      </c>
      <c r="P1684">
        <f>IF(B1722=0,0,O1684/B1722)</f>
        <v/>
      </c>
      <c r="Q1684">
        <f>IFERROR(1/(IF(Inputs!$B$38="pvp",15,MAX(0.1,Skills!D3-IF(TRUE=TRUE,Inputs!$B$32,0)))*(1-IF(AND(ArtifactsInput!$M$27,Inputs!$B$4="Chapter Hunt"),CHOOSE(ArtifactsInput!$N$27+1,20,24,28,32,36,40),0)/100)),0)</f>
        <v/>
      </c>
      <c r="R1684">
        <f>IF(AND(Inputs!$B$38&lt;&gt;"pvp",Inputs!$B$43&gt;0),IF(MAX(0,Inputs!$B$43-B1719)&lt;=0,0,(INT(MAX(0,Inputs!$B$43-B1719)/(IF(Inputs!$B$38="pvp",15,MAX(0.1,Skills!D3-IF(TRUE=TRUE,Inputs!$B$32,0)))*(1-IF(AND(ArtifactsInput!$M$27,Inputs!$B$4="Chapter Hunt"),CHOOSE(ArtifactsInput!$N$27+1,20,24,28,32,36,40),0)/100)))+1)),0)</f>
        <v/>
      </c>
      <c r="S1684">
        <f>IFERROR(O1684/N1684,0)</f>
        <v/>
      </c>
      <c r="T1684">
        <f>IF(C1684,(H1684*N1684*IF(AND(Inputs!$B$38&lt;&gt;"pvp",Inputs!$B$43&gt;0),((Skills!G3*((R1684-1)*IF(Skills!H3&gt;0,INT(Skills!I3/Skills!H3+0.000000001),1)+IF(Skills!H3&gt;0,INT(MIN(Skills!I3,MAX(0,MAX(0,Inputs!$B$43-B1719)-((R1684-1)*(IF(Inputs!$B$38="pvp",15,MAX(0.1,Skills!D3-IF(TRUE=TRUE,Inputs!$B$32,0)))*(1-IF(AND(ArtifactsInput!$M$27,Inputs!$B$4="Chapter Hunt"),CHOOSE(ArtifactsInput!$N$27+1,20,24,28,32,36,40),0)/100)))))/Skills!H3+0.000000001),1)))/Inputs!$B$43),G1684*Q1684))*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Hunt"),CHOOSE(ArtifactsInput!$N$35+1,15,18,21,24,27,30)*(1-EXP(-(0.2*B1714)*5)),0)+IF(AND(ArtifactsInput!$M$22,Inputs!$B$4&lt;&gt;"Chapter Hunt"),CHOOSE(ArtifactsInput!$N$22+1,10,12,14,16,18,20)*((0*(((0.15*B1714*5))^0/1)+1*(((0.15*B1714*5))^1/1)+2*(((0.15*B1714*5))^2/2)+3*(((0.15*B1714*5))^3/6)+4*(((0.15*B1714*5))^4/24)+5*(((0.15*B1714*5))^5/120))/((((0.15*B1714*5))^0/1)+(((0.15*B1714*5))^1/1)+(((0.15*B1714*5))^2/2)+(((0.15*B1714*5))^3/6)+(((0.15*B1714*5))^4/24)+(((0.15*B1714*5))^5/120))),0))+IF(Inputs!$B$3&gt;=54,9*(C1684=TRUE)*MIN(1,8*(1+Inputs!$B$34/100)*Q1684)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1684*(1-MIN(100,(Inputs!$B$9+((C1700=TRUE)*(F1700-Calc!F19))+B1712+(ArtifactsInput!$M$24-ArtifactsInput!$M$24)*CHOOSE(ArtifactsInput!$N$24+1,10,12,14,16,18,20)+(IF(AND(Inputs!$B$38&lt;&gt;"pvp",Inputs!$B$43=0),1,IF(IF(Inputs!$B$38="pvp",15,Inputs!$B$43)-(B1719)&lt;=0,1,MAX(0,IF(Inputs!$B$38="pvp",15,Inputs!$B$43)-MAX(5,B1719))/(IF(Inputs!$B$38="pvp",15,Inputs!$B$43)-(B1719))))*IF(AND(ArtifactsInput!$M$42,((Inputs!$B$9+((C1700=TRUE)*(F1700-Calc!F19))+B1712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1684*(MIN(100,(Inputs!$B$9+((C1700=TRUE)*(F1700-Calc!F19))+B1712+(ArtifactsInput!$M$24-ArtifactsInput!$M$24)*CHOOSE(ArtifactsInput!$N$24+1,10,12,14,16,18,20)+(IF(AND(Inputs!$B$38&lt;&gt;"pvp",Inputs!$B$43=0),1,IF(IF(Inputs!$B$38="pvp",15,Inputs!$B$43)-(B1719)&lt;=0,1,MAX(0,IF(Inputs!$B$38="pvp",15,Inputs!$B$43)-MAX(5,B1719))/(IF(Inputs!$B$38="pvp",15,Inputs!$B$43)-(B1719))))*IF(AND(ArtifactsInput!$M$42,((Inputs!$B$9+((C1700=TRUE)*(F1700-Calc!F19))+B1712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1684*(1-MIN(100,(Inputs!$B$9+((C1700=TRUE)*(F1700-Calc!F19))+B1712+(ArtifactsInput!$M$24-ArtifactsInput!$M$24)*CHOOSE(ArtifactsInput!$N$24+1,10,12,14,16,18,20)+(IF(AND(Inputs!$B$38&lt;&gt;"pvp",Inputs!$B$43=0),1,IF(IF(Inputs!$B$38="pvp",15,Inputs!$B$43)-(B1719)&lt;=0,1,MAX(0,IF(Inputs!$B$38="pvp",15,Inputs!$B$43)-MAX(5,B1719))/(IF(Inputs!$B$38="pvp",15,Inputs!$B$43)-(B1719))))*IF(AND(ArtifactsInput!$M$42,((Inputs!$B$9+((C1700=TRUE)*(F1700-Calc!F19))+B1712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1684*(MIN(100,(Inputs!$B$9+((C1700=TRUE)*(F1700-Calc!F19))+B1712+(ArtifactsInput!$M$24-ArtifactsInput!$M$24)*CHOOSE(ArtifactsInput!$N$24+1,10,12,14,16,18,20)+(IF(AND(Inputs!$B$38&lt;&gt;"pvp",Inputs!$B$43=0),1,IF(IF(Inputs!$B$38="pvp",15,Inputs!$B$43)-(B1719)&lt;=0,1,MAX(0,IF(Inputs!$B$38="pvp",15,Inputs!$B$43)-MAX(5,B1719))/(IF(Inputs!$B$38="pvp",15,Inputs!$B$43)-(B1719))))*IF(AND(ArtifactsInput!$M$42,((Inputs!$B$9+((C1700=TRUE)*(F1700-Calc!F19))+B1712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684">
        <f>INDEX(FactorTable!$B$2:$Y$301, MATCH(ROUND(MIN(300,MAX(1,U1683)),0), FactorTable!$A$2:$A$301,0), 22)</f>
        <v/>
      </c>
      <c r="V1684">
        <f>IF(C1684,(H1684*N1684*IF(AND(Inputs!$B$38&lt;&gt;"pvp",Inputs!$B$43&gt;0),((Skills!G3*((R1684-1)*IF(Skills!H3&gt;0,INT(Skills!I3/Skills!H3+0.000000001),1)+IF(Skills!H3&gt;0,INT(MIN(Skills!I3,MAX(0,MAX(0,Inputs!$B$43-B1719)-((R1684-1)*(IF(Inputs!$B$38="pvp",15,MAX(0.1,Skills!D3-IF(TRUE=TRUE,Inputs!$B$32,0)))*(1-IF(AND(ArtifactsInput!$M$27,Inputs!$B$4="Chapter Hunt"),CHOOSE(ArtifactsInput!$N$27+1,20,24,28,32,36,40),0)/100)))))/Skills!H3+0.000000001),1)))/Inputs!$B$43),G1684*Q1684))*IF(Inputs!$B$38="pvp",1,(1+(Inputs!$B$21+Skills!Q3+(IF(ArtifactsInput!$M$33,CHOOSE(ArtifactsInput!$N$33+1,30,36,42,48,54,60),0))+(IF(AND(ArtifactsInput!$M$35,Inputs!$B$4&lt;&gt;"Chapter Hunt"),CHOOSE(ArtifactsInput!$N$35+1,15,18,21,24,27,30)*(1-EXP(-(0.2*B1714)*5)),0)+IF(AND(ArtifactsInput!$M$22,Inputs!$B$4&lt;&gt;"Chapter Hunt"),CHOOSE(ArtifactsInput!$N$22+1,10,12,14,16,18,20)*((0*(((0.15*B1714*5))^0/1)+1*(((0.15*B1714*5))^1/1)+2*(((0.15*B1714*5))^2/2)+3*(((0.15*B1714*5))^3/6)+4*(((0.15*B1714*5))^4/24)+5*(((0.15*B1714*5))^5/120))/((((0.15*B1714*5))^0/1)+(((0.15*B1714*5))^1/1)+(((0.15*B1714*5))^2/2)+(((0.15*B1714*5))^3/6)+(((0.15*B1714*5))^4/24)+(((0.15*B1714*5))^5/120))),0))+IF(Inputs!$B$3&gt;=54,9*(C1684=TRUE)*MIN(1,8*(1+Inputs!$B$34/100)*Q1684),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85">
      <c r="A1685">
        <f>Skills!A4</f>
        <v/>
      </c>
      <c r="B1685">
        <f>Skills!B4</f>
        <v/>
      </c>
      <c r="C1685">
        <f>Inputs!$B$3&gt;=35</f>
        <v/>
      </c>
      <c r="D1685">
        <f>IF(Skills!C4=1,60+Inputs!$B$25+Inputs!$B$29,IF(Skills!C4=2,90+Inputs!$B$26+Inputs!$B$29,IF(Skills!C4=3,120+Inputs!$B$27+Inputs!$B$29,MAX(0,(Inputs!$B$3-100)*3)+Inputs!$B$28+Inputs!$B$29)))</f>
        <v/>
      </c>
      <c r="E1685">
        <f>INDEX(FactorTable!$B$2:$Y$301, MATCH(ROUND(MIN(300,MAX(1,D1685)),0), FactorTable!$A$2:$A$301,0), Skills!M4+1)</f>
        <v/>
      </c>
      <c r="F1685">
        <f>IF(Skills!N4=TRUE,(Skills!L4/10)*(E1685/1000),Skills!L4/10)+Skills!O4</f>
        <v/>
      </c>
      <c r="G1685">
        <f>Skills!G4*IF(Skills!H4&gt;0,INT(IF(Inputs!$B$38="pvp",MIN(IF(Inputs!$B$3&gt;=104,MIN(35,20*(1+Inputs!$B$34/100)),20),15),IF(Inputs!$B$3&gt;=104,MIN(35,20*(1+Inputs!$B$34/100)),20))/Skills!H4+0.000000001),1)</f>
        <v/>
      </c>
      <c r="H1685">
        <f>1-(1-Skills!J4/100)^Skills!K4</f>
        <v/>
      </c>
      <c r="I1685" t="inlineStr">
        <is>
          <t>1</t>
        </is>
      </c>
      <c r="J1685">
        <f>((Inputs!$B$6*(1+Inputs!$B$7/100))+(((Inputs!$B$12*(1+Inputs!$B$13/100))-(Inputs!$B$12*(1+Inputs!$B$13/100)))+0.25*(Inputs!$B$14-Inputs!$B$14))*(1+Inputs!$B$7/100))*(F1685/100)</f>
        <v/>
      </c>
      <c r="K1685">
        <f>J1685*(1+((Inputs!$B$12*(1+Inputs!$B$13/100))*0.01+Inputs!$B$14*0.0025)/100)*(1+Inputs!$B$15/100)*(1+Inputs!$B$16/100)*(5000/(6000+Inputs!$B$42*(1-(100*(1-(1-(Inputs!$B$19+0)/100)*(1-CHOOSE(ArtifactsInput!$N$40+1,5,6,7,8,9,10)/100)^(ArtifactsInput!$M$40-ArtifactsInput!$M$40)))/100)))*(1+(Inputs!$B$24+((C1707=TRUE)*(F1707-Calc!F26))+B1718)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1697=TRUE,F1697,0)/100)*(1+(IF(Skills!A4="EIGHT_LEGS_EASTON",Inputs!$B$17+((C1704=TRUE)*(F1704-Calc!F23))+((C1708=TRUE)*(F1708-Calc!F27))+((IF(AND(Inputs!$B$38&lt;&gt;"pvp",Inputs!$B$43=0),1,IF(IF(Inputs!$B$38="pvp",15,Inputs!$B$43)-(B1719)&lt;=0,1,MAX(0,IF(Inputs!$B$38="pvp",15,Inputs!$B$43)-MAX(5,B1719))/(IF(Inputs!$B$38="pvp",15,Inputs!$B$43)-(B1719))))*(IF(AND(ArtifactsInput!$M$42,((Inputs!$B$9+((C1700=TRUE)*(F1700-Calc!F19))+B1712+(ArtifactsInput!$M$24-ArtifactsInput!$M$24)*CHOOSE(ArtifactsInput!$N$24+1,10,12,14,16,18,20)+IF(ArtifactsInput!$M$10,CHOOSE(ArtifactsInput!$N$10+1,15,18,21,24,27,30)*(IF(Inputs!$B$38="pvp",MIN(15,15)/15,IF(AND(Inputs!$B$38&lt;&gt;"pvp",Inputs!$B$43&gt;0),MIN(15,Inputs!$B$43)/(Inputs!$B$43),0))),0)))&gt;=100),MIN(100,((Inputs!$B$9+((C1700=TRUE)*(F1700-Calc!F19))+B1712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1719)&lt;=0,1,MAX(0,IF(Inputs!$B$38="pvp",15,Inputs!$B$43)-MAX(5,B1719))/(IF(Inputs!$B$38="pvp",15,Inputs!$B$43)-(B1719))))*IF(AND(ArtifactsInput!$M$42,((Inputs!$B$9+((C1700=TRUE)*(F1700-Calc!F19))+B1712+(ArtifactsInput!$M$24-ArtifactsInput!$M$24)*CHOOSE(ArtifactsInput!$N$24+1,10,12,14,16,18,20)+IF(ArtifactsInput!$M$10,CHOOSE(ArtifactsInput!$N$10+1,15,18,21,24,27,30)*(IF(Inputs!$B$38="pvp",MIN(15,15)/15,IF(AND(Inputs!$B$38&lt;&gt;"pvp",Inputs!$B$43&gt;0),MIN(15,Inputs!$B$43)/(Inputs!$B$43),0))),0)))&gt;=100),CHOOSE(ArtifactsInput!$N$42+1,40,48,56,64,72,80),0))))/100)*((1+(((C1698=TRUE)*F1698*5/7)+((C1705=TRUE)*(F1705-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1685)</f>
        <v/>
      </c>
      <c r="L1685">
        <f>K1685*(MIN(Inputs!$B$22+((C1703=TRUE)*(F1703-Calc!F22)),(Inputs!$B$23+0+((IF(IF(ArtifactsInput!$M$15,FALSE,TRUE),1,-1)*CHOOSE(ArtifactsInput!$N$15+1,25,30,35,40,45,50)/100*IF(IF(ArtifactsInput!$M$15,FALSE,TRUE),(Inputs!$B$11+((C1701=TRUE)*(F1701-Calc!F20))+((C1702=TRUE)*(F1702-Calc!F21))+(IF(ArtifactsInput!$M$15,FALSE,TRUE)-ArtifactsInput!$M$15)*CHOOSE(ArtifactsInput!$N$15+1,8,9.6,11.2,12.8,14.4,16)),Inputs!$B$11)))))/100+(Inputs!$B$23+0+((IF(IF(ArtifactsInput!$M$15,FALSE,TRUE),1,-1)*CHOOSE(ArtifactsInput!$N$15+1,25,30,35,40,45,50)/100*IF(IF(ArtifactsInput!$M$15,FALSE,TRUE),(Inputs!$B$11+((C1701=TRUE)*(F1701-Calc!F20))+((C1702=TRUE)*(F1702-Calc!F21))+(IF(ArtifactsInput!$M$15,FALSE,TRUE)-ArtifactsInput!$M$15)*CHOOSE(ArtifactsInput!$N$15+1,8,9.6,11.2,12.8,14.4,16)),Inputs!$B$11))))/100)/2</f>
        <v/>
      </c>
      <c r="M1685">
        <f>L1685*(1+(Inputs!$B$10+((C1706=TRUE)*(F1706-Calc!F25))+B1717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85">
        <f>L1685*(1-MIN((Inputs!$B$9+((C1700=TRUE)*(F1700-Calc!F19))+B1712+(ArtifactsInput!$M$24-ArtifactsInput!$M$24)*CHOOSE(ArtifactsInput!$N$24+1,10,12,14,16,18,20)+(IF(AND(Inputs!$B$38&lt;&gt;"pvp",Inputs!$B$43=0),1,IF(IF(Inputs!$B$38="pvp",15,Inputs!$B$43)-(B1719)&lt;=0,1,MAX(0,IF(Inputs!$B$38="pvp",15,Inputs!$B$43)-MAX(5,B1719))/(IF(Inputs!$B$38="pvp",15,Inputs!$B$43)-(B1719))))*IF(AND(ArtifactsInput!$M$42,((Inputs!$B$9+((C1700=TRUE)*(F1700-Calc!F19))+B1712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1685*(MIN((Inputs!$B$9+((C1700=TRUE)*(F1700-Calc!F19))+B1712+(ArtifactsInput!$M$24-ArtifactsInput!$M$24)*CHOOSE(ArtifactsInput!$N$24+1,10,12,14,16,18,20)+(IF(AND(Inputs!$B$38&lt;&gt;"pvp",Inputs!$B$43=0),1,IF(IF(Inputs!$B$38="pvp",15,Inputs!$B$43)-(B1719)&lt;=0,1,MAX(0,IF(Inputs!$B$38="pvp",15,Inputs!$B$43)-MAX(5,B1719))/(IF(Inputs!$B$38="pvp",15,Inputs!$B$43)-(B1719))))*IF(AND(ArtifactsInput!$M$42,((Inputs!$B$9+((C1700=TRUE)*(F1700-Calc!F19))+B1712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85">
        <f>(1-Summary!$B$11)*T1685+Summary!$B$11*V1685</f>
        <v/>
      </c>
      <c r="P1685">
        <f>IF(B1722=0,0,O1685/B1722)</f>
        <v/>
      </c>
      <c r="Q1685">
        <f>IFERROR(1/(IF(Inputs!$B$38="pvp",15,MAX(0.1,Skills!D4-IF(TRUE=TRUE,Inputs!$B$32,0)))*(1-IF(AND(ArtifactsInput!$M$27,Inputs!$B$4="Chapter Hunt"),CHOOSE(ArtifactsInput!$N$27+1,20,24,28,32,36,40),0)/100)),0)</f>
        <v/>
      </c>
      <c r="R1685">
        <f>IF(AND(Inputs!$B$38&lt;&gt;"pvp",Inputs!$B$43&gt;0),IF(MAX(0,Inputs!$B$43-B1719)&lt;=0,0,(INT(MAX(0,Inputs!$B$43-B1719)/(IF(Inputs!$B$38="pvp",15,MAX(0.1,Skills!D4-IF(TRUE=TRUE,Inputs!$B$32,0)))*(1-IF(AND(ArtifactsInput!$M$27,Inputs!$B$4="Chapter Hunt"),CHOOSE(ArtifactsInput!$N$27+1,20,24,28,32,36,40),0)/100)))+1)),0)</f>
        <v/>
      </c>
      <c r="S1685">
        <f>IFERROR(O1685/N1685,0)</f>
        <v/>
      </c>
      <c r="T1685">
        <f>IF(C1685,(H1685*N1685*IF(AND(Inputs!$B$38&lt;&gt;"pvp",Inputs!$B$43&gt;0),((Skills!G4*((R1685-1)*IF(Skills!H4&gt;0,INT(IF(Inputs!$B$3&gt;=104,MIN(35,20*(1+Inputs!$B$34/100)),20)/Skills!H4+0.000000001),1)+IF(Skills!H4&gt;0,INT(MIN(IF(Inputs!$B$3&gt;=104,MIN(35,20*(1+Inputs!$B$34/100)),20),MAX(0,MAX(0,Inputs!$B$43-B1719)-((R1685-1)*(IF(Inputs!$B$38="pvp",15,MAX(0.1,Skills!D4-IF(TRUE=TRUE,Inputs!$B$32,0)))*(1-IF(AND(ArtifactsInput!$M$27,Inputs!$B$4="Chapter Hunt"),CHOOSE(ArtifactsInput!$N$27+1,20,24,28,32,36,40),0)/100)))))/Skills!H4+0.000000001),1)))/Inputs!$B$43),G1685*Q1685))*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Hunt"),CHOOSE(ArtifactsInput!$N$35+1,15,18,21,24,27,30)*(1-EXP(-(0.2*B1714)*5)),0)+IF(AND(ArtifactsInput!$M$22,Inputs!$B$4&lt;&gt;"Chapter Hunt"),CHOOSE(ArtifactsInput!$N$22+1,10,12,14,16,18,20)*((0*(((0.15*B1714*5))^0/1)+1*(((0.15*B1714*5))^1/1)+2*(((0.15*B1714*5))^2/2)+3*(((0.15*B1714*5))^3/6)+4*(((0.15*B1714*5))^4/24)+5*(((0.15*B1714*5))^5/120))/((((0.15*B1714*5))^0/1)+(((0.15*B1714*5))^1/1)+(((0.15*B1714*5))^2/2)+(((0.15*B1714*5))^3/6)+(((0.15*B1714*5))^4/24)+(((0.15*B1714*5))^5/120))),0))+IF(Inputs!$B$3&gt;=54,9*(C1684=TRUE)*MIN(1,8*(1+Inputs!$B$34/100)*Q1684)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1685*(1-MIN(100,(Inputs!$B$9+((C1700=TRUE)*(F1700-Calc!F19))+B1712+(ArtifactsInput!$M$24-ArtifactsInput!$M$24)*CHOOSE(ArtifactsInput!$N$24+1,10,12,14,16,18,20)+(IF(AND(Inputs!$B$38&lt;&gt;"pvp",Inputs!$B$43=0),1,IF(IF(Inputs!$B$38="pvp",15,Inputs!$B$43)-(B1719)&lt;=0,1,MAX(0,IF(Inputs!$B$38="pvp",15,Inputs!$B$43)-MAX(5,B1719))/(IF(Inputs!$B$38="pvp",15,Inputs!$B$43)-(B1719))))*IF(AND(ArtifactsInput!$M$42,((Inputs!$B$9+((C1700=TRUE)*(F1700-Calc!F19))+B1712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1685*(MIN(100,(Inputs!$B$9+((C1700=TRUE)*(F1700-Calc!F19))+B1712+(ArtifactsInput!$M$24-ArtifactsInput!$M$24)*CHOOSE(ArtifactsInput!$N$24+1,10,12,14,16,18,20)+(IF(AND(Inputs!$B$38&lt;&gt;"pvp",Inputs!$B$43=0),1,IF(IF(Inputs!$B$38="pvp",15,Inputs!$B$43)-(B1719)&lt;=0,1,MAX(0,IF(Inputs!$B$38="pvp",15,Inputs!$B$43)-MAX(5,B1719))/(IF(Inputs!$B$38="pvp",15,Inputs!$B$43)-(B1719))))*IF(AND(ArtifactsInput!$M$42,((Inputs!$B$9+((C1700=TRUE)*(F1700-Calc!F19))+B1712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1685*(1-MIN(100,(Inputs!$B$9+((C1700=TRUE)*(F1700-Calc!F19))+B1712+(ArtifactsInput!$M$24-ArtifactsInput!$M$24)*CHOOSE(ArtifactsInput!$N$24+1,10,12,14,16,18,20)+(IF(AND(Inputs!$B$38&lt;&gt;"pvp",Inputs!$B$43=0),1,IF(IF(Inputs!$B$38="pvp",15,Inputs!$B$43)-(B1719)&lt;=0,1,MAX(0,IF(Inputs!$B$38="pvp",15,Inputs!$B$43)-MAX(5,B1719))/(IF(Inputs!$B$38="pvp",15,Inputs!$B$43)-(B1719))))*IF(AND(ArtifactsInput!$M$42,((Inputs!$B$9+((C1700=TRUE)*(F1700-Calc!F19))+B1712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1685*(MIN(100,(Inputs!$B$9+((C1700=TRUE)*(F1700-Calc!F19))+B1712+(ArtifactsInput!$M$24-ArtifactsInput!$M$24)*CHOOSE(ArtifactsInput!$N$24+1,10,12,14,16,18,20)+(IF(AND(Inputs!$B$38&lt;&gt;"pvp",Inputs!$B$43=0),1,IF(IF(Inputs!$B$38="pvp",15,Inputs!$B$43)-(B1719)&lt;=0,1,MAX(0,IF(Inputs!$B$38="pvp",15,Inputs!$B$43)-MAX(5,B1719))/(IF(Inputs!$B$38="pvp",15,Inputs!$B$43)-(B1719))))*IF(AND(ArtifactsInput!$M$42,((Inputs!$B$9+((C1700=TRUE)*(F1700-Calc!F19))+B1712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685">
        <f>290*U1684/1000</f>
        <v/>
      </c>
      <c r="V1685">
        <f>IF(C1685,(H1685*N1685*IF(AND(Inputs!$B$38&lt;&gt;"pvp",Inputs!$B$43&gt;0),((Skills!G4*((R1685-1)*IF(Skills!H4&gt;0,INT(IF(Inputs!$B$3&gt;=104,MIN(35,20*(1+Inputs!$B$34/100)),20)/Skills!H4+0.000000001),1)+IF(Skills!H4&gt;0,INT(MIN(IF(Inputs!$B$3&gt;=104,MIN(35,20*(1+Inputs!$B$34/100)),20),MAX(0,MAX(0,Inputs!$B$43-B1719)-((R1685-1)*(IF(Inputs!$B$38="pvp",15,MAX(0.1,Skills!D4-IF(TRUE=TRUE,Inputs!$B$32,0)))*(1-IF(AND(ArtifactsInput!$M$27,Inputs!$B$4="Chapter Hunt"),CHOOSE(ArtifactsInput!$N$27+1,20,24,28,32,36,40),0)/100)))))/Skills!H4+0.000000001),1)))/Inputs!$B$43),G1685*Q1685))*IF(Inputs!$B$38="pvp",1,(1+(Inputs!$B$21+Skills!Q4+(IF(ArtifactsInput!$M$33,CHOOSE(ArtifactsInput!$N$33+1,30,36,42,48,54,60),0))+(IF(AND(ArtifactsInput!$M$35,Inputs!$B$4&lt;&gt;"Chapter Hunt"),CHOOSE(ArtifactsInput!$N$35+1,15,18,21,24,27,30)*(1-EXP(-(0.2*B1714)*5)),0)+IF(AND(ArtifactsInput!$M$22,Inputs!$B$4&lt;&gt;"Chapter Hunt"),CHOOSE(ArtifactsInput!$N$22+1,10,12,14,16,18,20)*((0*(((0.15*B1714*5))^0/1)+1*(((0.15*B1714*5))^1/1)+2*(((0.15*B1714*5))^2/2)+3*(((0.15*B1714*5))^3/6)+4*(((0.15*B1714*5))^4/24)+5*(((0.15*B1714*5))^5/120))/((((0.15*B1714*5))^0/1)+(((0.15*B1714*5))^1/1)+(((0.15*B1714*5))^2/2)+(((0.15*B1714*5))^3/6)+(((0.15*B1714*5))^4/24)+(((0.15*B1714*5))^5/120))),0))+IF(Inputs!$B$3&gt;=54,9*(C1684=TRUE)*MIN(1,8*(1+Inputs!$B$34/100)*Q1684),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86">
      <c r="A1686">
        <f>Skills!A5</f>
        <v/>
      </c>
      <c r="B1686">
        <f>Skills!B5</f>
        <v/>
      </c>
      <c r="C1686">
        <f>Inputs!$B$3&gt;=69</f>
        <v/>
      </c>
      <c r="D1686">
        <f>IF(Skills!C5=1,60+Inputs!$B$25+Inputs!$B$29,IF(Skills!C5=2,90+Inputs!$B$26+Inputs!$B$29,IF(Skills!C5=3,120+Inputs!$B$27+Inputs!$B$29,MAX(0,(Inputs!$B$3-100)*3)+Inputs!$B$28+Inputs!$B$29)))</f>
        <v/>
      </c>
      <c r="E1686">
        <f>INDEX(FactorTable!$B$2:$Y$301, MATCH(ROUND(MIN(300,MAX(1,D1686)),0), FactorTable!$A$2:$A$301,0), Skills!M5+1)</f>
        <v/>
      </c>
      <c r="F1686">
        <f>IF(Skills!N5=TRUE,(Skills!L5/10)*(E1686/1000),Skills!L5/10)+Skills!O5</f>
        <v/>
      </c>
      <c r="G1686">
        <f>Skills!G5*IF(Skills!H5&gt;0,INT(IF(Inputs!$B$38="pvp",MIN(IF(Inputs!$B$3&gt;=104,MIN(35,20*(1+Inputs!$B$34/100)),20),15),IF(Inputs!$B$3&gt;=104,MIN(35,20*(1+Inputs!$B$34/100)),20))/Skills!H5+0.000000001),1)</f>
        <v/>
      </c>
      <c r="H1686">
        <f>1-(1-Skills!J5/100)^Skills!K5</f>
        <v/>
      </c>
      <c r="I1686" t="inlineStr">
        <is>
          <t>1</t>
        </is>
      </c>
      <c r="J1686">
        <f>((Inputs!$B$6*(1+Inputs!$B$7/100))+(((Inputs!$B$12*(1+Inputs!$B$13/100))-(Inputs!$B$12*(1+Inputs!$B$13/100)))+0.25*(Inputs!$B$14-Inputs!$B$14))*(1+Inputs!$B$7/100))*(F1686/100)</f>
        <v/>
      </c>
      <c r="K1686">
        <f>J1686*(1+((Inputs!$B$12*(1+Inputs!$B$13/100))*0.01+Inputs!$B$14*0.0025)/100)*(1+Inputs!$B$15/100)*(1+Inputs!$B$16/100)*(5000/(6000+Inputs!$B$42*(1-(100*(1-(1-(Inputs!$B$19+0)/100)*(1-CHOOSE(ArtifactsInput!$N$40+1,5,6,7,8,9,10)/100)^(ArtifactsInput!$M$40-ArtifactsInput!$M$40)))/100)))*(1+(Inputs!$B$24+((C1707=TRUE)*(F1707-Calc!F26))+B1718)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+0.4*IF(C1697=TRUE,F1697,0)/100)*(1+(IF(Skills!A5="EIGHT_LEGS_EASTON",Inputs!$B$17+((C1704=TRUE)*(F1704-Calc!F23))+((C1708=TRUE)*(F1708-Calc!F27))+((IF(AND(Inputs!$B$38&lt;&gt;"pvp",Inputs!$B$43=0),1,IF(IF(Inputs!$B$38="pvp",15,Inputs!$B$43)-(B1719)&lt;=0,1,MAX(0,IF(Inputs!$B$38="pvp",15,Inputs!$B$43)-MAX(5,B1719))/(IF(Inputs!$B$38="pvp",15,Inputs!$B$43)-(B1719))))*(IF(AND(ArtifactsInput!$M$42,((Inputs!$B$9+((C1700=TRUE)*(F1700-Calc!F19))+B1712+(ArtifactsInput!$M$24-ArtifactsInput!$M$24)*CHOOSE(ArtifactsInput!$N$24+1,10,12,14,16,18,20)+IF(ArtifactsInput!$M$10,CHOOSE(ArtifactsInput!$N$10+1,15,18,21,24,27,30)*(IF(Inputs!$B$38="pvp",MIN(15,15)/15,IF(AND(Inputs!$B$38&lt;&gt;"pvp",Inputs!$B$43&gt;0),MIN(15,Inputs!$B$43)/(Inputs!$B$43),0))),0)))&gt;=100),MIN(100,((Inputs!$B$9+((C1700=TRUE)*(F1700-Calc!F19))+B1712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1719)&lt;=0,1,MAX(0,IF(Inputs!$B$38="pvp",15,Inputs!$B$43)-MAX(5,B1719))/(IF(Inputs!$B$38="pvp",15,Inputs!$B$43)-(B1719))))*IF(AND(ArtifactsInput!$M$42,((Inputs!$B$9+((C1700=TRUE)*(F1700-Calc!F19))+B1712+(ArtifactsInput!$M$24-ArtifactsInput!$M$24)*CHOOSE(ArtifactsInput!$N$24+1,10,12,14,16,18,20)+IF(ArtifactsInput!$M$10,CHOOSE(ArtifactsInput!$N$10+1,15,18,21,24,27,30)*(IF(Inputs!$B$38="pvp",MIN(15,15)/15,IF(AND(Inputs!$B$38&lt;&gt;"pvp",Inputs!$B$43&gt;0),MIN(15,Inputs!$B$43)/(Inputs!$B$43),0))),0)))&gt;=100),CHOOSE(ArtifactsInput!$N$42+1,40,48,56,64,72,80),0))))/100)*((1+(((C1698=TRUE)*F1698*5/7)+((C1705=TRUE)*(F1705-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1686)</f>
        <v/>
      </c>
      <c r="L1686">
        <f>K1686*(MIN(Inputs!$B$22+((C1703=TRUE)*(F1703-Calc!F22)),(Inputs!$B$23+0+((IF(IF(ArtifactsInput!$M$15,FALSE,TRUE),1,-1)*CHOOSE(ArtifactsInput!$N$15+1,25,30,35,40,45,50)/100*IF(IF(ArtifactsInput!$M$15,FALSE,TRUE),(Inputs!$B$11+((C1701=TRUE)*(F1701-Calc!F20))+((C1702=TRUE)*(F1702-Calc!F21))+(IF(ArtifactsInput!$M$15,FALSE,TRUE)-ArtifactsInput!$M$15)*CHOOSE(ArtifactsInput!$N$15+1,8,9.6,11.2,12.8,14.4,16)),Inputs!$B$11)))))/100+(Inputs!$B$23+0+((IF(IF(ArtifactsInput!$M$15,FALSE,TRUE),1,-1)*CHOOSE(ArtifactsInput!$N$15+1,25,30,35,40,45,50)/100*IF(IF(ArtifactsInput!$M$15,FALSE,TRUE),(Inputs!$B$11+((C1701=TRUE)*(F1701-Calc!F20))+((C1702=TRUE)*(F1702-Calc!F21))+(IF(ArtifactsInput!$M$15,FALSE,TRUE)-ArtifactsInput!$M$15)*CHOOSE(ArtifactsInput!$N$15+1,8,9.6,11.2,12.8,14.4,16)),Inputs!$B$11))))/100)/2</f>
        <v/>
      </c>
      <c r="M1686">
        <f>L1686*(1+(Inputs!$B$10+((C1706=TRUE)*(F1706-Calc!F25))+B1717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86">
        <f>L1686*(1-MIN((Inputs!$B$9+((C1700=TRUE)*(F1700-Calc!F19))+B1712+(ArtifactsInput!$M$24-ArtifactsInput!$M$24)*CHOOSE(ArtifactsInput!$N$24+1,10,12,14,16,18,20)+(IF(AND(Inputs!$B$38&lt;&gt;"pvp",Inputs!$B$43=0),1,IF(IF(Inputs!$B$38="pvp",15,Inputs!$B$43)-(B1719)&lt;=0,1,MAX(0,IF(Inputs!$B$38="pvp",15,Inputs!$B$43)-MAX(5,B1719))/(IF(Inputs!$B$38="pvp",15,Inputs!$B$43)-(B1719))))*IF(AND(ArtifactsInput!$M$42,((Inputs!$B$9+((C1700=TRUE)*(F1700-Calc!F19))+B1712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1686*(MIN((Inputs!$B$9+((C1700=TRUE)*(F1700-Calc!F19))+B1712+(ArtifactsInput!$M$24-ArtifactsInput!$M$24)*CHOOSE(ArtifactsInput!$N$24+1,10,12,14,16,18,20)+(IF(AND(Inputs!$B$38&lt;&gt;"pvp",Inputs!$B$43=0),1,IF(IF(Inputs!$B$38="pvp",15,Inputs!$B$43)-(B1719)&lt;=0,1,MAX(0,IF(Inputs!$B$38="pvp",15,Inputs!$B$43)-MAX(5,B1719))/(IF(Inputs!$B$38="pvp",15,Inputs!$B$43)-(B1719))))*IF(AND(ArtifactsInput!$M$42,((Inputs!$B$9+((C1700=TRUE)*(F1700-Calc!F19))+B1712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86">
        <f>(1-Summary!$B$11)*T1686+Summary!$B$11*V1686</f>
        <v/>
      </c>
      <c r="P1686">
        <f>IF(B1722=0,0,O1686/B1722)</f>
        <v/>
      </c>
      <c r="Q1686">
        <f>IFERROR(1/(IF(Inputs!$B$38="pvp",15,MAX(0.1,Skills!D5-IF(TRUE=TRUE,Inputs!$B$32,0)))*(1-IF(AND(ArtifactsInput!$M$27,Inputs!$B$4="Chapter Hunt"),CHOOSE(ArtifactsInput!$N$27+1,20,24,28,32,36,40),0)/100)),0)</f>
        <v/>
      </c>
      <c r="R1686">
        <f>IF(AND(Inputs!$B$38&lt;&gt;"pvp",Inputs!$B$43&gt;0),IF(MAX(0,Inputs!$B$43-B1719)&lt;=0,0,(INT(MAX(0,Inputs!$B$43-B1719)/(IF(Inputs!$B$38="pvp",15,MAX(0.1,Skills!D5-IF(TRUE=TRUE,Inputs!$B$32,0)))*(1-IF(AND(ArtifactsInput!$M$27,Inputs!$B$4="Chapter Hunt"),CHOOSE(ArtifactsInput!$N$27+1,20,24,28,32,36,40),0)/100)))+1)),0)</f>
        <v/>
      </c>
      <c r="S1686">
        <f>IFERROR(O1686/N1686,0)</f>
        <v/>
      </c>
      <c r="T1686">
        <f>IF(C1686,(H1686*N1686*IF(AND(Inputs!$B$38&lt;&gt;"pvp",Inputs!$B$43&gt;0),((Skills!G5*((R1686-1)*IF(Skills!H5&gt;0,INT(IF(Inputs!$B$3&gt;=104,MIN(35,20*(1+Inputs!$B$34/100)),20)/Skills!H5+0.000000001),1)+IF(Skills!H5&gt;0,INT(MIN(IF(Inputs!$B$3&gt;=104,MIN(35,20*(1+Inputs!$B$34/100)),20),MAX(0,MAX(0,Inputs!$B$43-B1719)-((R1686-1)*(IF(Inputs!$B$38="pvp",15,MAX(0.1,Skills!D5-IF(TRUE=TRUE,Inputs!$B$32,0)))*(1-IF(AND(ArtifactsInput!$M$27,Inputs!$B$4="Chapter Hunt"),CHOOSE(ArtifactsInput!$N$27+1,20,24,28,32,36,40),0)/100)))))/Skills!H5+0.000000001),1)))/Inputs!$B$43),G1686*Q1686))*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Hunt"),CHOOSE(ArtifactsInput!$N$35+1,15,18,21,24,27,30)*(1-EXP(-(0.2*B1714)*5)),0)+IF(AND(ArtifactsInput!$M$22,Inputs!$B$4&lt;&gt;"Chapter Hunt"),CHOOSE(ArtifactsInput!$N$22+1,10,12,14,16,18,20)*((0*(((0.15*B1714*5))^0/1)+1*(((0.15*B1714*5))^1/1)+2*(((0.15*B1714*5))^2/2)+3*(((0.15*B1714*5))^3/6)+4*(((0.15*B1714*5))^4/24)+5*(((0.15*B1714*5))^5/120))/((((0.15*B1714*5))^0/1)+(((0.15*B1714*5))^1/1)+(((0.15*B1714*5))^2/2)+(((0.15*B1714*5))^3/6)+(((0.15*B1714*5))^4/24)+(((0.15*B1714*5))^5/120))),0))+IF(Inputs!$B$3&gt;=54,9*(C1684=TRUE)*MIN(1,8*(1+Inputs!$B$34/100)*Q1684)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1686*(1-MIN(100,(Inputs!$B$9+((C1700=TRUE)*(F1700-Calc!F19))+B1712+(ArtifactsInput!$M$24-ArtifactsInput!$M$24)*CHOOSE(ArtifactsInput!$N$24+1,10,12,14,16,18,20)+(IF(AND(Inputs!$B$38&lt;&gt;"pvp",Inputs!$B$43=0),1,IF(IF(Inputs!$B$38="pvp",15,Inputs!$B$43)-(B1719)&lt;=0,1,MAX(0,IF(Inputs!$B$38="pvp",15,Inputs!$B$43)-MAX(5,B1719))/(IF(Inputs!$B$38="pvp",15,Inputs!$B$43)-(B1719))))*IF(AND(ArtifactsInput!$M$42,((Inputs!$B$9+((C1700=TRUE)*(F1700-Calc!F19))+B1712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1686*(MIN(100,(Inputs!$B$9+((C1700=TRUE)*(F1700-Calc!F19))+B1712+(ArtifactsInput!$M$24-ArtifactsInput!$M$24)*CHOOSE(ArtifactsInput!$N$24+1,10,12,14,16,18,20)+(IF(AND(Inputs!$B$38&lt;&gt;"pvp",Inputs!$B$43=0),1,IF(IF(Inputs!$B$38="pvp",15,Inputs!$B$43)-(B1719)&lt;=0,1,MAX(0,IF(Inputs!$B$38="pvp",15,Inputs!$B$43)-MAX(5,B1719))/(IF(Inputs!$B$38="pvp",15,Inputs!$B$43)-(B1719))))*IF(AND(ArtifactsInput!$M$42,((Inputs!$B$9+((C1700=TRUE)*(F1700-Calc!F19))+B1712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1686*(1-MIN(100,(Inputs!$B$9+((C1700=TRUE)*(F1700-Calc!F19))+B1712+(ArtifactsInput!$M$24-ArtifactsInput!$M$24)*CHOOSE(ArtifactsInput!$N$24+1,10,12,14,16,18,20)+(IF(AND(Inputs!$B$38&lt;&gt;"pvp",Inputs!$B$43=0),1,IF(IF(Inputs!$B$38="pvp",15,Inputs!$B$43)-(B1719)&lt;=0,1,MAX(0,IF(Inputs!$B$38="pvp",15,Inputs!$B$43)-MAX(5,B1719))/(IF(Inputs!$B$38="pvp",15,Inputs!$B$43)-(B1719))))*IF(AND(ArtifactsInput!$M$42,((Inputs!$B$9+((C1700=TRUE)*(F1700-Calc!F19))+B1712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1686*(MIN(100,(Inputs!$B$9+((C1700=TRUE)*(F1700-Calc!F19))+B1712+(ArtifactsInput!$M$24-ArtifactsInput!$M$24)*CHOOSE(ArtifactsInput!$N$24+1,10,12,14,16,18,20)+(IF(AND(Inputs!$B$38&lt;&gt;"pvp",Inputs!$B$43=0),1,IF(IF(Inputs!$B$38="pvp",15,Inputs!$B$43)-(B1719)&lt;=0,1,MAX(0,IF(Inputs!$B$38="pvp",15,Inputs!$B$43)-MAX(5,B1719))/(IF(Inputs!$B$38="pvp",15,Inputs!$B$43)-(B1719))))*IF(AND(ArtifactsInput!$M$42,((Inputs!$B$9+((C1700=TRUE)*(F1700-Calc!F19))+B1712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686">
        <f>IF(C1686,(H1686*N1686*IF(AND(Inputs!$B$38&lt;&gt;"pvp",Inputs!$B$43&gt;0),((Skills!G5*((R1686-1)*IF(Skills!H5&gt;0,INT(IF(Inputs!$B$3&gt;=104,MIN(35,20*(1+Inputs!$B$34/100)),20)/Skills!H5+0.000000001),1)+IF(Skills!H5&gt;0,INT(MIN(IF(Inputs!$B$3&gt;=104,MIN(35,20*(1+Inputs!$B$34/100)),20),MAX(0,MAX(0,Inputs!$B$43-B1719)-((R1686-1)*(IF(Inputs!$B$38="pvp",15,MAX(0.1,Skills!D5-IF(TRUE=TRUE,Inputs!$B$32,0)))*(1-IF(AND(ArtifactsInput!$M$27,Inputs!$B$4="Chapter Hunt"),CHOOSE(ArtifactsInput!$N$27+1,20,24,28,32,36,40),0)/100)))))/Skills!H5+0.000000001),1)))/Inputs!$B$43),G1686*Q1686))*IF(Inputs!$B$38="pvp",1,(1+(Inputs!$B$21+Skills!Q5+(IF(ArtifactsInput!$M$33,CHOOSE(ArtifactsInput!$N$33+1,30,36,42,48,54,60),0))+(IF(AND(ArtifactsInput!$M$35,Inputs!$B$4&lt;&gt;"Chapter Hunt"),CHOOSE(ArtifactsInput!$N$35+1,15,18,21,24,27,30)*(1-EXP(-(0.2*B1714)*5)),0)+IF(AND(ArtifactsInput!$M$22,Inputs!$B$4&lt;&gt;"Chapter Hunt"),CHOOSE(ArtifactsInput!$N$22+1,10,12,14,16,18,20)*((0*(((0.15*B1714*5))^0/1)+1*(((0.15*B1714*5))^1/1)+2*(((0.15*B1714*5))^2/2)+3*(((0.15*B1714*5))^3/6)+4*(((0.15*B1714*5))^4/24)+5*(((0.15*B1714*5))^5/120))/((((0.15*B1714*5))^0/1)+(((0.15*B1714*5))^1/1)+(((0.15*B1714*5))^2/2)+(((0.15*B1714*5))^3/6)+(((0.15*B1714*5))^4/24)+(((0.15*B1714*5))^5/120))),0))+IF(Inputs!$B$3&gt;=54,9*(C1684=TRUE)*MIN(1,8*(1+Inputs!$B$34/100)*Q1684),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87">
      <c r="A1687">
        <f>Skills!A6</f>
        <v/>
      </c>
      <c r="B1687">
        <f>Skills!B6</f>
        <v/>
      </c>
      <c r="C1687">
        <f>Inputs!$B$3&gt;=66</f>
        <v/>
      </c>
      <c r="D1687">
        <f>IF(Skills!C6=1,60+Inputs!$B$25+Inputs!$B$29,IF(Skills!C6=2,90+Inputs!$B$26+Inputs!$B$29,IF(Skills!C6=3,120+Inputs!$B$27+Inputs!$B$29,MAX(0,(Inputs!$B$3-100)*3)+Inputs!$B$28+Inputs!$B$29)))</f>
        <v/>
      </c>
      <c r="E1687">
        <f>INDEX(FactorTable!$B$2:$Y$301, MATCH(ROUND(MIN(300,MAX(1,D1687)),0), FactorTable!$A$2:$A$301,0), Skills!M6+1)</f>
        <v/>
      </c>
      <c r="F1687">
        <f>IF(Skills!N6=TRUE,(Skills!L6/10)*(E1687/1000),Skills!L6/10)+Skills!O6</f>
        <v/>
      </c>
      <c r="G1687">
        <f>Skills!G6*IF(Skills!H6&gt;0,INT(IF(Inputs!$B$38="pvp",MIN(Skills!I6,15),Skills!I6)/Skills!H6+0.000000001),1)</f>
        <v/>
      </c>
      <c r="H1687">
        <f>1-(1-Skills!J6/100)^Skills!K6</f>
        <v/>
      </c>
      <c r="I1687" t="inlineStr">
        <is>
          <t>1</t>
        </is>
      </c>
      <c r="J1687">
        <f>((Inputs!$B$6*(1+Inputs!$B$7/100))+(((Inputs!$B$12*(1+Inputs!$B$13/100))-(Inputs!$B$12*(1+Inputs!$B$13/100)))+0.25*(Inputs!$B$14-Inputs!$B$14))*(1+Inputs!$B$7/100))*(F1687/100)</f>
        <v/>
      </c>
      <c r="K1687">
        <f>J1687*(1+((Inputs!$B$12*(1+Inputs!$B$13/100))*0.01+Inputs!$B$14*0.0025)/100)*(1+Inputs!$B$15/100)*(1+Inputs!$B$16/100)*(5000/(6000+Inputs!$B$42*(1-(100*(1-(1-(Inputs!$B$19+0)/100)*(1-CHOOSE(ArtifactsInput!$N$40+1,5,6,7,8,9,10)/100)^(ArtifactsInput!$M$40-ArtifactsInput!$M$40)))/100)))*(1+(Inputs!$B$24+((C1707=TRUE)*(F1707-Calc!F26))+B1718)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+2.0*IF(C1696=TRUE,F1696,0)/100)*(1+(IF(Skills!A6="EIGHT_LEGS_EASTON",Inputs!$B$17+((C1704=TRUE)*(F1704-Calc!F23))+((C1708=TRUE)*(F1708-Calc!F27))+((IF(AND(Inputs!$B$38&lt;&gt;"pvp",Inputs!$B$43=0),1,IF(IF(Inputs!$B$38="pvp",15,Inputs!$B$43)-(B1719)&lt;=0,1,MAX(0,IF(Inputs!$B$38="pvp",15,Inputs!$B$43)-MAX(5,B1719))/(IF(Inputs!$B$38="pvp",15,Inputs!$B$43)-(B1719))))*(IF(AND(ArtifactsInput!$M$42,((Inputs!$B$9+((C1700=TRUE)*(F1700-Calc!F19))+B1712+(ArtifactsInput!$M$24-ArtifactsInput!$M$24)*CHOOSE(ArtifactsInput!$N$24+1,10,12,14,16,18,20)+IF(ArtifactsInput!$M$10,CHOOSE(ArtifactsInput!$N$10+1,15,18,21,24,27,30)*(IF(Inputs!$B$38="pvp",MIN(15,15)/15,IF(AND(Inputs!$B$38&lt;&gt;"pvp",Inputs!$B$43&gt;0),MIN(15,Inputs!$B$43)/(Inputs!$B$43),0))),0)))&gt;=100),MIN(100,((Inputs!$B$9+((C1700=TRUE)*(F1700-Calc!F19))+B1712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1719)&lt;=0,1,MAX(0,IF(Inputs!$B$38="pvp",15,Inputs!$B$43)-MAX(5,B1719))/(IF(Inputs!$B$38="pvp",15,Inputs!$B$43)-(B1719))))*IF(AND(ArtifactsInput!$M$42,((Inputs!$B$9+((C1700=TRUE)*(F1700-Calc!F19))+B1712+(ArtifactsInput!$M$24-ArtifactsInput!$M$24)*CHOOSE(ArtifactsInput!$N$24+1,10,12,14,16,18,20)+IF(ArtifactsInput!$M$10,CHOOSE(ArtifactsInput!$N$10+1,15,18,21,24,27,30)*(IF(Inputs!$B$38="pvp",MIN(15,15)/15,IF(AND(Inputs!$B$38&lt;&gt;"pvp",Inputs!$B$43&gt;0),MIN(15,Inputs!$B$43)/(Inputs!$B$43),0))),0)))&gt;=100),CHOOSE(ArtifactsInput!$N$42+1,40,48,56,64,72,80),0))))/100)*((1+(((C1698=TRUE)*F1698*5/7)+((C1705=TRUE)*(F1705-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1687)</f>
        <v/>
      </c>
      <c r="L1687">
        <f>K1687*(MIN(Inputs!$B$22+((C1703=TRUE)*(F1703-Calc!F22)),(Inputs!$B$23+0+((IF(IF(ArtifactsInput!$M$15,FALSE,TRUE),1,-1)*CHOOSE(ArtifactsInput!$N$15+1,25,30,35,40,45,50)/100*IF(IF(ArtifactsInput!$M$15,FALSE,TRUE),(Inputs!$B$11+((C1701=TRUE)*(F1701-Calc!F20))+((C1702=TRUE)*(F1702-Calc!F21))+(IF(ArtifactsInput!$M$15,FALSE,TRUE)-ArtifactsInput!$M$15)*CHOOSE(ArtifactsInput!$N$15+1,8,9.6,11.2,12.8,14.4,16)),Inputs!$B$11)))))/100+(Inputs!$B$23+0+((IF(IF(ArtifactsInput!$M$15,FALSE,TRUE),1,-1)*CHOOSE(ArtifactsInput!$N$15+1,25,30,35,40,45,50)/100*IF(IF(ArtifactsInput!$M$15,FALSE,TRUE),(Inputs!$B$11+((C1701=TRUE)*(F1701-Calc!F20))+((C1702=TRUE)*(F1702-Calc!F21))+(IF(ArtifactsInput!$M$15,FALSE,TRUE)-ArtifactsInput!$M$15)*CHOOSE(ArtifactsInput!$N$15+1,8,9.6,11.2,12.8,14.4,16)),Inputs!$B$11))))/100)/2</f>
        <v/>
      </c>
      <c r="M1687">
        <f>L1687*(1+(Inputs!$B$10+((C1706=TRUE)*(F1706-Calc!F25))+B1717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87">
        <f>L1687*(1-MIN((Inputs!$B$9+((C1700=TRUE)*(F1700-Calc!F19))+B1712+(ArtifactsInput!$M$24-ArtifactsInput!$M$24)*CHOOSE(ArtifactsInput!$N$24+1,10,12,14,16,18,20)+(IF(AND(Inputs!$B$38&lt;&gt;"pvp",Inputs!$B$43=0),1,IF(IF(Inputs!$B$38="pvp",15,Inputs!$B$43)-(B1719)&lt;=0,1,MAX(0,IF(Inputs!$B$38="pvp",15,Inputs!$B$43)-MAX(5,B1719))/(IF(Inputs!$B$38="pvp",15,Inputs!$B$43)-(B1719))))*IF(AND(ArtifactsInput!$M$42,((Inputs!$B$9+((C1700=TRUE)*(F1700-Calc!F19))+B1712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1687*(MIN((Inputs!$B$9+((C1700=TRUE)*(F1700-Calc!F19))+B1712+(ArtifactsInput!$M$24-ArtifactsInput!$M$24)*CHOOSE(ArtifactsInput!$N$24+1,10,12,14,16,18,20)+(IF(AND(Inputs!$B$38&lt;&gt;"pvp",Inputs!$B$43=0),1,IF(IF(Inputs!$B$38="pvp",15,Inputs!$B$43)-(B1719)&lt;=0,1,MAX(0,IF(Inputs!$B$38="pvp",15,Inputs!$B$43)-MAX(5,B1719))/(IF(Inputs!$B$38="pvp",15,Inputs!$B$43)-(B1719))))*IF(AND(ArtifactsInput!$M$42,((Inputs!$B$9+((C1700=TRUE)*(F1700-Calc!F19))+B1712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87">
        <f>(1-Summary!$B$11)*T1687+Summary!$B$11*V1687</f>
        <v/>
      </c>
      <c r="P1687">
        <f>IF(B1722=0,0,O1687/B1722)</f>
        <v/>
      </c>
      <c r="Q1687">
        <f>IFERROR(1/(IF(Inputs!$B$38="pvp",15,MAX(0.1,Skills!D6-IF(TRUE=TRUE,Inputs!$B$32,0)))*(1-IF(AND(ArtifactsInput!$M$27,Inputs!$B$4="Chapter Hunt"),CHOOSE(ArtifactsInput!$N$27+1,20,24,28,32,36,40),0)/100)),0)</f>
        <v/>
      </c>
      <c r="R1687">
        <f>IF(AND(Inputs!$B$38&lt;&gt;"pvp",Inputs!$B$43&gt;0),IF(MAX(0,Inputs!$B$43-B1719)&lt;=0,0,(INT(MAX(0,Inputs!$B$43-B1719)/(IF(Inputs!$B$38="pvp",15,MAX(0.1,Skills!D6-IF(TRUE=TRUE,Inputs!$B$32,0)))*(1-IF(AND(ArtifactsInput!$M$27,Inputs!$B$4="Chapter Hunt"),CHOOSE(ArtifactsInput!$N$27+1,20,24,28,32,36,40),0)/100)))+1)),0)</f>
        <v/>
      </c>
      <c r="S1687">
        <f>IFERROR(O1687/N1687,0)</f>
        <v/>
      </c>
      <c r="T1687">
        <f>IF(C1687,(H1687*N1687*IF(AND(Inputs!$B$38&lt;&gt;"pvp",Inputs!$B$43&gt;0),((Skills!G6*((R1687-1)*IF(Skills!H6&gt;0,INT(Skills!I6/Skills!H6+0.000000001),1)+IF(Skills!H6&gt;0,INT(MIN(Skills!I6,MAX(0,MAX(0,Inputs!$B$43-B1719)-((R1687-1)*(IF(Inputs!$B$38="pvp",15,MAX(0.1,Skills!D6-IF(TRUE=TRUE,Inputs!$B$32,0)))*(1-IF(AND(ArtifactsInput!$M$27,Inputs!$B$4="Chapter Hunt"),CHOOSE(ArtifactsInput!$N$27+1,20,24,28,32,36,40),0)/100)))))/Skills!H6+0.000000001),1)))/Inputs!$B$43),G1687*Q1687)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Hunt"),CHOOSE(ArtifactsInput!$N$35+1,15,18,21,24,27,30)*(1-EXP(-(0.2*B1714)*5)),0)+IF(AND(ArtifactsInput!$M$22,Inputs!$B$4&lt;&gt;"Chapter Hunt"),CHOOSE(ArtifactsInput!$N$22+1,10,12,14,16,18,20)*((0*(((0.15*B1714*5))^0/1)+1*(((0.15*B1714*5))^1/1)+2*(((0.15*B1714*5))^2/2)+3*(((0.15*B1714*5))^3/6)+4*(((0.15*B1714*5))^4/24)+5*(((0.15*B1714*5))^5/120))/((((0.15*B1714*5))^0/1)+(((0.15*B1714*5))^1/1)+(((0.15*B1714*5))^2/2)+(((0.15*B1714*5))^3/6)+(((0.15*B1714*5))^4/24)+(((0.15*B1714*5))^5/120))),0))+IF(Inputs!$B$3&gt;=54,9*(C1684=TRUE)*MIN(1,8*(1+Inputs!$B$34/100)*Q1684)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1687*(1-MIN(100,(Inputs!$B$9+((C1700=TRUE)*(F1700-Calc!F19))+B1712+(ArtifactsInput!$M$24-ArtifactsInput!$M$24)*CHOOSE(ArtifactsInput!$N$24+1,10,12,14,16,18,20)+(IF(AND(Inputs!$B$38&lt;&gt;"pvp",Inputs!$B$43=0),1,IF(IF(Inputs!$B$38="pvp",15,Inputs!$B$43)-(B1719)&lt;=0,1,MAX(0,IF(Inputs!$B$38="pvp",15,Inputs!$B$43)-MAX(5,B1719))/(IF(Inputs!$B$38="pvp",15,Inputs!$B$43)-(B1719))))*IF(AND(ArtifactsInput!$M$42,((Inputs!$B$9+((C1700=TRUE)*(F1700-Calc!F19))+B1712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1687*(MIN(100,(Inputs!$B$9+((C1700=TRUE)*(F1700-Calc!F19))+B1712+(ArtifactsInput!$M$24-ArtifactsInput!$M$24)*CHOOSE(ArtifactsInput!$N$24+1,10,12,14,16,18,20)+(IF(AND(Inputs!$B$38&lt;&gt;"pvp",Inputs!$B$43=0),1,IF(IF(Inputs!$B$38="pvp",15,Inputs!$B$43)-(B1719)&lt;=0,1,MAX(0,IF(Inputs!$B$38="pvp",15,Inputs!$B$43)-MAX(5,B1719))/(IF(Inputs!$B$38="pvp",15,Inputs!$B$43)-(B1719))))*IF(AND(ArtifactsInput!$M$42,((Inputs!$B$9+((C1700=TRUE)*(F1700-Calc!F19))+B1712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1687*(1-MIN(100,(Inputs!$B$9+((C1700=TRUE)*(F1700-Calc!F19))+B1712+(ArtifactsInput!$M$24-ArtifactsInput!$M$24)*CHOOSE(ArtifactsInput!$N$24+1,10,12,14,16,18,20)+(IF(AND(Inputs!$B$38&lt;&gt;"pvp",Inputs!$B$43=0),1,IF(IF(Inputs!$B$38="pvp",15,Inputs!$B$43)-(B1719)&lt;=0,1,MAX(0,IF(Inputs!$B$38="pvp",15,Inputs!$B$43)-MAX(5,B1719))/(IF(Inputs!$B$38="pvp",15,Inputs!$B$43)-(B1719))))*IF(AND(ArtifactsInput!$M$42,((Inputs!$B$9+((C1700=TRUE)*(F1700-Calc!F19))+B1712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1687*(MIN(100,(Inputs!$B$9+((C1700=TRUE)*(F1700-Calc!F19))+B1712+(ArtifactsInput!$M$24-ArtifactsInput!$M$24)*CHOOSE(ArtifactsInput!$N$24+1,10,12,14,16,18,20)+(IF(AND(Inputs!$B$38&lt;&gt;"pvp",Inputs!$B$43=0),1,IF(IF(Inputs!$B$38="pvp",15,Inputs!$B$43)-(B1719)&lt;=0,1,MAX(0,IF(Inputs!$B$38="pvp",15,Inputs!$B$43)-MAX(5,B1719))/(IF(Inputs!$B$38="pvp",15,Inputs!$B$43)-(B1719))))*IF(AND(ArtifactsInput!$M$42,((Inputs!$B$9+((C1700=TRUE)*(F1700-Calc!F19))+B1712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687">
        <f>IF(C1687,(H1687*N1687*IF(AND(Inputs!$B$38&lt;&gt;"pvp",Inputs!$B$43&gt;0),((Skills!G6*((R1687-1)*IF(Skills!H6&gt;0,INT(Skills!I6/Skills!H6+0.000000001),1)+IF(Skills!H6&gt;0,INT(MIN(Skills!I6,MAX(0,MAX(0,Inputs!$B$43-B1719)-((R1687-1)*(IF(Inputs!$B$38="pvp",15,MAX(0.1,Skills!D6-IF(TRUE=TRUE,Inputs!$B$32,0)))*(1-IF(AND(ArtifactsInput!$M$27,Inputs!$B$4="Chapter Hunt"),CHOOSE(ArtifactsInput!$N$27+1,20,24,28,32,36,40),0)/100)))))/Skills!H6+0.000000001),1)))/Inputs!$B$43),G1687*Q1687))*IF(Inputs!$B$38="pvp",1,(1+(Inputs!$B$21+Skills!Q6+(IF(ArtifactsInput!$M$33,CHOOSE(ArtifactsInput!$N$33+1,30,36,42,48,54,60),0))+(IF(AND(ArtifactsInput!$M$35,Inputs!$B$4&lt;&gt;"Chapter Hunt"),CHOOSE(ArtifactsInput!$N$35+1,15,18,21,24,27,30)*(1-EXP(-(0.2*B1714)*5)),0)+IF(AND(ArtifactsInput!$M$22,Inputs!$B$4&lt;&gt;"Chapter Hunt"),CHOOSE(ArtifactsInput!$N$22+1,10,12,14,16,18,20)*((0*(((0.15*B1714*5))^0/1)+1*(((0.15*B1714*5))^1/1)+2*(((0.15*B1714*5))^2/2)+3*(((0.15*B1714*5))^3/6)+4*(((0.15*B1714*5))^4/24)+5*(((0.15*B1714*5))^5/120))/((((0.15*B1714*5))^0/1)+(((0.15*B1714*5))^1/1)+(((0.15*B1714*5))^2/2)+(((0.15*B1714*5))^3/6)+(((0.15*B1714*5))^4/24)+(((0.15*B1714*5))^5/120))),0))+IF(Inputs!$B$3&gt;=54,9*(C1684=TRUE)*MIN(1,8*(1+Inputs!$B$34/100)*Q1684),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88">
      <c r="A1688">
        <f>Skills!A7</f>
        <v/>
      </c>
      <c r="B1688">
        <f>Skills!B7</f>
        <v/>
      </c>
      <c r="C1688">
        <f>Inputs!$B$3&gt;=63</f>
        <v/>
      </c>
      <c r="D1688">
        <f>IF(Skills!C7=1,60+Inputs!$B$25+Inputs!$B$29,IF(Skills!C7=2,90+Inputs!$B$26+Inputs!$B$29,IF(Skills!C7=3,120+Inputs!$B$27+Inputs!$B$29,MAX(0,(Inputs!$B$3-100)*3)+Inputs!$B$28+Inputs!$B$29)))</f>
        <v/>
      </c>
      <c r="E1688">
        <f>INDEX(FactorTable!$B$2:$Y$301, MATCH(ROUND(MIN(300,MAX(1,D1688)),0), FactorTable!$A$2:$A$301,0), Skills!M7+1)</f>
        <v/>
      </c>
      <c r="F1688">
        <f>IF(Skills!N7=TRUE,(Skills!L7/10)*(E1688/1000),Skills!L7/10)+Skills!O7</f>
        <v/>
      </c>
      <c r="G1688">
        <f>Skills!G7*IF(Skills!H7&gt;0,INT(IF(Inputs!$B$38="pvp",MIN(Skills!I7,15),Skills!I7)/Skills!H7+0.000000001),1)</f>
        <v/>
      </c>
      <c r="H1688">
        <f>1-(1-Skills!J7/100)^Skills!K7</f>
        <v/>
      </c>
      <c r="I1688" t="inlineStr">
        <is>
          <t>1</t>
        </is>
      </c>
      <c r="J1688">
        <f>((Inputs!$B$6*(1+Inputs!$B$7/100))+(((Inputs!$B$12*(1+Inputs!$B$13/100))-(Inputs!$B$12*(1+Inputs!$B$13/100)))+0.25*(Inputs!$B$14-Inputs!$B$14))*(1+Inputs!$B$7/100))*(F1688/100)</f>
        <v/>
      </c>
      <c r="K1688">
        <f>J1688*(1+((Inputs!$B$12*(1+Inputs!$B$13/100))*0.01+Inputs!$B$14*0.0025)/100)*(1+Inputs!$B$15/100)*(1+Inputs!$B$16/100)*(5000/(6000+Inputs!$B$42*(1-(100*(1-(1-(Inputs!$B$19+0)/100)*(1-CHOOSE(ArtifactsInput!$N$40+1,5,6,7,8,9,10)/100)^(ArtifactsInput!$M$40-ArtifactsInput!$M$40)))/100)))*(1+(Inputs!$B$24+((C1707=TRUE)*(F1707-Calc!F26))+B1718)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1696=TRUE,F1696,0)/100)*(1+(IF(Skills!A7="EIGHT_LEGS_EASTON",Inputs!$B$17+((C1704=TRUE)*(F1704-Calc!F23))+((C1708=TRUE)*(F1708-Calc!F27))+((IF(AND(Inputs!$B$38&lt;&gt;"pvp",Inputs!$B$43=0),1,IF(IF(Inputs!$B$38="pvp",15,Inputs!$B$43)-(B1719)&lt;=0,1,MAX(0,IF(Inputs!$B$38="pvp",15,Inputs!$B$43)-MAX(5,B1719))/(IF(Inputs!$B$38="pvp",15,Inputs!$B$43)-(B1719))))*(IF(AND(ArtifactsInput!$M$42,((Inputs!$B$9+((C1700=TRUE)*(F1700-Calc!F19))+B1712+(ArtifactsInput!$M$24-ArtifactsInput!$M$24)*CHOOSE(ArtifactsInput!$N$24+1,10,12,14,16,18,20)+IF(ArtifactsInput!$M$10,CHOOSE(ArtifactsInput!$N$10+1,15,18,21,24,27,30)*(IF(Inputs!$B$38="pvp",MIN(15,15)/15,IF(AND(Inputs!$B$38&lt;&gt;"pvp",Inputs!$B$43&gt;0),MIN(15,Inputs!$B$43)/(Inputs!$B$43),0))),0)))&gt;=100),MIN(100,((Inputs!$B$9+((C1700=TRUE)*(F1700-Calc!F19))+B1712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1719)&lt;=0,1,MAX(0,IF(Inputs!$B$38="pvp",15,Inputs!$B$43)-MAX(5,B1719))/(IF(Inputs!$B$38="pvp",15,Inputs!$B$43)-(B1719))))*IF(AND(ArtifactsInput!$M$42,((Inputs!$B$9+((C1700=TRUE)*(F1700-Calc!F19))+B1712+(ArtifactsInput!$M$24-ArtifactsInput!$M$24)*CHOOSE(ArtifactsInput!$N$24+1,10,12,14,16,18,20)+IF(ArtifactsInput!$M$10,CHOOSE(ArtifactsInput!$N$10+1,15,18,21,24,27,30)*(IF(Inputs!$B$38="pvp",MIN(15,15)/15,IF(AND(Inputs!$B$38&lt;&gt;"pvp",Inputs!$B$43&gt;0),MIN(15,Inputs!$B$43)/(Inputs!$B$43),0))),0)))&gt;=100),CHOOSE(ArtifactsInput!$N$42+1,40,48,56,64,72,80),0))))/100)*((1+(((C1698=TRUE)*F1698*5/7)+((C1705=TRUE)*(F1705-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1688)</f>
        <v/>
      </c>
      <c r="L1688">
        <f>K1688*(MIN(Inputs!$B$22+((C1703=TRUE)*(F1703-Calc!F22)),(Inputs!$B$23+0+((IF(IF(ArtifactsInput!$M$15,FALSE,TRUE),1,-1)*CHOOSE(ArtifactsInput!$N$15+1,25,30,35,40,45,50)/100*IF(IF(ArtifactsInput!$M$15,FALSE,TRUE),(Inputs!$B$11+((C1701=TRUE)*(F1701-Calc!F20))+((C1702=TRUE)*(F1702-Calc!F21))+(IF(ArtifactsInput!$M$15,FALSE,TRUE)-ArtifactsInput!$M$15)*CHOOSE(ArtifactsInput!$N$15+1,8,9.6,11.2,12.8,14.4,16)),Inputs!$B$11)))))/100+(Inputs!$B$23+0+((IF(IF(ArtifactsInput!$M$15,FALSE,TRUE),1,-1)*CHOOSE(ArtifactsInput!$N$15+1,25,30,35,40,45,50)/100*IF(IF(ArtifactsInput!$M$15,FALSE,TRUE),(Inputs!$B$11+((C1701=TRUE)*(F1701-Calc!F20))+((C1702=TRUE)*(F1702-Calc!F21))+(IF(ArtifactsInput!$M$15,FALSE,TRUE)-ArtifactsInput!$M$15)*CHOOSE(ArtifactsInput!$N$15+1,8,9.6,11.2,12.8,14.4,16)),Inputs!$B$11))))/100)/2</f>
        <v/>
      </c>
      <c r="M1688">
        <f>L1688*(1+(Inputs!$B$10+((C1706=TRUE)*(F1706-Calc!F25))+B1717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88">
        <f>L1688*(1-MIN((Inputs!$B$9+((C1700=TRUE)*(F1700-Calc!F19))+B1712+(ArtifactsInput!$M$24-ArtifactsInput!$M$24)*CHOOSE(ArtifactsInput!$N$24+1,10,12,14,16,18,20)+(IF(AND(Inputs!$B$38&lt;&gt;"pvp",Inputs!$B$43=0),1,IF(IF(Inputs!$B$38="pvp",15,Inputs!$B$43)-(B1719)&lt;=0,1,MAX(0,IF(Inputs!$B$38="pvp",15,Inputs!$B$43)-MAX(5,B1719))/(IF(Inputs!$B$38="pvp",15,Inputs!$B$43)-(B1719))))*IF(AND(ArtifactsInput!$M$42,((Inputs!$B$9+((C1700=TRUE)*(F1700-Calc!F19))+B1712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1688*(MIN((Inputs!$B$9+((C1700=TRUE)*(F1700-Calc!F19))+B1712+(ArtifactsInput!$M$24-ArtifactsInput!$M$24)*CHOOSE(ArtifactsInput!$N$24+1,10,12,14,16,18,20)+(IF(AND(Inputs!$B$38&lt;&gt;"pvp",Inputs!$B$43=0),1,IF(IF(Inputs!$B$38="pvp",15,Inputs!$B$43)-(B1719)&lt;=0,1,MAX(0,IF(Inputs!$B$38="pvp",15,Inputs!$B$43)-MAX(5,B1719))/(IF(Inputs!$B$38="pvp",15,Inputs!$B$43)-(B1719))))*IF(AND(ArtifactsInput!$M$42,((Inputs!$B$9+((C1700=TRUE)*(F1700-Calc!F19))+B1712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88">
        <f>(1-Summary!$B$11)*T1688+Summary!$B$11*V1688</f>
        <v/>
      </c>
      <c r="P1688">
        <f>IF(B1722=0,0,O1688/B1722)</f>
        <v/>
      </c>
      <c r="Q1688">
        <f>IFERROR(1/(IF(Inputs!$B$38="pvp",15,MAX(0.1,Skills!D7-IF(TRUE=TRUE,Inputs!$B$32,0)))*(1-IF(AND(ArtifactsInput!$M$27,Inputs!$B$4="Chapter Hunt"),CHOOSE(ArtifactsInput!$N$27+1,20,24,28,32,36,40),0)/100)),0)</f>
        <v/>
      </c>
      <c r="R1688">
        <f>IF(AND(Inputs!$B$38&lt;&gt;"pvp",Inputs!$B$43&gt;0),IF(MAX(0,Inputs!$B$43-B1719)&lt;=0,0,(INT(MAX(0,Inputs!$B$43-B1719)/(IF(Inputs!$B$38="pvp",15,MAX(0.1,Skills!D7-IF(TRUE=TRUE,Inputs!$B$32,0)))*(1-IF(AND(ArtifactsInput!$M$27,Inputs!$B$4="Chapter Hunt"),CHOOSE(ArtifactsInput!$N$27+1,20,24,28,32,36,40),0)/100)))+1)),0)</f>
        <v/>
      </c>
      <c r="S1688">
        <f>IFERROR(O1688/N1688,0)</f>
        <v/>
      </c>
      <c r="T1688">
        <f>IF(C1688,(H1688*N1688*IF(AND(Inputs!$B$38&lt;&gt;"pvp",Inputs!$B$43&gt;0),((Skills!G7*((R1688-1)*IF(Skills!H7&gt;0,INT(Skills!I7/Skills!H7+0.000000001),1)+IF(Skills!H7&gt;0,INT(MIN(Skills!I7,MAX(0,MAX(0,Inputs!$B$43-B1719)-((R1688-1)*(IF(Inputs!$B$38="pvp",15,MAX(0.1,Skills!D7-IF(TRUE=TRUE,Inputs!$B$32,0)))*(1-IF(AND(ArtifactsInput!$M$27,Inputs!$B$4="Chapter Hunt"),CHOOSE(ArtifactsInput!$N$27+1,20,24,28,32,36,40),0)/100)))))/Skills!H7+0.000000001),1)))/Inputs!$B$43),G1688*Q1688)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Hunt"),CHOOSE(ArtifactsInput!$N$35+1,15,18,21,24,27,30)*(1-EXP(-(0.2*B1714)*5)),0)+IF(AND(ArtifactsInput!$M$22,Inputs!$B$4&lt;&gt;"Chapter Hunt"),CHOOSE(ArtifactsInput!$N$22+1,10,12,14,16,18,20)*((0*(((0.15*B1714*5))^0/1)+1*(((0.15*B1714*5))^1/1)+2*(((0.15*B1714*5))^2/2)+3*(((0.15*B1714*5))^3/6)+4*(((0.15*B1714*5))^4/24)+5*(((0.15*B1714*5))^5/120))/((((0.15*B1714*5))^0/1)+(((0.15*B1714*5))^1/1)+(((0.15*B1714*5))^2/2)+(((0.15*B1714*5))^3/6)+(((0.15*B1714*5))^4/24)+(((0.15*B1714*5))^5/120))),0))+IF(Inputs!$B$3&gt;=54,9*(C1684=TRUE)*MIN(1,8*(1+Inputs!$B$34/100)*Q1684)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1688*(1-MIN(100,(Inputs!$B$9+((C1700=TRUE)*(F1700-Calc!F19))+B1712+(ArtifactsInput!$M$24-ArtifactsInput!$M$24)*CHOOSE(ArtifactsInput!$N$24+1,10,12,14,16,18,20)+(IF(AND(Inputs!$B$38&lt;&gt;"pvp",Inputs!$B$43=0),1,IF(IF(Inputs!$B$38="pvp",15,Inputs!$B$43)-(B1719)&lt;=0,1,MAX(0,IF(Inputs!$B$38="pvp",15,Inputs!$B$43)-MAX(5,B1719))/(IF(Inputs!$B$38="pvp",15,Inputs!$B$43)-(B1719))))*IF(AND(ArtifactsInput!$M$42,((Inputs!$B$9+((C1700=TRUE)*(F1700-Calc!F19))+B1712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1688*(MIN(100,(Inputs!$B$9+((C1700=TRUE)*(F1700-Calc!F19))+B1712+(ArtifactsInput!$M$24-ArtifactsInput!$M$24)*CHOOSE(ArtifactsInput!$N$24+1,10,12,14,16,18,20)+(IF(AND(Inputs!$B$38&lt;&gt;"pvp",Inputs!$B$43=0),1,IF(IF(Inputs!$B$38="pvp",15,Inputs!$B$43)-(B1719)&lt;=0,1,MAX(0,IF(Inputs!$B$38="pvp",15,Inputs!$B$43)-MAX(5,B1719))/(IF(Inputs!$B$38="pvp",15,Inputs!$B$43)-(B1719))))*IF(AND(ArtifactsInput!$M$42,((Inputs!$B$9+((C1700=TRUE)*(F1700-Calc!F19))+B1712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1688*(1-MIN(100,(Inputs!$B$9+((C1700=TRUE)*(F1700-Calc!F19))+B1712+(ArtifactsInput!$M$24-ArtifactsInput!$M$24)*CHOOSE(ArtifactsInput!$N$24+1,10,12,14,16,18,20)+(IF(AND(Inputs!$B$38&lt;&gt;"pvp",Inputs!$B$43=0),1,IF(IF(Inputs!$B$38="pvp",15,Inputs!$B$43)-(B1719)&lt;=0,1,MAX(0,IF(Inputs!$B$38="pvp",15,Inputs!$B$43)-MAX(5,B1719))/(IF(Inputs!$B$38="pvp",15,Inputs!$B$43)-(B1719))))*IF(AND(ArtifactsInput!$M$42,((Inputs!$B$9+((C1700=TRUE)*(F1700-Calc!F19))+B1712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1688*(MIN(100,(Inputs!$B$9+((C1700=TRUE)*(F1700-Calc!F19))+B1712+(ArtifactsInput!$M$24-ArtifactsInput!$M$24)*CHOOSE(ArtifactsInput!$N$24+1,10,12,14,16,18,20)+(IF(AND(Inputs!$B$38&lt;&gt;"pvp",Inputs!$B$43=0),1,IF(IF(Inputs!$B$38="pvp",15,Inputs!$B$43)-(B1719)&lt;=0,1,MAX(0,IF(Inputs!$B$38="pvp",15,Inputs!$B$43)-MAX(5,B1719))/(IF(Inputs!$B$38="pvp",15,Inputs!$B$43)-(B1719))))*IF(AND(ArtifactsInput!$M$42,((Inputs!$B$9+((C1700=TRUE)*(F1700-Calc!F19))+B1712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688">
        <f>IF(C1688,(H1688*N1688*IF(AND(Inputs!$B$38&lt;&gt;"pvp",Inputs!$B$43&gt;0),((Skills!G7*((R1688-1)*IF(Skills!H7&gt;0,INT(Skills!I7/Skills!H7+0.000000001),1)+IF(Skills!H7&gt;0,INT(MIN(Skills!I7,MAX(0,MAX(0,Inputs!$B$43-B1719)-((R1688-1)*(IF(Inputs!$B$38="pvp",15,MAX(0.1,Skills!D7-IF(TRUE=TRUE,Inputs!$B$32,0)))*(1-IF(AND(ArtifactsInput!$M$27,Inputs!$B$4="Chapter Hunt"),CHOOSE(ArtifactsInput!$N$27+1,20,24,28,32,36,40),0)/100)))))/Skills!H7+0.000000001),1)))/Inputs!$B$43),G1688*Q1688))*IF(Inputs!$B$38="pvp",1,(1+(Inputs!$B$21+Skills!Q7+(IF(ArtifactsInput!$M$33,CHOOSE(ArtifactsInput!$N$33+1,30,36,42,48,54,60),0))+(IF(AND(ArtifactsInput!$M$35,Inputs!$B$4&lt;&gt;"Chapter Hunt"),CHOOSE(ArtifactsInput!$N$35+1,15,18,21,24,27,30)*(1-EXP(-(0.2*B1714)*5)),0)+IF(AND(ArtifactsInput!$M$22,Inputs!$B$4&lt;&gt;"Chapter Hunt"),CHOOSE(ArtifactsInput!$N$22+1,10,12,14,16,18,20)*((0*(((0.15*B1714*5))^0/1)+1*(((0.15*B1714*5))^1/1)+2*(((0.15*B1714*5))^2/2)+3*(((0.15*B1714*5))^3/6)+4*(((0.15*B1714*5))^4/24)+5*(((0.15*B1714*5))^5/120))/((((0.15*B1714*5))^0/1)+(((0.15*B1714*5))^1/1)+(((0.15*B1714*5))^2/2)+(((0.15*B1714*5))^3/6)+(((0.15*B1714*5))^4/24)+(((0.15*B1714*5))^5/120))),0))+IF(Inputs!$B$3&gt;=54,9*(C1684=TRUE)*MIN(1,8*(1+Inputs!$B$34/100)*Q1684),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89">
      <c r="A1689">
        <f>Skills!A8</f>
        <v/>
      </c>
      <c r="B1689">
        <f>Skills!B8</f>
        <v/>
      </c>
      <c r="C1689">
        <f>Inputs!$B$3&gt;=103</f>
        <v/>
      </c>
      <c r="D1689">
        <f>IF(Skills!C8=1,60+Inputs!$B$25+Inputs!$B$29,IF(Skills!C8=2,90+Inputs!$B$26+Inputs!$B$29,IF(Skills!C8=3,120+Inputs!$B$27+Inputs!$B$29,MAX(0,(Inputs!$B$3-100)*3)+Inputs!$B$28+Inputs!$B$29)))</f>
        <v/>
      </c>
      <c r="E1689">
        <f>INDEX(FactorTable!$B$2:$Y$301, MATCH(ROUND(MIN(300,MAX(1,D1689)),0), FactorTable!$A$2:$A$301,0), Skills!M8+1)</f>
        <v/>
      </c>
      <c r="F1689">
        <f>IF(Skills!N8=TRUE,(Skills!L8/10)*(E1689/1000),Skills!L8/10)+Skills!O8</f>
        <v/>
      </c>
      <c r="G1689">
        <f>Skills!G8*IF(Skills!H8&gt;0,INT(IF(Inputs!$B$38="pvp",MIN(Skills!I8,15),Skills!I8)/Skills!H8+0.000000001),1)</f>
        <v/>
      </c>
      <c r="H1689">
        <f>1-(1-Skills!J8/100)^Skills!K8</f>
        <v/>
      </c>
      <c r="I1689" t="inlineStr">
        <is>
          <t>1</t>
        </is>
      </c>
      <c r="J1689">
        <f>((Inputs!$B$6*(1+Inputs!$B$7/100))+(((Inputs!$B$12*(1+Inputs!$B$13/100))-(Inputs!$B$12*(1+Inputs!$B$13/100)))+0.25*(Inputs!$B$14-Inputs!$B$14))*(1+Inputs!$B$7/100))*(F1689/100)</f>
        <v/>
      </c>
      <c r="K1689">
        <f>J1689*(1+((Inputs!$B$12*(1+Inputs!$B$13/100))*0.01+Inputs!$B$14*0.0025)/100)*(1+Inputs!$B$15/100)*(1+Inputs!$B$16/100)*(5000/(6000+Inputs!$B$42*(1-(100*(1-(1-(Inputs!$B$19+0)/100)*(1-CHOOSE(ArtifactsInput!$N$40+1,5,6,7,8,9,10)/100)^(ArtifactsInput!$M$40-ArtifactsInput!$M$40)))/100)))*(1+(Inputs!$B$24+((C1707=TRUE)*(F1707-Calc!F26))+B1718)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IGHT_LEGS_EASTON",Inputs!$B$17+((C1704=TRUE)*(F1704-Calc!F23))+((C1708=TRUE)*(F1708-Calc!F27))+((IF(AND(Inputs!$B$38&lt;&gt;"pvp",Inputs!$B$43=0),1,IF(IF(Inputs!$B$38="pvp",15,Inputs!$B$43)-(B1719)&lt;=0,1,MAX(0,IF(Inputs!$B$38="pvp",15,Inputs!$B$43)-MAX(5,B1719))/(IF(Inputs!$B$38="pvp",15,Inputs!$B$43)-(B1719))))*(IF(AND(ArtifactsInput!$M$42,((Inputs!$B$9+((C1700=TRUE)*(F1700-Calc!F19))+B1712+(ArtifactsInput!$M$24-ArtifactsInput!$M$24)*CHOOSE(ArtifactsInput!$N$24+1,10,12,14,16,18,20)+IF(ArtifactsInput!$M$10,CHOOSE(ArtifactsInput!$N$10+1,15,18,21,24,27,30)*(IF(Inputs!$B$38="pvp",MIN(15,15)/15,IF(AND(Inputs!$B$38&lt;&gt;"pvp",Inputs!$B$43&gt;0),MIN(15,Inputs!$B$43)/(Inputs!$B$43),0))),0)))&gt;=100),MIN(100,((Inputs!$B$9+((C1700=TRUE)*(F1700-Calc!F19))+B1712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1719)&lt;=0,1,MAX(0,IF(Inputs!$B$38="pvp",15,Inputs!$B$43)-MAX(5,B1719))/(IF(Inputs!$B$38="pvp",15,Inputs!$B$43)-(B1719))))*IF(AND(ArtifactsInput!$M$42,((Inputs!$B$9+((C1700=TRUE)*(F1700-Calc!F19))+B1712+(ArtifactsInput!$M$24-ArtifactsInput!$M$24)*CHOOSE(ArtifactsInput!$N$24+1,10,12,14,16,18,20)+IF(ArtifactsInput!$M$10,CHOOSE(ArtifactsInput!$N$10+1,15,18,21,24,27,30)*(IF(Inputs!$B$38="pvp",MIN(15,15)/15,IF(AND(Inputs!$B$38&lt;&gt;"pvp",Inputs!$B$43&gt;0),MIN(15,Inputs!$B$43)/(Inputs!$B$43),0))),0)))&gt;=100),CHOOSE(ArtifactsInput!$N$42+1,40,48,56,64,72,80),0))))/100)*((1+(((C1698=TRUE)*F1698*5/7)+((C1705=TRUE)*(F1705-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1689)</f>
        <v/>
      </c>
      <c r="L1689">
        <f>K1689*(MIN(Inputs!$B$22+((C1703=TRUE)*(F1703-Calc!F22)),(Inputs!$B$23+0+((IF(IF(ArtifactsInput!$M$15,FALSE,TRUE),1,-1)*CHOOSE(ArtifactsInput!$N$15+1,25,30,35,40,45,50)/100*IF(IF(ArtifactsInput!$M$15,FALSE,TRUE),(Inputs!$B$11+((C1701=TRUE)*(F1701-Calc!F20))+((C1702=TRUE)*(F1702-Calc!F21))+(IF(ArtifactsInput!$M$15,FALSE,TRUE)-ArtifactsInput!$M$15)*CHOOSE(ArtifactsInput!$N$15+1,8,9.6,11.2,12.8,14.4,16)),Inputs!$B$11)))))/100+(Inputs!$B$23+0+((IF(IF(ArtifactsInput!$M$15,FALSE,TRUE),1,-1)*CHOOSE(ArtifactsInput!$N$15+1,25,30,35,40,45,50)/100*IF(IF(ArtifactsInput!$M$15,FALSE,TRUE),(Inputs!$B$11+((C1701=TRUE)*(F1701-Calc!F20))+((C1702=TRUE)*(F1702-Calc!F21))+(IF(ArtifactsInput!$M$15,FALSE,TRUE)-ArtifactsInput!$M$15)*CHOOSE(ArtifactsInput!$N$15+1,8,9.6,11.2,12.8,14.4,16)),Inputs!$B$11))))/100)/2</f>
        <v/>
      </c>
      <c r="M1689">
        <f>L1689*(1+(Inputs!$B$10+((C1706=TRUE)*(F1706-Calc!F25))+B1717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89">
        <f>L1689*(1-MIN((Inputs!$B$9+((C1700=TRUE)*(F1700-Calc!F19))+B1712+(ArtifactsInput!$M$24-ArtifactsInput!$M$24)*CHOOSE(ArtifactsInput!$N$24+1,10,12,14,16,18,20)+(IF(AND(Inputs!$B$38&lt;&gt;"pvp",Inputs!$B$43=0),1,IF(IF(Inputs!$B$38="pvp",15,Inputs!$B$43)-(B1719)&lt;=0,1,MAX(0,IF(Inputs!$B$38="pvp",15,Inputs!$B$43)-MAX(5,B1719))/(IF(Inputs!$B$38="pvp",15,Inputs!$B$43)-(B1719))))*IF(AND(ArtifactsInput!$M$42,((Inputs!$B$9+((C1700=TRUE)*(F1700-Calc!F19))+B1712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1689*(MIN((Inputs!$B$9+((C1700=TRUE)*(F1700-Calc!F19))+B1712+(ArtifactsInput!$M$24-ArtifactsInput!$M$24)*CHOOSE(ArtifactsInput!$N$24+1,10,12,14,16,18,20)+(IF(AND(Inputs!$B$38&lt;&gt;"pvp",Inputs!$B$43=0),1,IF(IF(Inputs!$B$38="pvp",15,Inputs!$B$43)-(B1719)&lt;=0,1,MAX(0,IF(Inputs!$B$38="pvp",15,Inputs!$B$43)-MAX(5,B1719))/(IF(Inputs!$B$38="pvp",15,Inputs!$B$43)-(B1719))))*IF(AND(ArtifactsInput!$M$42,((Inputs!$B$9+((C1700=TRUE)*(F1700-Calc!F19))+B1712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89">
        <f>(1-Summary!$B$11)*T1689+Summary!$B$11*V1689</f>
        <v/>
      </c>
      <c r="P1689">
        <f>IF(B1722=0,0,O1689/B1722)</f>
        <v/>
      </c>
      <c r="Q1689">
        <f>IFERROR(1/((IF(Inputs!$B$38="pvp",15,MAX(0.1,Skills!D8-IF(TRUE=TRUE,Inputs!$B$32,0)))*(1-IF(AND(ArtifactsInput!$M$27,Inputs!$B$4="Chapter Hunt"),CHOOSE(ArtifactsInput!$N$27+1,20,24,28,32,36,40),0)/100))/B1723),0)</f>
        <v/>
      </c>
      <c r="R1689">
        <f>IF(AND(Inputs!$B$38&lt;&gt;"pvp",Inputs!$B$43&gt;0),IF(MAX(0,Inputs!$B$43-B1719)&lt;=0,0,(INT(MAX(0,Inputs!$B$43-B1719)/((IF(Inputs!$B$38="pvp",15,MAX(0.1,Skills!D8-IF(TRUE=TRUE,Inputs!$B$32,0)))*(1-IF(AND(ArtifactsInput!$M$27,Inputs!$B$4="Chapter Hunt"),CHOOSE(ArtifactsInput!$N$27+1,20,24,28,32,36,40),0)/100))/B1723))+1)),0)</f>
        <v/>
      </c>
      <c r="S1689">
        <f>IFERROR(O1689/N1689,0)</f>
        <v/>
      </c>
      <c r="T1689">
        <f>IF(C1689,(H1689*N1689*IF(AND(Inputs!$B$38&lt;&gt;"pvp",Inputs!$B$43&gt;0),((Skills!G8*((R1689-1)*IF(Skills!H8&gt;0,INT(Skills!I8/Skills!H8+0.000000001),1)+IF(Skills!H8&gt;0,INT(MIN(Skills!I8,MAX(0,MAX(0,Inputs!$B$43-B1719)-((R1689-1)*((IF(Inputs!$B$38="pvp",15,MAX(0.1,Skills!D8-IF(TRUE=TRUE,Inputs!$B$32,0)))*(1-IF(AND(ArtifactsInput!$M$27,Inputs!$B$4="Chapter Hunt"),CHOOSE(ArtifactsInput!$N$27+1,20,24,28,32,36,40),0)/100))/B1723))))/Skills!H8+0.000000001),1)))/Inputs!$B$43),G1689*Q1689))*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Hunt"),CHOOSE(ArtifactsInput!$N$35+1,15,18,21,24,27,30)*(1-EXP(-(0.2*B1714)*5)),0)+IF(AND(ArtifactsInput!$M$22,Inputs!$B$4&lt;&gt;"Chapter Hunt"),CHOOSE(ArtifactsInput!$N$22+1,10,12,14,16,18,20)*((0*(((0.15*B1714*5))^0/1)+1*(((0.15*B1714*5))^1/1)+2*(((0.15*B1714*5))^2/2)+3*(((0.15*B1714*5))^3/6)+4*(((0.15*B1714*5))^4/24)+5*(((0.15*B1714*5))^5/120))/((((0.15*B1714*5))^0/1)+(((0.15*B1714*5))^1/1)+(((0.15*B1714*5))^2/2)+(((0.15*B1714*5))^3/6)+(((0.15*B1714*5))^4/24)+(((0.15*B1714*5))^5/120))),0))+IF(Inputs!$B$3&gt;=54,9*(C1684=TRUE)*MIN(1,8*(1+Inputs!$B$34/100)*Q1684)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1689*(1-MIN(100,(Inputs!$B$9+((C1700=TRUE)*(F1700-Calc!F19))+B1712+(ArtifactsInput!$M$24-ArtifactsInput!$M$24)*CHOOSE(ArtifactsInput!$N$24+1,10,12,14,16,18,20)+(IF(AND(Inputs!$B$38&lt;&gt;"pvp",Inputs!$B$43=0),1,IF(IF(Inputs!$B$38="pvp",15,Inputs!$B$43)-(B1719)&lt;=0,1,MAX(0,IF(Inputs!$B$38="pvp",15,Inputs!$B$43)-MAX(5,B1719))/(IF(Inputs!$B$38="pvp",15,Inputs!$B$43)-(B1719))))*IF(AND(ArtifactsInput!$M$42,((Inputs!$B$9+((C1700=TRUE)*(F1700-Calc!F19))+B1712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1689*(MIN(100,(Inputs!$B$9+((C1700=TRUE)*(F1700-Calc!F19))+B1712+(ArtifactsInput!$M$24-ArtifactsInput!$M$24)*CHOOSE(ArtifactsInput!$N$24+1,10,12,14,16,18,20)+(IF(AND(Inputs!$B$38&lt;&gt;"pvp",Inputs!$B$43=0),1,IF(IF(Inputs!$B$38="pvp",15,Inputs!$B$43)-(B1719)&lt;=0,1,MAX(0,IF(Inputs!$B$38="pvp",15,Inputs!$B$43)-MAX(5,B1719))/(IF(Inputs!$B$38="pvp",15,Inputs!$B$43)-(B1719))))*IF(AND(ArtifactsInput!$M$42,((Inputs!$B$9+((C1700=TRUE)*(F1700-Calc!F19))+B1712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1689*(1-MIN(100,(Inputs!$B$9+((C1700=TRUE)*(F1700-Calc!F19))+B1712+(ArtifactsInput!$M$24-ArtifactsInput!$M$24)*CHOOSE(ArtifactsInput!$N$24+1,10,12,14,16,18,20)+(IF(AND(Inputs!$B$38&lt;&gt;"pvp",Inputs!$B$43=0),1,IF(IF(Inputs!$B$38="pvp",15,Inputs!$B$43)-(B1719)&lt;=0,1,MAX(0,IF(Inputs!$B$38="pvp",15,Inputs!$B$43)-MAX(5,B1719))/(IF(Inputs!$B$38="pvp",15,Inputs!$B$43)-(B1719))))*IF(AND(ArtifactsInput!$M$42,((Inputs!$B$9+((C1700=TRUE)*(F1700-Calc!F19))+B1712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1689*(MIN(100,(Inputs!$B$9+((C1700=TRUE)*(F1700-Calc!F19))+B1712+(ArtifactsInput!$M$24-ArtifactsInput!$M$24)*CHOOSE(ArtifactsInput!$N$24+1,10,12,14,16,18,20)+(IF(AND(Inputs!$B$38&lt;&gt;"pvp",Inputs!$B$43=0),1,IF(IF(Inputs!$B$38="pvp",15,Inputs!$B$43)-(B1719)&lt;=0,1,MAX(0,IF(Inputs!$B$38="pvp",15,Inputs!$B$43)-MAX(5,B1719))/(IF(Inputs!$B$38="pvp",15,Inputs!$B$43)-(B1719))))*IF(AND(ArtifactsInput!$M$42,((Inputs!$B$9+((C1700=TRUE)*(F1700-Calc!F19))+B1712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689">
        <f>IF(C1689,(H1689*N1689*IF(AND(Inputs!$B$38&lt;&gt;"pvp",Inputs!$B$43&gt;0),((Skills!G8*((R1689-1)*IF(Skills!H8&gt;0,INT(Skills!I8/Skills!H8+0.000000001),1)+IF(Skills!H8&gt;0,INT(MIN(Skills!I8,MAX(0,MAX(0,Inputs!$B$43-B1719)-((R1689-1)*((IF(Inputs!$B$38="pvp",15,MAX(0.1,Skills!D8-IF(TRUE=TRUE,Inputs!$B$32,0)))*(1-IF(AND(ArtifactsInput!$M$27,Inputs!$B$4="Chapter Hunt"),CHOOSE(ArtifactsInput!$N$27+1,20,24,28,32,36,40),0)/100))/B1723))))/Skills!H8+0.000000001),1)))/Inputs!$B$43),G1689*Q1689))*IF(Inputs!$B$38="pvp",1,(1+(Inputs!$B$21+Skills!Q8+(IF(ArtifactsInput!$M$33,CHOOSE(ArtifactsInput!$N$33+1,30,36,42,48,54,60),0))+(IF(AND(ArtifactsInput!$M$35,Inputs!$B$4&lt;&gt;"Chapter Hunt"),CHOOSE(ArtifactsInput!$N$35+1,15,18,21,24,27,30)*(1-EXP(-(0.2*B1714)*5)),0)+IF(AND(ArtifactsInput!$M$22,Inputs!$B$4&lt;&gt;"Chapter Hunt"),CHOOSE(ArtifactsInput!$N$22+1,10,12,14,16,18,20)*((0*(((0.15*B1714*5))^0/1)+1*(((0.15*B1714*5))^1/1)+2*(((0.15*B1714*5))^2/2)+3*(((0.15*B1714*5))^3/6)+4*(((0.15*B1714*5))^4/24)+5*(((0.15*B1714*5))^5/120))/((((0.15*B1714*5))^0/1)+(((0.15*B1714*5))^1/1)+(((0.15*B1714*5))^2/2)+(((0.15*B1714*5))^3/6)+(((0.15*B1714*5))^4/24)+(((0.15*B1714*5))^5/120))),0))+IF(Inputs!$B$3&gt;=54,9*(C1684=TRUE)*MIN(1,8*(1+Inputs!$B$34/100)*Q1684),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90">
      <c r="A1690">
        <f>Skills!A9</f>
        <v/>
      </c>
      <c r="B1690">
        <f>Skills!B9</f>
        <v/>
      </c>
      <c r="C1690">
        <f>Inputs!$B$3&gt;=105</f>
        <v/>
      </c>
      <c r="D1690">
        <f>IF(Skills!C9=1,60+Inputs!$B$25+Inputs!$B$29,IF(Skills!C9=2,90+Inputs!$B$26+Inputs!$B$29,IF(Skills!C9=3,120+Inputs!$B$27+Inputs!$B$29,MAX(0,(Inputs!$B$3-100)*3)+Inputs!$B$28+Inputs!$B$29)))</f>
        <v/>
      </c>
      <c r="E1690">
        <f>INDEX(FactorTable!$B$2:$Y$301, MATCH(ROUND(MIN(300,MAX(1,D1690)),0), FactorTable!$A$2:$A$301,0), Skills!M9+1)</f>
        <v/>
      </c>
      <c r="F1690">
        <f>IF(Skills!N9=TRUE,(Skills!L9/10)*(E1690/1000),Skills!L9/10)+Skills!O9</f>
        <v/>
      </c>
      <c r="G1690">
        <f>Skills!G9*IF(Skills!H9&gt;0,INT(IF(Inputs!$B$38="pvp",MIN(Skills!I9,15),Skills!I9)/Skills!H9+0.000000001),1)</f>
        <v/>
      </c>
      <c r="H1690">
        <f>1-(1-Skills!J9/100)^Skills!K9</f>
        <v/>
      </c>
      <c r="I1690" t="inlineStr">
        <is>
          <t>1</t>
        </is>
      </c>
      <c r="J1690">
        <f>((Inputs!$B$6*(1+Inputs!$B$7/100))+(((Inputs!$B$12*(1+Inputs!$B$13/100))-(Inputs!$B$12*(1+Inputs!$B$13/100)))+0.25*(Inputs!$B$14-Inputs!$B$14))*(1+Inputs!$B$7/100))*(F1690/100)</f>
        <v/>
      </c>
      <c r="K1690">
        <f>J1690*(1+((Inputs!$B$12*(1+Inputs!$B$13/100))*0.01+Inputs!$B$14*0.0025)/100)*(1+Inputs!$B$15/100)*(1+Inputs!$B$16/100)*(5000/(6000+Inputs!$B$42*(1-(100*(1-(1-(Inputs!$B$19+0)/100)*(1-CHOOSE(ArtifactsInput!$N$40+1,5,6,7,8,9,10)/100)^(ArtifactsInput!$M$40-ArtifactsInput!$M$40)))/100)))*(1+(Inputs!$B$24+((C1707=TRUE)*(F1707-Calc!F26))+B1718)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IGHT_LEGS_EASTON",Inputs!$B$17+((C1704=TRUE)*(F1704-Calc!F23))+((C1708=TRUE)*(F1708-Calc!F27))+((IF(AND(Inputs!$B$38&lt;&gt;"pvp",Inputs!$B$43=0),1,IF(IF(Inputs!$B$38="pvp",15,Inputs!$B$43)-(B1719)&lt;=0,1,MAX(0,IF(Inputs!$B$38="pvp",15,Inputs!$B$43)-MAX(5,B1719))/(IF(Inputs!$B$38="pvp",15,Inputs!$B$43)-(B1719))))*(IF(AND(ArtifactsInput!$M$42,((Inputs!$B$9+((C1700=TRUE)*(F1700-Calc!F19))+B1712+(ArtifactsInput!$M$24-ArtifactsInput!$M$24)*CHOOSE(ArtifactsInput!$N$24+1,10,12,14,16,18,20)+IF(ArtifactsInput!$M$10,CHOOSE(ArtifactsInput!$N$10+1,15,18,21,24,27,30)*(IF(Inputs!$B$38="pvp",MIN(15,15)/15,IF(AND(Inputs!$B$38&lt;&gt;"pvp",Inputs!$B$43&gt;0),MIN(15,Inputs!$B$43)/(Inputs!$B$43),0))),0)))&gt;=100),MIN(100,((Inputs!$B$9+((C1700=TRUE)*(F1700-Calc!F19))+B1712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1719)&lt;=0,1,MAX(0,IF(Inputs!$B$38="pvp",15,Inputs!$B$43)-MAX(5,B1719))/(IF(Inputs!$B$38="pvp",15,Inputs!$B$43)-(B1719))))*IF(AND(ArtifactsInput!$M$42,((Inputs!$B$9+((C1700=TRUE)*(F1700-Calc!F19))+B1712+(ArtifactsInput!$M$24-ArtifactsInput!$M$24)*CHOOSE(ArtifactsInput!$N$24+1,10,12,14,16,18,20)+IF(ArtifactsInput!$M$10,CHOOSE(ArtifactsInput!$N$10+1,15,18,21,24,27,30)*(IF(Inputs!$B$38="pvp",MIN(15,15)/15,IF(AND(Inputs!$B$38&lt;&gt;"pvp",Inputs!$B$43&gt;0),MIN(15,Inputs!$B$43)/(Inputs!$B$43),0))),0)))&gt;=100),CHOOSE(ArtifactsInput!$N$42+1,40,48,56,64,72,80),0))))/100)*((1+(((C1698=TRUE)*F1698*5/7)+((C1705=TRUE)*(F1705-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1690)</f>
        <v/>
      </c>
      <c r="L1690">
        <f>K1690*(MIN(Inputs!$B$22+((C1703=TRUE)*(F1703-Calc!F22)),(Inputs!$B$23+0+((IF(IF(ArtifactsInput!$M$15,FALSE,TRUE),1,-1)*CHOOSE(ArtifactsInput!$N$15+1,25,30,35,40,45,50)/100*IF(IF(ArtifactsInput!$M$15,FALSE,TRUE),(Inputs!$B$11+((C1701=TRUE)*(F1701-Calc!F20))+((C1702=TRUE)*(F1702-Calc!F21))+(IF(ArtifactsInput!$M$15,FALSE,TRUE)-ArtifactsInput!$M$15)*CHOOSE(ArtifactsInput!$N$15+1,8,9.6,11.2,12.8,14.4,16)),Inputs!$B$11)))))/100+(Inputs!$B$23+0+((IF(IF(ArtifactsInput!$M$15,FALSE,TRUE),1,-1)*CHOOSE(ArtifactsInput!$N$15+1,25,30,35,40,45,50)/100*IF(IF(ArtifactsInput!$M$15,FALSE,TRUE),(Inputs!$B$11+((C1701=TRUE)*(F1701-Calc!F20))+((C1702=TRUE)*(F1702-Calc!F21))+(IF(ArtifactsInput!$M$15,FALSE,TRUE)-ArtifactsInput!$M$15)*CHOOSE(ArtifactsInput!$N$15+1,8,9.6,11.2,12.8,14.4,16)),Inputs!$B$11))))/100)/2</f>
        <v/>
      </c>
      <c r="M1690">
        <f>L1690*(1+(Inputs!$B$10+((C1706=TRUE)*(F1706-Calc!F25))+B1717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90">
        <f>L1690*(1-MIN((Inputs!$B$9+((C1700=TRUE)*(F1700-Calc!F19))+B1712+(ArtifactsInput!$M$24-ArtifactsInput!$M$24)*CHOOSE(ArtifactsInput!$N$24+1,10,12,14,16,18,20)+(IF(AND(Inputs!$B$38&lt;&gt;"pvp",Inputs!$B$43=0),1,IF(IF(Inputs!$B$38="pvp",15,Inputs!$B$43)-(B1719)&lt;=0,1,MAX(0,IF(Inputs!$B$38="pvp",15,Inputs!$B$43)-MAX(5,B1719))/(IF(Inputs!$B$38="pvp",15,Inputs!$B$43)-(B1719))))*IF(AND(ArtifactsInput!$M$42,((Inputs!$B$9+((C1700=TRUE)*(F1700-Calc!F19))+B1712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1690*(MIN((Inputs!$B$9+((C1700=TRUE)*(F1700-Calc!F19))+B1712+(ArtifactsInput!$M$24-ArtifactsInput!$M$24)*CHOOSE(ArtifactsInput!$N$24+1,10,12,14,16,18,20)+(IF(AND(Inputs!$B$38&lt;&gt;"pvp",Inputs!$B$43=0),1,IF(IF(Inputs!$B$38="pvp",15,Inputs!$B$43)-(B1719)&lt;=0,1,MAX(0,IF(Inputs!$B$38="pvp",15,Inputs!$B$43)-MAX(5,B1719))/(IF(Inputs!$B$38="pvp",15,Inputs!$B$43)-(B1719))))*IF(AND(ArtifactsInput!$M$42,((Inputs!$B$9+((C1700=TRUE)*(F1700-Calc!F19))+B1712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90">
        <f>(1-Summary!$B$11)*T1690+Summary!$B$11*V1690</f>
        <v/>
      </c>
      <c r="P1690">
        <f>IF(B1722=0,0,O1690/B1722)</f>
        <v/>
      </c>
      <c r="Q1690">
        <f>IFERROR(1/(IF(Inputs!$B$38="pvp",15,MAX(0.1,Skills!D9-IF(TRUE=TRUE,Inputs!$B$32,0)))*(1-IF(AND(ArtifactsInput!$M$27,Inputs!$B$4="Chapter Hunt"),CHOOSE(ArtifactsInput!$N$27+1,20,24,28,32,36,40),0)/100)),0)</f>
        <v/>
      </c>
      <c r="R1690">
        <f>IF(AND(Inputs!$B$38&lt;&gt;"pvp",Inputs!$B$43&gt;0),IF(MAX(0,Inputs!$B$43-B1719)&lt;=0,0,(INT(MAX(0,Inputs!$B$43-B1719)/(IF(Inputs!$B$38="pvp",15,MAX(0.1,Skills!D9-IF(TRUE=TRUE,Inputs!$B$32,0)))*(1-IF(AND(ArtifactsInput!$M$27,Inputs!$B$4="Chapter Hunt"),CHOOSE(ArtifactsInput!$N$27+1,20,24,28,32,36,40),0)/100)))+1)),0)</f>
        <v/>
      </c>
      <c r="S1690">
        <f>IFERROR(O1690/N1690,0)</f>
        <v/>
      </c>
      <c r="T1690">
        <f>IF(C1690,(H1690*N1690*IF(AND(Inputs!$B$38&lt;&gt;"pvp",Inputs!$B$43&gt;0),((Skills!G9*((R1690-1)*IF(Skills!H9&gt;0,INT(Skills!I9/Skills!H9+0.000000001),1)+IF(Skills!H9&gt;0,INT(MIN(Skills!I9,MAX(0,MAX(0,Inputs!$B$43-B1719)-((R1690-1)*(IF(Inputs!$B$38="pvp",15,MAX(0.1,Skills!D9-IF(TRUE=TRUE,Inputs!$B$32,0)))*(1-IF(AND(ArtifactsInput!$M$27,Inputs!$B$4="Chapter Hunt"),CHOOSE(ArtifactsInput!$N$27+1,20,24,28,32,36,40),0)/100)))))/Skills!H9+0.000000001),1)))/Inputs!$B$43),G1690*Q1690)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Hunt"),CHOOSE(ArtifactsInput!$N$35+1,15,18,21,24,27,30)*(1-EXP(-(0.2*B1714)*5)),0)+IF(AND(ArtifactsInput!$M$22,Inputs!$B$4&lt;&gt;"Chapter Hunt"),CHOOSE(ArtifactsInput!$N$22+1,10,12,14,16,18,20)*((0*(((0.15*B1714*5))^0/1)+1*(((0.15*B1714*5))^1/1)+2*(((0.15*B1714*5))^2/2)+3*(((0.15*B1714*5))^3/6)+4*(((0.15*B1714*5))^4/24)+5*(((0.15*B1714*5))^5/120))/((((0.15*B1714*5))^0/1)+(((0.15*B1714*5))^1/1)+(((0.15*B1714*5))^2/2)+(((0.15*B1714*5))^3/6)+(((0.15*B1714*5))^4/24)+(((0.15*B1714*5))^5/120))),0))+IF(Inputs!$B$3&gt;=54,9*(C1684=TRUE)*MIN(1,8*(1+Inputs!$B$34/100)*Q1684)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1690*(1-MIN(100,(Inputs!$B$9+((C1700=TRUE)*(F1700-Calc!F19))+B1712+(ArtifactsInput!$M$24-ArtifactsInput!$M$24)*CHOOSE(ArtifactsInput!$N$24+1,10,12,14,16,18,20)+(IF(AND(Inputs!$B$38&lt;&gt;"pvp",Inputs!$B$43=0),1,IF(IF(Inputs!$B$38="pvp",15,Inputs!$B$43)-(B1719)&lt;=0,1,MAX(0,IF(Inputs!$B$38="pvp",15,Inputs!$B$43)-MAX(5,B1719))/(IF(Inputs!$B$38="pvp",15,Inputs!$B$43)-(B1719))))*IF(AND(ArtifactsInput!$M$42,((Inputs!$B$9+((C1700=TRUE)*(F1700-Calc!F19))+B1712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1690*(MIN(100,(Inputs!$B$9+((C1700=TRUE)*(F1700-Calc!F19))+B1712+(ArtifactsInput!$M$24-ArtifactsInput!$M$24)*CHOOSE(ArtifactsInput!$N$24+1,10,12,14,16,18,20)+(IF(AND(Inputs!$B$38&lt;&gt;"pvp",Inputs!$B$43=0),1,IF(IF(Inputs!$B$38="pvp",15,Inputs!$B$43)-(B1719)&lt;=0,1,MAX(0,IF(Inputs!$B$38="pvp",15,Inputs!$B$43)-MAX(5,B1719))/(IF(Inputs!$B$38="pvp",15,Inputs!$B$43)-(B1719))))*IF(AND(ArtifactsInput!$M$42,((Inputs!$B$9+((C1700=TRUE)*(F1700-Calc!F19))+B1712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1690*(1-MIN(100,(Inputs!$B$9+((C1700=TRUE)*(F1700-Calc!F19))+B1712+(ArtifactsInput!$M$24-ArtifactsInput!$M$24)*CHOOSE(ArtifactsInput!$N$24+1,10,12,14,16,18,20)+(IF(AND(Inputs!$B$38&lt;&gt;"pvp",Inputs!$B$43=0),1,IF(IF(Inputs!$B$38="pvp",15,Inputs!$B$43)-(B1719)&lt;=0,1,MAX(0,IF(Inputs!$B$38="pvp",15,Inputs!$B$43)-MAX(5,B1719))/(IF(Inputs!$B$38="pvp",15,Inputs!$B$43)-(B1719))))*IF(AND(ArtifactsInput!$M$42,((Inputs!$B$9+((C1700=TRUE)*(F1700-Calc!F19))+B1712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1690*(MIN(100,(Inputs!$B$9+((C1700=TRUE)*(F1700-Calc!F19))+B1712+(ArtifactsInput!$M$24-ArtifactsInput!$M$24)*CHOOSE(ArtifactsInput!$N$24+1,10,12,14,16,18,20)+(IF(AND(Inputs!$B$38&lt;&gt;"pvp",Inputs!$B$43=0),1,IF(IF(Inputs!$B$38="pvp",15,Inputs!$B$43)-(B1719)&lt;=0,1,MAX(0,IF(Inputs!$B$38="pvp",15,Inputs!$B$43)-MAX(5,B1719))/(IF(Inputs!$B$38="pvp",15,Inputs!$B$43)-(B1719))))*IF(AND(ArtifactsInput!$M$42,((Inputs!$B$9+((C1700=TRUE)*(F1700-Calc!F19))+B1712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690">
        <f>IF(C1690,(H1690*N1690*IF(AND(Inputs!$B$38&lt;&gt;"pvp",Inputs!$B$43&gt;0),((Skills!G9*((R1690-1)*IF(Skills!H9&gt;0,INT(Skills!I9/Skills!H9+0.000000001),1)+IF(Skills!H9&gt;0,INT(MIN(Skills!I9,MAX(0,MAX(0,Inputs!$B$43-B1719)-((R1690-1)*(IF(Inputs!$B$38="pvp",15,MAX(0.1,Skills!D9-IF(TRUE=TRUE,Inputs!$B$32,0)))*(1-IF(AND(ArtifactsInput!$M$27,Inputs!$B$4="Chapter Hunt"),CHOOSE(ArtifactsInput!$N$27+1,20,24,28,32,36,40),0)/100)))))/Skills!H9+0.000000001),1)))/Inputs!$B$43),G1690*Q1690))*IF(Inputs!$B$38="pvp",1,(1+(Inputs!$B$21+Skills!Q9+(IF(ArtifactsInput!$M$33,CHOOSE(ArtifactsInput!$N$33+1,30,36,42,48,54,60),0))+(IF(AND(ArtifactsInput!$M$35,Inputs!$B$4&lt;&gt;"Chapter Hunt"),CHOOSE(ArtifactsInput!$N$35+1,15,18,21,24,27,30)*(1-EXP(-(0.2*B1714)*5)),0)+IF(AND(ArtifactsInput!$M$22,Inputs!$B$4&lt;&gt;"Chapter Hunt"),CHOOSE(ArtifactsInput!$N$22+1,10,12,14,16,18,20)*((0*(((0.15*B1714*5))^0/1)+1*(((0.15*B1714*5))^1/1)+2*(((0.15*B1714*5))^2/2)+3*(((0.15*B1714*5))^3/6)+4*(((0.15*B1714*5))^4/24)+5*(((0.15*B1714*5))^5/120))/((((0.15*B1714*5))^0/1)+(((0.15*B1714*5))^1/1)+(((0.15*B1714*5))^2/2)+(((0.15*B1714*5))^3/6)+(((0.15*B1714*5))^4/24)+(((0.15*B1714*5))^5/120))),0))+IF(Inputs!$B$3&gt;=54,9*(C1684=TRUE)*MIN(1,8*(1+Inputs!$B$34/100)*Q1684),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91">
      <c r="A1691">
        <f>Skills!A10</f>
        <v/>
      </c>
      <c r="B1691">
        <f>Skills!B10</f>
        <v/>
      </c>
      <c r="C1691">
        <f>Inputs!$B$3&gt;=113</f>
        <v/>
      </c>
      <c r="D1691">
        <f>IF(Skills!C10=1,60+Inputs!$B$25+Inputs!$B$29,IF(Skills!C10=2,90+Inputs!$B$26+Inputs!$B$29,IF(Skills!C10=3,120+Inputs!$B$27+Inputs!$B$29,MAX(0,(Inputs!$B$3-100)*3)+Inputs!$B$28+Inputs!$B$29)))</f>
        <v/>
      </c>
      <c r="E1691">
        <f>INDEX(FactorTable!$B$2:$Y$301, MATCH(ROUND(MIN(300,MAX(1,D1691)),0), FactorTable!$A$2:$A$301,0), Skills!M10+1)</f>
        <v/>
      </c>
      <c r="F1691">
        <f>IF(Skills!N10=TRUE,(Skills!L10/10)*(E1691/1000),Skills!L10/10)+Skills!O10</f>
        <v/>
      </c>
      <c r="G1691">
        <f>Skills!G10*IF(Skills!H10&gt;0,INT(IF(Inputs!$B$38="pvp",MIN(Skills!I10,15),Skills!I10)/Skills!H10+0.000000001),1)</f>
        <v/>
      </c>
      <c r="H1691">
        <f>1-(1-Skills!J10/100)^Skills!K10</f>
        <v/>
      </c>
      <c r="I1691" t="inlineStr">
        <is>
          <t>1</t>
        </is>
      </c>
      <c r="J1691">
        <f>((Inputs!$B$6*(1+Inputs!$B$7/100))+(((Inputs!$B$12*(1+Inputs!$B$13/100))-(Inputs!$B$12*(1+Inputs!$B$13/100)))+0.25*(Inputs!$B$14-Inputs!$B$14))*(1+Inputs!$B$7/100))*(F1691/100)</f>
        <v/>
      </c>
      <c r="K1691">
        <f>J1691*(1+((Inputs!$B$12*(1+Inputs!$B$13/100))*0.01+Inputs!$B$14*0.0025)/100)*(1+Inputs!$B$15/100)*(1+Inputs!$B$16/100)*(5000/(6000+Inputs!$B$42*(1-(100*(1-(1-(Inputs!$B$19+0)/100)*(1-CHOOSE(ArtifactsInput!$N$40+1,5,6,7,8,9,10)/100)^(ArtifactsInput!$M$40-ArtifactsInput!$M$40)))/100)))*(1+(Inputs!$B$24+((C1707=TRUE)*(F1707-Calc!F26))+B1718)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IGHT_LEGS_EASTON",Inputs!$B$17+((C1704=TRUE)*(F1704-Calc!F23))+((C1708=TRUE)*(F1708-Calc!F27))+((IF(AND(Inputs!$B$38&lt;&gt;"pvp",Inputs!$B$43=0),1,IF(IF(Inputs!$B$38="pvp",15,Inputs!$B$43)-(B1719)&lt;=0,1,MAX(0,IF(Inputs!$B$38="pvp",15,Inputs!$B$43)-MAX(5,B1719))/(IF(Inputs!$B$38="pvp",15,Inputs!$B$43)-(B1719))))*(IF(AND(ArtifactsInput!$M$42,((Inputs!$B$9+((C1700=TRUE)*(F1700-Calc!F19))+B1712+(ArtifactsInput!$M$24-ArtifactsInput!$M$24)*CHOOSE(ArtifactsInput!$N$24+1,10,12,14,16,18,20)+IF(ArtifactsInput!$M$10,CHOOSE(ArtifactsInput!$N$10+1,15,18,21,24,27,30)*(IF(Inputs!$B$38="pvp",MIN(15,15)/15,IF(AND(Inputs!$B$38&lt;&gt;"pvp",Inputs!$B$43&gt;0),MIN(15,Inputs!$B$43)/(Inputs!$B$43),0))),0)))&gt;=100),MIN(100,((Inputs!$B$9+((C1700=TRUE)*(F1700-Calc!F19))+B1712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1719)&lt;=0,1,MAX(0,IF(Inputs!$B$38="pvp",15,Inputs!$B$43)-MAX(5,B1719))/(IF(Inputs!$B$38="pvp",15,Inputs!$B$43)-(B1719))))*IF(AND(ArtifactsInput!$M$42,((Inputs!$B$9+((C1700=TRUE)*(F1700-Calc!F19))+B1712+(ArtifactsInput!$M$24-ArtifactsInput!$M$24)*CHOOSE(ArtifactsInput!$N$24+1,10,12,14,16,18,20)+IF(ArtifactsInput!$M$10,CHOOSE(ArtifactsInput!$N$10+1,15,18,21,24,27,30)*(IF(Inputs!$B$38="pvp",MIN(15,15)/15,IF(AND(Inputs!$B$38&lt;&gt;"pvp",Inputs!$B$43&gt;0),MIN(15,Inputs!$B$43)/(Inputs!$B$43),0))),0)))&gt;=100),CHOOSE(ArtifactsInput!$N$42+1,40,48,56,64,72,80),0))))/100)*((1+(((C1698=TRUE)*F1698*5/7)+((C1705=TRUE)*(F1705-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1691)</f>
        <v/>
      </c>
      <c r="L1691">
        <f>K1691*(MIN(Inputs!$B$22+((C1703=TRUE)*(F1703-Calc!F22)),(Inputs!$B$23+0+((IF(IF(ArtifactsInput!$M$15,FALSE,TRUE),1,-1)*CHOOSE(ArtifactsInput!$N$15+1,25,30,35,40,45,50)/100*IF(IF(ArtifactsInput!$M$15,FALSE,TRUE),(Inputs!$B$11+((C1701=TRUE)*(F1701-Calc!F20))+((C1702=TRUE)*(F1702-Calc!F21))+(IF(ArtifactsInput!$M$15,FALSE,TRUE)-ArtifactsInput!$M$15)*CHOOSE(ArtifactsInput!$N$15+1,8,9.6,11.2,12.8,14.4,16)),Inputs!$B$11)))))/100+(Inputs!$B$23+0+((IF(IF(ArtifactsInput!$M$15,FALSE,TRUE),1,-1)*CHOOSE(ArtifactsInput!$N$15+1,25,30,35,40,45,50)/100*IF(IF(ArtifactsInput!$M$15,FALSE,TRUE),(Inputs!$B$11+((C1701=TRUE)*(F1701-Calc!F20))+((C1702=TRUE)*(F1702-Calc!F21))+(IF(ArtifactsInput!$M$15,FALSE,TRUE)-ArtifactsInput!$M$15)*CHOOSE(ArtifactsInput!$N$15+1,8,9.6,11.2,12.8,14.4,16)),Inputs!$B$11))))/100)/2</f>
        <v/>
      </c>
      <c r="M1691">
        <f>L1691*(1+(Inputs!$B$10+((C1706=TRUE)*(F1706-Calc!F25))+B1717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91">
        <f>L1691*(1-MIN((Inputs!$B$9+((C1700=TRUE)*(F1700-Calc!F19))+B1712+(ArtifactsInput!$M$24-ArtifactsInput!$M$24)*CHOOSE(ArtifactsInput!$N$24+1,10,12,14,16,18,20)+(IF(AND(Inputs!$B$38&lt;&gt;"pvp",Inputs!$B$43=0),1,IF(IF(Inputs!$B$38="pvp",15,Inputs!$B$43)-(B1719)&lt;=0,1,MAX(0,IF(Inputs!$B$38="pvp",15,Inputs!$B$43)-MAX(5,B1719))/(IF(Inputs!$B$38="pvp",15,Inputs!$B$43)-(B1719))))*IF(AND(ArtifactsInput!$M$42,((Inputs!$B$9+((C1700=TRUE)*(F1700-Calc!F19))+B1712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1691*(MIN((Inputs!$B$9+((C1700=TRUE)*(F1700-Calc!F19))+B1712+(ArtifactsInput!$M$24-ArtifactsInput!$M$24)*CHOOSE(ArtifactsInput!$N$24+1,10,12,14,16,18,20)+(IF(AND(Inputs!$B$38&lt;&gt;"pvp",Inputs!$B$43=0),1,IF(IF(Inputs!$B$38="pvp",15,Inputs!$B$43)-(B1719)&lt;=0,1,MAX(0,IF(Inputs!$B$38="pvp",15,Inputs!$B$43)-MAX(5,B1719))/(IF(Inputs!$B$38="pvp",15,Inputs!$B$43)-(B1719))))*IF(AND(ArtifactsInput!$M$42,((Inputs!$B$9+((C1700=TRUE)*(F1700-Calc!F19))+B1712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91">
        <f>(1-Summary!$B$11)*T1691+Summary!$B$11*V1691</f>
        <v/>
      </c>
      <c r="P1691">
        <f>IF(B1722=0,0,O1691/B1722)</f>
        <v/>
      </c>
      <c r="Q1691" t="n">
        <v>0</v>
      </c>
      <c r="R1691" t="n">
        <v>0</v>
      </c>
      <c r="S1691">
        <f>IFERROR(O1691/N1691,0)</f>
        <v/>
      </c>
      <c r="T1691">
        <f>IF(C1691,((H1691*B1724)/(1+Skills!H10*H1691*B1724)*N1691)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Hunt"),CHOOSE(ArtifactsInput!$N$35+1,15,18,21,24,27,30)*(1-EXP(-(0.2*B1714)*5)),0)+IF(AND(ArtifactsInput!$M$22,Inputs!$B$4&lt;&gt;"Chapter Hunt"),CHOOSE(ArtifactsInput!$N$22+1,10,12,14,16,18,20)*((0*(((0.15*B1714*5))^0/1)+1*(((0.15*B1714*5))^1/1)+2*(((0.15*B1714*5))^2/2)+3*(((0.15*B1714*5))^3/6)+4*(((0.15*B1714*5))^4/24)+5*(((0.15*B1714*5))^5/120))/((((0.15*B1714*5))^0/1)+(((0.15*B1714*5))^1/1)+(((0.15*B1714*5))^2/2)+(((0.15*B1714*5))^3/6)+(((0.15*B1714*5))^4/24)+(((0.15*B1714*5))^5/120))),0))+IF(Inputs!$B$3&gt;=54,9*(C1684=TRUE)*MIN(1,8*(1+Inputs!$B$34/100)*Q1684)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1691*(1-MIN(100,(Inputs!$B$9+((C1700=TRUE)*(F1700-Calc!F19))+B1712+(ArtifactsInput!$M$24-ArtifactsInput!$M$24)*CHOOSE(ArtifactsInput!$N$24+1,10,12,14,16,18,20)+(IF(AND(Inputs!$B$38&lt;&gt;"pvp",Inputs!$B$43=0),1,IF(IF(Inputs!$B$38="pvp",15,Inputs!$B$43)-(B1719)&lt;=0,1,MAX(0,IF(Inputs!$B$38="pvp",15,Inputs!$B$43)-MAX(5,B1719))/(IF(Inputs!$B$38="pvp",15,Inputs!$B$43)-(B1719))))*IF(AND(ArtifactsInput!$M$42,((Inputs!$B$9+((C1700=TRUE)*(F1700-Calc!F19))+B1712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1691*(MIN(100,(Inputs!$B$9+((C1700=TRUE)*(F1700-Calc!F19))+B1712+(ArtifactsInput!$M$24-ArtifactsInput!$M$24)*CHOOSE(ArtifactsInput!$N$24+1,10,12,14,16,18,20)+(IF(AND(Inputs!$B$38&lt;&gt;"pvp",Inputs!$B$43=0),1,IF(IF(Inputs!$B$38="pvp",15,Inputs!$B$43)-(B1719)&lt;=0,1,MAX(0,IF(Inputs!$B$38="pvp",15,Inputs!$B$43)-MAX(5,B1719))/(IF(Inputs!$B$38="pvp",15,Inputs!$B$43)-(B1719))))*IF(AND(ArtifactsInput!$M$42,((Inputs!$B$9+((C1700=TRUE)*(F1700-Calc!F19))+B1712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1691*(1-MIN(100,(Inputs!$B$9+((C1700=TRUE)*(F1700-Calc!F19))+B1712+(ArtifactsInput!$M$24-ArtifactsInput!$M$24)*CHOOSE(ArtifactsInput!$N$24+1,10,12,14,16,18,20)+(IF(AND(Inputs!$B$38&lt;&gt;"pvp",Inputs!$B$43=0),1,IF(IF(Inputs!$B$38="pvp",15,Inputs!$B$43)-(B1719)&lt;=0,1,MAX(0,IF(Inputs!$B$38="pvp",15,Inputs!$B$43)-MAX(5,B1719))/(IF(Inputs!$B$38="pvp",15,Inputs!$B$43)-(B1719))))*IF(AND(ArtifactsInput!$M$42,((Inputs!$B$9+((C1700=TRUE)*(F1700-Calc!F19))+B1712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1691*(MIN(100,(Inputs!$B$9+((C1700=TRUE)*(F1700-Calc!F19))+B1712+(ArtifactsInput!$M$24-ArtifactsInput!$M$24)*CHOOSE(ArtifactsInput!$N$24+1,10,12,14,16,18,20)+(IF(AND(Inputs!$B$38&lt;&gt;"pvp",Inputs!$B$43=0),1,IF(IF(Inputs!$B$38="pvp",15,Inputs!$B$43)-(B1719)&lt;=0,1,MAX(0,IF(Inputs!$B$38="pvp",15,Inputs!$B$43)-MAX(5,B1719))/(IF(Inputs!$B$38="pvp",15,Inputs!$B$43)-(B1719))))*IF(AND(ArtifactsInput!$M$42,((Inputs!$B$9+((C1700=TRUE)*(F1700-Calc!F19))+B1712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691">
        <f>IF(C1691,((H1691*B1724)/(1+Skills!H10*H1691*B1724)*N1691)*IF(Inputs!$B$38="pvp",1,(1+(Inputs!$B$21+Skills!Q10+(IF(ArtifactsInput!$M$33,CHOOSE(ArtifactsInput!$N$33+1,30,36,42,48,54,60),0))+(IF(AND(ArtifactsInput!$M$35,Inputs!$B$4&lt;&gt;"Chapter Hunt"),CHOOSE(ArtifactsInput!$N$35+1,15,18,21,24,27,30)*(1-EXP(-(0.2*B1714)*5)),0)+IF(AND(ArtifactsInput!$M$22,Inputs!$B$4&lt;&gt;"Chapter Hunt"),CHOOSE(ArtifactsInput!$N$22+1,10,12,14,16,18,20)*((0*(((0.15*B1714*5))^0/1)+1*(((0.15*B1714*5))^1/1)+2*(((0.15*B1714*5))^2/2)+3*(((0.15*B1714*5))^3/6)+4*(((0.15*B1714*5))^4/24)+5*(((0.15*B1714*5))^5/120))/((((0.15*B1714*5))^0/1)+(((0.15*B1714*5))^1/1)+(((0.15*B1714*5))^2/2)+(((0.15*B1714*5))^3/6)+(((0.15*B1714*5))^4/24)+(((0.15*B1714*5))^5/120))),0))+IF(Inputs!$B$3&gt;=54,9*(C1684=TRUE)*MIN(1,8*(1+Inputs!$B$34/100)*Q1684),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92">
      <c r="A1692">
        <f>Skills!A11</f>
        <v/>
      </c>
      <c r="B1692">
        <f>Skills!B11</f>
        <v/>
      </c>
      <c r="C1692">
        <f>Inputs!$B$3&gt;=117</f>
        <v/>
      </c>
      <c r="D1692">
        <f>IF(Skills!C11=1,60+Inputs!$B$25+Inputs!$B$29,IF(Skills!C11=2,90+Inputs!$B$26+Inputs!$B$29,IF(Skills!C11=3,120+Inputs!$B$27+Inputs!$B$29,MAX(0,(Inputs!$B$3-100)*3)+Inputs!$B$28+Inputs!$B$29)))</f>
        <v/>
      </c>
      <c r="E1692">
        <f>INDEX(FactorTable!$B$2:$Y$301, MATCH(ROUND(MIN(300,MAX(1,D1692)),0), FactorTable!$A$2:$A$301,0), Skills!M11+1)</f>
        <v/>
      </c>
      <c r="F1692">
        <f>IF(Skills!N11=TRUE,(Skills!L11/10)*(E1692/1000),Skills!L11/10)+Skills!O11</f>
        <v/>
      </c>
      <c r="G1692">
        <f>Skills!G11*IF(Skills!H11&gt;0,INT(IF(Inputs!$B$38="pvp",MIN(Skills!I11,15),Skills!I11)/Skills!H11+0.000000001),1)</f>
        <v/>
      </c>
      <c r="H1692">
        <f>1-(1-Skills!J11/100)^Skills!K11</f>
        <v/>
      </c>
      <c r="I1692" t="inlineStr">
        <is>
          <t>1</t>
        </is>
      </c>
      <c r="J1692">
        <f>((Inputs!$B$6*(1+Inputs!$B$7/100))+(((Inputs!$B$12*(1+Inputs!$B$13/100))-(Inputs!$B$12*(1+Inputs!$B$13/100)))+0.25*(Inputs!$B$14-Inputs!$B$14))*(1+Inputs!$B$7/100))*(F1692/100)</f>
        <v/>
      </c>
      <c r="K1692">
        <f>J1692*(1+((Inputs!$B$12*(1+Inputs!$B$13/100))*0.01+Inputs!$B$14*0.0025)/100)*(1+Inputs!$B$15/100)*(1+Inputs!$B$16/100)*(5000/(6000+Inputs!$B$42*(1-(100*(1-(1-(Inputs!$B$19+0)/100)*(1-CHOOSE(ArtifactsInput!$N$40+1,5,6,7,8,9,10)/100)^(ArtifactsInput!$M$40-ArtifactsInput!$M$40)))/100)))*(1+(Inputs!$B$24+((C1707=TRUE)*(F1707-Calc!F26))+B1718)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IGHT_LEGS_EASTON",Inputs!$B$17+((C1704=TRUE)*(F1704-Calc!F23))+((C1708=TRUE)*(F1708-Calc!F27))+((IF(AND(Inputs!$B$38&lt;&gt;"pvp",Inputs!$B$43=0),1,IF(IF(Inputs!$B$38="pvp",15,Inputs!$B$43)-(B1719)&lt;=0,1,MAX(0,IF(Inputs!$B$38="pvp",15,Inputs!$B$43)-MAX(5,B1719))/(IF(Inputs!$B$38="pvp",15,Inputs!$B$43)-(B1719))))*(IF(AND(ArtifactsInput!$M$42,((Inputs!$B$9+((C1700=TRUE)*(F1700-Calc!F19))+B1712+(ArtifactsInput!$M$24-ArtifactsInput!$M$24)*CHOOSE(ArtifactsInput!$N$24+1,10,12,14,16,18,20)+IF(ArtifactsInput!$M$10,CHOOSE(ArtifactsInput!$N$10+1,15,18,21,24,27,30)*(IF(Inputs!$B$38="pvp",MIN(15,15)/15,IF(AND(Inputs!$B$38&lt;&gt;"pvp",Inputs!$B$43&gt;0),MIN(15,Inputs!$B$43)/(Inputs!$B$43),0))),0)))&gt;=100),MIN(100,((Inputs!$B$9+((C1700=TRUE)*(F1700-Calc!F19))+B1712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1719)&lt;=0,1,MAX(0,IF(Inputs!$B$38="pvp",15,Inputs!$B$43)-MAX(5,B1719))/(IF(Inputs!$B$38="pvp",15,Inputs!$B$43)-(B1719))))*IF(AND(ArtifactsInput!$M$42,((Inputs!$B$9+((C1700=TRUE)*(F1700-Calc!F19))+B1712+(ArtifactsInput!$M$24-ArtifactsInput!$M$24)*CHOOSE(ArtifactsInput!$N$24+1,10,12,14,16,18,20)+IF(ArtifactsInput!$M$10,CHOOSE(ArtifactsInput!$N$10+1,15,18,21,24,27,30)*(IF(Inputs!$B$38="pvp",MIN(15,15)/15,IF(AND(Inputs!$B$38&lt;&gt;"pvp",Inputs!$B$43&gt;0),MIN(15,Inputs!$B$43)/(Inputs!$B$43),0))),0)))&gt;=100),CHOOSE(ArtifactsInput!$N$42+1,40,48,56,64,72,80),0))))/100)*((1+(((C1698=TRUE)*F1698*5/7)+((C1705=TRUE)*(F1705-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1692)</f>
        <v/>
      </c>
      <c r="L1692">
        <f>K1692*(MIN(Inputs!$B$22+((C1703=TRUE)*(F1703-Calc!F22)),(Inputs!$B$23+0+((IF(IF(ArtifactsInput!$M$15,FALSE,TRUE),1,-1)*CHOOSE(ArtifactsInput!$N$15+1,25,30,35,40,45,50)/100*IF(IF(ArtifactsInput!$M$15,FALSE,TRUE),(Inputs!$B$11+((C1701=TRUE)*(F1701-Calc!F20))+((C1702=TRUE)*(F1702-Calc!F21))+(IF(ArtifactsInput!$M$15,FALSE,TRUE)-ArtifactsInput!$M$15)*CHOOSE(ArtifactsInput!$N$15+1,8,9.6,11.2,12.8,14.4,16)),Inputs!$B$11)))))/100+(Inputs!$B$23+0+((IF(IF(ArtifactsInput!$M$15,FALSE,TRUE),1,-1)*CHOOSE(ArtifactsInput!$N$15+1,25,30,35,40,45,50)/100*IF(IF(ArtifactsInput!$M$15,FALSE,TRUE),(Inputs!$B$11+((C1701=TRUE)*(F1701-Calc!F20))+((C1702=TRUE)*(F1702-Calc!F21))+(IF(ArtifactsInput!$M$15,FALSE,TRUE)-ArtifactsInput!$M$15)*CHOOSE(ArtifactsInput!$N$15+1,8,9.6,11.2,12.8,14.4,16)),Inputs!$B$11))))/100)/2</f>
        <v/>
      </c>
      <c r="M1692">
        <f>L1692*(1+(Inputs!$B$10+((C1706=TRUE)*(F1706-Calc!F25))+B1717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92">
        <f>L1692*(1-MIN((Inputs!$B$9+((C1700=TRUE)*(F1700-Calc!F19))+B1712+(ArtifactsInput!$M$24-ArtifactsInput!$M$24)*CHOOSE(ArtifactsInput!$N$24+1,10,12,14,16,18,20)+(IF(AND(Inputs!$B$38&lt;&gt;"pvp",Inputs!$B$43=0),1,IF(IF(Inputs!$B$38="pvp",15,Inputs!$B$43)-(B1719)&lt;=0,1,MAX(0,IF(Inputs!$B$38="pvp",15,Inputs!$B$43)-MAX(5,B1719))/(IF(Inputs!$B$38="pvp",15,Inputs!$B$43)-(B1719))))*IF(AND(ArtifactsInput!$M$42,((Inputs!$B$9+((C1700=TRUE)*(F1700-Calc!F19))+B1712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1692*(MIN((Inputs!$B$9+((C1700=TRUE)*(F1700-Calc!F19))+B1712+(ArtifactsInput!$M$24-ArtifactsInput!$M$24)*CHOOSE(ArtifactsInput!$N$24+1,10,12,14,16,18,20)+(IF(AND(Inputs!$B$38&lt;&gt;"pvp",Inputs!$B$43=0),1,IF(IF(Inputs!$B$38="pvp",15,Inputs!$B$43)-(B1719)&lt;=0,1,MAX(0,IF(Inputs!$B$38="pvp",15,Inputs!$B$43)-MAX(5,B1719))/(IF(Inputs!$B$38="pvp",15,Inputs!$B$43)-(B1719))))*IF(AND(ArtifactsInput!$M$42,((Inputs!$B$9+((C1700=TRUE)*(F1700-Calc!F19))+B1712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92">
        <f>(1-Summary!$B$11)*T1692+Summary!$B$11*V1692</f>
        <v/>
      </c>
      <c r="P1692">
        <f>IF(B1722=0,0,O1692/B1722)</f>
        <v/>
      </c>
      <c r="Q1692">
        <f>IFERROR(1/((IF(Inputs!$B$38="pvp",15,MAX(0.1,Skills!D11-IF(TRUE=TRUE,Inputs!$B$32,0)))*(1-IF(AND(ArtifactsInput!$M$27,Inputs!$B$4="Chapter Hunt"),CHOOSE(ArtifactsInput!$N$27+1,20,24,28,32,36,40),0)/100))/B1723),0)</f>
        <v/>
      </c>
      <c r="R1692">
        <f>IF(AND(Inputs!$B$38&lt;&gt;"pvp",Inputs!$B$43&gt;0),IF(MAX(0,Inputs!$B$43-B1719)&lt;=0,0,(INT(MAX(0,Inputs!$B$43-B1719)/((IF(Inputs!$B$38="pvp",15,MAX(0.1,Skills!D11-IF(TRUE=TRUE,Inputs!$B$32,0)))*(1-IF(AND(ArtifactsInput!$M$27,Inputs!$B$4="Chapter Hunt"),CHOOSE(ArtifactsInput!$N$27+1,20,24,28,32,36,40),0)/100))/B1723))+1)),0)</f>
        <v/>
      </c>
      <c r="S1692">
        <f>IFERROR(O1692/N1692,0)</f>
        <v/>
      </c>
      <c r="T1692">
        <f>IF(C1692,(H1692*N1692*IF(AND(Inputs!$B$38&lt;&gt;"pvp",Inputs!$B$43&gt;0),((Skills!G11*((R1692-1)*IF(Skills!H11&gt;0,INT(Skills!I11/Skills!H11+0.000000001),1)+IF(Skills!H11&gt;0,INT(MIN(Skills!I11,MAX(0,MAX(0,Inputs!$B$43-B1719)-((R1692-1)*((IF(Inputs!$B$38="pvp",15,MAX(0.1,Skills!D11-IF(TRUE=TRUE,Inputs!$B$32,0)))*(1-IF(AND(ArtifactsInput!$M$27,Inputs!$B$4="Chapter Hunt"),CHOOSE(ArtifactsInput!$N$27+1,20,24,28,32,36,40),0)/100))/B1723))))/Skills!H11+0.000000001),1)))/Inputs!$B$43),G1692*Q1692)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Hunt"),CHOOSE(ArtifactsInput!$N$35+1,15,18,21,24,27,30)*(1-EXP(-(0.2*B1714)*5)),0)+IF(AND(ArtifactsInput!$M$22,Inputs!$B$4&lt;&gt;"Chapter Hunt"),CHOOSE(ArtifactsInput!$N$22+1,10,12,14,16,18,20)*((0*(((0.15*B1714*5))^0/1)+1*(((0.15*B1714*5))^1/1)+2*(((0.15*B1714*5))^2/2)+3*(((0.15*B1714*5))^3/6)+4*(((0.15*B1714*5))^4/24)+5*(((0.15*B1714*5))^5/120))/((((0.15*B1714*5))^0/1)+(((0.15*B1714*5))^1/1)+(((0.15*B1714*5))^2/2)+(((0.15*B1714*5))^3/6)+(((0.15*B1714*5))^4/24)+(((0.15*B1714*5))^5/120))),0))+IF(Inputs!$B$3&gt;=54,9*(C1684=TRUE)*MIN(1,8*(1+Inputs!$B$34/100)*Q1684)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1692*(1-MIN(100,(Inputs!$B$9+((C1700=TRUE)*(F1700-Calc!F19))+B1712+(ArtifactsInput!$M$24-ArtifactsInput!$M$24)*CHOOSE(ArtifactsInput!$N$24+1,10,12,14,16,18,20)+(IF(AND(Inputs!$B$38&lt;&gt;"pvp",Inputs!$B$43=0),1,IF(IF(Inputs!$B$38="pvp",15,Inputs!$B$43)-(B1719)&lt;=0,1,MAX(0,IF(Inputs!$B$38="pvp",15,Inputs!$B$43)-MAX(5,B1719))/(IF(Inputs!$B$38="pvp",15,Inputs!$B$43)-(B1719))))*IF(AND(ArtifactsInput!$M$42,((Inputs!$B$9+((C1700=TRUE)*(F1700-Calc!F19))+B1712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1692*(MIN(100,(Inputs!$B$9+((C1700=TRUE)*(F1700-Calc!F19))+B1712+(ArtifactsInput!$M$24-ArtifactsInput!$M$24)*CHOOSE(ArtifactsInput!$N$24+1,10,12,14,16,18,20)+(IF(AND(Inputs!$B$38&lt;&gt;"pvp",Inputs!$B$43=0),1,IF(IF(Inputs!$B$38="pvp",15,Inputs!$B$43)-(B1719)&lt;=0,1,MAX(0,IF(Inputs!$B$38="pvp",15,Inputs!$B$43)-MAX(5,B1719))/(IF(Inputs!$B$38="pvp",15,Inputs!$B$43)-(B1719))))*IF(AND(ArtifactsInput!$M$42,((Inputs!$B$9+((C1700=TRUE)*(F1700-Calc!F19))+B1712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1692*(1-MIN(100,(Inputs!$B$9+((C1700=TRUE)*(F1700-Calc!F19))+B1712+(ArtifactsInput!$M$24-ArtifactsInput!$M$24)*CHOOSE(ArtifactsInput!$N$24+1,10,12,14,16,18,20)+(IF(AND(Inputs!$B$38&lt;&gt;"pvp",Inputs!$B$43=0),1,IF(IF(Inputs!$B$38="pvp",15,Inputs!$B$43)-(B1719)&lt;=0,1,MAX(0,IF(Inputs!$B$38="pvp",15,Inputs!$B$43)-MAX(5,B1719))/(IF(Inputs!$B$38="pvp",15,Inputs!$B$43)-(B1719))))*IF(AND(ArtifactsInput!$M$42,((Inputs!$B$9+((C1700=TRUE)*(F1700-Calc!F19))+B1712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1692*(MIN(100,(Inputs!$B$9+((C1700=TRUE)*(F1700-Calc!F19))+B1712+(ArtifactsInput!$M$24-ArtifactsInput!$M$24)*CHOOSE(ArtifactsInput!$N$24+1,10,12,14,16,18,20)+(IF(AND(Inputs!$B$38&lt;&gt;"pvp",Inputs!$B$43=0),1,IF(IF(Inputs!$B$38="pvp",15,Inputs!$B$43)-(B1719)&lt;=0,1,MAX(0,IF(Inputs!$B$38="pvp",15,Inputs!$B$43)-MAX(5,B1719))/(IF(Inputs!$B$38="pvp",15,Inputs!$B$43)-(B1719))))*IF(AND(ArtifactsInput!$M$42,((Inputs!$B$9+((C1700=TRUE)*(F1700-Calc!F19))+B1712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692">
        <f>IF(C1692,(H1692*N1692*IF(AND(Inputs!$B$38&lt;&gt;"pvp",Inputs!$B$43&gt;0),((Skills!G11*((R1692-1)*IF(Skills!H11&gt;0,INT(Skills!I11/Skills!H11+0.000000001),1)+IF(Skills!H11&gt;0,INT(MIN(Skills!I11,MAX(0,MAX(0,Inputs!$B$43-B1719)-((R1692-1)*((IF(Inputs!$B$38="pvp",15,MAX(0.1,Skills!D11-IF(TRUE=TRUE,Inputs!$B$32,0)))*(1-IF(AND(ArtifactsInput!$M$27,Inputs!$B$4="Chapter Hunt"),CHOOSE(ArtifactsInput!$N$27+1,20,24,28,32,36,40),0)/100))/B1723))))/Skills!H11+0.000000001),1)))/Inputs!$B$43),G1692*Q1692))*IF(Inputs!$B$38="pvp",1,(1+(Inputs!$B$21+Skills!Q11+(IF(ArtifactsInput!$M$33,CHOOSE(ArtifactsInput!$N$33+1,30,36,42,48,54,60),0))+(IF(AND(ArtifactsInput!$M$35,Inputs!$B$4&lt;&gt;"Chapter Hunt"),CHOOSE(ArtifactsInput!$N$35+1,15,18,21,24,27,30)*(1-EXP(-(0.2*B1714)*5)),0)+IF(AND(ArtifactsInput!$M$22,Inputs!$B$4&lt;&gt;"Chapter Hunt"),CHOOSE(ArtifactsInput!$N$22+1,10,12,14,16,18,20)*((0*(((0.15*B1714*5))^0/1)+1*(((0.15*B1714*5))^1/1)+2*(((0.15*B1714*5))^2/2)+3*(((0.15*B1714*5))^3/6)+4*(((0.15*B1714*5))^4/24)+5*(((0.15*B1714*5))^5/120))/((((0.15*B1714*5))^0/1)+(((0.15*B1714*5))^1/1)+(((0.15*B1714*5))^2/2)+(((0.15*B1714*5))^3/6)+(((0.15*B1714*5))^4/24)+(((0.15*B1714*5))^5/120))),0))+IF(Inputs!$B$3&gt;=54,9*(C1684=TRUE)*MIN(1,8*(1+Inputs!$B$34/100)*Q1684),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93">
      <c r="A1693">
        <f>Skills!A12</f>
        <v/>
      </c>
      <c r="B1693">
        <f>Skills!B12</f>
        <v/>
      </c>
      <c r="C1693">
        <f>Inputs!$B$3&gt;=110</f>
        <v/>
      </c>
      <c r="D1693">
        <f>IF(Skills!C12=1,60+Inputs!$B$25+Inputs!$B$29,IF(Skills!C12=2,90+Inputs!$B$26+Inputs!$B$29,IF(Skills!C12=3,120+Inputs!$B$27+Inputs!$B$29,MAX(0,(Inputs!$B$3-100)*3)+Inputs!$B$28+Inputs!$B$29)))</f>
        <v/>
      </c>
      <c r="E1693">
        <f>INDEX(FactorTable!$B$2:$Y$301, MATCH(ROUND(MIN(300,MAX(1,D1693)),0), FactorTable!$A$2:$A$301,0), Skills!M12+1)</f>
        <v/>
      </c>
      <c r="F1693">
        <f>IF(Skills!N12=TRUE,(Skills!L12/10)*(E1693/1000),Skills!L12/10)+Skills!O12</f>
        <v/>
      </c>
      <c r="G1693">
        <f>Skills!G12*IF(Skills!H12&gt;0,INT(IF(Inputs!$B$38="pvp",MIN(Skills!I12,15),Skills!I12)/Skills!H12+0.000000001),1)</f>
        <v/>
      </c>
      <c r="H1693">
        <f>1-(1-Skills!J12/100)^Skills!K12</f>
        <v/>
      </c>
      <c r="I1693" t="inlineStr">
        <is>
          <t>1</t>
        </is>
      </c>
      <c r="J1693">
        <f>((Inputs!$B$6*(1+Inputs!$B$7/100))+(((Inputs!$B$12*(1+Inputs!$B$13/100))-(Inputs!$B$12*(1+Inputs!$B$13/100)))+0.25*(Inputs!$B$14-Inputs!$B$14))*(1+Inputs!$B$7/100))*(F1693/100)</f>
        <v/>
      </c>
      <c r="K1693">
        <f>J1693*(1+((Inputs!$B$12*(1+Inputs!$B$13/100))*0.01+Inputs!$B$14*0.0025)/100)*(1+Inputs!$B$15/100)*(1+Inputs!$B$16/100)*(5000/(6000+Inputs!$B$42*(1-(100*(1-(1-(Inputs!$B$19+0)/100)*(1-CHOOSE(ArtifactsInput!$N$40+1,5,6,7,8,9,10)/100)^(ArtifactsInput!$M$40-ArtifactsInput!$M$40)))/100)))*(1+(Inputs!$B$24+((C1707=TRUE)*(F1707-Calc!F26))+B1718)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EIGHT_LEGS_EASTON",Inputs!$B$17+((C1704=TRUE)*(F1704-Calc!F23))+((C1708=TRUE)*(F1708-Calc!F27))+((IF(AND(Inputs!$B$38&lt;&gt;"pvp",Inputs!$B$43=0),1,IF(IF(Inputs!$B$38="pvp",15,Inputs!$B$43)-(B1719)&lt;=0,1,MAX(0,IF(Inputs!$B$38="pvp",15,Inputs!$B$43)-MAX(5,B1719))/(IF(Inputs!$B$38="pvp",15,Inputs!$B$43)-(B1719))))*(IF(AND(ArtifactsInput!$M$42,((Inputs!$B$9+((C1700=TRUE)*(F1700-Calc!F19))+B1712+(ArtifactsInput!$M$24-ArtifactsInput!$M$24)*CHOOSE(ArtifactsInput!$N$24+1,10,12,14,16,18,20)+IF(ArtifactsInput!$M$10,CHOOSE(ArtifactsInput!$N$10+1,15,18,21,24,27,30)*(IF(Inputs!$B$38="pvp",MIN(15,15)/15,IF(AND(Inputs!$B$38&lt;&gt;"pvp",Inputs!$B$43&gt;0),MIN(15,Inputs!$B$43)/(Inputs!$B$43),0))),0)))&gt;=100),MIN(100,((Inputs!$B$9+((C1700=TRUE)*(F1700-Calc!F19))+B1712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1719)&lt;=0,1,MAX(0,IF(Inputs!$B$38="pvp",15,Inputs!$B$43)-MAX(5,B1719))/(IF(Inputs!$B$38="pvp",15,Inputs!$B$43)-(B1719))))*IF(AND(ArtifactsInput!$M$42,((Inputs!$B$9+((C1700=TRUE)*(F1700-Calc!F19))+B1712+(ArtifactsInput!$M$24-ArtifactsInput!$M$24)*CHOOSE(ArtifactsInput!$N$24+1,10,12,14,16,18,20)+IF(ArtifactsInput!$M$10,CHOOSE(ArtifactsInput!$N$10+1,15,18,21,24,27,30)*(IF(Inputs!$B$38="pvp",MIN(15,15)/15,IF(AND(Inputs!$B$38&lt;&gt;"pvp",Inputs!$B$43&gt;0),MIN(15,Inputs!$B$43)/(Inputs!$B$43),0))),0)))&gt;=100),CHOOSE(ArtifactsInput!$N$42+1,40,48,56,64,72,80),0))))/100)*((1+(((C1698=TRUE)*F1698*5/7)+((C1705=TRUE)*(F1705-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1693)</f>
        <v/>
      </c>
      <c r="L1693">
        <f>K1693*(MIN(Inputs!$B$22+((C1703=TRUE)*(F1703-Calc!F22)),(Inputs!$B$23+0+((IF(IF(ArtifactsInput!$M$15,FALSE,TRUE),1,-1)*CHOOSE(ArtifactsInput!$N$15+1,25,30,35,40,45,50)/100*IF(IF(ArtifactsInput!$M$15,FALSE,TRUE),(Inputs!$B$11+((C1701=TRUE)*(F1701-Calc!F20))+((C1702=TRUE)*(F1702-Calc!F21))+(IF(ArtifactsInput!$M$15,FALSE,TRUE)-ArtifactsInput!$M$15)*CHOOSE(ArtifactsInput!$N$15+1,8,9.6,11.2,12.8,14.4,16)),Inputs!$B$11)))))/100+(Inputs!$B$23+0+((IF(IF(ArtifactsInput!$M$15,FALSE,TRUE),1,-1)*CHOOSE(ArtifactsInput!$N$15+1,25,30,35,40,45,50)/100*IF(IF(ArtifactsInput!$M$15,FALSE,TRUE),(Inputs!$B$11+((C1701=TRUE)*(F1701-Calc!F20))+((C1702=TRUE)*(F1702-Calc!F21))+(IF(ArtifactsInput!$M$15,FALSE,TRUE)-ArtifactsInput!$M$15)*CHOOSE(ArtifactsInput!$N$15+1,8,9.6,11.2,12.8,14.4,16)),Inputs!$B$11))))/100)/2</f>
        <v/>
      </c>
      <c r="M1693">
        <f>L1693*(1+(Inputs!$B$10+((C1706=TRUE)*(F1706-Calc!F25))+B1717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93">
        <f>L1693*(1-MIN((Inputs!$B$9+((C1700=TRUE)*(F1700-Calc!F19))+B1712+(ArtifactsInput!$M$24-ArtifactsInput!$M$24)*CHOOSE(ArtifactsInput!$N$24+1,10,12,14,16,18,20)+(IF(AND(Inputs!$B$38&lt;&gt;"pvp",Inputs!$B$43=0),1,IF(IF(Inputs!$B$38="pvp",15,Inputs!$B$43)-(B1719)&lt;=0,1,MAX(0,IF(Inputs!$B$38="pvp",15,Inputs!$B$43)-MAX(5,B1719))/(IF(Inputs!$B$38="pvp",15,Inputs!$B$43)-(B1719))))*IF(AND(ArtifactsInput!$M$42,((Inputs!$B$9+((C1700=TRUE)*(F1700-Calc!F19))+B1712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1693*(MIN((Inputs!$B$9+((C1700=TRUE)*(F1700-Calc!F19))+B1712+(ArtifactsInput!$M$24-ArtifactsInput!$M$24)*CHOOSE(ArtifactsInput!$N$24+1,10,12,14,16,18,20)+(IF(AND(Inputs!$B$38&lt;&gt;"pvp",Inputs!$B$43=0),1,IF(IF(Inputs!$B$38="pvp",15,Inputs!$B$43)-(B1719)&lt;=0,1,MAX(0,IF(Inputs!$B$38="pvp",15,Inputs!$B$43)-MAX(5,B1719))/(IF(Inputs!$B$38="pvp",15,Inputs!$B$43)-(B1719))))*IF(AND(ArtifactsInput!$M$42,((Inputs!$B$9+((C1700=TRUE)*(F1700-Calc!F19))+B1712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93">
        <f>(1-Summary!$B$11)*T1693+Summary!$B$11*V1693</f>
        <v/>
      </c>
      <c r="P1693">
        <f>IF(B1722=0,0,O1693/B1722)</f>
        <v/>
      </c>
      <c r="Q1693">
        <f>IFERROR(1/(IF(Inputs!$B$38="pvp",15,MAX(0.1,Skills!D12-IF(TRUE=TRUE,Inputs!$B$32,0)))*(1-IF(AND(ArtifactsInput!$M$27,Inputs!$B$4="Chapter Hunt"),CHOOSE(ArtifactsInput!$N$27+1,20,24,28,32,36,40),0)/100)),0)</f>
        <v/>
      </c>
      <c r="R1693">
        <f>IF(AND(Inputs!$B$38&lt;&gt;"pvp",Inputs!$B$43&gt;0),IF(MAX(0,Inputs!$B$43-B1719)&lt;=0,0,(INT(MAX(0,Inputs!$B$43-B1719)/(IF(Inputs!$B$38="pvp",15,MAX(0.1,Skills!D12-IF(TRUE=TRUE,Inputs!$B$32,0)))*(1-IF(AND(ArtifactsInput!$M$27,Inputs!$B$4="Chapter Hunt"),CHOOSE(ArtifactsInput!$N$27+1,20,24,28,32,36,40),0)/100)))+1)),0)</f>
        <v/>
      </c>
      <c r="S1693">
        <f>IFERROR(O1693/N1693,0)</f>
        <v/>
      </c>
      <c r="T1693">
        <f>IF(C1693,(H1693*N1693*IF(AND(Inputs!$B$38&lt;&gt;"pvp",Inputs!$B$43&gt;0),((Skills!G12*((R1693-1)*IF(Skills!H12&gt;0,INT(Skills!I12/Skills!H12+0.000000001),1)+IF(Skills!H12&gt;0,INT(MIN(Skills!I12,MAX(0,MAX(0,Inputs!$B$43-B1719)-((R1693-1)*(IF(Inputs!$B$38="pvp",15,MAX(0.1,Skills!D12-IF(TRUE=TRUE,Inputs!$B$32,0)))*(1-IF(AND(ArtifactsInput!$M$27,Inputs!$B$4="Chapter Hunt"),CHOOSE(ArtifactsInput!$N$27+1,20,24,28,32,36,40),0)/100)))))/Skills!H12+0.000000001),1)))/Inputs!$B$43),G1693*Q1693))*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Hunt"),CHOOSE(ArtifactsInput!$N$35+1,15,18,21,24,27,30)*(1-EXP(-(0.2*B1714)*5)),0)+IF(AND(ArtifactsInput!$M$22,Inputs!$B$4&lt;&gt;"Chapter Hunt"),CHOOSE(ArtifactsInput!$N$22+1,10,12,14,16,18,20)*((0*(((0.15*B1714*5))^0/1)+1*(((0.15*B1714*5))^1/1)+2*(((0.15*B1714*5))^2/2)+3*(((0.15*B1714*5))^3/6)+4*(((0.15*B1714*5))^4/24)+5*(((0.15*B1714*5))^5/120))/((((0.15*B1714*5))^0/1)+(((0.15*B1714*5))^1/1)+(((0.15*B1714*5))^2/2)+(((0.15*B1714*5))^3/6)+(((0.15*B1714*5))^4/24)+(((0.15*B1714*5))^5/120))),0))+IF(Inputs!$B$3&gt;=54,9*(C1684=TRUE)*MIN(1,8*(1+Inputs!$B$34/100)*Q1684)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1693*(1-MIN(100,(Inputs!$B$9+((C1700=TRUE)*(F1700-Calc!F19))+B1712+(ArtifactsInput!$M$24-ArtifactsInput!$M$24)*CHOOSE(ArtifactsInput!$N$24+1,10,12,14,16,18,20)+(IF(AND(Inputs!$B$38&lt;&gt;"pvp",Inputs!$B$43=0),1,IF(IF(Inputs!$B$38="pvp",15,Inputs!$B$43)-(B1719)&lt;=0,1,MAX(0,IF(Inputs!$B$38="pvp",15,Inputs!$B$43)-MAX(5,B1719))/(IF(Inputs!$B$38="pvp",15,Inputs!$B$43)-(B1719))))*IF(AND(ArtifactsInput!$M$42,((Inputs!$B$9+((C1700=TRUE)*(F1700-Calc!F19))+B1712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1693*(MIN(100,(Inputs!$B$9+((C1700=TRUE)*(F1700-Calc!F19))+B1712+(ArtifactsInput!$M$24-ArtifactsInput!$M$24)*CHOOSE(ArtifactsInput!$N$24+1,10,12,14,16,18,20)+(IF(AND(Inputs!$B$38&lt;&gt;"pvp",Inputs!$B$43=0),1,IF(IF(Inputs!$B$38="pvp",15,Inputs!$B$43)-(B1719)&lt;=0,1,MAX(0,IF(Inputs!$B$38="pvp",15,Inputs!$B$43)-MAX(5,B1719))/(IF(Inputs!$B$38="pvp",15,Inputs!$B$43)-(B1719))))*IF(AND(ArtifactsInput!$M$42,((Inputs!$B$9+((C1700=TRUE)*(F1700-Calc!F19))+B1712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1693*(1-MIN(100,(Inputs!$B$9+((C1700=TRUE)*(F1700-Calc!F19))+B1712+(ArtifactsInput!$M$24-ArtifactsInput!$M$24)*CHOOSE(ArtifactsInput!$N$24+1,10,12,14,16,18,20)+(IF(AND(Inputs!$B$38&lt;&gt;"pvp",Inputs!$B$43=0),1,IF(IF(Inputs!$B$38="pvp",15,Inputs!$B$43)-(B1719)&lt;=0,1,MAX(0,IF(Inputs!$B$38="pvp",15,Inputs!$B$43)-MAX(5,B1719))/(IF(Inputs!$B$38="pvp",15,Inputs!$B$43)-(B1719))))*IF(AND(ArtifactsInput!$M$42,((Inputs!$B$9+((C1700=TRUE)*(F1700-Calc!F19))+B1712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1693*(MIN(100,(Inputs!$B$9+((C1700=TRUE)*(F1700-Calc!F19))+B1712+(ArtifactsInput!$M$24-ArtifactsInput!$M$24)*CHOOSE(ArtifactsInput!$N$24+1,10,12,14,16,18,20)+(IF(AND(Inputs!$B$38&lt;&gt;"pvp",Inputs!$B$43=0),1,IF(IF(Inputs!$B$38="pvp",15,Inputs!$B$43)-(B1719)&lt;=0,1,MAX(0,IF(Inputs!$B$38="pvp",15,Inputs!$B$43)-MAX(5,B1719))/(IF(Inputs!$B$38="pvp",15,Inputs!$B$43)-(B1719))))*IF(AND(ArtifactsInput!$M$42,((Inputs!$B$9+((C1700=TRUE)*(F1700-Calc!F19))+B1712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693">
        <f>IF(C1693,(H1693*N1693*IF(AND(Inputs!$B$38&lt;&gt;"pvp",Inputs!$B$43&gt;0),((Skills!G12*((R1693-1)*IF(Skills!H12&gt;0,INT(Skills!I12/Skills!H12+0.000000001),1)+IF(Skills!H12&gt;0,INT(MIN(Skills!I12,MAX(0,MAX(0,Inputs!$B$43-B1719)-((R1693-1)*(IF(Inputs!$B$38="pvp",15,MAX(0.1,Skills!D12-IF(TRUE=TRUE,Inputs!$B$32,0)))*(1-IF(AND(ArtifactsInput!$M$27,Inputs!$B$4="Chapter Hunt"),CHOOSE(ArtifactsInput!$N$27+1,20,24,28,32,36,40),0)/100)))))/Skills!H12+0.000000001),1)))/Inputs!$B$43),G1693*Q1693))*IF(Inputs!$B$38="pvp",1,(1+(Inputs!$B$21+Skills!Q12+(IF(ArtifactsInput!$M$33,CHOOSE(ArtifactsInput!$N$33+1,30,36,42,48,54,60),0))+(IF(AND(ArtifactsInput!$M$35,Inputs!$B$4&lt;&gt;"Chapter Hunt"),CHOOSE(ArtifactsInput!$N$35+1,15,18,21,24,27,30)*(1-EXP(-(0.2*B1714)*5)),0)+IF(AND(ArtifactsInput!$M$22,Inputs!$B$4&lt;&gt;"Chapter Hunt"),CHOOSE(ArtifactsInput!$N$22+1,10,12,14,16,18,20)*((0*(((0.15*B1714*5))^0/1)+1*(((0.15*B1714*5))^1/1)+2*(((0.15*B1714*5))^2/2)+3*(((0.15*B1714*5))^3/6)+4*(((0.15*B1714*5))^4/24)+5*(((0.15*B1714*5))^5/120))/((((0.15*B1714*5))^0/1)+(((0.15*B1714*5))^1/1)+(((0.15*B1714*5))^2/2)+(((0.15*B1714*5))^3/6)+(((0.15*B1714*5))^4/24)+(((0.15*B1714*5))^5/120))),0))+IF(Inputs!$B$3&gt;=54,9*(C1684=TRUE)*MIN(1,8*(1+Inputs!$B$34/100)*Q1684),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94">
      <c r="A1694">
        <f>Skills!A13</f>
        <v/>
      </c>
      <c r="B1694">
        <f>Skills!B13</f>
        <v/>
      </c>
      <c r="C1694">
        <f>Inputs!$B$3&gt;=110</f>
        <v/>
      </c>
      <c r="D1694">
        <f>IF(Skills!C13=1,60+Inputs!$B$25+Inputs!$B$29,IF(Skills!C13=2,90+Inputs!$B$26+Inputs!$B$29,IF(Skills!C13=3,120+Inputs!$B$27+Inputs!$B$29,MAX(0,(Inputs!$B$3-100)*3)+Inputs!$B$28+Inputs!$B$29)))</f>
        <v/>
      </c>
      <c r="E1694">
        <f>INDEX(FactorTable!$B$2:$Y$301, MATCH(ROUND(MIN(300,MAX(1,D1694)),0), FactorTable!$A$2:$A$301,0), Skills!M13+1)</f>
        <v/>
      </c>
      <c r="F1694">
        <f>IF(Skills!N13=TRUE,(Skills!L13/10)*(E1694/1000),Skills!L13/10)+Skills!O13</f>
        <v/>
      </c>
      <c r="G1694">
        <f>Skills!G13*IF(Skills!H13&gt;0,INT(IF(Inputs!$B$38="pvp",MIN(Skills!I13,15),Skills!I13)/Skills!H13+0.000000001),1)</f>
        <v/>
      </c>
      <c r="H1694">
        <f>1-(1-Skills!J13/100)^Skills!K13</f>
        <v/>
      </c>
      <c r="I1694" t="inlineStr">
        <is>
          <t>1</t>
        </is>
      </c>
      <c r="J1694">
        <f>((Inputs!$B$6*(1+Inputs!$B$7/100))+(((Inputs!$B$12*(1+Inputs!$B$13/100))-(Inputs!$B$12*(1+Inputs!$B$13/100)))+0.25*(Inputs!$B$14-Inputs!$B$14))*(1+Inputs!$B$7/100))*(F1694/100)</f>
        <v/>
      </c>
      <c r="K1694">
        <f>J1694*(1+((Inputs!$B$12*(1+Inputs!$B$13/100))*0.01+Inputs!$B$14*0.0025)/100)*(1+Inputs!$B$15/100)*(1+Inputs!$B$16/100)*(5000/(6000+Inputs!$B$42*(1-(100*(1-(1-(Inputs!$B$19+0)/100)*(1-CHOOSE(ArtifactsInput!$N$40+1,5,6,7,8,9,10)/100)^(ArtifactsInput!$M$40-ArtifactsInput!$M$40)))/100)))*(1+(Inputs!$B$24+((C1707=TRUE)*(F1707-Calc!F26))+B1718)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EIGHT_LEGS_EASTON",Inputs!$B$17+((C1704=TRUE)*(F1704-Calc!F23))+((C1708=TRUE)*(F1708-Calc!F27))+((IF(AND(Inputs!$B$38&lt;&gt;"pvp",Inputs!$B$43=0),1,IF(IF(Inputs!$B$38="pvp",15,Inputs!$B$43)-(B1719)&lt;=0,1,MAX(0,IF(Inputs!$B$38="pvp",15,Inputs!$B$43)-MAX(5,B1719))/(IF(Inputs!$B$38="pvp",15,Inputs!$B$43)-(B1719))))*(IF(AND(ArtifactsInput!$M$42,((Inputs!$B$9+((C1700=TRUE)*(F1700-Calc!F19))+B1712+(ArtifactsInput!$M$24-ArtifactsInput!$M$24)*CHOOSE(ArtifactsInput!$N$24+1,10,12,14,16,18,20)+IF(ArtifactsInput!$M$10,CHOOSE(ArtifactsInput!$N$10+1,15,18,21,24,27,30)*(IF(Inputs!$B$38="pvp",MIN(15,15)/15,IF(AND(Inputs!$B$38&lt;&gt;"pvp",Inputs!$B$43&gt;0),MIN(15,Inputs!$B$43)/(Inputs!$B$43),0))),0)))&gt;=100),MIN(100,((Inputs!$B$9+((C1700=TRUE)*(F1700-Calc!F19))+B1712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1719)&lt;=0,1,MAX(0,IF(Inputs!$B$38="pvp",15,Inputs!$B$43)-MAX(5,B1719))/(IF(Inputs!$B$38="pvp",15,Inputs!$B$43)-(B1719))))*IF(AND(ArtifactsInput!$M$42,((Inputs!$B$9+((C1700=TRUE)*(F1700-Calc!F19))+B1712+(ArtifactsInput!$M$24-ArtifactsInput!$M$24)*CHOOSE(ArtifactsInput!$N$24+1,10,12,14,16,18,20)+IF(ArtifactsInput!$M$10,CHOOSE(ArtifactsInput!$N$10+1,15,18,21,24,27,30)*(IF(Inputs!$B$38="pvp",MIN(15,15)/15,IF(AND(Inputs!$B$38&lt;&gt;"pvp",Inputs!$B$43&gt;0),MIN(15,Inputs!$B$43)/(Inputs!$B$43),0))),0)))&gt;=100),CHOOSE(ArtifactsInput!$N$42+1,40,48,56,64,72,80),0))))/100)*((1+(((C1698=TRUE)*F1698*5/7)+((C1705=TRUE)*(F1705-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1694)</f>
        <v/>
      </c>
      <c r="L1694">
        <f>K1694*(MIN(Inputs!$B$22+((C1703=TRUE)*(F1703-Calc!F22)),(Inputs!$B$23+0+((IF(IF(ArtifactsInput!$M$15,FALSE,TRUE),1,-1)*CHOOSE(ArtifactsInput!$N$15+1,25,30,35,40,45,50)/100*IF(IF(ArtifactsInput!$M$15,FALSE,TRUE),(Inputs!$B$11+((C1701=TRUE)*(F1701-Calc!F20))+((C1702=TRUE)*(F1702-Calc!F21))+(IF(ArtifactsInput!$M$15,FALSE,TRUE)-ArtifactsInput!$M$15)*CHOOSE(ArtifactsInput!$N$15+1,8,9.6,11.2,12.8,14.4,16)),Inputs!$B$11)))))/100+(Inputs!$B$23+0+((IF(IF(ArtifactsInput!$M$15,FALSE,TRUE),1,-1)*CHOOSE(ArtifactsInput!$N$15+1,25,30,35,40,45,50)/100*IF(IF(ArtifactsInput!$M$15,FALSE,TRUE),(Inputs!$B$11+((C1701=TRUE)*(F1701-Calc!F20))+((C1702=TRUE)*(F1702-Calc!F21))+(IF(ArtifactsInput!$M$15,FALSE,TRUE)-ArtifactsInput!$M$15)*CHOOSE(ArtifactsInput!$N$15+1,8,9.6,11.2,12.8,14.4,16)),Inputs!$B$11))))/100)/2</f>
        <v/>
      </c>
      <c r="M1694">
        <f>L1694*(1+(Inputs!$B$10+((C1706=TRUE)*(F1706-Calc!F25))+B1717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94">
        <f>L1694*(1-MIN((Inputs!$B$9+((C1700=TRUE)*(F1700-Calc!F19))+B1712+(ArtifactsInput!$M$24-ArtifactsInput!$M$24)*CHOOSE(ArtifactsInput!$N$24+1,10,12,14,16,18,20)+(IF(AND(Inputs!$B$38&lt;&gt;"pvp",Inputs!$B$43=0),1,IF(IF(Inputs!$B$38="pvp",15,Inputs!$B$43)-(B1719)&lt;=0,1,MAX(0,IF(Inputs!$B$38="pvp",15,Inputs!$B$43)-MAX(5,B1719))/(IF(Inputs!$B$38="pvp",15,Inputs!$B$43)-(B1719))))*IF(AND(ArtifactsInput!$M$42,((Inputs!$B$9+((C1700=TRUE)*(F1700-Calc!F19))+B1712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1694*(MIN((Inputs!$B$9+((C1700=TRUE)*(F1700-Calc!F19))+B1712+(ArtifactsInput!$M$24-ArtifactsInput!$M$24)*CHOOSE(ArtifactsInput!$N$24+1,10,12,14,16,18,20)+(IF(AND(Inputs!$B$38&lt;&gt;"pvp",Inputs!$B$43=0),1,IF(IF(Inputs!$B$38="pvp",15,Inputs!$B$43)-(B1719)&lt;=0,1,MAX(0,IF(Inputs!$B$38="pvp",15,Inputs!$B$43)-MAX(5,B1719))/(IF(Inputs!$B$38="pvp",15,Inputs!$B$43)-(B1719))))*IF(AND(ArtifactsInput!$M$42,((Inputs!$B$9+((C1700=TRUE)*(F1700-Calc!F19))+B1712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94">
        <f>(1-Summary!$B$11)*T1694+Summary!$B$11*V1694</f>
        <v/>
      </c>
      <c r="P1694">
        <f>IF(B1722=0,0,O1694/B1722)</f>
        <v/>
      </c>
      <c r="Q1694">
        <f>IFERROR(1/(IF(Inputs!$B$38="pvp",15,MAX(0.1,Skills!D13-IF(TRUE=TRUE,Inputs!$B$32,0)))*(1-IF(AND(ArtifactsInput!$M$27,Inputs!$B$4="Chapter Hunt"),CHOOSE(ArtifactsInput!$N$27+1,20,24,28,32,36,40),0)/100)),0)</f>
        <v/>
      </c>
      <c r="R1694">
        <f>IF(AND(Inputs!$B$38&lt;&gt;"pvp",Inputs!$B$43&gt;0),IF(MAX(0,Inputs!$B$43-B1719)&lt;=0,0,(INT(MAX(0,Inputs!$B$43-B1719)/(IF(Inputs!$B$38="pvp",15,MAX(0.1,Skills!D13-IF(TRUE=TRUE,Inputs!$B$32,0)))*(1-IF(AND(ArtifactsInput!$M$27,Inputs!$B$4="Chapter Hunt"),CHOOSE(ArtifactsInput!$N$27+1,20,24,28,32,36,40),0)/100)))+1)),0)</f>
        <v/>
      </c>
      <c r="S1694">
        <f>IFERROR(O1694/N1694,0)</f>
        <v/>
      </c>
      <c r="T1694">
        <f>IF(C1694,(H1694*N1694*IF(AND(Inputs!$B$38&lt;&gt;"pvp",Inputs!$B$43&gt;0),((Skills!G13*((R1694-1)*IF(Skills!H13&gt;0,INT(Skills!I13/Skills!H13+0.000000001),1)+IF(Skills!H13&gt;0,INT(MIN(Skills!I13,MAX(0,MAX(0,Inputs!$B$43-B1719)-((R1694-1)*(IF(Inputs!$B$38="pvp",15,MAX(0.1,Skills!D13-IF(TRUE=TRUE,Inputs!$B$32,0)))*(1-IF(AND(ArtifactsInput!$M$27,Inputs!$B$4="Chapter Hunt"),CHOOSE(ArtifactsInput!$N$27+1,20,24,28,32,36,40),0)/100)))))/Skills!H13+0.000000001),1)))/Inputs!$B$43),G1694*Q1694))*IF(Inputs!$B$38="pvp",1,1+(Inputs!$B$20+0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Hunt"),CHOOSE(ArtifactsInput!$N$35+1,15,18,21,24,27,30)*(1-EXP(-(0.2*B1714)*5)),0)+IF(AND(ArtifactsInput!$M$22,Inputs!$B$4&lt;&gt;"Chapter Hunt"),CHOOSE(ArtifactsInput!$N$22+1,10,12,14,16,18,20)*((0*(((0.15*B1714*5))^0/1)+1*(((0.15*B1714*5))^1/1)+2*(((0.15*B1714*5))^2/2)+3*(((0.15*B1714*5))^3/6)+4*(((0.15*B1714*5))^4/24)+5*(((0.15*B1714*5))^5/120))/((((0.15*B1714*5))^0/1)+(((0.15*B1714*5))^1/1)+(((0.15*B1714*5))^2/2)+(((0.15*B1714*5))^3/6)+(((0.15*B1714*5))^4/24)+(((0.15*B1714*5))^5/120))),0))+IF(Inputs!$B$3&gt;=54,9*(C1684=TRUE)*MIN(1,8*(1+Inputs!$B$34/100)*Q1684)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1694*(1-MIN(100,(Inputs!$B$9+((C1700=TRUE)*(F1700-Calc!F19))+B1712+(ArtifactsInput!$M$24-ArtifactsInput!$M$24)*CHOOSE(ArtifactsInput!$N$24+1,10,12,14,16,18,20)+(IF(AND(Inputs!$B$38&lt;&gt;"pvp",Inputs!$B$43=0),1,IF(IF(Inputs!$B$38="pvp",15,Inputs!$B$43)-(B1719)&lt;=0,1,MAX(0,IF(Inputs!$B$38="pvp",15,Inputs!$B$43)-MAX(5,B1719))/(IF(Inputs!$B$38="pvp",15,Inputs!$B$43)-(B1719))))*IF(AND(ArtifactsInput!$M$42,((Inputs!$B$9+((C1700=TRUE)*(F1700-Calc!F19))+B1712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1694*(MIN(100,(Inputs!$B$9+((C1700=TRUE)*(F1700-Calc!F19))+B1712+(ArtifactsInput!$M$24-ArtifactsInput!$M$24)*CHOOSE(ArtifactsInput!$N$24+1,10,12,14,16,18,20)+(IF(AND(Inputs!$B$38&lt;&gt;"pvp",Inputs!$B$43=0),1,IF(IF(Inputs!$B$38="pvp",15,Inputs!$B$43)-(B1719)&lt;=0,1,MAX(0,IF(Inputs!$B$38="pvp",15,Inputs!$B$43)-MAX(5,B1719))/(IF(Inputs!$B$38="pvp",15,Inputs!$B$43)-(B1719))))*IF(AND(ArtifactsInput!$M$42,((Inputs!$B$9+((C1700=TRUE)*(F1700-Calc!F19))+B1712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1694*(1-MIN(100,(Inputs!$B$9+((C1700=TRUE)*(F1700-Calc!F19))+B1712+(ArtifactsInput!$M$24-ArtifactsInput!$M$24)*CHOOSE(ArtifactsInput!$N$24+1,10,12,14,16,18,20)+(IF(AND(Inputs!$B$38&lt;&gt;"pvp",Inputs!$B$43=0),1,IF(IF(Inputs!$B$38="pvp",15,Inputs!$B$43)-(B1719)&lt;=0,1,MAX(0,IF(Inputs!$B$38="pvp",15,Inputs!$B$43)-MAX(5,B1719))/(IF(Inputs!$B$38="pvp",15,Inputs!$B$43)-(B1719))))*IF(AND(ArtifactsInput!$M$42,((Inputs!$B$9+((C1700=TRUE)*(F1700-Calc!F19))+B1712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1694*(MIN(100,(Inputs!$B$9+((C1700=TRUE)*(F1700-Calc!F19))+B1712+(ArtifactsInput!$M$24-ArtifactsInput!$M$24)*CHOOSE(ArtifactsInput!$N$24+1,10,12,14,16,18,20)+(IF(AND(Inputs!$B$38&lt;&gt;"pvp",Inputs!$B$43=0),1,IF(IF(Inputs!$B$38="pvp",15,Inputs!$B$43)-(B1719)&lt;=0,1,MAX(0,IF(Inputs!$B$38="pvp",15,Inputs!$B$43)-MAX(5,B1719))/(IF(Inputs!$B$38="pvp",15,Inputs!$B$43)-(B1719))))*IF(AND(ArtifactsInput!$M$42,((Inputs!$B$9+((C1700=TRUE)*(F1700-Calc!F19))+B1712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694">
        <f>IF(C1694,(H1694*N1694*IF(AND(Inputs!$B$38&lt;&gt;"pvp",Inputs!$B$43&gt;0),((Skills!G13*((R1694-1)*IF(Skills!H13&gt;0,INT(Skills!I13/Skills!H13+0.000000001),1)+IF(Skills!H13&gt;0,INT(MIN(Skills!I13,MAX(0,MAX(0,Inputs!$B$43-B1719)-((R1694-1)*(IF(Inputs!$B$38="pvp",15,MAX(0.1,Skills!D13-IF(TRUE=TRUE,Inputs!$B$32,0)))*(1-IF(AND(ArtifactsInput!$M$27,Inputs!$B$4="Chapter Hunt"),CHOOSE(ArtifactsInput!$N$27+1,20,24,28,32,36,40),0)/100)))))/Skills!H13+0.000000001),1)))/Inputs!$B$43),G1694*Q1694))*IF(Inputs!$B$38="pvp",1,(1+(Inputs!$B$21+Skills!Q13+(IF(ArtifactsInput!$M$33,CHOOSE(ArtifactsInput!$N$33+1,30,36,42,48,54,60),0))+(IF(AND(ArtifactsInput!$M$35,Inputs!$B$4&lt;&gt;"Chapter Hunt"),CHOOSE(ArtifactsInput!$N$35+1,15,18,21,24,27,30)*(1-EXP(-(0.2*B1714)*5)),0)+IF(AND(ArtifactsInput!$M$22,Inputs!$B$4&lt;&gt;"Chapter Hunt"),CHOOSE(ArtifactsInput!$N$22+1,10,12,14,16,18,20)*((0*(((0.15*B1714*5))^0/1)+1*(((0.15*B1714*5))^1/1)+2*(((0.15*B1714*5))^2/2)+3*(((0.15*B1714*5))^3/6)+4*(((0.15*B1714*5))^4/24)+5*(((0.15*B1714*5))^5/120))/((((0.15*B1714*5))^0/1)+(((0.15*B1714*5))^1/1)+(((0.15*B1714*5))^2/2)+(((0.15*B1714*5))^3/6)+(((0.15*B1714*5))^4/24)+(((0.15*B1714*5))^5/120))),0))+IF(Inputs!$B$3&gt;=54,9*(C1684=TRUE)*MIN(1,8*(1+Inputs!$B$34/100)*Q1684),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95">
      <c r="A1695">
        <f>Skills!A14</f>
        <v/>
      </c>
      <c r="B1695">
        <f>Skills!B14</f>
        <v/>
      </c>
      <c r="C1695">
        <f>Inputs!$B$3&gt;=120</f>
        <v/>
      </c>
      <c r="D1695">
        <f>IF(Skills!C14=1,60+Inputs!$B$25+Inputs!$B$29,IF(Skills!C14=2,90+Inputs!$B$26+Inputs!$B$29,IF(Skills!C14=3,120+Inputs!$B$27+Inputs!$B$29,MAX(0,(Inputs!$B$3-100)*3)+Inputs!$B$28+Inputs!$B$29)))</f>
        <v/>
      </c>
      <c r="E1695">
        <f>INDEX(FactorTable!$B$2:$Y$301, MATCH(ROUND(MIN(300,MAX(1,D1695)),0), FactorTable!$A$2:$A$301,0), Skills!M14+1)</f>
        <v/>
      </c>
      <c r="F1695">
        <f>IF(Skills!N14=TRUE,(Skills!L14/10)*(E1695/1000),Skills!L14/10)+Skills!O14</f>
        <v/>
      </c>
      <c r="G1695">
        <f>Skills!G14*IF(Skills!H14&gt;0,INT(IF(Inputs!$B$38="pvp",MIN(Skills!I14,15),Skills!I14)/Skills!H14+0.000000001),1)</f>
        <v/>
      </c>
      <c r="H1695">
        <f>1-(1-Skills!J14/100)^Skills!K14</f>
        <v/>
      </c>
      <c r="I1695" t="inlineStr">
        <is>
          <t>1</t>
        </is>
      </c>
      <c r="J1695">
        <f>((Inputs!$B$6*(1+Inputs!$B$7/100))+(((Inputs!$B$12*(1+Inputs!$B$13/100))-(Inputs!$B$12*(1+Inputs!$B$13/100)))+0.25*(Inputs!$B$14-Inputs!$B$14))*(1+Inputs!$B$7/100))*(F1695/100)</f>
        <v/>
      </c>
      <c r="K1695">
        <f>J1695*(1+((Inputs!$B$12*(1+Inputs!$B$13/100))*0.01+Inputs!$B$14*0.0025)/100)*(1+Inputs!$B$15/100)*(1+Inputs!$B$16/100)*(5000/(6000+Inputs!$B$42*(1-(100*(1-(1-(Inputs!$B$19+0)/100)*(1-CHOOSE(ArtifactsInput!$N$40+1,5,6,7,8,9,10)/100)^(ArtifactsInput!$M$40-ArtifactsInput!$M$40)))/100)))*(1+(Inputs!$B$24+((C1707=TRUE)*(F1707-Calc!F26))+B1718)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EIGHT_LEGS_EASTON",Inputs!$B$17+((C1704=TRUE)*(F1704-Calc!F23))+((C1708=TRUE)*(F1708-Calc!F27))+((IF(AND(Inputs!$B$38&lt;&gt;"pvp",Inputs!$B$43=0),1,IF(IF(Inputs!$B$38="pvp",15,Inputs!$B$43)-(B1719)&lt;=0,1,MAX(0,IF(Inputs!$B$38="pvp",15,Inputs!$B$43)-MAX(5,B1719))/(IF(Inputs!$B$38="pvp",15,Inputs!$B$43)-(B1719))))*(IF(AND(ArtifactsInput!$M$42,((Inputs!$B$9+((C1700=TRUE)*(F1700-Calc!F19))+B1712+(ArtifactsInput!$M$24-ArtifactsInput!$M$24)*CHOOSE(ArtifactsInput!$N$24+1,10,12,14,16,18,20)+IF(ArtifactsInput!$M$10,CHOOSE(ArtifactsInput!$N$10+1,15,18,21,24,27,30)*(IF(Inputs!$B$38="pvp",MIN(15,15)/15,IF(AND(Inputs!$B$38&lt;&gt;"pvp",Inputs!$B$43&gt;0),MIN(15,Inputs!$B$43)/(Inputs!$B$43),0))),0)))&gt;=100),MIN(100,((Inputs!$B$9+((C1700=TRUE)*(F1700-Calc!F19))+B1712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1719)&lt;=0,1,MAX(0,IF(Inputs!$B$38="pvp",15,Inputs!$B$43)-MAX(5,B1719))/(IF(Inputs!$B$38="pvp",15,Inputs!$B$43)-(B1719))))*IF(AND(ArtifactsInput!$M$42,((Inputs!$B$9+((C1700=TRUE)*(F1700-Calc!F19))+B1712+(ArtifactsInput!$M$24-ArtifactsInput!$M$24)*CHOOSE(ArtifactsInput!$N$24+1,10,12,14,16,18,20)+IF(ArtifactsInput!$M$10,CHOOSE(ArtifactsInput!$N$10+1,15,18,21,24,27,30)*(IF(Inputs!$B$38="pvp",MIN(15,15)/15,IF(AND(Inputs!$B$38&lt;&gt;"pvp",Inputs!$B$43&gt;0),MIN(15,Inputs!$B$43)/(Inputs!$B$43),0))),0)))&gt;=100),CHOOSE(ArtifactsInput!$N$42+1,40,48,56,64,72,80),0))))/100)*((1+(((C1698=TRUE)*F1698*5/7)+((C1705=TRUE)*(F1705-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1695)</f>
        <v/>
      </c>
      <c r="L1695">
        <f>K1695*(MIN(Inputs!$B$22+((C1703=TRUE)*(F1703-Calc!F22)),(Inputs!$B$23+0+((IF(IF(ArtifactsInput!$M$15,FALSE,TRUE),1,-1)*CHOOSE(ArtifactsInput!$N$15+1,25,30,35,40,45,50)/100*IF(IF(ArtifactsInput!$M$15,FALSE,TRUE),(Inputs!$B$11+((C1701=TRUE)*(F1701-Calc!F20))+((C1702=TRUE)*(F1702-Calc!F21))+(IF(ArtifactsInput!$M$15,FALSE,TRUE)-ArtifactsInput!$M$15)*CHOOSE(ArtifactsInput!$N$15+1,8,9.6,11.2,12.8,14.4,16)),Inputs!$B$11)))))/100+(Inputs!$B$23+0+((IF(IF(ArtifactsInput!$M$15,FALSE,TRUE),1,-1)*CHOOSE(ArtifactsInput!$N$15+1,25,30,35,40,45,50)/100*IF(IF(ArtifactsInput!$M$15,FALSE,TRUE),(Inputs!$B$11+((C1701=TRUE)*(F1701-Calc!F20))+((C1702=TRUE)*(F1702-Calc!F21))+(IF(ArtifactsInput!$M$15,FALSE,TRUE)-ArtifactsInput!$M$15)*CHOOSE(ArtifactsInput!$N$15+1,8,9.6,11.2,12.8,14.4,16)),Inputs!$B$11))))/100)/2</f>
        <v/>
      </c>
      <c r="M1695">
        <f>L1695*(1+(Inputs!$B$10+((C1706=TRUE)*(F1706-Calc!F25))+B1717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95">
        <f>L1695*(1-MIN((Inputs!$B$9+((C1700=TRUE)*(F1700-Calc!F19))+B1712+(ArtifactsInput!$M$24-ArtifactsInput!$M$24)*CHOOSE(ArtifactsInput!$N$24+1,10,12,14,16,18,20)+(IF(AND(Inputs!$B$38&lt;&gt;"pvp",Inputs!$B$43=0),1,IF(IF(Inputs!$B$38="pvp",15,Inputs!$B$43)-(B1719)&lt;=0,1,MAX(0,IF(Inputs!$B$38="pvp",15,Inputs!$B$43)-MAX(5,B1719))/(IF(Inputs!$B$38="pvp",15,Inputs!$B$43)-(B1719))))*IF(AND(ArtifactsInput!$M$42,((Inputs!$B$9+((C1700=TRUE)*(F1700-Calc!F19))+B1712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1695*(MIN((Inputs!$B$9+((C1700=TRUE)*(F1700-Calc!F19))+B1712+(ArtifactsInput!$M$24-ArtifactsInput!$M$24)*CHOOSE(ArtifactsInput!$N$24+1,10,12,14,16,18,20)+(IF(AND(Inputs!$B$38&lt;&gt;"pvp",Inputs!$B$43=0),1,IF(IF(Inputs!$B$38="pvp",15,Inputs!$B$43)-(B1719)&lt;=0,1,MAX(0,IF(Inputs!$B$38="pvp",15,Inputs!$B$43)-MAX(5,B1719))/(IF(Inputs!$B$38="pvp",15,Inputs!$B$43)-(B1719))))*IF(AND(ArtifactsInput!$M$42,((Inputs!$B$9+((C1700=TRUE)*(F1700-Calc!F19))+B1712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95">
        <f>(1-Summary!$B$11)*T1695+Summary!$B$11*V1695</f>
        <v/>
      </c>
      <c r="P1695">
        <f>IF(B1722=0,0,O1695/B1722)</f>
        <v/>
      </c>
      <c r="Q1695" t="n">
        <v>0</v>
      </c>
      <c r="R1695" t="n">
        <v>0</v>
      </c>
      <c r="S1695">
        <f>IFERROR(O1695/N1695,0)</f>
        <v/>
      </c>
      <c r="T1695">
        <f>IF(C1695,((H1695*(B1716+IF(AND(Inputs!$B$38&lt;&gt;"pvp",Inputs!$B$43&gt;0),((Skills!G8*((R1689-1)*IF(Skills!H8&gt;0,INT(Skills!I8/Skills!H8+0.000000001),1)+IF(Skills!H8&gt;0,INT(MIN(Skills!I8,MAX(0,MAX(0,Inputs!$B$43-B1719)-((R1689-1)*((IF(Inputs!$B$38="pvp",15,MAX(0.1,Skills!D8-IF(TRUE=TRUE,Inputs!$B$32,0)))*(1-IF(AND(ArtifactsInput!$M$27,Inputs!$B$4="Chapter Hunt"),CHOOSE(ArtifactsInput!$N$27+1,20,24,28,32,36,40),0)/100))/B1723))))/Skills!H8+0.000000001),1)))/Inputs!$B$43),G1689*Q1689)+IF(AND(Inputs!$B$38&lt;&gt;"pvp",Inputs!$B$43&gt;0),((Skills!G11*((R1692-1)*IF(Skills!H11&gt;0,INT(Skills!I11/Skills!H11+0.000000001),1)+IF(Skills!H11&gt;0,INT(MIN(Skills!I11,MAX(0,MAX(0,Inputs!$B$43-B1719)-((R1692-1)*((IF(Inputs!$B$38="pvp",15,MAX(0.1,Skills!D11-IF(TRUE=TRUE,Inputs!$B$32,0)))*(1-IF(AND(ArtifactsInput!$M$27,Inputs!$B$4="Chapter Hunt"),CHOOSE(ArtifactsInput!$N$27+1,20,24,28,32,36,40),0)/100))/B1723))))/Skills!H11+0.000000001),1)))/Inputs!$B$43),G1692*Q1692)))/(1+Skills!H14*H1695*(B1716+IF(AND(Inputs!$B$38&lt;&gt;"pvp",Inputs!$B$43&gt;0),((Skills!G8*((R1689-1)*IF(Skills!H8&gt;0,INT(Skills!I8/Skills!H8+0.000000001),1)+IF(Skills!H8&gt;0,INT(MIN(Skills!I8,MAX(0,MAX(0,Inputs!$B$43-B1719)-((R1689-1)*((IF(Inputs!$B$38="pvp",15,MAX(0.1,Skills!D8-IF(TRUE=TRUE,Inputs!$B$32,0)))*(1-IF(AND(ArtifactsInput!$M$27,Inputs!$B$4="Chapter Hunt"),CHOOSE(ArtifactsInput!$N$27+1,20,24,28,32,36,40),0)/100))/B1723))))/Skills!H8+0.000000001),1)))/Inputs!$B$43),G1689*Q1689)+IF(AND(Inputs!$B$38&lt;&gt;"pvp",Inputs!$B$43&gt;0),((Skills!G11*((R1692-1)*IF(Skills!H11&gt;0,INT(Skills!I11/Skills!H11+0.000000001),1)+IF(Skills!H11&gt;0,INT(MIN(Skills!I11,MAX(0,MAX(0,Inputs!$B$43-B1719)-((R1692-1)*((IF(Inputs!$B$38="pvp",15,MAX(0.1,Skills!D11-IF(TRUE=TRUE,Inputs!$B$32,0)))*(1-IF(AND(ArtifactsInput!$M$27,Inputs!$B$4="Chapter Hunt"),CHOOSE(ArtifactsInput!$N$27+1,20,24,28,32,36,40),0)/100))/B1723))))/Skills!H11+0.000000001),1)))/Inputs!$B$43),G1692*Q1692)))*N1695)*IF(Inputs!$B$38="pvp",1,1+(Inputs!$B$20+0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Hunt"),CHOOSE(ArtifactsInput!$N$35+1,15,18,21,24,27,30)*(1-EXP(-(0.2*B1714)*5)),0)+IF(AND(ArtifactsInput!$M$22,Inputs!$B$4&lt;&gt;"Chapter Hunt"),CHOOSE(ArtifactsInput!$N$22+1,10,12,14,16,18,20)*((0*(((0.15*B1714*5))^0/1)+1*(((0.15*B1714*5))^1/1)+2*(((0.15*B1714*5))^2/2)+3*(((0.15*B1714*5))^3/6)+4*(((0.15*B1714*5))^4/24)+5*(((0.15*B1714*5))^5/120))/((((0.15*B1714*5))^0/1)+(((0.15*B1714*5))^1/1)+(((0.15*B1714*5))^2/2)+(((0.15*B1714*5))^3/6)+(((0.15*B1714*5))^4/24)+(((0.15*B1714*5))^5/120))),0))+IF(Inputs!$B$3&gt;=54,9*(C1684=TRUE)*MIN(1,8*(1+Inputs!$B$34/100)*Q1684)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1695*(1-MIN(100,(Inputs!$B$9+((C1700=TRUE)*(F1700-Calc!F19))+B1712+(ArtifactsInput!$M$24-ArtifactsInput!$M$24)*CHOOSE(ArtifactsInput!$N$24+1,10,12,14,16,18,20)+(IF(AND(Inputs!$B$38&lt;&gt;"pvp",Inputs!$B$43=0),1,IF(IF(Inputs!$B$38="pvp",15,Inputs!$B$43)-(B1719)&lt;=0,1,MAX(0,IF(Inputs!$B$38="pvp",15,Inputs!$B$43)-MAX(5,B1719))/(IF(Inputs!$B$38="pvp",15,Inputs!$B$43)-(B1719))))*IF(AND(ArtifactsInput!$M$42,((Inputs!$B$9+((C1700=TRUE)*(F1700-Calc!F19))+B1712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1695*(MIN(100,(Inputs!$B$9+((C1700=TRUE)*(F1700-Calc!F19))+B1712+(ArtifactsInput!$M$24-ArtifactsInput!$M$24)*CHOOSE(ArtifactsInput!$N$24+1,10,12,14,16,18,20)+(IF(AND(Inputs!$B$38&lt;&gt;"pvp",Inputs!$B$43=0),1,IF(IF(Inputs!$B$38="pvp",15,Inputs!$B$43)-(B1719)&lt;=0,1,MAX(0,IF(Inputs!$B$38="pvp",15,Inputs!$B$43)-MAX(5,B1719))/(IF(Inputs!$B$38="pvp",15,Inputs!$B$43)-(B1719))))*IF(AND(ArtifactsInput!$M$42,((Inputs!$B$9+((C1700=TRUE)*(F1700-Calc!F19))+B1712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1695*(1-MIN(100,(Inputs!$B$9+((C1700=TRUE)*(F1700-Calc!F19))+B1712+(ArtifactsInput!$M$24-ArtifactsInput!$M$24)*CHOOSE(ArtifactsInput!$N$24+1,10,12,14,16,18,20)+(IF(AND(Inputs!$B$38&lt;&gt;"pvp",Inputs!$B$43=0),1,IF(IF(Inputs!$B$38="pvp",15,Inputs!$B$43)-(B1719)&lt;=0,1,MAX(0,IF(Inputs!$B$38="pvp",15,Inputs!$B$43)-MAX(5,B1719))/(IF(Inputs!$B$38="pvp",15,Inputs!$B$43)-(B1719))))*IF(AND(ArtifactsInput!$M$42,((Inputs!$B$9+((C1700=TRUE)*(F1700-Calc!F19))+B1712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1695*(MIN(100,(Inputs!$B$9+((C1700=TRUE)*(F1700-Calc!F19))+B1712+(ArtifactsInput!$M$24-ArtifactsInput!$M$24)*CHOOSE(ArtifactsInput!$N$24+1,10,12,14,16,18,20)+(IF(AND(Inputs!$B$38&lt;&gt;"pvp",Inputs!$B$43=0),1,IF(IF(Inputs!$B$38="pvp",15,Inputs!$B$43)-(B1719)&lt;=0,1,MAX(0,IF(Inputs!$B$38="pvp",15,Inputs!$B$43)-MAX(5,B1719))/(IF(Inputs!$B$38="pvp",15,Inputs!$B$43)-(B1719))))*IF(AND(ArtifactsInput!$M$42,((Inputs!$B$9+((C1700=TRUE)*(F1700-Calc!F19))+B1712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695">
        <f>IF(C1695,((H1695*(B1716+IF(AND(Inputs!$B$38&lt;&gt;"pvp",Inputs!$B$43&gt;0),((Skills!G8*((R1689-1)*IF(Skills!H8&gt;0,INT(Skills!I8/Skills!H8+0.000000001),1)+IF(Skills!H8&gt;0,INT(MIN(Skills!I8,MAX(0,MAX(0,Inputs!$B$43-B1719)-((R1689-1)*((IF(Inputs!$B$38="pvp",15,MAX(0.1,Skills!D8-IF(TRUE=TRUE,Inputs!$B$32,0)))*(1-IF(AND(ArtifactsInput!$M$27,Inputs!$B$4="Chapter Hunt"),CHOOSE(ArtifactsInput!$N$27+1,20,24,28,32,36,40),0)/100))/B1723))))/Skills!H8+0.000000001),1)))/Inputs!$B$43),G1689*Q1689)+IF(AND(Inputs!$B$38&lt;&gt;"pvp",Inputs!$B$43&gt;0),((Skills!G11*((R1692-1)*IF(Skills!H11&gt;0,INT(Skills!I11/Skills!H11+0.000000001),1)+IF(Skills!H11&gt;0,INT(MIN(Skills!I11,MAX(0,MAX(0,Inputs!$B$43-B1719)-((R1692-1)*((IF(Inputs!$B$38="pvp",15,MAX(0.1,Skills!D11-IF(TRUE=TRUE,Inputs!$B$32,0)))*(1-IF(AND(ArtifactsInput!$M$27,Inputs!$B$4="Chapter Hunt"),CHOOSE(ArtifactsInput!$N$27+1,20,24,28,32,36,40),0)/100))/B1723))))/Skills!H11+0.000000001),1)))/Inputs!$B$43),G1692*Q1692)))/(1+Skills!H14*H1695*(B1716+IF(AND(Inputs!$B$38&lt;&gt;"pvp",Inputs!$B$43&gt;0),((Skills!G8*((R1689-1)*IF(Skills!H8&gt;0,INT(Skills!I8/Skills!H8+0.000000001),1)+IF(Skills!H8&gt;0,INT(MIN(Skills!I8,MAX(0,MAX(0,Inputs!$B$43-B1719)-((R1689-1)*((IF(Inputs!$B$38="pvp",15,MAX(0.1,Skills!D8-IF(TRUE=TRUE,Inputs!$B$32,0)))*(1-IF(AND(ArtifactsInput!$M$27,Inputs!$B$4="Chapter Hunt"),CHOOSE(ArtifactsInput!$N$27+1,20,24,28,32,36,40),0)/100))/B1723))))/Skills!H8+0.000000001),1)))/Inputs!$B$43),G1689*Q1689)+IF(AND(Inputs!$B$38&lt;&gt;"pvp",Inputs!$B$43&gt;0),((Skills!G11*((R1692-1)*IF(Skills!H11&gt;0,INT(Skills!I11/Skills!H11+0.000000001),1)+IF(Skills!H11&gt;0,INT(MIN(Skills!I11,MAX(0,MAX(0,Inputs!$B$43-B1719)-((R1692-1)*((IF(Inputs!$B$38="pvp",15,MAX(0.1,Skills!D11-IF(TRUE=TRUE,Inputs!$B$32,0)))*(1-IF(AND(ArtifactsInput!$M$27,Inputs!$B$4="Chapter Hunt"),CHOOSE(ArtifactsInput!$N$27+1,20,24,28,32,36,40),0)/100))/B1723))))/Skills!H11+0.000000001),1)))/Inputs!$B$43),G1692*Q1692)))*N1695)*IF(Inputs!$B$38="pvp",1,(1+(Inputs!$B$21+Skills!Q14+(IF(ArtifactsInput!$M$33,CHOOSE(ArtifactsInput!$N$33+1,30,36,42,48,54,60),0))+(IF(AND(ArtifactsInput!$M$35,Inputs!$B$4&lt;&gt;"Chapter Hunt"),CHOOSE(ArtifactsInput!$N$35+1,15,18,21,24,27,30)*(1-EXP(-(0.2*B1714)*5)),0)+IF(AND(ArtifactsInput!$M$22,Inputs!$B$4&lt;&gt;"Chapter Hunt"),CHOOSE(ArtifactsInput!$N$22+1,10,12,14,16,18,20)*((0*(((0.15*B1714*5))^0/1)+1*(((0.15*B1714*5))^1/1)+2*(((0.15*B1714*5))^2/2)+3*(((0.15*B1714*5))^3/6)+4*(((0.15*B1714*5))^4/24)+5*(((0.15*B1714*5))^5/120))/((((0.15*B1714*5))^0/1)+(((0.15*B1714*5))^1/1)+(((0.15*B1714*5))^2/2)+(((0.15*B1714*5))^3/6)+(((0.15*B1714*5))^4/24)+(((0.15*B1714*5))^5/120))),0))+IF(Inputs!$B$3&gt;=54,9*(C1684=TRUE)*MIN(1,8*(1+Inputs!$B$34/100)*Q1684),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96">
      <c r="A1696">
        <f>Skills!A15</f>
        <v/>
      </c>
      <c r="B1696">
        <f>Skills!B15</f>
        <v/>
      </c>
      <c r="C1696">
        <f>Inputs!$B$3&gt;=100</f>
        <v/>
      </c>
      <c r="D1696">
        <f>IF(Skills!C15=1,60+Inputs!$B$25+Inputs!$B$29,IF(Skills!C15=2,90+Inputs!$B$26+Inputs!$B$29,IF(Skills!C15=3,120+Inputs!$B$27+Inputs!$B$29,MAX(0,(Inputs!$B$3-100)*3)+Inputs!$B$28+Inputs!$B$29)))</f>
        <v/>
      </c>
      <c r="E1696">
        <f>INDEX(FactorTable!$B$2:$Y$301, MATCH(ROUND(MIN(300,MAX(1,D1696)),0), FactorTable!$A$2:$A$301,0), Skills!M15+1)</f>
        <v/>
      </c>
      <c r="F1696">
        <f>IF(Skills!N15=TRUE,(Skills!L15/10)*(E1696/1000),Skills!L15/10)+Skills!O15</f>
        <v/>
      </c>
      <c r="G1696" t="inlineStr"/>
      <c r="H1696" t="inlineStr"/>
      <c r="I1696" t="inlineStr">
        <is>
          <t>1</t>
        </is>
      </c>
      <c r="J1696" t="inlineStr"/>
      <c r="K1696" t="inlineStr"/>
      <c r="L1696" t="inlineStr"/>
      <c r="M1696" t="inlineStr"/>
      <c r="N1696" t="inlineStr"/>
      <c r="O1696" t="inlineStr"/>
      <c r="P1696" t="inlineStr"/>
      <c r="Q1696" t="inlineStr"/>
      <c r="R1696" t="inlineStr"/>
      <c r="S1696" t="inlineStr"/>
    </row>
    <row r="1697">
      <c r="A1697">
        <f>Skills!A16</f>
        <v/>
      </c>
      <c r="B1697">
        <f>Skills!B16</f>
        <v/>
      </c>
      <c r="C1697">
        <f>Inputs!$B$3&gt;=107</f>
        <v/>
      </c>
      <c r="D1697">
        <f>IF(Skills!C16=1,60+Inputs!$B$25+Inputs!$B$29,IF(Skills!C16=2,90+Inputs!$B$26+Inputs!$B$29,IF(Skills!C16=3,120+Inputs!$B$27+Inputs!$B$29,MAX(0,(Inputs!$B$3-100)*3)+Inputs!$B$28+Inputs!$B$29)))</f>
        <v/>
      </c>
      <c r="E1697">
        <f>INDEX(FactorTable!$B$2:$Y$301, MATCH(ROUND(MIN(300,MAX(1,D1697)),0), FactorTable!$A$2:$A$301,0), Skills!M16+1)</f>
        <v/>
      </c>
      <c r="F1697">
        <f>IF(Skills!N16=TRUE,(Skills!L16/10)*(E1697/1000),Skills!L16/10)+Skills!O16</f>
        <v/>
      </c>
      <c r="G1697" t="inlineStr"/>
      <c r="H1697" t="inlineStr"/>
      <c r="I1697" t="inlineStr">
        <is>
          <t>1</t>
        </is>
      </c>
      <c r="J1697" t="inlineStr"/>
      <c r="K1697" t="inlineStr"/>
      <c r="L1697" t="inlineStr"/>
      <c r="M1697" t="inlineStr"/>
      <c r="N1697" t="inlineStr"/>
      <c r="O1697" t="inlineStr"/>
      <c r="P1697" t="inlineStr"/>
      <c r="Q1697" t="inlineStr"/>
      <c r="R1697" t="inlineStr"/>
      <c r="S1697" t="inlineStr"/>
    </row>
    <row r="1698">
      <c r="A1698">
        <f>Skills!A17</f>
        <v/>
      </c>
      <c r="B1698">
        <f>Skills!B17</f>
        <v/>
      </c>
      <c r="C1698">
        <f>Inputs!$B$3&gt;=74</f>
        <v/>
      </c>
      <c r="D1698">
        <f>IF(Skills!C17=1,60+Inputs!$B$25+Inputs!$B$29,IF(Skills!C17=2,90+Inputs!$B$26+Inputs!$B$29,IF(Skills!C17=3,120+Inputs!$B$27+Inputs!$B$29,MAX(0,(Inputs!$B$3-100)*3)+Inputs!$B$28+Inputs!$B$29)))</f>
        <v/>
      </c>
      <c r="E1698">
        <f>INDEX(FactorTable!$B$2:$Y$301, MATCH(ROUND(MIN(300,MAX(1,D1698)),0), FactorTable!$A$2:$A$301,0), Skills!M17+1)</f>
        <v/>
      </c>
      <c r="F1698">
        <f>IF(Skills!N17=TRUE,(Skills!L17/10)*(E1698/1000),Skills!L17/10)+Skills!O17</f>
        <v/>
      </c>
      <c r="G1698">
        <f>Skills!G17*IF(Skills!H17&gt;0,INT(IF(Inputs!$B$38="pvp",MIN(Skills!I17,15),Skills!I17)/Skills!H17+0.000000001),1)</f>
        <v/>
      </c>
      <c r="H1698">
        <f>1-(1-Skills!J17/100)^Skills!K17</f>
        <v/>
      </c>
      <c r="I1698" t="inlineStr">
        <is>
          <t>1</t>
        </is>
      </c>
      <c r="J1698" t="inlineStr"/>
      <c r="K1698" t="inlineStr"/>
      <c r="L1698" t="inlineStr"/>
      <c r="M1698" t="inlineStr"/>
      <c r="N1698" t="inlineStr"/>
      <c r="O1698">
        <f>(1-Summary!$B$11)*T1698+Summary!$B$11*V1698</f>
        <v/>
      </c>
      <c r="P1698">
        <f>IF(B1722=0,0,O1698/B1722)</f>
        <v/>
      </c>
      <c r="Q1698" t="n">
        <v>0</v>
      </c>
      <c r="R1698" t="n">
        <v>0</v>
      </c>
      <c r="S1698">
        <f>IFERROR(O1698/N1698,0)</f>
        <v/>
      </c>
      <c r="T1698" t="n">
        <v>0</v>
      </c>
      <c r="V1698" t="n">
        <v>0</v>
      </c>
    </row>
    <row r="1699">
      <c r="A1699">
        <f>Skills!A18</f>
        <v/>
      </c>
      <c r="B1699">
        <f>Skills!B18</f>
        <v/>
      </c>
      <c r="C1699">
        <f>Inputs!$B$3&gt;=115</f>
        <v/>
      </c>
      <c r="D1699">
        <f>IF(Skills!C18=1,60+Inputs!$B$25+Inputs!$B$29,IF(Skills!C18=2,90+Inputs!$B$26+Inputs!$B$29,IF(Skills!C18=3,120+Inputs!$B$27+Inputs!$B$29,MAX(0,(Inputs!$B$3-100)*3)+Inputs!$B$28+Inputs!$B$29)))</f>
        <v/>
      </c>
      <c r="E1699">
        <f>INDEX(FactorTable!$B$2:$Y$301, MATCH(ROUND(MIN(300,MAX(1,D1699)),0), FactorTable!$A$2:$A$301,0), Skills!M18+1)</f>
        <v/>
      </c>
      <c r="F1699">
        <f>IF(Skills!N18=TRUE,(Skills!L18/10)*(E1699/1000),Skills!L18/10)+Skills!O18</f>
        <v/>
      </c>
      <c r="G1699">
        <f>Skills!G18*IF(Skills!H18&gt;0,INT(IF(Inputs!$B$38="pvp",MIN(Skills!I18,15),Skills!I18)/Skills!H18+0.000000001),1)</f>
        <v/>
      </c>
      <c r="H1699">
        <f>1-(1-Skills!J18/100)^Skills!K18</f>
        <v/>
      </c>
      <c r="I1699" t="inlineStr">
        <is>
          <t>1</t>
        </is>
      </c>
      <c r="J1699" t="inlineStr"/>
      <c r="K1699" t="inlineStr"/>
      <c r="L1699" t="inlineStr"/>
      <c r="M1699" t="inlineStr"/>
      <c r="N1699" t="inlineStr"/>
      <c r="O1699">
        <f>(1-Summary!$B$11)*T1699+Summary!$B$11*V1699</f>
        <v/>
      </c>
      <c r="P1699">
        <f>IF(B1722=0,0,O1699/B1722)</f>
        <v/>
      </c>
      <c r="Q1699">
        <f>IFERROR(1/(IF(Inputs!$B$38="pvp",15,MAX(0.1,Skills!D18-IF(TRUE=TRUE,Inputs!$B$32,0)))*(1-IF(AND(ArtifactsInput!$M$27,Inputs!$B$4="Chapter Hunt"),CHOOSE(ArtifactsInput!$N$27+1,20,24,28,32,36,40),0)/100)),0)</f>
        <v/>
      </c>
      <c r="R1699">
        <f>IF(AND(Inputs!$B$38&lt;&gt;"pvp",Inputs!$B$43&gt;0),IF(Inputs!$B$43&lt;=0,0,(INT(Inputs!$B$43/(IF(Inputs!$B$38="pvp",15,MAX(0.1,Skills!D18-IF(TRUE=TRUE,Inputs!$B$32,0)))*(1-IF(AND(ArtifactsInput!$M$27,Inputs!$B$4="Chapter Hunt"),CHOOSE(ArtifactsInput!$N$27+1,20,24,28,32,36,40),0)/100)))+1)),0)</f>
        <v/>
      </c>
      <c r="S1699">
        <f>IFERROR(O1699/N1699,0)</f>
        <v/>
      </c>
      <c r="T1699" t="n">
        <v>0</v>
      </c>
      <c r="V1699" t="n">
        <v>0</v>
      </c>
    </row>
    <row r="1700">
      <c r="A1700">
        <f>Skills!A19</f>
        <v/>
      </c>
      <c r="B1700">
        <f>Skills!B19</f>
        <v/>
      </c>
      <c r="C1700">
        <f>Inputs!$B$3&gt;=10</f>
        <v/>
      </c>
      <c r="D1700">
        <f>IF(Skills!C19=1,60+Inputs!$B$25+Inputs!$B$29,IF(Skills!C19=2,90+Inputs!$B$26+Inputs!$B$29,IF(Skills!C19=3,120+Inputs!$B$27+Inputs!$B$29,MAX(0,(Inputs!$B$3-100)*3)+Inputs!$B$28+Inputs!$B$29)))</f>
        <v/>
      </c>
      <c r="E1700">
        <f>INDEX(FactorTable!$B$2:$Y$301, MATCH(ROUND(MIN(300,MAX(1,D1700)),0), FactorTable!$A$2:$A$301,0), Skills!M19+1)</f>
        <v/>
      </c>
      <c r="F1700">
        <f>IF(Skills!N19=TRUE,(Skills!L19/10)*(E1700/1000),Skills!L19/10)+Skills!O19</f>
        <v/>
      </c>
      <c r="G1700">
        <f>Skills!G19*IF(Skills!H19&gt;0,INT(IF(Inputs!$B$38="pvp",MIN(Skills!I19,15),Skills!I19)/Skills!H19+0.000000001),1)</f>
        <v/>
      </c>
      <c r="H1700">
        <f>1-(1-Skills!J19/100)^Skills!K19</f>
        <v/>
      </c>
      <c r="I1700" t="inlineStr">
        <is>
          <t>1</t>
        </is>
      </c>
      <c r="J1700" t="inlineStr"/>
      <c r="K1700" t="inlineStr"/>
      <c r="L1700" t="inlineStr"/>
      <c r="M1700" t="inlineStr"/>
      <c r="N1700" t="inlineStr"/>
      <c r="O1700">
        <f>(1-Summary!$B$11)*T1700+Summary!$B$11*V1700</f>
        <v/>
      </c>
      <c r="P1700">
        <f>IF(B1722=0,0,O1700/B1722)</f>
        <v/>
      </c>
      <c r="Q1700" t="n">
        <v>0</v>
      </c>
      <c r="R1700" t="n">
        <v>0</v>
      </c>
      <c r="S1700">
        <f>IFERROR(O1700/N1700,0)</f>
        <v/>
      </c>
      <c r="T1700" t="n">
        <v>0</v>
      </c>
      <c r="V1700" t="n">
        <v>0</v>
      </c>
    </row>
    <row r="1701">
      <c r="A1701">
        <f>Skills!A20</f>
        <v/>
      </c>
      <c r="B1701">
        <f>Skills!B20</f>
        <v/>
      </c>
      <c r="C1701">
        <f>Inputs!$B$3&gt;=15</f>
        <v/>
      </c>
      <c r="D1701">
        <f>IF(Skills!C20=1,60+Inputs!$B$25+Inputs!$B$29,IF(Skills!C20=2,90+Inputs!$B$26+Inputs!$B$29,IF(Skills!C20=3,120+Inputs!$B$27+Inputs!$B$29,MAX(0,(Inputs!$B$3-100)*3)+Inputs!$B$28+Inputs!$B$29)))</f>
        <v/>
      </c>
      <c r="E1701">
        <f>INDEX(FactorTable!$B$2:$Y$301, MATCH(ROUND(MIN(300,MAX(1,D1701)),0), FactorTable!$A$2:$A$301,0), Skills!M20+1)</f>
        <v/>
      </c>
      <c r="F1701">
        <f>IF(Skills!N20=TRUE,(Skills!L20/10)*(E1701/1000),Skills!L20/10)+Skills!O20</f>
        <v/>
      </c>
      <c r="G1701">
        <f>Skills!G20*IF(Skills!H20&gt;0,INT(IF(Inputs!$B$38="pvp",MIN(Skills!I20,15),Skills!I20)/Skills!H20+0.000000001),1)</f>
        <v/>
      </c>
      <c r="H1701">
        <f>1-(1-Skills!J20/100)^Skills!K20</f>
        <v/>
      </c>
      <c r="I1701" t="inlineStr">
        <is>
          <t>1</t>
        </is>
      </c>
      <c r="J1701" t="inlineStr"/>
      <c r="K1701" t="inlineStr"/>
      <c r="L1701" t="inlineStr"/>
      <c r="M1701" t="inlineStr"/>
      <c r="N1701" t="inlineStr"/>
      <c r="O1701">
        <f>(1-Summary!$B$11)*T1701+Summary!$B$11*V1701</f>
        <v/>
      </c>
      <c r="P1701">
        <f>IF(B1722=0,0,O1701/B1722)</f>
        <v/>
      </c>
      <c r="Q1701" t="n">
        <v>0</v>
      </c>
      <c r="R1701" t="n">
        <v>0</v>
      </c>
      <c r="S1701">
        <f>IFERROR(O1701/N1701,0)</f>
        <v/>
      </c>
      <c r="T1701" t="n">
        <v>0</v>
      </c>
      <c r="V1701" t="n">
        <v>0</v>
      </c>
    </row>
    <row r="1702">
      <c r="A1702">
        <f>Skills!A21</f>
        <v/>
      </c>
      <c r="B1702">
        <f>Skills!B21</f>
        <v/>
      </c>
      <c r="C1702">
        <f>Inputs!$B$3&gt;=40</f>
        <v/>
      </c>
      <c r="D1702">
        <f>IF(Skills!C21=1,60+Inputs!$B$25+Inputs!$B$29,IF(Skills!C21=2,90+Inputs!$B$26+Inputs!$B$29,IF(Skills!C21=3,120+Inputs!$B$27+Inputs!$B$29,MAX(0,(Inputs!$B$3-100)*3)+Inputs!$B$28+Inputs!$B$29)))</f>
        <v/>
      </c>
      <c r="E1702">
        <f>INDEX(FactorTable!$B$2:$Y$301, MATCH(ROUND(MIN(300,MAX(1,D1702)),0), FactorTable!$A$2:$A$301,0), Skills!M21+1)</f>
        <v/>
      </c>
      <c r="F1702">
        <f>IF(Skills!N21=TRUE,(Skills!L21/10)*(E1702/1000),Skills!L21/10)+Skills!O21</f>
        <v/>
      </c>
      <c r="G1702">
        <f>Skills!G21*IF(Skills!H21&gt;0,INT(IF(Inputs!$B$38="pvp",MIN(Skills!I21,15),Skills!I21)/Skills!H21+0.000000001),1)</f>
        <v/>
      </c>
      <c r="H1702">
        <f>1-(1-Skills!J21/100)^Skills!K21</f>
        <v/>
      </c>
      <c r="I1702" t="inlineStr">
        <is>
          <t>1</t>
        </is>
      </c>
      <c r="J1702" t="inlineStr"/>
      <c r="K1702" t="inlineStr"/>
      <c r="L1702" t="inlineStr"/>
      <c r="M1702" t="inlineStr"/>
      <c r="N1702" t="inlineStr"/>
      <c r="O1702">
        <f>(1-Summary!$B$11)*T1702+Summary!$B$11*V1702</f>
        <v/>
      </c>
      <c r="P1702">
        <f>IF(B1722=0,0,O1702/B1722)</f>
        <v/>
      </c>
      <c r="Q1702" t="n">
        <v>0</v>
      </c>
      <c r="R1702" t="n">
        <v>0</v>
      </c>
      <c r="S1702">
        <f>IFERROR(O1702/N1702,0)</f>
        <v/>
      </c>
      <c r="T1702" t="n">
        <v>0</v>
      </c>
      <c r="V1702" t="n">
        <v>0</v>
      </c>
    </row>
    <row r="1703">
      <c r="A1703">
        <f>Skills!A22</f>
        <v/>
      </c>
      <c r="B1703">
        <f>Skills!B22</f>
        <v/>
      </c>
      <c r="C1703">
        <f>Inputs!$B$3&gt;=43</f>
        <v/>
      </c>
      <c r="D1703">
        <f>IF(Skills!C22=1,60+Inputs!$B$25+Inputs!$B$29,IF(Skills!C22=2,90+Inputs!$B$26+Inputs!$B$29,IF(Skills!C22=3,120+Inputs!$B$27+Inputs!$B$29,MAX(0,(Inputs!$B$3-100)*3)+Inputs!$B$28+Inputs!$B$29)))</f>
        <v/>
      </c>
      <c r="E1703">
        <f>INDEX(FactorTable!$B$2:$Y$301, MATCH(ROUND(MIN(300,MAX(1,D1703)),0), FactorTable!$A$2:$A$301,0), Skills!M22+1)</f>
        <v/>
      </c>
      <c r="F1703">
        <f>IF(Skills!N22=TRUE,(Skills!L22/10)*(E1703/1000),Skills!L22/10)+Skills!O22</f>
        <v/>
      </c>
      <c r="G1703">
        <f>Skills!G22*IF(Skills!H22&gt;0,INT(IF(Inputs!$B$38="pvp",MIN(Skills!I22,15),Skills!I22)/Skills!H22+0.000000001),1)</f>
        <v/>
      </c>
      <c r="H1703">
        <f>1-(1-Skills!J22/100)^Skills!K22</f>
        <v/>
      </c>
      <c r="I1703" t="inlineStr">
        <is>
          <t>1</t>
        </is>
      </c>
      <c r="J1703" t="inlineStr"/>
      <c r="K1703" t="inlineStr"/>
      <c r="L1703" t="inlineStr"/>
      <c r="M1703" t="inlineStr"/>
      <c r="N1703" t="inlineStr"/>
      <c r="O1703">
        <f>(1-Summary!$B$11)*T1703+Summary!$B$11*V1703</f>
        <v/>
      </c>
      <c r="P1703">
        <f>IF(B1722=0,0,O1703/B1722)</f>
        <v/>
      </c>
      <c r="Q1703" t="n">
        <v>0</v>
      </c>
      <c r="R1703" t="n">
        <v>0</v>
      </c>
      <c r="S1703">
        <f>IFERROR(O1703/N1703,0)</f>
        <v/>
      </c>
      <c r="T1703" t="n">
        <v>0</v>
      </c>
      <c r="V1703" t="n">
        <v>0</v>
      </c>
    </row>
    <row r="1704">
      <c r="A1704">
        <f>Skills!A23</f>
        <v/>
      </c>
      <c r="B1704">
        <f>Skills!B23</f>
        <v/>
      </c>
      <c r="C1704">
        <f>Inputs!$B$3&gt;=38</f>
        <v/>
      </c>
      <c r="D1704">
        <f>IF(Skills!C23=1,60+Inputs!$B$25+Inputs!$B$29,IF(Skills!C23=2,90+Inputs!$B$26+Inputs!$B$29,IF(Skills!C23=3,120+Inputs!$B$27+Inputs!$B$29,MAX(0,(Inputs!$B$3-100)*3)+Inputs!$B$28+Inputs!$B$29)))</f>
        <v/>
      </c>
      <c r="E1704">
        <f>INDEX(FactorTable!$B$2:$Y$301, MATCH(ROUND(MIN(300,MAX(1,D1704)),0), FactorTable!$A$2:$A$301,0), Skills!M23+1)</f>
        <v/>
      </c>
      <c r="F1704">
        <f>IF(Skills!N23=TRUE,(Skills!L23/10)*(E1704/1000),Skills!L23/10)+Skills!O23</f>
        <v/>
      </c>
      <c r="G1704">
        <f>Skills!G23*IF(Skills!H23&gt;0,INT(IF(Inputs!$B$38="pvp",MIN(Skills!I23,15),Skills!I23)/Skills!H23+0.000000001),1)</f>
        <v/>
      </c>
      <c r="H1704">
        <f>1-(1-Skills!J23/100)^Skills!K23</f>
        <v/>
      </c>
      <c r="I1704" t="inlineStr">
        <is>
          <t>1</t>
        </is>
      </c>
      <c r="J1704" t="inlineStr"/>
      <c r="K1704" t="inlineStr"/>
      <c r="L1704" t="inlineStr"/>
      <c r="M1704" t="inlineStr"/>
      <c r="N1704" t="inlineStr"/>
      <c r="O1704">
        <f>(1-Summary!$B$11)*T1704+Summary!$B$11*V1704</f>
        <v/>
      </c>
      <c r="P1704">
        <f>IF(B1722=0,0,O1704/B1722)</f>
        <v/>
      </c>
      <c r="Q1704" t="n">
        <v>0</v>
      </c>
      <c r="R1704" t="n">
        <v>0</v>
      </c>
      <c r="S1704">
        <f>IFERROR(O1704/N1704,0)</f>
        <v/>
      </c>
      <c r="T1704" t="n">
        <v>0</v>
      </c>
      <c r="V1704" t="n">
        <v>0</v>
      </c>
    </row>
    <row r="1705">
      <c r="A1705">
        <f>Skills!A24</f>
        <v/>
      </c>
      <c r="B1705">
        <f>Skills!B24</f>
        <v/>
      </c>
      <c r="C1705">
        <f>Inputs!$B$3&gt;=45</f>
        <v/>
      </c>
      <c r="D1705">
        <f>IF(Skills!C24=1,60+Inputs!$B$25+Inputs!$B$29,IF(Skills!C24=2,90+Inputs!$B$26+Inputs!$B$29,IF(Skills!C24=3,120+Inputs!$B$27+Inputs!$B$29,MAX(0,(Inputs!$B$3-100)*3)+Inputs!$B$28+Inputs!$B$29)))</f>
        <v/>
      </c>
      <c r="E1705">
        <f>INDEX(FactorTable!$B$2:$Y$301, MATCH(ROUND(MIN(300,MAX(1,D1705)),0), FactorTable!$A$2:$A$301,0), Skills!M24+1)</f>
        <v/>
      </c>
      <c r="F1705">
        <f>IF(Skills!N24=TRUE,(Skills!L24/10)*(E1705/1000),Skills!L24/10)+Skills!O24</f>
        <v/>
      </c>
      <c r="G1705">
        <f>Skills!G24*IF(Skills!H24&gt;0,INT(IF(Inputs!$B$38="pvp",MIN(Skills!I24,15),Skills!I24)/Skills!H24+0.000000001),1)</f>
        <v/>
      </c>
      <c r="H1705">
        <f>1-(1-Skills!J24/100)^Skills!K24</f>
        <v/>
      </c>
      <c r="I1705" t="inlineStr">
        <is>
          <t>1</t>
        </is>
      </c>
      <c r="J1705" t="inlineStr"/>
      <c r="K1705" t="inlineStr"/>
      <c r="L1705" t="inlineStr"/>
      <c r="M1705" t="inlineStr"/>
      <c r="N1705" t="inlineStr"/>
      <c r="O1705">
        <f>(1-Summary!$B$11)*T1705+Summary!$B$11*V1705</f>
        <v/>
      </c>
      <c r="P1705">
        <f>IF(B1722=0,0,O1705/B1722)</f>
        <v/>
      </c>
      <c r="Q1705" t="n">
        <v>0</v>
      </c>
      <c r="R1705" t="n">
        <v>0</v>
      </c>
      <c r="S1705">
        <f>IFERROR(O1705/N1705,0)</f>
        <v/>
      </c>
      <c r="T1705" t="n">
        <v>0</v>
      </c>
      <c r="V1705" t="n">
        <v>0</v>
      </c>
    </row>
    <row r="1706">
      <c r="A1706">
        <f>Skills!A25</f>
        <v/>
      </c>
      <c r="B1706">
        <f>Skills!B25</f>
        <v/>
      </c>
      <c r="C1706">
        <f>Inputs!$B$3&gt;=72</f>
        <v/>
      </c>
      <c r="D1706">
        <f>IF(Skills!C25=1,60+Inputs!$B$25+Inputs!$B$29,IF(Skills!C25=2,90+Inputs!$B$26+Inputs!$B$29,IF(Skills!C25=3,120+Inputs!$B$27+Inputs!$B$29,MAX(0,(Inputs!$B$3-100)*3)+Inputs!$B$28+Inputs!$B$29)))</f>
        <v/>
      </c>
      <c r="E1706">
        <f>INDEX(FactorTable!$B$2:$Y$301, MATCH(ROUND(MIN(300,MAX(1,D1706)),0), FactorTable!$A$2:$A$301,0), Skills!M25+1)</f>
        <v/>
      </c>
      <c r="F1706">
        <f>IF(Skills!N25=TRUE,(Skills!L25/10)*(E1706/1000),Skills!L25/10)+Skills!O25</f>
        <v/>
      </c>
      <c r="G1706">
        <f>Skills!G25*IF(Skills!H25&gt;0,INT(IF(Inputs!$B$38="pvp",MIN(Skills!I25,15),Skills!I25)/Skills!H25+0.000000001),1)</f>
        <v/>
      </c>
      <c r="H1706">
        <f>1-(1-Skills!J25/100)^Skills!K25</f>
        <v/>
      </c>
      <c r="I1706" t="inlineStr">
        <is>
          <t>1</t>
        </is>
      </c>
      <c r="J1706" t="inlineStr"/>
      <c r="K1706" t="inlineStr"/>
      <c r="L1706" t="inlineStr"/>
      <c r="M1706" t="inlineStr"/>
      <c r="N1706" t="inlineStr"/>
      <c r="O1706">
        <f>(1-Summary!$B$11)*T1706+Summary!$B$11*V1706</f>
        <v/>
      </c>
      <c r="P1706">
        <f>IF(B1722=0,0,O1706/B1722)</f>
        <v/>
      </c>
      <c r="Q1706" t="n">
        <v>0</v>
      </c>
      <c r="R1706" t="n">
        <v>0</v>
      </c>
      <c r="S1706">
        <f>IFERROR(O1706/N1706,0)</f>
        <v/>
      </c>
      <c r="T1706" t="n">
        <v>0</v>
      </c>
      <c r="V1706" t="n">
        <v>0</v>
      </c>
    </row>
    <row r="1707">
      <c r="A1707">
        <f>Skills!A26</f>
        <v/>
      </c>
      <c r="B1707">
        <f>Skills!B26</f>
        <v/>
      </c>
      <c r="C1707">
        <f>Inputs!$B$3&gt;=75</f>
        <v/>
      </c>
      <c r="D1707">
        <f>IF(Skills!C26=1,60+Inputs!$B$25+Inputs!$B$29,IF(Skills!C26=2,90+Inputs!$B$26+Inputs!$B$29,IF(Skills!C26=3,120+Inputs!$B$27+Inputs!$B$29,MAX(0,(Inputs!$B$3-100)*3)+Inputs!$B$28+Inputs!$B$29)))</f>
        <v/>
      </c>
      <c r="E1707">
        <f>INDEX(FactorTable!$B$2:$Y$301, MATCH(ROUND(MIN(300,MAX(1,D1707)),0), FactorTable!$A$2:$A$301,0), Skills!M26+1)</f>
        <v/>
      </c>
      <c r="F1707">
        <f>IF(Skills!N26=TRUE,(Skills!L26/10)*(E1707/1000),Skills!L26/10)+Skills!O26</f>
        <v/>
      </c>
      <c r="G1707">
        <f>Skills!G26*IF(Skills!H26&gt;0,INT(IF(Inputs!$B$38="pvp",MIN(Skills!I26,15),Skills!I26)/Skills!H26+0.000000001),1)</f>
        <v/>
      </c>
      <c r="H1707">
        <f>1-(1-Skills!J26/100)^Skills!K26</f>
        <v/>
      </c>
      <c r="I1707" t="inlineStr">
        <is>
          <t>1</t>
        </is>
      </c>
      <c r="J1707" t="inlineStr"/>
      <c r="K1707" t="inlineStr"/>
      <c r="L1707" t="inlineStr"/>
      <c r="M1707" t="inlineStr"/>
      <c r="N1707" t="inlineStr"/>
      <c r="O1707">
        <f>(1-Summary!$B$11)*T1707+Summary!$B$11*V1707</f>
        <v/>
      </c>
      <c r="P1707">
        <f>IF(B1722=0,0,O1707/B1722)</f>
        <v/>
      </c>
      <c r="Q1707" t="n">
        <v>0</v>
      </c>
      <c r="R1707" t="n">
        <v>0</v>
      </c>
      <c r="S1707">
        <f>IFERROR(O1707/N1707,0)</f>
        <v/>
      </c>
      <c r="T1707" t="n">
        <v>0</v>
      </c>
      <c r="V1707" t="n">
        <v>0</v>
      </c>
    </row>
    <row r="1708">
      <c r="A1708">
        <f>Skills!A27</f>
        <v/>
      </c>
      <c r="B1708">
        <f>Skills!B27</f>
        <v/>
      </c>
      <c r="C1708">
        <f>Inputs!$B$3&gt;=125</f>
        <v/>
      </c>
      <c r="D1708">
        <f>IF(Skills!C27=1,60+Inputs!$B$25+Inputs!$B$29,IF(Skills!C27=2,90+Inputs!$B$26+Inputs!$B$29,IF(Skills!C27=3,120+Inputs!$B$27+Inputs!$B$29,MAX(0,(Inputs!$B$3-100)*3)+Inputs!$B$28+Inputs!$B$29)))</f>
        <v/>
      </c>
      <c r="E1708">
        <f>INDEX(FactorTable!$B$2:$Y$301, MATCH(ROUND(MIN(300,MAX(1,D1708)),0), FactorTable!$A$2:$A$301,0), Skills!M27+1)</f>
        <v/>
      </c>
      <c r="F1708">
        <f>IF(Skills!N27=TRUE,(Skills!L27/10)*(E1708/1000),Skills!L27/10)+Skills!O27</f>
        <v/>
      </c>
      <c r="G1708">
        <f>Skills!G27*IF(Skills!H27&gt;0,INT(IF(Inputs!$B$38="pvp",MIN(Skills!I27,15),Skills!I27)/Skills!H27+0.000000001),1)</f>
        <v/>
      </c>
      <c r="H1708">
        <f>1-(1-Skills!J27/100)^Skills!K27</f>
        <v/>
      </c>
      <c r="I1708" t="inlineStr">
        <is>
          <t>1</t>
        </is>
      </c>
      <c r="J1708" t="inlineStr"/>
      <c r="K1708" t="inlineStr"/>
      <c r="L1708" t="inlineStr"/>
      <c r="M1708" t="inlineStr"/>
      <c r="N1708" t="inlineStr"/>
      <c r="O1708">
        <f>(1-Summary!$B$11)*T1708+Summary!$B$11*V1708</f>
        <v/>
      </c>
      <c r="P1708">
        <f>IF(B1722=0,0,O1708/B1722)</f>
        <v/>
      </c>
      <c r="Q1708" t="n">
        <v>0</v>
      </c>
      <c r="R1708" t="n">
        <v>0</v>
      </c>
      <c r="S1708">
        <f>IFERROR(O1708/N1708,0)</f>
        <v/>
      </c>
      <c r="T1708" t="n">
        <v>0</v>
      </c>
      <c r="V1708" t="n">
        <v>0</v>
      </c>
    </row>
    <row r="1709">
      <c r="A1709">
        <f>Skills!A28</f>
        <v/>
      </c>
      <c r="B1709">
        <f>Skills!B28</f>
        <v/>
      </c>
      <c r="C1709">
        <f>TRUE</f>
        <v/>
      </c>
      <c r="D1709">
        <f>IF(Skills!C28=1,60+Inputs!$B$25+Inputs!$B$29,IF(Skills!C28=2,90+Inputs!$B$26+Inputs!$B$29,IF(Skills!C28=3,120+Inputs!$B$27+Inputs!$B$29,MAX(0,(Inputs!$B$3-100)*3)+Inputs!$B$28+Inputs!$B$29)))</f>
        <v/>
      </c>
      <c r="E1709">
        <f>INDEX(FactorTable!$B$2:$Y$301, MATCH(ROUND(MIN(300,MAX(1,D1709)),0), FactorTable!$A$2:$A$301,0), Skills!M28+1)</f>
        <v/>
      </c>
      <c r="F1709">
        <f>IF(Skills!N28=TRUE,(Skills!L28/10)*(E1709/1000),Skills!L28/10)+Skills!O28</f>
        <v/>
      </c>
      <c r="G1709">
        <f>Skills!G28*IF(Skills!H28&gt;0,INT(IF(Inputs!$B$38="pvp",MIN(Skills!I28,15),Skills!I28)/Skills!H28+0.000000001),1)</f>
        <v/>
      </c>
      <c r="H1709">
        <f>1-(1-Skills!J28/100)^Skills!K28</f>
        <v/>
      </c>
      <c r="I1709" t="inlineStr">
        <is>
          <t>1</t>
        </is>
      </c>
      <c r="J1709" t="inlineStr"/>
      <c r="K1709" t="inlineStr"/>
      <c r="L1709" t="inlineStr"/>
      <c r="M1709" t="inlineStr"/>
      <c r="N1709" t="inlineStr"/>
      <c r="O1709">
        <f>(1-Summary!$B$11)*T1709+Summary!$B$11*V1709</f>
        <v/>
      </c>
      <c r="P1709">
        <f>IF(B1722=0,0,O1709/B1722)</f>
        <v/>
      </c>
      <c r="Q1709">
        <f>IFERROR(1/(IF(Inputs!$B$38="pvp",15,MAX(0.1,Skills!D28-IF(TRUE=TRUE,Inputs!$B$32,0)))*(1-IF(AND(ArtifactsInput!$M$27,Inputs!$B$4="Chapter Hunt"),CHOOSE(ArtifactsInput!$N$27+1,20,24,28,32,36,40),0)/100)),0)</f>
        <v/>
      </c>
      <c r="R1709">
        <f>IF(AND(Inputs!$B$38&lt;&gt;"pvp",Inputs!$B$43&gt;0),IF(Inputs!$B$43&lt;=0,0,(INT(Inputs!$B$43/(IF(Inputs!$B$38="pvp",15,MAX(0.1,Skills!D28-IF(TRUE=TRUE,Inputs!$B$32,0)))*(1-IF(AND(ArtifactsInput!$M$27,Inputs!$B$4="Chapter Hunt"),CHOOSE(ArtifactsInput!$N$27+1,20,24,28,32,36,40),0)/100)))+1)),0)</f>
        <v/>
      </c>
      <c r="S1709">
        <f>IFERROR(O1709/N1709,0)</f>
        <v/>
      </c>
      <c r="T1709" t="n">
        <v>0</v>
      </c>
      <c r="V1709" t="n">
        <v>0</v>
      </c>
    </row>
    <row r="1711">
      <c r="A1711" t="inlineStr">
        <is>
          <t>Attack% Bucket Multiplier</t>
        </is>
      </c>
      <c r="B1711">
        <f>(1+(((C1698=TRUE)*F1698*5/7)+((C1705=TRUE)*(F1705-Calc!F24))+(IF(ArtifactsInput!$M$21,CHOOSE(ArtifactsInput!$N$21+1,25,30,35,40,45,50)*(IF(OR(Inputs!$B$4="Chapter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712">
      <c r="A1712" t="inlineStr">
        <is>
          <t>Global Crit Rate Bonus %</t>
        </is>
      </c>
      <c r="B1712" t="n">
        <v>0</v>
      </c>
    </row>
    <row r="1713">
      <c r="A1713" t="inlineStr">
        <is>
          <t>Attack Speed Buff Bonus % (Nimble Feet, duty-cycle averaged)</t>
        </is>
      </c>
      <c r="B1713">
        <f>((C1709=TRUE)*F1709*IF(AND(Inputs!$B$38&lt;&gt;"pvp",Inputs!$B$43&gt;0),(((R1709-1)*MIN((Skills!T28*(1+Inputs!$B$34/100)),(1/Q1709))+MIN((Skills!T28*(1+Inputs!$B$34/100)),MAX(0,Inputs!$B$43-((R1709-1)*(1/Q1709)))))/Inputs!$B$43),IF(Inputs!$B$38="pvp",MIN((Skills!T28*(1+Inputs!$B$34/100)),15)/15,MIN(1,(Skills!T28*(1+Inputs!$B$34/100))/(1/Q1709)))))</f>
        <v/>
      </c>
    </row>
    <row r="1714">
      <c r="A1714" t="inlineStr">
        <is>
          <t>Actions Per Second</t>
        </is>
      </c>
      <c r="B1714">
        <f>1+MIN(150,150*(1-(1-(Inputs!$B$11+((C1701=TRUE)*(F1701-Calc!F20))+((C1702=TRUE)*(F1702-Calc!F21)))/150)*(1-B1713/150)))/100</f>
        <v/>
      </c>
    </row>
    <row r="1715">
      <c r="A1715" t="inlineStr">
        <is>
          <t>Skill + Buff Cast Rate</t>
        </is>
      </c>
      <c r="B1715">
        <f>IF(AND(Inputs!$B$38&lt;&gt;"pvp",Inputs!$B$43&gt;0),SUMPRODUCT((Skills!E2:E28=TRUE)*(C1683:C1709=TRUE)*R1683:R1709*Skills!F2:F28)/Inputs!$B$43,SUMPRODUCT((Skills!E2:E28=TRUE)*(C1683:C1709=TRUE)*Q1683:Q1709*Skills!F2:F28))</f>
        <v/>
      </c>
    </row>
    <row r="1716">
      <c r="A1716" t="inlineStr">
        <is>
          <t>Eight-Legs Easton Casts Per Second</t>
        </is>
      </c>
      <c r="B1716">
        <f>MAX(0,B1714-B1715)</f>
        <v/>
      </c>
    </row>
    <row r="1717">
      <c r="A1717" t="inlineStr">
        <is>
          <t>Global Critical Damage Bonus % (unused)</t>
        </is>
      </c>
      <c r="B1717" t="n">
        <v>0</v>
      </c>
    </row>
    <row r="1718">
      <c r="A1718" t="inlineStr">
        <is>
          <t>Global Final Damage Bonus % (Jolly Roger + Ahoy Mateys - Final Damage proc)</t>
        </is>
      </c>
      <c r="B1718">
        <f>((C1699=TRUE)*F1699*IF(AND(Inputs!$B$38&lt;&gt;"pvp",Inputs!$B$43&gt;0),(((R1699-1)*MIN((Skills!T18*(1+Inputs!$B$34/100)),(1/Q1699))+MIN((Skills!T18*(1+Inputs!$B$34/100)),MAX(0,Inputs!$B$43-((R1699-1)*(1/Q1699)))))/Inputs!$B$43),IF(Inputs!$B$38="pvp",MIN((Skills!T18*(1+Inputs!$B$34/100)),15)/15,MIN(1,(Skills!T18*(1+Inputs!$B$34/100))/(1/Q1699)))))+IF(Inputs!$B$3&gt;=122,20*IF(Inputs!$B$38="pvp",MIN((20*(1+Inputs!$B$34/100)),15)/15,MIN(1,(20*(1+Inputs!$B$34/100))/(1/Q1685))),0)</f>
        <v/>
      </c>
    </row>
    <row r="1719">
      <c r="A1719" t="inlineStr">
        <is>
          <t>Buff-Casting Startup Delay (s, fixed-duration only)</t>
        </is>
      </c>
      <c r="B1719">
        <f>IF(AND(Inputs!$B$38&lt;&gt;"pvp",Inputs!$B$43&gt;0),SUMPRODUCT((Skills!T2:T28&gt;0)*(Skills!E2:E28=TRUE)*(C1683:C1709=TRUE))/B1714,0)</f>
        <v/>
      </c>
    </row>
    <row r="1720">
      <c r="A1720" t="inlineStr">
        <is>
          <t>Boss-Only Total DPS (this block's swept value)</t>
        </is>
      </c>
      <c r="B1720">
        <f>SUM(T1683:T1709)</f>
        <v/>
      </c>
    </row>
    <row r="1721">
      <c r="A1721" t="inlineStr">
        <is>
          <t>Normal-Only Total DPS (this block's swept value)</t>
        </is>
      </c>
      <c r="B1721">
        <f>SUM(V1683:V1709)</f>
        <v/>
      </c>
    </row>
    <row r="1722">
      <c r="A1722" s="6" t="inlineStr">
        <is>
          <t>TOTAL DPS</t>
        </is>
      </c>
      <c r="B1722" s="6">
        <f>SUM(O1683:O1709)</f>
        <v/>
      </c>
    </row>
    <row r="1723">
      <c r="A1723" t="inlineStr">
        <is>
          <t>Quickdraw cooldown divisor (this block's own APS / Q)</t>
        </is>
      </c>
      <c r="B1723">
        <f>IF(AND(C1708=TRUE,Inputs!$B$38&lt;&gt;"pvp"),1+0.25*MAX(0,(B1714-(((C1684=TRUE)*Q1684*1)+((C1685=TRUE)*Q1685*1)+((C1687=TRUE)*Q1687*1)+((C1688=TRUE)*Q1688*1)+((C1690=TRUE)*Q1690*1)+((C1693=TRUE)*Q1693*1)+((C1699=TRUE)*Q1699*1)+((C1709=TRUE)*Q1709*1))-((C1689=TRUE)/(IF(Inputs!$B$38="pvp",15,MAX(0.1,Skills!D8-IF(TRUE=TRUE,Inputs!$B$32,0)))*(1-IF(AND(ArtifactsInput!$M$27,Inputs!$B$4="Chapter Hunt"),CHOOSE(ArtifactsInput!$N$27+1,20,24,28,32,36,40),0)/100))+(C1692=TRUE)/(IF(Inputs!$B$38="pvp",15,MAX(0.1,Skills!D11-IF(TRUE=TRUE,Inputs!$B$32,0)))*(1-IF(AND(ArtifactsInput!$M$27,Inputs!$B$4="Chapter Hunt"),CHOOSE(ArtifactsInput!$N$27+1,20,24,28,32,36,40),0)/100))))/(1+0.25*((C1689=TRUE)/(IF(Inputs!$B$38="pvp",15,MAX(0.1,Skills!D8-IF(TRUE=TRUE,Inputs!$B$32,0)))*(1-IF(AND(ArtifactsInput!$M$27,Inputs!$B$4="Chapter Hunt"),CHOOSE(ArtifactsInput!$N$27+1,20,24,28,32,36,40),0)/100))+(C1692=TRUE)/(IF(Inputs!$B$38="pvp",15,MAX(0.1,Skills!D11-IF(TRUE=TRUE,Inputs!$B$32,0)))*(1-IF(AND(ArtifactsInput!$M$27,Inputs!$B$4="Chapter Hunt"),CHOOSE(ArtifactsInput!$N$27+1,20,24,28,32,36,40),0)/100))))),1)</f>
        <v/>
      </c>
    </row>
    <row r="1724">
      <c r="A1724" t="inlineStr">
        <is>
          <t>Nautilus Strike - Final Attack trigger rate (this block's own Q/R)</t>
        </is>
      </c>
      <c r="B1724">
        <f>IF(AND(Inputs!$B$38&lt;&gt;"pvp",Inputs!$B$43&gt;0),(((C1684=TRUE)*R1684)+((C1687=TRUE)*R1687)+((C1689=TRUE)*R1689)+((C1690=TRUE)*R1690)+((C1692=TRUE)*R1692))/Inputs!$B$43,((C1684=TRUE)*Q1684)+((C1687=TRUE)*Q1687)+((C1689=TRUE)*Q1689)+((C1690=TRUE)*Q1690)+((C1692=TRUE)*Q1692))+B1716</f>
        <v/>
      </c>
    </row>
    <row r="1727">
      <c r="A1727" s="6" t="inlineStr">
        <is>
          <t>Stat: Zakum's Stone Piece (Equip)</t>
        </is>
      </c>
    </row>
    <row r="1728">
      <c r="A1728" s="5" t="inlineStr">
        <is>
          <t>Key</t>
        </is>
      </c>
      <c r="B1728" s="5" t="inlineStr">
        <is>
          <t>Name</t>
        </is>
      </c>
      <c r="C1728" s="5" t="inlineStr">
        <is>
          <t>Unlocked</t>
        </is>
      </c>
      <c r="D1728" s="5" t="inlineStr">
        <is>
          <t>InputLevel</t>
        </is>
      </c>
      <c r="E1728" s="5" t="inlineStr">
        <is>
          <t>Factor</t>
        </is>
      </c>
      <c r="F1728" s="5" t="inlineStr">
        <is>
          <t>CoefficientPercent</t>
        </is>
      </c>
      <c r="G1728" s="5" t="inlineStr">
        <is>
          <t>EffectiveHits</t>
        </is>
      </c>
      <c r="H1728" s="5" t="inlineStr">
        <is>
          <t>ProcProbability</t>
        </is>
      </c>
      <c r="I1728" s="5" t="inlineStr">
        <is>
          <t>MapleHeroMultiplier</t>
        </is>
      </c>
      <c r="J1728" s="5" t="inlineStr">
        <is>
          <t>BaseDamage</t>
        </is>
      </c>
      <c r="K1728" s="5" t="inlineStr">
        <is>
          <t>BaseHitDamage</t>
        </is>
      </c>
      <c r="L1728" s="5" t="inlineStr">
        <is>
          <t>NonCritAvg</t>
        </is>
      </c>
      <c r="M1728" s="5" t="inlineStr">
        <is>
          <t>CritAvg</t>
        </is>
      </c>
      <c r="N1728" s="5" t="inlineStr">
        <is>
          <t>ExpectedDamage(perHit)</t>
        </is>
      </c>
      <c r="O1728" s="5" t="inlineStr">
        <is>
          <t>DPS</t>
        </is>
      </c>
      <c r="P1728" s="5" t="inlineStr">
        <is>
          <t>% of Total</t>
        </is>
      </c>
      <c r="Q1728" s="5" t="inlineStr">
        <is>
          <t>InvCooldown</t>
        </is>
      </c>
      <c r="R1728" s="5" t="inlineStr">
        <is>
          <t>CastsInFight</t>
        </is>
      </c>
      <c r="S1728" s="5" t="inlineStr">
        <is>
          <t>HitRate(perSec)</t>
        </is>
      </c>
      <c r="U1728" t="inlineStr">
        <is>
          <t>helpers</t>
        </is>
      </c>
    </row>
    <row r="1729">
      <c r="A1729">
        <f>Skills!A2</f>
        <v/>
      </c>
      <c r="B1729">
        <f>Skills!B2</f>
        <v/>
      </c>
      <c r="C1729">
        <f>Inputs!$B$3&gt;=100</f>
        <v/>
      </c>
      <c r="D1729" t="inlineStr"/>
      <c r="E1729" t="inlineStr"/>
      <c r="F1729">
        <f>U1731+Skills!O2</f>
        <v/>
      </c>
      <c r="G1729">
        <f>Skills!G2*IF(Skills!H2&gt;0,INT(IF(Inputs!$B$38="pvp",MIN(Skills!I2,15),Skills!I2)/Skills!H2+0.000000001),1)</f>
        <v/>
      </c>
      <c r="H1729">
        <f>1-(1-Skills!J2/100)^Skills!K2</f>
        <v/>
      </c>
      <c r="I1729" t="inlineStr">
        <is>
          <t>1</t>
        </is>
      </c>
      <c r="J1729">
        <f>((Inputs!$B$6*(1+Inputs!$B$7/100))+(((Inputs!$B$12*(1+Inputs!$B$13/100))-(Inputs!$B$12*(1+Inputs!$B$13/100)))+0.25*(Inputs!$B$14-Inputs!$B$14))*(1+Inputs!$B$7/100))*(F1729/100)</f>
        <v/>
      </c>
      <c r="K1729">
        <f>J1729*(1+((Inputs!$B$12*(1+Inputs!$B$13/100))*0.01+Inputs!$B$14*0.0025)/100)*(1+Inputs!$B$15/100)*(1+Inputs!$B$16/100)*(5000/(6000+Inputs!$B$42*(1-(100*(1-(1-(Inputs!$B$19+0)/100)*(1-CHOOSE(ArtifactsInput!$N$40+1,5,6,7,8,9,10)/100)^(ArtifactsInput!$M$40-ArtifactsInput!$M$40)))/100)))*(1+(Inputs!$B$24+((C1753=TRUE)*(F1753-Calc!F26))+B1764)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IGHT_LEGS_EASTON",Inputs!$B$17+((C1750=TRUE)*(F1750-Calc!F23))+((C1754=TRUE)*(F1754-Calc!F27))+((IF(AND(Inputs!$B$38&lt;&gt;"pvp",Inputs!$B$43=0),1,IF(IF(Inputs!$B$38="pvp",15,Inputs!$B$43)-(B1765)&lt;=0,1,MAX(0,IF(Inputs!$B$38="pvp",15,Inputs!$B$43)-MAX(5,B1765))/(IF(Inputs!$B$38="pvp",15,Inputs!$B$43)-(B1765))))*(IF(AND(ArtifactsInput!$M$42,((Inputs!$B$9+((C1746=TRUE)*(F1746-Calc!F19))+B1758+(ArtifactsInput!$M$24-ArtifactsInput!$M$24)*CHOOSE(ArtifactsInput!$N$24+1,10,12,14,16,18,20)+IF(ArtifactsInput!$M$10,CHOOSE(ArtifactsInput!$N$10+1,15,18,21,24,27,30)*(IF(Inputs!$B$38="pvp",MIN(15,15)/15,IF(AND(Inputs!$B$38&lt;&gt;"pvp",Inputs!$B$43&gt;0),MIN(15,Inputs!$B$43)/(Inputs!$B$43),0))),0)))&gt;=100),MIN(100,((Inputs!$B$9+((C1746=TRUE)*(F1746-Calc!F19))+B1758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1765)&lt;=0,1,MAX(0,IF(Inputs!$B$38="pvp",15,Inputs!$B$43)-MAX(5,B1765))/(IF(Inputs!$B$38="pvp",15,Inputs!$B$43)-(B1765))))*IF(AND(ArtifactsInput!$M$42,((Inputs!$B$9+((C1746=TRUE)*(F1746-Calc!F19))+B1758+(ArtifactsInput!$M$24-ArtifactsInput!$M$24)*CHOOSE(ArtifactsInput!$N$24+1,10,12,14,16,18,20)+IF(ArtifactsInput!$M$10,CHOOSE(ArtifactsInput!$N$10+1,15,18,21,24,27,30)*(IF(Inputs!$B$38="pvp",MIN(15,15)/15,IF(AND(Inputs!$B$38&lt;&gt;"pvp",Inputs!$B$43&gt;0),MIN(15,Inputs!$B$43)/(Inputs!$B$43),0))),0)))&gt;=100),CHOOSE(ArtifactsInput!$N$42+1,40,48,56,64,72,80),0))))/100)*((1+(((C1744=TRUE)*F1744*5/7)+((C1751=TRUE)*(F1751-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1729)</f>
        <v/>
      </c>
      <c r="L1729">
        <f>K1729*(MIN(Inputs!$B$22+((C1749=TRUE)*(F1749-Calc!F22)),(Inputs!$B$23+0+(IF(ArtifactsInput!$M$15,CHOOSE(ArtifactsInput!$N$15+1,25,30,35,40,45,50)/100*(Inputs!$B$11-Inputs!$B$11),0))))/100+(Inputs!$B$23+0+(IF(ArtifactsInput!$M$15,CHOOSE(ArtifactsInput!$N$15+1,25,30,35,40,45,50)/100*(Inputs!$B$11-Inputs!$B$11),0)))/100)/2</f>
        <v/>
      </c>
      <c r="M1729">
        <f>L1729*(1+(Inputs!$B$10+((C1752=TRUE)*(F1752-Calc!F25))+B1763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29">
        <f>L1729*(1-MIN((Inputs!$B$9+((C1746=TRUE)*(F1746-Calc!F19))+B1758+(ArtifactsInput!$M$24-ArtifactsInput!$M$24)*CHOOSE(ArtifactsInput!$N$24+1,10,12,14,16,18,20)+(IF(AND(Inputs!$B$38&lt;&gt;"pvp",Inputs!$B$43=0),1,IF(IF(Inputs!$B$38="pvp",15,Inputs!$B$43)-(B1765)&lt;=0,1,MAX(0,IF(Inputs!$B$38="pvp",15,Inputs!$B$43)-MAX(5,B1765))/(IF(Inputs!$B$38="pvp",15,Inputs!$B$43)-(B1765))))*IF(AND(ArtifactsInput!$M$42,((Inputs!$B$9+((C1746=TRUE)*(F1746-Calc!F19))+B1758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1729*(MIN((Inputs!$B$9+((C1746=TRUE)*(F1746-Calc!F19))+B1758+(ArtifactsInput!$M$24-ArtifactsInput!$M$24)*CHOOSE(ArtifactsInput!$N$24+1,10,12,14,16,18,20)+(IF(AND(Inputs!$B$38&lt;&gt;"pvp",Inputs!$B$43=0),1,IF(IF(Inputs!$B$38="pvp",15,Inputs!$B$43)-(B1765)&lt;=0,1,MAX(0,IF(Inputs!$B$38="pvp",15,Inputs!$B$43)-MAX(5,B1765))/(IF(Inputs!$B$38="pvp",15,Inputs!$B$43)-(B1765))))*IF(AND(ArtifactsInput!$M$42,((Inputs!$B$9+((C1746=TRUE)*(F1746-Calc!F19))+B1758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29">
        <f>(1-Summary!$B$11)*T1729+Summary!$B$11*V1729</f>
        <v/>
      </c>
      <c r="P1729">
        <f>IF(B1768=0,0,O1729/B1768)</f>
        <v/>
      </c>
      <c r="Q1729" t="n">
        <v>0</v>
      </c>
      <c r="R1729" t="n">
        <v>0</v>
      </c>
      <c r="S1729">
        <f>IFERROR(O1729/N1729,0)</f>
        <v/>
      </c>
      <c r="T1729">
        <f>IF(C1729,(Skills!G2*N1729*B1762*(1+IF(C1754=TRUE,1/3,0)))*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Hunt"),CHOOSE(ArtifactsInput!$N$35+1,15,18,21,24,27,30)*(1-EXP(-(0.2*B1760)*5)),0)+IF(AND(ArtifactsInput!$M$22,Inputs!$B$4&lt;&gt;"Chapter Hunt"),CHOOSE(ArtifactsInput!$N$22+1,10,12,14,16,18,20)*((0*(((0.15*B1760*5))^0/1)+1*(((0.15*B1760*5))^1/1)+2*(((0.15*B1760*5))^2/2)+3*(((0.15*B1760*5))^3/6)+4*(((0.15*B1760*5))^4/24)+5*(((0.15*B1760*5))^5/120))/((((0.15*B1760*5))^0/1)+(((0.15*B1760*5))^1/1)+(((0.15*B1760*5))^2/2)+(((0.15*B1760*5))^3/6)+(((0.15*B1760*5))^4/24)+(((0.15*B1760*5))^5/120))),0))+IF(Inputs!$B$3&gt;=54,9*(C1730=TRUE)*MIN(1,8*(1+Inputs!$B$34/100)*Q1730)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1729*(1-MIN(100,(Inputs!$B$9+((C1746=TRUE)*(F1746-Calc!F19))+B1758+(ArtifactsInput!$M$24-ArtifactsInput!$M$24)*CHOOSE(ArtifactsInput!$N$24+1,10,12,14,16,18,20)+(IF(AND(Inputs!$B$38&lt;&gt;"pvp",Inputs!$B$43=0),1,IF(IF(Inputs!$B$38="pvp",15,Inputs!$B$43)-(B1765)&lt;=0,1,MAX(0,IF(Inputs!$B$38="pvp",15,Inputs!$B$43)-MAX(5,B1765))/(IF(Inputs!$B$38="pvp",15,Inputs!$B$43)-(B1765))))*IF(AND(ArtifactsInput!$M$42,((Inputs!$B$9+((C1746=TRUE)*(F1746-Calc!F19))+B1758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1729*(MIN(100,(Inputs!$B$9+((C1746=TRUE)*(F1746-Calc!F19))+B1758+(ArtifactsInput!$M$24-ArtifactsInput!$M$24)*CHOOSE(ArtifactsInput!$N$24+1,10,12,14,16,18,20)+(IF(AND(Inputs!$B$38&lt;&gt;"pvp",Inputs!$B$43=0),1,IF(IF(Inputs!$B$38="pvp",15,Inputs!$B$43)-(B1765)&lt;=0,1,MAX(0,IF(Inputs!$B$38="pvp",15,Inputs!$B$43)-MAX(5,B1765))/(IF(Inputs!$B$38="pvp",15,Inputs!$B$43)-(B1765))))*IF(AND(ArtifactsInput!$M$42,((Inputs!$B$9+((C1746=TRUE)*(F1746-Calc!F19))+B1758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1729*(1-MIN(100,(Inputs!$B$9+((C1746=TRUE)*(F1746-Calc!F19))+B1758+(ArtifactsInput!$M$24-ArtifactsInput!$M$24)*CHOOSE(ArtifactsInput!$N$24+1,10,12,14,16,18,20)+(IF(AND(Inputs!$B$38&lt;&gt;"pvp",Inputs!$B$43=0),1,IF(IF(Inputs!$B$38="pvp",15,Inputs!$B$43)-(B1765)&lt;=0,1,MAX(0,IF(Inputs!$B$38="pvp",15,Inputs!$B$43)-MAX(5,B1765))/(IF(Inputs!$B$38="pvp",15,Inputs!$B$43)-(B1765))))*IF(AND(ArtifactsInput!$M$42,((Inputs!$B$9+((C1746=TRUE)*(F1746-Calc!F19))+B1758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1729*(MIN(100,(Inputs!$B$9+((C1746=TRUE)*(F1746-Calc!F19))+B1758+(ArtifactsInput!$M$24-ArtifactsInput!$M$24)*CHOOSE(ArtifactsInput!$N$24+1,10,12,14,16,18,20)+(IF(AND(Inputs!$B$38&lt;&gt;"pvp",Inputs!$B$43=0),1,IF(IF(Inputs!$B$38="pvp",15,Inputs!$B$43)-(B1765)&lt;=0,1,MAX(0,IF(Inputs!$B$38="pvp",15,Inputs!$B$43)-MAX(5,B1765))/(IF(Inputs!$B$38="pvp",15,Inputs!$B$43)-(B1765))))*IF(AND(ArtifactsInput!$M$42,((Inputs!$B$9+((C1746=TRUE)*(F1746-Calc!F19))+B1758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729">
        <f>MAX(0,(Inputs!$B$3-100)*3)+Inputs!$B$28+Inputs!$B$29</f>
        <v/>
      </c>
      <c r="V1729">
        <f>IF(C1729,(Skills!G2*N1729*B1762*(1+IF(C1754=TRUE,1/3,0)))*IF(Inputs!$B$38="pvp",1,(1+(Inputs!$B$21+Skills!Q2+(IF(ArtifactsInput!$M$33,CHOOSE(ArtifactsInput!$N$33+1,30,36,42,48,54,60),0))+(IF(AND(ArtifactsInput!$M$35,Inputs!$B$4&lt;&gt;"Chapter Hunt"),CHOOSE(ArtifactsInput!$N$35+1,15,18,21,24,27,30)*(1-EXP(-(0.2*B1760)*5)),0)+IF(AND(ArtifactsInput!$M$22,Inputs!$B$4&lt;&gt;"Chapter Hunt"),CHOOSE(ArtifactsInput!$N$22+1,10,12,14,16,18,20)*((0*(((0.15*B1760*5))^0/1)+1*(((0.15*B1760*5))^1/1)+2*(((0.15*B1760*5))^2/2)+3*(((0.15*B1760*5))^3/6)+4*(((0.15*B1760*5))^4/24)+5*(((0.15*B1760*5))^5/120))/((((0.15*B1760*5))^0/1)+(((0.15*B1760*5))^1/1)+(((0.15*B1760*5))^2/2)+(((0.15*B1760*5))^3/6)+(((0.15*B1760*5))^4/24)+(((0.15*B1760*5))^5/120))),0))+IF(Inputs!$B$3&gt;=54,9*(C1730=TRUE)*MIN(1,8*(1+Inputs!$B$34/100)*Q1730)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30">
      <c r="A1730">
        <f>Skills!A3</f>
        <v/>
      </c>
      <c r="B1730">
        <f>Skills!B3</f>
        <v/>
      </c>
      <c r="C1730">
        <f>Inputs!$B$3&gt;=33</f>
        <v/>
      </c>
      <c r="D1730">
        <f>IF(Skills!C3=1,60+Inputs!$B$25+Inputs!$B$29,IF(Skills!C3=2,90+Inputs!$B$26+Inputs!$B$29,IF(Skills!C3=3,120+Inputs!$B$27+Inputs!$B$29,MAX(0,(Inputs!$B$3-100)*3)+Inputs!$B$28+Inputs!$B$29)))</f>
        <v/>
      </c>
      <c r="E1730">
        <f>INDEX(FactorTable!$B$2:$Y$301, MATCH(ROUND(MIN(300,MAX(1,D1730)),0), FactorTable!$A$2:$A$301,0), Skills!M3+1)</f>
        <v/>
      </c>
      <c r="F1730">
        <f>IF(Skills!N3=TRUE,(Skills!L3/10)*(E1730/1000),Skills!L3/10)+Skills!O3</f>
        <v/>
      </c>
      <c r="G1730">
        <f>Skills!G3*IF(Skills!H3&gt;0,INT(IF(Inputs!$B$38="pvp",MIN(Skills!I3,15),Skills!I3)/Skills!H3+0.000000001),1)</f>
        <v/>
      </c>
      <c r="H1730">
        <f>1-(1-Skills!J3/100)^Skills!K3</f>
        <v/>
      </c>
      <c r="I1730" t="inlineStr">
        <is>
          <t>1</t>
        </is>
      </c>
      <c r="J1730">
        <f>((Inputs!$B$6*(1+Inputs!$B$7/100))+(((Inputs!$B$12*(1+Inputs!$B$13/100))-(Inputs!$B$12*(1+Inputs!$B$13/100)))+0.25*(Inputs!$B$14-Inputs!$B$14))*(1+Inputs!$B$7/100))*(F1730/100)</f>
        <v/>
      </c>
      <c r="K1730">
        <f>J1730*(1+((Inputs!$B$12*(1+Inputs!$B$13/100))*0.01+Inputs!$B$14*0.0025)/100)*(1+Inputs!$B$15/100)*(1+Inputs!$B$16/100)*(5000/(6000+Inputs!$B$42*(1-(100*(1-(1-(Inputs!$B$19+0)/100)*(1-CHOOSE(ArtifactsInput!$N$40+1,5,6,7,8,9,10)/100)^(ArtifactsInput!$M$40-ArtifactsInput!$M$40)))/100)))*(1+(Inputs!$B$24+((C1753=TRUE)*(F1753-Calc!F26))+B1764)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1742=TRUE,F1742,0)/100)*(1+(IF(Skills!A3="EIGHT_LEGS_EASTON",Inputs!$B$17+((C1750=TRUE)*(F1750-Calc!F23))+((C1754=TRUE)*(F1754-Calc!F27))+((IF(AND(Inputs!$B$38&lt;&gt;"pvp",Inputs!$B$43=0),1,IF(IF(Inputs!$B$38="pvp",15,Inputs!$B$43)-(B1765)&lt;=0,1,MAX(0,IF(Inputs!$B$38="pvp",15,Inputs!$B$43)-MAX(5,B1765))/(IF(Inputs!$B$38="pvp",15,Inputs!$B$43)-(B1765))))*(IF(AND(ArtifactsInput!$M$42,((Inputs!$B$9+((C1746=TRUE)*(F1746-Calc!F19))+B1758+(ArtifactsInput!$M$24-ArtifactsInput!$M$24)*CHOOSE(ArtifactsInput!$N$24+1,10,12,14,16,18,20)+IF(ArtifactsInput!$M$10,CHOOSE(ArtifactsInput!$N$10+1,15,18,21,24,27,30)*(IF(Inputs!$B$38="pvp",MIN(15,15)/15,IF(AND(Inputs!$B$38&lt;&gt;"pvp",Inputs!$B$43&gt;0),MIN(15,Inputs!$B$43)/(Inputs!$B$43),0))),0)))&gt;=100),MIN(100,((Inputs!$B$9+((C1746=TRUE)*(F1746-Calc!F19))+B1758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1765)&lt;=0,1,MAX(0,IF(Inputs!$B$38="pvp",15,Inputs!$B$43)-MAX(5,B1765))/(IF(Inputs!$B$38="pvp",15,Inputs!$B$43)-(B1765))))*IF(AND(ArtifactsInput!$M$42,((Inputs!$B$9+((C1746=TRUE)*(F1746-Calc!F19))+B1758+(ArtifactsInput!$M$24-ArtifactsInput!$M$24)*CHOOSE(ArtifactsInput!$N$24+1,10,12,14,16,18,20)+IF(ArtifactsInput!$M$10,CHOOSE(ArtifactsInput!$N$10+1,15,18,21,24,27,30)*(IF(Inputs!$B$38="pvp",MIN(15,15)/15,IF(AND(Inputs!$B$38&lt;&gt;"pvp",Inputs!$B$43&gt;0),MIN(15,Inputs!$B$43)/(Inputs!$B$43),0))),0)))&gt;=100),CHOOSE(ArtifactsInput!$N$42+1,40,48,56,64,72,80),0))))/100)*((1+(((C1744=TRUE)*F1744*5/7)+((C1751=TRUE)*(F1751-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1730)</f>
        <v/>
      </c>
      <c r="L1730">
        <f>K1730*(MIN(Inputs!$B$22+((C1749=TRUE)*(F1749-Calc!F22)),(Inputs!$B$23+0+(IF(ArtifactsInput!$M$15,CHOOSE(ArtifactsInput!$N$15+1,25,30,35,40,45,50)/100*(Inputs!$B$11-Inputs!$B$11),0))))/100+(Inputs!$B$23+0+(IF(ArtifactsInput!$M$15,CHOOSE(ArtifactsInput!$N$15+1,25,30,35,40,45,50)/100*(Inputs!$B$11-Inputs!$B$11),0)))/100)/2</f>
        <v/>
      </c>
      <c r="M1730">
        <f>L1730*(1+(Inputs!$B$10+((C1752=TRUE)*(F1752-Calc!F25))+B1763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30">
        <f>L1730*(1-MIN((Inputs!$B$9+((C1746=TRUE)*(F1746-Calc!F19))+B1758+(ArtifactsInput!$M$24-ArtifactsInput!$M$24)*CHOOSE(ArtifactsInput!$N$24+1,10,12,14,16,18,20)+(IF(AND(Inputs!$B$38&lt;&gt;"pvp",Inputs!$B$43=0),1,IF(IF(Inputs!$B$38="pvp",15,Inputs!$B$43)-(B1765)&lt;=0,1,MAX(0,IF(Inputs!$B$38="pvp",15,Inputs!$B$43)-MAX(5,B1765))/(IF(Inputs!$B$38="pvp",15,Inputs!$B$43)-(B1765))))*IF(AND(ArtifactsInput!$M$42,((Inputs!$B$9+((C1746=TRUE)*(F1746-Calc!F19))+B1758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1730*(MIN((Inputs!$B$9+((C1746=TRUE)*(F1746-Calc!F19))+B1758+(ArtifactsInput!$M$24-ArtifactsInput!$M$24)*CHOOSE(ArtifactsInput!$N$24+1,10,12,14,16,18,20)+(IF(AND(Inputs!$B$38&lt;&gt;"pvp",Inputs!$B$43=0),1,IF(IF(Inputs!$B$38="pvp",15,Inputs!$B$43)-(B1765)&lt;=0,1,MAX(0,IF(Inputs!$B$38="pvp",15,Inputs!$B$43)-MAX(5,B1765))/(IF(Inputs!$B$38="pvp",15,Inputs!$B$43)-(B1765))))*IF(AND(ArtifactsInput!$M$42,((Inputs!$B$9+((C1746=TRUE)*(F1746-Calc!F19))+B1758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30">
        <f>(1-Summary!$B$11)*T1730+Summary!$B$11*V1730</f>
        <v/>
      </c>
      <c r="P1730">
        <f>IF(B1768=0,0,O1730/B1768)</f>
        <v/>
      </c>
      <c r="Q1730">
        <f>IFERROR(1/(IF(Inputs!$B$38="pvp",15,MAX(0.1,Skills!D3-IF(TRUE=TRUE,Inputs!$B$32,0)))*(1-IF(AND(ArtifactsInput!$M$27,Inputs!$B$4="Chapter Hunt"),CHOOSE(ArtifactsInput!$N$27+1,20,24,28,32,36,40),0)/100)),0)</f>
        <v/>
      </c>
      <c r="R1730">
        <f>IF(AND(Inputs!$B$38&lt;&gt;"pvp",Inputs!$B$43&gt;0),IF(MAX(0,Inputs!$B$43-B1765)&lt;=0,0,(INT(MAX(0,Inputs!$B$43-B1765)/(IF(Inputs!$B$38="pvp",15,MAX(0.1,Skills!D3-IF(TRUE=TRUE,Inputs!$B$32,0)))*(1-IF(AND(ArtifactsInput!$M$27,Inputs!$B$4="Chapter Hunt"),CHOOSE(ArtifactsInput!$N$27+1,20,24,28,32,36,40),0)/100)))+1)),0)</f>
        <v/>
      </c>
      <c r="S1730">
        <f>IFERROR(O1730/N1730,0)</f>
        <v/>
      </c>
      <c r="T1730">
        <f>IF(C1730,(H1730*N1730*IF(AND(Inputs!$B$38&lt;&gt;"pvp",Inputs!$B$43&gt;0),((Skills!G3*((R1730-1)*IF(Skills!H3&gt;0,INT(Skills!I3/Skills!H3+0.000000001),1)+IF(Skills!H3&gt;0,INT(MIN(Skills!I3,MAX(0,MAX(0,Inputs!$B$43-B1765)-((R1730-1)*(IF(Inputs!$B$38="pvp",15,MAX(0.1,Skills!D3-IF(TRUE=TRUE,Inputs!$B$32,0)))*(1-IF(AND(ArtifactsInput!$M$27,Inputs!$B$4="Chapter Hunt"),CHOOSE(ArtifactsInput!$N$27+1,20,24,28,32,36,40),0)/100)))))/Skills!H3+0.000000001),1)))/Inputs!$B$43),G1730*Q1730))*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Hunt"),CHOOSE(ArtifactsInput!$N$35+1,15,18,21,24,27,30)*(1-EXP(-(0.2*B1760)*5)),0)+IF(AND(ArtifactsInput!$M$22,Inputs!$B$4&lt;&gt;"Chapter Hunt"),CHOOSE(ArtifactsInput!$N$22+1,10,12,14,16,18,20)*((0*(((0.15*B1760*5))^0/1)+1*(((0.15*B1760*5))^1/1)+2*(((0.15*B1760*5))^2/2)+3*(((0.15*B1760*5))^3/6)+4*(((0.15*B1760*5))^4/24)+5*(((0.15*B1760*5))^5/120))/((((0.15*B1760*5))^0/1)+(((0.15*B1760*5))^1/1)+(((0.15*B1760*5))^2/2)+(((0.15*B1760*5))^3/6)+(((0.15*B1760*5))^4/24)+(((0.15*B1760*5))^5/120))),0))+IF(Inputs!$B$3&gt;=54,9*(C1730=TRUE)*MIN(1,8*(1+Inputs!$B$34/100)*Q1730)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1730*(1-MIN(100,(Inputs!$B$9+((C1746=TRUE)*(F1746-Calc!F19))+B1758+(ArtifactsInput!$M$24-ArtifactsInput!$M$24)*CHOOSE(ArtifactsInput!$N$24+1,10,12,14,16,18,20)+(IF(AND(Inputs!$B$38&lt;&gt;"pvp",Inputs!$B$43=0),1,IF(IF(Inputs!$B$38="pvp",15,Inputs!$B$43)-(B1765)&lt;=0,1,MAX(0,IF(Inputs!$B$38="pvp",15,Inputs!$B$43)-MAX(5,B1765))/(IF(Inputs!$B$38="pvp",15,Inputs!$B$43)-(B1765))))*IF(AND(ArtifactsInput!$M$42,((Inputs!$B$9+((C1746=TRUE)*(F1746-Calc!F19))+B1758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1730*(MIN(100,(Inputs!$B$9+((C1746=TRUE)*(F1746-Calc!F19))+B1758+(ArtifactsInput!$M$24-ArtifactsInput!$M$24)*CHOOSE(ArtifactsInput!$N$24+1,10,12,14,16,18,20)+(IF(AND(Inputs!$B$38&lt;&gt;"pvp",Inputs!$B$43=0),1,IF(IF(Inputs!$B$38="pvp",15,Inputs!$B$43)-(B1765)&lt;=0,1,MAX(0,IF(Inputs!$B$38="pvp",15,Inputs!$B$43)-MAX(5,B1765))/(IF(Inputs!$B$38="pvp",15,Inputs!$B$43)-(B1765))))*IF(AND(ArtifactsInput!$M$42,((Inputs!$B$9+((C1746=TRUE)*(F1746-Calc!F19))+B1758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1730*(1-MIN(100,(Inputs!$B$9+((C1746=TRUE)*(F1746-Calc!F19))+B1758+(ArtifactsInput!$M$24-ArtifactsInput!$M$24)*CHOOSE(ArtifactsInput!$N$24+1,10,12,14,16,18,20)+(IF(AND(Inputs!$B$38&lt;&gt;"pvp",Inputs!$B$43=0),1,IF(IF(Inputs!$B$38="pvp",15,Inputs!$B$43)-(B1765)&lt;=0,1,MAX(0,IF(Inputs!$B$38="pvp",15,Inputs!$B$43)-MAX(5,B1765))/(IF(Inputs!$B$38="pvp",15,Inputs!$B$43)-(B1765))))*IF(AND(ArtifactsInput!$M$42,((Inputs!$B$9+((C1746=TRUE)*(F1746-Calc!F19))+B1758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1730*(MIN(100,(Inputs!$B$9+((C1746=TRUE)*(F1746-Calc!F19))+B1758+(ArtifactsInput!$M$24-ArtifactsInput!$M$24)*CHOOSE(ArtifactsInput!$N$24+1,10,12,14,16,18,20)+(IF(AND(Inputs!$B$38&lt;&gt;"pvp",Inputs!$B$43=0),1,IF(IF(Inputs!$B$38="pvp",15,Inputs!$B$43)-(B1765)&lt;=0,1,MAX(0,IF(Inputs!$B$38="pvp",15,Inputs!$B$43)-MAX(5,B1765))/(IF(Inputs!$B$38="pvp",15,Inputs!$B$43)-(B1765))))*IF(AND(ArtifactsInput!$M$42,((Inputs!$B$9+((C1746=TRUE)*(F1746-Calc!F19))+B1758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730">
        <f>INDEX(FactorTable!$B$2:$Y$301, MATCH(ROUND(MIN(300,MAX(1,U1729)),0), FactorTable!$A$2:$A$301,0), 22)</f>
        <v/>
      </c>
      <c r="V1730">
        <f>IF(C1730,(H1730*N1730*IF(AND(Inputs!$B$38&lt;&gt;"pvp",Inputs!$B$43&gt;0),((Skills!G3*((R1730-1)*IF(Skills!H3&gt;0,INT(Skills!I3/Skills!H3+0.000000001),1)+IF(Skills!H3&gt;0,INT(MIN(Skills!I3,MAX(0,MAX(0,Inputs!$B$43-B1765)-((R1730-1)*(IF(Inputs!$B$38="pvp",15,MAX(0.1,Skills!D3-IF(TRUE=TRUE,Inputs!$B$32,0)))*(1-IF(AND(ArtifactsInput!$M$27,Inputs!$B$4="Chapter Hunt"),CHOOSE(ArtifactsInput!$N$27+1,20,24,28,32,36,40),0)/100)))))/Skills!H3+0.000000001),1)))/Inputs!$B$43),G1730*Q1730))*IF(Inputs!$B$38="pvp",1,(1+(Inputs!$B$21+Skills!Q3+(IF(ArtifactsInput!$M$33,CHOOSE(ArtifactsInput!$N$33+1,30,36,42,48,54,60),0))+(IF(AND(ArtifactsInput!$M$35,Inputs!$B$4&lt;&gt;"Chapter Hunt"),CHOOSE(ArtifactsInput!$N$35+1,15,18,21,24,27,30)*(1-EXP(-(0.2*B1760)*5)),0)+IF(AND(ArtifactsInput!$M$22,Inputs!$B$4&lt;&gt;"Chapter Hunt"),CHOOSE(ArtifactsInput!$N$22+1,10,12,14,16,18,20)*((0*(((0.15*B1760*5))^0/1)+1*(((0.15*B1760*5))^1/1)+2*(((0.15*B1760*5))^2/2)+3*(((0.15*B1760*5))^3/6)+4*(((0.15*B1760*5))^4/24)+5*(((0.15*B1760*5))^5/120))/((((0.15*B1760*5))^0/1)+(((0.15*B1760*5))^1/1)+(((0.15*B1760*5))^2/2)+(((0.15*B1760*5))^3/6)+(((0.15*B1760*5))^4/24)+(((0.15*B1760*5))^5/120))),0))+IF(Inputs!$B$3&gt;=54,9*(C1730=TRUE)*MIN(1,8*(1+Inputs!$B$34/100)*Q1730)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31">
      <c r="A1731">
        <f>Skills!A4</f>
        <v/>
      </c>
      <c r="B1731">
        <f>Skills!B4</f>
        <v/>
      </c>
      <c r="C1731">
        <f>Inputs!$B$3&gt;=35</f>
        <v/>
      </c>
      <c r="D1731">
        <f>IF(Skills!C4=1,60+Inputs!$B$25+Inputs!$B$29,IF(Skills!C4=2,90+Inputs!$B$26+Inputs!$B$29,IF(Skills!C4=3,120+Inputs!$B$27+Inputs!$B$29,MAX(0,(Inputs!$B$3-100)*3)+Inputs!$B$28+Inputs!$B$29)))</f>
        <v/>
      </c>
      <c r="E1731">
        <f>INDEX(FactorTable!$B$2:$Y$301, MATCH(ROUND(MIN(300,MAX(1,D1731)),0), FactorTable!$A$2:$A$301,0), Skills!M4+1)</f>
        <v/>
      </c>
      <c r="F1731">
        <f>IF(Skills!N4=TRUE,(Skills!L4/10)*(E1731/1000),Skills!L4/10)+Skills!O4</f>
        <v/>
      </c>
      <c r="G1731">
        <f>Skills!G4*IF(Skills!H4&gt;0,INT(IF(Inputs!$B$38="pvp",MIN(IF(Inputs!$B$3&gt;=104,MIN(35,20*(1+Inputs!$B$34/100)),20),15),IF(Inputs!$B$3&gt;=104,MIN(35,20*(1+Inputs!$B$34/100)),20))/Skills!H4+0.000000001),1)</f>
        <v/>
      </c>
      <c r="H1731">
        <f>1-(1-Skills!J4/100)^Skills!K4</f>
        <v/>
      </c>
      <c r="I1731" t="inlineStr">
        <is>
          <t>1</t>
        </is>
      </c>
      <c r="J1731">
        <f>((Inputs!$B$6*(1+Inputs!$B$7/100))+(((Inputs!$B$12*(1+Inputs!$B$13/100))-(Inputs!$B$12*(1+Inputs!$B$13/100)))+0.25*(Inputs!$B$14-Inputs!$B$14))*(1+Inputs!$B$7/100))*(F1731/100)</f>
        <v/>
      </c>
      <c r="K1731">
        <f>J1731*(1+((Inputs!$B$12*(1+Inputs!$B$13/100))*0.01+Inputs!$B$14*0.0025)/100)*(1+Inputs!$B$15/100)*(1+Inputs!$B$16/100)*(5000/(6000+Inputs!$B$42*(1-(100*(1-(1-(Inputs!$B$19+0)/100)*(1-CHOOSE(ArtifactsInput!$N$40+1,5,6,7,8,9,10)/100)^(ArtifactsInput!$M$40-ArtifactsInput!$M$40)))/100)))*(1+(Inputs!$B$24+((C1753=TRUE)*(F1753-Calc!F26))+B1764)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1743=TRUE,F1743,0)/100)*(1+(IF(Skills!A4="EIGHT_LEGS_EASTON",Inputs!$B$17+((C1750=TRUE)*(F1750-Calc!F23))+((C1754=TRUE)*(F1754-Calc!F27))+((IF(AND(Inputs!$B$38&lt;&gt;"pvp",Inputs!$B$43=0),1,IF(IF(Inputs!$B$38="pvp",15,Inputs!$B$43)-(B1765)&lt;=0,1,MAX(0,IF(Inputs!$B$38="pvp",15,Inputs!$B$43)-MAX(5,B1765))/(IF(Inputs!$B$38="pvp",15,Inputs!$B$43)-(B1765))))*(IF(AND(ArtifactsInput!$M$42,((Inputs!$B$9+((C1746=TRUE)*(F1746-Calc!F19))+B1758+(ArtifactsInput!$M$24-ArtifactsInput!$M$24)*CHOOSE(ArtifactsInput!$N$24+1,10,12,14,16,18,20)+IF(ArtifactsInput!$M$10,CHOOSE(ArtifactsInput!$N$10+1,15,18,21,24,27,30)*(IF(Inputs!$B$38="pvp",MIN(15,15)/15,IF(AND(Inputs!$B$38&lt;&gt;"pvp",Inputs!$B$43&gt;0),MIN(15,Inputs!$B$43)/(Inputs!$B$43),0))),0)))&gt;=100),MIN(100,((Inputs!$B$9+((C1746=TRUE)*(F1746-Calc!F19))+B1758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1765)&lt;=0,1,MAX(0,IF(Inputs!$B$38="pvp",15,Inputs!$B$43)-MAX(5,B1765))/(IF(Inputs!$B$38="pvp",15,Inputs!$B$43)-(B1765))))*IF(AND(ArtifactsInput!$M$42,((Inputs!$B$9+((C1746=TRUE)*(F1746-Calc!F19))+B1758+(ArtifactsInput!$M$24-ArtifactsInput!$M$24)*CHOOSE(ArtifactsInput!$N$24+1,10,12,14,16,18,20)+IF(ArtifactsInput!$M$10,CHOOSE(ArtifactsInput!$N$10+1,15,18,21,24,27,30)*(IF(Inputs!$B$38="pvp",MIN(15,15)/15,IF(AND(Inputs!$B$38&lt;&gt;"pvp",Inputs!$B$43&gt;0),MIN(15,Inputs!$B$43)/(Inputs!$B$43),0))),0)))&gt;=100),CHOOSE(ArtifactsInput!$N$42+1,40,48,56,64,72,80),0))))/100)*((1+(((C1744=TRUE)*F1744*5/7)+((C1751=TRUE)*(F1751-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1731)</f>
        <v/>
      </c>
      <c r="L1731">
        <f>K1731*(MIN(Inputs!$B$22+((C1749=TRUE)*(F1749-Calc!F22)),(Inputs!$B$23+0+(IF(ArtifactsInput!$M$15,CHOOSE(ArtifactsInput!$N$15+1,25,30,35,40,45,50)/100*(Inputs!$B$11-Inputs!$B$11),0))))/100+(Inputs!$B$23+0+(IF(ArtifactsInput!$M$15,CHOOSE(ArtifactsInput!$N$15+1,25,30,35,40,45,50)/100*(Inputs!$B$11-Inputs!$B$11),0)))/100)/2</f>
        <v/>
      </c>
      <c r="M1731">
        <f>L1731*(1+(Inputs!$B$10+((C1752=TRUE)*(F1752-Calc!F25))+B1763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31">
        <f>L1731*(1-MIN((Inputs!$B$9+((C1746=TRUE)*(F1746-Calc!F19))+B1758+(ArtifactsInput!$M$24-ArtifactsInput!$M$24)*CHOOSE(ArtifactsInput!$N$24+1,10,12,14,16,18,20)+(IF(AND(Inputs!$B$38&lt;&gt;"pvp",Inputs!$B$43=0),1,IF(IF(Inputs!$B$38="pvp",15,Inputs!$B$43)-(B1765)&lt;=0,1,MAX(0,IF(Inputs!$B$38="pvp",15,Inputs!$B$43)-MAX(5,B1765))/(IF(Inputs!$B$38="pvp",15,Inputs!$B$43)-(B1765))))*IF(AND(ArtifactsInput!$M$42,((Inputs!$B$9+((C1746=TRUE)*(F1746-Calc!F19))+B1758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1731*(MIN((Inputs!$B$9+((C1746=TRUE)*(F1746-Calc!F19))+B1758+(ArtifactsInput!$M$24-ArtifactsInput!$M$24)*CHOOSE(ArtifactsInput!$N$24+1,10,12,14,16,18,20)+(IF(AND(Inputs!$B$38&lt;&gt;"pvp",Inputs!$B$43=0),1,IF(IF(Inputs!$B$38="pvp",15,Inputs!$B$43)-(B1765)&lt;=0,1,MAX(0,IF(Inputs!$B$38="pvp",15,Inputs!$B$43)-MAX(5,B1765))/(IF(Inputs!$B$38="pvp",15,Inputs!$B$43)-(B1765))))*IF(AND(ArtifactsInput!$M$42,((Inputs!$B$9+((C1746=TRUE)*(F1746-Calc!F19))+B1758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31">
        <f>(1-Summary!$B$11)*T1731+Summary!$B$11*V1731</f>
        <v/>
      </c>
      <c r="P1731">
        <f>IF(B1768=0,0,O1731/B1768)</f>
        <v/>
      </c>
      <c r="Q1731">
        <f>IFERROR(1/(IF(Inputs!$B$38="pvp",15,MAX(0.1,Skills!D4-IF(TRUE=TRUE,Inputs!$B$32,0)))*(1-IF(AND(ArtifactsInput!$M$27,Inputs!$B$4="Chapter Hunt"),CHOOSE(ArtifactsInput!$N$27+1,20,24,28,32,36,40),0)/100)),0)</f>
        <v/>
      </c>
      <c r="R1731">
        <f>IF(AND(Inputs!$B$38&lt;&gt;"pvp",Inputs!$B$43&gt;0),IF(MAX(0,Inputs!$B$43-B1765)&lt;=0,0,(INT(MAX(0,Inputs!$B$43-B1765)/(IF(Inputs!$B$38="pvp",15,MAX(0.1,Skills!D4-IF(TRUE=TRUE,Inputs!$B$32,0)))*(1-IF(AND(ArtifactsInput!$M$27,Inputs!$B$4="Chapter Hunt"),CHOOSE(ArtifactsInput!$N$27+1,20,24,28,32,36,40),0)/100)))+1)),0)</f>
        <v/>
      </c>
      <c r="S1731">
        <f>IFERROR(O1731/N1731,0)</f>
        <v/>
      </c>
      <c r="T1731">
        <f>IF(C1731,(H1731*N1731*IF(AND(Inputs!$B$38&lt;&gt;"pvp",Inputs!$B$43&gt;0),((Skills!G4*((R1731-1)*IF(Skills!H4&gt;0,INT(IF(Inputs!$B$3&gt;=104,MIN(35,20*(1+Inputs!$B$34/100)),20)/Skills!H4+0.000000001),1)+IF(Skills!H4&gt;0,INT(MIN(IF(Inputs!$B$3&gt;=104,MIN(35,20*(1+Inputs!$B$34/100)),20),MAX(0,MAX(0,Inputs!$B$43-B1765)-((R1731-1)*(IF(Inputs!$B$38="pvp",15,MAX(0.1,Skills!D4-IF(TRUE=TRUE,Inputs!$B$32,0)))*(1-IF(AND(ArtifactsInput!$M$27,Inputs!$B$4="Chapter Hunt"),CHOOSE(ArtifactsInput!$N$27+1,20,24,28,32,36,40),0)/100)))))/Skills!H4+0.000000001),1)))/Inputs!$B$43),G1731*Q1731))*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Hunt"),CHOOSE(ArtifactsInput!$N$35+1,15,18,21,24,27,30)*(1-EXP(-(0.2*B1760)*5)),0)+IF(AND(ArtifactsInput!$M$22,Inputs!$B$4&lt;&gt;"Chapter Hunt"),CHOOSE(ArtifactsInput!$N$22+1,10,12,14,16,18,20)*((0*(((0.15*B1760*5))^0/1)+1*(((0.15*B1760*5))^1/1)+2*(((0.15*B1760*5))^2/2)+3*(((0.15*B1760*5))^3/6)+4*(((0.15*B1760*5))^4/24)+5*(((0.15*B1760*5))^5/120))/((((0.15*B1760*5))^0/1)+(((0.15*B1760*5))^1/1)+(((0.15*B1760*5))^2/2)+(((0.15*B1760*5))^3/6)+(((0.15*B1760*5))^4/24)+(((0.15*B1760*5))^5/120))),0))+IF(Inputs!$B$3&gt;=54,9*(C1730=TRUE)*MIN(1,8*(1+Inputs!$B$34/100)*Q1730)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1731*(1-MIN(100,(Inputs!$B$9+((C1746=TRUE)*(F1746-Calc!F19))+B1758+(ArtifactsInput!$M$24-ArtifactsInput!$M$24)*CHOOSE(ArtifactsInput!$N$24+1,10,12,14,16,18,20)+(IF(AND(Inputs!$B$38&lt;&gt;"pvp",Inputs!$B$43=0),1,IF(IF(Inputs!$B$38="pvp",15,Inputs!$B$43)-(B1765)&lt;=0,1,MAX(0,IF(Inputs!$B$38="pvp",15,Inputs!$B$43)-MAX(5,B1765))/(IF(Inputs!$B$38="pvp",15,Inputs!$B$43)-(B1765))))*IF(AND(ArtifactsInput!$M$42,((Inputs!$B$9+((C1746=TRUE)*(F1746-Calc!F19))+B1758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1731*(MIN(100,(Inputs!$B$9+((C1746=TRUE)*(F1746-Calc!F19))+B1758+(ArtifactsInput!$M$24-ArtifactsInput!$M$24)*CHOOSE(ArtifactsInput!$N$24+1,10,12,14,16,18,20)+(IF(AND(Inputs!$B$38&lt;&gt;"pvp",Inputs!$B$43=0),1,IF(IF(Inputs!$B$38="pvp",15,Inputs!$B$43)-(B1765)&lt;=0,1,MAX(0,IF(Inputs!$B$38="pvp",15,Inputs!$B$43)-MAX(5,B1765))/(IF(Inputs!$B$38="pvp",15,Inputs!$B$43)-(B1765))))*IF(AND(ArtifactsInput!$M$42,((Inputs!$B$9+((C1746=TRUE)*(F1746-Calc!F19))+B1758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1731*(1-MIN(100,(Inputs!$B$9+((C1746=TRUE)*(F1746-Calc!F19))+B1758+(ArtifactsInput!$M$24-ArtifactsInput!$M$24)*CHOOSE(ArtifactsInput!$N$24+1,10,12,14,16,18,20)+(IF(AND(Inputs!$B$38&lt;&gt;"pvp",Inputs!$B$43=0),1,IF(IF(Inputs!$B$38="pvp",15,Inputs!$B$43)-(B1765)&lt;=0,1,MAX(0,IF(Inputs!$B$38="pvp",15,Inputs!$B$43)-MAX(5,B1765))/(IF(Inputs!$B$38="pvp",15,Inputs!$B$43)-(B1765))))*IF(AND(ArtifactsInput!$M$42,((Inputs!$B$9+((C1746=TRUE)*(F1746-Calc!F19))+B1758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1731*(MIN(100,(Inputs!$B$9+((C1746=TRUE)*(F1746-Calc!F19))+B1758+(ArtifactsInput!$M$24-ArtifactsInput!$M$24)*CHOOSE(ArtifactsInput!$N$24+1,10,12,14,16,18,20)+(IF(AND(Inputs!$B$38&lt;&gt;"pvp",Inputs!$B$43=0),1,IF(IF(Inputs!$B$38="pvp",15,Inputs!$B$43)-(B1765)&lt;=0,1,MAX(0,IF(Inputs!$B$38="pvp",15,Inputs!$B$43)-MAX(5,B1765))/(IF(Inputs!$B$38="pvp",15,Inputs!$B$43)-(B1765))))*IF(AND(ArtifactsInput!$M$42,((Inputs!$B$9+((C1746=TRUE)*(F1746-Calc!F19))+B1758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731">
        <f>290*U1730/1000</f>
        <v/>
      </c>
      <c r="V1731">
        <f>IF(C1731,(H1731*N1731*IF(AND(Inputs!$B$38&lt;&gt;"pvp",Inputs!$B$43&gt;0),((Skills!G4*((R1731-1)*IF(Skills!H4&gt;0,INT(IF(Inputs!$B$3&gt;=104,MIN(35,20*(1+Inputs!$B$34/100)),20)/Skills!H4+0.000000001),1)+IF(Skills!H4&gt;0,INT(MIN(IF(Inputs!$B$3&gt;=104,MIN(35,20*(1+Inputs!$B$34/100)),20),MAX(0,MAX(0,Inputs!$B$43-B1765)-((R1731-1)*(IF(Inputs!$B$38="pvp",15,MAX(0.1,Skills!D4-IF(TRUE=TRUE,Inputs!$B$32,0)))*(1-IF(AND(ArtifactsInput!$M$27,Inputs!$B$4="Chapter Hunt"),CHOOSE(ArtifactsInput!$N$27+1,20,24,28,32,36,40),0)/100)))))/Skills!H4+0.000000001),1)))/Inputs!$B$43),G1731*Q1731))*IF(Inputs!$B$38="pvp",1,(1+(Inputs!$B$21+Skills!Q4+(IF(ArtifactsInput!$M$33,CHOOSE(ArtifactsInput!$N$33+1,30,36,42,48,54,60),0))+(IF(AND(ArtifactsInput!$M$35,Inputs!$B$4&lt;&gt;"Chapter Hunt"),CHOOSE(ArtifactsInput!$N$35+1,15,18,21,24,27,30)*(1-EXP(-(0.2*B1760)*5)),0)+IF(AND(ArtifactsInput!$M$22,Inputs!$B$4&lt;&gt;"Chapter Hunt"),CHOOSE(ArtifactsInput!$N$22+1,10,12,14,16,18,20)*((0*(((0.15*B1760*5))^0/1)+1*(((0.15*B1760*5))^1/1)+2*(((0.15*B1760*5))^2/2)+3*(((0.15*B1760*5))^3/6)+4*(((0.15*B1760*5))^4/24)+5*(((0.15*B1760*5))^5/120))/((((0.15*B1760*5))^0/1)+(((0.15*B1760*5))^1/1)+(((0.15*B1760*5))^2/2)+(((0.15*B1760*5))^3/6)+(((0.15*B1760*5))^4/24)+(((0.15*B1760*5))^5/120))),0))+IF(Inputs!$B$3&gt;=54,9*(C1730=TRUE)*MIN(1,8*(1+Inputs!$B$34/100)*Q1730),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32">
      <c r="A1732">
        <f>Skills!A5</f>
        <v/>
      </c>
      <c r="B1732">
        <f>Skills!B5</f>
        <v/>
      </c>
      <c r="C1732">
        <f>Inputs!$B$3&gt;=69</f>
        <v/>
      </c>
      <c r="D1732">
        <f>IF(Skills!C5=1,60+Inputs!$B$25+Inputs!$B$29,IF(Skills!C5=2,90+Inputs!$B$26+Inputs!$B$29,IF(Skills!C5=3,120+Inputs!$B$27+Inputs!$B$29,MAX(0,(Inputs!$B$3-100)*3)+Inputs!$B$28+Inputs!$B$29)))</f>
        <v/>
      </c>
      <c r="E1732">
        <f>INDEX(FactorTable!$B$2:$Y$301, MATCH(ROUND(MIN(300,MAX(1,D1732)),0), FactorTable!$A$2:$A$301,0), Skills!M5+1)</f>
        <v/>
      </c>
      <c r="F1732">
        <f>IF(Skills!N5=TRUE,(Skills!L5/10)*(E1732/1000),Skills!L5/10)+Skills!O5</f>
        <v/>
      </c>
      <c r="G1732">
        <f>Skills!G5*IF(Skills!H5&gt;0,INT(IF(Inputs!$B$38="pvp",MIN(IF(Inputs!$B$3&gt;=104,MIN(35,20*(1+Inputs!$B$34/100)),20),15),IF(Inputs!$B$3&gt;=104,MIN(35,20*(1+Inputs!$B$34/100)),20))/Skills!H5+0.000000001),1)</f>
        <v/>
      </c>
      <c r="H1732">
        <f>1-(1-Skills!J5/100)^Skills!K5</f>
        <v/>
      </c>
      <c r="I1732" t="inlineStr">
        <is>
          <t>1</t>
        </is>
      </c>
      <c r="J1732">
        <f>((Inputs!$B$6*(1+Inputs!$B$7/100))+(((Inputs!$B$12*(1+Inputs!$B$13/100))-(Inputs!$B$12*(1+Inputs!$B$13/100)))+0.25*(Inputs!$B$14-Inputs!$B$14))*(1+Inputs!$B$7/100))*(F1732/100)</f>
        <v/>
      </c>
      <c r="K1732">
        <f>J1732*(1+((Inputs!$B$12*(1+Inputs!$B$13/100))*0.01+Inputs!$B$14*0.0025)/100)*(1+Inputs!$B$15/100)*(1+Inputs!$B$16/100)*(5000/(6000+Inputs!$B$42*(1-(100*(1-(1-(Inputs!$B$19+0)/100)*(1-CHOOSE(ArtifactsInput!$N$40+1,5,6,7,8,9,10)/100)^(ArtifactsInput!$M$40-ArtifactsInput!$M$40)))/100)))*(1+(Inputs!$B$24+((C1753=TRUE)*(F1753-Calc!F26))+B1764)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+0.4*IF(C1743=TRUE,F1743,0)/100)*(1+(IF(Skills!A5="EIGHT_LEGS_EASTON",Inputs!$B$17+((C1750=TRUE)*(F1750-Calc!F23))+((C1754=TRUE)*(F1754-Calc!F27))+((IF(AND(Inputs!$B$38&lt;&gt;"pvp",Inputs!$B$43=0),1,IF(IF(Inputs!$B$38="pvp",15,Inputs!$B$43)-(B1765)&lt;=0,1,MAX(0,IF(Inputs!$B$38="pvp",15,Inputs!$B$43)-MAX(5,B1765))/(IF(Inputs!$B$38="pvp",15,Inputs!$B$43)-(B1765))))*(IF(AND(ArtifactsInput!$M$42,((Inputs!$B$9+((C1746=TRUE)*(F1746-Calc!F19))+B1758+(ArtifactsInput!$M$24-ArtifactsInput!$M$24)*CHOOSE(ArtifactsInput!$N$24+1,10,12,14,16,18,20)+IF(ArtifactsInput!$M$10,CHOOSE(ArtifactsInput!$N$10+1,15,18,21,24,27,30)*(IF(Inputs!$B$38="pvp",MIN(15,15)/15,IF(AND(Inputs!$B$38&lt;&gt;"pvp",Inputs!$B$43&gt;0),MIN(15,Inputs!$B$43)/(Inputs!$B$43),0))),0)))&gt;=100),MIN(100,((Inputs!$B$9+((C1746=TRUE)*(F1746-Calc!F19))+B1758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1765)&lt;=0,1,MAX(0,IF(Inputs!$B$38="pvp",15,Inputs!$B$43)-MAX(5,B1765))/(IF(Inputs!$B$38="pvp",15,Inputs!$B$43)-(B1765))))*IF(AND(ArtifactsInput!$M$42,((Inputs!$B$9+((C1746=TRUE)*(F1746-Calc!F19))+B1758+(ArtifactsInput!$M$24-ArtifactsInput!$M$24)*CHOOSE(ArtifactsInput!$N$24+1,10,12,14,16,18,20)+IF(ArtifactsInput!$M$10,CHOOSE(ArtifactsInput!$N$10+1,15,18,21,24,27,30)*(IF(Inputs!$B$38="pvp",MIN(15,15)/15,IF(AND(Inputs!$B$38&lt;&gt;"pvp",Inputs!$B$43&gt;0),MIN(15,Inputs!$B$43)/(Inputs!$B$43),0))),0)))&gt;=100),CHOOSE(ArtifactsInput!$N$42+1,40,48,56,64,72,80),0))))/100)*((1+(((C1744=TRUE)*F1744*5/7)+((C1751=TRUE)*(F1751-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1732)</f>
        <v/>
      </c>
      <c r="L1732">
        <f>K1732*(MIN(Inputs!$B$22+((C1749=TRUE)*(F1749-Calc!F22)),(Inputs!$B$23+0+(IF(ArtifactsInput!$M$15,CHOOSE(ArtifactsInput!$N$15+1,25,30,35,40,45,50)/100*(Inputs!$B$11-Inputs!$B$11),0))))/100+(Inputs!$B$23+0+(IF(ArtifactsInput!$M$15,CHOOSE(ArtifactsInput!$N$15+1,25,30,35,40,45,50)/100*(Inputs!$B$11-Inputs!$B$11),0)))/100)/2</f>
        <v/>
      </c>
      <c r="M1732">
        <f>L1732*(1+(Inputs!$B$10+((C1752=TRUE)*(F1752-Calc!F25))+B1763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32">
        <f>L1732*(1-MIN((Inputs!$B$9+((C1746=TRUE)*(F1746-Calc!F19))+B1758+(ArtifactsInput!$M$24-ArtifactsInput!$M$24)*CHOOSE(ArtifactsInput!$N$24+1,10,12,14,16,18,20)+(IF(AND(Inputs!$B$38&lt;&gt;"pvp",Inputs!$B$43=0),1,IF(IF(Inputs!$B$38="pvp",15,Inputs!$B$43)-(B1765)&lt;=0,1,MAX(0,IF(Inputs!$B$38="pvp",15,Inputs!$B$43)-MAX(5,B1765))/(IF(Inputs!$B$38="pvp",15,Inputs!$B$43)-(B1765))))*IF(AND(ArtifactsInput!$M$42,((Inputs!$B$9+((C1746=TRUE)*(F1746-Calc!F19))+B1758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1732*(MIN((Inputs!$B$9+((C1746=TRUE)*(F1746-Calc!F19))+B1758+(ArtifactsInput!$M$24-ArtifactsInput!$M$24)*CHOOSE(ArtifactsInput!$N$24+1,10,12,14,16,18,20)+(IF(AND(Inputs!$B$38&lt;&gt;"pvp",Inputs!$B$43=0),1,IF(IF(Inputs!$B$38="pvp",15,Inputs!$B$43)-(B1765)&lt;=0,1,MAX(0,IF(Inputs!$B$38="pvp",15,Inputs!$B$43)-MAX(5,B1765))/(IF(Inputs!$B$38="pvp",15,Inputs!$B$43)-(B1765))))*IF(AND(ArtifactsInput!$M$42,((Inputs!$B$9+((C1746=TRUE)*(F1746-Calc!F19))+B1758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32">
        <f>(1-Summary!$B$11)*T1732+Summary!$B$11*V1732</f>
        <v/>
      </c>
      <c r="P1732">
        <f>IF(B1768=0,0,O1732/B1768)</f>
        <v/>
      </c>
      <c r="Q1732">
        <f>IFERROR(1/(IF(Inputs!$B$38="pvp",15,MAX(0.1,Skills!D5-IF(TRUE=TRUE,Inputs!$B$32,0)))*(1-IF(AND(ArtifactsInput!$M$27,Inputs!$B$4="Chapter Hunt"),CHOOSE(ArtifactsInput!$N$27+1,20,24,28,32,36,40),0)/100)),0)</f>
        <v/>
      </c>
      <c r="R1732">
        <f>IF(AND(Inputs!$B$38&lt;&gt;"pvp",Inputs!$B$43&gt;0),IF(MAX(0,Inputs!$B$43-B1765)&lt;=0,0,(INT(MAX(0,Inputs!$B$43-B1765)/(IF(Inputs!$B$38="pvp",15,MAX(0.1,Skills!D5-IF(TRUE=TRUE,Inputs!$B$32,0)))*(1-IF(AND(ArtifactsInput!$M$27,Inputs!$B$4="Chapter Hunt"),CHOOSE(ArtifactsInput!$N$27+1,20,24,28,32,36,40),0)/100)))+1)),0)</f>
        <v/>
      </c>
      <c r="S1732">
        <f>IFERROR(O1732/N1732,0)</f>
        <v/>
      </c>
      <c r="T1732">
        <f>IF(C1732,(H1732*N1732*IF(AND(Inputs!$B$38&lt;&gt;"pvp",Inputs!$B$43&gt;0),((Skills!G5*((R1732-1)*IF(Skills!H5&gt;0,INT(IF(Inputs!$B$3&gt;=104,MIN(35,20*(1+Inputs!$B$34/100)),20)/Skills!H5+0.000000001),1)+IF(Skills!H5&gt;0,INT(MIN(IF(Inputs!$B$3&gt;=104,MIN(35,20*(1+Inputs!$B$34/100)),20),MAX(0,MAX(0,Inputs!$B$43-B1765)-((R1732-1)*(IF(Inputs!$B$38="pvp",15,MAX(0.1,Skills!D5-IF(TRUE=TRUE,Inputs!$B$32,0)))*(1-IF(AND(ArtifactsInput!$M$27,Inputs!$B$4="Chapter Hunt"),CHOOSE(ArtifactsInput!$N$27+1,20,24,28,32,36,40),0)/100)))))/Skills!H5+0.000000001),1)))/Inputs!$B$43),G1732*Q1732))*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Hunt"),CHOOSE(ArtifactsInput!$N$35+1,15,18,21,24,27,30)*(1-EXP(-(0.2*B1760)*5)),0)+IF(AND(ArtifactsInput!$M$22,Inputs!$B$4&lt;&gt;"Chapter Hunt"),CHOOSE(ArtifactsInput!$N$22+1,10,12,14,16,18,20)*((0*(((0.15*B1760*5))^0/1)+1*(((0.15*B1760*5))^1/1)+2*(((0.15*B1760*5))^2/2)+3*(((0.15*B1760*5))^3/6)+4*(((0.15*B1760*5))^4/24)+5*(((0.15*B1760*5))^5/120))/((((0.15*B1760*5))^0/1)+(((0.15*B1760*5))^1/1)+(((0.15*B1760*5))^2/2)+(((0.15*B1760*5))^3/6)+(((0.15*B1760*5))^4/24)+(((0.15*B1760*5))^5/120))),0))+IF(Inputs!$B$3&gt;=54,9*(C1730=TRUE)*MIN(1,8*(1+Inputs!$B$34/100)*Q1730)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1732*(1-MIN(100,(Inputs!$B$9+((C1746=TRUE)*(F1746-Calc!F19))+B1758+(ArtifactsInput!$M$24-ArtifactsInput!$M$24)*CHOOSE(ArtifactsInput!$N$24+1,10,12,14,16,18,20)+(IF(AND(Inputs!$B$38&lt;&gt;"pvp",Inputs!$B$43=0),1,IF(IF(Inputs!$B$38="pvp",15,Inputs!$B$43)-(B1765)&lt;=0,1,MAX(0,IF(Inputs!$B$38="pvp",15,Inputs!$B$43)-MAX(5,B1765))/(IF(Inputs!$B$38="pvp",15,Inputs!$B$43)-(B1765))))*IF(AND(ArtifactsInput!$M$42,((Inputs!$B$9+((C1746=TRUE)*(F1746-Calc!F19))+B1758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1732*(MIN(100,(Inputs!$B$9+((C1746=TRUE)*(F1746-Calc!F19))+B1758+(ArtifactsInput!$M$24-ArtifactsInput!$M$24)*CHOOSE(ArtifactsInput!$N$24+1,10,12,14,16,18,20)+(IF(AND(Inputs!$B$38&lt;&gt;"pvp",Inputs!$B$43=0),1,IF(IF(Inputs!$B$38="pvp",15,Inputs!$B$43)-(B1765)&lt;=0,1,MAX(0,IF(Inputs!$B$38="pvp",15,Inputs!$B$43)-MAX(5,B1765))/(IF(Inputs!$B$38="pvp",15,Inputs!$B$43)-(B1765))))*IF(AND(ArtifactsInput!$M$42,((Inputs!$B$9+((C1746=TRUE)*(F1746-Calc!F19))+B1758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1732*(1-MIN(100,(Inputs!$B$9+((C1746=TRUE)*(F1746-Calc!F19))+B1758+(ArtifactsInput!$M$24-ArtifactsInput!$M$24)*CHOOSE(ArtifactsInput!$N$24+1,10,12,14,16,18,20)+(IF(AND(Inputs!$B$38&lt;&gt;"pvp",Inputs!$B$43=0),1,IF(IF(Inputs!$B$38="pvp",15,Inputs!$B$43)-(B1765)&lt;=0,1,MAX(0,IF(Inputs!$B$38="pvp",15,Inputs!$B$43)-MAX(5,B1765))/(IF(Inputs!$B$38="pvp",15,Inputs!$B$43)-(B1765))))*IF(AND(ArtifactsInput!$M$42,((Inputs!$B$9+((C1746=TRUE)*(F1746-Calc!F19))+B1758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1732*(MIN(100,(Inputs!$B$9+((C1746=TRUE)*(F1746-Calc!F19))+B1758+(ArtifactsInput!$M$24-ArtifactsInput!$M$24)*CHOOSE(ArtifactsInput!$N$24+1,10,12,14,16,18,20)+(IF(AND(Inputs!$B$38&lt;&gt;"pvp",Inputs!$B$43=0),1,IF(IF(Inputs!$B$38="pvp",15,Inputs!$B$43)-(B1765)&lt;=0,1,MAX(0,IF(Inputs!$B$38="pvp",15,Inputs!$B$43)-MAX(5,B1765))/(IF(Inputs!$B$38="pvp",15,Inputs!$B$43)-(B1765))))*IF(AND(ArtifactsInput!$M$42,((Inputs!$B$9+((C1746=TRUE)*(F1746-Calc!F19))+B1758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732">
        <f>IF(C1732,(H1732*N1732*IF(AND(Inputs!$B$38&lt;&gt;"pvp",Inputs!$B$43&gt;0),((Skills!G5*((R1732-1)*IF(Skills!H5&gt;0,INT(IF(Inputs!$B$3&gt;=104,MIN(35,20*(1+Inputs!$B$34/100)),20)/Skills!H5+0.000000001),1)+IF(Skills!H5&gt;0,INT(MIN(IF(Inputs!$B$3&gt;=104,MIN(35,20*(1+Inputs!$B$34/100)),20),MAX(0,MAX(0,Inputs!$B$43-B1765)-((R1732-1)*(IF(Inputs!$B$38="pvp",15,MAX(0.1,Skills!D5-IF(TRUE=TRUE,Inputs!$B$32,0)))*(1-IF(AND(ArtifactsInput!$M$27,Inputs!$B$4="Chapter Hunt"),CHOOSE(ArtifactsInput!$N$27+1,20,24,28,32,36,40),0)/100)))))/Skills!H5+0.000000001),1)))/Inputs!$B$43),G1732*Q1732))*IF(Inputs!$B$38="pvp",1,(1+(Inputs!$B$21+Skills!Q5+(IF(ArtifactsInput!$M$33,CHOOSE(ArtifactsInput!$N$33+1,30,36,42,48,54,60),0))+(IF(AND(ArtifactsInput!$M$35,Inputs!$B$4&lt;&gt;"Chapter Hunt"),CHOOSE(ArtifactsInput!$N$35+1,15,18,21,24,27,30)*(1-EXP(-(0.2*B1760)*5)),0)+IF(AND(ArtifactsInput!$M$22,Inputs!$B$4&lt;&gt;"Chapter Hunt"),CHOOSE(ArtifactsInput!$N$22+1,10,12,14,16,18,20)*((0*(((0.15*B1760*5))^0/1)+1*(((0.15*B1760*5))^1/1)+2*(((0.15*B1760*5))^2/2)+3*(((0.15*B1760*5))^3/6)+4*(((0.15*B1760*5))^4/24)+5*(((0.15*B1760*5))^5/120))/((((0.15*B1760*5))^0/1)+(((0.15*B1760*5))^1/1)+(((0.15*B1760*5))^2/2)+(((0.15*B1760*5))^3/6)+(((0.15*B1760*5))^4/24)+(((0.15*B1760*5))^5/120))),0))+IF(Inputs!$B$3&gt;=54,9*(C1730=TRUE)*MIN(1,8*(1+Inputs!$B$34/100)*Q1730)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33">
      <c r="A1733">
        <f>Skills!A6</f>
        <v/>
      </c>
      <c r="B1733">
        <f>Skills!B6</f>
        <v/>
      </c>
      <c r="C1733">
        <f>Inputs!$B$3&gt;=66</f>
        <v/>
      </c>
      <c r="D1733">
        <f>IF(Skills!C6=1,60+Inputs!$B$25+Inputs!$B$29,IF(Skills!C6=2,90+Inputs!$B$26+Inputs!$B$29,IF(Skills!C6=3,120+Inputs!$B$27+Inputs!$B$29,MAX(0,(Inputs!$B$3-100)*3)+Inputs!$B$28+Inputs!$B$29)))</f>
        <v/>
      </c>
      <c r="E1733">
        <f>INDEX(FactorTable!$B$2:$Y$301, MATCH(ROUND(MIN(300,MAX(1,D1733)),0), FactorTable!$A$2:$A$301,0), Skills!M6+1)</f>
        <v/>
      </c>
      <c r="F1733">
        <f>IF(Skills!N6=TRUE,(Skills!L6/10)*(E1733/1000),Skills!L6/10)+Skills!O6</f>
        <v/>
      </c>
      <c r="G1733">
        <f>Skills!G6*IF(Skills!H6&gt;0,INT(IF(Inputs!$B$38="pvp",MIN(Skills!I6,15),Skills!I6)/Skills!H6+0.000000001),1)</f>
        <v/>
      </c>
      <c r="H1733">
        <f>1-(1-Skills!J6/100)^Skills!K6</f>
        <v/>
      </c>
      <c r="I1733" t="inlineStr">
        <is>
          <t>1</t>
        </is>
      </c>
      <c r="J1733">
        <f>((Inputs!$B$6*(1+Inputs!$B$7/100))+(((Inputs!$B$12*(1+Inputs!$B$13/100))-(Inputs!$B$12*(1+Inputs!$B$13/100)))+0.25*(Inputs!$B$14-Inputs!$B$14))*(1+Inputs!$B$7/100))*(F1733/100)</f>
        <v/>
      </c>
      <c r="K1733">
        <f>J1733*(1+((Inputs!$B$12*(1+Inputs!$B$13/100))*0.01+Inputs!$B$14*0.0025)/100)*(1+Inputs!$B$15/100)*(1+Inputs!$B$16/100)*(5000/(6000+Inputs!$B$42*(1-(100*(1-(1-(Inputs!$B$19+0)/100)*(1-CHOOSE(ArtifactsInput!$N$40+1,5,6,7,8,9,10)/100)^(ArtifactsInput!$M$40-ArtifactsInput!$M$40)))/100)))*(1+(Inputs!$B$24+((C1753=TRUE)*(F1753-Calc!F26))+B1764)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+2.0*IF(C1742=TRUE,F1742,0)/100)*(1+(IF(Skills!A6="EIGHT_LEGS_EASTON",Inputs!$B$17+((C1750=TRUE)*(F1750-Calc!F23))+((C1754=TRUE)*(F1754-Calc!F27))+((IF(AND(Inputs!$B$38&lt;&gt;"pvp",Inputs!$B$43=0),1,IF(IF(Inputs!$B$38="pvp",15,Inputs!$B$43)-(B1765)&lt;=0,1,MAX(0,IF(Inputs!$B$38="pvp",15,Inputs!$B$43)-MAX(5,B1765))/(IF(Inputs!$B$38="pvp",15,Inputs!$B$43)-(B1765))))*(IF(AND(ArtifactsInput!$M$42,((Inputs!$B$9+((C1746=TRUE)*(F1746-Calc!F19))+B1758+(ArtifactsInput!$M$24-ArtifactsInput!$M$24)*CHOOSE(ArtifactsInput!$N$24+1,10,12,14,16,18,20)+IF(ArtifactsInput!$M$10,CHOOSE(ArtifactsInput!$N$10+1,15,18,21,24,27,30)*(IF(Inputs!$B$38="pvp",MIN(15,15)/15,IF(AND(Inputs!$B$38&lt;&gt;"pvp",Inputs!$B$43&gt;0),MIN(15,Inputs!$B$43)/(Inputs!$B$43),0))),0)))&gt;=100),MIN(100,((Inputs!$B$9+((C1746=TRUE)*(F1746-Calc!F19))+B1758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1765)&lt;=0,1,MAX(0,IF(Inputs!$B$38="pvp",15,Inputs!$B$43)-MAX(5,B1765))/(IF(Inputs!$B$38="pvp",15,Inputs!$B$43)-(B1765))))*IF(AND(ArtifactsInput!$M$42,((Inputs!$B$9+((C1746=TRUE)*(F1746-Calc!F19))+B1758+(ArtifactsInput!$M$24-ArtifactsInput!$M$24)*CHOOSE(ArtifactsInput!$N$24+1,10,12,14,16,18,20)+IF(ArtifactsInput!$M$10,CHOOSE(ArtifactsInput!$N$10+1,15,18,21,24,27,30)*(IF(Inputs!$B$38="pvp",MIN(15,15)/15,IF(AND(Inputs!$B$38&lt;&gt;"pvp",Inputs!$B$43&gt;0),MIN(15,Inputs!$B$43)/(Inputs!$B$43),0))),0)))&gt;=100),CHOOSE(ArtifactsInput!$N$42+1,40,48,56,64,72,80),0))))/100)*((1+(((C1744=TRUE)*F1744*5/7)+((C1751=TRUE)*(F1751-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1733)</f>
        <v/>
      </c>
      <c r="L1733">
        <f>K1733*(MIN(Inputs!$B$22+((C1749=TRUE)*(F1749-Calc!F22)),(Inputs!$B$23+0+(IF(ArtifactsInput!$M$15,CHOOSE(ArtifactsInput!$N$15+1,25,30,35,40,45,50)/100*(Inputs!$B$11-Inputs!$B$11),0))))/100+(Inputs!$B$23+0+(IF(ArtifactsInput!$M$15,CHOOSE(ArtifactsInput!$N$15+1,25,30,35,40,45,50)/100*(Inputs!$B$11-Inputs!$B$11),0)))/100)/2</f>
        <v/>
      </c>
      <c r="M1733">
        <f>L1733*(1+(Inputs!$B$10+((C1752=TRUE)*(F1752-Calc!F25))+B1763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33">
        <f>L1733*(1-MIN((Inputs!$B$9+((C1746=TRUE)*(F1746-Calc!F19))+B1758+(ArtifactsInput!$M$24-ArtifactsInput!$M$24)*CHOOSE(ArtifactsInput!$N$24+1,10,12,14,16,18,20)+(IF(AND(Inputs!$B$38&lt;&gt;"pvp",Inputs!$B$43=0),1,IF(IF(Inputs!$B$38="pvp",15,Inputs!$B$43)-(B1765)&lt;=0,1,MAX(0,IF(Inputs!$B$38="pvp",15,Inputs!$B$43)-MAX(5,B1765))/(IF(Inputs!$B$38="pvp",15,Inputs!$B$43)-(B1765))))*IF(AND(ArtifactsInput!$M$42,((Inputs!$B$9+((C1746=TRUE)*(F1746-Calc!F19))+B1758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1733*(MIN((Inputs!$B$9+((C1746=TRUE)*(F1746-Calc!F19))+B1758+(ArtifactsInput!$M$24-ArtifactsInput!$M$24)*CHOOSE(ArtifactsInput!$N$24+1,10,12,14,16,18,20)+(IF(AND(Inputs!$B$38&lt;&gt;"pvp",Inputs!$B$43=0),1,IF(IF(Inputs!$B$38="pvp",15,Inputs!$B$43)-(B1765)&lt;=0,1,MAX(0,IF(Inputs!$B$38="pvp",15,Inputs!$B$43)-MAX(5,B1765))/(IF(Inputs!$B$38="pvp",15,Inputs!$B$43)-(B1765))))*IF(AND(ArtifactsInput!$M$42,((Inputs!$B$9+((C1746=TRUE)*(F1746-Calc!F19))+B1758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33">
        <f>(1-Summary!$B$11)*T1733+Summary!$B$11*V1733</f>
        <v/>
      </c>
      <c r="P1733">
        <f>IF(B1768=0,0,O1733/B1768)</f>
        <v/>
      </c>
      <c r="Q1733">
        <f>IFERROR(1/(IF(Inputs!$B$38="pvp",15,MAX(0.1,Skills!D6-IF(TRUE=TRUE,Inputs!$B$32,0)))*(1-IF(AND(ArtifactsInput!$M$27,Inputs!$B$4="Chapter Hunt"),CHOOSE(ArtifactsInput!$N$27+1,20,24,28,32,36,40),0)/100)),0)</f>
        <v/>
      </c>
      <c r="R1733">
        <f>IF(AND(Inputs!$B$38&lt;&gt;"pvp",Inputs!$B$43&gt;0),IF(MAX(0,Inputs!$B$43-B1765)&lt;=0,0,(INT(MAX(0,Inputs!$B$43-B1765)/(IF(Inputs!$B$38="pvp",15,MAX(0.1,Skills!D6-IF(TRUE=TRUE,Inputs!$B$32,0)))*(1-IF(AND(ArtifactsInput!$M$27,Inputs!$B$4="Chapter Hunt"),CHOOSE(ArtifactsInput!$N$27+1,20,24,28,32,36,40),0)/100)))+1)),0)</f>
        <v/>
      </c>
      <c r="S1733">
        <f>IFERROR(O1733/N1733,0)</f>
        <v/>
      </c>
      <c r="T1733">
        <f>IF(C1733,(H1733*N1733*IF(AND(Inputs!$B$38&lt;&gt;"pvp",Inputs!$B$43&gt;0),((Skills!G6*((R1733-1)*IF(Skills!H6&gt;0,INT(Skills!I6/Skills!H6+0.000000001),1)+IF(Skills!H6&gt;0,INT(MIN(Skills!I6,MAX(0,MAX(0,Inputs!$B$43-B1765)-((R1733-1)*(IF(Inputs!$B$38="pvp",15,MAX(0.1,Skills!D6-IF(TRUE=TRUE,Inputs!$B$32,0)))*(1-IF(AND(ArtifactsInput!$M$27,Inputs!$B$4="Chapter Hunt"),CHOOSE(ArtifactsInput!$N$27+1,20,24,28,32,36,40),0)/100)))))/Skills!H6+0.000000001),1)))/Inputs!$B$43),G1733*Q1733))*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Hunt"),CHOOSE(ArtifactsInput!$N$35+1,15,18,21,24,27,30)*(1-EXP(-(0.2*B1760)*5)),0)+IF(AND(ArtifactsInput!$M$22,Inputs!$B$4&lt;&gt;"Chapter Hunt"),CHOOSE(ArtifactsInput!$N$22+1,10,12,14,16,18,20)*((0*(((0.15*B1760*5))^0/1)+1*(((0.15*B1760*5))^1/1)+2*(((0.15*B1760*5))^2/2)+3*(((0.15*B1760*5))^3/6)+4*(((0.15*B1760*5))^4/24)+5*(((0.15*B1760*5))^5/120))/((((0.15*B1760*5))^0/1)+(((0.15*B1760*5))^1/1)+(((0.15*B1760*5))^2/2)+(((0.15*B1760*5))^3/6)+(((0.15*B1760*5))^4/24)+(((0.15*B1760*5))^5/120))),0))+IF(Inputs!$B$3&gt;=54,9*(C1730=TRUE)*MIN(1,8*(1+Inputs!$B$34/100)*Q1730)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1733*(1-MIN(100,(Inputs!$B$9+((C1746=TRUE)*(F1746-Calc!F19))+B1758+(ArtifactsInput!$M$24-ArtifactsInput!$M$24)*CHOOSE(ArtifactsInput!$N$24+1,10,12,14,16,18,20)+(IF(AND(Inputs!$B$38&lt;&gt;"pvp",Inputs!$B$43=0),1,IF(IF(Inputs!$B$38="pvp",15,Inputs!$B$43)-(B1765)&lt;=0,1,MAX(0,IF(Inputs!$B$38="pvp",15,Inputs!$B$43)-MAX(5,B1765))/(IF(Inputs!$B$38="pvp",15,Inputs!$B$43)-(B1765))))*IF(AND(ArtifactsInput!$M$42,((Inputs!$B$9+((C1746=TRUE)*(F1746-Calc!F19))+B1758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1733*(MIN(100,(Inputs!$B$9+((C1746=TRUE)*(F1746-Calc!F19))+B1758+(ArtifactsInput!$M$24-ArtifactsInput!$M$24)*CHOOSE(ArtifactsInput!$N$24+1,10,12,14,16,18,20)+(IF(AND(Inputs!$B$38&lt;&gt;"pvp",Inputs!$B$43=0),1,IF(IF(Inputs!$B$38="pvp",15,Inputs!$B$43)-(B1765)&lt;=0,1,MAX(0,IF(Inputs!$B$38="pvp",15,Inputs!$B$43)-MAX(5,B1765))/(IF(Inputs!$B$38="pvp",15,Inputs!$B$43)-(B1765))))*IF(AND(ArtifactsInput!$M$42,((Inputs!$B$9+((C1746=TRUE)*(F1746-Calc!F19))+B1758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1733*(1-MIN(100,(Inputs!$B$9+((C1746=TRUE)*(F1746-Calc!F19))+B1758+(ArtifactsInput!$M$24-ArtifactsInput!$M$24)*CHOOSE(ArtifactsInput!$N$24+1,10,12,14,16,18,20)+(IF(AND(Inputs!$B$38&lt;&gt;"pvp",Inputs!$B$43=0),1,IF(IF(Inputs!$B$38="pvp",15,Inputs!$B$43)-(B1765)&lt;=0,1,MAX(0,IF(Inputs!$B$38="pvp",15,Inputs!$B$43)-MAX(5,B1765))/(IF(Inputs!$B$38="pvp",15,Inputs!$B$43)-(B1765))))*IF(AND(ArtifactsInput!$M$42,((Inputs!$B$9+((C1746=TRUE)*(F1746-Calc!F19))+B1758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1733*(MIN(100,(Inputs!$B$9+((C1746=TRUE)*(F1746-Calc!F19))+B1758+(ArtifactsInput!$M$24-ArtifactsInput!$M$24)*CHOOSE(ArtifactsInput!$N$24+1,10,12,14,16,18,20)+(IF(AND(Inputs!$B$38&lt;&gt;"pvp",Inputs!$B$43=0),1,IF(IF(Inputs!$B$38="pvp",15,Inputs!$B$43)-(B1765)&lt;=0,1,MAX(0,IF(Inputs!$B$38="pvp",15,Inputs!$B$43)-MAX(5,B1765))/(IF(Inputs!$B$38="pvp",15,Inputs!$B$43)-(B1765))))*IF(AND(ArtifactsInput!$M$42,((Inputs!$B$9+((C1746=TRUE)*(F1746-Calc!F19))+B1758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733">
        <f>IF(C1733,(H1733*N1733*IF(AND(Inputs!$B$38&lt;&gt;"pvp",Inputs!$B$43&gt;0),((Skills!G6*((R1733-1)*IF(Skills!H6&gt;0,INT(Skills!I6/Skills!H6+0.000000001),1)+IF(Skills!H6&gt;0,INT(MIN(Skills!I6,MAX(0,MAX(0,Inputs!$B$43-B1765)-((R1733-1)*(IF(Inputs!$B$38="pvp",15,MAX(0.1,Skills!D6-IF(TRUE=TRUE,Inputs!$B$32,0)))*(1-IF(AND(ArtifactsInput!$M$27,Inputs!$B$4="Chapter Hunt"),CHOOSE(ArtifactsInput!$N$27+1,20,24,28,32,36,40),0)/100)))))/Skills!H6+0.000000001),1)))/Inputs!$B$43),G1733*Q1733))*IF(Inputs!$B$38="pvp",1,(1+(Inputs!$B$21+Skills!Q6+(IF(ArtifactsInput!$M$33,CHOOSE(ArtifactsInput!$N$33+1,30,36,42,48,54,60),0))+(IF(AND(ArtifactsInput!$M$35,Inputs!$B$4&lt;&gt;"Chapter Hunt"),CHOOSE(ArtifactsInput!$N$35+1,15,18,21,24,27,30)*(1-EXP(-(0.2*B1760)*5)),0)+IF(AND(ArtifactsInput!$M$22,Inputs!$B$4&lt;&gt;"Chapter Hunt"),CHOOSE(ArtifactsInput!$N$22+1,10,12,14,16,18,20)*((0*(((0.15*B1760*5))^0/1)+1*(((0.15*B1760*5))^1/1)+2*(((0.15*B1760*5))^2/2)+3*(((0.15*B1760*5))^3/6)+4*(((0.15*B1760*5))^4/24)+5*(((0.15*B1760*5))^5/120))/((((0.15*B1760*5))^0/1)+(((0.15*B1760*5))^1/1)+(((0.15*B1760*5))^2/2)+(((0.15*B1760*5))^3/6)+(((0.15*B1760*5))^4/24)+(((0.15*B1760*5))^5/120))),0))+IF(Inputs!$B$3&gt;=54,9*(C1730=TRUE)*MIN(1,8*(1+Inputs!$B$34/100)*Q1730)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34">
      <c r="A1734">
        <f>Skills!A7</f>
        <v/>
      </c>
      <c r="B1734">
        <f>Skills!B7</f>
        <v/>
      </c>
      <c r="C1734">
        <f>Inputs!$B$3&gt;=63</f>
        <v/>
      </c>
      <c r="D1734">
        <f>IF(Skills!C7=1,60+Inputs!$B$25+Inputs!$B$29,IF(Skills!C7=2,90+Inputs!$B$26+Inputs!$B$29,IF(Skills!C7=3,120+Inputs!$B$27+Inputs!$B$29,MAX(0,(Inputs!$B$3-100)*3)+Inputs!$B$28+Inputs!$B$29)))</f>
        <v/>
      </c>
      <c r="E1734">
        <f>INDEX(FactorTable!$B$2:$Y$301, MATCH(ROUND(MIN(300,MAX(1,D1734)),0), FactorTable!$A$2:$A$301,0), Skills!M7+1)</f>
        <v/>
      </c>
      <c r="F1734">
        <f>IF(Skills!N7=TRUE,(Skills!L7/10)*(E1734/1000),Skills!L7/10)+Skills!O7</f>
        <v/>
      </c>
      <c r="G1734">
        <f>Skills!G7*IF(Skills!H7&gt;0,INT(IF(Inputs!$B$38="pvp",MIN(Skills!I7,15),Skills!I7)/Skills!H7+0.000000001),1)</f>
        <v/>
      </c>
      <c r="H1734">
        <f>1-(1-Skills!J7/100)^Skills!K7</f>
        <v/>
      </c>
      <c r="I1734" t="inlineStr">
        <is>
          <t>1</t>
        </is>
      </c>
      <c r="J1734">
        <f>((Inputs!$B$6*(1+Inputs!$B$7/100))+(((Inputs!$B$12*(1+Inputs!$B$13/100))-(Inputs!$B$12*(1+Inputs!$B$13/100)))+0.25*(Inputs!$B$14-Inputs!$B$14))*(1+Inputs!$B$7/100))*(F1734/100)</f>
        <v/>
      </c>
      <c r="K1734">
        <f>J1734*(1+((Inputs!$B$12*(1+Inputs!$B$13/100))*0.01+Inputs!$B$14*0.0025)/100)*(1+Inputs!$B$15/100)*(1+Inputs!$B$16/100)*(5000/(6000+Inputs!$B$42*(1-(100*(1-(1-(Inputs!$B$19+0)/100)*(1-CHOOSE(ArtifactsInput!$N$40+1,5,6,7,8,9,10)/100)^(ArtifactsInput!$M$40-ArtifactsInput!$M$40)))/100)))*(1+(Inputs!$B$24+((C1753=TRUE)*(F1753-Calc!F26))+B1764)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1742=TRUE,F1742,0)/100)*(1+(IF(Skills!A7="EIGHT_LEGS_EASTON",Inputs!$B$17+((C1750=TRUE)*(F1750-Calc!F23))+((C1754=TRUE)*(F1754-Calc!F27))+((IF(AND(Inputs!$B$38&lt;&gt;"pvp",Inputs!$B$43=0),1,IF(IF(Inputs!$B$38="pvp",15,Inputs!$B$43)-(B1765)&lt;=0,1,MAX(0,IF(Inputs!$B$38="pvp",15,Inputs!$B$43)-MAX(5,B1765))/(IF(Inputs!$B$38="pvp",15,Inputs!$B$43)-(B1765))))*(IF(AND(ArtifactsInput!$M$42,((Inputs!$B$9+((C1746=TRUE)*(F1746-Calc!F19))+B1758+(ArtifactsInput!$M$24-ArtifactsInput!$M$24)*CHOOSE(ArtifactsInput!$N$24+1,10,12,14,16,18,20)+IF(ArtifactsInput!$M$10,CHOOSE(ArtifactsInput!$N$10+1,15,18,21,24,27,30)*(IF(Inputs!$B$38="pvp",MIN(15,15)/15,IF(AND(Inputs!$B$38&lt;&gt;"pvp",Inputs!$B$43&gt;0),MIN(15,Inputs!$B$43)/(Inputs!$B$43),0))),0)))&gt;=100),MIN(100,((Inputs!$B$9+((C1746=TRUE)*(F1746-Calc!F19))+B1758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1765)&lt;=0,1,MAX(0,IF(Inputs!$B$38="pvp",15,Inputs!$B$43)-MAX(5,B1765))/(IF(Inputs!$B$38="pvp",15,Inputs!$B$43)-(B1765))))*IF(AND(ArtifactsInput!$M$42,((Inputs!$B$9+((C1746=TRUE)*(F1746-Calc!F19))+B1758+(ArtifactsInput!$M$24-ArtifactsInput!$M$24)*CHOOSE(ArtifactsInput!$N$24+1,10,12,14,16,18,20)+IF(ArtifactsInput!$M$10,CHOOSE(ArtifactsInput!$N$10+1,15,18,21,24,27,30)*(IF(Inputs!$B$38="pvp",MIN(15,15)/15,IF(AND(Inputs!$B$38&lt;&gt;"pvp",Inputs!$B$43&gt;0),MIN(15,Inputs!$B$43)/(Inputs!$B$43),0))),0)))&gt;=100),CHOOSE(ArtifactsInput!$N$42+1,40,48,56,64,72,80),0))))/100)*((1+(((C1744=TRUE)*F1744*5/7)+((C1751=TRUE)*(F1751-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1734)</f>
        <v/>
      </c>
      <c r="L1734">
        <f>K1734*(MIN(Inputs!$B$22+((C1749=TRUE)*(F1749-Calc!F22)),(Inputs!$B$23+0+(IF(ArtifactsInput!$M$15,CHOOSE(ArtifactsInput!$N$15+1,25,30,35,40,45,50)/100*(Inputs!$B$11-Inputs!$B$11),0))))/100+(Inputs!$B$23+0+(IF(ArtifactsInput!$M$15,CHOOSE(ArtifactsInput!$N$15+1,25,30,35,40,45,50)/100*(Inputs!$B$11-Inputs!$B$11),0)))/100)/2</f>
        <v/>
      </c>
      <c r="M1734">
        <f>L1734*(1+(Inputs!$B$10+((C1752=TRUE)*(F1752-Calc!F25))+B1763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34">
        <f>L1734*(1-MIN((Inputs!$B$9+((C1746=TRUE)*(F1746-Calc!F19))+B1758+(ArtifactsInput!$M$24-ArtifactsInput!$M$24)*CHOOSE(ArtifactsInput!$N$24+1,10,12,14,16,18,20)+(IF(AND(Inputs!$B$38&lt;&gt;"pvp",Inputs!$B$43=0),1,IF(IF(Inputs!$B$38="pvp",15,Inputs!$B$43)-(B1765)&lt;=0,1,MAX(0,IF(Inputs!$B$38="pvp",15,Inputs!$B$43)-MAX(5,B1765))/(IF(Inputs!$B$38="pvp",15,Inputs!$B$43)-(B1765))))*IF(AND(ArtifactsInput!$M$42,((Inputs!$B$9+((C1746=TRUE)*(F1746-Calc!F19))+B1758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1734*(MIN((Inputs!$B$9+((C1746=TRUE)*(F1746-Calc!F19))+B1758+(ArtifactsInput!$M$24-ArtifactsInput!$M$24)*CHOOSE(ArtifactsInput!$N$24+1,10,12,14,16,18,20)+(IF(AND(Inputs!$B$38&lt;&gt;"pvp",Inputs!$B$43=0),1,IF(IF(Inputs!$B$38="pvp",15,Inputs!$B$43)-(B1765)&lt;=0,1,MAX(0,IF(Inputs!$B$38="pvp",15,Inputs!$B$43)-MAX(5,B1765))/(IF(Inputs!$B$38="pvp",15,Inputs!$B$43)-(B1765))))*IF(AND(ArtifactsInput!$M$42,((Inputs!$B$9+((C1746=TRUE)*(F1746-Calc!F19))+B1758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34">
        <f>(1-Summary!$B$11)*T1734+Summary!$B$11*V1734</f>
        <v/>
      </c>
      <c r="P1734">
        <f>IF(B1768=0,0,O1734/B1768)</f>
        <v/>
      </c>
      <c r="Q1734">
        <f>IFERROR(1/(IF(Inputs!$B$38="pvp",15,MAX(0.1,Skills!D7-IF(TRUE=TRUE,Inputs!$B$32,0)))*(1-IF(AND(ArtifactsInput!$M$27,Inputs!$B$4="Chapter Hunt"),CHOOSE(ArtifactsInput!$N$27+1,20,24,28,32,36,40),0)/100)),0)</f>
        <v/>
      </c>
      <c r="R1734">
        <f>IF(AND(Inputs!$B$38&lt;&gt;"pvp",Inputs!$B$43&gt;0),IF(MAX(0,Inputs!$B$43-B1765)&lt;=0,0,(INT(MAX(0,Inputs!$B$43-B1765)/(IF(Inputs!$B$38="pvp",15,MAX(0.1,Skills!D7-IF(TRUE=TRUE,Inputs!$B$32,0)))*(1-IF(AND(ArtifactsInput!$M$27,Inputs!$B$4="Chapter Hunt"),CHOOSE(ArtifactsInput!$N$27+1,20,24,28,32,36,40),0)/100)))+1)),0)</f>
        <v/>
      </c>
      <c r="S1734">
        <f>IFERROR(O1734/N1734,0)</f>
        <v/>
      </c>
      <c r="T1734">
        <f>IF(C1734,(H1734*N1734*IF(AND(Inputs!$B$38&lt;&gt;"pvp",Inputs!$B$43&gt;0),((Skills!G7*((R1734-1)*IF(Skills!H7&gt;0,INT(Skills!I7/Skills!H7+0.000000001),1)+IF(Skills!H7&gt;0,INT(MIN(Skills!I7,MAX(0,MAX(0,Inputs!$B$43-B1765)-((R1734-1)*(IF(Inputs!$B$38="pvp",15,MAX(0.1,Skills!D7-IF(TRUE=TRUE,Inputs!$B$32,0)))*(1-IF(AND(ArtifactsInput!$M$27,Inputs!$B$4="Chapter Hunt"),CHOOSE(ArtifactsInput!$N$27+1,20,24,28,32,36,40),0)/100)))))/Skills!H7+0.000000001),1)))/Inputs!$B$43),G1734*Q1734))*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Hunt"),CHOOSE(ArtifactsInput!$N$35+1,15,18,21,24,27,30)*(1-EXP(-(0.2*B1760)*5)),0)+IF(AND(ArtifactsInput!$M$22,Inputs!$B$4&lt;&gt;"Chapter Hunt"),CHOOSE(ArtifactsInput!$N$22+1,10,12,14,16,18,20)*((0*(((0.15*B1760*5))^0/1)+1*(((0.15*B1760*5))^1/1)+2*(((0.15*B1760*5))^2/2)+3*(((0.15*B1760*5))^3/6)+4*(((0.15*B1760*5))^4/24)+5*(((0.15*B1760*5))^5/120))/((((0.15*B1760*5))^0/1)+(((0.15*B1760*5))^1/1)+(((0.15*B1760*5))^2/2)+(((0.15*B1760*5))^3/6)+(((0.15*B1760*5))^4/24)+(((0.15*B1760*5))^5/120))),0))+IF(Inputs!$B$3&gt;=54,9*(C1730=TRUE)*MIN(1,8*(1+Inputs!$B$34/100)*Q1730)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1734*(1-MIN(100,(Inputs!$B$9+((C1746=TRUE)*(F1746-Calc!F19))+B1758+(ArtifactsInput!$M$24-ArtifactsInput!$M$24)*CHOOSE(ArtifactsInput!$N$24+1,10,12,14,16,18,20)+(IF(AND(Inputs!$B$38&lt;&gt;"pvp",Inputs!$B$43=0),1,IF(IF(Inputs!$B$38="pvp",15,Inputs!$B$43)-(B1765)&lt;=0,1,MAX(0,IF(Inputs!$B$38="pvp",15,Inputs!$B$43)-MAX(5,B1765))/(IF(Inputs!$B$38="pvp",15,Inputs!$B$43)-(B1765))))*IF(AND(ArtifactsInput!$M$42,((Inputs!$B$9+((C1746=TRUE)*(F1746-Calc!F19))+B1758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1734*(MIN(100,(Inputs!$B$9+((C1746=TRUE)*(F1746-Calc!F19))+B1758+(ArtifactsInput!$M$24-ArtifactsInput!$M$24)*CHOOSE(ArtifactsInput!$N$24+1,10,12,14,16,18,20)+(IF(AND(Inputs!$B$38&lt;&gt;"pvp",Inputs!$B$43=0),1,IF(IF(Inputs!$B$38="pvp",15,Inputs!$B$43)-(B1765)&lt;=0,1,MAX(0,IF(Inputs!$B$38="pvp",15,Inputs!$B$43)-MAX(5,B1765))/(IF(Inputs!$B$38="pvp",15,Inputs!$B$43)-(B1765))))*IF(AND(ArtifactsInput!$M$42,((Inputs!$B$9+((C1746=TRUE)*(F1746-Calc!F19))+B1758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1734*(1-MIN(100,(Inputs!$B$9+((C1746=TRUE)*(F1746-Calc!F19))+B1758+(ArtifactsInput!$M$24-ArtifactsInput!$M$24)*CHOOSE(ArtifactsInput!$N$24+1,10,12,14,16,18,20)+(IF(AND(Inputs!$B$38&lt;&gt;"pvp",Inputs!$B$43=0),1,IF(IF(Inputs!$B$38="pvp",15,Inputs!$B$43)-(B1765)&lt;=0,1,MAX(0,IF(Inputs!$B$38="pvp",15,Inputs!$B$43)-MAX(5,B1765))/(IF(Inputs!$B$38="pvp",15,Inputs!$B$43)-(B1765))))*IF(AND(ArtifactsInput!$M$42,((Inputs!$B$9+((C1746=TRUE)*(F1746-Calc!F19))+B1758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1734*(MIN(100,(Inputs!$B$9+((C1746=TRUE)*(F1746-Calc!F19))+B1758+(ArtifactsInput!$M$24-ArtifactsInput!$M$24)*CHOOSE(ArtifactsInput!$N$24+1,10,12,14,16,18,20)+(IF(AND(Inputs!$B$38&lt;&gt;"pvp",Inputs!$B$43=0),1,IF(IF(Inputs!$B$38="pvp",15,Inputs!$B$43)-(B1765)&lt;=0,1,MAX(0,IF(Inputs!$B$38="pvp",15,Inputs!$B$43)-MAX(5,B1765))/(IF(Inputs!$B$38="pvp",15,Inputs!$B$43)-(B1765))))*IF(AND(ArtifactsInput!$M$42,((Inputs!$B$9+((C1746=TRUE)*(F1746-Calc!F19))+B1758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734">
        <f>IF(C1734,(H1734*N1734*IF(AND(Inputs!$B$38&lt;&gt;"pvp",Inputs!$B$43&gt;0),((Skills!G7*((R1734-1)*IF(Skills!H7&gt;0,INT(Skills!I7/Skills!H7+0.000000001),1)+IF(Skills!H7&gt;0,INT(MIN(Skills!I7,MAX(0,MAX(0,Inputs!$B$43-B1765)-((R1734-1)*(IF(Inputs!$B$38="pvp",15,MAX(0.1,Skills!D7-IF(TRUE=TRUE,Inputs!$B$32,0)))*(1-IF(AND(ArtifactsInput!$M$27,Inputs!$B$4="Chapter Hunt"),CHOOSE(ArtifactsInput!$N$27+1,20,24,28,32,36,40),0)/100)))))/Skills!H7+0.000000001),1)))/Inputs!$B$43),G1734*Q1734))*IF(Inputs!$B$38="pvp",1,(1+(Inputs!$B$21+Skills!Q7+(IF(ArtifactsInput!$M$33,CHOOSE(ArtifactsInput!$N$33+1,30,36,42,48,54,60),0))+(IF(AND(ArtifactsInput!$M$35,Inputs!$B$4&lt;&gt;"Chapter Hunt"),CHOOSE(ArtifactsInput!$N$35+1,15,18,21,24,27,30)*(1-EXP(-(0.2*B1760)*5)),0)+IF(AND(ArtifactsInput!$M$22,Inputs!$B$4&lt;&gt;"Chapter Hunt"),CHOOSE(ArtifactsInput!$N$22+1,10,12,14,16,18,20)*((0*(((0.15*B1760*5))^0/1)+1*(((0.15*B1760*5))^1/1)+2*(((0.15*B1760*5))^2/2)+3*(((0.15*B1760*5))^3/6)+4*(((0.15*B1760*5))^4/24)+5*(((0.15*B1760*5))^5/120))/((((0.15*B1760*5))^0/1)+(((0.15*B1760*5))^1/1)+(((0.15*B1760*5))^2/2)+(((0.15*B1760*5))^3/6)+(((0.15*B1760*5))^4/24)+(((0.15*B1760*5))^5/120))),0))+IF(Inputs!$B$3&gt;=54,9*(C1730=TRUE)*MIN(1,8*(1+Inputs!$B$34/100)*Q1730)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35">
      <c r="A1735">
        <f>Skills!A8</f>
        <v/>
      </c>
      <c r="B1735">
        <f>Skills!B8</f>
        <v/>
      </c>
      <c r="C1735">
        <f>Inputs!$B$3&gt;=103</f>
        <v/>
      </c>
      <c r="D1735">
        <f>IF(Skills!C8=1,60+Inputs!$B$25+Inputs!$B$29,IF(Skills!C8=2,90+Inputs!$B$26+Inputs!$B$29,IF(Skills!C8=3,120+Inputs!$B$27+Inputs!$B$29,MAX(0,(Inputs!$B$3-100)*3)+Inputs!$B$28+Inputs!$B$29)))</f>
        <v/>
      </c>
      <c r="E1735">
        <f>INDEX(FactorTable!$B$2:$Y$301, MATCH(ROUND(MIN(300,MAX(1,D1735)),0), FactorTable!$A$2:$A$301,0), Skills!M8+1)</f>
        <v/>
      </c>
      <c r="F1735">
        <f>IF(Skills!N8=TRUE,(Skills!L8/10)*(E1735/1000),Skills!L8/10)+Skills!O8</f>
        <v/>
      </c>
      <c r="G1735">
        <f>Skills!G8*IF(Skills!H8&gt;0,INT(IF(Inputs!$B$38="pvp",MIN(Skills!I8,15),Skills!I8)/Skills!H8+0.000000001),1)</f>
        <v/>
      </c>
      <c r="H1735">
        <f>1-(1-Skills!J8/100)^Skills!K8</f>
        <v/>
      </c>
      <c r="I1735" t="inlineStr">
        <is>
          <t>1</t>
        </is>
      </c>
      <c r="J1735">
        <f>((Inputs!$B$6*(1+Inputs!$B$7/100))+(((Inputs!$B$12*(1+Inputs!$B$13/100))-(Inputs!$B$12*(1+Inputs!$B$13/100)))+0.25*(Inputs!$B$14-Inputs!$B$14))*(1+Inputs!$B$7/100))*(F1735/100)</f>
        <v/>
      </c>
      <c r="K1735">
        <f>J1735*(1+((Inputs!$B$12*(1+Inputs!$B$13/100))*0.01+Inputs!$B$14*0.0025)/100)*(1+Inputs!$B$15/100)*(1+Inputs!$B$16/100)*(5000/(6000+Inputs!$B$42*(1-(100*(1-(1-(Inputs!$B$19+0)/100)*(1-CHOOSE(ArtifactsInput!$N$40+1,5,6,7,8,9,10)/100)^(ArtifactsInput!$M$40-ArtifactsInput!$M$40)))/100)))*(1+(Inputs!$B$24+((C1753=TRUE)*(F1753-Calc!F26))+B1764)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IGHT_LEGS_EASTON",Inputs!$B$17+((C1750=TRUE)*(F1750-Calc!F23))+((C1754=TRUE)*(F1754-Calc!F27))+((IF(AND(Inputs!$B$38&lt;&gt;"pvp",Inputs!$B$43=0),1,IF(IF(Inputs!$B$38="pvp",15,Inputs!$B$43)-(B1765)&lt;=0,1,MAX(0,IF(Inputs!$B$38="pvp",15,Inputs!$B$43)-MAX(5,B1765))/(IF(Inputs!$B$38="pvp",15,Inputs!$B$43)-(B1765))))*(IF(AND(ArtifactsInput!$M$42,((Inputs!$B$9+((C1746=TRUE)*(F1746-Calc!F19))+B1758+(ArtifactsInput!$M$24-ArtifactsInput!$M$24)*CHOOSE(ArtifactsInput!$N$24+1,10,12,14,16,18,20)+IF(ArtifactsInput!$M$10,CHOOSE(ArtifactsInput!$N$10+1,15,18,21,24,27,30)*(IF(Inputs!$B$38="pvp",MIN(15,15)/15,IF(AND(Inputs!$B$38&lt;&gt;"pvp",Inputs!$B$43&gt;0),MIN(15,Inputs!$B$43)/(Inputs!$B$43),0))),0)))&gt;=100),MIN(100,((Inputs!$B$9+((C1746=TRUE)*(F1746-Calc!F19))+B1758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1765)&lt;=0,1,MAX(0,IF(Inputs!$B$38="pvp",15,Inputs!$B$43)-MAX(5,B1765))/(IF(Inputs!$B$38="pvp",15,Inputs!$B$43)-(B1765))))*IF(AND(ArtifactsInput!$M$42,((Inputs!$B$9+((C1746=TRUE)*(F1746-Calc!F19))+B1758+(ArtifactsInput!$M$24-ArtifactsInput!$M$24)*CHOOSE(ArtifactsInput!$N$24+1,10,12,14,16,18,20)+IF(ArtifactsInput!$M$10,CHOOSE(ArtifactsInput!$N$10+1,15,18,21,24,27,30)*(IF(Inputs!$B$38="pvp",MIN(15,15)/15,IF(AND(Inputs!$B$38&lt;&gt;"pvp",Inputs!$B$43&gt;0),MIN(15,Inputs!$B$43)/(Inputs!$B$43),0))),0)))&gt;=100),CHOOSE(ArtifactsInput!$N$42+1,40,48,56,64,72,80),0))))/100)*((1+(((C1744=TRUE)*F1744*5/7)+((C1751=TRUE)*(F1751-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1735)</f>
        <v/>
      </c>
      <c r="L1735">
        <f>K1735*(MIN(Inputs!$B$22+((C1749=TRUE)*(F1749-Calc!F22)),(Inputs!$B$23+0+(IF(ArtifactsInput!$M$15,CHOOSE(ArtifactsInput!$N$15+1,25,30,35,40,45,50)/100*(Inputs!$B$11-Inputs!$B$11),0))))/100+(Inputs!$B$23+0+(IF(ArtifactsInput!$M$15,CHOOSE(ArtifactsInput!$N$15+1,25,30,35,40,45,50)/100*(Inputs!$B$11-Inputs!$B$11),0)))/100)/2</f>
        <v/>
      </c>
      <c r="M1735">
        <f>L1735*(1+(Inputs!$B$10+((C1752=TRUE)*(F1752-Calc!F25))+B1763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35">
        <f>L1735*(1-MIN((Inputs!$B$9+((C1746=TRUE)*(F1746-Calc!F19))+B1758+(ArtifactsInput!$M$24-ArtifactsInput!$M$24)*CHOOSE(ArtifactsInput!$N$24+1,10,12,14,16,18,20)+(IF(AND(Inputs!$B$38&lt;&gt;"pvp",Inputs!$B$43=0),1,IF(IF(Inputs!$B$38="pvp",15,Inputs!$B$43)-(B1765)&lt;=0,1,MAX(0,IF(Inputs!$B$38="pvp",15,Inputs!$B$43)-MAX(5,B1765))/(IF(Inputs!$B$38="pvp",15,Inputs!$B$43)-(B1765))))*IF(AND(ArtifactsInput!$M$42,((Inputs!$B$9+((C1746=TRUE)*(F1746-Calc!F19))+B1758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1735*(MIN((Inputs!$B$9+((C1746=TRUE)*(F1746-Calc!F19))+B1758+(ArtifactsInput!$M$24-ArtifactsInput!$M$24)*CHOOSE(ArtifactsInput!$N$24+1,10,12,14,16,18,20)+(IF(AND(Inputs!$B$38&lt;&gt;"pvp",Inputs!$B$43=0),1,IF(IF(Inputs!$B$38="pvp",15,Inputs!$B$43)-(B1765)&lt;=0,1,MAX(0,IF(Inputs!$B$38="pvp",15,Inputs!$B$43)-MAX(5,B1765))/(IF(Inputs!$B$38="pvp",15,Inputs!$B$43)-(B1765))))*IF(AND(ArtifactsInput!$M$42,((Inputs!$B$9+((C1746=TRUE)*(F1746-Calc!F19))+B1758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35">
        <f>(1-Summary!$B$11)*T1735+Summary!$B$11*V1735</f>
        <v/>
      </c>
      <c r="P1735">
        <f>IF(B1768=0,0,O1735/B1768)</f>
        <v/>
      </c>
      <c r="Q1735">
        <f>IFERROR(1/((IF(Inputs!$B$38="pvp",15,MAX(0.1,Skills!D8-IF(TRUE=TRUE,Inputs!$B$32,0)))*(1-IF(AND(ArtifactsInput!$M$27,Inputs!$B$4="Chapter Hunt"),CHOOSE(ArtifactsInput!$N$27+1,20,24,28,32,36,40),0)/100))/B1769),0)</f>
        <v/>
      </c>
      <c r="R1735">
        <f>IF(AND(Inputs!$B$38&lt;&gt;"pvp",Inputs!$B$43&gt;0),IF(MAX(0,Inputs!$B$43-B1765)&lt;=0,0,(INT(MAX(0,Inputs!$B$43-B1765)/((IF(Inputs!$B$38="pvp",15,MAX(0.1,Skills!D8-IF(TRUE=TRUE,Inputs!$B$32,0)))*(1-IF(AND(ArtifactsInput!$M$27,Inputs!$B$4="Chapter Hunt"),CHOOSE(ArtifactsInput!$N$27+1,20,24,28,32,36,40),0)/100))/B1769))+1)),0)</f>
        <v/>
      </c>
      <c r="S1735">
        <f>IFERROR(O1735/N1735,0)</f>
        <v/>
      </c>
      <c r="T1735">
        <f>IF(C1735,(H1735*N1735*IF(AND(Inputs!$B$38&lt;&gt;"pvp",Inputs!$B$43&gt;0),((Skills!G8*((R1735-1)*IF(Skills!H8&gt;0,INT(Skills!I8/Skills!H8+0.000000001),1)+IF(Skills!H8&gt;0,INT(MIN(Skills!I8,MAX(0,MAX(0,Inputs!$B$43-B1765)-((R1735-1)*((IF(Inputs!$B$38="pvp",15,MAX(0.1,Skills!D8-IF(TRUE=TRUE,Inputs!$B$32,0)))*(1-IF(AND(ArtifactsInput!$M$27,Inputs!$B$4="Chapter Hunt"),CHOOSE(ArtifactsInput!$N$27+1,20,24,28,32,36,40),0)/100))/B1769))))/Skills!H8+0.000000001),1)))/Inputs!$B$43),G1735*Q1735))*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Hunt"),CHOOSE(ArtifactsInput!$N$35+1,15,18,21,24,27,30)*(1-EXP(-(0.2*B1760)*5)),0)+IF(AND(ArtifactsInput!$M$22,Inputs!$B$4&lt;&gt;"Chapter Hunt"),CHOOSE(ArtifactsInput!$N$22+1,10,12,14,16,18,20)*((0*(((0.15*B1760*5))^0/1)+1*(((0.15*B1760*5))^1/1)+2*(((0.15*B1760*5))^2/2)+3*(((0.15*B1760*5))^3/6)+4*(((0.15*B1760*5))^4/24)+5*(((0.15*B1760*5))^5/120))/((((0.15*B1760*5))^0/1)+(((0.15*B1760*5))^1/1)+(((0.15*B1760*5))^2/2)+(((0.15*B1760*5))^3/6)+(((0.15*B1760*5))^4/24)+(((0.15*B1760*5))^5/120))),0))+IF(Inputs!$B$3&gt;=54,9*(C1730=TRUE)*MIN(1,8*(1+Inputs!$B$34/100)*Q1730)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1735*(1-MIN(100,(Inputs!$B$9+((C1746=TRUE)*(F1746-Calc!F19))+B1758+(ArtifactsInput!$M$24-ArtifactsInput!$M$24)*CHOOSE(ArtifactsInput!$N$24+1,10,12,14,16,18,20)+(IF(AND(Inputs!$B$38&lt;&gt;"pvp",Inputs!$B$43=0),1,IF(IF(Inputs!$B$38="pvp",15,Inputs!$B$43)-(B1765)&lt;=0,1,MAX(0,IF(Inputs!$B$38="pvp",15,Inputs!$B$43)-MAX(5,B1765))/(IF(Inputs!$B$38="pvp",15,Inputs!$B$43)-(B1765))))*IF(AND(ArtifactsInput!$M$42,((Inputs!$B$9+((C1746=TRUE)*(F1746-Calc!F19))+B1758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1735*(MIN(100,(Inputs!$B$9+((C1746=TRUE)*(F1746-Calc!F19))+B1758+(ArtifactsInput!$M$24-ArtifactsInput!$M$24)*CHOOSE(ArtifactsInput!$N$24+1,10,12,14,16,18,20)+(IF(AND(Inputs!$B$38&lt;&gt;"pvp",Inputs!$B$43=0),1,IF(IF(Inputs!$B$38="pvp",15,Inputs!$B$43)-(B1765)&lt;=0,1,MAX(0,IF(Inputs!$B$38="pvp",15,Inputs!$B$43)-MAX(5,B1765))/(IF(Inputs!$B$38="pvp",15,Inputs!$B$43)-(B1765))))*IF(AND(ArtifactsInput!$M$42,((Inputs!$B$9+((C1746=TRUE)*(F1746-Calc!F19))+B1758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1735*(1-MIN(100,(Inputs!$B$9+((C1746=TRUE)*(F1746-Calc!F19))+B1758+(ArtifactsInput!$M$24-ArtifactsInput!$M$24)*CHOOSE(ArtifactsInput!$N$24+1,10,12,14,16,18,20)+(IF(AND(Inputs!$B$38&lt;&gt;"pvp",Inputs!$B$43=0),1,IF(IF(Inputs!$B$38="pvp",15,Inputs!$B$43)-(B1765)&lt;=0,1,MAX(0,IF(Inputs!$B$38="pvp",15,Inputs!$B$43)-MAX(5,B1765))/(IF(Inputs!$B$38="pvp",15,Inputs!$B$43)-(B1765))))*IF(AND(ArtifactsInput!$M$42,((Inputs!$B$9+((C1746=TRUE)*(F1746-Calc!F19))+B1758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1735*(MIN(100,(Inputs!$B$9+((C1746=TRUE)*(F1746-Calc!F19))+B1758+(ArtifactsInput!$M$24-ArtifactsInput!$M$24)*CHOOSE(ArtifactsInput!$N$24+1,10,12,14,16,18,20)+(IF(AND(Inputs!$B$38&lt;&gt;"pvp",Inputs!$B$43=0),1,IF(IF(Inputs!$B$38="pvp",15,Inputs!$B$43)-(B1765)&lt;=0,1,MAX(0,IF(Inputs!$B$38="pvp",15,Inputs!$B$43)-MAX(5,B1765))/(IF(Inputs!$B$38="pvp",15,Inputs!$B$43)-(B1765))))*IF(AND(ArtifactsInput!$M$42,((Inputs!$B$9+((C1746=TRUE)*(F1746-Calc!F19))+B1758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735">
        <f>IF(C1735,(H1735*N1735*IF(AND(Inputs!$B$38&lt;&gt;"pvp",Inputs!$B$43&gt;0),((Skills!G8*((R1735-1)*IF(Skills!H8&gt;0,INT(Skills!I8/Skills!H8+0.000000001),1)+IF(Skills!H8&gt;0,INT(MIN(Skills!I8,MAX(0,MAX(0,Inputs!$B$43-B1765)-((R1735-1)*((IF(Inputs!$B$38="pvp",15,MAX(0.1,Skills!D8-IF(TRUE=TRUE,Inputs!$B$32,0)))*(1-IF(AND(ArtifactsInput!$M$27,Inputs!$B$4="Chapter Hunt"),CHOOSE(ArtifactsInput!$N$27+1,20,24,28,32,36,40),0)/100))/B1769))))/Skills!H8+0.000000001),1)))/Inputs!$B$43),G1735*Q1735))*IF(Inputs!$B$38="pvp",1,(1+(Inputs!$B$21+Skills!Q8+(IF(ArtifactsInput!$M$33,CHOOSE(ArtifactsInput!$N$33+1,30,36,42,48,54,60),0))+(IF(AND(ArtifactsInput!$M$35,Inputs!$B$4&lt;&gt;"Chapter Hunt"),CHOOSE(ArtifactsInput!$N$35+1,15,18,21,24,27,30)*(1-EXP(-(0.2*B1760)*5)),0)+IF(AND(ArtifactsInput!$M$22,Inputs!$B$4&lt;&gt;"Chapter Hunt"),CHOOSE(ArtifactsInput!$N$22+1,10,12,14,16,18,20)*((0*(((0.15*B1760*5))^0/1)+1*(((0.15*B1760*5))^1/1)+2*(((0.15*B1760*5))^2/2)+3*(((0.15*B1760*5))^3/6)+4*(((0.15*B1760*5))^4/24)+5*(((0.15*B1760*5))^5/120))/((((0.15*B1760*5))^0/1)+(((0.15*B1760*5))^1/1)+(((0.15*B1760*5))^2/2)+(((0.15*B1760*5))^3/6)+(((0.15*B1760*5))^4/24)+(((0.15*B1760*5))^5/120))),0))+IF(Inputs!$B$3&gt;=54,9*(C1730=TRUE)*MIN(1,8*(1+Inputs!$B$34/100)*Q1730)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36">
      <c r="A1736">
        <f>Skills!A9</f>
        <v/>
      </c>
      <c r="B1736">
        <f>Skills!B9</f>
        <v/>
      </c>
      <c r="C1736">
        <f>Inputs!$B$3&gt;=105</f>
        <v/>
      </c>
      <c r="D1736">
        <f>IF(Skills!C9=1,60+Inputs!$B$25+Inputs!$B$29,IF(Skills!C9=2,90+Inputs!$B$26+Inputs!$B$29,IF(Skills!C9=3,120+Inputs!$B$27+Inputs!$B$29,MAX(0,(Inputs!$B$3-100)*3)+Inputs!$B$28+Inputs!$B$29)))</f>
        <v/>
      </c>
      <c r="E1736">
        <f>INDEX(FactorTable!$B$2:$Y$301, MATCH(ROUND(MIN(300,MAX(1,D1736)),0), FactorTable!$A$2:$A$301,0), Skills!M9+1)</f>
        <v/>
      </c>
      <c r="F1736">
        <f>IF(Skills!N9=TRUE,(Skills!L9/10)*(E1736/1000),Skills!L9/10)+Skills!O9</f>
        <v/>
      </c>
      <c r="G1736">
        <f>Skills!G9*IF(Skills!H9&gt;0,INT(IF(Inputs!$B$38="pvp",MIN(Skills!I9,15),Skills!I9)/Skills!H9+0.000000001),1)</f>
        <v/>
      </c>
      <c r="H1736">
        <f>1-(1-Skills!J9/100)^Skills!K9</f>
        <v/>
      </c>
      <c r="I1736" t="inlineStr">
        <is>
          <t>1</t>
        </is>
      </c>
      <c r="J1736">
        <f>((Inputs!$B$6*(1+Inputs!$B$7/100))+(((Inputs!$B$12*(1+Inputs!$B$13/100))-(Inputs!$B$12*(1+Inputs!$B$13/100)))+0.25*(Inputs!$B$14-Inputs!$B$14))*(1+Inputs!$B$7/100))*(F1736/100)</f>
        <v/>
      </c>
      <c r="K1736">
        <f>J1736*(1+((Inputs!$B$12*(1+Inputs!$B$13/100))*0.01+Inputs!$B$14*0.0025)/100)*(1+Inputs!$B$15/100)*(1+Inputs!$B$16/100)*(5000/(6000+Inputs!$B$42*(1-(100*(1-(1-(Inputs!$B$19+0)/100)*(1-CHOOSE(ArtifactsInput!$N$40+1,5,6,7,8,9,10)/100)^(ArtifactsInput!$M$40-ArtifactsInput!$M$40)))/100)))*(1+(Inputs!$B$24+((C1753=TRUE)*(F1753-Calc!F26))+B1764)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IGHT_LEGS_EASTON",Inputs!$B$17+((C1750=TRUE)*(F1750-Calc!F23))+((C1754=TRUE)*(F1754-Calc!F27))+((IF(AND(Inputs!$B$38&lt;&gt;"pvp",Inputs!$B$43=0),1,IF(IF(Inputs!$B$38="pvp",15,Inputs!$B$43)-(B1765)&lt;=0,1,MAX(0,IF(Inputs!$B$38="pvp",15,Inputs!$B$43)-MAX(5,B1765))/(IF(Inputs!$B$38="pvp",15,Inputs!$B$43)-(B1765))))*(IF(AND(ArtifactsInput!$M$42,((Inputs!$B$9+((C1746=TRUE)*(F1746-Calc!F19))+B1758+(ArtifactsInput!$M$24-ArtifactsInput!$M$24)*CHOOSE(ArtifactsInput!$N$24+1,10,12,14,16,18,20)+IF(ArtifactsInput!$M$10,CHOOSE(ArtifactsInput!$N$10+1,15,18,21,24,27,30)*(IF(Inputs!$B$38="pvp",MIN(15,15)/15,IF(AND(Inputs!$B$38&lt;&gt;"pvp",Inputs!$B$43&gt;0),MIN(15,Inputs!$B$43)/(Inputs!$B$43),0))),0)))&gt;=100),MIN(100,((Inputs!$B$9+((C1746=TRUE)*(F1746-Calc!F19))+B1758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1765)&lt;=0,1,MAX(0,IF(Inputs!$B$38="pvp",15,Inputs!$B$43)-MAX(5,B1765))/(IF(Inputs!$B$38="pvp",15,Inputs!$B$43)-(B1765))))*IF(AND(ArtifactsInput!$M$42,((Inputs!$B$9+((C1746=TRUE)*(F1746-Calc!F19))+B1758+(ArtifactsInput!$M$24-ArtifactsInput!$M$24)*CHOOSE(ArtifactsInput!$N$24+1,10,12,14,16,18,20)+IF(ArtifactsInput!$M$10,CHOOSE(ArtifactsInput!$N$10+1,15,18,21,24,27,30)*(IF(Inputs!$B$38="pvp",MIN(15,15)/15,IF(AND(Inputs!$B$38&lt;&gt;"pvp",Inputs!$B$43&gt;0),MIN(15,Inputs!$B$43)/(Inputs!$B$43),0))),0)))&gt;=100),CHOOSE(ArtifactsInput!$N$42+1,40,48,56,64,72,80),0))))/100)*((1+(((C1744=TRUE)*F1744*5/7)+((C1751=TRUE)*(F1751-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1736)</f>
        <v/>
      </c>
      <c r="L1736">
        <f>K1736*(MIN(Inputs!$B$22+((C1749=TRUE)*(F1749-Calc!F22)),(Inputs!$B$23+0+(IF(ArtifactsInput!$M$15,CHOOSE(ArtifactsInput!$N$15+1,25,30,35,40,45,50)/100*(Inputs!$B$11-Inputs!$B$11),0))))/100+(Inputs!$B$23+0+(IF(ArtifactsInput!$M$15,CHOOSE(ArtifactsInput!$N$15+1,25,30,35,40,45,50)/100*(Inputs!$B$11-Inputs!$B$11),0)))/100)/2</f>
        <v/>
      </c>
      <c r="M1736">
        <f>L1736*(1+(Inputs!$B$10+((C1752=TRUE)*(F1752-Calc!F25))+B1763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36">
        <f>L1736*(1-MIN((Inputs!$B$9+((C1746=TRUE)*(F1746-Calc!F19))+B1758+(ArtifactsInput!$M$24-ArtifactsInput!$M$24)*CHOOSE(ArtifactsInput!$N$24+1,10,12,14,16,18,20)+(IF(AND(Inputs!$B$38&lt;&gt;"pvp",Inputs!$B$43=0),1,IF(IF(Inputs!$B$38="pvp",15,Inputs!$B$43)-(B1765)&lt;=0,1,MAX(0,IF(Inputs!$B$38="pvp",15,Inputs!$B$43)-MAX(5,B1765))/(IF(Inputs!$B$38="pvp",15,Inputs!$B$43)-(B1765))))*IF(AND(ArtifactsInput!$M$42,((Inputs!$B$9+((C1746=TRUE)*(F1746-Calc!F19))+B1758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1736*(MIN((Inputs!$B$9+((C1746=TRUE)*(F1746-Calc!F19))+B1758+(ArtifactsInput!$M$24-ArtifactsInput!$M$24)*CHOOSE(ArtifactsInput!$N$24+1,10,12,14,16,18,20)+(IF(AND(Inputs!$B$38&lt;&gt;"pvp",Inputs!$B$43=0),1,IF(IF(Inputs!$B$38="pvp",15,Inputs!$B$43)-(B1765)&lt;=0,1,MAX(0,IF(Inputs!$B$38="pvp",15,Inputs!$B$43)-MAX(5,B1765))/(IF(Inputs!$B$38="pvp",15,Inputs!$B$43)-(B1765))))*IF(AND(ArtifactsInput!$M$42,((Inputs!$B$9+((C1746=TRUE)*(F1746-Calc!F19))+B1758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36">
        <f>(1-Summary!$B$11)*T1736+Summary!$B$11*V1736</f>
        <v/>
      </c>
      <c r="P1736">
        <f>IF(B1768=0,0,O1736/B1768)</f>
        <v/>
      </c>
      <c r="Q1736">
        <f>IFERROR(1/(IF(Inputs!$B$38="pvp",15,MAX(0.1,Skills!D9-IF(TRUE=TRUE,Inputs!$B$32,0)))*(1-IF(AND(ArtifactsInput!$M$27,Inputs!$B$4="Chapter Hunt"),CHOOSE(ArtifactsInput!$N$27+1,20,24,28,32,36,40),0)/100)),0)</f>
        <v/>
      </c>
      <c r="R1736">
        <f>IF(AND(Inputs!$B$38&lt;&gt;"pvp",Inputs!$B$43&gt;0),IF(MAX(0,Inputs!$B$43-B1765)&lt;=0,0,(INT(MAX(0,Inputs!$B$43-B1765)/(IF(Inputs!$B$38="pvp",15,MAX(0.1,Skills!D9-IF(TRUE=TRUE,Inputs!$B$32,0)))*(1-IF(AND(ArtifactsInput!$M$27,Inputs!$B$4="Chapter Hunt"),CHOOSE(ArtifactsInput!$N$27+1,20,24,28,32,36,40),0)/100)))+1)),0)</f>
        <v/>
      </c>
      <c r="S1736">
        <f>IFERROR(O1736/N1736,0)</f>
        <v/>
      </c>
      <c r="T1736">
        <f>IF(C1736,(H1736*N1736*IF(AND(Inputs!$B$38&lt;&gt;"pvp",Inputs!$B$43&gt;0),((Skills!G9*((R1736-1)*IF(Skills!H9&gt;0,INT(Skills!I9/Skills!H9+0.000000001),1)+IF(Skills!H9&gt;0,INT(MIN(Skills!I9,MAX(0,MAX(0,Inputs!$B$43-B1765)-((R1736-1)*(IF(Inputs!$B$38="pvp",15,MAX(0.1,Skills!D9-IF(TRUE=TRUE,Inputs!$B$32,0)))*(1-IF(AND(ArtifactsInput!$M$27,Inputs!$B$4="Chapter Hunt"),CHOOSE(ArtifactsInput!$N$27+1,20,24,28,32,36,40),0)/100)))))/Skills!H9+0.000000001),1)))/Inputs!$B$43),G1736*Q1736))*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Hunt"),CHOOSE(ArtifactsInput!$N$35+1,15,18,21,24,27,30)*(1-EXP(-(0.2*B1760)*5)),0)+IF(AND(ArtifactsInput!$M$22,Inputs!$B$4&lt;&gt;"Chapter Hunt"),CHOOSE(ArtifactsInput!$N$22+1,10,12,14,16,18,20)*((0*(((0.15*B1760*5))^0/1)+1*(((0.15*B1760*5))^1/1)+2*(((0.15*B1760*5))^2/2)+3*(((0.15*B1760*5))^3/6)+4*(((0.15*B1760*5))^4/24)+5*(((0.15*B1760*5))^5/120))/((((0.15*B1760*5))^0/1)+(((0.15*B1760*5))^1/1)+(((0.15*B1760*5))^2/2)+(((0.15*B1760*5))^3/6)+(((0.15*B1760*5))^4/24)+(((0.15*B1760*5))^5/120))),0))+IF(Inputs!$B$3&gt;=54,9*(C1730=TRUE)*MIN(1,8*(1+Inputs!$B$34/100)*Q1730)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1736*(1-MIN(100,(Inputs!$B$9+((C1746=TRUE)*(F1746-Calc!F19))+B1758+(ArtifactsInput!$M$24-ArtifactsInput!$M$24)*CHOOSE(ArtifactsInput!$N$24+1,10,12,14,16,18,20)+(IF(AND(Inputs!$B$38&lt;&gt;"pvp",Inputs!$B$43=0),1,IF(IF(Inputs!$B$38="pvp",15,Inputs!$B$43)-(B1765)&lt;=0,1,MAX(0,IF(Inputs!$B$38="pvp",15,Inputs!$B$43)-MAX(5,B1765))/(IF(Inputs!$B$38="pvp",15,Inputs!$B$43)-(B1765))))*IF(AND(ArtifactsInput!$M$42,((Inputs!$B$9+((C1746=TRUE)*(F1746-Calc!F19))+B1758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1736*(MIN(100,(Inputs!$B$9+((C1746=TRUE)*(F1746-Calc!F19))+B1758+(ArtifactsInput!$M$24-ArtifactsInput!$M$24)*CHOOSE(ArtifactsInput!$N$24+1,10,12,14,16,18,20)+(IF(AND(Inputs!$B$38&lt;&gt;"pvp",Inputs!$B$43=0),1,IF(IF(Inputs!$B$38="pvp",15,Inputs!$B$43)-(B1765)&lt;=0,1,MAX(0,IF(Inputs!$B$38="pvp",15,Inputs!$B$43)-MAX(5,B1765))/(IF(Inputs!$B$38="pvp",15,Inputs!$B$43)-(B1765))))*IF(AND(ArtifactsInput!$M$42,((Inputs!$B$9+((C1746=TRUE)*(F1746-Calc!F19))+B1758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1736*(1-MIN(100,(Inputs!$B$9+((C1746=TRUE)*(F1746-Calc!F19))+B1758+(ArtifactsInput!$M$24-ArtifactsInput!$M$24)*CHOOSE(ArtifactsInput!$N$24+1,10,12,14,16,18,20)+(IF(AND(Inputs!$B$38&lt;&gt;"pvp",Inputs!$B$43=0),1,IF(IF(Inputs!$B$38="pvp",15,Inputs!$B$43)-(B1765)&lt;=0,1,MAX(0,IF(Inputs!$B$38="pvp",15,Inputs!$B$43)-MAX(5,B1765))/(IF(Inputs!$B$38="pvp",15,Inputs!$B$43)-(B1765))))*IF(AND(ArtifactsInput!$M$42,((Inputs!$B$9+((C1746=TRUE)*(F1746-Calc!F19))+B1758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1736*(MIN(100,(Inputs!$B$9+((C1746=TRUE)*(F1746-Calc!F19))+B1758+(ArtifactsInput!$M$24-ArtifactsInput!$M$24)*CHOOSE(ArtifactsInput!$N$24+1,10,12,14,16,18,20)+(IF(AND(Inputs!$B$38&lt;&gt;"pvp",Inputs!$B$43=0),1,IF(IF(Inputs!$B$38="pvp",15,Inputs!$B$43)-(B1765)&lt;=0,1,MAX(0,IF(Inputs!$B$38="pvp",15,Inputs!$B$43)-MAX(5,B1765))/(IF(Inputs!$B$38="pvp",15,Inputs!$B$43)-(B1765))))*IF(AND(ArtifactsInput!$M$42,((Inputs!$B$9+((C1746=TRUE)*(F1746-Calc!F19))+B1758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736">
        <f>IF(C1736,(H1736*N1736*IF(AND(Inputs!$B$38&lt;&gt;"pvp",Inputs!$B$43&gt;0),((Skills!G9*((R1736-1)*IF(Skills!H9&gt;0,INT(Skills!I9/Skills!H9+0.000000001),1)+IF(Skills!H9&gt;0,INT(MIN(Skills!I9,MAX(0,MAX(0,Inputs!$B$43-B1765)-((R1736-1)*(IF(Inputs!$B$38="pvp",15,MAX(0.1,Skills!D9-IF(TRUE=TRUE,Inputs!$B$32,0)))*(1-IF(AND(ArtifactsInput!$M$27,Inputs!$B$4="Chapter Hunt"),CHOOSE(ArtifactsInput!$N$27+1,20,24,28,32,36,40),0)/100)))))/Skills!H9+0.000000001),1)))/Inputs!$B$43),G1736*Q1736))*IF(Inputs!$B$38="pvp",1,(1+(Inputs!$B$21+Skills!Q9+(IF(ArtifactsInput!$M$33,CHOOSE(ArtifactsInput!$N$33+1,30,36,42,48,54,60),0))+(IF(AND(ArtifactsInput!$M$35,Inputs!$B$4&lt;&gt;"Chapter Hunt"),CHOOSE(ArtifactsInput!$N$35+1,15,18,21,24,27,30)*(1-EXP(-(0.2*B1760)*5)),0)+IF(AND(ArtifactsInput!$M$22,Inputs!$B$4&lt;&gt;"Chapter Hunt"),CHOOSE(ArtifactsInput!$N$22+1,10,12,14,16,18,20)*((0*(((0.15*B1760*5))^0/1)+1*(((0.15*B1760*5))^1/1)+2*(((0.15*B1760*5))^2/2)+3*(((0.15*B1760*5))^3/6)+4*(((0.15*B1760*5))^4/24)+5*(((0.15*B1760*5))^5/120))/((((0.15*B1760*5))^0/1)+(((0.15*B1760*5))^1/1)+(((0.15*B1760*5))^2/2)+(((0.15*B1760*5))^3/6)+(((0.15*B1760*5))^4/24)+(((0.15*B1760*5))^5/120))),0))+IF(Inputs!$B$3&gt;=54,9*(C1730=TRUE)*MIN(1,8*(1+Inputs!$B$34/100)*Q1730)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37">
      <c r="A1737">
        <f>Skills!A10</f>
        <v/>
      </c>
      <c r="B1737">
        <f>Skills!B10</f>
        <v/>
      </c>
      <c r="C1737">
        <f>Inputs!$B$3&gt;=113</f>
        <v/>
      </c>
      <c r="D1737">
        <f>IF(Skills!C10=1,60+Inputs!$B$25+Inputs!$B$29,IF(Skills!C10=2,90+Inputs!$B$26+Inputs!$B$29,IF(Skills!C10=3,120+Inputs!$B$27+Inputs!$B$29,MAX(0,(Inputs!$B$3-100)*3)+Inputs!$B$28+Inputs!$B$29)))</f>
        <v/>
      </c>
      <c r="E1737">
        <f>INDEX(FactorTable!$B$2:$Y$301, MATCH(ROUND(MIN(300,MAX(1,D1737)),0), FactorTable!$A$2:$A$301,0), Skills!M10+1)</f>
        <v/>
      </c>
      <c r="F1737">
        <f>IF(Skills!N10=TRUE,(Skills!L10/10)*(E1737/1000),Skills!L10/10)+Skills!O10</f>
        <v/>
      </c>
      <c r="G1737">
        <f>Skills!G10*IF(Skills!H10&gt;0,INT(IF(Inputs!$B$38="pvp",MIN(Skills!I10,15),Skills!I10)/Skills!H10+0.000000001),1)</f>
        <v/>
      </c>
      <c r="H1737">
        <f>1-(1-Skills!J10/100)^Skills!K10</f>
        <v/>
      </c>
      <c r="I1737" t="inlineStr">
        <is>
          <t>1</t>
        </is>
      </c>
      <c r="J1737">
        <f>((Inputs!$B$6*(1+Inputs!$B$7/100))+(((Inputs!$B$12*(1+Inputs!$B$13/100))-(Inputs!$B$12*(1+Inputs!$B$13/100)))+0.25*(Inputs!$B$14-Inputs!$B$14))*(1+Inputs!$B$7/100))*(F1737/100)</f>
        <v/>
      </c>
      <c r="K1737">
        <f>J1737*(1+((Inputs!$B$12*(1+Inputs!$B$13/100))*0.01+Inputs!$B$14*0.0025)/100)*(1+Inputs!$B$15/100)*(1+Inputs!$B$16/100)*(5000/(6000+Inputs!$B$42*(1-(100*(1-(1-(Inputs!$B$19+0)/100)*(1-CHOOSE(ArtifactsInput!$N$40+1,5,6,7,8,9,10)/100)^(ArtifactsInput!$M$40-ArtifactsInput!$M$40)))/100)))*(1+(Inputs!$B$24+((C1753=TRUE)*(F1753-Calc!F26))+B1764)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IGHT_LEGS_EASTON",Inputs!$B$17+((C1750=TRUE)*(F1750-Calc!F23))+((C1754=TRUE)*(F1754-Calc!F27))+((IF(AND(Inputs!$B$38&lt;&gt;"pvp",Inputs!$B$43=0),1,IF(IF(Inputs!$B$38="pvp",15,Inputs!$B$43)-(B1765)&lt;=0,1,MAX(0,IF(Inputs!$B$38="pvp",15,Inputs!$B$43)-MAX(5,B1765))/(IF(Inputs!$B$38="pvp",15,Inputs!$B$43)-(B1765))))*(IF(AND(ArtifactsInput!$M$42,((Inputs!$B$9+((C1746=TRUE)*(F1746-Calc!F19))+B1758+(ArtifactsInput!$M$24-ArtifactsInput!$M$24)*CHOOSE(ArtifactsInput!$N$24+1,10,12,14,16,18,20)+IF(ArtifactsInput!$M$10,CHOOSE(ArtifactsInput!$N$10+1,15,18,21,24,27,30)*(IF(Inputs!$B$38="pvp",MIN(15,15)/15,IF(AND(Inputs!$B$38&lt;&gt;"pvp",Inputs!$B$43&gt;0),MIN(15,Inputs!$B$43)/(Inputs!$B$43),0))),0)))&gt;=100),MIN(100,((Inputs!$B$9+((C1746=TRUE)*(F1746-Calc!F19))+B1758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1765)&lt;=0,1,MAX(0,IF(Inputs!$B$38="pvp",15,Inputs!$B$43)-MAX(5,B1765))/(IF(Inputs!$B$38="pvp",15,Inputs!$B$43)-(B1765))))*IF(AND(ArtifactsInput!$M$42,((Inputs!$B$9+((C1746=TRUE)*(F1746-Calc!F19))+B1758+(ArtifactsInput!$M$24-ArtifactsInput!$M$24)*CHOOSE(ArtifactsInput!$N$24+1,10,12,14,16,18,20)+IF(ArtifactsInput!$M$10,CHOOSE(ArtifactsInput!$N$10+1,15,18,21,24,27,30)*(IF(Inputs!$B$38="pvp",MIN(15,15)/15,IF(AND(Inputs!$B$38&lt;&gt;"pvp",Inputs!$B$43&gt;0),MIN(15,Inputs!$B$43)/(Inputs!$B$43),0))),0)))&gt;=100),CHOOSE(ArtifactsInput!$N$42+1,40,48,56,64,72,80),0))))/100)*((1+(((C1744=TRUE)*F1744*5/7)+((C1751=TRUE)*(F1751-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1737)</f>
        <v/>
      </c>
      <c r="L1737">
        <f>K1737*(MIN(Inputs!$B$22+((C1749=TRUE)*(F1749-Calc!F22)),(Inputs!$B$23+0+(IF(ArtifactsInput!$M$15,CHOOSE(ArtifactsInput!$N$15+1,25,30,35,40,45,50)/100*(Inputs!$B$11-Inputs!$B$11),0))))/100+(Inputs!$B$23+0+(IF(ArtifactsInput!$M$15,CHOOSE(ArtifactsInput!$N$15+1,25,30,35,40,45,50)/100*(Inputs!$B$11-Inputs!$B$11),0)))/100)/2</f>
        <v/>
      </c>
      <c r="M1737">
        <f>L1737*(1+(Inputs!$B$10+((C1752=TRUE)*(F1752-Calc!F25))+B1763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37">
        <f>L1737*(1-MIN((Inputs!$B$9+((C1746=TRUE)*(F1746-Calc!F19))+B1758+(ArtifactsInput!$M$24-ArtifactsInput!$M$24)*CHOOSE(ArtifactsInput!$N$24+1,10,12,14,16,18,20)+(IF(AND(Inputs!$B$38&lt;&gt;"pvp",Inputs!$B$43=0),1,IF(IF(Inputs!$B$38="pvp",15,Inputs!$B$43)-(B1765)&lt;=0,1,MAX(0,IF(Inputs!$B$38="pvp",15,Inputs!$B$43)-MAX(5,B1765))/(IF(Inputs!$B$38="pvp",15,Inputs!$B$43)-(B1765))))*IF(AND(ArtifactsInput!$M$42,((Inputs!$B$9+((C1746=TRUE)*(F1746-Calc!F19))+B1758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1737*(MIN((Inputs!$B$9+((C1746=TRUE)*(F1746-Calc!F19))+B1758+(ArtifactsInput!$M$24-ArtifactsInput!$M$24)*CHOOSE(ArtifactsInput!$N$24+1,10,12,14,16,18,20)+(IF(AND(Inputs!$B$38&lt;&gt;"pvp",Inputs!$B$43=0),1,IF(IF(Inputs!$B$38="pvp",15,Inputs!$B$43)-(B1765)&lt;=0,1,MAX(0,IF(Inputs!$B$38="pvp",15,Inputs!$B$43)-MAX(5,B1765))/(IF(Inputs!$B$38="pvp",15,Inputs!$B$43)-(B1765))))*IF(AND(ArtifactsInput!$M$42,((Inputs!$B$9+((C1746=TRUE)*(F1746-Calc!F19))+B1758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37">
        <f>(1-Summary!$B$11)*T1737+Summary!$B$11*V1737</f>
        <v/>
      </c>
      <c r="P1737">
        <f>IF(B1768=0,0,O1737/B1768)</f>
        <v/>
      </c>
      <c r="Q1737" t="n">
        <v>0</v>
      </c>
      <c r="R1737" t="n">
        <v>0</v>
      </c>
      <c r="S1737">
        <f>IFERROR(O1737/N1737,0)</f>
        <v/>
      </c>
      <c r="T1737">
        <f>IF(C1737,((H1737*B1770)/(1+Skills!H10*H1737*B1770)*N1737)*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Hunt"),CHOOSE(ArtifactsInput!$N$35+1,15,18,21,24,27,30)*(1-EXP(-(0.2*B1760)*5)),0)+IF(AND(ArtifactsInput!$M$22,Inputs!$B$4&lt;&gt;"Chapter Hunt"),CHOOSE(ArtifactsInput!$N$22+1,10,12,14,16,18,20)*((0*(((0.15*B1760*5))^0/1)+1*(((0.15*B1760*5))^1/1)+2*(((0.15*B1760*5))^2/2)+3*(((0.15*B1760*5))^3/6)+4*(((0.15*B1760*5))^4/24)+5*(((0.15*B1760*5))^5/120))/((((0.15*B1760*5))^0/1)+(((0.15*B1760*5))^1/1)+(((0.15*B1760*5))^2/2)+(((0.15*B1760*5))^3/6)+(((0.15*B1760*5))^4/24)+(((0.15*B1760*5))^5/120))),0))+IF(Inputs!$B$3&gt;=54,9*(C1730=TRUE)*MIN(1,8*(1+Inputs!$B$34/100)*Q1730)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1737*(1-MIN(100,(Inputs!$B$9+((C1746=TRUE)*(F1746-Calc!F19))+B1758+(ArtifactsInput!$M$24-ArtifactsInput!$M$24)*CHOOSE(ArtifactsInput!$N$24+1,10,12,14,16,18,20)+(IF(AND(Inputs!$B$38&lt;&gt;"pvp",Inputs!$B$43=0),1,IF(IF(Inputs!$B$38="pvp",15,Inputs!$B$43)-(B1765)&lt;=0,1,MAX(0,IF(Inputs!$B$38="pvp",15,Inputs!$B$43)-MAX(5,B1765))/(IF(Inputs!$B$38="pvp",15,Inputs!$B$43)-(B1765))))*IF(AND(ArtifactsInput!$M$42,((Inputs!$B$9+((C1746=TRUE)*(F1746-Calc!F19))+B1758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1737*(MIN(100,(Inputs!$B$9+((C1746=TRUE)*(F1746-Calc!F19))+B1758+(ArtifactsInput!$M$24-ArtifactsInput!$M$24)*CHOOSE(ArtifactsInput!$N$24+1,10,12,14,16,18,20)+(IF(AND(Inputs!$B$38&lt;&gt;"pvp",Inputs!$B$43=0),1,IF(IF(Inputs!$B$38="pvp",15,Inputs!$B$43)-(B1765)&lt;=0,1,MAX(0,IF(Inputs!$B$38="pvp",15,Inputs!$B$43)-MAX(5,B1765))/(IF(Inputs!$B$38="pvp",15,Inputs!$B$43)-(B1765))))*IF(AND(ArtifactsInput!$M$42,((Inputs!$B$9+((C1746=TRUE)*(F1746-Calc!F19))+B1758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1737*(1-MIN(100,(Inputs!$B$9+((C1746=TRUE)*(F1746-Calc!F19))+B1758+(ArtifactsInput!$M$24-ArtifactsInput!$M$24)*CHOOSE(ArtifactsInput!$N$24+1,10,12,14,16,18,20)+(IF(AND(Inputs!$B$38&lt;&gt;"pvp",Inputs!$B$43=0),1,IF(IF(Inputs!$B$38="pvp",15,Inputs!$B$43)-(B1765)&lt;=0,1,MAX(0,IF(Inputs!$B$38="pvp",15,Inputs!$B$43)-MAX(5,B1765))/(IF(Inputs!$B$38="pvp",15,Inputs!$B$43)-(B1765))))*IF(AND(ArtifactsInput!$M$42,((Inputs!$B$9+((C1746=TRUE)*(F1746-Calc!F19))+B1758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1737*(MIN(100,(Inputs!$B$9+((C1746=TRUE)*(F1746-Calc!F19))+B1758+(ArtifactsInput!$M$24-ArtifactsInput!$M$24)*CHOOSE(ArtifactsInput!$N$24+1,10,12,14,16,18,20)+(IF(AND(Inputs!$B$38&lt;&gt;"pvp",Inputs!$B$43=0),1,IF(IF(Inputs!$B$38="pvp",15,Inputs!$B$43)-(B1765)&lt;=0,1,MAX(0,IF(Inputs!$B$38="pvp",15,Inputs!$B$43)-MAX(5,B1765))/(IF(Inputs!$B$38="pvp",15,Inputs!$B$43)-(B1765))))*IF(AND(ArtifactsInput!$M$42,((Inputs!$B$9+((C1746=TRUE)*(F1746-Calc!F19))+B1758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737">
        <f>IF(C1737,((H1737*B1770)/(1+Skills!H10*H1737*B1770)*N1737)*IF(Inputs!$B$38="pvp",1,(1+(Inputs!$B$21+Skills!Q10+(IF(ArtifactsInput!$M$33,CHOOSE(ArtifactsInput!$N$33+1,30,36,42,48,54,60),0))+(IF(AND(ArtifactsInput!$M$35,Inputs!$B$4&lt;&gt;"Chapter Hunt"),CHOOSE(ArtifactsInput!$N$35+1,15,18,21,24,27,30)*(1-EXP(-(0.2*B1760)*5)),0)+IF(AND(ArtifactsInput!$M$22,Inputs!$B$4&lt;&gt;"Chapter Hunt"),CHOOSE(ArtifactsInput!$N$22+1,10,12,14,16,18,20)*((0*(((0.15*B1760*5))^0/1)+1*(((0.15*B1760*5))^1/1)+2*(((0.15*B1760*5))^2/2)+3*(((0.15*B1760*5))^3/6)+4*(((0.15*B1760*5))^4/24)+5*(((0.15*B1760*5))^5/120))/((((0.15*B1760*5))^0/1)+(((0.15*B1760*5))^1/1)+(((0.15*B1760*5))^2/2)+(((0.15*B1760*5))^3/6)+(((0.15*B1760*5))^4/24)+(((0.15*B1760*5))^5/120))),0))+IF(Inputs!$B$3&gt;=54,9*(C1730=TRUE)*MIN(1,8*(1+Inputs!$B$34/100)*Q1730)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38">
      <c r="A1738">
        <f>Skills!A11</f>
        <v/>
      </c>
      <c r="B1738">
        <f>Skills!B11</f>
        <v/>
      </c>
      <c r="C1738">
        <f>Inputs!$B$3&gt;=117</f>
        <v/>
      </c>
      <c r="D1738">
        <f>IF(Skills!C11=1,60+Inputs!$B$25+Inputs!$B$29,IF(Skills!C11=2,90+Inputs!$B$26+Inputs!$B$29,IF(Skills!C11=3,120+Inputs!$B$27+Inputs!$B$29,MAX(0,(Inputs!$B$3-100)*3)+Inputs!$B$28+Inputs!$B$29)))</f>
        <v/>
      </c>
      <c r="E1738">
        <f>INDEX(FactorTable!$B$2:$Y$301, MATCH(ROUND(MIN(300,MAX(1,D1738)),0), FactorTable!$A$2:$A$301,0), Skills!M11+1)</f>
        <v/>
      </c>
      <c r="F1738">
        <f>IF(Skills!N11=TRUE,(Skills!L11/10)*(E1738/1000),Skills!L11/10)+Skills!O11</f>
        <v/>
      </c>
      <c r="G1738">
        <f>Skills!G11*IF(Skills!H11&gt;0,INT(IF(Inputs!$B$38="pvp",MIN(Skills!I11,15),Skills!I11)/Skills!H11+0.000000001),1)</f>
        <v/>
      </c>
      <c r="H1738">
        <f>1-(1-Skills!J11/100)^Skills!K11</f>
        <v/>
      </c>
      <c r="I1738" t="inlineStr">
        <is>
          <t>1</t>
        </is>
      </c>
      <c r="J1738">
        <f>((Inputs!$B$6*(1+Inputs!$B$7/100))+(((Inputs!$B$12*(1+Inputs!$B$13/100))-(Inputs!$B$12*(1+Inputs!$B$13/100)))+0.25*(Inputs!$B$14-Inputs!$B$14))*(1+Inputs!$B$7/100))*(F1738/100)</f>
        <v/>
      </c>
      <c r="K1738">
        <f>J1738*(1+((Inputs!$B$12*(1+Inputs!$B$13/100))*0.01+Inputs!$B$14*0.0025)/100)*(1+Inputs!$B$15/100)*(1+Inputs!$B$16/100)*(5000/(6000+Inputs!$B$42*(1-(100*(1-(1-(Inputs!$B$19+0)/100)*(1-CHOOSE(ArtifactsInput!$N$40+1,5,6,7,8,9,10)/100)^(ArtifactsInput!$M$40-ArtifactsInput!$M$40)))/100)))*(1+(Inputs!$B$24+((C1753=TRUE)*(F1753-Calc!F26))+B1764)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IGHT_LEGS_EASTON",Inputs!$B$17+((C1750=TRUE)*(F1750-Calc!F23))+((C1754=TRUE)*(F1754-Calc!F27))+((IF(AND(Inputs!$B$38&lt;&gt;"pvp",Inputs!$B$43=0),1,IF(IF(Inputs!$B$38="pvp",15,Inputs!$B$43)-(B1765)&lt;=0,1,MAX(0,IF(Inputs!$B$38="pvp",15,Inputs!$B$43)-MAX(5,B1765))/(IF(Inputs!$B$38="pvp",15,Inputs!$B$43)-(B1765))))*(IF(AND(ArtifactsInput!$M$42,((Inputs!$B$9+((C1746=TRUE)*(F1746-Calc!F19))+B1758+(ArtifactsInput!$M$24-ArtifactsInput!$M$24)*CHOOSE(ArtifactsInput!$N$24+1,10,12,14,16,18,20)+IF(ArtifactsInput!$M$10,CHOOSE(ArtifactsInput!$N$10+1,15,18,21,24,27,30)*(IF(Inputs!$B$38="pvp",MIN(15,15)/15,IF(AND(Inputs!$B$38&lt;&gt;"pvp",Inputs!$B$43&gt;0),MIN(15,Inputs!$B$43)/(Inputs!$B$43),0))),0)))&gt;=100),MIN(100,((Inputs!$B$9+((C1746=TRUE)*(F1746-Calc!F19))+B1758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1765)&lt;=0,1,MAX(0,IF(Inputs!$B$38="pvp",15,Inputs!$B$43)-MAX(5,B1765))/(IF(Inputs!$B$38="pvp",15,Inputs!$B$43)-(B1765))))*IF(AND(ArtifactsInput!$M$42,((Inputs!$B$9+((C1746=TRUE)*(F1746-Calc!F19))+B1758+(ArtifactsInput!$M$24-ArtifactsInput!$M$24)*CHOOSE(ArtifactsInput!$N$24+1,10,12,14,16,18,20)+IF(ArtifactsInput!$M$10,CHOOSE(ArtifactsInput!$N$10+1,15,18,21,24,27,30)*(IF(Inputs!$B$38="pvp",MIN(15,15)/15,IF(AND(Inputs!$B$38&lt;&gt;"pvp",Inputs!$B$43&gt;0),MIN(15,Inputs!$B$43)/(Inputs!$B$43),0))),0)))&gt;=100),CHOOSE(ArtifactsInput!$N$42+1,40,48,56,64,72,80),0))))/100)*((1+(((C1744=TRUE)*F1744*5/7)+((C1751=TRUE)*(F1751-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1738)</f>
        <v/>
      </c>
      <c r="L1738">
        <f>K1738*(MIN(Inputs!$B$22+((C1749=TRUE)*(F1749-Calc!F22)),(Inputs!$B$23+0+(IF(ArtifactsInput!$M$15,CHOOSE(ArtifactsInput!$N$15+1,25,30,35,40,45,50)/100*(Inputs!$B$11-Inputs!$B$11),0))))/100+(Inputs!$B$23+0+(IF(ArtifactsInput!$M$15,CHOOSE(ArtifactsInput!$N$15+1,25,30,35,40,45,50)/100*(Inputs!$B$11-Inputs!$B$11),0)))/100)/2</f>
        <v/>
      </c>
      <c r="M1738">
        <f>L1738*(1+(Inputs!$B$10+((C1752=TRUE)*(F1752-Calc!F25))+B1763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38">
        <f>L1738*(1-MIN((Inputs!$B$9+((C1746=TRUE)*(F1746-Calc!F19))+B1758+(ArtifactsInput!$M$24-ArtifactsInput!$M$24)*CHOOSE(ArtifactsInput!$N$24+1,10,12,14,16,18,20)+(IF(AND(Inputs!$B$38&lt;&gt;"pvp",Inputs!$B$43=0),1,IF(IF(Inputs!$B$38="pvp",15,Inputs!$B$43)-(B1765)&lt;=0,1,MAX(0,IF(Inputs!$B$38="pvp",15,Inputs!$B$43)-MAX(5,B1765))/(IF(Inputs!$B$38="pvp",15,Inputs!$B$43)-(B1765))))*IF(AND(ArtifactsInput!$M$42,((Inputs!$B$9+((C1746=TRUE)*(F1746-Calc!F19))+B1758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1738*(MIN((Inputs!$B$9+((C1746=TRUE)*(F1746-Calc!F19))+B1758+(ArtifactsInput!$M$24-ArtifactsInput!$M$24)*CHOOSE(ArtifactsInput!$N$24+1,10,12,14,16,18,20)+(IF(AND(Inputs!$B$38&lt;&gt;"pvp",Inputs!$B$43=0),1,IF(IF(Inputs!$B$38="pvp",15,Inputs!$B$43)-(B1765)&lt;=0,1,MAX(0,IF(Inputs!$B$38="pvp",15,Inputs!$B$43)-MAX(5,B1765))/(IF(Inputs!$B$38="pvp",15,Inputs!$B$43)-(B1765))))*IF(AND(ArtifactsInput!$M$42,((Inputs!$B$9+((C1746=TRUE)*(F1746-Calc!F19))+B1758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38">
        <f>(1-Summary!$B$11)*T1738+Summary!$B$11*V1738</f>
        <v/>
      </c>
      <c r="P1738">
        <f>IF(B1768=0,0,O1738/B1768)</f>
        <v/>
      </c>
      <c r="Q1738">
        <f>IFERROR(1/((IF(Inputs!$B$38="pvp",15,MAX(0.1,Skills!D11-IF(TRUE=TRUE,Inputs!$B$32,0)))*(1-IF(AND(ArtifactsInput!$M$27,Inputs!$B$4="Chapter Hunt"),CHOOSE(ArtifactsInput!$N$27+1,20,24,28,32,36,40),0)/100))/B1769),0)</f>
        <v/>
      </c>
      <c r="R1738">
        <f>IF(AND(Inputs!$B$38&lt;&gt;"pvp",Inputs!$B$43&gt;0),IF(MAX(0,Inputs!$B$43-B1765)&lt;=0,0,(INT(MAX(0,Inputs!$B$43-B1765)/((IF(Inputs!$B$38="pvp",15,MAX(0.1,Skills!D11-IF(TRUE=TRUE,Inputs!$B$32,0)))*(1-IF(AND(ArtifactsInput!$M$27,Inputs!$B$4="Chapter Hunt"),CHOOSE(ArtifactsInput!$N$27+1,20,24,28,32,36,40),0)/100))/B1769))+1)),0)</f>
        <v/>
      </c>
      <c r="S1738">
        <f>IFERROR(O1738/N1738,0)</f>
        <v/>
      </c>
      <c r="T1738">
        <f>IF(C1738,(H1738*N1738*IF(AND(Inputs!$B$38&lt;&gt;"pvp",Inputs!$B$43&gt;0),((Skills!G11*((R1738-1)*IF(Skills!H11&gt;0,INT(Skills!I11/Skills!H11+0.000000001),1)+IF(Skills!H11&gt;0,INT(MIN(Skills!I11,MAX(0,MAX(0,Inputs!$B$43-B1765)-((R1738-1)*((IF(Inputs!$B$38="pvp",15,MAX(0.1,Skills!D11-IF(TRUE=TRUE,Inputs!$B$32,0)))*(1-IF(AND(ArtifactsInput!$M$27,Inputs!$B$4="Chapter Hunt"),CHOOSE(ArtifactsInput!$N$27+1,20,24,28,32,36,40),0)/100))/B1769))))/Skills!H11+0.000000001),1)))/Inputs!$B$43),G1738*Q1738))*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Hunt"),CHOOSE(ArtifactsInput!$N$35+1,15,18,21,24,27,30)*(1-EXP(-(0.2*B1760)*5)),0)+IF(AND(ArtifactsInput!$M$22,Inputs!$B$4&lt;&gt;"Chapter Hunt"),CHOOSE(ArtifactsInput!$N$22+1,10,12,14,16,18,20)*((0*(((0.15*B1760*5))^0/1)+1*(((0.15*B1760*5))^1/1)+2*(((0.15*B1760*5))^2/2)+3*(((0.15*B1760*5))^3/6)+4*(((0.15*B1760*5))^4/24)+5*(((0.15*B1760*5))^5/120))/((((0.15*B1760*5))^0/1)+(((0.15*B1760*5))^1/1)+(((0.15*B1760*5))^2/2)+(((0.15*B1760*5))^3/6)+(((0.15*B1760*5))^4/24)+(((0.15*B1760*5))^5/120))),0))+IF(Inputs!$B$3&gt;=54,9*(C1730=TRUE)*MIN(1,8*(1+Inputs!$B$34/100)*Q1730)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1738*(1-MIN(100,(Inputs!$B$9+((C1746=TRUE)*(F1746-Calc!F19))+B1758+(ArtifactsInput!$M$24-ArtifactsInput!$M$24)*CHOOSE(ArtifactsInput!$N$24+1,10,12,14,16,18,20)+(IF(AND(Inputs!$B$38&lt;&gt;"pvp",Inputs!$B$43=0),1,IF(IF(Inputs!$B$38="pvp",15,Inputs!$B$43)-(B1765)&lt;=0,1,MAX(0,IF(Inputs!$B$38="pvp",15,Inputs!$B$43)-MAX(5,B1765))/(IF(Inputs!$B$38="pvp",15,Inputs!$B$43)-(B1765))))*IF(AND(ArtifactsInput!$M$42,((Inputs!$B$9+((C1746=TRUE)*(F1746-Calc!F19))+B1758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1738*(MIN(100,(Inputs!$B$9+((C1746=TRUE)*(F1746-Calc!F19))+B1758+(ArtifactsInput!$M$24-ArtifactsInput!$M$24)*CHOOSE(ArtifactsInput!$N$24+1,10,12,14,16,18,20)+(IF(AND(Inputs!$B$38&lt;&gt;"pvp",Inputs!$B$43=0),1,IF(IF(Inputs!$B$38="pvp",15,Inputs!$B$43)-(B1765)&lt;=0,1,MAX(0,IF(Inputs!$B$38="pvp",15,Inputs!$B$43)-MAX(5,B1765))/(IF(Inputs!$B$38="pvp",15,Inputs!$B$43)-(B1765))))*IF(AND(ArtifactsInput!$M$42,((Inputs!$B$9+((C1746=TRUE)*(F1746-Calc!F19))+B1758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1738*(1-MIN(100,(Inputs!$B$9+((C1746=TRUE)*(F1746-Calc!F19))+B1758+(ArtifactsInput!$M$24-ArtifactsInput!$M$24)*CHOOSE(ArtifactsInput!$N$24+1,10,12,14,16,18,20)+(IF(AND(Inputs!$B$38&lt;&gt;"pvp",Inputs!$B$43=0),1,IF(IF(Inputs!$B$38="pvp",15,Inputs!$B$43)-(B1765)&lt;=0,1,MAX(0,IF(Inputs!$B$38="pvp",15,Inputs!$B$43)-MAX(5,B1765))/(IF(Inputs!$B$38="pvp",15,Inputs!$B$43)-(B1765))))*IF(AND(ArtifactsInput!$M$42,((Inputs!$B$9+((C1746=TRUE)*(F1746-Calc!F19))+B1758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1738*(MIN(100,(Inputs!$B$9+((C1746=TRUE)*(F1746-Calc!F19))+B1758+(ArtifactsInput!$M$24-ArtifactsInput!$M$24)*CHOOSE(ArtifactsInput!$N$24+1,10,12,14,16,18,20)+(IF(AND(Inputs!$B$38&lt;&gt;"pvp",Inputs!$B$43=0),1,IF(IF(Inputs!$B$38="pvp",15,Inputs!$B$43)-(B1765)&lt;=0,1,MAX(0,IF(Inputs!$B$38="pvp",15,Inputs!$B$43)-MAX(5,B1765))/(IF(Inputs!$B$38="pvp",15,Inputs!$B$43)-(B1765))))*IF(AND(ArtifactsInput!$M$42,((Inputs!$B$9+((C1746=TRUE)*(F1746-Calc!F19))+B1758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738">
        <f>IF(C1738,(H1738*N1738*IF(AND(Inputs!$B$38&lt;&gt;"pvp",Inputs!$B$43&gt;0),((Skills!G11*((R1738-1)*IF(Skills!H11&gt;0,INT(Skills!I11/Skills!H11+0.000000001),1)+IF(Skills!H11&gt;0,INT(MIN(Skills!I11,MAX(0,MAX(0,Inputs!$B$43-B1765)-((R1738-1)*((IF(Inputs!$B$38="pvp",15,MAX(0.1,Skills!D11-IF(TRUE=TRUE,Inputs!$B$32,0)))*(1-IF(AND(ArtifactsInput!$M$27,Inputs!$B$4="Chapter Hunt"),CHOOSE(ArtifactsInput!$N$27+1,20,24,28,32,36,40),0)/100))/B1769))))/Skills!H11+0.000000001),1)))/Inputs!$B$43),G1738*Q1738))*IF(Inputs!$B$38="pvp",1,(1+(Inputs!$B$21+Skills!Q11+(IF(ArtifactsInput!$M$33,CHOOSE(ArtifactsInput!$N$33+1,30,36,42,48,54,60),0))+(IF(AND(ArtifactsInput!$M$35,Inputs!$B$4&lt;&gt;"Chapter Hunt"),CHOOSE(ArtifactsInput!$N$35+1,15,18,21,24,27,30)*(1-EXP(-(0.2*B1760)*5)),0)+IF(AND(ArtifactsInput!$M$22,Inputs!$B$4&lt;&gt;"Chapter Hunt"),CHOOSE(ArtifactsInput!$N$22+1,10,12,14,16,18,20)*((0*(((0.15*B1760*5))^0/1)+1*(((0.15*B1760*5))^1/1)+2*(((0.15*B1760*5))^2/2)+3*(((0.15*B1760*5))^3/6)+4*(((0.15*B1760*5))^4/24)+5*(((0.15*B1760*5))^5/120))/((((0.15*B1760*5))^0/1)+(((0.15*B1760*5))^1/1)+(((0.15*B1760*5))^2/2)+(((0.15*B1760*5))^3/6)+(((0.15*B1760*5))^4/24)+(((0.15*B1760*5))^5/120))),0))+IF(Inputs!$B$3&gt;=54,9*(C1730=TRUE)*MIN(1,8*(1+Inputs!$B$34/100)*Q1730)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39">
      <c r="A1739">
        <f>Skills!A12</f>
        <v/>
      </c>
      <c r="B1739">
        <f>Skills!B12</f>
        <v/>
      </c>
      <c r="C1739">
        <f>Inputs!$B$3&gt;=110</f>
        <v/>
      </c>
      <c r="D1739">
        <f>IF(Skills!C12=1,60+Inputs!$B$25+Inputs!$B$29,IF(Skills!C12=2,90+Inputs!$B$26+Inputs!$B$29,IF(Skills!C12=3,120+Inputs!$B$27+Inputs!$B$29,MAX(0,(Inputs!$B$3-100)*3)+Inputs!$B$28+Inputs!$B$29)))</f>
        <v/>
      </c>
      <c r="E1739">
        <f>INDEX(FactorTable!$B$2:$Y$301, MATCH(ROUND(MIN(300,MAX(1,D1739)),0), FactorTable!$A$2:$A$301,0), Skills!M12+1)</f>
        <v/>
      </c>
      <c r="F1739">
        <f>IF(Skills!N12=TRUE,(Skills!L12/10)*(E1739/1000),Skills!L12/10)+Skills!O12</f>
        <v/>
      </c>
      <c r="G1739">
        <f>Skills!G12*IF(Skills!H12&gt;0,INT(IF(Inputs!$B$38="pvp",MIN(Skills!I12,15),Skills!I12)/Skills!H12+0.000000001),1)</f>
        <v/>
      </c>
      <c r="H1739">
        <f>1-(1-Skills!J12/100)^Skills!K12</f>
        <v/>
      </c>
      <c r="I1739" t="inlineStr">
        <is>
          <t>1</t>
        </is>
      </c>
      <c r="J1739">
        <f>((Inputs!$B$6*(1+Inputs!$B$7/100))+(((Inputs!$B$12*(1+Inputs!$B$13/100))-(Inputs!$B$12*(1+Inputs!$B$13/100)))+0.25*(Inputs!$B$14-Inputs!$B$14))*(1+Inputs!$B$7/100))*(F1739/100)</f>
        <v/>
      </c>
      <c r="K1739">
        <f>J1739*(1+((Inputs!$B$12*(1+Inputs!$B$13/100))*0.01+Inputs!$B$14*0.0025)/100)*(1+Inputs!$B$15/100)*(1+Inputs!$B$16/100)*(5000/(6000+Inputs!$B$42*(1-(100*(1-(1-(Inputs!$B$19+0)/100)*(1-CHOOSE(ArtifactsInput!$N$40+1,5,6,7,8,9,10)/100)^(ArtifactsInput!$M$40-ArtifactsInput!$M$40)))/100)))*(1+(Inputs!$B$24+((C1753=TRUE)*(F1753-Calc!F26))+B1764)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EIGHT_LEGS_EASTON",Inputs!$B$17+((C1750=TRUE)*(F1750-Calc!F23))+((C1754=TRUE)*(F1754-Calc!F27))+((IF(AND(Inputs!$B$38&lt;&gt;"pvp",Inputs!$B$43=0),1,IF(IF(Inputs!$B$38="pvp",15,Inputs!$B$43)-(B1765)&lt;=0,1,MAX(0,IF(Inputs!$B$38="pvp",15,Inputs!$B$43)-MAX(5,B1765))/(IF(Inputs!$B$38="pvp",15,Inputs!$B$43)-(B1765))))*(IF(AND(ArtifactsInput!$M$42,((Inputs!$B$9+((C1746=TRUE)*(F1746-Calc!F19))+B1758+(ArtifactsInput!$M$24-ArtifactsInput!$M$24)*CHOOSE(ArtifactsInput!$N$24+1,10,12,14,16,18,20)+IF(ArtifactsInput!$M$10,CHOOSE(ArtifactsInput!$N$10+1,15,18,21,24,27,30)*(IF(Inputs!$B$38="pvp",MIN(15,15)/15,IF(AND(Inputs!$B$38&lt;&gt;"pvp",Inputs!$B$43&gt;0),MIN(15,Inputs!$B$43)/(Inputs!$B$43),0))),0)))&gt;=100),MIN(100,((Inputs!$B$9+((C1746=TRUE)*(F1746-Calc!F19))+B1758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1765)&lt;=0,1,MAX(0,IF(Inputs!$B$38="pvp",15,Inputs!$B$43)-MAX(5,B1765))/(IF(Inputs!$B$38="pvp",15,Inputs!$B$43)-(B1765))))*IF(AND(ArtifactsInput!$M$42,((Inputs!$B$9+((C1746=TRUE)*(F1746-Calc!F19))+B1758+(ArtifactsInput!$M$24-ArtifactsInput!$M$24)*CHOOSE(ArtifactsInput!$N$24+1,10,12,14,16,18,20)+IF(ArtifactsInput!$M$10,CHOOSE(ArtifactsInput!$N$10+1,15,18,21,24,27,30)*(IF(Inputs!$B$38="pvp",MIN(15,15)/15,IF(AND(Inputs!$B$38&lt;&gt;"pvp",Inputs!$B$43&gt;0),MIN(15,Inputs!$B$43)/(Inputs!$B$43),0))),0)))&gt;=100),CHOOSE(ArtifactsInput!$N$42+1,40,48,56,64,72,80),0))))/100)*((1+(((C1744=TRUE)*F1744*5/7)+((C1751=TRUE)*(F1751-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1739)</f>
        <v/>
      </c>
      <c r="L1739">
        <f>K1739*(MIN(Inputs!$B$22+((C1749=TRUE)*(F1749-Calc!F22)),(Inputs!$B$23+0+(IF(ArtifactsInput!$M$15,CHOOSE(ArtifactsInput!$N$15+1,25,30,35,40,45,50)/100*(Inputs!$B$11-Inputs!$B$11),0))))/100+(Inputs!$B$23+0+(IF(ArtifactsInput!$M$15,CHOOSE(ArtifactsInput!$N$15+1,25,30,35,40,45,50)/100*(Inputs!$B$11-Inputs!$B$11),0)))/100)/2</f>
        <v/>
      </c>
      <c r="M1739">
        <f>L1739*(1+(Inputs!$B$10+((C1752=TRUE)*(F1752-Calc!F25))+B1763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39">
        <f>L1739*(1-MIN((Inputs!$B$9+((C1746=TRUE)*(F1746-Calc!F19))+B1758+(ArtifactsInput!$M$24-ArtifactsInput!$M$24)*CHOOSE(ArtifactsInput!$N$24+1,10,12,14,16,18,20)+(IF(AND(Inputs!$B$38&lt;&gt;"pvp",Inputs!$B$43=0),1,IF(IF(Inputs!$B$38="pvp",15,Inputs!$B$43)-(B1765)&lt;=0,1,MAX(0,IF(Inputs!$B$38="pvp",15,Inputs!$B$43)-MAX(5,B1765))/(IF(Inputs!$B$38="pvp",15,Inputs!$B$43)-(B1765))))*IF(AND(ArtifactsInput!$M$42,((Inputs!$B$9+((C1746=TRUE)*(F1746-Calc!F19))+B1758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1739*(MIN((Inputs!$B$9+((C1746=TRUE)*(F1746-Calc!F19))+B1758+(ArtifactsInput!$M$24-ArtifactsInput!$M$24)*CHOOSE(ArtifactsInput!$N$24+1,10,12,14,16,18,20)+(IF(AND(Inputs!$B$38&lt;&gt;"pvp",Inputs!$B$43=0),1,IF(IF(Inputs!$B$38="pvp",15,Inputs!$B$43)-(B1765)&lt;=0,1,MAX(0,IF(Inputs!$B$38="pvp",15,Inputs!$B$43)-MAX(5,B1765))/(IF(Inputs!$B$38="pvp",15,Inputs!$B$43)-(B1765))))*IF(AND(ArtifactsInput!$M$42,((Inputs!$B$9+((C1746=TRUE)*(F1746-Calc!F19))+B1758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39">
        <f>(1-Summary!$B$11)*T1739+Summary!$B$11*V1739</f>
        <v/>
      </c>
      <c r="P1739">
        <f>IF(B1768=0,0,O1739/B1768)</f>
        <v/>
      </c>
      <c r="Q1739">
        <f>IFERROR(1/(IF(Inputs!$B$38="pvp",15,MAX(0.1,Skills!D12-IF(TRUE=TRUE,Inputs!$B$32,0)))*(1-IF(AND(ArtifactsInput!$M$27,Inputs!$B$4="Chapter Hunt"),CHOOSE(ArtifactsInput!$N$27+1,20,24,28,32,36,40),0)/100)),0)</f>
        <v/>
      </c>
      <c r="R1739">
        <f>IF(AND(Inputs!$B$38&lt;&gt;"pvp",Inputs!$B$43&gt;0),IF(MAX(0,Inputs!$B$43-B1765)&lt;=0,0,(INT(MAX(0,Inputs!$B$43-B1765)/(IF(Inputs!$B$38="pvp",15,MAX(0.1,Skills!D12-IF(TRUE=TRUE,Inputs!$B$32,0)))*(1-IF(AND(ArtifactsInput!$M$27,Inputs!$B$4="Chapter Hunt"),CHOOSE(ArtifactsInput!$N$27+1,20,24,28,32,36,40),0)/100)))+1)),0)</f>
        <v/>
      </c>
      <c r="S1739">
        <f>IFERROR(O1739/N1739,0)</f>
        <v/>
      </c>
      <c r="T1739">
        <f>IF(C1739,(H1739*N1739*IF(AND(Inputs!$B$38&lt;&gt;"pvp",Inputs!$B$43&gt;0),((Skills!G12*((R1739-1)*IF(Skills!H12&gt;0,INT(Skills!I12/Skills!H12+0.000000001),1)+IF(Skills!H12&gt;0,INT(MIN(Skills!I12,MAX(0,MAX(0,Inputs!$B$43-B1765)-((R1739-1)*(IF(Inputs!$B$38="pvp",15,MAX(0.1,Skills!D12-IF(TRUE=TRUE,Inputs!$B$32,0)))*(1-IF(AND(ArtifactsInput!$M$27,Inputs!$B$4="Chapter Hunt"),CHOOSE(ArtifactsInput!$N$27+1,20,24,28,32,36,40),0)/100)))))/Skills!H12+0.000000001),1)))/Inputs!$B$43),G1739*Q1739))*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Hunt"),CHOOSE(ArtifactsInput!$N$35+1,15,18,21,24,27,30)*(1-EXP(-(0.2*B1760)*5)),0)+IF(AND(ArtifactsInput!$M$22,Inputs!$B$4&lt;&gt;"Chapter Hunt"),CHOOSE(ArtifactsInput!$N$22+1,10,12,14,16,18,20)*((0*(((0.15*B1760*5))^0/1)+1*(((0.15*B1760*5))^1/1)+2*(((0.15*B1760*5))^2/2)+3*(((0.15*B1760*5))^3/6)+4*(((0.15*B1760*5))^4/24)+5*(((0.15*B1760*5))^5/120))/((((0.15*B1760*5))^0/1)+(((0.15*B1760*5))^1/1)+(((0.15*B1760*5))^2/2)+(((0.15*B1760*5))^3/6)+(((0.15*B1760*5))^4/24)+(((0.15*B1760*5))^5/120))),0))+IF(Inputs!$B$3&gt;=54,9*(C1730=TRUE)*MIN(1,8*(1+Inputs!$B$34/100)*Q1730)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1739*(1-MIN(100,(Inputs!$B$9+((C1746=TRUE)*(F1746-Calc!F19))+B1758+(ArtifactsInput!$M$24-ArtifactsInput!$M$24)*CHOOSE(ArtifactsInput!$N$24+1,10,12,14,16,18,20)+(IF(AND(Inputs!$B$38&lt;&gt;"pvp",Inputs!$B$43=0),1,IF(IF(Inputs!$B$38="pvp",15,Inputs!$B$43)-(B1765)&lt;=0,1,MAX(0,IF(Inputs!$B$38="pvp",15,Inputs!$B$43)-MAX(5,B1765))/(IF(Inputs!$B$38="pvp",15,Inputs!$B$43)-(B1765))))*IF(AND(ArtifactsInput!$M$42,((Inputs!$B$9+((C1746=TRUE)*(F1746-Calc!F19))+B1758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1739*(MIN(100,(Inputs!$B$9+((C1746=TRUE)*(F1746-Calc!F19))+B1758+(ArtifactsInput!$M$24-ArtifactsInput!$M$24)*CHOOSE(ArtifactsInput!$N$24+1,10,12,14,16,18,20)+(IF(AND(Inputs!$B$38&lt;&gt;"pvp",Inputs!$B$43=0),1,IF(IF(Inputs!$B$38="pvp",15,Inputs!$B$43)-(B1765)&lt;=0,1,MAX(0,IF(Inputs!$B$38="pvp",15,Inputs!$B$43)-MAX(5,B1765))/(IF(Inputs!$B$38="pvp",15,Inputs!$B$43)-(B1765))))*IF(AND(ArtifactsInput!$M$42,((Inputs!$B$9+((C1746=TRUE)*(F1746-Calc!F19))+B1758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1739*(1-MIN(100,(Inputs!$B$9+((C1746=TRUE)*(F1746-Calc!F19))+B1758+(ArtifactsInput!$M$24-ArtifactsInput!$M$24)*CHOOSE(ArtifactsInput!$N$24+1,10,12,14,16,18,20)+(IF(AND(Inputs!$B$38&lt;&gt;"pvp",Inputs!$B$43=0),1,IF(IF(Inputs!$B$38="pvp",15,Inputs!$B$43)-(B1765)&lt;=0,1,MAX(0,IF(Inputs!$B$38="pvp",15,Inputs!$B$43)-MAX(5,B1765))/(IF(Inputs!$B$38="pvp",15,Inputs!$B$43)-(B1765))))*IF(AND(ArtifactsInput!$M$42,((Inputs!$B$9+((C1746=TRUE)*(F1746-Calc!F19))+B1758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1739*(MIN(100,(Inputs!$B$9+((C1746=TRUE)*(F1746-Calc!F19))+B1758+(ArtifactsInput!$M$24-ArtifactsInput!$M$24)*CHOOSE(ArtifactsInput!$N$24+1,10,12,14,16,18,20)+(IF(AND(Inputs!$B$38&lt;&gt;"pvp",Inputs!$B$43=0),1,IF(IF(Inputs!$B$38="pvp",15,Inputs!$B$43)-(B1765)&lt;=0,1,MAX(0,IF(Inputs!$B$38="pvp",15,Inputs!$B$43)-MAX(5,B1765))/(IF(Inputs!$B$38="pvp",15,Inputs!$B$43)-(B1765))))*IF(AND(ArtifactsInput!$M$42,((Inputs!$B$9+((C1746=TRUE)*(F1746-Calc!F19))+B1758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739">
        <f>IF(C1739,(H1739*N1739*IF(AND(Inputs!$B$38&lt;&gt;"pvp",Inputs!$B$43&gt;0),((Skills!G12*((R1739-1)*IF(Skills!H12&gt;0,INT(Skills!I12/Skills!H12+0.000000001),1)+IF(Skills!H12&gt;0,INT(MIN(Skills!I12,MAX(0,MAX(0,Inputs!$B$43-B1765)-((R1739-1)*(IF(Inputs!$B$38="pvp",15,MAX(0.1,Skills!D12-IF(TRUE=TRUE,Inputs!$B$32,0)))*(1-IF(AND(ArtifactsInput!$M$27,Inputs!$B$4="Chapter Hunt"),CHOOSE(ArtifactsInput!$N$27+1,20,24,28,32,36,40),0)/100)))))/Skills!H12+0.000000001),1)))/Inputs!$B$43),G1739*Q1739))*IF(Inputs!$B$38="pvp",1,(1+(Inputs!$B$21+Skills!Q12+(IF(ArtifactsInput!$M$33,CHOOSE(ArtifactsInput!$N$33+1,30,36,42,48,54,60),0))+(IF(AND(ArtifactsInput!$M$35,Inputs!$B$4&lt;&gt;"Chapter Hunt"),CHOOSE(ArtifactsInput!$N$35+1,15,18,21,24,27,30)*(1-EXP(-(0.2*B1760)*5)),0)+IF(AND(ArtifactsInput!$M$22,Inputs!$B$4&lt;&gt;"Chapter Hunt"),CHOOSE(ArtifactsInput!$N$22+1,10,12,14,16,18,20)*((0*(((0.15*B1760*5))^0/1)+1*(((0.15*B1760*5))^1/1)+2*(((0.15*B1760*5))^2/2)+3*(((0.15*B1760*5))^3/6)+4*(((0.15*B1760*5))^4/24)+5*(((0.15*B1760*5))^5/120))/((((0.15*B1760*5))^0/1)+(((0.15*B1760*5))^1/1)+(((0.15*B1760*5))^2/2)+(((0.15*B1760*5))^3/6)+(((0.15*B1760*5))^4/24)+(((0.15*B1760*5))^5/120))),0))+IF(Inputs!$B$3&gt;=54,9*(C1730=TRUE)*MIN(1,8*(1+Inputs!$B$34/100)*Q1730),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40">
      <c r="A1740">
        <f>Skills!A13</f>
        <v/>
      </c>
      <c r="B1740">
        <f>Skills!B13</f>
        <v/>
      </c>
      <c r="C1740">
        <f>Inputs!$B$3&gt;=110</f>
        <v/>
      </c>
      <c r="D1740">
        <f>IF(Skills!C13=1,60+Inputs!$B$25+Inputs!$B$29,IF(Skills!C13=2,90+Inputs!$B$26+Inputs!$B$29,IF(Skills!C13=3,120+Inputs!$B$27+Inputs!$B$29,MAX(0,(Inputs!$B$3-100)*3)+Inputs!$B$28+Inputs!$B$29)))</f>
        <v/>
      </c>
      <c r="E1740">
        <f>INDEX(FactorTable!$B$2:$Y$301, MATCH(ROUND(MIN(300,MAX(1,D1740)),0), FactorTable!$A$2:$A$301,0), Skills!M13+1)</f>
        <v/>
      </c>
      <c r="F1740">
        <f>IF(Skills!N13=TRUE,(Skills!L13/10)*(E1740/1000),Skills!L13/10)+Skills!O13</f>
        <v/>
      </c>
      <c r="G1740">
        <f>Skills!G13*IF(Skills!H13&gt;0,INT(IF(Inputs!$B$38="pvp",MIN(Skills!I13,15),Skills!I13)/Skills!H13+0.000000001),1)</f>
        <v/>
      </c>
      <c r="H1740">
        <f>1-(1-Skills!J13/100)^Skills!K13</f>
        <v/>
      </c>
      <c r="I1740" t="inlineStr">
        <is>
          <t>1</t>
        </is>
      </c>
      <c r="J1740">
        <f>((Inputs!$B$6*(1+Inputs!$B$7/100))+(((Inputs!$B$12*(1+Inputs!$B$13/100))-(Inputs!$B$12*(1+Inputs!$B$13/100)))+0.25*(Inputs!$B$14-Inputs!$B$14))*(1+Inputs!$B$7/100))*(F1740/100)</f>
        <v/>
      </c>
      <c r="K1740">
        <f>J1740*(1+((Inputs!$B$12*(1+Inputs!$B$13/100))*0.01+Inputs!$B$14*0.0025)/100)*(1+Inputs!$B$15/100)*(1+Inputs!$B$16/100)*(5000/(6000+Inputs!$B$42*(1-(100*(1-(1-(Inputs!$B$19+0)/100)*(1-CHOOSE(ArtifactsInput!$N$40+1,5,6,7,8,9,10)/100)^(ArtifactsInput!$M$40-ArtifactsInput!$M$40)))/100)))*(1+(Inputs!$B$24+((C1753=TRUE)*(F1753-Calc!F26))+B1764)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EIGHT_LEGS_EASTON",Inputs!$B$17+((C1750=TRUE)*(F1750-Calc!F23))+((C1754=TRUE)*(F1754-Calc!F27))+((IF(AND(Inputs!$B$38&lt;&gt;"pvp",Inputs!$B$43=0),1,IF(IF(Inputs!$B$38="pvp",15,Inputs!$B$43)-(B1765)&lt;=0,1,MAX(0,IF(Inputs!$B$38="pvp",15,Inputs!$B$43)-MAX(5,B1765))/(IF(Inputs!$B$38="pvp",15,Inputs!$B$43)-(B1765))))*(IF(AND(ArtifactsInput!$M$42,((Inputs!$B$9+((C1746=TRUE)*(F1746-Calc!F19))+B1758+(ArtifactsInput!$M$24-ArtifactsInput!$M$24)*CHOOSE(ArtifactsInput!$N$24+1,10,12,14,16,18,20)+IF(ArtifactsInput!$M$10,CHOOSE(ArtifactsInput!$N$10+1,15,18,21,24,27,30)*(IF(Inputs!$B$38="pvp",MIN(15,15)/15,IF(AND(Inputs!$B$38&lt;&gt;"pvp",Inputs!$B$43&gt;0),MIN(15,Inputs!$B$43)/(Inputs!$B$43),0))),0)))&gt;=100),MIN(100,((Inputs!$B$9+((C1746=TRUE)*(F1746-Calc!F19))+B1758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1765)&lt;=0,1,MAX(0,IF(Inputs!$B$38="pvp",15,Inputs!$B$43)-MAX(5,B1765))/(IF(Inputs!$B$38="pvp",15,Inputs!$B$43)-(B1765))))*IF(AND(ArtifactsInput!$M$42,((Inputs!$B$9+((C1746=TRUE)*(F1746-Calc!F19))+B1758+(ArtifactsInput!$M$24-ArtifactsInput!$M$24)*CHOOSE(ArtifactsInput!$N$24+1,10,12,14,16,18,20)+IF(ArtifactsInput!$M$10,CHOOSE(ArtifactsInput!$N$10+1,15,18,21,24,27,30)*(IF(Inputs!$B$38="pvp",MIN(15,15)/15,IF(AND(Inputs!$B$38&lt;&gt;"pvp",Inputs!$B$43&gt;0),MIN(15,Inputs!$B$43)/(Inputs!$B$43),0))),0)))&gt;=100),CHOOSE(ArtifactsInput!$N$42+1,40,48,56,64,72,80),0))))/100)*((1+(((C1744=TRUE)*F1744*5/7)+((C1751=TRUE)*(F1751-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1740)</f>
        <v/>
      </c>
      <c r="L1740">
        <f>K1740*(MIN(Inputs!$B$22+((C1749=TRUE)*(F1749-Calc!F22)),(Inputs!$B$23+0+(IF(ArtifactsInput!$M$15,CHOOSE(ArtifactsInput!$N$15+1,25,30,35,40,45,50)/100*(Inputs!$B$11-Inputs!$B$11),0))))/100+(Inputs!$B$23+0+(IF(ArtifactsInput!$M$15,CHOOSE(ArtifactsInput!$N$15+1,25,30,35,40,45,50)/100*(Inputs!$B$11-Inputs!$B$11),0)))/100)/2</f>
        <v/>
      </c>
      <c r="M1740">
        <f>L1740*(1+(Inputs!$B$10+((C1752=TRUE)*(F1752-Calc!F25))+B1763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40">
        <f>L1740*(1-MIN((Inputs!$B$9+((C1746=TRUE)*(F1746-Calc!F19))+B1758+(ArtifactsInput!$M$24-ArtifactsInput!$M$24)*CHOOSE(ArtifactsInput!$N$24+1,10,12,14,16,18,20)+(IF(AND(Inputs!$B$38&lt;&gt;"pvp",Inputs!$B$43=0),1,IF(IF(Inputs!$B$38="pvp",15,Inputs!$B$43)-(B1765)&lt;=0,1,MAX(0,IF(Inputs!$B$38="pvp",15,Inputs!$B$43)-MAX(5,B1765))/(IF(Inputs!$B$38="pvp",15,Inputs!$B$43)-(B1765))))*IF(AND(ArtifactsInput!$M$42,((Inputs!$B$9+((C1746=TRUE)*(F1746-Calc!F19))+B1758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1740*(MIN((Inputs!$B$9+((C1746=TRUE)*(F1746-Calc!F19))+B1758+(ArtifactsInput!$M$24-ArtifactsInput!$M$24)*CHOOSE(ArtifactsInput!$N$24+1,10,12,14,16,18,20)+(IF(AND(Inputs!$B$38&lt;&gt;"pvp",Inputs!$B$43=0),1,IF(IF(Inputs!$B$38="pvp",15,Inputs!$B$43)-(B1765)&lt;=0,1,MAX(0,IF(Inputs!$B$38="pvp",15,Inputs!$B$43)-MAX(5,B1765))/(IF(Inputs!$B$38="pvp",15,Inputs!$B$43)-(B1765))))*IF(AND(ArtifactsInput!$M$42,((Inputs!$B$9+((C1746=TRUE)*(F1746-Calc!F19))+B1758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40">
        <f>(1-Summary!$B$11)*T1740+Summary!$B$11*V1740</f>
        <v/>
      </c>
      <c r="P1740">
        <f>IF(B1768=0,0,O1740/B1768)</f>
        <v/>
      </c>
      <c r="Q1740">
        <f>IFERROR(1/(IF(Inputs!$B$38="pvp",15,MAX(0.1,Skills!D13-IF(TRUE=TRUE,Inputs!$B$32,0)))*(1-IF(AND(ArtifactsInput!$M$27,Inputs!$B$4="Chapter Hunt"),CHOOSE(ArtifactsInput!$N$27+1,20,24,28,32,36,40),0)/100)),0)</f>
        <v/>
      </c>
      <c r="R1740">
        <f>IF(AND(Inputs!$B$38&lt;&gt;"pvp",Inputs!$B$43&gt;0),IF(MAX(0,Inputs!$B$43-B1765)&lt;=0,0,(INT(MAX(0,Inputs!$B$43-B1765)/(IF(Inputs!$B$38="pvp",15,MAX(0.1,Skills!D13-IF(TRUE=TRUE,Inputs!$B$32,0)))*(1-IF(AND(ArtifactsInput!$M$27,Inputs!$B$4="Chapter Hunt"),CHOOSE(ArtifactsInput!$N$27+1,20,24,28,32,36,40),0)/100)))+1)),0)</f>
        <v/>
      </c>
      <c r="S1740">
        <f>IFERROR(O1740/N1740,0)</f>
        <v/>
      </c>
      <c r="T1740">
        <f>IF(C1740,(H1740*N1740*IF(AND(Inputs!$B$38&lt;&gt;"pvp",Inputs!$B$43&gt;0),((Skills!G13*((R1740-1)*IF(Skills!H13&gt;0,INT(Skills!I13/Skills!H13+0.000000001),1)+IF(Skills!H13&gt;0,INT(MIN(Skills!I13,MAX(0,MAX(0,Inputs!$B$43-B1765)-((R1740-1)*(IF(Inputs!$B$38="pvp",15,MAX(0.1,Skills!D13-IF(TRUE=TRUE,Inputs!$B$32,0)))*(1-IF(AND(ArtifactsInput!$M$27,Inputs!$B$4="Chapter Hunt"),CHOOSE(ArtifactsInput!$N$27+1,20,24,28,32,36,40),0)/100)))))/Skills!H13+0.000000001),1)))/Inputs!$B$43),G1740*Q1740))*IF(Inputs!$B$38="pvp",1,1+(Inputs!$B$20+0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Hunt"),CHOOSE(ArtifactsInput!$N$35+1,15,18,21,24,27,30)*(1-EXP(-(0.2*B1760)*5)),0)+IF(AND(ArtifactsInput!$M$22,Inputs!$B$4&lt;&gt;"Chapter Hunt"),CHOOSE(ArtifactsInput!$N$22+1,10,12,14,16,18,20)*((0*(((0.15*B1760*5))^0/1)+1*(((0.15*B1760*5))^1/1)+2*(((0.15*B1760*5))^2/2)+3*(((0.15*B1760*5))^3/6)+4*(((0.15*B1760*5))^4/24)+5*(((0.15*B1760*5))^5/120))/((((0.15*B1760*5))^0/1)+(((0.15*B1760*5))^1/1)+(((0.15*B1760*5))^2/2)+(((0.15*B1760*5))^3/6)+(((0.15*B1760*5))^4/24)+(((0.15*B1760*5))^5/120))),0))+IF(Inputs!$B$3&gt;=54,9*(C1730=TRUE)*MIN(1,8*(1+Inputs!$B$34/100)*Q1730)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1740*(1-MIN(100,(Inputs!$B$9+((C1746=TRUE)*(F1746-Calc!F19))+B1758+(ArtifactsInput!$M$24-ArtifactsInput!$M$24)*CHOOSE(ArtifactsInput!$N$24+1,10,12,14,16,18,20)+(IF(AND(Inputs!$B$38&lt;&gt;"pvp",Inputs!$B$43=0),1,IF(IF(Inputs!$B$38="pvp",15,Inputs!$B$43)-(B1765)&lt;=0,1,MAX(0,IF(Inputs!$B$38="pvp",15,Inputs!$B$43)-MAX(5,B1765))/(IF(Inputs!$B$38="pvp",15,Inputs!$B$43)-(B1765))))*IF(AND(ArtifactsInput!$M$42,((Inputs!$B$9+((C1746=TRUE)*(F1746-Calc!F19))+B1758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1740*(MIN(100,(Inputs!$B$9+((C1746=TRUE)*(F1746-Calc!F19))+B1758+(ArtifactsInput!$M$24-ArtifactsInput!$M$24)*CHOOSE(ArtifactsInput!$N$24+1,10,12,14,16,18,20)+(IF(AND(Inputs!$B$38&lt;&gt;"pvp",Inputs!$B$43=0),1,IF(IF(Inputs!$B$38="pvp",15,Inputs!$B$43)-(B1765)&lt;=0,1,MAX(0,IF(Inputs!$B$38="pvp",15,Inputs!$B$43)-MAX(5,B1765))/(IF(Inputs!$B$38="pvp",15,Inputs!$B$43)-(B1765))))*IF(AND(ArtifactsInput!$M$42,((Inputs!$B$9+((C1746=TRUE)*(F1746-Calc!F19))+B1758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1740*(1-MIN(100,(Inputs!$B$9+((C1746=TRUE)*(F1746-Calc!F19))+B1758+(ArtifactsInput!$M$24-ArtifactsInput!$M$24)*CHOOSE(ArtifactsInput!$N$24+1,10,12,14,16,18,20)+(IF(AND(Inputs!$B$38&lt;&gt;"pvp",Inputs!$B$43=0),1,IF(IF(Inputs!$B$38="pvp",15,Inputs!$B$43)-(B1765)&lt;=0,1,MAX(0,IF(Inputs!$B$38="pvp",15,Inputs!$B$43)-MAX(5,B1765))/(IF(Inputs!$B$38="pvp",15,Inputs!$B$43)-(B1765))))*IF(AND(ArtifactsInput!$M$42,((Inputs!$B$9+((C1746=TRUE)*(F1746-Calc!F19))+B1758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1740*(MIN(100,(Inputs!$B$9+((C1746=TRUE)*(F1746-Calc!F19))+B1758+(ArtifactsInput!$M$24-ArtifactsInput!$M$24)*CHOOSE(ArtifactsInput!$N$24+1,10,12,14,16,18,20)+(IF(AND(Inputs!$B$38&lt;&gt;"pvp",Inputs!$B$43=0),1,IF(IF(Inputs!$B$38="pvp",15,Inputs!$B$43)-(B1765)&lt;=0,1,MAX(0,IF(Inputs!$B$38="pvp",15,Inputs!$B$43)-MAX(5,B1765))/(IF(Inputs!$B$38="pvp",15,Inputs!$B$43)-(B1765))))*IF(AND(ArtifactsInput!$M$42,((Inputs!$B$9+((C1746=TRUE)*(F1746-Calc!F19))+B1758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740">
        <f>IF(C1740,(H1740*N1740*IF(AND(Inputs!$B$38&lt;&gt;"pvp",Inputs!$B$43&gt;0),((Skills!G13*((R1740-1)*IF(Skills!H13&gt;0,INT(Skills!I13/Skills!H13+0.000000001),1)+IF(Skills!H13&gt;0,INT(MIN(Skills!I13,MAX(0,MAX(0,Inputs!$B$43-B1765)-((R1740-1)*(IF(Inputs!$B$38="pvp",15,MAX(0.1,Skills!D13-IF(TRUE=TRUE,Inputs!$B$32,0)))*(1-IF(AND(ArtifactsInput!$M$27,Inputs!$B$4="Chapter Hunt"),CHOOSE(ArtifactsInput!$N$27+1,20,24,28,32,36,40),0)/100)))))/Skills!H13+0.000000001),1)))/Inputs!$B$43),G1740*Q1740))*IF(Inputs!$B$38="pvp",1,(1+(Inputs!$B$21+Skills!Q13+(IF(ArtifactsInput!$M$33,CHOOSE(ArtifactsInput!$N$33+1,30,36,42,48,54,60),0))+(IF(AND(ArtifactsInput!$M$35,Inputs!$B$4&lt;&gt;"Chapter Hunt"),CHOOSE(ArtifactsInput!$N$35+1,15,18,21,24,27,30)*(1-EXP(-(0.2*B1760)*5)),0)+IF(AND(ArtifactsInput!$M$22,Inputs!$B$4&lt;&gt;"Chapter Hunt"),CHOOSE(ArtifactsInput!$N$22+1,10,12,14,16,18,20)*((0*(((0.15*B1760*5))^0/1)+1*(((0.15*B1760*5))^1/1)+2*(((0.15*B1760*5))^2/2)+3*(((0.15*B1760*5))^3/6)+4*(((0.15*B1760*5))^4/24)+5*(((0.15*B1760*5))^5/120))/((((0.15*B1760*5))^0/1)+(((0.15*B1760*5))^1/1)+(((0.15*B1760*5))^2/2)+(((0.15*B1760*5))^3/6)+(((0.15*B1760*5))^4/24)+(((0.15*B1760*5))^5/120))),0))+IF(Inputs!$B$3&gt;=54,9*(C1730=TRUE)*MIN(1,8*(1+Inputs!$B$34/100)*Q1730),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41">
      <c r="A1741">
        <f>Skills!A14</f>
        <v/>
      </c>
      <c r="B1741">
        <f>Skills!B14</f>
        <v/>
      </c>
      <c r="C1741">
        <f>Inputs!$B$3&gt;=120</f>
        <v/>
      </c>
      <c r="D1741">
        <f>IF(Skills!C14=1,60+Inputs!$B$25+Inputs!$B$29,IF(Skills!C14=2,90+Inputs!$B$26+Inputs!$B$29,IF(Skills!C14=3,120+Inputs!$B$27+Inputs!$B$29,MAX(0,(Inputs!$B$3-100)*3)+Inputs!$B$28+Inputs!$B$29)))</f>
        <v/>
      </c>
      <c r="E1741">
        <f>INDEX(FactorTable!$B$2:$Y$301, MATCH(ROUND(MIN(300,MAX(1,D1741)),0), FactorTable!$A$2:$A$301,0), Skills!M14+1)</f>
        <v/>
      </c>
      <c r="F1741">
        <f>IF(Skills!N14=TRUE,(Skills!L14/10)*(E1741/1000),Skills!L14/10)+Skills!O14</f>
        <v/>
      </c>
      <c r="G1741">
        <f>Skills!G14*IF(Skills!H14&gt;0,INT(IF(Inputs!$B$38="pvp",MIN(Skills!I14,15),Skills!I14)/Skills!H14+0.000000001),1)</f>
        <v/>
      </c>
      <c r="H1741">
        <f>1-(1-Skills!J14/100)^Skills!K14</f>
        <v/>
      </c>
      <c r="I1741" t="inlineStr">
        <is>
          <t>1</t>
        </is>
      </c>
      <c r="J1741">
        <f>((Inputs!$B$6*(1+Inputs!$B$7/100))+(((Inputs!$B$12*(1+Inputs!$B$13/100))-(Inputs!$B$12*(1+Inputs!$B$13/100)))+0.25*(Inputs!$B$14-Inputs!$B$14))*(1+Inputs!$B$7/100))*(F1741/100)</f>
        <v/>
      </c>
      <c r="K1741">
        <f>J1741*(1+((Inputs!$B$12*(1+Inputs!$B$13/100))*0.01+Inputs!$B$14*0.0025)/100)*(1+Inputs!$B$15/100)*(1+Inputs!$B$16/100)*(5000/(6000+Inputs!$B$42*(1-(100*(1-(1-(Inputs!$B$19+0)/100)*(1-CHOOSE(ArtifactsInput!$N$40+1,5,6,7,8,9,10)/100)^(ArtifactsInput!$M$40-ArtifactsInput!$M$40)))/100)))*(1+(Inputs!$B$24+((C1753=TRUE)*(F1753-Calc!F26))+B1764)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EIGHT_LEGS_EASTON",Inputs!$B$17+((C1750=TRUE)*(F1750-Calc!F23))+((C1754=TRUE)*(F1754-Calc!F27))+((IF(AND(Inputs!$B$38&lt;&gt;"pvp",Inputs!$B$43=0),1,IF(IF(Inputs!$B$38="pvp",15,Inputs!$B$43)-(B1765)&lt;=0,1,MAX(0,IF(Inputs!$B$38="pvp",15,Inputs!$B$43)-MAX(5,B1765))/(IF(Inputs!$B$38="pvp",15,Inputs!$B$43)-(B1765))))*(IF(AND(ArtifactsInput!$M$42,((Inputs!$B$9+((C1746=TRUE)*(F1746-Calc!F19))+B1758+(ArtifactsInput!$M$24-ArtifactsInput!$M$24)*CHOOSE(ArtifactsInput!$N$24+1,10,12,14,16,18,20)+IF(ArtifactsInput!$M$10,CHOOSE(ArtifactsInput!$N$10+1,15,18,21,24,27,30)*(IF(Inputs!$B$38="pvp",MIN(15,15)/15,IF(AND(Inputs!$B$38&lt;&gt;"pvp",Inputs!$B$43&gt;0),MIN(15,Inputs!$B$43)/(Inputs!$B$43),0))),0)))&gt;=100),MIN(100,((Inputs!$B$9+((C1746=TRUE)*(F1746-Calc!F19))+B1758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1765)&lt;=0,1,MAX(0,IF(Inputs!$B$38="pvp",15,Inputs!$B$43)-MAX(5,B1765))/(IF(Inputs!$B$38="pvp",15,Inputs!$B$43)-(B1765))))*IF(AND(ArtifactsInput!$M$42,((Inputs!$B$9+((C1746=TRUE)*(F1746-Calc!F19))+B1758+(ArtifactsInput!$M$24-ArtifactsInput!$M$24)*CHOOSE(ArtifactsInput!$N$24+1,10,12,14,16,18,20)+IF(ArtifactsInput!$M$10,CHOOSE(ArtifactsInput!$N$10+1,15,18,21,24,27,30)*(IF(Inputs!$B$38="pvp",MIN(15,15)/15,IF(AND(Inputs!$B$38&lt;&gt;"pvp",Inputs!$B$43&gt;0),MIN(15,Inputs!$B$43)/(Inputs!$B$43),0))),0)))&gt;=100),CHOOSE(ArtifactsInput!$N$42+1,40,48,56,64,72,80),0))))/100)*((1+(((C1744=TRUE)*F1744*5/7)+((C1751=TRUE)*(F1751-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1741)</f>
        <v/>
      </c>
      <c r="L1741">
        <f>K1741*(MIN(Inputs!$B$22+((C1749=TRUE)*(F1749-Calc!F22)),(Inputs!$B$23+0+(IF(ArtifactsInput!$M$15,CHOOSE(ArtifactsInput!$N$15+1,25,30,35,40,45,50)/100*(Inputs!$B$11-Inputs!$B$11),0))))/100+(Inputs!$B$23+0+(IF(ArtifactsInput!$M$15,CHOOSE(ArtifactsInput!$N$15+1,25,30,35,40,45,50)/100*(Inputs!$B$11-Inputs!$B$11),0)))/100)/2</f>
        <v/>
      </c>
      <c r="M1741">
        <f>L1741*(1+(Inputs!$B$10+((C1752=TRUE)*(F1752-Calc!F25))+B1763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41">
        <f>L1741*(1-MIN((Inputs!$B$9+((C1746=TRUE)*(F1746-Calc!F19))+B1758+(ArtifactsInput!$M$24-ArtifactsInput!$M$24)*CHOOSE(ArtifactsInput!$N$24+1,10,12,14,16,18,20)+(IF(AND(Inputs!$B$38&lt;&gt;"pvp",Inputs!$B$43=0),1,IF(IF(Inputs!$B$38="pvp",15,Inputs!$B$43)-(B1765)&lt;=0,1,MAX(0,IF(Inputs!$B$38="pvp",15,Inputs!$B$43)-MAX(5,B1765))/(IF(Inputs!$B$38="pvp",15,Inputs!$B$43)-(B1765))))*IF(AND(ArtifactsInput!$M$42,((Inputs!$B$9+((C1746=TRUE)*(F1746-Calc!F19))+B1758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1741*(MIN((Inputs!$B$9+((C1746=TRUE)*(F1746-Calc!F19))+B1758+(ArtifactsInput!$M$24-ArtifactsInput!$M$24)*CHOOSE(ArtifactsInput!$N$24+1,10,12,14,16,18,20)+(IF(AND(Inputs!$B$38&lt;&gt;"pvp",Inputs!$B$43=0),1,IF(IF(Inputs!$B$38="pvp",15,Inputs!$B$43)-(B1765)&lt;=0,1,MAX(0,IF(Inputs!$B$38="pvp",15,Inputs!$B$43)-MAX(5,B1765))/(IF(Inputs!$B$38="pvp",15,Inputs!$B$43)-(B1765))))*IF(AND(ArtifactsInput!$M$42,((Inputs!$B$9+((C1746=TRUE)*(F1746-Calc!F19))+B1758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41">
        <f>(1-Summary!$B$11)*T1741+Summary!$B$11*V1741</f>
        <v/>
      </c>
      <c r="P1741">
        <f>IF(B1768=0,0,O1741/B1768)</f>
        <v/>
      </c>
      <c r="Q1741" t="n">
        <v>0</v>
      </c>
      <c r="R1741" t="n">
        <v>0</v>
      </c>
      <c r="S1741">
        <f>IFERROR(O1741/N1741,0)</f>
        <v/>
      </c>
      <c r="T1741">
        <f>IF(C1741,((H1741*(B1762+IF(AND(Inputs!$B$38&lt;&gt;"pvp",Inputs!$B$43&gt;0),((Skills!G8*((R1735-1)*IF(Skills!H8&gt;0,INT(Skills!I8/Skills!H8+0.000000001),1)+IF(Skills!H8&gt;0,INT(MIN(Skills!I8,MAX(0,MAX(0,Inputs!$B$43-B1765)-((R1735-1)*((IF(Inputs!$B$38="pvp",15,MAX(0.1,Skills!D8-IF(TRUE=TRUE,Inputs!$B$32,0)))*(1-IF(AND(ArtifactsInput!$M$27,Inputs!$B$4="Chapter Hunt"),CHOOSE(ArtifactsInput!$N$27+1,20,24,28,32,36,40),0)/100))/B1769))))/Skills!H8+0.000000001),1)))/Inputs!$B$43),G1735*Q1735)+IF(AND(Inputs!$B$38&lt;&gt;"pvp",Inputs!$B$43&gt;0),((Skills!G11*((R1738-1)*IF(Skills!H11&gt;0,INT(Skills!I11/Skills!H11+0.000000001),1)+IF(Skills!H11&gt;0,INT(MIN(Skills!I11,MAX(0,MAX(0,Inputs!$B$43-B1765)-((R1738-1)*((IF(Inputs!$B$38="pvp",15,MAX(0.1,Skills!D11-IF(TRUE=TRUE,Inputs!$B$32,0)))*(1-IF(AND(ArtifactsInput!$M$27,Inputs!$B$4="Chapter Hunt"),CHOOSE(ArtifactsInput!$N$27+1,20,24,28,32,36,40),0)/100))/B1769))))/Skills!H11+0.000000001),1)))/Inputs!$B$43),G1738*Q1738)))/(1+Skills!H14*H1741*(B1762+IF(AND(Inputs!$B$38&lt;&gt;"pvp",Inputs!$B$43&gt;0),((Skills!G8*((R1735-1)*IF(Skills!H8&gt;0,INT(Skills!I8/Skills!H8+0.000000001),1)+IF(Skills!H8&gt;0,INT(MIN(Skills!I8,MAX(0,MAX(0,Inputs!$B$43-B1765)-((R1735-1)*((IF(Inputs!$B$38="pvp",15,MAX(0.1,Skills!D8-IF(TRUE=TRUE,Inputs!$B$32,0)))*(1-IF(AND(ArtifactsInput!$M$27,Inputs!$B$4="Chapter Hunt"),CHOOSE(ArtifactsInput!$N$27+1,20,24,28,32,36,40),0)/100))/B1769))))/Skills!H8+0.000000001),1)))/Inputs!$B$43),G1735*Q1735)+IF(AND(Inputs!$B$38&lt;&gt;"pvp",Inputs!$B$43&gt;0),((Skills!G11*((R1738-1)*IF(Skills!H11&gt;0,INT(Skills!I11/Skills!H11+0.000000001),1)+IF(Skills!H11&gt;0,INT(MIN(Skills!I11,MAX(0,MAX(0,Inputs!$B$43-B1765)-((R1738-1)*((IF(Inputs!$B$38="pvp",15,MAX(0.1,Skills!D11-IF(TRUE=TRUE,Inputs!$B$32,0)))*(1-IF(AND(ArtifactsInput!$M$27,Inputs!$B$4="Chapter Hunt"),CHOOSE(ArtifactsInput!$N$27+1,20,24,28,32,36,40),0)/100))/B1769))))/Skills!H11+0.000000001),1)))/Inputs!$B$43),G1738*Q1738)))*N1741)*IF(Inputs!$B$38="pvp",1,1+(Inputs!$B$20+0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Hunt"),CHOOSE(ArtifactsInput!$N$35+1,15,18,21,24,27,30)*(1-EXP(-(0.2*B1760)*5)),0)+IF(AND(ArtifactsInput!$M$22,Inputs!$B$4&lt;&gt;"Chapter Hunt"),CHOOSE(ArtifactsInput!$N$22+1,10,12,14,16,18,20)*((0*(((0.15*B1760*5))^0/1)+1*(((0.15*B1760*5))^1/1)+2*(((0.15*B1760*5))^2/2)+3*(((0.15*B1760*5))^3/6)+4*(((0.15*B1760*5))^4/24)+5*(((0.15*B1760*5))^5/120))/((((0.15*B1760*5))^0/1)+(((0.15*B1760*5))^1/1)+(((0.15*B1760*5))^2/2)+(((0.15*B1760*5))^3/6)+(((0.15*B1760*5))^4/24)+(((0.15*B1760*5))^5/120))),0))+IF(Inputs!$B$3&gt;=54,9*(C1730=TRUE)*MIN(1,8*(1+Inputs!$B$34/100)*Q1730)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1741*(1-MIN(100,(Inputs!$B$9+((C1746=TRUE)*(F1746-Calc!F19))+B1758+(ArtifactsInput!$M$24-ArtifactsInput!$M$24)*CHOOSE(ArtifactsInput!$N$24+1,10,12,14,16,18,20)+(IF(AND(Inputs!$B$38&lt;&gt;"pvp",Inputs!$B$43=0),1,IF(IF(Inputs!$B$38="pvp",15,Inputs!$B$43)-(B1765)&lt;=0,1,MAX(0,IF(Inputs!$B$38="pvp",15,Inputs!$B$43)-MAX(5,B1765))/(IF(Inputs!$B$38="pvp",15,Inputs!$B$43)-(B1765))))*IF(AND(ArtifactsInput!$M$42,((Inputs!$B$9+((C1746=TRUE)*(F1746-Calc!F19))+B1758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1741*(MIN(100,(Inputs!$B$9+((C1746=TRUE)*(F1746-Calc!F19))+B1758+(ArtifactsInput!$M$24-ArtifactsInput!$M$24)*CHOOSE(ArtifactsInput!$N$24+1,10,12,14,16,18,20)+(IF(AND(Inputs!$B$38&lt;&gt;"pvp",Inputs!$B$43=0),1,IF(IF(Inputs!$B$38="pvp",15,Inputs!$B$43)-(B1765)&lt;=0,1,MAX(0,IF(Inputs!$B$38="pvp",15,Inputs!$B$43)-MAX(5,B1765))/(IF(Inputs!$B$38="pvp",15,Inputs!$B$43)-(B1765))))*IF(AND(ArtifactsInput!$M$42,((Inputs!$B$9+((C1746=TRUE)*(F1746-Calc!F19))+B1758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1741*(1-MIN(100,(Inputs!$B$9+((C1746=TRUE)*(F1746-Calc!F19))+B1758+(ArtifactsInput!$M$24-ArtifactsInput!$M$24)*CHOOSE(ArtifactsInput!$N$24+1,10,12,14,16,18,20)+(IF(AND(Inputs!$B$38&lt;&gt;"pvp",Inputs!$B$43=0),1,IF(IF(Inputs!$B$38="pvp",15,Inputs!$B$43)-(B1765)&lt;=0,1,MAX(0,IF(Inputs!$B$38="pvp",15,Inputs!$B$43)-MAX(5,B1765))/(IF(Inputs!$B$38="pvp",15,Inputs!$B$43)-(B1765))))*IF(AND(ArtifactsInput!$M$42,((Inputs!$B$9+((C1746=TRUE)*(F1746-Calc!F19))+B1758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1741*(MIN(100,(Inputs!$B$9+((C1746=TRUE)*(F1746-Calc!F19))+B1758+(ArtifactsInput!$M$24-ArtifactsInput!$M$24)*CHOOSE(ArtifactsInput!$N$24+1,10,12,14,16,18,20)+(IF(AND(Inputs!$B$38&lt;&gt;"pvp",Inputs!$B$43=0),1,IF(IF(Inputs!$B$38="pvp",15,Inputs!$B$43)-(B1765)&lt;=0,1,MAX(0,IF(Inputs!$B$38="pvp",15,Inputs!$B$43)-MAX(5,B1765))/(IF(Inputs!$B$38="pvp",15,Inputs!$B$43)-(B1765))))*IF(AND(ArtifactsInput!$M$42,((Inputs!$B$9+((C1746=TRUE)*(F1746-Calc!F19))+B1758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741">
        <f>IF(C1741,((H1741*(B1762+IF(AND(Inputs!$B$38&lt;&gt;"pvp",Inputs!$B$43&gt;0),((Skills!G8*((R1735-1)*IF(Skills!H8&gt;0,INT(Skills!I8/Skills!H8+0.000000001),1)+IF(Skills!H8&gt;0,INT(MIN(Skills!I8,MAX(0,MAX(0,Inputs!$B$43-B1765)-((R1735-1)*((IF(Inputs!$B$38="pvp",15,MAX(0.1,Skills!D8-IF(TRUE=TRUE,Inputs!$B$32,0)))*(1-IF(AND(ArtifactsInput!$M$27,Inputs!$B$4="Chapter Hunt"),CHOOSE(ArtifactsInput!$N$27+1,20,24,28,32,36,40),0)/100))/B1769))))/Skills!H8+0.000000001),1)))/Inputs!$B$43),G1735*Q1735)+IF(AND(Inputs!$B$38&lt;&gt;"pvp",Inputs!$B$43&gt;0),((Skills!G11*((R1738-1)*IF(Skills!H11&gt;0,INT(Skills!I11/Skills!H11+0.000000001),1)+IF(Skills!H11&gt;0,INT(MIN(Skills!I11,MAX(0,MAX(0,Inputs!$B$43-B1765)-((R1738-1)*((IF(Inputs!$B$38="pvp",15,MAX(0.1,Skills!D11-IF(TRUE=TRUE,Inputs!$B$32,0)))*(1-IF(AND(ArtifactsInput!$M$27,Inputs!$B$4="Chapter Hunt"),CHOOSE(ArtifactsInput!$N$27+1,20,24,28,32,36,40),0)/100))/B1769))))/Skills!H11+0.000000001),1)))/Inputs!$B$43),G1738*Q1738)))/(1+Skills!H14*H1741*(B1762+IF(AND(Inputs!$B$38&lt;&gt;"pvp",Inputs!$B$43&gt;0),((Skills!G8*((R1735-1)*IF(Skills!H8&gt;0,INT(Skills!I8/Skills!H8+0.000000001),1)+IF(Skills!H8&gt;0,INT(MIN(Skills!I8,MAX(0,MAX(0,Inputs!$B$43-B1765)-((R1735-1)*((IF(Inputs!$B$38="pvp",15,MAX(0.1,Skills!D8-IF(TRUE=TRUE,Inputs!$B$32,0)))*(1-IF(AND(ArtifactsInput!$M$27,Inputs!$B$4="Chapter Hunt"),CHOOSE(ArtifactsInput!$N$27+1,20,24,28,32,36,40),0)/100))/B1769))))/Skills!H8+0.000000001),1)))/Inputs!$B$43),G1735*Q1735)+IF(AND(Inputs!$B$38&lt;&gt;"pvp",Inputs!$B$43&gt;0),((Skills!G11*((R1738-1)*IF(Skills!H11&gt;0,INT(Skills!I11/Skills!H11+0.000000001),1)+IF(Skills!H11&gt;0,INT(MIN(Skills!I11,MAX(0,MAX(0,Inputs!$B$43-B1765)-((R1738-1)*((IF(Inputs!$B$38="pvp",15,MAX(0.1,Skills!D11-IF(TRUE=TRUE,Inputs!$B$32,0)))*(1-IF(AND(ArtifactsInput!$M$27,Inputs!$B$4="Chapter Hunt"),CHOOSE(ArtifactsInput!$N$27+1,20,24,28,32,36,40),0)/100))/B1769))))/Skills!H11+0.000000001),1)))/Inputs!$B$43),G1738*Q1738)))*N1741)*IF(Inputs!$B$38="pvp",1,(1+(Inputs!$B$21+Skills!Q14+(IF(ArtifactsInput!$M$33,CHOOSE(ArtifactsInput!$N$33+1,30,36,42,48,54,60),0))+(IF(AND(ArtifactsInput!$M$35,Inputs!$B$4&lt;&gt;"Chapter Hunt"),CHOOSE(ArtifactsInput!$N$35+1,15,18,21,24,27,30)*(1-EXP(-(0.2*B1760)*5)),0)+IF(AND(ArtifactsInput!$M$22,Inputs!$B$4&lt;&gt;"Chapter Hunt"),CHOOSE(ArtifactsInput!$N$22+1,10,12,14,16,18,20)*((0*(((0.15*B1760*5))^0/1)+1*(((0.15*B1760*5))^1/1)+2*(((0.15*B1760*5))^2/2)+3*(((0.15*B1760*5))^3/6)+4*(((0.15*B1760*5))^4/24)+5*(((0.15*B1760*5))^5/120))/((((0.15*B1760*5))^0/1)+(((0.15*B1760*5))^1/1)+(((0.15*B1760*5))^2/2)+(((0.15*B1760*5))^3/6)+(((0.15*B1760*5))^4/24)+(((0.15*B1760*5))^5/120))),0))+IF(Inputs!$B$3&gt;=54,9*(C1730=TRUE)*MIN(1,8*(1+Inputs!$B$34/100)*Q1730),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42">
      <c r="A1742">
        <f>Skills!A15</f>
        <v/>
      </c>
      <c r="B1742">
        <f>Skills!B15</f>
        <v/>
      </c>
      <c r="C1742">
        <f>Inputs!$B$3&gt;=100</f>
        <v/>
      </c>
      <c r="D1742">
        <f>IF(Skills!C15=1,60+Inputs!$B$25+Inputs!$B$29,IF(Skills!C15=2,90+Inputs!$B$26+Inputs!$B$29,IF(Skills!C15=3,120+Inputs!$B$27+Inputs!$B$29,MAX(0,(Inputs!$B$3-100)*3)+Inputs!$B$28+Inputs!$B$29)))</f>
        <v/>
      </c>
      <c r="E1742">
        <f>INDEX(FactorTable!$B$2:$Y$301, MATCH(ROUND(MIN(300,MAX(1,D1742)),0), FactorTable!$A$2:$A$301,0), Skills!M15+1)</f>
        <v/>
      </c>
      <c r="F1742">
        <f>IF(Skills!N15=TRUE,(Skills!L15/10)*(E1742/1000),Skills!L15/10)+Skills!O15</f>
        <v/>
      </c>
      <c r="G1742" t="inlineStr"/>
      <c r="H1742" t="inlineStr"/>
      <c r="I1742" t="inlineStr">
        <is>
          <t>1</t>
        </is>
      </c>
      <c r="J1742" t="inlineStr"/>
      <c r="K1742" t="inlineStr"/>
      <c r="L1742" t="inlineStr"/>
      <c r="M1742" t="inlineStr"/>
      <c r="N1742" t="inlineStr"/>
      <c r="O1742" t="inlineStr"/>
      <c r="P1742" t="inlineStr"/>
      <c r="Q1742" t="inlineStr"/>
      <c r="R1742" t="inlineStr"/>
      <c r="S1742" t="inlineStr"/>
    </row>
    <row r="1743">
      <c r="A1743">
        <f>Skills!A16</f>
        <v/>
      </c>
      <c r="B1743">
        <f>Skills!B16</f>
        <v/>
      </c>
      <c r="C1743">
        <f>Inputs!$B$3&gt;=107</f>
        <v/>
      </c>
      <c r="D1743">
        <f>IF(Skills!C16=1,60+Inputs!$B$25+Inputs!$B$29,IF(Skills!C16=2,90+Inputs!$B$26+Inputs!$B$29,IF(Skills!C16=3,120+Inputs!$B$27+Inputs!$B$29,MAX(0,(Inputs!$B$3-100)*3)+Inputs!$B$28+Inputs!$B$29)))</f>
        <v/>
      </c>
      <c r="E1743">
        <f>INDEX(FactorTable!$B$2:$Y$301, MATCH(ROUND(MIN(300,MAX(1,D1743)),0), FactorTable!$A$2:$A$301,0), Skills!M16+1)</f>
        <v/>
      </c>
      <c r="F1743">
        <f>IF(Skills!N16=TRUE,(Skills!L16/10)*(E1743/1000),Skills!L16/10)+Skills!O16</f>
        <v/>
      </c>
      <c r="G1743" t="inlineStr"/>
      <c r="H1743" t="inlineStr"/>
      <c r="I1743" t="inlineStr">
        <is>
          <t>1</t>
        </is>
      </c>
      <c r="J1743" t="inlineStr"/>
      <c r="K1743" t="inlineStr"/>
      <c r="L1743" t="inlineStr"/>
      <c r="M1743" t="inlineStr"/>
      <c r="N1743" t="inlineStr"/>
      <c r="O1743" t="inlineStr"/>
      <c r="P1743" t="inlineStr"/>
      <c r="Q1743" t="inlineStr"/>
      <c r="R1743" t="inlineStr"/>
      <c r="S1743" t="inlineStr"/>
    </row>
    <row r="1744">
      <c r="A1744">
        <f>Skills!A17</f>
        <v/>
      </c>
      <c r="B1744">
        <f>Skills!B17</f>
        <v/>
      </c>
      <c r="C1744">
        <f>Inputs!$B$3&gt;=74</f>
        <v/>
      </c>
      <c r="D1744">
        <f>IF(Skills!C17=1,60+Inputs!$B$25+Inputs!$B$29,IF(Skills!C17=2,90+Inputs!$B$26+Inputs!$B$29,IF(Skills!C17=3,120+Inputs!$B$27+Inputs!$B$29,MAX(0,(Inputs!$B$3-100)*3)+Inputs!$B$28+Inputs!$B$29)))</f>
        <v/>
      </c>
      <c r="E1744">
        <f>INDEX(FactorTable!$B$2:$Y$301, MATCH(ROUND(MIN(300,MAX(1,D1744)),0), FactorTable!$A$2:$A$301,0), Skills!M17+1)</f>
        <v/>
      </c>
      <c r="F1744">
        <f>IF(Skills!N17=TRUE,(Skills!L17/10)*(E1744/1000),Skills!L17/10)+Skills!O17</f>
        <v/>
      </c>
      <c r="G1744">
        <f>Skills!G17*IF(Skills!H17&gt;0,INT(IF(Inputs!$B$38="pvp",MIN(Skills!I17,15),Skills!I17)/Skills!H17+0.000000001),1)</f>
        <v/>
      </c>
      <c r="H1744">
        <f>1-(1-Skills!J17/100)^Skills!K17</f>
        <v/>
      </c>
      <c r="I1744" t="inlineStr">
        <is>
          <t>1</t>
        </is>
      </c>
      <c r="J1744" t="inlineStr"/>
      <c r="K1744" t="inlineStr"/>
      <c r="L1744" t="inlineStr"/>
      <c r="M1744" t="inlineStr"/>
      <c r="N1744" t="inlineStr"/>
      <c r="O1744">
        <f>(1-Summary!$B$11)*T1744+Summary!$B$11*V1744</f>
        <v/>
      </c>
      <c r="P1744">
        <f>IF(B1768=0,0,O1744/B1768)</f>
        <v/>
      </c>
      <c r="Q1744" t="n">
        <v>0</v>
      </c>
      <c r="R1744" t="n">
        <v>0</v>
      </c>
      <c r="S1744">
        <f>IFERROR(O1744/N1744,0)</f>
        <v/>
      </c>
      <c r="T1744" t="n">
        <v>0</v>
      </c>
      <c r="V1744" t="n">
        <v>0</v>
      </c>
    </row>
    <row r="1745">
      <c r="A1745">
        <f>Skills!A18</f>
        <v/>
      </c>
      <c r="B1745">
        <f>Skills!B18</f>
        <v/>
      </c>
      <c r="C1745">
        <f>Inputs!$B$3&gt;=115</f>
        <v/>
      </c>
      <c r="D1745">
        <f>IF(Skills!C18=1,60+Inputs!$B$25+Inputs!$B$29,IF(Skills!C18=2,90+Inputs!$B$26+Inputs!$B$29,IF(Skills!C18=3,120+Inputs!$B$27+Inputs!$B$29,MAX(0,(Inputs!$B$3-100)*3)+Inputs!$B$28+Inputs!$B$29)))</f>
        <v/>
      </c>
      <c r="E1745">
        <f>INDEX(FactorTable!$B$2:$Y$301, MATCH(ROUND(MIN(300,MAX(1,D1745)),0), FactorTable!$A$2:$A$301,0), Skills!M18+1)</f>
        <v/>
      </c>
      <c r="F1745">
        <f>IF(Skills!N18=TRUE,(Skills!L18/10)*(E1745/1000),Skills!L18/10)+Skills!O18</f>
        <v/>
      </c>
      <c r="G1745">
        <f>Skills!G18*IF(Skills!H18&gt;0,INT(IF(Inputs!$B$38="pvp",MIN(Skills!I18,15),Skills!I18)/Skills!H18+0.000000001),1)</f>
        <v/>
      </c>
      <c r="H1745">
        <f>1-(1-Skills!J18/100)^Skills!K18</f>
        <v/>
      </c>
      <c r="I1745" t="inlineStr">
        <is>
          <t>1</t>
        </is>
      </c>
      <c r="J1745" t="inlineStr"/>
      <c r="K1745" t="inlineStr"/>
      <c r="L1745" t="inlineStr"/>
      <c r="M1745" t="inlineStr"/>
      <c r="N1745" t="inlineStr"/>
      <c r="O1745">
        <f>(1-Summary!$B$11)*T1745+Summary!$B$11*V1745</f>
        <v/>
      </c>
      <c r="P1745">
        <f>IF(B1768=0,0,O1745/B1768)</f>
        <v/>
      </c>
      <c r="Q1745">
        <f>IFERROR(1/(IF(Inputs!$B$38="pvp",15,MAX(0.1,Skills!D18-IF(TRUE=TRUE,Inputs!$B$32,0)))*(1-IF(AND(ArtifactsInput!$M$27,Inputs!$B$4="Chapter Hunt"),CHOOSE(ArtifactsInput!$N$27+1,20,24,28,32,36,40),0)/100)),0)</f>
        <v/>
      </c>
      <c r="R1745">
        <f>IF(AND(Inputs!$B$38&lt;&gt;"pvp",Inputs!$B$43&gt;0),IF(Inputs!$B$43&lt;=0,0,(INT(Inputs!$B$43/(IF(Inputs!$B$38="pvp",15,MAX(0.1,Skills!D18-IF(TRUE=TRUE,Inputs!$B$32,0)))*(1-IF(AND(ArtifactsInput!$M$27,Inputs!$B$4="Chapter Hunt"),CHOOSE(ArtifactsInput!$N$27+1,20,24,28,32,36,40),0)/100)))+1)),0)</f>
        <v/>
      </c>
      <c r="S1745">
        <f>IFERROR(O1745/N1745,0)</f>
        <v/>
      </c>
      <c r="T1745" t="n">
        <v>0</v>
      </c>
      <c r="V1745" t="n">
        <v>0</v>
      </c>
    </row>
    <row r="1746">
      <c r="A1746">
        <f>Skills!A19</f>
        <v/>
      </c>
      <c r="B1746">
        <f>Skills!B19</f>
        <v/>
      </c>
      <c r="C1746">
        <f>Inputs!$B$3&gt;=10</f>
        <v/>
      </c>
      <c r="D1746">
        <f>IF(Skills!C19=1,60+Inputs!$B$25+Inputs!$B$29,IF(Skills!C19=2,90+Inputs!$B$26+Inputs!$B$29,IF(Skills!C19=3,120+Inputs!$B$27+Inputs!$B$29,MAX(0,(Inputs!$B$3-100)*3)+Inputs!$B$28+Inputs!$B$29)))</f>
        <v/>
      </c>
      <c r="E1746">
        <f>INDEX(FactorTable!$B$2:$Y$301, MATCH(ROUND(MIN(300,MAX(1,D1746)),0), FactorTable!$A$2:$A$301,0), Skills!M19+1)</f>
        <v/>
      </c>
      <c r="F1746">
        <f>IF(Skills!N19=TRUE,(Skills!L19/10)*(E1746/1000),Skills!L19/10)+Skills!O19</f>
        <v/>
      </c>
      <c r="G1746">
        <f>Skills!G19*IF(Skills!H19&gt;0,INT(IF(Inputs!$B$38="pvp",MIN(Skills!I19,15),Skills!I19)/Skills!H19+0.000000001),1)</f>
        <v/>
      </c>
      <c r="H1746">
        <f>1-(1-Skills!J19/100)^Skills!K19</f>
        <v/>
      </c>
      <c r="I1746" t="inlineStr">
        <is>
          <t>1</t>
        </is>
      </c>
      <c r="J1746" t="inlineStr"/>
      <c r="K1746" t="inlineStr"/>
      <c r="L1746" t="inlineStr"/>
      <c r="M1746" t="inlineStr"/>
      <c r="N1746" t="inlineStr"/>
      <c r="O1746">
        <f>(1-Summary!$B$11)*T1746+Summary!$B$11*V1746</f>
        <v/>
      </c>
      <c r="P1746">
        <f>IF(B1768=0,0,O1746/B1768)</f>
        <v/>
      </c>
      <c r="Q1746" t="n">
        <v>0</v>
      </c>
      <c r="R1746" t="n">
        <v>0</v>
      </c>
      <c r="S1746">
        <f>IFERROR(O1746/N1746,0)</f>
        <v/>
      </c>
      <c r="T1746" t="n">
        <v>0</v>
      </c>
      <c r="V1746" t="n">
        <v>0</v>
      </c>
    </row>
    <row r="1747">
      <c r="A1747">
        <f>Skills!A20</f>
        <v/>
      </c>
      <c r="B1747">
        <f>Skills!B20</f>
        <v/>
      </c>
      <c r="C1747">
        <f>Inputs!$B$3&gt;=15</f>
        <v/>
      </c>
      <c r="D1747">
        <f>IF(Skills!C20=1,60+Inputs!$B$25+Inputs!$B$29,IF(Skills!C20=2,90+Inputs!$B$26+Inputs!$B$29,IF(Skills!C20=3,120+Inputs!$B$27+Inputs!$B$29,MAX(0,(Inputs!$B$3-100)*3)+Inputs!$B$28+Inputs!$B$29)))</f>
        <v/>
      </c>
      <c r="E1747">
        <f>INDEX(FactorTable!$B$2:$Y$301, MATCH(ROUND(MIN(300,MAX(1,D1747)),0), FactorTable!$A$2:$A$301,0), Skills!M20+1)</f>
        <v/>
      </c>
      <c r="F1747">
        <f>IF(Skills!N20=TRUE,(Skills!L20/10)*(E1747/1000),Skills!L20/10)+Skills!O20</f>
        <v/>
      </c>
      <c r="G1747">
        <f>Skills!G20*IF(Skills!H20&gt;0,INT(IF(Inputs!$B$38="pvp",MIN(Skills!I20,15),Skills!I20)/Skills!H20+0.000000001),1)</f>
        <v/>
      </c>
      <c r="H1747">
        <f>1-(1-Skills!J20/100)^Skills!K20</f>
        <v/>
      </c>
      <c r="I1747" t="inlineStr">
        <is>
          <t>1</t>
        </is>
      </c>
      <c r="J1747" t="inlineStr"/>
      <c r="K1747" t="inlineStr"/>
      <c r="L1747" t="inlineStr"/>
      <c r="M1747" t="inlineStr"/>
      <c r="N1747" t="inlineStr"/>
      <c r="O1747">
        <f>(1-Summary!$B$11)*T1747+Summary!$B$11*V1747</f>
        <v/>
      </c>
      <c r="P1747">
        <f>IF(B1768=0,0,O1747/B1768)</f>
        <v/>
      </c>
      <c r="Q1747" t="n">
        <v>0</v>
      </c>
      <c r="R1747" t="n">
        <v>0</v>
      </c>
      <c r="S1747">
        <f>IFERROR(O1747/N1747,0)</f>
        <v/>
      </c>
      <c r="T1747" t="n">
        <v>0</v>
      </c>
      <c r="V1747" t="n">
        <v>0</v>
      </c>
    </row>
    <row r="1748">
      <c r="A1748">
        <f>Skills!A21</f>
        <v/>
      </c>
      <c r="B1748">
        <f>Skills!B21</f>
        <v/>
      </c>
      <c r="C1748">
        <f>Inputs!$B$3&gt;=40</f>
        <v/>
      </c>
      <c r="D1748">
        <f>IF(Skills!C21=1,60+Inputs!$B$25+Inputs!$B$29,IF(Skills!C21=2,90+Inputs!$B$26+Inputs!$B$29,IF(Skills!C21=3,120+Inputs!$B$27+Inputs!$B$29,MAX(0,(Inputs!$B$3-100)*3)+Inputs!$B$28+Inputs!$B$29)))</f>
        <v/>
      </c>
      <c r="E1748">
        <f>INDEX(FactorTable!$B$2:$Y$301, MATCH(ROUND(MIN(300,MAX(1,D1748)),0), FactorTable!$A$2:$A$301,0), Skills!M21+1)</f>
        <v/>
      </c>
      <c r="F1748">
        <f>IF(Skills!N21=TRUE,(Skills!L21/10)*(E1748/1000),Skills!L21/10)+Skills!O21</f>
        <v/>
      </c>
      <c r="G1748">
        <f>Skills!G21*IF(Skills!H21&gt;0,INT(IF(Inputs!$B$38="pvp",MIN(Skills!I21,15),Skills!I21)/Skills!H21+0.000000001),1)</f>
        <v/>
      </c>
      <c r="H1748">
        <f>1-(1-Skills!J21/100)^Skills!K21</f>
        <v/>
      </c>
      <c r="I1748" t="inlineStr">
        <is>
          <t>1</t>
        </is>
      </c>
      <c r="J1748" t="inlineStr"/>
      <c r="K1748" t="inlineStr"/>
      <c r="L1748" t="inlineStr"/>
      <c r="M1748" t="inlineStr"/>
      <c r="N1748" t="inlineStr"/>
      <c r="O1748">
        <f>(1-Summary!$B$11)*T1748+Summary!$B$11*V1748</f>
        <v/>
      </c>
      <c r="P1748">
        <f>IF(B1768=0,0,O1748/B1768)</f>
        <v/>
      </c>
      <c r="Q1748" t="n">
        <v>0</v>
      </c>
      <c r="R1748" t="n">
        <v>0</v>
      </c>
      <c r="S1748">
        <f>IFERROR(O1748/N1748,0)</f>
        <v/>
      </c>
      <c r="T1748" t="n">
        <v>0</v>
      </c>
      <c r="V1748" t="n">
        <v>0</v>
      </c>
    </row>
    <row r="1749">
      <c r="A1749">
        <f>Skills!A22</f>
        <v/>
      </c>
      <c r="B1749">
        <f>Skills!B22</f>
        <v/>
      </c>
      <c r="C1749">
        <f>Inputs!$B$3&gt;=43</f>
        <v/>
      </c>
      <c r="D1749">
        <f>IF(Skills!C22=1,60+Inputs!$B$25+Inputs!$B$29,IF(Skills!C22=2,90+Inputs!$B$26+Inputs!$B$29,IF(Skills!C22=3,120+Inputs!$B$27+Inputs!$B$29,MAX(0,(Inputs!$B$3-100)*3)+Inputs!$B$28+Inputs!$B$29)))</f>
        <v/>
      </c>
      <c r="E1749">
        <f>INDEX(FactorTable!$B$2:$Y$301, MATCH(ROUND(MIN(300,MAX(1,D1749)),0), FactorTable!$A$2:$A$301,0), Skills!M22+1)</f>
        <v/>
      </c>
      <c r="F1749">
        <f>IF(Skills!N22=TRUE,(Skills!L22/10)*(E1749/1000),Skills!L22/10)+Skills!O22</f>
        <v/>
      </c>
      <c r="G1749">
        <f>Skills!G22*IF(Skills!H22&gt;0,INT(IF(Inputs!$B$38="pvp",MIN(Skills!I22,15),Skills!I22)/Skills!H22+0.000000001),1)</f>
        <v/>
      </c>
      <c r="H1749">
        <f>1-(1-Skills!J22/100)^Skills!K22</f>
        <v/>
      </c>
      <c r="I1749" t="inlineStr">
        <is>
          <t>1</t>
        </is>
      </c>
      <c r="J1749" t="inlineStr"/>
      <c r="K1749" t="inlineStr"/>
      <c r="L1749" t="inlineStr"/>
      <c r="M1749" t="inlineStr"/>
      <c r="N1749" t="inlineStr"/>
      <c r="O1749">
        <f>(1-Summary!$B$11)*T1749+Summary!$B$11*V1749</f>
        <v/>
      </c>
      <c r="P1749">
        <f>IF(B1768=0,0,O1749/B1768)</f>
        <v/>
      </c>
      <c r="Q1749" t="n">
        <v>0</v>
      </c>
      <c r="R1749" t="n">
        <v>0</v>
      </c>
      <c r="S1749">
        <f>IFERROR(O1749/N1749,0)</f>
        <v/>
      </c>
      <c r="T1749" t="n">
        <v>0</v>
      </c>
      <c r="V1749" t="n">
        <v>0</v>
      </c>
    </row>
    <row r="1750">
      <c r="A1750">
        <f>Skills!A23</f>
        <v/>
      </c>
      <c r="B1750">
        <f>Skills!B23</f>
        <v/>
      </c>
      <c r="C1750">
        <f>Inputs!$B$3&gt;=38</f>
        <v/>
      </c>
      <c r="D1750">
        <f>IF(Skills!C23=1,60+Inputs!$B$25+Inputs!$B$29,IF(Skills!C23=2,90+Inputs!$B$26+Inputs!$B$29,IF(Skills!C23=3,120+Inputs!$B$27+Inputs!$B$29,MAX(0,(Inputs!$B$3-100)*3)+Inputs!$B$28+Inputs!$B$29)))</f>
        <v/>
      </c>
      <c r="E1750">
        <f>INDEX(FactorTable!$B$2:$Y$301, MATCH(ROUND(MIN(300,MAX(1,D1750)),0), FactorTable!$A$2:$A$301,0), Skills!M23+1)</f>
        <v/>
      </c>
      <c r="F1750">
        <f>IF(Skills!N23=TRUE,(Skills!L23/10)*(E1750/1000),Skills!L23/10)+Skills!O23</f>
        <v/>
      </c>
      <c r="G1750">
        <f>Skills!G23*IF(Skills!H23&gt;0,INT(IF(Inputs!$B$38="pvp",MIN(Skills!I23,15),Skills!I23)/Skills!H23+0.000000001),1)</f>
        <v/>
      </c>
      <c r="H1750">
        <f>1-(1-Skills!J23/100)^Skills!K23</f>
        <v/>
      </c>
      <c r="I1750" t="inlineStr">
        <is>
          <t>1</t>
        </is>
      </c>
      <c r="J1750" t="inlineStr"/>
      <c r="K1750" t="inlineStr"/>
      <c r="L1750" t="inlineStr"/>
      <c r="M1750" t="inlineStr"/>
      <c r="N1750" t="inlineStr"/>
      <c r="O1750">
        <f>(1-Summary!$B$11)*T1750+Summary!$B$11*V1750</f>
        <v/>
      </c>
      <c r="P1750">
        <f>IF(B1768=0,0,O1750/B1768)</f>
        <v/>
      </c>
      <c r="Q1750" t="n">
        <v>0</v>
      </c>
      <c r="R1750" t="n">
        <v>0</v>
      </c>
      <c r="S1750">
        <f>IFERROR(O1750/N1750,0)</f>
        <v/>
      </c>
      <c r="T1750" t="n">
        <v>0</v>
      </c>
      <c r="V1750" t="n">
        <v>0</v>
      </c>
    </row>
    <row r="1751">
      <c r="A1751">
        <f>Skills!A24</f>
        <v/>
      </c>
      <c r="B1751">
        <f>Skills!B24</f>
        <v/>
      </c>
      <c r="C1751">
        <f>Inputs!$B$3&gt;=45</f>
        <v/>
      </c>
      <c r="D1751">
        <f>IF(Skills!C24=1,60+Inputs!$B$25+Inputs!$B$29,IF(Skills!C24=2,90+Inputs!$B$26+Inputs!$B$29,IF(Skills!C24=3,120+Inputs!$B$27+Inputs!$B$29,MAX(0,(Inputs!$B$3-100)*3)+Inputs!$B$28+Inputs!$B$29)))</f>
        <v/>
      </c>
      <c r="E1751">
        <f>INDEX(FactorTable!$B$2:$Y$301, MATCH(ROUND(MIN(300,MAX(1,D1751)),0), FactorTable!$A$2:$A$301,0), Skills!M24+1)</f>
        <v/>
      </c>
      <c r="F1751">
        <f>IF(Skills!N24=TRUE,(Skills!L24/10)*(E1751/1000),Skills!L24/10)+Skills!O24</f>
        <v/>
      </c>
      <c r="G1751">
        <f>Skills!G24*IF(Skills!H24&gt;0,INT(IF(Inputs!$B$38="pvp",MIN(Skills!I24,15),Skills!I24)/Skills!H24+0.000000001),1)</f>
        <v/>
      </c>
      <c r="H1751">
        <f>1-(1-Skills!J24/100)^Skills!K24</f>
        <v/>
      </c>
      <c r="I1751" t="inlineStr">
        <is>
          <t>1</t>
        </is>
      </c>
      <c r="J1751" t="inlineStr"/>
      <c r="K1751" t="inlineStr"/>
      <c r="L1751" t="inlineStr"/>
      <c r="M1751" t="inlineStr"/>
      <c r="N1751" t="inlineStr"/>
      <c r="O1751">
        <f>(1-Summary!$B$11)*T1751+Summary!$B$11*V1751</f>
        <v/>
      </c>
      <c r="P1751">
        <f>IF(B1768=0,0,O1751/B1768)</f>
        <v/>
      </c>
      <c r="Q1751" t="n">
        <v>0</v>
      </c>
      <c r="R1751" t="n">
        <v>0</v>
      </c>
      <c r="S1751">
        <f>IFERROR(O1751/N1751,0)</f>
        <v/>
      </c>
      <c r="T1751" t="n">
        <v>0</v>
      </c>
      <c r="V1751" t="n">
        <v>0</v>
      </c>
    </row>
    <row r="1752">
      <c r="A1752">
        <f>Skills!A25</f>
        <v/>
      </c>
      <c r="B1752">
        <f>Skills!B25</f>
        <v/>
      </c>
      <c r="C1752">
        <f>Inputs!$B$3&gt;=72</f>
        <v/>
      </c>
      <c r="D1752">
        <f>IF(Skills!C25=1,60+Inputs!$B$25+Inputs!$B$29,IF(Skills!C25=2,90+Inputs!$B$26+Inputs!$B$29,IF(Skills!C25=3,120+Inputs!$B$27+Inputs!$B$29,MAX(0,(Inputs!$B$3-100)*3)+Inputs!$B$28+Inputs!$B$29)))</f>
        <v/>
      </c>
      <c r="E1752">
        <f>INDEX(FactorTable!$B$2:$Y$301, MATCH(ROUND(MIN(300,MAX(1,D1752)),0), FactorTable!$A$2:$A$301,0), Skills!M25+1)</f>
        <v/>
      </c>
      <c r="F1752">
        <f>IF(Skills!N25=TRUE,(Skills!L25/10)*(E1752/1000),Skills!L25/10)+Skills!O25</f>
        <v/>
      </c>
      <c r="G1752">
        <f>Skills!G25*IF(Skills!H25&gt;0,INT(IF(Inputs!$B$38="pvp",MIN(Skills!I25,15),Skills!I25)/Skills!H25+0.000000001),1)</f>
        <v/>
      </c>
      <c r="H1752">
        <f>1-(1-Skills!J25/100)^Skills!K25</f>
        <v/>
      </c>
      <c r="I1752" t="inlineStr">
        <is>
          <t>1</t>
        </is>
      </c>
      <c r="J1752" t="inlineStr"/>
      <c r="K1752" t="inlineStr"/>
      <c r="L1752" t="inlineStr"/>
      <c r="M1752" t="inlineStr"/>
      <c r="N1752" t="inlineStr"/>
      <c r="O1752">
        <f>(1-Summary!$B$11)*T1752+Summary!$B$11*V1752</f>
        <v/>
      </c>
      <c r="P1752">
        <f>IF(B1768=0,0,O1752/B1768)</f>
        <v/>
      </c>
      <c r="Q1752" t="n">
        <v>0</v>
      </c>
      <c r="R1752" t="n">
        <v>0</v>
      </c>
      <c r="S1752">
        <f>IFERROR(O1752/N1752,0)</f>
        <v/>
      </c>
      <c r="T1752" t="n">
        <v>0</v>
      </c>
      <c r="V1752" t="n">
        <v>0</v>
      </c>
    </row>
    <row r="1753">
      <c r="A1753">
        <f>Skills!A26</f>
        <v/>
      </c>
      <c r="B1753">
        <f>Skills!B26</f>
        <v/>
      </c>
      <c r="C1753">
        <f>Inputs!$B$3&gt;=75</f>
        <v/>
      </c>
      <c r="D1753">
        <f>IF(Skills!C26=1,60+Inputs!$B$25+Inputs!$B$29,IF(Skills!C26=2,90+Inputs!$B$26+Inputs!$B$29,IF(Skills!C26=3,120+Inputs!$B$27+Inputs!$B$29,MAX(0,(Inputs!$B$3-100)*3)+Inputs!$B$28+Inputs!$B$29)))</f>
        <v/>
      </c>
      <c r="E1753">
        <f>INDEX(FactorTable!$B$2:$Y$301, MATCH(ROUND(MIN(300,MAX(1,D1753)),0), FactorTable!$A$2:$A$301,0), Skills!M26+1)</f>
        <v/>
      </c>
      <c r="F1753">
        <f>IF(Skills!N26=TRUE,(Skills!L26/10)*(E1753/1000),Skills!L26/10)+Skills!O26</f>
        <v/>
      </c>
      <c r="G1753">
        <f>Skills!G26*IF(Skills!H26&gt;0,INT(IF(Inputs!$B$38="pvp",MIN(Skills!I26,15),Skills!I26)/Skills!H26+0.000000001),1)</f>
        <v/>
      </c>
      <c r="H1753">
        <f>1-(1-Skills!J26/100)^Skills!K26</f>
        <v/>
      </c>
      <c r="I1753" t="inlineStr">
        <is>
          <t>1</t>
        </is>
      </c>
      <c r="J1753" t="inlineStr"/>
      <c r="K1753" t="inlineStr"/>
      <c r="L1753" t="inlineStr"/>
      <c r="M1753" t="inlineStr"/>
      <c r="N1753" t="inlineStr"/>
      <c r="O1753">
        <f>(1-Summary!$B$11)*T1753+Summary!$B$11*V1753</f>
        <v/>
      </c>
      <c r="P1753">
        <f>IF(B1768=0,0,O1753/B1768)</f>
        <v/>
      </c>
      <c r="Q1753" t="n">
        <v>0</v>
      </c>
      <c r="R1753" t="n">
        <v>0</v>
      </c>
      <c r="S1753">
        <f>IFERROR(O1753/N1753,0)</f>
        <v/>
      </c>
      <c r="T1753" t="n">
        <v>0</v>
      </c>
      <c r="V1753" t="n">
        <v>0</v>
      </c>
    </row>
    <row r="1754">
      <c r="A1754">
        <f>Skills!A27</f>
        <v/>
      </c>
      <c r="B1754">
        <f>Skills!B27</f>
        <v/>
      </c>
      <c r="C1754">
        <f>Inputs!$B$3&gt;=125</f>
        <v/>
      </c>
      <c r="D1754">
        <f>IF(Skills!C27=1,60+Inputs!$B$25+Inputs!$B$29,IF(Skills!C27=2,90+Inputs!$B$26+Inputs!$B$29,IF(Skills!C27=3,120+Inputs!$B$27+Inputs!$B$29,MAX(0,(Inputs!$B$3-100)*3)+Inputs!$B$28+Inputs!$B$29)))</f>
        <v/>
      </c>
      <c r="E1754">
        <f>INDEX(FactorTable!$B$2:$Y$301, MATCH(ROUND(MIN(300,MAX(1,D1754)),0), FactorTable!$A$2:$A$301,0), Skills!M27+1)</f>
        <v/>
      </c>
      <c r="F1754">
        <f>IF(Skills!N27=TRUE,(Skills!L27/10)*(E1754/1000),Skills!L27/10)+Skills!O27</f>
        <v/>
      </c>
      <c r="G1754">
        <f>Skills!G27*IF(Skills!H27&gt;0,INT(IF(Inputs!$B$38="pvp",MIN(Skills!I27,15),Skills!I27)/Skills!H27+0.000000001),1)</f>
        <v/>
      </c>
      <c r="H1754">
        <f>1-(1-Skills!J27/100)^Skills!K27</f>
        <v/>
      </c>
      <c r="I1754" t="inlineStr">
        <is>
          <t>1</t>
        </is>
      </c>
      <c r="J1754" t="inlineStr"/>
      <c r="K1754" t="inlineStr"/>
      <c r="L1754" t="inlineStr"/>
      <c r="M1754" t="inlineStr"/>
      <c r="N1754" t="inlineStr"/>
      <c r="O1754">
        <f>(1-Summary!$B$11)*T1754+Summary!$B$11*V1754</f>
        <v/>
      </c>
      <c r="P1754">
        <f>IF(B1768=0,0,O1754/B1768)</f>
        <v/>
      </c>
      <c r="Q1754" t="n">
        <v>0</v>
      </c>
      <c r="R1754" t="n">
        <v>0</v>
      </c>
      <c r="S1754">
        <f>IFERROR(O1754/N1754,0)</f>
        <v/>
      </c>
      <c r="T1754" t="n">
        <v>0</v>
      </c>
      <c r="V1754" t="n">
        <v>0</v>
      </c>
    </row>
    <row r="1755">
      <c r="A1755">
        <f>Skills!A28</f>
        <v/>
      </c>
      <c r="B1755">
        <f>Skills!B28</f>
        <v/>
      </c>
      <c r="C1755">
        <f>TRUE</f>
        <v/>
      </c>
      <c r="D1755">
        <f>IF(Skills!C28=1,60+Inputs!$B$25+Inputs!$B$29,IF(Skills!C28=2,90+Inputs!$B$26+Inputs!$B$29,IF(Skills!C28=3,120+Inputs!$B$27+Inputs!$B$29,MAX(0,(Inputs!$B$3-100)*3)+Inputs!$B$28+Inputs!$B$29)))</f>
        <v/>
      </c>
      <c r="E1755">
        <f>INDEX(FactorTable!$B$2:$Y$301, MATCH(ROUND(MIN(300,MAX(1,D1755)),0), FactorTable!$A$2:$A$301,0), Skills!M28+1)</f>
        <v/>
      </c>
      <c r="F1755">
        <f>IF(Skills!N28=TRUE,(Skills!L28/10)*(E1755/1000),Skills!L28/10)+Skills!O28</f>
        <v/>
      </c>
      <c r="G1755">
        <f>Skills!G28*IF(Skills!H28&gt;0,INT(IF(Inputs!$B$38="pvp",MIN(Skills!I28,15),Skills!I28)/Skills!H28+0.000000001),1)</f>
        <v/>
      </c>
      <c r="H1755">
        <f>1-(1-Skills!J28/100)^Skills!K28</f>
        <v/>
      </c>
      <c r="I1755" t="inlineStr">
        <is>
          <t>1</t>
        </is>
      </c>
      <c r="J1755" t="inlineStr"/>
      <c r="K1755" t="inlineStr"/>
      <c r="L1755" t="inlineStr"/>
      <c r="M1755" t="inlineStr"/>
      <c r="N1755" t="inlineStr"/>
      <c r="O1755">
        <f>(1-Summary!$B$11)*T1755+Summary!$B$11*V1755</f>
        <v/>
      </c>
      <c r="P1755">
        <f>IF(B1768=0,0,O1755/B1768)</f>
        <v/>
      </c>
      <c r="Q1755">
        <f>IFERROR(1/(IF(Inputs!$B$38="pvp",15,MAX(0.1,Skills!D28-IF(TRUE=TRUE,Inputs!$B$32,0)))*(1-IF(AND(ArtifactsInput!$M$27,Inputs!$B$4="Chapter Hunt"),CHOOSE(ArtifactsInput!$N$27+1,20,24,28,32,36,40),0)/100)),0)</f>
        <v/>
      </c>
      <c r="R1755">
        <f>IF(AND(Inputs!$B$38&lt;&gt;"pvp",Inputs!$B$43&gt;0),IF(Inputs!$B$43&lt;=0,0,(INT(Inputs!$B$43/(IF(Inputs!$B$38="pvp",15,MAX(0.1,Skills!D28-IF(TRUE=TRUE,Inputs!$B$32,0)))*(1-IF(AND(ArtifactsInput!$M$27,Inputs!$B$4="Chapter Hunt"),CHOOSE(ArtifactsInput!$N$27+1,20,24,28,32,36,40),0)/100)))+1)),0)</f>
        <v/>
      </c>
      <c r="S1755">
        <f>IFERROR(O1755/N1755,0)</f>
        <v/>
      </c>
      <c r="T1755" t="n">
        <v>0</v>
      </c>
      <c r="V1755" t="n">
        <v>0</v>
      </c>
    </row>
    <row r="1757">
      <c r="A1757" t="inlineStr">
        <is>
          <t>Attack% Bucket Multiplier</t>
        </is>
      </c>
      <c r="B1757">
        <f>(1+(((C1744=TRUE)*F1744*5/7)+((C1751=TRUE)*(F1751-Calc!F24))+(IF(ArtifactsInput!$M$21,CHOOSE(ArtifactsInput!$N$21+1,25,30,35,40,45,50)*(IF(OR(Inputs!$B$4="Chapter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758">
      <c r="A1758" t="inlineStr">
        <is>
          <t>Global Crit Rate Bonus %</t>
        </is>
      </c>
      <c r="B1758" t="n">
        <v>0</v>
      </c>
    </row>
    <row r="1759">
      <c r="A1759" t="inlineStr">
        <is>
          <t>Attack Speed Buff Bonus % (Nimble Feet, duty-cycle averaged)</t>
        </is>
      </c>
      <c r="B1759">
        <f>((C1755=TRUE)*F1755*IF(AND(Inputs!$B$38&lt;&gt;"pvp",Inputs!$B$43&gt;0),(((R1755-1)*MIN((Skills!T28*(1+Inputs!$B$34/100)),(1/Q1755))+MIN((Skills!T28*(1+Inputs!$B$34/100)),MAX(0,Inputs!$B$43-((R1755-1)*(1/Q1755)))))/Inputs!$B$43),IF(Inputs!$B$38="pvp",MIN((Skills!T28*(1+Inputs!$B$34/100)),15)/15,MIN(1,(Skills!T28*(1+Inputs!$B$34/100))/(1/Q1755)))))</f>
        <v/>
      </c>
    </row>
    <row r="1760">
      <c r="A1760" t="inlineStr">
        <is>
          <t>Actions Per Second</t>
        </is>
      </c>
      <c r="B1760">
        <f>1+MIN(150,150*(1-(1-(Inputs!$B$11+((C1747=TRUE)*(F1747-Calc!F20))+((C1748=TRUE)*(F1748-Calc!F21)))/150)*(1-B1759/150)))/100</f>
        <v/>
      </c>
    </row>
    <row r="1761">
      <c r="A1761" t="inlineStr">
        <is>
          <t>Skill + Buff Cast Rate</t>
        </is>
      </c>
      <c r="B1761">
        <f>IF(AND(Inputs!$B$38&lt;&gt;"pvp",Inputs!$B$43&gt;0),SUMPRODUCT((Skills!E2:E28=TRUE)*(C1729:C1755=TRUE)*R1729:R1755*Skills!F2:F28)/Inputs!$B$43,SUMPRODUCT((Skills!E2:E28=TRUE)*(C1729:C1755=TRUE)*Q1729:Q1755*Skills!F2:F28))</f>
        <v/>
      </c>
    </row>
    <row r="1762">
      <c r="A1762" t="inlineStr">
        <is>
          <t>Eight-Legs Easton Casts Per Second</t>
        </is>
      </c>
      <c r="B1762">
        <f>MAX(0,B1760-B1761)</f>
        <v/>
      </c>
    </row>
    <row r="1763">
      <c r="A1763" t="inlineStr">
        <is>
          <t>Global Critical Damage Bonus % (unused)</t>
        </is>
      </c>
      <c r="B1763" t="n">
        <v>0</v>
      </c>
    </row>
    <row r="1764">
      <c r="A1764" t="inlineStr">
        <is>
          <t>Global Final Damage Bonus % (Jolly Roger + Ahoy Mateys - Final Damage proc)</t>
        </is>
      </c>
      <c r="B1764">
        <f>((C1745=TRUE)*F1745*IF(AND(Inputs!$B$38&lt;&gt;"pvp",Inputs!$B$43&gt;0),(((R1745-1)*MIN((Skills!T18*(1+Inputs!$B$34/100)),(1/Q1745))+MIN((Skills!T18*(1+Inputs!$B$34/100)),MAX(0,Inputs!$B$43-((R1745-1)*(1/Q1745)))))/Inputs!$B$43),IF(Inputs!$B$38="pvp",MIN((Skills!T18*(1+Inputs!$B$34/100)),15)/15,MIN(1,(Skills!T18*(1+Inputs!$B$34/100))/(1/Q1745)))))+IF(Inputs!$B$3&gt;=122,20*IF(Inputs!$B$38="pvp",MIN((20*(1+Inputs!$B$34/100)),15)/15,MIN(1,(20*(1+Inputs!$B$34/100))/(1/Q1731))),0)</f>
        <v/>
      </c>
    </row>
    <row r="1765">
      <c r="A1765" t="inlineStr">
        <is>
          <t>Buff-Casting Startup Delay (s, fixed-duration only)</t>
        </is>
      </c>
      <c r="B1765">
        <f>IF(AND(Inputs!$B$38&lt;&gt;"pvp",Inputs!$B$43&gt;0),SUMPRODUCT((Skills!T2:T28&gt;0)*(Skills!E2:E28=TRUE)*(C1729:C1755=TRUE))/B1760,0)</f>
        <v/>
      </c>
    </row>
    <row r="1766">
      <c r="A1766" t="inlineStr">
        <is>
          <t>Boss-Only Total DPS (this block's swept value)</t>
        </is>
      </c>
      <c r="B1766">
        <f>SUM(T1729:T1755)</f>
        <v/>
      </c>
    </row>
    <row r="1767">
      <c r="A1767" t="inlineStr">
        <is>
          <t>Normal-Only Total DPS (this block's swept value)</t>
        </is>
      </c>
      <c r="B1767">
        <f>SUM(V1729:V1755)</f>
        <v/>
      </c>
    </row>
    <row r="1768">
      <c r="A1768" s="6" t="inlineStr">
        <is>
          <t>TOTAL DPS</t>
        </is>
      </c>
      <c r="B1768" s="6">
        <f>SUM(O1729:O1755)</f>
        <v/>
      </c>
    </row>
    <row r="1769">
      <c r="A1769" t="inlineStr">
        <is>
          <t>Quickdraw cooldown divisor (this block's own APS / Q)</t>
        </is>
      </c>
      <c r="B1769">
        <f>IF(AND(C1754=TRUE,Inputs!$B$38&lt;&gt;"pvp"),1+0.25*MAX(0,(B1760-(((C1730=TRUE)*Q1730*1)+((C1731=TRUE)*Q1731*1)+((C1733=TRUE)*Q1733*1)+((C1734=TRUE)*Q1734*1)+((C1736=TRUE)*Q1736*1)+((C1739=TRUE)*Q1739*1)+((C1745=TRUE)*Q1745*1)+((C1755=TRUE)*Q1755*1))-((C1735=TRUE)/(IF(Inputs!$B$38="pvp",15,MAX(0.1,Skills!D8-IF(TRUE=TRUE,Inputs!$B$32,0)))*(1-IF(AND(ArtifactsInput!$M$27,Inputs!$B$4="Chapter Hunt"),CHOOSE(ArtifactsInput!$N$27+1,20,24,28,32,36,40),0)/100))+(C1738=TRUE)/(IF(Inputs!$B$38="pvp",15,MAX(0.1,Skills!D11-IF(TRUE=TRUE,Inputs!$B$32,0)))*(1-IF(AND(ArtifactsInput!$M$27,Inputs!$B$4="Chapter Hunt"),CHOOSE(ArtifactsInput!$N$27+1,20,24,28,32,36,40),0)/100))))/(1+0.25*((C1735=TRUE)/(IF(Inputs!$B$38="pvp",15,MAX(0.1,Skills!D8-IF(TRUE=TRUE,Inputs!$B$32,0)))*(1-IF(AND(ArtifactsInput!$M$27,Inputs!$B$4="Chapter Hunt"),CHOOSE(ArtifactsInput!$N$27+1,20,24,28,32,36,40),0)/100))+(C1738=TRUE)/(IF(Inputs!$B$38="pvp",15,MAX(0.1,Skills!D11-IF(TRUE=TRUE,Inputs!$B$32,0)))*(1-IF(AND(ArtifactsInput!$M$27,Inputs!$B$4="Chapter Hunt"),CHOOSE(ArtifactsInput!$N$27+1,20,24,28,32,36,40),0)/100))))),1)</f>
        <v/>
      </c>
    </row>
    <row r="1770">
      <c r="A1770" t="inlineStr">
        <is>
          <t>Nautilus Strike - Final Attack trigger rate (this block's own Q/R)</t>
        </is>
      </c>
      <c r="B1770">
        <f>IF(AND(Inputs!$B$38&lt;&gt;"pvp",Inputs!$B$43&gt;0),(((C1730=TRUE)*R1730)+((C1733=TRUE)*R1733)+((C1735=TRUE)*R1735)+((C1736=TRUE)*R1736)+((C1738=TRUE)*R1738))/Inputs!$B$43,((C1730=TRUE)*Q1730)+((C1733=TRUE)*Q1733)+((C1735=TRUE)*Q1735)+((C1736=TRUE)*Q1736)+((C1738=TRUE)*Q1738))+B1762</f>
        <v/>
      </c>
    </row>
    <row r="1773">
      <c r="A1773" s="6" t="inlineStr">
        <is>
          <t>Stat: Horntail's Scale (Equip)</t>
        </is>
      </c>
    </row>
    <row r="1774">
      <c r="A1774" s="5" t="inlineStr">
        <is>
          <t>Key</t>
        </is>
      </c>
      <c r="B1774" s="5" t="inlineStr">
        <is>
          <t>Name</t>
        </is>
      </c>
      <c r="C1774" s="5" t="inlineStr">
        <is>
          <t>Unlocked</t>
        </is>
      </c>
      <c r="D1774" s="5" t="inlineStr">
        <is>
          <t>InputLevel</t>
        </is>
      </c>
      <c r="E1774" s="5" t="inlineStr">
        <is>
          <t>Factor</t>
        </is>
      </c>
      <c r="F1774" s="5" t="inlineStr">
        <is>
          <t>CoefficientPercent</t>
        </is>
      </c>
      <c r="G1774" s="5" t="inlineStr">
        <is>
          <t>EffectiveHits</t>
        </is>
      </c>
      <c r="H1774" s="5" t="inlineStr">
        <is>
          <t>ProcProbability</t>
        </is>
      </c>
      <c r="I1774" s="5" t="inlineStr">
        <is>
          <t>MapleHeroMultiplier</t>
        </is>
      </c>
      <c r="J1774" s="5" t="inlineStr">
        <is>
          <t>BaseDamage</t>
        </is>
      </c>
      <c r="K1774" s="5" t="inlineStr">
        <is>
          <t>BaseHitDamage</t>
        </is>
      </c>
      <c r="L1774" s="5" t="inlineStr">
        <is>
          <t>NonCritAvg</t>
        </is>
      </c>
      <c r="M1774" s="5" t="inlineStr">
        <is>
          <t>CritAvg</t>
        </is>
      </c>
      <c r="N1774" s="5" t="inlineStr">
        <is>
          <t>ExpectedDamage(perHit)</t>
        </is>
      </c>
      <c r="O1774" s="5" t="inlineStr">
        <is>
          <t>DPS</t>
        </is>
      </c>
      <c r="P1774" s="5" t="inlineStr">
        <is>
          <t>% of Total</t>
        </is>
      </c>
      <c r="Q1774" s="5" t="inlineStr">
        <is>
          <t>InvCooldown</t>
        </is>
      </c>
      <c r="R1774" s="5" t="inlineStr">
        <is>
          <t>CastsInFight</t>
        </is>
      </c>
      <c r="S1774" s="5" t="inlineStr">
        <is>
          <t>HitRate(perSec)</t>
        </is>
      </c>
      <c r="U1774" t="inlineStr">
        <is>
          <t>helpers</t>
        </is>
      </c>
    </row>
    <row r="1775">
      <c r="A1775">
        <f>Skills!A2</f>
        <v/>
      </c>
      <c r="B1775">
        <f>Skills!B2</f>
        <v/>
      </c>
      <c r="C1775">
        <f>Inputs!$B$3&gt;=100</f>
        <v/>
      </c>
      <c r="D1775" t="inlineStr"/>
      <c r="E1775" t="inlineStr"/>
      <c r="F1775">
        <f>U1777+Skills!O2</f>
        <v/>
      </c>
      <c r="G1775">
        <f>Skills!G2*IF(Skills!H2&gt;0,INT(IF(Inputs!$B$38="pvp",MIN(Skills!I2,15),Skills!I2)/Skills!H2+0.000000001),1)</f>
        <v/>
      </c>
      <c r="H1775">
        <f>1-(1-Skills!J2/100)^Skills!K2</f>
        <v/>
      </c>
      <c r="I1775" t="inlineStr">
        <is>
          <t>1</t>
        </is>
      </c>
      <c r="J1775">
        <f>((Inputs!$B$6*(1+Inputs!$B$7/100))+(((Inputs!$B$12*(1+Inputs!$B$13/100))-(Inputs!$B$12*(1+Inputs!$B$13/100)))+0.25*(Inputs!$B$14-Inputs!$B$14))*(1+Inputs!$B$7/100))*(F1775/100)</f>
        <v/>
      </c>
      <c r="K1775">
        <f>J1775*(1+((Inputs!$B$12*(1+Inputs!$B$13/100))*0.01+Inputs!$B$14*0.0025)/100)*(1+Inputs!$B$15/100)*(1+Inputs!$B$16/100)*(5000/(6000+Inputs!$B$42*(1-(100*(1-(1-(Inputs!$B$19+0)/100)*(1-CHOOSE(ArtifactsInput!$N$40+1,5,6,7,8,9,10)/100)^(ArtifactsInput!$M$40-ArtifactsInput!$M$40)))/100)))*(1+(Inputs!$B$24+((C1799=TRUE)*(F1799-Calc!F26))+B1810)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IGHT_LEGS_EASTON",Inputs!$B$17+((C1796=TRUE)*(F1796-Calc!F23))+((C1800=TRUE)*(F1800-Calc!F27))+((IF(AND(Inputs!$B$38&lt;&gt;"pvp",Inputs!$B$43=0),1,IF(IF(Inputs!$B$38="pvp",15,Inputs!$B$43)-(B1811)&lt;=0,1,MAX(0,IF(Inputs!$B$38="pvp",15,Inputs!$B$43)-MAX(5,B1811))/(IF(Inputs!$B$38="pvp",15,Inputs!$B$43)-(B1811))))*(IF(AND(ArtifactsInput!$M$42,((Inputs!$B$9+((C1792=TRUE)*(F1792-Calc!F19))+B1804+(ArtifactsInput!$M$24-ArtifactsInput!$M$24)*CHOOSE(ArtifactsInput!$N$24+1,10,12,14,16,18,20)+IF(ArtifactsInput!$M$10,CHOOSE(ArtifactsInput!$N$10+1,15,18,21,24,27,30)*(IF(Inputs!$B$38="pvp",MIN(15,15)/15,IF(AND(Inputs!$B$38&lt;&gt;"pvp",Inputs!$B$43&gt;0),MIN(15,Inputs!$B$43)/(Inputs!$B$43),0))),0)))&gt;=100),MIN(100,((Inputs!$B$9+((C1792=TRUE)*(F1792-Calc!F19))+B1804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1811)&lt;=0,1,MAX(0,IF(Inputs!$B$38="pvp",15,Inputs!$B$43)-MAX(5,B1811))/(IF(Inputs!$B$38="pvp",15,Inputs!$B$43)-(B1811))))*IF(AND(ArtifactsInput!$M$42,((Inputs!$B$9+((C1792=TRUE)*(F1792-Calc!F19))+B1804+(ArtifactsInput!$M$24-ArtifactsInput!$M$24)*CHOOSE(ArtifactsInput!$N$24+1,10,12,14,16,18,20)+IF(ArtifactsInput!$M$10,CHOOSE(ArtifactsInput!$N$10+1,15,18,21,24,27,30)*(IF(Inputs!$B$38="pvp",MIN(15,15)/15,IF(AND(Inputs!$B$38&lt;&gt;"pvp",Inputs!$B$43&gt;0),MIN(15,Inputs!$B$43)/(Inputs!$B$43),0))),0)))&gt;=100),CHOOSE(ArtifactsInput!$N$42+1,40,48,56,64,72,80),0))))/100)*((1+(((C1790=TRUE)*F1790*5/7)+((C1797=TRUE)*(F1797-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1775)</f>
        <v/>
      </c>
      <c r="L1775">
        <f>K1775*(MIN(Inputs!$B$22+((C1795=TRUE)*(F1795-Calc!F22)),(Inputs!$B$23+0+(IF(ArtifactsInput!$M$15,CHOOSE(ArtifactsInput!$N$15+1,25,30,35,40,45,50)/100*(Inputs!$B$11-Inputs!$B$11),0))))/100+(Inputs!$B$23+0+(IF(ArtifactsInput!$M$15,CHOOSE(ArtifactsInput!$N$15+1,25,30,35,40,45,50)/100*(Inputs!$B$11-Inputs!$B$11),0)))/100)/2</f>
        <v/>
      </c>
      <c r="M1775">
        <f>L1775*(1+(Inputs!$B$10+((C1798=TRUE)*(F1798-Calc!F25))+B1809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75">
        <f>L1775*(1-MIN((Inputs!$B$9+((C1792=TRUE)*(F1792-Calc!F19))+B1804+(ArtifactsInput!$M$24-ArtifactsInput!$M$24)*CHOOSE(ArtifactsInput!$N$24+1,10,12,14,16,18,20)+(IF(AND(Inputs!$B$38&lt;&gt;"pvp",Inputs!$B$43=0),1,IF(IF(Inputs!$B$38="pvp",15,Inputs!$B$43)-(B1811)&lt;=0,1,MAX(0,IF(Inputs!$B$38="pvp",15,Inputs!$B$43)-MAX(5,B1811))/(IF(Inputs!$B$38="pvp",15,Inputs!$B$43)-(B1811))))*IF(AND(ArtifactsInput!$M$42,((Inputs!$B$9+((C1792=TRUE)*(F1792-Calc!F19))+B1804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1775*(MIN((Inputs!$B$9+((C1792=TRUE)*(F1792-Calc!F19))+B1804+(ArtifactsInput!$M$24-ArtifactsInput!$M$24)*CHOOSE(ArtifactsInput!$N$24+1,10,12,14,16,18,20)+(IF(AND(Inputs!$B$38&lt;&gt;"pvp",Inputs!$B$43=0),1,IF(IF(Inputs!$B$38="pvp",15,Inputs!$B$43)-(B1811)&lt;=0,1,MAX(0,IF(Inputs!$B$38="pvp",15,Inputs!$B$43)-MAX(5,B1811))/(IF(Inputs!$B$38="pvp",15,Inputs!$B$43)-(B1811))))*IF(AND(ArtifactsInput!$M$42,((Inputs!$B$9+((C1792=TRUE)*(F1792-Calc!F19))+B1804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75">
        <f>(1-Summary!$B$11)*T1775+Summary!$B$11*V1775</f>
        <v/>
      </c>
      <c r="P1775">
        <f>IF(B1814=0,0,O1775/B1814)</f>
        <v/>
      </c>
      <c r="Q1775" t="n">
        <v>0</v>
      </c>
      <c r="R1775" t="n">
        <v>0</v>
      </c>
      <c r="S1775">
        <f>IFERROR(O1775/N1775,0)</f>
        <v/>
      </c>
      <c r="T1775">
        <f>IF(C1775,(Skills!G2*N1775*B1808*(1+IF(C1800=TRUE,1/3,0)))*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Hunt"),CHOOSE(ArtifactsInput!$N$35+1,15,18,21,24,27,30)*(1-EXP(-(0.2*B1806)*5)),0)+IF(AND(ArtifactsInput!$M$22,Inputs!$B$4&lt;&gt;"Chapter Hunt"),CHOOSE(ArtifactsInput!$N$22+1,10,12,14,16,18,20)*((0*(((0.15*B1806*5))^0/1)+1*(((0.15*B1806*5))^1/1)+2*(((0.15*B1806*5))^2/2)+3*(((0.15*B1806*5))^3/6)+4*(((0.15*B1806*5))^4/24)+5*(((0.15*B1806*5))^5/120))/((((0.15*B1806*5))^0/1)+(((0.15*B1806*5))^1/1)+(((0.15*B1806*5))^2/2)+(((0.15*B1806*5))^3/6)+(((0.15*B1806*5))^4/24)+(((0.15*B1806*5))^5/120))),0))+IF(Inputs!$B$3&gt;=54,9*(C1776=TRUE)*MIN(1,8*(1+Inputs!$B$34/100)*Q1776)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1775*(1-MIN(100,(Inputs!$B$9+((C1792=TRUE)*(F1792-Calc!F19))+B1804+(ArtifactsInput!$M$24-ArtifactsInput!$M$24)*CHOOSE(ArtifactsInput!$N$24+1,10,12,14,16,18,20)+(IF(AND(Inputs!$B$38&lt;&gt;"pvp",Inputs!$B$43=0),1,IF(IF(Inputs!$B$38="pvp",15,Inputs!$B$43)-(B1811)&lt;=0,1,MAX(0,IF(Inputs!$B$38="pvp",15,Inputs!$B$43)-MAX(5,B1811))/(IF(Inputs!$B$38="pvp",15,Inputs!$B$43)-(B1811))))*IF(AND(ArtifactsInput!$M$42,((Inputs!$B$9+((C1792=TRUE)*(F1792-Calc!F19))+B1804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1775*(MIN(100,(Inputs!$B$9+((C1792=TRUE)*(F1792-Calc!F19))+B1804+(ArtifactsInput!$M$24-ArtifactsInput!$M$24)*CHOOSE(ArtifactsInput!$N$24+1,10,12,14,16,18,20)+(IF(AND(Inputs!$B$38&lt;&gt;"pvp",Inputs!$B$43=0),1,IF(IF(Inputs!$B$38="pvp",15,Inputs!$B$43)-(B1811)&lt;=0,1,MAX(0,IF(Inputs!$B$38="pvp",15,Inputs!$B$43)-MAX(5,B1811))/(IF(Inputs!$B$38="pvp",15,Inputs!$B$43)-(B1811))))*IF(AND(ArtifactsInput!$M$42,((Inputs!$B$9+((C1792=TRUE)*(F1792-Calc!F19))+B1804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1775*(1-MIN(100,(Inputs!$B$9+((C1792=TRUE)*(F1792-Calc!F19))+B1804+(ArtifactsInput!$M$24-ArtifactsInput!$M$24)*CHOOSE(ArtifactsInput!$N$24+1,10,12,14,16,18,20)+(IF(AND(Inputs!$B$38&lt;&gt;"pvp",Inputs!$B$43=0),1,IF(IF(Inputs!$B$38="pvp",15,Inputs!$B$43)-(B1811)&lt;=0,1,MAX(0,IF(Inputs!$B$38="pvp",15,Inputs!$B$43)-MAX(5,B1811))/(IF(Inputs!$B$38="pvp",15,Inputs!$B$43)-(B1811))))*IF(AND(ArtifactsInput!$M$42,((Inputs!$B$9+((C1792=TRUE)*(F1792-Calc!F19))+B1804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1775*(MIN(100,(Inputs!$B$9+((C1792=TRUE)*(F1792-Calc!F19))+B1804+(ArtifactsInput!$M$24-ArtifactsInput!$M$24)*CHOOSE(ArtifactsInput!$N$24+1,10,12,14,16,18,20)+(IF(AND(Inputs!$B$38&lt;&gt;"pvp",Inputs!$B$43=0),1,IF(IF(Inputs!$B$38="pvp",15,Inputs!$B$43)-(B1811)&lt;=0,1,MAX(0,IF(Inputs!$B$38="pvp",15,Inputs!$B$43)-MAX(5,B1811))/(IF(Inputs!$B$38="pvp",15,Inputs!$B$43)-(B1811))))*IF(AND(ArtifactsInput!$M$42,((Inputs!$B$9+((C1792=TRUE)*(F1792-Calc!F19))+B1804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775">
        <f>MAX(0,(Inputs!$B$3-100)*3)+Inputs!$B$28+Inputs!$B$29</f>
        <v/>
      </c>
      <c r="V1775">
        <f>IF(C1775,(Skills!G2*N1775*B1808*(1+IF(C1800=TRUE,1/3,0)))*IF(Inputs!$B$38="pvp",1,(1+(Inputs!$B$21+Skills!Q2+(IF(ArtifactsInput!$M$33,CHOOSE(ArtifactsInput!$N$33+1,30,36,42,48,54,60),0))+(IF(AND(ArtifactsInput!$M$35,Inputs!$B$4&lt;&gt;"Chapter Hunt"),CHOOSE(ArtifactsInput!$N$35+1,15,18,21,24,27,30)*(1-EXP(-(0.2*B1806)*5)),0)+IF(AND(ArtifactsInput!$M$22,Inputs!$B$4&lt;&gt;"Chapter Hunt"),CHOOSE(ArtifactsInput!$N$22+1,10,12,14,16,18,20)*((0*(((0.15*B1806*5))^0/1)+1*(((0.15*B1806*5))^1/1)+2*(((0.15*B1806*5))^2/2)+3*(((0.15*B1806*5))^3/6)+4*(((0.15*B1806*5))^4/24)+5*(((0.15*B1806*5))^5/120))/((((0.15*B1806*5))^0/1)+(((0.15*B1806*5))^1/1)+(((0.15*B1806*5))^2/2)+(((0.15*B1806*5))^3/6)+(((0.15*B1806*5))^4/24)+(((0.15*B1806*5))^5/120))),0))+IF(Inputs!$B$3&gt;=54,9*(C1776=TRUE)*MIN(1,8*(1+Inputs!$B$34/100)*Q1776),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76">
      <c r="A1776">
        <f>Skills!A3</f>
        <v/>
      </c>
      <c r="B1776">
        <f>Skills!B3</f>
        <v/>
      </c>
      <c r="C1776">
        <f>Inputs!$B$3&gt;=33</f>
        <v/>
      </c>
      <c r="D1776">
        <f>IF(Skills!C3=1,60+Inputs!$B$25+Inputs!$B$29,IF(Skills!C3=2,90+Inputs!$B$26+Inputs!$B$29,IF(Skills!C3=3,120+Inputs!$B$27+Inputs!$B$29,MAX(0,(Inputs!$B$3-100)*3)+Inputs!$B$28+Inputs!$B$29)))</f>
        <v/>
      </c>
      <c r="E1776">
        <f>INDEX(FactorTable!$B$2:$Y$301, MATCH(ROUND(MIN(300,MAX(1,D1776)),0), FactorTable!$A$2:$A$301,0), Skills!M3+1)</f>
        <v/>
      </c>
      <c r="F1776">
        <f>IF(Skills!N3=TRUE,(Skills!L3/10)*(E1776/1000),Skills!L3/10)+Skills!O3</f>
        <v/>
      </c>
      <c r="G1776">
        <f>Skills!G3*IF(Skills!H3&gt;0,INT(IF(Inputs!$B$38="pvp",MIN(Skills!I3,15),Skills!I3)/Skills!H3+0.000000001),1)</f>
        <v/>
      </c>
      <c r="H1776">
        <f>1-(1-Skills!J3/100)^Skills!K3</f>
        <v/>
      </c>
      <c r="I1776" t="inlineStr">
        <is>
          <t>1</t>
        </is>
      </c>
      <c r="J1776">
        <f>((Inputs!$B$6*(1+Inputs!$B$7/100))+(((Inputs!$B$12*(1+Inputs!$B$13/100))-(Inputs!$B$12*(1+Inputs!$B$13/100)))+0.25*(Inputs!$B$14-Inputs!$B$14))*(1+Inputs!$B$7/100))*(F1776/100)</f>
        <v/>
      </c>
      <c r="K1776">
        <f>J1776*(1+((Inputs!$B$12*(1+Inputs!$B$13/100))*0.01+Inputs!$B$14*0.0025)/100)*(1+Inputs!$B$15/100)*(1+Inputs!$B$16/100)*(5000/(6000+Inputs!$B$42*(1-(100*(1-(1-(Inputs!$B$19+0)/100)*(1-CHOOSE(ArtifactsInput!$N$40+1,5,6,7,8,9,10)/100)^(ArtifactsInput!$M$40-ArtifactsInput!$M$40)))/100)))*(1+(Inputs!$B$24+((C1799=TRUE)*(F1799-Calc!F26))+B1810)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1788=TRUE,F1788,0)/100)*(1+(IF(Skills!A3="EIGHT_LEGS_EASTON",Inputs!$B$17+((C1796=TRUE)*(F1796-Calc!F23))+((C1800=TRUE)*(F1800-Calc!F27))+((IF(AND(Inputs!$B$38&lt;&gt;"pvp",Inputs!$B$43=0),1,IF(IF(Inputs!$B$38="pvp",15,Inputs!$B$43)-(B1811)&lt;=0,1,MAX(0,IF(Inputs!$B$38="pvp",15,Inputs!$B$43)-MAX(5,B1811))/(IF(Inputs!$B$38="pvp",15,Inputs!$B$43)-(B1811))))*(IF(AND(ArtifactsInput!$M$42,((Inputs!$B$9+((C1792=TRUE)*(F1792-Calc!F19))+B1804+(ArtifactsInput!$M$24-ArtifactsInput!$M$24)*CHOOSE(ArtifactsInput!$N$24+1,10,12,14,16,18,20)+IF(ArtifactsInput!$M$10,CHOOSE(ArtifactsInput!$N$10+1,15,18,21,24,27,30)*(IF(Inputs!$B$38="pvp",MIN(15,15)/15,IF(AND(Inputs!$B$38&lt;&gt;"pvp",Inputs!$B$43&gt;0),MIN(15,Inputs!$B$43)/(Inputs!$B$43),0))),0)))&gt;=100),MIN(100,((Inputs!$B$9+((C1792=TRUE)*(F1792-Calc!F19))+B1804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1811)&lt;=0,1,MAX(0,IF(Inputs!$B$38="pvp",15,Inputs!$B$43)-MAX(5,B1811))/(IF(Inputs!$B$38="pvp",15,Inputs!$B$43)-(B1811))))*IF(AND(ArtifactsInput!$M$42,((Inputs!$B$9+((C1792=TRUE)*(F1792-Calc!F19))+B1804+(ArtifactsInput!$M$24-ArtifactsInput!$M$24)*CHOOSE(ArtifactsInput!$N$24+1,10,12,14,16,18,20)+IF(ArtifactsInput!$M$10,CHOOSE(ArtifactsInput!$N$10+1,15,18,21,24,27,30)*(IF(Inputs!$B$38="pvp",MIN(15,15)/15,IF(AND(Inputs!$B$38&lt;&gt;"pvp",Inputs!$B$43&gt;0),MIN(15,Inputs!$B$43)/(Inputs!$B$43),0))),0)))&gt;=100),CHOOSE(ArtifactsInput!$N$42+1,40,48,56,64,72,80),0))))/100)*((1+(((C1790=TRUE)*F1790*5/7)+((C1797=TRUE)*(F1797-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1776)</f>
        <v/>
      </c>
      <c r="L1776">
        <f>K1776*(MIN(Inputs!$B$22+((C1795=TRUE)*(F1795-Calc!F22)),(Inputs!$B$23+0+(IF(ArtifactsInput!$M$15,CHOOSE(ArtifactsInput!$N$15+1,25,30,35,40,45,50)/100*(Inputs!$B$11-Inputs!$B$11),0))))/100+(Inputs!$B$23+0+(IF(ArtifactsInput!$M$15,CHOOSE(ArtifactsInput!$N$15+1,25,30,35,40,45,50)/100*(Inputs!$B$11-Inputs!$B$11),0)))/100)/2</f>
        <v/>
      </c>
      <c r="M1776">
        <f>L1776*(1+(Inputs!$B$10+((C1798=TRUE)*(F1798-Calc!F25))+B1809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76">
        <f>L1776*(1-MIN((Inputs!$B$9+((C1792=TRUE)*(F1792-Calc!F19))+B1804+(ArtifactsInput!$M$24-ArtifactsInput!$M$24)*CHOOSE(ArtifactsInput!$N$24+1,10,12,14,16,18,20)+(IF(AND(Inputs!$B$38&lt;&gt;"pvp",Inputs!$B$43=0),1,IF(IF(Inputs!$B$38="pvp",15,Inputs!$B$43)-(B1811)&lt;=0,1,MAX(0,IF(Inputs!$B$38="pvp",15,Inputs!$B$43)-MAX(5,B1811))/(IF(Inputs!$B$38="pvp",15,Inputs!$B$43)-(B1811))))*IF(AND(ArtifactsInput!$M$42,((Inputs!$B$9+((C1792=TRUE)*(F1792-Calc!F19))+B1804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1776*(MIN((Inputs!$B$9+((C1792=TRUE)*(F1792-Calc!F19))+B1804+(ArtifactsInput!$M$24-ArtifactsInput!$M$24)*CHOOSE(ArtifactsInput!$N$24+1,10,12,14,16,18,20)+(IF(AND(Inputs!$B$38&lt;&gt;"pvp",Inputs!$B$43=0),1,IF(IF(Inputs!$B$38="pvp",15,Inputs!$B$43)-(B1811)&lt;=0,1,MAX(0,IF(Inputs!$B$38="pvp",15,Inputs!$B$43)-MAX(5,B1811))/(IF(Inputs!$B$38="pvp",15,Inputs!$B$43)-(B1811))))*IF(AND(ArtifactsInput!$M$42,((Inputs!$B$9+((C1792=TRUE)*(F1792-Calc!F19))+B1804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76">
        <f>(1-Summary!$B$11)*T1776+Summary!$B$11*V1776</f>
        <v/>
      </c>
      <c r="P1776">
        <f>IF(B1814=0,0,O1776/B1814)</f>
        <v/>
      </c>
      <c r="Q1776">
        <f>IFERROR(1/(IF(Inputs!$B$38="pvp",15,MAX(0.1,Skills!D3-IF(TRUE=TRUE,Inputs!$B$32,0)))*(1-IF(AND(ArtifactsInput!$M$27,Inputs!$B$4="Chapter Hunt"),CHOOSE(ArtifactsInput!$N$27+1,20,24,28,32,36,40),0)/100)),0)</f>
        <v/>
      </c>
      <c r="R1776">
        <f>IF(AND(Inputs!$B$38&lt;&gt;"pvp",Inputs!$B$43&gt;0),IF(MAX(0,Inputs!$B$43-B1811)&lt;=0,0,(INT(MAX(0,Inputs!$B$43-B1811)/(IF(Inputs!$B$38="pvp",15,MAX(0.1,Skills!D3-IF(TRUE=TRUE,Inputs!$B$32,0)))*(1-IF(AND(ArtifactsInput!$M$27,Inputs!$B$4="Chapter Hunt"),CHOOSE(ArtifactsInput!$N$27+1,20,24,28,32,36,40),0)/100)))+1)),0)</f>
        <v/>
      </c>
      <c r="S1776">
        <f>IFERROR(O1776/N1776,0)</f>
        <v/>
      </c>
      <c r="T1776">
        <f>IF(C1776,(H1776*N1776*IF(AND(Inputs!$B$38&lt;&gt;"pvp",Inputs!$B$43&gt;0),((Skills!G3*((R1776-1)*IF(Skills!H3&gt;0,INT(Skills!I3/Skills!H3+0.000000001),1)+IF(Skills!H3&gt;0,INT(MIN(Skills!I3,MAX(0,MAX(0,Inputs!$B$43-B1811)-((R1776-1)*(IF(Inputs!$B$38="pvp",15,MAX(0.1,Skills!D3-IF(TRUE=TRUE,Inputs!$B$32,0)))*(1-IF(AND(ArtifactsInput!$M$27,Inputs!$B$4="Chapter Hunt"),CHOOSE(ArtifactsInput!$N$27+1,20,24,28,32,36,40),0)/100)))))/Skills!H3+0.000000001),1)))/Inputs!$B$43),G1776*Q1776))*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Hunt"),CHOOSE(ArtifactsInput!$N$35+1,15,18,21,24,27,30)*(1-EXP(-(0.2*B1806)*5)),0)+IF(AND(ArtifactsInput!$M$22,Inputs!$B$4&lt;&gt;"Chapter Hunt"),CHOOSE(ArtifactsInput!$N$22+1,10,12,14,16,18,20)*((0*(((0.15*B1806*5))^0/1)+1*(((0.15*B1806*5))^1/1)+2*(((0.15*B1806*5))^2/2)+3*(((0.15*B1806*5))^3/6)+4*(((0.15*B1806*5))^4/24)+5*(((0.15*B1806*5))^5/120))/((((0.15*B1806*5))^0/1)+(((0.15*B1806*5))^1/1)+(((0.15*B1806*5))^2/2)+(((0.15*B1806*5))^3/6)+(((0.15*B1806*5))^4/24)+(((0.15*B1806*5))^5/120))),0))+IF(Inputs!$B$3&gt;=54,9*(C1776=TRUE)*MIN(1,8*(1+Inputs!$B$34/100)*Q1776)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1776*(1-MIN(100,(Inputs!$B$9+((C1792=TRUE)*(F1792-Calc!F19))+B1804+(ArtifactsInput!$M$24-ArtifactsInput!$M$24)*CHOOSE(ArtifactsInput!$N$24+1,10,12,14,16,18,20)+(IF(AND(Inputs!$B$38&lt;&gt;"pvp",Inputs!$B$43=0),1,IF(IF(Inputs!$B$38="pvp",15,Inputs!$B$43)-(B1811)&lt;=0,1,MAX(0,IF(Inputs!$B$38="pvp",15,Inputs!$B$43)-MAX(5,B1811))/(IF(Inputs!$B$38="pvp",15,Inputs!$B$43)-(B1811))))*IF(AND(ArtifactsInput!$M$42,((Inputs!$B$9+((C1792=TRUE)*(F1792-Calc!F19))+B1804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1776*(MIN(100,(Inputs!$B$9+((C1792=TRUE)*(F1792-Calc!F19))+B1804+(ArtifactsInput!$M$24-ArtifactsInput!$M$24)*CHOOSE(ArtifactsInput!$N$24+1,10,12,14,16,18,20)+(IF(AND(Inputs!$B$38&lt;&gt;"pvp",Inputs!$B$43=0),1,IF(IF(Inputs!$B$38="pvp",15,Inputs!$B$43)-(B1811)&lt;=0,1,MAX(0,IF(Inputs!$B$38="pvp",15,Inputs!$B$43)-MAX(5,B1811))/(IF(Inputs!$B$38="pvp",15,Inputs!$B$43)-(B1811))))*IF(AND(ArtifactsInput!$M$42,((Inputs!$B$9+((C1792=TRUE)*(F1792-Calc!F19))+B1804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1776*(1-MIN(100,(Inputs!$B$9+((C1792=TRUE)*(F1792-Calc!F19))+B1804+(ArtifactsInput!$M$24-ArtifactsInput!$M$24)*CHOOSE(ArtifactsInput!$N$24+1,10,12,14,16,18,20)+(IF(AND(Inputs!$B$38&lt;&gt;"pvp",Inputs!$B$43=0),1,IF(IF(Inputs!$B$38="pvp",15,Inputs!$B$43)-(B1811)&lt;=0,1,MAX(0,IF(Inputs!$B$38="pvp",15,Inputs!$B$43)-MAX(5,B1811))/(IF(Inputs!$B$38="pvp",15,Inputs!$B$43)-(B1811))))*IF(AND(ArtifactsInput!$M$42,((Inputs!$B$9+((C1792=TRUE)*(F1792-Calc!F19))+B1804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1776*(MIN(100,(Inputs!$B$9+((C1792=TRUE)*(F1792-Calc!F19))+B1804+(ArtifactsInput!$M$24-ArtifactsInput!$M$24)*CHOOSE(ArtifactsInput!$N$24+1,10,12,14,16,18,20)+(IF(AND(Inputs!$B$38&lt;&gt;"pvp",Inputs!$B$43=0),1,IF(IF(Inputs!$B$38="pvp",15,Inputs!$B$43)-(B1811)&lt;=0,1,MAX(0,IF(Inputs!$B$38="pvp",15,Inputs!$B$43)-MAX(5,B1811))/(IF(Inputs!$B$38="pvp",15,Inputs!$B$43)-(B1811))))*IF(AND(ArtifactsInput!$M$42,((Inputs!$B$9+((C1792=TRUE)*(F1792-Calc!F19))+B1804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776">
        <f>INDEX(FactorTable!$B$2:$Y$301, MATCH(ROUND(MIN(300,MAX(1,U1775)),0), FactorTable!$A$2:$A$301,0), 22)</f>
        <v/>
      </c>
      <c r="V1776">
        <f>IF(C1776,(H1776*N1776*IF(AND(Inputs!$B$38&lt;&gt;"pvp",Inputs!$B$43&gt;0),((Skills!G3*((R1776-1)*IF(Skills!H3&gt;0,INT(Skills!I3/Skills!H3+0.000000001),1)+IF(Skills!H3&gt;0,INT(MIN(Skills!I3,MAX(0,MAX(0,Inputs!$B$43-B1811)-((R1776-1)*(IF(Inputs!$B$38="pvp",15,MAX(0.1,Skills!D3-IF(TRUE=TRUE,Inputs!$B$32,0)))*(1-IF(AND(ArtifactsInput!$M$27,Inputs!$B$4="Chapter Hunt"),CHOOSE(ArtifactsInput!$N$27+1,20,24,28,32,36,40),0)/100)))))/Skills!H3+0.000000001),1)))/Inputs!$B$43),G1776*Q1776))*IF(Inputs!$B$38="pvp",1,(1+(Inputs!$B$21+Skills!Q3+(IF(ArtifactsInput!$M$33,CHOOSE(ArtifactsInput!$N$33+1,30,36,42,48,54,60),0))+(IF(AND(ArtifactsInput!$M$35,Inputs!$B$4&lt;&gt;"Chapter Hunt"),CHOOSE(ArtifactsInput!$N$35+1,15,18,21,24,27,30)*(1-EXP(-(0.2*B1806)*5)),0)+IF(AND(ArtifactsInput!$M$22,Inputs!$B$4&lt;&gt;"Chapter Hunt"),CHOOSE(ArtifactsInput!$N$22+1,10,12,14,16,18,20)*((0*(((0.15*B1806*5))^0/1)+1*(((0.15*B1806*5))^1/1)+2*(((0.15*B1806*5))^2/2)+3*(((0.15*B1806*5))^3/6)+4*(((0.15*B1806*5))^4/24)+5*(((0.15*B1806*5))^5/120))/((((0.15*B1806*5))^0/1)+(((0.15*B1806*5))^1/1)+(((0.15*B1806*5))^2/2)+(((0.15*B1806*5))^3/6)+(((0.15*B1806*5))^4/24)+(((0.15*B1806*5))^5/120))),0))+IF(Inputs!$B$3&gt;=54,9*(C1776=TRUE)*MIN(1,8*(1+Inputs!$B$34/100)*Q1776),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77">
      <c r="A1777">
        <f>Skills!A4</f>
        <v/>
      </c>
      <c r="B1777">
        <f>Skills!B4</f>
        <v/>
      </c>
      <c r="C1777">
        <f>Inputs!$B$3&gt;=35</f>
        <v/>
      </c>
      <c r="D1777">
        <f>IF(Skills!C4=1,60+Inputs!$B$25+Inputs!$B$29,IF(Skills!C4=2,90+Inputs!$B$26+Inputs!$B$29,IF(Skills!C4=3,120+Inputs!$B$27+Inputs!$B$29,MAX(0,(Inputs!$B$3-100)*3)+Inputs!$B$28+Inputs!$B$29)))</f>
        <v/>
      </c>
      <c r="E1777">
        <f>INDEX(FactorTable!$B$2:$Y$301, MATCH(ROUND(MIN(300,MAX(1,D1777)),0), FactorTable!$A$2:$A$301,0), Skills!M4+1)</f>
        <v/>
      </c>
      <c r="F1777">
        <f>IF(Skills!N4=TRUE,(Skills!L4/10)*(E1777/1000),Skills!L4/10)+Skills!O4</f>
        <v/>
      </c>
      <c r="G1777">
        <f>Skills!G4*IF(Skills!H4&gt;0,INT(IF(Inputs!$B$38="pvp",MIN(IF(Inputs!$B$3&gt;=104,MIN(35,20*(1+Inputs!$B$34/100)),20),15),IF(Inputs!$B$3&gt;=104,MIN(35,20*(1+Inputs!$B$34/100)),20))/Skills!H4+0.000000001),1)</f>
        <v/>
      </c>
      <c r="H1777">
        <f>1-(1-Skills!J4/100)^Skills!K4</f>
        <v/>
      </c>
      <c r="I1777" t="inlineStr">
        <is>
          <t>1</t>
        </is>
      </c>
      <c r="J1777">
        <f>((Inputs!$B$6*(1+Inputs!$B$7/100))+(((Inputs!$B$12*(1+Inputs!$B$13/100))-(Inputs!$B$12*(1+Inputs!$B$13/100)))+0.25*(Inputs!$B$14-Inputs!$B$14))*(1+Inputs!$B$7/100))*(F1777/100)</f>
        <v/>
      </c>
      <c r="K1777">
        <f>J1777*(1+((Inputs!$B$12*(1+Inputs!$B$13/100))*0.01+Inputs!$B$14*0.0025)/100)*(1+Inputs!$B$15/100)*(1+Inputs!$B$16/100)*(5000/(6000+Inputs!$B$42*(1-(100*(1-(1-(Inputs!$B$19+0)/100)*(1-CHOOSE(ArtifactsInput!$N$40+1,5,6,7,8,9,10)/100)^(ArtifactsInput!$M$40-ArtifactsInput!$M$40)))/100)))*(1+(Inputs!$B$24+((C1799=TRUE)*(F1799-Calc!F26))+B1810)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1789=TRUE,F1789,0)/100)*(1+(IF(Skills!A4="EIGHT_LEGS_EASTON",Inputs!$B$17+((C1796=TRUE)*(F1796-Calc!F23))+((C1800=TRUE)*(F1800-Calc!F27))+((IF(AND(Inputs!$B$38&lt;&gt;"pvp",Inputs!$B$43=0),1,IF(IF(Inputs!$B$38="pvp",15,Inputs!$B$43)-(B1811)&lt;=0,1,MAX(0,IF(Inputs!$B$38="pvp",15,Inputs!$B$43)-MAX(5,B1811))/(IF(Inputs!$B$38="pvp",15,Inputs!$B$43)-(B1811))))*(IF(AND(ArtifactsInput!$M$42,((Inputs!$B$9+((C1792=TRUE)*(F1792-Calc!F19))+B1804+(ArtifactsInput!$M$24-ArtifactsInput!$M$24)*CHOOSE(ArtifactsInput!$N$24+1,10,12,14,16,18,20)+IF(ArtifactsInput!$M$10,CHOOSE(ArtifactsInput!$N$10+1,15,18,21,24,27,30)*(IF(Inputs!$B$38="pvp",MIN(15,15)/15,IF(AND(Inputs!$B$38&lt;&gt;"pvp",Inputs!$B$43&gt;0),MIN(15,Inputs!$B$43)/(Inputs!$B$43),0))),0)))&gt;=100),MIN(100,((Inputs!$B$9+((C1792=TRUE)*(F1792-Calc!F19))+B1804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1811)&lt;=0,1,MAX(0,IF(Inputs!$B$38="pvp",15,Inputs!$B$43)-MAX(5,B1811))/(IF(Inputs!$B$38="pvp",15,Inputs!$B$43)-(B1811))))*IF(AND(ArtifactsInput!$M$42,((Inputs!$B$9+((C1792=TRUE)*(F1792-Calc!F19))+B1804+(ArtifactsInput!$M$24-ArtifactsInput!$M$24)*CHOOSE(ArtifactsInput!$N$24+1,10,12,14,16,18,20)+IF(ArtifactsInput!$M$10,CHOOSE(ArtifactsInput!$N$10+1,15,18,21,24,27,30)*(IF(Inputs!$B$38="pvp",MIN(15,15)/15,IF(AND(Inputs!$B$38&lt;&gt;"pvp",Inputs!$B$43&gt;0),MIN(15,Inputs!$B$43)/(Inputs!$B$43),0))),0)))&gt;=100),CHOOSE(ArtifactsInput!$N$42+1,40,48,56,64,72,80),0))))/100)*((1+(((C1790=TRUE)*F1790*5/7)+((C1797=TRUE)*(F1797-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1777)</f>
        <v/>
      </c>
      <c r="L1777">
        <f>K1777*(MIN(Inputs!$B$22+((C1795=TRUE)*(F1795-Calc!F22)),(Inputs!$B$23+0+(IF(ArtifactsInput!$M$15,CHOOSE(ArtifactsInput!$N$15+1,25,30,35,40,45,50)/100*(Inputs!$B$11-Inputs!$B$11),0))))/100+(Inputs!$B$23+0+(IF(ArtifactsInput!$M$15,CHOOSE(ArtifactsInput!$N$15+1,25,30,35,40,45,50)/100*(Inputs!$B$11-Inputs!$B$11),0)))/100)/2</f>
        <v/>
      </c>
      <c r="M1777">
        <f>L1777*(1+(Inputs!$B$10+((C1798=TRUE)*(F1798-Calc!F25))+B1809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77">
        <f>L1777*(1-MIN((Inputs!$B$9+((C1792=TRUE)*(F1792-Calc!F19))+B1804+(ArtifactsInput!$M$24-ArtifactsInput!$M$24)*CHOOSE(ArtifactsInput!$N$24+1,10,12,14,16,18,20)+(IF(AND(Inputs!$B$38&lt;&gt;"pvp",Inputs!$B$43=0),1,IF(IF(Inputs!$B$38="pvp",15,Inputs!$B$43)-(B1811)&lt;=0,1,MAX(0,IF(Inputs!$B$38="pvp",15,Inputs!$B$43)-MAX(5,B1811))/(IF(Inputs!$B$38="pvp",15,Inputs!$B$43)-(B1811))))*IF(AND(ArtifactsInput!$M$42,((Inputs!$B$9+((C1792=TRUE)*(F1792-Calc!F19))+B1804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1777*(MIN((Inputs!$B$9+((C1792=TRUE)*(F1792-Calc!F19))+B1804+(ArtifactsInput!$M$24-ArtifactsInput!$M$24)*CHOOSE(ArtifactsInput!$N$24+1,10,12,14,16,18,20)+(IF(AND(Inputs!$B$38&lt;&gt;"pvp",Inputs!$B$43=0),1,IF(IF(Inputs!$B$38="pvp",15,Inputs!$B$43)-(B1811)&lt;=0,1,MAX(0,IF(Inputs!$B$38="pvp",15,Inputs!$B$43)-MAX(5,B1811))/(IF(Inputs!$B$38="pvp",15,Inputs!$B$43)-(B1811))))*IF(AND(ArtifactsInput!$M$42,((Inputs!$B$9+((C1792=TRUE)*(F1792-Calc!F19))+B1804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77">
        <f>(1-Summary!$B$11)*T1777+Summary!$B$11*V1777</f>
        <v/>
      </c>
      <c r="P1777">
        <f>IF(B1814=0,0,O1777/B1814)</f>
        <v/>
      </c>
      <c r="Q1777">
        <f>IFERROR(1/(IF(Inputs!$B$38="pvp",15,MAX(0.1,Skills!D4-IF(TRUE=TRUE,Inputs!$B$32,0)))*(1-IF(AND(ArtifactsInput!$M$27,Inputs!$B$4="Chapter Hunt"),CHOOSE(ArtifactsInput!$N$27+1,20,24,28,32,36,40),0)/100)),0)</f>
        <v/>
      </c>
      <c r="R1777">
        <f>IF(AND(Inputs!$B$38&lt;&gt;"pvp",Inputs!$B$43&gt;0),IF(MAX(0,Inputs!$B$43-B1811)&lt;=0,0,(INT(MAX(0,Inputs!$B$43-B1811)/(IF(Inputs!$B$38="pvp",15,MAX(0.1,Skills!D4-IF(TRUE=TRUE,Inputs!$B$32,0)))*(1-IF(AND(ArtifactsInput!$M$27,Inputs!$B$4="Chapter Hunt"),CHOOSE(ArtifactsInput!$N$27+1,20,24,28,32,36,40),0)/100)))+1)),0)</f>
        <v/>
      </c>
      <c r="S1777">
        <f>IFERROR(O1777/N1777,0)</f>
        <v/>
      </c>
      <c r="T1777">
        <f>IF(C1777,(H1777*N1777*IF(AND(Inputs!$B$38&lt;&gt;"pvp",Inputs!$B$43&gt;0),((Skills!G4*((R1777-1)*IF(Skills!H4&gt;0,INT(IF(Inputs!$B$3&gt;=104,MIN(35,20*(1+Inputs!$B$34/100)),20)/Skills!H4+0.000000001),1)+IF(Skills!H4&gt;0,INT(MIN(IF(Inputs!$B$3&gt;=104,MIN(35,20*(1+Inputs!$B$34/100)),20),MAX(0,MAX(0,Inputs!$B$43-B1811)-((R1777-1)*(IF(Inputs!$B$38="pvp",15,MAX(0.1,Skills!D4-IF(TRUE=TRUE,Inputs!$B$32,0)))*(1-IF(AND(ArtifactsInput!$M$27,Inputs!$B$4="Chapter Hunt"),CHOOSE(ArtifactsInput!$N$27+1,20,24,28,32,36,40),0)/100)))))/Skills!H4+0.000000001),1)))/Inputs!$B$43),G1777*Q1777))*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Hunt"),CHOOSE(ArtifactsInput!$N$35+1,15,18,21,24,27,30)*(1-EXP(-(0.2*B1806)*5)),0)+IF(AND(ArtifactsInput!$M$22,Inputs!$B$4&lt;&gt;"Chapter Hunt"),CHOOSE(ArtifactsInput!$N$22+1,10,12,14,16,18,20)*((0*(((0.15*B1806*5))^0/1)+1*(((0.15*B1806*5))^1/1)+2*(((0.15*B1806*5))^2/2)+3*(((0.15*B1806*5))^3/6)+4*(((0.15*B1806*5))^4/24)+5*(((0.15*B1806*5))^5/120))/((((0.15*B1806*5))^0/1)+(((0.15*B1806*5))^1/1)+(((0.15*B1806*5))^2/2)+(((0.15*B1806*5))^3/6)+(((0.15*B1806*5))^4/24)+(((0.15*B1806*5))^5/120))),0))+IF(Inputs!$B$3&gt;=54,9*(C1776=TRUE)*MIN(1,8*(1+Inputs!$B$34/100)*Q1776)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1777*(1-MIN(100,(Inputs!$B$9+((C1792=TRUE)*(F1792-Calc!F19))+B1804+(ArtifactsInput!$M$24-ArtifactsInput!$M$24)*CHOOSE(ArtifactsInput!$N$24+1,10,12,14,16,18,20)+(IF(AND(Inputs!$B$38&lt;&gt;"pvp",Inputs!$B$43=0),1,IF(IF(Inputs!$B$38="pvp",15,Inputs!$B$43)-(B1811)&lt;=0,1,MAX(0,IF(Inputs!$B$38="pvp",15,Inputs!$B$43)-MAX(5,B1811))/(IF(Inputs!$B$38="pvp",15,Inputs!$B$43)-(B1811))))*IF(AND(ArtifactsInput!$M$42,((Inputs!$B$9+((C1792=TRUE)*(F1792-Calc!F19))+B1804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1777*(MIN(100,(Inputs!$B$9+((C1792=TRUE)*(F1792-Calc!F19))+B1804+(ArtifactsInput!$M$24-ArtifactsInput!$M$24)*CHOOSE(ArtifactsInput!$N$24+1,10,12,14,16,18,20)+(IF(AND(Inputs!$B$38&lt;&gt;"pvp",Inputs!$B$43=0),1,IF(IF(Inputs!$B$38="pvp",15,Inputs!$B$43)-(B1811)&lt;=0,1,MAX(0,IF(Inputs!$B$38="pvp",15,Inputs!$B$43)-MAX(5,B1811))/(IF(Inputs!$B$38="pvp",15,Inputs!$B$43)-(B1811))))*IF(AND(ArtifactsInput!$M$42,((Inputs!$B$9+((C1792=TRUE)*(F1792-Calc!F19))+B1804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1777*(1-MIN(100,(Inputs!$B$9+((C1792=TRUE)*(F1792-Calc!F19))+B1804+(ArtifactsInput!$M$24-ArtifactsInput!$M$24)*CHOOSE(ArtifactsInput!$N$24+1,10,12,14,16,18,20)+(IF(AND(Inputs!$B$38&lt;&gt;"pvp",Inputs!$B$43=0),1,IF(IF(Inputs!$B$38="pvp",15,Inputs!$B$43)-(B1811)&lt;=0,1,MAX(0,IF(Inputs!$B$38="pvp",15,Inputs!$B$43)-MAX(5,B1811))/(IF(Inputs!$B$38="pvp",15,Inputs!$B$43)-(B1811))))*IF(AND(ArtifactsInput!$M$42,((Inputs!$B$9+((C1792=TRUE)*(F1792-Calc!F19))+B1804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1777*(MIN(100,(Inputs!$B$9+((C1792=TRUE)*(F1792-Calc!F19))+B1804+(ArtifactsInput!$M$24-ArtifactsInput!$M$24)*CHOOSE(ArtifactsInput!$N$24+1,10,12,14,16,18,20)+(IF(AND(Inputs!$B$38&lt;&gt;"pvp",Inputs!$B$43=0),1,IF(IF(Inputs!$B$38="pvp",15,Inputs!$B$43)-(B1811)&lt;=0,1,MAX(0,IF(Inputs!$B$38="pvp",15,Inputs!$B$43)-MAX(5,B1811))/(IF(Inputs!$B$38="pvp",15,Inputs!$B$43)-(B1811))))*IF(AND(ArtifactsInput!$M$42,((Inputs!$B$9+((C1792=TRUE)*(F1792-Calc!F19))+B1804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777">
        <f>290*U1776/1000</f>
        <v/>
      </c>
      <c r="V1777">
        <f>IF(C1777,(H1777*N1777*IF(AND(Inputs!$B$38&lt;&gt;"pvp",Inputs!$B$43&gt;0),((Skills!G4*((R1777-1)*IF(Skills!H4&gt;0,INT(IF(Inputs!$B$3&gt;=104,MIN(35,20*(1+Inputs!$B$34/100)),20)/Skills!H4+0.000000001),1)+IF(Skills!H4&gt;0,INT(MIN(IF(Inputs!$B$3&gt;=104,MIN(35,20*(1+Inputs!$B$34/100)),20),MAX(0,MAX(0,Inputs!$B$43-B1811)-((R1777-1)*(IF(Inputs!$B$38="pvp",15,MAX(0.1,Skills!D4-IF(TRUE=TRUE,Inputs!$B$32,0)))*(1-IF(AND(ArtifactsInput!$M$27,Inputs!$B$4="Chapter Hunt"),CHOOSE(ArtifactsInput!$N$27+1,20,24,28,32,36,40),0)/100)))))/Skills!H4+0.000000001),1)))/Inputs!$B$43),G1777*Q1777))*IF(Inputs!$B$38="pvp",1,(1+(Inputs!$B$21+Skills!Q4+(IF(ArtifactsInput!$M$33,CHOOSE(ArtifactsInput!$N$33+1,30,36,42,48,54,60),0))+(IF(AND(ArtifactsInput!$M$35,Inputs!$B$4&lt;&gt;"Chapter Hunt"),CHOOSE(ArtifactsInput!$N$35+1,15,18,21,24,27,30)*(1-EXP(-(0.2*B1806)*5)),0)+IF(AND(ArtifactsInput!$M$22,Inputs!$B$4&lt;&gt;"Chapter Hunt"),CHOOSE(ArtifactsInput!$N$22+1,10,12,14,16,18,20)*((0*(((0.15*B1806*5))^0/1)+1*(((0.15*B1806*5))^1/1)+2*(((0.15*B1806*5))^2/2)+3*(((0.15*B1806*5))^3/6)+4*(((0.15*B1806*5))^4/24)+5*(((0.15*B1806*5))^5/120))/((((0.15*B1806*5))^0/1)+(((0.15*B1806*5))^1/1)+(((0.15*B1806*5))^2/2)+(((0.15*B1806*5))^3/6)+(((0.15*B1806*5))^4/24)+(((0.15*B1806*5))^5/120))),0))+IF(Inputs!$B$3&gt;=54,9*(C1776=TRUE)*MIN(1,8*(1+Inputs!$B$34/100)*Q1776),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78">
      <c r="A1778">
        <f>Skills!A5</f>
        <v/>
      </c>
      <c r="B1778">
        <f>Skills!B5</f>
        <v/>
      </c>
      <c r="C1778">
        <f>Inputs!$B$3&gt;=69</f>
        <v/>
      </c>
      <c r="D1778">
        <f>IF(Skills!C5=1,60+Inputs!$B$25+Inputs!$B$29,IF(Skills!C5=2,90+Inputs!$B$26+Inputs!$B$29,IF(Skills!C5=3,120+Inputs!$B$27+Inputs!$B$29,MAX(0,(Inputs!$B$3-100)*3)+Inputs!$B$28+Inputs!$B$29)))</f>
        <v/>
      </c>
      <c r="E1778">
        <f>INDEX(FactorTable!$B$2:$Y$301, MATCH(ROUND(MIN(300,MAX(1,D1778)),0), FactorTable!$A$2:$A$301,0), Skills!M5+1)</f>
        <v/>
      </c>
      <c r="F1778">
        <f>IF(Skills!N5=TRUE,(Skills!L5/10)*(E1778/1000),Skills!L5/10)+Skills!O5</f>
        <v/>
      </c>
      <c r="G1778">
        <f>Skills!G5*IF(Skills!H5&gt;0,INT(IF(Inputs!$B$38="pvp",MIN(IF(Inputs!$B$3&gt;=104,MIN(35,20*(1+Inputs!$B$34/100)),20),15),IF(Inputs!$B$3&gt;=104,MIN(35,20*(1+Inputs!$B$34/100)),20))/Skills!H5+0.000000001),1)</f>
        <v/>
      </c>
      <c r="H1778">
        <f>1-(1-Skills!J5/100)^Skills!K5</f>
        <v/>
      </c>
      <c r="I1778" t="inlineStr">
        <is>
          <t>1</t>
        </is>
      </c>
      <c r="J1778">
        <f>((Inputs!$B$6*(1+Inputs!$B$7/100))+(((Inputs!$B$12*(1+Inputs!$B$13/100))-(Inputs!$B$12*(1+Inputs!$B$13/100)))+0.25*(Inputs!$B$14-Inputs!$B$14))*(1+Inputs!$B$7/100))*(F1778/100)</f>
        <v/>
      </c>
      <c r="K1778">
        <f>J1778*(1+((Inputs!$B$12*(1+Inputs!$B$13/100))*0.01+Inputs!$B$14*0.0025)/100)*(1+Inputs!$B$15/100)*(1+Inputs!$B$16/100)*(5000/(6000+Inputs!$B$42*(1-(100*(1-(1-(Inputs!$B$19+0)/100)*(1-CHOOSE(ArtifactsInput!$N$40+1,5,6,7,8,9,10)/100)^(ArtifactsInput!$M$40-ArtifactsInput!$M$40)))/100)))*(1+(Inputs!$B$24+((C1799=TRUE)*(F1799-Calc!F26))+B1810)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+0.4*IF(C1789=TRUE,F1789,0)/100)*(1+(IF(Skills!A5="EIGHT_LEGS_EASTON",Inputs!$B$17+((C1796=TRUE)*(F1796-Calc!F23))+((C1800=TRUE)*(F1800-Calc!F27))+((IF(AND(Inputs!$B$38&lt;&gt;"pvp",Inputs!$B$43=0),1,IF(IF(Inputs!$B$38="pvp",15,Inputs!$B$43)-(B1811)&lt;=0,1,MAX(0,IF(Inputs!$B$38="pvp",15,Inputs!$B$43)-MAX(5,B1811))/(IF(Inputs!$B$38="pvp",15,Inputs!$B$43)-(B1811))))*(IF(AND(ArtifactsInput!$M$42,((Inputs!$B$9+((C1792=TRUE)*(F1792-Calc!F19))+B1804+(ArtifactsInput!$M$24-ArtifactsInput!$M$24)*CHOOSE(ArtifactsInput!$N$24+1,10,12,14,16,18,20)+IF(ArtifactsInput!$M$10,CHOOSE(ArtifactsInput!$N$10+1,15,18,21,24,27,30)*(IF(Inputs!$B$38="pvp",MIN(15,15)/15,IF(AND(Inputs!$B$38&lt;&gt;"pvp",Inputs!$B$43&gt;0),MIN(15,Inputs!$B$43)/(Inputs!$B$43),0))),0)))&gt;=100),MIN(100,((Inputs!$B$9+((C1792=TRUE)*(F1792-Calc!F19))+B1804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1811)&lt;=0,1,MAX(0,IF(Inputs!$B$38="pvp",15,Inputs!$B$43)-MAX(5,B1811))/(IF(Inputs!$B$38="pvp",15,Inputs!$B$43)-(B1811))))*IF(AND(ArtifactsInput!$M$42,((Inputs!$B$9+((C1792=TRUE)*(F1792-Calc!F19))+B1804+(ArtifactsInput!$M$24-ArtifactsInput!$M$24)*CHOOSE(ArtifactsInput!$N$24+1,10,12,14,16,18,20)+IF(ArtifactsInput!$M$10,CHOOSE(ArtifactsInput!$N$10+1,15,18,21,24,27,30)*(IF(Inputs!$B$38="pvp",MIN(15,15)/15,IF(AND(Inputs!$B$38&lt;&gt;"pvp",Inputs!$B$43&gt;0),MIN(15,Inputs!$B$43)/(Inputs!$B$43),0))),0)))&gt;=100),CHOOSE(ArtifactsInput!$N$42+1,40,48,56,64,72,80),0))))/100)*((1+(((C1790=TRUE)*F1790*5/7)+((C1797=TRUE)*(F1797-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1778)</f>
        <v/>
      </c>
      <c r="L1778">
        <f>K1778*(MIN(Inputs!$B$22+((C1795=TRUE)*(F1795-Calc!F22)),(Inputs!$B$23+0+(IF(ArtifactsInput!$M$15,CHOOSE(ArtifactsInput!$N$15+1,25,30,35,40,45,50)/100*(Inputs!$B$11-Inputs!$B$11),0))))/100+(Inputs!$B$23+0+(IF(ArtifactsInput!$M$15,CHOOSE(ArtifactsInput!$N$15+1,25,30,35,40,45,50)/100*(Inputs!$B$11-Inputs!$B$11),0)))/100)/2</f>
        <v/>
      </c>
      <c r="M1778">
        <f>L1778*(1+(Inputs!$B$10+((C1798=TRUE)*(F1798-Calc!F25))+B1809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78">
        <f>L1778*(1-MIN((Inputs!$B$9+((C1792=TRUE)*(F1792-Calc!F19))+B1804+(ArtifactsInput!$M$24-ArtifactsInput!$M$24)*CHOOSE(ArtifactsInput!$N$24+1,10,12,14,16,18,20)+(IF(AND(Inputs!$B$38&lt;&gt;"pvp",Inputs!$B$43=0),1,IF(IF(Inputs!$B$38="pvp",15,Inputs!$B$43)-(B1811)&lt;=0,1,MAX(0,IF(Inputs!$B$38="pvp",15,Inputs!$B$43)-MAX(5,B1811))/(IF(Inputs!$B$38="pvp",15,Inputs!$B$43)-(B1811))))*IF(AND(ArtifactsInput!$M$42,((Inputs!$B$9+((C1792=TRUE)*(F1792-Calc!F19))+B1804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1778*(MIN((Inputs!$B$9+((C1792=TRUE)*(F1792-Calc!F19))+B1804+(ArtifactsInput!$M$24-ArtifactsInput!$M$24)*CHOOSE(ArtifactsInput!$N$24+1,10,12,14,16,18,20)+(IF(AND(Inputs!$B$38&lt;&gt;"pvp",Inputs!$B$43=0),1,IF(IF(Inputs!$B$38="pvp",15,Inputs!$B$43)-(B1811)&lt;=0,1,MAX(0,IF(Inputs!$B$38="pvp",15,Inputs!$B$43)-MAX(5,B1811))/(IF(Inputs!$B$38="pvp",15,Inputs!$B$43)-(B1811))))*IF(AND(ArtifactsInput!$M$42,((Inputs!$B$9+((C1792=TRUE)*(F1792-Calc!F19))+B1804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78">
        <f>(1-Summary!$B$11)*T1778+Summary!$B$11*V1778</f>
        <v/>
      </c>
      <c r="P1778">
        <f>IF(B1814=0,0,O1778/B1814)</f>
        <v/>
      </c>
      <c r="Q1778">
        <f>IFERROR(1/(IF(Inputs!$B$38="pvp",15,MAX(0.1,Skills!D5-IF(TRUE=TRUE,Inputs!$B$32,0)))*(1-IF(AND(ArtifactsInput!$M$27,Inputs!$B$4="Chapter Hunt"),CHOOSE(ArtifactsInput!$N$27+1,20,24,28,32,36,40),0)/100)),0)</f>
        <v/>
      </c>
      <c r="R1778">
        <f>IF(AND(Inputs!$B$38&lt;&gt;"pvp",Inputs!$B$43&gt;0),IF(MAX(0,Inputs!$B$43-B1811)&lt;=0,0,(INT(MAX(0,Inputs!$B$43-B1811)/(IF(Inputs!$B$38="pvp",15,MAX(0.1,Skills!D5-IF(TRUE=TRUE,Inputs!$B$32,0)))*(1-IF(AND(ArtifactsInput!$M$27,Inputs!$B$4="Chapter Hunt"),CHOOSE(ArtifactsInput!$N$27+1,20,24,28,32,36,40),0)/100)))+1)),0)</f>
        <v/>
      </c>
      <c r="S1778">
        <f>IFERROR(O1778/N1778,0)</f>
        <v/>
      </c>
      <c r="T1778">
        <f>IF(C1778,(H1778*N1778*IF(AND(Inputs!$B$38&lt;&gt;"pvp",Inputs!$B$43&gt;0),((Skills!G5*((R1778-1)*IF(Skills!H5&gt;0,INT(IF(Inputs!$B$3&gt;=104,MIN(35,20*(1+Inputs!$B$34/100)),20)/Skills!H5+0.000000001),1)+IF(Skills!H5&gt;0,INT(MIN(IF(Inputs!$B$3&gt;=104,MIN(35,20*(1+Inputs!$B$34/100)),20),MAX(0,MAX(0,Inputs!$B$43-B1811)-((R1778-1)*(IF(Inputs!$B$38="pvp",15,MAX(0.1,Skills!D5-IF(TRUE=TRUE,Inputs!$B$32,0)))*(1-IF(AND(ArtifactsInput!$M$27,Inputs!$B$4="Chapter Hunt"),CHOOSE(ArtifactsInput!$N$27+1,20,24,28,32,36,40),0)/100)))))/Skills!H5+0.000000001),1)))/Inputs!$B$43),G1778*Q1778))*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Hunt"),CHOOSE(ArtifactsInput!$N$35+1,15,18,21,24,27,30)*(1-EXP(-(0.2*B1806)*5)),0)+IF(AND(ArtifactsInput!$M$22,Inputs!$B$4&lt;&gt;"Chapter Hunt"),CHOOSE(ArtifactsInput!$N$22+1,10,12,14,16,18,20)*((0*(((0.15*B1806*5))^0/1)+1*(((0.15*B1806*5))^1/1)+2*(((0.15*B1806*5))^2/2)+3*(((0.15*B1806*5))^3/6)+4*(((0.15*B1806*5))^4/24)+5*(((0.15*B1806*5))^5/120))/((((0.15*B1806*5))^0/1)+(((0.15*B1806*5))^1/1)+(((0.15*B1806*5))^2/2)+(((0.15*B1806*5))^3/6)+(((0.15*B1806*5))^4/24)+(((0.15*B1806*5))^5/120))),0))+IF(Inputs!$B$3&gt;=54,9*(C1776=TRUE)*MIN(1,8*(1+Inputs!$B$34/100)*Q1776)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1778*(1-MIN(100,(Inputs!$B$9+((C1792=TRUE)*(F1792-Calc!F19))+B1804+(ArtifactsInput!$M$24-ArtifactsInput!$M$24)*CHOOSE(ArtifactsInput!$N$24+1,10,12,14,16,18,20)+(IF(AND(Inputs!$B$38&lt;&gt;"pvp",Inputs!$B$43=0),1,IF(IF(Inputs!$B$38="pvp",15,Inputs!$B$43)-(B1811)&lt;=0,1,MAX(0,IF(Inputs!$B$38="pvp",15,Inputs!$B$43)-MAX(5,B1811))/(IF(Inputs!$B$38="pvp",15,Inputs!$B$43)-(B1811))))*IF(AND(ArtifactsInput!$M$42,((Inputs!$B$9+((C1792=TRUE)*(F1792-Calc!F19))+B1804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1778*(MIN(100,(Inputs!$B$9+((C1792=TRUE)*(F1792-Calc!F19))+B1804+(ArtifactsInput!$M$24-ArtifactsInput!$M$24)*CHOOSE(ArtifactsInput!$N$24+1,10,12,14,16,18,20)+(IF(AND(Inputs!$B$38&lt;&gt;"pvp",Inputs!$B$43=0),1,IF(IF(Inputs!$B$38="pvp",15,Inputs!$B$43)-(B1811)&lt;=0,1,MAX(0,IF(Inputs!$B$38="pvp",15,Inputs!$B$43)-MAX(5,B1811))/(IF(Inputs!$B$38="pvp",15,Inputs!$B$43)-(B1811))))*IF(AND(ArtifactsInput!$M$42,((Inputs!$B$9+((C1792=TRUE)*(F1792-Calc!F19))+B1804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1778*(1-MIN(100,(Inputs!$B$9+((C1792=TRUE)*(F1792-Calc!F19))+B1804+(ArtifactsInput!$M$24-ArtifactsInput!$M$24)*CHOOSE(ArtifactsInput!$N$24+1,10,12,14,16,18,20)+(IF(AND(Inputs!$B$38&lt;&gt;"pvp",Inputs!$B$43=0),1,IF(IF(Inputs!$B$38="pvp",15,Inputs!$B$43)-(B1811)&lt;=0,1,MAX(0,IF(Inputs!$B$38="pvp",15,Inputs!$B$43)-MAX(5,B1811))/(IF(Inputs!$B$38="pvp",15,Inputs!$B$43)-(B1811))))*IF(AND(ArtifactsInput!$M$42,((Inputs!$B$9+((C1792=TRUE)*(F1792-Calc!F19))+B1804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1778*(MIN(100,(Inputs!$B$9+((C1792=TRUE)*(F1792-Calc!F19))+B1804+(ArtifactsInput!$M$24-ArtifactsInput!$M$24)*CHOOSE(ArtifactsInput!$N$24+1,10,12,14,16,18,20)+(IF(AND(Inputs!$B$38&lt;&gt;"pvp",Inputs!$B$43=0),1,IF(IF(Inputs!$B$38="pvp",15,Inputs!$B$43)-(B1811)&lt;=0,1,MAX(0,IF(Inputs!$B$38="pvp",15,Inputs!$B$43)-MAX(5,B1811))/(IF(Inputs!$B$38="pvp",15,Inputs!$B$43)-(B1811))))*IF(AND(ArtifactsInput!$M$42,((Inputs!$B$9+((C1792=TRUE)*(F1792-Calc!F19))+B1804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778">
        <f>IF(C1778,(H1778*N1778*IF(AND(Inputs!$B$38&lt;&gt;"pvp",Inputs!$B$43&gt;0),((Skills!G5*((R1778-1)*IF(Skills!H5&gt;0,INT(IF(Inputs!$B$3&gt;=104,MIN(35,20*(1+Inputs!$B$34/100)),20)/Skills!H5+0.000000001),1)+IF(Skills!H5&gt;0,INT(MIN(IF(Inputs!$B$3&gt;=104,MIN(35,20*(1+Inputs!$B$34/100)),20),MAX(0,MAX(0,Inputs!$B$43-B1811)-((R1778-1)*(IF(Inputs!$B$38="pvp",15,MAX(0.1,Skills!D5-IF(TRUE=TRUE,Inputs!$B$32,0)))*(1-IF(AND(ArtifactsInput!$M$27,Inputs!$B$4="Chapter Hunt"),CHOOSE(ArtifactsInput!$N$27+1,20,24,28,32,36,40),0)/100)))))/Skills!H5+0.000000001),1)))/Inputs!$B$43),G1778*Q1778))*IF(Inputs!$B$38="pvp",1,(1+(Inputs!$B$21+Skills!Q5+(IF(ArtifactsInput!$M$33,CHOOSE(ArtifactsInput!$N$33+1,30,36,42,48,54,60),0))+(IF(AND(ArtifactsInput!$M$35,Inputs!$B$4&lt;&gt;"Chapter Hunt"),CHOOSE(ArtifactsInput!$N$35+1,15,18,21,24,27,30)*(1-EXP(-(0.2*B1806)*5)),0)+IF(AND(ArtifactsInput!$M$22,Inputs!$B$4&lt;&gt;"Chapter Hunt"),CHOOSE(ArtifactsInput!$N$22+1,10,12,14,16,18,20)*((0*(((0.15*B1806*5))^0/1)+1*(((0.15*B1806*5))^1/1)+2*(((0.15*B1806*5))^2/2)+3*(((0.15*B1806*5))^3/6)+4*(((0.15*B1806*5))^4/24)+5*(((0.15*B1806*5))^5/120))/((((0.15*B1806*5))^0/1)+(((0.15*B1806*5))^1/1)+(((0.15*B1806*5))^2/2)+(((0.15*B1806*5))^3/6)+(((0.15*B1806*5))^4/24)+(((0.15*B1806*5))^5/120))),0))+IF(Inputs!$B$3&gt;=54,9*(C1776=TRUE)*MIN(1,8*(1+Inputs!$B$34/100)*Q1776),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79">
      <c r="A1779">
        <f>Skills!A6</f>
        <v/>
      </c>
      <c r="B1779">
        <f>Skills!B6</f>
        <v/>
      </c>
      <c r="C1779">
        <f>Inputs!$B$3&gt;=66</f>
        <v/>
      </c>
      <c r="D1779">
        <f>IF(Skills!C6=1,60+Inputs!$B$25+Inputs!$B$29,IF(Skills!C6=2,90+Inputs!$B$26+Inputs!$B$29,IF(Skills!C6=3,120+Inputs!$B$27+Inputs!$B$29,MAX(0,(Inputs!$B$3-100)*3)+Inputs!$B$28+Inputs!$B$29)))</f>
        <v/>
      </c>
      <c r="E1779">
        <f>INDEX(FactorTable!$B$2:$Y$301, MATCH(ROUND(MIN(300,MAX(1,D1779)),0), FactorTable!$A$2:$A$301,0), Skills!M6+1)</f>
        <v/>
      </c>
      <c r="F1779">
        <f>IF(Skills!N6=TRUE,(Skills!L6/10)*(E1779/1000),Skills!L6/10)+Skills!O6</f>
        <v/>
      </c>
      <c r="G1779">
        <f>Skills!G6*IF(Skills!H6&gt;0,INT(IF(Inputs!$B$38="pvp",MIN(Skills!I6,15),Skills!I6)/Skills!H6+0.000000001),1)</f>
        <v/>
      </c>
      <c r="H1779">
        <f>1-(1-Skills!J6/100)^Skills!K6</f>
        <v/>
      </c>
      <c r="I1779" t="inlineStr">
        <is>
          <t>1</t>
        </is>
      </c>
      <c r="J1779">
        <f>((Inputs!$B$6*(1+Inputs!$B$7/100))+(((Inputs!$B$12*(1+Inputs!$B$13/100))-(Inputs!$B$12*(1+Inputs!$B$13/100)))+0.25*(Inputs!$B$14-Inputs!$B$14))*(1+Inputs!$B$7/100))*(F1779/100)</f>
        <v/>
      </c>
      <c r="K1779">
        <f>J1779*(1+((Inputs!$B$12*(1+Inputs!$B$13/100))*0.01+Inputs!$B$14*0.0025)/100)*(1+Inputs!$B$15/100)*(1+Inputs!$B$16/100)*(5000/(6000+Inputs!$B$42*(1-(100*(1-(1-(Inputs!$B$19+0)/100)*(1-CHOOSE(ArtifactsInput!$N$40+1,5,6,7,8,9,10)/100)^(ArtifactsInput!$M$40-ArtifactsInput!$M$40)))/100)))*(1+(Inputs!$B$24+((C1799=TRUE)*(F1799-Calc!F26))+B1810)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+2.0*IF(C1788=TRUE,F1788,0)/100)*(1+(IF(Skills!A6="EIGHT_LEGS_EASTON",Inputs!$B$17+((C1796=TRUE)*(F1796-Calc!F23))+((C1800=TRUE)*(F1800-Calc!F27))+((IF(AND(Inputs!$B$38&lt;&gt;"pvp",Inputs!$B$43=0),1,IF(IF(Inputs!$B$38="pvp",15,Inputs!$B$43)-(B1811)&lt;=0,1,MAX(0,IF(Inputs!$B$38="pvp",15,Inputs!$B$43)-MAX(5,B1811))/(IF(Inputs!$B$38="pvp",15,Inputs!$B$43)-(B1811))))*(IF(AND(ArtifactsInput!$M$42,((Inputs!$B$9+((C1792=TRUE)*(F1792-Calc!F19))+B1804+(ArtifactsInput!$M$24-ArtifactsInput!$M$24)*CHOOSE(ArtifactsInput!$N$24+1,10,12,14,16,18,20)+IF(ArtifactsInput!$M$10,CHOOSE(ArtifactsInput!$N$10+1,15,18,21,24,27,30)*(IF(Inputs!$B$38="pvp",MIN(15,15)/15,IF(AND(Inputs!$B$38&lt;&gt;"pvp",Inputs!$B$43&gt;0),MIN(15,Inputs!$B$43)/(Inputs!$B$43),0))),0)))&gt;=100),MIN(100,((Inputs!$B$9+((C1792=TRUE)*(F1792-Calc!F19))+B1804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1811)&lt;=0,1,MAX(0,IF(Inputs!$B$38="pvp",15,Inputs!$B$43)-MAX(5,B1811))/(IF(Inputs!$B$38="pvp",15,Inputs!$B$43)-(B1811))))*IF(AND(ArtifactsInput!$M$42,((Inputs!$B$9+((C1792=TRUE)*(F1792-Calc!F19))+B1804+(ArtifactsInput!$M$24-ArtifactsInput!$M$24)*CHOOSE(ArtifactsInput!$N$24+1,10,12,14,16,18,20)+IF(ArtifactsInput!$M$10,CHOOSE(ArtifactsInput!$N$10+1,15,18,21,24,27,30)*(IF(Inputs!$B$38="pvp",MIN(15,15)/15,IF(AND(Inputs!$B$38&lt;&gt;"pvp",Inputs!$B$43&gt;0),MIN(15,Inputs!$B$43)/(Inputs!$B$43),0))),0)))&gt;=100),CHOOSE(ArtifactsInput!$N$42+1,40,48,56,64,72,80),0))))/100)*((1+(((C1790=TRUE)*F1790*5/7)+((C1797=TRUE)*(F1797-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1779)</f>
        <v/>
      </c>
      <c r="L1779">
        <f>K1779*(MIN(Inputs!$B$22+((C1795=TRUE)*(F1795-Calc!F22)),(Inputs!$B$23+0+(IF(ArtifactsInput!$M$15,CHOOSE(ArtifactsInput!$N$15+1,25,30,35,40,45,50)/100*(Inputs!$B$11-Inputs!$B$11),0))))/100+(Inputs!$B$23+0+(IF(ArtifactsInput!$M$15,CHOOSE(ArtifactsInput!$N$15+1,25,30,35,40,45,50)/100*(Inputs!$B$11-Inputs!$B$11),0)))/100)/2</f>
        <v/>
      </c>
      <c r="M1779">
        <f>L1779*(1+(Inputs!$B$10+((C1798=TRUE)*(F1798-Calc!F25))+B1809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79">
        <f>L1779*(1-MIN((Inputs!$B$9+((C1792=TRUE)*(F1792-Calc!F19))+B1804+(ArtifactsInput!$M$24-ArtifactsInput!$M$24)*CHOOSE(ArtifactsInput!$N$24+1,10,12,14,16,18,20)+(IF(AND(Inputs!$B$38&lt;&gt;"pvp",Inputs!$B$43=0),1,IF(IF(Inputs!$B$38="pvp",15,Inputs!$B$43)-(B1811)&lt;=0,1,MAX(0,IF(Inputs!$B$38="pvp",15,Inputs!$B$43)-MAX(5,B1811))/(IF(Inputs!$B$38="pvp",15,Inputs!$B$43)-(B1811))))*IF(AND(ArtifactsInput!$M$42,((Inputs!$B$9+((C1792=TRUE)*(F1792-Calc!F19))+B1804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1779*(MIN((Inputs!$B$9+((C1792=TRUE)*(F1792-Calc!F19))+B1804+(ArtifactsInput!$M$24-ArtifactsInput!$M$24)*CHOOSE(ArtifactsInput!$N$24+1,10,12,14,16,18,20)+(IF(AND(Inputs!$B$38&lt;&gt;"pvp",Inputs!$B$43=0),1,IF(IF(Inputs!$B$38="pvp",15,Inputs!$B$43)-(B1811)&lt;=0,1,MAX(0,IF(Inputs!$B$38="pvp",15,Inputs!$B$43)-MAX(5,B1811))/(IF(Inputs!$B$38="pvp",15,Inputs!$B$43)-(B1811))))*IF(AND(ArtifactsInput!$M$42,((Inputs!$B$9+((C1792=TRUE)*(F1792-Calc!F19))+B1804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79">
        <f>(1-Summary!$B$11)*T1779+Summary!$B$11*V1779</f>
        <v/>
      </c>
      <c r="P1779">
        <f>IF(B1814=0,0,O1779/B1814)</f>
        <v/>
      </c>
      <c r="Q1779">
        <f>IFERROR(1/(IF(Inputs!$B$38="pvp",15,MAX(0.1,Skills!D6-IF(TRUE=TRUE,Inputs!$B$32,0)))*(1-IF(AND(ArtifactsInput!$M$27,Inputs!$B$4="Chapter Hunt"),CHOOSE(ArtifactsInput!$N$27+1,20,24,28,32,36,40),0)/100)),0)</f>
        <v/>
      </c>
      <c r="R1779">
        <f>IF(AND(Inputs!$B$38&lt;&gt;"pvp",Inputs!$B$43&gt;0),IF(MAX(0,Inputs!$B$43-B1811)&lt;=0,0,(INT(MAX(0,Inputs!$B$43-B1811)/(IF(Inputs!$B$38="pvp",15,MAX(0.1,Skills!D6-IF(TRUE=TRUE,Inputs!$B$32,0)))*(1-IF(AND(ArtifactsInput!$M$27,Inputs!$B$4="Chapter Hunt"),CHOOSE(ArtifactsInput!$N$27+1,20,24,28,32,36,40),0)/100)))+1)),0)</f>
        <v/>
      </c>
      <c r="S1779">
        <f>IFERROR(O1779/N1779,0)</f>
        <v/>
      </c>
      <c r="T1779">
        <f>IF(C1779,(H1779*N1779*IF(AND(Inputs!$B$38&lt;&gt;"pvp",Inputs!$B$43&gt;0),((Skills!G6*((R1779-1)*IF(Skills!H6&gt;0,INT(Skills!I6/Skills!H6+0.000000001),1)+IF(Skills!H6&gt;0,INT(MIN(Skills!I6,MAX(0,MAX(0,Inputs!$B$43-B1811)-((R1779-1)*(IF(Inputs!$B$38="pvp",15,MAX(0.1,Skills!D6-IF(TRUE=TRUE,Inputs!$B$32,0)))*(1-IF(AND(ArtifactsInput!$M$27,Inputs!$B$4="Chapter Hunt"),CHOOSE(ArtifactsInput!$N$27+1,20,24,28,32,36,40),0)/100)))))/Skills!H6+0.000000001),1)))/Inputs!$B$43),G1779*Q1779))*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Hunt"),CHOOSE(ArtifactsInput!$N$35+1,15,18,21,24,27,30)*(1-EXP(-(0.2*B1806)*5)),0)+IF(AND(ArtifactsInput!$M$22,Inputs!$B$4&lt;&gt;"Chapter Hunt"),CHOOSE(ArtifactsInput!$N$22+1,10,12,14,16,18,20)*((0*(((0.15*B1806*5))^0/1)+1*(((0.15*B1806*5))^1/1)+2*(((0.15*B1806*5))^2/2)+3*(((0.15*B1806*5))^3/6)+4*(((0.15*B1806*5))^4/24)+5*(((0.15*B1806*5))^5/120))/((((0.15*B1806*5))^0/1)+(((0.15*B1806*5))^1/1)+(((0.15*B1806*5))^2/2)+(((0.15*B1806*5))^3/6)+(((0.15*B1806*5))^4/24)+(((0.15*B1806*5))^5/120))),0))+IF(Inputs!$B$3&gt;=54,9*(C1776=TRUE)*MIN(1,8*(1+Inputs!$B$34/100)*Q1776)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1779*(1-MIN(100,(Inputs!$B$9+((C1792=TRUE)*(F1792-Calc!F19))+B1804+(ArtifactsInput!$M$24-ArtifactsInput!$M$24)*CHOOSE(ArtifactsInput!$N$24+1,10,12,14,16,18,20)+(IF(AND(Inputs!$B$38&lt;&gt;"pvp",Inputs!$B$43=0),1,IF(IF(Inputs!$B$38="pvp",15,Inputs!$B$43)-(B1811)&lt;=0,1,MAX(0,IF(Inputs!$B$38="pvp",15,Inputs!$B$43)-MAX(5,B1811))/(IF(Inputs!$B$38="pvp",15,Inputs!$B$43)-(B1811))))*IF(AND(ArtifactsInput!$M$42,((Inputs!$B$9+((C1792=TRUE)*(F1792-Calc!F19))+B1804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1779*(MIN(100,(Inputs!$B$9+((C1792=TRUE)*(F1792-Calc!F19))+B1804+(ArtifactsInput!$M$24-ArtifactsInput!$M$24)*CHOOSE(ArtifactsInput!$N$24+1,10,12,14,16,18,20)+(IF(AND(Inputs!$B$38&lt;&gt;"pvp",Inputs!$B$43=0),1,IF(IF(Inputs!$B$38="pvp",15,Inputs!$B$43)-(B1811)&lt;=0,1,MAX(0,IF(Inputs!$B$38="pvp",15,Inputs!$B$43)-MAX(5,B1811))/(IF(Inputs!$B$38="pvp",15,Inputs!$B$43)-(B1811))))*IF(AND(ArtifactsInput!$M$42,((Inputs!$B$9+((C1792=TRUE)*(F1792-Calc!F19))+B1804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1779*(1-MIN(100,(Inputs!$B$9+((C1792=TRUE)*(F1792-Calc!F19))+B1804+(ArtifactsInput!$M$24-ArtifactsInput!$M$24)*CHOOSE(ArtifactsInput!$N$24+1,10,12,14,16,18,20)+(IF(AND(Inputs!$B$38&lt;&gt;"pvp",Inputs!$B$43=0),1,IF(IF(Inputs!$B$38="pvp",15,Inputs!$B$43)-(B1811)&lt;=0,1,MAX(0,IF(Inputs!$B$38="pvp",15,Inputs!$B$43)-MAX(5,B1811))/(IF(Inputs!$B$38="pvp",15,Inputs!$B$43)-(B1811))))*IF(AND(ArtifactsInput!$M$42,((Inputs!$B$9+((C1792=TRUE)*(F1792-Calc!F19))+B1804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1779*(MIN(100,(Inputs!$B$9+((C1792=TRUE)*(F1792-Calc!F19))+B1804+(ArtifactsInput!$M$24-ArtifactsInput!$M$24)*CHOOSE(ArtifactsInput!$N$24+1,10,12,14,16,18,20)+(IF(AND(Inputs!$B$38&lt;&gt;"pvp",Inputs!$B$43=0),1,IF(IF(Inputs!$B$38="pvp",15,Inputs!$B$43)-(B1811)&lt;=0,1,MAX(0,IF(Inputs!$B$38="pvp",15,Inputs!$B$43)-MAX(5,B1811))/(IF(Inputs!$B$38="pvp",15,Inputs!$B$43)-(B1811))))*IF(AND(ArtifactsInput!$M$42,((Inputs!$B$9+((C1792=TRUE)*(F1792-Calc!F19))+B1804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779">
        <f>IF(C1779,(H1779*N1779*IF(AND(Inputs!$B$38&lt;&gt;"pvp",Inputs!$B$43&gt;0),((Skills!G6*((R1779-1)*IF(Skills!H6&gt;0,INT(Skills!I6/Skills!H6+0.000000001),1)+IF(Skills!H6&gt;0,INT(MIN(Skills!I6,MAX(0,MAX(0,Inputs!$B$43-B1811)-((R1779-1)*(IF(Inputs!$B$38="pvp",15,MAX(0.1,Skills!D6-IF(TRUE=TRUE,Inputs!$B$32,0)))*(1-IF(AND(ArtifactsInput!$M$27,Inputs!$B$4="Chapter Hunt"),CHOOSE(ArtifactsInput!$N$27+1,20,24,28,32,36,40),0)/100)))))/Skills!H6+0.000000001),1)))/Inputs!$B$43),G1779*Q1779))*IF(Inputs!$B$38="pvp",1,(1+(Inputs!$B$21+Skills!Q6+(IF(ArtifactsInput!$M$33,CHOOSE(ArtifactsInput!$N$33+1,30,36,42,48,54,60),0))+(IF(AND(ArtifactsInput!$M$35,Inputs!$B$4&lt;&gt;"Chapter Hunt"),CHOOSE(ArtifactsInput!$N$35+1,15,18,21,24,27,30)*(1-EXP(-(0.2*B1806)*5)),0)+IF(AND(ArtifactsInput!$M$22,Inputs!$B$4&lt;&gt;"Chapter Hunt"),CHOOSE(ArtifactsInput!$N$22+1,10,12,14,16,18,20)*((0*(((0.15*B1806*5))^0/1)+1*(((0.15*B1806*5))^1/1)+2*(((0.15*B1806*5))^2/2)+3*(((0.15*B1806*5))^3/6)+4*(((0.15*B1806*5))^4/24)+5*(((0.15*B1806*5))^5/120))/((((0.15*B1806*5))^0/1)+(((0.15*B1806*5))^1/1)+(((0.15*B1806*5))^2/2)+(((0.15*B1806*5))^3/6)+(((0.15*B1806*5))^4/24)+(((0.15*B1806*5))^5/120))),0))+IF(Inputs!$B$3&gt;=54,9*(C1776=TRUE)*MIN(1,8*(1+Inputs!$B$34/100)*Q1776),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80">
      <c r="A1780">
        <f>Skills!A7</f>
        <v/>
      </c>
      <c r="B1780">
        <f>Skills!B7</f>
        <v/>
      </c>
      <c r="C1780">
        <f>Inputs!$B$3&gt;=63</f>
        <v/>
      </c>
      <c r="D1780">
        <f>IF(Skills!C7=1,60+Inputs!$B$25+Inputs!$B$29,IF(Skills!C7=2,90+Inputs!$B$26+Inputs!$B$29,IF(Skills!C7=3,120+Inputs!$B$27+Inputs!$B$29,MAX(0,(Inputs!$B$3-100)*3)+Inputs!$B$28+Inputs!$B$29)))</f>
        <v/>
      </c>
      <c r="E1780">
        <f>INDEX(FactorTable!$B$2:$Y$301, MATCH(ROUND(MIN(300,MAX(1,D1780)),0), FactorTable!$A$2:$A$301,0), Skills!M7+1)</f>
        <v/>
      </c>
      <c r="F1780">
        <f>IF(Skills!N7=TRUE,(Skills!L7/10)*(E1780/1000),Skills!L7/10)+Skills!O7</f>
        <v/>
      </c>
      <c r="G1780">
        <f>Skills!G7*IF(Skills!H7&gt;0,INT(IF(Inputs!$B$38="pvp",MIN(Skills!I7,15),Skills!I7)/Skills!H7+0.000000001),1)</f>
        <v/>
      </c>
      <c r="H1780">
        <f>1-(1-Skills!J7/100)^Skills!K7</f>
        <v/>
      </c>
      <c r="I1780" t="inlineStr">
        <is>
          <t>1</t>
        </is>
      </c>
      <c r="J1780">
        <f>((Inputs!$B$6*(1+Inputs!$B$7/100))+(((Inputs!$B$12*(1+Inputs!$B$13/100))-(Inputs!$B$12*(1+Inputs!$B$13/100)))+0.25*(Inputs!$B$14-Inputs!$B$14))*(1+Inputs!$B$7/100))*(F1780/100)</f>
        <v/>
      </c>
      <c r="K1780">
        <f>J1780*(1+((Inputs!$B$12*(1+Inputs!$B$13/100))*0.01+Inputs!$B$14*0.0025)/100)*(1+Inputs!$B$15/100)*(1+Inputs!$B$16/100)*(5000/(6000+Inputs!$B$42*(1-(100*(1-(1-(Inputs!$B$19+0)/100)*(1-CHOOSE(ArtifactsInput!$N$40+1,5,6,7,8,9,10)/100)^(ArtifactsInput!$M$40-ArtifactsInput!$M$40)))/100)))*(1+(Inputs!$B$24+((C1799=TRUE)*(F1799-Calc!F26))+B1810)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1788=TRUE,F1788,0)/100)*(1+(IF(Skills!A7="EIGHT_LEGS_EASTON",Inputs!$B$17+((C1796=TRUE)*(F1796-Calc!F23))+((C1800=TRUE)*(F1800-Calc!F27))+((IF(AND(Inputs!$B$38&lt;&gt;"pvp",Inputs!$B$43=0),1,IF(IF(Inputs!$B$38="pvp",15,Inputs!$B$43)-(B1811)&lt;=0,1,MAX(0,IF(Inputs!$B$38="pvp",15,Inputs!$B$43)-MAX(5,B1811))/(IF(Inputs!$B$38="pvp",15,Inputs!$B$43)-(B1811))))*(IF(AND(ArtifactsInput!$M$42,((Inputs!$B$9+((C1792=TRUE)*(F1792-Calc!F19))+B1804+(ArtifactsInput!$M$24-ArtifactsInput!$M$24)*CHOOSE(ArtifactsInput!$N$24+1,10,12,14,16,18,20)+IF(ArtifactsInput!$M$10,CHOOSE(ArtifactsInput!$N$10+1,15,18,21,24,27,30)*(IF(Inputs!$B$38="pvp",MIN(15,15)/15,IF(AND(Inputs!$B$38&lt;&gt;"pvp",Inputs!$B$43&gt;0),MIN(15,Inputs!$B$43)/(Inputs!$B$43),0))),0)))&gt;=100),MIN(100,((Inputs!$B$9+((C1792=TRUE)*(F1792-Calc!F19))+B1804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1811)&lt;=0,1,MAX(0,IF(Inputs!$B$38="pvp",15,Inputs!$B$43)-MAX(5,B1811))/(IF(Inputs!$B$38="pvp",15,Inputs!$B$43)-(B1811))))*IF(AND(ArtifactsInput!$M$42,((Inputs!$B$9+((C1792=TRUE)*(F1792-Calc!F19))+B1804+(ArtifactsInput!$M$24-ArtifactsInput!$M$24)*CHOOSE(ArtifactsInput!$N$24+1,10,12,14,16,18,20)+IF(ArtifactsInput!$M$10,CHOOSE(ArtifactsInput!$N$10+1,15,18,21,24,27,30)*(IF(Inputs!$B$38="pvp",MIN(15,15)/15,IF(AND(Inputs!$B$38&lt;&gt;"pvp",Inputs!$B$43&gt;0),MIN(15,Inputs!$B$43)/(Inputs!$B$43),0))),0)))&gt;=100),CHOOSE(ArtifactsInput!$N$42+1,40,48,56,64,72,80),0))))/100)*((1+(((C1790=TRUE)*F1790*5/7)+((C1797=TRUE)*(F1797-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1780)</f>
        <v/>
      </c>
      <c r="L1780">
        <f>K1780*(MIN(Inputs!$B$22+((C1795=TRUE)*(F1795-Calc!F22)),(Inputs!$B$23+0+(IF(ArtifactsInput!$M$15,CHOOSE(ArtifactsInput!$N$15+1,25,30,35,40,45,50)/100*(Inputs!$B$11-Inputs!$B$11),0))))/100+(Inputs!$B$23+0+(IF(ArtifactsInput!$M$15,CHOOSE(ArtifactsInput!$N$15+1,25,30,35,40,45,50)/100*(Inputs!$B$11-Inputs!$B$11),0)))/100)/2</f>
        <v/>
      </c>
      <c r="M1780">
        <f>L1780*(1+(Inputs!$B$10+((C1798=TRUE)*(F1798-Calc!F25))+B1809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80">
        <f>L1780*(1-MIN((Inputs!$B$9+((C1792=TRUE)*(F1792-Calc!F19))+B1804+(ArtifactsInput!$M$24-ArtifactsInput!$M$24)*CHOOSE(ArtifactsInput!$N$24+1,10,12,14,16,18,20)+(IF(AND(Inputs!$B$38&lt;&gt;"pvp",Inputs!$B$43=0),1,IF(IF(Inputs!$B$38="pvp",15,Inputs!$B$43)-(B1811)&lt;=0,1,MAX(0,IF(Inputs!$B$38="pvp",15,Inputs!$B$43)-MAX(5,B1811))/(IF(Inputs!$B$38="pvp",15,Inputs!$B$43)-(B1811))))*IF(AND(ArtifactsInput!$M$42,((Inputs!$B$9+((C1792=TRUE)*(F1792-Calc!F19))+B1804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1780*(MIN((Inputs!$B$9+((C1792=TRUE)*(F1792-Calc!F19))+B1804+(ArtifactsInput!$M$24-ArtifactsInput!$M$24)*CHOOSE(ArtifactsInput!$N$24+1,10,12,14,16,18,20)+(IF(AND(Inputs!$B$38&lt;&gt;"pvp",Inputs!$B$43=0),1,IF(IF(Inputs!$B$38="pvp",15,Inputs!$B$43)-(B1811)&lt;=0,1,MAX(0,IF(Inputs!$B$38="pvp",15,Inputs!$B$43)-MAX(5,B1811))/(IF(Inputs!$B$38="pvp",15,Inputs!$B$43)-(B1811))))*IF(AND(ArtifactsInput!$M$42,((Inputs!$B$9+((C1792=TRUE)*(F1792-Calc!F19))+B1804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80">
        <f>(1-Summary!$B$11)*T1780+Summary!$B$11*V1780</f>
        <v/>
      </c>
      <c r="P1780">
        <f>IF(B1814=0,0,O1780/B1814)</f>
        <v/>
      </c>
      <c r="Q1780">
        <f>IFERROR(1/(IF(Inputs!$B$38="pvp",15,MAX(0.1,Skills!D7-IF(TRUE=TRUE,Inputs!$B$32,0)))*(1-IF(AND(ArtifactsInput!$M$27,Inputs!$B$4="Chapter Hunt"),CHOOSE(ArtifactsInput!$N$27+1,20,24,28,32,36,40),0)/100)),0)</f>
        <v/>
      </c>
      <c r="R1780">
        <f>IF(AND(Inputs!$B$38&lt;&gt;"pvp",Inputs!$B$43&gt;0),IF(MAX(0,Inputs!$B$43-B1811)&lt;=0,0,(INT(MAX(0,Inputs!$B$43-B1811)/(IF(Inputs!$B$38="pvp",15,MAX(0.1,Skills!D7-IF(TRUE=TRUE,Inputs!$B$32,0)))*(1-IF(AND(ArtifactsInput!$M$27,Inputs!$B$4="Chapter Hunt"),CHOOSE(ArtifactsInput!$N$27+1,20,24,28,32,36,40),0)/100)))+1)),0)</f>
        <v/>
      </c>
      <c r="S1780">
        <f>IFERROR(O1780/N1780,0)</f>
        <v/>
      </c>
      <c r="T1780">
        <f>IF(C1780,(H1780*N1780*IF(AND(Inputs!$B$38&lt;&gt;"pvp",Inputs!$B$43&gt;0),((Skills!G7*((R1780-1)*IF(Skills!H7&gt;0,INT(Skills!I7/Skills!H7+0.000000001),1)+IF(Skills!H7&gt;0,INT(MIN(Skills!I7,MAX(0,MAX(0,Inputs!$B$43-B1811)-((R1780-1)*(IF(Inputs!$B$38="pvp",15,MAX(0.1,Skills!D7-IF(TRUE=TRUE,Inputs!$B$32,0)))*(1-IF(AND(ArtifactsInput!$M$27,Inputs!$B$4="Chapter Hunt"),CHOOSE(ArtifactsInput!$N$27+1,20,24,28,32,36,40),0)/100)))))/Skills!H7+0.000000001),1)))/Inputs!$B$43),G1780*Q1780))*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Hunt"),CHOOSE(ArtifactsInput!$N$35+1,15,18,21,24,27,30)*(1-EXP(-(0.2*B1806)*5)),0)+IF(AND(ArtifactsInput!$M$22,Inputs!$B$4&lt;&gt;"Chapter Hunt"),CHOOSE(ArtifactsInput!$N$22+1,10,12,14,16,18,20)*((0*(((0.15*B1806*5))^0/1)+1*(((0.15*B1806*5))^1/1)+2*(((0.15*B1806*5))^2/2)+3*(((0.15*B1806*5))^3/6)+4*(((0.15*B1806*5))^4/24)+5*(((0.15*B1806*5))^5/120))/((((0.15*B1806*5))^0/1)+(((0.15*B1806*5))^1/1)+(((0.15*B1806*5))^2/2)+(((0.15*B1806*5))^3/6)+(((0.15*B1806*5))^4/24)+(((0.15*B1806*5))^5/120))),0))+IF(Inputs!$B$3&gt;=54,9*(C1776=TRUE)*MIN(1,8*(1+Inputs!$B$34/100)*Q1776)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1780*(1-MIN(100,(Inputs!$B$9+((C1792=TRUE)*(F1792-Calc!F19))+B1804+(ArtifactsInput!$M$24-ArtifactsInput!$M$24)*CHOOSE(ArtifactsInput!$N$24+1,10,12,14,16,18,20)+(IF(AND(Inputs!$B$38&lt;&gt;"pvp",Inputs!$B$43=0),1,IF(IF(Inputs!$B$38="pvp",15,Inputs!$B$43)-(B1811)&lt;=0,1,MAX(0,IF(Inputs!$B$38="pvp",15,Inputs!$B$43)-MAX(5,B1811))/(IF(Inputs!$B$38="pvp",15,Inputs!$B$43)-(B1811))))*IF(AND(ArtifactsInput!$M$42,((Inputs!$B$9+((C1792=TRUE)*(F1792-Calc!F19))+B1804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1780*(MIN(100,(Inputs!$B$9+((C1792=TRUE)*(F1792-Calc!F19))+B1804+(ArtifactsInput!$M$24-ArtifactsInput!$M$24)*CHOOSE(ArtifactsInput!$N$24+1,10,12,14,16,18,20)+(IF(AND(Inputs!$B$38&lt;&gt;"pvp",Inputs!$B$43=0),1,IF(IF(Inputs!$B$38="pvp",15,Inputs!$B$43)-(B1811)&lt;=0,1,MAX(0,IF(Inputs!$B$38="pvp",15,Inputs!$B$43)-MAX(5,B1811))/(IF(Inputs!$B$38="pvp",15,Inputs!$B$43)-(B1811))))*IF(AND(ArtifactsInput!$M$42,((Inputs!$B$9+((C1792=TRUE)*(F1792-Calc!F19))+B1804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1780*(1-MIN(100,(Inputs!$B$9+((C1792=TRUE)*(F1792-Calc!F19))+B1804+(ArtifactsInput!$M$24-ArtifactsInput!$M$24)*CHOOSE(ArtifactsInput!$N$24+1,10,12,14,16,18,20)+(IF(AND(Inputs!$B$38&lt;&gt;"pvp",Inputs!$B$43=0),1,IF(IF(Inputs!$B$38="pvp",15,Inputs!$B$43)-(B1811)&lt;=0,1,MAX(0,IF(Inputs!$B$38="pvp",15,Inputs!$B$43)-MAX(5,B1811))/(IF(Inputs!$B$38="pvp",15,Inputs!$B$43)-(B1811))))*IF(AND(ArtifactsInput!$M$42,((Inputs!$B$9+((C1792=TRUE)*(F1792-Calc!F19))+B1804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1780*(MIN(100,(Inputs!$B$9+((C1792=TRUE)*(F1792-Calc!F19))+B1804+(ArtifactsInput!$M$24-ArtifactsInput!$M$24)*CHOOSE(ArtifactsInput!$N$24+1,10,12,14,16,18,20)+(IF(AND(Inputs!$B$38&lt;&gt;"pvp",Inputs!$B$43=0),1,IF(IF(Inputs!$B$38="pvp",15,Inputs!$B$43)-(B1811)&lt;=0,1,MAX(0,IF(Inputs!$B$38="pvp",15,Inputs!$B$43)-MAX(5,B1811))/(IF(Inputs!$B$38="pvp",15,Inputs!$B$43)-(B1811))))*IF(AND(ArtifactsInput!$M$42,((Inputs!$B$9+((C1792=TRUE)*(F1792-Calc!F19))+B1804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780">
        <f>IF(C1780,(H1780*N1780*IF(AND(Inputs!$B$38&lt;&gt;"pvp",Inputs!$B$43&gt;0),((Skills!G7*((R1780-1)*IF(Skills!H7&gt;0,INT(Skills!I7/Skills!H7+0.000000001),1)+IF(Skills!H7&gt;0,INT(MIN(Skills!I7,MAX(0,MAX(0,Inputs!$B$43-B1811)-((R1780-1)*(IF(Inputs!$B$38="pvp",15,MAX(0.1,Skills!D7-IF(TRUE=TRUE,Inputs!$B$32,0)))*(1-IF(AND(ArtifactsInput!$M$27,Inputs!$B$4="Chapter Hunt"),CHOOSE(ArtifactsInput!$N$27+1,20,24,28,32,36,40),0)/100)))))/Skills!H7+0.000000001),1)))/Inputs!$B$43),G1780*Q1780))*IF(Inputs!$B$38="pvp",1,(1+(Inputs!$B$21+Skills!Q7+(IF(ArtifactsInput!$M$33,CHOOSE(ArtifactsInput!$N$33+1,30,36,42,48,54,60),0))+(IF(AND(ArtifactsInput!$M$35,Inputs!$B$4&lt;&gt;"Chapter Hunt"),CHOOSE(ArtifactsInput!$N$35+1,15,18,21,24,27,30)*(1-EXP(-(0.2*B1806)*5)),0)+IF(AND(ArtifactsInput!$M$22,Inputs!$B$4&lt;&gt;"Chapter Hunt"),CHOOSE(ArtifactsInput!$N$22+1,10,12,14,16,18,20)*((0*(((0.15*B1806*5))^0/1)+1*(((0.15*B1806*5))^1/1)+2*(((0.15*B1806*5))^2/2)+3*(((0.15*B1806*5))^3/6)+4*(((0.15*B1806*5))^4/24)+5*(((0.15*B1806*5))^5/120))/((((0.15*B1806*5))^0/1)+(((0.15*B1806*5))^1/1)+(((0.15*B1806*5))^2/2)+(((0.15*B1806*5))^3/6)+(((0.15*B1806*5))^4/24)+(((0.15*B1806*5))^5/120))),0))+IF(Inputs!$B$3&gt;=54,9*(C1776=TRUE)*MIN(1,8*(1+Inputs!$B$34/100)*Q1776),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81">
      <c r="A1781">
        <f>Skills!A8</f>
        <v/>
      </c>
      <c r="B1781">
        <f>Skills!B8</f>
        <v/>
      </c>
      <c r="C1781">
        <f>Inputs!$B$3&gt;=103</f>
        <v/>
      </c>
      <c r="D1781">
        <f>IF(Skills!C8=1,60+Inputs!$B$25+Inputs!$B$29,IF(Skills!C8=2,90+Inputs!$B$26+Inputs!$B$29,IF(Skills!C8=3,120+Inputs!$B$27+Inputs!$B$29,MAX(0,(Inputs!$B$3-100)*3)+Inputs!$B$28+Inputs!$B$29)))</f>
        <v/>
      </c>
      <c r="E1781">
        <f>INDEX(FactorTable!$B$2:$Y$301, MATCH(ROUND(MIN(300,MAX(1,D1781)),0), FactorTable!$A$2:$A$301,0), Skills!M8+1)</f>
        <v/>
      </c>
      <c r="F1781">
        <f>IF(Skills!N8=TRUE,(Skills!L8/10)*(E1781/1000),Skills!L8/10)+Skills!O8</f>
        <v/>
      </c>
      <c r="G1781">
        <f>Skills!G8*IF(Skills!H8&gt;0,INT(IF(Inputs!$B$38="pvp",MIN(Skills!I8,15),Skills!I8)/Skills!H8+0.000000001),1)</f>
        <v/>
      </c>
      <c r="H1781">
        <f>1-(1-Skills!J8/100)^Skills!K8</f>
        <v/>
      </c>
      <c r="I1781" t="inlineStr">
        <is>
          <t>1</t>
        </is>
      </c>
      <c r="J1781">
        <f>((Inputs!$B$6*(1+Inputs!$B$7/100))+(((Inputs!$B$12*(1+Inputs!$B$13/100))-(Inputs!$B$12*(1+Inputs!$B$13/100)))+0.25*(Inputs!$B$14-Inputs!$B$14))*(1+Inputs!$B$7/100))*(F1781/100)</f>
        <v/>
      </c>
      <c r="K1781">
        <f>J1781*(1+((Inputs!$B$12*(1+Inputs!$B$13/100))*0.01+Inputs!$B$14*0.0025)/100)*(1+Inputs!$B$15/100)*(1+Inputs!$B$16/100)*(5000/(6000+Inputs!$B$42*(1-(100*(1-(1-(Inputs!$B$19+0)/100)*(1-CHOOSE(ArtifactsInput!$N$40+1,5,6,7,8,9,10)/100)^(ArtifactsInput!$M$40-ArtifactsInput!$M$40)))/100)))*(1+(Inputs!$B$24+((C1799=TRUE)*(F1799-Calc!F26))+B1810)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IGHT_LEGS_EASTON",Inputs!$B$17+((C1796=TRUE)*(F1796-Calc!F23))+((C1800=TRUE)*(F1800-Calc!F27))+((IF(AND(Inputs!$B$38&lt;&gt;"pvp",Inputs!$B$43=0),1,IF(IF(Inputs!$B$38="pvp",15,Inputs!$B$43)-(B1811)&lt;=0,1,MAX(0,IF(Inputs!$B$38="pvp",15,Inputs!$B$43)-MAX(5,B1811))/(IF(Inputs!$B$38="pvp",15,Inputs!$B$43)-(B1811))))*(IF(AND(ArtifactsInput!$M$42,((Inputs!$B$9+((C1792=TRUE)*(F1792-Calc!F19))+B1804+(ArtifactsInput!$M$24-ArtifactsInput!$M$24)*CHOOSE(ArtifactsInput!$N$24+1,10,12,14,16,18,20)+IF(ArtifactsInput!$M$10,CHOOSE(ArtifactsInput!$N$10+1,15,18,21,24,27,30)*(IF(Inputs!$B$38="pvp",MIN(15,15)/15,IF(AND(Inputs!$B$38&lt;&gt;"pvp",Inputs!$B$43&gt;0),MIN(15,Inputs!$B$43)/(Inputs!$B$43),0))),0)))&gt;=100),MIN(100,((Inputs!$B$9+((C1792=TRUE)*(F1792-Calc!F19))+B1804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1811)&lt;=0,1,MAX(0,IF(Inputs!$B$38="pvp",15,Inputs!$B$43)-MAX(5,B1811))/(IF(Inputs!$B$38="pvp",15,Inputs!$B$43)-(B1811))))*IF(AND(ArtifactsInput!$M$42,((Inputs!$B$9+((C1792=TRUE)*(F1792-Calc!F19))+B1804+(ArtifactsInput!$M$24-ArtifactsInput!$M$24)*CHOOSE(ArtifactsInput!$N$24+1,10,12,14,16,18,20)+IF(ArtifactsInput!$M$10,CHOOSE(ArtifactsInput!$N$10+1,15,18,21,24,27,30)*(IF(Inputs!$B$38="pvp",MIN(15,15)/15,IF(AND(Inputs!$B$38&lt;&gt;"pvp",Inputs!$B$43&gt;0),MIN(15,Inputs!$B$43)/(Inputs!$B$43),0))),0)))&gt;=100),CHOOSE(ArtifactsInput!$N$42+1,40,48,56,64,72,80),0))))/100)*((1+(((C1790=TRUE)*F1790*5/7)+((C1797=TRUE)*(F1797-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1781)</f>
        <v/>
      </c>
      <c r="L1781">
        <f>K1781*(MIN(Inputs!$B$22+((C1795=TRUE)*(F1795-Calc!F22)),(Inputs!$B$23+0+(IF(ArtifactsInput!$M$15,CHOOSE(ArtifactsInput!$N$15+1,25,30,35,40,45,50)/100*(Inputs!$B$11-Inputs!$B$11),0))))/100+(Inputs!$B$23+0+(IF(ArtifactsInput!$M$15,CHOOSE(ArtifactsInput!$N$15+1,25,30,35,40,45,50)/100*(Inputs!$B$11-Inputs!$B$11),0)))/100)/2</f>
        <v/>
      </c>
      <c r="M1781">
        <f>L1781*(1+(Inputs!$B$10+((C1798=TRUE)*(F1798-Calc!F25))+B1809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81">
        <f>L1781*(1-MIN((Inputs!$B$9+((C1792=TRUE)*(F1792-Calc!F19))+B1804+(ArtifactsInput!$M$24-ArtifactsInput!$M$24)*CHOOSE(ArtifactsInput!$N$24+1,10,12,14,16,18,20)+(IF(AND(Inputs!$B$38&lt;&gt;"pvp",Inputs!$B$43=0),1,IF(IF(Inputs!$B$38="pvp",15,Inputs!$B$43)-(B1811)&lt;=0,1,MAX(0,IF(Inputs!$B$38="pvp",15,Inputs!$B$43)-MAX(5,B1811))/(IF(Inputs!$B$38="pvp",15,Inputs!$B$43)-(B1811))))*IF(AND(ArtifactsInput!$M$42,((Inputs!$B$9+((C1792=TRUE)*(F1792-Calc!F19))+B1804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1781*(MIN((Inputs!$B$9+((C1792=TRUE)*(F1792-Calc!F19))+B1804+(ArtifactsInput!$M$24-ArtifactsInput!$M$24)*CHOOSE(ArtifactsInput!$N$24+1,10,12,14,16,18,20)+(IF(AND(Inputs!$B$38&lt;&gt;"pvp",Inputs!$B$43=0),1,IF(IF(Inputs!$B$38="pvp",15,Inputs!$B$43)-(B1811)&lt;=0,1,MAX(0,IF(Inputs!$B$38="pvp",15,Inputs!$B$43)-MAX(5,B1811))/(IF(Inputs!$B$38="pvp",15,Inputs!$B$43)-(B1811))))*IF(AND(ArtifactsInput!$M$42,((Inputs!$B$9+((C1792=TRUE)*(F1792-Calc!F19))+B1804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81">
        <f>(1-Summary!$B$11)*T1781+Summary!$B$11*V1781</f>
        <v/>
      </c>
      <c r="P1781">
        <f>IF(B1814=0,0,O1781/B1814)</f>
        <v/>
      </c>
      <c r="Q1781">
        <f>IFERROR(1/((IF(Inputs!$B$38="pvp",15,MAX(0.1,Skills!D8-IF(TRUE=TRUE,Inputs!$B$32,0)))*(1-IF(AND(ArtifactsInput!$M$27,Inputs!$B$4="Chapter Hunt"),CHOOSE(ArtifactsInput!$N$27+1,20,24,28,32,36,40),0)/100))/B1815),0)</f>
        <v/>
      </c>
      <c r="R1781">
        <f>IF(AND(Inputs!$B$38&lt;&gt;"pvp",Inputs!$B$43&gt;0),IF(MAX(0,Inputs!$B$43-B1811)&lt;=0,0,(INT(MAX(0,Inputs!$B$43-B1811)/((IF(Inputs!$B$38="pvp",15,MAX(0.1,Skills!D8-IF(TRUE=TRUE,Inputs!$B$32,0)))*(1-IF(AND(ArtifactsInput!$M$27,Inputs!$B$4="Chapter Hunt"),CHOOSE(ArtifactsInput!$N$27+1,20,24,28,32,36,40),0)/100))/B1815))+1)),0)</f>
        <v/>
      </c>
      <c r="S1781">
        <f>IFERROR(O1781/N1781,0)</f>
        <v/>
      </c>
      <c r="T1781">
        <f>IF(C1781,(H1781*N1781*IF(AND(Inputs!$B$38&lt;&gt;"pvp",Inputs!$B$43&gt;0),((Skills!G8*((R1781-1)*IF(Skills!H8&gt;0,INT(Skills!I8/Skills!H8+0.000000001),1)+IF(Skills!H8&gt;0,INT(MIN(Skills!I8,MAX(0,MAX(0,Inputs!$B$43-B1811)-((R1781-1)*((IF(Inputs!$B$38="pvp",15,MAX(0.1,Skills!D8-IF(TRUE=TRUE,Inputs!$B$32,0)))*(1-IF(AND(ArtifactsInput!$M$27,Inputs!$B$4="Chapter Hunt"),CHOOSE(ArtifactsInput!$N$27+1,20,24,28,32,36,40),0)/100))/B1815))))/Skills!H8+0.000000001),1)))/Inputs!$B$43),G1781*Q1781))*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Hunt"),CHOOSE(ArtifactsInput!$N$35+1,15,18,21,24,27,30)*(1-EXP(-(0.2*B1806)*5)),0)+IF(AND(ArtifactsInput!$M$22,Inputs!$B$4&lt;&gt;"Chapter Hunt"),CHOOSE(ArtifactsInput!$N$22+1,10,12,14,16,18,20)*((0*(((0.15*B1806*5))^0/1)+1*(((0.15*B1806*5))^1/1)+2*(((0.15*B1806*5))^2/2)+3*(((0.15*B1806*5))^3/6)+4*(((0.15*B1806*5))^4/24)+5*(((0.15*B1806*5))^5/120))/((((0.15*B1806*5))^0/1)+(((0.15*B1806*5))^1/1)+(((0.15*B1806*5))^2/2)+(((0.15*B1806*5))^3/6)+(((0.15*B1806*5))^4/24)+(((0.15*B1806*5))^5/120))),0))+IF(Inputs!$B$3&gt;=54,9*(C1776=TRUE)*MIN(1,8*(1+Inputs!$B$34/100)*Q1776)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1781*(1-MIN(100,(Inputs!$B$9+((C1792=TRUE)*(F1792-Calc!F19))+B1804+(ArtifactsInput!$M$24-ArtifactsInput!$M$24)*CHOOSE(ArtifactsInput!$N$24+1,10,12,14,16,18,20)+(IF(AND(Inputs!$B$38&lt;&gt;"pvp",Inputs!$B$43=0),1,IF(IF(Inputs!$B$38="pvp",15,Inputs!$B$43)-(B1811)&lt;=0,1,MAX(0,IF(Inputs!$B$38="pvp",15,Inputs!$B$43)-MAX(5,B1811))/(IF(Inputs!$B$38="pvp",15,Inputs!$B$43)-(B1811))))*IF(AND(ArtifactsInput!$M$42,((Inputs!$B$9+((C1792=TRUE)*(F1792-Calc!F19))+B1804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1781*(MIN(100,(Inputs!$B$9+((C1792=TRUE)*(F1792-Calc!F19))+B1804+(ArtifactsInput!$M$24-ArtifactsInput!$M$24)*CHOOSE(ArtifactsInput!$N$24+1,10,12,14,16,18,20)+(IF(AND(Inputs!$B$38&lt;&gt;"pvp",Inputs!$B$43=0),1,IF(IF(Inputs!$B$38="pvp",15,Inputs!$B$43)-(B1811)&lt;=0,1,MAX(0,IF(Inputs!$B$38="pvp",15,Inputs!$B$43)-MAX(5,B1811))/(IF(Inputs!$B$38="pvp",15,Inputs!$B$43)-(B1811))))*IF(AND(ArtifactsInput!$M$42,((Inputs!$B$9+((C1792=TRUE)*(F1792-Calc!F19))+B1804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1781*(1-MIN(100,(Inputs!$B$9+((C1792=TRUE)*(F1792-Calc!F19))+B1804+(ArtifactsInput!$M$24-ArtifactsInput!$M$24)*CHOOSE(ArtifactsInput!$N$24+1,10,12,14,16,18,20)+(IF(AND(Inputs!$B$38&lt;&gt;"pvp",Inputs!$B$43=0),1,IF(IF(Inputs!$B$38="pvp",15,Inputs!$B$43)-(B1811)&lt;=0,1,MAX(0,IF(Inputs!$B$38="pvp",15,Inputs!$B$43)-MAX(5,B1811))/(IF(Inputs!$B$38="pvp",15,Inputs!$B$43)-(B1811))))*IF(AND(ArtifactsInput!$M$42,((Inputs!$B$9+((C1792=TRUE)*(F1792-Calc!F19))+B1804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1781*(MIN(100,(Inputs!$B$9+((C1792=TRUE)*(F1792-Calc!F19))+B1804+(ArtifactsInput!$M$24-ArtifactsInput!$M$24)*CHOOSE(ArtifactsInput!$N$24+1,10,12,14,16,18,20)+(IF(AND(Inputs!$B$38&lt;&gt;"pvp",Inputs!$B$43=0),1,IF(IF(Inputs!$B$38="pvp",15,Inputs!$B$43)-(B1811)&lt;=0,1,MAX(0,IF(Inputs!$B$38="pvp",15,Inputs!$B$43)-MAX(5,B1811))/(IF(Inputs!$B$38="pvp",15,Inputs!$B$43)-(B1811))))*IF(AND(ArtifactsInput!$M$42,((Inputs!$B$9+((C1792=TRUE)*(F1792-Calc!F19))+B1804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781">
        <f>IF(C1781,(H1781*N1781*IF(AND(Inputs!$B$38&lt;&gt;"pvp",Inputs!$B$43&gt;0),((Skills!G8*((R1781-1)*IF(Skills!H8&gt;0,INT(Skills!I8/Skills!H8+0.000000001),1)+IF(Skills!H8&gt;0,INT(MIN(Skills!I8,MAX(0,MAX(0,Inputs!$B$43-B1811)-((R1781-1)*((IF(Inputs!$B$38="pvp",15,MAX(0.1,Skills!D8-IF(TRUE=TRUE,Inputs!$B$32,0)))*(1-IF(AND(ArtifactsInput!$M$27,Inputs!$B$4="Chapter Hunt"),CHOOSE(ArtifactsInput!$N$27+1,20,24,28,32,36,40),0)/100))/B1815))))/Skills!H8+0.000000001),1)))/Inputs!$B$43),G1781*Q1781))*IF(Inputs!$B$38="pvp",1,(1+(Inputs!$B$21+Skills!Q8+(IF(ArtifactsInput!$M$33,CHOOSE(ArtifactsInput!$N$33+1,30,36,42,48,54,60),0))+(IF(AND(ArtifactsInput!$M$35,Inputs!$B$4&lt;&gt;"Chapter Hunt"),CHOOSE(ArtifactsInput!$N$35+1,15,18,21,24,27,30)*(1-EXP(-(0.2*B1806)*5)),0)+IF(AND(ArtifactsInput!$M$22,Inputs!$B$4&lt;&gt;"Chapter Hunt"),CHOOSE(ArtifactsInput!$N$22+1,10,12,14,16,18,20)*((0*(((0.15*B1806*5))^0/1)+1*(((0.15*B1806*5))^1/1)+2*(((0.15*B1806*5))^2/2)+3*(((0.15*B1806*5))^3/6)+4*(((0.15*B1806*5))^4/24)+5*(((0.15*B1806*5))^5/120))/((((0.15*B1806*5))^0/1)+(((0.15*B1806*5))^1/1)+(((0.15*B1806*5))^2/2)+(((0.15*B1806*5))^3/6)+(((0.15*B1806*5))^4/24)+(((0.15*B1806*5))^5/120))),0))+IF(Inputs!$B$3&gt;=54,9*(C1776=TRUE)*MIN(1,8*(1+Inputs!$B$34/100)*Q1776),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82">
      <c r="A1782">
        <f>Skills!A9</f>
        <v/>
      </c>
      <c r="B1782">
        <f>Skills!B9</f>
        <v/>
      </c>
      <c r="C1782">
        <f>Inputs!$B$3&gt;=105</f>
        <v/>
      </c>
      <c r="D1782">
        <f>IF(Skills!C9=1,60+Inputs!$B$25+Inputs!$B$29,IF(Skills!C9=2,90+Inputs!$B$26+Inputs!$B$29,IF(Skills!C9=3,120+Inputs!$B$27+Inputs!$B$29,MAX(0,(Inputs!$B$3-100)*3)+Inputs!$B$28+Inputs!$B$29)))</f>
        <v/>
      </c>
      <c r="E1782">
        <f>INDEX(FactorTable!$B$2:$Y$301, MATCH(ROUND(MIN(300,MAX(1,D1782)),0), FactorTable!$A$2:$A$301,0), Skills!M9+1)</f>
        <v/>
      </c>
      <c r="F1782">
        <f>IF(Skills!N9=TRUE,(Skills!L9/10)*(E1782/1000),Skills!L9/10)+Skills!O9</f>
        <v/>
      </c>
      <c r="G1782">
        <f>Skills!G9*IF(Skills!H9&gt;0,INT(IF(Inputs!$B$38="pvp",MIN(Skills!I9,15),Skills!I9)/Skills!H9+0.000000001),1)</f>
        <v/>
      </c>
      <c r="H1782">
        <f>1-(1-Skills!J9/100)^Skills!K9</f>
        <v/>
      </c>
      <c r="I1782" t="inlineStr">
        <is>
          <t>1</t>
        </is>
      </c>
      <c r="J1782">
        <f>((Inputs!$B$6*(1+Inputs!$B$7/100))+(((Inputs!$B$12*(1+Inputs!$B$13/100))-(Inputs!$B$12*(1+Inputs!$B$13/100)))+0.25*(Inputs!$B$14-Inputs!$B$14))*(1+Inputs!$B$7/100))*(F1782/100)</f>
        <v/>
      </c>
      <c r="K1782">
        <f>J1782*(1+((Inputs!$B$12*(1+Inputs!$B$13/100))*0.01+Inputs!$B$14*0.0025)/100)*(1+Inputs!$B$15/100)*(1+Inputs!$B$16/100)*(5000/(6000+Inputs!$B$42*(1-(100*(1-(1-(Inputs!$B$19+0)/100)*(1-CHOOSE(ArtifactsInput!$N$40+1,5,6,7,8,9,10)/100)^(ArtifactsInput!$M$40-ArtifactsInput!$M$40)))/100)))*(1+(Inputs!$B$24+((C1799=TRUE)*(F1799-Calc!F26))+B1810)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IGHT_LEGS_EASTON",Inputs!$B$17+((C1796=TRUE)*(F1796-Calc!F23))+((C1800=TRUE)*(F1800-Calc!F27))+((IF(AND(Inputs!$B$38&lt;&gt;"pvp",Inputs!$B$43=0),1,IF(IF(Inputs!$B$38="pvp",15,Inputs!$B$43)-(B1811)&lt;=0,1,MAX(0,IF(Inputs!$B$38="pvp",15,Inputs!$B$43)-MAX(5,B1811))/(IF(Inputs!$B$38="pvp",15,Inputs!$B$43)-(B1811))))*(IF(AND(ArtifactsInput!$M$42,((Inputs!$B$9+((C1792=TRUE)*(F1792-Calc!F19))+B1804+(ArtifactsInput!$M$24-ArtifactsInput!$M$24)*CHOOSE(ArtifactsInput!$N$24+1,10,12,14,16,18,20)+IF(ArtifactsInput!$M$10,CHOOSE(ArtifactsInput!$N$10+1,15,18,21,24,27,30)*(IF(Inputs!$B$38="pvp",MIN(15,15)/15,IF(AND(Inputs!$B$38&lt;&gt;"pvp",Inputs!$B$43&gt;0),MIN(15,Inputs!$B$43)/(Inputs!$B$43),0))),0)))&gt;=100),MIN(100,((Inputs!$B$9+((C1792=TRUE)*(F1792-Calc!F19))+B1804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1811)&lt;=0,1,MAX(0,IF(Inputs!$B$38="pvp",15,Inputs!$B$43)-MAX(5,B1811))/(IF(Inputs!$B$38="pvp",15,Inputs!$B$43)-(B1811))))*IF(AND(ArtifactsInput!$M$42,((Inputs!$B$9+((C1792=TRUE)*(F1792-Calc!F19))+B1804+(ArtifactsInput!$M$24-ArtifactsInput!$M$24)*CHOOSE(ArtifactsInput!$N$24+1,10,12,14,16,18,20)+IF(ArtifactsInput!$M$10,CHOOSE(ArtifactsInput!$N$10+1,15,18,21,24,27,30)*(IF(Inputs!$B$38="pvp",MIN(15,15)/15,IF(AND(Inputs!$B$38&lt;&gt;"pvp",Inputs!$B$43&gt;0),MIN(15,Inputs!$B$43)/(Inputs!$B$43),0))),0)))&gt;=100),CHOOSE(ArtifactsInput!$N$42+1,40,48,56,64,72,80),0))))/100)*((1+(((C1790=TRUE)*F1790*5/7)+((C1797=TRUE)*(F1797-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1782)</f>
        <v/>
      </c>
      <c r="L1782">
        <f>K1782*(MIN(Inputs!$B$22+((C1795=TRUE)*(F1795-Calc!F22)),(Inputs!$B$23+0+(IF(ArtifactsInput!$M$15,CHOOSE(ArtifactsInput!$N$15+1,25,30,35,40,45,50)/100*(Inputs!$B$11-Inputs!$B$11),0))))/100+(Inputs!$B$23+0+(IF(ArtifactsInput!$M$15,CHOOSE(ArtifactsInput!$N$15+1,25,30,35,40,45,50)/100*(Inputs!$B$11-Inputs!$B$11),0)))/100)/2</f>
        <v/>
      </c>
      <c r="M1782">
        <f>L1782*(1+(Inputs!$B$10+((C1798=TRUE)*(F1798-Calc!F25))+B1809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82">
        <f>L1782*(1-MIN((Inputs!$B$9+((C1792=TRUE)*(F1792-Calc!F19))+B1804+(ArtifactsInput!$M$24-ArtifactsInput!$M$24)*CHOOSE(ArtifactsInput!$N$24+1,10,12,14,16,18,20)+(IF(AND(Inputs!$B$38&lt;&gt;"pvp",Inputs!$B$43=0),1,IF(IF(Inputs!$B$38="pvp",15,Inputs!$B$43)-(B1811)&lt;=0,1,MAX(0,IF(Inputs!$B$38="pvp",15,Inputs!$B$43)-MAX(5,B1811))/(IF(Inputs!$B$38="pvp",15,Inputs!$B$43)-(B1811))))*IF(AND(ArtifactsInput!$M$42,((Inputs!$B$9+((C1792=TRUE)*(F1792-Calc!F19))+B1804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1782*(MIN((Inputs!$B$9+((C1792=TRUE)*(F1792-Calc!F19))+B1804+(ArtifactsInput!$M$24-ArtifactsInput!$M$24)*CHOOSE(ArtifactsInput!$N$24+1,10,12,14,16,18,20)+(IF(AND(Inputs!$B$38&lt;&gt;"pvp",Inputs!$B$43=0),1,IF(IF(Inputs!$B$38="pvp",15,Inputs!$B$43)-(B1811)&lt;=0,1,MAX(0,IF(Inputs!$B$38="pvp",15,Inputs!$B$43)-MAX(5,B1811))/(IF(Inputs!$B$38="pvp",15,Inputs!$B$43)-(B1811))))*IF(AND(ArtifactsInput!$M$42,((Inputs!$B$9+((C1792=TRUE)*(F1792-Calc!F19))+B1804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82">
        <f>(1-Summary!$B$11)*T1782+Summary!$B$11*V1782</f>
        <v/>
      </c>
      <c r="P1782">
        <f>IF(B1814=0,0,O1782/B1814)</f>
        <v/>
      </c>
      <c r="Q1782">
        <f>IFERROR(1/(IF(Inputs!$B$38="pvp",15,MAX(0.1,Skills!D9-IF(TRUE=TRUE,Inputs!$B$32,0)))*(1-IF(AND(ArtifactsInput!$M$27,Inputs!$B$4="Chapter Hunt"),CHOOSE(ArtifactsInput!$N$27+1,20,24,28,32,36,40),0)/100)),0)</f>
        <v/>
      </c>
      <c r="R1782">
        <f>IF(AND(Inputs!$B$38&lt;&gt;"pvp",Inputs!$B$43&gt;0),IF(MAX(0,Inputs!$B$43-B1811)&lt;=0,0,(INT(MAX(0,Inputs!$B$43-B1811)/(IF(Inputs!$B$38="pvp",15,MAX(0.1,Skills!D9-IF(TRUE=TRUE,Inputs!$B$32,0)))*(1-IF(AND(ArtifactsInput!$M$27,Inputs!$B$4="Chapter Hunt"),CHOOSE(ArtifactsInput!$N$27+1,20,24,28,32,36,40),0)/100)))+1)),0)</f>
        <v/>
      </c>
      <c r="S1782">
        <f>IFERROR(O1782/N1782,0)</f>
        <v/>
      </c>
      <c r="T1782">
        <f>IF(C1782,(H1782*N1782*IF(AND(Inputs!$B$38&lt;&gt;"pvp",Inputs!$B$43&gt;0),((Skills!G9*((R1782-1)*IF(Skills!H9&gt;0,INT(Skills!I9/Skills!H9+0.000000001),1)+IF(Skills!H9&gt;0,INT(MIN(Skills!I9,MAX(0,MAX(0,Inputs!$B$43-B1811)-((R1782-1)*(IF(Inputs!$B$38="pvp",15,MAX(0.1,Skills!D9-IF(TRUE=TRUE,Inputs!$B$32,0)))*(1-IF(AND(ArtifactsInput!$M$27,Inputs!$B$4="Chapter Hunt"),CHOOSE(ArtifactsInput!$N$27+1,20,24,28,32,36,40),0)/100)))))/Skills!H9+0.000000001),1)))/Inputs!$B$43),G1782*Q1782))*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Hunt"),CHOOSE(ArtifactsInput!$N$35+1,15,18,21,24,27,30)*(1-EXP(-(0.2*B1806)*5)),0)+IF(AND(ArtifactsInput!$M$22,Inputs!$B$4&lt;&gt;"Chapter Hunt"),CHOOSE(ArtifactsInput!$N$22+1,10,12,14,16,18,20)*((0*(((0.15*B1806*5))^0/1)+1*(((0.15*B1806*5))^1/1)+2*(((0.15*B1806*5))^2/2)+3*(((0.15*B1806*5))^3/6)+4*(((0.15*B1806*5))^4/24)+5*(((0.15*B1806*5))^5/120))/((((0.15*B1806*5))^0/1)+(((0.15*B1806*5))^1/1)+(((0.15*B1806*5))^2/2)+(((0.15*B1806*5))^3/6)+(((0.15*B1806*5))^4/24)+(((0.15*B1806*5))^5/120))),0))+IF(Inputs!$B$3&gt;=54,9*(C1776=TRUE)*MIN(1,8*(1+Inputs!$B$34/100)*Q1776)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1782*(1-MIN(100,(Inputs!$B$9+((C1792=TRUE)*(F1792-Calc!F19))+B1804+(ArtifactsInput!$M$24-ArtifactsInput!$M$24)*CHOOSE(ArtifactsInput!$N$24+1,10,12,14,16,18,20)+(IF(AND(Inputs!$B$38&lt;&gt;"pvp",Inputs!$B$43=0),1,IF(IF(Inputs!$B$38="pvp",15,Inputs!$B$43)-(B1811)&lt;=0,1,MAX(0,IF(Inputs!$B$38="pvp",15,Inputs!$B$43)-MAX(5,B1811))/(IF(Inputs!$B$38="pvp",15,Inputs!$B$43)-(B1811))))*IF(AND(ArtifactsInput!$M$42,((Inputs!$B$9+((C1792=TRUE)*(F1792-Calc!F19))+B1804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1782*(MIN(100,(Inputs!$B$9+((C1792=TRUE)*(F1792-Calc!F19))+B1804+(ArtifactsInput!$M$24-ArtifactsInput!$M$24)*CHOOSE(ArtifactsInput!$N$24+1,10,12,14,16,18,20)+(IF(AND(Inputs!$B$38&lt;&gt;"pvp",Inputs!$B$43=0),1,IF(IF(Inputs!$B$38="pvp",15,Inputs!$B$43)-(B1811)&lt;=0,1,MAX(0,IF(Inputs!$B$38="pvp",15,Inputs!$B$43)-MAX(5,B1811))/(IF(Inputs!$B$38="pvp",15,Inputs!$B$43)-(B1811))))*IF(AND(ArtifactsInput!$M$42,((Inputs!$B$9+((C1792=TRUE)*(F1792-Calc!F19))+B1804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1782*(1-MIN(100,(Inputs!$B$9+((C1792=TRUE)*(F1792-Calc!F19))+B1804+(ArtifactsInput!$M$24-ArtifactsInput!$M$24)*CHOOSE(ArtifactsInput!$N$24+1,10,12,14,16,18,20)+(IF(AND(Inputs!$B$38&lt;&gt;"pvp",Inputs!$B$43=0),1,IF(IF(Inputs!$B$38="pvp",15,Inputs!$B$43)-(B1811)&lt;=0,1,MAX(0,IF(Inputs!$B$38="pvp",15,Inputs!$B$43)-MAX(5,B1811))/(IF(Inputs!$B$38="pvp",15,Inputs!$B$43)-(B1811))))*IF(AND(ArtifactsInput!$M$42,((Inputs!$B$9+((C1792=TRUE)*(F1792-Calc!F19))+B1804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1782*(MIN(100,(Inputs!$B$9+((C1792=TRUE)*(F1792-Calc!F19))+B1804+(ArtifactsInput!$M$24-ArtifactsInput!$M$24)*CHOOSE(ArtifactsInput!$N$24+1,10,12,14,16,18,20)+(IF(AND(Inputs!$B$38&lt;&gt;"pvp",Inputs!$B$43=0),1,IF(IF(Inputs!$B$38="pvp",15,Inputs!$B$43)-(B1811)&lt;=0,1,MAX(0,IF(Inputs!$B$38="pvp",15,Inputs!$B$43)-MAX(5,B1811))/(IF(Inputs!$B$38="pvp",15,Inputs!$B$43)-(B1811))))*IF(AND(ArtifactsInput!$M$42,((Inputs!$B$9+((C1792=TRUE)*(F1792-Calc!F19))+B1804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782">
        <f>IF(C1782,(H1782*N1782*IF(AND(Inputs!$B$38&lt;&gt;"pvp",Inputs!$B$43&gt;0),((Skills!G9*((R1782-1)*IF(Skills!H9&gt;0,INT(Skills!I9/Skills!H9+0.000000001),1)+IF(Skills!H9&gt;0,INT(MIN(Skills!I9,MAX(0,MAX(0,Inputs!$B$43-B1811)-((R1782-1)*(IF(Inputs!$B$38="pvp",15,MAX(0.1,Skills!D9-IF(TRUE=TRUE,Inputs!$B$32,0)))*(1-IF(AND(ArtifactsInput!$M$27,Inputs!$B$4="Chapter Hunt"),CHOOSE(ArtifactsInput!$N$27+1,20,24,28,32,36,40),0)/100)))))/Skills!H9+0.000000001),1)))/Inputs!$B$43),G1782*Q1782))*IF(Inputs!$B$38="pvp",1,(1+(Inputs!$B$21+Skills!Q9+(IF(ArtifactsInput!$M$33,CHOOSE(ArtifactsInput!$N$33+1,30,36,42,48,54,60),0))+(IF(AND(ArtifactsInput!$M$35,Inputs!$B$4&lt;&gt;"Chapter Hunt"),CHOOSE(ArtifactsInput!$N$35+1,15,18,21,24,27,30)*(1-EXP(-(0.2*B1806)*5)),0)+IF(AND(ArtifactsInput!$M$22,Inputs!$B$4&lt;&gt;"Chapter Hunt"),CHOOSE(ArtifactsInput!$N$22+1,10,12,14,16,18,20)*((0*(((0.15*B1806*5))^0/1)+1*(((0.15*B1806*5))^1/1)+2*(((0.15*B1806*5))^2/2)+3*(((0.15*B1806*5))^3/6)+4*(((0.15*B1806*5))^4/24)+5*(((0.15*B1806*5))^5/120))/((((0.15*B1806*5))^0/1)+(((0.15*B1806*5))^1/1)+(((0.15*B1806*5))^2/2)+(((0.15*B1806*5))^3/6)+(((0.15*B1806*5))^4/24)+(((0.15*B1806*5))^5/120))),0))+IF(Inputs!$B$3&gt;=54,9*(C1776=TRUE)*MIN(1,8*(1+Inputs!$B$34/100)*Q1776),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83">
      <c r="A1783">
        <f>Skills!A10</f>
        <v/>
      </c>
      <c r="B1783">
        <f>Skills!B10</f>
        <v/>
      </c>
      <c r="C1783">
        <f>Inputs!$B$3&gt;=113</f>
        <v/>
      </c>
      <c r="D1783">
        <f>IF(Skills!C10=1,60+Inputs!$B$25+Inputs!$B$29,IF(Skills!C10=2,90+Inputs!$B$26+Inputs!$B$29,IF(Skills!C10=3,120+Inputs!$B$27+Inputs!$B$29,MAX(0,(Inputs!$B$3-100)*3)+Inputs!$B$28+Inputs!$B$29)))</f>
        <v/>
      </c>
      <c r="E1783">
        <f>INDEX(FactorTable!$B$2:$Y$301, MATCH(ROUND(MIN(300,MAX(1,D1783)),0), FactorTable!$A$2:$A$301,0), Skills!M10+1)</f>
        <v/>
      </c>
      <c r="F1783">
        <f>IF(Skills!N10=TRUE,(Skills!L10/10)*(E1783/1000),Skills!L10/10)+Skills!O10</f>
        <v/>
      </c>
      <c r="G1783">
        <f>Skills!G10*IF(Skills!H10&gt;0,INT(IF(Inputs!$B$38="pvp",MIN(Skills!I10,15),Skills!I10)/Skills!H10+0.000000001),1)</f>
        <v/>
      </c>
      <c r="H1783">
        <f>1-(1-Skills!J10/100)^Skills!K10</f>
        <v/>
      </c>
      <c r="I1783" t="inlineStr">
        <is>
          <t>1</t>
        </is>
      </c>
      <c r="J1783">
        <f>((Inputs!$B$6*(1+Inputs!$B$7/100))+(((Inputs!$B$12*(1+Inputs!$B$13/100))-(Inputs!$B$12*(1+Inputs!$B$13/100)))+0.25*(Inputs!$B$14-Inputs!$B$14))*(1+Inputs!$B$7/100))*(F1783/100)</f>
        <v/>
      </c>
      <c r="K1783">
        <f>J1783*(1+((Inputs!$B$12*(1+Inputs!$B$13/100))*0.01+Inputs!$B$14*0.0025)/100)*(1+Inputs!$B$15/100)*(1+Inputs!$B$16/100)*(5000/(6000+Inputs!$B$42*(1-(100*(1-(1-(Inputs!$B$19+0)/100)*(1-CHOOSE(ArtifactsInput!$N$40+1,5,6,7,8,9,10)/100)^(ArtifactsInput!$M$40-ArtifactsInput!$M$40)))/100)))*(1+(Inputs!$B$24+((C1799=TRUE)*(F1799-Calc!F26))+B1810)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IGHT_LEGS_EASTON",Inputs!$B$17+((C1796=TRUE)*(F1796-Calc!F23))+((C1800=TRUE)*(F1800-Calc!F27))+((IF(AND(Inputs!$B$38&lt;&gt;"pvp",Inputs!$B$43=0),1,IF(IF(Inputs!$B$38="pvp",15,Inputs!$B$43)-(B1811)&lt;=0,1,MAX(0,IF(Inputs!$B$38="pvp",15,Inputs!$B$43)-MAX(5,B1811))/(IF(Inputs!$B$38="pvp",15,Inputs!$B$43)-(B1811))))*(IF(AND(ArtifactsInput!$M$42,((Inputs!$B$9+((C1792=TRUE)*(F1792-Calc!F19))+B1804+(ArtifactsInput!$M$24-ArtifactsInput!$M$24)*CHOOSE(ArtifactsInput!$N$24+1,10,12,14,16,18,20)+IF(ArtifactsInput!$M$10,CHOOSE(ArtifactsInput!$N$10+1,15,18,21,24,27,30)*(IF(Inputs!$B$38="pvp",MIN(15,15)/15,IF(AND(Inputs!$B$38&lt;&gt;"pvp",Inputs!$B$43&gt;0),MIN(15,Inputs!$B$43)/(Inputs!$B$43),0))),0)))&gt;=100),MIN(100,((Inputs!$B$9+((C1792=TRUE)*(F1792-Calc!F19))+B1804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1811)&lt;=0,1,MAX(0,IF(Inputs!$B$38="pvp",15,Inputs!$B$43)-MAX(5,B1811))/(IF(Inputs!$B$38="pvp",15,Inputs!$B$43)-(B1811))))*IF(AND(ArtifactsInput!$M$42,((Inputs!$B$9+((C1792=TRUE)*(F1792-Calc!F19))+B1804+(ArtifactsInput!$M$24-ArtifactsInput!$M$24)*CHOOSE(ArtifactsInput!$N$24+1,10,12,14,16,18,20)+IF(ArtifactsInput!$M$10,CHOOSE(ArtifactsInput!$N$10+1,15,18,21,24,27,30)*(IF(Inputs!$B$38="pvp",MIN(15,15)/15,IF(AND(Inputs!$B$38&lt;&gt;"pvp",Inputs!$B$43&gt;0),MIN(15,Inputs!$B$43)/(Inputs!$B$43),0))),0)))&gt;=100),CHOOSE(ArtifactsInput!$N$42+1,40,48,56,64,72,80),0))))/100)*((1+(((C1790=TRUE)*F1790*5/7)+((C1797=TRUE)*(F1797-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1783)</f>
        <v/>
      </c>
      <c r="L1783">
        <f>K1783*(MIN(Inputs!$B$22+((C1795=TRUE)*(F1795-Calc!F22)),(Inputs!$B$23+0+(IF(ArtifactsInput!$M$15,CHOOSE(ArtifactsInput!$N$15+1,25,30,35,40,45,50)/100*(Inputs!$B$11-Inputs!$B$11),0))))/100+(Inputs!$B$23+0+(IF(ArtifactsInput!$M$15,CHOOSE(ArtifactsInput!$N$15+1,25,30,35,40,45,50)/100*(Inputs!$B$11-Inputs!$B$11),0)))/100)/2</f>
        <v/>
      </c>
      <c r="M1783">
        <f>L1783*(1+(Inputs!$B$10+((C1798=TRUE)*(F1798-Calc!F25))+B1809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83">
        <f>L1783*(1-MIN((Inputs!$B$9+((C1792=TRUE)*(F1792-Calc!F19))+B1804+(ArtifactsInput!$M$24-ArtifactsInput!$M$24)*CHOOSE(ArtifactsInput!$N$24+1,10,12,14,16,18,20)+(IF(AND(Inputs!$B$38&lt;&gt;"pvp",Inputs!$B$43=0),1,IF(IF(Inputs!$B$38="pvp",15,Inputs!$B$43)-(B1811)&lt;=0,1,MAX(0,IF(Inputs!$B$38="pvp",15,Inputs!$B$43)-MAX(5,B1811))/(IF(Inputs!$B$38="pvp",15,Inputs!$B$43)-(B1811))))*IF(AND(ArtifactsInput!$M$42,((Inputs!$B$9+((C1792=TRUE)*(F1792-Calc!F19))+B1804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1783*(MIN((Inputs!$B$9+((C1792=TRUE)*(F1792-Calc!F19))+B1804+(ArtifactsInput!$M$24-ArtifactsInput!$M$24)*CHOOSE(ArtifactsInput!$N$24+1,10,12,14,16,18,20)+(IF(AND(Inputs!$B$38&lt;&gt;"pvp",Inputs!$B$43=0),1,IF(IF(Inputs!$B$38="pvp",15,Inputs!$B$43)-(B1811)&lt;=0,1,MAX(0,IF(Inputs!$B$38="pvp",15,Inputs!$B$43)-MAX(5,B1811))/(IF(Inputs!$B$38="pvp",15,Inputs!$B$43)-(B1811))))*IF(AND(ArtifactsInput!$M$42,((Inputs!$B$9+((C1792=TRUE)*(F1792-Calc!F19))+B1804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83">
        <f>(1-Summary!$B$11)*T1783+Summary!$B$11*V1783</f>
        <v/>
      </c>
      <c r="P1783">
        <f>IF(B1814=0,0,O1783/B1814)</f>
        <v/>
      </c>
      <c r="Q1783" t="n">
        <v>0</v>
      </c>
      <c r="R1783" t="n">
        <v>0</v>
      </c>
      <c r="S1783">
        <f>IFERROR(O1783/N1783,0)</f>
        <v/>
      </c>
      <c r="T1783">
        <f>IF(C1783,((H1783*B1816)/(1+Skills!H10*H1783*B1816)*N1783)*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Hunt"),CHOOSE(ArtifactsInput!$N$35+1,15,18,21,24,27,30)*(1-EXP(-(0.2*B1806)*5)),0)+IF(AND(ArtifactsInput!$M$22,Inputs!$B$4&lt;&gt;"Chapter Hunt"),CHOOSE(ArtifactsInput!$N$22+1,10,12,14,16,18,20)*((0*(((0.15*B1806*5))^0/1)+1*(((0.15*B1806*5))^1/1)+2*(((0.15*B1806*5))^2/2)+3*(((0.15*B1806*5))^3/6)+4*(((0.15*B1806*5))^4/24)+5*(((0.15*B1806*5))^5/120))/((((0.15*B1806*5))^0/1)+(((0.15*B1806*5))^1/1)+(((0.15*B1806*5))^2/2)+(((0.15*B1806*5))^3/6)+(((0.15*B1806*5))^4/24)+(((0.15*B1806*5))^5/120))),0))+IF(Inputs!$B$3&gt;=54,9*(C1776=TRUE)*MIN(1,8*(1+Inputs!$B$34/100)*Q1776)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1783*(1-MIN(100,(Inputs!$B$9+((C1792=TRUE)*(F1792-Calc!F19))+B1804+(ArtifactsInput!$M$24-ArtifactsInput!$M$24)*CHOOSE(ArtifactsInput!$N$24+1,10,12,14,16,18,20)+(IF(AND(Inputs!$B$38&lt;&gt;"pvp",Inputs!$B$43=0),1,IF(IF(Inputs!$B$38="pvp",15,Inputs!$B$43)-(B1811)&lt;=0,1,MAX(0,IF(Inputs!$B$38="pvp",15,Inputs!$B$43)-MAX(5,B1811))/(IF(Inputs!$B$38="pvp",15,Inputs!$B$43)-(B1811))))*IF(AND(ArtifactsInput!$M$42,((Inputs!$B$9+((C1792=TRUE)*(F1792-Calc!F19))+B1804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1783*(MIN(100,(Inputs!$B$9+((C1792=TRUE)*(F1792-Calc!F19))+B1804+(ArtifactsInput!$M$24-ArtifactsInput!$M$24)*CHOOSE(ArtifactsInput!$N$24+1,10,12,14,16,18,20)+(IF(AND(Inputs!$B$38&lt;&gt;"pvp",Inputs!$B$43=0),1,IF(IF(Inputs!$B$38="pvp",15,Inputs!$B$43)-(B1811)&lt;=0,1,MAX(0,IF(Inputs!$B$38="pvp",15,Inputs!$B$43)-MAX(5,B1811))/(IF(Inputs!$B$38="pvp",15,Inputs!$B$43)-(B1811))))*IF(AND(ArtifactsInput!$M$42,((Inputs!$B$9+((C1792=TRUE)*(F1792-Calc!F19))+B1804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1783*(1-MIN(100,(Inputs!$B$9+((C1792=TRUE)*(F1792-Calc!F19))+B1804+(ArtifactsInput!$M$24-ArtifactsInput!$M$24)*CHOOSE(ArtifactsInput!$N$24+1,10,12,14,16,18,20)+(IF(AND(Inputs!$B$38&lt;&gt;"pvp",Inputs!$B$43=0),1,IF(IF(Inputs!$B$38="pvp",15,Inputs!$B$43)-(B1811)&lt;=0,1,MAX(0,IF(Inputs!$B$38="pvp",15,Inputs!$B$43)-MAX(5,B1811))/(IF(Inputs!$B$38="pvp",15,Inputs!$B$43)-(B1811))))*IF(AND(ArtifactsInput!$M$42,((Inputs!$B$9+((C1792=TRUE)*(F1792-Calc!F19))+B1804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1783*(MIN(100,(Inputs!$B$9+((C1792=TRUE)*(F1792-Calc!F19))+B1804+(ArtifactsInput!$M$24-ArtifactsInput!$M$24)*CHOOSE(ArtifactsInput!$N$24+1,10,12,14,16,18,20)+(IF(AND(Inputs!$B$38&lt;&gt;"pvp",Inputs!$B$43=0),1,IF(IF(Inputs!$B$38="pvp",15,Inputs!$B$43)-(B1811)&lt;=0,1,MAX(0,IF(Inputs!$B$38="pvp",15,Inputs!$B$43)-MAX(5,B1811))/(IF(Inputs!$B$38="pvp",15,Inputs!$B$43)-(B1811))))*IF(AND(ArtifactsInput!$M$42,((Inputs!$B$9+((C1792=TRUE)*(F1792-Calc!F19))+B1804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783">
        <f>IF(C1783,((H1783*B1816)/(1+Skills!H10*H1783*B1816)*N1783)*IF(Inputs!$B$38="pvp",1,(1+(Inputs!$B$21+Skills!Q10+(IF(ArtifactsInput!$M$33,CHOOSE(ArtifactsInput!$N$33+1,30,36,42,48,54,60),0))+(IF(AND(ArtifactsInput!$M$35,Inputs!$B$4&lt;&gt;"Chapter Hunt"),CHOOSE(ArtifactsInput!$N$35+1,15,18,21,24,27,30)*(1-EXP(-(0.2*B1806)*5)),0)+IF(AND(ArtifactsInput!$M$22,Inputs!$B$4&lt;&gt;"Chapter Hunt"),CHOOSE(ArtifactsInput!$N$22+1,10,12,14,16,18,20)*((0*(((0.15*B1806*5))^0/1)+1*(((0.15*B1806*5))^1/1)+2*(((0.15*B1806*5))^2/2)+3*(((0.15*B1806*5))^3/6)+4*(((0.15*B1806*5))^4/24)+5*(((0.15*B1806*5))^5/120))/((((0.15*B1806*5))^0/1)+(((0.15*B1806*5))^1/1)+(((0.15*B1806*5))^2/2)+(((0.15*B1806*5))^3/6)+(((0.15*B1806*5))^4/24)+(((0.15*B1806*5))^5/120))),0))+IF(Inputs!$B$3&gt;=54,9*(C1776=TRUE)*MIN(1,8*(1+Inputs!$B$34/100)*Q1776),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84">
      <c r="A1784">
        <f>Skills!A11</f>
        <v/>
      </c>
      <c r="B1784">
        <f>Skills!B11</f>
        <v/>
      </c>
      <c r="C1784">
        <f>Inputs!$B$3&gt;=117</f>
        <v/>
      </c>
      <c r="D1784">
        <f>IF(Skills!C11=1,60+Inputs!$B$25+Inputs!$B$29,IF(Skills!C11=2,90+Inputs!$B$26+Inputs!$B$29,IF(Skills!C11=3,120+Inputs!$B$27+Inputs!$B$29,MAX(0,(Inputs!$B$3-100)*3)+Inputs!$B$28+Inputs!$B$29)))</f>
        <v/>
      </c>
      <c r="E1784">
        <f>INDEX(FactorTable!$B$2:$Y$301, MATCH(ROUND(MIN(300,MAX(1,D1784)),0), FactorTable!$A$2:$A$301,0), Skills!M11+1)</f>
        <v/>
      </c>
      <c r="F1784">
        <f>IF(Skills!N11=TRUE,(Skills!L11/10)*(E1784/1000),Skills!L11/10)+Skills!O11</f>
        <v/>
      </c>
      <c r="G1784">
        <f>Skills!G11*IF(Skills!H11&gt;0,INT(IF(Inputs!$B$38="pvp",MIN(Skills!I11,15),Skills!I11)/Skills!H11+0.000000001),1)</f>
        <v/>
      </c>
      <c r="H1784">
        <f>1-(1-Skills!J11/100)^Skills!K11</f>
        <v/>
      </c>
      <c r="I1784" t="inlineStr">
        <is>
          <t>1</t>
        </is>
      </c>
      <c r="J1784">
        <f>((Inputs!$B$6*(1+Inputs!$B$7/100))+(((Inputs!$B$12*(1+Inputs!$B$13/100))-(Inputs!$B$12*(1+Inputs!$B$13/100)))+0.25*(Inputs!$B$14-Inputs!$B$14))*(1+Inputs!$B$7/100))*(F1784/100)</f>
        <v/>
      </c>
      <c r="K1784">
        <f>J1784*(1+((Inputs!$B$12*(1+Inputs!$B$13/100))*0.01+Inputs!$B$14*0.0025)/100)*(1+Inputs!$B$15/100)*(1+Inputs!$B$16/100)*(5000/(6000+Inputs!$B$42*(1-(100*(1-(1-(Inputs!$B$19+0)/100)*(1-CHOOSE(ArtifactsInput!$N$40+1,5,6,7,8,9,10)/100)^(ArtifactsInput!$M$40-ArtifactsInput!$M$40)))/100)))*(1+(Inputs!$B$24+((C1799=TRUE)*(F1799-Calc!F26))+B1810)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IGHT_LEGS_EASTON",Inputs!$B$17+((C1796=TRUE)*(F1796-Calc!F23))+((C1800=TRUE)*(F1800-Calc!F27))+((IF(AND(Inputs!$B$38&lt;&gt;"pvp",Inputs!$B$43=0),1,IF(IF(Inputs!$B$38="pvp",15,Inputs!$B$43)-(B1811)&lt;=0,1,MAX(0,IF(Inputs!$B$38="pvp",15,Inputs!$B$43)-MAX(5,B1811))/(IF(Inputs!$B$38="pvp",15,Inputs!$B$43)-(B1811))))*(IF(AND(ArtifactsInput!$M$42,((Inputs!$B$9+((C1792=TRUE)*(F1792-Calc!F19))+B1804+(ArtifactsInput!$M$24-ArtifactsInput!$M$24)*CHOOSE(ArtifactsInput!$N$24+1,10,12,14,16,18,20)+IF(ArtifactsInput!$M$10,CHOOSE(ArtifactsInput!$N$10+1,15,18,21,24,27,30)*(IF(Inputs!$B$38="pvp",MIN(15,15)/15,IF(AND(Inputs!$B$38&lt;&gt;"pvp",Inputs!$B$43&gt;0),MIN(15,Inputs!$B$43)/(Inputs!$B$43),0))),0)))&gt;=100),MIN(100,((Inputs!$B$9+((C1792=TRUE)*(F1792-Calc!F19))+B1804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1811)&lt;=0,1,MAX(0,IF(Inputs!$B$38="pvp",15,Inputs!$B$43)-MAX(5,B1811))/(IF(Inputs!$B$38="pvp",15,Inputs!$B$43)-(B1811))))*IF(AND(ArtifactsInput!$M$42,((Inputs!$B$9+((C1792=TRUE)*(F1792-Calc!F19))+B1804+(ArtifactsInput!$M$24-ArtifactsInput!$M$24)*CHOOSE(ArtifactsInput!$N$24+1,10,12,14,16,18,20)+IF(ArtifactsInput!$M$10,CHOOSE(ArtifactsInput!$N$10+1,15,18,21,24,27,30)*(IF(Inputs!$B$38="pvp",MIN(15,15)/15,IF(AND(Inputs!$B$38&lt;&gt;"pvp",Inputs!$B$43&gt;0),MIN(15,Inputs!$B$43)/(Inputs!$B$43),0))),0)))&gt;=100),CHOOSE(ArtifactsInput!$N$42+1,40,48,56,64,72,80),0))))/100)*((1+(((C1790=TRUE)*F1790*5/7)+((C1797=TRUE)*(F1797-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1784)</f>
        <v/>
      </c>
      <c r="L1784">
        <f>K1784*(MIN(Inputs!$B$22+((C1795=TRUE)*(F1795-Calc!F22)),(Inputs!$B$23+0+(IF(ArtifactsInput!$M$15,CHOOSE(ArtifactsInput!$N$15+1,25,30,35,40,45,50)/100*(Inputs!$B$11-Inputs!$B$11),0))))/100+(Inputs!$B$23+0+(IF(ArtifactsInput!$M$15,CHOOSE(ArtifactsInput!$N$15+1,25,30,35,40,45,50)/100*(Inputs!$B$11-Inputs!$B$11),0)))/100)/2</f>
        <v/>
      </c>
      <c r="M1784">
        <f>L1784*(1+(Inputs!$B$10+((C1798=TRUE)*(F1798-Calc!F25))+B1809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84">
        <f>L1784*(1-MIN((Inputs!$B$9+((C1792=TRUE)*(F1792-Calc!F19))+B1804+(ArtifactsInput!$M$24-ArtifactsInput!$M$24)*CHOOSE(ArtifactsInput!$N$24+1,10,12,14,16,18,20)+(IF(AND(Inputs!$B$38&lt;&gt;"pvp",Inputs!$B$43=0),1,IF(IF(Inputs!$B$38="pvp",15,Inputs!$B$43)-(B1811)&lt;=0,1,MAX(0,IF(Inputs!$B$38="pvp",15,Inputs!$B$43)-MAX(5,B1811))/(IF(Inputs!$B$38="pvp",15,Inputs!$B$43)-(B1811))))*IF(AND(ArtifactsInput!$M$42,((Inputs!$B$9+((C1792=TRUE)*(F1792-Calc!F19))+B1804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1784*(MIN((Inputs!$B$9+((C1792=TRUE)*(F1792-Calc!F19))+B1804+(ArtifactsInput!$M$24-ArtifactsInput!$M$24)*CHOOSE(ArtifactsInput!$N$24+1,10,12,14,16,18,20)+(IF(AND(Inputs!$B$38&lt;&gt;"pvp",Inputs!$B$43=0),1,IF(IF(Inputs!$B$38="pvp",15,Inputs!$B$43)-(B1811)&lt;=0,1,MAX(0,IF(Inputs!$B$38="pvp",15,Inputs!$B$43)-MAX(5,B1811))/(IF(Inputs!$B$38="pvp",15,Inputs!$B$43)-(B1811))))*IF(AND(ArtifactsInput!$M$42,((Inputs!$B$9+((C1792=TRUE)*(F1792-Calc!F19))+B1804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84">
        <f>(1-Summary!$B$11)*T1784+Summary!$B$11*V1784</f>
        <v/>
      </c>
      <c r="P1784">
        <f>IF(B1814=0,0,O1784/B1814)</f>
        <v/>
      </c>
      <c r="Q1784">
        <f>IFERROR(1/((IF(Inputs!$B$38="pvp",15,MAX(0.1,Skills!D11-IF(TRUE=TRUE,Inputs!$B$32,0)))*(1-IF(AND(ArtifactsInput!$M$27,Inputs!$B$4="Chapter Hunt"),CHOOSE(ArtifactsInput!$N$27+1,20,24,28,32,36,40),0)/100))/B1815),0)</f>
        <v/>
      </c>
      <c r="R1784">
        <f>IF(AND(Inputs!$B$38&lt;&gt;"pvp",Inputs!$B$43&gt;0),IF(MAX(0,Inputs!$B$43-B1811)&lt;=0,0,(INT(MAX(0,Inputs!$B$43-B1811)/((IF(Inputs!$B$38="pvp",15,MAX(0.1,Skills!D11-IF(TRUE=TRUE,Inputs!$B$32,0)))*(1-IF(AND(ArtifactsInput!$M$27,Inputs!$B$4="Chapter Hunt"),CHOOSE(ArtifactsInput!$N$27+1,20,24,28,32,36,40),0)/100))/B1815))+1)),0)</f>
        <v/>
      </c>
      <c r="S1784">
        <f>IFERROR(O1784/N1784,0)</f>
        <v/>
      </c>
      <c r="T1784">
        <f>IF(C1784,(H1784*N1784*IF(AND(Inputs!$B$38&lt;&gt;"pvp",Inputs!$B$43&gt;0),((Skills!G11*((R1784-1)*IF(Skills!H11&gt;0,INT(Skills!I11/Skills!H11+0.000000001),1)+IF(Skills!H11&gt;0,INT(MIN(Skills!I11,MAX(0,MAX(0,Inputs!$B$43-B1811)-((R1784-1)*((IF(Inputs!$B$38="pvp",15,MAX(0.1,Skills!D11-IF(TRUE=TRUE,Inputs!$B$32,0)))*(1-IF(AND(ArtifactsInput!$M$27,Inputs!$B$4="Chapter Hunt"),CHOOSE(ArtifactsInput!$N$27+1,20,24,28,32,36,40),0)/100))/B1815))))/Skills!H11+0.000000001),1)))/Inputs!$B$43),G1784*Q1784))*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Hunt"),CHOOSE(ArtifactsInput!$N$35+1,15,18,21,24,27,30)*(1-EXP(-(0.2*B1806)*5)),0)+IF(AND(ArtifactsInput!$M$22,Inputs!$B$4&lt;&gt;"Chapter Hunt"),CHOOSE(ArtifactsInput!$N$22+1,10,12,14,16,18,20)*((0*(((0.15*B1806*5))^0/1)+1*(((0.15*B1806*5))^1/1)+2*(((0.15*B1806*5))^2/2)+3*(((0.15*B1806*5))^3/6)+4*(((0.15*B1806*5))^4/24)+5*(((0.15*B1806*5))^5/120))/((((0.15*B1806*5))^0/1)+(((0.15*B1806*5))^1/1)+(((0.15*B1806*5))^2/2)+(((0.15*B1806*5))^3/6)+(((0.15*B1806*5))^4/24)+(((0.15*B1806*5))^5/120))),0))+IF(Inputs!$B$3&gt;=54,9*(C1776=TRUE)*MIN(1,8*(1+Inputs!$B$34/100)*Q1776)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1784*(1-MIN(100,(Inputs!$B$9+((C1792=TRUE)*(F1792-Calc!F19))+B1804+(ArtifactsInput!$M$24-ArtifactsInput!$M$24)*CHOOSE(ArtifactsInput!$N$24+1,10,12,14,16,18,20)+(IF(AND(Inputs!$B$38&lt;&gt;"pvp",Inputs!$B$43=0),1,IF(IF(Inputs!$B$38="pvp",15,Inputs!$B$43)-(B1811)&lt;=0,1,MAX(0,IF(Inputs!$B$38="pvp",15,Inputs!$B$43)-MAX(5,B1811))/(IF(Inputs!$B$38="pvp",15,Inputs!$B$43)-(B1811))))*IF(AND(ArtifactsInput!$M$42,((Inputs!$B$9+((C1792=TRUE)*(F1792-Calc!F19))+B1804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1784*(MIN(100,(Inputs!$B$9+((C1792=TRUE)*(F1792-Calc!F19))+B1804+(ArtifactsInput!$M$24-ArtifactsInput!$M$24)*CHOOSE(ArtifactsInput!$N$24+1,10,12,14,16,18,20)+(IF(AND(Inputs!$B$38&lt;&gt;"pvp",Inputs!$B$43=0),1,IF(IF(Inputs!$B$38="pvp",15,Inputs!$B$43)-(B1811)&lt;=0,1,MAX(0,IF(Inputs!$B$38="pvp",15,Inputs!$B$43)-MAX(5,B1811))/(IF(Inputs!$B$38="pvp",15,Inputs!$B$43)-(B1811))))*IF(AND(ArtifactsInput!$M$42,((Inputs!$B$9+((C1792=TRUE)*(F1792-Calc!F19))+B1804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1784*(1-MIN(100,(Inputs!$B$9+((C1792=TRUE)*(F1792-Calc!F19))+B1804+(ArtifactsInput!$M$24-ArtifactsInput!$M$24)*CHOOSE(ArtifactsInput!$N$24+1,10,12,14,16,18,20)+(IF(AND(Inputs!$B$38&lt;&gt;"pvp",Inputs!$B$43=0),1,IF(IF(Inputs!$B$38="pvp",15,Inputs!$B$43)-(B1811)&lt;=0,1,MAX(0,IF(Inputs!$B$38="pvp",15,Inputs!$B$43)-MAX(5,B1811))/(IF(Inputs!$B$38="pvp",15,Inputs!$B$43)-(B1811))))*IF(AND(ArtifactsInput!$M$42,((Inputs!$B$9+((C1792=TRUE)*(F1792-Calc!F19))+B1804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1784*(MIN(100,(Inputs!$B$9+((C1792=TRUE)*(F1792-Calc!F19))+B1804+(ArtifactsInput!$M$24-ArtifactsInput!$M$24)*CHOOSE(ArtifactsInput!$N$24+1,10,12,14,16,18,20)+(IF(AND(Inputs!$B$38&lt;&gt;"pvp",Inputs!$B$43=0),1,IF(IF(Inputs!$B$38="pvp",15,Inputs!$B$43)-(B1811)&lt;=0,1,MAX(0,IF(Inputs!$B$38="pvp",15,Inputs!$B$43)-MAX(5,B1811))/(IF(Inputs!$B$38="pvp",15,Inputs!$B$43)-(B1811))))*IF(AND(ArtifactsInput!$M$42,((Inputs!$B$9+((C1792=TRUE)*(F1792-Calc!F19))+B1804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784">
        <f>IF(C1784,(H1784*N1784*IF(AND(Inputs!$B$38&lt;&gt;"pvp",Inputs!$B$43&gt;0),((Skills!G11*((R1784-1)*IF(Skills!H11&gt;0,INT(Skills!I11/Skills!H11+0.000000001),1)+IF(Skills!H11&gt;0,INT(MIN(Skills!I11,MAX(0,MAX(0,Inputs!$B$43-B1811)-((R1784-1)*((IF(Inputs!$B$38="pvp",15,MAX(0.1,Skills!D11-IF(TRUE=TRUE,Inputs!$B$32,0)))*(1-IF(AND(ArtifactsInput!$M$27,Inputs!$B$4="Chapter Hunt"),CHOOSE(ArtifactsInput!$N$27+1,20,24,28,32,36,40),0)/100))/B1815))))/Skills!H11+0.000000001),1)))/Inputs!$B$43),G1784*Q1784))*IF(Inputs!$B$38="pvp",1,(1+(Inputs!$B$21+Skills!Q11+(IF(ArtifactsInput!$M$33,CHOOSE(ArtifactsInput!$N$33+1,30,36,42,48,54,60),0))+(IF(AND(ArtifactsInput!$M$35,Inputs!$B$4&lt;&gt;"Chapter Hunt"),CHOOSE(ArtifactsInput!$N$35+1,15,18,21,24,27,30)*(1-EXP(-(0.2*B1806)*5)),0)+IF(AND(ArtifactsInput!$M$22,Inputs!$B$4&lt;&gt;"Chapter Hunt"),CHOOSE(ArtifactsInput!$N$22+1,10,12,14,16,18,20)*((0*(((0.15*B1806*5))^0/1)+1*(((0.15*B1806*5))^1/1)+2*(((0.15*B1806*5))^2/2)+3*(((0.15*B1806*5))^3/6)+4*(((0.15*B1806*5))^4/24)+5*(((0.15*B1806*5))^5/120))/((((0.15*B1806*5))^0/1)+(((0.15*B1806*5))^1/1)+(((0.15*B1806*5))^2/2)+(((0.15*B1806*5))^3/6)+(((0.15*B1806*5))^4/24)+(((0.15*B1806*5))^5/120))),0))+IF(Inputs!$B$3&gt;=54,9*(C1776=TRUE)*MIN(1,8*(1+Inputs!$B$34/100)*Q1776),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85">
      <c r="A1785">
        <f>Skills!A12</f>
        <v/>
      </c>
      <c r="B1785">
        <f>Skills!B12</f>
        <v/>
      </c>
      <c r="C1785">
        <f>Inputs!$B$3&gt;=110</f>
        <v/>
      </c>
      <c r="D1785">
        <f>IF(Skills!C12=1,60+Inputs!$B$25+Inputs!$B$29,IF(Skills!C12=2,90+Inputs!$B$26+Inputs!$B$29,IF(Skills!C12=3,120+Inputs!$B$27+Inputs!$B$29,MAX(0,(Inputs!$B$3-100)*3)+Inputs!$B$28+Inputs!$B$29)))</f>
        <v/>
      </c>
      <c r="E1785">
        <f>INDEX(FactorTable!$B$2:$Y$301, MATCH(ROUND(MIN(300,MAX(1,D1785)),0), FactorTable!$A$2:$A$301,0), Skills!M12+1)</f>
        <v/>
      </c>
      <c r="F1785">
        <f>IF(Skills!N12=TRUE,(Skills!L12/10)*(E1785/1000),Skills!L12/10)+Skills!O12</f>
        <v/>
      </c>
      <c r="G1785">
        <f>Skills!G12*IF(Skills!H12&gt;0,INT(IF(Inputs!$B$38="pvp",MIN(Skills!I12,15),Skills!I12)/Skills!H12+0.000000001),1)</f>
        <v/>
      </c>
      <c r="H1785">
        <f>1-(1-Skills!J12/100)^Skills!K12</f>
        <v/>
      </c>
      <c r="I1785" t="inlineStr">
        <is>
          <t>1</t>
        </is>
      </c>
      <c r="J1785">
        <f>((Inputs!$B$6*(1+Inputs!$B$7/100))+(((Inputs!$B$12*(1+Inputs!$B$13/100))-(Inputs!$B$12*(1+Inputs!$B$13/100)))+0.25*(Inputs!$B$14-Inputs!$B$14))*(1+Inputs!$B$7/100))*(F1785/100)</f>
        <v/>
      </c>
      <c r="K1785">
        <f>J1785*(1+((Inputs!$B$12*(1+Inputs!$B$13/100))*0.01+Inputs!$B$14*0.0025)/100)*(1+Inputs!$B$15/100)*(1+Inputs!$B$16/100)*(5000/(6000+Inputs!$B$42*(1-(100*(1-(1-(Inputs!$B$19+0)/100)*(1-CHOOSE(ArtifactsInput!$N$40+1,5,6,7,8,9,10)/100)^(ArtifactsInput!$M$40-ArtifactsInput!$M$40)))/100)))*(1+(Inputs!$B$24+((C1799=TRUE)*(F1799-Calc!F26))+B1810)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EIGHT_LEGS_EASTON",Inputs!$B$17+((C1796=TRUE)*(F1796-Calc!F23))+((C1800=TRUE)*(F1800-Calc!F27))+((IF(AND(Inputs!$B$38&lt;&gt;"pvp",Inputs!$B$43=0),1,IF(IF(Inputs!$B$38="pvp",15,Inputs!$B$43)-(B1811)&lt;=0,1,MAX(0,IF(Inputs!$B$38="pvp",15,Inputs!$B$43)-MAX(5,B1811))/(IF(Inputs!$B$38="pvp",15,Inputs!$B$43)-(B1811))))*(IF(AND(ArtifactsInput!$M$42,((Inputs!$B$9+((C1792=TRUE)*(F1792-Calc!F19))+B1804+(ArtifactsInput!$M$24-ArtifactsInput!$M$24)*CHOOSE(ArtifactsInput!$N$24+1,10,12,14,16,18,20)+IF(ArtifactsInput!$M$10,CHOOSE(ArtifactsInput!$N$10+1,15,18,21,24,27,30)*(IF(Inputs!$B$38="pvp",MIN(15,15)/15,IF(AND(Inputs!$B$38&lt;&gt;"pvp",Inputs!$B$43&gt;0),MIN(15,Inputs!$B$43)/(Inputs!$B$43),0))),0)))&gt;=100),MIN(100,((Inputs!$B$9+((C1792=TRUE)*(F1792-Calc!F19))+B1804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1811)&lt;=0,1,MAX(0,IF(Inputs!$B$38="pvp",15,Inputs!$B$43)-MAX(5,B1811))/(IF(Inputs!$B$38="pvp",15,Inputs!$B$43)-(B1811))))*IF(AND(ArtifactsInput!$M$42,((Inputs!$B$9+((C1792=TRUE)*(F1792-Calc!F19))+B1804+(ArtifactsInput!$M$24-ArtifactsInput!$M$24)*CHOOSE(ArtifactsInput!$N$24+1,10,12,14,16,18,20)+IF(ArtifactsInput!$M$10,CHOOSE(ArtifactsInput!$N$10+1,15,18,21,24,27,30)*(IF(Inputs!$B$38="pvp",MIN(15,15)/15,IF(AND(Inputs!$B$38&lt;&gt;"pvp",Inputs!$B$43&gt;0),MIN(15,Inputs!$B$43)/(Inputs!$B$43),0))),0)))&gt;=100),CHOOSE(ArtifactsInput!$N$42+1,40,48,56,64,72,80),0))))/100)*((1+(((C1790=TRUE)*F1790*5/7)+((C1797=TRUE)*(F1797-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1785)</f>
        <v/>
      </c>
      <c r="L1785">
        <f>K1785*(MIN(Inputs!$B$22+((C1795=TRUE)*(F1795-Calc!F22)),(Inputs!$B$23+0+(IF(ArtifactsInput!$M$15,CHOOSE(ArtifactsInput!$N$15+1,25,30,35,40,45,50)/100*(Inputs!$B$11-Inputs!$B$11),0))))/100+(Inputs!$B$23+0+(IF(ArtifactsInput!$M$15,CHOOSE(ArtifactsInput!$N$15+1,25,30,35,40,45,50)/100*(Inputs!$B$11-Inputs!$B$11),0)))/100)/2</f>
        <v/>
      </c>
      <c r="M1785">
        <f>L1785*(1+(Inputs!$B$10+((C1798=TRUE)*(F1798-Calc!F25))+B1809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85">
        <f>L1785*(1-MIN((Inputs!$B$9+((C1792=TRUE)*(F1792-Calc!F19))+B1804+(ArtifactsInput!$M$24-ArtifactsInput!$M$24)*CHOOSE(ArtifactsInput!$N$24+1,10,12,14,16,18,20)+(IF(AND(Inputs!$B$38&lt;&gt;"pvp",Inputs!$B$43=0),1,IF(IF(Inputs!$B$38="pvp",15,Inputs!$B$43)-(B1811)&lt;=0,1,MAX(0,IF(Inputs!$B$38="pvp",15,Inputs!$B$43)-MAX(5,B1811))/(IF(Inputs!$B$38="pvp",15,Inputs!$B$43)-(B1811))))*IF(AND(ArtifactsInput!$M$42,((Inputs!$B$9+((C1792=TRUE)*(F1792-Calc!F19))+B1804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1785*(MIN((Inputs!$B$9+((C1792=TRUE)*(F1792-Calc!F19))+B1804+(ArtifactsInput!$M$24-ArtifactsInput!$M$24)*CHOOSE(ArtifactsInput!$N$24+1,10,12,14,16,18,20)+(IF(AND(Inputs!$B$38&lt;&gt;"pvp",Inputs!$B$43=0),1,IF(IF(Inputs!$B$38="pvp",15,Inputs!$B$43)-(B1811)&lt;=0,1,MAX(0,IF(Inputs!$B$38="pvp",15,Inputs!$B$43)-MAX(5,B1811))/(IF(Inputs!$B$38="pvp",15,Inputs!$B$43)-(B1811))))*IF(AND(ArtifactsInput!$M$42,((Inputs!$B$9+((C1792=TRUE)*(F1792-Calc!F19))+B1804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85">
        <f>(1-Summary!$B$11)*T1785+Summary!$B$11*V1785</f>
        <v/>
      </c>
      <c r="P1785">
        <f>IF(B1814=0,0,O1785/B1814)</f>
        <v/>
      </c>
      <c r="Q1785">
        <f>IFERROR(1/(IF(Inputs!$B$38="pvp",15,MAX(0.1,Skills!D12-IF(TRUE=TRUE,Inputs!$B$32,0)))*(1-IF(AND(ArtifactsInput!$M$27,Inputs!$B$4="Chapter Hunt"),CHOOSE(ArtifactsInput!$N$27+1,20,24,28,32,36,40),0)/100)),0)</f>
        <v/>
      </c>
      <c r="R1785">
        <f>IF(AND(Inputs!$B$38&lt;&gt;"pvp",Inputs!$B$43&gt;0),IF(MAX(0,Inputs!$B$43-B1811)&lt;=0,0,(INT(MAX(0,Inputs!$B$43-B1811)/(IF(Inputs!$B$38="pvp",15,MAX(0.1,Skills!D12-IF(TRUE=TRUE,Inputs!$B$32,0)))*(1-IF(AND(ArtifactsInput!$M$27,Inputs!$B$4="Chapter Hunt"),CHOOSE(ArtifactsInput!$N$27+1,20,24,28,32,36,40),0)/100)))+1)),0)</f>
        <v/>
      </c>
      <c r="S1785">
        <f>IFERROR(O1785/N1785,0)</f>
        <v/>
      </c>
      <c r="T1785">
        <f>IF(C1785,(H1785*N1785*IF(AND(Inputs!$B$38&lt;&gt;"pvp",Inputs!$B$43&gt;0),((Skills!G12*((R1785-1)*IF(Skills!H12&gt;0,INT(Skills!I12/Skills!H12+0.000000001),1)+IF(Skills!H12&gt;0,INT(MIN(Skills!I12,MAX(0,MAX(0,Inputs!$B$43-B1811)-((R1785-1)*(IF(Inputs!$B$38="pvp",15,MAX(0.1,Skills!D12-IF(TRUE=TRUE,Inputs!$B$32,0)))*(1-IF(AND(ArtifactsInput!$M$27,Inputs!$B$4="Chapter Hunt"),CHOOSE(ArtifactsInput!$N$27+1,20,24,28,32,36,40),0)/100)))))/Skills!H12+0.000000001),1)))/Inputs!$B$43),G1785*Q1785))*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Hunt"),CHOOSE(ArtifactsInput!$N$35+1,15,18,21,24,27,30)*(1-EXP(-(0.2*B1806)*5)),0)+IF(AND(ArtifactsInput!$M$22,Inputs!$B$4&lt;&gt;"Chapter Hunt"),CHOOSE(ArtifactsInput!$N$22+1,10,12,14,16,18,20)*((0*(((0.15*B1806*5))^0/1)+1*(((0.15*B1806*5))^1/1)+2*(((0.15*B1806*5))^2/2)+3*(((0.15*B1806*5))^3/6)+4*(((0.15*B1806*5))^4/24)+5*(((0.15*B1806*5))^5/120))/((((0.15*B1806*5))^0/1)+(((0.15*B1806*5))^1/1)+(((0.15*B1806*5))^2/2)+(((0.15*B1806*5))^3/6)+(((0.15*B1806*5))^4/24)+(((0.15*B1806*5))^5/120))),0))+IF(Inputs!$B$3&gt;=54,9*(C1776=TRUE)*MIN(1,8*(1+Inputs!$B$34/100)*Q1776)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1785*(1-MIN(100,(Inputs!$B$9+((C1792=TRUE)*(F1792-Calc!F19))+B1804+(ArtifactsInput!$M$24-ArtifactsInput!$M$24)*CHOOSE(ArtifactsInput!$N$24+1,10,12,14,16,18,20)+(IF(AND(Inputs!$B$38&lt;&gt;"pvp",Inputs!$B$43=0),1,IF(IF(Inputs!$B$38="pvp",15,Inputs!$B$43)-(B1811)&lt;=0,1,MAX(0,IF(Inputs!$B$38="pvp",15,Inputs!$B$43)-MAX(5,B1811))/(IF(Inputs!$B$38="pvp",15,Inputs!$B$43)-(B1811))))*IF(AND(ArtifactsInput!$M$42,((Inputs!$B$9+((C1792=TRUE)*(F1792-Calc!F19))+B1804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1785*(MIN(100,(Inputs!$B$9+((C1792=TRUE)*(F1792-Calc!F19))+B1804+(ArtifactsInput!$M$24-ArtifactsInput!$M$24)*CHOOSE(ArtifactsInput!$N$24+1,10,12,14,16,18,20)+(IF(AND(Inputs!$B$38&lt;&gt;"pvp",Inputs!$B$43=0),1,IF(IF(Inputs!$B$38="pvp",15,Inputs!$B$43)-(B1811)&lt;=0,1,MAX(0,IF(Inputs!$B$38="pvp",15,Inputs!$B$43)-MAX(5,B1811))/(IF(Inputs!$B$38="pvp",15,Inputs!$B$43)-(B1811))))*IF(AND(ArtifactsInput!$M$42,((Inputs!$B$9+((C1792=TRUE)*(F1792-Calc!F19))+B1804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1785*(1-MIN(100,(Inputs!$B$9+((C1792=TRUE)*(F1792-Calc!F19))+B1804+(ArtifactsInput!$M$24-ArtifactsInput!$M$24)*CHOOSE(ArtifactsInput!$N$24+1,10,12,14,16,18,20)+(IF(AND(Inputs!$B$38&lt;&gt;"pvp",Inputs!$B$43=0),1,IF(IF(Inputs!$B$38="pvp",15,Inputs!$B$43)-(B1811)&lt;=0,1,MAX(0,IF(Inputs!$B$38="pvp",15,Inputs!$B$43)-MAX(5,B1811))/(IF(Inputs!$B$38="pvp",15,Inputs!$B$43)-(B1811))))*IF(AND(ArtifactsInput!$M$42,((Inputs!$B$9+((C1792=TRUE)*(F1792-Calc!F19))+B1804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1785*(MIN(100,(Inputs!$B$9+((C1792=TRUE)*(F1792-Calc!F19))+B1804+(ArtifactsInput!$M$24-ArtifactsInput!$M$24)*CHOOSE(ArtifactsInput!$N$24+1,10,12,14,16,18,20)+(IF(AND(Inputs!$B$38&lt;&gt;"pvp",Inputs!$B$43=0),1,IF(IF(Inputs!$B$38="pvp",15,Inputs!$B$43)-(B1811)&lt;=0,1,MAX(0,IF(Inputs!$B$38="pvp",15,Inputs!$B$43)-MAX(5,B1811))/(IF(Inputs!$B$38="pvp",15,Inputs!$B$43)-(B1811))))*IF(AND(ArtifactsInput!$M$42,((Inputs!$B$9+((C1792=TRUE)*(F1792-Calc!F19))+B1804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785">
        <f>IF(C1785,(H1785*N1785*IF(AND(Inputs!$B$38&lt;&gt;"pvp",Inputs!$B$43&gt;0),((Skills!G12*((R1785-1)*IF(Skills!H12&gt;0,INT(Skills!I12/Skills!H12+0.000000001),1)+IF(Skills!H12&gt;0,INT(MIN(Skills!I12,MAX(0,MAX(0,Inputs!$B$43-B1811)-((R1785-1)*(IF(Inputs!$B$38="pvp",15,MAX(0.1,Skills!D12-IF(TRUE=TRUE,Inputs!$B$32,0)))*(1-IF(AND(ArtifactsInput!$M$27,Inputs!$B$4="Chapter Hunt"),CHOOSE(ArtifactsInput!$N$27+1,20,24,28,32,36,40),0)/100)))))/Skills!H12+0.000000001),1)))/Inputs!$B$43),G1785*Q1785))*IF(Inputs!$B$38="pvp",1,(1+(Inputs!$B$21+Skills!Q12+(IF(ArtifactsInput!$M$33,CHOOSE(ArtifactsInput!$N$33+1,30,36,42,48,54,60),0))+(IF(AND(ArtifactsInput!$M$35,Inputs!$B$4&lt;&gt;"Chapter Hunt"),CHOOSE(ArtifactsInput!$N$35+1,15,18,21,24,27,30)*(1-EXP(-(0.2*B1806)*5)),0)+IF(AND(ArtifactsInput!$M$22,Inputs!$B$4&lt;&gt;"Chapter Hunt"),CHOOSE(ArtifactsInput!$N$22+1,10,12,14,16,18,20)*((0*(((0.15*B1806*5))^0/1)+1*(((0.15*B1806*5))^1/1)+2*(((0.15*B1806*5))^2/2)+3*(((0.15*B1806*5))^3/6)+4*(((0.15*B1806*5))^4/24)+5*(((0.15*B1806*5))^5/120))/((((0.15*B1806*5))^0/1)+(((0.15*B1806*5))^1/1)+(((0.15*B1806*5))^2/2)+(((0.15*B1806*5))^3/6)+(((0.15*B1806*5))^4/24)+(((0.15*B1806*5))^5/120))),0))+IF(Inputs!$B$3&gt;=54,9*(C1776=TRUE)*MIN(1,8*(1+Inputs!$B$34/100)*Q1776),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86">
      <c r="A1786">
        <f>Skills!A13</f>
        <v/>
      </c>
      <c r="B1786">
        <f>Skills!B13</f>
        <v/>
      </c>
      <c r="C1786">
        <f>Inputs!$B$3&gt;=110</f>
        <v/>
      </c>
      <c r="D1786">
        <f>IF(Skills!C13=1,60+Inputs!$B$25+Inputs!$B$29,IF(Skills!C13=2,90+Inputs!$B$26+Inputs!$B$29,IF(Skills!C13=3,120+Inputs!$B$27+Inputs!$B$29,MAX(0,(Inputs!$B$3-100)*3)+Inputs!$B$28+Inputs!$B$29)))</f>
        <v/>
      </c>
      <c r="E1786">
        <f>INDEX(FactorTable!$B$2:$Y$301, MATCH(ROUND(MIN(300,MAX(1,D1786)),0), FactorTable!$A$2:$A$301,0), Skills!M13+1)</f>
        <v/>
      </c>
      <c r="F1786">
        <f>IF(Skills!N13=TRUE,(Skills!L13/10)*(E1786/1000),Skills!L13/10)+Skills!O13</f>
        <v/>
      </c>
      <c r="G1786">
        <f>Skills!G13*IF(Skills!H13&gt;0,INT(IF(Inputs!$B$38="pvp",MIN(Skills!I13,15),Skills!I13)/Skills!H13+0.000000001),1)</f>
        <v/>
      </c>
      <c r="H1786">
        <f>1-(1-Skills!J13/100)^Skills!K13</f>
        <v/>
      </c>
      <c r="I1786" t="inlineStr">
        <is>
          <t>1</t>
        </is>
      </c>
      <c r="J1786">
        <f>((Inputs!$B$6*(1+Inputs!$B$7/100))+(((Inputs!$B$12*(1+Inputs!$B$13/100))-(Inputs!$B$12*(1+Inputs!$B$13/100)))+0.25*(Inputs!$B$14-Inputs!$B$14))*(1+Inputs!$B$7/100))*(F1786/100)</f>
        <v/>
      </c>
      <c r="K1786">
        <f>J1786*(1+((Inputs!$B$12*(1+Inputs!$B$13/100))*0.01+Inputs!$B$14*0.0025)/100)*(1+Inputs!$B$15/100)*(1+Inputs!$B$16/100)*(5000/(6000+Inputs!$B$42*(1-(100*(1-(1-(Inputs!$B$19+0)/100)*(1-CHOOSE(ArtifactsInput!$N$40+1,5,6,7,8,9,10)/100)^(ArtifactsInput!$M$40-ArtifactsInput!$M$40)))/100)))*(1+(Inputs!$B$24+((C1799=TRUE)*(F1799-Calc!F26))+B1810)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EIGHT_LEGS_EASTON",Inputs!$B$17+((C1796=TRUE)*(F1796-Calc!F23))+((C1800=TRUE)*(F1800-Calc!F27))+((IF(AND(Inputs!$B$38&lt;&gt;"pvp",Inputs!$B$43=0),1,IF(IF(Inputs!$B$38="pvp",15,Inputs!$B$43)-(B1811)&lt;=0,1,MAX(0,IF(Inputs!$B$38="pvp",15,Inputs!$B$43)-MAX(5,B1811))/(IF(Inputs!$B$38="pvp",15,Inputs!$B$43)-(B1811))))*(IF(AND(ArtifactsInput!$M$42,((Inputs!$B$9+((C1792=TRUE)*(F1792-Calc!F19))+B1804+(ArtifactsInput!$M$24-ArtifactsInput!$M$24)*CHOOSE(ArtifactsInput!$N$24+1,10,12,14,16,18,20)+IF(ArtifactsInput!$M$10,CHOOSE(ArtifactsInput!$N$10+1,15,18,21,24,27,30)*(IF(Inputs!$B$38="pvp",MIN(15,15)/15,IF(AND(Inputs!$B$38&lt;&gt;"pvp",Inputs!$B$43&gt;0),MIN(15,Inputs!$B$43)/(Inputs!$B$43),0))),0)))&gt;=100),MIN(100,((Inputs!$B$9+((C1792=TRUE)*(F1792-Calc!F19))+B1804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1811)&lt;=0,1,MAX(0,IF(Inputs!$B$38="pvp",15,Inputs!$B$43)-MAX(5,B1811))/(IF(Inputs!$B$38="pvp",15,Inputs!$B$43)-(B1811))))*IF(AND(ArtifactsInput!$M$42,((Inputs!$B$9+((C1792=TRUE)*(F1792-Calc!F19))+B1804+(ArtifactsInput!$M$24-ArtifactsInput!$M$24)*CHOOSE(ArtifactsInput!$N$24+1,10,12,14,16,18,20)+IF(ArtifactsInput!$M$10,CHOOSE(ArtifactsInput!$N$10+1,15,18,21,24,27,30)*(IF(Inputs!$B$38="pvp",MIN(15,15)/15,IF(AND(Inputs!$B$38&lt;&gt;"pvp",Inputs!$B$43&gt;0),MIN(15,Inputs!$B$43)/(Inputs!$B$43),0))),0)))&gt;=100),CHOOSE(ArtifactsInput!$N$42+1,40,48,56,64,72,80),0))))/100)*((1+(((C1790=TRUE)*F1790*5/7)+((C1797=TRUE)*(F1797-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1786)</f>
        <v/>
      </c>
      <c r="L1786">
        <f>K1786*(MIN(Inputs!$B$22+((C1795=TRUE)*(F1795-Calc!F22)),(Inputs!$B$23+0+(IF(ArtifactsInput!$M$15,CHOOSE(ArtifactsInput!$N$15+1,25,30,35,40,45,50)/100*(Inputs!$B$11-Inputs!$B$11),0))))/100+(Inputs!$B$23+0+(IF(ArtifactsInput!$M$15,CHOOSE(ArtifactsInput!$N$15+1,25,30,35,40,45,50)/100*(Inputs!$B$11-Inputs!$B$11),0)))/100)/2</f>
        <v/>
      </c>
      <c r="M1786">
        <f>L1786*(1+(Inputs!$B$10+((C1798=TRUE)*(F1798-Calc!F25))+B1809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86">
        <f>L1786*(1-MIN((Inputs!$B$9+((C1792=TRUE)*(F1792-Calc!F19))+B1804+(ArtifactsInput!$M$24-ArtifactsInput!$M$24)*CHOOSE(ArtifactsInput!$N$24+1,10,12,14,16,18,20)+(IF(AND(Inputs!$B$38&lt;&gt;"pvp",Inputs!$B$43=0),1,IF(IF(Inputs!$B$38="pvp",15,Inputs!$B$43)-(B1811)&lt;=0,1,MAX(0,IF(Inputs!$B$38="pvp",15,Inputs!$B$43)-MAX(5,B1811))/(IF(Inputs!$B$38="pvp",15,Inputs!$B$43)-(B1811))))*IF(AND(ArtifactsInput!$M$42,((Inputs!$B$9+((C1792=TRUE)*(F1792-Calc!F19))+B1804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1786*(MIN((Inputs!$B$9+((C1792=TRUE)*(F1792-Calc!F19))+B1804+(ArtifactsInput!$M$24-ArtifactsInput!$M$24)*CHOOSE(ArtifactsInput!$N$24+1,10,12,14,16,18,20)+(IF(AND(Inputs!$B$38&lt;&gt;"pvp",Inputs!$B$43=0),1,IF(IF(Inputs!$B$38="pvp",15,Inputs!$B$43)-(B1811)&lt;=0,1,MAX(0,IF(Inputs!$B$38="pvp",15,Inputs!$B$43)-MAX(5,B1811))/(IF(Inputs!$B$38="pvp",15,Inputs!$B$43)-(B1811))))*IF(AND(ArtifactsInput!$M$42,((Inputs!$B$9+((C1792=TRUE)*(F1792-Calc!F19))+B1804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86">
        <f>(1-Summary!$B$11)*T1786+Summary!$B$11*V1786</f>
        <v/>
      </c>
      <c r="P1786">
        <f>IF(B1814=0,0,O1786/B1814)</f>
        <v/>
      </c>
      <c r="Q1786">
        <f>IFERROR(1/(IF(Inputs!$B$38="pvp",15,MAX(0.1,Skills!D13-IF(TRUE=TRUE,Inputs!$B$32,0)))*(1-IF(AND(ArtifactsInput!$M$27,Inputs!$B$4="Chapter Hunt"),CHOOSE(ArtifactsInput!$N$27+1,20,24,28,32,36,40),0)/100)),0)</f>
        <v/>
      </c>
      <c r="R1786">
        <f>IF(AND(Inputs!$B$38&lt;&gt;"pvp",Inputs!$B$43&gt;0),IF(MAX(0,Inputs!$B$43-B1811)&lt;=0,0,(INT(MAX(0,Inputs!$B$43-B1811)/(IF(Inputs!$B$38="pvp",15,MAX(0.1,Skills!D13-IF(TRUE=TRUE,Inputs!$B$32,0)))*(1-IF(AND(ArtifactsInput!$M$27,Inputs!$B$4="Chapter Hunt"),CHOOSE(ArtifactsInput!$N$27+1,20,24,28,32,36,40),0)/100)))+1)),0)</f>
        <v/>
      </c>
      <c r="S1786">
        <f>IFERROR(O1786/N1786,0)</f>
        <v/>
      </c>
      <c r="T1786">
        <f>IF(C1786,(H1786*N1786*IF(AND(Inputs!$B$38&lt;&gt;"pvp",Inputs!$B$43&gt;0),((Skills!G13*((R1786-1)*IF(Skills!H13&gt;0,INT(Skills!I13/Skills!H13+0.000000001),1)+IF(Skills!H13&gt;0,INT(MIN(Skills!I13,MAX(0,MAX(0,Inputs!$B$43-B1811)-((R1786-1)*(IF(Inputs!$B$38="pvp",15,MAX(0.1,Skills!D13-IF(TRUE=TRUE,Inputs!$B$32,0)))*(1-IF(AND(ArtifactsInput!$M$27,Inputs!$B$4="Chapter Hunt"),CHOOSE(ArtifactsInput!$N$27+1,20,24,28,32,36,40),0)/100)))))/Skills!H13+0.000000001),1)))/Inputs!$B$43),G1786*Q1786))*IF(Inputs!$B$38="pvp",1,1+(Inputs!$B$20+0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Hunt"),CHOOSE(ArtifactsInput!$N$35+1,15,18,21,24,27,30)*(1-EXP(-(0.2*B1806)*5)),0)+IF(AND(ArtifactsInput!$M$22,Inputs!$B$4&lt;&gt;"Chapter Hunt"),CHOOSE(ArtifactsInput!$N$22+1,10,12,14,16,18,20)*((0*(((0.15*B1806*5))^0/1)+1*(((0.15*B1806*5))^1/1)+2*(((0.15*B1806*5))^2/2)+3*(((0.15*B1806*5))^3/6)+4*(((0.15*B1806*5))^4/24)+5*(((0.15*B1806*5))^5/120))/((((0.15*B1806*5))^0/1)+(((0.15*B1806*5))^1/1)+(((0.15*B1806*5))^2/2)+(((0.15*B1806*5))^3/6)+(((0.15*B1806*5))^4/24)+(((0.15*B1806*5))^5/120))),0))+IF(Inputs!$B$3&gt;=54,9*(C1776=TRUE)*MIN(1,8*(1+Inputs!$B$34/100)*Q1776)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1786*(1-MIN(100,(Inputs!$B$9+((C1792=TRUE)*(F1792-Calc!F19))+B1804+(ArtifactsInput!$M$24-ArtifactsInput!$M$24)*CHOOSE(ArtifactsInput!$N$24+1,10,12,14,16,18,20)+(IF(AND(Inputs!$B$38&lt;&gt;"pvp",Inputs!$B$43=0),1,IF(IF(Inputs!$B$38="pvp",15,Inputs!$B$43)-(B1811)&lt;=0,1,MAX(0,IF(Inputs!$B$38="pvp",15,Inputs!$B$43)-MAX(5,B1811))/(IF(Inputs!$B$38="pvp",15,Inputs!$B$43)-(B1811))))*IF(AND(ArtifactsInput!$M$42,((Inputs!$B$9+((C1792=TRUE)*(F1792-Calc!F19))+B1804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1786*(MIN(100,(Inputs!$B$9+((C1792=TRUE)*(F1792-Calc!F19))+B1804+(ArtifactsInput!$M$24-ArtifactsInput!$M$24)*CHOOSE(ArtifactsInput!$N$24+1,10,12,14,16,18,20)+(IF(AND(Inputs!$B$38&lt;&gt;"pvp",Inputs!$B$43=0),1,IF(IF(Inputs!$B$38="pvp",15,Inputs!$B$43)-(B1811)&lt;=0,1,MAX(0,IF(Inputs!$B$38="pvp",15,Inputs!$B$43)-MAX(5,B1811))/(IF(Inputs!$B$38="pvp",15,Inputs!$B$43)-(B1811))))*IF(AND(ArtifactsInput!$M$42,((Inputs!$B$9+((C1792=TRUE)*(F1792-Calc!F19))+B1804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1786*(1-MIN(100,(Inputs!$B$9+((C1792=TRUE)*(F1792-Calc!F19))+B1804+(ArtifactsInput!$M$24-ArtifactsInput!$M$24)*CHOOSE(ArtifactsInput!$N$24+1,10,12,14,16,18,20)+(IF(AND(Inputs!$B$38&lt;&gt;"pvp",Inputs!$B$43=0),1,IF(IF(Inputs!$B$38="pvp",15,Inputs!$B$43)-(B1811)&lt;=0,1,MAX(0,IF(Inputs!$B$38="pvp",15,Inputs!$B$43)-MAX(5,B1811))/(IF(Inputs!$B$38="pvp",15,Inputs!$B$43)-(B1811))))*IF(AND(ArtifactsInput!$M$42,((Inputs!$B$9+((C1792=TRUE)*(F1792-Calc!F19))+B1804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1786*(MIN(100,(Inputs!$B$9+((C1792=TRUE)*(F1792-Calc!F19))+B1804+(ArtifactsInput!$M$24-ArtifactsInput!$M$24)*CHOOSE(ArtifactsInput!$N$24+1,10,12,14,16,18,20)+(IF(AND(Inputs!$B$38&lt;&gt;"pvp",Inputs!$B$43=0),1,IF(IF(Inputs!$B$38="pvp",15,Inputs!$B$43)-(B1811)&lt;=0,1,MAX(0,IF(Inputs!$B$38="pvp",15,Inputs!$B$43)-MAX(5,B1811))/(IF(Inputs!$B$38="pvp",15,Inputs!$B$43)-(B1811))))*IF(AND(ArtifactsInput!$M$42,((Inputs!$B$9+((C1792=TRUE)*(F1792-Calc!F19))+B1804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786">
        <f>IF(C1786,(H1786*N1786*IF(AND(Inputs!$B$38&lt;&gt;"pvp",Inputs!$B$43&gt;0),((Skills!G13*((R1786-1)*IF(Skills!H13&gt;0,INT(Skills!I13/Skills!H13+0.000000001),1)+IF(Skills!H13&gt;0,INT(MIN(Skills!I13,MAX(0,MAX(0,Inputs!$B$43-B1811)-((R1786-1)*(IF(Inputs!$B$38="pvp",15,MAX(0.1,Skills!D13-IF(TRUE=TRUE,Inputs!$B$32,0)))*(1-IF(AND(ArtifactsInput!$M$27,Inputs!$B$4="Chapter Hunt"),CHOOSE(ArtifactsInput!$N$27+1,20,24,28,32,36,40),0)/100)))))/Skills!H13+0.000000001),1)))/Inputs!$B$43),G1786*Q1786))*IF(Inputs!$B$38="pvp",1,(1+(Inputs!$B$21+Skills!Q13+(IF(ArtifactsInput!$M$33,CHOOSE(ArtifactsInput!$N$33+1,30,36,42,48,54,60),0))+(IF(AND(ArtifactsInput!$M$35,Inputs!$B$4&lt;&gt;"Chapter Hunt"),CHOOSE(ArtifactsInput!$N$35+1,15,18,21,24,27,30)*(1-EXP(-(0.2*B1806)*5)),0)+IF(AND(ArtifactsInput!$M$22,Inputs!$B$4&lt;&gt;"Chapter Hunt"),CHOOSE(ArtifactsInput!$N$22+1,10,12,14,16,18,20)*((0*(((0.15*B1806*5))^0/1)+1*(((0.15*B1806*5))^1/1)+2*(((0.15*B1806*5))^2/2)+3*(((0.15*B1806*5))^3/6)+4*(((0.15*B1806*5))^4/24)+5*(((0.15*B1806*5))^5/120))/((((0.15*B1806*5))^0/1)+(((0.15*B1806*5))^1/1)+(((0.15*B1806*5))^2/2)+(((0.15*B1806*5))^3/6)+(((0.15*B1806*5))^4/24)+(((0.15*B1806*5))^5/120))),0))+IF(Inputs!$B$3&gt;=54,9*(C1776=TRUE)*MIN(1,8*(1+Inputs!$B$34/100)*Q1776),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87">
      <c r="A1787">
        <f>Skills!A14</f>
        <v/>
      </c>
      <c r="B1787">
        <f>Skills!B14</f>
        <v/>
      </c>
      <c r="C1787">
        <f>Inputs!$B$3&gt;=120</f>
        <v/>
      </c>
      <c r="D1787">
        <f>IF(Skills!C14=1,60+Inputs!$B$25+Inputs!$B$29,IF(Skills!C14=2,90+Inputs!$B$26+Inputs!$B$29,IF(Skills!C14=3,120+Inputs!$B$27+Inputs!$B$29,MAX(0,(Inputs!$B$3-100)*3)+Inputs!$B$28+Inputs!$B$29)))</f>
        <v/>
      </c>
      <c r="E1787">
        <f>INDEX(FactorTable!$B$2:$Y$301, MATCH(ROUND(MIN(300,MAX(1,D1787)),0), FactorTable!$A$2:$A$301,0), Skills!M14+1)</f>
        <v/>
      </c>
      <c r="F1787">
        <f>IF(Skills!N14=TRUE,(Skills!L14/10)*(E1787/1000),Skills!L14/10)+Skills!O14</f>
        <v/>
      </c>
      <c r="G1787">
        <f>Skills!G14*IF(Skills!H14&gt;0,INT(IF(Inputs!$B$38="pvp",MIN(Skills!I14,15),Skills!I14)/Skills!H14+0.000000001),1)</f>
        <v/>
      </c>
      <c r="H1787">
        <f>1-(1-Skills!J14/100)^Skills!K14</f>
        <v/>
      </c>
      <c r="I1787" t="inlineStr">
        <is>
          <t>1</t>
        </is>
      </c>
      <c r="J1787">
        <f>((Inputs!$B$6*(1+Inputs!$B$7/100))+(((Inputs!$B$12*(1+Inputs!$B$13/100))-(Inputs!$B$12*(1+Inputs!$B$13/100)))+0.25*(Inputs!$B$14-Inputs!$B$14))*(1+Inputs!$B$7/100))*(F1787/100)</f>
        <v/>
      </c>
      <c r="K1787">
        <f>J1787*(1+((Inputs!$B$12*(1+Inputs!$B$13/100))*0.01+Inputs!$B$14*0.0025)/100)*(1+Inputs!$B$15/100)*(1+Inputs!$B$16/100)*(5000/(6000+Inputs!$B$42*(1-(100*(1-(1-(Inputs!$B$19+0)/100)*(1-CHOOSE(ArtifactsInput!$N$40+1,5,6,7,8,9,10)/100)^(ArtifactsInput!$M$40-ArtifactsInput!$M$40)))/100)))*(1+(Inputs!$B$24+((C1799=TRUE)*(F1799-Calc!F26))+B1810)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EIGHT_LEGS_EASTON",Inputs!$B$17+((C1796=TRUE)*(F1796-Calc!F23))+((C1800=TRUE)*(F1800-Calc!F27))+((IF(AND(Inputs!$B$38&lt;&gt;"pvp",Inputs!$B$43=0),1,IF(IF(Inputs!$B$38="pvp",15,Inputs!$B$43)-(B1811)&lt;=0,1,MAX(0,IF(Inputs!$B$38="pvp",15,Inputs!$B$43)-MAX(5,B1811))/(IF(Inputs!$B$38="pvp",15,Inputs!$B$43)-(B1811))))*(IF(AND(ArtifactsInput!$M$42,((Inputs!$B$9+((C1792=TRUE)*(F1792-Calc!F19))+B1804+(ArtifactsInput!$M$24-ArtifactsInput!$M$24)*CHOOSE(ArtifactsInput!$N$24+1,10,12,14,16,18,20)+IF(ArtifactsInput!$M$10,CHOOSE(ArtifactsInput!$N$10+1,15,18,21,24,27,30)*(IF(Inputs!$B$38="pvp",MIN(15,15)/15,IF(AND(Inputs!$B$38&lt;&gt;"pvp",Inputs!$B$43&gt;0),MIN(15,Inputs!$B$43)/(Inputs!$B$43),0))),0)))&gt;=100),MIN(100,((Inputs!$B$9+((C1792=TRUE)*(F1792-Calc!F19))+B1804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1811)&lt;=0,1,MAX(0,IF(Inputs!$B$38="pvp",15,Inputs!$B$43)-MAX(5,B1811))/(IF(Inputs!$B$38="pvp",15,Inputs!$B$43)-(B1811))))*IF(AND(ArtifactsInput!$M$42,((Inputs!$B$9+((C1792=TRUE)*(F1792-Calc!F19))+B1804+(ArtifactsInput!$M$24-ArtifactsInput!$M$24)*CHOOSE(ArtifactsInput!$N$24+1,10,12,14,16,18,20)+IF(ArtifactsInput!$M$10,CHOOSE(ArtifactsInput!$N$10+1,15,18,21,24,27,30)*(IF(Inputs!$B$38="pvp",MIN(15,15)/15,IF(AND(Inputs!$B$38&lt;&gt;"pvp",Inputs!$B$43&gt;0),MIN(15,Inputs!$B$43)/(Inputs!$B$43),0))),0)))&gt;=100),CHOOSE(ArtifactsInput!$N$42+1,40,48,56,64,72,80),0))))/100)*((1+(((C1790=TRUE)*F1790*5/7)+((C1797=TRUE)*(F1797-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1787)</f>
        <v/>
      </c>
      <c r="L1787">
        <f>K1787*(MIN(Inputs!$B$22+((C1795=TRUE)*(F1795-Calc!F22)),(Inputs!$B$23+0+(IF(ArtifactsInput!$M$15,CHOOSE(ArtifactsInput!$N$15+1,25,30,35,40,45,50)/100*(Inputs!$B$11-Inputs!$B$11),0))))/100+(Inputs!$B$23+0+(IF(ArtifactsInput!$M$15,CHOOSE(ArtifactsInput!$N$15+1,25,30,35,40,45,50)/100*(Inputs!$B$11-Inputs!$B$11),0)))/100)/2</f>
        <v/>
      </c>
      <c r="M1787">
        <f>L1787*(1+(Inputs!$B$10+((C1798=TRUE)*(F1798-Calc!F25))+B1809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87">
        <f>L1787*(1-MIN((Inputs!$B$9+((C1792=TRUE)*(F1792-Calc!F19))+B1804+(ArtifactsInput!$M$24-ArtifactsInput!$M$24)*CHOOSE(ArtifactsInput!$N$24+1,10,12,14,16,18,20)+(IF(AND(Inputs!$B$38&lt;&gt;"pvp",Inputs!$B$43=0),1,IF(IF(Inputs!$B$38="pvp",15,Inputs!$B$43)-(B1811)&lt;=0,1,MAX(0,IF(Inputs!$B$38="pvp",15,Inputs!$B$43)-MAX(5,B1811))/(IF(Inputs!$B$38="pvp",15,Inputs!$B$43)-(B1811))))*IF(AND(ArtifactsInput!$M$42,((Inputs!$B$9+((C1792=TRUE)*(F1792-Calc!F19))+B1804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1787*(MIN((Inputs!$B$9+((C1792=TRUE)*(F1792-Calc!F19))+B1804+(ArtifactsInput!$M$24-ArtifactsInput!$M$24)*CHOOSE(ArtifactsInput!$N$24+1,10,12,14,16,18,20)+(IF(AND(Inputs!$B$38&lt;&gt;"pvp",Inputs!$B$43=0),1,IF(IF(Inputs!$B$38="pvp",15,Inputs!$B$43)-(B1811)&lt;=0,1,MAX(0,IF(Inputs!$B$38="pvp",15,Inputs!$B$43)-MAX(5,B1811))/(IF(Inputs!$B$38="pvp",15,Inputs!$B$43)-(B1811))))*IF(AND(ArtifactsInput!$M$42,((Inputs!$B$9+((C1792=TRUE)*(F1792-Calc!F19))+B1804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87">
        <f>(1-Summary!$B$11)*T1787+Summary!$B$11*V1787</f>
        <v/>
      </c>
      <c r="P1787">
        <f>IF(B1814=0,0,O1787/B1814)</f>
        <v/>
      </c>
      <c r="Q1787" t="n">
        <v>0</v>
      </c>
      <c r="R1787" t="n">
        <v>0</v>
      </c>
      <c r="S1787">
        <f>IFERROR(O1787/N1787,0)</f>
        <v/>
      </c>
      <c r="T1787">
        <f>IF(C1787,((H1787*(B1808+IF(AND(Inputs!$B$38&lt;&gt;"pvp",Inputs!$B$43&gt;0),((Skills!G8*((R1781-1)*IF(Skills!H8&gt;0,INT(Skills!I8/Skills!H8+0.000000001),1)+IF(Skills!H8&gt;0,INT(MIN(Skills!I8,MAX(0,MAX(0,Inputs!$B$43-B1811)-((R1781-1)*((IF(Inputs!$B$38="pvp",15,MAX(0.1,Skills!D8-IF(TRUE=TRUE,Inputs!$B$32,0)))*(1-IF(AND(ArtifactsInput!$M$27,Inputs!$B$4="Chapter Hunt"),CHOOSE(ArtifactsInput!$N$27+1,20,24,28,32,36,40),0)/100))/B1815))))/Skills!H8+0.000000001),1)))/Inputs!$B$43),G1781*Q1781)+IF(AND(Inputs!$B$38&lt;&gt;"pvp",Inputs!$B$43&gt;0),((Skills!G11*((R1784-1)*IF(Skills!H11&gt;0,INT(Skills!I11/Skills!H11+0.000000001),1)+IF(Skills!H11&gt;0,INT(MIN(Skills!I11,MAX(0,MAX(0,Inputs!$B$43-B1811)-((R1784-1)*((IF(Inputs!$B$38="pvp",15,MAX(0.1,Skills!D11-IF(TRUE=TRUE,Inputs!$B$32,0)))*(1-IF(AND(ArtifactsInput!$M$27,Inputs!$B$4="Chapter Hunt"),CHOOSE(ArtifactsInput!$N$27+1,20,24,28,32,36,40),0)/100))/B1815))))/Skills!H11+0.000000001),1)))/Inputs!$B$43),G1784*Q1784)))/(1+Skills!H14*H1787*(B1808+IF(AND(Inputs!$B$38&lt;&gt;"pvp",Inputs!$B$43&gt;0),((Skills!G8*((R1781-1)*IF(Skills!H8&gt;0,INT(Skills!I8/Skills!H8+0.000000001),1)+IF(Skills!H8&gt;0,INT(MIN(Skills!I8,MAX(0,MAX(0,Inputs!$B$43-B1811)-((R1781-1)*((IF(Inputs!$B$38="pvp",15,MAX(0.1,Skills!D8-IF(TRUE=TRUE,Inputs!$B$32,0)))*(1-IF(AND(ArtifactsInput!$M$27,Inputs!$B$4="Chapter Hunt"),CHOOSE(ArtifactsInput!$N$27+1,20,24,28,32,36,40),0)/100))/B1815))))/Skills!H8+0.000000001),1)))/Inputs!$B$43),G1781*Q1781)+IF(AND(Inputs!$B$38&lt;&gt;"pvp",Inputs!$B$43&gt;0),((Skills!G11*((R1784-1)*IF(Skills!H11&gt;0,INT(Skills!I11/Skills!H11+0.000000001),1)+IF(Skills!H11&gt;0,INT(MIN(Skills!I11,MAX(0,MAX(0,Inputs!$B$43-B1811)-((R1784-1)*((IF(Inputs!$B$38="pvp",15,MAX(0.1,Skills!D11-IF(TRUE=TRUE,Inputs!$B$32,0)))*(1-IF(AND(ArtifactsInput!$M$27,Inputs!$B$4="Chapter Hunt"),CHOOSE(ArtifactsInput!$N$27+1,20,24,28,32,36,40),0)/100))/B1815))))/Skills!H11+0.000000001),1)))/Inputs!$B$43),G1784*Q1784)))*N1787)*IF(Inputs!$B$38="pvp",1,1+(Inputs!$B$20+0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Hunt"),CHOOSE(ArtifactsInput!$N$35+1,15,18,21,24,27,30)*(1-EXP(-(0.2*B1806)*5)),0)+IF(AND(ArtifactsInput!$M$22,Inputs!$B$4&lt;&gt;"Chapter Hunt"),CHOOSE(ArtifactsInput!$N$22+1,10,12,14,16,18,20)*((0*(((0.15*B1806*5))^0/1)+1*(((0.15*B1806*5))^1/1)+2*(((0.15*B1806*5))^2/2)+3*(((0.15*B1806*5))^3/6)+4*(((0.15*B1806*5))^4/24)+5*(((0.15*B1806*5))^5/120))/((((0.15*B1806*5))^0/1)+(((0.15*B1806*5))^1/1)+(((0.15*B1806*5))^2/2)+(((0.15*B1806*5))^3/6)+(((0.15*B1806*5))^4/24)+(((0.15*B1806*5))^5/120))),0))+IF(Inputs!$B$3&gt;=54,9*(C1776=TRUE)*MIN(1,8*(1+Inputs!$B$34/100)*Q1776)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1787*(1-MIN(100,(Inputs!$B$9+((C1792=TRUE)*(F1792-Calc!F19))+B1804+(ArtifactsInput!$M$24-ArtifactsInput!$M$24)*CHOOSE(ArtifactsInput!$N$24+1,10,12,14,16,18,20)+(IF(AND(Inputs!$B$38&lt;&gt;"pvp",Inputs!$B$43=0),1,IF(IF(Inputs!$B$38="pvp",15,Inputs!$B$43)-(B1811)&lt;=0,1,MAX(0,IF(Inputs!$B$38="pvp",15,Inputs!$B$43)-MAX(5,B1811))/(IF(Inputs!$B$38="pvp",15,Inputs!$B$43)-(B1811))))*IF(AND(ArtifactsInput!$M$42,((Inputs!$B$9+((C1792=TRUE)*(F1792-Calc!F19))+B1804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1787*(MIN(100,(Inputs!$B$9+((C1792=TRUE)*(F1792-Calc!F19))+B1804+(ArtifactsInput!$M$24-ArtifactsInput!$M$24)*CHOOSE(ArtifactsInput!$N$24+1,10,12,14,16,18,20)+(IF(AND(Inputs!$B$38&lt;&gt;"pvp",Inputs!$B$43=0),1,IF(IF(Inputs!$B$38="pvp",15,Inputs!$B$43)-(B1811)&lt;=0,1,MAX(0,IF(Inputs!$B$38="pvp",15,Inputs!$B$43)-MAX(5,B1811))/(IF(Inputs!$B$38="pvp",15,Inputs!$B$43)-(B1811))))*IF(AND(ArtifactsInput!$M$42,((Inputs!$B$9+((C1792=TRUE)*(F1792-Calc!F19))+B1804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1787*(1-MIN(100,(Inputs!$B$9+((C1792=TRUE)*(F1792-Calc!F19))+B1804+(ArtifactsInput!$M$24-ArtifactsInput!$M$24)*CHOOSE(ArtifactsInput!$N$24+1,10,12,14,16,18,20)+(IF(AND(Inputs!$B$38&lt;&gt;"pvp",Inputs!$B$43=0),1,IF(IF(Inputs!$B$38="pvp",15,Inputs!$B$43)-(B1811)&lt;=0,1,MAX(0,IF(Inputs!$B$38="pvp",15,Inputs!$B$43)-MAX(5,B1811))/(IF(Inputs!$B$38="pvp",15,Inputs!$B$43)-(B1811))))*IF(AND(ArtifactsInput!$M$42,((Inputs!$B$9+((C1792=TRUE)*(F1792-Calc!F19))+B1804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1787*(MIN(100,(Inputs!$B$9+((C1792=TRUE)*(F1792-Calc!F19))+B1804+(ArtifactsInput!$M$24-ArtifactsInput!$M$24)*CHOOSE(ArtifactsInput!$N$24+1,10,12,14,16,18,20)+(IF(AND(Inputs!$B$38&lt;&gt;"pvp",Inputs!$B$43=0),1,IF(IF(Inputs!$B$38="pvp",15,Inputs!$B$43)-(B1811)&lt;=0,1,MAX(0,IF(Inputs!$B$38="pvp",15,Inputs!$B$43)-MAX(5,B1811))/(IF(Inputs!$B$38="pvp",15,Inputs!$B$43)-(B1811))))*IF(AND(ArtifactsInput!$M$42,((Inputs!$B$9+((C1792=TRUE)*(F1792-Calc!F19))+B1804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787">
        <f>IF(C1787,((H1787*(B1808+IF(AND(Inputs!$B$38&lt;&gt;"pvp",Inputs!$B$43&gt;0),((Skills!G8*((R1781-1)*IF(Skills!H8&gt;0,INT(Skills!I8/Skills!H8+0.000000001),1)+IF(Skills!H8&gt;0,INT(MIN(Skills!I8,MAX(0,MAX(0,Inputs!$B$43-B1811)-((R1781-1)*((IF(Inputs!$B$38="pvp",15,MAX(0.1,Skills!D8-IF(TRUE=TRUE,Inputs!$B$32,0)))*(1-IF(AND(ArtifactsInput!$M$27,Inputs!$B$4="Chapter Hunt"),CHOOSE(ArtifactsInput!$N$27+1,20,24,28,32,36,40),0)/100))/B1815))))/Skills!H8+0.000000001),1)))/Inputs!$B$43),G1781*Q1781)+IF(AND(Inputs!$B$38&lt;&gt;"pvp",Inputs!$B$43&gt;0),((Skills!G11*((R1784-1)*IF(Skills!H11&gt;0,INT(Skills!I11/Skills!H11+0.000000001),1)+IF(Skills!H11&gt;0,INT(MIN(Skills!I11,MAX(0,MAX(0,Inputs!$B$43-B1811)-((R1784-1)*((IF(Inputs!$B$38="pvp",15,MAX(0.1,Skills!D11-IF(TRUE=TRUE,Inputs!$B$32,0)))*(1-IF(AND(ArtifactsInput!$M$27,Inputs!$B$4="Chapter Hunt"),CHOOSE(ArtifactsInput!$N$27+1,20,24,28,32,36,40),0)/100))/B1815))))/Skills!H11+0.000000001),1)))/Inputs!$B$43),G1784*Q1784)))/(1+Skills!H14*H1787*(B1808+IF(AND(Inputs!$B$38&lt;&gt;"pvp",Inputs!$B$43&gt;0),((Skills!G8*((R1781-1)*IF(Skills!H8&gt;0,INT(Skills!I8/Skills!H8+0.000000001),1)+IF(Skills!H8&gt;0,INT(MIN(Skills!I8,MAX(0,MAX(0,Inputs!$B$43-B1811)-((R1781-1)*((IF(Inputs!$B$38="pvp",15,MAX(0.1,Skills!D8-IF(TRUE=TRUE,Inputs!$B$32,0)))*(1-IF(AND(ArtifactsInput!$M$27,Inputs!$B$4="Chapter Hunt"),CHOOSE(ArtifactsInput!$N$27+1,20,24,28,32,36,40),0)/100))/B1815))))/Skills!H8+0.000000001),1)))/Inputs!$B$43),G1781*Q1781)+IF(AND(Inputs!$B$38&lt;&gt;"pvp",Inputs!$B$43&gt;0),((Skills!G11*((R1784-1)*IF(Skills!H11&gt;0,INT(Skills!I11/Skills!H11+0.000000001),1)+IF(Skills!H11&gt;0,INT(MIN(Skills!I11,MAX(0,MAX(0,Inputs!$B$43-B1811)-((R1784-1)*((IF(Inputs!$B$38="pvp",15,MAX(0.1,Skills!D11-IF(TRUE=TRUE,Inputs!$B$32,0)))*(1-IF(AND(ArtifactsInput!$M$27,Inputs!$B$4="Chapter Hunt"),CHOOSE(ArtifactsInput!$N$27+1,20,24,28,32,36,40),0)/100))/B1815))))/Skills!H11+0.000000001),1)))/Inputs!$B$43),G1784*Q1784)))*N1787)*IF(Inputs!$B$38="pvp",1,(1+(Inputs!$B$21+Skills!Q14+(IF(ArtifactsInput!$M$33,CHOOSE(ArtifactsInput!$N$33+1,30,36,42,48,54,60),0))+(IF(AND(ArtifactsInput!$M$35,Inputs!$B$4&lt;&gt;"Chapter Hunt"),CHOOSE(ArtifactsInput!$N$35+1,15,18,21,24,27,30)*(1-EXP(-(0.2*B1806)*5)),0)+IF(AND(ArtifactsInput!$M$22,Inputs!$B$4&lt;&gt;"Chapter Hunt"),CHOOSE(ArtifactsInput!$N$22+1,10,12,14,16,18,20)*((0*(((0.15*B1806*5))^0/1)+1*(((0.15*B1806*5))^1/1)+2*(((0.15*B1806*5))^2/2)+3*(((0.15*B1806*5))^3/6)+4*(((0.15*B1806*5))^4/24)+5*(((0.15*B1806*5))^5/120))/((((0.15*B1806*5))^0/1)+(((0.15*B1806*5))^1/1)+(((0.15*B1806*5))^2/2)+(((0.15*B1806*5))^3/6)+(((0.15*B1806*5))^4/24)+(((0.15*B1806*5))^5/120))),0))+IF(Inputs!$B$3&gt;=54,9*(C1776=TRUE)*MIN(1,8*(1+Inputs!$B$34/100)*Q1776),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88">
      <c r="A1788">
        <f>Skills!A15</f>
        <v/>
      </c>
      <c r="B1788">
        <f>Skills!B15</f>
        <v/>
      </c>
      <c r="C1788">
        <f>Inputs!$B$3&gt;=100</f>
        <v/>
      </c>
      <c r="D1788">
        <f>IF(Skills!C15=1,60+Inputs!$B$25+Inputs!$B$29,IF(Skills!C15=2,90+Inputs!$B$26+Inputs!$B$29,IF(Skills!C15=3,120+Inputs!$B$27+Inputs!$B$29,MAX(0,(Inputs!$B$3-100)*3)+Inputs!$B$28+Inputs!$B$29)))</f>
        <v/>
      </c>
      <c r="E1788">
        <f>INDEX(FactorTable!$B$2:$Y$301, MATCH(ROUND(MIN(300,MAX(1,D1788)),0), FactorTable!$A$2:$A$301,0), Skills!M15+1)</f>
        <v/>
      </c>
      <c r="F1788">
        <f>IF(Skills!N15=TRUE,(Skills!L15/10)*(E1788/1000),Skills!L15/10)+Skills!O15</f>
        <v/>
      </c>
      <c r="G1788" t="inlineStr"/>
      <c r="H1788" t="inlineStr"/>
      <c r="I1788" t="inlineStr">
        <is>
          <t>1</t>
        </is>
      </c>
      <c r="J1788" t="inlineStr"/>
      <c r="K1788" t="inlineStr"/>
      <c r="L1788" t="inlineStr"/>
      <c r="M1788" t="inlineStr"/>
      <c r="N1788" t="inlineStr"/>
      <c r="O1788" t="inlineStr"/>
      <c r="P1788" t="inlineStr"/>
      <c r="Q1788" t="inlineStr"/>
      <c r="R1788" t="inlineStr"/>
      <c r="S1788" t="inlineStr"/>
    </row>
    <row r="1789">
      <c r="A1789">
        <f>Skills!A16</f>
        <v/>
      </c>
      <c r="B1789">
        <f>Skills!B16</f>
        <v/>
      </c>
      <c r="C1789">
        <f>Inputs!$B$3&gt;=107</f>
        <v/>
      </c>
      <c r="D1789">
        <f>IF(Skills!C16=1,60+Inputs!$B$25+Inputs!$B$29,IF(Skills!C16=2,90+Inputs!$B$26+Inputs!$B$29,IF(Skills!C16=3,120+Inputs!$B$27+Inputs!$B$29,MAX(0,(Inputs!$B$3-100)*3)+Inputs!$B$28+Inputs!$B$29)))</f>
        <v/>
      </c>
      <c r="E1789">
        <f>INDEX(FactorTable!$B$2:$Y$301, MATCH(ROUND(MIN(300,MAX(1,D1789)),0), FactorTable!$A$2:$A$301,0), Skills!M16+1)</f>
        <v/>
      </c>
      <c r="F1789">
        <f>IF(Skills!N16=TRUE,(Skills!L16/10)*(E1789/1000),Skills!L16/10)+Skills!O16</f>
        <v/>
      </c>
      <c r="G1789" t="inlineStr"/>
      <c r="H1789" t="inlineStr"/>
      <c r="I1789" t="inlineStr">
        <is>
          <t>1</t>
        </is>
      </c>
      <c r="J1789" t="inlineStr"/>
      <c r="K1789" t="inlineStr"/>
      <c r="L1789" t="inlineStr"/>
      <c r="M1789" t="inlineStr"/>
      <c r="N1789" t="inlineStr"/>
      <c r="O1789" t="inlineStr"/>
      <c r="P1789" t="inlineStr"/>
      <c r="Q1789" t="inlineStr"/>
      <c r="R1789" t="inlineStr"/>
      <c r="S1789" t="inlineStr"/>
    </row>
    <row r="1790">
      <c r="A1790">
        <f>Skills!A17</f>
        <v/>
      </c>
      <c r="B1790">
        <f>Skills!B17</f>
        <v/>
      </c>
      <c r="C1790">
        <f>Inputs!$B$3&gt;=74</f>
        <v/>
      </c>
      <c r="D1790">
        <f>IF(Skills!C17=1,60+Inputs!$B$25+Inputs!$B$29,IF(Skills!C17=2,90+Inputs!$B$26+Inputs!$B$29,IF(Skills!C17=3,120+Inputs!$B$27+Inputs!$B$29,MAX(0,(Inputs!$B$3-100)*3)+Inputs!$B$28+Inputs!$B$29)))</f>
        <v/>
      </c>
      <c r="E1790">
        <f>INDEX(FactorTable!$B$2:$Y$301, MATCH(ROUND(MIN(300,MAX(1,D1790)),0), FactorTable!$A$2:$A$301,0), Skills!M17+1)</f>
        <v/>
      </c>
      <c r="F1790">
        <f>IF(Skills!N17=TRUE,(Skills!L17/10)*(E1790/1000),Skills!L17/10)+Skills!O17</f>
        <v/>
      </c>
      <c r="G1790">
        <f>Skills!G17*IF(Skills!H17&gt;0,INT(IF(Inputs!$B$38="pvp",MIN(Skills!I17,15),Skills!I17)/Skills!H17+0.000000001),1)</f>
        <v/>
      </c>
      <c r="H1790">
        <f>1-(1-Skills!J17/100)^Skills!K17</f>
        <v/>
      </c>
      <c r="I1790" t="inlineStr">
        <is>
          <t>1</t>
        </is>
      </c>
      <c r="J1790" t="inlineStr"/>
      <c r="K1790" t="inlineStr"/>
      <c r="L1790" t="inlineStr"/>
      <c r="M1790" t="inlineStr"/>
      <c r="N1790" t="inlineStr"/>
      <c r="O1790">
        <f>(1-Summary!$B$11)*T1790+Summary!$B$11*V1790</f>
        <v/>
      </c>
      <c r="P1790">
        <f>IF(B1814=0,0,O1790/B1814)</f>
        <v/>
      </c>
      <c r="Q1790" t="n">
        <v>0</v>
      </c>
      <c r="R1790" t="n">
        <v>0</v>
      </c>
      <c r="S1790">
        <f>IFERROR(O1790/N1790,0)</f>
        <v/>
      </c>
      <c r="T1790" t="n">
        <v>0</v>
      </c>
      <c r="V1790" t="n">
        <v>0</v>
      </c>
    </row>
    <row r="1791">
      <c r="A1791">
        <f>Skills!A18</f>
        <v/>
      </c>
      <c r="B1791">
        <f>Skills!B18</f>
        <v/>
      </c>
      <c r="C1791">
        <f>Inputs!$B$3&gt;=115</f>
        <v/>
      </c>
      <c r="D1791">
        <f>IF(Skills!C18=1,60+Inputs!$B$25+Inputs!$B$29,IF(Skills!C18=2,90+Inputs!$B$26+Inputs!$B$29,IF(Skills!C18=3,120+Inputs!$B$27+Inputs!$B$29,MAX(0,(Inputs!$B$3-100)*3)+Inputs!$B$28+Inputs!$B$29)))</f>
        <v/>
      </c>
      <c r="E1791">
        <f>INDEX(FactorTable!$B$2:$Y$301, MATCH(ROUND(MIN(300,MAX(1,D1791)),0), FactorTable!$A$2:$A$301,0), Skills!M18+1)</f>
        <v/>
      </c>
      <c r="F1791">
        <f>IF(Skills!N18=TRUE,(Skills!L18/10)*(E1791/1000),Skills!L18/10)+Skills!O18</f>
        <v/>
      </c>
      <c r="G1791">
        <f>Skills!G18*IF(Skills!H18&gt;0,INT(IF(Inputs!$B$38="pvp",MIN(Skills!I18,15),Skills!I18)/Skills!H18+0.000000001),1)</f>
        <v/>
      </c>
      <c r="H1791">
        <f>1-(1-Skills!J18/100)^Skills!K18</f>
        <v/>
      </c>
      <c r="I1791" t="inlineStr">
        <is>
          <t>1</t>
        </is>
      </c>
      <c r="J1791" t="inlineStr"/>
      <c r="K1791" t="inlineStr"/>
      <c r="L1791" t="inlineStr"/>
      <c r="M1791" t="inlineStr"/>
      <c r="N1791" t="inlineStr"/>
      <c r="O1791">
        <f>(1-Summary!$B$11)*T1791+Summary!$B$11*V1791</f>
        <v/>
      </c>
      <c r="P1791">
        <f>IF(B1814=0,0,O1791/B1814)</f>
        <v/>
      </c>
      <c r="Q1791">
        <f>IFERROR(1/(IF(Inputs!$B$38="pvp",15,MAX(0.1,Skills!D18-IF(TRUE=TRUE,Inputs!$B$32,0)))*(1-IF(AND(ArtifactsInput!$M$27,Inputs!$B$4="Chapter Hunt"),CHOOSE(ArtifactsInput!$N$27+1,20,24,28,32,36,40),0)/100)),0)</f>
        <v/>
      </c>
      <c r="R1791">
        <f>IF(AND(Inputs!$B$38&lt;&gt;"pvp",Inputs!$B$43&gt;0),IF(Inputs!$B$43&lt;=0,0,(INT(Inputs!$B$43/(IF(Inputs!$B$38="pvp",15,MAX(0.1,Skills!D18-IF(TRUE=TRUE,Inputs!$B$32,0)))*(1-IF(AND(ArtifactsInput!$M$27,Inputs!$B$4="Chapter Hunt"),CHOOSE(ArtifactsInput!$N$27+1,20,24,28,32,36,40),0)/100)))+1)),0)</f>
        <v/>
      </c>
      <c r="S1791">
        <f>IFERROR(O1791/N1791,0)</f>
        <v/>
      </c>
      <c r="T1791" t="n">
        <v>0</v>
      </c>
      <c r="V1791" t="n">
        <v>0</v>
      </c>
    </row>
    <row r="1792">
      <c r="A1792">
        <f>Skills!A19</f>
        <v/>
      </c>
      <c r="B1792">
        <f>Skills!B19</f>
        <v/>
      </c>
      <c r="C1792">
        <f>Inputs!$B$3&gt;=10</f>
        <v/>
      </c>
      <c r="D1792">
        <f>IF(Skills!C19=1,60+Inputs!$B$25+Inputs!$B$29,IF(Skills!C19=2,90+Inputs!$B$26+Inputs!$B$29,IF(Skills!C19=3,120+Inputs!$B$27+Inputs!$B$29,MAX(0,(Inputs!$B$3-100)*3)+Inputs!$B$28+Inputs!$B$29)))</f>
        <v/>
      </c>
      <c r="E1792">
        <f>INDEX(FactorTable!$B$2:$Y$301, MATCH(ROUND(MIN(300,MAX(1,D1792)),0), FactorTable!$A$2:$A$301,0), Skills!M19+1)</f>
        <v/>
      </c>
      <c r="F1792">
        <f>IF(Skills!N19=TRUE,(Skills!L19/10)*(E1792/1000),Skills!L19/10)+Skills!O19</f>
        <v/>
      </c>
      <c r="G1792">
        <f>Skills!G19*IF(Skills!H19&gt;0,INT(IF(Inputs!$B$38="pvp",MIN(Skills!I19,15),Skills!I19)/Skills!H19+0.000000001),1)</f>
        <v/>
      </c>
      <c r="H1792">
        <f>1-(1-Skills!J19/100)^Skills!K19</f>
        <v/>
      </c>
      <c r="I1792" t="inlineStr">
        <is>
          <t>1</t>
        </is>
      </c>
      <c r="J1792" t="inlineStr"/>
      <c r="K1792" t="inlineStr"/>
      <c r="L1792" t="inlineStr"/>
      <c r="M1792" t="inlineStr"/>
      <c r="N1792" t="inlineStr"/>
      <c r="O1792">
        <f>(1-Summary!$B$11)*T1792+Summary!$B$11*V1792</f>
        <v/>
      </c>
      <c r="P1792">
        <f>IF(B1814=0,0,O1792/B1814)</f>
        <v/>
      </c>
      <c r="Q1792" t="n">
        <v>0</v>
      </c>
      <c r="R1792" t="n">
        <v>0</v>
      </c>
      <c r="S1792">
        <f>IFERROR(O1792/N1792,0)</f>
        <v/>
      </c>
      <c r="T1792" t="n">
        <v>0</v>
      </c>
      <c r="V1792" t="n">
        <v>0</v>
      </c>
    </row>
    <row r="1793">
      <c r="A1793">
        <f>Skills!A20</f>
        <v/>
      </c>
      <c r="B1793">
        <f>Skills!B20</f>
        <v/>
      </c>
      <c r="C1793">
        <f>Inputs!$B$3&gt;=15</f>
        <v/>
      </c>
      <c r="D1793">
        <f>IF(Skills!C20=1,60+Inputs!$B$25+Inputs!$B$29,IF(Skills!C20=2,90+Inputs!$B$26+Inputs!$B$29,IF(Skills!C20=3,120+Inputs!$B$27+Inputs!$B$29,MAX(0,(Inputs!$B$3-100)*3)+Inputs!$B$28+Inputs!$B$29)))</f>
        <v/>
      </c>
      <c r="E1793">
        <f>INDEX(FactorTable!$B$2:$Y$301, MATCH(ROUND(MIN(300,MAX(1,D1793)),0), FactorTable!$A$2:$A$301,0), Skills!M20+1)</f>
        <v/>
      </c>
      <c r="F1793">
        <f>IF(Skills!N20=TRUE,(Skills!L20/10)*(E1793/1000),Skills!L20/10)+Skills!O20</f>
        <v/>
      </c>
      <c r="G1793">
        <f>Skills!G20*IF(Skills!H20&gt;0,INT(IF(Inputs!$B$38="pvp",MIN(Skills!I20,15),Skills!I20)/Skills!H20+0.000000001),1)</f>
        <v/>
      </c>
      <c r="H1793">
        <f>1-(1-Skills!J20/100)^Skills!K20</f>
        <v/>
      </c>
      <c r="I1793" t="inlineStr">
        <is>
          <t>1</t>
        </is>
      </c>
      <c r="J1793" t="inlineStr"/>
      <c r="K1793" t="inlineStr"/>
      <c r="L1793" t="inlineStr"/>
      <c r="M1793" t="inlineStr"/>
      <c r="N1793" t="inlineStr"/>
      <c r="O1793">
        <f>(1-Summary!$B$11)*T1793+Summary!$B$11*V1793</f>
        <v/>
      </c>
      <c r="P1793">
        <f>IF(B1814=0,0,O1793/B1814)</f>
        <v/>
      </c>
      <c r="Q1793" t="n">
        <v>0</v>
      </c>
      <c r="R1793" t="n">
        <v>0</v>
      </c>
      <c r="S1793">
        <f>IFERROR(O1793/N1793,0)</f>
        <v/>
      </c>
      <c r="T1793" t="n">
        <v>0</v>
      </c>
      <c r="V1793" t="n">
        <v>0</v>
      </c>
    </row>
    <row r="1794">
      <c r="A1794">
        <f>Skills!A21</f>
        <v/>
      </c>
      <c r="B1794">
        <f>Skills!B21</f>
        <v/>
      </c>
      <c r="C1794">
        <f>Inputs!$B$3&gt;=40</f>
        <v/>
      </c>
      <c r="D1794">
        <f>IF(Skills!C21=1,60+Inputs!$B$25+Inputs!$B$29,IF(Skills!C21=2,90+Inputs!$B$26+Inputs!$B$29,IF(Skills!C21=3,120+Inputs!$B$27+Inputs!$B$29,MAX(0,(Inputs!$B$3-100)*3)+Inputs!$B$28+Inputs!$B$29)))</f>
        <v/>
      </c>
      <c r="E1794">
        <f>INDEX(FactorTable!$B$2:$Y$301, MATCH(ROUND(MIN(300,MAX(1,D1794)),0), FactorTable!$A$2:$A$301,0), Skills!M21+1)</f>
        <v/>
      </c>
      <c r="F1794">
        <f>IF(Skills!N21=TRUE,(Skills!L21/10)*(E1794/1000),Skills!L21/10)+Skills!O21</f>
        <v/>
      </c>
      <c r="G1794">
        <f>Skills!G21*IF(Skills!H21&gt;0,INT(IF(Inputs!$B$38="pvp",MIN(Skills!I21,15),Skills!I21)/Skills!H21+0.000000001),1)</f>
        <v/>
      </c>
      <c r="H1794">
        <f>1-(1-Skills!J21/100)^Skills!K21</f>
        <v/>
      </c>
      <c r="I1794" t="inlineStr">
        <is>
          <t>1</t>
        </is>
      </c>
      <c r="J1794" t="inlineStr"/>
      <c r="K1794" t="inlineStr"/>
      <c r="L1794" t="inlineStr"/>
      <c r="M1794" t="inlineStr"/>
      <c r="N1794" t="inlineStr"/>
      <c r="O1794">
        <f>(1-Summary!$B$11)*T1794+Summary!$B$11*V1794</f>
        <v/>
      </c>
      <c r="P1794">
        <f>IF(B1814=0,0,O1794/B1814)</f>
        <v/>
      </c>
      <c r="Q1794" t="n">
        <v>0</v>
      </c>
      <c r="R1794" t="n">
        <v>0</v>
      </c>
      <c r="S1794">
        <f>IFERROR(O1794/N1794,0)</f>
        <v/>
      </c>
      <c r="T1794" t="n">
        <v>0</v>
      </c>
      <c r="V1794" t="n">
        <v>0</v>
      </c>
    </row>
    <row r="1795">
      <c r="A1795">
        <f>Skills!A22</f>
        <v/>
      </c>
      <c r="B1795">
        <f>Skills!B22</f>
        <v/>
      </c>
      <c r="C1795">
        <f>Inputs!$B$3&gt;=43</f>
        <v/>
      </c>
      <c r="D1795">
        <f>IF(Skills!C22=1,60+Inputs!$B$25+Inputs!$B$29,IF(Skills!C22=2,90+Inputs!$B$26+Inputs!$B$29,IF(Skills!C22=3,120+Inputs!$B$27+Inputs!$B$29,MAX(0,(Inputs!$B$3-100)*3)+Inputs!$B$28+Inputs!$B$29)))</f>
        <v/>
      </c>
      <c r="E1795">
        <f>INDEX(FactorTable!$B$2:$Y$301, MATCH(ROUND(MIN(300,MAX(1,D1795)),0), FactorTable!$A$2:$A$301,0), Skills!M22+1)</f>
        <v/>
      </c>
      <c r="F1795">
        <f>IF(Skills!N22=TRUE,(Skills!L22/10)*(E1795/1000),Skills!L22/10)+Skills!O22</f>
        <v/>
      </c>
      <c r="G1795">
        <f>Skills!G22*IF(Skills!H22&gt;0,INT(IF(Inputs!$B$38="pvp",MIN(Skills!I22,15),Skills!I22)/Skills!H22+0.000000001),1)</f>
        <v/>
      </c>
      <c r="H1795">
        <f>1-(1-Skills!J22/100)^Skills!K22</f>
        <v/>
      </c>
      <c r="I1795" t="inlineStr">
        <is>
          <t>1</t>
        </is>
      </c>
      <c r="J1795" t="inlineStr"/>
      <c r="K1795" t="inlineStr"/>
      <c r="L1795" t="inlineStr"/>
      <c r="M1795" t="inlineStr"/>
      <c r="N1795" t="inlineStr"/>
      <c r="O1795">
        <f>(1-Summary!$B$11)*T1795+Summary!$B$11*V1795</f>
        <v/>
      </c>
      <c r="P1795">
        <f>IF(B1814=0,0,O1795/B1814)</f>
        <v/>
      </c>
      <c r="Q1795" t="n">
        <v>0</v>
      </c>
      <c r="R1795" t="n">
        <v>0</v>
      </c>
      <c r="S1795">
        <f>IFERROR(O1795/N1795,0)</f>
        <v/>
      </c>
      <c r="T1795" t="n">
        <v>0</v>
      </c>
      <c r="V1795" t="n">
        <v>0</v>
      </c>
    </row>
    <row r="1796">
      <c r="A1796">
        <f>Skills!A23</f>
        <v/>
      </c>
      <c r="B1796">
        <f>Skills!B23</f>
        <v/>
      </c>
      <c r="C1796">
        <f>Inputs!$B$3&gt;=38</f>
        <v/>
      </c>
      <c r="D1796">
        <f>IF(Skills!C23=1,60+Inputs!$B$25+Inputs!$B$29,IF(Skills!C23=2,90+Inputs!$B$26+Inputs!$B$29,IF(Skills!C23=3,120+Inputs!$B$27+Inputs!$B$29,MAX(0,(Inputs!$B$3-100)*3)+Inputs!$B$28+Inputs!$B$29)))</f>
        <v/>
      </c>
      <c r="E1796">
        <f>INDEX(FactorTable!$B$2:$Y$301, MATCH(ROUND(MIN(300,MAX(1,D1796)),0), FactorTable!$A$2:$A$301,0), Skills!M23+1)</f>
        <v/>
      </c>
      <c r="F1796">
        <f>IF(Skills!N23=TRUE,(Skills!L23/10)*(E1796/1000),Skills!L23/10)+Skills!O23</f>
        <v/>
      </c>
      <c r="G1796">
        <f>Skills!G23*IF(Skills!H23&gt;0,INT(IF(Inputs!$B$38="pvp",MIN(Skills!I23,15),Skills!I23)/Skills!H23+0.000000001),1)</f>
        <v/>
      </c>
      <c r="H1796">
        <f>1-(1-Skills!J23/100)^Skills!K23</f>
        <v/>
      </c>
      <c r="I1796" t="inlineStr">
        <is>
          <t>1</t>
        </is>
      </c>
      <c r="J1796" t="inlineStr"/>
      <c r="K1796" t="inlineStr"/>
      <c r="L1796" t="inlineStr"/>
      <c r="M1796" t="inlineStr"/>
      <c r="N1796" t="inlineStr"/>
      <c r="O1796">
        <f>(1-Summary!$B$11)*T1796+Summary!$B$11*V1796</f>
        <v/>
      </c>
      <c r="P1796">
        <f>IF(B1814=0,0,O1796/B1814)</f>
        <v/>
      </c>
      <c r="Q1796" t="n">
        <v>0</v>
      </c>
      <c r="R1796" t="n">
        <v>0</v>
      </c>
      <c r="S1796">
        <f>IFERROR(O1796/N1796,0)</f>
        <v/>
      </c>
      <c r="T1796" t="n">
        <v>0</v>
      </c>
      <c r="V1796" t="n">
        <v>0</v>
      </c>
    </row>
    <row r="1797">
      <c r="A1797">
        <f>Skills!A24</f>
        <v/>
      </c>
      <c r="B1797">
        <f>Skills!B24</f>
        <v/>
      </c>
      <c r="C1797">
        <f>Inputs!$B$3&gt;=45</f>
        <v/>
      </c>
      <c r="D1797">
        <f>IF(Skills!C24=1,60+Inputs!$B$25+Inputs!$B$29,IF(Skills!C24=2,90+Inputs!$B$26+Inputs!$B$29,IF(Skills!C24=3,120+Inputs!$B$27+Inputs!$B$29,MAX(0,(Inputs!$B$3-100)*3)+Inputs!$B$28+Inputs!$B$29)))</f>
        <v/>
      </c>
      <c r="E1797">
        <f>INDEX(FactorTable!$B$2:$Y$301, MATCH(ROUND(MIN(300,MAX(1,D1797)),0), FactorTable!$A$2:$A$301,0), Skills!M24+1)</f>
        <v/>
      </c>
      <c r="F1797">
        <f>IF(Skills!N24=TRUE,(Skills!L24/10)*(E1797/1000),Skills!L24/10)+Skills!O24</f>
        <v/>
      </c>
      <c r="G1797">
        <f>Skills!G24*IF(Skills!H24&gt;0,INT(IF(Inputs!$B$38="pvp",MIN(Skills!I24,15),Skills!I24)/Skills!H24+0.000000001),1)</f>
        <v/>
      </c>
      <c r="H1797">
        <f>1-(1-Skills!J24/100)^Skills!K24</f>
        <v/>
      </c>
      <c r="I1797" t="inlineStr">
        <is>
          <t>1</t>
        </is>
      </c>
      <c r="J1797" t="inlineStr"/>
      <c r="K1797" t="inlineStr"/>
      <c r="L1797" t="inlineStr"/>
      <c r="M1797" t="inlineStr"/>
      <c r="N1797" t="inlineStr"/>
      <c r="O1797">
        <f>(1-Summary!$B$11)*T1797+Summary!$B$11*V1797</f>
        <v/>
      </c>
      <c r="P1797">
        <f>IF(B1814=0,0,O1797/B1814)</f>
        <v/>
      </c>
      <c r="Q1797" t="n">
        <v>0</v>
      </c>
      <c r="R1797" t="n">
        <v>0</v>
      </c>
      <c r="S1797">
        <f>IFERROR(O1797/N1797,0)</f>
        <v/>
      </c>
      <c r="T1797" t="n">
        <v>0</v>
      </c>
      <c r="V1797" t="n">
        <v>0</v>
      </c>
    </row>
    <row r="1798">
      <c r="A1798">
        <f>Skills!A25</f>
        <v/>
      </c>
      <c r="B1798">
        <f>Skills!B25</f>
        <v/>
      </c>
      <c r="C1798">
        <f>Inputs!$B$3&gt;=72</f>
        <v/>
      </c>
      <c r="D1798">
        <f>IF(Skills!C25=1,60+Inputs!$B$25+Inputs!$B$29,IF(Skills!C25=2,90+Inputs!$B$26+Inputs!$B$29,IF(Skills!C25=3,120+Inputs!$B$27+Inputs!$B$29,MAX(0,(Inputs!$B$3-100)*3)+Inputs!$B$28+Inputs!$B$29)))</f>
        <v/>
      </c>
      <c r="E1798">
        <f>INDEX(FactorTable!$B$2:$Y$301, MATCH(ROUND(MIN(300,MAX(1,D1798)),0), FactorTable!$A$2:$A$301,0), Skills!M25+1)</f>
        <v/>
      </c>
      <c r="F1798">
        <f>IF(Skills!N25=TRUE,(Skills!L25/10)*(E1798/1000),Skills!L25/10)+Skills!O25</f>
        <v/>
      </c>
      <c r="G1798">
        <f>Skills!G25*IF(Skills!H25&gt;0,INT(IF(Inputs!$B$38="pvp",MIN(Skills!I25,15),Skills!I25)/Skills!H25+0.000000001),1)</f>
        <v/>
      </c>
      <c r="H1798">
        <f>1-(1-Skills!J25/100)^Skills!K25</f>
        <v/>
      </c>
      <c r="I1798" t="inlineStr">
        <is>
          <t>1</t>
        </is>
      </c>
      <c r="J1798" t="inlineStr"/>
      <c r="K1798" t="inlineStr"/>
      <c r="L1798" t="inlineStr"/>
      <c r="M1798" t="inlineStr"/>
      <c r="N1798" t="inlineStr"/>
      <c r="O1798">
        <f>(1-Summary!$B$11)*T1798+Summary!$B$11*V1798</f>
        <v/>
      </c>
      <c r="P1798">
        <f>IF(B1814=0,0,O1798/B1814)</f>
        <v/>
      </c>
      <c r="Q1798" t="n">
        <v>0</v>
      </c>
      <c r="R1798" t="n">
        <v>0</v>
      </c>
      <c r="S1798">
        <f>IFERROR(O1798/N1798,0)</f>
        <v/>
      </c>
      <c r="T1798" t="n">
        <v>0</v>
      </c>
      <c r="V1798" t="n">
        <v>0</v>
      </c>
    </row>
    <row r="1799">
      <c r="A1799">
        <f>Skills!A26</f>
        <v/>
      </c>
      <c r="B1799">
        <f>Skills!B26</f>
        <v/>
      </c>
      <c r="C1799">
        <f>Inputs!$B$3&gt;=75</f>
        <v/>
      </c>
      <c r="D1799">
        <f>IF(Skills!C26=1,60+Inputs!$B$25+Inputs!$B$29,IF(Skills!C26=2,90+Inputs!$B$26+Inputs!$B$29,IF(Skills!C26=3,120+Inputs!$B$27+Inputs!$B$29,MAX(0,(Inputs!$B$3-100)*3)+Inputs!$B$28+Inputs!$B$29)))</f>
        <v/>
      </c>
      <c r="E1799">
        <f>INDEX(FactorTable!$B$2:$Y$301, MATCH(ROUND(MIN(300,MAX(1,D1799)),0), FactorTable!$A$2:$A$301,0), Skills!M26+1)</f>
        <v/>
      </c>
      <c r="F1799">
        <f>IF(Skills!N26=TRUE,(Skills!L26/10)*(E1799/1000),Skills!L26/10)+Skills!O26</f>
        <v/>
      </c>
      <c r="G1799">
        <f>Skills!G26*IF(Skills!H26&gt;0,INT(IF(Inputs!$B$38="pvp",MIN(Skills!I26,15),Skills!I26)/Skills!H26+0.000000001),1)</f>
        <v/>
      </c>
      <c r="H1799">
        <f>1-(1-Skills!J26/100)^Skills!K26</f>
        <v/>
      </c>
      <c r="I1799" t="inlineStr">
        <is>
          <t>1</t>
        </is>
      </c>
      <c r="J1799" t="inlineStr"/>
      <c r="K1799" t="inlineStr"/>
      <c r="L1799" t="inlineStr"/>
      <c r="M1799" t="inlineStr"/>
      <c r="N1799" t="inlineStr"/>
      <c r="O1799">
        <f>(1-Summary!$B$11)*T1799+Summary!$B$11*V1799</f>
        <v/>
      </c>
      <c r="P1799">
        <f>IF(B1814=0,0,O1799/B1814)</f>
        <v/>
      </c>
      <c r="Q1799" t="n">
        <v>0</v>
      </c>
      <c r="R1799" t="n">
        <v>0</v>
      </c>
      <c r="S1799">
        <f>IFERROR(O1799/N1799,0)</f>
        <v/>
      </c>
      <c r="T1799" t="n">
        <v>0</v>
      </c>
      <c r="V1799" t="n">
        <v>0</v>
      </c>
    </row>
    <row r="1800">
      <c r="A1800">
        <f>Skills!A27</f>
        <v/>
      </c>
      <c r="B1800">
        <f>Skills!B27</f>
        <v/>
      </c>
      <c r="C1800">
        <f>Inputs!$B$3&gt;=125</f>
        <v/>
      </c>
      <c r="D1800">
        <f>IF(Skills!C27=1,60+Inputs!$B$25+Inputs!$B$29,IF(Skills!C27=2,90+Inputs!$B$26+Inputs!$B$29,IF(Skills!C27=3,120+Inputs!$B$27+Inputs!$B$29,MAX(0,(Inputs!$B$3-100)*3)+Inputs!$B$28+Inputs!$B$29)))</f>
        <v/>
      </c>
      <c r="E1800">
        <f>INDEX(FactorTable!$B$2:$Y$301, MATCH(ROUND(MIN(300,MAX(1,D1800)),0), FactorTable!$A$2:$A$301,0), Skills!M27+1)</f>
        <v/>
      </c>
      <c r="F1800">
        <f>IF(Skills!N27=TRUE,(Skills!L27/10)*(E1800/1000),Skills!L27/10)+Skills!O27</f>
        <v/>
      </c>
      <c r="G1800">
        <f>Skills!G27*IF(Skills!H27&gt;0,INT(IF(Inputs!$B$38="pvp",MIN(Skills!I27,15),Skills!I27)/Skills!H27+0.000000001),1)</f>
        <v/>
      </c>
      <c r="H1800">
        <f>1-(1-Skills!J27/100)^Skills!K27</f>
        <v/>
      </c>
      <c r="I1800" t="inlineStr">
        <is>
          <t>1</t>
        </is>
      </c>
      <c r="J1800" t="inlineStr"/>
      <c r="K1800" t="inlineStr"/>
      <c r="L1800" t="inlineStr"/>
      <c r="M1800" t="inlineStr"/>
      <c r="N1800" t="inlineStr"/>
      <c r="O1800">
        <f>(1-Summary!$B$11)*T1800+Summary!$B$11*V1800</f>
        <v/>
      </c>
      <c r="P1800">
        <f>IF(B1814=0,0,O1800/B1814)</f>
        <v/>
      </c>
      <c r="Q1800" t="n">
        <v>0</v>
      </c>
      <c r="R1800" t="n">
        <v>0</v>
      </c>
      <c r="S1800">
        <f>IFERROR(O1800/N1800,0)</f>
        <v/>
      </c>
      <c r="T1800" t="n">
        <v>0</v>
      </c>
      <c r="V1800" t="n">
        <v>0</v>
      </c>
    </row>
    <row r="1801">
      <c r="A1801">
        <f>Skills!A28</f>
        <v/>
      </c>
      <c r="B1801">
        <f>Skills!B28</f>
        <v/>
      </c>
      <c r="C1801">
        <f>TRUE</f>
        <v/>
      </c>
      <c r="D1801">
        <f>IF(Skills!C28=1,60+Inputs!$B$25+Inputs!$B$29,IF(Skills!C28=2,90+Inputs!$B$26+Inputs!$B$29,IF(Skills!C28=3,120+Inputs!$B$27+Inputs!$B$29,MAX(0,(Inputs!$B$3-100)*3)+Inputs!$B$28+Inputs!$B$29)))</f>
        <v/>
      </c>
      <c r="E1801">
        <f>INDEX(FactorTable!$B$2:$Y$301, MATCH(ROUND(MIN(300,MAX(1,D1801)),0), FactorTable!$A$2:$A$301,0), Skills!M28+1)</f>
        <v/>
      </c>
      <c r="F1801">
        <f>IF(Skills!N28=TRUE,(Skills!L28/10)*(E1801/1000),Skills!L28/10)+Skills!O28</f>
        <v/>
      </c>
      <c r="G1801">
        <f>Skills!G28*IF(Skills!H28&gt;0,INT(IF(Inputs!$B$38="pvp",MIN(Skills!I28,15),Skills!I28)/Skills!H28+0.000000001),1)</f>
        <v/>
      </c>
      <c r="H1801">
        <f>1-(1-Skills!J28/100)^Skills!K28</f>
        <v/>
      </c>
      <c r="I1801" t="inlineStr">
        <is>
          <t>1</t>
        </is>
      </c>
      <c r="J1801" t="inlineStr"/>
      <c r="K1801" t="inlineStr"/>
      <c r="L1801" t="inlineStr"/>
      <c r="M1801" t="inlineStr"/>
      <c r="N1801" t="inlineStr"/>
      <c r="O1801">
        <f>(1-Summary!$B$11)*T1801+Summary!$B$11*V1801</f>
        <v/>
      </c>
      <c r="P1801">
        <f>IF(B1814=0,0,O1801/B1814)</f>
        <v/>
      </c>
      <c r="Q1801">
        <f>IFERROR(1/(IF(Inputs!$B$38="pvp",15,MAX(0.1,Skills!D28-IF(TRUE=TRUE,Inputs!$B$32,0)))*(1-IF(AND(ArtifactsInput!$M$27,Inputs!$B$4="Chapter Hunt"),CHOOSE(ArtifactsInput!$N$27+1,20,24,28,32,36,40),0)/100)),0)</f>
        <v/>
      </c>
      <c r="R1801">
        <f>IF(AND(Inputs!$B$38&lt;&gt;"pvp",Inputs!$B$43&gt;0),IF(Inputs!$B$43&lt;=0,0,(INT(Inputs!$B$43/(IF(Inputs!$B$38="pvp",15,MAX(0.1,Skills!D28-IF(TRUE=TRUE,Inputs!$B$32,0)))*(1-IF(AND(ArtifactsInput!$M$27,Inputs!$B$4="Chapter Hunt"),CHOOSE(ArtifactsInput!$N$27+1,20,24,28,32,36,40),0)/100)))+1)),0)</f>
        <v/>
      </c>
      <c r="S1801">
        <f>IFERROR(O1801/N1801,0)</f>
        <v/>
      </c>
      <c r="T1801" t="n">
        <v>0</v>
      </c>
      <c r="V1801" t="n">
        <v>0</v>
      </c>
    </row>
    <row r="1803">
      <c r="A1803" t="inlineStr">
        <is>
          <t>Attack% Bucket Multiplier</t>
        </is>
      </c>
      <c r="B1803">
        <f>(1+(((C1790=TRUE)*F1790*5/7)+((C1797=TRUE)*(F1797-Calc!F24))+(IF(ArtifactsInput!$M$21,CHOOSE(ArtifactsInput!$N$21+1,25,30,35,40,45,50)*(IF(OR(Inputs!$B$4="Chapter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804">
      <c r="A1804" t="inlineStr">
        <is>
          <t>Global Crit Rate Bonus %</t>
        </is>
      </c>
      <c r="B1804" t="n">
        <v>0</v>
      </c>
    </row>
    <row r="1805">
      <c r="A1805" t="inlineStr">
        <is>
          <t>Attack Speed Buff Bonus % (Nimble Feet, duty-cycle averaged)</t>
        </is>
      </c>
      <c r="B1805">
        <f>((C1801=TRUE)*F1801*IF(AND(Inputs!$B$38&lt;&gt;"pvp",Inputs!$B$43&gt;0),(((R1801-1)*MIN((Skills!T28*(1+Inputs!$B$34/100)),(1/Q1801))+MIN((Skills!T28*(1+Inputs!$B$34/100)),MAX(0,Inputs!$B$43-((R1801-1)*(1/Q1801)))))/Inputs!$B$43),IF(Inputs!$B$38="pvp",MIN((Skills!T28*(1+Inputs!$B$34/100)),15)/15,MIN(1,(Skills!T28*(1+Inputs!$B$34/100))/(1/Q1801)))))</f>
        <v/>
      </c>
    </row>
    <row r="1806">
      <c r="A1806" t="inlineStr">
        <is>
          <t>Actions Per Second</t>
        </is>
      </c>
      <c r="B1806">
        <f>1+MIN(150,150*(1-(1-(Inputs!$B$11+((C1793=TRUE)*(F1793-Calc!F20))+((C1794=TRUE)*(F1794-Calc!F21)))/150)*(1-B1805/150)))/100</f>
        <v/>
      </c>
    </row>
    <row r="1807">
      <c r="A1807" t="inlineStr">
        <is>
          <t>Skill + Buff Cast Rate</t>
        </is>
      </c>
      <c r="B1807">
        <f>IF(AND(Inputs!$B$38&lt;&gt;"pvp",Inputs!$B$43&gt;0),SUMPRODUCT((Skills!E2:E28=TRUE)*(C1775:C1801=TRUE)*R1775:R1801*Skills!F2:F28)/Inputs!$B$43,SUMPRODUCT((Skills!E2:E28=TRUE)*(C1775:C1801=TRUE)*Q1775:Q1801*Skills!F2:F28))</f>
        <v/>
      </c>
    </row>
    <row r="1808">
      <c r="A1808" t="inlineStr">
        <is>
          <t>Eight-Legs Easton Casts Per Second</t>
        </is>
      </c>
      <c r="B1808">
        <f>MAX(0,B1806-B1807)</f>
        <v/>
      </c>
    </row>
    <row r="1809">
      <c r="A1809" t="inlineStr">
        <is>
          <t>Global Critical Damage Bonus % (unused)</t>
        </is>
      </c>
      <c r="B1809" t="n">
        <v>0</v>
      </c>
    </row>
    <row r="1810">
      <c r="A1810" t="inlineStr">
        <is>
          <t>Global Final Damage Bonus % (Jolly Roger + Ahoy Mateys - Final Damage proc)</t>
        </is>
      </c>
      <c r="B1810">
        <f>((C1791=TRUE)*F1791*IF(AND(Inputs!$B$38&lt;&gt;"pvp",Inputs!$B$43&gt;0),(((R1791-1)*MIN((Skills!T18*(1+Inputs!$B$34/100)),(1/Q1791))+MIN((Skills!T18*(1+Inputs!$B$34/100)),MAX(0,Inputs!$B$43-((R1791-1)*(1/Q1791)))))/Inputs!$B$43),IF(Inputs!$B$38="pvp",MIN((Skills!T18*(1+Inputs!$B$34/100)),15)/15,MIN(1,(Skills!T18*(1+Inputs!$B$34/100))/(1/Q1791)))))+IF(Inputs!$B$3&gt;=122,20*IF(Inputs!$B$38="pvp",MIN((20*(1+Inputs!$B$34/100)),15)/15,MIN(1,(20*(1+Inputs!$B$34/100))/(1/Q1777))),0)</f>
        <v/>
      </c>
    </row>
    <row r="1811">
      <c r="A1811" t="inlineStr">
        <is>
          <t>Buff-Casting Startup Delay (s, fixed-duration only)</t>
        </is>
      </c>
      <c r="B1811">
        <f>IF(AND(Inputs!$B$38&lt;&gt;"pvp",Inputs!$B$43&gt;0),SUMPRODUCT((Skills!T2:T28&gt;0)*(Skills!E2:E28=TRUE)*(C1775:C1801=TRUE))/B1806,0)</f>
        <v/>
      </c>
    </row>
    <row r="1812">
      <c r="A1812" t="inlineStr">
        <is>
          <t>Boss-Only Total DPS (this block's swept value)</t>
        </is>
      </c>
      <c r="B1812">
        <f>SUM(T1775:T1801)</f>
        <v/>
      </c>
    </row>
    <row r="1813">
      <c r="A1813" t="inlineStr">
        <is>
          <t>Normal-Only Total DPS (this block's swept value)</t>
        </is>
      </c>
      <c r="B1813">
        <f>SUM(V1775:V1801)</f>
        <v/>
      </c>
    </row>
    <row r="1814">
      <c r="A1814" s="6" t="inlineStr">
        <is>
          <t>TOTAL DPS</t>
        </is>
      </c>
      <c r="B1814" s="6">
        <f>SUM(O1775:O1801)</f>
        <v/>
      </c>
    </row>
    <row r="1815">
      <c r="A1815" t="inlineStr">
        <is>
          <t>Quickdraw cooldown divisor (this block's own APS / Q)</t>
        </is>
      </c>
      <c r="B1815">
        <f>IF(AND(C1800=TRUE,Inputs!$B$38&lt;&gt;"pvp"),1+0.25*MAX(0,(B1806-(((C1776=TRUE)*Q1776*1)+((C1777=TRUE)*Q1777*1)+((C1779=TRUE)*Q1779*1)+((C1780=TRUE)*Q1780*1)+((C1782=TRUE)*Q1782*1)+((C1785=TRUE)*Q1785*1)+((C1791=TRUE)*Q1791*1)+((C1801=TRUE)*Q1801*1))-((C1781=TRUE)/(IF(Inputs!$B$38="pvp",15,MAX(0.1,Skills!D8-IF(TRUE=TRUE,Inputs!$B$32,0)))*(1-IF(AND(ArtifactsInput!$M$27,Inputs!$B$4="Chapter Hunt"),CHOOSE(ArtifactsInput!$N$27+1,20,24,28,32,36,40),0)/100))+(C1784=TRUE)/(IF(Inputs!$B$38="pvp",15,MAX(0.1,Skills!D11-IF(TRUE=TRUE,Inputs!$B$32,0)))*(1-IF(AND(ArtifactsInput!$M$27,Inputs!$B$4="Chapter Hunt"),CHOOSE(ArtifactsInput!$N$27+1,20,24,28,32,36,40),0)/100))))/(1+0.25*((C1781=TRUE)/(IF(Inputs!$B$38="pvp",15,MAX(0.1,Skills!D8-IF(TRUE=TRUE,Inputs!$B$32,0)))*(1-IF(AND(ArtifactsInput!$M$27,Inputs!$B$4="Chapter Hunt"),CHOOSE(ArtifactsInput!$N$27+1,20,24,28,32,36,40),0)/100))+(C1784=TRUE)/(IF(Inputs!$B$38="pvp",15,MAX(0.1,Skills!D11-IF(TRUE=TRUE,Inputs!$B$32,0)))*(1-IF(AND(ArtifactsInput!$M$27,Inputs!$B$4="Chapter Hunt"),CHOOSE(ArtifactsInput!$N$27+1,20,24,28,32,36,40),0)/100))))),1)</f>
        <v/>
      </c>
    </row>
    <row r="1816">
      <c r="A1816" t="inlineStr">
        <is>
          <t>Nautilus Strike - Final Attack trigger rate (this block's own Q/R)</t>
        </is>
      </c>
      <c r="B1816">
        <f>IF(AND(Inputs!$B$38&lt;&gt;"pvp",Inputs!$B$43&gt;0),(((C1776=TRUE)*R1776)+((C1779=TRUE)*R1779)+((C1781=TRUE)*R1781)+((C1782=TRUE)*R1782)+((C1784=TRUE)*R1784))/Inputs!$B$43,((C1776=TRUE)*Q1776)+((C1779=TRUE)*Q1779)+((C1781=TRUE)*Q1781)+((C1782=TRUE)*Q1782)+((C1784=TRUE)*Q1784))+B1808</f>
        <v/>
      </c>
    </row>
    <row r="1819">
      <c r="A1819" s="6" t="inlineStr">
        <is>
          <t>Stat: Pink Bean's Giant Rib (Equip)</t>
        </is>
      </c>
    </row>
    <row r="1820">
      <c r="A1820" s="5" t="inlineStr">
        <is>
          <t>Key</t>
        </is>
      </c>
      <c r="B1820" s="5" t="inlineStr">
        <is>
          <t>Name</t>
        </is>
      </c>
      <c r="C1820" s="5" t="inlineStr">
        <is>
          <t>Unlocked</t>
        </is>
      </c>
      <c r="D1820" s="5" t="inlineStr">
        <is>
          <t>InputLevel</t>
        </is>
      </c>
      <c r="E1820" s="5" t="inlineStr">
        <is>
          <t>Factor</t>
        </is>
      </c>
      <c r="F1820" s="5" t="inlineStr">
        <is>
          <t>CoefficientPercent</t>
        </is>
      </c>
      <c r="G1820" s="5" t="inlineStr">
        <is>
          <t>EffectiveHits</t>
        </is>
      </c>
      <c r="H1820" s="5" t="inlineStr">
        <is>
          <t>ProcProbability</t>
        </is>
      </c>
      <c r="I1820" s="5" t="inlineStr">
        <is>
          <t>MapleHeroMultiplier</t>
        </is>
      </c>
      <c r="J1820" s="5" t="inlineStr">
        <is>
          <t>BaseDamage</t>
        </is>
      </c>
      <c r="K1820" s="5" t="inlineStr">
        <is>
          <t>BaseHitDamage</t>
        </is>
      </c>
      <c r="L1820" s="5" t="inlineStr">
        <is>
          <t>NonCritAvg</t>
        </is>
      </c>
      <c r="M1820" s="5" t="inlineStr">
        <is>
          <t>CritAvg</t>
        </is>
      </c>
      <c r="N1820" s="5" t="inlineStr">
        <is>
          <t>ExpectedDamage(perHit)</t>
        </is>
      </c>
      <c r="O1820" s="5" t="inlineStr">
        <is>
          <t>DPS</t>
        </is>
      </c>
      <c r="P1820" s="5" t="inlineStr">
        <is>
          <t>% of Total</t>
        </is>
      </c>
      <c r="Q1820" s="5" t="inlineStr">
        <is>
          <t>InvCooldown</t>
        </is>
      </c>
      <c r="R1820" s="5" t="inlineStr">
        <is>
          <t>CastsInFight</t>
        </is>
      </c>
      <c r="S1820" s="5" t="inlineStr">
        <is>
          <t>HitRate(perSec)</t>
        </is>
      </c>
      <c r="U1820" t="inlineStr">
        <is>
          <t>helpers</t>
        </is>
      </c>
    </row>
    <row r="1821">
      <c r="A1821">
        <f>Skills!A2</f>
        <v/>
      </c>
      <c r="B1821">
        <f>Skills!B2</f>
        <v/>
      </c>
      <c r="C1821">
        <f>Inputs!$B$3&gt;=100</f>
        <v/>
      </c>
      <c r="D1821" t="inlineStr"/>
      <c r="E1821" t="inlineStr"/>
      <c r="F1821">
        <f>U1823+Skills!O2</f>
        <v/>
      </c>
      <c r="G1821">
        <f>Skills!G2*IF(Skills!H2&gt;0,INT(IF(Inputs!$B$38="pvp",MIN(Skills!I2,15),Skills!I2)/Skills!H2+0.000000001),1)</f>
        <v/>
      </c>
      <c r="H1821">
        <f>1-(1-Skills!J2/100)^Skills!K2</f>
        <v/>
      </c>
      <c r="I1821" t="inlineStr">
        <is>
          <t>1</t>
        </is>
      </c>
      <c r="J1821">
        <f>((Inputs!$B$6*(1+Inputs!$B$7/100))+(((Inputs!$B$12*(1+Inputs!$B$13/100))-(Inputs!$B$12*(1+Inputs!$B$13/100)))+0.25*(Inputs!$B$14-Inputs!$B$14))*(1+Inputs!$B$7/100))*(F1821/100)</f>
        <v/>
      </c>
      <c r="K1821">
        <f>J1821*(1+((Inputs!$B$12*(1+Inputs!$B$13/100))*0.01+Inputs!$B$14*0.0025)/100)*(1+Inputs!$B$15/100)*(1+Inputs!$B$16/100)*(5000/(6000+Inputs!$B$42*(1-(100*(1-(1-(Inputs!$B$19+0)/100)*(1-CHOOSE(ArtifactsInput!$N$40+1,5,6,7,8,9,10)/100)^(ArtifactsInput!$M$40-ArtifactsInput!$M$40)))/100)))*(1+(Inputs!$B$24+((C1845=TRUE)*(F1845-Calc!F26))+B1856)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IGHT_LEGS_EASTON",Inputs!$B$17+((C1842=TRUE)*(F1842-Calc!F23))+((C1846=TRUE)*(F1846-Calc!F27))+((IF(AND(Inputs!$B$38&lt;&gt;"pvp",Inputs!$B$43=0),1,IF(IF(Inputs!$B$38="pvp",15,Inputs!$B$43)-(B1857)&lt;=0,1,MAX(0,IF(Inputs!$B$38="pvp",15,Inputs!$B$43)-MAX(5,B1857))/(IF(Inputs!$B$38="pvp",15,Inputs!$B$43)-(B1857))))*(IF(AND(ArtifactsInput!$M$42,((Inputs!$B$9+((C1838=TRUE)*(F1838-Calc!F19))+B1850+(ArtifactsInput!$M$24-ArtifactsInput!$M$24)*CHOOSE(ArtifactsInput!$N$24+1,10,12,14,16,18,20)+IF(ArtifactsInput!$M$10,CHOOSE(ArtifactsInput!$N$10+1,15,18,21,24,27,30)*(IF(Inputs!$B$38="pvp",MIN(15,15)/15,IF(AND(Inputs!$B$38&lt;&gt;"pvp",Inputs!$B$43&gt;0),MIN(15,Inputs!$B$43)/(Inputs!$B$43),0))),0)))&gt;=100),MIN(100,((Inputs!$B$9+((C1838=TRUE)*(F1838-Calc!F19))+B1850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1857)&lt;=0,1,MAX(0,IF(Inputs!$B$38="pvp",15,Inputs!$B$43)-MAX(5,B1857))/(IF(Inputs!$B$38="pvp",15,Inputs!$B$43)-(B1857))))*IF(AND(ArtifactsInput!$M$42,((Inputs!$B$9+((C1838=TRUE)*(F1838-Calc!F19))+B1850+(ArtifactsInput!$M$24-ArtifactsInput!$M$24)*CHOOSE(ArtifactsInput!$N$24+1,10,12,14,16,18,20)+IF(ArtifactsInput!$M$10,CHOOSE(ArtifactsInput!$N$10+1,15,18,21,24,27,30)*(IF(Inputs!$B$38="pvp",MIN(15,15)/15,IF(AND(Inputs!$B$38&lt;&gt;"pvp",Inputs!$B$43&gt;0),MIN(15,Inputs!$B$43)/(Inputs!$B$43),0))),0)))&gt;=100),CHOOSE(ArtifactsInput!$N$42+1,40,48,56,64,72,80),0))))/100)*((1+(((C1836=TRUE)*F1836*5/7)+((C1843=TRUE)*(F1843-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1821)</f>
        <v/>
      </c>
      <c r="L1821">
        <f>K1821*(MIN(Inputs!$B$22+((C1841=TRUE)*(F1841-Calc!F22)),(Inputs!$B$23+0+(IF(ArtifactsInput!$M$15,CHOOSE(ArtifactsInput!$N$15+1,25,30,35,40,45,50)/100*(Inputs!$B$11-Inputs!$B$11),0))))/100+(Inputs!$B$23+0+(IF(ArtifactsInput!$M$15,CHOOSE(ArtifactsInput!$N$15+1,25,30,35,40,45,50)/100*(Inputs!$B$11-Inputs!$B$11),0)))/100)/2</f>
        <v/>
      </c>
      <c r="M1821">
        <f>L1821*(1+(Inputs!$B$10+((C1844=TRUE)*(F1844-Calc!F25))+B1855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21">
        <f>L1821*(1-MIN((Inputs!$B$9+((C1838=TRUE)*(F1838-Calc!F19))+B1850+(ArtifactsInput!$M$24-ArtifactsInput!$M$24)*CHOOSE(ArtifactsInput!$N$24+1,10,12,14,16,18,20)+(IF(AND(Inputs!$B$38&lt;&gt;"pvp",Inputs!$B$43=0),1,IF(IF(Inputs!$B$38="pvp",15,Inputs!$B$43)-(B1857)&lt;=0,1,MAX(0,IF(Inputs!$B$38="pvp",15,Inputs!$B$43)-MAX(5,B1857))/(IF(Inputs!$B$38="pvp",15,Inputs!$B$43)-(B1857))))*IF(AND(ArtifactsInput!$M$42,((Inputs!$B$9+((C1838=TRUE)*(F1838-Calc!F19))+B1850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1821*(MIN((Inputs!$B$9+((C1838=TRUE)*(F1838-Calc!F19))+B1850+(ArtifactsInput!$M$24-ArtifactsInput!$M$24)*CHOOSE(ArtifactsInput!$N$24+1,10,12,14,16,18,20)+(IF(AND(Inputs!$B$38&lt;&gt;"pvp",Inputs!$B$43=0),1,IF(IF(Inputs!$B$38="pvp",15,Inputs!$B$43)-(B1857)&lt;=0,1,MAX(0,IF(Inputs!$B$38="pvp",15,Inputs!$B$43)-MAX(5,B1857))/(IF(Inputs!$B$38="pvp",15,Inputs!$B$43)-(B1857))))*IF(AND(ArtifactsInput!$M$42,((Inputs!$B$9+((C1838=TRUE)*(F1838-Calc!F19))+B1850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21">
        <f>(1-Summary!$B$11)*T1821+Summary!$B$11*V1821</f>
        <v/>
      </c>
      <c r="P1821">
        <f>IF(B1860=0,0,O1821/B1860)</f>
        <v/>
      </c>
      <c r="Q1821" t="n">
        <v>0</v>
      </c>
      <c r="R1821" t="n">
        <v>0</v>
      </c>
      <c r="S1821">
        <f>IFERROR(O1821/N1821,0)</f>
        <v/>
      </c>
      <c r="T1821">
        <f>IF(C1821,(Skills!G2*N1821*B1854*(1+IF(C1846=TRUE,1/3,0)))*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Hunt"),CHOOSE(ArtifactsInput!$N$35+1,15,18,21,24,27,30)*(1-EXP(-(0.2*B1852)*5)),0)+IF(AND(ArtifactsInput!$M$22,Inputs!$B$4&lt;&gt;"Chapter Hunt"),CHOOSE(ArtifactsInput!$N$22+1,10,12,14,16,18,20)*((0*(((0.15*B1852*5))^0/1)+1*(((0.15*B1852*5))^1/1)+2*(((0.15*B1852*5))^2/2)+3*(((0.15*B1852*5))^3/6)+4*(((0.15*B1852*5))^4/24)+5*(((0.15*B1852*5))^5/120))/((((0.15*B1852*5))^0/1)+(((0.15*B1852*5))^1/1)+(((0.15*B1852*5))^2/2)+(((0.15*B1852*5))^3/6)+(((0.15*B1852*5))^4/24)+(((0.15*B1852*5))^5/120))),0))+IF(Inputs!$B$3&gt;=54,9*(C1822=TRUE)*MIN(1,8*(1+Inputs!$B$34/100)*Q1822)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1821*(1-MIN(100,(Inputs!$B$9+((C1838=TRUE)*(F1838-Calc!F19))+B1850+(ArtifactsInput!$M$24-ArtifactsInput!$M$24)*CHOOSE(ArtifactsInput!$N$24+1,10,12,14,16,18,20)+(IF(AND(Inputs!$B$38&lt;&gt;"pvp",Inputs!$B$43=0),1,IF(IF(Inputs!$B$38="pvp",15,Inputs!$B$43)-(B1857)&lt;=0,1,MAX(0,IF(Inputs!$B$38="pvp",15,Inputs!$B$43)-MAX(5,B1857))/(IF(Inputs!$B$38="pvp",15,Inputs!$B$43)-(B1857))))*IF(AND(ArtifactsInput!$M$42,((Inputs!$B$9+((C1838=TRUE)*(F1838-Calc!F19))+B1850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1821*(MIN(100,(Inputs!$B$9+((C1838=TRUE)*(F1838-Calc!F19))+B1850+(ArtifactsInput!$M$24-ArtifactsInput!$M$24)*CHOOSE(ArtifactsInput!$N$24+1,10,12,14,16,18,20)+(IF(AND(Inputs!$B$38&lt;&gt;"pvp",Inputs!$B$43=0),1,IF(IF(Inputs!$B$38="pvp",15,Inputs!$B$43)-(B1857)&lt;=0,1,MAX(0,IF(Inputs!$B$38="pvp",15,Inputs!$B$43)-MAX(5,B1857))/(IF(Inputs!$B$38="pvp",15,Inputs!$B$43)-(B1857))))*IF(AND(ArtifactsInput!$M$42,((Inputs!$B$9+((C1838=TRUE)*(F1838-Calc!F19))+B1850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1821*(1-MIN(100,(Inputs!$B$9+((C1838=TRUE)*(F1838-Calc!F19))+B1850+(ArtifactsInput!$M$24-ArtifactsInput!$M$24)*CHOOSE(ArtifactsInput!$N$24+1,10,12,14,16,18,20)+(IF(AND(Inputs!$B$38&lt;&gt;"pvp",Inputs!$B$43=0),1,IF(IF(Inputs!$B$38="pvp",15,Inputs!$B$43)-(B1857)&lt;=0,1,MAX(0,IF(Inputs!$B$38="pvp",15,Inputs!$B$43)-MAX(5,B1857))/(IF(Inputs!$B$38="pvp",15,Inputs!$B$43)-(B1857))))*IF(AND(ArtifactsInput!$M$42,((Inputs!$B$9+((C1838=TRUE)*(F1838-Calc!F19))+B1850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1821*(MIN(100,(Inputs!$B$9+((C1838=TRUE)*(F1838-Calc!F19))+B1850+(ArtifactsInput!$M$24-ArtifactsInput!$M$24)*CHOOSE(ArtifactsInput!$N$24+1,10,12,14,16,18,20)+(IF(AND(Inputs!$B$38&lt;&gt;"pvp",Inputs!$B$43=0),1,IF(IF(Inputs!$B$38="pvp",15,Inputs!$B$43)-(B1857)&lt;=0,1,MAX(0,IF(Inputs!$B$38="pvp",15,Inputs!$B$43)-MAX(5,B1857))/(IF(Inputs!$B$38="pvp",15,Inputs!$B$43)-(B1857))))*IF(AND(ArtifactsInput!$M$42,((Inputs!$B$9+((C1838=TRUE)*(F1838-Calc!F19))+B1850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821">
        <f>MAX(0,(Inputs!$B$3-100)*3)+Inputs!$B$28+Inputs!$B$29</f>
        <v/>
      </c>
      <c r="V1821">
        <f>IF(C1821,(Skills!G2*N1821*B1854*(1+IF(C1846=TRUE,1/3,0)))*IF(Inputs!$B$38="pvp",1,(1+(Inputs!$B$21+Skills!Q2+(IF(ArtifactsInput!$M$33,CHOOSE(ArtifactsInput!$N$33+1,30,36,42,48,54,60),0))+(IF(AND(ArtifactsInput!$M$35,Inputs!$B$4&lt;&gt;"Chapter Hunt"),CHOOSE(ArtifactsInput!$N$35+1,15,18,21,24,27,30)*(1-EXP(-(0.2*B1852)*5)),0)+IF(AND(ArtifactsInput!$M$22,Inputs!$B$4&lt;&gt;"Chapter Hunt"),CHOOSE(ArtifactsInput!$N$22+1,10,12,14,16,18,20)*((0*(((0.15*B1852*5))^0/1)+1*(((0.15*B1852*5))^1/1)+2*(((0.15*B1852*5))^2/2)+3*(((0.15*B1852*5))^3/6)+4*(((0.15*B1852*5))^4/24)+5*(((0.15*B1852*5))^5/120))/((((0.15*B1852*5))^0/1)+(((0.15*B1852*5))^1/1)+(((0.15*B1852*5))^2/2)+(((0.15*B1852*5))^3/6)+(((0.15*B1852*5))^4/24)+(((0.15*B1852*5))^5/120))),0))+IF(Inputs!$B$3&gt;=54,9*(C1822=TRUE)*MIN(1,8*(1+Inputs!$B$34/100)*Q1822),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22">
      <c r="A1822">
        <f>Skills!A3</f>
        <v/>
      </c>
      <c r="B1822">
        <f>Skills!B3</f>
        <v/>
      </c>
      <c r="C1822">
        <f>Inputs!$B$3&gt;=33</f>
        <v/>
      </c>
      <c r="D1822">
        <f>IF(Skills!C3=1,60+Inputs!$B$25+Inputs!$B$29,IF(Skills!C3=2,90+Inputs!$B$26+Inputs!$B$29,IF(Skills!C3=3,120+Inputs!$B$27+Inputs!$B$29,MAX(0,(Inputs!$B$3-100)*3)+Inputs!$B$28+Inputs!$B$29)))</f>
        <v/>
      </c>
      <c r="E1822">
        <f>INDEX(FactorTable!$B$2:$Y$301, MATCH(ROUND(MIN(300,MAX(1,D1822)),0), FactorTable!$A$2:$A$301,0), Skills!M3+1)</f>
        <v/>
      </c>
      <c r="F1822">
        <f>IF(Skills!N3=TRUE,(Skills!L3/10)*(E1822/1000),Skills!L3/10)+Skills!O3</f>
        <v/>
      </c>
      <c r="G1822">
        <f>Skills!G3*IF(Skills!H3&gt;0,INT(IF(Inputs!$B$38="pvp",MIN(Skills!I3,15),Skills!I3)/Skills!H3+0.000000001),1)</f>
        <v/>
      </c>
      <c r="H1822">
        <f>1-(1-Skills!J3/100)^Skills!K3</f>
        <v/>
      </c>
      <c r="I1822" t="inlineStr">
        <is>
          <t>1</t>
        </is>
      </c>
      <c r="J1822">
        <f>((Inputs!$B$6*(1+Inputs!$B$7/100))+(((Inputs!$B$12*(1+Inputs!$B$13/100))-(Inputs!$B$12*(1+Inputs!$B$13/100)))+0.25*(Inputs!$B$14-Inputs!$B$14))*(1+Inputs!$B$7/100))*(F1822/100)</f>
        <v/>
      </c>
      <c r="K1822">
        <f>J1822*(1+((Inputs!$B$12*(1+Inputs!$B$13/100))*0.01+Inputs!$B$14*0.0025)/100)*(1+Inputs!$B$15/100)*(1+Inputs!$B$16/100)*(5000/(6000+Inputs!$B$42*(1-(100*(1-(1-(Inputs!$B$19+0)/100)*(1-CHOOSE(ArtifactsInput!$N$40+1,5,6,7,8,9,10)/100)^(ArtifactsInput!$M$40-ArtifactsInput!$M$40)))/100)))*(1+(Inputs!$B$24+((C1845=TRUE)*(F1845-Calc!F26))+B1856)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1834=TRUE,F1834,0)/100)*(1+(IF(Skills!A3="EIGHT_LEGS_EASTON",Inputs!$B$17+((C1842=TRUE)*(F1842-Calc!F23))+((C1846=TRUE)*(F1846-Calc!F27))+((IF(AND(Inputs!$B$38&lt;&gt;"pvp",Inputs!$B$43=0),1,IF(IF(Inputs!$B$38="pvp",15,Inputs!$B$43)-(B1857)&lt;=0,1,MAX(0,IF(Inputs!$B$38="pvp",15,Inputs!$B$43)-MAX(5,B1857))/(IF(Inputs!$B$38="pvp",15,Inputs!$B$43)-(B1857))))*(IF(AND(ArtifactsInput!$M$42,((Inputs!$B$9+((C1838=TRUE)*(F1838-Calc!F19))+B1850+(ArtifactsInput!$M$24-ArtifactsInput!$M$24)*CHOOSE(ArtifactsInput!$N$24+1,10,12,14,16,18,20)+IF(ArtifactsInput!$M$10,CHOOSE(ArtifactsInput!$N$10+1,15,18,21,24,27,30)*(IF(Inputs!$B$38="pvp",MIN(15,15)/15,IF(AND(Inputs!$B$38&lt;&gt;"pvp",Inputs!$B$43&gt;0),MIN(15,Inputs!$B$43)/(Inputs!$B$43),0))),0)))&gt;=100),MIN(100,((Inputs!$B$9+((C1838=TRUE)*(F1838-Calc!F19))+B1850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1857)&lt;=0,1,MAX(0,IF(Inputs!$B$38="pvp",15,Inputs!$B$43)-MAX(5,B1857))/(IF(Inputs!$B$38="pvp",15,Inputs!$B$43)-(B1857))))*IF(AND(ArtifactsInput!$M$42,((Inputs!$B$9+((C1838=TRUE)*(F1838-Calc!F19))+B1850+(ArtifactsInput!$M$24-ArtifactsInput!$M$24)*CHOOSE(ArtifactsInput!$N$24+1,10,12,14,16,18,20)+IF(ArtifactsInput!$M$10,CHOOSE(ArtifactsInput!$N$10+1,15,18,21,24,27,30)*(IF(Inputs!$B$38="pvp",MIN(15,15)/15,IF(AND(Inputs!$B$38&lt;&gt;"pvp",Inputs!$B$43&gt;0),MIN(15,Inputs!$B$43)/(Inputs!$B$43),0))),0)))&gt;=100),CHOOSE(ArtifactsInput!$N$42+1,40,48,56,64,72,80),0))))/100)*((1+(((C1836=TRUE)*F1836*5/7)+((C1843=TRUE)*(F1843-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1822)</f>
        <v/>
      </c>
      <c r="L1822">
        <f>K1822*(MIN(Inputs!$B$22+((C1841=TRUE)*(F1841-Calc!F22)),(Inputs!$B$23+0+(IF(ArtifactsInput!$M$15,CHOOSE(ArtifactsInput!$N$15+1,25,30,35,40,45,50)/100*(Inputs!$B$11-Inputs!$B$11),0))))/100+(Inputs!$B$23+0+(IF(ArtifactsInput!$M$15,CHOOSE(ArtifactsInput!$N$15+1,25,30,35,40,45,50)/100*(Inputs!$B$11-Inputs!$B$11),0)))/100)/2</f>
        <v/>
      </c>
      <c r="M1822">
        <f>L1822*(1+(Inputs!$B$10+((C1844=TRUE)*(F1844-Calc!F25))+B1855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22">
        <f>L1822*(1-MIN((Inputs!$B$9+((C1838=TRUE)*(F1838-Calc!F19))+B1850+(ArtifactsInput!$M$24-ArtifactsInput!$M$24)*CHOOSE(ArtifactsInput!$N$24+1,10,12,14,16,18,20)+(IF(AND(Inputs!$B$38&lt;&gt;"pvp",Inputs!$B$43=0),1,IF(IF(Inputs!$B$38="pvp",15,Inputs!$B$43)-(B1857)&lt;=0,1,MAX(0,IF(Inputs!$B$38="pvp",15,Inputs!$B$43)-MAX(5,B1857))/(IF(Inputs!$B$38="pvp",15,Inputs!$B$43)-(B1857))))*IF(AND(ArtifactsInput!$M$42,((Inputs!$B$9+((C1838=TRUE)*(F1838-Calc!F19))+B1850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1822*(MIN((Inputs!$B$9+((C1838=TRUE)*(F1838-Calc!F19))+B1850+(ArtifactsInput!$M$24-ArtifactsInput!$M$24)*CHOOSE(ArtifactsInput!$N$24+1,10,12,14,16,18,20)+(IF(AND(Inputs!$B$38&lt;&gt;"pvp",Inputs!$B$43=0),1,IF(IF(Inputs!$B$38="pvp",15,Inputs!$B$43)-(B1857)&lt;=0,1,MAX(0,IF(Inputs!$B$38="pvp",15,Inputs!$B$43)-MAX(5,B1857))/(IF(Inputs!$B$38="pvp",15,Inputs!$B$43)-(B1857))))*IF(AND(ArtifactsInput!$M$42,((Inputs!$B$9+((C1838=TRUE)*(F1838-Calc!F19))+B1850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22">
        <f>(1-Summary!$B$11)*T1822+Summary!$B$11*V1822</f>
        <v/>
      </c>
      <c r="P1822">
        <f>IF(B1860=0,0,O1822/B1860)</f>
        <v/>
      </c>
      <c r="Q1822">
        <f>IFERROR(1/(IF(Inputs!$B$38="pvp",15,MAX(0.1,Skills!D3-IF(TRUE=TRUE,Inputs!$B$32,0)))*(1-IF(AND(ArtifactsInput!$M$27,Inputs!$B$4="Chapter Hunt"),CHOOSE(ArtifactsInput!$N$27+1,20,24,28,32,36,40),0)/100)),0)</f>
        <v/>
      </c>
      <c r="R1822">
        <f>IF(AND(Inputs!$B$38&lt;&gt;"pvp",Inputs!$B$43&gt;0),IF(MAX(0,Inputs!$B$43-B1857)&lt;=0,0,(INT(MAX(0,Inputs!$B$43-B1857)/(IF(Inputs!$B$38="pvp",15,MAX(0.1,Skills!D3-IF(TRUE=TRUE,Inputs!$B$32,0)))*(1-IF(AND(ArtifactsInput!$M$27,Inputs!$B$4="Chapter Hunt"),CHOOSE(ArtifactsInput!$N$27+1,20,24,28,32,36,40),0)/100)))+1)),0)</f>
        <v/>
      </c>
      <c r="S1822">
        <f>IFERROR(O1822/N1822,0)</f>
        <v/>
      </c>
      <c r="T1822">
        <f>IF(C1822,(H1822*N1822*IF(AND(Inputs!$B$38&lt;&gt;"pvp",Inputs!$B$43&gt;0),((Skills!G3*((R1822-1)*IF(Skills!H3&gt;0,INT(Skills!I3/Skills!H3+0.000000001),1)+IF(Skills!H3&gt;0,INT(MIN(Skills!I3,MAX(0,MAX(0,Inputs!$B$43-B1857)-((R1822-1)*(IF(Inputs!$B$38="pvp",15,MAX(0.1,Skills!D3-IF(TRUE=TRUE,Inputs!$B$32,0)))*(1-IF(AND(ArtifactsInput!$M$27,Inputs!$B$4="Chapter Hunt"),CHOOSE(ArtifactsInput!$N$27+1,20,24,28,32,36,40),0)/100)))))/Skills!H3+0.000000001),1)))/Inputs!$B$43),G1822*Q1822))*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Hunt"),CHOOSE(ArtifactsInput!$N$35+1,15,18,21,24,27,30)*(1-EXP(-(0.2*B1852)*5)),0)+IF(AND(ArtifactsInput!$M$22,Inputs!$B$4&lt;&gt;"Chapter Hunt"),CHOOSE(ArtifactsInput!$N$22+1,10,12,14,16,18,20)*((0*(((0.15*B1852*5))^0/1)+1*(((0.15*B1852*5))^1/1)+2*(((0.15*B1852*5))^2/2)+3*(((0.15*B1852*5))^3/6)+4*(((0.15*B1852*5))^4/24)+5*(((0.15*B1852*5))^5/120))/((((0.15*B1852*5))^0/1)+(((0.15*B1852*5))^1/1)+(((0.15*B1852*5))^2/2)+(((0.15*B1852*5))^3/6)+(((0.15*B1852*5))^4/24)+(((0.15*B1852*5))^5/120))),0))+IF(Inputs!$B$3&gt;=54,9*(C1822=TRUE)*MIN(1,8*(1+Inputs!$B$34/100)*Q1822)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1822*(1-MIN(100,(Inputs!$B$9+((C1838=TRUE)*(F1838-Calc!F19))+B1850+(ArtifactsInput!$M$24-ArtifactsInput!$M$24)*CHOOSE(ArtifactsInput!$N$24+1,10,12,14,16,18,20)+(IF(AND(Inputs!$B$38&lt;&gt;"pvp",Inputs!$B$43=0),1,IF(IF(Inputs!$B$38="pvp",15,Inputs!$B$43)-(B1857)&lt;=0,1,MAX(0,IF(Inputs!$B$38="pvp",15,Inputs!$B$43)-MAX(5,B1857))/(IF(Inputs!$B$38="pvp",15,Inputs!$B$43)-(B1857))))*IF(AND(ArtifactsInput!$M$42,((Inputs!$B$9+((C1838=TRUE)*(F1838-Calc!F19))+B1850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1822*(MIN(100,(Inputs!$B$9+((C1838=TRUE)*(F1838-Calc!F19))+B1850+(ArtifactsInput!$M$24-ArtifactsInput!$M$24)*CHOOSE(ArtifactsInput!$N$24+1,10,12,14,16,18,20)+(IF(AND(Inputs!$B$38&lt;&gt;"pvp",Inputs!$B$43=0),1,IF(IF(Inputs!$B$38="pvp",15,Inputs!$B$43)-(B1857)&lt;=0,1,MAX(0,IF(Inputs!$B$38="pvp",15,Inputs!$B$43)-MAX(5,B1857))/(IF(Inputs!$B$38="pvp",15,Inputs!$B$43)-(B1857))))*IF(AND(ArtifactsInput!$M$42,((Inputs!$B$9+((C1838=TRUE)*(F1838-Calc!F19))+B1850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1822*(1-MIN(100,(Inputs!$B$9+((C1838=TRUE)*(F1838-Calc!F19))+B1850+(ArtifactsInput!$M$24-ArtifactsInput!$M$24)*CHOOSE(ArtifactsInput!$N$24+1,10,12,14,16,18,20)+(IF(AND(Inputs!$B$38&lt;&gt;"pvp",Inputs!$B$43=0),1,IF(IF(Inputs!$B$38="pvp",15,Inputs!$B$43)-(B1857)&lt;=0,1,MAX(0,IF(Inputs!$B$38="pvp",15,Inputs!$B$43)-MAX(5,B1857))/(IF(Inputs!$B$38="pvp",15,Inputs!$B$43)-(B1857))))*IF(AND(ArtifactsInput!$M$42,((Inputs!$B$9+((C1838=TRUE)*(F1838-Calc!F19))+B1850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1822*(MIN(100,(Inputs!$B$9+((C1838=TRUE)*(F1838-Calc!F19))+B1850+(ArtifactsInput!$M$24-ArtifactsInput!$M$24)*CHOOSE(ArtifactsInput!$N$24+1,10,12,14,16,18,20)+(IF(AND(Inputs!$B$38&lt;&gt;"pvp",Inputs!$B$43=0),1,IF(IF(Inputs!$B$38="pvp",15,Inputs!$B$43)-(B1857)&lt;=0,1,MAX(0,IF(Inputs!$B$38="pvp",15,Inputs!$B$43)-MAX(5,B1857))/(IF(Inputs!$B$38="pvp",15,Inputs!$B$43)-(B1857))))*IF(AND(ArtifactsInput!$M$42,((Inputs!$B$9+((C1838=TRUE)*(F1838-Calc!F19))+B1850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822">
        <f>INDEX(FactorTable!$B$2:$Y$301, MATCH(ROUND(MIN(300,MAX(1,U1821)),0), FactorTable!$A$2:$A$301,0), 22)</f>
        <v/>
      </c>
      <c r="V1822">
        <f>IF(C1822,(H1822*N1822*IF(AND(Inputs!$B$38&lt;&gt;"pvp",Inputs!$B$43&gt;0),((Skills!G3*((R1822-1)*IF(Skills!H3&gt;0,INT(Skills!I3/Skills!H3+0.000000001),1)+IF(Skills!H3&gt;0,INT(MIN(Skills!I3,MAX(0,MAX(0,Inputs!$B$43-B1857)-((R1822-1)*(IF(Inputs!$B$38="pvp",15,MAX(0.1,Skills!D3-IF(TRUE=TRUE,Inputs!$B$32,0)))*(1-IF(AND(ArtifactsInput!$M$27,Inputs!$B$4="Chapter Hunt"),CHOOSE(ArtifactsInput!$N$27+1,20,24,28,32,36,40),0)/100)))))/Skills!H3+0.000000001),1)))/Inputs!$B$43),G1822*Q1822))*IF(Inputs!$B$38="pvp",1,(1+(Inputs!$B$21+Skills!Q3+(IF(ArtifactsInput!$M$33,CHOOSE(ArtifactsInput!$N$33+1,30,36,42,48,54,60),0))+(IF(AND(ArtifactsInput!$M$35,Inputs!$B$4&lt;&gt;"Chapter Hunt"),CHOOSE(ArtifactsInput!$N$35+1,15,18,21,24,27,30)*(1-EXP(-(0.2*B1852)*5)),0)+IF(AND(ArtifactsInput!$M$22,Inputs!$B$4&lt;&gt;"Chapter Hunt"),CHOOSE(ArtifactsInput!$N$22+1,10,12,14,16,18,20)*((0*(((0.15*B1852*5))^0/1)+1*(((0.15*B1852*5))^1/1)+2*(((0.15*B1852*5))^2/2)+3*(((0.15*B1852*5))^3/6)+4*(((0.15*B1852*5))^4/24)+5*(((0.15*B1852*5))^5/120))/((((0.15*B1852*5))^0/1)+(((0.15*B1852*5))^1/1)+(((0.15*B1852*5))^2/2)+(((0.15*B1852*5))^3/6)+(((0.15*B1852*5))^4/24)+(((0.15*B1852*5))^5/120))),0))+IF(Inputs!$B$3&gt;=54,9*(C1822=TRUE)*MIN(1,8*(1+Inputs!$B$34/100)*Q1822),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23">
      <c r="A1823">
        <f>Skills!A4</f>
        <v/>
      </c>
      <c r="B1823">
        <f>Skills!B4</f>
        <v/>
      </c>
      <c r="C1823">
        <f>Inputs!$B$3&gt;=35</f>
        <v/>
      </c>
      <c r="D1823">
        <f>IF(Skills!C4=1,60+Inputs!$B$25+Inputs!$B$29,IF(Skills!C4=2,90+Inputs!$B$26+Inputs!$B$29,IF(Skills!C4=3,120+Inputs!$B$27+Inputs!$B$29,MAX(0,(Inputs!$B$3-100)*3)+Inputs!$B$28+Inputs!$B$29)))</f>
        <v/>
      </c>
      <c r="E1823">
        <f>INDEX(FactorTable!$B$2:$Y$301, MATCH(ROUND(MIN(300,MAX(1,D1823)),0), FactorTable!$A$2:$A$301,0), Skills!M4+1)</f>
        <v/>
      </c>
      <c r="F1823">
        <f>IF(Skills!N4=TRUE,(Skills!L4/10)*(E1823/1000),Skills!L4/10)+Skills!O4</f>
        <v/>
      </c>
      <c r="G1823">
        <f>Skills!G4*IF(Skills!H4&gt;0,INT(IF(Inputs!$B$38="pvp",MIN(IF(Inputs!$B$3&gt;=104,MIN(35,20*(1+Inputs!$B$34/100)),20),15),IF(Inputs!$B$3&gt;=104,MIN(35,20*(1+Inputs!$B$34/100)),20))/Skills!H4+0.000000001),1)</f>
        <v/>
      </c>
      <c r="H1823">
        <f>1-(1-Skills!J4/100)^Skills!K4</f>
        <v/>
      </c>
      <c r="I1823" t="inlineStr">
        <is>
          <t>1</t>
        </is>
      </c>
      <c r="J1823">
        <f>((Inputs!$B$6*(1+Inputs!$B$7/100))+(((Inputs!$B$12*(1+Inputs!$B$13/100))-(Inputs!$B$12*(1+Inputs!$B$13/100)))+0.25*(Inputs!$B$14-Inputs!$B$14))*(1+Inputs!$B$7/100))*(F1823/100)</f>
        <v/>
      </c>
      <c r="K1823">
        <f>J1823*(1+((Inputs!$B$12*(1+Inputs!$B$13/100))*0.01+Inputs!$B$14*0.0025)/100)*(1+Inputs!$B$15/100)*(1+Inputs!$B$16/100)*(5000/(6000+Inputs!$B$42*(1-(100*(1-(1-(Inputs!$B$19+0)/100)*(1-CHOOSE(ArtifactsInput!$N$40+1,5,6,7,8,9,10)/100)^(ArtifactsInput!$M$40-ArtifactsInput!$M$40)))/100)))*(1+(Inputs!$B$24+((C1845=TRUE)*(F1845-Calc!F26))+B1856)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1835=TRUE,F1835,0)/100)*(1+(IF(Skills!A4="EIGHT_LEGS_EASTON",Inputs!$B$17+((C1842=TRUE)*(F1842-Calc!F23))+((C1846=TRUE)*(F1846-Calc!F27))+((IF(AND(Inputs!$B$38&lt;&gt;"pvp",Inputs!$B$43=0),1,IF(IF(Inputs!$B$38="pvp",15,Inputs!$B$43)-(B1857)&lt;=0,1,MAX(0,IF(Inputs!$B$38="pvp",15,Inputs!$B$43)-MAX(5,B1857))/(IF(Inputs!$B$38="pvp",15,Inputs!$B$43)-(B1857))))*(IF(AND(ArtifactsInput!$M$42,((Inputs!$B$9+((C1838=TRUE)*(F1838-Calc!F19))+B1850+(ArtifactsInput!$M$24-ArtifactsInput!$M$24)*CHOOSE(ArtifactsInput!$N$24+1,10,12,14,16,18,20)+IF(ArtifactsInput!$M$10,CHOOSE(ArtifactsInput!$N$10+1,15,18,21,24,27,30)*(IF(Inputs!$B$38="pvp",MIN(15,15)/15,IF(AND(Inputs!$B$38&lt;&gt;"pvp",Inputs!$B$43&gt;0),MIN(15,Inputs!$B$43)/(Inputs!$B$43),0))),0)))&gt;=100),MIN(100,((Inputs!$B$9+((C1838=TRUE)*(F1838-Calc!F19))+B1850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1857)&lt;=0,1,MAX(0,IF(Inputs!$B$38="pvp",15,Inputs!$B$43)-MAX(5,B1857))/(IF(Inputs!$B$38="pvp",15,Inputs!$B$43)-(B1857))))*IF(AND(ArtifactsInput!$M$42,((Inputs!$B$9+((C1838=TRUE)*(F1838-Calc!F19))+B1850+(ArtifactsInput!$M$24-ArtifactsInput!$M$24)*CHOOSE(ArtifactsInput!$N$24+1,10,12,14,16,18,20)+IF(ArtifactsInput!$M$10,CHOOSE(ArtifactsInput!$N$10+1,15,18,21,24,27,30)*(IF(Inputs!$B$38="pvp",MIN(15,15)/15,IF(AND(Inputs!$B$38&lt;&gt;"pvp",Inputs!$B$43&gt;0),MIN(15,Inputs!$B$43)/(Inputs!$B$43),0))),0)))&gt;=100),CHOOSE(ArtifactsInput!$N$42+1,40,48,56,64,72,80),0))))/100)*((1+(((C1836=TRUE)*F1836*5/7)+((C1843=TRUE)*(F1843-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1823)</f>
        <v/>
      </c>
      <c r="L1823">
        <f>K1823*(MIN(Inputs!$B$22+((C1841=TRUE)*(F1841-Calc!F22)),(Inputs!$B$23+0+(IF(ArtifactsInput!$M$15,CHOOSE(ArtifactsInput!$N$15+1,25,30,35,40,45,50)/100*(Inputs!$B$11-Inputs!$B$11),0))))/100+(Inputs!$B$23+0+(IF(ArtifactsInput!$M$15,CHOOSE(ArtifactsInput!$N$15+1,25,30,35,40,45,50)/100*(Inputs!$B$11-Inputs!$B$11),0)))/100)/2</f>
        <v/>
      </c>
      <c r="M1823">
        <f>L1823*(1+(Inputs!$B$10+((C1844=TRUE)*(F1844-Calc!F25))+B1855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23">
        <f>L1823*(1-MIN((Inputs!$B$9+((C1838=TRUE)*(F1838-Calc!F19))+B1850+(ArtifactsInput!$M$24-ArtifactsInput!$M$24)*CHOOSE(ArtifactsInput!$N$24+1,10,12,14,16,18,20)+(IF(AND(Inputs!$B$38&lt;&gt;"pvp",Inputs!$B$43=0),1,IF(IF(Inputs!$B$38="pvp",15,Inputs!$B$43)-(B1857)&lt;=0,1,MAX(0,IF(Inputs!$B$38="pvp",15,Inputs!$B$43)-MAX(5,B1857))/(IF(Inputs!$B$38="pvp",15,Inputs!$B$43)-(B1857))))*IF(AND(ArtifactsInput!$M$42,((Inputs!$B$9+((C1838=TRUE)*(F1838-Calc!F19))+B1850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1823*(MIN((Inputs!$B$9+((C1838=TRUE)*(F1838-Calc!F19))+B1850+(ArtifactsInput!$M$24-ArtifactsInput!$M$24)*CHOOSE(ArtifactsInput!$N$24+1,10,12,14,16,18,20)+(IF(AND(Inputs!$B$38&lt;&gt;"pvp",Inputs!$B$43=0),1,IF(IF(Inputs!$B$38="pvp",15,Inputs!$B$43)-(B1857)&lt;=0,1,MAX(0,IF(Inputs!$B$38="pvp",15,Inputs!$B$43)-MAX(5,B1857))/(IF(Inputs!$B$38="pvp",15,Inputs!$B$43)-(B1857))))*IF(AND(ArtifactsInput!$M$42,((Inputs!$B$9+((C1838=TRUE)*(F1838-Calc!F19))+B1850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23">
        <f>(1-Summary!$B$11)*T1823+Summary!$B$11*V1823</f>
        <v/>
      </c>
      <c r="P1823">
        <f>IF(B1860=0,0,O1823/B1860)</f>
        <v/>
      </c>
      <c r="Q1823">
        <f>IFERROR(1/(IF(Inputs!$B$38="pvp",15,MAX(0.1,Skills!D4-IF(TRUE=TRUE,Inputs!$B$32,0)))*(1-IF(AND(ArtifactsInput!$M$27,Inputs!$B$4="Chapter Hunt"),CHOOSE(ArtifactsInput!$N$27+1,20,24,28,32,36,40),0)/100)),0)</f>
        <v/>
      </c>
      <c r="R1823">
        <f>IF(AND(Inputs!$B$38&lt;&gt;"pvp",Inputs!$B$43&gt;0),IF(MAX(0,Inputs!$B$43-B1857)&lt;=0,0,(INT(MAX(0,Inputs!$B$43-B1857)/(IF(Inputs!$B$38="pvp",15,MAX(0.1,Skills!D4-IF(TRUE=TRUE,Inputs!$B$32,0)))*(1-IF(AND(ArtifactsInput!$M$27,Inputs!$B$4="Chapter Hunt"),CHOOSE(ArtifactsInput!$N$27+1,20,24,28,32,36,40),0)/100)))+1)),0)</f>
        <v/>
      </c>
      <c r="S1823">
        <f>IFERROR(O1823/N1823,0)</f>
        <v/>
      </c>
      <c r="T1823">
        <f>IF(C1823,(H1823*N1823*IF(AND(Inputs!$B$38&lt;&gt;"pvp",Inputs!$B$43&gt;0),((Skills!G4*((R1823-1)*IF(Skills!H4&gt;0,INT(IF(Inputs!$B$3&gt;=104,MIN(35,20*(1+Inputs!$B$34/100)),20)/Skills!H4+0.000000001),1)+IF(Skills!H4&gt;0,INT(MIN(IF(Inputs!$B$3&gt;=104,MIN(35,20*(1+Inputs!$B$34/100)),20),MAX(0,MAX(0,Inputs!$B$43-B1857)-((R1823-1)*(IF(Inputs!$B$38="pvp",15,MAX(0.1,Skills!D4-IF(TRUE=TRUE,Inputs!$B$32,0)))*(1-IF(AND(ArtifactsInput!$M$27,Inputs!$B$4="Chapter Hunt"),CHOOSE(ArtifactsInput!$N$27+1,20,24,28,32,36,40),0)/100)))))/Skills!H4+0.000000001),1)))/Inputs!$B$43),G1823*Q1823))*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Hunt"),CHOOSE(ArtifactsInput!$N$35+1,15,18,21,24,27,30)*(1-EXP(-(0.2*B1852)*5)),0)+IF(AND(ArtifactsInput!$M$22,Inputs!$B$4&lt;&gt;"Chapter Hunt"),CHOOSE(ArtifactsInput!$N$22+1,10,12,14,16,18,20)*((0*(((0.15*B1852*5))^0/1)+1*(((0.15*B1852*5))^1/1)+2*(((0.15*B1852*5))^2/2)+3*(((0.15*B1852*5))^3/6)+4*(((0.15*B1852*5))^4/24)+5*(((0.15*B1852*5))^5/120))/((((0.15*B1852*5))^0/1)+(((0.15*B1852*5))^1/1)+(((0.15*B1852*5))^2/2)+(((0.15*B1852*5))^3/6)+(((0.15*B1852*5))^4/24)+(((0.15*B1852*5))^5/120))),0))+IF(Inputs!$B$3&gt;=54,9*(C1822=TRUE)*MIN(1,8*(1+Inputs!$B$34/100)*Q1822)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1823*(1-MIN(100,(Inputs!$B$9+((C1838=TRUE)*(F1838-Calc!F19))+B1850+(ArtifactsInput!$M$24-ArtifactsInput!$M$24)*CHOOSE(ArtifactsInput!$N$24+1,10,12,14,16,18,20)+(IF(AND(Inputs!$B$38&lt;&gt;"pvp",Inputs!$B$43=0),1,IF(IF(Inputs!$B$38="pvp",15,Inputs!$B$43)-(B1857)&lt;=0,1,MAX(0,IF(Inputs!$B$38="pvp",15,Inputs!$B$43)-MAX(5,B1857))/(IF(Inputs!$B$38="pvp",15,Inputs!$B$43)-(B1857))))*IF(AND(ArtifactsInput!$M$42,((Inputs!$B$9+((C1838=TRUE)*(F1838-Calc!F19))+B1850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1823*(MIN(100,(Inputs!$B$9+((C1838=TRUE)*(F1838-Calc!F19))+B1850+(ArtifactsInput!$M$24-ArtifactsInput!$M$24)*CHOOSE(ArtifactsInput!$N$24+1,10,12,14,16,18,20)+(IF(AND(Inputs!$B$38&lt;&gt;"pvp",Inputs!$B$43=0),1,IF(IF(Inputs!$B$38="pvp",15,Inputs!$B$43)-(B1857)&lt;=0,1,MAX(0,IF(Inputs!$B$38="pvp",15,Inputs!$B$43)-MAX(5,B1857))/(IF(Inputs!$B$38="pvp",15,Inputs!$B$43)-(B1857))))*IF(AND(ArtifactsInput!$M$42,((Inputs!$B$9+((C1838=TRUE)*(F1838-Calc!F19))+B1850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1823*(1-MIN(100,(Inputs!$B$9+((C1838=TRUE)*(F1838-Calc!F19))+B1850+(ArtifactsInput!$M$24-ArtifactsInput!$M$24)*CHOOSE(ArtifactsInput!$N$24+1,10,12,14,16,18,20)+(IF(AND(Inputs!$B$38&lt;&gt;"pvp",Inputs!$B$43=0),1,IF(IF(Inputs!$B$38="pvp",15,Inputs!$B$43)-(B1857)&lt;=0,1,MAX(0,IF(Inputs!$B$38="pvp",15,Inputs!$B$43)-MAX(5,B1857))/(IF(Inputs!$B$38="pvp",15,Inputs!$B$43)-(B1857))))*IF(AND(ArtifactsInput!$M$42,((Inputs!$B$9+((C1838=TRUE)*(F1838-Calc!F19))+B1850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1823*(MIN(100,(Inputs!$B$9+((C1838=TRUE)*(F1838-Calc!F19))+B1850+(ArtifactsInput!$M$24-ArtifactsInput!$M$24)*CHOOSE(ArtifactsInput!$N$24+1,10,12,14,16,18,20)+(IF(AND(Inputs!$B$38&lt;&gt;"pvp",Inputs!$B$43=0),1,IF(IF(Inputs!$B$38="pvp",15,Inputs!$B$43)-(B1857)&lt;=0,1,MAX(0,IF(Inputs!$B$38="pvp",15,Inputs!$B$43)-MAX(5,B1857))/(IF(Inputs!$B$38="pvp",15,Inputs!$B$43)-(B1857))))*IF(AND(ArtifactsInput!$M$42,((Inputs!$B$9+((C1838=TRUE)*(F1838-Calc!F19))+B1850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823">
        <f>290*U1822/1000</f>
        <v/>
      </c>
      <c r="V1823">
        <f>IF(C1823,(H1823*N1823*IF(AND(Inputs!$B$38&lt;&gt;"pvp",Inputs!$B$43&gt;0),((Skills!G4*((R1823-1)*IF(Skills!H4&gt;0,INT(IF(Inputs!$B$3&gt;=104,MIN(35,20*(1+Inputs!$B$34/100)),20)/Skills!H4+0.000000001),1)+IF(Skills!H4&gt;0,INT(MIN(IF(Inputs!$B$3&gt;=104,MIN(35,20*(1+Inputs!$B$34/100)),20),MAX(0,MAX(0,Inputs!$B$43-B1857)-((R1823-1)*(IF(Inputs!$B$38="pvp",15,MAX(0.1,Skills!D4-IF(TRUE=TRUE,Inputs!$B$32,0)))*(1-IF(AND(ArtifactsInput!$M$27,Inputs!$B$4="Chapter Hunt"),CHOOSE(ArtifactsInput!$N$27+1,20,24,28,32,36,40),0)/100)))))/Skills!H4+0.000000001),1)))/Inputs!$B$43),G1823*Q1823))*IF(Inputs!$B$38="pvp",1,(1+(Inputs!$B$21+Skills!Q4+(IF(ArtifactsInput!$M$33,CHOOSE(ArtifactsInput!$N$33+1,30,36,42,48,54,60),0))+(IF(AND(ArtifactsInput!$M$35,Inputs!$B$4&lt;&gt;"Chapter Hunt"),CHOOSE(ArtifactsInput!$N$35+1,15,18,21,24,27,30)*(1-EXP(-(0.2*B1852)*5)),0)+IF(AND(ArtifactsInput!$M$22,Inputs!$B$4&lt;&gt;"Chapter Hunt"),CHOOSE(ArtifactsInput!$N$22+1,10,12,14,16,18,20)*((0*(((0.15*B1852*5))^0/1)+1*(((0.15*B1852*5))^1/1)+2*(((0.15*B1852*5))^2/2)+3*(((0.15*B1852*5))^3/6)+4*(((0.15*B1852*5))^4/24)+5*(((0.15*B1852*5))^5/120))/((((0.15*B1852*5))^0/1)+(((0.15*B1852*5))^1/1)+(((0.15*B1852*5))^2/2)+(((0.15*B1852*5))^3/6)+(((0.15*B1852*5))^4/24)+(((0.15*B1852*5))^5/120))),0))+IF(Inputs!$B$3&gt;=54,9*(C1822=TRUE)*MIN(1,8*(1+Inputs!$B$34/100)*Q1822),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24">
      <c r="A1824">
        <f>Skills!A5</f>
        <v/>
      </c>
      <c r="B1824">
        <f>Skills!B5</f>
        <v/>
      </c>
      <c r="C1824">
        <f>Inputs!$B$3&gt;=69</f>
        <v/>
      </c>
      <c r="D1824">
        <f>IF(Skills!C5=1,60+Inputs!$B$25+Inputs!$B$29,IF(Skills!C5=2,90+Inputs!$B$26+Inputs!$B$29,IF(Skills!C5=3,120+Inputs!$B$27+Inputs!$B$29,MAX(0,(Inputs!$B$3-100)*3)+Inputs!$B$28+Inputs!$B$29)))</f>
        <v/>
      </c>
      <c r="E1824">
        <f>INDEX(FactorTable!$B$2:$Y$301, MATCH(ROUND(MIN(300,MAX(1,D1824)),0), FactorTable!$A$2:$A$301,0), Skills!M5+1)</f>
        <v/>
      </c>
      <c r="F1824">
        <f>IF(Skills!N5=TRUE,(Skills!L5/10)*(E1824/1000),Skills!L5/10)+Skills!O5</f>
        <v/>
      </c>
      <c r="G1824">
        <f>Skills!G5*IF(Skills!H5&gt;0,INT(IF(Inputs!$B$38="pvp",MIN(IF(Inputs!$B$3&gt;=104,MIN(35,20*(1+Inputs!$B$34/100)),20),15),IF(Inputs!$B$3&gt;=104,MIN(35,20*(1+Inputs!$B$34/100)),20))/Skills!H5+0.000000001),1)</f>
        <v/>
      </c>
      <c r="H1824">
        <f>1-(1-Skills!J5/100)^Skills!K5</f>
        <v/>
      </c>
      <c r="I1824" t="inlineStr">
        <is>
          <t>1</t>
        </is>
      </c>
      <c r="J1824">
        <f>((Inputs!$B$6*(1+Inputs!$B$7/100))+(((Inputs!$B$12*(1+Inputs!$B$13/100))-(Inputs!$B$12*(1+Inputs!$B$13/100)))+0.25*(Inputs!$B$14-Inputs!$B$14))*(1+Inputs!$B$7/100))*(F1824/100)</f>
        <v/>
      </c>
      <c r="K1824">
        <f>J1824*(1+((Inputs!$B$12*(1+Inputs!$B$13/100))*0.01+Inputs!$B$14*0.0025)/100)*(1+Inputs!$B$15/100)*(1+Inputs!$B$16/100)*(5000/(6000+Inputs!$B$42*(1-(100*(1-(1-(Inputs!$B$19+0)/100)*(1-CHOOSE(ArtifactsInput!$N$40+1,5,6,7,8,9,10)/100)^(ArtifactsInput!$M$40-ArtifactsInput!$M$40)))/100)))*(1+(Inputs!$B$24+((C1845=TRUE)*(F1845-Calc!F26))+B1856)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+0.4*IF(C1835=TRUE,F1835,0)/100)*(1+(IF(Skills!A5="EIGHT_LEGS_EASTON",Inputs!$B$17+((C1842=TRUE)*(F1842-Calc!F23))+((C1846=TRUE)*(F1846-Calc!F27))+((IF(AND(Inputs!$B$38&lt;&gt;"pvp",Inputs!$B$43=0),1,IF(IF(Inputs!$B$38="pvp",15,Inputs!$B$43)-(B1857)&lt;=0,1,MAX(0,IF(Inputs!$B$38="pvp",15,Inputs!$B$43)-MAX(5,B1857))/(IF(Inputs!$B$38="pvp",15,Inputs!$B$43)-(B1857))))*(IF(AND(ArtifactsInput!$M$42,((Inputs!$B$9+((C1838=TRUE)*(F1838-Calc!F19))+B1850+(ArtifactsInput!$M$24-ArtifactsInput!$M$24)*CHOOSE(ArtifactsInput!$N$24+1,10,12,14,16,18,20)+IF(ArtifactsInput!$M$10,CHOOSE(ArtifactsInput!$N$10+1,15,18,21,24,27,30)*(IF(Inputs!$B$38="pvp",MIN(15,15)/15,IF(AND(Inputs!$B$38&lt;&gt;"pvp",Inputs!$B$43&gt;0),MIN(15,Inputs!$B$43)/(Inputs!$B$43),0))),0)))&gt;=100),MIN(100,((Inputs!$B$9+((C1838=TRUE)*(F1838-Calc!F19))+B1850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1857)&lt;=0,1,MAX(0,IF(Inputs!$B$38="pvp",15,Inputs!$B$43)-MAX(5,B1857))/(IF(Inputs!$B$38="pvp",15,Inputs!$B$43)-(B1857))))*IF(AND(ArtifactsInput!$M$42,((Inputs!$B$9+((C1838=TRUE)*(F1838-Calc!F19))+B1850+(ArtifactsInput!$M$24-ArtifactsInput!$M$24)*CHOOSE(ArtifactsInput!$N$24+1,10,12,14,16,18,20)+IF(ArtifactsInput!$M$10,CHOOSE(ArtifactsInput!$N$10+1,15,18,21,24,27,30)*(IF(Inputs!$B$38="pvp",MIN(15,15)/15,IF(AND(Inputs!$B$38&lt;&gt;"pvp",Inputs!$B$43&gt;0),MIN(15,Inputs!$B$43)/(Inputs!$B$43),0))),0)))&gt;=100),CHOOSE(ArtifactsInput!$N$42+1,40,48,56,64,72,80),0))))/100)*((1+(((C1836=TRUE)*F1836*5/7)+((C1843=TRUE)*(F1843-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1824)</f>
        <v/>
      </c>
      <c r="L1824">
        <f>K1824*(MIN(Inputs!$B$22+((C1841=TRUE)*(F1841-Calc!F22)),(Inputs!$B$23+0+(IF(ArtifactsInput!$M$15,CHOOSE(ArtifactsInput!$N$15+1,25,30,35,40,45,50)/100*(Inputs!$B$11-Inputs!$B$11),0))))/100+(Inputs!$B$23+0+(IF(ArtifactsInput!$M$15,CHOOSE(ArtifactsInput!$N$15+1,25,30,35,40,45,50)/100*(Inputs!$B$11-Inputs!$B$11),0)))/100)/2</f>
        <v/>
      </c>
      <c r="M1824">
        <f>L1824*(1+(Inputs!$B$10+((C1844=TRUE)*(F1844-Calc!F25))+B1855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24">
        <f>L1824*(1-MIN((Inputs!$B$9+((C1838=TRUE)*(F1838-Calc!F19))+B1850+(ArtifactsInput!$M$24-ArtifactsInput!$M$24)*CHOOSE(ArtifactsInput!$N$24+1,10,12,14,16,18,20)+(IF(AND(Inputs!$B$38&lt;&gt;"pvp",Inputs!$B$43=0),1,IF(IF(Inputs!$B$38="pvp",15,Inputs!$B$43)-(B1857)&lt;=0,1,MAX(0,IF(Inputs!$B$38="pvp",15,Inputs!$B$43)-MAX(5,B1857))/(IF(Inputs!$B$38="pvp",15,Inputs!$B$43)-(B1857))))*IF(AND(ArtifactsInput!$M$42,((Inputs!$B$9+((C1838=TRUE)*(F1838-Calc!F19))+B1850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1824*(MIN((Inputs!$B$9+((C1838=TRUE)*(F1838-Calc!F19))+B1850+(ArtifactsInput!$M$24-ArtifactsInput!$M$24)*CHOOSE(ArtifactsInput!$N$24+1,10,12,14,16,18,20)+(IF(AND(Inputs!$B$38&lt;&gt;"pvp",Inputs!$B$43=0),1,IF(IF(Inputs!$B$38="pvp",15,Inputs!$B$43)-(B1857)&lt;=0,1,MAX(0,IF(Inputs!$B$38="pvp",15,Inputs!$B$43)-MAX(5,B1857))/(IF(Inputs!$B$38="pvp",15,Inputs!$B$43)-(B1857))))*IF(AND(ArtifactsInput!$M$42,((Inputs!$B$9+((C1838=TRUE)*(F1838-Calc!F19))+B1850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24">
        <f>(1-Summary!$B$11)*T1824+Summary!$B$11*V1824</f>
        <v/>
      </c>
      <c r="P1824">
        <f>IF(B1860=0,0,O1824/B1860)</f>
        <v/>
      </c>
      <c r="Q1824">
        <f>IFERROR(1/(IF(Inputs!$B$38="pvp",15,MAX(0.1,Skills!D5-IF(TRUE=TRUE,Inputs!$B$32,0)))*(1-IF(AND(ArtifactsInput!$M$27,Inputs!$B$4="Chapter Hunt"),CHOOSE(ArtifactsInput!$N$27+1,20,24,28,32,36,40),0)/100)),0)</f>
        <v/>
      </c>
      <c r="R1824">
        <f>IF(AND(Inputs!$B$38&lt;&gt;"pvp",Inputs!$B$43&gt;0),IF(MAX(0,Inputs!$B$43-B1857)&lt;=0,0,(INT(MAX(0,Inputs!$B$43-B1857)/(IF(Inputs!$B$38="pvp",15,MAX(0.1,Skills!D5-IF(TRUE=TRUE,Inputs!$B$32,0)))*(1-IF(AND(ArtifactsInput!$M$27,Inputs!$B$4="Chapter Hunt"),CHOOSE(ArtifactsInput!$N$27+1,20,24,28,32,36,40),0)/100)))+1)),0)</f>
        <v/>
      </c>
      <c r="S1824">
        <f>IFERROR(O1824/N1824,0)</f>
        <v/>
      </c>
      <c r="T1824">
        <f>IF(C1824,(H1824*N1824*IF(AND(Inputs!$B$38&lt;&gt;"pvp",Inputs!$B$43&gt;0),((Skills!G5*((R1824-1)*IF(Skills!H5&gt;0,INT(IF(Inputs!$B$3&gt;=104,MIN(35,20*(1+Inputs!$B$34/100)),20)/Skills!H5+0.000000001),1)+IF(Skills!H5&gt;0,INT(MIN(IF(Inputs!$B$3&gt;=104,MIN(35,20*(1+Inputs!$B$34/100)),20),MAX(0,MAX(0,Inputs!$B$43-B1857)-((R1824-1)*(IF(Inputs!$B$38="pvp",15,MAX(0.1,Skills!D5-IF(TRUE=TRUE,Inputs!$B$32,0)))*(1-IF(AND(ArtifactsInput!$M$27,Inputs!$B$4="Chapter Hunt"),CHOOSE(ArtifactsInput!$N$27+1,20,24,28,32,36,40),0)/100)))))/Skills!H5+0.000000001),1)))/Inputs!$B$43),G1824*Q1824))*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Hunt"),CHOOSE(ArtifactsInput!$N$35+1,15,18,21,24,27,30)*(1-EXP(-(0.2*B1852)*5)),0)+IF(AND(ArtifactsInput!$M$22,Inputs!$B$4&lt;&gt;"Chapter Hunt"),CHOOSE(ArtifactsInput!$N$22+1,10,12,14,16,18,20)*((0*(((0.15*B1852*5))^0/1)+1*(((0.15*B1852*5))^1/1)+2*(((0.15*B1852*5))^2/2)+3*(((0.15*B1852*5))^3/6)+4*(((0.15*B1852*5))^4/24)+5*(((0.15*B1852*5))^5/120))/((((0.15*B1852*5))^0/1)+(((0.15*B1852*5))^1/1)+(((0.15*B1852*5))^2/2)+(((0.15*B1852*5))^3/6)+(((0.15*B1852*5))^4/24)+(((0.15*B1852*5))^5/120))),0))+IF(Inputs!$B$3&gt;=54,9*(C1822=TRUE)*MIN(1,8*(1+Inputs!$B$34/100)*Q1822)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1824*(1-MIN(100,(Inputs!$B$9+((C1838=TRUE)*(F1838-Calc!F19))+B1850+(ArtifactsInput!$M$24-ArtifactsInput!$M$24)*CHOOSE(ArtifactsInput!$N$24+1,10,12,14,16,18,20)+(IF(AND(Inputs!$B$38&lt;&gt;"pvp",Inputs!$B$43=0),1,IF(IF(Inputs!$B$38="pvp",15,Inputs!$B$43)-(B1857)&lt;=0,1,MAX(0,IF(Inputs!$B$38="pvp",15,Inputs!$B$43)-MAX(5,B1857))/(IF(Inputs!$B$38="pvp",15,Inputs!$B$43)-(B1857))))*IF(AND(ArtifactsInput!$M$42,((Inputs!$B$9+((C1838=TRUE)*(F1838-Calc!F19))+B1850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1824*(MIN(100,(Inputs!$B$9+((C1838=TRUE)*(F1838-Calc!F19))+B1850+(ArtifactsInput!$M$24-ArtifactsInput!$M$24)*CHOOSE(ArtifactsInput!$N$24+1,10,12,14,16,18,20)+(IF(AND(Inputs!$B$38&lt;&gt;"pvp",Inputs!$B$43=0),1,IF(IF(Inputs!$B$38="pvp",15,Inputs!$B$43)-(B1857)&lt;=0,1,MAX(0,IF(Inputs!$B$38="pvp",15,Inputs!$B$43)-MAX(5,B1857))/(IF(Inputs!$B$38="pvp",15,Inputs!$B$43)-(B1857))))*IF(AND(ArtifactsInput!$M$42,((Inputs!$B$9+((C1838=TRUE)*(F1838-Calc!F19))+B1850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1824*(1-MIN(100,(Inputs!$B$9+((C1838=TRUE)*(F1838-Calc!F19))+B1850+(ArtifactsInput!$M$24-ArtifactsInput!$M$24)*CHOOSE(ArtifactsInput!$N$24+1,10,12,14,16,18,20)+(IF(AND(Inputs!$B$38&lt;&gt;"pvp",Inputs!$B$43=0),1,IF(IF(Inputs!$B$38="pvp",15,Inputs!$B$43)-(B1857)&lt;=0,1,MAX(0,IF(Inputs!$B$38="pvp",15,Inputs!$B$43)-MAX(5,B1857))/(IF(Inputs!$B$38="pvp",15,Inputs!$B$43)-(B1857))))*IF(AND(ArtifactsInput!$M$42,((Inputs!$B$9+((C1838=TRUE)*(F1838-Calc!F19))+B1850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1824*(MIN(100,(Inputs!$B$9+((C1838=TRUE)*(F1838-Calc!F19))+B1850+(ArtifactsInput!$M$24-ArtifactsInput!$M$24)*CHOOSE(ArtifactsInput!$N$24+1,10,12,14,16,18,20)+(IF(AND(Inputs!$B$38&lt;&gt;"pvp",Inputs!$B$43=0),1,IF(IF(Inputs!$B$38="pvp",15,Inputs!$B$43)-(B1857)&lt;=0,1,MAX(0,IF(Inputs!$B$38="pvp",15,Inputs!$B$43)-MAX(5,B1857))/(IF(Inputs!$B$38="pvp",15,Inputs!$B$43)-(B1857))))*IF(AND(ArtifactsInput!$M$42,((Inputs!$B$9+((C1838=TRUE)*(F1838-Calc!F19))+B1850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824">
        <f>IF(C1824,(H1824*N1824*IF(AND(Inputs!$B$38&lt;&gt;"pvp",Inputs!$B$43&gt;0),((Skills!G5*((R1824-1)*IF(Skills!H5&gt;0,INT(IF(Inputs!$B$3&gt;=104,MIN(35,20*(1+Inputs!$B$34/100)),20)/Skills!H5+0.000000001),1)+IF(Skills!H5&gt;0,INT(MIN(IF(Inputs!$B$3&gt;=104,MIN(35,20*(1+Inputs!$B$34/100)),20),MAX(0,MAX(0,Inputs!$B$43-B1857)-((R1824-1)*(IF(Inputs!$B$38="pvp",15,MAX(0.1,Skills!D5-IF(TRUE=TRUE,Inputs!$B$32,0)))*(1-IF(AND(ArtifactsInput!$M$27,Inputs!$B$4="Chapter Hunt"),CHOOSE(ArtifactsInput!$N$27+1,20,24,28,32,36,40),0)/100)))))/Skills!H5+0.000000001),1)))/Inputs!$B$43),G1824*Q1824))*IF(Inputs!$B$38="pvp",1,(1+(Inputs!$B$21+Skills!Q5+(IF(ArtifactsInput!$M$33,CHOOSE(ArtifactsInput!$N$33+1,30,36,42,48,54,60),0))+(IF(AND(ArtifactsInput!$M$35,Inputs!$B$4&lt;&gt;"Chapter Hunt"),CHOOSE(ArtifactsInput!$N$35+1,15,18,21,24,27,30)*(1-EXP(-(0.2*B1852)*5)),0)+IF(AND(ArtifactsInput!$M$22,Inputs!$B$4&lt;&gt;"Chapter Hunt"),CHOOSE(ArtifactsInput!$N$22+1,10,12,14,16,18,20)*((0*(((0.15*B1852*5))^0/1)+1*(((0.15*B1852*5))^1/1)+2*(((0.15*B1852*5))^2/2)+3*(((0.15*B1852*5))^3/6)+4*(((0.15*B1852*5))^4/24)+5*(((0.15*B1852*5))^5/120))/((((0.15*B1852*5))^0/1)+(((0.15*B1852*5))^1/1)+(((0.15*B1852*5))^2/2)+(((0.15*B1852*5))^3/6)+(((0.15*B1852*5))^4/24)+(((0.15*B1852*5))^5/120))),0))+IF(Inputs!$B$3&gt;=54,9*(C1822=TRUE)*MIN(1,8*(1+Inputs!$B$34/100)*Q1822),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25">
      <c r="A1825">
        <f>Skills!A6</f>
        <v/>
      </c>
      <c r="B1825">
        <f>Skills!B6</f>
        <v/>
      </c>
      <c r="C1825">
        <f>Inputs!$B$3&gt;=66</f>
        <v/>
      </c>
      <c r="D1825">
        <f>IF(Skills!C6=1,60+Inputs!$B$25+Inputs!$B$29,IF(Skills!C6=2,90+Inputs!$B$26+Inputs!$B$29,IF(Skills!C6=3,120+Inputs!$B$27+Inputs!$B$29,MAX(0,(Inputs!$B$3-100)*3)+Inputs!$B$28+Inputs!$B$29)))</f>
        <v/>
      </c>
      <c r="E1825">
        <f>INDEX(FactorTable!$B$2:$Y$301, MATCH(ROUND(MIN(300,MAX(1,D1825)),0), FactorTable!$A$2:$A$301,0), Skills!M6+1)</f>
        <v/>
      </c>
      <c r="F1825">
        <f>IF(Skills!N6=TRUE,(Skills!L6/10)*(E1825/1000),Skills!L6/10)+Skills!O6</f>
        <v/>
      </c>
      <c r="G1825">
        <f>Skills!G6*IF(Skills!H6&gt;0,INT(IF(Inputs!$B$38="pvp",MIN(Skills!I6,15),Skills!I6)/Skills!H6+0.000000001),1)</f>
        <v/>
      </c>
      <c r="H1825">
        <f>1-(1-Skills!J6/100)^Skills!K6</f>
        <v/>
      </c>
      <c r="I1825" t="inlineStr">
        <is>
          <t>1</t>
        </is>
      </c>
      <c r="J1825">
        <f>((Inputs!$B$6*(1+Inputs!$B$7/100))+(((Inputs!$B$12*(1+Inputs!$B$13/100))-(Inputs!$B$12*(1+Inputs!$B$13/100)))+0.25*(Inputs!$B$14-Inputs!$B$14))*(1+Inputs!$B$7/100))*(F1825/100)</f>
        <v/>
      </c>
      <c r="K1825">
        <f>J1825*(1+((Inputs!$B$12*(1+Inputs!$B$13/100))*0.01+Inputs!$B$14*0.0025)/100)*(1+Inputs!$B$15/100)*(1+Inputs!$B$16/100)*(5000/(6000+Inputs!$B$42*(1-(100*(1-(1-(Inputs!$B$19+0)/100)*(1-CHOOSE(ArtifactsInput!$N$40+1,5,6,7,8,9,10)/100)^(ArtifactsInput!$M$40-ArtifactsInput!$M$40)))/100)))*(1+(Inputs!$B$24+((C1845=TRUE)*(F1845-Calc!F26))+B1856)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+2.0*IF(C1834=TRUE,F1834,0)/100)*(1+(IF(Skills!A6="EIGHT_LEGS_EASTON",Inputs!$B$17+((C1842=TRUE)*(F1842-Calc!F23))+((C1846=TRUE)*(F1846-Calc!F27))+((IF(AND(Inputs!$B$38&lt;&gt;"pvp",Inputs!$B$43=0),1,IF(IF(Inputs!$B$38="pvp",15,Inputs!$B$43)-(B1857)&lt;=0,1,MAX(0,IF(Inputs!$B$38="pvp",15,Inputs!$B$43)-MAX(5,B1857))/(IF(Inputs!$B$38="pvp",15,Inputs!$B$43)-(B1857))))*(IF(AND(ArtifactsInput!$M$42,((Inputs!$B$9+((C1838=TRUE)*(F1838-Calc!F19))+B1850+(ArtifactsInput!$M$24-ArtifactsInput!$M$24)*CHOOSE(ArtifactsInput!$N$24+1,10,12,14,16,18,20)+IF(ArtifactsInput!$M$10,CHOOSE(ArtifactsInput!$N$10+1,15,18,21,24,27,30)*(IF(Inputs!$B$38="pvp",MIN(15,15)/15,IF(AND(Inputs!$B$38&lt;&gt;"pvp",Inputs!$B$43&gt;0),MIN(15,Inputs!$B$43)/(Inputs!$B$43),0))),0)))&gt;=100),MIN(100,((Inputs!$B$9+((C1838=TRUE)*(F1838-Calc!F19))+B1850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1857)&lt;=0,1,MAX(0,IF(Inputs!$B$38="pvp",15,Inputs!$B$43)-MAX(5,B1857))/(IF(Inputs!$B$38="pvp",15,Inputs!$B$43)-(B1857))))*IF(AND(ArtifactsInput!$M$42,((Inputs!$B$9+((C1838=TRUE)*(F1838-Calc!F19))+B1850+(ArtifactsInput!$M$24-ArtifactsInput!$M$24)*CHOOSE(ArtifactsInput!$N$24+1,10,12,14,16,18,20)+IF(ArtifactsInput!$M$10,CHOOSE(ArtifactsInput!$N$10+1,15,18,21,24,27,30)*(IF(Inputs!$B$38="pvp",MIN(15,15)/15,IF(AND(Inputs!$B$38&lt;&gt;"pvp",Inputs!$B$43&gt;0),MIN(15,Inputs!$B$43)/(Inputs!$B$43),0))),0)))&gt;=100),CHOOSE(ArtifactsInput!$N$42+1,40,48,56,64,72,80),0))))/100)*((1+(((C1836=TRUE)*F1836*5/7)+((C1843=TRUE)*(F1843-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1825)</f>
        <v/>
      </c>
      <c r="L1825">
        <f>K1825*(MIN(Inputs!$B$22+((C1841=TRUE)*(F1841-Calc!F22)),(Inputs!$B$23+0+(IF(ArtifactsInput!$M$15,CHOOSE(ArtifactsInput!$N$15+1,25,30,35,40,45,50)/100*(Inputs!$B$11-Inputs!$B$11),0))))/100+(Inputs!$B$23+0+(IF(ArtifactsInput!$M$15,CHOOSE(ArtifactsInput!$N$15+1,25,30,35,40,45,50)/100*(Inputs!$B$11-Inputs!$B$11),0)))/100)/2</f>
        <v/>
      </c>
      <c r="M1825">
        <f>L1825*(1+(Inputs!$B$10+((C1844=TRUE)*(F1844-Calc!F25))+B1855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25">
        <f>L1825*(1-MIN((Inputs!$B$9+((C1838=TRUE)*(F1838-Calc!F19))+B1850+(ArtifactsInput!$M$24-ArtifactsInput!$M$24)*CHOOSE(ArtifactsInput!$N$24+1,10,12,14,16,18,20)+(IF(AND(Inputs!$B$38&lt;&gt;"pvp",Inputs!$B$43=0),1,IF(IF(Inputs!$B$38="pvp",15,Inputs!$B$43)-(B1857)&lt;=0,1,MAX(0,IF(Inputs!$B$38="pvp",15,Inputs!$B$43)-MAX(5,B1857))/(IF(Inputs!$B$38="pvp",15,Inputs!$B$43)-(B1857))))*IF(AND(ArtifactsInput!$M$42,((Inputs!$B$9+((C1838=TRUE)*(F1838-Calc!F19))+B1850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1825*(MIN((Inputs!$B$9+((C1838=TRUE)*(F1838-Calc!F19))+B1850+(ArtifactsInput!$M$24-ArtifactsInput!$M$24)*CHOOSE(ArtifactsInput!$N$24+1,10,12,14,16,18,20)+(IF(AND(Inputs!$B$38&lt;&gt;"pvp",Inputs!$B$43=0),1,IF(IF(Inputs!$B$38="pvp",15,Inputs!$B$43)-(B1857)&lt;=0,1,MAX(0,IF(Inputs!$B$38="pvp",15,Inputs!$B$43)-MAX(5,B1857))/(IF(Inputs!$B$38="pvp",15,Inputs!$B$43)-(B1857))))*IF(AND(ArtifactsInput!$M$42,((Inputs!$B$9+((C1838=TRUE)*(F1838-Calc!F19))+B1850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25">
        <f>(1-Summary!$B$11)*T1825+Summary!$B$11*V1825</f>
        <v/>
      </c>
      <c r="P1825">
        <f>IF(B1860=0,0,O1825/B1860)</f>
        <v/>
      </c>
      <c r="Q1825">
        <f>IFERROR(1/(IF(Inputs!$B$38="pvp",15,MAX(0.1,Skills!D6-IF(TRUE=TRUE,Inputs!$B$32,0)))*(1-IF(AND(ArtifactsInput!$M$27,Inputs!$B$4="Chapter Hunt"),CHOOSE(ArtifactsInput!$N$27+1,20,24,28,32,36,40),0)/100)),0)</f>
        <v/>
      </c>
      <c r="R1825">
        <f>IF(AND(Inputs!$B$38&lt;&gt;"pvp",Inputs!$B$43&gt;0),IF(MAX(0,Inputs!$B$43-B1857)&lt;=0,0,(INT(MAX(0,Inputs!$B$43-B1857)/(IF(Inputs!$B$38="pvp",15,MAX(0.1,Skills!D6-IF(TRUE=TRUE,Inputs!$B$32,0)))*(1-IF(AND(ArtifactsInput!$M$27,Inputs!$B$4="Chapter Hunt"),CHOOSE(ArtifactsInput!$N$27+1,20,24,28,32,36,40),0)/100)))+1)),0)</f>
        <v/>
      </c>
      <c r="S1825">
        <f>IFERROR(O1825/N1825,0)</f>
        <v/>
      </c>
      <c r="T1825">
        <f>IF(C1825,(H1825*N1825*IF(AND(Inputs!$B$38&lt;&gt;"pvp",Inputs!$B$43&gt;0),((Skills!G6*((R1825-1)*IF(Skills!H6&gt;0,INT(Skills!I6/Skills!H6+0.000000001),1)+IF(Skills!H6&gt;0,INT(MIN(Skills!I6,MAX(0,MAX(0,Inputs!$B$43-B1857)-((R1825-1)*(IF(Inputs!$B$38="pvp",15,MAX(0.1,Skills!D6-IF(TRUE=TRUE,Inputs!$B$32,0)))*(1-IF(AND(ArtifactsInput!$M$27,Inputs!$B$4="Chapter Hunt"),CHOOSE(ArtifactsInput!$N$27+1,20,24,28,32,36,40),0)/100)))))/Skills!H6+0.000000001),1)))/Inputs!$B$43),G1825*Q1825))*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Hunt"),CHOOSE(ArtifactsInput!$N$35+1,15,18,21,24,27,30)*(1-EXP(-(0.2*B1852)*5)),0)+IF(AND(ArtifactsInput!$M$22,Inputs!$B$4&lt;&gt;"Chapter Hunt"),CHOOSE(ArtifactsInput!$N$22+1,10,12,14,16,18,20)*((0*(((0.15*B1852*5))^0/1)+1*(((0.15*B1852*5))^1/1)+2*(((0.15*B1852*5))^2/2)+3*(((0.15*B1852*5))^3/6)+4*(((0.15*B1852*5))^4/24)+5*(((0.15*B1852*5))^5/120))/((((0.15*B1852*5))^0/1)+(((0.15*B1852*5))^1/1)+(((0.15*B1852*5))^2/2)+(((0.15*B1852*5))^3/6)+(((0.15*B1852*5))^4/24)+(((0.15*B1852*5))^5/120))),0))+IF(Inputs!$B$3&gt;=54,9*(C1822=TRUE)*MIN(1,8*(1+Inputs!$B$34/100)*Q1822)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1825*(1-MIN(100,(Inputs!$B$9+((C1838=TRUE)*(F1838-Calc!F19))+B1850+(ArtifactsInput!$M$24-ArtifactsInput!$M$24)*CHOOSE(ArtifactsInput!$N$24+1,10,12,14,16,18,20)+(IF(AND(Inputs!$B$38&lt;&gt;"pvp",Inputs!$B$43=0),1,IF(IF(Inputs!$B$38="pvp",15,Inputs!$B$43)-(B1857)&lt;=0,1,MAX(0,IF(Inputs!$B$38="pvp",15,Inputs!$B$43)-MAX(5,B1857))/(IF(Inputs!$B$38="pvp",15,Inputs!$B$43)-(B1857))))*IF(AND(ArtifactsInput!$M$42,((Inputs!$B$9+((C1838=TRUE)*(F1838-Calc!F19))+B1850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1825*(MIN(100,(Inputs!$B$9+((C1838=TRUE)*(F1838-Calc!F19))+B1850+(ArtifactsInput!$M$24-ArtifactsInput!$M$24)*CHOOSE(ArtifactsInput!$N$24+1,10,12,14,16,18,20)+(IF(AND(Inputs!$B$38&lt;&gt;"pvp",Inputs!$B$43=0),1,IF(IF(Inputs!$B$38="pvp",15,Inputs!$B$43)-(B1857)&lt;=0,1,MAX(0,IF(Inputs!$B$38="pvp",15,Inputs!$B$43)-MAX(5,B1857))/(IF(Inputs!$B$38="pvp",15,Inputs!$B$43)-(B1857))))*IF(AND(ArtifactsInput!$M$42,((Inputs!$B$9+((C1838=TRUE)*(F1838-Calc!F19))+B1850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1825*(1-MIN(100,(Inputs!$B$9+((C1838=TRUE)*(F1838-Calc!F19))+B1850+(ArtifactsInput!$M$24-ArtifactsInput!$M$24)*CHOOSE(ArtifactsInput!$N$24+1,10,12,14,16,18,20)+(IF(AND(Inputs!$B$38&lt;&gt;"pvp",Inputs!$B$43=0),1,IF(IF(Inputs!$B$38="pvp",15,Inputs!$B$43)-(B1857)&lt;=0,1,MAX(0,IF(Inputs!$B$38="pvp",15,Inputs!$B$43)-MAX(5,B1857))/(IF(Inputs!$B$38="pvp",15,Inputs!$B$43)-(B1857))))*IF(AND(ArtifactsInput!$M$42,((Inputs!$B$9+((C1838=TRUE)*(F1838-Calc!F19))+B1850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1825*(MIN(100,(Inputs!$B$9+((C1838=TRUE)*(F1838-Calc!F19))+B1850+(ArtifactsInput!$M$24-ArtifactsInput!$M$24)*CHOOSE(ArtifactsInput!$N$24+1,10,12,14,16,18,20)+(IF(AND(Inputs!$B$38&lt;&gt;"pvp",Inputs!$B$43=0),1,IF(IF(Inputs!$B$38="pvp",15,Inputs!$B$43)-(B1857)&lt;=0,1,MAX(0,IF(Inputs!$B$38="pvp",15,Inputs!$B$43)-MAX(5,B1857))/(IF(Inputs!$B$38="pvp",15,Inputs!$B$43)-(B1857))))*IF(AND(ArtifactsInput!$M$42,((Inputs!$B$9+((C1838=TRUE)*(F1838-Calc!F19))+B1850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825">
        <f>IF(C1825,(H1825*N1825*IF(AND(Inputs!$B$38&lt;&gt;"pvp",Inputs!$B$43&gt;0),((Skills!G6*((R1825-1)*IF(Skills!H6&gt;0,INT(Skills!I6/Skills!H6+0.000000001),1)+IF(Skills!H6&gt;0,INT(MIN(Skills!I6,MAX(0,MAX(0,Inputs!$B$43-B1857)-((R1825-1)*(IF(Inputs!$B$38="pvp",15,MAX(0.1,Skills!D6-IF(TRUE=TRUE,Inputs!$B$32,0)))*(1-IF(AND(ArtifactsInput!$M$27,Inputs!$B$4="Chapter Hunt"),CHOOSE(ArtifactsInput!$N$27+1,20,24,28,32,36,40),0)/100)))))/Skills!H6+0.000000001),1)))/Inputs!$B$43),G1825*Q1825))*IF(Inputs!$B$38="pvp",1,(1+(Inputs!$B$21+Skills!Q6+(IF(ArtifactsInput!$M$33,CHOOSE(ArtifactsInput!$N$33+1,30,36,42,48,54,60),0))+(IF(AND(ArtifactsInput!$M$35,Inputs!$B$4&lt;&gt;"Chapter Hunt"),CHOOSE(ArtifactsInput!$N$35+1,15,18,21,24,27,30)*(1-EXP(-(0.2*B1852)*5)),0)+IF(AND(ArtifactsInput!$M$22,Inputs!$B$4&lt;&gt;"Chapter Hunt"),CHOOSE(ArtifactsInput!$N$22+1,10,12,14,16,18,20)*((0*(((0.15*B1852*5))^0/1)+1*(((0.15*B1852*5))^1/1)+2*(((0.15*B1852*5))^2/2)+3*(((0.15*B1852*5))^3/6)+4*(((0.15*B1852*5))^4/24)+5*(((0.15*B1852*5))^5/120))/((((0.15*B1852*5))^0/1)+(((0.15*B1852*5))^1/1)+(((0.15*B1852*5))^2/2)+(((0.15*B1852*5))^3/6)+(((0.15*B1852*5))^4/24)+(((0.15*B1852*5))^5/120))),0))+IF(Inputs!$B$3&gt;=54,9*(C1822=TRUE)*MIN(1,8*(1+Inputs!$B$34/100)*Q1822),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26">
      <c r="A1826">
        <f>Skills!A7</f>
        <v/>
      </c>
      <c r="B1826">
        <f>Skills!B7</f>
        <v/>
      </c>
      <c r="C1826">
        <f>Inputs!$B$3&gt;=63</f>
        <v/>
      </c>
      <c r="D1826">
        <f>IF(Skills!C7=1,60+Inputs!$B$25+Inputs!$B$29,IF(Skills!C7=2,90+Inputs!$B$26+Inputs!$B$29,IF(Skills!C7=3,120+Inputs!$B$27+Inputs!$B$29,MAX(0,(Inputs!$B$3-100)*3)+Inputs!$B$28+Inputs!$B$29)))</f>
        <v/>
      </c>
      <c r="E1826">
        <f>INDEX(FactorTable!$B$2:$Y$301, MATCH(ROUND(MIN(300,MAX(1,D1826)),0), FactorTable!$A$2:$A$301,0), Skills!M7+1)</f>
        <v/>
      </c>
      <c r="F1826">
        <f>IF(Skills!N7=TRUE,(Skills!L7/10)*(E1826/1000),Skills!L7/10)+Skills!O7</f>
        <v/>
      </c>
      <c r="G1826">
        <f>Skills!G7*IF(Skills!H7&gt;0,INT(IF(Inputs!$B$38="pvp",MIN(Skills!I7,15),Skills!I7)/Skills!H7+0.000000001),1)</f>
        <v/>
      </c>
      <c r="H1826">
        <f>1-(1-Skills!J7/100)^Skills!K7</f>
        <v/>
      </c>
      <c r="I1826" t="inlineStr">
        <is>
          <t>1</t>
        </is>
      </c>
      <c r="J1826">
        <f>((Inputs!$B$6*(1+Inputs!$B$7/100))+(((Inputs!$B$12*(1+Inputs!$B$13/100))-(Inputs!$B$12*(1+Inputs!$B$13/100)))+0.25*(Inputs!$B$14-Inputs!$B$14))*(1+Inputs!$B$7/100))*(F1826/100)</f>
        <v/>
      </c>
      <c r="K1826">
        <f>J1826*(1+((Inputs!$B$12*(1+Inputs!$B$13/100))*0.01+Inputs!$B$14*0.0025)/100)*(1+Inputs!$B$15/100)*(1+Inputs!$B$16/100)*(5000/(6000+Inputs!$B$42*(1-(100*(1-(1-(Inputs!$B$19+0)/100)*(1-CHOOSE(ArtifactsInput!$N$40+1,5,6,7,8,9,10)/100)^(ArtifactsInput!$M$40-ArtifactsInput!$M$40)))/100)))*(1+(Inputs!$B$24+((C1845=TRUE)*(F1845-Calc!F26))+B1856)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1834=TRUE,F1834,0)/100)*(1+(IF(Skills!A7="EIGHT_LEGS_EASTON",Inputs!$B$17+((C1842=TRUE)*(F1842-Calc!F23))+((C1846=TRUE)*(F1846-Calc!F27))+((IF(AND(Inputs!$B$38&lt;&gt;"pvp",Inputs!$B$43=0),1,IF(IF(Inputs!$B$38="pvp",15,Inputs!$B$43)-(B1857)&lt;=0,1,MAX(0,IF(Inputs!$B$38="pvp",15,Inputs!$B$43)-MAX(5,B1857))/(IF(Inputs!$B$38="pvp",15,Inputs!$B$43)-(B1857))))*(IF(AND(ArtifactsInput!$M$42,((Inputs!$B$9+((C1838=TRUE)*(F1838-Calc!F19))+B1850+(ArtifactsInput!$M$24-ArtifactsInput!$M$24)*CHOOSE(ArtifactsInput!$N$24+1,10,12,14,16,18,20)+IF(ArtifactsInput!$M$10,CHOOSE(ArtifactsInput!$N$10+1,15,18,21,24,27,30)*(IF(Inputs!$B$38="pvp",MIN(15,15)/15,IF(AND(Inputs!$B$38&lt;&gt;"pvp",Inputs!$B$43&gt;0),MIN(15,Inputs!$B$43)/(Inputs!$B$43),0))),0)))&gt;=100),MIN(100,((Inputs!$B$9+((C1838=TRUE)*(F1838-Calc!F19))+B1850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1857)&lt;=0,1,MAX(0,IF(Inputs!$B$38="pvp",15,Inputs!$B$43)-MAX(5,B1857))/(IF(Inputs!$B$38="pvp",15,Inputs!$B$43)-(B1857))))*IF(AND(ArtifactsInput!$M$42,((Inputs!$B$9+((C1838=TRUE)*(F1838-Calc!F19))+B1850+(ArtifactsInput!$M$24-ArtifactsInput!$M$24)*CHOOSE(ArtifactsInput!$N$24+1,10,12,14,16,18,20)+IF(ArtifactsInput!$M$10,CHOOSE(ArtifactsInput!$N$10+1,15,18,21,24,27,30)*(IF(Inputs!$B$38="pvp",MIN(15,15)/15,IF(AND(Inputs!$B$38&lt;&gt;"pvp",Inputs!$B$43&gt;0),MIN(15,Inputs!$B$43)/(Inputs!$B$43),0))),0)))&gt;=100),CHOOSE(ArtifactsInput!$N$42+1,40,48,56,64,72,80),0))))/100)*((1+(((C1836=TRUE)*F1836*5/7)+((C1843=TRUE)*(F1843-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1826)</f>
        <v/>
      </c>
      <c r="L1826">
        <f>K1826*(MIN(Inputs!$B$22+((C1841=TRUE)*(F1841-Calc!F22)),(Inputs!$B$23+0+(IF(ArtifactsInput!$M$15,CHOOSE(ArtifactsInput!$N$15+1,25,30,35,40,45,50)/100*(Inputs!$B$11-Inputs!$B$11),0))))/100+(Inputs!$B$23+0+(IF(ArtifactsInput!$M$15,CHOOSE(ArtifactsInput!$N$15+1,25,30,35,40,45,50)/100*(Inputs!$B$11-Inputs!$B$11),0)))/100)/2</f>
        <v/>
      </c>
      <c r="M1826">
        <f>L1826*(1+(Inputs!$B$10+((C1844=TRUE)*(F1844-Calc!F25))+B1855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26">
        <f>L1826*(1-MIN((Inputs!$B$9+((C1838=TRUE)*(F1838-Calc!F19))+B1850+(ArtifactsInput!$M$24-ArtifactsInput!$M$24)*CHOOSE(ArtifactsInput!$N$24+1,10,12,14,16,18,20)+(IF(AND(Inputs!$B$38&lt;&gt;"pvp",Inputs!$B$43=0),1,IF(IF(Inputs!$B$38="pvp",15,Inputs!$B$43)-(B1857)&lt;=0,1,MAX(0,IF(Inputs!$B$38="pvp",15,Inputs!$B$43)-MAX(5,B1857))/(IF(Inputs!$B$38="pvp",15,Inputs!$B$43)-(B1857))))*IF(AND(ArtifactsInput!$M$42,((Inputs!$B$9+((C1838=TRUE)*(F1838-Calc!F19))+B1850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1826*(MIN((Inputs!$B$9+((C1838=TRUE)*(F1838-Calc!F19))+B1850+(ArtifactsInput!$M$24-ArtifactsInput!$M$24)*CHOOSE(ArtifactsInput!$N$24+1,10,12,14,16,18,20)+(IF(AND(Inputs!$B$38&lt;&gt;"pvp",Inputs!$B$43=0),1,IF(IF(Inputs!$B$38="pvp",15,Inputs!$B$43)-(B1857)&lt;=0,1,MAX(0,IF(Inputs!$B$38="pvp",15,Inputs!$B$43)-MAX(5,B1857))/(IF(Inputs!$B$38="pvp",15,Inputs!$B$43)-(B1857))))*IF(AND(ArtifactsInput!$M$42,((Inputs!$B$9+((C1838=TRUE)*(F1838-Calc!F19))+B1850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26">
        <f>(1-Summary!$B$11)*T1826+Summary!$B$11*V1826</f>
        <v/>
      </c>
      <c r="P1826">
        <f>IF(B1860=0,0,O1826/B1860)</f>
        <v/>
      </c>
      <c r="Q1826">
        <f>IFERROR(1/(IF(Inputs!$B$38="pvp",15,MAX(0.1,Skills!D7-IF(TRUE=TRUE,Inputs!$B$32,0)))*(1-IF(AND(ArtifactsInput!$M$27,Inputs!$B$4="Chapter Hunt"),CHOOSE(ArtifactsInput!$N$27+1,20,24,28,32,36,40),0)/100)),0)</f>
        <v/>
      </c>
      <c r="R1826">
        <f>IF(AND(Inputs!$B$38&lt;&gt;"pvp",Inputs!$B$43&gt;0),IF(MAX(0,Inputs!$B$43-B1857)&lt;=0,0,(INT(MAX(0,Inputs!$B$43-B1857)/(IF(Inputs!$B$38="pvp",15,MAX(0.1,Skills!D7-IF(TRUE=TRUE,Inputs!$B$32,0)))*(1-IF(AND(ArtifactsInput!$M$27,Inputs!$B$4="Chapter Hunt"),CHOOSE(ArtifactsInput!$N$27+1,20,24,28,32,36,40),0)/100)))+1)),0)</f>
        <v/>
      </c>
      <c r="S1826">
        <f>IFERROR(O1826/N1826,0)</f>
        <v/>
      </c>
      <c r="T1826">
        <f>IF(C1826,(H1826*N1826*IF(AND(Inputs!$B$38&lt;&gt;"pvp",Inputs!$B$43&gt;0),((Skills!G7*((R1826-1)*IF(Skills!H7&gt;0,INT(Skills!I7/Skills!H7+0.000000001),1)+IF(Skills!H7&gt;0,INT(MIN(Skills!I7,MAX(0,MAX(0,Inputs!$B$43-B1857)-((R1826-1)*(IF(Inputs!$B$38="pvp",15,MAX(0.1,Skills!D7-IF(TRUE=TRUE,Inputs!$B$32,0)))*(1-IF(AND(ArtifactsInput!$M$27,Inputs!$B$4="Chapter Hunt"),CHOOSE(ArtifactsInput!$N$27+1,20,24,28,32,36,40),0)/100)))))/Skills!H7+0.000000001),1)))/Inputs!$B$43),G1826*Q1826))*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Hunt"),CHOOSE(ArtifactsInput!$N$35+1,15,18,21,24,27,30)*(1-EXP(-(0.2*B1852)*5)),0)+IF(AND(ArtifactsInput!$M$22,Inputs!$B$4&lt;&gt;"Chapter Hunt"),CHOOSE(ArtifactsInput!$N$22+1,10,12,14,16,18,20)*((0*(((0.15*B1852*5))^0/1)+1*(((0.15*B1852*5))^1/1)+2*(((0.15*B1852*5))^2/2)+3*(((0.15*B1852*5))^3/6)+4*(((0.15*B1852*5))^4/24)+5*(((0.15*B1852*5))^5/120))/((((0.15*B1852*5))^0/1)+(((0.15*B1852*5))^1/1)+(((0.15*B1852*5))^2/2)+(((0.15*B1852*5))^3/6)+(((0.15*B1852*5))^4/24)+(((0.15*B1852*5))^5/120))),0))+IF(Inputs!$B$3&gt;=54,9*(C1822=TRUE)*MIN(1,8*(1+Inputs!$B$34/100)*Q1822)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1826*(1-MIN(100,(Inputs!$B$9+((C1838=TRUE)*(F1838-Calc!F19))+B1850+(ArtifactsInput!$M$24-ArtifactsInput!$M$24)*CHOOSE(ArtifactsInput!$N$24+1,10,12,14,16,18,20)+(IF(AND(Inputs!$B$38&lt;&gt;"pvp",Inputs!$B$43=0),1,IF(IF(Inputs!$B$38="pvp",15,Inputs!$B$43)-(B1857)&lt;=0,1,MAX(0,IF(Inputs!$B$38="pvp",15,Inputs!$B$43)-MAX(5,B1857))/(IF(Inputs!$B$38="pvp",15,Inputs!$B$43)-(B1857))))*IF(AND(ArtifactsInput!$M$42,((Inputs!$B$9+((C1838=TRUE)*(F1838-Calc!F19))+B1850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1826*(MIN(100,(Inputs!$B$9+((C1838=TRUE)*(F1838-Calc!F19))+B1850+(ArtifactsInput!$M$24-ArtifactsInput!$M$24)*CHOOSE(ArtifactsInput!$N$24+1,10,12,14,16,18,20)+(IF(AND(Inputs!$B$38&lt;&gt;"pvp",Inputs!$B$43=0),1,IF(IF(Inputs!$B$38="pvp",15,Inputs!$B$43)-(B1857)&lt;=0,1,MAX(0,IF(Inputs!$B$38="pvp",15,Inputs!$B$43)-MAX(5,B1857))/(IF(Inputs!$B$38="pvp",15,Inputs!$B$43)-(B1857))))*IF(AND(ArtifactsInput!$M$42,((Inputs!$B$9+((C1838=TRUE)*(F1838-Calc!F19))+B1850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1826*(1-MIN(100,(Inputs!$B$9+((C1838=TRUE)*(F1838-Calc!F19))+B1850+(ArtifactsInput!$M$24-ArtifactsInput!$M$24)*CHOOSE(ArtifactsInput!$N$24+1,10,12,14,16,18,20)+(IF(AND(Inputs!$B$38&lt;&gt;"pvp",Inputs!$B$43=0),1,IF(IF(Inputs!$B$38="pvp",15,Inputs!$B$43)-(B1857)&lt;=0,1,MAX(0,IF(Inputs!$B$38="pvp",15,Inputs!$B$43)-MAX(5,B1857))/(IF(Inputs!$B$38="pvp",15,Inputs!$B$43)-(B1857))))*IF(AND(ArtifactsInput!$M$42,((Inputs!$B$9+((C1838=TRUE)*(F1838-Calc!F19))+B1850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1826*(MIN(100,(Inputs!$B$9+((C1838=TRUE)*(F1838-Calc!F19))+B1850+(ArtifactsInput!$M$24-ArtifactsInput!$M$24)*CHOOSE(ArtifactsInput!$N$24+1,10,12,14,16,18,20)+(IF(AND(Inputs!$B$38&lt;&gt;"pvp",Inputs!$B$43=0),1,IF(IF(Inputs!$B$38="pvp",15,Inputs!$B$43)-(B1857)&lt;=0,1,MAX(0,IF(Inputs!$B$38="pvp",15,Inputs!$B$43)-MAX(5,B1857))/(IF(Inputs!$B$38="pvp",15,Inputs!$B$43)-(B1857))))*IF(AND(ArtifactsInput!$M$42,((Inputs!$B$9+((C1838=TRUE)*(F1838-Calc!F19))+B1850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826">
        <f>IF(C1826,(H1826*N1826*IF(AND(Inputs!$B$38&lt;&gt;"pvp",Inputs!$B$43&gt;0),((Skills!G7*((R1826-1)*IF(Skills!H7&gt;0,INT(Skills!I7/Skills!H7+0.000000001),1)+IF(Skills!H7&gt;0,INT(MIN(Skills!I7,MAX(0,MAX(0,Inputs!$B$43-B1857)-((R1826-1)*(IF(Inputs!$B$38="pvp",15,MAX(0.1,Skills!D7-IF(TRUE=TRUE,Inputs!$B$32,0)))*(1-IF(AND(ArtifactsInput!$M$27,Inputs!$B$4="Chapter Hunt"),CHOOSE(ArtifactsInput!$N$27+1,20,24,28,32,36,40),0)/100)))))/Skills!H7+0.000000001),1)))/Inputs!$B$43),G1826*Q1826))*IF(Inputs!$B$38="pvp",1,(1+(Inputs!$B$21+Skills!Q7+(IF(ArtifactsInput!$M$33,CHOOSE(ArtifactsInput!$N$33+1,30,36,42,48,54,60),0))+(IF(AND(ArtifactsInput!$M$35,Inputs!$B$4&lt;&gt;"Chapter Hunt"),CHOOSE(ArtifactsInput!$N$35+1,15,18,21,24,27,30)*(1-EXP(-(0.2*B1852)*5)),0)+IF(AND(ArtifactsInput!$M$22,Inputs!$B$4&lt;&gt;"Chapter Hunt"),CHOOSE(ArtifactsInput!$N$22+1,10,12,14,16,18,20)*((0*(((0.15*B1852*5))^0/1)+1*(((0.15*B1852*5))^1/1)+2*(((0.15*B1852*5))^2/2)+3*(((0.15*B1852*5))^3/6)+4*(((0.15*B1852*5))^4/24)+5*(((0.15*B1852*5))^5/120))/((((0.15*B1852*5))^0/1)+(((0.15*B1852*5))^1/1)+(((0.15*B1852*5))^2/2)+(((0.15*B1852*5))^3/6)+(((0.15*B1852*5))^4/24)+(((0.15*B1852*5))^5/120))),0))+IF(Inputs!$B$3&gt;=54,9*(C1822=TRUE)*MIN(1,8*(1+Inputs!$B$34/100)*Q1822),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27">
      <c r="A1827">
        <f>Skills!A8</f>
        <v/>
      </c>
      <c r="B1827">
        <f>Skills!B8</f>
        <v/>
      </c>
      <c r="C1827">
        <f>Inputs!$B$3&gt;=103</f>
        <v/>
      </c>
      <c r="D1827">
        <f>IF(Skills!C8=1,60+Inputs!$B$25+Inputs!$B$29,IF(Skills!C8=2,90+Inputs!$B$26+Inputs!$B$29,IF(Skills!C8=3,120+Inputs!$B$27+Inputs!$B$29,MAX(0,(Inputs!$B$3-100)*3)+Inputs!$B$28+Inputs!$B$29)))</f>
        <v/>
      </c>
      <c r="E1827">
        <f>INDEX(FactorTable!$B$2:$Y$301, MATCH(ROUND(MIN(300,MAX(1,D1827)),0), FactorTable!$A$2:$A$301,0), Skills!M8+1)</f>
        <v/>
      </c>
      <c r="F1827">
        <f>IF(Skills!N8=TRUE,(Skills!L8/10)*(E1827/1000),Skills!L8/10)+Skills!O8</f>
        <v/>
      </c>
      <c r="G1827">
        <f>Skills!G8*IF(Skills!H8&gt;0,INT(IF(Inputs!$B$38="pvp",MIN(Skills!I8,15),Skills!I8)/Skills!H8+0.000000001),1)</f>
        <v/>
      </c>
      <c r="H1827">
        <f>1-(1-Skills!J8/100)^Skills!K8</f>
        <v/>
      </c>
      <c r="I1827" t="inlineStr">
        <is>
          <t>1</t>
        </is>
      </c>
      <c r="J1827">
        <f>((Inputs!$B$6*(1+Inputs!$B$7/100))+(((Inputs!$B$12*(1+Inputs!$B$13/100))-(Inputs!$B$12*(1+Inputs!$B$13/100)))+0.25*(Inputs!$B$14-Inputs!$B$14))*(1+Inputs!$B$7/100))*(F1827/100)</f>
        <v/>
      </c>
      <c r="K1827">
        <f>J1827*(1+((Inputs!$B$12*(1+Inputs!$B$13/100))*0.01+Inputs!$B$14*0.0025)/100)*(1+Inputs!$B$15/100)*(1+Inputs!$B$16/100)*(5000/(6000+Inputs!$B$42*(1-(100*(1-(1-(Inputs!$B$19+0)/100)*(1-CHOOSE(ArtifactsInput!$N$40+1,5,6,7,8,9,10)/100)^(ArtifactsInput!$M$40-ArtifactsInput!$M$40)))/100)))*(1+(Inputs!$B$24+((C1845=TRUE)*(F1845-Calc!F26))+B1856)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IGHT_LEGS_EASTON",Inputs!$B$17+((C1842=TRUE)*(F1842-Calc!F23))+((C1846=TRUE)*(F1846-Calc!F27))+((IF(AND(Inputs!$B$38&lt;&gt;"pvp",Inputs!$B$43=0),1,IF(IF(Inputs!$B$38="pvp",15,Inputs!$B$43)-(B1857)&lt;=0,1,MAX(0,IF(Inputs!$B$38="pvp",15,Inputs!$B$43)-MAX(5,B1857))/(IF(Inputs!$B$38="pvp",15,Inputs!$B$43)-(B1857))))*(IF(AND(ArtifactsInput!$M$42,((Inputs!$B$9+((C1838=TRUE)*(F1838-Calc!F19))+B1850+(ArtifactsInput!$M$24-ArtifactsInput!$M$24)*CHOOSE(ArtifactsInput!$N$24+1,10,12,14,16,18,20)+IF(ArtifactsInput!$M$10,CHOOSE(ArtifactsInput!$N$10+1,15,18,21,24,27,30)*(IF(Inputs!$B$38="pvp",MIN(15,15)/15,IF(AND(Inputs!$B$38&lt;&gt;"pvp",Inputs!$B$43&gt;0),MIN(15,Inputs!$B$43)/(Inputs!$B$43),0))),0)))&gt;=100),MIN(100,((Inputs!$B$9+((C1838=TRUE)*(F1838-Calc!F19))+B1850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1857)&lt;=0,1,MAX(0,IF(Inputs!$B$38="pvp",15,Inputs!$B$43)-MAX(5,B1857))/(IF(Inputs!$B$38="pvp",15,Inputs!$B$43)-(B1857))))*IF(AND(ArtifactsInput!$M$42,((Inputs!$B$9+((C1838=TRUE)*(F1838-Calc!F19))+B1850+(ArtifactsInput!$M$24-ArtifactsInput!$M$24)*CHOOSE(ArtifactsInput!$N$24+1,10,12,14,16,18,20)+IF(ArtifactsInput!$M$10,CHOOSE(ArtifactsInput!$N$10+1,15,18,21,24,27,30)*(IF(Inputs!$B$38="pvp",MIN(15,15)/15,IF(AND(Inputs!$B$38&lt;&gt;"pvp",Inputs!$B$43&gt;0),MIN(15,Inputs!$B$43)/(Inputs!$B$43),0))),0)))&gt;=100),CHOOSE(ArtifactsInput!$N$42+1,40,48,56,64,72,80),0))))/100)*((1+(((C1836=TRUE)*F1836*5/7)+((C1843=TRUE)*(F1843-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1827)</f>
        <v/>
      </c>
      <c r="L1827">
        <f>K1827*(MIN(Inputs!$B$22+((C1841=TRUE)*(F1841-Calc!F22)),(Inputs!$B$23+0+(IF(ArtifactsInput!$M$15,CHOOSE(ArtifactsInput!$N$15+1,25,30,35,40,45,50)/100*(Inputs!$B$11-Inputs!$B$11),0))))/100+(Inputs!$B$23+0+(IF(ArtifactsInput!$M$15,CHOOSE(ArtifactsInput!$N$15+1,25,30,35,40,45,50)/100*(Inputs!$B$11-Inputs!$B$11),0)))/100)/2</f>
        <v/>
      </c>
      <c r="M1827">
        <f>L1827*(1+(Inputs!$B$10+((C1844=TRUE)*(F1844-Calc!F25))+B1855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27">
        <f>L1827*(1-MIN((Inputs!$B$9+((C1838=TRUE)*(F1838-Calc!F19))+B1850+(ArtifactsInput!$M$24-ArtifactsInput!$M$24)*CHOOSE(ArtifactsInput!$N$24+1,10,12,14,16,18,20)+(IF(AND(Inputs!$B$38&lt;&gt;"pvp",Inputs!$B$43=0),1,IF(IF(Inputs!$B$38="pvp",15,Inputs!$B$43)-(B1857)&lt;=0,1,MAX(0,IF(Inputs!$B$38="pvp",15,Inputs!$B$43)-MAX(5,B1857))/(IF(Inputs!$B$38="pvp",15,Inputs!$B$43)-(B1857))))*IF(AND(ArtifactsInput!$M$42,((Inputs!$B$9+((C1838=TRUE)*(F1838-Calc!F19))+B1850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1827*(MIN((Inputs!$B$9+((C1838=TRUE)*(F1838-Calc!F19))+B1850+(ArtifactsInput!$M$24-ArtifactsInput!$M$24)*CHOOSE(ArtifactsInput!$N$24+1,10,12,14,16,18,20)+(IF(AND(Inputs!$B$38&lt;&gt;"pvp",Inputs!$B$43=0),1,IF(IF(Inputs!$B$38="pvp",15,Inputs!$B$43)-(B1857)&lt;=0,1,MAX(0,IF(Inputs!$B$38="pvp",15,Inputs!$B$43)-MAX(5,B1857))/(IF(Inputs!$B$38="pvp",15,Inputs!$B$43)-(B1857))))*IF(AND(ArtifactsInput!$M$42,((Inputs!$B$9+((C1838=TRUE)*(F1838-Calc!F19))+B1850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27">
        <f>(1-Summary!$B$11)*T1827+Summary!$B$11*V1827</f>
        <v/>
      </c>
      <c r="P1827">
        <f>IF(B1860=0,0,O1827/B1860)</f>
        <v/>
      </c>
      <c r="Q1827">
        <f>IFERROR(1/((IF(Inputs!$B$38="pvp",15,MAX(0.1,Skills!D8-IF(TRUE=TRUE,Inputs!$B$32,0)))*(1-IF(AND(ArtifactsInput!$M$27,Inputs!$B$4="Chapter Hunt"),CHOOSE(ArtifactsInput!$N$27+1,20,24,28,32,36,40),0)/100))/B1861),0)</f>
        <v/>
      </c>
      <c r="R1827">
        <f>IF(AND(Inputs!$B$38&lt;&gt;"pvp",Inputs!$B$43&gt;0),IF(MAX(0,Inputs!$B$43-B1857)&lt;=0,0,(INT(MAX(0,Inputs!$B$43-B1857)/((IF(Inputs!$B$38="pvp",15,MAX(0.1,Skills!D8-IF(TRUE=TRUE,Inputs!$B$32,0)))*(1-IF(AND(ArtifactsInput!$M$27,Inputs!$B$4="Chapter Hunt"),CHOOSE(ArtifactsInput!$N$27+1,20,24,28,32,36,40),0)/100))/B1861))+1)),0)</f>
        <v/>
      </c>
      <c r="S1827">
        <f>IFERROR(O1827/N1827,0)</f>
        <v/>
      </c>
      <c r="T1827">
        <f>IF(C1827,(H1827*N1827*IF(AND(Inputs!$B$38&lt;&gt;"pvp",Inputs!$B$43&gt;0),((Skills!G8*((R1827-1)*IF(Skills!H8&gt;0,INT(Skills!I8/Skills!H8+0.000000001),1)+IF(Skills!H8&gt;0,INT(MIN(Skills!I8,MAX(0,MAX(0,Inputs!$B$43-B1857)-((R1827-1)*((IF(Inputs!$B$38="pvp",15,MAX(0.1,Skills!D8-IF(TRUE=TRUE,Inputs!$B$32,0)))*(1-IF(AND(ArtifactsInput!$M$27,Inputs!$B$4="Chapter Hunt"),CHOOSE(ArtifactsInput!$N$27+1,20,24,28,32,36,40),0)/100))/B1861))))/Skills!H8+0.000000001),1)))/Inputs!$B$43),G1827*Q1827))*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Hunt"),CHOOSE(ArtifactsInput!$N$35+1,15,18,21,24,27,30)*(1-EXP(-(0.2*B1852)*5)),0)+IF(AND(ArtifactsInput!$M$22,Inputs!$B$4&lt;&gt;"Chapter Hunt"),CHOOSE(ArtifactsInput!$N$22+1,10,12,14,16,18,20)*((0*(((0.15*B1852*5))^0/1)+1*(((0.15*B1852*5))^1/1)+2*(((0.15*B1852*5))^2/2)+3*(((0.15*B1852*5))^3/6)+4*(((0.15*B1852*5))^4/24)+5*(((0.15*B1852*5))^5/120))/((((0.15*B1852*5))^0/1)+(((0.15*B1852*5))^1/1)+(((0.15*B1852*5))^2/2)+(((0.15*B1852*5))^3/6)+(((0.15*B1852*5))^4/24)+(((0.15*B1852*5))^5/120))),0))+IF(Inputs!$B$3&gt;=54,9*(C1822=TRUE)*MIN(1,8*(1+Inputs!$B$34/100)*Q1822)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1827*(1-MIN(100,(Inputs!$B$9+((C1838=TRUE)*(F1838-Calc!F19))+B1850+(ArtifactsInput!$M$24-ArtifactsInput!$M$24)*CHOOSE(ArtifactsInput!$N$24+1,10,12,14,16,18,20)+(IF(AND(Inputs!$B$38&lt;&gt;"pvp",Inputs!$B$43=0),1,IF(IF(Inputs!$B$38="pvp",15,Inputs!$B$43)-(B1857)&lt;=0,1,MAX(0,IF(Inputs!$B$38="pvp",15,Inputs!$B$43)-MAX(5,B1857))/(IF(Inputs!$B$38="pvp",15,Inputs!$B$43)-(B1857))))*IF(AND(ArtifactsInput!$M$42,((Inputs!$B$9+((C1838=TRUE)*(F1838-Calc!F19))+B1850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1827*(MIN(100,(Inputs!$B$9+((C1838=TRUE)*(F1838-Calc!F19))+B1850+(ArtifactsInput!$M$24-ArtifactsInput!$M$24)*CHOOSE(ArtifactsInput!$N$24+1,10,12,14,16,18,20)+(IF(AND(Inputs!$B$38&lt;&gt;"pvp",Inputs!$B$43=0),1,IF(IF(Inputs!$B$38="pvp",15,Inputs!$B$43)-(B1857)&lt;=0,1,MAX(0,IF(Inputs!$B$38="pvp",15,Inputs!$B$43)-MAX(5,B1857))/(IF(Inputs!$B$38="pvp",15,Inputs!$B$43)-(B1857))))*IF(AND(ArtifactsInput!$M$42,((Inputs!$B$9+((C1838=TRUE)*(F1838-Calc!F19))+B1850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1827*(1-MIN(100,(Inputs!$B$9+((C1838=TRUE)*(F1838-Calc!F19))+B1850+(ArtifactsInput!$M$24-ArtifactsInput!$M$24)*CHOOSE(ArtifactsInput!$N$24+1,10,12,14,16,18,20)+(IF(AND(Inputs!$B$38&lt;&gt;"pvp",Inputs!$B$43=0),1,IF(IF(Inputs!$B$38="pvp",15,Inputs!$B$43)-(B1857)&lt;=0,1,MAX(0,IF(Inputs!$B$38="pvp",15,Inputs!$B$43)-MAX(5,B1857))/(IF(Inputs!$B$38="pvp",15,Inputs!$B$43)-(B1857))))*IF(AND(ArtifactsInput!$M$42,((Inputs!$B$9+((C1838=TRUE)*(F1838-Calc!F19))+B1850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1827*(MIN(100,(Inputs!$B$9+((C1838=TRUE)*(F1838-Calc!F19))+B1850+(ArtifactsInput!$M$24-ArtifactsInput!$M$24)*CHOOSE(ArtifactsInput!$N$24+1,10,12,14,16,18,20)+(IF(AND(Inputs!$B$38&lt;&gt;"pvp",Inputs!$B$43=0),1,IF(IF(Inputs!$B$38="pvp",15,Inputs!$B$43)-(B1857)&lt;=0,1,MAX(0,IF(Inputs!$B$38="pvp",15,Inputs!$B$43)-MAX(5,B1857))/(IF(Inputs!$B$38="pvp",15,Inputs!$B$43)-(B1857))))*IF(AND(ArtifactsInput!$M$42,((Inputs!$B$9+((C1838=TRUE)*(F1838-Calc!F19))+B1850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827">
        <f>IF(C1827,(H1827*N1827*IF(AND(Inputs!$B$38&lt;&gt;"pvp",Inputs!$B$43&gt;0),((Skills!G8*((R1827-1)*IF(Skills!H8&gt;0,INT(Skills!I8/Skills!H8+0.000000001),1)+IF(Skills!H8&gt;0,INT(MIN(Skills!I8,MAX(0,MAX(0,Inputs!$B$43-B1857)-((R1827-1)*((IF(Inputs!$B$38="pvp",15,MAX(0.1,Skills!D8-IF(TRUE=TRUE,Inputs!$B$32,0)))*(1-IF(AND(ArtifactsInput!$M$27,Inputs!$B$4="Chapter Hunt"),CHOOSE(ArtifactsInput!$N$27+1,20,24,28,32,36,40),0)/100))/B1861))))/Skills!H8+0.000000001),1)))/Inputs!$B$43),G1827*Q1827))*IF(Inputs!$B$38="pvp",1,(1+(Inputs!$B$21+Skills!Q8+(IF(ArtifactsInput!$M$33,CHOOSE(ArtifactsInput!$N$33+1,30,36,42,48,54,60),0))+(IF(AND(ArtifactsInput!$M$35,Inputs!$B$4&lt;&gt;"Chapter Hunt"),CHOOSE(ArtifactsInput!$N$35+1,15,18,21,24,27,30)*(1-EXP(-(0.2*B1852)*5)),0)+IF(AND(ArtifactsInput!$M$22,Inputs!$B$4&lt;&gt;"Chapter Hunt"),CHOOSE(ArtifactsInput!$N$22+1,10,12,14,16,18,20)*((0*(((0.15*B1852*5))^0/1)+1*(((0.15*B1852*5))^1/1)+2*(((0.15*B1852*5))^2/2)+3*(((0.15*B1852*5))^3/6)+4*(((0.15*B1852*5))^4/24)+5*(((0.15*B1852*5))^5/120))/((((0.15*B1852*5))^0/1)+(((0.15*B1852*5))^1/1)+(((0.15*B1852*5))^2/2)+(((0.15*B1852*5))^3/6)+(((0.15*B1852*5))^4/24)+(((0.15*B1852*5))^5/120))),0))+IF(Inputs!$B$3&gt;=54,9*(C1822=TRUE)*MIN(1,8*(1+Inputs!$B$34/100)*Q1822),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28">
      <c r="A1828">
        <f>Skills!A9</f>
        <v/>
      </c>
      <c r="B1828">
        <f>Skills!B9</f>
        <v/>
      </c>
      <c r="C1828">
        <f>Inputs!$B$3&gt;=105</f>
        <v/>
      </c>
      <c r="D1828">
        <f>IF(Skills!C9=1,60+Inputs!$B$25+Inputs!$B$29,IF(Skills!C9=2,90+Inputs!$B$26+Inputs!$B$29,IF(Skills!C9=3,120+Inputs!$B$27+Inputs!$B$29,MAX(0,(Inputs!$B$3-100)*3)+Inputs!$B$28+Inputs!$B$29)))</f>
        <v/>
      </c>
      <c r="E1828">
        <f>INDEX(FactorTable!$B$2:$Y$301, MATCH(ROUND(MIN(300,MAX(1,D1828)),0), FactorTable!$A$2:$A$301,0), Skills!M9+1)</f>
        <v/>
      </c>
      <c r="F1828">
        <f>IF(Skills!N9=TRUE,(Skills!L9/10)*(E1828/1000),Skills!L9/10)+Skills!O9</f>
        <v/>
      </c>
      <c r="G1828">
        <f>Skills!G9*IF(Skills!H9&gt;0,INT(IF(Inputs!$B$38="pvp",MIN(Skills!I9,15),Skills!I9)/Skills!H9+0.000000001),1)</f>
        <v/>
      </c>
      <c r="H1828">
        <f>1-(1-Skills!J9/100)^Skills!K9</f>
        <v/>
      </c>
      <c r="I1828" t="inlineStr">
        <is>
          <t>1</t>
        </is>
      </c>
      <c r="J1828">
        <f>((Inputs!$B$6*(1+Inputs!$B$7/100))+(((Inputs!$B$12*(1+Inputs!$B$13/100))-(Inputs!$B$12*(1+Inputs!$B$13/100)))+0.25*(Inputs!$B$14-Inputs!$B$14))*(1+Inputs!$B$7/100))*(F1828/100)</f>
        <v/>
      </c>
      <c r="K1828">
        <f>J1828*(1+((Inputs!$B$12*(1+Inputs!$B$13/100))*0.01+Inputs!$B$14*0.0025)/100)*(1+Inputs!$B$15/100)*(1+Inputs!$B$16/100)*(5000/(6000+Inputs!$B$42*(1-(100*(1-(1-(Inputs!$B$19+0)/100)*(1-CHOOSE(ArtifactsInput!$N$40+1,5,6,7,8,9,10)/100)^(ArtifactsInput!$M$40-ArtifactsInput!$M$40)))/100)))*(1+(Inputs!$B$24+((C1845=TRUE)*(F1845-Calc!F26))+B1856)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IGHT_LEGS_EASTON",Inputs!$B$17+((C1842=TRUE)*(F1842-Calc!F23))+((C1846=TRUE)*(F1846-Calc!F27))+((IF(AND(Inputs!$B$38&lt;&gt;"pvp",Inputs!$B$43=0),1,IF(IF(Inputs!$B$38="pvp",15,Inputs!$B$43)-(B1857)&lt;=0,1,MAX(0,IF(Inputs!$B$38="pvp",15,Inputs!$B$43)-MAX(5,B1857))/(IF(Inputs!$B$38="pvp",15,Inputs!$B$43)-(B1857))))*(IF(AND(ArtifactsInput!$M$42,((Inputs!$B$9+((C1838=TRUE)*(F1838-Calc!F19))+B1850+(ArtifactsInput!$M$24-ArtifactsInput!$M$24)*CHOOSE(ArtifactsInput!$N$24+1,10,12,14,16,18,20)+IF(ArtifactsInput!$M$10,CHOOSE(ArtifactsInput!$N$10+1,15,18,21,24,27,30)*(IF(Inputs!$B$38="pvp",MIN(15,15)/15,IF(AND(Inputs!$B$38&lt;&gt;"pvp",Inputs!$B$43&gt;0),MIN(15,Inputs!$B$43)/(Inputs!$B$43),0))),0)))&gt;=100),MIN(100,((Inputs!$B$9+((C1838=TRUE)*(F1838-Calc!F19))+B1850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1857)&lt;=0,1,MAX(0,IF(Inputs!$B$38="pvp",15,Inputs!$B$43)-MAX(5,B1857))/(IF(Inputs!$B$38="pvp",15,Inputs!$B$43)-(B1857))))*IF(AND(ArtifactsInput!$M$42,((Inputs!$B$9+((C1838=TRUE)*(F1838-Calc!F19))+B1850+(ArtifactsInput!$M$24-ArtifactsInput!$M$24)*CHOOSE(ArtifactsInput!$N$24+1,10,12,14,16,18,20)+IF(ArtifactsInput!$M$10,CHOOSE(ArtifactsInput!$N$10+1,15,18,21,24,27,30)*(IF(Inputs!$B$38="pvp",MIN(15,15)/15,IF(AND(Inputs!$B$38&lt;&gt;"pvp",Inputs!$B$43&gt;0),MIN(15,Inputs!$B$43)/(Inputs!$B$43),0))),0)))&gt;=100),CHOOSE(ArtifactsInput!$N$42+1,40,48,56,64,72,80),0))))/100)*((1+(((C1836=TRUE)*F1836*5/7)+((C1843=TRUE)*(F1843-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1828)</f>
        <v/>
      </c>
      <c r="L1828">
        <f>K1828*(MIN(Inputs!$B$22+((C1841=TRUE)*(F1841-Calc!F22)),(Inputs!$B$23+0+(IF(ArtifactsInput!$M$15,CHOOSE(ArtifactsInput!$N$15+1,25,30,35,40,45,50)/100*(Inputs!$B$11-Inputs!$B$11),0))))/100+(Inputs!$B$23+0+(IF(ArtifactsInput!$M$15,CHOOSE(ArtifactsInput!$N$15+1,25,30,35,40,45,50)/100*(Inputs!$B$11-Inputs!$B$11),0)))/100)/2</f>
        <v/>
      </c>
      <c r="M1828">
        <f>L1828*(1+(Inputs!$B$10+((C1844=TRUE)*(F1844-Calc!F25))+B1855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28">
        <f>L1828*(1-MIN((Inputs!$B$9+((C1838=TRUE)*(F1838-Calc!F19))+B1850+(ArtifactsInput!$M$24-ArtifactsInput!$M$24)*CHOOSE(ArtifactsInput!$N$24+1,10,12,14,16,18,20)+(IF(AND(Inputs!$B$38&lt;&gt;"pvp",Inputs!$B$43=0),1,IF(IF(Inputs!$B$38="pvp",15,Inputs!$B$43)-(B1857)&lt;=0,1,MAX(0,IF(Inputs!$B$38="pvp",15,Inputs!$B$43)-MAX(5,B1857))/(IF(Inputs!$B$38="pvp",15,Inputs!$B$43)-(B1857))))*IF(AND(ArtifactsInput!$M$42,((Inputs!$B$9+((C1838=TRUE)*(F1838-Calc!F19))+B1850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1828*(MIN((Inputs!$B$9+((C1838=TRUE)*(F1838-Calc!F19))+B1850+(ArtifactsInput!$M$24-ArtifactsInput!$M$24)*CHOOSE(ArtifactsInput!$N$24+1,10,12,14,16,18,20)+(IF(AND(Inputs!$B$38&lt;&gt;"pvp",Inputs!$B$43=0),1,IF(IF(Inputs!$B$38="pvp",15,Inputs!$B$43)-(B1857)&lt;=0,1,MAX(0,IF(Inputs!$B$38="pvp",15,Inputs!$B$43)-MAX(5,B1857))/(IF(Inputs!$B$38="pvp",15,Inputs!$B$43)-(B1857))))*IF(AND(ArtifactsInput!$M$42,((Inputs!$B$9+((C1838=TRUE)*(F1838-Calc!F19))+B1850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28">
        <f>(1-Summary!$B$11)*T1828+Summary!$B$11*V1828</f>
        <v/>
      </c>
      <c r="P1828">
        <f>IF(B1860=0,0,O1828/B1860)</f>
        <v/>
      </c>
      <c r="Q1828">
        <f>IFERROR(1/(IF(Inputs!$B$38="pvp",15,MAX(0.1,Skills!D9-IF(TRUE=TRUE,Inputs!$B$32,0)))*(1-IF(AND(ArtifactsInput!$M$27,Inputs!$B$4="Chapter Hunt"),CHOOSE(ArtifactsInput!$N$27+1,20,24,28,32,36,40),0)/100)),0)</f>
        <v/>
      </c>
      <c r="R1828">
        <f>IF(AND(Inputs!$B$38&lt;&gt;"pvp",Inputs!$B$43&gt;0),IF(MAX(0,Inputs!$B$43-B1857)&lt;=0,0,(INT(MAX(0,Inputs!$B$43-B1857)/(IF(Inputs!$B$38="pvp",15,MAX(0.1,Skills!D9-IF(TRUE=TRUE,Inputs!$B$32,0)))*(1-IF(AND(ArtifactsInput!$M$27,Inputs!$B$4="Chapter Hunt"),CHOOSE(ArtifactsInput!$N$27+1,20,24,28,32,36,40),0)/100)))+1)),0)</f>
        <v/>
      </c>
      <c r="S1828">
        <f>IFERROR(O1828/N1828,0)</f>
        <v/>
      </c>
      <c r="T1828">
        <f>IF(C1828,(H1828*N1828*IF(AND(Inputs!$B$38&lt;&gt;"pvp",Inputs!$B$43&gt;0),((Skills!G9*((R1828-1)*IF(Skills!H9&gt;0,INT(Skills!I9/Skills!H9+0.000000001),1)+IF(Skills!H9&gt;0,INT(MIN(Skills!I9,MAX(0,MAX(0,Inputs!$B$43-B1857)-((R1828-1)*(IF(Inputs!$B$38="pvp",15,MAX(0.1,Skills!D9-IF(TRUE=TRUE,Inputs!$B$32,0)))*(1-IF(AND(ArtifactsInput!$M$27,Inputs!$B$4="Chapter Hunt"),CHOOSE(ArtifactsInput!$N$27+1,20,24,28,32,36,40),0)/100)))))/Skills!H9+0.000000001),1)))/Inputs!$B$43),G1828*Q1828))*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Hunt"),CHOOSE(ArtifactsInput!$N$35+1,15,18,21,24,27,30)*(1-EXP(-(0.2*B1852)*5)),0)+IF(AND(ArtifactsInput!$M$22,Inputs!$B$4&lt;&gt;"Chapter Hunt"),CHOOSE(ArtifactsInput!$N$22+1,10,12,14,16,18,20)*((0*(((0.15*B1852*5))^0/1)+1*(((0.15*B1852*5))^1/1)+2*(((0.15*B1852*5))^2/2)+3*(((0.15*B1852*5))^3/6)+4*(((0.15*B1852*5))^4/24)+5*(((0.15*B1852*5))^5/120))/((((0.15*B1852*5))^0/1)+(((0.15*B1852*5))^1/1)+(((0.15*B1852*5))^2/2)+(((0.15*B1852*5))^3/6)+(((0.15*B1852*5))^4/24)+(((0.15*B1852*5))^5/120))),0))+IF(Inputs!$B$3&gt;=54,9*(C1822=TRUE)*MIN(1,8*(1+Inputs!$B$34/100)*Q1822)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1828*(1-MIN(100,(Inputs!$B$9+((C1838=TRUE)*(F1838-Calc!F19))+B1850+(ArtifactsInput!$M$24-ArtifactsInput!$M$24)*CHOOSE(ArtifactsInput!$N$24+1,10,12,14,16,18,20)+(IF(AND(Inputs!$B$38&lt;&gt;"pvp",Inputs!$B$43=0),1,IF(IF(Inputs!$B$38="pvp",15,Inputs!$B$43)-(B1857)&lt;=0,1,MAX(0,IF(Inputs!$B$38="pvp",15,Inputs!$B$43)-MAX(5,B1857))/(IF(Inputs!$B$38="pvp",15,Inputs!$B$43)-(B1857))))*IF(AND(ArtifactsInput!$M$42,((Inputs!$B$9+((C1838=TRUE)*(F1838-Calc!F19))+B1850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1828*(MIN(100,(Inputs!$B$9+((C1838=TRUE)*(F1838-Calc!F19))+B1850+(ArtifactsInput!$M$24-ArtifactsInput!$M$24)*CHOOSE(ArtifactsInput!$N$24+1,10,12,14,16,18,20)+(IF(AND(Inputs!$B$38&lt;&gt;"pvp",Inputs!$B$43=0),1,IF(IF(Inputs!$B$38="pvp",15,Inputs!$B$43)-(B1857)&lt;=0,1,MAX(0,IF(Inputs!$B$38="pvp",15,Inputs!$B$43)-MAX(5,B1857))/(IF(Inputs!$B$38="pvp",15,Inputs!$B$43)-(B1857))))*IF(AND(ArtifactsInput!$M$42,((Inputs!$B$9+((C1838=TRUE)*(F1838-Calc!F19))+B1850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1828*(1-MIN(100,(Inputs!$B$9+((C1838=TRUE)*(F1838-Calc!F19))+B1850+(ArtifactsInput!$M$24-ArtifactsInput!$M$24)*CHOOSE(ArtifactsInput!$N$24+1,10,12,14,16,18,20)+(IF(AND(Inputs!$B$38&lt;&gt;"pvp",Inputs!$B$43=0),1,IF(IF(Inputs!$B$38="pvp",15,Inputs!$B$43)-(B1857)&lt;=0,1,MAX(0,IF(Inputs!$B$38="pvp",15,Inputs!$B$43)-MAX(5,B1857))/(IF(Inputs!$B$38="pvp",15,Inputs!$B$43)-(B1857))))*IF(AND(ArtifactsInput!$M$42,((Inputs!$B$9+((C1838=TRUE)*(F1838-Calc!F19))+B1850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1828*(MIN(100,(Inputs!$B$9+((C1838=TRUE)*(F1838-Calc!F19))+B1850+(ArtifactsInput!$M$24-ArtifactsInput!$M$24)*CHOOSE(ArtifactsInput!$N$24+1,10,12,14,16,18,20)+(IF(AND(Inputs!$B$38&lt;&gt;"pvp",Inputs!$B$43=0),1,IF(IF(Inputs!$B$38="pvp",15,Inputs!$B$43)-(B1857)&lt;=0,1,MAX(0,IF(Inputs!$B$38="pvp",15,Inputs!$B$43)-MAX(5,B1857))/(IF(Inputs!$B$38="pvp",15,Inputs!$B$43)-(B1857))))*IF(AND(ArtifactsInput!$M$42,((Inputs!$B$9+((C1838=TRUE)*(F1838-Calc!F19))+B1850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828">
        <f>IF(C1828,(H1828*N1828*IF(AND(Inputs!$B$38&lt;&gt;"pvp",Inputs!$B$43&gt;0),((Skills!G9*((R1828-1)*IF(Skills!H9&gt;0,INT(Skills!I9/Skills!H9+0.000000001),1)+IF(Skills!H9&gt;0,INT(MIN(Skills!I9,MAX(0,MAX(0,Inputs!$B$43-B1857)-((R1828-1)*(IF(Inputs!$B$38="pvp",15,MAX(0.1,Skills!D9-IF(TRUE=TRUE,Inputs!$B$32,0)))*(1-IF(AND(ArtifactsInput!$M$27,Inputs!$B$4="Chapter Hunt"),CHOOSE(ArtifactsInput!$N$27+1,20,24,28,32,36,40),0)/100)))))/Skills!H9+0.000000001),1)))/Inputs!$B$43),G1828*Q1828))*IF(Inputs!$B$38="pvp",1,(1+(Inputs!$B$21+Skills!Q9+(IF(ArtifactsInput!$M$33,CHOOSE(ArtifactsInput!$N$33+1,30,36,42,48,54,60),0))+(IF(AND(ArtifactsInput!$M$35,Inputs!$B$4&lt;&gt;"Chapter Hunt"),CHOOSE(ArtifactsInput!$N$35+1,15,18,21,24,27,30)*(1-EXP(-(0.2*B1852)*5)),0)+IF(AND(ArtifactsInput!$M$22,Inputs!$B$4&lt;&gt;"Chapter Hunt"),CHOOSE(ArtifactsInput!$N$22+1,10,12,14,16,18,20)*((0*(((0.15*B1852*5))^0/1)+1*(((0.15*B1852*5))^1/1)+2*(((0.15*B1852*5))^2/2)+3*(((0.15*B1852*5))^3/6)+4*(((0.15*B1852*5))^4/24)+5*(((0.15*B1852*5))^5/120))/((((0.15*B1852*5))^0/1)+(((0.15*B1852*5))^1/1)+(((0.15*B1852*5))^2/2)+(((0.15*B1852*5))^3/6)+(((0.15*B1852*5))^4/24)+(((0.15*B1852*5))^5/120))),0))+IF(Inputs!$B$3&gt;=54,9*(C1822=TRUE)*MIN(1,8*(1+Inputs!$B$34/100)*Q1822),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29">
      <c r="A1829">
        <f>Skills!A10</f>
        <v/>
      </c>
      <c r="B1829">
        <f>Skills!B10</f>
        <v/>
      </c>
      <c r="C1829">
        <f>Inputs!$B$3&gt;=113</f>
        <v/>
      </c>
      <c r="D1829">
        <f>IF(Skills!C10=1,60+Inputs!$B$25+Inputs!$B$29,IF(Skills!C10=2,90+Inputs!$B$26+Inputs!$B$29,IF(Skills!C10=3,120+Inputs!$B$27+Inputs!$B$29,MAX(0,(Inputs!$B$3-100)*3)+Inputs!$B$28+Inputs!$B$29)))</f>
        <v/>
      </c>
      <c r="E1829">
        <f>INDEX(FactorTable!$B$2:$Y$301, MATCH(ROUND(MIN(300,MAX(1,D1829)),0), FactorTable!$A$2:$A$301,0), Skills!M10+1)</f>
        <v/>
      </c>
      <c r="F1829">
        <f>IF(Skills!N10=TRUE,(Skills!L10/10)*(E1829/1000),Skills!L10/10)+Skills!O10</f>
        <v/>
      </c>
      <c r="G1829">
        <f>Skills!G10*IF(Skills!H10&gt;0,INT(IF(Inputs!$B$38="pvp",MIN(Skills!I10,15),Skills!I10)/Skills!H10+0.000000001),1)</f>
        <v/>
      </c>
      <c r="H1829">
        <f>1-(1-Skills!J10/100)^Skills!K10</f>
        <v/>
      </c>
      <c r="I1829" t="inlineStr">
        <is>
          <t>1</t>
        </is>
      </c>
      <c r="J1829">
        <f>((Inputs!$B$6*(1+Inputs!$B$7/100))+(((Inputs!$B$12*(1+Inputs!$B$13/100))-(Inputs!$B$12*(1+Inputs!$B$13/100)))+0.25*(Inputs!$B$14-Inputs!$B$14))*(1+Inputs!$B$7/100))*(F1829/100)</f>
        <v/>
      </c>
      <c r="K1829">
        <f>J1829*(1+((Inputs!$B$12*(1+Inputs!$B$13/100))*0.01+Inputs!$B$14*0.0025)/100)*(1+Inputs!$B$15/100)*(1+Inputs!$B$16/100)*(5000/(6000+Inputs!$B$42*(1-(100*(1-(1-(Inputs!$B$19+0)/100)*(1-CHOOSE(ArtifactsInput!$N$40+1,5,6,7,8,9,10)/100)^(ArtifactsInput!$M$40-ArtifactsInput!$M$40)))/100)))*(1+(Inputs!$B$24+((C1845=TRUE)*(F1845-Calc!F26))+B1856)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IGHT_LEGS_EASTON",Inputs!$B$17+((C1842=TRUE)*(F1842-Calc!F23))+((C1846=TRUE)*(F1846-Calc!F27))+((IF(AND(Inputs!$B$38&lt;&gt;"pvp",Inputs!$B$43=0),1,IF(IF(Inputs!$B$38="pvp",15,Inputs!$B$43)-(B1857)&lt;=0,1,MAX(0,IF(Inputs!$B$38="pvp",15,Inputs!$B$43)-MAX(5,B1857))/(IF(Inputs!$B$38="pvp",15,Inputs!$B$43)-(B1857))))*(IF(AND(ArtifactsInput!$M$42,((Inputs!$B$9+((C1838=TRUE)*(F1838-Calc!F19))+B1850+(ArtifactsInput!$M$24-ArtifactsInput!$M$24)*CHOOSE(ArtifactsInput!$N$24+1,10,12,14,16,18,20)+IF(ArtifactsInput!$M$10,CHOOSE(ArtifactsInput!$N$10+1,15,18,21,24,27,30)*(IF(Inputs!$B$38="pvp",MIN(15,15)/15,IF(AND(Inputs!$B$38&lt;&gt;"pvp",Inputs!$B$43&gt;0),MIN(15,Inputs!$B$43)/(Inputs!$B$43),0))),0)))&gt;=100),MIN(100,((Inputs!$B$9+((C1838=TRUE)*(F1838-Calc!F19))+B1850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1857)&lt;=0,1,MAX(0,IF(Inputs!$B$38="pvp",15,Inputs!$B$43)-MAX(5,B1857))/(IF(Inputs!$B$38="pvp",15,Inputs!$B$43)-(B1857))))*IF(AND(ArtifactsInput!$M$42,((Inputs!$B$9+((C1838=TRUE)*(F1838-Calc!F19))+B1850+(ArtifactsInput!$M$24-ArtifactsInput!$M$24)*CHOOSE(ArtifactsInput!$N$24+1,10,12,14,16,18,20)+IF(ArtifactsInput!$M$10,CHOOSE(ArtifactsInput!$N$10+1,15,18,21,24,27,30)*(IF(Inputs!$B$38="pvp",MIN(15,15)/15,IF(AND(Inputs!$B$38&lt;&gt;"pvp",Inputs!$B$43&gt;0),MIN(15,Inputs!$B$43)/(Inputs!$B$43),0))),0)))&gt;=100),CHOOSE(ArtifactsInput!$N$42+1,40,48,56,64,72,80),0))))/100)*((1+(((C1836=TRUE)*F1836*5/7)+((C1843=TRUE)*(F1843-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1829)</f>
        <v/>
      </c>
      <c r="L1829">
        <f>K1829*(MIN(Inputs!$B$22+((C1841=TRUE)*(F1841-Calc!F22)),(Inputs!$B$23+0+(IF(ArtifactsInput!$M$15,CHOOSE(ArtifactsInput!$N$15+1,25,30,35,40,45,50)/100*(Inputs!$B$11-Inputs!$B$11),0))))/100+(Inputs!$B$23+0+(IF(ArtifactsInput!$M$15,CHOOSE(ArtifactsInput!$N$15+1,25,30,35,40,45,50)/100*(Inputs!$B$11-Inputs!$B$11),0)))/100)/2</f>
        <v/>
      </c>
      <c r="M1829">
        <f>L1829*(1+(Inputs!$B$10+((C1844=TRUE)*(F1844-Calc!F25))+B1855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29">
        <f>L1829*(1-MIN((Inputs!$B$9+((C1838=TRUE)*(F1838-Calc!F19))+B1850+(ArtifactsInput!$M$24-ArtifactsInput!$M$24)*CHOOSE(ArtifactsInput!$N$24+1,10,12,14,16,18,20)+(IF(AND(Inputs!$B$38&lt;&gt;"pvp",Inputs!$B$43=0),1,IF(IF(Inputs!$B$38="pvp",15,Inputs!$B$43)-(B1857)&lt;=0,1,MAX(0,IF(Inputs!$B$38="pvp",15,Inputs!$B$43)-MAX(5,B1857))/(IF(Inputs!$B$38="pvp",15,Inputs!$B$43)-(B1857))))*IF(AND(ArtifactsInput!$M$42,((Inputs!$B$9+((C1838=TRUE)*(F1838-Calc!F19))+B1850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1829*(MIN((Inputs!$B$9+((C1838=TRUE)*(F1838-Calc!F19))+B1850+(ArtifactsInput!$M$24-ArtifactsInput!$M$24)*CHOOSE(ArtifactsInput!$N$24+1,10,12,14,16,18,20)+(IF(AND(Inputs!$B$38&lt;&gt;"pvp",Inputs!$B$43=0),1,IF(IF(Inputs!$B$38="pvp",15,Inputs!$B$43)-(B1857)&lt;=0,1,MAX(0,IF(Inputs!$B$38="pvp",15,Inputs!$B$43)-MAX(5,B1857))/(IF(Inputs!$B$38="pvp",15,Inputs!$B$43)-(B1857))))*IF(AND(ArtifactsInput!$M$42,((Inputs!$B$9+((C1838=TRUE)*(F1838-Calc!F19))+B1850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29">
        <f>(1-Summary!$B$11)*T1829+Summary!$B$11*V1829</f>
        <v/>
      </c>
      <c r="P1829">
        <f>IF(B1860=0,0,O1829/B1860)</f>
        <v/>
      </c>
      <c r="Q1829" t="n">
        <v>0</v>
      </c>
      <c r="R1829" t="n">
        <v>0</v>
      </c>
      <c r="S1829">
        <f>IFERROR(O1829/N1829,0)</f>
        <v/>
      </c>
      <c r="T1829">
        <f>IF(C1829,((H1829*B1862)/(1+Skills!H10*H1829*B1862)*N1829)*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Hunt"),CHOOSE(ArtifactsInput!$N$35+1,15,18,21,24,27,30)*(1-EXP(-(0.2*B1852)*5)),0)+IF(AND(ArtifactsInput!$M$22,Inputs!$B$4&lt;&gt;"Chapter Hunt"),CHOOSE(ArtifactsInput!$N$22+1,10,12,14,16,18,20)*((0*(((0.15*B1852*5))^0/1)+1*(((0.15*B1852*5))^1/1)+2*(((0.15*B1852*5))^2/2)+3*(((0.15*B1852*5))^3/6)+4*(((0.15*B1852*5))^4/24)+5*(((0.15*B1852*5))^5/120))/((((0.15*B1852*5))^0/1)+(((0.15*B1852*5))^1/1)+(((0.15*B1852*5))^2/2)+(((0.15*B1852*5))^3/6)+(((0.15*B1852*5))^4/24)+(((0.15*B1852*5))^5/120))),0))+IF(Inputs!$B$3&gt;=54,9*(C1822=TRUE)*MIN(1,8*(1+Inputs!$B$34/100)*Q1822)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1829*(1-MIN(100,(Inputs!$B$9+((C1838=TRUE)*(F1838-Calc!F19))+B1850+(ArtifactsInput!$M$24-ArtifactsInput!$M$24)*CHOOSE(ArtifactsInput!$N$24+1,10,12,14,16,18,20)+(IF(AND(Inputs!$B$38&lt;&gt;"pvp",Inputs!$B$43=0),1,IF(IF(Inputs!$B$38="pvp",15,Inputs!$B$43)-(B1857)&lt;=0,1,MAX(0,IF(Inputs!$B$38="pvp",15,Inputs!$B$43)-MAX(5,B1857))/(IF(Inputs!$B$38="pvp",15,Inputs!$B$43)-(B1857))))*IF(AND(ArtifactsInput!$M$42,((Inputs!$B$9+((C1838=TRUE)*(F1838-Calc!F19))+B1850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1829*(MIN(100,(Inputs!$B$9+((C1838=TRUE)*(F1838-Calc!F19))+B1850+(ArtifactsInput!$M$24-ArtifactsInput!$M$24)*CHOOSE(ArtifactsInput!$N$24+1,10,12,14,16,18,20)+(IF(AND(Inputs!$B$38&lt;&gt;"pvp",Inputs!$B$43=0),1,IF(IF(Inputs!$B$38="pvp",15,Inputs!$B$43)-(B1857)&lt;=0,1,MAX(0,IF(Inputs!$B$38="pvp",15,Inputs!$B$43)-MAX(5,B1857))/(IF(Inputs!$B$38="pvp",15,Inputs!$B$43)-(B1857))))*IF(AND(ArtifactsInput!$M$42,((Inputs!$B$9+((C1838=TRUE)*(F1838-Calc!F19))+B1850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1829*(1-MIN(100,(Inputs!$B$9+((C1838=TRUE)*(F1838-Calc!F19))+B1850+(ArtifactsInput!$M$24-ArtifactsInput!$M$24)*CHOOSE(ArtifactsInput!$N$24+1,10,12,14,16,18,20)+(IF(AND(Inputs!$B$38&lt;&gt;"pvp",Inputs!$B$43=0),1,IF(IF(Inputs!$B$38="pvp",15,Inputs!$B$43)-(B1857)&lt;=0,1,MAX(0,IF(Inputs!$B$38="pvp",15,Inputs!$B$43)-MAX(5,B1857))/(IF(Inputs!$B$38="pvp",15,Inputs!$B$43)-(B1857))))*IF(AND(ArtifactsInput!$M$42,((Inputs!$B$9+((C1838=TRUE)*(F1838-Calc!F19))+B1850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1829*(MIN(100,(Inputs!$B$9+((C1838=TRUE)*(F1838-Calc!F19))+B1850+(ArtifactsInput!$M$24-ArtifactsInput!$M$24)*CHOOSE(ArtifactsInput!$N$24+1,10,12,14,16,18,20)+(IF(AND(Inputs!$B$38&lt;&gt;"pvp",Inputs!$B$43=0),1,IF(IF(Inputs!$B$38="pvp",15,Inputs!$B$43)-(B1857)&lt;=0,1,MAX(0,IF(Inputs!$B$38="pvp",15,Inputs!$B$43)-MAX(5,B1857))/(IF(Inputs!$B$38="pvp",15,Inputs!$B$43)-(B1857))))*IF(AND(ArtifactsInput!$M$42,((Inputs!$B$9+((C1838=TRUE)*(F1838-Calc!F19))+B1850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829">
        <f>IF(C1829,((H1829*B1862)/(1+Skills!H10*H1829*B1862)*N1829)*IF(Inputs!$B$38="pvp",1,(1+(Inputs!$B$21+Skills!Q10+(IF(ArtifactsInput!$M$33,CHOOSE(ArtifactsInput!$N$33+1,30,36,42,48,54,60),0))+(IF(AND(ArtifactsInput!$M$35,Inputs!$B$4&lt;&gt;"Chapter Hunt"),CHOOSE(ArtifactsInput!$N$35+1,15,18,21,24,27,30)*(1-EXP(-(0.2*B1852)*5)),0)+IF(AND(ArtifactsInput!$M$22,Inputs!$B$4&lt;&gt;"Chapter Hunt"),CHOOSE(ArtifactsInput!$N$22+1,10,12,14,16,18,20)*((0*(((0.15*B1852*5))^0/1)+1*(((0.15*B1852*5))^1/1)+2*(((0.15*B1852*5))^2/2)+3*(((0.15*B1852*5))^3/6)+4*(((0.15*B1852*5))^4/24)+5*(((0.15*B1852*5))^5/120))/((((0.15*B1852*5))^0/1)+(((0.15*B1852*5))^1/1)+(((0.15*B1852*5))^2/2)+(((0.15*B1852*5))^3/6)+(((0.15*B1852*5))^4/24)+(((0.15*B1852*5))^5/120))),0))+IF(Inputs!$B$3&gt;=54,9*(C1822=TRUE)*MIN(1,8*(1+Inputs!$B$34/100)*Q1822),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30">
      <c r="A1830">
        <f>Skills!A11</f>
        <v/>
      </c>
      <c r="B1830">
        <f>Skills!B11</f>
        <v/>
      </c>
      <c r="C1830">
        <f>Inputs!$B$3&gt;=117</f>
        <v/>
      </c>
      <c r="D1830">
        <f>IF(Skills!C11=1,60+Inputs!$B$25+Inputs!$B$29,IF(Skills!C11=2,90+Inputs!$B$26+Inputs!$B$29,IF(Skills!C11=3,120+Inputs!$B$27+Inputs!$B$29,MAX(0,(Inputs!$B$3-100)*3)+Inputs!$B$28+Inputs!$B$29)))</f>
        <v/>
      </c>
      <c r="E1830">
        <f>INDEX(FactorTable!$B$2:$Y$301, MATCH(ROUND(MIN(300,MAX(1,D1830)),0), FactorTable!$A$2:$A$301,0), Skills!M11+1)</f>
        <v/>
      </c>
      <c r="F1830">
        <f>IF(Skills!N11=TRUE,(Skills!L11/10)*(E1830/1000),Skills!L11/10)+Skills!O11</f>
        <v/>
      </c>
      <c r="G1830">
        <f>Skills!G11*IF(Skills!H11&gt;0,INT(IF(Inputs!$B$38="pvp",MIN(Skills!I11,15),Skills!I11)/Skills!H11+0.000000001),1)</f>
        <v/>
      </c>
      <c r="H1830">
        <f>1-(1-Skills!J11/100)^Skills!K11</f>
        <v/>
      </c>
      <c r="I1830" t="inlineStr">
        <is>
          <t>1</t>
        </is>
      </c>
      <c r="J1830">
        <f>((Inputs!$B$6*(1+Inputs!$B$7/100))+(((Inputs!$B$12*(1+Inputs!$B$13/100))-(Inputs!$B$12*(1+Inputs!$B$13/100)))+0.25*(Inputs!$B$14-Inputs!$B$14))*(1+Inputs!$B$7/100))*(F1830/100)</f>
        <v/>
      </c>
      <c r="K1830">
        <f>J1830*(1+((Inputs!$B$12*(1+Inputs!$B$13/100))*0.01+Inputs!$B$14*0.0025)/100)*(1+Inputs!$B$15/100)*(1+Inputs!$B$16/100)*(5000/(6000+Inputs!$B$42*(1-(100*(1-(1-(Inputs!$B$19+0)/100)*(1-CHOOSE(ArtifactsInput!$N$40+1,5,6,7,8,9,10)/100)^(ArtifactsInput!$M$40-ArtifactsInput!$M$40)))/100)))*(1+(Inputs!$B$24+((C1845=TRUE)*(F1845-Calc!F26))+B1856)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IGHT_LEGS_EASTON",Inputs!$B$17+((C1842=TRUE)*(F1842-Calc!F23))+((C1846=TRUE)*(F1846-Calc!F27))+((IF(AND(Inputs!$B$38&lt;&gt;"pvp",Inputs!$B$43=0),1,IF(IF(Inputs!$B$38="pvp",15,Inputs!$B$43)-(B1857)&lt;=0,1,MAX(0,IF(Inputs!$B$38="pvp",15,Inputs!$B$43)-MAX(5,B1857))/(IF(Inputs!$B$38="pvp",15,Inputs!$B$43)-(B1857))))*(IF(AND(ArtifactsInput!$M$42,((Inputs!$B$9+((C1838=TRUE)*(F1838-Calc!F19))+B1850+(ArtifactsInput!$M$24-ArtifactsInput!$M$24)*CHOOSE(ArtifactsInput!$N$24+1,10,12,14,16,18,20)+IF(ArtifactsInput!$M$10,CHOOSE(ArtifactsInput!$N$10+1,15,18,21,24,27,30)*(IF(Inputs!$B$38="pvp",MIN(15,15)/15,IF(AND(Inputs!$B$38&lt;&gt;"pvp",Inputs!$B$43&gt;0),MIN(15,Inputs!$B$43)/(Inputs!$B$43),0))),0)))&gt;=100),MIN(100,((Inputs!$B$9+((C1838=TRUE)*(F1838-Calc!F19))+B1850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1857)&lt;=0,1,MAX(0,IF(Inputs!$B$38="pvp",15,Inputs!$B$43)-MAX(5,B1857))/(IF(Inputs!$B$38="pvp",15,Inputs!$B$43)-(B1857))))*IF(AND(ArtifactsInput!$M$42,((Inputs!$B$9+((C1838=TRUE)*(F1838-Calc!F19))+B1850+(ArtifactsInput!$M$24-ArtifactsInput!$M$24)*CHOOSE(ArtifactsInput!$N$24+1,10,12,14,16,18,20)+IF(ArtifactsInput!$M$10,CHOOSE(ArtifactsInput!$N$10+1,15,18,21,24,27,30)*(IF(Inputs!$B$38="pvp",MIN(15,15)/15,IF(AND(Inputs!$B$38&lt;&gt;"pvp",Inputs!$B$43&gt;0),MIN(15,Inputs!$B$43)/(Inputs!$B$43),0))),0)))&gt;=100),CHOOSE(ArtifactsInput!$N$42+1,40,48,56,64,72,80),0))))/100)*((1+(((C1836=TRUE)*F1836*5/7)+((C1843=TRUE)*(F1843-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1830)</f>
        <v/>
      </c>
      <c r="L1830">
        <f>K1830*(MIN(Inputs!$B$22+((C1841=TRUE)*(F1841-Calc!F22)),(Inputs!$B$23+0+(IF(ArtifactsInput!$M$15,CHOOSE(ArtifactsInput!$N$15+1,25,30,35,40,45,50)/100*(Inputs!$B$11-Inputs!$B$11),0))))/100+(Inputs!$B$23+0+(IF(ArtifactsInput!$M$15,CHOOSE(ArtifactsInput!$N$15+1,25,30,35,40,45,50)/100*(Inputs!$B$11-Inputs!$B$11),0)))/100)/2</f>
        <v/>
      </c>
      <c r="M1830">
        <f>L1830*(1+(Inputs!$B$10+((C1844=TRUE)*(F1844-Calc!F25))+B1855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30">
        <f>L1830*(1-MIN((Inputs!$B$9+((C1838=TRUE)*(F1838-Calc!F19))+B1850+(ArtifactsInput!$M$24-ArtifactsInput!$M$24)*CHOOSE(ArtifactsInput!$N$24+1,10,12,14,16,18,20)+(IF(AND(Inputs!$B$38&lt;&gt;"pvp",Inputs!$B$43=0),1,IF(IF(Inputs!$B$38="pvp",15,Inputs!$B$43)-(B1857)&lt;=0,1,MAX(0,IF(Inputs!$B$38="pvp",15,Inputs!$B$43)-MAX(5,B1857))/(IF(Inputs!$B$38="pvp",15,Inputs!$B$43)-(B1857))))*IF(AND(ArtifactsInput!$M$42,((Inputs!$B$9+((C1838=TRUE)*(F1838-Calc!F19))+B1850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1830*(MIN((Inputs!$B$9+((C1838=TRUE)*(F1838-Calc!F19))+B1850+(ArtifactsInput!$M$24-ArtifactsInput!$M$24)*CHOOSE(ArtifactsInput!$N$24+1,10,12,14,16,18,20)+(IF(AND(Inputs!$B$38&lt;&gt;"pvp",Inputs!$B$43=0),1,IF(IF(Inputs!$B$38="pvp",15,Inputs!$B$43)-(B1857)&lt;=0,1,MAX(0,IF(Inputs!$B$38="pvp",15,Inputs!$B$43)-MAX(5,B1857))/(IF(Inputs!$B$38="pvp",15,Inputs!$B$43)-(B1857))))*IF(AND(ArtifactsInput!$M$42,((Inputs!$B$9+((C1838=TRUE)*(F1838-Calc!F19))+B1850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30">
        <f>(1-Summary!$B$11)*T1830+Summary!$B$11*V1830</f>
        <v/>
      </c>
      <c r="P1830">
        <f>IF(B1860=0,0,O1830/B1860)</f>
        <v/>
      </c>
      <c r="Q1830">
        <f>IFERROR(1/((IF(Inputs!$B$38="pvp",15,MAX(0.1,Skills!D11-IF(TRUE=TRUE,Inputs!$B$32,0)))*(1-IF(AND(ArtifactsInput!$M$27,Inputs!$B$4="Chapter Hunt"),CHOOSE(ArtifactsInput!$N$27+1,20,24,28,32,36,40),0)/100))/B1861),0)</f>
        <v/>
      </c>
      <c r="R1830">
        <f>IF(AND(Inputs!$B$38&lt;&gt;"pvp",Inputs!$B$43&gt;0),IF(MAX(0,Inputs!$B$43-B1857)&lt;=0,0,(INT(MAX(0,Inputs!$B$43-B1857)/((IF(Inputs!$B$38="pvp",15,MAX(0.1,Skills!D11-IF(TRUE=TRUE,Inputs!$B$32,0)))*(1-IF(AND(ArtifactsInput!$M$27,Inputs!$B$4="Chapter Hunt"),CHOOSE(ArtifactsInput!$N$27+1,20,24,28,32,36,40),0)/100))/B1861))+1)),0)</f>
        <v/>
      </c>
      <c r="S1830">
        <f>IFERROR(O1830/N1830,0)</f>
        <v/>
      </c>
      <c r="T1830">
        <f>IF(C1830,(H1830*N1830*IF(AND(Inputs!$B$38&lt;&gt;"pvp",Inputs!$B$43&gt;0),((Skills!G11*((R1830-1)*IF(Skills!H11&gt;0,INT(Skills!I11/Skills!H11+0.000000001),1)+IF(Skills!H11&gt;0,INT(MIN(Skills!I11,MAX(0,MAX(0,Inputs!$B$43-B1857)-((R1830-1)*((IF(Inputs!$B$38="pvp",15,MAX(0.1,Skills!D11-IF(TRUE=TRUE,Inputs!$B$32,0)))*(1-IF(AND(ArtifactsInput!$M$27,Inputs!$B$4="Chapter Hunt"),CHOOSE(ArtifactsInput!$N$27+1,20,24,28,32,36,40),0)/100))/B1861))))/Skills!H11+0.000000001),1)))/Inputs!$B$43),G1830*Q1830))*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Hunt"),CHOOSE(ArtifactsInput!$N$35+1,15,18,21,24,27,30)*(1-EXP(-(0.2*B1852)*5)),0)+IF(AND(ArtifactsInput!$M$22,Inputs!$B$4&lt;&gt;"Chapter Hunt"),CHOOSE(ArtifactsInput!$N$22+1,10,12,14,16,18,20)*((0*(((0.15*B1852*5))^0/1)+1*(((0.15*B1852*5))^1/1)+2*(((0.15*B1852*5))^2/2)+3*(((0.15*B1852*5))^3/6)+4*(((0.15*B1852*5))^4/24)+5*(((0.15*B1852*5))^5/120))/((((0.15*B1852*5))^0/1)+(((0.15*B1852*5))^1/1)+(((0.15*B1852*5))^2/2)+(((0.15*B1852*5))^3/6)+(((0.15*B1852*5))^4/24)+(((0.15*B1852*5))^5/120))),0))+IF(Inputs!$B$3&gt;=54,9*(C1822=TRUE)*MIN(1,8*(1+Inputs!$B$34/100)*Q1822)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1830*(1-MIN(100,(Inputs!$B$9+((C1838=TRUE)*(F1838-Calc!F19))+B1850+(ArtifactsInput!$M$24-ArtifactsInput!$M$24)*CHOOSE(ArtifactsInput!$N$24+1,10,12,14,16,18,20)+(IF(AND(Inputs!$B$38&lt;&gt;"pvp",Inputs!$B$43=0),1,IF(IF(Inputs!$B$38="pvp",15,Inputs!$B$43)-(B1857)&lt;=0,1,MAX(0,IF(Inputs!$B$38="pvp",15,Inputs!$B$43)-MAX(5,B1857))/(IF(Inputs!$B$38="pvp",15,Inputs!$B$43)-(B1857))))*IF(AND(ArtifactsInput!$M$42,((Inputs!$B$9+((C1838=TRUE)*(F1838-Calc!F19))+B1850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1830*(MIN(100,(Inputs!$B$9+((C1838=TRUE)*(F1838-Calc!F19))+B1850+(ArtifactsInput!$M$24-ArtifactsInput!$M$24)*CHOOSE(ArtifactsInput!$N$24+1,10,12,14,16,18,20)+(IF(AND(Inputs!$B$38&lt;&gt;"pvp",Inputs!$B$43=0),1,IF(IF(Inputs!$B$38="pvp",15,Inputs!$B$43)-(B1857)&lt;=0,1,MAX(0,IF(Inputs!$B$38="pvp",15,Inputs!$B$43)-MAX(5,B1857))/(IF(Inputs!$B$38="pvp",15,Inputs!$B$43)-(B1857))))*IF(AND(ArtifactsInput!$M$42,((Inputs!$B$9+((C1838=TRUE)*(F1838-Calc!F19))+B1850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1830*(1-MIN(100,(Inputs!$B$9+((C1838=TRUE)*(F1838-Calc!F19))+B1850+(ArtifactsInput!$M$24-ArtifactsInput!$M$24)*CHOOSE(ArtifactsInput!$N$24+1,10,12,14,16,18,20)+(IF(AND(Inputs!$B$38&lt;&gt;"pvp",Inputs!$B$43=0),1,IF(IF(Inputs!$B$38="pvp",15,Inputs!$B$43)-(B1857)&lt;=0,1,MAX(0,IF(Inputs!$B$38="pvp",15,Inputs!$B$43)-MAX(5,B1857))/(IF(Inputs!$B$38="pvp",15,Inputs!$B$43)-(B1857))))*IF(AND(ArtifactsInput!$M$42,((Inputs!$B$9+((C1838=TRUE)*(F1838-Calc!F19))+B1850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1830*(MIN(100,(Inputs!$B$9+((C1838=TRUE)*(F1838-Calc!F19))+B1850+(ArtifactsInput!$M$24-ArtifactsInput!$M$24)*CHOOSE(ArtifactsInput!$N$24+1,10,12,14,16,18,20)+(IF(AND(Inputs!$B$38&lt;&gt;"pvp",Inputs!$B$43=0),1,IF(IF(Inputs!$B$38="pvp",15,Inputs!$B$43)-(B1857)&lt;=0,1,MAX(0,IF(Inputs!$B$38="pvp",15,Inputs!$B$43)-MAX(5,B1857))/(IF(Inputs!$B$38="pvp",15,Inputs!$B$43)-(B1857))))*IF(AND(ArtifactsInput!$M$42,((Inputs!$B$9+((C1838=TRUE)*(F1838-Calc!F19))+B1850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830">
        <f>IF(C1830,(H1830*N1830*IF(AND(Inputs!$B$38&lt;&gt;"pvp",Inputs!$B$43&gt;0),((Skills!G11*((R1830-1)*IF(Skills!H11&gt;0,INT(Skills!I11/Skills!H11+0.000000001),1)+IF(Skills!H11&gt;0,INT(MIN(Skills!I11,MAX(0,MAX(0,Inputs!$B$43-B1857)-((R1830-1)*((IF(Inputs!$B$38="pvp",15,MAX(0.1,Skills!D11-IF(TRUE=TRUE,Inputs!$B$32,0)))*(1-IF(AND(ArtifactsInput!$M$27,Inputs!$B$4="Chapter Hunt"),CHOOSE(ArtifactsInput!$N$27+1,20,24,28,32,36,40),0)/100))/B1861))))/Skills!H11+0.000000001),1)))/Inputs!$B$43),G1830*Q1830))*IF(Inputs!$B$38="pvp",1,(1+(Inputs!$B$21+Skills!Q11+(IF(ArtifactsInput!$M$33,CHOOSE(ArtifactsInput!$N$33+1,30,36,42,48,54,60),0))+(IF(AND(ArtifactsInput!$M$35,Inputs!$B$4&lt;&gt;"Chapter Hunt"),CHOOSE(ArtifactsInput!$N$35+1,15,18,21,24,27,30)*(1-EXP(-(0.2*B1852)*5)),0)+IF(AND(ArtifactsInput!$M$22,Inputs!$B$4&lt;&gt;"Chapter Hunt"),CHOOSE(ArtifactsInput!$N$22+1,10,12,14,16,18,20)*((0*(((0.15*B1852*5))^0/1)+1*(((0.15*B1852*5))^1/1)+2*(((0.15*B1852*5))^2/2)+3*(((0.15*B1852*5))^3/6)+4*(((0.15*B1852*5))^4/24)+5*(((0.15*B1852*5))^5/120))/((((0.15*B1852*5))^0/1)+(((0.15*B1852*5))^1/1)+(((0.15*B1852*5))^2/2)+(((0.15*B1852*5))^3/6)+(((0.15*B1852*5))^4/24)+(((0.15*B1852*5))^5/120))),0))+IF(Inputs!$B$3&gt;=54,9*(C1822=TRUE)*MIN(1,8*(1+Inputs!$B$34/100)*Q1822),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31">
      <c r="A1831">
        <f>Skills!A12</f>
        <v/>
      </c>
      <c r="B1831">
        <f>Skills!B12</f>
        <v/>
      </c>
      <c r="C1831">
        <f>Inputs!$B$3&gt;=110</f>
        <v/>
      </c>
      <c r="D1831">
        <f>IF(Skills!C12=1,60+Inputs!$B$25+Inputs!$B$29,IF(Skills!C12=2,90+Inputs!$B$26+Inputs!$B$29,IF(Skills!C12=3,120+Inputs!$B$27+Inputs!$B$29,MAX(0,(Inputs!$B$3-100)*3)+Inputs!$B$28+Inputs!$B$29)))</f>
        <v/>
      </c>
      <c r="E1831">
        <f>INDEX(FactorTable!$B$2:$Y$301, MATCH(ROUND(MIN(300,MAX(1,D1831)),0), FactorTable!$A$2:$A$301,0), Skills!M12+1)</f>
        <v/>
      </c>
      <c r="F1831">
        <f>IF(Skills!N12=TRUE,(Skills!L12/10)*(E1831/1000),Skills!L12/10)+Skills!O12</f>
        <v/>
      </c>
      <c r="G1831">
        <f>Skills!G12*IF(Skills!H12&gt;0,INT(IF(Inputs!$B$38="pvp",MIN(Skills!I12,15),Skills!I12)/Skills!H12+0.000000001),1)</f>
        <v/>
      </c>
      <c r="H1831">
        <f>1-(1-Skills!J12/100)^Skills!K12</f>
        <v/>
      </c>
      <c r="I1831" t="inlineStr">
        <is>
          <t>1</t>
        </is>
      </c>
      <c r="J1831">
        <f>((Inputs!$B$6*(1+Inputs!$B$7/100))+(((Inputs!$B$12*(1+Inputs!$B$13/100))-(Inputs!$B$12*(1+Inputs!$B$13/100)))+0.25*(Inputs!$B$14-Inputs!$B$14))*(1+Inputs!$B$7/100))*(F1831/100)</f>
        <v/>
      </c>
      <c r="K1831">
        <f>J1831*(1+((Inputs!$B$12*(1+Inputs!$B$13/100))*0.01+Inputs!$B$14*0.0025)/100)*(1+Inputs!$B$15/100)*(1+Inputs!$B$16/100)*(5000/(6000+Inputs!$B$42*(1-(100*(1-(1-(Inputs!$B$19+0)/100)*(1-CHOOSE(ArtifactsInput!$N$40+1,5,6,7,8,9,10)/100)^(ArtifactsInput!$M$40-ArtifactsInput!$M$40)))/100)))*(1+(Inputs!$B$24+((C1845=TRUE)*(F1845-Calc!F26))+B1856)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EIGHT_LEGS_EASTON",Inputs!$B$17+((C1842=TRUE)*(F1842-Calc!F23))+((C1846=TRUE)*(F1846-Calc!F27))+((IF(AND(Inputs!$B$38&lt;&gt;"pvp",Inputs!$B$43=0),1,IF(IF(Inputs!$B$38="pvp",15,Inputs!$B$43)-(B1857)&lt;=0,1,MAX(0,IF(Inputs!$B$38="pvp",15,Inputs!$B$43)-MAX(5,B1857))/(IF(Inputs!$B$38="pvp",15,Inputs!$B$43)-(B1857))))*(IF(AND(ArtifactsInput!$M$42,((Inputs!$B$9+((C1838=TRUE)*(F1838-Calc!F19))+B1850+(ArtifactsInput!$M$24-ArtifactsInput!$M$24)*CHOOSE(ArtifactsInput!$N$24+1,10,12,14,16,18,20)+IF(ArtifactsInput!$M$10,CHOOSE(ArtifactsInput!$N$10+1,15,18,21,24,27,30)*(IF(Inputs!$B$38="pvp",MIN(15,15)/15,IF(AND(Inputs!$B$38&lt;&gt;"pvp",Inputs!$B$43&gt;0),MIN(15,Inputs!$B$43)/(Inputs!$B$43),0))),0)))&gt;=100),MIN(100,((Inputs!$B$9+((C1838=TRUE)*(F1838-Calc!F19))+B1850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1857)&lt;=0,1,MAX(0,IF(Inputs!$B$38="pvp",15,Inputs!$B$43)-MAX(5,B1857))/(IF(Inputs!$B$38="pvp",15,Inputs!$B$43)-(B1857))))*IF(AND(ArtifactsInput!$M$42,((Inputs!$B$9+((C1838=TRUE)*(F1838-Calc!F19))+B1850+(ArtifactsInput!$M$24-ArtifactsInput!$M$24)*CHOOSE(ArtifactsInput!$N$24+1,10,12,14,16,18,20)+IF(ArtifactsInput!$M$10,CHOOSE(ArtifactsInput!$N$10+1,15,18,21,24,27,30)*(IF(Inputs!$B$38="pvp",MIN(15,15)/15,IF(AND(Inputs!$B$38&lt;&gt;"pvp",Inputs!$B$43&gt;0),MIN(15,Inputs!$B$43)/(Inputs!$B$43),0))),0)))&gt;=100),CHOOSE(ArtifactsInput!$N$42+1,40,48,56,64,72,80),0))))/100)*((1+(((C1836=TRUE)*F1836*5/7)+((C1843=TRUE)*(F1843-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1831)</f>
        <v/>
      </c>
      <c r="L1831">
        <f>K1831*(MIN(Inputs!$B$22+((C1841=TRUE)*(F1841-Calc!F22)),(Inputs!$B$23+0+(IF(ArtifactsInput!$M$15,CHOOSE(ArtifactsInput!$N$15+1,25,30,35,40,45,50)/100*(Inputs!$B$11-Inputs!$B$11),0))))/100+(Inputs!$B$23+0+(IF(ArtifactsInput!$M$15,CHOOSE(ArtifactsInput!$N$15+1,25,30,35,40,45,50)/100*(Inputs!$B$11-Inputs!$B$11),0)))/100)/2</f>
        <v/>
      </c>
      <c r="M1831">
        <f>L1831*(1+(Inputs!$B$10+((C1844=TRUE)*(F1844-Calc!F25))+B1855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31">
        <f>L1831*(1-MIN((Inputs!$B$9+((C1838=TRUE)*(F1838-Calc!F19))+B1850+(ArtifactsInput!$M$24-ArtifactsInput!$M$24)*CHOOSE(ArtifactsInput!$N$24+1,10,12,14,16,18,20)+(IF(AND(Inputs!$B$38&lt;&gt;"pvp",Inputs!$B$43=0),1,IF(IF(Inputs!$B$38="pvp",15,Inputs!$B$43)-(B1857)&lt;=0,1,MAX(0,IF(Inputs!$B$38="pvp",15,Inputs!$B$43)-MAX(5,B1857))/(IF(Inputs!$B$38="pvp",15,Inputs!$B$43)-(B1857))))*IF(AND(ArtifactsInput!$M$42,((Inputs!$B$9+((C1838=TRUE)*(F1838-Calc!F19))+B1850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1831*(MIN((Inputs!$B$9+((C1838=TRUE)*(F1838-Calc!F19))+B1850+(ArtifactsInput!$M$24-ArtifactsInput!$M$24)*CHOOSE(ArtifactsInput!$N$24+1,10,12,14,16,18,20)+(IF(AND(Inputs!$B$38&lt;&gt;"pvp",Inputs!$B$43=0),1,IF(IF(Inputs!$B$38="pvp",15,Inputs!$B$43)-(B1857)&lt;=0,1,MAX(0,IF(Inputs!$B$38="pvp",15,Inputs!$B$43)-MAX(5,B1857))/(IF(Inputs!$B$38="pvp",15,Inputs!$B$43)-(B1857))))*IF(AND(ArtifactsInput!$M$42,((Inputs!$B$9+((C1838=TRUE)*(F1838-Calc!F19))+B1850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31">
        <f>(1-Summary!$B$11)*T1831+Summary!$B$11*V1831</f>
        <v/>
      </c>
      <c r="P1831">
        <f>IF(B1860=0,0,O1831/B1860)</f>
        <v/>
      </c>
      <c r="Q1831">
        <f>IFERROR(1/(IF(Inputs!$B$38="pvp",15,MAX(0.1,Skills!D12-IF(TRUE=TRUE,Inputs!$B$32,0)))*(1-IF(AND(ArtifactsInput!$M$27,Inputs!$B$4="Chapter Hunt"),CHOOSE(ArtifactsInput!$N$27+1,20,24,28,32,36,40),0)/100)),0)</f>
        <v/>
      </c>
      <c r="R1831">
        <f>IF(AND(Inputs!$B$38&lt;&gt;"pvp",Inputs!$B$43&gt;0),IF(MAX(0,Inputs!$B$43-B1857)&lt;=0,0,(INT(MAX(0,Inputs!$B$43-B1857)/(IF(Inputs!$B$38="pvp",15,MAX(0.1,Skills!D12-IF(TRUE=TRUE,Inputs!$B$32,0)))*(1-IF(AND(ArtifactsInput!$M$27,Inputs!$B$4="Chapter Hunt"),CHOOSE(ArtifactsInput!$N$27+1,20,24,28,32,36,40),0)/100)))+1)),0)</f>
        <v/>
      </c>
      <c r="S1831">
        <f>IFERROR(O1831/N1831,0)</f>
        <v/>
      </c>
      <c r="T1831">
        <f>IF(C1831,(H1831*N1831*IF(AND(Inputs!$B$38&lt;&gt;"pvp",Inputs!$B$43&gt;0),((Skills!G12*((R1831-1)*IF(Skills!H12&gt;0,INT(Skills!I12/Skills!H12+0.000000001),1)+IF(Skills!H12&gt;0,INT(MIN(Skills!I12,MAX(0,MAX(0,Inputs!$B$43-B1857)-((R1831-1)*(IF(Inputs!$B$38="pvp",15,MAX(0.1,Skills!D12-IF(TRUE=TRUE,Inputs!$B$32,0)))*(1-IF(AND(ArtifactsInput!$M$27,Inputs!$B$4="Chapter Hunt"),CHOOSE(ArtifactsInput!$N$27+1,20,24,28,32,36,40),0)/100)))))/Skills!H12+0.000000001),1)))/Inputs!$B$43),G1831*Q1831))*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Hunt"),CHOOSE(ArtifactsInput!$N$35+1,15,18,21,24,27,30)*(1-EXP(-(0.2*B1852)*5)),0)+IF(AND(ArtifactsInput!$M$22,Inputs!$B$4&lt;&gt;"Chapter Hunt"),CHOOSE(ArtifactsInput!$N$22+1,10,12,14,16,18,20)*((0*(((0.15*B1852*5))^0/1)+1*(((0.15*B1852*5))^1/1)+2*(((0.15*B1852*5))^2/2)+3*(((0.15*B1852*5))^3/6)+4*(((0.15*B1852*5))^4/24)+5*(((0.15*B1852*5))^5/120))/((((0.15*B1852*5))^0/1)+(((0.15*B1852*5))^1/1)+(((0.15*B1852*5))^2/2)+(((0.15*B1852*5))^3/6)+(((0.15*B1852*5))^4/24)+(((0.15*B1852*5))^5/120))),0))+IF(Inputs!$B$3&gt;=54,9*(C1822=TRUE)*MIN(1,8*(1+Inputs!$B$34/100)*Q1822)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1831*(1-MIN(100,(Inputs!$B$9+((C1838=TRUE)*(F1838-Calc!F19))+B1850+(ArtifactsInput!$M$24-ArtifactsInput!$M$24)*CHOOSE(ArtifactsInput!$N$24+1,10,12,14,16,18,20)+(IF(AND(Inputs!$B$38&lt;&gt;"pvp",Inputs!$B$43=0),1,IF(IF(Inputs!$B$38="pvp",15,Inputs!$B$43)-(B1857)&lt;=0,1,MAX(0,IF(Inputs!$B$38="pvp",15,Inputs!$B$43)-MAX(5,B1857))/(IF(Inputs!$B$38="pvp",15,Inputs!$B$43)-(B1857))))*IF(AND(ArtifactsInput!$M$42,((Inputs!$B$9+((C1838=TRUE)*(F1838-Calc!F19))+B1850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1831*(MIN(100,(Inputs!$B$9+((C1838=TRUE)*(F1838-Calc!F19))+B1850+(ArtifactsInput!$M$24-ArtifactsInput!$M$24)*CHOOSE(ArtifactsInput!$N$24+1,10,12,14,16,18,20)+(IF(AND(Inputs!$B$38&lt;&gt;"pvp",Inputs!$B$43=0),1,IF(IF(Inputs!$B$38="pvp",15,Inputs!$B$43)-(B1857)&lt;=0,1,MAX(0,IF(Inputs!$B$38="pvp",15,Inputs!$B$43)-MAX(5,B1857))/(IF(Inputs!$B$38="pvp",15,Inputs!$B$43)-(B1857))))*IF(AND(ArtifactsInput!$M$42,((Inputs!$B$9+((C1838=TRUE)*(F1838-Calc!F19))+B1850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1831*(1-MIN(100,(Inputs!$B$9+((C1838=TRUE)*(F1838-Calc!F19))+B1850+(ArtifactsInput!$M$24-ArtifactsInput!$M$24)*CHOOSE(ArtifactsInput!$N$24+1,10,12,14,16,18,20)+(IF(AND(Inputs!$B$38&lt;&gt;"pvp",Inputs!$B$43=0),1,IF(IF(Inputs!$B$38="pvp",15,Inputs!$B$43)-(B1857)&lt;=0,1,MAX(0,IF(Inputs!$B$38="pvp",15,Inputs!$B$43)-MAX(5,B1857))/(IF(Inputs!$B$38="pvp",15,Inputs!$B$43)-(B1857))))*IF(AND(ArtifactsInput!$M$42,((Inputs!$B$9+((C1838=TRUE)*(F1838-Calc!F19))+B1850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1831*(MIN(100,(Inputs!$B$9+((C1838=TRUE)*(F1838-Calc!F19))+B1850+(ArtifactsInput!$M$24-ArtifactsInput!$M$24)*CHOOSE(ArtifactsInput!$N$24+1,10,12,14,16,18,20)+(IF(AND(Inputs!$B$38&lt;&gt;"pvp",Inputs!$B$43=0),1,IF(IF(Inputs!$B$38="pvp",15,Inputs!$B$43)-(B1857)&lt;=0,1,MAX(0,IF(Inputs!$B$38="pvp",15,Inputs!$B$43)-MAX(5,B1857))/(IF(Inputs!$B$38="pvp",15,Inputs!$B$43)-(B1857))))*IF(AND(ArtifactsInput!$M$42,((Inputs!$B$9+((C1838=TRUE)*(F1838-Calc!F19))+B1850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831">
        <f>IF(C1831,(H1831*N1831*IF(AND(Inputs!$B$38&lt;&gt;"pvp",Inputs!$B$43&gt;0),((Skills!G12*((R1831-1)*IF(Skills!H12&gt;0,INT(Skills!I12/Skills!H12+0.000000001),1)+IF(Skills!H12&gt;0,INT(MIN(Skills!I12,MAX(0,MAX(0,Inputs!$B$43-B1857)-((R1831-1)*(IF(Inputs!$B$38="pvp",15,MAX(0.1,Skills!D12-IF(TRUE=TRUE,Inputs!$B$32,0)))*(1-IF(AND(ArtifactsInput!$M$27,Inputs!$B$4="Chapter Hunt"),CHOOSE(ArtifactsInput!$N$27+1,20,24,28,32,36,40),0)/100)))))/Skills!H12+0.000000001),1)))/Inputs!$B$43),G1831*Q1831))*IF(Inputs!$B$38="pvp",1,(1+(Inputs!$B$21+Skills!Q12+(IF(ArtifactsInput!$M$33,CHOOSE(ArtifactsInput!$N$33+1,30,36,42,48,54,60),0))+(IF(AND(ArtifactsInput!$M$35,Inputs!$B$4&lt;&gt;"Chapter Hunt"),CHOOSE(ArtifactsInput!$N$35+1,15,18,21,24,27,30)*(1-EXP(-(0.2*B1852)*5)),0)+IF(AND(ArtifactsInput!$M$22,Inputs!$B$4&lt;&gt;"Chapter Hunt"),CHOOSE(ArtifactsInput!$N$22+1,10,12,14,16,18,20)*((0*(((0.15*B1852*5))^0/1)+1*(((0.15*B1852*5))^1/1)+2*(((0.15*B1852*5))^2/2)+3*(((0.15*B1852*5))^3/6)+4*(((0.15*B1852*5))^4/24)+5*(((0.15*B1852*5))^5/120))/((((0.15*B1852*5))^0/1)+(((0.15*B1852*5))^1/1)+(((0.15*B1852*5))^2/2)+(((0.15*B1852*5))^3/6)+(((0.15*B1852*5))^4/24)+(((0.15*B1852*5))^5/120))),0))+IF(Inputs!$B$3&gt;=54,9*(C1822=TRUE)*MIN(1,8*(1+Inputs!$B$34/100)*Q1822),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32">
      <c r="A1832">
        <f>Skills!A13</f>
        <v/>
      </c>
      <c r="B1832">
        <f>Skills!B13</f>
        <v/>
      </c>
      <c r="C1832">
        <f>Inputs!$B$3&gt;=110</f>
        <v/>
      </c>
      <c r="D1832">
        <f>IF(Skills!C13=1,60+Inputs!$B$25+Inputs!$B$29,IF(Skills!C13=2,90+Inputs!$B$26+Inputs!$B$29,IF(Skills!C13=3,120+Inputs!$B$27+Inputs!$B$29,MAX(0,(Inputs!$B$3-100)*3)+Inputs!$B$28+Inputs!$B$29)))</f>
        <v/>
      </c>
      <c r="E1832">
        <f>INDEX(FactorTable!$B$2:$Y$301, MATCH(ROUND(MIN(300,MAX(1,D1832)),0), FactorTable!$A$2:$A$301,0), Skills!M13+1)</f>
        <v/>
      </c>
      <c r="F1832">
        <f>IF(Skills!N13=TRUE,(Skills!L13/10)*(E1832/1000),Skills!L13/10)+Skills!O13</f>
        <v/>
      </c>
      <c r="G1832">
        <f>Skills!G13*IF(Skills!H13&gt;0,INT(IF(Inputs!$B$38="pvp",MIN(Skills!I13,15),Skills!I13)/Skills!H13+0.000000001),1)</f>
        <v/>
      </c>
      <c r="H1832">
        <f>1-(1-Skills!J13/100)^Skills!K13</f>
        <v/>
      </c>
      <c r="I1832" t="inlineStr">
        <is>
          <t>1</t>
        </is>
      </c>
      <c r="J1832">
        <f>((Inputs!$B$6*(1+Inputs!$B$7/100))+(((Inputs!$B$12*(1+Inputs!$B$13/100))-(Inputs!$B$12*(1+Inputs!$B$13/100)))+0.25*(Inputs!$B$14-Inputs!$B$14))*(1+Inputs!$B$7/100))*(F1832/100)</f>
        <v/>
      </c>
      <c r="K1832">
        <f>J1832*(1+((Inputs!$B$12*(1+Inputs!$B$13/100))*0.01+Inputs!$B$14*0.0025)/100)*(1+Inputs!$B$15/100)*(1+Inputs!$B$16/100)*(5000/(6000+Inputs!$B$42*(1-(100*(1-(1-(Inputs!$B$19+0)/100)*(1-CHOOSE(ArtifactsInput!$N$40+1,5,6,7,8,9,10)/100)^(ArtifactsInput!$M$40-ArtifactsInput!$M$40)))/100)))*(1+(Inputs!$B$24+((C1845=TRUE)*(F1845-Calc!F26))+B1856)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EIGHT_LEGS_EASTON",Inputs!$B$17+((C1842=TRUE)*(F1842-Calc!F23))+((C1846=TRUE)*(F1846-Calc!F27))+((IF(AND(Inputs!$B$38&lt;&gt;"pvp",Inputs!$B$43=0),1,IF(IF(Inputs!$B$38="pvp",15,Inputs!$B$43)-(B1857)&lt;=0,1,MAX(0,IF(Inputs!$B$38="pvp",15,Inputs!$B$43)-MAX(5,B1857))/(IF(Inputs!$B$38="pvp",15,Inputs!$B$43)-(B1857))))*(IF(AND(ArtifactsInput!$M$42,((Inputs!$B$9+((C1838=TRUE)*(F1838-Calc!F19))+B1850+(ArtifactsInput!$M$24-ArtifactsInput!$M$24)*CHOOSE(ArtifactsInput!$N$24+1,10,12,14,16,18,20)+IF(ArtifactsInput!$M$10,CHOOSE(ArtifactsInput!$N$10+1,15,18,21,24,27,30)*(IF(Inputs!$B$38="pvp",MIN(15,15)/15,IF(AND(Inputs!$B$38&lt;&gt;"pvp",Inputs!$B$43&gt;0),MIN(15,Inputs!$B$43)/(Inputs!$B$43),0))),0)))&gt;=100),MIN(100,((Inputs!$B$9+((C1838=TRUE)*(F1838-Calc!F19))+B1850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1857)&lt;=0,1,MAX(0,IF(Inputs!$B$38="pvp",15,Inputs!$B$43)-MAX(5,B1857))/(IF(Inputs!$B$38="pvp",15,Inputs!$B$43)-(B1857))))*IF(AND(ArtifactsInput!$M$42,((Inputs!$B$9+((C1838=TRUE)*(F1838-Calc!F19))+B1850+(ArtifactsInput!$M$24-ArtifactsInput!$M$24)*CHOOSE(ArtifactsInput!$N$24+1,10,12,14,16,18,20)+IF(ArtifactsInput!$M$10,CHOOSE(ArtifactsInput!$N$10+1,15,18,21,24,27,30)*(IF(Inputs!$B$38="pvp",MIN(15,15)/15,IF(AND(Inputs!$B$38&lt;&gt;"pvp",Inputs!$B$43&gt;0),MIN(15,Inputs!$B$43)/(Inputs!$B$43),0))),0)))&gt;=100),CHOOSE(ArtifactsInput!$N$42+1,40,48,56,64,72,80),0))))/100)*((1+(((C1836=TRUE)*F1836*5/7)+((C1843=TRUE)*(F1843-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1832)</f>
        <v/>
      </c>
      <c r="L1832">
        <f>K1832*(MIN(Inputs!$B$22+((C1841=TRUE)*(F1841-Calc!F22)),(Inputs!$B$23+0+(IF(ArtifactsInput!$M$15,CHOOSE(ArtifactsInput!$N$15+1,25,30,35,40,45,50)/100*(Inputs!$B$11-Inputs!$B$11),0))))/100+(Inputs!$B$23+0+(IF(ArtifactsInput!$M$15,CHOOSE(ArtifactsInput!$N$15+1,25,30,35,40,45,50)/100*(Inputs!$B$11-Inputs!$B$11),0)))/100)/2</f>
        <v/>
      </c>
      <c r="M1832">
        <f>L1832*(1+(Inputs!$B$10+((C1844=TRUE)*(F1844-Calc!F25))+B1855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32">
        <f>L1832*(1-MIN((Inputs!$B$9+((C1838=TRUE)*(F1838-Calc!F19))+B1850+(ArtifactsInput!$M$24-ArtifactsInput!$M$24)*CHOOSE(ArtifactsInput!$N$24+1,10,12,14,16,18,20)+(IF(AND(Inputs!$B$38&lt;&gt;"pvp",Inputs!$B$43=0),1,IF(IF(Inputs!$B$38="pvp",15,Inputs!$B$43)-(B1857)&lt;=0,1,MAX(0,IF(Inputs!$B$38="pvp",15,Inputs!$B$43)-MAX(5,B1857))/(IF(Inputs!$B$38="pvp",15,Inputs!$B$43)-(B1857))))*IF(AND(ArtifactsInput!$M$42,((Inputs!$B$9+((C1838=TRUE)*(F1838-Calc!F19))+B1850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1832*(MIN((Inputs!$B$9+((C1838=TRUE)*(F1838-Calc!F19))+B1850+(ArtifactsInput!$M$24-ArtifactsInput!$M$24)*CHOOSE(ArtifactsInput!$N$24+1,10,12,14,16,18,20)+(IF(AND(Inputs!$B$38&lt;&gt;"pvp",Inputs!$B$43=0),1,IF(IF(Inputs!$B$38="pvp",15,Inputs!$B$43)-(B1857)&lt;=0,1,MAX(0,IF(Inputs!$B$38="pvp",15,Inputs!$B$43)-MAX(5,B1857))/(IF(Inputs!$B$38="pvp",15,Inputs!$B$43)-(B1857))))*IF(AND(ArtifactsInput!$M$42,((Inputs!$B$9+((C1838=TRUE)*(F1838-Calc!F19))+B1850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32">
        <f>(1-Summary!$B$11)*T1832+Summary!$B$11*V1832</f>
        <v/>
      </c>
      <c r="P1832">
        <f>IF(B1860=0,0,O1832/B1860)</f>
        <v/>
      </c>
      <c r="Q1832">
        <f>IFERROR(1/(IF(Inputs!$B$38="pvp",15,MAX(0.1,Skills!D13-IF(TRUE=TRUE,Inputs!$B$32,0)))*(1-IF(AND(ArtifactsInput!$M$27,Inputs!$B$4="Chapter Hunt"),CHOOSE(ArtifactsInput!$N$27+1,20,24,28,32,36,40),0)/100)),0)</f>
        <v/>
      </c>
      <c r="R1832">
        <f>IF(AND(Inputs!$B$38&lt;&gt;"pvp",Inputs!$B$43&gt;0),IF(MAX(0,Inputs!$B$43-B1857)&lt;=0,0,(INT(MAX(0,Inputs!$B$43-B1857)/(IF(Inputs!$B$38="pvp",15,MAX(0.1,Skills!D13-IF(TRUE=TRUE,Inputs!$B$32,0)))*(1-IF(AND(ArtifactsInput!$M$27,Inputs!$B$4="Chapter Hunt"),CHOOSE(ArtifactsInput!$N$27+1,20,24,28,32,36,40),0)/100)))+1)),0)</f>
        <v/>
      </c>
      <c r="S1832">
        <f>IFERROR(O1832/N1832,0)</f>
        <v/>
      </c>
      <c r="T1832">
        <f>IF(C1832,(H1832*N1832*IF(AND(Inputs!$B$38&lt;&gt;"pvp",Inputs!$B$43&gt;0),((Skills!G13*((R1832-1)*IF(Skills!H13&gt;0,INT(Skills!I13/Skills!H13+0.000000001),1)+IF(Skills!H13&gt;0,INT(MIN(Skills!I13,MAX(0,MAX(0,Inputs!$B$43-B1857)-((R1832-1)*(IF(Inputs!$B$38="pvp",15,MAX(0.1,Skills!D13-IF(TRUE=TRUE,Inputs!$B$32,0)))*(1-IF(AND(ArtifactsInput!$M$27,Inputs!$B$4="Chapter Hunt"),CHOOSE(ArtifactsInput!$N$27+1,20,24,28,32,36,40),0)/100)))))/Skills!H13+0.000000001),1)))/Inputs!$B$43),G1832*Q1832))*IF(Inputs!$B$38="pvp",1,1+(Inputs!$B$20+0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Hunt"),CHOOSE(ArtifactsInput!$N$35+1,15,18,21,24,27,30)*(1-EXP(-(0.2*B1852)*5)),0)+IF(AND(ArtifactsInput!$M$22,Inputs!$B$4&lt;&gt;"Chapter Hunt"),CHOOSE(ArtifactsInput!$N$22+1,10,12,14,16,18,20)*((0*(((0.15*B1852*5))^0/1)+1*(((0.15*B1852*5))^1/1)+2*(((0.15*B1852*5))^2/2)+3*(((0.15*B1852*5))^3/6)+4*(((0.15*B1852*5))^4/24)+5*(((0.15*B1852*5))^5/120))/((((0.15*B1852*5))^0/1)+(((0.15*B1852*5))^1/1)+(((0.15*B1852*5))^2/2)+(((0.15*B1852*5))^3/6)+(((0.15*B1852*5))^4/24)+(((0.15*B1852*5))^5/120))),0))+IF(Inputs!$B$3&gt;=54,9*(C1822=TRUE)*MIN(1,8*(1+Inputs!$B$34/100)*Q1822)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1832*(1-MIN(100,(Inputs!$B$9+((C1838=TRUE)*(F1838-Calc!F19))+B1850+(ArtifactsInput!$M$24-ArtifactsInput!$M$24)*CHOOSE(ArtifactsInput!$N$24+1,10,12,14,16,18,20)+(IF(AND(Inputs!$B$38&lt;&gt;"pvp",Inputs!$B$43=0),1,IF(IF(Inputs!$B$38="pvp",15,Inputs!$B$43)-(B1857)&lt;=0,1,MAX(0,IF(Inputs!$B$38="pvp",15,Inputs!$B$43)-MAX(5,B1857))/(IF(Inputs!$B$38="pvp",15,Inputs!$B$43)-(B1857))))*IF(AND(ArtifactsInput!$M$42,((Inputs!$B$9+((C1838=TRUE)*(F1838-Calc!F19))+B1850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1832*(MIN(100,(Inputs!$B$9+((C1838=TRUE)*(F1838-Calc!F19))+B1850+(ArtifactsInput!$M$24-ArtifactsInput!$M$24)*CHOOSE(ArtifactsInput!$N$24+1,10,12,14,16,18,20)+(IF(AND(Inputs!$B$38&lt;&gt;"pvp",Inputs!$B$43=0),1,IF(IF(Inputs!$B$38="pvp",15,Inputs!$B$43)-(B1857)&lt;=0,1,MAX(0,IF(Inputs!$B$38="pvp",15,Inputs!$B$43)-MAX(5,B1857))/(IF(Inputs!$B$38="pvp",15,Inputs!$B$43)-(B1857))))*IF(AND(ArtifactsInput!$M$42,((Inputs!$B$9+((C1838=TRUE)*(F1838-Calc!F19))+B1850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1832*(1-MIN(100,(Inputs!$B$9+((C1838=TRUE)*(F1838-Calc!F19))+B1850+(ArtifactsInput!$M$24-ArtifactsInput!$M$24)*CHOOSE(ArtifactsInput!$N$24+1,10,12,14,16,18,20)+(IF(AND(Inputs!$B$38&lt;&gt;"pvp",Inputs!$B$43=0),1,IF(IF(Inputs!$B$38="pvp",15,Inputs!$B$43)-(B1857)&lt;=0,1,MAX(0,IF(Inputs!$B$38="pvp",15,Inputs!$B$43)-MAX(5,B1857))/(IF(Inputs!$B$38="pvp",15,Inputs!$B$43)-(B1857))))*IF(AND(ArtifactsInput!$M$42,((Inputs!$B$9+((C1838=TRUE)*(F1838-Calc!F19))+B1850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1832*(MIN(100,(Inputs!$B$9+((C1838=TRUE)*(F1838-Calc!F19))+B1850+(ArtifactsInput!$M$24-ArtifactsInput!$M$24)*CHOOSE(ArtifactsInput!$N$24+1,10,12,14,16,18,20)+(IF(AND(Inputs!$B$38&lt;&gt;"pvp",Inputs!$B$43=0),1,IF(IF(Inputs!$B$38="pvp",15,Inputs!$B$43)-(B1857)&lt;=0,1,MAX(0,IF(Inputs!$B$38="pvp",15,Inputs!$B$43)-MAX(5,B1857))/(IF(Inputs!$B$38="pvp",15,Inputs!$B$43)-(B1857))))*IF(AND(ArtifactsInput!$M$42,((Inputs!$B$9+((C1838=TRUE)*(F1838-Calc!F19))+B1850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832">
        <f>IF(C1832,(H1832*N1832*IF(AND(Inputs!$B$38&lt;&gt;"pvp",Inputs!$B$43&gt;0),((Skills!G13*((R1832-1)*IF(Skills!H13&gt;0,INT(Skills!I13/Skills!H13+0.000000001),1)+IF(Skills!H13&gt;0,INT(MIN(Skills!I13,MAX(0,MAX(0,Inputs!$B$43-B1857)-((R1832-1)*(IF(Inputs!$B$38="pvp",15,MAX(0.1,Skills!D13-IF(TRUE=TRUE,Inputs!$B$32,0)))*(1-IF(AND(ArtifactsInput!$M$27,Inputs!$B$4="Chapter Hunt"),CHOOSE(ArtifactsInput!$N$27+1,20,24,28,32,36,40),0)/100)))))/Skills!H13+0.000000001),1)))/Inputs!$B$43),G1832*Q1832))*IF(Inputs!$B$38="pvp",1,(1+(Inputs!$B$21+Skills!Q13+(IF(ArtifactsInput!$M$33,CHOOSE(ArtifactsInput!$N$33+1,30,36,42,48,54,60),0))+(IF(AND(ArtifactsInput!$M$35,Inputs!$B$4&lt;&gt;"Chapter Hunt"),CHOOSE(ArtifactsInput!$N$35+1,15,18,21,24,27,30)*(1-EXP(-(0.2*B1852)*5)),0)+IF(AND(ArtifactsInput!$M$22,Inputs!$B$4&lt;&gt;"Chapter Hunt"),CHOOSE(ArtifactsInput!$N$22+1,10,12,14,16,18,20)*((0*(((0.15*B1852*5))^0/1)+1*(((0.15*B1852*5))^1/1)+2*(((0.15*B1852*5))^2/2)+3*(((0.15*B1852*5))^3/6)+4*(((0.15*B1852*5))^4/24)+5*(((0.15*B1852*5))^5/120))/((((0.15*B1852*5))^0/1)+(((0.15*B1852*5))^1/1)+(((0.15*B1852*5))^2/2)+(((0.15*B1852*5))^3/6)+(((0.15*B1852*5))^4/24)+(((0.15*B1852*5))^5/120))),0))+IF(Inputs!$B$3&gt;=54,9*(C1822=TRUE)*MIN(1,8*(1+Inputs!$B$34/100)*Q1822),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33">
      <c r="A1833">
        <f>Skills!A14</f>
        <v/>
      </c>
      <c r="B1833">
        <f>Skills!B14</f>
        <v/>
      </c>
      <c r="C1833">
        <f>Inputs!$B$3&gt;=120</f>
        <v/>
      </c>
      <c r="D1833">
        <f>IF(Skills!C14=1,60+Inputs!$B$25+Inputs!$B$29,IF(Skills!C14=2,90+Inputs!$B$26+Inputs!$B$29,IF(Skills!C14=3,120+Inputs!$B$27+Inputs!$B$29,MAX(0,(Inputs!$B$3-100)*3)+Inputs!$B$28+Inputs!$B$29)))</f>
        <v/>
      </c>
      <c r="E1833">
        <f>INDEX(FactorTable!$B$2:$Y$301, MATCH(ROUND(MIN(300,MAX(1,D1833)),0), FactorTable!$A$2:$A$301,0), Skills!M14+1)</f>
        <v/>
      </c>
      <c r="F1833">
        <f>IF(Skills!N14=TRUE,(Skills!L14/10)*(E1833/1000),Skills!L14/10)+Skills!O14</f>
        <v/>
      </c>
      <c r="G1833">
        <f>Skills!G14*IF(Skills!H14&gt;0,INT(IF(Inputs!$B$38="pvp",MIN(Skills!I14,15),Skills!I14)/Skills!H14+0.000000001),1)</f>
        <v/>
      </c>
      <c r="H1833">
        <f>1-(1-Skills!J14/100)^Skills!K14</f>
        <v/>
      </c>
      <c r="I1833" t="inlineStr">
        <is>
          <t>1</t>
        </is>
      </c>
      <c r="J1833">
        <f>((Inputs!$B$6*(1+Inputs!$B$7/100))+(((Inputs!$B$12*(1+Inputs!$B$13/100))-(Inputs!$B$12*(1+Inputs!$B$13/100)))+0.25*(Inputs!$B$14-Inputs!$B$14))*(1+Inputs!$B$7/100))*(F1833/100)</f>
        <v/>
      </c>
      <c r="K1833">
        <f>J1833*(1+((Inputs!$B$12*(1+Inputs!$B$13/100))*0.01+Inputs!$B$14*0.0025)/100)*(1+Inputs!$B$15/100)*(1+Inputs!$B$16/100)*(5000/(6000+Inputs!$B$42*(1-(100*(1-(1-(Inputs!$B$19+0)/100)*(1-CHOOSE(ArtifactsInput!$N$40+1,5,6,7,8,9,10)/100)^(ArtifactsInput!$M$40-ArtifactsInput!$M$40)))/100)))*(1+(Inputs!$B$24+((C1845=TRUE)*(F1845-Calc!F26))+B1856)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EIGHT_LEGS_EASTON",Inputs!$B$17+((C1842=TRUE)*(F1842-Calc!F23))+((C1846=TRUE)*(F1846-Calc!F27))+((IF(AND(Inputs!$B$38&lt;&gt;"pvp",Inputs!$B$43=0),1,IF(IF(Inputs!$B$38="pvp",15,Inputs!$B$43)-(B1857)&lt;=0,1,MAX(0,IF(Inputs!$B$38="pvp",15,Inputs!$B$43)-MAX(5,B1857))/(IF(Inputs!$B$38="pvp",15,Inputs!$B$43)-(B1857))))*(IF(AND(ArtifactsInput!$M$42,((Inputs!$B$9+((C1838=TRUE)*(F1838-Calc!F19))+B1850+(ArtifactsInput!$M$24-ArtifactsInput!$M$24)*CHOOSE(ArtifactsInput!$N$24+1,10,12,14,16,18,20)+IF(ArtifactsInput!$M$10,CHOOSE(ArtifactsInput!$N$10+1,15,18,21,24,27,30)*(IF(Inputs!$B$38="pvp",MIN(15,15)/15,IF(AND(Inputs!$B$38&lt;&gt;"pvp",Inputs!$B$43&gt;0),MIN(15,Inputs!$B$43)/(Inputs!$B$43),0))),0)))&gt;=100),MIN(100,((Inputs!$B$9+((C1838=TRUE)*(F1838-Calc!F19))+B1850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1857)&lt;=0,1,MAX(0,IF(Inputs!$B$38="pvp",15,Inputs!$B$43)-MAX(5,B1857))/(IF(Inputs!$B$38="pvp",15,Inputs!$B$43)-(B1857))))*IF(AND(ArtifactsInput!$M$42,((Inputs!$B$9+((C1838=TRUE)*(F1838-Calc!F19))+B1850+(ArtifactsInput!$M$24-ArtifactsInput!$M$24)*CHOOSE(ArtifactsInput!$N$24+1,10,12,14,16,18,20)+IF(ArtifactsInput!$M$10,CHOOSE(ArtifactsInput!$N$10+1,15,18,21,24,27,30)*(IF(Inputs!$B$38="pvp",MIN(15,15)/15,IF(AND(Inputs!$B$38&lt;&gt;"pvp",Inputs!$B$43&gt;0),MIN(15,Inputs!$B$43)/(Inputs!$B$43),0))),0)))&gt;=100),CHOOSE(ArtifactsInput!$N$42+1,40,48,56,64,72,80),0))))/100)*((1+(((C1836=TRUE)*F1836*5/7)+((C1843=TRUE)*(F1843-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1833)</f>
        <v/>
      </c>
      <c r="L1833">
        <f>K1833*(MIN(Inputs!$B$22+((C1841=TRUE)*(F1841-Calc!F22)),(Inputs!$B$23+0+(IF(ArtifactsInput!$M$15,CHOOSE(ArtifactsInput!$N$15+1,25,30,35,40,45,50)/100*(Inputs!$B$11-Inputs!$B$11),0))))/100+(Inputs!$B$23+0+(IF(ArtifactsInput!$M$15,CHOOSE(ArtifactsInput!$N$15+1,25,30,35,40,45,50)/100*(Inputs!$B$11-Inputs!$B$11),0)))/100)/2</f>
        <v/>
      </c>
      <c r="M1833">
        <f>L1833*(1+(Inputs!$B$10+((C1844=TRUE)*(F1844-Calc!F25))+B1855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33">
        <f>L1833*(1-MIN((Inputs!$B$9+((C1838=TRUE)*(F1838-Calc!F19))+B1850+(ArtifactsInput!$M$24-ArtifactsInput!$M$24)*CHOOSE(ArtifactsInput!$N$24+1,10,12,14,16,18,20)+(IF(AND(Inputs!$B$38&lt;&gt;"pvp",Inputs!$B$43=0),1,IF(IF(Inputs!$B$38="pvp",15,Inputs!$B$43)-(B1857)&lt;=0,1,MAX(0,IF(Inputs!$B$38="pvp",15,Inputs!$B$43)-MAX(5,B1857))/(IF(Inputs!$B$38="pvp",15,Inputs!$B$43)-(B1857))))*IF(AND(ArtifactsInput!$M$42,((Inputs!$B$9+((C1838=TRUE)*(F1838-Calc!F19))+B1850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1833*(MIN((Inputs!$B$9+((C1838=TRUE)*(F1838-Calc!F19))+B1850+(ArtifactsInput!$M$24-ArtifactsInput!$M$24)*CHOOSE(ArtifactsInput!$N$24+1,10,12,14,16,18,20)+(IF(AND(Inputs!$B$38&lt;&gt;"pvp",Inputs!$B$43=0),1,IF(IF(Inputs!$B$38="pvp",15,Inputs!$B$43)-(B1857)&lt;=0,1,MAX(0,IF(Inputs!$B$38="pvp",15,Inputs!$B$43)-MAX(5,B1857))/(IF(Inputs!$B$38="pvp",15,Inputs!$B$43)-(B1857))))*IF(AND(ArtifactsInput!$M$42,((Inputs!$B$9+((C1838=TRUE)*(F1838-Calc!F19))+B1850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33">
        <f>(1-Summary!$B$11)*T1833+Summary!$B$11*V1833</f>
        <v/>
      </c>
      <c r="P1833">
        <f>IF(B1860=0,0,O1833/B1860)</f>
        <v/>
      </c>
      <c r="Q1833" t="n">
        <v>0</v>
      </c>
      <c r="R1833" t="n">
        <v>0</v>
      </c>
      <c r="S1833">
        <f>IFERROR(O1833/N1833,0)</f>
        <v/>
      </c>
      <c r="T1833">
        <f>IF(C1833,((H1833*(B1854+IF(AND(Inputs!$B$38&lt;&gt;"pvp",Inputs!$B$43&gt;0),((Skills!G8*((R1827-1)*IF(Skills!H8&gt;0,INT(Skills!I8/Skills!H8+0.000000001),1)+IF(Skills!H8&gt;0,INT(MIN(Skills!I8,MAX(0,MAX(0,Inputs!$B$43-B1857)-((R1827-1)*((IF(Inputs!$B$38="pvp",15,MAX(0.1,Skills!D8-IF(TRUE=TRUE,Inputs!$B$32,0)))*(1-IF(AND(ArtifactsInput!$M$27,Inputs!$B$4="Chapter Hunt"),CHOOSE(ArtifactsInput!$N$27+1,20,24,28,32,36,40),0)/100))/B1861))))/Skills!H8+0.000000001),1)))/Inputs!$B$43),G1827*Q1827)+IF(AND(Inputs!$B$38&lt;&gt;"pvp",Inputs!$B$43&gt;0),((Skills!G11*((R1830-1)*IF(Skills!H11&gt;0,INT(Skills!I11/Skills!H11+0.000000001),1)+IF(Skills!H11&gt;0,INT(MIN(Skills!I11,MAX(0,MAX(0,Inputs!$B$43-B1857)-((R1830-1)*((IF(Inputs!$B$38="pvp",15,MAX(0.1,Skills!D11-IF(TRUE=TRUE,Inputs!$B$32,0)))*(1-IF(AND(ArtifactsInput!$M$27,Inputs!$B$4="Chapter Hunt"),CHOOSE(ArtifactsInput!$N$27+1,20,24,28,32,36,40),0)/100))/B1861))))/Skills!H11+0.000000001),1)))/Inputs!$B$43),G1830*Q1830)))/(1+Skills!H14*H1833*(B1854+IF(AND(Inputs!$B$38&lt;&gt;"pvp",Inputs!$B$43&gt;0),((Skills!G8*((R1827-1)*IF(Skills!H8&gt;0,INT(Skills!I8/Skills!H8+0.000000001),1)+IF(Skills!H8&gt;0,INT(MIN(Skills!I8,MAX(0,MAX(0,Inputs!$B$43-B1857)-((R1827-1)*((IF(Inputs!$B$38="pvp",15,MAX(0.1,Skills!D8-IF(TRUE=TRUE,Inputs!$B$32,0)))*(1-IF(AND(ArtifactsInput!$M$27,Inputs!$B$4="Chapter Hunt"),CHOOSE(ArtifactsInput!$N$27+1,20,24,28,32,36,40),0)/100))/B1861))))/Skills!H8+0.000000001),1)))/Inputs!$B$43),G1827*Q1827)+IF(AND(Inputs!$B$38&lt;&gt;"pvp",Inputs!$B$43&gt;0),((Skills!G11*((R1830-1)*IF(Skills!H11&gt;0,INT(Skills!I11/Skills!H11+0.000000001),1)+IF(Skills!H11&gt;0,INT(MIN(Skills!I11,MAX(0,MAX(0,Inputs!$B$43-B1857)-((R1830-1)*((IF(Inputs!$B$38="pvp",15,MAX(0.1,Skills!D11-IF(TRUE=TRUE,Inputs!$B$32,0)))*(1-IF(AND(ArtifactsInput!$M$27,Inputs!$B$4="Chapter Hunt"),CHOOSE(ArtifactsInput!$N$27+1,20,24,28,32,36,40),0)/100))/B1861))))/Skills!H11+0.000000001),1)))/Inputs!$B$43),G1830*Q1830)))*N1833)*IF(Inputs!$B$38="pvp",1,1+(Inputs!$B$20+0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Hunt"),CHOOSE(ArtifactsInput!$N$35+1,15,18,21,24,27,30)*(1-EXP(-(0.2*B1852)*5)),0)+IF(AND(ArtifactsInput!$M$22,Inputs!$B$4&lt;&gt;"Chapter Hunt"),CHOOSE(ArtifactsInput!$N$22+1,10,12,14,16,18,20)*((0*(((0.15*B1852*5))^0/1)+1*(((0.15*B1852*5))^1/1)+2*(((0.15*B1852*5))^2/2)+3*(((0.15*B1852*5))^3/6)+4*(((0.15*B1852*5))^4/24)+5*(((0.15*B1852*5))^5/120))/((((0.15*B1852*5))^0/1)+(((0.15*B1852*5))^1/1)+(((0.15*B1852*5))^2/2)+(((0.15*B1852*5))^3/6)+(((0.15*B1852*5))^4/24)+(((0.15*B1852*5))^5/120))),0))+IF(Inputs!$B$3&gt;=54,9*(C1822=TRUE)*MIN(1,8*(1+Inputs!$B$34/100)*Q1822)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1833*(1-MIN(100,(Inputs!$B$9+((C1838=TRUE)*(F1838-Calc!F19))+B1850+(ArtifactsInput!$M$24-ArtifactsInput!$M$24)*CHOOSE(ArtifactsInput!$N$24+1,10,12,14,16,18,20)+(IF(AND(Inputs!$B$38&lt;&gt;"pvp",Inputs!$B$43=0),1,IF(IF(Inputs!$B$38="pvp",15,Inputs!$B$43)-(B1857)&lt;=0,1,MAX(0,IF(Inputs!$B$38="pvp",15,Inputs!$B$43)-MAX(5,B1857))/(IF(Inputs!$B$38="pvp",15,Inputs!$B$43)-(B1857))))*IF(AND(ArtifactsInput!$M$42,((Inputs!$B$9+((C1838=TRUE)*(F1838-Calc!F19))+B1850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1833*(MIN(100,(Inputs!$B$9+((C1838=TRUE)*(F1838-Calc!F19))+B1850+(ArtifactsInput!$M$24-ArtifactsInput!$M$24)*CHOOSE(ArtifactsInput!$N$24+1,10,12,14,16,18,20)+(IF(AND(Inputs!$B$38&lt;&gt;"pvp",Inputs!$B$43=0),1,IF(IF(Inputs!$B$38="pvp",15,Inputs!$B$43)-(B1857)&lt;=0,1,MAX(0,IF(Inputs!$B$38="pvp",15,Inputs!$B$43)-MAX(5,B1857))/(IF(Inputs!$B$38="pvp",15,Inputs!$B$43)-(B1857))))*IF(AND(ArtifactsInput!$M$42,((Inputs!$B$9+((C1838=TRUE)*(F1838-Calc!F19))+B1850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1833*(1-MIN(100,(Inputs!$B$9+((C1838=TRUE)*(F1838-Calc!F19))+B1850+(ArtifactsInput!$M$24-ArtifactsInput!$M$24)*CHOOSE(ArtifactsInput!$N$24+1,10,12,14,16,18,20)+(IF(AND(Inputs!$B$38&lt;&gt;"pvp",Inputs!$B$43=0),1,IF(IF(Inputs!$B$38="pvp",15,Inputs!$B$43)-(B1857)&lt;=0,1,MAX(0,IF(Inputs!$B$38="pvp",15,Inputs!$B$43)-MAX(5,B1857))/(IF(Inputs!$B$38="pvp",15,Inputs!$B$43)-(B1857))))*IF(AND(ArtifactsInput!$M$42,((Inputs!$B$9+((C1838=TRUE)*(F1838-Calc!F19))+B1850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1833*(MIN(100,(Inputs!$B$9+((C1838=TRUE)*(F1838-Calc!F19))+B1850+(ArtifactsInput!$M$24-ArtifactsInput!$M$24)*CHOOSE(ArtifactsInput!$N$24+1,10,12,14,16,18,20)+(IF(AND(Inputs!$B$38&lt;&gt;"pvp",Inputs!$B$43=0),1,IF(IF(Inputs!$B$38="pvp",15,Inputs!$B$43)-(B1857)&lt;=0,1,MAX(0,IF(Inputs!$B$38="pvp",15,Inputs!$B$43)-MAX(5,B1857))/(IF(Inputs!$B$38="pvp",15,Inputs!$B$43)-(B1857))))*IF(AND(ArtifactsInput!$M$42,((Inputs!$B$9+((C1838=TRUE)*(F1838-Calc!F19))+B1850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833">
        <f>IF(C1833,((H1833*(B1854+IF(AND(Inputs!$B$38&lt;&gt;"pvp",Inputs!$B$43&gt;0),((Skills!G8*((R1827-1)*IF(Skills!H8&gt;0,INT(Skills!I8/Skills!H8+0.000000001),1)+IF(Skills!H8&gt;0,INT(MIN(Skills!I8,MAX(0,MAX(0,Inputs!$B$43-B1857)-((R1827-1)*((IF(Inputs!$B$38="pvp",15,MAX(0.1,Skills!D8-IF(TRUE=TRUE,Inputs!$B$32,0)))*(1-IF(AND(ArtifactsInput!$M$27,Inputs!$B$4="Chapter Hunt"),CHOOSE(ArtifactsInput!$N$27+1,20,24,28,32,36,40),0)/100))/B1861))))/Skills!H8+0.000000001),1)))/Inputs!$B$43),G1827*Q1827)+IF(AND(Inputs!$B$38&lt;&gt;"pvp",Inputs!$B$43&gt;0),((Skills!G11*((R1830-1)*IF(Skills!H11&gt;0,INT(Skills!I11/Skills!H11+0.000000001),1)+IF(Skills!H11&gt;0,INT(MIN(Skills!I11,MAX(0,MAX(0,Inputs!$B$43-B1857)-((R1830-1)*((IF(Inputs!$B$38="pvp",15,MAX(0.1,Skills!D11-IF(TRUE=TRUE,Inputs!$B$32,0)))*(1-IF(AND(ArtifactsInput!$M$27,Inputs!$B$4="Chapter Hunt"),CHOOSE(ArtifactsInput!$N$27+1,20,24,28,32,36,40),0)/100))/B1861))))/Skills!H11+0.000000001),1)))/Inputs!$B$43),G1830*Q1830)))/(1+Skills!H14*H1833*(B1854+IF(AND(Inputs!$B$38&lt;&gt;"pvp",Inputs!$B$43&gt;0),((Skills!G8*((R1827-1)*IF(Skills!H8&gt;0,INT(Skills!I8/Skills!H8+0.000000001),1)+IF(Skills!H8&gt;0,INT(MIN(Skills!I8,MAX(0,MAX(0,Inputs!$B$43-B1857)-((R1827-1)*((IF(Inputs!$B$38="pvp",15,MAX(0.1,Skills!D8-IF(TRUE=TRUE,Inputs!$B$32,0)))*(1-IF(AND(ArtifactsInput!$M$27,Inputs!$B$4="Chapter Hunt"),CHOOSE(ArtifactsInput!$N$27+1,20,24,28,32,36,40),0)/100))/B1861))))/Skills!H8+0.000000001),1)))/Inputs!$B$43),G1827*Q1827)+IF(AND(Inputs!$B$38&lt;&gt;"pvp",Inputs!$B$43&gt;0),((Skills!G11*((R1830-1)*IF(Skills!H11&gt;0,INT(Skills!I11/Skills!H11+0.000000001),1)+IF(Skills!H11&gt;0,INT(MIN(Skills!I11,MAX(0,MAX(0,Inputs!$B$43-B1857)-((R1830-1)*((IF(Inputs!$B$38="pvp",15,MAX(0.1,Skills!D11-IF(TRUE=TRUE,Inputs!$B$32,0)))*(1-IF(AND(ArtifactsInput!$M$27,Inputs!$B$4="Chapter Hunt"),CHOOSE(ArtifactsInput!$N$27+1,20,24,28,32,36,40),0)/100))/B1861))))/Skills!H11+0.000000001),1)))/Inputs!$B$43),G1830*Q1830)))*N1833)*IF(Inputs!$B$38="pvp",1,(1+(Inputs!$B$21+Skills!Q14+(IF(ArtifactsInput!$M$33,CHOOSE(ArtifactsInput!$N$33+1,30,36,42,48,54,60),0))+(IF(AND(ArtifactsInput!$M$35,Inputs!$B$4&lt;&gt;"Chapter Hunt"),CHOOSE(ArtifactsInput!$N$35+1,15,18,21,24,27,30)*(1-EXP(-(0.2*B1852)*5)),0)+IF(AND(ArtifactsInput!$M$22,Inputs!$B$4&lt;&gt;"Chapter Hunt"),CHOOSE(ArtifactsInput!$N$22+1,10,12,14,16,18,20)*((0*(((0.15*B1852*5))^0/1)+1*(((0.15*B1852*5))^1/1)+2*(((0.15*B1852*5))^2/2)+3*(((0.15*B1852*5))^3/6)+4*(((0.15*B1852*5))^4/24)+5*(((0.15*B1852*5))^5/120))/((((0.15*B1852*5))^0/1)+(((0.15*B1852*5))^1/1)+(((0.15*B1852*5))^2/2)+(((0.15*B1852*5))^3/6)+(((0.15*B1852*5))^4/24)+(((0.15*B1852*5))^5/120))),0))+IF(Inputs!$B$3&gt;=54,9*(C1822=TRUE)*MIN(1,8*(1+Inputs!$B$34/100)*Q1822),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34">
      <c r="A1834">
        <f>Skills!A15</f>
        <v/>
      </c>
      <c r="B1834">
        <f>Skills!B15</f>
        <v/>
      </c>
      <c r="C1834">
        <f>Inputs!$B$3&gt;=100</f>
        <v/>
      </c>
      <c r="D1834">
        <f>IF(Skills!C15=1,60+Inputs!$B$25+Inputs!$B$29,IF(Skills!C15=2,90+Inputs!$B$26+Inputs!$B$29,IF(Skills!C15=3,120+Inputs!$B$27+Inputs!$B$29,MAX(0,(Inputs!$B$3-100)*3)+Inputs!$B$28+Inputs!$B$29)))</f>
        <v/>
      </c>
      <c r="E1834">
        <f>INDEX(FactorTable!$B$2:$Y$301, MATCH(ROUND(MIN(300,MAX(1,D1834)),0), FactorTable!$A$2:$A$301,0), Skills!M15+1)</f>
        <v/>
      </c>
      <c r="F1834">
        <f>IF(Skills!N15=TRUE,(Skills!L15/10)*(E1834/1000),Skills!L15/10)+Skills!O15</f>
        <v/>
      </c>
      <c r="G1834" t="inlineStr"/>
      <c r="H1834" t="inlineStr"/>
      <c r="I1834" t="inlineStr">
        <is>
          <t>1</t>
        </is>
      </c>
      <c r="J1834" t="inlineStr"/>
      <c r="K1834" t="inlineStr"/>
      <c r="L1834" t="inlineStr"/>
      <c r="M1834" t="inlineStr"/>
      <c r="N1834" t="inlineStr"/>
      <c r="O1834" t="inlineStr"/>
      <c r="P1834" t="inlineStr"/>
      <c r="Q1834" t="inlineStr"/>
      <c r="R1834" t="inlineStr"/>
      <c r="S1834" t="inlineStr"/>
    </row>
    <row r="1835">
      <c r="A1835">
        <f>Skills!A16</f>
        <v/>
      </c>
      <c r="B1835">
        <f>Skills!B16</f>
        <v/>
      </c>
      <c r="C1835">
        <f>Inputs!$B$3&gt;=107</f>
        <v/>
      </c>
      <c r="D1835">
        <f>IF(Skills!C16=1,60+Inputs!$B$25+Inputs!$B$29,IF(Skills!C16=2,90+Inputs!$B$26+Inputs!$B$29,IF(Skills!C16=3,120+Inputs!$B$27+Inputs!$B$29,MAX(0,(Inputs!$B$3-100)*3)+Inputs!$B$28+Inputs!$B$29)))</f>
        <v/>
      </c>
      <c r="E1835">
        <f>INDEX(FactorTable!$B$2:$Y$301, MATCH(ROUND(MIN(300,MAX(1,D1835)),0), FactorTable!$A$2:$A$301,0), Skills!M16+1)</f>
        <v/>
      </c>
      <c r="F1835">
        <f>IF(Skills!N16=TRUE,(Skills!L16/10)*(E1835/1000),Skills!L16/10)+Skills!O16</f>
        <v/>
      </c>
      <c r="G1835" t="inlineStr"/>
      <c r="H1835" t="inlineStr"/>
      <c r="I1835" t="inlineStr">
        <is>
          <t>1</t>
        </is>
      </c>
      <c r="J1835" t="inlineStr"/>
      <c r="K1835" t="inlineStr"/>
      <c r="L1835" t="inlineStr"/>
      <c r="M1835" t="inlineStr"/>
      <c r="N1835" t="inlineStr"/>
      <c r="O1835" t="inlineStr"/>
      <c r="P1835" t="inlineStr"/>
      <c r="Q1835" t="inlineStr"/>
      <c r="R1835" t="inlineStr"/>
      <c r="S1835" t="inlineStr"/>
    </row>
    <row r="1836">
      <c r="A1836">
        <f>Skills!A17</f>
        <v/>
      </c>
      <c r="B1836">
        <f>Skills!B17</f>
        <v/>
      </c>
      <c r="C1836">
        <f>Inputs!$B$3&gt;=74</f>
        <v/>
      </c>
      <c r="D1836">
        <f>IF(Skills!C17=1,60+Inputs!$B$25+Inputs!$B$29,IF(Skills!C17=2,90+Inputs!$B$26+Inputs!$B$29,IF(Skills!C17=3,120+Inputs!$B$27+Inputs!$B$29,MAX(0,(Inputs!$B$3-100)*3)+Inputs!$B$28+Inputs!$B$29)))</f>
        <v/>
      </c>
      <c r="E1836">
        <f>INDEX(FactorTable!$B$2:$Y$301, MATCH(ROUND(MIN(300,MAX(1,D1836)),0), FactorTable!$A$2:$A$301,0), Skills!M17+1)</f>
        <v/>
      </c>
      <c r="F1836">
        <f>IF(Skills!N17=TRUE,(Skills!L17/10)*(E1836/1000),Skills!L17/10)+Skills!O17</f>
        <v/>
      </c>
      <c r="G1836">
        <f>Skills!G17*IF(Skills!H17&gt;0,INT(IF(Inputs!$B$38="pvp",MIN(Skills!I17,15),Skills!I17)/Skills!H17+0.000000001),1)</f>
        <v/>
      </c>
      <c r="H1836">
        <f>1-(1-Skills!J17/100)^Skills!K17</f>
        <v/>
      </c>
      <c r="I1836" t="inlineStr">
        <is>
          <t>1</t>
        </is>
      </c>
      <c r="J1836" t="inlineStr"/>
      <c r="K1836" t="inlineStr"/>
      <c r="L1836" t="inlineStr"/>
      <c r="M1836" t="inlineStr"/>
      <c r="N1836" t="inlineStr"/>
      <c r="O1836">
        <f>(1-Summary!$B$11)*T1836+Summary!$B$11*V1836</f>
        <v/>
      </c>
      <c r="P1836">
        <f>IF(B1860=0,0,O1836/B1860)</f>
        <v/>
      </c>
      <c r="Q1836" t="n">
        <v>0</v>
      </c>
      <c r="R1836" t="n">
        <v>0</v>
      </c>
      <c r="S1836">
        <f>IFERROR(O1836/N1836,0)</f>
        <v/>
      </c>
      <c r="T1836" t="n">
        <v>0</v>
      </c>
      <c r="V1836" t="n">
        <v>0</v>
      </c>
    </row>
    <row r="1837">
      <c r="A1837">
        <f>Skills!A18</f>
        <v/>
      </c>
      <c r="B1837">
        <f>Skills!B18</f>
        <v/>
      </c>
      <c r="C1837">
        <f>Inputs!$B$3&gt;=115</f>
        <v/>
      </c>
      <c r="D1837">
        <f>IF(Skills!C18=1,60+Inputs!$B$25+Inputs!$B$29,IF(Skills!C18=2,90+Inputs!$B$26+Inputs!$B$29,IF(Skills!C18=3,120+Inputs!$B$27+Inputs!$B$29,MAX(0,(Inputs!$B$3-100)*3)+Inputs!$B$28+Inputs!$B$29)))</f>
        <v/>
      </c>
      <c r="E1837">
        <f>INDEX(FactorTable!$B$2:$Y$301, MATCH(ROUND(MIN(300,MAX(1,D1837)),0), FactorTable!$A$2:$A$301,0), Skills!M18+1)</f>
        <v/>
      </c>
      <c r="F1837">
        <f>IF(Skills!N18=TRUE,(Skills!L18/10)*(E1837/1000),Skills!L18/10)+Skills!O18</f>
        <v/>
      </c>
      <c r="G1837">
        <f>Skills!G18*IF(Skills!H18&gt;0,INT(IF(Inputs!$B$38="pvp",MIN(Skills!I18,15),Skills!I18)/Skills!H18+0.000000001),1)</f>
        <v/>
      </c>
      <c r="H1837">
        <f>1-(1-Skills!J18/100)^Skills!K18</f>
        <v/>
      </c>
      <c r="I1837" t="inlineStr">
        <is>
          <t>1</t>
        </is>
      </c>
      <c r="J1837" t="inlineStr"/>
      <c r="K1837" t="inlineStr"/>
      <c r="L1837" t="inlineStr"/>
      <c r="M1837" t="inlineStr"/>
      <c r="N1837" t="inlineStr"/>
      <c r="O1837">
        <f>(1-Summary!$B$11)*T1837+Summary!$B$11*V1837</f>
        <v/>
      </c>
      <c r="P1837">
        <f>IF(B1860=0,0,O1837/B1860)</f>
        <v/>
      </c>
      <c r="Q1837">
        <f>IFERROR(1/(IF(Inputs!$B$38="pvp",15,MAX(0.1,Skills!D18-IF(TRUE=TRUE,Inputs!$B$32,0)))*(1-IF(AND(ArtifactsInput!$M$27,Inputs!$B$4="Chapter Hunt"),CHOOSE(ArtifactsInput!$N$27+1,20,24,28,32,36,40),0)/100)),0)</f>
        <v/>
      </c>
      <c r="R1837">
        <f>IF(AND(Inputs!$B$38&lt;&gt;"pvp",Inputs!$B$43&gt;0),IF(Inputs!$B$43&lt;=0,0,(INT(Inputs!$B$43/(IF(Inputs!$B$38="pvp",15,MAX(0.1,Skills!D18-IF(TRUE=TRUE,Inputs!$B$32,0)))*(1-IF(AND(ArtifactsInput!$M$27,Inputs!$B$4="Chapter Hunt"),CHOOSE(ArtifactsInput!$N$27+1,20,24,28,32,36,40),0)/100)))+1)),0)</f>
        <v/>
      </c>
      <c r="S1837">
        <f>IFERROR(O1837/N1837,0)</f>
        <v/>
      </c>
      <c r="T1837" t="n">
        <v>0</v>
      </c>
      <c r="V1837" t="n">
        <v>0</v>
      </c>
    </row>
    <row r="1838">
      <c r="A1838">
        <f>Skills!A19</f>
        <v/>
      </c>
      <c r="B1838">
        <f>Skills!B19</f>
        <v/>
      </c>
      <c r="C1838">
        <f>Inputs!$B$3&gt;=10</f>
        <v/>
      </c>
      <c r="D1838">
        <f>IF(Skills!C19=1,60+Inputs!$B$25+Inputs!$B$29,IF(Skills!C19=2,90+Inputs!$B$26+Inputs!$B$29,IF(Skills!C19=3,120+Inputs!$B$27+Inputs!$B$29,MAX(0,(Inputs!$B$3-100)*3)+Inputs!$B$28+Inputs!$B$29)))</f>
        <v/>
      </c>
      <c r="E1838">
        <f>INDEX(FactorTable!$B$2:$Y$301, MATCH(ROUND(MIN(300,MAX(1,D1838)),0), FactorTable!$A$2:$A$301,0), Skills!M19+1)</f>
        <v/>
      </c>
      <c r="F1838">
        <f>IF(Skills!N19=TRUE,(Skills!L19/10)*(E1838/1000),Skills!L19/10)+Skills!O19</f>
        <v/>
      </c>
      <c r="G1838">
        <f>Skills!G19*IF(Skills!H19&gt;0,INT(IF(Inputs!$B$38="pvp",MIN(Skills!I19,15),Skills!I19)/Skills!H19+0.000000001),1)</f>
        <v/>
      </c>
      <c r="H1838">
        <f>1-(1-Skills!J19/100)^Skills!K19</f>
        <v/>
      </c>
      <c r="I1838" t="inlineStr">
        <is>
          <t>1</t>
        </is>
      </c>
      <c r="J1838" t="inlineStr"/>
      <c r="K1838" t="inlineStr"/>
      <c r="L1838" t="inlineStr"/>
      <c r="M1838" t="inlineStr"/>
      <c r="N1838" t="inlineStr"/>
      <c r="O1838">
        <f>(1-Summary!$B$11)*T1838+Summary!$B$11*V1838</f>
        <v/>
      </c>
      <c r="P1838">
        <f>IF(B1860=0,0,O1838/B1860)</f>
        <v/>
      </c>
      <c r="Q1838" t="n">
        <v>0</v>
      </c>
      <c r="R1838" t="n">
        <v>0</v>
      </c>
      <c r="S1838">
        <f>IFERROR(O1838/N1838,0)</f>
        <v/>
      </c>
      <c r="T1838" t="n">
        <v>0</v>
      </c>
      <c r="V1838" t="n">
        <v>0</v>
      </c>
    </row>
    <row r="1839">
      <c r="A1839">
        <f>Skills!A20</f>
        <v/>
      </c>
      <c r="B1839">
        <f>Skills!B20</f>
        <v/>
      </c>
      <c r="C1839">
        <f>Inputs!$B$3&gt;=15</f>
        <v/>
      </c>
      <c r="D1839">
        <f>IF(Skills!C20=1,60+Inputs!$B$25+Inputs!$B$29,IF(Skills!C20=2,90+Inputs!$B$26+Inputs!$B$29,IF(Skills!C20=3,120+Inputs!$B$27+Inputs!$B$29,MAX(0,(Inputs!$B$3-100)*3)+Inputs!$B$28+Inputs!$B$29)))</f>
        <v/>
      </c>
      <c r="E1839">
        <f>INDEX(FactorTable!$B$2:$Y$301, MATCH(ROUND(MIN(300,MAX(1,D1839)),0), FactorTable!$A$2:$A$301,0), Skills!M20+1)</f>
        <v/>
      </c>
      <c r="F1839">
        <f>IF(Skills!N20=TRUE,(Skills!L20/10)*(E1839/1000),Skills!L20/10)+Skills!O20</f>
        <v/>
      </c>
      <c r="G1839">
        <f>Skills!G20*IF(Skills!H20&gt;0,INT(IF(Inputs!$B$38="pvp",MIN(Skills!I20,15),Skills!I20)/Skills!H20+0.000000001),1)</f>
        <v/>
      </c>
      <c r="H1839">
        <f>1-(1-Skills!J20/100)^Skills!K20</f>
        <v/>
      </c>
      <c r="I1839" t="inlineStr">
        <is>
          <t>1</t>
        </is>
      </c>
      <c r="J1839" t="inlineStr"/>
      <c r="K1839" t="inlineStr"/>
      <c r="L1839" t="inlineStr"/>
      <c r="M1839" t="inlineStr"/>
      <c r="N1839" t="inlineStr"/>
      <c r="O1839">
        <f>(1-Summary!$B$11)*T1839+Summary!$B$11*V1839</f>
        <v/>
      </c>
      <c r="P1839">
        <f>IF(B1860=0,0,O1839/B1860)</f>
        <v/>
      </c>
      <c r="Q1839" t="n">
        <v>0</v>
      </c>
      <c r="R1839" t="n">
        <v>0</v>
      </c>
      <c r="S1839">
        <f>IFERROR(O1839/N1839,0)</f>
        <v/>
      </c>
      <c r="T1839" t="n">
        <v>0</v>
      </c>
      <c r="V1839" t="n">
        <v>0</v>
      </c>
    </row>
    <row r="1840">
      <c r="A1840">
        <f>Skills!A21</f>
        <v/>
      </c>
      <c r="B1840">
        <f>Skills!B21</f>
        <v/>
      </c>
      <c r="C1840">
        <f>Inputs!$B$3&gt;=40</f>
        <v/>
      </c>
      <c r="D1840">
        <f>IF(Skills!C21=1,60+Inputs!$B$25+Inputs!$B$29,IF(Skills!C21=2,90+Inputs!$B$26+Inputs!$B$29,IF(Skills!C21=3,120+Inputs!$B$27+Inputs!$B$29,MAX(0,(Inputs!$B$3-100)*3)+Inputs!$B$28+Inputs!$B$29)))</f>
        <v/>
      </c>
      <c r="E1840">
        <f>INDEX(FactorTable!$B$2:$Y$301, MATCH(ROUND(MIN(300,MAX(1,D1840)),0), FactorTable!$A$2:$A$301,0), Skills!M21+1)</f>
        <v/>
      </c>
      <c r="F1840">
        <f>IF(Skills!N21=TRUE,(Skills!L21/10)*(E1840/1000),Skills!L21/10)+Skills!O21</f>
        <v/>
      </c>
      <c r="G1840">
        <f>Skills!G21*IF(Skills!H21&gt;0,INT(IF(Inputs!$B$38="pvp",MIN(Skills!I21,15),Skills!I21)/Skills!H21+0.000000001),1)</f>
        <v/>
      </c>
      <c r="H1840">
        <f>1-(1-Skills!J21/100)^Skills!K21</f>
        <v/>
      </c>
      <c r="I1840" t="inlineStr">
        <is>
          <t>1</t>
        </is>
      </c>
      <c r="J1840" t="inlineStr"/>
      <c r="K1840" t="inlineStr"/>
      <c r="L1840" t="inlineStr"/>
      <c r="M1840" t="inlineStr"/>
      <c r="N1840" t="inlineStr"/>
      <c r="O1840">
        <f>(1-Summary!$B$11)*T1840+Summary!$B$11*V1840</f>
        <v/>
      </c>
      <c r="P1840">
        <f>IF(B1860=0,0,O1840/B1860)</f>
        <v/>
      </c>
      <c r="Q1840" t="n">
        <v>0</v>
      </c>
      <c r="R1840" t="n">
        <v>0</v>
      </c>
      <c r="S1840">
        <f>IFERROR(O1840/N1840,0)</f>
        <v/>
      </c>
      <c r="T1840" t="n">
        <v>0</v>
      </c>
      <c r="V1840" t="n">
        <v>0</v>
      </c>
    </row>
    <row r="1841">
      <c r="A1841">
        <f>Skills!A22</f>
        <v/>
      </c>
      <c r="B1841">
        <f>Skills!B22</f>
        <v/>
      </c>
      <c r="C1841">
        <f>Inputs!$B$3&gt;=43</f>
        <v/>
      </c>
      <c r="D1841">
        <f>IF(Skills!C22=1,60+Inputs!$B$25+Inputs!$B$29,IF(Skills!C22=2,90+Inputs!$B$26+Inputs!$B$29,IF(Skills!C22=3,120+Inputs!$B$27+Inputs!$B$29,MAX(0,(Inputs!$B$3-100)*3)+Inputs!$B$28+Inputs!$B$29)))</f>
        <v/>
      </c>
      <c r="E1841">
        <f>INDEX(FactorTable!$B$2:$Y$301, MATCH(ROUND(MIN(300,MAX(1,D1841)),0), FactorTable!$A$2:$A$301,0), Skills!M22+1)</f>
        <v/>
      </c>
      <c r="F1841">
        <f>IF(Skills!N22=TRUE,(Skills!L22/10)*(E1841/1000),Skills!L22/10)+Skills!O22</f>
        <v/>
      </c>
      <c r="G1841">
        <f>Skills!G22*IF(Skills!H22&gt;0,INT(IF(Inputs!$B$38="pvp",MIN(Skills!I22,15),Skills!I22)/Skills!H22+0.000000001),1)</f>
        <v/>
      </c>
      <c r="H1841">
        <f>1-(1-Skills!J22/100)^Skills!K22</f>
        <v/>
      </c>
      <c r="I1841" t="inlineStr">
        <is>
          <t>1</t>
        </is>
      </c>
      <c r="J1841" t="inlineStr"/>
      <c r="K1841" t="inlineStr"/>
      <c r="L1841" t="inlineStr"/>
      <c r="M1841" t="inlineStr"/>
      <c r="N1841" t="inlineStr"/>
      <c r="O1841">
        <f>(1-Summary!$B$11)*T1841+Summary!$B$11*V1841</f>
        <v/>
      </c>
      <c r="P1841">
        <f>IF(B1860=0,0,O1841/B1860)</f>
        <v/>
      </c>
      <c r="Q1841" t="n">
        <v>0</v>
      </c>
      <c r="R1841" t="n">
        <v>0</v>
      </c>
      <c r="S1841">
        <f>IFERROR(O1841/N1841,0)</f>
        <v/>
      </c>
      <c r="T1841" t="n">
        <v>0</v>
      </c>
      <c r="V1841" t="n">
        <v>0</v>
      </c>
    </row>
    <row r="1842">
      <c r="A1842">
        <f>Skills!A23</f>
        <v/>
      </c>
      <c r="B1842">
        <f>Skills!B23</f>
        <v/>
      </c>
      <c r="C1842">
        <f>Inputs!$B$3&gt;=38</f>
        <v/>
      </c>
      <c r="D1842">
        <f>IF(Skills!C23=1,60+Inputs!$B$25+Inputs!$B$29,IF(Skills!C23=2,90+Inputs!$B$26+Inputs!$B$29,IF(Skills!C23=3,120+Inputs!$B$27+Inputs!$B$29,MAX(0,(Inputs!$B$3-100)*3)+Inputs!$B$28+Inputs!$B$29)))</f>
        <v/>
      </c>
      <c r="E1842">
        <f>INDEX(FactorTable!$B$2:$Y$301, MATCH(ROUND(MIN(300,MAX(1,D1842)),0), FactorTable!$A$2:$A$301,0), Skills!M23+1)</f>
        <v/>
      </c>
      <c r="F1842">
        <f>IF(Skills!N23=TRUE,(Skills!L23/10)*(E1842/1000),Skills!L23/10)+Skills!O23</f>
        <v/>
      </c>
      <c r="G1842">
        <f>Skills!G23*IF(Skills!H23&gt;0,INT(IF(Inputs!$B$38="pvp",MIN(Skills!I23,15),Skills!I23)/Skills!H23+0.000000001),1)</f>
        <v/>
      </c>
      <c r="H1842">
        <f>1-(1-Skills!J23/100)^Skills!K23</f>
        <v/>
      </c>
      <c r="I1842" t="inlineStr">
        <is>
          <t>1</t>
        </is>
      </c>
      <c r="J1842" t="inlineStr"/>
      <c r="K1842" t="inlineStr"/>
      <c r="L1842" t="inlineStr"/>
      <c r="M1842" t="inlineStr"/>
      <c r="N1842" t="inlineStr"/>
      <c r="O1842">
        <f>(1-Summary!$B$11)*T1842+Summary!$B$11*V1842</f>
        <v/>
      </c>
      <c r="P1842">
        <f>IF(B1860=0,0,O1842/B1860)</f>
        <v/>
      </c>
      <c r="Q1842" t="n">
        <v>0</v>
      </c>
      <c r="R1842" t="n">
        <v>0</v>
      </c>
      <c r="S1842">
        <f>IFERROR(O1842/N1842,0)</f>
        <v/>
      </c>
      <c r="T1842" t="n">
        <v>0</v>
      </c>
      <c r="V1842" t="n">
        <v>0</v>
      </c>
    </row>
    <row r="1843">
      <c r="A1843">
        <f>Skills!A24</f>
        <v/>
      </c>
      <c r="B1843">
        <f>Skills!B24</f>
        <v/>
      </c>
      <c r="C1843">
        <f>Inputs!$B$3&gt;=45</f>
        <v/>
      </c>
      <c r="D1843">
        <f>IF(Skills!C24=1,60+Inputs!$B$25+Inputs!$B$29,IF(Skills!C24=2,90+Inputs!$B$26+Inputs!$B$29,IF(Skills!C24=3,120+Inputs!$B$27+Inputs!$B$29,MAX(0,(Inputs!$B$3-100)*3)+Inputs!$B$28+Inputs!$B$29)))</f>
        <v/>
      </c>
      <c r="E1843">
        <f>INDEX(FactorTable!$B$2:$Y$301, MATCH(ROUND(MIN(300,MAX(1,D1843)),0), FactorTable!$A$2:$A$301,0), Skills!M24+1)</f>
        <v/>
      </c>
      <c r="F1843">
        <f>IF(Skills!N24=TRUE,(Skills!L24/10)*(E1843/1000),Skills!L24/10)+Skills!O24</f>
        <v/>
      </c>
      <c r="G1843">
        <f>Skills!G24*IF(Skills!H24&gt;0,INT(IF(Inputs!$B$38="pvp",MIN(Skills!I24,15),Skills!I24)/Skills!H24+0.000000001),1)</f>
        <v/>
      </c>
      <c r="H1843">
        <f>1-(1-Skills!J24/100)^Skills!K24</f>
        <v/>
      </c>
      <c r="I1843" t="inlineStr">
        <is>
          <t>1</t>
        </is>
      </c>
      <c r="J1843" t="inlineStr"/>
      <c r="K1843" t="inlineStr"/>
      <c r="L1843" t="inlineStr"/>
      <c r="M1843" t="inlineStr"/>
      <c r="N1843" t="inlineStr"/>
      <c r="O1843">
        <f>(1-Summary!$B$11)*T1843+Summary!$B$11*V1843</f>
        <v/>
      </c>
      <c r="P1843">
        <f>IF(B1860=0,0,O1843/B1860)</f>
        <v/>
      </c>
      <c r="Q1843" t="n">
        <v>0</v>
      </c>
      <c r="R1843" t="n">
        <v>0</v>
      </c>
      <c r="S1843">
        <f>IFERROR(O1843/N1843,0)</f>
        <v/>
      </c>
      <c r="T1843" t="n">
        <v>0</v>
      </c>
      <c r="V1843" t="n">
        <v>0</v>
      </c>
    </row>
    <row r="1844">
      <c r="A1844">
        <f>Skills!A25</f>
        <v/>
      </c>
      <c r="B1844">
        <f>Skills!B25</f>
        <v/>
      </c>
      <c r="C1844">
        <f>Inputs!$B$3&gt;=72</f>
        <v/>
      </c>
      <c r="D1844">
        <f>IF(Skills!C25=1,60+Inputs!$B$25+Inputs!$B$29,IF(Skills!C25=2,90+Inputs!$B$26+Inputs!$B$29,IF(Skills!C25=3,120+Inputs!$B$27+Inputs!$B$29,MAX(0,(Inputs!$B$3-100)*3)+Inputs!$B$28+Inputs!$B$29)))</f>
        <v/>
      </c>
      <c r="E1844">
        <f>INDEX(FactorTable!$B$2:$Y$301, MATCH(ROUND(MIN(300,MAX(1,D1844)),0), FactorTable!$A$2:$A$301,0), Skills!M25+1)</f>
        <v/>
      </c>
      <c r="F1844">
        <f>IF(Skills!N25=TRUE,(Skills!L25/10)*(E1844/1000),Skills!L25/10)+Skills!O25</f>
        <v/>
      </c>
      <c r="G1844">
        <f>Skills!G25*IF(Skills!H25&gt;0,INT(IF(Inputs!$B$38="pvp",MIN(Skills!I25,15),Skills!I25)/Skills!H25+0.000000001),1)</f>
        <v/>
      </c>
      <c r="H1844">
        <f>1-(1-Skills!J25/100)^Skills!K25</f>
        <v/>
      </c>
      <c r="I1844" t="inlineStr">
        <is>
          <t>1</t>
        </is>
      </c>
      <c r="J1844" t="inlineStr"/>
      <c r="K1844" t="inlineStr"/>
      <c r="L1844" t="inlineStr"/>
      <c r="M1844" t="inlineStr"/>
      <c r="N1844" t="inlineStr"/>
      <c r="O1844">
        <f>(1-Summary!$B$11)*T1844+Summary!$B$11*V1844</f>
        <v/>
      </c>
      <c r="P1844">
        <f>IF(B1860=0,0,O1844/B1860)</f>
        <v/>
      </c>
      <c r="Q1844" t="n">
        <v>0</v>
      </c>
      <c r="R1844" t="n">
        <v>0</v>
      </c>
      <c r="S1844">
        <f>IFERROR(O1844/N1844,0)</f>
        <v/>
      </c>
      <c r="T1844" t="n">
        <v>0</v>
      </c>
      <c r="V1844" t="n">
        <v>0</v>
      </c>
    </row>
    <row r="1845">
      <c r="A1845">
        <f>Skills!A26</f>
        <v/>
      </c>
      <c r="B1845">
        <f>Skills!B26</f>
        <v/>
      </c>
      <c r="C1845">
        <f>Inputs!$B$3&gt;=75</f>
        <v/>
      </c>
      <c r="D1845">
        <f>IF(Skills!C26=1,60+Inputs!$B$25+Inputs!$B$29,IF(Skills!C26=2,90+Inputs!$B$26+Inputs!$B$29,IF(Skills!C26=3,120+Inputs!$B$27+Inputs!$B$29,MAX(0,(Inputs!$B$3-100)*3)+Inputs!$B$28+Inputs!$B$29)))</f>
        <v/>
      </c>
      <c r="E1845">
        <f>INDEX(FactorTable!$B$2:$Y$301, MATCH(ROUND(MIN(300,MAX(1,D1845)),0), FactorTable!$A$2:$A$301,0), Skills!M26+1)</f>
        <v/>
      </c>
      <c r="F1845">
        <f>IF(Skills!N26=TRUE,(Skills!L26/10)*(E1845/1000),Skills!L26/10)+Skills!O26</f>
        <v/>
      </c>
      <c r="G1845">
        <f>Skills!G26*IF(Skills!H26&gt;0,INT(IF(Inputs!$B$38="pvp",MIN(Skills!I26,15),Skills!I26)/Skills!H26+0.000000001),1)</f>
        <v/>
      </c>
      <c r="H1845">
        <f>1-(1-Skills!J26/100)^Skills!K26</f>
        <v/>
      </c>
      <c r="I1845" t="inlineStr">
        <is>
          <t>1</t>
        </is>
      </c>
      <c r="J1845" t="inlineStr"/>
      <c r="K1845" t="inlineStr"/>
      <c r="L1845" t="inlineStr"/>
      <c r="M1845" t="inlineStr"/>
      <c r="N1845" t="inlineStr"/>
      <c r="O1845">
        <f>(1-Summary!$B$11)*T1845+Summary!$B$11*V1845</f>
        <v/>
      </c>
      <c r="P1845">
        <f>IF(B1860=0,0,O1845/B1860)</f>
        <v/>
      </c>
      <c r="Q1845" t="n">
        <v>0</v>
      </c>
      <c r="R1845" t="n">
        <v>0</v>
      </c>
      <c r="S1845">
        <f>IFERROR(O1845/N1845,0)</f>
        <v/>
      </c>
      <c r="T1845" t="n">
        <v>0</v>
      </c>
      <c r="V1845" t="n">
        <v>0</v>
      </c>
    </row>
    <row r="1846">
      <c r="A1846">
        <f>Skills!A27</f>
        <v/>
      </c>
      <c r="B1846">
        <f>Skills!B27</f>
        <v/>
      </c>
      <c r="C1846">
        <f>Inputs!$B$3&gt;=125</f>
        <v/>
      </c>
      <c r="D1846">
        <f>IF(Skills!C27=1,60+Inputs!$B$25+Inputs!$B$29,IF(Skills!C27=2,90+Inputs!$B$26+Inputs!$B$29,IF(Skills!C27=3,120+Inputs!$B$27+Inputs!$B$29,MAX(0,(Inputs!$B$3-100)*3)+Inputs!$B$28+Inputs!$B$29)))</f>
        <v/>
      </c>
      <c r="E1846">
        <f>INDEX(FactorTable!$B$2:$Y$301, MATCH(ROUND(MIN(300,MAX(1,D1846)),0), FactorTable!$A$2:$A$301,0), Skills!M27+1)</f>
        <v/>
      </c>
      <c r="F1846">
        <f>IF(Skills!N27=TRUE,(Skills!L27/10)*(E1846/1000),Skills!L27/10)+Skills!O27</f>
        <v/>
      </c>
      <c r="G1846">
        <f>Skills!G27*IF(Skills!H27&gt;0,INT(IF(Inputs!$B$38="pvp",MIN(Skills!I27,15),Skills!I27)/Skills!H27+0.000000001),1)</f>
        <v/>
      </c>
      <c r="H1846">
        <f>1-(1-Skills!J27/100)^Skills!K27</f>
        <v/>
      </c>
      <c r="I1846" t="inlineStr">
        <is>
          <t>1</t>
        </is>
      </c>
      <c r="J1846" t="inlineStr"/>
      <c r="K1846" t="inlineStr"/>
      <c r="L1846" t="inlineStr"/>
      <c r="M1846" t="inlineStr"/>
      <c r="N1846" t="inlineStr"/>
      <c r="O1846">
        <f>(1-Summary!$B$11)*T1846+Summary!$B$11*V1846</f>
        <v/>
      </c>
      <c r="P1846">
        <f>IF(B1860=0,0,O1846/B1860)</f>
        <v/>
      </c>
      <c r="Q1846" t="n">
        <v>0</v>
      </c>
      <c r="R1846" t="n">
        <v>0</v>
      </c>
      <c r="S1846">
        <f>IFERROR(O1846/N1846,0)</f>
        <v/>
      </c>
      <c r="T1846" t="n">
        <v>0</v>
      </c>
      <c r="V1846" t="n">
        <v>0</v>
      </c>
    </row>
    <row r="1847">
      <c r="A1847">
        <f>Skills!A28</f>
        <v/>
      </c>
      <c r="B1847">
        <f>Skills!B28</f>
        <v/>
      </c>
      <c r="C1847">
        <f>TRUE</f>
        <v/>
      </c>
      <c r="D1847">
        <f>IF(Skills!C28=1,60+Inputs!$B$25+Inputs!$B$29,IF(Skills!C28=2,90+Inputs!$B$26+Inputs!$B$29,IF(Skills!C28=3,120+Inputs!$B$27+Inputs!$B$29,MAX(0,(Inputs!$B$3-100)*3)+Inputs!$B$28+Inputs!$B$29)))</f>
        <v/>
      </c>
      <c r="E1847">
        <f>INDEX(FactorTable!$B$2:$Y$301, MATCH(ROUND(MIN(300,MAX(1,D1847)),0), FactorTable!$A$2:$A$301,0), Skills!M28+1)</f>
        <v/>
      </c>
      <c r="F1847">
        <f>IF(Skills!N28=TRUE,(Skills!L28/10)*(E1847/1000),Skills!L28/10)+Skills!O28</f>
        <v/>
      </c>
      <c r="G1847">
        <f>Skills!G28*IF(Skills!H28&gt;0,INT(IF(Inputs!$B$38="pvp",MIN(Skills!I28,15),Skills!I28)/Skills!H28+0.000000001),1)</f>
        <v/>
      </c>
      <c r="H1847">
        <f>1-(1-Skills!J28/100)^Skills!K28</f>
        <v/>
      </c>
      <c r="I1847" t="inlineStr">
        <is>
          <t>1</t>
        </is>
      </c>
      <c r="J1847" t="inlineStr"/>
      <c r="K1847" t="inlineStr"/>
      <c r="L1847" t="inlineStr"/>
      <c r="M1847" t="inlineStr"/>
      <c r="N1847" t="inlineStr"/>
      <c r="O1847">
        <f>(1-Summary!$B$11)*T1847+Summary!$B$11*V1847</f>
        <v/>
      </c>
      <c r="P1847">
        <f>IF(B1860=0,0,O1847/B1860)</f>
        <v/>
      </c>
      <c r="Q1847">
        <f>IFERROR(1/(IF(Inputs!$B$38="pvp",15,MAX(0.1,Skills!D28-IF(TRUE=TRUE,Inputs!$B$32,0)))*(1-IF(AND(ArtifactsInput!$M$27,Inputs!$B$4="Chapter Hunt"),CHOOSE(ArtifactsInput!$N$27+1,20,24,28,32,36,40),0)/100)),0)</f>
        <v/>
      </c>
      <c r="R1847">
        <f>IF(AND(Inputs!$B$38&lt;&gt;"pvp",Inputs!$B$43&gt;0),IF(Inputs!$B$43&lt;=0,0,(INT(Inputs!$B$43/(IF(Inputs!$B$38="pvp",15,MAX(0.1,Skills!D28-IF(TRUE=TRUE,Inputs!$B$32,0)))*(1-IF(AND(ArtifactsInput!$M$27,Inputs!$B$4="Chapter Hunt"),CHOOSE(ArtifactsInput!$N$27+1,20,24,28,32,36,40),0)/100)))+1)),0)</f>
        <v/>
      </c>
      <c r="S1847">
        <f>IFERROR(O1847/N1847,0)</f>
        <v/>
      </c>
      <c r="T1847" t="n">
        <v>0</v>
      </c>
      <c r="V1847" t="n">
        <v>0</v>
      </c>
    </row>
    <row r="1849">
      <c r="A1849" t="inlineStr">
        <is>
          <t>Attack% Bucket Multiplier</t>
        </is>
      </c>
      <c r="B1849">
        <f>(1+(((C1836=TRUE)*F1836*5/7)+((C1843=TRUE)*(F1843-Calc!F24))+(IF(ArtifactsInput!$M$21,CHOOSE(ArtifactsInput!$N$21+1,25,30,35,40,45,50)*(IF(OR(Inputs!$B$4="Chapter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850">
      <c r="A1850" t="inlineStr">
        <is>
          <t>Global Crit Rate Bonus %</t>
        </is>
      </c>
      <c r="B1850" t="n">
        <v>0</v>
      </c>
    </row>
    <row r="1851">
      <c r="A1851" t="inlineStr">
        <is>
          <t>Attack Speed Buff Bonus % (Nimble Feet, duty-cycle averaged)</t>
        </is>
      </c>
      <c r="B1851">
        <f>((C1847=TRUE)*F1847*IF(AND(Inputs!$B$38&lt;&gt;"pvp",Inputs!$B$43&gt;0),(((R1847-1)*MIN((Skills!T28*(1+Inputs!$B$34/100)),(1/Q1847))+MIN((Skills!T28*(1+Inputs!$B$34/100)),MAX(0,Inputs!$B$43-((R1847-1)*(1/Q1847)))))/Inputs!$B$43),IF(Inputs!$B$38="pvp",MIN((Skills!T28*(1+Inputs!$B$34/100)),15)/15,MIN(1,(Skills!T28*(1+Inputs!$B$34/100))/(1/Q1847)))))</f>
        <v/>
      </c>
    </row>
    <row r="1852">
      <c r="A1852" t="inlineStr">
        <is>
          <t>Actions Per Second</t>
        </is>
      </c>
      <c r="B1852">
        <f>1+MIN(150,150*(1-(1-(Inputs!$B$11+((C1839=TRUE)*(F1839-Calc!F20))+((C1840=TRUE)*(F1840-Calc!F21)))/150)*(1-B1851/150)))/100</f>
        <v/>
      </c>
    </row>
    <row r="1853">
      <c r="A1853" t="inlineStr">
        <is>
          <t>Skill + Buff Cast Rate</t>
        </is>
      </c>
      <c r="B1853">
        <f>IF(AND(Inputs!$B$38&lt;&gt;"pvp",Inputs!$B$43&gt;0),SUMPRODUCT((Skills!E2:E28=TRUE)*(C1821:C1847=TRUE)*R1821:R1847*Skills!F2:F28)/Inputs!$B$43,SUMPRODUCT((Skills!E2:E28=TRUE)*(C1821:C1847=TRUE)*Q1821:Q1847*Skills!F2:F28))</f>
        <v/>
      </c>
    </row>
    <row r="1854">
      <c r="A1854" t="inlineStr">
        <is>
          <t>Eight-Legs Easton Casts Per Second</t>
        </is>
      </c>
      <c r="B1854">
        <f>MAX(0,B1852-B1853)</f>
        <v/>
      </c>
    </row>
    <row r="1855">
      <c r="A1855" t="inlineStr">
        <is>
          <t>Global Critical Damage Bonus % (unused)</t>
        </is>
      </c>
      <c r="B1855" t="n">
        <v>0</v>
      </c>
    </row>
    <row r="1856">
      <c r="A1856" t="inlineStr">
        <is>
          <t>Global Final Damage Bonus % (Jolly Roger + Ahoy Mateys - Final Damage proc)</t>
        </is>
      </c>
      <c r="B1856">
        <f>((C1837=TRUE)*F1837*IF(AND(Inputs!$B$38&lt;&gt;"pvp",Inputs!$B$43&gt;0),(((R1837-1)*MIN((Skills!T18*(1+Inputs!$B$34/100)),(1/Q1837))+MIN((Skills!T18*(1+Inputs!$B$34/100)),MAX(0,Inputs!$B$43-((R1837-1)*(1/Q1837)))))/Inputs!$B$43),IF(Inputs!$B$38="pvp",MIN((Skills!T18*(1+Inputs!$B$34/100)),15)/15,MIN(1,(Skills!T18*(1+Inputs!$B$34/100))/(1/Q1837)))))+IF(Inputs!$B$3&gt;=122,20*IF(Inputs!$B$38="pvp",MIN((20*(1+Inputs!$B$34/100)),15)/15,MIN(1,(20*(1+Inputs!$B$34/100))/(1/Q1823))),0)</f>
        <v/>
      </c>
    </row>
    <row r="1857">
      <c r="A1857" t="inlineStr">
        <is>
          <t>Buff-Casting Startup Delay (s, fixed-duration only)</t>
        </is>
      </c>
      <c r="B1857">
        <f>IF(AND(Inputs!$B$38&lt;&gt;"pvp",Inputs!$B$43&gt;0),SUMPRODUCT((Skills!T2:T28&gt;0)*(Skills!E2:E28=TRUE)*(C1821:C1847=TRUE))/B1852,0)</f>
        <v/>
      </c>
    </row>
    <row r="1858">
      <c r="A1858" t="inlineStr">
        <is>
          <t>Boss-Only Total DPS (this block's swept value)</t>
        </is>
      </c>
      <c r="B1858">
        <f>SUM(T1821:T1847)</f>
        <v/>
      </c>
    </row>
    <row r="1859">
      <c r="A1859" t="inlineStr">
        <is>
          <t>Normal-Only Total DPS (this block's swept value)</t>
        </is>
      </c>
      <c r="B1859">
        <f>SUM(V1821:V1847)</f>
        <v/>
      </c>
    </row>
    <row r="1860">
      <c r="A1860" s="6" t="inlineStr">
        <is>
          <t>TOTAL DPS</t>
        </is>
      </c>
      <c r="B1860" s="6">
        <f>SUM(O1821:O1847)</f>
        <v/>
      </c>
    </row>
    <row r="1861">
      <c r="A1861" t="inlineStr">
        <is>
          <t>Quickdraw cooldown divisor (this block's own APS / Q)</t>
        </is>
      </c>
      <c r="B1861">
        <f>IF(AND(C1846=TRUE,Inputs!$B$38&lt;&gt;"pvp"),1+0.25*MAX(0,(B1852-(((C1822=TRUE)*Q1822*1)+((C1823=TRUE)*Q1823*1)+((C1825=TRUE)*Q1825*1)+((C1826=TRUE)*Q1826*1)+((C1828=TRUE)*Q1828*1)+((C1831=TRUE)*Q1831*1)+((C1837=TRUE)*Q1837*1)+((C1847=TRUE)*Q1847*1))-((C1827=TRUE)/(IF(Inputs!$B$38="pvp",15,MAX(0.1,Skills!D8-IF(TRUE=TRUE,Inputs!$B$32,0)))*(1-IF(AND(ArtifactsInput!$M$27,Inputs!$B$4="Chapter Hunt"),CHOOSE(ArtifactsInput!$N$27+1,20,24,28,32,36,40),0)/100))+(C1830=TRUE)/(IF(Inputs!$B$38="pvp",15,MAX(0.1,Skills!D11-IF(TRUE=TRUE,Inputs!$B$32,0)))*(1-IF(AND(ArtifactsInput!$M$27,Inputs!$B$4="Chapter Hunt"),CHOOSE(ArtifactsInput!$N$27+1,20,24,28,32,36,40),0)/100))))/(1+0.25*((C1827=TRUE)/(IF(Inputs!$B$38="pvp",15,MAX(0.1,Skills!D8-IF(TRUE=TRUE,Inputs!$B$32,0)))*(1-IF(AND(ArtifactsInput!$M$27,Inputs!$B$4="Chapter Hunt"),CHOOSE(ArtifactsInput!$N$27+1,20,24,28,32,36,40),0)/100))+(C1830=TRUE)/(IF(Inputs!$B$38="pvp",15,MAX(0.1,Skills!D11-IF(TRUE=TRUE,Inputs!$B$32,0)))*(1-IF(AND(ArtifactsInput!$M$27,Inputs!$B$4="Chapter Hunt"),CHOOSE(ArtifactsInput!$N$27+1,20,24,28,32,36,40),0)/100))))),1)</f>
        <v/>
      </c>
    </row>
    <row r="1862">
      <c r="A1862" t="inlineStr">
        <is>
          <t>Nautilus Strike - Final Attack trigger rate (this block's own Q/R)</t>
        </is>
      </c>
      <c r="B1862">
        <f>IF(AND(Inputs!$B$38&lt;&gt;"pvp",Inputs!$B$43&gt;0),(((C1822=TRUE)*R1822)+((C1825=TRUE)*R1825)+((C1827=TRUE)*R1827)+((C1828=TRUE)*R1828)+((C1830=TRUE)*R1830))/Inputs!$B$43,((C1822=TRUE)*Q1822)+((C1825=TRUE)*Q1825)+((C1827=TRUE)*Q1827)+((C1828=TRUE)*Q1828)+((C1830=TRUE)*Q1830))+B1854</f>
        <v/>
      </c>
    </row>
    <row r="1865">
      <c r="A1865" s="6" t="inlineStr">
        <is>
          <t>Stat: Chalice (Equip)</t>
        </is>
      </c>
    </row>
    <row r="1866">
      <c r="A1866" s="5" t="inlineStr">
        <is>
          <t>Key</t>
        </is>
      </c>
      <c r="B1866" s="5" t="inlineStr">
        <is>
          <t>Name</t>
        </is>
      </c>
      <c r="C1866" s="5" t="inlineStr">
        <is>
          <t>Unlocked</t>
        </is>
      </c>
      <c r="D1866" s="5" t="inlineStr">
        <is>
          <t>InputLevel</t>
        </is>
      </c>
      <c r="E1866" s="5" t="inlineStr">
        <is>
          <t>Factor</t>
        </is>
      </c>
      <c r="F1866" s="5" t="inlineStr">
        <is>
          <t>CoefficientPercent</t>
        </is>
      </c>
      <c r="G1866" s="5" t="inlineStr">
        <is>
          <t>EffectiveHits</t>
        </is>
      </c>
      <c r="H1866" s="5" t="inlineStr">
        <is>
          <t>ProcProbability</t>
        </is>
      </c>
      <c r="I1866" s="5" t="inlineStr">
        <is>
          <t>MapleHeroMultiplier</t>
        </is>
      </c>
      <c r="J1866" s="5" t="inlineStr">
        <is>
          <t>BaseDamage</t>
        </is>
      </c>
      <c r="K1866" s="5" t="inlineStr">
        <is>
          <t>BaseHitDamage</t>
        </is>
      </c>
      <c r="L1866" s="5" t="inlineStr">
        <is>
          <t>NonCritAvg</t>
        </is>
      </c>
      <c r="M1866" s="5" t="inlineStr">
        <is>
          <t>CritAvg</t>
        </is>
      </c>
      <c r="N1866" s="5" t="inlineStr">
        <is>
          <t>ExpectedDamage(perHit)</t>
        </is>
      </c>
      <c r="O1866" s="5" t="inlineStr">
        <is>
          <t>DPS</t>
        </is>
      </c>
      <c r="P1866" s="5" t="inlineStr">
        <is>
          <t>% of Total</t>
        </is>
      </c>
      <c r="Q1866" s="5" t="inlineStr">
        <is>
          <t>InvCooldown</t>
        </is>
      </c>
      <c r="R1866" s="5" t="inlineStr">
        <is>
          <t>CastsInFight</t>
        </is>
      </c>
      <c r="S1866" s="5" t="inlineStr">
        <is>
          <t>HitRate(perSec)</t>
        </is>
      </c>
      <c r="U1866" t="inlineStr">
        <is>
          <t>helpers</t>
        </is>
      </c>
    </row>
    <row r="1867">
      <c r="A1867">
        <f>Skills!A2</f>
        <v/>
      </c>
      <c r="B1867">
        <f>Skills!B2</f>
        <v/>
      </c>
      <c r="C1867">
        <f>Inputs!$B$3&gt;=100</f>
        <v/>
      </c>
      <c r="D1867" t="inlineStr"/>
      <c r="E1867" t="inlineStr"/>
      <c r="F1867">
        <f>U1869+Skills!O2</f>
        <v/>
      </c>
      <c r="G1867">
        <f>Skills!G2*IF(Skills!H2&gt;0,INT(IF(Inputs!$B$38="pvp",MIN(Skills!I2,15),Skills!I2)/Skills!H2+0.000000001),1)</f>
        <v/>
      </c>
      <c r="H1867">
        <f>1-(1-Skills!J2/100)^Skills!K2</f>
        <v/>
      </c>
      <c r="I1867" t="inlineStr">
        <is>
          <t>1</t>
        </is>
      </c>
      <c r="J1867">
        <f>((Inputs!$B$6*(1+Inputs!$B$7/100))+(((Inputs!$B$12*(1+Inputs!$B$13/100))-(Inputs!$B$12*(1+Inputs!$B$13/100)))+0.25*(Inputs!$B$14-Inputs!$B$14))*(1+Inputs!$B$7/100))*(F1867/100)</f>
        <v/>
      </c>
      <c r="K1867">
        <f>J1867*(1+((Inputs!$B$12*(1+Inputs!$B$13/100))*0.01+Inputs!$B$14*0.0025)/100)*(1+Inputs!$B$15/100)*(1+Inputs!$B$16/100)*(5000/(6000+Inputs!$B$42*(1-(100*(1-(1-(Inputs!$B$19+0)/100)*(1-CHOOSE(ArtifactsInput!$N$40+1,5,6,7,8,9,10)/100)^(ArtifactsInput!$M$40-ArtifactsInput!$M$40)))/100)))*(1+(Inputs!$B$24+((C1891=TRUE)*(F1891-Calc!F26))+B1902)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IGHT_LEGS_EASTON",Inputs!$B$17+((C1888=TRUE)*(F1888-Calc!F23))+((C1892=TRUE)*(F1892-Calc!F27))+((IF(AND(Inputs!$B$38&lt;&gt;"pvp",Inputs!$B$43=0),1,IF(IF(Inputs!$B$38="pvp",15,Inputs!$B$43)-(B1903)&lt;=0,1,MAX(0,IF(Inputs!$B$38="pvp",15,Inputs!$B$43)-MAX(5,B1903))/(IF(Inputs!$B$38="pvp",15,Inputs!$B$43)-(B1903))))*(IF(AND(ArtifactsInput!$M$42,((Inputs!$B$9+((C1884=TRUE)*(F1884-Calc!F19))+B1896+(ArtifactsInput!$M$24-ArtifactsInput!$M$24)*CHOOSE(ArtifactsInput!$N$24+1,10,12,14,16,18,20)+IF(ArtifactsInput!$M$10,CHOOSE(ArtifactsInput!$N$10+1,15,18,21,24,27,30)*(IF(Inputs!$B$38="pvp",MIN(15,15)/15,IF(AND(Inputs!$B$38&lt;&gt;"pvp",Inputs!$B$43&gt;0),MIN(15,Inputs!$B$43)/(Inputs!$B$43),0))),0)))&gt;=100),MIN(100,((Inputs!$B$9+((C1884=TRUE)*(F1884-Calc!F19))+B1896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1903)&lt;=0,1,MAX(0,IF(Inputs!$B$38="pvp",15,Inputs!$B$43)-MAX(5,B1903))/(IF(Inputs!$B$38="pvp",15,Inputs!$B$43)-(B1903))))*IF(AND(ArtifactsInput!$M$42,((Inputs!$B$9+((C1884=TRUE)*(F1884-Calc!F19))+B1896+(ArtifactsInput!$M$24-ArtifactsInput!$M$24)*CHOOSE(ArtifactsInput!$N$24+1,10,12,14,16,18,20)+IF(ArtifactsInput!$M$10,CHOOSE(ArtifactsInput!$N$10+1,15,18,21,24,27,30)*(IF(Inputs!$B$38="pvp",MIN(15,15)/15,IF(AND(Inputs!$B$38&lt;&gt;"pvp",Inputs!$B$43&gt;0),MIN(15,Inputs!$B$43)/(Inputs!$B$43),0))),0)))&gt;=100),CHOOSE(ArtifactsInput!$N$42+1,40,48,56,64,72,80),0))))/100)*((1+(((C1882=TRUE)*F1882*5/7)+((C1889=TRUE)*(F1889-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1867)</f>
        <v/>
      </c>
      <c r="L1867">
        <f>K1867*(MIN(Inputs!$B$22+((C1887=TRUE)*(F1887-Calc!F22)),(Inputs!$B$23+0+(IF(ArtifactsInput!$M$15,CHOOSE(ArtifactsInput!$N$15+1,25,30,35,40,45,50)/100*(Inputs!$B$11-Inputs!$B$11),0))))/100+(Inputs!$B$23+0+(IF(ArtifactsInput!$M$15,CHOOSE(ArtifactsInput!$N$15+1,25,30,35,40,45,50)/100*(Inputs!$B$11-Inputs!$B$11),0)))/100)/2</f>
        <v/>
      </c>
      <c r="M1867">
        <f>L1867*(1+(Inputs!$B$10+((C1890=TRUE)*(F1890-Calc!F25))+B1901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67">
        <f>L1867*(1-MIN((Inputs!$B$9+((C1884=TRUE)*(F1884-Calc!F19))+B1896+(ArtifactsInput!$M$24-ArtifactsInput!$M$24)*CHOOSE(ArtifactsInput!$N$24+1,10,12,14,16,18,20)+(IF(AND(Inputs!$B$38&lt;&gt;"pvp",Inputs!$B$43=0),1,IF(IF(Inputs!$B$38="pvp",15,Inputs!$B$43)-(B1903)&lt;=0,1,MAX(0,IF(Inputs!$B$38="pvp",15,Inputs!$B$43)-MAX(5,B1903))/(IF(Inputs!$B$38="pvp",15,Inputs!$B$43)-(B1903))))*IF(AND(ArtifactsInput!$M$42,((Inputs!$B$9+((C1884=TRUE)*(F1884-Calc!F19))+B1896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1867*(MIN((Inputs!$B$9+((C1884=TRUE)*(F1884-Calc!F19))+B1896+(ArtifactsInput!$M$24-ArtifactsInput!$M$24)*CHOOSE(ArtifactsInput!$N$24+1,10,12,14,16,18,20)+(IF(AND(Inputs!$B$38&lt;&gt;"pvp",Inputs!$B$43=0),1,IF(IF(Inputs!$B$38="pvp",15,Inputs!$B$43)-(B1903)&lt;=0,1,MAX(0,IF(Inputs!$B$38="pvp",15,Inputs!$B$43)-MAX(5,B1903))/(IF(Inputs!$B$38="pvp",15,Inputs!$B$43)-(B1903))))*IF(AND(ArtifactsInput!$M$42,((Inputs!$B$9+((C1884=TRUE)*(F1884-Calc!F19))+B1896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67">
        <f>(1-Summary!$B$11)*T1867+Summary!$B$11*V1867</f>
        <v/>
      </c>
      <c r="P1867">
        <f>IF(B1906=0,0,O1867/B1906)</f>
        <v/>
      </c>
      <c r="Q1867" t="n">
        <v>0</v>
      </c>
      <c r="R1867" t="n">
        <v>0</v>
      </c>
      <c r="S1867">
        <f>IFERROR(O1867/N1867,0)</f>
        <v/>
      </c>
      <c r="T1867">
        <f>IF(C1867,(Skills!G2*N1867*B1900*(1+IF(C1892=TRUE,1/3,0)))*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Hunt"),CHOOSE(ArtifactsInput!$N$35+1,15,18,21,24,27,30)*(1-EXP(-(0.2*B1898)*5)),0)+IF(AND(ArtifactsInput!$M$22,Inputs!$B$4&lt;&gt;"Chapter Hunt"),CHOOSE(ArtifactsInput!$N$22+1,10,12,14,16,18,20)*((0*(((0.15*B1898*5))^0/1)+1*(((0.15*B1898*5))^1/1)+2*(((0.15*B1898*5))^2/2)+3*(((0.15*B1898*5))^3/6)+4*(((0.15*B1898*5))^4/24)+5*(((0.15*B1898*5))^5/120))/((((0.15*B1898*5))^0/1)+(((0.15*B1898*5))^1/1)+(((0.15*B1898*5))^2/2)+(((0.15*B1898*5))^3/6)+(((0.15*B1898*5))^4/24)+(((0.15*B1898*5))^5/120))),0))+IF(Inputs!$B$3&gt;=54,9*(C1868=TRUE)*MIN(1,8*(1+Inputs!$B$34/100)*Q1868)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1867*(1-MIN(100,(Inputs!$B$9+((C1884=TRUE)*(F1884-Calc!F19))+B1896+(ArtifactsInput!$M$24-ArtifactsInput!$M$24)*CHOOSE(ArtifactsInput!$N$24+1,10,12,14,16,18,20)+(IF(AND(Inputs!$B$38&lt;&gt;"pvp",Inputs!$B$43=0),1,IF(IF(Inputs!$B$38="pvp",15,Inputs!$B$43)-(B1903)&lt;=0,1,MAX(0,IF(Inputs!$B$38="pvp",15,Inputs!$B$43)-MAX(5,B1903))/(IF(Inputs!$B$38="pvp",15,Inputs!$B$43)-(B1903))))*IF(AND(ArtifactsInput!$M$42,((Inputs!$B$9+((C1884=TRUE)*(F1884-Calc!F19))+B1896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1867*(MIN(100,(Inputs!$B$9+((C1884=TRUE)*(F1884-Calc!F19))+B1896+(ArtifactsInput!$M$24-ArtifactsInput!$M$24)*CHOOSE(ArtifactsInput!$N$24+1,10,12,14,16,18,20)+(IF(AND(Inputs!$B$38&lt;&gt;"pvp",Inputs!$B$43=0),1,IF(IF(Inputs!$B$38="pvp",15,Inputs!$B$43)-(B1903)&lt;=0,1,MAX(0,IF(Inputs!$B$38="pvp",15,Inputs!$B$43)-MAX(5,B1903))/(IF(Inputs!$B$38="pvp",15,Inputs!$B$43)-(B1903))))*IF(AND(ArtifactsInput!$M$42,((Inputs!$B$9+((C1884=TRUE)*(F1884-Calc!F19))+B1896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1867*(1-MIN(100,(Inputs!$B$9+((C1884=TRUE)*(F1884-Calc!F19))+B1896+(ArtifactsInput!$M$24-ArtifactsInput!$M$24)*CHOOSE(ArtifactsInput!$N$24+1,10,12,14,16,18,20)+(IF(AND(Inputs!$B$38&lt;&gt;"pvp",Inputs!$B$43=0),1,IF(IF(Inputs!$B$38="pvp",15,Inputs!$B$43)-(B1903)&lt;=0,1,MAX(0,IF(Inputs!$B$38="pvp",15,Inputs!$B$43)-MAX(5,B1903))/(IF(Inputs!$B$38="pvp",15,Inputs!$B$43)-(B1903))))*IF(AND(ArtifactsInput!$M$42,((Inputs!$B$9+((C1884=TRUE)*(F1884-Calc!F19))+B1896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1867*(MIN(100,(Inputs!$B$9+((C1884=TRUE)*(F1884-Calc!F19))+B1896+(ArtifactsInput!$M$24-ArtifactsInput!$M$24)*CHOOSE(ArtifactsInput!$N$24+1,10,12,14,16,18,20)+(IF(AND(Inputs!$B$38&lt;&gt;"pvp",Inputs!$B$43=0),1,IF(IF(Inputs!$B$38="pvp",15,Inputs!$B$43)-(B1903)&lt;=0,1,MAX(0,IF(Inputs!$B$38="pvp",15,Inputs!$B$43)-MAX(5,B1903))/(IF(Inputs!$B$38="pvp",15,Inputs!$B$43)-(B1903))))*IF(AND(ArtifactsInput!$M$42,((Inputs!$B$9+((C1884=TRUE)*(F1884-Calc!F19))+B1896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IF(ArtifactsInput!$M$20,FALSE,TRUE),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867">
        <f>MAX(0,(Inputs!$B$3-100)*3)+Inputs!$B$28+Inputs!$B$29</f>
        <v/>
      </c>
      <c r="V1867">
        <f>IF(C1867,(Skills!G2*N1867*B1900*(1+IF(C1892=TRUE,1/3,0)))*IF(Inputs!$B$38="pvp",1,(1+(Inputs!$B$21+Skills!Q2+(IF(ArtifactsInput!$M$33,CHOOSE(ArtifactsInput!$N$33+1,30,36,42,48,54,60),0))+(IF(AND(ArtifactsInput!$M$35,Inputs!$B$4&lt;&gt;"Chapter Hunt"),CHOOSE(ArtifactsInput!$N$35+1,15,18,21,24,27,30)*(1-EXP(-(0.2*B1898)*5)),0)+IF(AND(ArtifactsInput!$M$22,Inputs!$B$4&lt;&gt;"Chapter Hunt"),CHOOSE(ArtifactsInput!$N$22+1,10,12,14,16,18,20)*((0*(((0.15*B1898*5))^0/1)+1*(((0.15*B1898*5))^1/1)+2*(((0.15*B1898*5))^2/2)+3*(((0.15*B1898*5))^3/6)+4*(((0.15*B1898*5))^4/24)+5*(((0.15*B1898*5))^5/120))/((((0.15*B1898*5))^0/1)+(((0.15*B1898*5))^1/1)+(((0.15*B1898*5))^2/2)+(((0.15*B1898*5))^3/6)+(((0.15*B1898*5))^4/24)+(((0.15*B1898*5))^5/120))),0))+IF(Inputs!$B$3&gt;=54,9*(C1868=TRUE)*MIN(1,8*(1+Inputs!$B$34/100)*Q1868),0))/100)*(MIN((6+Inputs!$B$33),Inputs!$B$37)))*((1+(IF(AND(ArtifactsInput!$M$41,Inputs!$B$38&lt;&gt;"pvp"),CHOOSE(ArtifactsInput!$N$41+1,5,6,7,8,9,10)*IF(OR(Inputs!$B$4="Weapon Dungeon",Inputs!$B$4="Equipment Dungeon",Inputs!$B$4="Enhancement Dungeon",Inputs!$B$4="EXP Dungeon",Inputs!$B$4="Hero Dungeon"),3,1),0)+IF(ArtifactsInput!$M$26,10*CHOOSE(ArtifactsInput!$N$26+1,1,1.2,1.4,1.6,1.8,2),0)+IF(AND(IF(ArtifactsInput!$M$20,FALSE,TRUE),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68">
      <c r="A1868">
        <f>Skills!A3</f>
        <v/>
      </c>
      <c r="B1868">
        <f>Skills!B3</f>
        <v/>
      </c>
      <c r="C1868">
        <f>Inputs!$B$3&gt;=33</f>
        <v/>
      </c>
      <c r="D1868">
        <f>IF(Skills!C3=1,60+Inputs!$B$25+Inputs!$B$29,IF(Skills!C3=2,90+Inputs!$B$26+Inputs!$B$29,IF(Skills!C3=3,120+Inputs!$B$27+Inputs!$B$29,MAX(0,(Inputs!$B$3-100)*3)+Inputs!$B$28+Inputs!$B$29)))</f>
        <v/>
      </c>
      <c r="E1868">
        <f>INDEX(FactorTable!$B$2:$Y$301, MATCH(ROUND(MIN(300,MAX(1,D1868)),0), FactorTable!$A$2:$A$301,0), Skills!M3+1)</f>
        <v/>
      </c>
      <c r="F1868">
        <f>IF(Skills!N3=TRUE,(Skills!L3/10)*(E1868/1000),Skills!L3/10)+Skills!O3</f>
        <v/>
      </c>
      <c r="G1868">
        <f>Skills!G3*IF(Skills!H3&gt;0,INT(IF(Inputs!$B$38="pvp",MIN(Skills!I3,15),Skills!I3)/Skills!H3+0.000000001),1)</f>
        <v/>
      </c>
      <c r="H1868">
        <f>1-(1-Skills!J3/100)^Skills!K3</f>
        <v/>
      </c>
      <c r="I1868" t="inlineStr">
        <is>
          <t>1</t>
        </is>
      </c>
      <c r="J1868">
        <f>((Inputs!$B$6*(1+Inputs!$B$7/100))+(((Inputs!$B$12*(1+Inputs!$B$13/100))-(Inputs!$B$12*(1+Inputs!$B$13/100)))+0.25*(Inputs!$B$14-Inputs!$B$14))*(1+Inputs!$B$7/100))*(F1868/100)</f>
        <v/>
      </c>
      <c r="K1868">
        <f>J1868*(1+((Inputs!$B$12*(1+Inputs!$B$13/100))*0.01+Inputs!$B$14*0.0025)/100)*(1+Inputs!$B$15/100)*(1+Inputs!$B$16/100)*(5000/(6000+Inputs!$B$42*(1-(100*(1-(1-(Inputs!$B$19+0)/100)*(1-CHOOSE(ArtifactsInput!$N$40+1,5,6,7,8,9,10)/100)^(ArtifactsInput!$M$40-ArtifactsInput!$M$40)))/100)))*(1+(Inputs!$B$24+((C1891=TRUE)*(F1891-Calc!F26))+B1902)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1880=TRUE,F1880,0)/100)*(1+(IF(Skills!A3="EIGHT_LEGS_EASTON",Inputs!$B$17+((C1888=TRUE)*(F1888-Calc!F23))+((C1892=TRUE)*(F1892-Calc!F27))+((IF(AND(Inputs!$B$38&lt;&gt;"pvp",Inputs!$B$43=0),1,IF(IF(Inputs!$B$38="pvp",15,Inputs!$B$43)-(B1903)&lt;=0,1,MAX(0,IF(Inputs!$B$38="pvp",15,Inputs!$B$43)-MAX(5,B1903))/(IF(Inputs!$B$38="pvp",15,Inputs!$B$43)-(B1903))))*(IF(AND(ArtifactsInput!$M$42,((Inputs!$B$9+((C1884=TRUE)*(F1884-Calc!F19))+B1896+(ArtifactsInput!$M$24-ArtifactsInput!$M$24)*CHOOSE(ArtifactsInput!$N$24+1,10,12,14,16,18,20)+IF(ArtifactsInput!$M$10,CHOOSE(ArtifactsInput!$N$10+1,15,18,21,24,27,30)*(IF(Inputs!$B$38="pvp",MIN(15,15)/15,IF(AND(Inputs!$B$38&lt;&gt;"pvp",Inputs!$B$43&gt;0),MIN(15,Inputs!$B$43)/(Inputs!$B$43),0))),0)))&gt;=100),MIN(100,((Inputs!$B$9+((C1884=TRUE)*(F1884-Calc!F19))+B1896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1903)&lt;=0,1,MAX(0,IF(Inputs!$B$38="pvp",15,Inputs!$B$43)-MAX(5,B1903))/(IF(Inputs!$B$38="pvp",15,Inputs!$B$43)-(B1903))))*IF(AND(ArtifactsInput!$M$42,((Inputs!$B$9+((C1884=TRUE)*(F1884-Calc!F19))+B1896+(ArtifactsInput!$M$24-ArtifactsInput!$M$24)*CHOOSE(ArtifactsInput!$N$24+1,10,12,14,16,18,20)+IF(ArtifactsInput!$M$10,CHOOSE(ArtifactsInput!$N$10+1,15,18,21,24,27,30)*(IF(Inputs!$B$38="pvp",MIN(15,15)/15,IF(AND(Inputs!$B$38&lt;&gt;"pvp",Inputs!$B$43&gt;0),MIN(15,Inputs!$B$43)/(Inputs!$B$43),0))),0)))&gt;=100),CHOOSE(ArtifactsInput!$N$42+1,40,48,56,64,72,80),0))))/100)*((1+(((C1882=TRUE)*F1882*5/7)+((C1889=TRUE)*(F1889-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1868)</f>
        <v/>
      </c>
      <c r="L1868">
        <f>K1868*(MIN(Inputs!$B$22+((C1887=TRUE)*(F1887-Calc!F22)),(Inputs!$B$23+0+(IF(ArtifactsInput!$M$15,CHOOSE(ArtifactsInput!$N$15+1,25,30,35,40,45,50)/100*(Inputs!$B$11-Inputs!$B$11),0))))/100+(Inputs!$B$23+0+(IF(ArtifactsInput!$M$15,CHOOSE(ArtifactsInput!$N$15+1,25,30,35,40,45,50)/100*(Inputs!$B$11-Inputs!$B$11),0)))/100)/2</f>
        <v/>
      </c>
      <c r="M1868">
        <f>L1868*(1+(Inputs!$B$10+((C1890=TRUE)*(F1890-Calc!F25))+B1901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68">
        <f>L1868*(1-MIN((Inputs!$B$9+((C1884=TRUE)*(F1884-Calc!F19))+B1896+(ArtifactsInput!$M$24-ArtifactsInput!$M$24)*CHOOSE(ArtifactsInput!$N$24+1,10,12,14,16,18,20)+(IF(AND(Inputs!$B$38&lt;&gt;"pvp",Inputs!$B$43=0),1,IF(IF(Inputs!$B$38="pvp",15,Inputs!$B$43)-(B1903)&lt;=0,1,MAX(0,IF(Inputs!$B$38="pvp",15,Inputs!$B$43)-MAX(5,B1903))/(IF(Inputs!$B$38="pvp",15,Inputs!$B$43)-(B1903))))*IF(AND(ArtifactsInput!$M$42,((Inputs!$B$9+((C1884=TRUE)*(F1884-Calc!F19))+B1896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1868*(MIN((Inputs!$B$9+((C1884=TRUE)*(F1884-Calc!F19))+B1896+(ArtifactsInput!$M$24-ArtifactsInput!$M$24)*CHOOSE(ArtifactsInput!$N$24+1,10,12,14,16,18,20)+(IF(AND(Inputs!$B$38&lt;&gt;"pvp",Inputs!$B$43=0),1,IF(IF(Inputs!$B$38="pvp",15,Inputs!$B$43)-(B1903)&lt;=0,1,MAX(0,IF(Inputs!$B$38="pvp",15,Inputs!$B$43)-MAX(5,B1903))/(IF(Inputs!$B$38="pvp",15,Inputs!$B$43)-(B1903))))*IF(AND(ArtifactsInput!$M$42,((Inputs!$B$9+((C1884=TRUE)*(F1884-Calc!F19))+B1896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68">
        <f>(1-Summary!$B$11)*T1868+Summary!$B$11*V1868</f>
        <v/>
      </c>
      <c r="P1868">
        <f>IF(B1906=0,0,O1868/B1906)</f>
        <v/>
      </c>
      <c r="Q1868">
        <f>IFERROR(1/(IF(Inputs!$B$38="pvp",15,MAX(0.1,Skills!D3-IF(TRUE=TRUE,Inputs!$B$32,0)))*(1-IF(AND(ArtifactsInput!$M$27,Inputs!$B$4="Chapter Hunt"),CHOOSE(ArtifactsInput!$N$27+1,20,24,28,32,36,40),0)/100)),0)</f>
        <v/>
      </c>
      <c r="R1868">
        <f>IF(AND(Inputs!$B$38&lt;&gt;"pvp",Inputs!$B$43&gt;0),IF(MAX(0,Inputs!$B$43-B1903)&lt;=0,0,(INT(MAX(0,Inputs!$B$43-B1903)/(IF(Inputs!$B$38="pvp",15,MAX(0.1,Skills!D3-IF(TRUE=TRUE,Inputs!$B$32,0)))*(1-IF(AND(ArtifactsInput!$M$27,Inputs!$B$4="Chapter Hunt"),CHOOSE(ArtifactsInput!$N$27+1,20,24,28,32,36,40),0)/100)))+1)),0)</f>
        <v/>
      </c>
      <c r="S1868">
        <f>IFERROR(O1868/N1868,0)</f>
        <v/>
      </c>
      <c r="T1868">
        <f>IF(C1868,(H1868*N1868*IF(AND(Inputs!$B$38&lt;&gt;"pvp",Inputs!$B$43&gt;0),((Skills!G3*((R1868-1)*IF(Skills!H3&gt;0,INT(Skills!I3/Skills!H3+0.000000001),1)+IF(Skills!H3&gt;0,INT(MIN(Skills!I3,MAX(0,MAX(0,Inputs!$B$43-B1903)-((R1868-1)*(IF(Inputs!$B$38="pvp",15,MAX(0.1,Skills!D3-IF(TRUE=TRUE,Inputs!$B$32,0)))*(1-IF(AND(ArtifactsInput!$M$27,Inputs!$B$4="Chapter Hunt"),CHOOSE(ArtifactsInput!$N$27+1,20,24,28,32,36,40),0)/100)))))/Skills!H3+0.000000001),1)))/Inputs!$B$43),G1868*Q1868))*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Hunt"),CHOOSE(ArtifactsInput!$N$35+1,15,18,21,24,27,30)*(1-EXP(-(0.2*B1898)*5)),0)+IF(AND(ArtifactsInput!$M$22,Inputs!$B$4&lt;&gt;"Chapter Hunt"),CHOOSE(ArtifactsInput!$N$22+1,10,12,14,16,18,20)*((0*(((0.15*B1898*5))^0/1)+1*(((0.15*B1898*5))^1/1)+2*(((0.15*B1898*5))^2/2)+3*(((0.15*B1898*5))^3/6)+4*(((0.15*B1898*5))^4/24)+5*(((0.15*B1898*5))^5/120))/((((0.15*B1898*5))^0/1)+(((0.15*B1898*5))^1/1)+(((0.15*B1898*5))^2/2)+(((0.15*B1898*5))^3/6)+(((0.15*B1898*5))^4/24)+(((0.15*B1898*5))^5/120))),0))+IF(Inputs!$B$3&gt;=54,9*(C1868=TRUE)*MIN(1,8*(1+Inputs!$B$34/100)*Q1868)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1868*(1-MIN(100,(Inputs!$B$9+((C1884=TRUE)*(F1884-Calc!F19))+B1896+(ArtifactsInput!$M$24-ArtifactsInput!$M$24)*CHOOSE(ArtifactsInput!$N$24+1,10,12,14,16,18,20)+(IF(AND(Inputs!$B$38&lt;&gt;"pvp",Inputs!$B$43=0),1,IF(IF(Inputs!$B$38="pvp",15,Inputs!$B$43)-(B1903)&lt;=0,1,MAX(0,IF(Inputs!$B$38="pvp",15,Inputs!$B$43)-MAX(5,B1903))/(IF(Inputs!$B$38="pvp",15,Inputs!$B$43)-(B1903))))*IF(AND(ArtifactsInput!$M$42,((Inputs!$B$9+((C1884=TRUE)*(F1884-Calc!F19))+B1896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1868*(MIN(100,(Inputs!$B$9+((C1884=TRUE)*(F1884-Calc!F19))+B1896+(ArtifactsInput!$M$24-ArtifactsInput!$M$24)*CHOOSE(ArtifactsInput!$N$24+1,10,12,14,16,18,20)+(IF(AND(Inputs!$B$38&lt;&gt;"pvp",Inputs!$B$43=0),1,IF(IF(Inputs!$B$38="pvp",15,Inputs!$B$43)-(B1903)&lt;=0,1,MAX(0,IF(Inputs!$B$38="pvp",15,Inputs!$B$43)-MAX(5,B1903))/(IF(Inputs!$B$38="pvp",15,Inputs!$B$43)-(B1903))))*IF(AND(ArtifactsInput!$M$42,((Inputs!$B$9+((C1884=TRUE)*(F1884-Calc!F19))+B1896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1868*(1-MIN(100,(Inputs!$B$9+((C1884=TRUE)*(F1884-Calc!F19))+B1896+(ArtifactsInput!$M$24-ArtifactsInput!$M$24)*CHOOSE(ArtifactsInput!$N$24+1,10,12,14,16,18,20)+(IF(AND(Inputs!$B$38&lt;&gt;"pvp",Inputs!$B$43=0),1,IF(IF(Inputs!$B$38="pvp",15,Inputs!$B$43)-(B1903)&lt;=0,1,MAX(0,IF(Inputs!$B$38="pvp",15,Inputs!$B$43)-MAX(5,B1903))/(IF(Inputs!$B$38="pvp",15,Inputs!$B$43)-(B1903))))*IF(AND(ArtifactsInput!$M$42,((Inputs!$B$9+((C1884=TRUE)*(F1884-Calc!F19))+B1896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1868*(MIN(100,(Inputs!$B$9+((C1884=TRUE)*(F1884-Calc!F19))+B1896+(ArtifactsInput!$M$24-ArtifactsInput!$M$24)*CHOOSE(ArtifactsInput!$N$24+1,10,12,14,16,18,20)+(IF(AND(Inputs!$B$38&lt;&gt;"pvp",Inputs!$B$43=0),1,IF(IF(Inputs!$B$38="pvp",15,Inputs!$B$43)-(B1903)&lt;=0,1,MAX(0,IF(Inputs!$B$38="pvp",15,Inputs!$B$43)-MAX(5,B1903))/(IF(Inputs!$B$38="pvp",15,Inputs!$B$43)-(B1903))))*IF(AND(ArtifactsInput!$M$42,((Inputs!$B$9+((C1884=TRUE)*(F1884-Calc!F19))+B1896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IF(ArtifactsInput!$M$20,FALSE,TRUE),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868">
        <f>INDEX(FactorTable!$B$2:$Y$301, MATCH(ROUND(MIN(300,MAX(1,U1867)),0), FactorTable!$A$2:$A$301,0), 22)</f>
        <v/>
      </c>
      <c r="V1868">
        <f>IF(C1868,(H1868*N1868*IF(AND(Inputs!$B$38&lt;&gt;"pvp",Inputs!$B$43&gt;0),((Skills!G3*((R1868-1)*IF(Skills!H3&gt;0,INT(Skills!I3/Skills!H3+0.000000001),1)+IF(Skills!H3&gt;0,INT(MIN(Skills!I3,MAX(0,MAX(0,Inputs!$B$43-B1903)-((R1868-1)*(IF(Inputs!$B$38="pvp",15,MAX(0.1,Skills!D3-IF(TRUE=TRUE,Inputs!$B$32,0)))*(1-IF(AND(ArtifactsInput!$M$27,Inputs!$B$4="Chapter Hunt"),CHOOSE(ArtifactsInput!$N$27+1,20,24,28,32,36,40),0)/100)))))/Skills!H3+0.000000001),1)))/Inputs!$B$43),G1868*Q1868))*IF(Inputs!$B$38="pvp",1,(1+(Inputs!$B$21+Skills!Q3+(IF(ArtifactsInput!$M$33,CHOOSE(ArtifactsInput!$N$33+1,30,36,42,48,54,60),0))+(IF(AND(ArtifactsInput!$M$35,Inputs!$B$4&lt;&gt;"Chapter Hunt"),CHOOSE(ArtifactsInput!$N$35+1,15,18,21,24,27,30)*(1-EXP(-(0.2*B1898)*5)),0)+IF(AND(ArtifactsInput!$M$22,Inputs!$B$4&lt;&gt;"Chapter Hunt"),CHOOSE(ArtifactsInput!$N$22+1,10,12,14,16,18,20)*((0*(((0.15*B1898*5))^0/1)+1*(((0.15*B1898*5))^1/1)+2*(((0.15*B1898*5))^2/2)+3*(((0.15*B1898*5))^3/6)+4*(((0.15*B1898*5))^4/24)+5*(((0.15*B1898*5))^5/120))/((((0.15*B1898*5))^0/1)+(((0.15*B1898*5))^1/1)+(((0.15*B1898*5))^2/2)+(((0.15*B1898*5))^3/6)+(((0.15*B1898*5))^4/24)+(((0.15*B1898*5))^5/120))),0))+IF(Inputs!$B$3&gt;=54,9*(C1868=TRUE)*MIN(1,8*(1+Inputs!$B$34/100)*Q1868),0))/100)*(MIN(Skills!R3,Inputs!$B$37)))*((1+(IF(AND(ArtifactsInput!$M$41,Inputs!$B$38&lt;&gt;"pvp"),CHOOSE(ArtifactsInput!$N$41+1,5,6,7,8,9,10)*IF(OR(Inputs!$B$4="Weapon Dungeon",Inputs!$B$4="Equipment Dungeon",Inputs!$B$4="Enhancement Dungeon",Inputs!$B$4="EXP Dungeon",Inputs!$B$4="Hero Dungeon"),3,1),0)+IF(ArtifactsInput!$M$26,10*CHOOSE(ArtifactsInput!$N$26+1,1,1.2,1.4,1.6,1.8,2),0)+IF(AND(IF(ArtifactsInput!$M$20,FALSE,TRUE),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69">
      <c r="A1869">
        <f>Skills!A4</f>
        <v/>
      </c>
      <c r="B1869">
        <f>Skills!B4</f>
        <v/>
      </c>
      <c r="C1869">
        <f>Inputs!$B$3&gt;=35</f>
        <v/>
      </c>
      <c r="D1869">
        <f>IF(Skills!C4=1,60+Inputs!$B$25+Inputs!$B$29,IF(Skills!C4=2,90+Inputs!$B$26+Inputs!$B$29,IF(Skills!C4=3,120+Inputs!$B$27+Inputs!$B$29,MAX(0,(Inputs!$B$3-100)*3)+Inputs!$B$28+Inputs!$B$29)))</f>
        <v/>
      </c>
      <c r="E1869">
        <f>INDEX(FactorTable!$B$2:$Y$301, MATCH(ROUND(MIN(300,MAX(1,D1869)),0), FactorTable!$A$2:$A$301,0), Skills!M4+1)</f>
        <v/>
      </c>
      <c r="F1869">
        <f>IF(Skills!N4=TRUE,(Skills!L4/10)*(E1869/1000),Skills!L4/10)+Skills!O4</f>
        <v/>
      </c>
      <c r="G1869">
        <f>Skills!G4*IF(Skills!H4&gt;0,INT(IF(Inputs!$B$38="pvp",MIN(IF(Inputs!$B$3&gt;=104,MIN(35,20*(1+Inputs!$B$34/100)),20),15),IF(Inputs!$B$3&gt;=104,MIN(35,20*(1+Inputs!$B$34/100)),20))/Skills!H4+0.000000001),1)</f>
        <v/>
      </c>
      <c r="H1869">
        <f>1-(1-Skills!J4/100)^Skills!K4</f>
        <v/>
      </c>
      <c r="I1869" t="inlineStr">
        <is>
          <t>1</t>
        </is>
      </c>
      <c r="J1869">
        <f>((Inputs!$B$6*(1+Inputs!$B$7/100))+(((Inputs!$B$12*(1+Inputs!$B$13/100))-(Inputs!$B$12*(1+Inputs!$B$13/100)))+0.25*(Inputs!$B$14-Inputs!$B$14))*(1+Inputs!$B$7/100))*(F1869/100)</f>
        <v/>
      </c>
      <c r="K1869">
        <f>J1869*(1+((Inputs!$B$12*(1+Inputs!$B$13/100))*0.01+Inputs!$B$14*0.0025)/100)*(1+Inputs!$B$15/100)*(1+Inputs!$B$16/100)*(5000/(6000+Inputs!$B$42*(1-(100*(1-(1-(Inputs!$B$19+0)/100)*(1-CHOOSE(ArtifactsInput!$N$40+1,5,6,7,8,9,10)/100)^(ArtifactsInput!$M$40-ArtifactsInput!$M$40)))/100)))*(1+(Inputs!$B$24+((C1891=TRUE)*(F1891-Calc!F26))+B1902)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1881=TRUE,F1881,0)/100)*(1+(IF(Skills!A4="EIGHT_LEGS_EASTON",Inputs!$B$17+((C1888=TRUE)*(F1888-Calc!F23))+((C1892=TRUE)*(F1892-Calc!F27))+((IF(AND(Inputs!$B$38&lt;&gt;"pvp",Inputs!$B$43=0),1,IF(IF(Inputs!$B$38="pvp",15,Inputs!$B$43)-(B1903)&lt;=0,1,MAX(0,IF(Inputs!$B$38="pvp",15,Inputs!$B$43)-MAX(5,B1903))/(IF(Inputs!$B$38="pvp",15,Inputs!$B$43)-(B1903))))*(IF(AND(ArtifactsInput!$M$42,((Inputs!$B$9+((C1884=TRUE)*(F1884-Calc!F19))+B1896+(ArtifactsInput!$M$24-ArtifactsInput!$M$24)*CHOOSE(ArtifactsInput!$N$24+1,10,12,14,16,18,20)+IF(ArtifactsInput!$M$10,CHOOSE(ArtifactsInput!$N$10+1,15,18,21,24,27,30)*(IF(Inputs!$B$38="pvp",MIN(15,15)/15,IF(AND(Inputs!$B$38&lt;&gt;"pvp",Inputs!$B$43&gt;0),MIN(15,Inputs!$B$43)/(Inputs!$B$43),0))),0)))&gt;=100),MIN(100,((Inputs!$B$9+((C1884=TRUE)*(F1884-Calc!F19))+B1896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1903)&lt;=0,1,MAX(0,IF(Inputs!$B$38="pvp",15,Inputs!$B$43)-MAX(5,B1903))/(IF(Inputs!$B$38="pvp",15,Inputs!$B$43)-(B1903))))*IF(AND(ArtifactsInput!$M$42,((Inputs!$B$9+((C1884=TRUE)*(F1884-Calc!F19))+B1896+(ArtifactsInput!$M$24-ArtifactsInput!$M$24)*CHOOSE(ArtifactsInput!$N$24+1,10,12,14,16,18,20)+IF(ArtifactsInput!$M$10,CHOOSE(ArtifactsInput!$N$10+1,15,18,21,24,27,30)*(IF(Inputs!$B$38="pvp",MIN(15,15)/15,IF(AND(Inputs!$B$38&lt;&gt;"pvp",Inputs!$B$43&gt;0),MIN(15,Inputs!$B$43)/(Inputs!$B$43),0))),0)))&gt;=100),CHOOSE(ArtifactsInput!$N$42+1,40,48,56,64,72,80),0))))/100)*((1+(((C1882=TRUE)*F1882*5/7)+((C1889=TRUE)*(F1889-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1869)</f>
        <v/>
      </c>
      <c r="L1869">
        <f>K1869*(MIN(Inputs!$B$22+((C1887=TRUE)*(F1887-Calc!F22)),(Inputs!$B$23+0+(IF(ArtifactsInput!$M$15,CHOOSE(ArtifactsInput!$N$15+1,25,30,35,40,45,50)/100*(Inputs!$B$11-Inputs!$B$11),0))))/100+(Inputs!$B$23+0+(IF(ArtifactsInput!$M$15,CHOOSE(ArtifactsInput!$N$15+1,25,30,35,40,45,50)/100*(Inputs!$B$11-Inputs!$B$11),0)))/100)/2</f>
        <v/>
      </c>
      <c r="M1869">
        <f>L1869*(1+(Inputs!$B$10+((C1890=TRUE)*(F1890-Calc!F25))+B1901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69">
        <f>L1869*(1-MIN((Inputs!$B$9+((C1884=TRUE)*(F1884-Calc!F19))+B1896+(ArtifactsInput!$M$24-ArtifactsInput!$M$24)*CHOOSE(ArtifactsInput!$N$24+1,10,12,14,16,18,20)+(IF(AND(Inputs!$B$38&lt;&gt;"pvp",Inputs!$B$43=0),1,IF(IF(Inputs!$B$38="pvp",15,Inputs!$B$43)-(B1903)&lt;=0,1,MAX(0,IF(Inputs!$B$38="pvp",15,Inputs!$B$43)-MAX(5,B1903))/(IF(Inputs!$B$38="pvp",15,Inputs!$B$43)-(B1903))))*IF(AND(ArtifactsInput!$M$42,((Inputs!$B$9+((C1884=TRUE)*(F1884-Calc!F19))+B1896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1869*(MIN((Inputs!$B$9+((C1884=TRUE)*(F1884-Calc!F19))+B1896+(ArtifactsInput!$M$24-ArtifactsInput!$M$24)*CHOOSE(ArtifactsInput!$N$24+1,10,12,14,16,18,20)+(IF(AND(Inputs!$B$38&lt;&gt;"pvp",Inputs!$B$43=0),1,IF(IF(Inputs!$B$38="pvp",15,Inputs!$B$43)-(B1903)&lt;=0,1,MAX(0,IF(Inputs!$B$38="pvp",15,Inputs!$B$43)-MAX(5,B1903))/(IF(Inputs!$B$38="pvp",15,Inputs!$B$43)-(B1903))))*IF(AND(ArtifactsInput!$M$42,((Inputs!$B$9+((C1884=TRUE)*(F1884-Calc!F19))+B1896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69">
        <f>(1-Summary!$B$11)*T1869+Summary!$B$11*V1869</f>
        <v/>
      </c>
      <c r="P1869">
        <f>IF(B1906=0,0,O1869/B1906)</f>
        <v/>
      </c>
      <c r="Q1869">
        <f>IFERROR(1/(IF(Inputs!$B$38="pvp",15,MAX(0.1,Skills!D4-IF(TRUE=TRUE,Inputs!$B$32,0)))*(1-IF(AND(ArtifactsInput!$M$27,Inputs!$B$4="Chapter Hunt"),CHOOSE(ArtifactsInput!$N$27+1,20,24,28,32,36,40),0)/100)),0)</f>
        <v/>
      </c>
      <c r="R1869">
        <f>IF(AND(Inputs!$B$38&lt;&gt;"pvp",Inputs!$B$43&gt;0),IF(MAX(0,Inputs!$B$43-B1903)&lt;=0,0,(INT(MAX(0,Inputs!$B$43-B1903)/(IF(Inputs!$B$38="pvp",15,MAX(0.1,Skills!D4-IF(TRUE=TRUE,Inputs!$B$32,0)))*(1-IF(AND(ArtifactsInput!$M$27,Inputs!$B$4="Chapter Hunt"),CHOOSE(ArtifactsInput!$N$27+1,20,24,28,32,36,40),0)/100)))+1)),0)</f>
        <v/>
      </c>
      <c r="S1869">
        <f>IFERROR(O1869/N1869,0)</f>
        <v/>
      </c>
      <c r="T1869">
        <f>IF(C1869,(H1869*N1869*IF(AND(Inputs!$B$38&lt;&gt;"pvp",Inputs!$B$43&gt;0),((Skills!G4*((R1869-1)*IF(Skills!H4&gt;0,INT(IF(Inputs!$B$3&gt;=104,MIN(35,20*(1+Inputs!$B$34/100)),20)/Skills!H4+0.000000001),1)+IF(Skills!H4&gt;0,INT(MIN(IF(Inputs!$B$3&gt;=104,MIN(35,20*(1+Inputs!$B$34/100)),20),MAX(0,MAX(0,Inputs!$B$43-B1903)-((R1869-1)*(IF(Inputs!$B$38="pvp",15,MAX(0.1,Skills!D4-IF(TRUE=TRUE,Inputs!$B$32,0)))*(1-IF(AND(ArtifactsInput!$M$27,Inputs!$B$4="Chapter Hunt"),CHOOSE(ArtifactsInput!$N$27+1,20,24,28,32,36,40),0)/100)))))/Skills!H4+0.000000001),1)))/Inputs!$B$43),G1869*Q1869))*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Hunt"),CHOOSE(ArtifactsInput!$N$35+1,15,18,21,24,27,30)*(1-EXP(-(0.2*B1898)*5)),0)+IF(AND(ArtifactsInput!$M$22,Inputs!$B$4&lt;&gt;"Chapter Hunt"),CHOOSE(ArtifactsInput!$N$22+1,10,12,14,16,18,20)*((0*(((0.15*B1898*5))^0/1)+1*(((0.15*B1898*5))^1/1)+2*(((0.15*B1898*5))^2/2)+3*(((0.15*B1898*5))^3/6)+4*(((0.15*B1898*5))^4/24)+5*(((0.15*B1898*5))^5/120))/((((0.15*B1898*5))^0/1)+(((0.15*B1898*5))^1/1)+(((0.15*B1898*5))^2/2)+(((0.15*B1898*5))^3/6)+(((0.15*B1898*5))^4/24)+(((0.15*B1898*5))^5/120))),0))+IF(Inputs!$B$3&gt;=54,9*(C1868=TRUE)*MIN(1,8*(1+Inputs!$B$34/100)*Q1868)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1869*(1-MIN(100,(Inputs!$B$9+((C1884=TRUE)*(F1884-Calc!F19))+B1896+(ArtifactsInput!$M$24-ArtifactsInput!$M$24)*CHOOSE(ArtifactsInput!$N$24+1,10,12,14,16,18,20)+(IF(AND(Inputs!$B$38&lt;&gt;"pvp",Inputs!$B$43=0),1,IF(IF(Inputs!$B$38="pvp",15,Inputs!$B$43)-(B1903)&lt;=0,1,MAX(0,IF(Inputs!$B$38="pvp",15,Inputs!$B$43)-MAX(5,B1903))/(IF(Inputs!$B$38="pvp",15,Inputs!$B$43)-(B1903))))*IF(AND(ArtifactsInput!$M$42,((Inputs!$B$9+((C1884=TRUE)*(F1884-Calc!F19))+B1896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1869*(MIN(100,(Inputs!$B$9+((C1884=TRUE)*(F1884-Calc!F19))+B1896+(ArtifactsInput!$M$24-ArtifactsInput!$M$24)*CHOOSE(ArtifactsInput!$N$24+1,10,12,14,16,18,20)+(IF(AND(Inputs!$B$38&lt;&gt;"pvp",Inputs!$B$43=0),1,IF(IF(Inputs!$B$38="pvp",15,Inputs!$B$43)-(B1903)&lt;=0,1,MAX(0,IF(Inputs!$B$38="pvp",15,Inputs!$B$43)-MAX(5,B1903))/(IF(Inputs!$B$38="pvp",15,Inputs!$B$43)-(B1903))))*IF(AND(ArtifactsInput!$M$42,((Inputs!$B$9+((C1884=TRUE)*(F1884-Calc!F19))+B1896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1869*(1-MIN(100,(Inputs!$B$9+((C1884=TRUE)*(F1884-Calc!F19))+B1896+(ArtifactsInput!$M$24-ArtifactsInput!$M$24)*CHOOSE(ArtifactsInput!$N$24+1,10,12,14,16,18,20)+(IF(AND(Inputs!$B$38&lt;&gt;"pvp",Inputs!$B$43=0),1,IF(IF(Inputs!$B$38="pvp",15,Inputs!$B$43)-(B1903)&lt;=0,1,MAX(0,IF(Inputs!$B$38="pvp",15,Inputs!$B$43)-MAX(5,B1903))/(IF(Inputs!$B$38="pvp",15,Inputs!$B$43)-(B1903))))*IF(AND(ArtifactsInput!$M$42,((Inputs!$B$9+((C1884=TRUE)*(F1884-Calc!F19))+B1896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1869*(MIN(100,(Inputs!$B$9+((C1884=TRUE)*(F1884-Calc!F19))+B1896+(ArtifactsInput!$M$24-ArtifactsInput!$M$24)*CHOOSE(ArtifactsInput!$N$24+1,10,12,14,16,18,20)+(IF(AND(Inputs!$B$38&lt;&gt;"pvp",Inputs!$B$43=0),1,IF(IF(Inputs!$B$38="pvp",15,Inputs!$B$43)-(B1903)&lt;=0,1,MAX(0,IF(Inputs!$B$38="pvp",15,Inputs!$B$43)-MAX(5,B1903))/(IF(Inputs!$B$38="pvp",15,Inputs!$B$43)-(B1903))))*IF(AND(ArtifactsInput!$M$42,((Inputs!$B$9+((C1884=TRUE)*(F1884-Calc!F19))+B1896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IF(ArtifactsInput!$M$20,FALSE,TRUE),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869">
        <f>290*U1868/1000</f>
        <v/>
      </c>
      <c r="V1869">
        <f>IF(C1869,(H1869*N1869*IF(AND(Inputs!$B$38&lt;&gt;"pvp",Inputs!$B$43&gt;0),((Skills!G4*((R1869-1)*IF(Skills!H4&gt;0,INT(IF(Inputs!$B$3&gt;=104,MIN(35,20*(1+Inputs!$B$34/100)),20)/Skills!H4+0.000000001),1)+IF(Skills!H4&gt;0,INT(MIN(IF(Inputs!$B$3&gt;=104,MIN(35,20*(1+Inputs!$B$34/100)),20),MAX(0,MAX(0,Inputs!$B$43-B1903)-((R1869-1)*(IF(Inputs!$B$38="pvp",15,MAX(0.1,Skills!D4-IF(TRUE=TRUE,Inputs!$B$32,0)))*(1-IF(AND(ArtifactsInput!$M$27,Inputs!$B$4="Chapter Hunt"),CHOOSE(ArtifactsInput!$N$27+1,20,24,28,32,36,40),0)/100)))))/Skills!H4+0.000000001),1)))/Inputs!$B$43),G1869*Q1869))*IF(Inputs!$B$38="pvp",1,(1+(Inputs!$B$21+Skills!Q4+(IF(ArtifactsInput!$M$33,CHOOSE(ArtifactsInput!$N$33+1,30,36,42,48,54,60),0))+(IF(AND(ArtifactsInput!$M$35,Inputs!$B$4&lt;&gt;"Chapter Hunt"),CHOOSE(ArtifactsInput!$N$35+1,15,18,21,24,27,30)*(1-EXP(-(0.2*B1898)*5)),0)+IF(AND(ArtifactsInput!$M$22,Inputs!$B$4&lt;&gt;"Chapter Hunt"),CHOOSE(ArtifactsInput!$N$22+1,10,12,14,16,18,20)*((0*(((0.15*B1898*5))^0/1)+1*(((0.15*B1898*5))^1/1)+2*(((0.15*B1898*5))^2/2)+3*(((0.15*B1898*5))^3/6)+4*(((0.15*B1898*5))^4/24)+5*(((0.15*B1898*5))^5/120))/((((0.15*B1898*5))^0/1)+(((0.15*B1898*5))^1/1)+(((0.15*B1898*5))^2/2)+(((0.15*B1898*5))^3/6)+(((0.15*B1898*5))^4/24)+(((0.15*B1898*5))^5/120))),0))+IF(Inputs!$B$3&gt;=54,9*(C1868=TRUE)*MIN(1,8*(1+Inputs!$B$34/100)*Q1868),0))/100)*(MIN(Skills!R4,Inputs!$B$37)))*((1+(IF(AND(ArtifactsInput!$M$41,Inputs!$B$38&lt;&gt;"pvp"),CHOOSE(ArtifactsInput!$N$41+1,5,6,7,8,9,10)*IF(OR(Inputs!$B$4="Weapon Dungeon",Inputs!$B$4="Equipment Dungeon",Inputs!$B$4="Enhancement Dungeon",Inputs!$B$4="EXP Dungeon",Inputs!$B$4="Hero Dungeon"),3,1),0)+IF(ArtifactsInput!$M$26,10*CHOOSE(ArtifactsInput!$N$26+1,1,1.2,1.4,1.6,1.8,2),0)+IF(AND(IF(ArtifactsInput!$M$20,FALSE,TRUE),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70">
      <c r="A1870">
        <f>Skills!A5</f>
        <v/>
      </c>
      <c r="B1870">
        <f>Skills!B5</f>
        <v/>
      </c>
      <c r="C1870">
        <f>Inputs!$B$3&gt;=69</f>
        <v/>
      </c>
      <c r="D1870">
        <f>IF(Skills!C5=1,60+Inputs!$B$25+Inputs!$B$29,IF(Skills!C5=2,90+Inputs!$B$26+Inputs!$B$29,IF(Skills!C5=3,120+Inputs!$B$27+Inputs!$B$29,MAX(0,(Inputs!$B$3-100)*3)+Inputs!$B$28+Inputs!$B$29)))</f>
        <v/>
      </c>
      <c r="E1870">
        <f>INDEX(FactorTable!$B$2:$Y$301, MATCH(ROUND(MIN(300,MAX(1,D1870)),0), FactorTable!$A$2:$A$301,0), Skills!M5+1)</f>
        <v/>
      </c>
      <c r="F1870">
        <f>IF(Skills!N5=TRUE,(Skills!L5/10)*(E1870/1000),Skills!L5/10)+Skills!O5</f>
        <v/>
      </c>
      <c r="G1870">
        <f>Skills!G5*IF(Skills!H5&gt;0,INT(IF(Inputs!$B$38="pvp",MIN(IF(Inputs!$B$3&gt;=104,MIN(35,20*(1+Inputs!$B$34/100)),20),15),IF(Inputs!$B$3&gt;=104,MIN(35,20*(1+Inputs!$B$34/100)),20))/Skills!H5+0.000000001),1)</f>
        <v/>
      </c>
      <c r="H1870">
        <f>1-(1-Skills!J5/100)^Skills!K5</f>
        <v/>
      </c>
      <c r="I1870" t="inlineStr">
        <is>
          <t>1</t>
        </is>
      </c>
      <c r="J1870">
        <f>((Inputs!$B$6*(1+Inputs!$B$7/100))+(((Inputs!$B$12*(1+Inputs!$B$13/100))-(Inputs!$B$12*(1+Inputs!$B$13/100)))+0.25*(Inputs!$B$14-Inputs!$B$14))*(1+Inputs!$B$7/100))*(F1870/100)</f>
        <v/>
      </c>
      <c r="K1870">
        <f>J1870*(1+((Inputs!$B$12*(1+Inputs!$B$13/100))*0.01+Inputs!$B$14*0.0025)/100)*(1+Inputs!$B$15/100)*(1+Inputs!$B$16/100)*(5000/(6000+Inputs!$B$42*(1-(100*(1-(1-(Inputs!$B$19+0)/100)*(1-CHOOSE(ArtifactsInput!$N$40+1,5,6,7,8,9,10)/100)^(ArtifactsInput!$M$40-ArtifactsInput!$M$40)))/100)))*(1+(Inputs!$B$24+((C1891=TRUE)*(F1891-Calc!F26))+B1902)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+0.4*IF(C1881=TRUE,F1881,0)/100)*(1+(IF(Skills!A5="EIGHT_LEGS_EASTON",Inputs!$B$17+((C1888=TRUE)*(F1888-Calc!F23))+((C1892=TRUE)*(F1892-Calc!F27))+((IF(AND(Inputs!$B$38&lt;&gt;"pvp",Inputs!$B$43=0),1,IF(IF(Inputs!$B$38="pvp",15,Inputs!$B$43)-(B1903)&lt;=0,1,MAX(0,IF(Inputs!$B$38="pvp",15,Inputs!$B$43)-MAX(5,B1903))/(IF(Inputs!$B$38="pvp",15,Inputs!$B$43)-(B1903))))*(IF(AND(ArtifactsInput!$M$42,((Inputs!$B$9+((C1884=TRUE)*(F1884-Calc!F19))+B1896+(ArtifactsInput!$M$24-ArtifactsInput!$M$24)*CHOOSE(ArtifactsInput!$N$24+1,10,12,14,16,18,20)+IF(ArtifactsInput!$M$10,CHOOSE(ArtifactsInput!$N$10+1,15,18,21,24,27,30)*(IF(Inputs!$B$38="pvp",MIN(15,15)/15,IF(AND(Inputs!$B$38&lt;&gt;"pvp",Inputs!$B$43&gt;0),MIN(15,Inputs!$B$43)/(Inputs!$B$43),0))),0)))&gt;=100),MIN(100,((Inputs!$B$9+((C1884=TRUE)*(F1884-Calc!F19))+B1896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1903)&lt;=0,1,MAX(0,IF(Inputs!$B$38="pvp",15,Inputs!$B$43)-MAX(5,B1903))/(IF(Inputs!$B$38="pvp",15,Inputs!$B$43)-(B1903))))*IF(AND(ArtifactsInput!$M$42,((Inputs!$B$9+((C1884=TRUE)*(F1884-Calc!F19))+B1896+(ArtifactsInput!$M$24-ArtifactsInput!$M$24)*CHOOSE(ArtifactsInput!$N$24+1,10,12,14,16,18,20)+IF(ArtifactsInput!$M$10,CHOOSE(ArtifactsInput!$N$10+1,15,18,21,24,27,30)*(IF(Inputs!$B$38="pvp",MIN(15,15)/15,IF(AND(Inputs!$B$38&lt;&gt;"pvp",Inputs!$B$43&gt;0),MIN(15,Inputs!$B$43)/(Inputs!$B$43),0))),0)))&gt;=100),CHOOSE(ArtifactsInput!$N$42+1,40,48,56,64,72,80),0))))/100)*((1+(((C1882=TRUE)*F1882*5/7)+((C1889=TRUE)*(F1889-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1870)</f>
        <v/>
      </c>
      <c r="L1870">
        <f>K1870*(MIN(Inputs!$B$22+((C1887=TRUE)*(F1887-Calc!F22)),(Inputs!$B$23+0+(IF(ArtifactsInput!$M$15,CHOOSE(ArtifactsInput!$N$15+1,25,30,35,40,45,50)/100*(Inputs!$B$11-Inputs!$B$11),0))))/100+(Inputs!$B$23+0+(IF(ArtifactsInput!$M$15,CHOOSE(ArtifactsInput!$N$15+1,25,30,35,40,45,50)/100*(Inputs!$B$11-Inputs!$B$11),0)))/100)/2</f>
        <v/>
      </c>
      <c r="M1870">
        <f>L1870*(1+(Inputs!$B$10+((C1890=TRUE)*(F1890-Calc!F25))+B1901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70">
        <f>L1870*(1-MIN((Inputs!$B$9+((C1884=TRUE)*(F1884-Calc!F19))+B1896+(ArtifactsInput!$M$24-ArtifactsInput!$M$24)*CHOOSE(ArtifactsInput!$N$24+1,10,12,14,16,18,20)+(IF(AND(Inputs!$B$38&lt;&gt;"pvp",Inputs!$B$43=0),1,IF(IF(Inputs!$B$38="pvp",15,Inputs!$B$43)-(B1903)&lt;=0,1,MAX(0,IF(Inputs!$B$38="pvp",15,Inputs!$B$43)-MAX(5,B1903))/(IF(Inputs!$B$38="pvp",15,Inputs!$B$43)-(B1903))))*IF(AND(ArtifactsInput!$M$42,((Inputs!$B$9+((C1884=TRUE)*(F1884-Calc!F19))+B1896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1870*(MIN((Inputs!$B$9+((C1884=TRUE)*(F1884-Calc!F19))+B1896+(ArtifactsInput!$M$24-ArtifactsInput!$M$24)*CHOOSE(ArtifactsInput!$N$24+1,10,12,14,16,18,20)+(IF(AND(Inputs!$B$38&lt;&gt;"pvp",Inputs!$B$43=0),1,IF(IF(Inputs!$B$38="pvp",15,Inputs!$B$43)-(B1903)&lt;=0,1,MAX(0,IF(Inputs!$B$38="pvp",15,Inputs!$B$43)-MAX(5,B1903))/(IF(Inputs!$B$38="pvp",15,Inputs!$B$43)-(B1903))))*IF(AND(ArtifactsInput!$M$42,((Inputs!$B$9+((C1884=TRUE)*(F1884-Calc!F19))+B1896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70">
        <f>(1-Summary!$B$11)*T1870+Summary!$B$11*V1870</f>
        <v/>
      </c>
      <c r="P1870">
        <f>IF(B1906=0,0,O1870/B1906)</f>
        <v/>
      </c>
      <c r="Q1870">
        <f>IFERROR(1/(IF(Inputs!$B$38="pvp",15,MAX(0.1,Skills!D5-IF(TRUE=TRUE,Inputs!$B$32,0)))*(1-IF(AND(ArtifactsInput!$M$27,Inputs!$B$4="Chapter Hunt"),CHOOSE(ArtifactsInput!$N$27+1,20,24,28,32,36,40),0)/100)),0)</f>
        <v/>
      </c>
      <c r="R1870">
        <f>IF(AND(Inputs!$B$38&lt;&gt;"pvp",Inputs!$B$43&gt;0),IF(MAX(0,Inputs!$B$43-B1903)&lt;=0,0,(INT(MAX(0,Inputs!$B$43-B1903)/(IF(Inputs!$B$38="pvp",15,MAX(0.1,Skills!D5-IF(TRUE=TRUE,Inputs!$B$32,0)))*(1-IF(AND(ArtifactsInput!$M$27,Inputs!$B$4="Chapter Hunt"),CHOOSE(ArtifactsInput!$N$27+1,20,24,28,32,36,40),0)/100)))+1)),0)</f>
        <v/>
      </c>
      <c r="S1870">
        <f>IFERROR(O1870/N1870,0)</f>
        <v/>
      </c>
      <c r="T1870">
        <f>IF(C1870,(H1870*N1870*IF(AND(Inputs!$B$38&lt;&gt;"pvp",Inputs!$B$43&gt;0),((Skills!G5*((R1870-1)*IF(Skills!H5&gt;0,INT(IF(Inputs!$B$3&gt;=104,MIN(35,20*(1+Inputs!$B$34/100)),20)/Skills!H5+0.000000001),1)+IF(Skills!H5&gt;0,INT(MIN(IF(Inputs!$B$3&gt;=104,MIN(35,20*(1+Inputs!$B$34/100)),20),MAX(0,MAX(0,Inputs!$B$43-B1903)-((R1870-1)*(IF(Inputs!$B$38="pvp",15,MAX(0.1,Skills!D5-IF(TRUE=TRUE,Inputs!$B$32,0)))*(1-IF(AND(ArtifactsInput!$M$27,Inputs!$B$4="Chapter Hunt"),CHOOSE(ArtifactsInput!$N$27+1,20,24,28,32,36,40),0)/100)))))/Skills!H5+0.000000001),1)))/Inputs!$B$43),G1870*Q1870))*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Hunt"),CHOOSE(ArtifactsInput!$N$35+1,15,18,21,24,27,30)*(1-EXP(-(0.2*B1898)*5)),0)+IF(AND(ArtifactsInput!$M$22,Inputs!$B$4&lt;&gt;"Chapter Hunt"),CHOOSE(ArtifactsInput!$N$22+1,10,12,14,16,18,20)*((0*(((0.15*B1898*5))^0/1)+1*(((0.15*B1898*5))^1/1)+2*(((0.15*B1898*5))^2/2)+3*(((0.15*B1898*5))^3/6)+4*(((0.15*B1898*5))^4/24)+5*(((0.15*B1898*5))^5/120))/((((0.15*B1898*5))^0/1)+(((0.15*B1898*5))^1/1)+(((0.15*B1898*5))^2/2)+(((0.15*B1898*5))^3/6)+(((0.15*B1898*5))^4/24)+(((0.15*B1898*5))^5/120))),0))+IF(Inputs!$B$3&gt;=54,9*(C1868=TRUE)*MIN(1,8*(1+Inputs!$B$34/100)*Q1868)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1870*(1-MIN(100,(Inputs!$B$9+((C1884=TRUE)*(F1884-Calc!F19))+B1896+(ArtifactsInput!$M$24-ArtifactsInput!$M$24)*CHOOSE(ArtifactsInput!$N$24+1,10,12,14,16,18,20)+(IF(AND(Inputs!$B$38&lt;&gt;"pvp",Inputs!$B$43=0),1,IF(IF(Inputs!$B$38="pvp",15,Inputs!$B$43)-(B1903)&lt;=0,1,MAX(0,IF(Inputs!$B$38="pvp",15,Inputs!$B$43)-MAX(5,B1903))/(IF(Inputs!$B$38="pvp",15,Inputs!$B$43)-(B1903))))*IF(AND(ArtifactsInput!$M$42,((Inputs!$B$9+((C1884=TRUE)*(F1884-Calc!F19))+B1896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1870*(MIN(100,(Inputs!$B$9+((C1884=TRUE)*(F1884-Calc!F19))+B1896+(ArtifactsInput!$M$24-ArtifactsInput!$M$24)*CHOOSE(ArtifactsInput!$N$24+1,10,12,14,16,18,20)+(IF(AND(Inputs!$B$38&lt;&gt;"pvp",Inputs!$B$43=0),1,IF(IF(Inputs!$B$38="pvp",15,Inputs!$B$43)-(B1903)&lt;=0,1,MAX(0,IF(Inputs!$B$38="pvp",15,Inputs!$B$43)-MAX(5,B1903))/(IF(Inputs!$B$38="pvp",15,Inputs!$B$43)-(B1903))))*IF(AND(ArtifactsInput!$M$42,((Inputs!$B$9+((C1884=TRUE)*(F1884-Calc!F19))+B1896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1870*(1-MIN(100,(Inputs!$B$9+((C1884=TRUE)*(F1884-Calc!F19))+B1896+(ArtifactsInput!$M$24-ArtifactsInput!$M$24)*CHOOSE(ArtifactsInput!$N$24+1,10,12,14,16,18,20)+(IF(AND(Inputs!$B$38&lt;&gt;"pvp",Inputs!$B$43=0),1,IF(IF(Inputs!$B$38="pvp",15,Inputs!$B$43)-(B1903)&lt;=0,1,MAX(0,IF(Inputs!$B$38="pvp",15,Inputs!$B$43)-MAX(5,B1903))/(IF(Inputs!$B$38="pvp",15,Inputs!$B$43)-(B1903))))*IF(AND(ArtifactsInput!$M$42,((Inputs!$B$9+((C1884=TRUE)*(F1884-Calc!F19))+B1896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1870*(MIN(100,(Inputs!$B$9+((C1884=TRUE)*(F1884-Calc!F19))+B1896+(ArtifactsInput!$M$24-ArtifactsInput!$M$24)*CHOOSE(ArtifactsInput!$N$24+1,10,12,14,16,18,20)+(IF(AND(Inputs!$B$38&lt;&gt;"pvp",Inputs!$B$43=0),1,IF(IF(Inputs!$B$38="pvp",15,Inputs!$B$43)-(B1903)&lt;=0,1,MAX(0,IF(Inputs!$B$38="pvp",15,Inputs!$B$43)-MAX(5,B1903))/(IF(Inputs!$B$38="pvp",15,Inputs!$B$43)-(B1903))))*IF(AND(ArtifactsInput!$M$42,((Inputs!$B$9+((C1884=TRUE)*(F1884-Calc!F19))+B1896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IF(ArtifactsInput!$M$20,FALSE,TRUE),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870">
        <f>IF(C1870,(H1870*N1870*IF(AND(Inputs!$B$38&lt;&gt;"pvp",Inputs!$B$43&gt;0),((Skills!G5*((R1870-1)*IF(Skills!H5&gt;0,INT(IF(Inputs!$B$3&gt;=104,MIN(35,20*(1+Inputs!$B$34/100)),20)/Skills!H5+0.000000001),1)+IF(Skills!H5&gt;0,INT(MIN(IF(Inputs!$B$3&gt;=104,MIN(35,20*(1+Inputs!$B$34/100)),20),MAX(0,MAX(0,Inputs!$B$43-B1903)-((R1870-1)*(IF(Inputs!$B$38="pvp",15,MAX(0.1,Skills!D5-IF(TRUE=TRUE,Inputs!$B$32,0)))*(1-IF(AND(ArtifactsInput!$M$27,Inputs!$B$4="Chapter Hunt"),CHOOSE(ArtifactsInput!$N$27+1,20,24,28,32,36,40),0)/100)))))/Skills!H5+0.000000001),1)))/Inputs!$B$43),G1870*Q1870))*IF(Inputs!$B$38="pvp",1,(1+(Inputs!$B$21+Skills!Q5+(IF(ArtifactsInput!$M$33,CHOOSE(ArtifactsInput!$N$33+1,30,36,42,48,54,60),0))+(IF(AND(ArtifactsInput!$M$35,Inputs!$B$4&lt;&gt;"Chapter Hunt"),CHOOSE(ArtifactsInput!$N$35+1,15,18,21,24,27,30)*(1-EXP(-(0.2*B1898)*5)),0)+IF(AND(ArtifactsInput!$M$22,Inputs!$B$4&lt;&gt;"Chapter Hunt"),CHOOSE(ArtifactsInput!$N$22+1,10,12,14,16,18,20)*((0*(((0.15*B1898*5))^0/1)+1*(((0.15*B1898*5))^1/1)+2*(((0.15*B1898*5))^2/2)+3*(((0.15*B1898*5))^3/6)+4*(((0.15*B1898*5))^4/24)+5*(((0.15*B1898*5))^5/120))/((((0.15*B1898*5))^0/1)+(((0.15*B1898*5))^1/1)+(((0.15*B1898*5))^2/2)+(((0.15*B1898*5))^3/6)+(((0.15*B1898*5))^4/24)+(((0.15*B1898*5))^5/120))),0))+IF(Inputs!$B$3&gt;=54,9*(C1868=TRUE)*MIN(1,8*(1+Inputs!$B$34/100)*Q1868),0))/100)*(MIN(Skills!R5,Inputs!$B$37)))*((1+(IF(AND(ArtifactsInput!$M$41,Inputs!$B$38&lt;&gt;"pvp"),CHOOSE(ArtifactsInput!$N$41+1,5,6,7,8,9,10)*IF(OR(Inputs!$B$4="Weapon Dungeon",Inputs!$B$4="Equipment Dungeon",Inputs!$B$4="Enhancement Dungeon",Inputs!$B$4="EXP Dungeon",Inputs!$B$4="Hero Dungeon"),3,1),0)+IF(ArtifactsInput!$M$26,10*CHOOSE(ArtifactsInput!$N$26+1,1,1.2,1.4,1.6,1.8,2),0)+IF(AND(IF(ArtifactsInput!$M$20,FALSE,TRUE),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71">
      <c r="A1871">
        <f>Skills!A6</f>
        <v/>
      </c>
      <c r="B1871">
        <f>Skills!B6</f>
        <v/>
      </c>
      <c r="C1871">
        <f>Inputs!$B$3&gt;=66</f>
        <v/>
      </c>
      <c r="D1871">
        <f>IF(Skills!C6=1,60+Inputs!$B$25+Inputs!$B$29,IF(Skills!C6=2,90+Inputs!$B$26+Inputs!$B$29,IF(Skills!C6=3,120+Inputs!$B$27+Inputs!$B$29,MAX(0,(Inputs!$B$3-100)*3)+Inputs!$B$28+Inputs!$B$29)))</f>
        <v/>
      </c>
      <c r="E1871">
        <f>INDEX(FactorTable!$B$2:$Y$301, MATCH(ROUND(MIN(300,MAX(1,D1871)),0), FactorTable!$A$2:$A$301,0), Skills!M6+1)</f>
        <v/>
      </c>
      <c r="F1871">
        <f>IF(Skills!N6=TRUE,(Skills!L6/10)*(E1871/1000),Skills!L6/10)+Skills!O6</f>
        <v/>
      </c>
      <c r="G1871">
        <f>Skills!G6*IF(Skills!H6&gt;0,INT(IF(Inputs!$B$38="pvp",MIN(Skills!I6,15),Skills!I6)/Skills!H6+0.000000001),1)</f>
        <v/>
      </c>
      <c r="H1871">
        <f>1-(1-Skills!J6/100)^Skills!K6</f>
        <v/>
      </c>
      <c r="I1871" t="inlineStr">
        <is>
          <t>1</t>
        </is>
      </c>
      <c r="J1871">
        <f>((Inputs!$B$6*(1+Inputs!$B$7/100))+(((Inputs!$B$12*(1+Inputs!$B$13/100))-(Inputs!$B$12*(1+Inputs!$B$13/100)))+0.25*(Inputs!$B$14-Inputs!$B$14))*(1+Inputs!$B$7/100))*(F1871/100)</f>
        <v/>
      </c>
      <c r="K1871">
        <f>J1871*(1+((Inputs!$B$12*(1+Inputs!$B$13/100))*0.01+Inputs!$B$14*0.0025)/100)*(1+Inputs!$B$15/100)*(1+Inputs!$B$16/100)*(5000/(6000+Inputs!$B$42*(1-(100*(1-(1-(Inputs!$B$19+0)/100)*(1-CHOOSE(ArtifactsInput!$N$40+1,5,6,7,8,9,10)/100)^(ArtifactsInput!$M$40-ArtifactsInput!$M$40)))/100)))*(1+(Inputs!$B$24+((C1891=TRUE)*(F1891-Calc!F26))+B1902)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+2.0*IF(C1880=TRUE,F1880,0)/100)*(1+(IF(Skills!A6="EIGHT_LEGS_EASTON",Inputs!$B$17+((C1888=TRUE)*(F1888-Calc!F23))+((C1892=TRUE)*(F1892-Calc!F27))+((IF(AND(Inputs!$B$38&lt;&gt;"pvp",Inputs!$B$43=0),1,IF(IF(Inputs!$B$38="pvp",15,Inputs!$B$43)-(B1903)&lt;=0,1,MAX(0,IF(Inputs!$B$38="pvp",15,Inputs!$B$43)-MAX(5,B1903))/(IF(Inputs!$B$38="pvp",15,Inputs!$B$43)-(B1903))))*(IF(AND(ArtifactsInput!$M$42,((Inputs!$B$9+((C1884=TRUE)*(F1884-Calc!F19))+B1896+(ArtifactsInput!$M$24-ArtifactsInput!$M$24)*CHOOSE(ArtifactsInput!$N$24+1,10,12,14,16,18,20)+IF(ArtifactsInput!$M$10,CHOOSE(ArtifactsInput!$N$10+1,15,18,21,24,27,30)*(IF(Inputs!$B$38="pvp",MIN(15,15)/15,IF(AND(Inputs!$B$38&lt;&gt;"pvp",Inputs!$B$43&gt;0),MIN(15,Inputs!$B$43)/(Inputs!$B$43),0))),0)))&gt;=100),MIN(100,((Inputs!$B$9+((C1884=TRUE)*(F1884-Calc!F19))+B1896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1903)&lt;=0,1,MAX(0,IF(Inputs!$B$38="pvp",15,Inputs!$B$43)-MAX(5,B1903))/(IF(Inputs!$B$38="pvp",15,Inputs!$B$43)-(B1903))))*IF(AND(ArtifactsInput!$M$42,((Inputs!$B$9+((C1884=TRUE)*(F1884-Calc!F19))+B1896+(ArtifactsInput!$M$24-ArtifactsInput!$M$24)*CHOOSE(ArtifactsInput!$N$24+1,10,12,14,16,18,20)+IF(ArtifactsInput!$M$10,CHOOSE(ArtifactsInput!$N$10+1,15,18,21,24,27,30)*(IF(Inputs!$B$38="pvp",MIN(15,15)/15,IF(AND(Inputs!$B$38&lt;&gt;"pvp",Inputs!$B$43&gt;0),MIN(15,Inputs!$B$43)/(Inputs!$B$43),0))),0)))&gt;=100),CHOOSE(ArtifactsInput!$N$42+1,40,48,56,64,72,80),0))))/100)*((1+(((C1882=TRUE)*F1882*5/7)+((C1889=TRUE)*(F1889-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1871)</f>
        <v/>
      </c>
      <c r="L1871">
        <f>K1871*(MIN(Inputs!$B$22+((C1887=TRUE)*(F1887-Calc!F22)),(Inputs!$B$23+0+(IF(ArtifactsInput!$M$15,CHOOSE(ArtifactsInput!$N$15+1,25,30,35,40,45,50)/100*(Inputs!$B$11-Inputs!$B$11),0))))/100+(Inputs!$B$23+0+(IF(ArtifactsInput!$M$15,CHOOSE(ArtifactsInput!$N$15+1,25,30,35,40,45,50)/100*(Inputs!$B$11-Inputs!$B$11),0)))/100)/2</f>
        <v/>
      </c>
      <c r="M1871">
        <f>L1871*(1+(Inputs!$B$10+((C1890=TRUE)*(F1890-Calc!F25))+B1901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71">
        <f>L1871*(1-MIN((Inputs!$B$9+((C1884=TRUE)*(F1884-Calc!F19))+B1896+(ArtifactsInput!$M$24-ArtifactsInput!$M$24)*CHOOSE(ArtifactsInput!$N$24+1,10,12,14,16,18,20)+(IF(AND(Inputs!$B$38&lt;&gt;"pvp",Inputs!$B$43=0),1,IF(IF(Inputs!$B$38="pvp",15,Inputs!$B$43)-(B1903)&lt;=0,1,MAX(0,IF(Inputs!$B$38="pvp",15,Inputs!$B$43)-MAX(5,B1903))/(IF(Inputs!$B$38="pvp",15,Inputs!$B$43)-(B1903))))*IF(AND(ArtifactsInput!$M$42,((Inputs!$B$9+((C1884=TRUE)*(F1884-Calc!F19))+B1896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1871*(MIN((Inputs!$B$9+((C1884=TRUE)*(F1884-Calc!F19))+B1896+(ArtifactsInput!$M$24-ArtifactsInput!$M$24)*CHOOSE(ArtifactsInput!$N$24+1,10,12,14,16,18,20)+(IF(AND(Inputs!$B$38&lt;&gt;"pvp",Inputs!$B$43=0),1,IF(IF(Inputs!$B$38="pvp",15,Inputs!$B$43)-(B1903)&lt;=0,1,MAX(0,IF(Inputs!$B$38="pvp",15,Inputs!$B$43)-MAX(5,B1903))/(IF(Inputs!$B$38="pvp",15,Inputs!$B$43)-(B1903))))*IF(AND(ArtifactsInput!$M$42,((Inputs!$B$9+((C1884=TRUE)*(F1884-Calc!F19))+B1896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71">
        <f>(1-Summary!$B$11)*T1871+Summary!$B$11*V1871</f>
        <v/>
      </c>
      <c r="P1871">
        <f>IF(B1906=0,0,O1871/B1906)</f>
        <v/>
      </c>
      <c r="Q1871">
        <f>IFERROR(1/(IF(Inputs!$B$38="pvp",15,MAX(0.1,Skills!D6-IF(TRUE=TRUE,Inputs!$B$32,0)))*(1-IF(AND(ArtifactsInput!$M$27,Inputs!$B$4="Chapter Hunt"),CHOOSE(ArtifactsInput!$N$27+1,20,24,28,32,36,40),0)/100)),0)</f>
        <v/>
      </c>
      <c r="R1871">
        <f>IF(AND(Inputs!$B$38&lt;&gt;"pvp",Inputs!$B$43&gt;0),IF(MAX(0,Inputs!$B$43-B1903)&lt;=0,0,(INT(MAX(0,Inputs!$B$43-B1903)/(IF(Inputs!$B$38="pvp",15,MAX(0.1,Skills!D6-IF(TRUE=TRUE,Inputs!$B$32,0)))*(1-IF(AND(ArtifactsInput!$M$27,Inputs!$B$4="Chapter Hunt"),CHOOSE(ArtifactsInput!$N$27+1,20,24,28,32,36,40),0)/100)))+1)),0)</f>
        <v/>
      </c>
      <c r="S1871">
        <f>IFERROR(O1871/N1871,0)</f>
        <v/>
      </c>
      <c r="T1871">
        <f>IF(C1871,(H1871*N1871*IF(AND(Inputs!$B$38&lt;&gt;"pvp",Inputs!$B$43&gt;0),((Skills!G6*((R1871-1)*IF(Skills!H6&gt;0,INT(Skills!I6/Skills!H6+0.000000001),1)+IF(Skills!H6&gt;0,INT(MIN(Skills!I6,MAX(0,MAX(0,Inputs!$B$43-B1903)-((R1871-1)*(IF(Inputs!$B$38="pvp",15,MAX(0.1,Skills!D6-IF(TRUE=TRUE,Inputs!$B$32,0)))*(1-IF(AND(ArtifactsInput!$M$27,Inputs!$B$4="Chapter Hunt"),CHOOSE(ArtifactsInput!$N$27+1,20,24,28,32,36,40),0)/100)))))/Skills!H6+0.000000001),1)))/Inputs!$B$43),G1871*Q1871))*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Hunt"),CHOOSE(ArtifactsInput!$N$35+1,15,18,21,24,27,30)*(1-EXP(-(0.2*B1898)*5)),0)+IF(AND(ArtifactsInput!$M$22,Inputs!$B$4&lt;&gt;"Chapter Hunt"),CHOOSE(ArtifactsInput!$N$22+1,10,12,14,16,18,20)*((0*(((0.15*B1898*5))^0/1)+1*(((0.15*B1898*5))^1/1)+2*(((0.15*B1898*5))^2/2)+3*(((0.15*B1898*5))^3/6)+4*(((0.15*B1898*5))^4/24)+5*(((0.15*B1898*5))^5/120))/((((0.15*B1898*5))^0/1)+(((0.15*B1898*5))^1/1)+(((0.15*B1898*5))^2/2)+(((0.15*B1898*5))^3/6)+(((0.15*B1898*5))^4/24)+(((0.15*B1898*5))^5/120))),0))+IF(Inputs!$B$3&gt;=54,9*(C1868=TRUE)*MIN(1,8*(1+Inputs!$B$34/100)*Q1868)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1871*(1-MIN(100,(Inputs!$B$9+((C1884=TRUE)*(F1884-Calc!F19))+B1896+(ArtifactsInput!$M$24-ArtifactsInput!$M$24)*CHOOSE(ArtifactsInput!$N$24+1,10,12,14,16,18,20)+(IF(AND(Inputs!$B$38&lt;&gt;"pvp",Inputs!$B$43=0),1,IF(IF(Inputs!$B$38="pvp",15,Inputs!$B$43)-(B1903)&lt;=0,1,MAX(0,IF(Inputs!$B$38="pvp",15,Inputs!$B$43)-MAX(5,B1903))/(IF(Inputs!$B$38="pvp",15,Inputs!$B$43)-(B1903))))*IF(AND(ArtifactsInput!$M$42,((Inputs!$B$9+((C1884=TRUE)*(F1884-Calc!F19))+B1896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1871*(MIN(100,(Inputs!$B$9+((C1884=TRUE)*(F1884-Calc!F19))+B1896+(ArtifactsInput!$M$24-ArtifactsInput!$M$24)*CHOOSE(ArtifactsInput!$N$24+1,10,12,14,16,18,20)+(IF(AND(Inputs!$B$38&lt;&gt;"pvp",Inputs!$B$43=0),1,IF(IF(Inputs!$B$38="pvp",15,Inputs!$B$43)-(B1903)&lt;=0,1,MAX(0,IF(Inputs!$B$38="pvp",15,Inputs!$B$43)-MAX(5,B1903))/(IF(Inputs!$B$38="pvp",15,Inputs!$B$43)-(B1903))))*IF(AND(ArtifactsInput!$M$42,((Inputs!$B$9+((C1884=TRUE)*(F1884-Calc!F19))+B1896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1871*(1-MIN(100,(Inputs!$B$9+((C1884=TRUE)*(F1884-Calc!F19))+B1896+(ArtifactsInput!$M$24-ArtifactsInput!$M$24)*CHOOSE(ArtifactsInput!$N$24+1,10,12,14,16,18,20)+(IF(AND(Inputs!$B$38&lt;&gt;"pvp",Inputs!$B$43=0),1,IF(IF(Inputs!$B$38="pvp",15,Inputs!$B$43)-(B1903)&lt;=0,1,MAX(0,IF(Inputs!$B$38="pvp",15,Inputs!$B$43)-MAX(5,B1903))/(IF(Inputs!$B$38="pvp",15,Inputs!$B$43)-(B1903))))*IF(AND(ArtifactsInput!$M$42,((Inputs!$B$9+((C1884=TRUE)*(F1884-Calc!F19))+B1896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1871*(MIN(100,(Inputs!$B$9+((C1884=TRUE)*(F1884-Calc!F19))+B1896+(ArtifactsInput!$M$24-ArtifactsInput!$M$24)*CHOOSE(ArtifactsInput!$N$24+1,10,12,14,16,18,20)+(IF(AND(Inputs!$B$38&lt;&gt;"pvp",Inputs!$B$43=0),1,IF(IF(Inputs!$B$38="pvp",15,Inputs!$B$43)-(B1903)&lt;=0,1,MAX(0,IF(Inputs!$B$38="pvp",15,Inputs!$B$43)-MAX(5,B1903))/(IF(Inputs!$B$38="pvp",15,Inputs!$B$43)-(B1903))))*IF(AND(ArtifactsInput!$M$42,((Inputs!$B$9+((C1884=TRUE)*(F1884-Calc!F19))+B1896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IF(ArtifactsInput!$M$20,FALSE,TRUE),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871">
        <f>IF(C1871,(H1871*N1871*IF(AND(Inputs!$B$38&lt;&gt;"pvp",Inputs!$B$43&gt;0),((Skills!G6*((R1871-1)*IF(Skills!H6&gt;0,INT(Skills!I6/Skills!H6+0.000000001),1)+IF(Skills!H6&gt;0,INT(MIN(Skills!I6,MAX(0,MAX(0,Inputs!$B$43-B1903)-((R1871-1)*(IF(Inputs!$B$38="pvp",15,MAX(0.1,Skills!D6-IF(TRUE=TRUE,Inputs!$B$32,0)))*(1-IF(AND(ArtifactsInput!$M$27,Inputs!$B$4="Chapter Hunt"),CHOOSE(ArtifactsInput!$N$27+1,20,24,28,32,36,40),0)/100)))))/Skills!H6+0.000000001),1)))/Inputs!$B$43),G1871*Q1871))*IF(Inputs!$B$38="pvp",1,(1+(Inputs!$B$21+Skills!Q6+(IF(ArtifactsInput!$M$33,CHOOSE(ArtifactsInput!$N$33+1,30,36,42,48,54,60),0))+(IF(AND(ArtifactsInput!$M$35,Inputs!$B$4&lt;&gt;"Chapter Hunt"),CHOOSE(ArtifactsInput!$N$35+1,15,18,21,24,27,30)*(1-EXP(-(0.2*B1898)*5)),0)+IF(AND(ArtifactsInput!$M$22,Inputs!$B$4&lt;&gt;"Chapter Hunt"),CHOOSE(ArtifactsInput!$N$22+1,10,12,14,16,18,20)*((0*(((0.15*B1898*5))^0/1)+1*(((0.15*B1898*5))^1/1)+2*(((0.15*B1898*5))^2/2)+3*(((0.15*B1898*5))^3/6)+4*(((0.15*B1898*5))^4/24)+5*(((0.15*B1898*5))^5/120))/((((0.15*B1898*5))^0/1)+(((0.15*B1898*5))^1/1)+(((0.15*B1898*5))^2/2)+(((0.15*B1898*5))^3/6)+(((0.15*B1898*5))^4/24)+(((0.15*B1898*5))^5/120))),0))+IF(Inputs!$B$3&gt;=54,9*(C1868=TRUE)*MIN(1,8*(1+Inputs!$B$34/100)*Q1868),0))/100)*(MIN(Skills!R6,Inputs!$B$37)))*((1+(IF(AND(ArtifactsInput!$M$41,Inputs!$B$38&lt;&gt;"pvp"),CHOOSE(ArtifactsInput!$N$41+1,5,6,7,8,9,10)*IF(OR(Inputs!$B$4="Weapon Dungeon",Inputs!$B$4="Equipment Dungeon",Inputs!$B$4="Enhancement Dungeon",Inputs!$B$4="EXP Dungeon",Inputs!$B$4="Hero Dungeon"),3,1),0)+IF(ArtifactsInput!$M$26,10*CHOOSE(ArtifactsInput!$N$26+1,1,1.2,1.4,1.6,1.8,2),0)+IF(AND(IF(ArtifactsInput!$M$20,FALSE,TRUE),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72">
      <c r="A1872">
        <f>Skills!A7</f>
        <v/>
      </c>
      <c r="B1872">
        <f>Skills!B7</f>
        <v/>
      </c>
      <c r="C1872">
        <f>Inputs!$B$3&gt;=63</f>
        <v/>
      </c>
      <c r="D1872">
        <f>IF(Skills!C7=1,60+Inputs!$B$25+Inputs!$B$29,IF(Skills!C7=2,90+Inputs!$B$26+Inputs!$B$29,IF(Skills!C7=3,120+Inputs!$B$27+Inputs!$B$29,MAX(0,(Inputs!$B$3-100)*3)+Inputs!$B$28+Inputs!$B$29)))</f>
        <v/>
      </c>
      <c r="E1872">
        <f>INDEX(FactorTable!$B$2:$Y$301, MATCH(ROUND(MIN(300,MAX(1,D1872)),0), FactorTable!$A$2:$A$301,0), Skills!M7+1)</f>
        <v/>
      </c>
      <c r="F1872">
        <f>IF(Skills!N7=TRUE,(Skills!L7/10)*(E1872/1000),Skills!L7/10)+Skills!O7</f>
        <v/>
      </c>
      <c r="G1872">
        <f>Skills!G7*IF(Skills!H7&gt;0,INT(IF(Inputs!$B$38="pvp",MIN(Skills!I7,15),Skills!I7)/Skills!H7+0.000000001),1)</f>
        <v/>
      </c>
      <c r="H1872">
        <f>1-(1-Skills!J7/100)^Skills!K7</f>
        <v/>
      </c>
      <c r="I1872" t="inlineStr">
        <is>
          <t>1</t>
        </is>
      </c>
      <c r="J1872">
        <f>((Inputs!$B$6*(1+Inputs!$B$7/100))+(((Inputs!$B$12*(1+Inputs!$B$13/100))-(Inputs!$B$12*(1+Inputs!$B$13/100)))+0.25*(Inputs!$B$14-Inputs!$B$14))*(1+Inputs!$B$7/100))*(F1872/100)</f>
        <v/>
      </c>
      <c r="K1872">
        <f>J1872*(1+((Inputs!$B$12*(1+Inputs!$B$13/100))*0.01+Inputs!$B$14*0.0025)/100)*(1+Inputs!$B$15/100)*(1+Inputs!$B$16/100)*(5000/(6000+Inputs!$B$42*(1-(100*(1-(1-(Inputs!$B$19+0)/100)*(1-CHOOSE(ArtifactsInput!$N$40+1,5,6,7,8,9,10)/100)^(ArtifactsInput!$M$40-ArtifactsInput!$M$40)))/100)))*(1+(Inputs!$B$24+((C1891=TRUE)*(F1891-Calc!F26))+B1902)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1880=TRUE,F1880,0)/100)*(1+(IF(Skills!A7="EIGHT_LEGS_EASTON",Inputs!$B$17+((C1888=TRUE)*(F1888-Calc!F23))+((C1892=TRUE)*(F1892-Calc!F27))+((IF(AND(Inputs!$B$38&lt;&gt;"pvp",Inputs!$B$43=0),1,IF(IF(Inputs!$B$38="pvp",15,Inputs!$B$43)-(B1903)&lt;=0,1,MAX(0,IF(Inputs!$B$38="pvp",15,Inputs!$B$43)-MAX(5,B1903))/(IF(Inputs!$B$38="pvp",15,Inputs!$B$43)-(B1903))))*(IF(AND(ArtifactsInput!$M$42,((Inputs!$B$9+((C1884=TRUE)*(F1884-Calc!F19))+B1896+(ArtifactsInput!$M$24-ArtifactsInput!$M$24)*CHOOSE(ArtifactsInput!$N$24+1,10,12,14,16,18,20)+IF(ArtifactsInput!$M$10,CHOOSE(ArtifactsInput!$N$10+1,15,18,21,24,27,30)*(IF(Inputs!$B$38="pvp",MIN(15,15)/15,IF(AND(Inputs!$B$38&lt;&gt;"pvp",Inputs!$B$43&gt;0),MIN(15,Inputs!$B$43)/(Inputs!$B$43),0))),0)))&gt;=100),MIN(100,((Inputs!$B$9+((C1884=TRUE)*(F1884-Calc!F19))+B1896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1903)&lt;=0,1,MAX(0,IF(Inputs!$B$38="pvp",15,Inputs!$B$43)-MAX(5,B1903))/(IF(Inputs!$B$38="pvp",15,Inputs!$B$43)-(B1903))))*IF(AND(ArtifactsInput!$M$42,((Inputs!$B$9+((C1884=TRUE)*(F1884-Calc!F19))+B1896+(ArtifactsInput!$M$24-ArtifactsInput!$M$24)*CHOOSE(ArtifactsInput!$N$24+1,10,12,14,16,18,20)+IF(ArtifactsInput!$M$10,CHOOSE(ArtifactsInput!$N$10+1,15,18,21,24,27,30)*(IF(Inputs!$B$38="pvp",MIN(15,15)/15,IF(AND(Inputs!$B$38&lt;&gt;"pvp",Inputs!$B$43&gt;0),MIN(15,Inputs!$B$43)/(Inputs!$B$43),0))),0)))&gt;=100),CHOOSE(ArtifactsInput!$N$42+1,40,48,56,64,72,80),0))))/100)*((1+(((C1882=TRUE)*F1882*5/7)+((C1889=TRUE)*(F1889-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1872)</f>
        <v/>
      </c>
      <c r="L1872">
        <f>K1872*(MIN(Inputs!$B$22+((C1887=TRUE)*(F1887-Calc!F22)),(Inputs!$B$23+0+(IF(ArtifactsInput!$M$15,CHOOSE(ArtifactsInput!$N$15+1,25,30,35,40,45,50)/100*(Inputs!$B$11-Inputs!$B$11),0))))/100+(Inputs!$B$23+0+(IF(ArtifactsInput!$M$15,CHOOSE(ArtifactsInput!$N$15+1,25,30,35,40,45,50)/100*(Inputs!$B$11-Inputs!$B$11),0)))/100)/2</f>
        <v/>
      </c>
      <c r="M1872">
        <f>L1872*(1+(Inputs!$B$10+((C1890=TRUE)*(F1890-Calc!F25))+B1901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72">
        <f>L1872*(1-MIN((Inputs!$B$9+((C1884=TRUE)*(F1884-Calc!F19))+B1896+(ArtifactsInput!$M$24-ArtifactsInput!$M$24)*CHOOSE(ArtifactsInput!$N$24+1,10,12,14,16,18,20)+(IF(AND(Inputs!$B$38&lt;&gt;"pvp",Inputs!$B$43=0),1,IF(IF(Inputs!$B$38="pvp",15,Inputs!$B$43)-(B1903)&lt;=0,1,MAX(0,IF(Inputs!$B$38="pvp",15,Inputs!$B$43)-MAX(5,B1903))/(IF(Inputs!$B$38="pvp",15,Inputs!$B$43)-(B1903))))*IF(AND(ArtifactsInput!$M$42,((Inputs!$B$9+((C1884=TRUE)*(F1884-Calc!F19))+B1896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1872*(MIN((Inputs!$B$9+((C1884=TRUE)*(F1884-Calc!F19))+B1896+(ArtifactsInput!$M$24-ArtifactsInput!$M$24)*CHOOSE(ArtifactsInput!$N$24+1,10,12,14,16,18,20)+(IF(AND(Inputs!$B$38&lt;&gt;"pvp",Inputs!$B$43=0),1,IF(IF(Inputs!$B$38="pvp",15,Inputs!$B$43)-(B1903)&lt;=0,1,MAX(0,IF(Inputs!$B$38="pvp",15,Inputs!$B$43)-MAX(5,B1903))/(IF(Inputs!$B$38="pvp",15,Inputs!$B$43)-(B1903))))*IF(AND(ArtifactsInput!$M$42,((Inputs!$B$9+((C1884=TRUE)*(F1884-Calc!F19))+B1896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72">
        <f>(1-Summary!$B$11)*T1872+Summary!$B$11*V1872</f>
        <v/>
      </c>
      <c r="P1872">
        <f>IF(B1906=0,0,O1872/B1906)</f>
        <v/>
      </c>
      <c r="Q1872">
        <f>IFERROR(1/(IF(Inputs!$B$38="pvp",15,MAX(0.1,Skills!D7-IF(TRUE=TRUE,Inputs!$B$32,0)))*(1-IF(AND(ArtifactsInput!$M$27,Inputs!$B$4="Chapter Hunt"),CHOOSE(ArtifactsInput!$N$27+1,20,24,28,32,36,40),0)/100)),0)</f>
        <v/>
      </c>
      <c r="R1872">
        <f>IF(AND(Inputs!$B$38&lt;&gt;"pvp",Inputs!$B$43&gt;0),IF(MAX(0,Inputs!$B$43-B1903)&lt;=0,0,(INT(MAX(0,Inputs!$B$43-B1903)/(IF(Inputs!$B$38="pvp",15,MAX(0.1,Skills!D7-IF(TRUE=TRUE,Inputs!$B$32,0)))*(1-IF(AND(ArtifactsInput!$M$27,Inputs!$B$4="Chapter Hunt"),CHOOSE(ArtifactsInput!$N$27+1,20,24,28,32,36,40),0)/100)))+1)),0)</f>
        <v/>
      </c>
      <c r="S1872">
        <f>IFERROR(O1872/N1872,0)</f>
        <v/>
      </c>
      <c r="T1872">
        <f>IF(C1872,(H1872*N1872*IF(AND(Inputs!$B$38&lt;&gt;"pvp",Inputs!$B$43&gt;0),((Skills!G7*((R1872-1)*IF(Skills!H7&gt;0,INT(Skills!I7/Skills!H7+0.000000001),1)+IF(Skills!H7&gt;0,INT(MIN(Skills!I7,MAX(0,MAX(0,Inputs!$B$43-B1903)-((R1872-1)*(IF(Inputs!$B$38="pvp",15,MAX(0.1,Skills!D7-IF(TRUE=TRUE,Inputs!$B$32,0)))*(1-IF(AND(ArtifactsInput!$M$27,Inputs!$B$4="Chapter Hunt"),CHOOSE(ArtifactsInput!$N$27+1,20,24,28,32,36,40),0)/100)))))/Skills!H7+0.000000001),1)))/Inputs!$B$43),G1872*Q1872))*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Hunt"),CHOOSE(ArtifactsInput!$N$35+1,15,18,21,24,27,30)*(1-EXP(-(0.2*B1898)*5)),0)+IF(AND(ArtifactsInput!$M$22,Inputs!$B$4&lt;&gt;"Chapter Hunt"),CHOOSE(ArtifactsInput!$N$22+1,10,12,14,16,18,20)*((0*(((0.15*B1898*5))^0/1)+1*(((0.15*B1898*5))^1/1)+2*(((0.15*B1898*5))^2/2)+3*(((0.15*B1898*5))^3/6)+4*(((0.15*B1898*5))^4/24)+5*(((0.15*B1898*5))^5/120))/((((0.15*B1898*5))^0/1)+(((0.15*B1898*5))^1/1)+(((0.15*B1898*5))^2/2)+(((0.15*B1898*5))^3/6)+(((0.15*B1898*5))^4/24)+(((0.15*B1898*5))^5/120))),0))+IF(Inputs!$B$3&gt;=54,9*(C1868=TRUE)*MIN(1,8*(1+Inputs!$B$34/100)*Q1868)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1872*(1-MIN(100,(Inputs!$B$9+((C1884=TRUE)*(F1884-Calc!F19))+B1896+(ArtifactsInput!$M$24-ArtifactsInput!$M$24)*CHOOSE(ArtifactsInput!$N$24+1,10,12,14,16,18,20)+(IF(AND(Inputs!$B$38&lt;&gt;"pvp",Inputs!$B$43=0),1,IF(IF(Inputs!$B$38="pvp",15,Inputs!$B$43)-(B1903)&lt;=0,1,MAX(0,IF(Inputs!$B$38="pvp",15,Inputs!$B$43)-MAX(5,B1903))/(IF(Inputs!$B$38="pvp",15,Inputs!$B$43)-(B1903))))*IF(AND(ArtifactsInput!$M$42,((Inputs!$B$9+((C1884=TRUE)*(F1884-Calc!F19))+B1896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1872*(MIN(100,(Inputs!$B$9+((C1884=TRUE)*(F1884-Calc!F19))+B1896+(ArtifactsInput!$M$24-ArtifactsInput!$M$24)*CHOOSE(ArtifactsInput!$N$24+1,10,12,14,16,18,20)+(IF(AND(Inputs!$B$38&lt;&gt;"pvp",Inputs!$B$43=0),1,IF(IF(Inputs!$B$38="pvp",15,Inputs!$B$43)-(B1903)&lt;=0,1,MAX(0,IF(Inputs!$B$38="pvp",15,Inputs!$B$43)-MAX(5,B1903))/(IF(Inputs!$B$38="pvp",15,Inputs!$B$43)-(B1903))))*IF(AND(ArtifactsInput!$M$42,((Inputs!$B$9+((C1884=TRUE)*(F1884-Calc!F19))+B1896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1872*(1-MIN(100,(Inputs!$B$9+((C1884=TRUE)*(F1884-Calc!F19))+B1896+(ArtifactsInput!$M$24-ArtifactsInput!$M$24)*CHOOSE(ArtifactsInput!$N$24+1,10,12,14,16,18,20)+(IF(AND(Inputs!$B$38&lt;&gt;"pvp",Inputs!$B$43=0),1,IF(IF(Inputs!$B$38="pvp",15,Inputs!$B$43)-(B1903)&lt;=0,1,MAX(0,IF(Inputs!$B$38="pvp",15,Inputs!$B$43)-MAX(5,B1903))/(IF(Inputs!$B$38="pvp",15,Inputs!$B$43)-(B1903))))*IF(AND(ArtifactsInput!$M$42,((Inputs!$B$9+((C1884=TRUE)*(F1884-Calc!F19))+B1896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1872*(MIN(100,(Inputs!$B$9+((C1884=TRUE)*(F1884-Calc!F19))+B1896+(ArtifactsInput!$M$24-ArtifactsInput!$M$24)*CHOOSE(ArtifactsInput!$N$24+1,10,12,14,16,18,20)+(IF(AND(Inputs!$B$38&lt;&gt;"pvp",Inputs!$B$43=0),1,IF(IF(Inputs!$B$38="pvp",15,Inputs!$B$43)-(B1903)&lt;=0,1,MAX(0,IF(Inputs!$B$38="pvp",15,Inputs!$B$43)-MAX(5,B1903))/(IF(Inputs!$B$38="pvp",15,Inputs!$B$43)-(B1903))))*IF(AND(ArtifactsInput!$M$42,((Inputs!$B$9+((C1884=TRUE)*(F1884-Calc!F19))+B1896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IF(ArtifactsInput!$M$20,FALSE,TRUE),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872">
        <f>IF(C1872,(H1872*N1872*IF(AND(Inputs!$B$38&lt;&gt;"pvp",Inputs!$B$43&gt;0),((Skills!G7*((R1872-1)*IF(Skills!H7&gt;0,INT(Skills!I7/Skills!H7+0.000000001),1)+IF(Skills!H7&gt;0,INT(MIN(Skills!I7,MAX(0,MAX(0,Inputs!$B$43-B1903)-((R1872-1)*(IF(Inputs!$B$38="pvp",15,MAX(0.1,Skills!D7-IF(TRUE=TRUE,Inputs!$B$32,0)))*(1-IF(AND(ArtifactsInput!$M$27,Inputs!$B$4="Chapter Hunt"),CHOOSE(ArtifactsInput!$N$27+1,20,24,28,32,36,40),0)/100)))))/Skills!H7+0.000000001),1)))/Inputs!$B$43),G1872*Q1872))*IF(Inputs!$B$38="pvp",1,(1+(Inputs!$B$21+Skills!Q7+(IF(ArtifactsInput!$M$33,CHOOSE(ArtifactsInput!$N$33+1,30,36,42,48,54,60),0))+(IF(AND(ArtifactsInput!$M$35,Inputs!$B$4&lt;&gt;"Chapter Hunt"),CHOOSE(ArtifactsInput!$N$35+1,15,18,21,24,27,30)*(1-EXP(-(0.2*B1898)*5)),0)+IF(AND(ArtifactsInput!$M$22,Inputs!$B$4&lt;&gt;"Chapter Hunt"),CHOOSE(ArtifactsInput!$N$22+1,10,12,14,16,18,20)*((0*(((0.15*B1898*5))^0/1)+1*(((0.15*B1898*5))^1/1)+2*(((0.15*B1898*5))^2/2)+3*(((0.15*B1898*5))^3/6)+4*(((0.15*B1898*5))^4/24)+5*(((0.15*B1898*5))^5/120))/((((0.15*B1898*5))^0/1)+(((0.15*B1898*5))^1/1)+(((0.15*B1898*5))^2/2)+(((0.15*B1898*5))^3/6)+(((0.15*B1898*5))^4/24)+(((0.15*B1898*5))^5/120))),0))+IF(Inputs!$B$3&gt;=54,9*(C1868=TRUE)*MIN(1,8*(1+Inputs!$B$34/100)*Q1868),0))/100)*(MIN(Skills!R7,Inputs!$B$37)))*((1+(IF(AND(ArtifactsInput!$M$41,Inputs!$B$38&lt;&gt;"pvp"),CHOOSE(ArtifactsInput!$N$41+1,5,6,7,8,9,10)*IF(OR(Inputs!$B$4="Weapon Dungeon",Inputs!$B$4="Equipment Dungeon",Inputs!$B$4="Enhancement Dungeon",Inputs!$B$4="EXP Dungeon",Inputs!$B$4="Hero Dungeon"),3,1),0)+IF(ArtifactsInput!$M$26,10*CHOOSE(ArtifactsInput!$N$26+1,1,1.2,1.4,1.6,1.8,2),0)+IF(AND(IF(ArtifactsInput!$M$20,FALSE,TRUE),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73">
      <c r="A1873">
        <f>Skills!A8</f>
        <v/>
      </c>
      <c r="B1873">
        <f>Skills!B8</f>
        <v/>
      </c>
      <c r="C1873">
        <f>Inputs!$B$3&gt;=103</f>
        <v/>
      </c>
      <c r="D1873">
        <f>IF(Skills!C8=1,60+Inputs!$B$25+Inputs!$B$29,IF(Skills!C8=2,90+Inputs!$B$26+Inputs!$B$29,IF(Skills!C8=3,120+Inputs!$B$27+Inputs!$B$29,MAX(0,(Inputs!$B$3-100)*3)+Inputs!$B$28+Inputs!$B$29)))</f>
        <v/>
      </c>
      <c r="E1873">
        <f>INDEX(FactorTable!$B$2:$Y$301, MATCH(ROUND(MIN(300,MAX(1,D1873)),0), FactorTable!$A$2:$A$301,0), Skills!M8+1)</f>
        <v/>
      </c>
      <c r="F1873">
        <f>IF(Skills!N8=TRUE,(Skills!L8/10)*(E1873/1000),Skills!L8/10)+Skills!O8</f>
        <v/>
      </c>
      <c r="G1873">
        <f>Skills!G8*IF(Skills!H8&gt;0,INT(IF(Inputs!$B$38="pvp",MIN(Skills!I8,15),Skills!I8)/Skills!H8+0.000000001),1)</f>
        <v/>
      </c>
      <c r="H1873">
        <f>1-(1-Skills!J8/100)^Skills!K8</f>
        <v/>
      </c>
      <c r="I1873" t="inlineStr">
        <is>
          <t>1</t>
        </is>
      </c>
      <c r="J1873">
        <f>((Inputs!$B$6*(1+Inputs!$B$7/100))+(((Inputs!$B$12*(1+Inputs!$B$13/100))-(Inputs!$B$12*(1+Inputs!$B$13/100)))+0.25*(Inputs!$B$14-Inputs!$B$14))*(1+Inputs!$B$7/100))*(F1873/100)</f>
        <v/>
      </c>
      <c r="K1873">
        <f>J1873*(1+((Inputs!$B$12*(1+Inputs!$B$13/100))*0.01+Inputs!$B$14*0.0025)/100)*(1+Inputs!$B$15/100)*(1+Inputs!$B$16/100)*(5000/(6000+Inputs!$B$42*(1-(100*(1-(1-(Inputs!$B$19+0)/100)*(1-CHOOSE(ArtifactsInput!$N$40+1,5,6,7,8,9,10)/100)^(ArtifactsInput!$M$40-ArtifactsInput!$M$40)))/100)))*(1+(Inputs!$B$24+((C1891=TRUE)*(F1891-Calc!F26))+B1902)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IGHT_LEGS_EASTON",Inputs!$B$17+((C1888=TRUE)*(F1888-Calc!F23))+((C1892=TRUE)*(F1892-Calc!F27))+((IF(AND(Inputs!$B$38&lt;&gt;"pvp",Inputs!$B$43=0),1,IF(IF(Inputs!$B$38="pvp",15,Inputs!$B$43)-(B1903)&lt;=0,1,MAX(0,IF(Inputs!$B$38="pvp",15,Inputs!$B$43)-MAX(5,B1903))/(IF(Inputs!$B$38="pvp",15,Inputs!$B$43)-(B1903))))*(IF(AND(ArtifactsInput!$M$42,((Inputs!$B$9+((C1884=TRUE)*(F1884-Calc!F19))+B1896+(ArtifactsInput!$M$24-ArtifactsInput!$M$24)*CHOOSE(ArtifactsInput!$N$24+1,10,12,14,16,18,20)+IF(ArtifactsInput!$M$10,CHOOSE(ArtifactsInput!$N$10+1,15,18,21,24,27,30)*(IF(Inputs!$B$38="pvp",MIN(15,15)/15,IF(AND(Inputs!$B$38&lt;&gt;"pvp",Inputs!$B$43&gt;0),MIN(15,Inputs!$B$43)/(Inputs!$B$43),0))),0)))&gt;=100),MIN(100,((Inputs!$B$9+((C1884=TRUE)*(F1884-Calc!F19))+B1896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1903)&lt;=0,1,MAX(0,IF(Inputs!$B$38="pvp",15,Inputs!$B$43)-MAX(5,B1903))/(IF(Inputs!$B$38="pvp",15,Inputs!$B$43)-(B1903))))*IF(AND(ArtifactsInput!$M$42,((Inputs!$B$9+((C1884=TRUE)*(F1884-Calc!F19))+B1896+(ArtifactsInput!$M$24-ArtifactsInput!$M$24)*CHOOSE(ArtifactsInput!$N$24+1,10,12,14,16,18,20)+IF(ArtifactsInput!$M$10,CHOOSE(ArtifactsInput!$N$10+1,15,18,21,24,27,30)*(IF(Inputs!$B$38="pvp",MIN(15,15)/15,IF(AND(Inputs!$B$38&lt;&gt;"pvp",Inputs!$B$43&gt;0),MIN(15,Inputs!$B$43)/(Inputs!$B$43),0))),0)))&gt;=100),CHOOSE(ArtifactsInput!$N$42+1,40,48,56,64,72,80),0))))/100)*((1+(((C1882=TRUE)*F1882*5/7)+((C1889=TRUE)*(F1889-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1873)</f>
        <v/>
      </c>
      <c r="L1873">
        <f>K1873*(MIN(Inputs!$B$22+((C1887=TRUE)*(F1887-Calc!F22)),(Inputs!$B$23+0+(IF(ArtifactsInput!$M$15,CHOOSE(ArtifactsInput!$N$15+1,25,30,35,40,45,50)/100*(Inputs!$B$11-Inputs!$B$11),0))))/100+(Inputs!$B$23+0+(IF(ArtifactsInput!$M$15,CHOOSE(ArtifactsInput!$N$15+1,25,30,35,40,45,50)/100*(Inputs!$B$11-Inputs!$B$11),0)))/100)/2</f>
        <v/>
      </c>
      <c r="M1873">
        <f>L1873*(1+(Inputs!$B$10+((C1890=TRUE)*(F1890-Calc!F25))+B1901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73">
        <f>L1873*(1-MIN((Inputs!$B$9+((C1884=TRUE)*(F1884-Calc!F19))+B1896+(ArtifactsInput!$M$24-ArtifactsInput!$M$24)*CHOOSE(ArtifactsInput!$N$24+1,10,12,14,16,18,20)+(IF(AND(Inputs!$B$38&lt;&gt;"pvp",Inputs!$B$43=0),1,IF(IF(Inputs!$B$38="pvp",15,Inputs!$B$43)-(B1903)&lt;=0,1,MAX(0,IF(Inputs!$B$38="pvp",15,Inputs!$B$43)-MAX(5,B1903))/(IF(Inputs!$B$38="pvp",15,Inputs!$B$43)-(B1903))))*IF(AND(ArtifactsInput!$M$42,((Inputs!$B$9+((C1884=TRUE)*(F1884-Calc!F19))+B1896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1873*(MIN((Inputs!$B$9+((C1884=TRUE)*(F1884-Calc!F19))+B1896+(ArtifactsInput!$M$24-ArtifactsInput!$M$24)*CHOOSE(ArtifactsInput!$N$24+1,10,12,14,16,18,20)+(IF(AND(Inputs!$B$38&lt;&gt;"pvp",Inputs!$B$43=0),1,IF(IF(Inputs!$B$38="pvp",15,Inputs!$B$43)-(B1903)&lt;=0,1,MAX(0,IF(Inputs!$B$38="pvp",15,Inputs!$B$43)-MAX(5,B1903))/(IF(Inputs!$B$38="pvp",15,Inputs!$B$43)-(B1903))))*IF(AND(ArtifactsInput!$M$42,((Inputs!$B$9+((C1884=TRUE)*(F1884-Calc!F19))+B1896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73">
        <f>(1-Summary!$B$11)*T1873+Summary!$B$11*V1873</f>
        <v/>
      </c>
      <c r="P1873">
        <f>IF(B1906=0,0,O1873/B1906)</f>
        <v/>
      </c>
      <c r="Q1873">
        <f>IFERROR(1/((IF(Inputs!$B$38="pvp",15,MAX(0.1,Skills!D8-IF(TRUE=TRUE,Inputs!$B$32,0)))*(1-IF(AND(ArtifactsInput!$M$27,Inputs!$B$4="Chapter Hunt"),CHOOSE(ArtifactsInput!$N$27+1,20,24,28,32,36,40),0)/100))/B1907),0)</f>
        <v/>
      </c>
      <c r="R1873">
        <f>IF(AND(Inputs!$B$38&lt;&gt;"pvp",Inputs!$B$43&gt;0),IF(MAX(0,Inputs!$B$43-B1903)&lt;=0,0,(INT(MAX(0,Inputs!$B$43-B1903)/((IF(Inputs!$B$38="pvp",15,MAX(0.1,Skills!D8-IF(TRUE=TRUE,Inputs!$B$32,0)))*(1-IF(AND(ArtifactsInput!$M$27,Inputs!$B$4="Chapter Hunt"),CHOOSE(ArtifactsInput!$N$27+1,20,24,28,32,36,40),0)/100))/B1907))+1)),0)</f>
        <v/>
      </c>
      <c r="S1873">
        <f>IFERROR(O1873/N1873,0)</f>
        <v/>
      </c>
      <c r="T1873">
        <f>IF(C1873,(H1873*N1873*IF(AND(Inputs!$B$38&lt;&gt;"pvp",Inputs!$B$43&gt;0),((Skills!G8*((R1873-1)*IF(Skills!H8&gt;0,INT(Skills!I8/Skills!H8+0.000000001),1)+IF(Skills!H8&gt;0,INT(MIN(Skills!I8,MAX(0,MAX(0,Inputs!$B$43-B1903)-((R1873-1)*((IF(Inputs!$B$38="pvp",15,MAX(0.1,Skills!D8-IF(TRUE=TRUE,Inputs!$B$32,0)))*(1-IF(AND(ArtifactsInput!$M$27,Inputs!$B$4="Chapter Hunt"),CHOOSE(ArtifactsInput!$N$27+1,20,24,28,32,36,40),0)/100))/B1907))))/Skills!H8+0.000000001),1)))/Inputs!$B$43),G1873*Q1873))*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Hunt"),CHOOSE(ArtifactsInput!$N$35+1,15,18,21,24,27,30)*(1-EXP(-(0.2*B1898)*5)),0)+IF(AND(ArtifactsInput!$M$22,Inputs!$B$4&lt;&gt;"Chapter Hunt"),CHOOSE(ArtifactsInput!$N$22+1,10,12,14,16,18,20)*((0*(((0.15*B1898*5))^0/1)+1*(((0.15*B1898*5))^1/1)+2*(((0.15*B1898*5))^2/2)+3*(((0.15*B1898*5))^3/6)+4*(((0.15*B1898*5))^4/24)+5*(((0.15*B1898*5))^5/120))/((((0.15*B1898*5))^0/1)+(((0.15*B1898*5))^1/1)+(((0.15*B1898*5))^2/2)+(((0.15*B1898*5))^3/6)+(((0.15*B1898*5))^4/24)+(((0.15*B1898*5))^5/120))),0))+IF(Inputs!$B$3&gt;=54,9*(C1868=TRUE)*MIN(1,8*(1+Inputs!$B$34/100)*Q1868)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1873*(1-MIN(100,(Inputs!$B$9+((C1884=TRUE)*(F1884-Calc!F19))+B1896+(ArtifactsInput!$M$24-ArtifactsInput!$M$24)*CHOOSE(ArtifactsInput!$N$24+1,10,12,14,16,18,20)+(IF(AND(Inputs!$B$38&lt;&gt;"pvp",Inputs!$B$43=0),1,IF(IF(Inputs!$B$38="pvp",15,Inputs!$B$43)-(B1903)&lt;=0,1,MAX(0,IF(Inputs!$B$38="pvp",15,Inputs!$B$43)-MAX(5,B1903))/(IF(Inputs!$B$38="pvp",15,Inputs!$B$43)-(B1903))))*IF(AND(ArtifactsInput!$M$42,((Inputs!$B$9+((C1884=TRUE)*(F1884-Calc!F19))+B1896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1873*(MIN(100,(Inputs!$B$9+((C1884=TRUE)*(F1884-Calc!F19))+B1896+(ArtifactsInput!$M$24-ArtifactsInput!$M$24)*CHOOSE(ArtifactsInput!$N$24+1,10,12,14,16,18,20)+(IF(AND(Inputs!$B$38&lt;&gt;"pvp",Inputs!$B$43=0),1,IF(IF(Inputs!$B$38="pvp",15,Inputs!$B$43)-(B1903)&lt;=0,1,MAX(0,IF(Inputs!$B$38="pvp",15,Inputs!$B$43)-MAX(5,B1903))/(IF(Inputs!$B$38="pvp",15,Inputs!$B$43)-(B1903))))*IF(AND(ArtifactsInput!$M$42,((Inputs!$B$9+((C1884=TRUE)*(F1884-Calc!F19))+B1896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1873*(1-MIN(100,(Inputs!$B$9+((C1884=TRUE)*(F1884-Calc!F19))+B1896+(ArtifactsInput!$M$24-ArtifactsInput!$M$24)*CHOOSE(ArtifactsInput!$N$24+1,10,12,14,16,18,20)+(IF(AND(Inputs!$B$38&lt;&gt;"pvp",Inputs!$B$43=0),1,IF(IF(Inputs!$B$38="pvp",15,Inputs!$B$43)-(B1903)&lt;=0,1,MAX(0,IF(Inputs!$B$38="pvp",15,Inputs!$B$43)-MAX(5,B1903))/(IF(Inputs!$B$38="pvp",15,Inputs!$B$43)-(B1903))))*IF(AND(ArtifactsInput!$M$42,((Inputs!$B$9+((C1884=TRUE)*(F1884-Calc!F19))+B1896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1873*(MIN(100,(Inputs!$B$9+((C1884=TRUE)*(F1884-Calc!F19))+B1896+(ArtifactsInput!$M$24-ArtifactsInput!$M$24)*CHOOSE(ArtifactsInput!$N$24+1,10,12,14,16,18,20)+(IF(AND(Inputs!$B$38&lt;&gt;"pvp",Inputs!$B$43=0),1,IF(IF(Inputs!$B$38="pvp",15,Inputs!$B$43)-(B1903)&lt;=0,1,MAX(0,IF(Inputs!$B$38="pvp",15,Inputs!$B$43)-MAX(5,B1903))/(IF(Inputs!$B$38="pvp",15,Inputs!$B$43)-(B1903))))*IF(AND(ArtifactsInput!$M$42,((Inputs!$B$9+((C1884=TRUE)*(F1884-Calc!F19))+B1896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IF(ArtifactsInput!$M$20,FALSE,TRUE),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873">
        <f>IF(C1873,(H1873*N1873*IF(AND(Inputs!$B$38&lt;&gt;"pvp",Inputs!$B$43&gt;0),((Skills!G8*((R1873-1)*IF(Skills!H8&gt;0,INT(Skills!I8/Skills!H8+0.000000001),1)+IF(Skills!H8&gt;0,INT(MIN(Skills!I8,MAX(0,MAX(0,Inputs!$B$43-B1903)-((R1873-1)*((IF(Inputs!$B$38="pvp",15,MAX(0.1,Skills!D8-IF(TRUE=TRUE,Inputs!$B$32,0)))*(1-IF(AND(ArtifactsInput!$M$27,Inputs!$B$4="Chapter Hunt"),CHOOSE(ArtifactsInput!$N$27+1,20,24,28,32,36,40),0)/100))/B1907))))/Skills!H8+0.000000001),1)))/Inputs!$B$43),G1873*Q1873))*IF(Inputs!$B$38="pvp",1,(1+(Inputs!$B$21+Skills!Q8+(IF(ArtifactsInput!$M$33,CHOOSE(ArtifactsInput!$N$33+1,30,36,42,48,54,60),0))+(IF(AND(ArtifactsInput!$M$35,Inputs!$B$4&lt;&gt;"Chapter Hunt"),CHOOSE(ArtifactsInput!$N$35+1,15,18,21,24,27,30)*(1-EXP(-(0.2*B1898)*5)),0)+IF(AND(ArtifactsInput!$M$22,Inputs!$B$4&lt;&gt;"Chapter Hunt"),CHOOSE(ArtifactsInput!$N$22+1,10,12,14,16,18,20)*((0*(((0.15*B1898*5))^0/1)+1*(((0.15*B1898*5))^1/1)+2*(((0.15*B1898*5))^2/2)+3*(((0.15*B1898*5))^3/6)+4*(((0.15*B1898*5))^4/24)+5*(((0.15*B1898*5))^5/120))/((((0.15*B1898*5))^0/1)+(((0.15*B1898*5))^1/1)+(((0.15*B1898*5))^2/2)+(((0.15*B1898*5))^3/6)+(((0.15*B1898*5))^4/24)+(((0.15*B1898*5))^5/120))),0))+IF(Inputs!$B$3&gt;=54,9*(C1868=TRUE)*MIN(1,8*(1+Inputs!$B$34/100)*Q1868),0))/100)*(MIN(Skills!R8,Inputs!$B$37)))*((1+(IF(AND(ArtifactsInput!$M$41,Inputs!$B$38&lt;&gt;"pvp"),CHOOSE(ArtifactsInput!$N$41+1,5,6,7,8,9,10)*IF(OR(Inputs!$B$4="Weapon Dungeon",Inputs!$B$4="Equipment Dungeon",Inputs!$B$4="Enhancement Dungeon",Inputs!$B$4="EXP Dungeon",Inputs!$B$4="Hero Dungeon"),3,1),0)+IF(ArtifactsInput!$M$26,10*CHOOSE(ArtifactsInput!$N$26+1,1,1.2,1.4,1.6,1.8,2),0)+IF(AND(IF(ArtifactsInput!$M$20,FALSE,TRUE),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74">
      <c r="A1874">
        <f>Skills!A9</f>
        <v/>
      </c>
      <c r="B1874">
        <f>Skills!B9</f>
        <v/>
      </c>
      <c r="C1874">
        <f>Inputs!$B$3&gt;=105</f>
        <v/>
      </c>
      <c r="D1874">
        <f>IF(Skills!C9=1,60+Inputs!$B$25+Inputs!$B$29,IF(Skills!C9=2,90+Inputs!$B$26+Inputs!$B$29,IF(Skills!C9=3,120+Inputs!$B$27+Inputs!$B$29,MAX(0,(Inputs!$B$3-100)*3)+Inputs!$B$28+Inputs!$B$29)))</f>
        <v/>
      </c>
      <c r="E1874">
        <f>INDEX(FactorTable!$B$2:$Y$301, MATCH(ROUND(MIN(300,MAX(1,D1874)),0), FactorTable!$A$2:$A$301,0), Skills!M9+1)</f>
        <v/>
      </c>
      <c r="F1874">
        <f>IF(Skills!N9=TRUE,(Skills!L9/10)*(E1874/1000),Skills!L9/10)+Skills!O9</f>
        <v/>
      </c>
      <c r="G1874">
        <f>Skills!G9*IF(Skills!H9&gt;0,INT(IF(Inputs!$B$38="pvp",MIN(Skills!I9,15),Skills!I9)/Skills!H9+0.000000001),1)</f>
        <v/>
      </c>
      <c r="H1874">
        <f>1-(1-Skills!J9/100)^Skills!K9</f>
        <v/>
      </c>
      <c r="I1874" t="inlineStr">
        <is>
          <t>1</t>
        </is>
      </c>
      <c r="J1874">
        <f>((Inputs!$B$6*(1+Inputs!$B$7/100))+(((Inputs!$B$12*(1+Inputs!$B$13/100))-(Inputs!$B$12*(1+Inputs!$B$13/100)))+0.25*(Inputs!$B$14-Inputs!$B$14))*(1+Inputs!$B$7/100))*(F1874/100)</f>
        <v/>
      </c>
      <c r="K1874">
        <f>J1874*(1+((Inputs!$B$12*(1+Inputs!$B$13/100))*0.01+Inputs!$B$14*0.0025)/100)*(1+Inputs!$B$15/100)*(1+Inputs!$B$16/100)*(5000/(6000+Inputs!$B$42*(1-(100*(1-(1-(Inputs!$B$19+0)/100)*(1-CHOOSE(ArtifactsInput!$N$40+1,5,6,7,8,9,10)/100)^(ArtifactsInput!$M$40-ArtifactsInput!$M$40)))/100)))*(1+(Inputs!$B$24+((C1891=TRUE)*(F1891-Calc!F26))+B1902)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IGHT_LEGS_EASTON",Inputs!$B$17+((C1888=TRUE)*(F1888-Calc!F23))+((C1892=TRUE)*(F1892-Calc!F27))+((IF(AND(Inputs!$B$38&lt;&gt;"pvp",Inputs!$B$43=0),1,IF(IF(Inputs!$B$38="pvp",15,Inputs!$B$43)-(B1903)&lt;=0,1,MAX(0,IF(Inputs!$B$38="pvp",15,Inputs!$B$43)-MAX(5,B1903))/(IF(Inputs!$B$38="pvp",15,Inputs!$B$43)-(B1903))))*(IF(AND(ArtifactsInput!$M$42,((Inputs!$B$9+((C1884=TRUE)*(F1884-Calc!F19))+B1896+(ArtifactsInput!$M$24-ArtifactsInput!$M$24)*CHOOSE(ArtifactsInput!$N$24+1,10,12,14,16,18,20)+IF(ArtifactsInput!$M$10,CHOOSE(ArtifactsInput!$N$10+1,15,18,21,24,27,30)*(IF(Inputs!$B$38="pvp",MIN(15,15)/15,IF(AND(Inputs!$B$38&lt;&gt;"pvp",Inputs!$B$43&gt;0),MIN(15,Inputs!$B$43)/(Inputs!$B$43),0))),0)))&gt;=100),MIN(100,((Inputs!$B$9+((C1884=TRUE)*(F1884-Calc!F19))+B1896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1903)&lt;=0,1,MAX(0,IF(Inputs!$B$38="pvp",15,Inputs!$B$43)-MAX(5,B1903))/(IF(Inputs!$B$38="pvp",15,Inputs!$B$43)-(B1903))))*IF(AND(ArtifactsInput!$M$42,((Inputs!$B$9+((C1884=TRUE)*(F1884-Calc!F19))+B1896+(ArtifactsInput!$M$24-ArtifactsInput!$M$24)*CHOOSE(ArtifactsInput!$N$24+1,10,12,14,16,18,20)+IF(ArtifactsInput!$M$10,CHOOSE(ArtifactsInput!$N$10+1,15,18,21,24,27,30)*(IF(Inputs!$B$38="pvp",MIN(15,15)/15,IF(AND(Inputs!$B$38&lt;&gt;"pvp",Inputs!$B$43&gt;0),MIN(15,Inputs!$B$43)/(Inputs!$B$43),0))),0)))&gt;=100),CHOOSE(ArtifactsInput!$N$42+1,40,48,56,64,72,80),0))))/100)*((1+(((C1882=TRUE)*F1882*5/7)+((C1889=TRUE)*(F1889-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1874)</f>
        <v/>
      </c>
      <c r="L1874">
        <f>K1874*(MIN(Inputs!$B$22+((C1887=TRUE)*(F1887-Calc!F22)),(Inputs!$B$23+0+(IF(ArtifactsInput!$M$15,CHOOSE(ArtifactsInput!$N$15+1,25,30,35,40,45,50)/100*(Inputs!$B$11-Inputs!$B$11),0))))/100+(Inputs!$B$23+0+(IF(ArtifactsInput!$M$15,CHOOSE(ArtifactsInput!$N$15+1,25,30,35,40,45,50)/100*(Inputs!$B$11-Inputs!$B$11),0)))/100)/2</f>
        <v/>
      </c>
      <c r="M1874">
        <f>L1874*(1+(Inputs!$B$10+((C1890=TRUE)*(F1890-Calc!F25))+B1901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74">
        <f>L1874*(1-MIN((Inputs!$B$9+((C1884=TRUE)*(F1884-Calc!F19))+B1896+(ArtifactsInput!$M$24-ArtifactsInput!$M$24)*CHOOSE(ArtifactsInput!$N$24+1,10,12,14,16,18,20)+(IF(AND(Inputs!$B$38&lt;&gt;"pvp",Inputs!$B$43=0),1,IF(IF(Inputs!$B$38="pvp",15,Inputs!$B$43)-(B1903)&lt;=0,1,MAX(0,IF(Inputs!$B$38="pvp",15,Inputs!$B$43)-MAX(5,B1903))/(IF(Inputs!$B$38="pvp",15,Inputs!$B$43)-(B1903))))*IF(AND(ArtifactsInput!$M$42,((Inputs!$B$9+((C1884=TRUE)*(F1884-Calc!F19))+B1896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1874*(MIN((Inputs!$B$9+((C1884=TRUE)*(F1884-Calc!F19))+B1896+(ArtifactsInput!$M$24-ArtifactsInput!$M$24)*CHOOSE(ArtifactsInput!$N$24+1,10,12,14,16,18,20)+(IF(AND(Inputs!$B$38&lt;&gt;"pvp",Inputs!$B$43=0),1,IF(IF(Inputs!$B$38="pvp",15,Inputs!$B$43)-(B1903)&lt;=0,1,MAX(0,IF(Inputs!$B$38="pvp",15,Inputs!$B$43)-MAX(5,B1903))/(IF(Inputs!$B$38="pvp",15,Inputs!$B$43)-(B1903))))*IF(AND(ArtifactsInput!$M$42,((Inputs!$B$9+((C1884=TRUE)*(F1884-Calc!F19))+B1896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74">
        <f>(1-Summary!$B$11)*T1874+Summary!$B$11*V1874</f>
        <v/>
      </c>
      <c r="P1874">
        <f>IF(B1906=0,0,O1874/B1906)</f>
        <v/>
      </c>
      <c r="Q1874">
        <f>IFERROR(1/(IF(Inputs!$B$38="pvp",15,MAX(0.1,Skills!D9-IF(TRUE=TRUE,Inputs!$B$32,0)))*(1-IF(AND(ArtifactsInput!$M$27,Inputs!$B$4="Chapter Hunt"),CHOOSE(ArtifactsInput!$N$27+1,20,24,28,32,36,40),0)/100)),0)</f>
        <v/>
      </c>
      <c r="R1874">
        <f>IF(AND(Inputs!$B$38&lt;&gt;"pvp",Inputs!$B$43&gt;0),IF(MAX(0,Inputs!$B$43-B1903)&lt;=0,0,(INT(MAX(0,Inputs!$B$43-B1903)/(IF(Inputs!$B$38="pvp",15,MAX(0.1,Skills!D9-IF(TRUE=TRUE,Inputs!$B$32,0)))*(1-IF(AND(ArtifactsInput!$M$27,Inputs!$B$4="Chapter Hunt"),CHOOSE(ArtifactsInput!$N$27+1,20,24,28,32,36,40),0)/100)))+1)),0)</f>
        <v/>
      </c>
      <c r="S1874">
        <f>IFERROR(O1874/N1874,0)</f>
        <v/>
      </c>
      <c r="T1874">
        <f>IF(C1874,(H1874*N1874*IF(AND(Inputs!$B$38&lt;&gt;"pvp",Inputs!$B$43&gt;0),((Skills!G9*((R1874-1)*IF(Skills!H9&gt;0,INT(Skills!I9/Skills!H9+0.000000001),1)+IF(Skills!H9&gt;0,INT(MIN(Skills!I9,MAX(0,MAX(0,Inputs!$B$43-B1903)-((R1874-1)*(IF(Inputs!$B$38="pvp",15,MAX(0.1,Skills!D9-IF(TRUE=TRUE,Inputs!$B$32,0)))*(1-IF(AND(ArtifactsInput!$M$27,Inputs!$B$4="Chapter Hunt"),CHOOSE(ArtifactsInput!$N$27+1,20,24,28,32,36,40),0)/100)))))/Skills!H9+0.000000001),1)))/Inputs!$B$43),G1874*Q1874))*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Hunt"),CHOOSE(ArtifactsInput!$N$35+1,15,18,21,24,27,30)*(1-EXP(-(0.2*B1898)*5)),0)+IF(AND(ArtifactsInput!$M$22,Inputs!$B$4&lt;&gt;"Chapter Hunt"),CHOOSE(ArtifactsInput!$N$22+1,10,12,14,16,18,20)*((0*(((0.15*B1898*5))^0/1)+1*(((0.15*B1898*5))^1/1)+2*(((0.15*B1898*5))^2/2)+3*(((0.15*B1898*5))^3/6)+4*(((0.15*B1898*5))^4/24)+5*(((0.15*B1898*5))^5/120))/((((0.15*B1898*5))^0/1)+(((0.15*B1898*5))^1/1)+(((0.15*B1898*5))^2/2)+(((0.15*B1898*5))^3/6)+(((0.15*B1898*5))^4/24)+(((0.15*B1898*5))^5/120))),0))+IF(Inputs!$B$3&gt;=54,9*(C1868=TRUE)*MIN(1,8*(1+Inputs!$B$34/100)*Q1868)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1874*(1-MIN(100,(Inputs!$B$9+((C1884=TRUE)*(F1884-Calc!F19))+B1896+(ArtifactsInput!$M$24-ArtifactsInput!$M$24)*CHOOSE(ArtifactsInput!$N$24+1,10,12,14,16,18,20)+(IF(AND(Inputs!$B$38&lt;&gt;"pvp",Inputs!$B$43=0),1,IF(IF(Inputs!$B$38="pvp",15,Inputs!$B$43)-(B1903)&lt;=0,1,MAX(0,IF(Inputs!$B$38="pvp",15,Inputs!$B$43)-MAX(5,B1903))/(IF(Inputs!$B$38="pvp",15,Inputs!$B$43)-(B1903))))*IF(AND(ArtifactsInput!$M$42,((Inputs!$B$9+((C1884=TRUE)*(F1884-Calc!F19))+B1896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1874*(MIN(100,(Inputs!$B$9+((C1884=TRUE)*(F1884-Calc!F19))+B1896+(ArtifactsInput!$M$24-ArtifactsInput!$M$24)*CHOOSE(ArtifactsInput!$N$24+1,10,12,14,16,18,20)+(IF(AND(Inputs!$B$38&lt;&gt;"pvp",Inputs!$B$43=0),1,IF(IF(Inputs!$B$38="pvp",15,Inputs!$B$43)-(B1903)&lt;=0,1,MAX(0,IF(Inputs!$B$38="pvp",15,Inputs!$B$43)-MAX(5,B1903))/(IF(Inputs!$B$38="pvp",15,Inputs!$B$43)-(B1903))))*IF(AND(ArtifactsInput!$M$42,((Inputs!$B$9+((C1884=TRUE)*(F1884-Calc!F19))+B1896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1874*(1-MIN(100,(Inputs!$B$9+((C1884=TRUE)*(F1884-Calc!F19))+B1896+(ArtifactsInput!$M$24-ArtifactsInput!$M$24)*CHOOSE(ArtifactsInput!$N$24+1,10,12,14,16,18,20)+(IF(AND(Inputs!$B$38&lt;&gt;"pvp",Inputs!$B$43=0),1,IF(IF(Inputs!$B$38="pvp",15,Inputs!$B$43)-(B1903)&lt;=0,1,MAX(0,IF(Inputs!$B$38="pvp",15,Inputs!$B$43)-MAX(5,B1903))/(IF(Inputs!$B$38="pvp",15,Inputs!$B$43)-(B1903))))*IF(AND(ArtifactsInput!$M$42,((Inputs!$B$9+((C1884=TRUE)*(F1884-Calc!F19))+B1896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1874*(MIN(100,(Inputs!$B$9+((C1884=TRUE)*(F1884-Calc!F19))+B1896+(ArtifactsInput!$M$24-ArtifactsInput!$M$24)*CHOOSE(ArtifactsInput!$N$24+1,10,12,14,16,18,20)+(IF(AND(Inputs!$B$38&lt;&gt;"pvp",Inputs!$B$43=0),1,IF(IF(Inputs!$B$38="pvp",15,Inputs!$B$43)-(B1903)&lt;=0,1,MAX(0,IF(Inputs!$B$38="pvp",15,Inputs!$B$43)-MAX(5,B1903))/(IF(Inputs!$B$38="pvp",15,Inputs!$B$43)-(B1903))))*IF(AND(ArtifactsInput!$M$42,((Inputs!$B$9+((C1884=TRUE)*(F1884-Calc!F19))+B1896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IF(ArtifactsInput!$M$20,FALSE,TRUE),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874">
        <f>IF(C1874,(H1874*N1874*IF(AND(Inputs!$B$38&lt;&gt;"pvp",Inputs!$B$43&gt;0),((Skills!G9*((R1874-1)*IF(Skills!H9&gt;0,INT(Skills!I9/Skills!H9+0.000000001),1)+IF(Skills!H9&gt;0,INT(MIN(Skills!I9,MAX(0,MAX(0,Inputs!$B$43-B1903)-((R1874-1)*(IF(Inputs!$B$38="pvp",15,MAX(0.1,Skills!D9-IF(TRUE=TRUE,Inputs!$B$32,0)))*(1-IF(AND(ArtifactsInput!$M$27,Inputs!$B$4="Chapter Hunt"),CHOOSE(ArtifactsInput!$N$27+1,20,24,28,32,36,40),0)/100)))))/Skills!H9+0.000000001),1)))/Inputs!$B$43),G1874*Q1874))*IF(Inputs!$B$38="pvp",1,(1+(Inputs!$B$21+Skills!Q9+(IF(ArtifactsInput!$M$33,CHOOSE(ArtifactsInput!$N$33+1,30,36,42,48,54,60),0))+(IF(AND(ArtifactsInput!$M$35,Inputs!$B$4&lt;&gt;"Chapter Hunt"),CHOOSE(ArtifactsInput!$N$35+1,15,18,21,24,27,30)*(1-EXP(-(0.2*B1898)*5)),0)+IF(AND(ArtifactsInput!$M$22,Inputs!$B$4&lt;&gt;"Chapter Hunt"),CHOOSE(ArtifactsInput!$N$22+1,10,12,14,16,18,20)*((0*(((0.15*B1898*5))^0/1)+1*(((0.15*B1898*5))^1/1)+2*(((0.15*B1898*5))^2/2)+3*(((0.15*B1898*5))^3/6)+4*(((0.15*B1898*5))^4/24)+5*(((0.15*B1898*5))^5/120))/((((0.15*B1898*5))^0/1)+(((0.15*B1898*5))^1/1)+(((0.15*B1898*5))^2/2)+(((0.15*B1898*5))^3/6)+(((0.15*B1898*5))^4/24)+(((0.15*B1898*5))^5/120))),0))+IF(Inputs!$B$3&gt;=54,9*(C1868=TRUE)*MIN(1,8*(1+Inputs!$B$34/100)*Q1868),0))/100)*(MIN(Skills!R9,Inputs!$B$37)))*((1+(IF(AND(ArtifactsInput!$M$41,Inputs!$B$38&lt;&gt;"pvp"),CHOOSE(ArtifactsInput!$N$41+1,5,6,7,8,9,10)*IF(OR(Inputs!$B$4="Weapon Dungeon",Inputs!$B$4="Equipment Dungeon",Inputs!$B$4="Enhancement Dungeon",Inputs!$B$4="EXP Dungeon",Inputs!$B$4="Hero Dungeon"),3,1),0)+IF(ArtifactsInput!$M$26,10*CHOOSE(ArtifactsInput!$N$26+1,1,1.2,1.4,1.6,1.8,2),0)+IF(AND(IF(ArtifactsInput!$M$20,FALSE,TRUE),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75">
      <c r="A1875">
        <f>Skills!A10</f>
        <v/>
      </c>
      <c r="B1875">
        <f>Skills!B10</f>
        <v/>
      </c>
      <c r="C1875">
        <f>Inputs!$B$3&gt;=113</f>
        <v/>
      </c>
      <c r="D1875">
        <f>IF(Skills!C10=1,60+Inputs!$B$25+Inputs!$B$29,IF(Skills!C10=2,90+Inputs!$B$26+Inputs!$B$29,IF(Skills!C10=3,120+Inputs!$B$27+Inputs!$B$29,MAX(0,(Inputs!$B$3-100)*3)+Inputs!$B$28+Inputs!$B$29)))</f>
        <v/>
      </c>
      <c r="E1875">
        <f>INDEX(FactorTable!$B$2:$Y$301, MATCH(ROUND(MIN(300,MAX(1,D1875)),0), FactorTable!$A$2:$A$301,0), Skills!M10+1)</f>
        <v/>
      </c>
      <c r="F1875">
        <f>IF(Skills!N10=TRUE,(Skills!L10/10)*(E1875/1000),Skills!L10/10)+Skills!O10</f>
        <v/>
      </c>
      <c r="G1875">
        <f>Skills!G10*IF(Skills!H10&gt;0,INT(IF(Inputs!$B$38="pvp",MIN(Skills!I10,15),Skills!I10)/Skills!H10+0.000000001),1)</f>
        <v/>
      </c>
      <c r="H1875">
        <f>1-(1-Skills!J10/100)^Skills!K10</f>
        <v/>
      </c>
      <c r="I1875" t="inlineStr">
        <is>
          <t>1</t>
        </is>
      </c>
      <c r="J1875">
        <f>((Inputs!$B$6*(1+Inputs!$B$7/100))+(((Inputs!$B$12*(1+Inputs!$B$13/100))-(Inputs!$B$12*(1+Inputs!$B$13/100)))+0.25*(Inputs!$B$14-Inputs!$B$14))*(1+Inputs!$B$7/100))*(F1875/100)</f>
        <v/>
      </c>
      <c r="K1875">
        <f>J1875*(1+((Inputs!$B$12*(1+Inputs!$B$13/100))*0.01+Inputs!$B$14*0.0025)/100)*(1+Inputs!$B$15/100)*(1+Inputs!$B$16/100)*(5000/(6000+Inputs!$B$42*(1-(100*(1-(1-(Inputs!$B$19+0)/100)*(1-CHOOSE(ArtifactsInput!$N$40+1,5,6,7,8,9,10)/100)^(ArtifactsInput!$M$40-ArtifactsInput!$M$40)))/100)))*(1+(Inputs!$B$24+((C1891=TRUE)*(F1891-Calc!F26))+B1902)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IGHT_LEGS_EASTON",Inputs!$B$17+((C1888=TRUE)*(F1888-Calc!F23))+((C1892=TRUE)*(F1892-Calc!F27))+((IF(AND(Inputs!$B$38&lt;&gt;"pvp",Inputs!$B$43=0),1,IF(IF(Inputs!$B$38="pvp",15,Inputs!$B$43)-(B1903)&lt;=0,1,MAX(0,IF(Inputs!$B$38="pvp",15,Inputs!$B$43)-MAX(5,B1903))/(IF(Inputs!$B$38="pvp",15,Inputs!$B$43)-(B1903))))*(IF(AND(ArtifactsInput!$M$42,((Inputs!$B$9+((C1884=TRUE)*(F1884-Calc!F19))+B1896+(ArtifactsInput!$M$24-ArtifactsInput!$M$24)*CHOOSE(ArtifactsInput!$N$24+1,10,12,14,16,18,20)+IF(ArtifactsInput!$M$10,CHOOSE(ArtifactsInput!$N$10+1,15,18,21,24,27,30)*(IF(Inputs!$B$38="pvp",MIN(15,15)/15,IF(AND(Inputs!$B$38&lt;&gt;"pvp",Inputs!$B$43&gt;0),MIN(15,Inputs!$B$43)/(Inputs!$B$43),0))),0)))&gt;=100),MIN(100,((Inputs!$B$9+((C1884=TRUE)*(F1884-Calc!F19))+B1896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1903)&lt;=0,1,MAX(0,IF(Inputs!$B$38="pvp",15,Inputs!$B$43)-MAX(5,B1903))/(IF(Inputs!$B$38="pvp",15,Inputs!$B$43)-(B1903))))*IF(AND(ArtifactsInput!$M$42,((Inputs!$B$9+((C1884=TRUE)*(F1884-Calc!F19))+B1896+(ArtifactsInput!$M$24-ArtifactsInput!$M$24)*CHOOSE(ArtifactsInput!$N$24+1,10,12,14,16,18,20)+IF(ArtifactsInput!$M$10,CHOOSE(ArtifactsInput!$N$10+1,15,18,21,24,27,30)*(IF(Inputs!$B$38="pvp",MIN(15,15)/15,IF(AND(Inputs!$B$38&lt;&gt;"pvp",Inputs!$B$43&gt;0),MIN(15,Inputs!$B$43)/(Inputs!$B$43),0))),0)))&gt;=100),CHOOSE(ArtifactsInput!$N$42+1,40,48,56,64,72,80),0))))/100)*((1+(((C1882=TRUE)*F1882*5/7)+((C1889=TRUE)*(F1889-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1875)</f>
        <v/>
      </c>
      <c r="L1875">
        <f>K1875*(MIN(Inputs!$B$22+((C1887=TRUE)*(F1887-Calc!F22)),(Inputs!$B$23+0+(IF(ArtifactsInput!$M$15,CHOOSE(ArtifactsInput!$N$15+1,25,30,35,40,45,50)/100*(Inputs!$B$11-Inputs!$B$11),0))))/100+(Inputs!$B$23+0+(IF(ArtifactsInput!$M$15,CHOOSE(ArtifactsInput!$N$15+1,25,30,35,40,45,50)/100*(Inputs!$B$11-Inputs!$B$11),0)))/100)/2</f>
        <v/>
      </c>
      <c r="M1875">
        <f>L1875*(1+(Inputs!$B$10+((C1890=TRUE)*(F1890-Calc!F25))+B1901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75">
        <f>L1875*(1-MIN((Inputs!$B$9+((C1884=TRUE)*(F1884-Calc!F19))+B1896+(ArtifactsInput!$M$24-ArtifactsInput!$M$24)*CHOOSE(ArtifactsInput!$N$24+1,10,12,14,16,18,20)+(IF(AND(Inputs!$B$38&lt;&gt;"pvp",Inputs!$B$43=0),1,IF(IF(Inputs!$B$38="pvp",15,Inputs!$B$43)-(B1903)&lt;=0,1,MAX(0,IF(Inputs!$B$38="pvp",15,Inputs!$B$43)-MAX(5,B1903))/(IF(Inputs!$B$38="pvp",15,Inputs!$B$43)-(B1903))))*IF(AND(ArtifactsInput!$M$42,((Inputs!$B$9+((C1884=TRUE)*(F1884-Calc!F19))+B1896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1875*(MIN((Inputs!$B$9+((C1884=TRUE)*(F1884-Calc!F19))+B1896+(ArtifactsInput!$M$24-ArtifactsInput!$M$24)*CHOOSE(ArtifactsInput!$N$24+1,10,12,14,16,18,20)+(IF(AND(Inputs!$B$38&lt;&gt;"pvp",Inputs!$B$43=0),1,IF(IF(Inputs!$B$38="pvp",15,Inputs!$B$43)-(B1903)&lt;=0,1,MAX(0,IF(Inputs!$B$38="pvp",15,Inputs!$B$43)-MAX(5,B1903))/(IF(Inputs!$B$38="pvp",15,Inputs!$B$43)-(B1903))))*IF(AND(ArtifactsInput!$M$42,((Inputs!$B$9+((C1884=TRUE)*(F1884-Calc!F19))+B1896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75">
        <f>(1-Summary!$B$11)*T1875+Summary!$B$11*V1875</f>
        <v/>
      </c>
      <c r="P1875">
        <f>IF(B1906=0,0,O1875/B1906)</f>
        <v/>
      </c>
      <c r="Q1875" t="n">
        <v>0</v>
      </c>
      <c r="R1875" t="n">
        <v>0</v>
      </c>
      <c r="S1875">
        <f>IFERROR(O1875/N1875,0)</f>
        <v/>
      </c>
      <c r="T1875">
        <f>IF(C1875,((H1875*B1908)/(1+Skills!H10*H1875*B1908)*N1875)*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Hunt"),CHOOSE(ArtifactsInput!$N$35+1,15,18,21,24,27,30)*(1-EXP(-(0.2*B1898)*5)),0)+IF(AND(ArtifactsInput!$M$22,Inputs!$B$4&lt;&gt;"Chapter Hunt"),CHOOSE(ArtifactsInput!$N$22+1,10,12,14,16,18,20)*((0*(((0.15*B1898*5))^0/1)+1*(((0.15*B1898*5))^1/1)+2*(((0.15*B1898*5))^2/2)+3*(((0.15*B1898*5))^3/6)+4*(((0.15*B1898*5))^4/24)+5*(((0.15*B1898*5))^5/120))/((((0.15*B1898*5))^0/1)+(((0.15*B1898*5))^1/1)+(((0.15*B1898*5))^2/2)+(((0.15*B1898*5))^3/6)+(((0.15*B1898*5))^4/24)+(((0.15*B1898*5))^5/120))),0))+IF(Inputs!$B$3&gt;=54,9*(C1868=TRUE)*MIN(1,8*(1+Inputs!$B$34/100)*Q1868)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1875*(1-MIN(100,(Inputs!$B$9+((C1884=TRUE)*(F1884-Calc!F19))+B1896+(ArtifactsInput!$M$24-ArtifactsInput!$M$24)*CHOOSE(ArtifactsInput!$N$24+1,10,12,14,16,18,20)+(IF(AND(Inputs!$B$38&lt;&gt;"pvp",Inputs!$B$43=0),1,IF(IF(Inputs!$B$38="pvp",15,Inputs!$B$43)-(B1903)&lt;=0,1,MAX(0,IF(Inputs!$B$38="pvp",15,Inputs!$B$43)-MAX(5,B1903))/(IF(Inputs!$B$38="pvp",15,Inputs!$B$43)-(B1903))))*IF(AND(ArtifactsInput!$M$42,((Inputs!$B$9+((C1884=TRUE)*(F1884-Calc!F19))+B1896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1875*(MIN(100,(Inputs!$B$9+((C1884=TRUE)*(F1884-Calc!F19))+B1896+(ArtifactsInput!$M$24-ArtifactsInput!$M$24)*CHOOSE(ArtifactsInput!$N$24+1,10,12,14,16,18,20)+(IF(AND(Inputs!$B$38&lt;&gt;"pvp",Inputs!$B$43=0),1,IF(IF(Inputs!$B$38="pvp",15,Inputs!$B$43)-(B1903)&lt;=0,1,MAX(0,IF(Inputs!$B$38="pvp",15,Inputs!$B$43)-MAX(5,B1903))/(IF(Inputs!$B$38="pvp",15,Inputs!$B$43)-(B1903))))*IF(AND(ArtifactsInput!$M$42,((Inputs!$B$9+((C1884=TRUE)*(F1884-Calc!F19))+B1896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1875*(1-MIN(100,(Inputs!$B$9+((C1884=TRUE)*(F1884-Calc!F19))+B1896+(ArtifactsInput!$M$24-ArtifactsInput!$M$24)*CHOOSE(ArtifactsInput!$N$24+1,10,12,14,16,18,20)+(IF(AND(Inputs!$B$38&lt;&gt;"pvp",Inputs!$B$43=0),1,IF(IF(Inputs!$B$38="pvp",15,Inputs!$B$43)-(B1903)&lt;=0,1,MAX(0,IF(Inputs!$B$38="pvp",15,Inputs!$B$43)-MAX(5,B1903))/(IF(Inputs!$B$38="pvp",15,Inputs!$B$43)-(B1903))))*IF(AND(ArtifactsInput!$M$42,((Inputs!$B$9+((C1884=TRUE)*(F1884-Calc!F19))+B1896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1875*(MIN(100,(Inputs!$B$9+((C1884=TRUE)*(F1884-Calc!F19))+B1896+(ArtifactsInput!$M$24-ArtifactsInput!$M$24)*CHOOSE(ArtifactsInput!$N$24+1,10,12,14,16,18,20)+(IF(AND(Inputs!$B$38&lt;&gt;"pvp",Inputs!$B$43=0),1,IF(IF(Inputs!$B$38="pvp",15,Inputs!$B$43)-(B1903)&lt;=0,1,MAX(0,IF(Inputs!$B$38="pvp",15,Inputs!$B$43)-MAX(5,B1903))/(IF(Inputs!$B$38="pvp",15,Inputs!$B$43)-(B1903))))*IF(AND(ArtifactsInput!$M$42,((Inputs!$B$9+((C1884=TRUE)*(F1884-Calc!F19))+B1896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IF(ArtifactsInput!$M$20,FALSE,TRUE),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875">
        <f>IF(C1875,((H1875*B1908)/(1+Skills!H10*H1875*B1908)*N1875)*IF(Inputs!$B$38="pvp",1,(1+(Inputs!$B$21+Skills!Q10+(IF(ArtifactsInput!$M$33,CHOOSE(ArtifactsInput!$N$33+1,30,36,42,48,54,60),0))+(IF(AND(ArtifactsInput!$M$35,Inputs!$B$4&lt;&gt;"Chapter Hunt"),CHOOSE(ArtifactsInput!$N$35+1,15,18,21,24,27,30)*(1-EXP(-(0.2*B1898)*5)),0)+IF(AND(ArtifactsInput!$M$22,Inputs!$B$4&lt;&gt;"Chapter Hunt"),CHOOSE(ArtifactsInput!$N$22+1,10,12,14,16,18,20)*((0*(((0.15*B1898*5))^0/1)+1*(((0.15*B1898*5))^1/1)+2*(((0.15*B1898*5))^2/2)+3*(((0.15*B1898*5))^3/6)+4*(((0.15*B1898*5))^4/24)+5*(((0.15*B1898*5))^5/120))/((((0.15*B1898*5))^0/1)+(((0.15*B1898*5))^1/1)+(((0.15*B1898*5))^2/2)+(((0.15*B1898*5))^3/6)+(((0.15*B1898*5))^4/24)+(((0.15*B1898*5))^5/120))),0))+IF(Inputs!$B$3&gt;=54,9*(C1868=TRUE)*MIN(1,8*(1+Inputs!$B$34/100)*Q1868),0))/100)*(MIN(Skills!R10,Inputs!$B$37)))*((1+(IF(AND(ArtifactsInput!$M$41,Inputs!$B$38&lt;&gt;"pvp"),CHOOSE(ArtifactsInput!$N$41+1,5,6,7,8,9,10)*IF(OR(Inputs!$B$4="Weapon Dungeon",Inputs!$B$4="Equipment Dungeon",Inputs!$B$4="Enhancement Dungeon",Inputs!$B$4="EXP Dungeon",Inputs!$B$4="Hero Dungeon"),3,1),0)+IF(ArtifactsInput!$M$26,10*CHOOSE(ArtifactsInput!$N$26+1,1,1.2,1.4,1.6,1.8,2),0)+IF(AND(IF(ArtifactsInput!$M$20,FALSE,TRUE),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76">
      <c r="A1876">
        <f>Skills!A11</f>
        <v/>
      </c>
      <c r="B1876">
        <f>Skills!B11</f>
        <v/>
      </c>
      <c r="C1876">
        <f>Inputs!$B$3&gt;=117</f>
        <v/>
      </c>
      <c r="D1876">
        <f>IF(Skills!C11=1,60+Inputs!$B$25+Inputs!$B$29,IF(Skills!C11=2,90+Inputs!$B$26+Inputs!$B$29,IF(Skills!C11=3,120+Inputs!$B$27+Inputs!$B$29,MAX(0,(Inputs!$B$3-100)*3)+Inputs!$B$28+Inputs!$B$29)))</f>
        <v/>
      </c>
      <c r="E1876">
        <f>INDEX(FactorTable!$B$2:$Y$301, MATCH(ROUND(MIN(300,MAX(1,D1876)),0), FactorTable!$A$2:$A$301,0), Skills!M11+1)</f>
        <v/>
      </c>
      <c r="F1876">
        <f>IF(Skills!N11=TRUE,(Skills!L11/10)*(E1876/1000),Skills!L11/10)+Skills!O11</f>
        <v/>
      </c>
      <c r="G1876">
        <f>Skills!G11*IF(Skills!H11&gt;0,INT(IF(Inputs!$B$38="pvp",MIN(Skills!I11,15),Skills!I11)/Skills!H11+0.000000001),1)</f>
        <v/>
      </c>
      <c r="H1876">
        <f>1-(1-Skills!J11/100)^Skills!K11</f>
        <v/>
      </c>
      <c r="I1876" t="inlineStr">
        <is>
          <t>1</t>
        </is>
      </c>
      <c r="J1876">
        <f>((Inputs!$B$6*(1+Inputs!$B$7/100))+(((Inputs!$B$12*(1+Inputs!$B$13/100))-(Inputs!$B$12*(1+Inputs!$B$13/100)))+0.25*(Inputs!$B$14-Inputs!$B$14))*(1+Inputs!$B$7/100))*(F1876/100)</f>
        <v/>
      </c>
      <c r="K1876">
        <f>J1876*(1+((Inputs!$B$12*(1+Inputs!$B$13/100))*0.01+Inputs!$B$14*0.0025)/100)*(1+Inputs!$B$15/100)*(1+Inputs!$B$16/100)*(5000/(6000+Inputs!$B$42*(1-(100*(1-(1-(Inputs!$B$19+0)/100)*(1-CHOOSE(ArtifactsInput!$N$40+1,5,6,7,8,9,10)/100)^(ArtifactsInput!$M$40-ArtifactsInput!$M$40)))/100)))*(1+(Inputs!$B$24+((C1891=TRUE)*(F1891-Calc!F26))+B1902)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IGHT_LEGS_EASTON",Inputs!$B$17+((C1888=TRUE)*(F1888-Calc!F23))+((C1892=TRUE)*(F1892-Calc!F27))+((IF(AND(Inputs!$B$38&lt;&gt;"pvp",Inputs!$B$43=0),1,IF(IF(Inputs!$B$38="pvp",15,Inputs!$B$43)-(B1903)&lt;=0,1,MAX(0,IF(Inputs!$B$38="pvp",15,Inputs!$B$43)-MAX(5,B1903))/(IF(Inputs!$B$38="pvp",15,Inputs!$B$43)-(B1903))))*(IF(AND(ArtifactsInput!$M$42,((Inputs!$B$9+((C1884=TRUE)*(F1884-Calc!F19))+B1896+(ArtifactsInput!$M$24-ArtifactsInput!$M$24)*CHOOSE(ArtifactsInput!$N$24+1,10,12,14,16,18,20)+IF(ArtifactsInput!$M$10,CHOOSE(ArtifactsInput!$N$10+1,15,18,21,24,27,30)*(IF(Inputs!$B$38="pvp",MIN(15,15)/15,IF(AND(Inputs!$B$38&lt;&gt;"pvp",Inputs!$B$43&gt;0),MIN(15,Inputs!$B$43)/(Inputs!$B$43),0))),0)))&gt;=100),MIN(100,((Inputs!$B$9+((C1884=TRUE)*(F1884-Calc!F19))+B1896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1903)&lt;=0,1,MAX(0,IF(Inputs!$B$38="pvp",15,Inputs!$B$43)-MAX(5,B1903))/(IF(Inputs!$B$38="pvp",15,Inputs!$B$43)-(B1903))))*IF(AND(ArtifactsInput!$M$42,((Inputs!$B$9+((C1884=TRUE)*(F1884-Calc!F19))+B1896+(ArtifactsInput!$M$24-ArtifactsInput!$M$24)*CHOOSE(ArtifactsInput!$N$24+1,10,12,14,16,18,20)+IF(ArtifactsInput!$M$10,CHOOSE(ArtifactsInput!$N$10+1,15,18,21,24,27,30)*(IF(Inputs!$B$38="pvp",MIN(15,15)/15,IF(AND(Inputs!$B$38&lt;&gt;"pvp",Inputs!$B$43&gt;0),MIN(15,Inputs!$B$43)/(Inputs!$B$43),0))),0)))&gt;=100),CHOOSE(ArtifactsInput!$N$42+1,40,48,56,64,72,80),0))))/100)*((1+(((C1882=TRUE)*F1882*5/7)+((C1889=TRUE)*(F1889-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1876)</f>
        <v/>
      </c>
      <c r="L1876">
        <f>K1876*(MIN(Inputs!$B$22+((C1887=TRUE)*(F1887-Calc!F22)),(Inputs!$B$23+0+(IF(ArtifactsInput!$M$15,CHOOSE(ArtifactsInput!$N$15+1,25,30,35,40,45,50)/100*(Inputs!$B$11-Inputs!$B$11),0))))/100+(Inputs!$B$23+0+(IF(ArtifactsInput!$M$15,CHOOSE(ArtifactsInput!$N$15+1,25,30,35,40,45,50)/100*(Inputs!$B$11-Inputs!$B$11),0)))/100)/2</f>
        <v/>
      </c>
      <c r="M1876">
        <f>L1876*(1+(Inputs!$B$10+((C1890=TRUE)*(F1890-Calc!F25))+B1901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76">
        <f>L1876*(1-MIN((Inputs!$B$9+((C1884=TRUE)*(F1884-Calc!F19))+B1896+(ArtifactsInput!$M$24-ArtifactsInput!$M$24)*CHOOSE(ArtifactsInput!$N$24+1,10,12,14,16,18,20)+(IF(AND(Inputs!$B$38&lt;&gt;"pvp",Inputs!$B$43=0),1,IF(IF(Inputs!$B$38="pvp",15,Inputs!$B$43)-(B1903)&lt;=0,1,MAX(0,IF(Inputs!$B$38="pvp",15,Inputs!$B$43)-MAX(5,B1903))/(IF(Inputs!$B$38="pvp",15,Inputs!$B$43)-(B1903))))*IF(AND(ArtifactsInput!$M$42,((Inputs!$B$9+((C1884=TRUE)*(F1884-Calc!F19))+B1896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1876*(MIN((Inputs!$B$9+((C1884=TRUE)*(F1884-Calc!F19))+B1896+(ArtifactsInput!$M$24-ArtifactsInput!$M$24)*CHOOSE(ArtifactsInput!$N$24+1,10,12,14,16,18,20)+(IF(AND(Inputs!$B$38&lt;&gt;"pvp",Inputs!$B$43=0),1,IF(IF(Inputs!$B$38="pvp",15,Inputs!$B$43)-(B1903)&lt;=0,1,MAX(0,IF(Inputs!$B$38="pvp",15,Inputs!$B$43)-MAX(5,B1903))/(IF(Inputs!$B$38="pvp",15,Inputs!$B$43)-(B1903))))*IF(AND(ArtifactsInput!$M$42,((Inputs!$B$9+((C1884=TRUE)*(F1884-Calc!F19))+B1896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76">
        <f>(1-Summary!$B$11)*T1876+Summary!$B$11*V1876</f>
        <v/>
      </c>
      <c r="P1876">
        <f>IF(B1906=0,0,O1876/B1906)</f>
        <v/>
      </c>
      <c r="Q1876">
        <f>IFERROR(1/((IF(Inputs!$B$38="pvp",15,MAX(0.1,Skills!D11-IF(TRUE=TRUE,Inputs!$B$32,0)))*(1-IF(AND(ArtifactsInput!$M$27,Inputs!$B$4="Chapter Hunt"),CHOOSE(ArtifactsInput!$N$27+1,20,24,28,32,36,40),0)/100))/B1907),0)</f>
        <v/>
      </c>
      <c r="R1876">
        <f>IF(AND(Inputs!$B$38&lt;&gt;"pvp",Inputs!$B$43&gt;0),IF(MAX(0,Inputs!$B$43-B1903)&lt;=0,0,(INT(MAX(0,Inputs!$B$43-B1903)/((IF(Inputs!$B$38="pvp",15,MAX(0.1,Skills!D11-IF(TRUE=TRUE,Inputs!$B$32,0)))*(1-IF(AND(ArtifactsInput!$M$27,Inputs!$B$4="Chapter Hunt"),CHOOSE(ArtifactsInput!$N$27+1,20,24,28,32,36,40),0)/100))/B1907))+1)),0)</f>
        <v/>
      </c>
      <c r="S1876">
        <f>IFERROR(O1876/N1876,0)</f>
        <v/>
      </c>
      <c r="T1876">
        <f>IF(C1876,(H1876*N1876*IF(AND(Inputs!$B$38&lt;&gt;"pvp",Inputs!$B$43&gt;0),((Skills!G11*((R1876-1)*IF(Skills!H11&gt;0,INT(Skills!I11/Skills!H11+0.000000001),1)+IF(Skills!H11&gt;0,INT(MIN(Skills!I11,MAX(0,MAX(0,Inputs!$B$43-B1903)-((R1876-1)*((IF(Inputs!$B$38="pvp",15,MAX(0.1,Skills!D11-IF(TRUE=TRUE,Inputs!$B$32,0)))*(1-IF(AND(ArtifactsInput!$M$27,Inputs!$B$4="Chapter Hunt"),CHOOSE(ArtifactsInput!$N$27+1,20,24,28,32,36,40),0)/100))/B1907))))/Skills!H11+0.000000001),1)))/Inputs!$B$43),G1876*Q1876))*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Hunt"),CHOOSE(ArtifactsInput!$N$35+1,15,18,21,24,27,30)*(1-EXP(-(0.2*B1898)*5)),0)+IF(AND(ArtifactsInput!$M$22,Inputs!$B$4&lt;&gt;"Chapter Hunt"),CHOOSE(ArtifactsInput!$N$22+1,10,12,14,16,18,20)*((0*(((0.15*B1898*5))^0/1)+1*(((0.15*B1898*5))^1/1)+2*(((0.15*B1898*5))^2/2)+3*(((0.15*B1898*5))^3/6)+4*(((0.15*B1898*5))^4/24)+5*(((0.15*B1898*5))^5/120))/((((0.15*B1898*5))^0/1)+(((0.15*B1898*5))^1/1)+(((0.15*B1898*5))^2/2)+(((0.15*B1898*5))^3/6)+(((0.15*B1898*5))^4/24)+(((0.15*B1898*5))^5/120))),0))+IF(Inputs!$B$3&gt;=54,9*(C1868=TRUE)*MIN(1,8*(1+Inputs!$B$34/100)*Q1868)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1876*(1-MIN(100,(Inputs!$B$9+((C1884=TRUE)*(F1884-Calc!F19))+B1896+(ArtifactsInput!$M$24-ArtifactsInput!$M$24)*CHOOSE(ArtifactsInput!$N$24+1,10,12,14,16,18,20)+(IF(AND(Inputs!$B$38&lt;&gt;"pvp",Inputs!$B$43=0),1,IF(IF(Inputs!$B$38="pvp",15,Inputs!$B$43)-(B1903)&lt;=0,1,MAX(0,IF(Inputs!$B$38="pvp",15,Inputs!$B$43)-MAX(5,B1903))/(IF(Inputs!$B$38="pvp",15,Inputs!$B$43)-(B1903))))*IF(AND(ArtifactsInput!$M$42,((Inputs!$B$9+((C1884=TRUE)*(F1884-Calc!F19))+B1896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1876*(MIN(100,(Inputs!$B$9+((C1884=TRUE)*(F1884-Calc!F19))+B1896+(ArtifactsInput!$M$24-ArtifactsInput!$M$24)*CHOOSE(ArtifactsInput!$N$24+1,10,12,14,16,18,20)+(IF(AND(Inputs!$B$38&lt;&gt;"pvp",Inputs!$B$43=0),1,IF(IF(Inputs!$B$38="pvp",15,Inputs!$B$43)-(B1903)&lt;=0,1,MAX(0,IF(Inputs!$B$38="pvp",15,Inputs!$B$43)-MAX(5,B1903))/(IF(Inputs!$B$38="pvp",15,Inputs!$B$43)-(B1903))))*IF(AND(ArtifactsInput!$M$42,((Inputs!$B$9+((C1884=TRUE)*(F1884-Calc!F19))+B1896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1876*(1-MIN(100,(Inputs!$B$9+((C1884=TRUE)*(F1884-Calc!F19))+B1896+(ArtifactsInput!$M$24-ArtifactsInput!$M$24)*CHOOSE(ArtifactsInput!$N$24+1,10,12,14,16,18,20)+(IF(AND(Inputs!$B$38&lt;&gt;"pvp",Inputs!$B$43=0),1,IF(IF(Inputs!$B$38="pvp",15,Inputs!$B$43)-(B1903)&lt;=0,1,MAX(0,IF(Inputs!$B$38="pvp",15,Inputs!$B$43)-MAX(5,B1903))/(IF(Inputs!$B$38="pvp",15,Inputs!$B$43)-(B1903))))*IF(AND(ArtifactsInput!$M$42,((Inputs!$B$9+((C1884=TRUE)*(F1884-Calc!F19))+B1896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1876*(MIN(100,(Inputs!$B$9+((C1884=TRUE)*(F1884-Calc!F19))+B1896+(ArtifactsInput!$M$24-ArtifactsInput!$M$24)*CHOOSE(ArtifactsInput!$N$24+1,10,12,14,16,18,20)+(IF(AND(Inputs!$B$38&lt;&gt;"pvp",Inputs!$B$43=0),1,IF(IF(Inputs!$B$38="pvp",15,Inputs!$B$43)-(B1903)&lt;=0,1,MAX(0,IF(Inputs!$B$38="pvp",15,Inputs!$B$43)-MAX(5,B1903))/(IF(Inputs!$B$38="pvp",15,Inputs!$B$43)-(B1903))))*IF(AND(ArtifactsInput!$M$42,((Inputs!$B$9+((C1884=TRUE)*(F1884-Calc!F19))+B1896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IF(ArtifactsInput!$M$20,FALSE,TRUE),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876">
        <f>IF(C1876,(H1876*N1876*IF(AND(Inputs!$B$38&lt;&gt;"pvp",Inputs!$B$43&gt;0),((Skills!G11*((R1876-1)*IF(Skills!H11&gt;0,INT(Skills!I11/Skills!H11+0.000000001),1)+IF(Skills!H11&gt;0,INT(MIN(Skills!I11,MAX(0,MAX(0,Inputs!$B$43-B1903)-((R1876-1)*((IF(Inputs!$B$38="pvp",15,MAX(0.1,Skills!D11-IF(TRUE=TRUE,Inputs!$B$32,0)))*(1-IF(AND(ArtifactsInput!$M$27,Inputs!$B$4="Chapter Hunt"),CHOOSE(ArtifactsInput!$N$27+1,20,24,28,32,36,40),0)/100))/B1907))))/Skills!H11+0.000000001),1)))/Inputs!$B$43),G1876*Q1876))*IF(Inputs!$B$38="pvp",1,(1+(Inputs!$B$21+Skills!Q11+(IF(ArtifactsInput!$M$33,CHOOSE(ArtifactsInput!$N$33+1,30,36,42,48,54,60),0))+(IF(AND(ArtifactsInput!$M$35,Inputs!$B$4&lt;&gt;"Chapter Hunt"),CHOOSE(ArtifactsInput!$N$35+1,15,18,21,24,27,30)*(1-EXP(-(0.2*B1898)*5)),0)+IF(AND(ArtifactsInput!$M$22,Inputs!$B$4&lt;&gt;"Chapter Hunt"),CHOOSE(ArtifactsInput!$N$22+1,10,12,14,16,18,20)*((0*(((0.15*B1898*5))^0/1)+1*(((0.15*B1898*5))^1/1)+2*(((0.15*B1898*5))^2/2)+3*(((0.15*B1898*5))^3/6)+4*(((0.15*B1898*5))^4/24)+5*(((0.15*B1898*5))^5/120))/((((0.15*B1898*5))^0/1)+(((0.15*B1898*5))^1/1)+(((0.15*B1898*5))^2/2)+(((0.15*B1898*5))^3/6)+(((0.15*B1898*5))^4/24)+(((0.15*B1898*5))^5/120))),0))+IF(Inputs!$B$3&gt;=54,9*(C1868=TRUE)*MIN(1,8*(1+Inputs!$B$34/100)*Q1868),0))/100)*(MIN(Skills!R11,Inputs!$B$37)))*((1+(IF(AND(ArtifactsInput!$M$41,Inputs!$B$38&lt;&gt;"pvp"),CHOOSE(ArtifactsInput!$N$41+1,5,6,7,8,9,10)*IF(OR(Inputs!$B$4="Weapon Dungeon",Inputs!$B$4="Equipment Dungeon",Inputs!$B$4="Enhancement Dungeon",Inputs!$B$4="EXP Dungeon",Inputs!$B$4="Hero Dungeon"),3,1),0)+IF(ArtifactsInput!$M$26,10*CHOOSE(ArtifactsInput!$N$26+1,1,1.2,1.4,1.6,1.8,2),0)+IF(AND(IF(ArtifactsInput!$M$20,FALSE,TRUE),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77">
      <c r="A1877">
        <f>Skills!A12</f>
        <v/>
      </c>
      <c r="B1877">
        <f>Skills!B12</f>
        <v/>
      </c>
      <c r="C1877">
        <f>Inputs!$B$3&gt;=110</f>
        <v/>
      </c>
      <c r="D1877">
        <f>IF(Skills!C12=1,60+Inputs!$B$25+Inputs!$B$29,IF(Skills!C12=2,90+Inputs!$B$26+Inputs!$B$29,IF(Skills!C12=3,120+Inputs!$B$27+Inputs!$B$29,MAX(0,(Inputs!$B$3-100)*3)+Inputs!$B$28+Inputs!$B$29)))</f>
        <v/>
      </c>
      <c r="E1877">
        <f>INDEX(FactorTable!$B$2:$Y$301, MATCH(ROUND(MIN(300,MAX(1,D1877)),0), FactorTable!$A$2:$A$301,0), Skills!M12+1)</f>
        <v/>
      </c>
      <c r="F1877">
        <f>IF(Skills!N12=TRUE,(Skills!L12/10)*(E1877/1000),Skills!L12/10)+Skills!O12</f>
        <v/>
      </c>
      <c r="G1877">
        <f>Skills!G12*IF(Skills!H12&gt;0,INT(IF(Inputs!$B$38="pvp",MIN(Skills!I12,15),Skills!I12)/Skills!H12+0.000000001),1)</f>
        <v/>
      </c>
      <c r="H1877">
        <f>1-(1-Skills!J12/100)^Skills!K12</f>
        <v/>
      </c>
      <c r="I1877" t="inlineStr">
        <is>
          <t>1</t>
        </is>
      </c>
      <c r="J1877">
        <f>((Inputs!$B$6*(1+Inputs!$B$7/100))+(((Inputs!$B$12*(1+Inputs!$B$13/100))-(Inputs!$B$12*(1+Inputs!$B$13/100)))+0.25*(Inputs!$B$14-Inputs!$B$14))*(1+Inputs!$B$7/100))*(F1877/100)</f>
        <v/>
      </c>
      <c r="K1877">
        <f>J1877*(1+((Inputs!$B$12*(1+Inputs!$B$13/100))*0.01+Inputs!$B$14*0.0025)/100)*(1+Inputs!$B$15/100)*(1+Inputs!$B$16/100)*(5000/(6000+Inputs!$B$42*(1-(100*(1-(1-(Inputs!$B$19+0)/100)*(1-CHOOSE(ArtifactsInput!$N$40+1,5,6,7,8,9,10)/100)^(ArtifactsInput!$M$40-ArtifactsInput!$M$40)))/100)))*(1+(Inputs!$B$24+((C1891=TRUE)*(F1891-Calc!F26))+B1902)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EIGHT_LEGS_EASTON",Inputs!$B$17+((C1888=TRUE)*(F1888-Calc!F23))+((C1892=TRUE)*(F1892-Calc!F27))+((IF(AND(Inputs!$B$38&lt;&gt;"pvp",Inputs!$B$43=0),1,IF(IF(Inputs!$B$38="pvp",15,Inputs!$B$43)-(B1903)&lt;=0,1,MAX(0,IF(Inputs!$B$38="pvp",15,Inputs!$B$43)-MAX(5,B1903))/(IF(Inputs!$B$38="pvp",15,Inputs!$B$43)-(B1903))))*(IF(AND(ArtifactsInput!$M$42,((Inputs!$B$9+((C1884=TRUE)*(F1884-Calc!F19))+B1896+(ArtifactsInput!$M$24-ArtifactsInput!$M$24)*CHOOSE(ArtifactsInput!$N$24+1,10,12,14,16,18,20)+IF(ArtifactsInput!$M$10,CHOOSE(ArtifactsInput!$N$10+1,15,18,21,24,27,30)*(IF(Inputs!$B$38="pvp",MIN(15,15)/15,IF(AND(Inputs!$B$38&lt;&gt;"pvp",Inputs!$B$43&gt;0),MIN(15,Inputs!$B$43)/(Inputs!$B$43),0))),0)))&gt;=100),MIN(100,((Inputs!$B$9+((C1884=TRUE)*(F1884-Calc!F19))+B1896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1903)&lt;=0,1,MAX(0,IF(Inputs!$B$38="pvp",15,Inputs!$B$43)-MAX(5,B1903))/(IF(Inputs!$B$38="pvp",15,Inputs!$B$43)-(B1903))))*IF(AND(ArtifactsInput!$M$42,((Inputs!$B$9+((C1884=TRUE)*(F1884-Calc!F19))+B1896+(ArtifactsInput!$M$24-ArtifactsInput!$M$24)*CHOOSE(ArtifactsInput!$N$24+1,10,12,14,16,18,20)+IF(ArtifactsInput!$M$10,CHOOSE(ArtifactsInput!$N$10+1,15,18,21,24,27,30)*(IF(Inputs!$B$38="pvp",MIN(15,15)/15,IF(AND(Inputs!$B$38&lt;&gt;"pvp",Inputs!$B$43&gt;0),MIN(15,Inputs!$B$43)/(Inputs!$B$43),0))),0)))&gt;=100),CHOOSE(ArtifactsInput!$N$42+1,40,48,56,64,72,80),0))))/100)*((1+(((C1882=TRUE)*F1882*5/7)+((C1889=TRUE)*(F1889-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1877)</f>
        <v/>
      </c>
      <c r="L1877">
        <f>K1877*(MIN(Inputs!$B$22+((C1887=TRUE)*(F1887-Calc!F22)),(Inputs!$B$23+0+(IF(ArtifactsInput!$M$15,CHOOSE(ArtifactsInput!$N$15+1,25,30,35,40,45,50)/100*(Inputs!$B$11-Inputs!$B$11),0))))/100+(Inputs!$B$23+0+(IF(ArtifactsInput!$M$15,CHOOSE(ArtifactsInput!$N$15+1,25,30,35,40,45,50)/100*(Inputs!$B$11-Inputs!$B$11),0)))/100)/2</f>
        <v/>
      </c>
      <c r="M1877">
        <f>L1877*(1+(Inputs!$B$10+((C1890=TRUE)*(F1890-Calc!F25))+B1901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77">
        <f>L1877*(1-MIN((Inputs!$B$9+((C1884=TRUE)*(F1884-Calc!F19))+B1896+(ArtifactsInput!$M$24-ArtifactsInput!$M$24)*CHOOSE(ArtifactsInput!$N$24+1,10,12,14,16,18,20)+(IF(AND(Inputs!$B$38&lt;&gt;"pvp",Inputs!$B$43=0),1,IF(IF(Inputs!$B$38="pvp",15,Inputs!$B$43)-(B1903)&lt;=0,1,MAX(0,IF(Inputs!$B$38="pvp",15,Inputs!$B$43)-MAX(5,B1903))/(IF(Inputs!$B$38="pvp",15,Inputs!$B$43)-(B1903))))*IF(AND(ArtifactsInput!$M$42,((Inputs!$B$9+((C1884=TRUE)*(F1884-Calc!F19))+B1896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1877*(MIN((Inputs!$B$9+((C1884=TRUE)*(F1884-Calc!F19))+B1896+(ArtifactsInput!$M$24-ArtifactsInput!$M$24)*CHOOSE(ArtifactsInput!$N$24+1,10,12,14,16,18,20)+(IF(AND(Inputs!$B$38&lt;&gt;"pvp",Inputs!$B$43=0),1,IF(IF(Inputs!$B$38="pvp",15,Inputs!$B$43)-(B1903)&lt;=0,1,MAX(0,IF(Inputs!$B$38="pvp",15,Inputs!$B$43)-MAX(5,B1903))/(IF(Inputs!$B$38="pvp",15,Inputs!$B$43)-(B1903))))*IF(AND(ArtifactsInput!$M$42,((Inputs!$B$9+((C1884=TRUE)*(F1884-Calc!F19))+B1896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77">
        <f>(1-Summary!$B$11)*T1877+Summary!$B$11*V1877</f>
        <v/>
      </c>
      <c r="P1877">
        <f>IF(B1906=0,0,O1877/B1906)</f>
        <v/>
      </c>
      <c r="Q1877">
        <f>IFERROR(1/(IF(Inputs!$B$38="pvp",15,MAX(0.1,Skills!D12-IF(TRUE=TRUE,Inputs!$B$32,0)))*(1-IF(AND(ArtifactsInput!$M$27,Inputs!$B$4="Chapter Hunt"),CHOOSE(ArtifactsInput!$N$27+1,20,24,28,32,36,40),0)/100)),0)</f>
        <v/>
      </c>
      <c r="R1877">
        <f>IF(AND(Inputs!$B$38&lt;&gt;"pvp",Inputs!$B$43&gt;0),IF(MAX(0,Inputs!$B$43-B1903)&lt;=0,0,(INT(MAX(0,Inputs!$B$43-B1903)/(IF(Inputs!$B$38="pvp",15,MAX(0.1,Skills!D12-IF(TRUE=TRUE,Inputs!$B$32,0)))*(1-IF(AND(ArtifactsInput!$M$27,Inputs!$B$4="Chapter Hunt"),CHOOSE(ArtifactsInput!$N$27+1,20,24,28,32,36,40),0)/100)))+1)),0)</f>
        <v/>
      </c>
      <c r="S1877">
        <f>IFERROR(O1877/N1877,0)</f>
        <v/>
      </c>
      <c r="T1877">
        <f>IF(C1877,(H1877*N1877*IF(AND(Inputs!$B$38&lt;&gt;"pvp",Inputs!$B$43&gt;0),((Skills!G12*((R1877-1)*IF(Skills!H12&gt;0,INT(Skills!I12/Skills!H12+0.000000001),1)+IF(Skills!H12&gt;0,INT(MIN(Skills!I12,MAX(0,MAX(0,Inputs!$B$43-B1903)-((R1877-1)*(IF(Inputs!$B$38="pvp",15,MAX(0.1,Skills!D12-IF(TRUE=TRUE,Inputs!$B$32,0)))*(1-IF(AND(ArtifactsInput!$M$27,Inputs!$B$4="Chapter Hunt"),CHOOSE(ArtifactsInput!$N$27+1,20,24,28,32,36,40),0)/100)))))/Skills!H12+0.000000001),1)))/Inputs!$B$43),G1877*Q1877))*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Hunt"),CHOOSE(ArtifactsInput!$N$35+1,15,18,21,24,27,30)*(1-EXP(-(0.2*B1898)*5)),0)+IF(AND(ArtifactsInput!$M$22,Inputs!$B$4&lt;&gt;"Chapter Hunt"),CHOOSE(ArtifactsInput!$N$22+1,10,12,14,16,18,20)*((0*(((0.15*B1898*5))^0/1)+1*(((0.15*B1898*5))^1/1)+2*(((0.15*B1898*5))^2/2)+3*(((0.15*B1898*5))^3/6)+4*(((0.15*B1898*5))^4/24)+5*(((0.15*B1898*5))^5/120))/((((0.15*B1898*5))^0/1)+(((0.15*B1898*5))^1/1)+(((0.15*B1898*5))^2/2)+(((0.15*B1898*5))^3/6)+(((0.15*B1898*5))^4/24)+(((0.15*B1898*5))^5/120))),0))+IF(Inputs!$B$3&gt;=54,9*(C1868=TRUE)*MIN(1,8*(1+Inputs!$B$34/100)*Q1868)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1877*(1-MIN(100,(Inputs!$B$9+((C1884=TRUE)*(F1884-Calc!F19))+B1896+(ArtifactsInput!$M$24-ArtifactsInput!$M$24)*CHOOSE(ArtifactsInput!$N$24+1,10,12,14,16,18,20)+(IF(AND(Inputs!$B$38&lt;&gt;"pvp",Inputs!$B$43=0),1,IF(IF(Inputs!$B$38="pvp",15,Inputs!$B$43)-(B1903)&lt;=0,1,MAX(0,IF(Inputs!$B$38="pvp",15,Inputs!$B$43)-MAX(5,B1903))/(IF(Inputs!$B$38="pvp",15,Inputs!$B$43)-(B1903))))*IF(AND(ArtifactsInput!$M$42,((Inputs!$B$9+((C1884=TRUE)*(F1884-Calc!F19))+B1896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1877*(MIN(100,(Inputs!$B$9+((C1884=TRUE)*(F1884-Calc!F19))+B1896+(ArtifactsInput!$M$24-ArtifactsInput!$M$24)*CHOOSE(ArtifactsInput!$N$24+1,10,12,14,16,18,20)+(IF(AND(Inputs!$B$38&lt;&gt;"pvp",Inputs!$B$43=0),1,IF(IF(Inputs!$B$38="pvp",15,Inputs!$B$43)-(B1903)&lt;=0,1,MAX(0,IF(Inputs!$B$38="pvp",15,Inputs!$B$43)-MAX(5,B1903))/(IF(Inputs!$B$38="pvp",15,Inputs!$B$43)-(B1903))))*IF(AND(ArtifactsInput!$M$42,((Inputs!$B$9+((C1884=TRUE)*(F1884-Calc!F19))+B1896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1877*(1-MIN(100,(Inputs!$B$9+((C1884=TRUE)*(F1884-Calc!F19))+B1896+(ArtifactsInput!$M$24-ArtifactsInput!$M$24)*CHOOSE(ArtifactsInput!$N$24+1,10,12,14,16,18,20)+(IF(AND(Inputs!$B$38&lt;&gt;"pvp",Inputs!$B$43=0),1,IF(IF(Inputs!$B$38="pvp",15,Inputs!$B$43)-(B1903)&lt;=0,1,MAX(0,IF(Inputs!$B$38="pvp",15,Inputs!$B$43)-MAX(5,B1903))/(IF(Inputs!$B$38="pvp",15,Inputs!$B$43)-(B1903))))*IF(AND(ArtifactsInput!$M$42,((Inputs!$B$9+((C1884=TRUE)*(F1884-Calc!F19))+B1896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1877*(MIN(100,(Inputs!$B$9+((C1884=TRUE)*(F1884-Calc!F19))+B1896+(ArtifactsInput!$M$24-ArtifactsInput!$M$24)*CHOOSE(ArtifactsInput!$N$24+1,10,12,14,16,18,20)+(IF(AND(Inputs!$B$38&lt;&gt;"pvp",Inputs!$B$43=0),1,IF(IF(Inputs!$B$38="pvp",15,Inputs!$B$43)-(B1903)&lt;=0,1,MAX(0,IF(Inputs!$B$38="pvp",15,Inputs!$B$43)-MAX(5,B1903))/(IF(Inputs!$B$38="pvp",15,Inputs!$B$43)-(B1903))))*IF(AND(ArtifactsInput!$M$42,((Inputs!$B$9+((C1884=TRUE)*(F1884-Calc!F19))+B1896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IF(ArtifactsInput!$M$20,FALSE,TRUE),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877">
        <f>IF(C1877,(H1877*N1877*IF(AND(Inputs!$B$38&lt;&gt;"pvp",Inputs!$B$43&gt;0),((Skills!G12*((R1877-1)*IF(Skills!H12&gt;0,INT(Skills!I12/Skills!H12+0.000000001),1)+IF(Skills!H12&gt;0,INT(MIN(Skills!I12,MAX(0,MAX(0,Inputs!$B$43-B1903)-((R1877-1)*(IF(Inputs!$B$38="pvp",15,MAX(0.1,Skills!D12-IF(TRUE=TRUE,Inputs!$B$32,0)))*(1-IF(AND(ArtifactsInput!$M$27,Inputs!$B$4="Chapter Hunt"),CHOOSE(ArtifactsInput!$N$27+1,20,24,28,32,36,40),0)/100)))))/Skills!H12+0.000000001),1)))/Inputs!$B$43),G1877*Q1877))*IF(Inputs!$B$38="pvp",1,(1+(Inputs!$B$21+Skills!Q12+(IF(ArtifactsInput!$M$33,CHOOSE(ArtifactsInput!$N$33+1,30,36,42,48,54,60),0))+(IF(AND(ArtifactsInput!$M$35,Inputs!$B$4&lt;&gt;"Chapter Hunt"),CHOOSE(ArtifactsInput!$N$35+1,15,18,21,24,27,30)*(1-EXP(-(0.2*B1898)*5)),0)+IF(AND(ArtifactsInput!$M$22,Inputs!$B$4&lt;&gt;"Chapter Hunt"),CHOOSE(ArtifactsInput!$N$22+1,10,12,14,16,18,20)*((0*(((0.15*B1898*5))^0/1)+1*(((0.15*B1898*5))^1/1)+2*(((0.15*B1898*5))^2/2)+3*(((0.15*B1898*5))^3/6)+4*(((0.15*B1898*5))^4/24)+5*(((0.15*B1898*5))^5/120))/((((0.15*B1898*5))^0/1)+(((0.15*B1898*5))^1/1)+(((0.15*B1898*5))^2/2)+(((0.15*B1898*5))^3/6)+(((0.15*B1898*5))^4/24)+(((0.15*B1898*5))^5/120))),0))+IF(Inputs!$B$3&gt;=54,9*(C1868=TRUE)*MIN(1,8*(1+Inputs!$B$34/100)*Q1868),0))/100)*(MIN(Skills!R12,Inputs!$B$37)))*((1+(IF(AND(ArtifactsInput!$M$41,Inputs!$B$38&lt;&gt;"pvp"),CHOOSE(ArtifactsInput!$N$41+1,5,6,7,8,9,10)*IF(OR(Inputs!$B$4="Weapon Dungeon",Inputs!$B$4="Equipment Dungeon",Inputs!$B$4="Enhancement Dungeon",Inputs!$B$4="EXP Dungeon",Inputs!$B$4="Hero Dungeon"),3,1),0)+IF(ArtifactsInput!$M$26,10*CHOOSE(ArtifactsInput!$N$26+1,1,1.2,1.4,1.6,1.8,2),0)+IF(AND(IF(ArtifactsInput!$M$20,FALSE,TRUE),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78">
      <c r="A1878">
        <f>Skills!A13</f>
        <v/>
      </c>
      <c r="B1878">
        <f>Skills!B13</f>
        <v/>
      </c>
      <c r="C1878">
        <f>Inputs!$B$3&gt;=110</f>
        <v/>
      </c>
      <c r="D1878">
        <f>IF(Skills!C13=1,60+Inputs!$B$25+Inputs!$B$29,IF(Skills!C13=2,90+Inputs!$B$26+Inputs!$B$29,IF(Skills!C13=3,120+Inputs!$B$27+Inputs!$B$29,MAX(0,(Inputs!$B$3-100)*3)+Inputs!$B$28+Inputs!$B$29)))</f>
        <v/>
      </c>
      <c r="E1878">
        <f>INDEX(FactorTable!$B$2:$Y$301, MATCH(ROUND(MIN(300,MAX(1,D1878)),0), FactorTable!$A$2:$A$301,0), Skills!M13+1)</f>
        <v/>
      </c>
      <c r="F1878">
        <f>IF(Skills!N13=TRUE,(Skills!L13/10)*(E1878/1000),Skills!L13/10)+Skills!O13</f>
        <v/>
      </c>
      <c r="G1878">
        <f>Skills!G13*IF(Skills!H13&gt;0,INT(IF(Inputs!$B$38="pvp",MIN(Skills!I13,15),Skills!I13)/Skills!H13+0.000000001),1)</f>
        <v/>
      </c>
      <c r="H1878">
        <f>1-(1-Skills!J13/100)^Skills!K13</f>
        <v/>
      </c>
      <c r="I1878" t="inlineStr">
        <is>
          <t>1</t>
        </is>
      </c>
      <c r="J1878">
        <f>((Inputs!$B$6*(1+Inputs!$B$7/100))+(((Inputs!$B$12*(1+Inputs!$B$13/100))-(Inputs!$B$12*(1+Inputs!$B$13/100)))+0.25*(Inputs!$B$14-Inputs!$B$14))*(1+Inputs!$B$7/100))*(F1878/100)</f>
        <v/>
      </c>
      <c r="K1878">
        <f>J1878*(1+((Inputs!$B$12*(1+Inputs!$B$13/100))*0.01+Inputs!$B$14*0.0025)/100)*(1+Inputs!$B$15/100)*(1+Inputs!$B$16/100)*(5000/(6000+Inputs!$B$42*(1-(100*(1-(1-(Inputs!$B$19+0)/100)*(1-CHOOSE(ArtifactsInput!$N$40+1,5,6,7,8,9,10)/100)^(ArtifactsInput!$M$40-ArtifactsInput!$M$40)))/100)))*(1+(Inputs!$B$24+((C1891=TRUE)*(F1891-Calc!F26))+B1902)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EIGHT_LEGS_EASTON",Inputs!$B$17+((C1888=TRUE)*(F1888-Calc!F23))+((C1892=TRUE)*(F1892-Calc!F27))+((IF(AND(Inputs!$B$38&lt;&gt;"pvp",Inputs!$B$43=0),1,IF(IF(Inputs!$B$38="pvp",15,Inputs!$B$43)-(B1903)&lt;=0,1,MAX(0,IF(Inputs!$B$38="pvp",15,Inputs!$B$43)-MAX(5,B1903))/(IF(Inputs!$B$38="pvp",15,Inputs!$B$43)-(B1903))))*(IF(AND(ArtifactsInput!$M$42,((Inputs!$B$9+((C1884=TRUE)*(F1884-Calc!F19))+B1896+(ArtifactsInput!$M$24-ArtifactsInput!$M$24)*CHOOSE(ArtifactsInput!$N$24+1,10,12,14,16,18,20)+IF(ArtifactsInput!$M$10,CHOOSE(ArtifactsInput!$N$10+1,15,18,21,24,27,30)*(IF(Inputs!$B$38="pvp",MIN(15,15)/15,IF(AND(Inputs!$B$38&lt;&gt;"pvp",Inputs!$B$43&gt;0),MIN(15,Inputs!$B$43)/(Inputs!$B$43),0))),0)))&gt;=100),MIN(100,((Inputs!$B$9+((C1884=TRUE)*(F1884-Calc!F19))+B1896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1903)&lt;=0,1,MAX(0,IF(Inputs!$B$38="pvp",15,Inputs!$B$43)-MAX(5,B1903))/(IF(Inputs!$B$38="pvp",15,Inputs!$B$43)-(B1903))))*IF(AND(ArtifactsInput!$M$42,((Inputs!$B$9+((C1884=TRUE)*(F1884-Calc!F19))+B1896+(ArtifactsInput!$M$24-ArtifactsInput!$M$24)*CHOOSE(ArtifactsInput!$N$24+1,10,12,14,16,18,20)+IF(ArtifactsInput!$M$10,CHOOSE(ArtifactsInput!$N$10+1,15,18,21,24,27,30)*(IF(Inputs!$B$38="pvp",MIN(15,15)/15,IF(AND(Inputs!$B$38&lt;&gt;"pvp",Inputs!$B$43&gt;0),MIN(15,Inputs!$B$43)/(Inputs!$B$43),0))),0)))&gt;=100),CHOOSE(ArtifactsInput!$N$42+1,40,48,56,64,72,80),0))))/100)*((1+(((C1882=TRUE)*F1882*5/7)+((C1889=TRUE)*(F1889-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1878)</f>
        <v/>
      </c>
      <c r="L1878">
        <f>K1878*(MIN(Inputs!$B$22+((C1887=TRUE)*(F1887-Calc!F22)),(Inputs!$B$23+0+(IF(ArtifactsInput!$M$15,CHOOSE(ArtifactsInput!$N$15+1,25,30,35,40,45,50)/100*(Inputs!$B$11-Inputs!$B$11),0))))/100+(Inputs!$B$23+0+(IF(ArtifactsInput!$M$15,CHOOSE(ArtifactsInput!$N$15+1,25,30,35,40,45,50)/100*(Inputs!$B$11-Inputs!$B$11),0)))/100)/2</f>
        <v/>
      </c>
      <c r="M1878">
        <f>L1878*(1+(Inputs!$B$10+((C1890=TRUE)*(F1890-Calc!F25))+B1901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78">
        <f>L1878*(1-MIN((Inputs!$B$9+((C1884=TRUE)*(F1884-Calc!F19))+B1896+(ArtifactsInput!$M$24-ArtifactsInput!$M$24)*CHOOSE(ArtifactsInput!$N$24+1,10,12,14,16,18,20)+(IF(AND(Inputs!$B$38&lt;&gt;"pvp",Inputs!$B$43=0),1,IF(IF(Inputs!$B$38="pvp",15,Inputs!$B$43)-(B1903)&lt;=0,1,MAX(0,IF(Inputs!$B$38="pvp",15,Inputs!$B$43)-MAX(5,B1903))/(IF(Inputs!$B$38="pvp",15,Inputs!$B$43)-(B1903))))*IF(AND(ArtifactsInput!$M$42,((Inputs!$B$9+((C1884=TRUE)*(F1884-Calc!F19))+B1896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1878*(MIN((Inputs!$B$9+((C1884=TRUE)*(F1884-Calc!F19))+B1896+(ArtifactsInput!$M$24-ArtifactsInput!$M$24)*CHOOSE(ArtifactsInput!$N$24+1,10,12,14,16,18,20)+(IF(AND(Inputs!$B$38&lt;&gt;"pvp",Inputs!$B$43=0),1,IF(IF(Inputs!$B$38="pvp",15,Inputs!$B$43)-(B1903)&lt;=0,1,MAX(0,IF(Inputs!$B$38="pvp",15,Inputs!$B$43)-MAX(5,B1903))/(IF(Inputs!$B$38="pvp",15,Inputs!$B$43)-(B1903))))*IF(AND(ArtifactsInput!$M$42,((Inputs!$B$9+((C1884=TRUE)*(F1884-Calc!F19))+B1896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78">
        <f>(1-Summary!$B$11)*T1878+Summary!$B$11*V1878</f>
        <v/>
      </c>
      <c r="P1878">
        <f>IF(B1906=0,0,O1878/B1906)</f>
        <v/>
      </c>
      <c r="Q1878">
        <f>IFERROR(1/(IF(Inputs!$B$38="pvp",15,MAX(0.1,Skills!D13-IF(TRUE=TRUE,Inputs!$B$32,0)))*(1-IF(AND(ArtifactsInput!$M$27,Inputs!$B$4="Chapter Hunt"),CHOOSE(ArtifactsInput!$N$27+1,20,24,28,32,36,40),0)/100)),0)</f>
        <v/>
      </c>
      <c r="R1878">
        <f>IF(AND(Inputs!$B$38&lt;&gt;"pvp",Inputs!$B$43&gt;0),IF(MAX(0,Inputs!$B$43-B1903)&lt;=0,0,(INT(MAX(0,Inputs!$B$43-B1903)/(IF(Inputs!$B$38="pvp",15,MAX(0.1,Skills!D13-IF(TRUE=TRUE,Inputs!$B$32,0)))*(1-IF(AND(ArtifactsInput!$M$27,Inputs!$B$4="Chapter Hunt"),CHOOSE(ArtifactsInput!$N$27+1,20,24,28,32,36,40),0)/100)))+1)),0)</f>
        <v/>
      </c>
      <c r="S1878">
        <f>IFERROR(O1878/N1878,0)</f>
        <v/>
      </c>
      <c r="T1878">
        <f>IF(C1878,(H1878*N1878*IF(AND(Inputs!$B$38&lt;&gt;"pvp",Inputs!$B$43&gt;0),((Skills!G13*((R1878-1)*IF(Skills!H13&gt;0,INT(Skills!I13/Skills!H13+0.000000001),1)+IF(Skills!H13&gt;0,INT(MIN(Skills!I13,MAX(0,MAX(0,Inputs!$B$43-B1903)-((R1878-1)*(IF(Inputs!$B$38="pvp",15,MAX(0.1,Skills!D13-IF(TRUE=TRUE,Inputs!$B$32,0)))*(1-IF(AND(ArtifactsInput!$M$27,Inputs!$B$4="Chapter Hunt"),CHOOSE(ArtifactsInput!$N$27+1,20,24,28,32,36,40),0)/100)))))/Skills!H13+0.000000001),1)))/Inputs!$B$43),G1878*Q1878))*IF(Inputs!$B$38="pvp",1,1+(Inputs!$B$20+0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Hunt"),CHOOSE(ArtifactsInput!$N$35+1,15,18,21,24,27,30)*(1-EXP(-(0.2*B1898)*5)),0)+IF(AND(ArtifactsInput!$M$22,Inputs!$B$4&lt;&gt;"Chapter Hunt"),CHOOSE(ArtifactsInput!$N$22+1,10,12,14,16,18,20)*((0*(((0.15*B1898*5))^0/1)+1*(((0.15*B1898*5))^1/1)+2*(((0.15*B1898*5))^2/2)+3*(((0.15*B1898*5))^3/6)+4*(((0.15*B1898*5))^4/24)+5*(((0.15*B1898*5))^5/120))/((((0.15*B1898*5))^0/1)+(((0.15*B1898*5))^1/1)+(((0.15*B1898*5))^2/2)+(((0.15*B1898*5))^3/6)+(((0.15*B1898*5))^4/24)+(((0.15*B1898*5))^5/120))),0))+IF(Inputs!$B$3&gt;=54,9*(C1868=TRUE)*MIN(1,8*(1+Inputs!$B$34/100)*Q1868)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1878*(1-MIN(100,(Inputs!$B$9+((C1884=TRUE)*(F1884-Calc!F19))+B1896+(ArtifactsInput!$M$24-ArtifactsInput!$M$24)*CHOOSE(ArtifactsInput!$N$24+1,10,12,14,16,18,20)+(IF(AND(Inputs!$B$38&lt;&gt;"pvp",Inputs!$B$43=0),1,IF(IF(Inputs!$B$38="pvp",15,Inputs!$B$43)-(B1903)&lt;=0,1,MAX(0,IF(Inputs!$B$38="pvp",15,Inputs!$B$43)-MAX(5,B1903))/(IF(Inputs!$B$38="pvp",15,Inputs!$B$43)-(B1903))))*IF(AND(ArtifactsInput!$M$42,((Inputs!$B$9+((C1884=TRUE)*(F1884-Calc!F19))+B1896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1878*(MIN(100,(Inputs!$B$9+((C1884=TRUE)*(F1884-Calc!F19))+B1896+(ArtifactsInput!$M$24-ArtifactsInput!$M$24)*CHOOSE(ArtifactsInput!$N$24+1,10,12,14,16,18,20)+(IF(AND(Inputs!$B$38&lt;&gt;"pvp",Inputs!$B$43=0),1,IF(IF(Inputs!$B$38="pvp",15,Inputs!$B$43)-(B1903)&lt;=0,1,MAX(0,IF(Inputs!$B$38="pvp",15,Inputs!$B$43)-MAX(5,B1903))/(IF(Inputs!$B$38="pvp",15,Inputs!$B$43)-(B1903))))*IF(AND(ArtifactsInput!$M$42,((Inputs!$B$9+((C1884=TRUE)*(F1884-Calc!F19))+B1896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1878*(1-MIN(100,(Inputs!$B$9+((C1884=TRUE)*(F1884-Calc!F19))+B1896+(ArtifactsInput!$M$24-ArtifactsInput!$M$24)*CHOOSE(ArtifactsInput!$N$24+1,10,12,14,16,18,20)+(IF(AND(Inputs!$B$38&lt;&gt;"pvp",Inputs!$B$43=0),1,IF(IF(Inputs!$B$38="pvp",15,Inputs!$B$43)-(B1903)&lt;=0,1,MAX(0,IF(Inputs!$B$38="pvp",15,Inputs!$B$43)-MAX(5,B1903))/(IF(Inputs!$B$38="pvp",15,Inputs!$B$43)-(B1903))))*IF(AND(ArtifactsInput!$M$42,((Inputs!$B$9+((C1884=TRUE)*(F1884-Calc!F19))+B1896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1878*(MIN(100,(Inputs!$B$9+((C1884=TRUE)*(F1884-Calc!F19))+B1896+(ArtifactsInput!$M$24-ArtifactsInput!$M$24)*CHOOSE(ArtifactsInput!$N$24+1,10,12,14,16,18,20)+(IF(AND(Inputs!$B$38&lt;&gt;"pvp",Inputs!$B$43=0),1,IF(IF(Inputs!$B$38="pvp",15,Inputs!$B$43)-(B1903)&lt;=0,1,MAX(0,IF(Inputs!$B$38="pvp",15,Inputs!$B$43)-MAX(5,B1903))/(IF(Inputs!$B$38="pvp",15,Inputs!$B$43)-(B1903))))*IF(AND(ArtifactsInput!$M$42,((Inputs!$B$9+((C1884=TRUE)*(F1884-Calc!F19))+B1896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IF(ArtifactsInput!$M$20,FALSE,TRUE),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878">
        <f>IF(C1878,(H1878*N1878*IF(AND(Inputs!$B$38&lt;&gt;"pvp",Inputs!$B$43&gt;0),((Skills!G13*((R1878-1)*IF(Skills!H13&gt;0,INT(Skills!I13/Skills!H13+0.000000001),1)+IF(Skills!H13&gt;0,INT(MIN(Skills!I13,MAX(0,MAX(0,Inputs!$B$43-B1903)-((R1878-1)*(IF(Inputs!$B$38="pvp",15,MAX(0.1,Skills!D13-IF(TRUE=TRUE,Inputs!$B$32,0)))*(1-IF(AND(ArtifactsInput!$M$27,Inputs!$B$4="Chapter Hunt"),CHOOSE(ArtifactsInput!$N$27+1,20,24,28,32,36,40),0)/100)))))/Skills!H13+0.000000001),1)))/Inputs!$B$43),G1878*Q1878))*IF(Inputs!$B$38="pvp",1,(1+(Inputs!$B$21+Skills!Q13+(IF(ArtifactsInput!$M$33,CHOOSE(ArtifactsInput!$N$33+1,30,36,42,48,54,60),0))+(IF(AND(ArtifactsInput!$M$35,Inputs!$B$4&lt;&gt;"Chapter Hunt"),CHOOSE(ArtifactsInput!$N$35+1,15,18,21,24,27,30)*(1-EXP(-(0.2*B1898)*5)),0)+IF(AND(ArtifactsInput!$M$22,Inputs!$B$4&lt;&gt;"Chapter Hunt"),CHOOSE(ArtifactsInput!$N$22+1,10,12,14,16,18,20)*((0*(((0.15*B1898*5))^0/1)+1*(((0.15*B1898*5))^1/1)+2*(((0.15*B1898*5))^2/2)+3*(((0.15*B1898*5))^3/6)+4*(((0.15*B1898*5))^4/24)+5*(((0.15*B1898*5))^5/120))/((((0.15*B1898*5))^0/1)+(((0.15*B1898*5))^1/1)+(((0.15*B1898*5))^2/2)+(((0.15*B1898*5))^3/6)+(((0.15*B1898*5))^4/24)+(((0.15*B1898*5))^5/120))),0))+IF(Inputs!$B$3&gt;=54,9*(C1868=TRUE)*MIN(1,8*(1+Inputs!$B$34/100)*Q1868),0))/100)*(MIN(Skills!R13,Inputs!$B$37)))*((1+(IF(AND(ArtifactsInput!$M$41,Inputs!$B$38&lt;&gt;"pvp"),CHOOSE(ArtifactsInput!$N$41+1,5,6,7,8,9,10)*IF(OR(Inputs!$B$4="Weapon Dungeon",Inputs!$B$4="Equipment Dungeon",Inputs!$B$4="Enhancement Dungeon",Inputs!$B$4="EXP Dungeon",Inputs!$B$4="Hero Dungeon"),3,1),0)+IF(ArtifactsInput!$M$26,10*CHOOSE(ArtifactsInput!$N$26+1,1,1.2,1.4,1.6,1.8,2),0)+IF(AND(IF(ArtifactsInput!$M$20,FALSE,TRUE),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79">
      <c r="A1879">
        <f>Skills!A14</f>
        <v/>
      </c>
      <c r="B1879">
        <f>Skills!B14</f>
        <v/>
      </c>
      <c r="C1879">
        <f>Inputs!$B$3&gt;=120</f>
        <v/>
      </c>
      <c r="D1879">
        <f>IF(Skills!C14=1,60+Inputs!$B$25+Inputs!$B$29,IF(Skills!C14=2,90+Inputs!$B$26+Inputs!$B$29,IF(Skills!C14=3,120+Inputs!$B$27+Inputs!$B$29,MAX(0,(Inputs!$B$3-100)*3)+Inputs!$B$28+Inputs!$B$29)))</f>
        <v/>
      </c>
      <c r="E1879">
        <f>INDEX(FactorTable!$B$2:$Y$301, MATCH(ROUND(MIN(300,MAX(1,D1879)),0), FactorTable!$A$2:$A$301,0), Skills!M14+1)</f>
        <v/>
      </c>
      <c r="F1879">
        <f>IF(Skills!N14=TRUE,(Skills!L14/10)*(E1879/1000),Skills!L14/10)+Skills!O14</f>
        <v/>
      </c>
      <c r="G1879">
        <f>Skills!G14*IF(Skills!H14&gt;0,INT(IF(Inputs!$B$38="pvp",MIN(Skills!I14,15),Skills!I14)/Skills!H14+0.000000001),1)</f>
        <v/>
      </c>
      <c r="H1879">
        <f>1-(1-Skills!J14/100)^Skills!K14</f>
        <v/>
      </c>
      <c r="I1879" t="inlineStr">
        <is>
          <t>1</t>
        </is>
      </c>
      <c r="J1879">
        <f>((Inputs!$B$6*(1+Inputs!$B$7/100))+(((Inputs!$B$12*(1+Inputs!$B$13/100))-(Inputs!$B$12*(1+Inputs!$B$13/100)))+0.25*(Inputs!$B$14-Inputs!$B$14))*(1+Inputs!$B$7/100))*(F1879/100)</f>
        <v/>
      </c>
      <c r="K1879">
        <f>J1879*(1+((Inputs!$B$12*(1+Inputs!$B$13/100))*0.01+Inputs!$B$14*0.0025)/100)*(1+Inputs!$B$15/100)*(1+Inputs!$B$16/100)*(5000/(6000+Inputs!$B$42*(1-(100*(1-(1-(Inputs!$B$19+0)/100)*(1-CHOOSE(ArtifactsInput!$N$40+1,5,6,7,8,9,10)/100)^(ArtifactsInput!$M$40-ArtifactsInput!$M$40)))/100)))*(1+(Inputs!$B$24+((C1891=TRUE)*(F1891-Calc!F26))+B1902)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EIGHT_LEGS_EASTON",Inputs!$B$17+((C1888=TRUE)*(F1888-Calc!F23))+((C1892=TRUE)*(F1892-Calc!F27))+((IF(AND(Inputs!$B$38&lt;&gt;"pvp",Inputs!$B$43=0),1,IF(IF(Inputs!$B$38="pvp",15,Inputs!$B$43)-(B1903)&lt;=0,1,MAX(0,IF(Inputs!$B$38="pvp",15,Inputs!$B$43)-MAX(5,B1903))/(IF(Inputs!$B$38="pvp",15,Inputs!$B$43)-(B1903))))*(IF(AND(ArtifactsInput!$M$42,((Inputs!$B$9+((C1884=TRUE)*(F1884-Calc!F19))+B1896+(ArtifactsInput!$M$24-ArtifactsInput!$M$24)*CHOOSE(ArtifactsInput!$N$24+1,10,12,14,16,18,20)+IF(ArtifactsInput!$M$10,CHOOSE(ArtifactsInput!$N$10+1,15,18,21,24,27,30)*(IF(Inputs!$B$38="pvp",MIN(15,15)/15,IF(AND(Inputs!$B$38&lt;&gt;"pvp",Inputs!$B$43&gt;0),MIN(15,Inputs!$B$43)/(Inputs!$B$43),0))),0)))&gt;=100),MIN(100,((Inputs!$B$9+((C1884=TRUE)*(F1884-Calc!F19))+B1896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1903)&lt;=0,1,MAX(0,IF(Inputs!$B$38="pvp",15,Inputs!$B$43)-MAX(5,B1903))/(IF(Inputs!$B$38="pvp",15,Inputs!$B$43)-(B1903))))*IF(AND(ArtifactsInput!$M$42,((Inputs!$B$9+((C1884=TRUE)*(F1884-Calc!F19))+B1896+(ArtifactsInput!$M$24-ArtifactsInput!$M$24)*CHOOSE(ArtifactsInput!$N$24+1,10,12,14,16,18,20)+IF(ArtifactsInput!$M$10,CHOOSE(ArtifactsInput!$N$10+1,15,18,21,24,27,30)*(IF(Inputs!$B$38="pvp",MIN(15,15)/15,IF(AND(Inputs!$B$38&lt;&gt;"pvp",Inputs!$B$43&gt;0),MIN(15,Inputs!$B$43)/(Inputs!$B$43),0))),0)))&gt;=100),CHOOSE(ArtifactsInput!$N$42+1,40,48,56,64,72,80),0))))/100)*((1+(((C1882=TRUE)*F1882*5/7)+((C1889=TRUE)*(F1889-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1879)</f>
        <v/>
      </c>
      <c r="L1879">
        <f>K1879*(MIN(Inputs!$B$22+((C1887=TRUE)*(F1887-Calc!F22)),(Inputs!$B$23+0+(IF(ArtifactsInput!$M$15,CHOOSE(ArtifactsInput!$N$15+1,25,30,35,40,45,50)/100*(Inputs!$B$11-Inputs!$B$11),0))))/100+(Inputs!$B$23+0+(IF(ArtifactsInput!$M$15,CHOOSE(ArtifactsInput!$N$15+1,25,30,35,40,45,50)/100*(Inputs!$B$11-Inputs!$B$11),0)))/100)/2</f>
        <v/>
      </c>
      <c r="M1879">
        <f>L1879*(1+(Inputs!$B$10+((C1890=TRUE)*(F1890-Calc!F25))+B1901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79">
        <f>L1879*(1-MIN((Inputs!$B$9+((C1884=TRUE)*(F1884-Calc!F19))+B1896+(ArtifactsInput!$M$24-ArtifactsInput!$M$24)*CHOOSE(ArtifactsInput!$N$24+1,10,12,14,16,18,20)+(IF(AND(Inputs!$B$38&lt;&gt;"pvp",Inputs!$B$43=0),1,IF(IF(Inputs!$B$38="pvp",15,Inputs!$B$43)-(B1903)&lt;=0,1,MAX(0,IF(Inputs!$B$38="pvp",15,Inputs!$B$43)-MAX(5,B1903))/(IF(Inputs!$B$38="pvp",15,Inputs!$B$43)-(B1903))))*IF(AND(ArtifactsInput!$M$42,((Inputs!$B$9+((C1884=TRUE)*(F1884-Calc!F19))+B1896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1879*(MIN((Inputs!$B$9+((C1884=TRUE)*(F1884-Calc!F19))+B1896+(ArtifactsInput!$M$24-ArtifactsInput!$M$24)*CHOOSE(ArtifactsInput!$N$24+1,10,12,14,16,18,20)+(IF(AND(Inputs!$B$38&lt;&gt;"pvp",Inputs!$B$43=0),1,IF(IF(Inputs!$B$38="pvp",15,Inputs!$B$43)-(B1903)&lt;=0,1,MAX(0,IF(Inputs!$B$38="pvp",15,Inputs!$B$43)-MAX(5,B1903))/(IF(Inputs!$B$38="pvp",15,Inputs!$B$43)-(B1903))))*IF(AND(ArtifactsInput!$M$42,((Inputs!$B$9+((C1884=TRUE)*(F1884-Calc!F19))+B1896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79">
        <f>(1-Summary!$B$11)*T1879+Summary!$B$11*V1879</f>
        <v/>
      </c>
      <c r="P1879">
        <f>IF(B1906=0,0,O1879/B1906)</f>
        <v/>
      </c>
      <c r="Q1879" t="n">
        <v>0</v>
      </c>
      <c r="R1879" t="n">
        <v>0</v>
      </c>
      <c r="S1879">
        <f>IFERROR(O1879/N1879,0)</f>
        <v/>
      </c>
      <c r="T1879">
        <f>IF(C1879,((H1879*(B1900+IF(AND(Inputs!$B$38&lt;&gt;"pvp",Inputs!$B$43&gt;0),((Skills!G8*((R1873-1)*IF(Skills!H8&gt;0,INT(Skills!I8/Skills!H8+0.000000001),1)+IF(Skills!H8&gt;0,INT(MIN(Skills!I8,MAX(0,MAX(0,Inputs!$B$43-B1903)-((R1873-1)*((IF(Inputs!$B$38="pvp",15,MAX(0.1,Skills!D8-IF(TRUE=TRUE,Inputs!$B$32,0)))*(1-IF(AND(ArtifactsInput!$M$27,Inputs!$B$4="Chapter Hunt"),CHOOSE(ArtifactsInput!$N$27+1,20,24,28,32,36,40),0)/100))/B1907))))/Skills!H8+0.000000001),1)))/Inputs!$B$43),G1873*Q1873)+IF(AND(Inputs!$B$38&lt;&gt;"pvp",Inputs!$B$43&gt;0),((Skills!G11*((R1876-1)*IF(Skills!H11&gt;0,INT(Skills!I11/Skills!H11+0.000000001),1)+IF(Skills!H11&gt;0,INT(MIN(Skills!I11,MAX(0,MAX(0,Inputs!$B$43-B1903)-((R1876-1)*((IF(Inputs!$B$38="pvp",15,MAX(0.1,Skills!D11-IF(TRUE=TRUE,Inputs!$B$32,0)))*(1-IF(AND(ArtifactsInput!$M$27,Inputs!$B$4="Chapter Hunt"),CHOOSE(ArtifactsInput!$N$27+1,20,24,28,32,36,40),0)/100))/B1907))))/Skills!H11+0.000000001),1)))/Inputs!$B$43),G1876*Q1876)))/(1+Skills!H14*H1879*(B1900+IF(AND(Inputs!$B$38&lt;&gt;"pvp",Inputs!$B$43&gt;0),((Skills!G8*((R1873-1)*IF(Skills!H8&gt;0,INT(Skills!I8/Skills!H8+0.000000001),1)+IF(Skills!H8&gt;0,INT(MIN(Skills!I8,MAX(0,MAX(0,Inputs!$B$43-B1903)-((R1873-1)*((IF(Inputs!$B$38="pvp",15,MAX(0.1,Skills!D8-IF(TRUE=TRUE,Inputs!$B$32,0)))*(1-IF(AND(ArtifactsInput!$M$27,Inputs!$B$4="Chapter Hunt"),CHOOSE(ArtifactsInput!$N$27+1,20,24,28,32,36,40),0)/100))/B1907))))/Skills!H8+0.000000001),1)))/Inputs!$B$43),G1873*Q1873)+IF(AND(Inputs!$B$38&lt;&gt;"pvp",Inputs!$B$43&gt;0),((Skills!G11*((R1876-1)*IF(Skills!H11&gt;0,INT(Skills!I11/Skills!H11+0.000000001),1)+IF(Skills!H11&gt;0,INT(MIN(Skills!I11,MAX(0,MAX(0,Inputs!$B$43-B1903)-((R1876-1)*((IF(Inputs!$B$38="pvp",15,MAX(0.1,Skills!D11-IF(TRUE=TRUE,Inputs!$B$32,0)))*(1-IF(AND(ArtifactsInput!$M$27,Inputs!$B$4="Chapter Hunt"),CHOOSE(ArtifactsInput!$N$27+1,20,24,28,32,36,40),0)/100))/B1907))))/Skills!H11+0.000000001),1)))/Inputs!$B$43),G1876*Q1876)))*N1879)*IF(Inputs!$B$38="pvp",1,1+(Inputs!$B$20+0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Hunt"),CHOOSE(ArtifactsInput!$N$35+1,15,18,21,24,27,30)*(1-EXP(-(0.2*B1898)*5)),0)+IF(AND(ArtifactsInput!$M$22,Inputs!$B$4&lt;&gt;"Chapter Hunt"),CHOOSE(ArtifactsInput!$N$22+1,10,12,14,16,18,20)*((0*(((0.15*B1898*5))^0/1)+1*(((0.15*B1898*5))^1/1)+2*(((0.15*B1898*5))^2/2)+3*(((0.15*B1898*5))^3/6)+4*(((0.15*B1898*5))^4/24)+5*(((0.15*B1898*5))^5/120))/((((0.15*B1898*5))^0/1)+(((0.15*B1898*5))^1/1)+(((0.15*B1898*5))^2/2)+(((0.15*B1898*5))^3/6)+(((0.15*B1898*5))^4/24)+(((0.15*B1898*5))^5/120))),0))+IF(Inputs!$B$3&gt;=54,9*(C1868=TRUE)*MIN(1,8*(1+Inputs!$B$34/100)*Q1868)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1879*(1-MIN(100,(Inputs!$B$9+((C1884=TRUE)*(F1884-Calc!F19))+B1896+(ArtifactsInput!$M$24-ArtifactsInput!$M$24)*CHOOSE(ArtifactsInput!$N$24+1,10,12,14,16,18,20)+(IF(AND(Inputs!$B$38&lt;&gt;"pvp",Inputs!$B$43=0),1,IF(IF(Inputs!$B$38="pvp",15,Inputs!$B$43)-(B1903)&lt;=0,1,MAX(0,IF(Inputs!$B$38="pvp",15,Inputs!$B$43)-MAX(5,B1903))/(IF(Inputs!$B$38="pvp",15,Inputs!$B$43)-(B1903))))*IF(AND(ArtifactsInput!$M$42,((Inputs!$B$9+((C1884=TRUE)*(F1884-Calc!F19))+B1896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1879*(MIN(100,(Inputs!$B$9+((C1884=TRUE)*(F1884-Calc!F19))+B1896+(ArtifactsInput!$M$24-ArtifactsInput!$M$24)*CHOOSE(ArtifactsInput!$N$24+1,10,12,14,16,18,20)+(IF(AND(Inputs!$B$38&lt;&gt;"pvp",Inputs!$B$43=0),1,IF(IF(Inputs!$B$38="pvp",15,Inputs!$B$43)-(B1903)&lt;=0,1,MAX(0,IF(Inputs!$B$38="pvp",15,Inputs!$B$43)-MAX(5,B1903))/(IF(Inputs!$B$38="pvp",15,Inputs!$B$43)-(B1903))))*IF(AND(ArtifactsInput!$M$42,((Inputs!$B$9+((C1884=TRUE)*(F1884-Calc!F19))+B1896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1879*(1-MIN(100,(Inputs!$B$9+((C1884=TRUE)*(F1884-Calc!F19))+B1896+(ArtifactsInput!$M$24-ArtifactsInput!$M$24)*CHOOSE(ArtifactsInput!$N$24+1,10,12,14,16,18,20)+(IF(AND(Inputs!$B$38&lt;&gt;"pvp",Inputs!$B$43=0),1,IF(IF(Inputs!$B$38="pvp",15,Inputs!$B$43)-(B1903)&lt;=0,1,MAX(0,IF(Inputs!$B$38="pvp",15,Inputs!$B$43)-MAX(5,B1903))/(IF(Inputs!$B$38="pvp",15,Inputs!$B$43)-(B1903))))*IF(AND(ArtifactsInput!$M$42,((Inputs!$B$9+((C1884=TRUE)*(F1884-Calc!F19))+B1896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1879*(MIN(100,(Inputs!$B$9+((C1884=TRUE)*(F1884-Calc!F19))+B1896+(ArtifactsInput!$M$24-ArtifactsInput!$M$24)*CHOOSE(ArtifactsInput!$N$24+1,10,12,14,16,18,20)+(IF(AND(Inputs!$B$38&lt;&gt;"pvp",Inputs!$B$43=0),1,IF(IF(Inputs!$B$38="pvp",15,Inputs!$B$43)-(B1903)&lt;=0,1,MAX(0,IF(Inputs!$B$38="pvp",15,Inputs!$B$43)-MAX(5,B1903))/(IF(Inputs!$B$38="pvp",15,Inputs!$B$43)-(B1903))))*IF(AND(ArtifactsInput!$M$42,((Inputs!$B$9+((C1884=TRUE)*(F1884-Calc!F19))+B1896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IF(ArtifactsInput!$M$20,FALSE,TRUE),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879">
        <f>IF(C1879,((H1879*(B1900+IF(AND(Inputs!$B$38&lt;&gt;"pvp",Inputs!$B$43&gt;0),((Skills!G8*((R1873-1)*IF(Skills!H8&gt;0,INT(Skills!I8/Skills!H8+0.000000001),1)+IF(Skills!H8&gt;0,INT(MIN(Skills!I8,MAX(0,MAX(0,Inputs!$B$43-B1903)-((R1873-1)*((IF(Inputs!$B$38="pvp",15,MAX(0.1,Skills!D8-IF(TRUE=TRUE,Inputs!$B$32,0)))*(1-IF(AND(ArtifactsInput!$M$27,Inputs!$B$4="Chapter Hunt"),CHOOSE(ArtifactsInput!$N$27+1,20,24,28,32,36,40),0)/100))/B1907))))/Skills!H8+0.000000001),1)))/Inputs!$B$43),G1873*Q1873)+IF(AND(Inputs!$B$38&lt;&gt;"pvp",Inputs!$B$43&gt;0),((Skills!G11*((R1876-1)*IF(Skills!H11&gt;0,INT(Skills!I11/Skills!H11+0.000000001),1)+IF(Skills!H11&gt;0,INT(MIN(Skills!I11,MAX(0,MAX(0,Inputs!$B$43-B1903)-((R1876-1)*((IF(Inputs!$B$38="pvp",15,MAX(0.1,Skills!D11-IF(TRUE=TRUE,Inputs!$B$32,0)))*(1-IF(AND(ArtifactsInput!$M$27,Inputs!$B$4="Chapter Hunt"),CHOOSE(ArtifactsInput!$N$27+1,20,24,28,32,36,40),0)/100))/B1907))))/Skills!H11+0.000000001),1)))/Inputs!$B$43),G1876*Q1876)))/(1+Skills!H14*H1879*(B1900+IF(AND(Inputs!$B$38&lt;&gt;"pvp",Inputs!$B$43&gt;0),((Skills!G8*((R1873-1)*IF(Skills!H8&gt;0,INT(Skills!I8/Skills!H8+0.000000001),1)+IF(Skills!H8&gt;0,INT(MIN(Skills!I8,MAX(0,MAX(0,Inputs!$B$43-B1903)-((R1873-1)*((IF(Inputs!$B$38="pvp",15,MAX(0.1,Skills!D8-IF(TRUE=TRUE,Inputs!$B$32,0)))*(1-IF(AND(ArtifactsInput!$M$27,Inputs!$B$4="Chapter Hunt"),CHOOSE(ArtifactsInput!$N$27+1,20,24,28,32,36,40),0)/100))/B1907))))/Skills!H8+0.000000001),1)))/Inputs!$B$43),G1873*Q1873)+IF(AND(Inputs!$B$38&lt;&gt;"pvp",Inputs!$B$43&gt;0),((Skills!G11*((R1876-1)*IF(Skills!H11&gt;0,INT(Skills!I11/Skills!H11+0.000000001),1)+IF(Skills!H11&gt;0,INT(MIN(Skills!I11,MAX(0,MAX(0,Inputs!$B$43-B1903)-((R1876-1)*((IF(Inputs!$B$38="pvp",15,MAX(0.1,Skills!D11-IF(TRUE=TRUE,Inputs!$B$32,0)))*(1-IF(AND(ArtifactsInput!$M$27,Inputs!$B$4="Chapter Hunt"),CHOOSE(ArtifactsInput!$N$27+1,20,24,28,32,36,40),0)/100))/B1907))))/Skills!H11+0.000000001),1)))/Inputs!$B$43),G1876*Q1876)))*N1879)*IF(Inputs!$B$38="pvp",1,(1+(Inputs!$B$21+Skills!Q14+(IF(ArtifactsInput!$M$33,CHOOSE(ArtifactsInput!$N$33+1,30,36,42,48,54,60),0))+(IF(AND(ArtifactsInput!$M$35,Inputs!$B$4&lt;&gt;"Chapter Hunt"),CHOOSE(ArtifactsInput!$N$35+1,15,18,21,24,27,30)*(1-EXP(-(0.2*B1898)*5)),0)+IF(AND(ArtifactsInput!$M$22,Inputs!$B$4&lt;&gt;"Chapter Hunt"),CHOOSE(ArtifactsInput!$N$22+1,10,12,14,16,18,20)*((0*(((0.15*B1898*5))^0/1)+1*(((0.15*B1898*5))^1/1)+2*(((0.15*B1898*5))^2/2)+3*(((0.15*B1898*5))^3/6)+4*(((0.15*B1898*5))^4/24)+5*(((0.15*B1898*5))^5/120))/((((0.15*B1898*5))^0/1)+(((0.15*B1898*5))^1/1)+(((0.15*B1898*5))^2/2)+(((0.15*B1898*5))^3/6)+(((0.15*B1898*5))^4/24)+(((0.15*B1898*5))^5/120))),0))+IF(Inputs!$B$3&gt;=54,9*(C1868=TRUE)*MIN(1,8*(1+Inputs!$B$34/100)*Q1868),0))/100)*(MIN(Skills!R14,Inputs!$B$37)))*((1+(IF(AND(ArtifactsInput!$M$41,Inputs!$B$38&lt;&gt;"pvp"),CHOOSE(ArtifactsInput!$N$41+1,5,6,7,8,9,10)*IF(OR(Inputs!$B$4="Weapon Dungeon",Inputs!$B$4="Equipment Dungeon",Inputs!$B$4="Enhancement Dungeon",Inputs!$B$4="EXP Dungeon",Inputs!$B$4="Hero Dungeon"),3,1),0)+IF(ArtifactsInput!$M$26,10*CHOOSE(ArtifactsInput!$N$26+1,1,1.2,1.4,1.6,1.8,2),0)+IF(AND(IF(ArtifactsInput!$M$20,FALSE,TRUE),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80">
      <c r="A1880">
        <f>Skills!A15</f>
        <v/>
      </c>
      <c r="B1880">
        <f>Skills!B15</f>
        <v/>
      </c>
      <c r="C1880">
        <f>Inputs!$B$3&gt;=100</f>
        <v/>
      </c>
      <c r="D1880">
        <f>IF(Skills!C15=1,60+Inputs!$B$25+Inputs!$B$29,IF(Skills!C15=2,90+Inputs!$B$26+Inputs!$B$29,IF(Skills!C15=3,120+Inputs!$B$27+Inputs!$B$29,MAX(0,(Inputs!$B$3-100)*3)+Inputs!$B$28+Inputs!$B$29)))</f>
        <v/>
      </c>
      <c r="E1880">
        <f>INDEX(FactorTable!$B$2:$Y$301, MATCH(ROUND(MIN(300,MAX(1,D1880)),0), FactorTable!$A$2:$A$301,0), Skills!M15+1)</f>
        <v/>
      </c>
      <c r="F1880">
        <f>IF(Skills!N15=TRUE,(Skills!L15/10)*(E1880/1000),Skills!L15/10)+Skills!O15</f>
        <v/>
      </c>
      <c r="G1880" t="inlineStr"/>
      <c r="H1880" t="inlineStr"/>
      <c r="I1880" t="inlineStr">
        <is>
          <t>1</t>
        </is>
      </c>
      <c r="J1880" t="inlineStr"/>
      <c r="K1880" t="inlineStr"/>
      <c r="L1880" t="inlineStr"/>
      <c r="M1880" t="inlineStr"/>
      <c r="N1880" t="inlineStr"/>
      <c r="O1880" t="inlineStr"/>
      <c r="P1880" t="inlineStr"/>
      <c r="Q1880" t="inlineStr"/>
      <c r="R1880" t="inlineStr"/>
      <c r="S1880" t="inlineStr"/>
    </row>
    <row r="1881">
      <c r="A1881">
        <f>Skills!A16</f>
        <v/>
      </c>
      <c r="B1881">
        <f>Skills!B16</f>
        <v/>
      </c>
      <c r="C1881">
        <f>Inputs!$B$3&gt;=107</f>
        <v/>
      </c>
      <c r="D1881">
        <f>IF(Skills!C16=1,60+Inputs!$B$25+Inputs!$B$29,IF(Skills!C16=2,90+Inputs!$B$26+Inputs!$B$29,IF(Skills!C16=3,120+Inputs!$B$27+Inputs!$B$29,MAX(0,(Inputs!$B$3-100)*3)+Inputs!$B$28+Inputs!$B$29)))</f>
        <v/>
      </c>
      <c r="E1881">
        <f>INDEX(FactorTable!$B$2:$Y$301, MATCH(ROUND(MIN(300,MAX(1,D1881)),0), FactorTable!$A$2:$A$301,0), Skills!M16+1)</f>
        <v/>
      </c>
      <c r="F1881">
        <f>IF(Skills!N16=TRUE,(Skills!L16/10)*(E1881/1000),Skills!L16/10)+Skills!O16</f>
        <v/>
      </c>
      <c r="G1881" t="inlineStr"/>
      <c r="H1881" t="inlineStr"/>
      <c r="I1881" t="inlineStr">
        <is>
          <t>1</t>
        </is>
      </c>
      <c r="J1881" t="inlineStr"/>
      <c r="K1881" t="inlineStr"/>
      <c r="L1881" t="inlineStr"/>
      <c r="M1881" t="inlineStr"/>
      <c r="N1881" t="inlineStr"/>
      <c r="O1881" t="inlineStr"/>
      <c r="P1881" t="inlineStr"/>
      <c r="Q1881" t="inlineStr"/>
      <c r="R1881" t="inlineStr"/>
      <c r="S1881" t="inlineStr"/>
    </row>
    <row r="1882">
      <c r="A1882">
        <f>Skills!A17</f>
        <v/>
      </c>
      <c r="B1882">
        <f>Skills!B17</f>
        <v/>
      </c>
      <c r="C1882">
        <f>Inputs!$B$3&gt;=74</f>
        <v/>
      </c>
      <c r="D1882">
        <f>IF(Skills!C17=1,60+Inputs!$B$25+Inputs!$B$29,IF(Skills!C17=2,90+Inputs!$B$26+Inputs!$B$29,IF(Skills!C17=3,120+Inputs!$B$27+Inputs!$B$29,MAX(0,(Inputs!$B$3-100)*3)+Inputs!$B$28+Inputs!$B$29)))</f>
        <v/>
      </c>
      <c r="E1882">
        <f>INDEX(FactorTable!$B$2:$Y$301, MATCH(ROUND(MIN(300,MAX(1,D1882)),0), FactorTable!$A$2:$A$301,0), Skills!M17+1)</f>
        <v/>
      </c>
      <c r="F1882">
        <f>IF(Skills!N17=TRUE,(Skills!L17/10)*(E1882/1000),Skills!L17/10)+Skills!O17</f>
        <v/>
      </c>
      <c r="G1882">
        <f>Skills!G17*IF(Skills!H17&gt;0,INT(IF(Inputs!$B$38="pvp",MIN(Skills!I17,15),Skills!I17)/Skills!H17+0.000000001),1)</f>
        <v/>
      </c>
      <c r="H1882">
        <f>1-(1-Skills!J17/100)^Skills!K17</f>
        <v/>
      </c>
      <c r="I1882" t="inlineStr">
        <is>
          <t>1</t>
        </is>
      </c>
      <c r="J1882" t="inlineStr"/>
      <c r="K1882" t="inlineStr"/>
      <c r="L1882" t="inlineStr"/>
      <c r="M1882" t="inlineStr"/>
      <c r="N1882" t="inlineStr"/>
      <c r="O1882">
        <f>(1-Summary!$B$11)*T1882+Summary!$B$11*V1882</f>
        <v/>
      </c>
      <c r="P1882">
        <f>IF(B1906=0,0,O1882/B1906)</f>
        <v/>
      </c>
      <c r="Q1882" t="n">
        <v>0</v>
      </c>
      <c r="R1882" t="n">
        <v>0</v>
      </c>
      <c r="S1882">
        <f>IFERROR(O1882/N1882,0)</f>
        <v/>
      </c>
      <c r="T1882" t="n">
        <v>0</v>
      </c>
      <c r="V1882" t="n">
        <v>0</v>
      </c>
    </row>
    <row r="1883">
      <c r="A1883">
        <f>Skills!A18</f>
        <v/>
      </c>
      <c r="B1883">
        <f>Skills!B18</f>
        <v/>
      </c>
      <c r="C1883">
        <f>Inputs!$B$3&gt;=115</f>
        <v/>
      </c>
      <c r="D1883">
        <f>IF(Skills!C18=1,60+Inputs!$B$25+Inputs!$B$29,IF(Skills!C18=2,90+Inputs!$B$26+Inputs!$B$29,IF(Skills!C18=3,120+Inputs!$B$27+Inputs!$B$29,MAX(0,(Inputs!$B$3-100)*3)+Inputs!$B$28+Inputs!$B$29)))</f>
        <v/>
      </c>
      <c r="E1883">
        <f>INDEX(FactorTable!$B$2:$Y$301, MATCH(ROUND(MIN(300,MAX(1,D1883)),0), FactorTable!$A$2:$A$301,0), Skills!M18+1)</f>
        <v/>
      </c>
      <c r="F1883">
        <f>IF(Skills!N18=TRUE,(Skills!L18/10)*(E1883/1000),Skills!L18/10)+Skills!O18</f>
        <v/>
      </c>
      <c r="G1883">
        <f>Skills!G18*IF(Skills!H18&gt;0,INT(IF(Inputs!$B$38="pvp",MIN(Skills!I18,15),Skills!I18)/Skills!H18+0.000000001),1)</f>
        <v/>
      </c>
      <c r="H1883">
        <f>1-(1-Skills!J18/100)^Skills!K18</f>
        <v/>
      </c>
      <c r="I1883" t="inlineStr">
        <is>
          <t>1</t>
        </is>
      </c>
      <c r="J1883" t="inlineStr"/>
      <c r="K1883" t="inlineStr"/>
      <c r="L1883" t="inlineStr"/>
      <c r="M1883" t="inlineStr"/>
      <c r="N1883" t="inlineStr"/>
      <c r="O1883">
        <f>(1-Summary!$B$11)*T1883+Summary!$B$11*V1883</f>
        <v/>
      </c>
      <c r="P1883">
        <f>IF(B1906=0,0,O1883/B1906)</f>
        <v/>
      </c>
      <c r="Q1883">
        <f>IFERROR(1/(IF(Inputs!$B$38="pvp",15,MAX(0.1,Skills!D18-IF(TRUE=TRUE,Inputs!$B$32,0)))*(1-IF(AND(ArtifactsInput!$M$27,Inputs!$B$4="Chapter Hunt"),CHOOSE(ArtifactsInput!$N$27+1,20,24,28,32,36,40),0)/100)),0)</f>
        <v/>
      </c>
      <c r="R1883">
        <f>IF(AND(Inputs!$B$38&lt;&gt;"pvp",Inputs!$B$43&gt;0),IF(Inputs!$B$43&lt;=0,0,(INT(Inputs!$B$43/(IF(Inputs!$B$38="pvp",15,MAX(0.1,Skills!D18-IF(TRUE=TRUE,Inputs!$B$32,0)))*(1-IF(AND(ArtifactsInput!$M$27,Inputs!$B$4="Chapter Hunt"),CHOOSE(ArtifactsInput!$N$27+1,20,24,28,32,36,40),0)/100)))+1)),0)</f>
        <v/>
      </c>
      <c r="S1883">
        <f>IFERROR(O1883/N1883,0)</f>
        <v/>
      </c>
      <c r="T1883" t="n">
        <v>0</v>
      </c>
      <c r="V1883" t="n">
        <v>0</v>
      </c>
    </row>
    <row r="1884">
      <c r="A1884">
        <f>Skills!A19</f>
        <v/>
      </c>
      <c r="B1884">
        <f>Skills!B19</f>
        <v/>
      </c>
      <c r="C1884">
        <f>Inputs!$B$3&gt;=10</f>
        <v/>
      </c>
      <c r="D1884">
        <f>IF(Skills!C19=1,60+Inputs!$B$25+Inputs!$B$29,IF(Skills!C19=2,90+Inputs!$B$26+Inputs!$B$29,IF(Skills!C19=3,120+Inputs!$B$27+Inputs!$B$29,MAX(0,(Inputs!$B$3-100)*3)+Inputs!$B$28+Inputs!$B$29)))</f>
        <v/>
      </c>
      <c r="E1884">
        <f>INDEX(FactorTable!$B$2:$Y$301, MATCH(ROUND(MIN(300,MAX(1,D1884)),0), FactorTable!$A$2:$A$301,0), Skills!M19+1)</f>
        <v/>
      </c>
      <c r="F1884">
        <f>IF(Skills!N19=TRUE,(Skills!L19/10)*(E1884/1000),Skills!L19/10)+Skills!O19</f>
        <v/>
      </c>
      <c r="G1884">
        <f>Skills!G19*IF(Skills!H19&gt;0,INT(IF(Inputs!$B$38="pvp",MIN(Skills!I19,15),Skills!I19)/Skills!H19+0.000000001),1)</f>
        <v/>
      </c>
      <c r="H1884">
        <f>1-(1-Skills!J19/100)^Skills!K19</f>
        <v/>
      </c>
      <c r="I1884" t="inlineStr">
        <is>
          <t>1</t>
        </is>
      </c>
      <c r="J1884" t="inlineStr"/>
      <c r="K1884" t="inlineStr"/>
      <c r="L1884" t="inlineStr"/>
      <c r="M1884" t="inlineStr"/>
      <c r="N1884" t="inlineStr"/>
      <c r="O1884">
        <f>(1-Summary!$B$11)*T1884+Summary!$B$11*V1884</f>
        <v/>
      </c>
      <c r="P1884">
        <f>IF(B1906=0,0,O1884/B1906)</f>
        <v/>
      </c>
      <c r="Q1884" t="n">
        <v>0</v>
      </c>
      <c r="R1884" t="n">
        <v>0</v>
      </c>
      <c r="S1884">
        <f>IFERROR(O1884/N1884,0)</f>
        <v/>
      </c>
      <c r="T1884" t="n">
        <v>0</v>
      </c>
      <c r="V1884" t="n">
        <v>0</v>
      </c>
    </row>
    <row r="1885">
      <c r="A1885">
        <f>Skills!A20</f>
        <v/>
      </c>
      <c r="B1885">
        <f>Skills!B20</f>
        <v/>
      </c>
      <c r="C1885">
        <f>Inputs!$B$3&gt;=15</f>
        <v/>
      </c>
      <c r="D1885">
        <f>IF(Skills!C20=1,60+Inputs!$B$25+Inputs!$B$29,IF(Skills!C20=2,90+Inputs!$B$26+Inputs!$B$29,IF(Skills!C20=3,120+Inputs!$B$27+Inputs!$B$29,MAX(0,(Inputs!$B$3-100)*3)+Inputs!$B$28+Inputs!$B$29)))</f>
        <v/>
      </c>
      <c r="E1885">
        <f>INDEX(FactorTable!$B$2:$Y$301, MATCH(ROUND(MIN(300,MAX(1,D1885)),0), FactorTable!$A$2:$A$301,0), Skills!M20+1)</f>
        <v/>
      </c>
      <c r="F1885">
        <f>IF(Skills!N20=TRUE,(Skills!L20/10)*(E1885/1000),Skills!L20/10)+Skills!O20</f>
        <v/>
      </c>
      <c r="G1885">
        <f>Skills!G20*IF(Skills!H20&gt;0,INT(IF(Inputs!$B$38="pvp",MIN(Skills!I20,15),Skills!I20)/Skills!H20+0.000000001),1)</f>
        <v/>
      </c>
      <c r="H1885">
        <f>1-(1-Skills!J20/100)^Skills!K20</f>
        <v/>
      </c>
      <c r="I1885" t="inlineStr">
        <is>
          <t>1</t>
        </is>
      </c>
      <c r="J1885" t="inlineStr"/>
      <c r="K1885" t="inlineStr"/>
      <c r="L1885" t="inlineStr"/>
      <c r="M1885" t="inlineStr"/>
      <c r="N1885" t="inlineStr"/>
      <c r="O1885">
        <f>(1-Summary!$B$11)*T1885+Summary!$B$11*V1885</f>
        <v/>
      </c>
      <c r="P1885">
        <f>IF(B1906=0,0,O1885/B1906)</f>
        <v/>
      </c>
      <c r="Q1885" t="n">
        <v>0</v>
      </c>
      <c r="R1885" t="n">
        <v>0</v>
      </c>
      <c r="S1885">
        <f>IFERROR(O1885/N1885,0)</f>
        <v/>
      </c>
      <c r="T1885" t="n">
        <v>0</v>
      </c>
      <c r="V1885" t="n">
        <v>0</v>
      </c>
    </row>
    <row r="1886">
      <c r="A1886">
        <f>Skills!A21</f>
        <v/>
      </c>
      <c r="B1886">
        <f>Skills!B21</f>
        <v/>
      </c>
      <c r="C1886">
        <f>Inputs!$B$3&gt;=40</f>
        <v/>
      </c>
      <c r="D1886">
        <f>IF(Skills!C21=1,60+Inputs!$B$25+Inputs!$B$29,IF(Skills!C21=2,90+Inputs!$B$26+Inputs!$B$29,IF(Skills!C21=3,120+Inputs!$B$27+Inputs!$B$29,MAX(0,(Inputs!$B$3-100)*3)+Inputs!$B$28+Inputs!$B$29)))</f>
        <v/>
      </c>
      <c r="E1886">
        <f>INDEX(FactorTable!$B$2:$Y$301, MATCH(ROUND(MIN(300,MAX(1,D1886)),0), FactorTable!$A$2:$A$301,0), Skills!M21+1)</f>
        <v/>
      </c>
      <c r="F1886">
        <f>IF(Skills!N21=TRUE,(Skills!L21/10)*(E1886/1000),Skills!L21/10)+Skills!O21</f>
        <v/>
      </c>
      <c r="G1886">
        <f>Skills!G21*IF(Skills!H21&gt;0,INT(IF(Inputs!$B$38="pvp",MIN(Skills!I21,15),Skills!I21)/Skills!H21+0.000000001),1)</f>
        <v/>
      </c>
      <c r="H1886">
        <f>1-(1-Skills!J21/100)^Skills!K21</f>
        <v/>
      </c>
      <c r="I1886" t="inlineStr">
        <is>
          <t>1</t>
        </is>
      </c>
      <c r="J1886" t="inlineStr"/>
      <c r="K1886" t="inlineStr"/>
      <c r="L1886" t="inlineStr"/>
      <c r="M1886" t="inlineStr"/>
      <c r="N1886" t="inlineStr"/>
      <c r="O1886">
        <f>(1-Summary!$B$11)*T1886+Summary!$B$11*V1886</f>
        <v/>
      </c>
      <c r="P1886">
        <f>IF(B1906=0,0,O1886/B1906)</f>
        <v/>
      </c>
      <c r="Q1886" t="n">
        <v>0</v>
      </c>
      <c r="R1886" t="n">
        <v>0</v>
      </c>
      <c r="S1886">
        <f>IFERROR(O1886/N1886,0)</f>
        <v/>
      </c>
      <c r="T1886" t="n">
        <v>0</v>
      </c>
      <c r="V1886" t="n">
        <v>0</v>
      </c>
    </row>
    <row r="1887">
      <c r="A1887">
        <f>Skills!A22</f>
        <v/>
      </c>
      <c r="B1887">
        <f>Skills!B22</f>
        <v/>
      </c>
      <c r="C1887">
        <f>Inputs!$B$3&gt;=43</f>
        <v/>
      </c>
      <c r="D1887">
        <f>IF(Skills!C22=1,60+Inputs!$B$25+Inputs!$B$29,IF(Skills!C22=2,90+Inputs!$B$26+Inputs!$B$29,IF(Skills!C22=3,120+Inputs!$B$27+Inputs!$B$29,MAX(0,(Inputs!$B$3-100)*3)+Inputs!$B$28+Inputs!$B$29)))</f>
        <v/>
      </c>
      <c r="E1887">
        <f>INDEX(FactorTable!$B$2:$Y$301, MATCH(ROUND(MIN(300,MAX(1,D1887)),0), FactorTable!$A$2:$A$301,0), Skills!M22+1)</f>
        <v/>
      </c>
      <c r="F1887">
        <f>IF(Skills!N22=TRUE,(Skills!L22/10)*(E1887/1000),Skills!L22/10)+Skills!O22</f>
        <v/>
      </c>
      <c r="G1887">
        <f>Skills!G22*IF(Skills!H22&gt;0,INT(IF(Inputs!$B$38="pvp",MIN(Skills!I22,15),Skills!I22)/Skills!H22+0.000000001),1)</f>
        <v/>
      </c>
      <c r="H1887">
        <f>1-(1-Skills!J22/100)^Skills!K22</f>
        <v/>
      </c>
      <c r="I1887" t="inlineStr">
        <is>
          <t>1</t>
        </is>
      </c>
      <c r="J1887" t="inlineStr"/>
      <c r="K1887" t="inlineStr"/>
      <c r="L1887" t="inlineStr"/>
      <c r="M1887" t="inlineStr"/>
      <c r="N1887" t="inlineStr"/>
      <c r="O1887">
        <f>(1-Summary!$B$11)*T1887+Summary!$B$11*V1887</f>
        <v/>
      </c>
      <c r="P1887">
        <f>IF(B1906=0,0,O1887/B1906)</f>
        <v/>
      </c>
      <c r="Q1887" t="n">
        <v>0</v>
      </c>
      <c r="R1887" t="n">
        <v>0</v>
      </c>
      <c r="S1887">
        <f>IFERROR(O1887/N1887,0)</f>
        <v/>
      </c>
      <c r="T1887" t="n">
        <v>0</v>
      </c>
      <c r="V1887" t="n">
        <v>0</v>
      </c>
    </row>
    <row r="1888">
      <c r="A1888">
        <f>Skills!A23</f>
        <v/>
      </c>
      <c r="B1888">
        <f>Skills!B23</f>
        <v/>
      </c>
      <c r="C1888">
        <f>Inputs!$B$3&gt;=38</f>
        <v/>
      </c>
      <c r="D1888">
        <f>IF(Skills!C23=1,60+Inputs!$B$25+Inputs!$B$29,IF(Skills!C23=2,90+Inputs!$B$26+Inputs!$B$29,IF(Skills!C23=3,120+Inputs!$B$27+Inputs!$B$29,MAX(0,(Inputs!$B$3-100)*3)+Inputs!$B$28+Inputs!$B$29)))</f>
        <v/>
      </c>
      <c r="E1888">
        <f>INDEX(FactorTable!$B$2:$Y$301, MATCH(ROUND(MIN(300,MAX(1,D1888)),0), FactorTable!$A$2:$A$301,0), Skills!M23+1)</f>
        <v/>
      </c>
      <c r="F1888">
        <f>IF(Skills!N23=TRUE,(Skills!L23/10)*(E1888/1000),Skills!L23/10)+Skills!O23</f>
        <v/>
      </c>
      <c r="G1888">
        <f>Skills!G23*IF(Skills!H23&gt;0,INT(IF(Inputs!$B$38="pvp",MIN(Skills!I23,15),Skills!I23)/Skills!H23+0.000000001),1)</f>
        <v/>
      </c>
      <c r="H1888">
        <f>1-(1-Skills!J23/100)^Skills!K23</f>
        <v/>
      </c>
      <c r="I1888" t="inlineStr">
        <is>
          <t>1</t>
        </is>
      </c>
      <c r="J1888" t="inlineStr"/>
      <c r="K1888" t="inlineStr"/>
      <c r="L1888" t="inlineStr"/>
      <c r="M1888" t="inlineStr"/>
      <c r="N1888" t="inlineStr"/>
      <c r="O1888">
        <f>(1-Summary!$B$11)*T1888+Summary!$B$11*V1888</f>
        <v/>
      </c>
      <c r="P1888">
        <f>IF(B1906=0,0,O1888/B1906)</f>
        <v/>
      </c>
      <c r="Q1888" t="n">
        <v>0</v>
      </c>
      <c r="R1888" t="n">
        <v>0</v>
      </c>
      <c r="S1888">
        <f>IFERROR(O1888/N1888,0)</f>
        <v/>
      </c>
      <c r="T1888" t="n">
        <v>0</v>
      </c>
      <c r="V1888" t="n">
        <v>0</v>
      </c>
    </row>
    <row r="1889">
      <c r="A1889">
        <f>Skills!A24</f>
        <v/>
      </c>
      <c r="B1889">
        <f>Skills!B24</f>
        <v/>
      </c>
      <c r="C1889">
        <f>Inputs!$B$3&gt;=45</f>
        <v/>
      </c>
      <c r="D1889">
        <f>IF(Skills!C24=1,60+Inputs!$B$25+Inputs!$B$29,IF(Skills!C24=2,90+Inputs!$B$26+Inputs!$B$29,IF(Skills!C24=3,120+Inputs!$B$27+Inputs!$B$29,MAX(0,(Inputs!$B$3-100)*3)+Inputs!$B$28+Inputs!$B$29)))</f>
        <v/>
      </c>
      <c r="E1889">
        <f>INDEX(FactorTable!$B$2:$Y$301, MATCH(ROUND(MIN(300,MAX(1,D1889)),0), FactorTable!$A$2:$A$301,0), Skills!M24+1)</f>
        <v/>
      </c>
      <c r="F1889">
        <f>IF(Skills!N24=TRUE,(Skills!L24/10)*(E1889/1000),Skills!L24/10)+Skills!O24</f>
        <v/>
      </c>
      <c r="G1889">
        <f>Skills!G24*IF(Skills!H24&gt;0,INT(IF(Inputs!$B$38="pvp",MIN(Skills!I24,15),Skills!I24)/Skills!H24+0.000000001),1)</f>
        <v/>
      </c>
      <c r="H1889">
        <f>1-(1-Skills!J24/100)^Skills!K24</f>
        <v/>
      </c>
      <c r="I1889" t="inlineStr">
        <is>
          <t>1</t>
        </is>
      </c>
      <c r="J1889" t="inlineStr"/>
      <c r="K1889" t="inlineStr"/>
      <c r="L1889" t="inlineStr"/>
      <c r="M1889" t="inlineStr"/>
      <c r="N1889" t="inlineStr"/>
      <c r="O1889">
        <f>(1-Summary!$B$11)*T1889+Summary!$B$11*V1889</f>
        <v/>
      </c>
      <c r="P1889">
        <f>IF(B1906=0,0,O1889/B1906)</f>
        <v/>
      </c>
      <c r="Q1889" t="n">
        <v>0</v>
      </c>
      <c r="R1889" t="n">
        <v>0</v>
      </c>
      <c r="S1889">
        <f>IFERROR(O1889/N1889,0)</f>
        <v/>
      </c>
      <c r="T1889" t="n">
        <v>0</v>
      </c>
      <c r="V1889" t="n">
        <v>0</v>
      </c>
    </row>
    <row r="1890">
      <c r="A1890">
        <f>Skills!A25</f>
        <v/>
      </c>
      <c r="B1890">
        <f>Skills!B25</f>
        <v/>
      </c>
      <c r="C1890">
        <f>Inputs!$B$3&gt;=72</f>
        <v/>
      </c>
      <c r="D1890">
        <f>IF(Skills!C25=1,60+Inputs!$B$25+Inputs!$B$29,IF(Skills!C25=2,90+Inputs!$B$26+Inputs!$B$29,IF(Skills!C25=3,120+Inputs!$B$27+Inputs!$B$29,MAX(0,(Inputs!$B$3-100)*3)+Inputs!$B$28+Inputs!$B$29)))</f>
        <v/>
      </c>
      <c r="E1890">
        <f>INDEX(FactorTable!$B$2:$Y$301, MATCH(ROUND(MIN(300,MAX(1,D1890)),0), FactorTable!$A$2:$A$301,0), Skills!M25+1)</f>
        <v/>
      </c>
      <c r="F1890">
        <f>IF(Skills!N25=TRUE,(Skills!L25/10)*(E1890/1000),Skills!L25/10)+Skills!O25</f>
        <v/>
      </c>
      <c r="G1890">
        <f>Skills!G25*IF(Skills!H25&gt;0,INT(IF(Inputs!$B$38="pvp",MIN(Skills!I25,15),Skills!I25)/Skills!H25+0.000000001),1)</f>
        <v/>
      </c>
      <c r="H1890">
        <f>1-(1-Skills!J25/100)^Skills!K25</f>
        <v/>
      </c>
      <c r="I1890" t="inlineStr">
        <is>
          <t>1</t>
        </is>
      </c>
      <c r="J1890" t="inlineStr"/>
      <c r="K1890" t="inlineStr"/>
      <c r="L1890" t="inlineStr"/>
      <c r="M1890" t="inlineStr"/>
      <c r="N1890" t="inlineStr"/>
      <c r="O1890">
        <f>(1-Summary!$B$11)*T1890+Summary!$B$11*V1890</f>
        <v/>
      </c>
      <c r="P1890">
        <f>IF(B1906=0,0,O1890/B1906)</f>
        <v/>
      </c>
      <c r="Q1890" t="n">
        <v>0</v>
      </c>
      <c r="R1890" t="n">
        <v>0</v>
      </c>
      <c r="S1890">
        <f>IFERROR(O1890/N1890,0)</f>
        <v/>
      </c>
      <c r="T1890" t="n">
        <v>0</v>
      </c>
      <c r="V1890" t="n">
        <v>0</v>
      </c>
    </row>
    <row r="1891">
      <c r="A1891">
        <f>Skills!A26</f>
        <v/>
      </c>
      <c r="B1891">
        <f>Skills!B26</f>
        <v/>
      </c>
      <c r="C1891">
        <f>Inputs!$B$3&gt;=75</f>
        <v/>
      </c>
      <c r="D1891">
        <f>IF(Skills!C26=1,60+Inputs!$B$25+Inputs!$B$29,IF(Skills!C26=2,90+Inputs!$B$26+Inputs!$B$29,IF(Skills!C26=3,120+Inputs!$B$27+Inputs!$B$29,MAX(0,(Inputs!$B$3-100)*3)+Inputs!$B$28+Inputs!$B$29)))</f>
        <v/>
      </c>
      <c r="E1891">
        <f>INDEX(FactorTable!$B$2:$Y$301, MATCH(ROUND(MIN(300,MAX(1,D1891)),0), FactorTable!$A$2:$A$301,0), Skills!M26+1)</f>
        <v/>
      </c>
      <c r="F1891">
        <f>IF(Skills!N26=TRUE,(Skills!L26/10)*(E1891/1000),Skills!L26/10)+Skills!O26</f>
        <v/>
      </c>
      <c r="G1891">
        <f>Skills!G26*IF(Skills!H26&gt;0,INT(IF(Inputs!$B$38="pvp",MIN(Skills!I26,15),Skills!I26)/Skills!H26+0.000000001),1)</f>
        <v/>
      </c>
      <c r="H1891">
        <f>1-(1-Skills!J26/100)^Skills!K26</f>
        <v/>
      </c>
      <c r="I1891" t="inlineStr">
        <is>
          <t>1</t>
        </is>
      </c>
      <c r="J1891" t="inlineStr"/>
      <c r="K1891" t="inlineStr"/>
      <c r="L1891" t="inlineStr"/>
      <c r="M1891" t="inlineStr"/>
      <c r="N1891" t="inlineStr"/>
      <c r="O1891">
        <f>(1-Summary!$B$11)*T1891+Summary!$B$11*V1891</f>
        <v/>
      </c>
      <c r="P1891">
        <f>IF(B1906=0,0,O1891/B1906)</f>
        <v/>
      </c>
      <c r="Q1891" t="n">
        <v>0</v>
      </c>
      <c r="R1891" t="n">
        <v>0</v>
      </c>
      <c r="S1891">
        <f>IFERROR(O1891/N1891,0)</f>
        <v/>
      </c>
      <c r="T1891" t="n">
        <v>0</v>
      </c>
      <c r="V1891" t="n">
        <v>0</v>
      </c>
    </row>
    <row r="1892">
      <c r="A1892">
        <f>Skills!A27</f>
        <v/>
      </c>
      <c r="B1892">
        <f>Skills!B27</f>
        <v/>
      </c>
      <c r="C1892">
        <f>Inputs!$B$3&gt;=125</f>
        <v/>
      </c>
      <c r="D1892">
        <f>IF(Skills!C27=1,60+Inputs!$B$25+Inputs!$B$29,IF(Skills!C27=2,90+Inputs!$B$26+Inputs!$B$29,IF(Skills!C27=3,120+Inputs!$B$27+Inputs!$B$29,MAX(0,(Inputs!$B$3-100)*3)+Inputs!$B$28+Inputs!$B$29)))</f>
        <v/>
      </c>
      <c r="E1892">
        <f>INDEX(FactorTable!$B$2:$Y$301, MATCH(ROUND(MIN(300,MAX(1,D1892)),0), FactorTable!$A$2:$A$301,0), Skills!M27+1)</f>
        <v/>
      </c>
      <c r="F1892">
        <f>IF(Skills!N27=TRUE,(Skills!L27/10)*(E1892/1000),Skills!L27/10)+Skills!O27</f>
        <v/>
      </c>
      <c r="G1892">
        <f>Skills!G27*IF(Skills!H27&gt;0,INT(IF(Inputs!$B$38="pvp",MIN(Skills!I27,15),Skills!I27)/Skills!H27+0.000000001),1)</f>
        <v/>
      </c>
      <c r="H1892">
        <f>1-(1-Skills!J27/100)^Skills!K27</f>
        <v/>
      </c>
      <c r="I1892" t="inlineStr">
        <is>
          <t>1</t>
        </is>
      </c>
      <c r="J1892" t="inlineStr"/>
      <c r="K1892" t="inlineStr"/>
      <c r="L1892" t="inlineStr"/>
      <c r="M1892" t="inlineStr"/>
      <c r="N1892" t="inlineStr"/>
      <c r="O1892">
        <f>(1-Summary!$B$11)*T1892+Summary!$B$11*V1892</f>
        <v/>
      </c>
      <c r="P1892">
        <f>IF(B1906=0,0,O1892/B1906)</f>
        <v/>
      </c>
      <c r="Q1892" t="n">
        <v>0</v>
      </c>
      <c r="R1892" t="n">
        <v>0</v>
      </c>
      <c r="S1892">
        <f>IFERROR(O1892/N1892,0)</f>
        <v/>
      </c>
      <c r="T1892" t="n">
        <v>0</v>
      </c>
      <c r="V1892" t="n">
        <v>0</v>
      </c>
    </row>
    <row r="1893">
      <c r="A1893">
        <f>Skills!A28</f>
        <v/>
      </c>
      <c r="B1893">
        <f>Skills!B28</f>
        <v/>
      </c>
      <c r="C1893">
        <f>TRUE</f>
        <v/>
      </c>
      <c r="D1893">
        <f>IF(Skills!C28=1,60+Inputs!$B$25+Inputs!$B$29,IF(Skills!C28=2,90+Inputs!$B$26+Inputs!$B$29,IF(Skills!C28=3,120+Inputs!$B$27+Inputs!$B$29,MAX(0,(Inputs!$B$3-100)*3)+Inputs!$B$28+Inputs!$B$29)))</f>
        <v/>
      </c>
      <c r="E1893">
        <f>INDEX(FactorTable!$B$2:$Y$301, MATCH(ROUND(MIN(300,MAX(1,D1893)),0), FactorTable!$A$2:$A$301,0), Skills!M28+1)</f>
        <v/>
      </c>
      <c r="F1893">
        <f>IF(Skills!N28=TRUE,(Skills!L28/10)*(E1893/1000),Skills!L28/10)+Skills!O28</f>
        <v/>
      </c>
      <c r="G1893">
        <f>Skills!G28*IF(Skills!H28&gt;0,INT(IF(Inputs!$B$38="pvp",MIN(Skills!I28,15),Skills!I28)/Skills!H28+0.000000001),1)</f>
        <v/>
      </c>
      <c r="H1893">
        <f>1-(1-Skills!J28/100)^Skills!K28</f>
        <v/>
      </c>
      <c r="I1893" t="inlineStr">
        <is>
          <t>1</t>
        </is>
      </c>
      <c r="J1893" t="inlineStr"/>
      <c r="K1893" t="inlineStr"/>
      <c r="L1893" t="inlineStr"/>
      <c r="M1893" t="inlineStr"/>
      <c r="N1893" t="inlineStr"/>
      <c r="O1893">
        <f>(1-Summary!$B$11)*T1893+Summary!$B$11*V1893</f>
        <v/>
      </c>
      <c r="P1893">
        <f>IF(B1906=0,0,O1893/B1906)</f>
        <v/>
      </c>
      <c r="Q1893">
        <f>IFERROR(1/(IF(Inputs!$B$38="pvp",15,MAX(0.1,Skills!D28-IF(TRUE=TRUE,Inputs!$B$32,0)))*(1-IF(AND(ArtifactsInput!$M$27,Inputs!$B$4="Chapter Hunt"),CHOOSE(ArtifactsInput!$N$27+1,20,24,28,32,36,40),0)/100)),0)</f>
        <v/>
      </c>
      <c r="R1893">
        <f>IF(AND(Inputs!$B$38&lt;&gt;"pvp",Inputs!$B$43&gt;0),IF(Inputs!$B$43&lt;=0,0,(INT(Inputs!$B$43/(IF(Inputs!$B$38="pvp",15,MAX(0.1,Skills!D28-IF(TRUE=TRUE,Inputs!$B$32,0)))*(1-IF(AND(ArtifactsInput!$M$27,Inputs!$B$4="Chapter Hunt"),CHOOSE(ArtifactsInput!$N$27+1,20,24,28,32,36,40),0)/100)))+1)),0)</f>
        <v/>
      </c>
      <c r="S1893">
        <f>IFERROR(O1893/N1893,0)</f>
        <v/>
      </c>
      <c r="T1893" t="n">
        <v>0</v>
      </c>
      <c r="V1893" t="n">
        <v>0</v>
      </c>
    </row>
    <row r="1895">
      <c r="A1895" t="inlineStr">
        <is>
          <t>Attack% Bucket Multiplier</t>
        </is>
      </c>
      <c r="B1895">
        <f>(1+(((C1882=TRUE)*F1882*5/7)+((C1889=TRUE)*(F1889-Calc!F24))+(IF(ArtifactsInput!$M$21,CHOOSE(ArtifactsInput!$N$21+1,25,30,35,40,45,50)*(IF(OR(Inputs!$B$4="Chapter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896">
      <c r="A1896" t="inlineStr">
        <is>
          <t>Global Crit Rate Bonus %</t>
        </is>
      </c>
      <c r="B1896" t="n">
        <v>0</v>
      </c>
    </row>
    <row r="1897">
      <c r="A1897" t="inlineStr">
        <is>
          <t>Attack Speed Buff Bonus % (Nimble Feet, duty-cycle averaged)</t>
        </is>
      </c>
      <c r="B1897">
        <f>((C1893=TRUE)*F1893*IF(AND(Inputs!$B$38&lt;&gt;"pvp",Inputs!$B$43&gt;0),(((R1893-1)*MIN((Skills!T28*(1+Inputs!$B$34/100)),(1/Q1893))+MIN((Skills!T28*(1+Inputs!$B$34/100)),MAX(0,Inputs!$B$43-((R1893-1)*(1/Q1893)))))/Inputs!$B$43),IF(Inputs!$B$38="pvp",MIN((Skills!T28*(1+Inputs!$B$34/100)),15)/15,MIN(1,(Skills!T28*(1+Inputs!$B$34/100))/(1/Q1893)))))</f>
        <v/>
      </c>
    </row>
    <row r="1898">
      <c r="A1898" t="inlineStr">
        <is>
          <t>Actions Per Second</t>
        </is>
      </c>
      <c r="B1898">
        <f>1+MIN(150,150*(1-(1-(Inputs!$B$11+((C1885=TRUE)*(F1885-Calc!F20))+((C1886=TRUE)*(F1886-Calc!F21)))/150)*(1-B1897/150)))/100</f>
        <v/>
      </c>
    </row>
    <row r="1899">
      <c r="A1899" t="inlineStr">
        <is>
          <t>Skill + Buff Cast Rate</t>
        </is>
      </c>
      <c r="B1899">
        <f>IF(AND(Inputs!$B$38&lt;&gt;"pvp",Inputs!$B$43&gt;0),SUMPRODUCT((Skills!E2:E28=TRUE)*(C1867:C1893=TRUE)*R1867:R1893*Skills!F2:F28)/Inputs!$B$43,SUMPRODUCT((Skills!E2:E28=TRUE)*(C1867:C1893=TRUE)*Q1867:Q1893*Skills!F2:F28))</f>
        <v/>
      </c>
    </row>
    <row r="1900">
      <c r="A1900" t="inlineStr">
        <is>
          <t>Eight-Legs Easton Casts Per Second</t>
        </is>
      </c>
      <c r="B1900">
        <f>MAX(0,B1898-B1899)</f>
        <v/>
      </c>
    </row>
    <row r="1901">
      <c r="A1901" t="inlineStr">
        <is>
          <t>Global Critical Damage Bonus % (unused)</t>
        </is>
      </c>
      <c r="B1901" t="n">
        <v>0</v>
      </c>
    </row>
    <row r="1902">
      <c r="A1902" t="inlineStr">
        <is>
          <t>Global Final Damage Bonus % (Jolly Roger + Ahoy Mateys - Final Damage proc)</t>
        </is>
      </c>
      <c r="B1902">
        <f>((C1883=TRUE)*F1883*IF(AND(Inputs!$B$38&lt;&gt;"pvp",Inputs!$B$43&gt;0),(((R1883-1)*MIN((Skills!T18*(1+Inputs!$B$34/100)),(1/Q1883))+MIN((Skills!T18*(1+Inputs!$B$34/100)),MAX(0,Inputs!$B$43-((R1883-1)*(1/Q1883)))))/Inputs!$B$43),IF(Inputs!$B$38="pvp",MIN((Skills!T18*(1+Inputs!$B$34/100)),15)/15,MIN(1,(Skills!T18*(1+Inputs!$B$34/100))/(1/Q1883)))))+IF(Inputs!$B$3&gt;=122,20*IF(Inputs!$B$38="pvp",MIN((20*(1+Inputs!$B$34/100)),15)/15,MIN(1,(20*(1+Inputs!$B$34/100))/(1/Q1869))),0)</f>
        <v/>
      </c>
    </row>
    <row r="1903">
      <c r="A1903" t="inlineStr">
        <is>
          <t>Buff-Casting Startup Delay (s, fixed-duration only)</t>
        </is>
      </c>
      <c r="B1903">
        <f>IF(AND(Inputs!$B$38&lt;&gt;"pvp",Inputs!$B$43&gt;0),SUMPRODUCT((Skills!T2:T28&gt;0)*(Skills!E2:E28=TRUE)*(C1867:C1893=TRUE))/B1898,0)</f>
        <v/>
      </c>
    </row>
    <row r="1904">
      <c r="A1904" t="inlineStr">
        <is>
          <t>Boss-Only Total DPS (this block's swept value)</t>
        </is>
      </c>
      <c r="B1904">
        <f>SUM(T1867:T1893)</f>
        <v/>
      </c>
    </row>
    <row r="1905">
      <c r="A1905" t="inlineStr">
        <is>
          <t>Normal-Only Total DPS (this block's swept value)</t>
        </is>
      </c>
      <c r="B1905">
        <f>SUM(V1867:V1893)</f>
        <v/>
      </c>
    </row>
    <row r="1906">
      <c r="A1906" s="6" t="inlineStr">
        <is>
          <t>TOTAL DPS</t>
        </is>
      </c>
      <c r="B1906" s="6">
        <f>SUM(O1867:O1893)</f>
        <v/>
      </c>
    </row>
    <row r="1907">
      <c r="A1907" t="inlineStr">
        <is>
          <t>Quickdraw cooldown divisor (this block's own APS / Q)</t>
        </is>
      </c>
      <c r="B1907">
        <f>IF(AND(C1892=TRUE,Inputs!$B$38&lt;&gt;"pvp"),1+0.25*MAX(0,(B1898-(((C1868=TRUE)*Q1868*1)+((C1869=TRUE)*Q1869*1)+((C1871=TRUE)*Q1871*1)+((C1872=TRUE)*Q1872*1)+((C1874=TRUE)*Q1874*1)+((C1877=TRUE)*Q1877*1)+((C1883=TRUE)*Q1883*1)+((C1893=TRUE)*Q1893*1))-((C1873=TRUE)/(IF(Inputs!$B$38="pvp",15,MAX(0.1,Skills!D8-IF(TRUE=TRUE,Inputs!$B$32,0)))*(1-IF(AND(ArtifactsInput!$M$27,Inputs!$B$4="Chapter Hunt"),CHOOSE(ArtifactsInput!$N$27+1,20,24,28,32,36,40),0)/100))+(C1876=TRUE)/(IF(Inputs!$B$38="pvp",15,MAX(0.1,Skills!D11-IF(TRUE=TRUE,Inputs!$B$32,0)))*(1-IF(AND(ArtifactsInput!$M$27,Inputs!$B$4="Chapter Hunt"),CHOOSE(ArtifactsInput!$N$27+1,20,24,28,32,36,40),0)/100))))/(1+0.25*((C1873=TRUE)/(IF(Inputs!$B$38="pvp",15,MAX(0.1,Skills!D8-IF(TRUE=TRUE,Inputs!$B$32,0)))*(1-IF(AND(ArtifactsInput!$M$27,Inputs!$B$4="Chapter Hunt"),CHOOSE(ArtifactsInput!$N$27+1,20,24,28,32,36,40),0)/100))+(C1876=TRUE)/(IF(Inputs!$B$38="pvp",15,MAX(0.1,Skills!D11-IF(TRUE=TRUE,Inputs!$B$32,0)))*(1-IF(AND(ArtifactsInput!$M$27,Inputs!$B$4="Chapter Hunt"),CHOOSE(ArtifactsInput!$N$27+1,20,24,28,32,36,40),0)/100))))),1)</f>
        <v/>
      </c>
    </row>
    <row r="1908">
      <c r="A1908" t="inlineStr">
        <is>
          <t>Nautilus Strike - Final Attack trigger rate (this block's own Q/R)</t>
        </is>
      </c>
      <c r="B1908">
        <f>IF(AND(Inputs!$B$38&lt;&gt;"pvp",Inputs!$B$43&gt;0),(((C1868=TRUE)*R1868)+((C1871=TRUE)*R1871)+((C1873=TRUE)*R1873)+((C1874=TRUE)*R1874)+((C1876=TRUE)*R1876))/Inputs!$B$43,((C1868=TRUE)*Q1868)+((C1871=TRUE)*Q1871)+((C1873=TRUE)*Q1873)+((C1874=TRUE)*Q1874)+((C1876=TRUE)*Q1876))+B1900</f>
        <v/>
      </c>
    </row>
    <row r="1911">
      <c r="A1911" s="6" t="inlineStr">
        <is>
          <t>Stat: Old Music Box (Equip)</t>
        </is>
      </c>
    </row>
    <row r="1912">
      <c r="A1912" s="5" t="inlineStr">
        <is>
          <t>Key</t>
        </is>
      </c>
      <c r="B1912" s="5" t="inlineStr">
        <is>
          <t>Name</t>
        </is>
      </c>
      <c r="C1912" s="5" t="inlineStr">
        <is>
          <t>Unlocked</t>
        </is>
      </c>
      <c r="D1912" s="5" t="inlineStr">
        <is>
          <t>InputLevel</t>
        </is>
      </c>
      <c r="E1912" s="5" t="inlineStr">
        <is>
          <t>Factor</t>
        </is>
      </c>
      <c r="F1912" s="5" t="inlineStr">
        <is>
          <t>CoefficientPercent</t>
        </is>
      </c>
      <c r="G1912" s="5" t="inlineStr">
        <is>
          <t>EffectiveHits</t>
        </is>
      </c>
      <c r="H1912" s="5" t="inlineStr">
        <is>
          <t>ProcProbability</t>
        </is>
      </c>
      <c r="I1912" s="5" t="inlineStr">
        <is>
          <t>MapleHeroMultiplier</t>
        </is>
      </c>
      <c r="J1912" s="5" t="inlineStr">
        <is>
          <t>BaseDamage</t>
        </is>
      </c>
      <c r="K1912" s="5" t="inlineStr">
        <is>
          <t>BaseHitDamage</t>
        </is>
      </c>
      <c r="L1912" s="5" t="inlineStr">
        <is>
          <t>NonCritAvg</t>
        </is>
      </c>
      <c r="M1912" s="5" t="inlineStr">
        <is>
          <t>CritAvg</t>
        </is>
      </c>
      <c r="N1912" s="5" t="inlineStr">
        <is>
          <t>ExpectedDamage(perHit)</t>
        </is>
      </c>
      <c r="O1912" s="5" t="inlineStr">
        <is>
          <t>DPS</t>
        </is>
      </c>
      <c r="P1912" s="5" t="inlineStr">
        <is>
          <t>% of Total</t>
        </is>
      </c>
      <c r="Q1912" s="5" t="inlineStr">
        <is>
          <t>InvCooldown</t>
        </is>
      </c>
      <c r="R1912" s="5" t="inlineStr">
        <is>
          <t>CastsInFight</t>
        </is>
      </c>
      <c r="S1912" s="5" t="inlineStr">
        <is>
          <t>HitRate(perSec)</t>
        </is>
      </c>
      <c r="U1912" t="inlineStr">
        <is>
          <t>helpers</t>
        </is>
      </c>
    </row>
    <row r="1913">
      <c r="A1913">
        <f>Skills!A2</f>
        <v/>
      </c>
      <c r="B1913">
        <f>Skills!B2</f>
        <v/>
      </c>
      <c r="C1913">
        <f>Inputs!$B$3&gt;=100</f>
        <v/>
      </c>
      <c r="D1913" t="inlineStr"/>
      <c r="E1913" t="inlineStr"/>
      <c r="F1913">
        <f>U1915+Skills!O2</f>
        <v/>
      </c>
      <c r="G1913">
        <f>Skills!G2*IF(Skills!H2&gt;0,INT(IF(Inputs!$B$38="pvp",MIN(Skills!I2,15),Skills!I2)/Skills!H2+0.000000001),1)</f>
        <v/>
      </c>
      <c r="H1913">
        <f>1-(1-Skills!J2/100)^Skills!K2</f>
        <v/>
      </c>
      <c r="I1913" t="inlineStr">
        <is>
          <t>1</t>
        </is>
      </c>
      <c r="J1913">
        <f>((Inputs!$B$6*(1+Inputs!$B$7/100))+(((Inputs!$B$12*(1+Inputs!$B$13/100))-(Inputs!$B$12*(1+Inputs!$B$13/100)))+0.25*(Inputs!$B$14-Inputs!$B$14))*(1+Inputs!$B$7/100))*(F1913/100)</f>
        <v/>
      </c>
      <c r="K1913">
        <f>J1913*(1+((Inputs!$B$12*(1+Inputs!$B$13/100))*0.01+Inputs!$B$14*0.0025)/100)*(1+Inputs!$B$15/100)*(1+Inputs!$B$16/100)*(5000/(6000+Inputs!$B$42*(1-(100*(1-(1-(Inputs!$B$19+0)/100)*(1-CHOOSE(ArtifactsInput!$N$40+1,5,6,7,8,9,10)/100)^(ArtifactsInput!$M$40-ArtifactsInput!$M$40)))/100)))*(1+(Inputs!$B$24+((C1937=TRUE)*(F1937-Calc!F26))+B1948)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IGHT_LEGS_EASTON",Inputs!$B$17+((C1934=TRUE)*(F1934-Calc!F23))+((C1938=TRUE)*(F1938-Calc!F27))+((IF(AND(Inputs!$B$38&lt;&gt;"pvp",Inputs!$B$43=0),1,IF(IF(Inputs!$B$38="pvp",15,Inputs!$B$43)-(B1949)&lt;=0,1,MAX(0,IF(Inputs!$B$38="pvp",15,Inputs!$B$43)-MAX(5,B1949))/(IF(Inputs!$B$38="pvp",15,Inputs!$B$43)-(B1949))))*(IF(AND(ArtifactsInput!$M$42,((Inputs!$B$9+((C1930=TRUE)*(F1930-Calc!F19))+B1942+(ArtifactsInput!$M$24-ArtifactsInput!$M$24)*CHOOSE(ArtifactsInput!$N$24+1,10,12,14,16,18,20)+IF(ArtifactsInput!$M$10,CHOOSE(ArtifactsInput!$N$10+1,15,18,21,24,27,30)*(IF(Inputs!$B$38="pvp",MIN(15,15)/15,IF(AND(Inputs!$B$38&lt;&gt;"pvp",Inputs!$B$43&gt;0),MIN(15,Inputs!$B$43)/(Inputs!$B$43),0))),0)))&gt;=100),MIN(100,((Inputs!$B$9+((C1930=TRUE)*(F1930-Calc!F19))+B1942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1949)&lt;=0,1,MAX(0,IF(Inputs!$B$38="pvp",15,Inputs!$B$43)-MAX(5,B1949))/(IF(Inputs!$B$38="pvp",15,Inputs!$B$43)-(B1949))))*IF(AND(ArtifactsInput!$M$42,((Inputs!$B$9+((C1930=TRUE)*(F1930-Calc!F19))+B1942+(ArtifactsInput!$M$24-ArtifactsInput!$M$24)*CHOOSE(ArtifactsInput!$N$24+1,10,12,14,16,18,20)+IF(ArtifactsInput!$M$10,CHOOSE(ArtifactsInput!$N$10+1,15,18,21,24,27,30)*(IF(Inputs!$B$38="pvp",MIN(15,15)/15,IF(AND(Inputs!$B$38&lt;&gt;"pvp",Inputs!$B$43&gt;0),MIN(15,Inputs!$B$43)/(Inputs!$B$43),0))),0)))&gt;=100),CHOOSE(ArtifactsInput!$N$42+1,40,48,56,64,72,80),0))))/100)*((1+(((C1928=TRUE)*F1928*5/7)+((C1935=TRUE)*(F1935-Calc!F24))+(IF(IF(ArtifactsInput!$M$21,FALSE,TRUE),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1913)</f>
        <v/>
      </c>
      <c r="L1913">
        <f>K1913*(MIN(Inputs!$B$22+((C1933=TRUE)*(F1933-Calc!F22)),(Inputs!$B$23+0+(IF(ArtifactsInput!$M$15,CHOOSE(ArtifactsInput!$N$15+1,25,30,35,40,45,50)/100*(Inputs!$B$11-Inputs!$B$11),0))))/100+(Inputs!$B$23+0+(IF(ArtifactsInput!$M$15,CHOOSE(ArtifactsInput!$N$15+1,25,30,35,40,45,50)/100*(Inputs!$B$11-Inputs!$B$11),0)))/100)/2</f>
        <v/>
      </c>
      <c r="M1913">
        <f>L1913*(1+(Inputs!$B$10+((C1936=TRUE)*(F1936-Calc!F25))+B1947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13">
        <f>L1913*(1-MIN((Inputs!$B$9+((C1930=TRUE)*(F1930-Calc!F19))+B1942+(ArtifactsInput!$M$24-ArtifactsInput!$M$24)*CHOOSE(ArtifactsInput!$N$24+1,10,12,14,16,18,20)+(IF(AND(Inputs!$B$38&lt;&gt;"pvp",Inputs!$B$43=0),1,IF(IF(Inputs!$B$38="pvp",15,Inputs!$B$43)-(B1949)&lt;=0,1,MAX(0,IF(Inputs!$B$38="pvp",15,Inputs!$B$43)-MAX(5,B1949))/(IF(Inputs!$B$38="pvp",15,Inputs!$B$43)-(B1949))))*IF(AND(ArtifactsInput!$M$42,((Inputs!$B$9+((C1930=TRUE)*(F1930-Calc!F19))+B1942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1913*(MIN((Inputs!$B$9+((C1930=TRUE)*(F1930-Calc!F19))+B1942+(ArtifactsInput!$M$24-ArtifactsInput!$M$24)*CHOOSE(ArtifactsInput!$N$24+1,10,12,14,16,18,20)+(IF(AND(Inputs!$B$38&lt;&gt;"pvp",Inputs!$B$43=0),1,IF(IF(Inputs!$B$38="pvp",15,Inputs!$B$43)-(B1949)&lt;=0,1,MAX(0,IF(Inputs!$B$38="pvp",15,Inputs!$B$43)-MAX(5,B1949))/(IF(Inputs!$B$38="pvp",15,Inputs!$B$43)-(B1949))))*IF(AND(ArtifactsInput!$M$42,((Inputs!$B$9+((C1930=TRUE)*(F1930-Calc!F19))+B1942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13">
        <f>(1-Summary!$B$11)*T1913+Summary!$B$11*V1913</f>
        <v/>
      </c>
      <c r="P1913">
        <f>IF(B1952=0,0,O1913/B1952)</f>
        <v/>
      </c>
      <c r="Q1913" t="n">
        <v>0</v>
      </c>
      <c r="R1913" t="n">
        <v>0</v>
      </c>
      <c r="S1913">
        <f>IFERROR(O1913/N1913,0)</f>
        <v/>
      </c>
      <c r="T1913">
        <f>IF(C1913,(Skills!G2*N1913*B1946*(1+IF(C1938=TRUE,1/3,0)))*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Hunt"),CHOOSE(ArtifactsInput!$N$35+1,15,18,21,24,27,30)*(1-EXP(-(0.2*B1944)*5)),0)+IF(AND(ArtifactsInput!$M$22,Inputs!$B$4&lt;&gt;"Chapter Hunt"),CHOOSE(ArtifactsInput!$N$22+1,10,12,14,16,18,20)*((0*(((0.15*B1944*5))^0/1)+1*(((0.15*B1944*5))^1/1)+2*(((0.15*B1944*5))^2/2)+3*(((0.15*B1944*5))^3/6)+4*(((0.15*B1944*5))^4/24)+5*(((0.15*B1944*5))^5/120))/((((0.15*B1944*5))^0/1)+(((0.15*B1944*5))^1/1)+(((0.15*B1944*5))^2/2)+(((0.15*B1944*5))^3/6)+(((0.15*B1944*5))^4/24)+(((0.15*B1944*5))^5/120))),0))+IF(Inputs!$B$3&gt;=54,9*(C1914=TRUE)*MIN(1,8*(1+Inputs!$B$34/100)*Q1914)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1913*(1-MIN(100,(Inputs!$B$9+((C1930=TRUE)*(F1930-Calc!F19))+B1942+(ArtifactsInput!$M$24-ArtifactsInput!$M$24)*CHOOSE(ArtifactsInput!$N$24+1,10,12,14,16,18,20)+(IF(AND(Inputs!$B$38&lt;&gt;"pvp",Inputs!$B$43=0),1,IF(IF(Inputs!$B$38="pvp",15,Inputs!$B$43)-(B1949)&lt;=0,1,MAX(0,IF(Inputs!$B$38="pvp",15,Inputs!$B$43)-MAX(5,B1949))/(IF(Inputs!$B$38="pvp",15,Inputs!$B$43)-(B1949))))*IF(AND(ArtifactsInput!$M$42,((Inputs!$B$9+((C1930=TRUE)*(F1930-Calc!F19))+B1942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1913*(MIN(100,(Inputs!$B$9+((C1930=TRUE)*(F1930-Calc!F19))+B1942+(ArtifactsInput!$M$24-ArtifactsInput!$M$24)*CHOOSE(ArtifactsInput!$N$24+1,10,12,14,16,18,20)+(IF(AND(Inputs!$B$38&lt;&gt;"pvp",Inputs!$B$43=0),1,IF(IF(Inputs!$B$38="pvp",15,Inputs!$B$43)-(B1949)&lt;=0,1,MAX(0,IF(Inputs!$B$38="pvp",15,Inputs!$B$43)-MAX(5,B1949))/(IF(Inputs!$B$38="pvp",15,Inputs!$B$43)-(B1949))))*IF(AND(ArtifactsInput!$M$42,((Inputs!$B$9+((C1930=TRUE)*(F1930-Calc!F19))+B1942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1913*(1-MIN(100,(Inputs!$B$9+((C1930=TRUE)*(F1930-Calc!F19))+B1942+(ArtifactsInput!$M$24-ArtifactsInput!$M$24)*CHOOSE(ArtifactsInput!$N$24+1,10,12,14,16,18,20)+(IF(AND(Inputs!$B$38&lt;&gt;"pvp",Inputs!$B$43=0),1,IF(IF(Inputs!$B$38="pvp",15,Inputs!$B$43)-(B1949)&lt;=0,1,MAX(0,IF(Inputs!$B$38="pvp",15,Inputs!$B$43)-MAX(5,B1949))/(IF(Inputs!$B$38="pvp",15,Inputs!$B$43)-(B1949))))*IF(AND(ArtifactsInput!$M$42,((Inputs!$B$9+((C1930=TRUE)*(F1930-Calc!F19))+B1942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1913*(MIN(100,(Inputs!$B$9+((C1930=TRUE)*(F1930-Calc!F19))+B1942+(ArtifactsInput!$M$24-ArtifactsInput!$M$24)*CHOOSE(ArtifactsInput!$N$24+1,10,12,14,16,18,20)+(IF(AND(Inputs!$B$38&lt;&gt;"pvp",Inputs!$B$43=0),1,IF(IF(Inputs!$B$38="pvp",15,Inputs!$B$43)-(B1949)&lt;=0,1,MAX(0,IF(Inputs!$B$38="pvp",15,Inputs!$B$43)-MAX(5,B1949))/(IF(Inputs!$B$38="pvp",15,Inputs!$B$43)-(B1949))))*IF(AND(ArtifactsInput!$M$42,((Inputs!$B$9+((C1930=TRUE)*(F1930-Calc!F19))+B1942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913">
        <f>MAX(0,(Inputs!$B$3-100)*3)+Inputs!$B$28+Inputs!$B$29</f>
        <v/>
      </c>
      <c r="V1913">
        <f>IF(C1913,(Skills!G2*N1913*B1946*(1+IF(C1938=TRUE,1/3,0)))*IF(Inputs!$B$38="pvp",1,(1+(Inputs!$B$21+Skills!Q2+(IF(ArtifactsInput!$M$33,CHOOSE(ArtifactsInput!$N$33+1,30,36,42,48,54,60),0))+(IF(AND(ArtifactsInput!$M$35,Inputs!$B$4&lt;&gt;"Chapter Hunt"),CHOOSE(ArtifactsInput!$N$35+1,15,18,21,24,27,30)*(1-EXP(-(0.2*B1944)*5)),0)+IF(AND(ArtifactsInput!$M$22,Inputs!$B$4&lt;&gt;"Chapter Hunt"),CHOOSE(ArtifactsInput!$N$22+1,10,12,14,16,18,20)*((0*(((0.15*B1944*5))^0/1)+1*(((0.15*B1944*5))^1/1)+2*(((0.15*B1944*5))^2/2)+3*(((0.15*B1944*5))^3/6)+4*(((0.15*B1944*5))^4/24)+5*(((0.15*B1944*5))^5/120))/((((0.15*B1944*5))^0/1)+(((0.15*B1944*5))^1/1)+(((0.15*B1944*5))^2/2)+(((0.15*B1944*5))^3/6)+(((0.15*B1944*5))^4/24)+(((0.15*B1944*5))^5/120))),0))+IF(Inputs!$B$3&gt;=54,9*(C1914=TRUE)*MIN(1,8*(1+Inputs!$B$34/100)*Q1914),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14">
      <c r="A1914">
        <f>Skills!A3</f>
        <v/>
      </c>
      <c r="B1914">
        <f>Skills!B3</f>
        <v/>
      </c>
      <c r="C1914">
        <f>Inputs!$B$3&gt;=33</f>
        <v/>
      </c>
      <c r="D1914">
        <f>IF(Skills!C3=1,60+Inputs!$B$25+Inputs!$B$29,IF(Skills!C3=2,90+Inputs!$B$26+Inputs!$B$29,IF(Skills!C3=3,120+Inputs!$B$27+Inputs!$B$29,MAX(0,(Inputs!$B$3-100)*3)+Inputs!$B$28+Inputs!$B$29)))</f>
        <v/>
      </c>
      <c r="E1914">
        <f>INDEX(FactorTable!$B$2:$Y$301, MATCH(ROUND(MIN(300,MAX(1,D1914)),0), FactorTable!$A$2:$A$301,0), Skills!M3+1)</f>
        <v/>
      </c>
      <c r="F1914">
        <f>IF(Skills!N3=TRUE,(Skills!L3/10)*(E1914/1000),Skills!L3/10)+Skills!O3</f>
        <v/>
      </c>
      <c r="G1914">
        <f>Skills!G3*IF(Skills!H3&gt;0,INT(IF(Inputs!$B$38="pvp",MIN(Skills!I3,15),Skills!I3)/Skills!H3+0.000000001),1)</f>
        <v/>
      </c>
      <c r="H1914">
        <f>1-(1-Skills!J3/100)^Skills!K3</f>
        <v/>
      </c>
      <c r="I1914" t="inlineStr">
        <is>
          <t>1</t>
        </is>
      </c>
      <c r="J1914">
        <f>((Inputs!$B$6*(1+Inputs!$B$7/100))+(((Inputs!$B$12*(1+Inputs!$B$13/100))-(Inputs!$B$12*(1+Inputs!$B$13/100)))+0.25*(Inputs!$B$14-Inputs!$B$14))*(1+Inputs!$B$7/100))*(F1914/100)</f>
        <v/>
      </c>
      <c r="K1914">
        <f>J1914*(1+((Inputs!$B$12*(1+Inputs!$B$13/100))*0.01+Inputs!$B$14*0.0025)/100)*(1+Inputs!$B$15/100)*(1+Inputs!$B$16/100)*(5000/(6000+Inputs!$B$42*(1-(100*(1-(1-(Inputs!$B$19+0)/100)*(1-CHOOSE(ArtifactsInput!$N$40+1,5,6,7,8,9,10)/100)^(ArtifactsInput!$M$40-ArtifactsInput!$M$40)))/100)))*(1+(Inputs!$B$24+((C1937=TRUE)*(F1937-Calc!F26))+B1948)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1926=TRUE,F1926,0)/100)*(1+(IF(Skills!A3="EIGHT_LEGS_EASTON",Inputs!$B$17+((C1934=TRUE)*(F1934-Calc!F23))+((C1938=TRUE)*(F1938-Calc!F27))+((IF(AND(Inputs!$B$38&lt;&gt;"pvp",Inputs!$B$43=0),1,IF(IF(Inputs!$B$38="pvp",15,Inputs!$B$43)-(B1949)&lt;=0,1,MAX(0,IF(Inputs!$B$38="pvp",15,Inputs!$B$43)-MAX(5,B1949))/(IF(Inputs!$B$38="pvp",15,Inputs!$B$43)-(B1949))))*(IF(AND(ArtifactsInput!$M$42,((Inputs!$B$9+((C1930=TRUE)*(F1930-Calc!F19))+B1942+(ArtifactsInput!$M$24-ArtifactsInput!$M$24)*CHOOSE(ArtifactsInput!$N$24+1,10,12,14,16,18,20)+IF(ArtifactsInput!$M$10,CHOOSE(ArtifactsInput!$N$10+1,15,18,21,24,27,30)*(IF(Inputs!$B$38="pvp",MIN(15,15)/15,IF(AND(Inputs!$B$38&lt;&gt;"pvp",Inputs!$B$43&gt;0),MIN(15,Inputs!$B$43)/(Inputs!$B$43),0))),0)))&gt;=100),MIN(100,((Inputs!$B$9+((C1930=TRUE)*(F1930-Calc!F19))+B1942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1949)&lt;=0,1,MAX(0,IF(Inputs!$B$38="pvp",15,Inputs!$B$43)-MAX(5,B1949))/(IF(Inputs!$B$38="pvp",15,Inputs!$B$43)-(B1949))))*IF(AND(ArtifactsInput!$M$42,((Inputs!$B$9+((C1930=TRUE)*(F1930-Calc!F19))+B1942+(ArtifactsInput!$M$24-ArtifactsInput!$M$24)*CHOOSE(ArtifactsInput!$N$24+1,10,12,14,16,18,20)+IF(ArtifactsInput!$M$10,CHOOSE(ArtifactsInput!$N$10+1,15,18,21,24,27,30)*(IF(Inputs!$B$38="pvp",MIN(15,15)/15,IF(AND(Inputs!$B$38&lt;&gt;"pvp",Inputs!$B$43&gt;0),MIN(15,Inputs!$B$43)/(Inputs!$B$43),0))),0)))&gt;=100),CHOOSE(ArtifactsInput!$N$42+1,40,48,56,64,72,80),0))))/100)*((1+(((C1928=TRUE)*F1928*5/7)+((C1935=TRUE)*(F1935-Calc!F24))+(IF(IF(ArtifactsInput!$M$21,FALSE,TRUE),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1914)</f>
        <v/>
      </c>
      <c r="L1914">
        <f>K1914*(MIN(Inputs!$B$22+((C1933=TRUE)*(F1933-Calc!F22)),(Inputs!$B$23+0+(IF(ArtifactsInput!$M$15,CHOOSE(ArtifactsInput!$N$15+1,25,30,35,40,45,50)/100*(Inputs!$B$11-Inputs!$B$11),0))))/100+(Inputs!$B$23+0+(IF(ArtifactsInput!$M$15,CHOOSE(ArtifactsInput!$N$15+1,25,30,35,40,45,50)/100*(Inputs!$B$11-Inputs!$B$11),0)))/100)/2</f>
        <v/>
      </c>
      <c r="M1914">
        <f>L1914*(1+(Inputs!$B$10+((C1936=TRUE)*(F1936-Calc!F25))+B1947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14">
        <f>L1914*(1-MIN((Inputs!$B$9+((C1930=TRUE)*(F1930-Calc!F19))+B1942+(ArtifactsInput!$M$24-ArtifactsInput!$M$24)*CHOOSE(ArtifactsInput!$N$24+1,10,12,14,16,18,20)+(IF(AND(Inputs!$B$38&lt;&gt;"pvp",Inputs!$B$43=0),1,IF(IF(Inputs!$B$38="pvp",15,Inputs!$B$43)-(B1949)&lt;=0,1,MAX(0,IF(Inputs!$B$38="pvp",15,Inputs!$B$43)-MAX(5,B1949))/(IF(Inputs!$B$38="pvp",15,Inputs!$B$43)-(B1949))))*IF(AND(ArtifactsInput!$M$42,((Inputs!$B$9+((C1930=TRUE)*(F1930-Calc!F19))+B1942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1914*(MIN((Inputs!$B$9+((C1930=TRUE)*(F1930-Calc!F19))+B1942+(ArtifactsInput!$M$24-ArtifactsInput!$M$24)*CHOOSE(ArtifactsInput!$N$24+1,10,12,14,16,18,20)+(IF(AND(Inputs!$B$38&lt;&gt;"pvp",Inputs!$B$43=0),1,IF(IF(Inputs!$B$38="pvp",15,Inputs!$B$43)-(B1949)&lt;=0,1,MAX(0,IF(Inputs!$B$38="pvp",15,Inputs!$B$43)-MAX(5,B1949))/(IF(Inputs!$B$38="pvp",15,Inputs!$B$43)-(B1949))))*IF(AND(ArtifactsInput!$M$42,((Inputs!$B$9+((C1930=TRUE)*(F1930-Calc!F19))+B1942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14">
        <f>(1-Summary!$B$11)*T1914+Summary!$B$11*V1914</f>
        <v/>
      </c>
      <c r="P1914">
        <f>IF(B1952=0,0,O1914/B1952)</f>
        <v/>
      </c>
      <c r="Q1914">
        <f>IFERROR(1/(IF(Inputs!$B$38="pvp",15,MAX(0.1,Skills!D3-IF(TRUE=TRUE,Inputs!$B$32,0)))*(1-IF(AND(ArtifactsInput!$M$27,Inputs!$B$4="Chapter Hunt"),CHOOSE(ArtifactsInput!$N$27+1,20,24,28,32,36,40),0)/100)),0)</f>
        <v/>
      </c>
      <c r="R1914">
        <f>IF(AND(Inputs!$B$38&lt;&gt;"pvp",Inputs!$B$43&gt;0),IF(MAX(0,Inputs!$B$43-B1949)&lt;=0,0,(INT(MAX(0,Inputs!$B$43-B1949)/(IF(Inputs!$B$38="pvp",15,MAX(0.1,Skills!D3-IF(TRUE=TRUE,Inputs!$B$32,0)))*(1-IF(AND(ArtifactsInput!$M$27,Inputs!$B$4="Chapter Hunt"),CHOOSE(ArtifactsInput!$N$27+1,20,24,28,32,36,40),0)/100)))+1)),0)</f>
        <v/>
      </c>
      <c r="S1914">
        <f>IFERROR(O1914/N1914,0)</f>
        <v/>
      </c>
      <c r="T1914">
        <f>IF(C1914,(H1914*N1914*IF(AND(Inputs!$B$38&lt;&gt;"pvp",Inputs!$B$43&gt;0),((Skills!G3*((R1914-1)*IF(Skills!H3&gt;0,INT(Skills!I3/Skills!H3+0.000000001),1)+IF(Skills!H3&gt;0,INT(MIN(Skills!I3,MAX(0,MAX(0,Inputs!$B$43-B1949)-((R1914-1)*(IF(Inputs!$B$38="pvp",15,MAX(0.1,Skills!D3-IF(TRUE=TRUE,Inputs!$B$32,0)))*(1-IF(AND(ArtifactsInput!$M$27,Inputs!$B$4="Chapter Hunt"),CHOOSE(ArtifactsInput!$N$27+1,20,24,28,32,36,40),0)/100)))))/Skills!H3+0.000000001),1)))/Inputs!$B$43),G1914*Q1914))*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Hunt"),CHOOSE(ArtifactsInput!$N$35+1,15,18,21,24,27,30)*(1-EXP(-(0.2*B1944)*5)),0)+IF(AND(ArtifactsInput!$M$22,Inputs!$B$4&lt;&gt;"Chapter Hunt"),CHOOSE(ArtifactsInput!$N$22+1,10,12,14,16,18,20)*((0*(((0.15*B1944*5))^0/1)+1*(((0.15*B1944*5))^1/1)+2*(((0.15*B1944*5))^2/2)+3*(((0.15*B1944*5))^3/6)+4*(((0.15*B1944*5))^4/24)+5*(((0.15*B1944*5))^5/120))/((((0.15*B1944*5))^0/1)+(((0.15*B1944*5))^1/1)+(((0.15*B1944*5))^2/2)+(((0.15*B1944*5))^3/6)+(((0.15*B1944*5))^4/24)+(((0.15*B1944*5))^5/120))),0))+IF(Inputs!$B$3&gt;=54,9*(C1914=TRUE)*MIN(1,8*(1+Inputs!$B$34/100)*Q1914)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1914*(1-MIN(100,(Inputs!$B$9+((C1930=TRUE)*(F1930-Calc!F19))+B1942+(ArtifactsInput!$M$24-ArtifactsInput!$M$24)*CHOOSE(ArtifactsInput!$N$24+1,10,12,14,16,18,20)+(IF(AND(Inputs!$B$38&lt;&gt;"pvp",Inputs!$B$43=0),1,IF(IF(Inputs!$B$38="pvp",15,Inputs!$B$43)-(B1949)&lt;=0,1,MAX(0,IF(Inputs!$B$38="pvp",15,Inputs!$B$43)-MAX(5,B1949))/(IF(Inputs!$B$38="pvp",15,Inputs!$B$43)-(B1949))))*IF(AND(ArtifactsInput!$M$42,((Inputs!$B$9+((C1930=TRUE)*(F1930-Calc!F19))+B1942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1914*(MIN(100,(Inputs!$B$9+((C1930=TRUE)*(F1930-Calc!F19))+B1942+(ArtifactsInput!$M$24-ArtifactsInput!$M$24)*CHOOSE(ArtifactsInput!$N$24+1,10,12,14,16,18,20)+(IF(AND(Inputs!$B$38&lt;&gt;"pvp",Inputs!$B$43=0),1,IF(IF(Inputs!$B$38="pvp",15,Inputs!$B$43)-(B1949)&lt;=0,1,MAX(0,IF(Inputs!$B$38="pvp",15,Inputs!$B$43)-MAX(5,B1949))/(IF(Inputs!$B$38="pvp",15,Inputs!$B$43)-(B1949))))*IF(AND(ArtifactsInput!$M$42,((Inputs!$B$9+((C1930=TRUE)*(F1930-Calc!F19))+B1942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1914*(1-MIN(100,(Inputs!$B$9+((C1930=TRUE)*(F1930-Calc!F19))+B1942+(ArtifactsInput!$M$24-ArtifactsInput!$M$24)*CHOOSE(ArtifactsInput!$N$24+1,10,12,14,16,18,20)+(IF(AND(Inputs!$B$38&lt;&gt;"pvp",Inputs!$B$43=0),1,IF(IF(Inputs!$B$38="pvp",15,Inputs!$B$43)-(B1949)&lt;=0,1,MAX(0,IF(Inputs!$B$38="pvp",15,Inputs!$B$43)-MAX(5,B1949))/(IF(Inputs!$B$38="pvp",15,Inputs!$B$43)-(B1949))))*IF(AND(ArtifactsInput!$M$42,((Inputs!$B$9+((C1930=TRUE)*(F1930-Calc!F19))+B1942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1914*(MIN(100,(Inputs!$B$9+((C1930=TRUE)*(F1930-Calc!F19))+B1942+(ArtifactsInput!$M$24-ArtifactsInput!$M$24)*CHOOSE(ArtifactsInput!$N$24+1,10,12,14,16,18,20)+(IF(AND(Inputs!$B$38&lt;&gt;"pvp",Inputs!$B$43=0),1,IF(IF(Inputs!$B$38="pvp",15,Inputs!$B$43)-(B1949)&lt;=0,1,MAX(0,IF(Inputs!$B$38="pvp",15,Inputs!$B$43)-MAX(5,B1949))/(IF(Inputs!$B$38="pvp",15,Inputs!$B$43)-(B1949))))*IF(AND(ArtifactsInput!$M$42,((Inputs!$B$9+((C1930=TRUE)*(F1930-Calc!F19))+B1942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914">
        <f>INDEX(FactorTable!$B$2:$Y$301, MATCH(ROUND(MIN(300,MAX(1,U1913)),0), FactorTable!$A$2:$A$301,0), 22)</f>
        <v/>
      </c>
      <c r="V1914">
        <f>IF(C1914,(H1914*N1914*IF(AND(Inputs!$B$38&lt;&gt;"pvp",Inputs!$B$43&gt;0),((Skills!G3*((R1914-1)*IF(Skills!H3&gt;0,INT(Skills!I3/Skills!H3+0.000000001),1)+IF(Skills!H3&gt;0,INT(MIN(Skills!I3,MAX(0,MAX(0,Inputs!$B$43-B1949)-((R1914-1)*(IF(Inputs!$B$38="pvp",15,MAX(0.1,Skills!D3-IF(TRUE=TRUE,Inputs!$B$32,0)))*(1-IF(AND(ArtifactsInput!$M$27,Inputs!$B$4="Chapter Hunt"),CHOOSE(ArtifactsInput!$N$27+1,20,24,28,32,36,40),0)/100)))))/Skills!H3+0.000000001),1)))/Inputs!$B$43),G1914*Q1914))*IF(Inputs!$B$38="pvp",1,(1+(Inputs!$B$21+Skills!Q3+(IF(ArtifactsInput!$M$33,CHOOSE(ArtifactsInput!$N$33+1,30,36,42,48,54,60),0))+(IF(AND(ArtifactsInput!$M$35,Inputs!$B$4&lt;&gt;"Chapter Hunt"),CHOOSE(ArtifactsInput!$N$35+1,15,18,21,24,27,30)*(1-EXP(-(0.2*B1944)*5)),0)+IF(AND(ArtifactsInput!$M$22,Inputs!$B$4&lt;&gt;"Chapter Hunt"),CHOOSE(ArtifactsInput!$N$22+1,10,12,14,16,18,20)*((0*(((0.15*B1944*5))^0/1)+1*(((0.15*B1944*5))^1/1)+2*(((0.15*B1944*5))^2/2)+3*(((0.15*B1944*5))^3/6)+4*(((0.15*B1944*5))^4/24)+5*(((0.15*B1944*5))^5/120))/((((0.15*B1944*5))^0/1)+(((0.15*B1944*5))^1/1)+(((0.15*B1944*5))^2/2)+(((0.15*B1944*5))^3/6)+(((0.15*B1944*5))^4/24)+(((0.15*B1944*5))^5/120))),0))+IF(Inputs!$B$3&gt;=54,9*(C1914=TRUE)*MIN(1,8*(1+Inputs!$B$34/100)*Q1914),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15">
      <c r="A1915">
        <f>Skills!A4</f>
        <v/>
      </c>
      <c r="B1915">
        <f>Skills!B4</f>
        <v/>
      </c>
      <c r="C1915">
        <f>Inputs!$B$3&gt;=35</f>
        <v/>
      </c>
      <c r="D1915">
        <f>IF(Skills!C4=1,60+Inputs!$B$25+Inputs!$B$29,IF(Skills!C4=2,90+Inputs!$B$26+Inputs!$B$29,IF(Skills!C4=3,120+Inputs!$B$27+Inputs!$B$29,MAX(0,(Inputs!$B$3-100)*3)+Inputs!$B$28+Inputs!$B$29)))</f>
        <v/>
      </c>
      <c r="E1915">
        <f>INDEX(FactorTable!$B$2:$Y$301, MATCH(ROUND(MIN(300,MAX(1,D1915)),0), FactorTable!$A$2:$A$301,0), Skills!M4+1)</f>
        <v/>
      </c>
      <c r="F1915">
        <f>IF(Skills!N4=TRUE,(Skills!L4/10)*(E1915/1000),Skills!L4/10)+Skills!O4</f>
        <v/>
      </c>
      <c r="G1915">
        <f>Skills!G4*IF(Skills!H4&gt;0,INT(IF(Inputs!$B$38="pvp",MIN(IF(Inputs!$B$3&gt;=104,MIN(35,20*(1+Inputs!$B$34/100)),20),15),IF(Inputs!$B$3&gt;=104,MIN(35,20*(1+Inputs!$B$34/100)),20))/Skills!H4+0.000000001),1)</f>
        <v/>
      </c>
      <c r="H1915">
        <f>1-(1-Skills!J4/100)^Skills!K4</f>
        <v/>
      </c>
      <c r="I1915" t="inlineStr">
        <is>
          <t>1</t>
        </is>
      </c>
      <c r="J1915">
        <f>((Inputs!$B$6*(1+Inputs!$B$7/100))+(((Inputs!$B$12*(1+Inputs!$B$13/100))-(Inputs!$B$12*(1+Inputs!$B$13/100)))+0.25*(Inputs!$B$14-Inputs!$B$14))*(1+Inputs!$B$7/100))*(F1915/100)</f>
        <v/>
      </c>
      <c r="K1915">
        <f>J1915*(1+((Inputs!$B$12*(1+Inputs!$B$13/100))*0.01+Inputs!$B$14*0.0025)/100)*(1+Inputs!$B$15/100)*(1+Inputs!$B$16/100)*(5000/(6000+Inputs!$B$42*(1-(100*(1-(1-(Inputs!$B$19+0)/100)*(1-CHOOSE(ArtifactsInput!$N$40+1,5,6,7,8,9,10)/100)^(ArtifactsInput!$M$40-ArtifactsInput!$M$40)))/100)))*(1+(Inputs!$B$24+((C1937=TRUE)*(F1937-Calc!F26))+B1948)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1927=TRUE,F1927,0)/100)*(1+(IF(Skills!A4="EIGHT_LEGS_EASTON",Inputs!$B$17+((C1934=TRUE)*(F1934-Calc!F23))+((C1938=TRUE)*(F1938-Calc!F27))+((IF(AND(Inputs!$B$38&lt;&gt;"pvp",Inputs!$B$43=0),1,IF(IF(Inputs!$B$38="pvp",15,Inputs!$B$43)-(B1949)&lt;=0,1,MAX(0,IF(Inputs!$B$38="pvp",15,Inputs!$B$43)-MAX(5,B1949))/(IF(Inputs!$B$38="pvp",15,Inputs!$B$43)-(B1949))))*(IF(AND(ArtifactsInput!$M$42,((Inputs!$B$9+((C1930=TRUE)*(F1930-Calc!F19))+B1942+(ArtifactsInput!$M$24-ArtifactsInput!$M$24)*CHOOSE(ArtifactsInput!$N$24+1,10,12,14,16,18,20)+IF(ArtifactsInput!$M$10,CHOOSE(ArtifactsInput!$N$10+1,15,18,21,24,27,30)*(IF(Inputs!$B$38="pvp",MIN(15,15)/15,IF(AND(Inputs!$B$38&lt;&gt;"pvp",Inputs!$B$43&gt;0),MIN(15,Inputs!$B$43)/(Inputs!$B$43),0))),0)))&gt;=100),MIN(100,((Inputs!$B$9+((C1930=TRUE)*(F1930-Calc!F19))+B1942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1949)&lt;=0,1,MAX(0,IF(Inputs!$B$38="pvp",15,Inputs!$B$43)-MAX(5,B1949))/(IF(Inputs!$B$38="pvp",15,Inputs!$B$43)-(B1949))))*IF(AND(ArtifactsInput!$M$42,((Inputs!$B$9+((C1930=TRUE)*(F1930-Calc!F19))+B1942+(ArtifactsInput!$M$24-ArtifactsInput!$M$24)*CHOOSE(ArtifactsInput!$N$24+1,10,12,14,16,18,20)+IF(ArtifactsInput!$M$10,CHOOSE(ArtifactsInput!$N$10+1,15,18,21,24,27,30)*(IF(Inputs!$B$38="pvp",MIN(15,15)/15,IF(AND(Inputs!$B$38&lt;&gt;"pvp",Inputs!$B$43&gt;0),MIN(15,Inputs!$B$43)/(Inputs!$B$43),0))),0)))&gt;=100),CHOOSE(ArtifactsInput!$N$42+1,40,48,56,64,72,80),0))))/100)*((1+(((C1928=TRUE)*F1928*5/7)+((C1935=TRUE)*(F1935-Calc!F24))+(IF(IF(ArtifactsInput!$M$21,FALSE,TRUE),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1915)</f>
        <v/>
      </c>
      <c r="L1915">
        <f>K1915*(MIN(Inputs!$B$22+((C1933=TRUE)*(F1933-Calc!F22)),(Inputs!$B$23+0+(IF(ArtifactsInput!$M$15,CHOOSE(ArtifactsInput!$N$15+1,25,30,35,40,45,50)/100*(Inputs!$B$11-Inputs!$B$11),0))))/100+(Inputs!$B$23+0+(IF(ArtifactsInput!$M$15,CHOOSE(ArtifactsInput!$N$15+1,25,30,35,40,45,50)/100*(Inputs!$B$11-Inputs!$B$11),0)))/100)/2</f>
        <v/>
      </c>
      <c r="M1915">
        <f>L1915*(1+(Inputs!$B$10+((C1936=TRUE)*(F1936-Calc!F25))+B1947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15">
        <f>L1915*(1-MIN((Inputs!$B$9+((C1930=TRUE)*(F1930-Calc!F19))+B1942+(ArtifactsInput!$M$24-ArtifactsInput!$M$24)*CHOOSE(ArtifactsInput!$N$24+1,10,12,14,16,18,20)+(IF(AND(Inputs!$B$38&lt;&gt;"pvp",Inputs!$B$43=0),1,IF(IF(Inputs!$B$38="pvp",15,Inputs!$B$43)-(B1949)&lt;=0,1,MAX(0,IF(Inputs!$B$38="pvp",15,Inputs!$B$43)-MAX(5,B1949))/(IF(Inputs!$B$38="pvp",15,Inputs!$B$43)-(B1949))))*IF(AND(ArtifactsInput!$M$42,((Inputs!$B$9+((C1930=TRUE)*(F1930-Calc!F19))+B1942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1915*(MIN((Inputs!$B$9+((C1930=TRUE)*(F1930-Calc!F19))+B1942+(ArtifactsInput!$M$24-ArtifactsInput!$M$24)*CHOOSE(ArtifactsInput!$N$24+1,10,12,14,16,18,20)+(IF(AND(Inputs!$B$38&lt;&gt;"pvp",Inputs!$B$43=0),1,IF(IF(Inputs!$B$38="pvp",15,Inputs!$B$43)-(B1949)&lt;=0,1,MAX(0,IF(Inputs!$B$38="pvp",15,Inputs!$B$43)-MAX(5,B1949))/(IF(Inputs!$B$38="pvp",15,Inputs!$B$43)-(B1949))))*IF(AND(ArtifactsInput!$M$42,((Inputs!$B$9+((C1930=TRUE)*(F1930-Calc!F19))+B1942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15">
        <f>(1-Summary!$B$11)*T1915+Summary!$B$11*V1915</f>
        <v/>
      </c>
      <c r="P1915">
        <f>IF(B1952=0,0,O1915/B1952)</f>
        <v/>
      </c>
      <c r="Q1915">
        <f>IFERROR(1/(IF(Inputs!$B$38="pvp",15,MAX(0.1,Skills!D4-IF(TRUE=TRUE,Inputs!$B$32,0)))*(1-IF(AND(ArtifactsInput!$M$27,Inputs!$B$4="Chapter Hunt"),CHOOSE(ArtifactsInput!$N$27+1,20,24,28,32,36,40),0)/100)),0)</f>
        <v/>
      </c>
      <c r="R1915">
        <f>IF(AND(Inputs!$B$38&lt;&gt;"pvp",Inputs!$B$43&gt;0),IF(MAX(0,Inputs!$B$43-B1949)&lt;=0,0,(INT(MAX(0,Inputs!$B$43-B1949)/(IF(Inputs!$B$38="pvp",15,MAX(0.1,Skills!D4-IF(TRUE=TRUE,Inputs!$B$32,0)))*(1-IF(AND(ArtifactsInput!$M$27,Inputs!$B$4="Chapter Hunt"),CHOOSE(ArtifactsInput!$N$27+1,20,24,28,32,36,40),0)/100)))+1)),0)</f>
        <v/>
      </c>
      <c r="S1915">
        <f>IFERROR(O1915/N1915,0)</f>
        <v/>
      </c>
      <c r="T1915">
        <f>IF(C1915,(H1915*N1915*IF(AND(Inputs!$B$38&lt;&gt;"pvp",Inputs!$B$43&gt;0),((Skills!G4*((R1915-1)*IF(Skills!H4&gt;0,INT(IF(Inputs!$B$3&gt;=104,MIN(35,20*(1+Inputs!$B$34/100)),20)/Skills!H4+0.000000001),1)+IF(Skills!H4&gt;0,INT(MIN(IF(Inputs!$B$3&gt;=104,MIN(35,20*(1+Inputs!$B$34/100)),20),MAX(0,MAX(0,Inputs!$B$43-B1949)-((R1915-1)*(IF(Inputs!$B$38="pvp",15,MAX(0.1,Skills!D4-IF(TRUE=TRUE,Inputs!$B$32,0)))*(1-IF(AND(ArtifactsInput!$M$27,Inputs!$B$4="Chapter Hunt"),CHOOSE(ArtifactsInput!$N$27+1,20,24,28,32,36,40),0)/100)))))/Skills!H4+0.000000001),1)))/Inputs!$B$43),G1915*Q1915))*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Hunt"),CHOOSE(ArtifactsInput!$N$35+1,15,18,21,24,27,30)*(1-EXP(-(0.2*B1944)*5)),0)+IF(AND(ArtifactsInput!$M$22,Inputs!$B$4&lt;&gt;"Chapter Hunt"),CHOOSE(ArtifactsInput!$N$22+1,10,12,14,16,18,20)*((0*(((0.15*B1944*5))^0/1)+1*(((0.15*B1944*5))^1/1)+2*(((0.15*B1944*5))^2/2)+3*(((0.15*B1944*5))^3/6)+4*(((0.15*B1944*5))^4/24)+5*(((0.15*B1944*5))^5/120))/((((0.15*B1944*5))^0/1)+(((0.15*B1944*5))^1/1)+(((0.15*B1944*5))^2/2)+(((0.15*B1944*5))^3/6)+(((0.15*B1944*5))^4/24)+(((0.15*B1944*5))^5/120))),0))+IF(Inputs!$B$3&gt;=54,9*(C1914=TRUE)*MIN(1,8*(1+Inputs!$B$34/100)*Q1914)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1915*(1-MIN(100,(Inputs!$B$9+((C1930=TRUE)*(F1930-Calc!F19))+B1942+(ArtifactsInput!$M$24-ArtifactsInput!$M$24)*CHOOSE(ArtifactsInput!$N$24+1,10,12,14,16,18,20)+(IF(AND(Inputs!$B$38&lt;&gt;"pvp",Inputs!$B$43=0),1,IF(IF(Inputs!$B$38="pvp",15,Inputs!$B$43)-(B1949)&lt;=0,1,MAX(0,IF(Inputs!$B$38="pvp",15,Inputs!$B$43)-MAX(5,B1949))/(IF(Inputs!$B$38="pvp",15,Inputs!$B$43)-(B1949))))*IF(AND(ArtifactsInput!$M$42,((Inputs!$B$9+((C1930=TRUE)*(F1930-Calc!F19))+B1942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1915*(MIN(100,(Inputs!$B$9+((C1930=TRUE)*(F1930-Calc!F19))+B1942+(ArtifactsInput!$M$24-ArtifactsInput!$M$24)*CHOOSE(ArtifactsInput!$N$24+1,10,12,14,16,18,20)+(IF(AND(Inputs!$B$38&lt;&gt;"pvp",Inputs!$B$43=0),1,IF(IF(Inputs!$B$38="pvp",15,Inputs!$B$43)-(B1949)&lt;=0,1,MAX(0,IF(Inputs!$B$38="pvp",15,Inputs!$B$43)-MAX(5,B1949))/(IF(Inputs!$B$38="pvp",15,Inputs!$B$43)-(B1949))))*IF(AND(ArtifactsInput!$M$42,((Inputs!$B$9+((C1930=TRUE)*(F1930-Calc!F19))+B1942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1915*(1-MIN(100,(Inputs!$B$9+((C1930=TRUE)*(F1930-Calc!F19))+B1942+(ArtifactsInput!$M$24-ArtifactsInput!$M$24)*CHOOSE(ArtifactsInput!$N$24+1,10,12,14,16,18,20)+(IF(AND(Inputs!$B$38&lt;&gt;"pvp",Inputs!$B$43=0),1,IF(IF(Inputs!$B$38="pvp",15,Inputs!$B$43)-(B1949)&lt;=0,1,MAX(0,IF(Inputs!$B$38="pvp",15,Inputs!$B$43)-MAX(5,B1949))/(IF(Inputs!$B$38="pvp",15,Inputs!$B$43)-(B1949))))*IF(AND(ArtifactsInput!$M$42,((Inputs!$B$9+((C1930=TRUE)*(F1930-Calc!F19))+B1942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1915*(MIN(100,(Inputs!$B$9+((C1930=TRUE)*(F1930-Calc!F19))+B1942+(ArtifactsInput!$M$24-ArtifactsInput!$M$24)*CHOOSE(ArtifactsInput!$N$24+1,10,12,14,16,18,20)+(IF(AND(Inputs!$B$38&lt;&gt;"pvp",Inputs!$B$43=0),1,IF(IF(Inputs!$B$38="pvp",15,Inputs!$B$43)-(B1949)&lt;=0,1,MAX(0,IF(Inputs!$B$38="pvp",15,Inputs!$B$43)-MAX(5,B1949))/(IF(Inputs!$B$38="pvp",15,Inputs!$B$43)-(B1949))))*IF(AND(ArtifactsInput!$M$42,((Inputs!$B$9+((C1930=TRUE)*(F1930-Calc!F19))+B1942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915">
        <f>290*U1914/1000</f>
        <v/>
      </c>
      <c r="V1915">
        <f>IF(C1915,(H1915*N1915*IF(AND(Inputs!$B$38&lt;&gt;"pvp",Inputs!$B$43&gt;0),((Skills!G4*((R1915-1)*IF(Skills!H4&gt;0,INT(IF(Inputs!$B$3&gt;=104,MIN(35,20*(1+Inputs!$B$34/100)),20)/Skills!H4+0.000000001),1)+IF(Skills!H4&gt;0,INT(MIN(IF(Inputs!$B$3&gt;=104,MIN(35,20*(1+Inputs!$B$34/100)),20),MAX(0,MAX(0,Inputs!$B$43-B1949)-((R1915-1)*(IF(Inputs!$B$38="pvp",15,MAX(0.1,Skills!D4-IF(TRUE=TRUE,Inputs!$B$32,0)))*(1-IF(AND(ArtifactsInput!$M$27,Inputs!$B$4="Chapter Hunt"),CHOOSE(ArtifactsInput!$N$27+1,20,24,28,32,36,40),0)/100)))))/Skills!H4+0.000000001),1)))/Inputs!$B$43),G1915*Q1915))*IF(Inputs!$B$38="pvp",1,(1+(Inputs!$B$21+Skills!Q4+(IF(ArtifactsInput!$M$33,CHOOSE(ArtifactsInput!$N$33+1,30,36,42,48,54,60),0))+(IF(AND(ArtifactsInput!$M$35,Inputs!$B$4&lt;&gt;"Chapter Hunt"),CHOOSE(ArtifactsInput!$N$35+1,15,18,21,24,27,30)*(1-EXP(-(0.2*B1944)*5)),0)+IF(AND(ArtifactsInput!$M$22,Inputs!$B$4&lt;&gt;"Chapter Hunt"),CHOOSE(ArtifactsInput!$N$22+1,10,12,14,16,18,20)*((0*(((0.15*B1944*5))^0/1)+1*(((0.15*B1944*5))^1/1)+2*(((0.15*B1944*5))^2/2)+3*(((0.15*B1944*5))^3/6)+4*(((0.15*B1944*5))^4/24)+5*(((0.15*B1944*5))^5/120))/((((0.15*B1944*5))^0/1)+(((0.15*B1944*5))^1/1)+(((0.15*B1944*5))^2/2)+(((0.15*B1944*5))^3/6)+(((0.15*B1944*5))^4/24)+(((0.15*B1944*5))^5/120))),0))+IF(Inputs!$B$3&gt;=54,9*(C1914=TRUE)*MIN(1,8*(1+Inputs!$B$34/100)*Q1914),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16">
      <c r="A1916">
        <f>Skills!A5</f>
        <v/>
      </c>
      <c r="B1916">
        <f>Skills!B5</f>
        <v/>
      </c>
      <c r="C1916">
        <f>Inputs!$B$3&gt;=69</f>
        <v/>
      </c>
      <c r="D1916">
        <f>IF(Skills!C5=1,60+Inputs!$B$25+Inputs!$B$29,IF(Skills!C5=2,90+Inputs!$B$26+Inputs!$B$29,IF(Skills!C5=3,120+Inputs!$B$27+Inputs!$B$29,MAX(0,(Inputs!$B$3-100)*3)+Inputs!$B$28+Inputs!$B$29)))</f>
        <v/>
      </c>
      <c r="E1916">
        <f>INDEX(FactorTable!$B$2:$Y$301, MATCH(ROUND(MIN(300,MAX(1,D1916)),0), FactorTable!$A$2:$A$301,0), Skills!M5+1)</f>
        <v/>
      </c>
      <c r="F1916">
        <f>IF(Skills!N5=TRUE,(Skills!L5/10)*(E1916/1000),Skills!L5/10)+Skills!O5</f>
        <v/>
      </c>
      <c r="G1916">
        <f>Skills!G5*IF(Skills!H5&gt;0,INT(IF(Inputs!$B$38="pvp",MIN(IF(Inputs!$B$3&gt;=104,MIN(35,20*(1+Inputs!$B$34/100)),20),15),IF(Inputs!$B$3&gt;=104,MIN(35,20*(1+Inputs!$B$34/100)),20))/Skills!H5+0.000000001),1)</f>
        <v/>
      </c>
      <c r="H1916">
        <f>1-(1-Skills!J5/100)^Skills!K5</f>
        <v/>
      </c>
      <c r="I1916" t="inlineStr">
        <is>
          <t>1</t>
        </is>
      </c>
      <c r="J1916">
        <f>((Inputs!$B$6*(1+Inputs!$B$7/100))+(((Inputs!$B$12*(1+Inputs!$B$13/100))-(Inputs!$B$12*(1+Inputs!$B$13/100)))+0.25*(Inputs!$B$14-Inputs!$B$14))*(1+Inputs!$B$7/100))*(F1916/100)</f>
        <v/>
      </c>
      <c r="K1916">
        <f>J1916*(1+((Inputs!$B$12*(1+Inputs!$B$13/100))*0.01+Inputs!$B$14*0.0025)/100)*(1+Inputs!$B$15/100)*(1+Inputs!$B$16/100)*(5000/(6000+Inputs!$B$42*(1-(100*(1-(1-(Inputs!$B$19+0)/100)*(1-CHOOSE(ArtifactsInput!$N$40+1,5,6,7,8,9,10)/100)^(ArtifactsInput!$M$40-ArtifactsInput!$M$40)))/100)))*(1+(Inputs!$B$24+((C1937=TRUE)*(F1937-Calc!F26))+B1948)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+0.4*IF(C1927=TRUE,F1927,0)/100)*(1+(IF(Skills!A5="EIGHT_LEGS_EASTON",Inputs!$B$17+((C1934=TRUE)*(F1934-Calc!F23))+((C1938=TRUE)*(F1938-Calc!F27))+((IF(AND(Inputs!$B$38&lt;&gt;"pvp",Inputs!$B$43=0),1,IF(IF(Inputs!$B$38="pvp",15,Inputs!$B$43)-(B1949)&lt;=0,1,MAX(0,IF(Inputs!$B$38="pvp",15,Inputs!$B$43)-MAX(5,B1949))/(IF(Inputs!$B$38="pvp",15,Inputs!$B$43)-(B1949))))*(IF(AND(ArtifactsInput!$M$42,((Inputs!$B$9+((C1930=TRUE)*(F1930-Calc!F19))+B1942+(ArtifactsInput!$M$24-ArtifactsInput!$M$24)*CHOOSE(ArtifactsInput!$N$24+1,10,12,14,16,18,20)+IF(ArtifactsInput!$M$10,CHOOSE(ArtifactsInput!$N$10+1,15,18,21,24,27,30)*(IF(Inputs!$B$38="pvp",MIN(15,15)/15,IF(AND(Inputs!$B$38&lt;&gt;"pvp",Inputs!$B$43&gt;0),MIN(15,Inputs!$B$43)/(Inputs!$B$43),0))),0)))&gt;=100),MIN(100,((Inputs!$B$9+((C1930=TRUE)*(F1930-Calc!F19))+B1942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1949)&lt;=0,1,MAX(0,IF(Inputs!$B$38="pvp",15,Inputs!$B$43)-MAX(5,B1949))/(IF(Inputs!$B$38="pvp",15,Inputs!$B$43)-(B1949))))*IF(AND(ArtifactsInput!$M$42,((Inputs!$B$9+((C1930=TRUE)*(F1930-Calc!F19))+B1942+(ArtifactsInput!$M$24-ArtifactsInput!$M$24)*CHOOSE(ArtifactsInput!$N$24+1,10,12,14,16,18,20)+IF(ArtifactsInput!$M$10,CHOOSE(ArtifactsInput!$N$10+1,15,18,21,24,27,30)*(IF(Inputs!$B$38="pvp",MIN(15,15)/15,IF(AND(Inputs!$B$38&lt;&gt;"pvp",Inputs!$B$43&gt;0),MIN(15,Inputs!$B$43)/(Inputs!$B$43),0))),0)))&gt;=100),CHOOSE(ArtifactsInput!$N$42+1,40,48,56,64,72,80),0))))/100)*((1+(((C1928=TRUE)*F1928*5/7)+((C1935=TRUE)*(F1935-Calc!F24))+(IF(IF(ArtifactsInput!$M$21,FALSE,TRUE),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1916)</f>
        <v/>
      </c>
      <c r="L1916">
        <f>K1916*(MIN(Inputs!$B$22+((C1933=TRUE)*(F1933-Calc!F22)),(Inputs!$B$23+0+(IF(ArtifactsInput!$M$15,CHOOSE(ArtifactsInput!$N$15+1,25,30,35,40,45,50)/100*(Inputs!$B$11-Inputs!$B$11),0))))/100+(Inputs!$B$23+0+(IF(ArtifactsInput!$M$15,CHOOSE(ArtifactsInput!$N$15+1,25,30,35,40,45,50)/100*(Inputs!$B$11-Inputs!$B$11),0)))/100)/2</f>
        <v/>
      </c>
      <c r="M1916">
        <f>L1916*(1+(Inputs!$B$10+((C1936=TRUE)*(F1936-Calc!F25))+B1947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16">
        <f>L1916*(1-MIN((Inputs!$B$9+((C1930=TRUE)*(F1930-Calc!F19))+B1942+(ArtifactsInput!$M$24-ArtifactsInput!$M$24)*CHOOSE(ArtifactsInput!$N$24+1,10,12,14,16,18,20)+(IF(AND(Inputs!$B$38&lt;&gt;"pvp",Inputs!$B$43=0),1,IF(IF(Inputs!$B$38="pvp",15,Inputs!$B$43)-(B1949)&lt;=0,1,MAX(0,IF(Inputs!$B$38="pvp",15,Inputs!$B$43)-MAX(5,B1949))/(IF(Inputs!$B$38="pvp",15,Inputs!$B$43)-(B1949))))*IF(AND(ArtifactsInput!$M$42,((Inputs!$B$9+((C1930=TRUE)*(F1930-Calc!F19))+B1942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1916*(MIN((Inputs!$B$9+((C1930=TRUE)*(F1930-Calc!F19))+B1942+(ArtifactsInput!$M$24-ArtifactsInput!$M$24)*CHOOSE(ArtifactsInput!$N$24+1,10,12,14,16,18,20)+(IF(AND(Inputs!$B$38&lt;&gt;"pvp",Inputs!$B$43=0),1,IF(IF(Inputs!$B$38="pvp",15,Inputs!$B$43)-(B1949)&lt;=0,1,MAX(0,IF(Inputs!$B$38="pvp",15,Inputs!$B$43)-MAX(5,B1949))/(IF(Inputs!$B$38="pvp",15,Inputs!$B$43)-(B1949))))*IF(AND(ArtifactsInput!$M$42,((Inputs!$B$9+((C1930=TRUE)*(F1930-Calc!F19))+B1942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16">
        <f>(1-Summary!$B$11)*T1916+Summary!$B$11*V1916</f>
        <v/>
      </c>
      <c r="P1916">
        <f>IF(B1952=0,0,O1916/B1952)</f>
        <v/>
      </c>
      <c r="Q1916">
        <f>IFERROR(1/(IF(Inputs!$B$38="pvp",15,MAX(0.1,Skills!D5-IF(TRUE=TRUE,Inputs!$B$32,0)))*(1-IF(AND(ArtifactsInput!$M$27,Inputs!$B$4="Chapter Hunt"),CHOOSE(ArtifactsInput!$N$27+1,20,24,28,32,36,40),0)/100)),0)</f>
        <v/>
      </c>
      <c r="R1916">
        <f>IF(AND(Inputs!$B$38&lt;&gt;"pvp",Inputs!$B$43&gt;0),IF(MAX(0,Inputs!$B$43-B1949)&lt;=0,0,(INT(MAX(0,Inputs!$B$43-B1949)/(IF(Inputs!$B$38="pvp",15,MAX(0.1,Skills!D5-IF(TRUE=TRUE,Inputs!$B$32,0)))*(1-IF(AND(ArtifactsInput!$M$27,Inputs!$B$4="Chapter Hunt"),CHOOSE(ArtifactsInput!$N$27+1,20,24,28,32,36,40),0)/100)))+1)),0)</f>
        <v/>
      </c>
      <c r="S1916">
        <f>IFERROR(O1916/N1916,0)</f>
        <v/>
      </c>
      <c r="T1916">
        <f>IF(C1916,(H1916*N1916*IF(AND(Inputs!$B$38&lt;&gt;"pvp",Inputs!$B$43&gt;0),((Skills!G5*((R1916-1)*IF(Skills!H5&gt;0,INT(IF(Inputs!$B$3&gt;=104,MIN(35,20*(1+Inputs!$B$34/100)),20)/Skills!H5+0.000000001),1)+IF(Skills!H5&gt;0,INT(MIN(IF(Inputs!$B$3&gt;=104,MIN(35,20*(1+Inputs!$B$34/100)),20),MAX(0,MAX(0,Inputs!$B$43-B1949)-((R1916-1)*(IF(Inputs!$B$38="pvp",15,MAX(0.1,Skills!D5-IF(TRUE=TRUE,Inputs!$B$32,0)))*(1-IF(AND(ArtifactsInput!$M$27,Inputs!$B$4="Chapter Hunt"),CHOOSE(ArtifactsInput!$N$27+1,20,24,28,32,36,40),0)/100)))))/Skills!H5+0.000000001),1)))/Inputs!$B$43),G1916*Q1916))*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Hunt"),CHOOSE(ArtifactsInput!$N$35+1,15,18,21,24,27,30)*(1-EXP(-(0.2*B1944)*5)),0)+IF(AND(ArtifactsInput!$M$22,Inputs!$B$4&lt;&gt;"Chapter Hunt"),CHOOSE(ArtifactsInput!$N$22+1,10,12,14,16,18,20)*((0*(((0.15*B1944*5))^0/1)+1*(((0.15*B1944*5))^1/1)+2*(((0.15*B1944*5))^2/2)+3*(((0.15*B1944*5))^3/6)+4*(((0.15*B1944*5))^4/24)+5*(((0.15*B1944*5))^5/120))/((((0.15*B1944*5))^0/1)+(((0.15*B1944*5))^1/1)+(((0.15*B1944*5))^2/2)+(((0.15*B1944*5))^3/6)+(((0.15*B1944*5))^4/24)+(((0.15*B1944*5))^5/120))),0))+IF(Inputs!$B$3&gt;=54,9*(C1914=TRUE)*MIN(1,8*(1+Inputs!$B$34/100)*Q1914)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1916*(1-MIN(100,(Inputs!$B$9+((C1930=TRUE)*(F1930-Calc!F19))+B1942+(ArtifactsInput!$M$24-ArtifactsInput!$M$24)*CHOOSE(ArtifactsInput!$N$24+1,10,12,14,16,18,20)+(IF(AND(Inputs!$B$38&lt;&gt;"pvp",Inputs!$B$43=0),1,IF(IF(Inputs!$B$38="pvp",15,Inputs!$B$43)-(B1949)&lt;=0,1,MAX(0,IF(Inputs!$B$38="pvp",15,Inputs!$B$43)-MAX(5,B1949))/(IF(Inputs!$B$38="pvp",15,Inputs!$B$43)-(B1949))))*IF(AND(ArtifactsInput!$M$42,((Inputs!$B$9+((C1930=TRUE)*(F1930-Calc!F19))+B1942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1916*(MIN(100,(Inputs!$B$9+((C1930=TRUE)*(F1930-Calc!F19))+B1942+(ArtifactsInput!$M$24-ArtifactsInput!$M$24)*CHOOSE(ArtifactsInput!$N$24+1,10,12,14,16,18,20)+(IF(AND(Inputs!$B$38&lt;&gt;"pvp",Inputs!$B$43=0),1,IF(IF(Inputs!$B$38="pvp",15,Inputs!$B$43)-(B1949)&lt;=0,1,MAX(0,IF(Inputs!$B$38="pvp",15,Inputs!$B$43)-MAX(5,B1949))/(IF(Inputs!$B$38="pvp",15,Inputs!$B$43)-(B1949))))*IF(AND(ArtifactsInput!$M$42,((Inputs!$B$9+((C1930=TRUE)*(F1930-Calc!F19))+B1942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1916*(1-MIN(100,(Inputs!$B$9+((C1930=TRUE)*(F1930-Calc!F19))+B1942+(ArtifactsInput!$M$24-ArtifactsInput!$M$24)*CHOOSE(ArtifactsInput!$N$24+1,10,12,14,16,18,20)+(IF(AND(Inputs!$B$38&lt;&gt;"pvp",Inputs!$B$43=0),1,IF(IF(Inputs!$B$38="pvp",15,Inputs!$B$43)-(B1949)&lt;=0,1,MAX(0,IF(Inputs!$B$38="pvp",15,Inputs!$B$43)-MAX(5,B1949))/(IF(Inputs!$B$38="pvp",15,Inputs!$B$43)-(B1949))))*IF(AND(ArtifactsInput!$M$42,((Inputs!$B$9+((C1930=TRUE)*(F1930-Calc!F19))+B1942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1916*(MIN(100,(Inputs!$B$9+((C1930=TRUE)*(F1930-Calc!F19))+B1942+(ArtifactsInput!$M$24-ArtifactsInput!$M$24)*CHOOSE(ArtifactsInput!$N$24+1,10,12,14,16,18,20)+(IF(AND(Inputs!$B$38&lt;&gt;"pvp",Inputs!$B$43=0),1,IF(IF(Inputs!$B$38="pvp",15,Inputs!$B$43)-(B1949)&lt;=0,1,MAX(0,IF(Inputs!$B$38="pvp",15,Inputs!$B$43)-MAX(5,B1949))/(IF(Inputs!$B$38="pvp",15,Inputs!$B$43)-(B1949))))*IF(AND(ArtifactsInput!$M$42,((Inputs!$B$9+((C1930=TRUE)*(F1930-Calc!F19))+B1942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916">
        <f>IF(C1916,(H1916*N1916*IF(AND(Inputs!$B$38&lt;&gt;"pvp",Inputs!$B$43&gt;0),((Skills!G5*((R1916-1)*IF(Skills!H5&gt;0,INT(IF(Inputs!$B$3&gt;=104,MIN(35,20*(1+Inputs!$B$34/100)),20)/Skills!H5+0.000000001),1)+IF(Skills!H5&gt;0,INT(MIN(IF(Inputs!$B$3&gt;=104,MIN(35,20*(1+Inputs!$B$34/100)),20),MAX(0,MAX(0,Inputs!$B$43-B1949)-((R1916-1)*(IF(Inputs!$B$38="pvp",15,MAX(0.1,Skills!D5-IF(TRUE=TRUE,Inputs!$B$32,0)))*(1-IF(AND(ArtifactsInput!$M$27,Inputs!$B$4="Chapter Hunt"),CHOOSE(ArtifactsInput!$N$27+1,20,24,28,32,36,40),0)/100)))))/Skills!H5+0.000000001),1)))/Inputs!$B$43),G1916*Q1916))*IF(Inputs!$B$38="pvp",1,(1+(Inputs!$B$21+Skills!Q5+(IF(ArtifactsInput!$M$33,CHOOSE(ArtifactsInput!$N$33+1,30,36,42,48,54,60),0))+(IF(AND(ArtifactsInput!$M$35,Inputs!$B$4&lt;&gt;"Chapter Hunt"),CHOOSE(ArtifactsInput!$N$35+1,15,18,21,24,27,30)*(1-EXP(-(0.2*B1944)*5)),0)+IF(AND(ArtifactsInput!$M$22,Inputs!$B$4&lt;&gt;"Chapter Hunt"),CHOOSE(ArtifactsInput!$N$22+1,10,12,14,16,18,20)*((0*(((0.15*B1944*5))^0/1)+1*(((0.15*B1944*5))^1/1)+2*(((0.15*B1944*5))^2/2)+3*(((0.15*B1944*5))^3/6)+4*(((0.15*B1944*5))^4/24)+5*(((0.15*B1944*5))^5/120))/((((0.15*B1944*5))^0/1)+(((0.15*B1944*5))^1/1)+(((0.15*B1944*5))^2/2)+(((0.15*B1944*5))^3/6)+(((0.15*B1944*5))^4/24)+(((0.15*B1944*5))^5/120))),0))+IF(Inputs!$B$3&gt;=54,9*(C1914=TRUE)*MIN(1,8*(1+Inputs!$B$34/100)*Q1914),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17">
      <c r="A1917">
        <f>Skills!A6</f>
        <v/>
      </c>
      <c r="B1917">
        <f>Skills!B6</f>
        <v/>
      </c>
      <c r="C1917">
        <f>Inputs!$B$3&gt;=66</f>
        <v/>
      </c>
      <c r="D1917">
        <f>IF(Skills!C6=1,60+Inputs!$B$25+Inputs!$B$29,IF(Skills!C6=2,90+Inputs!$B$26+Inputs!$B$29,IF(Skills!C6=3,120+Inputs!$B$27+Inputs!$B$29,MAX(0,(Inputs!$B$3-100)*3)+Inputs!$B$28+Inputs!$B$29)))</f>
        <v/>
      </c>
      <c r="E1917">
        <f>INDEX(FactorTable!$B$2:$Y$301, MATCH(ROUND(MIN(300,MAX(1,D1917)),0), FactorTable!$A$2:$A$301,0), Skills!M6+1)</f>
        <v/>
      </c>
      <c r="F1917">
        <f>IF(Skills!N6=TRUE,(Skills!L6/10)*(E1917/1000),Skills!L6/10)+Skills!O6</f>
        <v/>
      </c>
      <c r="G1917">
        <f>Skills!G6*IF(Skills!H6&gt;0,INT(IF(Inputs!$B$38="pvp",MIN(Skills!I6,15),Skills!I6)/Skills!H6+0.000000001),1)</f>
        <v/>
      </c>
      <c r="H1917">
        <f>1-(1-Skills!J6/100)^Skills!K6</f>
        <v/>
      </c>
      <c r="I1917" t="inlineStr">
        <is>
          <t>1</t>
        </is>
      </c>
      <c r="J1917">
        <f>((Inputs!$B$6*(1+Inputs!$B$7/100))+(((Inputs!$B$12*(1+Inputs!$B$13/100))-(Inputs!$B$12*(1+Inputs!$B$13/100)))+0.25*(Inputs!$B$14-Inputs!$B$14))*(1+Inputs!$B$7/100))*(F1917/100)</f>
        <v/>
      </c>
      <c r="K1917">
        <f>J1917*(1+((Inputs!$B$12*(1+Inputs!$B$13/100))*0.01+Inputs!$B$14*0.0025)/100)*(1+Inputs!$B$15/100)*(1+Inputs!$B$16/100)*(5000/(6000+Inputs!$B$42*(1-(100*(1-(1-(Inputs!$B$19+0)/100)*(1-CHOOSE(ArtifactsInput!$N$40+1,5,6,7,8,9,10)/100)^(ArtifactsInput!$M$40-ArtifactsInput!$M$40)))/100)))*(1+(Inputs!$B$24+((C1937=TRUE)*(F1937-Calc!F26))+B1948)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+2.0*IF(C1926=TRUE,F1926,0)/100)*(1+(IF(Skills!A6="EIGHT_LEGS_EASTON",Inputs!$B$17+((C1934=TRUE)*(F1934-Calc!F23))+((C1938=TRUE)*(F1938-Calc!F27))+((IF(AND(Inputs!$B$38&lt;&gt;"pvp",Inputs!$B$43=0),1,IF(IF(Inputs!$B$38="pvp",15,Inputs!$B$43)-(B1949)&lt;=0,1,MAX(0,IF(Inputs!$B$38="pvp",15,Inputs!$B$43)-MAX(5,B1949))/(IF(Inputs!$B$38="pvp",15,Inputs!$B$43)-(B1949))))*(IF(AND(ArtifactsInput!$M$42,((Inputs!$B$9+((C1930=TRUE)*(F1930-Calc!F19))+B1942+(ArtifactsInput!$M$24-ArtifactsInput!$M$24)*CHOOSE(ArtifactsInput!$N$24+1,10,12,14,16,18,20)+IF(ArtifactsInput!$M$10,CHOOSE(ArtifactsInput!$N$10+1,15,18,21,24,27,30)*(IF(Inputs!$B$38="pvp",MIN(15,15)/15,IF(AND(Inputs!$B$38&lt;&gt;"pvp",Inputs!$B$43&gt;0),MIN(15,Inputs!$B$43)/(Inputs!$B$43),0))),0)))&gt;=100),MIN(100,((Inputs!$B$9+((C1930=TRUE)*(F1930-Calc!F19))+B1942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1949)&lt;=0,1,MAX(0,IF(Inputs!$B$38="pvp",15,Inputs!$B$43)-MAX(5,B1949))/(IF(Inputs!$B$38="pvp",15,Inputs!$B$43)-(B1949))))*IF(AND(ArtifactsInput!$M$42,((Inputs!$B$9+((C1930=TRUE)*(F1930-Calc!F19))+B1942+(ArtifactsInput!$M$24-ArtifactsInput!$M$24)*CHOOSE(ArtifactsInput!$N$24+1,10,12,14,16,18,20)+IF(ArtifactsInput!$M$10,CHOOSE(ArtifactsInput!$N$10+1,15,18,21,24,27,30)*(IF(Inputs!$B$38="pvp",MIN(15,15)/15,IF(AND(Inputs!$B$38&lt;&gt;"pvp",Inputs!$B$43&gt;0),MIN(15,Inputs!$B$43)/(Inputs!$B$43),0))),0)))&gt;=100),CHOOSE(ArtifactsInput!$N$42+1,40,48,56,64,72,80),0))))/100)*((1+(((C1928=TRUE)*F1928*5/7)+((C1935=TRUE)*(F1935-Calc!F24))+(IF(IF(ArtifactsInput!$M$21,FALSE,TRUE),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1917)</f>
        <v/>
      </c>
      <c r="L1917">
        <f>K1917*(MIN(Inputs!$B$22+((C1933=TRUE)*(F1933-Calc!F22)),(Inputs!$B$23+0+(IF(ArtifactsInput!$M$15,CHOOSE(ArtifactsInput!$N$15+1,25,30,35,40,45,50)/100*(Inputs!$B$11-Inputs!$B$11),0))))/100+(Inputs!$B$23+0+(IF(ArtifactsInput!$M$15,CHOOSE(ArtifactsInput!$N$15+1,25,30,35,40,45,50)/100*(Inputs!$B$11-Inputs!$B$11),0)))/100)/2</f>
        <v/>
      </c>
      <c r="M1917">
        <f>L1917*(1+(Inputs!$B$10+((C1936=TRUE)*(F1936-Calc!F25))+B1947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17">
        <f>L1917*(1-MIN((Inputs!$B$9+((C1930=TRUE)*(F1930-Calc!F19))+B1942+(ArtifactsInput!$M$24-ArtifactsInput!$M$24)*CHOOSE(ArtifactsInput!$N$24+1,10,12,14,16,18,20)+(IF(AND(Inputs!$B$38&lt;&gt;"pvp",Inputs!$B$43=0),1,IF(IF(Inputs!$B$38="pvp",15,Inputs!$B$43)-(B1949)&lt;=0,1,MAX(0,IF(Inputs!$B$38="pvp",15,Inputs!$B$43)-MAX(5,B1949))/(IF(Inputs!$B$38="pvp",15,Inputs!$B$43)-(B1949))))*IF(AND(ArtifactsInput!$M$42,((Inputs!$B$9+((C1930=TRUE)*(F1930-Calc!F19))+B1942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1917*(MIN((Inputs!$B$9+((C1930=TRUE)*(F1930-Calc!F19))+B1942+(ArtifactsInput!$M$24-ArtifactsInput!$M$24)*CHOOSE(ArtifactsInput!$N$24+1,10,12,14,16,18,20)+(IF(AND(Inputs!$B$38&lt;&gt;"pvp",Inputs!$B$43=0),1,IF(IF(Inputs!$B$38="pvp",15,Inputs!$B$43)-(B1949)&lt;=0,1,MAX(0,IF(Inputs!$B$38="pvp",15,Inputs!$B$43)-MAX(5,B1949))/(IF(Inputs!$B$38="pvp",15,Inputs!$B$43)-(B1949))))*IF(AND(ArtifactsInput!$M$42,((Inputs!$B$9+((C1930=TRUE)*(F1930-Calc!F19))+B1942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17">
        <f>(1-Summary!$B$11)*T1917+Summary!$B$11*V1917</f>
        <v/>
      </c>
      <c r="P1917">
        <f>IF(B1952=0,0,O1917/B1952)</f>
        <v/>
      </c>
      <c r="Q1917">
        <f>IFERROR(1/(IF(Inputs!$B$38="pvp",15,MAX(0.1,Skills!D6-IF(TRUE=TRUE,Inputs!$B$32,0)))*(1-IF(AND(ArtifactsInput!$M$27,Inputs!$B$4="Chapter Hunt"),CHOOSE(ArtifactsInput!$N$27+1,20,24,28,32,36,40),0)/100)),0)</f>
        <v/>
      </c>
      <c r="R1917">
        <f>IF(AND(Inputs!$B$38&lt;&gt;"pvp",Inputs!$B$43&gt;0),IF(MAX(0,Inputs!$B$43-B1949)&lt;=0,0,(INT(MAX(0,Inputs!$B$43-B1949)/(IF(Inputs!$B$38="pvp",15,MAX(0.1,Skills!D6-IF(TRUE=TRUE,Inputs!$B$32,0)))*(1-IF(AND(ArtifactsInput!$M$27,Inputs!$B$4="Chapter Hunt"),CHOOSE(ArtifactsInput!$N$27+1,20,24,28,32,36,40),0)/100)))+1)),0)</f>
        <v/>
      </c>
      <c r="S1917">
        <f>IFERROR(O1917/N1917,0)</f>
        <v/>
      </c>
      <c r="T1917">
        <f>IF(C1917,(H1917*N1917*IF(AND(Inputs!$B$38&lt;&gt;"pvp",Inputs!$B$43&gt;0),((Skills!G6*((R1917-1)*IF(Skills!H6&gt;0,INT(Skills!I6/Skills!H6+0.000000001),1)+IF(Skills!H6&gt;0,INT(MIN(Skills!I6,MAX(0,MAX(0,Inputs!$B$43-B1949)-((R1917-1)*(IF(Inputs!$B$38="pvp",15,MAX(0.1,Skills!D6-IF(TRUE=TRUE,Inputs!$B$32,0)))*(1-IF(AND(ArtifactsInput!$M$27,Inputs!$B$4="Chapter Hunt"),CHOOSE(ArtifactsInput!$N$27+1,20,24,28,32,36,40),0)/100)))))/Skills!H6+0.000000001),1)))/Inputs!$B$43),G1917*Q1917)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Hunt"),CHOOSE(ArtifactsInput!$N$35+1,15,18,21,24,27,30)*(1-EXP(-(0.2*B1944)*5)),0)+IF(AND(ArtifactsInput!$M$22,Inputs!$B$4&lt;&gt;"Chapter Hunt"),CHOOSE(ArtifactsInput!$N$22+1,10,12,14,16,18,20)*((0*(((0.15*B1944*5))^0/1)+1*(((0.15*B1944*5))^1/1)+2*(((0.15*B1944*5))^2/2)+3*(((0.15*B1944*5))^3/6)+4*(((0.15*B1944*5))^4/24)+5*(((0.15*B1944*5))^5/120))/((((0.15*B1944*5))^0/1)+(((0.15*B1944*5))^1/1)+(((0.15*B1944*5))^2/2)+(((0.15*B1944*5))^3/6)+(((0.15*B1944*5))^4/24)+(((0.15*B1944*5))^5/120))),0))+IF(Inputs!$B$3&gt;=54,9*(C1914=TRUE)*MIN(1,8*(1+Inputs!$B$34/100)*Q1914)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1917*(1-MIN(100,(Inputs!$B$9+((C1930=TRUE)*(F1930-Calc!F19))+B1942+(ArtifactsInput!$M$24-ArtifactsInput!$M$24)*CHOOSE(ArtifactsInput!$N$24+1,10,12,14,16,18,20)+(IF(AND(Inputs!$B$38&lt;&gt;"pvp",Inputs!$B$43=0),1,IF(IF(Inputs!$B$38="pvp",15,Inputs!$B$43)-(B1949)&lt;=0,1,MAX(0,IF(Inputs!$B$38="pvp",15,Inputs!$B$43)-MAX(5,B1949))/(IF(Inputs!$B$38="pvp",15,Inputs!$B$43)-(B1949))))*IF(AND(ArtifactsInput!$M$42,((Inputs!$B$9+((C1930=TRUE)*(F1930-Calc!F19))+B1942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1917*(MIN(100,(Inputs!$B$9+((C1930=TRUE)*(F1930-Calc!F19))+B1942+(ArtifactsInput!$M$24-ArtifactsInput!$M$24)*CHOOSE(ArtifactsInput!$N$24+1,10,12,14,16,18,20)+(IF(AND(Inputs!$B$38&lt;&gt;"pvp",Inputs!$B$43=0),1,IF(IF(Inputs!$B$38="pvp",15,Inputs!$B$43)-(B1949)&lt;=0,1,MAX(0,IF(Inputs!$B$38="pvp",15,Inputs!$B$43)-MAX(5,B1949))/(IF(Inputs!$B$38="pvp",15,Inputs!$B$43)-(B1949))))*IF(AND(ArtifactsInput!$M$42,((Inputs!$B$9+((C1930=TRUE)*(F1930-Calc!F19))+B1942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1917*(1-MIN(100,(Inputs!$B$9+((C1930=TRUE)*(F1930-Calc!F19))+B1942+(ArtifactsInput!$M$24-ArtifactsInput!$M$24)*CHOOSE(ArtifactsInput!$N$24+1,10,12,14,16,18,20)+(IF(AND(Inputs!$B$38&lt;&gt;"pvp",Inputs!$B$43=0),1,IF(IF(Inputs!$B$38="pvp",15,Inputs!$B$43)-(B1949)&lt;=0,1,MAX(0,IF(Inputs!$B$38="pvp",15,Inputs!$B$43)-MAX(5,B1949))/(IF(Inputs!$B$38="pvp",15,Inputs!$B$43)-(B1949))))*IF(AND(ArtifactsInput!$M$42,((Inputs!$B$9+((C1930=TRUE)*(F1930-Calc!F19))+B1942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1917*(MIN(100,(Inputs!$B$9+((C1930=TRUE)*(F1930-Calc!F19))+B1942+(ArtifactsInput!$M$24-ArtifactsInput!$M$24)*CHOOSE(ArtifactsInput!$N$24+1,10,12,14,16,18,20)+(IF(AND(Inputs!$B$38&lt;&gt;"pvp",Inputs!$B$43=0),1,IF(IF(Inputs!$B$38="pvp",15,Inputs!$B$43)-(B1949)&lt;=0,1,MAX(0,IF(Inputs!$B$38="pvp",15,Inputs!$B$43)-MAX(5,B1949))/(IF(Inputs!$B$38="pvp",15,Inputs!$B$43)-(B1949))))*IF(AND(ArtifactsInput!$M$42,((Inputs!$B$9+((C1930=TRUE)*(F1930-Calc!F19))+B1942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917">
        <f>IF(C1917,(H1917*N1917*IF(AND(Inputs!$B$38&lt;&gt;"pvp",Inputs!$B$43&gt;0),((Skills!G6*((R1917-1)*IF(Skills!H6&gt;0,INT(Skills!I6/Skills!H6+0.000000001),1)+IF(Skills!H6&gt;0,INT(MIN(Skills!I6,MAX(0,MAX(0,Inputs!$B$43-B1949)-((R1917-1)*(IF(Inputs!$B$38="pvp",15,MAX(0.1,Skills!D6-IF(TRUE=TRUE,Inputs!$B$32,0)))*(1-IF(AND(ArtifactsInput!$M$27,Inputs!$B$4="Chapter Hunt"),CHOOSE(ArtifactsInput!$N$27+1,20,24,28,32,36,40),0)/100)))))/Skills!H6+0.000000001),1)))/Inputs!$B$43),G1917*Q1917))*IF(Inputs!$B$38="pvp",1,(1+(Inputs!$B$21+Skills!Q6+(IF(ArtifactsInput!$M$33,CHOOSE(ArtifactsInput!$N$33+1,30,36,42,48,54,60),0))+(IF(AND(ArtifactsInput!$M$35,Inputs!$B$4&lt;&gt;"Chapter Hunt"),CHOOSE(ArtifactsInput!$N$35+1,15,18,21,24,27,30)*(1-EXP(-(0.2*B1944)*5)),0)+IF(AND(ArtifactsInput!$M$22,Inputs!$B$4&lt;&gt;"Chapter Hunt"),CHOOSE(ArtifactsInput!$N$22+1,10,12,14,16,18,20)*((0*(((0.15*B1944*5))^0/1)+1*(((0.15*B1944*5))^1/1)+2*(((0.15*B1944*5))^2/2)+3*(((0.15*B1944*5))^3/6)+4*(((0.15*B1944*5))^4/24)+5*(((0.15*B1944*5))^5/120))/((((0.15*B1944*5))^0/1)+(((0.15*B1944*5))^1/1)+(((0.15*B1944*5))^2/2)+(((0.15*B1944*5))^3/6)+(((0.15*B1944*5))^4/24)+(((0.15*B1944*5))^5/120))),0))+IF(Inputs!$B$3&gt;=54,9*(C1914=TRUE)*MIN(1,8*(1+Inputs!$B$34/100)*Q1914),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18">
      <c r="A1918">
        <f>Skills!A7</f>
        <v/>
      </c>
      <c r="B1918">
        <f>Skills!B7</f>
        <v/>
      </c>
      <c r="C1918">
        <f>Inputs!$B$3&gt;=63</f>
        <v/>
      </c>
      <c r="D1918">
        <f>IF(Skills!C7=1,60+Inputs!$B$25+Inputs!$B$29,IF(Skills!C7=2,90+Inputs!$B$26+Inputs!$B$29,IF(Skills!C7=3,120+Inputs!$B$27+Inputs!$B$29,MAX(0,(Inputs!$B$3-100)*3)+Inputs!$B$28+Inputs!$B$29)))</f>
        <v/>
      </c>
      <c r="E1918">
        <f>INDEX(FactorTable!$B$2:$Y$301, MATCH(ROUND(MIN(300,MAX(1,D1918)),0), FactorTable!$A$2:$A$301,0), Skills!M7+1)</f>
        <v/>
      </c>
      <c r="F1918">
        <f>IF(Skills!N7=TRUE,(Skills!L7/10)*(E1918/1000),Skills!L7/10)+Skills!O7</f>
        <v/>
      </c>
      <c r="G1918">
        <f>Skills!G7*IF(Skills!H7&gt;0,INT(IF(Inputs!$B$38="pvp",MIN(Skills!I7,15),Skills!I7)/Skills!H7+0.000000001),1)</f>
        <v/>
      </c>
      <c r="H1918">
        <f>1-(1-Skills!J7/100)^Skills!K7</f>
        <v/>
      </c>
      <c r="I1918" t="inlineStr">
        <is>
          <t>1</t>
        </is>
      </c>
      <c r="J1918">
        <f>((Inputs!$B$6*(1+Inputs!$B$7/100))+(((Inputs!$B$12*(1+Inputs!$B$13/100))-(Inputs!$B$12*(1+Inputs!$B$13/100)))+0.25*(Inputs!$B$14-Inputs!$B$14))*(1+Inputs!$B$7/100))*(F1918/100)</f>
        <v/>
      </c>
      <c r="K1918">
        <f>J1918*(1+((Inputs!$B$12*(1+Inputs!$B$13/100))*0.01+Inputs!$B$14*0.0025)/100)*(1+Inputs!$B$15/100)*(1+Inputs!$B$16/100)*(5000/(6000+Inputs!$B$42*(1-(100*(1-(1-(Inputs!$B$19+0)/100)*(1-CHOOSE(ArtifactsInput!$N$40+1,5,6,7,8,9,10)/100)^(ArtifactsInput!$M$40-ArtifactsInput!$M$40)))/100)))*(1+(Inputs!$B$24+((C1937=TRUE)*(F1937-Calc!F26))+B1948)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1926=TRUE,F1926,0)/100)*(1+(IF(Skills!A7="EIGHT_LEGS_EASTON",Inputs!$B$17+((C1934=TRUE)*(F1934-Calc!F23))+((C1938=TRUE)*(F1938-Calc!F27))+((IF(AND(Inputs!$B$38&lt;&gt;"pvp",Inputs!$B$43=0),1,IF(IF(Inputs!$B$38="pvp",15,Inputs!$B$43)-(B1949)&lt;=0,1,MAX(0,IF(Inputs!$B$38="pvp",15,Inputs!$B$43)-MAX(5,B1949))/(IF(Inputs!$B$38="pvp",15,Inputs!$B$43)-(B1949))))*(IF(AND(ArtifactsInput!$M$42,((Inputs!$B$9+((C1930=TRUE)*(F1930-Calc!F19))+B1942+(ArtifactsInput!$M$24-ArtifactsInput!$M$24)*CHOOSE(ArtifactsInput!$N$24+1,10,12,14,16,18,20)+IF(ArtifactsInput!$M$10,CHOOSE(ArtifactsInput!$N$10+1,15,18,21,24,27,30)*(IF(Inputs!$B$38="pvp",MIN(15,15)/15,IF(AND(Inputs!$B$38&lt;&gt;"pvp",Inputs!$B$43&gt;0),MIN(15,Inputs!$B$43)/(Inputs!$B$43),0))),0)))&gt;=100),MIN(100,((Inputs!$B$9+((C1930=TRUE)*(F1930-Calc!F19))+B1942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1949)&lt;=0,1,MAX(0,IF(Inputs!$B$38="pvp",15,Inputs!$B$43)-MAX(5,B1949))/(IF(Inputs!$B$38="pvp",15,Inputs!$B$43)-(B1949))))*IF(AND(ArtifactsInput!$M$42,((Inputs!$B$9+((C1930=TRUE)*(F1930-Calc!F19))+B1942+(ArtifactsInput!$M$24-ArtifactsInput!$M$24)*CHOOSE(ArtifactsInput!$N$24+1,10,12,14,16,18,20)+IF(ArtifactsInput!$M$10,CHOOSE(ArtifactsInput!$N$10+1,15,18,21,24,27,30)*(IF(Inputs!$B$38="pvp",MIN(15,15)/15,IF(AND(Inputs!$B$38&lt;&gt;"pvp",Inputs!$B$43&gt;0),MIN(15,Inputs!$B$43)/(Inputs!$B$43),0))),0)))&gt;=100),CHOOSE(ArtifactsInput!$N$42+1,40,48,56,64,72,80),0))))/100)*((1+(((C1928=TRUE)*F1928*5/7)+((C1935=TRUE)*(F1935-Calc!F24))+(IF(IF(ArtifactsInput!$M$21,FALSE,TRUE),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1918)</f>
        <v/>
      </c>
      <c r="L1918">
        <f>K1918*(MIN(Inputs!$B$22+((C1933=TRUE)*(F1933-Calc!F22)),(Inputs!$B$23+0+(IF(ArtifactsInput!$M$15,CHOOSE(ArtifactsInput!$N$15+1,25,30,35,40,45,50)/100*(Inputs!$B$11-Inputs!$B$11),0))))/100+(Inputs!$B$23+0+(IF(ArtifactsInput!$M$15,CHOOSE(ArtifactsInput!$N$15+1,25,30,35,40,45,50)/100*(Inputs!$B$11-Inputs!$B$11),0)))/100)/2</f>
        <v/>
      </c>
      <c r="M1918">
        <f>L1918*(1+(Inputs!$B$10+((C1936=TRUE)*(F1936-Calc!F25))+B1947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18">
        <f>L1918*(1-MIN((Inputs!$B$9+((C1930=TRUE)*(F1930-Calc!F19))+B1942+(ArtifactsInput!$M$24-ArtifactsInput!$M$24)*CHOOSE(ArtifactsInput!$N$24+1,10,12,14,16,18,20)+(IF(AND(Inputs!$B$38&lt;&gt;"pvp",Inputs!$B$43=0),1,IF(IF(Inputs!$B$38="pvp",15,Inputs!$B$43)-(B1949)&lt;=0,1,MAX(0,IF(Inputs!$B$38="pvp",15,Inputs!$B$43)-MAX(5,B1949))/(IF(Inputs!$B$38="pvp",15,Inputs!$B$43)-(B1949))))*IF(AND(ArtifactsInput!$M$42,((Inputs!$B$9+((C1930=TRUE)*(F1930-Calc!F19))+B1942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1918*(MIN((Inputs!$B$9+((C1930=TRUE)*(F1930-Calc!F19))+B1942+(ArtifactsInput!$M$24-ArtifactsInput!$M$24)*CHOOSE(ArtifactsInput!$N$24+1,10,12,14,16,18,20)+(IF(AND(Inputs!$B$38&lt;&gt;"pvp",Inputs!$B$43=0),1,IF(IF(Inputs!$B$38="pvp",15,Inputs!$B$43)-(B1949)&lt;=0,1,MAX(0,IF(Inputs!$B$38="pvp",15,Inputs!$B$43)-MAX(5,B1949))/(IF(Inputs!$B$38="pvp",15,Inputs!$B$43)-(B1949))))*IF(AND(ArtifactsInput!$M$42,((Inputs!$B$9+((C1930=TRUE)*(F1930-Calc!F19))+B1942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18">
        <f>(1-Summary!$B$11)*T1918+Summary!$B$11*V1918</f>
        <v/>
      </c>
      <c r="P1918">
        <f>IF(B1952=0,0,O1918/B1952)</f>
        <v/>
      </c>
      <c r="Q1918">
        <f>IFERROR(1/(IF(Inputs!$B$38="pvp",15,MAX(0.1,Skills!D7-IF(TRUE=TRUE,Inputs!$B$32,0)))*(1-IF(AND(ArtifactsInput!$M$27,Inputs!$B$4="Chapter Hunt"),CHOOSE(ArtifactsInput!$N$27+1,20,24,28,32,36,40),0)/100)),0)</f>
        <v/>
      </c>
      <c r="R1918">
        <f>IF(AND(Inputs!$B$38&lt;&gt;"pvp",Inputs!$B$43&gt;0),IF(MAX(0,Inputs!$B$43-B1949)&lt;=0,0,(INT(MAX(0,Inputs!$B$43-B1949)/(IF(Inputs!$B$38="pvp",15,MAX(0.1,Skills!D7-IF(TRUE=TRUE,Inputs!$B$32,0)))*(1-IF(AND(ArtifactsInput!$M$27,Inputs!$B$4="Chapter Hunt"),CHOOSE(ArtifactsInput!$N$27+1,20,24,28,32,36,40),0)/100)))+1)),0)</f>
        <v/>
      </c>
      <c r="S1918">
        <f>IFERROR(O1918/N1918,0)</f>
        <v/>
      </c>
      <c r="T1918">
        <f>IF(C1918,(H1918*N1918*IF(AND(Inputs!$B$38&lt;&gt;"pvp",Inputs!$B$43&gt;0),((Skills!G7*((R1918-1)*IF(Skills!H7&gt;0,INT(Skills!I7/Skills!H7+0.000000001),1)+IF(Skills!H7&gt;0,INT(MIN(Skills!I7,MAX(0,MAX(0,Inputs!$B$43-B1949)-((R1918-1)*(IF(Inputs!$B$38="pvp",15,MAX(0.1,Skills!D7-IF(TRUE=TRUE,Inputs!$B$32,0)))*(1-IF(AND(ArtifactsInput!$M$27,Inputs!$B$4="Chapter Hunt"),CHOOSE(ArtifactsInput!$N$27+1,20,24,28,32,36,40),0)/100)))))/Skills!H7+0.000000001),1)))/Inputs!$B$43),G1918*Q1918)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Hunt"),CHOOSE(ArtifactsInput!$N$35+1,15,18,21,24,27,30)*(1-EXP(-(0.2*B1944)*5)),0)+IF(AND(ArtifactsInput!$M$22,Inputs!$B$4&lt;&gt;"Chapter Hunt"),CHOOSE(ArtifactsInput!$N$22+1,10,12,14,16,18,20)*((0*(((0.15*B1944*5))^0/1)+1*(((0.15*B1944*5))^1/1)+2*(((0.15*B1944*5))^2/2)+3*(((0.15*B1944*5))^3/6)+4*(((0.15*B1944*5))^4/24)+5*(((0.15*B1944*5))^5/120))/((((0.15*B1944*5))^0/1)+(((0.15*B1944*5))^1/1)+(((0.15*B1944*5))^2/2)+(((0.15*B1944*5))^3/6)+(((0.15*B1944*5))^4/24)+(((0.15*B1944*5))^5/120))),0))+IF(Inputs!$B$3&gt;=54,9*(C1914=TRUE)*MIN(1,8*(1+Inputs!$B$34/100)*Q1914)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1918*(1-MIN(100,(Inputs!$B$9+((C1930=TRUE)*(F1930-Calc!F19))+B1942+(ArtifactsInput!$M$24-ArtifactsInput!$M$24)*CHOOSE(ArtifactsInput!$N$24+1,10,12,14,16,18,20)+(IF(AND(Inputs!$B$38&lt;&gt;"pvp",Inputs!$B$43=0),1,IF(IF(Inputs!$B$38="pvp",15,Inputs!$B$43)-(B1949)&lt;=0,1,MAX(0,IF(Inputs!$B$38="pvp",15,Inputs!$B$43)-MAX(5,B1949))/(IF(Inputs!$B$38="pvp",15,Inputs!$B$43)-(B1949))))*IF(AND(ArtifactsInput!$M$42,((Inputs!$B$9+((C1930=TRUE)*(F1930-Calc!F19))+B1942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1918*(MIN(100,(Inputs!$B$9+((C1930=TRUE)*(F1930-Calc!F19))+B1942+(ArtifactsInput!$M$24-ArtifactsInput!$M$24)*CHOOSE(ArtifactsInput!$N$24+1,10,12,14,16,18,20)+(IF(AND(Inputs!$B$38&lt;&gt;"pvp",Inputs!$B$43=0),1,IF(IF(Inputs!$B$38="pvp",15,Inputs!$B$43)-(B1949)&lt;=0,1,MAX(0,IF(Inputs!$B$38="pvp",15,Inputs!$B$43)-MAX(5,B1949))/(IF(Inputs!$B$38="pvp",15,Inputs!$B$43)-(B1949))))*IF(AND(ArtifactsInput!$M$42,((Inputs!$B$9+((C1930=TRUE)*(F1930-Calc!F19))+B1942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1918*(1-MIN(100,(Inputs!$B$9+((C1930=TRUE)*(F1930-Calc!F19))+B1942+(ArtifactsInput!$M$24-ArtifactsInput!$M$24)*CHOOSE(ArtifactsInput!$N$24+1,10,12,14,16,18,20)+(IF(AND(Inputs!$B$38&lt;&gt;"pvp",Inputs!$B$43=0),1,IF(IF(Inputs!$B$38="pvp",15,Inputs!$B$43)-(B1949)&lt;=0,1,MAX(0,IF(Inputs!$B$38="pvp",15,Inputs!$B$43)-MAX(5,B1949))/(IF(Inputs!$B$38="pvp",15,Inputs!$B$43)-(B1949))))*IF(AND(ArtifactsInput!$M$42,((Inputs!$B$9+((C1930=TRUE)*(F1930-Calc!F19))+B1942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1918*(MIN(100,(Inputs!$B$9+((C1930=TRUE)*(F1930-Calc!F19))+B1942+(ArtifactsInput!$M$24-ArtifactsInput!$M$24)*CHOOSE(ArtifactsInput!$N$24+1,10,12,14,16,18,20)+(IF(AND(Inputs!$B$38&lt;&gt;"pvp",Inputs!$B$43=0),1,IF(IF(Inputs!$B$38="pvp",15,Inputs!$B$43)-(B1949)&lt;=0,1,MAX(0,IF(Inputs!$B$38="pvp",15,Inputs!$B$43)-MAX(5,B1949))/(IF(Inputs!$B$38="pvp",15,Inputs!$B$43)-(B1949))))*IF(AND(ArtifactsInput!$M$42,((Inputs!$B$9+((C1930=TRUE)*(F1930-Calc!F19))+B1942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918">
        <f>IF(C1918,(H1918*N1918*IF(AND(Inputs!$B$38&lt;&gt;"pvp",Inputs!$B$43&gt;0),((Skills!G7*((R1918-1)*IF(Skills!H7&gt;0,INT(Skills!I7/Skills!H7+0.000000001),1)+IF(Skills!H7&gt;0,INT(MIN(Skills!I7,MAX(0,MAX(0,Inputs!$B$43-B1949)-((R1918-1)*(IF(Inputs!$B$38="pvp",15,MAX(0.1,Skills!D7-IF(TRUE=TRUE,Inputs!$B$32,0)))*(1-IF(AND(ArtifactsInput!$M$27,Inputs!$B$4="Chapter Hunt"),CHOOSE(ArtifactsInput!$N$27+1,20,24,28,32,36,40),0)/100)))))/Skills!H7+0.000000001),1)))/Inputs!$B$43),G1918*Q1918))*IF(Inputs!$B$38="pvp",1,(1+(Inputs!$B$21+Skills!Q7+(IF(ArtifactsInput!$M$33,CHOOSE(ArtifactsInput!$N$33+1,30,36,42,48,54,60),0))+(IF(AND(ArtifactsInput!$M$35,Inputs!$B$4&lt;&gt;"Chapter Hunt"),CHOOSE(ArtifactsInput!$N$35+1,15,18,21,24,27,30)*(1-EXP(-(0.2*B1944)*5)),0)+IF(AND(ArtifactsInput!$M$22,Inputs!$B$4&lt;&gt;"Chapter Hunt"),CHOOSE(ArtifactsInput!$N$22+1,10,12,14,16,18,20)*((0*(((0.15*B1944*5))^0/1)+1*(((0.15*B1944*5))^1/1)+2*(((0.15*B1944*5))^2/2)+3*(((0.15*B1944*5))^3/6)+4*(((0.15*B1944*5))^4/24)+5*(((0.15*B1944*5))^5/120))/((((0.15*B1944*5))^0/1)+(((0.15*B1944*5))^1/1)+(((0.15*B1944*5))^2/2)+(((0.15*B1944*5))^3/6)+(((0.15*B1944*5))^4/24)+(((0.15*B1944*5))^5/120))),0))+IF(Inputs!$B$3&gt;=54,9*(C1914=TRUE)*MIN(1,8*(1+Inputs!$B$34/100)*Q1914),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19">
      <c r="A1919">
        <f>Skills!A8</f>
        <v/>
      </c>
      <c r="B1919">
        <f>Skills!B8</f>
        <v/>
      </c>
      <c r="C1919">
        <f>Inputs!$B$3&gt;=103</f>
        <v/>
      </c>
      <c r="D1919">
        <f>IF(Skills!C8=1,60+Inputs!$B$25+Inputs!$B$29,IF(Skills!C8=2,90+Inputs!$B$26+Inputs!$B$29,IF(Skills!C8=3,120+Inputs!$B$27+Inputs!$B$29,MAX(0,(Inputs!$B$3-100)*3)+Inputs!$B$28+Inputs!$B$29)))</f>
        <v/>
      </c>
      <c r="E1919">
        <f>INDEX(FactorTable!$B$2:$Y$301, MATCH(ROUND(MIN(300,MAX(1,D1919)),0), FactorTable!$A$2:$A$301,0), Skills!M8+1)</f>
        <v/>
      </c>
      <c r="F1919">
        <f>IF(Skills!N8=TRUE,(Skills!L8/10)*(E1919/1000),Skills!L8/10)+Skills!O8</f>
        <v/>
      </c>
      <c r="G1919">
        <f>Skills!G8*IF(Skills!H8&gt;0,INT(IF(Inputs!$B$38="pvp",MIN(Skills!I8,15),Skills!I8)/Skills!H8+0.000000001),1)</f>
        <v/>
      </c>
      <c r="H1919">
        <f>1-(1-Skills!J8/100)^Skills!K8</f>
        <v/>
      </c>
      <c r="I1919" t="inlineStr">
        <is>
          <t>1</t>
        </is>
      </c>
      <c r="J1919">
        <f>((Inputs!$B$6*(1+Inputs!$B$7/100))+(((Inputs!$B$12*(1+Inputs!$B$13/100))-(Inputs!$B$12*(1+Inputs!$B$13/100)))+0.25*(Inputs!$B$14-Inputs!$B$14))*(1+Inputs!$B$7/100))*(F1919/100)</f>
        <v/>
      </c>
      <c r="K1919">
        <f>J1919*(1+((Inputs!$B$12*(1+Inputs!$B$13/100))*0.01+Inputs!$B$14*0.0025)/100)*(1+Inputs!$B$15/100)*(1+Inputs!$B$16/100)*(5000/(6000+Inputs!$B$42*(1-(100*(1-(1-(Inputs!$B$19+0)/100)*(1-CHOOSE(ArtifactsInput!$N$40+1,5,6,7,8,9,10)/100)^(ArtifactsInput!$M$40-ArtifactsInput!$M$40)))/100)))*(1+(Inputs!$B$24+((C1937=TRUE)*(F1937-Calc!F26))+B1948)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IGHT_LEGS_EASTON",Inputs!$B$17+((C1934=TRUE)*(F1934-Calc!F23))+((C1938=TRUE)*(F1938-Calc!F27))+((IF(AND(Inputs!$B$38&lt;&gt;"pvp",Inputs!$B$43=0),1,IF(IF(Inputs!$B$38="pvp",15,Inputs!$B$43)-(B1949)&lt;=0,1,MAX(0,IF(Inputs!$B$38="pvp",15,Inputs!$B$43)-MAX(5,B1949))/(IF(Inputs!$B$38="pvp",15,Inputs!$B$43)-(B1949))))*(IF(AND(ArtifactsInput!$M$42,((Inputs!$B$9+((C1930=TRUE)*(F1930-Calc!F19))+B1942+(ArtifactsInput!$M$24-ArtifactsInput!$M$24)*CHOOSE(ArtifactsInput!$N$24+1,10,12,14,16,18,20)+IF(ArtifactsInput!$M$10,CHOOSE(ArtifactsInput!$N$10+1,15,18,21,24,27,30)*(IF(Inputs!$B$38="pvp",MIN(15,15)/15,IF(AND(Inputs!$B$38&lt;&gt;"pvp",Inputs!$B$43&gt;0),MIN(15,Inputs!$B$43)/(Inputs!$B$43),0))),0)))&gt;=100),MIN(100,((Inputs!$B$9+((C1930=TRUE)*(F1930-Calc!F19))+B1942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1949)&lt;=0,1,MAX(0,IF(Inputs!$B$38="pvp",15,Inputs!$B$43)-MAX(5,B1949))/(IF(Inputs!$B$38="pvp",15,Inputs!$B$43)-(B1949))))*IF(AND(ArtifactsInput!$M$42,((Inputs!$B$9+((C1930=TRUE)*(F1930-Calc!F19))+B1942+(ArtifactsInput!$M$24-ArtifactsInput!$M$24)*CHOOSE(ArtifactsInput!$N$24+1,10,12,14,16,18,20)+IF(ArtifactsInput!$M$10,CHOOSE(ArtifactsInput!$N$10+1,15,18,21,24,27,30)*(IF(Inputs!$B$38="pvp",MIN(15,15)/15,IF(AND(Inputs!$B$38&lt;&gt;"pvp",Inputs!$B$43&gt;0),MIN(15,Inputs!$B$43)/(Inputs!$B$43),0))),0)))&gt;=100),CHOOSE(ArtifactsInput!$N$42+1,40,48,56,64,72,80),0))))/100)*((1+(((C1928=TRUE)*F1928*5/7)+((C1935=TRUE)*(F1935-Calc!F24))+(IF(IF(ArtifactsInput!$M$21,FALSE,TRUE),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1919)</f>
        <v/>
      </c>
      <c r="L1919">
        <f>K1919*(MIN(Inputs!$B$22+((C1933=TRUE)*(F1933-Calc!F22)),(Inputs!$B$23+0+(IF(ArtifactsInput!$M$15,CHOOSE(ArtifactsInput!$N$15+1,25,30,35,40,45,50)/100*(Inputs!$B$11-Inputs!$B$11),0))))/100+(Inputs!$B$23+0+(IF(ArtifactsInput!$M$15,CHOOSE(ArtifactsInput!$N$15+1,25,30,35,40,45,50)/100*(Inputs!$B$11-Inputs!$B$11),0)))/100)/2</f>
        <v/>
      </c>
      <c r="M1919">
        <f>L1919*(1+(Inputs!$B$10+((C1936=TRUE)*(F1936-Calc!F25))+B1947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19">
        <f>L1919*(1-MIN((Inputs!$B$9+((C1930=TRUE)*(F1930-Calc!F19))+B1942+(ArtifactsInput!$M$24-ArtifactsInput!$M$24)*CHOOSE(ArtifactsInput!$N$24+1,10,12,14,16,18,20)+(IF(AND(Inputs!$B$38&lt;&gt;"pvp",Inputs!$B$43=0),1,IF(IF(Inputs!$B$38="pvp",15,Inputs!$B$43)-(B1949)&lt;=0,1,MAX(0,IF(Inputs!$B$38="pvp",15,Inputs!$B$43)-MAX(5,B1949))/(IF(Inputs!$B$38="pvp",15,Inputs!$B$43)-(B1949))))*IF(AND(ArtifactsInput!$M$42,((Inputs!$B$9+((C1930=TRUE)*(F1930-Calc!F19))+B1942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1919*(MIN((Inputs!$B$9+((C1930=TRUE)*(F1930-Calc!F19))+B1942+(ArtifactsInput!$M$24-ArtifactsInput!$M$24)*CHOOSE(ArtifactsInput!$N$24+1,10,12,14,16,18,20)+(IF(AND(Inputs!$B$38&lt;&gt;"pvp",Inputs!$B$43=0),1,IF(IF(Inputs!$B$38="pvp",15,Inputs!$B$43)-(B1949)&lt;=0,1,MAX(0,IF(Inputs!$B$38="pvp",15,Inputs!$B$43)-MAX(5,B1949))/(IF(Inputs!$B$38="pvp",15,Inputs!$B$43)-(B1949))))*IF(AND(ArtifactsInput!$M$42,((Inputs!$B$9+((C1930=TRUE)*(F1930-Calc!F19))+B1942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19">
        <f>(1-Summary!$B$11)*T1919+Summary!$B$11*V1919</f>
        <v/>
      </c>
      <c r="P1919">
        <f>IF(B1952=0,0,O1919/B1952)</f>
        <v/>
      </c>
      <c r="Q1919">
        <f>IFERROR(1/((IF(Inputs!$B$38="pvp",15,MAX(0.1,Skills!D8-IF(TRUE=TRUE,Inputs!$B$32,0)))*(1-IF(AND(ArtifactsInput!$M$27,Inputs!$B$4="Chapter Hunt"),CHOOSE(ArtifactsInput!$N$27+1,20,24,28,32,36,40),0)/100))/B1953),0)</f>
        <v/>
      </c>
      <c r="R1919">
        <f>IF(AND(Inputs!$B$38&lt;&gt;"pvp",Inputs!$B$43&gt;0),IF(MAX(0,Inputs!$B$43-B1949)&lt;=0,0,(INT(MAX(0,Inputs!$B$43-B1949)/((IF(Inputs!$B$38="pvp",15,MAX(0.1,Skills!D8-IF(TRUE=TRUE,Inputs!$B$32,0)))*(1-IF(AND(ArtifactsInput!$M$27,Inputs!$B$4="Chapter Hunt"),CHOOSE(ArtifactsInput!$N$27+1,20,24,28,32,36,40),0)/100))/B1953))+1)),0)</f>
        <v/>
      </c>
      <c r="S1919">
        <f>IFERROR(O1919/N1919,0)</f>
        <v/>
      </c>
      <c r="T1919">
        <f>IF(C1919,(H1919*N1919*IF(AND(Inputs!$B$38&lt;&gt;"pvp",Inputs!$B$43&gt;0),((Skills!G8*((R1919-1)*IF(Skills!H8&gt;0,INT(Skills!I8/Skills!H8+0.000000001),1)+IF(Skills!H8&gt;0,INT(MIN(Skills!I8,MAX(0,MAX(0,Inputs!$B$43-B1949)-((R1919-1)*((IF(Inputs!$B$38="pvp",15,MAX(0.1,Skills!D8-IF(TRUE=TRUE,Inputs!$B$32,0)))*(1-IF(AND(ArtifactsInput!$M$27,Inputs!$B$4="Chapter Hunt"),CHOOSE(ArtifactsInput!$N$27+1,20,24,28,32,36,40),0)/100))/B1953))))/Skills!H8+0.000000001),1)))/Inputs!$B$43),G1919*Q1919))*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Hunt"),CHOOSE(ArtifactsInput!$N$35+1,15,18,21,24,27,30)*(1-EXP(-(0.2*B1944)*5)),0)+IF(AND(ArtifactsInput!$M$22,Inputs!$B$4&lt;&gt;"Chapter Hunt"),CHOOSE(ArtifactsInput!$N$22+1,10,12,14,16,18,20)*((0*(((0.15*B1944*5))^0/1)+1*(((0.15*B1944*5))^1/1)+2*(((0.15*B1944*5))^2/2)+3*(((0.15*B1944*5))^3/6)+4*(((0.15*B1944*5))^4/24)+5*(((0.15*B1944*5))^5/120))/((((0.15*B1944*5))^0/1)+(((0.15*B1944*5))^1/1)+(((0.15*B1944*5))^2/2)+(((0.15*B1944*5))^3/6)+(((0.15*B1944*5))^4/24)+(((0.15*B1944*5))^5/120))),0))+IF(Inputs!$B$3&gt;=54,9*(C1914=TRUE)*MIN(1,8*(1+Inputs!$B$34/100)*Q1914)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1919*(1-MIN(100,(Inputs!$B$9+((C1930=TRUE)*(F1930-Calc!F19))+B1942+(ArtifactsInput!$M$24-ArtifactsInput!$M$24)*CHOOSE(ArtifactsInput!$N$24+1,10,12,14,16,18,20)+(IF(AND(Inputs!$B$38&lt;&gt;"pvp",Inputs!$B$43=0),1,IF(IF(Inputs!$B$38="pvp",15,Inputs!$B$43)-(B1949)&lt;=0,1,MAX(0,IF(Inputs!$B$38="pvp",15,Inputs!$B$43)-MAX(5,B1949))/(IF(Inputs!$B$38="pvp",15,Inputs!$B$43)-(B1949))))*IF(AND(ArtifactsInput!$M$42,((Inputs!$B$9+((C1930=TRUE)*(F1930-Calc!F19))+B1942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1919*(MIN(100,(Inputs!$B$9+((C1930=TRUE)*(F1930-Calc!F19))+B1942+(ArtifactsInput!$M$24-ArtifactsInput!$M$24)*CHOOSE(ArtifactsInput!$N$24+1,10,12,14,16,18,20)+(IF(AND(Inputs!$B$38&lt;&gt;"pvp",Inputs!$B$43=0),1,IF(IF(Inputs!$B$38="pvp",15,Inputs!$B$43)-(B1949)&lt;=0,1,MAX(0,IF(Inputs!$B$38="pvp",15,Inputs!$B$43)-MAX(5,B1949))/(IF(Inputs!$B$38="pvp",15,Inputs!$B$43)-(B1949))))*IF(AND(ArtifactsInput!$M$42,((Inputs!$B$9+((C1930=TRUE)*(F1930-Calc!F19))+B1942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1919*(1-MIN(100,(Inputs!$B$9+((C1930=TRUE)*(F1930-Calc!F19))+B1942+(ArtifactsInput!$M$24-ArtifactsInput!$M$24)*CHOOSE(ArtifactsInput!$N$24+1,10,12,14,16,18,20)+(IF(AND(Inputs!$B$38&lt;&gt;"pvp",Inputs!$B$43=0),1,IF(IF(Inputs!$B$38="pvp",15,Inputs!$B$43)-(B1949)&lt;=0,1,MAX(0,IF(Inputs!$B$38="pvp",15,Inputs!$B$43)-MAX(5,B1949))/(IF(Inputs!$B$38="pvp",15,Inputs!$B$43)-(B1949))))*IF(AND(ArtifactsInput!$M$42,((Inputs!$B$9+((C1930=TRUE)*(F1930-Calc!F19))+B1942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1919*(MIN(100,(Inputs!$B$9+((C1930=TRUE)*(F1930-Calc!F19))+B1942+(ArtifactsInput!$M$24-ArtifactsInput!$M$24)*CHOOSE(ArtifactsInput!$N$24+1,10,12,14,16,18,20)+(IF(AND(Inputs!$B$38&lt;&gt;"pvp",Inputs!$B$43=0),1,IF(IF(Inputs!$B$38="pvp",15,Inputs!$B$43)-(B1949)&lt;=0,1,MAX(0,IF(Inputs!$B$38="pvp",15,Inputs!$B$43)-MAX(5,B1949))/(IF(Inputs!$B$38="pvp",15,Inputs!$B$43)-(B1949))))*IF(AND(ArtifactsInput!$M$42,((Inputs!$B$9+((C1930=TRUE)*(F1930-Calc!F19))+B1942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919">
        <f>IF(C1919,(H1919*N1919*IF(AND(Inputs!$B$38&lt;&gt;"pvp",Inputs!$B$43&gt;0),((Skills!G8*((R1919-1)*IF(Skills!H8&gt;0,INT(Skills!I8/Skills!H8+0.000000001),1)+IF(Skills!H8&gt;0,INT(MIN(Skills!I8,MAX(0,MAX(0,Inputs!$B$43-B1949)-((R1919-1)*((IF(Inputs!$B$38="pvp",15,MAX(0.1,Skills!D8-IF(TRUE=TRUE,Inputs!$B$32,0)))*(1-IF(AND(ArtifactsInput!$M$27,Inputs!$B$4="Chapter Hunt"),CHOOSE(ArtifactsInput!$N$27+1,20,24,28,32,36,40),0)/100))/B1953))))/Skills!H8+0.000000001),1)))/Inputs!$B$43),G1919*Q1919))*IF(Inputs!$B$38="pvp",1,(1+(Inputs!$B$21+Skills!Q8+(IF(ArtifactsInput!$M$33,CHOOSE(ArtifactsInput!$N$33+1,30,36,42,48,54,60),0))+(IF(AND(ArtifactsInput!$M$35,Inputs!$B$4&lt;&gt;"Chapter Hunt"),CHOOSE(ArtifactsInput!$N$35+1,15,18,21,24,27,30)*(1-EXP(-(0.2*B1944)*5)),0)+IF(AND(ArtifactsInput!$M$22,Inputs!$B$4&lt;&gt;"Chapter Hunt"),CHOOSE(ArtifactsInput!$N$22+1,10,12,14,16,18,20)*((0*(((0.15*B1944*5))^0/1)+1*(((0.15*B1944*5))^1/1)+2*(((0.15*B1944*5))^2/2)+3*(((0.15*B1944*5))^3/6)+4*(((0.15*B1944*5))^4/24)+5*(((0.15*B1944*5))^5/120))/((((0.15*B1944*5))^0/1)+(((0.15*B1944*5))^1/1)+(((0.15*B1944*5))^2/2)+(((0.15*B1944*5))^3/6)+(((0.15*B1944*5))^4/24)+(((0.15*B1944*5))^5/120))),0))+IF(Inputs!$B$3&gt;=54,9*(C1914=TRUE)*MIN(1,8*(1+Inputs!$B$34/100)*Q1914),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20">
      <c r="A1920">
        <f>Skills!A9</f>
        <v/>
      </c>
      <c r="B1920">
        <f>Skills!B9</f>
        <v/>
      </c>
      <c r="C1920">
        <f>Inputs!$B$3&gt;=105</f>
        <v/>
      </c>
      <c r="D1920">
        <f>IF(Skills!C9=1,60+Inputs!$B$25+Inputs!$B$29,IF(Skills!C9=2,90+Inputs!$B$26+Inputs!$B$29,IF(Skills!C9=3,120+Inputs!$B$27+Inputs!$B$29,MAX(0,(Inputs!$B$3-100)*3)+Inputs!$B$28+Inputs!$B$29)))</f>
        <v/>
      </c>
      <c r="E1920">
        <f>INDEX(FactorTable!$B$2:$Y$301, MATCH(ROUND(MIN(300,MAX(1,D1920)),0), FactorTable!$A$2:$A$301,0), Skills!M9+1)</f>
        <v/>
      </c>
      <c r="F1920">
        <f>IF(Skills!N9=TRUE,(Skills!L9/10)*(E1920/1000),Skills!L9/10)+Skills!O9</f>
        <v/>
      </c>
      <c r="G1920">
        <f>Skills!G9*IF(Skills!H9&gt;0,INT(IF(Inputs!$B$38="pvp",MIN(Skills!I9,15),Skills!I9)/Skills!H9+0.000000001),1)</f>
        <v/>
      </c>
      <c r="H1920">
        <f>1-(1-Skills!J9/100)^Skills!K9</f>
        <v/>
      </c>
      <c r="I1920" t="inlineStr">
        <is>
          <t>1</t>
        </is>
      </c>
      <c r="J1920">
        <f>((Inputs!$B$6*(1+Inputs!$B$7/100))+(((Inputs!$B$12*(1+Inputs!$B$13/100))-(Inputs!$B$12*(1+Inputs!$B$13/100)))+0.25*(Inputs!$B$14-Inputs!$B$14))*(1+Inputs!$B$7/100))*(F1920/100)</f>
        <v/>
      </c>
      <c r="K1920">
        <f>J1920*(1+((Inputs!$B$12*(1+Inputs!$B$13/100))*0.01+Inputs!$B$14*0.0025)/100)*(1+Inputs!$B$15/100)*(1+Inputs!$B$16/100)*(5000/(6000+Inputs!$B$42*(1-(100*(1-(1-(Inputs!$B$19+0)/100)*(1-CHOOSE(ArtifactsInput!$N$40+1,5,6,7,8,9,10)/100)^(ArtifactsInput!$M$40-ArtifactsInput!$M$40)))/100)))*(1+(Inputs!$B$24+((C1937=TRUE)*(F1937-Calc!F26))+B1948)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IGHT_LEGS_EASTON",Inputs!$B$17+((C1934=TRUE)*(F1934-Calc!F23))+((C1938=TRUE)*(F1938-Calc!F27))+((IF(AND(Inputs!$B$38&lt;&gt;"pvp",Inputs!$B$43=0),1,IF(IF(Inputs!$B$38="pvp",15,Inputs!$B$43)-(B1949)&lt;=0,1,MAX(0,IF(Inputs!$B$38="pvp",15,Inputs!$B$43)-MAX(5,B1949))/(IF(Inputs!$B$38="pvp",15,Inputs!$B$43)-(B1949))))*(IF(AND(ArtifactsInput!$M$42,((Inputs!$B$9+((C1930=TRUE)*(F1930-Calc!F19))+B1942+(ArtifactsInput!$M$24-ArtifactsInput!$M$24)*CHOOSE(ArtifactsInput!$N$24+1,10,12,14,16,18,20)+IF(ArtifactsInput!$M$10,CHOOSE(ArtifactsInput!$N$10+1,15,18,21,24,27,30)*(IF(Inputs!$B$38="pvp",MIN(15,15)/15,IF(AND(Inputs!$B$38&lt;&gt;"pvp",Inputs!$B$43&gt;0),MIN(15,Inputs!$B$43)/(Inputs!$B$43),0))),0)))&gt;=100),MIN(100,((Inputs!$B$9+((C1930=TRUE)*(F1930-Calc!F19))+B1942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1949)&lt;=0,1,MAX(0,IF(Inputs!$B$38="pvp",15,Inputs!$B$43)-MAX(5,B1949))/(IF(Inputs!$B$38="pvp",15,Inputs!$B$43)-(B1949))))*IF(AND(ArtifactsInput!$M$42,((Inputs!$B$9+((C1930=TRUE)*(F1930-Calc!F19))+B1942+(ArtifactsInput!$M$24-ArtifactsInput!$M$24)*CHOOSE(ArtifactsInput!$N$24+1,10,12,14,16,18,20)+IF(ArtifactsInput!$M$10,CHOOSE(ArtifactsInput!$N$10+1,15,18,21,24,27,30)*(IF(Inputs!$B$38="pvp",MIN(15,15)/15,IF(AND(Inputs!$B$38&lt;&gt;"pvp",Inputs!$B$43&gt;0),MIN(15,Inputs!$B$43)/(Inputs!$B$43),0))),0)))&gt;=100),CHOOSE(ArtifactsInput!$N$42+1,40,48,56,64,72,80),0))))/100)*((1+(((C1928=TRUE)*F1928*5/7)+((C1935=TRUE)*(F1935-Calc!F24))+(IF(IF(ArtifactsInput!$M$21,FALSE,TRUE),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1920)</f>
        <v/>
      </c>
      <c r="L1920">
        <f>K1920*(MIN(Inputs!$B$22+((C1933=TRUE)*(F1933-Calc!F22)),(Inputs!$B$23+0+(IF(ArtifactsInput!$M$15,CHOOSE(ArtifactsInput!$N$15+1,25,30,35,40,45,50)/100*(Inputs!$B$11-Inputs!$B$11),0))))/100+(Inputs!$B$23+0+(IF(ArtifactsInput!$M$15,CHOOSE(ArtifactsInput!$N$15+1,25,30,35,40,45,50)/100*(Inputs!$B$11-Inputs!$B$11),0)))/100)/2</f>
        <v/>
      </c>
      <c r="M1920">
        <f>L1920*(1+(Inputs!$B$10+((C1936=TRUE)*(F1936-Calc!F25))+B1947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20">
        <f>L1920*(1-MIN((Inputs!$B$9+((C1930=TRUE)*(F1930-Calc!F19))+B1942+(ArtifactsInput!$M$24-ArtifactsInput!$M$24)*CHOOSE(ArtifactsInput!$N$24+1,10,12,14,16,18,20)+(IF(AND(Inputs!$B$38&lt;&gt;"pvp",Inputs!$B$43=0),1,IF(IF(Inputs!$B$38="pvp",15,Inputs!$B$43)-(B1949)&lt;=0,1,MAX(0,IF(Inputs!$B$38="pvp",15,Inputs!$B$43)-MAX(5,B1949))/(IF(Inputs!$B$38="pvp",15,Inputs!$B$43)-(B1949))))*IF(AND(ArtifactsInput!$M$42,((Inputs!$B$9+((C1930=TRUE)*(F1930-Calc!F19))+B1942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1920*(MIN((Inputs!$B$9+((C1930=TRUE)*(F1930-Calc!F19))+B1942+(ArtifactsInput!$M$24-ArtifactsInput!$M$24)*CHOOSE(ArtifactsInput!$N$24+1,10,12,14,16,18,20)+(IF(AND(Inputs!$B$38&lt;&gt;"pvp",Inputs!$B$43=0),1,IF(IF(Inputs!$B$38="pvp",15,Inputs!$B$43)-(B1949)&lt;=0,1,MAX(0,IF(Inputs!$B$38="pvp",15,Inputs!$B$43)-MAX(5,B1949))/(IF(Inputs!$B$38="pvp",15,Inputs!$B$43)-(B1949))))*IF(AND(ArtifactsInput!$M$42,((Inputs!$B$9+((C1930=TRUE)*(F1930-Calc!F19))+B1942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20">
        <f>(1-Summary!$B$11)*T1920+Summary!$B$11*V1920</f>
        <v/>
      </c>
      <c r="P1920">
        <f>IF(B1952=0,0,O1920/B1952)</f>
        <v/>
      </c>
      <c r="Q1920">
        <f>IFERROR(1/(IF(Inputs!$B$38="pvp",15,MAX(0.1,Skills!D9-IF(TRUE=TRUE,Inputs!$B$32,0)))*(1-IF(AND(ArtifactsInput!$M$27,Inputs!$B$4="Chapter Hunt"),CHOOSE(ArtifactsInput!$N$27+1,20,24,28,32,36,40),0)/100)),0)</f>
        <v/>
      </c>
      <c r="R1920">
        <f>IF(AND(Inputs!$B$38&lt;&gt;"pvp",Inputs!$B$43&gt;0),IF(MAX(0,Inputs!$B$43-B1949)&lt;=0,0,(INT(MAX(0,Inputs!$B$43-B1949)/(IF(Inputs!$B$38="pvp",15,MAX(0.1,Skills!D9-IF(TRUE=TRUE,Inputs!$B$32,0)))*(1-IF(AND(ArtifactsInput!$M$27,Inputs!$B$4="Chapter Hunt"),CHOOSE(ArtifactsInput!$N$27+1,20,24,28,32,36,40),0)/100)))+1)),0)</f>
        <v/>
      </c>
      <c r="S1920">
        <f>IFERROR(O1920/N1920,0)</f>
        <v/>
      </c>
      <c r="T1920">
        <f>IF(C1920,(H1920*N1920*IF(AND(Inputs!$B$38&lt;&gt;"pvp",Inputs!$B$43&gt;0),((Skills!G9*((R1920-1)*IF(Skills!H9&gt;0,INT(Skills!I9/Skills!H9+0.000000001),1)+IF(Skills!H9&gt;0,INT(MIN(Skills!I9,MAX(0,MAX(0,Inputs!$B$43-B1949)-((R1920-1)*(IF(Inputs!$B$38="pvp",15,MAX(0.1,Skills!D9-IF(TRUE=TRUE,Inputs!$B$32,0)))*(1-IF(AND(ArtifactsInput!$M$27,Inputs!$B$4="Chapter Hunt"),CHOOSE(ArtifactsInput!$N$27+1,20,24,28,32,36,40),0)/100)))))/Skills!H9+0.000000001),1)))/Inputs!$B$43),G1920*Q1920)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Hunt"),CHOOSE(ArtifactsInput!$N$35+1,15,18,21,24,27,30)*(1-EXP(-(0.2*B1944)*5)),0)+IF(AND(ArtifactsInput!$M$22,Inputs!$B$4&lt;&gt;"Chapter Hunt"),CHOOSE(ArtifactsInput!$N$22+1,10,12,14,16,18,20)*((0*(((0.15*B1944*5))^0/1)+1*(((0.15*B1944*5))^1/1)+2*(((0.15*B1944*5))^2/2)+3*(((0.15*B1944*5))^3/6)+4*(((0.15*B1944*5))^4/24)+5*(((0.15*B1944*5))^5/120))/((((0.15*B1944*5))^0/1)+(((0.15*B1944*5))^1/1)+(((0.15*B1944*5))^2/2)+(((0.15*B1944*5))^3/6)+(((0.15*B1944*5))^4/24)+(((0.15*B1944*5))^5/120))),0))+IF(Inputs!$B$3&gt;=54,9*(C1914=TRUE)*MIN(1,8*(1+Inputs!$B$34/100)*Q1914)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1920*(1-MIN(100,(Inputs!$B$9+((C1930=TRUE)*(F1930-Calc!F19))+B1942+(ArtifactsInput!$M$24-ArtifactsInput!$M$24)*CHOOSE(ArtifactsInput!$N$24+1,10,12,14,16,18,20)+(IF(AND(Inputs!$B$38&lt;&gt;"pvp",Inputs!$B$43=0),1,IF(IF(Inputs!$B$38="pvp",15,Inputs!$B$43)-(B1949)&lt;=0,1,MAX(0,IF(Inputs!$B$38="pvp",15,Inputs!$B$43)-MAX(5,B1949))/(IF(Inputs!$B$38="pvp",15,Inputs!$B$43)-(B1949))))*IF(AND(ArtifactsInput!$M$42,((Inputs!$B$9+((C1930=TRUE)*(F1930-Calc!F19))+B1942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1920*(MIN(100,(Inputs!$B$9+((C1930=TRUE)*(F1930-Calc!F19))+B1942+(ArtifactsInput!$M$24-ArtifactsInput!$M$24)*CHOOSE(ArtifactsInput!$N$24+1,10,12,14,16,18,20)+(IF(AND(Inputs!$B$38&lt;&gt;"pvp",Inputs!$B$43=0),1,IF(IF(Inputs!$B$38="pvp",15,Inputs!$B$43)-(B1949)&lt;=0,1,MAX(0,IF(Inputs!$B$38="pvp",15,Inputs!$B$43)-MAX(5,B1949))/(IF(Inputs!$B$38="pvp",15,Inputs!$B$43)-(B1949))))*IF(AND(ArtifactsInput!$M$42,((Inputs!$B$9+((C1930=TRUE)*(F1930-Calc!F19))+B1942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1920*(1-MIN(100,(Inputs!$B$9+((C1930=TRUE)*(F1930-Calc!F19))+B1942+(ArtifactsInput!$M$24-ArtifactsInput!$M$24)*CHOOSE(ArtifactsInput!$N$24+1,10,12,14,16,18,20)+(IF(AND(Inputs!$B$38&lt;&gt;"pvp",Inputs!$B$43=0),1,IF(IF(Inputs!$B$38="pvp",15,Inputs!$B$43)-(B1949)&lt;=0,1,MAX(0,IF(Inputs!$B$38="pvp",15,Inputs!$B$43)-MAX(5,B1949))/(IF(Inputs!$B$38="pvp",15,Inputs!$B$43)-(B1949))))*IF(AND(ArtifactsInput!$M$42,((Inputs!$B$9+((C1930=TRUE)*(F1930-Calc!F19))+B1942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1920*(MIN(100,(Inputs!$B$9+((C1930=TRUE)*(F1930-Calc!F19))+B1942+(ArtifactsInput!$M$24-ArtifactsInput!$M$24)*CHOOSE(ArtifactsInput!$N$24+1,10,12,14,16,18,20)+(IF(AND(Inputs!$B$38&lt;&gt;"pvp",Inputs!$B$43=0),1,IF(IF(Inputs!$B$38="pvp",15,Inputs!$B$43)-(B1949)&lt;=0,1,MAX(0,IF(Inputs!$B$38="pvp",15,Inputs!$B$43)-MAX(5,B1949))/(IF(Inputs!$B$38="pvp",15,Inputs!$B$43)-(B1949))))*IF(AND(ArtifactsInput!$M$42,((Inputs!$B$9+((C1930=TRUE)*(F1930-Calc!F19))+B1942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920">
        <f>IF(C1920,(H1920*N1920*IF(AND(Inputs!$B$38&lt;&gt;"pvp",Inputs!$B$43&gt;0),((Skills!G9*((R1920-1)*IF(Skills!H9&gt;0,INT(Skills!I9/Skills!H9+0.000000001),1)+IF(Skills!H9&gt;0,INT(MIN(Skills!I9,MAX(0,MAX(0,Inputs!$B$43-B1949)-((R1920-1)*(IF(Inputs!$B$38="pvp",15,MAX(0.1,Skills!D9-IF(TRUE=TRUE,Inputs!$B$32,0)))*(1-IF(AND(ArtifactsInput!$M$27,Inputs!$B$4="Chapter Hunt"),CHOOSE(ArtifactsInput!$N$27+1,20,24,28,32,36,40),0)/100)))))/Skills!H9+0.000000001),1)))/Inputs!$B$43),G1920*Q1920))*IF(Inputs!$B$38="pvp",1,(1+(Inputs!$B$21+Skills!Q9+(IF(ArtifactsInput!$M$33,CHOOSE(ArtifactsInput!$N$33+1,30,36,42,48,54,60),0))+(IF(AND(ArtifactsInput!$M$35,Inputs!$B$4&lt;&gt;"Chapter Hunt"),CHOOSE(ArtifactsInput!$N$35+1,15,18,21,24,27,30)*(1-EXP(-(0.2*B1944)*5)),0)+IF(AND(ArtifactsInput!$M$22,Inputs!$B$4&lt;&gt;"Chapter Hunt"),CHOOSE(ArtifactsInput!$N$22+1,10,12,14,16,18,20)*((0*(((0.15*B1944*5))^0/1)+1*(((0.15*B1944*5))^1/1)+2*(((0.15*B1944*5))^2/2)+3*(((0.15*B1944*5))^3/6)+4*(((0.15*B1944*5))^4/24)+5*(((0.15*B1944*5))^5/120))/((((0.15*B1944*5))^0/1)+(((0.15*B1944*5))^1/1)+(((0.15*B1944*5))^2/2)+(((0.15*B1944*5))^3/6)+(((0.15*B1944*5))^4/24)+(((0.15*B1944*5))^5/120))),0))+IF(Inputs!$B$3&gt;=54,9*(C1914=TRUE)*MIN(1,8*(1+Inputs!$B$34/100)*Q1914),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21">
      <c r="A1921">
        <f>Skills!A10</f>
        <v/>
      </c>
      <c r="B1921">
        <f>Skills!B10</f>
        <v/>
      </c>
      <c r="C1921">
        <f>Inputs!$B$3&gt;=113</f>
        <v/>
      </c>
      <c r="D1921">
        <f>IF(Skills!C10=1,60+Inputs!$B$25+Inputs!$B$29,IF(Skills!C10=2,90+Inputs!$B$26+Inputs!$B$29,IF(Skills!C10=3,120+Inputs!$B$27+Inputs!$B$29,MAX(0,(Inputs!$B$3-100)*3)+Inputs!$B$28+Inputs!$B$29)))</f>
        <v/>
      </c>
      <c r="E1921">
        <f>INDEX(FactorTable!$B$2:$Y$301, MATCH(ROUND(MIN(300,MAX(1,D1921)),0), FactorTable!$A$2:$A$301,0), Skills!M10+1)</f>
        <v/>
      </c>
      <c r="F1921">
        <f>IF(Skills!N10=TRUE,(Skills!L10/10)*(E1921/1000),Skills!L10/10)+Skills!O10</f>
        <v/>
      </c>
      <c r="G1921">
        <f>Skills!G10*IF(Skills!H10&gt;0,INT(IF(Inputs!$B$38="pvp",MIN(Skills!I10,15),Skills!I10)/Skills!H10+0.000000001),1)</f>
        <v/>
      </c>
      <c r="H1921">
        <f>1-(1-Skills!J10/100)^Skills!K10</f>
        <v/>
      </c>
      <c r="I1921" t="inlineStr">
        <is>
          <t>1</t>
        </is>
      </c>
      <c r="J1921">
        <f>((Inputs!$B$6*(1+Inputs!$B$7/100))+(((Inputs!$B$12*(1+Inputs!$B$13/100))-(Inputs!$B$12*(1+Inputs!$B$13/100)))+0.25*(Inputs!$B$14-Inputs!$B$14))*(1+Inputs!$B$7/100))*(F1921/100)</f>
        <v/>
      </c>
      <c r="K1921">
        <f>J1921*(1+((Inputs!$B$12*(1+Inputs!$B$13/100))*0.01+Inputs!$B$14*0.0025)/100)*(1+Inputs!$B$15/100)*(1+Inputs!$B$16/100)*(5000/(6000+Inputs!$B$42*(1-(100*(1-(1-(Inputs!$B$19+0)/100)*(1-CHOOSE(ArtifactsInput!$N$40+1,5,6,7,8,9,10)/100)^(ArtifactsInput!$M$40-ArtifactsInput!$M$40)))/100)))*(1+(Inputs!$B$24+((C1937=TRUE)*(F1937-Calc!F26))+B1948)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IGHT_LEGS_EASTON",Inputs!$B$17+((C1934=TRUE)*(F1934-Calc!F23))+((C1938=TRUE)*(F1938-Calc!F27))+((IF(AND(Inputs!$B$38&lt;&gt;"pvp",Inputs!$B$43=0),1,IF(IF(Inputs!$B$38="pvp",15,Inputs!$B$43)-(B1949)&lt;=0,1,MAX(0,IF(Inputs!$B$38="pvp",15,Inputs!$B$43)-MAX(5,B1949))/(IF(Inputs!$B$38="pvp",15,Inputs!$B$43)-(B1949))))*(IF(AND(ArtifactsInput!$M$42,((Inputs!$B$9+((C1930=TRUE)*(F1930-Calc!F19))+B1942+(ArtifactsInput!$M$24-ArtifactsInput!$M$24)*CHOOSE(ArtifactsInput!$N$24+1,10,12,14,16,18,20)+IF(ArtifactsInput!$M$10,CHOOSE(ArtifactsInput!$N$10+1,15,18,21,24,27,30)*(IF(Inputs!$B$38="pvp",MIN(15,15)/15,IF(AND(Inputs!$B$38&lt;&gt;"pvp",Inputs!$B$43&gt;0),MIN(15,Inputs!$B$43)/(Inputs!$B$43),0))),0)))&gt;=100),MIN(100,((Inputs!$B$9+((C1930=TRUE)*(F1930-Calc!F19))+B1942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1949)&lt;=0,1,MAX(0,IF(Inputs!$B$38="pvp",15,Inputs!$B$43)-MAX(5,B1949))/(IF(Inputs!$B$38="pvp",15,Inputs!$B$43)-(B1949))))*IF(AND(ArtifactsInput!$M$42,((Inputs!$B$9+((C1930=TRUE)*(F1930-Calc!F19))+B1942+(ArtifactsInput!$M$24-ArtifactsInput!$M$24)*CHOOSE(ArtifactsInput!$N$24+1,10,12,14,16,18,20)+IF(ArtifactsInput!$M$10,CHOOSE(ArtifactsInput!$N$10+1,15,18,21,24,27,30)*(IF(Inputs!$B$38="pvp",MIN(15,15)/15,IF(AND(Inputs!$B$38&lt;&gt;"pvp",Inputs!$B$43&gt;0),MIN(15,Inputs!$B$43)/(Inputs!$B$43),0))),0)))&gt;=100),CHOOSE(ArtifactsInput!$N$42+1,40,48,56,64,72,80),0))))/100)*((1+(((C1928=TRUE)*F1928*5/7)+((C1935=TRUE)*(F1935-Calc!F24))+(IF(IF(ArtifactsInput!$M$21,FALSE,TRUE),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1921)</f>
        <v/>
      </c>
      <c r="L1921">
        <f>K1921*(MIN(Inputs!$B$22+((C1933=TRUE)*(F1933-Calc!F22)),(Inputs!$B$23+0+(IF(ArtifactsInput!$M$15,CHOOSE(ArtifactsInput!$N$15+1,25,30,35,40,45,50)/100*(Inputs!$B$11-Inputs!$B$11),0))))/100+(Inputs!$B$23+0+(IF(ArtifactsInput!$M$15,CHOOSE(ArtifactsInput!$N$15+1,25,30,35,40,45,50)/100*(Inputs!$B$11-Inputs!$B$11),0)))/100)/2</f>
        <v/>
      </c>
      <c r="M1921">
        <f>L1921*(1+(Inputs!$B$10+((C1936=TRUE)*(F1936-Calc!F25))+B1947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21">
        <f>L1921*(1-MIN((Inputs!$B$9+((C1930=TRUE)*(F1930-Calc!F19))+B1942+(ArtifactsInput!$M$24-ArtifactsInput!$M$24)*CHOOSE(ArtifactsInput!$N$24+1,10,12,14,16,18,20)+(IF(AND(Inputs!$B$38&lt;&gt;"pvp",Inputs!$B$43=0),1,IF(IF(Inputs!$B$38="pvp",15,Inputs!$B$43)-(B1949)&lt;=0,1,MAX(0,IF(Inputs!$B$38="pvp",15,Inputs!$B$43)-MAX(5,B1949))/(IF(Inputs!$B$38="pvp",15,Inputs!$B$43)-(B1949))))*IF(AND(ArtifactsInput!$M$42,((Inputs!$B$9+((C1930=TRUE)*(F1930-Calc!F19))+B1942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1921*(MIN((Inputs!$B$9+((C1930=TRUE)*(F1930-Calc!F19))+B1942+(ArtifactsInput!$M$24-ArtifactsInput!$M$24)*CHOOSE(ArtifactsInput!$N$24+1,10,12,14,16,18,20)+(IF(AND(Inputs!$B$38&lt;&gt;"pvp",Inputs!$B$43=0),1,IF(IF(Inputs!$B$38="pvp",15,Inputs!$B$43)-(B1949)&lt;=0,1,MAX(0,IF(Inputs!$B$38="pvp",15,Inputs!$B$43)-MAX(5,B1949))/(IF(Inputs!$B$38="pvp",15,Inputs!$B$43)-(B1949))))*IF(AND(ArtifactsInput!$M$42,((Inputs!$B$9+((C1930=TRUE)*(F1930-Calc!F19))+B1942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21">
        <f>(1-Summary!$B$11)*T1921+Summary!$B$11*V1921</f>
        <v/>
      </c>
      <c r="P1921">
        <f>IF(B1952=0,0,O1921/B1952)</f>
        <v/>
      </c>
      <c r="Q1921" t="n">
        <v>0</v>
      </c>
      <c r="R1921" t="n">
        <v>0</v>
      </c>
      <c r="S1921">
        <f>IFERROR(O1921/N1921,0)</f>
        <v/>
      </c>
      <c r="T1921">
        <f>IF(C1921,((H1921*B1954)/(1+Skills!H10*H1921*B1954)*N1921)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Hunt"),CHOOSE(ArtifactsInput!$N$35+1,15,18,21,24,27,30)*(1-EXP(-(0.2*B1944)*5)),0)+IF(AND(ArtifactsInput!$M$22,Inputs!$B$4&lt;&gt;"Chapter Hunt"),CHOOSE(ArtifactsInput!$N$22+1,10,12,14,16,18,20)*((0*(((0.15*B1944*5))^0/1)+1*(((0.15*B1944*5))^1/1)+2*(((0.15*B1944*5))^2/2)+3*(((0.15*B1944*5))^3/6)+4*(((0.15*B1944*5))^4/24)+5*(((0.15*B1944*5))^5/120))/((((0.15*B1944*5))^0/1)+(((0.15*B1944*5))^1/1)+(((0.15*B1944*5))^2/2)+(((0.15*B1944*5))^3/6)+(((0.15*B1944*5))^4/24)+(((0.15*B1944*5))^5/120))),0))+IF(Inputs!$B$3&gt;=54,9*(C1914=TRUE)*MIN(1,8*(1+Inputs!$B$34/100)*Q1914)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1921*(1-MIN(100,(Inputs!$B$9+((C1930=TRUE)*(F1930-Calc!F19))+B1942+(ArtifactsInput!$M$24-ArtifactsInput!$M$24)*CHOOSE(ArtifactsInput!$N$24+1,10,12,14,16,18,20)+(IF(AND(Inputs!$B$38&lt;&gt;"pvp",Inputs!$B$43=0),1,IF(IF(Inputs!$B$38="pvp",15,Inputs!$B$43)-(B1949)&lt;=0,1,MAX(0,IF(Inputs!$B$38="pvp",15,Inputs!$B$43)-MAX(5,B1949))/(IF(Inputs!$B$38="pvp",15,Inputs!$B$43)-(B1949))))*IF(AND(ArtifactsInput!$M$42,((Inputs!$B$9+((C1930=TRUE)*(F1930-Calc!F19))+B1942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1921*(MIN(100,(Inputs!$B$9+((C1930=TRUE)*(F1930-Calc!F19))+B1942+(ArtifactsInput!$M$24-ArtifactsInput!$M$24)*CHOOSE(ArtifactsInput!$N$24+1,10,12,14,16,18,20)+(IF(AND(Inputs!$B$38&lt;&gt;"pvp",Inputs!$B$43=0),1,IF(IF(Inputs!$B$38="pvp",15,Inputs!$B$43)-(B1949)&lt;=0,1,MAX(0,IF(Inputs!$B$38="pvp",15,Inputs!$B$43)-MAX(5,B1949))/(IF(Inputs!$B$38="pvp",15,Inputs!$B$43)-(B1949))))*IF(AND(ArtifactsInput!$M$42,((Inputs!$B$9+((C1930=TRUE)*(F1930-Calc!F19))+B1942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1921*(1-MIN(100,(Inputs!$B$9+((C1930=TRUE)*(F1930-Calc!F19))+B1942+(ArtifactsInput!$M$24-ArtifactsInput!$M$24)*CHOOSE(ArtifactsInput!$N$24+1,10,12,14,16,18,20)+(IF(AND(Inputs!$B$38&lt;&gt;"pvp",Inputs!$B$43=0),1,IF(IF(Inputs!$B$38="pvp",15,Inputs!$B$43)-(B1949)&lt;=0,1,MAX(0,IF(Inputs!$B$38="pvp",15,Inputs!$B$43)-MAX(5,B1949))/(IF(Inputs!$B$38="pvp",15,Inputs!$B$43)-(B1949))))*IF(AND(ArtifactsInput!$M$42,((Inputs!$B$9+((C1930=TRUE)*(F1930-Calc!F19))+B1942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1921*(MIN(100,(Inputs!$B$9+((C1930=TRUE)*(F1930-Calc!F19))+B1942+(ArtifactsInput!$M$24-ArtifactsInput!$M$24)*CHOOSE(ArtifactsInput!$N$24+1,10,12,14,16,18,20)+(IF(AND(Inputs!$B$38&lt;&gt;"pvp",Inputs!$B$43=0),1,IF(IF(Inputs!$B$38="pvp",15,Inputs!$B$43)-(B1949)&lt;=0,1,MAX(0,IF(Inputs!$B$38="pvp",15,Inputs!$B$43)-MAX(5,B1949))/(IF(Inputs!$B$38="pvp",15,Inputs!$B$43)-(B1949))))*IF(AND(ArtifactsInput!$M$42,((Inputs!$B$9+((C1930=TRUE)*(F1930-Calc!F19))+B1942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921">
        <f>IF(C1921,((H1921*B1954)/(1+Skills!H10*H1921*B1954)*N1921)*IF(Inputs!$B$38="pvp",1,(1+(Inputs!$B$21+Skills!Q10+(IF(ArtifactsInput!$M$33,CHOOSE(ArtifactsInput!$N$33+1,30,36,42,48,54,60),0))+(IF(AND(ArtifactsInput!$M$35,Inputs!$B$4&lt;&gt;"Chapter Hunt"),CHOOSE(ArtifactsInput!$N$35+1,15,18,21,24,27,30)*(1-EXP(-(0.2*B1944)*5)),0)+IF(AND(ArtifactsInput!$M$22,Inputs!$B$4&lt;&gt;"Chapter Hunt"),CHOOSE(ArtifactsInput!$N$22+1,10,12,14,16,18,20)*((0*(((0.15*B1944*5))^0/1)+1*(((0.15*B1944*5))^1/1)+2*(((0.15*B1944*5))^2/2)+3*(((0.15*B1944*5))^3/6)+4*(((0.15*B1944*5))^4/24)+5*(((0.15*B1944*5))^5/120))/((((0.15*B1944*5))^0/1)+(((0.15*B1944*5))^1/1)+(((0.15*B1944*5))^2/2)+(((0.15*B1944*5))^3/6)+(((0.15*B1944*5))^4/24)+(((0.15*B1944*5))^5/120))),0))+IF(Inputs!$B$3&gt;=54,9*(C1914=TRUE)*MIN(1,8*(1+Inputs!$B$34/100)*Q1914),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22">
      <c r="A1922">
        <f>Skills!A11</f>
        <v/>
      </c>
      <c r="B1922">
        <f>Skills!B11</f>
        <v/>
      </c>
      <c r="C1922">
        <f>Inputs!$B$3&gt;=117</f>
        <v/>
      </c>
      <c r="D1922">
        <f>IF(Skills!C11=1,60+Inputs!$B$25+Inputs!$B$29,IF(Skills!C11=2,90+Inputs!$B$26+Inputs!$B$29,IF(Skills!C11=3,120+Inputs!$B$27+Inputs!$B$29,MAX(0,(Inputs!$B$3-100)*3)+Inputs!$B$28+Inputs!$B$29)))</f>
        <v/>
      </c>
      <c r="E1922">
        <f>INDEX(FactorTable!$B$2:$Y$301, MATCH(ROUND(MIN(300,MAX(1,D1922)),0), FactorTable!$A$2:$A$301,0), Skills!M11+1)</f>
        <v/>
      </c>
      <c r="F1922">
        <f>IF(Skills!N11=TRUE,(Skills!L11/10)*(E1922/1000),Skills!L11/10)+Skills!O11</f>
        <v/>
      </c>
      <c r="G1922">
        <f>Skills!G11*IF(Skills!H11&gt;0,INT(IF(Inputs!$B$38="pvp",MIN(Skills!I11,15),Skills!I11)/Skills!H11+0.000000001),1)</f>
        <v/>
      </c>
      <c r="H1922">
        <f>1-(1-Skills!J11/100)^Skills!K11</f>
        <v/>
      </c>
      <c r="I1922" t="inlineStr">
        <is>
          <t>1</t>
        </is>
      </c>
      <c r="J1922">
        <f>((Inputs!$B$6*(1+Inputs!$B$7/100))+(((Inputs!$B$12*(1+Inputs!$B$13/100))-(Inputs!$B$12*(1+Inputs!$B$13/100)))+0.25*(Inputs!$B$14-Inputs!$B$14))*(1+Inputs!$B$7/100))*(F1922/100)</f>
        <v/>
      </c>
      <c r="K1922">
        <f>J1922*(1+((Inputs!$B$12*(1+Inputs!$B$13/100))*0.01+Inputs!$B$14*0.0025)/100)*(1+Inputs!$B$15/100)*(1+Inputs!$B$16/100)*(5000/(6000+Inputs!$B$42*(1-(100*(1-(1-(Inputs!$B$19+0)/100)*(1-CHOOSE(ArtifactsInput!$N$40+1,5,6,7,8,9,10)/100)^(ArtifactsInput!$M$40-ArtifactsInput!$M$40)))/100)))*(1+(Inputs!$B$24+((C1937=TRUE)*(F1937-Calc!F26))+B1948)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IGHT_LEGS_EASTON",Inputs!$B$17+((C1934=TRUE)*(F1934-Calc!F23))+((C1938=TRUE)*(F1938-Calc!F27))+((IF(AND(Inputs!$B$38&lt;&gt;"pvp",Inputs!$B$43=0),1,IF(IF(Inputs!$B$38="pvp",15,Inputs!$B$43)-(B1949)&lt;=0,1,MAX(0,IF(Inputs!$B$38="pvp",15,Inputs!$B$43)-MAX(5,B1949))/(IF(Inputs!$B$38="pvp",15,Inputs!$B$43)-(B1949))))*(IF(AND(ArtifactsInput!$M$42,((Inputs!$B$9+((C1930=TRUE)*(F1930-Calc!F19))+B1942+(ArtifactsInput!$M$24-ArtifactsInput!$M$24)*CHOOSE(ArtifactsInput!$N$24+1,10,12,14,16,18,20)+IF(ArtifactsInput!$M$10,CHOOSE(ArtifactsInput!$N$10+1,15,18,21,24,27,30)*(IF(Inputs!$B$38="pvp",MIN(15,15)/15,IF(AND(Inputs!$B$38&lt;&gt;"pvp",Inputs!$B$43&gt;0),MIN(15,Inputs!$B$43)/(Inputs!$B$43),0))),0)))&gt;=100),MIN(100,((Inputs!$B$9+((C1930=TRUE)*(F1930-Calc!F19))+B1942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1949)&lt;=0,1,MAX(0,IF(Inputs!$B$38="pvp",15,Inputs!$B$43)-MAX(5,B1949))/(IF(Inputs!$B$38="pvp",15,Inputs!$B$43)-(B1949))))*IF(AND(ArtifactsInput!$M$42,((Inputs!$B$9+((C1930=TRUE)*(F1930-Calc!F19))+B1942+(ArtifactsInput!$M$24-ArtifactsInput!$M$24)*CHOOSE(ArtifactsInput!$N$24+1,10,12,14,16,18,20)+IF(ArtifactsInput!$M$10,CHOOSE(ArtifactsInput!$N$10+1,15,18,21,24,27,30)*(IF(Inputs!$B$38="pvp",MIN(15,15)/15,IF(AND(Inputs!$B$38&lt;&gt;"pvp",Inputs!$B$43&gt;0),MIN(15,Inputs!$B$43)/(Inputs!$B$43),0))),0)))&gt;=100),CHOOSE(ArtifactsInput!$N$42+1,40,48,56,64,72,80),0))))/100)*((1+(((C1928=TRUE)*F1928*5/7)+((C1935=TRUE)*(F1935-Calc!F24))+(IF(IF(ArtifactsInput!$M$21,FALSE,TRUE),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1922)</f>
        <v/>
      </c>
      <c r="L1922">
        <f>K1922*(MIN(Inputs!$B$22+((C1933=TRUE)*(F1933-Calc!F22)),(Inputs!$B$23+0+(IF(ArtifactsInput!$M$15,CHOOSE(ArtifactsInput!$N$15+1,25,30,35,40,45,50)/100*(Inputs!$B$11-Inputs!$B$11),0))))/100+(Inputs!$B$23+0+(IF(ArtifactsInput!$M$15,CHOOSE(ArtifactsInput!$N$15+1,25,30,35,40,45,50)/100*(Inputs!$B$11-Inputs!$B$11),0)))/100)/2</f>
        <v/>
      </c>
      <c r="M1922">
        <f>L1922*(1+(Inputs!$B$10+((C1936=TRUE)*(F1936-Calc!F25))+B1947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22">
        <f>L1922*(1-MIN((Inputs!$B$9+((C1930=TRUE)*(F1930-Calc!F19))+B1942+(ArtifactsInput!$M$24-ArtifactsInput!$M$24)*CHOOSE(ArtifactsInput!$N$24+1,10,12,14,16,18,20)+(IF(AND(Inputs!$B$38&lt;&gt;"pvp",Inputs!$B$43=0),1,IF(IF(Inputs!$B$38="pvp",15,Inputs!$B$43)-(B1949)&lt;=0,1,MAX(0,IF(Inputs!$B$38="pvp",15,Inputs!$B$43)-MAX(5,B1949))/(IF(Inputs!$B$38="pvp",15,Inputs!$B$43)-(B1949))))*IF(AND(ArtifactsInput!$M$42,((Inputs!$B$9+((C1930=TRUE)*(F1930-Calc!F19))+B1942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1922*(MIN((Inputs!$B$9+((C1930=TRUE)*(F1930-Calc!F19))+B1942+(ArtifactsInput!$M$24-ArtifactsInput!$M$24)*CHOOSE(ArtifactsInput!$N$24+1,10,12,14,16,18,20)+(IF(AND(Inputs!$B$38&lt;&gt;"pvp",Inputs!$B$43=0),1,IF(IF(Inputs!$B$38="pvp",15,Inputs!$B$43)-(B1949)&lt;=0,1,MAX(0,IF(Inputs!$B$38="pvp",15,Inputs!$B$43)-MAX(5,B1949))/(IF(Inputs!$B$38="pvp",15,Inputs!$B$43)-(B1949))))*IF(AND(ArtifactsInput!$M$42,((Inputs!$B$9+((C1930=TRUE)*(F1930-Calc!F19))+B1942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22">
        <f>(1-Summary!$B$11)*T1922+Summary!$B$11*V1922</f>
        <v/>
      </c>
      <c r="P1922">
        <f>IF(B1952=0,0,O1922/B1952)</f>
        <v/>
      </c>
      <c r="Q1922">
        <f>IFERROR(1/((IF(Inputs!$B$38="pvp",15,MAX(0.1,Skills!D11-IF(TRUE=TRUE,Inputs!$B$32,0)))*(1-IF(AND(ArtifactsInput!$M$27,Inputs!$B$4="Chapter Hunt"),CHOOSE(ArtifactsInput!$N$27+1,20,24,28,32,36,40),0)/100))/B1953),0)</f>
        <v/>
      </c>
      <c r="R1922">
        <f>IF(AND(Inputs!$B$38&lt;&gt;"pvp",Inputs!$B$43&gt;0),IF(MAX(0,Inputs!$B$43-B1949)&lt;=0,0,(INT(MAX(0,Inputs!$B$43-B1949)/((IF(Inputs!$B$38="pvp",15,MAX(0.1,Skills!D11-IF(TRUE=TRUE,Inputs!$B$32,0)))*(1-IF(AND(ArtifactsInput!$M$27,Inputs!$B$4="Chapter Hunt"),CHOOSE(ArtifactsInput!$N$27+1,20,24,28,32,36,40),0)/100))/B1953))+1)),0)</f>
        <v/>
      </c>
      <c r="S1922">
        <f>IFERROR(O1922/N1922,0)</f>
        <v/>
      </c>
      <c r="T1922">
        <f>IF(C1922,(H1922*N1922*IF(AND(Inputs!$B$38&lt;&gt;"pvp",Inputs!$B$43&gt;0),((Skills!G11*((R1922-1)*IF(Skills!H11&gt;0,INT(Skills!I11/Skills!H11+0.000000001),1)+IF(Skills!H11&gt;0,INT(MIN(Skills!I11,MAX(0,MAX(0,Inputs!$B$43-B1949)-((R1922-1)*((IF(Inputs!$B$38="pvp",15,MAX(0.1,Skills!D11-IF(TRUE=TRUE,Inputs!$B$32,0)))*(1-IF(AND(ArtifactsInput!$M$27,Inputs!$B$4="Chapter Hunt"),CHOOSE(ArtifactsInput!$N$27+1,20,24,28,32,36,40),0)/100))/B1953))))/Skills!H11+0.000000001),1)))/Inputs!$B$43),G1922*Q1922)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Hunt"),CHOOSE(ArtifactsInput!$N$35+1,15,18,21,24,27,30)*(1-EXP(-(0.2*B1944)*5)),0)+IF(AND(ArtifactsInput!$M$22,Inputs!$B$4&lt;&gt;"Chapter Hunt"),CHOOSE(ArtifactsInput!$N$22+1,10,12,14,16,18,20)*((0*(((0.15*B1944*5))^0/1)+1*(((0.15*B1944*5))^1/1)+2*(((0.15*B1944*5))^2/2)+3*(((0.15*B1944*5))^3/6)+4*(((0.15*B1944*5))^4/24)+5*(((0.15*B1944*5))^5/120))/((((0.15*B1944*5))^0/1)+(((0.15*B1944*5))^1/1)+(((0.15*B1944*5))^2/2)+(((0.15*B1944*5))^3/6)+(((0.15*B1944*5))^4/24)+(((0.15*B1944*5))^5/120))),0))+IF(Inputs!$B$3&gt;=54,9*(C1914=TRUE)*MIN(1,8*(1+Inputs!$B$34/100)*Q1914)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1922*(1-MIN(100,(Inputs!$B$9+((C1930=TRUE)*(F1930-Calc!F19))+B1942+(ArtifactsInput!$M$24-ArtifactsInput!$M$24)*CHOOSE(ArtifactsInput!$N$24+1,10,12,14,16,18,20)+(IF(AND(Inputs!$B$38&lt;&gt;"pvp",Inputs!$B$43=0),1,IF(IF(Inputs!$B$38="pvp",15,Inputs!$B$43)-(B1949)&lt;=0,1,MAX(0,IF(Inputs!$B$38="pvp",15,Inputs!$B$43)-MAX(5,B1949))/(IF(Inputs!$B$38="pvp",15,Inputs!$B$43)-(B1949))))*IF(AND(ArtifactsInput!$M$42,((Inputs!$B$9+((C1930=TRUE)*(F1930-Calc!F19))+B1942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1922*(MIN(100,(Inputs!$B$9+((C1930=TRUE)*(F1930-Calc!F19))+B1942+(ArtifactsInput!$M$24-ArtifactsInput!$M$24)*CHOOSE(ArtifactsInput!$N$24+1,10,12,14,16,18,20)+(IF(AND(Inputs!$B$38&lt;&gt;"pvp",Inputs!$B$43=0),1,IF(IF(Inputs!$B$38="pvp",15,Inputs!$B$43)-(B1949)&lt;=0,1,MAX(0,IF(Inputs!$B$38="pvp",15,Inputs!$B$43)-MAX(5,B1949))/(IF(Inputs!$B$38="pvp",15,Inputs!$B$43)-(B1949))))*IF(AND(ArtifactsInput!$M$42,((Inputs!$B$9+((C1930=TRUE)*(F1930-Calc!F19))+B1942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1922*(1-MIN(100,(Inputs!$B$9+((C1930=TRUE)*(F1930-Calc!F19))+B1942+(ArtifactsInput!$M$24-ArtifactsInput!$M$24)*CHOOSE(ArtifactsInput!$N$24+1,10,12,14,16,18,20)+(IF(AND(Inputs!$B$38&lt;&gt;"pvp",Inputs!$B$43=0),1,IF(IF(Inputs!$B$38="pvp",15,Inputs!$B$43)-(B1949)&lt;=0,1,MAX(0,IF(Inputs!$B$38="pvp",15,Inputs!$B$43)-MAX(5,B1949))/(IF(Inputs!$B$38="pvp",15,Inputs!$B$43)-(B1949))))*IF(AND(ArtifactsInput!$M$42,((Inputs!$B$9+((C1930=TRUE)*(F1930-Calc!F19))+B1942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1922*(MIN(100,(Inputs!$B$9+((C1930=TRUE)*(F1930-Calc!F19))+B1942+(ArtifactsInput!$M$24-ArtifactsInput!$M$24)*CHOOSE(ArtifactsInput!$N$24+1,10,12,14,16,18,20)+(IF(AND(Inputs!$B$38&lt;&gt;"pvp",Inputs!$B$43=0),1,IF(IF(Inputs!$B$38="pvp",15,Inputs!$B$43)-(B1949)&lt;=0,1,MAX(0,IF(Inputs!$B$38="pvp",15,Inputs!$B$43)-MAX(5,B1949))/(IF(Inputs!$B$38="pvp",15,Inputs!$B$43)-(B1949))))*IF(AND(ArtifactsInput!$M$42,((Inputs!$B$9+((C1930=TRUE)*(F1930-Calc!F19))+B1942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922">
        <f>IF(C1922,(H1922*N1922*IF(AND(Inputs!$B$38&lt;&gt;"pvp",Inputs!$B$43&gt;0),((Skills!G11*((R1922-1)*IF(Skills!H11&gt;0,INT(Skills!I11/Skills!H11+0.000000001),1)+IF(Skills!H11&gt;0,INT(MIN(Skills!I11,MAX(0,MAX(0,Inputs!$B$43-B1949)-((R1922-1)*((IF(Inputs!$B$38="pvp",15,MAX(0.1,Skills!D11-IF(TRUE=TRUE,Inputs!$B$32,0)))*(1-IF(AND(ArtifactsInput!$M$27,Inputs!$B$4="Chapter Hunt"),CHOOSE(ArtifactsInput!$N$27+1,20,24,28,32,36,40),0)/100))/B1953))))/Skills!H11+0.000000001),1)))/Inputs!$B$43),G1922*Q1922))*IF(Inputs!$B$38="pvp",1,(1+(Inputs!$B$21+Skills!Q11+(IF(ArtifactsInput!$M$33,CHOOSE(ArtifactsInput!$N$33+1,30,36,42,48,54,60),0))+(IF(AND(ArtifactsInput!$M$35,Inputs!$B$4&lt;&gt;"Chapter Hunt"),CHOOSE(ArtifactsInput!$N$35+1,15,18,21,24,27,30)*(1-EXP(-(0.2*B1944)*5)),0)+IF(AND(ArtifactsInput!$M$22,Inputs!$B$4&lt;&gt;"Chapter Hunt"),CHOOSE(ArtifactsInput!$N$22+1,10,12,14,16,18,20)*((0*(((0.15*B1944*5))^0/1)+1*(((0.15*B1944*5))^1/1)+2*(((0.15*B1944*5))^2/2)+3*(((0.15*B1944*5))^3/6)+4*(((0.15*B1944*5))^4/24)+5*(((0.15*B1944*5))^5/120))/((((0.15*B1944*5))^0/1)+(((0.15*B1944*5))^1/1)+(((0.15*B1944*5))^2/2)+(((0.15*B1944*5))^3/6)+(((0.15*B1944*5))^4/24)+(((0.15*B1944*5))^5/120))),0))+IF(Inputs!$B$3&gt;=54,9*(C1914=TRUE)*MIN(1,8*(1+Inputs!$B$34/100)*Q1914),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23">
      <c r="A1923">
        <f>Skills!A12</f>
        <v/>
      </c>
      <c r="B1923">
        <f>Skills!B12</f>
        <v/>
      </c>
      <c r="C1923">
        <f>Inputs!$B$3&gt;=110</f>
        <v/>
      </c>
      <c r="D1923">
        <f>IF(Skills!C12=1,60+Inputs!$B$25+Inputs!$B$29,IF(Skills!C12=2,90+Inputs!$B$26+Inputs!$B$29,IF(Skills!C12=3,120+Inputs!$B$27+Inputs!$B$29,MAX(0,(Inputs!$B$3-100)*3)+Inputs!$B$28+Inputs!$B$29)))</f>
        <v/>
      </c>
      <c r="E1923">
        <f>INDEX(FactorTable!$B$2:$Y$301, MATCH(ROUND(MIN(300,MAX(1,D1923)),0), FactorTable!$A$2:$A$301,0), Skills!M12+1)</f>
        <v/>
      </c>
      <c r="F1923">
        <f>IF(Skills!N12=TRUE,(Skills!L12/10)*(E1923/1000),Skills!L12/10)+Skills!O12</f>
        <v/>
      </c>
      <c r="G1923">
        <f>Skills!G12*IF(Skills!H12&gt;0,INT(IF(Inputs!$B$38="pvp",MIN(Skills!I12,15),Skills!I12)/Skills!H12+0.000000001),1)</f>
        <v/>
      </c>
      <c r="H1923">
        <f>1-(1-Skills!J12/100)^Skills!K12</f>
        <v/>
      </c>
      <c r="I1923" t="inlineStr">
        <is>
          <t>1</t>
        </is>
      </c>
      <c r="J1923">
        <f>((Inputs!$B$6*(1+Inputs!$B$7/100))+(((Inputs!$B$12*(1+Inputs!$B$13/100))-(Inputs!$B$12*(1+Inputs!$B$13/100)))+0.25*(Inputs!$B$14-Inputs!$B$14))*(1+Inputs!$B$7/100))*(F1923/100)</f>
        <v/>
      </c>
      <c r="K1923">
        <f>J1923*(1+((Inputs!$B$12*(1+Inputs!$B$13/100))*0.01+Inputs!$B$14*0.0025)/100)*(1+Inputs!$B$15/100)*(1+Inputs!$B$16/100)*(5000/(6000+Inputs!$B$42*(1-(100*(1-(1-(Inputs!$B$19+0)/100)*(1-CHOOSE(ArtifactsInput!$N$40+1,5,6,7,8,9,10)/100)^(ArtifactsInput!$M$40-ArtifactsInput!$M$40)))/100)))*(1+(Inputs!$B$24+((C1937=TRUE)*(F1937-Calc!F26))+B1948)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EIGHT_LEGS_EASTON",Inputs!$B$17+((C1934=TRUE)*(F1934-Calc!F23))+((C1938=TRUE)*(F1938-Calc!F27))+((IF(AND(Inputs!$B$38&lt;&gt;"pvp",Inputs!$B$43=0),1,IF(IF(Inputs!$B$38="pvp",15,Inputs!$B$43)-(B1949)&lt;=0,1,MAX(0,IF(Inputs!$B$38="pvp",15,Inputs!$B$43)-MAX(5,B1949))/(IF(Inputs!$B$38="pvp",15,Inputs!$B$43)-(B1949))))*(IF(AND(ArtifactsInput!$M$42,((Inputs!$B$9+((C1930=TRUE)*(F1930-Calc!F19))+B1942+(ArtifactsInput!$M$24-ArtifactsInput!$M$24)*CHOOSE(ArtifactsInput!$N$24+1,10,12,14,16,18,20)+IF(ArtifactsInput!$M$10,CHOOSE(ArtifactsInput!$N$10+1,15,18,21,24,27,30)*(IF(Inputs!$B$38="pvp",MIN(15,15)/15,IF(AND(Inputs!$B$38&lt;&gt;"pvp",Inputs!$B$43&gt;0),MIN(15,Inputs!$B$43)/(Inputs!$B$43),0))),0)))&gt;=100),MIN(100,((Inputs!$B$9+((C1930=TRUE)*(F1930-Calc!F19))+B1942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1949)&lt;=0,1,MAX(0,IF(Inputs!$B$38="pvp",15,Inputs!$B$43)-MAX(5,B1949))/(IF(Inputs!$B$38="pvp",15,Inputs!$B$43)-(B1949))))*IF(AND(ArtifactsInput!$M$42,((Inputs!$B$9+((C1930=TRUE)*(F1930-Calc!F19))+B1942+(ArtifactsInput!$M$24-ArtifactsInput!$M$24)*CHOOSE(ArtifactsInput!$N$24+1,10,12,14,16,18,20)+IF(ArtifactsInput!$M$10,CHOOSE(ArtifactsInput!$N$10+1,15,18,21,24,27,30)*(IF(Inputs!$B$38="pvp",MIN(15,15)/15,IF(AND(Inputs!$B$38&lt;&gt;"pvp",Inputs!$B$43&gt;0),MIN(15,Inputs!$B$43)/(Inputs!$B$43),0))),0)))&gt;=100),CHOOSE(ArtifactsInput!$N$42+1,40,48,56,64,72,80),0))))/100)*((1+(((C1928=TRUE)*F1928*5/7)+((C1935=TRUE)*(F1935-Calc!F24))+(IF(IF(ArtifactsInput!$M$21,FALSE,TRUE),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1923)</f>
        <v/>
      </c>
      <c r="L1923">
        <f>K1923*(MIN(Inputs!$B$22+((C1933=TRUE)*(F1933-Calc!F22)),(Inputs!$B$23+0+(IF(ArtifactsInput!$M$15,CHOOSE(ArtifactsInput!$N$15+1,25,30,35,40,45,50)/100*(Inputs!$B$11-Inputs!$B$11),0))))/100+(Inputs!$B$23+0+(IF(ArtifactsInput!$M$15,CHOOSE(ArtifactsInput!$N$15+1,25,30,35,40,45,50)/100*(Inputs!$B$11-Inputs!$B$11),0)))/100)/2</f>
        <v/>
      </c>
      <c r="M1923">
        <f>L1923*(1+(Inputs!$B$10+((C1936=TRUE)*(F1936-Calc!F25))+B1947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23">
        <f>L1923*(1-MIN((Inputs!$B$9+((C1930=TRUE)*(F1930-Calc!F19))+B1942+(ArtifactsInput!$M$24-ArtifactsInput!$M$24)*CHOOSE(ArtifactsInput!$N$24+1,10,12,14,16,18,20)+(IF(AND(Inputs!$B$38&lt;&gt;"pvp",Inputs!$B$43=0),1,IF(IF(Inputs!$B$38="pvp",15,Inputs!$B$43)-(B1949)&lt;=0,1,MAX(0,IF(Inputs!$B$38="pvp",15,Inputs!$B$43)-MAX(5,B1949))/(IF(Inputs!$B$38="pvp",15,Inputs!$B$43)-(B1949))))*IF(AND(ArtifactsInput!$M$42,((Inputs!$B$9+((C1930=TRUE)*(F1930-Calc!F19))+B1942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1923*(MIN((Inputs!$B$9+((C1930=TRUE)*(F1930-Calc!F19))+B1942+(ArtifactsInput!$M$24-ArtifactsInput!$M$24)*CHOOSE(ArtifactsInput!$N$24+1,10,12,14,16,18,20)+(IF(AND(Inputs!$B$38&lt;&gt;"pvp",Inputs!$B$43=0),1,IF(IF(Inputs!$B$38="pvp",15,Inputs!$B$43)-(B1949)&lt;=0,1,MAX(0,IF(Inputs!$B$38="pvp",15,Inputs!$B$43)-MAX(5,B1949))/(IF(Inputs!$B$38="pvp",15,Inputs!$B$43)-(B1949))))*IF(AND(ArtifactsInput!$M$42,((Inputs!$B$9+((C1930=TRUE)*(F1930-Calc!F19))+B1942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23">
        <f>(1-Summary!$B$11)*T1923+Summary!$B$11*V1923</f>
        <v/>
      </c>
      <c r="P1923">
        <f>IF(B1952=0,0,O1923/B1952)</f>
        <v/>
      </c>
      <c r="Q1923">
        <f>IFERROR(1/(IF(Inputs!$B$38="pvp",15,MAX(0.1,Skills!D12-IF(TRUE=TRUE,Inputs!$B$32,0)))*(1-IF(AND(ArtifactsInput!$M$27,Inputs!$B$4="Chapter Hunt"),CHOOSE(ArtifactsInput!$N$27+1,20,24,28,32,36,40),0)/100)),0)</f>
        <v/>
      </c>
      <c r="R1923">
        <f>IF(AND(Inputs!$B$38&lt;&gt;"pvp",Inputs!$B$43&gt;0),IF(MAX(0,Inputs!$B$43-B1949)&lt;=0,0,(INT(MAX(0,Inputs!$B$43-B1949)/(IF(Inputs!$B$38="pvp",15,MAX(0.1,Skills!D12-IF(TRUE=TRUE,Inputs!$B$32,0)))*(1-IF(AND(ArtifactsInput!$M$27,Inputs!$B$4="Chapter Hunt"),CHOOSE(ArtifactsInput!$N$27+1,20,24,28,32,36,40),0)/100)))+1)),0)</f>
        <v/>
      </c>
      <c r="S1923">
        <f>IFERROR(O1923/N1923,0)</f>
        <v/>
      </c>
      <c r="T1923">
        <f>IF(C1923,(H1923*N1923*IF(AND(Inputs!$B$38&lt;&gt;"pvp",Inputs!$B$43&gt;0),((Skills!G12*((R1923-1)*IF(Skills!H12&gt;0,INT(Skills!I12/Skills!H12+0.000000001),1)+IF(Skills!H12&gt;0,INT(MIN(Skills!I12,MAX(0,MAX(0,Inputs!$B$43-B1949)-((R1923-1)*(IF(Inputs!$B$38="pvp",15,MAX(0.1,Skills!D12-IF(TRUE=TRUE,Inputs!$B$32,0)))*(1-IF(AND(ArtifactsInput!$M$27,Inputs!$B$4="Chapter Hunt"),CHOOSE(ArtifactsInput!$N$27+1,20,24,28,32,36,40),0)/100)))))/Skills!H12+0.000000001),1)))/Inputs!$B$43),G1923*Q1923))*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Hunt"),CHOOSE(ArtifactsInput!$N$35+1,15,18,21,24,27,30)*(1-EXP(-(0.2*B1944)*5)),0)+IF(AND(ArtifactsInput!$M$22,Inputs!$B$4&lt;&gt;"Chapter Hunt"),CHOOSE(ArtifactsInput!$N$22+1,10,12,14,16,18,20)*((0*(((0.15*B1944*5))^0/1)+1*(((0.15*B1944*5))^1/1)+2*(((0.15*B1944*5))^2/2)+3*(((0.15*B1944*5))^3/6)+4*(((0.15*B1944*5))^4/24)+5*(((0.15*B1944*5))^5/120))/((((0.15*B1944*5))^0/1)+(((0.15*B1944*5))^1/1)+(((0.15*B1944*5))^2/2)+(((0.15*B1944*5))^3/6)+(((0.15*B1944*5))^4/24)+(((0.15*B1944*5))^5/120))),0))+IF(Inputs!$B$3&gt;=54,9*(C1914=TRUE)*MIN(1,8*(1+Inputs!$B$34/100)*Q1914)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1923*(1-MIN(100,(Inputs!$B$9+((C1930=TRUE)*(F1930-Calc!F19))+B1942+(ArtifactsInput!$M$24-ArtifactsInput!$M$24)*CHOOSE(ArtifactsInput!$N$24+1,10,12,14,16,18,20)+(IF(AND(Inputs!$B$38&lt;&gt;"pvp",Inputs!$B$43=0),1,IF(IF(Inputs!$B$38="pvp",15,Inputs!$B$43)-(B1949)&lt;=0,1,MAX(0,IF(Inputs!$B$38="pvp",15,Inputs!$B$43)-MAX(5,B1949))/(IF(Inputs!$B$38="pvp",15,Inputs!$B$43)-(B1949))))*IF(AND(ArtifactsInput!$M$42,((Inputs!$B$9+((C1930=TRUE)*(F1930-Calc!F19))+B1942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1923*(MIN(100,(Inputs!$B$9+((C1930=TRUE)*(F1930-Calc!F19))+B1942+(ArtifactsInput!$M$24-ArtifactsInput!$M$24)*CHOOSE(ArtifactsInput!$N$24+1,10,12,14,16,18,20)+(IF(AND(Inputs!$B$38&lt;&gt;"pvp",Inputs!$B$43=0),1,IF(IF(Inputs!$B$38="pvp",15,Inputs!$B$43)-(B1949)&lt;=0,1,MAX(0,IF(Inputs!$B$38="pvp",15,Inputs!$B$43)-MAX(5,B1949))/(IF(Inputs!$B$38="pvp",15,Inputs!$B$43)-(B1949))))*IF(AND(ArtifactsInput!$M$42,((Inputs!$B$9+((C1930=TRUE)*(F1930-Calc!F19))+B1942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1923*(1-MIN(100,(Inputs!$B$9+((C1930=TRUE)*(F1930-Calc!F19))+B1942+(ArtifactsInput!$M$24-ArtifactsInput!$M$24)*CHOOSE(ArtifactsInput!$N$24+1,10,12,14,16,18,20)+(IF(AND(Inputs!$B$38&lt;&gt;"pvp",Inputs!$B$43=0),1,IF(IF(Inputs!$B$38="pvp",15,Inputs!$B$43)-(B1949)&lt;=0,1,MAX(0,IF(Inputs!$B$38="pvp",15,Inputs!$B$43)-MAX(5,B1949))/(IF(Inputs!$B$38="pvp",15,Inputs!$B$43)-(B1949))))*IF(AND(ArtifactsInput!$M$42,((Inputs!$B$9+((C1930=TRUE)*(F1930-Calc!F19))+B1942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1923*(MIN(100,(Inputs!$B$9+((C1930=TRUE)*(F1930-Calc!F19))+B1942+(ArtifactsInput!$M$24-ArtifactsInput!$M$24)*CHOOSE(ArtifactsInput!$N$24+1,10,12,14,16,18,20)+(IF(AND(Inputs!$B$38&lt;&gt;"pvp",Inputs!$B$43=0),1,IF(IF(Inputs!$B$38="pvp",15,Inputs!$B$43)-(B1949)&lt;=0,1,MAX(0,IF(Inputs!$B$38="pvp",15,Inputs!$B$43)-MAX(5,B1949))/(IF(Inputs!$B$38="pvp",15,Inputs!$B$43)-(B1949))))*IF(AND(ArtifactsInput!$M$42,((Inputs!$B$9+((C1930=TRUE)*(F1930-Calc!F19))+B1942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923">
        <f>IF(C1923,(H1923*N1923*IF(AND(Inputs!$B$38&lt;&gt;"pvp",Inputs!$B$43&gt;0),((Skills!G12*((R1923-1)*IF(Skills!H12&gt;0,INT(Skills!I12/Skills!H12+0.000000001),1)+IF(Skills!H12&gt;0,INT(MIN(Skills!I12,MAX(0,MAX(0,Inputs!$B$43-B1949)-((R1923-1)*(IF(Inputs!$B$38="pvp",15,MAX(0.1,Skills!D12-IF(TRUE=TRUE,Inputs!$B$32,0)))*(1-IF(AND(ArtifactsInput!$M$27,Inputs!$B$4="Chapter Hunt"),CHOOSE(ArtifactsInput!$N$27+1,20,24,28,32,36,40),0)/100)))))/Skills!H12+0.000000001),1)))/Inputs!$B$43),G1923*Q1923))*IF(Inputs!$B$38="pvp",1,(1+(Inputs!$B$21+Skills!Q12+(IF(ArtifactsInput!$M$33,CHOOSE(ArtifactsInput!$N$33+1,30,36,42,48,54,60),0))+(IF(AND(ArtifactsInput!$M$35,Inputs!$B$4&lt;&gt;"Chapter Hunt"),CHOOSE(ArtifactsInput!$N$35+1,15,18,21,24,27,30)*(1-EXP(-(0.2*B1944)*5)),0)+IF(AND(ArtifactsInput!$M$22,Inputs!$B$4&lt;&gt;"Chapter Hunt"),CHOOSE(ArtifactsInput!$N$22+1,10,12,14,16,18,20)*((0*(((0.15*B1944*5))^0/1)+1*(((0.15*B1944*5))^1/1)+2*(((0.15*B1944*5))^2/2)+3*(((0.15*B1944*5))^3/6)+4*(((0.15*B1944*5))^4/24)+5*(((0.15*B1944*5))^5/120))/((((0.15*B1944*5))^0/1)+(((0.15*B1944*5))^1/1)+(((0.15*B1944*5))^2/2)+(((0.15*B1944*5))^3/6)+(((0.15*B1944*5))^4/24)+(((0.15*B1944*5))^5/120))),0))+IF(Inputs!$B$3&gt;=54,9*(C1914=TRUE)*MIN(1,8*(1+Inputs!$B$34/100)*Q1914),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24">
      <c r="A1924">
        <f>Skills!A13</f>
        <v/>
      </c>
      <c r="B1924">
        <f>Skills!B13</f>
        <v/>
      </c>
      <c r="C1924">
        <f>Inputs!$B$3&gt;=110</f>
        <v/>
      </c>
      <c r="D1924">
        <f>IF(Skills!C13=1,60+Inputs!$B$25+Inputs!$B$29,IF(Skills!C13=2,90+Inputs!$B$26+Inputs!$B$29,IF(Skills!C13=3,120+Inputs!$B$27+Inputs!$B$29,MAX(0,(Inputs!$B$3-100)*3)+Inputs!$B$28+Inputs!$B$29)))</f>
        <v/>
      </c>
      <c r="E1924">
        <f>INDEX(FactorTable!$B$2:$Y$301, MATCH(ROUND(MIN(300,MAX(1,D1924)),0), FactorTable!$A$2:$A$301,0), Skills!M13+1)</f>
        <v/>
      </c>
      <c r="F1924">
        <f>IF(Skills!N13=TRUE,(Skills!L13/10)*(E1924/1000),Skills!L13/10)+Skills!O13</f>
        <v/>
      </c>
      <c r="G1924">
        <f>Skills!G13*IF(Skills!H13&gt;0,INT(IF(Inputs!$B$38="pvp",MIN(Skills!I13,15),Skills!I13)/Skills!H13+0.000000001),1)</f>
        <v/>
      </c>
      <c r="H1924">
        <f>1-(1-Skills!J13/100)^Skills!K13</f>
        <v/>
      </c>
      <c r="I1924" t="inlineStr">
        <is>
          <t>1</t>
        </is>
      </c>
      <c r="J1924">
        <f>((Inputs!$B$6*(1+Inputs!$B$7/100))+(((Inputs!$B$12*(1+Inputs!$B$13/100))-(Inputs!$B$12*(1+Inputs!$B$13/100)))+0.25*(Inputs!$B$14-Inputs!$B$14))*(1+Inputs!$B$7/100))*(F1924/100)</f>
        <v/>
      </c>
      <c r="K1924">
        <f>J1924*(1+((Inputs!$B$12*(1+Inputs!$B$13/100))*0.01+Inputs!$B$14*0.0025)/100)*(1+Inputs!$B$15/100)*(1+Inputs!$B$16/100)*(5000/(6000+Inputs!$B$42*(1-(100*(1-(1-(Inputs!$B$19+0)/100)*(1-CHOOSE(ArtifactsInput!$N$40+1,5,6,7,8,9,10)/100)^(ArtifactsInput!$M$40-ArtifactsInput!$M$40)))/100)))*(1+(Inputs!$B$24+((C1937=TRUE)*(F1937-Calc!F26))+B1948)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EIGHT_LEGS_EASTON",Inputs!$B$17+((C1934=TRUE)*(F1934-Calc!F23))+((C1938=TRUE)*(F1938-Calc!F27))+((IF(AND(Inputs!$B$38&lt;&gt;"pvp",Inputs!$B$43=0),1,IF(IF(Inputs!$B$38="pvp",15,Inputs!$B$43)-(B1949)&lt;=0,1,MAX(0,IF(Inputs!$B$38="pvp",15,Inputs!$B$43)-MAX(5,B1949))/(IF(Inputs!$B$38="pvp",15,Inputs!$B$43)-(B1949))))*(IF(AND(ArtifactsInput!$M$42,((Inputs!$B$9+((C1930=TRUE)*(F1930-Calc!F19))+B1942+(ArtifactsInput!$M$24-ArtifactsInput!$M$24)*CHOOSE(ArtifactsInput!$N$24+1,10,12,14,16,18,20)+IF(ArtifactsInput!$M$10,CHOOSE(ArtifactsInput!$N$10+1,15,18,21,24,27,30)*(IF(Inputs!$B$38="pvp",MIN(15,15)/15,IF(AND(Inputs!$B$38&lt;&gt;"pvp",Inputs!$B$43&gt;0),MIN(15,Inputs!$B$43)/(Inputs!$B$43),0))),0)))&gt;=100),MIN(100,((Inputs!$B$9+((C1930=TRUE)*(F1930-Calc!F19))+B1942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1949)&lt;=0,1,MAX(0,IF(Inputs!$B$38="pvp",15,Inputs!$B$43)-MAX(5,B1949))/(IF(Inputs!$B$38="pvp",15,Inputs!$B$43)-(B1949))))*IF(AND(ArtifactsInput!$M$42,((Inputs!$B$9+((C1930=TRUE)*(F1930-Calc!F19))+B1942+(ArtifactsInput!$M$24-ArtifactsInput!$M$24)*CHOOSE(ArtifactsInput!$N$24+1,10,12,14,16,18,20)+IF(ArtifactsInput!$M$10,CHOOSE(ArtifactsInput!$N$10+1,15,18,21,24,27,30)*(IF(Inputs!$B$38="pvp",MIN(15,15)/15,IF(AND(Inputs!$B$38&lt;&gt;"pvp",Inputs!$B$43&gt;0),MIN(15,Inputs!$B$43)/(Inputs!$B$43),0))),0)))&gt;=100),CHOOSE(ArtifactsInput!$N$42+1,40,48,56,64,72,80),0))))/100)*((1+(((C1928=TRUE)*F1928*5/7)+((C1935=TRUE)*(F1935-Calc!F24))+(IF(IF(ArtifactsInput!$M$21,FALSE,TRUE),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1924)</f>
        <v/>
      </c>
      <c r="L1924">
        <f>K1924*(MIN(Inputs!$B$22+((C1933=TRUE)*(F1933-Calc!F22)),(Inputs!$B$23+0+(IF(ArtifactsInput!$M$15,CHOOSE(ArtifactsInput!$N$15+1,25,30,35,40,45,50)/100*(Inputs!$B$11-Inputs!$B$11),0))))/100+(Inputs!$B$23+0+(IF(ArtifactsInput!$M$15,CHOOSE(ArtifactsInput!$N$15+1,25,30,35,40,45,50)/100*(Inputs!$B$11-Inputs!$B$11),0)))/100)/2</f>
        <v/>
      </c>
      <c r="M1924">
        <f>L1924*(1+(Inputs!$B$10+((C1936=TRUE)*(F1936-Calc!F25))+B1947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24">
        <f>L1924*(1-MIN((Inputs!$B$9+((C1930=TRUE)*(F1930-Calc!F19))+B1942+(ArtifactsInput!$M$24-ArtifactsInput!$M$24)*CHOOSE(ArtifactsInput!$N$24+1,10,12,14,16,18,20)+(IF(AND(Inputs!$B$38&lt;&gt;"pvp",Inputs!$B$43=0),1,IF(IF(Inputs!$B$38="pvp",15,Inputs!$B$43)-(B1949)&lt;=0,1,MAX(0,IF(Inputs!$B$38="pvp",15,Inputs!$B$43)-MAX(5,B1949))/(IF(Inputs!$B$38="pvp",15,Inputs!$B$43)-(B1949))))*IF(AND(ArtifactsInput!$M$42,((Inputs!$B$9+((C1930=TRUE)*(F1930-Calc!F19))+B1942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1924*(MIN((Inputs!$B$9+((C1930=TRUE)*(F1930-Calc!F19))+B1942+(ArtifactsInput!$M$24-ArtifactsInput!$M$24)*CHOOSE(ArtifactsInput!$N$24+1,10,12,14,16,18,20)+(IF(AND(Inputs!$B$38&lt;&gt;"pvp",Inputs!$B$43=0),1,IF(IF(Inputs!$B$38="pvp",15,Inputs!$B$43)-(B1949)&lt;=0,1,MAX(0,IF(Inputs!$B$38="pvp",15,Inputs!$B$43)-MAX(5,B1949))/(IF(Inputs!$B$38="pvp",15,Inputs!$B$43)-(B1949))))*IF(AND(ArtifactsInput!$M$42,((Inputs!$B$9+((C1930=TRUE)*(F1930-Calc!F19))+B1942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24">
        <f>(1-Summary!$B$11)*T1924+Summary!$B$11*V1924</f>
        <v/>
      </c>
      <c r="P1924">
        <f>IF(B1952=0,0,O1924/B1952)</f>
        <v/>
      </c>
      <c r="Q1924">
        <f>IFERROR(1/(IF(Inputs!$B$38="pvp",15,MAX(0.1,Skills!D13-IF(TRUE=TRUE,Inputs!$B$32,0)))*(1-IF(AND(ArtifactsInput!$M$27,Inputs!$B$4="Chapter Hunt"),CHOOSE(ArtifactsInput!$N$27+1,20,24,28,32,36,40),0)/100)),0)</f>
        <v/>
      </c>
      <c r="R1924">
        <f>IF(AND(Inputs!$B$38&lt;&gt;"pvp",Inputs!$B$43&gt;0),IF(MAX(0,Inputs!$B$43-B1949)&lt;=0,0,(INT(MAX(0,Inputs!$B$43-B1949)/(IF(Inputs!$B$38="pvp",15,MAX(0.1,Skills!D13-IF(TRUE=TRUE,Inputs!$B$32,0)))*(1-IF(AND(ArtifactsInput!$M$27,Inputs!$B$4="Chapter Hunt"),CHOOSE(ArtifactsInput!$N$27+1,20,24,28,32,36,40),0)/100)))+1)),0)</f>
        <v/>
      </c>
      <c r="S1924">
        <f>IFERROR(O1924/N1924,0)</f>
        <v/>
      </c>
      <c r="T1924">
        <f>IF(C1924,(H1924*N1924*IF(AND(Inputs!$B$38&lt;&gt;"pvp",Inputs!$B$43&gt;0),((Skills!G13*((R1924-1)*IF(Skills!H13&gt;0,INT(Skills!I13/Skills!H13+0.000000001),1)+IF(Skills!H13&gt;0,INT(MIN(Skills!I13,MAX(0,MAX(0,Inputs!$B$43-B1949)-((R1924-1)*(IF(Inputs!$B$38="pvp",15,MAX(0.1,Skills!D13-IF(TRUE=TRUE,Inputs!$B$32,0)))*(1-IF(AND(ArtifactsInput!$M$27,Inputs!$B$4="Chapter Hunt"),CHOOSE(ArtifactsInput!$N$27+1,20,24,28,32,36,40),0)/100)))))/Skills!H13+0.000000001),1)))/Inputs!$B$43),G1924*Q1924))*IF(Inputs!$B$38="pvp",1,1+(Inputs!$B$20+0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Hunt"),CHOOSE(ArtifactsInput!$N$35+1,15,18,21,24,27,30)*(1-EXP(-(0.2*B1944)*5)),0)+IF(AND(ArtifactsInput!$M$22,Inputs!$B$4&lt;&gt;"Chapter Hunt"),CHOOSE(ArtifactsInput!$N$22+1,10,12,14,16,18,20)*((0*(((0.15*B1944*5))^0/1)+1*(((0.15*B1944*5))^1/1)+2*(((0.15*B1944*5))^2/2)+3*(((0.15*B1944*5))^3/6)+4*(((0.15*B1944*5))^4/24)+5*(((0.15*B1944*5))^5/120))/((((0.15*B1944*5))^0/1)+(((0.15*B1944*5))^1/1)+(((0.15*B1944*5))^2/2)+(((0.15*B1944*5))^3/6)+(((0.15*B1944*5))^4/24)+(((0.15*B1944*5))^5/120))),0))+IF(Inputs!$B$3&gt;=54,9*(C1914=TRUE)*MIN(1,8*(1+Inputs!$B$34/100)*Q1914)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1924*(1-MIN(100,(Inputs!$B$9+((C1930=TRUE)*(F1930-Calc!F19))+B1942+(ArtifactsInput!$M$24-ArtifactsInput!$M$24)*CHOOSE(ArtifactsInput!$N$24+1,10,12,14,16,18,20)+(IF(AND(Inputs!$B$38&lt;&gt;"pvp",Inputs!$B$43=0),1,IF(IF(Inputs!$B$38="pvp",15,Inputs!$B$43)-(B1949)&lt;=0,1,MAX(0,IF(Inputs!$B$38="pvp",15,Inputs!$B$43)-MAX(5,B1949))/(IF(Inputs!$B$38="pvp",15,Inputs!$B$43)-(B1949))))*IF(AND(ArtifactsInput!$M$42,((Inputs!$B$9+((C1930=TRUE)*(F1930-Calc!F19))+B1942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1924*(MIN(100,(Inputs!$B$9+((C1930=TRUE)*(F1930-Calc!F19))+B1942+(ArtifactsInput!$M$24-ArtifactsInput!$M$24)*CHOOSE(ArtifactsInput!$N$24+1,10,12,14,16,18,20)+(IF(AND(Inputs!$B$38&lt;&gt;"pvp",Inputs!$B$43=0),1,IF(IF(Inputs!$B$38="pvp",15,Inputs!$B$43)-(B1949)&lt;=0,1,MAX(0,IF(Inputs!$B$38="pvp",15,Inputs!$B$43)-MAX(5,B1949))/(IF(Inputs!$B$38="pvp",15,Inputs!$B$43)-(B1949))))*IF(AND(ArtifactsInput!$M$42,((Inputs!$B$9+((C1930=TRUE)*(F1930-Calc!F19))+B1942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1924*(1-MIN(100,(Inputs!$B$9+((C1930=TRUE)*(F1930-Calc!F19))+B1942+(ArtifactsInput!$M$24-ArtifactsInput!$M$24)*CHOOSE(ArtifactsInput!$N$24+1,10,12,14,16,18,20)+(IF(AND(Inputs!$B$38&lt;&gt;"pvp",Inputs!$B$43=0),1,IF(IF(Inputs!$B$38="pvp",15,Inputs!$B$43)-(B1949)&lt;=0,1,MAX(0,IF(Inputs!$B$38="pvp",15,Inputs!$B$43)-MAX(5,B1949))/(IF(Inputs!$B$38="pvp",15,Inputs!$B$43)-(B1949))))*IF(AND(ArtifactsInput!$M$42,((Inputs!$B$9+((C1930=TRUE)*(F1930-Calc!F19))+B1942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1924*(MIN(100,(Inputs!$B$9+((C1930=TRUE)*(F1930-Calc!F19))+B1942+(ArtifactsInput!$M$24-ArtifactsInput!$M$24)*CHOOSE(ArtifactsInput!$N$24+1,10,12,14,16,18,20)+(IF(AND(Inputs!$B$38&lt;&gt;"pvp",Inputs!$B$43=0),1,IF(IF(Inputs!$B$38="pvp",15,Inputs!$B$43)-(B1949)&lt;=0,1,MAX(0,IF(Inputs!$B$38="pvp",15,Inputs!$B$43)-MAX(5,B1949))/(IF(Inputs!$B$38="pvp",15,Inputs!$B$43)-(B1949))))*IF(AND(ArtifactsInput!$M$42,((Inputs!$B$9+((C1930=TRUE)*(F1930-Calc!F19))+B1942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924">
        <f>IF(C1924,(H1924*N1924*IF(AND(Inputs!$B$38&lt;&gt;"pvp",Inputs!$B$43&gt;0),((Skills!G13*((R1924-1)*IF(Skills!H13&gt;0,INT(Skills!I13/Skills!H13+0.000000001),1)+IF(Skills!H13&gt;0,INT(MIN(Skills!I13,MAX(0,MAX(0,Inputs!$B$43-B1949)-((R1924-1)*(IF(Inputs!$B$38="pvp",15,MAX(0.1,Skills!D13-IF(TRUE=TRUE,Inputs!$B$32,0)))*(1-IF(AND(ArtifactsInput!$M$27,Inputs!$B$4="Chapter Hunt"),CHOOSE(ArtifactsInput!$N$27+1,20,24,28,32,36,40),0)/100)))))/Skills!H13+0.000000001),1)))/Inputs!$B$43),G1924*Q1924))*IF(Inputs!$B$38="pvp",1,(1+(Inputs!$B$21+Skills!Q13+(IF(ArtifactsInput!$M$33,CHOOSE(ArtifactsInput!$N$33+1,30,36,42,48,54,60),0))+(IF(AND(ArtifactsInput!$M$35,Inputs!$B$4&lt;&gt;"Chapter Hunt"),CHOOSE(ArtifactsInput!$N$35+1,15,18,21,24,27,30)*(1-EXP(-(0.2*B1944)*5)),0)+IF(AND(ArtifactsInput!$M$22,Inputs!$B$4&lt;&gt;"Chapter Hunt"),CHOOSE(ArtifactsInput!$N$22+1,10,12,14,16,18,20)*((0*(((0.15*B1944*5))^0/1)+1*(((0.15*B1944*5))^1/1)+2*(((0.15*B1944*5))^2/2)+3*(((0.15*B1944*5))^3/6)+4*(((0.15*B1944*5))^4/24)+5*(((0.15*B1944*5))^5/120))/((((0.15*B1944*5))^0/1)+(((0.15*B1944*5))^1/1)+(((0.15*B1944*5))^2/2)+(((0.15*B1944*5))^3/6)+(((0.15*B1944*5))^4/24)+(((0.15*B1944*5))^5/120))),0))+IF(Inputs!$B$3&gt;=54,9*(C1914=TRUE)*MIN(1,8*(1+Inputs!$B$34/100)*Q1914),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25">
      <c r="A1925">
        <f>Skills!A14</f>
        <v/>
      </c>
      <c r="B1925">
        <f>Skills!B14</f>
        <v/>
      </c>
      <c r="C1925">
        <f>Inputs!$B$3&gt;=120</f>
        <v/>
      </c>
      <c r="D1925">
        <f>IF(Skills!C14=1,60+Inputs!$B$25+Inputs!$B$29,IF(Skills!C14=2,90+Inputs!$B$26+Inputs!$B$29,IF(Skills!C14=3,120+Inputs!$B$27+Inputs!$B$29,MAX(0,(Inputs!$B$3-100)*3)+Inputs!$B$28+Inputs!$B$29)))</f>
        <v/>
      </c>
      <c r="E1925">
        <f>INDEX(FactorTable!$B$2:$Y$301, MATCH(ROUND(MIN(300,MAX(1,D1925)),0), FactorTable!$A$2:$A$301,0), Skills!M14+1)</f>
        <v/>
      </c>
      <c r="F1925">
        <f>IF(Skills!N14=TRUE,(Skills!L14/10)*(E1925/1000),Skills!L14/10)+Skills!O14</f>
        <v/>
      </c>
      <c r="G1925">
        <f>Skills!G14*IF(Skills!H14&gt;0,INT(IF(Inputs!$B$38="pvp",MIN(Skills!I14,15),Skills!I14)/Skills!H14+0.000000001),1)</f>
        <v/>
      </c>
      <c r="H1925">
        <f>1-(1-Skills!J14/100)^Skills!K14</f>
        <v/>
      </c>
      <c r="I1925" t="inlineStr">
        <is>
          <t>1</t>
        </is>
      </c>
      <c r="J1925">
        <f>((Inputs!$B$6*(1+Inputs!$B$7/100))+(((Inputs!$B$12*(1+Inputs!$B$13/100))-(Inputs!$B$12*(1+Inputs!$B$13/100)))+0.25*(Inputs!$B$14-Inputs!$B$14))*(1+Inputs!$B$7/100))*(F1925/100)</f>
        <v/>
      </c>
      <c r="K1925">
        <f>J1925*(1+((Inputs!$B$12*(1+Inputs!$B$13/100))*0.01+Inputs!$B$14*0.0025)/100)*(1+Inputs!$B$15/100)*(1+Inputs!$B$16/100)*(5000/(6000+Inputs!$B$42*(1-(100*(1-(1-(Inputs!$B$19+0)/100)*(1-CHOOSE(ArtifactsInput!$N$40+1,5,6,7,8,9,10)/100)^(ArtifactsInput!$M$40-ArtifactsInput!$M$40)))/100)))*(1+(Inputs!$B$24+((C1937=TRUE)*(F1937-Calc!F26))+B1948)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EIGHT_LEGS_EASTON",Inputs!$B$17+((C1934=TRUE)*(F1934-Calc!F23))+((C1938=TRUE)*(F1938-Calc!F27))+((IF(AND(Inputs!$B$38&lt;&gt;"pvp",Inputs!$B$43=0),1,IF(IF(Inputs!$B$38="pvp",15,Inputs!$B$43)-(B1949)&lt;=0,1,MAX(0,IF(Inputs!$B$38="pvp",15,Inputs!$B$43)-MAX(5,B1949))/(IF(Inputs!$B$38="pvp",15,Inputs!$B$43)-(B1949))))*(IF(AND(ArtifactsInput!$M$42,((Inputs!$B$9+((C1930=TRUE)*(F1930-Calc!F19))+B1942+(ArtifactsInput!$M$24-ArtifactsInput!$M$24)*CHOOSE(ArtifactsInput!$N$24+1,10,12,14,16,18,20)+IF(ArtifactsInput!$M$10,CHOOSE(ArtifactsInput!$N$10+1,15,18,21,24,27,30)*(IF(Inputs!$B$38="pvp",MIN(15,15)/15,IF(AND(Inputs!$B$38&lt;&gt;"pvp",Inputs!$B$43&gt;0),MIN(15,Inputs!$B$43)/(Inputs!$B$43),0))),0)))&gt;=100),MIN(100,((Inputs!$B$9+((C1930=TRUE)*(F1930-Calc!F19))+B1942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1949)&lt;=0,1,MAX(0,IF(Inputs!$B$38="pvp",15,Inputs!$B$43)-MAX(5,B1949))/(IF(Inputs!$B$38="pvp",15,Inputs!$B$43)-(B1949))))*IF(AND(ArtifactsInput!$M$42,((Inputs!$B$9+((C1930=TRUE)*(F1930-Calc!F19))+B1942+(ArtifactsInput!$M$24-ArtifactsInput!$M$24)*CHOOSE(ArtifactsInput!$N$24+1,10,12,14,16,18,20)+IF(ArtifactsInput!$M$10,CHOOSE(ArtifactsInput!$N$10+1,15,18,21,24,27,30)*(IF(Inputs!$B$38="pvp",MIN(15,15)/15,IF(AND(Inputs!$B$38&lt;&gt;"pvp",Inputs!$B$43&gt;0),MIN(15,Inputs!$B$43)/(Inputs!$B$43),0))),0)))&gt;=100),CHOOSE(ArtifactsInput!$N$42+1,40,48,56,64,72,80),0))))/100)*((1+(((C1928=TRUE)*F1928*5/7)+((C1935=TRUE)*(F1935-Calc!F24))+(IF(IF(ArtifactsInput!$M$21,FALSE,TRUE),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1925)</f>
        <v/>
      </c>
      <c r="L1925">
        <f>K1925*(MIN(Inputs!$B$22+((C1933=TRUE)*(F1933-Calc!F22)),(Inputs!$B$23+0+(IF(ArtifactsInput!$M$15,CHOOSE(ArtifactsInput!$N$15+1,25,30,35,40,45,50)/100*(Inputs!$B$11-Inputs!$B$11),0))))/100+(Inputs!$B$23+0+(IF(ArtifactsInput!$M$15,CHOOSE(ArtifactsInput!$N$15+1,25,30,35,40,45,50)/100*(Inputs!$B$11-Inputs!$B$11),0)))/100)/2</f>
        <v/>
      </c>
      <c r="M1925">
        <f>L1925*(1+(Inputs!$B$10+((C1936=TRUE)*(F1936-Calc!F25))+B1947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25">
        <f>L1925*(1-MIN((Inputs!$B$9+((C1930=TRUE)*(F1930-Calc!F19))+B1942+(ArtifactsInput!$M$24-ArtifactsInput!$M$24)*CHOOSE(ArtifactsInput!$N$24+1,10,12,14,16,18,20)+(IF(AND(Inputs!$B$38&lt;&gt;"pvp",Inputs!$B$43=0),1,IF(IF(Inputs!$B$38="pvp",15,Inputs!$B$43)-(B1949)&lt;=0,1,MAX(0,IF(Inputs!$B$38="pvp",15,Inputs!$B$43)-MAX(5,B1949))/(IF(Inputs!$B$38="pvp",15,Inputs!$B$43)-(B1949))))*IF(AND(ArtifactsInput!$M$42,((Inputs!$B$9+((C1930=TRUE)*(F1930-Calc!F19))+B1942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1925*(MIN((Inputs!$B$9+((C1930=TRUE)*(F1930-Calc!F19))+B1942+(ArtifactsInput!$M$24-ArtifactsInput!$M$24)*CHOOSE(ArtifactsInput!$N$24+1,10,12,14,16,18,20)+(IF(AND(Inputs!$B$38&lt;&gt;"pvp",Inputs!$B$43=0),1,IF(IF(Inputs!$B$38="pvp",15,Inputs!$B$43)-(B1949)&lt;=0,1,MAX(0,IF(Inputs!$B$38="pvp",15,Inputs!$B$43)-MAX(5,B1949))/(IF(Inputs!$B$38="pvp",15,Inputs!$B$43)-(B1949))))*IF(AND(ArtifactsInput!$M$42,((Inputs!$B$9+((C1930=TRUE)*(F1930-Calc!F19))+B1942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25">
        <f>(1-Summary!$B$11)*T1925+Summary!$B$11*V1925</f>
        <v/>
      </c>
      <c r="P1925">
        <f>IF(B1952=0,0,O1925/B1952)</f>
        <v/>
      </c>
      <c r="Q1925" t="n">
        <v>0</v>
      </c>
      <c r="R1925" t="n">
        <v>0</v>
      </c>
      <c r="S1925">
        <f>IFERROR(O1925/N1925,0)</f>
        <v/>
      </c>
      <c r="T1925">
        <f>IF(C1925,((H1925*(B1946+IF(AND(Inputs!$B$38&lt;&gt;"pvp",Inputs!$B$43&gt;0),((Skills!G8*((R1919-1)*IF(Skills!H8&gt;0,INT(Skills!I8/Skills!H8+0.000000001),1)+IF(Skills!H8&gt;0,INT(MIN(Skills!I8,MAX(0,MAX(0,Inputs!$B$43-B1949)-((R1919-1)*((IF(Inputs!$B$38="pvp",15,MAX(0.1,Skills!D8-IF(TRUE=TRUE,Inputs!$B$32,0)))*(1-IF(AND(ArtifactsInput!$M$27,Inputs!$B$4="Chapter Hunt"),CHOOSE(ArtifactsInput!$N$27+1,20,24,28,32,36,40),0)/100))/B1953))))/Skills!H8+0.000000001),1)))/Inputs!$B$43),G1919*Q1919)+IF(AND(Inputs!$B$38&lt;&gt;"pvp",Inputs!$B$43&gt;0),((Skills!G11*((R1922-1)*IF(Skills!H11&gt;0,INT(Skills!I11/Skills!H11+0.000000001),1)+IF(Skills!H11&gt;0,INT(MIN(Skills!I11,MAX(0,MAX(0,Inputs!$B$43-B1949)-((R1922-1)*((IF(Inputs!$B$38="pvp",15,MAX(0.1,Skills!D11-IF(TRUE=TRUE,Inputs!$B$32,0)))*(1-IF(AND(ArtifactsInput!$M$27,Inputs!$B$4="Chapter Hunt"),CHOOSE(ArtifactsInput!$N$27+1,20,24,28,32,36,40),0)/100))/B1953))))/Skills!H11+0.000000001),1)))/Inputs!$B$43),G1922*Q1922)))/(1+Skills!H14*H1925*(B1946+IF(AND(Inputs!$B$38&lt;&gt;"pvp",Inputs!$B$43&gt;0),((Skills!G8*((R1919-1)*IF(Skills!H8&gt;0,INT(Skills!I8/Skills!H8+0.000000001),1)+IF(Skills!H8&gt;0,INT(MIN(Skills!I8,MAX(0,MAX(0,Inputs!$B$43-B1949)-((R1919-1)*((IF(Inputs!$B$38="pvp",15,MAX(0.1,Skills!D8-IF(TRUE=TRUE,Inputs!$B$32,0)))*(1-IF(AND(ArtifactsInput!$M$27,Inputs!$B$4="Chapter Hunt"),CHOOSE(ArtifactsInput!$N$27+1,20,24,28,32,36,40),0)/100))/B1953))))/Skills!H8+0.000000001),1)))/Inputs!$B$43),G1919*Q1919)+IF(AND(Inputs!$B$38&lt;&gt;"pvp",Inputs!$B$43&gt;0),((Skills!G11*((R1922-1)*IF(Skills!H11&gt;0,INT(Skills!I11/Skills!H11+0.000000001),1)+IF(Skills!H11&gt;0,INT(MIN(Skills!I11,MAX(0,MAX(0,Inputs!$B$43-B1949)-((R1922-1)*((IF(Inputs!$B$38="pvp",15,MAX(0.1,Skills!D11-IF(TRUE=TRUE,Inputs!$B$32,0)))*(1-IF(AND(ArtifactsInput!$M$27,Inputs!$B$4="Chapter Hunt"),CHOOSE(ArtifactsInput!$N$27+1,20,24,28,32,36,40),0)/100))/B1953))))/Skills!H11+0.000000001),1)))/Inputs!$B$43),G1922*Q1922)))*N1925)*IF(Inputs!$B$38="pvp",1,1+(Inputs!$B$20+0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Hunt"),CHOOSE(ArtifactsInput!$N$35+1,15,18,21,24,27,30)*(1-EXP(-(0.2*B1944)*5)),0)+IF(AND(ArtifactsInput!$M$22,Inputs!$B$4&lt;&gt;"Chapter Hunt"),CHOOSE(ArtifactsInput!$N$22+1,10,12,14,16,18,20)*((0*(((0.15*B1944*5))^0/1)+1*(((0.15*B1944*5))^1/1)+2*(((0.15*B1944*5))^2/2)+3*(((0.15*B1944*5))^3/6)+4*(((0.15*B1944*5))^4/24)+5*(((0.15*B1944*5))^5/120))/((((0.15*B1944*5))^0/1)+(((0.15*B1944*5))^1/1)+(((0.15*B1944*5))^2/2)+(((0.15*B1944*5))^3/6)+(((0.15*B1944*5))^4/24)+(((0.15*B1944*5))^5/120))),0))+IF(Inputs!$B$3&gt;=54,9*(C1914=TRUE)*MIN(1,8*(1+Inputs!$B$34/100)*Q1914)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1925*(1-MIN(100,(Inputs!$B$9+((C1930=TRUE)*(F1930-Calc!F19))+B1942+(ArtifactsInput!$M$24-ArtifactsInput!$M$24)*CHOOSE(ArtifactsInput!$N$24+1,10,12,14,16,18,20)+(IF(AND(Inputs!$B$38&lt;&gt;"pvp",Inputs!$B$43=0),1,IF(IF(Inputs!$B$38="pvp",15,Inputs!$B$43)-(B1949)&lt;=0,1,MAX(0,IF(Inputs!$B$38="pvp",15,Inputs!$B$43)-MAX(5,B1949))/(IF(Inputs!$B$38="pvp",15,Inputs!$B$43)-(B1949))))*IF(AND(ArtifactsInput!$M$42,((Inputs!$B$9+((C1930=TRUE)*(F1930-Calc!F19))+B1942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1925*(MIN(100,(Inputs!$B$9+((C1930=TRUE)*(F1930-Calc!F19))+B1942+(ArtifactsInput!$M$24-ArtifactsInput!$M$24)*CHOOSE(ArtifactsInput!$N$24+1,10,12,14,16,18,20)+(IF(AND(Inputs!$B$38&lt;&gt;"pvp",Inputs!$B$43=0),1,IF(IF(Inputs!$B$38="pvp",15,Inputs!$B$43)-(B1949)&lt;=0,1,MAX(0,IF(Inputs!$B$38="pvp",15,Inputs!$B$43)-MAX(5,B1949))/(IF(Inputs!$B$38="pvp",15,Inputs!$B$43)-(B1949))))*IF(AND(ArtifactsInput!$M$42,((Inputs!$B$9+((C1930=TRUE)*(F1930-Calc!F19))+B1942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1925*(1-MIN(100,(Inputs!$B$9+((C1930=TRUE)*(F1930-Calc!F19))+B1942+(ArtifactsInput!$M$24-ArtifactsInput!$M$24)*CHOOSE(ArtifactsInput!$N$24+1,10,12,14,16,18,20)+(IF(AND(Inputs!$B$38&lt;&gt;"pvp",Inputs!$B$43=0),1,IF(IF(Inputs!$B$38="pvp",15,Inputs!$B$43)-(B1949)&lt;=0,1,MAX(0,IF(Inputs!$B$38="pvp",15,Inputs!$B$43)-MAX(5,B1949))/(IF(Inputs!$B$38="pvp",15,Inputs!$B$43)-(B1949))))*IF(AND(ArtifactsInput!$M$42,((Inputs!$B$9+((C1930=TRUE)*(F1930-Calc!F19))+B1942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1925*(MIN(100,(Inputs!$B$9+((C1930=TRUE)*(F1930-Calc!F19))+B1942+(ArtifactsInput!$M$24-ArtifactsInput!$M$24)*CHOOSE(ArtifactsInput!$N$24+1,10,12,14,16,18,20)+(IF(AND(Inputs!$B$38&lt;&gt;"pvp",Inputs!$B$43=0),1,IF(IF(Inputs!$B$38="pvp",15,Inputs!$B$43)-(B1949)&lt;=0,1,MAX(0,IF(Inputs!$B$38="pvp",15,Inputs!$B$43)-MAX(5,B1949))/(IF(Inputs!$B$38="pvp",15,Inputs!$B$43)-(B1949))))*IF(AND(ArtifactsInput!$M$42,((Inputs!$B$9+((C1930=TRUE)*(F1930-Calc!F19))+B1942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925">
        <f>IF(C1925,((H1925*(B1946+IF(AND(Inputs!$B$38&lt;&gt;"pvp",Inputs!$B$43&gt;0),((Skills!G8*((R1919-1)*IF(Skills!H8&gt;0,INT(Skills!I8/Skills!H8+0.000000001),1)+IF(Skills!H8&gt;0,INT(MIN(Skills!I8,MAX(0,MAX(0,Inputs!$B$43-B1949)-((R1919-1)*((IF(Inputs!$B$38="pvp",15,MAX(0.1,Skills!D8-IF(TRUE=TRUE,Inputs!$B$32,0)))*(1-IF(AND(ArtifactsInput!$M$27,Inputs!$B$4="Chapter Hunt"),CHOOSE(ArtifactsInput!$N$27+1,20,24,28,32,36,40),0)/100))/B1953))))/Skills!H8+0.000000001),1)))/Inputs!$B$43),G1919*Q1919)+IF(AND(Inputs!$B$38&lt;&gt;"pvp",Inputs!$B$43&gt;0),((Skills!G11*((R1922-1)*IF(Skills!H11&gt;0,INT(Skills!I11/Skills!H11+0.000000001),1)+IF(Skills!H11&gt;0,INT(MIN(Skills!I11,MAX(0,MAX(0,Inputs!$B$43-B1949)-((R1922-1)*((IF(Inputs!$B$38="pvp",15,MAX(0.1,Skills!D11-IF(TRUE=TRUE,Inputs!$B$32,0)))*(1-IF(AND(ArtifactsInput!$M$27,Inputs!$B$4="Chapter Hunt"),CHOOSE(ArtifactsInput!$N$27+1,20,24,28,32,36,40),0)/100))/B1953))))/Skills!H11+0.000000001),1)))/Inputs!$B$43),G1922*Q1922)))/(1+Skills!H14*H1925*(B1946+IF(AND(Inputs!$B$38&lt;&gt;"pvp",Inputs!$B$43&gt;0),((Skills!G8*((R1919-1)*IF(Skills!H8&gt;0,INT(Skills!I8/Skills!H8+0.000000001),1)+IF(Skills!H8&gt;0,INT(MIN(Skills!I8,MAX(0,MAX(0,Inputs!$B$43-B1949)-((R1919-1)*((IF(Inputs!$B$38="pvp",15,MAX(0.1,Skills!D8-IF(TRUE=TRUE,Inputs!$B$32,0)))*(1-IF(AND(ArtifactsInput!$M$27,Inputs!$B$4="Chapter Hunt"),CHOOSE(ArtifactsInput!$N$27+1,20,24,28,32,36,40),0)/100))/B1953))))/Skills!H8+0.000000001),1)))/Inputs!$B$43),G1919*Q1919)+IF(AND(Inputs!$B$38&lt;&gt;"pvp",Inputs!$B$43&gt;0),((Skills!G11*((R1922-1)*IF(Skills!H11&gt;0,INT(Skills!I11/Skills!H11+0.000000001),1)+IF(Skills!H11&gt;0,INT(MIN(Skills!I11,MAX(0,MAX(0,Inputs!$B$43-B1949)-((R1922-1)*((IF(Inputs!$B$38="pvp",15,MAX(0.1,Skills!D11-IF(TRUE=TRUE,Inputs!$B$32,0)))*(1-IF(AND(ArtifactsInput!$M$27,Inputs!$B$4="Chapter Hunt"),CHOOSE(ArtifactsInput!$N$27+1,20,24,28,32,36,40),0)/100))/B1953))))/Skills!H11+0.000000001),1)))/Inputs!$B$43),G1922*Q1922)))*N1925)*IF(Inputs!$B$38="pvp",1,(1+(Inputs!$B$21+Skills!Q14+(IF(ArtifactsInput!$M$33,CHOOSE(ArtifactsInput!$N$33+1,30,36,42,48,54,60),0))+(IF(AND(ArtifactsInput!$M$35,Inputs!$B$4&lt;&gt;"Chapter Hunt"),CHOOSE(ArtifactsInput!$N$35+1,15,18,21,24,27,30)*(1-EXP(-(0.2*B1944)*5)),0)+IF(AND(ArtifactsInput!$M$22,Inputs!$B$4&lt;&gt;"Chapter Hunt"),CHOOSE(ArtifactsInput!$N$22+1,10,12,14,16,18,20)*((0*(((0.15*B1944*5))^0/1)+1*(((0.15*B1944*5))^1/1)+2*(((0.15*B1944*5))^2/2)+3*(((0.15*B1944*5))^3/6)+4*(((0.15*B1944*5))^4/24)+5*(((0.15*B1944*5))^5/120))/((((0.15*B1944*5))^0/1)+(((0.15*B1944*5))^1/1)+(((0.15*B1944*5))^2/2)+(((0.15*B1944*5))^3/6)+(((0.15*B1944*5))^4/24)+(((0.15*B1944*5))^5/120))),0))+IF(Inputs!$B$3&gt;=54,9*(C1914=TRUE)*MIN(1,8*(1+Inputs!$B$34/100)*Q1914),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26">
      <c r="A1926">
        <f>Skills!A15</f>
        <v/>
      </c>
      <c r="B1926">
        <f>Skills!B15</f>
        <v/>
      </c>
      <c r="C1926">
        <f>Inputs!$B$3&gt;=100</f>
        <v/>
      </c>
      <c r="D1926">
        <f>IF(Skills!C15=1,60+Inputs!$B$25+Inputs!$B$29,IF(Skills!C15=2,90+Inputs!$B$26+Inputs!$B$29,IF(Skills!C15=3,120+Inputs!$B$27+Inputs!$B$29,MAX(0,(Inputs!$B$3-100)*3)+Inputs!$B$28+Inputs!$B$29)))</f>
        <v/>
      </c>
      <c r="E1926">
        <f>INDEX(FactorTable!$B$2:$Y$301, MATCH(ROUND(MIN(300,MAX(1,D1926)),0), FactorTable!$A$2:$A$301,0), Skills!M15+1)</f>
        <v/>
      </c>
      <c r="F1926">
        <f>IF(Skills!N15=TRUE,(Skills!L15/10)*(E1926/1000),Skills!L15/10)+Skills!O15</f>
        <v/>
      </c>
      <c r="G1926" t="inlineStr"/>
      <c r="H1926" t="inlineStr"/>
      <c r="I1926" t="inlineStr">
        <is>
          <t>1</t>
        </is>
      </c>
      <c r="J1926" t="inlineStr"/>
      <c r="K1926" t="inlineStr"/>
      <c r="L1926" t="inlineStr"/>
      <c r="M1926" t="inlineStr"/>
      <c r="N1926" t="inlineStr"/>
      <c r="O1926" t="inlineStr"/>
      <c r="P1926" t="inlineStr"/>
      <c r="Q1926" t="inlineStr"/>
      <c r="R1926" t="inlineStr"/>
      <c r="S1926" t="inlineStr"/>
    </row>
    <row r="1927">
      <c r="A1927">
        <f>Skills!A16</f>
        <v/>
      </c>
      <c r="B1927">
        <f>Skills!B16</f>
        <v/>
      </c>
      <c r="C1927">
        <f>Inputs!$B$3&gt;=107</f>
        <v/>
      </c>
      <c r="D1927">
        <f>IF(Skills!C16=1,60+Inputs!$B$25+Inputs!$B$29,IF(Skills!C16=2,90+Inputs!$B$26+Inputs!$B$29,IF(Skills!C16=3,120+Inputs!$B$27+Inputs!$B$29,MAX(0,(Inputs!$B$3-100)*3)+Inputs!$B$28+Inputs!$B$29)))</f>
        <v/>
      </c>
      <c r="E1927">
        <f>INDEX(FactorTable!$B$2:$Y$301, MATCH(ROUND(MIN(300,MAX(1,D1927)),0), FactorTable!$A$2:$A$301,0), Skills!M16+1)</f>
        <v/>
      </c>
      <c r="F1927">
        <f>IF(Skills!N16=TRUE,(Skills!L16/10)*(E1927/1000),Skills!L16/10)+Skills!O16</f>
        <v/>
      </c>
      <c r="G1927" t="inlineStr"/>
      <c r="H1927" t="inlineStr"/>
      <c r="I1927" t="inlineStr">
        <is>
          <t>1</t>
        </is>
      </c>
      <c r="J1927" t="inlineStr"/>
      <c r="K1927" t="inlineStr"/>
      <c r="L1927" t="inlineStr"/>
      <c r="M1927" t="inlineStr"/>
      <c r="N1927" t="inlineStr"/>
      <c r="O1927" t="inlineStr"/>
      <c r="P1927" t="inlineStr"/>
      <c r="Q1927" t="inlineStr"/>
      <c r="R1927" t="inlineStr"/>
      <c r="S1927" t="inlineStr"/>
    </row>
    <row r="1928">
      <c r="A1928">
        <f>Skills!A17</f>
        <v/>
      </c>
      <c r="B1928">
        <f>Skills!B17</f>
        <v/>
      </c>
      <c r="C1928">
        <f>Inputs!$B$3&gt;=74</f>
        <v/>
      </c>
      <c r="D1928">
        <f>IF(Skills!C17=1,60+Inputs!$B$25+Inputs!$B$29,IF(Skills!C17=2,90+Inputs!$B$26+Inputs!$B$29,IF(Skills!C17=3,120+Inputs!$B$27+Inputs!$B$29,MAX(0,(Inputs!$B$3-100)*3)+Inputs!$B$28+Inputs!$B$29)))</f>
        <v/>
      </c>
      <c r="E1928">
        <f>INDEX(FactorTable!$B$2:$Y$301, MATCH(ROUND(MIN(300,MAX(1,D1928)),0), FactorTable!$A$2:$A$301,0), Skills!M17+1)</f>
        <v/>
      </c>
      <c r="F1928">
        <f>IF(Skills!N17=TRUE,(Skills!L17/10)*(E1928/1000),Skills!L17/10)+Skills!O17</f>
        <v/>
      </c>
      <c r="G1928">
        <f>Skills!G17*IF(Skills!H17&gt;0,INT(IF(Inputs!$B$38="pvp",MIN(Skills!I17,15),Skills!I17)/Skills!H17+0.000000001),1)</f>
        <v/>
      </c>
      <c r="H1928">
        <f>1-(1-Skills!J17/100)^Skills!K17</f>
        <v/>
      </c>
      <c r="I1928" t="inlineStr">
        <is>
          <t>1</t>
        </is>
      </c>
      <c r="J1928" t="inlineStr"/>
      <c r="K1928" t="inlineStr"/>
      <c r="L1928" t="inlineStr"/>
      <c r="M1928" t="inlineStr"/>
      <c r="N1928" t="inlineStr"/>
      <c r="O1928">
        <f>(1-Summary!$B$11)*T1928+Summary!$B$11*V1928</f>
        <v/>
      </c>
      <c r="P1928">
        <f>IF(B1952=0,0,O1928/B1952)</f>
        <v/>
      </c>
      <c r="Q1928" t="n">
        <v>0</v>
      </c>
      <c r="R1928" t="n">
        <v>0</v>
      </c>
      <c r="S1928">
        <f>IFERROR(O1928/N1928,0)</f>
        <v/>
      </c>
      <c r="T1928" t="n">
        <v>0</v>
      </c>
      <c r="V1928" t="n">
        <v>0</v>
      </c>
    </row>
    <row r="1929">
      <c r="A1929">
        <f>Skills!A18</f>
        <v/>
      </c>
      <c r="B1929">
        <f>Skills!B18</f>
        <v/>
      </c>
      <c r="C1929">
        <f>Inputs!$B$3&gt;=115</f>
        <v/>
      </c>
      <c r="D1929">
        <f>IF(Skills!C18=1,60+Inputs!$B$25+Inputs!$B$29,IF(Skills!C18=2,90+Inputs!$B$26+Inputs!$B$29,IF(Skills!C18=3,120+Inputs!$B$27+Inputs!$B$29,MAX(0,(Inputs!$B$3-100)*3)+Inputs!$B$28+Inputs!$B$29)))</f>
        <v/>
      </c>
      <c r="E1929">
        <f>INDEX(FactorTable!$B$2:$Y$301, MATCH(ROUND(MIN(300,MAX(1,D1929)),0), FactorTable!$A$2:$A$301,0), Skills!M18+1)</f>
        <v/>
      </c>
      <c r="F1929">
        <f>IF(Skills!N18=TRUE,(Skills!L18/10)*(E1929/1000),Skills!L18/10)+Skills!O18</f>
        <v/>
      </c>
      <c r="G1929">
        <f>Skills!G18*IF(Skills!H18&gt;0,INT(IF(Inputs!$B$38="pvp",MIN(Skills!I18,15),Skills!I18)/Skills!H18+0.000000001),1)</f>
        <v/>
      </c>
      <c r="H1929">
        <f>1-(1-Skills!J18/100)^Skills!K18</f>
        <v/>
      </c>
      <c r="I1929" t="inlineStr">
        <is>
          <t>1</t>
        </is>
      </c>
      <c r="J1929" t="inlineStr"/>
      <c r="K1929" t="inlineStr"/>
      <c r="L1929" t="inlineStr"/>
      <c r="M1929" t="inlineStr"/>
      <c r="N1929" t="inlineStr"/>
      <c r="O1929">
        <f>(1-Summary!$B$11)*T1929+Summary!$B$11*V1929</f>
        <v/>
      </c>
      <c r="P1929">
        <f>IF(B1952=0,0,O1929/B1952)</f>
        <v/>
      </c>
      <c r="Q1929">
        <f>IFERROR(1/(IF(Inputs!$B$38="pvp",15,MAX(0.1,Skills!D18-IF(TRUE=TRUE,Inputs!$B$32,0)))*(1-IF(AND(ArtifactsInput!$M$27,Inputs!$B$4="Chapter Hunt"),CHOOSE(ArtifactsInput!$N$27+1,20,24,28,32,36,40),0)/100)),0)</f>
        <v/>
      </c>
      <c r="R1929">
        <f>IF(AND(Inputs!$B$38&lt;&gt;"pvp",Inputs!$B$43&gt;0),IF(Inputs!$B$43&lt;=0,0,(INT(Inputs!$B$43/(IF(Inputs!$B$38="pvp",15,MAX(0.1,Skills!D18-IF(TRUE=TRUE,Inputs!$B$32,0)))*(1-IF(AND(ArtifactsInput!$M$27,Inputs!$B$4="Chapter Hunt"),CHOOSE(ArtifactsInput!$N$27+1,20,24,28,32,36,40),0)/100)))+1)),0)</f>
        <v/>
      </c>
      <c r="S1929">
        <f>IFERROR(O1929/N1929,0)</f>
        <v/>
      </c>
      <c r="T1929" t="n">
        <v>0</v>
      </c>
      <c r="V1929" t="n">
        <v>0</v>
      </c>
    </row>
    <row r="1930">
      <c r="A1930">
        <f>Skills!A19</f>
        <v/>
      </c>
      <c r="B1930">
        <f>Skills!B19</f>
        <v/>
      </c>
      <c r="C1930">
        <f>Inputs!$B$3&gt;=10</f>
        <v/>
      </c>
      <c r="D1930">
        <f>IF(Skills!C19=1,60+Inputs!$B$25+Inputs!$B$29,IF(Skills!C19=2,90+Inputs!$B$26+Inputs!$B$29,IF(Skills!C19=3,120+Inputs!$B$27+Inputs!$B$29,MAX(0,(Inputs!$B$3-100)*3)+Inputs!$B$28+Inputs!$B$29)))</f>
        <v/>
      </c>
      <c r="E1930">
        <f>INDEX(FactorTable!$B$2:$Y$301, MATCH(ROUND(MIN(300,MAX(1,D1930)),0), FactorTable!$A$2:$A$301,0), Skills!M19+1)</f>
        <v/>
      </c>
      <c r="F1930">
        <f>IF(Skills!N19=TRUE,(Skills!L19/10)*(E1930/1000),Skills!L19/10)+Skills!O19</f>
        <v/>
      </c>
      <c r="G1930">
        <f>Skills!G19*IF(Skills!H19&gt;0,INT(IF(Inputs!$B$38="pvp",MIN(Skills!I19,15),Skills!I19)/Skills!H19+0.000000001),1)</f>
        <v/>
      </c>
      <c r="H1930">
        <f>1-(1-Skills!J19/100)^Skills!K19</f>
        <v/>
      </c>
      <c r="I1930" t="inlineStr">
        <is>
          <t>1</t>
        </is>
      </c>
      <c r="J1930" t="inlineStr"/>
      <c r="K1930" t="inlineStr"/>
      <c r="L1930" t="inlineStr"/>
      <c r="M1930" t="inlineStr"/>
      <c r="N1930" t="inlineStr"/>
      <c r="O1930">
        <f>(1-Summary!$B$11)*T1930+Summary!$B$11*V1930</f>
        <v/>
      </c>
      <c r="P1930">
        <f>IF(B1952=0,0,O1930/B1952)</f>
        <v/>
      </c>
      <c r="Q1930" t="n">
        <v>0</v>
      </c>
      <c r="R1930" t="n">
        <v>0</v>
      </c>
      <c r="S1930">
        <f>IFERROR(O1930/N1930,0)</f>
        <v/>
      </c>
      <c r="T1930" t="n">
        <v>0</v>
      </c>
      <c r="V1930" t="n">
        <v>0</v>
      </c>
    </row>
    <row r="1931">
      <c r="A1931">
        <f>Skills!A20</f>
        <v/>
      </c>
      <c r="B1931">
        <f>Skills!B20</f>
        <v/>
      </c>
      <c r="C1931">
        <f>Inputs!$B$3&gt;=15</f>
        <v/>
      </c>
      <c r="D1931">
        <f>IF(Skills!C20=1,60+Inputs!$B$25+Inputs!$B$29,IF(Skills!C20=2,90+Inputs!$B$26+Inputs!$B$29,IF(Skills!C20=3,120+Inputs!$B$27+Inputs!$B$29,MAX(0,(Inputs!$B$3-100)*3)+Inputs!$B$28+Inputs!$B$29)))</f>
        <v/>
      </c>
      <c r="E1931">
        <f>INDEX(FactorTable!$B$2:$Y$301, MATCH(ROUND(MIN(300,MAX(1,D1931)),0), FactorTable!$A$2:$A$301,0), Skills!M20+1)</f>
        <v/>
      </c>
      <c r="F1931">
        <f>IF(Skills!N20=TRUE,(Skills!L20/10)*(E1931/1000),Skills!L20/10)+Skills!O20</f>
        <v/>
      </c>
      <c r="G1931">
        <f>Skills!G20*IF(Skills!H20&gt;0,INT(IF(Inputs!$B$38="pvp",MIN(Skills!I20,15),Skills!I20)/Skills!H20+0.000000001),1)</f>
        <v/>
      </c>
      <c r="H1931">
        <f>1-(1-Skills!J20/100)^Skills!K20</f>
        <v/>
      </c>
      <c r="I1931" t="inlineStr">
        <is>
          <t>1</t>
        </is>
      </c>
      <c r="J1931" t="inlineStr"/>
      <c r="K1931" t="inlineStr"/>
      <c r="L1931" t="inlineStr"/>
      <c r="M1931" t="inlineStr"/>
      <c r="N1931" t="inlineStr"/>
      <c r="O1931">
        <f>(1-Summary!$B$11)*T1931+Summary!$B$11*V1931</f>
        <v/>
      </c>
      <c r="P1931">
        <f>IF(B1952=0,0,O1931/B1952)</f>
        <v/>
      </c>
      <c r="Q1931" t="n">
        <v>0</v>
      </c>
      <c r="R1931" t="n">
        <v>0</v>
      </c>
      <c r="S1931">
        <f>IFERROR(O1931/N1931,0)</f>
        <v/>
      </c>
      <c r="T1931" t="n">
        <v>0</v>
      </c>
      <c r="V1931" t="n">
        <v>0</v>
      </c>
    </row>
    <row r="1932">
      <c r="A1932">
        <f>Skills!A21</f>
        <v/>
      </c>
      <c r="B1932">
        <f>Skills!B21</f>
        <v/>
      </c>
      <c r="C1932">
        <f>Inputs!$B$3&gt;=40</f>
        <v/>
      </c>
      <c r="D1932">
        <f>IF(Skills!C21=1,60+Inputs!$B$25+Inputs!$B$29,IF(Skills!C21=2,90+Inputs!$B$26+Inputs!$B$29,IF(Skills!C21=3,120+Inputs!$B$27+Inputs!$B$29,MAX(0,(Inputs!$B$3-100)*3)+Inputs!$B$28+Inputs!$B$29)))</f>
        <v/>
      </c>
      <c r="E1932">
        <f>INDEX(FactorTable!$B$2:$Y$301, MATCH(ROUND(MIN(300,MAX(1,D1932)),0), FactorTable!$A$2:$A$301,0), Skills!M21+1)</f>
        <v/>
      </c>
      <c r="F1932">
        <f>IF(Skills!N21=TRUE,(Skills!L21/10)*(E1932/1000),Skills!L21/10)+Skills!O21</f>
        <v/>
      </c>
      <c r="G1932">
        <f>Skills!G21*IF(Skills!H21&gt;0,INT(IF(Inputs!$B$38="pvp",MIN(Skills!I21,15),Skills!I21)/Skills!H21+0.000000001),1)</f>
        <v/>
      </c>
      <c r="H1932">
        <f>1-(1-Skills!J21/100)^Skills!K21</f>
        <v/>
      </c>
      <c r="I1932" t="inlineStr">
        <is>
          <t>1</t>
        </is>
      </c>
      <c r="J1932" t="inlineStr"/>
      <c r="K1932" t="inlineStr"/>
      <c r="L1932" t="inlineStr"/>
      <c r="M1932" t="inlineStr"/>
      <c r="N1932" t="inlineStr"/>
      <c r="O1932">
        <f>(1-Summary!$B$11)*T1932+Summary!$B$11*V1932</f>
        <v/>
      </c>
      <c r="P1932">
        <f>IF(B1952=0,0,O1932/B1952)</f>
        <v/>
      </c>
      <c r="Q1932" t="n">
        <v>0</v>
      </c>
      <c r="R1932" t="n">
        <v>0</v>
      </c>
      <c r="S1932">
        <f>IFERROR(O1932/N1932,0)</f>
        <v/>
      </c>
      <c r="T1932" t="n">
        <v>0</v>
      </c>
      <c r="V1932" t="n">
        <v>0</v>
      </c>
    </row>
    <row r="1933">
      <c r="A1933">
        <f>Skills!A22</f>
        <v/>
      </c>
      <c r="B1933">
        <f>Skills!B22</f>
        <v/>
      </c>
      <c r="C1933">
        <f>Inputs!$B$3&gt;=43</f>
        <v/>
      </c>
      <c r="D1933">
        <f>IF(Skills!C22=1,60+Inputs!$B$25+Inputs!$B$29,IF(Skills!C22=2,90+Inputs!$B$26+Inputs!$B$29,IF(Skills!C22=3,120+Inputs!$B$27+Inputs!$B$29,MAX(0,(Inputs!$B$3-100)*3)+Inputs!$B$28+Inputs!$B$29)))</f>
        <v/>
      </c>
      <c r="E1933">
        <f>INDEX(FactorTable!$B$2:$Y$301, MATCH(ROUND(MIN(300,MAX(1,D1933)),0), FactorTable!$A$2:$A$301,0), Skills!M22+1)</f>
        <v/>
      </c>
      <c r="F1933">
        <f>IF(Skills!N22=TRUE,(Skills!L22/10)*(E1933/1000),Skills!L22/10)+Skills!O22</f>
        <v/>
      </c>
      <c r="G1933">
        <f>Skills!G22*IF(Skills!H22&gt;0,INT(IF(Inputs!$B$38="pvp",MIN(Skills!I22,15),Skills!I22)/Skills!H22+0.000000001),1)</f>
        <v/>
      </c>
      <c r="H1933">
        <f>1-(1-Skills!J22/100)^Skills!K22</f>
        <v/>
      </c>
      <c r="I1933" t="inlineStr">
        <is>
          <t>1</t>
        </is>
      </c>
      <c r="J1933" t="inlineStr"/>
      <c r="K1933" t="inlineStr"/>
      <c r="L1933" t="inlineStr"/>
      <c r="M1933" t="inlineStr"/>
      <c r="N1933" t="inlineStr"/>
      <c r="O1933">
        <f>(1-Summary!$B$11)*T1933+Summary!$B$11*V1933</f>
        <v/>
      </c>
      <c r="P1933">
        <f>IF(B1952=0,0,O1933/B1952)</f>
        <v/>
      </c>
      <c r="Q1933" t="n">
        <v>0</v>
      </c>
      <c r="R1933" t="n">
        <v>0</v>
      </c>
      <c r="S1933">
        <f>IFERROR(O1933/N1933,0)</f>
        <v/>
      </c>
      <c r="T1933" t="n">
        <v>0</v>
      </c>
      <c r="V1933" t="n">
        <v>0</v>
      </c>
    </row>
    <row r="1934">
      <c r="A1934">
        <f>Skills!A23</f>
        <v/>
      </c>
      <c r="B1934">
        <f>Skills!B23</f>
        <v/>
      </c>
      <c r="C1934">
        <f>Inputs!$B$3&gt;=38</f>
        <v/>
      </c>
      <c r="D1934">
        <f>IF(Skills!C23=1,60+Inputs!$B$25+Inputs!$B$29,IF(Skills!C23=2,90+Inputs!$B$26+Inputs!$B$29,IF(Skills!C23=3,120+Inputs!$B$27+Inputs!$B$29,MAX(0,(Inputs!$B$3-100)*3)+Inputs!$B$28+Inputs!$B$29)))</f>
        <v/>
      </c>
      <c r="E1934">
        <f>INDEX(FactorTable!$B$2:$Y$301, MATCH(ROUND(MIN(300,MAX(1,D1934)),0), FactorTable!$A$2:$A$301,0), Skills!M23+1)</f>
        <v/>
      </c>
      <c r="F1934">
        <f>IF(Skills!N23=TRUE,(Skills!L23/10)*(E1934/1000),Skills!L23/10)+Skills!O23</f>
        <v/>
      </c>
      <c r="G1934">
        <f>Skills!G23*IF(Skills!H23&gt;0,INT(IF(Inputs!$B$38="pvp",MIN(Skills!I23,15),Skills!I23)/Skills!H23+0.000000001),1)</f>
        <v/>
      </c>
      <c r="H1934">
        <f>1-(1-Skills!J23/100)^Skills!K23</f>
        <v/>
      </c>
      <c r="I1934" t="inlineStr">
        <is>
          <t>1</t>
        </is>
      </c>
      <c r="J1934" t="inlineStr"/>
      <c r="K1934" t="inlineStr"/>
      <c r="L1934" t="inlineStr"/>
      <c r="M1934" t="inlineStr"/>
      <c r="N1934" t="inlineStr"/>
      <c r="O1934">
        <f>(1-Summary!$B$11)*T1934+Summary!$B$11*V1934</f>
        <v/>
      </c>
      <c r="P1934">
        <f>IF(B1952=0,0,O1934/B1952)</f>
        <v/>
      </c>
      <c r="Q1934" t="n">
        <v>0</v>
      </c>
      <c r="R1934" t="n">
        <v>0</v>
      </c>
      <c r="S1934">
        <f>IFERROR(O1934/N1934,0)</f>
        <v/>
      </c>
      <c r="T1934" t="n">
        <v>0</v>
      </c>
      <c r="V1934" t="n">
        <v>0</v>
      </c>
    </row>
    <row r="1935">
      <c r="A1935">
        <f>Skills!A24</f>
        <v/>
      </c>
      <c r="B1935">
        <f>Skills!B24</f>
        <v/>
      </c>
      <c r="C1935">
        <f>Inputs!$B$3&gt;=45</f>
        <v/>
      </c>
      <c r="D1935">
        <f>IF(Skills!C24=1,60+Inputs!$B$25+Inputs!$B$29,IF(Skills!C24=2,90+Inputs!$B$26+Inputs!$B$29,IF(Skills!C24=3,120+Inputs!$B$27+Inputs!$B$29,MAX(0,(Inputs!$B$3-100)*3)+Inputs!$B$28+Inputs!$B$29)))</f>
        <v/>
      </c>
      <c r="E1935">
        <f>INDEX(FactorTable!$B$2:$Y$301, MATCH(ROUND(MIN(300,MAX(1,D1935)),0), FactorTable!$A$2:$A$301,0), Skills!M24+1)</f>
        <v/>
      </c>
      <c r="F1935">
        <f>IF(Skills!N24=TRUE,(Skills!L24/10)*(E1935/1000),Skills!L24/10)+Skills!O24</f>
        <v/>
      </c>
      <c r="G1935">
        <f>Skills!G24*IF(Skills!H24&gt;0,INT(IF(Inputs!$B$38="pvp",MIN(Skills!I24,15),Skills!I24)/Skills!H24+0.000000001),1)</f>
        <v/>
      </c>
      <c r="H1935">
        <f>1-(1-Skills!J24/100)^Skills!K24</f>
        <v/>
      </c>
      <c r="I1935" t="inlineStr">
        <is>
          <t>1</t>
        </is>
      </c>
      <c r="J1935" t="inlineStr"/>
      <c r="K1935" t="inlineStr"/>
      <c r="L1935" t="inlineStr"/>
      <c r="M1935" t="inlineStr"/>
      <c r="N1935" t="inlineStr"/>
      <c r="O1935">
        <f>(1-Summary!$B$11)*T1935+Summary!$B$11*V1935</f>
        <v/>
      </c>
      <c r="P1935">
        <f>IF(B1952=0,0,O1935/B1952)</f>
        <v/>
      </c>
      <c r="Q1935" t="n">
        <v>0</v>
      </c>
      <c r="R1935" t="n">
        <v>0</v>
      </c>
      <c r="S1935">
        <f>IFERROR(O1935/N1935,0)</f>
        <v/>
      </c>
      <c r="T1935" t="n">
        <v>0</v>
      </c>
      <c r="V1935" t="n">
        <v>0</v>
      </c>
    </row>
    <row r="1936">
      <c r="A1936">
        <f>Skills!A25</f>
        <v/>
      </c>
      <c r="B1936">
        <f>Skills!B25</f>
        <v/>
      </c>
      <c r="C1936">
        <f>Inputs!$B$3&gt;=72</f>
        <v/>
      </c>
      <c r="D1936">
        <f>IF(Skills!C25=1,60+Inputs!$B$25+Inputs!$B$29,IF(Skills!C25=2,90+Inputs!$B$26+Inputs!$B$29,IF(Skills!C25=3,120+Inputs!$B$27+Inputs!$B$29,MAX(0,(Inputs!$B$3-100)*3)+Inputs!$B$28+Inputs!$B$29)))</f>
        <v/>
      </c>
      <c r="E1936">
        <f>INDEX(FactorTable!$B$2:$Y$301, MATCH(ROUND(MIN(300,MAX(1,D1936)),0), FactorTable!$A$2:$A$301,0), Skills!M25+1)</f>
        <v/>
      </c>
      <c r="F1936">
        <f>IF(Skills!N25=TRUE,(Skills!L25/10)*(E1936/1000),Skills!L25/10)+Skills!O25</f>
        <v/>
      </c>
      <c r="G1936">
        <f>Skills!G25*IF(Skills!H25&gt;0,INT(IF(Inputs!$B$38="pvp",MIN(Skills!I25,15),Skills!I25)/Skills!H25+0.000000001),1)</f>
        <v/>
      </c>
      <c r="H1936">
        <f>1-(1-Skills!J25/100)^Skills!K25</f>
        <v/>
      </c>
      <c r="I1936" t="inlineStr">
        <is>
          <t>1</t>
        </is>
      </c>
      <c r="J1936" t="inlineStr"/>
      <c r="K1936" t="inlineStr"/>
      <c r="L1936" t="inlineStr"/>
      <c r="M1936" t="inlineStr"/>
      <c r="N1936" t="inlineStr"/>
      <c r="O1936">
        <f>(1-Summary!$B$11)*T1936+Summary!$B$11*V1936</f>
        <v/>
      </c>
      <c r="P1936">
        <f>IF(B1952=0,0,O1936/B1952)</f>
        <v/>
      </c>
      <c r="Q1936" t="n">
        <v>0</v>
      </c>
      <c r="R1936" t="n">
        <v>0</v>
      </c>
      <c r="S1936">
        <f>IFERROR(O1936/N1936,0)</f>
        <v/>
      </c>
      <c r="T1936" t="n">
        <v>0</v>
      </c>
      <c r="V1936" t="n">
        <v>0</v>
      </c>
    </row>
    <row r="1937">
      <c r="A1937">
        <f>Skills!A26</f>
        <v/>
      </c>
      <c r="B1937">
        <f>Skills!B26</f>
        <v/>
      </c>
      <c r="C1937">
        <f>Inputs!$B$3&gt;=75</f>
        <v/>
      </c>
      <c r="D1937">
        <f>IF(Skills!C26=1,60+Inputs!$B$25+Inputs!$B$29,IF(Skills!C26=2,90+Inputs!$B$26+Inputs!$B$29,IF(Skills!C26=3,120+Inputs!$B$27+Inputs!$B$29,MAX(0,(Inputs!$B$3-100)*3)+Inputs!$B$28+Inputs!$B$29)))</f>
        <v/>
      </c>
      <c r="E1937">
        <f>INDEX(FactorTable!$B$2:$Y$301, MATCH(ROUND(MIN(300,MAX(1,D1937)),0), FactorTable!$A$2:$A$301,0), Skills!M26+1)</f>
        <v/>
      </c>
      <c r="F1937">
        <f>IF(Skills!N26=TRUE,(Skills!L26/10)*(E1937/1000),Skills!L26/10)+Skills!O26</f>
        <v/>
      </c>
      <c r="G1937">
        <f>Skills!G26*IF(Skills!H26&gt;0,INT(IF(Inputs!$B$38="pvp",MIN(Skills!I26,15),Skills!I26)/Skills!H26+0.000000001),1)</f>
        <v/>
      </c>
      <c r="H1937">
        <f>1-(1-Skills!J26/100)^Skills!K26</f>
        <v/>
      </c>
      <c r="I1937" t="inlineStr">
        <is>
          <t>1</t>
        </is>
      </c>
      <c r="J1937" t="inlineStr"/>
      <c r="K1937" t="inlineStr"/>
      <c r="L1937" t="inlineStr"/>
      <c r="M1937" t="inlineStr"/>
      <c r="N1937" t="inlineStr"/>
      <c r="O1937">
        <f>(1-Summary!$B$11)*T1937+Summary!$B$11*V1937</f>
        <v/>
      </c>
      <c r="P1937">
        <f>IF(B1952=0,0,O1937/B1952)</f>
        <v/>
      </c>
      <c r="Q1937" t="n">
        <v>0</v>
      </c>
      <c r="R1937" t="n">
        <v>0</v>
      </c>
      <c r="S1937">
        <f>IFERROR(O1937/N1937,0)</f>
        <v/>
      </c>
      <c r="T1937" t="n">
        <v>0</v>
      </c>
      <c r="V1937" t="n">
        <v>0</v>
      </c>
    </row>
    <row r="1938">
      <c r="A1938">
        <f>Skills!A27</f>
        <v/>
      </c>
      <c r="B1938">
        <f>Skills!B27</f>
        <v/>
      </c>
      <c r="C1938">
        <f>Inputs!$B$3&gt;=125</f>
        <v/>
      </c>
      <c r="D1938">
        <f>IF(Skills!C27=1,60+Inputs!$B$25+Inputs!$B$29,IF(Skills!C27=2,90+Inputs!$B$26+Inputs!$B$29,IF(Skills!C27=3,120+Inputs!$B$27+Inputs!$B$29,MAX(0,(Inputs!$B$3-100)*3)+Inputs!$B$28+Inputs!$B$29)))</f>
        <v/>
      </c>
      <c r="E1938">
        <f>INDEX(FactorTable!$B$2:$Y$301, MATCH(ROUND(MIN(300,MAX(1,D1938)),0), FactorTable!$A$2:$A$301,0), Skills!M27+1)</f>
        <v/>
      </c>
      <c r="F1938">
        <f>IF(Skills!N27=TRUE,(Skills!L27/10)*(E1938/1000),Skills!L27/10)+Skills!O27</f>
        <v/>
      </c>
      <c r="G1938">
        <f>Skills!G27*IF(Skills!H27&gt;0,INT(IF(Inputs!$B$38="pvp",MIN(Skills!I27,15),Skills!I27)/Skills!H27+0.000000001),1)</f>
        <v/>
      </c>
      <c r="H1938">
        <f>1-(1-Skills!J27/100)^Skills!K27</f>
        <v/>
      </c>
      <c r="I1938" t="inlineStr">
        <is>
          <t>1</t>
        </is>
      </c>
      <c r="J1938" t="inlineStr"/>
      <c r="K1938" t="inlineStr"/>
      <c r="L1938" t="inlineStr"/>
      <c r="M1938" t="inlineStr"/>
      <c r="N1938" t="inlineStr"/>
      <c r="O1938">
        <f>(1-Summary!$B$11)*T1938+Summary!$B$11*V1938</f>
        <v/>
      </c>
      <c r="P1938">
        <f>IF(B1952=0,0,O1938/B1952)</f>
        <v/>
      </c>
      <c r="Q1938" t="n">
        <v>0</v>
      </c>
      <c r="R1938" t="n">
        <v>0</v>
      </c>
      <c r="S1938">
        <f>IFERROR(O1938/N1938,0)</f>
        <v/>
      </c>
      <c r="T1938" t="n">
        <v>0</v>
      </c>
      <c r="V1938" t="n">
        <v>0</v>
      </c>
    </row>
    <row r="1939">
      <c r="A1939">
        <f>Skills!A28</f>
        <v/>
      </c>
      <c r="B1939">
        <f>Skills!B28</f>
        <v/>
      </c>
      <c r="C1939">
        <f>TRUE</f>
        <v/>
      </c>
      <c r="D1939">
        <f>IF(Skills!C28=1,60+Inputs!$B$25+Inputs!$B$29,IF(Skills!C28=2,90+Inputs!$B$26+Inputs!$B$29,IF(Skills!C28=3,120+Inputs!$B$27+Inputs!$B$29,MAX(0,(Inputs!$B$3-100)*3)+Inputs!$B$28+Inputs!$B$29)))</f>
        <v/>
      </c>
      <c r="E1939">
        <f>INDEX(FactorTable!$B$2:$Y$301, MATCH(ROUND(MIN(300,MAX(1,D1939)),0), FactorTable!$A$2:$A$301,0), Skills!M28+1)</f>
        <v/>
      </c>
      <c r="F1939">
        <f>IF(Skills!N28=TRUE,(Skills!L28/10)*(E1939/1000),Skills!L28/10)+Skills!O28</f>
        <v/>
      </c>
      <c r="G1939">
        <f>Skills!G28*IF(Skills!H28&gt;0,INT(IF(Inputs!$B$38="pvp",MIN(Skills!I28,15),Skills!I28)/Skills!H28+0.000000001),1)</f>
        <v/>
      </c>
      <c r="H1939">
        <f>1-(1-Skills!J28/100)^Skills!K28</f>
        <v/>
      </c>
      <c r="I1939" t="inlineStr">
        <is>
          <t>1</t>
        </is>
      </c>
      <c r="J1939" t="inlineStr"/>
      <c r="K1939" t="inlineStr"/>
      <c r="L1939" t="inlineStr"/>
      <c r="M1939" t="inlineStr"/>
      <c r="N1939" t="inlineStr"/>
      <c r="O1939">
        <f>(1-Summary!$B$11)*T1939+Summary!$B$11*V1939</f>
        <v/>
      </c>
      <c r="P1939">
        <f>IF(B1952=0,0,O1939/B1952)</f>
        <v/>
      </c>
      <c r="Q1939">
        <f>IFERROR(1/(IF(Inputs!$B$38="pvp",15,MAX(0.1,Skills!D28-IF(TRUE=TRUE,Inputs!$B$32,0)))*(1-IF(AND(ArtifactsInput!$M$27,Inputs!$B$4="Chapter Hunt"),CHOOSE(ArtifactsInput!$N$27+1,20,24,28,32,36,40),0)/100)),0)</f>
        <v/>
      </c>
      <c r="R1939">
        <f>IF(AND(Inputs!$B$38&lt;&gt;"pvp",Inputs!$B$43&gt;0),IF(Inputs!$B$43&lt;=0,0,(INT(Inputs!$B$43/(IF(Inputs!$B$38="pvp",15,MAX(0.1,Skills!D28-IF(TRUE=TRUE,Inputs!$B$32,0)))*(1-IF(AND(ArtifactsInput!$M$27,Inputs!$B$4="Chapter Hunt"),CHOOSE(ArtifactsInput!$N$27+1,20,24,28,32,36,40),0)/100)))+1)),0)</f>
        <v/>
      </c>
      <c r="S1939">
        <f>IFERROR(O1939/N1939,0)</f>
        <v/>
      </c>
      <c r="T1939" t="n">
        <v>0</v>
      </c>
      <c r="V1939" t="n">
        <v>0</v>
      </c>
    </row>
    <row r="1941">
      <c r="A1941" t="inlineStr">
        <is>
          <t>Attack% Bucket Multiplier</t>
        </is>
      </c>
      <c r="B1941">
        <f>(1+(((C1928=TRUE)*F1928*5/7)+((C1935=TRUE)*(F1935-Calc!F24))+(IF(IF(ArtifactsInput!$M$21,FALSE,TRUE),CHOOSE(ArtifactsInput!$N$21+1,25,30,35,40,45,50)*(IF(OR(Inputs!$B$4="Chapter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942">
      <c r="A1942" t="inlineStr">
        <is>
          <t>Global Crit Rate Bonus %</t>
        </is>
      </c>
      <c r="B1942" t="n">
        <v>0</v>
      </c>
    </row>
    <row r="1943">
      <c r="A1943" t="inlineStr">
        <is>
          <t>Attack Speed Buff Bonus % (Nimble Feet, duty-cycle averaged)</t>
        </is>
      </c>
      <c r="B1943">
        <f>((C1939=TRUE)*F1939*IF(AND(Inputs!$B$38&lt;&gt;"pvp",Inputs!$B$43&gt;0),(((R1939-1)*MIN((Skills!T28*(1+Inputs!$B$34/100)),(1/Q1939))+MIN((Skills!T28*(1+Inputs!$B$34/100)),MAX(0,Inputs!$B$43-((R1939-1)*(1/Q1939)))))/Inputs!$B$43),IF(Inputs!$B$38="pvp",MIN((Skills!T28*(1+Inputs!$B$34/100)),15)/15,MIN(1,(Skills!T28*(1+Inputs!$B$34/100))/(1/Q1939)))))</f>
        <v/>
      </c>
    </row>
    <row r="1944">
      <c r="A1944" t="inlineStr">
        <is>
          <t>Actions Per Second</t>
        </is>
      </c>
      <c r="B1944">
        <f>1+MIN(150,150*(1-(1-(Inputs!$B$11+((C1931=TRUE)*(F1931-Calc!F20))+((C1932=TRUE)*(F1932-Calc!F21)))/150)*(1-B1943/150)))/100</f>
        <v/>
      </c>
    </row>
    <row r="1945">
      <c r="A1945" t="inlineStr">
        <is>
          <t>Skill + Buff Cast Rate</t>
        </is>
      </c>
      <c r="B1945">
        <f>IF(AND(Inputs!$B$38&lt;&gt;"pvp",Inputs!$B$43&gt;0),SUMPRODUCT((Skills!E2:E28=TRUE)*(C1913:C1939=TRUE)*R1913:R1939*Skills!F2:F28)/Inputs!$B$43,SUMPRODUCT((Skills!E2:E28=TRUE)*(C1913:C1939=TRUE)*Q1913:Q1939*Skills!F2:F28))</f>
        <v/>
      </c>
    </row>
    <row r="1946">
      <c r="A1946" t="inlineStr">
        <is>
          <t>Eight-Legs Easton Casts Per Second</t>
        </is>
      </c>
      <c r="B1946">
        <f>MAX(0,B1944-B1945)</f>
        <v/>
      </c>
    </row>
    <row r="1947">
      <c r="A1947" t="inlineStr">
        <is>
          <t>Global Critical Damage Bonus % (unused)</t>
        </is>
      </c>
      <c r="B1947" t="n">
        <v>0</v>
      </c>
    </row>
    <row r="1948">
      <c r="A1948" t="inlineStr">
        <is>
          <t>Global Final Damage Bonus % (Jolly Roger + Ahoy Mateys - Final Damage proc)</t>
        </is>
      </c>
      <c r="B1948">
        <f>((C1929=TRUE)*F1929*IF(AND(Inputs!$B$38&lt;&gt;"pvp",Inputs!$B$43&gt;0),(((R1929-1)*MIN((Skills!T18*(1+Inputs!$B$34/100)),(1/Q1929))+MIN((Skills!T18*(1+Inputs!$B$34/100)),MAX(0,Inputs!$B$43-((R1929-1)*(1/Q1929)))))/Inputs!$B$43),IF(Inputs!$B$38="pvp",MIN((Skills!T18*(1+Inputs!$B$34/100)),15)/15,MIN(1,(Skills!T18*(1+Inputs!$B$34/100))/(1/Q1929)))))+IF(Inputs!$B$3&gt;=122,20*IF(Inputs!$B$38="pvp",MIN((20*(1+Inputs!$B$34/100)),15)/15,MIN(1,(20*(1+Inputs!$B$34/100))/(1/Q1915))),0)</f>
        <v/>
      </c>
    </row>
    <row r="1949">
      <c r="A1949" t="inlineStr">
        <is>
          <t>Buff-Casting Startup Delay (s, fixed-duration only)</t>
        </is>
      </c>
      <c r="B1949">
        <f>IF(AND(Inputs!$B$38&lt;&gt;"pvp",Inputs!$B$43&gt;0),SUMPRODUCT((Skills!T2:T28&gt;0)*(Skills!E2:E28=TRUE)*(C1913:C1939=TRUE))/B1944,0)</f>
        <v/>
      </c>
    </row>
    <row r="1950">
      <c r="A1950" t="inlineStr">
        <is>
          <t>Boss-Only Total DPS (this block's swept value)</t>
        </is>
      </c>
      <c r="B1950">
        <f>SUM(T1913:T1939)</f>
        <v/>
      </c>
    </row>
    <row r="1951">
      <c r="A1951" t="inlineStr">
        <is>
          <t>Normal-Only Total DPS (this block's swept value)</t>
        </is>
      </c>
      <c r="B1951">
        <f>SUM(V1913:V1939)</f>
        <v/>
      </c>
    </row>
    <row r="1952">
      <c r="A1952" s="6" t="inlineStr">
        <is>
          <t>TOTAL DPS</t>
        </is>
      </c>
      <c r="B1952" s="6">
        <f>SUM(O1913:O1939)</f>
        <v/>
      </c>
    </row>
    <row r="1953">
      <c r="A1953" t="inlineStr">
        <is>
          <t>Quickdraw cooldown divisor (this block's own APS / Q)</t>
        </is>
      </c>
      <c r="B1953">
        <f>IF(AND(C1938=TRUE,Inputs!$B$38&lt;&gt;"pvp"),1+0.25*MAX(0,(B1944-(((C1914=TRUE)*Q1914*1)+((C1915=TRUE)*Q1915*1)+((C1917=TRUE)*Q1917*1)+((C1918=TRUE)*Q1918*1)+((C1920=TRUE)*Q1920*1)+((C1923=TRUE)*Q1923*1)+((C1929=TRUE)*Q1929*1)+((C1939=TRUE)*Q1939*1))-((C1919=TRUE)/(IF(Inputs!$B$38="pvp",15,MAX(0.1,Skills!D8-IF(TRUE=TRUE,Inputs!$B$32,0)))*(1-IF(AND(ArtifactsInput!$M$27,Inputs!$B$4="Chapter Hunt"),CHOOSE(ArtifactsInput!$N$27+1,20,24,28,32,36,40),0)/100))+(C1922=TRUE)/(IF(Inputs!$B$38="pvp",15,MAX(0.1,Skills!D11-IF(TRUE=TRUE,Inputs!$B$32,0)))*(1-IF(AND(ArtifactsInput!$M$27,Inputs!$B$4="Chapter Hunt"),CHOOSE(ArtifactsInput!$N$27+1,20,24,28,32,36,40),0)/100))))/(1+0.25*((C1919=TRUE)/(IF(Inputs!$B$38="pvp",15,MAX(0.1,Skills!D8-IF(TRUE=TRUE,Inputs!$B$32,0)))*(1-IF(AND(ArtifactsInput!$M$27,Inputs!$B$4="Chapter Hunt"),CHOOSE(ArtifactsInput!$N$27+1,20,24,28,32,36,40),0)/100))+(C1922=TRUE)/(IF(Inputs!$B$38="pvp",15,MAX(0.1,Skills!D11-IF(TRUE=TRUE,Inputs!$B$32,0)))*(1-IF(AND(ArtifactsInput!$M$27,Inputs!$B$4="Chapter Hunt"),CHOOSE(ArtifactsInput!$N$27+1,20,24,28,32,36,40),0)/100))))),1)</f>
        <v/>
      </c>
    </row>
    <row r="1954">
      <c r="A1954" t="inlineStr">
        <is>
          <t>Nautilus Strike - Final Attack trigger rate (this block's own Q/R)</t>
        </is>
      </c>
      <c r="B1954">
        <f>IF(AND(Inputs!$B$38&lt;&gt;"pvp",Inputs!$B$43&gt;0),(((C1914=TRUE)*R1914)+((C1917=TRUE)*R1917)+((C1919=TRUE)*R1919)+((C1920=TRUE)*R1920)+((C1922=TRUE)*R1922))/Inputs!$B$43,((C1914=TRUE)*Q1914)+((C1917=TRUE)*Q1917)+((C1919=TRUE)*Q1919)+((C1920=TRUE)*Q1920)+((C1922=TRUE)*Q1922))+B1946</f>
        <v/>
      </c>
    </row>
    <row r="1957">
      <c r="A1957" s="6" t="inlineStr">
        <is>
          <t>Stat: Silver Pendant (Equip)</t>
        </is>
      </c>
    </row>
    <row r="1958">
      <c r="A1958" s="5" t="inlineStr">
        <is>
          <t>Key</t>
        </is>
      </c>
      <c r="B1958" s="5" t="inlineStr">
        <is>
          <t>Name</t>
        </is>
      </c>
      <c r="C1958" s="5" t="inlineStr">
        <is>
          <t>Unlocked</t>
        </is>
      </c>
      <c r="D1958" s="5" t="inlineStr">
        <is>
          <t>InputLevel</t>
        </is>
      </c>
      <c r="E1958" s="5" t="inlineStr">
        <is>
          <t>Factor</t>
        </is>
      </c>
      <c r="F1958" s="5" t="inlineStr">
        <is>
          <t>CoefficientPercent</t>
        </is>
      </c>
      <c r="G1958" s="5" t="inlineStr">
        <is>
          <t>EffectiveHits</t>
        </is>
      </c>
      <c r="H1958" s="5" t="inlineStr">
        <is>
          <t>ProcProbability</t>
        </is>
      </c>
      <c r="I1958" s="5" t="inlineStr">
        <is>
          <t>MapleHeroMultiplier</t>
        </is>
      </c>
      <c r="J1958" s="5" t="inlineStr">
        <is>
          <t>BaseDamage</t>
        </is>
      </c>
      <c r="K1958" s="5" t="inlineStr">
        <is>
          <t>BaseHitDamage</t>
        </is>
      </c>
      <c r="L1958" s="5" t="inlineStr">
        <is>
          <t>NonCritAvg</t>
        </is>
      </c>
      <c r="M1958" s="5" t="inlineStr">
        <is>
          <t>CritAvg</t>
        </is>
      </c>
      <c r="N1958" s="5" t="inlineStr">
        <is>
          <t>ExpectedDamage(perHit)</t>
        </is>
      </c>
      <c r="O1958" s="5" t="inlineStr">
        <is>
          <t>DPS</t>
        </is>
      </c>
      <c r="P1958" s="5" t="inlineStr">
        <is>
          <t>% of Total</t>
        </is>
      </c>
      <c r="Q1958" s="5" t="inlineStr">
        <is>
          <t>InvCooldown</t>
        </is>
      </c>
      <c r="R1958" s="5" t="inlineStr">
        <is>
          <t>CastsInFight</t>
        </is>
      </c>
      <c r="S1958" s="5" t="inlineStr">
        <is>
          <t>HitRate(perSec)</t>
        </is>
      </c>
      <c r="U1958" t="inlineStr">
        <is>
          <t>helpers</t>
        </is>
      </c>
    </row>
    <row r="1959">
      <c r="A1959">
        <f>Skills!A2</f>
        <v/>
      </c>
      <c r="B1959">
        <f>Skills!B2</f>
        <v/>
      </c>
      <c r="C1959">
        <f>Inputs!$B$3&gt;=100</f>
        <v/>
      </c>
      <c r="D1959" t="inlineStr"/>
      <c r="E1959" t="inlineStr"/>
      <c r="F1959">
        <f>U1961+Skills!O2</f>
        <v/>
      </c>
      <c r="G1959">
        <f>Skills!G2*IF(Skills!H2&gt;0,INT(IF(Inputs!$B$38="pvp",MIN(Skills!I2,15),Skills!I2)/Skills!H2+0.000000001),1)</f>
        <v/>
      </c>
      <c r="H1959">
        <f>1-(1-Skills!J2/100)^Skills!K2</f>
        <v/>
      </c>
      <c r="I1959" t="inlineStr">
        <is>
          <t>1</t>
        </is>
      </c>
      <c r="J1959">
        <f>((Inputs!$B$6*(1+Inputs!$B$7/100))+(((Inputs!$B$12*(1+Inputs!$B$13/100))-(Inputs!$B$12*(1+Inputs!$B$13/100)))+0.25*(Inputs!$B$14-Inputs!$B$14))*(1+Inputs!$B$7/100))*(F1959/100)</f>
        <v/>
      </c>
      <c r="K1959">
        <f>J1959*(1+((Inputs!$B$12*(1+Inputs!$B$13/100))*0.01+Inputs!$B$14*0.0025)/100)*(1+Inputs!$B$15/100)*(1+Inputs!$B$16/100)*(5000/(6000+Inputs!$B$42*(1-(100*(1-(1-(Inputs!$B$19+0)/100)*(1-CHOOSE(ArtifactsInput!$N$40+1,5,6,7,8,9,10)/100)^(ArtifactsInput!$M$40-ArtifactsInput!$M$40)))/100)))*(1+(Inputs!$B$24+((C1983=TRUE)*(F1983-Calc!F26))+B1994)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IGHT_LEGS_EASTON",Inputs!$B$17+((C1980=TRUE)*(F1980-Calc!F23))+((C1984=TRUE)*(F1984-Calc!F27))+((IF(AND(Inputs!$B$38&lt;&gt;"pvp",Inputs!$B$43=0),1,IF(IF(Inputs!$B$38="pvp",15,Inputs!$B$43)-(B1995)&lt;=0,1,MAX(0,IF(Inputs!$B$38="pvp",15,Inputs!$B$43)-MAX(5,B1995))/(IF(Inputs!$B$38="pvp",15,Inputs!$B$43)-(B1995))))*(IF(AND(ArtifactsInput!$M$42,((Inputs!$B$9+((C1976=TRUE)*(F1976-Calc!F19))+B1988+(ArtifactsInput!$M$24-ArtifactsInput!$M$24)*CHOOSE(ArtifactsInput!$N$24+1,10,12,14,16,18,20)+IF(ArtifactsInput!$M$10,CHOOSE(ArtifactsInput!$N$10+1,15,18,21,24,27,30)*(IF(Inputs!$B$38="pvp",MIN(15,15)/15,IF(AND(Inputs!$B$38&lt;&gt;"pvp",Inputs!$B$43&gt;0),MIN(15,Inputs!$B$43)/(Inputs!$B$43),0))),0)))&gt;=100),MIN(100,((Inputs!$B$9+((C1976=TRUE)*(F1976-Calc!F19))+B1988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1995)&lt;=0,1,MAX(0,IF(Inputs!$B$38="pvp",15,Inputs!$B$43)-MAX(5,B1995))/(IF(Inputs!$B$38="pvp",15,Inputs!$B$43)-(B1995))))*IF(AND(ArtifactsInput!$M$42,((Inputs!$B$9+((C1976=TRUE)*(F1976-Calc!F19))+B1988+(ArtifactsInput!$M$24-ArtifactsInput!$M$24)*CHOOSE(ArtifactsInput!$N$24+1,10,12,14,16,18,20)+IF(ArtifactsInput!$M$10,CHOOSE(ArtifactsInput!$N$10+1,15,18,21,24,27,30)*(IF(Inputs!$B$38="pvp",MIN(15,15)/15,IF(AND(Inputs!$B$38&lt;&gt;"pvp",Inputs!$B$43&gt;0),MIN(15,Inputs!$B$43)/(Inputs!$B$43),0))),0)))&gt;=100),CHOOSE(ArtifactsInput!$N$42+1,40,48,56,64,72,80),0))))/100)*((1+(((C1974=TRUE)*F1974*5/7)+((C1981=TRUE)*(F1981-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1959)</f>
        <v/>
      </c>
      <c r="L1959">
        <f>K1959*(MIN(Inputs!$B$22+((C1979=TRUE)*(F1979-Calc!F22)),(Inputs!$B$23+0+(IF(ArtifactsInput!$M$15,CHOOSE(ArtifactsInput!$N$15+1,25,30,35,40,45,50)/100*(Inputs!$B$11-Inputs!$B$11),0))))/100+(Inputs!$B$23+0+(IF(ArtifactsInput!$M$15,CHOOSE(ArtifactsInput!$N$15+1,25,30,35,40,45,50)/100*(Inputs!$B$11-Inputs!$B$11),0)))/100)/2</f>
        <v/>
      </c>
      <c r="M1959">
        <f>L1959*(1+(Inputs!$B$10+((C1982=TRUE)*(F1982-Calc!F25))+B1993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59">
        <f>L1959*(1-MIN((Inputs!$B$9+((C1976=TRUE)*(F1976-Calc!F19))+B1988+(ArtifactsInput!$M$24-ArtifactsInput!$M$24)*CHOOSE(ArtifactsInput!$N$24+1,10,12,14,16,18,20)+(IF(AND(Inputs!$B$38&lt;&gt;"pvp",Inputs!$B$43=0),1,IF(IF(Inputs!$B$38="pvp",15,Inputs!$B$43)-(B1995)&lt;=0,1,MAX(0,IF(Inputs!$B$38="pvp",15,Inputs!$B$43)-MAX(5,B1995))/(IF(Inputs!$B$38="pvp",15,Inputs!$B$43)-(B1995))))*IF(AND(ArtifactsInput!$M$42,((Inputs!$B$9+((C1976=TRUE)*(F1976-Calc!F19))+B1988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1959*(MIN((Inputs!$B$9+((C1976=TRUE)*(F1976-Calc!F19))+B1988+(ArtifactsInput!$M$24-ArtifactsInput!$M$24)*CHOOSE(ArtifactsInput!$N$24+1,10,12,14,16,18,20)+(IF(AND(Inputs!$B$38&lt;&gt;"pvp",Inputs!$B$43=0),1,IF(IF(Inputs!$B$38="pvp",15,Inputs!$B$43)-(B1995)&lt;=0,1,MAX(0,IF(Inputs!$B$38="pvp",15,Inputs!$B$43)-MAX(5,B1995))/(IF(Inputs!$B$38="pvp",15,Inputs!$B$43)-(B1995))))*IF(AND(ArtifactsInput!$M$42,((Inputs!$B$9+((C1976=TRUE)*(F1976-Calc!F19))+B1988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59">
        <f>(1-Summary!$B$11)*T1959+Summary!$B$11*V1959</f>
        <v/>
      </c>
      <c r="P1959">
        <f>IF(B1998=0,0,O1959/B1998)</f>
        <v/>
      </c>
      <c r="Q1959" t="n">
        <v>0</v>
      </c>
      <c r="R1959" t="n">
        <v>0</v>
      </c>
      <c r="S1959">
        <f>IFERROR(O1959/N1959,0)</f>
        <v/>
      </c>
      <c r="T1959">
        <f>IF(C1959,(Skills!G2*N1959*B1992*(1+IF(C1984=TRUE,1/3,0)))*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Hunt"),CHOOSE(ArtifactsInput!$N$35+1,15,18,21,24,27,30)*(1-EXP(-(0.2*B1990)*5)),0)+IF(AND(IF(ArtifactsInput!$M$22,FALSE,TRUE),Inputs!$B$4&lt;&gt;"Chapter Hunt"),CHOOSE(ArtifactsInput!$N$22+1,10,12,14,16,18,20)*((0*(((0.15*B1990*5))^0/1)+1*(((0.15*B1990*5))^1/1)+2*(((0.15*B1990*5))^2/2)+3*(((0.15*B1990*5))^3/6)+4*(((0.15*B1990*5))^4/24)+5*(((0.15*B1990*5))^5/120))/((((0.15*B1990*5))^0/1)+(((0.15*B1990*5))^1/1)+(((0.15*B1990*5))^2/2)+(((0.15*B1990*5))^3/6)+(((0.15*B1990*5))^4/24)+(((0.15*B1990*5))^5/120))),0))+IF(Inputs!$B$3&gt;=54,9*(C1960=TRUE)*MIN(1,8*(1+Inputs!$B$34/100)*Q1960)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1959*(1-MIN(100,(Inputs!$B$9+((C1976=TRUE)*(F1976-Calc!F19))+B1988+(ArtifactsInput!$M$24-ArtifactsInput!$M$24)*CHOOSE(ArtifactsInput!$N$24+1,10,12,14,16,18,20)+(IF(AND(Inputs!$B$38&lt;&gt;"pvp",Inputs!$B$43=0),1,IF(IF(Inputs!$B$38="pvp",15,Inputs!$B$43)-(B1995)&lt;=0,1,MAX(0,IF(Inputs!$B$38="pvp",15,Inputs!$B$43)-MAX(5,B1995))/(IF(Inputs!$B$38="pvp",15,Inputs!$B$43)-(B1995))))*IF(AND(ArtifactsInput!$M$42,((Inputs!$B$9+((C1976=TRUE)*(F1976-Calc!F19))+B1988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1959*(MIN(100,(Inputs!$B$9+((C1976=TRUE)*(F1976-Calc!F19))+B1988+(ArtifactsInput!$M$24-ArtifactsInput!$M$24)*CHOOSE(ArtifactsInput!$N$24+1,10,12,14,16,18,20)+(IF(AND(Inputs!$B$38&lt;&gt;"pvp",Inputs!$B$43=0),1,IF(IF(Inputs!$B$38="pvp",15,Inputs!$B$43)-(B1995)&lt;=0,1,MAX(0,IF(Inputs!$B$38="pvp",15,Inputs!$B$43)-MAX(5,B1995))/(IF(Inputs!$B$38="pvp",15,Inputs!$B$43)-(B1995))))*IF(AND(ArtifactsInput!$M$42,((Inputs!$B$9+((C1976=TRUE)*(F1976-Calc!F19))+B1988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1959*(1-MIN(100,(Inputs!$B$9+((C1976=TRUE)*(F1976-Calc!F19))+B1988+(ArtifactsInput!$M$24-ArtifactsInput!$M$24)*CHOOSE(ArtifactsInput!$N$24+1,10,12,14,16,18,20)+(IF(AND(Inputs!$B$38&lt;&gt;"pvp",Inputs!$B$43=0),1,IF(IF(Inputs!$B$38="pvp",15,Inputs!$B$43)-(B1995)&lt;=0,1,MAX(0,IF(Inputs!$B$38="pvp",15,Inputs!$B$43)-MAX(5,B1995))/(IF(Inputs!$B$38="pvp",15,Inputs!$B$43)-(B1995))))*IF(AND(ArtifactsInput!$M$42,((Inputs!$B$9+((C1976=TRUE)*(F1976-Calc!F19))+B1988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1959*(MIN(100,(Inputs!$B$9+((C1976=TRUE)*(F1976-Calc!F19))+B1988+(ArtifactsInput!$M$24-ArtifactsInput!$M$24)*CHOOSE(ArtifactsInput!$N$24+1,10,12,14,16,18,20)+(IF(AND(Inputs!$B$38&lt;&gt;"pvp",Inputs!$B$43=0),1,IF(IF(Inputs!$B$38="pvp",15,Inputs!$B$43)-(B1995)&lt;=0,1,MAX(0,IF(Inputs!$B$38="pvp",15,Inputs!$B$43)-MAX(5,B1995))/(IF(Inputs!$B$38="pvp",15,Inputs!$B$43)-(B1995))))*IF(AND(ArtifactsInput!$M$42,((Inputs!$B$9+((C1976=TRUE)*(F1976-Calc!F19))+B1988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959">
        <f>MAX(0,(Inputs!$B$3-100)*3)+Inputs!$B$28+Inputs!$B$29</f>
        <v/>
      </c>
      <c r="V1959">
        <f>IF(C1959,(Skills!G2*N1959*B1992*(1+IF(C1984=TRUE,1/3,0)))*IF(Inputs!$B$38="pvp",1,(1+(Inputs!$B$21+Skills!Q2+(IF(ArtifactsInput!$M$33,CHOOSE(ArtifactsInput!$N$33+1,30,36,42,48,54,60),0))+(IF(AND(ArtifactsInput!$M$35,Inputs!$B$4&lt;&gt;"Chapter Hunt"),CHOOSE(ArtifactsInput!$N$35+1,15,18,21,24,27,30)*(1-EXP(-(0.2*B1990)*5)),0)+IF(AND(IF(ArtifactsInput!$M$22,FALSE,TRUE),Inputs!$B$4&lt;&gt;"Chapter Hunt"),CHOOSE(ArtifactsInput!$N$22+1,10,12,14,16,18,20)*((0*(((0.15*B1990*5))^0/1)+1*(((0.15*B1990*5))^1/1)+2*(((0.15*B1990*5))^2/2)+3*(((0.15*B1990*5))^3/6)+4*(((0.15*B1990*5))^4/24)+5*(((0.15*B1990*5))^5/120))/((((0.15*B1990*5))^0/1)+(((0.15*B1990*5))^1/1)+(((0.15*B1990*5))^2/2)+(((0.15*B1990*5))^3/6)+(((0.15*B1990*5))^4/24)+(((0.15*B1990*5))^5/120))),0))+IF(Inputs!$B$3&gt;=54,9*(C1960=TRUE)*MIN(1,8*(1+Inputs!$B$34/100)*Q1960)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60">
      <c r="A1960">
        <f>Skills!A3</f>
        <v/>
      </c>
      <c r="B1960">
        <f>Skills!B3</f>
        <v/>
      </c>
      <c r="C1960">
        <f>Inputs!$B$3&gt;=33</f>
        <v/>
      </c>
      <c r="D1960">
        <f>IF(Skills!C3=1,60+Inputs!$B$25+Inputs!$B$29,IF(Skills!C3=2,90+Inputs!$B$26+Inputs!$B$29,IF(Skills!C3=3,120+Inputs!$B$27+Inputs!$B$29,MAX(0,(Inputs!$B$3-100)*3)+Inputs!$B$28+Inputs!$B$29)))</f>
        <v/>
      </c>
      <c r="E1960">
        <f>INDEX(FactorTable!$B$2:$Y$301, MATCH(ROUND(MIN(300,MAX(1,D1960)),0), FactorTable!$A$2:$A$301,0), Skills!M3+1)</f>
        <v/>
      </c>
      <c r="F1960">
        <f>IF(Skills!N3=TRUE,(Skills!L3/10)*(E1960/1000),Skills!L3/10)+Skills!O3</f>
        <v/>
      </c>
      <c r="G1960">
        <f>Skills!G3*IF(Skills!H3&gt;0,INT(IF(Inputs!$B$38="pvp",MIN(Skills!I3,15),Skills!I3)/Skills!H3+0.000000001),1)</f>
        <v/>
      </c>
      <c r="H1960">
        <f>1-(1-Skills!J3/100)^Skills!K3</f>
        <v/>
      </c>
      <c r="I1960" t="inlineStr">
        <is>
          <t>1</t>
        </is>
      </c>
      <c r="J1960">
        <f>((Inputs!$B$6*(1+Inputs!$B$7/100))+(((Inputs!$B$12*(1+Inputs!$B$13/100))-(Inputs!$B$12*(1+Inputs!$B$13/100)))+0.25*(Inputs!$B$14-Inputs!$B$14))*(1+Inputs!$B$7/100))*(F1960/100)</f>
        <v/>
      </c>
      <c r="K1960">
        <f>J1960*(1+((Inputs!$B$12*(1+Inputs!$B$13/100))*0.01+Inputs!$B$14*0.0025)/100)*(1+Inputs!$B$15/100)*(1+Inputs!$B$16/100)*(5000/(6000+Inputs!$B$42*(1-(100*(1-(1-(Inputs!$B$19+0)/100)*(1-CHOOSE(ArtifactsInput!$N$40+1,5,6,7,8,9,10)/100)^(ArtifactsInput!$M$40-ArtifactsInput!$M$40)))/100)))*(1+(Inputs!$B$24+((C1983=TRUE)*(F1983-Calc!F26))+B1994)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1972=TRUE,F1972,0)/100)*(1+(IF(Skills!A3="EIGHT_LEGS_EASTON",Inputs!$B$17+((C1980=TRUE)*(F1980-Calc!F23))+((C1984=TRUE)*(F1984-Calc!F27))+((IF(AND(Inputs!$B$38&lt;&gt;"pvp",Inputs!$B$43=0),1,IF(IF(Inputs!$B$38="pvp",15,Inputs!$B$43)-(B1995)&lt;=0,1,MAX(0,IF(Inputs!$B$38="pvp",15,Inputs!$B$43)-MAX(5,B1995))/(IF(Inputs!$B$38="pvp",15,Inputs!$B$43)-(B1995))))*(IF(AND(ArtifactsInput!$M$42,((Inputs!$B$9+((C1976=TRUE)*(F1976-Calc!F19))+B1988+(ArtifactsInput!$M$24-ArtifactsInput!$M$24)*CHOOSE(ArtifactsInput!$N$24+1,10,12,14,16,18,20)+IF(ArtifactsInput!$M$10,CHOOSE(ArtifactsInput!$N$10+1,15,18,21,24,27,30)*(IF(Inputs!$B$38="pvp",MIN(15,15)/15,IF(AND(Inputs!$B$38&lt;&gt;"pvp",Inputs!$B$43&gt;0),MIN(15,Inputs!$B$43)/(Inputs!$B$43),0))),0)))&gt;=100),MIN(100,((Inputs!$B$9+((C1976=TRUE)*(F1976-Calc!F19))+B1988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1995)&lt;=0,1,MAX(0,IF(Inputs!$B$38="pvp",15,Inputs!$B$43)-MAX(5,B1995))/(IF(Inputs!$B$38="pvp",15,Inputs!$B$43)-(B1995))))*IF(AND(ArtifactsInput!$M$42,((Inputs!$B$9+((C1976=TRUE)*(F1976-Calc!F19))+B1988+(ArtifactsInput!$M$24-ArtifactsInput!$M$24)*CHOOSE(ArtifactsInput!$N$24+1,10,12,14,16,18,20)+IF(ArtifactsInput!$M$10,CHOOSE(ArtifactsInput!$N$10+1,15,18,21,24,27,30)*(IF(Inputs!$B$38="pvp",MIN(15,15)/15,IF(AND(Inputs!$B$38&lt;&gt;"pvp",Inputs!$B$43&gt;0),MIN(15,Inputs!$B$43)/(Inputs!$B$43),0))),0)))&gt;=100),CHOOSE(ArtifactsInput!$N$42+1,40,48,56,64,72,80),0))))/100)*((1+(((C1974=TRUE)*F1974*5/7)+((C1981=TRUE)*(F1981-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1960)</f>
        <v/>
      </c>
      <c r="L1960">
        <f>K1960*(MIN(Inputs!$B$22+((C1979=TRUE)*(F1979-Calc!F22)),(Inputs!$B$23+0+(IF(ArtifactsInput!$M$15,CHOOSE(ArtifactsInput!$N$15+1,25,30,35,40,45,50)/100*(Inputs!$B$11-Inputs!$B$11),0))))/100+(Inputs!$B$23+0+(IF(ArtifactsInput!$M$15,CHOOSE(ArtifactsInput!$N$15+1,25,30,35,40,45,50)/100*(Inputs!$B$11-Inputs!$B$11),0)))/100)/2</f>
        <v/>
      </c>
      <c r="M1960">
        <f>L1960*(1+(Inputs!$B$10+((C1982=TRUE)*(F1982-Calc!F25))+B1993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60">
        <f>L1960*(1-MIN((Inputs!$B$9+((C1976=TRUE)*(F1976-Calc!F19))+B1988+(ArtifactsInput!$M$24-ArtifactsInput!$M$24)*CHOOSE(ArtifactsInput!$N$24+1,10,12,14,16,18,20)+(IF(AND(Inputs!$B$38&lt;&gt;"pvp",Inputs!$B$43=0),1,IF(IF(Inputs!$B$38="pvp",15,Inputs!$B$43)-(B1995)&lt;=0,1,MAX(0,IF(Inputs!$B$38="pvp",15,Inputs!$B$43)-MAX(5,B1995))/(IF(Inputs!$B$38="pvp",15,Inputs!$B$43)-(B1995))))*IF(AND(ArtifactsInput!$M$42,((Inputs!$B$9+((C1976=TRUE)*(F1976-Calc!F19))+B1988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1960*(MIN((Inputs!$B$9+((C1976=TRUE)*(F1976-Calc!F19))+B1988+(ArtifactsInput!$M$24-ArtifactsInput!$M$24)*CHOOSE(ArtifactsInput!$N$24+1,10,12,14,16,18,20)+(IF(AND(Inputs!$B$38&lt;&gt;"pvp",Inputs!$B$43=0),1,IF(IF(Inputs!$B$38="pvp",15,Inputs!$B$43)-(B1995)&lt;=0,1,MAX(0,IF(Inputs!$B$38="pvp",15,Inputs!$B$43)-MAX(5,B1995))/(IF(Inputs!$B$38="pvp",15,Inputs!$B$43)-(B1995))))*IF(AND(ArtifactsInput!$M$42,((Inputs!$B$9+((C1976=TRUE)*(F1976-Calc!F19))+B1988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60">
        <f>(1-Summary!$B$11)*T1960+Summary!$B$11*V1960</f>
        <v/>
      </c>
      <c r="P1960">
        <f>IF(B1998=0,0,O1960/B1998)</f>
        <v/>
      </c>
      <c r="Q1960">
        <f>IFERROR(1/(IF(Inputs!$B$38="pvp",15,MAX(0.1,Skills!D3-IF(TRUE=TRUE,Inputs!$B$32,0)))*(1-IF(AND(ArtifactsInput!$M$27,Inputs!$B$4="Chapter Hunt"),CHOOSE(ArtifactsInput!$N$27+1,20,24,28,32,36,40),0)/100)),0)</f>
        <v/>
      </c>
      <c r="R1960">
        <f>IF(AND(Inputs!$B$38&lt;&gt;"pvp",Inputs!$B$43&gt;0),IF(MAX(0,Inputs!$B$43-B1995)&lt;=0,0,(INT(MAX(0,Inputs!$B$43-B1995)/(IF(Inputs!$B$38="pvp",15,MAX(0.1,Skills!D3-IF(TRUE=TRUE,Inputs!$B$32,0)))*(1-IF(AND(ArtifactsInput!$M$27,Inputs!$B$4="Chapter Hunt"),CHOOSE(ArtifactsInput!$N$27+1,20,24,28,32,36,40),0)/100)))+1)),0)</f>
        <v/>
      </c>
      <c r="S1960">
        <f>IFERROR(O1960/N1960,0)</f>
        <v/>
      </c>
      <c r="T1960">
        <f>IF(C1960,(H1960*N1960*IF(AND(Inputs!$B$38&lt;&gt;"pvp",Inputs!$B$43&gt;0),((Skills!G3*((R1960-1)*IF(Skills!H3&gt;0,INT(Skills!I3/Skills!H3+0.000000001),1)+IF(Skills!H3&gt;0,INT(MIN(Skills!I3,MAX(0,MAX(0,Inputs!$B$43-B1995)-((R1960-1)*(IF(Inputs!$B$38="pvp",15,MAX(0.1,Skills!D3-IF(TRUE=TRUE,Inputs!$B$32,0)))*(1-IF(AND(ArtifactsInput!$M$27,Inputs!$B$4="Chapter Hunt"),CHOOSE(ArtifactsInput!$N$27+1,20,24,28,32,36,40),0)/100)))))/Skills!H3+0.000000001),1)))/Inputs!$B$43),G1960*Q1960))*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Hunt"),CHOOSE(ArtifactsInput!$N$35+1,15,18,21,24,27,30)*(1-EXP(-(0.2*B1990)*5)),0)+IF(AND(IF(ArtifactsInput!$M$22,FALSE,TRUE),Inputs!$B$4&lt;&gt;"Chapter Hunt"),CHOOSE(ArtifactsInput!$N$22+1,10,12,14,16,18,20)*((0*(((0.15*B1990*5))^0/1)+1*(((0.15*B1990*5))^1/1)+2*(((0.15*B1990*5))^2/2)+3*(((0.15*B1990*5))^3/6)+4*(((0.15*B1990*5))^4/24)+5*(((0.15*B1990*5))^5/120))/((((0.15*B1990*5))^0/1)+(((0.15*B1990*5))^1/1)+(((0.15*B1990*5))^2/2)+(((0.15*B1990*5))^3/6)+(((0.15*B1990*5))^4/24)+(((0.15*B1990*5))^5/120))),0))+IF(Inputs!$B$3&gt;=54,9*(C1960=TRUE)*MIN(1,8*(1+Inputs!$B$34/100)*Q1960)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1960*(1-MIN(100,(Inputs!$B$9+((C1976=TRUE)*(F1976-Calc!F19))+B1988+(ArtifactsInput!$M$24-ArtifactsInput!$M$24)*CHOOSE(ArtifactsInput!$N$24+1,10,12,14,16,18,20)+(IF(AND(Inputs!$B$38&lt;&gt;"pvp",Inputs!$B$43=0),1,IF(IF(Inputs!$B$38="pvp",15,Inputs!$B$43)-(B1995)&lt;=0,1,MAX(0,IF(Inputs!$B$38="pvp",15,Inputs!$B$43)-MAX(5,B1995))/(IF(Inputs!$B$38="pvp",15,Inputs!$B$43)-(B1995))))*IF(AND(ArtifactsInput!$M$42,((Inputs!$B$9+((C1976=TRUE)*(F1976-Calc!F19))+B1988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1960*(MIN(100,(Inputs!$B$9+((C1976=TRUE)*(F1976-Calc!F19))+B1988+(ArtifactsInput!$M$24-ArtifactsInput!$M$24)*CHOOSE(ArtifactsInput!$N$24+1,10,12,14,16,18,20)+(IF(AND(Inputs!$B$38&lt;&gt;"pvp",Inputs!$B$43=0),1,IF(IF(Inputs!$B$38="pvp",15,Inputs!$B$43)-(B1995)&lt;=0,1,MAX(0,IF(Inputs!$B$38="pvp",15,Inputs!$B$43)-MAX(5,B1995))/(IF(Inputs!$B$38="pvp",15,Inputs!$B$43)-(B1995))))*IF(AND(ArtifactsInput!$M$42,((Inputs!$B$9+((C1976=TRUE)*(F1976-Calc!F19))+B1988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1960*(1-MIN(100,(Inputs!$B$9+((C1976=TRUE)*(F1976-Calc!F19))+B1988+(ArtifactsInput!$M$24-ArtifactsInput!$M$24)*CHOOSE(ArtifactsInput!$N$24+1,10,12,14,16,18,20)+(IF(AND(Inputs!$B$38&lt;&gt;"pvp",Inputs!$B$43=0),1,IF(IF(Inputs!$B$38="pvp",15,Inputs!$B$43)-(B1995)&lt;=0,1,MAX(0,IF(Inputs!$B$38="pvp",15,Inputs!$B$43)-MAX(5,B1995))/(IF(Inputs!$B$38="pvp",15,Inputs!$B$43)-(B1995))))*IF(AND(ArtifactsInput!$M$42,((Inputs!$B$9+((C1976=TRUE)*(F1976-Calc!F19))+B1988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1960*(MIN(100,(Inputs!$B$9+((C1976=TRUE)*(F1976-Calc!F19))+B1988+(ArtifactsInput!$M$24-ArtifactsInput!$M$24)*CHOOSE(ArtifactsInput!$N$24+1,10,12,14,16,18,20)+(IF(AND(Inputs!$B$38&lt;&gt;"pvp",Inputs!$B$43=0),1,IF(IF(Inputs!$B$38="pvp",15,Inputs!$B$43)-(B1995)&lt;=0,1,MAX(0,IF(Inputs!$B$38="pvp",15,Inputs!$B$43)-MAX(5,B1995))/(IF(Inputs!$B$38="pvp",15,Inputs!$B$43)-(B1995))))*IF(AND(ArtifactsInput!$M$42,((Inputs!$B$9+((C1976=TRUE)*(F1976-Calc!F19))+B1988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960">
        <f>INDEX(FactorTable!$B$2:$Y$301, MATCH(ROUND(MIN(300,MAX(1,U1959)),0), FactorTable!$A$2:$A$301,0), 22)</f>
        <v/>
      </c>
      <c r="V1960">
        <f>IF(C1960,(H1960*N1960*IF(AND(Inputs!$B$38&lt;&gt;"pvp",Inputs!$B$43&gt;0),((Skills!G3*((R1960-1)*IF(Skills!H3&gt;0,INT(Skills!I3/Skills!H3+0.000000001),1)+IF(Skills!H3&gt;0,INT(MIN(Skills!I3,MAX(0,MAX(0,Inputs!$B$43-B1995)-((R1960-1)*(IF(Inputs!$B$38="pvp",15,MAX(0.1,Skills!D3-IF(TRUE=TRUE,Inputs!$B$32,0)))*(1-IF(AND(ArtifactsInput!$M$27,Inputs!$B$4="Chapter Hunt"),CHOOSE(ArtifactsInput!$N$27+1,20,24,28,32,36,40),0)/100)))))/Skills!H3+0.000000001),1)))/Inputs!$B$43),G1960*Q1960))*IF(Inputs!$B$38="pvp",1,(1+(Inputs!$B$21+Skills!Q3+(IF(ArtifactsInput!$M$33,CHOOSE(ArtifactsInput!$N$33+1,30,36,42,48,54,60),0))+(IF(AND(ArtifactsInput!$M$35,Inputs!$B$4&lt;&gt;"Chapter Hunt"),CHOOSE(ArtifactsInput!$N$35+1,15,18,21,24,27,30)*(1-EXP(-(0.2*B1990)*5)),0)+IF(AND(IF(ArtifactsInput!$M$22,FALSE,TRUE),Inputs!$B$4&lt;&gt;"Chapter Hunt"),CHOOSE(ArtifactsInput!$N$22+1,10,12,14,16,18,20)*((0*(((0.15*B1990*5))^0/1)+1*(((0.15*B1990*5))^1/1)+2*(((0.15*B1990*5))^2/2)+3*(((0.15*B1990*5))^3/6)+4*(((0.15*B1990*5))^4/24)+5*(((0.15*B1990*5))^5/120))/((((0.15*B1990*5))^0/1)+(((0.15*B1990*5))^1/1)+(((0.15*B1990*5))^2/2)+(((0.15*B1990*5))^3/6)+(((0.15*B1990*5))^4/24)+(((0.15*B1990*5))^5/120))),0))+IF(Inputs!$B$3&gt;=54,9*(C1960=TRUE)*MIN(1,8*(1+Inputs!$B$34/100)*Q1960)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61">
      <c r="A1961">
        <f>Skills!A4</f>
        <v/>
      </c>
      <c r="B1961">
        <f>Skills!B4</f>
        <v/>
      </c>
      <c r="C1961">
        <f>Inputs!$B$3&gt;=35</f>
        <v/>
      </c>
      <c r="D1961">
        <f>IF(Skills!C4=1,60+Inputs!$B$25+Inputs!$B$29,IF(Skills!C4=2,90+Inputs!$B$26+Inputs!$B$29,IF(Skills!C4=3,120+Inputs!$B$27+Inputs!$B$29,MAX(0,(Inputs!$B$3-100)*3)+Inputs!$B$28+Inputs!$B$29)))</f>
        <v/>
      </c>
      <c r="E1961">
        <f>INDEX(FactorTable!$B$2:$Y$301, MATCH(ROUND(MIN(300,MAX(1,D1961)),0), FactorTable!$A$2:$A$301,0), Skills!M4+1)</f>
        <v/>
      </c>
      <c r="F1961">
        <f>IF(Skills!N4=TRUE,(Skills!L4/10)*(E1961/1000),Skills!L4/10)+Skills!O4</f>
        <v/>
      </c>
      <c r="G1961">
        <f>Skills!G4*IF(Skills!H4&gt;0,INT(IF(Inputs!$B$38="pvp",MIN(IF(Inputs!$B$3&gt;=104,MIN(35,20*(1+Inputs!$B$34/100)),20),15),IF(Inputs!$B$3&gt;=104,MIN(35,20*(1+Inputs!$B$34/100)),20))/Skills!H4+0.000000001),1)</f>
        <v/>
      </c>
      <c r="H1961">
        <f>1-(1-Skills!J4/100)^Skills!K4</f>
        <v/>
      </c>
      <c r="I1961" t="inlineStr">
        <is>
          <t>1</t>
        </is>
      </c>
      <c r="J1961">
        <f>((Inputs!$B$6*(1+Inputs!$B$7/100))+(((Inputs!$B$12*(1+Inputs!$B$13/100))-(Inputs!$B$12*(1+Inputs!$B$13/100)))+0.25*(Inputs!$B$14-Inputs!$B$14))*(1+Inputs!$B$7/100))*(F1961/100)</f>
        <v/>
      </c>
      <c r="K1961">
        <f>J1961*(1+((Inputs!$B$12*(1+Inputs!$B$13/100))*0.01+Inputs!$B$14*0.0025)/100)*(1+Inputs!$B$15/100)*(1+Inputs!$B$16/100)*(5000/(6000+Inputs!$B$42*(1-(100*(1-(1-(Inputs!$B$19+0)/100)*(1-CHOOSE(ArtifactsInput!$N$40+1,5,6,7,8,9,10)/100)^(ArtifactsInput!$M$40-ArtifactsInput!$M$40)))/100)))*(1+(Inputs!$B$24+((C1983=TRUE)*(F1983-Calc!F26))+B1994)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1973=TRUE,F1973,0)/100)*(1+(IF(Skills!A4="EIGHT_LEGS_EASTON",Inputs!$B$17+((C1980=TRUE)*(F1980-Calc!F23))+((C1984=TRUE)*(F1984-Calc!F27))+((IF(AND(Inputs!$B$38&lt;&gt;"pvp",Inputs!$B$43=0),1,IF(IF(Inputs!$B$38="pvp",15,Inputs!$B$43)-(B1995)&lt;=0,1,MAX(0,IF(Inputs!$B$38="pvp",15,Inputs!$B$43)-MAX(5,B1995))/(IF(Inputs!$B$38="pvp",15,Inputs!$B$43)-(B1995))))*(IF(AND(ArtifactsInput!$M$42,((Inputs!$B$9+((C1976=TRUE)*(F1976-Calc!F19))+B1988+(ArtifactsInput!$M$24-ArtifactsInput!$M$24)*CHOOSE(ArtifactsInput!$N$24+1,10,12,14,16,18,20)+IF(ArtifactsInput!$M$10,CHOOSE(ArtifactsInput!$N$10+1,15,18,21,24,27,30)*(IF(Inputs!$B$38="pvp",MIN(15,15)/15,IF(AND(Inputs!$B$38&lt;&gt;"pvp",Inputs!$B$43&gt;0),MIN(15,Inputs!$B$43)/(Inputs!$B$43),0))),0)))&gt;=100),MIN(100,((Inputs!$B$9+((C1976=TRUE)*(F1976-Calc!F19))+B1988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1995)&lt;=0,1,MAX(0,IF(Inputs!$B$38="pvp",15,Inputs!$B$43)-MAX(5,B1995))/(IF(Inputs!$B$38="pvp",15,Inputs!$B$43)-(B1995))))*IF(AND(ArtifactsInput!$M$42,((Inputs!$B$9+((C1976=TRUE)*(F1976-Calc!F19))+B1988+(ArtifactsInput!$M$24-ArtifactsInput!$M$24)*CHOOSE(ArtifactsInput!$N$24+1,10,12,14,16,18,20)+IF(ArtifactsInput!$M$10,CHOOSE(ArtifactsInput!$N$10+1,15,18,21,24,27,30)*(IF(Inputs!$B$38="pvp",MIN(15,15)/15,IF(AND(Inputs!$B$38&lt;&gt;"pvp",Inputs!$B$43&gt;0),MIN(15,Inputs!$B$43)/(Inputs!$B$43),0))),0)))&gt;=100),CHOOSE(ArtifactsInput!$N$42+1,40,48,56,64,72,80),0))))/100)*((1+(((C1974=TRUE)*F1974*5/7)+((C1981=TRUE)*(F1981-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1961)</f>
        <v/>
      </c>
      <c r="L1961">
        <f>K1961*(MIN(Inputs!$B$22+((C1979=TRUE)*(F1979-Calc!F22)),(Inputs!$B$23+0+(IF(ArtifactsInput!$M$15,CHOOSE(ArtifactsInput!$N$15+1,25,30,35,40,45,50)/100*(Inputs!$B$11-Inputs!$B$11),0))))/100+(Inputs!$B$23+0+(IF(ArtifactsInput!$M$15,CHOOSE(ArtifactsInput!$N$15+1,25,30,35,40,45,50)/100*(Inputs!$B$11-Inputs!$B$11),0)))/100)/2</f>
        <v/>
      </c>
      <c r="M1961">
        <f>L1961*(1+(Inputs!$B$10+((C1982=TRUE)*(F1982-Calc!F25))+B1993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61">
        <f>L1961*(1-MIN((Inputs!$B$9+((C1976=TRUE)*(F1976-Calc!F19))+B1988+(ArtifactsInput!$M$24-ArtifactsInput!$M$24)*CHOOSE(ArtifactsInput!$N$24+1,10,12,14,16,18,20)+(IF(AND(Inputs!$B$38&lt;&gt;"pvp",Inputs!$B$43=0),1,IF(IF(Inputs!$B$38="pvp",15,Inputs!$B$43)-(B1995)&lt;=0,1,MAX(0,IF(Inputs!$B$38="pvp",15,Inputs!$B$43)-MAX(5,B1995))/(IF(Inputs!$B$38="pvp",15,Inputs!$B$43)-(B1995))))*IF(AND(ArtifactsInput!$M$42,((Inputs!$B$9+((C1976=TRUE)*(F1976-Calc!F19))+B1988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1961*(MIN((Inputs!$B$9+((C1976=TRUE)*(F1976-Calc!F19))+B1988+(ArtifactsInput!$M$24-ArtifactsInput!$M$24)*CHOOSE(ArtifactsInput!$N$24+1,10,12,14,16,18,20)+(IF(AND(Inputs!$B$38&lt;&gt;"pvp",Inputs!$B$43=0),1,IF(IF(Inputs!$B$38="pvp",15,Inputs!$B$43)-(B1995)&lt;=0,1,MAX(0,IF(Inputs!$B$38="pvp",15,Inputs!$B$43)-MAX(5,B1995))/(IF(Inputs!$B$38="pvp",15,Inputs!$B$43)-(B1995))))*IF(AND(ArtifactsInput!$M$42,((Inputs!$B$9+((C1976=TRUE)*(F1976-Calc!F19))+B1988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61">
        <f>(1-Summary!$B$11)*T1961+Summary!$B$11*V1961</f>
        <v/>
      </c>
      <c r="P1961">
        <f>IF(B1998=0,0,O1961/B1998)</f>
        <v/>
      </c>
      <c r="Q1961">
        <f>IFERROR(1/(IF(Inputs!$B$38="pvp",15,MAX(0.1,Skills!D4-IF(TRUE=TRUE,Inputs!$B$32,0)))*(1-IF(AND(ArtifactsInput!$M$27,Inputs!$B$4="Chapter Hunt"),CHOOSE(ArtifactsInput!$N$27+1,20,24,28,32,36,40),0)/100)),0)</f>
        <v/>
      </c>
      <c r="R1961">
        <f>IF(AND(Inputs!$B$38&lt;&gt;"pvp",Inputs!$B$43&gt;0),IF(MAX(0,Inputs!$B$43-B1995)&lt;=0,0,(INT(MAX(0,Inputs!$B$43-B1995)/(IF(Inputs!$B$38="pvp",15,MAX(0.1,Skills!D4-IF(TRUE=TRUE,Inputs!$B$32,0)))*(1-IF(AND(ArtifactsInput!$M$27,Inputs!$B$4="Chapter Hunt"),CHOOSE(ArtifactsInput!$N$27+1,20,24,28,32,36,40),0)/100)))+1)),0)</f>
        <v/>
      </c>
      <c r="S1961">
        <f>IFERROR(O1961/N1961,0)</f>
        <v/>
      </c>
      <c r="T1961">
        <f>IF(C1961,(H1961*N1961*IF(AND(Inputs!$B$38&lt;&gt;"pvp",Inputs!$B$43&gt;0),((Skills!G4*((R1961-1)*IF(Skills!H4&gt;0,INT(IF(Inputs!$B$3&gt;=104,MIN(35,20*(1+Inputs!$B$34/100)),20)/Skills!H4+0.000000001),1)+IF(Skills!H4&gt;0,INT(MIN(IF(Inputs!$B$3&gt;=104,MIN(35,20*(1+Inputs!$B$34/100)),20),MAX(0,MAX(0,Inputs!$B$43-B1995)-((R1961-1)*(IF(Inputs!$B$38="pvp",15,MAX(0.1,Skills!D4-IF(TRUE=TRUE,Inputs!$B$32,0)))*(1-IF(AND(ArtifactsInput!$M$27,Inputs!$B$4="Chapter Hunt"),CHOOSE(ArtifactsInput!$N$27+1,20,24,28,32,36,40),0)/100)))))/Skills!H4+0.000000001),1)))/Inputs!$B$43),G1961*Q1961))*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Hunt"),CHOOSE(ArtifactsInput!$N$35+1,15,18,21,24,27,30)*(1-EXP(-(0.2*B1990)*5)),0)+IF(AND(IF(ArtifactsInput!$M$22,FALSE,TRUE),Inputs!$B$4&lt;&gt;"Chapter Hunt"),CHOOSE(ArtifactsInput!$N$22+1,10,12,14,16,18,20)*((0*(((0.15*B1990*5))^0/1)+1*(((0.15*B1990*5))^1/1)+2*(((0.15*B1990*5))^2/2)+3*(((0.15*B1990*5))^3/6)+4*(((0.15*B1990*5))^4/24)+5*(((0.15*B1990*5))^5/120))/((((0.15*B1990*5))^0/1)+(((0.15*B1990*5))^1/1)+(((0.15*B1990*5))^2/2)+(((0.15*B1990*5))^3/6)+(((0.15*B1990*5))^4/24)+(((0.15*B1990*5))^5/120))),0))+IF(Inputs!$B$3&gt;=54,9*(C1960=TRUE)*MIN(1,8*(1+Inputs!$B$34/100)*Q1960)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1961*(1-MIN(100,(Inputs!$B$9+((C1976=TRUE)*(F1976-Calc!F19))+B1988+(ArtifactsInput!$M$24-ArtifactsInput!$M$24)*CHOOSE(ArtifactsInput!$N$24+1,10,12,14,16,18,20)+(IF(AND(Inputs!$B$38&lt;&gt;"pvp",Inputs!$B$43=0),1,IF(IF(Inputs!$B$38="pvp",15,Inputs!$B$43)-(B1995)&lt;=0,1,MAX(0,IF(Inputs!$B$38="pvp",15,Inputs!$B$43)-MAX(5,B1995))/(IF(Inputs!$B$38="pvp",15,Inputs!$B$43)-(B1995))))*IF(AND(ArtifactsInput!$M$42,((Inputs!$B$9+((C1976=TRUE)*(F1976-Calc!F19))+B1988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1961*(MIN(100,(Inputs!$B$9+((C1976=TRUE)*(F1976-Calc!F19))+B1988+(ArtifactsInput!$M$24-ArtifactsInput!$M$24)*CHOOSE(ArtifactsInput!$N$24+1,10,12,14,16,18,20)+(IF(AND(Inputs!$B$38&lt;&gt;"pvp",Inputs!$B$43=0),1,IF(IF(Inputs!$B$38="pvp",15,Inputs!$B$43)-(B1995)&lt;=0,1,MAX(0,IF(Inputs!$B$38="pvp",15,Inputs!$B$43)-MAX(5,B1995))/(IF(Inputs!$B$38="pvp",15,Inputs!$B$43)-(B1995))))*IF(AND(ArtifactsInput!$M$42,((Inputs!$B$9+((C1976=TRUE)*(F1976-Calc!F19))+B1988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1961*(1-MIN(100,(Inputs!$B$9+((C1976=TRUE)*(F1976-Calc!F19))+B1988+(ArtifactsInput!$M$24-ArtifactsInput!$M$24)*CHOOSE(ArtifactsInput!$N$24+1,10,12,14,16,18,20)+(IF(AND(Inputs!$B$38&lt;&gt;"pvp",Inputs!$B$43=0),1,IF(IF(Inputs!$B$38="pvp",15,Inputs!$B$43)-(B1995)&lt;=0,1,MAX(0,IF(Inputs!$B$38="pvp",15,Inputs!$B$43)-MAX(5,B1995))/(IF(Inputs!$B$38="pvp",15,Inputs!$B$43)-(B1995))))*IF(AND(ArtifactsInput!$M$42,((Inputs!$B$9+((C1976=TRUE)*(F1976-Calc!F19))+B1988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1961*(MIN(100,(Inputs!$B$9+((C1976=TRUE)*(F1976-Calc!F19))+B1988+(ArtifactsInput!$M$24-ArtifactsInput!$M$24)*CHOOSE(ArtifactsInput!$N$24+1,10,12,14,16,18,20)+(IF(AND(Inputs!$B$38&lt;&gt;"pvp",Inputs!$B$43=0),1,IF(IF(Inputs!$B$38="pvp",15,Inputs!$B$43)-(B1995)&lt;=0,1,MAX(0,IF(Inputs!$B$38="pvp",15,Inputs!$B$43)-MAX(5,B1995))/(IF(Inputs!$B$38="pvp",15,Inputs!$B$43)-(B1995))))*IF(AND(ArtifactsInput!$M$42,((Inputs!$B$9+((C1976=TRUE)*(F1976-Calc!F19))+B1988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961">
        <f>290*U1960/1000</f>
        <v/>
      </c>
      <c r="V1961">
        <f>IF(C1961,(H1961*N1961*IF(AND(Inputs!$B$38&lt;&gt;"pvp",Inputs!$B$43&gt;0),((Skills!G4*((R1961-1)*IF(Skills!H4&gt;0,INT(IF(Inputs!$B$3&gt;=104,MIN(35,20*(1+Inputs!$B$34/100)),20)/Skills!H4+0.000000001),1)+IF(Skills!H4&gt;0,INT(MIN(IF(Inputs!$B$3&gt;=104,MIN(35,20*(1+Inputs!$B$34/100)),20),MAX(0,MAX(0,Inputs!$B$43-B1995)-((R1961-1)*(IF(Inputs!$B$38="pvp",15,MAX(0.1,Skills!D4-IF(TRUE=TRUE,Inputs!$B$32,0)))*(1-IF(AND(ArtifactsInput!$M$27,Inputs!$B$4="Chapter Hunt"),CHOOSE(ArtifactsInput!$N$27+1,20,24,28,32,36,40),0)/100)))))/Skills!H4+0.000000001),1)))/Inputs!$B$43),G1961*Q1961))*IF(Inputs!$B$38="pvp",1,(1+(Inputs!$B$21+Skills!Q4+(IF(ArtifactsInput!$M$33,CHOOSE(ArtifactsInput!$N$33+1,30,36,42,48,54,60),0))+(IF(AND(ArtifactsInput!$M$35,Inputs!$B$4&lt;&gt;"Chapter Hunt"),CHOOSE(ArtifactsInput!$N$35+1,15,18,21,24,27,30)*(1-EXP(-(0.2*B1990)*5)),0)+IF(AND(IF(ArtifactsInput!$M$22,FALSE,TRUE),Inputs!$B$4&lt;&gt;"Chapter Hunt"),CHOOSE(ArtifactsInput!$N$22+1,10,12,14,16,18,20)*((0*(((0.15*B1990*5))^0/1)+1*(((0.15*B1990*5))^1/1)+2*(((0.15*B1990*5))^2/2)+3*(((0.15*B1990*5))^3/6)+4*(((0.15*B1990*5))^4/24)+5*(((0.15*B1990*5))^5/120))/((((0.15*B1990*5))^0/1)+(((0.15*B1990*5))^1/1)+(((0.15*B1990*5))^2/2)+(((0.15*B1990*5))^3/6)+(((0.15*B1990*5))^4/24)+(((0.15*B1990*5))^5/120))),0))+IF(Inputs!$B$3&gt;=54,9*(C1960=TRUE)*MIN(1,8*(1+Inputs!$B$34/100)*Q1960),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62">
      <c r="A1962">
        <f>Skills!A5</f>
        <v/>
      </c>
      <c r="B1962">
        <f>Skills!B5</f>
        <v/>
      </c>
      <c r="C1962">
        <f>Inputs!$B$3&gt;=69</f>
        <v/>
      </c>
      <c r="D1962">
        <f>IF(Skills!C5=1,60+Inputs!$B$25+Inputs!$B$29,IF(Skills!C5=2,90+Inputs!$B$26+Inputs!$B$29,IF(Skills!C5=3,120+Inputs!$B$27+Inputs!$B$29,MAX(0,(Inputs!$B$3-100)*3)+Inputs!$B$28+Inputs!$B$29)))</f>
        <v/>
      </c>
      <c r="E1962">
        <f>INDEX(FactorTable!$B$2:$Y$301, MATCH(ROUND(MIN(300,MAX(1,D1962)),0), FactorTable!$A$2:$A$301,0), Skills!M5+1)</f>
        <v/>
      </c>
      <c r="F1962">
        <f>IF(Skills!N5=TRUE,(Skills!L5/10)*(E1962/1000),Skills!L5/10)+Skills!O5</f>
        <v/>
      </c>
      <c r="G1962">
        <f>Skills!G5*IF(Skills!H5&gt;0,INT(IF(Inputs!$B$38="pvp",MIN(IF(Inputs!$B$3&gt;=104,MIN(35,20*(1+Inputs!$B$34/100)),20),15),IF(Inputs!$B$3&gt;=104,MIN(35,20*(1+Inputs!$B$34/100)),20))/Skills!H5+0.000000001),1)</f>
        <v/>
      </c>
      <c r="H1962">
        <f>1-(1-Skills!J5/100)^Skills!K5</f>
        <v/>
      </c>
      <c r="I1962" t="inlineStr">
        <is>
          <t>1</t>
        </is>
      </c>
      <c r="J1962">
        <f>((Inputs!$B$6*(1+Inputs!$B$7/100))+(((Inputs!$B$12*(1+Inputs!$B$13/100))-(Inputs!$B$12*(1+Inputs!$B$13/100)))+0.25*(Inputs!$B$14-Inputs!$B$14))*(1+Inputs!$B$7/100))*(F1962/100)</f>
        <v/>
      </c>
      <c r="K1962">
        <f>J1962*(1+((Inputs!$B$12*(1+Inputs!$B$13/100))*0.01+Inputs!$B$14*0.0025)/100)*(1+Inputs!$B$15/100)*(1+Inputs!$B$16/100)*(5000/(6000+Inputs!$B$42*(1-(100*(1-(1-(Inputs!$B$19+0)/100)*(1-CHOOSE(ArtifactsInput!$N$40+1,5,6,7,8,9,10)/100)^(ArtifactsInput!$M$40-ArtifactsInput!$M$40)))/100)))*(1+(Inputs!$B$24+((C1983=TRUE)*(F1983-Calc!F26))+B1994)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+0.4*IF(C1973=TRUE,F1973,0)/100)*(1+(IF(Skills!A5="EIGHT_LEGS_EASTON",Inputs!$B$17+((C1980=TRUE)*(F1980-Calc!F23))+((C1984=TRUE)*(F1984-Calc!F27))+((IF(AND(Inputs!$B$38&lt;&gt;"pvp",Inputs!$B$43=0),1,IF(IF(Inputs!$B$38="pvp",15,Inputs!$B$43)-(B1995)&lt;=0,1,MAX(0,IF(Inputs!$B$38="pvp",15,Inputs!$B$43)-MAX(5,B1995))/(IF(Inputs!$B$38="pvp",15,Inputs!$B$43)-(B1995))))*(IF(AND(ArtifactsInput!$M$42,((Inputs!$B$9+((C1976=TRUE)*(F1976-Calc!F19))+B1988+(ArtifactsInput!$M$24-ArtifactsInput!$M$24)*CHOOSE(ArtifactsInput!$N$24+1,10,12,14,16,18,20)+IF(ArtifactsInput!$M$10,CHOOSE(ArtifactsInput!$N$10+1,15,18,21,24,27,30)*(IF(Inputs!$B$38="pvp",MIN(15,15)/15,IF(AND(Inputs!$B$38&lt;&gt;"pvp",Inputs!$B$43&gt;0),MIN(15,Inputs!$B$43)/(Inputs!$B$43),0))),0)))&gt;=100),MIN(100,((Inputs!$B$9+((C1976=TRUE)*(F1976-Calc!F19))+B1988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1995)&lt;=0,1,MAX(0,IF(Inputs!$B$38="pvp",15,Inputs!$B$43)-MAX(5,B1995))/(IF(Inputs!$B$38="pvp",15,Inputs!$B$43)-(B1995))))*IF(AND(ArtifactsInput!$M$42,((Inputs!$B$9+((C1976=TRUE)*(F1976-Calc!F19))+B1988+(ArtifactsInput!$M$24-ArtifactsInput!$M$24)*CHOOSE(ArtifactsInput!$N$24+1,10,12,14,16,18,20)+IF(ArtifactsInput!$M$10,CHOOSE(ArtifactsInput!$N$10+1,15,18,21,24,27,30)*(IF(Inputs!$B$38="pvp",MIN(15,15)/15,IF(AND(Inputs!$B$38&lt;&gt;"pvp",Inputs!$B$43&gt;0),MIN(15,Inputs!$B$43)/(Inputs!$B$43),0))),0)))&gt;=100),CHOOSE(ArtifactsInput!$N$42+1,40,48,56,64,72,80),0))))/100)*((1+(((C1974=TRUE)*F1974*5/7)+((C1981=TRUE)*(F1981-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1962)</f>
        <v/>
      </c>
      <c r="L1962">
        <f>K1962*(MIN(Inputs!$B$22+((C1979=TRUE)*(F1979-Calc!F22)),(Inputs!$B$23+0+(IF(ArtifactsInput!$M$15,CHOOSE(ArtifactsInput!$N$15+1,25,30,35,40,45,50)/100*(Inputs!$B$11-Inputs!$B$11),0))))/100+(Inputs!$B$23+0+(IF(ArtifactsInput!$M$15,CHOOSE(ArtifactsInput!$N$15+1,25,30,35,40,45,50)/100*(Inputs!$B$11-Inputs!$B$11),0)))/100)/2</f>
        <v/>
      </c>
      <c r="M1962">
        <f>L1962*(1+(Inputs!$B$10+((C1982=TRUE)*(F1982-Calc!F25))+B1993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62">
        <f>L1962*(1-MIN((Inputs!$B$9+((C1976=TRUE)*(F1976-Calc!F19))+B1988+(ArtifactsInput!$M$24-ArtifactsInput!$M$24)*CHOOSE(ArtifactsInput!$N$24+1,10,12,14,16,18,20)+(IF(AND(Inputs!$B$38&lt;&gt;"pvp",Inputs!$B$43=0),1,IF(IF(Inputs!$B$38="pvp",15,Inputs!$B$43)-(B1995)&lt;=0,1,MAX(0,IF(Inputs!$B$38="pvp",15,Inputs!$B$43)-MAX(5,B1995))/(IF(Inputs!$B$38="pvp",15,Inputs!$B$43)-(B1995))))*IF(AND(ArtifactsInput!$M$42,((Inputs!$B$9+((C1976=TRUE)*(F1976-Calc!F19))+B1988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1962*(MIN((Inputs!$B$9+((C1976=TRUE)*(F1976-Calc!F19))+B1988+(ArtifactsInput!$M$24-ArtifactsInput!$M$24)*CHOOSE(ArtifactsInput!$N$24+1,10,12,14,16,18,20)+(IF(AND(Inputs!$B$38&lt;&gt;"pvp",Inputs!$B$43=0),1,IF(IF(Inputs!$B$38="pvp",15,Inputs!$B$43)-(B1995)&lt;=0,1,MAX(0,IF(Inputs!$B$38="pvp",15,Inputs!$B$43)-MAX(5,B1995))/(IF(Inputs!$B$38="pvp",15,Inputs!$B$43)-(B1995))))*IF(AND(ArtifactsInput!$M$42,((Inputs!$B$9+((C1976=TRUE)*(F1976-Calc!F19))+B1988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62">
        <f>(1-Summary!$B$11)*T1962+Summary!$B$11*V1962</f>
        <v/>
      </c>
      <c r="P1962">
        <f>IF(B1998=0,0,O1962/B1998)</f>
        <v/>
      </c>
      <c r="Q1962">
        <f>IFERROR(1/(IF(Inputs!$B$38="pvp",15,MAX(0.1,Skills!D5-IF(TRUE=TRUE,Inputs!$B$32,0)))*(1-IF(AND(ArtifactsInput!$M$27,Inputs!$B$4="Chapter Hunt"),CHOOSE(ArtifactsInput!$N$27+1,20,24,28,32,36,40),0)/100)),0)</f>
        <v/>
      </c>
      <c r="R1962">
        <f>IF(AND(Inputs!$B$38&lt;&gt;"pvp",Inputs!$B$43&gt;0),IF(MAX(0,Inputs!$B$43-B1995)&lt;=0,0,(INT(MAX(0,Inputs!$B$43-B1995)/(IF(Inputs!$B$38="pvp",15,MAX(0.1,Skills!D5-IF(TRUE=TRUE,Inputs!$B$32,0)))*(1-IF(AND(ArtifactsInput!$M$27,Inputs!$B$4="Chapter Hunt"),CHOOSE(ArtifactsInput!$N$27+1,20,24,28,32,36,40),0)/100)))+1)),0)</f>
        <v/>
      </c>
      <c r="S1962">
        <f>IFERROR(O1962/N1962,0)</f>
        <v/>
      </c>
      <c r="T1962">
        <f>IF(C1962,(H1962*N1962*IF(AND(Inputs!$B$38&lt;&gt;"pvp",Inputs!$B$43&gt;0),((Skills!G5*((R1962-1)*IF(Skills!H5&gt;0,INT(IF(Inputs!$B$3&gt;=104,MIN(35,20*(1+Inputs!$B$34/100)),20)/Skills!H5+0.000000001),1)+IF(Skills!H5&gt;0,INT(MIN(IF(Inputs!$B$3&gt;=104,MIN(35,20*(1+Inputs!$B$34/100)),20),MAX(0,MAX(0,Inputs!$B$43-B1995)-((R1962-1)*(IF(Inputs!$B$38="pvp",15,MAX(0.1,Skills!D5-IF(TRUE=TRUE,Inputs!$B$32,0)))*(1-IF(AND(ArtifactsInput!$M$27,Inputs!$B$4="Chapter Hunt"),CHOOSE(ArtifactsInput!$N$27+1,20,24,28,32,36,40),0)/100)))))/Skills!H5+0.000000001),1)))/Inputs!$B$43),G1962*Q1962))*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Hunt"),CHOOSE(ArtifactsInput!$N$35+1,15,18,21,24,27,30)*(1-EXP(-(0.2*B1990)*5)),0)+IF(AND(IF(ArtifactsInput!$M$22,FALSE,TRUE),Inputs!$B$4&lt;&gt;"Chapter Hunt"),CHOOSE(ArtifactsInput!$N$22+1,10,12,14,16,18,20)*((0*(((0.15*B1990*5))^0/1)+1*(((0.15*B1990*5))^1/1)+2*(((0.15*B1990*5))^2/2)+3*(((0.15*B1990*5))^3/6)+4*(((0.15*B1990*5))^4/24)+5*(((0.15*B1990*5))^5/120))/((((0.15*B1990*5))^0/1)+(((0.15*B1990*5))^1/1)+(((0.15*B1990*5))^2/2)+(((0.15*B1990*5))^3/6)+(((0.15*B1990*5))^4/24)+(((0.15*B1990*5))^5/120))),0))+IF(Inputs!$B$3&gt;=54,9*(C1960=TRUE)*MIN(1,8*(1+Inputs!$B$34/100)*Q1960)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1962*(1-MIN(100,(Inputs!$B$9+((C1976=TRUE)*(F1976-Calc!F19))+B1988+(ArtifactsInput!$M$24-ArtifactsInput!$M$24)*CHOOSE(ArtifactsInput!$N$24+1,10,12,14,16,18,20)+(IF(AND(Inputs!$B$38&lt;&gt;"pvp",Inputs!$B$43=0),1,IF(IF(Inputs!$B$38="pvp",15,Inputs!$B$43)-(B1995)&lt;=0,1,MAX(0,IF(Inputs!$B$38="pvp",15,Inputs!$B$43)-MAX(5,B1995))/(IF(Inputs!$B$38="pvp",15,Inputs!$B$43)-(B1995))))*IF(AND(ArtifactsInput!$M$42,((Inputs!$B$9+((C1976=TRUE)*(F1976-Calc!F19))+B1988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1962*(MIN(100,(Inputs!$B$9+((C1976=TRUE)*(F1976-Calc!F19))+B1988+(ArtifactsInput!$M$24-ArtifactsInput!$M$24)*CHOOSE(ArtifactsInput!$N$24+1,10,12,14,16,18,20)+(IF(AND(Inputs!$B$38&lt;&gt;"pvp",Inputs!$B$43=0),1,IF(IF(Inputs!$B$38="pvp",15,Inputs!$B$43)-(B1995)&lt;=0,1,MAX(0,IF(Inputs!$B$38="pvp",15,Inputs!$B$43)-MAX(5,B1995))/(IF(Inputs!$B$38="pvp",15,Inputs!$B$43)-(B1995))))*IF(AND(ArtifactsInput!$M$42,((Inputs!$B$9+((C1976=TRUE)*(F1976-Calc!F19))+B1988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1962*(1-MIN(100,(Inputs!$B$9+((C1976=TRUE)*(F1976-Calc!F19))+B1988+(ArtifactsInput!$M$24-ArtifactsInput!$M$24)*CHOOSE(ArtifactsInput!$N$24+1,10,12,14,16,18,20)+(IF(AND(Inputs!$B$38&lt;&gt;"pvp",Inputs!$B$43=0),1,IF(IF(Inputs!$B$38="pvp",15,Inputs!$B$43)-(B1995)&lt;=0,1,MAX(0,IF(Inputs!$B$38="pvp",15,Inputs!$B$43)-MAX(5,B1995))/(IF(Inputs!$B$38="pvp",15,Inputs!$B$43)-(B1995))))*IF(AND(ArtifactsInput!$M$42,((Inputs!$B$9+((C1976=TRUE)*(F1976-Calc!F19))+B1988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1962*(MIN(100,(Inputs!$B$9+((C1976=TRUE)*(F1976-Calc!F19))+B1988+(ArtifactsInput!$M$24-ArtifactsInput!$M$24)*CHOOSE(ArtifactsInput!$N$24+1,10,12,14,16,18,20)+(IF(AND(Inputs!$B$38&lt;&gt;"pvp",Inputs!$B$43=0),1,IF(IF(Inputs!$B$38="pvp",15,Inputs!$B$43)-(B1995)&lt;=0,1,MAX(0,IF(Inputs!$B$38="pvp",15,Inputs!$B$43)-MAX(5,B1995))/(IF(Inputs!$B$38="pvp",15,Inputs!$B$43)-(B1995))))*IF(AND(ArtifactsInput!$M$42,((Inputs!$B$9+((C1976=TRUE)*(F1976-Calc!F19))+B1988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962">
        <f>IF(C1962,(H1962*N1962*IF(AND(Inputs!$B$38&lt;&gt;"pvp",Inputs!$B$43&gt;0),((Skills!G5*((R1962-1)*IF(Skills!H5&gt;0,INT(IF(Inputs!$B$3&gt;=104,MIN(35,20*(1+Inputs!$B$34/100)),20)/Skills!H5+0.000000001),1)+IF(Skills!H5&gt;0,INT(MIN(IF(Inputs!$B$3&gt;=104,MIN(35,20*(1+Inputs!$B$34/100)),20),MAX(0,MAX(0,Inputs!$B$43-B1995)-((R1962-1)*(IF(Inputs!$B$38="pvp",15,MAX(0.1,Skills!D5-IF(TRUE=TRUE,Inputs!$B$32,0)))*(1-IF(AND(ArtifactsInput!$M$27,Inputs!$B$4="Chapter Hunt"),CHOOSE(ArtifactsInput!$N$27+1,20,24,28,32,36,40),0)/100)))))/Skills!H5+0.000000001),1)))/Inputs!$B$43),G1962*Q1962))*IF(Inputs!$B$38="pvp",1,(1+(Inputs!$B$21+Skills!Q5+(IF(ArtifactsInput!$M$33,CHOOSE(ArtifactsInput!$N$33+1,30,36,42,48,54,60),0))+(IF(AND(ArtifactsInput!$M$35,Inputs!$B$4&lt;&gt;"Chapter Hunt"),CHOOSE(ArtifactsInput!$N$35+1,15,18,21,24,27,30)*(1-EXP(-(0.2*B1990)*5)),0)+IF(AND(IF(ArtifactsInput!$M$22,FALSE,TRUE),Inputs!$B$4&lt;&gt;"Chapter Hunt"),CHOOSE(ArtifactsInput!$N$22+1,10,12,14,16,18,20)*((0*(((0.15*B1990*5))^0/1)+1*(((0.15*B1990*5))^1/1)+2*(((0.15*B1990*5))^2/2)+3*(((0.15*B1990*5))^3/6)+4*(((0.15*B1990*5))^4/24)+5*(((0.15*B1990*5))^5/120))/((((0.15*B1990*5))^0/1)+(((0.15*B1990*5))^1/1)+(((0.15*B1990*5))^2/2)+(((0.15*B1990*5))^3/6)+(((0.15*B1990*5))^4/24)+(((0.15*B1990*5))^5/120))),0))+IF(Inputs!$B$3&gt;=54,9*(C1960=TRUE)*MIN(1,8*(1+Inputs!$B$34/100)*Q1960)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63">
      <c r="A1963">
        <f>Skills!A6</f>
        <v/>
      </c>
      <c r="B1963">
        <f>Skills!B6</f>
        <v/>
      </c>
      <c r="C1963">
        <f>Inputs!$B$3&gt;=66</f>
        <v/>
      </c>
      <c r="D1963">
        <f>IF(Skills!C6=1,60+Inputs!$B$25+Inputs!$B$29,IF(Skills!C6=2,90+Inputs!$B$26+Inputs!$B$29,IF(Skills!C6=3,120+Inputs!$B$27+Inputs!$B$29,MAX(0,(Inputs!$B$3-100)*3)+Inputs!$B$28+Inputs!$B$29)))</f>
        <v/>
      </c>
      <c r="E1963">
        <f>INDEX(FactorTable!$B$2:$Y$301, MATCH(ROUND(MIN(300,MAX(1,D1963)),0), FactorTable!$A$2:$A$301,0), Skills!M6+1)</f>
        <v/>
      </c>
      <c r="F1963">
        <f>IF(Skills!N6=TRUE,(Skills!L6/10)*(E1963/1000),Skills!L6/10)+Skills!O6</f>
        <v/>
      </c>
      <c r="G1963">
        <f>Skills!G6*IF(Skills!H6&gt;0,INT(IF(Inputs!$B$38="pvp",MIN(Skills!I6,15),Skills!I6)/Skills!H6+0.000000001),1)</f>
        <v/>
      </c>
      <c r="H1963">
        <f>1-(1-Skills!J6/100)^Skills!K6</f>
        <v/>
      </c>
      <c r="I1963" t="inlineStr">
        <is>
          <t>1</t>
        </is>
      </c>
      <c r="J1963">
        <f>((Inputs!$B$6*(1+Inputs!$B$7/100))+(((Inputs!$B$12*(1+Inputs!$B$13/100))-(Inputs!$B$12*(1+Inputs!$B$13/100)))+0.25*(Inputs!$B$14-Inputs!$B$14))*(1+Inputs!$B$7/100))*(F1963/100)</f>
        <v/>
      </c>
      <c r="K1963">
        <f>J1963*(1+((Inputs!$B$12*(1+Inputs!$B$13/100))*0.01+Inputs!$B$14*0.0025)/100)*(1+Inputs!$B$15/100)*(1+Inputs!$B$16/100)*(5000/(6000+Inputs!$B$42*(1-(100*(1-(1-(Inputs!$B$19+0)/100)*(1-CHOOSE(ArtifactsInput!$N$40+1,5,6,7,8,9,10)/100)^(ArtifactsInput!$M$40-ArtifactsInput!$M$40)))/100)))*(1+(Inputs!$B$24+((C1983=TRUE)*(F1983-Calc!F26))+B1994)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+2.0*IF(C1972=TRUE,F1972,0)/100)*(1+(IF(Skills!A6="EIGHT_LEGS_EASTON",Inputs!$B$17+((C1980=TRUE)*(F1980-Calc!F23))+((C1984=TRUE)*(F1984-Calc!F27))+((IF(AND(Inputs!$B$38&lt;&gt;"pvp",Inputs!$B$43=0),1,IF(IF(Inputs!$B$38="pvp",15,Inputs!$B$43)-(B1995)&lt;=0,1,MAX(0,IF(Inputs!$B$38="pvp",15,Inputs!$B$43)-MAX(5,B1995))/(IF(Inputs!$B$38="pvp",15,Inputs!$B$43)-(B1995))))*(IF(AND(ArtifactsInput!$M$42,((Inputs!$B$9+((C1976=TRUE)*(F1976-Calc!F19))+B1988+(ArtifactsInput!$M$24-ArtifactsInput!$M$24)*CHOOSE(ArtifactsInput!$N$24+1,10,12,14,16,18,20)+IF(ArtifactsInput!$M$10,CHOOSE(ArtifactsInput!$N$10+1,15,18,21,24,27,30)*(IF(Inputs!$B$38="pvp",MIN(15,15)/15,IF(AND(Inputs!$B$38&lt;&gt;"pvp",Inputs!$B$43&gt;0),MIN(15,Inputs!$B$43)/(Inputs!$B$43),0))),0)))&gt;=100),MIN(100,((Inputs!$B$9+((C1976=TRUE)*(F1976-Calc!F19))+B1988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1995)&lt;=0,1,MAX(0,IF(Inputs!$B$38="pvp",15,Inputs!$B$43)-MAX(5,B1995))/(IF(Inputs!$B$38="pvp",15,Inputs!$B$43)-(B1995))))*IF(AND(ArtifactsInput!$M$42,((Inputs!$B$9+((C1976=TRUE)*(F1976-Calc!F19))+B1988+(ArtifactsInput!$M$24-ArtifactsInput!$M$24)*CHOOSE(ArtifactsInput!$N$24+1,10,12,14,16,18,20)+IF(ArtifactsInput!$M$10,CHOOSE(ArtifactsInput!$N$10+1,15,18,21,24,27,30)*(IF(Inputs!$B$38="pvp",MIN(15,15)/15,IF(AND(Inputs!$B$38&lt;&gt;"pvp",Inputs!$B$43&gt;0),MIN(15,Inputs!$B$43)/(Inputs!$B$43),0))),0)))&gt;=100),CHOOSE(ArtifactsInput!$N$42+1,40,48,56,64,72,80),0))))/100)*((1+(((C1974=TRUE)*F1974*5/7)+((C1981=TRUE)*(F1981-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1963)</f>
        <v/>
      </c>
      <c r="L1963">
        <f>K1963*(MIN(Inputs!$B$22+((C1979=TRUE)*(F1979-Calc!F22)),(Inputs!$B$23+0+(IF(ArtifactsInput!$M$15,CHOOSE(ArtifactsInput!$N$15+1,25,30,35,40,45,50)/100*(Inputs!$B$11-Inputs!$B$11),0))))/100+(Inputs!$B$23+0+(IF(ArtifactsInput!$M$15,CHOOSE(ArtifactsInput!$N$15+1,25,30,35,40,45,50)/100*(Inputs!$B$11-Inputs!$B$11),0)))/100)/2</f>
        <v/>
      </c>
      <c r="M1963">
        <f>L1963*(1+(Inputs!$B$10+((C1982=TRUE)*(F1982-Calc!F25))+B1993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63">
        <f>L1963*(1-MIN((Inputs!$B$9+((C1976=TRUE)*(F1976-Calc!F19))+B1988+(ArtifactsInput!$M$24-ArtifactsInput!$M$24)*CHOOSE(ArtifactsInput!$N$24+1,10,12,14,16,18,20)+(IF(AND(Inputs!$B$38&lt;&gt;"pvp",Inputs!$B$43=0),1,IF(IF(Inputs!$B$38="pvp",15,Inputs!$B$43)-(B1995)&lt;=0,1,MAX(0,IF(Inputs!$B$38="pvp",15,Inputs!$B$43)-MAX(5,B1995))/(IF(Inputs!$B$38="pvp",15,Inputs!$B$43)-(B1995))))*IF(AND(ArtifactsInput!$M$42,((Inputs!$B$9+((C1976=TRUE)*(F1976-Calc!F19))+B1988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1963*(MIN((Inputs!$B$9+((C1976=TRUE)*(F1976-Calc!F19))+B1988+(ArtifactsInput!$M$24-ArtifactsInput!$M$24)*CHOOSE(ArtifactsInput!$N$24+1,10,12,14,16,18,20)+(IF(AND(Inputs!$B$38&lt;&gt;"pvp",Inputs!$B$43=0),1,IF(IF(Inputs!$B$38="pvp",15,Inputs!$B$43)-(B1995)&lt;=0,1,MAX(0,IF(Inputs!$B$38="pvp",15,Inputs!$B$43)-MAX(5,B1995))/(IF(Inputs!$B$38="pvp",15,Inputs!$B$43)-(B1995))))*IF(AND(ArtifactsInput!$M$42,((Inputs!$B$9+((C1976=TRUE)*(F1976-Calc!F19))+B1988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63">
        <f>(1-Summary!$B$11)*T1963+Summary!$B$11*V1963</f>
        <v/>
      </c>
      <c r="P1963">
        <f>IF(B1998=0,0,O1963/B1998)</f>
        <v/>
      </c>
      <c r="Q1963">
        <f>IFERROR(1/(IF(Inputs!$B$38="pvp",15,MAX(0.1,Skills!D6-IF(TRUE=TRUE,Inputs!$B$32,0)))*(1-IF(AND(ArtifactsInput!$M$27,Inputs!$B$4="Chapter Hunt"),CHOOSE(ArtifactsInput!$N$27+1,20,24,28,32,36,40),0)/100)),0)</f>
        <v/>
      </c>
      <c r="R1963">
        <f>IF(AND(Inputs!$B$38&lt;&gt;"pvp",Inputs!$B$43&gt;0),IF(MAX(0,Inputs!$B$43-B1995)&lt;=0,0,(INT(MAX(0,Inputs!$B$43-B1995)/(IF(Inputs!$B$38="pvp",15,MAX(0.1,Skills!D6-IF(TRUE=TRUE,Inputs!$B$32,0)))*(1-IF(AND(ArtifactsInput!$M$27,Inputs!$B$4="Chapter Hunt"),CHOOSE(ArtifactsInput!$N$27+1,20,24,28,32,36,40),0)/100)))+1)),0)</f>
        <v/>
      </c>
      <c r="S1963">
        <f>IFERROR(O1963/N1963,0)</f>
        <v/>
      </c>
      <c r="T1963">
        <f>IF(C1963,(H1963*N1963*IF(AND(Inputs!$B$38&lt;&gt;"pvp",Inputs!$B$43&gt;0),((Skills!G6*((R1963-1)*IF(Skills!H6&gt;0,INT(Skills!I6/Skills!H6+0.000000001),1)+IF(Skills!H6&gt;0,INT(MIN(Skills!I6,MAX(0,MAX(0,Inputs!$B$43-B1995)-((R1963-1)*(IF(Inputs!$B$38="pvp",15,MAX(0.1,Skills!D6-IF(TRUE=TRUE,Inputs!$B$32,0)))*(1-IF(AND(ArtifactsInput!$M$27,Inputs!$B$4="Chapter Hunt"),CHOOSE(ArtifactsInput!$N$27+1,20,24,28,32,36,40),0)/100)))))/Skills!H6+0.000000001),1)))/Inputs!$B$43),G1963*Q1963))*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Hunt"),CHOOSE(ArtifactsInput!$N$35+1,15,18,21,24,27,30)*(1-EXP(-(0.2*B1990)*5)),0)+IF(AND(IF(ArtifactsInput!$M$22,FALSE,TRUE),Inputs!$B$4&lt;&gt;"Chapter Hunt"),CHOOSE(ArtifactsInput!$N$22+1,10,12,14,16,18,20)*((0*(((0.15*B1990*5))^0/1)+1*(((0.15*B1990*5))^1/1)+2*(((0.15*B1990*5))^2/2)+3*(((0.15*B1990*5))^3/6)+4*(((0.15*B1990*5))^4/24)+5*(((0.15*B1990*5))^5/120))/((((0.15*B1990*5))^0/1)+(((0.15*B1990*5))^1/1)+(((0.15*B1990*5))^2/2)+(((0.15*B1990*5))^3/6)+(((0.15*B1990*5))^4/24)+(((0.15*B1990*5))^5/120))),0))+IF(Inputs!$B$3&gt;=54,9*(C1960=TRUE)*MIN(1,8*(1+Inputs!$B$34/100)*Q1960)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1963*(1-MIN(100,(Inputs!$B$9+((C1976=TRUE)*(F1976-Calc!F19))+B1988+(ArtifactsInput!$M$24-ArtifactsInput!$M$24)*CHOOSE(ArtifactsInput!$N$24+1,10,12,14,16,18,20)+(IF(AND(Inputs!$B$38&lt;&gt;"pvp",Inputs!$B$43=0),1,IF(IF(Inputs!$B$38="pvp",15,Inputs!$B$43)-(B1995)&lt;=0,1,MAX(0,IF(Inputs!$B$38="pvp",15,Inputs!$B$43)-MAX(5,B1995))/(IF(Inputs!$B$38="pvp",15,Inputs!$B$43)-(B1995))))*IF(AND(ArtifactsInput!$M$42,((Inputs!$B$9+((C1976=TRUE)*(F1976-Calc!F19))+B1988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1963*(MIN(100,(Inputs!$B$9+((C1976=TRUE)*(F1976-Calc!F19))+B1988+(ArtifactsInput!$M$24-ArtifactsInput!$M$24)*CHOOSE(ArtifactsInput!$N$24+1,10,12,14,16,18,20)+(IF(AND(Inputs!$B$38&lt;&gt;"pvp",Inputs!$B$43=0),1,IF(IF(Inputs!$B$38="pvp",15,Inputs!$B$43)-(B1995)&lt;=0,1,MAX(0,IF(Inputs!$B$38="pvp",15,Inputs!$B$43)-MAX(5,B1995))/(IF(Inputs!$B$38="pvp",15,Inputs!$B$43)-(B1995))))*IF(AND(ArtifactsInput!$M$42,((Inputs!$B$9+((C1976=TRUE)*(F1976-Calc!F19))+B1988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1963*(1-MIN(100,(Inputs!$B$9+((C1976=TRUE)*(F1976-Calc!F19))+B1988+(ArtifactsInput!$M$24-ArtifactsInput!$M$24)*CHOOSE(ArtifactsInput!$N$24+1,10,12,14,16,18,20)+(IF(AND(Inputs!$B$38&lt;&gt;"pvp",Inputs!$B$43=0),1,IF(IF(Inputs!$B$38="pvp",15,Inputs!$B$43)-(B1995)&lt;=0,1,MAX(0,IF(Inputs!$B$38="pvp",15,Inputs!$B$43)-MAX(5,B1995))/(IF(Inputs!$B$38="pvp",15,Inputs!$B$43)-(B1995))))*IF(AND(ArtifactsInput!$M$42,((Inputs!$B$9+((C1976=TRUE)*(F1976-Calc!F19))+B1988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1963*(MIN(100,(Inputs!$B$9+((C1976=TRUE)*(F1976-Calc!F19))+B1988+(ArtifactsInput!$M$24-ArtifactsInput!$M$24)*CHOOSE(ArtifactsInput!$N$24+1,10,12,14,16,18,20)+(IF(AND(Inputs!$B$38&lt;&gt;"pvp",Inputs!$B$43=0),1,IF(IF(Inputs!$B$38="pvp",15,Inputs!$B$43)-(B1995)&lt;=0,1,MAX(0,IF(Inputs!$B$38="pvp",15,Inputs!$B$43)-MAX(5,B1995))/(IF(Inputs!$B$38="pvp",15,Inputs!$B$43)-(B1995))))*IF(AND(ArtifactsInput!$M$42,((Inputs!$B$9+((C1976=TRUE)*(F1976-Calc!F19))+B1988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963">
        <f>IF(C1963,(H1963*N1963*IF(AND(Inputs!$B$38&lt;&gt;"pvp",Inputs!$B$43&gt;0),((Skills!G6*((R1963-1)*IF(Skills!H6&gt;0,INT(Skills!I6/Skills!H6+0.000000001),1)+IF(Skills!H6&gt;0,INT(MIN(Skills!I6,MAX(0,MAX(0,Inputs!$B$43-B1995)-((R1963-1)*(IF(Inputs!$B$38="pvp",15,MAX(0.1,Skills!D6-IF(TRUE=TRUE,Inputs!$B$32,0)))*(1-IF(AND(ArtifactsInput!$M$27,Inputs!$B$4="Chapter Hunt"),CHOOSE(ArtifactsInput!$N$27+1,20,24,28,32,36,40),0)/100)))))/Skills!H6+0.000000001),1)))/Inputs!$B$43),G1963*Q1963))*IF(Inputs!$B$38="pvp",1,(1+(Inputs!$B$21+Skills!Q6+(IF(ArtifactsInput!$M$33,CHOOSE(ArtifactsInput!$N$33+1,30,36,42,48,54,60),0))+(IF(AND(ArtifactsInput!$M$35,Inputs!$B$4&lt;&gt;"Chapter Hunt"),CHOOSE(ArtifactsInput!$N$35+1,15,18,21,24,27,30)*(1-EXP(-(0.2*B1990)*5)),0)+IF(AND(IF(ArtifactsInput!$M$22,FALSE,TRUE),Inputs!$B$4&lt;&gt;"Chapter Hunt"),CHOOSE(ArtifactsInput!$N$22+1,10,12,14,16,18,20)*((0*(((0.15*B1990*5))^0/1)+1*(((0.15*B1990*5))^1/1)+2*(((0.15*B1990*5))^2/2)+3*(((0.15*B1990*5))^3/6)+4*(((0.15*B1990*5))^4/24)+5*(((0.15*B1990*5))^5/120))/((((0.15*B1990*5))^0/1)+(((0.15*B1990*5))^1/1)+(((0.15*B1990*5))^2/2)+(((0.15*B1990*5))^3/6)+(((0.15*B1990*5))^4/24)+(((0.15*B1990*5))^5/120))),0))+IF(Inputs!$B$3&gt;=54,9*(C1960=TRUE)*MIN(1,8*(1+Inputs!$B$34/100)*Q1960)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64">
      <c r="A1964">
        <f>Skills!A7</f>
        <v/>
      </c>
      <c r="B1964">
        <f>Skills!B7</f>
        <v/>
      </c>
      <c r="C1964">
        <f>Inputs!$B$3&gt;=63</f>
        <v/>
      </c>
      <c r="D1964">
        <f>IF(Skills!C7=1,60+Inputs!$B$25+Inputs!$B$29,IF(Skills!C7=2,90+Inputs!$B$26+Inputs!$B$29,IF(Skills!C7=3,120+Inputs!$B$27+Inputs!$B$29,MAX(0,(Inputs!$B$3-100)*3)+Inputs!$B$28+Inputs!$B$29)))</f>
        <v/>
      </c>
      <c r="E1964">
        <f>INDEX(FactorTable!$B$2:$Y$301, MATCH(ROUND(MIN(300,MAX(1,D1964)),0), FactorTable!$A$2:$A$301,0), Skills!M7+1)</f>
        <v/>
      </c>
      <c r="F1964">
        <f>IF(Skills!N7=TRUE,(Skills!L7/10)*(E1964/1000),Skills!L7/10)+Skills!O7</f>
        <v/>
      </c>
      <c r="G1964">
        <f>Skills!G7*IF(Skills!H7&gt;0,INT(IF(Inputs!$B$38="pvp",MIN(Skills!I7,15),Skills!I7)/Skills!H7+0.000000001),1)</f>
        <v/>
      </c>
      <c r="H1964">
        <f>1-(1-Skills!J7/100)^Skills!K7</f>
        <v/>
      </c>
      <c r="I1964" t="inlineStr">
        <is>
          <t>1</t>
        </is>
      </c>
      <c r="J1964">
        <f>((Inputs!$B$6*(1+Inputs!$B$7/100))+(((Inputs!$B$12*(1+Inputs!$B$13/100))-(Inputs!$B$12*(1+Inputs!$B$13/100)))+0.25*(Inputs!$B$14-Inputs!$B$14))*(1+Inputs!$B$7/100))*(F1964/100)</f>
        <v/>
      </c>
      <c r="K1964">
        <f>J1964*(1+((Inputs!$B$12*(1+Inputs!$B$13/100))*0.01+Inputs!$B$14*0.0025)/100)*(1+Inputs!$B$15/100)*(1+Inputs!$B$16/100)*(5000/(6000+Inputs!$B$42*(1-(100*(1-(1-(Inputs!$B$19+0)/100)*(1-CHOOSE(ArtifactsInput!$N$40+1,5,6,7,8,9,10)/100)^(ArtifactsInput!$M$40-ArtifactsInput!$M$40)))/100)))*(1+(Inputs!$B$24+((C1983=TRUE)*(F1983-Calc!F26))+B1994)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1972=TRUE,F1972,0)/100)*(1+(IF(Skills!A7="EIGHT_LEGS_EASTON",Inputs!$B$17+((C1980=TRUE)*(F1980-Calc!F23))+((C1984=TRUE)*(F1984-Calc!F27))+((IF(AND(Inputs!$B$38&lt;&gt;"pvp",Inputs!$B$43=0),1,IF(IF(Inputs!$B$38="pvp",15,Inputs!$B$43)-(B1995)&lt;=0,1,MAX(0,IF(Inputs!$B$38="pvp",15,Inputs!$B$43)-MAX(5,B1995))/(IF(Inputs!$B$38="pvp",15,Inputs!$B$43)-(B1995))))*(IF(AND(ArtifactsInput!$M$42,((Inputs!$B$9+((C1976=TRUE)*(F1976-Calc!F19))+B1988+(ArtifactsInput!$M$24-ArtifactsInput!$M$24)*CHOOSE(ArtifactsInput!$N$24+1,10,12,14,16,18,20)+IF(ArtifactsInput!$M$10,CHOOSE(ArtifactsInput!$N$10+1,15,18,21,24,27,30)*(IF(Inputs!$B$38="pvp",MIN(15,15)/15,IF(AND(Inputs!$B$38&lt;&gt;"pvp",Inputs!$B$43&gt;0),MIN(15,Inputs!$B$43)/(Inputs!$B$43),0))),0)))&gt;=100),MIN(100,((Inputs!$B$9+((C1976=TRUE)*(F1976-Calc!F19))+B1988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1995)&lt;=0,1,MAX(0,IF(Inputs!$B$38="pvp",15,Inputs!$B$43)-MAX(5,B1995))/(IF(Inputs!$B$38="pvp",15,Inputs!$B$43)-(B1995))))*IF(AND(ArtifactsInput!$M$42,((Inputs!$B$9+((C1976=TRUE)*(F1976-Calc!F19))+B1988+(ArtifactsInput!$M$24-ArtifactsInput!$M$24)*CHOOSE(ArtifactsInput!$N$24+1,10,12,14,16,18,20)+IF(ArtifactsInput!$M$10,CHOOSE(ArtifactsInput!$N$10+1,15,18,21,24,27,30)*(IF(Inputs!$B$38="pvp",MIN(15,15)/15,IF(AND(Inputs!$B$38&lt;&gt;"pvp",Inputs!$B$43&gt;0),MIN(15,Inputs!$B$43)/(Inputs!$B$43),0))),0)))&gt;=100),CHOOSE(ArtifactsInput!$N$42+1,40,48,56,64,72,80),0))))/100)*((1+(((C1974=TRUE)*F1974*5/7)+((C1981=TRUE)*(F1981-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1964)</f>
        <v/>
      </c>
      <c r="L1964">
        <f>K1964*(MIN(Inputs!$B$22+((C1979=TRUE)*(F1979-Calc!F22)),(Inputs!$B$23+0+(IF(ArtifactsInput!$M$15,CHOOSE(ArtifactsInput!$N$15+1,25,30,35,40,45,50)/100*(Inputs!$B$11-Inputs!$B$11),0))))/100+(Inputs!$B$23+0+(IF(ArtifactsInput!$M$15,CHOOSE(ArtifactsInput!$N$15+1,25,30,35,40,45,50)/100*(Inputs!$B$11-Inputs!$B$11),0)))/100)/2</f>
        <v/>
      </c>
      <c r="M1964">
        <f>L1964*(1+(Inputs!$B$10+((C1982=TRUE)*(F1982-Calc!F25))+B1993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64">
        <f>L1964*(1-MIN((Inputs!$B$9+((C1976=TRUE)*(F1976-Calc!F19))+B1988+(ArtifactsInput!$M$24-ArtifactsInput!$M$24)*CHOOSE(ArtifactsInput!$N$24+1,10,12,14,16,18,20)+(IF(AND(Inputs!$B$38&lt;&gt;"pvp",Inputs!$B$43=0),1,IF(IF(Inputs!$B$38="pvp",15,Inputs!$B$43)-(B1995)&lt;=0,1,MAX(0,IF(Inputs!$B$38="pvp",15,Inputs!$B$43)-MAX(5,B1995))/(IF(Inputs!$B$38="pvp",15,Inputs!$B$43)-(B1995))))*IF(AND(ArtifactsInput!$M$42,((Inputs!$B$9+((C1976=TRUE)*(F1976-Calc!F19))+B1988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1964*(MIN((Inputs!$B$9+((C1976=TRUE)*(F1976-Calc!F19))+B1988+(ArtifactsInput!$M$24-ArtifactsInput!$M$24)*CHOOSE(ArtifactsInput!$N$24+1,10,12,14,16,18,20)+(IF(AND(Inputs!$B$38&lt;&gt;"pvp",Inputs!$B$43=0),1,IF(IF(Inputs!$B$38="pvp",15,Inputs!$B$43)-(B1995)&lt;=0,1,MAX(0,IF(Inputs!$B$38="pvp",15,Inputs!$B$43)-MAX(5,B1995))/(IF(Inputs!$B$38="pvp",15,Inputs!$B$43)-(B1995))))*IF(AND(ArtifactsInput!$M$42,((Inputs!$B$9+((C1976=TRUE)*(F1976-Calc!F19))+B1988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64">
        <f>(1-Summary!$B$11)*T1964+Summary!$B$11*V1964</f>
        <v/>
      </c>
      <c r="P1964">
        <f>IF(B1998=0,0,O1964/B1998)</f>
        <v/>
      </c>
      <c r="Q1964">
        <f>IFERROR(1/(IF(Inputs!$B$38="pvp",15,MAX(0.1,Skills!D7-IF(TRUE=TRUE,Inputs!$B$32,0)))*(1-IF(AND(ArtifactsInput!$M$27,Inputs!$B$4="Chapter Hunt"),CHOOSE(ArtifactsInput!$N$27+1,20,24,28,32,36,40),0)/100)),0)</f>
        <v/>
      </c>
      <c r="R1964">
        <f>IF(AND(Inputs!$B$38&lt;&gt;"pvp",Inputs!$B$43&gt;0),IF(MAX(0,Inputs!$B$43-B1995)&lt;=0,0,(INT(MAX(0,Inputs!$B$43-B1995)/(IF(Inputs!$B$38="pvp",15,MAX(0.1,Skills!D7-IF(TRUE=TRUE,Inputs!$B$32,0)))*(1-IF(AND(ArtifactsInput!$M$27,Inputs!$B$4="Chapter Hunt"),CHOOSE(ArtifactsInput!$N$27+1,20,24,28,32,36,40),0)/100)))+1)),0)</f>
        <v/>
      </c>
      <c r="S1964">
        <f>IFERROR(O1964/N1964,0)</f>
        <v/>
      </c>
      <c r="T1964">
        <f>IF(C1964,(H1964*N1964*IF(AND(Inputs!$B$38&lt;&gt;"pvp",Inputs!$B$43&gt;0),((Skills!G7*((R1964-1)*IF(Skills!H7&gt;0,INT(Skills!I7/Skills!H7+0.000000001),1)+IF(Skills!H7&gt;0,INT(MIN(Skills!I7,MAX(0,MAX(0,Inputs!$B$43-B1995)-((R1964-1)*(IF(Inputs!$B$38="pvp",15,MAX(0.1,Skills!D7-IF(TRUE=TRUE,Inputs!$B$32,0)))*(1-IF(AND(ArtifactsInput!$M$27,Inputs!$B$4="Chapter Hunt"),CHOOSE(ArtifactsInput!$N$27+1,20,24,28,32,36,40),0)/100)))))/Skills!H7+0.000000001),1)))/Inputs!$B$43),G1964*Q1964))*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Hunt"),CHOOSE(ArtifactsInput!$N$35+1,15,18,21,24,27,30)*(1-EXP(-(0.2*B1990)*5)),0)+IF(AND(IF(ArtifactsInput!$M$22,FALSE,TRUE),Inputs!$B$4&lt;&gt;"Chapter Hunt"),CHOOSE(ArtifactsInput!$N$22+1,10,12,14,16,18,20)*((0*(((0.15*B1990*5))^0/1)+1*(((0.15*B1990*5))^1/1)+2*(((0.15*B1990*5))^2/2)+3*(((0.15*B1990*5))^3/6)+4*(((0.15*B1990*5))^4/24)+5*(((0.15*B1990*5))^5/120))/((((0.15*B1990*5))^0/1)+(((0.15*B1990*5))^1/1)+(((0.15*B1990*5))^2/2)+(((0.15*B1990*5))^3/6)+(((0.15*B1990*5))^4/24)+(((0.15*B1990*5))^5/120))),0))+IF(Inputs!$B$3&gt;=54,9*(C1960=TRUE)*MIN(1,8*(1+Inputs!$B$34/100)*Q1960)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1964*(1-MIN(100,(Inputs!$B$9+((C1976=TRUE)*(F1976-Calc!F19))+B1988+(ArtifactsInput!$M$24-ArtifactsInput!$M$24)*CHOOSE(ArtifactsInput!$N$24+1,10,12,14,16,18,20)+(IF(AND(Inputs!$B$38&lt;&gt;"pvp",Inputs!$B$43=0),1,IF(IF(Inputs!$B$38="pvp",15,Inputs!$B$43)-(B1995)&lt;=0,1,MAX(0,IF(Inputs!$B$38="pvp",15,Inputs!$B$43)-MAX(5,B1995))/(IF(Inputs!$B$38="pvp",15,Inputs!$B$43)-(B1995))))*IF(AND(ArtifactsInput!$M$42,((Inputs!$B$9+((C1976=TRUE)*(F1976-Calc!F19))+B1988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1964*(MIN(100,(Inputs!$B$9+((C1976=TRUE)*(F1976-Calc!F19))+B1988+(ArtifactsInput!$M$24-ArtifactsInput!$M$24)*CHOOSE(ArtifactsInput!$N$24+1,10,12,14,16,18,20)+(IF(AND(Inputs!$B$38&lt;&gt;"pvp",Inputs!$B$43=0),1,IF(IF(Inputs!$B$38="pvp",15,Inputs!$B$43)-(B1995)&lt;=0,1,MAX(0,IF(Inputs!$B$38="pvp",15,Inputs!$B$43)-MAX(5,B1995))/(IF(Inputs!$B$38="pvp",15,Inputs!$B$43)-(B1995))))*IF(AND(ArtifactsInput!$M$42,((Inputs!$B$9+((C1976=TRUE)*(F1976-Calc!F19))+B1988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1964*(1-MIN(100,(Inputs!$B$9+((C1976=TRUE)*(F1976-Calc!F19))+B1988+(ArtifactsInput!$M$24-ArtifactsInput!$M$24)*CHOOSE(ArtifactsInput!$N$24+1,10,12,14,16,18,20)+(IF(AND(Inputs!$B$38&lt;&gt;"pvp",Inputs!$B$43=0),1,IF(IF(Inputs!$B$38="pvp",15,Inputs!$B$43)-(B1995)&lt;=0,1,MAX(0,IF(Inputs!$B$38="pvp",15,Inputs!$B$43)-MAX(5,B1995))/(IF(Inputs!$B$38="pvp",15,Inputs!$B$43)-(B1995))))*IF(AND(ArtifactsInput!$M$42,((Inputs!$B$9+((C1976=TRUE)*(F1976-Calc!F19))+B1988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1964*(MIN(100,(Inputs!$B$9+((C1976=TRUE)*(F1976-Calc!F19))+B1988+(ArtifactsInput!$M$24-ArtifactsInput!$M$24)*CHOOSE(ArtifactsInput!$N$24+1,10,12,14,16,18,20)+(IF(AND(Inputs!$B$38&lt;&gt;"pvp",Inputs!$B$43=0),1,IF(IF(Inputs!$B$38="pvp",15,Inputs!$B$43)-(B1995)&lt;=0,1,MAX(0,IF(Inputs!$B$38="pvp",15,Inputs!$B$43)-MAX(5,B1995))/(IF(Inputs!$B$38="pvp",15,Inputs!$B$43)-(B1995))))*IF(AND(ArtifactsInput!$M$42,((Inputs!$B$9+((C1976=TRUE)*(F1976-Calc!F19))+B1988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964">
        <f>IF(C1964,(H1964*N1964*IF(AND(Inputs!$B$38&lt;&gt;"pvp",Inputs!$B$43&gt;0),((Skills!G7*((R1964-1)*IF(Skills!H7&gt;0,INT(Skills!I7/Skills!H7+0.000000001),1)+IF(Skills!H7&gt;0,INT(MIN(Skills!I7,MAX(0,MAX(0,Inputs!$B$43-B1995)-((R1964-1)*(IF(Inputs!$B$38="pvp",15,MAX(0.1,Skills!D7-IF(TRUE=TRUE,Inputs!$B$32,0)))*(1-IF(AND(ArtifactsInput!$M$27,Inputs!$B$4="Chapter Hunt"),CHOOSE(ArtifactsInput!$N$27+1,20,24,28,32,36,40),0)/100)))))/Skills!H7+0.000000001),1)))/Inputs!$B$43),G1964*Q1964))*IF(Inputs!$B$38="pvp",1,(1+(Inputs!$B$21+Skills!Q7+(IF(ArtifactsInput!$M$33,CHOOSE(ArtifactsInput!$N$33+1,30,36,42,48,54,60),0))+(IF(AND(ArtifactsInput!$M$35,Inputs!$B$4&lt;&gt;"Chapter Hunt"),CHOOSE(ArtifactsInput!$N$35+1,15,18,21,24,27,30)*(1-EXP(-(0.2*B1990)*5)),0)+IF(AND(IF(ArtifactsInput!$M$22,FALSE,TRUE),Inputs!$B$4&lt;&gt;"Chapter Hunt"),CHOOSE(ArtifactsInput!$N$22+1,10,12,14,16,18,20)*((0*(((0.15*B1990*5))^0/1)+1*(((0.15*B1990*5))^1/1)+2*(((0.15*B1990*5))^2/2)+3*(((0.15*B1990*5))^3/6)+4*(((0.15*B1990*5))^4/24)+5*(((0.15*B1990*5))^5/120))/((((0.15*B1990*5))^0/1)+(((0.15*B1990*5))^1/1)+(((0.15*B1990*5))^2/2)+(((0.15*B1990*5))^3/6)+(((0.15*B1990*5))^4/24)+(((0.15*B1990*5))^5/120))),0))+IF(Inputs!$B$3&gt;=54,9*(C1960=TRUE)*MIN(1,8*(1+Inputs!$B$34/100)*Q1960)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65">
      <c r="A1965">
        <f>Skills!A8</f>
        <v/>
      </c>
      <c r="B1965">
        <f>Skills!B8</f>
        <v/>
      </c>
      <c r="C1965">
        <f>Inputs!$B$3&gt;=103</f>
        <v/>
      </c>
      <c r="D1965">
        <f>IF(Skills!C8=1,60+Inputs!$B$25+Inputs!$B$29,IF(Skills!C8=2,90+Inputs!$B$26+Inputs!$B$29,IF(Skills!C8=3,120+Inputs!$B$27+Inputs!$B$29,MAX(0,(Inputs!$B$3-100)*3)+Inputs!$B$28+Inputs!$B$29)))</f>
        <v/>
      </c>
      <c r="E1965">
        <f>INDEX(FactorTable!$B$2:$Y$301, MATCH(ROUND(MIN(300,MAX(1,D1965)),0), FactorTable!$A$2:$A$301,0), Skills!M8+1)</f>
        <v/>
      </c>
      <c r="F1965">
        <f>IF(Skills!N8=TRUE,(Skills!L8/10)*(E1965/1000),Skills!L8/10)+Skills!O8</f>
        <v/>
      </c>
      <c r="G1965">
        <f>Skills!G8*IF(Skills!H8&gt;0,INT(IF(Inputs!$B$38="pvp",MIN(Skills!I8,15),Skills!I8)/Skills!H8+0.000000001),1)</f>
        <v/>
      </c>
      <c r="H1965">
        <f>1-(1-Skills!J8/100)^Skills!K8</f>
        <v/>
      </c>
      <c r="I1965" t="inlineStr">
        <is>
          <t>1</t>
        </is>
      </c>
      <c r="J1965">
        <f>((Inputs!$B$6*(1+Inputs!$B$7/100))+(((Inputs!$B$12*(1+Inputs!$B$13/100))-(Inputs!$B$12*(1+Inputs!$B$13/100)))+0.25*(Inputs!$B$14-Inputs!$B$14))*(1+Inputs!$B$7/100))*(F1965/100)</f>
        <v/>
      </c>
      <c r="K1965">
        <f>J1965*(1+((Inputs!$B$12*(1+Inputs!$B$13/100))*0.01+Inputs!$B$14*0.0025)/100)*(1+Inputs!$B$15/100)*(1+Inputs!$B$16/100)*(5000/(6000+Inputs!$B$42*(1-(100*(1-(1-(Inputs!$B$19+0)/100)*(1-CHOOSE(ArtifactsInput!$N$40+1,5,6,7,8,9,10)/100)^(ArtifactsInput!$M$40-ArtifactsInput!$M$40)))/100)))*(1+(Inputs!$B$24+((C1983=TRUE)*(F1983-Calc!F26))+B1994)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IGHT_LEGS_EASTON",Inputs!$B$17+((C1980=TRUE)*(F1980-Calc!F23))+((C1984=TRUE)*(F1984-Calc!F27))+((IF(AND(Inputs!$B$38&lt;&gt;"pvp",Inputs!$B$43=0),1,IF(IF(Inputs!$B$38="pvp",15,Inputs!$B$43)-(B1995)&lt;=0,1,MAX(0,IF(Inputs!$B$38="pvp",15,Inputs!$B$43)-MAX(5,B1995))/(IF(Inputs!$B$38="pvp",15,Inputs!$B$43)-(B1995))))*(IF(AND(ArtifactsInput!$M$42,((Inputs!$B$9+((C1976=TRUE)*(F1976-Calc!F19))+B1988+(ArtifactsInput!$M$24-ArtifactsInput!$M$24)*CHOOSE(ArtifactsInput!$N$24+1,10,12,14,16,18,20)+IF(ArtifactsInput!$M$10,CHOOSE(ArtifactsInput!$N$10+1,15,18,21,24,27,30)*(IF(Inputs!$B$38="pvp",MIN(15,15)/15,IF(AND(Inputs!$B$38&lt;&gt;"pvp",Inputs!$B$43&gt;0),MIN(15,Inputs!$B$43)/(Inputs!$B$43),0))),0)))&gt;=100),MIN(100,((Inputs!$B$9+((C1976=TRUE)*(F1976-Calc!F19))+B1988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1995)&lt;=0,1,MAX(0,IF(Inputs!$B$38="pvp",15,Inputs!$B$43)-MAX(5,B1995))/(IF(Inputs!$B$38="pvp",15,Inputs!$B$43)-(B1995))))*IF(AND(ArtifactsInput!$M$42,((Inputs!$B$9+((C1976=TRUE)*(F1976-Calc!F19))+B1988+(ArtifactsInput!$M$24-ArtifactsInput!$M$24)*CHOOSE(ArtifactsInput!$N$24+1,10,12,14,16,18,20)+IF(ArtifactsInput!$M$10,CHOOSE(ArtifactsInput!$N$10+1,15,18,21,24,27,30)*(IF(Inputs!$B$38="pvp",MIN(15,15)/15,IF(AND(Inputs!$B$38&lt;&gt;"pvp",Inputs!$B$43&gt;0),MIN(15,Inputs!$B$43)/(Inputs!$B$43),0))),0)))&gt;=100),CHOOSE(ArtifactsInput!$N$42+1,40,48,56,64,72,80),0))))/100)*((1+(((C1974=TRUE)*F1974*5/7)+((C1981=TRUE)*(F1981-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1965)</f>
        <v/>
      </c>
      <c r="L1965">
        <f>K1965*(MIN(Inputs!$B$22+((C1979=TRUE)*(F1979-Calc!F22)),(Inputs!$B$23+0+(IF(ArtifactsInput!$M$15,CHOOSE(ArtifactsInput!$N$15+1,25,30,35,40,45,50)/100*(Inputs!$B$11-Inputs!$B$11),0))))/100+(Inputs!$B$23+0+(IF(ArtifactsInput!$M$15,CHOOSE(ArtifactsInput!$N$15+1,25,30,35,40,45,50)/100*(Inputs!$B$11-Inputs!$B$11),0)))/100)/2</f>
        <v/>
      </c>
      <c r="M1965">
        <f>L1965*(1+(Inputs!$B$10+((C1982=TRUE)*(F1982-Calc!F25))+B1993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65">
        <f>L1965*(1-MIN((Inputs!$B$9+((C1976=TRUE)*(F1976-Calc!F19))+B1988+(ArtifactsInput!$M$24-ArtifactsInput!$M$24)*CHOOSE(ArtifactsInput!$N$24+1,10,12,14,16,18,20)+(IF(AND(Inputs!$B$38&lt;&gt;"pvp",Inputs!$B$43=0),1,IF(IF(Inputs!$B$38="pvp",15,Inputs!$B$43)-(B1995)&lt;=0,1,MAX(0,IF(Inputs!$B$38="pvp",15,Inputs!$B$43)-MAX(5,B1995))/(IF(Inputs!$B$38="pvp",15,Inputs!$B$43)-(B1995))))*IF(AND(ArtifactsInput!$M$42,((Inputs!$B$9+((C1976=TRUE)*(F1976-Calc!F19))+B1988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1965*(MIN((Inputs!$B$9+((C1976=TRUE)*(F1976-Calc!F19))+B1988+(ArtifactsInput!$M$24-ArtifactsInput!$M$24)*CHOOSE(ArtifactsInput!$N$24+1,10,12,14,16,18,20)+(IF(AND(Inputs!$B$38&lt;&gt;"pvp",Inputs!$B$43=0),1,IF(IF(Inputs!$B$38="pvp",15,Inputs!$B$43)-(B1995)&lt;=0,1,MAX(0,IF(Inputs!$B$38="pvp",15,Inputs!$B$43)-MAX(5,B1995))/(IF(Inputs!$B$38="pvp",15,Inputs!$B$43)-(B1995))))*IF(AND(ArtifactsInput!$M$42,((Inputs!$B$9+((C1976=TRUE)*(F1976-Calc!F19))+B1988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65">
        <f>(1-Summary!$B$11)*T1965+Summary!$B$11*V1965</f>
        <v/>
      </c>
      <c r="P1965">
        <f>IF(B1998=0,0,O1965/B1998)</f>
        <v/>
      </c>
      <c r="Q1965">
        <f>IFERROR(1/((IF(Inputs!$B$38="pvp",15,MAX(0.1,Skills!D8-IF(TRUE=TRUE,Inputs!$B$32,0)))*(1-IF(AND(ArtifactsInput!$M$27,Inputs!$B$4="Chapter Hunt"),CHOOSE(ArtifactsInput!$N$27+1,20,24,28,32,36,40),0)/100))/B1999),0)</f>
        <v/>
      </c>
      <c r="R1965">
        <f>IF(AND(Inputs!$B$38&lt;&gt;"pvp",Inputs!$B$43&gt;0),IF(MAX(0,Inputs!$B$43-B1995)&lt;=0,0,(INT(MAX(0,Inputs!$B$43-B1995)/((IF(Inputs!$B$38="pvp",15,MAX(0.1,Skills!D8-IF(TRUE=TRUE,Inputs!$B$32,0)))*(1-IF(AND(ArtifactsInput!$M$27,Inputs!$B$4="Chapter Hunt"),CHOOSE(ArtifactsInput!$N$27+1,20,24,28,32,36,40),0)/100))/B1999))+1)),0)</f>
        <v/>
      </c>
      <c r="S1965">
        <f>IFERROR(O1965/N1965,0)</f>
        <v/>
      </c>
      <c r="T1965">
        <f>IF(C1965,(H1965*N1965*IF(AND(Inputs!$B$38&lt;&gt;"pvp",Inputs!$B$43&gt;0),((Skills!G8*((R1965-1)*IF(Skills!H8&gt;0,INT(Skills!I8/Skills!H8+0.000000001),1)+IF(Skills!H8&gt;0,INT(MIN(Skills!I8,MAX(0,MAX(0,Inputs!$B$43-B1995)-((R1965-1)*((IF(Inputs!$B$38="pvp",15,MAX(0.1,Skills!D8-IF(TRUE=TRUE,Inputs!$B$32,0)))*(1-IF(AND(ArtifactsInput!$M$27,Inputs!$B$4="Chapter Hunt"),CHOOSE(ArtifactsInput!$N$27+1,20,24,28,32,36,40),0)/100))/B1999))))/Skills!H8+0.000000001),1)))/Inputs!$B$43),G1965*Q1965))*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Hunt"),CHOOSE(ArtifactsInput!$N$35+1,15,18,21,24,27,30)*(1-EXP(-(0.2*B1990)*5)),0)+IF(AND(IF(ArtifactsInput!$M$22,FALSE,TRUE),Inputs!$B$4&lt;&gt;"Chapter Hunt"),CHOOSE(ArtifactsInput!$N$22+1,10,12,14,16,18,20)*((0*(((0.15*B1990*5))^0/1)+1*(((0.15*B1990*5))^1/1)+2*(((0.15*B1990*5))^2/2)+3*(((0.15*B1990*5))^3/6)+4*(((0.15*B1990*5))^4/24)+5*(((0.15*B1990*5))^5/120))/((((0.15*B1990*5))^0/1)+(((0.15*B1990*5))^1/1)+(((0.15*B1990*5))^2/2)+(((0.15*B1990*5))^3/6)+(((0.15*B1990*5))^4/24)+(((0.15*B1990*5))^5/120))),0))+IF(Inputs!$B$3&gt;=54,9*(C1960=TRUE)*MIN(1,8*(1+Inputs!$B$34/100)*Q1960)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1965*(1-MIN(100,(Inputs!$B$9+((C1976=TRUE)*(F1976-Calc!F19))+B1988+(ArtifactsInput!$M$24-ArtifactsInput!$M$24)*CHOOSE(ArtifactsInput!$N$24+1,10,12,14,16,18,20)+(IF(AND(Inputs!$B$38&lt;&gt;"pvp",Inputs!$B$43=0),1,IF(IF(Inputs!$B$38="pvp",15,Inputs!$B$43)-(B1995)&lt;=0,1,MAX(0,IF(Inputs!$B$38="pvp",15,Inputs!$B$43)-MAX(5,B1995))/(IF(Inputs!$B$38="pvp",15,Inputs!$B$43)-(B1995))))*IF(AND(ArtifactsInput!$M$42,((Inputs!$B$9+((C1976=TRUE)*(F1976-Calc!F19))+B1988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1965*(MIN(100,(Inputs!$B$9+((C1976=TRUE)*(F1976-Calc!F19))+B1988+(ArtifactsInput!$M$24-ArtifactsInput!$M$24)*CHOOSE(ArtifactsInput!$N$24+1,10,12,14,16,18,20)+(IF(AND(Inputs!$B$38&lt;&gt;"pvp",Inputs!$B$43=0),1,IF(IF(Inputs!$B$38="pvp",15,Inputs!$B$43)-(B1995)&lt;=0,1,MAX(0,IF(Inputs!$B$38="pvp",15,Inputs!$B$43)-MAX(5,B1995))/(IF(Inputs!$B$38="pvp",15,Inputs!$B$43)-(B1995))))*IF(AND(ArtifactsInput!$M$42,((Inputs!$B$9+((C1976=TRUE)*(F1976-Calc!F19))+B1988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1965*(1-MIN(100,(Inputs!$B$9+((C1976=TRUE)*(F1976-Calc!F19))+B1988+(ArtifactsInput!$M$24-ArtifactsInput!$M$24)*CHOOSE(ArtifactsInput!$N$24+1,10,12,14,16,18,20)+(IF(AND(Inputs!$B$38&lt;&gt;"pvp",Inputs!$B$43=0),1,IF(IF(Inputs!$B$38="pvp",15,Inputs!$B$43)-(B1995)&lt;=0,1,MAX(0,IF(Inputs!$B$38="pvp",15,Inputs!$B$43)-MAX(5,B1995))/(IF(Inputs!$B$38="pvp",15,Inputs!$B$43)-(B1995))))*IF(AND(ArtifactsInput!$M$42,((Inputs!$B$9+((C1976=TRUE)*(F1976-Calc!F19))+B1988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1965*(MIN(100,(Inputs!$B$9+((C1976=TRUE)*(F1976-Calc!F19))+B1988+(ArtifactsInput!$M$24-ArtifactsInput!$M$24)*CHOOSE(ArtifactsInput!$N$24+1,10,12,14,16,18,20)+(IF(AND(Inputs!$B$38&lt;&gt;"pvp",Inputs!$B$43=0),1,IF(IF(Inputs!$B$38="pvp",15,Inputs!$B$43)-(B1995)&lt;=0,1,MAX(0,IF(Inputs!$B$38="pvp",15,Inputs!$B$43)-MAX(5,B1995))/(IF(Inputs!$B$38="pvp",15,Inputs!$B$43)-(B1995))))*IF(AND(ArtifactsInput!$M$42,((Inputs!$B$9+((C1976=TRUE)*(F1976-Calc!F19))+B1988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965">
        <f>IF(C1965,(H1965*N1965*IF(AND(Inputs!$B$38&lt;&gt;"pvp",Inputs!$B$43&gt;0),((Skills!G8*((R1965-1)*IF(Skills!H8&gt;0,INT(Skills!I8/Skills!H8+0.000000001),1)+IF(Skills!H8&gt;0,INT(MIN(Skills!I8,MAX(0,MAX(0,Inputs!$B$43-B1995)-((R1965-1)*((IF(Inputs!$B$38="pvp",15,MAX(0.1,Skills!D8-IF(TRUE=TRUE,Inputs!$B$32,0)))*(1-IF(AND(ArtifactsInput!$M$27,Inputs!$B$4="Chapter Hunt"),CHOOSE(ArtifactsInput!$N$27+1,20,24,28,32,36,40),0)/100))/B1999))))/Skills!H8+0.000000001),1)))/Inputs!$B$43),G1965*Q1965))*IF(Inputs!$B$38="pvp",1,(1+(Inputs!$B$21+Skills!Q8+(IF(ArtifactsInput!$M$33,CHOOSE(ArtifactsInput!$N$33+1,30,36,42,48,54,60),0))+(IF(AND(ArtifactsInput!$M$35,Inputs!$B$4&lt;&gt;"Chapter Hunt"),CHOOSE(ArtifactsInput!$N$35+1,15,18,21,24,27,30)*(1-EXP(-(0.2*B1990)*5)),0)+IF(AND(IF(ArtifactsInput!$M$22,FALSE,TRUE),Inputs!$B$4&lt;&gt;"Chapter Hunt"),CHOOSE(ArtifactsInput!$N$22+1,10,12,14,16,18,20)*((0*(((0.15*B1990*5))^0/1)+1*(((0.15*B1990*5))^1/1)+2*(((0.15*B1990*5))^2/2)+3*(((0.15*B1990*5))^3/6)+4*(((0.15*B1990*5))^4/24)+5*(((0.15*B1990*5))^5/120))/((((0.15*B1990*5))^0/1)+(((0.15*B1990*5))^1/1)+(((0.15*B1990*5))^2/2)+(((0.15*B1990*5))^3/6)+(((0.15*B1990*5))^4/24)+(((0.15*B1990*5))^5/120))),0))+IF(Inputs!$B$3&gt;=54,9*(C1960=TRUE)*MIN(1,8*(1+Inputs!$B$34/100)*Q1960)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66">
      <c r="A1966">
        <f>Skills!A9</f>
        <v/>
      </c>
      <c r="B1966">
        <f>Skills!B9</f>
        <v/>
      </c>
      <c r="C1966">
        <f>Inputs!$B$3&gt;=105</f>
        <v/>
      </c>
      <c r="D1966">
        <f>IF(Skills!C9=1,60+Inputs!$B$25+Inputs!$B$29,IF(Skills!C9=2,90+Inputs!$B$26+Inputs!$B$29,IF(Skills!C9=3,120+Inputs!$B$27+Inputs!$B$29,MAX(0,(Inputs!$B$3-100)*3)+Inputs!$B$28+Inputs!$B$29)))</f>
        <v/>
      </c>
      <c r="E1966">
        <f>INDEX(FactorTable!$B$2:$Y$301, MATCH(ROUND(MIN(300,MAX(1,D1966)),0), FactorTable!$A$2:$A$301,0), Skills!M9+1)</f>
        <v/>
      </c>
      <c r="F1966">
        <f>IF(Skills!N9=TRUE,(Skills!L9/10)*(E1966/1000),Skills!L9/10)+Skills!O9</f>
        <v/>
      </c>
      <c r="G1966">
        <f>Skills!G9*IF(Skills!H9&gt;0,INT(IF(Inputs!$B$38="pvp",MIN(Skills!I9,15),Skills!I9)/Skills!H9+0.000000001),1)</f>
        <v/>
      </c>
      <c r="H1966">
        <f>1-(1-Skills!J9/100)^Skills!K9</f>
        <v/>
      </c>
      <c r="I1966" t="inlineStr">
        <is>
          <t>1</t>
        </is>
      </c>
      <c r="J1966">
        <f>((Inputs!$B$6*(1+Inputs!$B$7/100))+(((Inputs!$B$12*(1+Inputs!$B$13/100))-(Inputs!$B$12*(1+Inputs!$B$13/100)))+0.25*(Inputs!$B$14-Inputs!$B$14))*(1+Inputs!$B$7/100))*(F1966/100)</f>
        <v/>
      </c>
      <c r="K1966">
        <f>J1966*(1+((Inputs!$B$12*(1+Inputs!$B$13/100))*0.01+Inputs!$B$14*0.0025)/100)*(1+Inputs!$B$15/100)*(1+Inputs!$B$16/100)*(5000/(6000+Inputs!$B$42*(1-(100*(1-(1-(Inputs!$B$19+0)/100)*(1-CHOOSE(ArtifactsInput!$N$40+1,5,6,7,8,9,10)/100)^(ArtifactsInput!$M$40-ArtifactsInput!$M$40)))/100)))*(1+(Inputs!$B$24+((C1983=TRUE)*(F1983-Calc!F26))+B1994)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IGHT_LEGS_EASTON",Inputs!$B$17+((C1980=TRUE)*(F1980-Calc!F23))+((C1984=TRUE)*(F1984-Calc!F27))+((IF(AND(Inputs!$B$38&lt;&gt;"pvp",Inputs!$B$43=0),1,IF(IF(Inputs!$B$38="pvp",15,Inputs!$B$43)-(B1995)&lt;=0,1,MAX(0,IF(Inputs!$B$38="pvp",15,Inputs!$B$43)-MAX(5,B1995))/(IF(Inputs!$B$38="pvp",15,Inputs!$B$43)-(B1995))))*(IF(AND(ArtifactsInput!$M$42,((Inputs!$B$9+((C1976=TRUE)*(F1976-Calc!F19))+B1988+(ArtifactsInput!$M$24-ArtifactsInput!$M$24)*CHOOSE(ArtifactsInput!$N$24+1,10,12,14,16,18,20)+IF(ArtifactsInput!$M$10,CHOOSE(ArtifactsInput!$N$10+1,15,18,21,24,27,30)*(IF(Inputs!$B$38="pvp",MIN(15,15)/15,IF(AND(Inputs!$B$38&lt;&gt;"pvp",Inputs!$B$43&gt;0),MIN(15,Inputs!$B$43)/(Inputs!$B$43),0))),0)))&gt;=100),MIN(100,((Inputs!$B$9+((C1976=TRUE)*(F1976-Calc!F19))+B1988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1995)&lt;=0,1,MAX(0,IF(Inputs!$B$38="pvp",15,Inputs!$B$43)-MAX(5,B1995))/(IF(Inputs!$B$38="pvp",15,Inputs!$B$43)-(B1995))))*IF(AND(ArtifactsInput!$M$42,((Inputs!$B$9+((C1976=TRUE)*(F1976-Calc!F19))+B1988+(ArtifactsInput!$M$24-ArtifactsInput!$M$24)*CHOOSE(ArtifactsInput!$N$24+1,10,12,14,16,18,20)+IF(ArtifactsInput!$M$10,CHOOSE(ArtifactsInput!$N$10+1,15,18,21,24,27,30)*(IF(Inputs!$B$38="pvp",MIN(15,15)/15,IF(AND(Inputs!$B$38&lt;&gt;"pvp",Inputs!$B$43&gt;0),MIN(15,Inputs!$B$43)/(Inputs!$B$43),0))),0)))&gt;=100),CHOOSE(ArtifactsInput!$N$42+1,40,48,56,64,72,80),0))))/100)*((1+(((C1974=TRUE)*F1974*5/7)+((C1981=TRUE)*(F1981-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1966)</f>
        <v/>
      </c>
      <c r="L1966">
        <f>K1966*(MIN(Inputs!$B$22+((C1979=TRUE)*(F1979-Calc!F22)),(Inputs!$B$23+0+(IF(ArtifactsInput!$M$15,CHOOSE(ArtifactsInput!$N$15+1,25,30,35,40,45,50)/100*(Inputs!$B$11-Inputs!$B$11),0))))/100+(Inputs!$B$23+0+(IF(ArtifactsInput!$M$15,CHOOSE(ArtifactsInput!$N$15+1,25,30,35,40,45,50)/100*(Inputs!$B$11-Inputs!$B$11),0)))/100)/2</f>
        <v/>
      </c>
      <c r="M1966">
        <f>L1966*(1+(Inputs!$B$10+((C1982=TRUE)*(F1982-Calc!F25))+B1993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66">
        <f>L1966*(1-MIN((Inputs!$B$9+((C1976=TRUE)*(F1976-Calc!F19))+B1988+(ArtifactsInput!$M$24-ArtifactsInput!$M$24)*CHOOSE(ArtifactsInput!$N$24+1,10,12,14,16,18,20)+(IF(AND(Inputs!$B$38&lt;&gt;"pvp",Inputs!$B$43=0),1,IF(IF(Inputs!$B$38="pvp",15,Inputs!$B$43)-(B1995)&lt;=0,1,MAX(0,IF(Inputs!$B$38="pvp",15,Inputs!$B$43)-MAX(5,B1995))/(IF(Inputs!$B$38="pvp",15,Inputs!$B$43)-(B1995))))*IF(AND(ArtifactsInput!$M$42,((Inputs!$B$9+((C1976=TRUE)*(F1976-Calc!F19))+B1988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1966*(MIN((Inputs!$B$9+((C1976=TRUE)*(F1976-Calc!F19))+B1988+(ArtifactsInput!$M$24-ArtifactsInput!$M$24)*CHOOSE(ArtifactsInput!$N$24+1,10,12,14,16,18,20)+(IF(AND(Inputs!$B$38&lt;&gt;"pvp",Inputs!$B$43=0),1,IF(IF(Inputs!$B$38="pvp",15,Inputs!$B$43)-(B1995)&lt;=0,1,MAX(0,IF(Inputs!$B$38="pvp",15,Inputs!$B$43)-MAX(5,B1995))/(IF(Inputs!$B$38="pvp",15,Inputs!$B$43)-(B1995))))*IF(AND(ArtifactsInput!$M$42,((Inputs!$B$9+((C1976=TRUE)*(F1976-Calc!F19))+B1988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66">
        <f>(1-Summary!$B$11)*T1966+Summary!$B$11*V1966</f>
        <v/>
      </c>
      <c r="P1966">
        <f>IF(B1998=0,0,O1966/B1998)</f>
        <v/>
      </c>
      <c r="Q1966">
        <f>IFERROR(1/(IF(Inputs!$B$38="pvp",15,MAX(0.1,Skills!D9-IF(TRUE=TRUE,Inputs!$B$32,0)))*(1-IF(AND(ArtifactsInput!$M$27,Inputs!$B$4="Chapter Hunt"),CHOOSE(ArtifactsInput!$N$27+1,20,24,28,32,36,40),0)/100)),0)</f>
        <v/>
      </c>
      <c r="R1966">
        <f>IF(AND(Inputs!$B$38&lt;&gt;"pvp",Inputs!$B$43&gt;0),IF(MAX(0,Inputs!$B$43-B1995)&lt;=0,0,(INT(MAX(0,Inputs!$B$43-B1995)/(IF(Inputs!$B$38="pvp",15,MAX(0.1,Skills!D9-IF(TRUE=TRUE,Inputs!$B$32,0)))*(1-IF(AND(ArtifactsInput!$M$27,Inputs!$B$4="Chapter Hunt"),CHOOSE(ArtifactsInput!$N$27+1,20,24,28,32,36,40),0)/100)))+1)),0)</f>
        <v/>
      </c>
      <c r="S1966">
        <f>IFERROR(O1966/N1966,0)</f>
        <v/>
      </c>
      <c r="T1966">
        <f>IF(C1966,(H1966*N1966*IF(AND(Inputs!$B$38&lt;&gt;"pvp",Inputs!$B$43&gt;0),((Skills!G9*((R1966-1)*IF(Skills!H9&gt;0,INT(Skills!I9/Skills!H9+0.000000001),1)+IF(Skills!H9&gt;0,INT(MIN(Skills!I9,MAX(0,MAX(0,Inputs!$B$43-B1995)-((R1966-1)*(IF(Inputs!$B$38="pvp",15,MAX(0.1,Skills!D9-IF(TRUE=TRUE,Inputs!$B$32,0)))*(1-IF(AND(ArtifactsInput!$M$27,Inputs!$B$4="Chapter Hunt"),CHOOSE(ArtifactsInput!$N$27+1,20,24,28,32,36,40),0)/100)))))/Skills!H9+0.000000001),1)))/Inputs!$B$43),G1966*Q1966))*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Hunt"),CHOOSE(ArtifactsInput!$N$35+1,15,18,21,24,27,30)*(1-EXP(-(0.2*B1990)*5)),0)+IF(AND(IF(ArtifactsInput!$M$22,FALSE,TRUE),Inputs!$B$4&lt;&gt;"Chapter Hunt"),CHOOSE(ArtifactsInput!$N$22+1,10,12,14,16,18,20)*((0*(((0.15*B1990*5))^0/1)+1*(((0.15*B1990*5))^1/1)+2*(((0.15*B1990*5))^2/2)+3*(((0.15*B1990*5))^3/6)+4*(((0.15*B1990*5))^4/24)+5*(((0.15*B1990*5))^5/120))/((((0.15*B1990*5))^0/1)+(((0.15*B1990*5))^1/1)+(((0.15*B1990*5))^2/2)+(((0.15*B1990*5))^3/6)+(((0.15*B1990*5))^4/24)+(((0.15*B1990*5))^5/120))),0))+IF(Inputs!$B$3&gt;=54,9*(C1960=TRUE)*MIN(1,8*(1+Inputs!$B$34/100)*Q1960)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1966*(1-MIN(100,(Inputs!$B$9+((C1976=TRUE)*(F1976-Calc!F19))+B1988+(ArtifactsInput!$M$24-ArtifactsInput!$M$24)*CHOOSE(ArtifactsInput!$N$24+1,10,12,14,16,18,20)+(IF(AND(Inputs!$B$38&lt;&gt;"pvp",Inputs!$B$43=0),1,IF(IF(Inputs!$B$38="pvp",15,Inputs!$B$43)-(B1995)&lt;=0,1,MAX(0,IF(Inputs!$B$38="pvp",15,Inputs!$B$43)-MAX(5,B1995))/(IF(Inputs!$B$38="pvp",15,Inputs!$B$43)-(B1995))))*IF(AND(ArtifactsInput!$M$42,((Inputs!$B$9+((C1976=TRUE)*(F1976-Calc!F19))+B1988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1966*(MIN(100,(Inputs!$B$9+((C1976=TRUE)*(F1976-Calc!F19))+B1988+(ArtifactsInput!$M$24-ArtifactsInput!$M$24)*CHOOSE(ArtifactsInput!$N$24+1,10,12,14,16,18,20)+(IF(AND(Inputs!$B$38&lt;&gt;"pvp",Inputs!$B$43=0),1,IF(IF(Inputs!$B$38="pvp",15,Inputs!$B$43)-(B1995)&lt;=0,1,MAX(0,IF(Inputs!$B$38="pvp",15,Inputs!$B$43)-MAX(5,B1995))/(IF(Inputs!$B$38="pvp",15,Inputs!$B$43)-(B1995))))*IF(AND(ArtifactsInput!$M$42,((Inputs!$B$9+((C1976=TRUE)*(F1976-Calc!F19))+B1988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1966*(1-MIN(100,(Inputs!$B$9+((C1976=TRUE)*(F1976-Calc!F19))+B1988+(ArtifactsInput!$M$24-ArtifactsInput!$M$24)*CHOOSE(ArtifactsInput!$N$24+1,10,12,14,16,18,20)+(IF(AND(Inputs!$B$38&lt;&gt;"pvp",Inputs!$B$43=0),1,IF(IF(Inputs!$B$38="pvp",15,Inputs!$B$43)-(B1995)&lt;=0,1,MAX(0,IF(Inputs!$B$38="pvp",15,Inputs!$B$43)-MAX(5,B1995))/(IF(Inputs!$B$38="pvp",15,Inputs!$B$43)-(B1995))))*IF(AND(ArtifactsInput!$M$42,((Inputs!$B$9+((C1976=TRUE)*(F1976-Calc!F19))+B1988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1966*(MIN(100,(Inputs!$B$9+((C1976=TRUE)*(F1976-Calc!F19))+B1988+(ArtifactsInput!$M$24-ArtifactsInput!$M$24)*CHOOSE(ArtifactsInput!$N$24+1,10,12,14,16,18,20)+(IF(AND(Inputs!$B$38&lt;&gt;"pvp",Inputs!$B$43=0),1,IF(IF(Inputs!$B$38="pvp",15,Inputs!$B$43)-(B1995)&lt;=0,1,MAX(0,IF(Inputs!$B$38="pvp",15,Inputs!$B$43)-MAX(5,B1995))/(IF(Inputs!$B$38="pvp",15,Inputs!$B$43)-(B1995))))*IF(AND(ArtifactsInput!$M$42,((Inputs!$B$9+((C1976=TRUE)*(F1976-Calc!F19))+B1988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966">
        <f>IF(C1966,(H1966*N1966*IF(AND(Inputs!$B$38&lt;&gt;"pvp",Inputs!$B$43&gt;0),((Skills!G9*((R1966-1)*IF(Skills!H9&gt;0,INT(Skills!I9/Skills!H9+0.000000001),1)+IF(Skills!H9&gt;0,INT(MIN(Skills!I9,MAX(0,MAX(0,Inputs!$B$43-B1995)-((R1966-1)*(IF(Inputs!$B$38="pvp",15,MAX(0.1,Skills!D9-IF(TRUE=TRUE,Inputs!$B$32,0)))*(1-IF(AND(ArtifactsInput!$M$27,Inputs!$B$4="Chapter Hunt"),CHOOSE(ArtifactsInput!$N$27+1,20,24,28,32,36,40),0)/100)))))/Skills!H9+0.000000001),1)))/Inputs!$B$43),G1966*Q1966))*IF(Inputs!$B$38="pvp",1,(1+(Inputs!$B$21+Skills!Q9+(IF(ArtifactsInput!$M$33,CHOOSE(ArtifactsInput!$N$33+1,30,36,42,48,54,60),0))+(IF(AND(ArtifactsInput!$M$35,Inputs!$B$4&lt;&gt;"Chapter Hunt"),CHOOSE(ArtifactsInput!$N$35+1,15,18,21,24,27,30)*(1-EXP(-(0.2*B1990)*5)),0)+IF(AND(IF(ArtifactsInput!$M$22,FALSE,TRUE),Inputs!$B$4&lt;&gt;"Chapter Hunt"),CHOOSE(ArtifactsInput!$N$22+1,10,12,14,16,18,20)*((0*(((0.15*B1990*5))^0/1)+1*(((0.15*B1990*5))^1/1)+2*(((0.15*B1990*5))^2/2)+3*(((0.15*B1990*5))^3/6)+4*(((0.15*B1990*5))^4/24)+5*(((0.15*B1990*5))^5/120))/((((0.15*B1990*5))^0/1)+(((0.15*B1990*5))^1/1)+(((0.15*B1990*5))^2/2)+(((0.15*B1990*5))^3/6)+(((0.15*B1990*5))^4/24)+(((0.15*B1990*5))^5/120))),0))+IF(Inputs!$B$3&gt;=54,9*(C1960=TRUE)*MIN(1,8*(1+Inputs!$B$34/100)*Q1960)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67">
      <c r="A1967">
        <f>Skills!A10</f>
        <v/>
      </c>
      <c r="B1967">
        <f>Skills!B10</f>
        <v/>
      </c>
      <c r="C1967">
        <f>Inputs!$B$3&gt;=113</f>
        <v/>
      </c>
      <c r="D1967">
        <f>IF(Skills!C10=1,60+Inputs!$B$25+Inputs!$B$29,IF(Skills!C10=2,90+Inputs!$B$26+Inputs!$B$29,IF(Skills!C10=3,120+Inputs!$B$27+Inputs!$B$29,MAX(0,(Inputs!$B$3-100)*3)+Inputs!$B$28+Inputs!$B$29)))</f>
        <v/>
      </c>
      <c r="E1967">
        <f>INDEX(FactorTable!$B$2:$Y$301, MATCH(ROUND(MIN(300,MAX(1,D1967)),0), FactorTable!$A$2:$A$301,0), Skills!M10+1)</f>
        <v/>
      </c>
      <c r="F1967">
        <f>IF(Skills!N10=TRUE,(Skills!L10/10)*(E1967/1000),Skills!L10/10)+Skills!O10</f>
        <v/>
      </c>
      <c r="G1967">
        <f>Skills!G10*IF(Skills!H10&gt;0,INT(IF(Inputs!$B$38="pvp",MIN(Skills!I10,15),Skills!I10)/Skills!H10+0.000000001),1)</f>
        <v/>
      </c>
      <c r="H1967">
        <f>1-(1-Skills!J10/100)^Skills!K10</f>
        <v/>
      </c>
      <c r="I1967" t="inlineStr">
        <is>
          <t>1</t>
        </is>
      </c>
      <c r="J1967">
        <f>((Inputs!$B$6*(1+Inputs!$B$7/100))+(((Inputs!$B$12*(1+Inputs!$B$13/100))-(Inputs!$B$12*(1+Inputs!$B$13/100)))+0.25*(Inputs!$B$14-Inputs!$B$14))*(1+Inputs!$B$7/100))*(F1967/100)</f>
        <v/>
      </c>
      <c r="K1967">
        <f>J1967*(1+((Inputs!$B$12*(1+Inputs!$B$13/100))*0.01+Inputs!$B$14*0.0025)/100)*(1+Inputs!$B$15/100)*(1+Inputs!$B$16/100)*(5000/(6000+Inputs!$B$42*(1-(100*(1-(1-(Inputs!$B$19+0)/100)*(1-CHOOSE(ArtifactsInput!$N$40+1,5,6,7,8,9,10)/100)^(ArtifactsInput!$M$40-ArtifactsInput!$M$40)))/100)))*(1+(Inputs!$B$24+((C1983=TRUE)*(F1983-Calc!F26))+B1994)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IGHT_LEGS_EASTON",Inputs!$B$17+((C1980=TRUE)*(F1980-Calc!F23))+((C1984=TRUE)*(F1984-Calc!F27))+((IF(AND(Inputs!$B$38&lt;&gt;"pvp",Inputs!$B$43=0),1,IF(IF(Inputs!$B$38="pvp",15,Inputs!$B$43)-(B1995)&lt;=0,1,MAX(0,IF(Inputs!$B$38="pvp",15,Inputs!$B$43)-MAX(5,B1995))/(IF(Inputs!$B$38="pvp",15,Inputs!$B$43)-(B1995))))*(IF(AND(ArtifactsInput!$M$42,((Inputs!$B$9+((C1976=TRUE)*(F1976-Calc!F19))+B1988+(ArtifactsInput!$M$24-ArtifactsInput!$M$24)*CHOOSE(ArtifactsInput!$N$24+1,10,12,14,16,18,20)+IF(ArtifactsInput!$M$10,CHOOSE(ArtifactsInput!$N$10+1,15,18,21,24,27,30)*(IF(Inputs!$B$38="pvp",MIN(15,15)/15,IF(AND(Inputs!$B$38&lt;&gt;"pvp",Inputs!$B$43&gt;0),MIN(15,Inputs!$B$43)/(Inputs!$B$43),0))),0)))&gt;=100),MIN(100,((Inputs!$B$9+((C1976=TRUE)*(F1976-Calc!F19))+B1988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1995)&lt;=0,1,MAX(0,IF(Inputs!$B$38="pvp",15,Inputs!$B$43)-MAX(5,B1995))/(IF(Inputs!$B$38="pvp",15,Inputs!$B$43)-(B1995))))*IF(AND(ArtifactsInput!$M$42,((Inputs!$B$9+((C1976=TRUE)*(F1976-Calc!F19))+B1988+(ArtifactsInput!$M$24-ArtifactsInput!$M$24)*CHOOSE(ArtifactsInput!$N$24+1,10,12,14,16,18,20)+IF(ArtifactsInput!$M$10,CHOOSE(ArtifactsInput!$N$10+1,15,18,21,24,27,30)*(IF(Inputs!$B$38="pvp",MIN(15,15)/15,IF(AND(Inputs!$B$38&lt;&gt;"pvp",Inputs!$B$43&gt;0),MIN(15,Inputs!$B$43)/(Inputs!$B$43),0))),0)))&gt;=100),CHOOSE(ArtifactsInput!$N$42+1,40,48,56,64,72,80),0))))/100)*((1+(((C1974=TRUE)*F1974*5/7)+((C1981=TRUE)*(F1981-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1967)</f>
        <v/>
      </c>
      <c r="L1967">
        <f>K1967*(MIN(Inputs!$B$22+((C1979=TRUE)*(F1979-Calc!F22)),(Inputs!$B$23+0+(IF(ArtifactsInput!$M$15,CHOOSE(ArtifactsInput!$N$15+1,25,30,35,40,45,50)/100*(Inputs!$B$11-Inputs!$B$11),0))))/100+(Inputs!$B$23+0+(IF(ArtifactsInput!$M$15,CHOOSE(ArtifactsInput!$N$15+1,25,30,35,40,45,50)/100*(Inputs!$B$11-Inputs!$B$11),0)))/100)/2</f>
        <v/>
      </c>
      <c r="M1967">
        <f>L1967*(1+(Inputs!$B$10+((C1982=TRUE)*(F1982-Calc!F25))+B1993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67">
        <f>L1967*(1-MIN((Inputs!$B$9+((C1976=TRUE)*(F1976-Calc!F19))+B1988+(ArtifactsInput!$M$24-ArtifactsInput!$M$24)*CHOOSE(ArtifactsInput!$N$24+1,10,12,14,16,18,20)+(IF(AND(Inputs!$B$38&lt;&gt;"pvp",Inputs!$B$43=0),1,IF(IF(Inputs!$B$38="pvp",15,Inputs!$B$43)-(B1995)&lt;=0,1,MAX(0,IF(Inputs!$B$38="pvp",15,Inputs!$B$43)-MAX(5,B1995))/(IF(Inputs!$B$38="pvp",15,Inputs!$B$43)-(B1995))))*IF(AND(ArtifactsInput!$M$42,((Inputs!$B$9+((C1976=TRUE)*(F1976-Calc!F19))+B1988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1967*(MIN((Inputs!$B$9+((C1976=TRUE)*(F1976-Calc!F19))+B1988+(ArtifactsInput!$M$24-ArtifactsInput!$M$24)*CHOOSE(ArtifactsInput!$N$24+1,10,12,14,16,18,20)+(IF(AND(Inputs!$B$38&lt;&gt;"pvp",Inputs!$B$43=0),1,IF(IF(Inputs!$B$38="pvp",15,Inputs!$B$43)-(B1995)&lt;=0,1,MAX(0,IF(Inputs!$B$38="pvp",15,Inputs!$B$43)-MAX(5,B1995))/(IF(Inputs!$B$38="pvp",15,Inputs!$B$43)-(B1995))))*IF(AND(ArtifactsInput!$M$42,((Inputs!$B$9+((C1976=TRUE)*(F1976-Calc!F19))+B1988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67">
        <f>(1-Summary!$B$11)*T1967+Summary!$B$11*V1967</f>
        <v/>
      </c>
      <c r="P1967">
        <f>IF(B1998=0,0,O1967/B1998)</f>
        <v/>
      </c>
      <c r="Q1967" t="n">
        <v>0</v>
      </c>
      <c r="R1967" t="n">
        <v>0</v>
      </c>
      <c r="S1967">
        <f>IFERROR(O1967/N1967,0)</f>
        <v/>
      </c>
      <c r="T1967">
        <f>IF(C1967,((H1967*B2000)/(1+Skills!H10*H1967*B2000)*N1967)*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Hunt"),CHOOSE(ArtifactsInput!$N$35+1,15,18,21,24,27,30)*(1-EXP(-(0.2*B1990)*5)),0)+IF(AND(IF(ArtifactsInput!$M$22,FALSE,TRUE),Inputs!$B$4&lt;&gt;"Chapter Hunt"),CHOOSE(ArtifactsInput!$N$22+1,10,12,14,16,18,20)*((0*(((0.15*B1990*5))^0/1)+1*(((0.15*B1990*5))^1/1)+2*(((0.15*B1990*5))^2/2)+3*(((0.15*B1990*5))^3/6)+4*(((0.15*B1990*5))^4/24)+5*(((0.15*B1990*5))^5/120))/((((0.15*B1990*5))^0/1)+(((0.15*B1990*5))^1/1)+(((0.15*B1990*5))^2/2)+(((0.15*B1990*5))^3/6)+(((0.15*B1990*5))^4/24)+(((0.15*B1990*5))^5/120))),0))+IF(Inputs!$B$3&gt;=54,9*(C1960=TRUE)*MIN(1,8*(1+Inputs!$B$34/100)*Q1960)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1967*(1-MIN(100,(Inputs!$B$9+((C1976=TRUE)*(F1976-Calc!F19))+B1988+(ArtifactsInput!$M$24-ArtifactsInput!$M$24)*CHOOSE(ArtifactsInput!$N$24+1,10,12,14,16,18,20)+(IF(AND(Inputs!$B$38&lt;&gt;"pvp",Inputs!$B$43=0),1,IF(IF(Inputs!$B$38="pvp",15,Inputs!$B$43)-(B1995)&lt;=0,1,MAX(0,IF(Inputs!$B$38="pvp",15,Inputs!$B$43)-MAX(5,B1995))/(IF(Inputs!$B$38="pvp",15,Inputs!$B$43)-(B1995))))*IF(AND(ArtifactsInput!$M$42,((Inputs!$B$9+((C1976=TRUE)*(F1976-Calc!F19))+B1988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1967*(MIN(100,(Inputs!$B$9+((C1976=TRUE)*(F1976-Calc!F19))+B1988+(ArtifactsInput!$M$24-ArtifactsInput!$M$24)*CHOOSE(ArtifactsInput!$N$24+1,10,12,14,16,18,20)+(IF(AND(Inputs!$B$38&lt;&gt;"pvp",Inputs!$B$43=0),1,IF(IF(Inputs!$B$38="pvp",15,Inputs!$B$43)-(B1995)&lt;=0,1,MAX(0,IF(Inputs!$B$38="pvp",15,Inputs!$B$43)-MAX(5,B1995))/(IF(Inputs!$B$38="pvp",15,Inputs!$B$43)-(B1995))))*IF(AND(ArtifactsInput!$M$42,((Inputs!$B$9+((C1976=TRUE)*(F1976-Calc!F19))+B1988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1967*(1-MIN(100,(Inputs!$B$9+((C1976=TRUE)*(F1976-Calc!F19))+B1988+(ArtifactsInput!$M$24-ArtifactsInput!$M$24)*CHOOSE(ArtifactsInput!$N$24+1,10,12,14,16,18,20)+(IF(AND(Inputs!$B$38&lt;&gt;"pvp",Inputs!$B$43=0),1,IF(IF(Inputs!$B$38="pvp",15,Inputs!$B$43)-(B1995)&lt;=0,1,MAX(0,IF(Inputs!$B$38="pvp",15,Inputs!$B$43)-MAX(5,B1995))/(IF(Inputs!$B$38="pvp",15,Inputs!$B$43)-(B1995))))*IF(AND(ArtifactsInput!$M$42,((Inputs!$B$9+((C1976=TRUE)*(F1976-Calc!F19))+B1988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1967*(MIN(100,(Inputs!$B$9+((C1976=TRUE)*(F1976-Calc!F19))+B1988+(ArtifactsInput!$M$24-ArtifactsInput!$M$24)*CHOOSE(ArtifactsInput!$N$24+1,10,12,14,16,18,20)+(IF(AND(Inputs!$B$38&lt;&gt;"pvp",Inputs!$B$43=0),1,IF(IF(Inputs!$B$38="pvp",15,Inputs!$B$43)-(B1995)&lt;=0,1,MAX(0,IF(Inputs!$B$38="pvp",15,Inputs!$B$43)-MAX(5,B1995))/(IF(Inputs!$B$38="pvp",15,Inputs!$B$43)-(B1995))))*IF(AND(ArtifactsInput!$M$42,((Inputs!$B$9+((C1976=TRUE)*(F1976-Calc!F19))+B1988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967">
        <f>IF(C1967,((H1967*B2000)/(1+Skills!H10*H1967*B2000)*N1967)*IF(Inputs!$B$38="pvp",1,(1+(Inputs!$B$21+Skills!Q10+(IF(ArtifactsInput!$M$33,CHOOSE(ArtifactsInput!$N$33+1,30,36,42,48,54,60),0))+(IF(AND(ArtifactsInput!$M$35,Inputs!$B$4&lt;&gt;"Chapter Hunt"),CHOOSE(ArtifactsInput!$N$35+1,15,18,21,24,27,30)*(1-EXP(-(0.2*B1990)*5)),0)+IF(AND(IF(ArtifactsInput!$M$22,FALSE,TRUE),Inputs!$B$4&lt;&gt;"Chapter Hunt"),CHOOSE(ArtifactsInput!$N$22+1,10,12,14,16,18,20)*((0*(((0.15*B1990*5))^0/1)+1*(((0.15*B1990*5))^1/1)+2*(((0.15*B1990*5))^2/2)+3*(((0.15*B1990*5))^3/6)+4*(((0.15*B1990*5))^4/24)+5*(((0.15*B1990*5))^5/120))/((((0.15*B1990*5))^0/1)+(((0.15*B1990*5))^1/1)+(((0.15*B1990*5))^2/2)+(((0.15*B1990*5))^3/6)+(((0.15*B1990*5))^4/24)+(((0.15*B1990*5))^5/120))),0))+IF(Inputs!$B$3&gt;=54,9*(C1960=TRUE)*MIN(1,8*(1+Inputs!$B$34/100)*Q1960)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68">
      <c r="A1968">
        <f>Skills!A11</f>
        <v/>
      </c>
      <c r="B1968">
        <f>Skills!B11</f>
        <v/>
      </c>
      <c r="C1968">
        <f>Inputs!$B$3&gt;=117</f>
        <v/>
      </c>
      <c r="D1968">
        <f>IF(Skills!C11=1,60+Inputs!$B$25+Inputs!$B$29,IF(Skills!C11=2,90+Inputs!$B$26+Inputs!$B$29,IF(Skills!C11=3,120+Inputs!$B$27+Inputs!$B$29,MAX(0,(Inputs!$B$3-100)*3)+Inputs!$B$28+Inputs!$B$29)))</f>
        <v/>
      </c>
      <c r="E1968">
        <f>INDEX(FactorTable!$B$2:$Y$301, MATCH(ROUND(MIN(300,MAX(1,D1968)),0), FactorTable!$A$2:$A$301,0), Skills!M11+1)</f>
        <v/>
      </c>
      <c r="F1968">
        <f>IF(Skills!N11=TRUE,(Skills!L11/10)*(E1968/1000),Skills!L11/10)+Skills!O11</f>
        <v/>
      </c>
      <c r="G1968">
        <f>Skills!G11*IF(Skills!H11&gt;0,INT(IF(Inputs!$B$38="pvp",MIN(Skills!I11,15),Skills!I11)/Skills!H11+0.000000001),1)</f>
        <v/>
      </c>
      <c r="H1968">
        <f>1-(1-Skills!J11/100)^Skills!K11</f>
        <v/>
      </c>
      <c r="I1968" t="inlineStr">
        <is>
          <t>1</t>
        </is>
      </c>
      <c r="J1968">
        <f>((Inputs!$B$6*(1+Inputs!$B$7/100))+(((Inputs!$B$12*(1+Inputs!$B$13/100))-(Inputs!$B$12*(1+Inputs!$B$13/100)))+0.25*(Inputs!$B$14-Inputs!$B$14))*(1+Inputs!$B$7/100))*(F1968/100)</f>
        <v/>
      </c>
      <c r="K1968">
        <f>J1968*(1+((Inputs!$B$12*(1+Inputs!$B$13/100))*0.01+Inputs!$B$14*0.0025)/100)*(1+Inputs!$B$15/100)*(1+Inputs!$B$16/100)*(5000/(6000+Inputs!$B$42*(1-(100*(1-(1-(Inputs!$B$19+0)/100)*(1-CHOOSE(ArtifactsInput!$N$40+1,5,6,7,8,9,10)/100)^(ArtifactsInput!$M$40-ArtifactsInput!$M$40)))/100)))*(1+(Inputs!$B$24+((C1983=TRUE)*(F1983-Calc!F26))+B1994)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IGHT_LEGS_EASTON",Inputs!$B$17+((C1980=TRUE)*(F1980-Calc!F23))+((C1984=TRUE)*(F1984-Calc!F27))+((IF(AND(Inputs!$B$38&lt;&gt;"pvp",Inputs!$B$43=0),1,IF(IF(Inputs!$B$38="pvp",15,Inputs!$B$43)-(B1995)&lt;=0,1,MAX(0,IF(Inputs!$B$38="pvp",15,Inputs!$B$43)-MAX(5,B1995))/(IF(Inputs!$B$38="pvp",15,Inputs!$B$43)-(B1995))))*(IF(AND(ArtifactsInput!$M$42,((Inputs!$B$9+((C1976=TRUE)*(F1976-Calc!F19))+B1988+(ArtifactsInput!$M$24-ArtifactsInput!$M$24)*CHOOSE(ArtifactsInput!$N$24+1,10,12,14,16,18,20)+IF(ArtifactsInput!$M$10,CHOOSE(ArtifactsInput!$N$10+1,15,18,21,24,27,30)*(IF(Inputs!$B$38="pvp",MIN(15,15)/15,IF(AND(Inputs!$B$38&lt;&gt;"pvp",Inputs!$B$43&gt;0),MIN(15,Inputs!$B$43)/(Inputs!$B$43),0))),0)))&gt;=100),MIN(100,((Inputs!$B$9+((C1976=TRUE)*(F1976-Calc!F19))+B1988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1995)&lt;=0,1,MAX(0,IF(Inputs!$B$38="pvp",15,Inputs!$B$43)-MAX(5,B1995))/(IF(Inputs!$B$38="pvp",15,Inputs!$B$43)-(B1995))))*IF(AND(ArtifactsInput!$M$42,((Inputs!$B$9+((C1976=TRUE)*(F1976-Calc!F19))+B1988+(ArtifactsInput!$M$24-ArtifactsInput!$M$24)*CHOOSE(ArtifactsInput!$N$24+1,10,12,14,16,18,20)+IF(ArtifactsInput!$M$10,CHOOSE(ArtifactsInput!$N$10+1,15,18,21,24,27,30)*(IF(Inputs!$B$38="pvp",MIN(15,15)/15,IF(AND(Inputs!$B$38&lt;&gt;"pvp",Inputs!$B$43&gt;0),MIN(15,Inputs!$B$43)/(Inputs!$B$43),0))),0)))&gt;=100),CHOOSE(ArtifactsInput!$N$42+1,40,48,56,64,72,80),0))))/100)*((1+(((C1974=TRUE)*F1974*5/7)+((C1981=TRUE)*(F1981-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1968)</f>
        <v/>
      </c>
      <c r="L1968">
        <f>K1968*(MIN(Inputs!$B$22+((C1979=TRUE)*(F1979-Calc!F22)),(Inputs!$B$23+0+(IF(ArtifactsInput!$M$15,CHOOSE(ArtifactsInput!$N$15+1,25,30,35,40,45,50)/100*(Inputs!$B$11-Inputs!$B$11),0))))/100+(Inputs!$B$23+0+(IF(ArtifactsInput!$M$15,CHOOSE(ArtifactsInput!$N$15+1,25,30,35,40,45,50)/100*(Inputs!$B$11-Inputs!$B$11),0)))/100)/2</f>
        <v/>
      </c>
      <c r="M1968">
        <f>L1968*(1+(Inputs!$B$10+((C1982=TRUE)*(F1982-Calc!F25))+B1993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68">
        <f>L1968*(1-MIN((Inputs!$B$9+((C1976=TRUE)*(F1976-Calc!F19))+B1988+(ArtifactsInput!$M$24-ArtifactsInput!$M$24)*CHOOSE(ArtifactsInput!$N$24+1,10,12,14,16,18,20)+(IF(AND(Inputs!$B$38&lt;&gt;"pvp",Inputs!$B$43=0),1,IF(IF(Inputs!$B$38="pvp",15,Inputs!$B$43)-(B1995)&lt;=0,1,MAX(0,IF(Inputs!$B$38="pvp",15,Inputs!$B$43)-MAX(5,B1995))/(IF(Inputs!$B$38="pvp",15,Inputs!$B$43)-(B1995))))*IF(AND(ArtifactsInput!$M$42,((Inputs!$B$9+((C1976=TRUE)*(F1976-Calc!F19))+B1988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1968*(MIN((Inputs!$B$9+((C1976=TRUE)*(F1976-Calc!F19))+B1988+(ArtifactsInput!$M$24-ArtifactsInput!$M$24)*CHOOSE(ArtifactsInput!$N$24+1,10,12,14,16,18,20)+(IF(AND(Inputs!$B$38&lt;&gt;"pvp",Inputs!$B$43=0),1,IF(IF(Inputs!$B$38="pvp",15,Inputs!$B$43)-(B1995)&lt;=0,1,MAX(0,IF(Inputs!$B$38="pvp",15,Inputs!$B$43)-MAX(5,B1995))/(IF(Inputs!$B$38="pvp",15,Inputs!$B$43)-(B1995))))*IF(AND(ArtifactsInput!$M$42,((Inputs!$B$9+((C1976=TRUE)*(F1976-Calc!F19))+B1988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68">
        <f>(1-Summary!$B$11)*T1968+Summary!$B$11*V1968</f>
        <v/>
      </c>
      <c r="P1968">
        <f>IF(B1998=0,0,O1968/B1998)</f>
        <v/>
      </c>
      <c r="Q1968">
        <f>IFERROR(1/((IF(Inputs!$B$38="pvp",15,MAX(0.1,Skills!D11-IF(TRUE=TRUE,Inputs!$B$32,0)))*(1-IF(AND(ArtifactsInput!$M$27,Inputs!$B$4="Chapter Hunt"),CHOOSE(ArtifactsInput!$N$27+1,20,24,28,32,36,40),0)/100))/B1999),0)</f>
        <v/>
      </c>
      <c r="R1968">
        <f>IF(AND(Inputs!$B$38&lt;&gt;"pvp",Inputs!$B$43&gt;0),IF(MAX(0,Inputs!$B$43-B1995)&lt;=0,0,(INT(MAX(0,Inputs!$B$43-B1995)/((IF(Inputs!$B$38="pvp",15,MAX(0.1,Skills!D11-IF(TRUE=TRUE,Inputs!$B$32,0)))*(1-IF(AND(ArtifactsInput!$M$27,Inputs!$B$4="Chapter Hunt"),CHOOSE(ArtifactsInput!$N$27+1,20,24,28,32,36,40),0)/100))/B1999))+1)),0)</f>
        <v/>
      </c>
      <c r="S1968">
        <f>IFERROR(O1968/N1968,0)</f>
        <v/>
      </c>
      <c r="T1968">
        <f>IF(C1968,(H1968*N1968*IF(AND(Inputs!$B$38&lt;&gt;"pvp",Inputs!$B$43&gt;0),((Skills!G11*((R1968-1)*IF(Skills!H11&gt;0,INT(Skills!I11/Skills!H11+0.000000001),1)+IF(Skills!H11&gt;0,INT(MIN(Skills!I11,MAX(0,MAX(0,Inputs!$B$43-B1995)-((R1968-1)*((IF(Inputs!$B$38="pvp",15,MAX(0.1,Skills!D11-IF(TRUE=TRUE,Inputs!$B$32,0)))*(1-IF(AND(ArtifactsInput!$M$27,Inputs!$B$4="Chapter Hunt"),CHOOSE(ArtifactsInput!$N$27+1,20,24,28,32,36,40),0)/100))/B1999))))/Skills!H11+0.000000001),1)))/Inputs!$B$43),G1968*Q1968))*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Hunt"),CHOOSE(ArtifactsInput!$N$35+1,15,18,21,24,27,30)*(1-EXP(-(0.2*B1990)*5)),0)+IF(AND(IF(ArtifactsInput!$M$22,FALSE,TRUE),Inputs!$B$4&lt;&gt;"Chapter Hunt"),CHOOSE(ArtifactsInput!$N$22+1,10,12,14,16,18,20)*((0*(((0.15*B1990*5))^0/1)+1*(((0.15*B1990*5))^1/1)+2*(((0.15*B1990*5))^2/2)+3*(((0.15*B1990*5))^3/6)+4*(((0.15*B1990*5))^4/24)+5*(((0.15*B1990*5))^5/120))/((((0.15*B1990*5))^0/1)+(((0.15*B1990*5))^1/1)+(((0.15*B1990*5))^2/2)+(((0.15*B1990*5))^3/6)+(((0.15*B1990*5))^4/24)+(((0.15*B1990*5))^5/120))),0))+IF(Inputs!$B$3&gt;=54,9*(C1960=TRUE)*MIN(1,8*(1+Inputs!$B$34/100)*Q1960)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1968*(1-MIN(100,(Inputs!$B$9+((C1976=TRUE)*(F1976-Calc!F19))+B1988+(ArtifactsInput!$M$24-ArtifactsInput!$M$24)*CHOOSE(ArtifactsInput!$N$24+1,10,12,14,16,18,20)+(IF(AND(Inputs!$B$38&lt;&gt;"pvp",Inputs!$B$43=0),1,IF(IF(Inputs!$B$38="pvp",15,Inputs!$B$43)-(B1995)&lt;=0,1,MAX(0,IF(Inputs!$B$38="pvp",15,Inputs!$B$43)-MAX(5,B1995))/(IF(Inputs!$B$38="pvp",15,Inputs!$B$43)-(B1995))))*IF(AND(ArtifactsInput!$M$42,((Inputs!$B$9+((C1976=TRUE)*(F1976-Calc!F19))+B1988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1968*(MIN(100,(Inputs!$B$9+((C1976=TRUE)*(F1976-Calc!F19))+B1988+(ArtifactsInput!$M$24-ArtifactsInput!$M$24)*CHOOSE(ArtifactsInput!$N$24+1,10,12,14,16,18,20)+(IF(AND(Inputs!$B$38&lt;&gt;"pvp",Inputs!$B$43=0),1,IF(IF(Inputs!$B$38="pvp",15,Inputs!$B$43)-(B1995)&lt;=0,1,MAX(0,IF(Inputs!$B$38="pvp",15,Inputs!$B$43)-MAX(5,B1995))/(IF(Inputs!$B$38="pvp",15,Inputs!$B$43)-(B1995))))*IF(AND(ArtifactsInput!$M$42,((Inputs!$B$9+((C1976=TRUE)*(F1976-Calc!F19))+B1988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1968*(1-MIN(100,(Inputs!$B$9+((C1976=TRUE)*(F1976-Calc!F19))+B1988+(ArtifactsInput!$M$24-ArtifactsInput!$M$24)*CHOOSE(ArtifactsInput!$N$24+1,10,12,14,16,18,20)+(IF(AND(Inputs!$B$38&lt;&gt;"pvp",Inputs!$B$43=0),1,IF(IF(Inputs!$B$38="pvp",15,Inputs!$B$43)-(B1995)&lt;=0,1,MAX(0,IF(Inputs!$B$38="pvp",15,Inputs!$B$43)-MAX(5,B1995))/(IF(Inputs!$B$38="pvp",15,Inputs!$B$43)-(B1995))))*IF(AND(ArtifactsInput!$M$42,((Inputs!$B$9+((C1976=TRUE)*(F1976-Calc!F19))+B1988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1968*(MIN(100,(Inputs!$B$9+((C1976=TRUE)*(F1976-Calc!F19))+B1988+(ArtifactsInput!$M$24-ArtifactsInput!$M$24)*CHOOSE(ArtifactsInput!$N$24+1,10,12,14,16,18,20)+(IF(AND(Inputs!$B$38&lt;&gt;"pvp",Inputs!$B$43=0),1,IF(IF(Inputs!$B$38="pvp",15,Inputs!$B$43)-(B1995)&lt;=0,1,MAX(0,IF(Inputs!$B$38="pvp",15,Inputs!$B$43)-MAX(5,B1995))/(IF(Inputs!$B$38="pvp",15,Inputs!$B$43)-(B1995))))*IF(AND(ArtifactsInput!$M$42,((Inputs!$B$9+((C1976=TRUE)*(F1976-Calc!F19))+B1988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968">
        <f>IF(C1968,(H1968*N1968*IF(AND(Inputs!$B$38&lt;&gt;"pvp",Inputs!$B$43&gt;0),((Skills!G11*((R1968-1)*IF(Skills!H11&gt;0,INT(Skills!I11/Skills!H11+0.000000001),1)+IF(Skills!H11&gt;0,INT(MIN(Skills!I11,MAX(0,MAX(0,Inputs!$B$43-B1995)-((R1968-1)*((IF(Inputs!$B$38="pvp",15,MAX(0.1,Skills!D11-IF(TRUE=TRUE,Inputs!$B$32,0)))*(1-IF(AND(ArtifactsInput!$M$27,Inputs!$B$4="Chapter Hunt"),CHOOSE(ArtifactsInput!$N$27+1,20,24,28,32,36,40),0)/100))/B1999))))/Skills!H11+0.000000001),1)))/Inputs!$B$43),G1968*Q1968))*IF(Inputs!$B$38="pvp",1,(1+(Inputs!$B$21+Skills!Q11+(IF(ArtifactsInput!$M$33,CHOOSE(ArtifactsInput!$N$33+1,30,36,42,48,54,60),0))+(IF(AND(ArtifactsInput!$M$35,Inputs!$B$4&lt;&gt;"Chapter Hunt"),CHOOSE(ArtifactsInput!$N$35+1,15,18,21,24,27,30)*(1-EXP(-(0.2*B1990)*5)),0)+IF(AND(IF(ArtifactsInput!$M$22,FALSE,TRUE),Inputs!$B$4&lt;&gt;"Chapter Hunt"),CHOOSE(ArtifactsInput!$N$22+1,10,12,14,16,18,20)*((0*(((0.15*B1990*5))^0/1)+1*(((0.15*B1990*5))^1/1)+2*(((0.15*B1990*5))^2/2)+3*(((0.15*B1990*5))^3/6)+4*(((0.15*B1990*5))^4/24)+5*(((0.15*B1990*5))^5/120))/((((0.15*B1990*5))^0/1)+(((0.15*B1990*5))^1/1)+(((0.15*B1990*5))^2/2)+(((0.15*B1990*5))^3/6)+(((0.15*B1990*5))^4/24)+(((0.15*B1990*5))^5/120))),0))+IF(Inputs!$B$3&gt;=54,9*(C1960=TRUE)*MIN(1,8*(1+Inputs!$B$34/100)*Q1960)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69">
      <c r="A1969">
        <f>Skills!A12</f>
        <v/>
      </c>
      <c r="B1969">
        <f>Skills!B12</f>
        <v/>
      </c>
      <c r="C1969">
        <f>Inputs!$B$3&gt;=110</f>
        <v/>
      </c>
      <c r="D1969">
        <f>IF(Skills!C12=1,60+Inputs!$B$25+Inputs!$B$29,IF(Skills!C12=2,90+Inputs!$B$26+Inputs!$B$29,IF(Skills!C12=3,120+Inputs!$B$27+Inputs!$B$29,MAX(0,(Inputs!$B$3-100)*3)+Inputs!$B$28+Inputs!$B$29)))</f>
        <v/>
      </c>
      <c r="E1969">
        <f>INDEX(FactorTable!$B$2:$Y$301, MATCH(ROUND(MIN(300,MAX(1,D1969)),0), FactorTable!$A$2:$A$301,0), Skills!M12+1)</f>
        <v/>
      </c>
      <c r="F1969">
        <f>IF(Skills!N12=TRUE,(Skills!L12/10)*(E1969/1000),Skills!L12/10)+Skills!O12</f>
        <v/>
      </c>
      <c r="G1969">
        <f>Skills!G12*IF(Skills!H12&gt;0,INT(IF(Inputs!$B$38="pvp",MIN(Skills!I12,15),Skills!I12)/Skills!H12+0.000000001),1)</f>
        <v/>
      </c>
      <c r="H1969">
        <f>1-(1-Skills!J12/100)^Skills!K12</f>
        <v/>
      </c>
      <c r="I1969" t="inlineStr">
        <is>
          <t>1</t>
        </is>
      </c>
      <c r="J1969">
        <f>((Inputs!$B$6*(1+Inputs!$B$7/100))+(((Inputs!$B$12*(1+Inputs!$B$13/100))-(Inputs!$B$12*(1+Inputs!$B$13/100)))+0.25*(Inputs!$B$14-Inputs!$B$14))*(1+Inputs!$B$7/100))*(F1969/100)</f>
        <v/>
      </c>
      <c r="K1969">
        <f>J1969*(1+((Inputs!$B$12*(1+Inputs!$B$13/100))*0.01+Inputs!$B$14*0.0025)/100)*(1+Inputs!$B$15/100)*(1+Inputs!$B$16/100)*(5000/(6000+Inputs!$B$42*(1-(100*(1-(1-(Inputs!$B$19+0)/100)*(1-CHOOSE(ArtifactsInput!$N$40+1,5,6,7,8,9,10)/100)^(ArtifactsInput!$M$40-ArtifactsInput!$M$40)))/100)))*(1+(Inputs!$B$24+((C1983=TRUE)*(F1983-Calc!F26))+B1994)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EIGHT_LEGS_EASTON",Inputs!$B$17+((C1980=TRUE)*(F1980-Calc!F23))+((C1984=TRUE)*(F1984-Calc!F27))+((IF(AND(Inputs!$B$38&lt;&gt;"pvp",Inputs!$B$43=0),1,IF(IF(Inputs!$B$38="pvp",15,Inputs!$B$43)-(B1995)&lt;=0,1,MAX(0,IF(Inputs!$B$38="pvp",15,Inputs!$B$43)-MAX(5,B1995))/(IF(Inputs!$B$38="pvp",15,Inputs!$B$43)-(B1995))))*(IF(AND(ArtifactsInput!$M$42,((Inputs!$B$9+((C1976=TRUE)*(F1976-Calc!F19))+B1988+(ArtifactsInput!$M$24-ArtifactsInput!$M$24)*CHOOSE(ArtifactsInput!$N$24+1,10,12,14,16,18,20)+IF(ArtifactsInput!$M$10,CHOOSE(ArtifactsInput!$N$10+1,15,18,21,24,27,30)*(IF(Inputs!$B$38="pvp",MIN(15,15)/15,IF(AND(Inputs!$B$38&lt;&gt;"pvp",Inputs!$B$43&gt;0),MIN(15,Inputs!$B$43)/(Inputs!$B$43),0))),0)))&gt;=100),MIN(100,((Inputs!$B$9+((C1976=TRUE)*(F1976-Calc!F19))+B1988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1995)&lt;=0,1,MAX(0,IF(Inputs!$B$38="pvp",15,Inputs!$B$43)-MAX(5,B1995))/(IF(Inputs!$B$38="pvp",15,Inputs!$B$43)-(B1995))))*IF(AND(ArtifactsInput!$M$42,((Inputs!$B$9+((C1976=TRUE)*(F1976-Calc!F19))+B1988+(ArtifactsInput!$M$24-ArtifactsInput!$M$24)*CHOOSE(ArtifactsInput!$N$24+1,10,12,14,16,18,20)+IF(ArtifactsInput!$M$10,CHOOSE(ArtifactsInput!$N$10+1,15,18,21,24,27,30)*(IF(Inputs!$B$38="pvp",MIN(15,15)/15,IF(AND(Inputs!$B$38&lt;&gt;"pvp",Inputs!$B$43&gt;0),MIN(15,Inputs!$B$43)/(Inputs!$B$43),0))),0)))&gt;=100),CHOOSE(ArtifactsInput!$N$42+1,40,48,56,64,72,80),0))))/100)*((1+(((C1974=TRUE)*F1974*5/7)+((C1981=TRUE)*(F1981-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1969)</f>
        <v/>
      </c>
      <c r="L1969">
        <f>K1969*(MIN(Inputs!$B$22+((C1979=TRUE)*(F1979-Calc!F22)),(Inputs!$B$23+0+(IF(ArtifactsInput!$M$15,CHOOSE(ArtifactsInput!$N$15+1,25,30,35,40,45,50)/100*(Inputs!$B$11-Inputs!$B$11),0))))/100+(Inputs!$B$23+0+(IF(ArtifactsInput!$M$15,CHOOSE(ArtifactsInput!$N$15+1,25,30,35,40,45,50)/100*(Inputs!$B$11-Inputs!$B$11),0)))/100)/2</f>
        <v/>
      </c>
      <c r="M1969">
        <f>L1969*(1+(Inputs!$B$10+((C1982=TRUE)*(F1982-Calc!F25))+B1993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69">
        <f>L1969*(1-MIN((Inputs!$B$9+((C1976=TRUE)*(F1976-Calc!F19))+B1988+(ArtifactsInput!$M$24-ArtifactsInput!$M$24)*CHOOSE(ArtifactsInput!$N$24+1,10,12,14,16,18,20)+(IF(AND(Inputs!$B$38&lt;&gt;"pvp",Inputs!$B$43=0),1,IF(IF(Inputs!$B$38="pvp",15,Inputs!$B$43)-(B1995)&lt;=0,1,MAX(0,IF(Inputs!$B$38="pvp",15,Inputs!$B$43)-MAX(5,B1995))/(IF(Inputs!$B$38="pvp",15,Inputs!$B$43)-(B1995))))*IF(AND(ArtifactsInput!$M$42,((Inputs!$B$9+((C1976=TRUE)*(F1976-Calc!F19))+B1988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1969*(MIN((Inputs!$B$9+((C1976=TRUE)*(F1976-Calc!F19))+B1988+(ArtifactsInput!$M$24-ArtifactsInput!$M$24)*CHOOSE(ArtifactsInput!$N$24+1,10,12,14,16,18,20)+(IF(AND(Inputs!$B$38&lt;&gt;"pvp",Inputs!$B$43=0),1,IF(IF(Inputs!$B$38="pvp",15,Inputs!$B$43)-(B1995)&lt;=0,1,MAX(0,IF(Inputs!$B$38="pvp",15,Inputs!$B$43)-MAX(5,B1995))/(IF(Inputs!$B$38="pvp",15,Inputs!$B$43)-(B1995))))*IF(AND(ArtifactsInput!$M$42,((Inputs!$B$9+((C1976=TRUE)*(F1976-Calc!F19))+B1988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69">
        <f>(1-Summary!$B$11)*T1969+Summary!$B$11*V1969</f>
        <v/>
      </c>
      <c r="P1969">
        <f>IF(B1998=0,0,O1969/B1998)</f>
        <v/>
      </c>
      <c r="Q1969">
        <f>IFERROR(1/(IF(Inputs!$B$38="pvp",15,MAX(0.1,Skills!D12-IF(TRUE=TRUE,Inputs!$B$32,0)))*(1-IF(AND(ArtifactsInput!$M$27,Inputs!$B$4="Chapter Hunt"),CHOOSE(ArtifactsInput!$N$27+1,20,24,28,32,36,40),0)/100)),0)</f>
        <v/>
      </c>
      <c r="R1969">
        <f>IF(AND(Inputs!$B$38&lt;&gt;"pvp",Inputs!$B$43&gt;0),IF(MAX(0,Inputs!$B$43-B1995)&lt;=0,0,(INT(MAX(0,Inputs!$B$43-B1995)/(IF(Inputs!$B$38="pvp",15,MAX(0.1,Skills!D12-IF(TRUE=TRUE,Inputs!$B$32,0)))*(1-IF(AND(ArtifactsInput!$M$27,Inputs!$B$4="Chapter Hunt"),CHOOSE(ArtifactsInput!$N$27+1,20,24,28,32,36,40),0)/100)))+1)),0)</f>
        <v/>
      </c>
      <c r="S1969">
        <f>IFERROR(O1969/N1969,0)</f>
        <v/>
      </c>
      <c r="T1969">
        <f>IF(C1969,(H1969*N1969*IF(AND(Inputs!$B$38&lt;&gt;"pvp",Inputs!$B$43&gt;0),((Skills!G12*((R1969-1)*IF(Skills!H12&gt;0,INT(Skills!I12/Skills!H12+0.000000001),1)+IF(Skills!H12&gt;0,INT(MIN(Skills!I12,MAX(0,MAX(0,Inputs!$B$43-B1995)-((R1969-1)*(IF(Inputs!$B$38="pvp",15,MAX(0.1,Skills!D12-IF(TRUE=TRUE,Inputs!$B$32,0)))*(1-IF(AND(ArtifactsInput!$M$27,Inputs!$B$4="Chapter Hunt"),CHOOSE(ArtifactsInput!$N$27+1,20,24,28,32,36,40),0)/100)))))/Skills!H12+0.000000001),1)))/Inputs!$B$43),G1969*Q1969))*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Hunt"),CHOOSE(ArtifactsInput!$N$35+1,15,18,21,24,27,30)*(1-EXP(-(0.2*B1990)*5)),0)+IF(AND(IF(ArtifactsInput!$M$22,FALSE,TRUE),Inputs!$B$4&lt;&gt;"Chapter Hunt"),CHOOSE(ArtifactsInput!$N$22+1,10,12,14,16,18,20)*((0*(((0.15*B1990*5))^0/1)+1*(((0.15*B1990*5))^1/1)+2*(((0.15*B1990*5))^2/2)+3*(((0.15*B1990*5))^3/6)+4*(((0.15*B1990*5))^4/24)+5*(((0.15*B1990*5))^5/120))/((((0.15*B1990*5))^0/1)+(((0.15*B1990*5))^1/1)+(((0.15*B1990*5))^2/2)+(((0.15*B1990*5))^3/6)+(((0.15*B1990*5))^4/24)+(((0.15*B1990*5))^5/120))),0))+IF(Inputs!$B$3&gt;=54,9*(C1960=TRUE)*MIN(1,8*(1+Inputs!$B$34/100)*Q1960)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1969*(1-MIN(100,(Inputs!$B$9+((C1976=TRUE)*(F1976-Calc!F19))+B1988+(ArtifactsInput!$M$24-ArtifactsInput!$M$24)*CHOOSE(ArtifactsInput!$N$24+1,10,12,14,16,18,20)+(IF(AND(Inputs!$B$38&lt;&gt;"pvp",Inputs!$B$43=0),1,IF(IF(Inputs!$B$38="pvp",15,Inputs!$B$43)-(B1995)&lt;=0,1,MAX(0,IF(Inputs!$B$38="pvp",15,Inputs!$B$43)-MAX(5,B1995))/(IF(Inputs!$B$38="pvp",15,Inputs!$B$43)-(B1995))))*IF(AND(ArtifactsInput!$M$42,((Inputs!$B$9+((C1976=TRUE)*(F1976-Calc!F19))+B1988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1969*(MIN(100,(Inputs!$B$9+((C1976=TRUE)*(F1976-Calc!F19))+B1988+(ArtifactsInput!$M$24-ArtifactsInput!$M$24)*CHOOSE(ArtifactsInput!$N$24+1,10,12,14,16,18,20)+(IF(AND(Inputs!$B$38&lt;&gt;"pvp",Inputs!$B$43=0),1,IF(IF(Inputs!$B$38="pvp",15,Inputs!$B$43)-(B1995)&lt;=0,1,MAX(0,IF(Inputs!$B$38="pvp",15,Inputs!$B$43)-MAX(5,B1995))/(IF(Inputs!$B$38="pvp",15,Inputs!$B$43)-(B1995))))*IF(AND(ArtifactsInput!$M$42,((Inputs!$B$9+((C1976=TRUE)*(F1976-Calc!F19))+B1988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1969*(1-MIN(100,(Inputs!$B$9+((C1976=TRUE)*(F1976-Calc!F19))+B1988+(ArtifactsInput!$M$24-ArtifactsInput!$M$24)*CHOOSE(ArtifactsInput!$N$24+1,10,12,14,16,18,20)+(IF(AND(Inputs!$B$38&lt;&gt;"pvp",Inputs!$B$43=0),1,IF(IF(Inputs!$B$38="pvp",15,Inputs!$B$43)-(B1995)&lt;=0,1,MAX(0,IF(Inputs!$B$38="pvp",15,Inputs!$B$43)-MAX(5,B1995))/(IF(Inputs!$B$38="pvp",15,Inputs!$B$43)-(B1995))))*IF(AND(ArtifactsInput!$M$42,((Inputs!$B$9+((C1976=TRUE)*(F1976-Calc!F19))+B1988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1969*(MIN(100,(Inputs!$B$9+((C1976=TRUE)*(F1976-Calc!F19))+B1988+(ArtifactsInput!$M$24-ArtifactsInput!$M$24)*CHOOSE(ArtifactsInput!$N$24+1,10,12,14,16,18,20)+(IF(AND(Inputs!$B$38&lt;&gt;"pvp",Inputs!$B$43=0),1,IF(IF(Inputs!$B$38="pvp",15,Inputs!$B$43)-(B1995)&lt;=0,1,MAX(0,IF(Inputs!$B$38="pvp",15,Inputs!$B$43)-MAX(5,B1995))/(IF(Inputs!$B$38="pvp",15,Inputs!$B$43)-(B1995))))*IF(AND(ArtifactsInput!$M$42,((Inputs!$B$9+((C1976=TRUE)*(F1976-Calc!F19))+B1988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969">
        <f>IF(C1969,(H1969*N1969*IF(AND(Inputs!$B$38&lt;&gt;"pvp",Inputs!$B$43&gt;0),((Skills!G12*((R1969-1)*IF(Skills!H12&gt;0,INT(Skills!I12/Skills!H12+0.000000001),1)+IF(Skills!H12&gt;0,INT(MIN(Skills!I12,MAX(0,MAX(0,Inputs!$B$43-B1995)-((R1969-1)*(IF(Inputs!$B$38="pvp",15,MAX(0.1,Skills!D12-IF(TRUE=TRUE,Inputs!$B$32,0)))*(1-IF(AND(ArtifactsInput!$M$27,Inputs!$B$4="Chapter Hunt"),CHOOSE(ArtifactsInput!$N$27+1,20,24,28,32,36,40),0)/100)))))/Skills!H12+0.000000001),1)))/Inputs!$B$43),G1969*Q1969))*IF(Inputs!$B$38="pvp",1,(1+(Inputs!$B$21+Skills!Q12+(IF(ArtifactsInput!$M$33,CHOOSE(ArtifactsInput!$N$33+1,30,36,42,48,54,60),0))+(IF(AND(ArtifactsInput!$M$35,Inputs!$B$4&lt;&gt;"Chapter Hunt"),CHOOSE(ArtifactsInput!$N$35+1,15,18,21,24,27,30)*(1-EXP(-(0.2*B1990)*5)),0)+IF(AND(IF(ArtifactsInput!$M$22,FALSE,TRUE),Inputs!$B$4&lt;&gt;"Chapter Hunt"),CHOOSE(ArtifactsInput!$N$22+1,10,12,14,16,18,20)*((0*(((0.15*B1990*5))^0/1)+1*(((0.15*B1990*5))^1/1)+2*(((0.15*B1990*5))^2/2)+3*(((0.15*B1990*5))^3/6)+4*(((0.15*B1990*5))^4/24)+5*(((0.15*B1990*5))^5/120))/((((0.15*B1990*5))^0/1)+(((0.15*B1990*5))^1/1)+(((0.15*B1990*5))^2/2)+(((0.15*B1990*5))^3/6)+(((0.15*B1990*5))^4/24)+(((0.15*B1990*5))^5/120))),0))+IF(Inputs!$B$3&gt;=54,9*(C1960=TRUE)*MIN(1,8*(1+Inputs!$B$34/100)*Q1960),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70">
      <c r="A1970">
        <f>Skills!A13</f>
        <v/>
      </c>
      <c r="B1970">
        <f>Skills!B13</f>
        <v/>
      </c>
      <c r="C1970">
        <f>Inputs!$B$3&gt;=110</f>
        <v/>
      </c>
      <c r="D1970">
        <f>IF(Skills!C13=1,60+Inputs!$B$25+Inputs!$B$29,IF(Skills!C13=2,90+Inputs!$B$26+Inputs!$B$29,IF(Skills!C13=3,120+Inputs!$B$27+Inputs!$B$29,MAX(0,(Inputs!$B$3-100)*3)+Inputs!$B$28+Inputs!$B$29)))</f>
        <v/>
      </c>
      <c r="E1970">
        <f>INDEX(FactorTable!$B$2:$Y$301, MATCH(ROUND(MIN(300,MAX(1,D1970)),0), FactorTable!$A$2:$A$301,0), Skills!M13+1)</f>
        <v/>
      </c>
      <c r="F1970">
        <f>IF(Skills!N13=TRUE,(Skills!L13/10)*(E1970/1000),Skills!L13/10)+Skills!O13</f>
        <v/>
      </c>
      <c r="G1970">
        <f>Skills!G13*IF(Skills!H13&gt;0,INT(IF(Inputs!$B$38="pvp",MIN(Skills!I13,15),Skills!I13)/Skills!H13+0.000000001),1)</f>
        <v/>
      </c>
      <c r="H1970">
        <f>1-(1-Skills!J13/100)^Skills!K13</f>
        <v/>
      </c>
      <c r="I1970" t="inlineStr">
        <is>
          <t>1</t>
        </is>
      </c>
      <c r="J1970">
        <f>((Inputs!$B$6*(1+Inputs!$B$7/100))+(((Inputs!$B$12*(1+Inputs!$B$13/100))-(Inputs!$B$12*(1+Inputs!$B$13/100)))+0.25*(Inputs!$B$14-Inputs!$B$14))*(1+Inputs!$B$7/100))*(F1970/100)</f>
        <v/>
      </c>
      <c r="K1970">
        <f>J1970*(1+((Inputs!$B$12*(1+Inputs!$B$13/100))*0.01+Inputs!$B$14*0.0025)/100)*(1+Inputs!$B$15/100)*(1+Inputs!$B$16/100)*(5000/(6000+Inputs!$B$42*(1-(100*(1-(1-(Inputs!$B$19+0)/100)*(1-CHOOSE(ArtifactsInput!$N$40+1,5,6,7,8,9,10)/100)^(ArtifactsInput!$M$40-ArtifactsInput!$M$40)))/100)))*(1+(Inputs!$B$24+((C1983=TRUE)*(F1983-Calc!F26))+B1994)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EIGHT_LEGS_EASTON",Inputs!$B$17+((C1980=TRUE)*(F1980-Calc!F23))+((C1984=TRUE)*(F1984-Calc!F27))+((IF(AND(Inputs!$B$38&lt;&gt;"pvp",Inputs!$B$43=0),1,IF(IF(Inputs!$B$38="pvp",15,Inputs!$B$43)-(B1995)&lt;=0,1,MAX(0,IF(Inputs!$B$38="pvp",15,Inputs!$B$43)-MAX(5,B1995))/(IF(Inputs!$B$38="pvp",15,Inputs!$B$43)-(B1995))))*(IF(AND(ArtifactsInput!$M$42,((Inputs!$B$9+((C1976=TRUE)*(F1976-Calc!F19))+B1988+(ArtifactsInput!$M$24-ArtifactsInput!$M$24)*CHOOSE(ArtifactsInput!$N$24+1,10,12,14,16,18,20)+IF(ArtifactsInput!$M$10,CHOOSE(ArtifactsInput!$N$10+1,15,18,21,24,27,30)*(IF(Inputs!$B$38="pvp",MIN(15,15)/15,IF(AND(Inputs!$B$38&lt;&gt;"pvp",Inputs!$B$43&gt;0),MIN(15,Inputs!$B$43)/(Inputs!$B$43),0))),0)))&gt;=100),MIN(100,((Inputs!$B$9+((C1976=TRUE)*(F1976-Calc!F19))+B1988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1995)&lt;=0,1,MAX(0,IF(Inputs!$B$38="pvp",15,Inputs!$B$43)-MAX(5,B1995))/(IF(Inputs!$B$38="pvp",15,Inputs!$B$43)-(B1995))))*IF(AND(ArtifactsInput!$M$42,((Inputs!$B$9+((C1976=TRUE)*(F1976-Calc!F19))+B1988+(ArtifactsInput!$M$24-ArtifactsInput!$M$24)*CHOOSE(ArtifactsInput!$N$24+1,10,12,14,16,18,20)+IF(ArtifactsInput!$M$10,CHOOSE(ArtifactsInput!$N$10+1,15,18,21,24,27,30)*(IF(Inputs!$B$38="pvp",MIN(15,15)/15,IF(AND(Inputs!$B$38&lt;&gt;"pvp",Inputs!$B$43&gt;0),MIN(15,Inputs!$B$43)/(Inputs!$B$43),0))),0)))&gt;=100),CHOOSE(ArtifactsInput!$N$42+1,40,48,56,64,72,80),0))))/100)*((1+(((C1974=TRUE)*F1974*5/7)+((C1981=TRUE)*(F1981-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1970)</f>
        <v/>
      </c>
      <c r="L1970">
        <f>K1970*(MIN(Inputs!$B$22+((C1979=TRUE)*(F1979-Calc!F22)),(Inputs!$B$23+0+(IF(ArtifactsInput!$M$15,CHOOSE(ArtifactsInput!$N$15+1,25,30,35,40,45,50)/100*(Inputs!$B$11-Inputs!$B$11),0))))/100+(Inputs!$B$23+0+(IF(ArtifactsInput!$M$15,CHOOSE(ArtifactsInput!$N$15+1,25,30,35,40,45,50)/100*(Inputs!$B$11-Inputs!$B$11),0)))/100)/2</f>
        <v/>
      </c>
      <c r="M1970">
        <f>L1970*(1+(Inputs!$B$10+((C1982=TRUE)*(F1982-Calc!F25))+B1993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70">
        <f>L1970*(1-MIN((Inputs!$B$9+((C1976=TRUE)*(F1976-Calc!F19))+B1988+(ArtifactsInput!$M$24-ArtifactsInput!$M$24)*CHOOSE(ArtifactsInput!$N$24+1,10,12,14,16,18,20)+(IF(AND(Inputs!$B$38&lt;&gt;"pvp",Inputs!$B$43=0),1,IF(IF(Inputs!$B$38="pvp",15,Inputs!$B$43)-(B1995)&lt;=0,1,MAX(0,IF(Inputs!$B$38="pvp",15,Inputs!$B$43)-MAX(5,B1995))/(IF(Inputs!$B$38="pvp",15,Inputs!$B$43)-(B1995))))*IF(AND(ArtifactsInput!$M$42,((Inputs!$B$9+((C1976=TRUE)*(F1976-Calc!F19))+B1988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1970*(MIN((Inputs!$B$9+((C1976=TRUE)*(F1976-Calc!F19))+B1988+(ArtifactsInput!$M$24-ArtifactsInput!$M$24)*CHOOSE(ArtifactsInput!$N$24+1,10,12,14,16,18,20)+(IF(AND(Inputs!$B$38&lt;&gt;"pvp",Inputs!$B$43=0),1,IF(IF(Inputs!$B$38="pvp",15,Inputs!$B$43)-(B1995)&lt;=0,1,MAX(0,IF(Inputs!$B$38="pvp",15,Inputs!$B$43)-MAX(5,B1995))/(IF(Inputs!$B$38="pvp",15,Inputs!$B$43)-(B1995))))*IF(AND(ArtifactsInput!$M$42,((Inputs!$B$9+((C1976=TRUE)*(F1976-Calc!F19))+B1988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70">
        <f>(1-Summary!$B$11)*T1970+Summary!$B$11*V1970</f>
        <v/>
      </c>
      <c r="P1970">
        <f>IF(B1998=0,0,O1970/B1998)</f>
        <v/>
      </c>
      <c r="Q1970">
        <f>IFERROR(1/(IF(Inputs!$B$38="pvp",15,MAX(0.1,Skills!D13-IF(TRUE=TRUE,Inputs!$B$32,0)))*(1-IF(AND(ArtifactsInput!$M$27,Inputs!$B$4="Chapter Hunt"),CHOOSE(ArtifactsInput!$N$27+1,20,24,28,32,36,40),0)/100)),0)</f>
        <v/>
      </c>
      <c r="R1970">
        <f>IF(AND(Inputs!$B$38&lt;&gt;"pvp",Inputs!$B$43&gt;0),IF(MAX(0,Inputs!$B$43-B1995)&lt;=0,0,(INT(MAX(0,Inputs!$B$43-B1995)/(IF(Inputs!$B$38="pvp",15,MAX(0.1,Skills!D13-IF(TRUE=TRUE,Inputs!$B$32,0)))*(1-IF(AND(ArtifactsInput!$M$27,Inputs!$B$4="Chapter Hunt"),CHOOSE(ArtifactsInput!$N$27+1,20,24,28,32,36,40),0)/100)))+1)),0)</f>
        <v/>
      </c>
      <c r="S1970">
        <f>IFERROR(O1970/N1970,0)</f>
        <v/>
      </c>
      <c r="T1970">
        <f>IF(C1970,(H1970*N1970*IF(AND(Inputs!$B$38&lt;&gt;"pvp",Inputs!$B$43&gt;0),((Skills!G13*((R1970-1)*IF(Skills!H13&gt;0,INT(Skills!I13/Skills!H13+0.000000001),1)+IF(Skills!H13&gt;0,INT(MIN(Skills!I13,MAX(0,MAX(0,Inputs!$B$43-B1995)-((R1970-1)*(IF(Inputs!$B$38="pvp",15,MAX(0.1,Skills!D13-IF(TRUE=TRUE,Inputs!$B$32,0)))*(1-IF(AND(ArtifactsInput!$M$27,Inputs!$B$4="Chapter Hunt"),CHOOSE(ArtifactsInput!$N$27+1,20,24,28,32,36,40),0)/100)))))/Skills!H13+0.000000001),1)))/Inputs!$B$43),G1970*Q1970))*IF(Inputs!$B$38="pvp",1,1+(Inputs!$B$20+0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Hunt"),CHOOSE(ArtifactsInput!$N$35+1,15,18,21,24,27,30)*(1-EXP(-(0.2*B1990)*5)),0)+IF(AND(IF(ArtifactsInput!$M$22,FALSE,TRUE),Inputs!$B$4&lt;&gt;"Chapter Hunt"),CHOOSE(ArtifactsInput!$N$22+1,10,12,14,16,18,20)*((0*(((0.15*B1990*5))^0/1)+1*(((0.15*B1990*5))^1/1)+2*(((0.15*B1990*5))^2/2)+3*(((0.15*B1990*5))^3/6)+4*(((0.15*B1990*5))^4/24)+5*(((0.15*B1990*5))^5/120))/((((0.15*B1990*5))^0/1)+(((0.15*B1990*5))^1/1)+(((0.15*B1990*5))^2/2)+(((0.15*B1990*5))^3/6)+(((0.15*B1990*5))^4/24)+(((0.15*B1990*5))^5/120))),0))+IF(Inputs!$B$3&gt;=54,9*(C1960=TRUE)*MIN(1,8*(1+Inputs!$B$34/100)*Q1960)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1970*(1-MIN(100,(Inputs!$B$9+((C1976=TRUE)*(F1976-Calc!F19))+B1988+(ArtifactsInput!$M$24-ArtifactsInput!$M$24)*CHOOSE(ArtifactsInput!$N$24+1,10,12,14,16,18,20)+(IF(AND(Inputs!$B$38&lt;&gt;"pvp",Inputs!$B$43=0),1,IF(IF(Inputs!$B$38="pvp",15,Inputs!$B$43)-(B1995)&lt;=0,1,MAX(0,IF(Inputs!$B$38="pvp",15,Inputs!$B$43)-MAX(5,B1995))/(IF(Inputs!$B$38="pvp",15,Inputs!$B$43)-(B1995))))*IF(AND(ArtifactsInput!$M$42,((Inputs!$B$9+((C1976=TRUE)*(F1976-Calc!F19))+B1988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1970*(MIN(100,(Inputs!$B$9+((C1976=TRUE)*(F1976-Calc!F19))+B1988+(ArtifactsInput!$M$24-ArtifactsInput!$M$24)*CHOOSE(ArtifactsInput!$N$24+1,10,12,14,16,18,20)+(IF(AND(Inputs!$B$38&lt;&gt;"pvp",Inputs!$B$43=0),1,IF(IF(Inputs!$B$38="pvp",15,Inputs!$B$43)-(B1995)&lt;=0,1,MAX(0,IF(Inputs!$B$38="pvp",15,Inputs!$B$43)-MAX(5,B1995))/(IF(Inputs!$B$38="pvp",15,Inputs!$B$43)-(B1995))))*IF(AND(ArtifactsInput!$M$42,((Inputs!$B$9+((C1976=TRUE)*(F1976-Calc!F19))+B1988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1970*(1-MIN(100,(Inputs!$B$9+((C1976=TRUE)*(F1976-Calc!F19))+B1988+(ArtifactsInput!$M$24-ArtifactsInput!$M$24)*CHOOSE(ArtifactsInput!$N$24+1,10,12,14,16,18,20)+(IF(AND(Inputs!$B$38&lt;&gt;"pvp",Inputs!$B$43=0),1,IF(IF(Inputs!$B$38="pvp",15,Inputs!$B$43)-(B1995)&lt;=0,1,MAX(0,IF(Inputs!$B$38="pvp",15,Inputs!$B$43)-MAX(5,B1995))/(IF(Inputs!$B$38="pvp",15,Inputs!$B$43)-(B1995))))*IF(AND(ArtifactsInput!$M$42,((Inputs!$B$9+((C1976=TRUE)*(F1976-Calc!F19))+B1988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1970*(MIN(100,(Inputs!$B$9+((C1976=TRUE)*(F1976-Calc!F19))+B1988+(ArtifactsInput!$M$24-ArtifactsInput!$M$24)*CHOOSE(ArtifactsInput!$N$24+1,10,12,14,16,18,20)+(IF(AND(Inputs!$B$38&lt;&gt;"pvp",Inputs!$B$43=0),1,IF(IF(Inputs!$B$38="pvp",15,Inputs!$B$43)-(B1995)&lt;=0,1,MAX(0,IF(Inputs!$B$38="pvp",15,Inputs!$B$43)-MAX(5,B1995))/(IF(Inputs!$B$38="pvp",15,Inputs!$B$43)-(B1995))))*IF(AND(ArtifactsInput!$M$42,((Inputs!$B$9+((C1976=TRUE)*(F1976-Calc!F19))+B1988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970">
        <f>IF(C1970,(H1970*N1970*IF(AND(Inputs!$B$38&lt;&gt;"pvp",Inputs!$B$43&gt;0),((Skills!G13*((R1970-1)*IF(Skills!H13&gt;0,INT(Skills!I13/Skills!H13+0.000000001),1)+IF(Skills!H13&gt;0,INT(MIN(Skills!I13,MAX(0,MAX(0,Inputs!$B$43-B1995)-((R1970-1)*(IF(Inputs!$B$38="pvp",15,MAX(0.1,Skills!D13-IF(TRUE=TRUE,Inputs!$B$32,0)))*(1-IF(AND(ArtifactsInput!$M$27,Inputs!$B$4="Chapter Hunt"),CHOOSE(ArtifactsInput!$N$27+1,20,24,28,32,36,40),0)/100)))))/Skills!H13+0.000000001),1)))/Inputs!$B$43),G1970*Q1970))*IF(Inputs!$B$38="pvp",1,(1+(Inputs!$B$21+Skills!Q13+(IF(ArtifactsInput!$M$33,CHOOSE(ArtifactsInput!$N$33+1,30,36,42,48,54,60),0))+(IF(AND(ArtifactsInput!$M$35,Inputs!$B$4&lt;&gt;"Chapter Hunt"),CHOOSE(ArtifactsInput!$N$35+1,15,18,21,24,27,30)*(1-EXP(-(0.2*B1990)*5)),0)+IF(AND(IF(ArtifactsInput!$M$22,FALSE,TRUE),Inputs!$B$4&lt;&gt;"Chapter Hunt"),CHOOSE(ArtifactsInput!$N$22+1,10,12,14,16,18,20)*((0*(((0.15*B1990*5))^0/1)+1*(((0.15*B1990*5))^1/1)+2*(((0.15*B1990*5))^2/2)+3*(((0.15*B1990*5))^3/6)+4*(((0.15*B1990*5))^4/24)+5*(((0.15*B1990*5))^5/120))/((((0.15*B1990*5))^0/1)+(((0.15*B1990*5))^1/1)+(((0.15*B1990*5))^2/2)+(((0.15*B1990*5))^3/6)+(((0.15*B1990*5))^4/24)+(((0.15*B1990*5))^5/120))),0))+IF(Inputs!$B$3&gt;=54,9*(C1960=TRUE)*MIN(1,8*(1+Inputs!$B$34/100)*Q1960),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71">
      <c r="A1971">
        <f>Skills!A14</f>
        <v/>
      </c>
      <c r="B1971">
        <f>Skills!B14</f>
        <v/>
      </c>
      <c r="C1971">
        <f>Inputs!$B$3&gt;=120</f>
        <v/>
      </c>
      <c r="D1971">
        <f>IF(Skills!C14=1,60+Inputs!$B$25+Inputs!$B$29,IF(Skills!C14=2,90+Inputs!$B$26+Inputs!$B$29,IF(Skills!C14=3,120+Inputs!$B$27+Inputs!$B$29,MAX(0,(Inputs!$B$3-100)*3)+Inputs!$B$28+Inputs!$B$29)))</f>
        <v/>
      </c>
      <c r="E1971">
        <f>INDEX(FactorTable!$B$2:$Y$301, MATCH(ROUND(MIN(300,MAX(1,D1971)),0), FactorTable!$A$2:$A$301,0), Skills!M14+1)</f>
        <v/>
      </c>
      <c r="F1971">
        <f>IF(Skills!N14=TRUE,(Skills!L14/10)*(E1971/1000),Skills!L14/10)+Skills!O14</f>
        <v/>
      </c>
      <c r="G1971">
        <f>Skills!G14*IF(Skills!H14&gt;0,INT(IF(Inputs!$B$38="pvp",MIN(Skills!I14,15),Skills!I14)/Skills!H14+0.000000001),1)</f>
        <v/>
      </c>
      <c r="H1971">
        <f>1-(1-Skills!J14/100)^Skills!K14</f>
        <v/>
      </c>
      <c r="I1971" t="inlineStr">
        <is>
          <t>1</t>
        </is>
      </c>
      <c r="J1971">
        <f>((Inputs!$B$6*(1+Inputs!$B$7/100))+(((Inputs!$B$12*(1+Inputs!$B$13/100))-(Inputs!$B$12*(1+Inputs!$B$13/100)))+0.25*(Inputs!$B$14-Inputs!$B$14))*(1+Inputs!$B$7/100))*(F1971/100)</f>
        <v/>
      </c>
      <c r="K1971">
        <f>J1971*(1+((Inputs!$B$12*(1+Inputs!$B$13/100))*0.01+Inputs!$B$14*0.0025)/100)*(1+Inputs!$B$15/100)*(1+Inputs!$B$16/100)*(5000/(6000+Inputs!$B$42*(1-(100*(1-(1-(Inputs!$B$19+0)/100)*(1-CHOOSE(ArtifactsInput!$N$40+1,5,6,7,8,9,10)/100)^(ArtifactsInput!$M$40-ArtifactsInput!$M$40)))/100)))*(1+(Inputs!$B$24+((C1983=TRUE)*(F1983-Calc!F26))+B1994)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EIGHT_LEGS_EASTON",Inputs!$B$17+((C1980=TRUE)*(F1980-Calc!F23))+((C1984=TRUE)*(F1984-Calc!F27))+((IF(AND(Inputs!$B$38&lt;&gt;"pvp",Inputs!$B$43=0),1,IF(IF(Inputs!$B$38="pvp",15,Inputs!$B$43)-(B1995)&lt;=0,1,MAX(0,IF(Inputs!$B$38="pvp",15,Inputs!$B$43)-MAX(5,B1995))/(IF(Inputs!$B$38="pvp",15,Inputs!$B$43)-(B1995))))*(IF(AND(ArtifactsInput!$M$42,((Inputs!$B$9+((C1976=TRUE)*(F1976-Calc!F19))+B1988+(ArtifactsInput!$M$24-ArtifactsInput!$M$24)*CHOOSE(ArtifactsInput!$N$24+1,10,12,14,16,18,20)+IF(ArtifactsInput!$M$10,CHOOSE(ArtifactsInput!$N$10+1,15,18,21,24,27,30)*(IF(Inputs!$B$38="pvp",MIN(15,15)/15,IF(AND(Inputs!$B$38&lt;&gt;"pvp",Inputs!$B$43&gt;0),MIN(15,Inputs!$B$43)/(Inputs!$B$43),0))),0)))&gt;=100),MIN(100,((Inputs!$B$9+((C1976=TRUE)*(F1976-Calc!F19))+B1988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1995)&lt;=0,1,MAX(0,IF(Inputs!$B$38="pvp",15,Inputs!$B$43)-MAX(5,B1995))/(IF(Inputs!$B$38="pvp",15,Inputs!$B$43)-(B1995))))*IF(AND(ArtifactsInput!$M$42,((Inputs!$B$9+((C1976=TRUE)*(F1976-Calc!F19))+B1988+(ArtifactsInput!$M$24-ArtifactsInput!$M$24)*CHOOSE(ArtifactsInput!$N$24+1,10,12,14,16,18,20)+IF(ArtifactsInput!$M$10,CHOOSE(ArtifactsInput!$N$10+1,15,18,21,24,27,30)*(IF(Inputs!$B$38="pvp",MIN(15,15)/15,IF(AND(Inputs!$B$38&lt;&gt;"pvp",Inputs!$B$43&gt;0),MIN(15,Inputs!$B$43)/(Inputs!$B$43),0))),0)))&gt;=100),CHOOSE(ArtifactsInput!$N$42+1,40,48,56,64,72,80),0))))/100)*((1+(((C1974=TRUE)*F1974*5/7)+((C1981=TRUE)*(F1981-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1971)</f>
        <v/>
      </c>
      <c r="L1971">
        <f>K1971*(MIN(Inputs!$B$22+((C1979=TRUE)*(F1979-Calc!F22)),(Inputs!$B$23+0+(IF(ArtifactsInput!$M$15,CHOOSE(ArtifactsInput!$N$15+1,25,30,35,40,45,50)/100*(Inputs!$B$11-Inputs!$B$11),0))))/100+(Inputs!$B$23+0+(IF(ArtifactsInput!$M$15,CHOOSE(ArtifactsInput!$N$15+1,25,30,35,40,45,50)/100*(Inputs!$B$11-Inputs!$B$11),0)))/100)/2</f>
        <v/>
      </c>
      <c r="M1971">
        <f>L1971*(1+(Inputs!$B$10+((C1982=TRUE)*(F1982-Calc!F25))+B1993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71">
        <f>L1971*(1-MIN((Inputs!$B$9+((C1976=TRUE)*(F1976-Calc!F19))+B1988+(ArtifactsInput!$M$24-ArtifactsInput!$M$24)*CHOOSE(ArtifactsInput!$N$24+1,10,12,14,16,18,20)+(IF(AND(Inputs!$B$38&lt;&gt;"pvp",Inputs!$B$43=0),1,IF(IF(Inputs!$B$38="pvp",15,Inputs!$B$43)-(B1995)&lt;=0,1,MAX(0,IF(Inputs!$B$38="pvp",15,Inputs!$B$43)-MAX(5,B1995))/(IF(Inputs!$B$38="pvp",15,Inputs!$B$43)-(B1995))))*IF(AND(ArtifactsInput!$M$42,((Inputs!$B$9+((C1976=TRUE)*(F1976-Calc!F19))+B1988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1971*(MIN((Inputs!$B$9+((C1976=TRUE)*(F1976-Calc!F19))+B1988+(ArtifactsInput!$M$24-ArtifactsInput!$M$24)*CHOOSE(ArtifactsInput!$N$24+1,10,12,14,16,18,20)+(IF(AND(Inputs!$B$38&lt;&gt;"pvp",Inputs!$B$43=0),1,IF(IF(Inputs!$B$38="pvp",15,Inputs!$B$43)-(B1995)&lt;=0,1,MAX(0,IF(Inputs!$B$38="pvp",15,Inputs!$B$43)-MAX(5,B1995))/(IF(Inputs!$B$38="pvp",15,Inputs!$B$43)-(B1995))))*IF(AND(ArtifactsInput!$M$42,((Inputs!$B$9+((C1976=TRUE)*(F1976-Calc!F19))+B1988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71">
        <f>(1-Summary!$B$11)*T1971+Summary!$B$11*V1971</f>
        <v/>
      </c>
      <c r="P1971">
        <f>IF(B1998=0,0,O1971/B1998)</f>
        <v/>
      </c>
      <c r="Q1971" t="n">
        <v>0</v>
      </c>
      <c r="R1971" t="n">
        <v>0</v>
      </c>
      <c r="S1971">
        <f>IFERROR(O1971/N1971,0)</f>
        <v/>
      </c>
      <c r="T1971">
        <f>IF(C1971,((H1971*(B1992+IF(AND(Inputs!$B$38&lt;&gt;"pvp",Inputs!$B$43&gt;0),((Skills!G8*((R1965-1)*IF(Skills!H8&gt;0,INT(Skills!I8/Skills!H8+0.000000001),1)+IF(Skills!H8&gt;0,INT(MIN(Skills!I8,MAX(0,MAX(0,Inputs!$B$43-B1995)-((R1965-1)*((IF(Inputs!$B$38="pvp",15,MAX(0.1,Skills!D8-IF(TRUE=TRUE,Inputs!$B$32,0)))*(1-IF(AND(ArtifactsInput!$M$27,Inputs!$B$4="Chapter Hunt"),CHOOSE(ArtifactsInput!$N$27+1,20,24,28,32,36,40),0)/100))/B1999))))/Skills!H8+0.000000001),1)))/Inputs!$B$43),G1965*Q1965)+IF(AND(Inputs!$B$38&lt;&gt;"pvp",Inputs!$B$43&gt;0),((Skills!G11*((R1968-1)*IF(Skills!H11&gt;0,INT(Skills!I11/Skills!H11+0.000000001),1)+IF(Skills!H11&gt;0,INT(MIN(Skills!I11,MAX(0,MAX(0,Inputs!$B$43-B1995)-((R1968-1)*((IF(Inputs!$B$38="pvp",15,MAX(0.1,Skills!D11-IF(TRUE=TRUE,Inputs!$B$32,0)))*(1-IF(AND(ArtifactsInput!$M$27,Inputs!$B$4="Chapter Hunt"),CHOOSE(ArtifactsInput!$N$27+1,20,24,28,32,36,40),0)/100))/B1999))))/Skills!H11+0.000000001),1)))/Inputs!$B$43),G1968*Q1968)))/(1+Skills!H14*H1971*(B1992+IF(AND(Inputs!$B$38&lt;&gt;"pvp",Inputs!$B$43&gt;0),((Skills!G8*((R1965-1)*IF(Skills!H8&gt;0,INT(Skills!I8/Skills!H8+0.000000001),1)+IF(Skills!H8&gt;0,INT(MIN(Skills!I8,MAX(0,MAX(0,Inputs!$B$43-B1995)-((R1965-1)*((IF(Inputs!$B$38="pvp",15,MAX(0.1,Skills!D8-IF(TRUE=TRUE,Inputs!$B$32,0)))*(1-IF(AND(ArtifactsInput!$M$27,Inputs!$B$4="Chapter Hunt"),CHOOSE(ArtifactsInput!$N$27+1,20,24,28,32,36,40),0)/100))/B1999))))/Skills!H8+0.000000001),1)))/Inputs!$B$43),G1965*Q1965)+IF(AND(Inputs!$B$38&lt;&gt;"pvp",Inputs!$B$43&gt;0),((Skills!G11*((R1968-1)*IF(Skills!H11&gt;0,INT(Skills!I11/Skills!H11+0.000000001),1)+IF(Skills!H11&gt;0,INT(MIN(Skills!I11,MAX(0,MAX(0,Inputs!$B$43-B1995)-((R1968-1)*((IF(Inputs!$B$38="pvp",15,MAX(0.1,Skills!D11-IF(TRUE=TRUE,Inputs!$B$32,0)))*(1-IF(AND(ArtifactsInput!$M$27,Inputs!$B$4="Chapter Hunt"),CHOOSE(ArtifactsInput!$N$27+1,20,24,28,32,36,40),0)/100))/B1999))))/Skills!H11+0.000000001),1)))/Inputs!$B$43),G1968*Q1968)))*N1971)*IF(Inputs!$B$38="pvp",1,1+(Inputs!$B$20+0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Hunt"),CHOOSE(ArtifactsInput!$N$35+1,15,18,21,24,27,30)*(1-EXP(-(0.2*B1990)*5)),0)+IF(AND(IF(ArtifactsInput!$M$22,FALSE,TRUE),Inputs!$B$4&lt;&gt;"Chapter Hunt"),CHOOSE(ArtifactsInput!$N$22+1,10,12,14,16,18,20)*((0*(((0.15*B1990*5))^0/1)+1*(((0.15*B1990*5))^1/1)+2*(((0.15*B1990*5))^2/2)+3*(((0.15*B1990*5))^3/6)+4*(((0.15*B1990*5))^4/24)+5*(((0.15*B1990*5))^5/120))/((((0.15*B1990*5))^0/1)+(((0.15*B1990*5))^1/1)+(((0.15*B1990*5))^2/2)+(((0.15*B1990*5))^3/6)+(((0.15*B1990*5))^4/24)+(((0.15*B1990*5))^5/120))),0))+IF(Inputs!$B$3&gt;=54,9*(C1960=TRUE)*MIN(1,8*(1+Inputs!$B$34/100)*Q1960)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1971*(1-MIN(100,(Inputs!$B$9+((C1976=TRUE)*(F1976-Calc!F19))+B1988+(ArtifactsInput!$M$24-ArtifactsInput!$M$24)*CHOOSE(ArtifactsInput!$N$24+1,10,12,14,16,18,20)+(IF(AND(Inputs!$B$38&lt;&gt;"pvp",Inputs!$B$43=0),1,IF(IF(Inputs!$B$38="pvp",15,Inputs!$B$43)-(B1995)&lt;=0,1,MAX(0,IF(Inputs!$B$38="pvp",15,Inputs!$B$43)-MAX(5,B1995))/(IF(Inputs!$B$38="pvp",15,Inputs!$B$43)-(B1995))))*IF(AND(ArtifactsInput!$M$42,((Inputs!$B$9+((C1976=TRUE)*(F1976-Calc!F19))+B1988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1971*(MIN(100,(Inputs!$B$9+((C1976=TRUE)*(F1976-Calc!F19))+B1988+(ArtifactsInput!$M$24-ArtifactsInput!$M$24)*CHOOSE(ArtifactsInput!$N$24+1,10,12,14,16,18,20)+(IF(AND(Inputs!$B$38&lt;&gt;"pvp",Inputs!$B$43=0),1,IF(IF(Inputs!$B$38="pvp",15,Inputs!$B$43)-(B1995)&lt;=0,1,MAX(0,IF(Inputs!$B$38="pvp",15,Inputs!$B$43)-MAX(5,B1995))/(IF(Inputs!$B$38="pvp",15,Inputs!$B$43)-(B1995))))*IF(AND(ArtifactsInput!$M$42,((Inputs!$B$9+((C1976=TRUE)*(F1976-Calc!F19))+B1988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1971*(1-MIN(100,(Inputs!$B$9+((C1976=TRUE)*(F1976-Calc!F19))+B1988+(ArtifactsInput!$M$24-ArtifactsInput!$M$24)*CHOOSE(ArtifactsInput!$N$24+1,10,12,14,16,18,20)+(IF(AND(Inputs!$B$38&lt;&gt;"pvp",Inputs!$B$43=0),1,IF(IF(Inputs!$B$38="pvp",15,Inputs!$B$43)-(B1995)&lt;=0,1,MAX(0,IF(Inputs!$B$38="pvp",15,Inputs!$B$43)-MAX(5,B1995))/(IF(Inputs!$B$38="pvp",15,Inputs!$B$43)-(B1995))))*IF(AND(ArtifactsInput!$M$42,((Inputs!$B$9+((C1976=TRUE)*(F1976-Calc!F19))+B1988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1971*(MIN(100,(Inputs!$B$9+((C1976=TRUE)*(F1976-Calc!F19))+B1988+(ArtifactsInput!$M$24-ArtifactsInput!$M$24)*CHOOSE(ArtifactsInput!$N$24+1,10,12,14,16,18,20)+(IF(AND(Inputs!$B$38&lt;&gt;"pvp",Inputs!$B$43=0),1,IF(IF(Inputs!$B$38="pvp",15,Inputs!$B$43)-(B1995)&lt;=0,1,MAX(0,IF(Inputs!$B$38="pvp",15,Inputs!$B$43)-MAX(5,B1995))/(IF(Inputs!$B$38="pvp",15,Inputs!$B$43)-(B1995))))*IF(AND(ArtifactsInput!$M$42,((Inputs!$B$9+((C1976=TRUE)*(F1976-Calc!F19))+B1988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971">
        <f>IF(C1971,((H1971*(B1992+IF(AND(Inputs!$B$38&lt;&gt;"pvp",Inputs!$B$43&gt;0),((Skills!G8*((R1965-1)*IF(Skills!H8&gt;0,INT(Skills!I8/Skills!H8+0.000000001),1)+IF(Skills!H8&gt;0,INT(MIN(Skills!I8,MAX(0,MAX(0,Inputs!$B$43-B1995)-((R1965-1)*((IF(Inputs!$B$38="pvp",15,MAX(0.1,Skills!D8-IF(TRUE=TRUE,Inputs!$B$32,0)))*(1-IF(AND(ArtifactsInput!$M$27,Inputs!$B$4="Chapter Hunt"),CHOOSE(ArtifactsInput!$N$27+1,20,24,28,32,36,40),0)/100))/B1999))))/Skills!H8+0.000000001),1)))/Inputs!$B$43),G1965*Q1965)+IF(AND(Inputs!$B$38&lt;&gt;"pvp",Inputs!$B$43&gt;0),((Skills!G11*((R1968-1)*IF(Skills!H11&gt;0,INT(Skills!I11/Skills!H11+0.000000001),1)+IF(Skills!H11&gt;0,INT(MIN(Skills!I11,MAX(0,MAX(0,Inputs!$B$43-B1995)-((R1968-1)*((IF(Inputs!$B$38="pvp",15,MAX(0.1,Skills!D11-IF(TRUE=TRUE,Inputs!$B$32,0)))*(1-IF(AND(ArtifactsInput!$M$27,Inputs!$B$4="Chapter Hunt"),CHOOSE(ArtifactsInput!$N$27+1,20,24,28,32,36,40),0)/100))/B1999))))/Skills!H11+0.000000001),1)))/Inputs!$B$43),G1968*Q1968)))/(1+Skills!H14*H1971*(B1992+IF(AND(Inputs!$B$38&lt;&gt;"pvp",Inputs!$B$43&gt;0),((Skills!G8*((R1965-1)*IF(Skills!H8&gt;0,INT(Skills!I8/Skills!H8+0.000000001),1)+IF(Skills!H8&gt;0,INT(MIN(Skills!I8,MAX(0,MAX(0,Inputs!$B$43-B1995)-((R1965-1)*((IF(Inputs!$B$38="pvp",15,MAX(0.1,Skills!D8-IF(TRUE=TRUE,Inputs!$B$32,0)))*(1-IF(AND(ArtifactsInput!$M$27,Inputs!$B$4="Chapter Hunt"),CHOOSE(ArtifactsInput!$N$27+1,20,24,28,32,36,40),0)/100))/B1999))))/Skills!H8+0.000000001),1)))/Inputs!$B$43),G1965*Q1965)+IF(AND(Inputs!$B$38&lt;&gt;"pvp",Inputs!$B$43&gt;0),((Skills!G11*((R1968-1)*IF(Skills!H11&gt;0,INT(Skills!I11/Skills!H11+0.000000001),1)+IF(Skills!H11&gt;0,INT(MIN(Skills!I11,MAX(0,MAX(0,Inputs!$B$43-B1995)-((R1968-1)*((IF(Inputs!$B$38="pvp",15,MAX(0.1,Skills!D11-IF(TRUE=TRUE,Inputs!$B$32,0)))*(1-IF(AND(ArtifactsInput!$M$27,Inputs!$B$4="Chapter Hunt"),CHOOSE(ArtifactsInput!$N$27+1,20,24,28,32,36,40),0)/100))/B1999))))/Skills!H11+0.000000001),1)))/Inputs!$B$43),G1968*Q1968)))*N1971)*IF(Inputs!$B$38="pvp",1,(1+(Inputs!$B$21+Skills!Q14+(IF(ArtifactsInput!$M$33,CHOOSE(ArtifactsInput!$N$33+1,30,36,42,48,54,60),0))+(IF(AND(ArtifactsInput!$M$35,Inputs!$B$4&lt;&gt;"Chapter Hunt"),CHOOSE(ArtifactsInput!$N$35+1,15,18,21,24,27,30)*(1-EXP(-(0.2*B1990)*5)),0)+IF(AND(IF(ArtifactsInput!$M$22,FALSE,TRUE),Inputs!$B$4&lt;&gt;"Chapter Hunt"),CHOOSE(ArtifactsInput!$N$22+1,10,12,14,16,18,20)*((0*(((0.15*B1990*5))^0/1)+1*(((0.15*B1990*5))^1/1)+2*(((0.15*B1990*5))^2/2)+3*(((0.15*B1990*5))^3/6)+4*(((0.15*B1990*5))^4/24)+5*(((0.15*B1990*5))^5/120))/((((0.15*B1990*5))^0/1)+(((0.15*B1990*5))^1/1)+(((0.15*B1990*5))^2/2)+(((0.15*B1990*5))^3/6)+(((0.15*B1990*5))^4/24)+(((0.15*B1990*5))^5/120))),0))+IF(Inputs!$B$3&gt;=54,9*(C1960=TRUE)*MIN(1,8*(1+Inputs!$B$34/100)*Q1960),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72">
      <c r="A1972">
        <f>Skills!A15</f>
        <v/>
      </c>
      <c r="B1972">
        <f>Skills!B15</f>
        <v/>
      </c>
      <c r="C1972">
        <f>Inputs!$B$3&gt;=100</f>
        <v/>
      </c>
      <c r="D1972">
        <f>IF(Skills!C15=1,60+Inputs!$B$25+Inputs!$B$29,IF(Skills!C15=2,90+Inputs!$B$26+Inputs!$B$29,IF(Skills!C15=3,120+Inputs!$B$27+Inputs!$B$29,MAX(0,(Inputs!$B$3-100)*3)+Inputs!$B$28+Inputs!$B$29)))</f>
        <v/>
      </c>
      <c r="E1972">
        <f>INDEX(FactorTable!$B$2:$Y$301, MATCH(ROUND(MIN(300,MAX(1,D1972)),0), FactorTable!$A$2:$A$301,0), Skills!M15+1)</f>
        <v/>
      </c>
      <c r="F1972">
        <f>IF(Skills!N15=TRUE,(Skills!L15/10)*(E1972/1000),Skills!L15/10)+Skills!O15</f>
        <v/>
      </c>
      <c r="G1972" t="inlineStr"/>
      <c r="H1972" t="inlineStr"/>
      <c r="I1972" t="inlineStr">
        <is>
          <t>1</t>
        </is>
      </c>
      <c r="J1972" t="inlineStr"/>
      <c r="K1972" t="inlineStr"/>
      <c r="L1972" t="inlineStr"/>
      <c r="M1972" t="inlineStr"/>
      <c r="N1972" t="inlineStr"/>
      <c r="O1972" t="inlineStr"/>
      <c r="P1972" t="inlineStr"/>
      <c r="Q1972" t="inlineStr"/>
      <c r="R1972" t="inlineStr"/>
      <c r="S1972" t="inlineStr"/>
    </row>
    <row r="1973">
      <c r="A1973">
        <f>Skills!A16</f>
        <v/>
      </c>
      <c r="B1973">
        <f>Skills!B16</f>
        <v/>
      </c>
      <c r="C1973">
        <f>Inputs!$B$3&gt;=107</f>
        <v/>
      </c>
      <c r="D1973">
        <f>IF(Skills!C16=1,60+Inputs!$B$25+Inputs!$B$29,IF(Skills!C16=2,90+Inputs!$B$26+Inputs!$B$29,IF(Skills!C16=3,120+Inputs!$B$27+Inputs!$B$29,MAX(0,(Inputs!$B$3-100)*3)+Inputs!$B$28+Inputs!$B$29)))</f>
        <v/>
      </c>
      <c r="E1973">
        <f>INDEX(FactorTable!$B$2:$Y$301, MATCH(ROUND(MIN(300,MAX(1,D1973)),0), FactorTable!$A$2:$A$301,0), Skills!M16+1)</f>
        <v/>
      </c>
      <c r="F1973">
        <f>IF(Skills!N16=TRUE,(Skills!L16/10)*(E1973/1000),Skills!L16/10)+Skills!O16</f>
        <v/>
      </c>
      <c r="G1973" t="inlineStr"/>
      <c r="H1973" t="inlineStr"/>
      <c r="I1973" t="inlineStr">
        <is>
          <t>1</t>
        </is>
      </c>
      <c r="J1973" t="inlineStr"/>
      <c r="K1973" t="inlineStr"/>
      <c r="L1973" t="inlineStr"/>
      <c r="M1973" t="inlineStr"/>
      <c r="N1973" t="inlineStr"/>
      <c r="O1973" t="inlineStr"/>
      <c r="P1973" t="inlineStr"/>
      <c r="Q1973" t="inlineStr"/>
      <c r="R1973" t="inlineStr"/>
      <c r="S1973" t="inlineStr"/>
    </row>
    <row r="1974">
      <c r="A1974">
        <f>Skills!A17</f>
        <v/>
      </c>
      <c r="B1974">
        <f>Skills!B17</f>
        <v/>
      </c>
      <c r="C1974">
        <f>Inputs!$B$3&gt;=74</f>
        <v/>
      </c>
      <c r="D1974">
        <f>IF(Skills!C17=1,60+Inputs!$B$25+Inputs!$B$29,IF(Skills!C17=2,90+Inputs!$B$26+Inputs!$B$29,IF(Skills!C17=3,120+Inputs!$B$27+Inputs!$B$29,MAX(0,(Inputs!$B$3-100)*3)+Inputs!$B$28+Inputs!$B$29)))</f>
        <v/>
      </c>
      <c r="E1974">
        <f>INDEX(FactorTable!$B$2:$Y$301, MATCH(ROUND(MIN(300,MAX(1,D1974)),0), FactorTable!$A$2:$A$301,0), Skills!M17+1)</f>
        <v/>
      </c>
      <c r="F1974">
        <f>IF(Skills!N17=TRUE,(Skills!L17/10)*(E1974/1000),Skills!L17/10)+Skills!O17</f>
        <v/>
      </c>
      <c r="G1974">
        <f>Skills!G17*IF(Skills!H17&gt;0,INT(IF(Inputs!$B$38="pvp",MIN(Skills!I17,15),Skills!I17)/Skills!H17+0.000000001),1)</f>
        <v/>
      </c>
      <c r="H1974">
        <f>1-(1-Skills!J17/100)^Skills!K17</f>
        <v/>
      </c>
      <c r="I1974" t="inlineStr">
        <is>
          <t>1</t>
        </is>
      </c>
      <c r="J1974" t="inlineStr"/>
      <c r="K1974" t="inlineStr"/>
      <c r="L1974" t="inlineStr"/>
      <c r="M1974" t="inlineStr"/>
      <c r="N1974" t="inlineStr"/>
      <c r="O1974">
        <f>(1-Summary!$B$11)*T1974+Summary!$B$11*V1974</f>
        <v/>
      </c>
      <c r="P1974">
        <f>IF(B1998=0,0,O1974/B1998)</f>
        <v/>
      </c>
      <c r="Q1974" t="n">
        <v>0</v>
      </c>
      <c r="R1974" t="n">
        <v>0</v>
      </c>
      <c r="S1974">
        <f>IFERROR(O1974/N1974,0)</f>
        <v/>
      </c>
      <c r="T1974" t="n">
        <v>0</v>
      </c>
      <c r="V1974" t="n">
        <v>0</v>
      </c>
    </row>
    <row r="1975">
      <c r="A1975">
        <f>Skills!A18</f>
        <v/>
      </c>
      <c r="B1975">
        <f>Skills!B18</f>
        <v/>
      </c>
      <c r="C1975">
        <f>Inputs!$B$3&gt;=115</f>
        <v/>
      </c>
      <c r="D1975">
        <f>IF(Skills!C18=1,60+Inputs!$B$25+Inputs!$B$29,IF(Skills!C18=2,90+Inputs!$B$26+Inputs!$B$29,IF(Skills!C18=3,120+Inputs!$B$27+Inputs!$B$29,MAX(0,(Inputs!$B$3-100)*3)+Inputs!$B$28+Inputs!$B$29)))</f>
        <v/>
      </c>
      <c r="E1975">
        <f>INDEX(FactorTable!$B$2:$Y$301, MATCH(ROUND(MIN(300,MAX(1,D1975)),0), FactorTable!$A$2:$A$301,0), Skills!M18+1)</f>
        <v/>
      </c>
      <c r="F1975">
        <f>IF(Skills!N18=TRUE,(Skills!L18/10)*(E1975/1000),Skills!L18/10)+Skills!O18</f>
        <v/>
      </c>
      <c r="G1975">
        <f>Skills!G18*IF(Skills!H18&gt;0,INT(IF(Inputs!$B$38="pvp",MIN(Skills!I18,15),Skills!I18)/Skills!H18+0.000000001),1)</f>
        <v/>
      </c>
      <c r="H1975">
        <f>1-(1-Skills!J18/100)^Skills!K18</f>
        <v/>
      </c>
      <c r="I1975" t="inlineStr">
        <is>
          <t>1</t>
        </is>
      </c>
      <c r="J1975" t="inlineStr"/>
      <c r="K1975" t="inlineStr"/>
      <c r="L1975" t="inlineStr"/>
      <c r="M1975" t="inlineStr"/>
      <c r="N1975" t="inlineStr"/>
      <c r="O1975">
        <f>(1-Summary!$B$11)*T1975+Summary!$B$11*V1975</f>
        <v/>
      </c>
      <c r="P1975">
        <f>IF(B1998=0,0,O1975/B1998)</f>
        <v/>
      </c>
      <c r="Q1975">
        <f>IFERROR(1/(IF(Inputs!$B$38="pvp",15,MAX(0.1,Skills!D18-IF(TRUE=TRUE,Inputs!$B$32,0)))*(1-IF(AND(ArtifactsInput!$M$27,Inputs!$B$4="Chapter Hunt"),CHOOSE(ArtifactsInput!$N$27+1,20,24,28,32,36,40),0)/100)),0)</f>
        <v/>
      </c>
      <c r="R1975">
        <f>IF(AND(Inputs!$B$38&lt;&gt;"pvp",Inputs!$B$43&gt;0),IF(Inputs!$B$43&lt;=0,0,(INT(Inputs!$B$43/(IF(Inputs!$B$38="pvp",15,MAX(0.1,Skills!D18-IF(TRUE=TRUE,Inputs!$B$32,0)))*(1-IF(AND(ArtifactsInput!$M$27,Inputs!$B$4="Chapter Hunt"),CHOOSE(ArtifactsInput!$N$27+1,20,24,28,32,36,40),0)/100)))+1)),0)</f>
        <v/>
      </c>
      <c r="S1975">
        <f>IFERROR(O1975/N1975,0)</f>
        <v/>
      </c>
      <c r="T1975" t="n">
        <v>0</v>
      </c>
      <c r="V1975" t="n">
        <v>0</v>
      </c>
    </row>
    <row r="1976">
      <c r="A1976">
        <f>Skills!A19</f>
        <v/>
      </c>
      <c r="B1976">
        <f>Skills!B19</f>
        <v/>
      </c>
      <c r="C1976">
        <f>Inputs!$B$3&gt;=10</f>
        <v/>
      </c>
      <c r="D1976">
        <f>IF(Skills!C19=1,60+Inputs!$B$25+Inputs!$B$29,IF(Skills!C19=2,90+Inputs!$B$26+Inputs!$B$29,IF(Skills!C19=3,120+Inputs!$B$27+Inputs!$B$29,MAX(0,(Inputs!$B$3-100)*3)+Inputs!$B$28+Inputs!$B$29)))</f>
        <v/>
      </c>
      <c r="E1976">
        <f>INDEX(FactorTable!$B$2:$Y$301, MATCH(ROUND(MIN(300,MAX(1,D1976)),0), FactorTable!$A$2:$A$301,0), Skills!M19+1)</f>
        <v/>
      </c>
      <c r="F1976">
        <f>IF(Skills!N19=TRUE,(Skills!L19/10)*(E1976/1000),Skills!L19/10)+Skills!O19</f>
        <v/>
      </c>
      <c r="G1976">
        <f>Skills!G19*IF(Skills!H19&gt;0,INT(IF(Inputs!$B$38="pvp",MIN(Skills!I19,15),Skills!I19)/Skills!H19+0.000000001),1)</f>
        <v/>
      </c>
      <c r="H1976">
        <f>1-(1-Skills!J19/100)^Skills!K19</f>
        <v/>
      </c>
      <c r="I1976" t="inlineStr">
        <is>
          <t>1</t>
        </is>
      </c>
      <c r="J1976" t="inlineStr"/>
      <c r="K1976" t="inlineStr"/>
      <c r="L1976" t="inlineStr"/>
      <c r="M1976" t="inlineStr"/>
      <c r="N1976" t="inlineStr"/>
      <c r="O1976">
        <f>(1-Summary!$B$11)*T1976+Summary!$B$11*V1976</f>
        <v/>
      </c>
      <c r="P1976">
        <f>IF(B1998=0,0,O1976/B1998)</f>
        <v/>
      </c>
      <c r="Q1976" t="n">
        <v>0</v>
      </c>
      <c r="R1976" t="n">
        <v>0</v>
      </c>
      <c r="S1976">
        <f>IFERROR(O1976/N1976,0)</f>
        <v/>
      </c>
      <c r="T1976" t="n">
        <v>0</v>
      </c>
      <c r="V1976" t="n">
        <v>0</v>
      </c>
    </row>
    <row r="1977">
      <c r="A1977">
        <f>Skills!A20</f>
        <v/>
      </c>
      <c r="B1977">
        <f>Skills!B20</f>
        <v/>
      </c>
      <c r="C1977">
        <f>Inputs!$B$3&gt;=15</f>
        <v/>
      </c>
      <c r="D1977">
        <f>IF(Skills!C20=1,60+Inputs!$B$25+Inputs!$B$29,IF(Skills!C20=2,90+Inputs!$B$26+Inputs!$B$29,IF(Skills!C20=3,120+Inputs!$B$27+Inputs!$B$29,MAX(0,(Inputs!$B$3-100)*3)+Inputs!$B$28+Inputs!$B$29)))</f>
        <v/>
      </c>
      <c r="E1977">
        <f>INDEX(FactorTable!$B$2:$Y$301, MATCH(ROUND(MIN(300,MAX(1,D1977)),0), FactorTable!$A$2:$A$301,0), Skills!M20+1)</f>
        <v/>
      </c>
      <c r="F1977">
        <f>IF(Skills!N20=TRUE,(Skills!L20/10)*(E1977/1000),Skills!L20/10)+Skills!O20</f>
        <v/>
      </c>
      <c r="G1977">
        <f>Skills!G20*IF(Skills!H20&gt;0,INT(IF(Inputs!$B$38="pvp",MIN(Skills!I20,15),Skills!I20)/Skills!H20+0.000000001),1)</f>
        <v/>
      </c>
      <c r="H1977">
        <f>1-(1-Skills!J20/100)^Skills!K20</f>
        <v/>
      </c>
      <c r="I1977" t="inlineStr">
        <is>
          <t>1</t>
        </is>
      </c>
      <c r="J1977" t="inlineStr"/>
      <c r="K1977" t="inlineStr"/>
      <c r="L1977" t="inlineStr"/>
      <c r="M1977" t="inlineStr"/>
      <c r="N1977" t="inlineStr"/>
      <c r="O1977">
        <f>(1-Summary!$B$11)*T1977+Summary!$B$11*V1977</f>
        <v/>
      </c>
      <c r="P1977">
        <f>IF(B1998=0,0,O1977/B1998)</f>
        <v/>
      </c>
      <c r="Q1977" t="n">
        <v>0</v>
      </c>
      <c r="R1977" t="n">
        <v>0</v>
      </c>
      <c r="S1977">
        <f>IFERROR(O1977/N1977,0)</f>
        <v/>
      </c>
      <c r="T1977" t="n">
        <v>0</v>
      </c>
      <c r="V1977" t="n">
        <v>0</v>
      </c>
    </row>
    <row r="1978">
      <c r="A1978">
        <f>Skills!A21</f>
        <v/>
      </c>
      <c r="B1978">
        <f>Skills!B21</f>
        <v/>
      </c>
      <c r="C1978">
        <f>Inputs!$B$3&gt;=40</f>
        <v/>
      </c>
      <c r="D1978">
        <f>IF(Skills!C21=1,60+Inputs!$B$25+Inputs!$B$29,IF(Skills!C21=2,90+Inputs!$B$26+Inputs!$B$29,IF(Skills!C21=3,120+Inputs!$B$27+Inputs!$B$29,MAX(0,(Inputs!$B$3-100)*3)+Inputs!$B$28+Inputs!$B$29)))</f>
        <v/>
      </c>
      <c r="E1978">
        <f>INDEX(FactorTable!$B$2:$Y$301, MATCH(ROUND(MIN(300,MAX(1,D1978)),0), FactorTable!$A$2:$A$301,0), Skills!M21+1)</f>
        <v/>
      </c>
      <c r="F1978">
        <f>IF(Skills!N21=TRUE,(Skills!L21/10)*(E1978/1000),Skills!L21/10)+Skills!O21</f>
        <v/>
      </c>
      <c r="G1978">
        <f>Skills!G21*IF(Skills!H21&gt;0,INT(IF(Inputs!$B$38="pvp",MIN(Skills!I21,15),Skills!I21)/Skills!H21+0.000000001),1)</f>
        <v/>
      </c>
      <c r="H1978">
        <f>1-(1-Skills!J21/100)^Skills!K21</f>
        <v/>
      </c>
      <c r="I1978" t="inlineStr">
        <is>
          <t>1</t>
        </is>
      </c>
      <c r="J1978" t="inlineStr"/>
      <c r="K1978" t="inlineStr"/>
      <c r="L1978" t="inlineStr"/>
      <c r="M1978" t="inlineStr"/>
      <c r="N1978" t="inlineStr"/>
      <c r="O1978">
        <f>(1-Summary!$B$11)*T1978+Summary!$B$11*V1978</f>
        <v/>
      </c>
      <c r="P1978">
        <f>IF(B1998=0,0,O1978/B1998)</f>
        <v/>
      </c>
      <c r="Q1978" t="n">
        <v>0</v>
      </c>
      <c r="R1978" t="n">
        <v>0</v>
      </c>
      <c r="S1978">
        <f>IFERROR(O1978/N1978,0)</f>
        <v/>
      </c>
      <c r="T1978" t="n">
        <v>0</v>
      </c>
      <c r="V1978" t="n">
        <v>0</v>
      </c>
    </row>
    <row r="1979">
      <c r="A1979">
        <f>Skills!A22</f>
        <v/>
      </c>
      <c r="B1979">
        <f>Skills!B22</f>
        <v/>
      </c>
      <c r="C1979">
        <f>Inputs!$B$3&gt;=43</f>
        <v/>
      </c>
      <c r="D1979">
        <f>IF(Skills!C22=1,60+Inputs!$B$25+Inputs!$B$29,IF(Skills!C22=2,90+Inputs!$B$26+Inputs!$B$29,IF(Skills!C22=3,120+Inputs!$B$27+Inputs!$B$29,MAX(0,(Inputs!$B$3-100)*3)+Inputs!$B$28+Inputs!$B$29)))</f>
        <v/>
      </c>
      <c r="E1979">
        <f>INDEX(FactorTable!$B$2:$Y$301, MATCH(ROUND(MIN(300,MAX(1,D1979)),0), FactorTable!$A$2:$A$301,0), Skills!M22+1)</f>
        <v/>
      </c>
      <c r="F1979">
        <f>IF(Skills!N22=TRUE,(Skills!L22/10)*(E1979/1000),Skills!L22/10)+Skills!O22</f>
        <v/>
      </c>
      <c r="G1979">
        <f>Skills!G22*IF(Skills!H22&gt;0,INT(IF(Inputs!$B$38="pvp",MIN(Skills!I22,15),Skills!I22)/Skills!H22+0.000000001),1)</f>
        <v/>
      </c>
      <c r="H1979">
        <f>1-(1-Skills!J22/100)^Skills!K22</f>
        <v/>
      </c>
      <c r="I1979" t="inlineStr">
        <is>
          <t>1</t>
        </is>
      </c>
      <c r="J1979" t="inlineStr"/>
      <c r="K1979" t="inlineStr"/>
      <c r="L1979" t="inlineStr"/>
      <c r="M1979" t="inlineStr"/>
      <c r="N1979" t="inlineStr"/>
      <c r="O1979">
        <f>(1-Summary!$B$11)*T1979+Summary!$B$11*V1979</f>
        <v/>
      </c>
      <c r="P1979">
        <f>IF(B1998=0,0,O1979/B1998)</f>
        <v/>
      </c>
      <c r="Q1979" t="n">
        <v>0</v>
      </c>
      <c r="R1979" t="n">
        <v>0</v>
      </c>
      <c r="S1979">
        <f>IFERROR(O1979/N1979,0)</f>
        <v/>
      </c>
      <c r="T1979" t="n">
        <v>0</v>
      </c>
      <c r="V1979" t="n">
        <v>0</v>
      </c>
    </row>
    <row r="1980">
      <c r="A1980">
        <f>Skills!A23</f>
        <v/>
      </c>
      <c r="B1980">
        <f>Skills!B23</f>
        <v/>
      </c>
      <c r="C1980">
        <f>Inputs!$B$3&gt;=38</f>
        <v/>
      </c>
      <c r="D1980">
        <f>IF(Skills!C23=1,60+Inputs!$B$25+Inputs!$B$29,IF(Skills!C23=2,90+Inputs!$B$26+Inputs!$B$29,IF(Skills!C23=3,120+Inputs!$B$27+Inputs!$B$29,MAX(0,(Inputs!$B$3-100)*3)+Inputs!$B$28+Inputs!$B$29)))</f>
        <v/>
      </c>
      <c r="E1980">
        <f>INDEX(FactorTable!$B$2:$Y$301, MATCH(ROUND(MIN(300,MAX(1,D1980)),0), FactorTable!$A$2:$A$301,0), Skills!M23+1)</f>
        <v/>
      </c>
      <c r="F1980">
        <f>IF(Skills!N23=TRUE,(Skills!L23/10)*(E1980/1000),Skills!L23/10)+Skills!O23</f>
        <v/>
      </c>
      <c r="G1980">
        <f>Skills!G23*IF(Skills!H23&gt;0,INT(IF(Inputs!$B$38="pvp",MIN(Skills!I23,15),Skills!I23)/Skills!H23+0.000000001),1)</f>
        <v/>
      </c>
      <c r="H1980">
        <f>1-(1-Skills!J23/100)^Skills!K23</f>
        <v/>
      </c>
      <c r="I1980" t="inlineStr">
        <is>
          <t>1</t>
        </is>
      </c>
      <c r="J1980" t="inlineStr"/>
      <c r="K1980" t="inlineStr"/>
      <c r="L1980" t="inlineStr"/>
      <c r="M1980" t="inlineStr"/>
      <c r="N1980" t="inlineStr"/>
      <c r="O1980">
        <f>(1-Summary!$B$11)*T1980+Summary!$B$11*V1980</f>
        <v/>
      </c>
      <c r="P1980">
        <f>IF(B1998=0,0,O1980/B1998)</f>
        <v/>
      </c>
      <c r="Q1980" t="n">
        <v>0</v>
      </c>
      <c r="R1980" t="n">
        <v>0</v>
      </c>
      <c r="S1980">
        <f>IFERROR(O1980/N1980,0)</f>
        <v/>
      </c>
      <c r="T1980" t="n">
        <v>0</v>
      </c>
      <c r="V1980" t="n">
        <v>0</v>
      </c>
    </row>
    <row r="1981">
      <c r="A1981">
        <f>Skills!A24</f>
        <v/>
      </c>
      <c r="B1981">
        <f>Skills!B24</f>
        <v/>
      </c>
      <c r="C1981">
        <f>Inputs!$B$3&gt;=45</f>
        <v/>
      </c>
      <c r="D1981">
        <f>IF(Skills!C24=1,60+Inputs!$B$25+Inputs!$B$29,IF(Skills!C24=2,90+Inputs!$B$26+Inputs!$B$29,IF(Skills!C24=3,120+Inputs!$B$27+Inputs!$B$29,MAX(0,(Inputs!$B$3-100)*3)+Inputs!$B$28+Inputs!$B$29)))</f>
        <v/>
      </c>
      <c r="E1981">
        <f>INDEX(FactorTable!$B$2:$Y$301, MATCH(ROUND(MIN(300,MAX(1,D1981)),0), FactorTable!$A$2:$A$301,0), Skills!M24+1)</f>
        <v/>
      </c>
      <c r="F1981">
        <f>IF(Skills!N24=TRUE,(Skills!L24/10)*(E1981/1000),Skills!L24/10)+Skills!O24</f>
        <v/>
      </c>
      <c r="G1981">
        <f>Skills!G24*IF(Skills!H24&gt;0,INT(IF(Inputs!$B$38="pvp",MIN(Skills!I24,15),Skills!I24)/Skills!H24+0.000000001),1)</f>
        <v/>
      </c>
      <c r="H1981">
        <f>1-(1-Skills!J24/100)^Skills!K24</f>
        <v/>
      </c>
      <c r="I1981" t="inlineStr">
        <is>
          <t>1</t>
        </is>
      </c>
      <c r="J1981" t="inlineStr"/>
      <c r="K1981" t="inlineStr"/>
      <c r="L1981" t="inlineStr"/>
      <c r="M1981" t="inlineStr"/>
      <c r="N1981" t="inlineStr"/>
      <c r="O1981">
        <f>(1-Summary!$B$11)*T1981+Summary!$B$11*V1981</f>
        <v/>
      </c>
      <c r="P1981">
        <f>IF(B1998=0,0,O1981/B1998)</f>
        <v/>
      </c>
      <c r="Q1981" t="n">
        <v>0</v>
      </c>
      <c r="R1981" t="n">
        <v>0</v>
      </c>
      <c r="S1981">
        <f>IFERROR(O1981/N1981,0)</f>
        <v/>
      </c>
      <c r="T1981" t="n">
        <v>0</v>
      </c>
      <c r="V1981" t="n">
        <v>0</v>
      </c>
    </row>
    <row r="1982">
      <c r="A1982">
        <f>Skills!A25</f>
        <v/>
      </c>
      <c r="B1982">
        <f>Skills!B25</f>
        <v/>
      </c>
      <c r="C1982">
        <f>Inputs!$B$3&gt;=72</f>
        <v/>
      </c>
      <c r="D1982">
        <f>IF(Skills!C25=1,60+Inputs!$B$25+Inputs!$B$29,IF(Skills!C25=2,90+Inputs!$B$26+Inputs!$B$29,IF(Skills!C25=3,120+Inputs!$B$27+Inputs!$B$29,MAX(0,(Inputs!$B$3-100)*3)+Inputs!$B$28+Inputs!$B$29)))</f>
        <v/>
      </c>
      <c r="E1982">
        <f>INDEX(FactorTable!$B$2:$Y$301, MATCH(ROUND(MIN(300,MAX(1,D1982)),0), FactorTable!$A$2:$A$301,0), Skills!M25+1)</f>
        <v/>
      </c>
      <c r="F1982">
        <f>IF(Skills!N25=TRUE,(Skills!L25/10)*(E1982/1000),Skills!L25/10)+Skills!O25</f>
        <v/>
      </c>
      <c r="G1982">
        <f>Skills!G25*IF(Skills!H25&gt;0,INT(IF(Inputs!$B$38="pvp",MIN(Skills!I25,15),Skills!I25)/Skills!H25+0.000000001),1)</f>
        <v/>
      </c>
      <c r="H1982">
        <f>1-(1-Skills!J25/100)^Skills!K25</f>
        <v/>
      </c>
      <c r="I1982" t="inlineStr">
        <is>
          <t>1</t>
        </is>
      </c>
      <c r="J1982" t="inlineStr"/>
      <c r="K1982" t="inlineStr"/>
      <c r="L1982" t="inlineStr"/>
      <c r="M1982" t="inlineStr"/>
      <c r="N1982" t="inlineStr"/>
      <c r="O1982">
        <f>(1-Summary!$B$11)*T1982+Summary!$B$11*V1982</f>
        <v/>
      </c>
      <c r="P1982">
        <f>IF(B1998=0,0,O1982/B1998)</f>
        <v/>
      </c>
      <c r="Q1982" t="n">
        <v>0</v>
      </c>
      <c r="R1982" t="n">
        <v>0</v>
      </c>
      <c r="S1982">
        <f>IFERROR(O1982/N1982,0)</f>
        <v/>
      </c>
      <c r="T1982" t="n">
        <v>0</v>
      </c>
      <c r="V1982" t="n">
        <v>0</v>
      </c>
    </row>
    <row r="1983">
      <c r="A1983">
        <f>Skills!A26</f>
        <v/>
      </c>
      <c r="B1983">
        <f>Skills!B26</f>
        <v/>
      </c>
      <c r="C1983">
        <f>Inputs!$B$3&gt;=75</f>
        <v/>
      </c>
      <c r="D1983">
        <f>IF(Skills!C26=1,60+Inputs!$B$25+Inputs!$B$29,IF(Skills!C26=2,90+Inputs!$B$26+Inputs!$B$29,IF(Skills!C26=3,120+Inputs!$B$27+Inputs!$B$29,MAX(0,(Inputs!$B$3-100)*3)+Inputs!$B$28+Inputs!$B$29)))</f>
        <v/>
      </c>
      <c r="E1983">
        <f>INDEX(FactorTable!$B$2:$Y$301, MATCH(ROUND(MIN(300,MAX(1,D1983)),0), FactorTable!$A$2:$A$301,0), Skills!M26+1)</f>
        <v/>
      </c>
      <c r="F1983">
        <f>IF(Skills!N26=TRUE,(Skills!L26/10)*(E1983/1000),Skills!L26/10)+Skills!O26</f>
        <v/>
      </c>
      <c r="G1983">
        <f>Skills!G26*IF(Skills!H26&gt;0,INT(IF(Inputs!$B$38="pvp",MIN(Skills!I26,15),Skills!I26)/Skills!H26+0.000000001),1)</f>
        <v/>
      </c>
      <c r="H1983">
        <f>1-(1-Skills!J26/100)^Skills!K26</f>
        <v/>
      </c>
      <c r="I1983" t="inlineStr">
        <is>
          <t>1</t>
        </is>
      </c>
      <c r="J1983" t="inlineStr"/>
      <c r="K1983" t="inlineStr"/>
      <c r="L1983" t="inlineStr"/>
      <c r="M1983" t="inlineStr"/>
      <c r="N1983" t="inlineStr"/>
      <c r="O1983">
        <f>(1-Summary!$B$11)*T1983+Summary!$B$11*V1983</f>
        <v/>
      </c>
      <c r="P1983">
        <f>IF(B1998=0,0,O1983/B1998)</f>
        <v/>
      </c>
      <c r="Q1983" t="n">
        <v>0</v>
      </c>
      <c r="R1983" t="n">
        <v>0</v>
      </c>
      <c r="S1983">
        <f>IFERROR(O1983/N1983,0)</f>
        <v/>
      </c>
      <c r="T1983" t="n">
        <v>0</v>
      </c>
      <c r="V1983" t="n">
        <v>0</v>
      </c>
    </row>
    <row r="1984">
      <c r="A1984">
        <f>Skills!A27</f>
        <v/>
      </c>
      <c r="B1984">
        <f>Skills!B27</f>
        <v/>
      </c>
      <c r="C1984">
        <f>Inputs!$B$3&gt;=125</f>
        <v/>
      </c>
      <c r="D1984">
        <f>IF(Skills!C27=1,60+Inputs!$B$25+Inputs!$B$29,IF(Skills!C27=2,90+Inputs!$B$26+Inputs!$B$29,IF(Skills!C27=3,120+Inputs!$B$27+Inputs!$B$29,MAX(0,(Inputs!$B$3-100)*3)+Inputs!$B$28+Inputs!$B$29)))</f>
        <v/>
      </c>
      <c r="E1984">
        <f>INDEX(FactorTable!$B$2:$Y$301, MATCH(ROUND(MIN(300,MAX(1,D1984)),0), FactorTable!$A$2:$A$301,0), Skills!M27+1)</f>
        <v/>
      </c>
      <c r="F1984">
        <f>IF(Skills!N27=TRUE,(Skills!L27/10)*(E1984/1000),Skills!L27/10)+Skills!O27</f>
        <v/>
      </c>
      <c r="G1984">
        <f>Skills!G27*IF(Skills!H27&gt;0,INT(IF(Inputs!$B$38="pvp",MIN(Skills!I27,15),Skills!I27)/Skills!H27+0.000000001),1)</f>
        <v/>
      </c>
      <c r="H1984">
        <f>1-(1-Skills!J27/100)^Skills!K27</f>
        <v/>
      </c>
      <c r="I1984" t="inlineStr">
        <is>
          <t>1</t>
        </is>
      </c>
      <c r="J1984" t="inlineStr"/>
      <c r="K1984" t="inlineStr"/>
      <c r="L1984" t="inlineStr"/>
      <c r="M1984" t="inlineStr"/>
      <c r="N1984" t="inlineStr"/>
      <c r="O1984">
        <f>(1-Summary!$B$11)*T1984+Summary!$B$11*V1984</f>
        <v/>
      </c>
      <c r="P1984">
        <f>IF(B1998=0,0,O1984/B1998)</f>
        <v/>
      </c>
      <c r="Q1984" t="n">
        <v>0</v>
      </c>
      <c r="R1984" t="n">
        <v>0</v>
      </c>
      <c r="S1984">
        <f>IFERROR(O1984/N1984,0)</f>
        <v/>
      </c>
      <c r="T1984" t="n">
        <v>0</v>
      </c>
      <c r="V1984" t="n">
        <v>0</v>
      </c>
    </row>
    <row r="1985">
      <c r="A1985">
        <f>Skills!A28</f>
        <v/>
      </c>
      <c r="B1985">
        <f>Skills!B28</f>
        <v/>
      </c>
      <c r="C1985">
        <f>TRUE</f>
        <v/>
      </c>
      <c r="D1985">
        <f>IF(Skills!C28=1,60+Inputs!$B$25+Inputs!$B$29,IF(Skills!C28=2,90+Inputs!$B$26+Inputs!$B$29,IF(Skills!C28=3,120+Inputs!$B$27+Inputs!$B$29,MAX(0,(Inputs!$B$3-100)*3)+Inputs!$B$28+Inputs!$B$29)))</f>
        <v/>
      </c>
      <c r="E1985">
        <f>INDEX(FactorTable!$B$2:$Y$301, MATCH(ROUND(MIN(300,MAX(1,D1985)),0), FactorTable!$A$2:$A$301,0), Skills!M28+1)</f>
        <v/>
      </c>
      <c r="F1985">
        <f>IF(Skills!N28=TRUE,(Skills!L28/10)*(E1985/1000),Skills!L28/10)+Skills!O28</f>
        <v/>
      </c>
      <c r="G1985">
        <f>Skills!G28*IF(Skills!H28&gt;0,INT(IF(Inputs!$B$38="pvp",MIN(Skills!I28,15),Skills!I28)/Skills!H28+0.000000001),1)</f>
        <v/>
      </c>
      <c r="H1985">
        <f>1-(1-Skills!J28/100)^Skills!K28</f>
        <v/>
      </c>
      <c r="I1985" t="inlineStr">
        <is>
          <t>1</t>
        </is>
      </c>
      <c r="J1985" t="inlineStr"/>
      <c r="K1985" t="inlineStr"/>
      <c r="L1985" t="inlineStr"/>
      <c r="M1985" t="inlineStr"/>
      <c r="N1985" t="inlineStr"/>
      <c r="O1985">
        <f>(1-Summary!$B$11)*T1985+Summary!$B$11*V1985</f>
        <v/>
      </c>
      <c r="P1985">
        <f>IF(B1998=0,0,O1985/B1998)</f>
        <v/>
      </c>
      <c r="Q1985">
        <f>IFERROR(1/(IF(Inputs!$B$38="pvp",15,MAX(0.1,Skills!D28-IF(TRUE=TRUE,Inputs!$B$32,0)))*(1-IF(AND(ArtifactsInput!$M$27,Inputs!$B$4="Chapter Hunt"),CHOOSE(ArtifactsInput!$N$27+1,20,24,28,32,36,40),0)/100)),0)</f>
        <v/>
      </c>
      <c r="R1985">
        <f>IF(AND(Inputs!$B$38&lt;&gt;"pvp",Inputs!$B$43&gt;0),IF(Inputs!$B$43&lt;=0,0,(INT(Inputs!$B$43/(IF(Inputs!$B$38="pvp",15,MAX(0.1,Skills!D28-IF(TRUE=TRUE,Inputs!$B$32,0)))*(1-IF(AND(ArtifactsInput!$M$27,Inputs!$B$4="Chapter Hunt"),CHOOSE(ArtifactsInput!$N$27+1,20,24,28,32,36,40),0)/100)))+1)),0)</f>
        <v/>
      </c>
      <c r="S1985">
        <f>IFERROR(O1985/N1985,0)</f>
        <v/>
      </c>
      <c r="T1985" t="n">
        <v>0</v>
      </c>
      <c r="V1985" t="n">
        <v>0</v>
      </c>
    </row>
    <row r="1987">
      <c r="A1987" t="inlineStr">
        <is>
          <t>Attack% Bucket Multiplier</t>
        </is>
      </c>
      <c r="B1987">
        <f>(1+(((C1974=TRUE)*F1974*5/7)+((C1981=TRUE)*(F1981-Calc!F24))+(IF(ArtifactsInput!$M$21,CHOOSE(ArtifactsInput!$N$21+1,25,30,35,40,45,50)*(IF(OR(Inputs!$B$4="Chapter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988">
      <c r="A1988" t="inlineStr">
        <is>
          <t>Global Crit Rate Bonus %</t>
        </is>
      </c>
      <c r="B1988" t="n">
        <v>0</v>
      </c>
    </row>
    <row r="1989">
      <c r="A1989" t="inlineStr">
        <is>
          <t>Attack Speed Buff Bonus % (Nimble Feet, duty-cycle averaged)</t>
        </is>
      </c>
      <c r="B1989">
        <f>((C1985=TRUE)*F1985*IF(AND(Inputs!$B$38&lt;&gt;"pvp",Inputs!$B$43&gt;0),(((R1985-1)*MIN((Skills!T28*(1+Inputs!$B$34/100)),(1/Q1985))+MIN((Skills!T28*(1+Inputs!$B$34/100)),MAX(0,Inputs!$B$43-((R1985-1)*(1/Q1985)))))/Inputs!$B$43),IF(Inputs!$B$38="pvp",MIN((Skills!T28*(1+Inputs!$B$34/100)),15)/15,MIN(1,(Skills!T28*(1+Inputs!$B$34/100))/(1/Q1985)))))</f>
        <v/>
      </c>
    </row>
    <row r="1990">
      <c r="A1990" t="inlineStr">
        <is>
          <t>Actions Per Second</t>
        </is>
      </c>
      <c r="B1990">
        <f>1+MIN(150,150*(1-(1-(Inputs!$B$11+((C1977=TRUE)*(F1977-Calc!F20))+((C1978=TRUE)*(F1978-Calc!F21)))/150)*(1-B1989/150)))/100</f>
        <v/>
      </c>
    </row>
    <row r="1991">
      <c r="A1991" t="inlineStr">
        <is>
          <t>Skill + Buff Cast Rate</t>
        </is>
      </c>
      <c r="B1991">
        <f>IF(AND(Inputs!$B$38&lt;&gt;"pvp",Inputs!$B$43&gt;0),SUMPRODUCT((Skills!E2:E28=TRUE)*(C1959:C1985=TRUE)*R1959:R1985*Skills!F2:F28)/Inputs!$B$43,SUMPRODUCT((Skills!E2:E28=TRUE)*(C1959:C1985=TRUE)*Q1959:Q1985*Skills!F2:F28))</f>
        <v/>
      </c>
    </row>
    <row r="1992">
      <c r="A1992" t="inlineStr">
        <is>
          <t>Eight-Legs Easton Casts Per Second</t>
        </is>
      </c>
      <c r="B1992">
        <f>MAX(0,B1990-B1991)</f>
        <v/>
      </c>
    </row>
    <row r="1993">
      <c r="A1993" t="inlineStr">
        <is>
          <t>Global Critical Damage Bonus % (unused)</t>
        </is>
      </c>
      <c r="B1993" t="n">
        <v>0</v>
      </c>
    </row>
    <row r="1994">
      <c r="A1994" t="inlineStr">
        <is>
          <t>Global Final Damage Bonus % (Jolly Roger + Ahoy Mateys - Final Damage proc)</t>
        </is>
      </c>
      <c r="B1994">
        <f>((C1975=TRUE)*F1975*IF(AND(Inputs!$B$38&lt;&gt;"pvp",Inputs!$B$43&gt;0),(((R1975-1)*MIN((Skills!T18*(1+Inputs!$B$34/100)),(1/Q1975))+MIN((Skills!T18*(1+Inputs!$B$34/100)),MAX(0,Inputs!$B$43-((R1975-1)*(1/Q1975)))))/Inputs!$B$43),IF(Inputs!$B$38="pvp",MIN((Skills!T18*(1+Inputs!$B$34/100)),15)/15,MIN(1,(Skills!T18*(1+Inputs!$B$34/100))/(1/Q1975)))))+IF(Inputs!$B$3&gt;=122,20*IF(Inputs!$B$38="pvp",MIN((20*(1+Inputs!$B$34/100)),15)/15,MIN(1,(20*(1+Inputs!$B$34/100))/(1/Q1961))),0)</f>
        <v/>
      </c>
    </row>
    <row r="1995">
      <c r="A1995" t="inlineStr">
        <is>
          <t>Buff-Casting Startup Delay (s, fixed-duration only)</t>
        </is>
      </c>
      <c r="B1995">
        <f>IF(AND(Inputs!$B$38&lt;&gt;"pvp",Inputs!$B$43&gt;0),SUMPRODUCT((Skills!T2:T28&gt;0)*(Skills!E2:E28=TRUE)*(C1959:C1985=TRUE))/B1990,0)</f>
        <v/>
      </c>
    </row>
    <row r="1996">
      <c r="A1996" t="inlineStr">
        <is>
          <t>Boss-Only Total DPS (this block's swept value)</t>
        </is>
      </c>
      <c r="B1996">
        <f>SUM(T1959:T1985)</f>
        <v/>
      </c>
    </row>
    <row r="1997">
      <c r="A1997" t="inlineStr">
        <is>
          <t>Normal-Only Total DPS (this block's swept value)</t>
        </is>
      </c>
      <c r="B1997">
        <f>SUM(V1959:V1985)</f>
        <v/>
      </c>
    </row>
    <row r="1998">
      <c r="A1998" s="6" t="inlineStr">
        <is>
          <t>TOTAL DPS</t>
        </is>
      </c>
      <c r="B1998" s="6">
        <f>SUM(O1959:O1985)</f>
        <v/>
      </c>
    </row>
    <row r="1999">
      <c r="A1999" t="inlineStr">
        <is>
          <t>Quickdraw cooldown divisor (this block's own APS / Q)</t>
        </is>
      </c>
      <c r="B1999">
        <f>IF(AND(C1984=TRUE,Inputs!$B$38&lt;&gt;"pvp"),1+0.25*MAX(0,(B1990-(((C1960=TRUE)*Q1960*1)+((C1961=TRUE)*Q1961*1)+((C1963=TRUE)*Q1963*1)+((C1964=TRUE)*Q1964*1)+((C1966=TRUE)*Q1966*1)+((C1969=TRUE)*Q1969*1)+((C1975=TRUE)*Q1975*1)+((C1985=TRUE)*Q1985*1))-((C1965=TRUE)/(IF(Inputs!$B$38="pvp",15,MAX(0.1,Skills!D8-IF(TRUE=TRUE,Inputs!$B$32,0)))*(1-IF(AND(ArtifactsInput!$M$27,Inputs!$B$4="Chapter Hunt"),CHOOSE(ArtifactsInput!$N$27+1,20,24,28,32,36,40),0)/100))+(C1968=TRUE)/(IF(Inputs!$B$38="pvp",15,MAX(0.1,Skills!D11-IF(TRUE=TRUE,Inputs!$B$32,0)))*(1-IF(AND(ArtifactsInput!$M$27,Inputs!$B$4="Chapter Hunt"),CHOOSE(ArtifactsInput!$N$27+1,20,24,28,32,36,40),0)/100))))/(1+0.25*((C1965=TRUE)/(IF(Inputs!$B$38="pvp",15,MAX(0.1,Skills!D8-IF(TRUE=TRUE,Inputs!$B$32,0)))*(1-IF(AND(ArtifactsInput!$M$27,Inputs!$B$4="Chapter Hunt"),CHOOSE(ArtifactsInput!$N$27+1,20,24,28,32,36,40),0)/100))+(C1968=TRUE)/(IF(Inputs!$B$38="pvp",15,MAX(0.1,Skills!D11-IF(TRUE=TRUE,Inputs!$B$32,0)))*(1-IF(AND(ArtifactsInput!$M$27,Inputs!$B$4="Chapter Hunt"),CHOOSE(ArtifactsInput!$N$27+1,20,24,28,32,36,40),0)/100))))),1)</f>
        <v/>
      </c>
    </row>
    <row r="2000">
      <c r="A2000" t="inlineStr">
        <is>
          <t>Nautilus Strike - Final Attack trigger rate (this block's own Q/R)</t>
        </is>
      </c>
      <c r="B2000">
        <f>IF(AND(Inputs!$B$38&lt;&gt;"pvp",Inputs!$B$43&gt;0),(((C1960=TRUE)*R1960)+((C1963=TRUE)*R1963)+((C1965=TRUE)*R1965)+((C1966=TRUE)*R1966)+((C1968=TRUE)*R1968))/Inputs!$B$43,((C1960=TRUE)*Q1960)+((C1963=TRUE)*Q1963)+((C1965=TRUE)*Q1965)+((C1966=TRUE)*Q1966)+((C1968=TRUE)*Q1968))+B1992</f>
        <v/>
      </c>
    </row>
    <row r="2003">
      <c r="A2003" s="6" t="inlineStr">
        <is>
          <t>Stat: Star Rock (Equip)</t>
        </is>
      </c>
    </row>
    <row r="2004">
      <c r="A2004" s="5" t="inlineStr">
        <is>
          <t>Key</t>
        </is>
      </c>
      <c r="B2004" s="5" t="inlineStr">
        <is>
          <t>Name</t>
        </is>
      </c>
      <c r="C2004" s="5" t="inlineStr">
        <is>
          <t>Unlocked</t>
        </is>
      </c>
      <c r="D2004" s="5" t="inlineStr">
        <is>
          <t>InputLevel</t>
        </is>
      </c>
      <c r="E2004" s="5" t="inlineStr">
        <is>
          <t>Factor</t>
        </is>
      </c>
      <c r="F2004" s="5" t="inlineStr">
        <is>
          <t>CoefficientPercent</t>
        </is>
      </c>
      <c r="G2004" s="5" t="inlineStr">
        <is>
          <t>EffectiveHits</t>
        </is>
      </c>
      <c r="H2004" s="5" t="inlineStr">
        <is>
          <t>ProcProbability</t>
        </is>
      </c>
      <c r="I2004" s="5" t="inlineStr">
        <is>
          <t>MapleHeroMultiplier</t>
        </is>
      </c>
      <c r="J2004" s="5" t="inlineStr">
        <is>
          <t>BaseDamage</t>
        </is>
      </c>
      <c r="K2004" s="5" t="inlineStr">
        <is>
          <t>BaseHitDamage</t>
        </is>
      </c>
      <c r="L2004" s="5" t="inlineStr">
        <is>
          <t>NonCritAvg</t>
        </is>
      </c>
      <c r="M2004" s="5" t="inlineStr">
        <is>
          <t>CritAvg</t>
        </is>
      </c>
      <c r="N2004" s="5" t="inlineStr">
        <is>
          <t>ExpectedDamage(perHit)</t>
        </is>
      </c>
      <c r="O2004" s="5" t="inlineStr">
        <is>
          <t>DPS</t>
        </is>
      </c>
      <c r="P2004" s="5" t="inlineStr">
        <is>
          <t>% of Total</t>
        </is>
      </c>
      <c r="Q2004" s="5" t="inlineStr">
        <is>
          <t>InvCooldown</t>
        </is>
      </c>
      <c r="R2004" s="5" t="inlineStr">
        <is>
          <t>CastsInFight</t>
        </is>
      </c>
      <c r="S2004" s="5" t="inlineStr">
        <is>
          <t>HitRate(perSec)</t>
        </is>
      </c>
      <c r="U2004" t="inlineStr">
        <is>
          <t>helpers</t>
        </is>
      </c>
    </row>
    <row r="2005">
      <c r="A2005">
        <f>Skills!A2</f>
        <v/>
      </c>
      <c r="B2005">
        <f>Skills!B2</f>
        <v/>
      </c>
      <c r="C2005">
        <f>Inputs!$B$3&gt;=100</f>
        <v/>
      </c>
      <c r="D2005" t="inlineStr"/>
      <c r="E2005" t="inlineStr"/>
      <c r="F2005">
        <f>U2007+Skills!O2</f>
        <v/>
      </c>
      <c r="G2005">
        <f>Skills!G2*IF(Skills!H2&gt;0,INT(IF(Inputs!$B$38="pvp",MIN(Skills!I2,15),Skills!I2)/Skills!H2+0.000000001),1)</f>
        <v/>
      </c>
      <c r="H2005">
        <f>1-(1-Skills!J2/100)^Skills!K2</f>
        <v/>
      </c>
      <c r="I2005" t="inlineStr">
        <is>
          <t>1</t>
        </is>
      </c>
      <c r="J2005">
        <f>((Inputs!$B$6*(1+Inputs!$B$7/100))+(((Inputs!$B$12*(1+Inputs!$B$13/100))-(Inputs!$B$12*(1+Inputs!$B$13/100)))+0.25*(Inputs!$B$14-Inputs!$B$14))*(1+Inputs!$B$7/100))*(F2005/100)</f>
        <v/>
      </c>
      <c r="K2005">
        <f>J2005*(1+((Inputs!$B$12*(1+Inputs!$B$13/100))*0.01+Inputs!$B$14*0.0025)/100)*(1+Inputs!$B$15/100)*(1+Inputs!$B$16/100)*(5000/(6000+Inputs!$B$42*(1-(100*(1-(1-(Inputs!$B$19+0)/100)*(1-CHOOSE(ArtifactsInput!$N$40+1,5,6,7,8,9,10)/100)^(ArtifactsInput!$M$40-ArtifactsInput!$M$40)))/100)))*(1+(Inputs!$B$24+((C2029=TRUE)*(F2029-Calc!F26))+B2040)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IGHT_LEGS_EASTON",Inputs!$B$17+((C2026=TRUE)*(F2026-Calc!F23))+((C2030=TRUE)*(F2030-Calc!F27))+((IF(AND(Inputs!$B$38&lt;&gt;"pvp",Inputs!$B$43=0),1,IF(IF(Inputs!$B$38="pvp",15,Inputs!$B$43)-(B2041)&lt;=0,1,MAX(0,IF(Inputs!$B$38="pvp",15,Inputs!$B$43)-MAX(5,B2041))/(IF(Inputs!$B$38="pvp",15,Inputs!$B$43)-(B2041))))*(IF(AND(ArtifactsInput!$M$42,((Inputs!$B$9+((C2022=TRUE)*(F2022-Calc!F19))+B2034+(ArtifactsInput!$M$24-ArtifactsInput!$M$24)*CHOOSE(ArtifactsInput!$N$24+1,10,12,14,16,18,20)+IF(ArtifactsInput!$M$10,CHOOSE(ArtifactsInput!$N$10+1,15,18,21,24,27,30)*(IF(Inputs!$B$38="pvp",MIN(15,15)/15,IF(AND(Inputs!$B$38&lt;&gt;"pvp",Inputs!$B$43&gt;0),MIN(15,Inputs!$B$43)/(Inputs!$B$43),0))),0)))&gt;=100),MIN(100,((Inputs!$B$9+((C2022=TRUE)*(F2022-Calc!F19))+B2034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2041)&lt;=0,1,MAX(0,IF(Inputs!$B$38="pvp",15,Inputs!$B$43)-MAX(5,B2041))/(IF(Inputs!$B$38="pvp",15,Inputs!$B$43)-(B2041))))*IF(AND(ArtifactsInput!$M$42,((Inputs!$B$9+((C2022=TRUE)*(F2022-Calc!F19))+B2034+(ArtifactsInput!$M$24-ArtifactsInput!$M$24)*CHOOSE(ArtifactsInput!$N$24+1,10,12,14,16,18,20)+IF(ArtifactsInput!$M$10,CHOOSE(ArtifactsInput!$N$10+1,15,18,21,24,27,30)*(IF(Inputs!$B$38="pvp",MIN(15,15)/15,IF(AND(Inputs!$B$38&lt;&gt;"pvp",Inputs!$B$43&gt;0),MIN(15,Inputs!$B$43)/(Inputs!$B$43),0))),0)))&gt;=100),CHOOSE(ArtifactsInput!$N$42+1,40,48,56,64,72,80),0))))/100)*((1+(((C2020=TRUE)*F2020*5/7)+((C2027=TRUE)*(F2027-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2005)</f>
        <v/>
      </c>
      <c r="L2005">
        <f>K2005*(MIN(Inputs!$B$22+((C2025=TRUE)*(F2025-Calc!F22)),(Inputs!$B$23+0+(IF(ArtifactsInput!$M$15,CHOOSE(ArtifactsInput!$N$15+1,25,30,35,40,45,50)/100*(Inputs!$B$11-Inputs!$B$11),0))))/100+(Inputs!$B$23+0+(IF(ArtifactsInput!$M$15,CHOOSE(ArtifactsInput!$N$15+1,25,30,35,40,45,50)/100*(Inputs!$B$11-Inputs!$B$11),0)))/100)/2</f>
        <v/>
      </c>
      <c r="M2005">
        <f>L2005*(1+(Inputs!$B$10+((C2028=TRUE)*(F2028-Calc!F25))+B2039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05">
        <f>L2005*(1-MIN((Inputs!$B$9+((C2022=TRUE)*(F2022-Calc!F19))+B2034+(ArtifactsInput!$M$24-ArtifactsInput!$M$24)*CHOOSE(ArtifactsInput!$N$24+1,10,12,14,16,18,20)+(IF(AND(Inputs!$B$38&lt;&gt;"pvp",Inputs!$B$43=0),1,IF(IF(Inputs!$B$38="pvp",15,Inputs!$B$43)-(B2041)&lt;=0,1,MAX(0,IF(Inputs!$B$38="pvp",15,Inputs!$B$43)-MAX(5,B2041))/(IF(Inputs!$B$38="pvp",15,Inputs!$B$43)-(B2041))))*IF(AND(ArtifactsInput!$M$42,((Inputs!$B$9+((C2022=TRUE)*(F2022-Calc!F19))+B2034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2005*(MIN((Inputs!$B$9+((C2022=TRUE)*(F2022-Calc!F19))+B2034+(ArtifactsInput!$M$24-ArtifactsInput!$M$24)*CHOOSE(ArtifactsInput!$N$24+1,10,12,14,16,18,20)+(IF(AND(Inputs!$B$38&lt;&gt;"pvp",Inputs!$B$43=0),1,IF(IF(Inputs!$B$38="pvp",15,Inputs!$B$43)-(B2041)&lt;=0,1,MAX(0,IF(Inputs!$B$38="pvp",15,Inputs!$B$43)-MAX(5,B2041))/(IF(Inputs!$B$38="pvp",15,Inputs!$B$43)-(B2041))))*IF(AND(ArtifactsInput!$M$42,((Inputs!$B$9+((C2022=TRUE)*(F2022-Calc!F19))+B2034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05">
        <f>(1-Summary!$B$11)*T2005+Summary!$B$11*V2005</f>
        <v/>
      </c>
      <c r="P2005">
        <f>IF(B2044=0,0,O2005/B2044)</f>
        <v/>
      </c>
      <c r="Q2005" t="n">
        <v>0</v>
      </c>
      <c r="R2005" t="n">
        <v>0</v>
      </c>
      <c r="S2005">
        <f>IFERROR(O2005/N2005,0)</f>
        <v/>
      </c>
      <c r="T2005">
        <f>IF(C2005,(Skills!G2*N2005*B2038*(1+IF(C2030=TRUE,1/3,0)))*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IF(ArtifactsInput!$M$23,FALSE,TRUE)-ArtifactsInput!$M$23)*CHOOSE(ArtifactsInput!$N$23+1,50,60,70,80,90,100))+(IF(AND(ArtifactsInput!$M$35,Inputs!$B$4&lt;&gt;"Chapter Hunt"),CHOOSE(ArtifactsInput!$N$35+1,15,18,21,24,27,30)*(1-EXP(-(0.2*B2036)*5)),0)+IF(AND(ArtifactsInput!$M$22,Inputs!$B$4&lt;&gt;"Chapter Hunt"),CHOOSE(ArtifactsInput!$N$22+1,10,12,14,16,18,20)*((0*(((0.15*B2036*5))^0/1)+1*(((0.15*B2036*5))^1/1)+2*(((0.15*B2036*5))^2/2)+3*(((0.15*B2036*5))^3/6)+4*(((0.15*B2036*5))^4/24)+5*(((0.15*B2036*5))^5/120))/((((0.15*B2036*5))^0/1)+(((0.15*B2036*5))^1/1)+(((0.15*B2036*5))^2/2)+(((0.15*B2036*5))^3/6)+(((0.15*B2036*5))^4/24)+(((0.15*B2036*5))^5/120))),0))+IF(Inputs!$B$3&gt;=54,9*(C2006=TRUE)*MIN(1,8*(1+Inputs!$B$34/100)*Q2006)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2005*(1-MIN(100,(Inputs!$B$9+((C2022=TRUE)*(F2022-Calc!F19))+B2034+(ArtifactsInput!$M$24-ArtifactsInput!$M$24)*CHOOSE(ArtifactsInput!$N$24+1,10,12,14,16,18,20)+(IF(AND(Inputs!$B$38&lt;&gt;"pvp",Inputs!$B$43=0),1,IF(IF(Inputs!$B$38="pvp",15,Inputs!$B$43)-(B2041)&lt;=0,1,MAX(0,IF(Inputs!$B$38="pvp",15,Inputs!$B$43)-MAX(5,B2041))/(IF(Inputs!$B$38="pvp",15,Inputs!$B$43)-(B2041))))*IF(AND(ArtifactsInput!$M$42,((Inputs!$B$9+((C2022=TRUE)*(F2022-Calc!F19))+B2034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2005*(MIN(100,(Inputs!$B$9+((C2022=TRUE)*(F2022-Calc!F19))+B2034+(ArtifactsInput!$M$24-ArtifactsInput!$M$24)*CHOOSE(ArtifactsInput!$N$24+1,10,12,14,16,18,20)+(IF(AND(Inputs!$B$38&lt;&gt;"pvp",Inputs!$B$43=0),1,IF(IF(Inputs!$B$38="pvp",15,Inputs!$B$43)-(B2041)&lt;=0,1,MAX(0,IF(Inputs!$B$38="pvp",15,Inputs!$B$43)-MAX(5,B2041))/(IF(Inputs!$B$38="pvp",15,Inputs!$B$43)-(B2041))))*IF(AND(ArtifactsInput!$M$42,((Inputs!$B$9+((C2022=TRUE)*(F2022-Calc!F19))+B2034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2005*(1-MIN(100,(Inputs!$B$9+((C2022=TRUE)*(F2022-Calc!F19))+B2034+(ArtifactsInput!$M$24-ArtifactsInput!$M$24)*CHOOSE(ArtifactsInput!$N$24+1,10,12,14,16,18,20)+(IF(AND(Inputs!$B$38&lt;&gt;"pvp",Inputs!$B$43=0),1,IF(IF(Inputs!$B$38="pvp",15,Inputs!$B$43)-(B2041)&lt;=0,1,MAX(0,IF(Inputs!$B$38="pvp",15,Inputs!$B$43)-MAX(5,B2041))/(IF(Inputs!$B$38="pvp",15,Inputs!$B$43)-(B2041))))*IF(AND(ArtifactsInput!$M$42,((Inputs!$B$9+((C2022=TRUE)*(F2022-Calc!F19))+B2034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2005*(MIN(100,(Inputs!$B$9+((C2022=TRUE)*(F2022-Calc!F19))+B2034+(ArtifactsInput!$M$24-ArtifactsInput!$M$24)*CHOOSE(ArtifactsInput!$N$24+1,10,12,14,16,18,20)+(IF(AND(Inputs!$B$38&lt;&gt;"pvp",Inputs!$B$43=0),1,IF(IF(Inputs!$B$38="pvp",15,Inputs!$B$43)-(B2041)&lt;=0,1,MAX(0,IF(Inputs!$B$38="pvp",15,Inputs!$B$43)-MAX(5,B2041))/(IF(Inputs!$B$38="pvp",15,Inputs!$B$43)-(B2041))))*IF(AND(ArtifactsInput!$M$42,((Inputs!$B$9+((C2022=TRUE)*(F2022-Calc!F19))+B2034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005">
        <f>MAX(0,(Inputs!$B$3-100)*3)+Inputs!$B$28+Inputs!$B$29</f>
        <v/>
      </c>
      <c r="V2005">
        <f>IF(C2005,(Skills!G2*N2005*B2038*(1+IF(C2030=TRUE,1/3,0)))*IF(Inputs!$B$38="pvp",1,(1+(Inputs!$B$21+Skills!Q2+(IF(ArtifactsInput!$M$33,CHOOSE(ArtifactsInput!$N$33+1,30,36,42,48,54,60),0))+(IF(AND(ArtifactsInput!$M$35,Inputs!$B$4&lt;&gt;"Chapter Hunt"),CHOOSE(ArtifactsInput!$N$35+1,15,18,21,24,27,30)*(1-EXP(-(0.2*B2036)*5)),0)+IF(AND(ArtifactsInput!$M$22,Inputs!$B$4&lt;&gt;"Chapter Hunt"),CHOOSE(ArtifactsInput!$N$22+1,10,12,14,16,18,20)*((0*(((0.15*B2036*5))^0/1)+1*(((0.15*B2036*5))^1/1)+2*(((0.15*B2036*5))^2/2)+3*(((0.15*B2036*5))^3/6)+4*(((0.15*B2036*5))^4/24)+5*(((0.15*B2036*5))^5/120))/((((0.15*B2036*5))^0/1)+(((0.15*B2036*5))^1/1)+(((0.15*B2036*5))^2/2)+(((0.15*B2036*5))^3/6)+(((0.15*B2036*5))^4/24)+(((0.15*B2036*5))^5/120))),0))+IF(Inputs!$B$3&gt;=54,9*(C2006=TRUE)*MIN(1,8*(1+Inputs!$B$34/100)*Q2006),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06">
      <c r="A2006">
        <f>Skills!A3</f>
        <v/>
      </c>
      <c r="B2006">
        <f>Skills!B3</f>
        <v/>
      </c>
      <c r="C2006">
        <f>Inputs!$B$3&gt;=33</f>
        <v/>
      </c>
      <c r="D2006">
        <f>IF(Skills!C3=1,60+Inputs!$B$25+Inputs!$B$29,IF(Skills!C3=2,90+Inputs!$B$26+Inputs!$B$29,IF(Skills!C3=3,120+Inputs!$B$27+Inputs!$B$29,MAX(0,(Inputs!$B$3-100)*3)+Inputs!$B$28+Inputs!$B$29)))</f>
        <v/>
      </c>
      <c r="E2006">
        <f>INDEX(FactorTable!$B$2:$Y$301, MATCH(ROUND(MIN(300,MAX(1,D2006)),0), FactorTable!$A$2:$A$301,0), Skills!M3+1)</f>
        <v/>
      </c>
      <c r="F2006">
        <f>IF(Skills!N3=TRUE,(Skills!L3/10)*(E2006/1000),Skills!L3/10)+Skills!O3</f>
        <v/>
      </c>
      <c r="G2006">
        <f>Skills!G3*IF(Skills!H3&gt;0,INT(IF(Inputs!$B$38="pvp",MIN(Skills!I3,15),Skills!I3)/Skills!H3+0.000000001),1)</f>
        <v/>
      </c>
      <c r="H2006">
        <f>1-(1-Skills!J3/100)^Skills!K3</f>
        <v/>
      </c>
      <c r="I2006" t="inlineStr">
        <is>
          <t>1</t>
        </is>
      </c>
      <c r="J2006">
        <f>((Inputs!$B$6*(1+Inputs!$B$7/100))+(((Inputs!$B$12*(1+Inputs!$B$13/100))-(Inputs!$B$12*(1+Inputs!$B$13/100)))+0.25*(Inputs!$B$14-Inputs!$B$14))*(1+Inputs!$B$7/100))*(F2006/100)</f>
        <v/>
      </c>
      <c r="K2006">
        <f>J2006*(1+((Inputs!$B$12*(1+Inputs!$B$13/100))*0.01+Inputs!$B$14*0.0025)/100)*(1+Inputs!$B$15/100)*(1+Inputs!$B$16/100)*(5000/(6000+Inputs!$B$42*(1-(100*(1-(1-(Inputs!$B$19+0)/100)*(1-CHOOSE(ArtifactsInput!$N$40+1,5,6,7,8,9,10)/100)^(ArtifactsInput!$M$40-ArtifactsInput!$M$40)))/100)))*(1+(Inputs!$B$24+((C2029=TRUE)*(F2029-Calc!F26))+B2040)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2018=TRUE,F2018,0)/100)*(1+(IF(Skills!A3="EIGHT_LEGS_EASTON",Inputs!$B$17+((C2026=TRUE)*(F2026-Calc!F23))+((C2030=TRUE)*(F2030-Calc!F27))+((IF(AND(Inputs!$B$38&lt;&gt;"pvp",Inputs!$B$43=0),1,IF(IF(Inputs!$B$38="pvp",15,Inputs!$B$43)-(B2041)&lt;=0,1,MAX(0,IF(Inputs!$B$38="pvp",15,Inputs!$B$43)-MAX(5,B2041))/(IF(Inputs!$B$38="pvp",15,Inputs!$B$43)-(B2041))))*(IF(AND(ArtifactsInput!$M$42,((Inputs!$B$9+((C2022=TRUE)*(F2022-Calc!F19))+B2034+(ArtifactsInput!$M$24-ArtifactsInput!$M$24)*CHOOSE(ArtifactsInput!$N$24+1,10,12,14,16,18,20)+IF(ArtifactsInput!$M$10,CHOOSE(ArtifactsInput!$N$10+1,15,18,21,24,27,30)*(IF(Inputs!$B$38="pvp",MIN(15,15)/15,IF(AND(Inputs!$B$38&lt;&gt;"pvp",Inputs!$B$43&gt;0),MIN(15,Inputs!$B$43)/(Inputs!$B$43),0))),0)))&gt;=100),MIN(100,((Inputs!$B$9+((C2022=TRUE)*(F2022-Calc!F19))+B2034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2041)&lt;=0,1,MAX(0,IF(Inputs!$B$38="pvp",15,Inputs!$B$43)-MAX(5,B2041))/(IF(Inputs!$B$38="pvp",15,Inputs!$B$43)-(B2041))))*IF(AND(ArtifactsInput!$M$42,((Inputs!$B$9+((C2022=TRUE)*(F2022-Calc!F19))+B2034+(ArtifactsInput!$M$24-ArtifactsInput!$M$24)*CHOOSE(ArtifactsInput!$N$24+1,10,12,14,16,18,20)+IF(ArtifactsInput!$M$10,CHOOSE(ArtifactsInput!$N$10+1,15,18,21,24,27,30)*(IF(Inputs!$B$38="pvp",MIN(15,15)/15,IF(AND(Inputs!$B$38&lt;&gt;"pvp",Inputs!$B$43&gt;0),MIN(15,Inputs!$B$43)/(Inputs!$B$43),0))),0)))&gt;=100),CHOOSE(ArtifactsInput!$N$42+1,40,48,56,64,72,80),0))))/100)*((1+(((C2020=TRUE)*F2020*5/7)+((C2027=TRUE)*(F2027-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2006)</f>
        <v/>
      </c>
      <c r="L2006">
        <f>K2006*(MIN(Inputs!$B$22+((C2025=TRUE)*(F2025-Calc!F22)),(Inputs!$B$23+0+(IF(ArtifactsInput!$M$15,CHOOSE(ArtifactsInput!$N$15+1,25,30,35,40,45,50)/100*(Inputs!$B$11-Inputs!$B$11),0))))/100+(Inputs!$B$23+0+(IF(ArtifactsInput!$M$15,CHOOSE(ArtifactsInput!$N$15+1,25,30,35,40,45,50)/100*(Inputs!$B$11-Inputs!$B$11),0)))/100)/2</f>
        <v/>
      </c>
      <c r="M2006">
        <f>L2006*(1+(Inputs!$B$10+((C2028=TRUE)*(F2028-Calc!F25))+B2039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06">
        <f>L2006*(1-MIN((Inputs!$B$9+((C2022=TRUE)*(F2022-Calc!F19))+B2034+(ArtifactsInput!$M$24-ArtifactsInput!$M$24)*CHOOSE(ArtifactsInput!$N$24+1,10,12,14,16,18,20)+(IF(AND(Inputs!$B$38&lt;&gt;"pvp",Inputs!$B$43=0),1,IF(IF(Inputs!$B$38="pvp",15,Inputs!$B$43)-(B2041)&lt;=0,1,MAX(0,IF(Inputs!$B$38="pvp",15,Inputs!$B$43)-MAX(5,B2041))/(IF(Inputs!$B$38="pvp",15,Inputs!$B$43)-(B2041))))*IF(AND(ArtifactsInput!$M$42,((Inputs!$B$9+((C2022=TRUE)*(F2022-Calc!F19))+B2034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2006*(MIN((Inputs!$B$9+((C2022=TRUE)*(F2022-Calc!F19))+B2034+(ArtifactsInput!$M$24-ArtifactsInput!$M$24)*CHOOSE(ArtifactsInput!$N$24+1,10,12,14,16,18,20)+(IF(AND(Inputs!$B$38&lt;&gt;"pvp",Inputs!$B$43=0),1,IF(IF(Inputs!$B$38="pvp",15,Inputs!$B$43)-(B2041)&lt;=0,1,MAX(0,IF(Inputs!$B$38="pvp",15,Inputs!$B$43)-MAX(5,B2041))/(IF(Inputs!$B$38="pvp",15,Inputs!$B$43)-(B2041))))*IF(AND(ArtifactsInput!$M$42,((Inputs!$B$9+((C2022=TRUE)*(F2022-Calc!F19))+B2034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06">
        <f>(1-Summary!$B$11)*T2006+Summary!$B$11*V2006</f>
        <v/>
      </c>
      <c r="P2006">
        <f>IF(B2044=0,0,O2006/B2044)</f>
        <v/>
      </c>
      <c r="Q2006">
        <f>IFERROR(1/(IF(Inputs!$B$38="pvp",15,MAX(0.1,Skills!D3-IF(TRUE=TRUE,Inputs!$B$32,0)))*(1-IF(AND(ArtifactsInput!$M$27,Inputs!$B$4="Chapter Hunt"),CHOOSE(ArtifactsInput!$N$27+1,20,24,28,32,36,40),0)/100)),0)</f>
        <v/>
      </c>
      <c r="R2006">
        <f>IF(AND(Inputs!$B$38&lt;&gt;"pvp",Inputs!$B$43&gt;0),IF(MAX(0,Inputs!$B$43-B2041)&lt;=0,0,(INT(MAX(0,Inputs!$B$43-B2041)/(IF(Inputs!$B$38="pvp",15,MAX(0.1,Skills!D3-IF(TRUE=TRUE,Inputs!$B$32,0)))*(1-IF(AND(ArtifactsInput!$M$27,Inputs!$B$4="Chapter Hunt"),CHOOSE(ArtifactsInput!$N$27+1,20,24,28,32,36,40),0)/100)))+1)),0)</f>
        <v/>
      </c>
      <c r="S2006">
        <f>IFERROR(O2006/N2006,0)</f>
        <v/>
      </c>
      <c r="T2006">
        <f>IF(C2006,(H2006*N2006*IF(AND(Inputs!$B$38&lt;&gt;"pvp",Inputs!$B$43&gt;0),((Skills!G3*((R2006-1)*IF(Skills!H3&gt;0,INT(Skills!I3/Skills!H3+0.000000001),1)+IF(Skills!H3&gt;0,INT(MIN(Skills!I3,MAX(0,MAX(0,Inputs!$B$43-B2041)-((R2006-1)*(IF(Inputs!$B$38="pvp",15,MAX(0.1,Skills!D3-IF(TRUE=TRUE,Inputs!$B$32,0)))*(1-IF(AND(ArtifactsInput!$M$27,Inputs!$B$4="Chapter Hunt"),CHOOSE(ArtifactsInput!$N$27+1,20,24,28,32,36,40),0)/100)))))/Skills!H3+0.000000001),1)))/Inputs!$B$43),G2006*Q2006))*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IF(ArtifactsInput!$M$23,FALSE,TRUE)-ArtifactsInput!$M$23)*CHOOSE(ArtifactsInput!$N$23+1,50,60,70,80,90,100))+(IF(AND(ArtifactsInput!$M$35,Inputs!$B$4&lt;&gt;"Chapter Hunt"),CHOOSE(ArtifactsInput!$N$35+1,15,18,21,24,27,30)*(1-EXP(-(0.2*B2036)*5)),0)+IF(AND(ArtifactsInput!$M$22,Inputs!$B$4&lt;&gt;"Chapter Hunt"),CHOOSE(ArtifactsInput!$N$22+1,10,12,14,16,18,20)*((0*(((0.15*B2036*5))^0/1)+1*(((0.15*B2036*5))^1/1)+2*(((0.15*B2036*5))^2/2)+3*(((0.15*B2036*5))^3/6)+4*(((0.15*B2036*5))^4/24)+5*(((0.15*B2036*5))^5/120))/((((0.15*B2036*5))^0/1)+(((0.15*B2036*5))^1/1)+(((0.15*B2036*5))^2/2)+(((0.15*B2036*5))^3/6)+(((0.15*B2036*5))^4/24)+(((0.15*B2036*5))^5/120))),0))+IF(Inputs!$B$3&gt;=54,9*(C2006=TRUE)*MIN(1,8*(1+Inputs!$B$34/100)*Q2006)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2006*(1-MIN(100,(Inputs!$B$9+((C2022=TRUE)*(F2022-Calc!F19))+B2034+(ArtifactsInput!$M$24-ArtifactsInput!$M$24)*CHOOSE(ArtifactsInput!$N$24+1,10,12,14,16,18,20)+(IF(AND(Inputs!$B$38&lt;&gt;"pvp",Inputs!$B$43=0),1,IF(IF(Inputs!$B$38="pvp",15,Inputs!$B$43)-(B2041)&lt;=0,1,MAX(0,IF(Inputs!$B$38="pvp",15,Inputs!$B$43)-MAX(5,B2041))/(IF(Inputs!$B$38="pvp",15,Inputs!$B$43)-(B2041))))*IF(AND(ArtifactsInput!$M$42,((Inputs!$B$9+((C2022=TRUE)*(F2022-Calc!F19))+B2034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2006*(MIN(100,(Inputs!$B$9+((C2022=TRUE)*(F2022-Calc!F19))+B2034+(ArtifactsInput!$M$24-ArtifactsInput!$M$24)*CHOOSE(ArtifactsInput!$N$24+1,10,12,14,16,18,20)+(IF(AND(Inputs!$B$38&lt;&gt;"pvp",Inputs!$B$43=0),1,IF(IF(Inputs!$B$38="pvp",15,Inputs!$B$43)-(B2041)&lt;=0,1,MAX(0,IF(Inputs!$B$38="pvp",15,Inputs!$B$43)-MAX(5,B2041))/(IF(Inputs!$B$38="pvp",15,Inputs!$B$43)-(B2041))))*IF(AND(ArtifactsInput!$M$42,((Inputs!$B$9+((C2022=TRUE)*(F2022-Calc!F19))+B2034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2006*(1-MIN(100,(Inputs!$B$9+((C2022=TRUE)*(F2022-Calc!F19))+B2034+(ArtifactsInput!$M$24-ArtifactsInput!$M$24)*CHOOSE(ArtifactsInput!$N$24+1,10,12,14,16,18,20)+(IF(AND(Inputs!$B$38&lt;&gt;"pvp",Inputs!$B$43=0),1,IF(IF(Inputs!$B$38="pvp",15,Inputs!$B$43)-(B2041)&lt;=0,1,MAX(0,IF(Inputs!$B$38="pvp",15,Inputs!$B$43)-MAX(5,B2041))/(IF(Inputs!$B$38="pvp",15,Inputs!$B$43)-(B2041))))*IF(AND(ArtifactsInput!$M$42,((Inputs!$B$9+((C2022=TRUE)*(F2022-Calc!F19))+B2034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2006*(MIN(100,(Inputs!$B$9+((C2022=TRUE)*(F2022-Calc!F19))+B2034+(ArtifactsInput!$M$24-ArtifactsInput!$M$24)*CHOOSE(ArtifactsInput!$N$24+1,10,12,14,16,18,20)+(IF(AND(Inputs!$B$38&lt;&gt;"pvp",Inputs!$B$43=0),1,IF(IF(Inputs!$B$38="pvp",15,Inputs!$B$43)-(B2041)&lt;=0,1,MAX(0,IF(Inputs!$B$38="pvp",15,Inputs!$B$43)-MAX(5,B2041))/(IF(Inputs!$B$38="pvp",15,Inputs!$B$43)-(B2041))))*IF(AND(ArtifactsInput!$M$42,((Inputs!$B$9+((C2022=TRUE)*(F2022-Calc!F19))+B2034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006">
        <f>INDEX(FactorTable!$B$2:$Y$301, MATCH(ROUND(MIN(300,MAX(1,U2005)),0), FactorTable!$A$2:$A$301,0), 22)</f>
        <v/>
      </c>
      <c r="V2006">
        <f>IF(C2006,(H2006*N2006*IF(AND(Inputs!$B$38&lt;&gt;"pvp",Inputs!$B$43&gt;0),((Skills!G3*((R2006-1)*IF(Skills!H3&gt;0,INT(Skills!I3/Skills!H3+0.000000001),1)+IF(Skills!H3&gt;0,INT(MIN(Skills!I3,MAX(0,MAX(0,Inputs!$B$43-B2041)-((R2006-1)*(IF(Inputs!$B$38="pvp",15,MAX(0.1,Skills!D3-IF(TRUE=TRUE,Inputs!$B$32,0)))*(1-IF(AND(ArtifactsInput!$M$27,Inputs!$B$4="Chapter Hunt"),CHOOSE(ArtifactsInput!$N$27+1,20,24,28,32,36,40),0)/100)))))/Skills!H3+0.000000001),1)))/Inputs!$B$43),G2006*Q2006))*IF(Inputs!$B$38="pvp",1,(1+(Inputs!$B$21+Skills!Q3+(IF(ArtifactsInput!$M$33,CHOOSE(ArtifactsInput!$N$33+1,30,36,42,48,54,60),0))+(IF(AND(ArtifactsInput!$M$35,Inputs!$B$4&lt;&gt;"Chapter Hunt"),CHOOSE(ArtifactsInput!$N$35+1,15,18,21,24,27,30)*(1-EXP(-(0.2*B2036)*5)),0)+IF(AND(ArtifactsInput!$M$22,Inputs!$B$4&lt;&gt;"Chapter Hunt"),CHOOSE(ArtifactsInput!$N$22+1,10,12,14,16,18,20)*((0*(((0.15*B2036*5))^0/1)+1*(((0.15*B2036*5))^1/1)+2*(((0.15*B2036*5))^2/2)+3*(((0.15*B2036*5))^3/6)+4*(((0.15*B2036*5))^4/24)+5*(((0.15*B2036*5))^5/120))/((((0.15*B2036*5))^0/1)+(((0.15*B2036*5))^1/1)+(((0.15*B2036*5))^2/2)+(((0.15*B2036*5))^3/6)+(((0.15*B2036*5))^4/24)+(((0.15*B2036*5))^5/120))),0))+IF(Inputs!$B$3&gt;=54,9*(C2006=TRUE)*MIN(1,8*(1+Inputs!$B$34/100)*Q2006),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07">
      <c r="A2007">
        <f>Skills!A4</f>
        <v/>
      </c>
      <c r="B2007">
        <f>Skills!B4</f>
        <v/>
      </c>
      <c r="C2007">
        <f>Inputs!$B$3&gt;=35</f>
        <v/>
      </c>
      <c r="D2007">
        <f>IF(Skills!C4=1,60+Inputs!$B$25+Inputs!$B$29,IF(Skills!C4=2,90+Inputs!$B$26+Inputs!$B$29,IF(Skills!C4=3,120+Inputs!$B$27+Inputs!$B$29,MAX(0,(Inputs!$B$3-100)*3)+Inputs!$B$28+Inputs!$B$29)))</f>
        <v/>
      </c>
      <c r="E2007">
        <f>INDEX(FactorTable!$B$2:$Y$301, MATCH(ROUND(MIN(300,MAX(1,D2007)),0), FactorTable!$A$2:$A$301,0), Skills!M4+1)</f>
        <v/>
      </c>
      <c r="F2007">
        <f>IF(Skills!N4=TRUE,(Skills!L4/10)*(E2007/1000),Skills!L4/10)+Skills!O4</f>
        <v/>
      </c>
      <c r="G2007">
        <f>Skills!G4*IF(Skills!H4&gt;0,INT(IF(Inputs!$B$38="pvp",MIN(IF(Inputs!$B$3&gt;=104,MIN(35,20*(1+Inputs!$B$34/100)),20),15),IF(Inputs!$B$3&gt;=104,MIN(35,20*(1+Inputs!$B$34/100)),20))/Skills!H4+0.000000001),1)</f>
        <v/>
      </c>
      <c r="H2007">
        <f>1-(1-Skills!J4/100)^Skills!K4</f>
        <v/>
      </c>
      <c r="I2007" t="inlineStr">
        <is>
          <t>1</t>
        </is>
      </c>
      <c r="J2007">
        <f>((Inputs!$B$6*(1+Inputs!$B$7/100))+(((Inputs!$B$12*(1+Inputs!$B$13/100))-(Inputs!$B$12*(1+Inputs!$B$13/100)))+0.25*(Inputs!$B$14-Inputs!$B$14))*(1+Inputs!$B$7/100))*(F2007/100)</f>
        <v/>
      </c>
      <c r="K2007">
        <f>J2007*(1+((Inputs!$B$12*(1+Inputs!$B$13/100))*0.01+Inputs!$B$14*0.0025)/100)*(1+Inputs!$B$15/100)*(1+Inputs!$B$16/100)*(5000/(6000+Inputs!$B$42*(1-(100*(1-(1-(Inputs!$B$19+0)/100)*(1-CHOOSE(ArtifactsInput!$N$40+1,5,6,7,8,9,10)/100)^(ArtifactsInput!$M$40-ArtifactsInput!$M$40)))/100)))*(1+(Inputs!$B$24+((C2029=TRUE)*(F2029-Calc!F26))+B2040)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2019=TRUE,F2019,0)/100)*(1+(IF(Skills!A4="EIGHT_LEGS_EASTON",Inputs!$B$17+((C2026=TRUE)*(F2026-Calc!F23))+((C2030=TRUE)*(F2030-Calc!F27))+((IF(AND(Inputs!$B$38&lt;&gt;"pvp",Inputs!$B$43=0),1,IF(IF(Inputs!$B$38="pvp",15,Inputs!$B$43)-(B2041)&lt;=0,1,MAX(0,IF(Inputs!$B$38="pvp",15,Inputs!$B$43)-MAX(5,B2041))/(IF(Inputs!$B$38="pvp",15,Inputs!$B$43)-(B2041))))*(IF(AND(ArtifactsInput!$M$42,((Inputs!$B$9+((C2022=TRUE)*(F2022-Calc!F19))+B2034+(ArtifactsInput!$M$24-ArtifactsInput!$M$24)*CHOOSE(ArtifactsInput!$N$24+1,10,12,14,16,18,20)+IF(ArtifactsInput!$M$10,CHOOSE(ArtifactsInput!$N$10+1,15,18,21,24,27,30)*(IF(Inputs!$B$38="pvp",MIN(15,15)/15,IF(AND(Inputs!$B$38&lt;&gt;"pvp",Inputs!$B$43&gt;0),MIN(15,Inputs!$B$43)/(Inputs!$B$43),0))),0)))&gt;=100),MIN(100,((Inputs!$B$9+((C2022=TRUE)*(F2022-Calc!F19))+B2034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2041)&lt;=0,1,MAX(0,IF(Inputs!$B$38="pvp",15,Inputs!$B$43)-MAX(5,B2041))/(IF(Inputs!$B$38="pvp",15,Inputs!$B$43)-(B2041))))*IF(AND(ArtifactsInput!$M$42,((Inputs!$B$9+((C2022=TRUE)*(F2022-Calc!F19))+B2034+(ArtifactsInput!$M$24-ArtifactsInput!$M$24)*CHOOSE(ArtifactsInput!$N$24+1,10,12,14,16,18,20)+IF(ArtifactsInput!$M$10,CHOOSE(ArtifactsInput!$N$10+1,15,18,21,24,27,30)*(IF(Inputs!$B$38="pvp",MIN(15,15)/15,IF(AND(Inputs!$B$38&lt;&gt;"pvp",Inputs!$B$43&gt;0),MIN(15,Inputs!$B$43)/(Inputs!$B$43),0))),0)))&gt;=100),CHOOSE(ArtifactsInput!$N$42+1,40,48,56,64,72,80),0))))/100)*((1+(((C2020=TRUE)*F2020*5/7)+((C2027=TRUE)*(F2027-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2007)</f>
        <v/>
      </c>
      <c r="L2007">
        <f>K2007*(MIN(Inputs!$B$22+((C2025=TRUE)*(F2025-Calc!F22)),(Inputs!$B$23+0+(IF(ArtifactsInput!$M$15,CHOOSE(ArtifactsInput!$N$15+1,25,30,35,40,45,50)/100*(Inputs!$B$11-Inputs!$B$11),0))))/100+(Inputs!$B$23+0+(IF(ArtifactsInput!$M$15,CHOOSE(ArtifactsInput!$N$15+1,25,30,35,40,45,50)/100*(Inputs!$B$11-Inputs!$B$11),0)))/100)/2</f>
        <v/>
      </c>
      <c r="M2007">
        <f>L2007*(1+(Inputs!$B$10+((C2028=TRUE)*(F2028-Calc!F25))+B2039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07">
        <f>L2007*(1-MIN((Inputs!$B$9+((C2022=TRUE)*(F2022-Calc!F19))+B2034+(ArtifactsInput!$M$24-ArtifactsInput!$M$24)*CHOOSE(ArtifactsInput!$N$24+1,10,12,14,16,18,20)+(IF(AND(Inputs!$B$38&lt;&gt;"pvp",Inputs!$B$43=0),1,IF(IF(Inputs!$B$38="pvp",15,Inputs!$B$43)-(B2041)&lt;=0,1,MAX(0,IF(Inputs!$B$38="pvp",15,Inputs!$B$43)-MAX(5,B2041))/(IF(Inputs!$B$38="pvp",15,Inputs!$B$43)-(B2041))))*IF(AND(ArtifactsInput!$M$42,((Inputs!$B$9+((C2022=TRUE)*(F2022-Calc!F19))+B2034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2007*(MIN((Inputs!$B$9+((C2022=TRUE)*(F2022-Calc!F19))+B2034+(ArtifactsInput!$M$24-ArtifactsInput!$M$24)*CHOOSE(ArtifactsInput!$N$24+1,10,12,14,16,18,20)+(IF(AND(Inputs!$B$38&lt;&gt;"pvp",Inputs!$B$43=0),1,IF(IF(Inputs!$B$38="pvp",15,Inputs!$B$43)-(B2041)&lt;=0,1,MAX(0,IF(Inputs!$B$38="pvp",15,Inputs!$B$43)-MAX(5,B2041))/(IF(Inputs!$B$38="pvp",15,Inputs!$B$43)-(B2041))))*IF(AND(ArtifactsInput!$M$42,((Inputs!$B$9+((C2022=TRUE)*(F2022-Calc!F19))+B2034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07">
        <f>(1-Summary!$B$11)*T2007+Summary!$B$11*V2007</f>
        <v/>
      </c>
      <c r="P2007">
        <f>IF(B2044=0,0,O2007/B2044)</f>
        <v/>
      </c>
      <c r="Q2007">
        <f>IFERROR(1/(IF(Inputs!$B$38="pvp",15,MAX(0.1,Skills!D4-IF(TRUE=TRUE,Inputs!$B$32,0)))*(1-IF(AND(ArtifactsInput!$M$27,Inputs!$B$4="Chapter Hunt"),CHOOSE(ArtifactsInput!$N$27+1,20,24,28,32,36,40),0)/100)),0)</f>
        <v/>
      </c>
      <c r="R2007">
        <f>IF(AND(Inputs!$B$38&lt;&gt;"pvp",Inputs!$B$43&gt;0),IF(MAX(0,Inputs!$B$43-B2041)&lt;=0,0,(INT(MAX(0,Inputs!$B$43-B2041)/(IF(Inputs!$B$38="pvp",15,MAX(0.1,Skills!D4-IF(TRUE=TRUE,Inputs!$B$32,0)))*(1-IF(AND(ArtifactsInput!$M$27,Inputs!$B$4="Chapter Hunt"),CHOOSE(ArtifactsInput!$N$27+1,20,24,28,32,36,40),0)/100)))+1)),0)</f>
        <v/>
      </c>
      <c r="S2007">
        <f>IFERROR(O2007/N2007,0)</f>
        <v/>
      </c>
      <c r="T2007">
        <f>IF(C2007,(H2007*N2007*IF(AND(Inputs!$B$38&lt;&gt;"pvp",Inputs!$B$43&gt;0),((Skills!G4*((R2007-1)*IF(Skills!H4&gt;0,INT(IF(Inputs!$B$3&gt;=104,MIN(35,20*(1+Inputs!$B$34/100)),20)/Skills!H4+0.000000001),1)+IF(Skills!H4&gt;0,INT(MIN(IF(Inputs!$B$3&gt;=104,MIN(35,20*(1+Inputs!$B$34/100)),20),MAX(0,MAX(0,Inputs!$B$43-B2041)-((R2007-1)*(IF(Inputs!$B$38="pvp",15,MAX(0.1,Skills!D4-IF(TRUE=TRUE,Inputs!$B$32,0)))*(1-IF(AND(ArtifactsInput!$M$27,Inputs!$B$4="Chapter Hunt"),CHOOSE(ArtifactsInput!$N$27+1,20,24,28,32,36,40),0)/100)))))/Skills!H4+0.000000001),1)))/Inputs!$B$43),G2007*Q2007))*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IF(ArtifactsInput!$M$23,FALSE,TRUE)-ArtifactsInput!$M$23)*CHOOSE(ArtifactsInput!$N$23+1,50,60,70,80,90,100))+(IF(AND(ArtifactsInput!$M$35,Inputs!$B$4&lt;&gt;"Chapter Hunt"),CHOOSE(ArtifactsInput!$N$35+1,15,18,21,24,27,30)*(1-EXP(-(0.2*B2036)*5)),0)+IF(AND(ArtifactsInput!$M$22,Inputs!$B$4&lt;&gt;"Chapter Hunt"),CHOOSE(ArtifactsInput!$N$22+1,10,12,14,16,18,20)*((0*(((0.15*B2036*5))^0/1)+1*(((0.15*B2036*5))^1/1)+2*(((0.15*B2036*5))^2/2)+3*(((0.15*B2036*5))^3/6)+4*(((0.15*B2036*5))^4/24)+5*(((0.15*B2036*5))^5/120))/((((0.15*B2036*5))^0/1)+(((0.15*B2036*5))^1/1)+(((0.15*B2036*5))^2/2)+(((0.15*B2036*5))^3/6)+(((0.15*B2036*5))^4/24)+(((0.15*B2036*5))^5/120))),0))+IF(Inputs!$B$3&gt;=54,9*(C2006=TRUE)*MIN(1,8*(1+Inputs!$B$34/100)*Q2006)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2007*(1-MIN(100,(Inputs!$B$9+((C2022=TRUE)*(F2022-Calc!F19))+B2034+(ArtifactsInput!$M$24-ArtifactsInput!$M$24)*CHOOSE(ArtifactsInput!$N$24+1,10,12,14,16,18,20)+(IF(AND(Inputs!$B$38&lt;&gt;"pvp",Inputs!$B$43=0),1,IF(IF(Inputs!$B$38="pvp",15,Inputs!$B$43)-(B2041)&lt;=0,1,MAX(0,IF(Inputs!$B$38="pvp",15,Inputs!$B$43)-MAX(5,B2041))/(IF(Inputs!$B$38="pvp",15,Inputs!$B$43)-(B2041))))*IF(AND(ArtifactsInput!$M$42,((Inputs!$B$9+((C2022=TRUE)*(F2022-Calc!F19))+B2034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2007*(MIN(100,(Inputs!$B$9+((C2022=TRUE)*(F2022-Calc!F19))+B2034+(ArtifactsInput!$M$24-ArtifactsInput!$M$24)*CHOOSE(ArtifactsInput!$N$24+1,10,12,14,16,18,20)+(IF(AND(Inputs!$B$38&lt;&gt;"pvp",Inputs!$B$43=0),1,IF(IF(Inputs!$B$38="pvp",15,Inputs!$B$43)-(B2041)&lt;=0,1,MAX(0,IF(Inputs!$B$38="pvp",15,Inputs!$B$43)-MAX(5,B2041))/(IF(Inputs!$B$38="pvp",15,Inputs!$B$43)-(B2041))))*IF(AND(ArtifactsInput!$M$42,((Inputs!$B$9+((C2022=TRUE)*(F2022-Calc!F19))+B2034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2007*(1-MIN(100,(Inputs!$B$9+((C2022=TRUE)*(F2022-Calc!F19))+B2034+(ArtifactsInput!$M$24-ArtifactsInput!$M$24)*CHOOSE(ArtifactsInput!$N$24+1,10,12,14,16,18,20)+(IF(AND(Inputs!$B$38&lt;&gt;"pvp",Inputs!$B$43=0),1,IF(IF(Inputs!$B$38="pvp",15,Inputs!$B$43)-(B2041)&lt;=0,1,MAX(0,IF(Inputs!$B$38="pvp",15,Inputs!$B$43)-MAX(5,B2041))/(IF(Inputs!$B$38="pvp",15,Inputs!$B$43)-(B2041))))*IF(AND(ArtifactsInput!$M$42,((Inputs!$B$9+((C2022=TRUE)*(F2022-Calc!F19))+B2034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2007*(MIN(100,(Inputs!$B$9+((C2022=TRUE)*(F2022-Calc!F19))+B2034+(ArtifactsInput!$M$24-ArtifactsInput!$M$24)*CHOOSE(ArtifactsInput!$N$24+1,10,12,14,16,18,20)+(IF(AND(Inputs!$B$38&lt;&gt;"pvp",Inputs!$B$43=0),1,IF(IF(Inputs!$B$38="pvp",15,Inputs!$B$43)-(B2041)&lt;=0,1,MAX(0,IF(Inputs!$B$38="pvp",15,Inputs!$B$43)-MAX(5,B2041))/(IF(Inputs!$B$38="pvp",15,Inputs!$B$43)-(B2041))))*IF(AND(ArtifactsInput!$M$42,((Inputs!$B$9+((C2022=TRUE)*(F2022-Calc!F19))+B2034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007">
        <f>290*U2006/1000</f>
        <v/>
      </c>
      <c r="V2007">
        <f>IF(C2007,(H2007*N2007*IF(AND(Inputs!$B$38&lt;&gt;"pvp",Inputs!$B$43&gt;0),((Skills!G4*((R2007-1)*IF(Skills!H4&gt;0,INT(IF(Inputs!$B$3&gt;=104,MIN(35,20*(1+Inputs!$B$34/100)),20)/Skills!H4+0.000000001),1)+IF(Skills!H4&gt;0,INT(MIN(IF(Inputs!$B$3&gt;=104,MIN(35,20*(1+Inputs!$B$34/100)),20),MAX(0,MAX(0,Inputs!$B$43-B2041)-((R2007-1)*(IF(Inputs!$B$38="pvp",15,MAX(0.1,Skills!D4-IF(TRUE=TRUE,Inputs!$B$32,0)))*(1-IF(AND(ArtifactsInput!$M$27,Inputs!$B$4="Chapter Hunt"),CHOOSE(ArtifactsInput!$N$27+1,20,24,28,32,36,40),0)/100)))))/Skills!H4+0.000000001),1)))/Inputs!$B$43),G2007*Q2007))*IF(Inputs!$B$38="pvp",1,(1+(Inputs!$B$21+Skills!Q4+(IF(ArtifactsInput!$M$33,CHOOSE(ArtifactsInput!$N$33+1,30,36,42,48,54,60),0))+(IF(AND(ArtifactsInput!$M$35,Inputs!$B$4&lt;&gt;"Chapter Hunt"),CHOOSE(ArtifactsInput!$N$35+1,15,18,21,24,27,30)*(1-EXP(-(0.2*B2036)*5)),0)+IF(AND(ArtifactsInput!$M$22,Inputs!$B$4&lt;&gt;"Chapter Hunt"),CHOOSE(ArtifactsInput!$N$22+1,10,12,14,16,18,20)*((0*(((0.15*B2036*5))^0/1)+1*(((0.15*B2036*5))^1/1)+2*(((0.15*B2036*5))^2/2)+3*(((0.15*B2036*5))^3/6)+4*(((0.15*B2036*5))^4/24)+5*(((0.15*B2036*5))^5/120))/((((0.15*B2036*5))^0/1)+(((0.15*B2036*5))^1/1)+(((0.15*B2036*5))^2/2)+(((0.15*B2036*5))^3/6)+(((0.15*B2036*5))^4/24)+(((0.15*B2036*5))^5/120))),0))+IF(Inputs!$B$3&gt;=54,9*(C2006=TRUE)*MIN(1,8*(1+Inputs!$B$34/100)*Q2006),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08">
      <c r="A2008">
        <f>Skills!A5</f>
        <v/>
      </c>
      <c r="B2008">
        <f>Skills!B5</f>
        <v/>
      </c>
      <c r="C2008">
        <f>Inputs!$B$3&gt;=69</f>
        <v/>
      </c>
      <c r="D2008">
        <f>IF(Skills!C5=1,60+Inputs!$B$25+Inputs!$B$29,IF(Skills!C5=2,90+Inputs!$B$26+Inputs!$B$29,IF(Skills!C5=3,120+Inputs!$B$27+Inputs!$B$29,MAX(0,(Inputs!$B$3-100)*3)+Inputs!$B$28+Inputs!$B$29)))</f>
        <v/>
      </c>
      <c r="E2008">
        <f>INDEX(FactorTable!$B$2:$Y$301, MATCH(ROUND(MIN(300,MAX(1,D2008)),0), FactorTable!$A$2:$A$301,0), Skills!M5+1)</f>
        <v/>
      </c>
      <c r="F2008">
        <f>IF(Skills!N5=TRUE,(Skills!L5/10)*(E2008/1000),Skills!L5/10)+Skills!O5</f>
        <v/>
      </c>
      <c r="G2008">
        <f>Skills!G5*IF(Skills!H5&gt;0,INT(IF(Inputs!$B$38="pvp",MIN(IF(Inputs!$B$3&gt;=104,MIN(35,20*(1+Inputs!$B$34/100)),20),15),IF(Inputs!$B$3&gt;=104,MIN(35,20*(1+Inputs!$B$34/100)),20))/Skills!H5+0.000000001),1)</f>
        <v/>
      </c>
      <c r="H2008">
        <f>1-(1-Skills!J5/100)^Skills!K5</f>
        <v/>
      </c>
      <c r="I2008" t="inlineStr">
        <is>
          <t>1</t>
        </is>
      </c>
      <c r="J2008">
        <f>((Inputs!$B$6*(1+Inputs!$B$7/100))+(((Inputs!$B$12*(1+Inputs!$B$13/100))-(Inputs!$B$12*(1+Inputs!$B$13/100)))+0.25*(Inputs!$B$14-Inputs!$B$14))*(1+Inputs!$B$7/100))*(F2008/100)</f>
        <v/>
      </c>
      <c r="K2008">
        <f>J2008*(1+((Inputs!$B$12*(1+Inputs!$B$13/100))*0.01+Inputs!$B$14*0.0025)/100)*(1+Inputs!$B$15/100)*(1+Inputs!$B$16/100)*(5000/(6000+Inputs!$B$42*(1-(100*(1-(1-(Inputs!$B$19+0)/100)*(1-CHOOSE(ArtifactsInput!$N$40+1,5,6,7,8,9,10)/100)^(ArtifactsInput!$M$40-ArtifactsInput!$M$40)))/100)))*(1+(Inputs!$B$24+((C2029=TRUE)*(F2029-Calc!F26))+B2040)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+0.4*IF(C2019=TRUE,F2019,0)/100)*(1+(IF(Skills!A5="EIGHT_LEGS_EASTON",Inputs!$B$17+((C2026=TRUE)*(F2026-Calc!F23))+((C2030=TRUE)*(F2030-Calc!F27))+((IF(AND(Inputs!$B$38&lt;&gt;"pvp",Inputs!$B$43=0),1,IF(IF(Inputs!$B$38="pvp",15,Inputs!$B$43)-(B2041)&lt;=0,1,MAX(0,IF(Inputs!$B$38="pvp",15,Inputs!$B$43)-MAX(5,B2041))/(IF(Inputs!$B$38="pvp",15,Inputs!$B$43)-(B2041))))*(IF(AND(ArtifactsInput!$M$42,((Inputs!$B$9+((C2022=TRUE)*(F2022-Calc!F19))+B2034+(ArtifactsInput!$M$24-ArtifactsInput!$M$24)*CHOOSE(ArtifactsInput!$N$24+1,10,12,14,16,18,20)+IF(ArtifactsInput!$M$10,CHOOSE(ArtifactsInput!$N$10+1,15,18,21,24,27,30)*(IF(Inputs!$B$38="pvp",MIN(15,15)/15,IF(AND(Inputs!$B$38&lt;&gt;"pvp",Inputs!$B$43&gt;0),MIN(15,Inputs!$B$43)/(Inputs!$B$43),0))),0)))&gt;=100),MIN(100,((Inputs!$B$9+((C2022=TRUE)*(F2022-Calc!F19))+B2034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2041)&lt;=0,1,MAX(0,IF(Inputs!$B$38="pvp",15,Inputs!$B$43)-MAX(5,B2041))/(IF(Inputs!$B$38="pvp",15,Inputs!$B$43)-(B2041))))*IF(AND(ArtifactsInput!$M$42,((Inputs!$B$9+((C2022=TRUE)*(F2022-Calc!F19))+B2034+(ArtifactsInput!$M$24-ArtifactsInput!$M$24)*CHOOSE(ArtifactsInput!$N$24+1,10,12,14,16,18,20)+IF(ArtifactsInput!$M$10,CHOOSE(ArtifactsInput!$N$10+1,15,18,21,24,27,30)*(IF(Inputs!$B$38="pvp",MIN(15,15)/15,IF(AND(Inputs!$B$38&lt;&gt;"pvp",Inputs!$B$43&gt;0),MIN(15,Inputs!$B$43)/(Inputs!$B$43),0))),0)))&gt;=100),CHOOSE(ArtifactsInput!$N$42+1,40,48,56,64,72,80),0))))/100)*((1+(((C2020=TRUE)*F2020*5/7)+((C2027=TRUE)*(F2027-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2008)</f>
        <v/>
      </c>
      <c r="L2008">
        <f>K2008*(MIN(Inputs!$B$22+((C2025=TRUE)*(F2025-Calc!F22)),(Inputs!$B$23+0+(IF(ArtifactsInput!$M$15,CHOOSE(ArtifactsInput!$N$15+1,25,30,35,40,45,50)/100*(Inputs!$B$11-Inputs!$B$11),0))))/100+(Inputs!$B$23+0+(IF(ArtifactsInput!$M$15,CHOOSE(ArtifactsInput!$N$15+1,25,30,35,40,45,50)/100*(Inputs!$B$11-Inputs!$B$11),0)))/100)/2</f>
        <v/>
      </c>
      <c r="M2008">
        <f>L2008*(1+(Inputs!$B$10+((C2028=TRUE)*(F2028-Calc!F25))+B2039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08">
        <f>L2008*(1-MIN((Inputs!$B$9+((C2022=TRUE)*(F2022-Calc!F19))+B2034+(ArtifactsInput!$M$24-ArtifactsInput!$M$24)*CHOOSE(ArtifactsInput!$N$24+1,10,12,14,16,18,20)+(IF(AND(Inputs!$B$38&lt;&gt;"pvp",Inputs!$B$43=0),1,IF(IF(Inputs!$B$38="pvp",15,Inputs!$B$43)-(B2041)&lt;=0,1,MAX(0,IF(Inputs!$B$38="pvp",15,Inputs!$B$43)-MAX(5,B2041))/(IF(Inputs!$B$38="pvp",15,Inputs!$B$43)-(B2041))))*IF(AND(ArtifactsInput!$M$42,((Inputs!$B$9+((C2022=TRUE)*(F2022-Calc!F19))+B2034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2008*(MIN((Inputs!$B$9+((C2022=TRUE)*(F2022-Calc!F19))+B2034+(ArtifactsInput!$M$24-ArtifactsInput!$M$24)*CHOOSE(ArtifactsInput!$N$24+1,10,12,14,16,18,20)+(IF(AND(Inputs!$B$38&lt;&gt;"pvp",Inputs!$B$43=0),1,IF(IF(Inputs!$B$38="pvp",15,Inputs!$B$43)-(B2041)&lt;=0,1,MAX(0,IF(Inputs!$B$38="pvp",15,Inputs!$B$43)-MAX(5,B2041))/(IF(Inputs!$B$38="pvp",15,Inputs!$B$43)-(B2041))))*IF(AND(ArtifactsInput!$M$42,((Inputs!$B$9+((C2022=TRUE)*(F2022-Calc!F19))+B2034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08">
        <f>(1-Summary!$B$11)*T2008+Summary!$B$11*V2008</f>
        <v/>
      </c>
      <c r="P2008">
        <f>IF(B2044=0,0,O2008/B2044)</f>
        <v/>
      </c>
      <c r="Q2008">
        <f>IFERROR(1/(IF(Inputs!$B$38="pvp",15,MAX(0.1,Skills!D5-IF(TRUE=TRUE,Inputs!$B$32,0)))*(1-IF(AND(ArtifactsInput!$M$27,Inputs!$B$4="Chapter Hunt"),CHOOSE(ArtifactsInput!$N$27+1,20,24,28,32,36,40),0)/100)),0)</f>
        <v/>
      </c>
      <c r="R2008">
        <f>IF(AND(Inputs!$B$38&lt;&gt;"pvp",Inputs!$B$43&gt;0),IF(MAX(0,Inputs!$B$43-B2041)&lt;=0,0,(INT(MAX(0,Inputs!$B$43-B2041)/(IF(Inputs!$B$38="pvp",15,MAX(0.1,Skills!D5-IF(TRUE=TRUE,Inputs!$B$32,0)))*(1-IF(AND(ArtifactsInput!$M$27,Inputs!$B$4="Chapter Hunt"),CHOOSE(ArtifactsInput!$N$27+1,20,24,28,32,36,40),0)/100)))+1)),0)</f>
        <v/>
      </c>
      <c r="S2008">
        <f>IFERROR(O2008/N2008,0)</f>
        <v/>
      </c>
      <c r="T2008">
        <f>IF(C2008,(H2008*N2008*IF(AND(Inputs!$B$38&lt;&gt;"pvp",Inputs!$B$43&gt;0),((Skills!G5*((R2008-1)*IF(Skills!H5&gt;0,INT(IF(Inputs!$B$3&gt;=104,MIN(35,20*(1+Inputs!$B$34/100)),20)/Skills!H5+0.000000001),1)+IF(Skills!H5&gt;0,INT(MIN(IF(Inputs!$B$3&gt;=104,MIN(35,20*(1+Inputs!$B$34/100)),20),MAX(0,MAX(0,Inputs!$B$43-B2041)-((R2008-1)*(IF(Inputs!$B$38="pvp",15,MAX(0.1,Skills!D5-IF(TRUE=TRUE,Inputs!$B$32,0)))*(1-IF(AND(ArtifactsInput!$M$27,Inputs!$B$4="Chapter Hunt"),CHOOSE(ArtifactsInput!$N$27+1,20,24,28,32,36,40),0)/100)))))/Skills!H5+0.000000001),1)))/Inputs!$B$43),G2008*Q2008))*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IF(ArtifactsInput!$M$23,FALSE,TRUE)-ArtifactsInput!$M$23)*CHOOSE(ArtifactsInput!$N$23+1,50,60,70,80,90,100))+(IF(AND(ArtifactsInput!$M$35,Inputs!$B$4&lt;&gt;"Chapter Hunt"),CHOOSE(ArtifactsInput!$N$35+1,15,18,21,24,27,30)*(1-EXP(-(0.2*B2036)*5)),0)+IF(AND(ArtifactsInput!$M$22,Inputs!$B$4&lt;&gt;"Chapter Hunt"),CHOOSE(ArtifactsInput!$N$22+1,10,12,14,16,18,20)*((0*(((0.15*B2036*5))^0/1)+1*(((0.15*B2036*5))^1/1)+2*(((0.15*B2036*5))^2/2)+3*(((0.15*B2036*5))^3/6)+4*(((0.15*B2036*5))^4/24)+5*(((0.15*B2036*5))^5/120))/((((0.15*B2036*5))^0/1)+(((0.15*B2036*5))^1/1)+(((0.15*B2036*5))^2/2)+(((0.15*B2036*5))^3/6)+(((0.15*B2036*5))^4/24)+(((0.15*B2036*5))^5/120))),0))+IF(Inputs!$B$3&gt;=54,9*(C2006=TRUE)*MIN(1,8*(1+Inputs!$B$34/100)*Q2006)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2008*(1-MIN(100,(Inputs!$B$9+((C2022=TRUE)*(F2022-Calc!F19))+B2034+(ArtifactsInput!$M$24-ArtifactsInput!$M$24)*CHOOSE(ArtifactsInput!$N$24+1,10,12,14,16,18,20)+(IF(AND(Inputs!$B$38&lt;&gt;"pvp",Inputs!$B$43=0),1,IF(IF(Inputs!$B$38="pvp",15,Inputs!$B$43)-(B2041)&lt;=0,1,MAX(0,IF(Inputs!$B$38="pvp",15,Inputs!$B$43)-MAX(5,B2041))/(IF(Inputs!$B$38="pvp",15,Inputs!$B$43)-(B2041))))*IF(AND(ArtifactsInput!$M$42,((Inputs!$B$9+((C2022=TRUE)*(F2022-Calc!F19))+B2034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2008*(MIN(100,(Inputs!$B$9+((C2022=TRUE)*(F2022-Calc!F19))+B2034+(ArtifactsInput!$M$24-ArtifactsInput!$M$24)*CHOOSE(ArtifactsInput!$N$24+1,10,12,14,16,18,20)+(IF(AND(Inputs!$B$38&lt;&gt;"pvp",Inputs!$B$43=0),1,IF(IF(Inputs!$B$38="pvp",15,Inputs!$B$43)-(B2041)&lt;=0,1,MAX(0,IF(Inputs!$B$38="pvp",15,Inputs!$B$43)-MAX(5,B2041))/(IF(Inputs!$B$38="pvp",15,Inputs!$B$43)-(B2041))))*IF(AND(ArtifactsInput!$M$42,((Inputs!$B$9+((C2022=TRUE)*(F2022-Calc!F19))+B2034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2008*(1-MIN(100,(Inputs!$B$9+((C2022=TRUE)*(F2022-Calc!F19))+B2034+(ArtifactsInput!$M$24-ArtifactsInput!$M$24)*CHOOSE(ArtifactsInput!$N$24+1,10,12,14,16,18,20)+(IF(AND(Inputs!$B$38&lt;&gt;"pvp",Inputs!$B$43=0),1,IF(IF(Inputs!$B$38="pvp",15,Inputs!$B$43)-(B2041)&lt;=0,1,MAX(0,IF(Inputs!$B$38="pvp",15,Inputs!$B$43)-MAX(5,B2041))/(IF(Inputs!$B$38="pvp",15,Inputs!$B$43)-(B2041))))*IF(AND(ArtifactsInput!$M$42,((Inputs!$B$9+((C2022=TRUE)*(F2022-Calc!F19))+B2034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2008*(MIN(100,(Inputs!$B$9+((C2022=TRUE)*(F2022-Calc!F19))+B2034+(ArtifactsInput!$M$24-ArtifactsInput!$M$24)*CHOOSE(ArtifactsInput!$N$24+1,10,12,14,16,18,20)+(IF(AND(Inputs!$B$38&lt;&gt;"pvp",Inputs!$B$43=0),1,IF(IF(Inputs!$B$38="pvp",15,Inputs!$B$43)-(B2041)&lt;=0,1,MAX(0,IF(Inputs!$B$38="pvp",15,Inputs!$B$43)-MAX(5,B2041))/(IF(Inputs!$B$38="pvp",15,Inputs!$B$43)-(B2041))))*IF(AND(ArtifactsInput!$M$42,((Inputs!$B$9+((C2022=TRUE)*(F2022-Calc!F19))+B2034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008">
        <f>IF(C2008,(H2008*N2008*IF(AND(Inputs!$B$38&lt;&gt;"pvp",Inputs!$B$43&gt;0),((Skills!G5*((R2008-1)*IF(Skills!H5&gt;0,INT(IF(Inputs!$B$3&gt;=104,MIN(35,20*(1+Inputs!$B$34/100)),20)/Skills!H5+0.000000001),1)+IF(Skills!H5&gt;0,INT(MIN(IF(Inputs!$B$3&gt;=104,MIN(35,20*(1+Inputs!$B$34/100)),20),MAX(0,MAX(0,Inputs!$B$43-B2041)-((R2008-1)*(IF(Inputs!$B$38="pvp",15,MAX(0.1,Skills!D5-IF(TRUE=TRUE,Inputs!$B$32,0)))*(1-IF(AND(ArtifactsInput!$M$27,Inputs!$B$4="Chapter Hunt"),CHOOSE(ArtifactsInput!$N$27+1,20,24,28,32,36,40),0)/100)))))/Skills!H5+0.000000001),1)))/Inputs!$B$43),G2008*Q2008))*IF(Inputs!$B$38="pvp",1,(1+(Inputs!$B$21+Skills!Q5+(IF(ArtifactsInput!$M$33,CHOOSE(ArtifactsInput!$N$33+1,30,36,42,48,54,60),0))+(IF(AND(ArtifactsInput!$M$35,Inputs!$B$4&lt;&gt;"Chapter Hunt"),CHOOSE(ArtifactsInput!$N$35+1,15,18,21,24,27,30)*(1-EXP(-(0.2*B2036)*5)),0)+IF(AND(ArtifactsInput!$M$22,Inputs!$B$4&lt;&gt;"Chapter Hunt"),CHOOSE(ArtifactsInput!$N$22+1,10,12,14,16,18,20)*((0*(((0.15*B2036*5))^0/1)+1*(((0.15*B2036*5))^1/1)+2*(((0.15*B2036*5))^2/2)+3*(((0.15*B2036*5))^3/6)+4*(((0.15*B2036*5))^4/24)+5*(((0.15*B2036*5))^5/120))/((((0.15*B2036*5))^0/1)+(((0.15*B2036*5))^1/1)+(((0.15*B2036*5))^2/2)+(((0.15*B2036*5))^3/6)+(((0.15*B2036*5))^4/24)+(((0.15*B2036*5))^5/120))),0))+IF(Inputs!$B$3&gt;=54,9*(C2006=TRUE)*MIN(1,8*(1+Inputs!$B$34/100)*Q2006),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09">
      <c r="A2009">
        <f>Skills!A6</f>
        <v/>
      </c>
      <c r="B2009">
        <f>Skills!B6</f>
        <v/>
      </c>
      <c r="C2009">
        <f>Inputs!$B$3&gt;=66</f>
        <v/>
      </c>
      <c r="D2009">
        <f>IF(Skills!C6=1,60+Inputs!$B$25+Inputs!$B$29,IF(Skills!C6=2,90+Inputs!$B$26+Inputs!$B$29,IF(Skills!C6=3,120+Inputs!$B$27+Inputs!$B$29,MAX(0,(Inputs!$B$3-100)*3)+Inputs!$B$28+Inputs!$B$29)))</f>
        <v/>
      </c>
      <c r="E2009">
        <f>INDEX(FactorTable!$B$2:$Y$301, MATCH(ROUND(MIN(300,MAX(1,D2009)),0), FactorTable!$A$2:$A$301,0), Skills!M6+1)</f>
        <v/>
      </c>
      <c r="F2009">
        <f>IF(Skills!N6=TRUE,(Skills!L6/10)*(E2009/1000),Skills!L6/10)+Skills!O6</f>
        <v/>
      </c>
      <c r="G2009">
        <f>Skills!G6*IF(Skills!H6&gt;0,INT(IF(Inputs!$B$38="pvp",MIN(Skills!I6,15),Skills!I6)/Skills!H6+0.000000001),1)</f>
        <v/>
      </c>
      <c r="H2009">
        <f>1-(1-Skills!J6/100)^Skills!K6</f>
        <v/>
      </c>
      <c r="I2009" t="inlineStr">
        <is>
          <t>1</t>
        </is>
      </c>
      <c r="J2009">
        <f>((Inputs!$B$6*(1+Inputs!$B$7/100))+(((Inputs!$B$12*(1+Inputs!$B$13/100))-(Inputs!$B$12*(1+Inputs!$B$13/100)))+0.25*(Inputs!$B$14-Inputs!$B$14))*(1+Inputs!$B$7/100))*(F2009/100)</f>
        <v/>
      </c>
      <c r="K2009">
        <f>J2009*(1+((Inputs!$B$12*(1+Inputs!$B$13/100))*0.01+Inputs!$B$14*0.0025)/100)*(1+Inputs!$B$15/100)*(1+Inputs!$B$16/100)*(5000/(6000+Inputs!$B$42*(1-(100*(1-(1-(Inputs!$B$19+0)/100)*(1-CHOOSE(ArtifactsInput!$N$40+1,5,6,7,8,9,10)/100)^(ArtifactsInput!$M$40-ArtifactsInput!$M$40)))/100)))*(1+(Inputs!$B$24+((C2029=TRUE)*(F2029-Calc!F26))+B2040)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+2.0*IF(C2018=TRUE,F2018,0)/100)*(1+(IF(Skills!A6="EIGHT_LEGS_EASTON",Inputs!$B$17+((C2026=TRUE)*(F2026-Calc!F23))+((C2030=TRUE)*(F2030-Calc!F27))+((IF(AND(Inputs!$B$38&lt;&gt;"pvp",Inputs!$B$43=0),1,IF(IF(Inputs!$B$38="pvp",15,Inputs!$B$43)-(B2041)&lt;=0,1,MAX(0,IF(Inputs!$B$38="pvp",15,Inputs!$B$43)-MAX(5,B2041))/(IF(Inputs!$B$38="pvp",15,Inputs!$B$43)-(B2041))))*(IF(AND(ArtifactsInput!$M$42,((Inputs!$B$9+((C2022=TRUE)*(F2022-Calc!F19))+B2034+(ArtifactsInput!$M$24-ArtifactsInput!$M$24)*CHOOSE(ArtifactsInput!$N$24+1,10,12,14,16,18,20)+IF(ArtifactsInput!$M$10,CHOOSE(ArtifactsInput!$N$10+1,15,18,21,24,27,30)*(IF(Inputs!$B$38="pvp",MIN(15,15)/15,IF(AND(Inputs!$B$38&lt;&gt;"pvp",Inputs!$B$43&gt;0),MIN(15,Inputs!$B$43)/(Inputs!$B$43),0))),0)))&gt;=100),MIN(100,((Inputs!$B$9+((C2022=TRUE)*(F2022-Calc!F19))+B2034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2041)&lt;=0,1,MAX(0,IF(Inputs!$B$38="pvp",15,Inputs!$B$43)-MAX(5,B2041))/(IF(Inputs!$B$38="pvp",15,Inputs!$B$43)-(B2041))))*IF(AND(ArtifactsInput!$M$42,((Inputs!$B$9+((C2022=TRUE)*(F2022-Calc!F19))+B2034+(ArtifactsInput!$M$24-ArtifactsInput!$M$24)*CHOOSE(ArtifactsInput!$N$24+1,10,12,14,16,18,20)+IF(ArtifactsInput!$M$10,CHOOSE(ArtifactsInput!$N$10+1,15,18,21,24,27,30)*(IF(Inputs!$B$38="pvp",MIN(15,15)/15,IF(AND(Inputs!$B$38&lt;&gt;"pvp",Inputs!$B$43&gt;0),MIN(15,Inputs!$B$43)/(Inputs!$B$43),0))),0)))&gt;=100),CHOOSE(ArtifactsInput!$N$42+1,40,48,56,64,72,80),0))))/100)*((1+(((C2020=TRUE)*F2020*5/7)+((C2027=TRUE)*(F2027-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2009)</f>
        <v/>
      </c>
      <c r="L2009">
        <f>K2009*(MIN(Inputs!$B$22+((C2025=TRUE)*(F2025-Calc!F22)),(Inputs!$B$23+0+(IF(ArtifactsInput!$M$15,CHOOSE(ArtifactsInput!$N$15+1,25,30,35,40,45,50)/100*(Inputs!$B$11-Inputs!$B$11),0))))/100+(Inputs!$B$23+0+(IF(ArtifactsInput!$M$15,CHOOSE(ArtifactsInput!$N$15+1,25,30,35,40,45,50)/100*(Inputs!$B$11-Inputs!$B$11),0)))/100)/2</f>
        <v/>
      </c>
      <c r="M2009">
        <f>L2009*(1+(Inputs!$B$10+((C2028=TRUE)*(F2028-Calc!F25))+B2039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09">
        <f>L2009*(1-MIN((Inputs!$B$9+((C2022=TRUE)*(F2022-Calc!F19))+B2034+(ArtifactsInput!$M$24-ArtifactsInput!$M$24)*CHOOSE(ArtifactsInput!$N$24+1,10,12,14,16,18,20)+(IF(AND(Inputs!$B$38&lt;&gt;"pvp",Inputs!$B$43=0),1,IF(IF(Inputs!$B$38="pvp",15,Inputs!$B$43)-(B2041)&lt;=0,1,MAX(0,IF(Inputs!$B$38="pvp",15,Inputs!$B$43)-MAX(5,B2041))/(IF(Inputs!$B$38="pvp",15,Inputs!$B$43)-(B2041))))*IF(AND(ArtifactsInput!$M$42,((Inputs!$B$9+((C2022=TRUE)*(F2022-Calc!F19))+B2034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2009*(MIN((Inputs!$B$9+((C2022=TRUE)*(F2022-Calc!F19))+B2034+(ArtifactsInput!$M$24-ArtifactsInput!$M$24)*CHOOSE(ArtifactsInput!$N$24+1,10,12,14,16,18,20)+(IF(AND(Inputs!$B$38&lt;&gt;"pvp",Inputs!$B$43=0),1,IF(IF(Inputs!$B$38="pvp",15,Inputs!$B$43)-(B2041)&lt;=0,1,MAX(0,IF(Inputs!$B$38="pvp",15,Inputs!$B$43)-MAX(5,B2041))/(IF(Inputs!$B$38="pvp",15,Inputs!$B$43)-(B2041))))*IF(AND(ArtifactsInput!$M$42,((Inputs!$B$9+((C2022=TRUE)*(F2022-Calc!F19))+B2034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09">
        <f>(1-Summary!$B$11)*T2009+Summary!$B$11*V2009</f>
        <v/>
      </c>
      <c r="P2009">
        <f>IF(B2044=0,0,O2009/B2044)</f>
        <v/>
      </c>
      <c r="Q2009">
        <f>IFERROR(1/(IF(Inputs!$B$38="pvp",15,MAX(0.1,Skills!D6-IF(TRUE=TRUE,Inputs!$B$32,0)))*(1-IF(AND(ArtifactsInput!$M$27,Inputs!$B$4="Chapter Hunt"),CHOOSE(ArtifactsInput!$N$27+1,20,24,28,32,36,40),0)/100)),0)</f>
        <v/>
      </c>
      <c r="R2009">
        <f>IF(AND(Inputs!$B$38&lt;&gt;"pvp",Inputs!$B$43&gt;0),IF(MAX(0,Inputs!$B$43-B2041)&lt;=0,0,(INT(MAX(0,Inputs!$B$43-B2041)/(IF(Inputs!$B$38="pvp",15,MAX(0.1,Skills!D6-IF(TRUE=TRUE,Inputs!$B$32,0)))*(1-IF(AND(ArtifactsInput!$M$27,Inputs!$B$4="Chapter Hunt"),CHOOSE(ArtifactsInput!$N$27+1,20,24,28,32,36,40),0)/100)))+1)),0)</f>
        <v/>
      </c>
      <c r="S2009">
        <f>IFERROR(O2009/N2009,0)</f>
        <v/>
      </c>
      <c r="T2009">
        <f>IF(C2009,(H2009*N2009*IF(AND(Inputs!$B$38&lt;&gt;"pvp",Inputs!$B$43&gt;0),((Skills!G6*((R2009-1)*IF(Skills!H6&gt;0,INT(Skills!I6/Skills!H6+0.000000001),1)+IF(Skills!H6&gt;0,INT(MIN(Skills!I6,MAX(0,MAX(0,Inputs!$B$43-B2041)-((R2009-1)*(IF(Inputs!$B$38="pvp",15,MAX(0.1,Skills!D6-IF(TRUE=TRUE,Inputs!$B$32,0)))*(1-IF(AND(ArtifactsInput!$M$27,Inputs!$B$4="Chapter Hunt"),CHOOSE(ArtifactsInput!$N$27+1,20,24,28,32,36,40),0)/100)))))/Skills!H6+0.000000001),1)))/Inputs!$B$43),G2009*Q2009))*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IF(ArtifactsInput!$M$23,FALSE,TRUE)-ArtifactsInput!$M$23)*CHOOSE(ArtifactsInput!$N$23+1,50,60,70,80,90,100))+(IF(AND(ArtifactsInput!$M$35,Inputs!$B$4&lt;&gt;"Chapter Hunt"),CHOOSE(ArtifactsInput!$N$35+1,15,18,21,24,27,30)*(1-EXP(-(0.2*B2036)*5)),0)+IF(AND(ArtifactsInput!$M$22,Inputs!$B$4&lt;&gt;"Chapter Hunt"),CHOOSE(ArtifactsInput!$N$22+1,10,12,14,16,18,20)*((0*(((0.15*B2036*5))^0/1)+1*(((0.15*B2036*5))^1/1)+2*(((0.15*B2036*5))^2/2)+3*(((0.15*B2036*5))^3/6)+4*(((0.15*B2036*5))^4/24)+5*(((0.15*B2036*5))^5/120))/((((0.15*B2036*5))^0/1)+(((0.15*B2036*5))^1/1)+(((0.15*B2036*5))^2/2)+(((0.15*B2036*5))^3/6)+(((0.15*B2036*5))^4/24)+(((0.15*B2036*5))^5/120))),0))+IF(Inputs!$B$3&gt;=54,9*(C2006=TRUE)*MIN(1,8*(1+Inputs!$B$34/100)*Q2006)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2009*(1-MIN(100,(Inputs!$B$9+((C2022=TRUE)*(F2022-Calc!F19))+B2034+(ArtifactsInput!$M$24-ArtifactsInput!$M$24)*CHOOSE(ArtifactsInput!$N$24+1,10,12,14,16,18,20)+(IF(AND(Inputs!$B$38&lt;&gt;"pvp",Inputs!$B$43=0),1,IF(IF(Inputs!$B$38="pvp",15,Inputs!$B$43)-(B2041)&lt;=0,1,MAX(0,IF(Inputs!$B$38="pvp",15,Inputs!$B$43)-MAX(5,B2041))/(IF(Inputs!$B$38="pvp",15,Inputs!$B$43)-(B2041))))*IF(AND(ArtifactsInput!$M$42,((Inputs!$B$9+((C2022=TRUE)*(F2022-Calc!F19))+B2034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2009*(MIN(100,(Inputs!$B$9+((C2022=TRUE)*(F2022-Calc!F19))+B2034+(ArtifactsInput!$M$24-ArtifactsInput!$M$24)*CHOOSE(ArtifactsInput!$N$24+1,10,12,14,16,18,20)+(IF(AND(Inputs!$B$38&lt;&gt;"pvp",Inputs!$B$43=0),1,IF(IF(Inputs!$B$38="pvp",15,Inputs!$B$43)-(B2041)&lt;=0,1,MAX(0,IF(Inputs!$B$38="pvp",15,Inputs!$B$43)-MAX(5,B2041))/(IF(Inputs!$B$38="pvp",15,Inputs!$B$43)-(B2041))))*IF(AND(ArtifactsInput!$M$42,((Inputs!$B$9+((C2022=TRUE)*(F2022-Calc!F19))+B2034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2009*(1-MIN(100,(Inputs!$B$9+((C2022=TRUE)*(F2022-Calc!F19))+B2034+(ArtifactsInput!$M$24-ArtifactsInput!$M$24)*CHOOSE(ArtifactsInput!$N$24+1,10,12,14,16,18,20)+(IF(AND(Inputs!$B$38&lt;&gt;"pvp",Inputs!$B$43=0),1,IF(IF(Inputs!$B$38="pvp",15,Inputs!$B$43)-(B2041)&lt;=0,1,MAX(0,IF(Inputs!$B$38="pvp",15,Inputs!$B$43)-MAX(5,B2041))/(IF(Inputs!$B$38="pvp",15,Inputs!$B$43)-(B2041))))*IF(AND(ArtifactsInput!$M$42,((Inputs!$B$9+((C2022=TRUE)*(F2022-Calc!F19))+B2034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2009*(MIN(100,(Inputs!$B$9+((C2022=TRUE)*(F2022-Calc!F19))+B2034+(ArtifactsInput!$M$24-ArtifactsInput!$M$24)*CHOOSE(ArtifactsInput!$N$24+1,10,12,14,16,18,20)+(IF(AND(Inputs!$B$38&lt;&gt;"pvp",Inputs!$B$43=0),1,IF(IF(Inputs!$B$38="pvp",15,Inputs!$B$43)-(B2041)&lt;=0,1,MAX(0,IF(Inputs!$B$38="pvp",15,Inputs!$B$43)-MAX(5,B2041))/(IF(Inputs!$B$38="pvp",15,Inputs!$B$43)-(B2041))))*IF(AND(ArtifactsInput!$M$42,((Inputs!$B$9+((C2022=TRUE)*(F2022-Calc!F19))+B2034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009">
        <f>IF(C2009,(H2009*N2009*IF(AND(Inputs!$B$38&lt;&gt;"pvp",Inputs!$B$43&gt;0),((Skills!G6*((R2009-1)*IF(Skills!H6&gt;0,INT(Skills!I6/Skills!H6+0.000000001),1)+IF(Skills!H6&gt;0,INT(MIN(Skills!I6,MAX(0,MAX(0,Inputs!$B$43-B2041)-((R2009-1)*(IF(Inputs!$B$38="pvp",15,MAX(0.1,Skills!D6-IF(TRUE=TRUE,Inputs!$B$32,0)))*(1-IF(AND(ArtifactsInput!$M$27,Inputs!$B$4="Chapter Hunt"),CHOOSE(ArtifactsInput!$N$27+1,20,24,28,32,36,40),0)/100)))))/Skills!H6+0.000000001),1)))/Inputs!$B$43),G2009*Q2009))*IF(Inputs!$B$38="pvp",1,(1+(Inputs!$B$21+Skills!Q6+(IF(ArtifactsInput!$M$33,CHOOSE(ArtifactsInput!$N$33+1,30,36,42,48,54,60),0))+(IF(AND(ArtifactsInput!$M$35,Inputs!$B$4&lt;&gt;"Chapter Hunt"),CHOOSE(ArtifactsInput!$N$35+1,15,18,21,24,27,30)*(1-EXP(-(0.2*B2036)*5)),0)+IF(AND(ArtifactsInput!$M$22,Inputs!$B$4&lt;&gt;"Chapter Hunt"),CHOOSE(ArtifactsInput!$N$22+1,10,12,14,16,18,20)*((0*(((0.15*B2036*5))^0/1)+1*(((0.15*B2036*5))^1/1)+2*(((0.15*B2036*5))^2/2)+3*(((0.15*B2036*5))^3/6)+4*(((0.15*B2036*5))^4/24)+5*(((0.15*B2036*5))^5/120))/((((0.15*B2036*5))^0/1)+(((0.15*B2036*5))^1/1)+(((0.15*B2036*5))^2/2)+(((0.15*B2036*5))^3/6)+(((0.15*B2036*5))^4/24)+(((0.15*B2036*5))^5/120))),0))+IF(Inputs!$B$3&gt;=54,9*(C2006=TRUE)*MIN(1,8*(1+Inputs!$B$34/100)*Q2006),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10">
      <c r="A2010">
        <f>Skills!A7</f>
        <v/>
      </c>
      <c r="B2010">
        <f>Skills!B7</f>
        <v/>
      </c>
      <c r="C2010">
        <f>Inputs!$B$3&gt;=63</f>
        <v/>
      </c>
      <c r="D2010">
        <f>IF(Skills!C7=1,60+Inputs!$B$25+Inputs!$B$29,IF(Skills!C7=2,90+Inputs!$B$26+Inputs!$B$29,IF(Skills!C7=3,120+Inputs!$B$27+Inputs!$B$29,MAX(0,(Inputs!$B$3-100)*3)+Inputs!$B$28+Inputs!$B$29)))</f>
        <v/>
      </c>
      <c r="E2010">
        <f>INDEX(FactorTable!$B$2:$Y$301, MATCH(ROUND(MIN(300,MAX(1,D2010)),0), FactorTable!$A$2:$A$301,0), Skills!M7+1)</f>
        <v/>
      </c>
      <c r="F2010">
        <f>IF(Skills!N7=TRUE,(Skills!L7/10)*(E2010/1000),Skills!L7/10)+Skills!O7</f>
        <v/>
      </c>
      <c r="G2010">
        <f>Skills!G7*IF(Skills!H7&gt;0,INT(IF(Inputs!$B$38="pvp",MIN(Skills!I7,15),Skills!I7)/Skills!H7+0.000000001),1)</f>
        <v/>
      </c>
      <c r="H2010">
        <f>1-(1-Skills!J7/100)^Skills!K7</f>
        <v/>
      </c>
      <c r="I2010" t="inlineStr">
        <is>
          <t>1</t>
        </is>
      </c>
      <c r="J2010">
        <f>((Inputs!$B$6*(1+Inputs!$B$7/100))+(((Inputs!$B$12*(1+Inputs!$B$13/100))-(Inputs!$B$12*(1+Inputs!$B$13/100)))+0.25*(Inputs!$B$14-Inputs!$B$14))*(1+Inputs!$B$7/100))*(F2010/100)</f>
        <v/>
      </c>
      <c r="K2010">
        <f>J2010*(1+((Inputs!$B$12*(1+Inputs!$B$13/100))*0.01+Inputs!$B$14*0.0025)/100)*(1+Inputs!$B$15/100)*(1+Inputs!$B$16/100)*(5000/(6000+Inputs!$B$42*(1-(100*(1-(1-(Inputs!$B$19+0)/100)*(1-CHOOSE(ArtifactsInput!$N$40+1,5,6,7,8,9,10)/100)^(ArtifactsInput!$M$40-ArtifactsInput!$M$40)))/100)))*(1+(Inputs!$B$24+((C2029=TRUE)*(F2029-Calc!F26))+B2040)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2018=TRUE,F2018,0)/100)*(1+(IF(Skills!A7="EIGHT_LEGS_EASTON",Inputs!$B$17+((C2026=TRUE)*(F2026-Calc!F23))+((C2030=TRUE)*(F2030-Calc!F27))+((IF(AND(Inputs!$B$38&lt;&gt;"pvp",Inputs!$B$43=0),1,IF(IF(Inputs!$B$38="pvp",15,Inputs!$B$43)-(B2041)&lt;=0,1,MAX(0,IF(Inputs!$B$38="pvp",15,Inputs!$B$43)-MAX(5,B2041))/(IF(Inputs!$B$38="pvp",15,Inputs!$B$43)-(B2041))))*(IF(AND(ArtifactsInput!$M$42,((Inputs!$B$9+((C2022=TRUE)*(F2022-Calc!F19))+B2034+(ArtifactsInput!$M$24-ArtifactsInput!$M$24)*CHOOSE(ArtifactsInput!$N$24+1,10,12,14,16,18,20)+IF(ArtifactsInput!$M$10,CHOOSE(ArtifactsInput!$N$10+1,15,18,21,24,27,30)*(IF(Inputs!$B$38="pvp",MIN(15,15)/15,IF(AND(Inputs!$B$38&lt;&gt;"pvp",Inputs!$B$43&gt;0),MIN(15,Inputs!$B$43)/(Inputs!$B$43),0))),0)))&gt;=100),MIN(100,((Inputs!$B$9+((C2022=TRUE)*(F2022-Calc!F19))+B2034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2041)&lt;=0,1,MAX(0,IF(Inputs!$B$38="pvp",15,Inputs!$B$43)-MAX(5,B2041))/(IF(Inputs!$B$38="pvp",15,Inputs!$B$43)-(B2041))))*IF(AND(ArtifactsInput!$M$42,((Inputs!$B$9+((C2022=TRUE)*(F2022-Calc!F19))+B2034+(ArtifactsInput!$M$24-ArtifactsInput!$M$24)*CHOOSE(ArtifactsInput!$N$24+1,10,12,14,16,18,20)+IF(ArtifactsInput!$M$10,CHOOSE(ArtifactsInput!$N$10+1,15,18,21,24,27,30)*(IF(Inputs!$B$38="pvp",MIN(15,15)/15,IF(AND(Inputs!$B$38&lt;&gt;"pvp",Inputs!$B$43&gt;0),MIN(15,Inputs!$B$43)/(Inputs!$B$43),0))),0)))&gt;=100),CHOOSE(ArtifactsInput!$N$42+1,40,48,56,64,72,80),0))))/100)*((1+(((C2020=TRUE)*F2020*5/7)+((C2027=TRUE)*(F2027-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2010)</f>
        <v/>
      </c>
      <c r="L2010">
        <f>K2010*(MIN(Inputs!$B$22+((C2025=TRUE)*(F2025-Calc!F22)),(Inputs!$B$23+0+(IF(ArtifactsInput!$M$15,CHOOSE(ArtifactsInput!$N$15+1,25,30,35,40,45,50)/100*(Inputs!$B$11-Inputs!$B$11),0))))/100+(Inputs!$B$23+0+(IF(ArtifactsInput!$M$15,CHOOSE(ArtifactsInput!$N$15+1,25,30,35,40,45,50)/100*(Inputs!$B$11-Inputs!$B$11),0)))/100)/2</f>
        <v/>
      </c>
      <c r="M2010">
        <f>L2010*(1+(Inputs!$B$10+((C2028=TRUE)*(F2028-Calc!F25))+B2039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10">
        <f>L2010*(1-MIN((Inputs!$B$9+((C2022=TRUE)*(F2022-Calc!F19))+B2034+(ArtifactsInput!$M$24-ArtifactsInput!$M$24)*CHOOSE(ArtifactsInput!$N$24+1,10,12,14,16,18,20)+(IF(AND(Inputs!$B$38&lt;&gt;"pvp",Inputs!$B$43=0),1,IF(IF(Inputs!$B$38="pvp",15,Inputs!$B$43)-(B2041)&lt;=0,1,MAX(0,IF(Inputs!$B$38="pvp",15,Inputs!$B$43)-MAX(5,B2041))/(IF(Inputs!$B$38="pvp",15,Inputs!$B$43)-(B2041))))*IF(AND(ArtifactsInput!$M$42,((Inputs!$B$9+((C2022=TRUE)*(F2022-Calc!F19))+B2034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2010*(MIN((Inputs!$B$9+((C2022=TRUE)*(F2022-Calc!F19))+B2034+(ArtifactsInput!$M$24-ArtifactsInput!$M$24)*CHOOSE(ArtifactsInput!$N$24+1,10,12,14,16,18,20)+(IF(AND(Inputs!$B$38&lt;&gt;"pvp",Inputs!$B$43=0),1,IF(IF(Inputs!$B$38="pvp",15,Inputs!$B$43)-(B2041)&lt;=0,1,MAX(0,IF(Inputs!$B$38="pvp",15,Inputs!$B$43)-MAX(5,B2041))/(IF(Inputs!$B$38="pvp",15,Inputs!$B$43)-(B2041))))*IF(AND(ArtifactsInput!$M$42,((Inputs!$B$9+((C2022=TRUE)*(F2022-Calc!F19))+B2034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10">
        <f>(1-Summary!$B$11)*T2010+Summary!$B$11*V2010</f>
        <v/>
      </c>
      <c r="P2010">
        <f>IF(B2044=0,0,O2010/B2044)</f>
        <v/>
      </c>
      <c r="Q2010">
        <f>IFERROR(1/(IF(Inputs!$B$38="pvp",15,MAX(0.1,Skills!D7-IF(TRUE=TRUE,Inputs!$B$32,0)))*(1-IF(AND(ArtifactsInput!$M$27,Inputs!$B$4="Chapter Hunt"),CHOOSE(ArtifactsInput!$N$27+1,20,24,28,32,36,40),0)/100)),0)</f>
        <v/>
      </c>
      <c r="R2010">
        <f>IF(AND(Inputs!$B$38&lt;&gt;"pvp",Inputs!$B$43&gt;0),IF(MAX(0,Inputs!$B$43-B2041)&lt;=0,0,(INT(MAX(0,Inputs!$B$43-B2041)/(IF(Inputs!$B$38="pvp",15,MAX(0.1,Skills!D7-IF(TRUE=TRUE,Inputs!$B$32,0)))*(1-IF(AND(ArtifactsInput!$M$27,Inputs!$B$4="Chapter Hunt"),CHOOSE(ArtifactsInput!$N$27+1,20,24,28,32,36,40),0)/100)))+1)),0)</f>
        <v/>
      </c>
      <c r="S2010">
        <f>IFERROR(O2010/N2010,0)</f>
        <v/>
      </c>
      <c r="T2010">
        <f>IF(C2010,(H2010*N2010*IF(AND(Inputs!$B$38&lt;&gt;"pvp",Inputs!$B$43&gt;0),((Skills!G7*((R2010-1)*IF(Skills!H7&gt;0,INT(Skills!I7/Skills!H7+0.000000001),1)+IF(Skills!H7&gt;0,INT(MIN(Skills!I7,MAX(0,MAX(0,Inputs!$B$43-B2041)-((R2010-1)*(IF(Inputs!$B$38="pvp",15,MAX(0.1,Skills!D7-IF(TRUE=TRUE,Inputs!$B$32,0)))*(1-IF(AND(ArtifactsInput!$M$27,Inputs!$B$4="Chapter Hunt"),CHOOSE(ArtifactsInput!$N$27+1,20,24,28,32,36,40),0)/100)))))/Skills!H7+0.000000001),1)))/Inputs!$B$43),G2010*Q2010))*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IF(ArtifactsInput!$M$23,FALSE,TRUE)-ArtifactsInput!$M$23)*CHOOSE(ArtifactsInput!$N$23+1,50,60,70,80,90,100))+(IF(AND(ArtifactsInput!$M$35,Inputs!$B$4&lt;&gt;"Chapter Hunt"),CHOOSE(ArtifactsInput!$N$35+1,15,18,21,24,27,30)*(1-EXP(-(0.2*B2036)*5)),0)+IF(AND(ArtifactsInput!$M$22,Inputs!$B$4&lt;&gt;"Chapter Hunt"),CHOOSE(ArtifactsInput!$N$22+1,10,12,14,16,18,20)*((0*(((0.15*B2036*5))^0/1)+1*(((0.15*B2036*5))^1/1)+2*(((0.15*B2036*5))^2/2)+3*(((0.15*B2036*5))^3/6)+4*(((0.15*B2036*5))^4/24)+5*(((0.15*B2036*5))^5/120))/((((0.15*B2036*5))^0/1)+(((0.15*B2036*5))^1/1)+(((0.15*B2036*5))^2/2)+(((0.15*B2036*5))^3/6)+(((0.15*B2036*5))^4/24)+(((0.15*B2036*5))^5/120))),0))+IF(Inputs!$B$3&gt;=54,9*(C2006=TRUE)*MIN(1,8*(1+Inputs!$B$34/100)*Q2006)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2010*(1-MIN(100,(Inputs!$B$9+((C2022=TRUE)*(F2022-Calc!F19))+B2034+(ArtifactsInput!$M$24-ArtifactsInput!$M$24)*CHOOSE(ArtifactsInput!$N$24+1,10,12,14,16,18,20)+(IF(AND(Inputs!$B$38&lt;&gt;"pvp",Inputs!$B$43=0),1,IF(IF(Inputs!$B$38="pvp",15,Inputs!$B$43)-(B2041)&lt;=0,1,MAX(0,IF(Inputs!$B$38="pvp",15,Inputs!$B$43)-MAX(5,B2041))/(IF(Inputs!$B$38="pvp",15,Inputs!$B$43)-(B2041))))*IF(AND(ArtifactsInput!$M$42,((Inputs!$B$9+((C2022=TRUE)*(F2022-Calc!F19))+B2034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2010*(MIN(100,(Inputs!$B$9+((C2022=TRUE)*(F2022-Calc!F19))+B2034+(ArtifactsInput!$M$24-ArtifactsInput!$M$24)*CHOOSE(ArtifactsInput!$N$24+1,10,12,14,16,18,20)+(IF(AND(Inputs!$B$38&lt;&gt;"pvp",Inputs!$B$43=0),1,IF(IF(Inputs!$B$38="pvp",15,Inputs!$B$43)-(B2041)&lt;=0,1,MAX(0,IF(Inputs!$B$38="pvp",15,Inputs!$B$43)-MAX(5,B2041))/(IF(Inputs!$B$38="pvp",15,Inputs!$B$43)-(B2041))))*IF(AND(ArtifactsInput!$M$42,((Inputs!$B$9+((C2022=TRUE)*(F2022-Calc!F19))+B2034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2010*(1-MIN(100,(Inputs!$B$9+((C2022=TRUE)*(F2022-Calc!F19))+B2034+(ArtifactsInput!$M$24-ArtifactsInput!$M$24)*CHOOSE(ArtifactsInput!$N$24+1,10,12,14,16,18,20)+(IF(AND(Inputs!$B$38&lt;&gt;"pvp",Inputs!$B$43=0),1,IF(IF(Inputs!$B$38="pvp",15,Inputs!$B$43)-(B2041)&lt;=0,1,MAX(0,IF(Inputs!$B$38="pvp",15,Inputs!$B$43)-MAX(5,B2041))/(IF(Inputs!$B$38="pvp",15,Inputs!$B$43)-(B2041))))*IF(AND(ArtifactsInput!$M$42,((Inputs!$B$9+((C2022=TRUE)*(F2022-Calc!F19))+B2034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2010*(MIN(100,(Inputs!$B$9+((C2022=TRUE)*(F2022-Calc!F19))+B2034+(ArtifactsInput!$M$24-ArtifactsInput!$M$24)*CHOOSE(ArtifactsInput!$N$24+1,10,12,14,16,18,20)+(IF(AND(Inputs!$B$38&lt;&gt;"pvp",Inputs!$B$43=0),1,IF(IF(Inputs!$B$38="pvp",15,Inputs!$B$43)-(B2041)&lt;=0,1,MAX(0,IF(Inputs!$B$38="pvp",15,Inputs!$B$43)-MAX(5,B2041))/(IF(Inputs!$B$38="pvp",15,Inputs!$B$43)-(B2041))))*IF(AND(ArtifactsInput!$M$42,((Inputs!$B$9+((C2022=TRUE)*(F2022-Calc!F19))+B2034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010">
        <f>IF(C2010,(H2010*N2010*IF(AND(Inputs!$B$38&lt;&gt;"pvp",Inputs!$B$43&gt;0),((Skills!G7*((R2010-1)*IF(Skills!H7&gt;0,INT(Skills!I7/Skills!H7+0.000000001),1)+IF(Skills!H7&gt;0,INT(MIN(Skills!I7,MAX(0,MAX(0,Inputs!$B$43-B2041)-((R2010-1)*(IF(Inputs!$B$38="pvp",15,MAX(0.1,Skills!D7-IF(TRUE=TRUE,Inputs!$B$32,0)))*(1-IF(AND(ArtifactsInput!$M$27,Inputs!$B$4="Chapter Hunt"),CHOOSE(ArtifactsInput!$N$27+1,20,24,28,32,36,40),0)/100)))))/Skills!H7+0.000000001),1)))/Inputs!$B$43),G2010*Q2010))*IF(Inputs!$B$38="pvp",1,(1+(Inputs!$B$21+Skills!Q7+(IF(ArtifactsInput!$M$33,CHOOSE(ArtifactsInput!$N$33+1,30,36,42,48,54,60),0))+(IF(AND(ArtifactsInput!$M$35,Inputs!$B$4&lt;&gt;"Chapter Hunt"),CHOOSE(ArtifactsInput!$N$35+1,15,18,21,24,27,30)*(1-EXP(-(0.2*B2036)*5)),0)+IF(AND(ArtifactsInput!$M$22,Inputs!$B$4&lt;&gt;"Chapter Hunt"),CHOOSE(ArtifactsInput!$N$22+1,10,12,14,16,18,20)*((0*(((0.15*B2036*5))^0/1)+1*(((0.15*B2036*5))^1/1)+2*(((0.15*B2036*5))^2/2)+3*(((0.15*B2036*5))^3/6)+4*(((0.15*B2036*5))^4/24)+5*(((0.15*B2036*5))^5/120))/((((0.15*B2036*5))^0/1)+(((0.15*B2036*5))^1/1)+(((0.15*B2036*5))^2/2)+(((0.15*B2036*5))^3/6)+(((0.15*B2036*5))^4/24)+(((0.15*B2036*5))^5/120))),0))+IF(Inputs!$B$3&gt;=54,9*(C2006=TRUE)*MIN(1,8*(1+Inputs!$B$34/100)*Q2006),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11">
      <c r="A2011">
        <f>Skills!A8</f>
        <v/>
      </c>
      <c r="B2011">
        <f>Skills!B8</f>
        <v/>
      </c>
      <c r="C2011">
        <f>Inputs!$B$3&gt;=103</f>
        <v/>
      </c>
      <c r="D2011">
        <f>IF(Skills!C8=1,60+Inputs!$B$25+Inputs!$B$29,IF(Skills!C8=2,90+Inputs!$B$26+Inputs!$B$29,IF(Skills!C8=3,120+Inputs!$B$27+Inputs!$B$29,MAX(0,(Inputs!$B$3-100)*3)+Inputs!$B$28+Inputs!$B$29)))</f>
        <v/>
      </c>
      <c r="E2011">
        <f>INDEX(FactorTable!$B$2:$Y$301, MATCH(ROUND(MIN(300,MAX(1,D2011)),0), FactorTable!$A$2:$A$301,0), Skills!M8+1)</f>
        <v/>
      </c>
      <c r="F2011">
        <f>IF(Skills!N8=TRUE,(Skills!L8/10)*(E2011/1000),Skills!L8/10)+Skills!O8</f>
        <v/>
      </c>
      <c r="G2011">
        <f>Skills!G8*IF(Skills!H8&gt;0,INT(IF(Inputs!$B$38="pvp",MIN(Skills!I8,15),Skills!I8)/Skills!H8+0.000000001),1)</f>
        <v/>
      </c>
      <c r="H2011">
        <f>1-(1-Skills!J8/100)^Skills!K8</f>
        <v/>
      </c>
      <c r="I2011" t="inlineStr">
        <is>
          <t>1</t>
        </is>
      </c>
      <c r="J2011">
        <f>((Inputs!$B$6*(1+Inputs!$B$7/100))+(((Inputs!$B$12*(1+Inputs!$B$13/100))-(Inputs!$B$12*(1+Inputs!$B$13/100)))+0.25*(Inputs!$B$14-Inputs!$B$14))*(1+Inputs!$B$7/100))*(F2011/100)</f>
        <v/>
      </c>
      <c r="K2011">
        <f>J2011*(1+((Inputs!$B$12*(1+Inputs!$B$13/100))*0.01+Inputs!$B$14*0.0025)/100)*(1+Inputs!$B$15/100)*(1+Inputs!$B$16/100)*(5000/(6000+Inputs!$B$42*(1-(100*(1-(1-(Inputs!$B$19+0)/100)*(1-CHOOSE(ArtifactsInput!$N$40+1,5,6,7,8,9,10)/100)^(ArtifactsInput!$M$40-ArtifactsInput!$M$40)))/100)))*(1+(Inputs!$B$24+((C2029=TRUE)*(F2029-Calc!F26))+B2040)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IGHT_LEGS_EASTON",Inputs!$B$17+((C2026=TRUE)*(F2026-Calc!F23))+((C2030=TRUE)*(F2030-Calc!F27))+((IF(AND(Inputs!$B$38&lt;&gt;"pvp",Inputs!$B$43=0),1,IF(IF(Inputs!$B$38="pvp",15,Inputs!$B$43)-(B2041)&lt;=0,1,MAX(0,IF(Inputs!$B$38="pvp",15,Inputs!$B$43)-MAX(5,B2041))/(IF(Inputs!$B$38="pvp",15,Inputs!$B$43)-(B2041))))*(IF(AND(ArtifactsInput!$M$42,((Inputs!$B$9+((C2022=TRUE)*(F2022-Calc!F19))+B2034+(ArtifactsInput!$M$24-ArtifactsInput!$M$24)*CHOOSE(ArtifactsInput!$N$24+1,10,12,14,16,18,20)+IF(ArtifactsInput!$M$10,CHOOSE(ArtifactsInput!$N$10+1,15,18,21,24,27,30)*(IF(Inputs!$B$38="pvp",MIN(15,15)/15,IF(AND(Inputs!$B$38&lt;&gt;"pvp",Inputs!$B$43&gt;0),MIN(15,Inputs!$B$43)/(Inputs!$B$43),0))),0)))&gt;=100),MIN(100,((Inputs!$B$9+((C2022=TRUE)*(F2022-Calc!F19))+B2034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2041)&lt;=0,1,MAX(0,IF(Inputs!$B$38="pvp",15,Inputs!$B$43)-MAX(5,B2041))/(IF(Inputs!$B$38="pvp",15,Inputs!$B$43)-(B2041))))*IF(AND(ArtifactsInput!$M$42,((Inputs!$B$9+((C2022=TRUE)*(F2022-Calc!F19))+B2034+(ArtifactsInput!$M$24-ArtifactsInput!$M$24)*CHOOSE(ArtifactsInput!$N$24+1,10,12,14,16,18,20)+IF(ArtifactsInput!$M$10,CHOOSE(ArtifactsInput!$N$10+1,15,18,21,24,27,30)*(IF(Inputs!$B$38="pvp",MIN(15,15)/15,IF(AND(Inputs!$B$38&lt;&gt;"pvp",Inputs!$B$43&gt;0),MIN(15,Inputs!$B$43)/(Inputs!$B$43),0))),0)))&gt;=100),CHOOSE(ArtifactsInput!$N$42+1,40,48,56,64,72,80),0))))/100)*((1+(((C2020=TRUE)*F2020*5/7)+((C2027=TRUE)*(F2027-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2011)</f>
        <v/>
      </c>
      <c r="L2011">
        <f>K2011*(MIN(Inputs!$B$22+((C2025=TRUE)*(F2025-Calc!F22)),(Inputs!$B$23+0+(IF(ArtifactsInput!$M$15,CHOOSE(ArtifactsInput!$N$15+1,25,30,35,40,45,50)/100*(Inputs!$B$11-Inputs!$B$11),0))))/100+(Inputs!$B$23+0+(IF(ArtifactsInput!$M$15,CHOOSE(ArtifactsInput!$N$15+1,25,30,35,40,45,50)/100*(Inputs!$B$11-Inputs!$B$11),0)))/100)/2</f>
        <v/>
      </c>
      <c r="M2011">
        <f>L2011*(1+(Inputs!$B$10+((C2028=TRUE)*(F2028-Calc!F25))+B2039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11">
        <f>L2011*(1-MIN((Inputs!$B$9+((C2022=TRUE)*(F2022-Calc!F19))+B2034+(ArtifactsInput!$M$24-ArtifactsInput!$M$24)*CHOOSE(ArtifactsInput!$N$24+1,10,12,14,16,18,20)+(IF(AND(Inputs!$B$38&lt;&gt;"pvp",Inputs!$B$43=0),1,IF(IF(Inputs!$B$38="pvp",15,Inputs!$B$43)-(B2041)&lt;=0,1,MAX(0,IF(Inputs!$B$38="pvp",15,Inputs!$B$43)-MAX(5,B2041))/(IF(Inputs!$B$38="pvp",15,Inputs!$B$43)-(B2041))))*IF(AND(ArtifactsInput!$M$42,((Inputs!$B$9+((C2022=TRUE)*(F2022-Calc!F19))+B2034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2011*(MIN((Inputs!$B$9+((C2022=TRUE)*(F2022-Calc!F19))+B2034+(ArtifactsInput!$M$24-ArtifactsInput!$M$24)*CHOOSE(ArtifactsInput!$N$24+1,10,12,14,16,18,20)+(IF(AND(Inputs!$B$38&lt;&gt;"pvp",Inputs!$B$43=0),1,IF(IF(Inputs!$B$38="pvp",15,Inputs!$B$43)-(B2041)&lt;=0,1,MAX(0,IF(Inputs!$B$38="pvp",15,Inputs!$B$43)-MAX(5,B2041))/(IF(Inputs!$B$38="pvp",15,Inputs!$B$43)-(B2041))))*IF(AND(ArtifactsInput!$M$42,((Inputs!$B$9+((C2022=TRUE)*(F2022-Calc!F19))+B2034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11">
        <f>(1-Summary!$B$11)*T2011+Summary!$B$11*V2011</f>
        <v/>
      </c>
      <c r="P2011">
        <f>IF(B2044=0,0,O2011/B2044)</f>
        <v/>
      </c>
      <c r="Q2011">
        <f>IFERROR(1/((IF(Inputs!$B$38="pvp",15,MAX(0.1,Skills!D8-IF(TRUE=TRUE,Inputs!$B$32,0)))*(1-IF(AND(ArtifactsInput!$M$27,Inputs!$B$4="Chapter Hunt"),CHOOSE(ArtifactsInput!$N$27+1,20,24,28,32,36,40),0)/100))/B2045),0)</f>
        <v/>
      </c>
      <c r="R2011">
        <f>IF(AND(Inputs!$B$38&lt;&gt;"pvp",Inputs!$B$43&gt;0),IF(MAX(0,Inputs!$B$43-B2041)&lt;=0,0,(INT(MAX(0,Inputs!$B$43-B2041)/((IF(Inputs!$B$38="pvp",15,MAX(0.1,Skills!D8-IF(TRUE=TRUE,Inputs!$B$32,0)))*(1-IF(AND(ArtifactsInput!$M$27,Inputs!$B$4="Chapter Hunt"),CHOOSE(ArtifactsInput!$N$27+1,20,24,28,32,36,40),0)/100))/B2045))+1)),0)</f>
        <v/>
      </c>
      <c r="S2011">
        <f>IFERROR(O2011/N2011,0)</f>
        <v/>
      </c>
      <c r="T2011">
        <f>IF(C2011,(H2011*N2011*IF(AND(Inputs!$B$38&lt;&gt;"pvp",Inputs!$B$43&gt;0),((Skills!G8*((R2011-1)*IF(Skills!H8&gt;0,INT(Skills!I8/Skills!H8+0.000000001),1)+IF(Skills!H8&gt;0,INT(MIN(Skills!I8,MAX(0,MAX(0,Inputs!$B$43-B2041)-((R2011-1)*((IF(Inputs!$B$38="pvp",15,MAX(0.1,Skills!D8-IF(TRUE=TRUE,Inputs!$B$32,0)))*(1-IF(AND(ArtifactsInput!$M$27,Inputs!$B$4="Chapter Hunt"),CHOOSE(ArtifactsInput!$N$27+1,20,24,28,32,36,40),0)/100))/B2045))))/Skills!H8+0.000000001),1)))/Inputs!$B$43),G2011*Q2011))*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IF(ArtifactsInput!$M$23,FALSE,TRUE)-ArtifactsInput!$M$23)*CHOOSE(ArtifactsInput!$N$23+1,50,60,70,80,90,100))+(IF(AND(ArtifactsInput!$M$35,Inputs!$B$4&lt;&gt;"Chapter Hunt"),CHOOSE(ArtifactsInput!$N$35+1,15,18,21,24,27,30)*(1-EXP(-(0.2*B2036)*5)),0)+IF(AND(ArtifactsInput!$M$22,Inputs!$B$4&lt;&gt;"Chapter Hunt"),CHOOSE(ArtifactsInput!$N$22+1,10,12,14,16,18,20)*((0*(((0.15*B2036*5))^0/1)+1*(((0.15*B2036*5))^1/1)+2*(((0.15*B2036*5))^2/2)+3*(((0.15*B2036*5))^3/6)+4*(((0.15*B2036*5))^4/24)+5*(((0.15*B2036*5))^5/120))/((((0.15*B2036*5))^0/1)+(((0.15*B2036*5))^1/1)+(((0.15*B2036*5))^2/2)+(((0.15*B2036*5))^3/6)+(((0.15*B2036*5))^4/24)+(((0.15*B2036*5))^5/120))),0))+IF(Inputs!$B$3&gt;=54,9*(C2006=TRUE)*MIN(1,8*(1+Inputs!$B$34/100)*Q2006)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2011*(1-MIN(100,(Inputs!$B$9+((C2022=TRUE)*(F2022-Calc!F19))+B2034+(ArtifactsInput!$M$24-ArtifactsInput!$M$24)*CHOOSE(ArtifactsInput!$N$24+1,10,12,14,16,18,20)+(IF(AND(Inputs!$B$38&lt;&gt;"pvp",Inputs!$B$43=0),1,IF(IF(Inputs!$B$38="pvp",15,Inputs!$B$43)-(B2041)&lt;=0,1,MAX(0,IF(Inputs!$B$38="pvp",15,Inputs!$B$43)-MAX(5,B2041))/(IF(Inputs!$B$38="pvp",15,Inputs!$B$43)-(B2041))))*IF(AND(ArtifactsInput!$M$42,((Inputs!$B$9+((C2022=TRUE)*(F2022-Calc!F19))+B2034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2011*(MIN(100,(Inputs!$B$9+((C2022=TRUE)*(F2022-Calc!F19))+B2034+(ArtifactsInput!$M$24-ArtifactsInput!$M$24)*CHOOSE(ArtifactsInput!$N$24+1,10,12,14,16,18,20)+(IF(AND(Inputs!$B$38&lt;&gt;"pvp",Inputs!$B$43=0),1,IF(IF(Inputs!$B$38="pvp",15,Inputs!$B$43)-(B2041)&lt;=0,1,MAX(0,IF(Inputs!$B$38="pvp",15,Inputs!$B$43)-MAX(5,B2041))/(IF(Inputs!$B$38="pvp",15,Inputs!$B$43)-(B2041))))*IF(AND(ArtifactsInput!$M$42,((Inputs!$B$9+((C2022=TRUE)*(F2022-Calc!F19))+B2034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2011*(1-MIN(100,(Inputs!$B$9+((C2022=TRUE)*(F2022-Calc!F19))+B2034+(ArtifactsInput!$M$24-ArtifactsInput!$M$24)*CHOOSE(ArtifactsInput!$N$24+1,10,12,14,16,18,20)+(IF(AND(Inputs!$B$38&lt;&gt;"pvp",Inputs!$B$43=0),1,IF(IF(Inputs!$B$38="pvp",15,Inputs!$B$43)-(B2041)&lt;=0,1,MAX(0,IF(Inputs!$B$38="pvp",15,Inputs!$B$43)-MAX(5,B2041))/(IF(Inputs!$B$38="pvp",15,Inputs!$B$43)-(B2041))))*IF(AND(ArtifactsInput!$M$42,((Inputs!$B$9+((C2022=TRUE)*(F2022-Calc!F19))+B2034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2011*(MIN(100,(Inputs!$B$9+((C2022=TRUE)*(F2022-Calc!F19))+B2034+(ArtifactsInput!$M$24-ArtifactsInput!$M$24)*CHOOSE(ArtifactsInput!$N$24+1,10,12,14,16,18,20)+(IF(AND(Inputs!$B$38&lt;&gt;"pvp",Inputs!$B$43=0),1,IF(IF(Inputs!$B$38="pvp",15,Inputs!$B$43)-(B2041)&lt;=0,1,MAX(0,IF(Inputs!$B$38="pvp",15,Inputs!$B$43)-MAX(5,B2041))/(IF(Inputs!$B$38="pvp",15,Inputs!$B$43)-(B2041))))*IF(AND(ArtifactsInput!$M$42,((Inputs!$B$9+((C2022=TRUE)*(F2022-Calc!F19))+B2034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011">
        <f>IF(C2011,(H2011*N2011*IF(AND(Inputs!$B$38&lt;&gt;"pvp",Inputs!$B$43&gt;0),((Skills!G8*((R2011-1)*IF(Skills!H8&gt;0,INT(Skills!I8/Skills!H8+0.000000001),1)+IF(Skills!H8&gt;0,INT(MIN(Skills!I8,MAX(0,MAX(0,Inputs!$B$43-B2041)-((R2011-1)*((IF(Inputs!$B$38="pvp",15,MAX(0.1,Skills!D8-IF(TRUE=TRUE,Inputs!$B$32,0)))*(1-IF(AND(ArtifactsInput!$M$27,Inputs!$B$4="Chapter Hunt"),CHOOSE(ArtifactsInput!$N$27+1,20,24,28,32,36,40),0)/100))/B2045))))/Skills!H8+0.000000001),1)))/Inputs!$B$43),G2011*Q2011))*IF(Inputs!$B$38="pvp",1,(1+(Inputs!$B$21+Skills!Q8+(IF(ArtifactsInput!$M$33,CHOOSE(ArtifactsInput!$N$33+1,30,36,42,48,54,60),0))+(IF(AND(ArtifactsInput!$M$35,Inputs!$B$4&lt;&gt;"Chapter Hunt"),CHOOSE(ArtifactsInput!$N$35+1,15,18,21,24,27,30)*(1-EXP(-(0.2*B2036)*5)),0)+IF(AND(ArtifactsInput!$M$22,Inputs!$B$4&lt;&gt;"Chapter Hunt"),CHOOSE(ArtifactsInput!$N$22+1,10,12,14,16,18,20)*((0*(((0.15*B2036*5))^0/1)+1*(((0.15*B2036*5))^1/1)+2*(((0.15*B2036*5))^2/2)+3*(((0.15*B2036*5))^3/6)+4*(((0.15*B2036*5))^4/24)+5*(((0.15*B2036*5))^5/120))/((((0.15*B2036*5))^0/1)+(((0.15*B2036*5))^1/1)+(((0.15*B2036*5))^2/2)+(((0.15*B2036*5))^3/6)+(((0.15*B2036*5))^4/24)+(((0.15*B2036*5))^5/120))),0))+IF(Inputs!$B$3&gt;=54,9*(C2006=TRUE)*MIN(1,8*(1+Inputs!$B$34/100)*Q2006),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12">
      <c r="A2012">
        <f>Skills!A9</f>
        <v/>
      </c>
      <c r="B2012">
        <f>Skills!B9</f>
        <v/>
      </c>
      <c r="C2012">
        <f>Inputs!$B$3&gt;=105</f>
        <v/>
      </c>
      <c r="D2012">
        <f>IF(Skills!C9=1,60+Inputs!$B$25+Inputs!$B$29,IF(Skills!C9=2,90+Inputs!$B$26+Inputs!$B$29,IF(Skills!C9=3,120+Inputs!$B$27+Inputs!$B$29,MAX(0,(Inputs!$B$3-100)*3)+Inputs!$B$28+Inputs!$B$29)))</f>
        <v/>
      </c>
      <c r="E2012">
        <f>INDEX(FactorTable!$B$2:$Y$301, MATCH(ROUND(MIN(300,MAX(1,D2012)),0), FactorTable!$A$2:$A$301,0), Skills!M9+1)</f>
        <v/>
      </c>
      <c r="F2012">
        <f>IF(Skills!N9=TRUE,(Skills!L9/10)*(E2012/1000),Skills!L9/10)+Skills!O9</f>
        <v/>
      </c>
      <c r="G2012">
        <f>Skills!G9*IF(Skills!H9&gt;0,INT(IF(Inputs!$B$38="pvp",MIN(Skills!I9,15),Skills!I9)/Skills!H9+0.000000001),1)</f>
        <v/>
      </c>
      <c r="H2012">
        <f>1-(1-Skills!J9/100)^Skills!K9</f>
        <v/>
      </c>
      <c r="I2012" t="inlineStr">
        <is>
          <t>1</t>
        </is>
      </c>
      <c r="J2012">
        <f>((Inputs!$B$6*(1+Inputs!$B$7/100))+(((Inputs!$B$12*(1+Inputs!$B$13/100))-(Inputs!$B$12*(1+Inputs!$B$13/100)))+0.25*(Inputs!$B$14-Inputs!$B$14))*(1+Inputs!$B$7/100))*(F2012/100)</f>
        <v/>
      </c>
      <c r="K2012">
        <f>J2012*(1+((Inputs!$B$12*(1+Inputs!$B$13/100))*0.01+Inputs!$B$14*0.0025)/100)*(1+Inputs!$B$15/100)*(1+Inputs!$B$16/100)*(5000/(6000+Inputs!$B$42*(1-(100*(1-(1-(Inputs!$B$19+0)/100)*(1-CHOOSE(ArtifactsInput!$N$40+1,5,6,7,8,9,10)/100)^(ArtifactsInput!$M$40-ArtifactsInput!$M$40)))/100)))*(1+(Inputs!$B$24+((C2029=TRUE)*(F2029-Calc!F26))+B2040)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IGHT_LEGS_EASTON",Inputs!$B$17+((C2026=TRUE)*(F2026-Calc!F23))+((C2030=TRUE)*(F2030-Calc!F27))+((IF(AND(Inputs!$B$38&lt;&gt;"pvp",Inputs!$B$43=0),1,IF(IF(Inputs!$B$38="pvp",15,Inputs!$B$43)-(B2041)&lt;=0,1,MAX(0,IF(Inputs!$B$38="pvp",15,Inputs!$B$43)-MAX(5,B2041))/(IF(Inputs!$B$38="pvp",15,Inputs!$B$43)-(B2041))))*(IF(AND(ArtifactsInput!$M$42,((Inputs!$B$9+((C2022=TRUE)*(F2022-Calc!F19))+B2034+(ArtifactsInput!$M$24-ArtifactsInput!$M$24)*CHOOSE(ArtifactsInput!$N$24+1,10,12,14,16,18,20)+IF(ArtifactsInput!$M$10,CHOOSE(ArtifactsInput!$N$10+1,15,18,21,24,27,30)*(IF(Inputs!$B$38="pvp",MIN(15,15)/15,IF(AND(Inputs!$B$38&lt;&gt;"pvp",Inputs!$B$43&gt;0),MIN(15,Inputs!$B$43)/(Inputs!$B$43),0))),0)))&gt;=100),MIN(100,((Inputs!$B$9+((C2022=TRUE)*(F2022-Calc!F19))+B2034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2041)&lt;=0,1,MAX(0,IF(Inputs!$B$38="pvp",15,Inputs!$B$43)-MAX(5,B2041))/(IF(Inputs!$B$38="pvp",15,Inputs!$B$43)-(B2041))))*IF(AND(ArtifactsInput!$M$42,((Inputs!$B$9+((C2022=TRUE)*(F2022-Calc!F19))+B2034+(ArtifactsInput!$M$24-ArtifactsInput!$M$24)*CHOOSE(ArtifactsInput!$N$24+1,10,12,14,16,18,20)+IF(ArtifactsInput!$M$10,CHOOSE(ArtifactsInput!$N$10+1,15,18,21,24,27,30)*(IF(Inputs!$B$38="pvp",MIN(15,15)/15,IF(AND(Inputs!$B$38&lt;&gt;"pvp",Inputs!$B$43&gt;0),MIN(15,Inputs!$B$43)/(Inputs!$B$43),0))),0)))&gt;=100),CHOOSE(ArtifactsInput!$N$42+1,40,48,56,64,72,80),0))))/100)*((1+(((C2020=TRUE)*F2020*5/7)+((C2027=TRUE)*(F2027-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2012)</f>
        <v/>
      </c>
      <c r="L2012">
        <f>K2012*(MIN(Inputs!$B$22+((C2025=TRUE)*(F2025-Calc!F22)),(Inputs!$B$23+0+(IF(ArtifactsInput!$M$15,CHOOSE(ArtifactsInput!$N$15+1,25,30,35,40,45,50)/100*(Inputs!$B$11-Inputs!$B$11),0))))/100+(Inputs!$B$23+0+(IF(ArtifactsInput!$M$15,CHOOSE(ArtifactsInput!$N$15+1,25,30,35,40,45,50)/100*(Inputs!$B$11-Inputs!$B$11),0)))/100)/2</f>
        <v/>
      </c>
      <c r="M2012">
        <f>L2012*(1+(Inputs!$B$10+((C2028=TRUE)*(F2028-Calc!F25))+B2039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12">
        <f>L2012*(1-MIN((Inputs!$B$9+((C2022=TRUE)*(F2022-Calc!F19))+B2034+(ArtifactsInput!$M$24-ArtifactsInput!$M$24)*CHOOSE(ArtifactsInput!$N$24+1,10,12,14,16,18,20)+(IF(AND(Inputs!$B$38&lt;&gt;"pvp",Inputs!$B$43=0),1,IF(IF(Inputs!$B$38="pvp",15,Inputs!$B$43)-(B2041)&lt;=0,1,MAX(0,IF(Inputs!$B$38="pvp",15,Inputs!$B$43)-MAX(5,B2041))/(IF(Inputs!$B$38="pvp",15,Inputs!$B$43)-(B2041))))*IF(AND(ArtifactsInput!$M$42,((Inputs!$B$9+((C2022=TRUE)*(F2022-Calc!F19))+B2034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2012*(MIN((Inputs!$B$9+((C2022=TRUE)*(F2022-Calc!F19))+B2034+(ArtifactsInput!$M$24-ArtifactsInput!$M$24)*CHOOSE(ArtifactsInput!$N$24+1,10,12,14,16,18,20)+(IF(AND(Inputs!$B$38&lt;&gt;"pvp",Inputs!$B$43=0),1,IF(IF(Inputs!$B$38="pvp",15,Inputs!$B$43)-(B2041)&lt;=0,1,MAX(0,IF(Inputs!$B$38="pvp",15,Inputs!$B$43)-MAX(5,B2041))/(IF(Inputs!$B$38="pvp",15,Inputs!$B$43)-(B2041))))*IF(AND(ArtifactsInput!$M$42,((Inputs!$B$9+((C2022=TRUE)*(F2022-Calc!F19))+B2034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12">
        <f>(1-Summary!$B$11)*T2012+Summary!$B$11*V2012</f>
        <v/>
      </c>
      <c r="P2012">
        <f>IF(B2044=0,0,O2012/B2044)</f>
        <v/>
      </c>
      <c r="Q2012">
        <f>IFERROR(1/(IF(Inputs!$B$38="pvp",15,MAX(0.1,Skills!D9-IF(TRUE=TRUE,Inputs!$B$32,0)))*(1-IF(AND(ArtifactsInput!$M$27,Inputs!$B$4="Chapter Hunt"),CHOOSE(ArtifactsInput!$N$27+1,20,24,28,32,36,40),0)/100)),0)</f>
        <v/>
      </c>
      <c r="R2012">
        <f>IF(AND(Inputs!$B$38&lt;&gt;"pvp",Inputs!$B$43&gt;0),IF(MAX(0,Inputs!$B$43-B2041)&lt;=0,0,(INT(MAX(0,Inputs!$B$43-B2041)/(IF(Inputs!$B$38="pvp",15,MAX(0.1,Skills!D9-IF(TRUE=TRUE,Inputs!$B$32,0)))*(1-IF(AND(ArtifactsInput!$M$27,Inputs!$B$4="Chapter Hunt"),CHOOSE(ArtifactsInput!$N$27+1,20,24,28,32,36,40),0)/100)))+1)),0)</f>
        <v/>
      </c>
      <c r="S2012">
        <f>IFERROR(O2012/N2012,0)</f>
        <v/>
      </c>
      <c r="T2012">
        <f>IF(C2012,(H2012*N2012*IF(AND(Inputs!$B$38&lt;&gt;"pvp",Inputs!$B$43&gt;0),((Skills!G9*((R2012-1)*IF(Skills!H9&gt;0,INT(Skills!I9/Skills!H9+0.000000001),1)+IF(Skills!H9&gt;0,INT(MIN(Skills!I9,MAX(0,MAX(0,Inputs!$B$43-B2041)-((R2012-1)*(IF(Inputs!$B$38="pvp",15,MAX(0.1,Skills!D9-IF(TRUE=TRUE,Inputs!$B$32,0)))*(1-IF(AND(ArtifactsInput!$M$27,Inputs!$B$4="Chapter Hunt"),CHOOSE(ArtifactsInput!$N$27+1,20,24,28,32,36,40),0)/100)))))/Skills!H9+0.000000001),1)))/Inputs!$B$43),G2012*Q2012))*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IF(ArtifactsInput!$M$23,FALSE,TRUE)-ArtifactsInput!$M$23)*CHOOSE(ArtifactsInput!$N$23+1,50,60,70,80,90,100))+(IF(AND(ArtifactsInput!$M$35,Inputs!$B$4&lt;&gt;"Chapter Hunt"),CHOOSE(ArtifactsInput!$N$35+1,15,18,21,24,27,30)*(1-EXP(-(0.2*B2036)*5)),0)+IF(AND(ArtifactsInput!$M$22,Inputs!$B$4&lt;&gt;"Chapter Hunt"),CHOOSE(ArtifactsInput!$N$22+1,10,12,14,16,18,20)*((0*(((0.15*B2036*5))^0/1)+1*(((0.15*B2036*5))^1/1)+2*(((0.15*B2036*5))^2/2)+3*(((0.15*B2036*5))^3/6)+4*(((0.15*B2036*5))^4/24)+5*(((0.15*B2036*5))^5/120))/((((0.15*B2036*5))^0/1)+(((0.15*B2036*5))^1/1)+(((0.15*B2036*5))^2/2)+(((0.15*B2036*5))^3/6)+(((0.15*B2036*5))^4/24)+(((0.15*B2036*5))^5/120))),0))+IF(Inputs!$B$3&gt;=54,9*(C2006=TRUE)*MIN(1,8*(1+Inputs!$B$34/100)*Q2006)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2012*(1-MIN(100,(Inputs!$B$9+((C2022=TRUE)*(F2022-Calc!F19))+B2034+(ArtifactsInput!$M$24-ArtifactsInput!$M$24)*CHOOSE(ArtifactsInput!$N$24+1,10,12,14,16,18,20)+(IF(AND(Inputs!$B$38&lt;&gt;"pvp",Inputs!$B$43=0),1,IF(IF(Inputs!$B$38="pvp",15,Inputs!$B$43)-(B2041)&lt;=0,1,MAX(0,IF(Inputs!$B$38="pvp",15,Inputs!$B$43)-MAX(5,B2041))/(IF(Inputs!$B$38="pvp",15,Inputs!$B$43)-(B2041))))*IF(AND(ArtifactsInput!$M$42,((Inputs!$B$9+((C2022=TRUE)*(F2022-Calc!F19))+B2034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2012*(MIN(100,(Inputs!$B$9+((C2022=TRUE)*(F2022-Calc!F19))+B2034+(ArtifactsInput!$M$24-ArtifactsInput!$M$24)*CHOOSE(ArtifactsInput!$N$24+1,10,12,14,16,18,20)+(IF(AND(Inputs!$B$38&lt;&gt;"pvp",Inputs!$B$43=0),1,IF(IF(Inputs!$B$38="pvp",15,Inputs!$B$43)-(B2041)&lt;=0,1,MAX(0,IF(Inputs!$B$38="pvp",15,Inputs!$B$43)-MAX(5,B2041))/(IF(Inputs!$B$38="pvp",15,Inputs!$B$43)-(B2041))))*IF(AND(ArtifactsInput!$M$42,((Inputs!$B$9+((C2022=TRUE)*(F2022-Calc!F19))+B2034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2012*(1-MIN(100,(Inputs!$B$9+((C2022=TRUE)*(F2022-Calc!F19))+B2034+(ArtifactsInput!$M$24-ArtifactsInput!$M$24)*CHOOSE(ArtifactsInput!$N$24+1,10,12,14,16,18,20)+(IF(AND(Inputs!$B$38&lt;&gt;"pvp",Inputs!$B$43=0),1,IF(IF(Inputs!$B$38="pvp",15,Inputs!$B$43)-(B2041)&lt;=0,1,MAX(0,IF(Inputs!$B$38="pvp",15,Inputs!$B$43)-MAX(5,B2041))/(IF(Inputs!$B$38="pvp",15,Inputs!$B$43)-(B2041))))*IF(AND(ArtifactsInput!$M$42,((Inputs!$B$9+((C2022=TRUE)*(F2022-Calc!F19))+B2034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2012*(MIN(100,(Inputs!$B$9+((C2022=TRUE)*(F2022-Calc!F19))+B2034+(ArtifactsInput!$M$24-ArtifactsInput!$M$24)*CHOOSE(ArtifactsInput!$N$24+1,10,12,14,16,18,20)+(IF(AND(Inputs!$B$38&lt;&gt;"pvp",Inputs!$B$43=0),1,IF(IF(Inputs!$B$38="pvp",15,Inputs!$B$43)-(B2041)&lt;=0,1,MAX(0,IF(Inputs!$B$38="pvp",15,Inputs!$B$43)-MAX(5,B2041))/(IF(Inputs!$B$38="pvp",15,Inputs!$B$43)-(B2041))))*IF(AND(ArtifactsInput!$M$42,((Inputs!$B$9+((C2022=TRUE)*(F2022-Calc!F19))+B2034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012">
        <f>IF(C2012,(H2012*N2012*IF(AND(Inputs!$B$38&lt;&gt;"pvp",Inputs!$B$43&gt;0),((Skills!G9*((R2012-1)*IF(Skills!H9&gt;0,INT(Skills!I9/Skills!H9+0.000000001),1)+IF(Skills!H9&gt;0,INT(MIN(Skills!I9,MAX(0,MAX(0,Inputs!$B$43-B2041)-((R2012-1)*(IF(Inputs!$B$38="pvp",15,MAX(0.1,Skills!D9-IF(TRUE=TRUE,Inputs!$B$32,0)))*(1-IF(AND(ArtifactsInput!$M$27,Inputs!$B$4="Chapter Hunt"),CHOOSE(ArtifactsInput!$N$27+1,20,24,28,32,36,40),0)/100)))))/Skills!H9+0.000000001),1)))/Inputs!$B$43),G2012*Q2012))*IF(Inputs!$B$38="pvp",1,(1+(Inputs!$B$21+Skills!Q9+(IF(ArtifactsInput!$M$33,CHOOSE(ArtifactsInput!$N$33+1,30,36,42,48,54,60),0))+(IF(AND(ArtifactsInput!$M$35,Inputs!$B$4&lt;&gt;"Chapter Hunt"),CHOOSE(ArtifactsInput!$N$35+1,15,18,21,24,27,30)*(1-EXP(-(0.2*B2036)*5)),0)+IF(AND(ArtifactsInput!$M$22,Inputs!$B$4&lt;&gt;"Chapter Hunt"),CHOOSE(ArtifactsInput!$N$22+1,10,12,14,16,18,20)*((0*(((0.15*B2036*5))^0/1)+1*(((0.15*B2036*5))^1/1)+2*(((0.15*B2036*5))^2/2)+3*(((0.15*B2036*5))^3/6)+4*(((0.15*B2036*5))^4/24)+5*(((0.15*B2036*5))^5/120))/((((0.15*B2036*5))^0/1)+(((0.15*B2036*5))^1/1)+(((0.15*B2036*5))^2/2)+(((0.15*B2036*5))^3/6)+(((0.15*B2036*5))^4/24)+(((0.15*B2036*5))^5/120))),0))+IF(Inputs!$B$3&gt;=54,9*(C2006=TRUE)*MIN(1,8*(1+Inputs!$B$34/100)*Q2006),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13">
      <c r="A2013">
        <f>Skills!A10</f>
        <v/>
      </c>
      <c r="B2013">
        <f>Skills!B10</f>
        <v/>
      </c>
      <c r="C2013">
        <f>Inputs!$B$3&gt;=113</f>
        <v/>
      </c>
      <c r="D2013">
        <f>IF(Skills!C10=1,60+Inputs!$B$25+Inputs!$B$29,IF(Skills!C10=2,90+Inputs!$B$26+Inputs!$B$29,IF(Skills!C10=3,120+Inputs!$B$27+Inputs!$B$29,MAX(0,(Inputs!$B$3-100)*3)+Inputs!$B$28+Inputs!$B$29)))</f>
        <v/>
      </c>
      <c r="E2013">
        <f>INDEX(FactorTable!$B$2:$Y$301, MATCH(ROUND(MIN(300,MAX(1,D2013)),0), FactorTable!$A$2:$A$301,0), Skills!M10+1)</f>
        <v/>
      </c>
      <c r="F2013">
        <f>IF(Skills!N10=TRUE,(Skills!L10/10)*(E2013/1000),Skills!L10/10)+Skills!O10</f>
        <v/>
      </c>
      <c r="G2013">
        <f>Skills!G10*IF(Skills!H10&gt;0,INT(IF(Inputs!$B$38="pvp",MIN(Skills!I10,15),Skills!I10)/Skills!H10+0.000000001),1)</f>
        <v/>
      </c>
      <c r="H2013">
        <f>1-(1-Skills!J10/100)^Skills!K10</f>
        <v/>
      </c>
      <c r="I2013" t="inlineStr">
        <is>
          <t>1</t>
        </is>
      </c>
      <c r="J2013">
        <f>((Inputs!$B$6*(1+Inputs!$B$7/100))+(((Inputs!$B$12*(1+Inputs!$B$13/100))-(Inputs!$B$12*(1+Inputs!$B$13/100)))+0.25*(Inputs!$B$14-Inputs!$B$14))*(1+Inputs!$B$7/100))*(F2013/100)</f>
        <v/>
      </c>
      <c r="K2013">
        <f>J2013*(1+((Inputs!$B$12*(1+Inputs!$B$13/100))*0.01+Inputs!$B$14*0.0025)/100)*(1+Inputs!$B$15/100)*(1+Inputs!$B$16/100)*(5000/(6000+Inputs!$B$42*(1-(100*(1-(1-(Inputs!$B$19+0)/100)*(1-CHOOSE(ArtifactsInput!$N$40+1,5,6,7,8,9,10)/100)^(ArtifactsInput!$M$40-ArtifactsInput!$M$40)))/100)))*(1+(Inputs!$B$24+((C2029=TRUE)*(F2029-Calc!F26))+B2040)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IGHT_LEGS_EASTON",Inputs!$B$17+((C2026=TRUE)*(F2026-Calc!F23))+((C2030=TRUE)*(F2030-Calc!F27))+((IF(AND(Inputs!$B$38&lt;&gt;"pvp",Inputs!$B$43=0),1,IF(IF(Inputs!$B$38="pvp",15,Inputs!$B$43)-(B2041)&lt;=0,1,MAX(0,IF(Inputs!$B$38="pvp",15,Inputs!$B$43)-MAX(5,B2041))/(IF(Inputs!$B$38="pvp",15,Inputs!$B$43)-(B2041))))*(IF(AND(ArtifactsInput!$M$42,((Inputs!$B$9+((C2022=TRUE)*(F2022-Calc!F19))+B2034+(ArtifactsInput!$M$24-ArtifactsInput!$M$24)*CHOOSE(ArtifactsInput!$N$24+1,10,12,14,16,18,20)+IF(ArtifactsInput!$M$10,CHOOSE(ArtifactsInput!$N$10+1,15,18,21,24,27,30)*(IF(Inputs!$B$38="pvp",MIN(15,15)/15,IF(AND(Inputs!$B$38&lt;&gt;"pvp",Inputs!$B$43&gt;0),MIN(15,Inputs!$B$43)/(Inputs!$B$43),0))),0)))&gt;=100),MIN(100,((Inputs!$B$9+((C2022=TRUE)*(F2022-Calc!F19))+B2034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2041)&lt;=0,1,MAX(0,IF(Inputs!$B$38="pvp",15,Inputs!$B$43)-MAX(5,B2041))/(IF(Inputs!$B$38="pvp",15,Inputs!$B$43)-(B2041))))*IF(AND(ArtifactsInput!$M$42,((Inputs!$B$9+((C2022=TRUE)*(F2022-Calc!F19))+B2034+(ArtifactsInput!$M$24-ArtifactsInput!$M$24)*CHOOSE(ArtifactsInput!$N$24+1,10,12,14,16,18,20)+IF(ArtifactsInput!$M$10,CHOOSE(ArtifactsInput!$N$10+1,15,18,21,24,27,30)*(IF(Inputs!$B$38="pvp",MIN(15,15)/15,IF(AND(Inputs!$B$38&lt;&gt;"pvp",Inputs!$B$43&gt;0),MIN(15,Inputs!$B$43)/(Inputs!$B$43),0))),0)))&gt;=100),CHOOSE(ArtifactsInput!$N$42+1,40,48,56,64,72,80),0))))/100)*((1+(((C2020=TRUE)*F2020*5/7)+((C2027=TRUE)*(F2027-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2013)</f>
        <v/>
      </c>
      <c r="L2013">
        <f>K2013*(MIN(Inputs!$B$22+((C2025=TRUE)*(F2025-Calc!F22)),(Inputs!$B$23+0+(IF(ArtifactsInput!$M$15,CHOOSE(ArtifactsInput!$N$15+1,25,30,35,40,45,50)/100*(Inputs!$B$11-Inputs!$B$11),0))))/100+(Inputs!$B$23+0+(IF(ArtifactsInput!$M$15,CHOOSE(ArtifactsInput!$N$15+1,25,30,35,40,45,50)/100*(Inputs!$B$11-Inputs!$B$11),0)))/100)/2</f>
        <v/>
      </c>
      <c r="M2013">
        <f>L2013*(1+(Inputs!$B$10+((C2028=TRUE)*(F2028-Calc!F25))+B2039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13">
        <f>L2013*(1-MIN((Inputs!$B$9+((C2022=TRUE)*(F2022-Calc!F19))+B2034+(ArtifactsInput!$M$24-ArtifactsInput!$M$24)*CHOOSE(ArtifactsInput!$N$24+1,10,12,14,16,18,20)+(IF(AND(Inputs!$B$38&lt;&gt;"pvp",Inputs!$B$43=0),1,IF(IF(Inputs!$B$38="pvp",15,Inputs!$B$43)-(B2041)&lt;=0,1,MAX(0,IF(Inputs!$B$38="pvp",15,Inputs!$B$43)-MAX(5,B2041))/(IF(Inputs!$B$38="pvp",15,Inputs!$B$43)-(B2041))))*IF(AND(ArtifactsInput!$M$42,((Inputs!$B$9+((C2022=TRUE)*(F2022-Calc!F19))+B2034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2013*(MIN((Inputs!$B$9+((C2022=TRUE)*(F2022-Calc!F19))+B2034+(ArtifactsInput!$M$24-ArtifactsInput!$M$24)*CHOOSE(ArtifactsInput!$N$24+1,10,12,14,16,18,20)+(IF(AND(Inputs!$B$38&lt;&gt;"pvp",Inputs!$B$43=0),1,IF(IF(Inputs!$B$38="pvp",15,Inputs!$B$43)-(B2041)&lt;=0,1,MAX(0,IF(Inputs!$B$38="pvp",15,Inputs!$B$43)-MAX(5,B2041))/(IF(Inputs!$B$38="pvp",15,Inputs!$B$43)-(B2041))))*IF(AND(ArtifactsInput!$M$42,((Inputs!$B$9+((C2022=TRUE)*(F2022-Calc!F19))+B2034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13">
        <f>(1-Summary!$B$11)*T2013+Summary!$B$11*V2013</f>
        <v/>
      </c>
      <c r="P2013">
        <f>IF(B2044=0,0,O2013/B2044)</f>
        <v/>
      </c>
      <c r="Q2013" t="n">
        <v>0</v>
      </c>
      <c r="R2013" t="n">
        <v>0</v>
      </c>
      <c r="S2013">
        <f>IFERROR(O2013/N2013,0)</f>
        <v/>
      </c>
      <c r="T2013">
        <f>IF(C2013,((H2013*B2046)/(1+Skills!H10*H2013*B2046)*N2013)*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IF(ArtifactsInput!$M$23,FALSE,TRUE)-ArtifactsInput!$M$23)*CHOOSE(ArtifactsInput!$N$23+1,50,60,70,80,90,100))+(IF(AND(ArtifactsInput!$M$35,Inputs!$B$4&lt;&gt;"Chapter Hunt"),CHOOSE(ArtifactsInput!$N$35+1,15,18,21,24,27,30)*(1-EXP(-(0.2*B2036)*5)),0)+IF(AND(ArtifactsInput!$M$22,Inputs!$B$4&lt;&gt;"Chapter Hunt"),CHOOSE(ArtifactsInput!$N$22+1,10,12,14,16,18,20)*((0*(((0.15*B2036*5))^0/1)+1*(((0.15*B2036*5))^1/1)+2*(((0.15*B2036*5))^2/2)+3*(((0.15*B2036*5))^3/6)+4*(((0.15*B2036*5))^4/24)+5*(((0.15*B2036*5))^5/120))/((((0.15*B2036*5))^0/1)+(((0.15*B2036*5))^1/1)+(((0.15*B2036*5))^2/2)+(((0.15*B2036*5))^3/6)+(((0.15*B2036*5))^4/24)+(((0.15*B2036*5))^5/120))),0))+IF(Inputs!$B$3&gt;=54,9*(C2006=TRUE)*MIN(1,8*(1+Inputs!$B$34/100)*Q2006)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2013*(1-MIN(100,(Inputs!$B$9+((C2022=TRUE)*(F2022-Calc!F19))+B2034+(ArtifactsInput!$M$24-ArtifactsInput!$M$24)*CHOOSE(ArtifactsInput!$N$24+1,10,12,14,16,18,20)+(IF(AND(Inputs!$B$38&lt;&gt;"pvp",Inputs!$B$43=0),1,IF(IF(Inputs!$B$38="pvp",15,Inputs!$B$43)-(B2041)&lt;=0,1,MAX(0,IF(Inputs!$B$38="pvp",15,Inputs!$B$43)-MAX(5,B2041))/(IF(Inputs!$B$38="pvp",15,Inputs!$B$43)-(B2041))))*IF(AND(ArtifactsInput!$M$42,((Inputs!$B$9+((C2022=TRUE)*(F2022-Calc!F19))+B2034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2013*(MIN(100,(Inputs!$B$9+((C2022=TRUE)*(F2022-Calc!F19))+B2034+(ArtifactsInput!$M$24-ArtifactsInput!$M$24)*CHOOSE(ArtifactsInput!$N$24+1,10,12,14,16,18,20)+(IF(AND(Inputs!$B$38&lt;&gt;"pvp",Inputs!$B$43=0),1,IF(IF(Inputs!$B$38="pvp",15,Inputs!$B$43)-(B2041)&lt;=0,1,MAX(0,IF(Inputs!$B$38="pvp",15,Inputs!$B$43)-MAX(5,B2041))/(IF(Inputs!$B$38="pvp",15,Inputs!$B$43)-(B2041))))*IF(AND(ArtifactsInput!$M$42,((Inputs!$B$9+((C2022=TRUE)*(F2022-Calc!F19))+B2034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2013*(1-MIN(100,(Inputs!$B$9+((C2022=TRUE)*(F2022-Calc!F19))+B2034+(ArtifactsInput!$M$24-ArtifactsInput!$M$24)*CHOOSE(ArtifactsInput!$N$24+1,10,12,14,16,18,20)+(IF(AND(Inputs!$B$38&lt;&gt;"pvp",Inputs!$B$43=0),1,IF(IF(Inputs!$B$38="pvp",15,Inputs!$B$43)-(B2041)&lt;=0,1,MAX(0,IF(Inputs!$B$38="pvp",15,Inputs!$B$43)-MAX(5,B2041))/(IF(Inputs!$B$38="pvp",15,Inputs!$B$43)-(B2041))))*IF(AND(ArtifactsInput!$M$42,((Inputs!$B$9+((C2022=TRUE)*(F2022-Calc!F19))+B2034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2013*(MIN(100,(Inputs!$B$9+((C2022=TRUE)*(F2022-Calc!F19))+B2034+(ArtifactsInput!$M$24-ArtifactsInput!$M$24)*CHOOSE(ArtifactsInput!$N$24+1,10,12,14,16,18,20)+(IF(AND(Inputs!$B$38&lt;&gt;"pvp",Inputs!$B$43=0),1,IF(IF(Inputs!$B$38="pvp",15,Inputs!$B$43)-(B2041)&lt;=0,1,MAX(0,IF(Inputs!$B$38="pvp",15,Inputs!$B$43)-MAX(5,B2041))/(IF(Inputs!$B$38="pvp",15,Inputs!$B$43)-(B2041))))*IF(AND(ArtifactsInput!$M$42,((Inputs!$B$9+((C2022=TRUE)*(F2022-Calc!F19))+B2034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013">
        <f>IF(C2013,((H2013*B2046)/(1+Skills!H10*H2013*B2046)*N2013)*IF(Inputs!$B$38="pvp",1,(1+(Inputs!$B$21+Skills!Q10+(IF(ArtifactsInput!$M$33,CHOOSE(ArtifactsInput!$N$33+1,30,36,42,48,54,60),0))+(IF(AND(ArtifactsInput!$M$35,Inputs!$B$4&lt;&gt;"Chapter Hunt"),CHOOSE(ArtifactsInput!$N$35+1,15,18,21,24,27,30)*(1-EXP(-(0.2*B2036)*5)),0)+IF(AND(ArtifactsInput!$M$22,Inputs!$B$4&lt;&gt;"Chapter Hunt"),CHOOSE(ArtifactsInput!$N$22+1,10,12,14,16,18,20)*((0*(((0.15*B2036*5))^0/1)+1*(((0.15*B2036*5))^1/1)+2*(((0.15*B2036*5))^2/2)+3*(((0.15*B2036*5))^3/6)+4*(((0.15*B2036*5))^4/24)+5*(((0.15*B2036*5))^5/120))/((((0.15*B2036*5))^0/1)+(((0.15*B2036*5))^1/1)+(((0.15*B2036*5))^2/2)+(((0.15*B2036*5))^3/6)+(((0.15*B2036*5))^4/24)+(((0.15*B2036*5))^5/120))),0))+IF(Inputs!$B$3&gt;=54,9*(C2006=TRUE)*MIN(1,8*(1+Inputs!$B$34/100)*Q2006),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14">
      <c r="A2014">
        <f>Skills!A11</f>
        <v/>
      </c>
      <c r="B2014">
        <f>Skills!B11</f>
        <v/>
      </c>
      <c r="C2014">
        <f>Inputs!$B$3&gt;=117</f>
        <v/>
      </c>
      <c r="D2014">
        <f>IF(Skills!C11=1,60+Inputs!$B$25+Inputs!$B$29,IF(Skills!C11=2,90+Inputs!$B$26+Inputs!$B$29,IF(Skills!C11=3,120+Inputs!$B$27+Inputs!$B$29,MAX(0,(Inputs!$B$3-100)*3)+Inputs!$B$28+Inputs!$B$29)))</f>
        <v/>
      </c>
      <c r="E2014">
        <f>INDEX(FactorTable!$B$2:$Y$301, MATCH(ROUND(MIN(300,MAX(1,D2014)),0), FactorTable!$A$2:$A$301,0), Skills!M11+1)</f>
        <v/>
      </c>
      <c r="F2014">
        <f>IF(Skills!N11=TRUE,(Skills!L11/10)*(E2014/1000),Skills!L11/10)+Skills!O11</f>
        <v/>
      </c>
      <c r="G2014">
        <f>Skills!G11*IF(Skills!H11&gt;0,INT(IF(Inputs!$B$38="pvp",MIN(Skills!I11,15),Skills!I11)/Skills!H11+0.000000001),1)</f>
        <v/>
      </c>
      <c r="H2014">
        <f>1-(1-Skills!J11/100)^Skills!K11</f>
        <v/>
      </c>
      <c r="I2014" t="inlineStr">
        <is>
          <t>1</t>
        </is>
      </c>
      <c r="J2014">
        <f>((Inputs!$B$6*(1+Inputs!$B$7/100))+(((Inputs!$B$12*(1+Inputs!$B$13/100))-(Inputs!$B$12*(1+Inputs!$B$13/100)))+0.25*(Inputs!$B$14-Inputs!$B$14))*(1+Inputs!$B$7/100))*(F2014/100)</f>
        <v/>
      </c>
      <c r="K2014">
        <f>J2014*(1+((Inputs!$B$12*(1+Inputs!$B$13/100))*0.01+Inputs!$B$14*0.0025)/100)*(1+Inputs!$B$15/100)*(1+Inputs!$B$16/100)*(5000/(6000+Inputs!$B$42*(1-(100*(1-(1-(Inputs!$B$19+0)/100)*(1-CHOOSE(ArtifactsInput!$N$40+1,5,6,7,8,9,10)/100)^(ArtifactsInput!$M$40-ArtifactsInput!$M$40)))/100)))*(1+(Inputs!$B$24+((C2029=TRUE)*(F2029-Calc!F26))+B2040)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IGHT_LEGS_EASTON",Inputs!$B$17+((C2026=TRUE)*(F2026-Calc!F23))+((C2030=TRUE)*(F2030-Calc!F27))+((IF(AND(Inputs!$B$38&lt;&gt;"pvp",Inputs!$B$43=0),1,IF(IF(Inputs!$B$38="pvp",15,Inputs!$B$43)-(B2041)&lt;=0,1,MAX(0,IF(Inputs!$B$38="pvp",15,Inputs!$B$43)-MAX(5,B2041))/(IF(Inputs!$B$38="pvp",15,Inputs!$B$43)-(B2041))))*(IF(AND(ArtifactsInput!$M$42,((Inputs!$B$9+((C2022=TRUE)*(F2022-Calc!F19))+B2034+(ArtifactsInput!$M$24-ArtifactsInput!$M$24)*CHOOSE(ArtifactsInput!$N$24+1,10,12,14,16,18,20)+IF(ArtifactsInput!$M$10,CHOOSE(ArtifactsInput!$N$10+1,15,18,21,24,27,30)*(IF(Inputs!$B$38="pvp",MIN(15,15)/15,IF(AND(Inputs!$B$38&lt;&gt;"pvp",Inputs!$B$43&gt;0),MIN(15,Inputs!$B$43)/(Inputs!$B$43),0))),0)))&gt;=100),MIN(100,((Inputs!$B$9+((C2022=TRUE)*(F2022-Calc!F19))+B2034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2041)&lt;=0,1,MAX(0,IF(Inputs!$B$38="pvp",15,Inputs!$B$43)-MAX(5,B2041))/(IF(Inputs!$B$38="pvp",15,Inputs!$B$43)-(B2041))))*IF(AND(ArtifactsInput!$M$42,((Inputs!$B$9+((C2022=TRUE)*(F2022-Calc!F19))+B2034+(ArtifactsInput!$M$24-ArtifactsInput!$M$24)*CHOOSE(ArtifactsInput!$N$24+1,10,12,14,16,18,20)+IF(ArtifactsInput!$M$10,CHOOSE(ArtifactsInput!$N$10+1,15,18,21,24,27,30)*(IF(Inputs!$B$38="pvp",MIN(15,15)/15,IF(AND(Inputs!$B$38&lt;&gt;"pvp",Inputs!$B$43&gt;0),MIN(15,Inputs!$B$43)/(Inputs!$B$43),0))),0)))&gt;=100),CHOOSE(ArtifactsInput!$N$42+1,40,48,56,64,72,80),0))))/100)*((1+(((C2020=TRUE)*F2020*5/7)+((C2027=TRUE)*(F2027-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2014)</f>
        <v/>
      </c>
      <c r="L2014">
        <f>K2014*(MIN(Inputs!$B$22+((C2025=TRUE)*(F2025-Calc!F22)),(Inputs!$B$23+0+(IF(ArtifactsInput!$M$15,CHOOSE(ArtifactsInput!$N$15+1,25,30,35,40,45,50)/100*(Inputs!$B$11-Inputs!$B$11),0))))/100+(Inputs!$B$23+0+(IF(ArtifactsInput!$M$15,CHOOSE(ArtifactsInput!$N$15+1,25,30,35,40,45,50)/100*(Inputs!$B$11-Inputs!$B$11),0)))/100)/2</f>
        <v/>
      </c>
      <c r="M2014">
        <f>L2014*(1+(Inputs!$B$10+((C2028=TRUE)*(F2028-Calc!F25))+B2039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14">
        <f>L2014*(1-MIN((Inputs!$B$9+((C2022=TRUE)*(F2022-Calc!F19))+B2034+(ArtifactsInput!$M$24-ArtifactsInput!$M$24)*CHOOSE(ArtifactsInput!$N$24+1,10,12,14,16,18,20)+(IF(AND(Inputs!$B$38&lt;&gt;"pvp",Inputs!$B$43=0),1,IF(IF(Inputs!$B$38="pvp",15,Inputs!$B$43)-(B2041)&lt;=0,1,MAX(0,IF(Inputs!$B$38="pvp",15,Inputs!$B$43)-MAX(5,B2041))/(IF(Inputs!$B$38="pvp",15,Inputs!$B$43)-(B2041))))*IF(AND(ArtifactsInput!$M$42,((Inputs!$B$9+((C2022=TRUE)*(F2022-Calc!F19))+B2034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2014*(MIN((Inputs!$B$9+((C2022=TRUE)*(F2022-Calc!F19))+B2034+(ArtifactsInput!$M$24-ArtifactsInput!$M$24)*CHOOSE(ArtifactsInput!$N$24+1,10,12,14,16,18,20)+(IF(AND(Inputs!$B$38&lt;&gt;"pvp",Inputs!$B$43=0),1,IF(IF(Inputs!$B$38="pvp",15,Inputs!$B$43)-(B2041)&lt;=0,1,MAX(0,IF(Inputs!$B$38="pvp",15,Inputs!$B$43)-MAX(5,B2041))/(IF(Inputs!$B$38="pvp",15,Inputs!$B$43)-(B2041))))*IF(AND(ArtifactsInput!$M$42,((Inputs!$B$9+((C2022=TRUE)*(F2022-Calc!F19))+B2034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14">
        <f>(1-Summary!$B$11)*T2014+Summary!$B$11*V2014</f>
        <v/>
      </c>
      <c r="P2014">
        <f>IF(B2044=0,0,O2014/B2044)</f>
        <v/>
      </c>
      <c r="Q2014">
        <f>IFERROR(1/((IF(Inputs!$B$38="pvp",15,MAX(0.1,Skills!D11-IF(TRUE=TRUE,Inputs!$B$32,0)))*(1-IF(AND(ArtifactsInput!$M$27,Inputs!$B$4="Chapter Hunt"),CHOOSE(ArtifactsInput!$N$27+1,20,24,28,32,36,40),0)/100))/B2045),0)</f>
        <v/>
      </c>
      <c r="R2014">
        <f>IF(AND(Inputs!$B$38&lt;&gt;"pvp",Inputs!$B$43&gt;0),IF(MAX(0,Inputs!$B$43-B2041)&lt;=0,0,(INT(MAX(0,Inputs!$B$43-B2041)/((IF(Inputs!$B$38="pvp",15,MAX(0.1,Skills!D11-IF(TRUE=TRUE,Inputs!$B$32,0)))*(1-IF(AND(ArtifactsInput!$M$27,Inputs!$B$4="Chapter Hunt"),CHOOSE(ArtifactsInput!$N$27+1,20,24,28,32,36,40),0)/100))/B2045))+1)),0)</f>
        <v/>
      </c>
      <c r="S2014">
        <f>IFERROR(O2014/N2014,0)</f>
        <v/>
      </c>
      <c r="T2014">
        <f>IF(C2014,(H2014*N2014*IF(AND(Inputs!$B$38&lt;&gt;"pvp",Inputs!$B$43&gt;0),((Skills!G11*((R2014-1)*IF(Skills!H11&gt;0,INT(Skills!I11/Skills!H11+0.000000001),1)+IF(Skills!H11&gt;0,INT(MIN(Skills!I11,MAX(0,MAX(0,Inputs!$B$43-B2041)-((R2014-1)*((IF(Inputs!$B$38="pvp",15,MAX(0.1,Skills!D11-IF(TRUE=TRUE,Inputs!$B$32,0)))*(1-IF(AND(ArtifactsInput!$M$27,Inputs!$B$4="Chapter Hunt"),CHOOSE(ArtifactsInput!$N$27+1,20,24,28,32,36,40),0)/100))/B2045))))/Skills!H11+0.000000001),1)))/Inputs!$B$43),G2014*Q2014))*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IF(ArtifactsInput!$M$23,FALSE,TRUE)-ArtifactsInput!$M$23)*CHOOSE(ArtifactsInput!$N$23+1,50,60,70,80,90,100))+(IF(AND(ArtifactsInput!$M$35,Inputs!$B$4&lt;&gt;"Chapter Hunt"),CHOOSE(ArtifactsInput!$N$35+1,15,18,21,24,27,30)*(1-EXP(-(0.2*B2036)*5)),0)+IF(AND(ArtifactsInput!$M$22,Inputs!$B$4&lt;&gt;"Chapter Hunt"),CHOOSE(ArtifactsInput!$N$22+1,10,12,14,16,18,20)*((0*(((0.15*B2036*5))^0/1)+1*(((0.15*B2036*5))^1/1)+2*(((0.15*B2036*5))^2/2)+3*(((0.15*B2036*5))^3/6)+4*(((0.15*B2036*5))^4/24)+5*(((0.15*B2036*5))^5/120))/((((0.15*B2036*5))^0/1)+(((0.15*B2036*5))^1/1)+(((0.15*B2036*5))^2/2)+(((0.15*B2036*5))^3/6)+(((0.15*B2036*5))^4/24)+(((0.15*B2036*5))^5/120))),0))+IF(Inputs!$B$3&gt;=54,9*(C2006=TRUE)*MIN(1,8*(1+Inputs!$B$34/100)*Q2006)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2014*(1-MIN(100,(Inputs!$B$9+((C2022=TRUE)*(F2022-Calc!F19))+B2034+(ArtifactsInput!$M$24-ArtifactsInput!$M$24)*CHOOSE(ArtifactsInput!$N$24+1,10,12,14,16,18,20)+(IF(AND(Inputs!$B$38&lt;&gt;"pvp",Inputs!$B$43=0),1,IF(IF(Inputs!$B$38="pvp",15,Inputs!$B$43)-(B2041)&lt;=0,1,MAX(0,IF(Inputs!$B$38="pvp",15,Inputs!$B$43)-MAX(5,B2041))/(IF(Inputs!$B$38="pvp",15,Inputs!$B$43)-(B2041))))*IF(AND(ArtifactsInput!$M$42,((Inputs!$B$9+((C2022=TRUE)*(F2022-Calc!F19))+B2034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2014*(MIN(100,(Inputs!$B$9+((C2022=TRUE)*(F2022-Calc!F19))+B2034+(ArtifactsInput!$M$24-ArtifactsInput!$M$24)*CHOOSE(ArtifactsInput!$N$24+1,10,12,14,16,18,20)+(IF(AND(Inputs!$B$38&lt;&gt;"pvp",Inputs!$B$43=0),1,IF(IF(Inputs!$B$38="pvp",15,Inputs!$B$43)-(B2041)&lt;=0,1,MAX(0,IF(Inputs!$B$38="pvp",15,Inputs!$B$43)-MAX(5,B2041))/(IF(Inputs!$B$38="pvp",15,Inputs!$B$43)-(B2041))))*IF(AND(ArtifactsInput!$M$42,((Inputs!$B$9+((C2022=TRUE)*(F2022-Calc!F19))+B2034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2014*(1-MIN(100,(Inputs!$B$9+((C2022=TRUE)*(F2022-Calc!F19))+B2034+(ArtifactsInput!$M$24-ArtifactsInput!$M$24)*CHOOSE(ArtifactsInput!$N$24+1,10,12,14,16,18,20)+(IF(AND(Inputs!$B$38&lt;&gt;"pvp",Inputs!$B$43=0),1,IF(IF(Inputs!$B$38="pvp",15,Inputs!$B$43)-(B2041)&lt;=0,1,MAX(0,IF(Inputs!$B$38="pvp",15,Inputs!$B$43)-MAX(5,B2041))/(IF(Inputs!$B$38="pvp",15,Inputs!$B$43)-(B2041))))*IF(AND(ArtifactsInput!$M$42,((Inputs!$B$9+((C2022=TRUE)*(F2022-Calc!F19))+B2034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2014*(MIN(100,(Inputs!$B$9+((C2022=TRUE)*(F2022-Calc!F19))+B2034+(ArtifactsInput!$M$24-ArtifactsInput!$M$24)*CHOOSE(ArtifactsInput!$N$24+1,10,12,14,16,18,20)+(IF(AND(Inputs!$B$38&lt;&gt;"pvp",Inputs!$B$43=0),1,IF(IF(Inputs!$B$38="pvp",15,Inputs!$B$43)-(B2041)&lt;=0,1,MAX(0,IF(Inputs!$B$38="pvp",15,Inputs!$B$43)-MAX(5,B2041))/(IF(Inputs!$B$38="pvp",15,Inputs!$B$43)-(B2041))))*IF(AND(ArtifactsInput!$M$42,((Inputs!$B$9+((C2022=TRUE)*(F2022-Calc!F19))+B2034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014">
        <f>IF(C2014,(H2014*N2014*IF(AND(Inputs!$B$38&lt;&gt;"pvp",Inputs!$B$43&gt;0),((Skills!G11*((R2014-1)*IF(Skills!H11&gt;0,INT(Skills!I11/Skills!H11+0.000000001),1)+IF(Skills!H11&gt;0,INT(MIN(Skills!I11,MAX(0,MAX(0,Inputs!$B$43-B2041)-((R2014-1)*((IF(Inputs!$B$38="pvp",15,MAX(0.1,Skills!D11-IF(TRUE=TRUE,Inputs!$B$32,0)))*(1-IF(AND(ArtifactsInput!$M$27,Inputs!$B$4="Chapter Hunt"),CHOOSE(ArtifactsInput!$N$27+1,20,24,28,32,36,40),0)/100))/B2045))))/Skills!H11+0.000000001),1)))/Inputs!$B$43),G2014*Q2014))*IF(Inputs!$B$38="pvp",1,(1+(Inputs!$B$21+Skills!Q11+(IF(ArtifactsInput!$M$33,CHOOSE(ArtifactsInput!$N$33+1,30,36,42,48,54,60),0))+(IF(AND(ArtifactsInput!$M$35,Inputs!$B$4&lt;&gt;"Chapter Hunt"),CHOOSE(ArtifactsInput!$N$35+1,15,18,21,24,27,30)*(1-EXP(-(0.2*B2036)*5)),0)+IF(AND(ArtifactsInput!$M$22,Inputs!$B$4&lt;&gt;"Chapter Hunt"),CHOOSE(ArtifactsInput!$N$22+1,10,12,14,16,18,20)*((0*(((0.15*B2036*5))^0/1)+1*(((0.15*B2036*5))^1/1)+2*(((0.15*B2036*5))^2/2)+3*(((0.15*B2036*5))^3/6)+4*(((0.15*B2036*5))^4/24)+5*(((0.15*B2036*5))^5/120))/((((0.15*B2036*5))^0/1)+(((0.15*B2036*5))^1/1)+(((0.15*B2036*5))^2/2)+(((0.15*B2036*5))^3/6)+(((0.15*B2036*5))^4/24)+(((0.15*B2036*5))^5/120))),0))+IF(Inputs!$B$3&gt;=54,9*(C2006=TRUE)*MIN(1,8*(1+Inputs!$B$34/100)*Q2006),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15">
      <c r="A2015">
        <f>Skills!A12</f>
        <v/>
      </c>
      <c r="B2015">
        <f>Skills!B12</f>
        <v/>
      </c>
      <c r="C2015">
        <f>Inputs!$B$3&gt;=110</f>
        <v/>
      </c>
      <c r="D2015">
        <f>IF(Skills!C12=1,60+Inputs!$B$25+Inputs!$B$29,IF(Skills!C12=2,90+Inputs!$B$26+Inputs!$B$29,IF(Skills!C12=3,120+Inputs!$B$27+Inputs!$B$29,MAX(0,(Inputs!$B$3-100)*3)+Inputs!$B$28+Inputs!$B$29)))</f>
        <v/>
      </c>
      <c r="E2015">
        <f>INDEX(FactorTable!$B$2:$Y$301, MATCH(ROUND(MIN(300,MAX(1,D2015)),0), FactorTable!$A$2:$A$301,0), Skills!M12+1)</f>
        <v/>
      </c>
      <c r="F2015">
        <f>IF(Skills!N12=TRUE,(Skills!L12/10)*(E2015/1000),Skills!L12/10)+Skills!O12</f>
        <v/>
      </c>
      <c r="G2015">
        <f>Skills!G12*IF(Skills!H12&gt;0,INT(IF(Inputs!$B$38="pvp",MIN(Skills!I12,15),Skills!I12)/Skills!H12+0.000000001),1)</f>
        <v/>
      </c>
      <c r="H2015">
        <f>1-(1-Skills!J12/100)^Skills!K12</f>
        <v/>
      </c>
      <c r="I2015" t="inlineStr">
        <is>
          <t>1</t>
        </is>
      </c>
      <c r="J2015">
        <f>((Inputs!$B$6*(1+Inputs!$B$7/100))+(((Inputs!$B$12*(1+Inputs!$B$13/100))-(Inputs!$B$12*(1+Inputs!$B$13/100)))+0.25*(Inputs!$B$14-Inputs!$B$14))*(1+Inputs!$B$7/100))*(F2015/100)</f>
        <v/>
      </c>
      <c r="K2015">
        <f>J2015*(1+((Inputs!$B$12*(1+Inputs!$B$13/100))*0.01+Inputs!$B$14*0.0025)/100)*(1+Inputs!$B$15/100)*(1+Inputs!$B$16/100)*(5000/(6000+Inputs!$B$42*(1-(100*(1-(1-(Inputs!$B$19+0)/100)*(1-CHOOSE(ArtifactsInput!$N$40+1,5,6,7,8,9,10)/100)^(ArtifactsInput!$M$40-ArtifactsInput!$M$40)))/100)))*(1+(Inputs!$B$24+((C2029=TRUE)*(F2029-Calc!F26))+B2040)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EIGHT_LEGS_EASTON",Inputs!$B$17+((C2026=TRUE)*(F2026-Calc!F23))+((C2030=TRUE)*(F2030-Calc!F27))+((IF(AND(Inputs!$B$38&lt;&gt;"pvp",Inputs!$B$43=0),1,IF(IF(Inputs!$B$38="pvp",15,Inputs!$B$43)-(B2041)&lt;=0,1,MAX(0,IF(Inputs!$B$38="pvp",15,Inputs!$B$43)-MAX(5,B2041))/(IF(Inputs!$B$38="pvp",15,Inputs!$B$43)-(B2041))))*(IF(AND(ArtifactsInput!$M$42,((Inputs!$B$9+((C2022=TRUE)*(F2022-Calc!F19))+B2034+(ArtifactsInput!$M$24-ArtifactsInput!$M$24)*CHOOSE(ArtifactsInput!$N$24+1,10,12,14,16,18,20)+IF(ArtifactsInput!$M$10,CHOOSE(ArtifactsInput!$N$10+1,15,18,21,24,27,30)*(IF(Inputs!$B$38="pvp",MIN(15,15)/15,IF(AND(Inputs!$B$38&lt;&gt;"pvp",Inputs!$B$43&gt;0),MIN(15,Inputs!$B$43)/(Inputs!$B$43),0))),0)))&gt;=100),MIN(100,((Inputs!$B$9+((C2022=TRUE)*(F2022-Calc!F19))+B2034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2041)&lt;=0,1,MAX(0,IF(Inputs!$B$38="pvp",15,Inputs!$B$43)-MAX(5,B2041))/(IF(Inputs!$B$38="pvp",15,Inputs!$B$43)-(B2041))))*IF(AND(ArtifactsInput!$M$42,((Inputs!$B$9+((C2022=TRUE)*(F2022-Calc!F19))+B2034+(ArtifactsInput!$M$24-ArtifactsInput!$M$24)*CHOOSE(ArtifactsInput!$N$24+1,10,12,14,16,18,20)+IF(ArtifactsInput!$M$10,CHOOSE(ArtifactsInput!$N$10+1,15,18,21,24,27,30)*(IF(Inputs!$B$38="pvp",MIN(15,15)/15,IF(AND(Inputs!$B$38&lt;&gt;"pvp",Inputs!$B$43&gt;0),MIN(15,Inputs!$B$43)/(Inputs!$B$43),0))),0)))&gt;=100),CHOOSE(ArtifactsInput!$N$42+1,40,48,56,64,72,80),0))))/100)*((1+(((C2020=TRUE)*F2020*5/7)+((C2027=TRUE)*(F2027-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2015)</f>
        <v/>
      </c>
      <c r="L2015">
        <f>K2015*(MIN(Inputs!$B$22+((C2025=TRUE)*(F2025-Calc!F22)),(Inputs!$B$23+0+(IF(ArtifactsInput!$M$15,CHOOSE(ArtifactsInput!$N$15+1,25,30,35,40,45,50)/100*(Inputs!$B$11-Inputs!$B$11),0))))/100+(Inputs!$B$23+0+(IF(ArtifactsInput!$M$15,CHOOSE(ArtifactsInput!$N$15+1,25,30,35,40,45,50)/100*(Inputs!$B$11-Inputs!$B$11),0)))/100)/2</f>
        <v/>
      </c>
      <c r="M2015">
        <f>L2015*(1+(Inputs!$B$10+((C2028=TRUE)*(F2028-Calc!F25))+B2039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15">
        <f>L2015*(1-MIN((Inputs!$B$9+((C2022=TRUE)*(F2022-Calc!F19))+B2034+(ArtifactsInput!$M$24-ArtifactsInput!$M$24)*CHOOSE(ArtifactsInput!$N$24+1,10,12,14,16,18,20)+(IF(AND(Inputs!$B$38&lt;&gt;"pvp",Inputs!$B$43=0),1,IF(IF(Inputs!$B$38="pvp",15,Inputs!$B$43)-(B2041)&lt;=0,1,MAX(0,IF(Inputs!$B$38="pvp",15,Inputs!$B$43)-MAX(5,B2041))/(IF(Inputs!$B$38="pvp",15,Inputs!$B$43)-(B2041))))*IF(AND(ArtifactsInput!$M$42,((Inputs!$B$9+((C2022=TRUE)*(F2022-Calc!F19))+B2034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2015*(MIN((Inputs!$B$9+((C2022=TRUE)*(F2022-Calc!F19))+B2034+(ArtifactsInput!$M$24-ArtifactsInput!$M$24)*CHOOSE(ArtifactsInput!$N$24+1,10,12,14,16,18,20)+(IF(AND(Inputs!$B$38&lt;&gt;"pvp",Inputs!$B$43=0),1,IF(IF(Inputs!$B$38="pvp",15,Inputs!$B$43)-(B2041)&lt;=0,1,MAX(0,IF(Inputs!$B$38="pvp",15,Inputs!$B$43)-MAX(5,B2041))/(IF(Inputs!$B$38="pvp",15,Inputs!$B$43)-(B2041))))*IF(AND(ArtifactsInput!$M$42,((Inputs!$B$9+((C2022=TRUE)*(F2022-Calc!F19))+B2034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15">
        <f>(1-Summary!$B$11)*T2015+Summary!$B$11*V2015</f>
        <v/>
      </c>
      <c r="P2015">
        <f>IF(B2044=0,0,O2015/B2044)</f>
        <v/>
      </c>
      <c r="Q2015">
        <f>IFERROR(1/(IF(Inputs!$B$38="pvp",15,MAX(0.1,Skills!D12-IF(TRUE=TRUE,Inputs!$B$32,0)))*(1-IF(AND(ArtifactsInput!$M$27,Inputs!$B$4="Chapter Hunt"),CHOOSE(ArtifactsInput!$N$27+1,20,24,28,32,36,40),0)/100)),0)</f>
        <v/>
      </c>
      <c r="R2015">
        <f>IF(AND(Inputs!$B$38&lt;&gt;"pvp",Inputs!$B$43&gt;0),IF(MAX(0,Inputs!$B$43-B2041)&lt;=0,0,(INT(MAX(0,Inputs!$B$43-B2041)/(IF(Inputs!$B$38="pvp",15,MAX(0.1,Skills!D12-IF(TRUE=TRUE,Inputs!$B$32,0)))*(1-IF(AND(ArtifactsInput!$M$27,Inputs!$B$4="Chapter Hunt"),CHOOSE(ArtifactsInput!$N$27+1,20,24,28,32,36,40),0)/100)))+1)),0)</f>
        <v/>
      </c>
      <c r="S2015">
        <f>IFERROR(O2015/N2015,0)</f>
        <v/>
      </c>
      <c r="T2015">
        <f>IF(C2015,(H2015*N2015*IF(AND(Inputs!$B$38&lt;&gt;"pvp",Inputs!$B$43&gt;0),((Skills!G12*((R2015-1)*IF(Skills!H12&gt;0,INT(Skills!I12/Skills!H12+0.000000001),1)+IF(Skills!H12&gt;0,INT(MIN(Skills!I12,MAX(0,MAX(0,Inputs!$B$43-B2041)-((R2015-1)*(IF(Inputs!$B$38="pvp",15,MAX(0.1,Skills!D12-IF(TRUE=TRUE,Inputs!$B$32,0)))*(1-IF(AND(ArtifactsInput!$M$27,Inputs!$B$4="Chapter Hunt"),CHOOSE(ArtifactsInput!$N$27+1,20,24,28,32,36,40),0)/100)))))/Skills!H12+0.000000001),1)))/Inputs!$B$43),G2015*Q2015))*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IF(ArtifactsInput!$M$23,FALSE,TRUE)-ArtifactsInput!$M$23)*CHOOSE(ArtifactsInput!$N$23+1,50,60,70,80,90,100))+(IF(AND(ArtifactsInput!$M$35,Inputs!$B$4&lt;&gt;"Chapter Hunt"),CHOOSE(ArtifactsInput!$N$35+1,15,18,21,24,27,30)*(1-EXP(-(0.2*B2036)*5)),0)+IF(AND(ArtifactsInput!$M$22,Inputs!$B$4&lt;&gt;"Chapter Hunt"),CHOOSE(ArtifactsInput!$N$22+1,10,12,14,16,18,20)*((0*(((0.15*B2036*5))^0/1)+1*(((0.15*B2036*5))^1/1)+2*(((0.15*B2036*5))^2/2)+3*(((0.15*B2036*5))^3/6)+4*(((0.15*B2036*5))^4/24)+5*(((0.15*B2036*5))^5/120))/((((0.15*B2036*5))^0/1)+(((0.15*B2036*5))^1/1)+(((0.15*B2036*5))^2/2)+(((0.15*B2036*5))^3/6)+(((0.15*B2036*5))^4/24)+(((0.15*B2036*5))^5/120))),0))+IF(Inputs!$B$3&gt;=54,9*(C2006=TRUE)*MIN(1,8*(1+Inputs!$B$34/100)*Q2006)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2015*(1-MIN(100,(Inputs!$B$9+((C2022=TRUE)*(F2022-Calc!F19))+B2034+(ArtifactsInput!$M$24-ArtifactsInput!$M$24)*CHOOSE(ArtifactsInput!$N$24+1,10,12,14,16,18,20)+(IF(AND(Inputs!$B$38&lt;&gt;"pvp",Inputs!$B$43=0),1,IF(IF(Inputs!$B$38="pvp",15,Inputs!$B$43)-(B2041)&lt;=0,1,MAX(0,IF(Inputs!$B$38="pvp",15,Inputs!$B$43)-MAX(5,B2041))/(IF(Inputs!$B$38="pvp",15,Inputs!$B$43)-(B2041))))*IF(AND(ArtifactsInput!$M$42,((Inputs!$B$9+((C2022=TRUE)*(F2022-Calc!F19))+B2034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2015*(MIN(100,(Inputs!$B$9+((C2022=TRUE)*(F2022-Calc!F19))+B2034+(ArtifactsInput!$M$24-ArtifactsInput!$M$24)*CHOOSE(ArtifactsInput!$N$24+1,10,12,14,16,18,20)+(IF(AND(Inputs!$B$38&lt;&gt;"pvp",Inputs!$B$43=0),1,IF(IF(Inputs!$B$38="pvp",15,Inputs!$B$43)-(B2041)&lt;=0,1,MAX(0,IF(Inputs!$B$38="pvp",15,Inputs!$B$43)-MAX(5,B2041))/(IF(Inputs!$B$38="pvp",15,Inputs!$B$43)-(B2041))))*IF(AND(ArtifactsInput!$M$42,((Inputs!$B$9+((C2022=TRUE)*(F2022-Calc!F19))+B2034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2015*(1-MIN(100,(Inputs!$B$9+((C2022=TRUE)*(F2022-Calc!F19))+B2034+(ArtifactsInput!$M$24-ArtifactsInput!$M$24)*CHOOSE(ArtifactsInput!$N$24+1,10,12,14,16,18,20)+(IF(AND(Inputs!$B$38&lt;&gt;"pvp",Inputs!$B$43=0),1,IF(IF(Inputs!$B$38="pvp",15,Inputs!$B$43)-(B2041)&lt;=0,1,MAX(0,IF(Inputs!$B$38="pvp",15,Inputs!$B$43)-MAX(5,B2041))/(IF(Inputs!$B$38="pvp",15,Inputs!$B$43)-(B2041))))*IF(AND(ArtifactsInput!$M$42,((Inputs!$B$9+((C2022=TRUE)*(F2022-Calc!F19))+B2034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2015*(MIN(100,(Inputs!$B$9+((C2022=TRUE)*(F2022-Calc!F19))+B2034+(ArtifactsInput!$M$24-ArtifactsInput!$M$24)*CHOOSE(ArtifactsInput!$N$24+1,10,12,14,16,18,20)+(IF(AND(Inputs!$B$38&lt;&gt;"pvp",Inputs!$B$43=0),1,IF(IF(Inputs!$B$38="pvp",15,Inputs!$B$43)-(B2041)&lt;=0,1,MAX(0,IF(Inputs!$B$38="pvp",15,Inputs!$B$43)-MAX(5,B2041))/(IF(Inputs!$B$38="pvp",15,Inputs!$B$43)-(B2041))))*IF(AND(ArtifactsInput!$M$42,((Inputs!$B$9+((C2022=TRUE)*(F2022-Calc!F19))+B2034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015">
        <f>IF(C2015,(H2015*N2015*IF(AND(Inputs!$B$38&lt;&gt;"pvp",Inputs!$B$43&gt;0),((Skills!G12*((R2015-1)*IF(Skills!H12&gt;0,INT(Skills!I12/Skills!H12+0.000000001),1)+IF(Skills!H12&gt;0,INT(MIN(Skills!I12,MAX(0,MAX(0,Inputs!$B$43-B2041)-((R2015-1)*(IF(Inputs!$B$38="pvp",15,MAX(0.1,Skills!D12-IF(TRUE=TRUE,Inputs!$B$32,0)))*(1-IF(AND(ArtifactsInput!$M$27,Inputs!$B$4="Chapter Hunt"),CHOOSE(ArtifactsInput!$N$27+1,20,24,28,32,36,40),0)/100)))))/Skills!H12+0.000000001),1)))/Inputs!$B$43),G2015*Q2015))*IF(Inputs!$B$38="pvp",1,(1+(Inputs!$B$21+Skills!Q12+(IF(ArtifactsInput!$M$33,CHOOSE(ArtifactsInput!$N$33+1,30,36,42,48,54,60),0))+(IF(AND(ArtifactsInput!$M$35,Inputs!$B$4&lt;&gt;"Chapter Hunt"),CHOOSE(ArtifactsInput!$N$35+1,15,18,21,24,27,30)*(1-EXP(-(0.2*B2036)*5)),0)+IF(AND(ArtifactsInput!$M$22,Inputs!$B$4&lt;&gt;"Chapter Hunt"),CHOOSE(ArtifactsInput!$N$22+1,10,12,14,16,18,20)*((0*(((0.15*B2036*5))^0/1)+1*(((0.15*B2036*5))^1/1)+2*(((0.15*B2036*5))^2/2)+3*(((0.15*B2036*5))^3/6)+4*(((0.15*B2036*5))^4/24)+5*(((0.15*B2036*5))^5/120))/((((0.15*B2036*5))^0/1)+(((0.15*B2036*5))^1/1)+(((0.15*B2036*5))^2/2)+(((0.15*B2036*5))^3/6)+(((0.15*B2036*5))^4/24)+(((0.15*B2036*5))^5/120))),0))+IF(Inputs!$B$3&gt;=54,9*(C2006=TRUE)*MIN(1,8*(1+Inputs!$B$34/100)*Q2006),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16">
      <c r="A2016">
        <f>Skills!A13</f>
        <v/>
      </c>
      <c r="B2016">
        <f>Skills!B13</f>
        <v/>
      </c>
      <c r="C2016">
        <f>Inputs!$B$3&gt;=110</f>
        <v/>
      </c>
      <c r="D2016">
        <f>IF(Skills!C13=1,60+Inputs!$B$25+Inputs!$B$29,IF(Skills!C13=2,90+Inputs!$B$26+Inputs!$B$29,IF(Skills!C13=3,120+Inputs!$B$27+Inputs!$B$29,MAX(0,(Inputs!$B$3-100)*3)+Inputs!$B$28+Inputs!$B$29)))</f>
        <v/>
      </c>
      <c r="E2016">
        <f>INDEX(FactorTable!$B$2:$Y$301, MATCH(ROUND(MIN(300,MAX(1,D2016)),0), FactorTable!$A$2:$A$301,0), Skills!M13+1)</f>
        <v/>
      </c>
      <c r="F2016">
        <f>IF(Skills!N13=TRUE,(Skills!L13/10)*(E2016/1000),Skills!L13/10)+Skills!O13</f>
        <v/>
      </c>
      <c r="G2016">
        <f>Skills!G13*IF(Skills!H13&gt;0,INT(IF(Inputs!$B$38="pvp",MIN(Skills!I13,15),Skills!I13)/Skills!H13+0.000000001),1)</f>
        <v/>
      </c>
      <c r="H2016">
        <f>1-(1-Skills!J13/100)^Skills!K13</f>
        <v/>
      </c>
      <c r="I2016" t="inlineStr">
        <is>
          <t>1</t>
        </is>
      </c>
      <c r="J2016">
        <f>((Inputs!$B$6*(1+Inputs!$B$7/100))+(((Inputs!$B$12*(1+Inputs!$B$13/100))-(Inputs!$B$12*(1+Inputs!$B$13/100)))+0.25*(Inputs!$B$14-Inputs!$B$14))*(1+Inputs!$B$7/100))*(F2016/100)</f>
        <v/>
      </c>
      <c r="K2016">
        <f>J2016*(1+((Inputs!$B$12*(1+Inputs!$B$13/100))*0.01+Inputs!$B$14*0.0025)/100)*(1+Inputs!$B$15/100)*(1+Inputs!$B$16/100)*(5000/(6000+Inputs!$B$42*(1-(100*(1-(1-(Inputs!$B$19+0)/100)*(1-CHOOSE(ArtifactsInput!$N$40+1,5,6,7,8,9,10)/100)^(ArtifactsInput!$M$40-ArtifactsInput!$M$40)))/100)))*(1+(Inputs!$B$24+((C2029=TRUE)*(F2029-Calc!F26))+B2040)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EIGHT_LEGS_EASTON",Inputs!$B$17+((C2026=TRUE)*(F2026-Calc!F23))+((C2030=TRUE)*(F2030-Calc!F27))+((IF(AND(Inputs!$B$38&lt;&gt;"pvp",Inputs!$B$43=0),1,IF(IF(Inputs!$B$38="pvp",15,Inputs!$B$43)-(B2041)&lt;=0,1,MAX(0,IF(Inputs!$B$38="pvp",15,Inputs!$B$43)-MAX(5,B2041))/(IF(Inputs!$B$38="pvp",15,Inputs!$B$43)-(B2041))))*(IF(AND(ArtifactsInput!$M$42,((Inputs!$B$9+((C2022=TRUE)*(F2022-Calc!F19))+B2034+(ArtifactsInput!$M$24-ArtifactsInput!$M$24)*CHOOSE(ArtifactsInput!$N$24+1,10,12,14,16,18,20)+IF(ArtifactsInput!$M$10,CHOOSE(ArtifactsInput!$N$10+1,15,18,21,24,27,30)*(IF(Inputs!$B$38="pvp",MIN(15,15)/15,IF(AND(Inputs!$B$38&lt;&gt;"pvp",Inputs!$B$43&gt;0),MIN(15,Inputs!$B$43)/(Inputs!$B$43),0))),0)))&gt;=100),MIN(100,((Inputs!$B$9+((C2022=TRUE)*(F2022-Calc!F19))+B2034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2041)&lt;=0,1,MAX(0,IF(Inputs!$B$38="pvp",15,Inputs!$B$43)-MAX(5,B2041))/(IF(Inputs!$B$38="pvp",15,Inputs!$B$43)-(B2041))))*IF(AND(ArtifactsInput!$M$42,((Inputs!$B$9+((C2022=TRUE)*(F2022-Calc!F19))+B2034+(ArtifactsInput!$M$24-ArtifactsInput!$M$24)*CHOOSE(ArtifactsInput!$N$24+1,10,12,14,16,18,20)+IF(ArtifactsInput!$M$10,CHOOSE(ArtifactsInput!$N$10+1,15,18,21,24,27,30)*(IF(Inputs!$B$38="pvp",MIN(15,15)/15,IF(AND(Inputs!$B$38&lt;&gt;"pvp",Inputs!$B$43&gt;0),MIN(15,Inputs!$B$43)/(Inputs!$B$43),0))),0)))&gt;=100),CHOOSE(ArtifactsInput!$N$42+1,40,48,56,64,72,80),0))))/100)*((1+(((C2020=TRUE)*F2020*5/7)+((C2027=TRUE)*(F2027-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2016)</f>
        <v/>
      </c>
      <c r="L2016">
        <f>K2016*(MIN(Inputs!$B$22+((C2025=TRUE)*(F2025-Calc!F22)),(Inputs!$B$23+0+(IF(ArtifactsInput!$M$15,CHOOSE(ArtifactsInput!$N$15+1,25,30,35,40,45,50)/100*(Inputs!$B$11-Inputs!$B$11),0))))/100+(Inputs!$B$23+0+(IF(ArtifactsInput!$M$15,CHOOSE(ArtifactsInput!$N$15+1,25,30,35,40,45,50)/100*(Inputs!$B$11-Inputs!$B$11),0)))/100)/2</f>
        <v/>
      </c>
      <c r="M2016">
        <f>L2016*(1+(Inputs!$B$10+((C2028=TRUE)*(F2028-Calc!F25))+B2039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16">
        <f>L2016*(1-MIN((Inputs!$B$9+((C2022=TRUE)*(F2022-Calc!F19))+B2034+(ArtifactsInput!$M$24-ArtifactsInput!$M$24)*CHOOSE(ArtifactsInput!$N$24+1,10,12,14,16,18,20)+(IF(AND(Inputs!$B$38&lt;&gt;"pvp",Inputs!$B$43=0),1,IF(IF(Inputs!$B$38="pvp",15,Inputs!$B$43)-(B2041)&lt;=0,1,MAX(0,IF(Inputs!$B$38="pvp",15,Inputs!$B$43)-MAX(5,B2041))/(IF(Inputs!$B$38="pvp",15,Inputs!$B$43)-(B2041))))*IF(AND(ArtifactsInput!$M$42,((Inputs!$B$9+((C2022=TRUE)*(F2022-Calc!F19))+B2034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2016*(MIN((Inputs!$B$9+((C2022=TRUE)*(F2022-Calc!F19))+B2034+(ArtifactsInput!$M$24-ArtifactsInput!$M$24)*CHOOSE(ArtifactsInput!$N$24+1,10,12,14,16,18,20)+(IF(AND(Inputs!$B$38&lt;&gt;"pvp",Inputs!$B$43=0),1,IF(IF(Inputs!$B$38="pvp",15,Inputs!$B$43)-(B2041)&lt;=0,1,MAX(0,IF(Inputs!$B$38="pvp",15,Inputs!$B$43)-MAX(5,B2041))/(IF(Inputs!$B$38="pvp",15,Inputs!$B$43)-(B2041))))*IF(AND(ArtifactsInput!$M$42,((Inputs!$B$9+((C2022=TRUE)*(F2022-Calc!F19))+B2034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16">
        <f>(1-Summary!$B$11)*T2016+Summary!$B$11*V2016</f>
        <v/>
      </c>
      <c r="P2016">
        <f>IF(B2044=0,0,O2016/B2044)</f>
        <v/>
      </c>
      <c r="Q2016">
        <f>IFERROR(1/(IF(Inputs!$B$38="pvp",15,MAX(0.1,Skills!D13-IF(TRUE=TRUE,Inputs!$B$32,0)))*(1-IF(AND(ArtifactsInput!$M$27,Inputs!$B$4="Chapter Hunt"),CHOOSE(ArtifactsInput!$N$27+1,20,24,28,32,36,40),0)/100)),0)</f>
        <v/>
      </c>
      <c r="R2016">
        <f>IF(AND(Inputs!$B$38&lt;&gt;"pvp",Inputs!$B$43&gt;0),IF(MAX(0,Inputs!$B$43-B2041)&lt;=0,0,(INT(MAX(0,Inputs!$B$43-B2041)/(IF(Inputs!$B$38="pvp",15,MAX(0.1,Skills!D13-IF(TRUE=TRUE,Inputs!$B$32,0)))*(1-IF(AND(ArtifactsInput!$M$27,Inputs!$B$4="Chapter Hunt"),CHOOSE(ArtifactsInput!$N$27+1,20,24,28,32,36,40),0)/100)))+1)),0)</f>
        <v/>
      </c>
      <c r="S2016">
        <f>IFERROR(O2016/N2016,0)</f>
        <v/>
      </c>
      <c r="T2016">
        <f>IF(C2016,(H2016*N2016*IF(AND(Inputs!$B$38&lt;&gt;"pvp",Inputs!$B$43&gt;0),((Skills!G13*((R2016-1)*IF(Skills!H13&gt;0,INT(Skills!I13/Skills!H13+0.000000001),1)+IF(Skills!H13&gt;0,INT(MIN(Skills!I13,MAX(0,MAX(0,Inputs!$B$43-B2041)-((R2016-1)*(IF(Inputs!$B$38="pvp",15,MAX(0.1,Skills!D13-IF(TRUE=TRUE,Inputs!$B$32,0)))*(1-IF(AND(ArtifactsInput!$M$27,Inputs!$B$4="Chapter Hunt"),CHOOSE(ArtifactsInput!$N$27+1,20,24,28,32,36,40),0)/100)))))/Skills!H13+0.000000001),1)))/Inputs!$B$43),G2016*Q2016))*IF(Inputs!$B$38="pvp",1,1+(Inputs!$B$20+0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IF(ArtifactsInput!$M$23,FALSE,TRUE)-ArtifactsInput!$M$23)*CHOOSE(ArtifactsInput!$N$23+1,50,60,70,80,90,100))+(IF(AND(ArtifactsInput!$M$35,Inputs!$B$4&lt;&gt;"Chapter Hunt"),CHOOSE(ArtifactsInput!$N$35+1,15,18,21,24,27,30)*(1-EXP(-(0.2*B2036)*5)),0)+IF(AND(ArtifactsInput!$M$22,Inputs!$B$4&lt;&gt;"Chapter Hunt"),CHOOSE(ArtifactsInput!$N$22+1,10,12,14,16,18,20)*((0*(((0.15*B2036*5))^0/1)+1*(((0.15*B2036*5))^1/1)+2*(((0.15*B2036*5))^2/2)+3*(((0.15*B2036*5))^3/6)+4*(((0.15*B2036*5))^4/24)+5*(((0.15*B2036*5))^5/120))/((((0.15*B2036*5))^0/1)+(((0.15*B2036*5))^1/1)+(((0.15*B2036*5))^2/2)+(((0.15*B2036*5))^3/6)+(((0.15*B2036*5))^4/24)+(((0.15*B2036*5))^5/120))),0))+IF(Inputs!$B$3&gt;=54,9*(C2006=TRUE)*MIN(1,8*(1+Inputs!$B$34/100)*Q2006)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2016*(1-MIN(100,(Inputs!$B$9+((C2022=TRUE)*(F2022-Calc!F19))+B2034+(ArtifactsInput!$M$24-ArtifactsInput!$M$24)*CHOOSE(ArtifactsInput!$N$24+1,10,12,14,16,18,20)+(IF(AND(Inputs!$B$38&lt;&gt;"pvp",Inputs!$B$43=0),1,IF(IF(Inputs!$B$38="pvp",15,Inputs!$B$43)-(B2041)&lt;=0,1,MAX(0,IF(Inputs!$B$38="pvp",15,Inputs!$B$43)-MAX(5,B2041))/(IF(Inputs!$B$38="pvp",15,Inputs!$B$43)-(B2041))))*IF(AND(ArtifactsInput!$M$42,((Inputs!$B$9+((C2022=TRUE)*(F2022-Calc!F19))+B2034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2016*(MIN(100,(Inputs!$B$9+((C2022=TRUE)*(F2022-Calc!F19))+B2034+(ArtifactsInput!$M$24-ArtifactsInput!$M$24)*CHOOSE(ArtifactsInput!$N$24+1,10,12,14,16,18,20)+(IF(AND(Inputs!$B$38&lt;&gt;"pvp",Inputs!$B$43=0),1,IF(IF(Inputs!$B$38="pvp",15,Inputs!$B$43)-(B2041)&lt;=0,1,MAX(0,IF(Inputs!$B$38="pvp",15,Inputs!$B$43)-MAX(5,B2041))/(IF(Inputs!$B$38="pvp",15,Inputs!$B$43)-(B2041))))*IF(AND(ArtifactsInput!$M$42,((Inputs!$B$9+((C2022=TRUE)*(F2022-Calc!F19))+B2034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2016*(1-MIN(100,(Inputs!$B$9+((C2022=TRUE)*(F2022-Calc!F19))+B2034+(ArtifactsInput!$M$24-ArtifactsInput!$M$24)*CHOOSE(ArtifactsInput!$N$24+1,10,12,14,16,18,20)+(IF(AND(Inputs!$B$38&lt;&gt;"pvp",Inputs!$B$43=0),1,IF(IF(Inputs!$B$38="pvp",15,Inputs!$B$43)-(B2041)&lt;=0,1,MAX(0,IF(Inputs!$B$38="pvp",15,Inputs!$B$43)-MAX(5,B2041))/(IF(Inputs!$B$38="pvp",15,Inputs!$B$43)-(B2041))))*IF(AND(ArtifactsInput!$M$42,((Inputs!$B$9+((C2022=TRUE)*(F2022-Calc!F19))+B2034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2016*(MIN(100,(Inputs!$B$9+((C2022=TRUE)*(F2022-Calc!F19))+B2034+(ArtifactsInput!$M$24-ArtifactsInput!$M$24)*CHOOSE(ArtifactsInput!$N$24+1,10,12,14,16,18,20)+(IF(AND(Inputs!$B$38&lt;&gt;"pvp",Inputs!$B$43=0),1,IF(IF(Inputs!$B$38="pvp",15,Inputs!$B$43)-(B2041)&lt;=0,1,MAX(0,IF(Inputs!$B$38="pvp",15,Inputs!$B$43)-MAX(5,B2041))/(IF(Inputs!$B$38="pvp",15,Inputs!$B$43)-(B2041))))*IF(AND(ArtifactsInput!$M$42,((Inputs!$B$9+((C2022=TRUE)*(F2022-Calc!F19))+B2034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016">
        <f>IF(C2016,(H2016*N2016*IF(AND(Inputs!$B$38&lt;&gt;"pvp",Inputs!$B$43&gt;0),((Skills!G13*((R2016-1)*IF(Skills!H13&gt;0,INT(Skills!I13/Skills!H13+0.000000001),1)+IF(Skills!H13&gt;0,INT(MIN(Skills!I13,MAX(0,MAX(0,Inputs!$B$43-B2041)-((R2016-1)*(IF(Inputs!$B$38="pvp",15,MAX(0.1,Skills!D13-IF(TRUE=TRUE,Inputs!$B$32,0)))*(1-IF(AND(ArtifactsInput!$M$27,Inputs!$B$4="Chapter Hunt"),CHOOSE(ArtifactsInput!$N$27+1,20,24,28,32,36,40),0)/100)))))/Skills!H13+0.000000001),1)))/Inputs!$B$43),G2016*Q2016))*IF(Inputs!$B$38="pvp",1,(1+(Inputs!$B$21+Skills!Q13+(IF(ArtifactsInput!$M$33,CHOOSE(ArtifactsInput!$N$33+1,30,36,42,48,54,60),0))+(IF(AND(ArtifactsInput!$M$35,Inputs!$B$4&lt;&gt;"Chapter Hunt"),CHOOSE(ArtifactsInput!$N$35+1,15,18,21,24,27,30)*(1-EXP(-(0.2*B2036)*5)),0)+IF(AND(ArtifactsInput!$M$22,Inputs!$B$4&lt;&gt;"Chapter Hunt"),CHOOSE(ArtifactsInput!$N$22+1,10,12,14,16,18,20)*((0*(((0.15*B2036*5))^0/1)+1*(((0.15*B2036*5))^1/1)+2*(((0.15*B2036*5))^2/2)+3*(((0.15*B2036*5))^3/6)+4*(((0.15*B2036*5))^4/24)+5*(((0.15*B2036*5))^5/120))/((((0.15*B2036*5))^0/1)+(((0.15*B2036*5))^1/1)+(((0.15*B2036*5))^2/2)+(((0.15*B2036*5))^3/6)+(((0.15*B2036*5))^4/24)+(((0.15*B2036*5))^5/120))),0))+IF(Inputs!$B$3&gt;=54,9*(C2006=TRUE)*MIN(1,8*(1+Inputs!$B$34/100)*Q2006),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17">
      <c r="A2017">
        <f>Skills!A14</f>
        <v/>
      </c>
      <c r="B2017">
        <f>Skills!B14</f>
        <v/>
      </c>
      <c r="C2017">
        <f>Inputs!$B$3&gt;=120</f>
        <v/>
      </c>
      <c r="D2017">
        <f>IF(Skills!C14=1,60+Inputs!$B$25+Inputs!$B$29,IF(Skills!C14=2,90+Inputs!$B$26+Inputs!$B$29,IF(Skills!C14=3,120+Inputs!$B$27+Inputs!$B$29,MAX(0,(Inputs!$B$3-100)*3)+Inputs!$B$28+Inputs!$B$29)))</f>
        <v/>
      </c>
      <c r="E2017">
        <f>INDEX(FactorTable!$B$2:$Y$301, MATCH(ROUND(MIN(300,MAX(1,D2017)),0), FactorTable!$A$2:$A$301,0), Skills!M14+1)</f>
        <v/>
      </c>
      <c r="F2017">
        <f>IF(Skills!N14=TRUE,(Skills!L14/10)*(E2017/1000),Skills!L14/10)+Skills!O14</f>
        <v/>
      </c>
      <c r="G2017">
        <f>Skills!G14*IF(Skills!H14&gt;0,INT(IF(Inputs!$B$38="pvp",MIN(Skills!I14,15),Skills!I14)/Skills!H14+0.000000001),1)</f>
        <v/>
      </c>
      <c r="H2017">
        <f>1-(1-Skills!J14/100)^Skills!K14</f>
        <v/>
      </c>
      <c r="I2017" t="inlineStr">
        <is>
          <t>1</t>
        </is>
      </c>
      <c r="J2017">
        <f>((Inputs!$B$6*(1+Inputs!$B$7/100))+(((Inputs!$B$12*(1+Inputs!$B$13/100))-(Inputs!$B$12*(1+Inputs!$B$13/100)))+0.25*(Inputs!$B$14-Inputs!$B$14))*(1+Inputs!$B$7/100))*(F2017/100)</f>
        <v/>
      </c>
      <c r="K2017">
        <f>J2017*(1+((Inputs!$B$12*(1+Inputs!$B$13/100))*0.01+Inputs!$B$14*0.0025)/100)*(1+Inputs!$B$15/100)*(1+Inputs!$B$16/100)*(5000/(6000+Inputs!$B$42*(1-(100*(1-(1-(Inputs!$B$19+0)/100)*(1-CHOOSE(ArtifactsInput!$N$40+1,5,6,7,8,9,10)/100)^(ArtifactsInput!$M$40-ArtifactsInput!$M$40)))/100)))*(1+(Inputs!$B$24+((C2029=TRUE)*(F2029-Calc!F26))+B2040)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EIGHT_LEGS_EASTON",Inputs!$B$17+((C2026=TRUE)*(F2026-Calc!F23))+((C2030=TRUE)*(F2030-Calc!F27))+((IF(AND(Inputs!$B$38&lt;&gt;"pvp",Inputs!$B$43=0),1,IF(IF(Inputs!$B$38="pvp",15,Inputs!$B$43)-(B2041)&lt;=0,1,MAX(0,IF(Inputs!$B$38="pvp",15,Inputs!$B$43)-MAX(5,B2041))/(IF(Inputs!$B$38="pvp",15,Inputs!$B$43)-(B2041))))*(IF(AND(ArtifactsInput!$M$42,((Inputs!$B$9+((C2022=TRUE)*(F2022-Calc!F19))+B2034+(ArtifactsInput!$M$24-ArtifactsInput!$M$24)*CHOOSE(ArtifactsInput!$N$24+1,10,12,14,16,18,20)+IF(ArtifactsInput!$M$10,CHOOSE(ArtifactsInput!$N$10+1,15,18,21,24,27,30)*(IF(Inputs!$B$38="pvp",MIN(15,15)/15,IF(AND(Inputs!$B$38&lt;&gt;"pvp",Inputs!$B$43&gt;0),MIN(15,Inputs!$B$43)/(Inputs!$B$43),0))),0)))&gt;=100),MIN(100,((Inputs!$B$9+((C2022=TRUE)*(F2022-Calc!F19))+B2034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2041)&lt;=0,1,MAX(0,IF(Inputs!$B$38="pvp",15,Inputs!$B$43)-MAX(5,B2041))/(IF(Inputs!$B$38="pvp",15,Inputs!$B$43)-(B2041))))*IF(AND(ArtifactsInput!$M$42,((Inputs!$B$9+((C2022=TRUE)*(F2022-Calc!F19))+B2034+(ArtifactsInput!$M$24-ArtifactsInput!$M$24)*CHOOSE(ArtifactsInput!$N$24+1,10,12,14,16,18,20)+IF(ArtifactsInput!$M$10,CHOOSE(ArtifactsInput!$N$10+1,15,18,21,24,27,30)*(IF(Inputs!$B$38="pvp",MIN(15,15)/15,IF(AND(Inputs!$B$38&lt;&gt;"pvp",Inputs!$B$43&gt;0),MIN(15,Inputs!$B$43)/(Inputs!$B$43),0))),0)))&gt;=100),CHOOSE(ArtifactsInput!$N$42+1,40,48,56,64,72,80),0))))/100)*((1+(((C2020=TRUE)*F2020*5/7)+((C2027=TRUE)*(F2027-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2017)</f>
        <v/>
      </c>
      <c r="L2017">
        <f>K2017*(MIN(Inputs!$B$22+((C2025=TRUE)*(F2025-Calc!F22)),(Inputs!$B$23+0+(IF(ArtifactsInput!$M$15,CHOOSE(ArtifactsInput!$N$15+1,25,30,35,40,45,50)/100*(Inputs!$B$11-Inputs!$B$11),0))))/100+(Inputs!$B$23+0+(IF(ArtifactsInput!$M$15,CHOOSE(ArtifactsInput!$N$15+1,25,30,35,40,45,50)/100*(Inputs!$B$11-Inputs!$B$11),0)))/100)/2</f>
        <v/>
      </c>
      <c r="M2017">
        <f>L2017*(1+(Inputs!$B$10+((C2028=TRUE)*(F2028-Calc!F25))+B2039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17">
        <f>L2017*(1-MIN((Inputs!$B$9+((C2022=TRUE)*(F2022-Calc!F19))+B2034+(ArtifactsInput!$M$24-ArtifactsInput!$M$24)*CHOOSE(ArtifactsInput!$N$24+1,10,12,14,16,18,20)+(IF(AND(Inputs!$B$38&lt;&gt;"pvp",Inputs!$B$43=0),1,IF(IF(Inputs!$B$38="pvp",15,Inputs!$B$43)-(B2041)&lt;=0,1,MAX(0,IF(Inputs!$B$38="pvp",15,Inputs!$B$43)-MAX(5,B2041))/(IF(Inputs!$B$38="pvp",15,Inputs!$B$43)-(B2041))))*IF(AND(ArtifactsInput!$M$42,((Inputs!$B$9+((C2022=TRUE)*(F2022-Calc!F19))+B2034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2017*(MIN((Inputs!$B$9+((C2022=TRUE)*(F2022-Calc!F19))+B2034+(ArtifactsInput!$M$24-ArtifactsInput!$M$24)*CHOOSE(ArtifactsInput!$N$24+1,10,12,14,16,18,20)+(IF(AND(Inputs!$B$38&lt;&gt;"pvp",Inputs!$B$43=0),1,IF(IF(Inputs!$B$38="pvp",15,Inputs!$B$43)-(B2041)&lt;=0,1,MAX(0,IF(Inputs!$B$38="pvp",15,Inputs!$B$43)-MAX(5,B2041))/(IF(Inputs!$B$38="pvp",15,Inputs!$B$43)-(B2041))))*IF(AND(ArtifactsInput!$M$42,((Inputs!$B$9+((C2022=TRUE)*(F2022-Calc!F19))+B2034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17">
        <f>(1-Summary!$B$11)*T2017+Summary!$B$11*V2017</f>
        <v/>
      </c>
      <c r="P2017">
        <f>IF(B2044=0,0,O2017/B2044)</f>
        <v/>
      </c>
      <c r="Q2017" t="n">
        <v>0</v>
      </c>
      <c r="R2017" t="n">
        <v>0</v>
      </c>
      <c r="S2017">
        <f>IFERROR(O2017/N2017,0)</f>
        <v/>
      </c>
      <c r="T2017">
        <f>IF(C2017,((H2017*(B2038+IF(AND(Inputs!$B$38&lt;&gt;"pvp",Inputs!$B$43&gt;0),((Skills!G8*((R2011-1)*IF(Skills!H8&gt;0,INT(Skills!I8/Skills!H8+0.000000001),1)+IF(Skills!H8&gt;0,INT(MIN(Skills!I8,MAX(0,MAX(0,Inputs!$B$43-B2041)-((R2011-1)*((IF(Inputs!$B$38="pvp",15,MAX(0.1,Skills!D8-IF(TRUE=TRUE,Inputs!$B$32,0)))*(1-IF(AND(ArtifactsInput!$M$27,Inputs!$B$4="Chapter Hunt"),CHOOSE(ArtifactsInput!$N$27+1,20,24,28,32,36,40),0)/100))/B2045))))/Skills!H8+0.000000001),1)))/Inputs!$B$43),G2011*Q2011)+IF(AND(Inputs!$B$38&lt;&gt;"pvp",Inputs!$B$43&gt;0),((Skills!G11*((R2014-1)*IF(Skills!H11&gt;0,INT(Skills!I11/Skills!H11+0.000000001),1)+IF(Skills!H11&gt;0,INT(MIN(Skills!I11,MAX(0,MAX(0,Inputs!$B$43-B2041)-((R2014-1)*((IF(Inputs!$B$38="pvp",15,MAX(0.1,Skills!D11-IF(TRUE=TRUE,Inputs!$B$32,0)))*(1-IF(AND(ArtifactsInput!$M$27,Inputs!$B$4="Chapter Hunt"),CHOOSE(ArtifactsInput!$N$27+1,20,24,28,32,36,40),0)/100))/B2045))))/Skills!H11+0.000000001),1)))/Inputs!$B$43),G2014*Q2014)))/(1+Skills!H14*H2017*(B2038+IF(AND(Inputs!$B$38&lt;&gt;"pvp",Inputs!$B$43&gt;0),((Skills!G8*((R2011-1)*IF(Skills!H8&gt;0,INT(Skills!I8/Skills!H8+0.000000001),1)+IF(Skills!H8&gt;0,INT(MIN(Skills!I8,MAX(0,MAX(0,Inputs!$B$43-B2041)-((R2011-1)*((IF(Inputs!$B$38="pvp",15,MAX(0.1,Skills!D8-IF(TRUE=TRUE,Inputs!$B$32,0)))*(1-IF(AND(ArtifactsInput!$M$27,Inputs!$B$4="Chapter Hunt"),CHOOSE(ArtifactsInput!$N$27+1,20,24,28,32,36,40),0)/100))/B2045))))/Skills!H8+0.000000001),1)))/Inputs!$B$43),G2011*Q2011)+IF(AND(Inputs!$B$38&lt;&gt;"pvp",Inputs!$B$43&gt;0),((Skills!G11*((R2014-1)*IF(Skills!H11&gt;0,INT(Skills!I11/Skills!H11+0.000000001),1)+IF(Skills!H11&gt;0,INT(MIN(Skills!I11,MAX(0,MAX(0,Inputs!$B$43-B2041)-((R2014-1)*((IF(Inputs!$B$38="pvp",15,MAX(0.1,Skills!D11-IF(TRUE=TRUE,Inputs!$B$32,0)))*(1-IF(AND(ArtifactsInput!$M$27,Inputs!$B$4="Chapter Hunt"),CHOOSE(ArtifactsInput!$N$27+1,20,24,28,32,36,40),0)/100))/B2045))))/Skills!H11+0.000000001),1)))/Inputs!$B$43),G2014*Q2014)))*N2017)*IF(Inputs!$B$38="pvp",1,1+(Inputs!$B$20+0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IF(ArtifactsInput!$M$23,FALSE,TRUE)-ArtifactsInput!$M$23)*CHOOSE(ArtifactsInput!$N$23+1,50,60,70,80,90,100))+(IF(AND(ArtifactsInput!$M$35,Inputs!$B$4&lt;&gt;"Chapter Hunt"),CHOOSE(ArtifactsInput!$N$35+1,15,18,21,24,27,30)*(1-EXP(-(0.2*B2036)*5)),0)+IF(AND(ArtifactsInput!$M$22,Inputs!$B$4&lt;&gt;"Chapter Hunt"),CHOOSE(ArtifactsInput!$N$22+1,10,12,14,16,18,20)*((0*(((0.15*B2036*5))^0/1)+1*(((0.15*B2036*5))^1/1)+2*(((0.15*B2036*5))^2/2)+3*(((0.15*B2036*5))^3/6)+4*(((0.15*B2036*5))^4/24)+5*(((0.15*B2036*5))^5/120))/((((0.15*B2036*5))^0/1)+(((0.15*B2036*5))^1/1)+(((0.15*B2036*5))^2/2)+(((0.15*B2036*5))^3/6)+(((0.15*B2036*5))^4/24)+(((0.15*B2036*5))^5/120))),0))+IF(Inputs!$B$3&gt;=54,9*(C2006=TRUE)*MIN(1,8*(1+Inputs!$B$34/100)*Q2006)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2017*(1-MIN(100,(Inputs!$B$9+((C2022=TRUE)*(F2022-Calc!F19))+B2034+(ArtifactsInput!$M$24-ArtifactsInput!$M$24)*CHOOSE(ArtifactsInput!$N$24+1,10,12,14,16,18,20)+(IF(AND(Inputs!$B$38&lt;&gt;"pvp",Inputs!$B$43=0),1,IF(IF(Inputs!$B$38="pvp",15,Inputs!$B$43)-(B2041)&lt;=0,1,MAX(0,IF(Inputs!$B$38="pvp",15,Inputs!$B$43)-MAX(5,B2041))/(IF(Inputs!$B$38="pvp",15,Inputs!$B$43)-(B2041))))*IF(AND(ArtifactsInput!$M$42,((Inputs!$B$9+((C2022=TRUE)*(F2022-Calc!F19))+B2034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2017*(MIN(100,(Inputs!$B$9+((C2022=TRUE)*(F2022-Calc!F19))+B2034+(ArtifactsInput!$M$24-ArtifactsInput!$M$24)*CHOOSE(ArtifactsInput!$N$24+1,10,12,14,16,18,20)+(IF(AND(Inputs!$B$38&lt;&gt;"pvp",Inputs!$B$43=0),1,IF(IF(Inputs!$B$38="pvp",15,Inputs!$B$43)-(B2041)&lt;=0,1,MAX(0,IF(Inputs!$B$38="pvp",15,Inputs!$B$43)-MAX(5,B2041))/(IF(Inputs!$B$38="pvp",15,Inputs!$B$43)-(B2041))))*IF(AND(ArtifactsInput!$M$42,((Inputs!$B$9+((C2022=TRUE)*(F2022-Calc!F19))+B2034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2017*(1-MIN(100,(Inputs!$B$9+((C2022=TRUE)*(F2022-Calc!F19))+B2034+(ArtifactsInput!$M$24-ArtifactsInput!$M$24)*CHOOSE(ArtifactsInput!$N$24+1,10,12,14,16,18,20)+(IF(AND(Inputs!$B$38&lt;&gt;"pvp",Inputs!$B$43=0),1,IF(IF(Inputs!$B$38="pvp",15,Inputs!$B$43)-(B2041)&lt;=0,1,MAX(0,IF(Inputs!$B$38="pvp",15,Inputs!$B$43)-MAX(5,B2041))/(IF(Inputs!$B$38="pvp",15,Inputs!$B$43)-(B2041))))*IF(AND(ArtifactsInput!$M$42,((Inputs!$B$9+((C2022=TRUE)*(F2022-Calc!F19))+B2034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2017*(MIN(100,(Inputs!$B$9+((C2022=TRUE)*(F2022-Calc!F19))+B2034+(ArtifactsInput!$M$24-ArtifactsInput!$M$24)*CHOOSE(ArtifactsInput!$N$24+1,10,12,14,16,18,20)+(IF(AND(Inputs!$B$38&lt;&gt;"pvp",Inputs!$B$43=0),1,IF(IF(Inputs!$B$38="pvp",15,Inputs!$B$43)-(B2041)&lt;=0,1,MAX(0,IF(Inputs!$B$38="pvp",15,Inputs!$B$43)-MAX(5,B2041))/(IF(Inputs!$B$38="pvp",15,Inputs!$B$43)-(B2041))))*IF(AND(ArtifactsInput!$M$42,((Inputs!$B$9+((C2022=TRUE)*(F2022-Calc!F19))+B2034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017">
        <f>IF(C2017,((H2017*(B2038+IF(AND(Inputs!$B$38&lt;&gt;"pvp",Inputs!$B$43&gt;0),((Skills!G8*((R2011-1)*IF(Skills!H8&gt;0,INT(Skills!I8/Skills!H8+0.000000001),1)+IF(Skills!H8&gt;0,INT(MIN(Skills!I8,MAX(0,MAX(0,Inputs!$B$43-B2041)-((R2011-1)*((IF(Inputs!$B$38="pvp",15,MAX(0.1,Skills!D8-IF(TRUE=TRUE,Inputs!$B$32,0)))*(1-IF(AND(ArtifactsInput!$M$27,Inputs!$B$4="Chapter Hunt"),CHOOSE(ArtifactsInput!$N$27+1,20,24,28,32,36,40),0)/100))/B2045))))/Skills!H8+0.000000001),1)))/Inputs!$B$43),G2011*Q2011)+IF(AND(Inputs!$B$38&lt;&gt;"pvp",Inputs!$B$43&gt;0),((Skills!G11*((R2014-1)*IF(Skills!H11&gt;0,INT(Skills!I11/Skills!H11+0.000000001),1)+IF(Skills!H11&gt;0,INT(MIN(Skills!I11,MAX(0,MAX(0,Inputs!$B$43-B2041)-((R2014-1)*((IF(Inputs!$B$38="pvp",15,MAX(0.1,Skills!D11-IF(TRUE=TRUE,Inputs!$B$32,0)))*(1-IF(AND(ArtifactsInput!$M$27,Inputs!$B$4="Chapter Hunt"),CHOOSE(ArtifactsInput!$N$27+1,20,24,28,32,36,40),0)/100))/B2045))))/Skills!H11+0.000000001),1)))/Inputs!$B$43),G2014*Q2014)))/(1+Skills!H14*H2017*(B2038+IF(AND(Inputs!$B$38&lt;&gt;"pvp",Inputs!$B$43&gt;0),((Skills!G8*((R2011-1)*IF(Skills!H8&gt;0,INT(Skills!I8/Skills!H8+0.000000001),1)+IF(Skills!H8&gt;0,INT(MIN(Skills!I8,MAX(0,MAX(0,Inputs!$B$43-B2041)-((R2011-1)*((IF(Inputs!$B$38="pvp",15,MAX(0.1,Skills!D8-IF(TRUE=TRUE,Inputs!$B$32,0)))*(1-IF(AND(ArtifactsInput!$M$27,Inputs!$B$4="Chapter Hunt"),CHOOSE(ArtifactsInput!$N$27+1,20,24,28,32,36,40),0)/100))/B2045))))/Skills!H8+0.000000001),1)))/Inputs!$B$43),G2011*Q2011)+IF(AND(Inputs!$B$38&lt;&gt;"pvp",Inputs!$B$43&gt;0),((Skills!G11*((R2014-1)*IF(Skills!H11&gt;0,INT(Skills!I11/Skills!H11+0.000000001),1)+IF(Skills!H11&gt;0,INT(MIN(Skills!I11,MAX(0,MAX(0,Inputs!$B$43-B2041)-((R2014-1)*((IF(Inputs!$B$38="pvp",15,MAX(0.1,Skills!D11-IF(TRUE=TRUE,Inputs!$B$32,0)))*(1-IF(AND(ArtifactsInput!$M$27,Inputs!$B$4="Chapter Hunt"),CHOOSE(ArtifactsInput!$N$27+1,20,24,28,32,36,40),0)/100))/B2045))))/Skills!H11+0.000000001),1)))/Inputs!$B$43),G2014*Q2014)))*N2017)*IF(Inputs!$B$38="pvp",1,(1+(Inputs!$B$21+Skills!Q14+(IF(ArtifactsInput!$M$33,CHOOSE(ArtifactsInput!$N$33+1,30,36,42,48,54,60),0))+(IF(AND(ArtifactsInput!$M$35,Inputs!$B$4&lt;&gt;"Chapter Hunt"),CHOOSE(ArtifactsInput!$N$35+1,15,18,21,24,27,30)*(1-EXP(-(0.2*B2036)*5)),0)+IF(AND(ArtifactsInput!$M$22,Inputs!$B$4&lt;&gt;"Chapter Hunt"),CHOOSE(ArtifactsInput!$N$22+1,10,12,14,16,18,20)*((0*(((0.15*B2036*5))^0/1)+1*(((0.15*B2036*5))^1/1)+2*(((0.15*B2036*5))^2/2)+3*(((0.15*B2036*5))^3/6)+4*(((0.15*B2036*5))^4/24)+5*(((0.15*B2036*5))^5/120))/((((0.15*B2036*5))^0/1)+(((0.15*B2036*5))^1/1)+(((0.15*B2036*5))^2/2)+(((0.15*B2036*5))^3/6)+(((0.15*B2036*5))^4/24)+(((0.15*B2036*5))^5/120))),0))+IF(Inputs!$B$3&gt;=54,9*(C2006=TRUE)*MIN(1,8*(1+Inputs!$B$34/100)*Q2006),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18">
      <c r="A2018">
        <f>Skills!A15</f>
        <v/>
      </c>
      <c r="B2018">
        <f>Skills!B15</f>
        <v/>
      </c>
      <c r="C2018">
        <f>Inputs!$B$3&gt;=100</f>
        <v/>
      </c>
      <c r="D2018">
        <f>IF(Skills!C15=1,60+Inputs!$B$25+Inputs!$B$29,IF(Skills!C15=2,90+Inputs!$B$26+Inputs!$B$29,IF(Skills!C15=3,120+Inputs!$B$27+Inputs!$B$29,MAX(0,(Inputs!$B$3-100)*3)+Inputs!$B$28+Inputs!$B$29)))</f>
        <v/>
      </c>
      <c r="E2018">
        <f>INDEX(FactorTable!$B$2:$Y$301, MATCH(ROUND(MIN(300,MAX(1,D2018)),0), FactorTable!$A$2:$A$301,0), Skills!M15+1)</f>
        <v/>
      </c>
      <c r="F2018">
        <f>IF(Skills!N15=TRUE,(Skills!L15/10)*(E2018/1000),Skills!L15/10)+Skills!O15</f>
        <v/>
      </c>
      <c r="G2018" t="inlineStr"/>
      <c r="H2018" t="inlineStr"/>
      <c r="I2018" t="inlineStr">
        <is>
          <t>1</t>
        </is>
      </c>
      <c r="J2018" t="inlineStr"/>
      <c r="K2018" t="inlineStr"/>
      <c r="L2018" t="inlineStr"/>
      <c r="M2018" t="inlineStr"/>
      <c r="N2018" t="inlineStr"/>
      <c r="O2018" t="inlineStr"/>
      <c r="P2018" t="inlineStr"/>
      <c r="Q2018" t="inlineStr"/>
      <c r="R2018" t="inlineStr"/>
      <c r="S2018" t="inlineStr"/>
    </row>
    <row r="2019">
      <c r="A2019">
        <f>Skills!A16</f>
        <v/>
      </c>
      <c r="B2019">
        <f>Skills!B16</f>
        <v/>
      </c>
      <c r="C2019">
        <f>Inputs!$B$3&gt;=107</f>
        <v/>
      </c>
      <c r="D2019">
        <f>IF(Skills!C16=1,60+Inputs!$B$25+Inputs!$B$29,IF(Skills!C16=2,90+Inputs!$B$26+Inputs!$B$29,IF(Skills!C16=3,120+Inputs!$B$27+Inputs!$B$29,MAX(0,(Inputs!$B$3-100)*3)+Inputs!$B$28+Inputs!$B$29)))</f>
        <v/>
      </c>
      <c r="E2019">
        <f>INDEX(FactorTable!$B$2:$Y$301, MATCH(ROUND(MIN(300,MAX(1,D2019)),0), FactorTable!$A$2:$A$301,0), Skills!M16+1)</f>
        <v/>
      </c>
      <c r="F2019">
        <f>IF(Skills!N16=TRUE,(Skills!L16/10)*(E2019/1000),Skills!L16/10)+Skills!O16</f>
        <v/>
      </c>
      <c r="G2019" t="inlineStr"/>
      <c r="H2019" t="inlineStr"/>
      <c r="I2019" t="inlineStr">
        <is>
          <t>1</t>
        </is>
      </c>
      <c r="J2019" t="inlineStr"/>
      <c r="K2019" t="inlineStr"/>
      <c r="L2019" t="inlineStr"/>
      <c r="M2019" t="inlineStr"/>
      <c r="N2019" t="inlineStr"/>
      <c r="O2019" t="inlineStr"/>
      <c r="P2019" t="inlineStr"/>
      <c r="Q2019" t="inlineStr"/>
      <c r="R2019" t="inlineStr"/>
      <c r="S2019" t="inlineStr"/>
    </row>
    <row r="2020">
      <c r="A2020">
        <f>Skills!A17</f>
        <v/>
      </c>
      <c r="B2020">
        <f>Skills!B17</f>
        <v/>
      </c>
      <c r="C2020">
        <f>Inputs!$B$3&gt;=74</f>
        <v/>
      </c>
      <c r="D2020">
        <f>IF(Skills!C17=1,60+Inputs!$B$25+Inputs!$B$29,IF(Skills!C17=2,90+Inputs!$B$26+Inputs!$B$29,IF(Skills!C17=3,120+Inputs!$B$27+Inputs!$B$29,MAX(0,(Inputs!$B$3-100)*3)+Inputs!$B$28+Inputs!$B$29)))</f>
        <v/>
      </c>
      <c r="E2020">
        <f>INDEX(FactorTable!$B$2:$Y$301, MATCH(ROUND(MIN(300,MAX(1,D2020)),0), FactorTable!$A$2:$A$301,0), Skills!M17+1)</f>
        <v/>
      </c>
      <c r="F2020">
        <f>IF(Skills!N17=TRUE,(Skills!L17/10)*(E2020/1000),Skills!L17/10)+Skills!O17</f>
        <v/>
      </c>
      <c r="G2020">
        <f>Skills!G17*IF(Skills!H17&gt;0,INT(IF(Inputs!$B$38="pvp",MIN(Skills!I17,15),Skills!I17)/Skills!H17+0.000000001),1)</f>
        <v/>
      </c>
      <c r="H2020">
        <f>1-(1-Skills!J17/100)^Skills!K17</f>
        <v/>
      </c>
      <c r="I2020" t="inlineStr">
        <is>
          <t>1</t>
        </is>
      </c>
      <c r="J2020" t="inlineStr"/>
      <c r="K2020" t="inlineStr"/>
      <c r="L2020" t="inlineStr"/>
      <c r="M2020" t="inlineStr"/>
      <c r="N2020" t="inlineStr"/>
      <c r="O2020">
        <f>(1-Summary!$B$11)*T2020+Summary!$B$11*V2020</f>
        <v/>
      </c>
      <c r="P2020">
        <f>IF(B2044=0,0,O2020/B2044)</f>
        <v/>
      </c>
      <c r="Q2020" t="n">
        <v>0</v>
      </c>
      <c r="R2020" t="n">
        <v>0</v>
      </c>
      <c r="S2020">
        <f>IFERROR(O2020/N2020,0)</f>
        <v/>
      </c>
      <c r="T2020" t="n">
        <v>0</v>
      </c>
      <c r="V2020" t="n">
        <v>0</v>
      </c>
    </row>
    <row r="2021">
      <c r="A2021">
        <f>Skills!A18</f>
        <v/>
      </c>
      <c r="B2021">
        <f>Skills!B18</f>
        <v/>
      </c>
      <c r="C2021">
        <f>Inputs!$B$3&gt;=115</f>
        <v/>
      </c>
      <c r="D2021">
        <f>IF(Skills!C18=1,60+Inputs!$B$25+Inputs!$B$29,IF(Skills!C18=2,90+Inputs!$B$26+Inputs!$B$29,IF(Skills!C18=3,120+Inputs!$B$27+Inputs!$B$29,MAX(0,(Inputs!$B$3-100)*3)+Inputs!$B$28+Inputs!$B$29)))</f>
        <v/>
      </c>
      <c r="E2021">
        <f>INDEX(FactorTable!$B$2:$Y$301, MATCH(ROUND(MIN(300,MAX(1,D2021)),0), FactorTable!$A$2:$A$301,0), Skills!M18+1)</f>
        <v/>
      </c>
      <c r="F2021">
        <f>IF(Skills!N18=TRUE,(Skills!L18/10)*(E2021/1000),Skills!L18/10)+Skills!O18</f>
        <v/>
      </c>
      <c r="G2021">
        <f>Skills!G18*IF(Skills!H18&gt;0,INT(IF(Inputs!$B$38="pvp",MIN(Skills!I18,15),Skills!I18)/Skills!H18+0.000000001),1)</f>
        <v/>
      </c>
      <c r="H2021">
        <f>1-(1-Skills!J18/100)^Skills!K18</f>
        <v/>
      </c>
      <c r="I2021" t="inlineStr">
        <is>
          <t>1</t>
        </is>
      </c>
      <c r="J2021" t="inlineStr"/>
      <c r="K2021" t="inlineStr"/>
      <c r="L2021" t="inlineStr"/>
      <c r="M2021" t="inlineStr"/>
      <c r="N2021" t="inlineStr"/>
      <c r="O2021">
        <f>(1-Summary!$B$11)*T2021+Summary!$B$11*V2021</f>
        <v/>
      </c>
      <c r="P2021">
        <f>IF(B2044=0,0,O2021/B2044)</f>
        <v/>
      </c>
      <c r="Q2021">
        <f>IFERROR(1/(IF(Inputs!$B$38="pvp",15,MAX(0.1,Skills!D18-IF(TRUE=TRUE,Inputs!$B$32,0)))*(1-IF(AND(ArtifactsInput!$M$27,Inputs!$B$4="Chapter Hunt"),CHOOSE(ArtifactsInput!$N$27+1,20,24,28,32,36,40),0)/100)),0)</f>
        <v/>
      </c>
      <c r="R2021">
        <f>IF(AND(Inputs!$B$38&lt;&gt;"pvp",Inputs!$B$43&gt;0),IF(Inputs!$B$43&lt;=0,0,(INT(Inputs!$B$43/(IF(Inputs!$B$38="pvp",15,MAX(0.1,Skills!D18-IF(TRUE=TRUE,Inputs!$B$32,0)))*(1-IF(AND(ArtifactsInput!$M$27,Inputs!$B$4="Chapter Hunt"),CHOOSE(ArtifactsInput!$N$27+1,20,24,28,32,36,40),0)/100)))+1)),0)</f>
        <v/>
      </c>
      <c r="S2021">
        <f>IFERROR(O2021/N2021,0)</f>
        <v/>
      </c>
      <c r="T2021" t="n">
        <v>0</v>
      </c>
      <c r="V2021" t="n">
        <v>0</v>
      </c>
    </row>
    <row r="2022">
      <c r="A2022">
        <f>Skills!A19</f>
        <v/>
      </c>
      <c r="B2022">
        <f>Skills!B19</f>
        <v/>
      </c>
      <c r="C2022">
        <f>Inputs!$B$3&gt;=10</f>
        <v/>
      </c>
      <c r="D2022">
        <f>IF(Skills!C19=1,60+Inputs!$B$25+Inputs!$B$29,IF(Skills!C19=2,90+Inputs!$B$26+Inputs!$B$29,IF(Skills!C19=3,120+Inputs!$B$27+Inputs!$B$29,MAX(0,(Inputs!$B$3-100)*3)+Inputs!$B$28+Inputs!$B$29)))</f>
        <v/>
      </c>
      <c r="E2022">
        <f>INDEX(FactorTable!$B$2:$Y$301, MATCH(ROUND(MIN(300,MAX(1,D2022)),0), FactorTable!$A$2:$A$301,0), Skills!M19+1)</f>
        <v/>
      </c>
      <c r="F2022">
        <f>IF(Skills!N19=TRUE,(Skills!L19/10)*(E2022/1000),Skills!L19/10)+Skills!O19</f>
        <v/>
      </c>
      <c r="G2022">
        <f>Skills!G19*IF(Skills!H19&gt;0,INT(IF(Inputs!$B$38="pvp",MIN(Skills!I19,15),Skills!I19)/Skills!H19+0.000000001),1)</f>
        <v/>
      </c>
      <c r="H2022">
        <f>1-(1-Skills!J19/100)^Skills!K19</f>
        <v/>
      </c>
      <c r="I2022" t="inlineStr">
        <is>
          <t>1</t>
        </is>
      </c>
      <c r="J2022" t="inlineStr"/>
      <c r="K2022" t="inlineStr"/>
      <c r="L2022" t="inlineStr"/>
      <c r="M2022" t="inlineStr"/>
      <c r="N2022" t="inlineStr"/>
      <c r="O2022">
        <f>(1-Summary!$B$11)*T2022+Summary!$B$11*V2022</f>
        <v/>
      </c>
      <c r="P2022">
        <f>IF(B2044=0,0,O2022/B2044)</f>
        <v/>
      </c>
      <c r="Q2022" t="n">
        <v>0</v>
      </c>
      <c r="R2022" t="n">
        <v>0</v>
      </c>
      <c r="S2022">
        <f>IFERROR(O2022/N2022,0)</f>
        <v/>
      </c>
      <c r="T2022" t="n">
        <v>0</v>
      </c>
      <c r="V2022" t="n">
        <v>0</v>
      </c>
    </row>
    <row r="2023">
      <c r="A2023">
        <f>Skills!A20</f>
        <v/>
      </c>
      <c r="B2023">
        <f>Skills!B20</f>
        <v/>
      </c>
      <c r="C2023">
        <f>Inputs!$B$3&gt;=15</f>
        <v/>
      </c>
      <c r="D2023">
        <f>IF(Skills!C20=1,60+Inputs!$B$25+Inputs!$B$29,IF(Skills!C20=2,90+Inputs!$B$26+Inputs!$B$29,IF(Skills!C20=3,120+Inputs!$B$27+Inputs!$B$29,MAX(0,(Inputs!$B$3-100)*3)+Inputs!$B$28+Inputs!$B$29)))</f>
        <v/>
      </c>
      <c r="E2023">
        <f>INDEX(FactorTable!$B$2:$Y$301, MATCH(ROUND(MIN(300,MAX(1,D2023)),0), FactorTable!$A$2:$A$301,0), Skills!M20+1)</f>
        <v/>
      </c>
      <c r="F2023">
        <f>IF(Skills!N20=TRUE,(Skills!L20/10)*(E2023/1000),Skills!L20/10)+Skills!O20</f>
        <v/>
      </c>
      <c r="G2023">
        <f>Skills!G20*IF(Skills!H20&gt;0,INT(IF(Inputs!$B$38="pvp",MIN(Skills!I20,15),Skills!I20)/Skills!H20+0.000000001),1)</f>
        <v/>
      </c>
      <c r="H2023">
        <f>1-(1-Skills!J20/100)^Skills!K20</f>
        <v/>
      </c>
      <c r="I2023" t="inlineStr">
        <is>
          <t>1</t>
        </is>
      </c>
      <c r="J2023" t="inlineStr"/>
      <c r="K2023" t="inlineStr"/>
      <c r="L2023" t="inlineStr"/>
      <c r="M2023" t="inlineStr"/>
      <c r="N2023" t="inlineStr"/>
      <c r="O2023">
        <f>(1-Summary!$B$11)*T2023+Summary!$B$11*V2023</f>
        <v/>
      </c>
      <c r="P2023">
        <f>IF(B2044=0,0,O2023/B2044)</f>
        <v/>
      </c>
      <c r="Q2023" t="n">
        <v>0</v>
      </c>
      <c r="R2023" t="n">
        <v>0</v>
      </c>
      <c r="S2023">
        <f>IFERROR(O2023/N2023,0)</f>
        <v/>
      </c>
      <c r="T2023" t="n">
        <v>0</v>
      </c>
      <c r="V2023" t="n">
        <v>0</v>
      </c>
    </row>
    <row r="2024">
      <c r="A2024">
        <f>Skills!A21</f>
        <v/>
      </c>
      <c r="B2024">
        <f>Skills!B21</f>
        <v/>
      </c>
      <c r="C2024">
        <f>Inputs!$B$3&gt;=40</f>
        <v/>
      </c>
      <c r="D2024">
        <f>IF(Skills!C21=1,60+Inputs!$B$25+Inputs!$B$29,IF(Skills!C21=2,90+Inputs!$B$26+Inputs!$B$29,IF(Skills!C21=3,120+Inputs!$B$27+Inputs!$B$29,MAX(0,(Inputs!$B$3-100)*3)+Inputs!$B$28+Inputs!$B$29)))</f>
        <v/>
      </c>
      <c r="E2024">
        <f>INDEX(FactorTable!$B$2:$Y$301, MATCH(ROUND(MIN(300,MAX(1,D2024)),0), FactorTable!$A$2:$A$301,0), Skills!M21+1)</f>
        <v/>
      </c>
      <c r="F2024">
        <f>IF(Skills!N21=TRUE,(Skills!L21/10)*(E2024/1000),Skills!L21/10)+Skills!O21</f>
        <v/>
      </c>
      <c r="G2024">
        <f>Skills!G21*IF(Skills!H21&gt;0,INT(IF(Inputs!$B$38="pvp",MIN(Skills!I21,15),Skills!I21)/Skills!H21+0.000000001),1)</f>
        <v/>
      </c>
      <c r="H2024">
        <f>1-(1-Skills!J21/100)^Skills!K21</f>
        <v/>
      </c>
      <c r="I2024" t="inlineStr">
        <is>
          <t>1</t>
        </is>
      </c>
      <c r="J2024" t="inlineStr"/>
      <c r="K2024" t="inlineStr"/>
      <c r="L2024" t="inlineStr"/>
      <c r="M2024" t="inlineStr"/>
      <c r="N2024" t="inlineStr"/>
      <c r="O2024">
        <f>(1-Summary!$B$11)*T2024+Summary!$B$11*V2024</f>
        <v/>
      </c>
      <c r="P2024">
        <f>IF(B2044=0,0,O2024/B2044)</f>
        <v/>
      </c>
      <c r="Q2024" t="n">
        <v>0</v>
      </c>
      <c r="R2024" t="n">
        <v>0</v>
      </c>
      <c r="S2024">
        <f>IFERROR(O2024/N2024,0)</f>
        <v/>
      </c>
      <c r="T2024" t="n">
        <v>0</v>
      </c>
      <c r="V2024" t="n">
        <v>0</v>
      </c>
    </row>
    <row r="2025">
      <c r="A2025">
        <f>Skills!A22</f>
        <v/>
      </c>
      <c r="B2025">
        <f>Skills!B22</f>
        <v/>
      </c>
      <c r="C2025">
        <f>Inputs!$B$3&gt;=43</f>
        <v/>
      </c>
      <c r="D2025">
        <f>IF(Skills!C22=1,60+Inputs!$B$25+Inputs!$B$29,IF(Skills!C22=2,90+Inputs!$B$26+Inputs!$B$29,IF(Skills!C22=3,120+Inputs!$B$27+Inputs!$B$29,MAX(0,(Inputs!$B$3-100)*3)+Inputs!$B$28+Inputs!$B$29)))</f>
        <v/>
      </c>
      <c r="E2025">
        <f>INDEX(FactorTable!$B$2:$Y$301, MATCH(ROUND(MIN(300,MAX(1,D2025)),0), FactorTable!$A$2:$A$301,0), Skills!M22+1)</f>
        <v/>
      </c>
      <c r="F2025">
        <f>IF(Skills!N22=TRUE,(Skills!L22/10)*(E2025/1000),Skills!L22/10)+Skills!O22</f>
        <v/>
      </c>
      <c r="G2025">
        <f>Skills!G22*IF(Skills!H22&gt;0,INT(IF(Inputs!$B$38="pvp",MIN(Skills!I22,15),Skills!I22)/Skills!H22+0.000000001),1)</f>
        <v/>
      </c>
      <c r="H2025">
        <f>1-(1-Skills!J22/100)^Skills!K22</f>
        <v/>
      </c>
      <c r="I2025" t="inlineStr">
        <is>
          <t>1</t>
        </is>
      </c>
      <c r="J2025" t="inlineStr"/>
      <c r="K2025" t="inlineStr"/>
      <c r="L2025" t="inlineStr"/>
      <c r="M2025" t="inlineStr"/>
      <c r="N2025" t="inlineStr"/>
      <c r="O2025">
        <f>(1-Summary!$B$11)*T2025+Summary!$B$11*V2025</f>
        <v/>
      </c>
      <c r="P2025">
        <f>IF(B2044=0,0,O2025/B2044)</f>
        <v/>
      </c>
      <c r="Q2025" t="n">
        <v>0</v>
      </c>
      <c r="R2025" t="n">
        <v>0</v>
      </c>
      <c r="S2025">
        <f>IFERROR(O2025/N2025,0)</f>
        <v/>
      </c>
      <c r="T2025" t="n">
        <v>0</v>
      </c>
      <c r="V2025" t="n">
        <v>0</v>
      </c>
    </row>
    <row r="2026">
      <c r="A2026">
        <f>Skills!A23</f>
        <v/>
      </c>
      <c r="B2026">
        <f>Skills!B23</f>
        <v/>
      </c>
      <c r="C2026">
        <f>Inputs!$B$3&gt;=38</f>
        <v/>
      </c>
      <c r="D2026">
        <f>IF(Skills!C23=1,60+Inputs!$B$25+Inputs!$B$29,IF(Skills!C23=2,90+Inputs!$B$26+Inputs!$B$29,IF(Skills!C23=3,120+Inputs!$B$27+Inputs!$B$29,MAX(0,(Inputs!$B$3-100)*3)+Inputs!$B$28+Inputs!$B$29)))</f>
        <v/>
      </c>
      <c r="E2026">
        <f>INDEX(FactorTable!$B$2:$Y$301, MATCH(ROUND(MIN(300,MAX(1,D2026)),0), FactorTable!$A$2:$A$301,0), Skills!M23+1)</f>
        <v/>
      </c>
      <c r="F2026">
        <f>IF(Skills!N23=TRUE,(Skills!L23/10)*(E2026/1000),Skills!L23/10)+Skills!O23</f>
        <v/>
      </c>
      <c r="G2026">
        <f>Skills!G23*IF(Skills!H23&gt;0,INT(IF(Inputs!$B$38="pvp",MIN(Skills!I23,15),Skills!I23)/Skills!H23+0.000000001),1)</f>
        <v/>
      </c>
      <c r="H2026">
        <f>1-(1-Skills!J23/100)^Skills!K23</f>
        <v/>
      </c>
      <c r="I2026" t="inlineStr">
        <is>
          <t>1</t>
        </is>
      </c>
      <c r="J2026" t="inlineStr"/>
      <c r="K2026" t="inlineStr"/>
      <c r="L2026" t="inlineStr"/>
      <c r="M2026" t="inlineStr"/>
      <c r="N2026" t="inlineStr"/>
      <c r="O2026">
        <f>(1-Summary!$B$11)*T2026+Summary!$B$11*V2026</f>
        <v/>
      </c>
      <c r="P2026">
        <f>IF(B2044=0,0,O2026/B2044)</f>
        <v/>
      </c>
      <c r="Q2026" t="n">
        <v>0</v>
      </c>
      <c r="R2026" t="n">
        <v>0</v>
      </c>
      <c r="S2026">
        <f>IFERROR(O2026/N2026,0)</f>
        <v/>
      </c>
      <c r="T2026" t="n">
        <v>0</v>
      </c>
      <c r="V2026" t="n">
        <v>0</v>
      </c>
    </row>
    <row r="2027">
      <c r="A2027">
        <f>Skills!A24</f>
        <v/>
      </c>
      <c r="B2027">
        <f>Skills!B24</f>
        <v/>
      </c>
      <c r="C2027">
        <f>Inputs!$B$3&gt;=45</f>
        <v/>
      </c>
      <c r="D2027">
        <f>IF(Skills!C24=1,60+Inputs!$B$25+Inputs!$B$29,IF(Skills!C24=2,90+Inputs!$B$26+Inputs!$B$29,IF(Skills!C24=3,120+Inputs!$B$27+Inputs!$B$29,MAX(0,(Inputs!$B$3-100)*3)+Inputs!$B$28+Inputs!$B$29)))</f>
        <v/>
      </c>
      <c r="E2027">
        <f>INDEX(FactorTable!$B$2:$Y$301, MATCH(ROUND(MIN(300,MAX(1,D2027)),0), FactorTable!$A$2:$A$301,0), Skills!M24+1)</f>
        <v/>
      </c>
      <c r="F2027">
        <f>IF(Skills!N24=TRUE,(Skills!L24/10)*(E2027/1000),Skills!L24/10)+Skills!O24</f>
        <v/>
      </c>
      <c r="G2027">
        <f>Skills!G24*IF(Skills!H24&gt;0,INT(IF(Inputs!$B$38="pvp",MIN(Skills!I24,15),Skills!I24)/Skills!H24+0.000000001),1)</f>
        <v/>
      </c>
      <c r="H2027">
        <f>1-(1-Skills!J24/100)^Skills!K24</f>
        <v/>
      </c>
      <c r="I2027" t="inlineStr">
        <is>
          <t>1</t>
        </is>
      </c>
      <c r="J2027" t="inlineStr"/>
      <c r="K2027" t="inlineStr"/>
      <c r="L2027" t="inlineStr"/>
      <c r="M2027" t="inlineStr"/>
      <c r="N2027" t="inlineStr"/>
      <c r="O2027">
        <f>(1-Summary!$B$11)*T2027+Summary!$B$11*V2027</f>
        <v/>
      </c>
      <c r="P2027">
        <f>IF(B2044=0,0,O2027/B2044)</f>
        <v/>
      </c>
      <c r="Q2027" t="n">
        <v>0</v>
      </c>
      <c r="R2027" t="n">
        <v>0</v>
      </c>
      <c r="S2027">
        <f>IFERROR(O2027/N2027,0)</f>
        <v/>
      </c>
      <c r="T2027" t="n">
        <v>0</v>
      </c>
      <c r="V2027" t="n">
        <v>0</v>
      </c>
    </row>
    <row r="2028">
      <c r="A2028">
        <f>Skills!A25</f>
        <v/>
      </c>
      <c r="B2028">
        <f>Skills!B25</f>
        <v/>
      </c>
      <c r="C2028">
        <f>Inputs!$B$3&gt;=72</f>
        <v/>
      </c>
      <c r="D2028">
        <f>IF(Skills!C25=1,60+Inputs!$B$25+Inputs!$B$29,IF(Skills!C25=2,90+Inputs!$B$26+Inputs!$B$29,IF(Skills!C25=3,120+Inputs!$B$27+Inputs!$B$29,MAX(0,(Inputs!$B$3-100)*3)+Inputs!$B$28+Inputs!$B$29)))</f>
        <v/>
      </c>
      <c r="E2028">
        <f>INDEX(FactorTable!$B$2:$Y$301, MATCH(ROUND(MIN(300,MAX(1,D2028)),0), FactorTable!$A$2:$A$301,0), Skills!M25+1)</f>
        <v/>
      </c>
      <c r="F2028">
        <f>IF(Skills!N25=TRUE,(Skills!L25/10)*(E2028/1000),Skills!L25/10)+Skills!O25</f>
        <v/>
      </c>
      <c r="G2028">
        <f>Skills!G25*IF(Skills!H25&gt;0,INT(IF(Inputs!$B$38="pvp",MIN(Skills!I25,15),Skills!I25)/Skills!H25+0.000000001),1)</f>
        <v/>
      </c>
      <c r="H2028">
        <f>1-(1-Skills!J25/100)^Skills!K25</f>
        <v/>
      </c>
      <c r="I2028" t="inlineStr">
        <is>
          <t>1</t>
        </is>
      </c>
      <c r="J2028" t="inlineStr"/>
      <c r="K2028" t="inlineStr"/>
      <c r="L2028" t="inlineStr"/>
      <c r="M2028" t="inlineStr"/>
      <c r="N2028" t="inlineStr"/>
      <c r="O2028">
        <f>(1-Summary!$B$11)*T2028+Summary!$B$11*V2028</f>
        <v/>
      </c>
      <c r="P2028">
        <f>IF(B2044=0,0,O2028/B2044)</f>
        <v/>
      </c>
      <c r="Q2028" t="n">
        <v>0</v>
      </c>
      <c r="R2028" t="n">
        <v>0</v>
      </c>
      <c r="S2028">
        <f>IFERROR(O2028/N2028,0)</f>
        <v/>
      </c>
      <c r="T2028" t="n">
        <v>0</v>
      </c>
      <c r="V2028" t="n">
        <v>0</v>
      </c>
    </row>
    <row r="2029">
      <c r="A2029">
        <f>Skills!A26</f>
        <v/>
      </c>
      <c r="B2029">
        <f>Skills!B26</f>
        <v/>
      </c>
      <c r="C2029">
        <f>Inputs!$B$3&gt;=75</f>
        <v/>
      </c>
      <c r="D2029">
        <f>IF(Skills!C26=1,60+Inputs!$B$25+Inputs!$B$29,IF(Skills!C26=2,90+Inputs!$B$26+Inputs!$B$29,IF(Skills!C26=3,120+Inputs!$B$27+Inputs!$B$29,MAX(0,(Inputs!$B$3-100)*3)+Inputs!$B$28+Inputs!$B$29)))</f>
        <v/>
      </c>
      <c r="E2029">
        <f>INDEX(FactorTable!$B$2:$Y$301, MATCH(ROUND(MIN(300,MAX(1,D2029)),0), FactorTable!$A$2:$A$301,0), Skills!M26+1)</f>
        <v/>
      </c>
      <c r="F2029">
        <f>IF(Skills!N26=TRUE,(Skills!L26/10)*(E2029/1000),Skills!L26/10)+Skills!O26</f>
        <v/>
      </c>
      <c r="G2029">
        <f>Skills!G26*IF(Skills!H26&gt;0,INT(IF(Inputs!$B$38="pvp",MIN(Skills!I26,15),Skills!I26)/Skills!H26+0.000000001),1)</f>
        <v/>
      </c>
      <c r="H2029">
        <f>1-(1-Skills!J26/100)^Skills!K26</f>
        <v/>
      </c>
      <c r="I2029" t="inlineStr">
        <is>
          <t>1</t>
        </is>
      </c>
      <c r="J2029" t="inlineStr"/>
      <c r="K2029" t="inlineStr"/>
      <c r="L2029" t="inlineStr"/>
      <c r="M2029" t="inlineStr"/>
      <c r="N2029" t="inlineStr"/>
      <c r="O2029">
        <f>(1-Summary!$B$11)*T2029+Summary!$B$11*V2029</f>
        <v/>
      </c>
      <c r="P2029">
        <f>IF(B2044=0,0,O2029/B2044)</f>
        <v/>
      </c>
      <c r="Q2029" t="n">
        <v>0</v>
      </c>
      <c r="R2029" t="n">
        <v>0</v>
      </c>
      <c r="S2029">
        <f>IFERROR(O2029/N2029,0)</f>
        <v/>
      </c>
      <c r="T2029" t="n">
        <v>0</v>
      </c>
      <c r="V2029" t="n">
        <v>0</v>
      </c>
    </row>
    <row r="2030">
      <c r="A2030">
        <f>Skills!A27</f>
        <v/>
      </c>
      <c r="B2030">
        <f>Skills!B27</f>
        <v/>
      </c>
      <c r="C2030">
        <f>Inputs!$B$3&gt;=125</f>
        <v/>
      </c>
      <c r="D2030">
        <f>IF(Skills!C27=1,60+Inputs!$B$25+Inputs!$B$29,IF(Skills!C27=2,90+Inputs!$B$26+Inputs!$B$29,IF(Skills!C27=3,120+Inputs!$B$27+Inputs!$B$29,MAX(0,(Inputs!$B$3-100)*3)+Inputs!$B$28+Inputs!$B$29)))</f>
        <v/>
      </c>
      <c r="E2030">
        <f>INDEX(FactorTable!$B$2:$Y$301, MATCH(ROUND(MIN(300,MAX(1,D2030)),0), FactorTable!$A$2:$A$301,0), Skills!M27+1)</f>
        <v/>
      </c>
      <c r="F2030">
        <f>IF(Skills!N27=TRUE,(Skills!L27/10)*(E2030/1000),Skills!L27/10)+Skills!O27</f>
        <v/>
      </c>
      <c r="G2030">
        <f>Skills!G27*IF(Skills!H27&gt;0,INT(IF(Inputs!$B$38="pvp",MIN(Skills!I27,15),Skills!I27)/Skills!H27+0.000000001),1)</f>
        <v/>
      </c>
      <c r="H2030">
        <f>1-(1-Skills!J27/100)^Skills!K27</f>
        <v/>
      </c>
      <c r="I2030" t="inlineStr">
        <is>
          <t>1</t>
        </is>
      </c>
      <c r="J2030" t="inlineStr"/>
      <c r="K2030" t="inlineStr"/>
      <c r="L2030" t="inlineStr"/>
      <c r="M2030" t="inlineStr"/>
      <c r="N2030" t="inlineStr"/>
      <c r="O2030">
        <f>(1-Summary!$B$11)*T2030+Summary!$B$11*V2030</f>
        <v/>
      </c>
      <c r="P2030">
        <f>IF(B2044=0,0,O2030/B2044)</f>
        <v/>
      </c>
      <c r="Q2030" t="n">
        <v>0</v>
      </c>
      <c r="R2030" t="n">
        <v>0</v>
      </c>
      <c r="S2030">
        <f>IFERROR(O2030/N2030,0)</f>
        <v/>
      </c>
      <c r="T2030" t="n">
        <v>0</v>
      </c>
      <c r="V2030" t="n">
        <v>0</v>
      </c>
    </row>
    <row r="2031">
      <c r="A2031">
        <f>Skills!A28</f>
        <v/>
      </c>
      <c r="B2031">
        <f>Skills!B28</f>
        <v/>
      </c>
      <c r="C2031">
        <f>TRUE</f>
        <v/>
      </c>
      <c r="D2031">
        <f>IF(Skills!C28=1,60+Inputs!$B$25+Inputs!$B$29,IF(Skills!C28=2,90+Inputs!$B$26+Inputs!$B$29,IF(Skills!C28=3,120+Inputs!$B$27+Inputs!$B$29,MAX(0,(Inputs!$B$3-100)*3)+Inputs!$B$28+Inputs!$B$29)))</f>
        <v/>
      </c>
      <c r="E2031">
        <f>INDEX(FactorTable!$B$2:$Y$301, MATCH(ROUND(MIN(300,MAX(1,D2031)),0), FactorTable!$A$2:$A$301,0), Skills!M28+1)</f>
        <v/>
      </c>
      <c r="F2031">
        <f>IF(Skills!N28=TRUE,(Skills!L28/10)*(E2031/1000),Skills!L28/10)+Skills!O28</f>
        <v/>
      </c>
      <c r="G2031">
        <f>Skills!G28*IF(Skills!H28&gt;0,INT(IF(Inputs!$B$38="pvp",MIN(Skills!I28,15),Skills!I28)/Skills!H28+0.000000001),1)</f>
        <v/>
      </c>
      <c r="H2031">
        <f>1-(1-Skills!J28/100)^Skills!K28</f>
        <v/>
      </c>
      <c r="I2031" t="inlineStr">
        <is>
          <t>1</t>
        </is>
      </c>
      <c r="J2031" t="inlineStr"/>
      <c r="K2031" t="inlineStr"/>
      <c r="L2031" t="inlineStr"/>
      <c r="M2031" t="inlineStr"/>
      <c r="N2031" t="inlineStr"/>
      <c r="O2031">
        <f>(1-Summary!$B$11)*T2031+Summary!$B$11*V2031</f>
        <v/>
      </c>
      <c r="P2031">
        <f>IF(B2044=0,0,O2031/B2044)</f>
        <v/>
      </c>
      <c r="Q2031">
        <f>IFERROR(1/(IF(Inputs!$B$38="pvp",15,MAX(0.1,Skills!D28-IF(TRUE=TRUE,Inputs!$B$32,0)))*(1-IF(AND(ArtifactsInput!$M$27,Inputs!$B$4="Chapter Hunt"),CHOOSE(ArtifactsInput!$N$27+1,20,24,28,32,36,40),0)/100)),0)</f>
        <v/>
      </c>
      <c r="R2031">
        <f>IF(AND(Inputs!$B$38&lt;&gt;"pvp",Inputs!$B$43&gt;0),IF(Inputs!$B$43&lt;=0,0,(INT(Inputs!$B$43/(IF(Inputs!$B$38="pvp",15,MAX(0.1,Skills!D28-IF(TRUE=TRUE,Inputs!$B$32,0)))*(1-IF(AND(ArtifactsInput!$M$27,Inputs!$B$4="Chapter Hunt"),CHOOSE(ArtifactsInput!$N$27+1,20,24,28,32,36,40),0)/100)))+1)),0)</f>
        <v/>
      </c>
      <c r="S2031">
        <f>IFERROR(O2031/N2031,0)</f>
        <v/>
      </c>
      <c r="T2031" t="n">
        <v>0</v>
      </c>
      <c r="V2031" t="n">
        <v>0</v>
      </c>
    </row>
    <row r="2033">
      <c r="A2033" t="inlineStr">
        <is>
          <t>Attack% Bucket Multiplier</t>
        </is>
      </c>
      <c r="B2033">
        <f>(1+(((C2020=TRUE)*F2020*5/7)+((C2027=TRUE)*(F2027-Calc!F24))+(IF(ArtifactsInput!$M$21,CHOOSE(ArtifactsInput!$N$21+1,25,30,35,40,45,50)*(IF(OR(Inputs!$B$4="Chapter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034">
      <c r="A2034" t="inlineStr">
        <is>
          <t>Global Crit Rate Bonus %</t>
        </is>
      </c>
      <c r="B2034" t="n">
        <v>0</v>
      </c>
    </row>
    <row r="2035">
      <c r="A2035" t="inlineStr">
        <is>
          <t>Attack Speed Buff Bonus % (Nimble Feet, duty-cycle averaged)</t>
        </is>
      </c>
      <c r="B2035">
        <f>((C2031=TRUE)*F2031*IF(AND(Inputs!$B$38&lt;&gt;"pvp",Inputs!$B$43&gt;0),(((R2031-1)*MIN((Skills!T28*(1+Inputs!$B$34/100)),(1/Q2031))+MIN((Skills!T28*(1+Inputs!$B$34/100)),MAX(0,Inputs!$B$43-((R2031-1)*(1/Q2031)))))/Inputs!$B$43),IF(Inputs!$B$38="pvp",MIN((Skills!T28*(1+Inputs!$B$34/100)),15)/15,MIN(1,(Skills!T28*(1+Inputs!$B$34/100))/(1/Q2031)))))</f>
        <v/>
      </c>
    </row>
    <row r="2036">
      <c r="A2036" t="inlineStr">
        <is>
          <t>Actions Per Second</t>
        </is>
      </c>
      <c r="B2036">
        <f>1+MIN(150,150*(1-(1-(Inputs!$B$11+((C2023=TRUE)*(F2023-Calc!F20))+((C2024=TRUE)*(F2024-Calc!F21)))/150)*(1-B2035/150)))/100</f>
        <v/>
      </c>
    </row>
    <row r="2037">
      <c r="A2037" t="inlineStr">
        <is>
          <t>Skill + Buff Cast Rate</t>
        </is>
      </c>
      <c r="B2037">
        <f>IF(AND(Inputs!$B$38&lt;&gt;"pvp",Inputs!$B$43&gt;0),SUMPRODUCT((Skills!E2:E28=TRUE)*(C2005:C2031=TRUE)*R2005:R2031*Skills!F2:F28)/Inputs!$B$43,SUMPRODUCT((Skills!E2:E28=TRUE)*(C2005:C2031=TRUE)*Q2005:Q2031*Skills!F2:F28))</f>
        <v/>
      </c>
    </row>
    <row r="2038">
      <c r="A2038" t="inlineStr">
        <is>
          <t>Eight-Legs Easton Casts Per Second</t>
        </is>
      </c>
      <c r="B2038">
        <f>MAX(0,B2036-B2037)</f>
        <v/>
      </c>
    </row>
    <row r="2039">
      <c r="A2039" t="inlineStr">
        <is>
          <t>Global Critical Damage Bonus % (unused)</t>
        </is>
      </c>
      <c r="B2039" t="n">
        <v>0</v>
      </c>
    </row>
    <row r="2040">
      <c r="A2040" t="inlineStr">
        <is>
          <t>Global Final Damage Bonus % (Jolly Roger + Ahoy Mateys - Final Damage proc)</t>
        </is>
      </c>
      <c r="B2040">
        <f>((C2021=TRUE)*F2021*IF(AND(Inputs!$B$38&lt;&gt;"pvp",Inputs!$B$43&gt;0),(((R2021-1)*MIN((Skills!T18*(1+Inputs!$B$34/100)),(1/Q2021))+MIN((Skills!T18*(1+Inputs!$B$34/100)),MAX(0,Inputs!$B$43-((R2021-1)*(1/Q2021)))))/Inputs!$B$43),IF(Inputs!$B$38="pvp",MIN((Skills!T18*(1+Inputs!$B$34/100)),15)/15,MIN(1,(Skills!T18*(1+Inputs!$B$34/100))/(1/Q2021)))))+IF(Inputs!$B$3&gt;=122,20*IF(Inputs!$B$38="pvp",MIN((20*(1+Inputs!$B$34/100)),15)/15,MIN(1,(20*(1+Inputs!$B$34/100))/(1/Q2007))),0)</f>
        <v/>
      </c>
    </row>
    <row r="2041">
      <c r="A2041" t="inlineStr">
        <is>
          <t>Buff-Casting Startup Delay (s, fixed-duration only)</t>
        </is>
      </c>
      <c r="B2041">
        <f>IF(AND(Inputs!$B$38&lt;&gt;"pvp",Inputs!$B$43&gt;0),SUMPRODUCT((Skills!T2:T28&gt;0)*(Skills!E2:E28=TRUE)*(C2005:C2031=TRUE))/B2036,0)</f>
        <v/>
      </c>
    </row>
    <row r="2042">
      <c r="A2042" t="inlineStr">
        <is>
          <t>Boss-Only Total DPS (this block's swept value)</t>
        </is>
      </c>
      <c r="B2042">
        <f>SUM(T2005:T2031)</f>
        <v/>
      </c>
    </row>
    <row r="2043">
      <c r="A2043" t="inlineStr">
        <is>
          <t>Normal-Only Total DPS (this block's swept value)</t>
        </is>
      </c>
      <c r="B2043">
        <f>SUM(V2005:V2031)</f>
        <v/>
      </c>
    </row>
    <row r="2044">
      <c r="A2044" s="6" t="inlineStr">
        <is>
          <t>TOTAL DPS</t>
        </is>
      </c>
      <c r="B2044" s="6">
        <f>SUM(O2005:O2031)</f>
        <v/>
      </c>
    </row>
    <row r="2045">
      <c r="A2045" t="inlineStr">
        <is>
          <t>Quickdraw cooldown divisor (this block's own APS / Q)</t>
        </is>
      </c>
      <c r="B2045">
        <f>IF(AND(C2030=TRUE,Inputs!$B$38&lt;&gt;"pvp"),1+0.25*MAX(0,(B2036-(((C2006=TRUE)*Q2006*1)+((C2007=TRUE)*Q2007*1)+((C2009=TRUE)*Q2009*1)+((C2010=TRUE)*Q2010*1)+((C2012=TRUE)*Q2012*1)+((C2015=TRUE)*Q2015*1)+((C2021=TRUE)*Q2021*1)+((C2031=TRUE)*Q2031*1))-((C2011=TRUE)/(IF(Inputs!$B$38="pvp",15,MAX(0.1,Skills!D8-IF(TRUE=TRUE,Inputs!$B$32,0)))*(1-IF(AND(ArtifactsInput!$M$27,Inputs!$B$4="Chapter Hunt"),CHOOSE(ArtifactsInput!$N$27+1,20,24,28,32,36,40),0)/100))+(C2014=TRUE)/(IF(Inputs!$B$38="pvp",15,MAX(0.1,Skills!D11-IF(TRUE=TRUE,Inputs!$B$32,0)))*(1-IF(AND(ArtifactsInput!$M$27,Inputs!$B$4="Chapter Hunt"),CHOOSE(ArtifactsInput!$N$27+1,20,24,28,32,36,40),0)/100))))/(1+0.25*((C2011=TRUE)/(IF(Inputs!$B$38="pvp",15,MAX(0.1,Skills!D8-IF(TRUE=TRUE,Inputs!$B$32,0)))*(1-IF(AND(ArtifactsInput!$M$27,Inputs!$B$4="Chapter Hunt"),CHOOSE(ArtifactsInput!$N$27+1,20,24,28,32,36,40),0)/100))+(C2014=TRUE)/(IF(Inputs!$B$38="pvp",15,MAX(0.1,Skills!D11-IF(TRUE=TRUE,Inputs!$B$32,0)))*(1-IF(AND(ArtifactsInput!$M$27,Inputs!$B$4="Chapter Hunt"),CHOOSE(ArtifactsInput!$N$27+1,20,24,28,32,36,40),0)/100))))),1)</f>
        <v/>
      </c>
    </row>
    <row r="2046">
      <c r="A2046" t="inlineStr">
        <is>
          <t>Nautilus Strike - Final Attack trigger rate (this block's own Q/R)</t>
        </is>
      </c>
      <c r="B2046">
        <f>IF(AND(Inputs!$B$38&lt;&gt;"pvp",Inputs!$B$43&gt;0),(((C2006=TRUE)*R2006)+((C2009=TRUE)*R2009)+((C2011=TRUE)*R2011)+((C2012=TRUE)*R2012)+((C2014=TRUE)*R2014))/Inputs!$B$43,((C2006=TRUE)*Q2006)+((C2009=TRUE)*Q2009)+((C2011=TRUE)*Q2011)+((C2012=TRUE)*Q2012)+((C2014=TRUE)*Q2014))+B2038</f>
        <v/>
      </c>
    </row>
    <row r="2049">
      <c r="A2049" s="6" t="inlineStr">
        <is>
          <t>Stat: Book of Ancient (Equip)</t>
        </is>
      </c>
    </row>
    <row r="2050">
      <c r="A2050" s="5" t="inlineStr">
        <is>
          <t>Key</t>
        </is>
      </c>
      <c r="B2050" s="5" t="inlineStr">
        <is>
          <t>Name</t>
        </is>
      </c>
      <c r="C2050" s="5" t="inlineStr">
        <is>
          <t>Unlocked</t>
        </is>
      </c>
      <c r="D2050" s="5" t="inlineStr">
        <is>
          <t>InputLevel</t>
        </is>
      </c>
      <c r="E2050" s="5" t="inlineStr">
        <is>
          <t>Factor</t>
        </is>
      </c>
      <c r="F2050" s="5" t="inlineStr">
        <is>
          <t>CoefficientPercent</t>
        </is>
      </c>
      <c r="G2050" s="5" t="inlineStr">
        <is>
          <t>EffectiveHits</t>
        </is>
      </c>
      <c r="H2050" s="5" t="inlineStr">
        <is>
          <t>ProcProbability</t>
        </is>
      </c>
      <c r="I2050" s="5" t="inlineStr">
        <is>
          <t>MapleHeroMultiplier</t>
        </is>
      </c>
      <c r="J2050" s="5" t="inlineStr">
        <is>
          <t>BaseDamage</t>
        </is>
      </c>
      <c r="K2050" s="5" t="inlineStr">
        <is>
          <t>BaseHitDamage</t>
        </is>
      </c>
      <c r="L2050" s="5" t="inlineStr">
        <is>
          <t>NonCritAvg</t>
        </is>
      </c>
      <c r="M2050" s="5" t="inlineStr">
        <is>
          <t>CritAvg</t>
        </is>
      </c>
      <c r="N2050" s="5" t="inlineStr">
        <is>
          <t>ExpectedDamage(perHit)</t>
        </is>
      </c>
      <c r="O2050" s="5" t="inlineStr">
        <is>
          <t>DPS</t>
        </is>
      </c>
      <c r="P2050" s="5" t="inlineStr">
        <is>
          <t>% of Total</t>
        </is>
      </c>
      <c r="Q2050" s="5" t="inlineStr">
        <is>
          <t>InvCooldown</t>
        </is>
      </c>
      <c r="R2050" s="5" t="inlineStr">
        <is>
          <t>CastsInFight</t>
        </is>
      </c>
      <c r="S2050" s="5" t="inlineStr">
        <is>
          <t>HitRate(perSec)</t>
        </is>
      </c>
      <c r="U2050" t="inlineStr">
        <is>
          <t>helpers</t>
        </is>
      </c>
    </row>
    <row r="2051">
      <c r="A2051">
        <f>Skills!A2</f>
        <v/>
      </c>
      <c r="B2051">
        <f>Skills!B2</f>
        <v/>
      </c>
      <c r="C2051">
        <f>Inputs!$B$3&gt;=100</f>
        <v/>
      </c>
      <c r="D2051" t="inlineStr"/>
      <c r="E2051" t="inlineStr"/>
      <c r="F2051">
        <f>U2053+Skills!O2</f>
        <v/>
      </c>
      <c r="G2051">
        <f>Skills!G2*IF(Skills!H2&gt;0,INT(IF(Inputs!$B$38="pvp",MIN(Skills!I2,15),Skills!I2)/Skills!H2+0.000000001),1)</f>
        <v/>
      </c>
      <c r="H2051">
        <f>1-(1-Skills!J2/100)^Skills!K2</f>
        <v/>
      </c>
      <c r="I2051" t="inlineStr">
        <is>
          <t>1</t>
        </is>
      </c>
      <c r="J2051">
        <f>((Inputs!$B$6*(1+Inputs!$B$7/100))+(((Inputs!$B$12*(1+Inputs!$B$13/100))-(Inputs!$B$12*(1+Inputs!$B$13/100)))+0.25*(Inputs!$B$14-Inputs!$B$14))*(1+Inputs!$B$7/100))*(F2051/100)</f>
        <v/>
      </c>
      <c r="K2051">
        <f>J2051*(1+((Inputs!$B$12*(1+Inputs!$B$13/100))*0.01+Inputs!$B$14*0.0025)/100)*(1+Inputs!$B$15/100)*(1+Inputs!$B$16/100)*(5000/(6000+Inputs!$B$42*(1-(100*(1-(1-(Inputs!$B$19+0)/100)*(1-CHOOSE(ArtifactsInput!$N$40+1,5,6,7,8,9,10)/100)^(ArtifactsInput!$M$40-ArtifactsInput!$M$40)))/100)))*(1+(Inputs!$B$24+((C2075=TRUE)*(F2075-Calc!F26))+B2086)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IGHT_LEGS_EASTON",Inputs!$B$17+((C2072=TRUE)*(F2072-Calc!F23))+((C2076=TRUE)*(F2076-Calc!F27))+((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gt;=100),MIN(100,((Inputs!$B$9+((C2068=TRUE)*(F2068-Calc!F19))+B2080+(IF(ArtifactsInput!$M$24,FALSE,TRUE)-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gt;=100),CHOOSE(ArtifactsInput!$N$42+1,40,48,56,64,72,80),0))))/100)*((1+(((C2066=TRUE)*F2066*5/7)+((C2073=TRUE)*(F2073-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2051)</f>
        <v/>
      </c>
      <c r="L2051">
        <f>K2051*(MIN(Inputs!$B$22+((C2071=TRUE)*(F2071-Calc!F22)),(Inputs!$B$23+0+(IF(ArtifactsInput!$M$15,CHOOSE(ArtifactsInput!$N$15+1,25,30,35,40,45,50)/100*(Inputs!$B$11-Inputs!$B$11),0))))/100+(Inputs!$B$23+0+(IF(ArtifactsInput!$M$15,CHOOSE(ArtifactsInput!$N$15+1,25,30,35,40,45,50)/100*(Inputs!$B$11-Inputs!$B$11),0)))/100)/2</f>
        <v/>
      </c>
      <c r="M2051">
        <f>L2051*(1+(Inputs!$B$10+((C2074=TRUE)*(F2074-Calc!F25))+B2085+((IF(IF(ArtifactsInput!$M$24,FALSE,TRUE),1,-1)*CHOOSE(ArtifactsInput!$N$24+1,30,36,42,48,54,60)/100*IF(IF(ArtifactsInput!$M$24,FALSE,TRUE),(Inputs!$B$9+((C2068=TRUE)*(F2068-Calc!F19))+B2080+(IF(ArtifactsInput!$M$24,FALSE,TRUE)-ArtifactsInput!$M$24)*CHOOSE(ArtifactsInput!$N$24+1,10,12,14,16,18,20)+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nputs!$B$9+Artifacts!$B$5+Artifacts!$B$29)))+IF(ArtifactsInput!$M$10,CHOOSE(ArtifactsInput!$N$10+1,20,24,28,32,36,40)*(IF(Inputs!$B$38="pvp",MIN(15,15)/15,IF(AND(Inputs!$B$38&lt;&gt;"pvp",Inputs!$B$43&gt;0),MIN(15,Inputs!$B$43)/(Inputs!$B$43),0))),0)+IF(ArtifactsInput!$M$31,1.5*CHOOSE(ArtifactsInput!$N$31+1,20,24,28,32,36,40),0)))/100)</f>
        <v/>
      </c>
      <c r="N2051">
        <f>L2051*(1-MIN((Inputs!$B$9+((C2068=TRUE)*(F2068-Calc!F19))+B2080+(IF(ArtifactsInput!$M$24,FALSE,TRUE)-ArtifactsInput!$M$24)*CHOOSE(ArtifactsInput!$N$24+1,10,12,14,16,18,20)+(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2051*(MIN((Inputs!$B$9+((C2068=TRUE)*(F2068-Calc!F19))+B2080+(IF(ArtifactsInput!$M$24,FALSE,TRUE)-ArtifactsInput!$M$24)*CHOOSE(ArtifactsInput!$N$24+1,10,12,14,16,18,20)+(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51">
        <f>(1-Summary!$B$11)*T2051+Summary!$B$11*V2051</f>
        <v/>
      </c>
      <c r="P2051">
        <f>IF(B2090=0,0,O2051/B2090)</f>
        <v/>
      </c>
      <c r="Q2051" t="n">
        <v>0</v>
      </c>
      <c r="R2051" t="n">
        <v>0</v>
      </c>
      <c r="S2051">
        <f>IFERROR(O2051/N2051,0)</f>
        <v/>
      </c>
      <c r="T2051">
        <f>IF(C2051,(Skills!G2*N2051*B2084*(1+IF(C2076=TRUE,1/3,0)))*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Hunt"),CHOOSE(ArtifactsInput!$N$35+1,15,18,21,24,27,30)*(1-EXP(-(0.2*B2082)*5)),0)+IF(AND(ArtifactsInput!$M$22,Inputs!$B$4&lt;&gt;"Chapter Hunt"),CHOOSE(ArtifactsInput!$N$22+1,10,12,14,16,18,20)*((0*(((0.15*B2082*5))^0/1)+1*(((0.15*B2082*5))^1/1)+2*(((0.15*B2082*5))^2/2)+3*(((0.15*B2082*5))^3/6)+4*(((0.15*B2082*5))^4/24)+5*(((0.15*B2082*5))^5/120))/((((0.15*B2082*5))^0/1)+(((0.15*B2082*5))^1/1)+(((0.15*B2082*5))^2/2)+(((0.15*B2082*5))^3/6)+(((0.15*B2082*5))^4/24)+(((0.15*B2082*5))^5/120))),0))+IF(Inputs!$B$3&gt;=54,9*(C2052=TRUE)*MIN(1,8*(1+Inputs!$B$34/100)*Q2052)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2051*(1-MIN(100,(Inputs!$B$9+((C2068=TRUE)*(F2068-Calc!F19))+B2080+(IF(ArtifactsInput!$M$24,FALSE,TRUE)-ArtifactsInput!$M$24)*CHOOSE(ArtifactsInput!$N$24+1,10,12,14,16,18,20)+(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2051*(MIN(100,(Inputs!$B$9+((C2068=TRUE)*(F2068-Calc!F19))+B2080+(IF(ArtifactsInput!$M$24,FALSE,TRUE)-ArtifactsInput!$M$24)*CHOOSE(ArtifactsInput!$N$24+1,10,12,14,16,18,20)+(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2051*(1-MIN(100,(Inputs!$B$9+((C2068=TRUE)*(F2068-Calc!F19))+B2080+(IF(ArtifactsInput!$M$24,FALSE,TRUE)-ArtifactsInput!$M$24)*CHOOSE(ArtifactsInput!$N$24+1,10,12,14,16,18,20)+(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2051*(MIN(100,(Inputs!$B$9+((C2068=TRUE)*(F2068-Calc!F19))+B2080+(IF(ArtifactsInput!$M$24,FALSE,TRUE)-ArtifactsInput!$M$24)*CHOOSE(ArtifactsInput!$N$24+1,10,12,14,16,18,20)+(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051">
        <f>MAX(0,(Inputs!$B$3-100)*3)+Inputs!$B$28+Inputs!$B$29</f>
        <v/>
      </c>
      <c r="V2051">
        <f>IF(C2051,(Skills!G2*N2051*B2084*(1+IF(C2076=TRUE,1/3,0)))*IF(Inputs!$B$38="pvp",1,(1+(Inputs!$B$21+Skills!Q2+(IF(ArtifactsInput!$M$33,CHOOSE(ArtifactsInput!$N$33+1,30,36,42,48,54,60),0))+(IF(AND(ArtifactsInput!$M$35,Inputs!$B$4&lt;&gt;"Chapter Hunt"),CHOOSE(ArtifactsInput!$N$35+1,15,18,21,24,27,30)*(1-EXP(-(0.2*B2082)*5)),0)+IF(AND(ArtifactsInput!$M$22,Inputs!$B$4&lt;&gt;"Chapter Hunt"),CHOOSE(ArtifactsInput!$N$22+1,10,12,14,16,18,20)*((0*(((0.15*B2082*5))^0/1)+1*(((0.15*B2082*5))^1/1)+2*(((0.15*B2082*5))^2/2)+3*(((0.15*B2082*5))^3/6)+4*(((0.15*B2082*5))^4/24)+5*(((0.15*B2082*5))^5/120))/((((0.15*B2082*5))^0/1)+(((0.15*B2082*5))^1/1)+(((0.15*B2082*5))^2/2)+(((0.15*B2082*5))^3/6)+(((0.15*B2082*5))^4/24)+(((0.15*B2082*5))^5/120))),0))+IF(Inputs!$B$3&gt;=54,9*(C2052=TRUE)*MIN(1,8*(1+Inputs!$B$34/100)*Q2052),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52">
      <c r="A2052">
        <f>Skills!A3</f>
        <v/>
      </c>
      <c r="B2052">
        <f>Skills!B3</f>
        <v/>
      </c>
      <c r="C2052">
        <f>Inputs!$B$3&gt;=33</f>
        <v/>
      </c>
      <c r="D2052">
        <f>IF(Skills!C3=1,60+Inputs!$B$25+Inputs!$B$29,IF(Skills!C3=2,90+Inputs!$B$26+Inputs!$B$29,IF(Skills!C3=3,120+Inputs!$B$27+Inputs!$B$29,MAX(0,(Inputs!$B$3-100)*3)+Inputs!$B$28+Inputs!$B$29)))</f>
        <v/>
      </c>
      <c r="E2052">
        <f>INDEX(FactorTable!$B$2:$Y$301, MATCH(ROUND(MIN(300,MAX(1,D2052)),0), FactorTable!$A$2:$A$301,0), Skills!M3+1)</f>
        <v/>
      </c>
      <c r="F2052">
        <f>IF(Skills!N3=TRUE,(Skills!L3/10)*(E2052/1000),Skills!L3/10)+Skills!O3</f>
        <v/>
      </c>
      <c r="G2052">
        <f>Skills!G3*IF(Skills!H3&gt;0,INT(IF(Inputs!$B$38="pvp",MIN(Skills!I3,15),Skills!I3)/Skills!H3+0.000000001),1)</f>
        <v/>
      </c>
      <c r="H2052">
        <f>1-(1-Skills!J3/100)^Skills!K3</f>
        <v/>
      </c>
      <c r="I2052" t="inlineStr">
        <is>
          <t>1</t>
        </is>
      </c>
      <c r="J2052">
        <f>((Inputs!$B$6*(1+Inputs!$B$7/100))+(((Inputs!$B$12*(1+Inputs!$B$13/100))-(Inputs!$B$12*(1+Inputs!$B$13/100)))+0.25*(Inputs!$B$14-Inputs!$B$14))*(1+Inputs!$B$7/100))*(F2052/100)</f>
        <v/>
      </c>
      <c r="K2052">
        <f>J2052*(1+((Inputs!$B$12*(1+Inputs!$B$13/100))*0.01+Inputs!$B$14*0.0025)/100)*(1+Inputs!$B$15/100)*(1+Inputs!$B$16/100)*(5000/(6000+Inputs!$B$42*(1-(100*(1-(1-(Inputs!$B$19+0)/100)*(1-CHOOSE(ArtifactsInput!$N$40+1,5,6,7,8,9,10)/100)^(ArtifactsInput!$M$40-ArtifactsInput!$M$40)))/100)))*(1+(Inputs!$B$24+((C2075=TRUE)*(F2075-Calc!F26))+B2086)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2064=TRUE,F2064,0)/100)*(1+(IF(Skills!A3="EIGHT_LEGS_EASTON",Inputs!$B$17+((C2072=TRUE)*(F2072-Calc!F23))+((C2076=TRUE)*(F2076-Calc!F27))+((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gt;=100),MIN(100,((Inputs!$B$9+((C2068=TRUE)*(F2068-Calc!F19))+B2080+(IF(ArtifactsInput!$M$24,FALSE,TRUE)-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gt;=100),CHOOSE(ArtifactsInput!$N$42+1,40,48,56,64,72,80),0))))/100)*((1+(((C2066=TRUE)*F2066*5/7)+((C2073=TRUE)*(F2073-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2052)</f>
        <v/>
      </c>
      <c r="L2052">
        <f>K2052*(MIN(Inputs!$B$22+((C2071=TRUE)*(F2071-Calc!F22)),(Inputs!$B$23+0+(IF(ArtifactsInput!$M$15,CHOOSE(ArtifactsInput!$N$15+1,25,30,35,40,45,50)/100*(Inputs!$B$11-Inputs!$B$11),0))))/100+(Inputs!$B$23+0+(IF(ArtifactsInput!$M$15,CHOOSE(ArtifactsInput!$N$15+1,25,30,35,40,45,50)/100*(Inputs!$B$11-Inputs!$B$11),0)))/100)/2</f>
        <v/>
      </c>
      <c r="M2052">
        <f>L2052*(1+(Inputs!$B$10+((C2074=TRUE)*(F2074-Calc!F25))+B2085+((IF(IF(ArtifactsInput!$M$24,FALSE,TRUE),1,-1)*CHOOSE(ArtifactsInput!$N$24+1,30,36,42,48,54,60)/100*IF(IF(ArtifactsInput!$M$24,FALSE,TRUE),(Inputs!$B$9+((C2068=TRUE)*(F2068-Calc!F19))+B2080+(IF(ArtifactsInput!$M$24,FALSE,TRUE)-ArtifactsInput!$M$24)*CHOOSE(ArtifactsInput!$N$24+1,10,12,14,16,18,20)+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nputs!$B$9+Artifacts!$B$5+Artifacts!$B$29)))+IF(ArtifactsInput!$M$10,CHOOSE(ArtifactsInput!$N$10+1,20,24,28,32,36,40)*(IF(Inputs!$B$38="pvp",MIN(15,15)/15,IF(AND(Inputs!$B$38&lt;&gt;"pvp",Inputs!$B$43&gt;0),MIN(15,Inputs!$B$43)/(Inputs!$B$43),0))),0)+IF(ArtifactsInput!$M$31,1.5*CHOOSE(ArtifactsInput!$N$31+1,20,24,28,32,36,40),0)))/100)</f>
        <v/>
      </c>
      <c r="N2052">
        <f>L2052*(1-MIN((Inputs!$B$9+((C2068=TRUE)*(F2068-Calc!F19))+B2080+(IF(ArtifactsInput!$M$24,FALSE,TRUE)-ArtifactsInput!$M$24)*CHOOSE(ArtifactsInput!$N$24+1,10,12,14,16,18,20)+(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2052*(MIN((Inputs!$B$9+((C2068=TRUE)*(F2068-Calc!F19))+B2080+(IF(ArtifactsInput!$M$24,FALSE,TRUE)-ArtifactsInput!$M$24)*CHOOSE(ArtifactsInput!$N$24+1,10,12,14,16,18,20)+(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52">
        <f>(1-Summary!$B$11)*T2052+Summary!$B$11*V2052</f>
        <v/>
      </c>
      <c r="P2052">
        <f>IF(B2090=0,0,O2052/B2090)</f>
        <v/>
      </c>
      <c r="Q2052">
        <f>IFERROR(1/(IF(Inputs!$B$38="pvp",15,MAX(0.1,Skills!D3-IF(TRUE=TRUE,Inputs!$B$32,0)))*(1-IF(AND(ArtifactsInput!$M$27,Inputs!$B$4="Chapter Hunt"),CHOOSE(ArtifactsInput!$N$27+1,20,24,28,32,36,40),0)/100)),0)</f>
        <v/>
      </c>
      <c r="R2052">
        <f>IF(AND(Inputs!$B$38&lt;&gt;"pvp",Inputs!$B$43&gt;0),IF(MAX(0,Inputs!$B$43-B2087)&lt;=0,0,(INT(MAX(0,Inputs!$B$43-B2087)/(IF(Inputs!$B$38="pvp",15,MAX(0.1,Skills!D3-IF(TRUE=TRUE,Inputs!$B$32,0)))*(1-IF(AND(ArtifactsInput!$M$27,Inputs!$B$4="Chapter Hunt"),CHOOSE(ArtifactsInput!$N$27+1,20,24,28,32,36,40),0)/100)))+1)),0)</f>
        <v/>
      </c>
      <c r="S2052">
        <f>IFERROR(O2052/N2052,0)</f>
        <v/>
      </c>
      <c r="T2052">
        <f>IF(C2052,(H2052*N2052*IF(AND(Inputs!$B$38&lt;&gt;"pvp",Inputs!$B$43&gt;0),((Skills!G3*((R2052-1)*IF(Skills!H3&gt;0,INT(Skills!I3/Skills!H3+0.000000001),1)+IF(Skills!H3&gt;0,INT(MIN(Skills!I3,MAX(0,MAX(0,Inputs!$B$43-B2087)-((R2052-1)*(IF(Inputs!$B$38="pvp",15,MAX(0.1,Skills!D3-IF(TRUE=TRUE,Inputs!$B$32,0)))*(1-IF(AND(ArtifactsInput!$M$27,Inputs!$B$4="Chapter Hunt"),CHOOSE(ArtifactsInput!$N$27+1,20,24,28,32,36,40),0)/100)))))/Skills!H3+0.000000001),1)))/Inputs!$B$43),G2052*Q2052))*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Hunt"),CHOOSE(ArtifactsInput!$N$35+1,15,18,21,24,27,30)*(1-EXP(-(0.2*B2082)*5)),0)+IF(AND(ArtifactsInput!$M$22,Inputs!$B$4&lt;&gt;"Chapter Hunt"),CHOOSE(ArtifactsInput!$N$22+1,10,12,14,16,18,20)*((0*(((0.15*B2082*5))^0/1)+1*(((0.15*B2082*5))^1/1)+2*(((0.15*B2082*5))^2/2)+3*(((0.15*B2082*5))^3/6)+4*(((0.15*B2082*5))^4/24)+5*(((0.15*B2082*5))^5/120))/((((0.15*B2082*5))^0/1)+(((0.15*B2082*5))^1/1)+(((0.15*B2082*5))^2/2)+(((0.15*B2082*5))^3/6)+(((0.15*B2082*5))^4/24)+(((0.15*B2082*5))^5/120))),0))+IF(Inputs!$B$3&gt;=54,9*(C2052=TRUE)*MIN(1,8*(1+Inputs!$B$34/100)*Q2052)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2052*(1-MIN(100,(Inputs!$B$9+((C2068=TRUE)*(F2068-Calc!F19))+B2080+(IF(ArtifactsInput!$M$24,FALSE,TRUE)-ArtifactsInput!$M$24)*CHOOSE(ArtifactsInput!$N$24+1,10,12,14,16,18,20)+(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2052*(MIN(100,(Inputs!$B$9+((C2068=TRUE)*(F2068-Calc!F19))+B2080+(IF(ArtifactsInput!$M$24,FALSE,TRUE)-ArtifactsInput!$M$24)*CHOOSE(ArtifactsInput!$N$24+1,10,12,14,16,18,20)+(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2052*(1-MIN(100,(Inputs!$B$9+((C2068=TRUE)*(F2068-Calc!F19))+B2080+(IF(ArtifactsInput!$M$24,FALSE,TRUE)-ArtifactsInput!$M$24)*CHOOSE(ArtifactsInput!$N$24+1,10,12,14,16,18,20)+(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2052*(MIN(100,(Inputs!$B$9+((C2068=TRUE)*(F2068-Calc!F19))+B2080+(IF(ArtifactsInput!$M$24,FALSE,TRUE)-ArtifactsInput!$M$24)*CHOOSE(ArtifactsInput!$N$24+1,10,12,14,16,18,20)+(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052">
        <f>INDEX(FactorTable!$B$2:$Y$301, MATCH(ROUND(MIN(300,MAX(1,U2051)),0), FactorTable!$A$2:$A$301,0), 22)</f>
        <v/>
      </c>
      <c r="V2052">
        <f>IF(C2052,(H2052*N2052*IF(AND(Inputs!$B$38&lt;&gt;"pvp",Inputs!$B$43&gt;0),((Skills!G3*((R2052-1)*IF(Skills!H3&gt;0,INT(Skills!I3/Skills!H3+0.000000001),1)+IF(Skills!H3&gt;0,INT(MIN(Skills!I3,MAX(0,MAX(0,Inputs!$B$43-B2087)-((R2052-1)*(IF(Inputs!$B$38="pvp",15,MAX(0.1,Skills!D3-IF(TRUE=TRUE,Inputs!$B$32,0)))*(1-IF(AND(ArtifactsInput!$M$27,Inputs!$B$4="Chapter Hunt"),CHOOSE(ArtifactsInput!$N$27+1,20,24,28,32,36,40),0)/100)))))/Skills!H3+0.000000001),1)))/Inputs!$B$43),G2052*Q2052))*IF(Inputs!$B$38="pvp",1,(1+(Inputs!$B$21+Skills!Q3+(IF(ArtifactsInput!$M$33,CHOOSE(ArtifactsInput!$N$33+1,30,36,42,48,54,60),0))+(IF(AND(ArtifactsInput!$M$35,Inputs!$B$4&lt;&gt;"Chapter Hunt"),CHOOSE(ArtifactsInput!$N$35+1,15,18,21,24,27,30)*(1-EXP(-(0.2*B2082)*5)),0)+IF(AND(ArtifactsInput!$M$22,Inputs!$B$4&lt;&gt;"Chapter Hunt"),CHOOSE(ArtifactsInput!$N$22+1,10,12,14,16,18,20)*((0*(((0.15*B2082*5))^0/1)+1*(((0.15*B2082*5))^1/1)+2*(((0.15*B2082*5))^2/2)+3*(((0.15*B2082*5))^3/6)+4*(((0.15*B2082*5))^4/24)+5*(((0.15*B2082*5))^5/120))/((((0.15*B2082*5))^0/1)+(((0.15*B2082*5))^1/1)+(((0.15*B2082*5))^2/2)+(((0.15*B2082*5))^3/6)+(((0.15*B2082*5))^4/24)+(((0.15*B2082*5))^5/120))),0))+IF(Inputs!$B$3&gt;=54,9*(C2052=TRUE)*MIN(1,8*(1+Inputs!$B$34/100)*Q2052),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53">
      <c r="A2053">
        <f>Skills!A4</f>
        <v/>
      </c>
      <c r="B2053">
        <f>Skills!B4</f>
        <v/>
      </c>
      <c r="C2053">
        <f>Inputs!$B$3&gt;=35</f>
        <v/>
      </c>
      <c r="D2053">
        <f>IF(Skills!C4=1,60+Inputs!$B$25+Inputs!$B$29,IF(Skills!C4=2,90+Inputs!$B$26+Inputs!$B$29,IF(Skills!C4=3,120+Inputs!$B$27+Inputs!$B$29,MAX(0,(Inputs!$B$3-100)*3)+Inputs!$B$28+Inputs!$B$29)))</f>
        <v/>
      </c>
      <c r="E2053">
        <f>INDEX(FactorTable!$B$2:$Y$301, MATCH(ROUND(MIN(300,MAX(1,D2053)),0), FactorTable!$A$2:$A$301,0), Skills!M4+1)</f>
        <v/>
      </c>
      <c r="F2053">
        <f>IF(Skills!N4=TRUE,(Skills!L4/10)*(E2053/1000),Skills!L4/10)+Skills!O4</f>
        <v/>
      </c>
      <c r="G2053">
        <f>Skills!G4*IF(Skills!H4&gt;0,INT(IF(Inputs!$B$38="pvp",MIN(IF(Inputs!$B$3&gt;=104,MIN(35,20*(1+Inputs!$B$34/100)),20),15),IF(Inputs!$B$3&gt;=104,MIN(35,20*(1+Inputs!$B$34/100)),20))/Skills!H4+0.000000001),1)</f>
        <v/>
      </c>
      <c r="H2053">
        <f>1-(1-Skills!J4/100)^Skills!K4</f>
        <v/>
      </c>
      <c r="I2053" t="inlineStr">
        <is>
          <t>1</t>
        </is>
      </c>
      <c r="J2053">
        <f>((Inputs!$B$6*(1+Inputs!$B$7/100))+(((Inputs!$B$12*(1+Inputs!$B$13/100))-(Inputs!$B$12*(1+Inputs!$B$13/100)))+0.25*(Inputs!$B$14-Inputs!$B$14))*(1+Inputs!$B$7/100))*(F2053/100)</f>
        <v/>
      </c>
      <c r="K2053">
        <f>J2053*(1+((Inputs!$B$12*(1+Inputs!$B$13/100))*0.01+Inputs!$B$14*0.0025)/100)*(1+Inputs!$B$15/100)*(1+Inputs!$B$16/100)*(5000/(6000+Inputs!$B$42*(1-(100*(1-(1-(Inputs!$B$19+0)/100)*(1-CHOOSE(ArtifactsInput!$N$40+1,5,6,7,8,9,10)/100)^(ArtifactsInput!$M$40-ArtifactsInput!$M$40)))/100)))*(1+(Inputs!$B$24+((C2075=TRUE)*(F2075-Calc!F26))+B2086)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2065=TRUE,F2065,0)/100)*(1+(IF(Skills!A4="EIGHT_LEGS_EASTON",Inputs!$B$17+((C2072=TRUE)*(F2072-Calc!F23))+((C2076=TRUE)*(F2076-Calc!F27))+((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gt;=100),MIN(100,((Inputs!$B$9+((C2068=TRUE)*(F2068-Calc!F19))+B2080+(IF(ArtifactsInput!$M$24,FALSE,TRUE)-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gt;=100),CHOOSE(ArtifactsInput!$N$42+1,40,48,56,64,72,80),0))))/100)*((1+(((C2066=TRUE)*F2066*5/7)+((C2073=TRUE)*(F2073-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2053)</f>
        <v/>
      </c>
      <c r="L2053">
        <f>K2053*(MIN(Inputs!$B$22+((C2071=TRUE)*(F2071-Calc!F22)),(Inputs!$B$23+0+(IF(ArtifactsInput!$M$15,CHOOSE(ArtifactsInput!$N$15+1,25,30,35,40,45,50)/100*(Inputs!$B$11-Inputs!$B$11),0))))/100+(Inputs!$B$23+0+(IF(ArtifactsInput!$M$15,CHOOSE(ArtifactsInput!$N$15+1,25,30,35,40,45,50)/100*(Inputs!$B$11-Inputs!$B$11),0)))/100)/2</f>
        <v/>
      </c>
      <c r="M2053">
        <f>L2053*(1+(Inputs!$B$10+((C2074=TRUE)*(F2074-Calc!F25))+B2085+((IF(IF(ArtifactsInput!$M$24,FALSE,TRUE),1,-1)*CHOOSE(ArtifactsInput!$N$24+1,30,36,42,48,54,60)/100*IF(IF(ArtifactsInput!$M$24,FALSE,TRUE),(Inputs!$B$9+((C2068=TRUE)*(F2068-Calc!F19))+B2080+(IF(ArtifactsInput!$M$24,FALSE,TRUE)-ArtifactsInput!$M$24)*CHOOSE(ArtifactsInput!$N$24+1,10,12,14,16,18,20)+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nputs!$B$9+Artifacts!$B$5+Artifacts!$B$29)))+IF(ArtifactsInput!$M$10,CHOOSE(ArtifactsInput!$N$10+1,20,24,28,32,36,40)*(IF(Inputs!$B$38="pvp",MIN(15,15)/15,IF(AND(Inputs!$B$38&lt;&gt;"pvp",Inputs!$B$43&gt;0),MIN(15,Inputs!$B$43)/(Inputs!$B$43),0))),0)+IF(ArtifactsInput!$M$31,1.5*CHOOSE(ArtifactsInput!$N$31+1,20,24,28,32,36,40),0)))/100)</f>
        <v/>
      </c>
      <c r="N2053">
        <f>L2053*(1-MIN((Inputs!$B$9+((C2068=TRUE)*(F2068-Calc!F19))+B2080+(IF(ArtifactsInput!$M$24,FALSE,TRUE)-ArtifactsInput!$M$24)*CHOOSE(ArtifactsInput!$N$24+1,10,12,14,16,18,20)+(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2053*(MIN((Inputs!$B$9+((C2068=TRUE)*(F2068-Calc!F19))+B2080+(IF(ArtifactsInput!$M$24,FALSE,TRUE)-ArtifactsInput!$M$24)*CHOOSE(ArtifactsInput!$N$24+1,10,12,14,16,18,20)+(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53">
        <f>(1-Summary!$B$11)*T2053+Summary!$B$11*V2053</f>
        <v/>
      </c>
      <c r="P2053">
        <f>IF(B2090=0,0,O2053/B2090)</f>
        <v/>
      </c>
      <c r="Q2053">
        <f>IFERROR(1/(IF(Inputs!$B$38="pvp",15,MAX(0.1,Skills!D4-IF(TRUE=TRUE,Inputs!$B$32,0)))*(1-IF(AND(ArtifactsInput!$M$27,Inputs!$B$4="Chapter Hunt"),CHOOSE(ArtifactsInput!$N$27+1,20,24,28,32,36,40),0)/100)),0)</f>
        <v/>
      </c>
      <c r="R2053">
        <f>IF(AND(Inputs!$B$38&lt;&gt;"pvp",Inputs!$B$43&gt;0),IF(MAX(0,Inputs!$B$43-B2087)&lt;=0,0,(INT(MAX(0,Inputs!$B$43-B2087)/(IF(Inputs!$B$38="pvp",15,MAX(0.1,Skills!D4-IF(TRUE=TRUE,Inputs!$B$32,0)))*(1-IF(AND(ArtifactsInput!$M$27,Inputs!$B$4="Chapter Hunt"),CHOOSE(ArtifactsInput!$N$27+1,20,24,28,32,36,40),0)/100)))+1)),0)</f>
        <v/>
      </c>
      <c r="S2053">
        <f>IFERROR(O2053/N2053,0)</f>
        <v/>
      </c>
      <c r="T2053">
        <f>IF(C2053,(H2053*N2053*IF(AND(Inputs!$B$38&lt;&gt;"pvp",Inputs!$B$43&gt;0),((Skills!G4*((R2053-1)*IF(Skills!H4&gt;0,INT(IF(Inputs!$B$3&gt;=104,MIN(35,20*(1+Inputs!$B$34/100)),20)/Skills!H4+0.000000001),1)+IF(Skills!H4&gt;0,INT(MIN(IF(Inputs!$B$3&gt;=104,MIN(35,20*(1+Inputs!$B$34/100)),20),MAX(0,MAX(0,Inputs!$B$43-B2087)-((R2053-1)*(IF(Inputs!$B$38="pvp",15,MAX(0.1,Skills!D4-IF(TRUE=TRUE,Inputs!$B$32,0)))*(1-IF(AND(ArtifactsInput!$M$27,Inputs!$B$4="Chapter Hunt"),CHOOSE(ArtifactsInput!$N$27+1,20,24,28,32,36,40),0)/100)))))/Skills!H4+0.000000001),1)))/Inputs!$B$43),G2053*Q2053))*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Hunt"),CHOOSE(ArtifactsInput!$N$35+1,15,18,21,24,27,30)*(1-EXP(-(0.2*B2082)*5)),0)+IF(AND(ArtifactsInput!$M$22,Inputs!$B$4&lt;&gt;"Chapter Hunt"),CHOOSE(ArtifactsInput!$N$22+1,10,12,14,16,18,20)*((0*(((0.15*B2082*5))^0/1)+1*(((0.15*B2082*5))^1/1)+2*(((0.15*B2082*5))^2/2)+3*(((0.15*B2082*5))^3/6)+4*(((0.15*B2082*5))^4/24)+5*(((0.15*B2082*5))^5/120))/((((0.15*B2082*5))^0/1)+(((0.15*B2082*5))^1/1)+(((0.15*B2082*5))^2/2)+(((0.15*B2082*5))^3/6)+(((0.15*B2082*5))^4/24)+(((0.15*B2082*5))^5/120))),0))+IF(Inputs!$B$3&gt;=54,9*(C2052=TRUE)*MIN(1,8*(1+Inputs!$B$34/100)*Q2052)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2053*(1-MIN(100,(Inputs!$B$9+((C2068=TRUE)*(F2068-Calc!F19))+B2080+(IF(ArtifactsInput!$M$24,FALSE,TRUE)-ArtifactsInput!$M$24)*CHOOSE(ArtifactsInput!$N$24+1,10,12,14,16,18,20)+(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2053*(MIN(100,(Inputs!$B$9+((C2068=TRUE)*(F2068-Calc!F19))+B2080+(IF(ArtifactsInput!$M$24,FALSE,TRUE)-ArtifactsInput!$M$24)*CHOOSE(ArtifactsInput!$N$24+1,10,12,14,16,18,20)+(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2053*(1-MIN(100,(Inputs!$B$9+((C2068=TRUE)*(F2068-Calc!F19))+B2080+(IF(ArtifactsInput!$M$24,FALSE,TRUE)-ArtifactsInput!$M$24)*CHOOSE(ArtifactsInput!$N$24+1,10,12,14,16,18,20)+(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2053*(MIN(100,(Inputs!$B$9+((C2068=TRUE)*(F2068-Calc!F19))+B2080+(IF(ArtifactsInput!$M$24,FALSE,TRUE)-ArtifactsInput!$M$24)*CHOOSE(ArtifactsInput!$N$24+1,10,12,14,16,18,20)+(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053">
        <f>290*U2052/1000</f>
        <v/>
      </c>
      <c r="V2053">
        <f>IF(C2053,(H2053*N2053*IF(AND(Inputs!$B$38&lt;&gt;"pvp",Inputs!$B$43&gt;0),((Skills!G4*((R2053-1)*IF(Skills!H4&gt;0,INT(IF(Inputs!$B$3&gt;=104,MIN(35,20*(1+Inputs!$B$34/100)),20)/Skills!H4+0.000000001),1)+IF(Skills!H4&gt;0,INT(MIN(IF(Inputs!$B$3&gt;=104,MIN(35,20*(1+Inputs!$B$34/100)),20),MAX(0,MAX(0,Inputs!$B$43-B2087)-((R2053-1)*(IF(Inputs!$B$38="pvp",15,MAX(0.1,Skills!D4-IF(TRUE=TRUE,Inputs!$B$32,0)))*(1-IF(AND(ArtifactsInput!$M$27,Inputs!$B$4="Chapter Hunt"),CHOOSE(ArtifactsInput!$N$27+1,20,24,28,32,36,40),0)/100)))))/Skills!H4+0.000000001),1)))/Inputs!$B$43),G2053*Q2053))*IF(Inputs!$B$38="pvp",1,(1+(Inputs!$B$21+Skills!Q4+(IF(ArtifactsInput!$M$33,CHOOSE(ArtifactsInput!$N$33+1,30,36,42,48,54,60),0))+(IF(AND(ArtifactsInput!$M$35,Inputs!$B$4&lt;&gt;"Chapter Hunt"),CHOOSE(ArtifactsInput!$N$35+1,15,18,21,24,27,30)*(1-EXP(-(0.2*B2082)*5)),0)+IF(AND(ArtifactsInput!$M$22,Inputs!$B$4&lt;&gt;"Chapter Hunt"),CHOOSE(ArtifactsInput!$N$22+1,10,12,14,16,18,20)*((0*(((0.15*B2082*5))^0/1)+1*(((0.15*B2082*5))^1/1)+2*(((0.15*B2082*5))^2/2)+3*(((0.15*B2082*5))^3/6)+4*(((0.15*B2082*5))^4/24)+5*(((0.15*B2082*5))^5/120))/((((0.15*B2082*5))^0/1)+(((0.15*B2082*5))^1/1)+(((0.15*B2082*5))^2/2)+(((0.15*B2082*5))^3/6)+(((0.15*B2082*5))^4/24)+(((0.15*B2082*5))^5/120))),0))+IF(Inputs!$B$3&gt;=54,9*(C2052=TRUE)*MIN(1,8*(1+Inputs!$B$34/100)*Q2052),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54">
      <c r="A2054">
        <f>Skills!A5</f>
        <v/>
      </c>
      <c r="B2054">
        <f>Skills!B5</f>
        <v/>
      </c>
      <c r="C2054">
        <f>Inputs!$B$3&gt;=69</f>
        <v/>
      </c>
      <c r="D2054">
        <f>IF(Skills!C5=1,60+Inputs!$B$25+Inputs!$B$29,IF(Skills!C5=2,90+Inputs!$B$26+Inputs!$B$29,IF(Skills!C5=3,120+Inputs!$B$27+Inputs!$B$29,MAX(0,(Inputs!$B$3-100)*3)+Inputs!$B$28+Inputs!$B$29)))</f>
        <v/>
      </c>
      <c r="E2054">
        <f>INDEX(FactorTable!$B$2:$Y$301, MATCH(ROUND(MIN(300,MAX(1,D2054)),0), FactorTable!$A$2:$A$301,0), Skills!M5+1)</f>
        <v/>
      </c>
      <c r="F2054">
        <f>IF(Skills!N5=TRUE,(Skills!L5/10)*(E2054/1000),Skills!L5/10)+Skills!O5</f>
        <v/>
      </c>
      <c r="G2054">
        <f>Skills!G5*IF(Skills!H5&gt;0,INT(IF(Inputs!$B$38="pvp",MIN(IF(Inputs!$B$3&gt;=104,MIN(35,20*(1+Inputs!$B$34/100)),20),15),IF(Inputs!$B$3&gt;=104,MIN(35,20*(1+Inputs!$B$34/100)),20))/Skills!H5+0.000000001),1)</f>
        <v/>
      </c>
      <c r="H2054">
        <f>1-(1-Skills!J5/100)^Skills!K5</f>
        <v/>
      </c>
      <c r="I2054" t="inlineStr">
        <is>
          <t>1</t>
        </is>
      </c>
      <c r="J2054">
        <f>((Inputs!$B$6*(1+Inputs!$B$7/100))+(((Inputs!$B$12*(1+Inputs!$B$13/100))-(Inputs!$B$12*(1+Inputs!$B$13/100)))+0.25*(Inputs!$B$14-Inputs!$B$14))*(1+Inputs!$B$7/100))*(F2054/100)</f>
        <v/>
      </c>
      <c r="K2054">
        <f>J2054*(1+((Inputs!$B$12*(1+Inputs!$B$13/100))*0.01+Inputs!$B$14*0.0025)/100)*(1+Inputs!$B$15/100)*(1+Inputs!$B$16/100)*(5000/(6000+Inputs!$B$42*(1-(100*(1-(1-(Inputs!$B$19+0)/100)*(1-CHOOSE(ArtifactsInput!$N$40+1,5,6,7,8,9,10)/100)^(ArtifactsInput!$M$40-ArtifactsInput!$M$40)))/100)))*(1+(Inputs!$B$24+((C2075=TRUE)*(F2075-Calc!F26))+B2086)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+0.4*IF(C2065=TRUE,F2065,0)/100)*(1+(IF(Skills!A5="EIGHT_LEGS_EASTON",Inputs!$B$17+((C2072=TRUE)*(F2072-Calc!F23))+((C2076=TRUE)*(F2076-Calc!F27))+((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gt;=100),MIN(100,((Inputs!$B$9+((C2068=TRUE)*(F2068-Calc!F19))+B2080+(IF(ArtifactsInput!$M$24,FALSE,TRUE)-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gt;=100),CHOOSE(ArtifactsInput!$N$42+1,40,48,56,64,72,80),0))))/100)*((1+(((C2066=TRUE)*F2066*5/7)+((C2073=TRUE)*(F2073-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2054)</f>
        <v/>
      </c>
      <c r="L2054">
        <f>K2054*(MIN(Inputs!$B$22+((C2071=TRUE)*(F2071-Calc!F22)),(Inputs!$B$23+0+(IF(ArtifactsInput!$M$15,CHOOSE(ArtifactsInput!$N$15+1,25,30,35,40,45,50)/100*(Inputs!$B$11-Inputs!$B$11),0))))/100+(Inputs!$B$23+0+(IF(ArtifactsInput!$M$15,CHOOSE(ArtifactsInput!$N$15+1,25,30,35,40,45,50)/100*(Inputs!$B$11-Inputs!$B$11),0)))/100)/2</f>
        <v/>
      </c>
      <c r="M2054">
        <f>L2054*(1+(Inputs!$B$10+((C2074=TRUE)*(F2074-Calc!F25))+B2085+((IF(IF(ArtifactsInput!$M$24,FALSE,TRUE),1,-1)*CHOOSE(ArtifactsInput!$N$24+1,30,36,42,48,54,60)/100*IF(IF(ArtifactsInput!$M$24,FALSE,TRUE),(Inputs!$B$9+((C2068=TRUE)*(F2068-Calc!F19))+B2080+(IF(ArtifactsInput!$M$24,FALSE,TRUE)-ArtifactsInput!$M$24)*CHOOSE(ArtifactsInput!$N$24+1,10,12,14,16,18,20)+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nputs!$B$9+Artifacts!$B$5+Artifacts!$B$29)))+IF(ArtifactsInput!$M$10,CHOOSE(ArtifactsInput!$N$10+1,20,24,28,32,36,40)*(IF(Inputs!$B$38="pvp",MIN(15,15)/15,IF(AND(Inputs!$B$38&lt;&gt;"pvp",Inputs!$B$43&gt;0),MIN(15,Inputs!$B$43)/(Inputs!$B$43),0))),0)+IF(ArtifactsInput!$M$31,1.5*CHOOSE(ArtifactsInput!$N$31+1,20,24,28,32,36,40),0)))/100)</f>
        <v/>
      </c>
      <c r="N2054">
        <f>L2054*(1-MIN((Inputs!$B$9+((C2068=TRUE)*(F2068-Calc!F19))+B2080+(IF(ArtifactsInput!$M$24,FALSE,TRUE)-ArtifactsInput!$M$24)*CHOOSE(ArtifactsInput!$N$24+1,10,12,14,16,18,20)+(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2054*(MIN((Inputs!$B$9+((C2068=TRUE)*(F2068-Calc!F19))+B2080+(IF(ArtifactsInput!$M$24,FALSE,TRUE)-ArtifactsInput!$M$24)*CHOOSE(ArtifactsInput!$N$24+1,10,12,14,16,18,20)+(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54">
        <f>(1-Summary!$B$11)*T2054+Summary!$B$11*V2054</f>
        <v/>
      </c>
      <c r="P2054">
        <f>IF(B2090=0,0,O2054/B2090)</f>
        <v/>
      </c>
      <c r="Q2054">
        <f>IFERROR(1/(IF(Inputs!$B$38="pvp",15,MAX(0.1,Skills!D5-IF(TRUE=TRUE,Inputs!$B$32,0)))*(1-IF(AND(ArtifactsInput!$M$27,Inputs!$B$4="Chapter Hunt"),CHOOSE(ArtifactsInput!$N$27+1,20,24,28,32,36,40),0)/100)),0)</f>
        <v/>
      </c>
      <c r="R2054">
        <f>IF(AND(Inputs!$B$38&lt;&gt;"pvp",Inputs!$B$43&gt;0),IF(MAX(0,Inputs!$B$43-B2087)&lt;=0,0,(INT(MAX(0,Inputs!$B$43-B2087)/(IF(Inputs!$B$38="pvp",15,MAX(0.1,Skills!D5-IF(TRUE=TRUE,Inputs!$B$32,0)))*(1-IF(AND(ArtifactsInput!$M$27,Inputs!$B$4="Chapter Hunt"),CHOOSE(ArtifactsInput!$N$27+1,20,24,28,32,36,40),0)/100)))+1)),0)</f>
        <v/>
      </c>
      <c r="S2054">
        <f>IFERROR(O2054/N2054,0)</f>
        <v/>
      </c>
      <c r="T2054">
        <f>IF(C2054,(H2054*N2054*IF(AND(Inputs!$B$38&lt;&gt;"pvp",Inputs!$B$43&gt;0),((Skills!G5*((R2054-1)*IF(Skills!H5&gt;0,INT(IF(Inputs!$B$3&gt;=104,MIN(35,20*(1+Inputs!$B$34/100)),20)/Skills!H5+0.000000001),1)+IF(Skills!H5&gt;0,INT(MIN(IF(Inputs!$B$3&gt;=104,MIN(35,20*(1+Inputs!$B$34/100)),20),MAX(0,MAX(0,Inputs!$B$43-B2087)-((R2054-1)*(IF(Inputs!$B$38="pvp",15,MAX(0.1,Skills!D5-IF(TRUE=TRUE,Inputs!$B$32,0)))*(1-IF(AND(ArtifactsInput!$M$27,Inputs!$B$4="Chapter Hunt"),CHOOSE(ArtifactsInput!$N$27+1,20,24,28,32,36,40),0)/100)))))/Skills!H5+0.000000001),1)))/Inputs!$B$43),G2054*Q2054))*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Hunt"),CHOOSE(ArtifactsInput!$N$35+1,15,18,21,24,27,30)*(1-EXP(-(0.2*B2082)*5)),0)+IF(AND(ArtifactsInput!$M$22,Inputs!$B$4&lt;&gt;"Chapter Hunt"),CHOOSE(ArtifactsInput!$N$22+1,10,12,14,16,18,20)*((0*(((0.15*B2082*5))^0/1)+1*(((0.15*B2082*5))^1/1)+2*(((0.15*B2082*5))^2/2)+3*(((0.15*B2082*5))^3/6)+4*(((0.15*B2082*5))^4/24)+5*(((0.15*B2082*5))^5/120))/((((0.15*B2082*5))^0/1)+(((0.15*B2082*5))^1/1)+(((0.15*B2082*5))^2/2)+(((0.15*B2082*5))^3/6)+(((0.15*B2082*5))^4/24)+(((0.15*B2082*5))^5/120))),0))+IF(Inputs!$B$3&gt;=54,9*(C2052=TRUE)*MIN(1,8*(1+Inputs!$B$34/100)*Q2052)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2054*(1-MIN(100,(Inputs!$B$9+((C2068=TRUE)*(F2068-Calc!F19))+B2080+(IF(ArtifactsInput!$M$24,FALSE,TRUE)-ArtifactsInput!$M$24)*CHOOSE(ArtifactsInput!$N$24+1,10,12,14,16,18,20)+(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2054*(MIN(100,(Inputs!$B$9+((C2068=TRUE)*(F2068-Calc!F19))+B2080+(IF(ArtifactsInput!$M$24,FALSE,TRUE)-ArtifactsInput!$M$24)*CHOOSE(ArtifactsInput!$N$24+1,10,12,14,16,18,20)+(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2054*(1-MIN(100,(Inputs!$B$9+((C2068=TRUE)*(F2068-Calc!F19))+B2080+(IF(ArtifactsInput!$M$24,FALSE,TRUE)-ArtifactsInput!$M$24)*CHOOSE(ArtifactsInput!$N$24+1,10,12,14,16,18,20)+(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2054*(MIN(100,(Inputs!$B$9+((C2068=TRUE)*(F2068-Calc!F19))+B2080+(IF(ArtifactsInput!$M$24,FALSE,TRUE)-ArtifactsInput!$M$24)*CHOOSE(ArtifactsInput!$N$24+1,10,12,14,16,18,20)+(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054">
        <f>IF(C2054,(H2054*N2054*IF(AND(Inputs!$B$38&lt;&gt;"pvp",Inputs!$B$43&gt;0),((Skills!G5*((R2054-1)*IF(Skills!H5&gt;0,INT(IF(Inputs!$B$3&gt;=104,MIN(35,20*(1+Inputs!$B$34/100)),20)/Skills!H5+0.000000001),1)+IF(Skills!H5&gt;0,INT(MIN(IF(Inputs!$B$3&gt;=104,MIN(35,20*(1+Inputs!$B$34/100)),20),MAX(0,MAX(0,Inputs!$B$43-B2087)-((R2054-1)*(IF(Inputs!$B$38="pvp",15,MAX(0.1,Skills!D5-IF(TRUE=TRUE,Inputs!$B$32,0)))*(1-IF(AND(ArtifactsInput!$M$27,Inputs!$B$4="Chapter Hunt"),CHOOSE(ArtifactsInput!$N$27+1,20,24,28,32,36,40),0)/100)))))/Skills!H5+0.000000001),1)))/Inputs!$B$43),G2054*Q2054))*IF(Inputs!$B$38="pvp",1,(1+(Inputs!$B$21+Skills!Q5+(IF(ArtifactsInput!$M$33,CHOOSE(ArtifactsInput!$N$33+1,30,36,42,48,54,60),0))+(IF(AND(ArtifactsInput!$M$35,Inputs!$B$4&lt;&gt;"Chapter Hunt"),CHOOSE(ArtifactsInput!$N$35+1,15,18,21,24,27,30)*(1-EXP(-(0.2*B2082)*5)),0)+IF(AND(ArtifactsInput!$M$22,Inputs!$B$4&lt;&gt;"Chapter Hunt"),CHOOSE(ArtifactsInput!$N$22+1,10,12,14,16,18,20)*((0*(((0.15*B2082*5))^0/1)+1*(((0.15*B2082*5))^1/1)+2*(((0.15*B2082*5))^2/2)+3*(((0.15*B2082*5))^3/6)+4*(((0.15*B2082*5))^4/24)+5*(((0.15*B2082*5))^5/120))/((((0.15*B2082*5))^0/1)+(((0.15*B2082*5))^1/1)+(((0.15*B2082*5))^2/2)+(((0.15*B2082*5))^3/6)+(((0.15*B2082*5))^4/24)+(((0.15*B2082*5))^5/120))),0))+IF(Inputs!$B$3&gt;=54,9*(C2052=TRUE)*MIN(1,8*(1+Inputs!$B$34/100)*Q2052),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55">
      <c r="A2055">
        <f>Skills!A6</f>
        <v/>
      </c>
      <c r="B2055">
        <f>Skills!B6</f>
        <v/>
      </c>
      <c r="C2055">
        <f>Inputs!$B$3&gt;=66</f>
        <v/>
      </c>
      <c r="D2055">
        <f>IF(Skills!C6=1,60+Inputs!$B$25+Inputs!$B$29,IF(Skills!C6=2,90+Inputs!$B$26+Inputs!$B$29,IF(Skills!C6=3,120+Inputs!$B$27+Inputs!$B$29,MAX(0,(Inputs!$B$3-100)*3)+Inputs!$B$28+Inputs!$B$29)))</f>
        <v/>
      </c>
      <c r="E2055">
        <f>INDEX(FactorTable!$B$2:$Y$301, MATCH(ROUND(MIN(300,MAX(1,D2055)),0), FactorTable!$A$2:$A$301,0), Skills!M6+1)</f>
        <v/>
      </c>
      <c r="F2055">
        <f>IF(Skills!N6=TRUE,(Skills!L6/10)*(E2055/1000),Skills!L6/10)+Skills!O6</f>
        <v/>
      </c>
      <c r="G2055">
        <f>Skills!G6*IF(Skills!H6&gt;0,INT(IF(Inputs!$B$38="pvp",MIN(Skills!I6,15),Skills!I6)/Skills!H6+0.000000001),1)</f>
        <v/>
      </c>
      <c r="H2055">
        <f>1-(1-Skills!J6/100)^Skills!K6</f>
        <v/>
      </c>
      <c r="I2055" t="inlineStr">
        <is>
          <t>1</t>
        </is>
      </c>
      <c r="J2055">
        <f>((Inputs!$B$6*(1+Inputs!$B$7/100))+(((Inputs!$B$12*(1+Inputs!$B$13/100))-(Inputs!$B$12*(1+Inputs!$B$13/100)))+0.25*(Inputs!$B$14-Inputs!$B$14))*(1+Inputs!$B$7/100))*(F2055/100)</f>
        <v/>
      </c>
      <c r="K2055">
        <f>J2055*(1+((Inputs!$B$12*(1+Inputs!$B$13/100))*0.01+Inputs!$B$14*0.0025)/100)*(1+Inputs!$B$15/100)*(1+Inputs!$B$16/100)*(5000/(6000+Inputs!$B$42*(1-(100*(1-(1-(Inputs!$B$19+0)/100)*(1-CHOOSE(ArtifactsInput!$N$40+1,5,6,7,8,9,10)/100)^(ArtifactsInput!$M$40-ArtifactsInput!$M$40)))/100)))*(1+(Inputs!$B$24+((C2075=TRUE)*(F2075-Calc!F26))+B2086)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+2.0*IF(C2064=TRUE,F2064,0)/100)*(1+(IF(Skills!A6="EIGHT_LEGS_EASTON",Inputs!$B$17+((C2072=TRUE)*(F2072-Calc!F23))+((C2076=TRUE)*(F2076-Calc!F27))+((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gt;=100),MIN(100,((Inputs!$B$9+((C2068=TRUE)*(F2068-Calc!F19))+B2080+(IF(ArtifactsInput!$M$24,FALSE,TRUE)-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gt;=100),CHOOSE(ArtifactsInput!$N$42+1,40,48,56,64,72,80),0))))/100)*((1+(((C2066=TRUE)*F2066*5/7)+((C2073=TRUE)*(F2073-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2055)</f>
        <v/>
      </c>
      <c r="L2055">
        <f>K2055*(MIN(Inputs!$B$22+((C2071=TRUE)*(F2071-Calc!F22)),(Inputs!$B$23+0+(IF(ArtifactsInput!$M$15,CHOOSE(ArtifactsInput!$N$15+1,25,30,35,40,45,50)/100*(Inputs!$B$11-Inputs!$B$11),0))))/100+(Inputs!$B$23+0+(IF(ArtifactsInput!$M$15,CHOOSE(ArtifactsInput!$N$15+1,25,30,35,40,45,50)/100*(Inputs!$B$11-Inputs!$B$11),0)))/100)/2</f>
        <v/>
      </c>
      <c r="M2055">
        <f>L2055*(1+(Inputs!$B$10+((C2074=TRUE)*(F2074-Calc!F25))+B2085+((IF(IF(ArtifactsInput!$M$24,FALSE,TRUE),1,-1)*CHOOSE(ArtifactsInput!$N$24+1,30,36,42,48,54,60)/100*IF(IF(ArtifactsInput!$M$24,FALSE,TRUE),(Inputs!$B$9+((C2068=TRUE)*(F2068-Calc!F19))+B2080+(IF(ArtifactsInput!$M$24,FALSE,TRUE)-ArtifactsInput!$M$24)*CHOOSE(ArtifactsInput!$N$24+1,10,12,14,16,18,20)+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nputs!$B$9+Artifacts!$B$5+Artifacts!$B$29)))+IF(ArtifactsInput!$M$10,CHOOSE(ArtifactsInput!$N$10+1,20,24,28,32,36,40)*(IF(Inputs!$B$38="pvp",MIN(15,15)/15,IF(AND(Inputs!$B$38&lt;&gt;"pvp",Inputs!$B$43&gt;0),MIN(15,Inputs!$B$43)/(Inputs!$B$43),0))),0)+IF(ArtifactsInput!$M$31,1.5*CHOOSE(ArtifactsInput!$N$31+1,20,24,28,32,36,40),0)))/100)</f>
        <v/>
      </c>
      <c r="N2055">
        <f>L2055*(1-MIN((Inputs!$B$9+((C2068=TRUE)*(F2068-Calc!F19))+B2080+(IF(ArtifactsInput!$M$24,FALSE,TRUE)-ArtifactsInput!$M$24)*CHOOSE(ArtifactsInput!$N$24+1,10,12,14,16,18,20)+(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2055*(MIN((Inputs!$B$9+((C2068=TRUE)*(F2068-Calc!F19))+B2080+(IF(ArtifactsInput!$M$24,FALSE,TRUE)-ArtifactsInput!$M$24)*CHOOSE(ArtifactsInput!$N$24+1,10,12,14,16,18,20)+(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55">
        <f>(1-Summary!$B$11)*T2055+Summary!$B$11*V2055</f>
        <v/>
      </c>
      <c r="P2055">
        <f>IF(B2090=0,0,O2055/B2090)</f>
        <v/>
      </c>
      <c r="Q2055">
        <f>IFERROR(1/(IF(Inputs!$B$38="pvp",15,MAX(0.1,Skills!D6-IF(TRUE=TRUE,Inputs!$B$32,0)))*(1-IF(AND(ArtifactsInput!$M$27,Inputs!$B$4="Chapter Hunt"),CHOOSE(ArtifactsInput!$N$27+1,20,24,28,32,36,40),0)/100)),0)</f>
        <v/>
      </c>
      <c r="R2055">
        <f>IF(AND(Inputs!$B$38&lt;&gt;"pvp",Inputs!$B$43&gt;0),IF(MAX(0,Inputs!$B$43-B2087)&lt;=0,0,(INT(MAX(0,Inputs!$B$43-B2087)/(IF(Inputs!$B$38="pvp",15,MAX(0.1,Skills!D6-IF(TRUE=TRUE,Inputs!$B$32,0)))*(1-IF(AND(ArtifactsInput!$M$27,Inputs!$B$4="Chapter Hunt"),CHOOSE(ArtifactsInput!$N$27+1,20,24,28,32,36,40),0)/100)))+1)),0)</f>
        <v/>
      </c>
      <c r="S2055">
        <f>IFERROR(O2055/N2055,0)</f>
        <v/>
      </c>
      <c r="T2055">
        <f>IF(C2055,(H2055*N2055*IF(AND(Inputs!$B$38&lt;&gt;"pvp",Inputs!$B$43&gt;0),((Skills!G6*((R2055-1)*IF(Skills!H6&gt;0,INT(Skills!I6/Skills!H6+0.000000001),1)+IF(Skills!H6&gt;0,INT(MIN(Skills!I6,MAX(0,MAX(0,Inputs!$B$43-B2087)-((R2055-1)*(IF(Inputs!$B$38="pvp",15,MAX(0.1,Skills!D6-IF(TRUE=TRUE,Inputs!$B$32,0)))*(1-IF(AND(ArtifactsInput!$M$27,Inputs!$B$4="Chapter Hunt"),CHOOSE(ArtifactsInput!$N$27+1,20,24,28,32,36,40),0)/100)))))/Skills!H6+0.000000001),1)))/Inputs!$B$43),G2055*Q2055))*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Hunt"),CHOOSE(ArtifactsInput!$N$35+1,15,18,21,24,27,30)*(1-EXP(-(0.2*B2082)*5)),0)+IF(AND(ArtifactsInput!$M$22,Inputs!$B$4&lt;&gt;"Chapter Hunt"),CHOOSE(ArtifactsInput!$N$22+1,10,12,14,16,18,20)*((0*(((0.15*B2082*5))^0/1)+1*(((0.15*B2082*5))^1/1)+2*(((0.15*B2082*5))^2/2)+3*(((0.15*B2082*5))^3/6)+4*(((0.15*B2082*5))^4/24)+5*(((0.15*B2082*5))^5/120))/((((0.15*B2082*5))^0/1)+(((0.15*B2082*5))^1/1)+(((0.15*B2082*5))^2/2)+(((0.15*B2082*5))^3/6)+(((0.15*B2082*5))^4/24)+(((0.15*B2082*5))^5/120))),0))+IF(Inputs!$B$3&gt;=54,9*(C2052=TRUE)*MIN(1,8*(1+Inputs!$B$34/100)*Q2052)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2055*(1-MIN(100,(Inputs!$B$9+((C2068=TRUE)*(F2068-Calc!F19))+B2080+(IF(ArtifactsInput!$M$24,FALSE,TRUE)-ArtifactsInput!$M$24)*CHOOSE(ArtifactsInput!$N$24+1,10,12,14,16,18,20)+(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2055*(MIN(100,(Inputs!$B$9+((C2068=TRUE)*(F2068-Calc!F19))+B2080+(IF(ArtifactsInput!$M$24,FALSE,TRUE)-ArtifactsInput!$M$24)*CHOOSE(ArtifactsInput!$N$24+1,10,12,14,16,18,20)+(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2055*(1-MIN(100,(Inputs!$B$9+((C2068=TRUE)*(F2068-Calc!F19))+B2080+(IF(ArtifactsInput!$M$24,FALSE,TRUE)-ArtifactsInput!$M$24)*CHOOSE(ArtifactsInput!$N$24+1,10,12,14,16,18,20)+(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2055*(MIN(100,(Inputs!$B$9+((C2068=TRUE)*(F2068-Calc!F19))+B2080+(IF(ArtifactsInput!$M$24,FALSE,TRUE)-ArtifactsInput!$M$24)*CHOOSE(ArtifactsInput!$N$24+1,10,12,14,16,18,20)+(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055">
        <f>IF(C2055,(H2055*N2055*IF(AND(Inputs!$B$38&lt;&gt;"pvp",Inputs!$B$43&gt;0),((Skills!G6*((R2055-1)*IF(Skills!H6&gt;0,INT(Skills!I6/Skills!H6+0.000000001),1)+IF(Skills!H6&gt;0,INT(MIN(Skills!I6,MAX(0,MAX(0,Inputs!$B$43-B2087)-((R2055-1)*(IF(Inputs!$B$38="pvp",15,MAX(0.1,Skills!D6-IF(TRUE=TRUE,Inputs!$B$32,0)))*(1-IF(AND(ArtifactsInput!$M$27,Inputs!$B$4="Chapter Hunt"),CHOOSE(ArtifactsInput!$N$27+1,20,24,28,32,36,40),0)/100)))))/Skills!H6+0.000000001),1)))/Inputs!$B$43),G2055*Q2055))*IF(Inputs!$B$38="pvp",1,(1+(Inputs!$B$21+Skills!Q6+(IF(ArtifactsInput!$M$33,CHOOSE(ArtifactsInput!$N$33+1,30,36,42,48,54,60),0))+(IF(AND(ArtifactsInput!$M$35,Inputs!$B$4&lt;&gt;"Chapter Hunt"),CHOOSE(ArtifactsInput!$N$35+1,15,18,21,24,27,30)*(1-EXP(-(0.2*B2082)*5)),0)+IF(AND(ArtifactsInput!$M$22,Inputs!$B$4&lt;&gt;"Chapter Hunt"),CHOOSE(ArtifactsInput!$N$22+1,10,12,14,16,18,20)*((0*(((0.15*B2082*5))^0/1)+1*(((0.15*B2082*5))^1/1)+2*(((0.15*B2082*5))^2/2)+3*(((0.15*B2082*5))^3/6)+4*(((0.15*B2082*5))^4/24)+5*(((0.15*B2082*5))^5/120))/((((0.15*B2082*5))^0/1)+(((0.15*B2082*5))^1/1)+(((0.15*B2082*5))^2/2)+(((0.15*B2082*5))^3/6)+(((0.15*B2082*5))^4/24)+(((0.15*B2082*5))^5/120))),0))+IF(Inputs!$B$3&gt;=54,9*(C2052=TRUE)*MIN(1,8*(1+Inputs!$B$34/100)*Q2052),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56">
      <c r="A2056">
        <f>Skills!A7</f>
        <v/>
      </c>
      <c r="B2056">
        <f>Skills!B7</f>
        <v/>
      </c>
      <c r="C2056">
        <f>Inputs!$B$3&gt;=63</f>
        <v/>
      </c>
      <c r="D2056">
        <f>IF(Skills!C7=1,60+Inputs!$B$25+Inputs!$B$29,IF(Skills!C7=2,90+Inputs!$B$26+Inputs!$B$29,IF(Skills!C7=3,120+Inputs!$B$27+Inputs!$B$29,MAX(0,(Inputs!$B$3-100)*3)+Inputs!$B$28+Inputs!$B$29)))</f>
        <v/>
      </c>
      <c r="E2056">
        <f>INDEX(FactorTable!$B$2:$Y$301, MATCH(ROUND(MIN(300,MAX(1,D2056)),0), FactorTable!$A$2:$A$301,0), Skills!M7+1)</f>
        <v/>
      </c>
      <c r="F2056">
        <f>IF(Skills!N7=TRUE,(Skills!L7/10)*(E2056/1000),Skills!L7/10)+Skills!O7</f>
        <v/>
      </c>
      <c r="G2056">
        <f>Skills!G7*IF(Skills!H7&gt;0,INT(IF(Inputs!$B$38="pvp",MIN(Skills!I7,15),Skills!I7)/Skills!H7+0.000000001),1)</f>
        <v/>
      </c>
      <c r="H2056">
        <f>1-(1-Skills!J7/100)^Skills!K7</f>
        <v/>
      </c>
      <c r="I2056" t="inlineStr">
        <is>
          <t>1</t>
        </is>
      </c>
      <c r="J2056">
        <f>((Inputs!$B$6*(1+Inputs!$B$7/100))+(((Inputs!$B$12*(1+Inputs!$B$13/100))-(Inputs!$B$12*(1+Inputs!$B$13/100)))+0.25*(Inputs!$B$14-Inputs!$B$14))*(1+Inputs!$B$7/100))*(F2056/100)</f>
        <v/>
      </c>
      <c r="K2056">
        <f>J2056*(1+((Inputs!$B$12*(1+Inputs!$B$13/100))*0.01+Inputs!$B$14*0.0025)/100)*(1+Inputs!$B$15/100)*(1+Inputs!$B$16/100)*(5000/(6000+Inputs!$B$42*(1-(100*(1-(1-(Inputs!$B$19+0)/100)*(1-CHOOSE(ArtifactsInput!$N$40+1,5,6,7,8,9,10)/100)^(ArtifactsInput!$M$40-ArtifactsInput!$M$40)))/100)))*(1+(Inputs!$B$24+((C2075=TRUE)*(F2075-Calc!F26))+B2086)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2064=TRUE,F2064,0)/100)*(1+(IF(Skills!A7="EIGHT_LEGS_EASTON",Inputs!$B$17+((C2072=TRUE)*(F2072-Calc!F23))+((C2076=TRUE)*(F2076-Calc!F27))+((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gt;=100),MIN(100,((Inputs!$B$9+((C2068=TRUE)*(F2068-Calc!F19))+B2080+(IF(ArtifactsInput!$M$24,FALSE,TRUE)-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gt;=100),CHOOSE(ArtifactsInput!$N$42+1,40,48,56,64,72,80),0))))/100)*((1+(((C2066=TRUE)*F2066*5/7)+((C2073=TRUE)*(F2073-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2056)</f>
        <v/>
      </c>
      <c r="L2056">
        <f>K2056*(MIN(Inputs!$B$22+((C2071=TRUE)*(F2071-Calc!F22)),(Inputs!$B$23+0+(IF(ArtifactsInput!$M$15,CHOOSE(ArtifactsInput!$N$15+1,25,30,35,40,45,50)/100*(Inputs!$B$11-Inputs!$B$11),0))))/100+(Inputs!$B$23+0+(IF(ArtifactsInput!$M$15,CHOOSE(ArtifactsInput!$N$15+1,25,30,35,40,45,50)/100*(Inputs!$B$11-Inputs!$B$11),0)))/100)/2</f>
        <v/>
      </c>
      <c r="M2056">
        <f>L2056*(1+(Inputs!$B$10+((C2074=TRUE)*(F2074-Calc!F25))+B2085+((IF(IF(ArtifactsInput!$M$24,FALSE,TRUE),1,-1)*CHOOSE(ArtifactsInput!$N$24+1,30,36,42,48,54,60)/100*IF(IF(ArtifactsInput!$M$24,FALSE,TRUE),(Inputs!$B$9+((C2068=TRUE)*(F2068-Calc!F19))+B2080+(IF(ArtifactsInput!$M$24,FALSE,TRUE)-ArtifactsInput!$M$24)*CHOOSE(ArtifactsInput!$N$24+1,10,12,14,16,18,20)+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nputs!$B$9+Artifacts!$B$5+Artifacts!$B$29)))+IF(ArtifactsInput!$M$10,CHOOSE(ArtifactsInput!$N$10+1,20,24,28,32,36,40)*(IF(Inputs!$B$38="pvp",MIN(15,15)/15,IF(AND(Inputs!$B$38&lt;&gt;"pvp",Inputs!$B$43&gt;0),MIN(15,Inputs!$B$43)/(Inputs!$B$43),0))),0)+IF(ArtifactsInput!$M$31,1.5*CHOOSE(ArtifactsInput!$N$31+1,20,24,28,32,36,40),0)))/100)</f>
        <v/>
      </c>
      <c r="N2056">
        <f>L2056*(1-MIN((Inputs!$B$9+((C2068=TRUE)*(F2068-Calc!F19))+B2080+(IF(ArtifactsInput!$M$24,FALSE,TRUE)-ArtifactsInput!$M$24)*CHOOSE(ArtifactsInput!$N$24+1,10,12,14,16,18,20)+(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2056*(MIN((Inputs!$B$9+((C2068=TRUE)*(F2068-Calc!F19))+B2080+(IF(ArtifactsInput!$M$24,FALSE,TRUE)-ArtifactsInput!$M$24)*CHOOSE(ArtifactsInput!$N$24+1,10,12,14,16,18,20)+(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56">
        <f>(1-Summary!$B$11)*T2056+Summary!$B$11*V2056</f>
        <v/>
      </c>
      <c r="P2056">
        <f>IF(B2090=0,0,O2056/B2090)</f>
        <v/>
      </c>
      <c r="Q2056">
        <f>IFERROR(1/(IF(Inputs!$B$38="pvp",15,MAX(0.1,Skills!D7-IF(TRUE=TRUE,Inputs!$B$32,0)))*(1-IF(AND(ArtifactsInput!$M$27,Inputs!$B$4="Chapter Hunt"),CHOOSE(ArtifactsInput!$N$27+1,20,24,28,32,36,40),0)/100)),0)</f>
        <v/>
      </c>
      <c r="R2056">
        <f>IF(AND(Inputs!$B$38&lt;&gt;"pvp",Inputs!$B$43&gt;0),IF(MAX(0,Inputs!$B$43-B2087)&lt;=0,0,(INT(MAX(0,Inputs!$B$43-B2087)/(IF(Inputs!$B$38="pvp",15,MAX(0.1,Skills!D7-IF(TRUE=TRUE,Inputs!$B$32,0)))*(1-IF(AND(ArtifactsInput!$M$27,Inputs!$B$4="Chapter Hunt"),CHOOSE(ArtifactsInput!$N$27+1,20,24,28,32,36,40),0)/100)))+1)),0)</f>
        <v/>
      </c>
      <c r="S2056">
        <f>IFERROR(O2056/N2056,0)</f>
        <v/>
      </c>
      <c r="T2056">
        <f>IF(C2056,(H2056*N2056*IF(AND(Inputs!$B$38&lt;&gt;"pvp",Inputs!$B$43&gt;0),((Skills!G7*((R2056-1)*IF(Skills!H7&gt;0,INT(Skills!I7/Skills!H7+0.000000001),1)+IF(Skills!H7&gt;0,INT(MIN(Skills!I7,MAX(0,MAX(0,Inputs!$B$43-B2087)-((R2056-1)*(IF(Inputs!$B$38="pvp",15,MAX(0.1,Skills!D7-IF(TRUE=TRUE,Inputs!$B$32,0)))*(1-IF(AND(ArtifactsInput!$M$27,Inputs!$B$4="Chapter Hunt"),CHOOSE(ArtifactsInput!$N$27+1,20,24,28,32,36,40),0)/100)))))/Skills!H7+0.000000001),1)))/Inputs!$B$43),G2056*Q2056))*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Hunt"),CHOOSE(ArtifactsInput!$N$35+1,15,18,21,24,27,30)*(1-EXP(-(0.2*B2082)*5)),0)+IF(AND(ArtifactsInput!$M$22,Inputs!$B$4&lt;&gt;"Chapter Hunt"),CHOOSE(ArtifactsInput!$N$22+1,10,12,14,16,18,20)*((0*(((0.15*B2082*5))^0/1)+1*(((0.15*B2082*5))^1/1)+2*(((0.15*B2082*5))^2/2)+3*(((0.15*B2082*5))^3/6)+4*(((0.15*B2082*5))^4/24)+5*(((0.15*B2082*5))^5/120))/((((0.15*B2082*5))^0/1)+(((0.15*B2082*5))^1/1)+(((0.15*B2082*5))^2/2)+(((0.15*B2082*5))^3/6)+(((0.15*B2082*5))^4/24)+(((0.15*B2082*5))^5/120))),0))+IF(Inputs!$B$3&gt;=54,9*(C2052=TRUE)*MIN(1,8*(1+Inputs!$B$34/100)*Q2052)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2056*(1-MIN(100,(Inputs!$B$9+((C2068=TRUE)*(F2068-Calc!F19))+B2080+(IF(ArtifactsInput!$M$24,FALSE,TRUE)-ArtifactsInput!$M$24)*CHOOSE(ArtifactsInput!$N$24+1,10,12,14,16,18,20)+(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2056*(MIN(100,(Inputs!$B$9+((C2068=TRUE)*(F2068-Calc!F19))+B2080+(IF(ArtifactsInput!$M$24,FALSE,TRUE)-ArtifactsInput!$M$24)*CHOOSE(ArtifactsInput!$N$24+1,10,12,14,16,18,20)+(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2056*(1-MIN(100,(Inputs!$B$9+((C2068=TRUE)*(F2068-Calc!F19))+B2080+(IF(ArtifactsInput!$M$24,FALSE,TRUE)-ArtifactsInput!$M$24)*CHOOSE(ArtifactsInput!$N$24+1,10,12,14,16,18,20)+(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2056*(MIN(100,(Inputs!$B$9+((C2068=TRUE)*(F2068-Calc!F19))+B2080+(IF(ArtifactsInput!$M$24,FALSE,TRUE)-ArtifactsInput!$M$24)*CHOOSE(ArtifactsInput!$N$24+1,10,12,14,16,18,20)+(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056">
        <f>IF(C2056,(H2056*N2056*IF(AND(Inputs!$B$38&lt;&gt;"pvp",Inputs!$B$43&gt;0),((Skills!G7*((R2056-1)*IF(Skills!H7&gt;0,INT(Skills!I7/Skills!H7+0.000000001),1)+IF(Skills!H7&gt;0,INT(MIN(Skills!I7,MAX(0,MAX(0,Inputs!$B$43-B2087)-((R2056-1)*(IF(Inputs!$B$38="pvp",15,MAX(0.1,Skills!D7-IF(TRUE=TRUE,Inputs!$B$32,0)))*(1-IF(AND(ArtifactsInput!$M$27,Inputs!$B$4="Chapter Hunt"),CHOOSE(ArtifactsInput!$N$27+1,20,24,28,32,36,40),0)/100)))))/Skills!H7+0.000000001),1)))/Inputs!$B$43),G2056*Q2056))*IF(Inputs!$B$38="pvp",1,(1+(Inputs!$B$21+Skills!Q7+(IF(ArtifactsInput!$M$33,CHOOSE(ArtifactsInput!$N$33+1,30,36,42,48,54,60),0))+(IF(AND(ArtifactsInput!$M$35,Inputs!$B$4&lt;&gt;"Chapter Hunt"),CHOOSE(ArtifactsInput!$N$35+1,15,18,21,24,27,30)*(1-EXP(-(0.2*B2082)*5)),0)+IF(AND(ArtifactsInput!$M$22,Inputs!$B$4&lt;&gt;"Chapter Hunt"),CHOOSE(ArtifactsInput!$N$22+1,10,12,14,16,18,20)*((0*(((0.15*B2082*5))^0/1)+1*(((0.15*B2082*5))^1/1)+2*(((0.15*B2082*5))^2/2)+3*(((0.15*B2082*5))^3/6)+4*(((0.15*B2082*5))^4/24)+5*(((0.15*B2082*5))^5/120))/((((0.15*B2082*5))^0/1)+(((0.15*B2082*5))^1/1)+(((0.15*B2082*5))^2/2)+(((0.15*B2082*5))^3/6)+(((0.15*B2082*5))^4/24)+(((0.15*B2082*5))^5/120))),0))+IF(Inputs!$B$3&gt;=54,9*(C2052=TRUE)*MIN(1,8*(1+Inputs!$B$34/100)*Q2052),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57">
      <c r="A2057">
        <f>Skills!A8</f>
        <v/>
      </c>
      <c r="B2057">
        <f>Skills!B8</f>
        <v/>
      </c>
      <c r="C2057">
        <f>Inputs!$B$3&gt;=103</f>
        <v/>
      </c>
      <c r="D2057">
        <f>IF(Skills!C8=1,60+Inputs!$B$25+Inputs!$B$29,IF(Skills!C8=2,90+Inputs!$B$26+Inputs!$B$29,IF(Skills!C8=3,120+Inputs!$B$27+Inputs!$B$29,MAX(0,(Inputs!$B$3-100)*3)+Inputs!$B$28+Inputs!$B$29)))</f>
        <v/>
      </c>
      <c r="E2057">
        <f>INDEX(FactorTable!$B$2:$Y$301, MATCH(ROUND(MIN(300,MAX(1,D2057)),0), FactorTable!$A$2:$A$301,0), Skills!M8+1)</f>
        <v/>
      </c>
      <c r="F2057">
        <f>IF(Skills!N8=TRUE,(Skills!L8/10)*(E2057/1000),Skills!L8/10)+Skills!O8</f>
        <v/>
      </c>
      <c r="G2057">
        <f>Skills!G8*IF(Skills!H8&gt;0,INT(IF(Inputs!$B$38="pvp",MIN(Skills!I8,15),Skills!I8)/Skills!H8+0.000000001),1)</f>
        <v/>
      </c>
      <c r="H2057">
        <f>1-(1-Skills!J8/100)^Skills!K8</f>
        <v/>
      </c>
      <c r="I2057" t="inlineStr">
        <is>
          <t>1</t>
        </is>
      </c>
      <c r="J2057">
        <f>((Inputs!$B$6*(1+Inputs!$B$7/100))+(((Inputs!$B$12*(1+Inputs!$B$13/100))-(Inputs!$B$12*(1+Inputs!$B$13/100)))+0.25*(Inputs!$B$14-Inputs!$B$14))*(1+Inputs!$B$7/100))*(F2057/100)</f>
        <v/>
      </c>
      <c r="K2057">
        <f>J2057*(1+((Inputs!$B$12*(1+Inputs!$B$13/100))*0.01+Inputs!$B$14*0.0025)/100)*(1+Inputs!$B$15/100)*(1+Inputs!$B$16/100)*(5000/(6000+Inputs!$B$42*(1-(100*(1-(1-(Inputs!$B$19+0)/100)*(1-CHOOSE(ArtifactsInput!$N$40+1,5,6,7,8,9,10)/100)^(ArtifactsInput!$M$40-ArtifactsInput!$M$40)))/100)))*(1+(Inputs!$B$24+((C2075=TRUE)*(F2075-Calc!F26))+B2086)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IGHT_LEGS_EASTON",Inputs!$B$17+((C2072=TRUE)*(F2072-Calc!F23))+((C2076=TRUE)*(F2076-Calc!F27))+((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gt;=100),MIN(100,((Inputs!$B$9+((C2068=TRUE)*(F2068-Calc!F19))+B2080+(IF(ArtifactsInput!$M$24,FALSE,TRUE)-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gt;=100),CHOOSE(ArtifactsInput!$N$42+1,40,48,56,64,72,80),0))))/100)*((1+(((C2066=TRUE)*F2066*5/7)+((C2073=TRUE)*(F2073-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2057)</f>
        <v/>
      </c>
      <c r="L2057">
        <f>K2057*(MIN(Inputs!$B$22+((C2071=TRUE)*(F2071-Calc!F22)),(Inputs!$B$23+0+(IF(ArtifactsInput!$M$15,CHOOSE(ArtifactsInput!$N$15+1,25,30,35,40,45,50)/100*(Inputs!$B$11-Inputs!$B$11),0))))/100+(Inputs!$B$23+0+(IF(ArtifactsInput!$M$15,CHOOSE(ArtifactsInput!$N$15+1,25,30,35,40,45,50)/100*(Inputs!$B$11-Inputs!$B$11),0)))/100)/2</f>
        <v/>
      </c>
      <c r="M2057">
        <f>L2057*(1+(Inputs!$B$10+((C2074=TRUE)*(F2074-Calc!F25))+B2085+((IF(IF(ArtifactsInput!$M$24,FALSE,TRUE),1,-1)*CHOOSE(ArtifactsInput!$N$24+1,30,36,42,48,54,60)/100*IF(IF(ArtifactsInput!$M$24,FALSE,TRUE),(Inputs!$B$9+((C2068=TRUE)*(F2068-Calc!F19))+B2080+(IF(ArtifactsInput!$M$24,FALSE,TRUE)-ArtifactsInput!$M$24)*CHOOSE(ArtifactsInput!$N$24+1,10,12,14,16,18,20)+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nputs!$B$9+Artifacts!$B$5+Artifacts!$B$29)))+IF(ArtifactsInput!$M$10,CHOOSE(ArtifactsInput!$N$10+1,20,24,28,32,36,40)*(IF(Inputs!$B$38="pvp",MIN(15,15)/15,IF(AND(Inputs!$B$38&lt;&gt;"pvp",Inputs!$B$43&gt;0),MIN(15,Inputs!$B$43)/(Inputs!$B$43),0))),0)+IF(ArtifactsInput!$M$31,1.5*CHOOSE(ArtifactsInput!$N$31+1,20,24,28,32,36,40),0)))/100)</f>
        <v/>
      </c>
      <c r="N2057">
        <f>L2057*(1-MIN((Inputs!$B$9+((C2068=TRUE)*(F2068-Calc!F19))+B2080+(IF(ArtifactsInput!$M$24,FALSE,TRUE)-ArtifactsInput!$M$24)*CHOOSE(ArtifactsInput!$N$24+1,10,12,14,16,18,20)+(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2057*(MIN((Inputs!$B$9+((C2068=TRUE)*(F2068-Calc!F19))+B2080+(IF(ArtifactsInput!$M$24,FALSE,TRUE)-ArtifactsInput!$M$24)*CHOOSE(ArtifactsInput!$N$24+1,10,12,14,16,18,20)+(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57">
        <f>(1-Summary!$B$11)*T2057+Summary!$B$11*V2057</f>
        <v/>
      </c>
      <c r="P2057">
        <f>IF(B2090=0,0,O2057/B2090)</f>
        <v/>
      </c>
      <c r="Q2057">
        <f>IFERROR(1/((IF(Inputs!$B$38="pvp",15,MAX(0.1,Skills!D8-IF(TRUE=TRUE,Inputs!$B$32,0)))*(1-IF(AND(ArtifactsInput!$M$27,Inputs!$B$4="Chapter Hunt"),CHOOSE(ArtifactsInput!$N$27+1,20,24,28,32,36,40),0)/100))/B2091),0)</f>
        <v/>
      </c>
      <c r="R2057">
        <f>IF(AND(Inputs!$B$38&lt;&gt;"pvp",Inputs!$B$43&gt;0),IF(MAX(0,Inputs!$B$43-B2087)&lt;=0,0,(INT(MAX(0,Inputs!$B$43-B2087)/((IF(Inputs!$B$38="pvp",15,MAX(0.1,Skills!D8-IF(TRUE=TRUE,Inputs!$B$32,0)))*(1-IF(AND(ArtifactsInput!$M$27,Inputs!$B$4="Chapter Hunt"),CHOOSE(ArtifactsInput!$N$27+1,20,24,28,32,36,40),0)/100))/B2091))+1)),0)</f>
        <v/>
      </c>
      <c r="S2057">
        <f>IFERROR(O2057/N2057,0)</f>
        <v/>
      </c>
      <c r="T2057">
        <f>IF(C2057,(H2057*N2057*IF(AND(Inputs!$B$38&lt;&gt;"pvp",Inputs!$B$43&gt;0),((Skills!G8*((R2057-1)*IF(Skills!H8&gt;0,INT(Skills!I8/Skills!H8+0.000000001),1)+IF(Skills!H8&gt;0,INT(MIN(Skills!I8,MAX(0,MAX(0,Inputs!$B$43-B2087)-((R2057-1)*((IF(Inputs!$B$38="pvp",15,MAX(0.1,Skills!D8-IF(TRUE=TRUE,Inputs!$B$32,0)))*(1-IF(AND(ArtifactsInput!$M$27,Inputs!$B$4="Chapter Hunt"),CHOOSE(ArtifactsInput!$N$27+1,20,24,28,32,36,40),0)/100))/B2091))))/Skills!H8+0.000000001),1)))/Inputs!$B$43),G2057*Q2057))*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Hunt"),CHOOSE(ArtifactsInput!$N$35+1,15,18,21,24,27,30)*(1-EXP(-(0.2*B2082)*5)),0)+IF(AND(ArtifactsInput!$M$22,Inputs!$B$4&lt;&gt;"Chapter Hunt"),CHOOSE(ArtifactsInput!$N$22+1,10,12,14,16,18,20)*((0*(((0.15*B2082*5))^0/1)+1*(((0.15*B2082*5))^1/1)+2*(((0.15*B2082*5))^2/2)+3*(((0.15*B2082*5))^3/6)+4*(((0.15*B2082*5))^4/24)+5*(((0.15*B2082*5))^5/120))/((((0.15*B2082*5))^0/1)+(((0.15*B2082*5))^1/1)+(((0.15*B2082*5))^2/2)+(((0.15*B2082*5))^3/6)+(((0.15*B2082*5))^4/24)+(((0.15*B2082*5))^5/120))),0))+IF(Inputs!$B$3&gt;=54,9*(C2052=TRUE)*MIN(1,8*(1+Inputs!$B$34/100)*Q2052)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2057*(1-MIN(100,(Inputs!$B$9+((C2068=TRUE)*(F2068-Calc!F19))+B2080+(IF(ArtifactsInput!$M$24,FALSE,TRUE)-ArtifactsInput!$M$24)*CHOOSE(ArtifactsInput!$N$24+1,10,12,14,16,18,20)+(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2057*(MIN(100,(Inputs!$B$9+((C2068=TRUE)*(F2068-Calc!F19))+B2080+(IF(ArtifactsInput!$M$24,FALSE,TRUE)-ArtifactsInput!$M$24)*CHOOSE(ArtifactsInput!$N$24+1,10,12,14,16,18,20)+(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2057*(1-MIN(100,(Inputs!$B$9+((C2068=TRUE)*(F2068-Calc!F19))+B2080+(IF(ArtifactsInput!$M$24,FALSE,TRUE)-ArtifactsInput!$M$24)*CHOOSE(ArtifactsInput!$N$24+1,10,12,14,16,18,20)+(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2057*(MIN(100,(Inputs!$B$9+((C2068=TRUE)*(F2068-Calc!F19))+B2080+(IF(ArtifactsInput!$M$24,FALSE,TRUE)-ArtifactsInput!$M$24)*CHOOSE(ArtifactsInput!$N$24+1,10,12,14,16,18,20)+(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057">
        <f>IF(C2057,(H2057*N2057*IF(AND(Inputs!$B$38&lt;&gt;"pvp",Inputs!$B$43&gt;0),((Skills!G8*((R2057-1)*IF(Skills!H8&gt;0,INT(Skills!I8/Skills!H8+0.000000001),1)+IF(Skills!H8&gt;0,INT(MIN(Skills!I8,MAX(0,MAX(0,Inputs!$B$43-B2087)-((R2057-1)*((IF(Inputs!$B$38="pvp",15,MAX(0.1,Skills!D8-IF(TRUE=TRUE,Inputs!$B$32,0)))*(1-IF(AND(ArtifactsInput!$M$27,Inputs!$B$4="Chapter Hunt"),CHOOSE(ArtifactsInput!$N$27+1,20,24,28,32,36,40),0)/100))/B2091))))/Skills!H8+0.000000001),1)))/Inputs!$B$43),G2057*Q2057))*IF(Inputs!$B$38="pvp",1,(1+(Inputs!$B$21+Skills!Q8+(IF(ArtifactsInput!$M$33,CHOOSE(ArtifactsInput!$N$33+1,30,36,42,48,54,60),0))+(IF(AND(ArtifactsInput!$M$35,Inputs!$B$4&lt;&gt;"Chapter Hunt"),CHOOSE(ArtifactsInput!$N$35+1,15,18,21,24,27,30)*(1-EXP(-(0.2*B2082)*5)),0)+IF(AND(ArtifactsInput!$M$22,Inputs!$B$4&lt;&gt;"Chapter Hunt"),CHOOSE(ArtifactsInput!$N$22+1,10,12,14,16,18,20)*((0*(((0.15*B2082*5))^0/1)+1*(((0.15*B2082*5))^1/1)+2*(((0.15*B2082*5))^2/2)+3*(((0.15*B2082*5))^3/6)+4*(((0.15*B2082*5))^4/24)+5*(((0.15*B2082*5))^5/120))/((((0.15*B2082*5))^0/1)+(((0.15*B2082*5))^1/1)+(((0.15*B2082*5))^2/2)+(((0.15*B2082*5))^3/6)+(((0.15*B2082*5))^4/24)+(((0.15*B2082*5))^5/120))),0))+IF(Inputs!$B$3&gt;=54,9*(C2052=TRUE)*MIN(1,8*(1+Inputs!$B$34/100)*Q2052),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58">
      <c r="A2058">
        <f>Skills!A9</f>
        <v/>
      </c>
      <c r="B2058">
        <f>Skills!B9</f>
        <v/>
      </c>
      <c r="C2058">
        <f>Inputs!$B$3&gt;=105</f>
        <v/>
      </c>
      <c r="D2058">
        <f>IF(Skills!C9=1,60+Inputs!$B$25+Inputs!$B$29,IF(Skills!C9=2,90+Inputs!$B$26+Inputs!$B$29,IF(Skills!C9=3,120+Inputs!$B$27+Inputs!$B$29,MAX(0,(Inputs!$B$3-100)*3)+Inputs!$B$28+Inputs!$B$29)))</f>
        <v/>
      </c>
      <c r="E2058">
        <f>INDEX(FactorTable!$B$2:$Y$301, MATCH(ROUND(MIN(300,MAX(1,D2058)),0), FactorTable!$A$2:$A$301,0), Skills!M9+1)</f>
        <v/>
      </c>
      <c r="F2058">
        <f>IF(Skills!N9=TRUE,(Skills!L9/10)*(E2058/1000),Skills!L9/10)+Skills!O9</f>
        <v/>
      </c>
      <c r="G2058">
        <f>Skills!G9*IF(Skills!H9&gt;0,INT(IF(Inputs!$B$38="pvp",MIN(Skills!I9,15),Skills!I9)/Skills!H9+0.000000001),1)</f>
        <v/>
      </c>
      <c r="H2058">
        <f>1-(1-Skills!J9/100)^Skills!K9</f>
        <v/>
      </c>
      <c r="I2058" t="inlineStr">
        <is>
          <t>1</t>
        </is>
      </c>
      <c r="J2058">
        <f>((Inputs!$B$6*(1+Inputs!$B$7/100))+(((Inputs!$B$12*(1+Inputs!$B$13/100))-(Inputs!$B$12*(1+Inputs!$B$13/100)))+0.25*(Inputs!$B$14-Inputs!$B$14))*(1+Inputs!$B$7/100))*(F2058/100)</f>
        <v/>
      </c>
      <c r="K2058">
        <f>J2058*(1+((Inputs!$B$12*(1+Inputs!$B$13/100))*0.01+Inputs!$B$14*0.0025)/100)*(1+Inputs!$B$15/100)*(1+Inputs!$B$16/100)*(5000/(6000+Inputs!$B$42*(1-(100*(1-(1-(Inputs!$B$19+0)/100)*(1-CHOOSE(ArtifactsInput!$N$40+1,5,6,7,8,9,10)/100)^(ArtifactsInput!$M$40-ArtifactsInput!$M$40)))/100)))*(1+(Inputs!$B$24+((C2075=TRUE)*(F2075-Calc!F26))+B2086)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IGHT_LEGS_EASTON",Inputs!$B$17+((C2072=TRUE)*(F2072-Calc!F23))+((C2076=TRUE)*(F2076-Calc!F27))+((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gt;=100),MIN(100,((Inputs!$B$9+((C2068=TRUE)*(F2068-Calc!F19))+B2080+(IF(ArtifactsInput!$M$24,FALSE,TRUE)-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gt;=100),CHOOSE(ArtifactsInput!$N$42+1,40,48,56,64,72,80),0))))/100)*((1+(((C2066=TRUE)*F2066*5/7)+((C2073=TRUE)*(F2073-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2058)</f>
        <v/>
      </c>
      <c r="L2058">
        <f>K2058*(MIN(Inputs!$B$22+((C2071=TRUE)*(F2071-Calc!F22)),(Inputs!$B$23+0+(IF(ArtifactsInput!$M$15,CHOOSE(ArtifactsInput!$N$15+1,25,30,35,40,45,50)/100*(Inputs!$B$11-Inputs!$B$11),0))))/100+(Inputs!$B$23+0+(IF(ArtifactsInput!$M$15,CHOOSE(ArtifactsInput!$N$15+1,25,30,35,40,45,50)/100*(Inputs!$B$11-Inputs!$B$11),0)))/100)/2</f>
        <v/>
      </c>
      <c r="M2058">
        <f>L2058*(1+(Inputs!$B$10+((C2074=TRUE)*(F2074-Calc!F25))+B2085+((IF(IF(ArtifactsInput!$M$24,FALSE,TRUE),1,-1)*CHOOSE(ArtifactsInput!$N$24+1,30,36,42,48,54,60)/100*IF(IF(ArtifactsInput!$M$24,FALSE,TRUE),(Inputs!$B$9+((C2068=TRUE)*(F2068-Calc!F19))+B2080+(IF(ArtifactsInput!$M$24,FALSE,TRUE)-ArtifactsInput!$M$24)*CHOOSE(ArtifactsInput!$N$24+1,10,12,14,16,18,20)+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nputs!$B$9+Artifacts!$B$5+Artifacts!$B$29)))+IF(ArtifactsInput!$M$10,CHOOSE(ArtifactsInput!$N$10+1,20,24,28,32,36,40)*(IF(Inputs!$B$38="pvp",MIN(15,15)/15,IF(AND(Inputs!$B$38&lt;&gt;"pvp",Inputs!$B$43&gt;0),MIN(15,Inputs!$B$43)/(Inputs!$B$43),0))),0)+IF(ArtifactsInput!$M$31,1.5*CHOOSE(ArtifactsInput!$N$31+1,20,24,28,32,36,40),0)))/100)</f>
        <v/>
      </c>
      <c r="N2058">
        <f>L2058*(1-MIN((Inputs!$B$9+((C2068=TRUE)*(F2068-Calc!F19))+B2080+(IF(ArtifactsInput!$M$24,FALSE,TRUE)-ArtifactsInput!$M$24)*CHOOSE(ArtifactsInput!$N$24+1,10,12,14,16,18,20)+(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2058*(MIN((Inputs!$B$9+((C2068=TRUE)*(F2068-Calc!F19))+B2080+(IF(ArtifactsInput!$M$24,FALSE,TRUE)-ArtifactsInput!$M$24)*CHOOSE(ArtifactsInput!$N$24+1,10,12,14,16,18,20)+(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58">
        <f>(1-Summary!$B$11)*T2058+Summary!$B$11*V2058</f>
        <v/>
      </c>
      <c r="P2058">
        <f>IF(B2090=0,0,O2058/B2090)</f>
        <v/>
      </c>
      <c r="Q2058">
        <f>IFERROR(1/(IF(Inputs!$B$38="pvp",15,MAX(0.1,Skills!D9-IF(TRUE=TRUE,Inputs!$B$32,0)))*(1-IF(AND(ArtifactsInput!$M$27,Inputs!$B$4="Chapter Hunt"),CHOOSE(ArtifactsInput!$N$27+1,20,24,28,32,36,40),0)/100)),0)</f>
        <v/>
      </c>
      <c r="R2058">
        <f>IF(AND(Inputs!$B$38&lt;&gt;"pvp",Inputs!$B$43&gt;0),IF(MAX(0,Inputs!$B$43-B2087)&lt;=0,0,(INT(MAX(0,Inputs!$B$43-B2087)/(IF(Inputs!$B$38="pvp",15,MAX(0.1,Skills!D9-IF(TRUE=TRUE,Inputs!$B$32,0)))*(1-IF(AND(ArtifactsInput!$M$27,Inputs!$B$4="Chapter Hunt"),CHOOSE(ArtifactsInput!$N$27+1,20,24,28,32,36,40),0)/100)))+1)),0)</f>
        <v/>
      </c>
      <c r="S2058">
        <f>IFERROR(O2058/N2058,0)</f>
        <v/>
      </c>
      <c r="T2058">
        <f>IF(C2058,(H2058*N2058*IF(AND(Inputs!$B$38&lt;&gt;"pvp",Inputs!$B$43&gt;0),((Skills!G9*((R2058-1)*IF(Skills!H9&gt;0,INT(Skills!I9/Skills!H9+0.000000001),1)+IF(Skills!H9&gt;0,INT(MIN(Skills!I9,MAX(0,MAX(0,Inputs!$B$43-B2087)-((R2058-1)*(IF(Inputs!$B$38="pvp",15,MAX(0.1,Skills!D9-IF(TRUE=TRUE,Inputs!$B$32,0)))*(1-IF(AND(ArtifactsInput!$M$27,Inputs!$B$4="Chapter Hunt"),CHOOSE(ArtifactsInput!$N$27+1,20,24,28,32,36,40),0)/100)))))/Skills!H9+0.000000001),1)))/Inputs!$B$43),G2058*Q2058))*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Hunt"),CHOOSE(ArtifactsInput!$N$35+1,15,18,21,24,27,30)*(1-EXP(-(0.2*B2082)*5)),0)+IF(AND(ArtifactsInput!$M$22,Inputs!$B$4&lt;&gt;"Chapter Hunt"),CHOOSE(ArtifactsInput!$N$22+1,10,12,14,16,18,20)*((0*(((0.15*B2082*5))^0/1)+1*(((0.15*B2082*5))^1/1)+2*(((0.15*B2082*5))^2/2)+3*(((0.15*B2082*5))^3/6)+4*(((0.15*B2082*5))^4/24)+5*(((0.15*B2082*5))^5/120))/((((0.15*B2082*5))^0/1)+(((0.15*B2082*5))^1/1)+(((0.15*B2082*5))^2/2)+(((0.15*B2082*5))^3/6)+(((0.15*B2082*5))^4/24)+(((0.15*B2082*5))^5/120))),0))+IF(Inputs!$B$3&gt;=54,9*(C2052=TRUE)*MIN(1,8*(1+Inputs!$B$34/100)*Q2052)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2058*(1-MIN(100,(Inputs!$B$9+((C2068=TRUE)*(F2068-Calc!F19))+B2080+(IF(ArtifactsInput!$M$24,FALSE,TRUE)-ArtifactsInput!$M$24)*CHOOSE(ArtifactsInput!$N$24+1,10,12,14,16,18,20)+(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2058*(MIN(100,(Inputs!$B$9+((C2068=TRUE)*(F2068-Calc!F19))+B2080+(IF(ArtifactsInput!$M$24,FALSE,TRUE)-ArtifactsInput!$M$24)*CHOOSE(ArtifactsInput!$N$24+1,10,12,14,16,18,20)+(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2058*(1-MIN(100,(Inputs!$B$9+((C2068=TRUE)*(F2068-Calc!F19))+B2080+(IF(ArtifactsInput!$M$24,FALSE,TRUE)-ArtifactsInput!$M$24)*CHOOSE(ArtifactsInput!$N$24+1,10,12,14,16,18,20)+(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2058*(MIN(100,(Inputs!$B$9+((C2068=TRUE)*(F2068-Calc!F19))+B2080+(IF(ArtifactsInput!$M$24,FALSE,TRUE)-ArtifactsInput!$M$24)*CHOOSE(ArtifactsInput!$N$24+1,10,12,14,16,18,20)+(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058">
        <f>IF(C2058,(H2058*N2058*IF(AND(Inputs!$B$38&lt;&gt;"pvp",Inputs!$B$43&gt;0),((Skills!G9*((R2058-1)*IF(Skills!H9&gt;0,INT(Skills!I9/Skills!H9+0.000000001),1)+IF(Skills!H9&gt;0,INT(MIN(Skills!I9,MAX(0,MAX(0,Inputs!$B$43-B2087)-((R2058-1)*(IF(Inputs!$B$38="pvp",15,MAX(0.1,Skills!D9-IF(TRUE=TRUE,Inputs!$B$32,0)))*(1-IF(AND(ArtifactsInput!$M$27,Inputs!$B$4="Chapter Hunt"),CHOOSE(ArtifactsInput!$N$27+1,20,24,28,32,36,40),0)/100)))))/Skills!H9+0.000000001),1)))/Inputs!$B$43),G2058*Q2058))*IF(Inputs!$B$38="pvp",1,(1+(Inputs!$B$21+Skills!Q9+(IF(ArtifactsInput!$M$33,CHOOSE(ArtifactsInput!$N$33+1,30,36,42,48,54,60),0))+(IF(AND(ArtifactsInput!$M$35,Inputs!$B$4&lt;&gt;"Chapter Hunt"),CHOOSE(ArtifactsInput!$N$35+1,15,18,21,24,27,30)*(1-EXP(-(0.2*B2082)*5)),0)+IF(AND(ArtifactsInput!$M$22,Inputs!$B$4&lt;&gt;"Chapter Hunt"),CHOOSE(ArtifactsInput!$N$22+1,10,12,14,16,18,20)*((0*(((0.15*B2082*5))^0/1)+1*(((0.15*B2082*5))^1/1)+2*(((0.15*B2082*5))^2/2)+3*(((0.15*B2082*5))^3/6)+4*(((0.15*B2082*5))^4/24)+5*(((0.15*B2082*5))^5/120))/((((0.15*B2082*5))^0/1)+(((0.15*B2082*5))^1/1)+(((0.15*B2082*5))^2/2)+(((0.15*B2082*5))^3/6)+(((0.15*B2082*5))^4/24)+(((0.15*B2082*5))^5/120))),0))+IF(Inputs!$B$3&gt;=54,9*(C2052=TRUE)*MIN(1,8*(1+Inputs!$B$34/100)*Q2052),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59">
      <c r="A2059">
        <f>Skills!A10</f>
        <v/>
      </c>
      <c r="B2059">
        <f>Skills!B10</f>
        <v/>
      </c>
      <c r="C2059">
        <f>Inputs!$B$3&gt;=113</f>
        <v/>
      </c>
      <c r="D2059">
        <f>IF(Skills!C10=1,60+Inputs!$B$25+Inputs!$B$29,IF(Skills!C10=2,90+Inputs!$B$26+Inputs!$B$29,IF(Skills!C10=3,120+Inputs!$B$27+Inputs!$B$29,MAX(0,(Inputs!$B$3-100)*3)+Inputs!$B$28+Inputs!$B$29)))</f>
        <v/>
      </c>
      <c r="E2059">
        <f>INDEX(FactorTable!$B$2:$Y$301, MATCH(ROUND(MIN(300,MAX(1,D2059)),0), FactorTable!$A$2:$A$301,0), Skills!M10+1)</f>
        <v/>
      </c>
      <c r="F2059">
        <f>IF(Skills!N10=TRUE,(Skills!L10/10)*(E2059/1000),Skills!L10/10)+Skills!O10</f>
        <v/>
      </c>
      <c r="G2059">
        <f>Skills!G10*IF(Skills!H10&gt;0,INT(IF(Inputs!$B$38="pvp",MIN(Skills!I10,15),Skills!I10)/Skills!H10+0.000000001),1)</f>
        <v/>
      </c>
      <c r="H2059">
        <f>1-(1-Skills!J10/100)^Skills!K10</f>
        <v/>
      </c>
      <c r="I2059" t="inlineStr">
        <is>
          <t>1</t>
        </is>
      </c>
      <c r="J2059">
        <f>((Inputs!$B$6*(1+Inputs!$B$7/100))+(((Inputs!$B$12*(1+Inputs!$B$13/100))-(Inputs!$B$12*(1+Inputs!$B$13/100)))+0.25*(Inputs!$B$14-Inputs!$B$14))*(1+Inputs!$B$7/100))*(F2059/100)</f>
        <v/>
      </c>
      <c r="K2059">
        <f>J2059*(1+((Inputs!$B$12*(1+Inputs!$B$13/100))*0.01+Inputs!$B$14*0.0025)/100)*(1+Inputs!$B$15/100)*(1+Inputs!$B$16/100)*(5000/(6000+Inputs!$B$42*(1-(100*(1-(1-(Inputs!$B$19+0)/100)*(1-CHOOSE(ArtifactsInput!$N$40+1,5,6,7,8,9,10)/100)^(ArtifactsInput!$M$40-ArtifactsInput!$M$40)))/100)))*(1+(Inputs!$B$24+((C2075=TRUE)*(F2075-Calc!F26))+B2086)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IGHT_LEGS_EASTON",Inputs!$B$17+((C2072=TRUE)*(F2072-Calc!F23))+((C2076=TRUE)*(F2076-Calc!F27))+((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gt;=100),MIN(100,((Inputs!$B$9+((C2068=TRUE)*(F2068-Calc!F19))+B2080+(IF(ArtifactsInput!$M$24,FALSE,TRUE)-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gt;=100),CHOOSE(ArtifactsInput!$N$42+1,40,48,56,64,72,80),0))))/100)*((1+(((C2066=TRUE)*F2066*5/7)+((C2073=TRUE)*(F2073-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2059)</f>
        <v/>
      </c>
      <c r="L2059">
        <f>K2059*(MIN(Inputs!$B$22+((C2071=TRUE)*(F2071-Calc!F22)),(Inputs!$B$23+0+(IF(ArtifactsInput!$M$15,CHOOSE(ArtifactsInput!$N$15+1,25,30,35,40,45,50)/100*(Inputs!$B$11-Inputs!$B$11),0))))/100+(Inputs!$B$23+0+(IF(ArtifactsInput!$M$15,CHOOSE(ArtifactsInput!$N$15+1,25,30,35,40,45,50)/100*(Inputs!$B$11-Inputs!$B$11),0)))/100)/2</f>
        <v/>
      </c>
      <c r="M2059">
        <f>L2059*(1+(Inputs!$B$10+((C2074=TRUE)*(F2074-Calc!F25))+B2085+((IF(IF(ArtifactsInput!$M$24,FALSE,TRUE),1,-1)*CHOOSE(ArtifactsInput!$N$24+1,30,36,42,48,54,60)/100*IF(IF(ArtifactsInput!$M$24,FALSE,TRUE),(Inputs!$B$9+((C2068=TRUE)*(F2068-Calc!F19))+B2080+(IF(ArtifactsInput!$M$24,FALSE,TRUE)-ArtifactsInput!$M$24)*CHOOSE(ArtifactsInput!$N$24+1,10,12,14,16,18,20)+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nputs!$B$9+Artifacts!$B$5+Artifacts!$B$29)))+IF(ArtifactsInput!$M$10,CHOOSE(ArtifactsInput!$N$10+1,20,24,28,32,36,40)*(IF(Inputs!$B$38="pvp",MIN(15,15)/15,IF(AND(Inputs!$B$38&lt;&gt;"pvp",Inputs!$B$43&gt;0),MIN(15,Inputs!$B$43)/(Inputs!$B$43),0))),0)+IF(ArtifactsInput!$M$31,1.5*CHOOSE(ArtifactsInput!$N$31+1,20,24,28,32,36,40),0)))/100)</f>
        <v/>
      </c>
      <c r="N2059">
        <f>L2059*(1-MIN((Inputs!$B$9+((C2068=TRUE)*(F2068-Calc!F19))+B2080+(IF(ArtifactsInput!$M$24,FALSE,TRUE)-ArtifactsInput!$M$24)*CHOOSE(ArtifactsInput!$N$24+1,10,12,14,16,18,20)+(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2059*(MIN((Inputs!$B$9+((C2068=TRUE)*(F2068-Calc!F19))+B2080+(IF(ArtifactsInput!$M$24,FALSE,TRUE)-ArtifactsInput!$M$24)*CHOOSE(ArtifactsInput!$N$24+1,10,12,14,16,18,20)+(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59">
        <f>(1-Summary!$B$11)*T2059+Summary!$B$11*V2059</f>
        <v/>
      </c>
      <c r="P2059">
        <f>IF(B2090=0,0,O2059/B2090)</f>
        <v/>
      </c>
      <c r="Q2059" t="n">
        <v>0</v>
      </c>
      <c r="R2059" t="n">
        <v>0</v>
      </c>
      <c r="S2059">
        <f>IFERROR(O2059/N2059,0)</f>
        <v/>
      </c>
      <c r="T2059">
        <f>IF(C2059,((H2059*B2092)/(1+Skills!H10*H2059*B2092)*N2059)*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Hunt"),CHOOSE(ArtifactsInput!$N$35+1,15,18,21,24,27,30)*(1-EXP(-(0.2*B2082)*5)),0)+IF(AND(ArtifactsInput!$M$22,Inputs!$B$4&lt;&gt;"Chapter Hunt"),CHOOSE(ArtifactsInput!$N$22+1,10,12,14,16,18,20)*((0*(((0.15*B2082*5))^0/1)+1*(((0.15*B2082*5))^1/1)+2*(((0.15*B2082*5))^2/2)+3*(((0.15*B2082*5))^3/6)+4*(((0.15*B2082*5))^4/24)+5*(((0.15*B2082*5))^5/120))/((((0.15*B2082*5))^0/1)+(((0.15*B2082*5))^1/1)+(((0.15*B2082*5))^2/2)+(((0.15*B2082*5))^3/6)+(((0.15*B2082*5))^4/24)+(((0.15*B2082*5))^5/120))),0))+IF(Inputs!$B$3&gt;=54,9*(C2052=TRUE)*MIN(1,8*(1+Inputs!$B$34/100)*Q2052)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2059*(1-MIN(100,(Inputs!$B$9+((C2068=TRUE)*(F2068-Calc!F19))+B2080+(IF(ArtifactsInput!$M$24,FALSE,TRUE)-ArtifactsInput!$M$24)*CHOOSE(ArtifactsInput!$N$24+1,10,12,14,16,18,20)+(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2059*(MIN(100,(Inputs!$B$9+((C2068=TRUE)*(F2068-Calc!F19))+B2080+(IF(ArtifactsInput!$M$24,FALSE,TRUE)-ArtifactsInput!$M$24)*CHOOSE(ArtifactsInput!$N$24+1,10,12,14,16,18,20)+(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2059*(1-MIN(100,(Inputs!$B$9+((C2068=TRUE)*(F2068-Calc!F19))+B2080+(IF(ArtifactsInput!$M$24,FALSE,TRUE)-ArtifactsInput!$M$24)*CHOOSE(ArtifactsInput!$N$24+1,10,12,14,16,18,20)+(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2059*(MIN(100,(Inputs!$B$9+((C2068=TRUE)*(F2068-Calc!F19))+B2080+(IF(ArtifactsInput!$M$24,FALSE,TRUE)-ArtifactsInput!$M$24)*CHOOSE(ArtifactsInput!$N$24+1,10,12,14,16,18,20)+(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059">
        <f>IF(C2059,((H2059*B2092)/(1+Skills!H10*H2059*B2092)*N2059)*IF(Inputs!$B$38="pvp",1,(1+(Inputs!$B$21+Skills!Q10+(IF(ArtifactsInput!$M$33,CHOOSE(ArtifactsInput!$N$33+1,30,36,42,48,54,60),0))+(IF(AND(ArtifactsInput!$M$35,Inputs!$B$4&lt;&gt;"Chapter Hunt"),CHOOSE(ArtifactsInput!$N$35+1,15,18,21,24,27,30)*(1-EXP(-(0.2*B2082)*5)),0)+IF(AND(ArtifactsInput!$M$22,Inputs!$B$4&lt;&gt;"Chapter Hunt"),CHOOSE(ArtifactsInput!$N$22+1,10,12,14,16,18,20)*((0*(((0.15*B2082*5))^0/1)+1*(((0.15*B2082*5))^1/1)+2*(((0.15*B2082*5))^2/2)+3*(((0.15*B2082*5))^3/6)+4*(((0.15*B2082*5))^4/24)+5*(((0.15*B2082*5))^5/120))/((((0.15*B2082*5))^0/1)+(((0.15*B2082*5))^1/1)+(((0.15*B2082*5))^2/2)+(((0.15*B2082*5))^3/6)+(((0.15*B2082*5))^4/24)+(((0.15*B2082*5))^5/120))),0))+IF(Inputs!$B$3&gt;=54,9*(C2052=TRUE)*MIN(1,8*(1+Inputs!$B$34/100)*Q2052),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60">
      <c r="A2060">
        <f>Skills!A11</f>
        <v/>
      </c>
      <c r="B2060">
        <f>Skills!B11</f>
        <v/>
      </c>
      <c r="C2060">
        <f>Inputs!$B$3&gt;=117</f>
        <v/>
      </c>
      <c r="D2060">
        <f>IF(Skills!C11=1,60+Inputs!$B$25+Inputs!$B$29,IF(Skills!C11=2,90+Inputs!$B$26+Inputs!$B$29,IF(Skills!C11=3,120+Inputs!$B$27+Inputs!$B$29,MAX(0,(Inputs!$B$3-100)*3)+Inputs!$B$28+Inputs!$B$29)))</f>
        <v/>
      </c>
      <c r="E2060">
        <f>INDEX(FactorTable!$B$2:$Y$301, MATCH(ROUND(MIN(300,MAX(1,D2060)),0), FactorTable!$A$2:$A$301,0), Skills!M11+1)</f>
        <v/>
      </c>
      <c r="F2060">
        <f>IF(Skills!N11=TRUE,(Skills!L11/10)*(E2060/1000),Skills!L11/10)+Skills!O11</f>
        <v/>
      </c>
      <c r="G2060">
        <f>Skills!G11*IF(Skills!H11&gt;0,INT(IF(Inputs!$B$38="pvp",MIN(Skills!I11,15),Skills!I11)/Skills!H11+0.000000001),1)</f>
        <v/>
      </c>
      <c r="H2060">
        <f>1-(1-Skills!J11/100)^Skills!K11</f>
        <v/>
      </c>
      <c r="I2060" t="inlineStr">
        <is>
          <t>1</t>
        </is>
      </c>
      <c r="J2060">
        <f>((Inputs!$B$6*(1+Inputs!$B$7/100))+(((Inputs!$B$12*(1+Inputs!$B$13/100))-(Inputs!$B$12*(1+Inputs!$B$13/100)))+0.25*(Inputs!$B$14-Inputs!$B$14))*(1+Inputs!$B$7/100))*(F2060/100)</f>
        <v/>
      </c>
      <c r="K2060">
        <f>J2060*(1+((Inputs!$B$12*(1+Inputs!$B$13/100))*0.01+Inputs!$B$14*0.0025)/100)*(1+Inputs!$B$15/100)*(1+Inputs!$B$16/100)*(5000/(6000+Inputs!$B$42*(1-(100*(1-(1-(Inputs!$B$19+0)/100)*(1-CHOOSE(ArtifactsInput!$N$40+1,5,6,7,8,9,10)/100)^(ArtifactsInput!$M$40-ArtifactsInput!$M$40)))/100)))*(1+(Inputs!$B$24+((C2075=TRUE)*(F2075-Calc!F26))+B2086)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IGHT_LEGS_EASTON",Inputs!$B$17+((C2072=TRUE)*(F2072-Calc!F23))+((C2076=TRUE)*(F2076-Calc!F27))+((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gt;=100),MIN(100,((Inputs!$B$9+((C2068=TRUE)*(F2068-Calc!F19))+B2080+(IF(ArtifactsInput!$M$24,FALSE,TRUE)-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gt;=100),CHOOSE(ArtifactsInput!$N$42+1,40,48,56,64,72,80),0))))/100)*((1+(((C2066=TRUE)*F2066*5/7)+((C2073=TRUE)*(F2073-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2060)</f>
        <v/>
      </c>
      <c r="L2060">
        <f>K2060*(MIN(Inputs!$B$22+((C2071=TRUE)*(F2071-Calc!F22)),(Inputs!$B$23+0+(IF(ArtifactsInput!$M$15,CHOOSE(ArtifactsInput!$N$15+1,25,30,35,40,45,50)/100*(Inputs!$B$11-Inputs!$B$11),0))))/100+(Inputs!$B$23+0+(IF(ArtifactsInput!$M$15,CHOOSE(ArtifactsInput!$N$15+1,25,30,35,40,45,50)/100*(Inputs!$B$11-Inputs!$B$11),0)))/100)/2</f>
        <v/>
      </c>
      <c r="M2060">
        <f>L2060*(1+(Inputs!$B$10+((C2074=TRUE)*(F2074-Calc!F25))+B2085+((IF(IF(ArtifactsInput!$M$24,FALSE,TRUE),1,-1)*CHOOSE(ArtifactsInput!$N$24+1,30,36,42,48,54,60)/100*IF(IF(ArtifactsInput!$M$24,FALSE,TRUE),(Inputs!$B$9+((C2068=TRUE)*(F2068-Calc!F19))+B2080+(IF(ArtifactsInput!$M$24,FALSE,TRUE)-ArtifactsInput!$M$24)*CHOOSE(ArtifactsInput!$N$24+1,10,12,14,16,18,20)+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nputs!$B$9+Artifacts!$B$5+Artifacts!$B$29)))+IF(ArtifactsInput!$M$10,CHOOSE(ArtifactsInput!$N$10+1,20,24,28,32,36,40)*(IF(Inputs!$B$38="pvp",MIN(15,15)/15,IF(AND(Inputs!$B$38&lt;&gt;"pvp",Inputs!$B$43&gt;0),MIN(15,Inputs!$B$43)/(Inputs!$B$43),0))),0)+IF(ArtifactsInput!$M$31,1.5*CHOOSE(ArtifactsInput!$N$31+1,20,24,28,32,36,40),0)))/100)</f>
        <v/>
      </c>
      <c r="N2060">
        <f>L2060*(1-MIN((Inputs!$B$9+((C2068=TRUE)*(F2068-Calc!F19))+B2080+(IF(ArtifactsInput!$M$24,FALSE,TRUE)-ArtifactsInput!$M$24)*CHOOSE(ArtifactsInput!$N$24+1,10,12,14,16,18,20)+(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2060*(MIN((Inputs!$B$9+((C2068=TRUE)*(F2068-Calc!F19))+B2080+(IF(ArtifactsInput!$M$24,FALSE,TRUE)-ArtifactsInput!$M$24)*CHOOSE(ArtifactsInput!$N$24+1,10,12,14,16,18,20)+(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60">
        <f>(1-Summary!$B$11)*T2060+Summary!$B$11*V2060</f>
        <v/>
      </c>
      <c r="P2060">
        <f>IF(B2090=0,0,O2060/B2090)</f>
        <v/>
      </c>
      <c r="Q2060">
        <f>IFERROR(1/((IF(Inputs!$B$38="pvp",15,MAX(0.1,Skills!D11-IF(TRUE=TRUE,Inputs!$B$32,0)))*(1-IF(AND(ArtifactsInput!$M$27,Inputs!$B$4="Chapter Hunt"),CHOOSE(ArtifactsInput!$N$27+1,20,24,28,32,36,40),0)/100))/B2091),0)</f>
        <v/>
      </c>
      <c r="R2060">
        <f>IF(AND(Inputs!$B$38&lt;&gt;"pvp",Inputs!$B$43&gt;0),IF(MAX(0,Inputs!$B$43-B2087)&lt;=0,0,(INT(MAX(0,Inputs!$B$43-B2087)/((IF(Inputs!$B$38="pvp",15,MAX(0.1,Skills!D11-IF(TRUE=TRUE,Inputs!$B$32,0)))*(1-IF(AND(ArtifactsInput!$M$27,Inputs!$B$4="Chapter Hunt"),CHOOSE(ArtifactsInput!$N$27+1,20,24,28,32,36,40),0)/100))/B2091))+1)),0)</f>
        <v/>
      </c>
      <c r="S2060">
        <f>IFERROR(O2060/N2060,0)</f>
        <v/>
      </c>
      <c r="T2060">
        <f>IF(C2060,(H2060*N2060*IF(AND(Inputs!$B$38&lt;&gt;"pvp",Inputs!$B$43&gt;0),((Skills!G11*((R2060-1)*IF(Skills!H11&gt;0,INT(Skills!I11/Skills!H11+0.000000001),1)+IF(Skills!H11&gt;0,INT(MIN(Skills!I11,MAX(0,MAX(0,Inputs!$B$43-B2087)-((R2060-1)*((IF(Inputs!$B$38="pvp",15,MAX(0.1,Skills!D11-IF(TRUE=TRUE,Inputs!$B$32,0)))*(1-IF(AND(ArtifactsInput!$M$27,Inputs!$B$4="Chapter Hunt"),CHOOSE(ArtifactsInput!$N$27+1,20,24,28,32,36,40),0)/100))/B2091))))/Skills!H11+0.000000001),1)))/Inputs!$B$43),G2060*Q2060))*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Hunt"),CHOOSE(ArtifactsInput!$N$35+1,15,18,21,24,27,30)*(1-EXP(-(0.2*B2082)*5)),0)+IF(AND(ArtifactsInput!$M$22,Inputs!$B$4&lt;&gt;"Chapter Hunt"),CHOOSE(ArtifactsInput!$N$22+1,10,12,14,16,18,20)*((0*(((0.15*B2082*5))^0/1)+1*(((0.15*B2082*5))^1/1)+2*(((0.15*B2082*5))^2/2)+3*(((0.15*B2082*5))^3/6)+4*(((0.15*B2082*5))^4/24)+5*(((0.15*B2082*5))^5/120))/((((0.15*B2082*5))^0/1)+(((0.15*B2082*5))^1/1)+(((0.15*B2082*5))^2/2)+(((0.15*B2082*5))^3/6)+(((0.15*B2082*5))^4/24)+(((0.15*B2082*5))^5/120))),0))+IF(Inputs!$B$3&gt;=54,9*(C2052=TRUE)*MIN(1,8*(1+Inputs!$B$34/100)*Q2052)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2060*(1-MIN(100,(Inputs!$B$9+((C2068=TRUE)*(F2068-Calc!F19))+B2080+(IF(ArtifactsInput!$M$24,FALSE,TRUE)-ArtifactsInput!$M$24)*CHOOSE(ArtifactsInput!$N$24+1,10,12,14,16,18,20)+(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2060*(MIN(100,(Inputs!$B$9+((C2068=TRUE)*(F2068-Calc!F19))+B2080+(IF(ArtifactsInput!$M$24,FALSE,TRUE)-ArtifactsInput!$M$24)*CHOOSE(ArtifactsInput!$N$24+1,10,12,14,16,18,20)+(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2060*(1-MIN(100,(Inputs!$B$9+((C2068=TRUE)*(F2068-Calc!F19))+B2080+(IF(ArtifactsInput!$M$24,FALSE,TRUE)-ArtifactsInput!$M$24)*CHOOSE(ArtifactsInput!$N$24+1,10,12,14,16,18,20)+(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2060*(MIN(100,(Inputs!$B$9+((C2068=TRUE)*(F2068-Calc!F19))+B2080+(IF(ArtifactsInput!$M$24,FALSE,TRUE)-ArtifactsInput!$M$24)*CHOOSE(ArtifactsInput!$N$24+1,10,12,14,16,18,20)+(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060">
        <f>IF(C2060,(H2060*N2060*IF(AND(Inputs!$B$38&lt;&gt;"pvp",Inputs!$B$43&gt;0),((Skills!G11*((R2060-1)*IF(Skills!H11&gt;0,INT(Skills!I11/Skills!H11+0.000000001),1)+IF(Skills!H11&gt;0,INT(MIN(Skills!I11,MAX(0,MAX(0,Inputs!$B$43-B2087)-((R2060-1)*((IF(Inputs!$B$38="pvp",15,MAX(0.1,Skills!D11-IF(TRUE=TRUE,Inputs!$B$32,0)))*(1-IF(AND(ArtifactsInput!$M$27,Inputs!$B$4="Chapter Hunt"),CHOOSE(ArtifactsInput!$N$27+1,20,24,28,32,36,40),0)/100))/B2091))))/Skills!H11+0.000000001),1)))/Inputs!$B$43),G2060*Q2060))*IF(Inputs!$B$38="pvp",1,(1+(Inputs!$B$21+Skills!Q11+(IF(ArtifactsInput!$M$33,CHOOSE(ArtifactsInput!$N$33+1,30,36,42,48,54,60),0))+(IF(AND(ArtifactsInput!$M$35,Inputs!$B$4&lt;&gt;"Chapter Hunt"),CHOOSE(ArtifactsInput!$N$35+1,15,18,21,24,27,30)*(1-EXP(-(0.2*B2082)*5)),0)+IF(AND(ArtifactsInput!$M$22,Inputs!$B$4&lt;&gt;"Chapter Hunt"),CHOOSE(ArtifactsInput!$N$22+1,10,12,14,16,18,20)*((0*(((0.15*B2082*5))^0/1)+1*(((0.15*B2082*5))^1/1)+2*(((0.15*B2082*5))^2/2)+3*(((0.15*B2082*5))^3/6)+4*(((0.15*B2082*5))^4/24)+5*(((0.15*B2082*5))^5/120))/((((0.15*B2082*5))^0/1)+(((0.15*B2082*5))^1/1)+(((0.15*B2082*5))^2/2)+(((0.15*B2082*5))^3/6)+(((0.15*B2082*5))^4/24)+(((0.15*B2082*5))^5/120))),0))+IF(Inputs!$B$3&gt;=54,9*(C2052=TRUE)*MIN(1,8*(1+Inputs!$B$34/100)*Q2052),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61">
      <c r="A2061">
        <f>Skills!A12</f>
        <v/>
      </c>
      <c r="B2061">
        <f>Skills!B12</f>
        <v/>
      </c>
      <c r="C2061">
        <f>Inputs!$B$3&gt;=110</f>
        <v/>
      </c>
      <c r="D2061">
        <f>IF(Skills!C12=1,60+Inputs!$B$25+Inputs!$B$29,IF(Skills!C12=2,90+Inputs!$B$26+Inputs!$B$29,IF(Skills!C12=3,120+Inputs!$B$27+Inputs!$B$29,MAX(0,(Inputs!$B$3-100)*3)+Inputs!$B$28+Inputs!$B$29)))</f>
        <v/>
      </c>
      <c r="E2061">
        <f>INDEX(FactorTable!$B$2:$Y$301, MATCH(ROUND(MIN(300,MAX(1,D2061)),0), FactorTable!$A$2:$A$301,0), Skills!M12+1)</f>
        <v/>
      </c>
      <c r="F2061">
        <f>IF(Skills!N12=TRUE,(Skills!L12/10)*(E2061/1000),Skills!L12/10)+Skills!O12</f>
        <v/>
      </c>
      <c r="G2061">
        <f>Skills!G12*IF(Skills!H12&gt;0,INT(IF(Inputs!$B$38="pvp",MIN(Skills!I12,15),Skills!I12)/Skills!H12+0.000000001),1)</f>
        <v/>
      </c>
      <c r="H2061">
        <f>1-(1-Skills!J12/100)^Skills!K12</f>
        <v/>
      </c>
      <c r="I2061" t="inlineStr">
        <is>
          <t>1</t>
        </is>
      </c>
      <c r="J2061">
        <f>((Inputs!$B$6*(1+Inputs!$B$7/100))+(((Inputs!$B$12*(1+Inputs!$B$13/100))-(Inputs!$B$12*(1+Inputs!$B$13/100)))+0.25*(Inputs!$B$14-Inputs!$B$14))*(1+Inputs!$B$7/100))*(F2061/100)</f>
        <v/>
      </c>
      <c r="K2061">
        <f>J2061*(1+((Inputs!$B$12*(1+Inputs!$B$13/100))*0.01+Inputs!$B$14*0.0025)/100)*(1+Inputs!$B$15/100)*(1+Inputs!$B$16/100)*(5000/(6000+Inputs!$B$42*(1-(100*(1-(1-(Inputs!$B$19+0)/100)*(1-CHOOSE(ArtifactsInput!$N$40+1,5,6,7,8,9,10)/100)^(ArtifactsInput!$M$40-ArtifactsInput!$M$40)))/100)))*(1+(Inputs!$B$24+((C2075=TRUE)*(F2075-Calc!F26))+B2086)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EIGHT_LEGS_EASTON",Inputs!$B$17+((C2072=TRUE)*(F2072-Calc!F23))+((C2076=TRUE)*(F2076-Calc!F27))+((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gt;=100),MIN(100,((Inputs!$B$9+((C2068=TRUE)*(F2068-Calc!F19))+B2080+(IF(ArtifactsInput!$M$24,FALSE,TRUE)-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gt;=100),CHOOSE(ArtifactsInput!$N$42+1,40,48,56,64,72,80),0))))/100)*((1+(((C2066=TRUE)*F2066*5/7)+((C2073=TRUE)*(F2073-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2061)</f>
        <v/>
      </c>
      <c r="L2061">
        <f>K2061*(MIN(Inputs!$B$22+((C2071=TRUE)*(F2071-Calc!F22)),(Inputs!$B$23+0+(IF(ArtifactsInput!$M$15,CHOOSE(ArtifactsInput!$N$15+1,25,30,35,40,45,50)/100*(Inputs!$B$11-Inputs!$B$11),0))))/100+(Inputs!$B$23+0+(IF(ArtifactsInput!$M$15,CHOOSE(ArtifactsInput!$N$15+1,25,30,35,40,45,50)/100*(Inputs!$B$11-Inputs!$B$11),0)))/100)/2</f>
        <v/>
      </c>
      <c r="M2061">
        <f>L2061*(1+(Inputs!$B$10+((C2074=TRUE)*(F2074-Calc!F25))+B2085+((IF(IF(ArtifactsInput!$M$24,FALSE,TRUE),1,-1)*CHOOSE(ArtifactsInput!$N$24+1,30,36,42,48,54,60)/100*IF(IF(ArtifactsInput!$M$24,FALSE,TRUE),(Inputs!$B$9+((C2068=TRUE)*(F2068-Calc!F19))+B2080+(IF(ArtifactsInput!$M$24,FALSE,TRUE)-ArtifactsInput!$M$24)*CHOOSE(ArtifactsInput!$N$24+1,10,12,14,16,18,20)+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nputs!$B$9+Artifacts!$B$5+Artifacts!$B$29)))+IF(ArtifactsInput!$M$10,CHOOSE(ArtifactsInput!$N$10+1,20,24,28,32,36,40)*(IF(Inputs!$B$38="pvp",MIN(15,15)/15,IF(AND(Inputs!$B$38&lt;&gt;"pvp",Inputs!$B$43&gt;0),MIN(15,Inputs!$B$43)/(Inputs!$B$43),0))),0)+IF(ArtifactsInput!$M$31,1.5*CHOOSE(ArtifactsInput!$N$31+1,20,24,28,32,36,40),0)))/100)</f>
        <v/>
      </c>
      <c r="N2061">
        <f>L2061*(1-MIN((Inputs!$B$9+((C2068=TRUE)*(F2068-Calc!F19))+B2080+(IF(ArtifactsInput!$M$24,FALSE,TRUE)-ArtifactsInput!$M$24)*CHOOSE(ArtifactsInput!$N$24+1,10,12,14,16,18,20)+(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2061*(MIN((Inputs!$B$9+((C2068=TRUE)*(F2068-Calc!F19))+B2080+(IF(ArtifactsInput!$M$24,FALSE,TRUE)-ArtifactsInput!$M$24)*CHOOSE(ArtifactsInput!$N$24+1,10,12,14,16,18,20)+(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61">
        <f>(1-Summary!$B$11)*T2061+Summary!$B$11*V2061</f>
        <v/>
      </c>
      <c r="P2061">
        <f>IF(B2090=0,0,O2061/B2090)</f>
        <v/>
      </c>
      <c r="Q2061">
        <f>IFERROR(1/(IF(Inputs!$B$38="pvp",15,MAX(0.1,Skills!D12-IF(TRUE=TRUE,Inputs!$B$32,0)))*(1-IF(AND(ArtifactsInput!$M$27,Inputs!$B$4="Chapter Hunt"),CHOOSE(ArtifactsInput!$N$27+1,20,24,28,32,36,40),0)/100)),0)</f>
        <v/>
      </c>
      <c r="R2061">
        <f>IF(AND(Inputs!$B$38&lt;&gt;"pvp",Inputs!$B$43&gt;0),IF(MAX(0,Inputs!$B$43-B2087)&lt;=0,0,(INT(MAX(0,Inputs!$B$43-B2087)/(IF(Inputs!$B$38="pvp",15,MAX(0.1,Skills!D12-IF(TRUE=TRUE,Inputs!$B$32,0)))*(1-IF(AND(ArtifactsInput!$M$27,Inputs!$B$4="Chapter Hunt"),CHOOSE(ArtifactsInput!$N$27+1,20,24,28,32,36,40),0)/100)))+1)),0)</f>
        <v/>
      </c>
      <c r="S2061">
        <f>IFERROR(O2061/N2061,0)</f>
        <v/>
      </c>
      <c r="T2061">
        <f>IF(C2061,(H2061*N2061*IF(AND(Inputs!$B$38&lt;&gt;"pvp",Inputs!$B$43&gt;0),((Skills!G12*((R2061-1)*IF(Skills!H12&gt;0,INT(Skills!I12/Skills!H12+0.000000001),1)+IF(Skills!H12&gt;0,INT(MIN(Skills!I12,MAX(0,MAX(0,Inputs!$B$43-B2087)-((R2061-1)*(IF(Inputs!$B$38="pvp",15,MAX(0.1,Skills!D12-IF(TRUE=TRUE,Inputs!$B$32,0)))*(1-IF(AND(ArtifactsInput!$M$27,Inputs!$B$4="Chapter Hunt"),CHOOSE(ArtifactsInput!$N$27+1,20,24,28,32,36,40),0)/100)))))/Skills!H12+0.000000001),1)))/Inputs!$B$43),G2061*Q2061))*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Hunt"),CHOOSE(ArtifactsInput!$N$35+1,15,18,21,24,27,30)*(1-EXP(-(0.2*B2082)*5)),0)+IF(AND(ArtifactsInput!$M$22,Inputs!$B$4&lt;&gt;"Chapter Hunt"),CHOOSE(ArtifactsInput!$N$22+1,10,12,14,16,18,20)*((0*(((0.15*B2082*5))^0/1)+1*(((0.15*B2082*5))^1/1)+2*(((0.15*B2082*5))^2/2)+3*(((0.15*B2082*5))^3/6)+4*(((0.15*B2082*5))^4/24)+5*(((0.15*B2082*5))^5/120))/((((0.15*B2082*5))^0/1)+(((0.15*B2082*5))^1/1)+(((0.15*B2082*5))^2/2)+(((0.15*B2082*5))^3/6)+(((0.15*B2082*5))^4/24)+(((0.15*B2082*5))^5/120))),0))+IF(Inputs!$B$3&gt;=54,9*(C2052=TRUE)*MIN(1,8*(1+Inputs!$B$34/100)*Q2052)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2061*(1-MIN(100,(Inputs!$B$9+((C2068=TRUE)*(F2068-Calc!F19))+B2080+(IF(ArtifactsInput!$M$24,FALSE,TRUE)-ArtifactsInput!$M$24)*CHOOSE(ArtifactsInput!$N$24+1,10,12,14,16,18,20)+(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2061*(MIN(100,(Inputs!$B$9+((C2068=TRUE)*(F2068-Calc!F19))+B2080+(IF(ArtifactsInput!$M$24,FALSE,TRUE)-ArtifactsInput!$M$24)*CHOOSE(ArtifactsInput!$N$24+1,10,12,14,16,18,20)+(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2061*(1-MIN(100,(Inputs!$B$9+((C2068=TRUE)*(F2068-Calc!F19))+B2080+(IF(ArtifactsInput!$M$24,FALSE,TRUE)-ArtifactsInput!$M$24)*CHOOSE(ArtifactsInput!$N$24+1,10,12,14,16,18,20)+(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2061*(MIN(100,(Inputs!$B$9+((C2068=TRUE)*(F2068-Calc!F19))+B2080+(IF(ArtifactsInput!$M$24,FALSE,TRUE)-ArtifactsInput!$M$24)*CHOOSE(ArtifactsInput!$N$24+1,10,12,14,16,18,20)+(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061">
        <f>IF(C2061,(H2061*N2061*IF(AND(Inputs!$B$38&lt;&gt;"pvp",Inputs!$B$43&gt;0),((Skills!G12*((R2061-1)*IF(Skills!H12&gt;0,INT(Skills!I12/Skills!H12+0.000000001),1)+IF(Skills!H12&gt;0,INT(MIN(Skills!I12,MAX(0,MAX(0,Inputs!$B$43-B2087)-((R2061-1)*(IF(Inputs!$B$38="pvp",15,MAX(0.1,Skills!D12-IF(TRUE=TRUE,Inputs!$B$32,0)))*(1-IF(AND(ArtifactsInput!$M$27,Inputs!$B$4="Chapter Hunt"),CHOOSE(ArtifactsInput!$N$27+1,20,24,28,32,36,40),0)/100)))))/Skills!H12+0.000000001),1)))/Inputs!$B$43),G2061*Q2061))*IF(Inputs!$B$38="pvp",1,(1+(Inputs!$B$21+Skills!Q12+(IF(ArtifactsInput!$M$33,CHOOSE(ArtifactsInput!$N$33+1,30,36,42,48,54,60),0))+(IF(AND(ArtifactsInput!$M$35,Inputs!$B$4&lt;&gt;"Chapter Hunt"),CHOOSE(ArtifactsInput!$N$35+1,15,18,21,24,27,30)*(1-EXP(-(0.2*B2082)*5)),0)+IF(AND(ArtifactsInput!$M$22,Inputs!$B$4&lt;&gt;"Chapter Hunt"),CHOOSE(ArtifactsInput!$N$22+1,10,12,14,16,18,20)*((0*(((0.15*B2082*5))^0/1)+1*(((0.15*B2082*5))^1/1)+2*(((0.15*B2082*5))^2/2)+3*(((0.15*B2082*5))^3/6)+4*(((0.15*B2082*5))^4/24)+5*(((0.15*B2082*5))^5/120))/((((0.15*B2082*5))^0/1)+(((0.15*B2082*5))^1/1)+(((0.15*B2082*5))^2/2)+(((0.15*B2082*5))^3/6)+(((0.15*B2082*5))^4/24)+(((0.15*B2082*5))^5/120))),0))+IF(Inputs!$B$3&gt;=54,9*(C2052=TRUE)*MIN(1,8*(1+Inputs!$B$34/100)*Q2052),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62">
      <c r="A2062">
        <f>Skills!A13</f>
        <v/>
      </c>
      <c r="B2062">
        <f>Skills!B13</f>
        <v/>
      </c>
      <c r="C2062">
        <f>Inputs!$B$3&gt;=110</f>
        <v/>
      </c>
      <c r="D2062">
        <f>IF(Skills!C13=1,60+Inputs!$B$25+Inputs!$B$29,IF(Skills!C13=2,90+Inputs!$B$26+Inputs!$B$29,IF(Skills!C13=3,120+Inputs!$B$27+Inputs!$B$29,MAX(0,(Inputs!$B$3-100)*3)+Inputs!$B$28+Inputs!$B$29)))</f>
        <v/>
      </c>
      <c r="E2062">
        <f>INDEX(FactorTable!$B$2:$Y$301, MATCH(ROUND(MIN(300,MAX(1,D2062)),0), FactorTable!$A$2:$A$301,0), Skills!M13+1)</f>
        <v/>
      </c>
      <c r="F2062">
        <f>IF(Skills!N13=TRUE,(Skills!L13/10)*(E2062/1000),Skills!L13/10)+Skills!O13</f>
        <v/>
      </c>
      <c r="G2062">
        <f>Skills!G13*IF(Skills!H13&gt;0,INT(IF(Inputs!$B$38="pvp",MIN(Skills!I13,15),Skills!I13)/Skills!H13+0.000000001),1)</f>
        <v/>
      </c>
      <c r="H2062">
        <f>1-(1-Skills!J13/100)^Skills!K13</f>
        <v/>
      </c>
      <c r="I2062" t="inlineStr">
        <is>
          <t>1</t>
        </is>
      </c>
      <c r="J2062">
        <f>((Inputs!$B$6*(1+Inputs!$B$7/100))+(((Inputs!$B$12*(1+Inputs!$B$13/100))-(Inputs!$B$12*(1+Inputs!$B$13/100)))+0.25*(Inputs!$B$14-Inputs!$B$14))*(1+Inputs!$B$7/100))*(F2062/100)</f>
        <v/>
      </c>
      <c r="K2062">
        <f>J2062*(1+((Inputs!$B$12*(1+Inputs!$B$13/100))*0.01+Inputs!$B$14*0.0025)/100)*(1+Inputs!$B$15/100)*(1+Inputs!$B$16/100)*(5000/(6000+Inputs!$B$42*(1-(100*(1-(1-(Inputs!$B$19+0)/100)*(1-CHOOSE(ArtifactsInput!$N$40+1,5,6,7,8,9,10)/100)^(ArtifactsInput!$M$40-ArtifactsInput!$M$40)))/100)))*(1+(Inputs!$B$24+((C2075=TRUE)*(F2075-Calc!F26))+B2086)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EIGHT_LEGS_EASTON",Inputs!$B$17+((C2072=TRUE)*(F2072-Calc!F23))+((C2076=TRUE)*(F2076-Calc!F27))+((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gt;=100),MIN(100,((Inputs!$B$9+((C2068=TRUE)*(F2068-Calc!F19))+B2080+(IF(ArtifactsInput!$M$24,FALSE,TRUE)-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gt;=100),CHOOSE(ArtifactsInput!$N$42+1,40,48,56,64,72,80),0))))/100)*((1+(((C2066=TRUE)*F2066*5/7)+((C2073=TRUE)*(F2073-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2062)</f>
        <v/>
      </c>
      <c r="L2062">
        <f>K2062*(MIN(Inputs!$B$22+((C2071=TRUE)*(F2071-Calc!F22)),(Inputs!$B$23+0+(IF(ArtifactsInput!$M$15,CHOOSE(ArtifactsInput!$N$15+1,25,30,35,40,45,50)/100*(Inputs!$B$11-Inputs!$B$11),0))))/100+(Inputs!$B$23+0+(IF(ArtifactsInput!$M$15,CHOOSE(ArtifactsInput!$N$15+1,25,30,35,40,45,50)/100*(Inputs!$B$11-Inputs!$B$11),0)))/100)/2</f>
        <v/>
      </c>
      <c r="M2062">
        <f>L2062*(1+(Inputs!$B$10+((C2074=TRUE)*(F2074-Calc!F25))+B2085+((IF(IF(ArtifactsInput!$M$24,FALSE,TRUE),1,-1)*CHOOSE(ArtifactsInput!$N$24+1,30,36,42,48,54,60)/100*IF(IF(ArtifactsInput!$M$24,FALSE,TRUE),(Inputs!$B$9+((C2068=TRUE)*(F2068-Calc!F19))+B2080+(IF(ArtifactsInput!$M$24,FALSE,TRUE)-ArtifactsInput!$M$24)*CHOOSE(ArtifactsInput!$N$24+1,10,12,14,16,18,20)+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nputs!$B$9+Artifacts!$B$5+Artifacts!$B$29)))+IF(ArtifactsInput!$M$10,CHOOSE(ArtifactsInput!$N$10+1,20,24,28,32,36,40)*(IF(Inputs!$B$38="pvp",MIN(15,15)/15,IF(AND(Inputs!$B$38&lt;&gt;"pvp",Inputs!$B$43&gt;0),MIN(15,Inputs!$B$43)/(Inputs!$B$43),0))),0)+IF(ArtifactsInput!$M$31,1.5*CHOOSE(ArtifactsInput!$N$31+1,20,24,28,32,36,40),0)))/100)</f>
        <v/>
      </c>
      <c r="N2062">
        <f>L2062*(1-MIN((Inputs!$B$9+((C2068=TRUE)*(F2068-Calc!F19))+B2080+(IF(ArtifactsInput!$M$24,FALSE,TRUE)-ArtifactsInput!$M$24)*CHOOSE(ArtifactsInput!$N$24+1,10,12,14,16,18,20)+(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2062*(MIN((Inputs!$B$9+((C2068=TRUE)*(F2068-Calc!F19))+B2080+(IF(ArtifactsInput!$M$24,FALSE,TRUE)-ArtifactsInput!$M$24)*CHOOSE(ArtifactsInput!$N$24+1,10,12,14,16,18,20)+(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62">
        <f>(1-Summary!$B$11)*T2062+Summary!$B$11*V2062</f>
        <v/>
      </c>
      <c r="P2062">
        <f>IF(B2090=0,0,O2062/B2090)</f>
        <v/>
      </c>
      <c r="Q2062">
        <f>IFERROR(1/(IF(Inputs!$B$38="pvp",15,MAX(0.1,Skills!D13-IF(TRUE=TRUE,Inputs!$B$32,0)))*(1-IF(AND(ArtifactsInput!$M$27,Inputs!$B$4="Chapter Hunt"),CHOOSE(ArtifactsInput!$N$27+1,20,24,28,32,36,40),0)/100)),0)</f>
        <v/>
      </c>
      <c r="R2062">
        <f>IF(AND(Inputs!$B$38&lt;&gt;"pvp",Inputs!$B$43&gt;0),IF(MAX(0,Inputs!$B$43-B2087)&lt;=0,0,(INT(MAX(0,Inputs!$B$43-B2087)/(IF(Inputs!$B$38="pvp",15,MAX(0.1,Skills!D13-IF(TRUE=TRUE,Inputs!$B$32,0)))*(1-IF(AND(ArtifactsInput!$M$27,Inputs!$B$4="Chapter Hunt"),CHOOSE(ArtifactsInput!$N$27+1,20,24,28,32,36,40),0)/100)))+1)),0)</f>
        <v/>
      </c>
      <c r="S2062">
        <f>IFERROR(O2062/N2062,0)</f>
        <v/>
      </c>
      <c r="T2062">
        <f>IF(C2062,(H2062*N2062*IF(AND(Inputs!$B$38&lt;&gt;"pvp",Inputs!$B$43&gt;0),((Skills!G13*((R2062-1)*IF(Skills!H13&gt;0,INT(Skills!I13/Skills!H13+0.000000001),1)+IF(Skills!H13&gt;0,INT(MIN(Skills!I13,MAX(0,MAX(0,Inputs!$B$43-B2087)-((R2062-1)*(IF(Inputs!$B$38="pvp",15,MAX(0.1,Skills!D13-IF(TRUE=TRUE,Inputs!$B$32,0)))*(1-IF(AND(ArtifactsInput!$M$27,Inputs!$B$4="Chapter Hunt"),CHOOSE(ArtifactsInput!$N$27+1,20,24,28,32,36,40),0)/100)))))/Skills!H13+0.000000001),1)))/Inputs!$B$43),G2062*Q2062))*IF(Inputs!$B$38="pvp",1,1+(Inputs!$B$20+0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Hunt"),CHOOSE(ArtifactsInput!$N$35+1,15,18,21,24,27,30)*(1-EXP(-(0.2*B2082)*5)),0)+IF(AND(ArtifactsInput!$M$22,Inputs!$B$4&lt;&gt;"Chapter Hunt"),CHOOSE(ArtifactsInput!$N$22+1,10,12,14,16,18,20)*((0*(((0.15*B2082*5))^0/1)+1*(((0.15*B2082*5))^1/1)+2*(((0.15*B2082*5))^2/2)+3*(((0.15*B2082*5))^3/6)+4*(((0.15*B2082*5))^4/24)+5*(((0.15*B2082*5))^5/120))/((((0.15*B2082*5))^0/1)+(((0.15*B2082*5))^1/1)+(((0.15*B2082*5))^2/2)+(((0.15*B2082*5))^3/6)+(((0.15*B2082*5))^4/24)+(((0.15*B2082*5))^5/120))),0))+IF(Inputs!$B$3&gt;=54,9*(C2052=TRUE)*MIN(1,8*(1+Inputs!$B$34/100)*Q2052)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2062*(1-MIN(100,(Inputs!$B$9+((C2068=TRUE)*(F2068-Calc!F19))+B2080+(IF(ArtifactsInput!$M$24,FALSE,TRUE)-ArtifactsInput!$M$24)*CHOOSE(ArtifactsInput!$N$24+1,10,12,14,16,18,20)+(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2062*(MIN(100,(Inputs!$B$9+((C2068=TRUE)*(F2068-Calc!F19))+B2080+(IF(ArtifactsInput!$M$24,FALSE,TRUE)-ArtifactsInput!$M$24)*CHOOSE(ArtifactsInput!$N$24+1,10,12,14,16,18,20)+(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2062*(1-MIN(100,(Inputs!$B$9+((C2068=TRUE)*(F2068-Calc!F19))+B2080+(IF(ArtifactsInput!$M$24,FALSE,TRUE)-ArtifactsInput!$M$24)*CHOOSE(ArtifactsInput!$N$24+1,10,12,14,16,18,20)+(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2062*(MIN(100,(Inputs!$B$9+((C2068=TRUE)*(F2068-Calc!F19))+B2080+(IF(ArtifactsInput!$M$24,FALSE,TRUE)-ArtifactsInput!$M$24)*CHOOSE(ArtifactsInput!$N$24+1,10,12,14,16,18,20)+(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062">
        <f>IF(C2062,(H2062*N2062*IF(AND(Inputs!$B$38&lt;&gt;"pvp",Inputs!$B$43&gt;0),((Skills!G13*((R2062-1)*IF(Skills!H13&gt;0,INT(Skills!I13/Skills!H13+0.000000001),1)+IF(Skills!H13&gt;0,INT(MIN(Skills!I13,MAX(0,MAX(0,Inputs!$B$43-B2087)-((R2062-1)*(IF(Inputs!$B$38="pvp",15,MAX(0.1,Skills!D13-IF(TRUE=TRUE,Inputs!$B$32,0)))*(1-IF(AND(ArtifactsInput!$M$27,Inputs!$B$4="Chapter Hunt"),CHOOSE(ArtifactsInput!$N$27+1,20,24,28,32,36,40),0)/100)))))/Skills!H13+0.000000001),1)))/Inputs!$B$43),G2062*Q2062))*IF(Inputs!$B$38="pvp",1,(1+(Inputs!$B$21+Skills!Q13+(IF(ArtifactsInput!$M$33,CHOOSE(ArtifactsInput!$N$33+1,30,36,42,48,54,60),0))+(IF(AND(ArtifactsInput!$M$35,Inputs!$B$4&lt;&gt;"Chapter Hunt"),CHOOSE(ArtifactsInput!$N$35+1,15,18,21,24,27,30)*(1-EXP(-(0.2*B2082)*5)),0)+IF(AND(ArtifactsInput!$M$22,Inputs!$B$4&lt;&gt;"Chapter Hunt"),CHOOSE(ArtifactsInput!$N$22+1,10,12,14,16,18,20)*((0*(((0.15*B2082*5))^0/1)+1*(((0.15*B2082*5))^1/1)+2*(((0.15*B2082*5))^2/2)+3*(((0.15*B2082*5))^3/6)+4*(((0.15*B2082*5))^4/24)+5*(((0.15*B2082*5))^5/120))/((((0.15*B2082*5))^0/1)+(((0.15*B2082*5))^1/1)+(((0.15*B2082*5))^2/2)+(((0.15*B2082*5))^3/6)+(((0.15*B2082*5))^4/24)+(((0.15*B2082*5))^5/120))),0))+IF(Inputs!$B$3&gt;=54,9*(C2052=TRUE)*MIN(1,8*(1+Inputs!$B$34/100)*Q2052),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63">
      <c r="A2063">
        <f>Skills!A14</f>
        <v/>
      </c>
      <c r="B2063">
        <f>Skills!B14</f>
        <v/>
      </c>
      <c r="C2063">
        <f>Inputs!$B$3&gt;=120</f>
        <v/>
      </c>
      <c r="D2063">
        <f>IF(Skills!C14=1,60+Inputs!$B$25+Inputs!$B$29,IF(Skills!C14=2,90+Inputs!$B$26+Inputs!$B$29,IF(Skills!C14=3,120+Inputs!$B$27+Inputs!$B$29,MAX(0,(Inputs!$B$3-100)*3)+Inputs!$B$28+Inputs!$B$29)))</f>
        <v/>
      </c>
      <c r="E2063">
        <f>INDEX(FactorTable!$B$2:$Y$301, MATCH(ROUND(MIN(300,MAX(1,D2063)),0), FactorTable!$A$2:$A$301,0), Skills!M14+1)</f>
        <v/>
      </c>
      <c r="F2063">
        <f>IF(Skills!N14=TRUE,(Skills!L14/10)*(E2063/1000),Skills!L14/10)+Skills!O14</f>
        <v/>
      </c>
      <c r="G2063">
        <f>Skills!G14*IF(Skills!H14&gt;0,INT(IF(Inputs!$B$38="pvp",MIN(Skills!I14,15),Skills!I14)/Skills!H14+0.000000001),1)</f>
        <v/>
      </c>
      <c r="H2063">
        <f>1-(1-Skills!J14/100)^Skills!K14</f>
        <v/>
      </c>
      <c r="I2063" t="inlineStr">
        <is>
          <t>1</t>
        </is>
      </c>
      <c r="J2063">
        <f>((Inputs!$B$6*(1+Inputs!$B$7/100))+(((Inputs!$B$12*(1+Inputs!$B$13/100))-(Inputs!$B$12*(1+Inputs!$B$13/100)))+0.25*(Inputs!$B$14-Inputs!$B$14))*(1+Inputs!$B$7/100))*(F2063/100)</f>
        <v/>
      </c>
      <c r="K2063">
        <f>J2063*(1+((Inputs!$B$12*(1+Inputs!$B$13/100))*0.01+Inputs!$B$14*0.0025)/100)*(1+Inputs!$B$15/100)*(1+Inputs!$B$16/100)*(5000/(6000+Inputs!$B$42*(1-(100*(1-(1-(Inputs!$B$19+0)/100)*(1-CHOOSE(ArtifactsInput!$N$40+1,5,6,7,8,9,10)/100)^(ArtifactsInput!$M$40-ArtifactsInput!$M$40)))/100)))*(1+(Inputs!$B$24+((C2075=TRUE)*(F2075-Calc!F26))+B2086)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EIGHT_LEGS_EASTON",Inputs!$B$17+((C2072=TRUE)*(F2072-Calc!F23))+((C2076=TRUE)*(F2076-Calc!F27))+((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gt;=100),MIN(100,((Inputs!$B$9+((C2068=TRUE)*(F2068-Calc!F19))+B2080+(IF(ArtifactsInput!$M$24,FALSE,TRUE)-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gt;=100),CHOOSE(ArtifactsInput!$N$42+1,40,48,56,64,72,80),0))))/100)*((1+(((C2066=TRUE)*F2066*5/7)+((C2073=TRUE)*(F2073-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2063)</f>
        <v/>
      </c>
      <c r="L2063">
        <f>K2063*(MIN(Inputs!$B$22+((C2071=TRUE)*(F2071-Calc!F22)),(Inputs!$B$23+0+(IF(ArtifactsInput!$M$15,CHOOSE(ArtifactsInput!$N$15+1,25,30,35,40,45,50)/100*(Inputs!$B$11-Inputs!$B$11),0))))/100+(Inputs!$B$23+0+(IF(ArtifactsInput!$M$15,CHOOSE(ArtifactsInput!$N$15+1,25,30,35,40,45,50)/100*(Inputs!$B$11-Inputs!$B$11),0)))/100)/2</f>
        <v/>
      </c>
      <c r="M2063">
        <f>L2063*(1+(Inputs!$B$10+((C2074=TRUE)*(F2074-Calc!F25))+B2085+((IF(IF(ArtifactsInput!$M$24,FALSE,TRUE),1,-1)*CHOOSE(ArtifactsInput!$N$24+1,30,36,42,48,54,60)/100*IF(IF(ArtifactsInput!$M$24,FALSE,TRUE),(Inputs!$B$9+((C2068=TRUE)*(F2068-Calc!F19))+B2080+(IF(ArtifactsInput!$M$24,FALSE,TRUE)-ArtifactsInput!$M$24)*CHOOSE(ArtifactsInput!$N$24+1,10,12,14,16,18,20)+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nputs!$B$9+Artifacts!$B$5+Artifacts!$B$29)))+IF(ArtifactsInput!$M$10,CHOOSE(ArtifactsInput!$N$10+1,20,24,28,32,36,40)*(IF(Inputs!$B$38="pvp",MIN(15,15)/15,IF(AND(Inputs!$B$38&lt;&gt;"pvp",Inputs!$B$43&gt;0),MIN(15,Inputs!$B$43)/(Inputs!$B$43),0))),0)+IF(ArtifactsInput!$M$31,1.5*CHOOSE(ArtifactsInput!$N$31+1,20,24,28,32,36,40),0)))/100)</f>
        <v/>
      </c>
      <c r="N2063">
        <f>L2063*(1-MIN((Inputs!$B$9+((C2068=TRUE)*(F2068-Calc!F19))+B2080+(IF(ArtifactsInput!$M$24,FALSE,TRUE)-ArtifactsInput!$M$24)*CHOOSE(ArtifactsInput!$N$24+1,10,12,14,16,18,20)+(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2063*(MIN((Inputs!$B$9+((C2068=TRUE)*(F2068-Calc!F19))+B2080+(IF(ArtifactsInput!$M$24,FALSE,TRUE)-ArtifactsInput!$M$24)*CHOOSE(ArtifactsInput!$N$24+1,10,12,14,16,18,20)+(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63">
        <f>(1-Summary!$B$11)*T2063+Summary!$B$11*V2063</f>
        <v/>
      </c>
      <c r="P2063">
        <f>IF(B2090=0,0,O2063/B2090)</f>
        <v/>
      </c>
      <c r="Q2063" t="n">
        <v>0</v>
      </c>
      <c r="R2063" t="n">
        <v>0</v>
      </c>
      <c r="S2063">
        <f>IFERROR(O2063/N2063,0)</f>
        <v/>
      </c>
      <c r="T2063">
        <f>IF(C2063,((H2063*(B2084+IF(AND(Inputs!$B$38&lt;&gt;"pvp",Inputs!$B$43&gt;0),((Skills!G8*((R2057-1)*IF(Skills!H8&gt;0,INT(Skills!I8/Skills!H8+0.000000001),1)+IF(Skills!H8&gt;0,INT(MIN(Skills!I8,MAX(0,MAX(0,Inputs!$B$43-B2087)-((R2057-1)*((IF(Inputs!$B$38="pvp",15,MAX(0.1,Skills!D8-IF(TRUE=TRUE,Inputs!$B$32,0)))*(1-IF(AND(ArtifactsInput!$M$27,Inputs!$B$4="Chapter Hunt"),CHOOSE(ArtifactsInput!$N$27+1,20,24,28,32,36,40),0)/100))/B2091))))/Skills!H8+0.000000001),1)))/Inputs!$B$43),G2057*Q2057)+IF(AND(Inputs!$B$38&lt;&gt;"pvp",Inputs!$B$43&gt;0),((Skills!G11*((R2060-1)*IF(Skills!H11&gt;0,INT(Skills!I11/Skills!H11+0.000000001),1)+IF(Skills!H11&gt;0,INT(MIN(Skills!I11,MAX(0,MAX(0,Inputs!$B$43-B2087)-((R2060-1)*((IF(Inputs!$B$38="pvp",15,MAX(0.1,Skills!D11-IF(TRUE=TRUE,Inputs!$B$32,0)))*(1-IF(AND(ArtifactsInput!$M$27,Inputs!$B$4="Chapter Hunt"),CHOOSE(ArtifactsInput!$N$27+1,20,24,28,32,36,40),0)/100))/B2091))))/Skills!H11+0.000000001),1)))/Inputs!$B$43),G2060*Q2060)))/(1+Skills!H14*H2063*(B2084+IF(AND(Inputs!$B$38&lt;&gt;"pvp",Inputs!$B$43&gt;0),((Skills!G8*((R2057-1)*IF(Skills!H8&gt;0,INT(Skills!I8/Skills!H8+0.000000001),1)+IF(Skills!H8&gt;0,INT(MIN(Skills!I8,MAX(0,MAX(0,Inputs!$B$43-B2087)-((R2057-1)*((IF(Inputs!$B$38="pvp",15,MAX(0.1,Skills!D8-IF(TRUE=TRUE,Inputs!$B$32,0)))*(1-IF(AND(ArtifactsInput!$M$27,Inputs!$B$4="Chapter Hunt"),CHOOSE(ArtifactsInput!$N$27+1,20,24,28,32,36,40),0)/100))/B2091))))/Skills!H8+0.000000001),1)))/Inputs!$B$43),G2057*Q2057)+IF(AND(Inputs!$B$38&lt;&gt;"pvp",Inputs!$B$43&gt;0),((Skills!G11*((R2060-1)*IF(Skills!H11&gt;0,INT(Skills!I11/Skills!H11+0.000000001),1)+IF(Skills!H11&gt;0,INT(MIN(Skills!I11,MAX(0,MAX(0,Inputs!$B$43-B2087)-((R2060-1)*((IF(Inputs!$B$38="pvp",15,MAX(0.1,Skills!D11-IF(TRUE=TRUE,Inputs!$B$32,0)))*(1-IF(AND(ArtifactsInput!$M$27,Inputs!$B$4="Chapter Hunt"),CHOOSE(ArtifactsInput!$N$27+1,20,24,28,32,36,40),0)/100))/B2091))))/Skills!H11+0.000000001),1)))/Inputs!$B$43),G2060*Q2060)))*N2063)*IF(Inputs!$B$38="pvp",1,1+(Inputs!$B$20+0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Hunt"),CHOOSE(ArtifactsInput!$N$35+1,15,18,21,24,27,30)*(1-EXP(-(0.2*B2082)*5)),0)+IF(AND(ArtifactsInput!$M$22,Inputs!$B$4&lt;&gt;"Chapter Hunt"),CHOOSE(ArtifactsInput!$N$22+1,10,12,14,16,18,20)*((0*(((0.15*B2082*5))^0/1)+1*(((0.15*B2082*5))^1/1)+2*(((0.15*B2082*5))^2/2)+3*(((0.15*B2082*5))^3/6)+4*(((0.15*B2082*5))^4/24)+5*(((0.15*B2082*5))^5/120))/((((0.15*B2082*5))^0/1)+(((0.15*B2082*5))^1/1)+(((0.15*B2082*5))^2/2)+(((0.15*B2082*5))^3/6)+(((0.15*B2082*5))^4/24)+(((0.15*B2082*5))^5/120))),0))+IF(Inputs!$B$3&gt;=54,9*(C2052=TRUE)*MIN(1,8*(1+Inputs!$B$34/100)*Q2052)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2063*(1-MIN(100,(Inputs!$B$9+((C2068=TRUE)*(F2068-Calc!F19))+B2080+(IF(ArtifactsInput!$M$24,FALSE,TRUE)-ArtifactsInput!$M$24)*CHOOSE(ArtifactsInput!$N$24+1,10,12,14,16,18,20)+(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2063*(MIN(100,(Inputs!$B$9+((C2068=TRUE)*(F2068-Calc!F19))+B2080+(IF(ArtifactsInput!$M$24,FALSE,TRUE)-ArtifactsInput!$M$24)*CHOOSE(ArtifactsInput!$N$24+1,10,12,14,16,18,20)+(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2063*(1-MIN(100,(Inputs!$B$9+((C2068=TRUE)*(F2068-Calc!F19))+B2080+(IF(ArtifactsInput!$M$24,FALSE,TRUE)-ArtifactsInput!$M$24)*CHOOSE(ArtifactsInput!$N$24+1,10,12,14,16,18,20)+(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2063*(MIN(100,(Inputs!$B$9+((C2068=TRUE)*(F2068-Calc!F19))+B2080+(IF(ArtifactsInput!$M$24,FALSE,TRUE)-ArtifactsInput!$M$24)*CHOOSE(ArtifactsInput!$N$24+1,10,12,14,16,18,20)+(IF(AND(Inputs!$B$38&lt;&gt;"pvp",Inputs!$B$43=0),1,IF(IF(Inputs!$B$38="pvp",15,Inputs!$B$43)-(B2087)&lt;=0,1,MAX(0,IF(Inputs!$B$38="pvp",15,Inputs!$B$43)-MAX(5,B2087))/(IF(Inputs!$B$38="pvp",15,Inputs!$B$43)-(B2087))))*IF(AND(ArtifactsInput!$M$42,((Inputs!$B$9+((C2068=TRUE)*(F2068-Calc!F19))+B2080+(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063">
        <f>IF(C2063,((H2063*(B2084+IF(AND(Inputs!$B$38&lt;&gt;"pvp",Inputs!$B$43&gt;0),((Skills!G8*((R2057-1)*IF(Skills!H8&gt;0,INT(Skills!I8/Skills!H8+0.000000001),1)+IF(Skills!H8&gt;0,INT(MIN(Skills!I8,MAX(0,MAX(0,Inputs!$B$43-B2087)-((R2057-1)*((IF(Inputs!$B$38="pvp",15,MAX(0.1,Skills!D8-IF(TRUE=TRUE,Inputs!$B$32,0)))*(1-IF(AND(ArtifactsInput!$M$27,Inputs!$B$4="Chapter Hunt"),CHOOSE(ArtifactsInput!$N$27+1,20,24,28,32,36,40),0)/100))/B2091))))/Skills!H8+0.000000001),1)))/Inputs!$B$43),G2057*Q2057)+IF(AND(Inputs!$B$38&lt;&gt;"pvp",Inputs!$B$43&gt;0),((Skills!G11*((R2060-1)*IF(Skills!H11&gt;0,INT(Skills!I11/Skills!H11+0.000000001),1)+IF(Skills!H11&gt;0,INT(MIN(Skills!I11,MAX(0,MAX(0,Inputs!$B$43-B2087)-((R2060-1)*((IF(Inputs!$B$38="pvp",15,MAX(0.1,Skills!D11-IF(TRUE=TRUE,Inputs!$B$32,0)))*(1-IF(AND(ArtifactsInput!$M$27,Inputs!$B$4="Chapter Hunt"),CHOOSE(ArtifactsInput!$N$27+1,20,24,28,32,36,40),0)/100))/B2091))))/Skills!H11+0.000000001),1)))/Inputs!$B$43),G2060*Q2060)))/(1+Skills!H14*H2063*(B2084+IF(AND(Inputs!$B$38&lt;&gt;"pvp",Inputs!$B$43&gt;0),((Skills!G8*((R2057-1)*IF(Skills!H8&gt;0,INT(Skills!I8/Skills!H8+0.000000001),1)+IF(Skills!H8&gt;0,INT(MIN(Skills!I8,MAX(0,MAX(0,Inputs!$B$43-B2087)-((R2057-1)*((IF(Inputs!$B$38="pvp",15,MAX(0.1,Skills!D8-IF(TRUE=TRUE,Inputs!$B$32,0)))*(1-IF(AND(ArtifactsInput!$M$27,Inputs!$B$4="Chapter Hunt"),CHOOSE(ArtifactsInput!$N$27+1,20,24,28,32,36,40),0)/100))/B2091))))/Skills!H8+0.000000001),1)))/Inputs!$B$43),G2057*Q2057)+IF(AND(Inputs!$B$38&lt;&gt;"pvp",Inputs!$B$43&gt;0),((Skills!G11*((R2060-1)*IF(Skills!H11&gt;0,INT(Skills!I11/Skills!H11+0.000000001),1)+IF(Skills!H11&gt;0,INT(MIN(Skills!I11,MAX(0,MAX(0,Inputs!$B$43-B2087)-((R2060-1)*((IF(Inputs!$B$38="pvp",15,MAX(0.1,Skills!D11-IF(TRUE=TRUE,Inputs!$B$32,0)))*(1-IF(AND(ArtifactsInput!$M$27,Inputs!$B$4="Chapter Hunt"),CHOOSE(ArtifactsInput!$N$27+1,20,24,28,32,36,40),0)/100))/B2091))))/Skills!H11+0.000000001),1)))/Inputs!$B$43),G2060*Q2060)))*N2063)*IF(Inputs!$B$38="pvp",1,(1+(Inputs!$B$21+Skills!Q14+(IF(ArtifactsInput!$M$33,CHOOSE(ArtifactsInput!$N$33+1,30,36,42,48,54,60),0))+(IF(AND(ArtifactsInput!$M$35,Inputs!$B$4&lt;&gt;"Chapter Hunt"),CHOOSE(ArtifactsInput!$N$35+1,15,18,21,24,27,30)*(1-EXP(-(0.2*B2082)*5)),0)+IF(AND(ArtifactsInput!$M$22,Inputs!$B$4&lt;&gt;"Chapter Hunt"),CHOOSE(ArtifactsInput!$N$22+1,10,12,14,16,18,20)*((0*(((0.15*B2082*5))^0/1)+1*(((0.15*B2082*5))^1/1)+2*(((0.15*B2082*5))^2/2)+3*(((0.15*B2082*5))^3/6)+4*(((0.15*B2082*5))^4/24)+5*(((0.15*B2082*5))^5/120))/((((0.15*B2082*5))^0/1)+(((0.15*B2082*5))^1/1)+(((0.15*B2082*5))^2/2)+(((0.15*B2082*5))^3/6)+(((0.15*B2082*5))^4/24)+(((0.15*B2082*5))^5/120))),0))+IF(Inputs!$B$3&gt;=54,9*(C2052=TRUE)*MIN(1,8*(1+Inputs!$B$34/100)*Q2052),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64">
      <c r="A2064">
        <f>Skills!A15</f>
        <v/>
      </c>
      <c r="B2064">
        <f>Skills!B15</f>
        <v/>
      </c>
      <c r="C2064">
        <f>Inputs!$B$3&gt;=100</f>
        <v/>
      </c>
      <c r="D2064">
        <f>IF(Skills!C15=1,60+Inputs!$B$25+Inputs!$B$29,IF(Skills!C15=2,90+Inputs!$B$26+Inputs!$B$29,IF(Skills!C15=3,120+Inputs!$B$27+Inputs!$B$29,MAX(0,(Inputs!$B$3-100)*3)+Inputs!$B$28+Inputs!$B$29)))</f>
        <v/>
      </c>
      <c r="E2064">
        <f>INDEX(FactorTable!$B$2:$Y$301, MATCH(ROUND(MIN(300,MAX(1,D2064)),0), FactorTable!$A$2:$A$301,0), Skills!M15+1)</f>
        <v/>
      </c>
      <c r="F2064">
        <f>IF(Skills!N15=TRUE,(Skills!L15/10)*(E2064/1000),Skills!L15/10)+Skills!O15</f>
        <v/>
      </c>
      <c r="G2064" t="inlineStr"/>
      <c r="H2064" t="inlineStr"/>
      <c r="I2064" t="inlineStr">
        <is>
          <t>1</t>
        </is>
      </c>
      <c r="J2064" t="inlineStr"/>
      <c r="K2064" t="inlineStr"/>
      <c r="L2064" t="inlineStr"/>
      <c r="M2064" t="inlineStr"/>
      <c r="N2064" t="inlineStr"/>
      <c r="O2064" t="inlineStr"/>
      <c r="P2064" t="inlineStr"/>
      <c r="Q2064" t="inlineStr"/>
      <c r="R2064" t="inlineStr"/>
      <c r="S2064" t="inlineStr"/>
    </row>
    <row r="2065">
      <c r="A2065">
        <f>Skills!A16</f>
        <v/>
      </c>
      <c r="B2065">
        <f>Skills!B16</f>
        <v/>
      </c>
      <c r="C2065">
        <f>Inputs!$B$3&gt;=107</f>
        <v/>
      </c>
      <c r="D2065">
        <f>IF(Skills!C16=1,60+Inputs!$B$25+Inputs!$B$29,IF(Skills!C16=2,90+Inputs!$B$26+Inputs!$B$29,IF(Skills!C16=3,120+Inputs!$B$27+Inputs!$B$29,MAX(0,(Inputs!$B$3-100)*3)+Inputs!$B$28+Inputs!$B$29)))</f>
        <v/>
      </c>
      <c r="E2065">
        <f>INDEX(FactorTable!$B$2:$Y$301, MATCH(ROUND(MIN(300,MAX(1,D2065)),0), FactorTable!$A$2:$A$301,0), Skills!M16+1)</f>
        <v/>
      </c>
      <c r="F2065">
        <f>IF(Skills!N16=TRUE,(Skills!L16/10)*(E2065/1000),Skills!L16/10)+Skills!O16</f>
        <v/>
      </c>
      <c r="G2065" t="inlineStr"/>
      <c r="H2065" t="inlineStr"/>
      <c r="I2065" t="inlineStr">
        <is>
          <t>1</t>
        </is>
      </c>
      <c r="J2065" t="inlineStr"/>
      <c r="K2065" t="inlineStr"/>
      <c r="L2065" t="inlineStr"/>
      <c r="M2065" t="inlineStr"/>
      <c r="N2065" t="inlineStr"/>
      <c r="O2065" t="inlineStr"/>
      <c r="P2065" t="inlineStr"/>
      <c r="Q2065" t="inlineStr"/>
      <c r="R2065" t="inlineStr"/>
      <c r="S2065" t="inlineStr"/>
    </row>
    <row r="2066">
      <c r="A2066">
        <f>Skills!A17</f>
        <v/>
      </c>
      <c r="B2066">
        <f>Skills!B17</f>
        <v/>
      </c>
      <c r="C2066">
        <f>Inputs!$B$3&gt;=74</f>
        <v/>
      </c>
      <c r="D2066">
        <f>IF(Skills!C17=1,60+Inputs!$B$25+Inputs!$B$29,IF(Skills!C17=2,90+Inputs!$B$26+Inputs!$B$29,IF(Skills!C17=3,120+Inputs!$B$27+Inputs!$B$29,MAX(0,(Inputs!$B$3-100)*3)+Inputs!$B$28+Inputs!$B$29)))</f>
        <v/>
      </c>
      <c r="E2066">
        <f>INDEX(FactorTable!$B$2:$Y$301, MATCH(ROUND(MIN(300,MAX(1,D2066)),0), FactorTable!$A$2:$A$301,0), Skills!M17+1)</f>
        <v/>
      </c>
      <c r="F2066">
        <f>IF(Skills!N17=TRUE,(Skills!L17/10)*(E2066/1000),Skills!L17/10)+Skills!O17</f>
        <v/>
      </c>
      <c r="G2066">
        <f>Skills!G17*IF(Skills!H17&gt;0,INT(IF(Inputs!$B$38="pvp",MIN(Skills!I17,15),Skills!I17)/Skills!H17+0.000000001),1)</f>
        <v/>
      </c>
      <c r="H2066">
        <f>1-(1-Skills!J17/100)^Skills!K17</f>
        <v/>
      </c>
      <c r="I2066" t="inlineStr">
        <is>
          <t>1</t>
        </is>
      </c>
      <c r="J2066" t="inlineStr"/>
      <c r="K2066" t="inlineStr"/>
      <c r="L2066" t="inlineStr"/>
      <c r="M2066" t="inlineStr"/>
      <c r="N2066" t="inlineStr"/>
      <c r="O2066">
        <f>(1-Summary!$B$11)*T2066+Summary!$B$11*V2066</f>
        <v/>
      </c>
      <c r="P2066">
        <f>IF(B2090=0,0,O2066/B2090)</f>
        <v/>
      </c>
      <c r="Q2066" t="n">
        <v>0</v>
      </c>
      <c r="R2066" t="n">
        <v>0</v>
      </c>
      <c r="S2066">
        <f>IFERROR(O2066/N2066,0)</f>
        <v/>
      </c>
      <c r="T2066" t="n">
        <v>0</v>
      </c>
      <c r="V2066" t="n">
        <v>0</v>
      </c>
    </row>
    <row r="2067">
      <c r="A2067">
        <f>Skills!A18</f>
        <v/>
      </c>
      <c r="B2067">
        <f>Skills!B18</f>
        <v/>
      </c>
      <c r="C2067">
        <f>Inputs!$B$3&gt;=115</f>
        <v/>
      </c>
      <c r="D2067">
        <f>IF(Skills!C18=1,60+Inputs!$B$25+Inputs!$B$29,IF(Skills!C18=2,90+Inputs!$B$26+Inputs!$B$29,IF(Skills!C18=3,120+Inputs!$B$27+Inputs!$B$29,MAX(0,(Inputs!$B$3-100)*3)+Inputs!$B$28+Inputs!$B$29)))</f>
        <v/>
      </c>
      <c r="E2067">
        <f>INDEX(FactorTable!$B$2:$Y$301, MATCH(ROUND(MIN(300,MAX(1,D2067)),0), FactorTable!$A$2:$A$301,0), Skills!M18+1)</f>
        <v/>
      </c>
      <c r="F2067">
        <f>IF(Skills!N18=TRUE,(Skills!L18/10)*(E2067/1000),Skills!L18/10)+Skills!O18</f>
        <v/>
      </c>
      <c r="G2067">
        <f>Skills!G18*IF(Skills!H18&gt;0,INT(IF(Inputs!$B$38="pvp",MIN(Skills!I18,15),Skills!I18)/Skills!H18+0.000000001),1)</f>
        <v/>
      </c>
      <c r="H2067">
        <f>1-(1-Skills!J18/100)^Skills!K18</f>
        <v/>
      </c>
      <c r="I2067" t="inlineStr">
        <is>
          <t>1</t>
        </is>
      </c>
      <c r="J2067" t="inlineStr"/>
      <c r="K2067" t="inlineStr"/>
      <c r="L2067" t="inlineStr"/>
      <c r="M2067" t="inlineStr"/>
      <c r="N2067" t="inlineStr"/>
      <c r="O2067">
        <f>(1-Summary!$B$11)*T2067+Summary!$B$11*V2067</f>
        <v/>
      </c>
      <c r="P2067">
        <f>IF(B2090=0,0,O2067/B2090)</f>
        <v/>
      </c>
      <c r="Q2067">
        <f>IFERROR(1/(IF(Inputs!$B$38="pvp",15,MAX(0.1,Skills!D18-IF(TRUE=TRUE,Inputs!$B$32,0)))*(1-IF(AND(ArtifactsInput!$M$27,Inputs!$B$4="Chapter Hunt"),CHOOSE(ArtifactsInput!$N$27+1,20,24,28,32,36,40),0)/100)),0)</f>
        <v/>
      </c>
      <c r="R2067">
        <f>IF(AND(Inputs!$B$38&lt;&gt;"pvp",Inputs!$B$43&gt;0),IF(Inputs!$B$43&lt;=0,0,(INT(Inputs!$B$43/(IF(Inputs!$B$38="pvp",15,MAX(0.1,Skills!D18-IF(TRUE=TRUE,Inputs!$B$32,0)))*(1-IF(AND(ArtifactsInput!$M$27,Inputs!$B$4="Chapter Hunt"),CHOOSE(ArtifactsInput!$N$27+1,20,24,28,32,36,40),0)/100)))+1)),0)</f>
        <v/>
      </c>
      <c r="S2067">
        <f>IFERROR(O2067/N2067,0)</f>
        <v/>
      </c>
      <c r="T2067" t="n">
        <v>0</v>
      </c>
      <c r="V2067" t="n">
        <v>0</v>
      </c>
    </row>
    <row r="2068">
      <c r="A2068">
        <f>Skills!A19</f>
        <v/>
      </c>
      <c r="B2068">
        <f>Skills!B19</f>
        <v/>
      </c>
      <c r="C2068">
        <f>Inputs!$B$3&gt;=10</f>
        <v/>
      </c>
      <c r="D2068">
        <f>IF(Skills!C19=1,60+Inputs!$B$25+Inputs!$B$29,IF(Skills!C19=2,90+Inputs!$B$26+Inputs!$B$29,IF(Skills!C19=3,120+Inputs!$B$27+Inputs!$B$29,MAX(0,(Inputs!$B$3-100)*3)+Inputs!$B$28+Inputs!$B$29)))</f>
        <v/>
      </c>
      <c r="E2068">
        <f>INDEX(FactorTable!$B$2:$Y$301, MATCH(ROUND(MIN(300,MAX(1,D2068)),0), FactorTable!$A$2:$A$301,0), Skills!M19+1)</f>
        <v/>
      </c>
      <c r="F2068">
        <f>IF(Skills!N19=TRUE,(Skills!L19/10)*(E2068/1000),Skills!L19/10)+Skills!O19</f>
        <v/>
      </c>
      <c r="G2068">
        <f>Skills!G19*IF(Skills!H19&gt;0,INT(IF(Inputs!$B$38="pvp",MIN(Skills!I19,15),Skills!I19)/Skills!H19+0.000000001),1)</f>
        <v/>
      </c>
      <c r="H2068">
        <f>1-(1-Skills!J19/100)^Skills!K19</f>
        <v/>
      </c>
      <c r="I2068" t="inlineStr">
        <is>
          <t>1</t>
        </is>
      </c>
      <c r="J2068" t="inlineStr"/>
      <c r="K2068" t="inlineStr"/>
      <c r="L2068" t="inlineStr"/>
      <c r="M2068" t="inlineStr"/>
      <c r="N2068" t="inlineStr"/>
      <c r="O2068">
        <f>(1-Summary!$B$11)*T2068+Summary!$B$11*V2068</f>
        <v/>
      </c>
      <c r="P2068">
        <f>IF(B2090=0,0,O2068/B2090)</f>
        <v/>
      </c>
      <c r="Q2068" t="n">
        <v>0</v>
      </c>
      <c r="R2068" t="n">
        <v>0</v>
      </c>
      <c r="S2068">
        <f>IFERROR(O2068/N2068,0)</f>
        <v/>
      </c>
      <c r="T2068" t="n">
        <v>0</v>
      </c>
      <c r="V2068" t="n">
        <v>0</v>
      </c>
    </row>
    <row r="2069">
      <c r="A2069">
        <f>Skills!A20</f>
        <v/>
      </c>
      <c r="B2069">
        <f>Skills!B20</f>
        <v/>
      </c>
      <c r="C2069">
        <f>Inputs!$B$3&gt;=15</f>
        <v/>
      </c>
      <c r="D2069">
        <f>IF(Skills!C20=1,60+Inputs!$B$25+Inputs!$B$29,IF(Skills!C20=2,90+Inputs!$B$26+Inputs!$B$29,IF(Skills!C20=3,120+Inputs!$B$27+Inputs!$B$29,MAX(0,(Inputs!$B$3-100)*3)+Inputs!$B$28+Inputs!$B$29)))</f>
        <v/>
      </c>
      <c r="E2069">
        <f>INDEX(FactorTable!$B$2:$Y$301, MATCH(ROUND(MIN(300,MAX(1,D2069)),0), FactorTable!$A$2:$A$301,0), Skills!M20+1)</f>
        <v/>
      </c>
      <c r="F2069">
        <f>IF(Skills!N20=TRUE,(Skills!L20/10)*(E2069/1000),Skills!L20/10)+Skills!O20</f>
        <v/>
      </c>
      <c r="G2069">
        <f>Skills!G20*IF(Skills!H20&gt;0,INT(IF(Inputs!$B$38="pvp",MIN(Skills!I20,15),Skills!I20)/Skills!H20+0.000000001),1)</f>
        <v/>
      </c>
      <c r="H2069">
        <f>1-(1-Skills!J20/100)^Skills!K20</f>
        <v/>
      </c>
      <c r="I2069" t="inlineStr">
        <is>
          <t>1</t>
        </is>
      </c>
      <c r="J2069" t="inlineStr"/>
      <c r="K2069" t="inlineStr"/>
      <c r="L2069" t="inlineStr"/>
      <c r="M2069" t="inlineStr"/>
      <c r="N2069" t="inlineStr"/>
      <c r="O2069">
        <f>(1-Summary!$B$11)*T2069+Summary!$B$11*V2069</f>
        <v/>
      </c>
      <c r="P2069">
        <f>IF(B2090=0,0,O2069/B2090)</f>
        <v/>
      </c>
      <c r="Q2069" t="n">
        <v>0</v>
      </c>
      <c r="R2069" t="n">
        <v>0</v>
      </c>
      <c r="S2069">
        <f>IFERROR(O2069/N2069,0)</f>
        <v/>
      </c>
      <c r="T2069" t="n">
        <v>0</v>
      </c>
      <c r="V2069" t="n">
        <v>0</v>
      </c>
    </row>
    <row r="2070">
      <c r="A2070">
        <f>Skills!A21</f>
        <v/>
      </c>
      <c r="B2070">
        <f>Skills!B21</f>
        <v/>
      </c>
      <c r="C2070">
        <f>Inputs!$B$3&gt;=40</f>
        <v/>
      </c>
      <c r="D2070">
        <f>IF(Skills!C21=1,60+Inputs!$B$25+Inputs!$B$29,IF(Skills!C21=2,90+Inputs!$B$26+Inputs!$B$29,IF(Skills!C21=3,120+Inputs!$B$27+Inputs!$B$29,MAX(0,(Inputs!$B$3-100)*3)+Inputs!$B$28+Inputs!$B$29)))</f>
        <v/>
      </c>
      <c r="E2070">
        <f>INDEX(FactorTable!$B$2:$Y$301, MATCH(ROUND(MIN(300,MAX(1,D2070)),0), FactorTable!$A$2:$A$301,0), Skills!M21+1)</f>
        <v/>
      </c>
      <c r="F2070">
        <f>IF(Skills!N21=TRUE,(Skills!L21/10)*(E2070/1000),Skills!L21/10)+Skills!O21</f>
        <v/>
      </c>
      <c r="G2070">
        <f>Skills!G21*IF(Skills!H21&gt;0,INT(IF(Inputs!$B$38="pvp",MIN(Skills!I21,15),Skills!I21)/Skills!H21+0.000000001),1)</f>
        <v/>
      </c>
      <c r="H2070">
        <f>1-(1-Skills!J21/100)^Skills!K21</f>
        <v/>
      </c>
      <c r="I2070" t="inlineStr">
        <is>
          <t>1</t>
        </is>
      </c>
      <c r="J2070" t="inlineStr"/>
      <c r="K2070" t="inlineStr"/>
      <c r="L2070" t="inlineStr"/>
      <c r="M2070" t="inlineStr"/>
      <c r="N2070" t="inlineStr"/>
      <c r="O2070">
        <f>(1-Summary!$B$11)*T2070+Summary!$B$11*V2070</f>
        <v/>
      </c>
      <c r="P2070">
        <f>IF(B2090=0,0,O2070/B2090)</f>
        <v/>
      </c>
      <c r="Q2070" t="n">
        <v>0</v>
      </c>
      <c r="R2070" t="n">
        <v>0</v>
      </c>
      <c r="S2070">
        <f>IFERROR(O2070/N2070,0)</f>
        <v/>
      </c>
      <c r="T2070" t="n">
        <v>0</v>
      </c>
      <c r="V2070" t="n">
        <v>0</v>
      </c>
    </row>
    <row r="2071">
      <c r="A2071">
        <f>Skills!A22</f>
        <v/>
      </c>
      <c r="B2071">
        <f>Skills!B22</f>
        <v/>
      </c>
      <c r="C2071">
        <f>Inputs!$B$3&gt;=43</f>
        <v/>
      </c>
      <c r="D2071">
        <f>IF(Skills!C22=1,60+Inputs!$B$25+Inputs!$B$29,IF(Skills!C22=2,90+Inputs!$B$26+Inputs!$B$29,IF(Skills!C22=3,120+Inputs!$B$27+Inputs!$B$29,MAX(0,(Inputs!$B$3-100)*3)+Inputs!$B$28+Inputs!$B$29)))</f>
        <v/>
      </c>
      <c r="E2071">
        <f>INDEX(FactorTable!$B$2:$Y$301, MATCH(ROUND(MIN(300,MAX(1,D2071)),0), FactorTable!$A$2:$A$301,0), Skills!M22+1)</f>
        <v/>
      </c>
      <c r="F2071">
        <f>IF(Skills!N22=TRUE,(Skills!L22/10)*(E2071/1000),Skills!L22/10)+Skills!O22</f>
        <v/>
      </c>
      <c r="G2071">
        <f>Skills!G22*IF(Skills!H22&gt;0,INT(IF(Inputs!$B$38="pvp",MIN(Skills!I22,15),Skills!I22)/Skills!H22+0.000000001),1)</f>
        <v/>
      </c>
      <c r="H2071">
        <f>1-(1-Skills!J22/100)^Skills!K22</f>
        <v/>
      </c>
      <c r="I2071" t="inlineStr">
        <is>
          <t>1</t>
        </is>
      </c>
      <c r="J2071" t="inlineStr"/>
      <c r="K2071" t="inlineStr"/>
      <c r="L2071" t="inlineStr"/>
      <c r="M2071" t="inlineStr"/>
      <c r="N2071" t="inlineStr"/>
      <c r="O2071">
        <f>(1-Summary!$B$11)*T2071+Summary!$B$11*V2071</f>
        <v/>
      </c>
      <c r="P2071">
        <f>IF(B2090=0,0,O2071/B2090)</f>
        <v/>
      </c>
      <c r="Q2071" t="n">
        <v>0</v>
      </c>
      <c r="R2071" t="n">
        <v>0</v>
      </c>
      <c r="S2071">
        <f>IFERROR(O2071/N2071,0)</f>
        <v/>
      </c>
      <c r="T2071" t="n">
        <v>0</v>
      </c>
      <c r="V2071" t="n">
        <v>0</v>
      </c>
    </row>
    <row r="2072">
      <c r="A2072">
        <f>Skills!A23</f>
        <v/>
      </c>
      <c r="B2072">
        <f>Skills!B23</f>
        <v/>
      </c>
      <c r="C2072">
        <f>Inputs!$B$3&gt;=38</f>
        <v/>
      </c>
      <c r="D2072">
        <f>IF(Skills!C23=1,60+Inputs!$B$25+Inputs!$B$29,IF(Skills!C23=2,90+Inputs!$B$26+Inputs!$B$29,IF(Skills!C23=3,120+Inputs!$B$27+Inputs!$B$29,MAX(0,(Inputs!$B$3-100)*3)+Inputs!$B$28+Inputs!$B$29)))</f>
        <v/>
      </c>
      <c r="E2072">
        <f>INDEX(FactorTable!$B$2:$Y$301, MATCH(ROUND(MIN(300,MAX(1,D2072)),0), FactorTable!$A$2:$A$301,0), Skills!M23+1)</f>
        <v/>
      </c>
      <c r="F2072">
        <f>IF(Skills!N23=TRUE,(Skills!L23/10)*(E2072/1000),Skills!L23/10)+Skills!O23</f>
        <v/>
      </c>
      <c r="G2072">
        <f>Skills!G23*IF(Skills!H23&gt;0,INT(IF(Inputs!$B$38="pvp",MIN(Skills!I23,15),Skills!I23)/Skills!H23+0.000000001),1)</f>
        <v/>
      </c>
      <c r="H2072">
        <f>1-(1-Skills!J23/100)^Skills!K23</f>
        <v/>
      </c>
      <c r="I2072" t="inlineStr">
        <is>
          <t>1</t>
        </is>
      </c>
      <c r="J2072" t="inlineStr"/>
      <c r="K2072" t="inlineStr"/>
      <c r="L2072" t="inlineStr"/>
      <c r="M2072" t="inlineStr"/>
      <c r="N2072" t="inlineStr"/>
      <c r="O2072">
        <f>(1-Summary!$B$11)*T2072+Summary!$B$11*V2072</f>
        <v/>
      </c>
      <c r="P2072">
        <f>IF(B2090=0,0,O2072/B2090)</f>
        <v/>
      </c>
      <c r="Q2072" t="n">
        <v>0</v>
      </c>
      <c r="R2072" t="n">
        <v>0</v>
      </c>
      <c r="S2072">
        <f>IFERROR(O2072/N2072,0)</f>
        <v/>
      </c>
      <c r="T2072" t="n">
        <v>0</v>
      </c>
      <c r="V2072" t="n">
        <v>0</v>
      </c>
    </row>
    <row r="2073">
      <c r="A2073">
        <f>Skills!A24</f>
        <v/>
      </c>
      <c r="B2073">
        <f>Skills!B24</f>
        <v/>
      </c>
      <c r="C2073">
        <f>Inputs!$B$3&gt;=45</f>
        <v/>
      </c>
      <c r="D2073">
        <f>IF(Skills!C24=1,60+Inputs!$B$25+Inputs!$B$29,IF(Skills!C24=2,90+Inputs!$B$26+Inputs!$B$29,IF(Skills!C24=3,120+Inputs!$B$27+Inputs!$B$29,MAX(0,(Inputs!$B$3-100)*3)+Inputs!$B$28+Inputs!$B$29)))</f>
        <v/>
      </c>
      <c r="E2073">
        <f>INDEX(FactorTable!$B$2:$Y$301, MATCH(ROUND(MIN(300,MAX(1,D2073)),0), FactorTable!$A$2:$A$301,0), Skills!M24+1)</f>
        <v/>
      </c>
      <c r="F2073">
        <f>IF(Skills!N24=TRUE,(Skills!L24/10)*(E2073/1000),Skills!L24/10)+Skills!O24</f>
        <v/>
      </c>
      <c r="G2073">
        <f>Skills!G24*IF(Skills!H24&gt;0,INT(IF(Inputs!$B$38="pvp",MIN(Skills!I24,15),Skills!I24)/Skills!H24+0.000000001),1)</f>
        <v/>
      </c>
      <c r="H2073">
        <f>1-(1-Skills!J24/100)^Skills!K24</f>
        <v/>
      </c>
      <c r="I2073" t="inlineStr">
        <is>
          <t>1</t>
        </is>
      </c>
      <c r="J2073" t="inlineStr"/>
      <c r="K2073" t="inlineStr"/>
      <c r="L2073" t="inlineStr"/>
      <c r="M2073" t="inlineStr"/>
      <c r="N2073" t="inlineStr"/>
      <c r="O2073">
        <f>(1-Summary!$B$11)*T2073+Summary!$B$11*V2073</f>
        <v/>
      </c>
      <c r="P2073">
        <f>IF(B2090=0,0,O2073/B2090)</f>
        <v/>
      </c>
      <c r="Q2073" t="n">
        <v>0</v>
      </c>
      <c r="R2073" t="n">
        <v>0</v>
      </c>
      <c r="S2073">
        <f>IFERROR(O2073/N2073,0)</f>
        <v/>
      </c>
      <c r="T2073" t="n">
        <v>0</v>
      </c>
      <c r="V2073" t="n">
        <v>0</v>
      </c>
    </row>
    <row r="2074">
      <c r="A2074">
        <f>Skills!A25</f>
        <v/>
      </c>
      <c r="B2074">
        <f>Skills!B25</f>
        <v/>
      </c>
      <c r="C2074">
        <f>Inputs!$B$3&gt;=72</f>
        <v/>
      </c>
      <c r="D2074">
        <f>IF(Skills!C25=1,60+Inputs!$B$25+Inputs!$B$29,IF(Skills!C25=2,90+Inputs!$B$26+Inputs!$B$29,IF(Skills!C25=3,120+Inputs!$B$27+Inputs!$B$29,MAX(0,(Inputs!$B$3-100)*3)+Inputs!$B$28+Inputs!$B$29)))</f>
        <v/>
      </c>
      <c r="E2074">
        <f>INDEX(FactorTable!$B$2:$Y$301, MATCH(ROUND(MIN(300,MAX(1,D2074)),0), FactorTable!$A$2:$A$301,0), Skills!M25+1)</f>
        <v/>
      </c>
      <c r="F2074">
        <f>IF(Skills!N25=TRUE,(Skills!L25/10)*(E2074/1000),Skills!L25/10)+Skills!O25</f>
        <v/>
      </c>
      <c r="G2074">
        <f>Skills!G25*IF(Skills!H25&gt;0,INT(IF(Inputs!$B$38="pvp",MIN(Skills!I25,15),Skills!I25)/Skills!H25+0.000000001),1)</f>
        <v/>
      </c>
      <c r="H2074">
        <f>1-(1-Skills!J25/100)^Skills!K25</f>
        <v/>
      </c>
      <c r="I2074" t="inlineStr">
        <is>
          <t>1</t>
        </is>
      </c>
      <c r="J2074" t="inlineStr"/>
      <c r="K2074" t="inlineStr"/>
      <c r="L2074" t="inlineStr"/>
      <c r="M2074" t="inlineStr"/>
      <c r="N2074" t="inlineStr"/>
      <c r="O2074">
        <f>(1-Summary!$B$11)*T2074+Summary!$B$11*V2074</f>
        <v/>
      </c>
      <c r="P2074">
        <f>IF(B2090=0,0,O2074/B2090)</f>
        <v/>
      </c>
      <c r="Q2074" t="n">
        <v>0</v>
      </c>
      <c r="R2074" t="n">
        <v>0</v>
      </c>
      <c r="S2074">
        <f>IFERROR(O2074/N2074,0)</f>
        <v/>
      </c>
      <c r="T2074" t="n">
        <v>0</v>
      </c>
      <c r="V2074" t="n">
        <v>0</v>
      </c>
    </row>
    <row r="2075">
      <c r="A2075">
        <f>Skills!A26</f>
        <v/>
      </c>
      <c r="B2075">
        <f>Skills!B26</f>
        <v/>
      </c>
      <c r="C2075">
        <f>Inputs!$B$3&gt;=75</f>
        <v/>
      </c>
      <c r="D2075">
        <f>IF(Skills!C26=1,60+Inputs!$B$25+Inputs!$B$29,IF(Skills!C26=2,90+Inputs!$B$26+Inputs!$B$29,IF(Skills!C26=3,120+Inputs!$B$27+Inputs!$B$29,MAX(0,(Inputs!$B$3-100)*3)+Inputs!$B$28+Inputs!$B$29)))</f>
        <v/>
      </c>
      <c r="E2075">
        <f>INDEX(FactorTable!$B$2:$Y$301, MATCH(ROUND(MIN(300,MAX(1,D2075)),0), FactorTable!$A$2:$A$301,0), Skills!M26+1)</f>
        <v/>
      </c>
      <c r="F2075">
        <f>IF(Skills!N26=TRUE,(Skills!L26/10)*(E2075/1000),Skills!L26/10)+Skills!O26</f>
        <v/>
      </c>
      <c r="G2075">
        <f>Skills!G26*IF(Skills!H26&gt;0,INT(IF(Inputs!$B$38="pvp",MIN(Skills!I26,15),Skills!I26)/Skills!H26+0.000000001),1)</f>
        <v/>
      </c>
      <c r="H2075">
        <f>1-(1-Skills!J26/100)^Skills!K26</f>
        <v/>
      </c>
      <c r="I2075" t="inlineStr">
        <is>
          <t>1</t>
        </is>
      </c>
      <c r="J2075" t="inlineStr"/>
      <c r="K2075" t="inlineStr"/>
      <c r="L2075" t="inlineStr"/>
      <c r="M2075" t="inlineStr"/>
      <c r="N2075" t="inlineStr"/>
      <c r="O2075">
        <f>(1-Summary!$B$11)*T2075+Summary!$B$11*V2075</f>
        <v/>
      </c>
      <c r="P2075">
        <f>IF(B2090=0,0,O2075/B2090)</f>
        <v/>
      </c>
      <c r="Q2075" t="n">
        <v>0</v>
      </c>
      <c r="R2075" t="n">
        <v>0</v>
      </c>
      <c r="S2075">
        <f>IFERROR(O2075/N2075,0)</f>
        <v/>
      </c>
      <c r="T2075" t="n">
        <v>0</v>
      </c>
      <c r="V2075" t="n">
        <v>0</v>
      </c>
    </row>
    <row r="2076">
      <c r="A2076">
        <f>Skills!A27</f>
        <v/>
      </c>
      <c r="B2076">
        <f>Skills!B27</f>
        <v/>
      </c>
      <c r="C2076">
        <f>Inputs!$B$3&gt;=125</f>
        <v/>
      </c>
      <c r="D2076">
        <f>IF(Skills!C27=1,60+Inputs!$B$25+Inputs!$B$29,IF(Skills!C27=2,90+Inputs!$B$26+Inputs!$B$29,IF(Skills!C27=3,120+Inputs!$B$27+Inputs!$B$29,MAX(0,(Inputs!$B$3-100)*3)+Inputs!$B$28+Inputs!$B$29)))</f>
        <v/>
      </c>
      <c r="E2076">
        <f>INDEX(FactorTable!$B$2:$Y$301, MATCH(ROUND(MIN(300,MAX(1,D2076)),0), FactorTable!$A$2:$A$301,0), Skills!M27+1)</f>
        <v/>
      </c>
      <c r="F2076">
        <f>IF(Skills!N27=TRUE,(Skills!L27/10)*(E2076/1000),Skills!L27/10)+Skills!O27</f>
        <v/>
      </c>
      <c r="G2076">
        <f>Skills!G27*IF(Skills!H27&gt;0,INT(IF(Inputs!$B$38="pvp",MIN(Skills!I27,15),Skills!I27)/Skills!H27+0.000000001),1)</f>
        <v/>
      </c>
      <c r="H2076">
        <f>1-(1-Skills!J27/100)^Skills!K27</f>
        <v/>
      </c>
      <c r="I2076" t="inlineStr">
        <is>
          <t>1</t>
        </is>
      </c>
      <c r="J2076" t="inlineStr"/>
      <c r="K2076" t="inlineStr"/>
      <c r="L2076" t="inlineStr"/>
      <c r="M2076" t="inlineStr"/>
      <c r="N2076" t="inlineStr"/>
      <c r="O2076">
        <f>(1-Summary!$B$11)*T2076+Summary!$B$11*V2076</f>
        <v/>
      </c>
      <c r="P2076">
        <f>IF(B2090=0,0,O2076/B2090)</f>
        <v/>
      </c>
      <c r="Q2076" t="n">
        <v>0</v>
      </c>
      <c r="R2076" t="n">
        <v>0</v>
      </c>
      <c r="S2076">
        <f>IFERROR(O2076/N2076,0)</f>
        <v/>
      </c>
      <c r="T2076" t="n">
        <v>0</v>
      </c>
      <c r="V2076" t="n">
        <v>0</v>
      </c>
    </row>
    <row r="2077">
      <c r="A2077">
        <f>Skills!A28</f>
        <v/>
      </c>
      <c r="B2077">
        <f>Skills!B28</f>
        <v/>
      </c>
      <c r="C2077">
        <f>TRUE</f>
        <v/>
      </c>
      <c r="D2077">
        <f>IF(Skills!C28=1,60+Inputs!$B$25+Inputs!$B$29,IF(Skills!C28=2,90+Inputs!$B$26+Inputs!$B$29,IF(Skills!C28=3,120+Inputs!$B$27+Inputs!$B$29,MAX(0,(Inputs!$B$3-100)*3)+Inputs!$B$28+Inputs!$B$29)))</f>
        <v/>
      </c>
      <c r="E2077">
        <f>INDEX(FactorTable!$B$2:$Y$301, MATCH(ROUND(MIN(300,MAX(1,D2077)),0), FactorTable!$A$2:$A$301,0), Skills!M28+1)</f>
        <v/>
      </c>
      <c r="F2077">
        <f>IF(Skills!N28=TRUE,(Skills!L28/10)*(E2077/1000),Skills!L28/10)+Skills!O28</f>
        <v/>
      </c>
      <c r="G2077">
        <f>Skills!G28*IF(Skills!H28&gt;0,INT(IF(Inputs!$B$38="pvp",MIN(Skills!I28,15),Skills!I28)/Skills!H28+0.000000001),1)</f>
        <v/>
      </c>
      <c r="H2077">
        <f>1-(1-Skills!J28/100)^Skills!K28</f>
        <v/>
      </c>
      <c r="I2077" t="inlineStr">
        <is>
          <t>1</t>
        </is>
      </c>
      <c r="J2077" t="inlineStr"/>
      <c r="K2077" t="inlineStr"/>
      <c r="L2077" t="inlineStr"/>
      <c r="M2077" t="inlineStr"/>
      <c r="N2077" t="inlineStr"/>
      <c r="O2077">
        <f>(1-Summary!$B$11)*T2077+Summary!$B$11*V2077</f>
        <v/>
      </c>
      <c r="P2077">
        <f>IF(B2090=0,0,O2077/B2090)</f>
        <v/>
      </c>
      <c r="Q2077">
        <f>IFERROR(1/(IF(Inputs!$B$38="pvp",15,MAX(0.1,Skills!D28-IF(TRUE=TRUE,Inputs!$B$32,0)))*(1-IF(AND(ArtifactsInput!$M$27,Inputs!$B$4="Chapter Hunt"),CHOOSE(ArtifactsInput!$N$27+1,20,24,28,32,36,40),0)/100)),0)</f>
        <v/>
      </c>
      <c r="R2077">
        <f>IF(AND(Inputs!$B$38&lt;&gt;"pvp",Inputs!$B$43&gt;0),IF(Inputs!$B$43&lt;=0,0,(INT(Inputs!$B$43/(IF(Inputs!$B$38="pvp",15,MAX(0.1,Skills!D28-IF(TRUE=TRUE,Inputs!$B$32,0)))*(1-IF(AND(ArtifactsInput!$M$27,Inputs!$B$4="Chapter Hunt"),CHOOSE(ArtifactsInput!$N$27+1,20,24,28,32,36,40),0)/100)))+1)),0)</f>
        <v/>
      </c>
      <c r="S2077">
        <f>IFERROR(O2077/N2077,0)</f>
        <v/>
      </c>
      <c r="T2077" t="n">
        <v>0</v>
      </c>
      <c r="V2077" t="n">
        <v>0</v>
      </c>
    </row>
    <row r="2079">
      <c r="A2079" t="inlineStr">
        <is>
          <t>Attack% Bucket Multiplier</t>
        </is>
      </c>
      <c r="B2079">
        <f>(1+(((C2066=TRUE)*F2066*5/7)+((C2073=TRUE)*(F2073-Calc!F24))+(IF(ArtifactsInput!$M$21,CHOOSE(ArtifactsInput!$N$21+1,25,30,35,40,45,50)*(IF(OR(Inputs!$B$4="Chapter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080">
      <c r="A2080" t="inlineStr">
        <is>
          <t>Global Crit Rate Bonus %</t>
        </is>
      </c>
      <c r="B2080" t="n">
        <v>0</v>
      </c>
    </row>
    <row r="2081">
      <c r="A2081" t="inlineStr">
        <is>
          <t>Attack Speed Buff Bonus % (Nimble Feet, duty-cycle averaged)</t>
        </is>
      </c>
      <c r="B2081">
        <f>((C2077=TRUE)*F2077*IF(AND(Inputs!$B$38&lt;&gt;"pvp",Inputs!$B$43&gt;0),(((R2077-1)*MIN((Skills!T28*(1+Inputs!$B$34/100)),(1/Q2077))+MIN((Skills!T28*(1+Inputs!$B$34/100)),MAX(0,Inputs!$B$43-((R2077-1)*(1/Q2077)))))/Inputs!$B$43),IF(Inputs!$B$38="pvp",MIN((Skills!T28*(1+Inputs!$B$34/100)),15)/15,MIN(1,(Skills!T28*(1+Inputs!$B$34/100))/(1/Q2077)))))</f>
        <v/>
      </c>
    </row>
    <row r="2082">
      <c r="A2082" t="inlineStr">
        <is>
          <t>Actions Per Second</t>
        </is>
      </c>
      <c r="B2082">
        <f>1+MIN(150,150*(1-(1-(Inputs!$B$11+((C2069=TRUE)*(F2069-Calc!F20))+((C2070=TRUE)*(F2070-Calc!F21)))/150)*(1-B2081/150)))/100</f>
        <v/>
      </c>
    </row>
    <row r="2083">
      <c r="A2083" t="inlineStr">
        <is>
          <t>Skill + Buff Cast Rate</t>
        </is>
      </c>
      <c r="B2083">
        <f>IF(AND(Inputs!$B$38&lt;&gt;"pvp",Inputs!$B$43&gt;0),SUMPRODUCT((Skills!E2:E28=TRUE)*(C2051:C2077=TRUE)*R2051:R2077*Skills!F2:F28)/Inputs!$B$43,SUMPRODUCT((Skills!E2:E28=TRUE)*(C2051:C2077=TRUE)*Q2051:Q2077*Skills!F2:F28))</f>
        <v/>
      </c>
    </row>
    <row r="2084">
      <c r="A2084" t="inlineStr">
        <is>
          <t>Eight-Legs Easton Casts Per Second</t>
        </is>
      </c>
      <c r="B2084">
        <f>MAX(0,B2082-B2083)</f>
        <v/>
      </c>
    </row>
    <row r="2085">
      <c r="A2085" t="inlineStr">
        <is>
          <t>Global Critical Damage Bonus % (unused)</t>
        </is>
      </c>
      <c r="B2085" t="n">
        <v>0</v>
      </c>
    </row>
    <row r="2086">
      <c r="A2086" t="inlineStr">
        <is>
          <t>Global Final Damage Bonus % (Jolly Roger + Ahoy Mateys - Final Damage proc)</t>
        </is>
      </c>
      <c r="B2086">
        <f>((C2067=TRUE)*F2067*IF(AND(Inputs!$B$38&lt;&gt;"pvp",Inputs!$B$43&gt;0),(((R2067-1)*MIN((Skills!T18*(1+Inputs!$B$34/100)),(1/Q2067))+MIN((Skills!T18*(1+Inputs!$B$34/100)),MAX(0,Inputs!$B$43-((R2067-1)*(1/Q2067)))))/Inputs!$B$43),IF(Inputs!$B$38="pvp",MIN((Skills!T18*(1+Inputs!$B$34/100)),15)/15,MIN(1,(Skills!T18*(1+Inputs!$B$34/100))/(1/Q2067)))))+IF(Inputs!$B$3&gt;=122,20*IF(Inputs!$B$38="pvp",MIN((20*(1+Inputs!$B$34/100)),15)/15,MIN(1,(20*(1+Inputs!$B$34/100))/(1/Q2053))),0)</f>
        <v/>
      </c>
    </row>
    <row r="2087">
      <c r="A2087" t="inlineStr">
        <is>
          <t>Buff-Casting Startup Delay (s, fixed-duration only)</t>
        </is>
      </c>
      <c r="B2087">
        <f>IF(AND(Inputs!$B$38&lt;&gt;"pvp",Inputs!$B$43&gt;0),SUMPRODUCT((Skills!T2:T28&gt;0)*(Skills!E2:E28=TRUE)*(C2051:C2077=TRUE))/B2082,0)</f>
        <v/>
      </c>
    </row>
    <row r="2088">
      <c r="A2088" t="inlineStr">
        <is>
          <t>Boss-Only Total DPS (this block's swept value)</t>
        </is>
      </c>
      <c r="B2088">
        <f>SUM(T2051:T2077)</f>
        <v/>
      </c>
    </row>
    <row r="2089">
      <c r="A2089" t="inlineStr">
        <is>
          <t>Normal-Only Total DPS (this block's swept value)</t>
        </is>
      </c>
      <c r="B2089">
        <f>SUM(V2051:V2077)</f>
        <v/>
      </c>
    </row>
    <row r="2090">
      <c r="A2090" s="6" t="inlineStr">
        <is>
          <t>TOTAL DPS</t>
        </is>
      </c>
      <c r="B2090" s="6">
        <f>SUM(O2051:O2077)</f>
        <v/>
      </c>
    </row>
    <row r="2091">
      <c r="A2091" t="inlineStr">
        <is>
          <t>Quickdraw cooldown divisor (this block's own APS / Q)</t>
        </is>
      </c>
      <c r="B2091">
        <f>IF(AND(C2076=TRUE,Inputs!$B$38&lt;&gt;"pvp"),1+0.25*MAX(0,(B2082-(((C2052=TRUE)*Q2052*1)+((C2053=TRUE)*Q2053*1)+((C2055=TRUE)*Q2055*1)+((C2056=TRUE)*Q2056*1)+((C2058=TRUE)*Q2058*1)+((C2061=TRUE)*Q2061*1)+((C2067=TRUE)*Q2067*1)+((C2077=TRUE)*Q2077*1))-((C2057=TRUE)/(IF(Inputs!$B$38="pvp",15,MAX(0.1,Skills!D8-IF(TRUE=TRUE,Inputs!$B$32,0)))*(1-IF(AND(ArtifactsInput!$M$27,Inputs!$B$4="Chapter Hunt"),CHOOSE(ArtifactsInput!$N$27+1,20,24,28,32,36,40),0)/100))+(C2060=TRUE)/(IF(Inputs!$B$38="pvp",15,MAX(0.1,Skills!D11-IF(TRUE=TRUE,Inputs!$B$32,0)))*(1-IF(AND(ArtifactsInput!$M$27,Inputs!$B$4="Chapter Hunt"),CHOOSE(ArtifactsInput!$N$27+1,20,24,28,32,36,40),0)/100))))/(1+0.25*((C2057=TRUE)/(IF(Inputs!$B$38="pvp",15,MAX(0.1,Skills!D8-IF(TRUE=TRUE,Inputs!$B$32,0)))*(1-IF(AND(ArtifactsInput!$M$27,Inputs!$B$4="Chapter Hunt"),CHOOSE(ArtifactsInput!$N$27+1,20,24,28,32,36,40),0)/100))+(C2060=TRUE)/(IF(Inputs!$B$38="pvp",15,MAX(0.1,Skills!D11-IF(TRUE=TRUE,Inputs!$B$32,0)))*(1-IF(AND(ArtifactsInput!$M$27,Inputs!$B$4="Chapter Hunt"),CHOOSE(ArtifactsInput!$N$27+1,20,24,28,32,36,40),0)/100))))),1)</f>
        <v/>
      </c>
    </row>
    <row r="2092">
      <c r="A2092" t="inlineStr">
        <is>
          <t>Nautilus Strike - Final Attack trigger rate (this block's own Q/R)</t>
        </is>
      </c>
      <c r="B2092">
        <f>IF(AND(Inputs!$B$38&lt;&gt;"pvp",Inputs!$B$43&gt;0),(((C2052=TRUE)*R2052)+((C2055=TRUE)*R2055)+((C2057=TRUE)*R2057)+((C2058=TRUE)*R2058)+((C2060=TRUE)*R2060))/Inputs!$B$43,((C2052=TRUE)*Q2052)+((C2055=TRUE)*Q2055)+((C2057=TRUE)*Q2057)+((C2058=TRUE)*Q2058)+((C2060=TRUE)*Q2060))+B2084</f>
        <v/>
      </c>
    </row>
    <row r="2095">
      <c r="A2095" s="6" t="inlineStr">
        <is>
          <t>Stat: Lunar Dew (Equip)</t>
        </is>
      </c>
    </row>
    <row r="2096">
      <c r="A2096" s="5" t="inlineStr">
        <is>
          <t>Key</t>
        </is>
      </c>
      <c r="B2096" s="5" t="inlineStr">
        <is>
          <t>Name</t>
        </is>
      </c>
      <c r="C2096" s="5" t="inlineStr">
        <is>
          <t>Unlocked</t>
        </is>
      </c>
      <c r="D2096" s="5" t="inlineStr">
        <is>
          <t>InputLevel</t>
        </is>
      </c>
      <c r="E2096" s="5" t="inlineStr">
        <is>
          <t>Factor</t>
        </is>
      </c>
      <c r="F2096" s="5" t="inlineStr">
        <is>
          <t>CoefficientPercent</t>
        </is>
      </c>
      <c r="G2096" s="5" t="inlineStr">
        <is>
          <t>EffectiveHits</t>
        </is>
      </c>
      <c r="H2096" s="5" t="inlineStr">
        <is>
          <t>ProcProbability</t>
        </is>
      </c>
      <c r="I2096" s="5" t="inlineStr">
        <is>
          <t>MapleHeroMultiplier</t>
        </is>
      </c>
      <c r="J2096" s="5" t="inlineStr">
        <is>
          <t>BaseDamage</t>
        </is>
      </c>
      <c r="K2096" s="5" t="inlineStr">
        <is>
          <t>BaseHitDamage</t>
        </is>
      </c>
      <c r="L2096" s="5" t="inlineStr">
        <is>
          <t>NonCritAvg</t>
        </is>
      </c>
      <c r="M2096" s="5" t="inlineStr">
        <is>
          <t>CritAvg</t>
        </is>
      </c>
      <c r="N2096" s="5" t="inlineStr">
        <is>
          <t>ExpectedDamage(perHit)</t>
        </is>
      </c>
      <c r="O2096" s="5" t="inlineStr">
        <is>
          <t>DPS</t>
        </is>
      </c>
      <c r="P2096" s="5" t="inlineStr">
        <is>
          <t>% of Total</t>
        </is>
      </c>
      <c r="Q2096" s="5" t="inlineStr">
        <is>
          <t>InvCooldown</t>
        </is>
      </c>
      <c r="R2096" s="5" t="inlineStr">
        <is>
          <t>CastsInFight</t>
        </is>
      </c>
      <c r="S2096" s="5" t="inlineStr">
        <is>
          <t>HitRate(perSec)</t>
        </is>
      </c>
      <c r="U2096" t="inlineStr">
        <is>
          <t>helpers</t>
        </is>
      </c>
    </row>
    <row r="2097">
      <c r="A2097">
        <f>Skills!A2</f>
        <v/>
      </c>
      <c r="B2097">
        <f>Skills!B2</f>
        <v/>
      </c>
      <c r="C2097">
        <f>Inputs!$B$3&gt;=100</f>
        <v/>
      </c>
      <c r="D2097" t="inlineStr"/>
      <c r="E2097" t="inlineStr"/>
      <c r="F2097">
        <f>U2099+Skills!O2</f>
        <v/>
      </c>
      <c r="G2097">
        <f>Skills!G2*IF(Skills!H2&gt;0,INT(IF(Inputs!$B$38="pvp",MIN(Skills!I2,15),Skills!I2)/Skills!H2+0.000000001),1)</f>
        <v/>
      </c>
      <c r="H2097">
        <f>1-(1-Skills!J2/100)^Skills!K2</f>
        <v/>
      </c>
      <c r="I2097" t="inlineStr">
        <is>
          <t>1</t>
        </is>
      </c>
      <c r="J2097">
        <f>((Inputs!$B$6*(1+Inputs!$B$7/100))+(((Inputs!$B$12*(1+Inputs!$B$13/100))-(Inputs!$B$12*(1+Inputs!$B$13/100)))+0.25*(Inputs!$B$14-Inputs!$B$14))*(1+Inputs!$B$7/100))*(F2097/100)</f>
        <v/>
      </c>
      <c r="K2097">
        <f>J2097*(1+((Inputs!$B$12*(1+Inputs!$B$13/100))*0.01+Inputs!$B$14*0.0025)/100)*(1+Inputs!$B$15/100)*(1+Inputs!$B$16/100)*(5000/(6000+Inputs!$B$42*(1-(100*(1-(1-(Inputs!$B$19+0)/100)*(1-CHOOSE(ArtifactsInput!$N$40+1,5,6,7,8,9,10)/100)^(ArtifactsInput!$M$40-ArtifactsInput!$M$40)))/100)))*(1+(Inputs!$B$24+((C2121=TRUE)*(F2121-Calc!F26))+B2132)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IGHT_LEGS_EASTON",Inputs!$B$17+((C2118=TRUE)*(F2118-Calc!F23))+((C2122=TRUE)*(F2122-Calc!F27))+((IF(AND(Inputs!$B$38&lt;&gt;"pvp",Inputs!$B$43=0),1,IF(IF(Inputs!$B$38="pvp",15,Inputs!$B$43)-(B2133)&lt;=0,1,MAX(0,IF(Inputs!$B$38="pvp",15,Inputs!$B$43)-MAX(5,B2133))/(IF(Inputs!$B$38="pvp",15,Inputs!$B$43)-(B2133))))*(IF(AND(ArtifactsInput!$M$42,((Inputs!$B$9+((C2114=TRUE)*(F2114-Calc!F19))+B2126+(ArtifactsInput!$M$24-ArtifactsInput!$M$24)*CHOOSE(ArtifactsInput!$N$24+1,10,12,14,16,18,20)+IF(ArtifactsInput!$M$10,CHOOSE(ArtifactsInput!$N$10+1,15,18,21,24,27,30)*(IF(Inputs!$B$38="pvp",MIN(15,15)/15,IF(AND(Inputs!$B$38&lt;&gt;"pvp",Inputs!$B$43&gt;0),MIN(15,Inputs!$B$43)/(Inputs!$B$43),0))),0)))&gt;=100),MIN(100,((Inputs!$B$9+((C2114=TRUE)*(F2114-Calc!F19))+B2126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2133)&lt;=0,1,MAX(0,IF(Inputs!$B$38="pvp",15,Inputs!$B$43)-MAX(5,B2133))/(IF(Inputs!$B$38="pvp",15,Inputs!$B$43)-(B2133))))*IF(AND(ArtifactsInput!$M$42,((Inputs!$B$9+((C2114=TRUE)*(F2114-Calc!F19))+B2126+(ArtifactsInput!$M$24-ArtifactsInput!$M$24)*CHOOSE(ArtifactsInput!$N$24+1,10,12,14,16,18,20)+IF(ArtifactsInput!$M$10,CHOOSE(ArtifactsInput!$N$10+1,15,18,21,24,27,30)*(IF(Inputs!$B$38="pvp",MIN(15,15)/15,IF(AND(Inputs!$B$38&lt;&gt;"pvp",Inputs!$B$43&gt;0),MIN(15,Inputs!$B$43)/(Inputs!$B$43),0))),0)))&gt;=100),CHOOSE(ArtifactsInput!$N$42+1,40,48,56,64,72,80),0))))/100)*((1+(((C2112=TRUE)*F2112*5/7)+((C2119=TRUE)*(F2119-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2097)</f>
        <v/>
      </c>
      <c r="L2097">
        <f>K2097*(MIN(Inputs!$B$22+((C2117=TRUE)*(F2117-Calc!F22)),(Inputs!$B$23+0+(IF(ArtifactsInput!$M$15,CHOOSE(ArtifactsInput!$N$15+1,25,30,35,40,45,50)/100*(Inputs!$B$11-Inputs!$B$11),0))))/100+(Inputs!$B$23+0+(IF(ArtifactsInput!$M$15,CHOOSE(ArtifactsInput!$N$15+1,25,30,35,40,45,50)/100*(Inputs!$B$11-Inputs!$B$11),0)))/100)/2</f>
        <v/>
      </c>
      <c r="M2097">
        <f>L2097*(1+(Inputs!$B$10+((C2120=TRUE)*(F2120-Calc!F25))+B2131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97">
        <f>L2097*(1-MIN((Inputs!$B$9+((C2114=TRUE)*(F2114-Calc!F19))+B2126+(ArtifactsInput!$M$24-ArtifactsInput!$M$24)*CHOOSE(ArtifactsInput!$N$24+1,10,12,14,16,18,20)+(IF(AND(Inputs!$B$38&lt;&gt;"pvp",Inputs!$B$43=0),1,IF(IF(Inputs!$B$38="pvp",15,Inputs!$B$43)-(B2133)&lt;=0,1,MAX(0,IF(Inputs!$B$38="pvp",15,Inputs!$B$43)-MAX(5,B2133))/(IF(Inputs!$B$38="pvp",15,Inputs!$B$43)-(B2133))))*IF(AND(ArtifactsInput!$M$42,((Inputs!$B$9+((C2114=TRUE)*(F2114-Calc!F19))+B2126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2097*(MIN((Inputs!$B$9+((C2114=TRUE)*(F2114-Calc!F19))+B2126+(ArtifactsInput!$M$24-ArtifactsInput!$M$24)*CHOOSE(ArtifactsInput!$N$24+1,10,12,14,16,18,20)+(IF(AND(Inputs!$B$38&lt;&gt;"pvp",Inputs!$B$43=0),1,IF(IF(Inputs!$B$38="pvp",15,Inputs!$B$43)-(B2133)&lt;=0,1,MAX(0,IF(Inputs!$B$38="pvp",15,Inputs!$B$43)-MAX(5,B2133))/(IF(Inputs!$B$38="pvp",15,Inputs!$B$43)-(B2133))))*IF(AND(ArtifactsInput!$M$42,((Inputs!$B$9+((C2114=TRUE)*(F2114-Calc!F19))+B2126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97">
        <f>(1-Summary!$B$11)*T2097+Summary!$B$11*V2097</f>
        <v/>
      </c>
      <c r="P2097">
        <f>IF(B2136=0,0,O2097/B2136)</f>
        <v/>
      </c>
      <c r="Q2097" t="n">
        <v>0</v>
      </c>
      <c r="R2097" t="n">
        <v>0</v>
      </c>
      <c r="S2097">
        <f>IFERROR(O2097/N2097,0)</f>
        <v/>
      </c>
      <c r="T2097">
        <f>IF(C2097,(Skills!G2*N2097*B2130*(1+IF(C2122=TRUE,1/3,0)))*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Hunt"),CHOOSE(ArtifactsInput!$N$35+1,15,18,21,24,27,30)*(1-EXP(-(0.2*B2128)*5)),0)+IF(AND(ArtifactsInput!$M$22,Inputs!$B$4&lt;&gt;"Chapter Hunt"),CHOOSE(ArtifactsInput!$N$22+1,10,12,14,16,18,20)*((0*(((0.15*B2128*5))^0/1)+1*(((0.15*B2128*5))^1/1)+2*(((0.15*B2128*5))^2/2)+3*(((0.15*B2128*5))^3/6)+4*(((0.15*B2128*5))^4/24)+5*(((0.15*B2128*5))^5/120))/((((0.15*B2128*5))^0/1)+(((0.15*B2128*5))^1/1)+(((0.15*B2128*5))^2/2)+(((0.15*B2128*5))^3/6)+(((0.15*B2128*5))^4/24)+(((0.15*B2128*5))^5/120))),0))+IF(Inputs!$B$3&gt;=54,9*(C2098=TRUE)*MIN(1,8*(1+Inputs!$B$34/100)*Q2098)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2097*(1-MIN(100,(Inputs!$B$9+((C2114=TRUE)*(F2114-Calc!F19))+B2126+(ArtifactsInput!$M$24-ArtifactsInput!$M$24)*CHOOSE(ArtifactsInput!$N$24+1,10,12,14,16,18,20)+(IF(AND(Inputs!$B$38&lt;&gt;"pvp",Inputs!$B$43=0),1,IF(IF(Inputs!$B$38="pvp",15,Inputs!$B$43)-(B2133)&lt;=0,1,MAX(0,IF(Inputs!$B$38="pvp",15,Inputs!$B$43)-MAX(5,B2133))/(IF(Inputs!$B$38="pvp",15,Inputs!$B$43)-(B2133))))*IF(AND(ArtifactsInput!$M$42,((Inputs!$B$9+((C2114=TRUE)*(F2114-Calc!F19))+B2126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2097*(MIN(100,(Inputs!$B$9+((C2114=TRUE)*(F2114-Calc!F19))+B2126+(ArtifactsInput!$M$24-ArtifactsInput!$M$24)*CHOOSE(ArtifactsInput!$N$24+1,10,12,14,16,18,20)+(IF(AND(Inputs!$B$38&lt;&gt;"pvp",Inputs!$B$43=0),1,IF(IF(Inputs!$B$38="pvp",15,Inputs!$B$43)-(B2133)&lt;=0,1,MAX(0,IF(Inputs!$B$38="pvp",15,Inputs!$B$43)-MAX(5,B2133))/(IF(Inputs!$B$38="pvp",15,Inputs!$B$43)-(B2133))))*IF(AND(ArtifactsInput!$M$42,((Inputs!$B$9+((C2114=TRUE)*(F2114-Calc!F19))+B2126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2097*(1-MIN(100,(Inputs!$B$9+((C2114=TRUE)*(F2114-Calc!F19))+B2126+(ArtifactsInput!$M$24-ArtifactsInput!$M$24)*CHOOSE(ArtifactsInput!$N$24+1,10,12,14,16,18,20)+(IF(AND(Inputs!$B$38&lt;&gt;"pvp",Inputs!$B$43=0),1,IF(IF(Inputs!$B$38="pvp",15,Inputs!$B$43)-(B2133)&lt;=0,1,MAX(0,IF(Inputs!$B$38="pvp",15,Inputs!$B$43)-MAX(5,B2133))/(IF(Inputs!$B$38="pvp",15,Inputs!$B$43)-(B2133))))*IF(AND(ArtifactsInput!$M$42,((Inputs!$B$9+((C2114=TRUE)*(F2114-Calc!F19))+B2126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2097*(MIN(100,(Inputs!$B$9+((C2114=TRUE)*(F2114-Calc!F19))+B2126+(ArtifactsInput!$M$24-ArtifactsInput!$M$24)*CHOOSE(ArtifactsInput!$N$24+1,10,12,14,16,18,20)+(IF(AND(Inputs!$B$38&lt;&gt;"pvp",Inputs!$B$43=0),1,IF(IF(Inputs!$B$38="pvp",15,Inputs!$B$43)-(B2133)&lt;=0,1,MAX(0,IF(Inputs!$B$38="pvp",15,Inputs!$B$43)-MAX(5,B2133))/(IF(Inputs!$B$38="pvp",15,Inputs!$B$43)-(B2133))))*IF(AND(ArtifactsInput!$M$42,((Inputs!$B$9+((C2114=TRUE)*(F2114-Calc!F19))+B2126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097">
        <f>MAX(0,(Inputs!$B$3-100)*3)+Inputs!$B$28+Inputs!$B$29</f>
        <v/>
      </c>
      <c r="V2097">
        <f>IF(C2097,(Skills!G2*N2097*B2130*(1+IF(C2122=TRUE,1/3,0)))*IF(Inputs!$B$38="pvp",1,(1+(Inputs!$B$21+Skills!Q2+(IF(ArtifactsInput!$M$33,CHOOSE(ArtifactsInput!$N$33+1,30,36,42,48,54,60),0))+(IF(AND(ArtifactsInput!$M$35,Inputs!$B$4&lt;&gt;"Chapter Hunt"),CHOOSE(ArtifactsInput!$N$35+1,15,18,21,24,27,30)*(1-EXP(-(0.2*B2128)*5)),0)+IF(AND(ArtifactsInput!$M$22,Inputs!$B$4&lt;&gt;"Chapter Hunt"),CHOOSE(ArtifactsInput!$N$22+1,10,12,14,16,18,20)*((0*(((0.15*B2128*5))^0/1)+1*(((0.15*B2128*5))^1/1)+2*(((0.15*B2128*5))^2/2)+3*(((0.15*B2128*5))^3/6)+4*(((0.15*B2128*5))^4/24)+5*(((0.15*B2128*5))^5/120))/((((0.15*B2128*5))^0/1)+(((0.15*B2128*5))^1/1)+(((0.15*B2128*5))^2/2)+(((0.15*B2128*5))^3/6)+(((0.15*B2128*5))^4/24)+(((0.15*B2128*5))^5/120))),0))+IF(Inputs!$B$3&gt;=54,9*(C2098=TRUE)*MIN(1,8*(1+Inputs!$B$34/100)*Q2098),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98">
      <c r="A2098">
        <f>Skills!A3</f>
        <v/>
      </c>
      <c r="B2098">
        <f>Skills!B3</f>
        <v/>
      </c>
      <c r="C2098">
        <f>Inputs!$B$3&gt;=33</f>
        <v/>
      </c>
      <c r="D2098">
        <f>IF(Skills!C3=1,60+Inputs!$B$25+Inputs!$B$29,IF(Skills!C3=2,90+Inputs!$B$26+Inputs!$B$29,IF(Skills!C3=3,120+Inputs!$B$27+Inputs!$B$29,MAX(0,(Inputs!$B$3-100)*3)+Inputs!$B$28+Inputs!$B$29)))</f>
        <v/>
      </c>
      <c r="E2098">
        <f>INDEX(FactorTable!$B$2:$Y$301, MATCH(ROUND(MIN(300,MAX(1,D2098)),0), FactorTable!$A$2:$A$301,0), Skills!M3+1)</f>
        <v/>
      </c>
      <c r="F2098">
        <f>IF(Skills!N3=TRUE,(Skills!L3/10)*(E2098/1000),Skills!L3/10)+Skills!O3</f>
        <v/>
      </c>
      <c r="G2098">
        <f>Skills!G3*IF(Skills!H3&gt;0,INT(IF(Inputs!$B$38="pvp",MIN(Skills!I3,15),Skills!I3)/Skills!H3+0.000000001),1)</f>
        <v/>
      </c>
      <c r="H2098">
        <f>1-(1-Skills!J3/100)^Skills!K3</f>
        <v/>
      </c>
      <c r="I2098" t="inlineStr">
        <is>
          <t>1</t>
        </is>
      </c>
      <c r="J2098">
        <f>((Inputs!$B$6*(1+Inputs!$B$7/100))+(((Inputs!$B$12*(1+Inputs!$B$13/100))-(Inputs!$B$12*(1+Inputs!$B$13/100)))+0.25*(Inputs!$B$14-Inputs!$B$14))*(1+Inputs!$B$7/100))*(F2098/100)</f>
        <v/>
      </c>
      <c r="K2098">
        <f>J2098*(1+((Inputs!$B$12*(1+Inputs!$B$13/100))*0.01+Inputs!$B$14*0.0025)/100)*(1+Inputs!$B$15/100)*(1+Inputs!$B$16/100)*(5000/(6000+Inputs!$B$42*(1-(100*(1-(1-(Inputs!$B$19+0)/100)*(1-CHOOSE(ArtifactsInput!$N$40+1,5,6,7,8,9,10)/100)^(ArtifactsInput!$M$40-ArtifactsInput!$M$40)))/100)))*(1+(Inputs!$B$24+((C2121=TRUE)*(F2121-Calc!F26))+B2132)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2110=TRUE,F2110,0)/100)*(1+(IF(Skills!A3="EIGHT_LEGS_EASTON",Inputs!$B$17+((C2118=TRUE)*(F2118-Calc!F23))+((C2122=TRUE)*(F2122-Calc!F27))+((IF(AND(Inputs!$B$38&lt;&gt;"pvp",Inputs!$B$43=0),1,IF(IF(Inputs!$B$38="pvp",15,Inputs!$B$43)-(B2133)&lt;=0,1,MAX(0,IF(Inputs!$B$38="pvp",15,Inputs!$B$43)-MAX(5,B2133))/(IF(Inputs!$B$38="pvp",15,Inputs!$B$43)-(B2133))))*(IF(AND(ArtifactsInput!$M$42,((Inputs!$B$9+((C2114=TRUE)*(F2114-Calc!F19))+B2126+(ArtifactsInput!$M$24-ArtifactsInput!$M$24)*CHOOSE(ArtifactsInput!$N$24+1,10,12,14,16,18,20)+IF(ArtifactsInput!$M$10,CHOOSE(ArtifactsInput!$N$10+1,15,18,21,24,27,30)*(IF(Inputs!$B$38="pvp",MIN(15,15)/15,IF(AND(Inputs!$B$38&lt;&gt;"pvp",Inputs!$B$43&gt;0),MIN(15,Inputs!$B$43)/(Inputs!$B$43),0))),0)))&gt;=100),MIN(100,((Inputs!$B$9+((C2114=TRUE)*(F2114-Calc!F19))+B2126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2133)&lt;=0,1,MAX(0,IF(Inputs!$B$38="pvp",15,Inputs!$B$43)-MAX(5,B2133))/(IF(Inputs!$B$38="pvp",15,Inputs!$B$43)-(B2133))))*IF(AND(ArtifactsInput!$M$42,((Inputs!$B$9+((C2114=TRUE)*(F2114-Calc!F19))+B2126+(ArtifactsInput!$M$24-ArtifactsInput!$M$24)*CHOOSE(ArtifactsInput!$N$24+1,10,12,14,16,18,20)+IF(ArtifactsInput!$M$10,CHOOSE(ArtifactsInput!$N$10+1,15,18,21,24,27,30)*(IF(Inputs!$B$38="pvp",MIN(15,15)/15,IF(AND(Inputs!$B$38&lt;&gt;"pvp",Inputs!$B$43&gt;0),MIN(15,Inputs!$B$43)/(Inputs!$B$43),0))),0)))&gt;=100),CHOOSE(ArtifactsInput!$N$42+1,40,48,56,64,72,80),0))))/100)*((1+(((C2112=TRUE)*F2112*5/7)+((C2119=TRUE)*(F2119-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2098)</f>
        <v/>
      </c>
      <c r="L2098">
        <f>K2098*(MIN(Inputs!$B$22+((C2117=TRUE)*(F2117-Calc!F22)),(Inputs!$B$23+0+(IF(ArtifactsInput!$M$15,CHOOSE(ArtifactsInput!$N$15+1,25,30,35,40,45,50)/100*(Inputs!$B$11-Inputs!$B$11),0))))/100+(Inputs!$B$23+0+(IF(ArtifactsInput!$M$15,CHOOSE(ArtifactsInput!$N$15+1,25,30,35,40,45,50)/100*(Inputs!$B$11-Inputs!$B$11),0)))/100)/2</f>
        <v/>
      </c>
      <c r="M2098">
        <f>L2098*(1+(Inputs!$B$10+((C2120=TRUE)*(F2120-Calc!F25))+B2131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98">
        <f>L2098*(1-MIN((Inputs!$B$9+((C2114=TRUE)*(F2114-Calc!F19))+B2126+(ArtifactsInput!$M$24-ArtifactsInput!$M$24)*CHOOSE(ArtifactsInput!$N$24+1,10,12,14,16,18,20)+(IF(AND(Inputs!$B$38&lt;&gt;"pvp",Inputs!$B$43=0),1,IF(IF(Inputs!$B$38="pvp",15,Inputs!$B$43)-(B2133)&lt;=0,1,MAX(0,IF(Inputs!$B$38="pvp",15,Inputs!$B$43)-MAX(5,B2133))/(IF(Inputs!$B$38="pvp",15,Inputs!$B$43)-(B2133))))*IF(AND(ArtifactsInput!$M$42,((Inputs!$B$9+((C2114=TRUE)*(F2114-Calc!F19))+B2126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2098*(MIN((Inputs!$B$9+((C2114=TRUE)*(F2114-Calc!F19))+B2126+(ArtifactsInput!$M$24-ArtifactsInput!$M$24)*CHOOSE(ArtifactsInput!$N$24+1,10,12,14,16,18,20)+(IF(AND(Inputs!$B$38&lt;&gt;"pvp",Inputs!$B$43=0),1,IF(IF(Inputs!$B$38="pvp",15,Inputs!$B$43)-(B2133)&lt;=0,1,MAX(0,IF(Inputs!$B$38="pvp",15,Inputs!$B$43)-MAX(5,B2133))/(IF(Inputs!$B$38="pvp",15,Inputs!$B$43)-(B2133))))*IF(AND(ArtifactsInput!$M$42,((Inputs!$B$9+((C2114=TRUE)*(F2114-Calc!F19))+B2126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98">
        <f>(1-Summary!$B$11)*T2098+Summary!$B$11*V2098</f>
        <v/>
      </c>
      <c r="P2098">
        <f>IF(B2136=0,0,O2098/B2136)</f>
        <v/>
      </c>
      <c r="Q2098">
        <f>IFERROR(1/(IF(Inputs!$B$38="pvp",15,MAX(0.1,Skills!D3-IF(TRUE=TRUE,Inputs!$B$32,0)))*(1-IF(AND(ArtifactsInput!$M$27,Inputs!$B$4="Chapter Hunt"),CHOOSE(ArtifactsInput!$N$27+1,20,24,28,32,36,40),0)/100)),0)</f>
        <v/>
      </c>
      <c r="R2098">
        <f>IF(AND(Inputs!$B$38&lt;&gt;"pvp",Inputs!$B$43&gt;0),IF(MAX(0,Inputs!$B$43-B2133)&lt;=0,0,(INT(MAX(0,Inputs!$B$43-B2133)/(IF(Inputs!$B$38="pvp",15,MAX(0.1,Skills!D3-IF(TRUE=TRUE,Inputs!$B$32,0)))*(1-IF(AND(ArtifactsInput!$M$27,Inputs!$B$4="Chapter Hunt"),CHOOSE(ArtifactsInput!$N$27+1,20,24,28,32,36,40),0)/100)))+1)),0)</f>
        <v/>
      </c>
      <c r="S2098">
        <f>IFERROR(O2098/N2098,0)</f>
        <v/>
      </c>
      <c r="T2098">
        <f>IF(C2098,(H2098*N2098*IF(AND(Inputs!$B$38&lt;&gt;"pvp",Inputs!$B$43&gt;0),((Skills!G3*((R2098-1)*IF(Skills!H3&gt;0,INT(Skills!I3/Skills!H3+0.000000001),1)+IF(Skills!H3&gt;0,INT(MIN(Skills!I3,MAX(0,MAX(0,Inputs!$B$43-B2133)-((R2098-1)*(IF(Inputs!$B$38="pvp",15,MAX(0.1,Skills!D3-IF(TRUE=TRUE,Inputs!$B$32,0)))*(1-IF(AND(ArtifactsInput!$M$27,Inputs!$B$4="Chapter Hunt"),CHOOSE(ArtifactsInput!$N$27+1,20,24,28,32,36,40),0)/100)))))/Skills!H3+0.000000001),1)))/Inputs!$B$43),G2098*Q2098))*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Hunt"),CHOOSE(ArtifactsInput!$N$35+1,15,18,21,24,27,30)*(1-EXP(-(0.2*B2128)*5)),0)+IF(AND(ArtifactsInput!$M$22,Inputs!$B$4&lt;&gt;"Chapter Hunt"),CHOOSE(ArtifactsInput!$N$22+1,10,12,14,16,18,20)*((0*(((0.15*B2128*5))^0/1)+1*(((0.15*B2128*5))^1/1)+2*(((0.15*B2128*5))^2/2)+3*(((0.15*B2128*5))^3/6)+4*(((0.15*B2128*5))^4/24)+5*(((0.15*B2128*5))^5/120))/((((0.15*B2128*5))^0/1)+(((0.15*B2128*5))^1/1)+(((0.15*B2128*5))^2/2)+(((0.15*B2128*5))^3/6)+(((0.15*B2128*5))^4/24)+(((0.15*B2128*5))^5/120))),0))+IF(Inputs!$B$3&gt;=54,9*(C2098=TRUE)*MIN(1,8*(1+Inputs!$B$34/100)*Q2098)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2098*(1-MIN(100,(Inputs!$B$9+((C2114=TRUE)*(F2114-Calc!F19))+B2126+(ArtifactsInput!$M$24-ArtifactsInput!$M$24)*CHOOSE(ArtifactsInput!$N$24+1,10,12,14,16,18,20)+(IF(AND(Inputs!$B$38&lt;&gt;"pvp",Inputs!$B$43=0),1,IF(IF(Inputs!$B$38="pvp",15,Inputs!$B$43)-(B2133)&lt;=0,1,MAX(0,IF(Inputs!$B$38="pvp",15,Inputs!$B$43)-MAX(5,B2133))/(IF(Inputs!$B$38="pvp",15,Inputs!$B$43)-(B2133))))*IF(AND(ArtifactsInput!$M$42,((Inputs!$B$9+((C2114=TRUE)*(F2114-Calc!F19))+B2126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2098*(MIN(100,(Inputs!$B$9+((C2114=TRUE)*(F2114-Calc!F19))+B2126+(ArtifactsInput!$M$24-ArtifactsInput!$M$24)*CHOOSE(ArtifactsInput!$N$24+1,10,12,14,16,18,20)+(IF(AND(Inputs!$B$38&lt;&gt;"pvp",Inputs!$B$43=0),1,IF(IF(Inputs!$B$38="pvp",15,Inputs!$B$43)-(B2133)&lt;=0,1,MAX(0,IF(Inputs!$B$38="pvp",15,Inputs!$B$43)-MAX(5,B2133))/(IF(Inputs!$B$38="pvp",15,Inputs!$B$43)-(B2133))))*IF(AND(ArtifactsInput!$M$42,((Inputs!$B$9+((C2114=TRUE)*(F2114-Calc!F19))+B2126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2098*(1-MIN(100,(Inputs!$B$9+((C2114=TRUE)*(F2114-Calc!F19))+B2126+(ArtifactsInput!$M$24-ArtifactsInput!$M$24)*CHOOSE(ArtifactsInput!$N$24+1,10,12,14,16,18,20)+(IF(AND(Inputs!$B$38&lt;&gt;"pvp",Inputs!$B$43=0),1,IF(IF(Inputs!$B$38="pvp",15,Inputs!$B$43)-(B2133)&lt;=0,1,MAX(0,IF(Inputs!$B$38="pvp",15,Inputs!$B$43)-MAX(5,B2133))/(IF(Inputs!$B$38="pvp",15,Inputs!$B$43)-(B2133))))*IF(AND(ArtifactsInput!$M$42,((Inputs!$B$9+((C2114=TRUE)*(F2114-Calc!F19))+B2126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2098*(MIN(100,(Inputs!$B$9+((C2114=TRUE)*(F2114-Calc!F19))+B2126+(ArtifactsInput!$M$24-ArtifactsInput!$M$24)*CHOOSE(ArtifactsInput!$N$24+1,10,12,14,16,18,20)+(IF(AND(Inputs!$B$38&lt;&gt;"pvp",Inputs!$B$43=0),1,IF(IF(Inputs!$B$38="pvp",15,Inputs!$B$43)-(B2133)&lt;=0,1,MAX(0,IF(Inputs!$B$38="pvp",15,Inputs!$B$43)-MAX(5,B2133))/(IF(Inputs!$B$38="pvp",15,Inputs!$B$43)-(B2133))))*IF(AND(ArtifactsInput!$M$42,((Inputs!$B$9+((C2114=TRUE)*(F2114-Calc!F19))+B2126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098">
        <f>INDEX(FactorTable!$B$2:$Y$301, MATCH(ROUND(MIN(300,MAX(1,U2097)),0), FactorTable!$A$2:$A$301,0), 22)</f>
        <v/>
      </c>
      <c r="V2098">
        <f>IF(C2098,(H2098*N2098*IF(AND(Inputs!$B$38&lt;&gt;"pvp",Inputs!$B$43&gt;0),((Skills!G3*((R2098-1)*IF(Skills!H3&gt;0,INT(Skills!I3/Skills!H3+0.000000001),1)+IF(Skills!H3&gt;0,INT(MIN(Skills!I3,MAX(0,MAX(0,Inputs!$B$43-B2133)-((R2098-1)*(IF(Inputs!$B$38="pvp",15,MAX(0.1,Skills!D3-IF(TRUE=TRUE,Inputs!$B$32,0)))*(1-IF(AND(ArtifactsInput!$M$27,Inputs!$B$4="Chapter Hunt"),CHOOSE(ArtifactsInput!$N$27+1,20,24,28,32,36,40),0)/100)))))/Skills!H3+0.000000001),1)))/Inputs!$B$43),G2098*Q2098))*IF(Inputs!$B$38="pvp",1,(1+(Inputs!$B$21+Skills!Q3+(IF(ArtifactsInput!$M$33,CHOOSE(ArtifactsInput!$N$33+1,30,36,42,48,54,60),0))+(IF(AND(ArtifactsInput!$M$35,Inputs!$B$4&lt;&gt;"Chapter Hunt"),CHOOSE(ArtifactsInput!$N$35+1,15,18,21,24,27,30)*(1-EXP(-(0.2*B2128)*5)),0)+IF(AND(ArtifactsInput!$M$22,Inputs!$B$4&lt;&gt;"Chapter Hunt"),CHOOSE(ArtifactsInput!$N$22+1,10,12,14,16,18,20)*((0*(((0.15*B2128*5))^0/1)+1*(((0.15*B2128*5))^1/1)+2*(((0.15*B2128*5))^2/2)+3*(((0.15*B2128*5))^3/6)+4*(((0.15*B2128*5))^4/24)+5*(((0.15*B2128*5))^5/120))/((((0.15*B2128*5))^0/1)+(((0.15*B2128*5))^1/1)+(((0.15*B2128*5))^2/2)+(((0.15*B2128*5))^3/6)+(((0.15*B2128*5))^4/24)+(((0.15*B2128*5))^5/120))),0))+IF(Inputs!$B$3&gt;=54,9*(C2098=TRUE)*MIN(1,8*(1+Inputs!$B$34/100)*Q2098),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99">
      <c r="A2099">
        <f>Skills!A4</f>
        <v/>
      </c>
      <c r="B2099">
        <f>Skills!B4</f>
        <v/>
      </c>
      <c r="C2099">
        <f>Inputs!$B$3&gt;=35</f>
        <v/>
      </c>
      <c r="D2099">
        <f>IF(Skills!C4=1,60+Inputs!$B$25+Inputs!$B$29,IF(Skills!C4=2,90+Inputs!$B$26+Inputs!$B$29,IF(Skills!C4=3,120+Inputs!$B$27+Inputs!$B$29,MAX(0,(Inputs!$B$3-100)*3)+Inputs!$B$28+Inputs!$B$29)))</f>
        <v/>
      </c>
      <c r="E2099">
        <f>INDEX(FactorTable!$B$2:$Y$301, MATCH(ROUND(MIN(300,MAX(1,D2099)),0), FactorTable!$A$2:$A$301,0), Skills!M4+1)</f>
        <v/>
      </c>
      <c r="F2099">
        <f>IF(Skills!N4=TRUE,(Skills!L4/10)*(E2099/1000),Skills!L4/10)+Skills!O4</f>
        <v/>
      </c>
      <c r="G2099">
        <f>Skills!G4*IF(Skills!H4&gt;0,INT(IF(Inputs!$B$38="pvp",MIN(IF(Inputs!$B$3&gt;=104,MIN(35,20*(1+Inputs!$B$34/100)),20),15),IF(Inputs!$B$3&gt;=104,MIN(35,20*(1+Inputs!$B$34/100)),20))/Skills!H4+0.000000001),1)</f>
        <v/>
      </c>
      <c r="H2099">
        <f>1-(1-Skills!J4/100)^Skills!K4</f>
        <v/>
      </c>
      <c r="I2099" t="inlineStr">
        <is>
          <t>1</t>
        </is>
      </c>
      <c r="J2099">
        <f>((Inputs!$B$6*(1+Inputs!$B$7/100))+(((Inputs!$B$12*(1+Inputs!$B$13/100))-(Inputs!$B$12*(1+Inputs!$B$13/100)))+0.25*(Inputs!$B$14-Inputs!$B$14))*(1+Inputs!$B$7/100))*(F2099/100)</f>
        <v/>
      </c>
      <c r="K2099">
        <f>J2099*(1+((Inputs!$B$12*(1+Inputs!$B$13/100))*0.01+Inputs!$B$14*0.0025)/100)*(1+Inputs!$B$15/100)*(1+Inputs!$B$16/100)*(5000/(6000+Inputs!$B$42*(1-(100*(1-(1-(Inputs!$B$19+0)/100)*(1-CHOOSE(ArtifactsInput!$N$40+1,5,6,7,8,9,10)/100)^(ArtifactsInput!$M$40-ArtifactsInput!$M$40)))/100)))*(1+(Inputs!$B$24+((C2121=TRUE)*(F2121-Calc!F26))+B2132)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2111=TRUE,F2111,0)/100)*(1+(IF(Skills!A4="EIGHT_LEGS_EASTON",Inputs!$B$17+((C2118=TRUE)*(F2118-Calc!F23))+((C2122=TRUE)*(F2122-Calc!F27))+((IF(AND(Inputs!$B$38&lt;&gt;"pvp",Inputs!$B$43=0),1,IF(IF(Inputs!$B$38="pvp",15,Inputs!$B$43)-(B2133)&lt;=0,1,MAX(0,IF(Inputs!$B$38="pvp",15,Inputs!$B$43)-MAX(5,B2133))/(IF(Inputs!$B$38="pvp",15,Inputs!$B$43)-(B2133))))*(IF(AND(ArtifactsInput!$M$42,((Inputs!$B$9+((C2114=TRUE)*(F2114-Calc!F19))+B2126+(ArtifactsInput!$M$24-ArtifactsInput!$M$24)*CHOOSE(ArtifactsInput!$N$24+1,10,12,14,16,18,20)+IF(ArtifactsInput!$M$10,CHOOSE(ArtifactsInput!$N$10+1,15,18,21,24,27,30)*(IF(Inputs!$B$38="pvp",MIN(15,15)/15,IF(AND(Inputs!$B$38&lt;&gt;"pvp",Inputs!$B$43&gt;0),MIN(15,Inputs!$B$43)/(Inputs!$B$43),0))),0)))&gt;=100),MIN(100,((Inputs!$B$9+((C2114=TRUE)*(F2114-Calc!F19))+B2126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2133)&lt;=0,1,MAX(0,IF(Inputs!$B$38="pvp",15,Inputs!$B$43)-MAX(5,B2133))/(IF(Inputs!$B$38="pvp",15,Inputs!$B$43)-(B2133))))*IF(AND(ArtifactsInput!$M$42,((Inputs!$B$9+((C2114=TRUE)*(F2114-Calc!F19))+B2126+(ArtifactsInput!$M$24-ArtifactsInput!$M$24)*CHOOSE(ArtifactsInput!$N$24+1,10,12,14,16,18,20)+IF(ArtifactsInput!$M$10,CHOOSE(ArtifactsInput!$N$10+1,15,18,21,24,27,30)*(IF(Inputs!$B$38="pvp",MIN(15,15)/15,IF(AND(Inputs!$B$38&lt;&gt;"pvp",Inputs!$B$43&gt;0),MIN(15,Inputs!$B$43)/(Inputs!$B$43),0))),0)))&gt;=100),CHOOSE(ArtifactsInput!$N$42+1,40,48,56,64,72,80),0))))/100)*((1+(((C2112=TRUE)*F2112*5/7)+((C2119=TRUE)*(F2119-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2099)</f>
        <v/>
      </c>
      <c r="L2099">
        <f>K2099*(MIN(Inputs!$B$22+((C2117=TRUE)*(F2117-Calc!F22)),(Inputs!$B$23+0+(IF(ArtifactsInput!$M$15,CHOOSE(ArtifactsInput!$N$15+1,25,30,35,40,45,50)/100*(Inputs!$B$11-Inputs!$B$11),0))))/100+(Inputs!$B$23+0+(IF(ArtifactsInput!$M$15,CHOOSE(ArtifactsInput!$N$15+1,25,30,35,40,45,50)/100*(Inputs!$B$11-Inputs!$B$11),0)))/100)/2</f>
        <v/>
      </c>
      <c r="M2099">
        <f>L2099*(1+(Inputs!$B$10+((C2120=TRUE)*(F2120-Calc!F25))+B2131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99">
        <f>L2099*(1-MIN((Inputs!$B$9+((C2114=TRUE)*(F2114-Calc!F19))+B2126+(ArtifactsInput!$M$24-ArtifactsInput!$M$24)*CHOOSE(ArtifactsInput!$N$24+1,10,12,14,16,18,20)+(IF(AND(Inputs!$B$38&lt;&gt;"pvp",Inputs!$B$43=0),1,IF(IF(Inputs!$B$38="pvp",15,Inputs!$B$43)-(B2133)&lt;=0,1,MAX(0,IF(Inputs!$B$38="pvp",15,Inputs!$B$43)-MAX(5,B2133))/(IF(Inputs!$B$38="pvp",15,Inputs!$B$43)-(B2133))))*IF(AND(ArtifactsInput!$M$42,((Inputs!$B$9+((C2114=TRUE)*(F2114-Calc!F19))+B2126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2099*(MIN((Inputs!$B$9+((C2114=TRUE)*(F2114-Calc!F19))+B2126+(ArtifactsInput!$M$24-ArtifactsInput!$M$24)*CHOOSE(ArtifactsInput!$N$24+1,10,12,14,16,18,20)+(IF(AND(Inputs!$B$38&lt;&gt;"pvp",Inputs!$B$43=0),1,IF(IF(Inputs!$B$38="pvp",15,Inputs!$B$43)-(B2133)&lt;=0,1,MAX(0,IF(Inputs!$B$38="pvp",15,Inputs!$B$43)-MAX(5,B2133))/(IF(Inputs!$B$38="pvp",15,Inputs!$B$43)-(B2133))))*IF(AND(ArtifactsInput!$M$42,((Inputs!$B$9+((C2114=TRUE)*(F2114-Calc!F19))+B2126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99">
        <f>(1-Summary!$B$11)*T2099+Summary!$B$11*V2099</f>
        <v/>
      </c>
      <c r="P2099">
        <f>IF(B2136=0,0,O2099/B2136)</f>
        <v/>
      </c>
      <c r="Q2099">
        <f>IFERROR(1/(IF(Inputs!$B$38="pvp",15,MAX(0.1,Skills!D4-IF(TRUE=TRUE,Inputs!$B$32,0)))*(1-IF(AND(ArtifactsInput!$M$27,Inputs!$B$4="Chapter Hunt"),CHOOSE(ArtifactsInput!$N$27+1,20,24,28,32,36,40),0)/100)),0)</f>
        <v/>
      </c>
      <c r="R2099">
        <f>IF(AND(Inputs!$B$38&lt;&gt;"pvp",Inputs!$B$43&gt;0),IF(MAX(0,Inputs!$B$43-B2133)&lt;=0,0,(INT(MAX(0,Inputs!$B$43-B2133)/(IF(Inputs!$B$38="pvp",15,MAX(0.1,Skills!D4-IF(TRUE=TRUE,Inputs!$B$32,0)))*(1-IF(AND(ArtifactsInput!$M$27,Inputs!$B$4="Chapter Hunt"),CHOOSE(ArtifactsInput!$N$27+1,20,24,28,32,36,40),0)/100)))+1)),0)</f>
        <v/>
      </c>
      <c r="S2099">
        <f>IFERROR(O2099/N2099,0)</f>
        <v/>
      </c>
      <c r="T2099">
        <f>IF(C2099,(H2099*N2099*IF(AND(Inputs!$B$38&lt;&gt;"pvp",Inputs!$B$43&gt;0),((Skills!G4*((R2099-1)*IF(Skills!H4&gt;0,INT(IF(Inputs!$B$3&gt;=104,MIN(35,20*(1+Inputs!$B$34/100)),20)/Skills!H4+0.000000001),1)+IF(Skills!H4&gt;0,INT(MIN(IF(Inputs!$B$3&gt;=104,MIN(35,20*(1+Inputs!$B$34/100)),20),MAX(0,MAX(0,Inputs!$B$43-B2133)-((R2099-1)*(IF(Inputs!$B$38="pvp",15,MAX(0.1,Skills!D4-IF(TRUE=TRUE,Inputs!$B$32,0)))*(1-IF(AND(ArtifactsInput!$M$27,Inputs!$B$4="Chapter Hunt"),CHOOSE(ArtifactsInput!$N$27+1,20,24,28,32,36,40),0)/100)))))/Skills!H4+0.000000001),1)))/Inputs!$B$43),G2099*Q2099))*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Hunt"),CHOOSE(ArtifactsInput!$N$35+1,15,18,21,24,27,30)*(1-EXP(-(0.2*B2128)*5)),0)+IF(AND(ArtifactsInput!$M$22,Inputs!$B$4&lt;&gt;"Chapter Hunt"),CHOOSE(ArtifactsInput!$N$22+1,10,12,14,16,18,20)*((0*(((0.15*B2128*5))^0/1)+1*(((0.15*B2128*5))^1/1)+2*(((0.15*B2128*5))^2/2)+3*(((0.15*B2128*5))^3/6)+4*(((0.15*B2128*5))^4/24)+5*(((0.15*B2128*5))^5/120))/((((0.15*B2128*5))^0/1)+(((0.15*B2128*5))^1/1)+(((0.15*B2128*5))^2/2)+(((0.15*B2128*5))^3/6)+(((0.15*B2128*5))^4/24)+(((0.15*B2128*5))^5/120))),0))+IF(Inputs!$B$3&gt;=54,9*(C2098=TRUE)*MIN(1,8*(1+Inputs!$B$34/100)*Q2098)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2099*(1-MIN(100,(Inputs!$B$9+((C2114=TRUE)*(F2114-Calc!F19))+B2126+(ArtifactsInput!$M$24-ArtifactsInput!$M$24)*CHOOSE(ArtifactsInput!$N$24+1,10,12,14,16,18,20)+(IF(AND(Inputs!$B$38&lt;&gt;"pvp",Inputs!$B$43=0),1,IF(IF(Inputs!$B$38="pvp",15,Inputs!$B$43)-(B2133)&lt;=0,1,MAX(0,IF(Inputs!$B$38="pvp",15,Inputs!$B$43)-MAX(5,B2133))/(IF(Inputs!$B$38="pvp",15,Inputs!$B$43)-(B2133))))*IF(AND(ArtifactsInput!$M$42,((Inputs!$B$9+((C2114=TRUE)*(F2114-Calc!F19))+B2126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2099*(MIN(100,(Inputs!$B$9+((C2114=TRUE)*(F2114-Calc!F19))+B2126+(ArtifactsInput!$M$24-ArtifactsInput!$M$24)*CHOOSE(ArtifactsInput!$N$24+1,10,12,14,16,18,20)+(IF(AND(Inputs!$B$38&lt;&gt;"pvp",Inputs!$B$43=0),1,IF(IF(Inputs!$B$38="pvp",15,Inputs!$B$43)-(B2133)&lt;=0,1,MAX(0,IF(Inputs!$B$38="pvp",15,Inputs!$B$43)-MAX(5,B2133))/(IF(Inputs!$B$38="pvp",15,Inputs!$B$43)-(B2133))))*IF(AND(ArtifactsInput!$M$42,((Inputs!$B$9+((C2114=TRUE)*(F2114-Calc!F19))+B2126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2099*(1-MIN(100,(Inputs!$B$9+((C2114=TRUE)*(F2114-Calc!F19))+B2126+(ArtifactsInput!$M$24-ArtifactsInput!$M$24)*CHOOSE(ArtifactsInput!$N$24+1,10,12,14,16,18,20)+(IF(AND(Inputs!$B$38&lt;&gt;"pvp",Inputs!$B$43=0),1,IF(IF(Inputs!$B$38="pvp",15,Inputs!$B$43)-(B2133)&lt;=0,1,MAX(0,IF(Inputs!$B$38="pvp",15,Inputs!$B$43)-MAX(5,B2133))/(IF(Inputs!$B$38="pvp",15,Inputs!$B$43)-(B2133))))*IF(AND(ArtifactsInput!$M$42,((Inputs!$B$9+((C2114=TRUE)*(F2114-Calc!F19))+B2126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2099*(MIN(100,(Inputs!$B$9+((C2114=TRUE)*(F2114-Calc!F19))+B2126+(ArtifactsInput!$M$24-ArtifactsInput!$M$24)*CHOOSE(ArtifactsInput!$N$24+1,10,12,14,16,18,20)+(IF(AND(Inputs!$B$38&lt;&gt;"pvp",Inputs!$B$43=0),1,IF(IF(Inputs!$B$38="pvp",15,Inputs!$B$43)-(B2133)&lt;=0,1,MAX(0,IF(Inputs!$B$38="pvp",15,Inputs!$B$43)-MAX(5,B2133))/(IF(Inputs!$B$38="pvp",15,Inputs!$B$43)-(B2133))))*IF(AND(ArtifactsInput!$M$42,((Inputs!$B$9+((C2114=TRUE)*(F2114-Calc!F19))+B2126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099">
        <f>290*U2098/1000</f>
        <v/>
      </c>
      <c r="V2099">
        <f>IF(C2099,(H2099*N2099*IF(AND(Inputs!$B$38&lt;&gt;"pvp",Inputs!$B$43&gt;0),((Skills!G4*((R2099-1)*IF(Skills!H4&gt;0,INT(IF(Inputs!$B$3&gt;=104,MIN(35,20*(1+Inputs!$B$34/100)),20)/Skills!H4+0.000000001),1)+IF(Skills!H4&gt;0,INT(MIN(IF(Inputs!$B$3&gt;=104,MIN(35,20*(1+Inputs!$B$34/100)),20),MAX(0,MAX(0,Inputs!$B$43-B2133)-((R2099-1)*(IF(Inputs!$B$38="pvp",15,MAX(0.1,Skills!D4-IF(TRUE=TRUE,Inputs!$B$32,0)))*(1-IF(AND(ArtifactsInput!$M$27,Inputs!$B$4="Chapter Hunt"),CHOOSE(ArtifactsInput!$N$27+1,20,24,28,32,36,40),0)/100)))))/Skills!H4+0.000000001),1)))/Inputs!$B$43),G2099*Q2099))*IF(Inputs!$B$38="pvp",1,(1+(Inputs!$B$21+Skills!Q4+(IF(ArtifactsInput!$M$33,CHOOSE(ArtifactsInput!$N$33+1,30,36,42,48,54,60),0))+(IF(AND(ArtifactsInput!$M$35,Inputs!$B$4&lt;&gt;"Chapter Hunt"),CHOOSE(ArtifactsInput!$N$35+1,15,18,21,24,27,30)*(1-EXP(-(0.2*B2128)*5)),0)+IF(AND(ArtifactsInput!$M$22,Inputs!$B$4&lt;&gt;"Chapter Hunt"),CHOOSE(ArtifactsInput!$N$22+1,10,12,14,16,18,20)*((0*(((0.15*B2128*5))^0/1)+1*(((0.15*B2128*5))^1/1)+2*(((0.15*B2128*5))^2/2)+3*(((0.15*B2128*5))^3/6)+4*(((0.15*B2128*5))^4/24)+5*(((0.15*B2128*5))^5/120))/((((0.15*B2128*5))^0/1)+(((0.15*B2128*5))^1/1)+(((0.15*B2128*5))^2/2)+(((0.15*B2128*5))^3/6)+(((0.15*B2128*5))^4/24)+(((0.15*B2128*5))^5/120))),0))+IF(Inputs!$B$3&gt;=54,9*(C2098=TRUE)*MIN(1,8*(1+Inputs!$B$34/100)*Q2098),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00">
      <c r="A2100">
        <f>Skills!A5</f>
        <v/>
      </c>
      <c r="B2100">
        <f>Skills!B5</f>
        <v/>
      </c>
      <c r="C2100">
        <f>Inputs!$B$3&gt;=69</f>
        <v/>
      </c>
      <c r="D2100">
        <f>IF(Skills!C5=1,60+Inputs!$B$25+Inputs!$B$29,IF(Skills!C5=2,90+Inputs!$B$26+Inputs!$B$29,IF(Skills!C5=3,120+Inputs!$B$27+Inputs!$B$29,MAX(0,(Inputs!$B$3-100)*3)+Inputs!$B$28+Inputs!$B$29)))</f>
        <v/>
      </c>
      <c r="E2100">
        <f>INDEX(FactorTable!$B$2:$Y$301, MATCH(ROUND(MIN(300,MAX(1,D2100)),0), FactorTable!$A$2:$A$301,0), Skills!M5+1)</f>
        <v/>
      </c>
      <c r="F2100">
        <f>IF(Skills!N5=TRUE,(Skills!L5/10)*(E2100/1000),Skills!L5/10)+Skills!O5</f>
        <v/>
      </c>
      <c r="G2100">
        <f>Skills!G5*IF(Skills!H5&gt;0,INT(IF(Inputs!$B$38="pvp",MIN(IF(Inputs!$B$3&gt;=104,MIN(35,20*(1+Inputs!$B$34/100)),20),15),IF(Inputs!$B$3&gt;=104,MIN(35,20*(1+Inputs!$B$34/100)),20))/Skills!H5+0.000000001),1)</f>
        <v/>
      </c>
      <c r="H2100">
        <f>1-(1-Skills!J5/100)^Skills!K5</f>
        <v/>
      </c>
      <c r="I2100" t="inlineStr">
        <is>
          <t>1</t>
        </is>
      </c>
      <c r="J2100">
        <f>((Inputs!$B$6*(1+Inputs!$B$7/100))+(((Inputs!$B$12*(1+Inputs!$B$13/100))-(Inputs!$B$12*(1+Inputs!$B$13/100)))+0.25*(Inputs!$B$14-Inputs!$B$14))*(1+Inputs!$B$7/100))*(F2100/100)</f>
        <v/>
      </c>
      <c r="K2100">
        <f>J2100*(1+((Inputs!$B$12*(1+Inputs!$B$13/100))*0.01+Inputs!$B$14*0.0025)/100)*(1+Inputs!$B$15/100)*(1+Inputs!$B$16/100)*(5000/(6000+Inputs!$B$42*(1-(100*(1-(1-(Inputs!$B$19+0)/100)*(1-CHOOSE(ArtifactsInput!$N$40+1,5,6,7,8,9,10)/100)^(ArtifactsInput!$M$40-ArtifactsInput!$M$40)))/100)))*(1+(Inputs!$B$24+((C2121=TRUE)*(F2121-Calc!F26))+B2132)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+0.4*IF(C2111=TRUE,F2111,0)/100)*(1+(IF(Skills!A5="EIGHT_LEGS_EASTON",Inputs!$B$17+((C2118=TRUE)*(F2118-Calc!F23))+((C2122=TRUE)*(F2122-Calc!F27))+((IF(AND(Inputs!$B$38&lt;&gt;"pvp",Inputs!$B$43=0),1,IF(IF(Inputs!$B$38="pvp",15,Inputs!$B$43)-(B2133)&lt;=0,1,MAX(0,IF(Inputs!$B$38="pvp",15,Inputs!$B$43)-MAX(5,B2133))/(IF(Inputs!$B$38="pvp",15,Inputs!$B$43)-(B2133))))*(IF(AND(ArtifactsInput!$M$42,((Inputs!$B$9+((C2114=TRUE)*(F2114-Calc!F19))+B2126+(ArtifactsInput!$M$24-ArtifactsInput!$M$24)*CHOOSE(ArtifactsInput!$N$24+1,10,12,14,16,18,20)+IF(ArtifactsInput!$M$10,CHOOSE(ArtifactsInput!$N$10+1,15,18,21,24,27,30)*(IF(Inputs!$B$38="pvp",MIN(15,15)/15,IF(AND(Inputs!$B$38&lt;&gt;"pvp",Inputs!$B$43&gt;0),MIN(15,Inputs!$B$43)/(Inputs!$B$43),0))),0)))&gt;=100),MIN(100,((Inputs!$B$9+((C2114=TRUE)*(F2114-Calc!F19))+B2126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2133)&lt;=0,1,MAX(0,IF(Inputs!$B$38="pvp",15,Inputs!$B$43)-MAX(5,B2133))/(IF(Inputs!$B$38="pvp",15,Inputs!$B$43)-(B2133))))*IF(AND(ArtifactsInput!$M$42,((Inputs!$B$9+((C2114=TRUE)*(F2114-Calc!F19))+B2126+(ArtifactsInput!$M$24-ArtifactsInput!$M$24)*CHOOSE(ArtifactsInput!$N$24+1,10,12,14,16,18,20)+IF(ArtifactsInput!$M$10,CHOOSE(ArtifactsInput!$N$10+1,15,18,21,24,27,30)*(IF(Inputs!$B$38="pvp",MIN(15,15)/15,IF(AND(Inputs!$B$38&lt;&gt;"pvp",Inputs!$B$43&gt;0),MIN(15,Inputs!$B$43)/(Inputs!$B$43),0))),0)))&gt;=100),CHOOSE(ArtifactsInput!$N$42+1,40,48,56,64,72,80),0))))/100)*((1+(((C2112=TRUE)*F2112*5/7)+((C2119=TRUE)*(F2119-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2100)</f>
        <v/>
      </c>
      <c r="L2100">
        <f>K2100*(MIN(Inputs!$B$22+((C2117=TRUE)*(F2117-Calc!F22)),(Inputs!$B$23+0+(IF(ArtifactsInput!$M$15,CHOOSE(ArtifactsInput!$N$15+1,25,30,35,40,45,50)/100*(Inputs!$B$11-Inputs!$B$11),0))))/100+(Inputs!$B$23+0+(IF(ArtifactsInput!$M$15,CHOOSE(ArtifactsInput!$N$15+1,25,30,35,40,45,50)/100*(Inputs!$B$11-Inputs!$B$11),0)))/100)/2</f>
        <v/>
      </c>
      <c r="M2100">
        <f>L2100*(1+(Inputs!$B$10+((C2120=TRUE)*(F2120-Calc!F25))+B2131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00">
        <f>L2100*(1-MIN((Inputs!$B$9+((C2114=TRUE)*(F2114-Calc!F19))+B2126+(ArtifactsInput!$M$24-ArtifactsInput!$M$24)*CHOOSE(ArtifactsInput!$N$24+1,10,12,14,16,18,20)+(IF(AND(Inputs!$B$38&lt;&gt;"pvp",Inputs!$B$43=0),1,IF(IF(Inputs!$B$38="pvp",15,Inputs!$B$43)-(B2133)&lt;=0,1,MAX(0,IF(Inputs!$B$38="pvp",15,Inputs!$B$43)-MAX(5,B2133))/(IF(Inputs!$B$38="pvp",15,Inputs!$B$43)-(B2133))))*IF(AND(ArtifactsInput!$M$42,((Inputs!$B$9+((C2114=TRUE)*(F2114-Calc!F19))+B2126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2100*(MIN((Inputs!$B$9+((C2114=TRUE)*(F2114-Calc!F19))+B2126+(ArtifactsInput!$M$24-ArtifactsInput!$M$24)*CHOOSE(ArtifactsInput!$N$24+1,10,12,14,16,18,20)+(IF(AND(Inputs!$B$38&lt;&gt;"pvp",Inputs!$B$43=0),1,IF(IF(Inputs!$B$38="pvp",15,Inputs!$B$43)-(B2133)&lt;=0,1,MAX(0,IF(Inputs!$B$38="pvp",15,Inputs!$B$43)-MAX(5,B2133))/(IF(Inputs!$B$38="pvp",15,Inputs!$B$43)-(B2133))))*IF(AND(ArtifactsInput!$M$42,((Inputs!$B$9+((C2114=TRUE)*(F2114-Calc!F19))+B2126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00">
        <f>(1-Summary!$B$11)*T2100+Summary!$B$11*V2100</f>
        <v/>
      </c>
      <c r="P2100">
        <f>IF(B2136=0,0,O2100/B2136)</f>
        <v/>
      </c>
      <c r="Q2100">
        <f>IFERROR(1/(IF(Inputs!$B$38="pvp",15,MAX(0.1,Skills!D5-IF(TRUE=TRUE,Inputs!$B$32,0)))*(1-IF(AND(ArtifactsInput!$M$27,Inputs!$B$4="Chapter Hunt"),CHOOSE(ArtifactsInput!$N$27+1,20,24,28,32,36,40),0)/100)),0)</f>
        <v/>
      </c>
      <c r="R2100">
        <f>IF(AND(Inputs!$B$38&lt;&gt;"pvp",Inputs!$B$43&gt;0),IF(MAX(0,Inputs!$B$43-B2133)&lt;=0,0,(INT(MAX(0,Inputs!$B$43-B2133)/(IF(Inputs!$B$38="pvp",15,MAX(0.1,Skills!D5-IF(TRUE=TRUE,Inputs!$B$32,0)))*(1-IF(AND(ArtifactsInput!$M$27,Inputs!$B$4="Chapter Hunt"),CHOOSE(ArtifactsInput!$N$27+1,20,24,28,32,36,40),0)/100)))+1)),0)</f>
        <v/>
      </c>
      <c r="S2100">
        <f>IFERROR(O2100/N2100,0)</f>
        <v/>
      </c>
      <c r="T2100">
        <f>IF(C2100,(H2100*N2100*IF(AND(Inputs!$B$38&lt;&gt;"pvp",Inputs!$B$43&gt;0),((Skills!G5*((R2100-1)*IF(Skills!H5&gt;0,INT(IF(Inputs!$B$3&gt;=104,MIN(35,20*(1+Inputs!$B$34/100)),20)/Skills!H5+0.000000001),1)+IF(Skills!H5&gt;0,INT(MIN(IF(Inputs!$B$3&gt;=104,MIN(35,20*(1+Inputs!$B$34/100)),20),MAX(0,MAX(0,Inputs!$B$43-B2133)-((R2100-1)*(IF(Inputs!$B$38="pvp",15,MAX(0.1,Skills!D5-IF(TRUE=TRUE,Inputs!$B$32,0)))*(1-IF(AND(ArtifactsInput!$M$27,Inputs!$B$4="Chapter Hunt"),CHOOSE(ArtifactsInput!$N$27+1,20,24,28,32,36,40),0)/100)))))/Skills!H5+0.000000001),1)))/Inputs!$B$43),G2100*Q2100))*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Hunt"),CHOOSE(ArtifactsInput!$N$35+1,15,18,21,24,27,30)*(1-EXP(-(0.2*B2128)*5)),0)+IF(AND(ArtifactsInput!$M$22,Inputs!$B$4&lt;&gt;"Chapter Hunt"),CHOOSE(ArtifactsInput!$N$22+1,10,12,14,16,18,20)*((0*(((0.15*B2128*5))^0/1)+1*(((0.15*B2128*5))^1/1)+2*(((0.15*B2128*5))^2/2)+3*(((0.15*B2128*5))^3/6)+4*(((0.15*B2128*5))^4/24)+5*(((0.15*B2128*5))^5/120))/((((0.15*B2128*5))^0/1)+(((0.15*B2128*5))^1/1)+(((0.15*B2128*5))^2/2)+(((0.15*B2128*5))^3/6)+(((0.15*B2128*5))^4/24)+(((0.15*B2128*5))^5/120))),0))+IF(Inputs!$B$3&gt;=54,9*(C2098=TRUE)*MIN(1,8*(1+Inputs!$B$34/100)*Q2098)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2100*(1-MIN(100,(Inputs!$B$9+((C2114=TRUE)*(F2114-Calc!F19))+B2126+(ArtifactsInput!$M$24-ArtifactsInput!$M$24)*CHOOSE(ArtifactsInput!$N$24+1,10,12,14,16,18,20)+(IF(AND(Inputs!$B$38&lt;&gt;"pvp",Inputs!$B$43=0),1,IF(IF(Inputs!$B$38="pvp",15,Inputs!$B$43)-(B2133)&lt;=0,1,MAX(0,IF(Inputs!$B$38="pvp",15,Inputs!$B$43)-MAX(5,B2133))/(IF(Inputs!$B$38="pvp",15,Inputs!$B$43)-(B2133))))*IF(AND(ArtifactsInput!$M$42,((Inputs!$B$9+((C2114=TRUE)*(F2114-Calc!F19))+B2126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2100*(MIN(100,(Inputs!$B$9+((C2114=TRUE)*(F2114-Calc!F19))+B2126+(ArtifactsInput!$M$24-ArtifactsInput!$M$24)*CHOOSE(ArtifactsInput!$N$24+1,10,12,14,16,18,20)+(IF(AND(Inputs!$B$38&lt;&gt;"pvp",Inputs!$B$43=0),1,IF(IF(Inputs!$B$38="pvp",15,Inputs!$B$43)-(B2133)&lt;=0,1,MAX(0,IF(Inputs!$B$38="pvp",15,Inputs!$B$43)-MAX(5,B2133))/(IF(Inputs!$B$38="pvp",15,Inputs!$B$43)-(B2133))))*IF(AND(ArtifactsInput!$M$42,((Inputs!$B$9+((C2114=TRUE)*(F2114-Calc!F19))+B2126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2100*(1-MIN(100,(Inputs!$B$9+((C2114=TRUE)*(F2114-Calc!F19))+B2126+(ArtifactsInput!$M$24-ArtifactsInput!$M$24)*CHOOSE(ArtifactsInput!$N$24+1,10,12,14,16,18,20)+(IF(AND(Inputs!$B$38&lt;&gt;"pvp",Inputs!$B$43=0),1,IF(IF(Inputs!$B$38="pvp",15,Inputs!$B$43)-(B2133)&lt;=0,1,MAX(0,IF(Inputs!$B$38="pvp",15,Inputs!$B$43)-MAX(5,B2133))/(IF(Inputs!$B$38="pvp",15,Inputs!$B$43)-(B2133))))*IF(AND(ArtifactsInput!$M$42,((Inputs!$B$9+((C2114=TRUE)*(F2114-Calc!F19))+B2126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2100*(MIN(100,(Inputs!$B$9+((C2114=TRUE)*(F2114-Calc!F19))+B2126+(ArtifactsInput!$M$24-ArtifactsInput!$M$24)*CHOOSE(ArtifactsInput!$N$24+1,10,12,14,16,18,20)+(IF(AND(Inputs!$B$38&lt;&gt;"pvp",Inputs!$B$43=0),1,IF(IF(Inputs!$B$38="pvp",15,Inputs!$B$43)-(B2133)&lt;=0,1,MAX(0,IF(Inputs!$B$38="pvp",15,Inputs!$B$43)-MAX(5,B2133))/(IF(Inputs!$B$38="pvp",15,Inputs!$B$43)-(B2133))))*IF(AND(ArtifactsInput!$M$42,((Inputs!$B$9+((C2114=TRUE)*(F2114-Calc!F19))+B2126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00">
        <f>IF(C2100,(H2100*N2100*IF(AND(Inputs!$B$38&lt;&gt;"pvp",Inputs!$B$43&gt;0),((Skills!G5*((R2100-1)*IF(Skills!H5&gt;0,INT(IF(Inputs!$B$3&gt;=104,MIN(35,20*(1+Inputs!$B$34/100)),20)/Skills!H5+0.000000001),1)+IF(Skills!H5&gt;0,INT(MIN(IF(Inputs!$B$3&gt;=104,MIN(35,20*(1+Inputs!$B$34/100)),20),MAX(0,MAX(0,Inputs!$B$43-B2133)-((R2100-1)*(IF(Inputs!$B$38="pvp",15,MAX(0.1,Skills!D5-IF(TRUE=TRUE,Inputs!$B$32,0)))*(1-IF(AND(ArtifactsInput!$M$27,Inputs!$B$4="Chapter Hunt"),CHOOSE(ArtifactsInput!$N$27+1,20,24,28,32,36,40),0)/100)))))/Skills!H5+0.000000001),1)))/Inputs!$B$43),G2100*Q2100))*IF(Inputs!$B$38="pvp",1,(1+(Inputs!$B$21+Skills!Q5+(IF(ArtifactsInput!$M$33,CHOOSE(ArtifactsInput!$N$33+1,30,36,42,48,54,60),0))+(IF(AND(ArtifactsInput!$M$35,Inputs!$B$4&lt;&gt;"Chapter Hunt"),CHOOSE(ArtifactsInput!$N$35+1,15,18,21,24,27,30)*(1-EXP(-(0.2*B2128)*5)),0)+IF(AND(ArtifactsInput!$M$22,Inputs!$B$4&lt;&gt;"Chapter Hunt"),CHOOSE(ArtifactsInput!$N$22+1,10,12,14,16,18,20)*((0*(((0.15*B2128*5))^0/1)+1*(((0.15*B2128*5))^1/1)+2*(((0.15*B2128*5))^2/2)+3*(((0.15*B2128*5))^3/6)+4*(((0.15*B2128*5))^4/24)+5*(((0.15*B2128*5))^5/120))/((((0.15*B2128*5))^0/1)+(((0.15*B2128*5))^1/1)+(((0.15*B2128*5))^2/2)+(((0.15*B2128*5))^3/6)+(((0.15*B2128*5))^4/24)+(((0.15*B2128*5))^5/120))),0))+IF(Inputs!$B$3&gt;=54,9*(C2098=TRUE)*MIN(1,8*(1+Inputs!$B$34/100)*Q2098),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01">
      <c r="A2101">
        <f>Skills!A6</f>
        <v/>
      </c>
      <c r="B2101">
        <f>Skills!B6</f>
        <v/>
      </c>
      <c r="C2101">
        <f>Inputs!$B$3&gt;=66</f>
        <v/>
      </c>
      <c r="D2101">
        <f>IF(Skills!C6=1,60+Inputs!$B$25+Inputs!$B$29,IF(Skills!C6=2,90+Inputs!$B$26+Inputs!$B$29,IF(Skills!C6=3,120+Inputs!$B$27+Inputs!$B$29,MAX(0,(Inputs!$B$3-100)*3)+Inputs!$B$28+Inputs!$B$29)))</f>
        <v/>
      </c>
      <c r="E2101">
        <f>INDEX(FactorTable!$B$2:$Y$301, MATCH(ROUND(MIN(300,MAX(1,D2101)),0), FactorTable!$A$2:$A$301,0), Skills!M6+1)</f>
        <v/>
      </c>
      <c r="F2101">
        <f>IF(Skills!N6=TRUE,(Skills!L6/10)*(E2101/1000),Skills!L6/10)+Skills!O6</f>
        <v/>
      </c>
      <c r="G2101">
        <f>Skills!G6*IF(Skills!H6&gt;0,INT(IF(Inputs!$B$38="pvp",MIN(Skills!I6,15),Skills!I6)/Skills!H6+0.000000001),1)</f>
        <v/>
      </c>
      <c r="H2101">
        <f>1-(1-Skills!J6/100)^Skills!K6</f>
        <v/>
      </c>
      <c r="I2101" t="inlineStr">
        <is>
          <t>1</t>
        </is>
      </c>
      <c r="J2101">
        <f>((Inputs!$B$6*(1+Inputs!$B$7/100))+(((Inputs!$B$12*(1+Inputs!$B$13/100))-(Inputs!$B$12*(1+Inputs!$B$13/100)))+0.25*(Inputs!$B$14-Inputs!$B$14))*(1+Inputs!$B$7/100))*(F2101/100)</f>
        <v/>
      </c>
      <c r="K2101">
        <f>J2101*(1+((Inputs!$B$12*(1+Inputs!$B$13/100))*0.01+Inputs!$B$14*0.0025)/100)*(1+Inputs!$B$15/100)*(1+Inputs!$B$16/100)*(5000/(6000+Inputs!$B$42*(1-(100*(1-(1-(Inputs!$B$19+0)/100)*(1-CHOOSE(ArtifactsInput!$N$40+1,5,6,7,8,9,10)/100)^(ArtifactsInput!$M$40-ArtifactsInput!$M$40)))/100)))*(1+(Inputs!$B$24+((C2121=TRUE)*(F2121-Calc!F26))+B2132)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+2.0*IF(C2110=TRUE,F2110,0)/100)*(1+(IF(Skills!A6="EIGHT_LEGS_EASTON",Inputs!$B$17+((C2118=TRUE)*(F2118-Calc!F23))+((C2122=TRUE)*(F2122-Calc!F27))+((IF(AND(Inputs!$B$38&lt;&gt;"pvp",Inputs!$B$43=0),1,IF(IF(Inputs!$B$38="pvp",15,Inputs!$B$43)-(B2133)&lt;=0,1,MAX(0,IF(Inputs!$B$38="pvp",15,Inputs!$B$43)-MAX(5,B2133))/(IF(Inputs!$B$38="pvp",15,Inputs!$B$43)-(B2133))))*(IF(AND(ArtifactsInput!$M$42,((Inputs!$B$9+((C2114=TRUE)*(F2114-Calc!F19))+B2126+(ArtifactsInput!$M$24-ArtifactsInput!$M$24)*CHOOSE(ArtifactsInput!$N$24+1,10,12,14,16,18,20)+IF(ArtifactsInput!$M$10,CHOOSE(ArtifactsInput!$N$10+1,15,18,21,24,27,30)*(IF(Inputs!$B$38="pvp",MIN(15,15)/15,IF(AND(Inputs!$B$38&lt;&gt;"pvp",Inputs!$B$43&gt;0),MIN(15,Inputs!$B$43)/(Inputs!$B$43),0))),0)))&gt;=100),MIN(100,((Inputs!$B$9+((C2114=TRUE)*(F2114-Calc!F19))+B2126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2133)&lt;=0,1,MAX(0,IF(Inputs!$B$38="pvp",15,Inputs!$B$43)-MAX(5,B2133))/(IF(Inputs!$B$38="pvp",15,Inputs!$B$43)-(B2133))))*IF(AND(ArtifactsInput!$M$42,((Inputs!$B$9+((C2114=TRUE)*(F2114-Calc!F19))+B2126+(ArtifactsInput!$M$24-ArtifactsInput!$M$24)*CHOOSE(ArtifactsInput!$N$24+1,10,12,14,16,18,20)+IF(ArtifactsInput!$M$10,CHOOSE(ArtifactsInput!$N$10+1,15,18,21,24,27,30)*(IF(Inputs!$B$38="pvp",MIN(15,15)/15,IF(AND(Inputs!$B$38&lt;&gt;"pvp",Inputs!$B$43&gt;0),MIN(15,Inputs!$B$43)/(Inputs!$B$43),0))),0)))&gt;=100),CHOOSE(ArtifactsInput!$N$42+1,40,48,56,64,72,80),0))))/100)*((1+(((C2112=TRUE)*F2112*5/7)+((C2119=TRUE)*(F2119-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2101)</f>
        <v/>
      </c>
      <c r="L2101">
        <f>K2101*(MIN(Inputs!$B$22+((C2117=TRUE)*(F2117-Calc!F22)),(Inputs!$B$23+0+(IF(ArtifactsInput!$M$15,CHOOSE(ArtifactsInput!$N$15+1,25,30,35,40,45,50)/100*(Inputs!$B$11-Inputs!$B$11),0))))/100+(Inputs!$B$23+0+(IF(ArtifactsInput!$M$15,CHOOSE(ArtifactsInput!$N$15+1,25,30,35,40,45,50)/100*(Inputs!$B$11-Inputs!$B$11),0)))/100)/2</f>
        <v/>
      </c>
      <c r="M2101">
        <f>L2101*(1+(Inputs!$B$10+((C2120=TRUE)*(F2120-Calc!F25))+B2131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01">
        <f>L2101*(1-MIN((Inputs!$B$9+((C2114=TRUE)*(F2114-Calc!F19))+B2126+(ArtifactsInput!$M$24-ArtifactsInput!$M$24)*CHOOSE(ArtifactsInput!$N$24+1,10,12,14,16,18,20)+(IF(AND(Inputs!$B$38&lt;&gt;"pvp",Inputs!$B$43=0),1,IF(IF(Inputs!$B$38="pvp",15,Inputs!$B$43)-(B2133)&lt;=0,1,MAX(0,IF(Inputs!$B$38="pvp",15,Inputs!$B$43)-MAX(5,B2133))/(IF(Inputs!$B$38="pvp",15,Inputs!$B$43)-(B2133))))*IF(AND(ArtifactsInput!$M$42,((Inputs!$B$9+((C2114=TRUE)*(F2114-Calc!F19))+B2126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2101*(MIN((Inputs!$B$9+((C2114=TRUE)*(F2114-Calc!F19))+B2126+(ArtifactsInput!$M$24-ArtifactsInput!$M$24)*CHOOSE(ArtifactsInput!$N$24+1,10,12,14,16,18,20)+(IF(AND(Inputs!$B$38&lt;&gt;"pvp",Inputs!$B$43=0),1,IF(IF(Inputs!$B$38="pvp",15,Inputs!$B$43)-(B2133)&lt;=0,1,MAX(0,IF(Inputs!$B$38="pvp",15,Inputs!$B$43)-MAX(5,B2133))/(IF(Inputs!$B$38="pvp",15,Inputs!$B$43)-(B2133))))*IF(AND(ArtifactsInput!$M$42,((Inputs!$B$9+((C2114=TRUE)*(F2114-Calc!F19))+B2126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01">
        <f>(1-Summary!$B$11)*T2101+Summary!$B$11*V2101</f>
        <v/>
      </c>
      <c r="P2101">
        <f>IF(B2136=0,0,O2101/B2136)</f>
        <v/>
      </c>
      <c r="Q2101">
        <f>IFERROR(1/(IF(Inputs!$B$38="pvp",15,MAX(0.1,Skills!D6-IF(TRUE=TRUE,Inputs!$B$32,0)))*(1-IF(AND(ArtifactsInput!$M$27,Inputs!$B$4="Chapter Hunt"),CHOOSE(ArtifactsInput!$N$27+1,20,24,28,32,36,40),0)/100)),0)</f>
        <v/>
      </c>
      <c r="R2101">
        <f>IF(AND(Inputs!$B$38&lt;&gt;"pvp",Inputs!$B$43&gt;0),IF(MAX(0,Inputs!$B$43-B2133)&lt;=0,0,(INT(MAX(0,Inputs!$B$43-B2133)/(IF(Inputs!$B$38="pvp",15,MAX(0.1,Skills!D6-IF(TRUE=TRUE,Inputs!$B$32,0)))*(1-IF(AND(ArtifactsInput!$M$27,Inputs!$B$4="Chapter Hunt"),CHOOSE(ArtifactsInput!$N$27+1,20,24,28,32,36,40),0)/100)))+1)),0)</f>
        <v/>
      </c>
      <c r="S2101">
        <f>IFERROR(O2101/N2101,0)</f>
        <v/>
      </c>
      <c r="T2101">
        <f>IF(C2101,(H2101*N2101*IF(AND(Inputs!$B$38&lt;&gt;"pvp",Inputs!$B$43&gt;0),((Skills!G6*((R2101-1)*IF(Skills!H6&gt;0,INT(Skills!I6/Skills!H6+0.000000001),1)+IF(Skills!H6&gt;0,INT(MIN(Skills!I6,MAX(0,MAX(0,Inputs!$B$43-B2133)-((R2101-1)*(IF(Inputs!$B$38="pvp",15,MAX(0.1,Skills!D6-IF(TRUE=TRUE,Inputs!$B$32,0)))*(1-IF(AND(ArtifactsInput!$M$27,Inputs!$B$4="Chapter Hunt"),CHOOSE(ArtifactsInput!$N$27+1,20,24,28,32,36,40),0)/100)))))/Skills!H6+0.000000001),1)))/Inputs!$B$43),G2101*Q2101))*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Hunt"),CHOOSE(ArtifactsInput!$N$35+1,15,18,21,24,27,30)*(1-EXP(-(0.2*B2128)*5)),0)+IF(AND(ArtifactsInput!$M$22,Inputs!$B$4&lt;&gt;"Chapter Hunt"),CHOOSE(ArtifactsInput!$N$22+1,10,12,14,16,18,20)*((0*(((0.15*B2128*5))^0/1)+1*(((0.15*B2128*5))^1/1)+2*(((0.15*B2128*5))^2/2)+3*(((0.15*B2128*5))^3/6)+4*(((0.15*B2128*5))^4/24)+5*(((0.15*B2128*5))^5/120))/((((0.15*B2128*5))^0/1)+(((0.15*B2128*5))^1/1)+(((0.15*B2128*5))^2/2)+(((0.15*B2128*5))^3/6)+(((0.15*B2128*5))^4/24)+(((0.15*B2128*5))^5/120))),0))+IF(Inputs!$B$3&gt;=54,9*(C2098=TRUE)*MIN(1,8*(1+Inputs!$B$34/100)*Q2098)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2101*(1-MIN(100,(Inputs!$B$9+((C2114=TRUE)*(F2114-Calc!F19))+B2126+(ArtifactsInput!$M$24-ArtifactsInput!$M$24)*CHOOSE(ArtifactsInput!$N$24+1,10,12,14,16,18,20)+(IF(AND(Inputs!$B$38&lt;&gt;"pvp",Inputs!$B$43=0),1,IF(IF(Inputs!$B$38="pvp",15,Inputs!$B$43)-(B2133)&lt;=0,1,MAX(0,IF(Inputs!$B$38="pvp",15,Inputs!$B$43)-MAX(5,B2133))/(IF(Inputs!$B$38="pvp",15,Inputs!$B$43)-(B2133))))*IF(AND(ArtifactsInput!$M$42,((Inputs!$B$9+((C2114=TRUE)*(F2114-Calc!F19))+B2126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2101*(MIN(100,(Inputs!$B$9+((C2114=TRUE)*(F2114-Calc!F19))+B2126+(ArtifactsInput!$M$24-ArtifactsInput!$M$24)*CHOOSE(ArtifactsInput!$N$24+1,10,12,14,16,18,20)+(IF(AND(Inputs!$B$38&lt;&gt;"pvp",Inputs!$B$43=0),1,IF(IF(Inputs!$B$38="pvp",15,Inputs!$B$43)-(B2133)&lt;=0,1,MAX(0,IF(Inputs!$B$38="pvp",15,Inputs!$B$43)-MAX(5,B2133))/(IF(Inputs!$B$38="pvp",15,Inputs!$B$43)-(B2133))))*IF(AND(ArtifactsInput!$M$42,((Inputs!$B$9+((C2114=TRUE)*(F2114-Calc!F19))+B2126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2101*(1-MIN(100,(Inputs!$B$9+((C2114=TRUE)*(F2114-Calc!F19))+B2126+(ArtifactsInput!$M$24-ArtifactsInput!$M$24)*CHOOSE(ArtifactsInput!$N$24+1,10,12,14,16,18,20)+(IF(AND(Inputs!$B$38&lt;&gt;"pvp",Inputs!$B$43=0),1,IF(IF(Inputs!$B$38="pvp",15,Inputs!$B$43)-(B2133)&lt;=0,1,MAX(0,IF(Inputs!$B$38="pvp",15,Inputs!$B$43)-MAX(5,B2133))/(IF(Inputs!$B$38="pvp",15,Inputs!$B$43)-(B2133))))*IF(AND(ArtifactsInput!$M$42,((Inputs!$B$9+((C2114=TRUE)*(F2114-Calc!F19))+B2126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2101*(MIN(100,(Inputs!$B$9+((C2114=TRUE)*(F2114-Calc!F19))+B2126+(ArtifactsInput!$M$24-ArtifactsInput!$M$24)*CHOOSE(ArtifactsInput!$N$24+1,10,12,14,16,18,20)+(IF(AND(Inputs!$B$38&lt;&gt;"pvp",Inputs!$B$43=0),1,IF(IF(Inputs!$B$38="pvp",15,Inputs!$B$43)-(B2133)&lt;=0,1,MAX(0,IF(Inputs!$B$38="pvp",15,Inputs!$B$43)-MAX(5,B2133))/(IF(Inputs!$B$38="pvp",15,Inputs!$B$43)-(B2133))))*IF(AND(ArtifactsInput!$M$42,((Inputs!$B$9+((C2114=TRUE)*(F2114-Calc!F19))+B2126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01">
        <f>IF(C2101,(H2101*N2101*IF(AND(Inputs!$B$38&lt;&gt;"pvp",Inputs!$B$43&gt;0),((Skills!G6*((R2101-1)*IF(Skills!H6&gt;0,INT(Skills!I6/Skills!H6+0.000000001),1)+IF(Skills!H6&gt;0,INT(MIN(Skills!I6,MAX(0,MAX(0,Inputs!$B$43-B2133)-((R2101-1)*(IF(Inputs!$B$38="pvp",15,MAX(0.1,Skills!D6-IF(TRUE=TRUE,Inputs!$B$32,0)))*(1-IF(AND(ArtifactsInput!$M$27,Inputs!$B$4="Chapter Hunt"),CHOOSE(ArtifactsInput!$N$27+1,20,24,28,32,36,40),0)/100)))))/Skills!H6+0.000000001),1)))/Inputs!$B$43),G2101*Q2101))*IF(Inputs!$B$38="pvp",1,(1+(Inputs!$B$21+Skills!Q6+(IF(ArtifactsInput!$M$33,CHOOSE(ArtifactsInput!$N$33+1,30,36,42,48,54,60),0))+(IF(AND(ArtifactsInput!$M$35,Inputs!$B$4&lt;&gt;"Chapter Hunt"),CHOOSE(ArtifactsInput!$N$35+1,15,18,21,24,27,30)*(1-EXP(-(0.2*B2128)*5)),0)+IF(AND(ArtifactsInput!$M$22,Inputs!$B$4&lt;&gt;"Chapter Hunt"),CHOOSE(ArtifactsInput!$N$22+1,10,12,14,16,18,20)*((0*(((0.15*B2128*5))^0/1)+1*(((0.15*B2128*5))^1/1)+2*(((0.15*B2128*5))^2/2)+3*(((0.15*B2128*5))^3/6)+4*(((0.15*B2128*5))^4/24)+5*(((0.15*B2128*5))^5/120))/((((0.15*B2128*5))^0/1)+(((0.15*B2128*5))^1/1)+(((0.15*B2128*5))^2/2)+(((0.15*B2128*5))^3/6)+(((0.15*B2128*5))^4/24)+(((0.15*B2128*5))^5/120))),0))+IF(Inputs!$B$3&gt;=54,9*(C2098=TRUE)*MIN(1,8*(1+Inputs!$B$34/100)*Q2098),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02">
      <c r="A2102">
        <f>Skills!A7</f>
        <v/>
      </c>
      <c r="B2102">
        <f>Skills!B7</f>
        <v/>
      </c>
      <c r="C2102">
        <f>Inputs!$B$3&gt;=63</f>
        <v/>
      </c>
      <c r="D2102">
        <f>IF(Skills!C7=1,60+Inputs!$B$25+Inputs!$B$29,IF(Skills!C7=2,90+Inputs!$B$26+Inputs!$B$29,IF(Skills!C7=3,120+Inputs!$B$27+Inputs!$B$29,MAX(0,(Inputs!$B$3-100)*3)+Inputs!$B$28+Inputs!$B$29)))</f>
        <v/>
      </c>
      <c r="E2102">
        <f>INDEX(FactorTable!$B$2:$Y$301, MATCH(ROUND(MIN(300,MAX(1,D2102)),0), FactorTable!$A$2:$A$301,0), Skills!M7+1)</f>
        <v/>
      </c>
      <c r="F2102">
        <f>IF(Skills!N7=TRUE,(Skills!L7/10)*(E2102/1000),Skills!L7/10)+Skills!O7</f>
        <v/>
      </c>
      <c r="G2102">
        <f>Skills!G7*IF(Skills!H7&gt;0,INT(IF(Inputs!$B$38="pvp",MIN(Skills!I7,15),Skills!I7)/Skills!H7+0.000000001),1)</f>
        <v/>
      </c>
      <c r="H2102">
        <f>1-(1-Skills!J7/100)^Skills!K7</f>
        <v/>
      </c>
      <c r="I2102" t="inlineStr">
        <is>
          <t>1</t>
        </is>
      </c>
      <c r="J2102">
        <f>((Inputs!$B$6*(1+Inputs!$B$7/100))+(((Inputs!$B$12*(1+Inputs!$B$13/100))-(Inputs!$B$12*(1+Inputs!$B$13/100)))+0.25*(Inputs!$B$14-Inputs!$B$14))*(1+Inputs!$B$7/100))*(F2102/100)</f>
        <v/>
      </c>
      <c r="K2102">
        <f>J2102*(1+((Inputs!$B$12*(1+Inputs!$B$13/100))*0.01+Inputs!$B$14*0.0025)/100)*(1+Inputs!$B$15/100)*(1+Inputs!$B$16/100)*(5000/(6000+Inputs!$B$42*(1-(100*(1-(1-(Inputs!$B$19+0)/100)*(1-CHOOSE(ArtifactsInput!$N$40+1,5,6,7,8,9,10)/100)^(ArtifactsInput!$M$40-ArtifactsInput!$M$40)))/100)))*(1+(Inputs!$B$24+((C2121=TRUE)*(F2121-Calc!F26))+B2132)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2110=TRUE,F2110,0)/100)*(1+(IF(Skills!A7="EIGHT_LEGS_EASTON",Inputs!$B$17+((C2118=TRUE)*(F2118-Calc!F23))+((C2122=TRUE)*(F2122-Calc!F27))+((IF(AND(Inputs!$B$38&lt;&gt;"pvp",Inputs!$B$43=0),1,IF(IF(Inputs!$B$38="pvp",15,Inputs!$B$43)-(B2133)&lt;=0,1,MAX(0,IF(Inputs!$B$38="pvp",15,Inputs!$B$43)-MAX(5,B2133))/(IF(Inputs!$B$38="pvp",15,Inputs!$B$43)-(B2133))))*(IF(AND(ArtifactsInput!$M$42,((Inputs!$B$9+((C2114=TRUE)*(F2114-Calc!F19))+B2126+(ArtifactsInput!$M$24-ArtifactsInput!$M$24)*CHOOSE(ArtifactsInput!$N$24+1,10,12,14,16,18,20)+IF(ArtifactsInput!$M$10,CHOOSE(ArtifactsInput!$N$10+1,15,18,21,24,27,30)*(IF(Inputs!$B$38="pvp",MIN(15,15)/15,IF(AND(Inputs!$B$38&lt;&gt;"pvp",Inputs!$B$43&gt;0),MIN(15,Inputs!$B$43)/(Inputs!$B$43),0))),0)))&gt;=100),MIN(100,((Inputs!$B$9+((C2114=TRUE)*(F2114-Calc!F19))+B2126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2133)&lt;=0,1,MAX(0,IF(Inputs!$B$38="pvp",15,Inputs!$B$43)-MAX(5,B2133))/(IF(Inputs!$B$38="pvp",15,Inputs!$B$43)-(B2133))))*IF(AND(ArtifactsInput!$M$42,((Inputs!$B$9+((C2114=TRUE)*(F2114-Calc!F19))+B2126+(ArtifactsInput!$M$24-ArtifactsInput!$M$24)*CHOOSE(ArtifactsInput!$N$24+1,10,12,14,16,18,20)+IF(ArtifactsInput!$M$10,CHOOSE(ArtifactsInput!$N$10+1,15,18,21,24,27,30)*(IF(Inputs!$B$38="pvp",MIN(15,15)/15,IF(AND(Inputs!$B$38&lt;&gt;"pvp",Inputs!$B$43&gt;0),MIN(15,Inputs!$B$43)/(Inputs!$B$43),0))),0)))&gt;=100),CHOOSE(ArtifactsInput!$N$42+1,40,48,56,64,72,80),0))))/100)*((1+(((C2112=TRUE)*F2112*5/7)+((C2119=TRUE)*(F2119-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2102)</f>
        <v/>
      </c>
      <c r="L2102">
        <f>K2102*(MIN(Inputs!$B$22+((C2117=TRUE)*(F2117-Calc!F22)),(Inputs!$B$23+0+(IF(ArtifactsInput!$M$15,CHOOSE(ArtifactsInput!$N$15+1,25,30,35,40,45,50)/100*(Inputs!$B$11-Inputs!$B$11),0))))/100+(Inputs!$B$23+0+(IF(ArtifactsInput!$M$15,CHOOSE(ArtifactsInput!$N$15+1,25,30,35,40,45,50)/100*(Inputs!$B$11-Inputs!$B$11),0)))/100)/2</f>
        <v/>
      </c>
      <c r="M2102">
        <f>L2102*(1+(Inputs!$B$10+((C2120=TRUE)*(F2120-Calc!F25))+B2131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02">
        <f>L2102*(1-MIN((Inputs!$B$9+((C2114=TRUE)*(F2114-Calc!F19))+B2126+(ArtifactsInput!$M$24-ArtifactsInput!$M$24)*CHOOSE(ArtifactsInput!$N$24+1,10,12,14,16,18,20)+(IF(AND(Inputs!$B$38&lt;&gt;"pvp",Inputs!$B$43=0),1,IF(IF(Inputs!$B$38="pvp",15,Inputs!$B$43)-(B2133)&lt;=0,1,MAX(0,IF(Inputs!$B$38="pvp",15,Inputs!$B$43)-MAX(5,B2133))/(IF(Inputs!$B$38="pvp",15,Inputs!$B$43)-(B2133))))*IF(AND(ArtifactsInput!$M$42,((Inputs!$B$9+((C2114=TRUE)*(F2114-Calc!F19))+B2126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2102*(MIN((Inputs!$B$9+((C2114=TRUE)*(F2114-Calc!F19))+B2126+(ArtifactsInput!$M$24-ArtifactsInput!$M$24)*CHOOSE(ArtifactsInput!$N$24+1,10,12,14,16,18,20)+(IF(AND(Inputs!$B$38&lt;&gt;"pvp",Inputs!$B$43=0),1,IF(IF(Inputs!$B$38="pvp",15,Inputs!$B$43)-(B2133)&lt;=0,1,MAX(0,IF(Inputs!$B$38="pvp",15,Inputs!$B$43)-MAX(5,B2133))/(IF(Inputs!$B$38="pvp",15,Inputs!$B$43)-(B2133))))*IF(AND(ArtifactsInput!$M$42,((Inputs!$B$9+((C2114=TRUE)*(F2114-Calc!F19))+B2126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02">
        <f>(1-Summary!$B$11)*T2102+Summary!$B$11*V2102</f>
        <v/>
      </c>
      <c r="P2102">
        <f>IF(B2136=0,0,O2102/B2136)</f>
        <v/>
      </c>
      <c r="Q2102">
        <f>IFERROR(1/(IF(Inputs!$B$38="pvp",15,MAX(0.1,Skills!D7-IF(TRUE=TRUE,Inputs!$B$32,0)))*(1-IF(AND(ArtifactsInput!$M$27,Inputs!$B$4="Chapter Hunt"),CHOOSE(ArtifactsInput!$N$27+1,20,24,28,32,36,40),0)/100)),0)</f>
        <v/>
      </c>
      <c r="R2102">
        <f>IF(AND(Inputs!$B$38&lt;&gt;"pvp",Inputs!$B$43&gt;0),IF(MAX(0,Inputs!$B$43-B2133)&lt;=0,0,(INT(MAX(0,Inputs!$B$43-B2133)/(IF(Inputs!$B$38="pvp",15,MAX(0.1,Skills!D7-IF(TRUE=TRUE,Inputs!$B$32,0)))*(1-IF(AND(ArtifactsInput!$M$27,Inputs!$B$4="Chapter Hunt"),CHOOSE(ArtifactsInput!$N$27+1,20,24,28,32,36,40),0)/100)))+1)),0)</f>
        <v/>
      </c>
      <c r="S2102">
        <f>IFERROR(O2102/N2102,0)</f>
        <v/>
      </c>
      <c r="T2102">
        <f>IF(C2102,(H2102*N2102*IF(AND(Inputs!$B$38&lt;&gt;"pvp",Inputs!$B$43&gt;0),((Skills!G7*((R2102-1)*IF(Skills!H7&gt;0,INT(Skills!I7/Skills!H7+0.000000001),1)+IF(Skills!H7&gt;0,INT(MIN(Skills!I7,MAX(0,MAX(0,Inputs!$B$43-B2133)-((R2102-1)*(IF(Inputs!$B$38="pvp",15,MAX(0.1,Skills!D7-IF(TRUE=TRUE,Inputs!$B$32,0)))*(1-IF(AND(ArtifactsInput!$M$27,Inputs!$B$4="Chapter Hunt"),CHOOSE(ArtifactsInput!$N$27+1,20,24,28,32,36,40),0)/100)))))/Skills!H7+0.000000001),1)))/Inputs!$B$43),G2102*Q2102))*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Hunt"),CHOOSE(ArtifactsInput!$N$35+1,15,18,21,24,27,30)*(1-EXP(-(0.2*B2128)*5)),0)+IF(AND(ArtifactsInput!$M$22,Inputs!$B$4&lt;&gt;"Chapter Hunt"),CHOOSE(ArtifactsInput!$N$22+1,10,12,14,16,18,20)*((0*(((0.15*B2128*5))^0/1)+1*(((0.15*B2128*5))^1/1)+2*(((0.15*B2128*5))^2/2)+3*(((0.15*B2128*5))^3/6)+4*(((0.15*B2128*5))^4/24)+5*(((0.15*B2128*5))^5/120))/((((0.15*B2128*5))^0/1)+(((0.15*B2128*5))^1/1)+(((0.15*B2128*5))^2/2)+(((0.15*B2128*5))^3/6)+(((0.15*B2128*5))^4/24)+(((0.15*B2128*5))^5/120))),0))+IF(Inputs!$B$3&gt;=54,9*(C2098=TRUE)*MIN(1,8*(1+Inputs!$B$34/100)*Q2098)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2102*(1-MIN(100,(Inputs!$B$9+((C2114=TRUE)*(F2114-Calc!F19))+B2126+(ArtifactsInput!$M$24-ArtifactsInput!$M$24)*CHOOSE(ArtifactsInput!$N$24+1,10,12,14,16,18,20)+(IF(AND(Inputs!$B$38&lt;&gt;"pvp",Inputs!$B$43=0),1,IF(IF(Inputs!$B$38="pvp",15,Inputs!$B$43)-(B2133)&lt;=0,1,MAX(0,IF(Inputs!$B$38="pvp",15,Inputs!$B$43)-MAX(5,B2133))/(IF(Inputs!$B$38="pvp",15,Inputs!$B$43)-(B2133))))*IF(AND(ArtifactsInput!$M$42,((Inputs!$B$9+((C2114=TRUE)*(F2114-Calc!F19))+B2126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2102*(MIN(100,(Inputs!$B$9+((C2114=TRUE)*(F2114-Calc!F19))+B2126+(ArtifactsInput!$M$24-ArtifactsInput!$M$24)*CHOOSE(ArtifactsInput!$N$24+1,10,12,14,16,18,20)+(IF(AND(Inputs!$B$38&lt;&gt;"pvp",Inputs!$B$43=0),1,IF(IF(Inputs!$B$38="pvp",15,Inputs!$B$43)-(B2133)&lt;=0,1,MAX(0,IF(Inputs!$B$38="pvp",15,Inputs!$B$43)-MAX(5,B2133))/(IF(Inputs!$B$38="pvp",15,Inputs!$B$43)-(B2133))))*IF(AND(ArtifactsInput!$M$42,((Inputs!$B$9+((C2114=TRUE)*(F2114-Calc!F19))+B2126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2102*(1-MIN(100,(Inputs!$B$9+((C2114=TRUE)*(F2114-Calc!F19))+B2126+(ArtifactsInput!$M$24-ArtifactsInput!$M$24)*CHOOSE(ArtifactsInput!$N$24+1,10,12,14,16,18,20)+(IF(AND(Inputs!$B$38&lt;&gt;"pvp",Inputs!$B$43=0),1,IF(IF(Inputs!$B$38="pvp",15,Inputs!$B$43)-(B2133)&lt;=0,1,MAX(0,IF(Inputs!$B$38="pvp",15,Inputs!$B$43)-MAX(5,B2133))/(IF(Inputs!$B$38="pvp",15,Inputs!$B$43)-(B2133))))*IF(AND(ArtifactsInput!$M$42,((Inputs!$B$9+((C2114=TRUE)*(F2114-Calc!F19))+B2126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2102*(MIN(100,(Inputs!$B$9+((C2114=TRUE)*(F2114-Calc!F19))+B2126+(ArtifactsInput!$M$24-ArtifactsInput!$M$24)*CHOOSE(ArtifactsInput!$N$24+1,10,12,14,16,18,20)+(IF(AND(Inputs!$B$38&lt;&gt;"pvp",Inputs!$B$43=0),1,IF(IF(Inputs!$B$38="pvp",15,Inputs!$B$43)-(B2133)&lt;=0,1,MAX(0,IF(Inputs!$B$38="pvp",15,Inputs!$B$43)-MAX(5,B2133))/(IF(Inputs!$B$38="pvp",15,Inputs!$B$43)-(B2133))))*IF(AND(ArtifactsInput!$M$42,((Inputs!$B$9+((C2114=TRUE)*(F2114-Calc!F19))+B2126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02">
        <f>IF(C2102,(H2102*N2102*IF(AND(Inputs!$B$38&lt;&gt;"pvp",Inputs!$B$43&gt;0),((Skills!G7*((R2102-1)*IF(Skills!H7&gt;0,INT(Skills!I7/Skills!H7+0.000000001),1)+IF(Skills!H7&gt;0,INT(MIN(Skills!I7,MAX(0,MAX(0,Inputs!$B$43-B2133)-((R2102-1)*(IF(Inputs!$B$38="pvp",15,MAX(0.1,Skills!D7-IF(TRUE=TRUE,Inputs!$B$32,0)))*(1-IF(AND(ArtifactsInput!$M$27,Inputs!$B$4="Chapter Hunt"),CHOOSE(ArtifactsInput!$N$27+1,20,24,28,32,36,40),0)/100)))))/Skills!H7+0.000000001),1)))/Inputs!$B$43),G2102*Q2102))*IF(Inputs!$B$38="pvp",1,(1+(Inputs!$B$21+Skills!Q7+(IF(ArtifactsInput!$M$33,CHOOSE(ArtifactsInput!$N$33+1,30,36,42,48,54,60),0))+(IF(AND(ArtifactsInput!$M$35,Inputs!$B$4&lt;&gt;"Chapter Hunt"),CHOOSE(ArtifactsInput!$N$35+1,15,18,21,24,27,30)*(1-EXP(-(0.2*B2128)*5)),0)+IF(AND(ArtifactsInput!$M$22,Inputs!$B$4&lt;&gt;"Chapter Hunt"),CHOOSE(ArtifactsInput!$N$22+1,10,12,14,16,18,20)*((0*(((0.15*B2128*5))^0/1)+1*(((0.15*B2128*5))^1/1)+2*(((0.15*B2128*5))^2/2)+3*(((0.15*B2128*5))^3/6)+4*(((0.15*B2128*5))^4/24)+5*(((0.15*B2128*5))^5/120))/((((0.15*B2128*5))^0/1)+(((0.15*B2128*5))^1/1)+(((0.15*B2128*5))^2/2)+(((0.15*B2128*5))^3/6)+(((0.15*B2128*5))^4/24)+(((0.15*B2128*5))^5/120))),0))+IF(Inputs!$B$3&gt;=54,9*(C2098=TRUE)*MIN(1,8*(1+Inputs!$B$34/100)*Q2098),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03">
      <c r="A2103">
        <f>Skills!A8</f>
        <v/>
      </c>
      <c r="B2103">
        <f>Skills!B8</f>
        <v/>
      </c>
      <c r="C2103">
        <f>Inputs!$B$3&gt;=103</f>
        <v/>
      </c>
      <c r="D2103">
        <f>IF(Skills!C8=1,60+Inputs!$B$25+Inputs!$B$29,IF(Skills!C8=2,90+Inputs!$B$26+Inputs!$B$29,IF(Skills!C8=3,120+Inputs!$B$27+Inputs!$B$29,MAX(0,(Inputs!$B$3-100)*3)+Inputs!$B$28+Inputs!$B$29)))</f>
        <v/>
      </c>
      <c r="E2103">
        <f>INDEX(FactorTable!$B$2:$Y$301, MATCH(ROUND(MIN(300,MAX(1,D2103)),0), FactorTable!$A$2:$A$301,0), Skills!M8+1)</f>
        <v/>
      </c>
      <c r="F2103">
        <f>IF(Skills!N8=TRUE,(Skills!L8/10)*(E2103/1000),Skills!L8/10)+Skills!O8</f>
        <v/>
      </c>
      <c r="G2103">
        <f>Skills!G8*IF(Skills!H8&gt;0,INT(IF(Inputs!$B$38="pvp",MIN(Skills!I8,15),Skills!I8)/Skills!H8+0.000000001),1)</f>
        <v/>
      </c>
      <c r="H2103">
        <f>1-(1-Skills!J8/100)^Skills!K8</f>
        <v/>
      </c>
      <c r="I2103" t="inlineStr">
        <is>
          <t>1</t>
        </is>
      </c>
      <c r="J2103">
        <f>((Inputs!$B$6*(1+Inputs!$B$7/100))+(((Inputs!$B$12*(1+Inputs!$B$13/100))-(Inputs!$B$12*(1+Inputs!$B$13/100)))+0.25*(Inputs!$B$14-Inputs!$B$14))*(1+Inputs!$B$7/100))*(F2103/100)</f>
        <v/>
      </c>
      <c r="K2103">
        <f>J2103*(1+((Inputs!$B$12*(1+Inputs!$B$13/100))*0.01+Inputs!$B$14*0.0025)/100)*(1+Inputs!$B$15/100)*(1+Inputs!$B$16/100)*(5000/(6000+Inputs!$B$42*(1-(100*(1-(1-(Inputs!$B$19+0)/100)*(1-CHOOSE(ArtifactsInput!$N$40+1,5,6,7,8,9,10)/100)^(ArtifactsInput!$M$40-ArtifactsInput!$M$40)))/100)))*(1+(Inputs!$B$24+((C2121=TRUE)*(F2121-Calc!F26))+B2132)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IGHT_LEGS_EASTON",Inputs!$B$17+((C2118=TRUE)*(F2118-Calc!F23))+((C2122=TRUE)*(F2122-Calc!F27))+((IF(AND(Inputs!$B$38&lt;&gt;"pvp",Inputs!$B$43=0),1,IF(IF(Inputs!$B$38="pvp",15,Inputs!$B$43)-(B2133)&lt;=0,1,MAX(0,IF(Inputs!$B$38="pvp",15,Inputs!$B$43)-MAX(5,B2133))/(IF(Inputs!$B$38="pvp",15,Inputs!$B$43)-(B2133))))*(IF(AND(ArtifactsInput!$M$42,((Inputs!$B$9+((C2114=TRUE)*(F2114-Calc!F19))+B2126+(ArtifactsInput!$M$24-ArtifactsInput!$M$24)*CHOOSE(ArtifactsInput!$N$24+1,10,12,14,16,18,20)+IF(ArtifactsInput!$M$10,CHOOSE(ArtifactsInput!$N$10+1,15,18,21,24,27,30)*(IF(Inputs!$B$38="pvp",MIN(15,15)/15,IF(AND(Inputs!$B$38&lt;&gt;"pvp",Inputs!$B$43&gt;0),MIN(15,Inputs!$B$43)/(Inputs!$B$43),0))),0)))&gt;=100),MIN(100,((Inputs!$B$9+((C2114=TRUE)*(F2114-Calc!F19))+B2126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2133)&lt;=0,1,MAX(0,IF(Inputs!$B$38="pvp",15,Inputs!$B$43)-MAX(5,B2133))/(IF(Inputs!$B$38="pvp",15,Inputs!$B$43)-(B2133))))*IF(AND(ArtifactsInput!$M$42,((Inputs!$B$9+((C2114=TRUE)*(F2114-Calc!F19))+B2126+(ArtifactsInput!$M$24-ArtifactsInput!$M$24)*CHOOSE(ArtifactsInput!$N$24+1,10,12,14,16,18,20)+IF(ArtifactsInput!$M$10,CHOOSE(ArtifactsInput!$N$10+1,15,18,21,24,27,30)*(IF(Inputs!$B$38="pvp",MIN(15,15)/15,IF(AND(Inputs!$B$38&lt;&gt;"pvp",Inputs!$B$43&gt;0),MIN(15,Inputs!$B$43)/(Inputs!$B$43),0))),0)))&gt;=100),CHOOSE(ArtifactsInput!$N$42+1,40,48,56,64,72,80),0))))/100)*((1+(((C2112=TRUE)*F2112*5/7)+((C2119=TRUE)*(F2119-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2103)</f>
        <v/>
      </c>
      <c r="L2103">
        <f>K2103*(MIN(Inputs!$B$22+((C2117=TRUE)*(F2117-Calc!F22)),(Inputs!$B$23+0+(IF(ArtifactsInput!$M$15,CHOOSE(ArtifactsInput!$N$15+1,25,30,35,40,45,50)/100*(Inputs!$B$11-Inputs!$B$11),0))))/100+(Inputs!$B$23+0+(IF(ArtifactsInput!$M$15,CHOOSE(ArtifactsInput!$N$15+1,25,30,35,40,45,50)/100*(Inputs!$B$11-Inputs!$B$11),0)))/100)/2</f>
        <v/>
      </c>
      <c r="M2103">
        <f>L2103*(1+(Inputs!$B$10+((C2120=TRUE)*(F2120-Calc!F25))+B2131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03">
        <f>L2103*(1-MIN((Inputs!$B$9+((C2114=TRUE)*(F2114-Calc!F19))+B2126+(ArtifactsInput!$M$24-ArtifactsInput!$M$24)*CHOOSE(ArtifactsInput!$N$24+1,10,12,14,16,18,20)+(IF(AND(Inputs!$B$38&lt;&gt;"pvp",Inputs!$B$43=0),1,IF(IF(Inputs!$B$38="pvp",15,Inputs!$B$43)-(B2133)&lt;=0,1,MAX(0,IF(Inputs!$B$38="pvp",15,Inputs!$B$43)-MAX(5,B2133))/(IF(Inputs!$B$38="pvp",15,Inputs!$B$43)-(B2133))))*IF(AND(ArtifactsInput!$M$42,((Inputs!$B$9+((C2114=TRUE)*(F2114-Calc!F19))+B2126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2103*(MIN((Inputs!$B$9+((C2114=TRUE)*(F2114-Calc!F19))+B2126+(ArtifactsInput!$M$24-ArtifactsInput!$M$24)*CHOOSE(ArtifactsInput!$N$24+1,10,12,14,16,18,20)+(IF(AND(Inputs!$B$38&lt;&gt;"pvp",Inputs!$B$43=0),1,IF(IF(Inputs!$B$38="pvp",15,Inputs!$B$43)-(B2133)&lt;=0,1,MAX(0,IF(Inputs!$B$38="pvp",15,Inputs!$B$43)-MAX(5,B2133))/(IF(Inputs!$B$38="pvp",15,Inputs!$B$43)-(B2133))))*IF(AND(ArtifactsInput!$M$42,((Inputs!$B$9+((C2114=TRUE)*(F2114-Calc!F19))+B2126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03">
        <f>(1-Summary!$B$11)*T2103+Summary!$B$11*V2103</f>
        <v/>
      </c>
      <c r="P2103">
        <f>IF(B2136=0,0,O2103/B2136)</f>
        <v/>
      </c>
      <c r="Q2103">
        <f>IFERROR(1/((IF(Inputs!$B$38="pvp",15,MAX(0.1,Skills!D8-IF(TRUE=TRUE,Inputs!$B$32,0)))*(1-IF(AND(ArtifactsInput!$M$27,Inputs!$B$4="Chapter Hunt"),CHOOSE(ArtifactsInput!$N$27+1,20,24,28,32,36,40),0)/100))/B2137),0)</f>
        <v/>
      </c>
      <c r="R2103">
        <f>IF(AND(Inputs!$B$38&lt;&gt;"pvp",Inputs!$B$43&gt;0),IF(MAX(0,Inputs!$B$43-B2133)&lt;=0,0,(INT(MAX(0,Inputs!$B$43-B2133)/((IF(Inputs!$B$38="pvp",15,MAX(0.1,Skills!D8-IF(TRUE=TRUE,Inputs!$B$32,0)))*(1-IF(AND(ArtifactsInput!$M$27,Inputs!$B$4="Chapter Hunt"),CHOOSE(ArtifactsInput!$N$27+1,20,24,28,32,36,40),0)/100))/B2137))+1)),0)</f>
        <v/>
      </c>
      <c r="S2103">
        <f>IFERROR(O2103/N2103,0)</f>
        <v/>
      </c>
      <c r="T2103">
        <f>IF(C2103,(H2103*N2103*IF(AND(Inputs!$B$38&lt;&gt;"pvp",Inputs!$B$43&gt;0),((Skills!G8*((R2103-1)*IF(Skills!H8&gt;0,INT(Skills!I8/Skills!H8+0.000000001),1)+IF(Skills!H8&gt;0,INT(MIN(Skills!I8,MAX(0,MAX(0,Inputs!$B$43-B2133)-((R2103-1)*((IF(Inputs!$B$38="pvp",15,MAX(0.1,Skills!D8-IF(TRUE=TRUE,Inputs!$B$32,0)))*(1-IF(AND(ArtifactsInput!$M$27,Inputs!$B$4="Chapter Hunt"),CHOOSE(ArtifactsInput!$N$27+1,20,24,28,32,36,40),0)/100))/B2137))))/Skills!H8+0.000000001),1)))/Inputs!$B$43),G2103*Q2103))*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Hunt"),CHOOSE(ArtifactsInput!$N$35+1,15,18,21,24,27,30)*(1-EXP(-(0.2*B2128)*5)),0)+IF(AND(ArtifactsInput!$M$22,Inputs!$B$4&lt;&gt;"Chapter Hunt"),CHOOSE(ArtifactsInput!$N$22+1,10,12,14,16,18,20)*((0*(((0.15*B2128*5))^0/1)+1*(((0.15*B2128*5))^1/1)+2*(((0.15*B2128*5))^2/2)+3*(((0.15*B2128*5))^3/6)+4*(((0.15*B2128*5))^4/24)+5*(((0.15*B2128*5))^5/120))/((((0.15*B2128*5))^0/1)+(((0.15*B2128*5))^1/1)+(((0.15*B2128*5))^2/2)+(((0.15*B2128*5))^3/6)+(((0.15*B2128*5))^4/24)+(((0.15*B2128*5))^5/120))),0))+IF(Inputs!$B$3&gt;=54,9*(C2098=TRUE)*MIN(1,8*(1+Inputs!$B$34/100)*Q2098)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2103*(1-MIN(100,(Inputs!$B$9+((C2114=TRUE)*(F2114-Calc!F19))+B2126+(ArtifactsInput!$M$24-ArtifactsInput!$M$24)*CHOOSE(ArtifactsInput!$N$24+1,10,12,14,16,18,20)+(IF(AND(Inputs!$B$38&lt;&gt;"pvp",Inputs!$B$43=0),1,IF(IF(Inputs!$B$38="pvp",15,Inputs!$B$43)-(B2133)&lt;=0,1,MAX(0,IF(Inputs!$B$38="pvp",15,Inputs!$B$43)-MAX(5,B2133))/(IF(Inputs!$B$38="pvp",15,Inputs!$B$43)-(B2133))))*IF(AND(ArtifactsInput!$M$42,((Inputs!$B$9+((C2114=TRUE)*(F2114-Calc!F19))+B2126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2103*(MIN(100,(Inputs!$B$9+((C2114=TRUE)*(F2114-Calc!F19))+B2126+(ArtifactsInput!$M$24-ArtifactsInput!$M$24)*CHOOSE(ArtifactsInput!$N$24+1,10,12,14,16,18,20)+(IF(AND(Inputs!$B$38&lt;&gt;"pvp",Inputs!$B$43=0),1,IF(IF(Inputs!$B$38="pvp",15,Inputs!$B$43)-(B2133)&lt;=0,1,MAX(0,IF(Inputs!$B$38="pvp",15,Inputs!$B$43)-MAX(5,B2133))/(IF(Inputs!$B$38="pvp",15,Inputs!$B$43)-(B2133))))*IF(AND(ArtifactsInput!$M$42,((Inputs!$B$9+((C2114=TRUE)*(F2114-Calc!F19))+B2126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2103*(1-MIN(100,(Inputs!$B$9+((C2114=TRUE)*(F2114-Calc!F19))+B2126+(ArtifactsInput!$M$24-ArtifactsInput!$M$24)*CHOOSE(ArtifactsInput!$N$24+1,10,12,14,16,18,20)+(IF(AND(Inputs!$B$38&lt;&gt;"pvp",Inputs!$B$43=0),1,IF(IF(Inputs!$B$38="pvp",15,Inputs!$B$43)-(B2133)&lt;=0,1,MAX(0,IF(Inputs!$B$38="pvp",15,Inputs!$B$43)-MAX(5,B2133))/(IF(Inputs!$B$38="pvp",15,Inputs!$B$43)-(B2133))))*IF(AND(ArtifactsInput!$M$42,((Inputs!$B$9+((C2114=TRUE)*(F2114-Calc!F19))+B2126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2103*(MIN(100,(Inputs!$B$9+((C2114=TRUE)*(F2114-Calc!F19))+B2126+(ArtifactsInput!$M$24-ArtifactsInput!$M$24)*CHOOSE(ArtifactsInput!$N$24+1,10,12,14,16,18,20)+(IF(AND(Inputs!$B$38&lt;&gt;"pvp",Inputs!$B$43=0),1,IF(IF(Inputs!$B$38="pvp",15,Inputs!$B$43)-(B2133)&lt;=0,1,MAX(0,IF(Inputs!$B$38="pvp",15,Inputs!$B$43)-MAX(5,B2133))/(IF(Inputs!$B$38="pvp",15,Inputs!$B$43)-(B2133))))*IF(AND(ArtifactsInput!$M$42,((Inputs!$B$9+((C2114=TRUE)*(F2114-Calc!F19))+B2126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03">
        <f>IF(C2103,(H2103*N2103*IF(AND(Inputs!$B$38&lt;&gt;"pvp",Inputs!$B$43&gt;0),((Skills!G8*((R2103-1)*IF(Skills!H8&gt;0,INT(Skills!I8/Skills!H8+0.000000001),1)+IF(Skills!H8&gt;0,INT(MIN(Skills!I8,MAX(0,MAX(0,Inputs!$B$43-B2133)-((R2103-1)*((IF(Inputs!$B$38="pvp",15,MAX(0.1,Skills!D8-IF(TRUE=TRUE,Inputs!$B$32,0)))*(1-IF(AND(ArtifactsInput!$M$27,Inputs!$B$4="Chapter Hunt"),CHOOSE(ArtifactsInput!$N$27+1,20,24,28,32,36,40),0)/100))/B2137))))/Skills!H8+0.000000001),1)))/Inputs!$B$43),G2103*Q2103))*IF(Inputs!$B$38="pvp",1,(1+(Inputs!$B$21+Skills!Q8+(IF(ArtifactsInput!$M$33,CHOOSE(ArtifactsInput!$N$33+1,30,36,42,48,54,60),0))+(IF(AND(ArtifactsInput!$M$35,Inputs!$B$4&lt;&gt;"Chapter Hunt"),CHOOSE(ArtifactsInput!$N$35+1,15,18,21,24,27,30)*(1-EXP(-(0.2*B2128)*5)),0)+IF(AND(ArtifactsInput!$M$22,Inputs!$B$4&lt;&gt;"Chapter Hunt"),CHOOSE(ArtifactsInput!$N$22+1,10,12,14,16,18,20)*((0*(((0.15*B2128*5))^0/1)+1*(((0.15*B2128*5))^1/1)+2*(((0.15*B2128*5))^2/2)+3*(((0.15*B2128*5))^3/6)+4*(((0.15*B2128*5))^4/24)+5*(((0.15*B2128*5))^5/120))/((((0.15*B2128*5))^0/1)+(((0.15*B2128*5))^1/1)+(((0.15*B2128*5))^2/2)+(((0.15*B2128*5))^3/6)+(((0.15*B2128*5))^4/24)+(((0.15*B2128*5))^5/120))),0))+IF(Inputs!$B$3&gt;=54,9*(C2098=TRUE)*MIN(1,8*(1+Inputs!$B$34/100)*Q2098),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04">
      <c r="A2104">
        <f>Skills!A9</f>
        <v/>
      </c>
      <c r="B2104">
        <f>Skills!B9</f>
        <v/>
      </c>
      <c r="C2104">
        <f>Inputs!$B$3&gt;=105</f>
        <v/>
      </c>
      <c r="D2104">
        <f>IF(Skills!C9=1,60+Inputs!$B$25+Inputs!$B$29,IF(Skills!C9=2,90+Inputs!$B$26+Inputs!$B$29,IF(Skills!C9=3,120+Inputs!$B$27+Inputs!$B$29,MAX(0,(Inputs!$B$3-100)*3)+Inputs!$B$28+Inputs!$B$29)))</f>
        <v/>
      </c>
      <c r="E2104">
        <f>INDEX(FactorTable!$B$2:$Y$301, MATCH(ROUND(MIN(300,MAX(1,D2104)),0), FactorTable!$A$2:$A$301,0), Skills!M9+1)</f>
        <v/>
      </c>
      <c r="F2104">
        <f>IF(Skills!N9=TRUE,(Skills!L9/10)*(E2104/1000),Skills!L9/10)+Skills!O9</f>
        <v/>
      </c>
      <c r="G2104">
        <f>Skills!G9*IF(Skills!H9&gt;0,INT(IF(Inputs!$B$38="pvp",MIN(Skills!I9,15),Skills!I9)/Skills!H9+0.000000001),1)</f>
        <v/>
      </c>
      <c r="H2104">
        <f>1-(1-Skills!J9/100)^Skills!K9</f>
        <v/>
      </c>
      <c r="I2104" t="inlineStr">
        <is>
          <t>1</t>
        </is>
      </c>
      <c r="J2104">
        <f>((Inputs!$B$6*(1+Inputs!$B$7/100))+(((Inputs!$B$12*(1+Inputs!$B$13/100))-(Inputs!$B$12*(1+Inputs!$B$13/100)))+0.25*(Inputs!$B$14-Inputs!$B$14))*(1+Inputs!$B$7/100))*(F2104/100)</f>
        <v/>
      </c>
      <c r="K2104">
        <f>J2104*(1+((Inputs!$B$12*(1+Inputs!$B$13/100))*0.01+Inputs!$B$14*0.0025)/100)*(1+Inputs!$B$15/100)*(1+Inputs!$B$16/100)*(5000/(6000+Inputs!$B$42*(1-(100*(1-(1-(Inputs!$B$19+0)/100)*(1-CHOOSE(ArtifactsInput!$N$40+1,5,6,7,8,9,10)/100)^(ArtifactsInput!$M$40-ArtifactsInput!$M$40)))/100)))*(1+(Inputs!$B$24+((C2121=TRUE)*(F2121-Calc!F26))+B2132)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IGHT_LEGS_EASTON",Inputs!$B$17+((C2118=TRUE)*(F2118-Calc!F23))+((C2122=TRUE)*(F2122-Calc!F27))+((IF(AND(Inputs!$B$38&lt;&gt;"pvp",Inputs!$B$43=0),1,IF(IF(Inputs!$B$38="pvp",15,Inputs!$B$43)-(B2133)&lt;=0,1,MAX(0,IF(Inputs!$B$38="pvp",15,Inputs!$B$43)-MAX(5,B2133))/(IF(Inputs!$B$38="pvp",15,Inputs!$B$43)-(B2133))))*(IF(AND(ArtifactsInput!$M$42,((Inputs!$B$9+((C2114=TRUE)*(F2114-Calc!F19))+B2126+(ArtifactsInput!$M$24-ArtifactsInput!$M$24)*CHOOSE(ArtifactsInput!$N$24+1,10,12,14,16,18,20)+IF(ArtifactsInput!$M$10,CHOOSE(ArtifactsInput!$N$10+1,15,18,21,24,27,30)*(IF(Inputs!$B$38="pvp",MIN(15,15)/15,IF(AND(Inputs!$B$38&lt;&gt;"pvp",Inputs!$B$43&gt;0),MIN(15,Inputs!$B$43)/(Inputs!$B$43),0))),0)))&gt;=100),MIN(100,((Inputs!$B$9+((C2114=TRUE)*(F2114-Calc!F19))+B2126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2133)&lt;=0,1,MAX(0,IF(Inputs!$B$38="pvp",15,Inputs!$B$43)-MAX(5,B2133))/(IF(Inputs!$B$38="pvp",15,Inputs!$B$43)-(B2133))))*IF(AND(ArtifactsInput!$M$42,((Inputs!$B$9+((C2114=TRUE)*(F2114-Calc!F19))+B2126+(ArtifactsInput!$M$24-ArtifactsInput!$M$24)*CHOOSE(ArtifactsInput!$N$24+1,10,12,14,16,18,20)+IF(ArtifactsInput!$M$10,CHOOSE(ArtifactsInput!$N$10+1,15,18,21,24,27,30)*(IF(Inputs!$B$38="pvp",MIN(15,15)/15,IF(AND(Inputs!$B$38&lt;&gt;"pvp",Inputs!$B$43&gt;0),MIN(15,Inputs!$B$43)/(Inputs!$B$43),0))),0)))&gt;=100),CHOOSE(ArtifactsInput!$N$42+1,40,48,56,64,72,80),0))))/100)*((1+(((C2112=TRUE)*F2112*5/7)+((C2119=TRUE)*(F2119-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2104)</f>
        <v/>
      </c>
      <c r="L2104">
        <f>K2104*(MIN(Inputs!$B$22+((C2117=TRUE)*(F2117-Calc!F22)),(Inputs!$B$23+0+(IF(ArtifactsInput!$M$15,CHOOSE(ArtifactsInput!$N$15+1,25,30,35,40,45,50)/100*(Inputs!$B$11-Inputs!$B$11),0))))/100+(Inputs!$B$23+0+(IF(ArtifactsInput!$M$15,CHOOSE(ArtifactsInput!$N$15+1,25,30,35,40,45,50)/100*(Inputs!$B$11-Inputs!$B$11),0)))/100)/2</f>
        <v/>
      </c>
      <c r="M2104">
        <f>L2104*(1+(Inputs!$B$10+((C2120=TRUE)*(F2120-Calc!F25))+B2131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04">
        <f>L2104*(1-MIN((Inputs!$B$9+((C2114=TRUE)*(F2114-Calc!F19))+B2126+(ArtifactsInput!$M$24-ArtifactsInput!$M$24)*CHOOSE(ArtifactsInput!$N$24+1,10,12,14,16,18,20)+(IF(AND(Inputs!$B$38&lt;&gt;"pvp",Inputs!$B$43=0),1,IF(IF(Inputs!$B$38="pvp",15,Inputs!$B$43)-(B2133)&lt;=0,1,MAX(0,IF(Inputs!$B$38="pvp",15,Inputs!$B$43)-MAX(5,B2133))/(IF(Inputs!$B$38="pvp",15,Inputs!$B$43)-(B2133))))*IF(AND(ArtifactsInput!$M$42,((Inputs!$B$9+((C2114=TRUE)*(F2114-Calc!F19))+B2126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2104*(MIN((Inputs!$B$9+((C2114=TRUE)*(F2114-Calc!F19))+B2126+(ArtifactsInput!$M$24-ArtifactsInput!$M$24)*CHOOSE(ArtifactsInput!$N$24+1,10,12,14,16,18,20)+(IF(AND(Inputs!$B$38&lt;&gt;"pvp",Inputs!$B$43=0),1,IF(IF(Inputs!$B$38="pvp",15,Inputs!$B$43)-(B2133)&lt;=0,1,MAX(0,IF(Inputs!$B$38="pvp",15,Inputs!$B$43)-MAX(5,B2133))/(IF(Inputs!$B$38="pvp",15,Inputs!$B$43)-(B2133))))*IF(AND(ArtifactsInput!$M$42,((Inputs!$B$9+((C2114=TRUE)*(F2114-Calc!F19))+B2126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04">
        <f>(1-Summary!$B$11)*T2104+Summary!$B$11*V2104</f>
        <v/>
      </c>
      <c r="P2104">
        <f>IF(B2136=0,0,O2104/B2136)</f>
        <v/>
      </c>
      <c r="Q2104">
        <f>IFERROR(1/(IF(Inputs!$B$38="pvp",15,MAX(0.1,Skills!D9-IF(TRUE=TRUE,Inputs!$B$32,0)))*(1-IF(AND(ArtifactsInput!$M$27,Inputs!$B$4="Chapter Hunt"),CHOOSE(ArtifactsInput!$N$27+1,20,24,28,32,36,40),0)/100)),0)</f>
        <v/>
      </c>
      <c r="R2104">
        <f>IF(AND(Inputs!$B$38&lt;&gt;"pvp",Inputs!$B$43&gt;0),IF(MAX(0,Inputs!$B$43-B2133)&lt;=0,0,(INT(MAX(0,Inputs!$B$43-B2133)/(IF(Inputs!$B$38="pvp",15,MAX(0.1,Skills!D9-IF(TRUE=TRUE,Inputs!$B$32,0)))*(1-IF(AND(ArtifactsInput!$M$27,Inputs!$B$4="Chapter Hunt"),CHOOSE(ArtifactsInput!$N$27+1,20,24,28,32,36,40),0)/100)))+1)),0)</f>
        <v/>
      </c>
      <c r="S2104">
        <f>IFERROR(O2104/N2104,0)</f>
        <v/>
      </c>
      <c r="T2104">
        <f>IF(C2104,(H2104*N2104*IF(AND(Inputs!$B$38&lt;&gt;"pvp",Inputs!$B$43&gt;0),((Skills!G9*((R2104-1)*IF(Skills!H9&gt;0,INT(Skills!I9/Skills!H9+0.000000001),1)+IF(Skills!H9&gt;0,INT(MIN(Skills!I9,MAX(0,MAX(0,Inputs!$B$43-B2133)-((R2104-1)*(IF(Inputs!$B$38="pvp",15,MAX(0.1,Skills!D9-IF(TRUE=TRUE,Inputs!$B$32,0)))*(1-IF(AND(ArtifactsInput!$M$27,Inputs!$B$4="Chapter Hunt"),CHOOSE(ArtifactsInput!$N$27+1,20,24,28,32,36,40),0)/100)))))/Skills!H9+0.000000001),1)))/Inputs!$B$43),G2104*Q2104))*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Hunt"),CHOOSE(ArtifactsInput!$N$35+1,15,18,21,24,27,30)*(1-EXP(-(0.2*B2128)*5)),0)+IF(AND(ArtifactsInput!$M$22,Inputs!$B$4&lt;&gt;"Chapter Hunt"),CHOOSE(ArtifactsInput!$N$22+1,10,12,14,16,18,20)*((0*(((0.15*B2128*5))^0/1)+1*(((0.15*B2128*5))^1/1)+2*(((0.15*B2128*5))^2/2)+3*(((0.15*B2128*5))^3/6)+4*(((0.15*B2128*5))^4/24)+5*(((0.15*B2128*5))^5/120))/((((0.15*B2128*5))^0/1)+(((0.15*B2128*5))^1/1)+(((0.15*B2128*5))^2/2)+(((0.15*B2128*5))^3/6)+(((0.15*B2128*5))^4/24)+(((0.15*B2128*5))^5/120))),0))+IF(Inputs!$B$3&gt;=54,9*(C2098=TRUE)*MIN(1,8*(1+Inputs!$B$34/100)*Q2098)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2104*(1-MIN(100,(Inputs!$B$9+((C2114=TRUE)*(F2114-Calc!F19))+B2126+(ArtifactsInput!$M$24-ArtifactsInput!$M$24)*CHOOSE(ArtifactsInput!$N$24+1,10,12,14,16,18,20)+(IF(AND(Inputs!$B$38&lt;&gt;"pvp",Inputs!$B$43=0),1,IF(IF(Inputs!$B$38="pvp",15,Inputs!$B$43)-(B2133)&lt;=0,1,MAX(0,IF(Inputs!$B$38="pvp",15,Inputs!$B$43)-MAX(5,B2133))/(IF(Inputs!$B$38="pvp",15,Inputs!$B$43)-(B2133))))*IF(AND(ArtifactsInput!$M$42,((Inputs!$B$9+((C2114=TRUE)*(F2114-Calc!F19))+B2126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2104*(MIN(100,(Inputs!$B$9+((C2114=TRUE)*(F2114-Calc!F19))+B2126+(ArtifactsInput!$M$24-ArtifactsInput!$M$24)*CHOOSE(ArtifactsInput!$N$24+1,10,12,14,16,18,20)+(IF(AND(Inputs!$B$38&lt;&gt;"pvp",Inputs!$B$43=0),1,IF(IF(Inputs!$B$38="pvp",15,Inputs!$B$43)-(B2133)&lt;=0,1,MAX(0,IF(Inputs!$B$38="pvp",15,Inputs!$B$43)-MAX(5,B2133))/(IF(Inputs!$B$38="pvp",15,Inputs!$B$43)-(B2133))))*IF(AND(ArtifactsInput!$M$42,((Inputs!$B$9+((C2114=TRUE)*(F2114-Calc!F19))+B2126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2104*(1-MIN(100,(Inputs!$B$9+((C2114=TRUE)*(F2114-Calc!F19))+B2126+(ArtifactsInput!$M$24-ArtifactsInput!$M$24)*CHOOSE(ArtifactsInput!$N$24+1,10,12,14,16,18,20)+(IF(AND(Inputs!$B$38&lt;&gt;"pvp",Inputs!$B$43=0),1,IF(IF(Inputs!$B$38="pvp",15,Inputs!$B$43)-(B2133)&lt;=0,1,MAX(0,IF(Inputs!$B$38="pvp",15,Inputs!$B$43)-MAX(5,B2133))/(IF(Inputs!$B$38="pvp",15,Inputs!$B$43)-(B2133))))*IF(AND(ArtifactsInput!$M$42,((Inputs!$B$9+((C2114=TRUE)*(F2114-Calc!F19))+B2126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2104*(MIN(100,(Inputs!$B$9+((C2114=TRUE)*(F2114-Calc!F19))+B2126+(ArtifactsInput!$M$24-ArtifactsInput!$M$24)*CHOOSE(ArtifactsInput!$N$24+1,10,12,14,16,18,20)+(IF(AND(Inputs!$B$38&lt;&gt;"pvp",Inputs!$B$43=0),1,IF(IF(Inputs!$B$38="pvp",15,Inputs!$B$43)-(B2133)&lt;=0,1,MAX(0,IF(Inputs!$B$38="pvp",15,Inputs!$B$43)-MAX(5,B2133))/(IF(Inputs!$B$38="pvp",15,Inputs!$B$43)-(B2133))))*IF(AND(ArtifactsInput!$M$42,((Inputs!$B$9+((C2114=TRUE)*(F2114-Calc!F19))+B2126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04">
        <f>IF(C2104,(H2104*N2104*IF(AND(Inputs!$B$38&lt;&gt;"pvp",Inputs!$B$43&gt;0),((Skills!G9*((R2104-1)*IF(Skills!H9&gt;0,INT(Skills!I9/Skills!H9+0.000000001),1)+IF(Skills!H9&gt;0,INT(MIN(Skills!I9,MAX(0,MAX(0,Inputs!$B$43-B2133)-((R2104-1)*(IF(Inputs!$B$38="pvp",15,MAX(0.1,Skills!D9-IF(TRUE=TRUE,Inputs!$B$32,0)))*(1-IF(AND(ArtifactsInput!$M$27,Inputs!$B$4="Chapter Hunt"),CHOOSE(ArtifactsInput!$N$27+1,20,24,28,32,36,40),0)/100)))))/Skills!H9+0.000000001),1)))/Inputs!$B$43),G2104*Q2104))*IF(Inputs!$B$38="pvp",1,(1+(Inputs!$B$21+Skills!Q9+(IF(ArtifactsInput!$M$33,CHOOSE(ArtifactsInput!$N$33+1,30,36,42,48,54,60),0))+(IF(AND(ArtifactsInput!$M$35,Inputs!$B$4&lt;&gt;"Chapter Hunt"),CHOOSE(ArtifactsInput!$N$35+1,15,18,21,24,27,30)*(1-EXP(-(0.2*B2128)*5)),0)+IF(AND(ArtifactsInput!$M$22,Inputs!$B$4&lt;&gt;"Chapter Hunt"),CHOOSE(ArtifactsInput!$N$22+1,10,12,14,16,18,20)*((0*(((0.15*B2128*5))^0/1)+1*(((0.15*B2128*5))^1/1)+2*(((0.15*B2128*5))^2/2)+3*(((0.15*B2128*5))^3/6)+4*(((0.15*B2128*5))^4/24)+5*(((0.15*B2128*5))^5/120))/((((0.15*B2128*5))^0/1)+(((0.15*B2128*5))^1/1)+(((0.15*B2128*5))^2/2)+(((0.15*B2128*5))^3/6)+(((0.15*B2128*5))^4/24)+(((0.15*B2128*5))^5/120))),0))+IF(Inputs!$B$3&gt;=54,9*(C2098=TRUE)*MIN(1,8*(1+Inputs!$B$34/100)*Q2098),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05">
      <c r="A2105">
        <f>Skills!A10</f>
        <v/>
      </c>
      <c r="B2105">
        <f>Skills!B10</f>
        <v/>
      </c>
      <c r="C2105">
        <f>Inputs!$B$3&gt;=113</f>
        <v/>
      </c>
      <c r="D2105">
        <f>IF(Skills!C10=1,60+Inputs!$B$25+Inputs!$B$29,IF(Skills!C10=2,90+Inputs!$B$26+Inputs!$B$29,IF(Skills!C10=3,120+Inputs!$B$27+Inputs!$B$29,MAX(0,(Inputs!$B$3-100)*3)+Inputs!$B$28+Inputs!$B$29)))</f>
        <v/>
      </c>
      <c r="E2105">
        <f>INDEX(FactorTable!$B$2:$Y$301, MATCH(ROUND(MIN(300,MAX(1,D2105)),0), FactorTable!$A$2:$A$301,0), Skills!M10+1)</f>
        <v/>
      </c>
      <c r="F2105">
        <f>IF(Skills!N10=TRUE,(Skills!L10/10)*(E2105/1000),Skills!L10/10)+Skills!O10</f>
        <v/>
      </c>
      <c r="G2105">
        <f>Skills!G10*IF(Skills!H10&gt;0,INT(IF(Inputs!$B$38="pvp",MIN(Skills!I10,15),Skills!I10)/Skills!H10+0.000000001),1)</f>
        <v/>
      </c>
      <c r="H2105">
        <f>1-(1-Skills!J10/100)^Skills!K10</f>
        <v/>
      </c>
      <c r="I2105" t="inlineStr">
        <is>
          <t>1</t>
        </is>
      </c>
      <c r="J2105">
        <f>((Inputs!$B$6*(1+Inputs!$B$7/100))+(((Inputs!$B$12*(1+Inputs!$B$13/100))-(Inputs!$B$12*(1+Inputs!$B$13/100)))+0.25*(Inputs!$B$14-Inputs!$B$14))*(1+Inputs!$B$7/100))*(F2105/100)</f>
        <v/>
      </c>
      <c r="K2105">
        <f>J2105*(1+((Inputs!$B$12*(1+Inputs!$B$13/100))*0.01+Inputs!$B$14*0.0025)/100)*(1+Inputs!$B$15/100)*(1+Inputs!$B$16/100)*(5000/(6000+Inputs!$B$42*(1-(100*(1-(1-(Inputs!$B$19+0)/100)*(1-CHOOSE(ArtifactsInput!$N$40+1,5,6,7,8,9,10)/100)^(ArtifactsInput!$M$40-ArtifactsInput!$M$40)))/100)))*(1+(Inputs!$B$24+((C2121=TRUE)*(F2121-Calc!F26))+B2132)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IGHT_LEGS_EASTON",Inputs!$B$17+((C2118=TRUE)*(F2118-Calc!F23))+((C2122=TRUE)*(F2122-Calc!F27))+((IF(AND(Inputs!$B$38&lt;&gt;"pvp",Inputs!$B$43=0),1,IF(IF(Inputs!$B$38="pvp",15,Inputs!$B$43)-(B2133)&lt;=0,1,MAX(0,IF(Inputs!$B$38="pvp",15,Inputs!$B$43)-MAX(5,B2133))/(IF(Inputs!$B$38="pvp",15,Inputs!$B$43)-(B2133))))*(IF(AND(ArtifactsInput!$M$42,((Inputs!$B$9+((C2114=TRUE)*(F2114-Calc!F19))+B2126+(ArtifactsInput!$M$24-ArtifactsInput!$M$24)*CHOOSE(ArtifactsInput!$N$24+1,10,12,14,16,18,20)+IF(ArtifactsInput!$M$10,CHOOSE(ArtifactsInput!$N$10+1,15,18,21,24,27,30)*(IF(Inputs!$B$38="pvp",MIN(15,15)/15,IF(AND(Inputs!$B$38&lt;&gt;"pvp",Inputs!$B$43&gt;0),MIN(15,Inputs!$B$43)/(Inputs!$B$43),0))),0)))&gt;=100),MIN(100,((Inputs!$B$9+((C2114=TRUE)*(F2114-Calc!F19))+B2126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2133)&lt;=0,1,MAX(0,IF(Inputs!$B$38="pvp",15,Inputs!$B$43)-MAX(5,B2133))/(IF(Inputs!$B$38="pvp",15,Inputs!$B$43)-(B2133))))*IF(AND(ArtifactsInput!$M$42,((Inputs!$B$9+((C2114=TRUE)*(F2114-Calc!F19))+B2126+(ArtifactsInput!$M$24-ArtifactsInput!$M$24)*CHOOSE(ArtifactsInput!$N$24+1,10,12,14,16,18,20)+IF(ArtifactsInput!$M$10,CHOOSE(ArtifactsInput!$N$10+1,15,18,21,24,27,30)*(IF(Inputs!$B$38="pvp",MIN(15,15)/15,IF(AND(Inputs!$B$38&lt;&gt;"pvp",Inputs!$B$43&gt;0),MIN(15,Inputs!$B$43)/(Inputs!$B$43),0))),0)))&gt;=100),CHOOSE(ArtifactsInput!$N$42+1,40,48,56,64,72,80),0))))/100)*((1+(((C2112=TRUE)*F2112*5/7)+((C2119=TRUE)*(F2119-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2105)</f>
        <v/>
      </c>
      <c r="L2105">
        <f>K2105*(MIN(Inputs!$B$22+((C2117=TRUE)*(F2117-Calc!F22)),(Inputs!$B$23+0+(IF(ArtifactsInput!$M$15,CHOOSE(ArtifactsInput!$N$15+1,25,30,35,40,45,50)/100*(Inputs!$B$11-Inputs!$B$11),0))))/100+(Inputs!$B$23+0+(IF(ArtifactsInput!$M$15,CHOOSE(ArtifactsInput!$N$15+1,25,30,35,40,45,50)/100*(Inputs!$B$11-Inputs!$B$11),0)))/100)/2</f>
        <v/>
      </c>
      <c r="M2105">
        <f>L2105*(1+(Inputs!$B$10+((C2120=TRUE)*(F2120-Calc!F25))+B2131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05">
        <f>L2105*(1-MIN((Inputs!$B$9+((C2114=TRUE)*(F2114-Calc!F19))+B2126+(ArtifactsInput!$M$24-ArtifactsInput!$M$24)*CHOOSE(ArtifactsInput!$N$24+1,10,12,14,16,18,20)+(IF(AND(Inputs!$B$38&lt;&gt;"pvp",Inputs!$B$43=0),1,IF(IF(Inputs!$B$38="pvp",15,Inputs!$B$43)-(B2133)&lt;=0,1,MAX(0,IF(Inputs!$B$38="pvp",15,Inputs!$B$43)-MAX(5,B2133))/(IF(Inputs!$B$38="pvp",15,Inputs!$B$43)-(B2133))))*IF(AND(ArtifactsInput!$M$42,((Inputs!$B$9+((C2114=TRUE)*(F2114-Calc!F19))+B2126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2105*(MIN((Inputs!$B$9+((C2114=TRUE)*(F2114-Calc!F19))+B2126+(ArtifactsInput!$M$24-ArtifactsInput!$M$24)*CHOOSE(ArtifactsInput!$N$24+1,10,12,14,16,18,20)+(IF(AND(Inputs!$B$38&lt;&gt;"pvp",Inputs!$B$43=0),1,IF(IF(Inputs!$B$38="pvp",15,Inputs!$B$43)-(B2133)&lt;=0,1,MAX(0,IF(Inputs!$B$38="pvp",15,Inputs!$B$43)-MAX(5,B2133))/(IF(Inputs!$B$38="pvp",15,Inputs!$B$43)-(B2133))))*IF(AND(ArtifactsInput!$M$42,((Inputs!$B$9+((C2114=TRUE)*(F2114-Calc!F19))+B2126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05">
        <f>(1-Summary!$B$11)*T2105+Summary!$B$11*V2105</f>
        <v/>
      </c>
      <c r="P2105">
        <f>IF(B2136=0,0,O2105/B2136)</f>
        <v/>
      </c>
      <c r="Q2105" t="n">
        <v>0</v>
      </c>
      <c r="R2105" t="n">
        <v>0</v>
      </c>
      <c r="S2105">
        <f>IFERROR(O2105/N2105,0)</f>
        <v/>
      </c>
      <c r="T2105">
        <f>IF(C2105,((H2105*B2138)/(1+Skills!H10*H2105*B2138)*N2105)*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Hunt"),CHOOSE(ArtifactsInput!$N$35+1,15,18,21,24,27,30)*(1-EXP(-(0.2*B2128)*5)),0)+IF(AND(ArtifactsInput!$M$22,Inputs!$B$4&lt;&gt;"Chapter Hunt"),CHOOSE(ArtifactsInput!$N$22+1,10,12,14,16,18,20)*((0*(((0.15*B2128*5))^0/1)+1*(((0.15*B2128*5))^1/1)+2*(((0.15*B2128*5))^2/2)+3*(((0.15*B2128*5))^3/6)+4*(((0.15*B2128*5))^4/24)+5*(((0.15*B2128*5))^5/120))/((((0.15*B2128*5))^0/1)+(((0.15*B2128*5))^1/1)+(((0.15*B2128*5))^2/2)+(((0.15*B2128*5))^3/6)+(((0.15*B2128*5))^4/24)+(((0.15*B2128*5))^5/120))),0))+IF(Inputs!$B$3&gt;=54,9*(C2098=TRUE)*MIN(1,8*(1+Inputs!$B$34/100)*Q2098)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2105*(1-MIN(100,(Inputs!$B$9+((C2114=TRUE)*(F2114-Calc!F19))+B2126+(ArtifactsInput!$M$24-ArtifactsInput!$M$24)*CHOOSE(ArtifactsInput!$N$24+1,10,12,14,16,18,20)+(IF(AND(Inputs!$B$38&lt;&gt;"pvp",Inputs!$B$43=0),1,IF(IF(Inputs!$B$38="pvp",15,Inputs!$B$43)-(B2133)&lt;=0,1,MAX(0,IF(Inputs!$B$38="pvp",15,Inputs!$B$43)-MAX(5,B2133))/(IF(Inputs!$B$38="pvp",15,Inputs!$B$43)-(B2133))))*IF(AND(ArtifactsInput!$M$42,((Inputs!$B$9+((C2114=TRUE)*(F2114-Calc!F19))+B2126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2105*(MIN(100,(Inputs!$B$9+((C2114=TRUE)*(F2114-Calc!F19))+B2126+(ArtifactsInput!$M$24-ArtifactsInput!$M$24)*CHOOSE(ArtifactsInput!$N$24+1,10,12,14,16,18,20)+(IF(AND(Inputs!$B$38&lt;&gt;"pvp",Inputs!$B$43=0),1,IF(IF(Inputs!$B$38="pvp",15,Inputs!$B$43)-(B2133)&lt;=0,1,MAX(0,IF(Inputs!$B$38="pvp",15,Inputs!$B$43)-MAX(5,B2133))/(IF(Inputs!$B$38="pvp",15,Inputs!$B$43)-(B2133))))*IF(AND(ArtifactsInput!$M$42,((Inputs!$B$9+((C2114=TRUE)*(F2114-Calc!F19))+B2126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2105*(1-MIN(100,(Inputs!$B$9+((C2114=TRUE)*(F2114-Calc!F19))+B2126+(ArtifactsInput!$M$24-ArtifactsInput!$M$24)*CHOOSE(ArtifactsInput!$N$24+1,10,12,14,16,18,20)+(IF(AND(Inputs!$B$38&lt;&gt;"pvp",Inputs!$B$43=0),1,IF(IF(Inputs!$B$38="pvp",15,Inputs!$B$43)-(B2133)&lt;=0,1,MAX(0,IF(Inputs!$B$38="pvp",15,Inputs!$B$43)-MAX(5,B2133))/(IF(Inputs!$B$38="pvp",15,Inputs!$B$43)-(B2133))))*IF(AND(ArtifactsInput!$M$42,((Inputs!$B$9+((C2114=TRUE)*(F2114-Calc!F19))+B2126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2105*(MIN(100,(Inputs!$B$9+((C2114=TRUE)*(F2114-Calc!F19))+B2126+(ArtifactsInput!$M$24-ArtifactsInput!$M$24)*CHOOSE(ArtifactsInput!$N$24+1,10,12,14,16,18,20)+(IF(AND(Inputs!$B$38&lt;&gt;"pvp",Inputs!$B$43=0),1,IF(IF(Inputs!$B$38="pvp",15,Inputs!$B$43)-(B2133)&lt;=0,1,MAX(0,IF(Inputs!$B$38="pvp",15,Inputs!$B$43)-MAX(5,B2133))/(IF(Inputs!$B$38="pvp",15,Inputs!$B$43)-(B2133))))*IF(AND(ArtifactsInput!$M$42,((Inputs!$B$9+((C2114=TRUE)*(F2114-Calc!F19))+B2126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05">
        <f>IF(C2105,((H2105*B2138)/(1+Skills!H10*H2105*B2138)*N2105)*IF(Inputs!$B$38="pvp",1,(1+(Inputs!$B$21+Skills!Q10+(IF(ArtifactsInput!$M$33,CHOOSE(ArtifactsInput!$N$33+1,30,36,42,48,54,60),0))+(IF(AND(ArtifactsInput!$M$35,Inputs!$B$4&lt;&gt;"Chapter Hunt"),CHOOSE(ArtifactsInput!$N$35+1,15,18,21,24,27,30)*(1-EXP(-(0.2*B2128)*5)),0)+IF(AND(ArtifactsInput!$M$22,Inputs!$B$4&lt;&gt;"Chapter Hunt"),CHOOSE(ArtifactsInput!$N$22+1,10,12,14,16,18,20)*((0*(((0.15*B2128*5))^0/1)+1*(((0.15*B2128*5))^1/1)+2*(((0.15*B2128*5))^2/2)+3*(((0.15*B2128*5))^3/6)+4*(((0.15*B2128*5))^4/24)+5*(((0.15*B2128*5))^5/120))/((((0.15*B2128*5))^0/1)+(((0.15*B2128*5))^1/1)+(((0.15*B2128*5))^2/2)+(((0.15*B2128*5))^3/6)+(((0.15*B2128*5))^4/24)+(((0.15*B2128*5))^5/120))),0))+IF(Inputs!$B$3&gt;=54,9*(C2098=TRUE)*MIN(1,8*(1+Inputs!$B$34/100)*Q2098),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06">
      <c r="A2106">
        <f>Skills!A11</f>
        <v/>
      </c>
      <c r="B2106">
        <f>Skills!B11</f>
        <v/>
      </c>
      <c r="C2106">
        <f>Inputs!$B$3&gt;=117</f>
        <v/>
      </c>
      <c r="D2106">
        <f>IF(Skills!C11=1,60+Inputs!$B$25+Inputs!$B$29,IF(Skills!C11=2,90+Inputs!$B$26+Inputs!$B$29,IF(Skills!C11=3,120+Inputs!$B$27+Inputs!$B$29,MAX(0,(Inputs!$B$3-100)*3)+Inputs!$B$28+Inputs!$B$29)))</f>
        <v/>
      </c>
      <c r="E2106">
        <f>INDEX(FactorTable!$B$2:$Y$301, MATCH(ROUND(MIN(300,MAX(1,D2106)),0), FactorTable!$A$2:$A$301,0), Skills!M11+1)</f>
        <v/>
      </c>
      <c r="F2106">
        <f>IF(Skills!N11=TRUE,(Skills!L11/10)*(E2106/1000),Skills!L11/10)+Skills!O11</f>
        <v/>
      </c>
      <c r="G2106">
        <f>Skills!G11*IF(Skills!H11&gt;0,INT(IF(Inputs!$B$38="pvp",MIN(Skills!I11,15),Skills!I11)/Skills!H11+0.000000001),1)</f>
        <v/>
      </c>
      <c r="H2106">
        <f>1-(1-Skills!J11/100)^Skills!K11</f>
        <v/>
      </c>
      <c r="I2106" t="inlineStr">
        <is>
          <t>1</t>
        </is>
      </c>
      <c r="J2106">
        <f>((Inputs!$B$6*(1+Inputs!$B$7/100))+(((Inputs!$B$12*(1+Inputs!$B$13/100))-(Inputs!$B$12*(1+Inputs!$B$13/100)))+0.25*(Inputs!$B$14-Inputs!$B$14))*(1+Inputs!$B$7/100))*(F2106/100)</f>
        <v/>
      </c>
      <c r="K2106">
        <f>J2106*(1+((Inputs!$B$12*(1+Inputs!$B$13/100))*0.01+Inputs!$B$14*0.0025)/100)*(1+Inputs!$B$15/100)*(1+Inputs!$B$16/100)*(5000/(6000+Inputs!$B$42*(1-(100*(1-(1-(Inputs!$B$19+0)/100)*(1-CHOOSE(ArtifactsInput!$N$40+1,5,6,7,8,9,10)/100)^(ArtifactsInput!$M$40-ArtifactsInput!$M$40)))/100)))*(1+(Inputs!$B$24+((C2121=TRUE)*(F2121-Calc!F26))+B2132)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IGHT_LEGS_EASTON",Inputs!$B$17+((C2118=TRUE)*(F2118-Calc!F23))+((C2122=TRUE)*(F2122-Calc!F27))+((IF(AND(Inputs!$B$38&lt;&gt;"pvp",Inputs!$B$43=0),1,IF(IF(Inputs!$B$38="pvp",15,Inputs!$B$43)-(B2133)&lt;=0,1,MAX(0,IF(Inputs!$B$38="pvp",15,Inputs!$B$43)-MAX(5,B2133))/(IF(Inputs!$B$38="pvp",15,Inputs!$B$43)-(B2133))))*(IF(AND(ArtifactsInput!$M$42,((Inputs!$B$9+((C2114=TRUE)*(F2114-Calc!F19))+B2126+(ArtifactsInput!$M$24-ArtifactsInput!$M$24)*CHOOSE(ArtifactsInput!$N$24+1,10,12,14,16,18,20)+IF(ArtifactsInput!$M$10,CHOOSE(ArtifactsInput!$N$10+1,15,18,21,24,27,30)*(IF(Inputs!$B$38="pvp",MIN(15,15)/15,IF(AND(Inputs!$B$38&lt;&gt;"pvp",Inputs!$B$43&gt;0),MIN(15,Inputs!$B$43)/(Inputs!$B$43),0))),0)))&gt;=100),MIN(100,((Inputs!$B$9+((C2114=TRUE)*(F2114-Calc!F19))+B2126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2133)&lt;=0,1,MAX(0,IF(Inputs!$B$38="pvp",15,Inputs!$B$43)-MAX(5,B2133))/(IF(Inputs!$B$38="pvp",15,Inputs!$B$43)-(B2133))))*IF(AND(ArtifactsInput!$M$42,((Inputs!$B$9+((C2114=TRUE)*(F2114-Calc!F19))+B2126+(ArtifactsInput!$M$24-ArtifactsInput!$M$24)*CHOOSE(ArtifactsInput!$N$24+1,10,12,14,16,18,20)+IF(ArtifactsInput!$M$10,CHOOSE(ArtifactsInput!$N$10+1,15,18,21,24,27,30)*(IF(Inputs!$B$38="pvp",MIN(15,15)/15,IF(AND(Inputs!$B$38&lt;&gt;"pvp",Inputs!$B$43&gt;0),MIN(15,Inputs!$B$43)/(Inputs!$B$43),0))),0)))&gt;=100),CHOOSE(ArtifactsInput!$N$42+1,40,48,56,64,72,80),0))))/100)*((1+(((C2112=TRUE)*F2112*5/7)+((C2119=TRUE)*(F2119-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2106)</f>
        <v/>
      </c>
      <c r="L2106">
        <f>K2106*(MIN(Inputs!$B$22+((C2117=TRUE)*(F2117-Calc!F22)),(Inputs!$B$23+0+(IF(ArtifactsInput!$M$15,CHOOSE(ArtifactsInput!$N$15+1,25,30,35,40,45,50)/100*(Inputs!$B$11-Inputs!$B$11),0))))/100+(Inputs!$B$23+0+(IF(ArtifactsInput!$M$15,CHOOSE(ArtifactsInput!$N$15+1,25,30,35,40,45,50)/100*(Inputs!$B$11-Inputs!$B$11),0)))/100)/2</f>
        <v/>
      </c>
      <c r="M2106">
        <f>L2106*(1+(Inputs!$B$10+((C2120=TRUE)*(F2120-Calc!F25))+B2131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06">
        <f>L2106*(1-MIN((Inputs!$B$9+((C2114=TRUE)*(F2114-Calc!F19))+B2126+(ArtifactsInput!$M$24-ArtifactsInput!$M$24)*CHOOSE(ArtifactsInput!$N$24+1,10,12,14,16,18,20)+(IF(AND(Inputs!$B$38&lt;&gt;"pvp",Inputs!$B$43=0),1,IF(IF(Inputs!$B$38="pvp",15,Inputs!$B$43)-(B2133)&lt;=0,1,MAX(0,IF(Inputs!$B$38="pvp",15,Inputs!$B$43)-MAX(5,B2133))/(IF(Inputs!$B$38="pvp",15,Inputs!$B$43)-(B2133))))*IF(AND(ArtifactsInput!$M$42,((Inputs!$B$9+((C2114=TRUE)*(F2114-Calc!F19))+B2126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2106*(MIN((Inputs!$B$9+((C2114=TRUE)*(F2114-Calc!F19))+B2126+(ArtifactsInput!$M$24-ArtifactsInput!$M$24)*CHOOSE(ArtifactsInput!$N$24+1,10,12,14,16,18,20)+(IF(AND(Inputs!$B$38&lt;&gt;"pvp",Inputs!$B$43=0),1,IF(IF(Inputs!$B$38="pvp",15,Inputs!$B$43)-(B2133)&lt;=0,1,MAX(0,IF(Inputs!$B$38="pvp",15,Inputs!$B$43)-MAX(5,B2133))/(IF(Inputs!$B$38="pvp",15,Inputs!$B$43)-(B2133))))*IF(AND(ArtifactsInput!$M$42,((Inputs!$B$9+((C2114=TRUE)*(F2114-Calc!F19))+B2126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06">
        <f>(1-Summary!$B$11)*T2106+Summary!$B$11*V2106</f>
        <v/>
      </c>
      <c r="P2106">
        <f>IF(B2136=0,0,O2106/B2136)</f>
        <v/>
      </c>
      <c r="Q2106">
        <f>IFERROR(1/((IF(Inputs!$B$38="pvp",15,MAX(0.1,Skills!D11-IF(TRUE=TRUE,Inputs!$B$32,0)))*(1-IF(AND(ArtifactsInput!$M$27,Inputs!$B$4="Chapter Hunt"),CHOOSE(ArtifactsInput!$N$27+1,20,24,28,32,36,40),0)/100))/B2137),0)</f>
        <v/>
      </c>
      <c r="R2106">
        <f>IF(AND(Inputs!$B$38&lt;&gt;"pvp",Inputs!$B$43&gt;0),IF(MAX(0,Inputs!$B$43-B2133)&lt;=0,0,(INT(MAX(0,Inputs!$B$43-B2133)/((IF(Inputs!$B$38="pvp",15,MAX(0.1,Skills!D11-IF(TRUE=TRUE,Inputs!$B$32,0)))*(1-IF(AND(ArtifactsInput!$M$27,Inputs!$B$4="Chapter Hunt"),CHOOSE(ArtifactsInput!$N$27+1,20,24,28,32,36,40),0)/100))/B2137))+1)),0)</f>
        <v/>
      </c>
      <c r="S2106">
        <f>IFERROR(O2106/N2106,0)</f>
        <v/>
      </c>
      <c r="T2106">
        <f>IF(C2106,(H2106*N2106*IF(AND(Inputs!$B$38&lt;&gt;"pvp",Inputs!$B$43&gt;0),((Skills!G11*((R2106-1)*IF(Skills!H11&gt;0,INT(Skills!I11/Skills!H11+0.000000001),1)+IF(Skills!H11&gt;0,INT(MIN(Skills!I11,MAX(0,MAX(0,Inputs!$B$43-B2133)-((R2106-1)*((IF(Inputs!$B$38="pvp",15,MAX(0.1,Skills!D11-IF(TRUE=TRUE,Inputs!$B$32,0)))*(1-IF(AND(ArtifactsInput!$M$27,Inputs!$B$4="Chapter Hunt"),CHOOSE(ArtifactsInput!$N$27+1,20,24,28,32,36,40),0)/100))/B2137))))/Skills!H11+0.000000001),1)))/Inputs!$B$43),G2106*Q2106))*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Hunt"),CHOOSE(ArtifactsInput!$N$35+1,15,18,21,24,27,30)*(1-EXP(-(0.2*B2128)*5)),0)+IF(AND(ArtifactsInput!$M$22,Inputs!$B$4&lt;&gt;"Chapter Hunt"),CHOOSE(ArtifactsInput!$N$22+1,10,12,14,16,18,20)*((0*(((0.15*B2128*5))^0/1)+1*(((0.15*B2128*5))^1/1)+2*(((0.15*B2128*5))^2/2)+3*(((0.15*B2128*5))^3/6)+4*(((0.15*B2128*5))^4/24)+5*(((0.15*B2128*5))^5/120))/((((0.15*B2128*5))^0/1)+(((0.15*B2128*5))^1/1)+(((0.15*B2128*5))^2/2)+(((0.15*B2128*5))^3/6)+(((0.15*B2128*5))^4/24)+(((0.15*B2128*5))^5/120))),0))+IF(Inputs!$B$3&gt;=54,9*(C2098=TRUE)*MIN(1,8*(1+Inputs!$B$34/100)*Q2098)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2106*(1-MIN(100,(Inputs!$B$9+((C2114=TRUE)*(F2114-Calc!F19))+B2126+(ArtifactsInput!$M$24-ArtifactsInput!$M$24)*CHOOSE(ArtifactsInput!$N$24+1,10,12,14,16,18,20)+(IF(AND(Inputs!$B$38&lt;&gt;"pvp",Inputs!$B$43=0),1,IF(IF(Inputs!$B$38="pvp",15,Inputs!$B$43)-(B2133)&lt;=0,1,MAX(0,IF(Inputs!$B$38="pvp",15,Inputs!$B$43)-MAX(5,B2133))/(IF(Inputs!$B$38="pvp",15,Inputs!$B$43)-(B2133))))*IF(AND(ArtifactsInput!$M$42,((Inputs!$B$9+((C2114=TRUE)*(F2114-Calc!F19))+B2126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2106*(MIN(100,(Inputs!$B$9+((C2114=TRUE)*(F2114-Calc!F19))+B2126+(ArtifactsInput!$M$24-ArtifactsInput!$M$24)*CHOOSE(ArtifactsInput!$N$24+1,10,12,14,16,18,20)+(IF(AND(Inputs!$B$38&lt;&gt;"pvp",Inputs!$B$43=0),1,IF(IF(Inputs!$B$38="pvp",15,Inputs!$B$43)-(B2133)&lt;=0,1,MAX(0,IF(Inputs!$B$38="pvp",15,Inputs!$B$43)-MAX(5,B2133))/(IF(Inputs!$B$38="pvp",15,Inputs!$B$43)-(B2133))))*IF(AND(ArtifactsInput!$M$42,((Inputs!$B$9+((C2114=TRUE)*(F2114-Calc!F19))+B2126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2106*(1-MIN(100,(Inputs!$B$9+((C2114=TRUE)*(F2114-Calc!F19))+B2126+(ArtifactsInput!$M$24-ArtifactsInput!$M$24)*CHOOSE(ArtifactsInput!$N$24+1,10,12,14,16,18,20)+(IF(AND(Inputs!$B$38&lt;&gt;"pvp",Inputs!$B$43=0),1,IF(IF(Inputs!$B$38="pvp",15,Inputs!$B$43)-(B2133)&lt;=0,1,MAX(0,IF(Inputs!$B$38="pvp",15,Inputs!$B$43)-MAX(5,B2133))/(IF(Inputs!$B$38="pvp",15,Inputs!$B$43)-(B2133))))*IF(AND(ArtifactsInput!$M$42,((Inputs!$B$9+((C2114=TRUE)*(F2114-Calc!F19))+B2126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2106*(MIN(100,(Inputs!$B$9+((C2114=TRUE)*(F2114-Calc!F19))+B2126+(ArtifactsInput!$M$24-ArtifactsInput!$M$24)*CHOOSE(ArtifactsInput!$N$24+1,10,12,14,16,18,20)+(IF(AND(Inputs!$B$38&lt;&gt;"pvp",Inputs!$B$43=0),1,IF(IF(Inputs!$B$38="pvp",15,Inputs!$B$43)-(B2133)&lt;=0,1,MAX(0,IF(Inputs!$B$38="pvp",15,Inputs!$B$43)-MAX(5,B2133))/(IF(Inputs!$B$38="pvp",15,Inputs!$B$43)-(B2133))))*IF(AND(ArtifactsInput!$M$42,((Inputs!$B$9+((C2114=TRUE)*(F2114-Calc!F19))+B2126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06">
        <f>IF(C2106,(H2106*N2106*IF(AND(Inputs!$B$38&lt;&gt;"pvp",Inputs!$B$43&gt;0),((Skills!G11*((R2106-1)*IF(Skills!H11&gt;0,INT(Skills!I11/Skills!H11+0.000000001),1)+IF(Skills!H11&gt;0,INT(MIN(Skills!I11,MAX(0,MAX(0,Inputs!$B$43-B2133)-((R2106-1)*((IF(Inputs!$B$38="pvp",15,MAX(0.1,Skills!D11-IF(TRUE=TRUE,Inputs!$B$32,0)))*(1-IF(AND(ArtifactsInput!$M$27,Inputs!$B$4="Chapter Hunt"),CHOOSE(ArtifactsInput!$N$27+1,20,24,28,32,36,40),0)/100))/B2137))))/Skills!H11+0.000000001),1)))/Inputs!$B$43),G2106*Q2106))*IF(Inputs!$B$38="pvp",1,(1+(Inputs!$B$21+Skills!Q11+(IF(ArtifactsInput!$M$33,CHOOSE(ArtifactsInput!$N$33+1,30,36,42,48,54,60),0))+(IF(AND(ArtifactsInput!$M$35,Inputs!$B$4&lt;&gt;"Chapter Hunt"),CHOOSE(ArtifactsInput!$N$35+1,15,18,21,24,27,30)*(1-EXP(-(0.2*B2128)*5)),0)+IF(AND(ArtifactsInput!$M$22,Inputs!$B$4&lt;&gt;"Chapter Hunt"),CHOOSE(ArtifactsInput!$N$22+1,10,12,14,16,18,20)*((0*(((0.15*B2128*5))^0/1)+1*(((0.15*B2128*5))^1/1)+2*(((0.15*B2128*5))^2/2)+3*(((0.15*B2128*5))^3/6)+4*(((0.15*B2128*5))^4/24)+5*(((0.15*B2128*5))^5/120))/((((0.15*B2128*5))^0/1)+(((0.15*B2128*5))^1/1)+(((0.15*B2128*5))^2/2)+(((0.15*B2128*5))^3/6)+(((0.15*B2128*5))^4/24)+(((0.15*B2128*5))^5/120))),0))+IF(Inputs!$B$3&gt;=54,9*(C2098=TRUE)*MIN(1,8*(1+Inputs!$B$34/100)*Q2098),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07">
      <c r="A2107">
        <f>Skills!A12</f>
        <v/>
      </c>
      <c r="B2107">
        <f>Skills!B12</f>
        <v/>
      </c>
      <c r="C2107">
        <f>Inputs!$B$3&gt;=110</f>
        <v/>
      </c>
      <c r="D2107">
        <f>IF(Skills!C12=1,60+Inputs!$B$25+Inputs!$B$29,IF(Skills!C12=2,90+Inputs!$B$26+Inputs!$B$29,IF(Skills!C12=3,120+Inputs!$B$27+Inputs!$B$29,MAX(0,(Inputs!$B$3-100)*3)+Inputs!$B$28+Inputs!$B$29)))</f>
        <v/>
      </c>
      <c r="E2107">
        <f>INDEX(FactorTable!$B$2:$Y$301, MATCH(ROUND(MIN(300,MAX(1,D2107)),0), FactorTable!$A$2:$A$301,0), Skills!M12+1)</f>
        <v/>
      </c>
      <c r="F2107">
        <f>IF(Skills!N12=TRUE,(Skills!L12/10)*(E2107/1000),Skills!L12/10)+Skills!O12</f>
        <v/>
      </c>
      <c r="G2107">
        <f>Skills!G12*IF(Skills!H12&gt;0,INT(IF(Inputs!$B$38="pvp",MIN(Skills!I12,15),Skills!I12)/Skills!H12+0.000000001),1)</f>
        <v/>
      </c>
      <c r="H2107">
        <f>1-(1-Skills!J12/100)^Skills!K12</f>
        <v/>
      </c>
      <c r="I2107" t="inlineStr">
        <is>
          <t>1</t>
        </is>
      </c>
      <c r="J2107">
        <f>((Inputs!$B$6*(1+Inputs!$B$7/100))+(((Inputs!$B$12*(1+Inputs!$B$13/100))-(Inputs!$B$12*(1+Inputs!$B$13/100)))+0.25*(Inputs!$B$14-Inputs!$B$14))*(1+Inputs!$B$7/100))*(F2107/100)</f>
        <v/>
      </c>
      <c r="K2107">
        <f>J2107*(1+((Inputs!$B$12*(1+Inputs!$B$13/100))*0.01+Inputs!$B$14*0.0025)/100)*(1+Inputs!$B$15/100)*(1+Inputs!$B$16/100)*(5000/(6000+Inputs!$B$42*(1-(100*(1-(1-(Inputs!$B$19+0)/100)*(1-CHOOSE(ArtifactsInput!$N$40+1,5,6,7,8,9,10)/100)^(ArtifactsInput!$M$40-ArtifactsInput!$M$40)))/100)))*(1+(Inputs!$B$24+((C2121=TRUE)*(F2121-Calc!F26))+B2132)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EIGHT_LEGS_EASTON",Inputs!$B$17+((C2118=TRUE)*(F2118-Calc!F23))+((C2122=TRUE)*(F2122-Calc!F27))+((IF(AND(Inputs!$B$38&lt;&gt;"pvp",Inputs!$B$43=0),1,IF(IF(Inputs!$B$38="pvp",15,Inputs!$B$43)-(B2133)&lt;=0,1,MAX(0,IF(Inputs!$B$38="pvp",15,Inputs!$B$43)-MAX(5,B2133))/(IF(Inputs!$B$38="pvp",15,Inputs!$B$43)-(B2133))))*(IF(AND(ArtifactsInput!$M$42,((Inputs!$B$9+((C2114=TRUE)*(F2114-Calc!F19))+B2126+(ArtifactsInput!$M$24-ArtifactsInput!$M$24)*CHOOSE(ArtifactsInput!$N$24+1,10,12,14,16,18,20)+IF(ArtifactsInput!$M$10,CHOOSE(ArtifactsInput!$N$10+1,15,18,21,24,27,30)*(IF(Inputs!$B$38="pvp",MIN(15,15)/15,IF(AND(Inputs!$B$38&lt;&gt;"pvp",Inputs!$B$43&gt;0),MIN(15,Inputs!$B$43)/(Inputs!$B$43),0))),0)))&gt;=100),MIN(100,((Inputs!$B$9+((C2114=TRUE)*(F2114-Calc!F19))+B2126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2133)&lt;=0,1,MAX(0,IF(Inputs!$B$38="pvp",15,Inputs!$B$43)-MAX(5,B2133))/(IF(Inputs!$B$38="pvp",15,Inputs!$B$43)-(B2133))))*IF(AND(ArtifactsInput!$M$42,((Inputs!$B$9+((C2114=TRUE)*(F2114-Calc!F19))+B2126+(ArtifactsInput!$M$24-ArtifactsInput!$M$24)*CHOOSE(ArtifactsInput!$N$24+1,10,12,14,16,18,20)+IF(ArtifactsInput!$M$10,CHOOSE(ArtifactsInput!$N$10+1,15,18,21,24,27,30)*(IF(Inputs!$B$38="pvp",MIN(15,15)/15,IF(AND(Inputs!$B$38&lt;&gt;"pvp",Inputs!$B$43&gt;0),MIN(15,Inputs!$B$43)/(Inputs!$B$43),0))),0)))&gt;=100),CHOOSE(ArtifactsInput!$N$42+1,40,48,56,64,72,80),0))))/100)*((1+(((C2112=TRUE)*F2112*5/7)+((C2119=TRUE)*(F2119-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2107)</f>
        <v/>
      </c>
      <c r="L2107">
        <f>K2107*(MIN(Inputs!$B$22+((C2117=TRUE)*(F2117-Calc!F22)),(Inputs!$B$23+0+(IF(ArtifactsInput!$M$15,CHOOSE(ArtifactsInput!$N$15+1,25,30,35,40,45,50)/100*(Inputs!$B$11-Inputs!$B$11),0))))/100+(Inputs!$B$23+0+(IF(ArtifactsInput!$M$15,CHOOSE(ArtifactsInput!$N$15+1,25,30,35,40,45,50)/100*(Inputs!$B$11-Inputs!$B$11),0)))/100)/2</f>
        <v/>
      </c>
      <c r="M2107">
        <f>L2107*(1+(Inputs!$B$10+((C2120=TRUE)*(F2120-Calc!F25))+B2131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07">
        <f>L2107*(1-MIN((Inputs!$B$9+((C2114=TRUE)*(F2114-Calc!F19))+B2126+(ArtifactsInput!$M$24-ArtifactsInput!$M$24)*CHOOSE(ArtifactsInput!$N$24+1,10,12,14,16,18,20)+(IF(AND(Inputs!$B$38&lt;&gt;"pvp",Inputs!$B$43=0),1,IF(IF(Inputs!$B$38="pvp",15,Inputs!$B$43)-(B2133)&lt;=0,1,MAX(0,IF(Inputs!$B$38="pvp",15,Inputs!$B$43)-MAX(5,B2133))/(IF(Inputs!$B$38="pvp",15,Inputs!$B$43)-(B2133))))*IF(AND(ArtifactsInput!$M$42,((Inputs!$B$9+((C2114=TRUE)*(F2114-Calc!F19))+B2126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2107*(MIN((Inputs!$B$9+((C2114=TRUE)*(F2114-Calc!F19))+B2126+(ArtifactsInput!$M$24-ArtifactsInput!$M$24)*CHOOSE(ArtifactsInput!$N$24+1,10,12,14,16,18,20)+(IF(AND(Inputs!$B$38&lt;&gt;"pvp",Inputs!$B$43=0),1,IF(IF(Inputs!$B$38="pvp",15,Inputs!$B$43)-(B2133)&lt;=0,1,MAX(0,IF(Inputs!$B$38="pvp",15,Inputs!$B$43)-MAX(5,B2133))/(IF(Inputs!$B$38="pvp",15,Inputs!$B$43)-(B2133))))*IF(AND(ArtifactsInput!$M$42,((Inputs!$B$9+((C2114=TRUE)*(F2114-Calc!F19))+B2126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07">
        <f>(1-Summary!$B$11)*T2107+Summary!$B$11*V2107</f>
        <v/>
      </c>
      <c r="P2107">
        <f>IF(B2136=0,0,O2107/B2136)</f>
        <v/>
      </c>
      <c r="Q2107">
        <f>IFERROR(1/(IF(Inputs!$B$38="pvp",15,MAX(0.1,Skills!D12-IF(TRUE=TRUE,Inputs!$B$32,0)))*(1-IF(AND(ArtifactsInput!$M$27,Inputs!$B$4="Chapter Hunt"),CHOOSE(ArtifactsInput!$N$27+1,20,24,28,32,36,40),0)/100)),0)</f>
        <v/>
      </c>
      <c r="R2107">
        <f>IF(AND(Inputs!$B$38&lt;&gt;"pvp",Inputs!$B$43&gt;0),IF(MAX(0,Inputs!$B$43-B2133)&lt;=0,0,(INT(MAX(0,Inputs!$B$43-B2133)/(IF(Inputs!$B$38="pvp",15,MAX(0.1,Skills!D12-IF(TRUE=TRUE,Inputs!$B$32,0)))*(1-IF(AND(ArtifactsInput!$M$27,Inputs!$B$4="Chapter Hunt"),CHOOSE(ArtifactsInput!$N$27+1,20,24,28,32,36,40),0)/100)))+1)),0)</f>
        <v/>
      </c>
      <c r="S2107">
        <f>IFERROR(O2107/N2107,0)</f>
        <v/>
      </c>
      <c r="T2107">
        <f>IF(C2107,(H2107*N2107*IF(AND(Inputs!$B$38&lt;&gt;"pvp",Inputs!$B$43&gt;0),((Skills!G12*((R2107-1)*IF(Skills!H12&gt;0,INT(Skills!I12/Skills!H12+0.000000001),1)+IF(Skills!H12&gt;0,INT(MIN(Skills!I12,MAX(0,MAX(0,Inputs!$B$43-B2133)-((R2107-1)*(IF(Inputs!$B$38="pvp",15,MAX(0.1,Skills!D12-IF(TRUE=TRUE,Inputs!$B$32,0)))*(1-IF(AND(ArtifactsInput!$M$27,Inputs!$B$4="Chapter Hunt"),CHOOSE(ArtifactsInput!$N$27+1,20,24,28,32,36,40),0)/100)))))/Skills!H12+0.000000001),1)))/Inputs!$B$43),G2107*Q2107))*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Hunt"),CHOOSE(ArtifactsInput!$N$35+1,15,18,21,24,27,30)*(1-EXP(-(0.2*B2128)*5)),0)+IF(AND(ArtifactsInput!$M$22,Inputs!$B$4&lt;&gt;"Chapter Hunt"),CHOOSE(ArtifactsInput!$N$22+1,10,12,14,16,18,20)*((0*(((0.15*B2128*5))^0/1)+1*(((0.15*B2128*5))^1/1)+2*(((0.15*B2128*5))^2/2)+3*(((0.15*B2128*5))^3/6)+4*(((0.15*B2128*5))^4/24)+5*(((0.15*B2128*5))^5/120))/((((0.15*B2128*5))^0/1)+(((0.15*B2128*5))^1/1)+(((0.15*B2128*5))^2/2)+(((0.15*B2128*5))^3/6)+(((0.15*B2128*5))^4/24)+(((0.15*B2128*5))^5/120))),0))+IF(Inputs!$B$3&gt;=54,9*(C2098=TRUE)*MIN(1,8*(1+Inputs!$B$34/100)*Q2098)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2107*(1-MIN(100,(Inputs!$B$9+((C2114=TRUE)*(F2114-Calc!F19))+B2126+(ArtifactsInput!$M$24-ArtifactsInput!$M$24)*CHOOSE(ArtifactsInput!$N$24+1,10,12,14,16,18,20)+(IF(AND(Inputs!$B$38&lt;&gt;"pvp",Inputs!$B$43=0),1,IF(IF(Inputs!$B$38="pvp",15,Inputs!$B$43)-(B2133)&lt;=0,1,MAX(0,IF(Inputs!$B$38="pvp",15,Inputs!$B$43)-MAX(5,B2133))/(IF(Inputs!$B$38="pvp",15,Inputs!$B$43)-(B2133))))*IF(AND(ArtifactsInput!$M$42,((Inputs!$B$9+((C2114=TRUE)*(F2114-Calc!F19))+B2126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2107*(MIN(100,(Inputs!$B$9+((C2114=TRUE)*(F2114-Calc!F19))+B2126+(ArtifactsInput!$M$24-ArtifactsInput!$M$24)*CHOOSE(ArtifactsInput!$N$24+1,10,12,14,16,18,20)+(IF(AND(Inputs!$B$38&lt;&gt;"pvp",Inputs!$B$43=0),1,IF(IF(Inputs!$B$38="pvp",15,Inputs!$B$43)-(B2133)&lt;=0,1,MAX(0,IF(Inputs!$B$38="pvp",15,Inputs!$B$43)-MAX(5,B2133))/(IF(Inputs!$B$38="pvp",15,Inputs!$B$43)-(B2133))))*IF(AND(ArtifactsInput!$M$42,((Inputs!$B$9+((C2114=TRUE)*(F2114-Calc!F19))+B2126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2107*(1-MIN(100,(Inputs!$B$9+((C2114=TRUE)*(F2114-Calc!F19))+B2126+(ArtifactsInput!$M$24-ArtifactsInput!$M$24)*CHOOSE(ArtifactsInput!$N$24+1,10,12,14,16,18,20)+(IF(AND(Inputs!$B$38&lt;&gt;"pvp",Inputs!$B$43=0),1,IF(IF(Inputs!$B$38="pvp",15,Inputs!$B$43)-(B2133)&lt;=0,1,MAX(0,IF(Inputs!$B$38="pvp",15,Inputs!$B$43)-MAX(5,B2133))/(IF(Inputs!$B$38="pvp",15,Inputs!$B$43)-(B2133))))*IF(AND(ArtifactsInput!$M$42,((Inputs!$B$9+((C2114=TRUE)*(F2114-Calc!F19))+B2126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2107*(MIN(100,(Inputs!$B$9+((C2114=TRUE)*(F2114-Calc!F19))+B2126+(ArtifactsInput!$M$24-ArtifactsInput!$M$24)*CHOOSE(ArtifactsInput!$N$24+1,10,12,14,16,18,20)+(IF(AND(Inputs!$B$38&lt;&gt;"pvp",Inputs!$B$43=0),1,IF(IF(Inputs!$B$38="pvp",15,Inputs!$B$43)-(B2133)&lt;=0,1,MAX(0,IF(Inputs!$B$38="pvp",15,Inputs!$B$43)-MAX(5,B2133))/(IF(Inputs!$B$38="pvp",15,Inputs!$B$43)-(B2133))))*IF(AND(ArtifactsInput!$M$42,((Inputs!$B$9+((C2114=TRUE)*(F2114-Calc!F19))+B2126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07">
        <f>IF(C2107,(H2107*N2107*IF(AND(Inputs!$B$38&lt;&gt;"pvp",Inputs!$B$43&gt;0),((Skills!G12*((R2107-1)*IF(Skills!H12&gt;0,INT(Skills!I12/Skills!H12+0.000000001),1)+IF(Skills!H12&gt;0,INT(MIN(Skills!I12,MAX(0,MAX(0,Inputs!$B$43-B2133)-((R2107-1)*(IF(Inputs!$B$38="pvp",15,MAX(0.1,Skills!D12-IF(TRUE=TRUE,Inputs!$B$32,0)))*(1-IF(AND(ArtifactsInput!$M$27,Inputs!$B$4="Chapter Hunt"),CHOOSE(ArtifactsInput!$N$27+1,20,24,28,32,36,40),0)/100)))))/Skills!H12+0.000000001),1)))/Inputs!$B$43),G2107*Q2107))*IF(Inputs!$B$38="pvp",1,(1+(Inputs!$B$21+Skills!Q12+(IF(ArtifactsInput!$M$33,CHOOSE(ArtifactsInput!$N$33+1,30,36,42,48,54,60),0))+(IF(AND(ArtifactsInput!$M$35,Inputs!$B$4&lt;&gt;"Chapter Hunt"),CHOOSE(ArtifactsInput!$N$35+1,15,18,21,24,27,30)*(1-EXP(-(0.2*B2128)*5)),0)+IF(AND(ArtifactsInput!$M$22,Inputs!$B$4&lt;&gt;"Chapter Hunt"),CHOOSE(ArtifactsInput!$N$22+1,10,12,14,16,18,20)*((0*(((0.15*B2128*5))^0/1)+1*(((0.15*B2128*5))^1/1)+2*(((0.15*B2128*5))^2/2)+3*(((0.15*B2128*5))^3/6)+4*(((0.15*B2128*5))^4/24)+5*(((0.15*B2128*5))^5/120))/((((0.15*B2128*5))^0/1)+(((0.15*B2128*5))^1/1)+(((0.15*B2128*5))^2/2)+(((0.15*B2128*5))^3/6)+(((0.15*B2128*5))^4/24)+(((0.15*B2128*5))^5/120))),0))+IF(Inputs!$B$3&gt;=54,9*(C2098=TRUE)*MIN(1,8*(1+Inputs!$B$34/100)*Q2098),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08">
      <c r="A2108">
        <f>Skills!A13</f>
        <v/>
      </c>
      <c r="B2108">
        <f>Skills!B13</f>
        <v/>
      </c>
      <c r="C2108">
        <f>Inputs!$B$3&gt;=110</f>
        <v/>
      </c>
      <c r="D2108">
        <f>IF(Skills!C13=1,60+Inputs!$B$25+Inputs!$B$29,IF(Skills!C13=2,90+Inputs!$B$26+Inputs!$B$29,IF(Skills!C13=3,120+Inputs!$B$27+Inputs!$B$29,MAX(0,(Inputs!$B$3-100)*3)+Inputs!$B$28+Inputs!$B$29)))</f>
        <v/>
      </c>
      <c r="E2108">
        <f>INDEX(FactorTable!$B$2:$Y$301, MATCH(ROUND(MIN(300,MAX(1,D2108)),0), FactorTable!$A$2:$A$301,0), Skills!M13+1)</f>
        <v/>
      </c>
      <c r="F2108">
        <f>IF(Skills!N13=TRUE,(Skills!L13/10)*(E2108/1000),Skills!L13/10)+Skills!O13</f>
        <v/>
      </c>
      <c r="G2108">
        <f>Skills!G13*IF(Skills!H13&gt;0,INT(IF(Inputs!$B$38="pvp",MIN(Skills!I13,15),Skills!I13)/Skills!H13+0.000000001),1)</f>
        <v/>
      </c>
      <c r="H2108">
        <f>1-(1-Skills!J13/100)^Skills!K13</f>
        <v/>
      </c>
      <c r="I2108" t="inlineStr">
        <is>
          <t>1</t>
        </is>
      </c>
      <c r="J2108">
        <f>((Inputs!$B$6*(1+Inputs!$B$7/100))+(((Inputs!$B$12*(1+Inputs!$B$13/100))-(Inputs!$B$12*(1+Inputs!$B$13/100)))+0.25*(Inputs!$B$14-Inputs!$B$14))*(1+Inputs!$B$7/100))*(F2108/100)</f>
        <v/>
      </c>
      <c r="K2108">
        <f>J2108*(1+((Inputs!$B$12*(1+Inputs!$B$13/100))*0.01+Inputs!$B$14*0.0025)/100)*(1+Inputs!$B$15/100)*(1+Inputs!$B$16/100)*(5000/(6000+Inputs!$B$42*(1-(100*(1-(1-(Inputs!$B$19+0)/100)*(1-CHOOSE(ArtifactsInput!$N$40+1,5,6,7,8,9,10)/100)^(ArtifactsInput!$M$40-ArtifactsInput!$M$40)))/100)))*(1+(Inputs!$B$24+((C2121=TRUE)*(F2121-Calc!F26))+B2132)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EIGHT_LEGS_EASTON",Inputs!$B$17+((C2118=TRUE)*(F2118-Calc!F23))+((C2122=TRUE)*(F2122-Calc!F27))+((IF(AND(Inputs!$B$38&lt;&gt;"pvp",Inputs!$B$43=0),1,IF(IF(Inputs!$B$38="pvp",15,Inputs!$B$43)-(B2133)&lt;=0,1,MAX(0,IF(Inputs!$B$38="pvp",15,Inputs!$B$43)-MAX(5,B2133))/(IF(Inputs!$B$38="pvp",15,Inputs!$B$43)-(B2133))))*(IF(AND(ArtifactsInput!$M$42,((Inputs!$B$9+((C2114=TRUE)*(F2114-Calc!F19))+B2126+(ArtifactsInput!$M$24-ArtifactsInput!$M$24)*CHOOSE(ArtifactsInput!$N$24+1,10,12,14,16,18,20)+IF(ArtifactsInput!$M$10,CHOOSE(ArtifactsInput!$N$10+1,15,18,21,24,27,30)*(IF(Inputs!$B$38="pvp",MIN(15,15)/15,IF(AND(Inputs!$B$38&lt;&gt;"pvp",Inputs!$B$43&gt;0),MIN(15,Inputs!$B$43)/(Inputs!$B$43),0))),0)))&gt;=100),MIN(100,((Inputs!$B$9+((C2114=TRUE)*(F2114-Calc!F19))+B2126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2133)&lt;=0,1,MAX(0,IF(Inputs!$B$38="pvp",15,Inputs!$B$43)-MAX(5,B2133))/(IF(Inputs!$B$38="pvp",15,Inputs!$B$43)-(B2133))))*IF(AND(ArtifactsInput!$M$42,((Inputs!$B$9+((C2114=TRUE)*(F2114-Calc!F19))+B2126+(ArtifactsInput!$M$24-ArtifactsInput!$M$24)*CHOOSE(ArtifactsInput!$N$24+1,10,12,14,16,18,20)+IF(ArtifactsInput!$M$10,CHOOSE(ArtifactsInput!$N$10+1,15,18,21,24,27,30)*(IF(Inputs!$B$38="pvp",MIN(15,15)/15,IF(AND(Inputs!$B$38&lt;&gt;"pvp",Inputs!$B$43&gt;0),MIN(15,Inputs!$B$43)/(Inputs!$B$43),0))),0)))&gt;=100),CHOOSE(ArtifactsInput!$N$42+1,40,48,56,64,72,80),0))))/100)*((1+(((C2112=TRUE)*F2112*5/7)+((C2119=TRUE)*(F2119-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2108)</f>
        <v/>
      </c>
      <c r="L2108">
        <f>K2108*(MIN(Inputs!$B$22+((C2117=TRUE)*(F2117-Calc!F22)),(Inputs!$B$23+0+(IF(ArtifactsInput!$M$15,CHOOSE(ArtifactsInput!$N$15+1,25,30,35,40,45,50)/100*(Inputs!$B$11-Inputs!$B$11),0))))/100+(Inputs!$B$23+0+(IF(ArtifactsInput!$M$15,CHOOSE(ArtifactsInput!$N$15+1,25,30,35,40,45,50)/100*(Inputs!$B$11-Inputs!$B$11),0)))/100)/2</f>
        <v/>
      </c>
      <c r="M2108">
        <f>L2108*(1+(Inputs!$B$10+((C2120=TRUE)*(F2120-Calc!F25))+B2131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08">
        <f>L2108*(1-MIN((Inputs!$B$9+((C2114=TRUE)*(F2114-Calc!F19))+B2126+(ArtifactsInput!$M$24-ArtifactsInput!$M$24)*CHOOSE(ArtifactsInput!$N$24+1,10,12,14,16,18,20)+(IF(AND(Inputs!$B$38&lt;&gt;"pvp",Inputs!$B$43=0),1,IF(IF(Inputs!$B$38="pvp",15,Inputs!$B$43)-(B2133)&lt;=0,1,MAX(0,IF(Inputs!$B$38="pvp",15,Inputs!$B$43)-MAX(5,B2133))/(IF(Inputs!$B$38="pvp",15,Inputs!$B$43)-(B2133))))*IF(AND(ArtifactsInput!$M$42,((Inputs!$B$9+((C2114=TRUE)*(F2114-Calc!F19))+B2126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2108*(MIN((Inputs!$B$9+((C2114=TRUE)*(F2114-Calc!F19))+B2126+(ArtifactsInput!$M$24-ArtifactsInput!$M$24)*CHOOSE(ArtifactsInput!$N$24+1,10,12,14,16,18,20)+(IF(AND(Inputs!$B$38&lt;&gt;"pvp",Inputs!$B$43=0),1,IF(IF(Inputs!$B$38="pvp",15,Inputs!$B$43)-(B2133)&lt;=0,1,MAX(0,IF(Inputs!$B$38="pvp",15,Inputs!$B$43)-MAX(5,B2133))/(IF(Inputs!$B$38="pvp",15,Inputs!$B$43)-(B2133))))*IF(AND(ArtifactsInput!$M$42,((Inputs!$B$9+((C2114=TRUE)*(F2114-Calc!F19))+B2126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08">
        <f>(1-Summary!$B$11)*T2108+Summary!$B$11*V2108</f>
        <v/>
      </c>
      <c r="P2108">
        <f>IF(B2136=0,0,O2108/B2136)</f>
        <v/>
      </c>
      <c r="Q2108">
        <f>IFERROR(1/(IF(Inputs!$B$38="pvp",15,MAX(0.1,Skills!D13-IF(TRUE=TRUE,Inputs!$B$32,0)))*(1-IF(AND(ArtifactsInput!$M$27,Inputs!$B$4="Chapter Hunt"),CHOOSE(ArtifactsInput!$N$27+1,20,24,28,32,36,40),0)/100)),0)</f>
        <v/>
      </c>
      <c r="R2108">
        <f>IF(AND(Inputs!$B$38&lt;&gt;"pvp",Inputs!$B$43&gt;0),IF(MAX(0,Inputs!$B$43-B2133)&lt;=0,0,(INT(MAX(0,Inputs!$B$43-B2133)/(IF(Inputs!$B$38="pvp",15,MAX(0.1,Skills!D13-IF(TRUE=TRUE,Inputs!$B$32,0)))*(1-IF(AND(ArtifactsInput!$M$27,Inputs!$B$4="Chapter Hunt"),CHOOSE(ArtifactsInput!$N$27+1,20,24,28,32,36,40),0)/100)))+1)),0)</f>
        <v/>
      </c>
      <c r="S2108">
        <f>IFERROR(O2108/N2108,0)</f>
        <v/>
      </c>
      <c r="T2108">
        <f>IF(C2108,(H2108*N2108*IF(AND(Inputs!$B$38&lt;&gt;"pvp",Inputs!$B$43&gt;0),((Skills!G13*((R2108-1)*IF(Skills!H13&gt;0,INT(Skills!I13/Skills!H13+0.000000001),1)+IF(Skills!H13&gt;0,INT(MIN(Skills!I13,MAX(0,MAX(0,Inputs!$B$43-B2133)-((R2108-1)*(IF(Inputs!$B$38="pvp",15,MAX(0.1,Skills!D13-IF(TRUE=TRUE,Inputs!$B$32,0)))*(1-IF(AND(ArtifactsInput!$M$27,Inputs!$B$4="Chapter Hunt"),CHOOSE(ArtifactsInput!$N$27+1,20,24,28,32,36,40),0)/100)))))/Skills!H13+0.000000001),1)))/Inputs!$B$43),G2108*Q2108))*IF(Inputs!$B$38="pvp",1,1+(Inputs!$B$20+0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Hunt"),CHOOSE(ArtifactsInput!$N$35+1,15,18,21,24,27,30)*(1-EXP(-(0.2*B2128)*5)),0)+IF(AND(ArtifactsInput!$M$22,Inputs!$B$4&lt;&gt;"Chapter Hunt"),CHOOSE(ArtifactsInput!$N$22+1,10,12,14,16,18,20)*((0*(((0.15*B2128*5))^0/1)+1*(((0.15*B2128*5))^1/1)+2*(((0.15*B2128*5))^2/2)+3*(((0.15*B2128*5))^3/6)+4*(((0.15*B2128*5))^4/24)+5*(((0.15*B2128*5))^5/120))/((((0.15*B2128*5))^0/1)+(((0.15*B2128*5))^1/1)+(((0.15*B2128*5))^2/2)+(((0.15*B2128*5))^3/6)+(((0.15*B2128*5))^4/24)+(((0.15*B2128*5))^5/120))),0))+IF(Inputs!$B$3&gt;=54,9*(C2098=TRUE)*MIN(1,8*(1+Inputs!$B$34/100)*Q2098)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2108*(1-MIN(100,(Inputs!$B$9+((C2114=TRUE)*(F2114-Calc!F19))+B2126+(ArtifactsInput!$M$24-ArtifactsInput!$M$24)*CHOOSE(ArtifactsInput!$N$24+1,10,12,14,16,18,20)+(IF(AND(Inputs!$B$38&lt;&gt;"pvp",Inputs!$B$43=0),1,IF(IF(Inputs!$B$38="pvp",15,Inputs!$B$43)-(B2133)&lt;=0,1,MAX(0,IF(Inputs!$B$38="pvp",15,Inputs!$B$43)-MAX(5,B2133))/(IF(Inputs!$B$38="pvp",15,Inputs!$B$43)-(B2133))))*IF(AND(ArtifactsInput!$M$42,((Inputs!$B$9+((C2114=TRUE)*(F2114-Calc!F19))+B2126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2108*(MIN(100,(Inputs!$B$9+((C2114=TRUE)*(F2114-Calc!F19))+B2126+(ArtifactsInput!$M$24-ArtifactsInput!$M$24)*CHOOSE(ArtifactsInput!$N$24+1,10,12,14,16,18,20)+(IF(AND(Inputs!$B$38&lt;&gt;"pvp",Inputs!$B$43=0),1,IF(IF(Inputs!$B$38="pvp",15,Inputs!$B$43)-(B2133)&lt;=0,1,MAX(0,IF(Inputs!$B$38="pvp",15,Inputs!$B$43)-MAX(5,B2133))/(IF(Inputs!$B$38="pvp",15,Inputs!$B$43)-(B2133))))*IF(AND(ArtifactsInput!$M$42,((Inputs!$B$9+((C2114=TRUE)*(F2114-Calc!F19))+B2126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2108*(1-MIN(100,(Inputs!$B$9+((C2114=TRUE)*(F2114-Calc!F19))+B2126+(ArtifactsInput!$M$24-ArtifactsInput!$M$24)*CHOOSE(ArtifactsInput!$N$24+1,10,12,14,16,18,20)+(IF(AND(Inputs!$B$38&lt;&gt;"pvp",Inputs!$B$43=0),1,IF(IF(Inputs!$B$38="pvp",15,Inputs!$B$43)-(B2133)&lt;=0,1,MAX(0,IF(Inputs!$B$38="pvp",15,Inputs!$B$43)-MAX(5,B2133))/(IF(Inputs!$B$38="pvp",15,Inputs!$B$43)-(B2133))))*IF(AND(ArtifactsInput!$M$42,((Inputs!$B$9+((C2114=TRUE)*(F2114-Calc!F19))+B2126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2108*(MIN(100,(Inputs!$B$9+((C2114=TRUE)*(F2114-Calc!F19))+B2126+(ArtifactsInput!$M$24-ArtifactsInput!$M$24)*CHOOSE(ArtifactsInput!$N$24+1,10,12,14,16,18,20)+(IF(AND(Inputs!$B$38&lt;&gt;"pvp",Inputs!$B$43=0),1,IF(IF(Inputs!$B$38="pvp",15,Inputs!$B$43)-(B2133)&lt;=0,1,MAX(0,IF(Inputs!$B$38="pvp",15,Inputs!$B$43)-MAX(5,B2133))/(IF(Inputs!$B$38="pvp",15,Inputs!$B$43)-(B2133))))*IF(AND(ArtifactsInput!$M$42,((Inputs!$B$9+((C2114=TRUE)*(F2114-Calc!F19))+B2126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08">
        <f>IF(C2108,(H2108*N2108*IF(AND(Inputs!$B$38&lt;&gt;"pvp",Inputs!$B$43&gt;0),((Skills!G13*((R2108-1)*IF(Skills!H13&gt;0,INT(Skills!I13/Skills!H13+0.000000001),1)+IF(Skills!H13&gt;0,INT(MIN(Skills!I13,MAX(0,MAX(0,Inputs!$B$43-B2133)-((R2108-1)*(IF(Inputs!$B$38="pvp",15,MAX(0.1,Skills!D13-IF(TRUE=TRUE,Inputs!$B$32,0)))*(1-IF(AND(ArtifactsInput!$M$27,Inputs!$B$4="Chapter Hunt"),CHOOSE(ArtifactsInput!$N$27+1,20,24,28,32,36,40),0)/100)))))/Skills!H13+0.000000001),1)))/Inputs!$B$43),G2108*Q2108))*IF(Inputs!$B$38="pvp",1,(1+(Inputs!$B$21+Skills!Q13+(IF(ArtifactsInput!$M$33,CHOOSE(ArtifactsInput!$N$33+1,30,36,42,48,54,60),0))+(IF(AND(ArtifactsInput!$M$35,Inputs!$B$4&lt;&gt;"Chapter Hunt"),CHOOSE(ArtifactsInput!$N$35+1,15,18,21,24,27,30)*(1-EXP(-(0.2*B2128)*5)),0)+IF(AND(ArtifactsInput!$M$22,Inputs!$B$4&lt;&gt;"Chapter Hunt"),CHOOSE(ArtifactsInput!$N$22+1,10,12,14,16,18,20)*((0*(((0.15*B2128*5))^0/1)+1*(((0.15*B2128*5))^1/1)+2*(((0.15*B2128*5))^2/2)+3*(((0.15*B2128*5))^3/6)+4*(((0.15*B2128*5))^4/24)+5*(((0.15*B2128*5))^5/120))/((((0.15*B2128*5))^0/1)+(((0.15*B2128*5))^1/1)+(((0.15*B2128*5))^2/2)+(((0.15*B2128*5))^3/6)+(((0.15*B2128*5))^4/24)+(((0.15*B2128*5))^5/120))),0))+IF(Inputs!$B$3&gt;=54,9*(C2098=TRUE)*MIN(1,8*(1+Inputs!$B$34/100)*Q2098),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09">
      <c r="A2109">
        <f>Skills!A14</f>
        <v/>
      </c>
      <c r="B2109">
        <f>Skills!B14</f>
        <v/>
      </c>
      <c r="C2109">
        <f>Inputs!$B$3&gt;=120</f>
        <v/>
      </c>
      <c r="D2109">
        <f>IF(Skills!C14=1,60+Inputs!$B$25+Inputs!$B$29,IF(Skills!C14=2,90+Inputs!$B$26+Inputs!$B$29,IF(Skills!C14=3,120+Inputs!$B$27+Inputs!$B$29,MAX(0,(Inputs!$B$3-100)*3)+Inputs!$B$28+Inputs!$B$29)))</f>
        <v/>
      </c>
      <c r="E2109">
        <f>INDEX(FactorTable!$B$2:$Y$301, MATCH(ROUND(MIN(300,MAX(1,D2109)),0), FactorTable!$A$2:$A$301,0), Skills!M14+1)</f>
        <v/>
      </c>
      <c r="F2109">
        <f>IF(Skills!N14=TRUE,(Skills!L14/10)*(E2109/1000),Skills!L14/10)+Skills!O14</f>
        <v/>
      </c>
      <c r="G2109">
        <f>Skills!G14*IF(Skills!H14&gt;0,INT(IF(Inputs!$B$38="pvp",MIN(Skills!I14,15),Skills!I14)/Skills!H14+0.000000001),1)</f>
        <v/>
      </c>
      <c r="H2109">
        <f>1-(1-Skills!J14/100)^Skills!K14</f>
        <v/>
      </c>
      <c r="I2109" t="inlineStr">
        <is>
          <t>1</t>
        </is>
      </c>
      <c r="J2109">
        <f>((Inputs!$B$6*(1+Inputs!$B$7/100))+(((Inputs!$B$12*(1+Inputs!$B$13/100))-(Inputs!$B$12*(1+Inputs!$B$13/100)))+0.25*(Inputs!$B$14-Inputs!$B$14))*(1+Inputs!$B$7/100))*(F2109/100)</f>
        <v/>
      </c>
      <c r="K2109">
        <f>J2109*(1+((Inputs!$B$12*(1+Inputs!$B$13/100))*0.01+Inputs!$B$14*0.0025)/100)*(1+Inputs!$B$15/100)*(1+Inputs!$B$16/100)*(5000/(6000+Inputs!$B$42*(1-(100*(1-(1-(Inputs!$B$19+0)/100)*(1-CHOOSE(ArtifactsInput!$N$40+1,5,6,7,8,9,10)/100)^(ArtifactsInput!$M$40-ArtifactsInput!$M$40)))/100)))*(1+(Inputs!$B$24+((C2121=TRUE)*(F2121-Calc!F26))+B2132)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EIGHT_LEGS_EASTON",Inputs!$B$17+((C2118=TRUE)*(F2118-Calc!F23))+((C2122=TRUE)*(F2122-Calc!F27))+((IF(AND(Inputs!$B$38&lt;&gt;"pvp",Inputs!$B$43=0),1,IF(IF(Inputs!$B$38="pvp",15,Inputs!$B$43)-(B2133)&lt;=0,1,MAX(0,IF(Inputs!$B$38="pvp",15,Inputs!$B$43)-MAX(5,B2133))/(IF(Inputs!$B$38="pvp",15,Inputs!$B$43)-(B2133))))*(IF(AND(ArtifactsInput!$M$42,((Inputs!$B$9+((C2114=TRUE)*(F2114-Calc!F19))+B2126+(ArtifactsInput!$M$24-ArtifactsInput!$M$24)*CHOOSE(ArtifactsInput!$N$24+1,10,12,14,16,18,20)+IF(ArtifactsInput!$M$10,CHOOSE(ArtifactsInput!$N$10+1,15,18,21,24,27,30)*(IF(Inputs!$B$38="pvp",MIN(15,15)/15,IF(AND(Inputs!$B$38&lt;&gt;"pvp",Inputs!$B$43&gt;0),MIN(15,Inputs!$B$43)/(Inputs!$B$43),0))),0)))&gt;=100),MIN(100,((Inputs!$B$9+((C2114=TRUE)*(F2114-Calc!F19))+B2126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2133)&lt;=0,1,MAX(0,IF(Inputs!$B$38="pvp",15,Inputs!$B$43)-MAX(5,B2133))/(IF(Inputs!$B$38="pvp",15,Inputs!$B$43)-(B2133))))*IF(AND(ArtifactsInput!$M$42,((Inputs!$B$9+((C2114=TRUE)*(F2114-Calc!F19))+B2126+(ArtifactsInput!$M$24-ArtifactsInput!$M$24)*CHOOSE(ArtifactsInput!$N$24+1,10,12,14,16,18,20)+IF(ArtifactsInput!$M$10,CHOOSE(ArtifactsInput!$N$10+1,15,18,21,24,27,30)*(IF(Inputs!$B$38="pvp",MIN(15,15)/15,IF(AND(Inputs!$B$38&lt;&gt;"pvp",Inputs!$B$43&gt;0),MIN(15,Inputs!$B$43)/(Inputs!$B$43),0))),0)))&gt;=100),CHOOSE(ArtifactsInput!$N$42+1,40,48,56,64,72,80),0))))/100)*((1+(((C2112=TRUE)*F2112*5/7)+((C2119=TRUE)*(F2119-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2109)</f>
        <v/>
      </c>
      <c r="L2109">
        <f>K2109*(MIN(Inputs!$B$22+((C2117=TRUE)*(F2117-Calc!F22)),(Inputs!$B$23+0+(IF(ArtifactsInput!$M$15,CHOOSE(ArtifactsInput!$N$15+1,25,30,35,40,45,50)/100*(Inputs!$B$11-Inputs!$B$11),0))))/100+(Inputs!$B$23+0+(IF(ArtifactsInput!$M$15,CHOOSE(ArtifactsInput!$N$15+1,25,30,35,40,45,50)/100*(Inputs!$B$11-Inputs!$B$11),0)))/100)/2</f>
        <v/>
      </c>
      <c r="M2109">
        <f>L2109*(1+(Inputs!$B$10+((C2120=TRUE)*(F2120-Calc!F25))+B2131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09">
        <f>L2109*(1-MIN((Inputs!$B$9+((C2114=TRUE)*(F2114-Calc!F19))+B2126+(ArtifactsInput!$M$24-ArtifactsInput!$M$24)*CHOOSE(ArtifactsInput!$N$24+1,10,12,14,16,18,20)+(IF(AND(Inputs!$B$38&lt;&gt;"pvp",Inputs!$B$43=0),1,IF(IF(Inputs!$B$38="pvp",15,Inputs!$B$43)-(B2133)&lt;=0,1,MAX(0,IF(Inputs!$B$38="pvp",15,Inputs!$B$43)-MAX(5,B2133))/(IF(Inputs!$B$38="pvp",15,Inputs!$B$43)-(B2133))))*IF(AND(ArtifactsInput!$M$42,((Inputs!$B$9+((C2114=TRUE)*(F2114-Calc!F19))+B2126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2109*(MIN((Inputs!$B$9+((C2114=TRUE)*(F2114-Calc!F19))+B2126+(ArtifactsInput!$M$24-ArtifactsInput!$M$24)*CHOOSE(ArtifactsInput!$N$24+1,10,12,14,16,18,20)+(IF(AND(Inputs!$B$38&lt;&gt;"pvp",Inputs!$B$43=0),1,IF(IF(Inputs!$B$38="pvp",15,Inputs!$B$43)-(B2133)&lt;=0,1,MAX(0,IF(Inputs!$B$38="pvp",15,Inputs!$B$43)-MAX(5,B2133))/(IF(Inputs!$B$38="pvp",15,Inputs!$B$43)-(B2133))))*IF(AND(ArtifactsInput!$M$42,((Inputs!$B$9+((C2114=TRUE)*(F2114-Calc!F19))+B2126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09">
        <f>(1-Summary!$B$11)*T2109+Summary!$B$11*V2109</f>
        <v/>
      </c>
      <c r="P2109">
        <f>IF(B2136=0,0,O2109/B2136)</f>
        <v/>
      </c>
      <c r="Q2109" t="n">
        <v>0</v>
      </c>
      <c r="R2109" t="n">
        <v>0</v>
      </c>
      <c r="S2109">
        <f>IFERROR(O2109/N2109,0)</f>
        <v/>
      </c>
      <c r="T2109">
        <f>IF(C2109,((H2109*(B2130+IF(AND(Inputs!$B$38&lt;&gt;"pvp",Inputs!$B$43&gt;0),((Skills!G8*((R2103-1)*IF(Skills!H8&gt;0,INT(Skills!I8/Skills!H8+0.000000001),1)+IF(Skills!H8&gt;0,INT(MIN(Skills!I8,MAX(0,MAX(0,Inputs!$B$43-B2133)-((R2103-1)*((IF(Inputs!$B$38="pvp",15,MAX(0.1,Skills!D8-IF(TRUE=TRUE,Inputs!$B$32,0)))*(1-IF(AND(ArtifactsInput!$M$27,Inputs!$B$4="Chapter Hunt"),CHOOSE(ArtifactsInput!$N$27+1,20,24,28,32,36,40),0)/100))/B2137))))/Skills!H8+0.000000001),1)))/Inputs!$B$43),G2103*Q2103)+IF(AND(Inputs!$B$38&lt;&gt;"pvp",Inputs!$B$43&gt;0),((Skills!G11*((R2106-1)*IF(Skills!H11&gt;0,INT(Skills!I11/Skills!H11+0.000000001),1)+IF(Skills!H11&gt;0,INT(MIN(Skills!I11,MAX(0,MAX(0,Inputs!$B$43-B2133)-((R2106-1)*((IF(Inputs!$B$38="pvp",15,MAX(0.1,Skills!D11-IF(TRUE=TRUE,Inputs!$B$32,0)))*(1-IF(AND(ArtifactsInput!$M$27,Inputs!$B$4="Chapter Hunt"),CHOOSE(ArtifactsInput!$N$27+1,20,24,28,32,36,40),0)/100))/B2137))))/Skills!H11+0.000000001),1)))/Inputs!$B$43),G2106*Q2106)))/(1+Skills!H14*H2109*(B2130+IF(AND(Inputs!$B$38&lt;&gt;"pvp",Inputs!$B$43&gt;0),((Skills!G8*((R2103-1)*IF(Skills!H8&gt;0,INT(Skills!I8/Skills!H8+0.000000001),1)+IF(Skills!H8&gt;0,INT(MIN(Skills!I8,MAX(0,MAX(0,Inputs!$B$43-B2133)-((R2103-1)*((IF(Inputs!$B$38="pvp",15,MAX(0.1,Skills!D8-IF(TRUE=TRUE,Inputs!$B$32,0)))*(1-IF(AND(ArtifactsInput!$M$27,Inputs!$B$4="Chapter Hunt"),CHOOSE(ArtifactsInput!$N$27+1,20,24,28,32,36,40),0)/100))/B2137))))/Skills!H8+0.000000001),1)))/Inputs!$B$43),G2103*Q2103)+IF(AND(Inputs!$B$38&lt;&gt;"pvp",Inputs!$B$43&gt;0),((Skills!G11*((R2106-1)*IF(Skills!H11&gt;0,INT(Skills!I11/Skills!H11+0.000000001),1)+IF(Skills!H11&gt;0,INT(MIN(Skills!I11,MAX(0,MAX(0,Inputs!$B$43-B2133)-((R2106-1)*((IF(Inputs!$B$38="pvp",15,MAX(0.1,Skills!D11-IF(TRUE=TRUE,Inputs!$B$32,0)))*(1-IF(AND(ArtifactsInput!$M$27,Inputs!$B$4="Chapter Hunt"),CHOOSE(ArtifactsInput!$N$27+1,20,24,28,32,36,40),0)/100))/B2137))))/Skills!H11+0.000000001),1)))/Inputs!$B$43),G2106*Q2106)))*N2109)*IF(Inputs!$B$38="pvp",1,1+(Inputs!$B$20+0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Hunt"),CHOOSE(ArtifactsInput!$N$35+1,15,18,21,24,27,30)*(1-EXP(-(0.2*B2128)*5)),0)+IF(AND(ArtifactsInput!$M$22,Inputs!$B$4&lt;&gt;"Chapter Hunt"),CHOOSE(ArtifactsInput!$N$22+1,10,12,14,16,18,20)*((0*(((0.15*B2128*5))^0/1)+1*(((0.15*B2128*5))^1/1)+2*(((0.15*B2128*5))^2/2)+3*(((0.15*B2128*5))^3/6)+4*(((0.15*B2128*5))^4/24)+5*(((0.15*B2128*5))^5/120))/((((0.15*B2128*5))^0/1)+(((0.15*B2128*5))^1/1)+(((0.15*B2128*5))^2/2)+(((0.15*B2128*5))^3/6)+(((0.15*B2128*5))^4/24)+(((0.15*B2128*5))^5/120))),0))+IF(Inputs!$B$3&gt;=54,9*(C2098=TRUE)*MIN(1,8*(1+Inputs!$B$34/100)*Q2098)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2109*(1-MIN(100,(Inputs!$B$9+((C2114=TRUE)*(F2114-Calc!F19))+B2126+(ArtifactsInput!$M$24-ArtifactsInput!$M$24)*CHOOSE(ArtifactsInput!$N$24+1,10,12,14,16,18,20)+(IF(AND(Inputs!$B$38&lt;&gt;"pvp",Inputs!$B$43=0),1,IF(IF(Inputs!$B$38="pvp",15,Inputs!$B$43)-(B2133)&lt;=0,1,MAX(0,IF(Inputs!$B$38="pvp",15,Inputs!$B$43)-MAX(5,B2133))/(IF(Inputs!$B$38="pvp",15,Inputs!$B$43)-(B2133))))*IF(AND(ArtifactsInput!$M$42,((Inputs!$B$9+((C2114=TRUE)*(F2114-Calc!F19))+B2126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2109*(MIN(100,(Inputs!$B$9+((C2114=TRUE)*(F2114-Calc!F19))+B2126+(ArtifactsInput!$M$24-ArtifactsInput!$M$24)*CHOOSE(ArtifactsInput!$N$24+1,10,12,14,16,18,20)+(IF(AND(Inputs!$B$38&lt;&gt;"pvp",Inputs!$B$43=0),1,IF(IF(Inputs!$B$38="pvp",15,Inputs!$B$43)-(B2133)&lt;=0,1,MAX(0,IF(Inputs!$B$38="pvp",15,Inputs!$B$43)-MAX(5,B2133))/(IF(Inputs!$B$38="pvp",15,Inputs!$B$43)-(B2133))))*IF(AND(ArtifactsInput!$M$42,((Inputs!$B$9+((C2114=TRUE)*(F2114-Calc!F19))+B2126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2109*(1-MIN(100,(Inputs!$B$9+((C2114=TRUE)*(F2114-Calc!F19))+B2126+(ArtifactsInput!$M$24-ArtifactsInput!$M$24)*CHOOSE(ArtifactsInput!$N$24+1,10,12,14,16,18,20)+(IF(AND(Inputs!$B$38&lt;&gt;"pvp",Inputs!$B$43=0),1,IF(IF(Inputs!$B$38="pvp",15,Inputs!$B$43)-(B2133)&lt;=0,1,MAX(0,IF(Inputs!$B$38="pvp",15,Inputs!$B$43)-MAX(5,B2133))/(IF(Inputs!$B$38="pvp",15,Inputs!$B$43)-(B2133))))*IF(AND(ArtifactsInput!$M$42,((Inputs!$B$9+((C2114=TRUE)*(F2114-Calc!F19))+B2126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2109*(MIN(100,(Inputs!$B$9+((C2114=TRUE)*(F2114-Calc!F19))+B2126+(ArtifactsInput!$M$24-ArtifactsInput!$M$24)*CHOOSE(ArtifactsInput!$N$24+1,10,12,14,16,18,20)+(IF(AND(Inputs!$B$38&lt;&gt;"pvp",Inputs!$B$43=0),1,IF(IF(Inputs!$B$38="pvp",15,Inputs!$B$43)-(B2133)&lt;=0,1,MAX(0,IF(Inputs!$B$38="pvp",15,Inputs!$B$43)-MAX(5,B2133))/(IF(Inputs!$B$38="pvp",15,Inputs!$B$43)-(B2133))))*IF(AND(ArtifactsInput!$M$42,((Inputs!$B$9+((C2114=TRUE)*(F2114-Calc!F19))+B2126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09">
        <f>IF(C2109,((H2109*(B2130+IF(AND(Inputs!$B$38&lt;&gt;"pvp",Inputs!$B$43&gt;0),((Skills!G8*((R2103-1)*IF(Skills!H8&gt;0,INT(Skills!I8/Skills!H8+0.000000001),1)+IF(Skills!H8&gt;0,INT(MIN(Skills!I8,MAX(0,MAX(0,Inputs!$B$43-B2133)-((R2103-1)*((IF(Inputs!$B$38="pvp",15,MAX(0.1,Skills!D8-IF(TRUE=TRUE,Inputs!$B$32,0)))*(1-IF(AND(ArtifactsInput!$M$27,Inputs!$B$4="Chapter Hunt"),CHOOSE(ArtifactsInput!$N$27+1,20,24,28,32,36,40),0)/100))/B2137))))/Skills!H8+0.000000001),1)))/Inputs!$B$43),G2103*Q2103)+IF(AND(Inputs!$B$38&lt;&gt;"pvp",Inputs!$B$43&gt;0),((Skills!G11*((R2106-1)*IF(Skills!H11&gt;0,INT(Skills!I11/Skills!H11+0.000000001),1)+IF(Skills!H11&gt;0,INT(MIN(Skills!I11,MAX(0,MAX(0,Inputs!$B$43-B2133)-((R2106-1)*((IF(Inputs!$B$38="pvp",15,MAX(0.1,Skills!D11-IF(TRUE=TRUE,Inputs!$B$32,0)))*(1-IF(AND(ArtifactsInput!$M$27,Inputs!$B$4="Chapter Hunt"),CHOOSE(ArtifactsInput!$N$27+1,20,24,28,32,36,40),0)/100))/B2137))))/Skills!H11+0.000000001),1)))/Inputs!$B$43),G2106*Q2106)))/(1+Skills!H14*H2109*(B2130+IF(AND(Inputs!$B$38&lt;&gt;"pvp",Inputs!$B$43&gt;0),((Skills!G8*((R2103-1)*IF(Skills!H8&gt;0,INT(Skills!I8/Skills!H8+0.000000001),1)+IF(Skills!H8&gt;0,INT(MIN(Skills!I8,MAX(0,MAX(0,Inputs!$B$43-B2133)-((R2103-1)*((IF(Inputs!$B$38="pvp",15,MAX(0.1,Skills!D8-IF(TRUE=TRUE,Inputs!$B$32,0)))*(1-IF(AND(ArtifactsInput!$M$27,Inputs!$B$4="Chapter Hunt"),CHOOSE(ArtifactsInput!$N$27+1,20,24,28,32,36,40),0)/100))/B2137))))/Skills!H8+0.000000001),1)))/Inputs!$B$43),G2103*Q2103)+IF(AND(Inputs!$B$38&lt;&gt;"pvp",Inputs!$B$43&gt;0),((Skills!G11*((R2106-1)*IF(Skills!H11&gt;0,INT(Skills!I11/Skills!H11+0.000000001),1)+IF(Skills!H11&gt;0,INT(MIN(Skills!I11,MAX(0,MAX(0,Inputs!$B$43-B2133)-((R2106-1)*((IF(Inputs!$B$38="pvp",15,MAX(0.1,Skills!D11-IF(TRUE=TRUE,Inputs!$B$32,0)))*(1-IF(AND(ArtifactsInput!$M$27,Inputs!$B$4="Chapter Hunt"),CHOOSE(ArtifactsInput!$N$27+1,20,24,28,32,36,40),0)/100))/B2137))))/Skills!H11+0.000000001),1)))/Inputs!$B$43),G2106*Q2106)))*N2109)*IF(Inputs!$B$38="pvp",1,(1+(Inputs!$B$21+Skills!Q14+(IF(ArtifactsInput!$M$33,CHOOSE(ArtifactsInput!$N$33+1,30,36,42,48,54,60),0))+(IF(AND(ArtifactsInput!$M$35,Inputs!$B$4&lt;&gt;"Chapter Hunt"),CHOOSE(ArtifactsInput!$N$35+1,15,18,21,24,27,30)*(1-EXP(-(0.2*B2128)*5)),0)+IF(AND(ArtifactsInput!$M$22,Inputs!$B$4&lt;&gt;"Chapter Hunt"),CHOOSE(ArtifactsInput!$N$22+1,10,12,14,16,18,20)*((0*(((0.15*B2128*5))^0/1)+1*(((0.15*B2128*5))^1/1)+2*(((0.15*B2128*5))^2/2)+3*(((0.15*B2128*5))^3/6)+4*(((0.15*B2128*5))^4/24)+5*(((0.15*B2128*5))^5/120))/((((0.15*B2128*5))^0/1)+(((0.15*B2128*5))^1/1)+(((0.15*B2128*5))^2/2)+(((0.15*B2128*5))^3/6)+(((0.15*B2128*5))^4/24)+(((0.15*B2128*5))^5/120))),0))+IF(Inputs!$B$3&gt;=54,9*(C2098=TRUE)*MIN(1,8*(1+Inputs!$B$34/100)*Q2098),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10">
      <c r="A2110">
        <f>Skills!A15</f>
        <v/>
      </c>
      <c r="B2110">
        <f>Skills!B15</f>
        <v/>
      </c>
      <c r="C2110">
        <f>Inputs!$B$3&gt;=100</f>
        <v/>
      </c>
      <c r="D2110">
        <f>IF(Skills!C15=1,60+Inputs!$B$25+Inputs!$B$29,IF(Skills!C15=2,90+Inputs!$B$26+Inputs!$B$29,IF(Skills!C15=3,120+Inputs!$B$27+Inputs!$B$29,MAX(0,(Inputs!$B$3-100)*3)+Inputs!$B$28+Inputs!$B$29)))</f>
        <v/>
      </c>
      <c r="E2110">
        <f>INDEX(FactorTable!$B$2:$Y$301, MATCH(ROUND(MIN(300,MAX(1,D2110)),0), FactorTable!$A$2:$A$301,0), Skills!M15+1)</f>
        <v/>
      </c>
      <c r="F2110">
        <f>IF(Skills!N15=TRUE,(Skills!L15/10)*(E2110/1000),Skills!L15/10)+Skills!O15</f>
        <v/>
      </c>
      <c r="G2110" t="inlineStr"/>
      <c r="H2110" t="inlineStr"/>
      <c r="I2110" t="inlineStr">
        <is>
          <t>1</t>
        </is>
      </c>
      <c r="J2110" t="inlineStr"/>
      <c r="K2110" t="inlineStr"/>
      <c r="L2110" t="inlineStr"/>
      <c r="M2110" t="inlineStr"/>
      <c r="N2110" t="inlineStr"/>
      <c r="O2110" t="inlineStr"/>
      <c r="P2110" t="inlineStr"/>
      <c r="Q2110" t="inlineStr"/>
      <c r="R2110" t="inlineStr"/>
      <c r="S2110" t="inlineStr"/>
    </row>
    <row r="2111">
      <c r="A2111">
        <f>Skills!A16</f>
        <v/>
      </c>
      <c r="B2111">
        <f>Skills!B16</f>
        <v/>
      </c>
      <c r="C2111">
        <f>Inputs!$B$3&gt;=107</f>
        <v/>
      </c>
      <c r="D2111">
        <f>IF(Skills!C16=1,60+Inputs!$B$25+Inputs!$B$29,IF(Skills!C16=2,90+Inputs!$B$26+Inputs!$B$29,IF(Skills!C16=3,120+Inputs!$B$27+Inputs!$B$29,MAX(0,(Inputs!$B$3-100)*3)+Inputs!$B$28+Inputs!$B$29)))</f>
        <v/>
      </c>
      <c r="E2111">
        <f>INDEX(FactorTable!$B$2:$Y$301, MATCH(ROUND(MIN(300,MAX(1,D2111)),0), FactorTable!$A$2:$A$301,0), Skills!M16+1)</f>
        <v/>
      </c>
      <c r="F2111">
        <f>IF(Skills!N16=TRUE,(Skills!L16/10)*(E2111/1000),Skills!L16/10)+Skills!O16</f>
        <v/>
      </c>
      <c r="G2111" t="inlineStr"/>
      <c r="H2111" t="inlineStr"/>
      <c r="I2111" t="inlineStr">
        <is>
          <t>1</t>
        </is>
      </c>
      <c r="J2111" t="inlineStr"/>
      <c r="K2111" t="inlineStr"/>
      <c r="L2111" t="inlineStr"/>
      <c r="M2111" t="inlineStr"/>
      <c r="N2111" t="inlineStr"/>
      <c r="O2111" t="inlineStr"/>
      <c r="P2111" t="inlineStr"/>
      <c r="Q2111" t="inlineStr"/>
      <c r="R2111" t="inlineStr"/>
      <c r="S2111" t="inlineStr"/>
    </row>
    <row r="2112">
      <c r="A2112">
        <f>Skills!A17</f>
        <v/>
      </c>
      <c r="B2112">
        <f>Skills!B17</f>
        <v/>
      </c>
      <c r="C2112">
        <f>Inputs!$B$3&gt;=74</f>
        <v/>
      </c>
      <c r="D2112">
        <f>IF(Skills!C17=1,60+Inputs!$B$25+Inputs!$B$29,IF(Skills!C17=2,90+Inputs!$B$26+Inputs!$B$29,IF(Skills!C17=3,120+Inputs!$B$27+Inputs!$B$29,MAX(0,(Inputs!$B$3-100)*3)+Inputs!$B$28+Inputs!$B$29)))</f>
        <v/>
      </c>
      <c r="E2112">
        <f>INDEX(FactorTable!$B$2:$Y$301, MATCH(ROUND(MIN(300,MAX(1,D2112)),0), FactorTable!$A$2:$A$301,0), Skills!M17+1)</f>
        <v/>
      </c>
      <c r="F2112">
        <f>IF(Skills!N17=TRUE,(Skills!L17/10)*(E2112/1000),Skills!L17/10)+Skills!O17</f>
        <v/>
      </c>
      <c r="G2112">
        <f>Skills!G17*IF(Skills!H17&gt;0,INT(IF(Inputs!$B$38="pvp",MIN(Skills!I17,15),Skills!I17)/Skills!H17+0.000000001),1)</f>
        <v/>
      </c>
      <c r="H2112">
        <f>1-(1-Skills!J17/100)^Skills!K17</f>
        <v/>
      </c>
      <c r="I2112" t="inlineStr">
        <is>
          <t>1</t>
        </is>
      </c>
      <c r="J2112" t="inlineStr"/>
      <c r="K2112" t="inlineStr"/>
      <c r="L2112" t="inlineStr"/>
      <c r="M2112" t="inlineStr"/>
      <c r="N2112" t="inlineStr"/>
      <c r="O2112">
        <f>(1-Summary!$B$11)*T2112+Summary!$B$11*V2112</f>
        <v/>
      </c>
      <c r="P2112">
        <f>IF(B2136=0,0,O2112/B2136)</f>
        <v/>
      </c>
      <c r="Q2112" t="n">
        <v>0</v>
      </c>
      <c r="R2112" t="n">
        <v>0</v>
      </c>
      <c r="S2112">
        <f>IFERROR(O2112/N2112,0)</f>
        <v/>
      </c>
      <c r="T2112" t="n">
        <v>0</v>
      </c>
      <c r="V2112" t="n">
        <v>0</v>
      </c>
    </row>
    <row r="2113">
      <c r="A2113">
        <f>Skills!A18</f>
        <v/>
      </c>
      <c r="B2113">
        <f>Skills!B18</f>
        <v/>
      </c>
      <c r="C2113">
        <f>Inputs!$B$3&gt;=115</f>
        <v/>
      </c>
      <c r="D2113">
        <f>IF(Skills!C18=1,60+Inputs!$B$25+Inputs!$B$29,IF(Skills!C18=2,90+Inputs!$B$26+Inputs!$B$29,IF(Skills!C18=3,120+Inputs!$B$27+Inputs!$B$29,MAX(0,(Inputs!$B$3-100)*3)+Inputs!$B$28+Inputs!$B$29)))</f>
        <v/>
      </c>
      <c r="E2113">
        <f>INDEX(FactorTable!$B$2:$Y$301, MATCH(ROUND(MIN(300,MAX(1,D2113)),0), FactorTable!$A$2:$A$301,0), Skills!M18+1)</f>
        <v/>
      </c>
      <c r="F2113">
        <f>IF(Skills!N18=TRUE,(Skills!L18/10)*(E2113/1000),Skills!L18/10)+Skills!O18</f>
        <v/>
      </c>
      <c r="G2113">
        <f>Skills!G18*IF(Skills!H18&gt;0,INT(IF(Inputs!$B$38="pvp",MIN(Skills!I18,15),Skills!I18)/Skills!H18+0.000000001),1)</f>
        <v/>
      </c>
      <c r="H2113">
        <f>1-(1-Skills!J18/100)^Skills!K18</f>
        <v/>
      </c>
      <c r="I2113" t="inlineStr">
        <is>
          <t>1</t>
        </is>
      </c>
      <c r="J2113" t="inlineStr"/>
      <c r="K2113" t="inlineStr"/>
      <c r="L2113" t="inlineStr"/>
      <c r="M2113" t="inlineStr"/>
      <c r="N2113" t="inlineStr"/>
      <c r="O2113">
        <f>(1-Summary!$B$11)*T2113+Summary!$B$11*V2113</f>
        <v/>
      </c>
      <c r="P2113">
        <f>IF(B2136=0,0,O2113/B2136)</f>
        <v/>
      </c>
      <c r="Q2113">
        <f>IFERROR(1/(IF(Inputs!$B$38="pvp",15,MAX(0.1,Skills!D18-IF(TRUE=TRUE,Inputs!$B$32,0)))*(1-IF(AND(ArtifactsInput!$M$27,Inputs!$B$4="Chapter Hunt"),CHOOSE(ArtifactsInput!$N$27+1,20,24,28,32,36,40),0)/100)),0)</f>
        <v/>
      </c>
      <c r="R2113">
        <f>IF(AND(Inputs!$B$38&lt;&gt;"pvp",Inputs!$B$43&gt;0),IF(Inputs!$B$43&lt;=0,0,(INT(Inputs!$B$43/(IF(Inputs!$B$38="pvp",15,MAX(0.1,Skills!D18-IF(TRUE=TRUE,Inputs!$B$32,0)))*(1-IF(AND(ArtifactsInput!$M$27,Inputs!$B$4="Chapter Hunt"),CHOOSE(ArtifactsInput!$N$27+1,20,24,28,32,36,40),0)/100)))+1)),0)</f>
        <v/>
      </c>
      <c r="S2113">
        <f>IFERROR(O2113/N2113,0)</f>
        <v/>
      </c>
      <c r="T2113" t="n">
        <v>0</v>
      </c>
      <c r="V2113" t="n">
        <v>0</v>
      </c>
    </row>
    <row r="2114">
      <c r="A2114">
        <f>Skills!A19</f>
        <v/>
      </c>
      <c r="B2114">
        <f>Skills!B19</f>
        <v/>
      </c>
      <c r="C2114">
        <f>Inputs!$B$3&gt;=10</f>
        <v/>
      </c>
      <c r="D2114">
        <f>IF(Skills!C19=1,60+Inputs!$B$25+Inputs!$B$29,IF(Skills!C19=2,90+Inputs!$B$26+Inputs!$B$29,IF(Skills!C19=3,120+Inputs!$B$27+Inputs!$B$29,MAX(0,(Inputs!$B$3-100)*3)+Inputs!$B$28+Inputs!$B$29)))</f>
        <v/>
      </c>
      <c r="E2114">
        <f>INDEX(FactorTable!$B$2:$Y$301, MATCH(ROUND(MIN(300,MAX(1,D2114)),0), FactorTable!$A$2:$A$301,0), Skills!M19+1)</f>
        <v/>
      </c>
      <c r="F2114">
        <f>IF(Skills!N19=TRUE,(Skills!L19/10)*(E2114/1000),Skills!L19/10)+Skills!O19</f>
        <v/>
      </c>
      <c r="G2114">
        <f>Skills!G19*IF(Skills!H19&gt;0,INT(IF(Inputs!$B$38="pvp",MIN(Skills!I19,15),Skills!I19)/Skills!H19+0.000000001),1)</f>
        <v/>
      </c>
      <c r="H2114">
        <f>1-(1-Skills!J19/100)^Skills!K19</f>
        <v/>
      </c>
      <c r="I2114" t="inlineStr">
        <is>
          <t>1</t>
        </is>
      </c>
      <c r="J2114" t="inlineStr"/>
      <c r="K2114" t="inlineStr"/>
      <c r="L2114" t="inlineStr"/>
      <c r="M2114" t="inlineStr"/>
      <c r="N2114" t="inlineStr"/>
      <c r="O2114">
        <f>(1-Summary!$B$11)*T2114+Summary!$B$11*V2114</f>
        <v/>
      </c>
      <c r="P2114">
        <f>IF(B2136=0,0,O2114/B2136)</f>
        <v/>
      </c>
      <c r="Q2114" t="n">
        <v>0</v>
      </c>
      <c r="R2114" t="n">
        <v>0</v>
      </c>
      <c r="S2114">
        <f>IFERROR(O2114/N2114,0)</f>
        <v/>
      </c>
      <c r="T2114" t="n">
        <v>0</v>
      </c>
      <c r="V2114" t="n">
        <v>0</v>
      </c>
    </row>
    <row r="2115">
      <c r="A2115">
        <f>Skills!A20</f>
        <v/>
      </c>
      <c r="B2115">
        <f>Skills!B20</f>
        <v/>
      </c>
      <c r="C2115">
        <f>Inputs!$B$3&gt;=15</f>
        <v/>
      </c>
      <c r="D2115">
        <f>IF(Skills!C20=1,60+Inputs!$B$25+Inputs!$B$29,IF(Skills!C20=2,90+Inputs!$B$26+Inputs!$B$29,IF(Skills!C20=3,120+Inputs!$B$27+Inputs!$B$29,MAX(0,(Inputs!$B$3-100)*3)+Inputs!$B$28+Inputs!$B$29)))</f>
        <v/>
      </c>
      <c r="E2115">
        <f>INDEX(FactorTable!$B$2:$Y$301, MATCH(ROUND(MIN(300,MAX(1,D2115)),0), FactorTable!$A$2:$A$301,0), Skills!M20+1)</f>
        <v/>
      </c>
      <c r="F2115">
        <f>IF(Skills!N20=TRUE,(Skills!L20/10)*(E2115/1000),Skills!L20/10)+Skills!O20</f>
        <v/>
      </c>
      <c r="G2115">
        <f>Skills!G20*IF(Skills!H20&gt;0,INT(IF(Inputs!$B$38="pvp",MIN(Skills!I20,15),Skills!I20)/Skills!H20+0.000000001),1)</f>
        <v/>
      </c>
      <c r="H2115">
        <f>1-(1-Skills!J20/100)^Skills!K20</f>
        <v/>
      </c>
      <c r="I2115" t="inlineStr">
        <is>
          <t>1</t>
        </is>
      </c>
      <c r="J2115" t="inlineStr"/>
      <c r="K2115" t="inlineStr"/>
      <c r="L2115" t="inlineStr"/>
      <c r="M2115" t="inlineStr"/>
      <c r="N2115" t="inlineStr"/>
      <c r="O2115">
        <f>(1-Summary!$B$11)*T2115+Summary!$B$11*V2115</f>
        <v/>
      </c>
      <c r="P2115">
        <f>IF(B2136=0,0,O2115/B2136)</f>
        <v/>
      </c>
      <c r="Q2115" t="n">
        <v>0</v>
      </c>
      <c r="R2115" t="n">
        <v>0</v>
      </c>
      <c r="S2115">
        <f>IFERROR(O2115/N2115,0)</f>
        <v/>
      </c>
      <c r="T2115" t="n">
        <v>0</v>
      </c>
      <c r="V2115" t="n">
        <v>0</v>
      </c>
    </row>
    <row r="2116">
      <c r="A2116">
        <f>Skills!A21</f>
        <v/>
      </c>
      <c r="B2116">
        <f>Skills!B21</f>
        <v/>
      </c>
      <c r="C2116">
        <f>Inputs!$B$3&gt;=40</f>
        <v/>
      </c>
      <c r="D2116">
        <f>IF(Skills!C21=1,60+Inputs!$B$25+Inputs!$B$29,IF(Skills!C21=2,90+Inputs!$B$26+Inputs!$B$29,IF(Skills!C21=3,120+Inputs!$B$27+Inputs!$B$29,MAX(0,(Inputs!$B$3-100)*3)+Inputs!$B$28+Inputs!$B$29)))</f>
        <v/>
      </c>
      <c r="E2116">
        <f>INDEX(FactorTable!$B$2:$Y$301, MATCH(ROUND(MIN(300,MAX(1,D2116)),0), FactorTable!$A$2:$A$301,0), Skills!M21+1)</f>
        <v/>
      </c>
      <c r="F2116">
        <f>IF(Skills!N21=TRUE,(Skills!L21/10)*(E2116/1000),Skills!L21/10)+Skills!O21</f>
        <v/>
      </c>
      <c r="G2116">
        <f>Skills!G21*IF(Skills!H21&gt;0,INT(IF(Inputs!$B$38="pvp",MIN(Skills!I21,15),Skills!I21)/Skills!H21+0.000000001),1)</f>
        <v/>
      </c>
      <c r="H2116">
        <f>1-(1-Skills!J21/100)^Skills!K21</f>
        <v/>
      </c>
      <c r="I2116" t="inlineStr">
        <is>
          <t>1</t>
        </is>
      </c>
      <c r="J2116" t="inlineStr"/>
      <c r="K2116" t="inlineStr"/>
      <c r="L2116" t="inlineStr"/>
      <c r="M2116" t="inlineStr"/>
      <c r="N2116" t="inlineStr"/>
      <c r="O2116">
        <f>(1-Summary!$B$11)*T2116+Summary!$B$11*V2116</f>
        <v/>
      </c>
      <c r="P2116">
        <f>IF(B2136=0,0,O2116/B2136)</f>
        <v/>
      </c>
      <c r="Q2116" t="n">
        <v>0</v>
      </c>
      <c r="R2116" t="n">
        <v>0</v>
      </c>
      <c r="S2116">
        <f>IFERROR(O2116/N2116,0)</f>
        <v/>
      </c>
      <c r="T2116" t="n">
        <v>0</v>
      </c>
      <c r="V2116" t="n">
        <v>0</v>
      </c>
    </row>
    <row r="2117">
      <c r="A2117">
        <f>Skills!A22</f>
        <v/>
      </c>
      <c r="B2117">
        <f>Skills!B22</f>
        <v/>
      </c>
      <c r="C2117">
        <f>Inputs!$B$3&gt;=43</f>
        <v/>
      </c>
      <c r="D2117">
        <f>IF(Skills!C22=1,60+Inputs!$B$25+Inputs!$B$29,IF(Skills!C22=2,90+Inputs!$B$26+Inputs!$B$29,IF(Skills!C22=3,120+Inputs!$B$27+Inputs!$B$29,MAX(0,(Inputs!$B$3-100)*3)+Inputs!$B$28+Inputs!$B$29)))</f>
        <v/>
      </c>
      <c r="E2117">
        <f>INDEX(FactorTable!$B$2:$Y$301, MATCH(ROUND(MIN(300,MAX(1,D2117)),0), FactorTable!$A$2:$A$301,0), Skills!M22+1)</f>
        <v/>
      </c>
      <c r="F2117">
        <f>IF(Skills!N22=TRUE,(Skills!L22/10)*(E2117/1000),Skills!L22/10)+Skills!O22</f>
        <v/>
      </c>
      <c r="G2117">
        <f>Skills!G22*IF(Skills!H22&gt;0,INT(IF(Inputs!$B$38="pvp",MIN(Skills!I22,15),Skills!I22)/Skills!H22+0.000000001),1)</f>
        <v/>
      </c>
      <c r="H2117">
        <f>1-(1-Skills!J22/100)^Skills!K22</f>
        <v/>
      </c>
      <c r="I2117" t="inlineStr">
        <is>
          <t>1</t>
        </is>
      </c>
      <c r="J2117" t="inlineStr"/>
      <c r="K2117" t="inlineStr"/>
      <c r="L2117" t="inlineStr"/>
      <c r="M2117" t="inlineStr"/>
      <c r="N2117" t="inlineStr"/>
      <c r="O2117">
        <f>(1-Summary!$B$11)*T2117+Summary!$B$11*V2117</f>
        <v/>
      </c>
      <c r="P2117">
        <f>IF(B2136=0,0,O2117/B2136)</f>
        <v/>
      </c>
      <c r="Q2117" t="n">
        <v>0</v>
      </c>
      <c r="R2117" t="n">
        <v>0</v>
      </c>
      <c r="S2117">
        <f>IFERROR(O2117/N2117,0)</f>
        <v/>
      </c>
      <c r="T2117" t="n">
        <v>0</v>
      </c>
      <c r="V2117" t="n">
        <v>0</v>
      </c>
    </row>
    <row r="2118">
      <c r="A2118">
        <f>Skills!A23</f>
        <v/>
      </c>
      <c r="B2118">
        <f>Skills!B23</f>
        <v/>
      </c>
      <c r="C2118">
        <f>Inputs!$B$3&gt;=38</f>
        <v/>
      </c>
      <c r="D2118">
        <f>IF(Skills!C23=1,60+Inputs!$B$25+Inputs!$B$29,IF(Skills!C23=2,90+Inputs!$B$26+Inputs!$B$29,IF(Skills!C23=3,120+Inputs!$B$27+Inputs!$B$29,MAX(0,(Inputs!$B$3-100)*3)+Inputs!$B$28+Inputs!$B$29)))</f>
        <v/>
      </c>
      <c r="E2118">
        <f>INDEX(FactorTable!$B$2:$Y$301, MATCH(ROUND(MIN(300,MAX(1,D2118)),0), FactorTable!$A$2:$A$301,0), Skills!M23+1)</f>
        <v/>
      </c>
      <c r="F2118">
        <f>IF(Skills!N23=TRUE,(Skills!L23/10)*(E2118/1000),Skills!L23/10)+Skills!O23</f>
        <v/>
      </c>
      <c r="G2118">
        <f>Skills!G23*IF(Skills!H23&gt;0,INT(IF(Inputs!$B$38="pvp",MIN(Skills!I23,15),Skills!I23)/Skills!H23+0.000000001),1)</f>
        <v/>
      </c>
      <c r="H2118">
        <f>1-(1-Skills!J23/100)^Skills!K23</f>
        <v/>
      </c>
      <c r="I2118" t="inlineStr">
        <is>
          <t>1</t>
        </is>
      </c>
      <c r="J2118" t="inlineStr"/>
      <c r="K2118" t="inlineStr"/>
      <c r="L2118" t="inlineStr"/>
      <c r="M2118" t="inlineStr"/>
      <c r="N2118" t="inlineStr"/>
      <c r="O2118">
        <f>(1-Summary!$B$11)*T2118+Summary!$B$11*V2118</f>
        <v/>
      </c>
      <c r="P2118">
        <f>IF(B2136=0,0,O2118/B2136)</f>
        <v/>
      </c>
      <c r="Q2118" t="n">
        <v>0</v>
      </c>
      <c r="R2118" t="n">
        <v>0</v>
      </c>
      <c r="S2118">
        <f>IFERROR(O2118/N2118,0)</f>
        <v/>
      </c>
      <c r="T2118" t="n">
        <v>0</v>
      </c>
      <c r="V2118" t="n">
        <v>0</v>
      </c>
    </row>
    <row r="2119">
      <c r="A2119">
        <f>Skills!A24</f>
        <v/>
      </c>
      <c r="B2119">
        <f>Skills!B24</f>
        <v/>
      </c>
      <c r="C2119">
        <f>Inputs!$B$3&gt;=45</f>
        <v/>
      </c>
      <c r="D2119">
        <f>IF(Skills!C24=1,60+Inputs!$B$25+Inputs!$B$29,IF(Skills!C24=2,90+Inputs!$B$26+Inputs!$B$29,IF(Skills!C24=3,120+Inputs!$B$27+Inputs!$B$29,MAX(0,(Inputs!$B$3-100)*3)+Inputs!$B$28+Inputs!$B$29)))</f>
        <v/>
      </c>
      <c r="E2119">
        <f>INDEX(FactorTable!$B$2:$Y$301, MATCH(ROUND(MIN(300,MAX(1,D2119)),0), FactorTable!$A$2:$A$301,0), Skills!M24+1)</f>
        <v/>
      </c>
      <c r="F2119">
        <f>IF(Skills!N24=TRUE,(Skills!L24/10)*(E2119/1000),Skills!L24/10)+Skills!O24</f>
        <v/>
      </c>
      <c r="G2119">
        <f>Skills!G24*IF(Skills!H24&gt;0,INT(IF(Inputs!$B$38="pvp",MIN(Skills!I24,15),Skills!I24)/Skills!H24+0.000000001),1)</f>
        <v/>
      </c>
      <c r="H2119">
        <f>1-(1-Skills!J24/100)^Skills!K24</f>
        <v/>
      </c>
      <c r="I2119" t="inlineStr">
        <is>
          <t>1</t>
        </is>
      </c>
      <c r="J2119" t="inlineStr"/>
      <c r="K2119" t="inlineStr"/>
      <c r="L2119" t="inlineStr"/>
      <c r="M2119" t="inlineStr"/>
      <c r="N2119" t="inlineStr"/>
      <c r="O2119">
        <f>(1-Summary!$B$11)*T2119+Summary!$B$11*V2119</f>
        <v/>
      </c>
      <c r="P2119">
        <f>IF(B2136=0,0,O2119/B2136)</f>
        <v/>
      </c>
      <c r="Q2119" t="n">
        <v>0</v>
      </c>
      <c r="R2119" t="n">
        <v>0</v>
      </c>
      <c r="S2119">
        <f>IFERROR(O2119/N2119,0)</f>
        <v/>
      </c>
      <c r="T2119" t="n">
        <v>0</v>
      </c>
      <c r="V2119" t="n">
        <v>0</v>
      </c>
    </row>
    <row r="2120">
      <c r="A2120">
        <f>Skills!A25</f>
        <v/>
      </c>
      <c r="B2120">
        <f>Skills!B25</f>
        <v/>
      </c>
      <c r="C2120">
        <f>Inputs!$B$3&gt;=72</f>
        <v/>
      </c>
      <c r="D2120">
        <f>IF(Skills!C25=1,60+Inputs!$B$25+Inputs!$B$29,IF(Skills!C25=2,90+Inputs!$B$26+Inputs!$B$29,IF(Skills!C25=3,120+Inputs!$B$27+Inputs!$B$29,MAX(0,(Inputs!$B$3-100)*3)+Inputs!$B$28+Inputs!$B$29)))</f>
        <v/>
      </c>
      <c r="E2120">
        <f>INDEX(FactorTable!$B$2:$Y$301, MATCH(ROUND(MIN(300,MAX(1,D2120)),0), FactorTable!$A$2:$A$301,0), Skills!M25+1)</f>
        <v/>
      </c>
      <c r="F2120">
        <f>IF(Skills!N25=TRUE,(Skills!L25/10)*(E2120/1000),Skills!L25/10)+Skills!O25</f>
        <v/>
      </c>
      <c r="G2120">
        <f>Skills!G25*IF(Skills!H25&gt;0,INT(IF(Inputs!$B$38="pvp",MIN(Skills!I25,15),Skills!I25)/Skills!H25+0.000000001),1)</f>
        <v/>
      </c>
      <c r="H2120">
        <f>1-(1-Skills!J25/100)^Skills!K25</f>
        <v/>
      </c>
      <c r="I2120" t="inlineStr">
        <is>
          <t>1</t>
        </is>
      </c>
      <c r="J2120" t="inlineStr"/>
      <c r="K2120" t="inlineStr"/>
      <c r="L2120" t="inlineStr"/>
      <c r="M2120" t="inlineStr"/>
      <c r="N2120" t="inlineStr"/>
      <c r="O2120">
        <f>(1-Summary!$B$11)*T2120+Summary!$B$11*V2120</f>
        <v/>
      </c>
      <c r="P2120">
        <f>IF(B2136=0,0,O2120/B2136)</f>
        <v/>
      </c>
      <c r="Q2120" t="n">
        <v>0</v>
      </c>
      <c r="R2120" t="n">
        <v>0</v>
      </c>
      <c r="S2120">
        <f>IFERROR(O2120/N2120,0)</f>
        <v/>
      </c>
      <c r="T2120" t="n">
        <v>0</v>
      </c>
      <c r="V2120" t="n">
        <v>0</v>
      </c>
    </row>
    <row r="2121">
      <c r="A2121">
        <f>Skills!A26</f>
        <v/>
      </c>
      <c r="B2121">
        <f>Skills!B26</f>
        <v/>
      </c>
      <c r="C2121">
        <f>Inputs!$B$3&gt;=75</f>
        <v/>
      </c>
      <c r="D2121">
        <f>IF(Skills!C26=1,60+Inputs!$B$25+Inputs!$B$29,IF(Skills!C26=2,90+Inputs!$B$26+Inputs!$B$29,IF(Skills!C26=3,120+Inputs!$B$27+Inputs!$B$29,MAX(0,(Inputs!$B$3-100)*3)+Inputs!$B$28+Inputs!$B$29)))</f>
        <v/>
      </c>
      <c r="E2121">
        <f>INDEX(FactorTable!$B$2:$Y$301, MATCH(ROUND(MIN(300,MAX(1,D2121)),0), FactorTable!$A$2:$A$301,0), Skills!M26+1)</f>
        <v/>
      </c>
      <c r="F2121">
        <f>IF(Skills!N26=TRUE,(Skills!L26/10)*(E2121/1000),Skills!L26/10)+Skills!O26</f>
        <v/>
      </c>
      <c r="G2121">
        <f>Skills!G26*IF(Skills!H26&gt;0,INT(IF(Inputs!$B$38="pvp",MIN(Skills!I26,15),Skills!I26)/Skills!H26+0.000000001),1)</f>
        <v/>
      </c>
      <c r="H2121">
        <f>1-(1-Skills!J26/100)^Skills!K26</f>
        <v/>
      </c>
      <c r="I2121" t="inlineStr">
        <is>
          <t>1</t>
        </is>
      </c>
      <c r="J2121" t="inlineStr"/>
      <c r="K2121" t="inlineStr"/>
      <c r="L2121" t="inlineStr"/>
      <c r="M2121" t="inlineStr"/>
      <c r="N2121" t="inlineStr"/>
      <c r="O2121">
        <f>(1-Summary!$B$11)*T2121+Summary!$B$11*V2121</f>
        <v/>
      </c>
      <c r="P2121">
        <f>IF(B2136=0,0,O2121/B2136)</f>
        <v/>
      </c>
      <c r="Q2121" t="n">
        <v>0</v>
      </c>
      <c r="R2121" t="n">
        <v>0</v>
      </c>
      <c r="S2121">
        <f>IFERROR(O2121/N2121,0)</f>
        <v/>
      </c>
      <c r="T2121" t="n">
        <v>0</v>
      </c>
      <c r="V2121" t="n">
        <v>0</v>
      </c>
    </row>
    <row r="2122">
      <c r="A2122">
        <f>Skills!A27</f>
        <v/>
      </c>
      <c r="B2122">
        <f>Skills!B27</f>
        <v/>
      </c>
      <c r="C2122">
        <f>Inputs!$B$3&gt;=125</f>
        <v/>
      </c>
      <c r="D2122">
        <f>IF(Skills!C27=1,60+Inputs!$B$25+Inputs!$B$29,IF(Skills!C27=2,90+Inputs!$B$26+Inputs!$B$29,IF(Skills!C27=3,120+Inputs!$B$27+Inputs!$B$29,MAX(0,(Inputs!$B$3-100)*3)+Inputs!$B$28+Inputs!$B$29)))</f>
        <v/>
      </c>
      <c r="E2122">
        <f>INDEX(FactorTable!$B$2:$Y$301, MATCH(ROUND(MIN(300,MAX(1,D2122)),0), FactorTable!$A$2:$A$301,0), Skills!M27+1)</f>
        <v/>
      </c>
      <c r="F2122">
        <f>IF(Skills!N27=TRUE,(Skills!L27/10)*(E2122/1000),Skills!L27/10)+Skills!O27</f>
        <v/>
      </c>
      <c r="G2122">
        <f>Skills!G27*IF(Skills!H27&gt;0,INT(IF(Inputs!$B$38="pvp",MIN(Skills!I27,15),Skills!I27)/Skills!H27+0.000000001),1)</f>
        <v/>
      </c>
      <c r="H2122">
        <f>1-(1-Skills!J27/100)^Skills!K27</f>
        <v/>
      </c>
      <c r="I2122" t="inlineStr">
        <is>
          <t>1</t>
        </is>
      </c>
      <c r="J2122" t="inlineStr"/>
      <c r="K2122" t="inlineStr"/>
      <c r="L2122" t="inlineStr"/>
      <c r="M2122" t="inlineStr"/>
      <c r="N2122" t="inlineStr"/>
      <c r="O2122">
        <f>(1-Summary!$B$11)*T2122+Summary!$B$11*V2122</f>
        <v/>
      </c>
      <c r="P2122">
        <f>IF(B2136=0,0,O2122/B2136)</f>
        <v/>
      </c>
      <c r="Q2122" t="n">
        <v>0</v>
      </c>
      <c r="R2122" t="n">
        <v>0</v>
      </c>
      <c r="S2122">
        <f>IFERROR(O2122/N2122,0)</f>
        <v/>
      </c>
      <c r="T2122" t="n">
        <v>0</v>
      </c>
      <c r="V2122" t="n">
        <v>0</v>
      </c>
    </row>
    <row r="2123">
      <c r="A2123">
        <f>Skills!A28</f>
        <v/>
      </c>
      <c r="B2123">
        <f>Skills!B28</f>
        <v/>
      </c>
      <c r="C2123">
        <f>TRUE</f>
        <v/>
      </c>
      <c r="D2123">
        <f>IF(Skills!C28=1,60+Inputs!$B$25+Inputs!$B$29,IF(Skills!C28=2,90+Inputs!$B$26+Inputs!$B$29,IF(Skills!C28=3,120+Inputs!$B$27+Inputs!$B$29,MAX(0,(Inputs!$B$3-100)*3)+Inputs!$B$28+Inputs!$B$29)))</f>
        <v/>
      </c>
      <c r="E2123">
        <f>INDEX(FactorTable!$B$2:$Y$301, MATCH(ROUND(MIN(300,MAX(1,D2123)),0), FactorTable!$A$2:$A$301,0), Skills!M28+1)</f>
        <v/>
      </c>
      <c r="F2123">
        <f>IF(Skills!N28=TRUE,(Skills!L28/10)*(E2123/1000),Skills!L28/10)+Skills!O28</f>
        <v/>
      </c>
      <c r="G2123">
        <f>Skills!G28*IF(Skills!H28&gt;0,INT(IF(Inputs!$B$38="pvp",MIN(Skills!I28,15),Skills!I28)/Skills!H28+0.000000001),1)</f>
        <v/>
      </c>
      <c r="H2123">
        <f>1-(1-Skills!J28/100)^Skills!K28</f>
        <v/>
      </c>
      <c r="I2123" t="inlineStr">
        <is>
          <t>1</t>
        </is>
      </c>
      <c r="J2123" t="inlineStr"/>
      <c r="K2123" t="inlineStr"/>
      <c r="L2123" t="inlineStr"/>
      <c r="M2123" t="inlineStr"/>
      <c r="N2123" t="inlineStr"/>
      <c r="O2123">
        <f>(1-Summary!$B$11)*T2123+Summary!$B$11*V2123</f>
        <v/>
      </c>
      <c r="P2123">
        <f>IF(B2136=0,0,O2123/B2136)</f>
        <v/>
      </c>
      <c r="Q2123">
        <f>IFERROR(1/(IF(Inputs!$B$38="pvp",15,MAX(0.1,Skills!D28-IF(TRUE=TRUE,Inputs!$B$32,0)))*(1-IF(AND(ArtifactsInput!$M$27,Inputs!$B$4="Chapter Hunt"),CHOOSE(ArtifactsInput!$N$27+1,20,24,28,32,36,40),0)/100)),0)</f>
        <v/>
      </c>
      <c r="R2123">
        <f>IF(AND(Inputs!$B$38&lt;&gt;"pvp",Inputs!$B$43&gt;0),IF(Inputs!$B$43&lt;=0,0,(INT(Inputs!$B$43/(IF(Inputs!$B$38="pvp",15,MAX(0.1,Skills!D28-IF(TRUE=TRUE,Inputs!$B$32,0)))*(1-IF(AND(ArtifactsInput!$M$27,Inputs!$B$4="Chapter Hunt"),CHOOSE(ArtifactsInput!$N$27+1,20,24,28,32,36,40),0)/100)))+1)),0)</f>
        <v/>
      </c>
      <c r="S2123">
        <f>IFERROR(O2123/N2123,0)</f>
        <v/>
      </c>
      <c r="T2123" t="n">
        <v>0</v>
      </c>
      <c r="V2123" t="n">
        <v>0</v>
      </c>
    </row>
    <row r="2125">
      <c r="A2125" t="inlineStr">
        <is>
          <t>Attack% Bucket Multiplier</t>
        </is>
      </c>
      <c r="B2125">
        <f>(1+(((C2112=TRUE)*F2112*5/7)+((C2119=TRUE)*(F2119-Calc!F24))+(IF(ArtifactsInput!$M$21,CHOOSE(ArtifactsInput!$N$21+1,25,30,35,40,45,50)*(IF(OR(Inputs!$B$4="Chapter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126">
      <c r="A2126" t="inlineStr">
        <is>
          <t>Global Crit Rate Bonus %</t>
        </is>
      </c>
      <c r="B2126" t="n">
        <v>0</v>
      </c>
    </row>
    <row r="2127">
      <c r="A2127" t="inlineStr">
        <is>
          <t>Attack Speed Buff Bonus % (Nimble Feet, duty-cycle averaged)</t>
        </is>
      </c>
      <c r="B2127">
        <f>((C2123=TRUE)*F2123*IF(AND(Inputs!$B$38&lt;&gt;"pvp",Inputs!$B$43&gt;0),(((R2123-1)*MIN((Skills!T28*(1+Inputs!$B$34/100)),(1/Q2123))+MIN((Skills!T28*(1+Inputs!$B$34/100)),MAX(0,Inputs!$B$43-((R2123-1)*(1/Q2123)))))/Inputs!$B$43),IF(Inputs!$B$38="pvp",MIN((Skills!T28*(1+Inputs!$B$34/100)),15)/15,MIN(1,(Skills!T28*(1+Inputs!$B$34/100))/(1/Q2123)))))</f>
        <v/>
      </c>
    </row>
    <row r="2128">
      <c r="A2128" t="inlineStr">
        <is>
          <t>Actions Per Second</t>
        </is>
      </c>
      <c r="B2128">
        <f>1+MIN(150,150*(1-(1-(Inputs!$B$11+((C2115=TRUE)*(F2115-Calc!F20))+((C2116=TRUE)*(F2116-Calc!F21)))/150)*(1-B2127/150)))/100</f>
        <v/>
      </c>
    </row>
    <row r="2129">
      <c r="A2129" t="inlineStr">
        <is>
          <t>Skill + Buff Cast Rate</t>
        </is>
      </c>
      <c r="B2129">
        <f>IF(AND(Inputs!$B$38&lt;&gt;"pvp",Inputs!$B$43&gt;0),SUMPRODUCT((Skills!E2:E28=TRUE)*(C2097:C2123=TRUE)*R2097:R2123*Skills!F2:F28)/Inputs!$B$43,SUMPRODUCT((Skills!E2:E28=TRUE)*(C2097:C2123=TRUE)*Q2097:Q2123*Skills!F2:F28))</f>
        <v/>
      </c>
    </row>
    <row r="2130">
      <c r="A2130" t="inlineStr">
        <is>
          <t>Eight-Legs Easton Casts Per Second</t>
        </is>
      </c>
      <c r="B2130">
        <f>MAX(0,B2128-B2129)</f>
        <v/>
      </c>
    </row>
    <row r="2131">
      <c r="A2131" t="inlineStr">
        <is>
          <t>Global Critical Damage Bonus % (unused)</t>
        </is>
      </c>
      <c r="B2131" t="n">
        <v>0</v>
      </c>
    </row>
    <row r="2132">
      <c r="A2132" t="inlineStr">
        <is>
          <t>Global Final Damage Bonus % (Jolly Roger + Ahoy Mateys - Final Damage proc)</t>
        </is>
      </c>
      <c r="B2132">
        <f>((C2113=TRUE)*F2113*IF(AND(Inputs!$B$38&lt;&gt;"pvp",Inputs!$B$43&gt;0),(((R2113-1)*MIN((Skills!T18*(1+Inputs!$B$34/100)),(1/Q2113))+MIN((Skills!T18*(1+Inputs!$B$34/100)),MAX(0,Inputs!$B$43-((R2113-1)*(1/Q2113)))))/Inputs!$B$43),IF(Inputs!$B$38="pvp",MIN((Skills!T18*(1+Inputs!$B$34/100)),15)/15,MIN(1,(Skills!T18*(1+Inputs!$B$34/100))/(1/Q2113)))))+IF(Inputs!$B$3&gt;=122,20*IF(Inputs!$B$38="pvp",MIN((20*(1+Inputs!$B$34/100)),15)/15,MIN(1,(20*(1+Inputs!$B$34/100))/(1/Q2099))),0)</f>
        <v/>
      </c>
    </row>
    <row r="2133">
      <c r="A2133" t="inlineStr">
        <is>
          <t>Buff-Casting Startup Delay (s, fixed-duration only)</t>
        </is>
      </c>
      <c r="B2133">
        <f>IF(AND(Inputs!$B$38&lt;&gt;"pvp",Inputs!$B$43&gt;0),SUMPRODUCT((Skills!T2:T28&gt;0)*(Skills!E2:E28=TRUE)*(C2097:C2123=TRUE))/B2128,0)</f>
        <v/>
      </c>
    </row>
    <row r="2134">
      <c r="A2134" t="inlineStr">
        <is>
          <t>Boss-Only Total DPS (this block's swept value)</t>
        </is>
      </c>
      <c r="B2134">
        <f>SUM(T2097:T2123)</f>
        <v/>
      </c>
    </row>
    <row r="2135">
      <c r="A2135" t="inlineStr">
        <is>
          <t>Normal-Only Total DPS (this block's swept value)</t>
        </is>
      </c>
      <c r="B2135">
        <f>SUM(V2097:V2123)</f>
        <v/>
      </c>
    </row>
    <row r="2136">
      <c r="A2136" s="6" t="inlineStr">
        <is>
          <t>TOTAL DPS</t>
        </is>
      </c>
      <c r="B2136" s="6">
        <f>SUM(O2097:O2123)</f>
        <v/>
      </c>
    </row>
    <row r="2137">
      <c r="A2137" t="inlineStr">
        <is>
          <t>Quickdraw cooldown divisor (this block's own APS / Q)</t>
        </is>
      </c>
      <c r="B2137">
        <f>IF(AND(C2122=TRUE,Inputs!$B$38&lt;&gt;"pvp"),1+0.25*MAX(0,(B2128-(((C2098=TRUE)*Q2098*1)+((C2099=TRUE)*Q2099*1)+((C2101=TRUE)*Q2101*1)+((C2102=TRUE)*Q2102*1)+((C2104=TRUE)*Q2104*1)+((C2107=TRUE)*Q2107*1)+((C2113=TRUE)*Q2113*1)+((C2123=TRUE)*Q2123*1))-((C2103=TRUE)/(IF(Inputs!$B$38="pvp",15,MAX(0.1,Skills!D8-IF(TRUE=TRUE,Inputs!$B$32,0)))*(1-IF(AND(ArtifactsInput!$M$27,Inputs!$B$4="Chapter Hunt"),CHOOSE(ArtifactsInput!$N$27+1,20,24,28,32,36,40),0)/100))+(C2106=TRUE)/(IF(Inputs!$B$38="pvp",15,MAX(0.1,Skills!D11-IF(TRUE=TRUE,Inputs!$B$32,0)))*(1-IF(AND(ArtifactsInput!$M$27,Inputs!$B$4="Chapter Hunt"),CHOOSE(ArtifactsInput!$N$27+1,20,24,28,32,36,40),0)/100))))/(1+0.25*((C2103=TRUE)/(IF(Inputs!$B$38="pvp",15,MAX(0.1,Skills!D8-IF(TRUE=TRUE,Inputs!$B$32,0)))*(1-IF(AND(ArtifactsInput!$M$27,Inputs!$B$4="Chapter Hunt"),CHOOSE(ArtifactsInput!$N$27+1,20,24,28,32,36,40),0)/100))+(C2106=TRUE)/(IF(Inputs!$B$38="pvp",15,MAX(0.1,Skills!D11-IF(TRUE=TRUE,Inputs!$B$32,0)))*(1-IF(AND(ArtifactsInput!$M$27,Inputs!$B$4="Chapter Hunt"),CHOOSE(ArtifactsInput!$N$27+1,20,24,28,32,36,40),0)/100))))),1)</f>
        <v/>
      </c>
    </row>
    <row r="2138">
      <c r="A2138" t="inlineStr">
        <is>
          <t>Nautilus Strike - Final Attack trigger rate (this block's own Q/R)</t>
        </is>
      </c>
      <c r="B2138">
        <f>IF(AND(Inputs!$B$38&lt;&gt;"pvp",Inputs!$B$43&gt;0),(((C2098=TRUE)*R2098)+((C2101=TRUE)*R2101)+((C2103=TRUE)*R2103)+((C2104=TRUE)*R2104)+((C2106=TRUE)*R2106))/Inputs!$B$43,((C2098=TRUE)*Q2098)+((C2101=TRUE)*Q2101)+((C2103=TRUE)*Q2103)+((C2104=TRUE)*Q2104)+((C2106=TRUE)*Q2106))+B2130</f>
        <v/>
      </c>
    </row>
    <row r="2141">
      <c r="A2141" s="6" t="inlineStr">
        <is>
          <t>Stat: Fire Flower (Equip)</t>
        </is>
      </c>
    </row>
    <row r="2142">
      <c r="A2142" s="5" t="inlineStr">
        <is>
          <t>Key</t>
        </is>
      </c>
      <c r="B2142" s="5" t="inlineStr">
        <is>
          <t>Name</t>
        </is>
      </c>
      <c r="C2142" s="5" t="inlineStr">
        <is>
          <t>Unlocked</t>
        </is>
      </c>
      <c r="D2142" s="5" t="inlineStr">
        <is>
          <t>InputLevel</t>
        </is>
      </c>
      <c r="E2142" s="5" t="inlineStr">
        <is>
          <t>Factor</t>
        </is>
      </c>
      <c r="F2142" s="5" t="inlineStr">
        <is>
          <t>CoefficientPercent</t>
        </is>
      </c>
      <c r="G2142" s="5" t="inlineStr">
        <is>
          <t>EffectiveHits</t>
        </is>
      </c>
      <c r="H2142" s="5" t="inlineStr">
        <is>
          <t>ProcProbability</t>
        </is>
      </c>
      <c r="I2142" s="5" t="inlineStr">
        <is>
          <t>MapleHeroMultiplier</t>
        </is>
      </c>
      <c r="J2142" s="5" t="inlineStr">
        <is>
          <t>BaseDamage</t>
        </is>
      </c>
      <c r="K2142" s="5" t="inlineStr">
        <is>
          <t>BaseHitDamage</t>
        </is>
      </c>
      <c r="L2142" s="5" t="inlineStr">
        <is>
          <t>NonCritAvg</t>
        </is>
      </c>
      <c r="M2142" s="5" t="inlineStr">
        <is>
          <t>CritAvg</t>
        </is>
      </c>
      <c r="N2142" s="5" t="inlineStr">
        <is>
          <t>ExpectedDamage(perHit)</t>
        </is>
      </c>
      <c r="O2142" s="5" t="inlineStr">
        <is>
          <t>DPS</t>
        </is>
      </c>
      <c r="P2142" s="5" t="inlineStr">
        <is>
          <t>% of Total</t>
        </is>
      </c>
      <c r="Q2142" s="5" t="inlineStr">
        <is>
          <t>InvCooldown</t>
        </is>
      </c>
      <c r="R2142" s="5" t="inlineStr">
        <is>
          <t>CastsInFight</t>
        </is>
      </c>
      <c r="S2142" s="5" t="inlineStr">
        <is>
          <t>HitRate(perSec)</t>
        </is>
      </c>
      <c r="U2142" t="inlineStr">
        <is>
          <t>helpers</t>
        </is>
      </c>
    </row>
    <row r="2143">
      <c r="A2143">
        <f>Skills!A2</f>
        <v/>
      </c>
      <c r="B2143">
        <f>Skills!B2</f>
        <v/>
      </c>
      <c r="C2143">
        <f>Inputs!$B$3&gt;=100</f>
        <v/>
      </c>
      <c r="D2143" t="inlineStr"/>
      <c r="E2143" t="inlineStr"/>
      <c r="F2143">
        <f>U2145+Skills!O2</f>
        <v/>
      </c>
      <c r="G2143">
        <f>Skills!G2*IF(Skills!H2&gt;0,INT(IF(Inputs!$B$38="pvp",MIN(Skills!I2,15),Skills!I2)/Skills!H2+0.000000001),1)</f>
        <v/>
      </c>
      <c r="H2143">
        <f>1-(1-Skills!J2/100)^Skills!K2</f>
        <v/>
      </c>
      <c r="I2143" t="inlineStr">
        <is>
          <t>1</t>
        </is>
      </c>
      <c r="J2143">
        <f>((Inputs!$B$6*(1+Inputs!$B$7/100))+(((Inputs!$B$12*(1+Inputs!$B$13/100))-(Inputs!$B$12*(1+Inputs!$B$13/100)))+0.25*(Inputs!$B$14-Inputs!$B$14))*(1+Inputs!$B$7/100))*(F2143/100)</f>
        <v/>
      </c>
      <c r="K2143">
        <f>J2143*(1+((Inputs!$B$12*(1+Inputs!$B$13/100))*0.01+Inputs!$B$14*0.0025)/100)*(1+Inputs!$B$15/100)*(1+Inputs!$B$16/100)*(5000/(6000+Inputs!$B$42*(1-(100*(1-(1-(Inputs!$B$19+0)/100)*(1-CHOOSE(ArtifactsInput!$N$40+1,5,6,7,8,9,10)/100)^(ArtifactsInput!$M$40-ArtifactsInput!$M$40)))/100)))*(1+(Inputs!$B$24+((C2167=TRUE)*(F2167-Calc!F26))+B2178)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IGHT_LEGS_EASTON",Inputs!$B$17+((C2164=TRUE)*(F2164-Calc!F23))+((C2168=TRUE)*(F2168-Calc!F27))+((IF(AND(Inputs!$B$38&lt;&gt;"pvp",Inputs!$B$43=0),1,IF(IF(Inputs!$B$38="pvp",15,Inputs!$B$43)-(B2179)&lt;=0,1,MAX(0,IF(Inputs!$B$38="pvp",15,Inputs!$B$43)-MAX(5,B2179))/(IF(Inputs!$B$38="pvp",15,Inputs!$B$43)-(B2179))))*(IF(AND(ArtifactsInput!$M$42,((Inputs!$B$9+((C2160=TRUE)*(F2160-Calc!F19))+B2172+(ArtifactsInput!$M$24-ArtifactsInput!$M$24)*CHOOSE(ArtifactsInput!$N$24+1,10,12,14,16,18,20)+IF(ArtifactsInput!$M$10,CHOOSE(ArtifactsInput!$N$10+1,15,18,21,24,27,30)*(IF(Inputs!$B$38="pvp",MIN(15,15)/15,IF(AND(Inputs!$B$38&lt;&gt;"pvp",Inputs!$B$43&gt;0),MIN(15,Inputs!$B$43)/(Inputs!$B$43),0))),0)))&gt;=100),MIN(100,((Inputs!$B$9+((C2160=TRUE)*(F2160-Calc!F19))+B2172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2179)&lt;=0,1,MAX(0,IF(Inputs!$B$38="pvp",15,Inputs!$B$43)-MAX(5,B2179))/(IF(Inputs!$B$38="pvp",15,Inputs!$B$43)-(B2179))))*IF(AND(ArtifactsInput!$M$42,((Inputs!$B$9+((C2160=TRUE)*(F2160-Calc!F19))+B2172+(ArtifactsInput!$M$24-ArtifactsInput!$M$24)*CHOOSE(ArtifactsInput!$N$24+1,10,12,14,16,18,20)+IF(ArtifactsInput!$M$10,CHOOSE(ArtifactsInput!$N$10+1,15,18,21,24,27,30)*(IF(Inputs!$B$38="pvp",MIN(15,15)/15,IF(AND(Inputs!$B$38&lt;&gt;"pvp",Inputs!$B$43&gt;0),MIN(15,Inputs!$B$43)/(Inputs!$B$43),0))),0)))&gt;=100),CHOOSE(ArtifactsInput!$N$42+1,40,48,56,64,72,80),0))))/100)*((1+(((C2158=TRUE)*F2158*5/7)+((C2165=TRUE)*(F2165-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2143)</f>
        <v/>
      </c>
      <c r="L2143">
        <f>K2143*(MIN(Inputs!$B$22+((C2163=TRUE)*(F2163-Calc!F22)),(Inputs!$B$23+0+(IF(ArtifactsInput!$M$15,CHOOSE(ArtifactsInput!$N$15+1,25,30,35,40,45,50)/100*(Inputs!$B$11-Inputs!$B$11),0))))/100+(Inputs!$B$23+0+(IF(ArtifactsInput!$M$15,CHOOSE(ArtifactsInput!$N$15+1,25,30,35,40,45,50)/100*(Inputs!$B$11-Inputs!$B$11),0)))/100)/2</f>
        <v/>
      </c>
      <c r="M2143">
        <f>L2143*(1+(Inputs!$B$10+((C2166=TRUE)*(F2166-Calc!F25))+B2177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43">
        <f>L2143*(1-MIN((Inputs!$B$9+((C2160=TRUE)*(F2160-Calc!F19))+B2172+(ArtifactsInput!$M$24-ArtifactsInput!$M$24)*CHOOSE(ArtifactsInput!$N$24+1,10,12,14,16,18,20)+(IF(AND(Inputs!$B$38&lt;&gt;"pvp",Inputs!$B$43=0),1,IF(IF(Inputs!$B$38="pvp",15,Inputs!$B$43)-(B2179)&lt;=0,1,MAX(0,IF(Inputs!$B$38="pvp",15,Inputs!$B$43)-MAX(5,B2179))/(IF(Inputs!$B$38="pvp",15,Inputs!$B$43)-(B2179))))*IF(AND(ArtifactsInput!$M$42,((Inputs!$B$9+((C2160=TRUE)*(F2160-Calc!F19))+B2172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2143*(MIN((Inputs!$B$9+((C2160=TRUE)*(F2160-Calc!F19))+B2172+(ArtifactsInput!$M$24-ArtifactsInput!$M$24)*CHOOSE(ArtifactsInput!$N$24+1,10,12,14,16,18,20)+(IF(AND(Inputs!$B$38&lt;&gt;"pvp",Inputs!$B$43=0),1,IF(IF(Inputs!$B$38="pvp",15,Inputs!$B$43)-(B2179)&lt;=0,1,MAX(0,IF(Inputs!$B$38="pvp",15,Inputs!$B$43)-MAX(5,B2179))/(IF(Inputs!$B$38="pvp",15,Inputs!$B$43)-(B2179))))*IF(AND(ArtifactsInput!$M$42,((Inputs!$B$9+((C2160=TRUE)*(F2160-Calc!F19))+B2172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43">
        <f>(1-Summary!$B$11)*T2143+Summary!$B$11*V2143</f>
        <v/>
      </c>
      <c r="P2143">
        <f>IF(B2182=0,0,O2143/B2182)</f>
        <v/>
      </c>
      <c r="Q2143" t="n">
        <v>0</v>
      </c>
      <c r="R2143" t="n">
        <v>0</v>
      </c>
      <c r="S2143">
        <f>IFERROR(O2143/N2143,0)</f>
        <v/>
      </c>
      <c r="T2143">
        <f>IF(C2143,(Skills!G2*N2143*B2176*(1+IF(C2168=TRUE,1/3,0)))*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Hunt"),CHOOSE(ArtifactsInput!$N$35+1,15,18,21,24,27,30)*(1-EXP(-(0.2*B2174)*5)),0)+IF(AND(ArtifactsInput!$M$22,Inputs!$B$4&lt;&gt;"Chapter Hunt"),CHOOSE(ArtifactsInput!$N$22+1,10,12,14,16,18,20)*((0*(((0.15*B2174*5))^0/1)+1*(((0.15*B2174*5))^1/1)+2*(((0.15*B2174*5))^2/2)+3*(((0.15*B2174*5))^3/6)+4*(((0.15*B2174*5))^4/24)+5*(((0.15*B2174*5))^5/120))/((((0.15*B2174*5))^0/1)+(((0.15*B2174*5))^1/1)+(((0.15*B2174*5))^2/2)+(((0.15*B2174*5))^3/6)+(((0.15*B2174*5))^4/24)+(((0.15*B2174*5))^5/120))),0))+IF(Inputs!$B$3&gt;=54,9*(C2144=TRUE)*MIN(1,8*(1+Inputs!$B$34/100)*Q2144)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2143*(1-MIN(100,(Inputs!$B$9+((C2160=TRUE)*(F2160-Calc!F19))+B2172+(ArtifactsInput!$M$24-ArtifactsInput!$M$24)*CHOOSE(ArtifactsInput!$N$24+1,10,12,14,16,18,20)+(IF(AND(Inputs!$B$38&lt;&gt;"pvp",Inputs!$B$43=0),1,IF(IF(Inputs!$B$38="pvp",15,Inputs!$B$43)-(B2179)&lt;=0,1,MAX(0,IF(Inputs!$B$38="pvp",15,Inputs!$B$43)-MAX(5,B2179))/(IF(Inputs!$B$38="pvp",15,Inputs!$B$43)-(B2179))))*IF(AND(ArtifactsInput!$M$42,((Inputs!$B$9+((C2160=TRUE)*(F2160-Calc!F19))+B2172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2143*(MIN(100,(Inputs!$B$9+((C2160=TRUE)*(F2160-Calc!F19))+B2172+(ArtifactsInput!$M$24-ArtifactsInput!$M$24)*CHOOSE(ArtifactsInput!$N$24+1,10,12,14,16,18,20)+(IF(AND(Inputs!$B$38&lt;&gt;"pvp",Inputs!$B$43=0),1,IF(IF(Inputs!$B$38="pvp",15,Inputs!$B$43)-(B2179)&lt;=0,1,MAX(0,IF(Inputs!$B$38="pvp",15,Inputs!$B$43)-MAX(5,B2179))/(IF(Inputs!$B$38="pvp",15,Inputs!$B$43)-(B2179))))*IF(AND(ArtifactsInput!$M$42,((Inputs!$B$9+((C2160=TRUE)*(F2160-Calc!F19))+B2172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2143*(1-MIN(100,(Inputs!$B$9+((C2160=TRUE)*(F2160-Calc!F19))+B2172+(ArtifactsInput!$M$24-ArtifactsInput!$M$24)*CHOOSE(ArtifactsInput!$N$24+1,10,12,14,16,18,20)+(IF(AND(Inputs!$B$38&lt;&gt;"pvp",Inputs!$B$43=0),1,IF(IF(Inputs!$B$38="pvp",15,Inputs!$B$43)-(B2179)&lt;=0,1,MAX(0,IF(Inputs!$B$38="pvp",15,Inputs!$B$43)-MAX(5,B2179))/(IF(Inputs!$B$38="pvp",15,Inputs!$B$43)-(B2179))))*IF(AND(ArtifactsInput!$M$42,((Inputs!$B$9+((C2160=TRUE)*(F2160-Calc!F19))+B2172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2143*(MIN(100,(Inputs!$B$9+((C2160=TRUE)*(F2160-Calc!F19))+B2172+(ArtifactsInput!$M$24-ArtifactsInput!$M$24)*CHOOSE(ArtifactsInput!$N$24+1,10,12,14,16,18,20)+(IF(AND(Inputs!$B$38&lt;&gt;"pvp",Inputs!$B$43=0),1,IF(IF(Inputs!$B$38="pvp",15,Inputs!$B$43)-(B2179)&lt;=0,1,MAX(0,IF(Inputs!$B$38="pvp",15,Inputs!$B$43)-MAX(5,B2179))/(IF(Inputs!$B$38="pvp",15,Inputs!$B$43)-(B2179))))*IF(AND(ArtifactsInput!$M$42,((Inputs!$B$9+((C2160=TRUE)*(F2160-Calc!F19))+B2172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IF(ArtifactsInput!$M$26,FALSE,TRUE),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143">
        <f>MAX(0,(Inputs!$B$3-100)*3)+Inputs!$B$28+Inputs!$B$29</f>
        <v/>
      </c>
      <c r="V2143">
        <f>IF(C2143,(Skills!G2*N2143*B2176*(1+IF(C2168=TRUE,1/3,0)))*IF(Inputs!$B$38="pvp",1,(1+(Inputs!$B$21+Skills!Q2+(IF(ArtifactsInput!$M$33,CHOOSE(ArtifactsInput!$N$33+1,30,36,42,48,54,60),0))+(IF(AND(ArtifactsInput!$M$35,Inputs!$B$4&lt;&gt;"Chapter Hunt"),CHOOSE(ArtifactsInput!$N$35+1,15,18,21,24,27,30)*(1-EXP(-(0.2*B2174)*5)),0)+IF(AND(ArtifactsInput!$M$22,Inputs!$B$4&lt;&gt;"Chapter Hunt"),CHOOSE(ArtifactsInput!$N$22+1,10,12,14,16,18,20)*((0*(((0.15*B2174*5))^0/1)+1*(((0.15*B2174*5))^1/1)+2*(((0.15*B2174*5))^2/2)+3*(((0.15*B2174*5))^3/6)+4*(((0.15*B2174*5))^4/24)+5*(((0.15*B2174*5))^5/120))/((((0.15*B2174*5))^0/1)+(((0.15*B2174*5))^1/1)+(((0.15*B2174*5))^2/2)+(((0.15*B2174*5))^3/6)+(((0.15*B2174*5))^4/24)+(((0.15*B2174*5))^5/120))),0))+IF(Inputs!$B$3&gt;=54,9*(C2144=TRUE)*MIN(1,8*(1+Inputs!$B$34/100)*Q2144),0))/100)*(MIN((6+Inputs!$B$33),Inputs!$B$37)))*((1+(IF(AND(ArtifactsInput!$M$41,Inputs!$B$38&lt;&gt;"pvp"),CHOOSE(ArtifactsInput!$N$41+1,5,6,7,8,9,10)*IF(OR(Inputs!$B$4="Weapon Dungeon",Inputs!$B$4="Equipment Dungeon",Inputs!$B$4="Enhancement Dungeon",Inputs!$B$4="EXP Dungeon",Inputs!$B$4="Hero Dungeon"),3,1),0)+IF(IF(ArtifactsInput!$M$26,FALSE,TRUE),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44">
      <c r="A2144">
        <f>Skills!A3</f>
        <v/>
      </c>
      <c r="B2144">
        <f>Skills!B3</f>
        <v/>
      </c>
      <c r="C2144">
        <f>Inputs!$B$3&gt;=33</f>
        <v/>
      </c>
      <c r="D2144">
        <f>IF(Skills!C3=1,60+Inputs!$B$25+Inputs!$B$29,IF(Skills!C3=2,90+Inputs!$B$26+Inputs!$B$29,IF(Skills!C3=3,120+Inputs!$B$27+Inputs!$B$29,MAX(0,(Inputs!$B$3-100)*3)+Inputs!$B$28+Inputs!$B$29)))</f>
        <v/>
      </c>
      <c r="E2144">
        <f>INDEX(FactorTable!$B$2:$Y$301, MATCH(ROUND(MIN(300,MAX(1,D2144)),0), FactorTable!$A$2:$A$301,0), Skills!M3+1)</f>
        <v/>
      </c>
      <c r="F2144">
        <f>IF(Skills!N3=TRUE,(Skills!L3/10)*(E2144/1000),Skills!L3/10)+Skills!O3</f>
        <v/>
      </c>
      <c r="G2144">
        <f>Skills!G3*IF(Skills!H3&gt;0,INT(IF(Inputs!$B$38="pvp",MIN(Skills!I3,15),Skills!I3)/Skills!H3+0.000000001),1)</f>
        <v/>
      </c>
      <c r="H2144">
        <f>1-(1-Skills!J3/100)^Skills!K3</f>
        <v/>
      </c>
      <c r="I2144" t="inlineStr">
        <is>
          <t>1</t>
        </is>
      </c>
      <c r="J2144">
        <f>((Inputs!$B$6*(1+Inputs!$B$7/100))+(((Inputs!$B$12*(1+Inputs!$B$13/100))-(Inputs!$B$12*(1+Inputs!$B$13/100)))+0.25*(Inputs!$B$14-Inputs!$B$14))*(1+Inputs!$B$7/100))*(F2144/100)</f>
        <v/>
      </c>
      <c r="K2144">
        <f>J2144*(1+((Inputs!$B$12*(1+Inputs!$B$13/100))*0.01+Inputs!$B$14*0.0025)/100)*(1+Inputs!$B$15/100)*(1+Inputs!$B$16/100)*(5000/(6000+Inputs!$B$42*(1-(100*(1-(1-(Inputs!$B$19+0)/100)*(1-CHOOSE(ArtifactsInput!$N$40+1,5,6,7,8,9,10)/100)^(ArtifactsInput!$M$40-ArtifactsInput!$M$40)))/100)))*(1+(Inputs!$B$24+((C2167=TRUE)*(F2167-Calc!F26))+B2178)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2156=TRUE,F2156,0)/100)*(1+(IF(Skills!A3="EIGHT_LEGS_EASTON",Inputs!$B$17+((C2164=TRUE)*(F2164-Calc!F23))+((C2168=TRUE)*(F2168-Calc!F27))+((IF(AND(Inputs!$B$38&lt;&gt;"pvp",Inputs!$B$43=0),1,IF(IF(Inputs!$B$38="pvp",15,Inputs!$B$43)-(B2179)&lt;=0,1,MAX(0,IF(Inputs!$B$38="pvp",15,Inputs!$B$43)-MAX(5,B2179))/(IF(Inputs!$B$38="pvp",15,Inputs!$B$43)-(B2179))))*(IF(AND(ArtifactsInput!$M$42,((Inputs!$B$9+((C2160=TRUE)*(F2160-Calc!F19))+B2172+(ArtifactsInput!$M$24-ArtifactsInput!$M$24)*CHOOSE(ArtifactsInput!$N$24+1,10,12,14,16,18,20)+IF(ArtifactsInput!$M$10,CHOOSE(ArtifactsInput!$N$10+1,15,18,21,24,27,30)*(IF(Inputs!$B$38="pvp",MIN(15,15)/15,IF(AND(Inputs!$B$38&lt;&gt;"pvp",Inputs!$B$43&gt;0),MIN(15,Inputs!$B$43)/(Inputs!$B$43),0))),0)))&gt;=100),MIN(100,((Inputs!$B$9+((C2160=TRUE)*(F2160-Calc!F19))+B2172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2179)&lt;=0,1,MAX(0,IF(Inputs!$B$38="pvp",15,Inputs!$B$43)-MAX(5,B2179))/(IF(Inputs!$B$38="pvp",15,Inputs!$B$43)-(B2179))))*IF(AND(ArtifactsInput!$M$42,((Inputs!$B$9+((C2160=TRUE)*(F2160-Calc!F19))+B2172+(ArtifactsInput!$M$24-ArtifactsInput!$M$24)*CHOOSE(ArtifactsInput!$N$24+1,10,12,14,16,18,20)+IF(ArtifactsInput!$M$10,CHOOSE(ArtifactsInput!$N$10+1,15,18,21,24,27,30)*(IF(Inputs!$B$38="pvp",MIN(15,15)/15,IF(AND(Inputs!$B$38&lt;&gt;"pvp",Inputs!$B$43&gt;0),MIN(15,Inputs!$B$43)/(Inputs!$B$43),0))),0)))&gt;=100),CHOOSE(ArtifactsInput!$N$42+1,40,48,56,64,72,80),0))))/100)*((1+(((C2158=TRUE)*F2158*5/7)+((C2165=TRUE)*(F2165-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2144)</f>
        <v/>
      </c>
      <c r="L2144">
        <f>K2144*(MIN(Inputs!$B$22+((C2163=TRUE)*(F2163-Calc!F22)),(Inputs!$B$23+0+(IF(ArtifactsInput!$M$15,CHOOSE(ArtifactsInput!$N$15+1,25,30,35,40,45,50)/100*(Inputs!$B$11-Inputs!$B$11),0))))/100+(Inputs!$B$23+0+(IF(ArtifactsInput!$M$15,CHOOSE(ArtifactsInput!$N$15+1,25,30,35,40,45,50)/100*(Inputs!$B$11-Inputs!$B$11),0)))/100)/2</f>
        <v/>
      </c>
      <c r="M2144">
        <f>L2144*(1+(Inputs!$B$10+((C2166=TRUE)*(F2166-Calc!F25))+B2177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44">
        <f>L2144*(1-MIN((Inputs!$B$9+((C2160=TRUE)*(F2160-Calc!F19))+B2172+(ArtifactsInput!$M$24-ArtifactsInput!$M$24)*CHOOSE(ArtifactsInput!$N$24+1,10,12,14,16,18,20)+(IF(AND(Inputs!$B$38&lt;&gt;"pvp",Inputs!$B$43=0),1,IF(IF(Inputs!$B$38="pvp",15,Inputs!$B$43)-(B2179)&lt;=0,1,MAX(0,IF(Inputs!$B$38="pvp",15,Inputs!$B$43)-MAX(5,B2179))/(IF(Inputs!$B$38="pvp",15,Inputs!$B$43)-(B2179))))*IF(AND(ArtifactsInput!$M$42,((Inputs!$B$9+((C2160=TRUE)*(F2160-Calc!F19))+B2172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2144*(MIN((Inputs!$B$9+((C2160=TRUE)*(F2160-Calc!F19))+B2172+(ArtifactsInput!$M$24-ArtifactsInput!$M$24)*CHOOSE(ArtifactsInput!$N$24+1,10,12,14,16,18,20)+(IF(AND(Inputs!$B$38&lt;&gt;"pvp",Inputs!$B$43=0),1,IF(IF(Inputs!$B$38="pvp",15,Inputs!$B$43)-(B2179)&lt;=0,1,MAX(0,IF(Inputs!$B$38="pvp",15,Inputs!$B$43)-MAX(5,B2179))/(IF(Inputs!$B$38="pvp",15,Inputs!$B$43)-(B2179))))*IF(AND(ArtifactsInput!$M$42,((Inputs!$B$9+((C2160=TRUE)*(F2160-Calc!F19))+B2172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44">
        <f>(1-Summary!$B$11)*T2144+Summary!$B$11*V2144</f>
        <v/>
      </c>
      <c r="P2144">
        <f>IF(B2182=0,0,O2144/B2182)</f>
        <v/>
      </c>
      <c r="Q2144">
        <f>IFERROR(1/(IF(Inputs!$B$38="pvp",15,MAX(0.1,Skills!D3-IF(TRUE=TRUE,Inputs!$B$32,0)))*(1-IF(AND(ArtifactsInput!$M$27,Inputs!$B$4="Chapter Hunt"),CHOOSE(ArtifactsInput!$N$27+1,20,24,28,32,36,40),0)/100)),0)</f>
        <v/>
      </c>
      <c r="R2144">
        <f>IF(AND(Inputs!$B$38&lt;&gt;"pvp",Inputs!$B$43&gt;0),IF(MAX(0,Inputs!$B$43-B2179)&lt;=0,0,(INT(MAX(0,Inputs!$B$43-B2179)/(IF(Inputs!$B$38="pvp",15,MAX(0.1,Skills!D3-IF(TRUE=TRUE,Inputs!$B$32,0)))*(1-IF(AND(ArtifactsInput!$M$27,Inputs!$B$4="Chapter Hunt"),CHOOSE(ArtifactsInput!$N$27+1,20,24,28,32,36,40),0)/100)))+1)),0)</f>
        <v/>
      </c>
      <c r="S2144">
        <f>IFERROR(O2144/N2144,0)</f>
        <v/>
      </c>
      <c r="T2144">
        <f>IF(C2144,(H2144*N2144*IF(AND(Inputs!$B$38&lt;&gt;"pvp",Inputs!$B$43&gt;0),((Skills!G3*((R2144-1)*IF(Skills!H3&gt;0,INT(Skills!I3/Skills!H3+0.000000001),1)+IF(Skills!H3&gt;0,INT(MIN(Skills!I3,MAX(0,MAX(0,Inputs!$B$43-B2179)-((R2144-1)*(IF(Inputs!$B$38="pvp",15,MAX(0.1,Skills!D3-IF(TRUE=TRUE,Inputs!$B$32,0)))*(1-IF(AND(ArtifactsInput!$M$27,Inputs!$B$4="Chapter Hunt"),CHOOSE(ArtifactsInput!$N$27+1,20,24,28,32,36,40),0)/100)))))/Skills!H3+0.000000001),1)))/Inputs!$B$43),G2144*Q2144))*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Hunt"),CHOOSE(ArtifactsInput!$N$35+1,15,18,21,24,27,30)*(1-EXP(-(0.2*B2174)*5)),0)+IF(AND(ArtifactsInput!$M$22,Inputs!$B$4&lt;&gt;"Chapter Hunt"),CHOOSE(ArtifactsInput!$N$22+1,10,12,14,16,18,20)*((0*(((0.15*B2174*5))^0/1)+1*(((0.15*B2174*5))^1/1)+2*(((0.15*B2174*5))^2/2)+3*(((0.15*B2174*5))^3/6)+4*(((0.15*B2174*5))^4/24)+5*(((0.15*B2174*5))^5/120))/((((0.15*B2174*5))^0/1)+(((0.15*B2174*5))^1/1)+(((0.15*B2174*5))^2/2)+(((0.15*B2174*5))^3/6)+(((0.15*B2174*5))^4/24)+(((0.15*B2174*5))^5/120))),0))+IF(Inputs!$B$3&gt;=54,9*(C2144=TRUE)*MIN(1,8*(1+Inputs!$B$34/100)*Q2144)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2144*(1-MIN(100,(Inputs!$B$9+((C2160=TRUE)*(F2160-Calc!F19))+B2172+(ArtifactsInput!$M$24-ArtifactsInput!$M$24)*CHOOSE(ArtifactsInput!$N$24+1,10,12,14,16,18,20)+(IF(AND(Inputs!$B$38&lt;&gt;"pvp",Inputs!$B$43=0),1,IF(IF(Inputs!$B$38="pvp",15,Inputs!$B$43)-(B2179)&lt;=0,1,MAX(0,IF(Inputs!$B$38="pvp",15,Inputs!$B$43)-MAX(5,B2179))/(IF(Inputs!$B$38="pvp",15,Inputs!$B$43)-(B2179))))*IF(AND(ArtifactsInput!$M$42,((Inputs!$B$9+((C2160=TRUE)*(F2160-Calc!F19))+B2172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2144*(MIN(100,(Inputs!$B$9+((C2160=TRUE)*(F2160-Calc!F19))+B2172+(ArtifactsInput!$M$24-ArtifactsInput!$M$24)*CHOOSE(ArtifactsInput!$N$24+1,10,12,14,16,18,20)+(IF(AND(Inputs!$B$38&lt;&gt;"pvp",Inputs!$B$43=0),1,IF(IF(Inputs!$B$38="pvp",15,Inputs!$B$43)-(B2179)&lt;=0,1,MAX(0,IF(Inputs!$B$38="pvp",15,Inputs!$B$43)-MAX(5,B2179))/(IF(Inputs!$B$38="pvp",15,Inputs!$B$43)-(B2179))))*IF(AND(ArtifactsInput!$M$42,((Inputs!$B$9+((C2160=TRUE)*(F2160-Calc!F19))+B2172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2144*(1-MIN(100,(Inputs!$B$9+((C2160=TRUE)*(F2160-Calc!F19))+B2172+(ArtifactsInput!$M$24-ArtifactsInput!$M$24)*CHOOSE(ArtifactsInput!$N$24+1,10,12,14,16,18,20)+(IF(AND(Inputs!$B$38&lt;&gt;"pvp",Inputs!$B$43=0),1,IF(IF(Inputs!$B$38="pvp",15,Inputs!$B$43)-(B2179)&lt;=0,1,MAX(0,IF(Inputs!$B$38="pvp",15,Inputs!$B$43)-MAX(5,B2179))/(IF(Inputs!$B$38="pvp",15,Inputs!$B$43)-(B2179))))*IF(AND(ArtifactsInput!$M$42,((Inputs!$B$9+((C2160=TRUE)*(F2160-Calc!F19))+B2172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2144*(MIN(100,(Inputs!$B$9+((C2160=TRUE)*(F2160-Calc!F19))+B2172+(ArtifactsInput!$M$24-ArtifactsInput!$M$24)*CHOOSE(ArtifactsInput!$N$24+1,10,12,14,16,18,20)+(IF(AND(Inputs!$B$38&lt;&gt;"pvp",Inputs!$B$43=0),1,IF(IF(Inputs!$B$38="pvp",15,Inputs!$B$43)-(B2179)&lt;=0,1,MAX(0,IF(Inputs!$B$38="pvp",15,Inputs!$B$43)-MAX(5,B2179))/(IF(Inputs!$B$38="pvp",15,Inputs!$B$43)-(B2179))))*IF(AND(ArtifactsInput!$M$42,((Inputs!$B$9+((C2160=TRUE)*(F2160-Calc!F19))+B2172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IF(ArtifactsInput!$M$26,FALSE,TRUE),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144">
        <f>INDEX(FactorTable!$B$2:$Y$301, MATCH(ROUND(MIN(300,MAX(1,U2143)),0), FactorTable!$A$2:$A$301,0), 22)</f>
        <v/>
      </c>
      <c r="V2144">
        <f>IF(C2144,(H2144*N2144*IF(AND(Inputs!$B$38&lt;&gt;"pvp",Inputs!$B$43&gt;0),((Skills!G3*((R2144-1)*IF(Skills!H3&gt;0,INT(Skills!I3/Skills!H3+0.000000001),1)+IF(Skills!H3&gt;0,INT(MIN(Skills!I3,MAX(0,MAX(0,Inputs!$B$43-B2179)-((R2144-1)*(IF(Inputs!$B$38="pvp",15,MAX(0.1,Skills!D3-IF(TRUE=TRUE,Inputs!$B$32,0)))*(1-IF(AND(ArtifactsInput!$M$27,Inputs!$B$4="Chapter Hunt"),CHOOSE(ArtifactsInput!$N$27+1,20,24,28,32,36,40),0)/100)))))/Skills!H3+0.000000001),1)))/Inputs!$B$43),G2144*Q2144))*IF(Inputs!$B$38="pvp",1,(1+(Inputs!$B$21+Skills!Q3+(IF(ArtifactsInput!$M$33,CHOOSE(ArtifactsInput!$N$33+1,30,36,42,48,54,60),0))+(IF(AND(ArtifactsInput!$M$35,Inputs!$B$4&lt;&gt;"Chapter Hunt"),CHOOSE(ArtifactsInput!$N$35+1,15,18,21,24,27,30)*(1-EXP(-(0.2*B2174)*5)),0)+IF(AND(ArtifactsInput!$M$22,Inputs!$B$4&lt;&gt;"Chapter Hunt"),CHOOSE(ArtifactsInput!$N$22+1,10,12,14,16,18,20)*((0*(((0.15*B2174*5))^0/1)+1*(((0.15*B2174*5))^1/1)+2*(((0.15*B2174*5))^2/2)+3*(((0.15*B2174*5))^3/6)+4*(((0.15*B2174*5))^4/24)+5*(((0.15*B2174*5))^5/120))/((((0.15*B2174*5))^0/1)+(((0.15*B2174*5))^1/1)+(((0.15*B2174*5))^2/2)+(((0.15*B2174*5))^3/6)+(((0.15*B2174*5))^4/24)+(((0.15*B2174*5))^5/120))),0))+IF(Inputs!$B$3&gt;=54,9*(C2144=TRUE)*MIN(1,8*(1+Inputs!$B$34/100)*Q2144),0))/100)*(MIN(Skills!R3,Inputs!$B$37)))*((1+(IF(AND(ArtifactsInput!$M$41,Inputs!$B$38&lt;&gt;"pvp"),CHOOSE(ArtifactsInput!$N$41+1,5,6,7,8,9,10)*IF(OR(Inputs!$B$4="Weapon Dungeon",Inputs!$B$4="Equipment Dungeon",Inputs!$B$4="Enhancement Dungeon",Inputs!$B$4="EXP Dungeon",Inputs!$B$4="Hero Dungeon"),3,1),0)+IF(IF(ArtifactsInput!$M$26,FALSE,TRUE),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45">
      <c r="A2145">
        <f>Skills!A4</f>
        <v/>
      </c>
      <c r="B2145">
        <f>Skills!B4</f>
        <v/>
      </c>
      <c r="C2145">
        <f>Inputs!$B$3&gt;=35</f>
        <v/>
      </c>
      <c r="D2145">
        <f>IF(Skills!C4=1,60+Inputs!$B$25+Inputs!$B$29,IF(Skills!C4=2,90+Inputs!$B$26+Inputs!$B$29,IF(Skills!C4=3,120+Inputs!$B$27+Inputs!$B$29,MAX(0,(Inputs!$B$3-100)*3)+Inputs!$B$28+Inputs!$B$29)))</f>
        <v/>
      </c>
      <c r="E2145">
        <f>INDEX(FactorTable!$B$2:$Y$301, MATCH(ROUND(MIN(300,MAX(1,D2145)),0), FactorTable!$A$2:$A$301,0), Skills!M4+1)</f>
        <v/>
      </c>
      <c r="F2145">
        <f>IF(Skills!N4=TRUE,(Skills!L4/10)*(E2145/1000),Skills!L4/10)+Skills!O4</f>
        <v/>
      </c>
      <c r="G2145">
        <f>Skills!G4*IF(Skills!H4&gt;0,INT(IF(Inputs!$B$38="pvp",MIN(IF(Inputs!$B$3&gt;=104,MIN(35,20*(1+Inputs!$B$34/100)),20),15),IF(Inputs!$B$3&gt;=104,MIN(35,20*(1+Inputs!$B$34/100)),20))/Skills!H4+0.000000001),1)</f>
        <v/>
      </c>
      <c r="H2145">
        <f>1-(1-Skills!J4/100)^Skills!K4</f>
        <v/>
      </c>
      <c r="I2145" t="inlineStr">
        <is>
          <t>1</t>
        </is>
      </c>
      <c r="J2145">
        <f>((Inputs!$B$6*(1+Inputs!$B$7/100))+(((Inputs!$B$12*(1+Inputs!$B$13/100))-(Inputs!$B$12*(1+Inputs!$B$13/100)))+0.25*(Inputs!$B$14-Inputs!$B$14))*(1+Inputs!$B$7/100))*(F2145/100)</f>
        <v/>
      </c>
      <c r="K2145">
        <f>J2145*(1+((Inputs!$B$12*(1+Inputs!$B$13/100))*0.01+Inputs!$B$14*0.0025)/100)*(1+Inputs!$B$15/100)*(1+Inputs!$B$16/100)*(5000/(6000+Inputs!$B$42*(1-(100*(1-(1-(Inputs!$B$19+0)/100)*(1-CHOOSE(ArtifactsInput!$N$40+1,5,6,7,8,9,10)/100)^(ArtifactsInput!$M$40-ArtifactsInput!$M$40)))/100)))*(1+(Inputs!$B$24+((C2167=TRUE)*(F2167-Calc!F26))+B2178)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2157=TRUE,F2157,0)/100)*(1+(IF(Skills!A4="EIGHT_LEGS_EASTON",Inputs!$B$17+((C2164=TRUE)*(F2164-Calc!F23))+((C2168=TRUE)*(F2168-Calc!F27))+((IF(AND(Inputs!$B$38&lt;&gt;"pvp",Inputs!$B$43=0),1,IF(IF(Inputs!$B$38="pvp",15,Inputs!$B$43)-(B2179)&lt;=0,1,MAX(0,IF(Inputs!$B$38="pvp",15,Inputs!$B$43)-MAX(5,B2179))/(IF(Inputs!$B$38="pvp",15,Inputs!$B$43)-(B2179))))*(IF(AND(ArtifactsInput!$M$42,((Inputs!$B$9+((C2160=TRUE)*(F2160-Calc!F19))+B2172+(ArtifactsInput!$M$24-ArtifactsInput!$M$24)*CHOOSE(ArtifactsInput!$N$24+1,10,12,14,16,18,20)+IF(ArtifactsInput!$M$10,CHOOSE(ArtifactsInput!$N$10+1,15,18,21,24,27,30)*(IF(Inputs!$B$38="pvp",MIN(15,15)/15,IF(AND(Inputs!$B$38&lt;&gt;"pvp",Inputs!$B$43&gt;0),MIN(15,Inputs!$B$43)/(Inputs!$B$43),0))),0)))&gt;=100),MIN(100,((Inputs!$B$9+((C2160=TRUE)*(F2160-Calc!F19))+B2172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2179)&lt;=0,1,MAX(0,IF(Inputs!$B$38="pvp",15,Inputs!$B$43)-MAX(5,B2179))/(IF(Inputs!$B$38="pvp",15,Inputs!$B$43)-(B2179))))*IF(AND(ArtifactsInput!$M$42,((Inputs!$B$9+((C2160=TRUE)*(F2160-Calc!F19))+B2172+(ArtifactsInput!$M$24-ArtifactsInput!$M$24)*CHOOSE(ArtifactsInput!$N$24+1,10,12,14,16,18,20)+IF(ArtifactsInput!$M$10,CHOOSE(ArtifactsInput!$N$10+1,15,18,21,24,27,30)*(IF(Inputs!$B$38="pvp",MIN(15,15)/15,IF(AND(Inputs!$B$38&lt;&gt;"pvp",Inputs!$B$43&gt;0),MIN(15,Inputs!$B$43)/(Inputs!$B$43),0))),0)))&gt;=100),CHOOSE(ArtifactsInput!$N$42+1,40,48,56,64,72,80),0))))/100)*((1+(((C2158=TRUE)*F2158*5/7)+((C2165=TRUE)*(F2165-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2145)</f>
        <v/>
      </c>
      <c r="L2145">
        <f>K2145*(MIN(Inputs!$B$22+((C2163=TRUE)*(F2163-Calc!F22)),(Inputs!$B$23+0+(IF(ArtifactsInput!$M$15,CHOOSE(ArtifactsInput!$N$15+1,25,30,35,40,45,50)/100*(Inputs!$B$11-Inputs!$B$11),0))))/100+(Inputs!$B$23+0+(IF(ArtifactsInput!$M$15,CHOOSE(ArtifactsInput!$N$15+1,25,30,35,40,45,50)/100*(Inputs!$B$11-Inputs!$B$11),0)))/100)/2</f>
        <v/>
      </c>
      <c r="M2145">
        <f>L2145*(1+(Inputs!$B$10+((C2166=TRUE)*(F2166-Calc!F25))+B2177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45">
        <f>L2145*(1-MIN((Inputs!$B$9+((C2160=TRUE)*(F2160-Calc!F19))+B2172+(ArtifactsInput!$M$24-ArtifactsInput!$M$24)*CHOOSE(ArtifactsInput!$N$24+1,10,12,14,16,18,20)+(IF(AND(Inputs!$B$38&lt;&gt;"pvp",Inputs!$B$43=0),1,IF(IF(Inputs!$B$38="pvp",15,Inputs!$B$43)-(B2179)&lt;=0,1,MAX(0,IF(Inputs!$B$38="pvp",15,Inputs!$B$43)-MAX(5,B2179))/(IF(Inputs!$B$38="pvp",15,Inputs!$B$43)-(B2179))))*IF(AND(ArtifactsInput!$M$42,((Inputs!$B$9+((C2160=TRUE)*(F2160-Calc!F19))+B2172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2145*(MIN((Inputs!$B$9+((C2160=TRUE)*(F2160-Calc!F19))+B2172+(ArtifactsInput!$M$24-ArtifactsInput!$M$24)*CHOOSE(ArtifactsInput!$N$24+1,10,12,14,16,18,20)+(IF(AND(Inputs!$B$38&lt;&gt;"pvp",Inputs!$B$43=0),1,IF(IF(Inputs!$B$38="pvp",15,Inputs!$B$43)-(B2179)&lt;=0,1,MAX(0,IF(Inputs!$B$38="pvp",15,Inputs!$B$43)-MAX(5,B2179))/(IF(Inputs!$B$38="pvp",15,Inputs!$B$43)-(B2179))))*IF(AND(ArtifactsInput!$M$42,((Inputs!$B$9+((C2160=TRUE)*(F2160-Calc!F19))+B2172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45">
        <f>(1-Summary!$B$11)*T2145+Summary!$B$11*V2145</f>
        <v/>
      </c>
      <c r="P2145">
        <f>IF(B2182=0,0,O2145/B2182)</f>
        <v/>
      </c>
      <c r="Q2145">
        <f>IFERROR(1/(IF(Inputs!$B$38="pvp",15,MAX(0.1,Skills!D4-IF(TRUE=TRUE,Inputs!$B$32,0)))*(1-IF(AND(ArtifactsInput!$M$27,Inputs!$B$4="Chapter Hunt"),CHOOSE(ArtifactsInput!$N$27+1,20,24,28,32,36,40),0)/100)),0)</f>
        <v/>
      </c>
      <c r="R2145">
        <f>IF(AND(Inputs!$B$38&lt;&gt;"pvp",Inputs!$B$43&gt;0),IF(MAX(0,Inputs!$B$43-B2179)&lt;=0,0,(INT(MAX(0,Inputs!$B$43-B2179)/(IF(Inputs!$B$38="pvp",15,MAX(0.1,Skills!D4-IF(TRUE=TRUE,Inputs!$B$32,0)))*(1-IF(AND(ArtifactsInput!$M$27,Inputs!$B$4="Chapter Hunt"),CHOOSE(ArtifactsInput!$N$27+1,20,24,28,32,36,40),0)/100)))+1)),0)</f>
        <v/>
      </c>
      <c r="S2145">
        <f>IFERROR(O2145/N2145,0)</f>
        <v/>
      </c>
      <c r="T2145">
        <f>IF(C2145,(H2145*N2145*IF(AND(Inputs!$B$38&lt;&gt;"pvp",Inputs!$B$43&gt;0),((Skills!G4*((R2145-1)*IF(Skills!H4&gt;0,INT(IF(Inputs!$B$3&gt;=104,MIN(35,20*(1+Inputs!$B$34/100)),20)/Skills!H4+0.000000001),1)+IF(Skills!H4&gt;0,INT(MIN(IF(Inputs!$B$3&gt;=104,MIN(35,20*(1+Inputs!$B$34/100)),20),MAX(0,MAX(0,Inputs!$B$43-B2179)-((R2145-1)*(IF(Inputs!$B$38="pvp",15,MAX(0.1,Skills!D4-IF(TRUE=TRUE,Inputs!$B$32,0)))*(1-IF(AND(ArtifactsInput!$M$27,Inputs!$B$4="Chapter Hunt"),CHOOSE(ArtifactsInput!$N$27+1,20,24,28,32,36,40),0)/100)))))/Skills!H4+0.000000001),1)))/Inputs!$B$43),G2145*Q2145))*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Hunt"),CHOOSE(ArtifactsInput!$N$35+1,15,18,21,24,27,30)*(1-EXP(-(0.2*B2174)*5)),0)+IF(AND(ArtifactsInput!$M$22,Inputs!$B$4&lt;&gt;"Chapter Hunt"),CHOOSE(ArtifactsInput!$N$22+1,10,12,14,16,18,20)*((0*(((0.15*B2174*5))^0/1)+1*(((0.15*B2174*5))^1/1)+2*(((0.15*B2174*5))^2/2)+3*(((0.15*B2174*5))^3/6)+4*(((0.15*B2174*5))^4/24)+5*(((0.15*B2174*5))^5/120))/((((0.15*B2174*5))^0/1)+(((0.15*B2174*5))^1/1)+(((0.15*B2174*5))^2/2)+(((0.15*B2174*5))^3/6)+(((0.15*B2174*5))^4/24)+(((0.15*B2174*5))^5/120))),0))+IF(Inputs!$B$3&gt;=54,9*(C2144=TRUE)*MIN(1,8*(1+Inputs!$B$34/100)*Q2144)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2145*(1-MIN(100,(Inputs!$B$9+((C2160=TRUE)*(F2160-Calc!F19))+B2172+(ArtifactsInput!$M$24-ArtifactsInput!$M$24)*CHOOSE(ArtifactsInput!$N$24+1,10,12,14,16,18,20)+(IF(AND(Inputs!$B$38&lt;&gt;"pvp",Inputs!$B$43=0),1,IF(IF(Inputs!$B$38="pvp",15,Inputs!$B$43)-(B2179)&lt;=0,1,MAX(0,IF(Inputs!$B$38="pvp",15,Inputs!$B$43)-MAX(5,B2179))/(IF(Inputs!$B$38="pvp",15,Inputs!$B$43)-(B2179))))*IF(AND(ArtifactsInput!$M$42,((Inputs!$B$9+((C2160=TRUE)*(F2160-Calc!F19))+B2172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2145*(MIN(100,(Inputs!$B$9+((C2160=TRUE)*(F2160-Calc!F19))+B2172+(ArtifactsInput!$M$24-ArtifactsInput!$M$24)*CHOOSE(ArtifactsInput!$N$24+1,10,12,14,16,18,20)+(IF(AND(Inputs!$B$38&lt;&gt;"pvp",Inputs!$B$43=0),1,IF(IF(Inputs!$B$38="pvp",15,Inputs!$B$43)-(B2179)&lt;=0,1,MAX(0,IF(Inputs!$B$38="pvp",15,Inputs!$B$43)-MAX(5,B2179))/(IF(Inputs!$B$38="pvp",15,Inputs!$B$43)-(B2179))))*IF(AND(ArtifactsInput!$M$42,((Inputs!$B$9+((C2160=TRUE)*(F2160-Calc!F19))+B2172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2145*(1-MIN(100,(Inputs!$B$9+((C2160=TRUE)*(F2160-Calc!F19))+B2172+(ArtifactsInput!$M$24-ArtifactsInput!$M$24)*CHOOSE(ArtifactsInput!$N$24+1,10,12,14,16,18,20)+(IF(AND(Inputs!$B$38&lt;&gt;"pvp",Inputs!$B$43=0),1,IF(IF(Inputs!$B$38="pvp",15,Inputs!$B$43)-(B2179)&lt;=0,1,MAX(0,IF(Inputs!$B$38="pvp",15,Inputs!$B$43)-MAX(5,B2179))/(IF(Inputs!$B$38="pvp",15,Inputs!$B$43)-(B2179))))*IF(AND(ArtifactsInput!$M$42,((Inputs!$B$9+((C2160=TRUE)*(F2160-Calc!F19))+B2172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2145*(MIN(100,(Inputs!$B$9+((C2160=TRUE)*(F2160-Calc!F19))+B2172+(ArtifactsInput!$M$24-ArtifactsInput!$M$24)*CHOOSE(ArtifactsInput!$N$24+1,10,12,14,16,18,20)+(IF(AND(Inputs!$B$38&lt;&gt;"pvp",Inputs!$B$43=0),1,IF(IF(Inputs!$B$38="pvp",15,Inputs!$B$43)-(B2179)&lt;=0,1,MAX(0,IF(Inputs!$B$38="pvp",15,Inputs!$B$43)-MAX(5,B2179))/(IF(Inputs!$B$38="pvp",15,Inputs!$B$43)-(B2179))))*IF(AND(ArtifactsInput!$M$42,((Inputs!$B$9+((C2160=TRUE)*(F2160-Calc!F19))+B2172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IF(ArtifactsInput!$M$26,FALSE,TRUE),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145">
        <f>290*U2144/1000</f>
        <v/>
      </c>
      <c r="V2145">
        <f>IF(C2145,(H2145*N2145*IF(AND(Inputs!$B$38&lt;&gt;"pvp",Inputs!$B$43&gt;0),((Skills!G4*((R2145-1)*IF(Skills!H4&gt;0,INT(IF(Inputs!$B$3&gt;=104,MIN(35,20*(1+Inputs!$B$34/100)),20)/Skills!H4+0.000000001),1)+IF(Skills!H4&gt;0,INT(MIN(IF(Inputs!$B$3&gt;=104,MIN(35,20*(1+Inputs!$B$34/100)),20),MAX(0,MAX(0,Inputs!$B$43-B2179)-((R2145-1)*(IF(Inputs!$B$38="pvp",15,MAX(0.1,Skills!D4-IF(TRUE=TRUE,Inputs!$B$32,0)))*(1-IF(AND(ArtifactsInput!$M$27,Inputs!$B$4="Chapter Hunt"),CHOOSE(ArtifactsInput!$N$27+1,20,24,28,32,36,40),0)/100)))))/Skills!H4+0.000000001),1)))/Inputs!$B$43),G2145*Q2145))*IF(Inputs!$B$38="pvp",1,(1+(Inputs!$B$21+Skills!Q4+(IF(ArtifactsInput!$M$33,CHOOSE(ArtifactsInput!$N$33+1,30,36,42,48,54,60),0))+(IF(AND(ArtifactsInput!$M$35,Inputs!$B$4&lt;&gt;"Chapter Hunt"),CHOOSE(ArtifactsInput!$N$35+1,15,18,21,24,27,30)*(1-EXP(-(0.2*B2174)*5)),0)+IF(AND(ArtifactsInput!$M$22,Inputs!$B$4&lt;&gt;"Chapter Hunt"),CHOOSE(ArtifactsInput!$N$22+1,10,12,14,16,18,20)*((0*(((0.15*B2174*5))^0/1)+1*(((0.15*B2174*5))^1/1)+2*(((0.15*B2174*5))^2/2)+3*(((0.15*B2174*5))^3/6)+4*(((0.15*B2174*5))^4/24)+5*(((0.15*B2174*5))^5/120))/((((0.15*B2174*5))^0/1)+(((0.15*B2174*5))^1/1)+(((0.15*B2174*5))^2/2)+(((0.15*B2174*5))^3/6)+(((0.15*B2174*5))^4/24)+(((0.15*B2174*5))^5/120))),0))+IF(Inputs!$B$3&gt;=54,9*(C2144=TRUE)*MIN(1,8*(1+Inputs!$B$34/100)*Q2144),0))/100)*(MIN(Skills!R4,Inputs!$B$37)))*((1+(IF(AND(ArtifactsInput!$M$41,Inputs!$B$38&lt;&gt;"pvp"),CHOOSE(ArtifactsInput!$N$41+1,5,6,7,8,9,10)*IF(OR(Inputs!$B$4="Weapon Dungeon",Inputs!$B$4="Equipment Dungeon",Inputs!$B$4="Enhancement Dungeon",Inputs!$B$4="EXP Dungeon",Inputs!$B$4="Hero Dungeon"),3,1),0)+IF(IF(ArtifactsInput!$M$26,FALSE,TRUE),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46">
      <c r="A2146">
        <f>Skills!A5</f>
        <v/>
      </c>
      <c r="B2146">
        <f>Skills!B5</f>
        <v/>
      </c>
      <c r="C2146">
        <f>Inputs!$B$3&gt;=69</f>
        <v/>
      </c>
      <c r="D2146">
        <f>IF(Skills!C5=1,60+Inputs!$B$25+Inputs!$B$29,IF(Skills!C5=2,90+Inputs!$B$26+Inputs!$B$29,IF(Skills!C5=3,120+Inputs!$B$27+Inputs!$B$29,MAX(0,(Inputs!$B$3-100)*3)+Inputs!$B$28+Inputs!$B$29)))</f>
        <v/>
      </c>
      <c r="E2146">
        <f>INDEX(FactorTable!$B$2:$Y$301, MATCH(ROUND(MIN(300,MAX(1,D2146)),0), FactorTable!$A$2:$A$301,0), Skills!M5+1)</f>
        <v/>
      </c>
      <c r="F2146">
        <f>IF(Skills!N5=TRUE,(Skills!L5/10)*(E2146/1000),Skills!L5/10)+Skills!O5</f>
        <v/>
      </c>
      <c r="G2146">
        <f>Skills!G5*IF(Skills!H5&gt;0,INT(IF(Inputs!$B$38="pvp",MIN(IF(Inputs!$B$3&gt;=104,MIN(35,20*(1+Inputs!$B$34/100)),20),15),IF(Inputs!$B$3&gt;=104,MIN(35,20*(1+Inputs!$B$34/100)),20))/Skills!H5+0.000000001),1)</f>
        <v/>
      </c>
      <c r="H2146">
        <f>1-(1-Skills!J5/100)^Skills!K5</f>
        <v/>
      </c>
      <c r="I2146" t="inlineStr">
        <is>
          <t>1</t>
        </is>
      </c>
      <c r="J2146">
        <f>((Inputs!$B$6*(1+Inputs!$B$7/100))+(((Inputs!$B$12*(1+Inputs!$B$13/100))-(Inputs!$B$12*(1+Inputs!$B$13/100)))+0.25*(Inputs!$B$14-Inputs!$B$14))*(1+Inputs!$B$7/100))*(F2146/100)</f>
        <v/>
      </c>
      <c r="K2146">
        <f>J2146*(1+((Inputs!$B$12*(1+Inputs!$B$13/100))*0.01+Inputs!$B$14*0.0025)/100)*(1+Inputs!$B$15/100)*(1+Inputs!$B$16/100)*(5000/(6000+Inputs!$B$42*(1-(100*(1-(1-(Inputs!$B$19+0)/100)*(1-CHOOSE(ArtifactsInput!$N$40+1,5,6,7,8,9,10)/100)^(ArtifactsInput!$M$40-ArtifactsInput!$M$40)))/100)))*(1+(Inputs!$B$24+((C2167=TRUE)*(F2167-Calc!F26))+B2178)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+0.4*IF(C2157=TRUE,F2157,0)/100)*(1+(IF(Skills!A5="EIGHT_LEGS_EASTON",Inputs!$B$17+((C2164=TRUE)*(F2164-Calc!F23))+((C2168=TRUE)*(F2168-Calc!F27))+((IF(AND(Inputs!$B$38&lt;&gt;"pvp",Inputs!$B$43=0),1,IF(IF(Inputs!$B$38="pvp",15,Inputs!$B$43)-(B2179)&lt;=0,1,MAX(0,IF(Inputs!$B$38="pvp",15,Inputs!$B$43)-MAX(5,B2179))/(IF(Inputs!$B$38="pvp",15,Inputs!$B$43)-(B2179))))*(IF(AND(ArtifactsInput!$M$42,((Inputs!$B$9+((C2160=TRUE)*(F2160-Calc!F19))+B2172+(ArtifactsInput!$M$24-ArtifactsInput!$M$24)*CHOOSE(ArtifactsInput!$N$24+1,10,12,14,16,18,20)+IF(ArtifactsInput!$M$10,CHOOSE(ArtifactsInput!$N$10+1,15,18,21,24,27,30)*(IF(Inputs!$B$38="pvp",MIN(15,15)/15,IF(AND(Inputs!$B$38&lt;&gt;"pvp",Inputs!$B$43&gt;0),MIN(15,Inputs!$B$43)/(Inputs!$B$43),0))),0)))&gt;=100),MIN(100,((Inputs!$B$9+((C2160=TRUE)*(F2160-Calc!F19))+B2172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2179)&lt;=0,1,MAX(0,IF(Inputs!$B$38="pvp",15,Inputs!$B$43)-MAX(5,B2179))/(IF(Inputs!$B$38="pvp",15,Inputs!$B$43)-(B2179))))*IF(AND(ArtifactsInput!$M$42,((Inputs!$B$9+((C2160=TRUE)*(F2160-Calc!F19))+B2172+(ArtifactsInput!$M$24-ArtifactsInput!$M$24)*CHOOSE(ArtifactsInput!$N$24+1,10,12,14,16,18,20)+IF(ArtifactsInput!$M$10,CHOOSE(ArtifactsInput!$N$10+1,15,18,21,24,27,30)*(IF(Inputs!$B$38="pvp",MIN(15,15)/15,IF(AND(Inputs!$B$38&lt;&gt;"pvp",Inputs!$B$43&gt;0),MIN(15,Inputs!$B$43)/(Inputs!$B$43),0))),0)))&gt;=100),CHOOSE(ArtifactsInput!$N$42+1,40,48,56,64,72,80),0))))/100)*((1+(((C2158=TRUE)*F2158*5/7)+((C2165=TRUE)*(F2165-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2146)</f>
        <v/>
      </c>
      <c r="L2146">
        <f>K2146*(MIN(Inputs!$B$22+((C2163=TRUE)*(F2163-Calc!F22)),(Inputs!$B$23+0+(IF(ArtifactsInput!$M$15,CHOOSE(ArtifactsInput!$N$15+1,25,30,35,40,45,50)/100*(Inputs!$B$11-Inputs!$B$11),0))))/100+(Inputs!$B$23+0+(IF(ArtifactsInput!$M$15,CHOOSE(ArtifactsInput!$N$15+1,25,30,35,40,45,50)/100*(Inputs!$B$11-Inputs!$B$11),0)))/100)/2</f>
        <v/>
      </c>
      <c r="M2146">
        <f>L2146*(1+(Inputs!$B$10+((C2166=TRUE)*(F2166-Calc!F25))+B2177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46">
        <f>L2146*(1-MIN((Inputs!$B$9+((C2160=TRUE)*(F2160-Calc!F19))+B2172+(ArtifactsInput!$M$24-ArtifactsInput!$M$24)*CHOOSE(ArtifactsInput!$N$24+1,10,12,14,16,18,20)+(IF(AND(Inputs!$B$38&lt;&gt;"pvp",Inputs!$B$43=0),1,IF(IF(Inputs!$B$38="pvp",15,Inputs!$B$43)-(B2179)&lt;=0,1,MAX(0,IF(Inputs!$B$38="pvp",15,Inputs!$B$43)-MAX(5,B2179))/(IF(Inputs!$B$38="pvp",15,Inputs!$B$43)-(B2179))))*IF(AND(ArtifactsInput!$M$42,((Inputs!$B$9+((C2160=TRUE)*(F2160-Calc!F19))+B2172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2146*(MIN((Inputs!$B$9+((C2160=TRUE)*(F2160-Calc!F19))+B2172+(ArtifactsInput!$M$24-ArtifactsInput!$M$24)*CHOOSE(ArtifactsInput!$N$24+1,10,12,14,16,18,20)+(IF(AND(Inputs!$B$38&lt;&gt;"pvp",Inputs!$B$43=0),1,IF(IF(Inputs!$B$38="pvp",15,Inputs!$B$43)-(B2179)&lt;=0,1,MAX(0,IF(Inputs!$B$38="pvp",15,Inputs!$B$43)-MAX(5,B2179))/(IF(Inputs!$B$38="pvp",15,Inputs!$B$43)-(B2179))))*IF(AND(ArtifactsInput!$M$42,((Inputs!$B$9+((C2160=TRUE)*(F2160-Calc!F19))+B2172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46">
        <f>(1-Summary!$B$11)*T2146+Summary!$B$11*V2146</f>
        <v/>
      </c>
      <c r="P2146">
        <f>IF(B2182=0,0,O2146/B2182)</f>
        <v/>
      </c>
      <c r="Q2146">
        <f>IFERROR(1/(IF(Inputs!$B$38="pvp",15,MAX(0.1,Skills!D5-IF(TRUE=TRUE,Inputs!$B$32,0)))*(1-IF(AND(ArtifactsInput!$M$27,Inputs!$B$4="Chapter Hunt"),CHOOSE(ArtifactsInput!$N$27+1,20,24,28,32,36,40),0)/100)),0)</f>
        <v/>
      </c>
      <c r="R2146">
        <f>IF(AND(Inputs!$B$38&lt;&gt;"pvp",Inputs!$B$43&gt;0),IF(MAX(0,Inputs!$B$43-B2179)&lt;=0,0,(INT(MAX(0,Inputs!$B$43-B2179)/(IF(Inputs!$B$38="pvp",15,MAX(0.1,Skills!D5-IF(TRUE=TRUE,Inputs!$B$32,0)))*(1-IF(AND(ArtifactsInput!$M$27,Inputs!$B$4="Chapter Hunt"),CHOOSE(ArtifactsInput!$N$27+1,20,24,28,32,36,40),0)/100)))+1)),0)</f>
        <v/>
      </c>
      <c r="S2146">
        <f>IFERROR(O2146/N2146,0)</f>
        <v/>
      </c>
      <c r="T2146">
        <f>IF(C2146,(H2146*N2146*IF(AND(Inputs!$B$38&lt;&gt;"pvp",Inputs!$B$43&gt;0),((Skills!G5*((R2146-1)*IF(Skills!H5&gt;0,INT(IF(Inputs!$B$3&gt;=104,MIN(35,20*(1+Inputs!$B$34/100)),20)/Skills!H5+0.000000001),1)+IF(Skills!H5&gt;0,INT(MIN(IF(Inputs!$B$3&gt;=104,MIN(35,20*(1+Inputs!$B$34/100)),20),MAX(0,MAX(0,Inputs!$B$43-B2179)-((R2146-1)*(IF(Inputs!$B$38="pvp",15,MAX(0.1,Skills!D5-IF(TRUE=TRUE,Inputs!$B$32,0)))*(1-IF(AND(ArtifactsInput!$M$27,Inputs!$B$4="Chapter Hunt"),CHOOSE(ArtifactsInput!$N$27+1,20,24,28,32,36,40),0)/100)))))/Skills!H5+0.000000001),1)))/Inputs!$B$43),G2146*Q2146))*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Hunt"),CHOOSE(ArtifactsInput!$N$35+1,15,18,21,24,27,30)*(1-EXP(-(0.2*B2174)*5)),0)+IF(AND(ArtifactsInput!$M$22,Inputs!$B$4&lt;&gt;"Chapter Hunt"),CHOOSE(ArtifactsInput!$N$22+1,10,12,14,16,18,20)*((0*(((0.15*B2174*5))^0/1)+1*(((0.15*B2174*5))^1/1)+2*(((0.15*B2174*5))^2/2)+3*(((0.15*B2174*5))^3/6)+4*(((0.15*B2174*5))^4/24)+5*(((0.15*B2174*5))^5/120))/((((0.15*B2174*5))^0/1)+(((0.15*B2174*5))^1/1)+(((0.15*B2174*5))^2/2)+(((0.15*B2174*5))^3/6)+(((0.15*B2174*5))^4/24)+(((0.15*B2174*5))^5/120))),0))+IF(Inputs!$B$3&gt;=54,9*(C2144=TRUE)*MIN(1,8*(1+Inputs!$B$34/100)*Q2144)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2146*(1-MIN(100,(Inputs!$B$9+((C2160=TRUE)*(F2160-Calc!F19))+B2172+(ArtifactsInput!$M$24-ArtifactsInput!$M$24)*CHOOSE(ArtifactsInput!$N$24+1,10,12,14,16,18,20)+(IF(AND(Inputs!$B$38&lt;&gt;"pvp",Inputs!$B$43=0),1,IF(IF(Inputs!$B$38="pvp",15,Inputs!$B$43)-(B2179)&lt;=0,1,MAX(0,IF(Inputs!$B$38="pvp",15,Inputs!$B$43)-MAX(5,B2179))/(IF(Inputs!$B$38="pvp",15,Inputs!$B$43)-(B2179))))*IF(AND(ArtifactsInput!$M$42,((Inputs!$B$9+((C2160=TRUE)*(F2160-Calc!F19))+B2172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2146*(MIN(100,(Inputs!$B$9+((C2160=TRUE)*(F2160-Calc!F19))+B2172+(ArtifactsInput!$M$24-ArtifactsInput!$M$24)*CHOOSE(ArtifactsInput!$N$24+1,10,12,14,16,18,20)+(IF(AND(Inputs!$B$38&lt;&gt;"pvp",Inputs!$B$43=0),1,IF(IF(Inputs!$B$38="pvp",15,Inputs!$B$43)-(B2179)&lt;=0,1,MAX(0,IF(Inputs!$B$38="pvp",15,Inputs!$B$43)-MAX(5,B2179))/(IF(Inputs!$B$38="pvp",15,Inputs!$B$43)-(B2179))))*IF(AND(ArtifactsInput!$M$42,((Inputs!$B$9+((C2160=TRUE)*(F2160-Calc!F19))+B2172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2146*(1-MIN(100,(Inputs!$B$9+((C2160=TRUE)*(F2160-Calc!F19))+B2172+(ArtifactsInput!$M$24-ArtifactsInput!$M$24)*CHOOSE(ArtifactsInput!$N$24+1,10,12,14,16,18,20)+(IF(AND(Inputs!$B$38&lt;&gt;"pvp",Inputs!$B$43=0),1,IF(IF(Inputs!$B$38="pvp",15,Inputs!$B$43)-(B2179)&lt;=0,1,MAX(0,IF(Inputs!$B$38="pvp",15,Inputs!$B$43)-MAX(5,B2179))/(IF(Inputs!$B$38="pvp",15,Inputs!$B$43)-(B2179))))*IF(AND(ArtifactsInput!$M$42,((Inputs!$B$9+((C2160=TRUE)*(F2160-Calc!F19))+B2172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2146*(MIN(100,(Inputs!$B$9+((C2160=TRUE)*(F2160-Calc!F19))+B2172+(ArtifactsInput!$M$24-ArtifactsInput!$M$24)*CHOOSE(ArtifactsInput!$N$24+1,10,12,14,16,18,20)+(IF(AND(Inputs!$B$38&lt;&gt;"pvp",Inputs!$B$43=0),1,IF(IF(Inputs!$B$38="pvp",15,Inputs!$B$43)-(B2179)&lt;=0,1,MAX(0,IF(Inputs!$B$38="pvp",15,Inputs!$B$43)-MAX(5,B2179))/(IF(Inputs!$B$38="pvp",15,Inputs!$B$43)-(B2179))))*IF(AND(ArtifactsInput!$M$42,((Inputs!$B$9+((C2160=TRUE)*(F2160-Calc!F19))+B2172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IF(ArtifactsInput!$M$26,FALSE,TRUE),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46">
        <f>IF(C2146,(H2146*N2146*IF(AND(Inputs!$B$38&lt;&gt;"pvp",Inputs!$B$43&gt;0),((Skills!G5*((R2146-1)*IF(Skills!H5&gt;0,INT(IF(Inputs!$B$3&gt;=104,MIN(35,20*(1+Inputs!$B$34/100)),20)/Skills!H5+0.000000001),1)+IF(Skills!H5&gt;0,INT(MIN(IF(Inputs!$B$3&gt;=104,MIN(35,20*(1+Inputs!$B$34/100)),20),MAX(0,MAX(0,Inputs!$B$43-B2179)-((R2146-1)*(IF(Inputs!$B$38="pvp",15,MAX(0.1,Skills!D5-IF(TRUE=TRUE,Inputs!$B$32,0)))*(1-IF(AND(ArtifactsInput!$M$27,Inputs!$B$4="Chapter Hunt"),CHOOSE(ArtifactsInput!$N$27+1,20,24,28,32,36,40),0)/100)))))/Skills!H5+0.000000001),1)))/Inputs!$B$43),G2146*Q2146))*IF(Inputs!$B$38="pvp",1,(1+(Inputs!$B$21+Skills!Q5+(IF(ArtifactsInput!$M$33,CHOOSE(ArtifactsInput!$N$33+1,30,36,42,48,54,60),0))+(IF(AND(ArtifactsInput!$M$35,Inputs!$B$4&lt;&gt;"Chapter Hunt"),CHOOSE(ArtifactsInput!$N$35+1,15,18,21,24,27,30)*(1-EXP(-(0.2*B2174)*5)),0)+IF(AND(ArtifactsInput!$M$22,Inputs!$B$4&lt;&gt;"Chapter Hunt"),CHOOSE(ArtifactsInput!$N$22+1,10,12,14,16,18,20)*((0*(((0.15*B2174*5))^0/1)+1*(((0.15*B2174*5))^1/1)+2*(((0.15*B2174*5))^2/2)+3*(((0.15*B2174*5))^3/6)+4*(((0.15*B2174*5))^4/24)+5*(((0.15*B2174*5))^5/120))/((((0.15*B2174*5))^0/1)+(((0.15*B2174*5))^1/1)+(((0.15*B2174*5))^2/2)+(((0.15*B2174*5))^3/6)+(((0.15*B2174*5))^4/24)+(((0.15*B2174*5))^5/120))),0))+IF(Inputs!$B$3&gt;=54,9*(C2144=TRUE)*MIN(1,8*(1+Inputs!$B$34/100)*Q2144),0))/100)*(MIN(Skills!R5,Inputs!$B$37)))*((1+(IF(AND(ArtifactsInput!$M$41,Inputs!$B$38&lt;&gt;"pvp"),CHOOSE(ArtifactsInput!$N$41+1,5,6,7,8,9,10)*IF(OR(Inputs!$B$4="Weapon Dungeon",Inputs!$B$4="Equipment Dungeon",Inputs!$B$4="Enhancement Dungeon",Inputs!$B$4="EXP Dungeon",Inputs!$B$4="Hero Dungeon"),3,1),0)+IF(IF(ArtifactsInput!$M$26,FALSE,TRUE),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47">
      <c r="A2147">
        <f>Skills!A6</f>
        <v/>
      </c>
      <c r="B2147">
        <f>Skills!B6</f>
        <v/>
      </c>
      <c r="C2147">
        <f>Inputs!$B$3&gt;=66</f>
        <v/>
      </c>
      <c r="D2147">
        <f>IF(Skills!C6=1,60+Inputs!$B$25+Inputs!$B$29,IF(Skills!C6=2,90+Inputs!$B$26+Inputs!$B$29,IF(Skills!C6=3,120+Inputs!$B$27+Inputs!$B$29,MAX(0,(Inputs!$B$3-100)*3)+Inputs!$B$28+Inputs!$B$29)))</f>
        <v/>
      </c>
      <c r="E2147">
        <f>INDEX(FactorTable!$B$2:$Y$301, MATCH(ROUND(MIN(300,MAX(1,D2147)),0), FactorTable!$A$2:$A$301,0), Skills!M6+1)</f>
        <v/>
      </c>
      <c r="F2147">
        <f>IF(Skills!N6=TRUE,(Skills!L6/10)*(E2147/1000),Skills!L6/10)+Skills!O6</f>
        <v/>
      </c>
      <c r="G2147">
        <f>Skills!G6*IF(Skills!H6&gt;0,INT(IF(Inputs!$B$38="pvp",MIN(Skills!I6,15),Skills!I6)/Skills!H6+0.000000001),1)</f>
        <v/>
      </c>
      <c r="H2147">
        <f>1-(1-Skills!J6/100)^Skills!K6</f>
        <v/>
      </c>
      <c r="I2147" t="inlineStr">
        <is>
          <t>1</t>
        </is>
      </c>
      <c r="J2147">
        <f>((Inputs!$B$6*(1+Inputs!$B$7/100))+(((Inputs!$B$12*(1+Inputs!$B$13/100))-(Inputs!$B$12*(1+Inputs!$B$13/100)))+0.25*(Inputs!$B$14-Inputs!$B$14))*(1+Inputs!$B$7/100))*(F2147/100)</f>
        <v/>
      </c>
      <c r="K2147">
        <f>J2147*(1+((Inputs!$B$12*(1+Inputs!$B$13/100))*0.01+Inputs!$B$14*0.0025)/100)*(1+Inputs!$B$15/100)*(1+Inputs!$B$16/100)*(5000/(6000+Inputs!$B$42*(1-(100*(1-(1-(Inputs!$B$19+0)/100)*(1-CHOOSE(ArtifactsInput!$N$40+1,5,6,7,8,9,10)/100)^(ArtifactsInput!$M$40-ArtifactsInput!$M$40)))/100)))*(1+(Inputs!$B$24+((C2167=TRUE)*(F2167-Calc!F26))+B2178)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+2.0*IF(C2156=TRUE,F2156,0)/100)*(1+(IF(Skills!A6="EIGHT_LEGS_EASTON",Inputs!$B$17+((C2164=TRUE)*(F2164-Calc!F23))+((C2168=TRUE)*(F2168-Calc!F27))+((IF(AND(Inputs!$B$38&lt;&gt;"pvp",Inputs!$B$43=0),1,IF(IF(Inputs!$B$38="pvp",15,Inputs!$B$43)-(B2179)&lt;=0,1,MAX(0,IF(Inputs!$B$38="pvp",15,Inputs!$B$43)-MAX(5,B2179))/(IF(Inputs!$B$38="pvp",15,Inputs!$B$43)-(B2179))))*(IF(AND(ArtifactsInput!$M$42,((Inputs!$B$9+((C2160=TRUE)*(F2160-Calc!F19))+B2172+(ArtifactsInput!$M$24-ArtifactsInput!$M$24)*CHOOSE(ArtifactsInput!$N$24+1,10,12,14,16,18,20)+IF(ArtifactsInput!$M$10,CHOOSE(ArtifactsInput!$N$10+1,15,18,21,24,27,30)*(IF(Inputs!$B$38="pvp",MIN(15,15)/15,IF(AND(Inputs!$B$38&lt;&gt;"pvp",Inputs!$B$43&gt;0),MIN(15,Inputs!$B$43)/(Inputs!$B$43),0))),0)))&gt;=100),MIN(100,((Inputs!$B$9+((C2160=TRUE)*(F2160-Calc!F19))+B2172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2179)&lt;=0,1,MAX(0,IF(Inputs!$B$38="pvp",15,Inputs!$B$43)-MAX(5,B2179))/(IF(Inputs!$B$38="pvp",15,Inputs!$B$43)-(B2179))))*IF(AND(ArtifactsInput!$M$42,((Inputs!$B$9+((C2160=TRUE)*(F2160-Calc!F19))+B2172+(ArtifactsInput!$M$24-ArtifactsInput!$M$24)*CHOOSE(ArtifactsInput!$N$24+1,10,12,14,16,18,20)+IF(ArtifactsInput!$M$10,CHOOSE(ArtifactsInput!$N$10+1,15,18,21,24,27,30)*(IF(Inputs!$B$38="pvp",MIN(15,15)/15,IF(AND(Inputs!$B$38&lt;&gt;"pvp",Inputs!$B$43&gt;0),MIN(15,Inputs!$B$43)/(Inputs!$B$43),0))),0)))&gt;=100),CHOOSE(ArtifactsInput!$N$42+1,40,48,56,64,72,80),0))))/100)*((1+(((C2158=TRUE)*F2158*5/7)+((C2165=TRUE)*(F2165-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2147)</f>
        <v/>
      </c>
      <c r="L2147">
        <f>K2147*(MIN(Inputs!$B$22+((C2163=TRUE)*(F2163-Calc!F22)),(Inputs!$B$23+0+(IF(ArtifactsInput!$M$15,CHOOSE(ArtifactsInput!$N$15+1,25,30,35,40,45,50)/100*(Inputs!$B$11-Inputs!$B$11),0))))/100+(Inputs!$B$23+0+(IF(ArtifactsInput!$M$15,CHOOSE(ArtifactsInput!$N$15+1,25,30,35,40,45,50)/100*(Inputs!$B$11-Inputs!$B$11),0)))/100)/2</f>
        <v/>
      </c>
      <c r="M2147">
        <f>L2147*(1+(Inputs!$B$10+((C2166=TRUE)*(F2166-Calc!F25))+B2177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47">
        <f>L2147*(1-MIN((Inputs!$B$9+((C2160=TRUE)*(F2160-Calc!F19))+B2172+(ArtifactsInput!$M$24-ArtifactsInput!$M$24)*CHOOSE(ArtifactsInput!$N$24+1,10,12,14,16,18,20)+(IF(AND(Inputs!$B$38&lt;&gt;"pvp",Inputs!$B$43=0),1,IF(IF(Inputs!$B$38="pvp",15,Inputs!$B$43)-(B2179)&lt;=0,1,MAX(0,IF(Inputs!$B$38="pvp",15,Inputs!$B$43)-MAX(5,B2179))/(IF(Inputs!$B$38="pvp",15,Inputs!$B$43)-(B2179))))*IF(AND(ArtifactsInput!$M$42,((Inputs!$B$9+((C2160=TRUE)*(F2160-Calc!F19))+B2172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2147*(MIN((Inputs!$B$9+((C2160=TRUE)*(F2160-Calc!F19))+B2172+(ArtifactsInput!$M$24-ArtifactsInput!$M$24)*CHOOSE(ArtifactsInput!$N$24+1,10,12,14,16,18,20)+(IF(AND(Inputs!$B$38&lt;&gt;"pvp",Inputs!$B$43=0),1,IF(IF(Inputs!$B$38="pvp",15,Inputs!$B$43)-(B2179)&lt;=0,1,MAX(0,IF(Inputs!$B$38="pvp",15,Inputs!$B$43)-MAX(5,B2179))/(IF(Inputs!$B$38="pvp",15,Inputs!$B$43)-(B2179))))*IF(AND(ArtifactsInput!$M$42,((Inputs!$B$9+((C2160=TRUE)*(F2160-Calc!F19))+B2172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47">
        <f>(1-Summary!$B$11)*T2147+Summary!$B$11*V2147</f>
        <v/>
      </c>
      <c r="P2147">
        <f>IF(B2182=0,0,O2147/B2182)</f>
        <v/>
      </c>
      <c r="Q2147">
        <f>IFERROR(1/(IF(Inputs!$B$38="pvp",15,MAX(0.1,Skills!D6-IF(TRUE=TRUE,Inputs!$B$32,0)))*(1-IF(AND(ArtifactsInput!$M$27,Inputs!$B$4="Chapter Hunt"),CHOOSE(ArtifactsInput!$N$27+1,20,24,28,32,36,40),0)/100)),0)</f>
        <v/>
      </c>
      <c r="R2147">
        <f>IF(AND(Inputs!$B$38&lt;&gt;"pvp",Inputs!$B$43&gt;0),IF(MAX(0,Inputs!$B$43-B2179)&lt;=0,0,(INT(MAX(0,Inputs!$B$43-B2179)/(IF(Inputs!$B$38="pvp",15,MAX(0.1,Skills!D6-IF(TRUE=TRUE,Inputs!$B$32,0)))*(1-IF(AND(ArtifactsInput!$M$27,Inputs!$B$4="Chapter Hunt"),CHOOSE(ArtifactsInput!$N$27+1,20,24,28,32,36,40),0)/100)))+1)),0)</f>
        <v/>
      </c>
      <c r="S2147">
        <f>IFERROR(O2147/N2147,0)</f>
        <v/>
      </c>
      <c r="T2147">
        <f>IF(C2147,(H2147*N2147*IF(AND(Inputs!$B$38&lt;&gt;"pvp",Inputs!$B$43&gt;0),((Skills!G6*((R2147-1)*IF(Skills!H6&gt;0,INT(Skills!I6/Skills!H6+0.000000001),1)+IF(Skills!H6&gt;0,INT(MIN(Skills!I6,MAX(0,MAX(0,Inputs!$B$43-B2179)-((R2147-1)*(IF(Inputs!$B$38="pvp",15,MAX(0.1,Skills!D6-IF(TRUE=TRUE,Inputs!$B$32,0)))*(1-IF(AND(ArtifactsInput!$M$27,Inputs!$B$4="Chapter Hunt"),CHOOSE(ArtifactsInput!$N$27+1,20,24,28,32,36,40),0)/100)))))/Skills!H6+0.000000001),1)))/Inputs!$B$43),G2147*Q2147)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Hunt"),CHOOSE(ArtifactsInput!$N$35+1,15,18,21,24,27,30)*(1-EXP(-(0.2*B2174)*5)),0)+IF(AND(ArtifactsInput!$M$22,Inputs!$B$4&lt;&gt;"Chapter Hunt"),CHOOSE(ArtifactsInput!$N$22+1,10,12,14,16,18,20)*((0*(((0.15*B2174*5))^0/1)+1*(((0.15*B2174*5))^1/1)+2*(((0.15*B2174*5))^2/2)+3*(((0.15*B2174*5))^3/6)+4*(((0.15*B2174*5))^4/24)+5*(((0.15*B2174*5))^5/120))/((((0.15*B2174*5))^0/1)+(((0.15*B2174*5))^1/1)+(((0.15*B2174*5))^2/2)+(((0.15*B2174*5))^3/6)+(((0.15*B2174*5))^4/24)+(((0.15*B2174*5))^5/120))),0))+IF(Inputs!$B$3&gt;=54,9*(C2144=TRUE)*MIN(1,8*(1+Inputs!$B$34/100)*Q2144)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2147*(1-MIN(100,(Inputs!$B$9+((C2160=TRUE)*(F2160-Calc!F19))+B2172+(ArtifactsInput!$M$24-ArtifactsInput!$M$24)*CHOOSE(ArtifactsInput!$N$24+1,10,12,14,16,18,20)+(IF(AND(Inputs!$B$38&lt;&gt;"pvp",Inputs!$B$43=0),1,IF(IF(Inputs!$B$38="pvp",15,Inputs!$B$43)-(B2179)&lt;=0,1,MAX(0,IF(Inputs!$B$38="pvp",15,Inputs!$B$43)-MAX(5,B2179))/(IF(Inputs!$B$38="pvp",15,Inputs!$B$43)-(B2179))))*IF(AND(ArtifactsInput!$M$42,((Inputs!$B$9+((C2160=TRUE)*(F2160-Calc!F19))+B2172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2147*(MIN(100,(Inputs!$B$9+((C2160=TRUE)*(F2160-Calc!F19))+B2172+(ArtifactsInput!$M$24-ArtifactsInput!$M$24)*CHOOSE(ArtifactsInput!$N$24+1,10,12,14,16,18,20)+(IF(AND(Inputs!$B$38&lt;&gt;"pvp",Inputs!$B$43=0),1,IF(IF(Inputs!$B$38="pvp",15,Inputs!$B$43)-(B2179)&lt;=0,1,MAX(0,IF(Inputs!$B$38="pvp",15,Inputs!$B$43)-MAX(5,B2179))/(IF(Inputs!$B$38="pvp",15,Inputs!$B$43)-(B2179))))*IF(AND(ArtifactsInput!$M$42,((Inputs!$B$9+((C2160=TRUE)*(F2160-Calc!F19))+B2172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2147*(1-MIN(100,(Inputs!$B$9+((C2160=TRUE)*(F2160-Calc!F19))+B2172+(ArtifactsInput!$M$24-ArtifactsInput!$M$24)*CHOOSE(ArtifactsInput!$N$24+1,10,12,14,16,18,20)+(IF(AND(Inputs!$B$38&lt;&gt;"pvp",Inputs!$B$43=0),1,IF(IF(Inputs!$B$38="pvp",15,Inputs!$B$43)-(B2179)&lt;=0,1,MAX(0,IF(Inputs!$B$38="pvp",15,Inputs!$B$43)-MAX(5,B2179))/(IF(Inputs!$B$38="pvp",15,Inputs!$B$43)-(B2179))))*IF(AND(ArtifactsInput!$M$42,((Inputs!$B$9+((C2160=TRUE)*(F2160-Calc!F19))+B2172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2147*(MIN(100,(Inputs!$B$9+((C2160=TRUE)*(F2160-Calc!F19))+B2172+(ArtifactsInput!$M$24-ArtifactsInput!$M$24)*CHOOSE(ArtifactsInput!$N$24+1,10,12,14,16,18,20)+(IF(AND(Inputs!$B$38&lt;&gt;"pvp",Inputs!$B$43=0),1,IF(IF(Inputs!$B$38="pvp",15,Inputs!$B$43)-(B2179)&lt;=0,1,MAX(0,IF(Inputs!$B$38="pvp",15,Inputs!$B$43)-MAX(5,B2179))/(IF(Inputs!$B$38="pvp",15,Inputs!$B$43)-(B2179))))*IF(AND(ArtifactsInput!$M$42,((Inputs!$B$9+((C2160=TRUE)*(F2160-Calc!F19))+B2172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IF(ArtifactsInput!$M$26,FALSE,TRUE),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47">
        <f>IF(C2147,(H2147*N2147*IF(AND(Inputs!$B$38&lt;&gt;"pvp",Inputs!$B$43&gt;0),((Skills!G6*((R2147-1)*IF(Skills!H6&gt;0,INT(Skills!I6/Skills!H6+0.000000001),1)+IF(Skills!H6&gt;0,INT(MIN(Skills!I6,MAX(0,MAX(0,Inputs!$B$43-B2179)-((R2147-1)*(IF(Inputs!$B$38="pvp",15,MAX(0.1,Skills!D6-IF(TRUE=TRUE,Inputs!$B$32,0)))*(1-IF(AND(ArtifactsInput!$M$27,Inputs!$B$4="Chapter Hunt"),CHOOSE(ArtifactsInput!$N$27+1,20,24,28,32,36,40),0)/100)))))/Skills!H6+0.000000001),1)))/Inputs!$B$43),G2147*Q2147))*IF(Inputs!$B$38="pvp",1,(1+(Inputs!$B$21+Skills!Q6+(IF(ArtifactsInput!$M$33,CHOOSE(ArtifactsInput!$N$33+1,30,36,42,48,54,60),0))+(IF(AND(ArtifactsInput!$M$35,Inputs!$B$4&lt;&gt;"Chapter Hunt"),CHOOSE(ArtifactsInput!$N$35+1,15,18,21,24,27,30)*(1-EXP(-(0.2*B2174)*5)),0)+IF(AND(ArtifactsInput!$M$22,Inputs!$B$4&lt;&gt;"Chapter Hunt"),CHOOSE(ArtifactsInput!$N$22+1,10,12,14,16,18,20)*((0*(((0.15*B2174*5))^0/1)+1*(((0.15*B2174*5))^1/1)+2*(((0.15*B2174*5))^2/2)+3*(((0.15*B2174*5))^3/6)+4*(((0.15*B2174*5))^4/24)+5*(((0.15*B2174*5))^5/120))/((((0.15*B2174*5))^0/1)+(((0.15*B2174*5))^1/1)+(((0.15*B2174*5))^2/2)+(((0.15*B2174*5))^3/6)+(((0.15*B2174*5))^4/24)+(((0.15*B2174*5))^5/120))),0))+IF(Inputs!$B$3&gt;=54,9*(C2144=TRUE)*MIN(1,8*(1+Inputs!$B$34/100)*Q2144),0))/100)*(MIN(Skills!R6,Inputs!$B$37)))*((1+(IF(AND(ArtifactsInput!$M$41,Inputs!$B$38&lt;&gt;"pvp"),CHOOSE(ArtifactsInput!$N$41+1,5,6,7,8,9,10)*IF(OR(Inputs!$B$4="Weapon Dungeon",Inputs!$B$4="Equipment Dungeon",Inputs!$B$4="Enhancement Dungeon",Inputs!$B$4="EXP Dungeon",Inputs!$B$4="Hero Dungeon"),3,1),0)+IF(IF(ArtifactsInput!$M$26,FALSE,TRUE),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48">
      <c r="A2148">
        <f>Skills!A7</f>
        <v/>
      </c>
      <c r="B2148">
        <f>Skills!B7</f>
        <v/>
      </c>
      <c r="C2148">
        <f>Inputs!$B$3&gt;=63</f>
        <v/>
      </c>
      <c r="D2148">
        <f>IF(Skills!C7=1,60+Inputs!$B$25+Inputs!$B$29,IF(Skills!C7=2,90+Inputs!$B$26+Inputs!$B$29,IF(Skills!C7=3,120+Inputs!$B$27+Inputs!$B$29,MAX(0,(Inputs!$B$3-100)*3)+Inputs!$B$28+Inputs!$B$29)))</f>
        <v/>
      </c>
      <c r="E2148">
        <f>INDEX(FactorTable!$B$2:$Y$301, MATCH(ROUND(MIN(300,MAX(1,D2148)),0), FactorTable!$A$2:$A$301,0), Skills!M7+1)</f>
        <v/>
      </c>
      <c r="F2148">
        <f>IF(Skills!N7=TRUE,(Skills!L7/10)*(E2148/1000),Skills!L7/10)+Skills!O7</f>
        <v/>
      </c>
      <c r="G2148">
        <f>Skills!G7*IF(Skills!H7&gt;0,INT(IF(Inputs!$B$38="pvp",MIN(Skills!I7,15),Skills!I7)/Skills!H7+0.000000001),1)</f>
        <v/>
      </c>
      <c r="H2148">
        <f>1-(1-Skills!J7/100)^Skills!K7</f>
        <v/>
      </c>
      <c r="I2148" t="inlineStr">
        <is>
          <t>1</t>
        </is>
      </c>
      <c r="J2148">
        <f>((Inputs!$B$6*(1+Inputs!$B$7/100))+(((Inputs!$B$12*(1+Inputs!$B$13/100))-(Inputs!$B$12*(1+Inputs!$B$13/100)))+0.25*(Inputs!$B$14-Inputs!$B$14))*(1+Inputs!$B$7/100))*(F2148/100)</f>
        <v/>
      </c>
      <c r="K2148">
        <f>J2148*(1+((Inputs!$B$12*(1+Inputs!$B$13/100))*0.01+Inputs!$B$14*0.0025)/100)*(1+Inputs!$B$15/100)*(1+Inputs!$B$16/100)*(5000/(6000+Inputs!$B$42*(1-(100*(1-(1-(Inputs!$B$19+0)/100)*(1-CHOOSE(ArtifactsInput!$N$40+1,5,6,7,8,9,10)/100)^(ArtifactsInput!$M$40-ArtifactsInput!$M$40)))/100)))*(1+(Inputs!$B$24+((C2167=TRUE)*(F2167-Calc!F26))+B2178)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2156=TRUE,F2156,0)/100)*(1+(IF(Skills!A7="EIGHT_LEGS_EASTON",Inputs!$B$17+((C2164=TRUE)*(F2164-Calc!F23))+((C2168=TRUE)*(F2168-Calc!F27))+((IF(AND(Inputs!$B$38&lt;&gt;"pvp",Inputs!$B$43=0),1,IF(IF(Inputs!$B$38="pvp",15,Inputs!$B$43)-(B2179)&lt;=0,1,MAX(0,IF(Inputs!$B$38="pvp",15,Inputs!$B$43)-MAX(5,B2179))/(IF(Inputs!$B$38="pvp",15,Inputs!$B$43)-(B2179))))*(IF(AND(ArtifactsInput!$M$42,((Inputs!$B$9+((C2160=TRUE)*(F2160-Calc!F19))+B2172+(ArtifactsInput!$M$24-ArtifactsInput!$M$24)*CHOOSE(ArtifactsInput!$N$24+1,10,12,14,16,18,20)+IF(ArtifactsInput!$M$10,CHOOSE(ArtifactsInput!$N$10+1,15,18,21,24,27,30)*(IF(Inputs!$B$38="pvp",MIN(15,15)/15,IF(AND(Inputs!$B$38&lt;&gt;"pvp",Inputs!$B$43&gt;0),MIN(15,Inputs!$B$43)/(Inputs!$B$43),0))),0)))&gt;=100),MIN(100,((Inputs!$B$9+((C2160=TRUE)*(F2160-Calc!F19))+B2172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2179)&lt;=0,1,MAX(0,IF(Inputs!$B$38="pvp",15,Inputs!$B$43)-MAX(5,B2179))/(IF(Inputs!$B$38="pvp",15,Inputs!$B$43)-(B2179))))*IF(AND(ArtifactsInput!$M$42,((Inputs!$B$9+((C2160=TRUE)*(F2160-Calc!F19))+B2172+(ArtifactsInput!$M$24-ArtifactsInput!$M$24)*CHOOSE(ArtifactsInput!$N$24+1,10,12,14,16,18,20)+IF(ArtifactsInput!$M$10,CHOOSE(ArtifactsInput!$N$10+1,15,18,21,24,27,30)*(IF(Inputs!$B$38="pvp",MIN(15,15)/15,IF(AND(Inputs!$B$38&lt;&gt;"pvp",Inputs!$B$43&gt;0),MIN(15,Inputs!$B$43)/(Inputs!$B$43),0))),0)))&gt;=100),CHOOSE(ArtifactsInput!$N$42+1,40,48,56,64,72,80),0))))/100)*((1+(((C2158=TRUE)*F2158*5/7)+((C2165=TRUE)*(F2165-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2148)</f>
        <v/>
      </c>
      <c r="L2148">
        <f>K2148*(MIN(Inputs!$B$22+((C2163=TRUE)*(F2163-Calc!F22)),(Inputs!$B$23+0+(IF(ArtifactsInput!$M$15,CHOOSE(ArtifactsInput!$N$15+1,25,30,35,40,45,50)/100*(Inputs!$B$11-Inputs!$B$11),0))))/100+(Inputs!$B$23+0+(IF(ArtifactsInput!$M$15,CHOOSE(ArtifactsInput!$N$15+1,25,30,35,40,45,50)/100*(Inputs!$B$11-Inputs!$B$11),0)))/100)/2</f>
        <v/>
      </c>
      <c r="M2148">
        <f>L2148*(1+(Inputs!$B$10+((C2166=TRUE)*(F2166-Calc!F25))+B2177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48">
        <f>L2148*(1-MIN((Inputs!$B$9+((C2160=TRUE)*(F2160-Calc!F19))+B2172+(ArtifactsInput!$M$24-ArtifactsInput!$M$24)*CHOOSE(ArtifactsInput!$N$24+1,10,12,14,16,18,20)+(IF(AND(Inputs!$B$38&lt;&gt;"pvp",Inputs!$B$43=0),1,IF(IF(Inputs!$B$38="pvp",15,Inputs!$B$43)-(B2179)&lt;=0,1,MAX(0,IF(Inputs!$B$38="pvp",15,Inputs!$B$43)-MAX(5,B2179))/(IF(Inputs!$B$38="pvp",15,Inputs!$B$43)-(B2179))))*IF(AND(ArtifactsInput!$M$42,((Inputs!$B$9+((C2160=TRUE)*(F2160-Calc!F19))+B2172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2148*(MIN((Inputs!$B$9+((C2160=TRUE)*(F2160-Calc!F19))+B2172+(ArtifactsInput!$M$24-ArtifactsInput!$M$24)*CHOOSE(ArtifactsInput!$N$24+1,10,12,14,16,18,20)+(IF(AND(Inputs!$B$38&lt;&gt;"pvp",Inputs!$B$43=0),1,IF(IF(Inputs!$B$38="pvp",15,Inputs!$B$43)-(B2179)&lt;=0,1,MAX(0,IF(Inputs!$B$38="pvp",15,Inputs!$B$43)-MAX(5,B2179))/(IF(Inputs!$B$38="pvp",15,Inputs!$B$43)-(B2179))))*IF(AND(ArtifactsInput!$M$42,((Inputs!$B$9+((C2160=TRUE)*(F2160-Calc!F19))+B2172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48">
        <f>(1-Summary!$B$11)*T2148+Summary!$B$11*V2148</f>
        <v/>
      </c>
      <c r="P2148">
        <f>IF(B2182=0,0,O2148/B2182)</f>
        <v/>
      </c>
      <c r="Q2148">
        <f>IFERROR(1/(IF(Inputs!$B$38="pvp",15,MAX(0.1,Skills!D7-IF(TRUE=TRUE,Inputs!$B$32,0)))*(1-IF(AND(ArtifactsInput!$M$27,Inputs!$B$4="Chapter Hunt"),CHOOSE(ArtifactsInput!$N$27+1,20,24,28,32,36,40),0)/100)),0)</f>
        <v/>
      </c>
      <c r="R2148">
        <f>IF(AND(Inputs!$B$38&lt;&gt;"pvp",Inputs!$B$43&gt;0),IF(MAX(0,Inputs!$B$43-B2179)&lt;=0,0,(INT(MAX(0,Inputs!$B$43-B2179)/(IF(Inputs!$B$38="pvp",15,MAX(0.1,Skills!D7-IF(TRUE=TRUE,Inputs!$B$32,0)))*(1-IF(AND(ArtifactsInput!$M$27,Inputs!$B$4="Chapter Hunt"),CHOOSE(ArtifactsInput!$N$27+1,20,24,28,32,36,40),0)/100)))+1)),0)</f>
        <v/>
      </c>
      <c r="S2148">
        <f>IFERROR(O2148/N2148,0)</f>
        <v/>
      </c>
      <c r="T2148">
        <f>IF(C2148,(H2148*N2148*IF(AND(Inputs!$B$38&lt;&gt;"pvp",Inputs!$B$43&gt;0),((Skills!G7*((R2148-1)*IF(Skills!H7&gt;0,INT(Skills!I7/Skills!H7+0.000000001),1)+IF(Skills!H7&gt;0,INT(MIN(Skills!I7,MAX(0,MAX(0,Inputs!$B$43-B2179)-((R2148-1)*(IF(Inputs!$B$38="pvp",15,MAX(0.1,Skills!D7-IF(TRUE=TRUE,Inputs!$B$32,0)))*(1-IF(AND(ArtifactsInput!$M$27,Inputs!$B$4="Chapter Hunt"),CHOOSE(ArtifactsInput!$N$27+1,20,24,28,32,36,40),0)/100)))))/Skills!H7+0.000000001),1)))/Inputs!$B$43),G2148*Q2148)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Hunt"),CHOOSE(ArtifactsInput!$N$35+1,15,18,21,24,27,30)*(1-EXP(-(0.2*B2174)*5)),0)+IF(AND(ArtifactsInput!$M$22,Inputs!$B$4&lt;&gt;"Chapter Hunt"),CHOOSE(ArtifactsInput!$N$22+1,10,12,14,16,18,20)*((0*(((0.15*B2174*5))^0/1)+1*(((0.15*B2174*5))^1/1)+2*(((0.15*B2174*5))^2/2)+3*(((0.15*B2174*5))^3/6)+4*(((0.15*B2174*5))^4/24)+5*(((0.15*B2174*5))^5/120))/((((0.15*B2174*5))^0/1)+(((0.15*B2174*5))^1/1)+(((0.15*B2174*5))^2/2)+(((0.15*B2174*5))^3/6)+(((0.15*B2174*5))^4/24)+(((0.15*B2174*5))^5/120))),0))+IF(Inputs!$B$3&gt;=54,9*(C2144=TRUE)*MIN(1,8*(1+Inputs!$B$34/100)*Q2144)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2148*(1-MIN(100,(Inputs!$B$9+((C2160=TRUE)*(F2160-Calc!F19))+B2172+(ArtifactsInput!$M$24-ArtifactsInput!$M$24)*CHOOSE(ArtifactsInput!$N$24+1,10,12,14,16,18,20)+(IF(AND(Inputs!$B$38&lt;&gt;"pvp",Inputs!$B$43=0),1,IF(IF(Inputs!$B$38="pvp",15,Inputs!$B$43)-(B2179)&lt;=0,1,MAX(0,IF(Inputs!$B$38="pvp",15,Inputs!$B$43)-MAX(5,B2179))/(IF(Inputs!$B$38="pvp",15,Inputs!$B$43)-(B2179))))*IF(AND(ArtifactsInput!$M$42,((Inputs!$B$9+((C2160=TRUE)*(F2160-Calc!F19))+B2172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2148*(MIN(100,(Inputs!$B$9+((C2160=TRUE)*(F2160-Calc!F19))+B2172+(ArtifactsInput!$M$24-ArtifactsInput!$M$24)*CHOOSE(ArtifactsInput!$N$24+1,10,12,14,16,18,20)+(IF(AND(Inputs!$B$38&lt;&gt;"pvp",Inputs!$B$43=0),1,IF(IF(Inputs!$B$38="pvp",15,Inputs!$B$43)-(B2179)&lt;=0,1,MAX(0,IF(Inputs!$B$38="pvp",15,Inputs!$B$43)-MAX(5,B2179))/(IF(Inputs!$B$38="pvp",15,Inputs!$B$43)-(B2179))))*IF(AND(ArtifactsInput!$M$42,((Inputs!$B$9+((C2160=TRUE)*(F2160-Calc!F19))+B2172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2148*(1-MIN(100,(Inputs!$B$9+((C2160=TRUE)*(F2160-Calc!F19))+B2172+(ArtifactsInput!$M$24-ArtifactsInput!$M$24)*CHOOSE(ArtifactsInput!$N$24+1,10,12,14,16,18,20)+(IF(AND(Inputs!$B$38&lt;&gt;"pvp",Inputs!$B$43=0),1,IF(IF(Inputs!$B$38="pvp",15,Inputs!$B$43)-(B2179)&lt;=0,1,MAX(0,IF(Inputs!$B$38="pvp",15,Inputs!$B$43)-MAX(5,B2179))/(IF(Inputs!$B$38="pvp",15,Inputs!$B$43)-(B2179))))*IF(AND(ArtifactsInput!$M$42,((Inputs!$B$9+((C2160=TRUE)*(F2160-Calc!F19))+B2172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2148*(MIN(100,(Inputs!$B$9+((C2160=TRUE)*(F2160-Calc!F19))+B2172+(ArtifactsInput!$M$24-ArtifactsInput!$M$24)*CHOOSE(ArtifactsInput!$N$24+1,10,12,14,16,18,20)+(IF(AND(Inputs!$B$38&lt;&gt;"pvp",Inputs!$B$43=0),1,IF(IF(Inputs!$B$38="pvp",15,Inputs!$B$43)-(B2179)&lt;=0,1,MAX(0,IF(Inputs!$B$38="pvp",15,Inputs!$B$43)-MAX(5,B2179))/(IF(Inputs!$B$38="pvp",15,Inputs!$B$43)-(B2179))))*IF(AND(ArtifactsInput!$M$42,((Inputs!$B$9+((C2160=TRUE)*(F2160-Calc!F19))+B2172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IF(ArtifactsInput!$M$26,FALSE,TRUE),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48">
        <f>IF(C2148,(H2148*N2148*IF(AND(Inputs!$B$38&lt;&gt;"pvp",Inputs!$B$43&gt;0),((Skills!G7*((R2148-1)*IF(Skills!H7&gt;0,INT(Skills!I7/Skills!H7+0.000000001),1)+IF(Skills!H7&gt;0,INT(MIN(Skills!I7,MAX(0,MAX(0,Inputs!$B$43-B2179)-((R2148-1)*(IF(Inputs!$B$38="pvp",15,MAX(0.1,Skills!D7-IF(TRUE=TRUE,Inputs!$B$32,0)))*(1-IF(AND(ArtifactsInput!$M$27,Inputs!$B$4="Chapter Hunt"),CHOOSE(ArtifactsInput!$N$27+1,20,24,28,32,36,40),0)/100)))))/Skills!H7+0.000000001),1)))/Inputs!$B$43),G2148*Q2148))*IF(Inputs!$B$38="pvp",1,(1+(Inputs!$B$21+Skills!Q7+(IF(ArtifactsInput!$M$33,CHOOSE(ArtifactsInput!$N$33+1,30,36,42,48,54,60),0))+(IF(AND(ArtifactsInput!$M$35,Inputs!$B$4&lt;&gt;"Chapter Hunt"),CHOOSE(ArtifactsInput!$N$35+1,15,18,21,24,27,30)*(1-EXP(-(0.2*B2174)*5)),0)+IF(AND(ArtifactsInput!$M$22,Inputs!$B$4&lt;&gt;"Chapter Hunt"),CHOOSE(ArtifactsInput!$N$22+1,10,12,14,16,18,20)*((0*(((0.15*B2174*5))^0/1)+1*(((0.15*B2174*5))^1/1)+2*(((0.15*B2174*5))^2/2)+3*(((0.15*B2174*5))^3/6)+4*(((0.15*B2174*5))^4/24)+5*(((0.15*B2174*5))^5/120))/((((0.15*B2174*5))^0/1)+(((0.15*B2174*5))^1/1)+(((0.15*B2174*5))^2/2)+(((0.15*B2174*5))^3/6)+(((0.15*B2174*5))^4/24)+(((0.15*B2174*5))^5/120))),0))+IF(Inputs!$B$3&gt;=54,9*(C2144=TRUE)*MIN(1,8*(1+Inputs!$B$34/100)*Q2144),0))/100)*(MIN(Skills!R7,Inputs!$B$37)))*((1+(IF(AND(ArtifactsInput!$M$41,Inputs!$B$38&lt;&gt;"pvp"),CHOOSE(ArtifactsInput!$N$41+1,5,6,7,8,9,10)*IF(OR(Inputs!$B$4="Weapon Dungeon",Inputs!$B$4="Equipment Dungeon",Inputs!$B$4="Enhancement Dungeon",Inputs!$B$4="EXP Dungeon",Inputs!$B$4="Hero Dungeon"),3,1),0)+IF(IF(ArtifactsInput!$M$26,FALSE,TRUE),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49">
      <c r="A2149">
        <f>Skills!A8</f>
        <v/>
      </c>
      <c r="B2149">
        <f>Skills!B8</f>
        <v/>
      </c>
      <c r="C2149">
        <f>Inputs!$B$3&gt;=103</f>
        <v/>
      </c>
      <c r="D2149">
        <f>IF(Skills!C8=1,60+Inputs!$B$25+Inputs!$B$29,IF(Skills!C8=2,90+Inputs!$B$26+Inputs!$B$29,IF(Skills!C8=3,120+Inputs!$B$27+Inputs!$B$29,MAX(0,(Inputs!$B$3-100)*3)+Inputs!$B$28+Inputs!$B$29)))</f>
        <v/>
      </c>
      <c r="E2149">
        <f>INDEX(FactorTable!$B$2:$Y$301, MATCH(ROUND(MIN(300,MAX(1,D2149)),0), FactorTable!$A$2:$A$301,0), Skills!M8+1)</f>
        <v/>
      </c>
      <c r="F2149">
        <f>IF(Skills!N8=TRUE,(Skills!L8/10)*(E2149/1000),Skills!L8/10)+Skills!O8</f>
        <v/>
      </c>
      <c r="G2149">
        <f>Skills!G8*IF(Skills!H8&gt;0,INT(IF(Inputs!$B$38="pvp",MIN(Skills!I8,15),Skills!I8)/Skills!H8+0.000000001),1)</f>
        <v/>
      </c>
      <c r="H2149">
        <f>1-(1-Skills!J8/100)^Skills!K8</f>
        <v/>
      </c>
      <c r="I2149" t="inlineStr">
        <is>
          <t>1</t>
        </is>
      </c>
      <c r="J2149">
        <f>((Inputs!$B$6*(1+Inputs!$B$7/100))+(((Inputs!$B$12*(1+Inputs!$B$13/100))-(Inputs!$B$12*(1+Inputs!$B$13/100)))+0.25*(Inputs!$B$14-Inputs!$B$14))*(1+Inputs!$B$7/100))*(F2149/100)</f>
        <v/>
      </c>
      <c r="K2149">
        <f>J2149*(1+((Inputs!$B$12*(1+Inputs!$B$13/100))*0.01+Inputs!$B$14*0.0025)/100)*(1+Inputs!$B$15/100)*(1+Inputs!$B$16/100)*(5000/(6000+Inputs!$B$42*(1-(100*(1-(1-(Inputs!$B$19+0)/100)*(1-CHOOSE(ArtifactsInput!$N$40+1,5,6,7,8,9,10)/100)^(ArtifactsInput!$M$40-ArtifactsInput!$M$40)))/100)))*(1+(Inputs!$B$24+((C2167=TRUE)*(F2167-Calc!F26))+B2178)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IGHT_LEGS_EASTON",Inputs!$B$17+((C2164=TRUE)*(F2164-Calc!F23))+((C2168=TRUE)*(F2168-Calc!F27))+((IF(AND(Inputs!$B$38&lt;&gt;"pvp",Inputs!$B$43=0),1,IF(IF(Inputs!$B$38="pvp",15,Inputs!$B$43)-(B2179)&lt;=0,1,MAX(0,IF(Inputs!$B$38="pvp",15,Inputs!$B$43)-MAX(5,B2179))/(IF(Inputs!$B$38="pvp",15,Inputs!$B$43)-(B2179))))*(IF(AND(ArtifactsInput!$M$42,((Inputs!$B$9+((C2160=TRUE)*(F2160-Calc!F19))+B2172+(ArtifactsInput!$M$24-ArtifactsInput!$M$24)*CHOOSE(ArtifactsInput!$N$24+1,10,12,14,16,18,20)+IF(ArtifactsInput!$M$10,CHOOSE(ArtifactsInput!$N$10+1,15,18,21,24,27,30)*(IF(Inputs!$B$38="pvp",MIN(15,15)/15,IF(AND(Inputs!$B$38&lt;&gt;"pvp",Inputs!$B$43&gt;0),MIN(15,Inputs!$B$43)/(Inputs!$B$43),0))),0)))&gt;=100),MIN(100,((Inputs!$B$9+((C2160=TRUE)*(F2160-Calc!F19))+B2172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2179)&lt;=0,1,MAX(0,IF(Inputs!$B$38="pvp",15,Inputs!$B$43)-MAX(5,B2179))/(IF(Inputs!$B$38="pvp",15,Inputs!$B$43)-(B2179))))*IF(AND(ArtifactsInput!$M$42,((Inputs!$B$9+((C2160=TRUE)*(F2160-Calc!F19))+B2172+(ArtifactsInput!$M$24-ArtifactsInput!$M$24)*CHOOSE(ArtifactsInput!$N$24+1,10,12,14,16,18,20)+IF(ArtifactsInput!$M$10,CHOOSE(ArtifactsInput!$N$10+1,15,18,21,24,27,30)*(IF(Inputs!$B$38="pvp",MIN(15,15)/15,IF(AND(Inputs!$B$38&lt;&gt;"pvp",Inputs!$B$43&gt;0),MIN(15,Inputs!$B$43)/(Inputs!$B$43),0))),0)))&gt;=100),CHOOSE(ArtifactsInput!$N$42+1,40,48,56,64,72,80),0))))/100)*((1+(((C2158=TRUE)*F2158*5/7)+((C2165=TRUE)*(F2165-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2149)</f>
        <v/>
      </c>
      <c r="L2149">
        <f>K2149*(MIN(Inputs!$B$22+((C2163=TRUE)*(F2163-Calc!F22)),(Inputs!$B$23+0+(IF(ArtifactsInput!$M$15,CHOOSE(ArtifactsInput!$N$15+1,25,30,35,40,45,50)/100*(Inputs!$B$11-Inputs!$B$11),0))))/100+(Inputs!$B$23+0+(IF(ArtifactsInput!$M$15,CHOOSE(ArtifactsInput!$N$15+1,25,30,35,40,45,50)/100*(Inputs!$B$11-Inputs!$B$11),0)))/100)/2</f>
        <v/>
      </c>
      <c r="M2149">
        <f>L2149*(1+(Inputs!$B$10+((C2166=TRUE)*(F2166-Calc!F25))+B2177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49">
        <f>L2149*(1-MIN((Inputs!$B$9+((C2160=TRUE)*(F2160-Calc!F19))+B2172+(ArtifactsInput!$M$24-ArtifactsInput!$M$24)*CHOOSE(ArtifactsInput!$N$24+1,10,12,14,16,18,20)+(IF(AND(Inputs!$B$38&lt;&gt;"pvp",Inputs!$B$43=0),1,IF(IF(Inputs!$B$38="pvp",15,Inputs!$B$43)-(B2179)&lt;=0,1,MAX(0,IF(Inputs!$B$38="pvp",15,Inputs!$B$43)-MAX(5,B2179))/(IF(Inputs!$B$38="pvp",15,Inputs!$B$43)-(B2179))))*IF(AND(ArtifactsInput!$M$42,((Inputs!$B$9+((C2160=TRUE)*(F2160-Calc!F19))+B2172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2149*(MIN((Inputs!$B$9+((C2160=TRUE)*(F2160-Calc!F19))+B2172+(ArtifactsInput!$M$24-ArtifactsInput!$M$24)*CHOOSE(ArtifactsInput!$N$24+1,10,12,14,16,18,20)+(IF(AND(Inputs!$B$38&lt;&gt;"pvp",Inputs!$B$43=0),1,IF(IF(Inputs!$B$38="pvp",15,Inputs!$B$43)-(B2179)&lt;=0,1,MAX(0,IF(Inputs!$B$38="pvp",15,Inputs!$B$43)-MAX(5,B2179))/(IF(Inputs!$B$38="pvp",15,Inputs!$B$43)-(B2179))))*IF(AND(ArtifactsInput!$M$42,((Inputs!$B$9+((C2160=TRUE)*(F2160-Calc!F19))+B2172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49">
        <f>(1-Summary!$B$11)*T2149+Summary!$B$11*V2149</f>
        <v/>
      </c>
      <c r="P2149">
        <f>IF(B2182=0,0,O2149/B2182)</f>
        <v/>
      </c>
      <c r="Q2149">
        <f>IFERROR(1/((IF(Inputs!$B$38="pvp",15,MAX(0.1,Skills!D8-IF(TRUE=TRUE,Inputs!$B$32,0)))*(1-IF(AND(ArtifactsInput!$M$27,Inputs!$B$4="Chapter Hunt"),CHOOSE(ArtifactsInput!$N$27+1,20,24,28,32,36,40),0)/100))/B2183),0)</f>
        <v/>
      </c>
      <c r="R2149">
        <f>IF(AND(Inputs!$B$38&lt;&gt;"pvp",Inputs!$B$43&gt;0),IF(MAX(0,Inputs!$B$43-B2179)&lt;=0,0,(INT(MAX(0,Inputs!$B$43-B2179)/((IF(Inputs!$B$38="pvp",15,MAX(0.1,Skills!D8-IF(TRUE=TRUE,Inputs!$B$32,0)))*(1-IF(AND(ArtifactsInput!$M$27,Inputs!$B$4="Chapter Hunt"),CHOOSE(ArtifactsInput!$N$27+1,20,24,28,32,36,40),0)/100))/B2183))+1)),0)</f>
        <v/>
      </c>
      <c r="S2149">
        <f>IFERROR(O2149/N2149,0)</f>
        <v/>
      </c>
      <c r="T2149">
        <f>IF(C2149,(H2149*N2149*IF(AND(Inputs!$B$38&lt;&gt;"pvp",Inputs!$B$43&gt;0),((Skills!G8*((R2149-1)*IF(Skills!H8&gt;0,INT(Skills!I8/Skills!H8+0.000000001),1)+IF(Skills!H8&gt;0,INT(MIN(Skills!I8,MAX(0,MAX(0,Inputs!$B$43-B2179)-((R2149-1)*((IF(Inputs!$B$38="pvp",15,MAX(0.1,Skills!D8-IF(TRUE=TRUE,Inputs!$B$32,0)))*(1-IF(AND(ArtifactsInput!$M$27,Inputs!$B$4="Chapter Hunt"),CHOOSE(ArtifactsInput!$N$27+1,20,24,28,32,36,40),0)/100))/B2183))))/Skills!H8+0.000000001),1)))/Inputs!$B$43),G2149*Q2149))*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Hunt"),CHOOSE(ArtifactsInput!$N$35+1,15,18,21,24,27,30)*(1-EXP(-(0.2*B2174)*5)),0)+IF(AND(ArtifactsInput!$M$22,Inputs!$B$4&lt;&gt;"Chapter Hunt"),CHOOSE(ArtifactsInput!$N$22+1,10,12,14,16,18,20)*((0*(((0.15*B2174*5))^0/1)+1*(((0.15*B2174*5))^1/1)+2*(((0.15*B2174*5))^2/2)+3*(((0.15*B2174*5))^3/6)+4*(((0.15*B2174*5))^4/24)+5*(((0.15*B2174*5))^5/120))/((((0.15*B2174*5))^0/1)+(((0.15*B2174*5))^1/1)+(((0.15*B2174*5))^2/2)+(((0.15*B2174*5))^3/6)+(((0.15*B2174*5))^4/24)+(((0.15*B2174*5))^5/120))),0))+IF(Inputs!$B$3&gt;=54,9*(C2144=TRUE)*MIN(1,8*(1+Inputs!$B$34/100)*Q2144)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2149*(1-MIN(100,(Inputs!$B$9+((C2160=TRUE)*(F2160-Calc!F19))+B2172+(ArtifactsInput!$M$24-ArtifactsInput!$M$24)*CHOOSE(ArtifactsInput!$N$24+1,10,12,14,16,18,20)+(IF(AND(Inputs!$B$38&lt;&gt;"pvp",Inputs!$B$43=0),1,IF(IF(Inputs!$B$38="pvp",15,Inputs!$B$43)-(B2179)&lt;=0,1,MAX(0,IF(Inputs!$B$38="pvp",15,Inputs!$B$43)-MAX(5,B2179))/(IF(Inputs!$B$38="pvp",15,Inputs!$B$43)-(B2179))))*IF(AND(ArtifactsInput!$M$42,((Inputs!$B$9+((C2160=TRUE)*(F2160-Calc!F19))+B2172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2149*(MIN(100,(Inputs!$B$9+((C2160=TRUE)*(F2160-Calc!F19))+B2172+(ArtifactsInput!$M$24-ArtifactsInput!$M$24)*CHOOSE(ArtifactsInput!$N$24+1,10,12,14,16,18,20)+(IF(AND(Inputs!$B$38&lt;&gt;"pvp",Inputs!$B$43=0),1,IF(IF(Inputs!$B$38="pvp",15,Inputs!$B$43)-(B2179)&lt;=0,1,MAX(0,IF(Inputs!$B$38="pvp",15,Inputs!$B$43)-MAX(5,B2179))/(IF(Inputs!$B$38="pvp",15,Inputs!$B$43)-(B2179))))*IF(AND(ArtifactsInput!$M$42,((Inputs!$B$9+((C2160=TRUE)*(F2160-Calc!F19))+B2172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2149*(1-MIN(100,(Inputs!$B$9+((C2160=TRUE)*(F2160-Calc!F19))+B2172+(ArtifactsInput!$M$24-ArtifactsInput!$M$24)*CHOOSE(ArtifactsInput!$N$24+1,10,12,14,16,18,20)+(IF(AND(Inputs!$B$38&lt;&gt;"pvp",Inputs!$B$43=0),1,IF(IF(Inputs!$B$38="pvp",15,Inputs!$B$43)-(B2179)&lt;=0,1,MAX(0,IF(Inputs!$B$38="pvp",15,Inputs!$B$43)-MAX(5,B2179))/(IF(Inputs!$B$38="pvp",15,Inputs!$B$43)-(B2179))))*IF(AND(ArtifactsInput!$M$42,((Inputs!$B$9+((C2160=TRUE)*(F2160-Calc!F19))+B2172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2149*(MIN(100,(Inputs!$B$9+((C2160=TRUE)*(F2160-Calc!F19))+B2172+(ArtifactsInput!$M$24-ArtifactsInput!$M$24)*CHOOSE(ArtifactsInput!$N$24+1,10,12,14,16,18,20)+(IF(AND(Inputs!$B$38&lt;&gt;"pvp",Inputs!$B$43=0),1,IF(IF(Inputs!$B$38="pvp",15,Inputs!$B$43)-(B2179)&lt;=0,1,MAX(0,IF(Inputs!$B$38="pvp",15,Inputs!$B$43)-MAX(5,B2179))/(IF(Inputs!$B$38="pvp",15,Inputs!$B$43)-(B2179))))*IF(AND(ArtifactsInput!$M$42,((Inputs!$B$9+((C2160=TRUE)*(F2160-Calc!F19))+B2172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IF(ArtifactsInput!$M$26,FALSE,TRUE),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49">
        <f>IF(C2149,(H2149*N2149*IF(AND(Inputs!$B$38&lt;&gt;"pvp",Inputs!$B$43&gt;0),((Skills!G8*((R2149-1)*IF(Skills!H8&gt;0,INT(Skills!I8/Skills!H8+0.000000001),1)+IF(Skills!H8&gt;0,INT(MIN(Skills!I8,MAX(0,MAX(0,Inputs!$B$43-B2179)-((R2149-1)*((IF(Inputs!$B$38="pvp",15,MAX(0.1,Skills!D8-IF(TRUE=TRUE,Inputs!$B$32,0)))*(1-IF(AND(ArtifactsInput!$M$27,Inputs!$B$4="Chapter Hunt"),CHOOSE(ArtifactsInput!$N$27+1,20,24,28,32,36,40),0)/100))/B2183))))/Skills!H8+0.000000001),1)))/Inputs!$B$43),G2149*Q2149))*IF(Inputs!$B$38="pvp",1,(1+(Inputs!$B$21+Skills!Q8+(IF(ArtifactsInput!$M$33,CHOOSE(ArtifactsInput!$N$33+1,30,36,42,48,54,60),0))+(IF(AND(ArtifactsInput!$M$35,Inputs!$B$4&lt;&gt;"Chapter Hunt"),CHOOSE(ArtifactsInput!$N$35+1,15,18,21,24,27,30)*(1-EXP(-(0.2*B2174)*5)),0)+IF(AND(ArtifactsInput!$M$22,Inputs!$B$4&lt;&gt;"Chapter Hunt"),CHOOSE(ArtifactsInput!$N$22+1,10,12,14,16,18,20)*((0*(((0.15*B2174*5))^0/1)+1*(((0.15*B2174*5))^1/1)+2*(((0.15*B2174*5))^2/2)+3*(((0.15*B2174*5))^3/6)+4*(((0.15*B2174*5))^4/24)+5*(((0.15*B2174*5))^5/120))/((((0.15*B2174*5))^0/1)+(((0.15*B2174*5))^1/1)+(((0.15*B2174*5))^2/2)+(((0.15*B2174*5))^3/6)+(((0.15*B2174*5))^4/24)+(((0.15*B2174*5))^5/120))),0))+IF(Inputs!$B$3&gt;=54,9*(C2144=TRUE)*MIN(1,8*(1+Inputs!$B$34/100)*Q2144),0))/100)*(MIN(Skills!R8,Inputs!$B$37)))*((1+(IF(AND(ArtifactsInput!$M$41,Inputs!$B$38&lt;&gt;"pvp"),CHOOSE(ArtifactsInput!$N$41+1,5,6,7,8,9,10)*IF(OR(Inputs!$B$4="Weapon Dungeon",Inputs!$B$4="Equipment Dungeon",Inputs!$B$4="Enhancement Dungeon",Inputs!$B$4="EXP Dungeon",Inputs!$B$4="Hero Dungeon"),3,1),0)+IF(IF(ArtifactsInput!$M$26,FALSE,TRUE),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50">
      <c r="A2150">
        <f>Skills!A9</f>
        <v/>
      </c>
      <c r="B2150">
        <f>Skills!B9</f>
        <v/>
      </c>
      <c r="C2150">
        <f>Inputs!$B$3&gt;=105</f>
        <v/>
      </c>
      <c r="D2150">
        <f>IF(Skills!C9=1,60+Inputs!$B$25+Inputs!$B$29,IF(Skills!C9=2,90+Inputs!$B$26+Inputs!$B$29,IF(Skills!C9=3,120+Inputs!$B$27+Inputs!$B$29,MAX(0,(Inputs!$B$3-100)*3)+Inputs!$B$28+Inputs!$B$29)))</f>
        <v/>
      </c>
      <c r="E2150">
        <f>INDEX(FactorTable!$B$2:$Y$301, MATCH(ROUND(MIN(300,MAX(1,D2150)),0), FactorTable!$A$2:$A$301,0), Skills!M9+1)</f>
        <v/>
      </c>
      <c r="F2150">
        <f>IF(Skills!N9=TRUE,(Skills!L9/10)*(E2150/1000),Skills!L9/10)+Skills!O9</f>
        <v/>
      </c>
      <c r="G2150">
        <f>Skills!G9*IF(Skills!H9&gt;0,INT(IF(Inputs!$B$38="pvp",MIN(Skills!I9,15),Skills!I9)/Skills!H9+0.000000001),1)</f>
        <v/>
      </c>
      <c r="H2150">
        <f>1-(1-Skills!J9/100)^Skills!K9</f>
        <v/>
      </c>
      <c r="I2150" t="inlineStr">
        <is>
          <t>1</t>
        </is>
      </c>
      <c r="J2150">
        <f>((Inputs!$B$6*(1+Inputs!$B$7/100))+(((Inputs!$B$12*(1+Inputs!$B$13/100))-(Inputs!$B$12*(1+Inputs!$B$13/100)))+0.25*(Inputs!$B$14-Inputs!$B$14))*(1+Inputs!$B$7/100))*(F2150/100)</f>
        <v/>
      </c>
      <c r="K2150">
        <f>J2150*(1+((Inputs!$B$12*(1+Inputs!$B$13/100))*0.01+Inputs!$B$14*0.0025)/100)*(1+Inputs!$B$15/100)*(1+Inputs!$B$16/100)*(5000/(6000+Inputs!$B$42*(1-(100*(1-(1-(Inputs!$B$19+0)/100)*(1-CHOOSE(ArtifactsInput!$N$40+1,5,6,7,8,9,10)/100)^(ArtifactsInput!$M$40-ArtifactsInput!$M$40)))/100)))*(1+(Inputs!$B$24+((C2167=TRUE)*(F2167-Calc!F26))+B2178)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IGHT_LEGS_EASTON",Inputs!$B$17+((C2164=TRUE)*(F2164-Calc!F23))+((C2168=TRUE)*(F2168-Calc!F27))+((IF(AND(Inputs!$B$38&lt;&gt;"pvp",Inputs!$B$43=0),1,IF(IF(Inputs!$B$38="pvp",15,Inputs!$B$43)-(B2179)&lt;=0,1,MAX(0,IF(Inputs!$B$38="pvp",15,Inputs!$B$43)-MAX(5,B2179))/(IF(Inputs!$B$38="pvp",15,Inputs!$B$43)-(B2179))))*(IF(AND(ArtifactsInput!$M$42,((Inputs!$B$9+((C2160=TRUE)*(F2160-Calc!F19))+B2172+(ArtifactsInput!$M$24-ArtifactsInput!$M$24)*CHOOSE(ArtifactsInput!$N$24+1,10,12,14,16,18,20)+IF(ArtifactsInput!$M$10,CHOOSE(ArtifactsInput!$N$10+1,15,18,21,24,27,30)*(IF(Inputs!$B$38="pvp",MIN(15,15)/15,IF(AND(Inputs!$B$38&lt;&gt;"pvp",Inputs!$B$43&gt;0),MIN(15,Inputs!$B$43)/(Inputs!$B$43),0))),0)))&gt;=100),MIN(100,((Inputs!$B$9+((C2160=TRUE)*(F2160-Calc!F19))+B2172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2179)&lt;=0,1,MAX(0,IF(Inputs!$B$38="pvp",15,Inputs!$B$43)-MAX(5,B2179))/(IF(Inputs!$B$38="pvp",15,Inputs!$B$43)-(B2179))))*IF(AND(ArtifactsInput!$M$42,((Inputs!$B$9+((C2160=TRUE)*(F2160-Calc!F19))+B2172+(ArtifactsInput!$M$24-ArtifactsInput!$M$24)*CHOOSE(ArtifactsInput!$N$24+1,10,12,14,16,18,20)+IF(ArtifactsInput!$M$10,CHOOSE(ArtifactsInput!$N$10+1,15,18,21,24,27,30)*(IF(Inputs!$B$38="pvp",MIN(15,15)/15,IF(AND(Inputs!$B$38&lt;&gt;"pvp",Inputs!$B$43&gt;0),MIN(15,Inputs!$B$43)/(Inputs!$B$43),0))),0)))&gt;=100),CHOOSE(ArtifactsInput!$N$42+1,40,48,56,64,72,80),0))))/100)*((1+(((C2158=TRUE)*F2158*5/7)+((C2165=TRUE)*(F2165-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2150)</f>
        <v/>
      </c>
      <c r="L2150">
        <f>K2150*(MIN(Inputs!$B$22+((C2163=TRUE)*(F2163-Calc!F22)),(Inputs!$B$23+0+(IF(ArtifactsInput!$M$15,CHOOSE(ArtifactsInput!$N$15+1,25,30,35,40,45,50)/100*(Inputs!$B$11-Inputs!$B$11),0))))/100+(Inputs!$B$23+0+(IF(ArtifactsInput!$M$15,CHOOSE(ArtifactsInput!$N$15+1,25,30,35,40,45,50)/100*(Inputs!$B$11-Inputs!$B$11),0)))/100)/2</f>
        <v/>
      </c>
      <c r="M2150">
        <f>L2150*(1+(Inputs!$B$10+((C2166=TRUE)*(F2166-Calc!F25))+B2177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50">
        <f>L2150*(1-MIN((Inputs!$B$9+((C2160=TRUE)*(F2160-Calc!F19))+B2172+(ArtifactsInput!$M$24-ArtifactsInput!$M$24)*CHOOSE(ArtifactsInput!$N$24+1,10,12,14,16,18,20)+(IF(AND(Inputs!$B$38&lt;&gt;"pvp",Inputs!$B$43=0),1,IF(IF(Inputs!$B$38="pvp",15,Inputs!$B$43)-(B2179)&lt;=0,1,MAX(0,IF(Inputs!$B$38="pvp",15,Inputs!$B$43)-MAX(5,B2179))/(IF(Inputs!$B$38="pvp",15,Inputs!$B$43)-(B2179))))*IF(AND(ArtifactsInput!$M$42,((Inputs!$B$9+((C2160=TRUE)*(F2160-Calc!F19))+B2172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2150*(MIN((Inputs!$B$9+((C2160=TRUE)*(F2160-Calc!F19))+B2172+(ArtifactsInput!$M$24-ArtifactsInput!$M$24)*CHOOSE(ArtifactsInput!$N$24+1,10,12,14,16,18,20)+(IF(AND(Inputs!$B$38&lt;&gt;"pvp",Inputs!$B$43=0),1,IF(IF(Inputs!$B$38="pvp",15,Inputs!$B$43)-(B2179)&lt;=0,1,MAX(0,IF(Inputs!$B$38="pvp",15,Inputs!$B$43)-MAX(5,B2179))/(IF(Inputs!$B$38="pvp",15,Inputs!$B$43)-(B2179))))*IF(AND(ArtifactsInput!$M$42,((Inputs!$B$9+((C2160=TRUE)*(F2160-Calc!F19))+B2172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50">
        <f>(1-Summary!$B$11)*T2150+Summary!$B$11*V2150</f>
        <v/>
      </c>
      <c r="P2150">
        <f>IF(B2182=0,0,O2150/B2182)</f>
        <v/>
      </c>
      <c r="Q2150">
        <f>IFERROR(1/(IF(Inputs!$B$38="pvp",15,MAX(0.1,Skills!D9-IF(TRUE=TRUE,Inputs!$B$32,0)))*(1-IF(AND(ArtifactsInput!$M$27,Inputs!$B$4="Chapter Hunt"),CHOOSE(ArtifactsInput!$N$27+1,20,24,28,32,36,40),0)/100)),0)</f>
        <v/>
      </c>
      <c r="R2150">
        <f>IF(AND(Inputs!$B$38&lt;&gt;"pvp",Inputs!$B$43&gt;0),IF(MAX(0,Inputs!$B$43-B2179)&lt;=0,0,(INT(MAX(0,Inputs!$B$43-B2179)/(IF(Inputs!$B$38="pvp",15,MAX(0.1,Skills!D9-IF(TRUE=TRUE,Inputs!$B$32,0)))*(1-IF(AND(ArtifactsInput!$M$27,Inputs!$B$4="Chapter Hunt"),CHOOSE(ArtifactsInput!$N$27+1,20,24,28,32,36,40),0)/100)))+1)),0)</f>
        <v/>
      </c>
      <c r="S2150">
        <f>IFERROR(O2150/N2150,0)</f>
        <v/>
      </c>
      <c r="T2150">
        <f>IF(C2150,(H2150*N2150*IF(AND(Inputs!$B$38&lt;&gt;"pvp",Inputs!$B$43&gt;0),((Skills!G9*((R2150-1)*IF(Skills!H9&gt;0,INT(Skills!I9/Skills!H9+0.000000001),1)+IF(Skills!H9&gt;0,INT(MIN(Skills!I9,MAX(0,MAX(0,Inputs!$B$43-B2179)-((R2150-1)*(IF(Inputs!$B$38="pvp",15,MAX(0.1,Skills!D9-IF(TRUE=TRUE,Inputs!$B$32,0)))*(1-IF(AND(ArtifactsInput!$M$27,Inputs!$B$4="Chapter Hunt"),CHOOSE(ArtifactsInput!$N$27+1,20,24,28,32,36,40),0)/100)))))/Skills!H9+0.000000001),1)))/Inputs!$B$43),G2150*Q2150)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Hunt"),CHOOSE(ArtifactsInput!$N$35+1,15,18,21,24,27,30)*(1-EXP(-(0.2*B2174)*5)),0)+IF(AND(ArtifactsInput!$M$22,Inputs!$B$4&lt;&gt;"Chapter Hunt"),CHOOSE(ArtifactsInput!$N$22+1,10,12,14,16,18,20)*((0*(((0.15*B2174*5))^0/1)+1*(((0.15*B2174*5))^1/1)+2*(((0.15*B2174*5))^2/2)+3*(((0.15*B2174*5))^3/6)+4*(((0.15*B2174*5))^4/24)+5*(((0.15*B2174*5))^5/120))/((((0.15*B2174*5))^0/1)+(((0.15*B2174*5))^1/1)+(((0.15*B2174*5))^2/2)+(((0.15*B2174*5))^3/6)+(((0.15*B2174*5))^4/24)+(((0.15*B2174*5))^5/120))),0))+IF(Inputs!$B$3&gt;=54,9*(C2144=TRUE)*MIN(1,8*(1+Inputs!$B$34/100)*Q2144)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2150*(1-MIN(100,(Inputs!$B$9+((C2160=TRUE)*(F2160-Calc!F19))+B2172+(ArtifactsInput!$M$24-ArtifactsInput!$M$24)*CHOOSE(ArtifactsInput!$N$24+1,10,12,14,16,18,20)+(IF(AND(Inputs!$B$38&lt;&gt;"pvp",Inputs!$B$43=0),1,IF(IF(Inputs!$B$38="pvp",15,Inputs!$B$43)-(B2179)&lt;=0,1,MAX(0,IF(Inputs!$B$38="pvp",15,Inputs!$B$43)-MAX(5,B2179))/(IF(Inputs!$B$38="pvp",15,Inputs!$B$43)-(B2179))))*IF(AND(ArtifactsInput!$M$42,((Inputs!$B$9+((C2160=TRUE)*(F2160-Calc!F19))+B2172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2150*(MIN(100,(Inputs!$B$9+((C2160=TRUE)*(F2160-Calc!F19))+B2172+(ArtifactsInput!$M$24-ArtifactsInput!$M$24)*CHOOSE(ArtifactsInput!$N$24+1,10,12,14,16,18,20)+(IF(AND(Inputs!$B$38&lt;&gt;"pvp",Inputs!$B$43=0),1,IF(IF(Inputs!$B$38="pvp",15,Inputs!$B$43)-(B2179)&lt;=0,1,MAX(0,IF(Inputs!$B$38="pvp",15,Inputs!$B$43)-MAX(5,B2179))/(IF(Inputs!$B$38="pvp",15,Inputs!$B$43)-(B2179))))*IF(AND(ArtifactsInput!$M$42,((Inputs!$B$9+((C2160=TRUE)*(F2160-Calc!F19))+B2172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2150*(1-MIN(100,(Inputs!$B$9+((C2160=TRUE)*(F2160-Calc!F19))+B2172+(ArtifactsInput!$M$24-ArtifactsInput!$M$24)*CHOOSE(ArtifactsInput!$N$24+1,10,12,14,16,18,20)+(IF(AND(Inputs!$B$38&lt;&gt;"pvp",Inputs!$B$43=0),1,IF(IF(Inputs!$B$38="pvp",15,Inputs!$B$43)-(B2179)&lt;=0,1,MAX(0,IF(Inputs!$B$38="pvp",15,Inputs!$B$43)-MAX(5,B2179))/(IF(Inputs!$B$38="pvp",15,Inputs!$B$43)-(B2179))))*IF(AND(ArtifactsInput!$M$42,((Inputs!$B$9+((C2160=TRUE)*(F2160-Calc!F19))+B2172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2150*(MIN(100,(Inputs!$B$9+((C2160=TRUE)*(F2160-Calc!F19))+B2172+(ArtifactsInput!$M$24-ArtifactsInput!$M$24)*CHOOSE(ArtifactsInput!$N$24+1,10,12,14,16,18,20)+(IF(AND(Inputs!$B$38&lt;&gt;"pvp",Inputs!$B$43=0),1,IF(IF(Inputs!$B$38="pvp",15,Inputs!$B$43)-(B2179)&lt;=0,1,MAX(0,IF(Inputs!$B$38="pvp",15,Inputs!$B$43)-MAX(5,B2179))/(IF(Inputs!$B$38="pvp",15,Inputs!$B$43)-(B2179))))*IF(AND(ArtifactsInput!$M$42,((Inputs!$B$9+((C2160=TRUE)*(F2160-Calc!F19))+B2172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IF(ArtifactsInput!$M$26,FALSE,TRUE),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50">
        <f>IF(C2150,(H2150*N2150*IF(AND(Inputs!$B$38&lt;&gt;"pvp",Inputs!$B$43&gt;0),((Skills!G9*((R2150-1)*IF(Skills!H9&gt;0,INT(Skills!I9/Skills!H9+0.000000001),1)+IF(Skills!H9&gt;0,INT(MIN(Skills!I9,MAX(0,MAX(0,Inputs!$B$43-B2179)-((R2150-1)*(IF(Inputs!$B$38="pvp",15,MAX(0.1,Skills!D9-IF(TRUE=TRUE,Inputs!$B$32,0)))*(1-IF(AND(ArtifactsInput!$M$27,Inputs!$B$4="Chapter Hunt"),CHOOSE(ArtifactsInput!$N$27+1,20,24,28,32,36,40),0)/100)))))/Skills!H9+0.000000001),1)))/Inputs!$B$43),G2150*Q2150))*IF(Inputs!$B$38="pvp",1,(1+(Inputs!$B$21+Skills!Q9+(IF(ArtifactsInput!$M$33,CHOOSE(ArtifactsInput!$N$33+1,30,36,42,48,54,60),0))+(IF(AND(ArtifactsInput!$M$35,Inputs!$B$4&lt;&gt;"Chapter Hunt"),CHOOSE(ArtifactsInput!$N$35+1,15,18,21,24,27,30)*(1-EXP(-(0.2*B2174)*5)),0)+IF(AND(ArtifactsInput!$M$22,Inputs!$B$4&lt;&gt;"Chapter Hunt"),CHOOSE(ArtifactsInput!$N$22+1,10,12,14,16,18,20)*((0*(((0.15*B2174*5))^0/1)+1*(((0.15*B2174*5))^1/1)+2*(((0.15*B2174*5))^2/2)+3*(((0.15*B2174*5))^3/6)+4*(((0.15*B2174*5))^4/24)+5*(((0.15*B2174*5))^5/120))/((((0.15*B2174*5))^0/1)+(((0.15*B2174*5))^1/1)+(((0.15*B2174*5))^2/2)+(((0.15*B2174*5))^3/6)+(((0.15*B2174*5))^4/24)+(((0.15*B2174*5))^5/120))),0))+IF(Inputs!$B$3&gt;=54,9*(C2144=TRUE)*MIN(1,8*(1+Inputs!$B$34/100)*Q2144),0))/100)*(MIN(Skills!R9,Inputs!$B$37)))*((1+(IF(AND(ArtifactsInput!$M$41,Inputs!$B$38&lt;&gt;"pvp"),CHOOSE(ArtifactsInput!$N$41+1,5,6,7,8,9,10)*IF(OR(Inputs!$B$4="Weapon Dungeon",Inputs!$B$4="Equipment Dungeon",Inputs!$B$4="Enhancement Dungeon",Inputs!$B$4="EXP Dungeon",Inputs!$B$4="Hero Dungeon"),3,1),0)+IF(IF(ArtifactsInput!$M$26,FALSE,TRUE),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51">
      <c r="A2151">
        <f>Skills!A10</f>
        <v/>
      </c>
      <c r="B2151">
        <f>Skills!B10</f>
        <v/>
      </c>
      <c r="C2151">
        <f>Inputs!$B$3&gt;=113</f>
        <v/>
      </c>
      <c r="D2151">
        <f>IF(Skills!C10=1,60+Inputs!$B$25+Inputs!$B$29,IF(Skills!C10=2,90+Inputs!$B$26+Inputs!$B$29,IF(Skills!C10=3,120+Inputs!$B$27+Inputs!$B$29,MAX(0,(Inputs!$B$3-100)*3)+Inputs!$B$28+Inputs!$B$29)))</f>
        <v/>
      </c>
      <c r="E2151">
        <f>INDEX(FactorTable!$B$2:$Y$301, MATCH(ROUND(MIN(300,MAX(1,D2151)),0), FactorTable!$A$2:$A$301,0), Skills!M10+1)</f>
        <v/>
      </c>
      <c r="F2151">
        <f>IF(Skills!N10=TRUE,(Skills!L10/10)*(E2151/1000),Skills!L10/10)+Skills!O10</f>
        <v/>
      </c>
      <c r="G2151">
        <f>Skills!G10*IF(Skills!H10&gt;0,INT(IF(Inputs!$B$38="pvp",MIN(Skills!I10,15),Skills!I10)/Skills!H10+0.000000001),1)</f>
        <v/>
      </c>
      <c r="H2151">
        <f>1-(1-Skills!J10/100)^Skills!K10</f>
        <v/>
      </c>
      <c r="I2151" t="inlineStr">
        <is>
          <t>1</t>
        </is>
      </c>
      <c r="J2151">
        <f>((Inputs!$B$6*(1+Inputs!$B$7/100))+(((Inputs!$B$12*(1+Inputs!$B$13/100))-(Inputs!$B$12*(1+Inputs!$B$13/100)))+0.25*(Inputs!$B$14-Inputs!$B$14))*(1+Inputs!$B$7/100))*(F2151/100)</f>
        <v/>
      </c>
      <c r="K2151">
        <f>J2151*(1+((Inputs!$B$12*(1+Inputs!$B$13/100))*0.01+Inputs!$B$14*0.0025)/100)*(1+Inputs!$B$15/100)*(1+Inputs!$B$16/100)*(5000/(6000+Inputs!$B$42*(1-(100*(1-(1-(Inputs!$B$19+0)/100)*(1-CHOOSE(ArtifactsInput!$N$40+1,5,6,7,8,9,10)/100)^(ArtifactsInput!$M$40-ArtifactsInput!$M$40)))/100)))*(1+(Inputs!$B$24+((C2167=TRUE)*(F2167-Calc!F26))+B2178)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IGHT_LEGS_EASTON",Inputs!$B$17+((C2164=TRUE)*(F2164-Calc!F23))+((C2168=TRUE)*(F2168-Calc!F27))+((IF(AND(Inputs!$B$38&lt;&gt;"pvp",Inputs!$B$43=0),1,IF(IF(Inputs!$B$38="pvp",15,Inputs!$B$43)-(B2179)&lt;=0,1,MAX(0,IF(Inputs!$B$38="pvp",15,Inputs!$B$43)-MAX(5,B2179))/(IF(Inputs!$B$38="pvp",15,Inputs!$B$43)-(B2179))))*(IF(AND(ArtifactsInput!$M$42,((Inputs!$B$9+((C2160=TRUE)*(F2160-Calc!F19))+B2172+(ArtifactsInput!$M$24-ArtifactsInput!$M$24)*CHOOSE(ArtifactsInput!$N$24+1,10,12,14,16,18,20)+IF(ArtifactsInput!$M$10,CHOOSE(ArtifactsInput!$N$10+1,15,18,21,24,27,30)*(IF(Inputs!$B$38="pvp",MIN(15,15)/15,IF(AND(Inputs!$B$38&lt;&gt;"pvp",Inputs!$B$43&gt;0),MIN(15,Inputs!$B$43)/(Inputs!$B$43),0))),0)))&gt;=100),MIN(100,((Inputs!$B$9+((C2160=TRUE)*(F2160-Calc!F19))+B2172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2179)&lt;=0,1,MAX(0,IF(Inputs!$B$38="pvp",15,Inputs!$B$43)-MAX(5,B2179))/(IF(Inputs!$B$38="pvp",15,Inputs!$B$43)-(B2179))))*IF(AND(ArtifactsInput!$M$42,((Inputs!$B$9+((C2160=TRUE)*(F2160-Calc!F19))+B2172+(ArtifactsInput!$M$24-ArtifactsInput!$M$24)*CHOOSE(ArtifactsInput!$N$24+1,10,12,14,16,18,20)+IF(ArtifactsInput!$M$10,CHOOSE(ArtifactsInput!$N$10+1,15,18,21,24,27,30)*(IF(Inputs!$B$38="pvp",MIN(15,15)/15,IF(AND(Inputs!$B$38&lt;&gt;"pvp",Inputs!$B$43&gt;0),MIN(15,Inputs!$B$43)/(Inputs!$B$43),0))),0)))&gt;=100),CHOOSE(ArtifactsInput!$N$42+1,40,48,56,64,72,80),0))))/100)*((1+(((C2158=TRUE)*F2158*5/7)+((C2165=TRUE)*(F2165-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2151)</f>
        <v/>
      </c>
      <c r="L2151">
        <f>K2151*(MIN(Inputs!$B$22+((C2163=TRUE)*(F2163-Calc!F22)),(Inputs!$B$23+0+(IF(ArtifactsInput!$M$15,CHOOSE(ArtifactsInput!$N$15+1,25,30,35,40,45,50)/100*(Inputs!$B$11-Inputs!$B$11),0))))/100+(Inputs!$B$23+0+(IF(ArtifactsInput!$M$15,CHOOSE(ArtifactsInput!$N$15+1,25,30,35,40,45,50)/100*(Inputs!$B$11-Inputs!$B$11),0)))/100)/2</f>
        <v/>
      </c>
      <c r="M2151">
        <f>L2151*(1+(Inputs!$B$10+((C2166=TRUE)*(F2166-Calc!F25))+B2177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51">
        <f>L2151*(1-MIN((Inputs!$B$9+((C2160=TRUE)*(F2160-Calc!F19))+B2172+(ArtifactsInput!$M$24-ArtifactsInput!$M$24)*CHOOSE(ArtifactsInput!$N$24+1,10,12,14,16,18,20)+(IF(AND(Inputs!$B$38&lt;&gt;"pvp",Inputs!$B$43=0),1,IF(IF(Inputs!$B$38="pvp",15,Inputs!$B$43)-(B2179)&lt;=0,1,MAX(0,IF(Inputs!$B$38="pvp",15,Inputs!$B$43)-MAX(5,B2179))/(IF(Inputs!$B$38="pvp",15,Inputs!$B$43)-(B2179))))*IF(AND(ArtifactsInput!$M$42,((Inputs!$B$9+((C2160=TRUE)*(F2160-Calc!F19))+B2172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2151*(MIN((Inputs!$B$9+((C2160=TRUE)*(F2160-Calc!F19))+B2172+(ArtifactsInput!$M$24-ArtifactsInput!$M$24)*CHOOSE(ArtifactsInput!$N$24+1,10,12,14,16,18,20)+(IF(AND(Inputs!$B$38&lt;&gt;"pvp",Inputs!$B$43=0),1,IF(IF(Inputs!$B$38="pvp",15,Inputs!$B$43)-(B2179)&lt;=0,1,MAX(0,IF(Inputs!$B$38="pvp",15,Inputs!$B$43)-MAX(5,B2179))/(IF(Inputs!$B$38="pvp",15,Inputs!$B$43)-(B2179))))*IF(AND(ArtifactsInput!$M$42,((Inputs!$B$9+((C2160=TRUE)*(F2160-Calc!F19))+B2172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51">
        <f>(1-Summary!$B$11)*T2151+Summary!$B$11*V2151</f>
        <v/>
      </c>
      <c r="P2151">
        <f>IF(B2182=0,0,O2151/B2182)</f>
        <v/>
      </c>
      <c r="Q2151" t="n">
        <v>0</v>
      </c>
      <c r="R2151" t="n">
        <v>0</v>
      </c>
      <c r="S2151">
        <f>IFERROR(O2151/N2151,0)</f>
        <v/>
      </c>
      <c r="T2151">
        <f>IF(C2151,((H2151*B2184)/(1+Skills!H10*H2151*B2184)*N2151)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Hunt"),CHOOSE(ArtifactsInput!$N$35+1,15,18,21,24,27,30)*(1-EXP(-(0.2*B2174)*5)),0)+IF(AND(ArtifactsInput!$M$22,Inputs!$B$4&lt;&gt;"Chapter Hunt"),CHOOSE(ArtifactsInput!$N$22+1,10,12,14,16,18,20)*((0*(((0.15*B2174*5))^0/1)+1*(((0.15*B2174*5))^1/1)+2*(((0.15*B2174*5))^2/2)+3*(((0.15*B2174*5))^3/6)+4*(((0.15*B2174*5))^4/24)+5*(((0.15*B2174*5))^5/120))/((((0.15*B2174*5))^0/1)+(((0.15*B2174*5))^1/1)+(((0.15*B2174*5))^2/2)+(((0.15*B2174*5))^3/6)+(((0.15*B2174*5))^4/24)+(((0.15*B2174*5))^5/120))),0))+IF(Inputs!$B$3&gt;=54,9*(C2144=TRUE)*MIN(1,8*(1+Inputs!$B$34/100)*Q2144)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2151*(1-MIN(100,(Inputs!$B$9+((C2160=TRUE)*(F2160-Calc!F19))+B2172+(ArtifactsInput!$M$24-ArtifactsInput!$M$24)*CHOOSE(ArtifactsInput!$N$24+1,10,12,14,16,18,20)+(IF(AND(Inputs!$B$38&lt;&gt;"pvp",Inputs!$B$43=0),1,IF(IF(Inputs!$B$38="pvp",15,Inputs!$B$43)-(B2179)&lt;=0,1,MAX(0,IF(Inputs!$B$38="pvp",15,Inputs!$B$43)-MAX(5,B2179))/(IF(Inputs!$B$38="pvp",15,Inputs!$B$43)-(B2179))))*IF(AND(ArtifactsInput!$M$42,((Inputs!$B$9+((C2160=TRUE)*(F2160-Calc!F19))+B2172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2151*(MIN(100,(Inputs!$B$9+((C2160=TRUE)*(F2160-Calc!F19))+B2172+(ArtifactsInput!$M$24-ArtifactsInput!$M$24)*CHOOSE(ArtifactsInput!$N$24+1,10,12,14,16,18,20)+(IF(AND(Inputs!$B$38&lt;&gt;"pvp",Inputs!$B$43=0),1,IF(IF(Inputs!$B$38="pvp",15,Inputs!$B$43)-(B2179)&lt;=0,1,MAX(0,IF(Inputs!$B$38="pvp",15,Inputs!$B$43)-MAX(5,B2179))/(IF(Inputs!$B$38="pvp",15,Inputs!$B$43)-(B2179))))*IF(AND(ArtifactsInput!$M$42,((Inputs!$B$9+((C2160=TRUE)*(F2160-Calc!F19))+B2172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2151*(1-MIN(100,(Inputs!$B$9+((C2160=TRUE)*(F2160-Calc!F19))+B2172+(ArtifactsInput!$M$24-ArtifactsInput!$M$24)*CHOOSE(ArtifactsInput!$N$24+1,10,12,14,16,18,20)+(IF(AND(Inputs!$B$38&lt;&gt;"pvp",Inputs!$B$43=0),1,IF(IF(Inputs!$B$38="pvp",15,Inputs!$B$43)-(B2179)&lt;=0,1,MAX(0,IF(Inputs!$B$38="pvp",15,Inputs!$B$43)-MAX(5,B2179))/(IF(Inputs!$B$38="pvp",15,Inputs!$B$43)-(B2179))))*IF(AND(ArtifactsInput!$M$42,((Inputs!$B$9+((C2160=TRUE)*(F2160-Calc!F19))+B2172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2151*(MIN(100,(Inputs!$B$9+((C2160=TRUE)*(F2160-Calc!F19))+B2172+(ArtifactsInput!$M$24-ArtifactsInput!$M$24)*CHOOSE(ArtifactsInput!$N$24+1,10,12,14,16,18,20)+(IF(AND(Inputs!$B$38&lt;&gt;"pvp",Inputs!$B$43=0),1,IF(IF(Inputs!$B$38="pvp",15,Inputs!$B$43)-(B2179)&lt;=0,1,MAX(0,IF(Inputs!$B$38="pvp",15,Inputs!$B$43)-MAX(5,B2179))/(IF(Inputs!$B$38="pvp",15,Inputs!$B$43)-(B2179))))*IF(AND(ArtifactsInput!$M$42,((Inputs!$B$9+((C2160=TRUE)*(F2160-Calc!F19))+B2172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IF(ArtifactsInput!$M$26,FALSE,TRUE),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51">
        <f>IF(C2151,((H2151*B2184)/(1+Skills!H10*H2151*B2184)*N2151)*IF(Inputs!$B$38="pvp",1,(1+(Inputs!$B$21+Skills!Q10+(IF(ArtifactsInput!$M$33,CHOOSE(ArtifactsInput!$N$33+1,30,36,42,48,54,60),0))+(IF(AND(ArtifactsInput!$M$35,Inputs!$B$4&lt;&gt;"Chapter Hunt"),CHOOSE(ArtifactsInput!$N$35+1,15,18,21,24,27,30)*(1-EXP(-(0.2*B2174)*5)),0)+IF(AND(ArtifactsInput!$M$22,Inputs!$B$4&lt;&gt;"Chapter Hunt"),CHOOSE(ArtifactsInput!$N$22+1,10,12,14,16,18,20)*((0*(((0.15*B2174*5))^0/1)+1*(((0.15*B2174*5))^1/1)+2*(((0.15*B2174*5))^2/2)+3*(((0.15*B2174*5))^3/6)+4*(((0.15*B2174*5))^4/24)+5*(((0.15*B2174*5))^5/120))/((((0.15*B2174*5))^0/1)+(((0.15*B2174*5))^1/1)+(((0.15*B2174*5))^2/2)+(((0.15*B2174*5))^3/6)+(((0.15*B2174*5))^4/24)+(((0.15*B2174*5))^5/120))),0))+IF(Inputs!$B$3&gt;=54,9*(C2144=TRUE)*MIN(1,8*(1+Inputs!$B$34/100)*Q2144),0))/100)*(MIN(Skills!R10,Inputs!$B$37)))*((1+(IF(AND(ArtifactsInput!$M$41,Inputs!$B$38&lt;&gt;"pvp"),CHOOSE(ArtifactsInput!$N$41+1,5,6,7,8,9,10)*IF(OR(Inputs!$B$4="Weapon Dungeon",Inputs!$B$4="Equipment Dungeon",Inputs!$B$4="Enhancement Dungeon",Inputs!$B$4="EXP Dungeon",Inputs!$B$4="Hero Dungeon"),3,1),0)+IF(IF(ArtifactsInput!$M$26,FALSE,TRUE),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52">
      <c r="A2152">
        <f>Skills!A11</f>
        <v/>
      </c>
      <c r="B2152">
        <f>Skills!B11</f>
        <v/>
      </c>
      <c r="C2152">
        <f>Inputs!$B$3&gt;=117</f>
        <v/>
      </c>
      <c r="D2152">
        <f>IF(Skills!C11=1,60+Inputs!$B$25+Inputs!$B$29,IF(Skills!C11=2,90+Inputs!$B$26+Inputs!$B$29,IF(Skills!C11=3,120+Inputs!$B$27+Inputs!$B$29,MAX(0,(Inputs!$B$3-100)*3)+Inputs!$B$28+Inputs!$B$29)))</f>
        <v/>
      </c>
      <c r="E2152">
        <f>INDEX(FactorTable!$B$2:$Y$301, MATCH(ROUND(MIN(300,MAX(1,D2152)),0), FactorTable!$A$2:$A$301,0), Skills!M11+1)</f>
        <v/>
      </c>
      <c r="F2152">
        <f>IF(Skills!N11=TRUE,(Skills!L11/10)*(E2152/1000),Skills!L11/10)+Skills!O11</f>
        <v/>
      </c>
      <c r="G2152">
        <f>Skills!G11*IF(Skills!H11&gt;0,INT(IF(Inputs!$B$38="pvp",MIN(Skills!I11,15),Skills!I11)/Skills!H11+0.000000001),1)</f>
        <v/>
      </c>
      <c r="H2152">
        <f>1-(1-Skills!J11/100)^Skills!K11</f>
        <v/>
      </c>
      <c r="I2152" t="inlineStr">
        <is>
          <t>1</t>
        </is>
      </c>
      <c r="J2152">
        <f>((Inputs!$B$6*(1+Inputs!$B$7/100))+(((Inputs!$B$12*(1+Inputs!$B$13/100))-(Inputs!$B$12*(1+Inputs!$B$13/100)))+0.25*(Inputs!$B$14-Inputs!$B$14))*(1+Inputs!$B$7/100))*(F2152/100)</f>
        <v/>
      </c>
      <c r="K2152">
        <f>J2152*(1+((Inputs!$B$12*(1+Inputs!$B$13/100))*0.01+Inputs!$B$14*0.0025)/100)*(1+Inputs!$B$15/100)*(1+Inputs!$B$16/100)*(5000/(6000+Inputs!$B$42*(1-(100*(1-(1-(Inputs!$B$19+0)/100)*(1-CHOOSE(ArtifactsInput!$N$40+1,5,6,7,8,9,10)/100)^(ArtifactsInput!$M$40-ArtifactsInput!$M$40)))/100)))*(1+(Inputs!$B$24+((C2167=TRUE)*(F2167-Calc!F26))+B2178)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IGHT_LEGS_EASTON",Inputs!$B$17+((C2164=TRUE)*(F2164-Calc!F23))+((C2168=TRUE)*(F2168-Calc!F27))+((IF(AND(Inputs!$B$38&lt;&gt;"pvp",Inputs!$B$43=0),1,IF(IF(Inputs!$B$38="pvp",15,Inputs!$B$43)-(B2179)&lt;=0,1,MAX(0,IF(Inputs!$B$38="pvp",15,Inputs!$B$43)-MAX(5,B2179))/(IF(Inputs!$B$38="pvp",15,Inputs!$B$43)-(B2179))))*(IF(AND(ArtifactsInput!$M$42,((Inputs!$B$9+((C2160=TRUE)*(F2160-Calc!F19))+B2172+(ArtifactsInput!$M$24-ArtifactsInput!$M$24)*CHOOSE(ArtifactsInput!$N$24+1,10,12,14,16,18,20)+IF(ArtifactsInput!$M$10,CHOOSE(ArtifactsInput!$N$10+1,15,18,21,24,27,30)*(IF(Inputs!$B$38="pvp",MIN(15,15)/15,IF(AND(Inputs!$B$38&lt;&gt;"pvp",Inputs!$B$43&gt;0),MIN(15,Inputs!$B$43)/(Inputs!$B$43),0))),0)))&gt;=100),MIN(100,((Inputs!$B$9+((C2160=TRUE)*(F2160-Calc!F19))+B2172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2179)&lt;=0,1,MAX(0,IF(Inputs!$B$38="pvp",15,Inputs!$B$43)-MAX(5,B2179))/(IF(Inputs!$B$38="pvp",15,Inputs!$B$43)-(B2179))))*IF(AND(ArtifactsInput!$M$42,((Inputs!$B$9+((C2160=TRUE)*(F2160-Calc!F19))+B2172+(ArtifactsInput!$M$24-ArtifactsInput!$M$24)*CHOOSE(ArtifactsInput!$N$24+1,10,12,14,16,18,20)+IF(ArtifactsInput!$M$10,CHOOSE(ArtifactsInput!$N$10+1,15,18,21,24,27,30)*(IF(Inputs!$B$38="pvp",MIN(15,15)/15,IF(AND(Inputs!$B$38&lt;&gt;"pvp",Inputs!$B$43&gt;0),MIN(15,Inputs!$B$43)/(Inputs!$B$43),0))),0)))&gt;=100),CHOOSE(ArtifactsInput!$N$42+1,40,48,56,64,72,80),0))))/100)*((1+(((C2158=TRUE)*F2158*5/7)+((C2165=TRUE)*(F2165-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2152)</f>
        <v/>
      </c>
      <c r="L2152">
        <f>K2152*(MIN(Inputs!$B$22+((C2163=TRUE)*(F2163-Calc!F22)),(Inputs!$B$23+0+(IF(ArtifactsInput!$M$15,CHOOSE(ArtifactsInput!$N$15+1,25,30,35,40,45,50)/100*(Inputs!$B$11-Inputs!$B$11),0))))/100+(Inputs!$B$23+0+(IF(ArtifactsInput!$M$15,CHOOSE(ArtifactsInput!$N$15+1,25,30,35,40,45,50)/100*(Inputs!$B$11-Inputs!$B$11),0)))/100)/2</f>
        <v/>
      </c>
      <c r="M2152">
        <f>L2152*(1+(Inputs!$B$10+((C2166=TRUE)*(F2166-Calc!F25))+B2177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52">
        <f>L2152*(1-MIN((Inputs!$B$9+((C2160=TRUE)*(F2160-Calc!F19))+B2172+(ArtifactsInput!$M$24-ArtifactsInput!$M$24)*CHOOSE(ArtifactsInput!$N$24+1,10,12,14,16,18,20)+(IF(AND(Inputs!$B$38&lt;&gt;"pvp",Inputs!$B$43=0),1,IF(IF(Inputs!$B$38="pvp",15,Inputs!$B$43)-(B2179)&lt;=0,1,MAX(0,IF(Inputs!$B$38="pvp",15,Inputs!$B$43)-MAX(5,B2179))/(IF(Inputs!$B$38="pvp",15,Inputs!$B$43)-(B2179))))*IF(AND(ArtifactsInput!$M$42,((Inputs!$B$9+((C2160=TRUE)*(F2160-Calc!F19))+B2172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2152*(MIN((Inputs!$B$9+((C2160=TRUE)*(F2160-Calc!F19))+B2172+(ArtifactsInput!$M$24-ArtifactsInput!$M$24)*CHOOSE(ArtifactsInput!$N$24+1,10,12,14,16,18,20)+(IF(AND(Inputs!$B$38&lt;&gt;"pvp",Inputs!$B$43=0),1,IF(IF(Inputs!$B$38="pvp",15,Inputs!$B$43)-(B2179)&lt;=0,1,MAX(0,IF(Inputs!$B$38="pvp",15,Inputs!$B$43)-MAX(5,B2179))/(IF(Inputs!$B$38="pvp",15,Inputs!$B$43)-(B2179))))*IF(AND(ArtifactsInput!$M$42,((Inputs!$B$9+((C2160=TRUE)*(F2160-Calc!F19))+B2172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52">
        <f>(1-Summary!$B$11)*T2152+Summary!$B$11*V2152</f>
        <v/>
      </c>
      <c r="P2152">
        <f>IF(B2182=0,0,O2152/B2182)</f>
        <v/>
      </c>
      <c r="Q2152">
        <f>IFERROR(1/((IF(Inputs!$B$38="pvp",15,MAX(0.1,Skills!D11-IF(TRUE=TRUE,Inputs!$B$32,0)))*(1-IF(AND(ArtifactsInput!$M$27,Inputs!$B$4="Chapter Hunt"),CHOOSE(ArtifactsInput!$N$27+1,20,24,28,32,36,40),0)/100))/B2183),0)</f>
        <v/>
      </c>
      <c r="R2152">
        <f>IF(AND(Inputs!$B$38&lt;&gt;"pvp",Inputs!$B$43&gt;0),IF(MAX(0,Inputs!$B$43-B2179)&lt;=0,0,(INT(MAX(0,Inputs!$B$43-B2179)/((IF(Inputs!$B$38="pvp",15,MAX(0.1,Skills!D11-IF(TRUE=TRUE,Inputs!$B$32,0)))*(1-IF(AND(ArtifactsInput!$M$27,Inputs!$B$4="Chapter Hunt"),CHOOSE(ArtifactsInput!$N$27+1,20,24,28,32,36,40),0)/100))/B2183))+1)),0)</f>
        <v/>
      </c>
      <c r="S2152">
        <f>IFERROR(O2152/N2152,0)</f>
        <v/>
      </c>
      <c r="T2152">
        <f>IF(C2152,(H2152*N2152*IF(AND(Inputs!$B$38&lt;&gt;"pvp",Inputs!$B$43&gt;0),((Skills!G11*((R2152-1)*IF(Skills!H11&gt;0,INT(Skills!I11/Skills!H11+0.000000001),1)+IF(Skills!H11&gt;0,INT(MIN(Skills!I11,MAX(0,MAX(0,Inputs!$B$43-B2179)-((R2152-1)*((IF(Inputs!$B$38="pvp",15,MAX(0.1,Skills!D11-IF(TRUE=TRUE,Inputs!$B$32,0)))*(1-IF(AND(ArtifactsInput!$M$27,Inputs!$B$4="Chapter Hunt"),CHOOSE(ArtifactsInput!$N$27+1,20,24,28,32,36,40),0)/100))/B2183))))/Skills!H11+0.000000001),1)))/Inputs!$B$43),G2152*Q2152)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Hunt"),CHOOSE(ArtifactsInput!$N$35+1,15,18,21,24,27,30)*(1-EXP(-(0.2*B2174)*5)),0)+IF(AND(ArtifactsInput!$M$22,Inputs!$B$4&lt;&gt;"Chapter Hunt"),CHOOSE(ArtifactsInput!$N$22+1,10,12,14,16,18,20)*((0*(((0.15*B2174*5))^0/1)+1*(((0.15*B2174*5))^1/1)+2*(((0.15*B2174*5))^2/2)+3*(((0.15*B2174*5))^3/6)+4*(((0.15*B2174*5))^4/24)+5*(((0.15*B2174*5))^5/120))/((((0.15*B2174*5))^0/1)+(((0.15*B2174*5))^1/1)+(((0.15*B2174*5))^2/2)+(((0.15*B2174*5))^3/6)+(((0.15*B2174*5))^4/24)+(((0.15*B2174*5))^5/120))),0))+IF(Inputs!$B$3&gt;=54,9*(C2144=TRUE)*MIN(1,8*(1+Inputs!$B$34/100)*Q2144)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2152*(1-MIN(100,(Inputs!$B$9+((C2160=TRUE)*(F2160-Calc!F19))+B2172+(ArtifactsInput!$M$24-ArtifactsInput!$M$24)*CHOOSE(ArtifactsInput!$N$24+1,10,12,14,16,18,20)+(IF(AND(Inputs!$B$38&lt;&gt;"pvp",Inputs!$B$43=0),1,IF(IF(Inputs!$B$38="pvp",15,Inputs!$B$43)-(B2179)&lt;=0,1,MAX(0,IF(Inputs!$B$38="pvp",15,Inputs!$B$43)-MAX(5,B2179))/(IF(Inputs!$B$38="pvp",15,Inputs!$B$43)-(B2179))))*IF(AND(ArtifactsInput!$M$42,((Inputs!$B$9+((C2160=TRUE)*(F2160-Calc!F19))+B2172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2152*(MIN(100,(Inputs!$B$9+((C2160=TRUE)*(F2160-Calc!F19))+B2172+(ArtifactsInput!$M$24-ArtifactsInput!$M$24)*CHOOSE(ArtifactsInput!$N$24+1,10,12,14,16,18,20)+(IF(AND(Inputs!$B$38&lt;&gt;"pvp",Inputs!$B$43=0),1,IF(IF(Inputs!$B$38="pvp",15,Inputs!$B$43)-(B2179)&lt;=0,1,MAX(0,IF(Inputs!$B$38="pvp",15,Inputs!$B$43)-MAX(5,B2179))/(IF(Inputs!$B$38="pvp",15,Inputs!$B$43)-(B2179))))*IF(AND(ArtifactsInput!$M$42,((Inputs!$B$9+((C2160=TRUE)*(F2160-Calc!F19))+B2172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2152*(1-MIN(100,(Inputs!$B$9+((C2160=TRUE)*(F2160-Calc!F19))+B2172+(ArtifactsInput!$M$24-ArtifactsInput!$M$24)*CHOOSE(ArtifactsInput!$N$24+1,10,12,14,16,18,20)+(IF(AND(Inputs!$B$38&lt;&gt;"pvp",Inputs!$B$43=0),1,IF(IF(Inputs!$B$38="pvp",15,Inputs!$B$43)-(B2179)&lt;=0,1,MAX(0,IF(Inputs!$B$38="pvp",15,Inputs!$B$43)-MAX(5,B2179))/(IF(Inputs!$B$38="pvp",15,Inputs!$B$43)-(B2179))))*IF(AND(ArtifactsInput!$M$42,((Inputs!$B$9+((C2160=TRUE)*(F2160-Calc!F19))+B2172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2152*(MIN(100,(Inputs!$B$9+((C2160=TRUE)*(F2160-Calc!F19))+B2172+(ArtifactsInput!$M$24-ArtifactsInput!$M$24)*CHOOSE(ArtifactsInput!$N$24+1,10,12,14,16,18,20)+(IF(AND(Inputs!$B$38&lt;&gt;"pvp",Inputs!$B$43=0),1,IF(IF(Inputs!$B$38="pvp",15,Inputs!$B$43)-(B2179)&lt;=0,1,MAX(0,IF(Inputs!$B$38="pvp",15,Inputs!$B$43)-MAX(5,B2179))/(IF(Inputs!$B$38="pvp",15,Inputs!$B$43)-(B2179))))*IF(AND(ArtifactsInput!$M$42,((Inputs!$B$9+((C2160=TRUE)*(F2160-Calc!F19))+B2172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IF(ArtifactsInput!$M$26,FALSE,TRUE),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52">
        <f>IF(C2152,(H2152*N2152*IF(AND(Inputs!$B$38&lt;&gt;"pvp",Inputs!$B$43&gt;0),((Skills!G11*((R2152-1)*IF(Skills!H11&gt;0,INT(Skills!I11/Skills!H11+0.000000001),1)+IF(Skills!H11&gt;0,INT(MIN(Skills!I11,MAX(0,MAX(0,Inputs!$B$43-B2179)-((R2152-1)*((IF(Inputs!$B$38="pvp",15,MAX(0.1,Skills!D11-IF(TRUE=TRUE,Inputs!$B$32,0)))*(1-IF(AND(ArtifactsInput!$M$27,Inputs!$B$4="Chapter Hunt"),CHOOSE(ArtifactsInput!$N$27+1,20,24,28,32,36,40),0)/100))/B2183))))/Skills!H11+0.000000001),1)))/Inputs!$B$43),G2152*Q2152))*IF(Inputs!$B$38="pvp",1,(1+(Inputs!$B$21+Skills!Q11+(IF(ArtifactsInput!$M$33,CHOOSE(ArtifactsInput!$N$33+1,30,36,42,48,54,60),0))+(IF(AND(ArtifactsInput!$M$35,Inputs!$B$4&lt;&gt;"Chapter Hunt"),CHOOSE(ArtifactsInput!$N$35+1,15,18,21,24,27,30)*(1-EXP(-(0.2*B2174)*5)),0)+IF(AND(ArtifactsInput!$M$22,Inputs!$B$4&lt;&gt;"Chapter Hunt"),CHOOSE(ArtifactsInput!$N$22+1,10,12,14,16,18,20)*((0*(((0.15*B2174*5))^0/1)+1*(((0.15*B2174*5))^1/1)+2*(((0.15*B2174*5))^2/2)+3*(((0.15*B2174*5))^3/6)+4*(((0.15*B2174*5))^4/24)+5*(((0.15*B2174*5))^5/120))/((((0.15*B2174*5))^0/1)+(((0.15*B2174*5))^1/1)+(((0.15*B2174*5))^2/2)+(((0.15*B2174*5))^3/6)+(((0.15*B2174*5))^4/24)+(((0.15*B2174*5))^5/120))),0))+IF(Inputs!$B$3&gt;=54,9*(C2144=TRUE)*MIN(1,8*(1+Inputs!$B$34/100)*Q2144),0))/100)*(MIN(Skills!R11,Inputs!$B$37)))*((1+(IF(AND(ArtifactsInput!$M$41,Inputs!$B$38&lt;&gt;"pvp"),CHOOSE(ArtifactsInput!$N$41+1,5,6,7,8,9,10)*IF(OR(Inputs!$B$4="Weapon Dungeon",Inputs!$B$4="Equipment Dungeon",Inputs!$B$4="Enhancement Dungeon",Inputs!$B$4="EXP Dungeon",Inputs!$B$4="Hero Dungeon"),3,1),0)+IF(IF(ArtifactsInput!$M$26,FALSE,TRUE),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53">
      <c r="A2153">
        <f>Skills!A12</f>
        <v/>
      </c>
      <c r="B2153">
        <f>Skills!B12</f>
        <v/>
      </c>
      <c r="C2153">
        <f>Inputs!$B$3&gt;=110</f>
        <v/>
      </c>
      <c r="D2153">
        <f>IF(Skills!C12=1,60+Inputs!$B$25+Inputs!$B$29,IF(Skills!C12=2,90+Inputs!$B$26+Inputs!$B$29,IF(Skills!C12=3,120+Inputs!$B$27+Inputs!$B$29,MAX(0,(Inputs!$B$3-100)*3)+Inputs!$B$28+Inputs!$B$29)))</f>
        <v/>
      </c>
      <c r="E2153">
        <f>INDEX(FactorTable!$B$2:$Y$301, MATCH(ROUND(MIN(300,MAX(1,D2153)),0), FactorTable!$A$2:$A$301,0), Skills!M12+1)</f>
        <v/>
      </c>
      <c r="F2153">
        <f>IF(Skills!N12=TRUE,(Skills!L12/10)*(E2153/1000),Skills!L12/10)+Skills!O12</f>
        <v/>
      </c>
      <c r="G2153">
        <f>Skills!G12*IF(Skills!H12&gt;0,INT(IF(Inputs!$B$38="pvp",MIN(Skills!I12,15),Skills!I12)/Skills!H12+0.000000001),1)</f>
        <v/>
      </c>
      <c r="H2153">
        <f>1-(1-Skills!J12/100)^Skills!K12</f>
        <v/>
      </c>
      <c r="I2153" t="inlineStr">
        <is>
          <t>1</t>
        </is>
      </c>
      <c r="J2153">
        <f>((Inputs!$B$6*(1+Inputs!$B$7/100))+(((Inputs!$B$12*(1+Inputs!$B$13/100))-(Inputs!$B$12*(1+Inputs!$B$13/100)))+0.25*(Inputs!$B$14-Inputs!$B$14))*(1+Inputs!$B$7/100))*(F2153/100)</f>
        <v/>
      </c>
      <c r="K2153">
        <f>J2153*(1+((Inputs!$B$12*(1+Inputs!$B$13/100))*0.01+Inputs!$B$14*0.0025)/100)*(1+Inputs!$B$15/100)*(1+Inputs!$B$16/100)*(5000/(6000+Inputs!$B$42*(1-(100*(1-(1-(Inputs!$B$19+0)/100)*(1-CHOOSE(ArtifactsInput!$N$40+1,5,6,7,8,9,10)/100)^(ArtifactsInput!$M$40-ArtifactsInput!$M$40)))/100)))*(1+(Inputs!$B$24+((C2167=TRUE)*(F2167-Calc!F26))+B2178)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EIGHT_LEGS_EASTON",Inputs!$B$17+((C2164=TRUE)*(F2164-Calc!F23))+((C2168=TRUE)*(F2168-Calc!F27))+((IF(AND(Inputs!$B$38&lt;&gt;"pvp",Inputs!$B$43=0),1,IF(IF(Inputs!$B$38="pvp",15,Inputs!$B$43)-(B2179)&lt;=0,1,MAX(0,IF(Inputs!$B$38="pvp",15,Inputs!$B$43)-MAX(5,B2179))/(IF(Inputs!$B$38="pvp",15,Inputs!$B$43)-(B2179))))*(IF(AND(ArtifactsInput!$M$42,((Inputs!$B$9+((C2160=TRUE)*(F2160-Calc!F19))+B2172+(ArtifactsInput!$M$24-ArtifactsInput!$M$24)*CHOOSE(ArtifactsInput!$N$24+1,10,12,14,16,18,20)+IF(ArtifactsInput!$M$10,CHOOSE(ArtifactsInput!$N$10+1,15,18,21,24,27,30)*(IF(Inputs!$B$38="pvp",MIN(15,15)/15,IF(AND(Inputs!$B$38&lt;&gt;"pvp",Inputs!$B$43&gt;0),MIN(15,Inputs!$B$43)/(Inputs!$B$43),0))),0)))&gt;=100),MIN(100,((Inputs!$B$9+((C2160=TRUE)*(F2160-Calc!F19))+B2172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2179)&lt;=0,1,MAX(0,IF(Inputs!$B$38="pvp",15,Inputs!$B$43)-MAX(5,B2179))/(IF(Inputs!$B$38="pvp",15,Inputs!$B$43)-(B2179))))*IF(AND(ArtifactsInput!$M$42,((Inputs!$B$9+((C2160=TRUE)*(F2160-Calc!F19))+B2172+(ArtifactsInput!$M$24-ArtifactsInput!$M$24)*CHOOSE(ArtifactsInput!$N$24+1,10,12,14,16,18,20)+IF(ArtifactsInput!$M$10,CHOOSE(ArtifactsInput!$N$10+1,15,18,21,24,27,30)*(IF(Inputs!$B$38="pvp",MIN(15,15)/15,IF(AND(Inputs!$B$38&lt;&gt;"pvp",Inputs!$B$43&gt;0),MIN(15,Inputs!$B$43)/(Inputs!$B$43),0))),0)))&gt;=100),CHOOSE(ArtifactsInput!$N$42+1,40,48,56,64,72,80),0))))/100)*((1+(((C2158=TRUE)*F2158*5/7)+((C2165=TRUE)*(F2165-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2153)</f>
        <v/>
      </c>
      <c r="L2153">
        <f>K2153*(MIN(Inputs!$B$22+((C2163=TRUE)*(F2163-Calc!F22)),(Inputs!$B$23+0+(IF(ArtifactsInput!$M$15,CHOOSE(ArtifactsInput!$N$15+1,25,30,35,40,45,50)/100*(Inputs!$B$11-Inputs!$B$11),0))))/100+(Inputs!$B$23+0+(IF(ArtifactsInput!$M$15,CHOOSE(ArtifactsInput!$N$15+1,25,30,35,40,45,50)/100*(Inputs!$B$11-Inputs!$B$11),0)))/100)/2</f>
        <v/>
      </c>
      <c r="M2153">
        <f>L2153*(1+(Inputs!$B$10+((C2166=TRUE)*(F2166-Calc!F25))+B2177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53">
        <f>L2153*(1-MIN((Inputs!$B$9+((C2160=TRUE)*(F2160-Calc!F19))+B2172+(ArtifactsInput!$M$24-ArtifactsInput!$M$24)*CHOOSE(ArtifactsInput!$N$24+1,10,12,14,16,18,20)+(IF(AND(Inputs!$B$38&lt;&gt;"pvp",Inputs!$B$43=0),1,IF(IF(Inputs!$B$38="pvp",15,Inputs!$B$43)-(B2179)&lt;=0,1,MAX(0,IF(Inputs!$B$38="pvp",15,Inputs!$B$43)-MAX(5,B2179))/(IF(Inputs!$B$38="pvp",15,Inputs!$B$43)-(B2179))))*IF(AND(ArtifactsInput!$M$42,((Inputs!$B$9+((C2160=TRUE)*(F2160-Calc!F19))+B2172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2153*(MIN((Inputs!$B$9+((C2160=TRUE)*(F2160-Calc!F19))+B2172+(ArtifactsInput!$M$24-ArtifactsInput!$M$24)*CHOOSE(ArtifactsInput!$N$24+1,10,12,14,16,18,20)+(IF(AND(Inputs!$B$38&lt;&gt;"pvp",Inputs!$B$43=0),1,IF(IF(Inputs!$B$38="pvp",15,Inputs!$B$43)-(B2179)&lt;=0,1,MAX(0,IF(Inputs!$B$38="pvp",15,Inputs!$B$43)-MAX(5,B2179))/(IF(Inputs!$B$38="pvp",15,Inputs!$B$43)-(B2179))))*IF(AND(ArtifactsInput!$M$42,((Inputs!$B$9+((C2160=TRUE)*(F2160-Calc!F19))+B2172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53">
        <f>(1-Summary!$B$11)*T2153+Summary!$B$11*V2153</f>
        <v/>
      </c>
      <c r="P2153">
        <f>IF(B2182=0,0,O2153/B2182)</f>
        <v/>
      </c>
      <c r="Q2153">
        <f>IFERROR(1/(IF(Inputs!$B$38="pvp",15,MAX(0.1,Skills!D12-IF(TRUE=TRUE,Inputs!$B$32,0)))*(1-IF(AND(ArtifactsInput!$M$27,Inputs!$B$4="Chapter Hunt"),CHOOSE(ArtifactsInput!$N$27+1,20,24,28,32,36,40),0)/100)),0)</f>
        <v/>
      </c>
      <c r="R2153">
        <f>IF(AND(Inputs!$B$38&lt;&gt;"pvp",Inputs!$B$43&gt;0),IF(MAX(0,Inputs!$B$43-B2179)&lt;=0,0,(INT(MAX(0,Inputs!$B$43-B2179)/(IF(Inputs!$B$38="pvp",15,MAX(0.1,Skills!D12-IF(TRUE=TRUE,Inputs!$B$32,0)))*(1-IF(AND(ArtifactsInput!$M$27,Inputs!$B$4="Chapter Hunt"),CHOOSE(ArtifactsInput!$N$27+1,20,24,28,32,36,40),0)/100)))+1)),0)</f>
        <v/>
      </c>
      <c r="S2153">
        <f>IFERROR(O2153/N2153,0)</f>
        <v/>
      </c>
      <c r="T2153">
        <f>IF(C2153,(H2153*N2153*IF(AND(Inputs!$B$38&lt;&gt;"pvp",Inputs!$B$43&gt;0),((Skills!G12*((R2153-1)*IF(Skills!H12&gt;0,INT(Skills!I12/Skills!H12+0.000000001),1)+IF(Skills!H12&gt;0,INT(MIN(Skills!I12,MAX(0,MAX(0,Inputs!$B$43-B2179)-((R2153-1)*(IF(Inputs!$B$38="pvp",15,MAX(0.1,Skills!D12-IF(TRUE=TRUE,Inputs!$B$32,0)))*(1-IF(AND(ArtifactsInput!$M$27,Inputs!$B$4="Chapter Hunt"),CHOOSE(ArtifactsInput!$N$27+1,20,24,28,32,36,40),0)/100)))))/Skills!H12+0.000000001),1)))/Inputs!$B$43),G2153*Q2153))*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Hunt"),CHOOSE(ArtifactsInput!$N$35+1,15,18,21,24,27,30)*(1-EXP(-(0.2*B2174)*5)),0)+IF(AND(ArtifactsInput!$M$22,Inputs!$B$4&lt;&gt;"Chapter Hunt"),CHOOSE(ArtifactsInput!$N$22+1,10,12,14,16,18,20)*((0*(((0.15*B2174*5))^0/1)+1*(((0.15*B2174*5))^1/1)+2*(((0.15*B2174*5))^2/2)+3*(((0.15*B2174*5))^3/6)+4*(((0.15*B2174*5))^4/24)+5*(((0.15*B2174*5))^5/120))/((((0.15*B2174*5))^0/1)+(((0.15*B2174*5))^1/1)+(((0.15*B2174*5))^2/2)+(((0.15*B2174*5))^3/6)+(((0.15*B2174*5))^4/24)+(((0.15*B2174*5))^5/120))),0))+IF(Inputs!$B$3&gt;=54,9*(C2144=TRUE)*MIN(1,8*(1+Inputs!$B$34/100)*Q2144)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2153*(1-MIN(100,(Inputs!$B$9+((C2160=TRUE)*(F2160-Calc!F19))+B2172+(ArtifactsInput!$M$24-ArtifactsInput!$M$24)*CHOOSE(ArtifactsInput!$N$24+1,10,12,14,16,18,20)+(IF(AND(Inputs!$B$38&lt;&gt;"pvp",Inputs!$B$43=0),1,IF(IF(Inputs!$B$38="pvp",15,Inputs!$B$43)-(B2179)&lt;=0,1,MAX(0,IF(Inputs!$B$38="pvp",15,Inputs!$B$43)-MAX(5,B2179))/(IF(Inputs!$B$38="pvp",15,Inputs!$B$43)-(B2179))))*IF(AND(ArtifactsInput!$M$42,((Inputs!$B$9+((C2160=TRUE)*(F2160-Calc!F19))+B2172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2153*(MIN(100,(Inputs!$B$9+((C2160=TRUE)*(F2160-Calc!F19))+B2172+(ArtifactsInput!$M$24-ArtifactsInput!$M$24)*CHOOSE(ArtifactsInput!$N$24+1,10,12,14,16,18,20)+(IF(AND(Inputs!$B$38&lt;&gt;"pvp",Inputs!$B$43=0),1,IF(IF(Inputs!$B$38="pvp",15,Inputs!$B$43)-(B2179)&lt;=0,1,MAX(0,IF(Inputs!$B$38="pvp",15,Inputs!$B$43)-MAX(5,B2179))/(IF(Inputs!$B$38="pvp",15,Inputs!$B$43)-(B2179))))*IF(AND(ArtifactsInput!$M$42,((Inputs!$B$9+((C2160=TRUE)*(F2160-Calc!F19))+B2172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2153*(1-MIN(100,(Inputs!$B$9+((C2160=TRUE)*(F2160-Calc!F19))+B2172+(ArtifactsInput!$M$24-ArtifactsInput!$M$24)*CHOOSE(ArtifactsInput!$N$24+1,10,12,14,16,18,20)+(IF(AND(Inputs!$B$38&lt;&gt;"pvp",Inputs!$B$43=0),1,IF(IF(Inputs!$B$38="pvp",15,Inputs!$B$43)-(B2179)&lt;=0,1,MAX(0,IF(Inputs!$B$38="pvp",15,Inputs!$B$43)-MAX(5,B2179))/(IF(Inputs!$B$38="pvp",15,Inputs!$B$43)-(B2179))))*IF(AND(ArtifactsInput!$M$42,((Inputs!$B$9+((C2160=TRUE)*(F2160-Calc!F19))+B2172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2153*(MIN(100,(Inputs!$B$9+((C2160=TRUE)*(F2160-Calc!F19))+B2172+(ArtifactsInput!$M$24-ArtifactsInput!$M$24)*CHOOSE(ArtifactsInput!$N$24+1,10,12,14,16,18,20)+(IF(AND(Inputs!$B$38&lt;&gt;"pvp",Inputs!$B$43=0),1,IF(IF(Inputs!$B$38="pvp",15,Inputs!$B$43)-(B2179)&lt;=0,1,MAX(0,IF(Inputs!$B$38="pvp",15,Inputs!$B$43)-MAX(5,B2179))/(IF(Inputs!$B$38="pvp",15,Inputs!$B$43)-(B2179))))*IF(AND(ArtifactsInput!$M$42,((Inputs!$B$9+((C2160=TRUE)*(F2160-Calc!F19))+B2172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IF(ArtifactsInput!$M$26,FALSE,TRUE),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53">
        <f>IF(C2153,(H2153*N2153*IF(AND(Inputs!$B$38&lt;&gt;"pvp",Inputs!$B$43&gt;0),((Skills!G12*((R2153-1)*IF(Skills!H12&gt;0,INT(Skills!I12/Skills!H12+0.000000001),1)+IF(Skills!H12&gt;0,INT(MIN(Skills!I12,MAX(0,MAX(0,Inputs!$B$43-B2179)-((R2153-1)*(IF(Inputs!$B$38="pvp",15,MAX(0.1,Skills!D12-IF(TRUE=TRUE,Inputs!$B$32,0)))*(1-IF(AND(ArtifactsInput!$M$27,Inputs!$B$4="Chapter Hunt"),CHOOSE(ArtifactsInput!$N$27+1,20,24,28,32,36,40),0)/100)))))/Skills!H12+0.000000001),1)))/Inputs!$B$43),G2153*Q2153))*IF(Inputs!$B$38="pvp",1,(1+(Inputs!$B$21+Skills!Q12+(IF(ArtifactsInput!$M$33,CHOOSE(ArtifactsInput!$N$33+1,30,36,42,48,54,60),0))+(IF(AND(ArtifactsInput!$M$35,Inputs!$B$4&lt;&gt;"Chapter Hunt"),CHOOSE(ArtifactsInput!$N$35+1,15,18,21,24,27,30)*(1-EXP(-(0.2*B2174)*5)),0)+IF(AND(ArtifactsInput!$M$22,Inputs!$B$4&lt;&gt;"Chapter Hunt"),CHOOSE(ArtifactsInput!$N$22+1,10,12,14,16,18,20)*((0*(((0.15*B2174*5))^0/1)+1*(((0.15*B2174*5))^1/1)+2*(((0.15*B2174*5))^2/2)+3*(((0.15*B2174*5))^3/6)+4*(((0.15*B2174*5))^4/24)+5*(((0.15*B2174*5))^5/120))/((((0.15*B2174*5))^0/1)+(((0.15*B2174*5))^1/1)+(((0.15*B2174*5))^2/2)+(((0.15*B2174*5))^3/6)+(((0.15*B2174*5))^4/24)+(((0.15*B2174*5))^5/120))),0))+IF(Inputs!$B$3&gt;=54,9*(C2144=TRUE)*MIN(1,8*(1+Inputs!$B$34/100)*Q2144),0))/100)*(MIN(Skills!R12,Inputs!$B$37)))*((1+(IF(AND(ArtifactsInput!$M$41,Inputs!$B$38&lt;&gt;"pvp"),CHOOSE(ArtifactsInput!$N$41+1,5,6,7,8,9,10)*IF(OR(Inputs!$B$4="Weapon Dungeon",Inputs!$B$4="Equipment Dungeon",Inputs!$B$4="Enhancement Dungeon",Inputs!$B$4="EXP Dungeon",Inputs!$B$4="Hero Dungeon"),3,1),0)+IF(IF(ArtifactsInput!$M$26,FALSE,TRUE),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54">
      <c r="A2154">
        <f>Skills!A13</f>
        <v/>
      </c>
      <c r="B2154">
        <f>Skills!B13</f>
        <v/>
      </c>
      <c r="C2154">
        <f>Inputs!$B$3&gt;=110</f>
        <v/>
      </c>
      <c r="D2154">
        <f>IF(Skills!C13=1,60+Inputs!$B$25+Inputs!$B$29,IF(Skills!C13=2,90+Inputs!$B$26+Inputs!$B$29,IF(Skills!C13=3,120+Inputs!$B$27+Inputs!$B$29,MAX(0,(Inputs!$B$3-100)*3)+Inputs!$B$28+Inputs!$B$29)))</f>
        <v/>
      </c>
      <c r="E2154">
        <f>INDEX(FactorTable!$B$2:$Y$301, MATCH(ROUND(MIN(300,MAX(1,D2154)),0), FactorTable!$A$2:$A$301,0), Skills!M13+1)</f>
        <v/>
      </c>
      <c r="F2154">
        <f>IF(Skills!N13=TRUE,(Skills!L13/10)*(E2154/1000),Skills!L13/10)+Skills!O13</f>
        <v/>
      </c>
      <c r="G2154">
        <f>Skills!G13*IF(Skills!H13&gt;0,INT(IF(Inputs!$B$38="pvp",MIN(Skills!I13,15),Skills!I13)/Skills!H13+0.000000001),1)</f>
        <v/>
      </c>
      <c r="H2154">
        <f>1-(1-Skills!J13/100)^Skills!K13</f>
        <v/>
      </c>
      <c r="I2154" t="inlineStr">
        <is>
          <t>1</t>
        </is>
      </c>
      <c r="J2154">
        <f>((Inputs!$B$6*(1+Inputs!$B$7/100))+(((Inputs!$B$12*(1+Inputs!$B$13/100))-(Inputs!$B$12*(1+Inputs!$B$13/100)))+0.25*(Inputs!$B$14-Inputs!$B$14))*(1+Inputs!$B$7/100))*(F2154/100)</f>
        <v/>
      </c>
      <c r="K2154">
        <f>J2154*(1+((Inputs!$B$12*(1+Inputs!$B$13/100))*0.01+Inputs!$B$14*0.0025)/100)*(1+Inputs!$B$15/100)*(1+Inputs!$B$16/100)*(5000/(6000+Inputs!$B$42*(1-(100*(1-(1-(Inputs!$B$19+0)/100)*(1-CHOOSE(ArtifactsInput!$N$40+1,5,6,7,8,9,10)/100)^(ArtifactsInput!$M$40-ArtifactsInput!$M$40)))/100)))*(1+(Inputs!$B$24+((C2167=TRUE)*(F2167-Calc!F26))+B2178)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EIGHT_LEGS_EASTON",Inputs!$B$17+((C2164=TRUE)*(F2164-Calc!F23))+((C2168=TRUE)*(F2168-Calc!F27))+((IF(AND(Inputs!$B$38&lt;&gt;"pvp",Inputs!$B$43=0),1,IF(IF(Inputs!$B$38="pvp",15,Inputs!$B$43)-(B2179)&lt;=0,1,MAX(0,IF(Inputs!$B$38="pvp",15,Inputs!$B$43)-MAX(5,B2179))/(IF(Inputs!$B$38="pvp",15,Inputs!$B$43)-(B2179))))*(IF(AND(ArtifactsInput!$M$42,((Inputs!$B$9+((C2160=TRUE)*(F2160-Calc!F19))+B2172+(ArtifactsInput!$M$24-ArtifactsInput!$M$24)*CHOOSE(ArtifactsInput!$N$24+1,10,12,14,16,18,20)+IF(ArtifactsInput!$M$10,CHOOSE(ArtifactsInput!$N$10+1,15,18,21,24,27,30)*(IF(Inputs!$B$38="pvp",MIN(15,15)/15,IF(AND(Inputs!$B$38&lt;&gt;"pvp",Inputs!$B$43&gt;0),MIN(15,Inputs!$B$43)/(Inputs!$B$43),0))),0)))&gt;=100),MIN(100,((Inputs!$B$9+((C2160=TRUE)*(F2160-Calc!F19))+B2172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2179)&lt;=0,1,MAX(0,IF(Inputs!$B$38="pvp",15,Inputs!$B$43)-MAX(5,B2179))/(IF(Inputs!$B$38="pvp",15,Inputs!$B$43)-(B2179))))*IF(AND(ArtifactsInput!$M$42,((Inputs!$B$9+((C2160=TRUE)*(F2160-Calc!F19))+B2172+(ArtifactsInput!$M$24-ArtifactsInput!$M$24)*CHOOSE(ArtifactsInput!$N$24+1,10,12,14,16,18,20)+IF(ArtifactsInput!$M$10,CHOOSE(ArtifactsInput!$N$10+1,15,18,21,24,27,30)*(IF(Inputs!$B$38="pvp",MIN(15,15)/15,IF(AND(Inputs!$B$38&lt;&gt;"pvp",Inputs!$B$43&gt;0),MIN(15,Inputs!$B$43)/(Inputs!$B$43),0))),0)))&gt;=100),CHOOSE(ArtifactsInput!$N$42+1,40,48,56,64,72,80),0))))/100)*((1+(((C2158=TRUE)*F2158*5/7)+((C2165=TRUE)*(F2165-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2154)</f>
        <v/>
      </c>
      <c r="L2154">
        <f>K2154*(MIN(Inputs!$B$22+((C2163=TRUE)*(F2163-Calc!F22)),(Inputs!$B$23+0+(IF(ArtifactsInput!$M$15,CHOOSE(ArtifactsInput!$N$15+1,25,30,35,40,45,50)/100*(Inputs!$B$11-Inputs!$B$11),0))))/100+(Inputs!$B$23+0+(IF(ArtifactsInput!$M$15,CHOOSE(ArtifactsInput!$N$15+1,25,30,35,40,45,50)/100*(Inputs!$B$11-Inputs!$B$11),0)))/100)/2</f>
        <v/>
      </c>
      <c r="M2154">
        <f>L2154*(1+(Inputs!$B$10+((C2166=TRUE)*(F2166-Calc!F25))+B2177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54">
        <f>L2154*(1-MIN((Inputs!$B$9+((C2160=TRUE)*(F2160-Calc!F19))+B2172+(ArtifactsInput!$M$24-ArtifactsInput!$M$24)*CHOOSE(ArtifactsInput!$N$24+1,10,12,14,16,18,20)+(IF(AND(Inputs!$B$38&lt;&gt;"pvp",Inputs!$B$43=0),1,IF(IF(Inputs!$B$38="pvp",15,Inputs!$B$43)-(B2179)&lt;=0,1,MAX(0,IF(Inputs!$B$38="pvp",15,Inputs!$B$43)-MAX(5,B2179))/(IF(Inputs!$B$38="pvp",15,Inputs!$B$43)-(B2179))))*IF(AND(ArtifactsInput!$M$42,((Inputs!$B$9+((C2160=TRUE)*(F2160-Calc!F19))+B2172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2154*(MIN((Inputs!$B$9+((C2160=TRUE)*(F2160-Calc!F19))+B2172+(ArtifactsInput!$M$24-ArtifactsInput!$M$24)*CHOOSE(ArtifactsInput!$N$24+1,10,12,14,16,18,20)+(IF(AND(Inputs!$B$38&lt;&gt;"pvp",Inputs!$B$43=0),1,IF(IF(Inputs!$B$38="pvp",15,Inputs!$B$43)-(B2179)&lt;=0,1,MAX(0,IF(Inputs!$B$38="pvp",15,Inputs!$B$43)-MAX(5,B2179))/(IF(Inputs!$B$38="pvp",15,Inputs!$B$43)-(B2179))))*IF(AND(ArtifactsInput!$M$42,((Inputs!$B$9+((C2160=TRUE)*(F2160-Calc!F19))+B2172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54">
        <f>(1-Summary!$B$11)*T2154+Summary!$B$11*V2154</f>
        <v/>
      </c>
      <c r="P2154">
        <f>IF(B2182=0,0,O2154/B2182)</f>
        <v/>
      </c>
      <c r="Q2154">
        <f>IFERROR(1/(IF(Inputs!$B$38="pvp",15,MAX(0.1,Skills!D13-IF(TRUE=TRUE,Inputs!$B$32,0)))*(1-IF(AND(ArtifactsInput!$M$27,Inputs!$B$4="Chapter Hunt"),CHOOSE(ArtifactsInput!$N$27+1,20,24,28,32,36,40),0)/100)),0)</f>
        <v/>
      </c>
      <c r="R2154">
        <f>IF(AND(Inputs!$B$38&lt;&gt;"pvp",Inputs!$B$43&gt;0),IF(MAX(0,Inputs!$B$43-B2179)&lt;=0,0,(INT(MAX(0,Inputs!$B$43-B2179)/(IF(Inputs!$B$38="pvp",15,MAX(0.1,Skills!D13-IF(TRUE=TRUE,Inputs!$B$32,0)))*(1-IF(AND(ArtifactsInput!$M$27,Inputs!$B$4="Chapter Hunt"),CHOOSE(ArtifactsInput!$N$27+1,20,24,28,32,36,40),0)/100)))+1)),0)</f>
        <v/>
      </c>
      <c r="S2154">
        <f>IFERROR(O2154/N2154,0)</f>
        <v/>
      </c>
      <c r="T2154">
        <f>IF(C2154,(H2154*N2154*IF(AND(Inputs!$B$38&lt;&gt;"pvp",Inputs!$B$43&gt;0),((Skills!G13*((R2154-1)*IF(Skills!H13&gt;0,INT(Skills!I13/Skills!H13+0.000000001),1)+IF(Skills!H13&gt;0,INT(MIN(Skills!I13,MAX(0,MAX(0,Inputs!$B$43-B2179)-((R2154-1)*(IF(Inputs!$B$38="pvp",15,MAX(0.1,Skills!D13-IF(TRUE=TRUE,Inputs!$B$32,0)))*(1-IF(AND(ArtifactsInput!$M$27,Inputs!$B$4="Chapter Hunt"),CHOOSE(ArtifactsInput!$N$27+1,20,24,28,32,36,40),0)/100)))))/Skills!H13+0.000000001),1)))/Inputs!$B$43),G2154*Q2154))*IF(Inputs!$B$38="pvp",1,1+(Inputs!$B$20+0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Hunt"),CHOOSE(ArtifactsInput!$N$35+1,15,18,21,24,27,30)*(1-EXP(-(0.2*B2174)*5)),0)+IF(AND(ArtifactsInput!$M$22,Inputs!$B$4&lt;&gt;"Chapter Hunt"),CHOOSE(ArtifactsInput!$N$22+1,10,12,14,16,18,20)*((0*(((0.15*B2174*5))^0/1)+1*(((0.15*B2174*5))^1/1)+2*(((0.15*B2174*5))^2/2)+3*(((0.15*B2174*5))^3/6)+4*(((0.15*B2174*5))^4/24)+5*(((0.15*B2174*5))^5/120))/((((0.15*B2174*5))^0/1)+(((0.15*B2174*5))^1/1)+(((0.15*B2174*5))^2/2)+(((0.15*B2174*5))^3/6)+(((0.15*B2174*5))^4/24)+(((0.15*B2174*5))^5/120))),0))+IF(Inputs!$B$3&gt;=54,9*(C2144=TRUE)*MIN(1,8*(1+Inputs!$B$34/100)*Q2144)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2154*(1-MIN(100,(Inputs!$B$9+((C2160=TRUE)*(F2160-Calc!F19))+B2172+(ArtifactsInput!$M$24-ArtifactsInput!$M$24)*CHOOSE(ArtifactsInput!$N$24+1,10,12,14,16,18,20)+(IF(AND(Inputs!$B$38&lt;&gt;"pvp",Inputs!$B$43=0),1,IF(IF(Inputs!$B$38="pvp",15,Inputs!$B$43)-(B2179)&lt;=0,1,MAX(0,IF(Inputs!$B$38="pvp",15,Inputs!$B$43)-MAX(5,B2179))/(IF(Inputs!$B$38="pvp",15,Inputs!$B$43)-(B2179))))*IF(AND(ArtifactsInput!$M$42,((Inputs!$B$9+((C2160=TRUE)*(F2160-Calc!F19))+B2172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2154*(MIN(100,(Inputs!$B$9+((C2160=TRUE)*(F2160-Calc!F19))+B2172+(ArtifactsInput!$M$24-ArtifactsInput!$M$24)*CHOOSE(ArtifactsInput!$N$24+1,10,12,14,16,18,20)+(IF(AND(Inputs!$B$38&lt;&gt;"pvp",Inputs!$B$43=0),1,IF(IF(Inputs!$B$38="pvp",15,Inputs!$B$43)-(B2179)&lt;=0,1,MAX(0,IF(Inputs!$B$38="pvp",15,Inputs!$B$43)-MAX(5,B2179))/(IF(Inputs!$B$38="pvp",15,Inputs!$B$43)-(B2179))))*IF(AND(ArtifactsInput!$M$42,((Inputs!$B$9+((C2160=TRUE)*(F2160-Calc!F19))+B2172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2154*(1-MIN(100,(Inputs!$B$9+((C2160=TRUE)*(F2160-Calc!F19))+B2172+(ArtifactsInput!$M$24-ArtifactsInput!$M$24)*CHOOSE(ArtifactsInput!$N$24+1,10,12,14,16,18,20)+(IF(AND(Inputs!$B$38&lt;&gt;"pvp",Inputs!$B$43=0),1,IF(IF(Inputs!$B$38="pvp",15,Inputs!$B$43)-(B2179)&lt;=0,1,MAX(0,IF(Inputs!$B$38="pvp",15,Inputs!$B$43)-MAX(5,B2179))/(IF(Inputs!$B$38="pvp",15,Inputs!$B$43)-(B2179))))*IF(AND(ArtifactsInput!$M$42,((Inputs!$B$9+((C2160=TRUE)*(F2160-Calc!F19))+B2172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2154*(MIN(100,(Inputs!$B$9+((C2160=TRUE)*(F2160-Calc!F19))+B2172+(ArtifactsInput!$M$24-ArtifactsInput!$M$24)*CHOOSE(ArtifactsInput!$N$24+1,10,12,14,16,18,20)+(IF(AND(Inputs!$B$38&lt;&gt;"pvp",Inputs!$B$43=0),1,IF(IF(Inputs!$B$38="pvp",15,Inputs!$B$43)-(B2179)&lt;=0,1,MAX(0,IF(Inputs!$B$38="pvp",15,Inputs!$B$43)-MAX(5,B2179))/(IF(Inputs!$B$38="pvp",15,Inputs!$B$43)-(B2179))))*IF(AND(ArtifactsInput!$M$42,((Inputs!$B$9+((C2160=TRUE)*(F2160-Calc!F19))+B2172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IF(ArtifactsInput!$M$26,FALSE,TRUE),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54">
        <f>IF(C2154,(H2154*N2154*IF(AND(Inputs!$B$38&lt;&gt;"pvp",Inputs!$B$43&gt;0),((Skills!G13*((R2154-1)*IF(Skills!H13&gt;0,INT(Skills!I13/Skills!H13+0.000000001),1)+IF(Skills!H13&gt;0,INT(MIN(Skills!I13,MAX(0,MAX(0,Inputs!$B$43-B2179)-((R2154-1)*(IF(Inputs!$B$38="pvp",15,MAX(0.1,Skills!D13-IF(TRUE=TRUE,Inputs!$B$32,0)))*(1-IF(AND(ArtifactsInput!$M$27,Inputs!$B$4="Chapter Hunt"),CHOOSE(ArtifactsInput!$N$27+1,20,24,28,32,36,40),0)/100)))))/Skills!H13+0.000000001),1)))/Inputs!$B$43),G2154*Q2154))*IF(Inputs!$B$38="pvp",1,(1+(Inputs!$B$21+Skills!Q13+(IF(ArtifactsInput!$M$33,CHOOSE(ArtifactsInput!$N$33+1,30,36,42,48,54,60),0))+(IF(AND(ArtifactsInput!$M$35,Inputs!$B$4&lt;&gt;"Chapter Hunt"),CHOOSE(ArtifactsInput!$N$35+1,15,18,21,24,27,30)*(1-EXP(-(0.2*B2174)*5)),0)+IF(AND(ArtifactsInput!$M$22,Inputs!$B$4&lt;&gt;"Chapter Hunt"),CHOOSE(ArtifactsInput!$N$22+1,10,12,14,16,18,20)*((0*(((0.15*B2174*5))^0/1)+1*(((0.15*B2174*5))^1/1)+2*(((0.15*B2174*5))^2/2)+3*(((0.15*B2174*5))^3/6)+4*(((0.15*B2174*5))^4/24)+5*(((0.15*B2174*5))^5/120))/((((0.15*B2174*5))^0/1)+(((0.15*B2174*5))^1/1)+(((0.15*B2174*5))^2/2)+(((0.15*B2174*5))^3/6)+(((0.15*B2174*5))^4/24)+(((0.15*B2174*5))^5/120))),0))+IF(Inputs!$B$3&gt;=54,9*(C2144=TRUE)*MIN(1,8*(1+Inputs!$B$34/100)*Q2144),0))/100)*(MIN(Skills!R13,Inputs!$B$37)))*((1+(IF(AND(ArtifactsInput!$M$41,Inputs!$B$38&lt;&gt;"pvp"),CHOOSE(ArtifactsInput!$N$41+1,5,6,7,8,9,10)*IF(OR(Inputs!$B$4="Weapon Dungeon",Inputs!$B$4="Equipment Dungeon",Inputs!$B$4="Enhancement Dungeon",Inputs!$B$4="EXP Dungeon",Inputs!$B$4="Hero Dungeon"),3,1),0)+IF(IF(ArtifactsInput!$M$26,FALSE,TRUE),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55">
      <c r="A2155">
        <f>Skills!A14</f>
        <v/>
      </c>
      <c r="B2155">
        <f>Skills!B14</f>
        <v/>
      </c>
      <c r="C2155">
        <f>Inputs!$B$3&gt;=120</f>
        <v/>
      </c>
      <c r="D2155">
        <f>IF(Skills!C14=1,60+Inputs!$B$25+Inputs!$B$29,IF(Skills!C14=2,90+Inputs!$B$26+Inputs!$B$29,IF(Skills!C14=3,120+Inputs!$B$27+Inputs!$B$29,MAX(0,(Inputs!$B$3-100)*3)+Inputs!$B$28+Inputs!$B$29)))</f>
        <v/>
      </c>
      <c r="E2155">
        <f>INDEX(FactorTable!$B$2:$Y$301, MATCH(ROUND(MIN(300,MAX(1,D2155)),0), FactorTable!$A$2:$A$301,0), Skills!M14+1)</f>
        <v/>
      </c>
      <c r="F2155">
        <f>IF(Skills!N14=TRUE,(Skills!L14/10)*(E2155/1000),Skills!L14/10)+Skills!O14</f>
        <v/>
      </c>
      <c r="G2155">
        <f>Skills!G14*IF(Skills!H14&gt;0,INT(IF(Inputs!$B$38="pvp",MIN(Skills!I14,15),Skills!I14)/Skills!H14+0.000000001),1)</f>
        <v/>
      </c>
      <c r="H2155">
        <f>1-(1-Skills!J14/100)^Skills!K14</f>
        <v/>
      </c>
      <c r="I2155" t="inlineStr">
        <is>
          <t>1</t>
        </is>
      </c>
      <c r="J2155">
        <f>((Inputs!$B$6*(1+Inputs!$B$7/100))+(((Inputs!$B$12*(1+Inputs!$B$13/100))-(Inputs!$B$12*(1+Inputs!$B$13/100)))+0.25*(Inputs!$B$14-Inputs!$B$14))*(1+Inputs!$B$7/100))*(F2155/100)</f>
        <v/>
      </c>
      <c r="K2155">
        <f>J2155*(1+((Inputs!$B$12*(1+Inputs!$B$13/100))*0.01+Inputs!$B$14*0.0025)/100)*(1+Inputs!$B$15/100)*(1+Inputs!$B$16/100)*(5000/(6000+Inputs!$B$42*(1-(100*(1-(1-(Inputs!$B$19+0)/100)*(1-CHOOSE(ArtifactsInput!$N$40+1,5,6,7,8,9,10)/100)^(ArtifactsInput!$M$40-ArtifactsInput!$M$40)))/100)))*(1+(Inputs!$B$24+((C2167=TRUE)*(F2167-Calc!F26))+B2178)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EIGHT_LEGS_EASTON",Inputs!$B$17+((C2164=TRUE)*(F2164-Calc!F23))+((C2168=TRUE)*(F2168-Calc!F27))+((IF(AND(Inputs!$B$38&lt;&gt;"pvp",Inputs!$B$43=0),1,IF(IF(Inputs!$B$38="pvp",15,Inputs!$B$43)-(B2179)&lt;=0,1,MAX(0,IF(Inputs!$B$38="pvp",15,Inputs!$B$43)-MAX(5,B2179))/(IF(Inputs!$B$38="pvp",15,Inputs!$B$43)-(B2179))))*(IF(AND(ArtifactsInput!$M$42,((Inputs!$B$9+((C2160=TRUE)*(F2160-Calc!F19))+B2172+(ArtifactsInput!$M$24-ArtifactsInput!$M$24)*CHOOSE(ArtifactsInput!$N$24+1,10,12,14,16,18,20)+IF(ArtifactsInput!$M$10,CHOOSE(ArtifactsInput!$N$10+1,15,18,21,24,27,30)*(IF(Inputs!$B$38="pvp",MIN(15,15)/15,IF(AND(Inputs!$B$38&lt;&gt;"pvp",Inputs!$B$43&gt;0),MIN(15,Inputs!$B$43)/(Inputs!$B$43),0))),0)))&gt;=100),MIN(100,((Inputs!$B$9+((C2160=TRUE)*(F2160-Calc!F19))+B2172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2179)&lt;=0,1,MAX(0,IF(Inputs!$B$38="pvp",15,Inputs!$B$43)-MAX(5,B2179))/(IF(Inputs!$B$38="pvp",15,Inputs!$B$43)-(B2179))))*IF(AND(ArtifactsInput!$M$42,((Inputs!$B$9+((C2160=TRUE)*(F2160-Calc!F19))+B2172+(ArtifactsInput!$M$24-ArtifactsInput!$M$24)*CHOOSE(ArtifactsInput!$N$24+1,10,12,14,16,18,20)+IF(ArtifactsInput!$M$10,CHOOSE(ArtifactsInput!$N$10+1,15,18,21,24,27,30)*(IF(Inputs!$B$38="pvp",MIN(15,15)/15,IF(AND(Inputs!$B$38&lt;&gt;"pvp",Inputs!$B$43&gt;0),MIN(15,Inputs!$B$43)/(Inputs!$B$43),0))),0)))&gt;=100),CHOOSE(ArtifactsInput!$N$42+1,40,48,56,64,72,80),0))))/100)*((1+(((C2158=TRUE)*F2158*5/7)+((C2165=TRUE)*(F2165-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2155)</f>
        <v/>
      </c>
      <c r="L2155">
        <f>K2155*(MIN(Inputs!$B$22+((C2163=TRUE)*(F2163-Calc!F22)),(Inputs!$B$23+0+(IF(ArtifactsInput!$M$15,CHOOSE(ArtifactsInput!$N$15+1,25,30,35,40,45,50)/100*(Inputs!$B$11-Inputs!$B$11),0))))/100+(Inputs!$B$23+0+(IF(ArtifactsInput!$M$15,CHOOSE(ArtifactsInput!$N$15+1,25,30,35,40,45,50)/100*(Inputs!$B$11-Inputs!$B$11),0)))/100)/2</f>
        <v/>
      </c>
      <c r="M2155">
        <f>L2155*(1+(Inputs!$B$10+((C2166=TRUE)*(F2166-Calc!F25))+B2177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55">
        <f>L2155*(1-MIN((Inputs!$B$9+((C2160=TRUE)*(F2160-Calc!F19))+B2172+(ArtifactsInput!$M$24-ArtifactsInput!$M$24)*CHOOSE(ArtifactsInput!$N$24+1,10,12,14,16,18,20)+(IF(AND(Inputs!$B$38&lt;&gt;"pvp",Inputs!$B$43=0),1,IF(IF(Inputs!$B$38="pvp",15,Inputs!$B$43)-(B2179)&lt;=0,1,MAX(0,IF(Inputs!$B$38="pvp",15,Inputs!$B$43)-MAX(5,B2179))/(IF(Inputs!$B$38="pvp",15,Inputs!$B$43)-(B2179))))*IF(AND(ArtifactsInput!$M$42,((Inputs!$B$9+((C2160=TRUE)*(F2160-Calc!F19))+B2172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2155*(MIN((Inputs!$B$9+((C2160=TRUE)*(F2160-Calc!F19))+B2172+(ArtifactsInput!$M$24-ArtifactsInput!$M$24)*CHOOSE(ArtifactsInput!$N$24+1,10,12,14,16,18,20)+(IF(AND(Inputs!$B$38&lt;&gt;"pvp",Inputs!$B$43=0),1,IF(IF(Inputs!$B$38="pvp",15,Inputs!$B$43)-(B2179)&lt;=0,1,MAX(0,IF(Inputs!$B$38="pvp",15,Inputs!$B$43)-MAX(5,B2179))/(IF(Inputs!$B$38="pvp",15,Inputs!$B$43)-(B2179))))*IF(AND(ArtifactsInput!$M$42,((Inputs!$B$9+((C2160=TRUE)*(F2160-Calc!F19))+B2172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55">
        <f>(1-Summary!$B$11)*T2155+Summary!$B$11*V2155</f>
        <v/>
      </c>
      <c r="P2155">
        <f>IF(B2182=0,0,O2155/B2182)</f>
        <v/>
      </c>
      <c r="Q2155" t="n">
        <v>0</v>
      </c>
      <c r="R2155" t="n">
        <v>0</v>
      </c>
      <c r="S2155">
        <f>IFERROR(O2155/N2155,0)</f>
        <v/>
      </c>
      <c r="T2155">
        <f>IF(C2155,((H2155*(B2176+IF(AND(Inputs!$B$38&lt;&gt;"pvp",Inputs!$B$43&gt;0),((Skills!G8*((R2149-1)*IF(Skills!H8&gt;0,INT(Skills!I8/Skills!H8+0.000000001),1)+IF(Skills!H8&gt;0,INT(MIN(Skills!I8,MAX(0,MAX(0,Inputs!$B$43-B2179)-((R2149-1)*((IF(Inputs!$B$38="pvp",15,MAX(0.1,Skills!D8-IF(TRUE=TRUE,Inputs!$B$32,0)))*(1-IF(AND(ArtifactsInput!$M$27,Inputs!$B$4="Chapter Hunt"),CHOOSE(ArtifactsInput!$N$27+1,20,24,28,32,36,40),0)/100))/B2183))))/Skills!H8+0.000000001),1)))/Inputs!$B$43),G2149*Q2149)+IF(AND(Inputs!$B$38&lt;&gt;"pvp",Inputs!$B$43&gt;0),((Skills!G11*((R2152-1)*IF(Skills!H11&gt;0,INT(Skills!I11/Skills!H11+0.000000001),1)+IF(Skills!H11&gt;0,INT(MIN(Skills!I11,MAX(0,MAX(0,Inputs!$B$43-B2179)-((R2152-1)*((IF(Inputs!$B$38="pvp",15,MAX(0.1,Skills!D11-IF(TRUE=TRUE,Inputs!$B$32,0)))*(1-IF(AND(ArtifactsInput!$M$27,Inputs!$B$4="Chapter Hunt"),CHOOSE(ArtifactsInput!$N$27+1,20,24,28,32,36,40),0)/100))/B2183))))/Skills!H11+0.000000001),1)))/Inputs!$B$43),G2152*Q2152)))/(1+Skills!H14*H2155*(B2176+IF(AND(Inputs!$B$38&lt;&gt;"pvp",Inputs!$B$43&gt;0),((Skills!G8*((R2149-1)*IF(Skills!H8&gt;0,INT(Skills!I8/Skills!H8+0.000000001),1)+IF(Skills!H8&gt;0,INT(MIN(Skills!I8,MAX(0,MAX(0,Inputs!$B$43-B2179)-((R2149-1)*((IF(Inputs!$B$38="pvp",15,MAX(0.1,Skills!D8-IF(TRUE=TRUE,Inputs!$B$32,0)))*(1-IF(AND(ArtifactsInput!$M$27,Inputs!$B$4="Chapter Hunt"),CHOOSE(ArtifactsInput!$N$27+1,20,24,28,32,36,40),0)/100))/B2183))))/Skills!H8+0.000000001),1)))/Inputs!$B$43),G2149*Q2149)+IF(AND(Inputs!$B$38&lt;&gt;"pvp",Inputs!$B$43&gt;0),((Skills!G11*((R2152-1)*IF(Skills!H11&gt;0,INT(Skills!I11/Skills!H11+0.000000001),1)+IF(Skills!H11&gt;0,INT(MIN(Skills!I11,MAX(0,MAX(0,Inputs!$B$43-B2179)-((R2152-1)*((IF(Inputs!$B$38="pvp",15,MAX(0.1,Skills!D11-IF(TRUE=TRUE,Inputs!$B$32,0)))*(1-IF(AND(ArtifactsInput!$M$27,Inputs!$B$4="Chapter Hunt"),CHOOSE(ArtifactsInput!$N$27+1,20,24,28,32,36,40),0)/100))/B2183))))/Skills!H11+0.000000001),1)))/Inputs!$B$43),G2152*Q2152)))*N2155)*IF(Inputs!$B$38="pvp",1,1+(Inputs!$B$20+0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Hunt"),CHOOSE(ArtifactsInput!$N$35+1,15,18,21,24,27,30)*(1-EXP(-(0.2*B2174)*5)),0)+IF(AND(ArtifactsInput!$M$22,Inputs!$B$4&lt;&gt;"Chapter Hunt"),CHOOSE(ArtifactsInput!$N$22+1,10,12,14,16,18,20)*((0*(((0.15*B2174*5))^0/1)+1*(((0.15*B2174*5))^1/1)+2*(((0.15*B2174*5))^2/2)+3*(((0.15*B2174*5))^3/6)+4*(((0.15*B2174*5))^4/24)+5*(((0.15*B2174*5))^5/120))/((((0.15*B2174*5))^0/1)+(((0.15*B2174*5))^1/1)+(((0.15*B2174*5))^2/2)+(((0.15*B2174*5))^3/6)+(((0.15*B2174*5))^4/24)+(((0.15*B2174*5))^5/120))),0))+IF(Inputs!$B$3&gt;=54,9*(C2144=TRUE)*MIN(1,8*(1+Inputs!$B$34/100)*Q2144)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2155*(1-MIN(100,(Inputs!$B$9+((C2160=TRUE)*(F2160-Calc!F19))+B2172+(ArtifactsInput!$M$24-ArtifactsInput!$M$24)*CHOOSE(ArtifactsInput!$N$24+1,10,12,14,16,18,20)+(IF(AND(Inputs!$B$38&lt;&gt;"pvp",Inputs!$B$43=0),1,IF(IF(Inputs!$B$38="pvp",15,Inputs!$B$43)-(B2179)&lt;=0,1,MAX(0,IF(Inputs!$B$38="pvp",15,Inputs!$B$43)-MAX(5,B2179))/(IF(Inputs!$B$38="pvp",15,Inputs!$B$43)-(B2179))))*IF(AND(ArtifactsInput!$M$42,((Inputs!$B$9+((C2160=TRUE)*(F2160-Calc!F19))+B2172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2155*(MIN(100,(Inputs!$B$9+((C2160=TRUE)*(F2160-Calc!F19))+B2172+(ArtifactsInput!$M$24-ArtifactsInput!$M$24)*CHOOSE(ArtifactsInput!$N$24+1,10,12,14,16,18,20)+(IF(AND(Inputs!$B$38&lt;&gt;"pvp",Inputs!$B$43=0),1,IF(IF(Inputs!$B$38="pvp",15,Inputs!$B$43)-(B2179)&lt;=0,1,MAX(0,IF(Inputs!$B$38="pvp",15,Inputs!$B$43)-MAX(5,B2179))/(IF(Inputs!$B$38="pvp",15,Inputs!$B$43)-(B2179))))*IF(AND(ArtifactsInput!$M$42,((Inputs!$B$9+((C2160=TRUE)*(F2160-Calc!F19))+B2172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2155*(1-MIN(100,(Inputs!$B$9+((C2160=TRUE)*(F2160-Calc!F19))+B2172+(ArtifactsInput!$M$24-ArtifactsInput!$M$24)*CHOOSE(ArtifactsInput!$N$24+1,10,12,14,16,18,20)+(IF(AND(Inputs!$B$38&lt;&gt;"pvp",Inputs!$B$43=0),1,IF(IF(Inputs!$B$38="pvp",15,Inputs!$B$43)-(B2179)&lt;=0,1,MAX(0,IF(Inputs!$B$38="pvp",15,Inputs!$B$43)-MAX(5,B2179))/(IF(Inputs!$B$38="pvp",15,Inputs!$B$43)-(B2179))))*IF(AND(ArtifactsInput!$M$42,((Inputs!$B$9+((C2160=TRUE)*(F2160-Calc!F19))+B2172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2155*(MIN(100,(Inputs!$B$9+((C2160=TRUE)*(F2160-Calc!F19))+B2172+(ArtifactsInput!$M$24-ArtifactsInput!$M$24)*CHOOSE(ArtifactsInput!$N$24+1,10,12,14,16,18,20)+(IF(AND(Inputs!$B$38&lt;&gt;"pvp",Inputs!$B$43=0),1,IF(IF(Inputs!$B$38="pvp",15,Inputs!$B$43)-(B2179)&lt;=0,1,MAX(0,IF(Inputs!$B$38="pvp",15,Inputs!$B$43)-MAX(5,B2179))/(IF(Inputs!$B$38="pvp",15,Inputs!$B$43)-(B2179))))*IF(AND(ArtifactsInput!$M$42,((Inputs!$B$9+((C2160=TRUE)*(F2160-Calc!F19))+B2172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IF(ArtifactsInput!$M$26,FALSE,TRUE),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55">
        <f>IF(C2155,((H2155*(B2176+IF(AND(Inputs!$B$38&lt;&gt;"pvp",Inputs!$B$43&gt;0),((Skills!G8*((R2149-1)*IF(Skills!H8&gt;0,INT(Skills!I8/Skills!H8+0.000000001),1)+IF(Skills!H8&gt;0,INT(MIN(Skills!I8,MAX(0,MAX(0,Inputs!$B$43-B2179)-((R2149-1)*((IF(Inputs!$B$38="pvp",15,MAX(0.1,Skills!D8-IF(TRUE=TRUE,Inputs!$B$32,0)))*(1-IF(AND(ArtifactsInput!$M$27,Inputs!$B$4="Chapter Hunt"),CHOOSE(ArtifactsInput!$N$27+1,20,24,28,32,36,40),0)/100))/B2183))))/Skills!H8+0.000000001),1)))/Inputs!$B$43),G2149*Q2149)+IF(AND(Inputs!$B$38&lt;&gt;"pvp",Inputs!$B$43&gt;0),((Skills!G11*((R2152-1)*IF(Skills!H11&gt;0,INT(Skills!I11/Skills!H11+0.000000001),1)+IF(Skills!H11&gt;0,INT(MIN(Skills!I11,MAX(0,MAX(0,Inputs!$B$43-B2179)-((R2152-1)*((IF(Inputs!$B$38="pvp",15,MAX(0.1,Skills!D11-IF(TRUE=TRUE,Inputs!$B$32,0)))*(1-IF(AND(ArtifactsInput!$M$27,Inputs!$B$4="Chapter Hunt"),CHOOSE(ArtifactsInput!$N$27+1,20,24,28,32,36,40),0)/100))/B2183))))/Skills!H11+0.000000001),1)))/Inputs!$B$43),G2152*Q2152)))/(1+Skills!H14*H2155*(B2176+IF(AND(Inputs!$B$38&lt;&gt;"pvp",Inputs!$B$43&gt;0),((Skills!G8*((R2149-1)*IF(Skills!H8&gt;0,INT(Skills!I8/Skills!H8+0.000000001),1)+IF(Skills!H8&gt;0,INT(MIN(Skills!I8,MAX(0,MAX(0,Inputs!$B$43-B2179)-((R2149-1)*((IF(Inputs!$B$38="pvp",15,MAX(0.1,Skills!D8-IF(TRUE=TRUE,Inputs!$B$32,0)))*(1-IF(AND(ArtifactsInput!$M$27,Inputs!$B$4="Chapter Hunt"),CHOOSE(ArtifactsInput!$N$27+1,20,24,28,32,36,40),0)/100))/B2183))))/Skills!H8+0.000000001),1)))/Inputs!$B$43),G2149*Q2149)+IF(AND(Inputs!$B$38&lt;&gt;"pvp",Inputs!$B$43&gt;0),((Skills!G11*((R2152-1)*IF(Skills!H11&gt;0,INT(Skills!I11/Skills!H11+0.000000001),1)+IF(Skills!H11&gt;0,INT(MIN(Skills!I11,MAX(0,MAX(0,Inputs!$B$43-B2179)-((R2152-1)*((IF(Inputs!$B$38="pvp",15,MAX(0.1,Skills!D11-IF(TRUE=TRUE,Inputs!$B$32,0)))*(1-IF(AND(ArtifactsInput!$M$27,Inputs!$B$4="Chapter Hunt"),CHOOSE(ArtifactsInput!$N$27+1,20,24,28,32,36,40),0)/100))/B2183))))/Skills!H11+0.000000001),1)))/Inputs!$B$43),G2152*Q2152)))*N2155)*IF(Inputs!$B$38="pvp",1,(1+(Inputs!$B$21+Skills!Q14+(IF(ArtifactsInput!$M$33,CHOOSE(ArtifactsInput!$N$33+1,30,36,42,48,54,60),0))+(IF(AND(ArtifactsInput!$M$35,Inputs!$B$4&lt;&gt;"Chapter Hunt"),CHOOSE(ArtifactsInput!$N$35+1,15,18,21,24,27,30)*(1-EXP(-(0.2*B2174)*5)),0)+IF(AND(ArtifactsInput!$M$22,Inputs!$B$4&lt;&gt;"Chapter Hunt"),CHOOSE(ArtifactsInput!$N$22+1,10,12,14,16,18,20)*((0*(((0.15*B2174*5))^0/1)+1*(((0.15*B2174*5))^1/1)+2*(((0.15*B2174*5))^2/2)+3*(((0.15*B2174*5))^3/6)+4*(((0.15*B2174*5))^4/24)+5*(((0.15*B2174*5))^5/120))/((((0.15*B2174*5))^0/1)+(((0.15*B2174*5))^1/1)+(((0.15*B2174*5))^2/2)+(((0.15*B2174*5))^3/6)+(((0.15*B2174*5))^4/24)+(((0.15*B2174*5))^5/120))),0))+IF(Inputs!$B$3&gt;=54,9*(C2144=TRUE)*MIN(1,8*(1+Inputs!$B$34/100)*Q2144),0))/100)*(MIN(Skills!R14,Inputs!$B$37)))*((1+(IF(AND(ArtifactsInput!$M$41,Inputs!$B$38&lt;&gt;"pvp"),CHOOSE(ArtifactsInput!$N$41+1,5,6,7,8,9,10)*IF(OR(Inputs!$B$4="Weapon Dungeon",Inputs!$B$4="Equipment Dungeon",Inputs!$B$4="Enhancement Dungeon",Inputs!$B$4="EXP Dungeon",Inputs!$B$4="Hero Dungeon"),3,1),0)+IF(IF(ArtifactsInput!$M$26,FALSE,TRUE),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56">
      <c r="A2156">
        <f>Skills!A15</f>
        <v/>
      </c>
      <c r="B2156">
        <f>Skills!B15</f>
        <v/>
      </c>
      <c r="C2156">
        <f>Inputs!$B$3&gt;=100</f>
        <v/>
      </c>
      <c r="D2156">
        <f>IF(Skills!C15=1,60+Inputs!$B$25+Inputs!$B$29,IF(Skills!C15=2,90+Inputs!$B$26+Inputs!$B$29,IF(Skills!C15=3,120+Inputs!$B$27+Inputs!$B$29,MAX(0,(Inputs!$B$3-100)*3)+Inputs!$B$28+Inputs!$B$29)))</f>
        <v/>
      </c>
      <c r="E2156">
        <f>INDEX(FactorTable!$B$2:$Y$301, MATCH(ROUND(MIN(300,MAX(1,D2156)),0), FactorTable!$A$2:$A$301,0), Skills!M15+1)</f>
        <v/>
      </c>
      <c r="F2156">
        <f>IF(Skills!N15=TRUE,(Skills!L15/10)*(E2156/1000),Skills!L15/10)+Skills!O15</f>
        <v/>
      </c>
      <c r="G2156" t="inlineStr"/>
      <c r="H2156" t="inlineStr"/>
      <c r="I2156" t="inlineStr">
        <is>
          <t>1</t>
        </is>
      </c>
      <c r="J2156" t="inlineStr"/>
      <c r="K2156" t="inlineStr"/>
      <c r="L2156" t="inlineStr"/>
      <c r="M2156" t="inlineStr"/>
      <c r="N2156" t="inlineStr"/>
      <c r="O2156" t="inlineStr"/>
      <c r="P2156" t="inlineStr"/>
      <c r="Q2156" t="inlineStr"/>
      <c r="R2156" t="inlineStr"/>
      <c r="S2156" t="inlineStr"/>
    </row>
    <row r="2157">
      <c r="A2157">
        <f>Skills!A16</f>
        <v/>
      </c>
      <c r="B2157">
        <f>Skills!B16</f>
        <v/>
      </c>
      <c r="C2157">
        <f>Inputs!$B$3&gt;=107</f>
        <v/>
      </c>
      <c r="D2157">
        <f>IF(Skills!C16=1,60+Inputs!$B$25+Inputs!$B$29,IF(Skills!C16=2,90+Inputs!$B$26+Inputs!$B$29,IF(Skills!C16=3,120+Inputs!$B$27+Inputs!$B$29,MAX(0,(Inputs!$B$3-100)*3)+Inputs!$B$28+Inputs!$B$29)))</f>
        <v/>
      </c>
      <c r="E2157">
        <f>INDEX(FactorTable!$B$2:$Y$301, MATCH(ROUND(MIN(300,MAX(1,D2157)),0), FactorTable!$A$2:$A$301,0), Skills!M16+1)</f>
        <v/>
      </c>
      <c r="F2157">
        <f>IF(Skills!N16=TRUE,(Skills!L16/10)*(E2157/1000),Skills!L16/10)+Skills!O16</f>
        <v/>
      </c>
      <c r="G2157" t="inlineStr"/>
      <c r="H2157" t="inlineStr"/>
      <c r="I2157" t="inlineStr">
        <is>
          <t>1</t>
        </is>
      </c>
      <c r="J2157" t="inlineStr"/>
      <c r="K2157" t="inlineStr"/>
      <c r="L2157" t="inlineStr"/>
      <c r="M2157" t="inlineStr"/>
      <c r="N2157" t="inlineStr"/>
      <c r="O2157" t="inlineStr"/>
      <c r="P2157" t="inlineStr"/>
      <c r="Q2157" t="inlineStr"/>
      <c r="R2157" t="inlineStr"/>
      <c r="S2157" t="inlineStr"/>
    </row>
    <row r="2158">
      <c r="A2158">
        <f>Skills!A17</f>
        <v/>
      </c>
      <c r="B2158">
        <f>Skills!B17</f>
        <v/>
      </c>
      <c r="C2158">
        <f>Inputs!$B$3&gt;=74</f>
        <v/>
      </c>
      <c r="D2158">
        <f>IF(Skills!C17=1,60+Inputs!$B$25+Inputs!$B$29,IF(Skills!C17=2,90+Inputs!$B$26+Inputs!$B$29,IF(Skills!C17=3,120+Inputs!$B$27+Inputs!$B$29,MAX(0,(Inputs!$B$3-100)*3)+Inputs!$B$28+Inputs!$B$29)))</f>
        <v/>
      </c>
      <c r="E2158">
        <f>INDEX(FactorTable!$B$2:$Y$301, MATCH(ROUND(MIN(300,MAX(1,D2158)),0), FactorTable!$A$2:$A$301,0), Skills!M17+1)</f>
        <v/>
      </c>
      <c r="F2158">
        <f>IF(Skills!N17=TRUE,(Skills!L17/10)*(E2158/1000),Skills!L17/10)+Skills!O17</f>
        <v/>
      </c>
      <c r="G2158">
        <f>Skills!G17*IF(Skills!H17&gt;0,INT(IF(Inputs!$B$38="pvp",MIN(Skills!I17,15),Skills!I17)/Skills!H17+0.000000001),1)</f>
        <v/>
      </c>
      <c r="H2158">
        <f>1-(1-Skills!J17/100)^Skills!K17</f>
        <v/>
      </c>
      <c r="I2158" t="inlineStr">
        <is>
          <t>1</t>
        </is>
      </c>
      <c r="J2158" t="inlineStr"/>
      <c r="K2158" t="inlineStr"/>
      <c r="L2158" t="inlineStr"/>
      <c r="M2158" t="inlineStr"/>
      <c r="N2158" t="inlineStr"/>
      <c r="O2158">
        <f>(1-Summary!$B$11)*T2158+Summary!$B$11*V2158</f>
        <v/>
      </c>
      <c r="P2158">
        <f>IF(B2182=0,0,O2158/B2182)</f>
        <v/>
      </c>
      <c r="Q2158" t="n">
        <v>0</v>
      </c>
      <c r="R2158" t="n">
        <v>0</v>
      </c>
      <c r="S2158">
        <f>IFERROR(O2158/N2158,0)</f>
        <v/>
      </c>
      <c r="T2158" t="n">
        <v>0</v>
      </c>
      <c r="V2158" t="n">
        <v>0</v>
      </c>
    </row>
    <row r="2159">
      <c r="A2159">
        <f>Skills!A18</f>
        <v/>
      </c>
      <c r="B2159">
        <f>Skills!B18</f>
        <v/>
      </c>
      <c r="C2159">
        <f>Inputs!$B$3&gt;=115</f>
        <v/>
      </c>
      <c r="D2159">
        <f>IF(Skills!C18=1,60+Inputs!$B$25+Inputs!$B$29,IF(Skills!C18=2,90+Inputs!$B$26+Inputs!$B$29,IF(Skills!C18=3,120+Inputs!$B$27+Inputs!$B$29,MAX(0,(Inputs!$B$3-100)*3)+Inputs!$B$28+Inputs!$B$29)))</f>
        <v/>
      </c>
      <c r="E2159">
        <f>INDEX(FactorTable!$B$2:$Y$301, MATCH(ROUND(MIN(300,MAX(1,D2159)),0), FactorTable!$A$2:$A$301,0), Skills!M18+1)</f>
        <v/>
      </c>
      <c r="F2159">
        <f>IF(Skills!N18=TRUE,(Skills!L18/10)*(E2159/1000),Skills!L18/10)+Skills!O18</f>
        <v/>
      </c>
      <c r="G2159">
        <f>Skills!G18*IF(Skills!H18&gt;0,INT(IF(Inputs!$B$38="pvp",MIN(Skills!I18,15),Skills!I18)/Skills!H18+0.000000001),1)</f>
        <v/>
      </c>
      <c r="H2159">
        <f>1-(1-Skills!J18/100)^Skills!K18</f>
        <v/>
      </c>
      <c r="I2159" t="inlineStr">
        <is>
          <t>1</t>
        </is>
      </c>
      <c r="J2159" t="inlineStr"/>
      <c r="K2159" t="inlineStr"/>
      <c r="L2159" t="inlineStr"/>
      <c r="M2159" t="inlineStr"/>
      <c r="N2159" t="inlineStr"/>
      <c r="O2159">
        <f>(1-Summary!$B$11)*T2159+Summary!$B$11*V2159</f>
        <v/>
      </c>
      <c r="P2159">
        <f>IF(B2182=0,0,O2159/B2182)</f>
        <v/>
      </c>
      <c r="Q2159">
        <f>IFERROR(1/(IF(Inputs!$B$38="pvp",15,MAX(0.1,Skills!D18-IF(TRUE=TRUE,Inputs!$B$32,0)))*(1-IF(AND(ArtifactsInput!$M$27,Inputs!$B$4="Chapter Hunt"),CHOOSE(ArtifactsInput!$N$27+1,20,24,28,32,36,40),0)/100)),0)</f>
        <v/>
      </c>
      <c r="R2159">
        <f>IF(AND(Inputs!$B$38&lt;&gt;"pvp",Inputs!$B$43&gt;0),IF(Inputs!$B$43&lt;=0,0,(INT(Inputs!$B$43/(IF(Inputs!$B$38="pvp",15,MAX(0.1,Skills!D18-IF(TRUE=TRUE,Inputs!$B$32,0)))*(1-IF(AND(ArtifactsInput!$M$27,Inputs!$B$4="Chapter Hunt"),CHOOSE(ArtifactsInput!$N$27+1,20,24,28,32,36,40),0)/100)))+1)),0)</f>
        <v/>
      </c>
      <c r="S2159">
        <f>IFERROR(O2159/N2159,0)</f>
        <v/>
      </c>
      <c r="T2159" t="n">
        <v>0</v>
      </c>
      <c r="V2159" t="n">
        <v>0</v>
      </c>
    </row>
    <row r="2160">
      <c r="A2160">
        <f>Skills!A19</f>
        <v/>
      </c>
      <c r="B2160">
        <f>Skills!B19</f>
        <v/>
      </c>
      <c r="C2160">
        <f>Inputs!$B$3&gt;=10</f>
        <v/>
      </c>
      <c r="D2160">
        <f>IF(Skills!C19=1,60+Inputs!$B$25+Inputs!$B$29,IF(Skills!C19=2,90+Inputs!$B$26+Inputs!$B$29,IF(Skills!C19=3,120+Inputs!$B$27+Inputs!$B$29,MAX(0,(Inputs!$B$3-100)*3)+Inputs!$B$28+Inputs!$B$29)))</f>
        <v/>
      </c>
      <c r="E2160">
        <f>INDEX(FactorTable!$B$2:$Y$301, MATCH(ROUND(MIN(300,MAX(1,D2160)),0), FactorTable!$A$2:$A$301,0), Skills!M19+1)</f>
        <v/>
      </c>
      <c r="F2160">
        <f>IF(Skills!N19=TRUE,(Skills!L19/10)*(E2160/1000),Skills!L19/10)+Skills!O19</f>
        <v/>
      </c>
      <c r="G2160">
        <f>Skills!G19*IF(Skills!H19&gt;0,INT(IF(Inputs!$B$38="pvp",MIN(Skills!I19,15),Skills!I19)/Skills!H19+0.000000001),1)</f>
        <v/>
      </c>
      <c r="H2160">
        <f>1-(1-Skills!J19/100)^Skills!K19</f>
        <v/>
      </c>
      <c r="I2160" t="inlineStr">
        <is>
          <t>1</t>
        </is>
      </c>
      <c r="J2160" t="inlineStr"/>
      <c r="K2160" t="inlineStr"/>
      <c r="L2160" t="inlineStr"/>
      <c r="M2160" t="inlineStr"/>
      <c r="N2160" t="inlineStr"/>
      <c r="O2160">
        <f>(1-Summary!$B$11)*T2160+Summary!$B$11*V2160</f>
        <v/>
      </c>
      <c r="P2160">
        <f>IF(B2182=0,0,O2160/B2182)</f>
        <v/>
      </c>
      <c r="Q2160" t="n">
        <v>0</v>
      </c>
      <c r="R2160" t="n">
        <v>0</v>
      </c>
      <c r="S2160">
        <f>IFERROR(O2160/N2160,0)</f>
        <v/>
      </c>
      <c r="T2160" t="n">
        <v>0</v>
      </c>
      <c r="V2160" t="n">
        <v>0</v>
      </c>
    </row>
    <row r="2161">
      <c r="A2161">
        <f>Skills!A20</f>
        <v/>
      </c>
      <c r="B2161">
        <f>Skills!B20</f>
        <v/>
      </c>
      <c r="C2161">
        <f>Inputs!$B$3&gt;=15</f>
        <v/>
      </c>
      <c r="D2161">
        <f>IF(Skills!C20=1,60+Inputs!$B$25+Inputs!$B$29,IF(Skills!C20=2,90+Inputs!$B$26+Inputs!$B$29,IF(Skills!C20=3,120+Inputs!$B$27+Inputs!$B$29,MAX(0,(Inputs!$B$3-100)*3)+Inputs!$B$28+Inputs!$B$29)))</f>
        <v/>
      </c>
      <c r="E2161">
        <f>INDEX(FactorTable!$B$2:$Y$301, MATCH(ROUND(MIN(300,MAX(1,D2161)),0), FactorTable!$A$2:$A$301,0), Skills!M20+1)</f>
        <v/>
      </c>
      <c r="F2161">
        <f>IF(Skills!N20=TRUE,(Skills!L20/10)*(E2161/1000),Skills!L20/10)+Skills!O20</f>
        <v/>
      </c>
      <c r="G2161">
        <f>Skills!G20*IF(Skills!H20&gt;0,INT(IF(Inputs!$B$38="pvp",MIN(Skills!I20,15),Skills!I20)/Skills!H20+0.000000001),1)</f>
        <v/>
      </c>
      <c r="H2161">
        <f>1-(1-Skills!J20/100)^Skills!K20</f>
        <v/>
      </c>
      <c r="I2161" t="inlineStr">
        <is>
          <t>1</t>
        </is>
      </c>
      <c r="J2161" t="inlineStr"/>
      <c r="K2161" t="inlineStr"/>
      <c r="L2161" t="inlineStr"/>
      <c r="M2161" t="inlineStr"/>
      <c r="N2161" t="inlineStr"/>
      <c r="O2161">
        <f>(1-Summary!$B$11)*T2161+Summary!$B$11*V2161</f>
        <v/>
      </c>
      <c r="P2161">
        <f>IF(B2182=0,0,O2161/B2182)</f>
        <v/>
      </c>
      <c r="Q2161" t="n">
        <v>0</v>
      </c>
      <c r="R2161" t="n">
        <v>0</v>
      </c>
      <c r="S2161">
        <f>IFERROR(O2161/N2161,0)</f>
        <v/>
      </c>
      <c r="T2161" t="n">
        <v>0</v>
      </c>
      <c r="V2161" t="n">
        <v>0</v>
      </c>
    </row>
    <row r="2162">
      <c r="A2162">
        <f>Skills!A21</f>
        <v/>
      </c>
      <c r="B2162">
        <f>Skills!B21</f>
        <v/>
      </c>
      <c r="C2162">
        <f>Inputs!$B$3&gt;=40</f>
        <v/>
      </c>
      <c r="D2162">
        <f>IF(Skills!C21=1,60+Inputs!$B$25+Inputs!$B$29,IF(Skills!C21=2,90+Inputs!$B$26+Inputs!$B$29,IF(Skills!C21=3,120+Inputs!$B$27+Inputs!$B$29,MAX(0,(Inputs!$B$3-100)*3)+Inputs!$B$28+Inputs!$B$29)))</f>
        <v/>
      </c>
      <c r="E2162">
        <f>INDEX(FactorTable!$B$2:$Y$301, MATCH(ROUND(MIN(300,MAX(1,D2162)),0), FactorTable!$A$2:$A$301,0), Skills!M21+1)</f>
        <v/>
      </c>
      <c r="F2162">
        <f>IF(Skills!N21=TRUE,(Skills!L21/10)*(E2162/1000),Skills!L21/10)+Skills!O21</f>
        <v/>
      </c>
      <c r="G2162">
        <f>Skills!G21*IF(Skills!H21&gt;0,INT(IF(Inputs!$B$38="pvp",MIN(Skills!I21,15),Skills!I21)/Skills!H21+0.000000001),1)</f>
        <v/>
      </c>
      <c r="H2162">
        <f>1-(1-Skills!J21/100)^Skills!K21</f>
        <v/>
      </c>
      <c r="I2162" t="inlineStr">
        <is>
          <t>1</t>
        </is>
      </c>
      <c r="J2162" t="inlineStr"/>
      <c r="K2162" t="inlineStr"/>
      <c r="L2162" t="inlineStr"/>
      <c r="M2162" t="inlineStr"/>
      <c r="N2162" t="inlineStr"/>
      <c r="O2162">
        <f>(1-Summary!$B$11)*T2162+Summary!$B$11*V2162</f>
        <v/>
      </c>
      <c r="P2162">
        <f>IF(B2182=0,0,O2162/B2182)</f>
        <v/>
      </c>
      <c r="Q2162" t="n">
        <v>0</v>
      </c>
      <c r="R2162" t="n">
        <v>0</v>
      </c>
      <c r="S2162">
        <f>IFERROR(O2162/N2162,0)</f>
        <v/>
      </c>
      <c r="T2162" t="n">
        <v>0</v>
      </c>
      <c r="V2162" t="n">
        <v>0</v>
      </c>
    </row>
    <row r="2163">
      <c r="A2163">
        <f>Skills!A22</f>
        <v/>
      </c>
      <c r="B2163">
        <f>Skills!B22</f>
        <v/>
      </c>
      <c r="C2163">
        <f>Inputs!$B$3&gt;=43</f>
        <v/>
      </c>
      <c r="D2163">
        <f>IF(Skills!C22=1,60+Inputs!$B$25+Inputs!$B$29,IF(Skills!C22=2,90+Inputs!$B$26+Inputs!$B$29,IF(Skills!C22=3,120+Inputs!$B$27+Inputs!$B$29,MAX(0,(Inputs!$B$3-100)*3)+Inputs!$B$28+Inputs!$B$29)))</f>
        <v/>
      </c>
      <c r="E2163">
        <f>INDEX(FactorTable!$B$2:$Y$301, MATCH(ROUND(MIN(300,MAX(1,D2163)),0), FactorTable!$A$2:$A$301,0), Skills!M22+1)</f>
        <v/>
      </c>
      <c r="F2163">
        <f>IF(Skills!N22=TRUE,(Skills!L22/10)*(E2163/1000),Skills!L22/10)+Skills!O22</f>
        <v/>
      </c>
      <c r="G2163">
        <f>Skills!G22*IF(Skills!H22&gt;0,INT(IF(Inputs!$B$38="pvp",MIN(Skills!I22,15),Skills!I22)/Skills!H22+0.000000001),1)</f>
        <v/>
      </c>
      <c r="H2163">
        <f>1-(1-Skills!J22/100)^Skills!K22</f>
        <v/>
      </c>
      <c r="I2163" t="inlineStr">
        <is>
          <t>1</t>
        </is>
      </c>
      <c r="J2163" t="inlineStr"/>
      <c r="K2163" t="inlineStr"/>
      <c r="L2163" t="inlineStr"/>
      <c r="M2163" t="inlineStr"/>
      <c r="N2163" t="inlineStr"/>
      <c r="O2163">
        <f>(1-Summary!$B$11)*T2163+Summary!$B$11*V2163</f>
        <v/>
      </c>
      <c r="P2163">
        <f>IF(B2182=0,0,O2163/B2182)</f>
        <v/>
      </c>
      <c r="Q2163" t="n">
        <v>0</v>
      </c>
      <c r="R2163" t="n">
        <v>0</v>
      </c>
      <c r="S2163">
        <f>IFERROR(O2163/N2163,0)</f>
        <v/>
      </c>
      <c r="T2163" t="n">
        <v>0</v>
      </c>
      <c r="V2163" t="n">
        <v>0</v>
      </c>
    </row>
    <row r="2164">
      <c r="A2164">
        <f>Skills!A23</f>
        <v/>
      </c>
      <c r="B2164">
        <f>Skills!B23</f>
        <v/>
      </c>
      <c r="C2164">
        <f>Inputs!$B$3&gt;=38</f>
        <v/>
      </c>
      <c r="D2164">
        <f>IF(Skills!C23=1,60+Inputs!$B$25+Inputs!$B$29,IF(Skills!C23=2,90+Inputs!$B$26+Inputs!$B$29,IF(Skills!C23=3,120+Inputs!$B$27+Inputs!$B$29,MAX(0,(Inputs!$B$3-100)*3)+Inputs!$B$28+Inputs!$B$29)))</f>
        <v/>
      </c>
      <c r="E2164">
        <f>INDEX(FactorTable!$B$2:$Y$301, MATCH(ROUND(MIN(300,MAX(1,D2164)),0), FactorTable!$A$2:$A$301,0), Skills!M23+1)</f>
        <v/>
      </c>
      <c r="F2164">
        <f>IF(Skills!N23=TRUE,(Skills!L23/10)*(E2164/1000),Skills!L23/10)+Skills!O23</f>
        <v/>
      </c>
      <c r="G2164">
        <f>Skills!G23*IF(Skills!H23&gt;0,INT(IF(Inputs!$B$38="pvp",MIN(Skills!I23,15),Skills!I23)/Skills!H23+0.000000001),1)</f>
        <v/>
      </c>
      <c r="H2164">
        <f>1-(1-Skills!J23/100)^Skills!K23</f>
        <v/>
      </c>
      <c r="I2164" t="inlineStr">
        <is>
          <t>1</t>
        </is>
      </c>
      <c r="J2164" t="inlineStr"/>
      <c r="K2164" t="inlineStr"/>
      <c r="L2164" t="inlineStr"/>
      <c r="M2164" t="inlineStr"/>
      <c r="N2164" t="inlineStr"/>
      <c r="O2164">
        <f>(1-Summary!$B$11)*T2164+Summary!$B$11*V2164</f>
        <v/>
      </c>
      <c r="P2164">
        <f>IF(B2182=0,0,O2164/B2182)</f>
        <v/>
      </c>
      <c r="Q2164" t="n">
        <v>0</v>
      </c>
      <c r="R2164" t="n">
        <v>0</v>
      </c>
      <c r="S2164">
        <f>IFERROR(O2164/N2164,0)</f>
        <v/>
      </c>
      <c r="T2164" t="n">
        <v>0</v>
      </c>
      <c r="V2164" t="n">
        <v>0</v>
      </c>
    </row>
    <row r="2165">
      <c r="A2165">
        <f>Skills!A24</f>
        <v/>
      </c>
      <c r="B2165">
        <f>Skills!B24</f>
        <v/>
      </c>
      <c r="C2165">
        <f>Inputs!$B$3&gt;=45</f>
        <v/>
      </c>
      <c r="D2165">
        <f>IF(Skills!C24=1,60+Inputs!$B$25+Inputs!$B$29,IF(Skills!C24=2,90+Inputs!$B$26+Inputs!$B$29,IF(Skills!C24=3,120+Inputs!$B$27+Inputs!$B$29,MAX(0,(Inputs!$B$3-100)*3)+Inputs!$B$28+Inputs!$B$29)))</f>
        <v/>
      </c>
      <c r="E2165">
        <f>INDEX(FactorTable!$B$2:$Y$301, MATCH(ROUND(MIN(300,MAX(1,D2165)),0), FactorTable!$A$2:$A$301,0), Skills!M24+1)</f>
        <v/>
      </c>
      <c r="F2165">
        <f>IF(Skills!N24=TRUE,(Skills!L24/10)*(E2165/1000),Skills!L24/10)+Skills!O24</f>
        <v/>
      </c>
      <c r="G2165">
        <f>Skills!G24*IF(Skills!H24&gt;0,INT(IF(Inputs!$B$38="pvp",MIN(Skills!I24,15),Skills!I24)/Skills!H24+0.000000001),1)</f>
        <v/>
      </c>
      <c r="H2165">
        <f>1-(1-Skills!J24/100)^Skills!K24</f>
        <v/>
      </c>
      <c r="I2165" t="inlineStr">
        <is>
          <t>1</t>
        </is>
      </c>
      <c r="J2165" t="inlineStr"/>
      <c r="K2165" t="inlineStr"/>
      <c r="L2165" t="inlineStr"/>
      <c r="M2165" t="inlineStr"/>
      <c r="N2165" t="inlineStr"/>
      <c r="O2165">
        <f>(1-Summary!$B$11)*T2165+Summary!$B$11*V2165</f>
        <v/>
      </c>
      <c r="P2165">
        <f>IF(B2182=0,0,O2165/B2182)</f>
        <v/>
      </c>
      <c r="Q2165" t="n">
        <v>0</v>
      </c>
      <c r="R2165" t="n">
        <v>0</v>
      </c>
      <c r="S2165">
        <f>IFERROR(O2165/N2165,0)</f>
        <v/>
      </c>
      <c r="T2165" t="n">
        <v>0</v>
      </c>
      <c r="V2165" t="n">
        <v>0</v>
      </c>
    </row>
    <row r="2166">
      <c r="A2166">
        <f>Skills!A25</f>
        <v/>
      </c>
      <c r="B2166">
        <f>Skills!B25</f>
        <v/>
      </c>
      <c r="C2166">
        <f>Inputs!$B$3&gt;=72</f>
        <v/>
      </c>
      <c r="D2166">
        <f>IF(Skills!C25=1,60+Inputs!$B$25+Inputs!$B$29,IF(Skills!C25=2,90+Inputs!$B$26+Inputs!$B$29,IF(Skills!C25=3,120+Inputs!$B$27+Inputs!$B$29,MAX(0,(Inputs!$B$3-100)*3)+Inputs!$B$28+Inputs!$B$29)))</f>
        <v/>
      </c>
      <c r="E2166">
        <f>INDEX(FactorTable!$B$2:$Y$301, MATCH(ROUND(MIN(300,MAX(1,D2166)),0), FactorTable!$A$2:$A$301,0), Skills!M25+1)</f>
        <v/>
      </c>
      <c r="F2166">
        <f>IF(Skills!N25=TRUE,(Skills!L25/10)*(E2166/1000),Skills!L25/10)+Skills!O25</f>
        <v/>
      </c>
      <c r="G2166">
        <f>Skills!G25*IF(Skills!H25&gt;0,INT(IF(Inputs!$B$38="pvp",MIN(Skills!I25,15),Skills!I25)/Skills!H25+0.000000001),1)</f>
        <v/>
      </c>
      <c r="H2166">
        <f>1-(1-Skills!J25/100)^Skills!K25</f>
        <v/>
      </c>
      <c r="I2166" t="inlineStr">
        <is>
          <t>1</t>
        </is>
      </c>
      <c r="J2166" t="inlineStr"/>
      <c r="K2166" t="inlineStr"/>
      <c r="L2166" t="inlineStr"/>
      <c r="M2166" t="inlineStr"/>
      <c r="N2166" t="inlineStr"/>
      <c r="O2166">
        <f>(1-Summary!$B$11)*T2166+Summary!$B$11*V2166</f>
        <v/>
      </c>
      <c r="P2166">
        <f>IF(B2182=0,0,O2166/B2182)</f>
        <v/>
      </c>
      <c r="Q2166" t="n">
        <v>0</v>
      </c>
      <c r="R2166" t="n">
        <v>0</v>
      </c>
      <c r="S2166">
        <f>IFERROR(O2166/N2166,0)</f>
        <v/>
      </c>
      <c r="T2166" t="n">
        <v>0</v>
      </c>
      <c r="V2166" t="n">
        <v>0</v>
      </c>
    </row>
    <row r="2167">
      <c r="A2167">
        <f>Skills!A26</f>
        <v/>
      </c>
      <c r="B2167">
        <f>Skills!B26</f>
        <v/>
      </c>
      <c r="C2167">
        <f>Inputs!$B$3&gt;=75</f>
        <v/>
      </c>
      <c r="D2167">
        <f>IF(Skills!C26=1,60+Inputs!$B$25+Inputs!$B$29,IF(Skills!C26=2,90+Inputs!$B$26+Inputs!$B$29,IF(Skills!C26=3,120+Inputs!$B$27+Inputs!$B$29,MAX(0,(Inputs!$B$3-100)*3)+Inputs!$B$28+Inputs!$B$29)))</f>
        <v/>
      </c>
      <c r="E2167">
        <f>INDEX(FactorTable!$B$2:$Y$301, MATCH(ROUND(MIN(300,MAX(1,D2167)),0), FactorTable!$A$2:$A$301,0), Skills!M26+1)</f>
        <v/>
      </c>
      <c r="F2167">
        <f>IF(Skills!N26=TRUE,(Skills!L26/10)*(E2167/1000),Skills!L26/10)+Skills!O26</f>
        <v/>
      </c>
      <c r="G2167">
        <f>Skills!G26*IF(Skills!H26&gt;0,INT(IF(Inputs!$B$38="pvp",MIN(Skills!I26,15),Skills!I26)/Skills!H26+0.000000001),1)</f>
        <v/>
      </c>
      <c r="H2167">
        <f>1-(1-Skills!J26/100)^Skills!K26</f>
        <v/>
      </c>
      <c r="I2167" t="inlineStr">
        <is>
          <t>1</t>
        </is>
      </c>
      <c r="J2167" t="inlineStr"/>
      <c r="K2167" t="inlineStr"/>
      <c r="L2167" t="inlineStr"/>
      <c r="M2167" t="inlineStr"/>
      <c r="N2167" t="inlineStr"/>
      <c r="O2167">
        <f>(1-Summary!$B$11)*T2167+Summary!$B$11*V2167</f>
        <v/>
      </c>
      <c r="P2167">
        <f>IF(B2182=0,0,O2167/B2182)</f>
        <v/>
      </c>
      <c r="Q2167" t="n">
        <v>0</v>
      </c>
      <c r="R2167" t="n">
        <v>0</v>
      </c>
      <c r="S2167">
        <f>IFERROR(O2167/N2167,0)</f>
        <v/>
      </c>
      <c r="T2167" t="n">
        <v>0</v>
      </c>
      <c r="V2167" t="n">
        <v>0</v>
      </c>
    </row>
    <row r="2168">
      <c r="A2168">
        <f>Skills!A27</f>
        <v/>
      </c>
      <c r="B2168">
        <f>Skills!B27</f>
        <v/>
      </c>
      <c r="C2168">
        <f>Inputs!$B$3&gt;=125</f>
        <v/>
      </c>
      <c r="D2168">
        <f>IF(Skills!C27=1,60+Inputs!$B$25+Inputs!$B$29,IF(Skills!C27=2,90+Inputs!$B$26+Inputs!$B$29,IF(Skills!C27=3,120+Inputs!$B$27+Inputs!$B$29,MAX(0,(Inputs!$B$3-100)*3)+Inputs!$B$28+Inputs!$B$29)))</f>
        <v/>
      </c>
      <c r="E2168">
        <f>INDEX(FactorTable!$B$2:$Y$301, MATCH(ROUND(MIN(300,MAX(1,D2168)),0), FactorTable!$A$2:$A$301,0), Skills!M27+1)</f>
        <v/>
      </c>
      <c r="F2168">
        <f>IF(Skills!N27=TRUE,(Skills!L27/10)*(E2168/1000),Skills!L27/10)+Skills!O27</f>
        <v/>
      </c>
      <c r="G2168">
        <f>Skills!G27*IF(Skills!H27&gt;0,INT(IF(Inputs!$B$38="pvp",MIN(Skills!I27,15),Skills!I27)/Skills!H27+0.000000001),1)</f>
        <v/>
      </c>
      <c r="H2168">
        <f>1-(1-Skills!J27/100)^Skills!K27</f>
        <v/>
      </c>
      <c r="I2168" t="inlineStr">
        <is>
          <t>1</t>
        </is>
      </c>
      <c r="J2168" t="inlineStr"/>
      <c r="K2168" t="inlineStr"/>
      <c r="L2168" t="inlineStr"/>
      <c r="M2168" t="inlineStr"/>
      <c r="N2168" t="inlineStr"/>
      <c r="O2168">
        <f>(1-Summary!$B$11)*T2168+Summary!$B$11*V2168</f>
        <v/>
      </c>
      <c r="P2168">
        <f>IF(B2182=0,0,O2168/B2182)</f>
        <v/>
      </c>
      <c r="Q2168" t="n">
        <v>0</v>
      </c>
      <c r="R2168" t="n">
        <v>0</v>
      </c>
      <c r="S2168">
        <f>IFERROR(O2168/N2168,0)</f>
        <v/>
      </c>
      <c r="T2168" t="n">
        <v>0</v>
      </c>
      <c r="V2168" t="n">
        <v>0</v>
      </c>
    </row>
    <row r="2169">
      <c r="A2169">
        <f>Skills!A28</f>
        <v/>
      </c>
      <c r="B2169">
        <f>Skills!B28</f>
        <v/>
      </c>
      <c r="C2169">
        <f>TRUE</f>
        <v/>
      </c>
      <c r="D2169">
        <f>IF(Skills!C28=1,60+Inputs!$B$25+Inputs!$B$29,IF(Skills!C28=2,90+Inputs!$B$26+Inputs!$B$29,IF(Skills!C28=3,120+Inputs!$B$27+Inputs!$B$29,MAX(0,(Inputs!$B$3-100)*3)+Inputs!$B$28+Inputs!$B$29)))</f>
        <v/>
      </c>
      <c r="E2169">
        <f>INDEX(FactorTable!$B$2:$Y$301, MATCH(ROUND(MIN(300,MAX(1,D2169)),0), FactorTable!$A$2:$A$301,0), Skills!M28+1)</f>
        <v/>
      </c>
      <c r="F2169">
        <f>IF(Skills!N28=TRUE,(Skills!L28/10)*(E2169/1000),Skills!L28/10)+Skills!O28</f>
        <v/>
      </c>
      <c r="G2169">
        <f>Skills!G28*IF(Skills!H28&gt;0,INT(IF(Inputs!$B$38="pvp",MIN(Skills!I28,15),Skills!I28)/Skills!H28+0.000000001),1)</f>
        <v/>
      </c>
      <c r="H2169">
        <f>1-(1-Skills!J28/100)^Skills!K28</f>
        <v/>
      </c>
      <c r="I2169" t="inlineStr">
        <is>
          <t>1</t>
        </is>
      </c>
      <c r="J2169" t="inlineStr"/>
      <c r="K2169" t="inlineStr"/>
      <c r="L2169" t="inlineStr"/>
      <c r="M2169" t="inlineStr"/>
      <c r="N2169" t="inlineStr"/>
      <c r="O2169">
        <f>(1-Summary!$B$11)*T2169+Summary!$B$11*V2169</f>
        <v/>
      </c>
      <c r="P2169">
        <f>IF(B2182=0,0,O2169/B2182)</f>
        <v/>
      </c>
      <c r="Q2169">
        <f>IFERROR(1/(IF(Inputs!$B$38="pvp",15,MAX(0.1,Skills!D28-IF(TRUE=TRUE,Inputs!$B$32,0)))*(1-IF(AND(ArtifactsInput!$M$27,Inputs!$B$4="Chapter Hunt"),CHOOSE(ArtifactsInput!$N$27+1,20,24,28,32,36,40),0)/100)),0)</f>
        <v/>
      </c>
      <c r="R2169">
        <f>IF(AND(Inputs!$B$38&lt;&gt;"pvp",Inputs!$B$43&gt;0),IF(Inputs!$B$43&lt;=0,0,(INT(Inputs!$B$43/(IF(Inputs!$B$38="pvp",15,MAX(0.1,Skills!D28-IF(TRUE=TRUE,Inputs!$B$32,0)))*(1-IF(AND(ArtifactsInput!$M$27,Inputs!$B$4="Chapter Hunt"),CHOOSE(ArtifactsInput!$N$27+1,20,24,28,32,36,40),0)/100)))+1)),0)</f>
        <v/>
      </c>
      <c r="S2169">
        <f>IFERROR(O2169/N2169,0)</f>
        <v/>
      </c>
      <c r="T2169" t="n">
        <v>0</v>
      </c>
      <c r="V2169" t="n">
        <v>0</v>
      </c>
    </row>
    <row r="2171">
      <c r="A2171" t="inlineStr">
        <is>
          <t>Attack% Bucket Multiplier</t>
        </is>
      </c>
      <c r="B2171">
        <f>(1+(((C2158=TRUE)*F2158*5/7)+((C2165=TRUE)*(F2165-Calc!F24))+(IF(ArtifactsInput!$M$21,CHOOSE(ArtifactsInput!$N$21+1,25,30,35,40,45,50)*(IF(OR(Inputs!$B$4="Chapter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172">
      <c r="A2172" t="inlineStr">
        <is>
          <t>Global Crit Rate Bonus %</t>
        </is>
      </c>
      <c r="B2172" t="n">
        <v>0</v>
      </c>
    </row>
    <row r="2173">
      <c r="A2173" t="inlineStr">
        <is>
          <t>Attack Speed Buff Bonus % (Nimble Feet, duty-cycle averaged)</t>
        </is>
      </c>
      <c r="B2173">
        <f>((C2169=TRUE)*F2169*IF(AND(Inputs!$B$38&lt;&gt;"pvp",Inputs!$B$43&gt;0),(((R2169-1)*MIN((Skills!T28*(1+Inputs!$B$34/100)),(1/Q2169))+MIN((Skills!T28*(1+Inputs!$B$34/100)),MAX(0,Inputs!$B$43-((R2169-1)*(1/Q2169)))))/Inputs!$B$43),IF(Inputs!$B$38="pvp",MIN((Skills!T28*(1+Inputs!$B$34/100)),15)/15,MIN(1,(Skills!T28*(1+Inputs!$B$34/100))/(1/Q2169)))))</f>
        <v/>
      </c>
    </row>
    <row r="2174">
      <c r="A2174" t="inlineStr">
        <is>
          <t>Actions Per Second</t>
        </is>
      </c>
      <c r="B2174">
        <f>1+MIN(150,150*(1-(1-(Inputs!$B$11+((C2161=TRUE)*(F2161-Calc!F20))+((C2162=TRUE)*(F2162-Calc!F21)))/150)*(1-B2173/150)))/100</f>
        <v/>
      </c>
    </row>
    <row r="2175">
      <c r="A2175" t="inlineStr">
        <is>
          <t>Skill + Buff Cast Rate</t>
        </is>
      </c>
      <c r="B2175">
        <f>IF(AND(Inputs!$B$38&lt;&gt;"pvp",Inputs!$B$43&gt;0),SUMPRODUCT((Skills!E2:E28=TRUE)*(C2143:C2169=TRUE)*R2143:R2169*Skills!F2:F28)/Inputs!$B$43,SUMPRODUCT((Skills!E2:E28=TRUE)*(C2143:C2169=TRUE)*Q2143:Q2169*Skills!F2:F28))</f>
        <v/>
      </c>
    </row>
    <row r="2176">
      <c r="A2176" t="inlineStr">
        <is>
          <t>Eight-Legs Easton Casts Per Second</t>
        </is>
      </c>
      <c r="B2176">
        <f>MAX(0,B2174-B2175)</f>
        <v/>
      </c>
    </row>
    <row r="2177">
      <c r="A2177" t="inlineStr">
        <is>
          <t>Global Critical Damage Bonus % (unused)</t>
        </is>
      </c>
      <c r="B2177" t="n">
        <v>0</v>
      </c>
    </row>
    <row r="2178">
      <c r="A2178" t="inlineStr">
        <is>
          <t>Global Final Damage Bonus % (Jolly Roger + Ahoy Mateys - Final Damage proc)</t>
        </is>
      </c>
      <c r="B2178">
        <f>((C2159=TRUE)*F2159*IF(AND(Inputs!$B$38&lt;&gt;"pvp",Inputs!$B$43&gt;0),(((R2159-1)*MIN((Skills!T18*(1+Inputs!$B$34/100)),(1/Q2159))+MIN((Skills!T18*(1+Inputs!$B$34/100)),MAX(0,Inputs!$B$43-((R2159-1)*(1/Q2159)))))/Inputs!$B$43),IF(Inputs!$B$38="pvp",MIN((Skills!T18*(1+Inputs!$B$34/100)),15)/15,MIN(1,(Skills!T18*(1+Inputs!$B$34/100))/(1/Q2159)))))+IF(Inputs!$B$3&gt;=122,20*IF(Inputs!$B$38="pvp",MIN((20*(1+Inputs!$B$34/100)),15)/15,MIN(1,(20*(1+Inputs!$B$34/100))/(1/Q2145))),0)</f>
        <v/>
      </c>
    </row>
    <row r="2179">
      <c r="A2179" t="inlineStr">
        <is>
          <t>Buff-Casting Startup Delay (s, fixed-duration only)</t>
        </is>
      </c>
      <c r="B2179">
        <f>IF(AND(Inputs!$B$38&lt;&gt;"pvp",Inputs!$B$43&gt;0),SUMPRODUCT((Skills!T2:T28&gt;0)*(Skills!E2:E28=TRUE)*(C2143:C2169=TRUE))/B2174,0)</f>
        <v/>
      </c>
    </row>
    <row r="2180">
      <c r="A2180" t="inlineStr">
        <is>
          <t>Boss-Only Total DPS (this block's swept value)</t>
        </is>
      </c>
      <c r="B2180">
        <f>SUM(T2143:T2169)</f>
        <v/>
      </c>
    </row>
    <row r="2181">
      <c r="A2181" t="inlineStr">
        <is>
          <t>Normal-Only Total DPS (this block's swept value)</t>
        </is>
      </c>
      <c r="B2181">
        <f>SUM(V2143:V2169)</f>
        <v/>
      </c>
    </row>
    <row r="2182">
      <c r="A2182" s="6" t="inlineStr">
        <is>
          <t>TOTAL DPS</t>
        </is>
      </c>
      <c r="B2182" s="6">
        <f>SUM(O2143:O2169)</f>
        <v/>
      </c>
    </row>
    <row r="2183">
      <c r="A2183" t="inlineStr">
        <is>
          <t>Quickdraw cooldown divisor (this block's own APS / Q)</t>
        </is>
      </c>
      <c r="B2183">
        <f>IF(AND(C2168=TRUE,Inputs!$B$38&lt;&gt;"pvp"),1+0.25*MAX(0,(B2174-(((C2144=TRUE)*Q2144*1)+((C2145=TRUE)*Q2145*1)+((C2147=TRUE)*Q2147*1)+((C2148=TRUE)*Q2148*1)+((C2150=TRUE)*Q2150*1)+((C2153=TRUE)*Q2153*1)+((C2159=TRUE)*Q2159*1)+((C2169=TRUE)*Q2169*1))-((C2149=TRUE)/(IF(Inputs!$B$38="pvp",15,MAX(0.1,Skills!D8-IF(TRUE=TRUE,Inputs!$B$32,0)))*(1-IF(AND(ArtifactsInput!$M$27,Inputs!$B$4="Chapter Hunt"),CHOOSE(ArtifactsInput!$N$27+1,20,24,28,32,36,40),0)/100))+(C2152=TRUE)/(IF(Inputs!$B$38="pvp",15,MAX(0.1,Skills!D11-IF(TRUE=TRUE,Inputs!$B$32,0)))*(1-IF(AND(ArtifactsInput!$M$27,Inputs!$B$4="Chapter Hunt"),CHOOSE(ArtifactsInput!$N$27+1,20,24,28,32,36,40),0)/100))))/(1+0.25*((C2149=TRUE)/(IF(Inputs!$B$38="pvp",15,MAX(0.1,Skills!D8-IF(TRUE=TRUE,Inputs!$B$32,0)))*(1-IF(AND(ArtifactsInput!$M$27,Inputs!$B$4="Chapter Hunt"),CHOOSE(ArtifactsInput!$N$27+1,20,24,28,32,36,40),0)/100))+(C2152=TRUE)/(IF(Inputs!$B$38="pvp",15,MAX(0.1,Skills!D11-IF(TRUE=TRUE,Inputs!$B$32,0)))*(1-IF(AND(ArtifactsInput!$M$27,Inputs!$B$4="Chapter Hunt"),CHOOSE(ArtifactsInput!$N$27+1,20,24,28,32,36,40),0)/100))))),1)</f>
        <v/>
      </c>
    </row>
    <row r="2184">
      <c r="A2184" t="inlineStr">
        <is>
          <t>Nautilus Strike - Final Attack trigger rate (this block's own Q/R)</t>
        </is>
      </c>
      <c r="B2184">
        <f>IF(AND(Inputs!$B$38&lt;&gt;"pvp",Inputs!$B$43&gt;0),(((C2144=TRUE)*R2144)+((C2147=TRUE)*R2147)+((C2149=TRUE)*R2149)+((C2150=TRUE)*R2150)+((C2152=TRUE)*R2152))/Inputs!$B$43,((C2144=TRUE)*Q2144)+((C2147=TRUE)*Q2147)+((C2149=TRUE)*Q2149)+((C2150=TRUE)*Q2150)+((C2152=TRUE)*Q2152))+B2176</f>
        <v/>
      </c>
    </row>
    <row r="2187">
      <c r="A2187" s="6" t="inlineStr">
        <is>
          <t>Stat: Soul Contract (Equip)</t>
        </is>
      </c>
    </row>
    <row r="2188">
      <c r="A2188" s="5" t="inlineStr">
        <is>
          <t>Key</t>
        </is>
      </c>
      <c r="B2188" s="5" t="inlineStr">
        <is>
          <t>Name</t>
        </is>
      </c>
      <c r="C2188" s="5" t="inlineStr">
        <is>
          <t>Unlocked</t>
        </is>
      </c>
      <c r="D2188" s="5" t="inlineStr">
        <is>
          <t>InputLevel</t>
        </is>
      </c>
      <c r="E2188" s="5" t="inlineStr">
        <is>
          <t>Factor</t>
        </is>
      </c>
      <c r="F2188" s="5" t="inlineStr">
        <is>
          <t>CoefficientPercent</t>
        </is>
      </c>
      <c r="G2188" s="5" t="inlineStr">
        <is>
          <t>EffectiveHits</t>
        </is>
      </c>
      <c r="H2188" s="5" t="inlineStr">
        <is>
          <t>ProcProbability</t>
        </is>
      </c>
      <c r="I2188" s="5" t="inlineStr">
        <is>
          <t>MapleHeroMultiplier</t>
        </is>
      </c>
      <c r="J2188" s="5" t="inlineStr">
        <is>
          <t>BaseDamage</t>
        </is>
      </c>
      <c r="K2188" s="5" t="inlineStr">
        <is>
          <t>BaseHitDamage</t>
        </is>
      </c>
      <c r="L2188" s="5" t="inlineStr">
        <is>
          <t>NonCritAvg</t>
        </is>
      </c>
      <c r="M2188" s="5" t="inlineStr">
        <is>
          <t>CritAvg</t>
        </is>
      </c>
      <c r="N2188" s="5" t="inlineStr">
        <is>
          <t>ExpectedDamage(perHit)</t>
        </is>
      </c>
      <c r="O2188" s="5" t="inlineStr">
        <is>
          <t>DPS</t>
        </is>
      </c>
      <c r="P2188" s="5" t="inlineStr">
        <is>
          <t>% of Total</t>
        </is>
      </c>
      <c r="Q2188" s="5" t="inlineStr">
        <is>
          <t>InvCooldown</t>
        </is>
      </c>
      <c r="R2188" s="5" t="inlineStr">
        <is>
          <t>CastsInFight</t>
        </is>
      </c>
      <c r="S2188" s="5" t="inlineStr">
        <is>
          <t>HitRate(perSec)</t>
        </is>
      </c>
      <c r="U2188" t="inlineStr">
        <is>
          <t>helpers</t>
        </is>
      </c>
    </row>
    <row r="2189">
      <c r="A2189">
        <f>Skills!A2</f>
        <v/>
      </c>
      <c r="B2189">
        <f>Skills!B2</f>
        <v/>
      </c>
      <c r="C2189">
        <f>Inputs!$B$3&gt;=100</f>
        <v/>
      </c>
      <c r="D2189" t="inlineStr"/>
      <c r="E2189" t="inlineStr"/>
      <c r="F2189">
        <f>U2191+Skills!O2</f>
        <v/>
      </c>
      <c r="G2189">
        <f>Skills!G2*IF(Skills!H2&gt;0,INT(IF(Inputs!$B$38="pvp",MIN(Skills!I2,15),Skills!I2)/Skills!H2+0.000000001),1)</f>
        <v/>
      </c>
      <c r="H2189">
        <f>1-(1-Skills!J2/100)^Skills!K2</f>
        <v/>
      </c>
      <c r="I2189" t="inlineStr">
        <is>
          <t>1</t>
        </is>
      </c>
      <c r="J2189">
        <f>((Inputs!$B$6*(1+Inputs!$B$7/100))+(((Inputs!$B$12*(1+Inputs!$B$13/100))-(Inputs!$B$12*(1+Inputs!$B$13/100)))+0.25*(Inputs!$B$14-Inputs!$B$14))*(1+Inputs!$B$7/100))*(F2189/100)</f>
        <v/>
      </c>
      <c r="K2189">
        <f>J2189*(1+((Inputs!$B$12*(1+Inputs!$B$13/100))*0.01+Inputs!$B$14*0.0025)/100)*(1+Inputs!$B$15/100)*(1+Inputs!$B$16/100)*(5000/(6000+Inputs!$B$42*(1-(100*(1-(1-(Inputs!$B$19+0)/100)*(1-CHOOSE(ArtifactsInput!$N$40+1,5,6,7,8,9,10)/100)^(ArtifactsInput!$M$40-ArtifactsInput!$M$40)))/100)))*(1+(Inputs!$B$24+((C2213=TRUE)*(F2213-Calc!F26))+B2224)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IGHT_LEGS_EASTON",Inputs!$B$17+((C2210=TRUE)*(F2210-Calc!F23))+((C2214=TRUE)*(F2214-Calc!F27))+((IF(AND(Inputs!$B$38&lt;&gt;"pvp",Inputs!$B$43=0),1,IF(IF(Inputs!$B$38="pvp",15,Inputs!$B$43)-(B2225)&lt;=0,1,MAX(0,IF(Inputs!$B$38="pvp",15,Inputs!$B$43)-MAX(5,B2225))/(IF(Inputs!$B$38="pvp",15,Inputs!$B$43)-(B2225))))*(IF(AND(ArtifactsInput!$M$42,((Inputs!$B$9+((C2206=TRUE)*(F2206-Calc!F19))+B2218+(ArtifactsInput!$M$24-ArtifactsInput!$M$24)*CHOOSE(ArtifactsInput!$N$24+1,10,12,14,16,18,20)+IF(ArtifactsInput!$M$10,CHOOSE(ArtifactsInput!$N$10+1,15,18,21,24,27,30)*(IF(Inputs!$B$38="pvp",MIN(15,15)/15,IF(AND(Inputs!$B$38&lt;&gt;"pvp",Inputs!$B$43&gt;0),MIN(15,Inputs!$B$43)/(Inputs!$B$43),0))),0)))&gt;=100),MIN(100,((Inputs!$B$9+((C2206=TRUE)*(F2206-Calc!F19))+B2218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2225)&lt;=0,1,MAX(0,IF(Inputs!$B$38="pvp",15,Inputs!$B$43)-MAX(5,B2225))/(IF(Inputs!$B$38="pvp",15,Inputs!$B$43)-(B2225))))*IF(AND(ArtifactsInput!$M$42,((Inputs!$B$9+((C2206=TRUE)*(F2206-Calc!F19))+B2218+(ArtifactsInput!$M$24-ArtifactsInput!$M$24)*CHOOSE(ArtifactsInput!$N$24+1,10,12,14,16,18,20)+IF(ArtifactsInput!$M$10,CHOOSE(ArtifactsInput!$N$10+1,15,18,21,24,27,30)*(IF(Inputs!$B$38="pvp",MIN(15,15)/15,IF(AND(Inputs!$B$38&lt;&gt;"pvp",Inputs!$B$43&gt;0),MIN(15,Inputs!$B$43)/(Inputs!$B$43),0))),0)))&gt;=100),CHOOSE(ArtifactsInput!$N$42+1,40,48,56,64,72,80),0))))/100)*((1+(((C2204=TRUE)*F2204*5/7)+((C2211=TRUE)*(F2211-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2189)</f>
        <v/>
      </c>
      <c r="L2189">
        <f>K2189*(MIN(Inputs!$B$22+((C2209=TRUE)*(F2209-Calc!F22)),(Inputs!$B$23+0+(IF(ArtifactsInput!$M$15,CHOOSE(ArtifactsInput!$N$15+1,25,30,35,40,45,50)/100*(Inputs!$B$11-Inputs!$B$11),0))))/100+(Inputs!$B$23+0+(IF(ArtifactsInput!$M$15,CHOOSE(ArtifactsInput!$N$15+1,25,30,35,40,45,50)/100*(Inputs!$B$11-Inputs!$B$11),0)))/100)/2</f>
        <v/>
      </c>
      <c r="M2189">
        <f>L2189*(1+(Inputs!$B$10+((C2212=TRUE)*(F2212-Calc!F25))+B2223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89">
        <f>L2189*(1-MIN((Inputs!$B$9+((C2206=TRUE)*(F2206-Calc!F19))+B2218+(ArtifactsInput!$M$24-ArtifactsInput!$M$24)*CHOOSE(ArtifactsInput!$N$24+1,10,12,14,16,18,20)+(IF(AND(Inputs!$B$38&lt;&gt;"pvp",Inputs!$B$43=0),1,IF(IF(Inputs!$B$38="pvp",15,Inputs!$B$43)-(B2225)&lt;=0,1,MAX(0,IF(Inputs!$B$38="pvp",15,Inputs!$B$43)-MAX(5,B2225))/(IF(Inputs!$B$38="pvp",15,Inputs!$B$43)-(B2225))))*IF(AND(ArtifactsInput!$M$42,((Inputs!$B$9+((C2206=TRUE)*(F2206-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2189*(MIN((Inputs!$B$9+((C2206=TRUE)*(F2206-Calc!F19))+B2218+(ArtifactsInput!$M$24-ArtifactsInput!$M$24)*CHOOSE(ArtifactsInput!$N$24+1,10,12,14,16,18,20)+(IF(AND(Inputs!$B$38&lt;&gt;"pvp",Inputs!$B$43=0),1,IF(IF(Inputs!$B$38="pvp",15,Inputs!$B$43)-(B2225)&lt;=0,1,MAX(0,IF(Inputs!$B$38="pvp",15,Inputs!$B$43)-MAX(5,B2225))/(IF(Inputs!$B$38="pvp",15,Inputs!$B$43)-(B2225))))*IF(AND(ArtifactsInput!$M$42,((Inputs!$B$9+((C2206=TRUE)*(F2206-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89">
        <f>(1-Summary!$B$11)*T2189+Summary!$B$11*V2189</f>
        <v/>
      </c>
      <c r="P2189">
        <f>IF(B2228=0,0,O2189/B2228)</f>
        <v/>
      </c>
      <c r="Q2189" t="n">
        <v>0</v>
      </c>
      <c r="R2189" t="n">
        <v>0</v>
      </c>
      <c r="S2189">
        <f>IFERROR(O2189/N2189,0)</f>
        <v/>
      </c>
      <c r="T2189">
        <f>IF(C2189,(Skills!G2*N2189*B2222*(1+IF(C2214=TRUE,1/3,0)))*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Hunt"),CHOOSE(ArtifactsInput!$N$35+1,15,18,21,24,27,30)*(1-EXP(-(0.2*B2220)*5)),0)+IF(AND(ArtifactsInput!$M$22,Inputs!$B$4&lt;&gt;"Chapter Hunt"),CHOOSE(ArtifactsInput!$N$22+1,10,12,14,16,18,20)*((0*(((0.15*B2220*5))^0/1)+1*(((0.15*B2220*5))^1/1)+2*(((0.15*B2220*5))^2/2)+3*(((0.15*B2220*5))^3/6)+4*(((0.15*B2220*5))^4/24)+5*(((0.15*B2220*5))^5/120))/((((0.15*B2220*5))^0/1)+(((0.15*B2220*5))^1/1)+(((0.15*B2220*5))^2/2)+(((0.15*B2220*5))^3/6)+(((0.15*B2220*5))^4/24)+(((0.15*B2220*5))^5/120))),0))+IF(Inputs!$B$3&gt;=54,9*(C2190=TRUE)*MIN(1,8*(1+Inputs!$B$34/100)*Q2190)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2189*(1-MIN(100,(Inputs!$B$9+((C2206=TRUE)*(F2206-Calc!F19))+B2218+(ArtifactsInput!$M$24-ArtifactsInput!$M$24)*CHOOSE(ArtifactsInput!$N$24+1,10,12,14,16,18,20)+(IF(AND(Inputs!$B$38&lt;&gt;"pvp",Inputs!$B$43=0),1,IF(IF(Inputs!$B$38="pvp",15,Inputs!$B$43)-(B2225)&lt;=0,1,MAX(0,IF(Inputs!$B$38="pvp",15,Inputs!$B$43)-MAX(5,B2225))/(IF(Inputs!$B$38="pvp",15,Inputs!$B$43)-(B2225))))*IF(AND(ArtifactsInput!$M$42,((Inputs!$B$9+((C2206=TRUE)*(F2206-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2189*(MIN(100,(Inputs!$B$9+((C2206=TRUE)*(F2206-Calc!F19))+B2218+(ArtifactsInput!$M$24-ArtifactsInput!$M$24)*CHOOSE(ArtifactsInput!$N$24+1,10,12,14,16,18,20)+(IF(AND(Inputs!$B$38&lt;&gt;"pvp",Inputs!$B$43=0),1,IF(IF(Inputs!$B$38="pvp",15,Inputs!$B$43)-(B2225)&lt;=0,1,MAX(0,IF(Inputs!$B$38="pvp",15,Inputs!$B$43)-MAX(5,B2225))/(IF(Inputs!$B$38="pvp",15,Inputs!$B$43)-(B2225))))*IF(AND(ArtifactsInput!$M$42,((Inputs!$B$9+((C2206=TRUE)*(F2206-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2189*(1-MIN(100,(Inputs!$B$9+((C2206=TRUE)*(F2206-Calc!F19))+B2218+(ArtifactsInput!$M$24-ArtifactsInput!$M$24)*CHOOSE(ArtifactsInput!$N$24+1,10,12,14,16,18,20)+(IF(AND(Inputs!$B$38&lt;&gt;"pvp",Inputs!$B$43=0),1,IF(IF(Inputs!$B$38="pvp",15,Inputs!$B$43)-(B2225)&lt;=0,1,MAX(0,IF(Inputs!$B$38="pvp",15,Inputs!$B$43)-MAX(5,B2225))/(IF(Inputs!$B$38="pvp",15,Inputs!$B$43)-(B2225))))*IF(AND(ArtifactsInput!$M$42,((Inputs!$B$9+((C2206=TRUE)*(F2206-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2189*(MIN(100,(Inputs!$B$9+((C2206=TRUE)*(F2206-Calc!F19))+B2218+(ArtifactsInput!$M$24-ArtifactsInput!$M$24)*CHOOSE(ArtifactsInput!$N$24+1,10,12,14,16,18,20)+(IF(AND(Inputs!$B$38&lt;&gt;"pvp",Inputs!$B$43=0),1,IF(IF(Inputs!$B$38="pvp",15,Inputs!$B$43)-(B2225)&lt;=0,1,MAX(0,IF(Inputs!$B$38="pvp",15,Inputs!$B$43)-MAX(5,B2225))/(IF(Inputs!$B$38="pvp",15,Inputs!$B$43)-(B2225))))*IF(AND(ArtifactsInput!$M$42,((Inputs!$B$9+((C2206=TRUE)*(F2206-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189">
        <f>MAX(0,(Inputs!$B$3-100)*3)+Inputs!$B$28+Inputs!$B$29</f>
        <v/>
      </c>
      <c r="V2189">
        <f>IF(C2189,(Skills!G2*N2189*B2222*(1+IF(C2214=TRUE,1/3,0)))*IF(Inputs!$B$38="pvp",1,(1+(Inputs!$B$21+Skills!Q2+(IF(ArtifactsInput!$M$33,CHOOSE(ArtifactsInput!$N$33+1,30,36,42,48,54,60),0))+(IF(AND(ArtifactsInput!$M$35,Inputs!$B$4&lt;&gt;"Chapter Hunt"),CHOOSE(ArtifactsInput!$N$35+1,15,18,21,24,27,30)*(1-EXP(-(0.2*B2220)*5)),0)+IF(AND(ArtifactsInput!$M$22,Inputs!$B$4&lt;&gt;"Chapter Hunt"),CHOOSE(ArtifactsInput!$N$22+1,10,12,14,16,18,20)*((0*(((0.15*B2220*5))^0/1)+1*(((0.15*B2220*5))^1/1)+2*(((0.15*B2220*5))^2/2)+3*(((0.15*B2220*5))^3/6)+4*(((0.15*B2220*5))^4/24)+5*(((0.15*B2220*5))^5/120))/((((0.15*B2220*5))^0/1)+(((0.15*B2220*5))^1/1)+(((0.15*B2220*5))^2/2)+(((0.15*B2220*5))^3/6)+(((0.15*B2220*5))^4/24)+(((0.15*B2220*5))^5/120))),0))+IF(Inputs!$B$3&gt;=54,9*(C2190=TRUE)*MIN(1,8*(1+Inputs!$B$34/100)*Q2190)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90">
      <c r="A2190">
        <f>Skills!A3</f>
        <v/>
      </c>
      <c r="B2190">
        <f>Skills!B3</f>
        <v/>
      </c>
      <c r="C2190">
        <f>Inputs!$B$3&gt;=33</f>
        <v/>
      </c>
      <c r="D2190">
        <f>IF(Skills!C3=1,60+Inputs!$B$25+Inputs!$B$29,IF(Skills!C3=2,90+Inputs!$B$26+Inputs!$B$29,IF(Skills!C3=3,120+Inputs!$B$27+Inputs!$B$29,MAX(0,(Inputs!$B$3-100)*3)+Inputs!$B$28+Inputs!$B$29)))</f>
        <v/>
      </c>
      <c r="E2190">
        <f>INDEX(FactorTable!$B$2:$Y$301, MATCH(ROUND(MIN(300,MAX(1,D2190)),0), FactorTable!$A$2:$A$301,0), Skills!M3+1)</f>
        <v/>
      </c>
      <c r="F2190">
        <f>IF(Skills!N3=TRUE,(Skills!L3/10)*(E2190/1000),Skills!L3/10)+Skills!O3</f>
        <v/>
      </c>
      <c r="G2190">
        <f>Skills!G3*IF(Skills!H3&gt;0,INT(IF(Inputs!$B$38="pvp",MIN(Skills!I3,15),Skills!I3)/Skills!H3+0.000000001),1)</f>
        <v/>
      </c>
      <c r="H2190">
        <f>1-(1-Skills!J3/100)^Skills!K3</f>
        <v/>
      </c>
      <c r="I2190" t="inlineStr">
        <is>
          <t>1</t>
        </is>
      </c>
      <c r="J2190">
        <f>((Inputs!$B$6*(1+Inputs!$B$7/100))+(((Inputs!$B$12*(1+Inputs!$B$13/100))-(Inputs!$B$12*(1+Inputs!$B$13/100)))+0.25*(Inputs!$B$14-Inputs!$B$14))*(1+Inputs!$B$7/100))*(F2190/100)</f>
        <v/>
      </c>
      <c r="K2190">
        <f>J2190*(1+((Inputs!$B$12*(1+Inputs!$B$13/100))*0.01+Inputs!$B$14*0.0025)/100)*(1+Inputs!$B$15/100)*(1+Inputs!$B$16/100)*(5000/(6000+Inputs!$B$42*(1-(100*(1-(1-(Inputs!$B$19+0)/100)*(1-CHOOSE(ArtifactsInput!$N$40+1,5,6,7,8,9,10)/100)^(ArtifactsInput!$M$40-ArtifactsInput!$M$40)))/100)))*(1+(Inputs!$B$24+((C2213=TRUE)*(F2213-Calc!F26))+B2224)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2202=TRUE,F2202,0)/100)*(1+(IF(Skills!A3="EIGHT_LEGS_EASTON",Inputs!$B$17+((C2210=TRUE)*(F2210-Calc!F23))+((C2214=TRUE)*(F2214-Calc!F27))+((IF(AND(Inputs!$B$38&lt;&gt;"pvp",Inputs!$B$43=0),1,IF(IF(Inputs!$B$38="pvp",15,Inputs!$B$43)-(B2225)&lt;=0,1,MAX(0,IF(Inputs!$B$38="pvp",15,Inputs!$B$43)-MAX(5,B2225))/(IF(Inputs!$B$38="pvp",15,Inputs!$B$43)-(B2225))))*(IF(AND(ArtifactsInput!$M$42,((Inputs!$B$9+((C2206=TRUE)*(F2206-Calc!F19))+B2218+(ArtifactsInput!$M$24-ArtifactsInput!$M$24)*CHOOSE(ArtifactsInput!$N$24+1,10,12,14,16,18,20)+IF(ArtifactsInput!$M$10,CHOOSE(ArtifactsInput!$N$10+1,15,18,21,24,27,30)*(IF(Inputs!$B$38="pvp",MIN(15,15)/15,IF(AND(Inputs!$B$38&lt;&gt;"pvp",Inputs!$B$43&gt;0),MIN(15,Inputs!$B$43)/(Inputs!$B$43),0))),0)))&gt;=100),MIN(100,((Inputs!$B$9+((C2206=TRUE)*(F2206-Calc!F19))+B2218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2225)&lt;=0,1,MAX(0,IF(Inputs!$B$38="pvp",15,Inputs!$B$43)-MAX(5,B2225))/(IF(Inputs!$B$38="pvp",15,Inputs!$B$43)-(B2225))))*IF(AND(ArtifactsInput!$M$42,((Inputs!$B$9+((C2206=TRUE)*(F2206-Calc!F19))+B2218+(ArtifactsInput!$M$24-ArtifactsInput!$M$24)*CHOOSE(ArtifactsInput!$N$24+1,10,12,14,16,18,20)+IF(ArtifactsInput!$M$10,CHOOSE(ArtifactsInput!$N$10+1,15,18,21,24,27,30)*(IF(Inputs!$B$38="pvp",MIN(15,15)/15,IF(AND(Inputs!$B$38&lt;&gt;"pvp",Inputs!$B$43&gt;0),MIN(15,Inputs!$B$43)/(Inputs!$B$43),0))),0)))&gt;=100),CHOOSE(ArtifactsInput!$N$42+1,40,48,56,64,72,80),0))))/100)*((1+(((C2204=TRUE)*F2204*5/7)+((C2211=TRUE)*(F2211-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2190)</f>
        <v/>
      </c>
      <c r="L2190">
        <f>K2190*(MIN(Inputs!$B$22+((C2209=TRUE)*(F2209-Calc!F22)),(Inputs!$B$23+0+(IF(ArtifactsInput!$M$15,CHOOSE(ArtifactsInput!$N$15+1,25,30,35,40,45,50)/100*(Inputs!$B$11-Inputs!$B$11),0))))/100+(Inputs!$B$23+0+(IF(ArtifactsInput!$M$15,CHOOSE(ArtifactsInput!$N$15+1,25,30,35,40,45,50)/100*(Inputs!$B$11-Inputs!$B$11),0)))/100)/2</f>
        <v/>
      </c>
      <c r="M2190">
        <f>L2190*(1+(Inputs!$B$10+((C2212=TRUE)*(F2212-Calc!F25))+B2223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90">
        <f>L2190*(1-MIN((Inputs!$B$9+((C2206=TRUE)*(F2206-Calc!F19))+B2218+(ArtifactsInput!$M$24-ArtifactsInput!$M$24)*CHOOSE(ArtifactsInput!$N$24+1,10,12,14,16,18,20)+(IF(AND(Inputs!$B$38&lt;&gt;"pvp",Inputs!$B$43=0),1,IF(IF(Inputs!$B$38="pvp",15,Inputs!$B$43)-(B2225)&lt;=0,1,MAX(0,IF(Inputs!$B$38="pvp",15,Inputs!$B$43)-MAX(5,B2225))/(IF(Inputs!$B$38="pvp",15,Inputs!$B$43)-(B2225))))*IF(AND(ArtifactsInput!$M$42,((Inputs!$B$9+((C2206=TRUE)*(F2206-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2190*(MIN((Inputs!$B$9+((C2206=TRUE)*(F2206-Calc!F19))+B2218+(ArtifactsInput!$M$24-ArtifactsInput!$M$24)*CHOOSE(ArtifactsInput!$N$24+1,10,12,14,16,18,20)+(IF(AND(Inputs!$B$38&lt;&gt;"pvp",Inputs!$B$43=0),1,IF(IF(Inputs!$B$38="pvp",15,Inputs!$B$43)-(B2225)&lt;=0,1,MAX(0,IF(Inputs!$B$38="pvp",15,Inputs!$B$43)-MAX(5,B2225))/(IF(Inputs!$B$38="pvp",15,Inputs!$B$43)-(B2225))))*IF(AND(ArtifactsInput!$M$42,((Inputs!$B$9+((C2206=TRUE)*(F2206-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90">
        <f>(1-Summary!$B$11)*T2190+Summary!$B$11*V2190</f>
        <v/>
      </c>
      <c r="P2190">
        <f>IF(B2228=0,0,O2190/B2228)</f>
        <v/>
      </c>
      <c r="Q2190">
        <f>IFERROR(1/(IF(Inputs!$B$38="pvp",15,MAX(0.1,Skills!D3-IF(TRUE=TRUE,Inputs!$B$32,0)))*(1-IF(AND(IF(ArtifactsInput!$M$27,FALSE,TRUE),Inputs!$B$4="Chapter Hunt"),CHOOSE(ArtifactsInput!$N$27+1,20,24,28,32,36,40),0)/100)),0)</f>
        <v/>
      </c>
      <c r="R2190">
        <f>IF(AND(Inputs!$B$38&lt;&gt;"pvp",Inputs!$B$43&gt;0),IF(MAX(0,Inputs!$B$43-B2225)&lt;=0,0,(INT(MAX(0,Inputs!$B$43-B2225)/(IF(Inputs!$B$38="pvp",15,MAX(0.1,Skills!D3-IF(TRUE=TRUE,Inputs!$B$32,0)))*(1-IF(AND(IF(ArtifactsInput!$M$27,FALSE,TRUE),Inputs!$B$4="Chapter Hunt"),CHOOSE(ArtifactsInput!$N$27+1,20,24,28,32,36,40),0)/100)))+1)),0)</f>
        <v/>
      </c>
      <c r="S2190">
        <f>IFERROR(O2190/N2190,0)</f>
        <v/>
      </c>
      <c r="T2190">
        <f>IF(C2190,(H2190*N2190*IF(AND(Inputs!$B$38&lt;&gt;"pvp",Inputs!$B$43&gt;0),((Skills!G3*((R2190-1)*IF(Skills!H3&gt;0,INT(Skills!I3/Skills!H3+0.000000001),1)+IF(Skills!H3&gt;0,INT(MIN(Skills!I3,MAX(0,MAX(0,Inputs!$B$43-B2225)-((R2190-1)*(IF(Inputs!$B$38="pvp",15,MAX(0.1,Skills!D3-IF(TRUE=TRUE,Inputs!$B$32,0)))*(1-IF(AND(IF(ArtifactsInput!$M$27,FALSE,TRUE),Inputs!$B$4="Chapter Hunt"),CHOOSE(ArtifactsInput!$N$27+1,20,24,28,32,36,40),0)/100)))))/Skills!H3+0.000000001),1)))/Inputs!$B$43),G2190*Q2190))*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Hunt"),CHOOSE(ArtifactsInput!$N$35+1,15,18,21,24,27,30)*(1-EXP(-(0.2*B2220)*5)),0)+IF(AND(ArtifactsInput!$M$22,Inputs!$B$4&lt;&gt;"Chapter Hunt"),CHOOSE(ArtifactsInput!$N$22+1,10,12,14,16,18,20)*((0*(((0.15*B2220*5))^0/1)+1*(((0.15*B2220*5))^1/1)+2*(((0.15*B2220*5))^2/2)+3*(((0.15*B2220*5))^3/6)+4*(((0.15*B2220*5))^4/24)+5*(((0.15*B2220*5))^5/120))/((((0.15*B2220*5))^0/1)+(((0.15*B2220*5))^1/1)+(((0.15*B2220*5))^2/2)+(((0.15*B2220*5))^3/6)+(((0.15*B2220*5))^4/24)+(((0.15*B2220*5))^5/120))),0))+IF(Inputs!$B$3&gt;=54,9*(C2190=TRUE)*MIN(1,8*(1+Inputs!$B$34/100)*Q2190)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2190*(1-MIN(100,(Inputs!$B$9+((C2206=TRUE)*(F2206-Calc!F19))+B2218+(ArtifactsInput!$M$24-ArtifactsInput!$M$24)*CHOOSE(ArtifactsInput!$N$24+1,10,12,14,16,18,20)+(IF(AND(Inputs!$B$38&lt;&gt;"pvp",Inputs!$B$43=0),1,IF(IF(Inputs!$B$38="pvp",15,Inputs!$B$43)-(B2225)&lt;=0,1,MAX(0,IF(Inputs!$B$38="pvp",15,Inputs!$B$43)-MAX(5,B2225))/(IF(Inputs!$B$38="pvp",15,Inputs!$B$43)-(B2225))))*IF(AND(ArtifactsInput!$M$42,((Inputs!$B$9+((C2206=TRUE)*(F2206-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2190*(MIN(100,(Inputs!$B$9+((C2206=TRUE)*(F2206-Calc!F19))+B2218+(ArtifactsInput!$M$24-ArtifactsInput!$M$24)*CHOOSE(ArtifactsInput!$N$24+1,10,12,14,16,18,20)+(IF(AND(Inputs!$B$38&lt;&gt;"pvp",Inputs!$B$43=0),1,IF(IF(Inputs!$B$38="pvp",15,Inputs!$B$43)-(B2225)&lt;=0,1,MAX(0,IF(Inputs!$B$38="pvp",15,Inputs!$B$43)-MAX(5,B2225))/(IF(Inputs!$B$38="pvp",15,Inputs!$B$43)-(B2225))))*IF(AND(ArtifactsInput!$M$42,((Inputs!$B$9+((C2206=TRUE)*(F2206-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2190*(1-MIN(100,(Inputs!$B$9+((C2206=TRUE)*(F2206-Calc!F19))+B2218+(ArtifactsInput!$M$24-ArtifactsInput!$M$24)*CHOOSE(ArtifactsInput!$N$24+1,10,12,14,16,18,20)+(IF(AND(Inputs!$B$38&lt;&gt;"pvp",Inputs!$B$43=0),1,IF(IF(Inputs!$B$38="pvp",15,Inputs!$B$43)-(B2225)&lt;=0,1,MAX(0,IF(Inputs!$B$38="pvp",15,Inputs!$B$43)-MAX(5,B2225))/(IF(Inputs!$B$38="pvp",15,Inputs!$B$43)-(B2225))))*IF(AND(ArtifactsInput!$M$42,((Inputs!$B$9+((C2206=TRUE)*(F2206-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2190*(MIN(100,(Inputs!$B$9+((C2206=TRUE)*(F2206-Calc!F19))+B2218+(ArtifactsInput!$M$24-ArtifactsInput!$M$24)*CHOOSE(ArtifactsInput!$N$24+1,10,12,14,16,18,20)+(IF(AND(Inputs!$B$38&lt;&gt;"pvp",Inputs!$B$43=0),1,IF(IF(Inputs!$B$38="pvp",15,Inputs!$B$43)-(B2225)&lt;=0,1,MAX(0,IF(Inputs!$B$38="pvp",15,Inputs!$B$43)-MAX(5,B2225))/(IF(Inputs!$B$38="pvp",15,Inputs!$B$43)-(B2225))))*IF(AND(ArtifactsInput!$M$42,((Inputs!$B$9+((C2206=TRUE)*(F2206-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190">
        <f>INDEX(FactorTable!$B$2:$Y$301, MATCH(ROUND(MIN(300,MAX(1,U2189)),0), FactorTable!$A$2:$A$301,0), 22)</f>
        <v/>
      </c>
      <c r="V2190">
        <f>IF(C2190,(H2190*N2190*IF(AND(Inputs!$B$38&lt;&gt;"pvp",Inputs!$B$43&gt;0),((Skills!G3*((R2190-1)*IF(Skills!H3&gt;0,INT(Skills!I3/Skills!H3+0.000000001),1)+IF(Skills!H3&gt;0,INT(MIN(Skills!I3,MAX(0,MAX(0,Inputs!$B$43-B2225)-((R2190-1)*(IF(Inputs!$B$38="pvp",15,MAX(0.1,Skills!D3-IF(TRUE=TRUE,Inputs!$B$32,0)))*(1-IF(AND(IF(ArtifactsInput!$M$27,FALSE,TRUE),Inputs!$B$4="Chapter Hunt"),CHOOSE(ArtifactsInput!$N$27+1,20,24,28,32,36,40),0)/100)))))/Skills!H3+0.000000001),1)))/Inputs!$B$43),G2190*Q2190))*IF(Inputs!$B$38="pvp",1,(1+(Inputs!$B$21+Skills!Q3+(IF(ArtifactsInput!$M$33,CHOOSE(ArtifactsInput!$N$33+1,30,36,42,48,54,60),0))+(IF(AND(ArtifactsInput!$M$35,Inputs!$B$4&lt;&gt;"Chapter Hunt"),CHOOSE(ArtifactsInput!$N$35+1,15,18,21,24,27,30)*(1-EXP(-(0.2*B2220)*5)),0)+IF(AND(ArtifactsInput!$M$22,Inputs!$B$4&lt;&gt;"Chapter Hunt"),CHOOSE(ArtifactsInput!$N$22+1,10,12,14,16,18,20)*((0*(((0.15*B2220*5))^0/1)+1*(((0.15*B2220*5))^1/1)+2*(((0.15*B2220*5))^2/2)+3*(((0.15*B2220*5))^3/6)+4*(((0.15*B2220*5))^4/24)+5*(((0.15*B2220*5))^5/120))/((((0.15*B2220*5))^0/1)+(((0.15*B2220*5))^1/1)+(((0.15*B2220*5))^2/2)+(((0.15*B2220*5))^3/6)+(((0.15*B2220*5))^4/24)+(((0.15*B2220*5))^5/120))),0))+IF(Inputs!$B$3&gt;=54,9*(C2190=TRUE)*MIN(1,8*(1+Inputs!$B$34/100)*Q2190)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91">
      <c r="A2191">
        <f>Skills!A4</f>
        <v/>
      </c>
      <c r="B2191">
        <f>Skills!B4</f>
        <v/>
      </c>
      <c r="C2191">
        <f>Inputs!$B$3&gt;=35</f>
        <v/>
      </c>
      <c r="D2191">
        <f>IF(Skills!C4=1,60+Inputs!$B$25+Inputs!$B$29,IF(Skills!C4=2,90+Inputs!$B$26+Inputs!$B$29,IF(Skills!C4=3,120+Inputs!$B$27+Inputs!$B$29,MAX(0,(Inputs!$B$3-100)*3)+Inputs!$B$28+Inputs!$B$29)))</f>
        <v/>
      </c>
      <c r="E2191">
        <f>INDEX(FactorTable!$B$2:$Y$301, MATCH(ROUND(MIN(300,MAX(1,D2191)),0), FactorTable!$A$2:$A$301,0), Skills!M4+1)</f>
        <v/>
      </c>
      <c r="F2191">
        <f>IF(Skills!N4=TRUE,(Skills!L4/10)*(E2191/1000),Skills!L4/10)+Skills!O4</f>
        <v/>
      </c>
      <c r="G2191">
        <f>Skills!G4*IF(Skills!H4&gt;0,INT(IF(Inputs!$B$38="pvp",MIN(IF(Inputs!$B$3&gt;=104,MIN(35,20*(1+Inputs!$B$34/100)),20),15),IF(Inputs!$B$3&gt;=104,MIN(35,20*(1+Inputs!$B$34/100)),20))/Skills!H4+0.000000001),1)</f>
        <v/>
      </c>
      <c r="H2191">
        <f>1-(1-Skills!J4/100)^Skills!K4</f>
        <v/>
      </c>
      <c r="I2191" t="inlineStr">
        <is>
          <t>1</t>
        </is>
      </c>
      <c r="J2191">
        <f>((Inputs!$B$6*(1+Inputs!$B$7/100))+(((Inputs!$B$12*(1+Inputs!$B$13/100))-(Inputs!$B$12*(1+Inputs!$B$13/100)))+0.25*(Inputs!$B$14-Inputs!$B$14))*(1+Inputs!$B$7/100))*(F2191/100)</f>
        <v/>
      </c>
      <c r="K2191">
        <f>J2191*(1+((Inputs!$B$12*(1+Inputs!$B$13/100))*0.01+Inputs!$B$14*0.0025)/100)*(1+Inputs!$B$15/100)*(1+Inputs!$B$16/100)*(5000/(6000+Inputs!$B$42*(1-(100*(1-(1-(Inputs!$B$19+0)/100)*(1-CHOOSE(ArtifactsInput!$N$40+1,5,6,7,8,9,10)/100)^(ArtifactsInput!$M$40-ArtifactsInput!$M$40)))/100)))*(1+(Inputs!$B$24+((C2213=TRUE)*(F2213-Calc!F26))+B2224)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2203=TRUE,F2203,0)/100)*(1+(IF(Skills!A4="EIGHT_LEGS_EASTON",Inputs!$B$17+((C2210=TRUE)*(F2210-Calc!F23))+((C2214=TRUE)*(F2214-Calc!F27))+((IF(AND(Inputs!$B$38&lt;&gt;"pvp",Inputs!$B$43=0),1,IF(IF(Inputs!$B$38="pvp",15,Inputs!$B$43)-(B2225)&lt;=0,1,MAX(0,IF(Inputs!$B$38="pvp",15,Inputs!$B$43)-MAX(5,B2225))/(IF(Inputs!$B$38="pvp",15,Inputs!$B$43)-(B2225))))*(IF(AND(ArtifactsInput!$M$42,((Inputs!$B$9+((C2206=TRUE)*(F2206-Calc!F19))+B2218+(ArtifactsInput!$M$24-ArtifactsInput!$M$24)*CHOOSE(ArtifactsInput!$N$24+1,10,12,14,16,18,20)+IF(ArtifactsInput!$M$10,CHOOSE(ArtifactsInput!$N$10+1,15,18,21,24,27,30)*(IF(Inputs!$B$38="pvp",MIN(15,15)/15,IF(AND(Inputs!$B$38&lt;&gt;"pvp",Inputs!$B$43&gt;0),MIN(15,Inputs!$B$43)/(Inputs!$B$43),0))),0)))&gt;=100),MIN(100,((Inputs!$B$9+((C2206=TRUE)*(F2206-Calc!F19))+B2218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2225)&lt;=0,1,MAX(0,IF(Inputs!$B$38="pvp",15,Inputs!$B$43)-MAX(5,B2225))/(IF(Inputs!$B$38="pvp",15,Inputs!$B$43)-(B2225))))*IF(AND(ArtifactsInput!$M$42,((Inputs!$B$9+((C2206=TRUE)*(F2206-Calc!F19))+B2218+(ArtifactsInput!$M$24-ArtifactsInput!$M$24)*CHOOSE(ArtifactsInput!$N$24+1,10,12,14,16,18,20)+IF(ArtifactsInput!$M$10,CHOOSE(ArtifactsInput!$N$10+1,15,18,21,24,27,30)*(IF(Inputs!$B$38="pvp",MIN(15,15)/15,IF(AND(Inputs!$B$38&lt;&gt;"pvp",Inputs!$B$43&gt;0),MIN(15,Inputs!$B$43)/(Inputs!$B$43),0))),0)))&gt;=100),CHOOSE(ArtifactsInput!$N$42+1,40,48,56,64,72,80),0))))/100)*((1+(((C2204=TRUE)*F2204*5/7)+((C2211=TRUE)*(F2211-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2191)</f>
        <v/>
      </c>
      <c r="L2191">
        <f>K2191*(MIN(Inputs!$B$22+((C2209=TRUE)*(F2209-Calc!F22)),(Inputs!$B$23+0+(IF(ArtifactsInput!$M$15,CHOOSE(ArtifactsInput!$N$15+1,25,30,35,40,45,50)/100*(Inputs!$B$11-Inputs!$B$11),0))))/100+(Inputs!$B$23+0+(IF(ArtifactsInput!$M$15,CHOOSE(ArtifactsInput!$N$15+1,25,30,35,40,45,50)/100*(Inputs!$B$11-Inputs!$B$11),0)))/100)/2</f>
        <v/>
      </c>
      <c r="M2191">
        <f>L2191*(1+(Inputs!$B$10+((C2212=TRUE)*(F2212-Calc!F25))+B2223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91">
        <f>L2191*(1-MIN((Inputs!$B$9+((C2206=TRUE)*(F2206-Calc!F19))+B2218+(ArtifactsInput!$M$24-ArtifactsInput!$M$24)*CHOOSE(ArtifactsInput!$N$24+1,10,12,14,16,18,20)+(IF(AND(Inputs!$B$38&lt;&gt;"pvp",Inputs!$B$43=0),1,IF(IF(Inputs!$B$38="pvp",15,Inputs!$B$43)-(B2225)&lt;=0,1,MAX(0,IF(Inputs!$B$38="pvp",15,Inputs!$B$43)-MAX(5,B2225))/(IF(Inputs!$B$38="pvp",15,Inputs!$B$43)-(B2225))))*IF(AND(ArtifactsInput!$M$42,((Inputs!$B$9+((C2206=TRUE)*(F2206-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2191*(MIN((Inputs!$B$9+((C2206=TRUE)*(F2206-Calc!F19))+B2218+(ArtifactsInput!$M$24-ArtifactsInput!$M$24)*CHOOSE(ArtifactsInput!$N$24+1,10,12,14,16,18,20)+(IF(AND(Inputs!$B$38&lt;&gt;"pvp",Inputs!$B$43=0),1,IF(IF(Inputs!$B$38="pvp",15,Inputs!$B$43)-(B2225)&lt;=0,1,MAX(0,IF(Inputs!$B$38="pvp",15,Inputs!$B$43)-MAX(5,B2225))/(IF(Inputs!$B$38="pvp",15,Inputs!$B$43)-(B2225))))*IF(AND(ArtifactsInput!$M$42,((Inputs!$B$9+((C2206=TRUE)*(F2206-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91">
        <f>(1-Summary!$B$11)*T2191+Summary!$B$11*V2191</f>
        <v/>
      </c>
      <c r="P2191">
        <f>IF(B2228=0,0,O2191/B2228)</f>
        <v/>
      </c>
      <c r="Q2191">
        <f>IFERROR(1/(IF(Inputs!$B$38="pvp",15,MAX(0.1,Skills!D4-IF(TRUE=TRUE,Inputs!$B$32,0)))*(1-IF(AND(IF(ArtifactsInput!$M$27,FALSE,TRUE),Inputs!$B$4="Chapter Hunt"),CHOOSE(ArtifactsInput!$N$27+1,20,24,28,32,36,40),0)/100)),0)</f>
        <v/>
      </c>
      <c r="R2191">
        <f>IF(AND(Inputs!$B$38&lt;&gt;"pvp",Inputs!$B$43&gt;0),IF(MAX(0,Inputs!$B$43-B2225)&lt;=0,0,(INT(MAX(0,Inputs!$B$43-B2225)/(IF(Inputs!$B$38="pvp",15,MAX(0.1,Skills!D4-IF(TRUE=TRUE,Inputs!$B$32,0)))*(1-IF(AND(IF(ArtifactsInput!$M$27,FALSE,TRUE),Inputs!$B$4="Chapter Hunt"),CHOOSE(ArtifactsInput!$N$27+1,20,24,28,32,36,40),0)/100)))+1)),0)</f>
        <v/>
      </c>
      <c r="S2191">
        <f>IFERROR(O2191/N2191,0)</f>
        <v/>
      </c>
      <c r="T2191">
        <f>IF(C2191,(H2191*N2191*IF(AND(Inputs!$B$38&lt;&gt;"pvp",Inputs!$B$43&gt;0),((Skills!G4*((R2191-1)*IF(Skills!H4&gt;0,INT(IF(Inputs!$B$3&gt;=104,MIN(35,20*(1+Inputs!$B$34/100)),20)/Skills!H4+0.000000001),1)+IF(Skills!H4&gt;0,INT(MIN(IF(Inputs!$B$3&gt;=104,MIN(35,20*(1+Inputs!$B$34/100)),20),MAX(0,MAX(0,Inputs!$B$43-B2225)-((R2191-1)*(IF(Inputs!$B$38="pvp",15,MAX(0.1,Skills!D4-IF(TRUE=TRUE,Inputs!$B$32,0)))*(1-IF(AND(IF(ArtifactsInput!$M$27,FALSE,TRUE),Inputs!$B$4="Chapter Hunt"),CHOOSE(ArtifactsInput!$N$27+1,20,24,28,32,36,40),0)/100)))))/Skills!H4+0.000000001),1)))/Inputs!$B$43),G2191*Q2191))*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Hunt"),CHOOSE(ArtifactsInput!$N$35+1,15,18,21,24,27,30)*(1-EXP(-(0.2*B2220)*5)),0)+IF(AND(ArtifactsInput!$M$22,Inputs!$B$4&lt;&gt;"Chapter Hunt"),CHOOSE(ArtifactsInput!$N$22+1,10,12,14,16,18,20)*((0*(((0.15*B2220*5))^0/1)+1*(((0.15*B2220*5))^1/1)+2*(((0.15*B2220*5))^2/2)+3*(((0.15*B2220*5))^3/6)+4*(((0.15*B2220*5))^4/24)+5*(((0.15*B2220*5))^5/120))/((((0.15*B2220*5))^0/1)+(((0.15*B2220*5))^1/1)+(((0.15*B2220*5))^2/2)+(((0.15*B2220*5))^3/6)+(((0.15*B2220*5))^4/24)+(((0.15*B2220*5))^5/120))),0))+IF(Inputs!$B$3&gt;=54,9*(C2190=TRUE)*MIN(1,8*(1+Inputs!$B$34/100)*Q2190)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2191*(1-MIN(100,(Inputs!$B$9+((C2206=TRUE)*(F2206-Calc!F19))+B2218+(ArtifactsInput!$M$24-ArtifactsInput!$M$24)*CHOOSE(ArtifactsInput!$N$24+1,10,12,14,16,18,20)+(IF(AND(Inputs!$B$38&lt;&gt;"pvp",Inputs!$B$43=0),1,IF(IF(Inputs!$B$38="pvp",15,Inputs!$B$43)-(B2225)&lt;=0,1,MAX(0,IF(Inputs!$B$38="pvp",15,Inputs!$B$43)-MAX(5,B2225))/(IF(Inputs!$B$38="pvp",15,Inputs!$B$43)-(B2225))))*IF(AND(ArtifactsInput!$M$42,((Inputs!$B$9+((C2206=TRUE)*(F2206-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2191*(MIN(100,(Inputs!$B$9+((C2206=TRUE)*(F2206-Calc!F19))+B2218+(ArtifactsInput!$M$24-ArtifactsInput!$M$24)*CHOOSE(ArtifactsInput!$N$24+1,10,12,14,16,18,20)+(IF(AND(Inputs!$B$38&lt;&gt;"pvp",Inputs!$B$43=0),1,IF(IF(Inputs!$B$38="pvp",15,Inputs!$B$43)-(B2225)&lt;=0,1,MAX(0,IF(Inputs!$B$38="pvp",15,Inputs!$B$43)-MAX(5,B2225))/(IF(Inputs!$B$38="pvp",15,Inputs!$B$43)-(B2225))))*IF(AND(ArtifactsInput!$M$42,((Inputs!$B$9+((C2206=TRUE)*(F2206-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2191*(1-MIN(100,(Inputs!$B$9+((C2206=TRUE)*(F2206-Calc!F19))+B2218+(ArtifactsInput!$M$24-ArtifactsInput!$M$24)*CHOOSE(ArtifactsInput!$N$24+1,10,12,14,16,18,20)+(IF(AND(Inputs!$B$38&lt;&gt;"pvp",Inputs!$B$43=0),1,IF(IF(Inputs!$B$38="pvp",15,Inputs!$B$43)-(B2225)&lt;=0,1,MAX(0,IF(Inputs!$B$38="pvp",15,Inputs!$B$43)-MAX(5,B2225))/(IF(Inputs!$B$38="pvp",15,Inputs!$B$43)-(B2225))))*IF(AND(ArtifactsInput!$M$42,((Inputs!$B$9+((C2206=TRUE)*(F2206-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2191*(MIN(100,(Inputs!$B$9+((C2206=TRUE)*(F2206-Calc!F19))+B2218+(ArtifactsInput!$M$24-ArtifactsInput!$M$24)*CHOOSE(ArtifactsInput!$N$24+1,10,12,14,16,18,20)+(IF(AND(Inputs!$B$38&lt;&gt;"pvp",Inputs!$B$43=0),1,IF(IF(Inputs!$B$38="pvp",15,Inputs!$B$43)-(B2225)&lt;=0,1,MAX(0,IF(Inputs!$B$38="pvp",15,Inputs!$B$43)-MAX(5,B2225))/(IF(Inputs!$B$38="pvp",15,Inputs!$B$43)-(B2225))))*IF(AND(ArtifactsInput!$M$42,((Inputs!$B$9+((C2206=TRUE)*(F2206-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191">
        <f>290*U2190/1000</f>
        <v/>
      </c>
      <c r="V2191">
        <f>IF(C2191,(H2191*N2191*IF(AND(Inputs!$B$38&lt;&gt;"pvp",Inputs!$B$43&gt;0),((Skills!G4*((R2191-1)*IF(Skills!H4&gt;0,INT(IF(Inputs!$B$3&gt;=104,MIN(35,20*(1+Inputs!$B$34/100)),20)/Skills!H4+0.000000001),1)+IF(Skills!H4&gt;0,INT(MIN(IF(Inputs!$B$3&gt;=104,MIN(35,20*(1+Inputs!$B$34/100)),20),MAX(0,MAX(0,Inputs!$B$43-B2225)-((R2191-1)*(IF(Inputs!$B$38="pvp",15,MAX(0.1,Skills!D4-IF(TRUE=TRUE,Inputs!$B$32,0)))*(1-IF(AND(IF(ArtifactsInput!$M$27,FALSE,TRUE),Inputs!$B$4="Chapter Hunt"),CHOOSE(ArtifactsInput!$N$27+1,20,24,28,32,36,40),0)/100)))))/Skills!H4+0.000000001),1)))/Inputs!$B$43),G2191*Q2191))*IF(Inputs!$B$38="pvp",1,(1+(Inputs!$B$21+Skills!Q4+(IF(ArtifactsInput!$M$33,CHOOSE(ArtifactsInput!$N$33+1,30,36,42,48,54,60),0))+(IF(AND(ArtifactsInput!$M$35,Inputs!$B$4&lt;&gt;"Chapter Hunt"),CHOOSE(ArtifactsInput!$N$35+1,15,18,21,24,27,30)*(1-EXP(-(0.2*B2220)*5)),0)+IF(AND(ArtifactsInput!$M$22,Inputs!$B$4&lt;&gt;"Chapter Hunt"),CHOOSE(ArtifactsInput!$N$22+1,10,12,14,16,18,20)*((0*(((0.15*B2220*5))^0/1)+1*(((0.15*B2220*5))^1/1)+2*(((0.15*B2220*5))^2/2)+3*(((0.15*B2220*5))^3/6)+4*(((0.15*B2220*5))^4/24)+5*(((0.15*B2220*5))^5/120))/((((0.15*B2220*5))^0/1)+(((0.15*B2220*5))^1/1)+(((0.15*B2220*5))^2/2)+(((0.15*B2220*5))^3/6)+(((0.15*B2220*5))^4/24)+(((0.15*B2220*5))^5/120))),0))+IF(Inputs!$B$3&gt;=54,9*(C2190=TRUE)*MIN(1,8*(1+Inputs!$B$34/100)*Q2190),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92">
      <c r="A2192">
        <f>Skills!A5</f>
        <v/>
      </c>
      <c r="B2192">
        <f>Skills!B5</f>
        <v/>
      </c>
      <c r="C2192">
        <f>Inputs!$B$3&gt;=69</f>
        <v/>
      </c>
      <c r="D2192">
        <f>IF(Skills!C5=1,60+Inputs!$B$25+Inputs!$B$29,IF(Skills!C5=2,90+Inputs!$B$26+Inputs!$B$29,IF(Skills!C5=3,120+Inputs!$B$27+Inputs!$B$29,MAX(0,(Inputs!$B$3-100)*3)+Inputs!$B$28+Inputs!$B$29)))</f>
        <v/>
      </c>
      <c r="E2192">
        <f>INDEX(FactorTable!$B$2:$Y$301, MATCH(ROUND(MIN(300,MAX(1,D2192)),0), FactorTable!$A$2:$A$301,0), Skills!M5+1)</f>
        <v/>
      </c>
      <c r="F2192">
        <f>IF(Skills!N5=TRUE,(Skills!L5/10)*(E2192/1000),Skills!L5/10)+Skills!O5</f>
        <v/>
      </c>
      <c r="G2192">
        <f>Skills!G5*IF(Skills!H5&gt;0,INT(IF(Inputs!$B$38="pvp",MIN(IF(Inputs!$B$3&gt;=104,MIN(35,20*(1+Inputs!$B$34/100)),20),15),IF(Inputs!$B$3&gt;=104,MIN(35,20*(1+Inputs!$B$34/100)),20))/Skills!H5+0.000000001),1)</f>
        <v/>
      </c>
      <c r="H2192">
        <f>1-(1-Skills!J5/100)^Skills!K5</f>
        <v/>
      </c>
      <c r="I2192" t="inlineStr">
        <is>
          <t>1</t>
        </is>
      </c>
      <c r="J2192">
        <f>((Inputs!$B$6*(1+Inputs!$B$7/100))+(((Inputs!$B$12*(1+Inputs!$B$13/100))-(Inputs!$B$12*(1+Inputs!$B$13/100)))+0.25*(Inputs!$B$14-Inputs!$B$14))*(1+Inputs!$B$7/100))*(F2192/100)</f>
        <v/>
      </c>
      <c r="K2192">
        <f>J2192*(1+((Inputs!$B$12*(1+Inputs!$B$13/100))*0.01+Inputs!$B$14*0.0025)/100)*(1+Inputs!$B$15/100)*(1+Inputs!$B$16/100)*(5000/(6000+Inputs!$B$42*(1-(100*(1-(1-(Inputs!$B$19+0)/100)*(1-CHOOSE(ArtifactsInput!$N$40+1,5,6,7,8,9,10)/100)^(ArtifactsInput!$M$40-ArtifactsInput!$M$40)))/100)))*(1+(Inputs!$B$24+((C2213=TRUE)*(F2213-Calc!F26))+B2224)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+0.4*IF(C2203=TRUE,F2203,0)/100)*(1+(IF(Skills!A5="EIGHT_LEGS_EASTON",Inputs!$B$17+((C2210=TRUE)*(F2210-Calc!F23))+((C2214=TRUE)*(F2214-Calc!F27))+((IF(AND(Inputs!$B$38&lt;&gt;"pvp",Inputs!$B$43=0),1,IF(IF(Inputs!$B$38="pvp",15,Inputs!$B$43)-(B2225)&lt;=0,1,MAX(0,IF(Inputs!$B$38="pvp",15,Inputs!$B$43)-MAX(5,B2225))/(IF(Inputs!$B$38="pvp",15,Inputs!$B$43)-(B2225))))*(IF(AND(ArtifactsInput!$M$42,((Inputs!$B$9+((C2206=TRUE)*(F2206-Calc!F19))+B2218+(ArtifactsInput!$M$24-ArtifactsInput!$M$24)*CHOOSE(ArtifactsInput!$N$24+1,10,12,14,16,18,20)+IF(ArtifactsInput!$M$10,CHOOSE(ArtifactsInput!$N$10+1,15,18,21,24,27,30)*(IF(Inputs!$B$38="pvp",MIN(15,15)/15,IF(AND(Inputs!$B$38&lt;&gt;"pvp",Inputs!$B$43&gt;0),MIN(15,Inputs!$B$43)/(Inputs!$B$43),0))),0)))&gt;=100),MIN(100,((Inputs!$B$9+((C2206=TRUE)*(F2206-Calc!F19))+B2218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2225)&lt;=0,1,MAX(0,IF(Inputs!$B$38="pvp",15,Inputs!$B$43)-MAX(5,B2225))/(IF(Inputs!$B$38="pvp",15,Inputs!$B$43)-(B2225))))*IF(AND(ArtifactsInput!$M$42,((Inputs!$B$9+((C2206=TRUE)*(F2206-Calc!F19))+B2218+(ArtifactsInput!$M$24-ArtifactsInput!$M$24)*CHOOSE(ArtifactsInput!$N$24+1,10,12,14,16,18,20)+IF(ArtifactsInput!$M$10,CHOOSE(ArtifactsInput!$N$10+1,15,18,21,24,27,30)*(IF(Inputs!$B$38="pvp",MIN(15,15)/15,IF(AND(Inputs!$B$38&lt;&gt;"pvp",Inputs!$B$43&gt;0),MIN(15,Inputs!$B$43)/(Inputs!$B$43),0))),0)))&gt;=100),CHOOSE(ArtifactsInput!$N$42+1,40,48,56,64,72,80),0))))/100)*((1+(((C2204=TRUE)*F2204*5/7)+((C2211=TRUE)*(F2211-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2192)</f>
        <v/>
      </c>
      <c r="L2192">
        <f>K2192*(MIN(Inputs!$B$22+((C2209=TRUE)*(F2209-Calc!F22)),(Inputs!$B$23+0+(IF(ArtifactsInput!$M$15,CHOOSE(ArtifactsInput!$N$15+1,25,30,35,40,45,50)/100*(Inputs!$B$11-Inputs!$B$11),0))))/100+(Inputs!$B$23+0+(IF(ArtifactsInput!$M$15,CHOOSE(ArtifactsInput!$N$15+1,25,30,35,40,45,50)/100*(Inputs!$B$11-Inputs!$B$11),0)))/100)/2</f>
        <v/>
      </c>
      <c r="M2192">
        <f>L2192*(1+(Inputs!$B$10+((C2212=TRUE)*(F2212-Calc!F25))+B2223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92">
        <f>L2192*(1-MIN((Inputs!$B$9+((C2206=TRUE)*(F2206-Calc!F19))+B2218+(ArtifactsInput!$M$24-ArtifactsInput!$M$24)*CHOOSE(ArtifactsInput!$N$24+1,10,12,14,16,18,20)+(IF(AND(Inputs!$B$38&lt;&gt;"pvp",Inputs!$B$43=0),1,IF(IF(Inputs!$B$38="pvp",15,Inputs!$B$43)-(B2225)&lt;=0,1,MAX(0,IF(Inputs!$B$38="pvp",15,Inputs!$B$43)-MAX(5,B2225))/(IF(Inputs!$B$38="pvp",15,Inputs!$B$43)-(B2225))))*IF(AND(ArtifactsInput!$M$42,((Inputs!$B$9+((C2206=TRUE)*(F2206-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2192*(MIN((Inputs!$B$9+((C2206=TRUE)*(F2206-Calc!F19))+B2218+(ArtifactsInput!$M$24-ArtifactsInput!$M$24)*CHOOSE(ArtifactsInput!$N$24+1,10,12,14,16,18,20)+(IF(AND(Inputs!$B$38&lt;&gt;"pvp",Inputs!$B$43=0),1,IF(IF(Inputs!$B$38="pvp",15,Inputs!$B$43)-(B2225)&lt;=0,1,MAX(0,IF(Inputs!$B$38="pvp",15,Inputs!$B$43)-MAX(5,B2225))/(IF(Inputs!$B$38="pvp",15,Inputs!$B$43)-(B2225))))*IF(AND(ArtifactsInput!$M$42,((Inputs!$B$9+((C2206=TRUE)*(F2206-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92">
        <f>(1-Summary!$B$11)*T2192+Summary!$B$11*V2192</f>
        <v/>
      </c>
      <c r="P2192">
        <f>IF(B2228=0,0,O2192/B2228)</f>
        <v/>
      </c>
      <c r="Q2192">
        <f>IFERROR(1/(IF(Inputs!$B$38="pvp",15,MAX(0.1,Skills!D5-IF(TRUE=TRUE,Inputs!$B$32,0)))*(1-IF(AND(IF(ArtifactsInput!$M$27,FALSE,TRUE),Inputs!$B$4="Chapter Hunt"),CHOOSE(ArtifactsInput!$N$27+1,20,24,28,32,36,40),0)/100)),0)</f>
        <v/>
      </c>
      <c r="R2192">
        <f>IF(AND(Inputs!$B$38&lt;&gt;"pvp",Inputs!$B$43&gt;0),IF(MAX(0,Inputs!$B$43-B2225)&lt;=0,0,(INT(MAX(0,Inputs!$B$43-B2225)/(IF(Inputs!$B$38="pvp",15,MAX(0.1,Skills!D5-IF(TRUE=TRUE,Inputs!$B$32,0)))*(1-IF(AND(IF(ArtifactsInput!$M$27,FALSE,TRUE),Inputs!$B$4="Chapter Hunt"),CHOOSE(ArtifactsInput!$N$27+1,20,24,28,32,36,40),0)/100)))+1)),0)</f>
        <v/>
      </c>
      <c r="S2192">
        <f>IFERROR(O2192/N2192,0)</f>
        <v/>
      </c>
      <c r="T2192">
        <f>IF(C2192,(H2192*N2192*IF(AND(Inputs!$B$38&lt;&gt;"pvp",Inputs!$B$43&gt;0),((Skills!G5*((R2192-1)*IF(Skills!H5&gt;0,INT(IF(Inputs!$B$3&gt;=104,MIN(35,20*(1+Inputs!$B$34/100)),20)/Skills!H5+0.000000001),1)+IF(Skills!H5&gt;0,INT(MIN(IF(Inputs!$B$3&gt;=104,MIN(35,20*(1+Inputs!$B$34/100)),20),MAX(0,MAX(0,Inputs!$B$43-B2225)-((R2192-1)*(IF(Inputs!$B$38="pvp",15,MAX(0.1,Skills!D5-IF(TRUE=TRUE,Inputs!$B$32,0)))*(1-IF(AND(IF(ArtifactsInput!$M$27,FALSE,TRUE),Inputs!$B$4="Chapter Hunt"),CHOOSE(ArtifactsInput!$N$27+1,20,24,28,32,36,40),0)/100)))))/Skills!H5+0.000000001),1)))/Inputs!$B$43),G2192*Q2192))*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Hunt"),CHOOSE(ArtifactsInput!$N$35+1,15,18,21,24,27,30)*(1-EXP(-(0.2*B2220)*5)),0)+IF(AND(ArtifactsInput!$M$22,Inputs!$B$4&lt;&gt;"Chapter Hunt"),CHOOSE(ArtifactsInput!$N$22+1,10,12,14,16,18,20)*((0*(((0.15*B2220*5))^0/1)+1*(((0.15*B2220*5))^1/1)+2*(((0.15*B2220*5))^2/2)+3*(((0.15*B2220*5))^3/6)+4*(((0.15*B2220*5))^4/24)+5*(((0.15*B2220*5))^5/120))/((((0.15*B2220*5))^0/1)+(((0.15*B2220*5))^1/1)+(((0.15*B2220*5))^2/2)+(((0.15*B2220*5))^3/6)+(((0.15*B2220*5))^4/24)+(((0.15*B2220*5))^5/120))),0))+IF(Inputs!$B$3&gt;=54,9*(C2190=TRUE)*MIN(1,8*(1+Inputs!$B$34/100)*Q2190)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2192*(1-MIN(100,(Inputs!$B$9+((C2206=TRUE)*(F2206-Calc!F19))+B2218+(ArtifactsInput!$M$24-ArtifactsInput!$M$24)*CHOOSE(ArtifactsInput!$N$24+1,10,12,14,16,18,20)+(IF(AND(Inputs!$B$38&lt;&gt;"pvp",Inputs!$B$43=0),1,IF(IF(Inputs!$B$38="pvp",15,Inputs!$B$43)-(B2225)&lt;=0,1,MAX(0,IF(Inputs!$B$38="pvp",15,Inputs!$B$43)-MAX(5,B2225))/(IF(Inputs!$B$38="pvp",15,Inputs!$B$43)-(B2225))))*IF(AND(ArtifactsInput!$M$42,((Inputs!$B$9+((C2206=TRUE)*(F2206-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2192*(MIN(100,(Inputs!$B$9+((C2206=TRUE)*(F2206-Calc!F19))+B2218+(ArtifactsInput!$M$24-ArtifactsInput!$M$24)*CHOOSE(ArtifactsInput!$N$24+1,10,12,14,16,18,20)+(IF(AND(Inputs!$B$38&lt;&gt;"pvp",Inputs!$B$43=0),1,IF(IF(Inputs!$B$38="pvp",15,Inputs!$B$43)-(B2225)&lt;=0,1,MAX(0,IF(Inputs!$B$38="pvp",15,Inputs!$B$43)-MAX(5,B2225))/(IF(Inputs!$B$38="pvp",15,Inputs!$B$43)-(B2225))))*IF(AND(ArtifactsInput!$M$42,((Inputs!$B$9+((C2206=TRUE)*(F2206-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2192*(1-MIN(100,(Inputs!$B$9+((C2206=TRUE)*(F2206-Calc!F19))+B2218+(ArtifactsInput!$M$24-ArtifactsInput!$M$24)*CHOOSE(ArtifactsInput!$N$24+1,10,12,14,16,18,20)+(IF(AND(Inputs!$B$38&lt;&gt;"pvp",Inputs!$B$43=0),1,IF(IF(Inputs!$B$38="pvp",15,Inputs!$B$43)-(B2225)&lt;=0,1,MAX(0,IF(Inputs!$B$38="pvp",15,Inputs!$B$43)-MAX(5,B2225))/(IF(Inputs!$B$38="pvp",15,Inputs!$B$43)-(B2225))))*IF(AND(ArtifactsInput!$M$42,((Inputs!$B$9+((C2206=TRUE)*(F2206-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2192*(MIN(100,(Inputs!$B$9+((C2206=TRUE)*(F2206-Calc!F19))+B2218+(ArtifactsInput!$M$24-ArtifactsInput!$M$24)*CHOOSE(ArtifactsInput!$N$24+1,10,12,14,16,18,20)+(IF(AND(Inputs!$B$38&lt;&gt;"pvp",Inputs!$B$43=0),1,IF(IF(Inputs!$B$38="pvp",15,Inputs!$B$43)-(B2225)&lt;=0,1,MAX(0,IF(Inputs!$B$38="pvp",15,Inputs!$B$43)-MAX(5,B2225))/(IF(Inputs!$B$38="pvp",15,Inputs!$B$43)-(B2225))))*IF(AND(ArtifactsInput!$M$42,((Inputs!$B$9+((C2206=TRUE)*(F2206-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92">
        <f>IF(C2192,(H2192*N2192*IF(AND(Inputs!$B$38&lt;&gt;"pvp",Inputs!$B$43&gt;0),((Skills!G5*((R2192-1)*IF(Skills!H5&gt;0,INT(IF(Inputs!$B$3&gt;=104,MIN(35,20*(1+Inputs!$B$34/100)),20)/Skills!H5+0.000000001),1)+IF(Skills!H5&gt;0,INT(MIN(IF(Inputs!$B$3&gt;=104,MIN(35,20*(1+Inputs!$B$34/100)),20),MAX(0,MAX(0,Inputs!$B$43-B2225)-((R2192-1)*(IF(Inputs!$B$38="pvp",15,MAX(0.1,Skills!D5-IF(TRUE=TRUE,Inputs!$B$32,0)))*(1-IF(AND(IF(ArtifactsInput!$M$27,FALSE,TRUE),Inputs!$B$4="Chapter Hunt"),CHOOSE(ArtifactsInput!$N$27+1,20,24,28,32,36,40),0)/100)))))/Skills!H5+0.000000001),1)))/Inputs!$B$43),G2192*Q2192))*IF(Inputs!$B$38="pvp",1,(1+(Inputs!$B$21+Skills!Q5+(IF(ArtifactsInput!$M$33,CHOOSE(ArtifactsInput!$N$33+1,30,36,42,48,54,60),0))+(IF(AND(ArtifactsInput!$M$35,Inputs!$B$4&lt;&gt;"Chapter Hunt"),CHOOSE(ArtifactsInput!$N$35+1,15,18,21,24,27,30)*(1-EXP(-(0.2*B2220)*5)),0)+IF(AND(ArtifactsInput!$M$22,Inputs!$B$4&lt;&gt;"Chapter Hunt"),CHOOSE(ArtifactsInput!$N$22+1,10,12,14,16,18,20)*((0*(((0.15*B2220*5))^0/1)+1*(((0.15*B2220*5))^1/1)+2*(((0.15*B2220*5))^2/2)+3*(((0.15*B2220*5))^3/6)+4*(((0.15*B2220*5))^4/24)+5*(((0.15*B2220*5))^5/120))/((((0.15*B2220*5))^0/1)+(((0.15*B2220*5))^1/1)+(((0.15*B2220*5))^2/2)+(((0.15*B2220*5))^3/6)+(((0.15*B2220*5))^4/24)+(((0.15*B2220*5))^5/120))),0))+IF(Inputs!$B$3&gt;=54,9*(C2190=TRUE)*MIN(1,8*(1+Inputs!$B$34/100)*Q2190)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93">
      <c r="A2193">
        <f>Skills!A6</f>
        <v/>
      </c>
      <c r="B2193">
        <f>Skills!B6</f>
        <v/>
      </c>
      <c r="C2193">
        <f>Inputs!$B$3&gt;=66</f>
        <v/>
      </c>
      <c r="D2193">
        <f>IF(Skills!C6=1,60+Inputs!$B$25+Inputs!$B$29,IF(Skills!C6=2,90+Inputs!$B$26+Inputs!$B$29,IF(Skills!C6=3,120+Inputs!$B$27+Inputs!$B$29,MAX(0,(Inputs!$B$3-100)*3)+Inputs!$B$28+Inputs!$B$29)))</f>
        <v/>
      </c>
      <c r="E2193">
        <f>INDEX(FactorTable!$B$2:$Y$301, MATCH(ROUND(MIN(300,MAX(1,D2193)),0), FactorTable!$A$2:$A$301,0), Skills!M6+1)</f>
        <v/>
      </c>
      <c r="F2193">
        <f>IF(Skills!N6=TRUE,(Skills!L6/10)*(E2193/1000),Skills!L6/10)+Skills!O6</f>
        <v/>
      </c>
      <c r="G2193">
        <f>Skills!G6*IF(Skills!H6&gt;0,INT(IF(Inputs!$B$38="pvp",MIN(Skills!I6,15),Skills!I6)/Skills!H6+0.000000001),1)</f>
        <v/>
      </c>
      <c r="H2193">
        <f>1-(1-Skills!J6/100)^Skills!K6</f>
        <v/>
      </c>
      <c r="I2193" t="inlineStr">
        <is>
          <t>1</t>
        </is>
      </c>
      <c r="J2193">
        <f>((Inputs!$B$6*(1+Inputs!$B$7/100))+(((Inputs!$B$12*(1+Inputs!$B$13/100))-(Inputs!$B$12*(1+Inputs!$B$13/100)))+0.25*(Inputs!$B$14-Inputs!$B$14))*(1+Inputs!$B$7/100))*(F2193/100)</f>
        <v/>
      </c>
      <c r="K2193">
        <f>J2193*(1+((Inputs!$B$12*(1+Inputs!$B$13/100))*0.01+Inputs!$B$14*0.0025)/100)*(1+Inputs!$B$15/100)*(1+Inputs!$B$16/100)*(5000/(6000+Inputs!$B$42*(1-(100*(1-(1-(Inputs!$B$19+0)/100)*(1-CHOOSE(ArtifactsInput!$N$40+1,5,6,7,8,9,10)/100)^(ArtifactsInput!$M$40-ArtifactsInput!$M$40)))/100)))*(1+(Inputs!$B$24+((C2213=TRUE)*(F2213-Calc!F26))+B2224)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+2.0*IF(C2202=TRUE,F2202,0)/100)*(1+(IF(Skills!A6="EIGHT_LEGS_EASTON",Inputs!$B$17+((C2210=TRUE)*(F2210-Calc!F23))+((C2214=TRUE)*(F2214-Calc!F27))+((IF(AND(Inputs!$B$38&lt;&gt;"pvp",Inputs!$B$43=0),1,IF(IF(Inputs!$B$38="pvp",15,Inputs!$B$43)-(B2225)&lt;=0,1,MAX(0,IF(Inputs!$B$38="pvp",15,Inputs!$B$43)-MAX(5,B2225))/(IF(Inputs!$B$38="pvp",15,Inputs!$B$43)-(B2225))))*(IF(AND(ArtifactsInput!$M$42,((Inputs!$B$9+((C2206=TRUE)*(F2206-Calc!F19))+B2218+(ArtifactsInput!$M$24-ArtifactsInput!$M$24)*CHOOSE(ArtifactsInput!$N$24+1,10,12,14,16,18,20)+IF(ArtifactsInput!$M$10,CHOOSE(ArtifactsInput!$N$10+1,15,18,21,24,27,30)*(IF(Inputs!$B$38="pvp",MIN(15,15)/15,IF(AND(Inputs!$B$38&lt;&gt;"pvp",Inputs!$B$43&gt;0),MIN(15,Inputs!$B$43)/(Inputs!$B$43),0))),0)))&gt;=100),MIN(100,((Inputs!$B$9+((C2206=TRUE)*(F2206-Calc!F19))+B2218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2225)&lt;=0,1,MAX(0,IF(Inputs!$B$38="pvp",15,Inputs!$B$43)-MAX(5,B2225))/(IF(Inputs!$B$38="pvp",15,Inputs!$B$43)-(B2225))))*IF(AND(ArtifactsInput!$M$42,((Inputs!$B$9+((C2206=TRUE)*(F2206-Calc!F19))+B2218+(ArtifactsInput!$M$24-ArtifactsInput!$M$24)*CHOOSE(ArtifactsInput!$N$24+1,10,12,14,16,18,20)+IF(ArtifactsInput!$M$10,CHOOSE(ArtifactsInput!$N$10+1,15,18,21,24,27,30)*(IF(Inputs!$B$38="pvp",MIN(15,15)/15,IF(AND(Inputs!$B$38&lt;&gt;"pvp",Inputs!$B$43&gt;0),MIN(15,Inputs!$B$43)/(Inputs!$B$43),0))),0)))&gt;=100),CHOOSE(ArtifactsInput!$N$42+1,40,48,56,64,72,80),0))))/100)*((1+(((C2204=TRUE)*F2204*5/7)+((C2211=TRUE)*(F2211-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2193)</f>
        <v/>
      </c>
      <c r="L2193">
        <f>K2193*(MIN(Inputs!$B$22+((C2209=TRUE)*(F2209-Calc!F22)),(Inputs!$B$23+0+(IF(ArtifactsInput!$M$15,CHOOSE(ArtifactsInput!$N$15+1,25,30,35,40,45,50)/100*(Inputs!$B$11-Inputs!$B$11),0))))/100+(Inputs!$B$23+0+(IF(ArtifactsInput!$M$15,CHOOSE(ArtifactsInput!$N$15+1,25,30,35,40,45,50)/100*(Inputs!$B$11-Inputs!$B$11),0)))/100)/2</f>
        <v/>
      </c>
      <c r="M2193">
        <f>L2193*(1+(Inputs!$B$10+((C2212=TRUE)*(F2212-Calc!F25))+B2223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93">
        <f>L2193*(1-MIN((Inputs!$B$9+((C2206=TRUE)*(F2206-Calc!F19))+B2218+(ArtifactsInput!$M$24-ArtifactsInput!$M$24)*CHOOSE(ArtifactsInput!$N$24+1,10,12,14,16,18,20)+(IF(AND(Inputs!$B$38&lt;&gt;"pvp",Inputs!$B$43=0),1,IF(IF(Inputs!$B$38="pvp",15,Inputs!$B$43)-(B2225)&lt;=0,1,MAX(0,IF(Inputs!$B$38="pvp",15,Inputs!$B$43)-MAX(5,B2225))/(IF(Inputs!$B$38="pvp",15,Inputs!$B$43)-(B2225))))*IF(AND(ArtifactsInput!$M$42,((Inputs!$B$9+((C2206=TRUE)*(F2206-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2193*(MIN((Inputs!$B$9+((C2206=TRUE)*(F2206-Calc!F19))+B2218+(ArtifactsInput!$M$24-ArtifactsInput!$M$24)*CHOOSE(ArtifactsInput!$N$24+1,10,12,14,16,18,20)+(IF(AND(Inputs!$B$38&lt;&gt;"pvp",Inputs!$B$43=0),1,IF(IF(Inputs!$B$38="pvp",15,Inputs!$B$43)-(B2225)&lt;=0,1,MAX(0,IF(Inputs!$B$38="pvp",15,Inputs!$B$43)-MAX(5,B2225))/(IF(Inputs!$B$38="pvp",15,Inputs!$B$43)-(B2225))))*IF(AND(ArtifactsInput!$M$42,((Inputs!$B$9+((C2206=TRUE)*(F2206-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93">
        <f>(1-Summary!$B$11)*T2193+Summary!$B$11*V2193</f>
        <v/>
      </c>
      <c r="P2193">
        <f>IF(B2228=0,0,O2193/B2228)</f>
        <v/>
      </c>
      <c r="Q2193">
        <f>IFERROR(1/(IF(Inputs!$B$38="pvp",15,MAX(0.1,Skills!D6-IF(TRUE=TRUE,Inputs!$B$32,0)))*(1-IF(AND(IF(ArtifactsInput!$M$27,FALSE,TRUE),Inputs!$B$4="Chapter Hunt"),CHOOSE(ArtifactsInput!$N$27+1,20,24,28,32,36,40),0)/100)),0)</f>
        <v/>
      </c>
      <c r="R2193">
        <f>IF(AND(Inputs!$B$38&lt;&gt;"pvp",Inputs!$B$43&gt;0),IF(MAX(0,Inputs!$B$43-B2225)&lt;=0,0,(INT(MAX(0,Inputs!$B$43-B2225)/(IF(Inputs!$B$38="pvp",15,MAX(0.1,Skills!D6-IF(TRUE=TRUE,Inputs!$B$32,0)))*(1-IF(AND(IF(ArtifactsInput!$M$27,FALSE,TRUE),Inputs!$B$4="Chapter Hunt"),CHOOSE(ArtifactsInput!$N$27+1,20,24,28,32,36,40),0)/100)))+1)),0)</f>
        <v/>
      </c>
      <c r="S2193">
        <f>IFERROR(O2193/N2193,0)</f>
        <v/>
      </c>
      <c r="T2193">
        <f>IF(C2193,(H2193*N2193*IF(AND(Inputs!$B$38&lt;&gt;"pvp",Inputs!$B$43&gt;0),((Skills!G6*((R2193-1)*IF(Skills!H6&gt;0,INT(Skills!I6/Skills!H6+0.000000001),1)+IF(Skills!H6&gt;0,INT(MIN(Skills!I6,MAX(0,MAX(0,Inputs!$B$43-B2225)-((R2193-1)*(IF(Inputs!$B$38="pvp",15,MAX(0.1,Skills!D6-IF(TRUE=TRUE,Inputs!$B$32,0)))*(1-IF(AND(IF(ArtifactsInput!$M$27,FALSE,TRUE),Inputs!$B$4="Chapter Hunt"),CHOOSE(ArtifactsInput!$N$27+1,20,24,28,32,36,40),0)/100)))))/Skills!H6+0.000000001),1)))/Inputs!$B$43),G2193*Q2193))*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Hunt"),CHOOSE(ArtifactsInput!$N$35+1,15,18,21,24,27,30)*(1-EXP(-(0.2*B2220)*5)),0)+IF(AND(ArtifactsInput!$M$22,Inputs!$B$4&lt;&gt;"Chapter Hunt"),CHOOSE(ArtifactsInput!$N$22+1,10,12,14,16,18,20)*((0*(((0.15*B2220*5))^0/1)+1*(((0.15*B2220*5))^1/1)+2*(((0.15*B2220*5))^2/2)+3*(((0.15*B2220*5))^3/6)+4*(((0.15*B2220*5))^4/24)+5*(((0.15*B2220*5))^5/120))/((((0.15*B2220*5))^0/1)+(((0.15*B2220*5))^1/1)+(((0.15*B2220*5))^2/2)+(((0.15*B2220*5))^3/6)+(((0.15*B2220*5))^4/24)+(((0.15*B2220*5))^5/120))),0))+IF(Inputs!$B$3&gt;=54,9*(C2190=TRUE)*MIN(1,8*(1+Inputs!$B$34/100)*Q2190)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2193*(1-MIN(100,(Inputs!$B$9+((C2206=TRUE)*(F2206-Calc!F19))+B2218+(ArtifactsInput!$M$24-ArtifactsInput!$M$24)*CHOOSE(ArtifactsInput!$N$24+1,10,12,14,16,18,20)+(IF(AND(Inputs!$B$38&lt;&gt;"pvp",Inputs!$B$43=0),1,IF(IF(Inputs!$B$38="pvp",15,Inputs!$B$43)-(B2225)&lt;=0,1,MAX(0,IF(Inputs!$B$38="pvp",15,Inputs!$B$43)-MAX(5,B2225))/(IF(Inputs!$B$38="pvp",15,Inputs!$B$43)-(B2225))))*IF(AND(ArtifactsInput!$M$42,((Inputs!$B$9+((C2206=TRUE)*(F2206-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2193*(MIN(100,(Inputs!$B$9+((C2206=TRUE)*(F2206-Calc!F19))+B2218+(ArtifactsInput!$M$24-ArtifactsInput!$M$24)*CHOOSE(ArtifactsInput!$N$24+1,10,12,14,16,18,20)+(IF(AND(Inputs!$B$38&lt;&gt;"pvp",Inputs!$B$43=0),1,IF(IF(Inputs!$B$38="pvp",15,Inputs!$B$43)-(B2225)&lt;=0,1,MAX(0,IF(Inputs!$B$38="pvp",15,Inputs!$B$43)-MAX(5,B2225))/(IF(Inputs!$B$38="pvp",15,Inputs!$B$43)-(B2225))))*IF(AND(ArtifactsInput!$M$42,((Inputs!$B$9+((C2206=TRUE)*(F2206-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2193*(1-MIN(100,(Inputs!$B$9+((C2206=TRUE)*(F2206-Calc!F19))+B2218+(ArtifactsInput!$M$24-ArtifactsInput!$M$24)*CHOOSE(ArtifactsInput!$N$24+1,10,12,14,16,18,20)+(IF(AND(Inputs!$B$38&lt;&gt;"pvp",Inputs!$B$43=0),1,IF(IF(Inputs!$B$38="pvp",15,Inputs!$B$43)-(B2225)&lt;=0,1,MAX(0,IF(Inputs!$B$38="pvp",15,Inputs!$B$43)-MAX(5,B2225))/(IF(Inputs!$B$38="pvp",15,Inputs!$B$43)-(B2225))))*IF(AND(ArtifactsInput!$M$42,((Inputs!$B$9+((C2206=TRUE)*(F2206-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2193*(MIN(100,(Inputs!$B$9+((C2206=TRUE)*(F2206-Calc!F19))+B2218+(ArtifactsInput!$M$24-ArtifactsInput!$M$24)*CHOOSE(ArtifactsInput!$N$24+1,10,12,14,16,18,20)+(IF(AND(Inputs!$B$38&lt;&gt;"pvp",Inputs!$B$43=0),1,IF(IF(Inputs!$B$38="pvp",15,Inputs!$B$43)-(B2225)&lt;=0,1,MAX(0,IF(Inputs!$B$38="pvp",15,Inputs!$B$43)-MAX(5,B2225))/(IF(Inputs!$B$38="pvp",15,Inputs!$B$43)-(B2225))))*IF(AND(ArtifactsInput!$M$42,((Inputs!$B$9+((C2206=TRUE)*(F2206-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93">
        <f>IF(C2193,(H2193*N2193*IF(AND(Inputs!$B$38&lt;&gt;"pvp",Inputs!$B$43&gt;0),((Skills!G6*((R2193-1)*IF(Skills!H6&gt;0,INT(Skills!I6/Skills!H6+0.000000001),1)+IF(Skills!H6&gt;0,INT(MIN(Skills!I6,MAX(0,MAX(0,Inputs!$B$43-B2225)-((R2193-1)*(IF(Inputs!$B$38="pvp",15,MAX(0.1,Skills!D6-IF(TRUE=TRUE,Inputs!$B$32,0)))*(1-IF(AND(IF(ArtifactsInput!$M$27,FALSE,TRUE),Inputs!$B$4="Chapter Hunt"),CHOOSE(ArtifactsInput!$N$27+1,20,24,28,32,36,40),0)/100)))))/Skills!H6+0.000000001),1)))/Inputs!$B$43),G2193*Q2193))*IF(Inputs!$B$38="pvp",1,(1+(Inputs!$B$21+Skills!Q6+(IF(ArtifactsInput!$M$33,CHOOSE(ArtifactsInput!$N$33+1,30,36,42,48,54,60),0))+(IF(AND(ArtifactsInput!$M$35,Inputs!$B$4&lt;&gt;"Chapter Hunt"),CHOOSE(ArtifactsInput!$N$35+1,15,18,21,24,27,30)*(1-EXP(-(0.2*B2220)*5)),0)+IF(AND(ArtifactsInput!$M$22,Inputs!$B$4&lt;&gt;"Chapter Hunt"),CHOOSE(ArtifactsInput!$N$22+1,10,12,14,16,18,20)*((0*(((0.15*B2220*5))^0/1)+1*(((0.15*B2220*5))^1/1)+2*(((0.15*B2220*5))^2/2)+3*(((0.15*B2220*5))^3/6)+4*(((0.15*B2220*5))^4/24)+5*(((0.15*B2220*5))^5/120))/((((0.15*B2220*5))^0/1)+(((0.15*B2220*5))^1/1)+(((0.15*B2220*5))^2/2)+(((0.15*B2220*5))^3/6)+(((0.15*B2220*5))^4/24)+(((0.15*B2220*5))^5/120))),0))+IF(Inputs!$B$3&gt;=54,9*(C2190=TRUE)*MIN(1,8*(1+Inputs!$B$34/100)*Q2190)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94">
      <c r="A2194">
        <f>Skills!A7</f>
        <v/>
      </c>
      <c r="B2194">
        <f>Skills!B7</f>
        <v/>
      </c>
      <c r="C2194">
        <f>Inputs!$B$3&gt;=63</f>
        <v/>
      </c>
      <c r="D2194">
        <f>IF(Skills!C7=1,60+Inputs!$B$25+Inputs!$B$29,IF(Skills!C7=2,90+Inputs!$B$26+Inputs!$B$29,IF(Skills!C7=3,120+Inputs!$B$27+Inputs!$B$29,MAX(0,(Inputs!$B$3-100)*3)+Inputs!$B$28+Inputs!$B$29)))</f>
        <v/>
      </c>
      <c r="E2194">
        <f>INDEX(FactorTable!$B$2:$Y$301, MATCH(ROUND(MIN(300,MAX(1,D2194)),0), FactorTable!$A$2:$A$301,0), Skills!M7+1)</f>
        <v/>
      </c>
      <c r="F2194">
        <f>IF(Skills!N7=TRUE,(Skills!L7/10)*(E2194/1000),Skills!L7/10)+Skills!O7</f>
        <v/>
      </c>
      <c r="G2194">
        <f>Skills!G7*IF(Skills!H7&gt;0,INT(IF(Inputs!$B$38="pvp",MIN(Skills!I7,15),Skills!I7)/Skills!H7+0.000000001),1)</f>
        <v/>
      </c>
      <c r="H2194">
        <f>1-(1-Skills!J7/100)^Skills!K7</f>
        <v/>
      </c>
      <c r="I2194" t="inlineStr">
        <is>
          <t>1</t>
        </is>
      </c>
      <c r="J2194">
        <f>((Inputs!$B$6*(1+Inputs!$B$7/100))+(((Inputs!$B$12*(1+Inputs!$B$13/100))-(Inputs!$B$12*(1+Inputs!$B$13/100)))+0.25*(Inputs!$B$14-Inputs!$B$14))*(1+Inputs!$B$7/100))*(F2194/100)</f>
        <v/>
      </c>
      <c r="K2194">
        <f>J2194*(1+((Inputs!$B$12*(1+Inputs!$B$13/100))*0.01+Inputs!$B$14*0.0025)/100)*(1+Inputs!$B$15/100)*(1+Inputs!$B$16/100)*(5000/(6000+Inputs!$B$42*(1-(100*(1-(1-(Inputs!$B$19+0)/100)*(1-CHOOSE(ArtifactsInput!$N$40+1,5,6,7,8,9,10)/100)^(ArtifactsInput!$M$40-ArtifactsInput!$M$40)))/100)))*(1+(Inputs!$B$24+((C2213=TRUE)*(F2213-Calc!F26))+B2224)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2202=TRUE,F2202,0)/100)*(1+(IF(Skills!A7="EIGHT_LEGS_EASTON",Inputs!$B$17+((C2210=TRUE)*(F2210-Calc!F23))+((C2214=TRUE)*(F2214-Calc!F27))+((IF(AND(Inputs!$B$38&lt;&gt;"pvp",Inputs!$B$43=0),1,IF(IF(Inputs!$B$38="pvp",15,Inputs!$B$43)-(B2225)&lt;=0,1,MAX(0,IF(Inputs!$B$38="pvp",15,Inputs!$B$43)-MAX(5,B2225))/(IF(Inputs!$B$38="pvp",15,Inputs!$B$43)-(B2225))))*(IF(AND(ArtifactsInput!$M$42,((Inputs!$B$9+((C2206=TRUE)*(F2206-Calc!F19))+B2218+(ArtifactsInput!$M$24-ArtifactsInput!$M$24)*CHOOSE(ArtifactsInput!$N$24+1,10,12,14,16,18,20)+IF(ArtifactsInput!$M$10,CHOOSE(ArtifactsInput!$N$10+1,15,18,21,24,27,30)*(IF(Inputs!$B$38="pvp",MIN(15,15)/15,IF(AND(Inputs!$B$38&lt;&gt;"pvp",Inputs!$B$43&gt;0),MIN(15,Inputs!$B$43)/(Inputs!$B$43),0))),0)))&gt;=100),MIN(100,((Inputs!$B$9+((C2206=TRUE)*(F2206-Calc!F19))+B2218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2225)&lt;=0,1,MAX(0,IF(Inputs!$B$38="pvp",15,Inputs!$B$43)-MAX(5,B2225))/(IF(Inputs!$B$38="pvp",15,Inputs!$B$43)-(B2225))))*IF(AND(ArtifactsInput!$M$42,((Inputs!$B$9+((C2206=TRUE)*(F2206-Calc!F19))+B2218+(ArtifactsInput!$M$24-ArtifactsInput!$M$24)*CHOOSE(ArtifactsInput!$N$24+1,10,12,14,16,18,20)+IF(ArtifactsInput!$M$10,CHOOSE(ArtifactsInput!$N$10+1,15,18,21,24,27,30)*(IF(Inputs!$B$38="pvp",MIN(15,15)/15,IF(AND(Inputs!$B$38&lt;&gt;"pvp",Inputs!$B$43&gt;0),MIN(15,Inputs!$B$43)/(Inputs!$B$43),0))),0)))&gt;=100),CHOOSE(ArtifactsInput!$N$42+1,40,48,56,64,72,80),0))))/100)*((1+(((C2204=TRUE)*F2204*5/7)+((C2211=TRUE)*(F2211-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2194)</f>
        <v/>
      </c>
      <c r="L2194">
        <f>K2194*(MIN(Inputs!$B$22+((C2209=TRUE)*(F2209-Calc!F22)),(Inputs!$B$23+0+(IF(ArtifactsInput!$M$15,CHOOSE(ArtifactsInput!$N$15+1,25,30,35,40,45,50)/100*(Inputs!$B$11-Inputs!$B$11),0))))/100+(Inputs!$B$23+0+(IF(ArtifactsInput!$M$15,CHOOSE(ArtifactsInput!$N$15+1,25,30,35,40,45,50)/100*(Inputs!$B$11-Inputs!$B$11),0)))/100)/2</f>
        <v/>
      </c>
      <c r="M2194">
        <f>L2194*(1+(Inputs!$B$10+((C2212=TRUE)*(F2212-Calc!F25))+B2223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94">
        <f>L2194*(1-MIN((Inputs!$B$9+((C2206=TRUE)*(F2206-Calc!F19))+B2218+(ArtifactsInput!$M$24-ArtifactsInput!$M$24)*CHOOSE(ArtifactsInput!$N$24+1,10,12,14,16,18,20)+(IF(AND(Inputs!$B$38&lt;&gt;"pvp",Inputs!$B$43=0),1,IF(IF(Inputs!$B$38="pvp",15,Inputs!$B$43)-(B2225)&lt;=0,1,MAX(0,IF(Inputs!$B$38="pvp",15,Inputs!$B$43)-MAX(5,B2225))/(IF(Inputs!$B$38="pvp",15,Inputs!$B$43)-(B2225))))*IF(AND(ArtifactsInput!$M$42,((Inputs!$B$9+((C2206=TRUE)*(F2206-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2194*(MIN((Inputs!$B$9+((C2206=TRUE)*(F2206-Calc!F19))+B2218+(ArtifactsInput!$M$24-ArtifactsInput!$M$24)*CHOOSE(ArtifactsInput!$N$24+1,10,12,14,16,18,20)+(IF(AND(Inputs!$B$38&lt;&gt;"pvp",Inputs!$B$43=0),1,IF(IF(Inputs!$B$38="pvp",15,Inputs!$B$43)-(B2225)&lt;=0,1,MAX(0,IF(Inputs!$B$38="pvp",15,Inputs!$B$43)-MAX(5,B2225))/(IF(Inputs!$B$38="pvp",15,Inputs!$B$43)-(B2225))))*IF(AND(ArtifactsInput!$M$42,((Inputs!$B$9+((C2206=TRUE)*(F2206-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94">
        <f>(1-Summary!$B$11)*T2194+Summary!$B$11*V2194</f>
        <v/>
      </c>
      <c r="P2194">
        <f>IF(B2228=0,0,O2194/B2228)</f>
        <v/>
      </c>
      <c r="Q2194">
        <f>IFERROR(1/(IF(Inputs!$B$38="pvp",15,MAX(0.1,Skills!D7-IF(TRUE=TRUE,Inputs!$B$32,0)))*(1-IF(AND(IF(ArtifactsInput!$M$27,FALSE,TRUE),Inputs!$B$4="Chapter Hunt"),CHOOSE(ArtifactsInput!$N$27+1,20,24,28,32,36,40),0)/100)),0)</f>
        <v/>
      </c>
      <c r="R2194">
        <f>IF(AND(Inputs!$B$38&lt;&gt;"pvp",Inputs!$B$43&gt;0),IF(MAX(0,Inputs!$B$43-B2225)&lt;=0,0,(INT(MAX(0,Inputs!$B$43-B2225)/(IF(Inputs!$B$38="pvp",15,MAX(0.1,Skills!D7-IF(TRUE=TRUE,Inputs!$B$32,0)))*(1-IF(AND(IF(ArtifactsInput!$M$27,FALSE,TRUE),Inputs!$B$4="Chapter Hunt"),CHOOSE(ArtifactsInput!$N$27+1,20,24,28,32,36,40),0)/100)))+1)),0)</f>
        <v/>
      </c>
      <c r="S2194">
        <f>IFERROR(O2194/N2194,0)</f>
        <v/>
      </c>
      <c r="T2194">
        <f>IF(C2194,(H2194*N2194*IF(AND(Inputs!$B$38&lt;&gt;"pvp",Inputs!$B$43&gt;0),((Skills!G7*((R2194-1)*IF(Skills!H7&gt;0,INT(Skills!I7/Skills!H7+0.000000001),1)+IF(Skills!H7&gt;0,INT(MIN(Skills!I7,MAX(0,MAX(0,Inputs!$B$43-B2225)-((R2194-1)*(IF(Inputs!$B$38="pvp",15,MAX(0.1,Skills!D7-IF(TRUE=TRUE,Inputs!$B$32,0)))*(1-IF(AND(IF(ArtifactsInput!$M$27,FALSE,TRUE),Inputs!$B$4="Chapter Hunt"),CHOOSE(ArtifactsInput!$N$27+1,20,24,28,32,36,40),0)/100)))))/Skills!H7+0.000000001),1)))/Inputs!$B$43),G2194*Q2194))*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Hunt"),CHOOSE(ArtifactsInput!$N$35+1,15,18,21,24,27,30)*(1-EXP(-(0.2*B2220)*5)),0)+IF(AND(ArtifactsInput!$M$22,Inputs!$B$4&lt;&gt;"Chapter Hunt"),CHOOSE(ArtifactsInput!$N$22+1,10,12,14,16,18,20)*((0*(((0.15*B2220*5))^0/1)+1*(((0.15*B2220*5))^1/1)+2*(((0.15*B2220*5))^2/2)+3*(((0.15*B2220*5))^3/6)+4*(((0.15*B2220*5))^4/24)+5*(((0.15*B2220*5))^5/120))/((((0.15*B2220*5))^0/1)+(((0.15*B2220*5))^1/1)+(((0.15*B2220*5))^2/2)+(((0.15*B2220*5))^3/6)+(((0.15*B2220*5))^4/24)+(((0.15*B2220*5))^5/120))),0))+IF(Inputs!$B$3&gt;=54,9*(C2190=TRUE)*MIN(1,8*(1+Inputs!$B$34/100)*Q2190)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2194*(1-MIN(100,(Inputs!$B$9+((C2206=TRUE)*(F2206-Calc!F19))+B2218+(ArtifactsInput!$M$24-ArtifactsInput!$M$24)*CHOOSE(ArtifactsInput!$N$24+1,10,12,14,16,18,20)+(IF(AND(Inputs!$B$38&lt;&gt;"pvp",Inputs!$B$43=0),1,IF(IF(Inputs!$B$38="pvp",15,Inputs!$B$43)-(B2225)&lt;=0,1,MAX(0,IF(Inputs!$B$38="pvp",15,Inputs!$B$43)-MAX(5,B2225))/(IF(Inputs!$B$38="pvp",15,Inputs!$B$43)-(B2225))))*IF(AND(ArtifactsInput!$M$42,((Inputs!$B$9+((C2206=TRUE)*(F2206-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2194*(MIN(100,(Inputs!$B$9+((C2206=TRUE)*(F2206-Calc!F19))+B2218+(ArtifactsInput!$M$24-ArtifactsInput!$M$24)*CHOOSE(ArtifactsInput!$N$24+1,10,12,14,16,18,20)+(IF(AND(Inputs!$B$38&lt;&gt;"pvp",Inputs!$B$43=0),1,IF(IF(Inputs!$B$38="pvp",15,Inputs!$B$43)-(B2225)&lt;=0,1,MAX(0,IF(Inputs!$B$38="pvp",15,Inputs!$B$43)-MAX(5,B2225))/(IF(Inputs!$B$38="pvp",15,Inputs!$B$43)-(B2225))))*IF(AND(ArtifactsInput!$M$42,((Inputs!$B$9+((C2206=TRUE)*(F2206-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2194*(1-MIN(100,(Inputs!$B$9+((C2206=TRUE)*(F2206-Calc!F19))+B2218+(ArtifactsInput!$M$24-ArtifactsInput!$M$24)*CHOOSE(ArtifactsInput!$N$24+1,10,12,14,16,18,20)+(IF(AND(Inputs!$B$38&lt;&gt;"pvp",Inputs!$B$43=0),1,IF(IF(Inputs!$B$38="pvp",15,Inputs!$B$43)-(B2225)&lt;=0,1,MAX(0,IF(Inputs!$B$38="pvp",15,Inputs!$B$43)-MAX(5,B2225))/(IF(Inputs!$B$38="pvp",15,Inputs!$B$43)-(B2225))))*IF(AND(ArtifactsInput!$M$42,((Inputs!$B$9+((C2206=TRUE)*(F2206-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2194*(MIN(100,(Inputs!$B$9+((C2206=TRUE)*(F2206-Calc!F19))+B2218+(ArtifactsInput!$M$24-ArtifactsInput!$M$24)*CHOOSE(ArtifactsInput!$N$24+1,10,12,14,16,18,20)+(IF(AND(Inputs!$B$38&lt;&gt;"pvp",Inputs!$B$43=0),1,IF(IF(Inputs!$B$38="pvp",15,Inputs!$B$43)-(B2225)&lt;=0,1,MAX(0,IF(Inputs!$B$38="pvp",15,Inputs!$B$43)-MAX(5,B2225))/(IF(Inputs!$B$38="pvp",15,Inputs!$B$43)-(B2225))))*IF(AND(ArtifactsInput!$M$42,((Inputs!$B$9+((C2206=TRUE)*(F2206-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94">
        <f>IF(C2194,(H2194*N2194*IF(AND(Inputs!$B$38&lt;&gt;"pvp",Inputs!$B$43&gt;0),((Skills!G7*((R2194-1)*IF(Skills!H7&gt;0,INT(Skills!I7/Skills!H7+0.000000001),1)+IF(Skills!H7&gt;0,INT(MIN(Skills!I7,MAX(0,MAX(0,Inputs!$B$43-B2225)-((R2194-1)*(IF(Inputs!$B$38="pvp",15,MAX(0.1,Skills!D7-IF(TRUE=TRUE,Inputs!$B$32,0)))*(1-IF(AND(IF(ArtifactsInput!$M$27,FALSE,TRUE),Inputs!$B$4="Chapter Hunt"),CHOOSE(ArtifactsInput!$N$27+1,20,24,28,32,36,40),0)/100)))))/Skills!H7+0.000000001),1)))/Inputs!$B$43),G2194*Q2194))*IF(Inputs!$B$38="pvp",1,(1+(Inputs!$B$21+Skills!Q7+(IF(ArtifactsInput!$M$33,CHOOSE(ArtifactsInput!$N$33+1,30,36,42,48,54,60),0))+(IF(AND(ArtifactsInput!$M$35,Inputs!$B$4&lt;&gt;"Chapter Hunt"),CHOOSE(ArtifactsInput!$N$35+1,15,18,21,24,27,30)*(1-EXP(-(0.2*B2220)*5)),0)+IF(AND(ArtifactsInput!$M$22,Inputs!$B$4&lt;&gt;"Chapter Hunt"),CHOOSE(ArtifactsInput!$N$22+1,10,12,14,16,18,20)*((0*(((0.15*B2220*5))^0/1)+1*(((0.15*B2220*5))^1/1)+2*(((0.15*B2220*5))^2/2)+3*(((0.15*B2220*5))^3/6)+4*(((0.15*B2220*5))^4/24)+5*(((0.15*B2220*5))^5/120))/((((0.15*B2220*5))^0/1)+(((0.15*B2220*5))^1/1)+(((0.15*B2220*5))^2/2)+(((0.15*B2220*5))^3/6)+(((0.15*B2220*5))^4/24)+(((0.15*B2220*5))^5/120))),0))+IF(Inputs!$B$3&gt;=54,9*(C2190=TRUE)*MIN(1,8*(1+Inputs!$B$34/100)*Q2190)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95">
      <c r="A2195">
        <f>Skills!A8</f>
        <v/>
      </c>
      <c r="B2195">
        <f>Skills!B8</f>
        <v/>
      </c>
      <c r="C2195">
        <f>Inputs!$B$3&gt;=103</f>
        <v/>
      </c>
      <c r="D2195">
        <f>IF(Skills!C8=1,60+Inputs!$B$25+Inputs!$B$29,IF(Skills!C8=2,90+Inputs!$B$26+Inputs!$B$29,IF(Skills!C8=3,120+Inputs!$B$27+Inputs!$B$29,MAX(0,(Inputs!$B$3-100)*3)+Inputs!$B$28+Inputs!$B$29)))</f>
        <v/>
      </c>
      <c r="E2195">
        <f>INDEX(FactorTable!$B$2:$Y$301, MATCH(ROUND(MIN(300,MAX(1,D2195)),0), FactorTable!$A$2:$A$301,0), Skills!M8+1)</f>
        <v/>
      </c>
      <c r="F2195">
        <f>IF(Skills!N8=TRUE,(Skills!L8/10)*(E2195/1000),Skills!L8/10)+Skills!O8</f>
        <v/>
      </c>
      <c r="G2195">
        <f>Skills!G8*IF(Skills!H8&gt;0,INT(IF(Inputs!$B$38="pvp",MIN(Skills!I8,15),Skills!I8)/Skills!H8+0.000000001),1)</f>
        <v/>
      </c>
      <c r="H2195">
        <f>1-(1-Skills!J8/100)^Skills!K8</f>
        <v/>
      </c>
      <c r="I2195" t="inlineStr">
        <is>
          <t>1</t>
        </is>
      </c>
      <c r="J2195">
        <f>((Inputs!$B$6*(1+Inputs!$B$7/100))+(((Inputs!$B$12*(1+Inputs!$B$13/100))-(Inputs!$B$12*(1+Inputs!$B$13/100)))+0.25*(Inputs!$B$14-Inputs!$B$14))*(1+Inputs!$B$7/100))*(F2195/100)</f>
        <v/>
      </c>
      <c r="K2195">
        <f>J2195*(1+((Inputs!$B$12*(1+Inputs!$B$13/100))*0.01+Inputs!$B$14*0.0025)/100)*(1+Inputs!$B$15/100)*(1+Inputs!$B$16/100)*(5000/(6000+Inputs!$B$42*(1-(100*(1-(1-(Inputs!$B$19+0)/100)*(1-CHOOSE(ArtifactsInput!$N$40+1,5,6,7,8,9,10)/100)^(ArtifactsInput!$M$40-ArtifactsInput!$M$40)))/100)))*(1+(Inputs!$B$24+((C2213=TRUE)*(F2213-Calc!F26))+B2224)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IGHT_LEGS_EASTON",Inputs!$B$17+((C2210=TRUE)*(F2210-Calc!F23))+((C2214=TRUE)*(F2214-Calc!F27))+((IF(AND(Inputs!$B$38&lt;&gt;"pvp",Inputs!$B$43=0),1,IF(IF(Inputs!$B$38="pvp",15,Inputs!$B$43)-(B2225)&lt;=0,1,MAX(0,IF(Inputs!$B$38="pvp",15,Inputs!$B$43)-MAX(5,B2225))/(IF(Inputs!$B$38="pvp",15,Inputs!$B$43)-(B2225))))*(IF(AND(ArtifactsInput!$M$42,((Inputs!$B$9+((C2206=TRUE)*(F2206-Calc!F19))+B2218+(ArtifactsInput!$M$24-ArtifactsInput!$M$24)*CHOOSE(ArtifactsInput!$N$24+1,10,12,14,16,18,20)+IF(ArtifactsInput!$M$10,CHOOSE(ArtifactsInput!$N$10+1,15,18,21,24,27,30)*(IF(Inputs!$B$38="pvp",MIN(15,15)/15,IF(AND(Inputs!$B$38&lt;&gt;"pvp",Inputs!$B$43&gt;0),MIN(15,Inputs!$B$43)/(Inputs!$B$43),0))),0)))&gt;=100),MIN(100,((Inputs!$B$9+((C2206=TRUE)*(F2206-Calc!F19))+B2218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2225)&lt;=0,1,MAX(0,IF(Inputs!$B$38="pvp",15,Inputs!$B$43)-MAX(5,B2225))/(IF(Inputs!$B$38="pvp",15,Inputs!$B$43)-(B2225))))*IF(AND(ArtifactsInput!$M$42,((Inputs!$B$9+((C2206=TRUE)*(F2206-Calc!F19))+B2218+(ArtifactsInput!$M$24-ArtifactsInput!$M$24)*CHOOSE(ArtifactsInput!$N$24+1,10,12,14,16,18,20)+IF(ArtifactsInput!$M$10,CHOOSE(ArtifactsInput!$N$10+1,15,18,21,24,27,30)*(IF(Inputs!$B$38="pvp",MIN(15,15)/15,IF(AND(Inputs!$B$38&lt;&gt;"pvp",Inputs!$B$43&gt;0),MIN(15,Inputs!$B$43)/(Inputs!$B$43),0))),0)))&gt;=100),CHOOSE(ArtifactsInput!$N$42+1,40,48,56,64,72,80),0))))/100)*((1+(((C2204=TRUE)*F2204*5/7)+((C2211=TRUE)*(F2211-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2195)</f>
        <v/>
      </c>
      <c r="L2195">
        <f>K2195*(MIN(Inputs!$B$22+((C2209=TRUE)*(F2209-Calc!F22)),(Inputs!$B$23+0+(IF(ArtifactsInput!$M$15,CHOOSE(ArtifactsInput!$N$15+1,25,30,35,40,45,50)/100*(Inputs!$B$11-Inputs!$B$11),0))))/100+(Inputs!$B$23+0+(IF(ArtifactsInput!$M$15,CHOOSE(ArtifactsInput!$N$15+1,25,30,35,40,45,50)/100*(Inputs!$B$11-Inputs!$B$11),0)))/100)/2</f>
        <v/>
      </c>
      <c r="M2195">
        <f>L2195*(1+(Inputs!$B$10+((C2212=TRUE)*(F2212-Calc!F25))+B2223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95">
        <f>L2195*(1-MIN((Inputs!$B$9+((C2206=TRUE)*(F2206-Calc!F19))+B2218+(ArtifactsInput!$M$24-ArtifactsInput!$M$24)*CHOOSE(ArtifactsInput!$N$24+1,10,12,14,16,18,20)+(IF(AND(Inputs!$B$38&lt;&gt;"pvp",Inputs!$B$43=0),1,IF(IF(Inputs!$B$38="pvp",15,Inputs!$B$43)-(B2225)&lt;=0,1,MAX(0,IF(Inputs!$B$38="pvp",15,Inputs!$B$43)-MAX(5,B2225))/(IF(Inputs!$B$38="pvp",15,Inputs!$B$43)-(B2225))))*IF(AND(ArtifactsInput!$M$42,((Inputs!$B$9+((C2206=TRUE)*(F2206-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2195*(MIN((Inputs!$B$9+((C2206=TRUE)*(F2206-Calc!F19))+B2218+(ArtifactsInput!$M$24-ArtifactsInput!$M$24)*CHOOSE(ArtifactsInput!$N$24+1,10,12,14,16,18,20)+(IF(AND(Inputs!$B$38&lt;&gt;"pvp",Inputs!$B$43=0),1,IF(IF(Inputs!$B$38="pvp",15,Inputs!$B$43)-(B2225)&lt;=0,1,MAX(0,IF(Inputs!$B$38="pvp",15,Inputs!$B$43)-MAX(5,B2225))/(IF(Inputs!$B$38="pvp",15,Inputs!$B$43)-(B2225))))*IF(AND(ArtifactsInput!$M$42,((Inputs!$B$9+((C2206=TRUE)*(F2206-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95">
        <f>(1-Summary!$B$11)*T2195+Summary!$B$11*V2195</f>
        <v/>
      </c>
      <c r="P2195">
        <f>IF(B2228=0,0,O2195/B2228)</f>
        <v/>
      </c>
      <c r="Q2195">
        <f>IFERROR(1/((IF(Inputs!$B$38="pvp",15,MAX(0.1,Skills!D8-IF(TRUE=TRUE,Inputs!$B$32,0)))*(1-IF(AND(IF(ArtifactsInput!$M$27,FALSE,TRUE),Inputs!$B$4="Chapter Hunt"),CHOOSE(ArtifactsInput!$N$27+1,20,24,28,32,36,40),0)/100))/B2229),0)</f>
        <v/>
      </c>
      <c r="R2195">
        <f>IF(AND(Inputs!$B$38&lt;&gt;"pvp",Inputs!$B$43&gt;0),IF(MAX(0,Inputs!$B$43-B2225)&lt;=0,0,(INT(MAX(0,Inputs!$B$43-B2225)/((IF(Inputs!$B$38="pvp",15,MAX(0.1,Skills!D8-IF(TRUE=TRUE,Inputs!$B$32,0)))*(1-IF(AND(IF(ArtifactsInput!$M$27,FALSE,TRUE),Inputs!$B$4="Chapter Hunt"),CHOOSE(ArtifactsInput!$N$27+1,20,24,28,32,36,40),0)/100))/B2229))+1)),0)</f>
        <v/>
      </c>
      <c r="S2195">
        <f>IFERROR(O2195/N2195,0)</f>
        <v/>
      </c>
      <c r="T2195">
        <f>IF(C2195,(H2195*N2195*IF(AND(Inputs!$B$38&lt;&gt;"pvp",Inputs!$B$43&gt;0),((Skills!G8*((R2195-1)*IF(Skills!H8&gt;0,INT(Skills!I8/Skills!H8+0.000000001),1)+IF(Skills!H8&gt;0,INT(MIN(Skills!I8,MAX(0,MAX(0,Inputs!$B$43-B2225)-((R2195-1)*((IF(Inputs!$B$38="pvp",15,MAX(0.1,Skills!D8-IF(TRUE=TRUE,Inputs!$B$32,0)))*(1-IF(AND(IF(ArtifactsInput!$M$27,FALSE,TRUE),Inputs!$B$4="Chapter Hunt"),CHOOSE(ArtifactsInput!$N$27+1,20,24,28,32,36,40),0)/100))/B2229))))/Skills!H8+0.000000001),1)))/Inputs!$B$43),G2195*Q2195))*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Hunt"),CHOOSE(ArtifactsInput!$N$35+1,15,18,21,24,27,30)*(1-EXP(-(0.2*B2220)*5)),0)+IF(AND(ArtifactsInput!$M$22,Inputs!$B$4&lt;&gt;"Chapter Hunt"),CHOOSE(ArtifactsInput!$N$22+1,10,12,14,16,18,20)*((0*(((0.15*B2220*5))^0/1)+1*(((0.15*B2220*5))^1/1)+2*(((0.15*B2220*5))^2/2)+3*(((0.15*B2220*5))^3/6)+4*(((0.15*B2220*5))^4/24)+5*(((0.15*B2220*5))^5/120))/((((0.15*B2220*5))^0/1)+(((0.15*B2220*5))^1/1)+(((0.15*B2220*5))^2/2)+(((0.15*B2220*5))^3/6)+(((0.15*B2220*5))^4/24)+(((0.15*B2220*5))^5/120))),0))+IF(Inputs!$B$3&gt;=54,9*(C2190=TRUE)*MIN(1,8*(1+Inputs!$B$34/100)*Q2190)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2195*(1-MIN(100,(Inputs!$B$9+((C2206=TRUE)*(F2206-Calc!F19))+B2218+(ArtifactsInput!$M$24-ArtifactsInput!$M$24)*CHOOSE(ArtifactsInput!$N$24+1,10,12,14,16,18,20)+(IF(AND(Inputs!$B$38&lt;&gt;"pvp",Inputs!$B$43=0),1,IF(IF(Inputs!$B$38="pvp",15,Inputs!$B$43)-(B2225)&lt;=0,1,MAX(0,IF(Inputs!$B$38="pvp",15,Inputs!$B$43)-MAX(5,B2225))/(IF(Inputs!$B$38="pvp",15,Inputs!$B$43)-(B2225))))*IF(AND(ArtifactsInput!$M$42,((Inputs!$B$9+((C2206=TRUE)*(F2206-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2195*(MIN(100,(Inputs!$B$9+((C2206=TRUE)*(F2206-Calc!F19))+B2218+(ArtifactsInput!$M$24-ArtifactsInput!$M$24)*CHOOSE(ArtifactsInput!$N$24+1,10,12,14,16,18,20)+(IF(AND(Inputs!$B$38&lt;&gt;"pvp",Inputs!$B$43=0),1,IF(IF(Inputs!$B$38="pvp",15,Inputs!$B$43)-(B2225)&lt;=0,1,MAX(0,IF(Inputs!$B$38="pvp",15,Inputs!$B$43)-MAX(5,B2225))/(IF(Inputs!$B$38="pvp",15,Inputs!$B$43)-(B2225))))*IF(AND(ArtifactsInput!$M$42,((Inputs!$B$9+((C2206=TRUE)*(F2206-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2195*(1-MIN(100,(Inputs!$B$9+((C2206=TRUE)*(F2206-Calc!F19))+B2218+(ArtifactsInput!$M$24-ArtifactsInput!$M$24)*CHOOSE(ArtifactsInput!$N$24+1,10,12,14,16,18,20)+(IF(AND(Inputs!$B$38&lt;&gt;"pvp",Inputs!$B$43=0),1,IF(IF(Inputs!$B$38="pvp",15,Inputs!$B$43)-(B2225)&lt;=0,1,MAX(0,IF(Inputs!$B$38="pvp",15,Inputs!$B$43)-MAX(5,B2225))/(IF(Inputs!$B$38="pvp",15,Inputs!$B$43)-(B2225))))*IF(AND(ArtifactsInput!$M$42,((Inputs!$B$9+((C2206=TRUE)*(F2206-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2195*(MIN(100,(Inputs!$B$9+((C2206=TRUE)*(F2206-Calc!F19))+B2218+(ArtifactsInput!$M$24-ArtifactsInput!$M$24)*CHOOSE(ArtifactsInput!$N$24+1,10,12,14,16,18,20)+(IF(AND(Inputs!$B$38&lt;&gt;"pvp",Inputs!$B$43=0),1,IF(IF(Inputs!$B$38="pvp",15,Inputs!$B$43)-(B2225)&lt;=0,1,MAX(0,IF(Inputs!$B$38="pvp",15,Inputs!$B$43)-MAX(5,B2225))/(IF(Inputs!$B$38="pvp",15,Inputs!$B$43)-(B2225))))*IF(AND(ArtifactsInput!$M$42,((Inputs!$B$9+((C2206=TRUE)*(F2206-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95">
        <f>IF(C2195,(H2195*N2195*IF(AND(Inputs!$B$38&lt;&gt;"pvp",Inputs!$B$43&gt;0),((Skills!G8*((R2195-1)*IF(Skills!H8&gt;0,INT(Skills!I8/Skills!H8+0.000000001),1)+IF(Skills!H8&gt;0,INT(MIN(Skills!I8,MAX(0,MAX(0,Inputs!$B$43-B2225)-((R2195-1)*((IF(Inputs!$B$38="pvp",15,MAX(0.1,Skills!D8-IF(TRUE=TRUE,Inputs!$B$32,0)))*(1-IF(AND(IF(ArtifactsInput!$M$27,FALSE,TRUE),Inputs!$B$4="Chapter Hunt"),CHOOSE(ArtifactsInput!$N$27+1,20,24,28,32,36,40),0)/100))/B2229))))/Skills!H8+0.000000001),1)))/Inputs!$B$43),G2195*Q2195))*IF(Inputs!$B$38="pvp",1,(1+(Inputs!$B$21+Skills!Q8+(IF(ArtifactsInput!$M$33,CHOOSE(ArtifactsInput!$N$33+1,30,36,42,48,54,60),0))+(IF(AND(ArtifactsInput!$M$35,Inputs!$B$4&lt;&gt;"Chapter Hunt"),CHOOSE(ArtifactsInput!$N$35+1,15,18,21,24,27,30)*(1-EXP(-(0.2*B2220)*5)),0)+IF(AND(ArtifactsInput!$M$22,Inputs!$B$4&lt;&gt;"Chapter Hunt"),CHOOSE(ArtifactsInput!$N$22+1,10,12,14,16,18,20)*((0*(((0.15*B2220*5))^0/1)+1*(((0.15*B2220*5))^1/1)+2*(((0.15*B2220*5))^2/2)+3*(((0.15*B2220*5))^3/6)+4*(((0.15*B2220*5))^4/24)+5*(((0.15*B2220*5))^5/120))/((((0.15*B2220*5))^0/1)+(((0.15*B2220*5))^1/1)+(((0.15*B2220*5))^2/2)+(((0.15*B2220*5))^3/6)+(((0.15*B2220*5))^4/24)+(((0.15*B2220*5))^5/120))),0))+IF(Inputs!$B$3&gt;=54,9*(C2190=TRUE)*MIN(1,8*(1+Inputs!$B$34/100)*Q2190)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96">
      <c r="A2196">
        <f>Skills!A9</f>
        <v/>
      </c>
      <c r="B2196">
        <f>Skills!B9</f>
        <v/>
      </c>
      <c r="C2196">
        <f>Inputs!$B$3&gt;=105</f>
        <v/>
      </c>
      <c r="D2196">
        <f>IF(Skills!C9=1,60+Inputs!$B$25+Inputs!$B$29,IF(Skills!C9=2,90+Inputs!$B$26+Inputs!$B$29,IF(Skills!C9=3,120+Inputs!$B$27+Inputs!$B$29,MAX(0,(Inputs!$B$3-100)*3)+Inputs!$B$28+Inputs!$B$29)))</f>
        <v/>
      </c>
      <c r="E2196">
        <f>INDEX(FactorTable!$B$2:$Y$301, MATCH(ROUND(MIN(300,MAX(1,D2196)),0), FactorTable!$A$2:$A$301,0), Skills!M9+1)</f>
        <v/>
      </c>
      <c r="F2196">
        <f>IF(Skills!N9=TRUE,(Skills!L9/10)*(E2196/1000),Skills!L9/10)+Skills!O9</f>
        <v/>
      </c>
      <c r="G2196">
        <f>Skills!G9*IF(Skills!H9&gt;0,INT(IF(Inputs!$B$38="pvp",MIN(Skills!I9,15),Skills!I9)/Skills!H9+0.000000001),1)</f>
        <v/>
      </c>
      <c r="H2196">
        <f>1-(1-Skills!J9/100)^Skills!K9</f>
        <v/>
      </c>
      <c r="I2196" t="inlineStr">
        <is>
          <t>1</t>
        </is>
      </c>
      <c r="J2196">
        <f>((Inputs!$B$6*(1+Inputs!$B$7/100))+(((Inputs!$B$12*(1+Inputs!$B$13/100))-(Inputs!$B$12*(1+Inputs!$B$13/100)))+0.25*(Inputs!$B$14-Inputs!$B$14))*(1+Inputs!$B$7/100))*(F2196/100)</f>
        <v/>
      </c>
      <c r="K2196">
        <f>J2196*(1+((Inputs!$B$12*(1+Inputs!$B$13/100))*0.01+Inputs!$B$14*0.0025)/100)*(1+Inputs!$B$15/100)*(1+Inputs!$B$16/100)*(5000/(6000+Inputs!$B$42*(1-(100*(1-(1-(Inputs!$B$19+0)/100)*(1-CHOOSE(ArtifactsInput!$N$40+1,5,6,7,8,9,10)/100)^(ArtifactsInput!$M$40-ArtifactsInput!$M$40)))/100)))*(1+(Inputs!$B$24+((C2213=TRUE)*(F2213-Calc!F26))+B2224)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IGHT_LEGS_EASTON",Inputs!$B$17+((C2210=TRUE)*(F2210-Calc!F23))+((C2214=TRUE)*(F2214-Calc!F27))+((IF(AND(Inputs!$B$38&lt;&gt;"pvp",Inputs!$B$43=0),1,IF(IF(Inputs!$B$38="pvp",15,Inputs!$B$43)-(B2225)&lt;=0,1,MAX(0,IF(Inputs!$B$38="pvp",15,Inputs!$B$43)-MAX(5,B2225))/(IF(Inputs!$B$38="pvp",15,Inputs!$B$43)-(B2225))))*(IF(AND(ArtifactsInput!$M$42,((Inputs!$B$9+((C2206=TRUE)*(F2206-Calc!F19))+B2218+(ArtifactsInput!$M$24-ArtifactsInput!$M$24)*CHOOSE(ArtifactsInput!$N$24+1,10,12,14,16,18,20)+IF(ArtifactsInput!$M$10,CHOOSE(ArtifactsInput!$N$10+1,15,18,21,24,27,30)*(IF(Inputs!$B$38="pvp",MIN(15,15)/15,IF(AND(Inputs!$B$38&lt;&gt;"pvp",Inputs!$B$43&gt;0),MIN(15,Inputs!$B$43)/(Inputs!$B$43),0))),0)))&gt;=100),MIN(100,((Inputs!$B$9+((C2206=TRUE)*(F2206-Calc!F19))+B2218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2225)&lt;=0,1,MAX(0,IF(Inputs!$B$38="pvp",15,Inputs!$B$43)-MAX(5,B2225))/(IF(Inputs!$B$38="pvp",15,Inputs!$B$43)-(B2225))))*IF(AND(ArtifactsInput!$M$42,((Inputs!$B$9+((C2206=TRUE)*(F2206-Calc!F19))+B2218+(ArtifactsInput!$M$24-ArtifactsInput!$M$24)*CHOOSE(ArtifactsInput!$N$24+1,10,12,14,16,18,20)+IF(ArtifactsInput!$M$10,CHOOSE(ArtifactsInput!$N$10+1,15,18,21,24,27,30)*(IF(Inputs!$B$38="pvp",MIN(15,15)/15,IF(AND(Inputs!$B$38&lt;&gt;"pvp",Inputs!$B$43&gt;0),MIN(15,Inputs!$B$43)/(Inputs!$B$43),0))),0)))&gt;=100),CHOOSE(ArtifactsInput!$N$42+1,40,48,56,64,72,80),0))))/100)*((1+(((C2204=TRUE)*F2204*5/7)+((C2211=TRUE)*(F2211-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2196)</f>
        <v/>
      </c>
      <c r="L2196">
        <f>K2196*(MIN(Inputs!$B$22+((C2209=TRUE)*(F2209-Calc!F22)),(Inputs!$B$23+0+(IF(ArtifactsInput!$M$15,CHOOSE(ArtifactsInput!$N$15+1,25,30,35,40,45,50)/100*(Inputs!$B$11-Inputs!$B$11),0))))/100+(Inputs!$B$23+0+(IF(ArtifactsInput!$M$15,CHOOSE(ArtifactsInput!$N$15+1,25,30,35,40,45,50)/100*(Inputs!$B$11-Inputs!$B$11),0)))/100)/2</f>
        <v/>
      </c>
      <c r="M2196">
        <f>L2196*(1+(Inputs!$B$10+((C2212=TRUE)*(F2212-Calc!F25))+B2223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96">
        <f>L2196*(1-MIN((Inputs!$B$9+((C2206=TRUE)*(F2206-Calc!F19))+B2218+(ArtifactsInput!$M$24-ArtifactsInput!$M$24)*CHOOSE(ArtifactsInput!$N$24+1,10,12,14,16,18,20)+(IF(AND(Inputs!$B$38&lt;&gt;"pvp",Inputs!$B$43=0),1,IF(IF(Inputs!$B$38="pvp",15,Inputs!$B$43)-(B2225)&lt;=0,1,MAX(0,IF(Inputs!$B$38="pvp",15,Inputs!$B$43)-MAX(5,B2225))/(IF(Inputs!$B$38="pvp",15,Inputs!$B$43)-(B2225))))*IF(AND(ArtifactsInput!$M$42,((Inputs!$B$9+((C2206=TRUE)*(F2206-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2196*(MIN((Inputs!$B$9+((C2206=TRUE)*(F2206-Calc!F19))+B2218+(ArtifactsInput!$M$24-ArtifactsInput!$M$24)*CHOOSE(ArtifactsInput!$N$24+1,10,12,14,16,18,20)+(IF(AND(Inputs!$B$38&lt;&gt;"pvp",Inputs!$B$43=0),1,IF(IF(Inputs!$B$38="pvp",15,Inputs!$B$43)-(B2225)&lt;=0,1,MAX(0,IF(Inputs!$B$38="pvp",15,Inputs!$B$43)-MAX(5,B2225))/(IF(Inputs!$B$38="pvp",15,Inputs!$B$43)-(B2225))))*IF(AND(ArtifactsInput!$M$42,((Inputs!$B$9+((C2206=TRUE)*(F2206-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96">
        <f>(1-Summary!$B$11)*T2196+Summary!$B$11*V2196</f>
        <v/>
      </c>
      <c r="P2196">
        <f>IF(B2228=0,0,O2196/B2228)</f>
        <v/>
      </c>
      <c r="Q2196">
        <f>IFERROR(1/(IF(Inputs!$B$38="pvp",15,MAX(0.1,Skills!D9-IF(TRUE=TRUE,Inputs!$B$32,0)))*(1-IF(AND(IF(ArtifactsInput!$M$27,FALSE,TRUE),Inputs!$B$4="Chapter Hunt"),CHOOSE(ArtifactsInput!$N$27+1,20,24,28,32,36,40),0)/100)),0)</f>
        <v/>
      </c>
      <c r="R2196">
        <f>IF(AND(Inputs!$B$38&lt;&gt;"pvp",Inputs!$B$43&gt;0),IF(MAX(0,Inputs!$B$43-B2225)&lt;=0,0,(INT(MAX(0,Inputs!$B$43-B2225)/(IF(Inputs!$B$38="pvp",15,MAX(0.1,Skills!D9-IF(TRUE=TRUE,Inputs!$B$32,0)))*(1-IF(AND(IF(ArtifactsInput!$M$27,FALSE,TRUE),Inputs!$B$4="Chapter Hunt"),CHOOSE(ArtifactsInput!$N$27+1,20,24,28,32,36,40),0)/100)))+1)),0)</f>
        <v/>
      </c>
      <c r="S2196">
        <f>IFERROR(O2196/N2196,0)</f>
        <v/>
      </c>
      <c r="T2196">
        <f>IF(C2196,(H2196*N2196*IF(AND(Inputs!$B$38&lt;&gt;"pvp",Inputs!$B$43&gt;0),((Skills!G9*((R2196-1)*IF(Skills!H9&gt;0,INT(Skills!I9/Skills!H9+0.000000001),1)+IF(Skills!H9&gt;0,INT(MIN(Skills!I9,MAX(0,MAX(0,Inputs!$B$43-B2225)-((R2196-1)*(IF(Inputs!$B$38="pvp",15,MAX(0.1,Skills!D9-IF(TRUE=TRUE,Inputs!$B$32,0)))*(1-IF(AND(IF(ArtifactsInput!$M$27,FALSE,TRUE),Inputs!$B$4="Chapter Hunt"),CHOOSE(ArtifactsInput!$N$27+1,20,24,28,32,36,40),0)/100)))))/Skills!H9+0.000000001),1)))/Inputs!$B$43),G2196*Q2196))*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Hunt"),CHOOSE(ArtifactsInput!$N$35+1,15,18,21,24,27,30)*(1-EXP(-(0.2*B2220)*5)),0)+IF(AND(ArtifactsInput!$M$22,Inputs!$B$4&lt;&gt;"Chapter Hunt"),CHOOSE(ArtifactsInput!$N$22+1,10,12,14,16,18,20)*((0*(((0.15*B2220*5))^0/1)+1*(((0.15*B2220*5))^1/1)+2*(((0.15*B2220*5))^2/2)+3*(((0.15*B2220*5))^3/6)+4*(((0.15*B2220*5))^4/24)+5*(((0.15*B2220*5))^5/120))/((((0.15*B2220*5))^0/1)+(((0.15*B2220*5))^1/1)+(((0.15*B2220*5))^2/2)+(((0.15*B2220*5))^3/6)+(((0.15*B2220*5))^4/24)+(((0.15*B2220*5))^5/120))),0))+IF(Inputs!$B$3&gt;=54,9*(C2190=TRUE)*MIN(1,8*(1+Inputs!$B$34/100)*Q2190)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2196*(1-MIN(100,(Inputs!$B$9+((C2206=TRUE)*(F2206-Calc!F19))+B2218+(ArtifactsInput!$M$24-ArtifactsInput!$M$24)*CHOOSE(ArtifactsInput!$N$24+1,10,12,14,16,18,20)+(IF(AND(Inputs!$B$38&lt;&gt;"pvp",Inputs!$B$43=0),1,IF(IF(Inputs!$B$38="pvp",15,Inputs!$B$43)-(B2225)&lt;=0,1,MAX(0,IF(Inputs!$B$38="pvp",15,Inputs!$B$43)-MAX(5,B2225))/(IF(Inputs!$B$38="pvp",15,Inputs!$B$43)-(B2225))))*IF(AND(ArtifactsInput!$M$42,((Inputs!$B$9+((C2206=TRUE)*(F2206-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2196*(MIN(100,(Inputs!$B$9+((C2206=TRUE)*(F2206-Calc!F19))+B2218+(ArtifactsInput!$M$24-ArtifactsInput!$M$24)*CHOOSE(ArtifactsInput!$N$24+1,10,12,14,16,18,20)+(IF(AND(Inputs!$B$38&lt;&gt;"pvp",Inputs!$B$43=0),1,IF(IF(Inputs!$B$38="pvp",15,Inputs!$B$43)-(B2225)&lt;=0,1,MAX(0,IF(Inputs!$B$38="pvp",15,Inputs!$B$43)-MAX(5,B2225))/(IF(Inputs!$B$38="pvp",15,Inputs!$B$43)-(B2225))))*IF(AND(ArtifactsInput!$M$42,((Inputs!$B$9+((C2206=TRUE)*(F2206-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2196*(1-MIN(100,(Inputs!$B$9+((C2206=TRUE)*(F2206-Calc!F19))+B2218+(ArtifactsInput!$M$24-ArtifactsInput!$M$24)*CHOOSE(ArtifactsInput!$N$24+1,10,12,14,16,18,20)+(IF(AND(Inputs!$B$38&lt;&gt;"pvp",Inputs!$B$43=0),1,IF(IF(Inputs!$B$38="pvp",15,Inputs!$B$43)-(B2225)&lt;=0,1,MAX(0,IF(Inputs!$B$38="pvp",15,Inputs!$B$43)-MAX(5,B2225))/(IF(Inputs!$B$38="pvp",15,Inputs!$B$43)-(B2225))))*IF(AND(ArtifactsInput!$M$42,((Inputs!$B$9+((C2206=TRUE)*(F2206-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2196*(MIN(100,(Inputs!$B$9+((C2206=TRUE)*(F2206-Calc!F19))+B2218+(ArtifactsInput!$M$24-ArtifactsInput!$M$24)*CHOOSE(ArtifactsInput!$N$24+1,10,12,14,16,18,20)+(IF(AND(Inputs!$B$38&lt;&gt;"pvp",Inputs!$B$43=0),1,IF(IF(Inputs!$B$38="pvp",15,Inputs!$B$43)-(B2225)&lt;=0,1,MAX(0,IF(Inputs!$B$38="pvp",15,Inputs!$B$43)-MAX(5,B2225))/(IF(Inputs!$B$38="pvp",15,Inputs!$B$43)-(B2225))))*IF(AND(ArtifactsInput!$M$42,((Inputs!$B$9+((C2206=TRUE)*(F2206-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96">
        <f>IF(C2196,(H2196*N2196*IF(AND(Inputs!$B$38&lt;&gt;"pvp",Inputs!$B$43&gt;0),((Skills!G9*((R2196-1)*IF(Skills!H9&gt;0,INT(Skills!I9/Skills!H9+0.000000001),1)+IF(Skills!H9&gt;0,INT(MIN(Skills!I9,MAX(0,MAX(0,Inputs!$B$43-B2225)-((R2196-1)*(IF(Inputs!$B$38="pvp",15,MAX(0.1,Skills!D9-IF(TRUE=TRUE,Inputs!$B$32,0)))*(1-IF(AND(IF(ArtifactsInput!$M$27,FALSE,TRUE),Inputs!$B$4="Chapter Hunt"),CHOOSE(ArtifactsInput!$N$27+1,20,24,28,32,36,40),0)/100)))))/Skills!H9+0.000000001),1)))/Inputs!$B$43),G2196*Q2196))*IF(Inputs!$B$38="pvp",1,(1+(Inputs!$B$21+Skills!Q9+(IF(ArtifactsInput!$M$33,CHOOSE(ArtifactsInput!$N$33+1,30,36,42,48,54,60),0))+(IF(AND(ArtifactsInput!$M$35,Inputs!$B$4&lt;&gt;"Chapter Hunt"),CHOOSE(ArtifactsInput!$N$35+1,15,18,21,24,27,30)*(1-EXP(-(0.2*B2220)*5)),0)+IF(AND(ArtifactsInput!$M$22,Inputs!$B$4&lt;&gt;"Chapter Hunt"),CHOOSE(ArtifactsInput!$N$22+1,10,12,14,16,18,20)*((0*(((0.15*B2220*5))^0/1)+1*(((0.15*B2220*5))^1/1)+2*(((0.15*B2220*5))^2/2)+3*(((0.15*B2220*5))^3/6)+4*(((0.15*B2220*5))^4/24)+5*(((0.15*B2220*5))^5/120))/((((0.15*B2220*5))^0/1)+(((0.15*B2220*5))^1/1)+(((0.15*B2220*5))^2/2)+(((0.15*B2220*5))^3/6)+(((0.15*B2220*5))^4/24)+(((0.15*B2220*5))^5/120))),0))+IF(Inputs!$B$3&gt;=54,9*(C2190=TRUE)*MIN(1,8*(1+Inputs!$B$34/100)*Q2190)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97">
      <c r="A2197">
        <f>Skills!A10</f>
        <v/>
      </c>
      <c r="B2197">
        <f>Skills!B10</f>
        <v/>
      </c>
      <c r="C2197">
        <f>Inputs!$B$3&gt;=113</f>
        <v/>
      </c>
      <c r="D2197">
        <f>IF(Skills!C10=1,60+Inputs!$B$25+Inputs!$B$29,IF(Skills!C10=2,90+Inputs!$B$26+Inputs!$B$29,IF(Skills!C10=3,120+Inputs!$B$27+Inputs!$B$29,MAX(0,(Inputs!$B$3-100)*3)+Inputs!$B$28+Inputs!$B$29)))</f>
        <v/>
      </c>
      <c r="E2197">
        <f>INDEX(FactorTable!$B$2:$Y$301, MATCH(ROUND(MIN(300,MAX(1,D2197)),0), FactorTable!$A$2:$A$301,0), Skills!M10+1)</f>
        <v/>
      </c>
      <c r="F2197">
        <f>IF(Skills!N10=TRUE,(Skills!L10/10)*(E2197/1000),Skills!L10/10)+Skills!O10</f>
        <v/>
      </c>
      <c r="G2197">
        <f>Skills!G10*IF(Skills!H10&gt;0,INT(IF(Inputs!$B$38="pvp",MIN(Skills!I10,15),Skills!I10)/Skills!H10+0.000000001),1)</f>
        <v/>
      </c>
      <c r="H2197">
        <f>1-(1-Skills!J10/100)^Skills!K10</f>
        <v/>
      </c>
      <c r="I2197" t="inlineStr">
        <is>
          <t>1</t>
        </is>
      </c>
      <c r="J2197">
        <f>((Inputs!$B$6*(1+Inputs!$B$7/100))+(((Inputs!$B$12*(1+Inputs!$B$13/100))-(Inputs!$B$12*(1+Inputs!$B$13/100)))+0.25*(Inputs!$B$14-Inputs!$B$14))*(1+Inputs!$B$7/100))*(F2197/100)</f>
        <v/>
      </c>
      <c r="K2197">
        <f>J2197*(1+((Inputs!$B$12*(1+Inputs!$B$13/100))*0.01+Inputs!$B$14*0.0025)/100)*(1+Inputs!$B$15/100)*(1+Inputs!$B$16/100)*(5000/(6000+Inputs!$B$42*(1-(100*(1-(1-(Inputs!$B$19+0)/100)*(1-CHOOSE(ArtifactsInput!$N$40+1,5,6,7,8,9,10)/100)^(ArtifactsInput!$M$40-ArtifactsInput!$M$40)))/100)))*(1+(Inputs!$B$24+((C2213=TRUE)*(F2213-Calc!F26))+B2224)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IGHT_LEGS_EASTON",Inputs!$B$17+((C2210=TRUE)*(F2210-Calc!F23))+((C2214=TRUE)*(F2214-Calc!F27))+((IF(AND(Inputs!$B$38&lt;&gt;"pvp",Inputs!$B$43=0),1,IF(IF(Inputs!$B$38="pvp",15,Inputs!$B$43)-(B2225)&lt;=0,1,MAX(0,IF(Inputs!$B$38="pvp",15,Inputs!$B$43)-MAX(5,B2225))/(IF(Inputs!$B$38="pvp",15,Inputs!$B$43)-(B2225))))*(IF(AND(ArtifactsInput!$M$42,((Inputs!$B$9+((C2206=TRUE)*(F2206-Calc!F19))+B2218+(ArtifactsInput!$M$24-ArtifactsInput!$M$24)*CHOOSE(ArtifactsInput!$N$24+1,10,12,14,16,18,20)+IF(ArtifactsInput!$M$10,CHOOSE(ArtifactsInput!$N$10+1,15,18,21,24,27,30)*(IF(Inputs!$B$38="pvp",MIN(15,15)/15,IF(AND(Inputs!$B$38&lt;&gt;"pvp",Inputs!$B$43&gt;0),MIN(15,Inputs!$B$43)/(Inputs!$B$43),0))),0)))&gt;=100),MIN(100,((Inputs!$B$9+((C2206=TRUE)*(F2206-Calc!F19))+B2218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2225)&lt;=0,1,MAX(0,IF(Inputs!$B$38="pvp",15,Inputs!$B$43)-MAX(5,B2225))/(IF(Inputs!$B$38="pvp",15,Inputs!$B$43)-(B2225))))*IF(AND(ArtifactsInput!$M$42,((Inputs!$B$9+((C2206=TRUE)*(F2206-Calc!F19))+B2218+(ArtifactsInput!$M$24-ArtifactsInput!$M$24)*CHOOSE(ArtifactsInput!$N$24+1,10,12,14,16,18,20)+IF(ArtifactsInput!$M$10,CHOOSE(ArtifactsInput!$N$10+1,15,18,21,24,27,30)*(IF(Inputs!$B$38="pvp",MIN(15,15)/15,IF(AND(Inputs!$B$38&lt;&gt;"pvp",Inputs!$B$43&gt;0),MIN(15,Inputs!$B$43)/(Inputs!$B$43),0))),0)))&gt;=100),CHOOSE(ArtifactsInput!$N$42+1,40,48,56,64,72,80),0))))/100)*((1+(((C2204=TRUE)*F2204*5/7)+((C2211=TRUE)*(F2211-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2197)</f>
        <v/>
      </c>
      <c r="L2197">
        <f>K2197*(MIN(Inputs!$B$22+((C2209=TRUE)*(F2209-Calc!F22)),(Inputs!$B$23+0+(IF(ArtifactsInput!$M$15,CHOOSE(ArtifactsInput!$N$15+1,25,30,35,40,45,50)/100*(Inputs!$B$11-Inputs!$B$11),0))))/100+(Inputs!$B$23+0+(IF(ArtifactsInput!$M$15,CHOOSE(ArtifactsInput!$N$15+1,25,30,35,40,45,50)/100*(Inputs!$B$11-Inputs!$B$11),0)))/100)/2</f>
        <v/>
      </c>
      <c r="M2197">
        <f>L2197*(1+(Inputs!$B$10+((C2212=TRUE)*(F2212-Calc!F25))+B2223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97">
        <f>L2197*(1-MIN((Inputs!$B$9+((C2206=TRUE)*(F2206-Calc!F19))+B2218+(ArtifactsInput!$M$24-ArtifactsInput!$M$24)*CHOOSE(ArtifactsInput!$N$24+1,10,12,14,16,18,20)+(IF(AND(Inputs!$B$38&lt;&gt;"pvp",Inputs!$B$43=0),1,IF(IF(Inputs!$B$38="pvp",15,Inputs!$B$43)-(B2225)&lt;=0,1,MAX(0,IF(Inputs!$B$38="pvp",15,Inputs!$B$43)-MAX(5,B2225))/(IF(Inputs!$B$38="pvp",15,Inputs!$B$43)-(B2225))))*IF(AND(ArtifactsInput!$M$42,((Inputs!$B$9+((C2206=TRUE)*(F2206-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2197*(MIN((Inputs!$B$9+((C2206=TRUE)*(F2206-Calc!F19))+B2218+(ArtifactsInput!$M$24-ArtifactsInput!$M$24)*CHOOSE(ArtifactsInput!$N$24+1,10,12,14,16,18,20)+(IF(AND(Inputs!$B$38&lt;&gt;"pvp",Inputs!$B$43=0),1,IF(IF(Inputs!$B$38="pvp",15,Inputs!$B$43)-(B2225)&lt;=0,1,MAX(0,IF(Inputs!$B$38="pvp",15,Inputs!$B$43)-MAX(5,B2225))/(IF(Inputs!$B$38="pvp",15,Inputs!$B$43)-(B2225))))*IF(AND(ArtifactsInput!$M$42,((Inputs!$B$9+((C2206=TRUE)*(F2206-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97">
        <f>(1-Summary!$B$11)*T2197+Summary!$B$11*V2197</f>
        <v/>
      </c>
      <c r="P2197">
        <f>IF(B2228=0,0,O2197/B2228)</f>
        <v/>
      </c>
      <c r="Q2197" t="n">
        <v>0</v>
      </c>
      <c r="R2197" t="n">
        <v>0</v>
      </c>
      <c r="S2197">
        <f>IFERROR(O2197/N2197,0)</f>
        <v/>
      </c>
      <c r="T2197">
        <f>IF(C2197,((H2197*B2230)/(1+Skills!H10*H2197*B2230)*N2197)*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Hunt"),CHOOSE(ArtifactsInput!$N$35+1,15,18,21,24,27,30)*(1-EXP(-(0.2*B2220)*5)),0)+IF(AND(ArtifactsInput!$M$22,Inputs!$B$4&lt;&gt;"Chapter Hunt"),CHOOSE(ArtifactsInput!$N$22+1,10,12,14,16,18,20)*((0*(((0.15*B2220*5))^0/1)+1*(((0.15*B2220*5))^1/1)+2*(((0.15*B2220*5))^2/2)+3*(((0.15*B2220*5))^3/6)+4*(((0.15*B2220*5))^4/24)+5*(((0.15*B2220*5))^5/120))/((((0.15*B2220*5))^0/1)+(((0.15*B2220*5))^1/1)+(((0.15*B2220*5))^2/2)+(((0.15*B2220*5))^3/6)+(((0.15*B2220*5))^4/24)+(((0.15*B2220*5))^5/120))),0))+IF(Inputs!$B$3&gt;=54,9*(C2190=TRUE)*MIN(1,8*(1+Inputs!$B$34/100)*Q2190)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2197*(1-MIN(100,(Inputs!$B$9+((C2206=TRUE)*(F2206-Calc!F19))+B2218+(ArtifactsInput!$M$24-ArtifactsInput!$M$24)*CHOOSE(ArtifactsInput!$N$24+1,10,12,14,16,18,20)+(IF(AND(Inputs!$B$38&lt;&gt;"pvp",Inputs!$B$43=0),1,IF(IF(Inputs!$B$38="pvp",15,Inputs!$B$43)-(B2225)&lt;=0,1,MAX(0,IF(Inputs!$B$38="pvp",15,Inputs!$B$43)-MAX(5,B2225))/(IF(Inputs!$B$38="pvp",15,Inputs!$B$43)-(B2225))))*IF(AND(ArtifactsInput!$M$42,((Inputs!$B$9+((C2206=TRUE)*(F2206-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2197*(MIN(100,(Inputs!$B$9+((C2206=TRUE)*(F2206-Calc!F19))+B2218+(ArtifactsInput!$M$24-ArtifactsInput!$M$24)*CHOOSE(ArtifactsInput!$N$24+1,10,12,14,16,18,20)+(IF(AND(Inputs!$B$38&lt;&gt;"pvp",Inputs!$B$43=0),1,IF(IF(Inputs!$B$38="pvp",15,Inputs!$B$43)-(B2225)&lt;=0,1,MAX(0,IF(Inputs!$B$38="pvp",15,Inputs!$B$43)-MAX(5,B2225))/(IF(Inputs!$B$38="pvp",15,Inputs!$B$43)-(B2225))))*IF(AND(ArtifactsInput!$M$42,((Inputs!$B$9+((C2206=TRUE)*(F2206-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2197*(1-MIN(100,(Inputs!$B$9+((C2206=TRUE)*(F2206-Calc!F19))+B2218+(ArtifactsInput!$M$24-ArtifactsInput!$M$24)*CHOOSE(ArtifactsInput!$N$24+1,10,12,14,16,18,20)+(IF(AND(Inputs!$B$38&lt;&gt;"pvp",Inputs!$B$43=0),1,IF(IF(Inputs!$B$38="pvp",15,Inputs!$B$43)-(B2225)&lt;=0,1,MAX(0,IF(Inputs!$B$38="pvp",15,Inputs!$B$43)-MAX(5,B2225))/(IF(Inputs!$B$38="pvp",15,Inputs!$B$43)-(B2225))))*IF(AND(ArtifactsInput!$M$42,((Inputs!$B$9+((C2206=TRUE)*(F2206-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2197*(MIN(100,(Inputs!$B$9+((C2206=TRUE)*(F2206-Calc!F19))+B2218+(ArtifactsInput!$M$24-ArtifactsInput!$M$24)*CHOOSE(ArtifactsInput!$N$24+1,10,12,14,16,18,20)+(IF(AND(Inputs!$B$38&lt;&gt;"pvp",Inputs!$B$43=0),1,IF(IF(Inputs!$B$38="pvp",15,Inputs!$B$43)-(B2225)&lt;=0,1,MAX(0,IF(Inputs!$B$38="pvp",15,Inputs!$B$43)-MAX(5,B2225))/(IF(Inputs!$B$38="pvp",15,Inputs!$B$43)-(B2225))))*IF(AND(ArtifactsInput!$M$42,((Inputs!$B$9+((C2206=TRUE)*(F2206-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97">
        <f>IF(C2197,((H2197*B2230)/(1+Skills!H10*H2197*B2230)*N2197)*IF(Inputs!$B$38="pvp",1,(1+(Inputs!$B$21+Skills!Q10+(IF(ArtifactsInput!$M$33,CHOOSE(ArtifactsInput!$N$33+1,30,36,42,48,54,60),0))+(IF(AND(ArtifactsInput!$M$35,Inputs!$B$4&lt;&gt;"Chapter Hunt"),CHOOSE(ArtifactsInput!$N$35+1,15,18,21,24,27,30)*(1-EXP(-(0.2*B2220)*5)),0)+IF(AND(ArtifactsInput!$M$22,Inputs!$B$4&lt;&gt;"Chapter Hunt"),CHOOSE(ArtifactsInput!$N$22+1,10,12,14,16,18,20)*((0*(((0.15*B2220*5))^0/1)+1*(((0.15*B2220*5))^1/1)+2*(((0.15*B2220*5))^2/2)+3*(((0.15*B2220*5))^3/6)+4*(((0.15*B2220*5))^4/24)+5*(((0.15*B2220*5))^5/120))/((((0.15*B2220*5))^0/1)+(((0.15*B2220*5))^1/1)+(((0.15*B2220*5))^2/2)+(((0.15*B2220*5))^3/6)+(((0.15*B2220*5))^4/24)+(((0.15*B2220*5))^5/120))),0))+IF(Inputs!$B$3&gt;=54,9*(C2190=TRUE)*MIN(1,8*(1+Inputs!$B$34/100)*Q2190)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98">
      <c r="A2198">
        <f>Skills!A11</f>
        <v/>
      </c>
      <c r="B2198">
        <f>Skills!B11</f>
        <v/>
      </c>
      <c r="C2198">
        <f>Inputs!$B$3&gt;=117</f>
        <v/>
      </c>
      <c r="D2198">
        <f>IF(Skills!C11=1,60+Inputs!$B$25+Inputs!$B$29,IF(Skills!C11=2,90+Inputs!$B$26+Inputs!$B$29,IF(Skills!C11=3,120+Inputs!$B$27+Inputs!$B$29,MAX(0,(Inputs!$B$3-100)*3)+Inputs!$B$28+Inputs!$B$29)))</f>
        <v/>
      </c>
      <c r="E2198">
        <f>INDEX(FactorTable!$B$2:$Y$301, MATCH(ROUND(MIN(300,MAX(1,D2198)),0), FactorTable!$A$2:$A$301,0), Skills!M11+1)</f>
        <v/>
      </c>
      <c r="F2198">
        <f>IF(Skills!N11=TRUE,(Skills!L11/10)*(E2198/1000),Skills!L11/10)+Skills!O11</f>
        <v/>
      </c>
      <c r="G2198">
        <f>Skills!G11*IF(Skills!H11&gt;0,INT(IF(Inputs!$B$38="pvp",MIN(Skills!I11,15),Skills!I11)/Skills!H11+0.000000001),1)</f>
        <v/>
      </c>
      <c r="H2198">
        <f>1-(1-Skills!J11/100)^Skills!K11</f>
        <v/>
      </c>
      <c r="I2198" t="inlineStr">
        <is>
          <t>1</t>
        </is>
      </c>
      <c r="J2198">
        <f>((Inputs!$B$6*(1+Inputs!$B$7/100))+(((Inputs!$B$12*(1+Inputs!$B$13/100))-(Inputs!$B$12*(1+Inputs!$B$13/100)))+0.25*(Inputs!$B$14-Inputs!$B$14))*(1+Inputs!$B$7/100))*(F2198/100)</f>
        <v/>
      </c>
      <c r="K2198">
        <f>J2198*(1+((Inputs!$B$12*(1+Inputs!$B$13/100))*0.01+Inputs!$B$14*0.0025)/100)*(1+Inputs!$B$15/100)*(1+Inputs!$B$16/100)*(5000/(6000+Inputs!$B$42*(1-(100*(1-(1-(Inputs!$B$19+0)/100)*(1-CHOOSE(ArtifactsInput!$N$40+1,5,6,7,8,9,10)/100)^(ArtifactsInput!$M$40-ArtifactsInput!$M$40)))/100)))*(1+(Inputs!$B$24+((C2213=TRUE)*(F2213-Calc!F26))+B2224)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IGHT_LEGS_EASTON",Inputs!$B$17+((C2210=TRUE)*(F2210-Calc!F23))+((C2214=TRUE)*(F2214-Calc!F27))+((IF(AND(Inputs!$B$38&lt;&gt;"pvp",Inputs!$B$43=0),1,IF(IF(Inputs!$B$38="pvp",15,Inputs!$B$43)-(B2225)&lt;=0,1,MAX(0,IF(Inputs!$B$38="pvp",15,Inputs!$B$43)-MAX(5,B2225))/(IF(Inputs!$B$38="pvp",15,Inputs!$B$43)-(B2225))))*(IF(AND(ArtifactsInput!$M$42,((Inputs!$B$9+((C2206=TRUE)*(F2206-Calc!F19))+B2218+(ArtifactsInput!$M$24-ArtifactsInput!$M$24)*CHOOSE(ArtifactsInput!$N$24+1,10,12,14,16,18,20)+IF(ArtifactsInput!$M$10,CHOOSE(ArtifactsInput!$N$10+1,15,18,21,24,27,30)*(IF(Inputs!$B$38="pvp",MIN(15,15)/15,IF(AND(Inputs!$B$38&lt;&gt;"pvp",Inputs!$B$43&gt;0),MIN(15,Inputs!$B$43)/(Inputs!$B$43),0))),0)))&gt;=100),MIN(100,((Inputs!$B$9+((C2206=TRUE)*(F2206-Calc!F19))+B2218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2225)&lt;=0,1,MAX(0,IF(Inputs!$B$38="pvp",15,Inputs!$B$43)-MAX(5,B2225))/(IF(Inputs!$B$38="pvp",15,Inputs!$B$43)-(B2225))))*IF(AND(ArtifactsInput!$M$42,((Inputs!$B$9+((C2206=TRUE)*(F2206-Calc!F19))+B2218+(ArtifactsInput!$M$24-ArtifactsInput!$M$24)*CHOOSE(ArtifactsInput!$N$24+1,10,12,14,16,18,20)+IF(ArtifactsInput!$M$10,CHOOSE(ArtifactsInput!$N$10+1,15,18,21,24,27,30)*(IF(Inputs!$B$38="pvp",MIN(15,15)/15,IF(AND(Inputs!$B$38&lt;&gt;"pvp",Inputs!$B$43&gt;0),MIN(15,Inputs!$B$43)/(Inputs!$B$43),0))),0)))&gt;=100),CHOOSE(ArtifactsInput!$N$42+1,40,48,56,64,72,80),0))))/100)*((1+(((C2204=TRUE)*F2204*5/7)+((C2211=TRUE)*(F2211-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2198)</f>
        <v/>
      </c>
      <c r="L2198">
        <f>K2198*(MIN(Inputs!$B$22+((C2209=TRUE)*(F2209-Calc!F22)),(Inputs!$B$23+0+(IF(ArtifactsInput!$M$15,CHOOSE(ArtifactsInput!$N$15+1,25,30,35,40,45,50)/100*(Inputs!$B$11-Inputs!$B$11),0))))/100+(Inputs!$B$23+0+(IF(ArtifactsInput!$M$15,CHOOSE(ArtifactsInput!$N$15+1,25,30,35,40,45,50)/100*(Inputs!$B$11-Inputs!$B$11),0)))/100)/2</f>
        <v/>
      </c>
      <c r="M2198">
        <f>L2198*(1+(Inputs!$B$10+((C2212=TRUE)*(F2212-Calc!F25))+B2223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98">
        <f>L2198*(1-MIN((Inputs!$B$9+((C2206=TRUE)*(F2206-Calc!F19))+B2218+(ArtifactsInput!$M$24-ArtifactsInput!$M$24)*CHOOSE(ArtifactsInput!$N$24+1,10,12,14,16,18,20)+(IF(AND(Inputs!$B$38&lt;&gt;"pvp",Inputs!$B$43=0),1,IF(IF(Inputs!$B$38="pvp",15,Inputs!$B$43)-(B2225)&lt;=0,1,MAX(0,IF(Inputs!$B$38="pvp",15,Inputs!$B$43)-MAX(5,B2225))/(IF(Inputs!$B$38="pvp",15,Inputs!$B$43)-(B2225))))*IF(AND(ArtifactsInput!$M$42,((Inputs!$B$9+((C2206=TRUE)*(F2206-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2198*(MIN((Inputs!$B$9+((C2206=TRUE)*(F2206-Calc!F19))+B2218+(ArtifactsInput!$M$24-ArtifactsInput!$M$24)*CHOOSE(ArtifactsInput!$N$24+1,10,12,14,16,18,20)+(IF(AND(Inputs!$B$38&lt;&gt;"pvp",Inputs!$B$43=0),1,IF(IF(Inputs!$B$38="pvp",15,Inputs!$B$43)-(B2225)&lt;=0,1,MAX(0,IF(Inputs!$B$38="pvp",15,Inputs!$B$43)-MAX(5,B2225))/(IF(Inputs!$B$38="pvp",15,Inputs!$B$43)-(B2225))))*IF(AND(ArtifactsInput!$M$42,((Inputs!$B$9+((C2206=TRUE)*(F2206-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98">
        <f>(1-Summary!$B$11)*T2198+Summary!$B$11*V2198</f>
        <v/>
      </c>
      <c r="P2198">
        <f>IF(B2228=0,0,O2198/B2228)</f>
        <v/>
      </c>
      <c r="Q2198">
        <f>IFERROR(1/((IF(Inputs!$B$38="pvp",15,MAX(0.1,Skills!D11-IF(TRUE=TRUE,Inputs!$B$32,0)))*(1-IF(AND(IF(ArtifactsInput!$M$27,FALSE,TRUE),Inputs!$B$4="Chapter Hunt"),CHOOSE(ArtifactsInput!$N$27+1,20,24,28,32,36,40),0)/100))/B2229),0)</f>
        <v/>
      </c>
      <c r="R2198">
        <f>IF(AND(Inputs!$B$38&lt;&gt;"pvp",Inputs!$B$43&gt;0),IF(MAX(0,Inputs!$B$43-B2225)&lt;=0,0,(INT(MAX(0,Inputs!$B$43-B2225)/((IF(Inputs!$B$38="pvp",15,MAX(0.1,Skills!D11-IF(TRUE=TRUE,Inputs!$B$32,0)))*(1-IF(AND(IF(ArtifactsInput!$M$27,FALSE,TRUE),Inputs!$B$4="Chapter Hunt"),CHOOSE(ArtifactsInput!$N$27+1,20,24,28,32,36,40),0)/100))/B2229))+1)),0)</f>
        <v/>
      </c>
      <c r="S2198">
        <f>IFERROR(O2198/N2198,0)</f>
        <v/>
      </c>
      <c r="T2198">
        <f>IF(C2198,(H2198*N2198*IF(AND(Inputs!$B$38&lt;&gt;"pvp",Inputs!$B$43&gt;0),((Skills!G11*((R2198-1)*IF(Skills!H11&gt;0,INT(Skills!I11/Skills!H11+0.000000001),1)+IF(Skills!H11&gt;0,INT(MIN(Skills!I11,MAX(0,MAX(0,Inputs!$B$43-B2225)-((R2198-1)*((IF(Inputs!$B$38="pvp",15,MAX(0.1,Skills!D11-IF(TRUE=TRUE,Inputs!$B$32,0)))*(1-IF(AND(IF(ArtifactsInput!$M$27,FALSE,TRUE),Inputs!$B$4="Chapter Hunt"),CHOOSE(ArtifactsInput!$N$27+1,20,24,28,32,36,40),0)/100))/B2229))))/Skills!H11+0.000000001),1)))/Inputs!$B$43),G2198*Q2198))*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Hunt"),CHOOSE(ArtifactsInput!$N$35+1,15,18,21,24,27,30)*(1-EXP(-(0.2*B2220)*5)),0)+IF(AND(ArtifactsInput!$M$22,Inputs!$B$4&lt;&gt;"Chapter Hunt"),CHOOSE(ArtifactsInput!$N$22+1,10,12,14,16,18,20)*((0*(((0.15*B2220*5))^0/1)+1*(((0.15*B2220*5))^1/1)+2*(((0.15*B2220*5))^2/2)+3*(((0.15*B2220*5))^3/6)+4*(((0.15*B2220*5))^4/24)+5*(((0.15*B2220*5))^5/120))/((((0.15*B2220*5))^0/1)+(((0.15*B2220*5))^1/1)+(((0.15*B2220*5))^2/2)+(((0.15*B2220*5))^3/6)+(((0.15*B2220*5))^4/24)+(((0.15*B2220*5))^5/120))),0))+IF(Inputs!$B$3&gt;=54,9*(C2190=TRUE)*MIN(1,8*(1+Inputs!$B$34/100)*Q2190)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2198*(1-MIN(100,(Inputs!$B$9+((C2206=TRUE)*(F2206-Calc!F19))+B2218+(ArtifactsInput!$M$24-ArtifactsInput!$M$24)*CHOOSE(ArtifactsInput!$N$24+1,10,12,14,16,18,20)+(IF(AND(Inputs!$B$38&lt;&gt;"pvp",Inputs!$B$43=0),1,IF(IF(Inputs!$B$38="pvp",15,Inputs!$B$43)-(B2225)&lt;=0,1,MAX(0,IF(Inputs!$B$38="pvp",15,Inputs!$B$43)-MAX(5,B2225))/(IF(Inputs!$B$38="pvp",15,Inputs!$B$43)-(B2225))))*IF(AND(ArtifactsInput!$M$42,((Inputs!$B$9+((C2206=TRUE)*(F2206-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2198*(MIN(100,(Inputs!$B$9+((C2206=TRUE)*(F2206-Calc!F19))+B2218+(ArtifactsInput!$M$24-ArtifactsInput!$M$24)*CHOOSE(ArtifactsInput!$N$24+1,10,12,14,16,18,20)+(IF(AND(Inputs!$B$38&lt;&gt;"pvp",Inputs!$B$43=0),1,IF(IF(Inputs!$B$38="pvp",15,Inputs!$B$43)-(B2225)&lt;=0,1,MAX(0,IF(Inputs!$B$38="pvp",15,Inputs!$B$43)-MAX(5,B2225))/(IF(Inputs!$B$38="pvp",15,Inputs!$B$43)-(B2225))))*IF(AND(ArtifactsInput!$M$42,((Inputs!$B$9+((C2206=TRUE)*(F2206-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2198*(1-MIN(100,(Inputs!$B$9+((C2206=TRUE)*(F2206-Calc!F19))+B2218+(ArtifactsInput!$M$24-ArtifactsInput!$M$24)*CHOOSE(ArtifactsInput!$N$24+1,10,12,14,16,18,20)+(IF(AND(Inputs!$B$38&lt;&gt;"pvp",Inputs!$B$43=0),1,IF(IF(Inputs!$B$38="pvp",15,Inputs!$B$43)-(B2225)&lt;=0,1,MAX(0,IF(Inputs!$B$38="pvp",15,Inputs!$B$43)-MAX(5,B2225))/(IF(Inputs!$B$38="pvp",15,Inputs!$B$43)-(B2225))))*IF(AND(ArtifactsInput!$M$42,((Inputs!$B$9+((C2206=TRUE)*(F2206-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2198*(MIN(100,(Inputs!$B$9+((C2206=TRUE)*(F2206-Calc!F19))+B2218+(ArtifactsInput!$M$24-ArtifactsInput!$M$24)*CHOOSE(ArtifactsInput!$N$24+1,10,12,14,16,18,20)+(IF(AND(Inputs!$B$38&lt;&gt;"pvp",Inputs!$B$43=0),1,IF(IF(Inputs!$B$38="pvp",15,Inputs!$B$43)-(B2225)&lt;=0,1,MAX(0,IF(Inputs!$B$38="pvp",15,Inputs!$B$43)-MAX(5,B2225))/(IF(Inputs!$B$38="pvp",15,Inputs!$B$43)-(B2225))))*IF(AND(ArtifactsInput!$M$42,((Inputs!$B$9+((C2206=TRUE)*(F2206-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98">
        <f>IF(C2198,(H2198*N2198*IF(AND(Inputs!$B$38&lt;&gt;"pvp",Inputs!$B$43&gt;0),((Skills!G11*((R2198-1)*IF(Skills!H11&gt;0,INT(Skills!I11/Skills!H11+0.000000001),1)+IF(Skills!H11&gt;0,INT(MIN(Skills!I11,MAX(0,MAX(0,Inputs!$B$43-B2225)-((R2198-1)*((IF(Inputs!$B$38="pvp",15,MAX(0.1,Skills!D11-IF(TRUE=TRUE,Inputs!$B$32,0)))*(1-IF(AND(IF(ArtifactsInput!$M$27,FALSE,TRUE),Inputs!$B$4="Chapter Hunt"),CHOOSE(ArtifactsInput!$N$27+1,20,24,28,32,36,40),0)/100))/B2229))))/Skills!H11+0.000000001),1)))/Inputs!$B$43),G2198*Q2198))*IF(Inputs!$B$38="pvp",1,(1+(Inputs!$B$21+Skills!Q11+(IF(ArtifactsInput!$M$33,CHOOSE(ArtifactsInput!$N$33+1,30,36,42,48,54,60),0))+(IF(AND(ArtifactsInput!$M$35,Inputs!$B$4&lt;&gt;"Chapter Hunt"),CHOOSE(ArtifactsInput!$N$35+1,15,18,21,24,27,30)*(1-EXP(-(0.2*B2220)*5)),0)+IF(AND(ArtifactsInput!$M$22,Inputs!$B$4&lt;&gt;"Chapter Hunt"),CHOOSE(ArtifactsInput!$N$22+1,10,12,14,16,18,20)*((0*(((0.15*B2220*5))^0/1)+1*(((0.15*B2220*5))^1/1)+2*(((0.15*B2220*5))^2/2)+3*(((0.15*B2220*5))^3/6)+4*(((0.15*B2220*5))^4/24)+5*(((0.15*B2220*5))^5/120))/((((0.15*B2220*5))^0/1)+(((0.15*B2220*5))^1/1)+(((0.15*B2220*5))^2/2)+(((0.15*B2220*5))^3/6)+(((0.15*B2220*5))^4/24)+(((0.15*B2220*5))^5/120))),0))+IF(Inputs!$B$3&gt;=54,9*(C2190=TRUE)*MIN(1,8*(1+Inputs!$B$34/100)*Q2190)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99">
      <c r="A2199">
        <f>Skills!A12</f>
        <v/>
      </c>
      <c r="B2199">
        <f>Skills!B12</f>
        <v/>
      </c>
      <c r="C2199">
        <f>Inputs!$B$3&gt;=110</f>
        <v/>
      </c>
      <c r="D2199">
        <f>IF(Skills!C12=1,60+Inputs!$B$25+Inputs!$B$29,IF(Skills!C12=2,90+Inputs!$B$26+Inputs!$B$29,IF(Skills!C12=3,120+Inputs!$B$27+Inputs!$B$29,MAX(0,(Inputs!$B$3-100)*3)+Inputs!$B$28+Inputs!$B$29)))</f>
        <v/>
      </c>
      <c r="E2199">
        <f>INDEX(FactorTable!$B$2:$Y$301, MATCH(ROUND(MIN(300,MAX(1,D2199)),0), FactorTable!$A$2:$A$301,0), Skills!M12+1)</f>
        <v/>
      </c>
      <c r="F2199">
        <f>IF(Skills!N12=TRUE,(Skills!L12/10)*(E2199/1000),Skills!L12/10)+Skills!O12</f>
        <v/>
      </c>
      <c r="G2199">
        <f>Skills!G12*IF(Skills!H12&gt;0,INT(IF(Inputs!$B$38="pvp",MIN(Skills!I12,15),Skills!I12)/Skills!H12+0.000000001),1)</f>
        <v/>
      </c>
      <c r="H2199">
        <f>1-(1-Skills!J12/100)^Skills!K12</f>
        <v/>
      </c>
      <c r="I2199" t="inlineStr">
        <is>
          <t>1</t>
        </is>
      </c>
      <c r="J2199">
        <f>((Inputs!$B$6*(1+Inputs!$B$7/100))+(((Inputs!$B$12*(1+Inputs!$B$13/100))-(Inputs!$B$12*(1+Inputs!$B$13/100)))+0.25*(Inputs!$B$14-Inputs!$B$14))*(1+Inputs!$B$7/100))*(F2199/100)</f>
        <v/>
      </c>
      <c r="K2199">
        <f>J2199*(1+((Inputs!$B$12*(1+Inputs!$B$13/100))*0.01+Inputs!$B$14*0.0025)/100)*(1+Inputs!$B$15/100)*(1+Inputs!$B$16/100)*(5000/(6000+Inputs!$B$42*(1-(100*(1-(1-(Inputs!$B$19+0)/100)*(1-CHOOSE(ArtifactsInput!$N$40+1,5,6,7,8,9,10)/100)^(ArtifactsInput!$M$40-ArtifactsInput!$M$40)))/100)))*(1+(Inputs!$B$24+((C2213=TRUE)*(F2213-Calc!F26))+B2224)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EIGHT_LEGS_EASTON",Inputs!$B$17+((C2210=TRUE)*(F2210-Calc!F23))+((C2214=TRUE)*(F2214-Calc!F27))+((IF(AND(Inputs!$B$38&lt;&gt;"pvp",Inputs!$B$43=0),1,IF(IF(Inputs!$B$38="pvp",15,Inputs!$B$43)-(B2225)&lt;=0,1,MAX(0,IF(Inputs!$B$38="pvp",15,Inputs!$B$43)-MAX(5,B2225))/(IF(Inputs!$B$38="pvp",15,Inputs!$B$43)-(B2225))))*(IF(AND(ArtifactsInput!$M$42,((Inputs!$B$9+((C2206=TRUE)*(F2206-Calc!F19))+B2218+(ArtifactsInput!$M$24-ArtifactsInput!$M$24)*CHOOSE(ArtifactsInput!$N$24+1,10,12,14,16,18,20)+IF(ArtifactsInput!$M$10,CHOOSE(ArtifactsInput!$N$10+1,15,18,21,24,27,30)*(IF(Inputs!$B$38="pvp",MIN(15,15)/15,IF(AND(Inputs!$B$38&lt;&gt;"pvp",Inputs!$B$43&gt;0),MIN(15,Inputs!$B$43)/(Inputs!$B$43),0))),0)))&gt;=100),MIN(100,((Inputs!$B$9+((C2206=TRUE)*(F2206-Calc!F19))+B2218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2225)&lt;=0,1,MAX(0,IF(Inputs!$B$38="pvp",15,Inputs!$B$43)-MAX(5,B2225))/(IF(Inputs!$B$38="pvp",15,Inputs!$B$43)-(B2225))))*IF(AND(ArtifactsInput!$M$42,((Inputs!$B$9+((C2206=TRUE)*(F2206-Calc!F19))+B2218+(ArtifactsInput!$M$24-ArtifactsInput!$M$24)*CHOOSE(ArtifactsInput!$N$24+1,10,12,14,16,18,20)+IF(ArtifactsInput!$M$10,CHOOSE(ArtifactsInput!$N$10+1,15,18,21,24,27,30)*(IF(Inputs!$B$38="pvp",MIN(15,15)/15,IF(AND(Inputs!$B$38&lt;&gt;"pvp",Inputs!$B$43&gt;0),MIN(15,Inputs!$B$43)/(Inputs!$B$43),0))),0)))&gt;=100),CHOOSE(ArtifactsInput!$N$42+1,40,48,56,64,72,80),0))))/100)*((1+(((C2204=TRUE)*F2204*5/7)+((C2211=TRUE)*(F2211-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2199)</f>
        <v/>
      </c>
      <c r="L2199">
        <f>K2199*(MIN(Inputs!$B$22+((C2209=TRUE)*(F2209-Calc!F22)),(Inputs!$B$23+0+(IF(ArtifactsInput!$M$15,CHOOSE(ArtifactsInput!$N$15+1,25,30,35,40,45,50)/100*(Inputs!$B$11-Inputs!$B$11),0))))/100+(Inputs!$B$23+0+(IF(ArtifactsInput!$M$15,CHOOSE(ArtifactsInput!$N$15+1,25,30,35,40,45,50)/100*(Inputs!$B$11-Inputs!$B$11),0)))/100)/2</f>
        <v/>
      </c>
      <c r="M2199">
        <f>L2199*(1+(Inputs!$B$10+((C2212=TRUE)*(F2212-Calc!F25))+B2223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99">
        <f>L2199*(1-MIN((Inputs!$B$9+((C2206=TRUE)*(F2206-Calc!F19))+B2218+(ArtifactsInput!$M$24-ArtifactsInput!$M$24)*CHOOSE(ArtifactsInput!$N$24+1,10,12,14,16,18,20)+(IF(AND(Inputs!$B$38&lt;&gt;"pvp",Inputs!$B$43=0),1,IF(IF(Inputs!$B$38="pvp",15,Inputs!$B$43)-(B2225)&lt;=0,1,MAX(0,IF(Inputs!$B$38="pvp",15,Inputs!$B$43)-MAX(5,B2225))/(IF(Inputs!$B$38="pvp",15,Inputs!$B$43)-(B2225))))*IF(AND(ArtifactsInput!$M$42,((Inputs!$B$9+((C2206=TRUE)*(F2206-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2199*(MIN((Inputs!$B$9+((C2206=TRUE)*(F2206-Calc!F19))+B2218+(ArtifactsInput!$M$24-ArtifactsInput!$M$24)*CHOOSE(ArtifactsInput!$N$24+1,10,12,14,16,18,20)+(IF(AND(Inputs!$B$38&lt;&gt;"pvp",Inputs!$B$43=0),1,IF(IF(Inputs!$B$38="pvp",15,Inputs!$B$43)-(B2225)&lt;=0,1,MAX(0,IF(Inputs!$B$38="pvp",15,Inputs!$B$43)-MAX(5,B2225))/(IF(Inputs!$B$38="pvp",15,Inputs!$B$43)-(B2225))))*IF(AND(ArtifactsInput!$M$42,((Inputs!$B$9+((C2206=TRUE)*(F2206-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99">
        <f>(1-Summary!$B$11)*T2199+Summary!$B$11*V2199</f>
        <v/>
      </c>
      <c r="P2199">
        <f>IF(B2228=0,0,O2199/B2228)</f>
        <v/>
      </c>
      <c r="Q2199">
        <f>IFERROR(1/(IF(Inputs!$B$38="pvp",15,MAX(0.1,Skills!D12-IF(TRUE=TRUE,Inputs!$B$32,0)))*(1-IF(AND(IF(ArtifactsInput!$M$27,FALSE,TRUE),Inputs!$B$4="Chapter Hunt"),CHOOSE(ArtifactsInput!$N$27+1,20,24,28,32,36,40),0)/100)),0)</f>
        <v/>
      </c>
      <c r="R2199">
        <f>IF(AND(Inputs!$B$38&lt;&gt;"pvp",Inputs!$B$43&gt;0),IF(MAX(0,Inputs!$B$43-B2225)&lt;=0,0,(INT(MAX(0,Inputs!$B$43-B2225)/(IF(Inputs!$B$38="pvp",15,MAX(0.1,Skills!D12-IF(TRUE=TRUE,Inputs!$B$32,0)))*(1-IF(AND(IF(ArtifactsInput!$M$27,FALSE,TRUE),Inputs!$B$4="Chapter Hunt"),CHOOSE(ArtifactsInput!$N$27+1,20,24,28,32,36,40),0)/100)))+1)),0)</f>
        <v/>
      </c>
      <c r="S2199">
        <f>IFERROR(O2199/N2199,0)</f>
        <v/>
      </c>
      <c r="T2199">
        <f>IF(C2199,(H2199*N2199*IF(AND(Inputs!$B$38&lt;&gt;"pvp",Inputs!$B$43&gt;0),((Skills!G12*((R2199-1)*IF(Skills!H12&gt;0,INT(Skills!I12/Skills!H12+0.000000001),1)+IF(Skills!H12&gt;0,INT(MIN(Skills!I12,MAX(0,MAX(0,Inputs!$B$43-B2225)-((R2199-1)*(IF(Inputs!$B$38="pvp",15,MAX(0.1,Skills!D12-IF(TRUE=TRUE,Inputs!$B$32,0)))*(1-IF(AND(IF(ArtifactsInput!$M$27,FALSE,TRUE),Inputs!$B$4="Chapter Hunt"),CHOOSE(ArtifactsInput!$N$27+1,20,24,28,32,36,40),0)/100)))))/Skills!H12+0.000000001),1)))/Inputs!$B$43),G2199*Q2199))*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Hunt"),CHOOSE(ArtifactsInput!$N$35+1,15,18,21,24,27,30)*(1-EXP(-(0.2*B2220)*5)),0)+IF(AND(ArtifactsInput!$M$22,Inputs!$B$4&lt;&gt;"Chapter Hunt"),CHOOSE(ArtifactsInput!$N$22+1,10,12,14,16,18,20)*((0*(((0.15*B2220*5))^0/1)+1*(((0.15*B2220*5))^1/1)+2*(((0.15*B2220*5))^2/2)+3*(((0.15*B2220*5))^3/6)+4*(((0.15*B2220*5))^4/24)+5*(((0.15*B2220*5))^5/120))/((((0.15*B2220*5))^0/1)+(((0.15*B2220*5))^1/1)+(((0.15*B2220*5))^2/2)+(((0.15*B2220*5))^3/6)+(((0.15*B2220*5))^4/24)+(((0.15*B2220*5))^5/120))),0))+IF(Inputs!$B$3&gt;=54,9*(C2190=TRUE)*MIN(1,8*(1+Inputs!$B$34/100)*Q2190)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2199*(1-MIN(100,(Inputs!$B$9+((C2206=TRUE)*(F2206-Calc!F19))+B2218+(ArtifactsInput!$M$24-ArtifactsInput!$M$24)*CHOOSE(ArtifactsInput!$N$24+1,10,12,14,16,18,20)+(IF(AND(Inputs!$B$38&lt;&gt;"pvp",Inputs!$B$43=0),1,IF(IF(Inputs!$B$38="pvp",15,Inputs!$B$43)-(B2225)&lt;=0,1,MAX(0,IF(Inputs!$B$38="pvp",15,Inputs!$B$43)-MAX(5,B2225))/(IF(Inputs!$B$38="pvp",15,Inputs!$B$43)-(B2225))))*IF(AND(ArtifactsInput!$M$42,((Inputs!$B$9+((C2206=TRUE)*(F2206-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2199*(MIN(100,(Inputs!$B$9+((C2206=TRUE)*(F2206-Calc!F19))+B2218+(ArtifactsInput!$M$24-ArtifactsInput!$M$24)*CHOOSE(ArtifactsInput!$N$24+1,10,12,14,16,18,20)+(IF(AND(Inputs!$B$38&lt;&gt;"pvp",Inputs!$B$43=0),1,IF(IF(Inputs!$B$38="pvp",15,Inputs!$B$43)-(B2225)&lt;=0,1,MAX(0,IF(Inputs!$B$38="pvp",15,Inputs!$B$43)-MAX(5,B2225))/(IF(Inputs!$B$38="pvp",15,Inputs!$B$43)-(B2225))))*IF(AND(ArtifactsInput!$M$42,((Inputs!$B$9+((C2206=TRUE)*(F2206-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2199*(1-MIN(100,(Inputs!$B$9+((C2206=TRUE)*(F2206-Calc!F19))+B2218+(ArtifactsInput!$M$24-ArtifactsInput!$M$24)*CHOOSE(ArtifactsInput!$N$24+1,10,12,14,16,18,20)+(IF(AND(Inputs!$B$38&lt;&gt;"pvp",Inputs!$B$43=0),1,IF(IF(Inputs!$B$38="pvp",15,Inputs!$B$43)-(B2225)&lt;=0,1,MAX(0,IF(Inputs!$B$38="pvp",15,Inputs!$B$43)-MAX(5,B2225))/(IF(Inputs!$B$38="pvp",15,Inputs!$B$43)-(B2225))))*IF(AND(ArtifactsInput!$M$42,((Inputs!$B$9+((C2206=TRUE)*(F2206-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2199*(MIN(100,(Inputs!$B$9+((C2206=TRUE)*(F2206-Calc!F19))+B2218+(ArtifactsInput!$M$24-ArtifactsInput!$M$24)*CHOOSE(ArtifactsInput!$N$24+1,10,12,14,16,18,20)+(IF(AND(Inputs!$B$38&lt;&gt;"pvp",Inputs!$B$43=0),1,IF(IF(Inputs!$B$38="pvp",15,Inputs!$B$43)-(B2225)&lt;=0,1,MAX(0,IF(Inputs!$B$38="pvp",15,Inputs!$B$43)-MAX(5,B2225))/(IF(Inputs!$B$38="pvp",15,Inputs!$B$43)-(B2225))))*IF(AND(ArtifactsInput!$M$42,((Inputs!$B$9+((C2206=TRUE)*(F2206-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99">
        <f>IF(C2199,(H2199*N2199*IF(AND(Inputs!$B$38&lt;&gt;"pvp",Inputs!$B$43&gt;0),((Skills!G12*((R2199-1)*IF(Skills!H12&gt;0,INT(Skills!I12/Skills!H12+0.000000001),1)+IF(Skills!H12&gt;0,INT(MIN(Skills!I12,MAX(0,MAX(0,Inputs!$B$43-B2225)-((R2199-1)*(IF(Inputs!$B$38="pvp",15,MAX(0.1,Skills!D12-IF(TRUE=TRUE,Inputs!$B$32,0)))*(1-IF(AND(IF(ArtifactsInput!$M$27,FALSE,TRUE),Inputs!$B$4="Chapter Hunt"),CHOOSE(ArtifactsInput!$N$27+1,20,24,28,32,36,40),0)/100)))))/Skills!H12+0.000000001),1)))/Inputs!$B$43),G2199*Q2199))*IF(Inputs!$B$38="pvp",1,(1+(Inputs!$B$21+Skills!Q12+(IF(ArtifactsInput!$M$33,CHOOSE(ArtifactsInput!$N$33+1,30,36,42,48,54,60),0))+(IF(AND(ArtifactsInput!$M$35,Inputs!$B$4&lt;&gt;"Chapter Hunt"),CHOOSE(ArtifactsInput!$N$35+1,15,18,21,24,27,30)*(1-EXP(-(0.2*B2220)*5)),0)+IF(AND(ArtifactsInput!$M$22,Inputs!$B$4&lt;&gt;"Chapter Hunt"),CHOOSE(ArtifactsInput!$N$22+1,10,12,14,16,18,20)*((0*(((0.15*B2220*5))^0/1)+1*(((0.15*B2220*5))^1/1)+2*(((0.15*B2220*5))^2/2)+3*(((0.15*B2220*5))^3/6)+4*(((0.15*B2220*5))^4/24)+5*(((0.15*B2220*5))^5/120))/((((0.15*B2220*5))^0/1)+(((0.15*B2220*5))^1/1)+(((0.15*B2220*5))^2/2)+(((0.15*B2220*5))^3/6)+(((0.15*B2220*5))^4/24)+(((0.15*B2220*5))^5/120))),0))+IF(Inputs!$B$3&gt;=54,9*(C2190=TRUE)*MIN(1,8*(1+Inputs!$B$34/100)*Q2190),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00">
      <c r="A2200">
        <f>Skills!A13</f>
        <v/>
      </c>
      <c r="B2200">
        <f>Skills!B13</f>
        <v/>
      </c>
      <c r="C2200">
        <f>Inputs!$B$3&gt;=110</f>
        <v/>
      </c>
      <c r="D2200">
        <f>IF(Skills!C13=1,60+Inputs!$B$25+Inputs!$B$29,IF(Skills!C13=2,90+Inputs!$B$26+Inputs!$B$29,IF(Skills!C13=3,120+Inputs!$B$27+Inputs!$B$29,MAX(0,(Inputs!$B$3-100)*3)+Inputs!$B$28+Inputs!$B$29)))</f>
        <v/>
      </c>
      <c r="E2200">
        <f>INDEX(FactorTable!$B$2:$Y$301, MATCH(ROUND(MIN(300,MAX(1,D2200)),0), FactorTable!$A$2:$A$301,0), Skills!M13+1)</f>
        <v/>
      </c>
      <c r="F2200">
        <f>IF(Skills!N13=TRUE,(Skills!L13/10)*(E2200/1000),Skills!L13/10)+Skills!O13</f>
        <v/>
      </c>
      <c r="G2200">
        <f>Skills!G13*IF(Skills!H13&gt;0,INT(IF(Inputs!$B$38="pvp",MIN(Skills!I13,15),Skills!I13)/Skills!H13+0.000000001),1)</f>
        <v/>
      </c>
      <c r="H2200">
        <f>1-(1-Skills!J13/100)^Skills!K13</f>
        <v/>
      </c>
      <c r="I2200" t="inlineStr">
        <is>
          <t>1</t>
        </is>
      </c>
      <c r="J2200">
        <f>((Inputs!$B$6*(1+Inputs!$B$7/100))+(((Inputs!$B$12*(1+Inputs!$B$13/100))-(Inputs!$B$12*(1+Inputs!$B$13/100)))+0.25*(Inputs!$B$14-Inputs!$B$14))*(1+Inputs!$B$7/100))*(F2200/100)</f>
        <v/>
      </c>
      <c r="K2200">
        <f>J2200*(1+((Inputs!$B$12*(1+Inputs!$B$13/100))*0.01+Inputs!$B$14*0.0025)/100)*(1+Inputs!$B$15/100)*(1+Inputs!$B$16/100)*(5000/(6000+Inputs!$B$42*(1-(100*(1-(1-(Inputs!$B$19+0)/100)*(1-CHOOSE(ArtifactsInput!$N$40+1,5,6,7,8,9,10)/100)^(ArtifactsInput!$M$40-ArtifactsInput!$M$40)))/100)))*(1+(Inputs!$B$24+((C2213=TRUE)*(F2213-Calc!F26))+B2224)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EIGHT_LEGS_EASTON",Inputs!$B$17+((C2210=TRUE)*(F2210-Calc!F23))+((C2214=TRUE)*(F2214-Calc!F27))+((IF(AND(Inputs!$B$38&lt;&gt;"pvp",Inputs!$B$43=0),1,IF(IF(Inputs!$B$38="pvp",15,Inputs!$B$43)-(B2225)&lt;=0,1,MAX(0,IF(Inputs!$B$38="pvp",15,Inputs!$B$43)-MAX(5,B2225))/(IF(Inputs!$B$38="pvp",15,Inputs!$B$43)-(B2225))))*(IF(AND(ArtifactsInput!$M$42,((Inputs!$B$9+((C2206=TRUE)*(F2206-Calc!F19))+B2218+(ArtifactsInput!$M$24-ArtifactsInput!$M$24)*CHOOSE(ArtifactsInput!$N$24+1,10,12,14,16,18,20)+IF(ArtifactsInput!$M$10,CHOOSE(ArtifactsInput!$N$10+1,15,18,21,24,27,30)*(IF(Inputs!$B$38="pvp",MIN(15,15)/15,IF(AND(Inputs!$B$38&lt;&gt;"pvp",Inputs!$B$43&gt;0),MIN(15,Inputs!$B$43)/(Inputs!$B$43),0))),0)))&gt;=100),MIN(100,((Inputs!$B$9+((C2206=TRUE)*(F2206-Calc!F19))+B2218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2225)&lt;=0,1,MAX(0,IF(Inputs!$B$38="pvp",15,Inputs!$B$43)-MAX(5,B2225))/(IF(Inputs!$B$38="pvp",15,Inputs!$B$43)-(B2225))))*IF(AND(ArtifactsInput!$M$42,((Inputs!$B$9+((C2206=TRUE)*(F2206-Calc!F19))+B2218+(ArtifactsInput!$M$24-ArtifactsInput!$M$24)*CHOOSE(ArtifactsInput!$N$24+1,10,12,14,16,18,20)+IF(ArtifactsInput!$M$10,CHOOSE(ArtifactsInput!$N$10+1,15,18,21,24,27,30)*(IF(Inputs!$B$38="pvp",MIN(15,15)/15,IF(AND(Inputs!$B$38&lt;&gt;"pvp",Inputs!$B$43&gt;0),MIN(15,Inputs!$B$43)/(Inputs!$B$43),0))),0)))&gt;=100),CHOOSE(ArtifactsInput!$N$42+1,40,48,56,64,72,80),0))))/100)*((1+(((C2204=TRUE)*F2204*5/7)+((C2211=TRUE)*(F2211-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2200)</f>
        <v/>
      </c>
      <c r="L2200">
        <f>K2200*(MIN(Inputs!$B$22+((C2209=TRUE)*(F2209-Calc!F22)),(Inputs!$B$23+0+(IF(ArtifactsInput!$M$15,CHOOSE(ArtifactsInput!$N$15+1,25,30,35,40,45,50)/100*(Inputs!$B$11-Inputs!$B$11),0))))/100+(Inputs!$B$23+0+(IF(ArtifactsInput!$M$15,CHOOSE(ArtifactsInput!$N$15+1,25,30,35,40,45,50)/100*(Inputs!$B$11-Inputs!$B$11),0)))/100)/2</f>
        <v/>
      </c>
      <c r="M2200">
        <f>L2200*(1+(Inputs!$B$10+((C2212=TRUE)*(F2212-Calc!F25))+B2223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00">
        <f>L2200*(1-MIN((Inputs!$B$9+((C2206=TRUE)*(F2206-Calc!F19))+B2218+(ArtifactsInput!$M$24-ArtifactsInput!$M$24)*CHOOSE(ArtifactsInput!$N$24+1,10,12,14,16,18,20)+(IF(AND(Inputs!$B$38&lt;&gt;"pvp",Inputs!$B$43=0),1,IF(IF(Inputs!$B$38="pvp",15,Inputs!$B$43)-(B2225)&lt;=0,1,MAX(0,IF(Inputs!$B$38="pvp",15,Inputs!$B$43)-MAX(5,B2225))/(IF(Inputs!$B$38="pvp",15,Inputs!$B$43)-(B2225))))*IF(AND(ArtifactsInput!$M$42,((Inputs!$B$9+((C2206=TRUE)*(F2206-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2200*(MIN((Inputs!$B$9+((C2206=TRUE)*(F2206-Calc!F19))+B2218+(ArtifactsInput!$M$24-ArtifactsInput!$M$24)*CHOOSE(ArtifactsInput!$N$24+1,10,12,14,16,18,20)+(IF(AND(Inputs!$B$38&lt;&gt;"pvp",Inputs!$B$43=0),1,IF(IF(Inputs!$B$38="pvp",15,Inputs!$B$43)-(B2225)&lt;=0,1,MAX(0,IF(Inputs!$B$38="pvp",15,Inputs!$B$43)-MAX(5,B2225))/(IF(Inputs!$B$38="pvp",15,Inputs!$B$43)-(B2225))))*IF(AND(ArtifactsInput!$M$42,((Inputs!$B$9+((C2206=TRUE)*(F2206-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00">
        <f>(1-Summary!$B$11)*T2200+Summary!$B$11*V2200</f>
        <v/>
      </c>
      <c r="P2200">
        <f>IF(B2228=0,0,O2200/B2228)</f>
        <v/>
      </c>
      <c r="Q2200">
        <f>IFERROR(1/(IF(Inputs!$B$38="pvp",15,MAX(0.1,Skills!D13-IF(TRUE=TRUE,Inputs!$B$32,0)))*(1-IF(AND(IF(ArtifactsInput!$M$27,FALSE,TRUE),Inputs!$B$4="Chapter Hunt"),CHOOSE(ArtifactsInput!$N$27+1,20,24,28,32,36,40),0)/100)),0)</f>
        <v/>
      </c>
      <c r="R2200">
        <f>IF(AND(Inputs!$B$38&lt;&gt;"pvp",Inputs!$B$43&gt;0),IF(MAX(0,Inputs!$B$43-B2225)&lt;=0,0,(INT(MAX(0,Inputs!$B$43-B2225)/(IF(Inputs!$B$38="pvp",15,MAX(0.1,Skills!D13-IF(TRUE=TRUE,Inputs!$B$32,0)))*(1-IF(AND(IF(ArtifactsInput!$M$27,FALSE,TRUE),Inputs!$B$4="Chapter Hunt"),CHOOSE(ArtifactsInput!$N$27+1,20,24,28,32,36,40),0)/100)))+1)),0)</f>
        <v/>
      </c>
      <c r="S2200">
        <f>IFERROR(O2200/N2200,0)</f>
        <v/>
      </c>
      <c r="T2200">
        <f>IF(C2200,(H2200*N2200*IF(AND(Inputs!$B$38&lt;&gt;"pvp",Inputs!$B$43&gt;0),((Skills!G13*((R2200-1)*IF(Skills!H13&gt;0,INT(Skills!I13/Skills!H13+0.000000001),1)+IF(Skills!H13&gt;0,INT(MIN(Skills!I13,MAX(0,MAX(0,Inputs!$B$43-B2225)-((R2200-1)*(IF(Inputs!$B$38="pvp",15,MAX(0.1,Skills!D13-IF(TRUE=TRUE,Inputs!$B$32,0)))*(1-IF(AND(IF(ArtifactsInput!$M$27,FALSE,TRUE),Inputs!$B$4="Chapter Hunt"),CHOOSE(ArtifactsInput!$N$27+1,20,24,28,32,36,40),0)/100)))))/Skills!H13+0.000000001),1)))/Inputs!$B$43),G2200*Q2200))*IF(Inputs!$B$38="pvp",1,1+(Inputs!$B$20+0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Hunt"),CHOOSE(ArtifactsInput!$N$35+1,15,18,21,24,27,30)*(1-EXP(-(0.2*B2220)*5)),0)+IF(AND(ArtifactsInput!$M$22,Inputs!$B$4&lt;&gt;"Chapter Hunt"),CHOOSE(ArtifactsInput!$N$22+1,10,12,14,16,18,20)*((0*(((0.15*B2220*5))^0/1)+1*(((0.15*B2220*5))^1/1)+2*(((0.15*B2220*5))^2/2)+3*(((0.15*B2220*5))^3/6)+4*(((0.15*B2220*5))^4/24)+5*(((0.15*B2220*5))^5/120))/((((0.15*B2220*5))^0/1)+(((0.15*B2220*5))^1/1)+(((0.15*B2220*5))^2/2)+(((0.15*B2220*5))^3/6)+(((0.15*B2220*5))^4/24)+(((0.15*B2220*5))^5/120))),0))+IF(Inputs!$B$3&gt;=54,9*(C2190=TRUE)*MIN(1,8*(1+Inputs!$B$34/100)*Q2190)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2200*(1-MIN(100,(Inputs!$B$9+((C2206=TRUE)*(F2206-Calc!F19))+B2218+(ArtifactsInput!$M$24-ArtifactsInput!$M$24)*CHOOSE(ArtifactsInput!$N$24+1,10,12,14,16,18,20)+(IF(AND(Inputs!$B$38&lt;&gt;"pvp",Inputs!$B$43=0),1,IF(IF(Inputs!$B$38="pvp",15,Inputs!$B$43)-(B2225)&lt;=0,1,MAX(0,IF(Inputs!$B$38="pvp",15,Inputs!$B$43)-MAX(5,B2225))/(IF(Inputs!$B$38="pvp",15,Inputs!$B$43)-(B2225))))*IF(AND(ArtifactsInput!$M$42,((Inputs!$B$9+((C2206=TRUE)*(F2206-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2200*(MIN(100,(Inputs!$B$9+((C2206=TRUE)*(F2206-Calc!F19))+B2218+(ArtifactsInput!$M$24-ArtifactsInput!$M$24)*CHOOSE(ArtifactsInput!$N$24+1,10,12,14,16,18,20)+(IF(AND(Inputs!$B$38&lt;&gt;"pvp",Inputs!$B$43=0),1,IF(IF(Inputs!$B$38="pvp",15,Inputs!$B$43)-(B2225)&lt;=0,1,MAX(0,IF(Inputs!$B$38="pvp",15,Inputs!$B$43)-MAX(5,B2225))/(IF(Inputs!$B$38="pvp",15,Inputs!$B$43)-(B2225))))*IF(AND(ArtifactsInput!$M$42,((Inputs!$B$9+((C2206=TRUE)*(F2206-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2200*(1-MIN(100,(Inputs!$B$9+((C2206=TRUE)*(F2206-Calc!F19))+B2218+(ArtifactsInput!$M$24-ArtifactsInput!$M$24)*CHOOSE(ArtifactsInput!$N$24+1,10,12,14,16,18,20)+(IF(AND(Inputs!$B$38&lt;&gt;"pvp",Inputs!$B$43=0),1,IF(IF(Inputs!$B$38="pvp",15,Inputs!$B$43)-(B2225)&lt;=0,1,MAX(0,IF(Inputs!$B$38="pvp",15,Inputs!$B$43)-MAX(5,B2225))/(IF(Inputs!$B$38="pvp",15,Inputs!$B$43)-(B2225))))*IF(AND(ArtifactsInput!$M$42,((Inputs!$B$9+((C2206=TRUE)*(F2206-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2200*(MIN(100,(Inputs!$B$9+((C2206=TRUE)*(F2206-Calc!F19))+B2218+(ArtifactsInput!$M$24-ArtifactsInput!$M$24)*CHOOSE(ArtifactsInput!$N$24+1,10,12,14,16,18,20)+(IF(AND(Inputs!$B$38&lt;&gt;"pvp",Inputs!$B$43=0),1,IF(IF(Inputs!$B$38="pvp",15,Inputs!$B$43)-(B2225)&lt;=0,1,MAX(0,IF(Inputs!$B$38="pvp",15,Inputs!$B$43)-MAX(5,B2225))/(IF(Inputs!$B$38="pvp",15,Inputs!$B$43)-(B2225))))*IF(AND(ArtifactsInput!$M$42,((Inputs!$B$9+((C2206=TRUE)*(F2206-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200">
        <f>IF(C2200,(H2200*N2200*IF(AND(Inputs!$B$38&lt;&gt;"pvp",Inputs!$B$43&gt;0),((Skills!G13*((R2200-1)*IF(Skills!H13&gt;0,INT(Skills!I13/Skills!H13+0.000000001),1)+IF(Skills!H13&gt;0,INT(MIN(Skills!I13,MAX(0,MAX(0,Inputs!$B$43-B2225)-((R2200-1)*(IF(Inputs!$B$38="pvp",15,MAX(0.1,Skills!D13-IF(TRUE=TRUE,Inputs!$B$32,0)))*(1-IF(AND(IF(ArtifactsInput!$M$27,FALSE,TRUE),Inputs!$B$4="Chapter Hunt"),CHOOSE(ArtifactsInput!$N$27+1,20,24,28,32,36,40),0)/100)))))/Skills!H13+0.000000001),1)))/Inputs!$B$43),G2200*Q2200))*IF(Inputs!$B$38="pvp",1,(1+(Inputs!$B$21+Skills!Q13+(IF(ArtifactsInput!$M$33,CHOOSE(ArtifactsInput!$N$33+1,30,36,42,48,54,60),0))+(IF(AND(ArtifactsInput!$M$35,Inputs!$B$4&lt;&gt;"Chapter Hunt"),CHOOSE(ArtifactsInput!$N$35+1,15,18,21,24,27,30)*(1-EXP(-(0.2*B2220)*5)),0)+IF(AND(ArtifactsInput!$M$22,Inputs!$B$4&lt;&gt;"Chapter Hunt"),CHOOSE(ArtifactsInput!$N$22+1,10,12,14,16,18,20)*((0*(((0.15*B2220*5))^0/1)+1*(((0.15*B2220*5))^1/1)+2*(((0.15*B2220*5))^2/2)+3*(((0.15*B2220*5))^3/6)+4*(((0.15*B2220*5))^4/24)+5*(((0.15*B2220*5))^5/120))/((((0.15*B2220*5))^0/1)+(((0.15*B2220*5))^1/1)+(((0.15*B2220*5))^2/2)+(((0.15*B2220*5))^3/6)+(((0.15*B2220*5))^4/24)+(((0.15*B2220*5))^5/120))),0))+IF(Inputs!$B$3&gt;=54,9*(C2190=TRUE)*MIN(1,8*(1+Inputs!$B$34/100)*Q2190),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01">
      <c r="A2201">
        <f>Skills!A14</f>
        <v/>
      </c>
      <c r="B2201">
        <f>Skills!B14</f>
        <v/>
      </c>
      <c r="C2201">
        <f>Inputs!$B$3&gt;=120</f>
        <v/>
      </c>
      <c r="D2201">
        <f>IF(Skills!C14=1,60+Inputs!$B$25+Inputs!$B$29,IF(Skills!C14=2,90+Inputs!$B$26+Inputs!$B$29,IF(Skills!C14=3,120+Inputs!$B$27+Inputs!$B$29,MAX(0,(Inputs!$B$3-100)*3)+Inputs!$B$28+Inputs!$B$29)))</f>
        <v/>
      </c>
      <c r="E2201">
        <f>INDEX(FactorTable!$B$2:$Y$301, MATCH(ROUND(MIN(300,MAX(1,D2201)),0), FactorTable!$A$2:$A$301,0), Skills!M14+1)</f>
        <v/>
      </c>
      <c r="F2201">
        <f>IF(Skills!N14=TRUE,(Skills!L14/10)*(E2201/1000),Skills!L14/10)+Skills!O14</f>
        <v/>
      </c>
      <c r="G2201">
        <f>Skills!G14*IF(Skills!H14&gt;0,INT(IF(Inputs!$B$38="pvp",MIN(Skills!I14,15),Skills!I14)/Skills!H14+0.000000001),1)</f>
        <v/>
      </c>
      <c r="H2201">
        <f>1-(1-Skills!J14/100)^Skills!K14</f>
        <v/>
      </c>
      <c r="I2201" t="inlineStr">
        <is>
          <t>1</t>
        </is>
      </c>
      <c r="J2201">
        <f>((Inputs!$B$6*(1+Inputs!$B$7/100))+(((Inputs!$B$12*(1+Inputs!$B$13/100))-(Inputs!$B$12*(1+Inputs!$B$13/100)))+0.25*(Inputs!$B$14-Inputs!$B$14))*(1+Inputs!$B$7/100))*(F2201/100)</f>
        <v/>
      </c>
      <c r="K2201">
        <f>J2201*(1+((Inputs!$B$12*(1+Inputs!$B$13/100))*0.01+Inputs!$B$14*0.0025)/100)*(1+Inputs!$B$15/100)*(1+Inputs!$B$16/100)*(5000/(6000+Inputs!$B$42*(1-(100*(1-(1-(Inputs!$B$19+0)/100)*(1-CHOOSE(ArtifactsInput!$N$40+1,5,6,7,8,9,10)/100)^(ArtifactsInput!$M$40-ArtifactsInput!$M$40)))/100)))*(1+(Inputs!$B$24+((C2213=TRUE)*(F2213-Calc!F26))+B2224)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EIGHT_LEGS_EASTON",Inputs!$B$17+((C2210=TRUE)*(F2210-Calc!F23))+((C2214=TRUE)*(F2214-Calc!F27))+((IF(AND(Inputs!$B$38&lt;&gt;"pvp",Inputs!$B$43=0),1,IF(IF(Inputs!$B$38="pvp",15,Inputs!$B$43)-(B2225)&lt;=0,1,MAX(0,IF(Inputs!$B$38="pvp",15,Inputs!$B$43)-MAX(5,B2225))/(IF(Inputs!$B$38="pvp",15,Inputs!$B$43)-(B2225))))*(IF(AND(ArtifactsInput!$M$42,((Inputs!$B$9+((C2206=TRUE)*(F2206-Calc!F19))+B2218+(ArtifactsInput!$M$24-ArtifactsInput!$M$24)*CHOOSE(ArtifactsInput!$N$24+1,10,12,14,16,18,20)+IF(ArtifactsInput!$M$10,CHOOSE(ArtifactsInput!$N$10+1,15,18,21,24,27,30)*(IF(Inputs!$B$38="pvp",MIN(15,15)/15,IF(AND(Inputs!$B$38&lt;&gt;"pvp",Inputs!$B$43&gt;0),MIN(15,Inputs!$B$43)/(Inputs!$B$43),0))),0)))&gt;=100),MIN(100,((Inputs!$B$9+((C2206=TRUE)*(F2206-Calc!F19))+B2218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2225)&lt;=0,1,MAX(0,IF(Inputs!$B$38="pvp",15,Inputs!$B$43)-MAX(5,B2225))/(IF(Inputs!$B$38="pvp",15,Inputs!$B$43)-(B2225))))*IF(AND(ArtifactsInput!$M$42,((Inputs!$B$9+((C2206=TRUE)*(F2206-Calc!F19))+B2218+(ArtifactsInput!$M$24-ArtifactsInput!$M$24)*CHOOSE(ArtifactsInput!$N$24+1,10,12,14,16,18,20)+IF(ArtifactsInput!$M$10,CHOOSE(ArtifactsInput!$N$10+1,15,18,21,24,27,30)*(IF(Inputs!$B$38="pvp",MIN(15,15)/15,IF(AND(Inputs!$B$38&lt;&gt;"pvp",Inputs!$B$43&gt;0),MIN(15,Inputs!$B$43)/(Inputs!$B$43),0))),0)))&gt;=100),CHOOSE(ArtifactsInput!$N$42+1,40,48,56,64,72,80),0))))/100)*((1+(((C2204=TRUE)*F2204*5/7)+((C2211=TRUE)*(F2211-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2201)</f>
        <v/>
      </c>
      <c r="L2201">
        <f>K2201*(MIN(Inputs!$B$22+((C2209=TRUE)*(F2209-Calc!F22)),(Inputs!$B$23+0+(IF(ArtifactsInput!$M$15,CHOOSE(ArtifactsInput!$N$15+1,25,30,35,40,45,50)/100*(Inputs!$B$11-Inputs!$B$11),0))))/100+(Inputs!$B$23+0+(IF(ArtifactsInput!$M$15,CHOOSE(ArtifactsInput!$N$15+1,25,30,35,40,45,50)/100*(Inputs!$B$11-Inputs!$B$11),0)))/100)/2</f>
        <v/>
      </c>
      <c r="M2201">
        <f>L2201*(1+(Inputs!$B$10+((C2212=TRUE)*(F2212-Calc!F25))+B2223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01">
        <f>L2201*(1-MIN((Inputs!$B$9+((C2206=TRUE)*(F2206-Calc!F19))+B2218+(ArtifactsInput!$M$24-ArtifactsInput!$M$24)*CHOOSE(ArtifactsInput!$N$24+1,10,12,14,16,18,20)+(IF(AND(Inputs!$B$38&lt;&gt;"pvp",Inputs!$B$43=0),1,IF(IF(Inputs!$B$38="pvp",15,Inputs!$B$43)-(B2225)&lt;=0,1,MAX(0,IF(Inputs!$B$38="pvp",15,Inputs!$B$43)-MAX(5,B2225))/(IF(Inputs!$B$38="pvp",15,Inputs!$B$43)-(B2225))))*IF(AND(ArtifactsInput!$M$42,((Inputs!$B$9+((C2206=TRUE)*(F2206-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2201*(MIN((Inputs!$B$9+((C2206=TRUE)*(F2206-Calc!F19))+B2218+(ArtifactsInput!$M$24-ArtifactsInput!$M$24)*CHOOSE(ArtifactsInput!$N$24+1,10,12,14,16,18,20)+(IF(AND(Inputs!$B$38&lt;&gt;"pvp",Inputs!$B$43=0),1,IF(IF(Inputs!$B$38="pvp",15,Inputs!$B$43)-(B2225)&lt;=0,1,MAX(0,IF(Inputs!$B$38="pvp",15,Inputs!$B$43)-MAX(5,B2225))/(IF(Inputs!$B$38="pvp",15,Inputs!$B$43)-(B2225))))*IF(AND(ArtifactsInput!$M$42,((Inputs!$B$9+((C2206=TRUE)*(F2206-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01">
        <f>(1-Summary!$B$11)*T2201+Summary!$B$11*V2201</f>
        <v/>
      </c>
      <c r="P2201">
        <f>IF(B2228=0,0,O2201/B2228)</f>
        <v/>
      </c>
      <c r="Q2201" t="n">
        <v>0</v>
      </c>
      <c r="R2201" t="n">
        <v>0</v>
      </c>
      <c r="S2201">
        <f>IFERROR(O2201/N2201,0)</f>
        <v/>
      </c>
      <c r="T2201">
        <f>IF(C2201,((H2201*(B2222+IF(AND(Inputs!$B$38&lt;&gt;"pvp",Inputs!$B$43&gt;0),((Skills!G8*((R2195-1)*IF(Skills!H8&gt;0,INT(Skills!I8/Skills!H8+0.000000001),1)+IF(Skills!H8&gt;0,INT(MIN(Skills!I8,MAX(0,MAX(0,Inputs!$B$43-B2225)-((R2195-1)*((IF(Inputs!$B$38="pvp",15,MAX(0.1,Skills!D8-IF(TRUE=TRUE,Inputs!$B$32,0)))*(1-IF(AND(IF(ArtifactsInput!$M$27,FALSE,TRUE),Inputs!$B$4="Chapter Hunt"),CHOOSE(ArtifactsInput!$N$27+1,20,24,28,32,36,40),0)/100))/B2229))))/Skills!H8+0.000000001),1)))/Inputs!$B$43),G2195*Q2195)+IF(AND(Inputs!$B$38&lt;&gt;"pvp",Inputs!$B$43&gt;0),((Skills!G11*((R2198-1)*IF(Skills!H11&gt;0,INT(Skills!I11/Skills!H11+0.000000001),1)+IF(Skills!H11&gt;0,INT(MIN(Skills!I11,MAX(0,MAX(0,Inputs!$B$43-B2225)-((R2198-1)*((IF(Inputs!$B$38="pvp",15,MAX(0.1,Skills!D11-IF(TRUE=TRUE,Inputs!$B$32,0)))*(1-IF(AND(IF(ArtifactsInput!$M$27,FALSE,TRUE),Inputs!$B$4="Chapter Hunt"),CHOOSE(ArtifactsInput!$N$27+1,20,24,28,32,36,40),0)/100))/B2229))))/Skills!H11+0.000000001),1)))/Inputs!$B$43),G2198*Q2198)))/(1+Skills!H14*H2201*(B2222+IF(AND(Inputs!$B$38&lt;&gt;"pvp",Inputs!$B$43&gt;0),((Skills!G8*((R2195-1)*IF(Skills!H8&gt;0,INT(Skills!I8/Skills!H8+0.000000001),1)+IF(Skills!H8&gt;0,INT(MIN(Skills!I8,MAX(0,MAX(0,Inputs!$B$43-B2225)-((R2195-1)*((IF(Inputs!$B$38="pvp",15,MAX(0.1,Skills!D8-IF(TRUE=TRUE,Inputs!$B$32,0)))*(1-IF(AND(IF(ArtifactsInput!$M$27,FALSE,TRUE),Inputs!$B$4="Chapter Hunt"),CHOOSE(ArtifactsInput!$N$27+1,20,24,28,32,36,40),0)/100))/B2229))))/Skills!H8+0.000000001),1)))/Inputs!$B$43),G2195*Q2195)+IF(AND(Inputs!$B$38&lt;&gt;"pvp",Inputs!$B$43&gt;0),((Skills!G11*((R2198-1)*IF(Skills!H11&gt;0,INT(Skills!I11/Skills!H11+0.000000001),1)+IF(Skills!H11&gt;0,INT(MIN(Skills!I11,MAX(0,MAX(0,Inputs!$B$43-B2225)-((R2198-1)*((IF(Inputs!$B$38="pvp",15,MAX(0.1,Skills!D11-IF(TRUE=TRUE,Inputs!$B$32,0)))*(1-IF(AND(IF(ArtifactsInput!$M$27,FALSE,TRUE),Inputs!$B$4="Chapter Hunt"),CHOOSE(ArtifactsInput!$N$27+1,20,24,28,32,36,40),0)/100))/B2229))))/Skills!H11+0.000000001),1)))/Inputs!$B$43),G2198*Q2198)))*N2201)*IF(Inputs!$B$38="pvp",1,1+(Inputs!$B$20+0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Hunt"),CHOOSE(ArtifactsInput!$N$35+1,15,18,21,24,27,30)*(1-EXP(-(0.2*B2220)*5)),0)+IF(AND(ArtifactsInput!$M$22,Inputs!$B$4&lt;&gt;"Chapter Hunt"),CHOOSE(ArtifactsInput!$N$22+1,10,12,14,16,18,20)*((0*(((0.15*B2220*5))^0/1)+1*(((0.15*B2220*5))^1/1)+2*(((0.15*B2220*5))^2/2)+3*(((0.15*B2220*5))^3/6)+4*(((0.15*B2220*5))^4/24)+5*(((0.15*B2220*5))^5/120))/((((0.15*B2220*5))^0/1)+(((0.15*B2220*5))^1/1)+(((0.15*B2220*5))^2/2)+(((0.15*B2220*5))^3/6)+(((0.15*B2220*5))^4/24)+(((0.15*B2220*5))^5/120))),0))+IF(Inputs!$B$3&gt;=54,9*(C2190=TRUE)*MIN(1,8*(1+Inputs!$B$34/100)*Q2190)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2201*(1-MIN(100,(Inputs!$B$9+((C2206=TRUE)*(F2206-Calc!F19))+B2218+(ArtifactsInput!$M$24-ArtifactsInput!$M$24)*CHOOSE(ArtifactsInput!$N$24+1,10,12,14,16,18,20)+(IF(AND(Inputs!$B$38&lt;&gt;"pvp",Inputs!$B$43=0),1,IF(IF(Inputs!$B$38="pvp",15,Inputs!$B$43)-(B2225)&lt;=0,1,MAX(0,IF(Inputs!$B$38="pvp",15,Inputs!$B$43)-MAX(5,B2225))/(IF(Inputs!$B$38="pvp",15,Inputs!$B$43)-(B2225))))*IF(AND(ArtifactsInput!$M$42,((Inputs!$B$9+((C2206=TRUE)*(F2206-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2201*(MIN(100,(Inputs!$B$9+((C2206=TRUE)*(F2206-Calc!F19))+B2218+(ArtifactsInput!$M$24-ArtifactsInput!$M$24)*CHOOSE(ArtifactsInput!$N$24+1,10,12,14,16,18,20)+(IF(AND(Inputs!$B$38&lt;&gt;"pvp",Inputs!$B$43=0),1,IF(IF(Inputs!$B$38="pvp",15,Inputs!$B$43)-(B2225)&lt;=0,1,MAX(0,IF(Inputs!$B$38="pvp",15,Inputs!$B$43)-MAX(5,B2225))/(IF(Inputs!$B$38="pvp",15,Inputs!$B$43)-(B2225))))*IF(AND(ArtifactsInput!$M$42,((Inputs!$B$9+((C2206=TRUE)*(F2206-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2201*(1-MIN(100,(Inputs!$B$9+((C2206=TRUE)*(F2206-Calc!F19))+B2218+(ArtifactsInput!$M$24-ArtifactsInput!$M$24)*CHOOSE(ArtifactsInput!$N$24+1,10,12,14,16,18,20)+(IF(AND(Inputs!$B$38&lt;&gt;"pvp",Inputs!$B$43=0),1,IF(IF(Inputs!$B$38="pvp",15,Inputs!$B$43)-(B2225)&lt;=0,1,MAX(0,IF(Inputs!$B$38="pvp",15,Inputs!$B$43)-MAX(5,B2225))/(IF(Inputs!$B$38="pvp",15,Inputs!$B$43)-(B2225))))*IF(AND(ArtifactsInput!$M$42,((Inputs!$B$9+((C2206=TRUE)*(F2206-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2201*(MIN(100,(Inputs!$B$9+((C2206=TRUE)*(F2206-Calc!F19))+B2218+(ArtifactsInput!$M$24-ArtifactsInput!$M$24)*CHOOSE(ArtifactsInput!$N$24+1,10,12,14,16,18,20)+(IF(AND(Inputs!$B$38&lt;&gt;"pvp",Inputs!$B$43=0),1,IF(IF(Inputs!$B$38="pvp",15,Inputs!$B$43)-(B2225)&lt;=0,1,MAX(0,IF(Inputs!$B$38="pvp",15,Inputs!$B$43)-MAX(5,B2225))/(IF(Inputs!$B$38="pvp",15,Inputs!$B$43)-(B2225))))*IF(AND(ArtifactsInput!$M$42,((Inputs!$B$9+((C2206=TRUE)*(F2206-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201">
        <f>IF(C2201,((H2201*(B2222+IF(AND(Inputs!$B$38&lt;&gt;"pvp",Inputs!$B$43&gt;0),((Skills!G8*((R2195-1)*IF(Skills!H8&gt;0,INT(Skills!I8/Skills!H8+0.000000001),1)+IF(Skills!H8&gt;0,INT(MIN(Skills!I8,MAX(0,MAX(0,Inputs!$B$43-B2225)-((R2195-1)*((IF(Inputs!$B$38="pvp",15,MAX(0.1,Skills!D8-IF(TRUE=TRUE,Inputs!$B$32,0)))*(1-IF(AND(IF(ArtifactsInput!$M$27,FALSE,TRUE),Inputs!$B$4="Chapter Hunt"),CHOOSE(ArtifactsInput!$N$27+1,20,24,28,32,36,40),0)/100))/B2229))))/Skills!H8+0.000000001),1)))/Inputs!$B$43),G2195*Q2195)+IF(AND(Inputs!$B$38&lt;&gt;"pvp",Inputs!$B$43&gt;0),((Skills!G11*((R2198-1)*IF(Skills!H11&gt;0,INT(Skills!I11/Skills!H11+0.000000001),1)+IF(Skills!H11&gt;0,INT(MIN(Skills!I11,MAX(0,MAX(0,Inputs!$B$43-B2225)-((R2198-1)*((IF(Inputs!$B$38="pvp",15,MAX(0.1,Skills!D11-IF(TRUE=TRUE,Inputs!$B$32,0)))*(1-IF(AND(IF(ArtifactsInput!$M$27,FALSE,TRUE),Inputs!$B$4="Chapter Hunt"),CHOOSE(ArtifactsInput!$N$27+1,20,24,28,32,36,40),0)/100))/B2229))))/Skills!H11+0.000000001),1)))/Inputs!$B$43),G2198*Q2198)))/(1+Skills!H14*H2201*(B2222+IF(AND(Inputs!$B$38&lt;&gt;"pvp",Inputs!$B$43&gt;0),((Skills!G8*((R2195-1)*IF(Skills!H8&gt;0,INT(Skills!I8/Skills!H8+0.000000001),1)+IF(Skills!H8&gt;0,INT(MIN(Skills!I8,MAX(0,MAX(0,Inputs!$B$43-B2225)-((R2195-1)*((IF(Inputs!$B$38="pvp",15,MAX(0.1,Skills!D8-IF(TRUE=TRUE,Inputs!$B$32,0)))*(1-IF(AND(IF(ArtifactsInput!$M$27,FALSE,TRUE),Inputs!$B$4="Chapter Hunt"),CHOOSE(ArtifactsInput!$N$27+1,20,24,28,32,36,40),0)/100))/B2229))))/Skills!H8+0.000000001),1)))/Inputs!$B$43),G2195*Q2195)+IF(AND(Inputs!$B$38&lt;&gt;"pvp",Inputs!$B$43&gt;0),((Skills!G11*((R2198-1)*IF(Skills!H11&gt;0,INT(Skills!I11/Skills!H11+0.000000001),1)+IF(Skills!H11&gt;0,INT(MIN(Skills!I11,MAX(0,MAX(0,Inputs!$B$43-B2225)-((R2198-1)*((IF(Inputs!$B$38="pvp",15,MAX(0.1,Skills!D11-IF(TRUE=TRUE,Inputs!$B$32,0)))*(1-IF(AND(IF(ArtifactsInput!$M$27,FALSE,TRUE),Inputs!$B$4="Chapter Hunt"),CHOOSE(ArtifactsInput!$N$27+1,20,24,28,32,36,40),0)/100))/B2229))))/Skills!H11+0.000000001),1)))/Inputs!$B$43),G2198*Q2198)))*N2201)*IF(Inputs!$B$38="pvp",1,(1+(Inputs!$B$21+Skills!Q14+(IF(ArtifactsInput!$M$33,CHOOSE(ArtifactsInput!$N$33+1,30,36,42,48,54,60),0))+(IF(AND(ArtifactsInput!$M$35,Inputs!$B$4&lt;&gt;"Chapter Hunt"),CHOOSE(ArtifactsInput!$N$35+1,15,18,21,24,27,30)*(1-EXP(-(0.2*B2220)*5)),0)+IF(AND(ArtifactsInput!$M$22,Inputs!$B$4&lt;&gt;"Chapter Hunt"),CHOOSE(ArtifactsInput!$N$22+1,10,12,14,16,18,20)*((0*(((0.15*B2220*5))^0/1)+1*(((0.15*B2220*5))^1/1)+2*(((0.15*B2220*5))^2/2)+3*(((0.15*B2220*5))^3/6)+4*(((0.15*B2220*5))^4/24)+5*(((0.15*B2220*5))^5/120))/((((0.15*B2220*5))^0/1)+(((0.15*B2220*5))^1/1)+(((0.15*B2220*5))^2/2)+(((0.15*B2220*5))^3/6)+(((0.15*B2220*5))^4/24)+(((0.15*B2220*5))^5/120))),0))+IF(Inputs!$B$3&gt;=54,9*(C2190=TRUE)*MIN(1,8*(1+Inputs!$B$34/100)*Q2190),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02">
      <c r="A2202">
        <f>Skills!A15</f>
        <v/>
      </c>
      <c r="B2202">
        <f>Skills!B15</f>
        <v/>
      </c>
      <c r="C2202">
        <f>Inputs!$B$3&gt;=100</f>
        <v/>
      </c>
      <c r="D2202">
        <f>IF(Skills!C15=1,60+Inputs!$B$25+Inputs!$B$29,IF(Skills!C15=2,90+Inputs!$B$26+Inputs!$B$29,IF(Skills!C15=3,120+Inputs!$B$27+Inputs!$B$29,MAX(0,(Inputs!$B$3-100)*3)+Inputs!$B$28+Inputs!$B$29)))</f>
        <v/>
      </c>
      <c r="E2202">
        <f>INDEX(FactorTable!$B$2:$Y$301, MATCH(ROUND(MIN(300,MAX(1,D2202)),0), FactorTable!$A$2:$A$301,0), Skills!M15+1)</f>
        <v/>
      </c>
      <c r="F2202">
        <f>IF(Skills!N15=TRUE,(Skills!L15/10)*(E2202/1000),Skills!L15/10)+Skills!O15</f>
        <v/>
      </c>
      <c r="G2202" t="inlineStr"/>
      <c r="H2202" t="inlineStr"/>
      <c r="I2202" t="inlineStr">
        <is>
          <t>1</t>
        </is>
      </c>
      <c r="J2202" t="inlineStr"/>
      <c r="K2202" t="inlineStr"/>
      <c r="L2202" t="inlineStr"/>
      <c r="M2202" t="inlineStr"/>
      <c r="N2202" t="inlineStr"/>
      <c r="O2202" t="inlineStr"/>
      <c r="P2202" t="inlineStr"/>
      <c r="Q2202" t="inlineStr"/>
      <c r="R2202" t="inlineStr"/>
      <c r="S2202" t="inlineStr"/>
    </row>
    <row r="2203">
      <c r="A2203">
        <f>Skills!A16</f>
        <v/>
      </c>
      <c r="B2203">
        <f>Skills!B16</f>
        <v/>
      </c>
      <c r="C2203">
        <f>Inputs!$B$3&gt;=107</f>
        <v/>
      </c>
      <c r="D2203">
        <f>IF(Skills!C16=1,60+Inputs!$B$25+Inputs!$B$29,IF(Skills!C16=2,90+Inputs!$B$26+Inputs!$B$29,IF(Skills!C16=3,120+Inputs!$B$27+Inputs!$B$29,MAX(0,(Inputs!$B$3-100)*3)+Inputs!$B$28+Inputs!$B$29)))</f>
        <v/>
      </c>
      <c r="E2203">
        <f>INDEX(FactorTable!$B$2:$Y$301, MATCH(ROUND(MIN(300,MAX(1,D2203)),0), FactorTable!$A$2:$A$301,0), Skills!M16+1)</f>
        <v/>
      </c>
      <c r="F2203">
        <f>IF(Skills!N16=TRUE,(Skills!L16/10)*(E2203/1000),Skills!L16/10)+Skills!O16</f>
        <v/>
      </c>
      <c r="G2203" t="inlineStr"/>
      <c r="H2203" t="inlineStr"/>
      <c r="I2203" t="inlineStr">
        <is>
          <t>1</t>
        </is>
      </c>
      <c r="J2203" t="inlineStr"/>
      <c r="K2203" t="inlineStr"/>
      <c r="L2203" t="inlineStr"/>
      <c r="M2203" t="inlineStr"/>
      <c r="N2203" t="inlineStr"/>
      <c r="O2203" t="inlineStr"/>
      <c r="P2203" t="inlineStr"/>
      <c r="Q2203" t="inlineStr"/>
      <c r="R2203" t="inlineStr"/>
      <c r="S2203" t="inlineStr"/>
    </row>
    <row r="2204">
      <c r="A2204">
        <f>Skills!A17</f>
        <v/>
      </c>
      <c r="B2204">
        <f>Skills!B17</f>
        <v/>
      </c>
      <c r="C2204">
        <f>Inputs!$B$3&gt;=74</f>
        <v/>
      </c>
      <c r="D2204">
        <f>IF(Skills!C17=1,60+Inputs!$B$25+Inputs!$B$29,IF(Skills!C17=2,90+Inputs!$B$26+Inputs!$B$29,IF(Skills!C17=3,120+Inputs!$B$27+Inputs!$B$29,MAX(0,(Inputs!$B$3-100)*3)+Inputs!$B$28+Inputs!$B$29)))</f>
        <v/>
      </c>
      <c r="E2204">
        <f>INDEX(FactorTable!$B$2:$Y$301, MATCH(ROUND(MIN(300,MAX(1,D2204)),0), FactorTable!$A$2:$A$301,0), Skills!M17+1)</f>
        <v/>
      </c>
      <c r="F2204">
        <f>IF(Skills!N17=TRUE,(Skills!L17/10)*(E2204/1000),Skills!L17/10)+Skills!O17</f>
        <v/>
      </c>
      <c r="G2204">
        <f>Skills!G17*IF(Skills!H17&gt;0,INT(IF(Inputs!$B$38="pvp",MIN(Skills!I17,15),Skills!I17)/Skills!H17+0.000000001),1)</f>
        <v/>
      </c>
      <c r="H2204">
        <f>1-(1-Skills!J17/100)^Skills!K17</f>
        <v/>
      </c>
      <c r="I2204" t="inlineStr">
        <is>
          <t>1</t>
        </is>
      </c>
      <c r="J2204" t="inlineStr"/>
      <c r="K2204" t="inlineStr"/>
      <c r="L2204" t="inlineStr"/>
      <c r="M2204" t="inlineStr"/>
      <c r="N2204" t="inlineStr"/>
      <c r="O2204">
        <f>(1-Summary!$B$11)*T2204+Summary!$B$11*V2204</f>
        <v/>
      </c>
      <c r="P2204">
        <f>IF(B2228=0,0,O2204/B2228)</f>
        <v/>
      </c>
      <c r="Q2204" t="n">
        <v>0</v>
      </c>
      <c r="R2204" t="n">
        <v>0</v>
      </c>
      <c r="S2204">
        <f>IFERROR(O2204/N2204,0)</f>
        <v/>
      </c>
      <c r="T2204" t="n">
        <v>0</v>
      </c>
      <c r="V2204" t="n">
        <v>0</v>
      </c>
    </row>
    <row r="2205">
      <c r="A2205">
        <f>Skills!A18</f>
        <v/>
      </c>
      <c r="B2205">
        <f>Skills!B18</f>
        <v/>
      </c>
      <c r="C2205">
        <f>Inputs!$B$3&gt;=115</f>
        <v/>
      </c>
      <c r="D2205">
        <f>IF(Skills!C18=1,60+Inputs!$B$25+Inputs!$B$29,IF(Skills!C18=2,90+Inputs!$B$26+Inputs!$B$29,IF(Skills!C18=3,120+Inputs!$B$27+Inputs!$B$29,MAX(0,(Inputs!$B$3-100)*3)+Inputs!$B$28+Inputs!$B$29)))</f>
        <v/>
      </c>
      <c r="E2205">
        <f>INDEX(FactorTable!$B$2:$Y$301, MATCH(ROUND(MIN(300,MAX(1,D2205)),0), FactorTable!$A$2:$A$301,0), Skills!M18+1)</f>
        <v/>
      </c>
      <c r="F2205">
        <f>IF(Skills!N18=TRUE,(Skills!L18/10)*(E2205/1000),Skills!L18/10)+Skills!O18</f>
        <v/>
      </c>
      <c r="G2205">
        <f>Skills!G18*IF(Skills!H18&gt;0,INT(IF(Inputs!$B$38="pvp",MIN(Skills!I18,15),Skills!I18)/Skills!H18+0.000000001),1)</f>
        <v/>
      </c>
      <c r="H2205">
        <f>1-(1-Skills!J18/100)^Skills!K18</f>
        <v/>
      </c>
      <c r="I2205" t="inlineStr">
        <is>
          <t>1</t>
        </is>
      </c>
      <c r="J2205" t="inlineStr"/>
      <c r="K2205" t="inlineStr"/>
      <c r="L2205" t="inlineStr"/>
      <c r="M2205" t="inlineStr"/>
      <c r="N2205" t="inlineStr"/>
      <c r="O2205">
        <f>(1-Summary!$B$11)*T2205+Summary!$B$11*V2205</f>
        <v/>
      </c>
      <c r="P2205">
        <f>IF(B2228=0,0,O2205/B2228)</f>
        <v/>
      </c>
      <c r="Q2205">
        <f>IFERROR(1/(IF(Inputs!$B$38="pvp",15,MAX(0.1,Skills!D18-IF(TRUE=TRUE,Inputs!$B$32,0)))*(1-IF(AND(IF(ArtifactsInput!$M$27,FALSE,TRUE),Inputs!$B$4="Chapter Hunt"),CHOOSE(ArtifactsInput!$N$27+1,20,24,28,32,36,40),0)/100)),0)</f>
        <v/>
      </c>
      <c r="R2205">
        <f>IF(AND(Inputs!$B$38&lt;&gt;"pvp",Inputs!$B$43&gt;0),IF(Inputs!$B$43&lt;=0,0,(INT(Inputs!$B$43/(IF(Inputs!$B$38="pvp",15,MAX(0.1,Skills!D18-IF(TRUE=TRUE,Inputs!$B$32,0)))*(1-IF(AND(IF(ArtifactsInput!$M$27,FALSE,TRUE),Inputs!$B$4="Chapter Hunt"),CHOOSE(ArtifactsInput!$N$27+1,20,24,28,32,36,40),0)/100)))+1)),0)</f>
        <v/>
      </c>
      <c r="S2205">
        <f>IFERROR(O2205/N2205,0)</f>
        <v/>
      </c>
      <c r="T2205" t="n">
        <v>0</v>
      </c>
      <c r="V2205" t="n">
        <v>0</v>
      </c>
    </row>
    <row r="2206">
      <c r="A2206">
        <f>Skills!A19</f>
        <v/>
      </c>
      <c r="B2206">
        <f>Skills!B19</f>
        <v/>
      </c>
      <c r="C2206">
        <f>Inputs!$B$3&gt;=10</f>
        <v/>
      </c>
      <c r="D2206">
        <f>IF(Skills!C19=1,60+Inputs!$B$25+Inputs!$B$29,IF(Skills!C19=2,90+Inputs!$B$26+Inputs!$B$29,IF(Skills!C19=3,120+Inputs!$B$27+Inputs!$B$29,MAX(0,(Inputs!$B$3-100)*3)+Inputs!$B$28+Inputs!$B$29)))</f>
        <v/>
      </c>
      <c r="E2206">
        <f>INDEX(FactorTable!$B$2:$Y$301, MATCH(ROUND(MIN(300,MAX(1,D2206)),0), FactorTable!$A$2:$A$301,0), Skills!M19+1)</f>
        <v/>
      </c>
      <c r="F2206">
        <f>IF(Skills!N19=TRUE,(Skills!L19/10)*(E2206/1000),Skills!L19/10)+Skills!O19</f>
        <v/>
      </c>
      <c r="G2206">
        <f>Skills!G19*IF(Skills!H19&gt;0,INT(IF(Inputs!$B$38="pvp",MIN(Skills!I19,15),Skills!I19)/Skills!H19+0.000000001),1)</f>
        <v/>
      </c>
      <c r="H2206">
        <f>1-(1-Skills!J19/100)^Skills!K19</f>
        <v/>
      </c>
      <c r="I2206" t="inlineStr">
        <is>
          <t>1</t>
        </is>
      </c>
      <c r="J2206" t="inlineStr"/>
      <c r="K2206" t="inlineStr"/>
      <c r="L2206" t="inlineStr"/>
      <c r="M2206" t="inlineStr"/>
      <c r="N2206" t="inlineStr"/>
      <c r="O2206">
        <f>(1-Summary!$B$11)*T2206+Summary!$B$11*V2206</f>
        <v/>
      </c>
      <c r="P2206">
        <f>IF(B2228=0,0,O2206/B2228)</f>
        <v/>
      </c>
      <c r="Q2206" t="n">
        <v>0</v>
      </c>
      <c r="R2206" t="n">
        <v>0</v>
      </c>
      <c r="S2206">
        <f>IFERROR(O2206/N2206,0)</f>
        <v/>
      </c>
      <c r="T2206" t="n">
        <v>0</v>
      </c>
      <c r="V2206" t="n">
        <v>0</v>
      </c>
    </row>
    <row r="2207">
      <c r="A2207">
        <f>Skills!A20</f>
        <v/>
      </c>
      <c r="B2207">
        <f>Skills!B20</f>
        <v/>
      </c>
      <c r="C2207">
        <f>Inputs!$B$3&gt;=15</f>
        <v/>
      </c>
      <c r="D2207">
        <f>IF(Skills!C20=1,60+Inputs!$B$25+Inputs!$B$29,IF(Skills!C20=2,90+Inputs!$B$26+Inputs!$B$29,IF(Skills!C20=3,120+Inputs!$B$27+Inputs!$B$29,MAX(0,(Inputs!$B$3-100)*3)+Inputs!$B$28+Inputs!$B$29)))</f>
        <v/>
      </c>
      <c r="E2207">
        <f>INDEX(FactorTable!$B$2:$Y$301, MATCH(ROUND(MIN(300,MAX(1,D2207)),0), FactorTable!$A$2:$A$301,0), Skills!M20+1)</f>
        <v/>
      </c>
      <c r="F2207">
        <f>IF(Skills!N20=TRUE,(Skills!L20/10)*(E2207/1000),Skills!L20/10)+Skills!O20</f>
        <v/>
      </c>
      <c r="G2207">
        <f>Skills!G20*IF(Skills!H20&gt;0,INT(IF(Inputs!$B$38="pvp",MIN(Skills!I20,15),Skills!I20)/Skills!H20+0.000000001),1)</f>
        <v/>
      </c>
      <c r="H2207">
        <f>1-(1-Skills!J20/100)^Skills!K20</f>
        <v/>
      </c>
      <c r="I2207" t="inlineStr">
        <is>
          <t>1</t>
        </is>
      </c>
      <c r="J2207" t="inlineStr"/>
      <c r="K2207" t="inlineStr"/>
      <c r="L2207" t="inlineStr"/>
      <c r="M2207" t="inlineStr"/>
      <c r="N2207" t="inlineStr"/>
      <c r="O2207">
        <f>(1-Summary!$B$11)*T2207+Summary!$B$11*V2207</f>
        <v/>
      </c>
      <c r="P2207">
        <f>IF(B2228=0,0,O2207/B2228)</f>
        <v/>
      </c>
      <c r="Q2207" t="n">
        <v>0</v>
      </c>
      <c r="R2207" t="n">
        <v>0</v>
      </c>
      <c r="S2207">
        <f>IFERROR(O2207/N2207,0)</f>
        <v/>
      </c>
      <c r="T2207" t="n">
        <v>0</v>
      </c>
      <c r="V2207" t="n">
        <v>0</v>
      </c>
    </row>
    <row r="2208">
      <c r="A2208">
        <f>Skills!A21</f>
        <v/>
      </c>
      <c r="B2208">
        <f>Skills!B21</f>
        <v/>
      </c>
      <c r="C2208">
        <f>Inputs!$B$3&gt;=40</f>
        <v/>
      </c>
      <c r="D2208">
        <f>IF(Skills!C21=1,60+Inputs!$B$25+Inputs!$B$29,IF(Skills!C21=2,90+Inputs!$B$26+Inputs!$B$29,IF(Skills!C21=3,120+Inputs!$B$27+Inputs!$B$29,MAX(0,(Inputs!$B$3-100)*3)+Inputs!$B$28+Inputs!$B$29)))</f>
        <v/>
      </c>
      <c r="E2208">
        <f>INDEX(FactorTable!$B$2:$Y$301, MATCH(ROUND(MIN(300,MAX(1,D2208)),0), FactorTable!$A$2:$A$301,0), Skills!M21+1)</f>
        <v/>
      </c>
      <c r="F2208">
        <f>IF(Skills!N21=TRUE,(Skills!L21/10)*(E2208/1000),Skills!L21/10)+Skills!O21</f>
        <v/>
      </c>
      <c r="G2208">
        <f>Skills!G21*IF(Skills!H21&gt;0,INT(IF(Inputs!$B$38="pvp",MIN(Skills!I21,15),Skills!I21)/Skills!H21+0.000000001),1)</f>
        <v/>
      </c>
      <c r="H2208">
        <f>1-(1-Skills!J21/100)^Skills!K21</f>
        <v/>
      </c>
      <c r="I2208" t="inlineStr">
        <is>
          <t>1</t>
        </is>
      </c>
      <c r="J2208" t="inlineStr"/>
      <c r="K2208" t="inlineStr"/>
      <c r="L2208" t="inlineStr"/>
      <c r="M2208" t="inlineStr"/>
      <c r="N2208" t="inlineStr"/>
      <c r="O2208">
        <f>(1-Summary!$B$11)*T2208+Summary!$B$11*V2208</f>
        <v/>
      </c>
      <c r="P2208">
        <f>IF(B2228=0,0,O2208/B2228)</f>
        <v/>
      </c>
      <c r="Q2208" t="n">
        <v>0</v>
      </c>
      <c r="R2208" t="n">
        <v>0</v>
      </c>
      <c r="S2208">
        <f>IFERROR(O2208/N2208,0)</f>
        <v/>
      </c>
      <c r="T2208" t="n">
        <v>0</v>
      </c>
      <c r="V2208" t="n">
        <v>0</v>
      </c>
    </row>
    <row r="2209">
      <c r="A2209">
        <f>Skills!A22</f>
        <v/>
      </c>
      <c r="B2209">
        <f>Skills!B22</f>
        <v/>
      </c>
      <c r="C2209">
        <f>Inputs!$B$3&gt;=43</f>
        <v/>
      </c>
      <c r="D2209">
        <f>IF(Skills!C22=1,60+Inputs!$B$25+Inputs!$B$29,IF(Skills!C22=2,90+Inputs!$B$26+Inputs!$B$29,IF(Skills!C22=3,120+Inputs!$B$27+Inputs!$B$29,MAX(0,(Inputs!$B$3-100)*3)+Inputs!$B$28+Inputs!$B$29)))</f>
        <v/>
      </c>
      <c r="E2209">
        <f>INDEX(FactorTable!$B$2:$Y$301, MATCH(ROUND(MIN(300,MAX(1,D2209)),0), FactorTable!$A$2:$A$301,0), Skills!M22+1)</f>
        <v/>
      </c>
      <c r="F2209">
        <f>IF(Skills!N22=TRUE,(Skills!L22/10)*(E2209/1000),Skills!L22/10)+Skills!O22</f>
        <v/>
      </c>
      <c r="G2209">
        <f>Skills!G22*IF(Skills!H22&gt;0,INT(IF(Inputs!$B$38="pvp",MIN(Skills!I22,15),Skills!I22)/Skills!H22+0.000000001),1)</f>
        <v/>
      </c>
      <c r="H2209">
        <f>1-(1-Skills!J22/100)^Skills!K22</f>
        <v/>
      </c>
      <c r="I2209" t="inlineStr">
        <is>
          <t>1</t>
        </is>
      </c>
      <c r="J2209" t="inlineStr"/>
      <c r="K2209" t="inlineStr"/>
      <c r="L2209" t="inlineStr"/>
      <c r="M2209" t="inlineStr"/>
      <c r="N2209" t="inlineStr"/>
      <c r="O2209">
        <f>(1-Summary!$B$11)*T2209+Summary!$B$11*V2209</f>
        <v/>
      </c>
      <c r="P2209">
        <f>IF(B2228=0,0,O2209/B2228)</f>
        <v/>
      </c>
      <c r="Q2209" t="n">
        <v>0</v>
      </c>
      <c r="R2209" t="n">
        <v>0</v>
      </c>
      <c r="S2209">
        <f>IFERROR(O2209/N2209,0)</f>
        <v/>
      </c>
      <c r="T2209" t="n">
        <v>0</v>
      </c>
      <c r="V2209" t="n">
        <v>0</v>
      </c>
    </row>
    <row r="2210">
      <c r="A2210">
        <f>Skills!A23</f>
        <v/>
      </c>
      <c r="B2210">
        <f>Skills!B23</f>
        <v/>
      </c>
      <c r="C2210">
        <f>Inputs!$B$3&gt;=38</f>
        <v/>
      </c>
      <c r="D2210">
        <f>IF(Skills!C23=1,60+Inputs!$B$25+Inputs!$B$29,IF(Skills!C23=2,90+Inputs!$B$26+Inputs!$B$29,IF(Skills!C23=3,120+Inputs!$B$27+Inputs!$B$29,MAX(0,(Inputs!$B$3-100)*3)+Inputs!$B$28+Inputs!$B$29)))</f>
        <v/>
      </c>
      <c r="E2210">
        <f>INDEX(FactorTable!$B$2:$Y$301, MATCH(ROUND(MIN(300,MAX(1,D2210)),0), FactorTable!$A$2:$A$301,0), Skills!M23+1)</f>
        <v/>
      </c>
      <c r="F2210">
        <f>IF(Skills!N23=TRUE,(Skills!L23/10)*(E2210/1000),Skills!L23/10)+Skills!O23</f>
        <v/>
      </c>
      <c r="G2210">
        <f>Skills!G23*IF(Skills!H23&gt;0,INT(IF(Inputs!$B$38="pvp",MIN(Skills!I23,15),Skills!I23)/Skills!H23+0.000000001),1)</f>
        <v/>
      </c>
      <c r="H2210">
        <f>1-(1-Skills!J23/100)^Skills!K23</f>
        <v/>
      </c>
      <c r="I2210" t="inlineStr">
        <is>
          <t>1</t>
        </is>
      </c>
      <c r="J2210" t="inlineStr"/>
      <c r="K2210" t="inlineStr"/>
      <c r="L2210" t="inlineStr"/>
      <c r="M2210" t="inlineStr"/>
      <c r="N2210" t="inlineStr"/>
      <c r="O2210">
        <f>(1-Summary!$B$11)*T2210+Summary!$B$11*V2210</f>
        <v/>
      </c>
      <c r="P2210">
        <f>IF(B2228=0,0,O2210/B2228)</f>
        <v/>
      </c>
      <c r="Q2210" t="n">
        <v>0</v>
      </c>
      <c r="R2210" t="n">
        <v>0</v>
      </c>
      <c r="S2210">
        <f>IFERROR(O2210/N2210,0)</f>
        <v/>
      </c>
      <c r="T2210" t="n">
        <v>0</v>
      </c>
      <c r="V2210" t="n">
        <v>0</v>
      </c>
    </row>
    <row r="2211">
      <c r="A2211">
        <f>Skills!A24</f>
        <v/>
      </c>
      <c r="B2211">
        <f>Skills!B24</f>
        <v/>
      </c>
      <c r="C2211">
        <f>Inputs!$B$3&gt;=45</f>
        <v/>
      </c>
      <c r="D2211">
        <f>IF(Skills!C24=1,60+Inputs!$B$25+Inputs!$B$29,IF(Skills!C24=2,90+Inputs!$B$26+Inputs!$B$29,IF(Skills!C24=3,120+Inputs!$B$27+Inputs!$B$29,MAX(0,(Inputs!$B$3-100)*3)+Inputs!$B$28+Inputs!$B$29)))</f>
        <v/>
      </c>
      <c r="E2211">
        <f>INDEX(FactorTable!$B$2:$Y$301, MATCH(ROUND(MIN(300,MAX(1,D2211)),0), FactorTable!$A$2:$A$301,0), Skills!M24+1)</f>
        <v/>
      </c>
      <c r="F2211">
        <f>IF(Skills!N24=TRUE,(Skills!L24/10)*(E2211/1000),Skills!L24/10)+Skills!O24</f>
        <v/>
      </c>
      <c r="G2211">
        <f>Skills!G24*IF(Skills!H24&gt;0,INT(IF(Inputs!$B$38="pvp",MIN(Skills!I24,15),Skills!I24)/Skills!H24+0.000000001),1)</f>
        <v/>
      </c>
      <c r="H2211">
        <f>1-(1-Skills!J24/100)^Skills!K24</f>
        <v/>
      </c>
      <c r="I2211" t="inlineStr">
        <is>
          <t>1</t>
        </is>
      </c>
      <c r="J2211" t="inlineStr"/>
      <c r="K2211" t="inlineStr"/>
      <c r="L2211" t="inlineStr"/>
      <c r="M2211" t="inlineStr"/>
      <c r="N2211" t="inlineStr"/>
      <c r="O2211">
        <f>(1-Summary!$B$11)*T2211+Summary!$B$11*V2211</f>
        <v/>
      </c>
      <c r="P2211">
        <f>IF(B2228=0,0,O2211/B2228)</f>
        <v/>
      </c>
      <c r="Q2211" t="n">
        <v>0</v>
      </c>
      <c r="R2211" t="n">
        <v>0</v>
      </c>
      <c r="S2211">
        <f>IFERROR(O2211/N2211,0)</f>
        <v/>
      </c>
      <c r="T2211" t="n">
        <v>0</v>
      </c>
      <c r="V2211" t="n">
        <v>0</v>
      </c>
    </row>
    <row r="2212">
      <c r="A2212">
        <f>Skills!A25</f>
        <v/>
      </c>
      <c r="B2212">
        <f>Skills!B25</f>
        <v/>
      </c>
      <c r="C2212">
        <f>Inputs!$B$3&gt;=72</f>
        <v/>
      </c>
      <c r="D2212">
        <f>IF(Skills!C25=1,60+Inputs!$B$25+Inputs!$B$29,IF(Skills!C25=2,90+Inputs!$B$26+Inputs!$B$29,IF(Skills!C25=3,120+Inputs!$B$27+Inputs!$B$29,MAX(0,(Inputs!$B$3-100)*3)+Inputs!$B$28+Inputs!$B$29)))</f>
        <v/>
      </c>
      <c r="E2212">
        <f>INDEX(FactorTable!$B$2:$Y$301, MATCH(ROUND(MIN(300,MAX(1,D2212)),0), FactorTable!$A$2:$A$301,0), Skills!M25+1)</f>
        <v/>
      </c>
      <c r="F2212">
        <f>IF(Skills!N25=TRUE,(Skills!L25/10)*(E2212/1000),Skills!L25/10)+Skills!O25</f>
        <v/>
      </c>
      <c r="G2212">
        <f>Skills!G25*IF(Skills!H25&gt;0,INT(IF(Inputs!$B$38="pvp",MIN(Skills!I25,15),Skills!I25)/Skills!H25+0.000000001),1)</f>
        <v/>
      </c>
      <c r="H2212">
        <f>1-(1-Skills!J25/100)^Skills!K25</f>
        <v/>
      </c>
      <c r="I2212" t="inlineStr">
        <is>
          <t>1</t>
        </is>
      </c>
      <c r="J2212" t="inlineStr"/>
      <c r="K2212" t="inlineStr"/>
      <c r="L2212" t="inlineStr"/>
      <c r="M2212" t="inlineStr"/>
      <c r="N2212" t="inlineStr"/>
      <c r="O2212">
        <f>(1-Summary!$B$11)*T2212+Summary!$B$11*V2212</f>
        <v/>
      </c>
      <c r="P2212">
        <f>IF(B2228=0,0,O2212/B2228)</f>
        <v/>
      </c>
      <c r="Q2212" t="n">
        <v>0</v>
      </c>
      <c r="R2212" t="n">
        <v>0</v>
      </c>
      <c r="S2212">
        <f>IFERROR(O2212/N2212,0)</f>
        <v/>
      </c>
      <c r="T2212" t="n">
        <v>0</v>
      </c>
      <c r="V2212" t="n">
        <v>0</v>
      </c>
    </row>
    <row r="2213">
      <c r="A2213">
        <f>Skills!A26</f>
        <v/>
      </c>
      <c r="B2213">
        <f>Skills!B26</f>
        <v/>
      </c>
      <c r="C2213">
        <f>Inputs!$B$3&gt;=75</f>
        <v/>
      </c>
      <c r="D2213">
        <f>IF(Skills!C26=1,60+Inputs!$B$25+Inputs!$B$29,IF(Skills!C26=2,90+Inputs!$B$26+Inputs!$B$29,IF(Skills!C26=3,120+Inputs!$B$27+Inputs!$B$29,MAX(0,(Inputs!$B$3-100)*3)+Inputs!$B$28+Inputs!$B$29)))</f>
        <v/>
      </c>
      <c r="E2213">
        <f>INDEX(FactorTable!$B$2:$Y$301, MATCH(ROUND(MIN(300,MAX(1,D2213)),0), FactorTable!$A$2:$A$301,0), Skills!M26+1)</f>
        <v/>
      </c>
      <c r="F2213">
        <f>IF(Skills!N26=TRUE,(Skills!L26/10)*(E2213/1000),Skills!L26/10)+Skills!O26</f>
        <v/>
      </c>
      <c r="G2213">
        <f>Skills!G26*IF(Skills!H26&gt;0,INT(IF(Inputs!$B$38="pvp",MIN(Skills!I26,15),Skills!I26)/Skills!H26+0.000000001),1)</f>
        <v/>
      </c>
      <c r="H2213">
        <f>1-(1-Skills!J26/100)^Skills!K26</f>
        <v/>
      </c>
      <c r="I2213" t="inlineStr">
        <is>
          <t>1</t>
        </is>
      </c>
      <c r="J2213" t="inlineStr"/>
      <c r="K2213" t="inlineStr"/>
      <c r="L2213" t="inlineStr"/>
      <c r="M2213" t="inlineStr"/>
      <c r="N2213" t="inlineStr"/>
      <c r="O2213">
        <f>(1-Summary!$B$11)*T2213+Summary!$B$11*V2213</f>
        <v/>
      </c>
      <c r="P2213">
        <f>IF(B2228=0,0,O2213/B2228)</f>
        <v/>
      </c>
      <c r="Q2213" t="n">
        <v>0</v>
      </c>
      <c r="R2213" t="n">
        <v>0</v>
      </c>
      <c r="S2213">
        <f>IFERROR(O2213/N2213,0)</f>
        <v/>
      </c>
      <c r="T2213" t="n">
        <v>0</v>
      </c>
      <c r="V2213" t="n">
        <v>0</v>
      </c>
    </row>
    <row r="2214">
      <c r="A2214">
        <f>Skills!A27</f>
        <v/>
      </c>
      <c r="B2214">
        <f>Skills!B27</f>
        <v/>
      </c>
      <c r="C2214">
        <f>Inputs!$B$3&gt;=125</f>
        <v/>
      </c>
      <c r="D2214">
        <f>IF(Skills!C27=1,60+Inputs!$B$25+Inputs!$B$29,IF(Skills!C27=2,90+Inputs!$B$26+Inputs!$B$29,IF(Skills!C27=3,120+Inputs!$B$27+Inputs!$B$29,MAX(0,(Inputs!$B$3-100)*3)+Inputs!$B$28+Inputs!$B$29)))</f>
        <v/>
      </c>
      <c r="E2214">
        <f>INDEX(FactorTable!$B$2:$Y$301, MATCH(ROUND(MIN(300,MAX(1,D2214)),0), FactorTable!$A$2:$A$301,0), Skills!M27+1)</f>
        <v/>
      </c>
      <c r="F2214">
        <f>IF(Skills!N27=TRUE,(Skills!L27/10)*(E2214/1000),Skills!L27/10)+Skills!O27</f>
        <v/>
      </c>
      <c r="G2214">
        <f>Skills!G27*IF(Skills!H27&gt;0,INT(IF(Inputs!$B$38="pvp",MIN(Skills!I27,15),Skills!I27)/Skills!H27+0.000000001),1)</f>
        <v/>
      </c>
      <c r="H2214">
        <f>1-(1-Skills!J27/100)^Skills!K27</f>
        <v/>
      </c>
      <c r="I2214" t="inlineStr">
        <is>
          <t>1</t>
        </is>
      </c>
      <c r="J2214" t="inlineStr"/>
      <c r="K2214" t="inlineStr"/>
      <c r="L2214" t="inlineStr"/>
      <c r="M2214" t="inlineStr"/>
      <c r="N2214" t="inlineStr"/>
      <c r="O2214">
        <f>(1-Summary!$B$11)*T2214+Summary!$B$11*V2214</f>
        <v/>
      </c>
      <c r="P2214">
        <f>IF(B2228=0,0,O2214/B2228)</f>
        <v/>
      </c>
      <c r="Q2214" t="n">
        <v>0</v>
      </c>
      <c r="R2214" t="n">
        <v>0</v>
      </c>
      <c r="S2214">
        <f>IFERROR(O2214/N2214,0)</f>
        <v/>
      </c>
      <c r="T2214" t="n">
        <v>0</v>
      </c>
      <c r="V2214" t="n">
        <v>0</v>
      </c>
    </row>
    <row r="2215">
      <c r="A2215">
        <f>Skills!A28</f>
        <v/>
      </c>
      <c r="B2215">
        <f>Skills!B28</f>
        <v/>
      </c>
      <c r="C2215">
        <f>TRUE</f>
        <v/>
      </c>
      <c r="D2215">
        <f>IF(Skills!C28=1,60+Inputs!$B$25+Inputs!$B$29,IF(Skills!C28=2,90+Inputs!$B$26+Inputs!$B$29,IF(Skills!C28=3,120+Inputs!$B$27+Inputs!$B$29,MAX(0,(Inputs!$B$3-100)*3)+Inputs!$B$28+Inputs!$B$29)))</f>
        <v/>
      </c>
      <c r="E2215">
        <f>INDEX(FactorTable!$B$2:$Y$301, MATCH(ROUND(MIN(300,MAX(1,D2215)),0), FactorTable!$A$2:$A$301,0), Skills!M28+1)</f>
        <v/>
      </c>
      <c r="F2215">
        <f>IF(Skills!N28=TRUE,(Skills!L28/10)*(E2215/1000),Skills!L28/10)+Skills!O28</f>
        <v/>
      </c>
      <c r="G2215">
        <f>Skills!G28*IF(Skills!H28&gt;0,INT(IF(Inputs!$B$38="pvp",MIN(Skills!I28,15),Skills!I28)/Skills!H28+0.000000001),1)</f>
        <v/>
      </c>
      <c r="H2215">
        <f>1-(1-Skills!J28/100)^Skills!K28</f>
        <v/>
      </c>
      <c r="I2215" t="inlineStr">
        <is>
          <t>1</t>
        </is>
      </c>
      <c r="J2215" t="inlineStr"/>
      <c r="K2215" t="inlineStr"/>
      <c r="L2215" t="inlineStr"/>
      <c r="M2215" t="inlineStr"/>
      <c r="N2215" t="inlineStr"/>
      <c r="O2215">
        <f>(1-Summary!$B$11)*T2215+Summary!$B$11*V2215</f>
        <v/>
      </c>
      <c r="P2215">
        <f>IF(B2228=0,0,O2215/B2228)</f>
        <v/>
      </c>
      <c r="Q2215">
        <f>IFERROR(1/(IF(Inputs!$B$38="pvp",15,MAX(0.1,Skills!D28-IF(TRUE=TRUE,Inputs!$B$32,0)))*(1-IF(AND(IF(ArtifactsInput!$M$27,FALSE,TRUE),Inputs!$B$4="Chapter Hunt"),CHOOSE(ArtifactsInput!$N$27+1,20,24,28,32,36,40),0)/100)),0)</f>
        <v/>
      </c>
      <c r="R2215">
        <f>IF(AND(Inputs!$B$38&lt;&gt;"pvp",Inputs!$B$43&gt;0),IF(Inputs!$B$43&lt;=0,0,(INT(Inputs!$B$43/(IF(Inputs!$B$38="pvp",15,MAX(0.1,Skills!D28-IF(TRUE=TRUE,Inputs!$B$32,0)))*(1-IF(AND(IF(ArtifactsInput!$M$27,FALSE,TRUE),Inputs!$B$4="Chapter Hunt"),CHOOSE(ArtifactsInput!$N$27+1,20,24,28,32,36,40),0)/100)))+1)),0)</f>
        <v/>
      </c>
      <c r="S2215">
        <f>IFERROR(O2215/N2215,0)</f>
        <v/>
      </c>
      <c r="T2215" t="n">
        <v>0</v>
      </c>
      <c r="V2215" t="n">
        <v>0</v>
      </c>
    </row>
    <row r="2217">
      <c r="A2217" t="inlineStr">
        <is>
          <t>Attack% Bucket Multiplier</t>
        </is>
      </c>
      <c r="B2217">
        <f>(1+(((C2204=TRUE)*F2204*5/7)+((C2211=TRUE)*(F2211-Calc!F24))+(IF(ArtifactsInput!$M$21,CHOOSE(ArtifactsInput!$N$21+1,25,30,35,40,45,50)*(IF(OR(Inputs!$B$4="Chapter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218">
      <c r="A2218" t="inlineStr">
        <is>
          <t>Global Crit Rate Bonus %</t>
        </is>
      </c>
      <c r="B2218" t="n">
        <v>0</v>
      </c>
    </row>
    <row r="2219">
      <c r="A2219" t="inlineStr">
        <is>
          <t>Attack Speed Buff Bonus % (Nimble Feet, duty-cycle averaged)</t>
        </is>
      </c>
      <c r="B2219">
        <f>((C2215=TRUE)*F2215*IF(AND(Inputs!$B$38&lt;&gt;"pvp",Inputs!$B$43&gt;0),(((R2215-1)*MIN((Skills!T28*(1+Inputs!$B$34/100)),(1/Q2215))+MIN((Skills!T28*(1+Inputs!$B$34/100)),MAX(0,Inputs!$B$43-((R2215-1)*(1/Q2215)))))/Inputs!$B$43),IF(Inputs!$B$38="pvp",MIN((Skills!T28*(1+Inputs!$B$34/100)),15)/15,MIN(1,(Skills!T28*(1+Inputs!$B$34/100))/(1/Q2215)))))</f>
        <v/>
      </c>
    </row>
    <row r="2220">
      <c r="A2220" t="inlineStr">
        <is>
          <t>Actions Per Second</t>
        </is>
      </c>
      <c r="B2220">
        <f>1+MIN(150,150*(1-(1-(Inputs!$B$11+((C2207=TRUE)*(F2207-Calc!F20))+((C2208=TRUE)*(F2208-Calc!F21)))/150)*(1-B2219/150)))/100</f>
        <v/>
      </c>
    </row>
    <row r="2221">
      <c r="A2221" t="inlineStr">
        <is>
          <t>Skill + Buff Cast Rate</t>
        </is>
      </c>
      <c r="B2221">
        <f>IF(AND(Inputs!$B$38&lt;&gt;"pvp",Inputs!$B$43&gt;0),SUMPRODUCT((Skills!E2:E28=TRUE)*(C2189:C2215=TRUE)*R2189:R2215*Skills!F2:F28)/Inputs!$B$43,SUMPRODUCT((Skills!E2:E28=TRUE)*(C2189:C2215=TRUE)*Q2189:Q2215*Skills!F2:F28))</f>
        <v/>
      </c>
    </row>
    <row r="2222">
      <c r="A2222" t="inlineStr">
        <is>
          <t>Eight-Legs Easton Casts Per Second</t>
        </is>
      </c>
      <c r="B2222">
        <f>MAX(0,B2220-B2221)</f>
        <v/>
      </c>
    </row>
    <row r="2223">
      <c r="A2223" t="inlineStr">
        <is>
          <t>Global Critical Damage Bonus % (unused)</t>
        </is>
      </c>
      <c r="B2223" t="n">
        <v>0</v>
      </c>
    </row>
    <row r="2224">
      <c r="A2224" t="inlineStr">
        <is>
          <t>Global Final Damage Bonus % (Jolly Roger + Ahoy Mateys - Final Damage proc)</t>
        </is>
      </c>
      <c r="B2224">
        <f>((C2205=TRUE)*F2205*IF(AND(Inputs!$B$38&lt;&gt;"pvp",Inputs!$B$43&gt;0),(((R2205-1)*MIN((Skills!T18*(1+Inputs!$B$34/100)),(1/Q2205))+MIN((Skills!T18*(1+Inputs!$B$34/100)),MAX(0,Inputs!$B$43-((R2205-1)*(1/Q2205)))))/Inputs!$B$43),IF(Inputs!$B$38="pvp",MIN((Skills!T18*(1+Inputs!$B$34/100)),15)/15,MIN(1,(Skills!T18*(1+Inputs!$B$34/100))/(1/Q2205)))))+IF(Inputs!$B$3&gt;=122,20*IF(Inputs!$B$38="pvp",MIN((20*(1+Inputs!$B$34/100)),15)/15,MIN(1,(20*(1+Inputs!$B$34/100))/(1/Q2191))),0)</f>
        <v/>
      </c>
    </row>
    <row r="2225">
      <c r="A2225" t="inlineStr">
        <is>
          <t>Buff-Casting Startup Delay (s, fixed-duration only)</t>
        </is>
      </c>
      <c r="B2225">
        <f>IF(AND(Inputs!$B$38&lt;&gt;"pvp",Inputs!$B$43&gt;0),SUMPRODUCT((Skills!T2:T28&gt;0)*(Skills!E2:E28=TRUE)*(C2189:C2215=TRUE))/B2220,0)</f>
        <v/>
      </c>
    </row>
    <row r="2226">
      <c r="A2226" t="inlineStr">
        <is>
          <t>Boss-Only Total DPS (this block's swept value)</t>
        </is>
      </c>
      <c r="B2226">
        <f>SUM(T2189:T2215)</f>
        <v/>
      </c>
    </row>
    <row r="2227">
      <c r="A2227" t="inlineStr">
        <is>
          <t>Normal-Only Total DPS (this block's swept value)</t>
        </is>
      </c>
      <c r="B2227">
        <f>SUM(V2189:V2215)</f>
        <v/>
      </c>
    </row>
    <row r="2228">
      <c r="A2228" s="6" t="inlineStr">
        <is>
          <t>TOTAL DPS</t>
        </is>
      </c>
      <c r="B2228" s="6">
        <f>SUM(O2189:O2215)</f>
        <v/>
      </c>
    </row>
    <row r="2229">
      <c r="A2229" t="inlineStr">
        <is>
          <t>Quickdraw cooldown divisor (this block's own APS / Q)</t>
        </is>
      </c>
      <c r="B2229">
        <f>IF(AND(C2214=TRUE,Inputs!$B$38&lt;&gt;"pvp"),1+0.25*MAX(0,(B2220-(((C2190=TRUE)*Q2190*1)+((C2191=TRUE)*Q2191*1)+((C2193=TRUE)*Q2193*1)+((C2194=TRUE)*Q2194*1)+((C2196=TRUE)*Q2196*1)+((C2199=TRUE)*Q2199*1)+((C2205=TRUE)*Q2205*1)+((C2215=TRUE)*Q2215*1))-((C2195=TRUE)/(IF(Inputs!$B$38="pvp",15,MAX(0.1,Skills!D8-IF(TRUE=TRUE,Inputs!$B$32,0)))*(1-IF(AND(IF(ArtifactsInput!$M$27,FALSE,TRUE),Inputs!$B$4="Chapter Hunt"),CHOOSE(ArtifactsInput!$N$27+1,20,24,28,32,36,40),0)/100))+(C2198=TRUE)/(IF(Inputs!$B$38="pvp",15,MAX(0.1,Skills!D11-IF(TRUE=TRUE,Inputs!$B$32,0)))*(1-IF(AND(IF(ArtifactsInput!$M$27,FALSE,TRUE),Inputs!$B$4="Chapter Hunt"),CHOOSE(ArtifactsInput!$N$27+1,20,24,28,32,36,40),0)/100))))/(1+0.25*((C2195=TRUE)/(IF(Inputs!$B$38="pvp",15,MAX(0.1,Skills!D8-IF(TRUE=TRUE,Inputs!$B$32,0)))*(1-IF(AND(IF(ArtifactsInput!$M$27,FALSE,TRUE),Inputs!$B$4="Chapter Hunt"),CHOOSE(ArtifactsInput!$N$27+1,20,24,28,32,36,40),0)/100))+(C2198=TRUE)/(IF(Inputs!$B$38="pvp",15,MAX(0.1,Skills!D11-IF(TRUE=TRUE,Inputs!$B$32,0)))*(1-IF(AND(IF(ArtifactsInput!$M$27,FALSE,TRUE),Inputs!$B$4="Chapter Hunt"),CHOOSE(ArtifactsInput!$N$27+1,20,24,28,32,36,40),0)/100))))),1)</f>
        <v/>
      </c>
    </row>
    <row r="2230">
      <c r="A2230" t="inlineStr">
        <is>
          <t>Nautilus Strike - Final Attack trigger rate (this block's own Q/R)</t>
        </is>
      </c>
      <c r="B2230">
        <f>IF(AND(Inputs!$B$38&lt;&gt;"pvp",Inputs!$B$43&gt;0),(((C2190=TRUE)*R2190)+((C2193=TRUE)*R2193)+((C2195=TRUE)*R2195)+((C2196=TRUE)*R2196)+((C2198=TRUE)*R2198))/Inputs!$B$43,((C2190=TRUE)*Q2190)+((C2193=TRUE)*Q2193)+((C2195=TRUE)*Q2195)+((C2196=TRUE)*Q2196)+((C2198=TRUE)*Q2198))+B2222</f>
        <v/>
      </c>
    </row>
    <row r="2233">
      <c r="A2233" s="6" t="inlineStr">
        <is>
          <t>Stat: Lit Lamp (Equip)</t>
        </is>
      </c>
    </row>
    <row r="2234">
      <c r="A2234" s="5" t="inlineStr">
        <is>
          <t>Key</t>
        </is>
      </c>
      <c r="B2234" s="5" t="inlineStr">
        <is>
          <t>Name</t>
        </is>
      </c>
      <c r="C2234" s="5" t="inlineStr">
        <is>
          <t>Unlocked</t>
        </is>
      </c>
      <c r="D2234" s="5" t="inlineStr">
        <is>
          <t>InputLevel</t>
        </is>
      </c>
      <c r="E2234" s="5" t="inlineStr">
        <is>
          <t>Factor</t>
        </is>
      </c>
      <c r="F2234" s="5" t="inlineStr">
        <is>
          <t>CoefficientPercent</t>
        </is>
      </c>
      <c r="G2234" s="5" t="inlineStr">
        <is>
          <t>EffectiveHits</t>
        </is>
      </c>
      <c r="H2234" s="5" t="inlineStr">
        <is>
          <t>ProcProbability</t>
        </is>
      </c>
      <c r="I2234" s="5" t="inlineStr">
        <is>
          <t>MapleHeroMultiplier</t>
        </is>
      </c>
      <c r="J2234" s="5" t="inlineStr">
        <is>
          <t>BaseDamage</t>
        </is>
      </c>
      <c r="K2234" s="5" t="inlineStr">
        <is>
          <t>BaseHitDamage</t>
        </is>
      </c>
      <c r="L2234" s="5" t="inlineStr">
        <is>
          <t>NonCritAvg</t>
        </is>
      </c>
      <c r="M2234" s="5" t="inlineStr">
        <is>
          <t>CritAvg</t>
        </is>
      </c>
      <c r="N2234" s="5" t="inlineStr">
        <is>
          <t>ExpectedDamage(perHit)</t>
        </is>
      </c>
      <c r="O2234" s="5" t="inlineStr">
        <is>
          <t>DPS</t>
        </is>
      </c>
      <c r="P2234" s="5" t="inlineStr">
        <is>
          <t>% of Total</t>
        </is>
      </c>
      <c r="Q2234" s="5" t="inlineStr">
        <is>
          <t>InvCooldown</t>
        </is>
      </c>
      <c r="R2234" s="5" t="inlineStr">
        <is>
          <t>CastsInFight</t>
        </is>
      </c>
      <c r="S2234" s="5" t="inlineStr">
        <is>
          <t>HitRate(perSec)</t>
        </is>
      </c>
      <c r="U2234" t="inlineStr">
        <is>
          <t>helpers</t>
        </is>
      </c>
    </row>
    <row r="2235">
      <c r="A2235">
        <f>Skills!A2</f>
        <v/>
      </c>
      <c r="B2235">
        <f>Skills!B2</f>
        <v/>
      </c>
      <c r="C2235">
        <f>Inputs!$B$3&gt;=100</f>
        <v/>
      </c>
      <c r="D2235" t="inlineStr"/>
      <c r="E2235" t="inlineStr"/>
      <c r="F2235">
        <f>U2237+Skills!O2</f>
        <v/>
      </c>
      <c r="G2235">
        <f>Skills!G2*IF(Skills!H2&gt;0,INT(IF(Inputs!$B$38="pvp",MIN(Skills!I2,15),Skills!I2)/Skills!H2+0.000000001),1)</f>
        <v/>
      </c>
      <c r="H2235">
        <f>1-(1-Skills!J2/100)^Skills!K2</f>
        <v/>
      </c>
      <c r="I2235" t="inlineStr">
        <is>
          <t>1</t>
        </is>
      </c>
      <c r="J2235">
        <f>((Inputs!$B$6*(1+Inputs!$B$7/100))+(((Inputs!$B$12*(1+Inputs!$B$13/100))-(Inputs!$B$12*(1+Inputs!$B$13/100)))+0.25*(Inputs!$B$14-Inputs!$B$14))*(1+Inputs!$B$7/100))*(F2235/100)</f>
        <v/>
      </c>
      <c r="K2235">
        <f>J2235*(1+((Inputs!$B$12*(1+Inputs!$B$13/100))*0.01+Inputs!$B$14*0.0025)/100)*(1+Inputs!$B$15/100)*(1+Inputs!$B$16/100)*(5000/(6000+Inputs!$B$42*(1-(100*(1-(1-(Inputs!$B$19+0)/100)*(1-CHOOSE(ArtifactsInput!$N$40+1,5,6,7,8,9,10)/100)^(ArtifactsInput!$M$40-ArtifactsInput!$M$40)))/100)))*(1+(Inputs!$B$24+((C2259=TRUE)*(F2259-Calc!F26))+B2270)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IF(ArtifactsInput!$M$28,FALSE,TRUE)-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IGHT_LEGS_EASTON",Inputs!$B$17+((C2256=TRUE)*(F2256-Calc!F23))+((C2260=TRUE)*(F2260-Calc!F27))+((IF(AND(Inputs!$B$38&lt;&gt;"pvp",Inputs!$B$43=0),1,IF(IF(Inputs!$B$38="pvp",15,Inputs!$B$43)-(B2271)&lt;=0,1,MAX(0,IF(Inputs!$B$38="pvp",15,Inputs!$B$43)-MAX(5,B2271))/(IF(Inputs!$B$38="pvp",15,Inputs!$B$43)-(B2271))))*(IF(AND(ArtifactsInput!$M$42,((Inputs!$B$9+((C2252=TRUE)*(F2252-Calc!F19))+B2264+(ArtifactsInput!$M$24-ArtifactsInput!$M$24)*CHOOSE(ArtifactsInput!$N$24+1,10,12,14,16,18,20)+IF(ArtifactsInput!$M$10,CHOOSE(ArtifactsInput!$N$10+1,15,18,21,24,27,30)*(IF(Inputs!$B$38="pvp",MIN(15,15)/15,IF(AND(Inputs!$B$38&lt;&gt;"pvp",Inputs!$B$43&gt;0),MIN(15,Inputs!$B$43)/(Inputs!$B$43),0))),0)))&gt;=100),MIN(100,((Inputs!$B$9+((C2252=TRUE)*(F2252-Calc!F19))+B2264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2271)&lt;=0,1,MAX(0,IF(Inputs!$B$38="pvp",15,Inputs!$B$43)-MAX(5,B2271))/(IF(Inputs!$B$38="pvp",15,Inputs!$B$43)-(B2271))))*IF(AND(ArtifactsInput!$M$42,((Inputs!$B$9+((C2252=TRUE)*(F2252-Calc!F19))+B2264+(ArtifactsInput!$M$24-ArtifactsInput!$M$24)*CHOOSE(ArtifactsInput!$N$24+1,10,12,14,16,18,20)+IF(ArtifactsInput!$M$10,CHOOSE(ArtifactsInput!$N$10+1,15,18,21,24,27,30)*(IF(Inputs!$B$38="pvp",MIN(15,15)/15,IF(AND(Inputs!$B$38&lt;&gt;"pvp",Inputs!$B$43&gt;0),MIN(15,Inputs!$B$43)/(Inputs!$B$43),0))),0)))&gt;=100),CHOOSE(ArtifactsInput!$N$42+1,40,48,56,64,72,80),0))))/100)*((1+(((C2250=TRUE)*F2250*5/7)+((C2257=TRUE)*(F2257-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2235)</f>
        <v/>
      </c>
      <c r="L2235">
        <f>K2235*(MIN(Inputs!$B$22+((C2255=TRUE)*(F2255-Calc!F22)),(Inputs!$B$23+0+(IF(ArtifactsInput!$M$15,CHOOSE(ArtifactsInput!$N$15+1,25,30,35,40,45,50)/100*(Inputs!$B$11-Inputs!$B$11),0))))/100+(Inputs!$B$23+0+(IF(ArtifactsInput!$M$15,CHOOSE(ArtifactsInput!$N$15+1,25,30,35,40,45,50)/100*(Inputs!$B$11-Inputs!$B$11),0)))/100)/2</f>
        <v/>
      </c>
      <c r="M2235">
        <f>L2235*(1+(Inputs!$B$10+((C2258=TRUE)*(F2258-Calc!F25))+B2269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35">
        <f>L2235*(1-MIN((Inputs!$B$9+((C2252=TRUE)*(F2252-Calc!F19))+B2264+(ArtifactsInput!$M$24-ArtifactsInput!$M$24)*CHOOSE(ArtifactsInput!$N$24+1,10,12,14,16,18,20)+(IF(AND(Inputs!$B$38&lt;&gt;"pvp",Inputs!$B$43=0),1,IF(IF(Inputs!$B$38="pvp",15,Inputs!$B$43)-(B2271)&lt;=0,1,MAX(0,IF(Inputs!$B$38="pvp",15,Inputs!$B$43)-MAX(5,B2271))/(IF(Inputs!$B$38="pvp",15,Inputs!$B$43)-(B2271))))*IF(AND(ArtifactsInput!$M$42,((Inputs!$B$9+((C2252=TRUE)*(F2252-Calc!F19))+B2264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2235*(MIN((Inputs!$B$9+((C2252=TRUE)*(F2252-Calc!F19))+B2264+(ArtifactsInput!$M$24-ArtifactsInput!$M$24)*CHOOSE(ArtifactsInput!$N$24+1,10,12,14,16,18,20)+(IF(AND(Inputs!$B$38&lt;&gt;"pvp",Inputs!$B$43=0),1,IF(IF(Inputs!$B$38="pvp",15,Inputs!$B$43)-(B2271)&lt;=0,1,MAX(0,IF(Inputs!$B$38="pvp",15,Inputs!$B$43)-MAX(5,B2271))/(IF(Inputs!$B$38="pvp",15,Inputs!$B$43)-(B2271))))*IF(AND(ArtifactsInput!$M$42,((Inputs!$B$9+((C2252=TRUE)*(F2252-Calc!F19))+B2264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35">
        <f>(1-Summary!$B$11)*T2235+Summary!$B$11*V2235</f>
        <v/>
      </c>
      <c r="P2235">
        <f>IF(B2274=0,0,O2235/B2274)</f>
        <v/>
      </c>
      <c r="Q2235" t="n">
        <v>0</v>
      </c>
      <c r="R2235" t="n">
        <v>0</v>
      </c>
      <c r="S2235">
        <f>IFERROR(O2235/N2235,0)</f>
        <v/>
      </c>
      <c r="T2235">
        <f>IF(C2235,(Skills!G2*N2235*B2268*(1+IF(C2260=TRUE,1/3,0)))*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Hunt"),CHOOSE(ArtifactsInput!$N$35+1,15,18,21,24,27,30)*(1-EXP(-(0.2*B2266)*5)),0)+IF(AND(ArtifactsInput!$M$22,Inputs!$B$4&lt;&gt;"Chapter Hunt"),CHOOSE(ArtifactsInput!$N$22+1,10,12,14,16,18,20)*((0*(((0.15*B2266*5))^0/1)+1*(((0.15*B2266*5))^1/1)+2*(((0.15*B2266*5))^2/2)+3*(((0.15*B2266*5))^3/6)+4*(((0.15*B2266*5))^4/24)+5*(((0.15*B2266*5))^5/120))/((((0.15*B2266*5))^0/1)+(((0.15*B2266*5))^1/1)+(((0.15*B2266*5))^2/2)+(((0.15*B2266*5))^3/6)+(((0.15*B2266*5))^4/24)+(((0.15*B2266*5))^5/120))),0))+IF(Inputs!$B$3&gt;=54,9*(C2236=TRUE)*MIN(1,8*(1+Inputs!$B$34/100)*Q2236)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2235*(1-MIN(100,(Inputs!$B$9+((C2252=TRUE)*(F2252-Calc!F19))+B2264+(ArtifactsInput!$M$24-ArtifactsInput!$M$24)*CHOOSE(ArtifactsInput!$N$24+1,10,12,14,16,18,20)+(IF(AND(Inputs!$B$38&lt;&gt;"pvp",Inputs!$B$43=0),1,IF(IF(Inputs!$B$38="pvp",15,Inputs!$B$43)-(B2271)&lt;=0,1,MAX(0,IF(Inputs!$B$38="pvp",15,Inputs!$B$43)-MAX(5,B2271))/(IF(Inputs!$B$38="pvp",15,Inputs!$B$43)-(B2271))))*IF(AND(ArtifactsInput!$M$42,((Inputs!$B$9+((C2252=TRUE)*(F2252-Calc!F19))+B2264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2235*(MIN(100,(Inputs!$B$9+((C2252=TRUE)*(F2252-Calc!F19))+B2264+(ArtifactsInput!$M$24-ArtifactsInput!$M$24)*CHOOSE(ArtifactsInput!$N$24+1,10,12,14,16,18,20)+(IF(AND(Inputs!$B$38&lt;&gt;"pvp",Inputs!$B$43=0),1,IF(IF(Inputs!$B$38="pvp",15,Inputs!$B$43)-(B2271)&lt;=0,1,MAX(0,IF(Inputs!$B$38="pvp",15,Inputs!$B$43)-MAX(5,B2271))/(IF(Inputs!$B$38="pvp",15,Inputs!$B$43)-(B2271))))*IF(AND(ArtifactsInput!$M$42,((Inputs!$B$9+((C2252=TRUE)*(F2252-Calc!F19))+B2264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2235*(1-MIN(100,(Inputs!$B$9+((C2252=TRUE)*(F2252-Calc!F19))+B2264+(ArtifactsInput!$M$24-ArtifactsInput!$M$24)*CHOOSE(ArtifactsInput!$N$24+1,10,12,14,16,18,20)+(IF(AND(Inputs!$B$38&lt;&gt;"pvp",Inputs!$B$43=0),1,IF(IF(Inputs!$B$38="pvp",15,Inputs!$B$43)-(B2271)&lt;=0,1,MAX(0,IF(Inputs!$B$38="pvp",15,Inputs!$B$43)-MAX(5,B2271))/(IF(Inputs!$B$38="pvp",15,Inputs!$B$43)-(B2271))))*IF(AND(ArtifactsInput!$M$42,((Inputs!$B$9+((C2252=TRUE)*(F2252-Calc!F19))+B2264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2235*(MIN(100,(Inputs!$B$9+((C2252=TRUE)*(F2252-Calc!F19))+B2264+(ArtifactsInput!$M$24-ArtifactsInput!$M$24)*CHOOSE(ArtifactsInput!$N$24+1,10,12,14,16,18,20)+(IF(AND(Inputs!$B$38&lt;&gt;"pvp",Inputs!$B$43=0),1,IF(IF(Inputs!$B$38="pvp",15,Inputs!$B$43)-(B2271)&lt;=0,1,MAX(0,IF(Inputs!$B$38="pvp",15,Inputs!$B$43)-MAX(5,B2271))/(IF(Inputs!$B$38="pvp",15,Inputs!$B$43)-(B2271))))*IF(AND(ArtifactsInput!$M$42,((Inputs!$B$9+((C2252=TRUE)*(F2252-Calc!F19))+B2264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235">
        <f>MAX(0,(Inputs!$B$3-100)*3)+Inputs!$B$28+Inputs!$B$29</f>
        <v/>
      </c>
      <c r="V2235">
        <f>IF(C2235,(Skills!G2*N2235*B2268*(1+IF(C2260=TRUE,1/3,0)))*IF(Inputs!$B$38="pvp",1,(1+(Inputs!$B$21+Skills!Q2+(IF(ArtifactsInput!$M$33,CHOOSE(ArtifactsInput!$N$33+1,30,36,42,48,54,60),0))+(IF(AND(ArtifactsInput!$M$35,Inputs!$B$4&lt;&gt;"Chapter Hunt"),CHOOSE(ArtifactsInput!$N$35+1,15,18,21,24,27,30)*(1-EXP(-(0.2*B2266)*5)),0)+IF(AND(ArtifactsInput!$M$22,Inputs!$B$4&lt;&gt;"Chapter Hunt"),CHOOSE(ArtifactsInput!$N$22+1,10,12,14,16,18,20)*((0*(((0.15*B2266*5))^0/1)+1*(((0.15*B2266*5))^1/1)+2*(((0.15*B2266*5))^2/2)+3*(((0.15*B2266*5))^3/6)+4*(((0.15*B2266*5))^4/24)+5*(((0.15*B2266*5))^5/120))/((((0.15*B2266*5))^0/1)+(((0.15*B2266*5))^1/1)+(((0.15*B2266*5))^2/2)+(((0.15*B2266*5))^3/6)+(((0.15*B2266*5))^4/24)+(((0.15*B2266*5))^5/120))),0))+IF(Inputs!$B$3&gt;=54,9*(C2236=TRUE)*MIN(1,8*(1+Inputs!$B$34/100)*Q2236),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36">
      <c r="A2236">
        <f>Skills!A3</f>
        <v/>
      </c>
      <c r="B2236">
        <f>Skills!B3</f>
        <v/>
      </c>
      <c r="C2236">
        <f>Inputs!$B$3&gt;=33</f>
        <v/>
      </c>
      <c r="D2236">
        <f>IF(Skills!C3=1,60+Inputs!$B$25+Inputs!$B$29,IF(Skills!C3=2,90+Inputs!$B$26+Inputs!$B$29,IF(Skills!C3=3,120+Inputs!$B$27+Inputs!$B$29,MAX(0,(Inputs!$B$3-100)*3)+Inputs!$B$28+Inputs!$B$29)))</f>
        <v/>
      </c>
      <c r="E2236">
        <f>INDEX(FactorTable!$B$2:$Y$301, MATCH(ROUND(MIN(300,MAX(1,D2236)),0), FactorTable!$A$2:$A$301,0), Skills!M3+1)</f>
        <v/>
      </c>
      <c r="F2236">
        <f>IF(Skills!N3=TRUE,(Skills!L3/10)*(E2236/1000),Skills!L3/10)+Skills!O3</f>
        <v/>
      </c>
      <c r="G2236">
        <f>Skills!G3*IF(Skills!H3&gt;0,INT(IF(Inputs!$B$38="pvp",MIN(Skills!I3,15),Skills!I3)/Skills!H3+0.000000001),1)</f>
        <v/>
      </c>
      <c r="H2236">
        <f>1-(1-Skills!J3/100)^Skills!K3</f>
        <v/>
      </c>
      <c r="I2236" t="inlineStr">
        <is>
          <t>1</t>
        </is>
      </c>
      <c r="J2236">
        <f>((Inputs!$B$6*(1+Inputs!$B$7/100))+(((Inputs!$B$12*(1+Inputs!$B$13/100))-(Inputs!$B$12*(1+Inputs!$B$13/100)))+0.25*(Inputs!$B$14-Inputs!$B$14))*(1+Inputs!$B$7/100))*(F2236/100)</f>
        <v/>
      </c>
      <c r="K2236">
        <f>J2236*(1+((Inputs!$B$12*(1+Inputs!$B$13/100))*0.01+Inputs!$B$14*0.0025)/100)*(1+Inputs!$B$15/100)*(1+Inputs!$B$16/100)*(5000/(6000+Inputs!$B$42*(1-(100*(1-(1-(Inputs!$B$19+0)/100)*(1-CHOOSE(ArtifactsInput!$N$40+1,5,6,7,8,9,10)/100)^(ArtifactsInput!$M$40-ArtifactsInput!$M$40)))/100)))*(1+(Inputs!$B$24+((C2259=TRUE)*(F2259-Calc!F26))+B2270)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IF(ArtifactsInput!$M$28,FALSE,TRUE)-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2248=TRUE,F2248,0)/100)*(1+(IF(Skills!A3="EIGHT_LEGS_EASTON",Inputs!$B$17+((C2256=TRUE)*(F2256-Calc!F23))+((C2260=TRUE)*(F2260-Calc!F27))+((IF(AND(Inputs!$B$38&lt;&gt;"pvp",Inputs!$B$43=0),1,IF(IF(Inputs!$B$38="pvp",15,Inputs!$B$43)-(B2271)&lt;=0,1,MAX(0,IF(Inputs!$B$38="pvp",15,Inputs!$B$43)-MAX(5,B2271))/(IF(Inputs!$B$38="pvp",15,Inputs!$B$43)-(B2271))))*(IF(AND(ArtifactsInput!$M$42,((Inputs!$B$9+((C2252=TRUE)*(F2252-Calc!F19))+B2264+(ArtifactsInput!$M$24-ArtifactsInput!$M$24)*CHOOSE(ArtifactsInput!$N$24+1,10,12,14,16,18,20)+IF(ArtifactsInput!$M$10,CHOOSE(ArtifactsInput!$N$10+1,15,18,21,24,27,30)*(IF(Inputs!$B$38="pvp",MIN(15,15)/15,IF(AND(Inputs!$B$38&lt;&gt;"pvp",Inputs!$B$43&gt;0),MIN(15,Inputs!$B$43)/(Inputs!$B$43),0))),0)))&gt;=100),MIN(100,((Inputs!$B$9+((C2252=TRUE)*(F2252-Calc!F19))+B2264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2271)&lt;=0,1,MAX(0,IF(Inputs!$B$38="pvp",15,Inputs!$B$43)-MAX(5,B2271))/(IF(Inputs!$B$38="pvp",15,Inputs!$B$43)-(B2271))))*IF(AND(ArtifactsInput!$M$42,((Inputs!$B$9+((C2252=TRUE)*(F2252-Calc!F19))+B2264+(ArtifactsInput!$M$24-ArtifactsInput!$M$24)*CHOOSE(ArtifactsInput!$N$24+1,10,12,14,16,18,20)+IF(ArtifactsInput!$M$10,CHOOSE(ArtifactsInput!$N$10+1,15,18,21,24,27,30)*(IF(Inputs!$B$38="pvp",MIN(15,15)/15,IF(AND(Inputs!$B$38&lt;&gt;"pvp",Inputs!$B$43&gt;0),MIN(15,Inputs!$B$43)/(Inputs!$B$43),0))),0)))&gt;=100),CHOOSE(ArtifactsInput!$N$42+1,40,48,56,64,72,80),0))))/100)*((1+(((C2250=TRUE)*F2250*5/7)+((C2257=TRUE)*(F2257-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2236)</f>
        <v/>
      </c>
      <c r="L2236">
        <f>K2236*(MIN(Inputs!$B$22+((C2255=TRUE)*(F2255-Calc!F22)),(Inputs!$B$23+0+(IF(ArtifactsInput!$M$15,CHOOSE(ArtifactsInput!$N$15+1,25,30,35,40,45,50)/100*(Inputs!$B$11-Inputs!$B$11),0))))/100+(Inputs!$B$23+0+(IF(ArtifactsInput!$M$15,CHOOSE(ArtifactsInput!$N$15+1,25,30,35,40,45,50)/100*(Inputs!$B$11-Inputs!$B$11),0)))/100)/2</f>
        <v/>
      </c>
      <c r="M2236">
        <f>L2236*(1+(Inputs!$B$10+((C2258=TRUE)*(F2258-Calc!F25))+B2269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36">
        <f>L2236*(1-MIN((Inputs!$B$9+((C2252=TRUE)*(F2252-Calc!F19))+B2264+(ArtifactsInput!$M$24-ArtifactsInput!$M$24)*CHOOSE(ArtifactsInput!$N$24+1,10,12,14,16,18,20)+(IF(AND(Inputs!$B$38&lt;&gt;"pvp",Inputs!$B$43=0),1,IF(IF(Inputs!$B$38="pvp",15,Inputs!$B$43)-(B2271)&lt;=0,1,MAX(0,IF(Inputs!$B$38="pvp",15,Inputs!$B$43)-MAX(5,B2271))/(IF(Inputs!$B$38="pvp",15,Inputs!$B$43)-(B2271))))*IF(AND(ArtifactsInput!$M$42,((Inputs!$B$9+((C2252=TRUE)*(F2252-Calc!F19))+B2264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2236*(MIN((Inputs!$B$9+((C2252=TRUE)*(F2252-Calc!F19))+B2264+(ArtifactsInput!$M$24-ArtifactsInput!$M$24)*CHOOSE(ArtifactsInput!$N$24+1,10,12,14,16,18,20)+(IF(AND(Inputs!$B$38&lt;&gt;"pvp",Inputs!$B$43=0),1,IF(IF(Inputs!$B$38="pvp",15,Inputs!$B$43)-(B2271)&lt;=0,1,MAX(0,IF(Inputs!$B$38="pvp",15,Inputs!$B$43)-MAX(5,B2271))/(IF(Inputs!$B$38="pvp",15,Inputs!$B$43)-(B2271))))*IF(AND(ArtifactsInput!$M$42,((Inputs!$B$9+((C2252=TRUE)*(F2252-Calc!F19))+B2264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36">
        <f>(1-Summary!$B$11)*T2236+Summary!$B$11*V2236</f>
        <v/>
      </c>
      <c r="P2236">
        <f>IF(B2274=0,0,O2236/B2274)</f>
        <v/>
      </c>
      <c r="Q2236">
        <f>IFERROR(1/(IF(Inputs!$B$38="pvp",15,MAX(0.1,Skills!D3-IF(TRUE=TRUE,Inputs!$B$32,0)))*(1-IF(AND(ArtifactsInput!$M$27,Inputs!$B$4="Chapter Hunt"),CHOOSE(ArtifactsInput!$N$27+1,20,24,28,32,36,40),0)/100)),0)</f>
        <v/>
      </c>
      <c r="R2236">
        <f>IF(AND(Inputs!$B$38&lt;&gt;"pvp",Inputs!$B$43&gt;0),IF(MAX(0,Inputs!$B$43-B2271)&lt;=0,0,(INT(MAX(0,Inputs!$B$43-B2271)/(IF(Inputs!$B$38="pvp",15,MAX(0.1,Skills!D3-IF(TRUE=TRUE,Inputs!$B$32,0)))*(1-IF(AND(ArtifactsInput!$M$27,Inputs!$B$4="Chapter Hunt"),CHOOSE(ArtifactsInput!$N$27+1,20,24,28,32,36,40),0)/100)))+1)),0)</f>
        <v/>
      </c>
      <c r="S2236">
        <f>IFERROR(O2236/N2236,0)</f>
        <v/>
      </c>
      <c r="T2236">
        <f>IF(C2236,(H2236*N2236*IF(AND(Inputs!$B$38&lt;&gt;"pvp",Inputs!$B$43&gt;0),((Skills!G3*((R2236-1)*IF(Skills!H3&gt;0,INT(Skills!I3/Skills!H3+0.000000001),1)+IF(Skills!H3&gt;0,INT(MIN(Skills!I3,MAX(0,MAX(0,Inputs!$B$43-B2271)-((R2236-1)*(IF(Inputs!$B$38="pvp",15,MAX(0.1,Skills!D3-IF(TRUE=TRUE,Inputs!$B$32,0)))*(1-IF(AND(ArtifactsInput!$M$27,Inputs!$B$4="Chapter Hunt"),CHOOSE(ArtifactsInput!$N$27+1,20,24,28,32,36,40),0)/100)))))/Skills!H3+0.000000001),1)))/Inputs!$B$43),G2236*Q2236))*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Hunt"),CHOOSE(ArtifactsInput!$N$35+1,15,18,21,24,27,30)*(1-EXP(-(0.2*B2266)*5)),0)+IF(AND(ArtifactsInput!$M$22,Inputs!$B$4&lt;&gt;"Chapter Hunt"),CHOOSE(ArtifactsInput!$N$22+1,10,12,14,16,18,20)*((0*(((0.15*B2266*5))^0/1)+1*(((0.15*B2266*5))^1/1)+2*(((0.15*B2266*5))^2/2)+3*(((0.15*B2266*5))^3/6)+4*(((0.15*B2266*5))^4/24)+5*(((0.15*B2266*5))^5/120))/((((0.15*B2266*5))^0/1)+(((0.15*B2266*5))^1/1)+(((0.15*B2266*5))^2/2)+(((0.15*B2266*5))^3/6)+(((0.15*B2266*5))^4/24)+(((0.15*B2266*5))^5/120))),0))+IF(Inputs!$B$3&gt;=54,9*(C2236=TRUE)*MIN(1,8*(1+Inputs!$B$34/100)*Q2236)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2236*(1-MIN(100,(Inputs!$B$9+((C2252=TRUE)*(F2252-Calc!F19))+B2264+(ArtifactsInput!$M$24-ArtifactsInput!$M$24)*CHOOSE(ArtifactsInput!$N$24+1,10,12,14,16,18,20)+(IF(AND(Inputs!$B$38&lt;&gt;"pvp",Inputs!$B$43=0),1,IF(IF(Inputs!$B$38="pvp",15,Inputs!$B$43)-(B2271)&lt;=0,1,MAX(0,IF(Inputs!$B$38="pvp",15,Inputs!$B$43)-MAX(5,B2271))/(IF(Inputs!$B$38="pvp",15,Inputs!$B$43)-(B2271))))*IF(AND(ArtifactsInput!$M$42,((Inputs!$B$9+((C2252=TRUE)*(F2252-Calc!F19))+B2264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2236*(MIN(100,(Inputs!$B$9+((C2252=TRUE)*(F2252-Calc!F19))+B2264+(ArtifactsInput!$M$24-ArtifactsInput!$M$24)*CHOOSE(ArtifactsInput!$N$24+1,10,12,14,16,18,20)+(IF(AND(Inputs!$B$38&lt;&gt;"pvp",Inputs!$B$43=0),1,IF(IF(Inputs!$B$38="pvp",15,Inputs!$B$43)-(B2271)&lt;=0,1,MAX(0,IF(Inputs!$B$38="pvp",15,Inputs!$B$43)-MAX(5,B2271))/(IF(Inputs!$B$38="pvp",15,Inputs!$B$43)-(B2271))))*IF(AND(ArtifactsInput!$M$42,((Inputs!$B$9+((C2252=TRUE)*(F2252-Calc!F19))+B2264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2236*(1-MIN(100,(Inputs!$B$9+((C2252=TRUE)*(F2252-Calc!F19))+B2264+(ArtifactsInput!$M$24-ArtifactsInput!$M$24)*CHOOSE(ArtifactsInput!$N$24+1,10,12,14,16,18,20)+(IF(AND(Inputs!$B$38&lt;&gt;"pvp",Inputs!$B$43=0),1,IF(IF(Inputs!$B$38="pvp",15,Inputs!$B$43)-(B2271)&lt;=0,1,MAX(0,IF(Inputs!$B$38="pvp",15,Inputs!$B$43)-MAX(5,B2271))/(IF(Inputs!$B$38="pvp",15,Inputs!$B$43)-(B2271))))*IF(AND(ArtifactsInput!$M$42,((Inputs!$B$9+((C2252=TRUE)*(F2252-Calc!F19))+B2264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2236*(MIN(100,(Inputs!$B$9+((C2252=TRUE)*(F2252-Calc!F19))+B2264+(ArtifactsInput!$M$24-ArtifactsInput!$M$24)*CHOOSE(ArtifactsInput!$N$24+1,10,12,14,16,18,20)+(IF(AND(Inputs!$B$38&lt;&gt;"pvp",Inputs!$B$43=0),1,IF(IF(Inputs!$B$38="pvp",15,Inputs!$B$43)-(B2271)&lt;=0,1,MAX(0,IF(Inputs!$B$38="pvp",15,Inputs!$B$43)-MAX(5,B2271))/(IF(Inputs!$B$38="pvp",15,Inputs!$B$43)-(B2271))))*IF(AND(ArtifactsInput!$M$42,((Inputs!$B$9+((C2252=TRUE)*(F2252-Calc!F19))+B2264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236">
        <f>INDEX(FactorTable!$B$2:$Y$301, MATCH(ROUND(MIN(300,MAX(1,U2235)),0), FactorTable!$A$2:$A$301,0), 22)</f>
        <v/>
      </c>
      <c r="V2236">
        <f>IF(C2236,(H2236*N2236*IF(AND(Inputs!$B$38&lt;&gt;"pvp",Inputs!$B$43&gt;0),((Skills!G3*((R2236-1)*IF(Skills!H3&gt;0,INT(Skills!I3/Skills!H3+0.000000001),1)+IF(Skills!H3&gt;0,INT(MIN(Skills!I3,MAX(0,MAX(0,Inputs!$B$43-B2271)-((R2236-1)*(IF(Inputs!$B$38="pvp",15,MAX(0.1,Skills!D3-IF(TRUE=TRUE,Inputs!$B$32,0)))*(1-IF(AND(ArtifactsInput!$M$27,Inputs!$B$4="Chapter Hunt"),CHOOSE(ArtifactsInput!$N$27+1,20,24,28,32,36,40),0)/100)))))/Skills!H3+0.000000001),1)))/Inputs!$B$43),G2236*Q2236))*IF(Inputs!$B$38="pvp",1,(1+(Inputs!$B$21+Skills!Q3+(IF(ArtifactsInput!$M$33,CHOOSE(ArtifactsInput!$N$33+1,30,36,42,48,54,60),0))+(IF(AND(ArtifactsInput!$M$35,Inputs!$B$4&lt;&gt;"Chapter Hunt"),CHOOSE(ArtifactsInput!$N$35+1,15,18,21,24,27,30)*(1-EXP(-(0.2*B2266)*5)),0)+IF(AND(ArtifactsInput!$M$22,Inputs!$B$4&lt;&gt;"Chapter Hunt"),CHOOSE(ArtifactsInput!$N$22+1,10,12,14,16,18,20)*((0*(((0.15*B2266*5))^0/1)+1*(((0.15*B2266*5))^1/1)+2*(((0.15*B2266*5))^2/2)+3*(((0.15*B2266*5))^3/6)+4*(((0.15*B2266*5))^4/24)+5*(((0.15*B2266*5))^5/120))/((((0.15*B2266*5))^0/1)+(((0.15*B2266*5))^1/1)+(((0.15*B2266*5))^2/2)+(((0.15*B2266*5))^3/6)+(((0.15*B2266*5))^4/24)+(((0.15*B2266*5))^5/120))),0))+IF(Inputs!$B$3&gt;=54,9*(C2236=TRUE)*MIN(1,8*(1+Inputs!$B$34/100)*Q2236),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37">
      <c r="A2237">
        <f>Skills!A4</f>
        <v/>
      </c>
      <c r="B2237">
        <f>Skills!B4</f>
        <v/>
      </c>
      <c r="C2237">
        <f>Inputs!$B$3&gt;=35</f>
        <v/>
      </c>
      <c r="D2237">
        <f>IF(Skills!C4=1,60+Inputs!$B$25+Inputs!$B$29,IF(Skills!C4=2,90+Inputs!$B$26+Inputs!$B$29,IF(Skills!C4=3,120+Inputs!$B$27+Inputs!$B$29,MAX(0,(Inputs!$B$3-100)*3)+Inputs!$B$28+Inputs!$B$29)))</f>
        <v/>
      </c>
      <c r="E2237">
        <f>INDEX(FactorTable!$B$2:$Y$301, MATCH(ROUND(MIN(300,MAX(1,D2237)),0), FactorTable!$A$2:$A$301,0), Skills!M4+1)</f>
        <v/>
      </c>
      <c r="F2237">
        <f>IF(Skills!N4=TRUE,(Skills!L4/10)*(E2237/1000),Skills!L4/10)+Skills!O4</f>
        <v/>
      </c>
      <c r="G2237">
        <f>Skills!G4*IF(Skills!H4&gt;0,INT(IF(Inputs!$B$38="pvp",MIN(IF(Inputs!$B$3&gt;=104,MIN(35,20*(1+Inputs!$B$34/100)),20),15),IF(Inputs!$B$3&gt;=104,MIN(35,20*(1+Inputs!$B$34/100)),20))/Skills!H4+0.000000001),1)</f>
        <v/>
      </c>
      <c r="H2237">
        <f>1-(1-Skills!J4/100)^Skills!K4</f>
        <v/>
      </c>
      <c r="I2237" t="inlineStr">
        <is>
          <t>1</t>
        </is>
      </c>
      <c r="J2237">
        <f>((Inputs!$B$6*(1+Inputs!$B$7/100))+(((Inputs!$B$12*(1+Inputs!$B$13/100))-(Inputs!$B$12*(1+Inputs!$B$13/100)))+0.25*(Inputs!$B$14-Inputs!$B$14))*(1+Inputs!$B$7/100))*(F2237/100)</f>
        <v/>
      </c>
      <c r="K2237">
        <f>J2237*(1+((Inputs!$B$12*(1+Inputs!$B$13/100))*0.01+Inputs!$B$14*0.0025)/100)*(1+Inputs!$B$15/100)*(1+Inputs!$B$16/100)*(5000/(6000+Inputs!$B$42*(1-(100*(1-(1-(Inputs!$B$19+0)/100)*(1-CHOOSE(ArtifactsInput!$N$40+1,5,6,7,8,9,10)/100)^(ArtifactsInput!$M$40-ArtifactsInput!$M$40)))/100)))*(1+(Inputs!$B$24+((C2259=TRUE)*(F2259-Calc!F26))+B2270)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IF(ArtifactsInput!$M$28,FALSE,TRUE)-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2249=TRUE,F2249,0)/100)*(1+(IF(Skills!A4="EIGHT_LEGS_EASTON",Inputs!$B$17+((C2256=TRUE)*(F2256-Calc!F23))+((C2260=TRUE)*(F2260-Calc!F27))+((IF(AND(Inputs!$B$38&lt;&gt;"pvp",Inputs!$B$43=0),1,IF(IF(Inputs!$B$38="pvp",15,Inputs!$B$43)-(B2271)&lt;=0,1,MAX(0,IF(Inputs!$B$38="pvp",15,Inputs!$B$43)-MAX(5,B2271))/(IF(Inputs!$B$38="pvp",15,Inputs!$B$43)-(B2271))))*(IF(AND(ArtifactsInput!$M$42,((Inputs!$B$9+((C2252=TRUE)*(F2252-Calc!F19))+B2264+(ArtifactsInput!$M$24-ArtifactsInput!$M$24)*CHOOSE(ArtifactsInput!$N$24+1,10,12,14,16,18,20)+IF(ArtifactsInput!$M$10,CHOOSE(ArtifactsInput!$N$10+1,15,18,21,24,27,30)*(IF(Inputs!$B$38="pvp",MIN(15,15)/15,IF(AND(Inputs!$B$38&lt;&gt;"pvp",Inputs!$B$43&gt;0),MIN(15,Inputs!$B$43)/(Inputs!$B$43),0))),0)))&gt;=100),MIN(100,((Inputs!$B$9+((C2252=TRUE)*(F2252-Calc!F19))+B2264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2271)&lt;=0,1,MAX(0,IF(Inputs!$B$38="pvp",15,Inputs!$B$43)-MAX(5,B2271))/(IF(Inputs!$B$38="pvp",15,Inputs!$B$43)-(B2271))))*IF(AND(ArtifactsInput!$M$42,((Inputs!$B$9+((C2252=TRUE)*(F2252-Calc!F19))+B2264+(ArtifactsInput!$M$24-ArtifactsInput!$M$24)*CHOOSE(ArtifactsInput!$N$24+1,10,12,14,16,18,20)+IF(ArtifactsInput!$M$10,CHOOSE(ArtifactsInput!$N$10+1,15,18,21,24,27,30)*(IF(Inputs!$B$38="pvp",MIN(15,15)/15,IF(AND(Inputs!$B$38&lt;&gt;"pvp",Inputs!$B$43&gt;0),MIN(15,Inputs!$B$43)/(Inputs!$B$43),0))),0)))&gt;=100),CHOOSE(ArtifactsInput!$N$42+1,40,48,56,64,72,80),0))))/100)*((1+(((C2250=TRUE)*F2250*5/7)+((C2257=TRUE)*(F2257-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2237)</f>
        <v/>
      </c>
      <c r="L2237">
        <f>K2237*(MIN(Inputs!$B$22+((C2255=TRUE)*(F2255-Calc!F22)),(Inputs!$B$23+0+(IF(ArtifactsInput!$M$15,CHOOSE(ArtifactsInput!$N$15+1,25,30,35,40,45,50)/100*(Inputs!$B$11-Inputs!$B$11),0))))/100+(Inputs!$B$23+0+(IF(ArtifactsInput!$M$15,CHOOSE(ArtifactsInput!$N$15+1,25,30,35,40,45,50)/100*(Inputs!$B$11-Inputs!$B$11),0)))/100)/2</f>
        <v/>
      </c>
      <c r="M2237">
        <f>L2237*(1+(Inputs!$B$10+((C2258=TRUE)*(F2258-Calc!F25))+B2269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37">
        <f>L2237*(1-MIN((Inputs!$B$9+((C2252=TRUE)*(F2252-Calc!F19))+B2264+(ArtifactsInput!$M$24-ArtifactsInput!$M$24)*CHOOSE(ArtifactsInput!$N$24+1,10,12,14,16,18,20)+(IF(AND(Inputs!$B$38&lt;&gt;"pvp",Inputs!$B$43=0),1,IF(IF(Inputs!$B$38="pvp",15,Inputs!$B$43)-(B2271)&lt;=0,1,MAX(0,IF(Inputs!$B$38="pvp",15,Inputs!$B$43)-MAX(5,B2271))/(IF(Inputs!$B$38="pvp",15,Inputs!$B$43)-(B2271))))*IF(AND(ArtifactsInput!$M$42,((Inputs!$B$9+((C2252=TRUE)*(F2252-Calc!F19))+B2264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2237*(MIN((Inputs!$B$9+((C2252=TRUE)*(F2252-Calc!F19))+B2264+(ArtifactsInput!$M$24-ArtifactsInput!$M$24)*CHOOSE(ArtifactsInput!$N$24+1,10,12,14,16,18,20)+(IF(AND(Inputs!$B$38&lt;&gt;"pvp",Inputs!$B$43=0),1,IF(IF(Inputs!$B$38="pvp",15,Inputs!$B$43)-(B2271)&lt;=0,1,MAX(0,IF(Inputs!$B$38="pvp",15,Inputs!$B$43)-MAX(5,B2271))/(IF(Inputs!$B$38="pvp",15,Inputs!$B$43)-(B2271))))*IF(AND(ArtifactsInput!$M$42,((Inputs!$B$9+((C2252=TRUE)*(F2252-Calc!F19))+B2264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37">
        <f>(1-Summary!$B$11)*T2237+Summary!$B$11*V2237</f>
        <v/>
      </c>
      <c r="P2237">
        <f>IF(B2274=0,0,O2237/B2274)</f>
        <v/>
      </c>
      <c r="Q2237">
        <f>IFERROR(1/(IF(Inputs!$B$38="pvp",15,MAX(0.1,Skills!D4-IF(TRUE=TRUE,Inputs!$B$32,0)))*(1-IF(AND(ArtifactsInput!$M$27,Inputs!$B$4="Chapter Hunt"),CHOOSE(ArtifactsInput!$N$27+1,20,24,28,32,36,40),0)/100)),0)</f>
        <v/>
      </c>
      <c r="R2237">
        <f>IF(AND(Inputs!$B$38&lt;&gt;"pvp",Inputs!$B$43&gt;0),IF(MAX(0,Inputs!$B$43-B2271)&lt;=0,0,(INT(MAX(0,Inputs!$B$43-B2271)/(IF(Inputs!$B$38="pvp",15,MAX(0.1,Skills!D4-IF(TRUE=TRUE,Inputs!$B$32,0)))*(1-IF(AND(ArtifactsInput!$M$27,Inputs!$B$4="Chapter Hunt"),CHOOSE(ArtifactsInput!$N$27+1,20,24,28,32,36,40),0)/100)))+1)),0)</f>
        <v/>
      </c>
      <c r="S2237">
        <f>IFERROR(O2237/N2237,0)</f>
        <v/>
      </c>
      <c r="T2237">
        <f>IF(C2237,(H2237*N2237*IF(AND(Inputs!$B$38&lt;&gt;"pvp",Inputs!$B$43&gt;0),((Skills!G4*((R2237-1)*IF(Skills!H4&gt;0,INT(IF(Inputs!$B$3&gt;=104,MIN(35,20*(1+Inputs!$B$34/100)),20)/Skills!H4+0.000000001),1)+IF(Skills!H4&gt;0,INT(MIN(IF(Inputs!$B$3&gt;=104,MIN(35,20*(1+Inputs!$B$34/100)),20),MAX(0,MAX(0,Inputs!$B$43-B2271)-((R2237-1)*(IF(Inputs!$B$38="pvp",15,MAX(0.1,Skills!D4-IF(TRUE=TRUE,Inputs!$B$32,0)))*(1-IF(AND(ArtifactsInput!$M$27,Inputs!$B$4="Chapter Hunt"),CHOOSE(ArtifactsInput!$N$27+1,20,24,28,32,36,40),0)/100)))))/Skills!H4+0.000000001),1)))/Inputs!$B$43),G2237*Q2237))*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Hunt"),CHOOSE(ArtifactsInput!$N$35+1,15,18,21,24,27,30)*(1-EXP(-(0.2*B2266)*5)),0)+IF(AND(ArtifactsInput!$M$22,Inputs!$B$4&lt;&gt;"Chapter Hunt"),CHOOSE(ArtifactsInput!$N$22+1,10,12,14,16,18,20)*((0*(((0.15*B2266*5))^0/1)+1*(((0.15*B2266*5))^1/1)+2*(((0.15*B2266*5))^2/2)+3*(((0.15*B2266*5))^3/6)+4*(((0.15*B2266*5))^4/24)+5*(((0.15*B2266*5))^5/120))/((((0.15*B2266*5))^0/1)+(((0.15*B2266*5))^1/1)+(((0.15*B2266*5))^2/2)+(((0.15*B2266*5))^3/6)+(((0.15*B2266*5))^4/24)+(((0.15*B2266*5))^5/120))),0))+IF(Inputs!$B$3&gt;=54,9*(C2236=TRUE)*MIN(1,8*(1+Inputs!$B$34/100)*Q2236)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2237*(1-MIN(100,(Inputs!$B$9+((C2252=TRUE)*(F2252-Calc!F19))+B2264+(ArtifactsInput!$M$24-ArtifactsInput!$M$24)*CHOOSE(ArtifactsInput!$N$24+1,10,12,14,16,18,20)+(IF(AND(Inputs!$B$38&lt;&gt;"pvp",Inputs!$B$43=0),1,IF(IF(Inputs!$B$38="pvp",15,Inputs!$B$43)-(B2271)&lt;=0,1,MAX(0,IF(Inputs!$B$38="pvp",15,Inputs!$B$43)-MAX(5,B2271))/(IF(Inputs!$B$38="pvp",15,Inputs!$B$43)-(B2271))))*IF(AND(ArtifactsInput!$M$42,((Inputs!$B$9+((C2252=TRUE)*(F2252-Calc!F19))+B2264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2237*(MIN(100,(Inputs!$B$9+((C2252=TRUE)*(F2252-Calc!F19))+B2264+(ArtifactsInput!$M$24-ArtifactsInput!$M$24)*CHOOSE(ArtifactsInput!$N$24+1,10,12,14,16,18,20)+(IF(AND(Inputs!$B$38&lt;&gt;"pvp",Inputs!$B$43=0),1,IF(IF(Inputs!$B$38="pvp",15,Inputs!$B$43)-(B2271)&lt;=0,1,MAX(0,IF(Inputs!$B$38="pvp",15,Inputs!$B$43)-MAX(5,B2271))/(IF(Inputs!$B$38="pvp",15,Inputs!$B$43)-(B2271))))*IF(AND(ArtifactsInput!$M$42,((Inputs!$B$9+((C2252=TRUE)*(F2252-Calc!F19))+B2264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2237*(1-MIN(100,(Inputs!$B$9+((C2252=TRUE)*(F2252-Calc!F19))+B2264+(ArtifactsInput!$M$24-ArtifactsInput!$M$24)*CHOOSE(ArtifactsInput!$N$24+1,10,12,14,16,18,20)+(IF(AND(Inputs!$B$38&lt;&gt;"pvp",Inputs!$B$43=0),1,IF(IF(Inputs!$B$38="pvp",15,Inputs!$B$43)-(B2271)&lt;=0,1,MAX(0,IF(Inputs!$B$38="pvp",15,Inputs!$B$43)-MAX(5,B2271))/(IF(Inputs!$B$38="pvp",15,Inputs!$B$43)-(B2271))))*IF(AND(ArtifactsInput!$M$42,((Inputs!$B$9+((C2252=TRUE)*(F2252-Calc!F19))+B2264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2237*(MIN(100,(Inputs!$B$9+((C2252=TRUE)*(F2252-Calc!F19))+B2264+(ArtifactsInput!$M$24-ArtifactsInput!$M$24)*CHOOSE(ArtifactsInput!$N$24+1,10,12,14,16,18,20)+(IF(AND(Inputs!$B$38&lt;&gt;"pvp",Inputs!$B$43=0),1,IF(IF(Inputs!$B$38="pvp",15,Inputs!$B$43)-(B2271)&lt;=0,1,MAX(0,IF(Inputs!$B$38="pvp",15,Inputs!$B$43)-MAX(5,B2271))/(IF(Inputs!$B$38="pvp",15,Inputs!$B$43)-(B2271))))*IF(AND(ArtifactsInput!$M$42,((Inputs!$B$9+((C2252=TRUE)*(F2252-Calc!F19))+B2264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237">
        <f>290*U2236/1000</f>
        <v/>
      </c>
      <c r="V2237">
        <f>IF(C2237,(H2237*N2237*IF(AND(Inputs!$B$38&lt;&gt;"pvp",Inputs!$B$43&gt;0),((Skills!G4*((R2237-1)*IF(Skills!H4&gt;0,INT(IF(Inputs!$B$3&gt;=104,MIN(35,20*(1+Inputs!$B$34/100)),20)/Skills!H4+0.000000001),1)+IF(Skills!H4&gt;0,INT(MIN(IF(Inputs!$B$3&gt;=104,MIN(35,20*(1+Inputs!$B$34/100)),20),MAX(0,MAX(0,Inputs!$B$43-B2271)-((R2237-1)*(IF(Inputs!$B$38="pvp",15,MAX(0.1,Skills!D4-IF(TRUE=TRUE,Inputs!$B$32,0)))*(1-IF(AND(ArtifactsInput!$M$27,Inputs!$B$4="Chapter Hunt"),CHOOSE(ArtifactsInput!$N$27+1,20,24,28,32,36,40),0)/100)))))/Skills!H4+0.000000001),1)))/Inputs!$B$43),G2237*Q2237))*IF(Inputs!$B$38="pvp",1,(1+(Inputs!$B$21+Skills!Q4+(IF(ArtifactsInput!$M$33,CHOOSE(ArtifactsInput!$N$33+1,30,36,42,48,54,60),0))+(IF(AND(ArtifactsInput!$M$35,Inputs!$B$4&lt;&gt;"Chapter Hunt"),CHOOSE(ArtifactsInput!$N$35+1,15,18,21,24,27,30)*(1-EXP(-(0.2*B2266)*5)),0)+IF(AND(ArtifactsInput!$M$22,Inputs!$B$4&lt;&gt;"Chapter Hunt"),CHOOSE(ArtifactsInput!$N$22+1,10,12,14,16,18,20)*((0*(((0.15*B2266*5))^0/1)+1*(((0.15*B2266*5))^1/1)+2*(((0.15*B2266*5))^2/2)+3*(((0.15*B2266*5))^3/6)+4*(((0.15*B2266*5))^4/24)+5*(((0.15*B2266*5))^5/120))/((((0.15*B2266*5))^0/1)+(((0.15*B2266*5))^1/1)+(((0.15*B2266*5))^2/2)+(((0.15*B2266*5))^3/6)+(((0.15*B2266*5))^4/24)+(((0.15*B2266*5))^5/120))),0))+IF(Inputs!$B$3&gt;=54,9*(C2236=TRUE)*MIN(1,8*(1+Inputs!$B$34/100)*Q2236),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38">
      <c r="A2238">
        <f>Skills!A5</f>
        <v/>
      </c>
      <c r="B2238">
        <f>Skills!B5</f>
        <v/>
      </c>
      <c r="C2238">
        <f>Inputs!$B$3&gt;=69</f>
        <v/>
      </c>
      <c r="D2238">
        <f>IF(Skills!C5=1,60+Inputs!$B$25+Inputs!$B$29,IF(Skills!C5=2,90+Inputs!$B$26+Inputs!$B$29,IF(Skills!C5=3,120+Inputs!$B$27+Inputs!$B$29,MAX(0,(Inputs!$B$3-100)*3)+Inputs!$B$28+Inputs!$B$29)))</f>
        <v/>
      </c>
      <c r="E2238">
        <f>INDEX(FactorTable!$B$2:$Y$301, MATCH(ROUND(MIN(300,MAX(1,D2238)),0), FactorTable!$A$2:$A$301,0), Skills!M5+1)</f>
        <v/>
      </c>
      <c r="F2238">
        <f>IF(Skills!N5=TRUE,(Skills!L5/10)*(E2238/1000),Skills!L5/10)+Skills!O5</f>
        <v/>
      </c>
      <c r="G2238">
        <f>Skills!G5*IF(Skills!H5&gt;0,INT(IF(Inputs!$B$38="pvp",MIN(IF(Inputs!$B$3&gt;=104,MIN(35,20*(1+Inputs!$B$34/100)),20),15),IF(Inputs!$B$3&gt;=104,MIN(35,20*(1+Inputs!$B$34/100)),20))/Skills!H5+0.000000001),1)</f>
        <v/>
      </c>
      <c r="H2238">
        <f>1-(1-Skills!J5/100)^Skills!K5</f>
        <v/>
      </c>
      <c r="I2238" t="inlineStr">
        <is>
          <t>1</t>
        </is>
      </c>
      <c r="J2238">
        <f>((Inputs!$B$6*(1+Inputs!$B$7/100))+(((Inputs!$B$12*(1+Inputs!$B$13/100))-(Inputs!$B$12*(1+Inputs!$B$13/100)))+0.25*(Inputs!$B$14-Inputs!$B$14))*(1+Inputs!$B$7/100))*(F2238/100)</f>
        <v/>
      </c>
      <c r="K2238">
        <f>J2238*(1+((Inputs!$B$12*(1+Inputs!$B$13/100))*0.01+Inputs!$B$14*0.0025)/100)*(1+Inputs!$B$15/100)*(1+Inputs!$B$16/100)*(5000/(6000+Inputs!$B$42*(1-(100*(1-(1-(Inputs!$B$19+0)/100)*(1-CHOOSE(ArtifactsInput!$N$40+1,5,6,7,8,9,10)/100)^(ArtifactsInput!$M$40-ArtifactsInput!$M$40)))/100)))*(1+(Inputs!$B$24+((C2259=TRUE)*(F2259-Calc!F26))+B2270)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IF(ArtifactsInput!$M$28,FALSE,TRUE)-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+0.4*IF(C2249=TRUE,F2249,0)/100)*(1+(IF(Skills!A5="EIGHT_LEGS_EASTON",Inputs!$B$17+((C2256=TRUE)*(F2256-Calc!F23))+((C2260=TRUE)*(F2260-Calc!F27))+((IF(AND(Inputs!$B$38&lt;&gt;"pvp",Inputs!$B$43=0),1,IF(IF(Inputs!$B$38="pvp",15,Inputs!$B$43)-(B2271)&lt;=0,1,MAX(0,IF(Inputs!$B$38="pvp",15,Inputs!$B$43)-MAX(5,B2271))/(IF(Inputs!$B$38="pvp",15,Inputs!$B$43)-(B2271))))*(IF(AND(ArtifactsInput!$M$42,((Inputs!$B$9+((C2252=TRUE)*(F2252-Calc!F19))+B2264+(ArtifactsInput!$M$24-ArtifactsInput!$M$24)*CHOOSE(ArtifactsInput!$N$24+1,10,12,14,16,18,20)+IF(ArtifactsInput!$M$10,CHOOSE(ArtifactsInput!$N$10+1,15,18,21,24,27,30)*(IF(Inputs!$B$38="pvp",MIN(15,15)/15,IF(AND(Inputs!$B$38&lt;&gt;"pvp",Inputs!$B$43&gt;0),MIN(15,Inputs!$B$43)/(Inputs!$B$43),0))),0)))&gt;=100),MIN(100,((Inputs!$B$9+((C2252=TRUE)*(F2252-Calc!F19))+B2264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2271)&lt;=0,1,MAX(0,IF(Inputs!$B$38="pvp",15,Inputs!$B$43)-MAX(5,B2271))/(IF(Inputs!$B$38="pvp",15,Inputs!$B$43)-(B2271))))*IF(AND(ArtifactsInput!$M$42,((Inputs!$B$9+((C2252=TRUE)*(F2252-Calc!F19))+B2264+(ArtifactsInput!$M$24-ArtifactsInput!$M$24)*CHOOSE(ArtifactsInput!$N$24+1,10,12,14,16,18,20)+IF(ArtifactsInput!$M$10,CHOOSE(ArtifactsInput!$N$10+1,15,18,21,24,27,30)*(IF(Inputs!$B$38="pvp",MIN(15,15)/15,IF(AND(Inputs!$B$38&lt;&gt;"pvp",Inputs!$B$43&gt;0),MIN(15,Inputs!$B$43)/(Inputs!$B$43),0))),0)))&gt;=100),CHOOSE(ArtifactsInput!$N$42+1,40,48,56,64,72,80),0))))/100)*((1+(((C2250=TRUE)*F2250*5/7)+((C2257=TRUE)*(F2257-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2238)</f>
        <v/>
      </c>
      <c r="L2238">
        <f>K2238*(MIN(Inputs!$B$22+((C2255=TRUE)*(F2255-Calc!F22)),(Inputs!$B$23+0+(IF(ArtifactsInput!$M$15,CHOOSE(ArtifactsInput!$N$15+1,25,30,35,40,45,50)/100*(Inputs!$B$11-Inputs!$B$11),0))))/100+(Inputs!$B$23+0+(IF(ArtifactsInput!$M$15,CHOOSE(ArtifactsInput!$N$15+1,25,30,35,40,45,50)/100*(Inputs!$B$11-Inputs!$B$11),0)))/100)/2</f>
        <v/>
      </c>
      <c r="M2238">
        <f>L2238*(1+(Inputs!$B$10+((C2258=TRUE)*(F2258-Calc!F25))+B2269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38">
        <f>L2238*(1-MIN((Inputs!$B$9+((C2252=TRUE)*(F2252-Calc!F19))+B2264+(ArtifactsInput!$M$24-ArtifactsInput!$M$24)*CHOOSE(ArtifactsInput!$N$24+1,10,12,14,16,18,20)+(IF(AND(Inputs!$B$38&lt;&gt;"pvp",Inputs!$B$43=0),1,IF(IF(Inputs!$B$38="pvp",15,Inputs!$B$43)-(B2271)&lt;=0,1,MAX(0,IF(Inputs!$B$38="pvp",15,Inputs!$B$43)-MAX(5,B2271))/(IF(Inputs!$B$38="pvp",15,Inputs!$B$43)-(B2271))))*IF(AND(ArtifactsInput!$M$42,((Inputs!$B$9+((C2252=TRUE)*(F2252-Calc!F19))+B2264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2238*(MIN((Inputs!$B$9+((C2252=TRUE)*(F2252-Calc!F19))+B2264+(ArtifactsInput!$M$24-ArtifactsInput!$M$24)*CHOOSE(ArtifactsInput!$N$24+1,10,12,14,16,18,20)+(IF(AND(Inputs!$B$38&lt;&gt;"pvp",Inputs!$B$43=0),1,IF(IF(Inputs!$B$38="pvp",15,Inputs!$B$43)-(B2271)&lt;=0,1,MAX(0,IF(Inputs!$B$38="pvp",15,Inputs!$B$43)-MAX(5,B2271))/(IF(Inputs!$B$38="pvp",15,Inputs!$B$43)-(B2271))))*IF(AND(ArtifactsInput!$M$42,((Inputs!$B$9+((C2252=TRUE)*(F2252-Calc!F19))+B2264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38">
        <f>(1-Summary!$B$11)*T2238+Summary!$B$11*V2238</f>
        <v/>
      </c>
      <c r="P2238">
        <f>IF(B2274=0,0,O2238/B2274)</f>
        <v/>
      </c>
      <c r="Q2238">
        <f>IFERROR(1/(IF(Inputs!$B$38="pvp",15,MAX(0.1,Skills!D5-IF(TRUE=TRUE,Inputs!$B$32,0)))*(1-IF(AND(ArtifactsInput!$M$27,Inputs!$B$4="Chapter Hunt"),CHOOSE(ArtifactsInput!$N$27+1,20,24,28,32,36,40),0)/100)),0)</f>
        <v/>
      </c>
      <c r="R2238">
        <f>IF(AND(Inputs!$B$38&lt;&gt;"pvp",Inputs!$B$43&gt;0),IF(MAX(0,Inputs!$B$43-B2271)&lt;=0,0,(INT(MAX(0,Inputs!$B$43-B2271)/(IF(Inputs!$B$38="pvp",15,MAX(0.1,Skills!D5-IF(TRUE=TRUE,Inputs!$B$32,0)))*(1-IF(AND(ArtifactsInput!$M$27,Inputs!$B$4="Chapter Hunt"),CHOOSE(ArtifactsInput!$N$27+1,20,24,28,32,36,40),0)/100)))+1)),0)</f>
        <v/>
      </c>
      <c r="S2238">
        <f>IFERROR(O2238/N2238,0)</f>
        <v/>
      </c>
      <c r="T2238">
        <f>IF(C2238,(H2238*N2238*IF(AND(Inputs!$B$38&lt;&gt;"pvp",Inputs!$B$43&gt;0),((Skills!G5*((R2238-1)*IF(Skills!H5&gt;0,INT(IF(Inputs!$B$3&gt;=104,MIN(35,20*(1+Inputs!$B$34/100)),20)/Skills!H5+0.000000001),1)+IF(Skills!H5&gt;0,INT(MIN(IF(Inputs!$B$3&gt;=104,MIN(35,20*(1+Inputs!$B$34/100)),20),MAX(0,MAX(0,Inputs!$B$43-B2271)-((R2238-1)*(IF(Inputs!$B$38="pvp",15,MAX(0.1,Skills!D5-IF(TRUE=TRUE,Inputs!$B$32,0)))*(1-IF(AND(ArtifactsInput!$M$27,Inputs!$B$4="Chapter Hunt"),CHOOSE(ArtifactsInput!$N$27+1,20,24,28,32,36,40),0)/100)))))/Skills!H5+0.000000001),1)))/Inputs!$B$43),G2238*Q2238))*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Hunt"),CHOOSE(ArtifactsInput!$N$35+1,15,18,21,24,27,30)*(1-EXP(-(0.2*B2266)*5)),0)+IF(AND(ArtifactsInput!$M$22,Inputs!$B$4&lt;&gt;"Chapter Hunt"),CHOOSE(ArtifactsInput!$N$22+1,10,12,14,16,18,20)*((0*(((0.15*B2266*5))^0/1)+1*(((0.15*B2266*5))^1/1)+2*(((0.15*B2266*5))^2/2)+3*(((0.15*B2266*5))^3/6)+4*(((0.15*B2266*5))^4/24)+5*(((0.15*B2266*5))^5/120))/((((0.15*B2266*5))^0/1)+(((0.15*B2266*5))^1/1)+(((0.15*B2266*5))^2/2)+(((0.15*B2266*5))^3/6)+(((0.15*B2266*5))^4/24)+(((0.15*B2266*5))^5/120))),0))+IF(Inputs!$B$3&gt;=54,9*(C2236=TRUE)*MIN(1,8*(1+Inputs!$B$34/100)*Q2236)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2238*(1-MIN(100,(Inputs!$B$9+((C2252=TRUE)*(F2252-Calc!F19))+B2264+(ArtifactsInput!$M$24-ArtifactsInput!$M$24)*CHOOSE(ArtifactsInput!$N$24+1,10,12,14,16,18,20)+(IF(AND(Inputs!$B$38&lt;&gt;"pvp",Inputs!$B$43=0),1,IF(IF(Inputs!$B$38="pvp",15,Inputs!$B$43)-(B2271)&lt;=0,1,MAX(0,IF(Inputs!$B$38="pvp",15,Inputs!$B$43)-MAX(5,B2271))/(IF(Inputs!$B$38="pvp",15,Inputs!$B$43)-(B2271))))*IF(AND(ArtifactsInput!$M$42,((Inputs!$B$9+((C2252=TRUE)*(F2252-Calc!F19))+B2264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2238*(MIN(100,(Inputs!$B$9+((C2252=TRUE)*(F2252-Calc!F19))+B2264+(ArtifactsInput!$M$24-ArtifactsInput!$M$24)*CHOOSE(ArtifactsInput!$N$24+1,10,12,14,16,18,20)+(IF(AND(Inputs!$B$38&lt;&gt;"pvp",Inputs!$B$43=0),1,IF(IF(Inputs!$B$38="pvp",15,Inputs!$B$43)-(B2271)&lt;=0,1,MAX(0,IF(Inputs!$B$38="pvp",15,Inputs!$B$43)-MAX(5,B2271))/(IF(Inputs!$B$38="pvp",15,Inputs!$B$43)-(B2271))))*IF(AND(ArtifactsInput!$M$42,((Inputs!$B$9+((C2252=TRUE)*(F2252-Calc!F19))+B2264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2238*(1-MIN(100,(Inputs!$B$9+((C2252=TRUE)*(F2252-Calc!F19))+B2264+(ArtifactsInput!$M$24-ArtifactsInput!$M$24)*CHOOSE(ArtifactsInput!$N$24+1,10,12,14,16,18,20)+(IF(AND(Inputs!$B$38&lt;&gt;"pvp",Inputs!$B$43=0),1,IF(IF(Inputs!$B$38="pvp",15,Inputs!$B$43)-(B2271)&lt;=0,1,MAX(0,IF(Inputs!$B$38="pvp",15,Inputs!$B$43)-MAX(5,B2271))/(IF(Inputs!$B$38="pvp",15,Inputs!$B$43)-(B2271))))*IF(AND(ArtifactsInput!$M$42,((Inputs!$B$9+((C2252=TRUE)*(F2252-Calc!F19))+B2264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2238*(MIN(100,(Inputs!$B$9+((C2252=TRUE)*(F2252-Calc!F19))+B2264+(ArtifactsInput!$M$24-ArtifactsInput!$M$24)*CHOOSE(ArtifactsInput!$N$24+1,10,12,14,16,18,20)+(IF(AND(Inputs!$B$38&lt;&gt;"pvp",Inputs!$B$43=0),1,IF(IF(Inputs!$B$38="pvp",15,Inputs!$B$43)-(B2271)&lt;=0,1,MAX(0,IF(Inputs!$B$38="pvp",15,Inputs!$B$43)-MAX(5,B2271))/(IF(Inputs!$B$38="pvp",15,Inputs!$B$43)-(B2271))))*IF(AND(ArtifactsInput!$M$42,((Inputs!$B$9+((C2252=TRUE)*(F2252-Calc!F19))+B2264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238">
        <f>IF(C2238,(H2238*N2238*IF(AND(Inputs!$B$38&lt;&gt;"pvp",Inputs!$B$43&gt;0),((Skills!G5*((R2238-1)*IF(Skills!H5&gt;0,INT(IF(Inputs!$B$3&gt;=104,MIN(35,20*(1+Inputs!$B$34/100)),20)/Skills!H5+0.000000001),1)+IF(Skills!H5&gt;0,INT(MIN(IF(Inputs!$B$3&gt;=104,MIN(35,20*(1+Inputs!$B$34/100)),20),MAX(0,MAX(0,Inputs!$B$43-B2271)-((R2238-1)*(IF(Inputs!$B$38="pvp",15,MAX(0.1,Skills!D5-IF(TRUE=TRUE,Inputs!$B$32,0)))*(1-IF(AND(ArtifactsInput!$M$27,Inputs!$B$4="Chapter Hunt"),CHOOSE(ArtifactsInput!$N$27+1,20,24,28,32,36,40),0)/100)))))/Skills!H5+0.000000001),1)))/Inputs!$B$43),G2238*Q2238))*IF(Inputs!$B$38="pvp",1,(1+(Inputs!$B$21+Skills!Q5+(IF(ArtifactsInput!$M$33,CHOOSE(ArtifactsInput!$N$33+1,30,36,42,48,54,60),0))+(IF(AND(ArtifactsInput!$M$35,Inputs!$B$4&lt;&gt;"Chapter Hunt"),CHOOSE(ArtifactsInput!$N$35+1,15,18,21,24,27,30)*(1-EXP(-(0.2*B2266)*5)),0)+IF(AND(ArtifactsInput!$M$22,Inputs!$B$4&lt;&gt;"Chapter Hunt"),CHOOSE(ArtifactsInput!$N$22+1,10,12,14,16,18,20)*((0*(((0.15*B2266*5))^0/1)+1*(((0.15*B2266*5))^1/1)+2*(((0.15*B2266*5))^2/2)+3*(((0.15*B2266*5))^3/6)+4*(((0.15*B2266*5))^4/24)+5*(((0.15*B2266*5))^5/120))/((((0.15*B2266*5))^0/1)+(((0.15*B2266*5))^1/1)+(((0.15*B2266*5))^2/2)+(((0.15*B2266*5))^3/6)+(((0.15*B2266*5))^4/24)+(((0.15*B2266*5))^5/120))),0))+IF(Inputs!$B$3&gt;=54,9*(C2236=TRUE)*MIN(1,8*(1+Inputs!$B$34/100)*Q2236),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39">
      <c r="A2239">
        <f>Skills!A6</f>
        <v/>
      </c>
      <c r="B2239">
        <f>Skills!B6</f>
        <v/>
      </c>
      <c r="C2239">
        <f>Inputs!$B$3&gt;=66</f>
        <v/>
      </c>
      <c r="D2239">
        <f>IF(Skills!C6=1,60+Inputs!$B$25+Inputs!$B$29,IF(Skills!C6=2,90+Inputs!$B$26+Inputs!$B$29,IF(Skills!C6=3,120+Inputs!$B$27+Inputs!$B$29,MAX(0,(Inputs!$B$3-100)*3)+Inputs!$B$28+Inputs!$B$29)))</f>
        <v/>
      </c>
      <c r="E2239">
        <f>INDEX(FactorTable!$B$2:$Y$301, MATCH(ROUND(MIN(300,MAX(1,D2239)),0), FactorTable!$A$2:$A$301,0), Skills!M6+1)</f>
        <v/>
      </c>
      <c r="F2239">
        <f>IF(Skills!N6=TRUE,(Skills!L6/10)*(E2239/1000),Skills!L6/10)+Skills!O6</f>
        <v/>
      </c>
      <c r="G2239">
        <f>Skills!G6*IF(Skills!H6&gt;0,INT(IF(Inputs!$B$38="pvp",MIN(Skills!I6,15),Skills!I6)/Skills!H6+0.000000001),1)</f>
        <v/>
      </c>
      <c r="H2239">
        <f>1-(1-Skills!J6/100)^Skills!K6</f>
        <v/>
      </c>
      <c r="I2239" t="inlineStr">
        <is>
          <t>1</t>
        </is>
      </c>
      <c r="J2239">
        <f>((Inputs!$B$6*(1+Inputs!$B$7/100))+(((Inputs!$B$12*(1+Inputs!$B$13/100))-(Inputs!$B$12*(1+Inputs!$B$13/100)))+0.25*(Inputs!$B$14-Inputs!$B$14))*(1+Inputs!$B$7/100))*(F2239/100)</f>
        <v/>
      </c>
      <c r="K2239">
        <f>J2239*(1+((Inputs!$B$12*(1+Inputs!$B$13/100))*0.01+Inputs!$B$14*0.0025)/100)*(1+Inputs!$B$15/100)*(1+Inputs!$B$16/100)*(5000/(6000+Inputs!$B$42*(1-(100*(1-(1-(Inputs!$B$19+0)/100)*(1-CHOOSE(ArtifactsInput!$N$40+1,5,6,7,8,9,10)/100)^(ArtifactsInput!$M$40-ArtifactsInput!$M$40)))/100)))*(1+(Inputs!$B$24+((C2259=TRUE)*(F2259-Calc!F26))+B2270)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IF(ArtifactsInput!$M$28,FALSE,TRUE)-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+2.0*IF(C2248=TRUE,F2248,0)/100)*(1+(IF(Skills!A6="EIGHT_LEGS_EASTON",Inputs!$B$17+((C2256=TRUE)*(F2256-Calc!F23))+((C2260=TRUE)*(F2260-Calc!F27))+((IF(AND(Inputs!$B$38&lt;&gt;"pvp",Inputs!$B$43=0),1,IF(IF(Inputs!$B$38="pvp",15,Inputs!$B$43)-(B2271)&lt;=0,1,MAX(0,IF(Inputs!$B$38="pvp",15,Inputs!$B$43)-MAX(5,B2271))/(IF(Inputs!$B$38="pvp",15,Inputs!$B$43)-(B2271))))*(IF(AND(ArtifactsInput!$M$42,((Inputs!$B$9+((C2252=TRUE)*(F2252-Calc!F19))+B2264+(ArtifactsInput!$M$24-ArtifactsInput!$M$24)*CHOOSE(ArtifactsInput!$N$24+1,10,12,14,16,18,20)+IF(ArtifactsInput!$M$10,CHOOSE(ArtifactsInput!$N$10+1,15,18,21,24,27,30)*(IF(Inputs!$B$38="pvp",MIN(15,15)/15,IF(AND(Inputs!$B$38&lt;&gt;"pvp",Inputs!$B$43&gt;0),MIN(15,Inputs!$B$43)/(Inputs!$B$43),0))),0)))&gt;=100),MIN(100,((Inputs!$B$9+((C2252=TRUE)*(F2252-Calc!F19))+B2264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2271)&lt;=0,1,MAX(0,IF(Inputs!$B$38="pvp",15,Inputs!$B$43)-MAX(5,B2271))/(IF(Inputs!$B$38="pvp",15,Inputs!$B$43)-(B2271))))*IF(AND(ArtifactsInput!$M$42,((Inputs!$B$9+((C2252=TRUE)*(F2252-Calc!F19))+B2264+(ArtifactsInput!$M$24-ArtifactsInput!$M$24)*CHOOSE(ArtifactsInput!$N$24+1,10,12,14,16,18,20)+IF(ArtifactsInput!$M$10,CHOOSE(ArtifactsInput!$N$10+1,15,18,21,24,27,30)*(IF(Inputs!$B$38="pvp",MIN(15,15)/15,IF(AND(Inputs!$B$38&lt;&gt;"pvp",Inputs!$B$43&gt;0),MIN(15,Inputs!$B$43)/(Inputs!$B$43),0))),0)))&gt;=100),CHOOSE(ArtifactsInput!$N$42+1,40,48,56,64,72,80),0))))/100)*((1+(((C2250=TRUE)*F2250*5/7)+((C2257=TRUE)*(F2257-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2239)</f>
        <v/>
      </c>
      <c r="L2239">
        <f>K2239*(MIN(Inputs!$B$22+((C2255=TRUE)*(F2255-Calc!F22)),(Inputs!$B$23+0+(IF(ArtifactsInput!$M$15,CHOOSE(ArtifactsInput!$N$15+1,25,30,35,40,45,50)/100*(Inputs!$B$11-Inputs!$B$11),0))))/100+(Inputs!$B$23+0+(IF(ArtifactsInput!$M$15,CHOOSE(ArtifactsInput!$N$15+1,25,30,35,40,45,50)/100*(Inputs!$B$11-Inputs!$B$11),0)))/100)/2</f>
        <v/>
      </c>
      <c r="M2239">
        <f>L2239*(1+(Inputs!$B$10+((C2258=TRUE)*(F2258-Calc!F25))+B2269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39">
        <f>L2239*(1-MIN((Inputs!$B$9+((C2252=TRUE)*(F2252-Calc!F19))+B2264+(ArtifactsInput!$M$24-ArtifactsInput!$M$24)*CHOOSE(ArtifactsInput!$N$24+1,10,12,14,16,18,20)+(IF(AND(Inputs!$B$38&lt;&gt;"pvp",Inputs!$B$43=0),1,IF(IF(Inputs!$B$38="pvp",15,Inputs!$B$43)-(B2271)&lt;=0,1,MAX(0,IF(Inputs!$B$38="pvp",15,Inputs!$B$43)-MAX(5,B2271))/(IF(Inputs!$B$38="pvp",15,Inputs!$B$43)-(B2271))))*IF(AND(ArtifactsInput!$M$42,((Inputs!$B$9+((C2252=TRUE)*(F2252-Calc!F19))+B2264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2239*(MIN((Inputs!$B$9+((C2252=TRUE)*(F2252-Calc!F19))+B2264+(ArtifactsInput!$M$24-ArtifactsInput!$M$24)*CHOOSE(ArtifactsInput!$N$24+1,10,12,14,16,18,20)+(IF(AND(Inputs!$B$38&lt;&gt;"pvp",Inputs!$B$43=0),1,IF(IF(Inputs!$B$38="pvp",15,Inputs!$B$43)-(B2271)&lt;=0,1,MAX(0,IF(Inputs!$B$38="pvp",15,Inputs!$B$43)-MAX(5,B2271))/(IF(Inputs!$B$38="pvp",15,Inputs!$B$43)-(B2271))))*IF(AND(ArtifactsInput!$M$42,((Inputs!$B$9+((C2252=TRUE)*(F2252-Calc!F19))+B2264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39">
        <f>(1-Summary!$B$11)*T2239+Summary!$B$11*V2239</f>
        <v/>
      </c>
      <c r="P2239">
        <f>IF(B2274=0,0,O2239/B2274)</f>
        <v/>
      </c>
      <c r="Q2239">
        <f>IFERROR(1/(IF(Inputs!$B$38="pvp",15,MAX(0.1,Skills!D6-IF(TRUE=TRUE,Inputs!$B$32,0)))*(1-IF(AND(ArtifactsInput!$M$27,Inputs!$B$4="Chapter Hunt"),CHOOSE(ArtifactsInput!$N$27+1,20,24,28,32,36,40),0)/100)),0)</f>
        <v/>
      </c>
      <c r="R2239">
        <f>IF(AND(Inputs!$B$38&lt;&gt;"pvp",Inputs!$B$43&gt;0),IF(MAX(0,Inputs!$B$43-B2271)&lt;=0,0,(INT(MAX(0,Inputs!$B$43-B2271)/(IF(Inputs!$B$38="pvp",15,MAX(0.1,Skills!D6-IF(TRUE=TRUE,Inputs!$B$32,0)))*(1-IF(AND(ArtifactsInput!$M$27,Inputs!$B$4="Chapter Hunt"),CHOOSE(ArtifactsInput!$N$27+1,20,24,28,32,36,40),0)/100)))+1)),0)</f>
        <v/>
      </c>
      <c r="S2239">
        <f>IFERROR(O2239/N2239,0)</f>
        <v/>
      </c>
      <c r="T2239">
        <f>IF(C2239,(H2239*N2239*IF(AND(Inputs!$B$38&lt;&gt;"pvp",Inputs!$B$43&gt;0),((Skills!G6*((R2239-1)*IF(Skills!H6&gt;0,INT(Skills!I6/Skills!H6+0.000000001),1)+IF(Skills!H6&gt;0,INT(MIN(Skills!I6,MAX(0,MAX(0,Inputs!$B$43-B2271)-((R2239-1)*(IF(Inputs!$B$38="pvp",15,MAX(0.1,Skills!D6-IF(TRUE=TRUE,Inputs!$B$32,0)))*(1-IF(AND(ArtifactsInput!$M$27,Inputs!$B$4="Chapter Hunt"),CHOOSE(ArtifactsInput!$N$27+1,20,24,28,32,36,40),0)/100)))))/Skills!H6+0.000000001),1)))/Inputs!$B$43),G2239*Q2239))*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Hunt"),CHOOSE(ArtifactsInput!$N$35+1,15,18,21,24,27,30)*(1-EXP(-(0.2*B2266)*5)),0)+IF(AND(ArtifactsInput!$M$22,Inputs!$B$4&lt;&gt;"Chapter Hunt"),CHOOSE(ArtifactsInput!$N$22+1,10,12,14,16,18,20)*((0*(((0.15*B2266*5))^0/1)+1*(((0.15*B2266*5))^1/1)+2*(((0.15*B2266*5))^2/2)+3*(((0.15*B2266*5))^3/6)+4*(((0.15*B2266*5))^4/24)+5*(((0.15*B2266*5))^5/120))/((((0.15*B2266*5))^0/1)+(((0.15*B2266*5))^1/1)+(((0.15*B2266*5))^2/2)+(((0.15*B2266*5))^3/6)+(((0.15*B2266*5))^4/24)+(((0.15*B2266*5))^5/120))),0))+IF(Inputs!$B$3&gt;=54,9*(C2236=TRUE)*MIN(1,8*(1+Inputs!$B$34/100)*Q2236)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2239*(1-MIN(100,(Inputs!$B$9+((C2252=TRUE)*(F2252-Calc!F19))+B2264+(ArtifactsInput!$M$24-ArtifactsInput!$M$24)*CHOOSE(ArtifactsInput!$N$24+1,10,12,14,16,18,20)+(IF(AND(Inputs!$B$38&lt;&gt;"pvp",Inputs!$B$43=0),1,IF(IF(Inputs!$B$38="pvp",15,Inputs!$B$43)-(B2271)&lt;=0,1,MAX(0,IF(Inputs!$B$38="pvp",15,Inputs!$B$43)-MAX(5,B2271))/(IF(Inputs!$B$38="pvp",15,Inputs!$B$43)-(B2271))))*IF(AND(ArtifactsInput!$M$42,((Inputs!$B$9+((C2252=TRUE)*(F2252-Calc!F19))+B2264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2239*(MIN(100,(Inputs!$B$9+((C2252=TRUE)*(F2252-Calc!F19))+B2264+(ArtifactsInput!$M$24-ArtifactsInput!$M$24)*CHOOSE(ArtifactsInput!$N$24+1,10,12,14,16,18,20)+(IF(AND(Inputs!$B$38&lt;&gt;"pvp",Inputs!$B$43=0),1,IF(IF(Inputs!$B$38="pvp",15,Inputs!$B$43)-(B2271)&lt;=0,1,MAX(0,IF(Inputs!$B$38="pvp",15,Inputs!$B$43)-MAX(5,B2271))/(IF(Inputs!$B$38="pvp",15,Inputs!$B$43)-(B2271))))*IF(AND(ArtifactsInput!$M$42,((Inputs!$B$9+((C2252=TRUE)*(F2252-Calc!F19))+B2264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2239*(1-MIN(100,(Inputs!$B$9+((C2252=TRUE)*(F2252-Calc!F19))+B2264+(ArtifactsInput!$M$24-ArtifactsInput!$M$24)*CHOOSE(ArtifactsInput!$N$24+1,10,12,14,16,18,20)+(IF(AND(Inputs!$B$38&lt;&gt;"pvp",Inputs!$B$43=0),1,IF(IF(Inputs!$B$38="pvp",15,Inputs!$B$43)-(B2271)&lt;=0,1,MAX(0,IF(Inputs!$B$38="pvp",15,Inputs!$B$43)-MAX(5,B2271))/(IF(Inputs!$B$38="pvp",15,Inputs!$B$43)-(B2271))))*IF(AND(ArtifactsInput!$M$42,((Inputs!$B$9+((C2252=TRUE)*(F2252-Calc!F19))+B2264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2239*(MIN(100,(Inputs!$B$9+((C2252=TRUE)*(F2252-Calc!F19))+B2264+(ArtifactsInput!$M$24-ArtifactsInput!$M$24)*CHOOSE(ArtifactsInput!$N$24+1,10,12,14,16,18,20)+(IF(AND(Inputs!$B$38&lt;&gt;"pvp",Inputs!$B$43=0),1,IF(IF(Inputs!$B$38="pvp",15,Inputs!$B$43)-(B2271)&lt;=0,1,MAX(0,IF(Inputs!$B$38="pvp",15,Inputs!$B$43)-MAX(5,B2271))/(IF(Inputs!$B$38="pvp",15,Inputs!$B$43)-(B2271))))*IF(AND(ArtifactsInput!$M$42,((Inputs!$B$9+((C2252=TRUE)*(F2252-Calc!F19))+B2264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239">
        <f>IF(C2239,(H2239*N2239*IF(AND(Inputs!$B$38&lt;&gt;"pvp",Inputs!$B$43&gt;0),((Skills!G6*((R2239-1)*IF(Skills!H6&gt;0,INT(Skills!I6/Skills!H6+0.000000001),1)+IF(Skills!H6&gt;0,INT(MIN(Skills!I6,MAX(0,MAX(0,Inputs!$B$43-B2271)-((R2239-1)*(IF(Inputs!$B$38="pvp",15,MAX(0.1,Skills!D6-IF(TRUE=TRUE,Inputs!$B$32,0)))*(1-IF(AND(ArtifactsInput!$M$27,Inputs!$B$4="Chapter Hunt"),CHOOSE(ArtifactsInput!$N$27+1,20,24,28,32,36,40),0)/100)))))/Skills!H6+0.000000001),1)))/Inputs!$B$43),G2239*Q2239))*IF(Inputs!$B$38="pvp",1,(1+(Inputs!$B$21+Skills!Q6+(IF(ArtifactsInput!$M$33,CHOOSE(ArtifactsInput!$N$33+1,30,36,42,48,54,60),0))+(IF(AND(ArtifactsInput!$M$35,Inputs!$B$4&lt;&gt;"Chapter Hunt"),CHOOSE(ArtifactsInput!$N$35+1,15,18,21,24,27,30)*(1-EXP(-(0.2*B2266)*5)),0)+IF(AND(ArtifactsInput!$M$22,Inputs!$B$4&lt;&gt;"Chapter Hunt"),CHOOSE(ArtifactsInput!$N$22+1,10,12,14,16,18,20)*((0*(((0.15*B2266*5))^0/1)+1*(((0.15*B2266*5))^1/1)+2*(((0.15*B2266*5))^2/2)+3*(((0.15*B2266*5))^3/6)+4*(((0.15*B2266*5))^4/24)+5*(((0.15*B2266*5))^5/120))/((((0.15*B2266*5))^0/1)+(((0.15*B2266*5))^1/1)+(((0.15*B2266*5))^2/2)+(((0.15*B2266*5))^3/6)+(((0.15*B2266*5))^4/24)+(((0.15*B2266*5))^5/120))),0))+IF(Inputs!$B$3&gt;=54,9*(C2236=TRUE)*MIN(1,8*(1+Inputs!$B$34/100)*Q2236),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40">
      <c r="A2240">
        <f>Skills!A7</f>
        <v/>
      </c>
      <c r="B2240">
        <f>Skills!B7</f>
        <v/>
      </c>
      <c r="C2240">
        <f>Inputs!$B$3&gt;=63</f>
        <v/>
      </c>
      <c r="D2240">
        <f>IF(Skills!C7=1,60+Inputs!$B$25+Inputs!$B$29,IF(Skills!C7=2,90+Inputs!$B$26+Inputs!$B$29,IF(Skills!C7=3,120+Inputs!$B$27+Inputs!$B$29,MAX(0,(Inputs!$B$3-100)*3)+Inputs!$B$28+Inputs!$B$29)))</f>
        <v/>
      </c>
      <c r="E2240">
        <f>INDEX(FactorTable!$B$2:$Y$301, MATCH(ROUND(MIN(300,MAX(1,D2240)),0), FactorTable!$A$2:$A$301,0), Skills!M7+1)</f>
        <v/>
      </c>
      <c r="F2240">
        <f>IF(Skills!N7=TRUE,(Skills!L7/10)*(E2240/1000),Skills!L7/10)+Skills!O7</f>
        <v/>
      </c>
      <c r="G2240">
        <f>Skills!G7*IF(Skills!H7&gt;0,INT(IF(Inputs!$B$38="pvp",MIN(Skills!I7,15),Skills!I7)/Skills!H7+0.000000001),1)</f>
        <v/>
      </c>
      <c r="H2240">
        <f>1-(1-Skills!J7/100)^Skills!K7</f>
        <v/>
      </c>
      <c r="I2240" t="inlineStr">
        <is>
          <t>1</t>
        </is>
      </c>
      <c r="J2240">
        <f>((Inputs!$B$6*(1+Inputs!$B$7/100))+(((Inputs!$B$12*(1+Inputs!$B$13/100))-(Inputs!$B$12*(1+Inputs!$B$13/100)))+0.25*(Inputs!$B$14-Inputs!$B$14))*(1+Inputs!$B$7/100))*(F2240/100)</f>
        <v/>
      </c>
      <c r="K2240">
        <f>J2240*(1+((Inputs!$B$12*(1+Inputs!$B$13/100))*0.01+Inputs!$B$14*0.0025)/100)*(1+Inputs!$B$15/100)*(1+Inputs!$B$16/100)*(5000/(6000+Inputs!$B$42*(1-(100*(1-(1-(Inputs!$B$19+0)/100)*(1-CHOOSE(ArtifactsInput!$N$40+1,5,6,7,8,9,10)/100)^(ArtifactsInput!$M$40-ArtifactsInput!$M$40)))/100)))*(1+(Inputs!$B$24+((C2259=TRUE)*(F2259-Calc!F26))+B2270)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IF(ArtifactsInput!$M$28,FALSE,TRUE)-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2248=TRUE,F2248,0)/100)*(1+(IF(Skills!A7="EIGHT_LEGS_EASTON",Inputs!$B$17+((C2256=TRUE)*(F2256-Calc!F23))+((C2260=TRUE)*(F2260-Calc!F27))+((IF(AND(Inputs!$B$38&lt;&gt;"pvp",Inputs!$B$43=0),1,IF(IF(Inputs!$B$38="pvp",15,Inputs!$B$43)-(B2271)&lt;=0,1,MAX(0,IF(Inputs!$B$38="pvp",15,Inputs!$B$43)-MAX(5,B2271))/(IF(Inputs!$B$38="pvp",15,Inputs!$B$43)-(B2271))))*(IF(AND(ArtifactsInput!$M$42,((Inputs!$B$9+((C2252=TRUE)*(F2252-Calc!F19))+B2264+(ArtifactsInput!$M$24-ArtifactsInput!$M$24)*CHOOSE(ArtifactsInput!$N$24+1,10,12,14,16,18,20)+IF(ArtifactsInput!$M$10,CHOOSE(ArtifactsInput!$N$10+1,15,18,21,24,27,30)*(IF(Inputs!$B$38="pvp",MIN(15,15)/15,IF(AND(Inputs!$B$38&lt;&gt;"pvp",Inputs!$B$43&gt;0),MIN(15,Inputs!$B$43)/(Inputs!$B$43),0))),0)))&gt;=100),MIN(100,((Inputs!$B$9+((C2252=TRUE)*(F2252-Calc!F19))+B2264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2271)&lt;=0,1,MAX(0,IF(Inputs!$B$38="pvp",15,Inputs!$B$43)-MAX(5,B2271))/(IF(Inputs!$B$38="pvp",15,Inputs!$B$43)-(B2271))))*IF(AND(ArtifactsInput!$M$42,((Inputs!$B$9+((C2252=TRUE)*(F2252-Calc!F19))+B2264+(ArtifactsInput!$M$24-ArtifactsInput!$M$24)*CHOOSE(ArtifactsInput!$N$24+1,10,12,14,16,18,20)+IF(ArtifactsInput!$M$10,CHOOSE(ArtifactsInput!$N$10+1,15,18,21,24,27,30)*(IF(Inputs!$B$38="pvp",MIN(15,15)/15,IF(AND(Inputs!$B$38&lt;&gt;"pvp",Inputs!$B$43&gt;0),MIN(15,Inputs!$B$43)/(Inputs!$B$43),0))),0)))&gt;=100),CHOOSE(ArtifactsInput!$N$42+1,40,48,56,64,72,80),0))))/100)*((1+(((C2250=TRUE)*F2250*5/7)+((C2257=TRUE)*(F2257-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2240)</f>
        <v/>
      </c>
      <c r="L2240">
        <f>K2240*(MIN(Inputs!$B$22+((C2255=TRUE)*(F2255-Calc!F22)),(Inputs!$B$23+0+(IF(ArtifactsInput!$M$15,CHOOSE(ArtifactsInput!$N$15+1,25,30,35,40,45,50)/100*(Inputs!$B$11-Inputs!$B$11),0))))/100+(Inputs!$B$23+0+(IF(ArtifactsInput!$M$15,CHOOSE(ArtifactsInput!$N$15+1,25,30,35,40,45,50)/100*(Inputs!$B$11-Inputs!$B$11),0)))/100)/2</f>
        <v/>
      </c>
      <c r="M2240">
        <f>L2240*(1+(Inputs!$B$10+((C2258=TRUE)*(F2258-Calc!F25))+B2269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40">
        <f>L2240*(1-MIN((Inputs!$B$9+((C2252=TRUE)*(F2252-Calc!F19))+B2264+(ArtifactsInput!$M$24-ArtifactsInput!$M$24)*CHOOSE(ArtifactsInput!$N$24+1,10,12,14,16,18,20)+(IF(AND(Inputs!$B$38&lt;&gt;"pvp",Inputs!$B$43=0),1,IF(IF(Inputs!$B$38="pvp",15,Inputs!$B$43)-(B2271)&lt;=0,1,MAX(0,IF(Inputs!$B$38="pvp",15,Inputs!$B$43)-MAX(5,B2271))/(IF(Inputs!$B$38="pvp",15,Inputs!$B$43)-(B2271))))*IF(AND(ArtifactsInput!$M$42,((Inputs!$B$9+((C2252=TRUE)*(F2252-Calc!F19))+B2264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2240*(MIN((Inputs!$B$9+((C2252=TRUE)*(F2252-Calc!F19))+B2264+(ArtifactsInput!$M$24-ArtifactsInput!$M$24)*CHOOSE(ArtifactsInput!$N$24+1,10,12,14,16,18,20)+(IF(AND(Inputs!$B$38&lt;&gt;"pvp",Inputs!$B$43=0),1,IF(IF(Inputs!$B$38="pvp",15,Inputs!$B$43)-(B2271)&lt;=0,1,MAX(0,IF(Inputs!$B$38="pvp",15,Inputs!$B$43)-MAX(5,B2271))/(IF(Inputs!$B$38="pvp",15,Inputs!$B$43)-(B2271))))*IF(AND(ArtifactsInput!$M$42,((Inputs!$B$9+((C2252=TRUE)*(F2252-Calc!F19))+B2264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40">
        <f>(1-Summary!$B$11)*T2240+Summary!$B$11*V2240</f>
        <v/>
      </c>
      <c r="P2240">
        <f>IF(B2274=0,0,O2240/B2274)</f>
        <v/>
      </c>
      <c r="Q2240">
        <f>IFERROR(1/(IF(Inputs!$B$38="pvp",15,MAX(0.1,Skills!D7-IF(TRUE=TRUE,Inputs!$B$32,0)))*(1-IF(AND(ArtifactsInput!$M$27,Inputs!$B$4="Chapter Hunt"),CHOOSE(ArtifactsInput!$N$27+1,20,24,28,32,36,40),0)/100)),0)</f>
        <v/>
      </c>
      <c r="R2240">
        <f>IF(AND(Inputs!$B$38&lt;&gt;"pvp",Inputs!$B$43&gt;0),IF(MAX(0,Inputs!$B$43-B2271)&lt;=0,0,(INT(MAX(0,Inputs!$B$43-B2271)/(IF(Inputs!$B$38="pvp",15,MAX(0.1,Skills!D7-IF(TRUE=TRUE,Inputs!$B$32,0)))*(1-IF(AND(ArtifactsInput!$M$27,Inputs!$B$4="Chapter Hunt"),CHOOSE(ArtifactsInput!$N$27+1,20,24,28,32,36,40),0)/100)))+1)),0)</f>
        <v/>
      </c>
      <c r="S2240">
        <f>IFERROR(O2240/N2240,0)</f>
        <v/>
      </c>
      <c r="T2240">
        <f>IF(C2240,(H2240*N2240*IF(AND(Inputs!$B$38&lt;&gt;"pvp",Inputs!$B$43&gt;0),((Skills!G7*((R2240-1)*IF(Skills!H7&gt;0,INT(Skills!I7/Skills!H7+0.000000001),1)+IF(Skills!H7&gt;0,INT(MIN(Skills!I7,MAX(0,MAX(0,Inputs!$B$43-B2271)-((R2240-1)*(IF(Inputs!$B$38="pvp",15,MAX(0.1,Skills!D7-IF(TRUE=TRUE,Inputs!$B$32,0)))*(1-IF(AND(ArtifactsInput!$M$27,Inputs!$B$4="Chapter Hunt"),CHOOSE(ArtifactsInput!$N$27+1,20,24,28,32,36,40),0)/100)))))/Skills!H7+0.000000001),1)))/Inputs!$B$43),G2240*Q2240))*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Hunt"),CHOOSE(ArtifactsInput!$N$35+1,15,18,21,24,27,30)*(1-EXP(-(0.2*B2266)*5)),0)+IF(AND(ArtifactsInput!$M$22,Inputs!$B$4&lt;&gt;"Chapter Hunt"),CHOOSE(ArtifactsInput!$N$22+1,10,12,14,16,18,20)*((0*(((0.15*B2266*5))^0/1)+1*(((0.15*B2266*5))^1/1)+2*(((0.15*B2266*5))^2/2)+3*(((0.15*B2266*5))^3/6)+4*(((0.15*B2266*5))^4/24)+5*(((0.15*B2266*5))^5/120))/((((0.15*B2266*5))^0/1)+(((0.15*B2266*5))^1/1)+(((0.15*B2266*5))^2/2)+(((0.15*B2266*5))^3/6)+(((0.15*B2266*5))^4/24)+(((0.15*B2266*5))^5/120))),0))+IF(Inputs!$B$3&gt;=54,9*(C2236=TRUE)*MIN(1,8*(1+Inputs!$B$34/100)*Q2236)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2240*(1-MIN(100,(Inputs!$B$9+((C2252=TRUE)*(F2252-Calc!F19))+B2264+(ArtifactsInput!$M$24-ArtifactsInput!$M$24)*CHOOSE(ArtifactsInput!$N$24+1,10,12,14,16,18,20)+(IF(AND(Inputs!$B$38&lt;&gt;"pvp",Inputs!$B$43=0),1,IF(IF(Inputs!$B$38="pvp",15,Inputs!$B$43)-(B2271)&lt;=0,1,MAX(0,IF(Inputs!$B$38="pvp",15,Inputs!$B$43)-MAX(5,B2271))/(IF(Inputs!$B$38="pvp",15,Inputs!$B$43)-(B2271))))*IF(AND(ArtifactsInput!$M$42,((Inputs!$B$9+((C2252=TRUE)*(F2252-Calc!F19))+B2264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2240*(MIN(100,(Inputs!$B$9+((C2252=TRUE)*(F2252-Calc!F19))+B2264+(ArtifactsInput!$M$24-ArtifactsInput!$M$24)*CHOOSE(ArtifactsInput!$N$24+1,10,12,14,16,18,20)+(IF(AND(Inputs!$B$38&lt;&gt;"pvp",Inputs!$B$43=0),1,IF(IF(Inputs!$B$38="pvp",15,Inputs!$B$43)-(B2271)&lt;=0,1,MAX(0,IF(Inputs!$B$38="pvp",15,Inputs!$B$43)-MAX(5,B2271))/(IF(Inputs!$B$38="pvp",15,Inputs!$B$43)-(B2271))))*IF(AND(ArtifactsInput!$M$42,((Inputs!$B$9+((C2252=TRUE)*(F2252-Calc!F19))+B2264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2240*(1-MIN(100,(Inputs!$B$9+((C2252=TRUE)*(F2252-Calc!F19))+B2264+(ArtifactsInput!$M$24-ArtifactsInput!$M$24)*CHOOSE(ArtifactsInput!$N$24+1,10,12,14,16,18,20)+(IF(AND(Inputs!$B$38&lt;&gt;"pvp",Inputs!$B$43=0),1,IF(IF(Inputs!$B$38="pvp",15,Inputs!$B$43)-(B2271)&lt;=0,1,MAX(0,IF(Inputs!$B$38="pvp",15,Inputs!$B$43)-MAX(5,B2271))/(IF(Inputs!$B$38="pvp",15,Inputs!$B$43)-(B2271))))*IF(AND(ArtifactsInput!$M$42,((Inputs!$B$9+((C2252=TRUE)*(F2252-Calc!F19))+B2264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2240*(MIN(100,(Inputs!$B$9+((C2252=TRUE)*(F2252-Calc!F19))+B2264+(ArtifactsInput!$M$24-ArtifactsInput!$M$24)*CHOOSE(ArtifactsInput!$N$24+1,10,12,14,16,18,20)+(IF(AND(Inputs!$B$38&lt;&gt;"pvp",Inputs!$B$43=0),1,IF(IF(Inputs!$B$38="pvp",15,Inputs!$B$43)-(B2271)&lt;=0,1,MAX(0,IF(Inputs!$B$38="pvp",15,Inputs!$B$43)-MAX(5,B2271))/(IF(Inputs!$B$38="pvp",15,Inputs!$B$43)-(B2271))))*IF(AND(ArtifactsInput!$M$42,((Inputs!$B$9+((C2252=TRUE)*(F2252-Calc!F19))+B2264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240">
        <f>IF(C2240,(H2240*N2240*IF(AND(Inputs!$B$38&lt;&gt;"pvp",Inputs!$B$43&gt;0),((Skills!G7*((R2240-1)*IF(Skills!H7&gt;0,INT(Skills!I7/Skills!H7+0.000000001),1)+IF(Skills!H7&gt;0,INT(MIN(Skills!I7,MAX(0,MAX(0,Inputs!$B$43-B2271)-((R2240-1)*(IF(Inputs!$B$38="pvp",15,MAX(0.1,Skills!D7-IF(TRUE=TRUE,Inputs!$B$32,0)))*(1-IF(AND(ArtifactsInput!$M$27,Inputs!$B$4="Chapter Hunt"),CHOOSE(ArtifactsInput!$N$27+1,20,24,28,32,36,40),0)/100)))))/Skills!H7+0.000000001),1)))/Inputs!$B$43),G2240*Q2240))*IF(Inputs!$B$38="pvp",1,(1+(Inputs!$B$21+Skills!Q7+(IF(ArtifactsInput!$M$33,CHOOSE(ArtifactsInput!$N$33+1,30,36,42,48,54,60),0))+(IF(AND(ArtifactsInput!$M$35,Inputs!$B$4&lt;&gt;"Chapter Hunt"),CHOOSE(ArtifactsInput!$N$35+1,15,18,21,24,27,30)*(1-EXP(-(0.2*B2266)*5)),0)+IF(AND(ArtifactsInput!$M$22,Inputs!$B$4&lt;&gt;"Chapter Hunt"),CHOOSE(ArtifactsInput!$N$22+1,10,12,14,16,18,20)*((0*(((0.15*B2266*5))^0/1)+1*(((0.15*B2266*5))^1/1)+2*(((0.15*B2266*5))^2/2)+3*(((0.15*B2266*5))^3/6)+4*(((0.15*B2266*5))^4/24)+5*(((0.15*B2266*5))^5/120))/((((0.15*B2266*5))^0/1)+(((0.15*B2266*5))^1/1)+(((0.15*B2266*5))^2/2)+(((0.15*B2266*5))^3/6)+(((0.15*B2266*5))^4/24)+(((0.15*B2266*5))^5/120))),0))+IF(Inputs!$B$3&gt;=54,9*(C2236=TRUE)*MIN(1,8*(1+Inputs!$B$34/100)*Q2236),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41">
      <c r="A2241">
        <f>Skills!A8</f>
        <v/>
      </c>
      <c r="B2241">
        <f>Skills!B8</f>
        <v/>
      </c>
      <c r="C2241">
        <f>Inputs!$B$3&gt;=103</f>
        <v/>
      </c>
      <c r="D2241">
        <f>IF(Skills!C8=1,60+Inputs!$B$25+Inputs!$B$29,IF(Skills!C8=2,90+Inputs!$B$26+Inputs!$B$29,IF(Skills!C8=3,120+Inputs!$B$27+Inputs!$B$29,MAX(0,(Inputs!$B$3-100)*3)+Inputs!$B$28+Inputs!$B$29)))</f>
        <v/>
      </c>
      <c r="E2241">
        <f>INDEX(FactorTable!$B$2:$Y$301, MATCH(ROUND(MIN(300,MAX(1,D2241)),0), FactorTable!$A$2:$A$301,0), Skills!M8+1)</f>
        <v/>
      </c>
      <c r="F2241">
        <f>IF(Skills!N8=TRUE,(Skills!L8/10)*(E2241/1000),Skills!L8/10)+Skills!O8</f>
        <v/>
      </c>
      <c r="G2241">
        <f>Skills!G8*IF(Skills!H8&gt;0,INT(IF(Inputs!$B$38="pvp",MIN(Skills!I8,15),Skills!I8)/Skills!H8+0.000000001),1)</f>
        <v/>
      </c>
      <c r="H2241">
        <f>1-(1-Skills!J8/100)^Skills!K8</f>
        <v/>
      </c>
      <c r="I2241" t="inlineStr">
        <is>
          <t>1</t>
        </is>
      </c>
      <c r="J2241">
        <f>((Inputs!$B$6*(1+Inputs!$B$7/100))+(((Inputs!$B$12*(1+Inputs!$B$13/100))-(Inputs!$B$12*(1+Inputs!$B$13/100)))+0.25*(Inputs!$B$14-Inputs!$B$14))*(1+Inputs!$B$7/100))*(F2241/100)</f>
        <v/>
      </c>
      <c r="K2241">
        <f>J2241*(1+((Inputs!$B$12*(1+Inputs!$B$13/100))*0.01+Inputs!$B$14*0.0025)/100)*(1+Inputs!$B$15/100)*(1+Inputs!$B$16/100)*(5000/(6000+Inputs!$B$42*(1-(100*(1-(1-(Inputs!$B$19+0)/100)*(1-CHOOSE(ArtifactsInput!$N$40+1,5,6,7,8,9,10)/100)^(ArtifactsInput!$M$40-ArtifactsInput!$M$40)))/100)))*(1+(Inputs!$B$24+((C2259=TRUE)*(F2259-Calc!F26))+B2270)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IF(ArtifactsInput!$M$28,FALSE,TRUE)-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IGHT_LEGS_EASTON",Inputs!$B$17+((C2256=TRUE)*(F2256-Calc!F23))+((C2260=TRUE)*(F2260-Calc!F27))+((IF(AND(Inputs!$B$38&lt;&gt;"pvp",Inputs!$B$43=0),1,IF(IF(Inputs!$B$38="pvp",15,Inputs!$B$43)-(B2271)&lt;=0,1,MAX(0,IF(Inputs!$B$38="pvp",15,Inputs!$B$43)-MAX(5,B2271))/(IF(Inputs!$B$38="pvp",15,Inputs!$B$43)-(B2271))))*(IF(AND(ArtifactsInput!$M$42,((Inputs!$B$9+((C2252=TRUE)*(F2252-Calc!F19))+B2264+(ArtifactsInput!$M$24-ArtifactsInput!$M$24)*CHOOSE(ArtifactsInput!$N$24+1,10,12,14,16,18,20)+IF(ArtifactsInput!$M$10,CHOOSE(ArtifactsInput!$N$10+1,15,18,21,24,27,30)*(IF(Inputs!$B$38="pvp",MIN(15,15)/15,IF(AND(Inputs!$B$38&lt;&gt;"pvp",Inputs!$B$43&gt;0),MIN(15,Inputs!$B$43)/(Inputs!$B$43),0))),0)))&gt;=100),MIN(100,((Inputs!$B$9+((C2252=TRUE)*(F2252-Calc!F19))+B2264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2271)&lt;=0,1,MAX(0,IF(Inputs!$B$38="pvp",15,Inputs!$B$43)-MAX(5,B2271))/(IF(Inputs!$B$38="pvp",15,Inputs!$B$43)-(B2271))))*IF(AND(ArtifactsInput!$M$42,((Inputs!$B$9+((C2252=TRUE)*(F2252-Calc!F19))+B2264+(ArtifactsInput!$M$24-ArtifactsInput!$M$24)*CHOOSE(ArtifactsInput!$N$24+1,10,12,14,16,18,20)+IF(ArtifactsInput!$M$10,CHOOSE(ArtifactsInput!$N$10+1,15,18,21,24,27,30)*(IF(Inputs!$B$38="pvp",MIN(15,15)/15,IF(AND(Inputs!$B$38&lt;&gt;"pvp",Inputs!$B$43&gt;0),MIN(15,Inputs!$B$43)/(Inputs!$B$43),0))),0)))&gt;=100),CHOOSE(ArtifactsInput!$N$42+1,40,48,56,64,72,80),0))))/100)*((1+(((C2250=TRUE)*F2250*5/7)+((C2257=TRUE)*(F2257-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2241)</f>
        <v/>
      </c>
      <c r="L2241">
        <f>K2241*(MIN(Inputs!$B$22+((C2255=TRUE)*(F2255-Calc!F22)),(Inputs!$B$23+0+(IF(ArtifactsInput!$M$15,CHOOSE(ArtifactsInput!$N$15+1,25,30,35,40,45,50)/100*(Inputs!$B$11-Inputs!$B$11),0))))/100+(Inputs!$B$23+0+(IF(ArtifactsInput!$M$15,CHOOSE(ArtifactsInput!$N$15+1,25,30,35,40,45,50)/100*(Inputs!$B$11-Inputs!$B$11),0)))/100)/2</f>
        <v/>
      </c>
      <c r="M2241">
        <f>L2241*(1+(Inputs!$B$10+((C2258=TRUE)*(F2258-Calc!F25))+B2269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41">
        <f>L2241*(1-MIN((Inputs!$B$9+((C2252=TRUE)*(F2252-Calc!F19))+B2264+(ArtifactsInput!$M$24-ArtifactsInput!$M$24)*CHOOSE(ArtifactsInput!$N$24+1,10,12,14,16,18,20)+(IF(AND(Inputs!$B$38&lt;&gt;"pvp",Inputs!$B$43=0),1,IF(IF(Inputs!$B$38="pvp",15,Inputs!$B$43)-(B2271)&lt;=0,1,MAX(0,IF(Inputs!$B$38="pvp",15,Inputs!$B$43)-MAX(5,B2271))/(IF(Inputs!$B$38="pvp",15,Inputs!$B$43)-(B2271))))*IF(AND(ArtifactsInput!$M$42,((Inputs!$B$9+((C2252=TRUE)*(F2252-Calc!F19))+B2264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2241*(MIN((Inputs!$B$9+((C2252=TRUE)*(F2252-Calc!F19))+B2264+(ArtifactsInput!$M$24-ArtifactsInput!$M$24)*CHOOSE(ArtifactsInput!$N$24+1,10,12,14,16,18,20)+(IF(AND(Inputs!$B$38&lt;&gt;"pvp",Inputs!$B$43=0),1,IF(IF(Inputs!$B$38="pvp",15,Inputs!$B$43)-(B2271)&lt;=0,1,MAX(0,IF(Inputs!$B$38="pvp",15,Inputs!$B$43)-MAX(5,B2271))/(IF(Inputs!$B$38="pvp",15,Inputs!$B$43)-(B2271))))*IF(AND(ArtifactsInput!$M$42,((Inputs!$B$9+((C2252=TRUE)*(F2252-Calc!F19))+B2264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41">
        <f>(1-Summary!$B$11)*T2241+Summary!$B$11*V2241</f>
        <v/>
      </c>
      <c r="P2241">
        <f>IF(B2274=0,0,O2241/B2274)</f>
        <v/>
      </c>
      <c r="Q2241">
        <f>IFERROR(1/((IF(Inputs!$B$38="pvp",15,MAX(0.1,Skills!D8-IF(TRUE=TRUE,Inputs!$B$32,0)))*(1-IF(AND(ArtifactsInput!$M$27,Inputs!$B$4="Chapter Hunt"),CHOOSE(ArtifactsInput!$N$27+1,20,24,28,32,36,40),0)/100))/B2275),0)</f>
        <v/>
      </c>
      <c r="R2241">
        <f>IF(AND(Inputs!$B$38&lt;&gt;"pvp",Inputs!$B$43&gt;0),IF(MAX(0,Inputs!$B$43-B2271)&lt;=0,0,(INT(MAX(0,Inputs!$B$43-B2271)/((IF(Inputs!$B$38="pvp",15,MAX(0.1,Skills!D8-IF(TRUE=TRUE,Inputs!$B$32,0)))*(1-IF(AND(ArtifactsInput!$M$27,Inputs!$B$4="Chapter Hunt"),CHOOSE(ArtifactsInput!$N$27+1,20,24,28,32,36,40),0)/100))/B2275))+1)),0)</f>
        <v/>
      </c>
      <c r="S2241">
        <f>IFERROR(O2241/N2241,0)</f>
        <v/>
      </c>
      <c r="T2241">
        <f>IF(C2241,(H2241*N2241*IF(AND(Inputs!$B$38&lt;&gt;"pvp",Inputs!$B$43&gt;0),((Skills!G8*((R2241-1)*IF(Skills!H8&gt;0,INT(Skills!I8/Skills!H8+0.000000001),1)+IF(Skills!H8&gt;0,INT(MIN(Skills!I8,MAX(0,MAX(0,Inputs!$B$43-B2271)-((R2241-1)*((IF(Inputs!$B$38="pvp",15,MAX(0.1,Skills!D8-IF(TRUE=TRUE,Inputs!$B$32,0)))*(1-IF(AND(ArtifactsInput!$M$27,Inputs!$B$4="Chapter Hunt"),CHOOSE(ArtifactsInput!$N$27+1,20,24,28,32,36,40),0)/100))/B2275))))/Skills!H8+0.000000001),1)))/Inputs!$B$43),G2241*Q2241))*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Hunt"),CHOOSE(ArtifactsInput!$N$35+1,15,18,21,24,27,30)*(1-EXP(-(0.2*B2266)*5)),0)+IF(AND(ArtifactsInput!$M$22,Inputs!$B$4&lt;&gt;"Chapter Hunt"),CHOOSE(ArtifactsInput!$N$22+1,10,12,14,16,18,20)*((0*(((0.15*B2266*5))^0/1)+1*(((0.15*B2266*5))^1/1)+2*(((0.15*B2266*5))^2/2)+3*(((0.15*B2266*5))^3/6)+4*(((0.15*B2266*5))^4/24)+5*(((0.15*B2266*5))^5/120))/((((0.15*B2266*5))^0/1)+(((0.15*B2266*5))^1/1)+(((0.15*B2266*5))^2/2)+(((0.15*B2266*5))^3/6)+(((0.15*B2266*5))^4/24)+(((0.15*B2266*5))^5/120))),0))+IF(Inputs!$B$3&gt;=54,9*(C2236=TRUE)*MIN(1,8*(1+Inputs!$B$34/100)*Q2236)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2241*(1-MIN(100,(Inputs!$B$9+((C2252=TRUE)*(F2252-Calc!F19))+B2264+(ArtifactsInput!$M$24-ArtifactsInput!$M$24)*CHOOSE(ArtifactsInput!$N$24+1,10,12,14,16,18,20)+(IF(AND(Inputs!$B$38&lt;&gt;"pvp",Inputs!$B$43=0),1,IF(IF(Inputs!$B$38="pvp",15,Inputs!$B$43)-(B2271)&lt;=0,1,MAX(0,IF(Inputs!$B$38="pvp",15,Inputs!$B$43)-MAX(5,B2271))/(IF(Inputs!$B$38="pvp",15,Inputs!$B$43)-(B2271))))*IF(AND(ArtifactsInput!$M$42,((Inputs!$B$9+((C2252=TRUE)*(F2252-Calc!F19))+B2264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2241*(MIN(100,(Inputs!$B$9+((C2252=TRUE)*(F2252-Calc!F19))+B2264+(ArtifactsInput!$M$24-ArtifactsInput!$M$24)*CHOOSE(ArtifactsInput!$N$24+1,10,12,14,16,18,20)+(IF(AND(Inputs!$B$38&lt;&gt;"pvp",Inputs!$B$43=0),1,IF(IF(Inputs!$B$38="pvp",15,Inputs!$B$43)-(B2271)&lt;=0,1,MAX(0,IF(Inputs!$B$38="pvp",15,Inputs!$B$43)-MAX(5,B2271))/(IF(Inputs!$B$38="pvp",15,Inputs!$B$43)-(B2271))))*IF(AND(ArtifactsInput!$M$42,((Inputs!$B$9+((C2252=TRUE)*(F2252-Calc!F19))+B2264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2241*(1-MIN(100,(Inputs!$B$9+((C2252=TRUE)*(F2252-Calc!F19))+B2264+(ArtifactsInput!$M$24-ArtifactsInput!$M$24)*CHOOSE(ArtifactsInput!$N$24+1,10,12,14,16,18,20)+(IF(AND(Inputs!$B$38&lt;&gt;"pvp",Inputs!$B$43=0),1,IF(IF(Inputs!$B$38="pvp",15,Inputs!$B$43)-(B2271)&lt;=0,1,MAX(0,IF(Inputs!$B$38="pvp",15,Inputs!$B$43)-MAX(5,B2271))/(IF(Inputs!$B$38="pvp",15,Inputs!$B$43)-(B2271))))*IF(AND(ArtifactsInput!$M$42,((Inputs!$B$9+((C2252=TRUE)*(F2252-Calc!F19))+B2264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2241*(MIN(100,(Inputs!$B$9+((C2252=TRUE)*(F2252-Calc!F19))+B2264+(ArtifactsInput!$M$24-ArtifactsInput!$M$24)*CHOOSE(ArtifactsInput!$N$24+1,10,12,14,16,18,20)+(IF(AND(Inputs!$B$38&lt;&gt;"pvp",Inputs!$B$43=0),1,IF(IF(Inputs!$B$38="pvp",15,Inputs!$B$43)-(B2271)&lt;=0,1,MAX(0,IF(Inputs!$B$38="pvp",15,Inputs!$B$43)-MAX(5,B2271))/(IF(Inputs!$B$38="pvp",15,Inputs!$B$43)-(B2271))))*IF(AND(ArtifactsInput!$M$42,((Inputs!$B$9+((C2252=TRUE)*(F2252-Calc!F19))+B2264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241">
        <f>IF(C2241,(H2241*N2241*IF(AND(Inputs!$B$38&lt;&gt;"pvp",Inputs!$B$43&gt;0),((Skills!G8*((R2241-1)*IF(Skills!H8&gt;0,INT(Skills!I8/Skills!H8+0.000000001),1)+IF(Skills!H8&gt;0,INT(MIN(Skills!I8,MAX(0,MAX(0,Inputs!$B$43-B2271)-((R2241-1)*((IF(Inputs!$B$38="pvp",15,MAX(0.1,Skills!D8-IF(TRUE=TRUE,Inputs!$B$32,0)))*(1-IF(AND(ArtifactsInput!$M$27,Inputs!$B$4="Chapter Hunt"),CHOOSE(ArtifactsInput!$N$27+1,20,24,28,32,36,40),0)/100))/B2275))))/Skills!H8+0.000000001),1)))/Inputs!$B$43),G2241*Q2241))*IF(Inputs!$B$38="pvp",1,(1+(Inputs!$B$21+Skills!Q8+(IF(ArtifactsInput!$M$33,CHOOSE(ArtifactsInput!$N$33+1,30,36,42,48,54,60),0))+(IF(AND(ArtifactsInput!$M$35,Inputs!$B$4&lt;&gt;"Chapter Hunt"),CHOOSE(ArtifactsInput!$N$35+1,15,18,21,24,27,30)*(1-EXP(-(0.2*B2266)*5)),0)+IF(AND(ArtifactsInput!$M$22,Inputs!$B$4&lt;&gt;"Chapter Hunt"),CHOOSE(ArtifactsInput!$N$22+1,10,12,14,16,18,20)*((0*(((0.15*B2266*5))^0/1)+1*(((0.15*B2266*5))^1/1)+2*(((0.15*B2266*5))^2/2)+3*(((0.15*B2266*5))^3/6)+4*(((0.15*B2266*5))^4/24)+5*(((0.15*B2266*5))^5/120))/((((0.15*B2266*5))^0/1)+(((0.15*B2266*5))^1/1)+(((0.15*B2266*5))^2/2)+(((0.15*B2266*5))^3/6)+(((0.15*B2266*5))^4/24)+(((0.15*B2266*5))^5/120))),0))+IF(Inputs!$B$3&gt;=54,9*(C2236=TRUE)*MIN(1,8*(1+Inputs!$B$34/100)*Q2236),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42">
      <c r="A2242">
        <f>Skills!A9</f>
        <v/>
      </c>
      <c r="B2242">
        <f>Skills!B9</f>
        <v/>
      </c>
      <c r="C2242">
        <f>Inputs!$B$3&gt;=105</f>
        <v/>
      </c>
      <c r="D2242">
        <f>IF(Skills!C9=1,60+Inputs!$B$25+Inputs!$B$29,IF(Skills!C9=2,90+Inputs!$B$26+Inputs!$B$29,IF(Skills!C9=3,120+Inputs!$B$27+Inputs!$B$29,MAX(0,(Inputs!$B$3-100)*3)+Inputs!$B$28+Inputs!$B$29)))</f>
        <v/>
      </c>
      <c r="E2242">
        <f>INDEX(FactorTable!$B$2:$Y$301, MATCH(ROUND(MIN(300,MAX(1,D2242)),0), FactorTable!$A$2:$A$301,0), Skills!M9+1)</f>
        <v/>
      </c>
      <c r="F2242">
        <f>IF(Skills!N9=TRUE,(Skills!L9/10)*(E2242/1000),Skills!L9/10)+Skills!O9</f>
        <v/>
      </c>
      <c r="G2242">
        <f>Skills!G9*IF(Skills!H9&gt;0,INT(IF(Inputs!$B$38="pvp",MIN(Skills!I9,15),Skills!I9)/Skills!H9+0.000000001),1)</f>
        <v/>
      </c>
      <c r="H2242">
        <f>1-(1-Skills!J9/100)^Skills!K9</f>
        <v/>
      </c>
      <c r="I2242" t="inlineStr">
        <is>
          <t>1</t>
        </is>
      </c>
      <c r="J2242">
        <f>((Inputs!$B$6*(1+Inputs!$B$7/100))+(((Inputs!$B$12*(1+Inputs!$B$13/100))-(Inputs!$B$12*(1+Inputs!$B$13/100)))+0.25*(Inputs!$B$14-Inputs!$B$14))*(1+Inputs!$B$7/100))*(F2242/100)</f>
        <v/>
      </c>
      <c r="K2242">
        <f>J2242*(1+((Inputs!$B$12*(1+Inputs!$B$13/100))*0.01+Inputs!$B$14*0.0025)/100)*(1+Inputs!$B$15/100)*(1+Inputs!$B$16/100)*(5000/(6000+Inputs!$B$42*(1-(100*(1-(1-(Inputs!$B$19+0)/100)*(1-CHOOSE(ArtifactsInput!$N$40+1,5,6,7,8,9,10)/100)^(ArtifactsInput!$M$40-ArtifactsInput!$M$40)))/100)))*(1+(Inputs!$B$24+((C2259=TRUE)*(F2259-Calc!F26))+B2270)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IF(ArtifactsInput!$M$28,FALSE,TRUE)-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IGHT_LEGS_EASTON",Inputs!$B$17+((C2256=TRUE)*(F2256-Calc!F23))+((C2260=TRUE)*(F2260-Calc!F27))+((IF(AND(Inputs!$B$38&lt;&gt;"pvp",Inputs!$B$43=0),1,IF(IF(Inputs!$B$38="pvp",15,Inputs!$B$43)-(B2271)&lt;=0,1,MAX(0,IF(Inputs!$B$38="pvp",15,Inputs!$B$43)-MAX(5,B2271))/(IF(Inputs!$B$38="pvp",15,Inputs!$B$43)-(B2271))))*(IF(AND(ArtifactsInput!$M$42,((Inputs!$B$9+((C2252=TRUE)*(F2252-Calc!F19))+B2264+(ArtifactsInput!$M$24-ArtifactsInput!$M$24)*CHOOSE(ArtifactsInput!$N$24+1,10,12,14,16,18,20)+IF(ArtifactsInput!$M$10,CHOOSE(ArtifactsInput!$N$10+1,15,18,21,24,27,30)*(IF(Inputs!$B$38="pvp",MIN(15,15)/15,IF(AND(Inputs!$B$38&lt;&gt;"pvp",Inputs!$B$43&gt;0),MIN(15,Inputs!$B$43)/(Inputs!$B$43),0))),0)))&gt;=100),MIN(100,((Inputs!$B$9+((C2252=TRUE)*(F2252-Calc!F19))+B2264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2271)&lt;=0,1,MAX(0,IF(Inputs!$B$38="pvp",15,Inputs!$B$43)-MAX(5,B2271))/(IF(Inputs!$B$38="pvp",15,Inputs!$B$43)-(B2271))))*IF(AND(ArtifactsInput!$M$42,((Inputs!$B$9+((C2252=TRUE)*(F2252-Calc!F19))+B2264+(ArtifactsInput!$M$24-ArtifactsInput!$M$24)*CHOOSE(ArtifactsInput!$N$24+1,10,12,14,16,18,20)+IF(ArtifactsInput!$M$10,CHOOSE(ArtifactsInput!$N$10+1,15,18,21,24,27,30)*(IF(Inputs!$B$38="pvp",MIN(15,15)/15,IF(AND(Inputs!$B$38&lt;&gt;"pvp",Inputs!$B$43&gt;0),MIN(15,Inputs!$B$43)/(Inputs!$B$43),0))),0)))&gt;=100),CHOOSE(ArtifactsInput!$N$42+1,40,48,56,64,72,80),0))))/100)*((1+(((C2250=TRUE)*F2250*5/7)+((C2257=TRUE)*(F2257-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2242)</f>
        <v/>
      </c>
      <c r="L2242">
        <f>K2242*(MIN(Inputs!$B$22+((C2255=TRUE)*(F2255-Calc!F22)),(Inputs!$B$23+0+(IF(ArtifactsInput!$M$15,CHOOSE(ArtifactsInput!$N$15+1,25,30,35,40,45,50)/100*(Inputs!$B$11-Inputs!$B$11),0))))/100+(Inputs!$B$23+0+(IF(ArtifactsInput!$M$15,CHOOSE(ArtifactsInput!$N$15+1,25,30,35,40,45,50)/100*(Inputs!$B$11-Inputs!$B$11),0)))/100)/2</f>
        <v/>
      </c>
      <c r="M2242">
        <f>L2242*(1+(Inputs!$B$10+((C2258=TRUE)*(F2258-Calc!F25))+B2269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42">
        <f>L2242*(1-MIN((Inputs!$B$9+((C2252=TRUE)*(F2252-Calc!F19))+B2264+(ArtifactsInput!$M$24-ArtifactsInput!$M$24)*CHOOSE(ArtifactsInput!$N$24+1,10,12,14,16,18,20)+(IF(AND(Inputs!$B$38&lt;&gt;"pvp",Inputs!$B$43=0),1,IF(IF(Inputs!$B$38="pvp",15,Inputs!$B$43)-(B2271)&lt;=0,1,MAX(0,IF(Inputs!$B$38="pvp",15,Inputs!$B$43)-MAX(5,B2271))/(IF(Inputs!$B$38="pvp",15,Inputs!$B$43)-(B2271))))*IF(AND(ArtifactsInput!$M$42,((Inputs!$B$9+((C2252=TRUE)*(F2252-Calc!F19))+B2264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2242*(MIN((Inputs!$B$9+((C2252=TRUE)*(F2252-Calc!F19))+B2264+(ArtifactsInput!$M$24-ArtifactsInput!$M$24)*CHOOSE(ArtifactsInput!$N$24+1,10,12,14,16,18,20)+(IF(AND(Inputs!$B$38&lt;&gt;"pvp",Inputs!$B$43=0),1,IF(IF(Inputs!$B$38="pvp",15,Inputs!$B$43)-(B2271)&lt;=0,1,MAX(0,IF(Inputs!$B$38="pvp",15,Inputs!$B$43)-MAX(5,B2271))/(IF(Inputs!$B$38="pvp",15,Inputs!$B$43)-(B2271))))*IF(AND(ArtifactsInput!$M$42,((Inputs!$B$9+((C2252=TRUE)*(F2252-Calc!F19))+B2264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42">
        <f>(1-Summary!$B$11)*T2242+Summary!$B$11*V2242</f>
        <v/>
      </c>
      <c r="P2242">
        <f>IF(B2274=0,0,O2242/B2274)</f>
        <v/>
      </c>
      <c r="Q2242">
        <f>IFERROR(1/(IF(Inputs!$B$38="pvp",15,MAX(0.1,Skills!D9-IF(TRUE=TRUE,Inputs!$B$32,0)))*(1-IF(AND(ArtifactsInput!$M$27,Inputs!$B$4="Chapter Hunt"),CHOOSE(ArtifactsInput!$N$27+1,20,24,28,32,36,40),0)/100)),0)</f>
        <v/>
      </c>
      <c r="R2242">
        <f>IF(AND(Inputs!$B$38&lt;&gt;"pvp",Inputs!$B$43&gt;0),IF(MAX(0,Inputs!$B$43-B2271)&lt;=0,0,(INT(MAX(0,Inputs!$B$43-B2271)/(IF(Inputs!$B$38="pvp",15,MAX(0.1,Skills!D9-IF(TRUE=TRUE,Inputs!$B$32,0)))*(1-IF(AND(ArtifactsInput!$M$27,Inputs!$B$4="Chapter Hunt"),CHOOSE(ArtifactsInput!$N$27+1,20,24,28,32,36,40),0)/100)))+1)),0)</f>
        <v/>
      </c>
      <c r="S2242">
        <f>IFERROR(O2242/N2242,0)</f>
        <v/>
      </c>
      <c r="T2242">
        <f>IF(C2242,(H2242*N2242*IF(AND(Inputs!$B$38&lt;&gt;"pvp",Inputs!$B$43&gt;0),((Skills!G9*((R2242-1)*IF(Skills!H9&gt;0,INT(Skills!I9/Skills!H9+0.000000001),1)+IF(Skills!H9&gt;0,INT(MIN(Skills!I9,MAX(0,MAX(0,Inputs!$B$43-B2271)-((R2242-1)*(IF(Inputs!$B$38="pvp",15,MAX(0.1,Skills!D9-IF(TRUE=TRUE,Inputs!$B$32,0)))*(1-IF(AND(ArtifactsInput!$M$27,Inputs!$B$4="Chapter Hunt"),CHOOSE(ArtifactsInput!$N$27+1,20,24,28,32,36,40),0)/100)))))/Skills!H9+0.000000001),1)))/Inputs!$B$43),G2242*Q2242))*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Hunt"),CHOOSE(ArtifactsInput!$N$35+1,15,18,21,24,27,30)*(1-EXP(-(0.2*B2266)*5)),0)+IF(AND(ArtifactsInput!$M$22,Inputs!$B$4&lt;&gt;"Chapter Hunt"),CHOOSE(ArtifactsInput!$N$22+1,10,12,14,16,18,20)*((0*(((0.15*B2266*5))^0/1)+1*(((0.15*B2266*5))^1/1)+2*(((0.15*B2266*5))^2/2)+3*(((0.15*B2266*5))^3/6)+4*(((0.15*B2266*5))^4/24)+5*(((0.15*B2266*5))^5/120))/((((0.15*B2266*5))^0/1)+(((0.15*B2266*5))^1/1)+(((0.15*B2266*5))^2/2)+(((0.15*B2266*5))^3/6)+(((0.15*B2266*5))^4/24)+(((0.15*B2266*5))^5/120))),0))+IF(Inputs!$B$3&gt;=54,9*(C2236=TRUE)*MIN(1,8*(1+Inputs!$B$34/100)*Q2236)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2242*(1-MIN(100,(Inputs!$B$9+((C2252=TRUE)*(F2252-Calc!F19))+B2264+(ArtifactsInput!$M$24-ArtifactsInput!$M$24)*CHOOSE(ArtifactsInput!$N$24+1,10,12,14,16,18,20)+(IF(AND(Inputs!$B$38&lt;&gt;"pvp",Inputs!$B$43=0),1,IF(IF(Inputs!$B$38="pvp",15,Inputs!$B$43)-(B2271)&lt;=0,1,MAX(0,IF(Inputs!$B$38="pvp",15,Inputs!$B$43)-MAX(5,B2271))/(IF(Inputs!$B$38="pvp",15,Inputs!$B$43)-(B2271))))*IF(AND(ArtifactsInput!$M$42,((Inputs!$B$9+((C2252=TRUE)*(F2252-Calc!F19))+B2264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2242*(MIN(100,(Inputs!$B$9+((C2252=TRUE)*(F2252-Calc!F19))+B2264+(ArtifactsInput!$M$24-ArtifactsInput!$M$24)*CHOOSE(ArtifactsInput!$N$24+1,10,12,14,16,18,20)+(IF(AND(Inputs!$B$38&lt;&gt;"pvp",Inputs!$B$43=0),1,IF(IF(Inputs!$B$38="pvp",15,Inputs!$B$43)-(B2271)&lt;=0,1,MAX(0,IF(Inputs!$B$38="pvp",15,Inputs!$B$43)-MAX(5,B2271))/(IF(Inputs!$B$38="pvp",15,Inputs!$B$43)-(B2271))))*IF(AND(ArtifactsInput!$M$42,((Inputs!$B$9+((C2252=TRUE)*(F2252-Calc!F19))+B2264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2242*(1-MIN(100,(Inputs!$B$9+((C2252=TRUE)*(F2252-Calc!F19))+B2264+(ArtifactsInput!$M$24-ArtifactsInput!$M$24)*CHOOSE(ArtifactsInput!$N$24+1,10,12,14,16,18,20)+(IF(AND(Inputs!$B$38&lt;&gt;"pvp",Inputs!$B$43=0),1,IF(IF(Inputs!$B$38="pvp",15,Inputs!$B$43)-(B2271)&lt;=0,1,MAX(0,IF(Inputs!$B$38="pvp",15,Inputs!$B$43)-MAX(5,B2271))/(IF(Inputs!$B$38="pvp",15,Inputs!$B$43)-(B2271))))*IF(AND(ArtifactsInput!$M$42,((Inputs!$B$9+((C2252=TRUE)*(F2252-Calc!F19))+B2264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2242*(MIN(100,(Inputs!$B$9+((C2252=TRUE)*(F2252-Calc!F19))+B2264+(ArtifactsInput!$M$24-ArtifactsInput!$M$24)*CHOOSE(ArtifactsInput!$N$24+1,10,12,14,16,18,20)+(IF(AND(Inputs!$B$38&lt;&gt;"pvp",Inputs!$B$43=0),1,IF(IF(Inputs!$B$38="pvp",15,Inputs!$B$43)-(B2271)&lt;=0,1,MAX(0,IF(Inputs!$B$38="pvp",15,Inputs!$B$43)-MAX(5,B2271))/(IF(Inputs!$B$38="pvp",15,Inputs!$B$43)-(B2271))))*IF(AND(ArtifactsInput!$M$42,((Inputs!$B$9+((C2252=TRUE)*(F2252-Calc!F19))+B2264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242">
        <f>IF(C2242,(H2242*N2242*IF(AND(Inputs!$B$38&lt;&gt;"pvp",Inputs!$B$43&gt;0),((Skills!G9*((R2242-1)*IF(Skills!H9&gt;0,INT(Skills!I9/Skills!H9+0.000000001),1)+IF(Skills!H9&gt;0,INT(MIN(Skills!I9,MAX(0,MAX(0,Inputs!$B$43-B2271)-((R2242-1)*(IF(Inputs!$B$38="pvp",15,MAX(0.1,Skills!D9-IF(TRUE=TRUE,Inputs!$B$32,0)))*(1-IF(AND(ArtifactsInput!$M$27,Inputs!$B$4="Chapter Hunt"),CHOOSE(ArtifactsInput!$N$27+1,20,24,28,32,36,40),0)/100)))))/Skills!H9+0.000000001),1)))/Inputs!$B$43),G2242*Q2242))*IF(Inputs!$B$38="pvp",1,(1+(Inputs!$B$21+Skills!Q9+(IF(ArtifactsInput!$M$33,CHOOSE(ArtifactsInput!$N$33+1,30,36,42,48,54,60),0))+(IF(AND(ArtifactsInput!$M$35,Inputs!$B$4&lt;&gt;"Chapter Hunt"),CHOOSE(ArtifactsInput!$N$35+1,15,18,21,24,27,30)*(1-EXP(-(0.2*B2266)*5)),0)+IF(AND(ArtifactsInput!$M$22,Inputs!$B$4&lt;&gt;"Chapter Hunt"),CHOOSE(ArtifactsInput!$N$22+1,10,12,14,16,18,20)*((0*(((0.15*B2266*5))^0/1)+1*(((0.15*B2266*5))^1/1)+2*(((0.15*B2266*5))^2/2)+3*(((0.15*B2266*5))^3/6)+4*(((0.15*B2266*5))^4/24)+5*(((0.15*B2266*5))^5/120))/((((0.15*B2266*5))^0/1)+(((0.15*B2266*5))^1/1)+(((0.15*B2266*5))^2/2)+(((0.15*B2266*5))^3/6)+(((0.15*B2266*5))^4/24)+(((0.15*B2266*5))^5/120))),0))+IF(Inputs!$B$3&gt;=54,9*(C2236=TRUE)*MIN(1,8*(1+Inputs!$B$34/100)*Q2236),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43">
      <c r="A2243">
        <f>Skills!A10</f>
        <v/>
      </c>
      <c r="B2243">
        <f>Skills!B10</f>
        <v/>
      </c>
      <c r="C2243">
        <f>Inputs!$B$3&gt;=113</f>
        <v/>
      </c>
      <c r="D2243">
        <f>IF(Skills!C10=1,60+Inputs!$B$25+Inputs!$B$29,IF(Skills!C10=2,90+Inputs!$B$26+Inputs!$B$29,IF(Skills!C10=3,120+Inputs!$B$27+Inputs!$B$29,MAX(0,(Inputs!$B$3-100)*3)+Inputs!$B$28+Inputs!$B$29)))</f>
        <v/>
      </c>
      <c r="E2243">
        <f>INDEX(FactorTable!$B$2:$Y$301, MATCH(ROUND(MIN(300,MAX(1,D2243)),0), FactorTable!$A$2:$A$301,0), Skills!M10+1)</f>
        <v/>
      </c>
      <c r="F2243">
        <f>IF(Skills!N10=TRUE,(Skills!L10/10)*(E2243/1000),Skills!L10/10)+Skills!O10</f>
        <v/>
      </c>
      <c r="G2243">
        <f>Skills!G10*IF(Skills!H10&gt;0,INT(IF(Inputs!$B$38="pvp",MIN(Skills!I10,15),Skills!I10)/Skills!H10+0.000000001),1)</f>
        <v/>
      </c>
      <c r="H2243">
        <f>1-(1-Skills!J10/100)^Skills!K10</f>
        <v/>
      </c>
      <c r="I2243" t="inlineStr">
        <is>
          <t>1</t>
        </is>
      </c>
      <c r="J2243">
        <f>((Inputs!$B$6*(1+Inputs!$B$7/100))+(((Inputs!$B$12*(1+Inputs!$B$13/100))-(Inputs!$B$12*(1+Inputs!$B$13/100)))+0.25*(Inputs!$B$14-Inputs!$B$14))*(1+Inputs!$B$7/100))*(F2243/100)</f>
        <v/>
      </c>
      <c r="K2243">
        <f>J2243*(1+((Inputs!$B$12*(1+Inputs!$B$13/100))*0.01+Inputs!$B$14*0.0025)/100)*(1+Inputs!$B$15/100)*(1+Inputs!$B$16/100)*(5000/(6000+Inputs!$B$42*(1-(100*(1-(1-(Inputs!$B$19+0)/100)*(1-CHOOSE(ArtifactsInput!$N$40+1,5,6,7,8,9,10)/100)^(ArtifactsInput!$M$40-ArtifactsInput!$M$40)))/100)))*(1+(Inputs!$B$24+((C2259=TRUE)*(F2259-Calc!F26))+B2270)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IF(ArtifactsInput!$M$28,FALSE,TRUE)-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IGHT_LEGS_EASTON",Inputs!$B$17+((C2256=TRUE)*(F2256-Calc!F23))+((C2260=TRUE)*(F2260-Calc!F27))+((IF(AND(Inputs!$B$38&lt;&gt;"pvp",Inputs!$B$43=0),1,IF(IF(Inputs!$B$38="pvp",15,Inputs!$B$43)-(B2271)&lt;=0,1,MAX(0,IF(Inputs!$B$38="pvp",15,Inputs!$B$43)-MAX(5,B2271))/(IF(Inputs!$B$38="pvp",15,Inputs!$B$43)-(B2271))))*(IF(AND(ArtifactsInput!$M$42,((Inputs!$B$9+((C2252=TRUE)*(F2252-Calc!F19))+B2264+(ArtifactsInput!$M$24-ArtifactsInput!$M$24)*CHOOSE(ArtifactsInput!$N$24+1,10,12,14,16,18,20)+IF(ArtifactsInput!$M$10,CHOOSE(ArtifactsInput!$N$10+1,15,18,21,24,27,30)*(IF(Inputs!$B$38="pvp",MIN(15,15)/15,IF(AND(Inputs!$B$38&lt;&gt;"pvp",Inputs!$B$43&gt;0),MIN(15,Inputs!$B$43)/(Inputs!$B$43),0))),0)))&gt;=100),MIN(100,((Inputs!$B$9+((C2252=TRUE)*(F2252-Calc!F19))+B2264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2271)&lt;=0,1,MAX(0,IF(Inputs!$B$38="pvp",15,Inputs!$B$43)-MAX(5,B2271))/(IF(Inputs!$B$38="pvp",15,Inputs!$B$43)-(B2271))))*IF(AND(ArtifactsInput!$M$42,((Inputs!$B$9+((C2252=TRUE)*(F2252-Calc!F19))+B2264+(ArtifactsInput!$M$24-ArtifactsInput!$M$24)*CHOOSE(ArtifactsInput!$N$24+1,10,12,14,16,18,20)+IF(ArtifactsInput!$M$10,CHOOSE(ArtifactsInput!$N$10+1,15,18,21,24,27,30)*(IF(Inputs!$B$38="pvp",MIN(15,15)/15,IF(AND(Inputs!$B$38&lt;&gt;"pvp",Inputs!$B$43&gt;0),MIN(15,Inputs!$B$43)/(Inputs!$B$43),0))),0)))&gt;=100),CHOOSE(ArtifactsInput!$N$42+1,40,48,56,64,72,80),0))))/100)*((1+(((C2250=TRUE)*F2250*5/7)+((C2257=TRUE)*(F2257-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2243)</f>
        <v/>
      </c>
      <c r="L2243">
        <f>K2243*(MIN(Inputs!$B$22+((C2255=TRUE)*(F2255-Calc!F22)),(Inputs!$B$23+0+(IF(ArtifactsInput!$M$15,CHOOSE(ArtifactsInput!$N$15+1,25,30,35,40,45,50)/100*(Inputs!$B$11-Inputs!$B$11),0))))/100+(Inputs!$B$23+0+(IF(ArtifactsInput!$M$15,CHOOSE(ArtifactsInput!$N$15+1,25,30,35,40,45,50)/100*(Inputs!$B$11-Inputs!$B$11),0)))/100)/2</f>
        <v/>
      </c>
      <c r="M2243">
        <f>L2243*(1+(Inputs!$B$10+((C2258=TRUE)*(F2258-Calc!F25))+B2269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43">
        <f>L2243*(1-MIN((Inputs!$B$9+((C2252=TRUE)*(F2252-Calc!F19))+B2264+(ArtifactsInput!$M$24-ArtifactsInput!$M$24)*CHOOSE(ArtifactsInput!$N$24+1,10,12,14,16,18,20)+(IF(AND(Inputs!$B$38&lt;&gt;"pvp",Inputs!$B$43=0),1,IF(IF(Inputs!$B$38="pvp",15,Inputs!$B$43)-(B2271)&lt;=0,1,MAX(0,IF(Inputs!$B$38="pvp",15,Inputs!$B$43)-MAX(5,B2271))/(IF(Inputs!$B$38="pvp",15,Inputs!$B$43)-(B2271))))*IF(AND(ArtifactsInput!$M$42,((Inputs!$B$9+((C2252=TRUE)*(F2252-Calc!F19))+B2264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2243*(MIN((Inputs!$B$9+((C2252=TRUE)*(F2252-Calc!F19))+B2264+(ArtifactsInput!$M$24-ArtifactsInput!$M$24)*CHOOSE(ArtifactsInput!$N$24+1,10,12,14,16,18,20)+(IF(AND(Inputs!$B$38&lt;&gt;"pvp",Inputs!$B$43=0),1,IF(IF(Inputs!$B$38="pvp",15,Inputs!$B$43)-(B2271)&lt;=0,1,MAX(0,IF(Inputs!$B$38="pvp",15,Inputs!$B$43)-MAX(5,B2271))/(IF(Inputs!$B$38="pvp",15,Inputs!$B$43)-(B2271))))*IF(AND(ArtifactsInput!$M$42,((Inputs!$B$9+((C2252=TRUE)*(F2252-Calc!F19))+B2264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43">
        <f>(1-Summary!$B$11)*T2243+Summary!$B$11*V2243</f>
        <v/>
      </c>
      <c r="P2243">
        <f>IF(B2274=0,0,O2243/B2274)</f>
        <v/>
      </c>
      <c r="Q2243" t="n">
        <v>0</v>
      </c>
      <c r="R2243" t="n">
        <v>0</v>
      </c>
      <c r="S2243">
        <f>IFERROR(O2243/N2243,0)</f>
        <v/>
      </c>
      <c r="T2243">
        <f>IF(C2243,((H2243*B2276)/(1+Skills!H10*H2243*B2276)*N2243)*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Hunt"),CHOOSE(ArtifactsInput!$N$35+1,15,18,21,24,27,30)*(1-EXP(-(0.2*B2266)*5)),0)+IF(AND(ArtifactsInput!$M$22,Inputs!$B$4&lt;&gt;"Chapter Hunt"),CHOOSE(ArtifactsInput!$N$22+1,10,12,14,16,18,20)*((0*(((0.15*B2266*5))^0/1)+1*(((0.15*B2266*5))^1/1)+2*(((0.15*B2266*5))^2/2)+3*(((0.15*B2266*5))^3/6)+4*(((0.15*B2266*5))^4/24)+5*(((0.15*B2266*5))^5/120))/((((0.15*B2266*5))^0/1)+(((0.15*B2266*5))^1/1)+(((0.15*B2266*5))^2/2)+(((0.15*B2266*5))^3/6)+(((0.15*B2266*5))^4/24)+(((0.15*B2266*5))^5/120))),0))+IF(Inputs!$B$3&gt;=54,9*(C2236=TRUE)*MIN(1,8*(1+Inputs!$B$34/100)*Q2236)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2243*(1-MIN(100,(Inputs!$B$9+((C2252=TRUE)*(F2252-Calc!F19))+B2264+(ArtifactsInput!$M$24-ArtifactsInput!$M$24)*CHOOSE(ArtifactsInput!$N$24+1,10,12,14,16,18,20)+(IF(AND(Inputs!$B$38&lt;&gt;"pvp",Inputs!$B$43=0),1,IF(IF(Inputs!$B$38="pvp",15,Inputs!$B$43)-(B2271)&lt;=0,1,MAX(0,IF(Inputs!$B$38="pvp",15,Inputs!$B$43)-MAX(5,B2271))/(IF(Inputs!$B$38="pvp",15,Inputs!$B$43)-(B2271))))*IF(AND(ArtifactsInput!$M$42,((Inputs!$B$9+((C2252=TRUE)*(F2252-Calc!F19))+B2264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2243*(MIN(100,(Inputs!$B$9+((C2252=TRUE)*(F2252-Calc!F19))+B2264+(ArtifactsInput!$M$24-ArtifactsInput!$M$24)*CHOOSE(ArtifactsInput!$N$24+1,10,12,14,16,18,20)+(IF(AND(Inputs!$B$38&lt;&gt;"pvp",Inputs!$B$43=0),1,IF(IF(Inputs!$B$38="pvp",15,Inputs!$B$43)-(B2271)&lt;=0,1,MAX(0,IF(Inputs!$B$38="pvp",15,Inputs!$B$43)-MAX(5,B2271))/(IF(Inputs!$B$38="pvp",15,Inputs!$B$43)-(B2271))))*IF(AND(ArtifactsInput!$M$42,((Inputs!$B$9+((C2252=TRUE)*(F2252-Calc!F19))+B2264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2243*(1-MIN(100,(Inputs!$B$9+((C2252=TRUE)*(F2252-Calc!F19))+B2264+(ArtifactsInput!$M$24-ArtifactsInput!$M$24)*CHOOSE(ArtifactsInput!$N$24+1,10,12,14,16,18,20)+(IF(AND(Inputs!$B$38&lt;&gt;"pvp",Inputs!$B$43=0),1,IF(IF(Inputs!$B$38="pvp",15,Inputs!$B$43)-(B2271)&lt;=0,1,MAX(0,IF(Inputs!$B$38="pvp",15,Inputs!$B$43)-MAX(5,B2271))/(IF(Inputs!$B$38="pvp",15,Inputs!$B$43)-(B2271))))*IF(AND(ArtifactsInput!$M$42,((Inputs!$B$9+((C2252=TRUE)*(F2252-Calc!F19))+B2264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2243*(MIN(100,(Inputs!$B$9+((C2252=TRUE)*(F2252-Calc!F19))+B2264+(ArtifactsInput!$M$24-ArtifactsInput!$M$24)*CHOOSE(ArtifactsInput!$N$24+1,10,12,14,16,18,20)+(IF(AND(Inputs!$B$38&lt;&gt;"pvp",Inputs!$B$43=0),1,IF(IF(Inputs!$B$38="pvp",15,Inputs!$B$43)-(B2271)&lt;=0,1,MAX(0,IF(Inputs!$B$38="pvp",15,Inputs!$B$43)-MAX(5,B2271))/(IF(Inputs!$B$38="pvp",15,Inputs!$B$43)-(B2271))))*IF(AND(ArtifactsInput!$M$42,((Inputs!$B$9+((C2252=TRUE)*(F2252-Calc!F19))+B2264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243">
        <f>IF(C2243,((H2243*B2276)/(1+Skills!H10*H2243*B2276)*N2243)*IF(Inputs!$B$38="pvp",1,(1+(Inputs!$B$21+Skills!Q10+(IF(ArtifactsInput!$M$33,CHOOSE(ArtifactsInput!$N$33+1,30,36,42,48,54,60),0))+(IF(AND(ArtifactsInput!$M$35,Inputs!$B$4&lt;&gt;"Chapter Hunt"),CHOOSE(ArtifactsInput!$N$35+1,15,18,21,24,27,30)*(1-EXP(-(0.2*B2266)*5)),0)+IF(AND(ArtifactsInput!$M$22,Inputs!$B$4&lt;&gt;"Chapter Hunt"),CHOOSE(ArtifactsInput!$N$22+1,10,12,14,16,18,20)*((0*(((0.15*B2266*5))^0/1)+1*(((0.15*B2266*5))^1/1)+2*(((0.15*B2266*5))^2/2)+3*(((0.15*B2266*5))^3/6)+4*(((0.15*B2266*5))^4/24)+5*(((0.15*B2266*5))^5/120))/((((0.15*B2266*5))^0/1)+(((0.15*B2266*5))^1/1)+(((0.15*B2266*5))^2/2)+(((0.15*B2266*5))^3/6)+(((0.15*B2266*5))^4/24)+(((0.15*B2266*5))^5/120))),0))+IF(Inputs!$B$3&gt;=54,9*(C2236=TRUE)*MIN(1,8*(1+Inputs!$B$34/100)*Q2236),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44">
      <c r="A2244">
        <f>Skills!A11</f>
        <v/>
      </c>
      <c r="B2244">
        <f>Skills!B11</f>
        <v/>
      </c>
      <c r="C2244">
        <f>Inputs!$B$3&gt;=117</f>
        <v/>
      </c>
      <c r="D2244">
        <f>IF(Skills!C11=1,60+Inputs!$B$25+Inputs!$B$29,IF(Skills!C11=2,90+Inputs!$B$26+Inputs!$B$29,IF(Skills!C11=3,120+Inputs!$B$27+Inputs!$B$29,MAX(0,(Inputs!$B$3-100)*3)+Inputs!$B$28+Inputs!$B$29)))</f>
        <v/>
      </c>
      <c r="E2244">
        <f>INDEX(FactorTable!$B$2:$Y$301, MATCH(ROUND(MIN(300,MAX(1,D2244)),0), FactorTable!$A$2:$A$301,0), Skills!M11+1)</f>
        <v/>
      </c>
      <c r="F2244">
        <f>IF(Skills!N11=TRUE,(Skills!L11/10)*(E2244/1000),Skills!L11/10)+Skills!O11</f>
        <v/>
      </c>
      <c r="G2244">
        <f>Skills!G11*IF(Skills!H11&gt;0,INT(IF(Inputs!$B$38="pvp",MIN(Skills!I11,15),Skills!I11)/Skills!H11+0.000000001),1)</f>
        <v/>
      </c>
      <c r="H2244">
        <f>1-(1-Skills!J11/100)^Skills!K11</f>
        <v/>
      </c>
      <c r="I2244" t="inlineStr">
        <is>
          <t>1</t>
        </is>
      </c>
      <c r="J2244">
        <f>((Inputs!$B$6*(1+Inputs!$B$7/100))+(((Inputs!$B$12*(1+Inputs!$B$13/100))-(Inputs!$B$12*(1+Inputs!$B$13/100)))+0.25*(Inputs!$B$14-Inputs!$B$14))*(1+Inputs!$B$7/100))*(F2244/100)</f>
        <v/>
      </c>
      <c r="K2244">
        <f>J2244*(1+((Inputs!$B$12*(1+Inputs!$B$13/100))*0.01+Inputs!$B$14*0.0025)/100)*(1+Inputs!$B$15/100)*(1+Inputs!$B$16/100)*(5000/(6000+Inputs!$B$42*(1-(100*(1-(1-(Inputs!$B$19+0)/100)*(1-CHOOSE(ArtifactsInput!$N$40+1,5,6,7,8,9,10)/100)^(ArtifactsInput!$M$40-ArtifactsInput!$M$40)))/100)))*(1+(Inputs!$B$24+((C2259=TRUE)*(F2259-Calc!F26))+B2270)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IF(ArtifactsInput!$M$28,FALSE,TRUE)-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IGHT_LEGS_EASTON",Inputs!$B$17+((C2256=TRUE)*(F2256-Calc!F23))+((C2260=TRUE)*(F2260-Calc!F27))+((IF(AND(Inputs!$B$38&lt;&gt;"pvp",Inputs!$B$43=0),1,IF(IF(Inputs!$B$38="pvp",15,Inputs!$B$43)-(B2271)&lt;=0,1,MAX(0,IF(Inputs!$B$38="pvp",15,Inputs!$B$43)-MAX(5,B2271))/(IF(Inputs!$B$38="pvp",15,Inputs!$B$43)-(B2271))))*(IF(AND(ArtifactsInput!$M$42,((Inputs!$B$9+((C2252=TRUE)*(F2252-Calc!F19))+B2264+(ArtifactsInput!$M$24-ArtifactsInput!$M$24)*CHOOSE(ArtifactsInput!$N$24+1,10,12,14,16,18,20)+IF(ArtifactsInput!$M$10,CHOOSE(ArtifactsInput!$N$10+1,15,18,21,24,27,30)*(IF(Inputs!$B$38="pvp",MIN(15,15)/15,IF(AND(Inputs!$B$38&lt;&gt;"pvp",Inputs!$B$43&gt;0),MIN(15,Inputs!$B$43)/(Inputs!$B$43),0))),0)))&gt;=100),MIN(100,((Inputs!$B$9+((C2252=TRUE)*(F2252-Calc!F19))+B2264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2271)&lt;=0,1,MAX(0,IF(Inputs!$B$38="pvp",15,Inputs!$B$43)-MAX(5,B2271))/(IF(Inputs!$B$38="pvp",15,Inputs!$B$43)-(B2271))))*IF(AND(ArtifactsInput!$M$42,((Inputs!$B$9+((C2252=TRUE)*(F2252-Calc!F19))+B2264+(ArtifactsInput!$M$24-ArtifactsInput!$M$24)*CHOOSE(ArtifactsInput!$N$24+1,10,12,14,16,18,20)+IF(ArtifactsInput!$M$10,CHOOSE(ArtifactsInput!$N$10+1,15,18,21,24,27,30)*(IF(Inputs!$B$38="pvp",MIN(15,15)/15,IF(AND(Inputs!$B$38&lt;&gt;"pvp",Inputs!$B$43&gt;0),MIN(15,Inputs!$B$43)/(Inputs!$B$43),0))),0)))&gt;=100),CHOOSE(ArtifactsInput!$N$42+1,40,48,56,64,72,80),0))))/100)*((1+(((C2250=TRUE)*F2250*5/7)+((C2257=TRUE)*(F2257-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2244)</f>
        <v/>
      </c>
      <c r="L2244">
        <f>K2244*(MIN(Inputs!$B$22+((C2255=TRUE)*(F2255-Calc!F22)),(Inputs!$B$23+0+(IF(ArtifactsInput!$M$15,CHOOSE(ArtifactsInput!$N$15+1,25,30,35,40,45,50)/100*(Inputs!$B$11-Inputs!$B$11),0))))/100+(Inputs!$B$23+0+(IF(ArtifactsInput!$M$15,CHOOSE(ArtifactsInput!$N$15+1,25,30,35,40,45,50)/100*(Inputs!$B$11-Inputs!$B$11),0)))/100)/2</f>
        <v/>
      </c>
      <c r="M2244">
        <f>L2244*(1+(Inputs!$B$10+((C2258=TRUE)*(F2258-Calc!F25))+B2269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44">
        <f>L2244*(1-MIN((Inputs!$B$9+((C2252=TRUE)*(F2252-Calc!F19))+B2264+(ArtifactsInput!$M$24-ArtifactsInput!$M$24)*CHOOSE(ArtifactsInput!$N$24+1,10,12,14,16,18,20)+(IF(AND(Inputs!$B$38&lt;&gt;"pvp",Inputs!$B$43=0),1,IF(IF(Inputs!$B$38="pvp",15,Inputs!$B$43)-(B2271)&lt;=0,1,MAX(0,IF(Inputs!$B$38="pvp",15,Inputs!$B$43)-MAX(5,B2271))/(IF(Inputs!$B$38="pvp",15,Inputs!$B$43)-(B2271))))*IF(AND(ArtifactsInput!$M$42,((Inputs!$B$9+((C2252=TRUE)*(F2252-Calc!F19))+B2264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2244*(MIN((Inputs!$B$9+((C2252=TRUE)*(F2252-Calc!F19))+B2264+(ArtifactsInput!$M$24-ArtifactsInput!$M$24)*CHOOSE(ArtifactsInput!$N$24+1,10,12,14,16,18,20)+(IF(AND(Inputs!$B$38&lt;&gt;"pvp",Inputs!$B$43=0),1,IF(IF(Inputs!$B$38="pvp",15,Inputs!$B$43)-(B2271)&lt;=0,1,MAX(0,IF(Inputs!$B$38="pvp",15,Inputs!$B$43)-MAX(5,B2271))/(IF(Inputs!$B$38="pvp",15,Inputs!$B$43)-(B2271))))*IF(AND(ArtifactsInput!$M$42,((Inputs!$B$9+((C2252=TRUE)*(F2252-Calc!F19))+B2264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44">
        <f>(1-Summary!$B$11)*T2244+Summary!$B$11*V2244</f>
        <v/>
      </c>
      <c r="P2244">
        <f>IF(B2274=0,0,O2244/B2274)</f>
        <v/>
      </c>
      <c r="Q2244">
        <f>IFERROR(1/((IF(Inputs!$B$38="pvp",15,MAX(0.1,Skills!D11-IF(TRUE=TRUE,Inputs!$B$32,0)))*(1-IF(AND(ArtifactsInput!$M$27,Inputs!$B$4="Chapter Hunt"),CHOOSE(ArtifactsInput!$N$27+1,20,24,28,32,36,40),0)/100))/B2275),0)</f>
        <v/>
      </c>
      <c r="R2244">
        <f>IF(AND(Inputs!$B$38&lt;&gt;"pvp",Inputs!$B$43&gt;0),IF(MAX(0,Inputs!$B$43-B2271)&lt;=0,0,(INT(MAX(0,Inputs!$B$43-B2271)/((IF(Inputs!$B$38="pvp",15,MAX(0.1,Skills!D11-IF(TRUE=TRUE,Inputs!$B$32,0)))*(1-IF(AND(ArtifactsInput!$M$27,Inputs!$B$4="Chapter Hunt"),CHOOSE(ArtifactsInput!$N$27+1,20,24,28,32,36,40),0)/100))/B2275))+1)),0)</f>
        <v/>
      </c>
      <c r="S2244">
        <f>IFERROR(O2244/N2244,0)</f>
        <v/>
      </c>
      <c r="T2244">
        <f>IF(C2244,(H2244*N2244*IF(AND(Inputs!$B$38&lt;&gt;"pvp",Inputs!$B$43&gt;0),((Skills!G11*((R2244-1)*IF(Skills!H11&gt;0,INT(Skills!I11/Skills!H11+0.000000001),1)+IF(Skills!H11&gt;0,INT(MIN(Skills!I11,MAX(0,MAX(0,Inputs!$B$43-B2271)-((R2244-1)*((IF(Inputs!$B$38="pvp",15,MAX(0.1,Skills!D11-IF(TRUE=TRUE,Inputs!$B$32,0)))*(1-IF(AND(ArtifactsInput!$M$27,Inputs!$B$4="Chapter Hunt"),CHOOSE(ArtifactsInput!$N$27+1,20,24,28,32,36,40),0)/100))/B2275))))/Skills!H11+0.000000001),1)))/Inputs!$B$43),G2244*Q2244))*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Hunt"),CHOOSE(ArtifactsInput!$N$35+1,15,18,21,24,27,30)*(1-EXP(-(0.2*B2266)*5)),0)+IF(AND(ArtifactsInput!$M$22,Inputs!$B$4&lt;&gt;"Chapter Hunt"),CHOOSE(ArtifactsInput!$N$22+1,10,12,14,16,18,20)*((0*(((0.15*B2266*5))^0/1)+1*(((0.15*B2266*5))^1/1)+2*(((0.15*B2266*5))^2/2)+3*(((0.15*B2266*5))^3/6)+4*(((0.15*B2266*5))^4/24)+5*(((0.15*B2266*5))^5/120))/((((0.15*B2266*5))^0/1)+(((0.15*B2266*5))^1/1)+(((0.15*B2266*5))^2/2)+(((0.15*B2266*5))^3/6)+(((0.15*B2266*5))^4/24)+(((0.15*B2266*5))^5/120))),0))+IF(Inputs!$B$3&gt;=54,9*(C2236=TRUE)*MIN(1,8*(1+Inputs!$B$34/100)*Q2236)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2244*(1-MIN(100,(Inputs!$B$9+((C2252=TRUE)*(F2252-Calc!F19))+B2264+(ArtifactsInput!$M$24-ArtifactsInput!$M$24)*CHOOSE(ArtifactsInput!$N$24+1,10,12,14,16,18,20)+(IF(AND(Inputs!$B$38&lt;&gt;"pvp",Inputs!$B$43=0),1,IF(IF(Inputs!$B$38="pvp",15,Inputs!$B$43)-(B2271)&lt;=0,1,MAX(0,IF(Inputs!$B$38="pvp",15,Inputs!$B$43)-MAX(5,B2271))/(IF(Inputs!$B$38="pvp",15,Inputs!$B$43)-(B2271))))*IF(AND(ArtifactsInput!$M$42,((Inputs!$B$9+((C2252=TRUE)*(F2252-Calc!F19))+B2264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2244*(MIN(100,(Inputs!$B$9+((C2252=TRUE)*(F2252-Calc!F19))+B2264+(ArtifactsInput!$M$24-ArtifactsInput!$M$24)*CHOOSE(ArtifactsInput!$N$24+1,10,12,14,16,18,20)+(IF(AND(Inputs!$B$38&lt;&gt;"pvp",Inputs!$B$43=0),1,IF(IF(Inputs!$B$38="pvp",15,Inputs!$B$43)-(B2271)&lt;=0,1,MAX(0,IF(Inputs!$B$38="pvp",15,Inputs!$B$43)-MAX(5,B2271))/(IF(Inputs!$B$38="pvp",15,Inputs!$B$43)-(B2271))))*IF(AND(ArtifactsInput!$M$42,((Inputs!$B$9+((C2252=TRUE)*(F2252-Calc!F19))+B2264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2244*(1-MIN(100,(Inputs!$B$9+((C2252=TRUE)*(F2252-Calc!F19))+B2264+(ArtifactsInput!$M$24-ArtifactsInput!$M$24)*CHOOSE(ArtifactsInput!$N$24+1,10,12,14,16,18,20)+(IF(AND(Inputs!$B$38&lt;&gt;"pvp",Inputs!$B$43=0),1,IF(IF(Inputs!$B$38="pvp",15,Inputs!$B$43)-(B2271)&lt;=0,1,MAX(0,IF(Inputs!$B$38="pvp",15,Inputs!$B$43)-MAX(5,B2271))/(IF(Inputs!$B$38="pvp",15,Inputs!$B$43)-(B2271))))*IF(AND(ArtifactsInput!$M$42,((Inputs!$B$9+((C2252=TRUE)*(F2252-Calc!F19))+B2264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2244*(MIN(100,(Inputs!$B$9+((C2252=TRUE)*(F2252-Calc!F19))+B2264+(ArtifactsInput!$M$24-ArtifactsInput!$M$24)*CHOOSE(ArtifactsInput!$N$24+1,10,12,14,16,18,20)+(IF(AND(Inputs!$B$38&lt;&gt;"pvp",Inputs!$B$43=0),1,IF(IF(Inputs!$B$38="pvp",15,Inputs!$B$43)-(B2271)&lt;=0,1,MAX(0,IF(Inputs!$B$38="pvp",15,Inputs!$B$43)-MAX(5,B2271))/(IF(Inputs!$B$38="pvp",15,Inputs!$B$43)-(B2271))))*IF(AND(ArtifactsInput!$M$42,((Inputs!$B$9+((C2252=TRUE)*(F2252-Calc!F19))+B2264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244">
        <f>IF(C2244,(H2244*N2244*IF(AND(Inputs!$B$38&lt;&gt;"pvp",Inputs!$B$43&gt;0),((Skills!G11*((R2244-1)*IF(Skills!H11&gt;0,INT(Skills!I11/Skills!H11+0.000000001),1)+IF(Skills!H11&gt;0,INT(MIN(Skills!I11,MAX(0,MAX(0,Inputs!$B$43-B2271)-((R2244-1)*((IF(Inputs!$B$38="pvp",15,MAX(0.1,Skills!D11-IF(TRUE=TRUE,Inputs!$B$32,0)))*(1-IF(AND(ArtifactsInput!$M$27,Inputs!$B$4="Chapter Hunt"),CHOOSE(ArtifactsInput!$N$27+1,20,24,28,32,36,40),0)/100))/B2275))))/Skills!H11+0.000000001),1)))/Inputs!$B$43),G2244*Q2244))*IF(Inputs!$B$38="pvp",1,(1+(Inputs!$B$21+Skills!Q11+(IF(ArtifactsInput!$M$33,CHOOSE(ArtifactsInput!$N$33+1,30,36,42,48,54,60),0))+(IF(AND(ArtifactsInput!$M$35,Inputs!$B$4&lt;&gt;"Chapter Hunt"),CHOOSE(ArtifactsInput!$N$35+1,15,18,21,24,27,30)*(1-EXP(-(0.2*B2266)*5)),0)+IF(AND(ArtifactsInput!$M$22,Inputs!$B$4&lt;&gt;"Chapter Hunt"),CHOOSE(ArtifactsInput!$N$22+1,10,12,14,16,18,20)*((0*(((0.15*B2266*5))^0/1)+1*(((0.15*B2266*5))^1/1)+2*(((0.15*B2266*5))^2/2)+3*(((0.15*B2266*5))^3/6)+4*(((0.15*B2266*5))^4/24)+5*(((0.15*B2266*5))^5/120))/((((0.15*B2266*5))^0/1)+(((0.15*B2266*5))^1/1)+(((0.15*B2266*5))^2/2)+(((0.15*B2266*5))^3/6)+(((0.15*B2266*5))^4/24)+(((0.15*B2266*5))^5/120))),0))+IF(Inputs!$B$3&gt;=54,9*(C2236=TRUE)*MIN(1,8*(1+Inputs!$B$34/100)*Q2236),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45">
      <c r="A2245">
        <f>Skills!A12</f>
        <v/>
      </c>
      <c r="B2245">
        <f>Skills!B12</f>
        <v/>
      </c>
      <c r="C2245">
        <f>Inputs!$B$3&gt;=110</f>
        <v/>
      </c>
      <c r="D2245">
        <f>IF(Skills!C12=1,60+Inputs!$B$25+Inputs!$B$29,IF(Skills!C12=2,90+Inputs!$B$26+Inputs!$B$29,IF(Skills!C12=3,120+Inputs!$B$27+Inputs!$B$29,MAX(0,(Inputs!$B$3-100)*3)+Inputs!$B$28+Inputs!$B$29)))</f>
        <v/>
      </c>
      <c r="E2245">
        <f>INDEX(FactorTable!$B$2:$Y$301, MATCH(ROUND(MIN(300,MAX(1,D2245)),0), FactorTable!$A$2:$A$301,0), Skills!M12+1)</f>
        <v/>
      </c>
      <c r="F2245">
        <f>IF(Skills!N12=TRUE,(Skills!L12/10)*(E2245/1000),Skills!L12/10)+Skills!O12</f>
        <v/>
      </c>
      <c r="G2245">
        <f>Skills!G12*IF(Skills!H12&gt;0,INT(IF(Inputs!$B$38="pvp",MIN(Skills!I12,15),Skills!I12)/Skills!H12+0.000000001),1)</f>
        <v/>
      </c>
      <c r="H2245">
        <f>1-(1-Skills!J12/100)^Skills!K12</f>
        <v/>
      </c>
      <c r="I2245" t="inlineStr">
        <is>
          <t>1</t>
        </is>
      </c>
      <c r="J2245">
        <f>((Inputs!$B$6*(1+Inputs!$B$7/100))+(((Inputs!$B$12*(1+Inputs!$B$13/100))-(Inputs!$B$12*(1+Inputs!$B$13/100)))+0.25*(Inputs!$B$14-Inputs!$B$14))*(1+Inputs!$B$7/100))*(F2245/100)</f>
        <v/>
      </c>
      <c r="K2245">
        <f>J2245*(1+((Inputs!$B$12*(1+Inputs!$B$13/100))*0.01+Inputs!$B$14*0.0025)/100)*(1+Inputs!$B$15/100)*(1+Inputs!$B$16/100)*(5000/(6000+Inputs!$B$42*(1-(100*(1-(1-(Inputs!$B$19+0)/100)*(1-CHOOSE(ArtifactsInput!$N$40+1,5,6,7,8,9,10)/100)^(ArtifactsInput!$M$40-ArtifactsInput!$M$40)))/100)))*(1+(Inputs!$B$24+((C2259=TRUE)*(F2259-Calc!F26))+B2270)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IF(ArtifactsInput!$M$28,FALSE,TRUE)-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EIGHT_LEGS_EASTON",Inputs!$B$17+((C2256=TRUE)*(F2256-Calc!F23))+((C2260=TRUE)*(F2260-Calc!F27))+((IF(AND(Inputs!$B$38&lt;&gt;"pvp",Inputs!$B$43=0),1,IF(IF(Inputs!$B$38="pvp",15,Inputs!$B$43)-(B2271)&lt;=0,1,MAX(0,IF(Inputs!$B$38="pvp",15,Inputs!$B$43)-MAX(5,B2271))/(IF(Inputs!$B$38="pvp",15,Inputs!$B$43)-(B2271))))*(IF(AND(ArtifactsInput!$M$42,((Inputs!$B$9+((C2252=TRUE)*(F2252-Calc!F19))+B2264+(ArtifactsInput!$M$24-ArtifactsInput!$M$24)*CHOOSE(ArtifactsInput!$N$24+1,10,12,14,16,18,20)+IF(ArtifactsInput!$M$10,CHOOSE(ArtifactsInput!$N$10+1,15,18,21,24,27,30)*(IF(Inputs!$B$38="pvp",MIN(15,15)/15,IF(AND(Inputs!$B$38&lt;&gt;"pvp",Inputs!$B$43&gt;0),MIN(15,Inputs!$B$43)/(Inputs!$B$43),0))),0)))&gt;=100),MIN(100,((Inputs!$B$9+((C2252=TRUE)*(F2252-Calc!F19))+B2264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2271)&lt;=0,1,MAX(0,IF(Inputs!$B$38="pvp",15,Inputs!$B$43)-MAX(5,B2271))/(IF(Inputs!$B$38="pvp",15,Inputs!$B$43)-(B2271))))*IF(AND(ArtifactsInput!$M$42,((Inputs!$B$9+((C2252=TRUE)*(F2252-Calc!F19))+B2264+(ArtifactsInput!$M$24-ArtifactsInput!$M$24)*CHOOSE(ArtifactsInput!$N$24+1,10,12,14,16,18,20)+IF(ArtifactsInput!$M$10,CHOOSE(ArtifactsInput!$N$10+1,15,18,21,24,27,30)*(IF(Inputs!$B$38="pvp",MIN(15,15)/15,IF(AND(Inputs!$B$38&lt;&gt;"pvp",Inputs!$B$43&gt;0),MIN(15,Inputs!$B$43)/(Inputs!$B$43),0))),0)))&gt;=100),CHOOSE(ArtifactsInput!$N$42+1,40,48,56,64,72,80),0))))/100)*((1+(((C2250=TRUE)*F2250*5/7)+((C2257=TRUE)*(F2257-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2245)</f>
        <v/>
      </c>
      <c r="L2245">
        <f>K2245*(MIN(Inputs!$B$22+((C2255=TRUE)*(F2255-Calc!F22)),(Inputs!$B$23+0+(IF(ArtifactsInput!$M$15,CHOOSE(ArtifactsInput!$N$15+1,25,30,35,40,45,50)/100*(Inputs!$B$11-Inputs!$B$11),0))))/100+(Inputs!$B$23+0+(IF(ArtifactsInput!$M$15,CHOOSE(ArtifactsInput!$N$15+1,25,30,35,40,45,50)/100*(Inputs!$B$11-Inputs!$B$11),0)))/100)/2</f>
        <v/>
      </c>
      <c r="M2245">
        <f>L2245*(1+(Inputs!$B$10+((C2258=TRUE)*(F2258-Calc!F25))+B2269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45">
        <f>L2245*(1-MIN((Inputs!$B$9+((C2252=TRUE)*(F2252-Calc!F19))+B2264+(ArtifactsInput!$M$24-ArtifactsInput!$M$24)*CHOOSE(ArtifactsInput!$N$24+1,10,12,14,16,18,20)+(IF(AND(Inputs!$B$38&lt;&gt;"pvp",Inputs!$B$43=0),1,IF(IF(Inputs!$B$38="pvp",15,Inputs!$B$43)-(B2271)&lt;=0,1,MAX(0,IF(Inputs!$B$38="pvp",15,Inputs!$B$43)-MAX(5,B2271))/(IF(Inputs!$B$38="pvp",15,Inputs!$B$43)-(B2271))))*IF(AND(ArtifactsInput!$M$42,((Inputs!$B$9+((C2252=TRUE)*(F2252-Calc!F19))+B2264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2245*(MIN((Inputs!$B$9+((C2252=TRUE)*(F2252-Calc!F19))+B2264+(ArtifactsInput!$M$24-ArtifactsInput!$M$24)*CHOOSE(ArtifactsInput!$N$24+1,10,12,14,16,18,20)+(IF(AND(Inputs!$B$38&lt;&gt;"pvp",Inputs!$B$43=0),1,IF(IF(Inputs!$B$38="pvp",15,Inputs!$B$43)-(B2271)&lt;=0,1,MAX(0,IF(Inputs!$B$38="pvp",15,Inputs!$B$43)-MAX(5,B2271))/(IF(Inputs!$B$38="pvp",15,Inputs!$B$43)-(B2271))))*IF(AND(ArtifactsInput!$M$42,((Inputs!$B$9+((C2252=TRUE)*(F2252-Calc!F19))+B2264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45">
        <f>(1-Summary!$B$11)*T2245+Summary!$B$11*V2245</f>
        <v/>
      </c>
      <c r="P2245">
        <f>IF(B2274=0,0,O2245/B2274)</f>
        <v/>
      </c>
      <c r="Q2245">
        <f>IFERROR(1/(IF(Inputs!$B$38="pvp",15,MAX(0.1,Skills!D12-IF(TRUE=TRUE,Inputs!$B$32,0)))*(1-IF(AND(ArtifactsInput!$M$27,Inputs!$B$4="Chapter Hunt"),CHOOSE(ArtifactsInput!$N$27+1,20,24,28,32,36,40),0)/100)),0)</f>
        <v/>
      </c>
      <c r="R2245">
        <f>IF(AND(Inputs!$B$38&lt;&gt;"pvp",Inputs!$B$43&gt;0),IF(MAX(0,Inputs!$B$43-B2271)&lt;=0,0,(INT(MAX(0,Inputs!$B$43-B2271)/(IF(Inputs!$B$38="pvp",15,MAX(0.1,Skills!D12-IF(TRUE=TRUE,Inputs!$B$32,0)))*(1-IF(AND(ArtifactsInput!$M$27,Inputs!$B$4="Chapter Hunt"),CHOOSE(ArtifactsInput!$N$27+1,20,24,28,32,36,40),0)/100)))+1)),0)</f>
        <v/>
      </c>
      <c r="S2245">
        <f>IFERROR(O2245/N2245,0)</f>
        <v/>
      </c>
      <c r="T2245">
        <f>IF(C2245,(H2245*N2245*IF(AND(Inputs!$B$38&lt;&gt;"pvp",Inputs!$B$43&gt;0),((Skills!G12*((R2245-1)*IF(Skills!H12&gt;0,INT(Skills!I12/Skills!H12+0.000000001),1)+IF(Skills!H12&gt;0,INT(MIN(Skills!I12,MAX(0,MAX(0,Inputs!$B$43-B2271)-((R2245-1)*(IF(Inputs!$B$38="pvp",15,MAX(0.1,Skills!D12-IF(TRUE=TRUE,Inputs!$B$32,0)))*(1-IF(AND(ArtifactsInput!$M$27,Inputs!$B$4="Chapter Hunt"),CHOOSE(ArtifactsInput!$N$27+1,20,24,28,32,36,40),0)/100)))))/Skills!H12+0.000000001),1)))/Inputs!$B$43),G2245*Q2245))*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Hunt"),CHOOSE(ArtifactsInput!$N$35+1,15,18,21,24,27,30)*(1-EXP(-(0.2*B2266)*5)),0)+IF(AND(ArtifactsInput!$M$22,Inputs!$B$4&lt;&gt;"Chapter Hunt"),CHOOSE(ArtifactsInput!$N$22+1,10,12,14,16,18,20)*((0*(((0.15*B2266*5))^0/1)+1*(((0.15*B2266*5))^1/1)+2*(((0.15*B2266*5))^2/2)+3*(((0.15*B2266*5))^3/6)+4*(((0.15*B2266*5))^4/24)+5*(((0.15*B2266*5))^5/120))/((((0.15*B2266*5))^0/1)+(((0.15*B2266*5))^1/1)+(((0.15*B2266*5))^2/2)+(((0.15*B2266*5))^3/6)+(((0.15*B2266*5))^4/24)+(((0.15*B2266*5))^5/120))),0))+IF(Inputs!$B$3&gt;=54,9*(C2236=TRUE)*MIN(1,8*(1+Inputs!$B$34/100)*Q2236)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2245*(1-MIN(100,(Inputs!$B$9+((C2252=TRUE)*(F2252-Calc!F19))+B2264+(ArtifactsInput!$M$24-ArtifactsInput!$M$24)*CHOOSE(ArtifactsInput!$N$24+1,10,12,14,16,18,20)+(IF(AND(Inputs!$B$38&lt;&gt;"pvp",Inputs!$B$43=0),1,IF(IF(Inputs!$B$38="pvp",15,Inputs!$B$43)-(B2271)&lt;=0,1,MAX(0,IF(Inputs!$B$38="pvp",15,Inputs!$B$43)-MAX(5,B2271))/(IF(Inputs!$B$38="pvp",15,Inputs!$B$43)-(B2271))))*IF(AND(ArtifactsInput!$M$42,((Inputs!$B$9+((C2252=TRUE)*(F2252-Calc!F19))+B2264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2245*(MIN(100,(Inputs!$B$9+((C2252=TRUE)*(F2252-Calc!F19))+B2264+(ArtifactsInput!$M$24-ArtifactsInput!$M$24)*CHOOSE(ArtifactsInput!$N$24+1,10,12,14,16,18,20)+(IF(AND(Inputs!$B$38&lt;&gt;"pvp",Inputs!$B$43=0),1,IF(IF(Inputs!$B$38="pvp",15,Inputs!$B$43)-(B2271)&lt;=0,1,MAX(0,IF(Inputs!$B$38="pvp",15,Inputs!$B$43)-MAX(5,B2271))/(IF(Inputs!$B$38="pvp",15,Inputs!$B$43)-(B2271))))*IF(AND(ArtifactsInput!$M$42,((Inputs!$B$9+((C2252=TRUE)*(F2252-Calc!F19))+B2264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2245*(1-MIN(100,(Inputs!$B$9+((C2252=TRUE)*(F2252-Calc!F19))+B2264+(ArtifactsInput!$M$24-ArtifactsInput!$M$24)*CHOOSE(ArtifactsInput!$N$24+1,10,12,14,16,18,20)+(IF(AND(Inputs!$B$38&lt;&gt;"pvp",Inputs!$B$43=0),1,IF(IF(Inputs!$B$38="pvp",15,Inputs!$B$43)-(B2271)&lt;=0,1,MAX(0,IF(Inputs!$B$38="pvp",15,Inputs!$B$43)-MAX(5,B2271))/(IF(Inputs!$B$38="pvp",15,Inputs!$B$43)-(B2271))))*IF(AND(ArtifactsInput!$M$42,((Inputs!$B$9+((C2252=TRUE)*(F2252-Calc!F19))+B2264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2245*(MIN(100,(Inputs!$B$9+((C2252=TRUE)*(F2252-Calc!F19))+B2264+(ArtifactsInput!$M$24-ArtifactsInput!$M$24)*CHOOSE(ArtifactsInput!$N$24+1,10,12,14,16,18,20)+(IF(AND(Inputs!$B$38&lt;&gt;"pvp",Inputs!$B$43=0),1,IF(IF(Inputs!$B$38="pvp",15,Inputs!$B$43)-(B2271)&lt;=0,1,MAX(0,IF(Inputs!$B$38="pvp",15,Inputs!$B$43)-MAX(5,B2271))/(IF(Inputs!$B$38="pvp",15,Inputs!$B$43)-(B2271))))*IF(AND(ArtifactsInput!$M$42,((Inputs!$B$9+((C2252=TRUE)*(F2252-Calc!F19))+B2264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245">
        <f>IF(C2245,(H2245*N2245*IF(AND(Inputs!$B$38&lt;&gt;"pvp",Inputs!$B$43&gt;0),((Skills!G12*((R2245-1)*IF(Skills!H12&gt;0,INT(Skills!I12/Skills!H12+0.000000001),1)+IF(Skills!H12&gt;0,INT(MIN(Skills!I12,MAX(0,MAX(0,Inputs!$B$43-B2271)-((R2245-1)*(IF(Inputs!$B$38="pvp",15,MAX(0.1,Skills!D12-IF(TRUE=TRUE,Inputs!$B$32,0)))*(1-IF(AND(ArtifactsInput!$M$27,Inputs!$B$4="Chapter Hunt"),CHOOSE(ArtifactsInput!$N$27+1,20,24,28,32,36,40),0)/100)))))/Skills!H12+0.000000001),1)))/Inputs!$B$43),G2245*Q2245))*IF(Inputs!$B$38="pvp",1,(1+(Inputs!$B$21+Skills!Q12+(IF(ArtifactsInput!$M$33,CHOOSE(ArtifactsInput!$N$33+1,30,36,42,48,54,60),0))+(IF(AND(ArtifactsInput!$M$35,Inputs!$B$4&lt;&gt;"Chapter Hunt"),CHOOSE(ArtifactsInput!$N$35+1,15,18,21,24,27,30)*(1-EXP(-(0.2*B2266)*5)),0)+IF(AND(ArtifactsInput!$M$22,Inputs!$B$4&lt;&gt;"Chapter Hunt"),CHOOSE(ArtifactsInput!$N$22+1,10,12,14,16,18,20)*((0*(((0.15*B2266*5))^0/1)+1*(((0.15*B2266*5))^1/1)+2*(((0.15*B2266*5))^2/2)+3*(((0.15*B2266*5))^3/6)+4*(((0.15*B2266*5))^4/24)+5*(((0.15*B2266*5))^5/120))/((((0.15*B2266*5))^0/1)+(((0.15*B2266*5))^1/1)+(((0.15*B2266*5))^2/2)+(((0.15*B2266*5))^3/6)+(((0.15*B2266*5))^4/24)+(((0.15*B2266*5))^5/120))),0))+IF(Inputs!$B$3&gt;=54,9*(C2236=TRUE)*MIN(1,8*(1+Inputs!$B$34/100)*Q2236),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46">
      <c r="A2246">
        <f>Skills!A13</f>
        <v/>
      </c>
      <c r="B2246">
        <f>Skills!B13</f>
        <v/>
      </c>
      <c r="C2246">
        <f>Inputs!$B$3&gt;=110</f>
        <v/>
      </c>
      <c r="D2246">
        <f>IF(Skills!C13=1,60+Inputs!$B$25+Inputs!$B$29,IF(Skills!C13=2,90+Inputs!$B$26+Inputs!$B$29,IF(Skills!C13=3,120+Inputs!$B$27+Inputs!$B$29,MAX(0,(Inputs!$B$3-100)*3)+Inputs!$B$28+Inputs!$B$29)))</f>
        <v/>
      </c>
      <c r="E2246">
        <f>INDEX(FactorTable!$B$2:$Y$301, MATCH(ROUND(MIN(300,MAX(1,D2246)),0), FactorTable!$A$2:$A$301,0), Skills!M13+1)</f>
        <v/>
      </c>
      <c r="F2246">
        <f>IF(Skills!N13=TRUE,(Skills!L13/10)*(E2246/1000),Skills!L13/10)+Skills!O13</f>
        <v/>
      </c>
      <c r="G2246">
        <f>Skills!G13*IF(Skills!H13&gt;0,INT(IF(Inputs!$B$38="pvp",MIN(Skills!I13,15),Skills!I13)/Skills!H13+0.000000001),1)</f>
        <v/>
      </c>
      <c r="H2246">
        <f>1-(1-Skills!J13/100)^Skills!K13</f>
        <v/>
      </c>
      <c r="I2246" t="inlineStr">
        <is>
          <t>1</t>
        </is>
      </c>
      <c r="J2246">
        <f>((Inputs!$B$6*(1+Inputs!$B$7/100))+(((Inputs!$B$12*(1+Inputs!$B$13/100))-(Inputs!$B$12*(1+Inputs!$B$13/100)))+0.25*(Inputs!$B$14-Inputs!$B$14))*(1+Inputs!$B$7/100))*(F2246/100)</f>
        <v/>
      </c>
      <c r="K2246">
        <f>J2246*(1+((Inputs!$B$12*(1+Inputs!$B$13/100))*0.01+Inputs!$B$14*0.0025)/100)*(1+Inputs!$B$15/100)*(1+Inputs!$B$16/100)*(5000/(6000+Inputs!$B$42*(1-(100*(1-(1-(Inputs!$B$19+0)/100)*(1-CHOOSE(ArtifactsInput!$N$40+1,5,6,7,8,9,10)/100)^(ArtifactsInput!$M$40-ArtifactsInput!$M$40)))/100)))*(1+(Inputs!$B$24+((C2259=TRUE)*(F2259-Calc!F26))+B2270)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IF(ArtifactsInput!$M$28,FALSE,TRUE)-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EIGHT_LEGS_EASTON",Inputs!$B$17+((C2256=TRUE)*(F2256-Calc!F23))+((C2260=TRUE)*(F2260-Calc!F27))+((IF(AND(Inputs!$B$38&lt;&gt;"pvp",Inputs!$B$43=0),1,IF(IF(Inputs!$B$38="pvp",15,Inputs!$B$43)-(B2271)&lt;=0,1,MAX(0,IF(Inputs!$B$38="pvp",15,Inputs!$B$43)-MAX(5,B2271))/(IF(Inputs!$B$38="pvp",15,Inputs!$B$43)-(B2271))))*(IF(AND(ArtifactsInput!$M$42,((Inputs!$B$9+((C2252=TRUE)*(F2252-Calc!F19))+B2264+(ArtifactsInput!$M$24-ArtifactsInput!$M$24)*CHOOSE(ArtifactsInput!$N$24+1,10,12,14,16,18,20)+IF(ArtifactsInput!$M$10,CHOOSE(ArtifactsInput!$N$10+1,15,18,21,24,27,30)*(IF(Inputs!$B$38="pvp",MIN(15,15)/15,IF(AND(Inputs!$B$38&lt;&gt;"pvp",Inputs!$B$43&gt;0),MIN(15,Inputs!$B$43)/(Inputs!$B$43),0))),0)))&gt;=100),MIN(100,((Inputs!$B$9+((C2252=TRUE)*(F2252-Calc!F19))+B2264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2271)&lt;=0,1,MAX(0,IF(Inputs!$B$38="pvp",15,Inputs!$B$43)-MAX(5,B2271))/(IF(Inputs!$B$38="pvp",15,Inputs!$B$43)-(B2271))))*IF(AND(ArtifactsInput!$M$42,((Inputs!$B$9+((C2252=TRUE)*(F2252-Calc!F19))+B2264+(ArtifactsInput!$M$24-ArtifactsInput!$M$24)*CHOOSE(ArtifactsInput!$N$24+1,10,12,14,16,18,20)+IF(ArtifactsInput!$M$10,CHOOSE(ArtifactsInput!$N$10+1,15,18,21,24,27,30)*(IF(Inputs!$B$38="pvp",MIN(15,15)/15,IF(AND(Inputs!$B$38&lt;&gt;"pvp",Inputs!$B$43&gt;0),MIN(15,Inputs!$B$43)/(Inputs!$B$43),0))),0)))&gt;=100),CHOOSE(ArtifactsInput!$N$42+1,40,48,56,64,72,80),0))))/100)*((1+(((C2250=TRUE)*F2250*5/7)+((C2257=TRUE)*(F2257-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2246)</f>
        <v/>
      </c>
      <c r="L2246">
        <f>K2246*(MIN(Inputs!$B$22+((C2255=TRUE)*(F2255-Calc!F22)),(Inputs!$B$23+0+(IF(ArtifactsInput!$M$15,CHOOSE(ArtifactsInput!$N$15+1,25,30,35,40,45,50)/100*(Inputs!$B$11-Inputs!$B$11),0))))/100+(Inputs!$B$23+0+(IF(ArtifactsInput!$M$15,CHOOSE(ArtifactsInput!$N$15+1,25,30,35,40,45,50)/100*(Inputs!$B$11-Inputs!$B$11),0)))/100)/2</f>
        <v/>
      </c>
      <c r="M2246">
        <f>L2246*(1+(Inputs!$B$10+((C2258=TRUE)*(F2258-Calc!F25))+B2269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46">
        <f>L2246*(1-MIN((Inputs!$B$9+((C2252=TRUE)*(F2252-Calc!F19))+B2264+(ArtifactsInput!$M$24-ArtifactsInput!$M$24)*CHOOSE(ArtifactsInput!$N$24+1,10,12,14,16,18,20)+(IF(AND(Inputs!$B$38&lt;&gt;"pvp",Inputs!$B$43=0),1,IF(IF(Inputs!$B$38="pvp",15,Inputs!$B$43)-(B2271)&lt;=0,1,MAX(0,IF(Inputs!$B$38="pvp",15,Inputs!$B$43)-MAX(5,B2271))/(IF(Inputs!$B$38="pvp",15,Inputs!$B$43)-(B2271))))*IF(AND(ArtifactsInput!$M$42,((Inputs!$B$9+((C2252=TRUE)*(F2252-Calc!F19))+B2264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2246*(MIN((Inputs!$B$9+((C2252=TRUE)*(F2252-Calc!F19))+B2264+(ArtifactsInput!$M$24-ArtifactsInput!$M$24)*CHOOSE(ArtifactsInput!$N$24+1,10,12,14,16,18,20)+(IF(AND(Inputs!$B$38&lt;&gt;"pvp",Inputs!$B$43=0),1,IF(IF(Inputs!$B$38="pvp",15,Inputs!$B$43)-(B2271)&lt;=0,1,MAX(0,IF(Inputs!$B$38="pvp",15,Inputs!$B$43)-MAX(5,B2271))/(IF(Inputs!$B$38="pvp",15,Inputs!$B$43)-(B2271))))*IF(AND(ArtifactsInput!$M$42,((Inputs!$B$9+((C2252=TRUE)*(F2252-Calc!F19))+B2264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46">
        <f>(1-Summary!$B$11)*T2246+Summary!$B$11*V2246</f>
        <v/>
      </c>
      <c r="P2246">
        <f>IF(B2274=0,0,O2246/B2274)</f>
        <v/>
      </c>
      <c r="Q2246">
        <f>IFERROR(1/(IF(Inputs!$B$38="pvp",15,MAX(0.1,Skills!D13-IF(TRUE=TRUE,Inputs!$B$32,0)))*(1-IF(AND(ArtifactsInput!$M$27,Inputs!$B$4="Chapter Hunt"),CHOOSE(ArtifactsInput!$N$27+1,20,24,28,32,36,40),0)/100)),0)</f>
        <v/>
      </c>
      <c r="R2246">
        <f>IF(AND(Inputs!$B$38&lt;&gt;"pvp",Inputs!$B$43&gt;0),IF(MAX(0,Inputs!$B$43-B2271)&lt;=0,0,(INT(MAX(0,Inputs!$B$43-B2271)/(IF(Inputs!$B$38="pvp",15,MAX(0.1,Skills!D13-IF(TRUE=TRUE,Inputs!$B$32,0)))*(1-IF(AND(ArtifactsInput!$M$27,Inputs!$B$4="Chapter Hunt"),CHOOSE(ArtifactsInput!$N$27+1,20,24,28,32,36,40),0)/100)))+1)),0)</f>
        <v/>
      </c>
      <c r="S2246">
        <f>IFERROR(O2246/N2246,0)</f>
        <v/>
      </c>
      <c r="T2246">
        <f>IF(C2246,(H2246*N2246*IF(AND(Inputs!$B$38&lt;&gt;"pvp",Inputs!$B$43&gt;0),((Skills!G13*((R2246-1)*IF(Skills!H13&gt;0,INT(Skills!I13/Skills!H13+0.000000001),1)+IF(Skills!H13&gt;0,INT(MIN(Skills!I13,MAX(0,MAX(0,Inputs!$B$43-B2271)-((R2246-1)*(IF(Inputs!$B$38="pvp",15,MAX(0.1,Skills!D13-IF(TRUE=TRUE,Inputs!$B$32,0)))*(1-IF(AND(ArtifactsInput!$M$27,Inputs!$B$4="Chapter Hunt"),CHOOSE(ArtifactsInput!$N$27+1,20,24,28,32,36,40),0)/100)))))/Skills!H13+0.000000001),1)))/Inputs!$B$43),G2246*Q2246))*IF(Inputs!$B$38="pvp",1,1+(Inputs!$B$20+0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Hunt"),CHOOSE(ArtifactsInput!$N$35+1,15,18,21,24,27,30)*(1-EXP(-(0.2*B2266)*5)),0)+IF(AND(ArtifactsInput!$M$22,Inputs!$B$4&lt;&gt;"Chapter Hunt"),CHOOSE(ArtifactsInput!$N$22+1,10,12,14,16,18,20)*((0*(((0.15*B2266*5))^0/1)+1*(((0.15*B2266*5))^1/1)+2*(((0.15*B2266*5))^2/2)+3*(((0.15*B2266*5))^3/6)+4*(((0.15*B2266*5))^4/24)+5*(((0.15*B2266*5))^5/120))/((((0.15*B2266*5))^0/1)+(((0.15*B2266*5))^1/1)+(((0.15*B2266*5))^2/2)+(((0.15*B2266*5))^3/6)+(((0.15*B2266*5))^4/24)+(((0.15*B2266*5))^5/120))),0))+IF(Inputs!$B$3&gt;=54,9*(C2236=TRUE)*MIN(1,8*(1+Inputs!$B$34/100)*Q2236)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2246*(1-MIN(100,(Inputs!$B$9+((C2252=TRUE)*(F2252-Calc!F19))+B2264+(ArtifactsInput!$M$24-ArtifactsInput!$M$24)*CHOOSE(ArtifactsInput!$N$24+1,10,12,14,16,18,20)+(IF(AND(Inputs!$B$38&lt;&gt;"pvp",Inputs!$B$43=0),1,IF(IF(Inputs!$B$38="pvp",15,Inputs!$B$43)-(B2271)&lt;=0,1,MAX(0,IF(Inputs!$B$38="pvp",15,Inputs!$B$43)-MAX(5,B2271))/(IF(Inputs!$B$38="pvp",15,Inputs!$B$43)-(B2271))))*IF(AND(ArtifactsInput!$M$42,((Inputs!$B$9+((C2252=TRUE)*(F2252-Calc!F19))+B2264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2246*(MIN(100,(Inputs!$B$9+((C2252=TRUE)*(F2252-Calc!F19))+B2264+(ArtifactsInput!$M$24-ArtifactsInput!$M$24)*CHOOSE(ArtifactsInput!$N$24+1,10,12,14,16,18,20)+(IF(AND(Inputs!$B$38&lt;&gt;"pvp",Inputs!$B$43=0),1,IF(IF(Inputs!$B$38="pvp",15,Inputs!$B$43)-(B2271)&lt;=0,1,MAX(0,IF(Inputs!$B$38="pvp",15,Inputs!$B$43)-MAX(5,B2271))/(IF(Inputs!$B$38="pvp",15,Inputs!$B$43)-(B2271))))*IF(AND(ArtifactsInput!$M$42,((Inputs!$B$9+((C2252=TRUE)*(F2252-Calc!F19))+B2264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2246*(1-MIN(100,(Inputs!$B$9+((C2252=TRUE)*(F2252-Calc!F19))+B2264+(ArtifactsInput!$M$24-ArtifactsInput!$M$24)*CHOOSE(ArtifactsInput!$N$24+1,10,12,14,16,18,20)+(IF(AND(Inputs!$B$38&lt;&gt;"pvp",Inputs!$B$43=0),1,IF(IF(Inputs!$B$38="pvp",15,Inputs!$B$43)-(B2271)&lt;=0,1,MAX(0,IF(Inputs!$B$38="pvp",15,Inputs!$B$43)-MAX(5,B2271))/(IF(Inputs!$B$38="pvp",15,Inputs!$B$43)-(B2271))))*IF(AND(ArtifactsInput!$M$42,((Inputs!$B$9+((C2252=TRUE)*(F2252-Calc!F19))+B2264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2246*(MIN(100,(Inputs!$B$9+((C2252=TRUE)*(F2252-Calc!F19))+B2264+(ArtifactsInput!$M$24-ArtifactsInput!$M$24)*CHOOSE(ArtifactsInput!$N$24+1,10,12,14,16,18,20)+(IF(AND(Inputs!$B$38&lt;&gt;"pvp",Inputs!$B$43=0),1,IF(IF(Inputs!$B$38="pvp",15,Inputs!$B$43)-(B2271)&lt;=0,1,MAX(0,IF(Inputs!$B$38="pvp",15,Inputs!$B$43)-MAX(5,B2271))/(IF(Inputs!$B$38="pvp",15,Inputs!$B$43)-(B2271))))*IF(AND(ArtifactsInput!$M$42,((Inputs!$B$9+((C2252=TRUE)*(F2252-Calc!F19))+B2264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246">
        <f>IF(C2246,(H2246*N2246*IF(AND(Inputs!$B$38&lt;&gt;"pvp",Inputs!$B$43&gt;0),((Skills!G13*((R2246-1)*IF(Skills!H13&gt;0,INT(Skills!I13/Skills!H13+0.000000001),1)+IF(Skills!H13&gt;0,INT(MIN(Skills!I13,MAX(0,MAX(0,Inputs!$B$43-B2271)-((R2246-1)*(IF(Inputs!$B$38="pvp",15,MAX(0.1,Skills!D13-IF(TRUE=TRUE,Inputs!$B$32,0)))*(1-IF(AND(ArtifactsInput!$M$27,Inputs!$B$4="Chapter Hunt"),CHOOSE(ArtifactsInput!$N$27+1,20,24,28,32,36,40),0)/100)))))/Skills!H13+0.000000001),1)))/Inputs!$B$43),G2246*Q2246))*IF(Inputs!$B$38="pvp",1,(1+(Inputs!$B$21+Skills!Q13+(IF(ArtifactsInput!$M$33,CHOOSE(ArtifactsInput!$N$33+1,30,36,42,48,54,60),0))+(IF(AND(ArtifactsInput!$M$35,Inputs!$B$4&lt;&gt;"Chapter Hunt"),CHOOSE(ArtifactsInput!$N$35+1,15,18,21,24,27,30)*(1-EXP(-(0.2*B2266)*5)),0)+IF(AND(ArtifactsInput!$M$22,Inputs!$B$4&lt;&gt;"Chapter Hunt"),CHOOSE(ArtifactsInput!$N$22+1,10,12,14,16,18,20)*((0*(((0.15*B2266*5))^0/1)+1*(((0.15*B2266*5))^1/1)+2*(((0.15*B2266*5))^2/2)+3*(((0.15*B2266*5))^3/6)+4*(((0.15*B2266*5))^4/24)+5*(((0.15*B2266*5))^5/120))/((((0.15*B2266*5))^0/1)+(((0.15*B2266*5))^1/1)+(((0.15*B2266*5))^2/2)+(((0.15*B2266*5))^3/6)+(((0.15*B2266*5))^4/24)+(((0.15*B2266*5))^5/120))),0))+IF(Inputs!$B$3&gt;=54,9*(C2236=TRUE)*MIN(1,8*(1+Inputs!$B$34/100)*Q2236),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47">
      <c r="A2247">
        <f>Skills!A14</f>
        <v/>
      </c>
      <c r="B2247">
        <f>Skills!B14</f>
        <v/>
      </c>
      <c r="C2247">
        <f>Inputs!$B$3&gt;=120</f>
        <v/>
      </c>
      <c r="D2247">
        <f>IF(Skills!C14=1,60+Inputs!$B$25+Inputs!$B$29,IF(Skills!C14=2,90+Inputs!$B$26+Inputs!$B$29,IF(Skills!C14=3,120+Inputs!$B$27+Inputs!$B$29,MAX(0,(Inputs!$B$3-100)*3)+Inputs!$B$28+Inputs!$B$29)))</f>
        <v/>
      </c>
      <c r="E2247">
        <f>INDEX(FactorTable!$B$2:$Y$301, MATCH(ROUND(MIN(300,MAX(1,D2247)),0), FactorTable!$A$2:$A$301,0), Skills!M14+1)</f>
        <v/>
      </c>
      <c r="F2247">
        <f>IF(Skills!N14=TRUE,(Skills!L14/10)*(E2247/1000),Skills!L14/10)+Skills!O14</f>
        <v/>
      </c>
      <c r="G2247">
        <f>Skills!G14*IF(Skills!H14&gt;0,INT(IF(Inputs!$B$38="pvp",MIN(Skills!I14,15),Skills!I14)/Skills!H14+0.000000001),1)</f>
        <v/>
      </c>
      <c r="H2247">
        <f>1-(1-Skills!J14/100)^Skills!K14</f>
        <v/>
      </c>
      <c r="I2247" t="inlineStr">
        <is>
          <t>1</t>
        </is>
      </c>
      <c r="J2247">
        <f>((Inputs!$B$6*(1+Inputs!$B$7/100))+(((Inputs!$B$12*(1+Inputs!$B$13/100))-(Inputs!$B$12*(1+Inputs!$B$13/100)))+0.25*(Inputs!$B$14-Inputs!$B$14))*(1+Inputs!$B$7/100))*(F2247/100)</f>
        <v/>
      </c>
      <c r="K2247">
        <f>J2247*(1+((Inputs!$B$12*(1+Inputs!$B$13/100))*0.01+Inputs!$B$14*0.0025)/100)*(1+Inputs!$B$15/100)*(1+Inputs!$B$16/100)*(5000/(6000+Inputs!$B$42*(1-(100*(1-(1-(Inputs!$B$19+0)/100)*(1-CHOOSE(ArtifactsInput!$N$40+1,5,6,7,8,9,10)/100)^(ArtifactsInput!$M$40-ArtifactsInput!$M$40)))/100)))*(1+(Inputs!$B$24+((C2259=TRUE)*(F2259-Calc!F26))+B2270)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IF(ArtifactsInput!$M$28,FALSE,TRUE)-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EIGHT_LEGS_EASTON",Inputs!$B$17+((C2256=TRUE)*(F2256-Calc!F23))+((C2260=TRUE)*(F2260-Calc!F27))+((IF(AND(Inputs!$B$38&lt;&gt;"pvp",Inputs!$B$43=0),1,IF(IF(Inputs!$B$38="pvp",15,Inputs!$B$43)-(B2271)&lt;=0,1,MAX(0,IF(Inputs!$B$38="pvp",15,Inputs!$B$43)-MAX(5,B2271))/(IF(Inputs!$B$38="pvp",15,Inputs!$B$43)-(B2271))))*(IF(AND(ArtifactsInput!$M$42,((Inputs!$B$9+((C2252=TRUE)*(F2252-Calc!F19))+B2264+(ArtifactsInput!$M$24-ArtifactsInput!$M$24)*CHOOSE(ArtifactsInput!$N$24+1,10,12,14,16,18,20)+IF(ArtifactsInput!$M$10,CHOOSE(ArtifactsInput!$N$10+1,15,18,21,24,27,30)*(IF(Inputs!$B$38="pvp",MIN(15,15)/15,IF(AND(Inputs!$B$38&lt;&gt;"pvp",Inputs!$B$43&gt;0),MIN(15,Inputs!$B$43)/(Inputs!$B$43),0))),0)))&gt;=100),MIN(100,((Inputs!$B$9+((C2252=TRUE)*(F2252-Calc!F19))+B2264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2271)&lt;=0,1,MAX(0,IF(Inputs!$B$38="pvp",15,Inputs!$B$43)-MAX(5,B2271))/(IF(Inputs!$B$38="pvp",15,Inputs!$B$43)-(B2271))))*IF(AND(ArtifactsInput!$M$42,((Inputs!$B$9+((C2252=TRUE)*(F2252-Calc!F19))+B2264+(ArtifactsInput!$M$24-ArtifactsInput!$M$24)*CHOOSE(ArtifactsInput!$N$24+1,10,12,14,16,18,20)+IF(ArtifactsInput!$M$10,CHOOSE(ArtifactsInput!$N$10+1,15,18,21,24,27,30)*(IF(Inputs!$B$38="pvp",MIN(15,15)/15,IF(AND(Inputs!$B$38&lt;&gt;"pvp",Inputs!$B$43&gt;0),MIN(15,Inputs!$B$43)/(Inputs!$B$43),0))),0)))&gt;=100),CHOOSE(ArtifactsInput!$N$42+1,40,48,56,64,72,80),0))))/100)*((1+(((C2250=TRUE)*F2250*5/7)+((C2257=TRUE)*(F2257-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2247)</f>
        <v/>
      </c>
      <c r="L2247">
        <f>K2247*(MIN(Inputs!$B$22+((C2255=TRUE)*(F2255-Calc!F22)),(Inputs!$B$23+0+(IF(ArtifactsInput!$M$15,CHOOSE(ArtifactsInput!$N$15+1,25,30,35,40,45,50)/100*(Inputs!$B$11-Inputs!$B$11),0))))/100+(Inputs!$B$23+0+(IF(ArtifactsInput!$M$15,CHOOSE(ArtifactsInput!$N$15+1,25,30,35,40,45,50)/100*(Inputs!$B$11-Inputs!$B$11),0)))/100)/2</f>
        <v/>
      </c>
      <c r="M2247">
        <f>L2247*(1+(Inputs!$B$10+((C2258=TRUE)*(F2258-Calc!F25))+B2269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47">
        <f>L2247*(1-MIN((Inputs!$B$9+((C2252=TRUE)*(F2252-Calc!F19))+B2264+(ArtifactsInput!$M$24-ArtifactsInput!$M$24)*CHOOSE(ArtifactsInput!$N$24+1,10,12,14,16,18,20)+(IF(AND(Inputs!$B$38&lt;&gt;"pvp",Inputs!$B$43=0),1,IF(IF(Inputs!$B$38="pvp",15,Inputs!$B$43)-(B2271)&lt;=0,1,MAX(0,IF(Inputs!$B$38="pvp",15,Inputs!$B$43)-MAX(5,B2271))/(IF(Inputs!$B$38="pvp",15,Inputs!$B$43)-(B2271))))*IF(AND(ArtifactsInput!$M$42,((Inputs!$B$9+((C2252=TRUE)*(F2252-Calc!F19))+B2264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2247*(MIN((Inputs!$B$9+((C2252=TRUE)*(F2252-Calc!F19))+B2264+(ArtifactsInput!$M$24-ArtifactsInput!$M$24)*CHOOSE(ArtifactsInput!$N$24+1,10,12,14,16,18,20)+(IF(AND(Inputs!$B$38&lt;&gt;"pvp",Inputs!$B$43=0),1,IF(IF(Inputs!$B$38="pvp",15,Inputs!$B$43)-(B2271)&lt;=0,1,MAX(0,IF(Inputs!$B$38="pvp",15,Inputs!$B$43)-MAX(5,B2271))/(IF(Inputs!$B$38="pvp",15,Inputs!$B$43)-(B2271))))*IF(AND(ArtifactsInput!$M$42,((Inputs!$B$9+((C2252=TRUE)*(F2252-Calc!F19))+B2264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47">
        <f>(1-Summary!$B$11)*T2247+Summary!$B$11*V2247</f>
        <v/>
      </c>
      <c r="P2247">
        <f>IF(B2274=0,0,O2247/B2274)</f>
        <v/>
      </c>
      <c r="Q2247" t="n">
        <v>0</v>
      </c>
      <c r="R2247" t="n">
        <v>0</v>
      </c>
      <c r="S2247">
        <f>IFERROR(O2247/N2247,0)</f>
        <v/>
      </c>
      <c r="T2247">
        <f>IF(C2247,((H2247*(B2268+IF(AND(Inputs!$B$38&lt;&gt;"pvp",Inputs!$B$43&gt;0),((Skills!G8*((R2241-1)*IF(Skills!H8&gt;0,INT(Skills!I8/Skills!H8+0.000000001),1)+IF(Skills!H8&gt;0,INT(MIN(Skills!I8,MAX(0,MAX(0,Inputs!$B$43-B2271)-((R2241-1)*((IF(Inputs!$B$38="pvp",15,MAX(0.1,Skills!D8-IF(TRUE=TRUE,Inputs!$B$32,0)))*(1-IF(AND(ArtifactsInput!$M$27,Inputs!$B$4="Chapter Hunt"),CHOOSE(ArtifactsInput!$N$27+1,20,24,28,32,36,40),0)/100))/B2275))))/Skills!H8+0.000000001),1)))/Inputs!$B$43),G2241*Q2241)+IF(AND(Inputs!$B$38&lt;&gt;"pvp",Inputs!$B$43&gt;0),((Skills!G11*((R2244-1)*IF(Skills!H11&gt;0,INT(Skills!I11/Skills!H11+0.000000001),1)+IF(Skills!H11&gt;0,INT(MIN(Skills!I11,MAX(0,MAX(0,Inputs!$B$43-B2271)-((R2244-1)*((IF(Inputs!$B$38="pvp",15,MAX(0.1,Skills!D11-IF(TRUE=TRUE,Inputs!$B$32,0)))*(1-IF(AND(ArtifactsInput!$M$27,Inputs!$B$4="Chapter Hunt"),CHOOSE(ArtifactsInput!$N$27+1,20,24,28,32,36,40),0)/100))/B2275))))/Skills!H11+0.000000001),1)))/Inputs!$B$43),G2244*Q2244)))/(1+Skills!H14*H2247*(B2268+IF(AND(Inputs!$B$38&lt;&gt;"pvp",Inputs!$B$43&gt;0),((Skills!G8*((R2241-1)*IF(Skills!H8&gt;0,INT(Skills!I8/Skills!H8+0.000000001),1)+IF(Skills!H8&gt;0,INT(MIN(Skills!I8,MAX(0,MAX(0,Inputs!$B$43-B2271)-((R2241-1)*((IF(Inputs!$B$38="pvp",15,MAX(0.1,Skills!D8-IF(TRUE=TRUE,Inputs!$B$32,0)))*(1-IF(AND(ArtifactsInput!$M$27,Inputs!$B$4="Chapter Hunt"),CHOOSE(ArtifactsInput!$N$27+1,20,24,28,32,36,40),0)/100))/B2275))))/Skills!H8+0.000000001),1)))/Inputs!$B$43),G2241*Q2241)+IF(AND(Inputs!$B$38&lt;&gt;"pvp",Inputs!$B$43&gt;0),((Skills!G11*((R2244-1)*IF(Skills!H11&gt;0,INT(Skills!I11/Skills!H11+0.000000001),1)+IF(Skills!H11&gt;0,INT(MIN(Skills!I11,MAX(0,MAX(0,Inputs!$B$43-B2271)-((R2244-1)*((IF(Inputs!$B$38="pvp",15,MAX(0.1,Skills!D11-IF(TRUE=TRUE,Inputs!$B$32,0)))*(1-IF(AND(ArtifactsInput!$M$27,Inputs!$B$4="Chapter Hunt"),CHOOSE(ArtifactsInput!$N$27+1,20,24,28,32,36,40),0)/100))/B2275))))/Skills!H11+0.000000001),1)))/Inputs!$B$43),G2244*Q2244)))*N2247)*IF(Inputs!$B$38="pvp",1,1+(Inputs!$B$20+0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Hunt"),CHOOSE(ArtifactsInput!$N$35+1,15,18,21,24,27,30)*(1-EXP(-(0.2*B2266)*5)),0)+IF(AND(ArtifactsInput!$M$22,Inputs!$B$4&lt;&gt;"Chapter Hunt"),CHOOSE(ArtifactsInput!$N$22+1,10,12,14,16,18,20)*((0*(((0.15*B2266*5))^0/1)+1*(((0.15*B2266*5))^1/1)+2*(((0.15*B2266*5))^2/2)+3*(((0.15*B2266*5))^3/6)+4*(((0.15*B2266*5))^4/24)+5*(((0.15*B2266*5))^5/120))/((((0.15*B2266*5))^0/1)+(((0.15*B2266*5))^1/1)+(((0.15*B2266*5))^2/2)+(((0.15*B2266*5))^3/6)+(((0.15*B2266*5))^4/24)+(((0.15*B2266*5))^5/120))),0))+IF(Inputs!$B$3&gt;=54,9*(C2236=TRUE)*MIN(1,8*(1+Inputs!$B$34/100)*Q2236)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2247*(1-MIN(100,(Inputs!$B$9+((C2252=TRUE)*(F2252-Calc!F19))+B2264+(ArtifactsInput!$M$24-ArtifactsInput!$M$24)*CHOOSE(ArtifactsInput!$N$24+1,10,12,14,16,18,20)+(IF(AND(Inputs!$B$38&lt;&gt;"pvp",Inputs!$B$43=0),1,IF(IF(Inputs!$B$38="pvp",15,Inputs!$B$43)-(B2271)&lt;=0,1,MAX(0,IF(Inputs!$B$38="pvp",15,Inputs!$B$43)-MAX(5,B2271))/(IF(Inputs!$B$38="pvp",15,Inputs!$B$43)-(B2271))))*IF(AND(ArtifactsInput!$M$42,((Inputs!$B$9+((C2252=TRUE)*(F2252-Calc!F19))+B2264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2247*(MIN(100,(Inputs!$B$9+((C2252=TRUE)*(F2252-Calc!F19))+B2264+(ArtifactsInput!$M$24-ArtifactsInput!$M$24)*CHOOSE(ArtifactsInput!$N$24+1,10,12,14,16,18,20)+(IF(AND(Inputs!$B$38&lt;&gt;"pvp",Inputs!$B$43=0),1,IF(IF(Inputs!$B$38="pvp",15,Inputs!$B$43)-(B2271)&lt;=0,1,MAX(0,IF(Inputs!$B$38="pvp",15,Inputs!$B$43)-MAX(5,B2271))/(IF(Inputs!$B$38="pvp",15,Inputs!$B$43)-(B2271))))*IF(AND(ArtifactsInput!$M$42,((Inputs!$B$9+((C2252=TRUE)*(F2252-Calc!F19))+B2264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2247*(1-MIN(100,(Inputs!$B$9+((C2252=TRUE)*(F2252-Calc!F19))+B2264+(ArtifactsInput!$M$24-ArtifactsInput!$M$24)*CHOOSE(ArtifactsInput!$N$24+1,10,12,14,16,18,20)+(IF(AND(Inputs!$B$38&lt;&gt;"pvp",Inputs!$B$43=0),1,IF(IF(Inputs!$B$38="pvp",15,Inputs!$B$43)-(B2271)&lt;=0,1,MAX(0,IF(Inputs!$B$38="pvp",15,Inputs!$B$43)-MAX(5,B2271))/(IF(Inputs!$B$38="pvp",15,Inputs!$B$43)-(B2271))))*IF(AND(ArtifactsInput!$M$42,((Inputs!$B$9+((C2252=TRUE)*(F2252-Calc!F19))+B2264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2247*(MIN(100,(Inputs!$B$9+((C2252=TRUE)*(F2252-Calc!F19))+B2264+(ArtifactsInput!$M$24-ArtifactsInput!$M$24)*CHOOSE(ArtifactsInput!$N$24+1,10,12,14,16,18,20)+(IF(AND(Inputs!$B$38&lt;&gt;"pvp",Inputs!$B$43=0),1,IF(IF(Inputs!$B$38="pvp",15,Inputs!$B$43)-(B2271)&lt;=0,1,MAX(0,IF(Inputs!$B$38="pvp",15,Inputs!$B$43)-MAX(5,B2271))/(IF(Inputs!$B$38="pvp",15,Inputs!$B$43)-(B2271))))*IF(AND(ArtifactsInput!$M$42,((Inputs!$B$9+((C2252=TRUE)*(F2252-Calc!F19))+B2264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247">
        <f>IF(C2247,((H2247*(B2268+IF(AND(Inputs!$B$38&lt;&gt;"pvp",Inputs!$B$43&gt;0),((Skills!G8*((R2241-1)*IF(Skills!H8&gt;0,INT(Skills!I8/Skills!H8+0.000000001),1)+IF(Skills!H8&gt;0,INT(MIN(Skills!I8,MAX(0,MAX(0,Inputs!$B$43-B2271)-((R2241-1)*((IF(Inputs!$B$38="pvp",15,MAX(0.1,Skills!D8-IF(TRUE=TRUE,Inputs!$B$32,0)))*(1-IF(AND(ArtifactsInput!$M$27,Inputs!$B$4="Chapter Hunt"),CHOOSE(ArtifactsInput!$N$27+1,20,24,28,32,36,40),0)/100))/B2275))))/Skills!H8+0.000000001),1)))/Inputs!$B$43),G2241*Q2241)+IF(AND(Inputs!$B$38&lt;&gt;"pvp",Inputs!$B$43&gt;0),((Skills!G11*((R2244-1)*IF(Skills!H11&gt;0,INT(Skills!I11/Skills!H11+0.000000001),1)+IF(Skills!H11&gt;0,INT(MIN(Skills!I11,MAX(0,MAX(0,Inputs!$B$43-B2271)-((R2244-1)*((IF(Inputs!$B$38="pvp",15,MAX(0.1,Skills!D11-IF(TRUE=TRUE,Inputs!$B$32,0)))*(1-IF(AND(ArtifactsInput!$M$27,Inputs!$B$4="Chapter Hunt"),CHOOSE(ArtifactsInput!$N$27+1,20,24,28,32,36,40),0)/100))/B2275))))/Skills!H11+0.000000001),1)))/Inputs!$B$43),G2244*Q2244)))/(1+Skills!H14*H2247*(B2268+IF(AND(Inputs!$B$38&lt;&gt;"pvp",Inputs!$B$43&gt;0),((Skills!G8*((R2241-1)*IF(Skills!H8&gt;0,INT(Skills!I8/Skills!H8+0.000000001),1)+IF(Skills!H8&gt;0,INT(MIN(Skills!I8,MAX(0,MAX(0,Inputs!$B$43-B2271)-((R2241-1)*((IF(Inputs!$B$38="pvp",15,MAX(0.1,Skills!D8-IF(TRUE=TRUE,Inputs!$B$32,0)))*(1-IF(AND(ArtifactsInput!$M$27,Inputs!$B$4="Chapter Hunt"),CHOOSE(ArtifactsInput!$N$27+1,20,24,28,32,36,40),0)/100))/B2275))))/Skills!H8+0.000000001),1)))/Inputs!$B$43),G2241*Q2241)+IF(AND(Inputs!$B$38&lt;&gt;"pvp",Inputs!$B$43&gt;0),((Skills!G11*((R2244-1)*IF(Skills!H11&gt;0,INT(Skills!I11/Skills!H11+0.000000001),1)+IF(Skills!H11&gt;0,INT(MIN(Skills!I11,MAX(0,MAX(0,Inputs!$B$43-B2271)-((R2244-1)*((IF(Inputs!$B$38="pvp",15,MAX(0.1,Skills!D11-IF(TRUE=TRUE,Inputs!$B$32,0)))*(1-IF(AND(ArtifactsInput!$M$27,Inputs!$B$4="Chapter Hunt"),CHOOSE(ArtifactsInput!$N$27+1,20,24,28,32,36,40),0)/100))/B2275))))/Skills!H11+0.000000001),1)))/Inputs!$B$43),G2244*Q2244)))*N2247)*IF(Inputs!$B$38="pvp",1,(1+(Inputs!$B$21+Skills!Q14+(IF(ArtifactsInput!$M$33,CHOOSE(ArtifactsInput!$N$33+1,30,36,42,48,54,60),0))+(IF(AND(ArtifactsInput!$M$35,Inputs!$B$4&lt;&gt;"Chapter Hunt"),CHOOSE(ArtifactsInput!$N$35+1,15,18,21,24,27,30)*(1-EXP(-(0.2*B2266)*5)),0)+IF(AND(ArtifactsInput!$M$22,Inputs!$B$4&lt;&gt;"Chapter Hunt"),CHOOSE(ArtifactsInput!$N$22+1,10,12,14,16,18,20)*((0*(((0.15*B2266*5))^0/1)+1*(((0.15*B2266*5))^1/1)+2*(((0.15*B2266*5))^2/2)+3*(((0.15*B2266*5))^3/6)+4*(((0.15*B2266*5))^4/24)+5*(((0.15*B2266*5))^5/120))/((((0.15*B2266*5))^0/1)+(((0.15*B2266*5))^1/1)+(((0.15*B2266*5))^2/2)+(((0.15*B2266*5))^3/6)+(((0.15*B2266*5))^4/24)+(((0.15*B2266*5))^5/120))),0))+IF(Inputs!$B$3&gt;=54,9*(C2236=TRUE)*MIN(1,8*(1+Inputs!$B$34/100)*Q2236),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48">
      <c r="A2248">
        <f>Skills!A15</f>
        <v/>
      </c>
      <c r="B2248">
        <f>Skills!B15</f>
        <v/>
      </c>
      <c r="C2248">
        <f>Inputs!$B$3&gt;=100</f>
        <v/>
      </c>
      <c r="D2248">
        <f>IF(Skills!C15=1,60+Inputs!$B$25+Inputs!$B$29,IF(Skills!C15=2,90+Inputs!$B$26+Inputs!$B$29,IF(Skills!C15=3,120+Inputs!$B$27+Inputs!$B$29,MAX(0,(Inputs!$B$3-100)*3)+Inputs!$B$28+Inputs!$B$29)))</f>
        <v/>
      </c>
      <c r="E2248">
        <f>INDEX(FactorTable!$B$2:$Y$301, MATCH(ROUND(MIN(300,MAX(1,D2248)),0), FactorTable!$A$2:$A$301,0), Skills!M15+1)</f>
        <v/>
      </c>
      <c r="F2248">
        <f>IF(Skills!N15=TRUE,(Skills!L15/10)*(E2248/1000),Skills!L15/10)+Skills!O15</f>
        <v/>
      </c>
      <c r="G2248" t="inlineStr"/>
      <c r="H2248" t="inlineStr"/>
      <c r="I2248" t="inlineStr">
        <is>
          <t>1</t>
        </is>
      </c>
      <c r="J2248" t="inlineStr"/>
      <c r="K2248" t="inlineStr"/>
      <c r="L2248" t="inlineStr"/>
      <c r="M2248" t="inlineStr"/>
      <c r="N2248" t="inlineStr"/>
      <c r="O2248" t="inlineStr"/>
      <c r="P2248" t="inlineStr"/>
      <c r="Q2248" t="inlineStr"/>
      <c r="R2248" t="inlineStr"/>
      <c r="S2248" t="inlineStr"/>
    </row>
    <row r="2249">
      <c r="A2249">
        <f>Skills!A16</f>
        <v/>
      </c>
      <c r="B2249">
        <f>Skills!B16</f>
        <v/>
      </c>
      <c r="C2249">
        <f>Inputs!$B$3&gt;=107</f>
        <v/>
      </c>
      <c r="D2249">
        <f>IF(Skills!C16=1,60+Inputs!$B$25+Inputs!$B$29,IF(Skills!C16=2,90+Inputs!$B$26+Inputs!$B$29,IF(Skills!C16=3,120+Inputs!$B$27+Inputs!$B$29,MAX(0,(Inputs!$B$3-100)*3)+Inputs!$B$28+Inputs!$B$29)))</f>
        <v/>
      </c>
      <c r="E2249">
        <f>INDEX(FactorTable!$B$2:$Y$301, MATCH(ROUND(MIN(300,MAX(1,D2249)),0), FactorTable!$A$2:$A$301,0), Skills!M16+1)</f>
        <v/>
      </c>
      <c r="F2249">
        <f>IF(Skills!N16=TRUE,(Skills!L16/10)*(E2249/1000),Skills!L16/10)+Skills!O16</f>
        <v/>
      </c>
      <c r="G2249" t="inlineStr"/>
      <c r="H2249" t="inlineStr"/>
      <c r="I2249" t="inlineStr">
        <is>
          <t>1</t>
        </is>
      </c>
      <c r="J2249" t="inlineStr"/>
      <c r="K2249" t="inlineStr"/>
      <c r="L2249" t="inlineStr"/>
      <c r="M2249" t="inlineStr"/>
      <c r="N2249" t="inlineStr"/>
      <c r="O2249" t="inlineStr"/>
      <c r="P2249" t="inlineStr"/>
      <c r="Q2249" t="inlineStr"/>
      <c r="R2249" t="inlineStr"/>
      <c r="S2249" t="inlineStr"/>
    </row>
    <row r="2250">
      <c r="A2250">
        <f>Skills!A17</f>
        <v/>
      </c>
      <c r="B2250">
        <f>Skills!B17</f>
        <v/>
      </c>
      <c r="C2250">
        <f>Inputs!$B$3&gt;=74</f>
        <v/>
      </c>
      <c r="D2250">
        <f>IF(Skills!C17=1,60+Inputs!$B$25+Inputs!$B$29,IF(Skills!C17=2,90+Inputs!$B$26+Inputs!$B$29,IF(Skills!C17=3,120+Inputs!$B$27+Inputs!$B$29,MAX(0,(Inputs!$B$3-100)*3)+Inputs!$B$28+Inputs!$B$29)))</f>
        <v/>
      </c>
      <c r="E2250">
        <f>INDEX(FactorTable!$B$2:$Y$301, MATCH(ROUND(MIN(300,MAX(1,D2250)),0), FactorTable!$A$2:$A$301,0), Skills!M17+1)</f>
        <v/>
      </c>
      <c r="F2250">
        <f>IF(Skills!N17=TRUE,(Skills!L17/10)*(E2250/1000),Skills!L17/10)+Skills!O17</f>
        <v/>
      </c>
      <c r="G2250">
        <f>Skills!G17*IF(Skills!H17&gt;0,INT(IF(Inputs!$B$38="pvp",MIN(Skills!I17,15),Skills!I17)/Skills!H17+0.000000001),1)</f>
        <v/>
      </c>
      <c r="H2250">
        <f>1-(1-Skills!J17/100)^Skills!K17</f>
        <v/>
      </c>
      <c r="I2250" t="inlineStr">
        <is>
          <t>1</t>
        </is>
      </c>
      <c r="J2250" t="inlineStr"/>
      <c r="K2250" t="inlineStr"/>
      <c r="L2250" t="inlineStr"/>
      <c r="M2250" t="inlineStr"/>
      <c r="N2250" t="inlineStr"/>
      <c r="O2250">
        <f>(1-Summary!$B$11)*T2250+Summary!$B$11*V2250</f>
        <v/>
      </c>
      <c r="P2250">
        <f>IF(B2274=0,0,O2250/B2274)</f>
        <v/>
      </c>
      <c r="Q2250" t="n">
        <v>0</v>
      </c>
      <c r="R2250" t="n">
        <v>0</v>
      </c>
      <c r="S2250">
        <f>IFERROR(O2250/N2250,0)</f>
        <v/>
      </c>
      <c r="T2250" t="n">
        <v>0</v>
      </c>
      <c r="V2250" t="n">
        <v>0</v>
      </c>
    </row>
    <row r="2251">
      <c r="A2251">
        <f>Skills!A18</f>
        <v/>
      </c>
      <c r="B2251">
        <f>Skills!B18</f>
        <v/>
      </c>
      <c r="C2251">
        <f>Inputs!$B$3&gt;=115</f>
        <v/>
      </c>
      <c r="D2251">
        <f>IF(Skills!C18=1,60+Inputs!$B$25+Inputs!$B$29,IF(Skills!C18=2,90+Inputs!$B$26+Inputs!$B$29,IF(Skills!C18=3,120+Inputs!$B$27+Inputs!$B$29,MAX(0,(Inputs!$B$3-100)*3)+Inputs!$B$28+Inputs!$B$29)))</f>
        <v/>
      </c>
      <c r="E2251">
        <f>INDEX(FactorTable!$B$2:$Y$301, MATCH(ROUND(MIN(300,MAX(1,D2251)),0), FactorTable!$A$2:$A$301,0), Skills!M18+1)</f>
        <v/>
      </c>
      <c r="F2251">
        <f>IF(Skills!N18=TRUE,(Skills!L18/10)*(E2251/1000),Skills!L18/10)+Skills!O18</f>
        <v/>
      </c>
      <c r="G2251">
        <f>Skills!G18*IF(Skills!H18&gt;0,INT(IF(Inputs!$B$38="pvp",MIN(Skills!I18,15),Skills!I18)/Skills!H18+0.000000001),1)</f>
        <v/>
      </c>
      <c r="H2251">
        <f>1-(1-Skills!J18/100)^Skills!K18</f>
        <v/>
      </c>
      <c r="I2251" t="inlineStr">
        <is>
          <t>1</t>
        </is>
      </c>
      <c r="J2251" t="inlineStr"/>
      <c r="K2251" t="inlineStr"/>
      <c r="L2251" t="inlineStr"/>
      <c r="M2251" t="inlineStr"/>
      <c r="N2251" t="inlineStr"/>
      <c r="O2251">
        <f>(1-Summary!$B$11)*T2251+Summary!$B$11*V2251</f>
        <v/>
      </c>
      <c r="P2251">
        <f>IF(B2274=0,0,O2251/B2274)</f>
        <v/>
      </c>
      <c r="Q2251">
        <f>IFERROR(1/(IF(Inputs!$B$38="pvp",15,MAX(0.1,Skills!D18-IF(TRUE=TRUE,Inputs!$B$32,0)))*(1-IF(AND(ArtifactsInput!$M$27,Inputs!$B$4="Chapter Hunt"),CHOOSE(ArtifactsInput!$N$27+1,20,24,28,32,36,40),0)/100)),0)</f>
        <v/>
      </c>
      <c r="R2251">
        <f>IF(AND(Inputs!$B$38&lt;&gt;"pvp",Inputs!$B$43&gt;0),IF(Inputs!$B$43&lt;=0,0,(INT(Inputs!$B$43/(IF(Inputs!$B$38="pvp",15,MAX(0.1,Skills!D18-IF(TRUE=TRUE,Inputs!$B$32,0)))*(1-IF(AND(ArtifactsInput!$M$27,Inputs!$B$4="Chapter Hunt"),CHOOSE(ArtifactsInput!$N$27+1,20,24,28,32,36,40),0)/100)))+1)),0)</f>
        <v/>
      </c>
      <c r="S2251">
        <f>IFERROR(O2251/N2251,0)</f>
        <v/>
      </c>
      <c r="T2251" t="n">
        <v>0</v>
      </c>
      <c r="V2251" t="n">
        <v>0</v>
      </c>
    </row>
    <row r="2252">
      <c r="A2252">
        <f>Skills!A19</f>
        <v/>
      </c>
      <c r="B2252">
        <f>Skills!B19</f>
        <v/>
      </c>
      <c r="C2252">
        <f>Inputs!$B$3&gt;=10</f>
        <v/>
      </c>
      <c r="D2252">
        <f>IF(Skills!C19=1,60+Inputs!$B$25+Inputs!$B$29,IF(Skills!C19=2,90+Inputs!$B$26+Inputs!$B$29,IF(Skills!C19=3,120+Inputs!$B$27+Inputs!$B$29,MAX(0,(Inputs!$B$3-100)*3)+Inputs!$B$28+Inputs!$B$29)))</f>
        <v/>
      </c>
      <c r="E2252">
        <f>INDEX(FactorTable!$B$2:$Y$301, MATCH(ROUND(MIN(300,MAX(1,D2252)),0), FactorTable!$A$2:$A$301,0), Skills!M19+1)</f>
        <v/>
      </c>
      <c r="F2252">
        <f>IF(Skills!N19=TRUE,(Skills!L19/10)*(E2252/1000),Skills!L19/10)+Skills!O19</f>
        <v/>
      </c>
      <c r="G2252">
        <f>Skills!G19*IF(Skills!H19&gt;0,INT(IF(Inputs!$B$38="pvp",MIN(Skills!I19,15),Skills!I19)/Skills!H19+0.000000001),1)</f>
        <v/>
      </c>
      <c r="H2252">
        <f>1-(1-Skills!J19/100)^Skills!K19</f>
        <v/>
      </c>
      <c r="I2252" t="inlineStr">
        <is>
          <t>1</t>
        </is>
      </c>
      <c r="J2252" t="inlineStr"/>
      <c r="K2252" t="inlineStr"/>
      <c r="L2252" t="inlineStr"/>
      <c r="M2252" t="inlineStr"/>
      <c r="N2252" t="inlineStr"/>
      <c r="O2252">
        <f>(1-Summary!$B$11)*T2252+Summary!$B$11*V2252</f>
        <v/>
      </c>
      <c r="P2252">
        <f>IF(B2274=0,0,O2252/B2274)</f>
        <v/>
      </c>
      <c r="Q2252" t="n">
        <v>0</v>
      </c>
      <c r="R2252" t="n">
        <v>0</v>
      </c>
      <c r="S2252">
        <f>IFERROR(O2252/N2252,0)</f>
        <v/>
      </c>
      <c r="T2252" t="n">
        <v>0</v>
      </c>
      <c r="V2252" t="n">
        <v>0</v>
      </c>
    </row>
    <row r="2253">
      <c r="A2253">
        <f>Skills!A20</f>
        <v/>
      </c>
      <c r="B2253">
        <f>Skills!B20</f>
        <v/>
      </c>
      <c r="C2253">
        <f>Inputs!$B$3&gt;=15</f>
        <v/>
      </c>
      <c r="D2253">
        <f>IF(Skills!C20=1,60+Inputs!$B$25+Inputs!$B$29,IF(Skills!C20=2,90+Inputs!$B$26+Inputs!$B$29,IF(Skills!C20=3,120+Inputs!$B$27+Inputs!$B$29,MAX(0,(Inputs!$B$3-100)*3)+Inputs!$B$28+Inputs!$B$29)))</f>
        <v/>
      </c>
      <c r="E2253">
        <f>INDEX(FactorTable!$B$2:$Y$301, MATCH(ROUND(MIN(300,MAX(1,D2253)),0), FactorTable!$A$2:$A$301,0), Skills!M20+1)</f>
        <v/>
      </c>
      <c r="F2253">
        <f>IF(Skills!N20=TRUE,(Skills!L20/10)*(E2253/1000),Skills!L20/10)+Skills!O20</f>
        <v/>
      </c>
      <c r="G2253">
        <f>Skills!G20*IF(Skills!H20&gt;0,INT(IF(Inputs!$B$38="pvp",MIN(Skills!I20,15),Skills!I20)/Skills!H20+0.000000001),1)</f>
        <v/>
      </c>
      <c r="H2253">
        <f>1-(1-Skills!J20/100)^Skills!K20</f>
        <v/>
      </c>
      <c r="I2253" t="inlineStr">
        <is>
          <t>1</t>
        </is>
      </c>
      <c r="J2253" t="inlineStr"/>
      <c r="K2253" t="inlineStr"/>
      <c r="L2253" t="inlineStr"/>
      <c r="M2253" t="inlineStr"/>
      <c r="N2253" t="inlineStr"/>
      <c r="O2253">
        <f>(1-Summary!$B$11)*T2253+Summary!$B$11*V2253</f>
        <v/>
      </c>
      <c r="P2253">
        <f>IF(B2274=0,0,O2253/B2274)</f>
        <v/>
      </c>
      <c r="Q2253" t="n">
        <v>0</v>
      </c>
      <c r="R2253" t="n">
        <v>0</v>
      </c>
      <c r="S2253">
        <f>IFERROR(O2253/N2253,0)</f>
        <v/>
      </c>
      <c r="T2253" t="n">
        <v>0</v>
      </c>
      <c r="V2253" t="n">
        <v>0</v>
      </c>
    </row>
    <row r="2254">
      <c r="A2254">
        <f>Skills!A21</f>
        <v/>
      </c>
      <c r="B2254">
        <f>Skills!B21</f>
        <v/>
      </c>
      <c r="C2254">
        <f>Inputs!$B$3&gt;=40</f>
        <v/>
      </c>
      <c r="D2254">
        <f>IF(Skills!C21=1,60+Inputs!$B$25+Inputs!$B$29,IF(Skills!C21=2,90+Inputs!$B$26+Inputs!$B$29,IF(Skills!C21=3,120+Inputs!$B$27+Inputs!$B$29,MAX(0,(Inputs!$B$3-100)*3)+Inputs!$B$28+Inputs!$B$29)))</f>
        <v/>
      </c>
      <c r="E2254">
        <f>INDEX(FactorTable!$B$2:$Y$301, MATCH(ROUND(MIN(300,MAX(1,D2254)),0), FactorTable!$A$2:$A$301,0), Skills!M21+1)</f>
        <v/>
      </c>
      <c r="F2254">
        <f>IF(Skills!N21=TRUE,(Skills!L21/10)*(E2254/1000),Skills!L21/10)+Skills!O21</f>
        <v/>
      </c>
      <c r="G2254">
        <f>Skills!G21*IF(Skills!H21&gt;0,INT(IF(Inputs!$B$38="pvp",MIN(Skills!I21,15),Skills!I21)/Skills!H21+0.000000001),1)</f>
        <v/>
      </c>
      <c r="H2254">
        <f>1-(1-Skills!J21/100)^Skills!K21</f>
        <v/>
      </c>
      <c r="I2254" t="inlineStr">
        <is>
          <t>1</t>
        </is>
      </c>
      <c r="J2254" t="inlineStr"/>
      <c r="K2254" t="inlineStr"/>
      <c r="L2254" t="inlineStr"/>
      <c r="M2254" t="inlineStr"/>
      <c r="N2254" t="inlineStr"/>
      <c r="O2254">
        <f>(1-Summary!$B$11)*T2254+Summary!$B$11*V2254</f>
        <v/>
      </c>
      <c r="P2254">
        <f>IF(B2274=0,0,O2254/B2274)</f>
        <v/>
      </c>
      <c r="Q2254" t="n">
        <v>0</v>
      </c>
      <c r="R2254" t="n">
        <v>0</v>
      </c>
      <c r="S2254">
        <f>IFERROR(O2254/N2254,0)</f>
        <v/>
      </c>
      <c r="T2254" t="n">
        <v>0</v>
      </c>
      <c r="V2254" t="n">
        <v>0</v>
      </c>
    </row>
    <row r="2255">
      <c r="A2255">
        <f>Skills!A22</f>
        <v/>
      </c>
      <c r="B2255">
        <f>Skills!B22</f>
        <v/>
      </c>
      <c r="C2255">
        <f>Inputs!$B$3&gt;=43</f>
        <v/>
      </c>
      <c r="D2255">
        <f>IF(Skills!C22=1,60+Inputs!$B$25+Inputs!$B$29,IF(Skills!C22=2,90+Inputs!$B$26+Inputs!$B$29,IF(Skills!C22=3,120+Inputs!$B$27+Inputs!$B$29,MAX(0,(Inputs!$B$3-100)*3)+Inputs!$B$28+Inputs!$B$29)))</f>
        <v/>
      </c>
      <c r="E2255">
        <f>INDEX(FactorTable!$B$2:$Y$301, MATCH(ROUND(MIN(300,MAX(1,D2255)),0), FactorTable!$A$2:$A$301,0), Skills!M22+1)</f>
        <v/>
      </c>
      <c r="F2255">
        <f>IF(Skills!N22=TRUE,(Skills!L22/10)*(E2255/1000),Skills!L22/10)+Skills!O22</f>
        <v/>
      </c>
      <c r="G2255">
        <f>Skills!G22*IF(Skills!H22&gt;0,INT(IF(Inputs!$B$38="pvp",MIN(Skills!I22,15),Skills!I22)/Skills!H22+0.000000001),1)</f>
        <v/>
      </c>
      <c r="H2255">
        <f>1-(1-Skills!J22/100)^Skills!K22</f>
        <v/>
      </c>
      <c r="I2255" t="inlineStr">
        <is>
          <t>1</t>
        </is>
      </c>
      <c r="J2255" t="inlineStr"/>
      <c r="K2255" t="inlineStr"/>
      <c r="L2255" t="inlineStr"/>
      <c r="M2255" t="inlineStr"/>
      <c r="N2255" t="inlineStr"/>
      <c r="O2255">
        <f>(1-Summary!$B$11)*T2255+Summary!$B$11*V2255</f>
        <v/>
      </c>
      <c r="P2255">
        <f>IF(B2274=0,0,O2255/B2274)</f>
        <v/>
      </c>
      <c r="Q2255" t="n">
        <v>0</v>
      </c>
      <c r="R2255" t="n">
        <v>0</v>
      </c>
      <c r="S2255">
        <f>IFERROR(O2255/N2255,0)</f>
        <v/>
      </c>
      <c r="T2255" t="n">
        <v>0</v>
      </c>
      <c r="V2255" t="n">
        <v>0</v>
      </c>
    </row>
    <row r="2256">
      <c r="A2256">
        <f>Skills!A23</f>
        <v/>
      </c>
      <c r="B2256">
        <f>Skills!B23</f>
        <v/>
      </c>
      <c r="C2256">
        <f>Inputs!$B$3&gt;=38</f>
        <v/>
      </c>
      <c r="D2256">
        <f>IF(Skills!C23=1,60+Inputs!$B$25+Inputs!$B$29,IF(Skills!C23=2,90+Inputs!$B$26+Inputs!$B$29,IF(Skills!C23=3,120+Inputs!$B$27+Inputs!$B$29,MAX(0,(Inputs!$B$3-100)*3)+Inputs!$B$28+Inputs!$B$29)))</f>
        <v/>
      </c>
      <c r="E2256">
        <f>INDEX(FactorTable!$B$2:$Y$301, MATCH(ROUND(MIN(300,MAX(1,D2256)),0), FactorTable!$A$2:$A$301,0), Skills!M23+1)</f>
        <v/>
      </c>
      <c r="F2256">
        <f>IF(Skills!N23=TRUE,(Skills!L23/10)*(E2256/1000),Skills!L23/10)+Skills!O23</f>
        <v/>
      </c>
      <c r="G2256">
        <f>Skills!G23*IF(Skills!H23&gt;0,INT(IF(Inputs!$B$38="pvp",MIN(Skills!I23,15),Skills!I23)/Skills!H23+0.000000001),1)</f>
        <v/>
      </c>
      <c r="H2256">
        <f>1-(1-Skills!J23/100)^Skills!K23</f>
        <v/>
      </c>
      <c r="I2256" t="inlineStr">
        <is>
          <t>1</t>
        </is>
      </c>
      <c r="J2256" t="inlineStr"/>
      <c r="K2256" t="inlineStr"/>
      <c r="L2256" t="inlineStr"/>
      <c r="M2256" t="inlineStr"/>
      <c r="N2256" t="inlineStr"/>
      <c r="O2256">
        <f>(1-Summary!$B$11)*T2256+Summary!$B$11*V2256</f>
        <v/>
      </c>
      <c r="P2256">
        <f>IF(B2274=0,0,O2256/B2274)</f>
        <v/>
      </c>
      <c r="Q2256" t="n">
        <v>0</v>
      </c>
      <c r="R2256" t="n">
        <v>0</v>
      </c>
      <c r="S2256">
        <f>IFERROR(O2256/N2256,0)</f>
        <v/>
      </c>
      <c r="T2256" t="n">
        <v>0</v>
      </c>
      <c r="V2256" t="n">
        <v>0</v>
      </c>
    </row>
    <row r="2257">
      <c r="A2257">
        <f>Skills!A24</f>
        <v/>
      </c>
      <c r="B2257">
        <f>Skills!B24</f>
        <v/>
      </c>
      <c r="C2257">
        <f>Inputs!$B$3&gt;=45</f>
        <v/>
      </c>
      <c r="D2257">
        <f>IF(Skills!C24=1,60+Inputs!$B$25+Inputs!$B$29,IF(Skills!C24=2,90+Inputs!$B$26+Inputs!$B$29,IF(Skills!C24=3,120+Inputs!$B$27+Inputs!$B$29,MAX(0,(Inputs!$B$3-100)*3)+Inputs!$B$28+Inputs!$B$29)))</f>
        <v/>
      </c>
      <c r="E2257">
        <f>INDEX(FactorTable!$B$2:$Y$301, MATCH(ROUND(MIN(300,MAX(1,D2257)),0), FactorTable!$A$2:$A$301,0), Skills!M24+1)</f>
        <v/>
      </c>
      <c r="F2257">
        <f>IF(Skills!N24=TRUE,(Skills!L24/10)*(E2257/1000),Skills!L24/10)+Skills!O24</f>
        <v/>
      </c>
      <c r="G2257">
        <f>Skills!G24*IF(Skills!H24&gt;0,INT(IF(Inputs!$B$38="pvp",MIN(Skills!I24,15),Skills!I24)/Skills!H24+0.000000001),1)</f>
        <v/>
      </c>
      <c r="H2257">
        <f>1-(1-Skills!J24/100)^Skills!K24</f>
        <v/>
      </c>
      <c r="I2257" t="inlineStr">
        <is>
          <t>1</t>
        </is>
      </c>
      <c r="J2257" t="inlineStr"/>
      <c r="K2257" t="inlineStr"/>
      <c r="L2257" t="inlineStr"/>
      <c r="M2257" t="inlineStr"/>
      <c r="N2257" t="inlineStr"/>
      <c r="O2257">
        <f>(1-Summary!$B$11)*T2257+Summary!$B$11*V2257</f>
        <v/>
      </c>
      <c r="P2257">
        <f>IF(B2274=0,0,O2257/B2274)</f>
        <v/>
      </c>
      <c r="Q2257" t="n">
        <v>0</v>
      </c>
      <c r="R2257" t="n">
        <v>0</v>
      </c>
      <c r="S2257">
        <f>IFERROR(O2257/N2257,0)</f>
        <v/>
      </c>
      <c r="T2257" t="n">
        <v>0</v>
      </c>
      <c r="V2257" t="n">
        <v>0</v>
      </c>
    </row>
    <row r="2258">
      <c r="A2258">
        <f>Skills!A25</f>
        <v/>
      </c>
      <c r="B2258">
        <f>Skills!B25</f>
        <v/>
      </c>
      <c r="C2258">
        <f>Inputs!$B$3&gt;=72</f>
        <v/>
      </c>
      <c r="D2258">
        <f>IF(Skills!C25=1,60+Inputs!$B$25+Inputs!$B$29,IF(Skills!C25=2,90+Inputs!$B$26+Inputs!$B$29,IF(Skills!C25=3,120+Inputs!$B$27+Inputs!$B$29,MAX(0,(Inputs!$B$3-100)*3)+Inputs!$B$28+Inputs!$B$29)))</f>
        <v/>
      </c>
      <c r="E2258">
        <f>INDEX(FactorTable!$B$2:$Y$301, MATCH(ROUND(MIN(300,MAX(1,D2258)),0), FactorTable!$A$2:$A$301,0), Skills!M25+1)</f>
        <v/>
      </c>
      <c r="F2258">
        <f>IF(Skills!N25=TRUE,(Skills!L25/10)*(E2258/1000),Skills!L25/10)+Skills!O25</f>
        <v/>
      </c>
      <c r="G2258">
        <f>Skills!G25*IF(Skills!H25&gt;0,INT(IF(Inputs!$B$38="pvp",MIN(Skills!I25,15),Skills!I25)/Skills!H25+0.000000001),1)</f>
        <v/>
      </c>
      <c r="H2258">
        <f>1-(1-Skills!J25/100)^Skills!K25</f>
        <v/>
      </c>
      <c r="I2258" t="inlineStr">
        <is>
          <t>1</t>
        </is>
      </c>
      <c r="J2258" t="inlineStr"/>
      <c r="K2258" t="inlineStr"/>
      <c r="L2258" t="inlineStr"/>
      <c r="M2258" t="inlineStr"/>
      <c r="N2258" t="inlineStr"/>
      <c r="O2258">
        <f>(1-Summary!$B$11)*T2258+Summary!$B$11*V2258</f>
        <v/>
      </c>
      <c r="P2258">
        <f>IF(B2274=0,0,O2258/B2274)</f>
        <v/>
      </c>
      <c r="Q2258" t="n">
        <v>0</v>
      </c>
      <c r="R2258" t="n">
        <v>0</v>
      </c>
      <c r="S2258">
        <f>IFERROR(O2258/N2258,0)</f>
        <v/>
      </c>
      <c r="T2258" t="n">
        <v>0</v>
      </c>
      <c r="V2258" t="n">
        <v>0</v>
      </c>
    </row>
    <row r="2259">
      <c r="A2259">
        <f>Skills!A26</f>
        <v/>
      </c>
      <c r="B2259">
        <f>Skills!B26</f>
        <v/>
      </c>
      <c r="C2259">
        <f>Inputs!$B$3&gt;=75</f>
        <v/>
      </c>
      <c r="D2259">
        <f>IF(Skills!C26=1,60+Inputs!$B$25+Inputs!$B$29,IF(Skills!C26=2,90+Inputs!$B$26+Inputs!$B$29,IF(Skills!C26=3,120+Inputs!$B$27+Inputs!$B$29,MAX(0,(Inputs!$B$3-100)*3)+Inputs!$B$28+Inputs!$B$29)))</f>
        <v/>
      </c>
      <c r="E2259">
        <f>INDEX(FactorTable!$B$2:$Y$301, MATCH(ROUND(MIN(300,MAX(1,D2259)),0), FactorTable!$A$2:$A$301,0), Skills!M26+1)</f>
        <v/>
      </c>
      <c r="F2259">
        <f>IF(Skills!N26=TRUE,(Skills!L26/10)*(E2259/1000),Skills!L26/10)+Skills!O26</f>
        <v/>
      </c>
      <c r="G2259">
        <f>Skills!G26*IF(Skills!H26&gt;0,INT(IF(Inputs!$B$38="pvp",MIN(Skills!I26,15),Skills!I26)/Skills!H26+0.000000001),1)</f>
        <v/>
      </c>
      <c r="H2259">
        <f>1-(1-Skills!J26/100)^Skills!K26</f>
        <v/>
      </c>
      <c r="I2259" t="inlineStr">
        <is>
          <t>1</t>
        </is>
      </c>
      <c r="J2259" t="inlineStr"/>
      <c r="K2259" t="inlineStr"/>
      <c r="L2259" t="inlineStr"/>
      <c r="M2259" t="inlineStr"/>
      <c r="N2259" t="inlineStr"/>
      <c r="O2259">
        <f>(1-Summary!$B$11)*T2259+Summary!$B$11*V2259</f>
        <v/>
      </c>
      <c r="P2259">
        <f>IF(B2274=0,0,O2259/B2274)</f>
        <v/>
      </c>
      <c r="Q2259" t="n">
        <v>0</v>
      </c>
      <c r="R2259" t="n">
        <v>0</v>
      </c>
      <c r="S2259">
        <f>IFERROR(O2259/N2259,0)</f>
        <v/>
      </c>
      <c r="T2259" t="n">
        <v>0</v>
      </c>
      <c r="V2259" t="n">
        <v>0</v>
      </c>
    </row>
    <row r="2260">
      <c r="A2260">
        <f>Skills!A27</f>
        <v/>
      </c>
      <c r="B2260">
        <f>Skills!B27</f>
        <v/>
      </c>
      <c r="C2260">
        <f>Inputs!$B$3&gt;=125</f>
        <v/>
      </c>
      <c r="D2260">
        <f>IF(Skills!C27=1,60+Inputs!$B$25+Inputs!$B$29,IF(Skills!C27=2,90+Inputs!$B$26+Inputs!$B$29,IF(Skills!C27=3,120+Inputs!$B$27+Inputs!$B$29,MAX(0,(Inputs!$B$3-100)*3)+Inputs!$B$28+Inputs!$B$29)))</f>
        <v/>
      </c>
      <c r="E2260">
        <f>INDEX(FactorTable!$B$2:$Y$301, MATCH(ROUND(MIN(300,MAX(1,D2260)),0), FactorTable!$A$2:$A$301,0), Skills!M27+1)</f>
        <v/>
      </c>
      <c r="F2260">
        <f>IF(Skills!N27=TRUE,(Skills!L27/10)*(E2260/1000),Skills!L27/10)+Skills!O27</f>
        <v/>
      </c>
      <c r="G2260">
        <f>Skills!G27*IF(Skills!H27&gt;0,INT(IF(Inputs!$B$38="pvp",MIN(Skills!I27,15),Skills!I27)/Skills!H27+0.000000001),1)</f>
        <v/>
      </c>
      <c r="H2260">
        <f>1-(1-Skills!J27/100)^Skills!K27</f>
        <v/>
      </c>
      <c r="I2260" t="inlineStr">
        <is>
          <t>1</t>
        </is>
      </c>
      <c r="J2260" t="inlineStr"/>
      <c r="K2260" t="inlineStr"/>
      <c r="L2260" t="inlineStr"/>
      <c r="M2260" t="inlineStr"/>
      <c r="N2260" t="inlineStr"/>
      <c r="O2260">
        <f>(1-Summary!$B$11)*T2260+Summary!$B$11*V2260</f>
        <v/>
      </c>
      <c r="P2260">
        <f>IF(B2274=0,0,O2260/B2274)</f>
        <v/>
      </c>
      <c r="Q2260" t="n">
        <v>0</v>
      </c>
      <c r="R2260" t="n">
        <v>0</v>
      </c>
      <c r="S2260">
        <f>IFERROR(O2260/N2260,0)</f>
        <v/>
      </c>
      <c r="T2260" t="n">
        <v>0</v>
      </c>
      <c r="V2260" t="n">
        <v>0</v>
      </c>
    </row>
    <row r="2261">
      <c r="A2261">
        <f>Skills!A28</f>
        <v/>
      </c>
      <c r="B2261">
        <f>Skills!B28</f>
        <v/>
      </c>
      <c r="C2261">
        <f>TRUE</f>
        <v/>
      </c>
      <c r="D2261">
        <f>IF(Skills!C28=1,60+Inputs!$B$25+Inputs!$B$29,IF(Skills!C28=2,90+Inputs!$B$26+Inputs!$B$29,IF(Skills!C28=3,120+Inputs!$B$27+Inputs!$B$29,MAX(0,(Inputs!$B$3-100)*3)+Inputs!$B$28+Inputs!$B$29)))</f>
        <v/>
      </c>
      <c r="E2261">
        <f>INDEX(FactorTable!$B$2:$Y$301, MATCH(ROUND(MIN(300,MAX(1,D2261)),0), FactorTable!$A$2:$A$301,0), Skills!M28+1)</f>
        <v/>
      </c>
      <c r="F2261">
        <f>IF(Skills!N28=TRUE,(Skills!L28/10)*(E2261/1000),Skills!L28/10)+Skills!O28</f>
        <v/>
      </c>
      <c r="G2261">
        <f>Skills!G28*IF(Skills!H28&gt;0,INT(IF(Inputs!$B$38="pvp",MIN(Skills!I28,15),Skills!I28)/Skills!H28+0.000000001),1)</f>
        <v/>
      </c>
      <c r="H2261">
        <f>1-(1-Skills!J28/100)^Skills!K28</f>
        <v/>
      </c>
      <c r="I2261" t="inlineStr">
        <is>
          <t>1</t>
        </is>
      </c>
      <c r="J2261" t="inlineStr"/>
      <c r="K2261" t="inlineStr"/>
      <c r="L2261" t="inlineStr"/>
      <c r="M2261" t="inlineStr"/>
      <c r="N2261" t="inlineStr"/>
      <c r="O2261">
        <f>(1-Summary!$B$11)*T2261+Summary!$B$11*V2261</f>
        <v/>
      </c>
      <c r="P2261">
        <f>IF(B2274=0,0,O2261/B2274)</f>
        <v/>
      </c>
      <c r="Q2261">
        <f>IFERROR(1/(IF(Inputs!$B$38="pvp",15,MAX(0.1,Skills!D28-IF(TRUE=TRUE,Inputs!$B$32,0)))*(1-IF(AND(ArtifactsInput!$M$27,Inputs!$B$4="Chapter Hunt"),CHOOSE(ArtifactsInput!$N$27+1,20,24,28,32,36,40),0)/100)),0)</f>
        <v/>
      </c>
      <c r="R2261">
        <f>IF(AND(Inputs!$B$38&lt;&gt;"pvp",Inputs!$B$43&gt;0),IF(Inputs!$B$43&lt;=0,0,(INT(Inputs!$B$43/(IF(Inputs!$B$38="pvp",15,MAX(0.1,Skills!D28-IF(TRUE=TRUE,Inputs!$B$32,0)))*(1-IF(AND(ArtifactsInput!$M$27,Inputs!$B$4="Chapter Hunt"),CHOOSE(ArtifactsInput!$N$27+1,20,24,28,32,36,40),0)/100)))+1)),0)</f>
        <v/>
      </c>
      <c r="S2261">
        <f>IFERROR(O2261/N2261,0)</f>
        <v/>
      </c>
      <c r="T2261" t="n">
        <v>0</v>
      </c>
      <c r="V2261" t="n">
        <v>0</v>
      </c>
    </row>
    <row r="2263">
      <c r="A2263" t="inlineStr">
        <is>
          <t>Attack% Bucket Multiplier</t>
        </is>
      </c>
      <c r="B2263">
        <f>(1+(((C2250=TRUE)*F2250*5/7)+((C2257=TRUE)*(F2257-Calc!F24))+(IF(ArtifactsInput!$M$21,CHOOSE(ArtifactsInput!$N$21+1,25,30,35,40,45,50)*(IF(OR(Inputs!$B$4="Chapter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264">
      <c r="A2264" t="inlineStr">
        <is>
          <t>Global Crit Rate Bonus %</t>
        </is>
      </c>
      <c r="B2264" t="n">
        <v>0</v>
      </c>
    </row>
    <row r="2265">
      <c r="A2265" t="inlineStr">
        <is>
          <t>Attack Speed Buff Bonus % (Nimble Feet, duty-cycle averaged)</t>
        </is>
      </c>
      <c r="B2265">
        <f>((C2261=TRUE)*F2261*IF(AND(Inputs!$B$38&lt;&gt;"pvp",Inputs!$B$43&gt;0),(((R2261-1)*MIN((Skills!T28*(1+Inputs!$B$34/100)),(1/Q2261))+MIN((Skills!T28*(1+Inputs!$B$34/100)),MAX(0,Inputs!$B$43-((R2261-1)*(1/Q2261)))))/Inputs!$B$43),IF(Inputs!$B$38="pvp",MIN((Skills!T28*(1+Inputs!$B$34/100)),15)/15,MIN(1,(Skills!T28*(1+Inputs!$B$34/100))/(1/Q2261)))))</f>
        <v/>
      </c>
    </row>
    <row r="2266">
      <c r="A2266" t="inlineStr">
        <is>
          <t>Actions Per Second</t>
        </is>
      </c>
      <c r="B2266">
        <f>1+MIN(150,150*(1-(1-(Inputs!$B$11+((C2253=TRUE)*(F2253-Calc!F20))+((C2254=TRUE)*(F2254-Calc!F21)))/150)*(1-B2265/150)))/100</f>
        <v/>
      </c>
    </row>
    <row r="2267">
      <c r="A2267" t="inlineStr">
        <is>
          <t>Skill + Buff Cast Rate</t>
        </is>
      </c>
      <c r="B2267">
        <f>IF(AND(Inputs!$B$38&lt;&gt;"pvp",Inputs!$B$43&gt;0),SUMPRODUCT((Skills!E2:E28=TRUE)*(C2235:C2261=TRUE)*R2235:R2261*Skills!F2:F28)/Inputs!$B$43,SUMPRODUCT((Skills!E2:E28=TRUE)*(C2235:C2261=TRUE)*Q2235:Q2261*Skills!F2:F28))</f>
        <v/>
      </c>
    </row>
    <row r="2268">
      <c r="A2268" t="inlineStr">
        <is>
          <t>Eight-Legs Easton Casts Per Second</t>
        </is>
      </c>
      <c r="B2268">
        <f>MAX(0,B2266-B2267)</f>
        <v/>
      </c>
    </row>
    <row r="2269">
      <c r="A2269" t="inlineStr">
        <is>
          <t>Global Critical Damage Bonus % (unused)</t>
        </is>
      </c>
      <c r="B2269" t="n">
        <v>0</v>
      </c>
    </row>
    <row r="2270">
      <c r="A2270" t="inlineStr">
        <is>
          <t>Global Final Damage Bonus % (Jolly Roger + Ahoy Mateys - Final Damage proc)</t>
        </is>
      </c>
      <c r="B2270">
        <f>((C2251=TRUE)*F2251*IF(AND(Inputs!$B$38&lt;&gt;"pvp",Inputs!$B$43&gt;0),(((R2251-1)*MIN((Skills!T18*(1+Inputs!$B$34/100)),(1/Q2251))+MIN((Skills!T18*(1+Inputs!$B$34/100)),MAX(0,Inputs!$B$43-((R2251-1)*(1/Q2251)))))/Inputs!$B$43),IF(Inputs!$B$38="pvp",MIN((Skills!T18*(1+Inputs!$B$34/100)),15)/15,MIN(1,(Skills!T18*(1+Inputs!$B$34/100))/(1/Q2251)))))+IF(Inputs!$B$3&gt;=122,20*IF(Inputs!$B$38="pvp",MIN((20*(1+Inputs!$B$34/100)),15)/15,MIN(1,(20*(1+Inputs!$B$34/100))/(1/Q2237))),0)</f>
        <v/>
      </c>
    </row>
    <row r="2271">
      <c r="A2271" t="inlineStr">
        <is>
          <t>Buff-Casting Startup Delay (s, fixed-duration only)</t>
        </is>
      </c>
      <c r="B2271">
        <f>IF(AND(Inputs!$B$38&lt;&gt;"pvp",Inputs!$B$43&gt;0),SUMPRODUCT((Skills!T2:T28&gt;0)*(Skills!E2:E28=TRUE)*(C2235:C2261=TRUE))/B2266,0)</f>
        <v/>
      </c>
    </row>
    <row r="2272">
      <c r="A2272" t="inlineStr">
        <is>
          <t>Boss-Only Total DPS (this block's swept value)</t>
        </is>
      </c>
      <c r="B2272">
        <f>SUM(T2235:T2261)</f>
        <v/>
      </c>
    </row>
    <row r="2273">
      <c r="A2273" t="inlineStr">
        <is>
          <t>Normal-Only Total DPS (this block's swept value)</t>
        </is>
      </c>
      <c r="B2273">
        <f>SUM(V2235:V2261)</f>
        <v/>
      </c>
    </row>
    <row r="2274">
      <c r="A2274" s="6" t="inlineStr">
        <is>
          <t>TOTAL DPS</t>
        </is>
      </c>
      <c r="B2274" s="6">
        <f>SUM(O2235:O2261)</f>
        <v/>
      </c>
    </row>
    <row r="2275">
      <c r="A2275" t="inlineStr">
        <is>
          <t>Quickdraw cooldown divisor (this block's own APS / Q)</t>
        </is>
      </c>
      <c r="B2275">
        <f>IF(AND(C2260=TRUE,Inputs!$B$38&lt;&gt;"pvp"),1+0.25*MAX(0,(B2266-(((C2236=TRUE)*Q2236*1)+((C2237=TRUE)*Q2237*1)+((C2239=TRUE)*Q2239*1)+((C2240=TRUE)*Q2240*1)+((C2242=TRUE)*Q2242*1)+((C2245=TRUE)*Q2245*1)+((C2251=TRUE)*Q2251*1)+((C2261=TRUE)*Q2261*1))-((C2241=TRUE)/(IF(Inputs!$B$38="pvp",15,MAX(0.1,Skills!D8-IF(TRUE=TRUE,Inputs!$B$32,0)))*(1-IF(AND(ArtifactsInput!$M$27,Inputs!$B$4="Chapter Hunt"),CHOOSE(ArtifactsInput!$N$27+1,20,24,28,32,36,40),0)/100))+(C2244=TRUE)/(IF(Inputs!$B$38="pvp",15,MAX(0.1,Skills!D11-IF(TRUE=TRUE,Inputs!$B$32,0)))*(1-IF(AND(ArtifactsInput!$M$27,Inputs!$B$4="Chapter Hunt"),CHOOSE(ArtifactsInput!$N$27+1,20,24,28,32,36,40),0)/100))))/(1+0.25*((C2241=TRUE)/(IF(Inputs!$B$38="pvp",15,MAX(0.1,Skills!D8-IF(TRUE=TRUE,Inputs!$B$32,0)))*(1-IF(AND(ArtifactsInput!$M$27,Inputs!$B$4="Chapter Hunt"),CHOOSE(ArtifactsInput!$N$27+1,20,24,28,32,36,40),0)/100))+(C2244=TRUE)/(IF(Inputs!$B$38="pvp",15,MAX(0.1,Skills!D11-IF(TRUE=TRUE,Inputs!$B$32,0)))*(1-IF(AND(ArtifactsInput!$M$27,Inputs!$B$4="Chapter Hunt"),CHOOSE(ArtifactsInput!$N$27+1,20,24,28,32,36,40),0)/100))))),1)</f>
        <v/>
      </c>
    </row>
    <row r="2276">
      <c r="A2276" t="inlineStr">
        <is>
          <t>Nautilus Strike - Final Attack trigger rate (this block's own Q/R)</t>
        </is>
      </c>
      <c r="B2276">
        <f>IF(AND(Inputs!$B$38&lt;&gt;"pvp",Inputs!$B$43&gt;0),(((C2236=TRUE)*R2236)+((C2239=TRUE)*R2239)+((C2241=TRUE)*R2241)+((C2242=TRUE)*R2242)+((C2244=TRUE)*R2244))/Inputs!$B$43,((C2236=TRUE)*Q2236)+((C2239=TRUE)*Q2239)+((C2241=TRUE)*Q2241)+((C2242=TRUE)*Q2242)+((C2244=TRUE)*Q2244))+B2268</f>
        <v/>
      </c>
    </row>
    <row r="2279">
      <c r="A2279" s="6" t="inlineStr">
        <is>
          <t>Stat: Soul Pouch (Equip)</t>
        </is>
      </c>
    </row>
    <row r="2280">
      <c r="A2280" s="5" t="inlineStr">
        <is>
          <t>Key</t>
        </is>
      </c>
      <c r="B2280" s="5" t="inlineStr">
        <is>
          <t>Name</t>
        </is>
      </c>
      <c r="C2280" s="5" t="inlineStr">
        <is>
          <t>Unlocked</t>
        </is>
      </c>
      <c r="D2280" s="5" t="inlineStr">
        <is>
          <t>InputLevel</t>
        </is>
      </c>
      <c r="E2280" s="5" t="inlineStr">
        <is>
          <t>Factor</t>
        </is>
      </c>
      <c r="F2280" s="5" t="inlineStr">
        <is>
          <t>CoefficientPercent</t>
        </is>
      </c>
      <c r="G2280" s="5" t="inlineStr">
        <is>
          <t>EffectiveHits</t>
        </is>
      </c>
      <c r="H2280" s="5" t="inlineStr">
        <is>
          <t>ProcProbability</t>
        </is>
      </c>
      <c r="I2280" s="5" t="inlineStr">
        <is>
          <t>MapleHeroMultiplier</t>
        </is>
      </c>
      <c r="J2280" s="5" t="inlineStr">
        <is>
          <t>BaseDamage</t>
        </is>
      </c>
      <c r="K2280" s="5" t="inlineStr">
        <is>
          <t>BaseHitDamage</t>
        </is>
      </c>
      <c r="L2280" s="5" t="inlineStr">
        <is>
          <t>NonCritAvg</t>
        </is>
      </c>
      <c r="M2280" s="5" t="inlineStr">
        <is>
          <t>CritAvg</t>
        </is>
      </c>
      <c r="N2280" s="5" t="inlineStr">
        <is>
          <t>ExpectedDamage(perHit)</t>
        </is>
      </c>
      <c r="O2280" s="5" t="inlineStr">
        <is>
          <t>DPS</t>
        </is>
      </c>
      <c r="P2280" s="5" t="inlineStr">
        <is>
          <t>% of Total</t>
        </is>
      </c>
      <c r="Q2280" s="5" t="inlineStr">
        <is>
          <t>InvCooldown</t>
        </is>
      </c>
      <c r="R2280" s="5" t="inlineStr">
        <is>
          <t>CastsInFight</t>
        </is>
      </c>
      <c r="S2280" s="5" t="inlineStr">
        <is>
          <t>HitRate(perSec)</t>
        </is>
      </c>
      <c r="U2280" t="inlineStr">
        <is>
          <t>helpers</t>
        </is>
      </c>
    </row>
    <row r="2281">
      <c r="A2281">
        <f>Skills!A2</f>
        <v/>
      </c>
      <c r="B2281">
        <f>Skills!B2</f>
        <v/>
      </c>
      <c r="C2281">
        <f>Inputs!$B$3&gt;=100</f>
        <v/>
      </c>
      <c r="D2281" t="inlineStr"/>
      <c r="E2281" t="inlineStr"/>
      <c r="F2281">
        <f>U2283+Skills!O2</f>
        <v/>
      </c>
      <c r="G2281">
        <f>Skills!G2*IF(Skills!H2&gt;0,INT(IF(Inputs!$B$38="pvp",MIN(Skills!I2,15),Skills!I2)/Skills!H2+0.000000001),1)</f>
        <v/>
      </c>
      <c r="H2281">
        <f>1-(1-Skills!J2/100)^Skills!K2</f>
        <v/>
      </c>
      <c r="I2281" t="inlineStr">
        <is>
          <t>1</t>
        </is>
      </c>
      <c r="J2281">
        <f>((Inputs!$B$6*(1+Inputs!$B$7/100))+(((Inputs!$B$12*(1+Inputs!$B$13/100))-(Inputs!$B$12*(1+Inputs!$B$13/100)))+0.25*(Inputs!$B$14-Inputs!$B$14))*(1+Inputs!$B$7/100))*(F2281/100)</f>
        <v/>
      </c>
      <c r="K2281">
        <f>J2281*(1+((Inputs!$B$12*(1+Inputs!$B$13/100))*0.01+Inputs!$B$14*0.0025)/100)*(1+Inputs!$B$15/100)*(1+Inputs!$B$16/100)*(5000/(6000+Inputs!$B$42*(1-(100*(1-(1-(Inputs!$B$19+0)/100)*(1-CHOOSE(ArtifactsInput!$N$40+1,5,6,7,8,9,10)/100)^(ArtifactsInput!$M$40-ArtifactsInput!$M$40)))/100)))*(1+(Inputs!$B$24+((C2305=TRUE)*(F2305-Calc!F26))+B2316)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IF(ArtifactsInput!$M$29,FALSE,TRUE)-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IGHT_LEGS_EASTON",Inputs!$B$17+((C2302=TRUE)*(F2302-Calc!F23))+((C2306=TRUE)*(F2306-Calc!F27))+((IF(AND(Inputs!$B$38&lt;&gt;"pvp",Inputs!$B$43=0),1,IF(IF(Inputs!$B$38="pvp",15,Inputs!$B$43)-(B2317)&lt;=0,1,MAX(0,IF(Inputs!$B$38="pvp",15,Inputs!$B$43)-MAX(5,B2317))/(IF(Inputs!$B$38="pvp",15,Inputs!$B$43)-(B2317))))*(IF(AND(ArtifactsInput!$M$42,((Inputs!$B$9+((C2298=TRUE)*(F2298-Calc!F19))+B2310+(ArtifactsInput!$M$24-ArtifactsInput!$M$24)*CHOOSE(ArtifactsInput!$N$24+1,10,12,14,16,18,20)+IF(ArtifactsInput!$M$10,CHOOSE(ArtifactsInput!$N$10+1,15,18,21,24,27,30)*(IF(Inputs!$B$38="pvp",MIN(15,15)/15,IF(AND(Inputs!$B$38&lt;&gt;"pvp",Inputs!$B$43&gt;0),MIN(15,Inputs!$B$43)/(Inputs!$B$43),0))),0)))&gt;=100),MIN(100,((Inputs!$B$9+((C2298=TRUE)*(F2298-Calc!F19))+B2310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2317)&lt;=0,1,MAX(0,IF(Inputs!$B$38="pvp",15,Inputs!$B$43)-MAX(5,B2317))/(IF(Inputs!$B$38="pvp",15,Inputs!$B$43)-(B2317))))*IF(AND(ArtifactsInput!$M$42,((Inputs!$B$9+((C2298=TRUE)*(F2298-Calc!F19))+B2310+(ArtifactsInput!$M$24-ArtifactsInput!$M$24)*CHOOSE(ArtifactsInput!$N$24+1,10,12,14,16,18,20)+IF(ArtifactsInput!$M$10,CHOOSE(ArtifactsInput!$N$10+1,15,18,21,24,27,30)*(IF(Inputs!$B$38="pvp",MIN(15,15)/15,IF(AND(Inputs!$B$38&lt;&gt;"pvp",Inputs!$B$43&gt;0),MIN(15,Inputs!$B$43)/(Inputs!$B$43),0))),0)))&gt;=100),CHOOSE(ArtifactsInput!$N$42+1,40,48,56,64,72,80),0))))/100)*((1+(((C2296=TRUE)*F2296*5/7)+((C2303=TRUE)*(F2303-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2281)</f>
        <v/>
      </c>
      <c r="L2281">
        <f>K2281*(MIN(Inputs!$B$22+((C2301=TRUE)*(F2301-Calc!F22)),(Inputs!$B$23+0+(IF(ArtifactsInput!$M$15,CHOOSE(ArtifactsInput!$N$15+1,25,30,35,40,45,50)/100*(Inputs!$B$11-Inputs!$B$11),0))))/100+(Inputs!$B$23+0+(IF(ArtifactsInput!$M$15,CHOOSE(ArtifactsInput!$N$15+1,25,30,35,40,45,50)/100*(Inputs!$B$11-Inputs!$B$11),0)))/100)/2</f>
        <v/>
      </c>
      <c r="M2281">
        <f>L2281*(1+(Inputs!$B$10+((C2304=TRUE)*(F2304-Calc!F25))+B2315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81">
        <f>L2281*(1-MIN((Inputs!$B$9+((C2298=TRUE)*(F2298-Calc!F19))+B2310+(ArtifactsInput!$M$24-ArtifactsInput!$M$24)*CHOOSE(ArtifactsInput!$N$24+1,10,12,14,16,18,20)+(IF(AND(Inputs!$B$38&lt;&gt;"pvp",Inputs!$B$43=0),1,IF(IF(Inputs!$B$38="pvp",15,Inputs!$B$43)-(B2317)&lt;=0,1,MAX(0,IF(Inputs!$B$38="pvp",15,Inputs!$B$43)-MAX(5,B2317))/(IF(Inputs!$B$38="pvp",15,Inputs!$B$43)-(B2317))))*IF(AND(ArtifactsInput!$M$42,((Inputs!$B$9+((C2298=TRUE)*(F2298-Calc!F19))+B2310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2281*(MIN((Inputs!$B$9+((C2298=TRUE)*(F2298-Calc!F19))+B2310+(ArtifactsInput!$M$24-ArtifactsInput!$M$24)*CHOOSE(ArtifactsInput!$N$24+1,10,12,14,16,18,20)+(IF(AND(Inputs!$B$38&lt;&gt;"pvp",Inputs!$B$43=0),1,IF(IF(Inputs!$B$38="pvp",15,Inputs!$B$43)-(B2317)&lt;=0,1,MAX(0,IF(Inputs!$B$38="pvp",15,Inputs!$B$43)-MAX(5,B2317))/(IF(Inputs!$B$38="pvp",15,Inputs!$B$43)-(B2317))))*IF(AND(ArtifactsInput!$M$42,((Inputs!$B$9+((C2298=TRUE)*(F2298-Calc!F19))+B2310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81">
        <f>(1-Summary!$B$11)*T2281+Summary!$B$11*V2281</f>
        <v/>
      </c>
      <c r="P2281">
        <f>IF(B2320=0,0,O2281/B2320)</f>
        <v/>
      </c>
      <c r="Q2281" t="n">
        <v>0</v>
      </c>
      <c r="R2281" t="n">
        <v>0</v>
      </c>
      <c r="S2281">
        <f>IFERROR(O2281/N2281,0)</f>
        <v/>
      </c>
      <c r="T2281">
        <f>IF(C2281,(Skills!G2*N2281*B2314*(1+IF(C2306=TRUE,1/3,0)))*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Hunt"),CHOOSE(ArtifactsInput!$N$35+1,15,18,21,24,27,30)*(1-EXP(-(0.2*B2312)*5)),0)+IF(AND(ArtifactsInput!$M$22,Inputs!$B$4&lt;&gt;"Chapter Hunt"),CHOOSE(ArtifactsInput!$N$22+1,10,12,14,16,18,20)*((0*(((0.15*B2312*5))^0/1)+1*(((0.15*B2312*5))^1/1)+2*(((0.15*B2312*5))^2/2)+3*(((0.15*B2312*5))^3/6)+4*(((0.15*B2312*5))^4/24)+5*(((0.15*B2312*5))^5/120))/((((0.15*B2312*5))^0/1)+(((0.15*B2312*5))^1/1)+(((0.15*B2312*5))^2/2)+(((0.15*B2312*5))^3/6)+(((0.15*B2312*5))^4/24)+(((0.15*B2312*5))^5/120))),0))+IF(Inputs!$B$3&gt;=54,9*(C2282=TRUE)*MIN(1,8*(1+Inputs!$B$34/100)*Q2282)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2281*(1-MIN(100,(Inputs!$B$9+((C2298=TRUE)*(F2298-Calc!F19))+B2310+(ArtifactsInput!$M$24-ArtifactsInput!$M$24)*CHOOSE(ArtifactsInput!$N$24+1,10,12,14,16,18,20)+(IF(AND(Inputs!$B$38&lt;&gt;"pvp",Inputs!$B$43=0),1,IF(IF(Inputs!$B$38="pvp",15,Inputs!$B$43)-(B2317)&lt;=0,1,MAX(0,IF(Inputs!$B$38="pvp",15,Inputs!$B$43)-MAX(5,B2317))/(IF(Inputs!$B$38="pvp",15,Inputs!$B$43)-(B2317))))*IF(AND(ArtifactsInput!$M$42,((Inputs!$B$9+((C2298=TRUE)*(F2298-Calc!F19))+B2310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2281*(MIN(100,(Inputs!$B$9+((C2298=TRUE)*(F2298-Calc!F19))+B2310+(ArtifactsInput!$M$24-ArtifactsInput!$M$24)*CHOOSE(ArtifactsInput!$N$24+1,10,12,14,16,18,20)+(IF(AND(Inputs!$B$38&lt;&gt;"pvp",Inputs!$B$43=0),1,IF(IF(Inputs!$B$38="pvp",15,Inputs!$B$43)-(B2317)&lt;=0,1,MAX(0,IF(Inputs!$B$38="pvp",15,Inputs!$B$43)-MAX(5,B2317))/(IF(Inputs!$B$38="pvp",15,Inputs!$B$43)-(B2317))))*IF(AND(ArtifactsInput!$M$42,((Inputs!$B$9+((C2298=TRUE)*(F2298-Calc!F19))+B2310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2281*(1-MIN(100,(Inputs!$B$9+((C2298=TRUE)*(F2298-Calc!F19))+B2310+(ArtifactsInput!$M$24-ArtifactsInput!$M$24)*CHOOSE(ArtifactsInput!$N$24+1,10,12,14,16,18,20)+(IF(AND(Inputs!$B$38&lt;&gt;"pvp",Inputs!$B$43=0),1,IF(IF(Inputs!$B$38="pvp",15,Inputs!$B$43)-(B2317)&lt;=0,1,MAX(0,IF(Inputs!$B$38="pvp",15,Inputs!$B$43)-MAX(5,B2317))/(IF(Inputs!$B$38="pvp",15,Inputs!$B$43)-(B2317))))*IF(AND(ArtifactsInput!$M$42,((Inputs!$B$9+((C2298=TRUE)*(F2298-Calc!F19))+B2310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2281*(MIN(100,(Inputs!$B$9+((C2298=TRUE)*(F2298-Calc!F19))+B2310+(ArtifactsInput!$M$24-ArtifactsInput!$M$24)*CHOOSE(ArtifactsInput!$N$24+1,10,12,14,16,18,20)+(IF(AND(Inputs!$B$38&lt;&gt;"pvp",Inputs!$B$43=0),1,IF(IF(Inputs!$B$38="pvp",15,Inputs!$B$43)-(B2317)&lt;=0,1,MAX(0,IF(Inputs!$B$38="pvp",15,Inputs!$B$43)-MAX(5,B2317))/(IF(Inputs!$B$38="pvp",15,Inputs!$B$43)-(B2317))))*IF(AND(ArtifactsInput!$M$42,((Inputs!$B$9+((C2298=TRUE)*(F2298-Calc!F19))+B2310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281">
        <f>MAX(0,(Inputs!$B$3-100)*3)+Inputs!$B$28+Inputs!$B$29</f>
        <v/>
      </c>
      <c r="V2281">
        <f>IF(C2281,(Skills!G2*N2281*B2314*(1+IF(C2306=TRUE,1/3,0)))*IF(Inputs!$B$38="pvp",1,(1+(Inputs!$B$21+Skills!Q2+(IF(ArtifactsInput!$M$33,CHOOSE(ArtifactsInput!$N$33+1,30,36,42,48,54,60),0))+(IF(AND(ArtifactsInput!$M$35,Inputs!$B$4&lt;&gt;"Chapter Hunt"),CHOOSE(ArtifactsInput!$N$35+1,15,18,21,24,27,30)*(1-EXP(-(0.2*B2312)*5)),0)+IF(AND(ArtifactsInput!$M$22,Inputs!$B$4&lt;&gt;"Chapter Hunt"),CHOOSE(ArtifactsInput!$N$22+1,10,12,14,16,18,20)*((0*(((0.15*B2312*5))^0/1)+1*(((0.15*B2312*5))^1/1)+2*(((0.15*B2312*5))^2/2)+3*(((0.15*B2312*5))^3/6)+4*(((0.15*B2312*5))^4/24)+5*(((0.15*B2312*5))^5/120))/((((0.15*B2312*5))^0/1)+(((0.15*B2312*5))^1/1)+(((0.15*B2312*5))^2/2)+(((0.15*B2312*5))^3/6)+(((0.15*B2312*5))^4/24)+(((0.15*B2312*5))^5/120))),0))+IF(Inputs!$B$3&gt;=54,9*(C2282=TRUE)*MIN(1,8*(1+Inputs!$B$34/100)*Q2282),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82">
      <c r="A2282">
        <f>Skills!A3</f>
        <v/>
      </c>
      <c r="B2282">
        <f>Skills!B3</f>
        <v/>
      </c>
      <c r="C2282">
        <f>Inputs!$B$3&gt;=33</f>
        <v/>
      </c>
      <c r="D2282">
        <f>IF(Skills!C3=1,60+Inputs!$B$25+Inputs!$B$29,IF(Skills!C3=2,90+Inputs!$B$26+Inputs!$B$29,IF(Skills!C3=3,120+Inputs!$B$27+Inputs!$B$29,MAX(0,(Inputs!$B$3-100)*3)+Inputs!$B$28+Inputs!$B$29)))</f>
        <v/>
      </c>
      <c r="E2282">
        <f>INDEX(FactorTable!$B$2:$Y$301, MATCH(ROUND(MIN(300,MAX(1,D2282)),0), FactorTable!$A$2:$A$301,0), Skills!M3+1)</f>
        <v/>
      </c>
      <c r="F2282">
        <f>IF(Skills!N3=TRUE,(Skills!L3/10)*(E2282/1000),Skills!L3/10)+Skills!O3</f>
        <v/>
      </c>
      <c r="G2282">
        <f>Skills!G3*IF(Skills!H3&gt;0,INT(IF(Inputs!$B$38="pvp",MIN(Skills!I3,15),Skills!I3)/Skills!H3+0.000000001),1)</f>
        <v/>
      </c>
      <c r="H2282">
        <f>1-(1-Skills!J3/100)^Skills!K3</f>
        <v/>
      </c>
      <c r="I2282" t="inlineStr">
        <is>
          <t>1</t>
        </is>
      </c>
      <c r="J2282">
        <f>((Inputs!$B$6*(1+Inputs!$B$7/100))+(((Inputs!$B$12*(1+Inputs!$B$13/100))-(Inputs!$B$12*(1+Inputs!$B$13/100)))+0.25*(Inputs!$B$14-Inputs!$B$14))*(1+Inputs!$B$7/100))*(F2282/100)</f>
        <v/>
      </c>
      <c r="K2282">
        <f>J2282*(1+((Inputs!$B$12*(1+Inputs!$B$13/100))*0.01+Inputs!$B$14*0.0025)/100)*(1+Inputs!$B$15/100)*(1+Inputs!$B$16/100)*(5000/(6000+Inputs!$B$42*(1-(100*(1-(1-(Inputs!$B$19+0)/100)*(1-CHOOSE(ArtifactsInput!$N$40+1,5,6,7,8,9,10)/100)^(ArtifactsInput!$M$40-ArtifactsInput!$M$40)))/100)))*(1+(Inputs!$B$24+((C2305=TRUE)*(F2305-Calc!F26))+B2316)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IF(ArtifactsInput!$M$29,FALSE,TRUE)-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2294=TRUE,F2294,0)/100)*(1+(IF(Skills!A3="EIGHT_LEGS_EASTON",Inputs!$B$17+((C2302=TRUE)*(F2302-Calc!F23))+((C2306=TRUE)*(F2306-Calc!F27))+((IF(AND(Inputs!$B$38&lt;&gt;"pvp",Inputs!$B$43=0),1,IF(IF(Inputs!$B$38="pvp",15,Inputs!$B$43)-(B2317)&lt;=0,1,MAX(0,IF(Inputs!$B$38="pvp",15,Inputs!$B$43)-MAX(5,B2317))/(IF(Inputs!$B$38="pvp",15,Inputs!$B$43)-(B2317))))*(IF(AND(ArtifactsInput!$M$42,((Inputs!$B$9+((C2298=TRUE)*(F2298-Calc!F19))+B2310+(ArtifactsInput!$M$24-ArtifactsInput!$M$24)*CHOOSE(ArtifactsInput!$N$24+1,10,12,14,16,18,20)+IF(ArtifactsInput!$M$10,CHOOSE(ArtifactsInput!$N$10+1,15,18,21,24,27,30)*(IF(Inputs!$B$38="pvp",MIN(15,15)/15,IF(AND(Inputs!$B$38&lt;&gt;"pvp",Inputs!$B$43&gt;0),MIN(15,Inputs!$B$43)/(Inputs!$B$43),0))),0)))&gt;=100),MIN(100,((Inputs!$B$9+((C2298=TRUE)*(F2298-Calc!F19))+B2310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2317)&lt;=0,1,MAX(0,IF(Inputs!$B$38="pvp",15,Inputs!$B$43)-MAX(5,B2317))/(IF(Inputs!$B$38="pvp",15,Inputs!$B$43)-(B2317))))*IF(AND(ArtifactsInput!$M$42,((Inputs!$B$9+((C2298=TRUE)*(F2298-Calc!F19))+B2310+(ArtifactsInput!$M$24-ArtifactsInput!$M$24)*CHOOSE(ArtifactsInput!$N$24+1,10,12,14,16,18,20)+IF(ArtifactsInput!$M$10,CHOOSE(ArtifactsInput!$N$10+1,15,18,21,24,27,30)*(IF(Inputs!$B$38="pvp",MIN(15,15)/15,IF(AND(Inputs!$B$38&lt;&gt;"pvp",Inputs!$B$43&gt;0),MIN(15,Inputs!$B$43)/(Inputs!$B$43),0))),0)))&gt;=100),CHOOSE(ArtifactsInput!$N$42+1,40,48,56,64,72,80),0))))/100)*((1+(((C2296=TRUE)*F2296*5/7)+((C2303=TRUE)*(F2303-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2282)</f>
        <v/>
      </c>
      <c r="L2282">
        <f>K2282*(MIN(Inputs!$B$22+((C2301=TRUE)*(F2301-Calc!F22)),(Inputs!$B$23+0+(IF(ArtifactsInput!$M$15,CHOOSE(ArtifactsInput!$N$15+1,25,30,35,40,45,50)/100*(Inputs!$B$11-Inputs!$B$11),0))))/100+(Inputs!$B$23+0+(IF(ArtifactsInput!$M$15,CHOOSE(ArtifactsInput!$N$15+1,25,30,35,40,45,50)/100*(Inputs!$B$11-Inputs!$B$11),0)))/100)/2</f>
        <v/>
      </c>
      <c r="M2282">
        <f>L2282*(1+(Inputs!$B$10+((C2304=TRUE)*(F2304-Calc!F25))+B2315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82">
        <f>L2282*(1-MIN((Inputs!$B$9+((C2298=TRUE)*(F2298-Calc!F19))+B2310+(ArtifactsInput!$M$24-ArtifactsInput!$M$24)*CHOOSE(ArtifactsInput!$N$24+1,10,12,14,16,18,20)+(IF(AND(Inputs!$B$38&lt;&gt;"pvp",Inputs!$B$43=0),1,IF(IF(Inputs!$B$38="pvp",15,Inputs!$B$43)-(B2317)&lt;=0,1,MAX(0,IF(Inputs!$B$38="pvp",15,Inputs!$B$43)-MAX(5,B2317))/(IF(Inputs!$B$38="pvp",15,Inputs!$B$43)-(B2317))))*IF(AND(ArtifactsInput!$M$42,((Inputs!$B$9+((C2298=TRUE)*(F2298-Calc!F19))+B2310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2282*(MIN((Inputs!$B$9+((C2298=TRUE)*(F2298-Calc!F19))+B2310+(ArtifactsInput!$M$24-ArtifactsInput!$M$24)*CHOOSE(ArtifactsInput!$N$24+1,10,12,14,16,18,20)+(IF(AND(Inputs!$B$38&lt;&gt;"pvp",Inputs!$B$43=0),1,IF(IF(Inputs!$B$38="pvp",15,Inputs!$B$43)-(B2317)&lt;=0,1,MAX(0,IF(Inputs!$B$38="pvp",15,Inputs!$B$43)-MAX(5,B2317))/(IF(Inputs!$B$38="pvp",15,Inputs!$B$43)-(B2317))))*IF(AND(ArtifactsInput!$M$42,((Inputs!$B$9+((C2298=TRUE)*(F2298-Calc!F19))+B2310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82">
        <f>(1-Summary!$B$11)*T2282+Summary!$B$11*V2282</f>
        <v/>
      </c>
      <c r="P2282">
        <f>IF(B2320=0,0,O2282/B2320)</f>
        <v/>
      </c>
      <c r="Q2282">
        <f>IFERROR(1/(IF(Inputs!$B$38="pvp",15,MAX(0.1,Skills!D3-IF(TRUE=TRUE,Inputs!$B$32,0)))*(1-IF(AND(ArtifactsInput!$M$27,Inputs!$B$4="Chapter Hunt"),CHOOSE(ArtifactsInput!$N$27+1,20,24,28,32,36,40),0)/100)),0)</f>
        <v/>
      </c>
      <c r="R2282">
        <f>IF(AND(Inputs!$B$38&lt;&gt;"pvp",Inputs!$B$43&gt;0),IF(MAX(0,Inputs!$B$43-B2317)&lt;=0,0,(INT(MAX(0,Inputs!$B$43-B2317)/(IF(Inputs!$B$38="pvp",15,MAX(0.1,Skills!D3-IF(TRUE=TRUE,Inputs!$B$32,0)))*(1-IF(AND(ArtifactsInput!$M$27,Inputs!$B$4="Chapter Hunt"),CHOOSE(ArtifactsInput!$N$27+1,20,24,28,32,36,40),0)/100)))+1)),0)</f>
        <v/>
      </c>
      <c r="S2282">
        <f>IFERROR(O2282/N2282,0)</f>
        <v/>
      </c>
      <c r="T2282">
        <f>IF(C2282,(H2282*N2282*IF(AND(Inputs!$B$38&lt;&gt;"pvp",Inputs!$B$43&gt;0),((Skills!G3*((R2282-1)*IF(Skills!H3&gt;0,INT(Skills!I3/Skills!H3+0.000000001),1)+IF(Skills!H3&gt;0,INT(MIN(Skills!I3,MAX(0,MAX(0,Inputs!$B$43-B2317)-((R2282-1)*(IF(Inputs!$B$38="pvp",15,MAX(0.1,Skills!D3-IF(TRUE=TRUE,Inputs!$B$32,0)))*(1-IF(AND(ArtifactsInput!$M$27,Inputs!$B$4="Chapter Hunt"),CHOOSE(ArtifactsInput!$N$27+1,20,24,28,32,36,40),0)/100)))))/Skills!H3+0.000000001),1)))/Inputs!$B$43),G2282*Q2282))*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Hunt"),CHOOSE(ArtifactsInput!$N$35+1,15,18,21,24,27,30)*(1-EXP(-(0.2*B2312)*5)),0)+IF(AND(ArtifactsInput!$M$22,Inputs!$B$4&lt;&gt;"Chapter Hunt"),CHOOSE(ArtifactsInput!$N$22+1,10,12,14,16,18,20)*((0*(((0.15*B2312*5))^0/1)+1*(((0.15*B2312*5))^1/1)+2*(((0.15*B2312*5))^2/2)+3*(((0.15*B2312*5))^3/6)+4*(((0.15*B2312*5))^4/24)+5*(((0.15*B2312*5))^5/120))/((((0.15*B2312*5))^0/1)+(((0.15*B2312*5))^1/1)+(((0.15*B2312*5))^2/2)+(((0.15*B2312*5))^3/6)+(((0.15*B2312*5))^4/24)+(((0.15*B2312*5))^5/120))),0))+IF(Inputs!$B$3&gt;=54,9*(C2282=TRUE)*MIN(1,8*(1+Inputs!$B$34/100)*Q2282)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2282*(1-MIN(100,(Inputs!$B$9+((C2298=TRUE)*(F2298-Calc!F19))+B2310+(ArtifactsInput!$M$24-ArtifactsInput!$M$24)*CHOOSE(ArtifactsInput!$N$24+1,10,12,14,16,18,20)+(IF(AND(Inputs!$B$38&lt;&gt;"pvp",Inputs!$B$43=0),1,IF(IF(Inputs!$B$38="pvp",15,Inputs!$B$43)-(B2317)&lt;=0,1,MAX(0,IF(Inputs!$B$38="pvp",15,Inputs!$B$43)-MAX(5,B2317))/(IF(Inputs!$B$38="pvp",15,Inputs!$B$43)-(B2317))))*IF(AND(ArtifactsInput!$M$42,((Inputs!$B$9+((C2298=TRUE)*(F2298-Calc!F19))+B2310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2282*(MIN(100,(Inputs!$B$9+((C2298=TRUE)*(F2298-Calc!F19))+B2310+(ArtifactsInput!$M$24-ArtifactsInput!$M$24)*CHOOSE(ArtifactsInput!$N$24+1,10,12,14,16,18,20)+(IF(AND(Inputs!$B$38&lt;&gt;"pvp",Inputs!$B$43=0),1,IF(IF(Inputs!$B$38="pvp",15,Inputs!$B$43)-(B2317)&lt;=0,1,MAX(0,IF(Inputs!$B$38="pvp",15,Inputs!$B$43)-MAX(5,B2317))/(IF(Inputs!$B$38="pvp",15,Inputs!$B$43)-(B2317))))*IF(AND(ArtifactsInput!$M$42,((Inputs!$B$9+((C2298=TRUE)*(F2298-Calc!F19))+B2310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2282*(1-MIN(100,(Inputs!$B$9+((C2298=TRUE)*(F2298-Calc!F19))+B2310+(ArtifactsInput!$M$24-ArtifactsInput!$M$24)*CHOOSE(ArtifactsInput!$N$24+1,10,12,14,16,18,20)+(IF(AND(Inputs!$B$38&lt;&gt;"pvp",Inputs!$B$43=0),1,IF(IF(Inputs!$B$38="pvp",15,Inputs!$B$43)-(B2317)&lt;=0,1,MAX(0,IF(Inputs!$B$38="pvp",15,Inputs!$B$43)-MAX(5,B2317))/(IF(Inputs!$B$38="pvp",15,Inputs!$B$43)-(B2317))))*IF(AND(ArtifactsInput!$M$42,((Inputs!$B$9+((C2298=TRUE)*(F2298-Calc!F19))+B2310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2282*(MIN(100,(Inputs!$B$9+((C2298=TRUE)*(F2298-Calc!F19))+B2310+(ArtifactsInput!$M$24-ArtifactsInput!$M$24)*CHOOSE(ArtifactsInput!$N$24+1,10,12,14,16,18,20)+(IF(AND(Inputs!$B$38&lt;&gt;"pvp",Inputs!$B$43=0),1,IF(IF(Inputs!$B$38="pvp",15,Inputs!$B$43)-(B2317)&lt;=0,1,MAX(0,IF(Inputs!$B$38="pvp",15,Inputs!$B$43)-MAX(5,B2317))/(IF(Inputs!$B$38="pvp",15,Inputs!$B$43)-(B2317))))*IF(AND(ArtifactsInput!$M$42,((Inputs!$B$9+((C2298=TRUE)*(F2298-Calc!F19))+B2310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282">
        <f>INDEX(FactorTable!$B$2:$Y$301, MATCH(ROUND(MIN(300,MAX(1,U2281)),0), FactorTable!$A$2:$A$301,0), 22)</f>
        <v/>
      </c>
      <c r="V2282">
        <f>IF(C2282,(H2282*N2282*IF(AND(Inputs!$B$38&lt;&gt;"pvp",Inputs!$B$43&gt;0),((Skills!G3*((R2282-1)*IF(Skills!H3&gt;0,INT(Skills!I3/Skills!H3+0.000000001),1)+IF(Skills!H3&gt;0,INT(MIN(Skills!I3,MAX(0,MAX(0,Inputs!$B$43-B2317)-((R2282-1)*(IF(Inputs!$B$38="pvp",15,MAX(0.1,Skills!D3-IF(TRUE=TRUE,Inputs!$B$32,0)))*(1-IF(AND(ArtifactsInput!$M$27,Inputs!$B$4="Chapter Hunt"),CHOOSE(ArtifactsInput!$N$27+1,20,24,28,32,36,40),0)/100)))))/Skills!H3+0.000000001),1)))/Inputs!$B$43),G2282*Q2282))*IF(Inputs!$B$38="pvp",1,(1+(Inputs!$B$21+Skills!Q3+(IF(ArtifactsInput!$M$33,CHOOSE(ArtifactsInput!$N$33+1,30,36,42,48,54,60),0))+(IF(AND(ArtifactsInput!$M$35,Inputs!$B$4&lt;&gt;"Chapter Hunt"),CHOOSE(ArtifactsInput!$N$35+1,15,18,21,24,27,30)*(1-EXP(-(0.2*B2312)*5)),0)+IF(AND(ArtifactsInput!$M$22,Inputs!$B$4&lt;&gt;"Chapter Hunt"),CHOOSE(ArtifactsInput!$N$22+1,10,12,14,16,18,20)*((0*(((0.15*B2312*5))^0/1)+1*(((0.15*B2312*5))^1/1)+2*(((0.15*B2312*5))^2/2)+3*(((0.15*B2312*5))^3/6)+4*(((0.15*B2312*5))^4/24)+5*(((0.15*B2312*5))^5/120))/((((0.15*B2312*5))^0/1)+(((0.15*B2312*5))^1/1)+(((0.15*B2312*5))^2/2)+(((0.15*B2312*5))^3/6)+(((0.15*B2312*5))^4/24)+(((0.15*B2312*5))^5/120))),0))+IF(Inputs!$B$3&gt;=54,9*(C2282=TRUE)*MIN(1,8*(1+Inputs!$B$34/100)*Q2282),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83">
      <c r="A2283">
        <f>Skills!A4</f>
        <v/>
      </c>
      <c r="B2283">
        <f>Skills!B4</f>
        <v/>
      </c>
      <c r="C2283">
        <f>Inputs!$B$3&gt;=35</f>
        <v/>
      </c>
      <c r="D2283">
        <f>IF(Skills!C4=1,60+Inputs!$B$25+Inputs!$B$29,IF(Skills!C4=2,90+Inputs!$B$26+Inputs!$B$29,IF(Skills!C4=3,120+Inputs!$B$27+Inputs!$B$29,MAX(0,(Inputs!$B$3-100)*3)+Inputs!$B$28+Inputs!$B$29)))</f>
        <v/>
      </c>
      <c r="E2283">
        <f>INDEX(FactorTable!$B$2:$Y$301, MATCH(ROUND(MIN(300,MAX(1,D2283)),0), FactorTable!$A$2:$A$301,0), Skills!M4+1)</f>
        <v/>
      </c>
      <c r="F2283">
        <f>IF(Skills!N4=TRUE,(Skills!L4/10)*(E2283/1000),Skills!L4/10)+Skills!O4</f>
        <v/>
      </c>
      <c r="G2283">
        <f>Skills!G4*IF(Skills!H4&gt;0,INT(IF(Inputs!$B$38="pvp",MIN(IF(Inputs!$B$3&gt;=104,MIN(35,20*(1+Inputs!$B$34/100)),20),15),IF(Inputs!$B$3&gt;=104,MIN(35,20*(1+Inputs!$B$34/100)),20))/Skills!H4+0.000000001),1)</f>
        <v/>
      </c>
      <c r="H2283">
        <f>1-(1-Skills!J4/100)^Skills!K4</f>
        <v/>
      </c>
      <c r="I2283" t="inlineStr">
        <is>
          <t>1</t>
        </is>
      </c>
      <c r="J2283">
        <f>((Inputs!$B$6*(1+Inputs!$B$7/100))+(((Inputs!$B$12*(1+Inputs!$B$13/100))-(Inputs!$B$12*(1+Inputs!$B$13/100)))+0.25*(Inputs!$B$14-Inputs!$B$14))*(1+Inputs!$B$7/100))*(F2283/100)</f>
        <v/>
      </c>
      <c r="K2283">
        <f>J2283*(1+((Inputs!$B$12*(1+Inputs!$B$13/100))*0.01+Inputs!$B$14*0.0025)/100)*(1+Inputs!$B$15/100)*(1+Inputs!$B$16/100)*(5000/(6000+Inputs!$B$42*(1-(100*(1-(1-(Inputs!$B$19+0)/100)*(1-CHOOSE(ArtifactsInput!$N$40+1,5,6,7,8,9,10)/100)^(ArtifactsInput!$M$40-ArtifactsInput!$M$40)))/100)))*(1+(Inputs!$B$24+((C2305=TRUE)*(F2305-Calc!F26))+B2316)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IF(ArtifactsInput!$M$29,FALSE,TRUE)-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2295=TRUE,F2295,0)/100)*(1+(IF(Skills!A4="EIGHT_LEGS_EASTON",Inputs!$B$17+((C2302=TRUE)*(F2302-Calc!F23))+((C2306=TRUE)*(F2306-Calc!F27))+((IF(AND(Inputs!$B$38&lt;&gt;"pvp",Inputs!$B$43=0),1,IF(IF(Inputs!$B$38="pvp",15,Inputs!$B$43)-(B2317)&lt;=0,1,MAX(0,IF(Inputs!$B$38="pvp",15,Inputs!$B$43)-MAX(5,B2317))/(IF(Inputs!$B$38="pvp",15,Inputs!$B$43)-(B2317))))*(IF(AND(ArtifactsInput!$M$42,((Inputs!$B$9+((C2298=TRUE)*(F2298-Calc!F19))+B2310+(ArtifactsInput!$M$24-ArtifactsInput!$M$24)*CHOOSE(ArtifactsInput!$N$24+1,10,12,14,16,18,20)+IF(ArtifactsInput!$M$10,CHOOSE(ArtifactsInput!$N$10+1,15,18,21,24,27,30)*(IF(Inputs!$B$38="pvp",MIN(15,15)/15,IF(AND(Inputs!$B$38&lt;&gt;"pvp",Inputs!$B$43&gt;0),MIN(15,Inputs!$B$43)/(Inputs!$B$43),0))),0)))&gt;=100),MIN(100,((Inputs!$B$9+((C2298=TRUE)*(F2298-Calc!F19))+B2310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2317)&lt;=0,1,MAX(0,IF(Inputs!$B$38="pvp",15,Inputs!$B$43)-MAX(5,B2317))/(IF(Inputs!$B$38="pvp",15,Inputs!$B$43)-(B2317))))*IF(AND(ArtifactsInput!$M$42,((Inputs!$B$9+((C2298=TRUE)*(F2298-Calc!F19))+B2310+(ArtifactsInput!$M$24-ArtifactsInput!$M$24)*CHOOSE(ArtifactsInput!$N$24+1,10,12,14,16,18,20)+IF(ArtifactsInput!$M$10,CHOOSE(ArtifactsInput!$N$10+1,15,18,21,24,27,30)*(IF(Inputs!$B$38="pvp",MIN(15,15)/15,IF(AND(Inputs!$B$38&lt;&gt;"pvp",Inputs!$B$43&gt;0),MIN(15,Inputs!$B$43)/(Inputs!$B$43),0))),0)))&gt;=100),CHOOSE(ArtifactsInput!$N$42+1,40,48,56,64,72,80),0))))/100)*((1+(((C2296=TRUE)*F2296*5/7)+((C2303=TRUE)*(F2303-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2283)</f>
        <v/>
      </c>
      <c r="L2283">
        <f>K2283*(MIN(Inputs!$B$22+((C2301=TRUE)*(F2301-Calc!F22)),(Inputs!$B$23+0+(IF(ArtifactsInput!$M$15,CHOOSE(ArtifactsInput!$N$15+1,25,30,35,40,45,50)/100*(Inputs!$B$11-Inputs!$B$11),0))))/100+(Inputs!$B$23+0+(IF(ArtifactsInput!$M$15,CHOOSE(ArtifactsInput!$N$15+1,25,30,35,40,45,50)/100*(Inputs!$B$11-Inputs!$B$11),0)))/100)/2</f>
        <v/>
      </c>
      <c r="M2283">
        <f>L2283*(1+(Inputs!$B$10+((C2304=TRUE)*(F2304-Calc!F25))+B2315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83">
        <f>L2283*(1-MIN((Inputs!$B$9+((C2298=TRUE)*(F2298-Calc!F19))+B2310+(ArtifactsInput!$M$24-ArtifactsInput!$M$24)*CHOOSE(ArtifactsInput!$N$24+1,10,12,14,16,18,20)+(IF(AND(Inputs!$B$38&lt;&gt;"pvp",Inputs!$B$43=0),1,IF(IF(Inputs!$B$38="pvp",15,Inputs!$B$43)-(B2317)&lt;=0,1,MAX(0,IF(Inputs!$B$38="pvp",15,Inputs!$B$43)-MAX(5,B2317))/(IF(Inputs!$B$38="pvp",15,Inputs!$B$43)-(B2317))))*IF(AND(ArtifactsInput!$M$42,((Inputs!$B$9+((C2298=TRUE)*(F2298-Calc!F19))+B2310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2283*(MIN((Inputs!$B$9+((C2298=TRUE)*(F2298-Calc!F19))+B2310+(ArtifactsInput!$M$24-ArtifactsInput!$M$24)*CHOOSE(ArtifactsInput!$N$24+1,10,12,14,16,18,20)+(IF(AND(Inputs!$B$38&lt;&gt;"pvp",Inputs!$B$43=0),1,IF(IF(Inputs!$B$38="pvp",15,Inputs!$B$43)-(B2317)&lt;=0,1,MAX(0,IF(Inputs!$B$38="pvp",15,Inputs!$B$43)-MAX(5,B2317))/(IF(Inputs!$B$38="pvp",15,Inputs!$B$43)-(B2317))))*IF(AND(ArtifactsInput!$M$42,((Inputs!$B$9+((C2298=TRUE)*(F2298-Calc!F19))+B2310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83">
        <f>(1-Summary!$B$11)*T2283+Summary!$B$11*V2283</f>
        <v/>
      </c>
      <c r="P2283">
        <f>IF(B2320=0,0,O2283/B2320)</f>
        <v/>
      </c>
      <c r="Q2283">
        <f>IFERROR(1/(IF(Inputs!$B$38="pvp",15,MAX(0.1,Skills!D4-IF(TRUE=TRUE,Inputs!$B$32,0)))*(1-IF(AND(ArtifactsInput!$M$27,Inputs!$B$4="Chapter Hunt"),CHOOSE(ArtifactsInput!$N$27+1,20,24,28,32,36,40),0)/100)),0)</f>
        <v/>
      </c>
      <c r="R2283">
        <f>IF(AND(Inputs!$B$38&lt;&gt;"pvp",Inputs!$B$43&gt;0),IF(MAX(0,Inputs!$B$43-B2317)&lt;=0,0,(INT(MAX(0,Inputs!$B$43-B2317)/(IF(Inputs!$B$38="pvp",15,MAX(0.1,Skills!D4-IF(TRUE=TRUE,Inputs!$B$32,0)))*(1-IF(AND(ArtifactsInput!$M$27,Inputs!$B$4="Chapter Hunt"),CHOOSE(ArtifactsInput!$N$27+1,20,24,28,32,36,40),0)/100)))+1)),0)</f>
        <v/>
      </c>
      <c r="S2283">
        <f>IFERROR(O2283/N2283,0)</f>
        <v/>
      </c>
      <c r="T2283">
        <f>IF(C2283,(H2283*N2283*IF(AND(Inputs!$B$38&lt;&gt;"pvp",Inputs!$B$43&gt;0),((Skills!G4*((R2283-1)*IF(Skills!H4&gt;0,INT(IF(Inputs!$B$3&gt;=104,MIN(35,20*(1+Inputs!$B$34/100)),20)/Skills!H4+0.000000001),1)+IF(Skills!H4&gt;0,INT(MIN(IF(Inputs!$B$3&gt;=104,MIN(35,20*(1+Inputs!$B$34/100)),20),MAX(0,MAX(0,Inputs!$B$43-B2317)-((R2283-1)*(IF(Inputs!$B$38="pvp",15,MAX(0.1,Skills!D4-IF(TRUE=TRUE,Inputs!$B$32,0)))*(1-IF(AND(ArtifactsInput!$M$27,Inputs!$B$4="Chapter Hunt"),CHOOSE(ArtifactsInput!$N$27+1,20,24,28,32,36,40),0)/100)))))/Skills!H4+0.000000001),1)))/Inputs!$B$43),G2283*Q2283))*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Hunt"),CHOOSE(ArtifactsInput!$N$35+1,15,18,21,24,27,30)*(1-EXP(-(0.2*B2312)*5)),0)+IF(AND(ArtifactsInput!$M$22,Inputs!$B$4&lt;&gt;"Chapter Hunt"),CHOOSE(ArtifactsInput!$N$22+1,10,12,14,16,18,20)*((0*(((0.15*B2312*5))^0/1)+1*(((0.15*B2312*5))^1/1)+2*(((0.15*B2312*5))^2/2)+3*(((0.15*B2312*5))^3/6)+4*(((0.15*B2312*5))^4/24)+5*(((0.15*B2312*5))^5/120))/((((0.15*B2312*5))^0/1)+(((0.15*B2312*5))^1/1)+(((0.15*B2312*5))^2/2)+(((0.15*B2312*5))^3/6)+(((0.15*B2312*5))^4/24)+(((0.15*B2312*5))^5/120))),0))+IF(Inputs!$B$3&gt;=54,9*(C2282=TRUE)*MIN(1,8*(1+Inputs!$B$34/100)*Q2282)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2283*(1-MIN(100,(Inputs!$B$9+((C2298=TRUE)*(F2298-Calc!F19))+B2310+(ArtifactsInput!$M$24-ArtifactsInput!$M$24)*CHOOSE(ArtifactsInput!$N$24+1,10,12,14,16,18,20)+(IF(AND(Inputs!$B$38&lt;&gt;"pvp",Inputs!$B$43=0),1,IF(IF(Inputs!$B$38="pvp",15,Inputs!$B$43)-(B2317)&lt;=0,1,MAX(0,IF(Inputs!$B$38="pvp",15,Inputs!$B$43)-MAX(5,B2317))/(IF(Inputs!$B$38="pvp",15,Inputs!$B$43)-(B2317))))*IF(AND(ArtifactsInput!$M$42,((Inputs!$B$9+((C2298=TRUE)*(F2298-Calc!F19))+B2310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2283*(MIN(100,(Inputs!$B$9+((C2298=TRUE)*(F2298-Calc!F19))+B2310+(ArtifactsInput!$M$24-ArtifactsInput!$M$24)*CHOOSE(ArtifactsInput!$N$24+1,10,12,14,16,18,20)+(IF(AND(Inputs!$B$38&lt;&gt;"pvp",Inputs!$B$43=0),1,IF(IF(Inputs!$B$38="pvp",15,Inputs!$B$43)-(B2317)&lt;=0,1,MAX(0,IF(Inputs!$B$38="pvp",15,Inputs!$B$43)-MAX(5,B2317))/(IF(Inputs!$B$38="pvp",15,Inputs!$B$43)-(B2317))))*IF(AND(ArtifactsInput!$M$42,((Inputs!$B$9+((C2298=TRUE)*(F2298-Calc!F19))+B2310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2283*(1-MIN(100,(Inputs!$B$9+((C2298=TRUE)*(F2298-Calc!F19))+B2310+(ArtifactsInput!$M$24-ArtifactsInput!$M$24)*CHOOSE(ArtifactsInput!$N$24+1,10,12,14,16,18,20)+(IF(AND(Inputs!$B$38&lt;&gt;"pvp",Inputs!$B$43=0),1,IF(IF(Inputs!$B$38="pvp",15,Inputs!$B$43)-(B2317)&lt;=0,1,MAX(0,IF(Inputs!$B$38="pvp",15,Inputs!$B$43)-MAX(5,B2317))/(IF(Inputs!$B$38="pvp",15,Inputs!$B$43)-(B2317))))*IF(AND(ArtifactsInput!$M$42,((Inputs!$B$9+((C2298=TRUE)*(F2298-Calc!F19))+B2310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2283*(MIN(100,(Inputs!$B$9+((C2298=TRUE)*(F2298-Calc!F19))+B2310+(ArtifactsInput!$M$24-ArtifactsInput!$M$24)*CHOOSE(ArtifactsInput!$N$24+1,10,12,14,16,18,20)+(IF(AND(Inputs!$B$38&lt;&gt;"pvp",Inputs!$B$43=0),1,IF(IF(Inputs!$B$38="pvp",15,Inputs!$B$43)-(B2317)&lt;=0,1,MAX(0,IF(Inputs!$B$38="pvp",15,Inputs!$B$43)-MAX(5,B2317))/(IF(Inputs!$B$38="pvp",15,Inputs!$B$43)-(B2317))))*IF(AND(ArtifactsInput!$M$42,((Inputs!$B$9+((C2298=TRUE)*(F2298-Calc!F19))+B2310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283">
        <f>290*U2282/1000</f>
        <v/>
      </c>
      <c r="V2283">
        <f>IF(C2283,(H2283*N2283*IF(AND(Inputs!$B$38&lt;&gt;"pvp",Inputs!$B$43&gt;0),((Skills!G4*((R2283-1)*IF(Skills!H4&gt;0,INT(IF(Inputs!$B$3&gt;=104,MIN(35,20*(1+Inputs!$B$34/100)),20)/Skills!H4+0.000000001),1)+IF(Skills!H4&gt;0,INT(MIN(IF(Inputs!$B$3&gt;=104,MIN(35,20*(1+Inputs!$B$34/100)),20),MAX(0,MAX(0,Inputs!$B$43-B2317)-((R2283-1)*(IF(Inputs!$B$38="pvp",15,MAX(0.1,Skills!D4-IF(TRUE=TRUE,Inputs!$B$32,0)))*(1-IF(AND(ArtifactsInput!$M$27,Inputs!$B$4="Chapter Hunt"),CHOOSE(ArtifactsInput!$N$27+1,20,24,28,32,36,40),0)/100)))))/Skills!H4+0.000000001),1)))/Inputs!$B$43),G2283*Q2283))*IF(Inputs!$B$38="pvp",1,(1+(Inputs!$B$21+Skills!Q4+(IF(ArtifactsInput!$M$33,CHOOSE(ArtifactsInput!$N$33+1,30,36,42,48,54,60),0))+(IF(AND(ArtifactsInput!$M$35,Inputs!$B$4&lt;&gt;"Chapter Hunt"),CHOOSE(ArtifactsInput!$N$35+1,15,18,21,24,27,30)*(1-EXP(-(0.2*B2312)*5)),0)+IF(AND(ArtifactsInput!$M$22,Inputs!$B$4&lt;&gt;"Chapter Hunt"),CHOOSE(ArtifactsInput!$N$22+1,10,12,14,16,18,20)*((0*(((0.15*B2312*5))^0/1)+1*(((0.15*B2312*5))^1/1)+2*(((0.15*B2312*5))^2/2)+3*(((0.15*B2312*5))^3/6)+4*(((0.15*B2312*5))^4/24)+5*(((0.15*B2312*5))^5/120))/((((0.15*B2312*5))^0/1)+(((0.15*B2312*5))^1/1)+(((0.15*B2312*5))^2/2)+(((0.15*B2312*5))^3/6)+(((0.15*B2312*5))^4/24)+(((0.15*B2312*5))^5/120))),0))+IF(Inputs!$B$3&gt;=54,9*(C2282=TRUE)*MIN(1,8*(1+Inputs!$B$34/100)*Q2282),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84">
      <c r="A2284">
        <f>Skills!A5</f>
        <v/>
      </c>
      <c r="B2284">
        <f>Skills!B5</f>
        <v/>
      </c>
      <c r="C2284">
        <f>Inputs!$B$3&gt;=69</f>
        <v/>
      </c>
      <c r="D2284">
        <f>IF(Skills!C5=1,60+Inputs!$B$25+Inputs!$B$29,IF(Skills!C5=2,90+Inputs!$B$26+Inputs!$B$29,IF(Skills!C5=3,120+Inputs!$B$27+Inputs!$B$29,MAX(0,(Inputs!$B$3-100)*3)+Inputs!$B$28+Inputs!$B$29)))</f>
        <v/>
      </c>
      <c r="E2284">
        <f>INDEX(FactorTable!$B$2:$Y$301, MATCH(ROUND(MIN(300,MAX(1,D2284)),0), FactorTable!$A$2:$A$301,0), Skills!M5+1)</f>
        <v/>
      </c>
      <c r="F2284">
        <f>IF(Skills!N5=TRUE,(Skills!L5/10)*(E2284/1000),Skills!L5/10)+Skills!O5</f>
        <v/>
      </c>
      <c r="G2284">
        <f>Skills!G5*IF(Skills!H5&gt;0,INT(IF(Inputs!$B$38="pvp",MIN(IF(Inputs!$B$3&gt;=104,MIN(35,20*(1+Inputs!$B$34/100)),20),15),IF(Inputs!$B$3&gt;=104,MIN(35,20*(1+Inputs!$B$34/100)),20))/Skills!H5+0.000000001),1)</f>
        <v/>
      </c>
      <c r="H2284">
        <f>1-(1-Skills!J5/100)^Skills!K5</f>
        <v/>
      </c>
      <c r="I2284" t="inlineStr">
        <is>
          <t>1</t>
        </is>
      </c>
      <c r="J2284">
        <f>((Inputs!$B$6*(1+Inputs!$B$7/100))+(((Inputs!$B$12*(1+Inputs!$B$13/100))-(Inputs!$B$12*(1+Inputs!$B$13/100)))+0.25*(Inputs!$B$14-Inputs!$B$14))*(1+Inputs!$B$7/100))*(F2284/100)</f>
        <v/>
      </c>
      <c r="K2284">
        <f>J2284*(1+((Inputs!$B$12*(1+Inputs!$B$13/100))*0.01+Inputs!$B$14*0.0025)/100)*(1+Inputs!$B$15/100)*(1+Inputs!$B$16/100)*(5000/(6000+Inputs!$B$42*(1-(100*(1-(1-(Inputs!$B$19+0)/100)*(1-CHOOSE(ArtifactsInput!$N$40+1,5,6,7,8,9,10)/100)^(ArtifactsInput!$M$40-ArtifactsInput!$M$40)))/100)))*(1+(Inputs!$B$24+((C2305=TRUE)*(F2305-Calc!F26))+B2316)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IF(ArtifactsInput!$M$29,FALSE,TRUE)-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+0.4*IF(C2295=TRUE,F2295,0)/100)*(1+(IF(Skills!A5="EIGHT_LEGS_EASTON",Inputs!$B$17+((C2302=TRUE)*(F2302-Calc!F23))+((C2306=TRUE)*(F2306-Calc!F27))+((IF(AND(Inputs!$B$38&lt;&gt;"pvp",Inputs!$B$43=0),1,IF(IF(Inputs!$B$38="pvp",15,Inputs!$B$43)-(B2317)&lt;=0,1,MAX(0,IF(Inputs!$B$38="pvp",15,Inputs!$B$43)-MAX(5,B2317))/(IF(Inputs!$B$38="pvp",15,Inputs!$B$43)-(B2317))))*(IF(AND(ArtifactsInput!$M$42,((Inputs!$B$9+((C2298=TRUE)*(F2298-Calc!F19))+B2310+(ArtifactsInput!$M$24-ArtifactsInput!$M$24)*CHOOSE(ArtifactsInput!$N$24+1,10,12,14,16,18,20)+IF(ArtifactsInput!$M$10,CHOOSE(ArtifactsInput!$N$10+1,15,18,21,24,27,30)*(IF(Inputs!$B$38="pvp",MIN(15,15)/15,IF(AND(Inputs!$B$38&lt;&gt;"pvp",Inputs!$B$43&gt;0),MIN(15,Inputs!$B$43)/(Inputs!$B$43),0))),0)))&gt;=100),MIN(100,((Inputs!$B$9+((C2298=TRUE)*(F2298-Calc!F19))+B2310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2317)&lt;=0,1,MAX(0,IF(Inputs!$B$38="pvp",15,Inputs!$B$43)-MAX(5,B2317))/(IF(Inputs!$B$38="pvp",15,Inputs!$B$43)-(B2317))))*IF(AND(ArtifactsInput!$M$42,((Inputs!$B$9+((C2298=TRUE)*(F2298-Calc!F19))+B2310+(ArtifactsInput!$M$24-ArtifactsInput!$M$24)*CHOOSE(ArtifactsInput!$N$24+1,10,12,14,16,18,20)+IF(ArtifactsInput!$M$10,CHOOSE(ArtifactsInput!$N$10+1,15,18,21,24,27,30)*(IF(Inputs!$B$38="pvp",MIN(15,15)/15,IF(AND(Inputs!$B$38&lt;&gt;"pvp",Inputs!$B$43&gt;0),MIN(15,Inputs!$B$43)/(Inputs!$B$43),0))),0)))&gt;=100),CHOOSE(ArtifactsInput!$N$42+1,40,48,56,64,72,80),0))))/100)*((1+(((C2296=TRUE)*F2296*5/7)+((C2303=TRUE)*(F2303-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2284)</f>
        <v/>
      </c>
      <c r="L2284">
        <f>K2284*(MIN(Inputs!$B$22+((C2301=TRUE)*(F2301-Calc!F22)),(Inputs!$B$23+0+(IF(ArtifactsInput!$M$15,CHOOSE(ArtifactsInput!$N$15+1,25,30,35,40,45,50)/100*(Inputs!$B$11-Inputs!$B$11),0))))/100+(Inputs!$B$23+0+(IF(ArtifactsInput!$M$15,CHOOSE(ArtifactsInput!$N$15+1,25,30,35,40,45,50)/100*(Inputs!$B$11-Inputs!$B$11),0)))/100)/2</f>
        <v/>
      </c>
      <c r="M2284">
        <f>L2284*(1+(Inputs!$B$10+((C2304=TRUE)*(F2304-Calc!F25))+B2315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84">
        <f>L2284*(1-MIN((Inputs!$B$9+((C2298=TRUE)*(F2298-Calc!F19))+B2310+(ArtifactsInput!$M$24-ArtifactsInput!$M$24)*CHOOSE(ArtifactsInput!$N$24+1,10,12,14,16,18,20)+(IF(AND(Inputs!$B$38&lt;&gt;"pvp",Inputs!$B$43=0),1,IF(IF(Inputs!$B$38="pvp",15,Inputs!$B$43)-(B2317)&lt;=0,1,MAX(0,IF(Inputs!$B$38="pvp",15,Inputs!$B$43)-MAX(5,B2317))/(IF(Inputs!$B$38="pvp",15,Inputs!$B$43)-(B2317))))*IF(AND(ArtifactsInput!$M$42,((Inputs!$B$9+((C2298=TRUE)*(F2298-Calc!F19))+B2310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2284*(MIN((Inputs!$B$9+((C2298=TRUE)*(F2298-Calc!F19))+B2310+(ArtifactsInput!$M$24-ArtifactsInput!$M$24)*CHOOSE(ArtifactsInput!$N$24+1,10,12,14,16,18,20)+(IF(AND(Inputs!$B$38&lt;&gt;"pvp",Inputs!$B$43=0),1,IF(IF(Inputs!$B$38="pvp",15,Inputs!$B$43)-(B2317)&lt;=0,1,MAX(0,IF(Inputs!$B$38="pvp",15,Inputs!$B$43)-MAX(5,B2317))/(IF(Inputs!$B$38="pvp",15,Inputs!$B$43)-(B2317))))*IF(AND(ArtifactsInput!$M$42,((Inputs!$B$9+((C2298=TRUE)*(F2298-Calc!F19))+B2310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84">
        <f>(1-Summary!$B$11)*T2284+Summary!$B$11*V2284</f>
        <v/>
      </c>
      <c r="P2284">
        <f>IF(B2320=0,0,O2284/B2320)</f>
        <v/>
      </c>
      <c r="Q2284">
        <f>IFERROR(1/(IF(Inputs!$B$38="pvp",15,MAX(0.1,Skills!D5-IF(TRUE=TRUE,Inputs!$B$32,0)))*(1-IF(AND(ArtifactsInput!$M$27,Inputs!$B$4="Chapter Hunt"),CHOOSE(ArtifactsInput!$N$27+1,20,24,28,32,36,40),0)/100)),0)</f>
        <v/>
      </c>
      <c r="R2284">
        <f>IF(AND(Inputs!$B$38&lt;&gt;"pvp",Inputs!$B$43&gt;0),IF(MAX(0,Inputs!$B$43-B2317)&lt;=0,0,(INT(MAX(0,Inputs!$B$43-B2317)/(IF(Inputs!$B$38="pvp",15,MAX(0.1,Skills!D5-IF(TRUE=TRUE,Inputs!$B$32,0)))*(1-IF(AND(ArtifactsInput!$M$27,Inputs!$B$4="Chapter Hunt"),CHOOSE(ArtifactsInput!$N$27+1,20,24,28,32,36,40),0)/100)))+1)),0)</f>
        <v/>
      </c>
      <c r="S2284">
        <f>IFERROR(O2284/N2284,0)</f>
        <v/>
      </c>
      <c r="T2284">
        <f>IF(C2284,(H2284*N2284*IF(AND(Inputs!$B$38&lt;&gt;"pvp",Inputs!$B$43&gt;0),((Skills!G5*((R2284-1)*IF(Skills!H5&gt;0,INT(IF(Inputs!$B$3&gt;=104,MIN(35,20*(1+Inputs!$B$34/100)),20)/Skills!H5+0.000000001),1)+IF(Skills!H5&gt;0,INT(MIN(IF(Inputs!$B$3&gt;=104,MIN(35,20*(1+Inputs!$B$34/100)),20),MAX(0,MAX(0,Inputs!$B$43-B2317)-((R2284-1)*(IF(Inputs!$B$38="pvp",15,MAX(0.1,Skills!D5-IF(TRUE=TRUE,Inputs!$B$32,0)))*(1-IF(AND(ArtifactsInput!$M$27,Inputs!$B$4="Chapter Hunt"),CHOOSE(ArtifactsInput!$N$27+1,20,24,28,32,36,40),0)/100)))))/Skills!H5+0.000000001),1)))/Inputs!$B$43),G2284*Q2284))*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Hunt"),CHOOSE(ArtifactsInput!$N$35+1,15,18,21,24,27,30)*(1-EXP(-(0.2*B2312)*5)),0)+IF(AND(ArtifactsInput!$M$22,Inputs!$B$4&lt;&gt;"Chapter Hunt"),CHOOSE(ArtifactsInput!$N$22+1,10,12,14,16,18,20)*((0*(((0.15*B2312*5))^0/1)+1*(((0.15*B2312*5))^1/1)+2*(((0.15*B2312*5))^2/2)+3*(((0.15*B2312*5))^3/6)+4*(((0.15*B2312*5))^4/24)+5*(((0.15*B2312*5))^5/120))/((((0.15*B2312*5))^0/1)+(((0.15*B2312*5))^1/1)+(((0.15*B2312*5))^2/2)+(((0.15*B2312*5))^3/6)+(((0.15*B2312*5))^4/24)+(((0.15*B2312*5))^5/120))),0))+IF(Inputs!$B$3&gt;=54,9*(C2282=TRUE)*MIN(1,8*(1+Inputs!$B$34/100)*Q2282)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2284*(1-MIN(100,(Inputs!$B$9+((C2298=TRUE)*(F2298-Calc!F19))+B2310+(ArtifactsInput!$M$24-ArtifactsInput!$M$24)*CHOOSE(ArtifactsInput!$N$24+1,10,12,14,16,18,20)+(IF(AND(Inputs!$B$38&lt;&gt;"pvp",Inputs!$B$43=0),1,IF(IF(Inputs!$B$38="pvp",15,Inputs!$B$43)-(B2317)&lt;=0,1,MAX(0,IF(Inputs!$B$38="pvp",15,Inputs!$B$43)-MAX(5,B2317))/(IF(Inputs!$B$38="pvp",15,Inputs!$B$43)-(B2317))))*IF(AND(ArtifactsInput!$M$42,((Inputs!$B$9+((C2298=TRUE)*(F2298-Calc!F19))+B2310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2284*(MIN(100,(Inputs!$B$9+((C2298=TRUE)*(F2298-Calc!F19))+B2310+(ArtifactsInput!$M$24-ArtifactsInput!$M$24)*CHOOSE(ArtifactsInput!$N$24+1,10,12,14,16,18,20)+(IF(AND(Inputs!$B$38&lt;&gt;"pvp",Inputs!$B$43=0),1,IF(IF(Inputs!$B$38="pvp",15,Inputs!$B$43)-(B2317)&lt;=0,1,MAX(0,IF(Inputs!$B$38="pvp",15,Inputs!$B$43)-MAX(5,B2317))/(IF(Inputs!$B$38="pvp",15,Inputs!$B$43)-(B2317))))*IF(AND(ArtifactsInput!$M$42,((Inputs!$B$9+((C2298=TRUE)*(F2298-Calc!F19))+B2310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2284*(1-MIN(100,(Inputs!$B$9+((C2298=TRUE)*(F2298-Calc!F19))+B2310+(ArtifactsInput!$M$24-ArtifactsInput!$M$24)*CHOOSE(ArtifactsInput!$N$24+1,10,12,14,16,18,20)+(IF(AND(Inputs!$B$38&lt;&gt;"pvp",Inputs!$B$43=0),1,IF(IF(Inputs!$B$38="pvp",15,Inputs!$B$43)-(B2317)&lt;=0,1,MAX(0,IF(Inputs!$B$38="pvp",15,Inputs!$B$43)-MAX(5,B2317))/(IF(Inputs!$B$38="pvp",15,Inputs!$B$43)-(B2317))))*IF(AND(ArtifactsInput!$M$42,((Inputs!$B$9+((C2298=TRUE)*(F2298-Calc!F19))+B2310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2284*(MIN(100,(Inputs!$B$9+((C2298=TRUE)*(F2298-Calc!F19))+B2310+(ArtifactsInput!$M$24-ArtifactsInput!$M$24)*CHOOSE(ArtifactsInput!$N$24+1,10,12,14,16,18,20)+(IF(AND(Inputs!$B$38&lt;&gt;"pvp",Inputs!$B$43=0),1,IF(IF(Inputs!$B$38="pvp",15,Inputs!$B$43)-(B2317)&lt;=0,1,MAX(0,IF(Inputs!$B$38="pvp",15,Inputs!$B$43)-MAX(5,B2317))/(IF(Inputs!$B$38="pvp",15,Inputs!$B$43)-(B2317))))*IF(AND(ArtifactsInput!$M$42,((Inputs!$B$9+((C2298=TRUE)*(F2298-Calc!F19))+B2310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284">
        <f>IF(C2284,(H2284*N2284*IF(AND(Inputs!$B$38&lt;&gt;"pvp",Inputs!$B$43&gt;0),((Skills!G5*((R2284-1)*IF(Skills!H5&gt;0,INT(IF(Inputs!$B$3&gt;=104,MIN(35,20*(1+Inputs!$B$34/100)),20)/Skills!H5+0.000000001),1)+IF(Skills!H5&gt;0,INT(MIN(IF(Inputs!$B$3&gt;=104,MIN(35,20*(1+Inputs!$B$34/100)),20),MAX(0,MAX(0,Inputs!$B$43-B2317)-((R2284-1)*(IF(Inputs!$B$38="pvp",15,MAX(0.1,Skills!D5-IF(TRUE=TRUE,Inputs!$B$32,0)))*(1-IF(AND(ArtifactsInput!$M$27,Inputs!$B$4="Chapter Hunt"),CHOOSE(ArtifactsInput!$N$27+1,20,24,28,32,36,40),0)/100)))))/Skills!H5+0.000000001),1)))/Inputs!$B$43),G2284*Q2284))*IF(Inputs!$B$38="pvp",1,(1+(Inputs!$B$21+Skills!Q5+(IF(ArtifactsInput!$M$33,CHOOSE(ArtifactsInput!$N$33+1,30,36,42,48,54,60),0))+(IF(AND(ArtifactsInput!$M$35,Inputs!$B$4&lt;&gt;"Chapter Hunt"),CHOOSE(ArtifactsInput!$N$35+1,15,18,21,24,27,30)*(1-EXP(-(0.2*B2312)*5)),0)+IF(AND(ArtifactsInput!$M$22,Inputs!$B$4&lt;&gt;"Chapter Hunt"),CHOOSE(ArtifactsInput!$N$22+1,10,12,14,16,18,20)*((0*(((0.15*B2312*5))^0/1)+1*(((0.15*B2312*5))^1/1)+2*(((0.15*B2312*5))^2/2)+3*(((0.15*B2312*5))^3/6)+4*(((0.15*B2312*5))^4/24)+5*(((0.15*B2312*5))^5/120))/((((0.15*B2312*5))^0/1)+(((0.15*B2312*5))^1/1)+(((0.15*B2312*5))^2/2)+(((0.15*B2312*5))^3/6)+(((0.15*B2312*5))^4/24)+(((0.15*B2312*5))^5/120))),0))+IF(Inputs!$B$3&gt;=54,9*(C2282=TRUE)*MIN(1,8*(1+Inputs!$B$34/100)*Q2282),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85">
      <c r="A2285">
        <f>Skills!A6</f>
        <v/>
      </c>
      <c r="B2285">
        <f>Skills!B6</f>
        <v/>
      </c>
      <c r="C2285">
        <f>Inputs!$B$3&gt;=66</f>
        <v/>
      </c>
      <c r="D2285">
        <f>IF(Skills!C6=1,60+Inputs!$B$25+Inputs!$B$29,IF(Skills!C6=2,90+Inputs!$B$26+Inputs!$B$29,IF(Skills!C6=3,120+Inputs!$B$27+Inputs!$B$29,MAX(0,(Inputs!$B$3-100)*3)+Inputs!$B$28+Inputs!$B$29)))</f>
        <v/>
      </c>
      <c r="E2285">
        <f>INDEX(FactorTable!$B$2:$Y$301, MATCH(ROUND(MIN(300,MAX(1,D2285)),0), FactorTable!$A$2:$A$301,0), Skills!M6+1)</f>
        <v/>
      </c>
      <c r="F2285">
        <f>IF(Skills!N6=TRUE,(Skills!L6/10)*(E2285/1000),Skills!L6/10)+Skills!O6</f>
        <v/>
      </c>
      <c r="G2285">
        <f>Skills!G6*IF(Skills!H6&gt;0,INT(IF(Inputs!$B$38="pvp",MIN(Skills!I6,15),Skills!I6)/Skills!H6+0.000000001),1)</f>
        <v/>
      </c>
      <c r="H2285">
        <f>1-(1-Skills!J6/100)^Skills!K6</f>
        <v/>
      </c>
      <c r="I2285" t="inlineStr">
        <is>
          <t>1</t>
        </is>
      </c>
      <c r="J2285">
        <f>((Inputs!$B$6*(1+Inputs!$B$7/100))+(((Inputs!$B$12*(1+Inputs!$B$13/100))-(Inputs!$B$12*(1+Inputs!$B$13/100)))+0.25*(Inputs!$B$14-Inputs!$B$14))*(1+Inputs!$B$7/100))*(F2285/100)</f>
        <v/>
      </c>
      <c r="K2285">
        <f>J2285*(1+((Inputs!$B$12*(1+Inputs!$B$13/100))*0.01+Inputs!$B$14*0.0025)/100)*(1+Inputs!$B$15/100)*(1+Inputs!$B$16/100)*(5000/(6000+Inputs!$B$42*(1-(100*(1-(1-(Inputs!$B$19+0)/100)*(1-CHOOSE(ArtifactsInput!$N$40+1,5,6,7,8,9,10)/100)^(ArtifactsInput!$M$40-ArtifactsInput!$M$40)))/100)))*(1+(Inputs!$B$24+((C2305=TRUE)*(F2305-Calc!F26))+B2316)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IF(ArtifactsInput!$M$29,FALSE,TRUE)-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+2.0*IF(C2294=TRUE,F2294,0)/100)*(1+(IF(Skills!A6="EIGHT_LEGS_EASTON",Inputs!$B$17+((C2302=TRUE)*(F2302-Calc!F23))+((C2306=TRUE)*(F2306-Calc!F27))+((IF(AND(Inputs!$B$38&lt;&gt;"pvp",Inputs!$B$43=0),1,IF(IF(Inputs!$B$38="pvp",15,Inputs!$B$43)-(B2317)&lt;=0,1,MAX(0,IF(Inputs!$B$38="pvp",15,Inputs!$B$43)-MAX(5,B2317))/(IF(Inputs!$B$38="pvp",15,Inputs!$B$43)-(B2317))))*(IF(AND(ArtifactsInput!$M$42,((Inputs!$B$9+((C2298=TRUE)*(F2298-Calc!F19))+B2310+(ArtifactsInput!$M$24-ArtifactsInput!$M$24)*CHOOSE(ArtifactsInput!$N$24+1,10,12,14,16,18,20)+IF(ArtifactsInput!$M$10,CHOOSE(ArtifactsInput!$N$10+1,15,18,21,24,27,30)*(IF(Inputs!$B$38="pvp",MIN(15,15)/15,IF(AND(Inputs!$B$38&lt;&gt;"pvp",Inputs!$B$43&gt;0),MIN(15,Inputs!$B$43)/(Inputs!$B$43),0))),0)))&gt;=100),MIN(100,((Inputs!$B$9+((C2298=TRUE)*(F2298-Calc!F19))+B2310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2317)&lt;=0,1,MAX(0,IF(Inputs!$B$38="pvp",15,Inputs!$B$43)-MAX(5,B2317))/(IF(Inputs!$B$38="pvp",15,Inputs!$B$43)-(B2317))))*IF(AND(ArtifactsInput!$M$42,((Inputs!$B$9+((C2298=TRUE)*(F2298-Calc!F19))+B2310+(ArtifactsInput!$M$24-ArtifactsInput!$M$24)*CHOOSE(ArtifactsInput!$N$24+1,10,12,14,16,18,20)+IF(ArtifactsInput!$M$10,CHOOSE(ArtifactsInput!$N$10+1,15,18,21,24,27,30)*(IF(Inputs!$B$38="pvp",MIN(15,15)/15,IF(AND(Inputs!$B$38&lt;&gt;"pvp",Inputs!$B$43&gt;0),MIN(15,Inputs!$B$43)/(Inputs!$B$43),0))),0)))&gt;=100),CHOOSE(ArtifactsInput!$N$42+1,40,48,56,64,72,80),0))))/100)*((1+(((C2296=TRUE)*F2296*5/7)+((C2303=TRUE)*(F2303-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2285)</f>
        <v/>
      </c>
      <c r="L2285">
        <f>K2285*(MIN(Inputs!$B$22+((C2301=TRUE)*(F2301-Calc!F22)),(Inputs!$B$23+0+(IF(ArtifactsInput!$M$15,CHOOSE(ArtifactsInput!$N$15+1,25,30,35,40,45,50)/100*(Inputs!$B$11-Inputs!$B$11),0))))/100+(Inputs!$B$23+0+(IF(ArtifactsInput!$M$15,CHOOSE(ArtifactsInput!$N$15+1,25,30,35,40,45,50)/100*(Inputs!$B$11-Inputs!$B$11),0)))/100)/2</f>
        <v/>
      </c>
      <c r="M2285">
        <f>L2285*(1+(Inputs!$B$10+((C2304=TRUE)*(F2304-Calc!F25))+B2315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85">
        <f>L2285*(1-MIN((Inputs!$B$9+((C2298=TRUE)*(F2298-Calc!F19))+B2310+(ArtifactsInput!$M$24-ArtifactsInput!$M$24)*CHOOSE(ArtifactsInput!$N$24+1,10,12,14,16,18,20)+(IF(AND(Inputs!$B$38&lt;&gt;"pvp",Inputs!$B$43=0),1,IF(IF(Inputs!$B$38="pvp",15,Inputs!$B$43)-(B2317)&lt;=0,1,MAX(0,IF(Inputs!$B$38="pvp",15,Inputs!$B$43)-MAX(5,B2317))/(IF(Inputs!$B$38="pvp",15,Inputs!$B$43)-(B2317))))*IF(AND(ArtifactsInput!$M$42,((Inputs!$B$9+((C2298=TRUE)*(F2298-Calc!F19))+B2310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2285*(MIN((Inputs!$B$9+((C2298=TRUE)*(F2298-Calc!F19))+B2310+(ArtifactsInput!$M$24-ArtifactsInput!$M$24)*CHOOSE(ArtifactsInput!$N$24+1,10,12,14,16,18,20)+(IF(AND(Inputs!$B$38&lt;&gt;"pvp",Inputs!$B$43=0),1,IF(IF(Inputs!$B$38="pvp",15,Inputs!$B$43)-(B2317)&lt;=0,1,MAX(0,IF(Inputs!$B$38="pvp",15,Inputs!$B$43)-MAX(5,B2317))/(IF(Inputs!$B$38="pvp",15,Inputs!$B$43)-(B2317))))*IF(AND(ArtifactsInput!$M$42,((Inputs!$B$9+((C2298=TRUE)*(F2298-Calc!F19))+B2310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85">
        <f>(1-Summary!$B$11)*T2285+Summary!$B$11*V2285</f>
        <v/>
      </c>
      <c r="P2285">
        <f>IF(B2320=0,0,O2285/B2320)</f>
        <v/>
      </c>
      <c r="Q2285">
        <f>IFERROR(1/(IF(Inputs!$B$38="pvp",15,MAX(0.1,Skills!D6-IF(TRUE=TRUE,Inputs!$B$32,0)))*(1-IF(AND(ArtifactsInput!$M$27,Inputs!$B$4="Chapter Hunt"),CHOOSE(ArtifactsInput!$N$27+1,20,24,28,32,36,40),0)/100)),0)</f>
        <v/>
      </c>
      <c r="R2285">
        <f>IF(AND(Inputs!$B$38&lt;&gt;"pvp",Inputs!$B$43&gt;0),IF(MAX(0,Inputs!$B$43-B2317)&lt;=0,0,(INT(MAX(0,Inputs!$B$43-B2317)/(IF(Inputs!$B$38="pvp",15,MAX(0.1,Skills!D6-IF(TRUE=TRUE,Inputs!$B$32,0)))*(1-IF(AND(ArtifactsInput!$M$27,Inputs!$B$4="Chapter Hunt"),CHOOSE(ArtifactsInput!$N$27+1,20,24,28,32,36,40),0)/100)))+1)),0)</f>
        <v/>
      </c>
      <c r="S2285">
        <f>IFERROR(O2285/N2285,0)</f>
        <v/>
      </c>
      <c r="T2285">
        <f>IF(C2285,(H2285*N2285*IF(AND(Inputs!$B$38&lt;&gt;"pvp",Inputs!$B$43&gt;0),((Skills!G6*((R2285-1)*IF(Skills!H6&gt;0,INT(Skills!I6/Skills!H6+0.000000001),1)+IF(Skills!H6&gt;0,INT(MIN(Skills!I6,MAX(0,MAX(0,Inputs!$B$43-B2317)-((R2285-1)*(IF(Inputs!$B$38="pvp",15,MAX(0.1,Skills!D6-IF(TRUE=TRUE,Inputs!$B$32,0)))*(1-IF(AND(ArtifactsInput!$M$27,Inputs!$B$4="Chapter Hunt"),CHOOSE(ArtifactsInput!$N$27+1,20,24,28,32,36,40),0)/100)))))/Skills!H6+0.000000001),1)))/Inputs!$B$43),G2285*Q2285))*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Hunt"),CHOOSE(ArtifactsInput!$N$35+1,15,18,21,24,27,30)*(1-EXP(-(0.2*B2312)*5)),0)+IF(AND(ArtifactsInput!$M$22,Inputs!$B$4&lt;&gt;"Chapter Hunt"),CHOOSE(ArtifactsInput!$N$22+1,10,12,14,16,18,20)*((0*(((0.15*B2312*5))^0/1)+1*(((0.15*B2312*5))^1/1)+2*(((0.15*B2312*5))^2/2)+3*(((0.15*B2312*5))^3/6)+4*(((0.15*B2312*5))^4/24)+5*(((0.15*B2312*5))^5/120))/((((0.15*B2312*5))^0/1)+(((0.15*B2312*5))^1/1)+(((0.15*B2312*5))^2/2)+(((0.15*B2312*5))^3/6)+(((0.15*B2312*5))^4/24)+(((0.15*B2312*5))^5/120))),0))+IF(Inputs!$B$3&gt;=54,9*(C2282=TRUE)*MIN(1,8*(1+Inputs!$B$34/100)*Q2282)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2285*(1-MIN(100,(Inputs!$B$9+((C2298=TRUE)*(F2298-Calc!F19))+B2310+(ArtifactsInput!$M$24-ArtifactsInput!$M$24)*CHOOSE(ArtifactsInput!$N$24+1,10,12,14,16,18,20)+(IF(AND(Inputs!$B$38&lt;&gt;"pvp",Inputs!$B$43=0),1,IF(IF(Inputs!$B$38="pvp",15,Inputs!$B$43)-(B2317)&lt;=0,1,MAX(0,IF(Inputs!$B$38="pvp",15,Inputs!$B$43)-MAX(5,B2317))/(IF(Inputs!$B$38="pvp",15,Inputs!$B$43)-(B2317))))*IF(AND(ArtifactsInput!$M$42,((Inputs!$B$9+((C2298=TRUE)*(F2298-Calc!F19))+B2310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2285*(MIN(100,(Inputs!$B$9+((C2298=TRUE)*(F2298-Calc!F19))+B2310+(ArtifactsInput!$M$24-ArtifactsInput!$M$24)*CHOOSE(ArtifactsInput!$N$24+1,10,12,14,16,18,20)+(IF(AND(Inputs!$B$38&lt;&gt;"pvp",Inputs!$B$43=0),1,IF(IF(Inputs!$B$38="pvp",15,Inputs!$B$43)-(B2317)&lt;=0,1,MAX(0,IF(Inputs!$B$38="pvp",15,Inputs!$B$43)-MAX(5,B2317))/(IF(Inputs!$B$38="pvp",15,Inputs!$B$43)-(B2317))))*IF(AND(ArtifactsInput!$M$42,((Inputs!$B$9+((C2298=TRUE)*(F2298-Calc!F19))+B2310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2285*(1-MIN(100,(Inputs!$B$9+((C2298=TRUE)*(F2298-Calc!F19))+B2310+(ArtifactsInput!$M$24-ArtifactsInput!$M$24)*CHOOSE(ArtifactsInput!$N$24+1,10,12,14,16,18,20)+(IF(AND(Inputs!$B$38&lt;&gt;"pvp",Inputs!$B$43=0),1,IF(IF(Inputs!$B$38="pvp",15,Inputs!$B$43)-(B2317)&lt;=0,1,MAX(0,IF(Inputs!$B$38="pvp",15,Inputs!$B$43)-MAX(5,B2317))/(IF(Inputs!$B$38="pvp",15,Inputs!$B$43)-(B2317))))*IF(AND(ArtifactsInput!$M$42,((Inputs!$B$9+((C2298=TRUE)*(F2298-Calc!F19))+B2310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2285*(MIN(100,(Inputs!$B$9+((C2298=TRUE)*(F2298-Calc!F19))+B2310+(ArtifactsInput!$M$24-ArtifactsInput!$M$24)*CHOOSE(ArtifactsInput!$N$24+1,10,12,14,16,18,20)+(IF(AND(Inputs!$B$38&lt;&gt;"pvp",Inputs!$B$43=0),1,IF(IF(Inputs!$B$38="pvp",15,Inputs!$B$43)-(B2317)&lt;=0,1,MAX(0,IF(Inputs!$B$38="pvp",15,Inputs!$B$43)-MAX(5,B2317))/(IF(Inputs!$B$38="pvp",15,Inputs!$B$43)-(B2317))))*IF(AND(ArtifactsInput!$M$42,((Inputs!$B$9+((C2298=TRUE)*(F2298-Calc!F19))+B2310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285">
        <f>IF(C2285,(H2285*N2285*IF(AND(Inputs!$B$38&lt;&gt;"pvp",Inputs!$B$43&gt;0),((Skills!G6*((R2285-1)*IF(Skills!H6&gt;0,INT(Skills!I6/Skills!H6+0.000000001),1)+IF(Skills!H6&gt;0,INT(MIN(Skills!I6,MAX(0,MAX(0,Inputs!$B$43-B2317)-((R2285-1)*(IF(Inputs!$B$38="pvp",15,MAX(0.1,Skills!D6-IF(TRUE=TRUE,Inputs!$B$32,0)))*(1-IF(AND(ArtifactsInput!$M$27,Inputs!$B$4="Chapter Hunt"),CHOOSE(ArtifactsInput!$N$27+1,20,24,28,32,36,40),0)/100)))))/Skills!H6+0.000000001),1)))/Inputs!$B$43),G2285*Q2285))*IF(Inputs!$B$38="pvp",1,(1+(Inputs!$B$21+Skills!Q6+(IF(ArtifactsInput!$M$33,CHOOSE(ArtifactsInput!$N$33+1,30,36,42,48,54,60),0))+(IF(AND(ArtifactsInput!$M$35,Inputs!$B$4&lt;&gt;"Chapter Hunt"),CHOOSE(ArtifactsInput!$N$35+1,15,18,21,24,27,30)*(1-EXP(-(0.2*B2312)*5)),0)+IF(AND(ArtifactsInput!$M$22,Inputs!$B$4&lt;&gt;"Chapter Hunt"),CHOOSE(ArtifactsInput!$N$22+1,10,12,14,16,18,20)*((0*(((0.15*B2312*5))^0/1)+1*(((0.15*B2312*5))^1/1)+2*(((0.15*B2312*5))^2/2)+3*(((0.15*B2312*5))^3/6)+4*(((0.15*B2312*5))^4/24)+5*(((0.15*B2312*5))^5/120))/((((0.15*B2312*5))^0/1)+(((0.15*B2312*5))^1/1)+(((0.15*B2312*5))^2/2)+(((0.15*B2312*5))^3/6)+(((0.15*B2312*5))^4/24)+(((0.15*B2312*5))^5/120))),0))+IF(Inputs!$B$3&gt;=54,9*(C2282=TRUE)*MIN(1,8*(1+Inputs!$B$34/100)*Q2282),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86">
      <c r="A2286">
        <f>Skills!A7</f>
        <v/>
      </c>
      <c r="B2286">
        <f>Skills!B7</f>
        <v/>
      </c>
      <c r="C2286">
        <f>Inputs!$B$3&gt;=63</f>
        <v/>
      </c>
      <c r="D2286">
        <f>IF(Skills!C7=1,60+Inputs!$B$25+Inputs!$B$29,IF(Skills!C7=2,90+Inputs!$B$26+Inputs!$B$29,IF(Skills!C7=3,120+Inputs!$B$27+Inputs!$B$29,MAX(0,(Inputs!$B$3-100)*3)+Inputs!$B$28+Inputs!$B$29)))</f>
        <v/>
      </c>
      <c r="E2286">
        <f>INDEX(FactorTable!$B$2:$Y$301, MATCH(ROUND(MIN(300,MAX(1,D2286)),0), FactorTable!$A$2:$A$301,0), Skills!M7+1)</f>
        <v/>
      </c>
      <c r="F2286">
        <f>IF(Skills!N7=TRUE,(Skills!L7/10)*(E2286/1000),Skills!L7/10)+Skills!O7</f>
        <v/>
      </c>
      <c r="G2286">
        <f>Skills!G7*IF(Skills!H7&gt;0,INT(IF(Inputs!$B$38="pvp",MIN(Skills!I7,15),Skills!I7)/Skills!H7+0.000000001),1)</f>
        <v/>
      </c>
      <c r="H2286">
        <f>1-(1-Skills!J7/100)^Skills!K7</f>
        <v/>
      </c>
      <c r="I2286" t="inlineStr">
        <is>
          <t>1</t>
        </is>
      </c>
      <c r="J2286">
        <f>((Inputs!$B$6*(1+Inputs!$B$7/100))+(((Inputs!$B$12*(1+Inputs!$B$13/100))-(Inputs!$B$12*(1+Inputs!$B$13/100)))+0.25*(Inputs!$B$14-Inputs!$B$14))*(1+Inputs!$B$7/100))*(F2286/100)</f>
        <v/>
      </c>
      <c r="K2286">
        <f>J2286*(1+((Inputs!$B$12*(1+Inputs!$B$13/100))*0.01+Inputs!$B$14*0.0025)/100)*(1+Inputs!$B$15/100)*(1+Inputs!$B$16/100)*(5000/(6000+Inputs!$B$42*(1-(100*(1-(1-(Inputs!$B$19+0)/100)*(1-CHOOSE(ArtifactsInput!$N$40+1,5,6,7,8,9,10)/100)^(ArtifactsInput!$M$40-ArtifactsInput!$M$40)))/100)))*(1+(Inputs!$B$24+((C2305=TRUE)*(F2305-Calc!F26))+B2316)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IF(ArtifactsInput!$M$29,FALSE,TRUE)-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2294=TRUE,F2294,0)/100)*(1+(IF(Skills!A7="EIGHT_LEGS_EASTON",Inputs!$B$17+((C2302=TRUE)*(F2302-Calc!F23))+((C2306=TRUE)*(F2306-Calc!F27))+((IF(AND(Inputs!$B$38&lt;&gt;"pvp",Inputs!$B$43=0),1,IF(IF(Inputs!$B$38="pvp",15,Inputs!$B$43)-(B2317)&lt;=0,1,MAX(0,IF(Inputs!$B$38="pvp",15,Inputs!$B$43)-MAX(5,B2317))/(IF(Inputs!$B$38="pvp",15,Inputs!$B$43)-(B2317))))*(IF(AND(ArtifactsInput!$M$42,((Inputs!$B$9+((C2298=TRUE)*(F2298-Calc!F19))+B2310+(ArtifactsInput!$M$24-ArtifactsInput!$M$24)*CHOOSE(ArtifactsInput!$N$24+1,10,12,14,16,18,20)+IF(ArtifactsInput!$M$10,CHOOSE(ArtifactsInput!$N$10+1,15,18,21,24,27,30)*(IF(Inputs!$B$38="pvp",MIN(15,15)/15,IF(AND(Inputs!$B$38&lt;&gt;"pvp",Inputs!$B$43&gt;0),MIN(15,Inputs!$B$43)/(Inputs!$B$43),0))),0)))&gt;=100),MIN(100,((Inputs!$B$9+((C2298=TRUE)*(F2298-Calc!F19))+B2310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2317)&lt;=0,1,MAX(0,IF(Inputs!$B$38="pvp",15,Inputs!$B$43)-MAX(5,B2317))/(IF(Inputs!$B$38="pvp",15,Inputs!$B$43)-(B2317))))*IF(AND(ArtifactsInput!$M$42,((Inputs!$B$9+((C2298=TRUE)*(F2298-Calc!F19))+B2310+(ArtifactsInput!$M$24-ArtifactsInput!$M$24)*CHOOSE(ArtifactsInput!$N$24+1,10,12,14,16,18,20)+IF(ArtifactsInput!$M$10,CHOOSE(ArtifactsInput!$N$10+1,15,18,21,24,27,30)*(IF(Inputs!$B$38="pvp",MIN(15,15)/15,IF(AND(Inputs!$B$38&lt;&gt;"pvp",Inputs!$B$43&gt;0),MIN(15,Inputs!$B$43)/(Inputs!$B$43),0))),0)))&gt;=100),CHOOSE(ArtifactsInput!$N$42+1,40,48,56,64,72,80),0))))/100)*((1+(((C2296=TRUE)*F2296*5/7)+((C2303=TRUE)*(F2303-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2286)</f>
        <v/>
      </c>
      <c r="L2286">
        <f>K2286*(MIN(Inputs!$B$22+((C2301=TRUE)*(F2301-Calc!F22)),(Inputs!$B$23+0+(IF(ArtifactsInput!$M$15,CHOOSE(ArtifactsInput!$N$15+1,25,30,35,40,45,50)/100*(Inputs!$B$11-Inputs!$B$11),0))))/100+(Inputs!$B$23+0+(IF(ArtifactsInput!$M$15,CHOOSE(ArtifactsInput!$N$15+1,25,30,35,40,45,50)/100*(Inputs!$B$11-Inputs!$B$11),0)))/100)/2</f>
        <v/>
      </c>
      <c r="M2286">
        <f>L2286*(1+(Inputs!$B$10+((C2304=TRUE)*(F2304-Calc!F25))+B2315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86">
        <f>L2286*(1-MIN((Inputs!$B$9+((C2298=TRUE)*(F2298-Calc!F19))+B2310+(ArtifactsInput!$M$24-ArtifactsInput!$M$24)*CHOOSE(ArtifactsInput!$N$24+1,10,12,14,16,18,20)+(IF(AND(Inputs!$B$38&lt;&gt;"pvp",Inputs!$B$43=0),1,IF(IF(Inputs!$B$38="pvp",15,Inputs!$B$43)-(B2317)&lt;=0,1,MAX(0,IF(Inputs!$B$38="pvp",15,Inputs!$B$43)-MAX(5,B2317))/(IF(Inputs!$B$38="pvp",15,Inputs!$B$43)-(B2317))))*IF(AND(ArtifactsInput!$M$42,((Inputs!$B$9+((C2298=TRUE)*(F2298-Calc!F19))+B2310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2286*(MIN((Inputs!$B$9+((C2298=TRUE)*(F2298-Calc!F19))+B2310+(ArtifactsInput!$M$24-ArtifactsInput!$M$24)*CHOOSE(ArtifactsInput!$N$24+1,10,12,14,16,18,20)+(IF(AND(Inputs!$B$38&lt;&gt;"pvp",Inputs!$B$43=0),1,IF(IF(Inputs!$B$38="pvp",15,Inputs!$B$43)-(B2317)&lt;=0,1,MAX(0,IF(Inputs!$B$38="pvp",15,Inputs!$B$43)-MAX(5,B2317))/(IF(Inputs!$B$38="pvp",15,Inputs!$B$43)-(B2317))))*IF(AND(ArtifactsInput!$M$42,((Inputs!$B$9+((C2298=TRUE)*(F2298-Calc!F19))+B2310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86">
        <f>(1-Summary!$B$11)*T2286+Summary!$B$11*V2286</f>
        <v/>
      </c>
      <c r="P2286">
        <f>IF(B2320=0,0,O2286/B2320)</f>
        <v/>
      </c>
      <c r="Q2286">
        <f>IFERROR(1/(IF(Inputs!$B$38="pvp",15,MAX(0.1,Skills!D7-IF(TRUE=TRUE,Inputs!$B$32,0)))*(1-IF(AND(ArtifactsInput!$M$27,Inputs!$B$4="Chapter Hunt"),CHOOSE(ArtifactsInput!$N$27+1,20,24,28,32,36,40),0)/100)),0)</f>
        <v/>
      </c>
      <c r="R2286">
        <f>IF(AND(Inputs!$B$38&lt;&gt;"pvp",Inputs!$B$43&gt;0),IF(MAX(0,Inputs!$B$43-B2317)&lt;=0,0,(INT(MAX(0,Inputs!$B$43-B2317)/(IF(Inputs!$B$38="pvp",15,MAX(0.1,Skills!D7-IF(TRUE=TRUE,Inputs!$B$32,0)))*(1-IF(AND(ArtifactsInput!$M$27,Inputs!$B$4="Chapter Hunt"),CHOOSE(ArtifactsInput!$N$27+1,20,24,28,32,36,40),0)/100)))+1)),0)</f>
        <v/>
      </c>
      <c r="S2286">
        <f>IFERROR(O2286/N2286,0)</f>
        <v/>
      </c>
      <c r="T2286">
        <f>IF(C2286,(H2286*N2286*IF(AND(Inputs!$B$38&lt;&gt;"pvp",Inputs!$B$43&gt;0),((Skills!G7*((R2286-1)*IF(Skills!H7&gt;0,INT(Skills!I7/Skills!H7+0.000000001),1)+IF(Skills!H7&gt;0,INT(MIN(Skills!I7,MAX(0,MAX(0,Inputs!$B$43-B2317)-((R2286-1)*(IF(Inputs!$B$38="pvp",15,MAX(0.1,Skills!D7-IF(TRUE=TRUE,Inputs!$B$32,0)))*(1-IF(AND(ArtifactsInput!$M$27,Inputs!$B$4="Chapter Hunt"),CHOOSE(ArtifactsInput!$N$27+1,20,24,28,32,36,40),0)/100)))))/Skills!H7+0.000000001),1)))/Inputs!$B$43),G2286*Q2286))*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Hunt"),CHOOSE(ArtifactsInput!$N$35+1,15,18,21,24,27,30)*(1-EXP(-(0.2*B2312)*5)),0)+IF(AND(ArtifactsInput!$M$22,Inputs!$B$4&lt;&gt;"Chapter Hunt"),CHOOSE(ArtifactsInput!$N$22+1,10,12,14,16,18,20)*((0*(((0.15*B2312*5))^0/1)+1*(((0.15*B2312*5))^1/1)+2*(((0.15*B2312*5))^2/2)+3*(((0.15*B2312*5))^3/6)+4*(((0.15*B2312*5))^4/24)+5*(((0.15*B2312*5))^5/120))/((((0.15*B2312*5))^0/1)+(((0.15*B2312*5))^1/1)+(((0.15*B2312*5))^2/2)+(((0.15*B2312*5))^3/6)+(((0.15*B2312*5))^4/24)+(((0.15*B2312*5))^5/120))),0))+IF(Inputs!$B$3&gt;=54,9*(C2282=TRUE)*MIN(1,8*(1+Inputs!$B$34/100)*Q2282)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2286*(1-MIN(100,(Inputs!$B$9+((C2298=TRUE)*(F2298-Calc!F19))+B2310+(ArtifactsInput!$M$24-ArtifactsInput!$M$24)*CHOOSE(ArtifactsInput!$N$24+1,10,12,14,16,18,20)+(IF(AND(Inputs!$B$38&lt;&gt;"pvp",Inputs!$B$43=0),1,IF(IF(Inputs!$B$38="pvp",15,Inputs!$B$43)-(B2317)&lt;=0,1,MAX(0,IF(Inputs!$B$38="pvp",15,Inputs!$B$43)-MAX(5,B2317))/(IF(Inputs!$B$38="pvp",15,Inputs!$B$43)-(B2317))))*IF(AND(ArtifactsInput!$M$42,((Inputs!$B$9+((C2298=TRUE)*(F2298-Calc!F19))+B2310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2286*(MIN(100,(Inputs!$B$9+((C2298=TRUE)*(F2298-Calc!F19))+B2310+(ArtifactsInput!$M$24-ArtifactsInput!$M$24)*CHOOSE(ArtifactsInput!$N$24+1,10,12,14,16,18,20)+(IF(AND(Inputs!$B$38&lt;&gt;"pvp",Inputs!$B$43=0),1,IF(IF(Inputs!$B$38="pvp",15,Inputs!$B$43)-(B2317)&lt;=0,1,MAX(0,IF(Inputs!$B$38="pvp",15,Inputs!$B$43)-MAX(5,B2317))/(IF(Inputs!$B$38="pvp",15,Inputs!$B$43)-(B2317))))*IF(AND(ArtifactsInput!$M$42,((Inputs!$B$9+((C2298=TRUE)*(F2298-Calc!F19))+B2310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2286*(1-MIN(100,(Inputs!$B$9+((C2298=TRUE)*(F2298-Calc!F19))+B2310+(ArtifactsInput!$M$24-ArtifactsInput!$M$24)*CHOOSE(ArtifactsInput!$N$24+1,10,12,14,16,18,20)+(IF(AND(Inputs!$B$38&lt;&gt;"pvp",Inputs!$B$43=0),1,IF(IF(Inputs!$B$38="pvp",15,Inputs!$B$43)-(B2317)&lt;=0,1,MAX(0,IF(Inputs!$B$38="pvp",15,Inputs!$B$43)-MAX(5,B2317))/(IF(Inputs!$B$38="pvp",15,Inputs!$B$43)-(B2317))))*IF(AND(ArtifactsInput!$M$42,((Inputs!$B$9+((C2298=TRUE)*(F2298-Calc!F19))+B2310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2286*(MIN(100,(Inputs!$B$9+((C2298=TRUE)*(F2298-Calc!F19))+B2310+(ArtifactsInput!$M$24-ArtifactsInput!$M$24)*CHOOSE(ArtifactsInput!$N$24+1,10,12,14,16,18,20)+(IF(AND(Inputs!$B$38&lt;&gt;"pvp",Inputs!$B$43=0),1,IF(IF(Inputs!$B$38="pvp",15,Inputs!$B$43)-(B2317)&lt;=0,1,MAX(0,IF(Inputs!$B$38="pvp",15,Inputs!$B$43)-MAX(5,B2317))/(IF(Inputs!$B$38="pvp",15,Inputs!$B$43)-(B2317))))*IF(AND(ArtifactsInput!$M$42,((Inputs!$B$9+((C2298=TRUE)*(F2298-Calc!F19))+B2310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286">
        <f>IF(C2286,(H2286*N2286*IF(AND(Inputs!$B$38&lt;&gt;"pvp",Inputs!$B$43&gt;0),((Skills!G7*((R2286-1)*IF(Skills!H7&gt;0,INT(Skills!I7/Skills!H7+0.000000001),1)+IF(Skills!H7&gt;0,INT(MIN(Skills!I7,MAX(0,MAX(0,Inputs!$B$43-B2317)-((R2286-1)*(IF(Inputs!$B$38="pvp",15,MAX(0.1,Skills!D7-IF(TRUE=TRUE,Inputs!$B$32,0)))*(1-IF(AND(ArtifactsInput!$M$27,Inputs!$B$4="Chapter Hunt"),CHOOSE(ArtifactsInput!$N$27+1,20,24,28,32,36,40),0)/100)))))/Skills!H7+0.000000001),1)))/Inputs!$B$43),G2286*Q2286))*IF(Inputs!$B$38="pvp",1,(1+(Inputs!$B$21+Skills!Q7+(IF(ArtifactsInput!$M$33,CHOOSE(ArtifactsInput!$N$33+1,30,36,42,48,54,60),0))+(IF(AND(ArtifactsInput!$M$35,Inputs!$B$4&lt;&gt;"Chapter Hunt"),CHOOSE(ArtifactsInput!$N$35+1,15,18,21,24,27,30)*(1-EXP(-(0.2*B2312)*5)),0)+IF(AND(ArtifactsInput!$M$22,Inputs!$B$4&lt;&gt;"Chapter Hunt"),CHOOSE(ArtifactsInput!$N$22+1,10,12,14,16,18,20)*((0*(((0.15*B2312*5))^0/1)+1*(((0.15*B2312*5))^1/1)+2*(((0.15*B2312*5))^2/2)+3*(((0.15*B2312*5))^3/6)+4*(((0.15*B2312*5))^4/24)+5*(((0.15*B2312*5))^5/120))/((((0.15*B2312*5))^0/1)+(((0.15*B2312*5))^1/1)+(((0.15*B2312*5))^2/2)+(((0.15*B2312*5))^3/6)+(((0.15*B2312*5))^4/24)+(((0.15*B2312*5))^5/120))),0))+IF(Inputs!$B$3&gt;=54,9*(C2282=TRUE)*MIN(1,8*(1+Inputs!$B$34/100)*Q2282),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87">
      <c r="A2287">
        <f>Skills!A8</f>
        <v/>
      </c>
      <c r="B2287">
        <f>Skills!B8</f>
        <v/>
      </c>
      <c r="C2287">
        <f>Inputs!$B$3&gt;=103</f>
        <v/>
      </c>
      <c r="D2287">
        <f>IF(Skills!C8=1,60+Inputs!$B$25+Inputs!$B$29,IF(Skills!C8=2,90+Inputs!$B$26+Inputs!$B$29,IF(Skills!C8=3,120+Inputs!$B$27+Inputs!$B$29,MAX(0,(Inputs!$B$3-100)*3)+Inputs!$B$28+Inputs!$B$29)))</f>
        <v/>
      </c>
      <c r="E2287">
        <f>INDEX(FactorTable!$B$2:$Y$301, MATCH(ROUND(MIN(300,MAX(1,D2287)),0), FactorTable!$A$2:$A$301,0), Skills!M8+1)</f>
        <v/>
      </c>
      <c r="F2287">
        <f>IF(Skills!N8=TRUE,(Skills!L8/10)*(E2287/1000),Skills!L8/10)+Skills!O8</f>
        <v/>
      </c>
      <c r="G2287">
        <f>Skills!G8*IF(Skills!H8&gt;0,INT(IF(Inputs!$B$38="pvp",MIN(Skills!I8,15),Skills!I8)/Skills!H8+0.000000001),1)</f>
        <v/>
      </c>
      <c r="H2287">
        <f>1-(1-Skills!J8/100)^Skills!K8</f>
        <v/>
      </c>
      <c r="I2287" t="inlineStr">
        <is>
          <t>1</t>
        </is>
      </c>
      <c r="J2287">
        <f>((Inputs!$B$6*(1+Inputs!$B$7/100))+(((Inputs!$B$12*(1+Inputs!$B$13/100))-(Inputs!$B$12*(1+Inputs!$B$13/100)))+0.25*(Inputs!$B$14-Inputs!$B$14))*(1+Inputs!$B$7/100))*(F2287/100)</f>
        <v/>
      </c>
      <c r="K2287">
        <f>J2287*(1+((Inputs!$B$12*(1+Inputs!$B$13/100))*0.01+Inputs!$B$14*0.0025)/100)*(1+Inputs!$B$15/100)*(1+Inputs!$B$16/100)*(5000/(6000+Inputs!$B$42*(1-(100*(1-(1-(Inputs!$B$19+0)/100)*(1-CHOOSE(ArtifactsInput!$N$40+1,5,6,7,8,9,10)/100)^(ArtifactsInput!$M$40-ArtifactsInput!$M$40)))/100)))*(1+(Inputs!$B$24+((C2305=TRUE)*(F2305-Calc!F26))+B2316)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IF(ArtifactsInput!$M$29,FALSE,TRUE)-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IGHT_LEGS_EASTON",Inputs!$B$17+((C2302=TRUE)*(F2302-Calc!F23))+((C2306=TRUE)*(F2306-Calc!F27))+((IF(AND(Inputs!$B$38&lt;&gt;"pvp",Inputs!$B$43=0),1,IF(IF(Inputs!$B$38="pvp",15,Inputs!$B$43)-(B2317)&lt;=0,1,MAX(0,IF(Inputs!$B$38="pvp",15,Inputs!$B$43)-MAX(5,B2317))/(IF(Inputs!$B$38="pvp",15,Inputs!$B$43)-(B2317))))*(IF(AND(ArtifactsInput!$M$42,((Inputs!$B$9+((C2298=TRUE)*(F2298-Calc!F19))+B2310+(ArtifactsInput!$M$24-ArtifactsInput!$M$24)*CHOOSE(ArtifactsInput!$N$24+1,10,12,14,16,18,20)+IF(ArtifactsInput!$M$10,CHOOSE(ArtifactsInput!$N$10+1,15,18,21,24,27,30)*(IF(Inputs!$B$38="pvp",MIN(15,15)/15,IF(AND(Inputs!$B$38&lt;&gt;"pvp",Inputs!$B$43&gt;0),MIN(15,Inputs!$B$43)/(Inputs!$B$43),0))),0)))&gt;=100),MIN(100,((Inputs!$B$9+((C2298=TRUE)*(F2298-Calc!F19))+B2310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2317)&lt;=0,1,MAX(0,IF(Inputs!$B$38="pvp",15,Inputs!$B$43)-MAX(5,B2317))/(IF(Inputs!$B$38="pvp",15,Inputs!$B$43)-(B2317))))*IF(AND(ArtifactsInput!$M$42,((Inputs!$B$9+((C2298=TRUE)*(F2298-Calc!F19))+B2310+(ArtifactsInput!$M$24-ArtifactsInput!$M$24)*CHOOSE(ArtifactsInput!$N$24+1,10,12,14,16,18,20)+IF(ArtifactsInput!$M$10,CHOOSE(ArtifactsInput!$N$10+1,15,18,21,24,27,30)*(IF(Inputs!$B$38="pvp",MIN(15,15)/15,IF(AND(Inputs!$B$38&lt;&gt;"pvp",Inputs!$B$43&gt;0),MIN(15,Inputs!$B$43)/(Inputs!$B$43),0))),0)))&gt;=100),CHOOSE(ArtifactsInput!$N$42+1,40,48,56,64,72,80),0))))/100)*((1+(((C2296=TRUE)*F2296*5/7)+((C2303=TRUE)*(F2303-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2287)</f>
        <v/>
      </c>
      <c r="L2287">
        <f>K2287*(MIN(Inputs!$B$22+((C2301=TRUE)*(F2301-Calc!F22)),(Inputs!$B$23+0+(IF(ArtifactsInput!$M$15,CHOOSE(ArtifactsInput!$N$15+1,25,30,35,40,45,50)/100*(Inputs!$B$11-Inputs!$B$11),0))))/100+(Inputs!$B$23+0+(IF(ArtifactsInput!$M$15,CHOOSE(ArtifactsInput!$N$15+1,25,30,35,40,45,50)/100*(Inputs!$B$11-Inputs!$B$11),0)))/100)/2</f>
        <v/>
      </c>
      <c r="M2287">
        <f>L2287*(1+(Inputs!$B$10+((C2304=TRUE)*(F2304-Calc!F25))+B2315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87">
        <f>L2287*(1-MIN((Inputs!$B$9+((C2298=TRUE)*(F2298-Calc!F19))+B2310+(ArtifactsInput!$M$24-ArtifactsInput!$M$24)*CHOOSE(ArtifactsInput!$N$24+1,10,12,14,16,18,20)+(IF(AND(Inputs!$B$38&lt;&gt;"pvp",Inputs!$B$43=0),1,IF(IF(Inputs!$B$38="pvp",15,Inputs!$B$43)-(B2317)&lt;=0,1,MAX(0,IF(Inputs!$B$38="pvp",15,Inputs!$B$43)-MAX(5,B2317))/(IF(Inputs!$B$38="pvp",15,Inputs!$B$43)-(B2317))))*IF(AND(ArtifactsInput!$M$42,((Inputs!$B$9+((C2298=TRUE)*(F2298-Calc!F19))+B2310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2287*(MIN((Inputs!$B$9+((C2298=TRUE)*(F2298-Calc!F19))+B2310+(ArtifactsInput!$M$24-ArtifactsInput!$M$24)*CHOOSE(ArtifactsInput!$N$24+1,10,12,14,16,18,20)+(IF(AND(Inputs!$B$38&lt;&gt;"pvp",Inputs!$B$43=0),1,IF(IF(Inputs!$B$38="pvp",15,Inputs!$B$43)-(B2317)&lt;=0,1,MAX(0,IF(Inputs!$B$38="pvp",15,Inputs!$B$43)-MAX(5,B2317))/(IF(Inputs!$B$38="pvp",15,Inputs!$B$43)-(B2317))))*IF(AND(ArtifactsInput!$M$42,((Inputs!$B$9+((C2298=TRUE)*(F2298-Calc!F19))+B2310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87">
        <f>(1-Summary!$B$11)*T2287+Summary!$B$11*V2287</f>
        <v/>
      </c>
      <c r="P2287">
        <f>IF(B2320=0,0,O2287/B2320)</f>
        <v/>
      </c>
      <c r="Q2287">
        <f>IFERROR(1/((IF(Inputs!$B$38="pvp",15,MAX(0.1,Skills!D8-IF(TRUE=TRUE,Inputs!$B$32,0)))*(1-IF(AND(ArtifactsInput!$M$27,Inputs!$B$4="Chapter Hunt"),CHOOSE(ArtifactsInput!$N$27+1,20,24,28,32,36,40),0)/100))/B2321),0)</f>
        <v/>
      </c>
      <c r="R2287">
        <f>IF(AND(Inputs!$B$38&lt;&gt;"pvp",Inputs!$B$43&gt;0),IF(MAX(0,Inputs!$B$43-B2317)&lt;=0,0,(INT(MAX(0,Inputs!$B$43-B2317)/((IF(Inputs!$B$38="pvp",15,MAX(0.1,Skills!D8-IF(TRUE=TRUE,Inputs!$B$32,0)))*(1-IF(AND(ArtifactsInput!$M$27,Inputs!$B$4="Chapter Hunt"),CHOOSE(ArtifactsInput!$N$27+1,20,24,28,32,36,40),0)/100))/B2321))+1)),0)</f>
        <v/>
      </c>
      <c r="S2287">
        <f>IFERROR(O2287/N2287,0)</f>
        <v/>
      </c>
      <c r="T2287">
        <f>IF(C2287,(H2287*N2287*IF(AND(Inputs!$B$38&lt;&gt;"pvp",Inputs!$B$43&gt;0),((Skills!G8*((R2287-1)*IF(Skills!H8&gt;0,INT(Skills!I8/Skills!H8+0.000000001),1)+IF(Skills!H8&gt;0,INT(MIN(Skills!I8,MAX(0,MAX(0,Inputs!$B$43-B2317)-((R2287-1)*((IF(Inputs!$B$38="pvp",15,MAX(0.1,Skills!D8-IF(TRUE=TRUE,Inputs!$B$32,0)))*(1-IF(AND(ArtifactsInput!$M$27,Inputs!$B$4="Chapter Hunt"),CHOOSE(ArtifactsInput!$N$27+1,20,24,28,32,36,40),0)/100))/B2321))))/Skills!H8+0.000000001),1)))/Inputs!$B$43),G2287*Q2287))*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Hunt"),CHOOSE(ArtifactsInput!$N$35+1,15,18,21,24,27,30)*(1-EXP(-(0.2*B2312)*5)),0)+IF(AND(ArtifactsInput!$M$22,Inputs!$B$4&lt;&gt;"Chapter Hunt"),CHOOSE(ArtifactsInput!$N$22+1,10,12,14,16,18,20)*((0*(((0.15*B2312*5))^0/1)+1*(((0.15*B2312*5))^1/1)+2*(((0.15*B2312*5))^2/2)+3*(((0.15*B2312*5))^3/6)+4*(((0.15*B2312*5))^4/24)+5*(((0.15*B2312*5))^5/120))/((((0.15*B2312*5))^0/1)+(((0.15*B2312*5))^1/1)+(((0.15*B2312*5))^2/2)+(((0.15*B2312*5))^3/6)+(((0.15*B2312*5))^4/24)+(((0.15*B2312*5))^5/120))),0))+IF(Inputs!$B$3&gt;=54,9*(C2282=TRUE)*MIN(1,8*(1+Inputs!$B$34/100)*Q2282)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2287*(1-MIN(100,(Inputs!$B$9+((C2298=TRUE)*(F2298-Calc!F19))+B2310+(ArtifactsInput!$M$24-ArtifactsInput!$M$24)*CHOOSE(ArtifactsInput!$N$24+1,10,12,14,16,18,20)+(IF(AND(Inputs!$B$38&lt;&gt;"pvp",Inputs!$B$43=0),1,IF(IF(Inputs!$B$38="pvp",15,Inputs!$B$43)-(B2317)&lt;=0,1,MAX(0,IF(Inputs!$B$38="pvp",15,Inputs!$B$43)-MAX(5,B2317))/(IF(Inputs!$B$38="pvp",15,Inputs!$B$43)-(B2317))))*IF(AND(ArtifactsInput!$M$42,((Inputs!$B$9+((C2298=TRUE)*(F2298-Calc!F19))+B2310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2287*(MIN(100,(Inputs!$B$9+((C2298=TRUE)*(F2298-Calc!F19))+B2310+(ArtifactsInput!$M$24-ArtifactsInput!$M$24)*CHOOSE(ArtifactsInput!$N$24+1,10,12,14,16,18,20)+(IF(AND(Inputs!$B$38&lt;&gt;"pvp",Inputs!$B$43=0),1,IF(IF(Inputs!$B$38="pvp",15,Inputs!$B$43)-(B2317)&lt;=0,1,MAX(0,IF(Inputs!$B$38="pvp",15,Inputs!$B$43)-MAX(5,B2317))/(IF(Inputs!$B$38="pvp",15,Inputs!$B$43)-(B2317))))*IF(AND(ArtifactsInput!$M$42,((Inputs!$B$9+((C2298=TRUE)*(F2298-Calc!F19))+B2310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2287*(1-MIN(100,(Inputs!$B$9+((C2298=TRUE)*(F2298-Calc!F19))+B2310+(ArtifactsInput!$M$24-ArtifactsInput!$M$24)*CHOOSE(ArtifactsInput!$N$24+1,10,12,14,16,18,20)+(IF(AND(Inputs!$B$38&lt;&gt;"pvp",Inputs!$B$43=0),1,IF(IF(Inputs!$B$38="pvp",15,Inputs!$B$43)-(B2317)&lt;=0,1,MAX(0,IF(Inputs!$B$38="pvp",15,Inputs!$B$43)-MAX(5,B2317))/(IF(Inputs!$B$38="pvp",15,Inputs!$B$43)-(B2317))))*IF(AND(ArtifactsInput!$M$42,((Inputs!$B$9+((C2298=TRUE)*(F2298-Calc!F19))+B2310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2287*(MIN(100,(Inputs!$B$9+((C2298=TRUE)*(F2298-Calc!F19))+B2310+(ArtifactsInput!$M$24-ArtifactsInput!$M$24)*CHOOSE(ArtifactsInput!$N$24+1,10,12,14,16,18,20)+(IF(AND(Inputs!$B$38&lt;&gt;"pvp",Inputs!$B$43=0),1,IF(IF(Inputs!$B$38="pvp",15,Inputs!$B$43)-(B2317)&lt;=0,1,MAX(0,IF(Inputs!$B$38="pvp",15,Inputs!$B$43)-MAX(5,B2317))/(IF(Inputs!$B$38="pvp",15,Inputs!$B$43)-(B2317))))*IF(AND(ArtifactsInput!$M$42,((Inputs!$B$9+((C2298=TRUE)*(F2298-Calc!F19))+B2310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287">
        <f>IF(C2287,(H2287*N2287*IF(AND(Inputs!$B$38&lt;&gt;"pvp",Inputs!$B$43&gt;0),((Skills!G8*((R2287-1)*IF(Skills!H8&gt;0,INT(Skills!I8/Skills!H8+0.000000001),1)+IF(Skills!H8&gt;0,INT(MIN(Skills!I8,MAX(0,MAX(0,Inputs!$B$43-B2317)-((R2287-1)*((IF(Inputs!$B$38="pvp",15,MAX(0.1,Skills!D8-IF(TRUE=TRUE,Inputs!$B$32,0)))*(1-IF(AND(ArtifactsInput!$M$27,Inputs!$B$4="Chapter Hunt"),CHOOSE(ArtifactsInput!$N$27+1,20,24,28,32,36,40),0)/100))/B2321))))/Skills!H8+0.000000001),1)))/Inputs!$B$43),G2287*Q2287))*IF(Inputs!$B$38="pvp",1,(1+(Inputs!$B$21+Skills!Q8+(IF(ArtifactsInput!$M$33,CHOOSE(ArtifactsInput!$N$33+1,30,36,42,48,54,60),0))+(IF(AND(ArtifactsInput!$M$35,Inputs!$B$4&lt;&gt;"Chapter Hunt"),CHOOSE(ArtifactsInput!$N$35+1,15,18,21,24,27,30)*(1-EXP(-(0.2*B2312)*5)),0)+IF(AND(ArtifactsInput!$M$22,Inputs!$B$4&lt;&gt;"Chapter Hunt"),CHOOSE(ArtifactsInput!$N$22+1,10,12,14,16,18,20)*((0*(((0.15*B2312*5))^0/1)+1*(((0.15*B2312*5))^1/1)+2*(((0.15*B2312*5))^2/2)+3*(((0.15*B2312*5))^3/6)+4*(((0.15*B2312*5))^4/24)+5*(((0.15*B2312*5))^5/120))/((((0.15*B2312*5))^0/1)+(((0.15*B2312*5))^1/1)+(((0.15*B2312*5))^2/2)+(((0.15*B2312*5))^3/6)+(((0.15*B2312*5))^4/24)+(((0.15*B2312*5))^5/120))),0))+IF(Inputs!$B$3&gt;=54,9*(C2282=TRUE)*MIN(1,8*(1+Inputs!$B$34/100)*Q2282),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88">
      <c r="A2288">
        <f>Skills!A9</f>
        <v/>
      </c>
      <c r="B2288">
        <f>Skills!B9</f>
        <v/>
      </c>
      <c r="C2288">
        <f>Inputs!$B$3&gt;=105</f>
        <v/>
      </c>
      <c r="D2288">
        <f>IF(Skills!C9=1,60+Inputs!$B$25+Inputs!$B$29,IF(Skills!C9=2,90+Inputs!$B$26+Inputs!$B$29,IF(Skills!C9=3,120+Inputs!$B$27+Inputs!$B$29,MAX(0,(Inputs!$B$3-100)*3)+Inputs!$B$28+Inputs!$B$29)))</f>
        <v/>
      </c>
      <c r="E2288">
        <f>INDEX(FactorTable!$B$2:$Y$301, MATCH(ROUND(MIN(300,MAX(1,D2288)),0), FactorTable!$A$2:$A$301,0), Skills!M9+1)</f>
        <v/>
      </c>
      <c r="F2288">
        <f>IF(Skills!N9=TRUE,(Skills!L9/10)*(E2288/1000),Skills!L9/10)+Skills!O9</f>
        <v/>
      </c>
      <c r="G2288">
        <f>Skills!G9*IF(Skills!H9&gt;0,INT(IF(Inputs!$B$38="pvp",MIN(Skills!I9,15),Skills!I9)/Skills!H9+0.000000001),1)</f>
        <v/>
      </c>
      <c r="H2288">
        <f>1-(1-Skills!J9/100)^Skills!K9</f>
        <v/>
      </c>
      <c r="I2288" t="inlineStr">
        <is>
          <t>1</t>
        </is>
      </c>
      <c r="J2288">
        <f>((Inputs!$B$6*(1+Inputs!$B$7/100))+(((Inputs!$B$12*(1+Inputs!$B$13/100))-(Inputs!$B$12*(1+Inputs!$B$13/100)))+0.25*(Inputs!$B$14-Inputs!$B$14))*(1+Inputs!$B$7/100))*(F2288/100)</f>
        <v/>
      </c>
      <c r="K2288">
        <f>J2288*(1+((Inputs!$B$12*(1+Inputs!$B$13/100))*0.01+Inputs!$B$14*0.0025)/100)*(1+Inputs!$B$15/100)*(1+Inputs!$B$16/100)*(5000/(6000+Inputs!$B$42*(1-(100*(1-(1-(Inputs!$B$19+0)/100)*(1-CHOOSE(ArtifactsInput!$N$40+1,5,6,7,8,9,10)/100)^(ArtifactsInput!$M$40-ArtifactsInput!$M$40)))/100)))*(1+(Inputs!$B$24+((C2305=TRUE)*(F2305-Calc!F26))+B2316)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IF(ArtifactsInput!$M$29,FALSE,TRUE)-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IGHT_LEGS_EASTON",Inputs!$B$17+((C2302=TRUE)*(F2302-Calc!F23))+((C2306=TRUE)*(F2306-Calc!F27))+((IF(AND(Inputs!$B$38&lt;&gt;"pvp",Inputs!$B$43=0),1,IF(IF(Inputs!$B$38="pvp",15,Inputs!$B$43)-(B2317)&lt;=0,1,MAX(0,IF(Inputs!$B$38="pvp",15,Inputs!$B$43)-MAX(5,B2317))/(IF(Inputs!$B$38="pvp",15,Inputs!$B$43)-(B2317))))*(IF(AND(ArtifactsInput!$M$42,((Inputs!$B$9+((C2298=TRUE)*(F2298-Calc!F19))+B2310+(ArtifactsInput!$M$24-ArtifactsInput!$M$24)*CHOOSE(ArtifactsInput!$N$24+1,10,12,14,16,18,20)+IF(ArtifactsInput!$M$10,CHOOSE(ArtifactsInput!$N$10+1,15,18,21,24,27,30)*(IF(Inputs!$B$38="pvp",MIN(15,15)/15,IF(AND(Inputs!$B$38&lt;&gt;"pvp",Inputs!$B$43&gt;0),MIN(15,Inputs!$B$43)/(Inputs!$B$43),0))),0)))&gt;=100),MIN(100,((Inputs!$B$9+((C2298=TRUE)*(F2298-Calc!F19))+B2310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2317)&lt;=0,1,MAX(0,IF(Inputs!$B$38="pvp",15,Inputs!$B$43)-MAX(5,B2317))/(IF(Inputs!$B$38="pvp",15,Inputs!$B$43)-(B2317))))*IF(AND(ArtifactsInput!$M$42,((Inputs!$B$9+((C2298=TRUE)*(F2298-Calc!F19))+B2310+(ArtifactsInput!$M$24-ArtifactsInput!$M$24)*CHOOSE(ArtifactsInput!$N$24+1,10,12,14,16,18,20)+IF(ArtifactsInput!$M$10,CHOOSE(ArtifactsInput!$N$10+1,15,18,21,24,27,30)*(IF(Inputs!$B$38="pvp",MIN(15,15)/15,IF(AND(Inputs!$B$38&lt;&gt;"pvp",Inputs!$B$43&gt;0),MIN(15,Inputs!$B$43)/(Inputs!$B$43),0))),0)))&gt;=100),CHOOSE(ArtifactsInput!$N$42+1,40,48,56,64,72,80),0))))/100)*((1+(((C2296=TRUE)*F2296*5/7)+((C2303=TRUE)*(F2303-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2288)</f>
        <v/>
      </c>
      <c r="L2288">
        <f>K2288*(MIN(Inputs!$B$22+((C2301=TRUE)*(F2301-Calc!F22)),(Inputs!$B$23+0+(IF(ArtifactsInput!$M$15,CHOOSE(ArtifactsInput!$N$15+1,25,30,35,40,45,50)/100*(Inputs!$B$11-Inputs!$B$11),0))))/100+(Inputs!$B$23+0+(IF(ArtifactsInput!$M$15,CHOOSE(ArtifactsInput!$N$15+1,25,30,35,40,45,50)/100*(Inputs!$B$11-Inputs!$B$11),0)))/100)/2</f>
        <v/>
      </c>
      <c r="M2288">
        <f>L2288*(1+(Inputs!$B$10+((C2304=TRUE)*(F2304-Calc!F25))+B2315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88">
        <f>L2288*(1-MIN((Inputs!$B$9+((C2298=TRUE)*(F2298-Calc!F19))+B2310+(ArtifactsInput!$M$24-ArtifactsInput!$M$24)*CHOOSE(ArtifactsInput!$N$24+1,10,12,14,16,18,20)+(IF(AND(Inputs!$B$38&lt;&gt;"pvp",Inputs!$B$43=0),1,IF(IF(Inputs!$B$38="pvp",15,Inputs!$B$43)-(B2317)&lt;=0,1,MAX(0,IF(Inputs!$B$38="pvp",15,Inputs!$B$43)-MAX(5,B2317))/(IF(Inputs!$B$38="pvp",15,Inputs!$B$43)-(B2317))))*IF(AND(ArtifactsInput!$M$42,((Inputs!$B$9+((C2298=TRUE)*(F2298-Calc!F19))+B2310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2288*(MIN((Inputs!$B$9+((C2298=TRUE)*(F2298-Calc!F19))+B2310+(ArtifactsInput!$M$24-ArtifactsInput!$M$24)*CHOOSE(ArtifactsInput!$N$24+1,10,12,14,16,18,20)+(IF(AND(Inputs!$B$38&lt;&gt;"pvp",Inputs!$B$43=0),1,IF(IF(Inputs!$B$38="pvp",15,Inputs!$B$43)-(B2317)&lt;=0,1,MAX(0,IF(Inputs!$B$38="pvp",15,Inputs!$B$43)-MAX(5,B2317))/(IF(Inputs!$B$38="pvp",15,Inputs!$B$43)-(B2317))))*IF(AND(ArtifactsInput!$M$42,((Inputs!$B$9+((C2298=TRUE)*(F2298-Calc!F19))+B2310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88">
        <f>(1-Summary!$B$11)*T2288+Summary!$B$11*V2288</f>
        <v/>
      </c>
      <c r="P2288">
        <f>IF(B2320=0,0,O2288/B2320)</f>
        <v/>
      </c>
      <c r="Q2288">
        <f>IFERROR(1/(IF(Inputs!$B$38="pvp",15,MAX(0.1,Skills!D9-IF(TRUE=TRUE,Inputs!$B$32,0)))*(1-IF(AND(ArtifactsInput!$M$27,Inputs!$B$4="Chapter Hunt"),CHOOSE(ArtifactsInput!$N$27+1,20,24,28,32,36,40),0)/100)),0)</f>
        <v/>
      </c>
      <c r="R2288">
        <f>IF(AND(Inputs!$B$38&lt;&gt;"pvp",Inputs!$B$43&gt;0),IF(MAX(0,Inputs!$B$43-B2317)&lt;=0,0,(INT(MAX(0,Inputs!$B$43-B2317)/(IF(Inputs!$B$38="pvp",15,MAX(0.1,Skills!D9-IF(TRUE=TRUE,Inputs!$B$32,0)))*(1-IF(AND(ArtifactsInput!$M$27,Inputs!$B$4="Chapter Hunt"),CHOOSE(ArtifactsInput!$N$27+1,20,24,28,32,36,40),0)/100)))+1)),0)</f>
        <v/>
      </c>
      <c r="S2288">
        <f>IFERROR(O2288/N2288,0)</f>
        <v/>
      </c>
      <c r="T2288">
        <f>IF(C2288,(H2288*N2288*IF(AND(Inputs!$B$38&lt;&gt;"pvp",Inputs!$B$43&gt;0),((Skills!G9*((R2288-1)*IF(Skills!H9&gt;0,INT(Skills!I9/Skills!H9+0.000000001),1)+IF(Skills!H9&gt;0,INT(MIN(Skills!I9,MAX(0,MAX(0,Inputs!$B$43-B2317)-((R2288-1)*(IF(Inputs!$B$38="pvp",15,MAX(0.1,Skills!D9-IF(TRUE=TRUE,Inputs!$B$32,0)))*(1-IF(AND(ArtifactsInput!$M$27,Inputs!$B$4="Chapter Hunt"),CHOOSE(ArtifactsInput!$N$27+1,20,24,28,32,36,40),0)/100)))))/Skills!H9+0.000000001),1)))/Inputs!$B$43),G2288*Q2288))*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Hunt"),CHOOSE(ArtifactsInput!$N$35+1,15,18,21,24,27,30)*(1-EXP(-(0.2*B2312)*5)),0)+IF(AND(ArtifactsInput!$M$22,Inputs!$B$4&lt;&gt;"Chapter Hunt"),CHOOSE(ArtifactsInput!$N$22+1,10,12,14,16,18,20)*((0*(((0.15*B2312*5))^0/1)+1*(((0.15*B2312*5))^1/1)+2*(((0.15*B2312*5))^2/2)+3*(((0.15*B2312*5))^3/6)+4*(((0.15*B2312*5))^4/24)+5*(((0.15*B2312*5))^5/120))/((((0.15*B2312*5))^0/1)+(((0.15*B2312*5))^1/1)+(((0.15*B2312*5))^2/2)+(((0.15*B2312*5))^3/6)+(((0.15*B2312*5))^4/24)+(((0.15*B2312*5))^5/120))),0))+IF(Inputs!$B$3&gt;=54,9*(C2282=TRUE)*MIN(1,8*(1+Inputs!$B$34/100)*Q2282)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2288*(1-MIN(100,(Inputs!$B$9+((C2298=TRUE)*(F2298-Calc!F19))+B2310+(ArtifactsInput!$M$24-ArtifactsInput!$M$24)*CHOOSE(ArtifactsInput!$N$24+1,10,12,14,16,18,20)+(IF(AND(Inputs!$B$38&lt;&gt;"pvp",Inputs!$B$43=0),1,IF(IF(Inputs!$B$38="pvp",15,Inputs!$B$43)-(B2317)&lt;=0,1,MAX(0,IF(Inputs!$B$38="pvp",15,Inputs!$B$43)-MAX(5,B2317))/(IF(Inputs!$B$38="pvp",15,Inputs!$B$43)-(B2317))))*IF(AND(ArtifactsInput!$M$42,((Inputs!$B$9+((C2298=TRUE)*(F2298-Calc!F19))+B2310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2288*(MIN(100,(Inputs!$B$9+((C2298=TRUE)*(F2298-Calc!F19))+B2310+(ArtifactsInput!$M$24-ArtifactsInput!$M$24)*CHOOSE(ArtifactsInput!$N$24+1,10,12,14,16,18,20)+(IF(AND(Inputs!$B$38&lt;&gt;"pvp",Inputs!$B$43=0),1,IF(IF(Inputs!$B$38="pvp",15,Inputs!$B$43)-(B2317)&lt;=0,1,MAX(0,IF(Inputs!$B$38="pvp",15,Inputs!$B$43)-MAX(5,B2317))/(IF(Inputs!$B$38="pvp",15,Inputs!$B$43)-(B2317))))*IF(AND(ArtifactsInput!$M$42,((Inputs!$B$9+((C2298=TRUE)*(F2298-Calc!F19))+B2310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2288*(1-MIN(100,(Inputs!$B$9+((C2298=TRUE)*(F2298-Calc!F19))+B2310+(ArtifactsInput!$M$24-ArtifactsInput!$M$24)*CHOOSE(ArtifactsInput!$N$24+1,10,12,14,16,18,20)+(IF(AND(Inputs!$B$38&lt;&gt;"pvp",Inputs!$B$43=0),1,IF(IF(Inputs!$B$38="pvp",15,Inputs!$B$43)-(B2317)&lt;=0,1,MAX(0,IF(Inputs!$B$38="pvp",15,Inputs!$B$43)-MAX(5,B2317))/(IF(Inputs!$B$38="pvp",15,Inputs!$B$43)-(B2317))))*IF(AND(ArtifactsInput!$M$42,((Inputs!$B$9+((C2298=TRUE)*(F2298-Calc!F19))+B2310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2288*(MIN(100,(Inputs!$B$9+((C2298=TRUE)*(F2298-Calc!F19))+B2310+(ArtifactsInput!$M$24-ArtifactsInput!$M$24)*CHOOSE(ArtifactsInput!$N$24+1,10,12,14,16,18,20)+(IF(AND(Inputs!$B$38&lt;&gt;"pvp",Inputs!$B$43=0),1,IF(IF(Inputs!$B$38="pvp",15,Inputs!$B$43)-(B2317)&lt;=0,1,MAX(0,IF(Inputs!$B$38="pvp",15,Inputs!$B$43)-MAX(5,B2317))/(IF(Inputs!$B$38="pvp",15,Inputs!$B$43)-(B2317))))*IF(AND(ArtifactsInput!$M$42,((Inputs!$B$9+((C2298=TRUE)*(F2298-Calc!F19))+B2310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288">
        <f>IF(C2288,(H2288*N2288*IF(AND(Inputs!$B$38&lt;&gt;"pvp",Inputs!$B$43&gt;0),((Skills!G9*((R2288-1)*IF(Skills!H9&gt;0,INT(Skills!I9/Skills!H9+0.000000001),1)+IF(Skills!H9&gt;0,INT(MIN(Skills!I9,MAX(0,MAX(0,Inputs!$B$43-B2317)-((R2288-1)*(IF(Inputs!$B$38="pvp",15,MAX(0.1,Skills!D9-IF(TRUE=TRUE,Inputs!$B$32,0)))*(1-IF(AND(ArtifactsInput!$M$27,Inputs!$B$4="Chapter Hunt"),CHOOSE(ArtifactsInput!$N$27+1,20,24,28,32,36,40),0)/100)))))/Skills!H9+0.000000001),1)))/Inputs!$B$43),G2288*Q2288))*IF(Inputs!$B$38="pvp",1,(1+(Inputs!$B$21+Skills!Q9+(IF(ArtifactsInput!$M$33,CHOOSE(ArtifactsInput!$N$33+1,30,36,42,48,54,60),0))+(IF(AND(ArtifactsInput!$M$35,Inputs!$B$4&lt;&gt;"Chapter Hunt"),CHOOSE(ArtifactsInput!$N$35+1,15,18,21,24,27,30)*(1-EXP(-(0.2*B2312)*5)),0)+IF(AND(ArtifactsInput!$M$22,Inputs!$B$4&lt;&gt;"Chapter Hunt"),CHOOSE(ArtifactsInput!$N$22+1,10,12,14,16,18,20)*((0*(((0.15*B2312*5))^0/1)+1*(((0.15*B2312*5))^1/1)+2*(((0.15*B2312*5))^2/2)+3*(((0.15*B2312*5))^3/6)+4*(((0.15*B2312*5))^4/24)+5*(((0.15*B2312*5))^5/120))/((((0.15*B2312*5))^0/1)+(((0.15*B2312*5))^1/1)+(((0.15*B2312*5))^2/2)+(((0.15*B2312*5))^3/6)+(((0.15*B2312*5))^4/24)+(((0.15*B2312*5))^5/120))),0))+IF(Inputs!$B$3&gt;=54,9*(C2282=TRUE)*MIN(1,8*(1+Inputs!$B$34/100)*Q2282),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89">
      <c r="A2289">
        <f>Skills!A10</f>
        <v/>
      </c>
      <c r="B2289">
        <f>Skills!B10</f>
        <v/>
      </c>
      <c r="C2289">
        <f>Inputs!$B$3&gt;=113</f>
        <v/>
      </c>
      <c r="D2289">
        <f>IF(Skills!C10=1,60+Inputs!$B$25+Inputs!$B$29,IF(Skills!C10=2,90+Inputs!$B$26+Inputs!$B$29,IF(Skills!C10=3,120+Inputs!$B$27+Inputs!$B$29,MAX(0,(Inputs!$B$3-100)*3)+Inputs!$B$28+Inputs!$B$29)))</f>
        <v/>
      </c>
      <c r="E2289">
        <f>INDEX(FactorTable!$B$2:$Y$301, MATCH(ROUND(MIN(300,MAX(1,D2289)),0), FactorTable!$A$2:$A$301,0), Skills!M10+1)</f>
        <v/>
      </c>
      <c r="F2289">
        <f>IF(Skills!N10=TRUE,(Skills!L10/10)*(E2289/1000),Skills!L10/10)+Skills!O10</f>
        <v/>
      </c>
      <c r="G2289">
        <f>Skills!G10*IF(Skills!H10&gt;0,INT(IF(Inputs!$B$38="pvp",MIN(Skills!I10,15),Skills!I10)/Skills!H10+0.000000001),1)</f>
        <v/>
      </c>
      <c r="H2289">
        <f>1-(1-Skills!J10/100)^Skills!K10</f>
        <v/>
      </c>
      <c r="I2289" t="inlineStr">
        <is>
          <t>1</t>
        </is>
      </c>
      <c r="J2289">
        <f>((Inputs!$B$6*(1+Inputs!$B$7/100))+(((Inputs!$B$12*(1+Inputs!$B$13/100))-(Inputs!$B$12*(1+Inputs!$B$13/100)))+0.25*(Inputs!$B$14-Inputs!$B$14))*(1+Inputs!$B$7/100))*(F2289/100)</f>
        <v/>
      </c>
      <c r="K2289">
        <f>J2289*(1+((Inputs!$B$12*(1+Inputs!$B$13/100))*0.01+Inputs!$B$14*0.0025)/100)*(1+Inputs!$B$15/100)*(1+Inputs!$B$16/100)*(5000/(6000+Inputs!$B$42*(1-(100*(1-(1-(Inputs!$B$19+0)/100)*(1-CHOOSE(ArtifactsInput!$N$40+1,5,6,7,8,9,10)/100)^(ArtifactsInput!$M$40-ArtifactsInput!$M$40)))/100)))*(1+(Inputs!$B$24+((C2305=TRUE)*(F2305-Calc!F26))+B2316)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IF(ArtifactsInput!$M$29,FALSE,TRUE)-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IGHT_LEGS_EASTON",Inputs!$B$17+((C2302=TRUE)*(F2302-Calc!F23))+((C2306=TRUE)*(F2306-Calc!F27))+((IF(AND(Inputs!$B$38&lt;&gt;"pvp",Inputs!$B$43=0),1,IF(IF(Inputs!$B$38="pvp",15,Inputs!$B$43)-(B2317)&lt;=0,1,MAX(0,IF(Inputs!$B$38="pvp",15,Inputs!$B$43)-MAX(5,B2317))/(IF(Inputs!$B$38="pvp",15,Inputs!$B$43)-(B2317))))*(IF(AND(ArtifactsInput!$M$42,((Inputs!$B$9+((C2298=TRUE)*(F2298-Calc!F19))+B2310+(ArtifactsInput!$M$24-ArtifactsInput!$M$24)*CHOOSE(ArtifactsInput!$N$24+1,10,12,14,16,18,20)+IF(ArtifactsInput!$M$10,CHOOSE(ArtifactsInput!$N$10+1,15,18,21,24,27,30)*(IF(Inputs!$B$38="pvp",MIN(15,15)/15,IF(AND(Inputs!$B$38&lt;&gt;"pvp",Inputs!$B$43&gt;0),MIN(15,Inputs!$B$43)/(Inputs!$B$43),0))),0)))&gt;=100),MIN(100,((Inputs!$B$9+((C2298=TRUE)*(F2298-Calc!F19))+B2310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2317)&lt;=0,1,MAX(0,IF(Inputs!$B$38="pvp",15,Inputs!$B$43)-MAX(5,B2317))/(IF(Inputs!$B$38="pvp",15,Inputs!$B$43)-(B2317))))*IF(AND(ArtifactsInput!$M$42,((Inputs!$B$9+((C2298=TRUE)*(F2298-Calc!F19))+B2310+(ArtifactsInput!$M$24-ArtifactsInput!$M$24)*CHOOSE(ArtifactsInput!$N$24+1,10,12,14,16,18,20)+IF(ArtifactsInput!$M$10,CHOOSE(ArtifactsInput!$N$10+1,15,18,21,24,27,30)*(IF(Inputs!$B$38="pvp",MIN(15,15)/15,IF(AND(Inputs!$B$38&lt;&gt;"pvp",Inputs!$B$43&gt;0),MIN(15,Inputs!$B$43)/(Inputs!$B$43),0))),0)))&gt;=100),CHOOSE(ArtifactsInput!$N$42+1,40,48,56,64,72,80),0))))/100)*((1+(((C2296=TRUE)*F2296*5/7)+((C2303=TRUE)*(F2303-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2289)</f>
        <v/>
      </c>
      <c r="L2289">
        <f>K2289*(MIN(Inputs!$B$22+((C2301=TRUE)*(F2301-Calc!F22)),(Inputs!$B$23+0+(IF(ArtifactsInput!$M$15,CHOOSE(ArtifactsInput!$N$15+1,25,30,35,40,45,50)/100*(Inputs!$B$11-Inputs!$B$11),0))))/100+(Inputs!$B$23+0+(IF(ArtifactsInput!$M$15,CHOOSE(ArtifactsInput!$N$15+1,25,30,35,40,45,50)/100*(Inputs!$B$11-Inputs!$B$11),0)))/100)/2</f>
        <v/>
      </c>
      <c r="M2289">
        <f>L2289*(1+(Inputs!$B$10+((C2304=TRUE)*(F2304-Calc!F25))+B2315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89">
        <f>L2289*(1-MIN((Inputs!$B$9+((C2298=TRUE)*(F2298-Calc!F19))+B2310+(ArtifactsInput!$M$24-ArtifactsInput!$M$24)*CHOOSE(ArtifactsInput!$N$24+1,10,12,14,16,18,20)+(IF(AND(Inputs!$B$38&lt;&gt;"pvp",Inputs!$B$43=0),1,IF(IF(Inputs!$B$38="pvp",15,Inputs!$B$43)-(B2317)&lt;=0,1,MAX(0,IF(Inputs!$B$38="pvp",15,Inputs!$B$43)-MAX(5,B2317))/(IF(Inputs!$B$38="pvp",15,Inputs!$B$43)-(B2317))))*IF(AND(ArtifactsInput!$M$42,((Inputs!$B$9+((C2298=TRUE)*(F2298-Calc!F19))+B2310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2289*(MIN((Inputs!$B$9+((C2298=TRUE)*(F2298-Calc!F19))+B2310+(ArtifactsInput!$M$24-ArtifactsInput!$M$24)*CHOOSE(ArtifactsInput!$N$24+1,10,12,14,16,18,20)+(IF(AND(Inputs!$B$38&lt;&gt;"pvp",Inputs!$B$43=0),1,IF(IF(Inputs!$B$38="pvp",15,Inputs!$B$43)-(B2317)&lt;=0,1,MAX(0,IF(Inputs!$B$38="pvp",15,Inputs!$B$43)-MAX(5,B2317))/(IF(Inputs!$B$38="pvp",15,Inputs!$B$43)-(B2317))))*IF(AND(ArtifactsInput!$M$42,((Inputs!$B$9+((C2298=TRUE)*(F2298-Calc!F19))+B2310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89">
        <f>(1-Summary!$B$11)*T2289+Summary!$B$11*V2289</f>
        <v/>
      </c>
      <c r="P2289">
        <f>IF(B2320=0,0,O2289/B2320)</f>
        <v/>
      </c>
      <c r="Q2289" t="n">
        <v>0</v>
      </c>
      <c r="R2289" t="n">
        <v>0</v>
      </c>
      <c r="S2289">
        <f>IFERROR(O2289/N2289,0)</f>
        <v/>
      </c>
      <c r="T2289">
        <f>IF(C2289,((H2289*B2322)/(1+Skills!H10*H2289*B2322)*N2289)*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Hunt"),CHOOSE(ArtifactsInput!$N$35+1,15,18,21,24,27,30)*(1-EXP(-(0.2*B2312)*5)),0)+IF(AND(ArtifactsInput!$M$22,Inputs!$B$4&lt;&gt;"Chapter Hunt"),CHOOSE(ArtifactsInput!$N$22+1,10,12,14,16,18,20)*((0*(((0.15*B2312*5))^0/1)+1*(((0.15*B2312*5))^1/1)+2*(((0.15*B2312*5))^2/2)+3*(((0.15*B2312*5))^3/6)+4*(((0.15*B2312*5))^4/24)+5*(((0.15*B2312*5))^5/120))/((((0.15*B2312*5))^0/1)+(((0.15*B2312*5))^1/1)+(((0.15*B2312*5))^2/2)+(((0.15*B2312*5))^3/6)+(((0.15*B2312*5))^4/24)+(((0.15*B2312*5))^5/120))),0))+IF(Inputs!$B$3&gt;=54,9*(C2282=TRUE)*MIN(1,8*(1+Inputs!$B$34/100)*Q2282)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2289*(1-MIN(100,(Inputs!$B$9+((C2298=TRUE)*(F2298-Calc!F19))+B2310+(ArtifactsInput!$M$24-ArtifactsInput!$M$24)*CHOOSE(ArtifactsInput!$N$24+1,10,12,14,16,18,20)+(IF(AND(Inputs!$B$38&lt;&gt;"pvp",Inputs!$B$43=0),1,IF(IF(Inputs!$B$38="pvp",15,Inputs!$B$43)-(B2317)&lt;=0,1,MAX(0,IF(Inputs!$B$38="pvp",15,Inputs!$B$43)-MAX(5,B2317))/(IF(Inputs!$B$38="pvp",15,Inputs!$B$43)-(B2317))))*IF(AND(ArtifactsInput!$M$42,((Inputs!$B$9+((C2298=TRUE)*(F2298-Calc!F19))+B2310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2289*(MIN(100,(Inputs!$B$9+((C2298=TRUE)*(F2298-Calc!F19))+B2310+(ArtifactsInput!$M$24-ArtifactsInput!$M$24)*CHOOSE(ArtifactsInput!$N$24+1,10,12,14,16,18,20)+(IF(AND(Inputs!$B$38&lt;&gt;"pvp",Inputs!$B$43=0),1,IF(IF(Inputs!$B$38="pvp",15,Inputs!$B$43)-(B2317)&lt;=0,1,MAX(0,IF(Inputs!$B$38="pvp",15,Inputs!$B$43)-MAX(5,B2317))/(IF(Inputs!$B$38="pvp",15,Inputs!$B$43)-(B2317))))*IF(AND(ArtifactsInput!$M$42,((Inputs!$B$9+((C2298=TRUE)*(F2298-Calc!F19))+B2310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2289*(1-MIN(100,(Inputs!$B$9+((C2298=TRUE)*(F2298-Calc!F19))+B2310+(ArtifactsInput!$M$24-ArtifactsInput!$M$24)*CHOOSE(ArtifactsInput!$N$24+1,10,12,14,16,18,20)+(IF(AND(Inputs!$B$38&lt;&gt;"pvp",Inputs!$B$43=0),1,IF(IF(Inputs!$B$38="pvp",15,Inputs!$B$43)-(B2317)&lt;=0,1,MAX(0,IF(Inputs!$B$38="pvp",15,Inputs!$B$43)-MAX(5,B2317))/(IF(Inputs!$B$38="pvp",15,Inputs!$B$43)-(B2317))))*IF(AND(ArtifactsInput!$M$42,((Inputs!$B$9+((C2298=TRUE)*(F2298-Calc!F19))+B2310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2289*(MIN(100,(Inputs!$B$9+((C2298=TRUE)*(F2298-Calc!F19))+B2310+(ArtifactsInput!$M$24-ArtifactsInput!$M$24)*CHOOSE(ArtifactsInput!$N$24+1,10,12,14,16,18,20)+(IF(AND(Inputs!$B$38&lt;&gt;"pvp",Inputs!$B$43=0),1,IF(IF(Inputs!$B$38="pvp",15,Inputs!$B$43)-(B2317)&lt;=0,1,MAX(0,IF(Inputs!$B$38="pvp",15,Inputs!$B$43)-MAX(5,B2317))/(IF(Inputs!$B$38="pvp",15,Inputs!$B$43)-(B2317))))*IF(AND(ArtifactsInput!$M$42,((Inputs!$B$9+((C2298=TRUE)*(F2298-Calc!F19))+B2310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289">
        <f>IF(C2289,((H2289*B2322)/(1+Skills!H10*H2289*B2322)*N2289)*IF(Inputs!$B$38="pvp",1,(1+(Inputs!$B$21+Skills!Q10+(IF(ArtifactsInput!$M$33,CHOOSE(ArtifactsInput!$N$33+1,30,36,42,48,54,60),0))+(IF(AND(ArtifactsInput!$M$35,Inputs!$B$4&lt;&gt;"Chapter Hunt"),CHOOSE(ArtifactsInput!$N$35+1,15,18,21,24,27,30)*(1-EXP(-(0.2*B2312)*5)),0)+IF(AND(ArtifactsInput!$M$22,Inputs!$B$4&lt;&gt;"Chapter Hunt"),CHOOSE(ArtifactsInput!$N$22+1,10,12,14,16,18,20)*((0*(((0.15*B2312*5))^0/1)+1*(((0.15*B2312*5))^1/1)+2*(((0.15*B2312*5))^2/2)+3*(((0.15*B2312*5))^3/6)+4*(((0.15*B2312*5))^4/24)+5*(((0.15*B2312*5))^5/120))/((((0.15*B2312*5))^0/1)+(((0.15*B2312*5))^1/1)+(((0.15*B2312*5))^2/2)+(((0.15*B2312*5))^3/6)+(((0.15*B2312*5))^4/24)+(((0.15*B2312*5))^5/120))),0))+IF(Inputs!$B$3&gt;=54,9*(C2282=TRUE)*MIN(1,8*(1+Inputs!$B$34/100)*Q2282),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90">
      <c r="A2290">
        <f>Skills!A11</f>
        <v/>
      </c>
      <c r="B2290">
        <f>Skills!B11</f>
        <v/>
      </c>
      <c r="C2290">
        <f>Inputs!$B$3&gt;=117</f>
        <v/>
      </c>
      <c r="D2290">
        <f>IF(Skills!C11=1,60+Inputs!$B$25+Inputs!$B$29,IF(Skills!C11=2,90+Inputs!$B$26+Inputs!$B$29,IF(Skills!C11=3,120+Inputs!$B$27+Inputs!$B$29,MAX(0,(Inputs!$B$3-100)*3)+Inputs!$B$28+Inputs!$B$29)))</f>
        <v/>
      </c>
      <c r="E2290">
        <f>INDEX(FactorTable!$B$2:$Y$301, MATCH(ROUND(MIN(300,MAX(1,D2290)),0), FactorTable!$A$2:$A$301,0), Skills!M11+1)</f>
        <v/>
      </c>
      <c r="F2290">
        <f>IF(Skills!N11=TRUE,(Skills!L11/10)*(E2290/1000),Skills!L11/10)+Skills!O11</f>
        <v/>
      </c>
      <c r="G2290">
        <f>Skills!G11*IF(Skills!H11&gt;0,INT(IF(Inputs!$B$38="pvp",MIN(Skills!I11,15),Skills!I11)/Skills!H11+0.000000001),1)</f>
        <v/>
      </c>
      <c r="H2290">
        <f>1-(1-Skills!J11/100)^Skills!K11</f>
        <v/>
      </c>
      <c r="I2290" t="inlineStr">
        <is>
          <t>1</t>
        </is>
      </c>
      <c r="J2290">
        <f>((Inputs!$B$6*(1+Inputs!$B$7/100))+(((Inputs!$B$12*(1+Inputs!$B$13/100))-(Inputs!$B$12*(1+Inputs!$B$13/100)))+0.25*(Inputs!$B$14-Inputs!$B$14))*(1+Inputs!$B$7/100))*(F2290/100)</f>
        <v/>
      </c>
      <c r="K2290">
        <f>J2290*(1+((Inputs!$B$12*(1+Inputs!$B$13/100))*0.01+Inputs!$B$14*0.0025)/100)*(1+Inputs!$B$15/100)*(1+Inputs!$B$16/100)*(5000/(6000+Inputs!$B$42*(1-(100*(1-(1-(Inputs!$B$19+0)/100)*(1-CHOOSE(ArtifactsInput!$N$40+1,5,6,7,8,9,10)/100)^(ArtifactsInput!$M$40-ArtifactsInput!$M$40)))/100)))*(1+(Inputs!$B$24+((C2305=TRUE)*(F2305-Calc!F26))+B2316)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IF(ArtifactsInput!$M$29,FALSE,TRUE)-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IGHT_LEGS_EASTON",Inputs!$B$17+((C2302=TRUE)*(F2302-Calc!F23))+((C2306=TRUE)*(F2306-Calc!F27))+((IF(AND(Inputs!$B$38&lt;&gt;"pvp",Inputs!$B$43=0),1,IF(IF(Inputs!$B$38="pvp",15,Inputs!$B$43)-(B2317)&lt;=0,1,MAX(0,IF(Inputs!$B$38="pvp",15,Inputs!$B$43)-MAX(5,B2317))/(IF(Inputs!$B$38="pvp",15,Inputs!$B$43)-(B2317))))*(IF(AND(ArtifactsInput!$M$42,((Inputs!$B$9+((C2298=TRUE)*(F2298-Calc!F19))+B2310+(ArtifactsInput!$M$24-ArtifactsInput!$M$24)*CHOOSE(ArtifactsInput!$N$24+1,10,12,14,16,18,20)+IF(ArtifactsInput!$M$10,CHOOSE(ArtifactsInput!$N$10+1,15,18,21,24,27,30)*(IF(Inputs!$B$38="pvp",MIN(15,15)/15,IF(AND(Inputs!$B$38&lt;&gt;"pvp",Inputs!$B$43&gt;0),MIN(15,Inputs!$B$43)/(Inputs!$B$43),0))),0)))&gt;=100),MIN(100,((Inputs!$B$9+((C2298=TRUE)*(F2298-Calc!F19))+B2310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2317)&lt;=0,1,MAX(0,IF(Inputs!$B$38="pvp",15,Inputs!$B$43)-MAX(5,B2317))/(IF(Inputs!$B$38="pvp",15,Inputs!$B$43)-(B2317))))*IF(AND(ArtifactsInput!$M$42,((Inputs!$B$9+((C2298=TRUE)*(F2298-Calc!F19))+B2310+(ArtifactsInput!$M$24-ArtifactsInput!$M$24)*CHOOSE(ArtifactsInput!$N$24+1,10,12,14,16,18,20)+IF(ArtifactsInput!$M$10,CHOOSE(ArtifactsInput!$N$10+1,15,18,21,24,27,30)*(IF(Inputs!$B$38="pvp",MIN(15,15)/15,IF(AND(Inputs!$B$38&lt;&gt;"pvp",Inputs!$B$43&gt;0),MIN(15,Inputs!$B$43)/(Inputs!$B$43),0))),0)))&gt;=100),CHOOSE(ArtifactsInput!$N$42+1,40,48,56,64,72,80),0))))/100)*((1+(((C2296=TRUE)*F2296*5/7)+((C2303=TRUE)*(F2303-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2290)</f>
        <v/>
      </c>
      <c r="L2290">
        <f>K2290*(MIN(Inputs!$B$22+((C2301=TRUE)*(F2301-Calc!F22)),(Inputs!$B$23+0+(IF(ArtifactsInput!$M$15,CHOOSE(ArtifactsInput!$N$15+1,25,30,35,40,45,50)/100*(Inputs!$B$11-Inputs!$B$11),0))))/100+(Inputs!$B$23+0+(IF(ArtifactsInput!$M$15,CHOOSE(ArtifactsInput!$N$15+1,25,30,35,40,45,50)/100*(Inputs!$B$11-Inputs!$B$11),0)))/100)/2</f>
        <v/>
      </c>
      <c r="M2290">
        <f>L2290*(1+(Inputs!$B$10+((C2304=TRUE)*(F2304-Calc!F25))+B2315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90">
        <f>L2290*(1-MIN((Inputs!$B$9+((C2298=TRUE)*(F2298-Calc!F19))+B2310+(ArtifactsInput!$M$24-ArtifactsInput!$M$24)*CHOOSE(ArtifactsInput!$N$24+1,10,12,14,16,18,20)+(IF(AND(Inputs!$B$38&lt;&gt;"pvp",Inputs!$B$43=0),1,IF(IF(Inputs!$B$38="pvp",15,Inputs!$B$43)-(B2317)&lt;=0,1,MAX(0,IF(Inputs!$B$38="pvp",15,Inputs!$B$43)-MAX(5,B2317))/(IF(Inputs!$B$38="pvp",15,Inputs!$B$43)-(B2317))))*IF(AND(ArtifactsInput!$M$42,((Inputs!$B$9+((C2298=TRUE)*(F2298-Calc!F19))+B2310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2290*(MIN((Inputs!$B$9+((C2298=TRUE)*(F2298-Calc!F19))+B2310+(ArtifactsInput!$M$24-ArtifactsInput!$M$24)*CHOOSE(ArtifactsInput!$N$24+1,10,12,14,16,18,20)+(IF(AND(Inputs!$B$38&lt;&gt;"pvp",Inputs!$B$43=0),1,IF(IF(Inputs!$B$38="pvp",15,Inputs!$B$43)-(B2317)&lt;=0,1,MAX(0,IF(Inputs!$B$38="pvp",15,Inputs!$B$43)-MAX(5,B2317))/(IF(Inputs!$B$38="pvp",15,Inputs!$B$43)-(B2317))))*IF(AND(ArtifactsInput!$M$42,((Inputs!$B$9+((C2298=TRUE)*(F2298-Calc!F19))+B2310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90">
        <f>(1-Summary!$B$11)*T2290+Summary!$B$11*V2290</f>
        <v/>
      </c>
      <c r="P2290">
        <f>IF(B2320=0,0,O2290/B2320)</f>
        <v/>
      </c>
      <c r="Q2290">
        <f>IFERROR(1/((IF(Inputs!$B$38="pvp",15,MAX(0.1,Skills!D11-IF(TRUE=TRUE,Inputs!$B$32,0)))*(1-IF(AND(ArtifactsInput!$M$27,Inputs!$B$4="Chapter Hunt"),CHOOSE(ArtifactsInput!$N$27+1,20,24,28,32,36,40),0)/100))/B2321),0)</f>
        <v/>
      </c>
      <c r="R2290">
        <f>IF(AND(Inputs!$B$38&lt;&gt;"pvp",Inputs!$B$43&gt;0),IF(MAX(0,Inputs!$B$43-B2317)&lt;=0,0,(INT(MAX(0,Inputs!$B$43-B2317)/((IF(Inputs!$B$38="pvp",15,MAX(0.1,Skills!D11-IF(TRUE=TRUE,Inputs!$B$32,0)))*(1-IF(AND(ArtifactsInput!$M$27,Inputs!$B$4="Chapter Hunt"),CHOOSE(ArtifactsInput!$N$27+1,20,24,28,32,36,40),0)/100))/B2321))+1)),0)</f>
        <v/>
      </c>
      <c r="S2290">
        <f>IFERROR(O2290/N2290,0)</f>
        <v/>
      </c>
      <c r="T2290">
        <f>IF(C2290,(H2290*N2290*IF(AND(Inputs!$B$38&lt;&gt;"pvp",Inputs!$B$43&gt;0),((Skills!G11*((R2290-1)*IF(Skills!H11&gt;0,INT(Skills!I11/Skills!H11+0.000000001),1)+IF(Skills!H11&gt;0,INT(MIN(Skills!I11,MAX(0,MAX(0,Inputs!$B$43-B2317)-((R2290-1)*((IF(Inputs!$B$38="pvp",15,MAX(0.1,Skills!D11-IF(TRUE=TRUE,Inputs!$B$32,0)))*(1-IF(AND(ArtifactsInput!$M$27,Inputs!$B$4="Chapter Hunt"),CHOOSE(ArtifactsInput!$N$27+1,20,24,28,32,36,40),0)/100))/B2321))))/Skills!H11+0.000000001),1)))/Inputs!$B$43),G2290*Q2290))*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Hunt"),CHOOSE(ArtifactsInput!$N$35+1,15,18,21,24,27,30)*(1-EXP(-(0.2*B2312)*5)),0)+IF(AND(ArtifactsInput!$M$22,Inputs!$B$4&lt;&gt;"Chapter Hunt"),CHOOSE(ArtifactsInput!$N$22+1,10,12,14,16,18,20)*((0*(((0.15*B2312*5))^0/1)+1*(((0.15*B2312*5))^1/1)+2*(((0.15*B2312*5))^2/2)+3*(((0.15*B2312*5))^3/6)+4*(((0.15*B2312*5))^4/24)+5*(((0.15*B2312*5))^5/120))/((((0.15*B2312*5))^0/1)+(((0.15*B2312*5))^1/1)+(((0.15*B2312*5))^2/2)+(((0.15*B2312*5))^3/6)+(((0.15*B2312*5))^4/24)+(((0.15*B2312*5))^5/120))),0))+IF(Inputs!$B$3&gt;=54,9*(C2282=TRUE)*MIN(1,8*(1+Inputs!$B$34/100)*Q2282)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2290*(1-MIN(100,(Inputs!$B$9+((C2298=TRUE)*(F2298-Calc!F19))+B2310+(ArtifactsInput!$M$24-ArtifactsInput!$M$24)*CHOOSE(ArtifactsInput!$N$24+1,10,12,14,16,18,20)+(IF(AND(Inputs!$B$38&lt;&gt;"pvp",Inputs!$B$43=0),1,IF(IF(Inputs!$B$38="pvp",15,Inputs!$B$43)-(B2317)&lt;=0,1,MAX(0,IF(Inputs!$B$38="pvp",15,Inputs!$B$43)-MAX(5,B2317))/(IF(Inputs!$B$38="pvp",15,Inputs!$B$43)-(B2317))))*IF(AND(ArtifactsInput!$M$42,((Inputs!$B$9+((C2298=TRUE)*(F2298-Calc!F19))+B2310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2290*(MIN(100,(Inputs!$B$9+((C2298=TRUE)*(F2298-Calc!F19))+B2310+(ArtifactsInput!$M$24-ArtifactsInput!$M$24)*CHOOSE(ArtifactsInput!$N$24+1,10,12,14,16,18,20)+(IF(AND(Inputs!$B$38&lt;&gt;"pvp",Inputs!$B$43=0),1,IF(IF(Inputs!$B$38="pvp",15,Inputs!$B$43)-(B2317)&lt;=0,1,MAX(0,IF(Inputs!$B$38="pvp",15,Inputs!$B$43)-MAX(5,B2317))/(IF(Inputs!$B$38="pvp",15,Inputs!$B$43)-(B2317))))*IF(AND(ArtifactsInput!$M$42,((Inputs!$B$9+((C2298=TRUE)*(F2298-Calc!F19))+B2310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2290*(1-MIN(100,(Inputs!$B$9+((C2298=TRUE)*(F2298-Calc!F19))+B2310+(ArtifactsInput!$M$24-ArtifactsInput!$M$24)*CHOOSE(ArtifactsInput!$N$24+1,10,12,14,16,18,20)+(IF(AND(Inputs!$B$38&lt;&gt;"pvp",Inputs!$B$43=0),1,IF(IF(Inputs!$B$38="pvp",15,Inputs!$B$43)-(B2317)&lt;=0,1,MAX(0,IF(Inputs!$B$38="pvp",15,Inputs!$B$43)-MAX(5,B2317))/(IF(Inputs!$B$38="pvp",15,Inputs!$B$43)-(B2317))))*IF(AND(ArtifactsInput!$M$42,((Inputs!$B$9+((C2298=TRUE)*(F2298-Calc!F19))+B2310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2290*(MIN(100,(Inputs!$B$9+((C2298=TRUE)*(F2298-Calc!F19))+B2310+(ArtifactsInput!$M$24-ArtifactsInput!$M$24)*CHOOSE(ArtifactsInput!$N$24+1,10,12,14,16,18,20)+(IF(AND(Inputs!$B$38&lt;&gt;"pvp",Inputs!$B$43=0),1,IF(IF(Inputs!$B$38="pvp",15,Inputs!$B$43)-(B2317)&lt;=0,1,MAX(0,IF(Inputs!$B$38="pvp",15,Inputs!$B$43)-MAX(5,B2317))/(IF(Inputs!$B$38="pvp",15,Inputs!$B$43)-(B2317))))*IF(AND(ArtifactsInput!$M$42,((Inputs!$B$9+((C2298=TRUE)*(F2298-Calc!F19))+B2310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290">
        <f>IF(C2290,(H2290*N2290*IF(AND(Inputs!$B$38&lt;&gt;"pvp",Inputs!$B$43&gt;0),((Skills!G11*((R2290-1)*IF(Skills!H11&gt;0,INT(Skills!I11/Skills!H11+0.000000001),1)+IF(Skills!H11&gt;0,INT(MIN(Skills!I11,MAX(0,MAX(0,Inputs!$B$43-B2317)-((R2290-1)*((IF(Inputs!$B$38="pvp",15,MAX(0.1,Skills!D11-IF(TRUE=TRUE,Inputs!$B$32,0)))*(1-IF(AND(ArtifactsInput!$M$27,Inputs!$B$4="Chapter Hunt"),CHOOSE(ArtifactsInput!$N$27+1,20,24,28,32,36,40),0)/100))/B2321))))/Skills!H11+0.000000001),1)))/Inputs!$B$43),G2290*Q2290))*IF(Inputs!$B$38="pvp",1,(1+(Inputs!$B$21+Skills!Q11+(IF(ArtifactsInput!$M$33,CHOOSE(ArtifactsInput!$N$33+1,30,36,42,48,54,60),0))+(IF(AND(ArtifactsInput!$M$35,Inputs!$B$4&lt;&gt;"Chapter Hunt"),CHOOSE(ArtifactsInput!$N$35+1,15,18,21,24,27,30)*(1-EXP(-(0.2*B2312)*5)),0)+IF(AND(ArtifactsInput!$M$22,Inputs!$B$4&lt;&gt;"Chapter Hunt"),CHOOSE(ArtifactsInput!$N$22+1,10,12,14,16,18,20)*((0*(((0.15*B2312*5))^0/1)+1*(((0.15*B2312*5))^1/1)+2*(((0.15*B2312*5))^2/2)+3*(((0.15*B2312*5))^3/6)+4*(((0.15*B2312*5))^4/24)+5*(((0.15*B2312*5))^5/120))/((((0.15*B2312*5))^0/1)+(((0.15*B2312*5))^1/1)+(((0.15*B2312*5))^2/2)+(((0.15*B2312*5))^3/6)+(((0.15*B2312*5))^4/24)+(((0.15*B2312*5))^5/120))),0))+IF(Inputs!$B$3&gt;=54,9*(C2282=TRUE)*MIN(1,8*(1+Inputs!$B$34/100)*Q2282),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91">
      <c r="A2291">
        <f>Skills!A12</f>
        <v/>
      </c>
      <c r="B2291">
        <f>Skills!B12</f>
        <v/>
      </c>
      <c r="C2291">
        <f>Inputs!$B$3&gt;=110</f>
        <v/>
      </c>
      <c r="D2291">
        <f>IF(Skills!C12=1,60+Inputs!$B$25+Inputs!$B$29,IF(Skills!C12=2,90+Inputs!$B$26+Inputs!$B$29,IF(Skills!C12=3,120+Inputs!$B$27+Inputs!$B$29,MAX(0,(Inputs!$B$3-100)*3)+Inputs!$B$28+Inputs!$B$29)))</f>
        <v/>
      </c>
      <c r="E2291">
        <f>INDEX(FactorTable!$B$2:$Y$301, MATCH(ROUND(MIN(300,MAX(1,D2291)),0), FactorTable!$A$2:$A$301,0), Skills!M12+1)</f>
        <v/>
      </c>
      <c r="F2291">
        <f>IF(Skills!N12=TRUE,(Skills!L12/10)*(E2291/1000),Skills!L12/10)+Skills!O12</f>
        <v/>
      </c>
      <c r="G2291">
        <f>Skills!G12*IF(Skills!H12&gt;0,INT(IF(Inputs!$B$38="pvp",MIN(Skills!I12,15),Skills!I12)/Skills!H12+0.000000001),1)</f>
        <v/>
      </c>
      <c r="H2291">
        <f>1-(1-Skills!J12/100)^Skills!K12</f>
        <v/>
      </c>
      <c r="I2291" t="inlineStr">
        <is>
          <t>1</t>
        </is>
      </c>
      <c r="J2291">
        <f>((Inputs!$B$6*(1+Inputs!$B$7/100))+(((Inputs!$B$12*(1+Inputs!$B$13/100))-(Inputs!$B$12*(1+Inputs!$B$13/100)))+0.25*(Inputs!$B$14-Inputs!$B$14))*(1+Inputs!$B$7/100))*(F2291/100)</f>
        <v/>
      </c>
      <c r="K2291">
        <f>J2291*(1+((Inputs!$B$12*(1+Inputs!$B$13/100))*0.01+Inputs!$B$14*0.0025)/100)*(1+Inputs!$B$15/100)*(1+Inputs!$B$16/100)*(5000/(6000+Inputs!$B$42*(1-(100*(1-(1-(Inputs!$B$19+0)/100)*(1-CHOOSE(ArtifactsInput!$N$40+1,5,6,7,8,9,10)/100)^(ArtifactsInput!$M$40-ArtifactsInput!$M$40)))/100)))*(1+(Inputs!$B$24+((C2305=TRUE)*(F2305-Calc!F26))+B2316)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IF(ArtifactsInput!$M$29,FALSE,TRUE)-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EIGHT_LEGS_EASTON",Inputs!$B$17+((C2302=TRUE)*(F2302-Calc!F23))+((C2306=TRUE)*(F2306-Calc!F27))+((IF(AND(Inputs!$B$38&lt;&gt;"pvp",Inputs!$B$43=0),1,IF(IF(Inputs!$B$38="pvp",15,Inputs!$B$43)-(B2317)&lt;=0,1,MAX(0,IF(Inputs!$B$38="pvp",15,Inputs!$B$43)-MAX(5,B2317))/(IF(Inputs!$B$38="pvp",15,Inputs!$B$43)-(B2317))))*(IF(AND(ArtifactsInput!$M$42,((Inputs!$B$9+((C2298=TRUE)*(F2298-Calc!F19))+B2310+(ArtifactsInput!$M$24-ArtifactsInput!$M$24)*CHOOSE(ArtifactsInput!$N$24+1,10,12,14,16,18,20)+IF(ArtifactsInput!$M$10,CHOOSE(ArtifactsInput!$N$10+1,15,18,21,24,27,30)*(IF(Inputs!$B$38="pvp",MIN(15,15)/15,IF(AND(Inputs!$B$38&lt;&gt;"pvp",Inputs!$B$43&gt;0),MIN(15,Inputs!$B$43)/(Inputs!$B$43),0))),0)))&gt;=100),MIN(100,((Inputs!$B$9+((C2298=TRUE)*(F2298-Calc!F19))+B2310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2317)&lt;=0,1,MAX(0,IF(Inputs!$B$38="pvp",15,Inputs!$B$43)-MAX(5,B2317))/(IF(Inputs!$B$38="pvp",15,Inputs!$B$43)-(B2317))))*IF(AND(ArtifactsInput!$M$42,((Inputs!$B$9+((C2298=TRUE)*(F2298-Calc!F19))+B2310+(ArtifactsInput!$M$24-ArtifactsInput!$M$24)*CHOOSE(ArtifactsInput!$N$24+1,10,12,14,16,18,20)+IF(ArtifactsInput!$M$10,CHOOSE(ArtifactsInput!$N$10+1,15,18,21,24,27,30)*(IF(Inputs!$B$38="pvp",MIN(15,15)/15,IF(AND(Inputs!$B$38&lt;&gt;"pvp",Inputs!$B$43&gt;0),MIN(15,Inputs!$B$43)/(Inputs!$B$43),0))),0)))&gt;=100),CHOOSE(ArtifactsInput!$N$42+1,40,48,56,64,72,80),0))))/100)*((1+(((C2296=TRUE)*F2296*5/7)+((C2303=TRUE)*(F2303-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2291)</f>
        <v/>
      </c>
      <c r="L2291">
        <f>K2291*(MIN(Inputs!$B$22+((C2301=TRUE)*(F2301-Calc!F22)),(Inputs!$B$23+0+(IF(ArtifactsInput!$M$15,CHOOSE(ArtifactsInput!$N$15+1,25,30,35,40,45,50)/100*(Inputs!$B$11-Inputs!$B$11),0))))/100+(Inputs!$B$23+0+(IF(ArtifactsInput!$M$15,CHOOSE(ArtifactsInput!$N$15+1,25,30,35,40,45,50)/100*(Inputs!$B$11-Inputs!$B$11),0)))/100)/2</f>
        <v/>
      </c>
      <c r="M2291">
        <f>L2291*(1+(Inputs!$B$10+((C2304=TRUE)*(F2304-Calc!F25))+B2315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91">
        <f>L2291*(1-MIN((Inputs!$B$9+((C2298=TRUE)*(F2298-Calc!F19))+B2310+(ArtifactsInput!$M$24-ArtifactsInput!$M$24)*CHOOSE(ArtifactsInput!$N$24+1,10,12,14,16,18,20)+(IF(AND(Inputs!$B$38&lt;&gt;"pvp",Inputs!$B$43=0),1,IF(IF(Inputs!$B$38="pvp",15,Inputs!$B$43)-(B2317)&lt;=0,1,MAX(0,IF(Inputs!$B$38="pvp",15,Inputs!$B$43)-MAX(5,B2317))/(IF(Inputs!$B$38="pvp",15,Inputs!$B$43)-(B2317))))*IF(AND(ArtifactsInput!$M$42,((Inputs!$B$9+((C2298=TRUE)*(F2298-Calc!F19))+B2310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2291*(MIN((Inputs!$B$9+((C2298=TRUE)*(F2298-Calc!F19))+B2310+(ArtifactsInput!$M$24-ArtifactsInput!$M$24)*CHOOSE(ArtifactsInput!$N$24+1,10,12,14,16,18,20)+(IF(AND(Inputs!$B$38&lt;&gt;"pvp",Inputs!$B$43=0),1,IF(IF(Inputs!$B$38="pvp",15,Inputs!$B$43)-(B2317)&lt;=0,1,MAX(0,IF(Inputs!$B$38="pvp",15,Inputs!$B$43)-MAX(5,B2317))/(IF(Inputs!$B$38="pvp",15,Inputs!$B$43)-(B2317))))*IF(AND(ArtifactsInput!$M$42,((Inputs!$B$9+((C2298=TRUE)*(F2298-Calc!F19))+B2310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91">
        <f>(1-Summary!$B$11)*T2291+Summary!$B$11*V2291</f>
        <v/>
      </c>
      <c r="P2291">
        <f>IF(B2320=0,0,O2291/B2320)</f>
        <v/>
      </c>
      <c r="Q2291">
        <f>IFERROR(1/(IF(Inputs!$B$38="pvp",15,MAX(0.1,Skills!D12-IF(TRUE=TRUE,Inputs!$B$32,0)))*(1-IF(AND(ArtifactsInput!$M$27,Inputs!$B$4="Chapter Hunt"),CHOOSE(ArtifactsInput!$N$27+1,20,24,28,32,36,40),0)/100)),0)</f>
        <v/>
      </c>
      <c r="R2291">
        <f>IF(AND(Inputs!$B$38&lt;&gt;"pvp",Inputs!$B$43&gt;0),IF(MAX(0,Inputs!$B$43-B2317)&lt;=0,0,(INT(MAX(0,Inputs!$B$43-B2317)/(IF(Inputs!$B$38="pvp",15,MAX(0.1,Skills!D12-IF(TRUE=TRUE,Inputs!$B$32,0)))*(1-IF(AND(ArtifactsInput!$M$27,Inputs!$B$4="Chapter Hunt"),CHOOSE(ArtifactsInput!$N$27+1,20,24,28,32,36,40),0)/100)))+1)),0)</f>
        <v/>
      </c>
      <c r="S2291">
        <f>IFERROR(O2291/N2291,0)</f>
        <v/>
      </c>
      <c r="T2291">
        <f>IF(C2291,(H2291*N2291*IF(AND(Inputs!$B$38&lt;&gt;"pvp",Inputs!$B$43&gt;0),((Skills!G12*((R2291-1)*IF(Skills!H12&gt;0,INT(Skills!I12/Skills!H12+0.000000001),1)+IF(Skills!H12&gt;0,INT(MIN(Skills!I12,MAX(0,MAX(0,Inputs!$B$43-B2317)-((R2291-1)*(IF(Inputs!$B$38="pvp",15,MAX(0.1,Skills!D12-IF(TRUE=TRUE,Inputs!$B$32,0)))*(1-IF(AND(ArtifactsInput!$M$27,Inputs!$B$4="Chapter Hunt"),CHOOSE(ArtifactsInput!$N$27+1,20,24,28,32,36,40),0)/100)))))/Skills!H12+0.000000001),1)))/Inputs!$B$43),G2291*Q2291))*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Hunt"),CHOOSE(ArtifactsInput!$N$35+1,15,18,21,24,27,30)*(1-EXP(-(0.2*B2312)*5)),0)+IF(AND(ArtifactsInput!$M$22,Inputs!$B$4&lt;&gt;"Chapter Hunt"),CHOOSE(ArtifactsInput!$N$22+1,10,12,14,16,18,20)*((0*(((0.15*B2312*5))^0/1)+1*(((0.15*B2312*5))^1/1)+2*(((0.15*B2312*5))^2/2)+3*(((0.15*B2312*5))^3/6)+4*(((0.15*B2312*5))^4/24)+5*(((0.15*B2312*5))^5/120))/((((0.15*B2312*5))^0/1)+(((0.15*B2312*5))^1/1)+(((0.15*B2312*5))^2/2)+(((0.15*B2312*5))^3/6)+(((0.15*B2312*5))^4/24)+(((0.15*B2312*5))^5/120))),0))+IF(Inputs!$B$3&gt;=54,9*(C2282=TRUE)*MIN(1,8*(1+Inputs!$B$34/100)*Q2282)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2291*(1-MIN(100,(Inputs!$B$9+((C2298=TRUE)*(F2298-Calc!F19))+B2310+(ArtifactsInput!$M$24-ArtifactsInput!$M$24)*CHOOSE(ArtifactsInput!$N$24+1,10,12,14,16,18,20)+(IF(AND(Inputs!$B$38&lt;&gt;"pvp",Inputs!$B$43=0),1,IF(IF(Inputs!$B$38="pvp",15,Inputs!$B$43)-(B2317)&lt;=0,1,MAX(0,IF(Inputs!$B$38="pvp",15,Inputs!$B$43)-MAX(5,B2317))/(IF(Inputs!$B$38="pvp",15,Inputs!$B$43)-(B2317))))*IF(AND(ArtifactsInput!$M$42,((Inputs!$B$9+((C2298=TRUE)*(F2298-Calc!F19))+B2310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2291*(MIN(100,(Inputs!$B$9+((C2298=TRUE)*(F2298-Calc!F19))+B2310+(ArtifactsInput!$M$24-ArtifactsInput!$M$24)*CHOOSE(ArtifactsInput!$N$24+1,10,12,14,16,18,20)+(IF(AND(Inputs!$B$38&lt;&gt;"pvp",Inputs!$B$43=0),1,IF(IF(Inputs!$B$38="pvp",15,Inputs!$B$43)-(B2317)&lt;=0,1,MAX(0,IF(Inputs!$B$38="pvp",15,Inputs!$B$43)-MAX(5,B2317))/(IF(Inputs!$B$38="pvp",15,Inputs!$B$43)-(B2317))))*IF(AND(ArtifactsInput!$M$42,((Inputs!$B$9+((C2298=TRUE)*(F2298-Calc!F19))+B2310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2291*(1-MIN(100,(Inputs!$B$9+((C2298=TRUE)*(F2298-Calc!F19))+B2310+(ArtifactsInput!$M$24-ArtifactsInput!$M$24)*CHOOSE(ArtifactsInput!$N$24+1,10,12,14,16,18,20)+(IF(AND(Inputs!$B$38&lt;&gt;"pvp",Inputs!$B$43=0),1,IF(IF(Inputs!$B$38="pvp",15,Inputs!$B$43)-(B2317)&lt;=0,1,MAX(0,IF(Inputs!$B$38="pvp",15,Inputs!$B$43)-MAX(5,B2317))/(IF(Inputs!$B$38="pvp",15,Inputs!$B$43)-(B2317))))*IF(AND(ArtifactsInput!$M$42,((Inputs!$B$9+((C2298=TRUE)*(F2298-Calc!F19))+B2310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2291*(MIN(100,(Inputs!$B$9+((C2298=TRUE)*(F2298-Calc!F19))+B2310+(ArtifactsInput!$M$24-ArtifactsInput!$M$24)*CHOOSE(ArtifactsInput!$N$24+1,10,12,14,16,18,20)+(IF(AND(Inputs!$B$38&lt;&gt;"pvp",Inputs!$B$43=0),1,IF(IF(Inputs!$B$38="pvp",15,Inputs!$B$43)-(B2317)&lt;=0,1,MAX(0,IF(Inputs!$B$38="pvp",15,Inputs!$B$43)-MAX(5,B2317))/(IF(Inputs!$B$38="pvp",15,Inputs!$B$43)-(B2317))))*IF(AND(ArtifactsInput!$M$42,((Inputs!$B$9+((C2298=TRUE)*(F2298-Calc!F19))+B2310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291">
        <f>IF(C2291,(H2291*N2291*IF(AND(Inputs!$B$38&lt;&gt;"pvp",Inputs!$B$43&gt;0),((Skills!G12*((R2291-1)*IF(Skills!H12&gt;0,INT(Skills!I12/Skills!H12+0.000000001),1)+IF(Skills!H12&gt;0,INT(MIN(Skills!I12,MAX(0,MAX(0,Inputs!$B$43-B2317)-((R2291-1)*(IF(Inputs!$B$38="pvp",15,MAX(0.1,Skills!D12-IF(TRUE=TRUE,Inputs!$B$32,0)))*(1-IF(AND(ArtifactsInput!$M$27,Inputs!$B$4="Chapter Hunt"),CHOOSE(ArtifactsInput!$N$27+1,20,24,28,32,36,40),0)/100)))))/Skills!H12+0.000000001),1)))/Inputs!$B$43),G2291*Q2291))*IF(Inputs!$B$38="pvp",1,(1+(Inputs!$B$21+Skills!Q12+(IF(ArtifactsInput!$M$33,CHOOSE(ArtifactsInput!$N$33+1,30,36,42,48,54,60),0))+(IF(AND(ArtifactsInput!$M$35,Inputs!$B$4&lt;&gt;"Chapter Hunt"),CHOOSE(ArtifactsInput!$N$35+1,15,18,21,24,27,30)*(1-EXP(-(0.2*B2312)*5)),0)+IF(AND(ArtifactsInput!$M$22,Inputs!$B$4&lt;&gt;"Chapter Hunt"),CHOOSE(ArtifactsInput!$N$22+1,10,12,14,16,18,20)*((0*(((0.15*B2312*5))^0/1)+1*(((0.15*B2312*5))^1/1)+2*(((0.15*B2312*5))^2/2)+3*(((0.15*B2312*5))^3/6)+4*(((0.15*B2312*5))^4/24)+5*(((0.15*B2312*5))^5/120))/((((0.15*B2312*5))^0/1)+(((0.15*B2312*5))^1/1)+(((0.15*B2312*5))^2/2)+(((0.15*B2312*5))^3/6)+(((0.15*B2312*5))^4/24)+(((0.15*B2312*5))^5/120))),0))+IF(Inputs!$B$3&gt;=54,9*(C2282=TRUE)*MIN(1,8*(1+Inputs!$B$34/100)*Q2282),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92">
      <c r="A2292">
        <f>Skills!A13</f>
        <v/>
      </c>
      <c r="B2292">
        <f>Skills!B13</f>
        <v/>
      </c>
      <c r="C2292">
        <f>Inputs!$B$3&gt;=110</f>
        <v/>
      </c>
      <c r="D2292">
        <f>IF(Skills!C13=1,60+Inputs!$B$25+Inputs!$B$29,IF(Skills!C13=2,90+Inputs!$B$26+Inputs!$B$29,IF(Skills!C13=3,120+Inputs!$B$27+Inputs!$B$29,MAX(0,(Inputs!$B$3-100)*3)+Inputs!$B$28+Inputs!$B$29)))</f>
        <v/>
      </c>
      <c r="E2292">
        <f>INDEX(FactorTable!$B$2:$Y$301, MATCH(ROUND(MIN(300,MAX(1,D2292)),0), FactorTable!$A$2:$A$301,0), Skills!M13+1)</f>
        <v/>
      </c>
      <c r="F2292">
        <f>IF(Skills!N13=TRUE,(Skills!L13/10)*(E2292/1000),Skills!L13/10)+Skills!O13</f>
        <v/>
      </c>
      <c r="G2292">
        <f>Skills!G13*IF(Skills!H13&gt;0,INT(IF(Inputs!$B$38="pvp",MIN(Skills!I13,15),Skills!I13)/Skills!H13+0.000000001),1)</f>
        <v/>
      </c>
      <c r="H2292">
        <f>1-(1-Skills!J13/100)^Skills!K13</f>
        <v/>
      </c>
      <c r="I2292" t="inlineStr">
        <is>
          <t>1</t>
        </is>
      </c>
      <c r="J2292">
        <f>((Inputs!$B$6*(1+Inputs!$B$7/100))+(((Inputs!$B$12*(1+Inputs!$B$13/100))-(Inputs!$B$12*(1+Inputs!$B$13/100)))+0.25*(Inputs!$B$14-Inputs!$B$14))*(1+Inputs!$B$7/100))*(F2292/100)</f>
        <v/>
      </c>
      <c r="K2292">
        <f>J2292*(1+((Inputs!$B$12*(1+Inputs!$B$13/100))*0.01+Inputs!$B$14*0.0025)/100)*(1+Inputs!$B$15/100)*(1+Inputs!$B$16/100)*(5000/(6000+Inputs!$B$42*(1-(100*(1-(1-(Inputs!$B$19+0)/100)*(1-CHOOSE(ArtifactsInput!$N$40+1,5,6,7,8,9,10)/100)^(ArtifactsInput!$M$40-ArtifactsInput!$M$40)))/100)))*(1+(Inputs!$B$24+((C2305=TRUE)*(F2305-Calc!F26))+B2316)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IF(ArtifactsInput!$M$29,FALSE,TRUE)-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EIGHT_LEGS_EASTON",Inputs!$B$17+((C2302=TRUE)*(F2302-Calc!F23))+((C2306=TRUE)*(F2306-Calc!F27))+((IF(AND(Inputs!$B$38&lt;&gt;"pvp",Inputs!$B$43=0),1,IF(IF(Inputs!$B$38="pvp",15,Inputs!$B$43)-(B2317)&lt;=0,1,MAX(0,IF(Inputs!$B$38="pvp",15,Inputs!$B$43)-MAX(5,B2317))/(IF(Inputs!$B$38="pvp",15,Inputs!$B$43)-(B2317))))*(IF(AND(ArtifactsInput!$M$42,((Inputs!$B$9+((C2298=TRUE)*(F2298-Calc!F19))+B2310+(ArtifactsInput!$M$24-ArtifactsInput!$M$24)*CHOOSE(ArtifactsInput!$N$24+1,10,12,14,16,18,20)+IF(ArtifactsInput!$M$10,CHOOSE(ArtifactsInput!$N$10+1,15,18,21,24,27,30)*(IF(Inputs!$B$38="pvp",MIN(15,15)/15,IF(AND(Inputs!$B$38&lt;&gt;"pvp",Inputs!$B$43&gt;0),MIN(15,Inputs!$B$43)/(Inputs!$B$43),0))),0)))&gt;=100),MIN(100,((Inputs!$B$9+((C2298=TRUE)*(F2298-Calc!F19))+B2310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2317)&lt;=0,1,MAX(0,IF(Inputs!$B$38="pvp",15,Inputs!$B$43)-MAX(5,B2317))/(IF(Inputs!$B$38="pvp",15,Inputs!$B$43)-(B2317))))*IF(AND(ArtifactsInput!$M$42,((Inputs!$B$9+((C2298=TRUE)*(F2298-Calc!F19))+B2310+(ArtifactsInput!$M$24-ArtifactsInput!$M$24)*CHOOSE(ArtifactsInput!$N$24+1,10,12,14,16,18,20)+IF(ArtifactsInput!$M$10,CHOOSE(ArtifactsInput!$N$10+1,15,18,21,24,27,30)*(IF(Inputs!$B$38="pvp",MIN(15,15)/15,IF(AND(Inputs!$B$38&lt;&gt;"pvp",Inputs!$B$43&gt;0),MIN(15,Inputs!$B$43)/(Inputs!$B$43),0))),0)))&gt;=100),CHOOSE(ArtifactsInput!$N$42+1,40,48,56,64,72,80),0))))/100)*((1+(((C2296=TRUE)*F2296*5/7)+((C2303=TRUE)*(F2303-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2292)</f>
        <v/>
      </c>
      <c r="L2292">
        <f>K2292*(MIN(Inputs!$B$22+((C2301=TRUE)*(F2301-Calc!F22)),(Inputs!$B$23+0+(IF(ArtifactsInput!$M$15,CHOOSE(ArtifactsInput!$N$15+1,25,30,35,40,45,50)/100*(Inputs!$B$11-Inputs!$B$11),0))))/100+(Inputs!$B$23+0+(IF(ArtifactsInput!$M$15,CHOOSE(ArtifactsInput!$N$15+1,25,30,35,40,45,50)/100*(Inputs!$B$11-Inputs!$B$11),0)))/100)/2</f>
        <v/>
      </c>
      <c r="M2292">
        <f>L2292*(1+(Inputs!$B$10+((C2304=TRUE)*(F2304-Calc!F25))+B2315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92">
        <f>L2292*(1-MIN((Inputs!$B$9+((C2298=TRUE)*(F2298-Calc!F19))+B2310+(ArtifactsInput!$M$24-ArtifactsInput!$M$24)*CHOOSE(ArtifactsInput!$N$24+1,10,12,14,16,18,20)+(IF(AND(Inputs!$B$38&lt;&gt;"pvp",Inputs!$B$43=0),1,IF(IF(Inputs!$B$38="pvp",15,Inputs!$B$43)-(B2317)&lt;=0,1,MAX(0,IF(Inputs!$B$38="pvp",15,Inputs!$B$43)-MAX(5,B2317))/(IF(Inputs!$B$38="pvp",15,Inputs!$B$43)-(B2317))))*IF(AND(ArtifactsInput!$M$42,((Inputs!$B$9+((C2298=TRUE)*(F2298-Calc!F19))+B2310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2292*(MIN((Inputs!$B$9+((C2298=TRUE)*(F2298-Calc!F19))+B2310+(ArtifactsInput!$M$24-ArtifactsInput!$M$24)*CHOOSE(ArtifactsInput!$N$24+1,10,12,14,16,18,20)+(IF(AND(Inputs!$B$38&lt;&gt;"pvp",Inputs!$B$43=0),1,IF(IF(Inputs!$B$38="pvp",15,Inputs!$B$43)-(B2317)&lt;=0,1,MAX(0,IF(Inputs!$B$38="pvp",15,Inputs!$B$43)-MAX(5,B2317))/(IF(Inputs!$B$38="pvp",15,Inputs!$B$43)-(B2317))))*IF(AND(ArtifactsInput!$M$42,((Inputs!$B$9+((C2298=TRUE)*(F2298-Calc!F19))+B2310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92">
        <f>(1-Summary!$B$11)*T2292+Summary!$B$11*V2292</f>
        <v/>
      </c>
      <c r="P2292">
        <f>IF(B2320=0,0,O2292/B2320)</f>
        <v/>
      </c>
      <c r="Q2292">
        <f>IFERROR(1/(IF(Inputs!$B$38="pvp",15,MAX(0.1,Skills!D13-IF(TRUE=TRUE,Inputs!$B$32,0)))*(1-IF(AND(ArtifactsInput!$M$27,Inputs!$B$4="Chapter Hunt"),CHOOSE(ArtifactsInput!$N$27+1,20,24,28,32,36,40),0)/100)),0)</f>
        <v/>
      </c>
      <c r="R2292">
        <f>IF(AND(Inputs!$B$38&lt;&gt;"pvp",Inputs!$B$43&gt;0),IF(MAX(0,Inputs!$B$43-B2317)&lt;=0,0,(INT(MAX(0,Inputs!$B$43-B2317)/(IF(Inputs!$B$38="pvp",15,MAX(0.1,Skills!D13-IF(TRUE=TRUE,Inputs!$B$32,0)))*(1-IF(AND(ArtifactsInput!$M$27,Inputs!$B$4="Chapter Hunt"),CHOOSE(ArtifactsInput!$N$27+1,20,24,28,32,36,40),0)/100)))+1)),0)</f>
        <v/>
      </c>
      <c r="S2292">
        <f>IFERROR(O2292/N2292,0)</f>
        <v/>
      </c>
      <c r="T2292">
        <f>IF(C2292,(H2292*N2292*IF(AND(Inputs!$B$38&lt;&gt;"pvp",Inputs!$B$43&gt;0),((Skills!G13*((R2292-1)*IF(Skills!H13&gt;0,INT(Skills!I13/Skills!H13+0.000000001),1)+IF(Skills!H13&gt;0,INT(MIN(Skills!I13,MAX(0,MAX(0,Inputs!$B$43-B2317)-((R2292-1)*(IF(Inputs!$B$38="pvp",15,MAX(0.1,Skills!D13-IF(TRUE=TRUE,Inputs!$B$32,0)))*(1-IF(AND(ArtifactsInput!$M$27,Inputs!$B$4="Chapter Hunt"),CHOOSE(ArtifactsInput!$N$27+1,20,24,28,32,36,40),0)/100)))))/Skills!H13+0.000000001),1)))/Inputs!$B$43),G2292*Q2292))*IF(Inputs!$B$38="pvp",1,1+(Inputs!$B$20+0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Hunt"),CHOOSE(ArtifactsInput!$N$35+1,15,18,21,24,27,30)*(1-EXP(-(0.2*B2312)*5)),0)+IF(AND(ArtifactsInput!$M$22,Inputs!$B$4&lt;&gt;"Chapter Hunt"),CHOOSE(ArtifactsInput!$N$22+1,10,12,14,16,18,20)*((0*(((0.15*B2312*5))^0/1)+1*(((0.15*B2312*5))^1/1)+2*(((0.15*B2312*5))^2/2)+3*(((0.15*B2312*5))^3/6)+4*(((0.15*B2312*5))^4/24)+5*(((0.15*B2312*5))^5/120))/((((0.15*B2312*5))^0/1)+(((0.15*B2312*5))^1/1)+(((0.15*B2312*5))^2/2)+(((0.15*B2312*5))^3/6)+(((0.15*B2312*5))^4/24)+(((0.15*B2312*5))^5/120))),0))+IF(Inputs!$B$3&gt;=54,9*(C2282=TRUE)*MIN(1,8*(1+Inputs!$B$34/100)*Q2282)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2292*(1-MIN(100,(Inputs!$B$9+((C2298=TRUE)*(F2298-Calc!F19))+B2310+(ArtifactsInput!$M$24-ArtifactsInput!$M$24)*CHOOSE(ArtifactsInput!$N$24+1,10,12,14,16,18,20)+(IF(AND(Inputs!$B$38&lt;&gt;"pvp",Inputs!$B$43=0),1,IF(IF(Inputs!$B$38="pvp",15,Inputs!$B$43)-(B2317)&lt;=0,1,MAX(0,IF(Inputs!$B$38="pvp",15,Inputs!$B$43)-MAX(5,B2317))/(IF(Inputs!$B$38="pvp",15,Inputs!$B$43)-(B2317))))*IF(AND(ArtifactsInput!$M$42,((Inputs!$B$9+((C2298=TRUE)*(F2298-Calc!F19))+B2310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2292*(MIN(100,(Inputs!$B$9+((C2298=TRUE)*(F2298-Calc!F19))+B2310+(ArtifactsInput!$M$24-ArtifactsInput!$M$24)*CHOOSE(ArtifactsInput!$N$24+1,10,12,14,16,18,20)+(IF(AND(Inputs!$B$38&lt;&gt;"pvp",Inputs!$B$43=0),1,IF(IF(Inputs!$B$38="pvp",15,Inputs!$B$43)-(B2317)&lt;=0,1,MAX(0,IF(Inputs!$B$38="pvp",15,Inputs!$B$43)-MAX(5,B2317))/(IF(Inputs!$B$38="pvp",15,Inputs!$B$43)-(B2317))))*IF(AND(ArtifactsInput!$M$42,((Inputs!$B$9+((C2298=TRUE)*(F2298-Calc!F19))+B2310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2292*(1-MIN(100,(Inputs!$B$9+((C2298=TRUE)*(F2298-Calc!F19))+B2310+(ArtifactsInput!$M$24-ArtifactsInput!$M$24)*CHOOSE(ArtifactsInput!$N$24+1,10,12,14,16,18,20)+(IF(AND(Inputs!$B$38&lt;&gt;"pvp",Inputs!$B$43=0),1,IF(IF(Inputs!$B$38="pvp",15,Inputs!$B$43)-(B2317)&lt;=0,1,MAX(0,IF(Inputs!$B$38="pvp",15,Inputs!$B$43)-MAX(5,B2317))/(IF(Inputs!$B$38="pvp",15,Inputs!$B$43)-(B2317))))*IF(AND(ArtifactsInput!$M$42,((Inputs!$B$9+((C2298=TRUE)*(F2298-Calc!F19))+B2310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2292*(MIN(100,(Inputs!$B$9+((C2298=TRUE)*(F2298-Calc!F19))+B2310+(ArtifactsInput!$M$24-ArtifactsInput!$M$24)*CHOOSE(ArtifactsInput!$N$24+1,10,12,14,16,18,20)+(IF(AND(Inputs!$B$38&lt;&gt;"pvp",Inputs!$B$43=0),1,IF(IF(Inputs!$B$38="pvp",15,Inputs!$B$43)-(B2317)&lt;=0,1,MAX(0,IF(Inputs!$B$38="pvp",15,Inputs!$B$43)-MAX(5,B2317))/(IF(Inputs!$B$38="pvp",15,Inputs!$B$43)-(B2317))))*IF(AND(ArtifactsInput!$M$42,((Inputs!$B$9+((C2298=TRUE)*(F2298-Calc!F19))+B2310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292">
        <f>IF(C2292,(H2292*N2292*IF(AND(Inputs!$B$38&lt;&gt;"pvp",Inputs!$B$43&gt;0),((Skills!G13*((R2292-1)*IF(Skills!H13&gt;0,INT(Skills!I13/Skills!H13+0.000000001),1)+IF(Skills!H13&gt;0,INT(MIN(Skills!I13,MAX(0,MAX(0,Inputs!$B$43-B2317)-((R2292-1)*(IF(Inputs!$B$38="pvp",15,MAX(0.1,Skills!D13-IF(TRUE=TRUE,Inputs!$B$32,0)))*(1-IF(AND(ArtifactsInput!$M$27,Inputs!$B$4="Chapter Hunt"),CHOOSE(ArtifactsInput!$N$27+1,20,24,28,32,36,40),0)/100)))))/Skills!H13+0.000000001),1)))/Inputs!$B$43),G2292*Q2292))*IF(Inputs!$B$38="pvp",1,(1+(Inputs!$B$21+Skills!Q13+(IF(ArtifactsInput!$M$33,CHOOSE(ArtifactsInput!$N$33+1,30,36,42,48,54,60),0))+(IF(AND(ArtifactsInput!$M$35,Inputs!$B$4&lt;&gt;"Chapter Hunt"),CHOOSE(ArtifactsInput!$N$35+1,15,18,21,24,27,30)*(1-EXP(-(0.2*B2312)*5)),0)+IF(AND(ArtifactsInput!$M$22,Inputs!$B$4&lt;&gt;"Chapter Hunt"),CHOOSE(ArtifactsInput!$N$22+1,10,12,14,16,18,20)*((0*(((0.15*B2312*5))^0/1)+1*(((0.15*B2312*5))^1/1)+2*(((0.15*B2312*5))^2/2)+3*(((0.15*B2312*5))^3/6)+4*(((0.15*B2312*5))^4/24)+5*(((0.15*B2312*5))^5/120))/((((0.15*B2312*5))^0/1)+(((0.15*B2312*5))^1/1)+(((0.15*B2312*5))^2/2)+(((0.15*B2312*5))^3/6)+(((0.15*B2312*5))^4/24)+(((0.15*B2312*5))^5/120))),0))+IF(Inputs!$B$3&gt;=54,9*(C2282=TRUE)*MIN(1,8*(1+Inputs!$B$34/100)*Q2282),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93">
      <c r="A2293">
        <f>Skills!A14</f>
        <v/>
      </c>
      <c r="B2293">
        <f>Skills!B14</f>
        <v/>
      </c>
      <c r="C2293">
        <f>Inputs!$B$3&gt;=120</f>
        <v/>
      </c>
      <c r="D2293">
        <f>IF(Skills!C14=1,60+Inputs!$B$25+Inputs!$B$29,IF(Skills!C14=2,90+Inputs!$B$26+Inputs!$B$29,IF(Skills!C14=3,120+Inputs!$B$27+Inputs!$B$29,MAX(0,(Inputs!$B$3-100)*3)+Inputs!$B$28+Inputs!$B$29)))</f>
        <v/>
      </c>
      <c r="E2293">
        <f>INDEX(FactorTable!$B$2:$Y$301, MATCH(ROUND(MIN(300,MAX(1,D2293)),0), FactorTable!$A$2:$A$301,0), Skills!M14+1)</f>
        <v/>
      </c>
      <c r="F2293">
        <f>IF(Skills!N14=TRUE,(Skills!L14/10)*(E2293/1000),Skills!L14/10)+Skills!O14</f>
        <v/>
      </c>
      <c r="G2293">
        <f>Skills!G14*IF(Skills!H14&gt;0,INT(IF(Inputs!$B$38="pvp",MIN(Skills!I14,15),Skills!I14)/Skills!H14+0.000000001),1)</f>
        <v/>
      </c>
      <c r="H2293">
        <f>1-(1-Skills!J14/100)^Skills!K14</f>
        <v/>
      </c>
      <c r="I2293" t="inlineStr">
        <is>
          <t>1</t>
        </is>
      </c>
      <c r="J2293">
        <f>((Inputs!$B$6*(1+Inputs!$B$7/100))+(((Inputs!$B$12*(1+Inputs!$B$13/100))-(Inputs!$B$12*(1+Inputs!$B$13/100)))+0.25*(Inputs!$B$14-Inputs!$B$14))*(1+Inputs!$B$7/100))*(F2293/100)</f>
        <v/>
      </c>
      <c r="K2293">
        <f>J2293*(1+((Inputs!$B$12*(1+Inputs!$B$13/100))*0.01+Inputs!$B$14*0.0025)/100)*(1+Inputs!$B$15/100)*(1+Inputs!$B$16/100)*(5000/(6000+Inputs!$B$42*(1-(100*(1-(1-(Inputs!$B$19+0)/100)*(1-CHOOSE(ArtifactsInput!$N$40+1,5,6,7,8,9,10)/100)^(ArtifactsInput!$M$40-ArtifactsInput!$M$40)))/100)))*(1+(Inputs!$B$24+((C2305=TRUE)*(F2305-Calc!F26))+B2316)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IF(ArtifactsInput!$M$29,FALSE,TRUE)-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EIGHT_LEGS_EASTON",Inputs!$B$17+((C2302=TRUE)*(F2302-Calc!F23))+((C2306=TRUE)*(F2306-Calc!F27))+((IF(AND(Inputs!$B$38&lt;&gt;"pvp",Inputs!$B$43=0),1,IF(IF(Inputs!$B$38="pvp",15,Inputs!$B$43)-(B2317)&lt;=0,1,MAX(0,IF(Inputs!$B$38="pvp",15,Inputs!$B$43)-MAX(5,B2317))/(IF(Inputs!$B$38="pvp",15,Inputs!$B$43)-(B2317))))*(IF(AND(ArtifactsInput!$M$42,((Inputs!$B$9+((C2298=TRUE)*(F2298-Calc!F19))+B2310+(ArtifactsInput!$M$24-ArtifactsInput!$M$24)*CHOOSE(ArtifactsInput!$N$24+1,10,12,14,16,18,20)+IF(ArtifactsInput!$M$10,CHOOSE(ArtifactsInput!$N$10+1,15,18,21,24,27,30)*(IF(Inputs!$B$38="pvp",MIN(15,15)/15,IF(AND(Inputs!$B$38&lt;&gt;"pvp",Inputs!$B$43&gt;0),MIN(15,Inputs!$B$43)/(Inputs!$B$43),0))),0)))&gt;=100),MIN(100,((Inputs!$B$9+((C2298=TRUE)*(F2298-Calc!F19))+B2310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2317)&lt;=0,1,MAX(0,IF(Inputs!$B$38="pvp",15,Inputs!$B$43)-MAX(5,B2317))/(IF(Inputs!$B$38="pvp",15,Inputs!$B$43)-(B2317))))*IF(AND(ArtifactsInput!$M$42,((Inputs!$B$9+((C2298=TRUE)*(F2298-Calc!F19))+B2310+(ArtifactsInput!$M$24-ArtifactsInput!$M$24)*CHOOSE(ArtifactsInput!$N$24+1,10,12,14,16,18,20)+IF(ArtifactsInput!$M$10,CHOOSE(ArtifactsInput!$N$10+1,15,18,21,24,27,30)*(IF(Inputs!$B$38="pvp",MIN(15,15)/15,IF(AND(Inputs!$B$38&lt;&gt;"pvp",Inputs!$B$43&gt;0),MIN(15,Inputs!$B$43)/(Inputs!$B$43),0))),0)))&gt;=100),CHOOSE(ArtifactsInput!$N$42+1,40,48,56,64,72,80),0))))/100)*((1+(((C2296=TRUE)*F2296*5/7)+((C2303=TRUE)*(F2303-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2293)</f>
        <v/>
      </c>
      <c r="L2293">
        <f>K2293*(MIN(Inputs!$B$22+((C2301=TRUE)*(F2301-Calc!F22)),(Inputs!$B$23+0+(IF(ArtifactsInput!$M$15,CHOOSE(ArtifactsInput!$N$15+1,25,30,35,40,45,50)/100*(Inputs!$B$11-Inputs!$B$11),0))))/100+(Inputs!$B$23+0+(IF(ArtifactsInput!$M$15,CHOOSE(ArtifactsInput!$N$15+1,25,30,35,40,45,50)/100*(Inputs!$B$11-Inputs!$B$11),0)))/100)/2</f>
        <v/>
      </c>
      <c r="M2293">
        <f>L2293*(1+(Inputs!$B$10+((C2304=TRUE)*(F2304-Calc!F25))+B2315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93">
        <f>L2293*(1-MIN((Inputs!$B$9+((C2298=TRUE)*(F2298-Calc!F19))+B2310+(ArtifactsInput!$M$24-ArtifactsInput!$M$24)*CHOOSE(ArtifactsInput!$N$24+1,10,12,14,16,18,20)+(IF(AND(Inputs!$B$38&lt;&gt;"pvp",Inputs!$B$43=0),1,IF(IF(Inputs!$B$38="pvp",15,Inputs!$B$43)-(B2317)&lt;=0,1,MAX(0,IF(Inputs!$B$38="pvp",15,Inputs!$B$43)-MAX(5,B2317))/(IF(Inputs!$B$38="pvp",15,Inputs!$B$43)-(B2317))))*IF(AND(ArtifactsInput!$M$42,((Inputs!$B$9+((C2298=TRUE)*(F2298-Calc!F19))+B2310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2293*(MIN((Inputs!$B$9+((C2298=TRUE)*(F2298-Calc!F19))+B2310+(ArtifactsInput!$M$24-ArtifactsInput!$M$24)*CHOOSE(ArtifactsInput!$N$24+1,10,12,14,16,18,20)+(IF(AND(Inputs!$B$38&lt;&gt;"pvp",Inputs!$B$43=0),1,IF(IF(Inputs!$B$38="pvp",15,Inputs!$B$43)-(B2317)&lt;=0,1,MAX(0,IF(Inputs!$B$38="pvp",15,Inputs!$B$43)-MAX(5,B2317))/(IF(Inputs!$B$38="pvp",15,Inputs!$B$43)-(B2317))))*IF(AND(ArtifactsInput!$M$42,((Inputs!$B$9+((C2298=TRUE)*(F2298-Calc!F19))+B2310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93">
        <f>(1-Summary!$B$11)*T2293+Summary!$B$11*V2293</f>
        <v/>
      </c>
      <c r="P2293">
        <f>IF(B2320=0,0,O2293/B2320)</f>
        <v/>
      </c>
      <c r="Q2293" t="n">
        <v>0</v>
      </c>
      <c r="R2293" t="n">
        <v>0</v>
      </c>
      <c r="S2293">
        <f>IFERROR(O2293/N2293,0)</f>
        <v/>
      </c>
      <c r="T2293">
        <f>IF(C2293,((H2293*(B2314+IF(AND(Inputs!$B$38&lt;&gt;"pvp",Inputs!$B$43&gt;0),((Skills!G8*((R2287-1)*IF(Skills!H8&gt;0,INT(Skills!I8/Skills!H8+0.000000001),1)+IF(Skills!H8&gt;0,INT(MIN(Skills!I8,MAX(0,MAX(0,Inputs!$B$43-B2317)-((R2287-1)*((IF(Inputs!$B$38="pvp",15,MAX(0.1,Skills!D8-IF(TRUE=TRUE,Inputs!$B$32,0)))*(1-IF(AND(ArtifactsInput!$M$27,Inputs!$B$4="Chapter Hunt"),CHOOSE(ArtifactsInput!$N$27+1,20,24,28,32,36,40),0)/100))/B2321))))/Skills!H8+0.000000001),1)))/Inputs!$B$43),G2287*Q2287)+IF(AND(Inputs!$B$38&lt;&gt;"pvp",Inputs!$B$43&gt;0),((Skills!G11*((R2290-1)*IF(Skills!H11&gt;0,INT(Skills!I11/Skills!H11+0.000000001),1)+IF(Skills!H11&gt;0,INT(MIN(Skills!I11,MAX(0,MAX(0,Inputs!$B$43-B2317)-((R2290-1)*((IF(Inputs!$B$38="pvp",15,MAX(0.1,Skills!D11-IF(TRUE=TRUE,Inputs!$B$32,0)))*(1-IF(AND(ArtifactsInput!$M$27,Inputs!$B$4="Chapter Hunt"),CHOOSE(ArtifactsInput!$N$27+1,20,24,28,32,36,40),0)/100))/B2321))))/Skills!H11+0.000000001),1)))/Inputs!$B$43),G2290*Q2290)))/(1+Skills!H14*H2293*(B2314+IF(AND(Inputs!$B$38&lt;&gt;"pvp",Inputs!$B$43&gt;0),((Skills!G8*((R2287-1)*IF(Skills!H8&gt;0,INT(Skills!I8/Skills!H8+0.000000001),1)+IF(Skills!H8&gt;0,INT(MIN(Skills!I8,MAX(0,MAX(0,Inputs!$B$43-B2317)-((R2287-1)*((IF(Inputs!$B$38="pvp",15,MAX(0.1,Skills!D8-IF(TRUE=TRUE,Inputs!$B$32,0)))*(1-IF(AND(ArtifactsInput!$M$27,Inputs!$B$4="Chapter Hunt"),CHOOSE(ArtifactsInput!$N$27+1,20,24,28,32,36,40),0)/100))/B2321))))/Skills!H8+0.000000001),1)))/Inputs!$B$43),G2287*Q2287)+IF(AND(Inputs!$B$38&lt;&gt;"pvp",Inputs!$B$43&gt;0),((Skills!G11*((R2290-1)*IF(Skills!H11&gt;0,INT(Skills!I11/Skills!H11+0.000000001),1)+IF(Skills!H11&gt;0,INT(MIN(Skills!I11,MAX(0,MAX(0,Inputs!$B$43-B2317)-((R2290-1)*((IF(Inputs!$B$38="pvp",15,MAX(0.1,Skills!D11-IF(TRUE=TRUE,Inputs!$B$32,0)))*(1-IF(AND(ArtifactsInput!$M$27,Inputs!$B$4="Chapter Hunt"),CHOOSE(ArtifactsInput!$N$27+1,20,24,28,32,36,40),0)/100))/B2321))))/Skills!H11+0.000000001),1)))/Inputs!$B$43),G2290*Q2290)))*N2293)*IF(Inputs!$B$38="pvp",1,1+(Inputs!$B$20+0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Hunt"),CHOOSE(ArtifactsInput!$N$35+1,15,18,21,24,27,30)*(1-EXP(-(0.2*B2312)*5)),0)+IF(AND(ArtifactsInput!$M$22,Inputs!$B$4&lt;&gt;"Chapter Hunt"),CHOOSE(ArtifactsInput!$N$22+1,10,12,14,16,18,20)*((0*(((0.15*B2312*5))^0/1)+1*(((0.15*B2312*5))^1/1)+2*(((0.15*B2312*5))^2/2)+3*(((0.15*B2312*5))^3/6)+4*(((0.15*B2312*5))^4/24)+5*(((0.15*B2312*5))^5/120))/((((0.15*B2312*5))^0/1)+(((0.15*B2312*5))^1/1)+(((0.15*B2312*5))^2/2)+(((0.15*B2312*5))^3/6)+(((0.15*B2312*5))^4/24)+(((0.15*B2312*5))^5/120))),0))+IF(Inputs!$B$3&gt;=54,9*(C2282=TRUE)*MIN(1,8*(1+Inputs!$B$34/100)*Q2282)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2293*(1-MIN(100,(Inputs!$B$9+((C2298=TRUE)*(F2298-Calc!F19))+B2310+(ArtifactsInput!$M$24-ArtifactsInput!$M$24)*CHOOSE(ArtifactsInput!$N$24+1,10,12,14,16,18,20)+(IF(AND(Inputs!$B$38&lt;&gt;"pvp",Inputs!$B$43=0),1,IF(IF(Inputs!$B$38="pvp",15,Inputs!$B$43)-(B2317)&lt;=0,1,MAX(0,IF(Inputs!$B$38="pvp",15,Inputs!$B$43)-MAX(5,B2317))/(IF(Inputs!$B$38="pvp",15,Inputs!$B$43)-(B2317))))*IF(AND(ArtifactsInput!$M$42,((Inputs!$B$9+((C2298=TRUE)*(F2298-Calc!F19))+B2310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2293*(MIN(100,(Inputs!$B$9+((C2298=TRUE)*(F2298-Calc!F19))+B2310+(ArtifactsInput!$M$24-ArtifactsInput!$M$24)*CHOOSE(ArtifactsInput!$N$24+1,10,12,14,16,18,20)+(IF(AND(Inputs!$B$38&lt;&gt;"pvp",Inputs!$B$43=0),1,IF(IF(Inputs!$B$38="pvp",15,Inputs!$B$43)-(B2317)&lt;=0,1,MAX(0,IF(Inputs!$B$38="pvp",15,Inputs!$B$43)-MAX(5,B2317))/(IF(Inputs!$B$38="pvp",15,Inputs!$B$43)-(B2317))))*IF(AND(ArtifactsInput!$M$42,((Inputs!$B$9+((C2298=TRUE)*(F2298-Calc!F19))+B2310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2293*(1-MIN(100,(Inputs!$B$9+((C2298=TRUE)*(F2298-Calc!F19))+B2310+(ArtifactsInput!$M$24-ArtifactsInput!$M$24)*CHOOSE(ArtifactsInput!$N$24+1,10,12,14,16,18,20)+(IF(AND(Inputs!$B$38&lt;&gt;"pvp",Inputs!$B$43=0),1,IF(IF(Inputs!$B$38="pvp",15,Inputs!$B$43)-(B2317)&lt;=0,1,MAX(0,IF(Inputs!$B$38="pvp",15,Inputs!$B$43)-MAX(5,B2317))/(IF(Inputs!$B$38="pvp",15,Inputs!$B$43)-(B2317))))*IF(AND(ArtifactsInput!$M$42,((Inputs!$B$9+((C2298=TRUE)*(F2298-Calc!F19))+B2310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2293*(MIN(100,(Inputs!$B$9+((C2298=TRUE)*(F2298-Calc!F19))+B2310+(ArtifactsInput!$M$24-ArtifactsInput!$M$24)*CHOOSE(ArtifactsInput!$N$24+1,10,12,14,16,18,20)+(IF(AND(Inputs!$B$38&lt;&gt;"pvp",Inputs!$B$43=0),1,IF(IF(Inputs!$B$38="pvp",15,Inputs!$B$43)-(B2317)&lt;=0,1,MAX(0,IF(Inputs!$B$38="pvp",15,Inputs!$B$43)-MAX(5,B2317))/(IF(Inputs!$B$38="pvp",15,Inputs!$B$43)-(B2317))))*IF(AND(ArtifactsInput!$M$42,((Inputs!$B$9+((C2298=TRUE)*(F2298-Calc!F19))+B2310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293">
        <f>IF(C2293,((H2293*(B2314+IF(AND(Inputs!$B$38&lt;&gt;"pvp",Inputs!$B$43&gt;0),((Skills!G8*((R2287-1)*IF(Skills!H8&gt;0,INT(Skills!I8/Skills!H8+0.000000001),1)+IF(Skills!H8&gt;0,INT(MIN(Skills!I8,MAX(0,MAX(0,Inputs!$B$43-B2317)-((R2287-1)*((IF(Inputs!$B$38="pvp",15,MAX(0.1,Skills!D8-IF(TRUE=TRUE,Inputs!$B$32,0)))*(1-IF(AND(ArtifactsInput!$M$27,Inputs!$B$4="Chapter Hunt"),CHOOSE(ArtifactsInput!$N$27+1,20,24,28,32,36,40),0)/100))/B2321))))/Skills!H8+0.000000001),1)))/Inputs!$B$43),G2287*Q2287)+IF(AND(Inputs!$B$38&lt;&gt;"pvp",Inputs!$B$43&gt;0),((Skills!G11*((R2290-1)*IF(Skills!H11&gt;0,INT(Skills!I11/Skills!H11+0.000000001),1)+IF(Skills!H11&gt;0,INT(MIN(Skills!I11,MAX(0,MAX(0,Inputs!$B$43-B2317)-((R2290-1)*((IF(Inputs!$B$38="pvp",15,MAX(0.1,Skills!D11-IF(TRUE=TRUE,Inputs!$B$32,0)))*(1-IF(AND(ArtifactsInput!$M$27,Inputs!$B$4="Chapter Hunt"),CHOOSE(ArtifactsInput!$N$27+1,20,24,28,32,36,40),0)/100))/B2321))))/Skills!H11+0.000000001),1)))/Inputs!$B$43),G2290*Q2290)))/(1+Skills!H14*H2293*(B2314+IF(AND(Inputs!$B$38&lt;&gt;"pvp",Inputs!$B$43&gt;0),((Skills!G8*((R2287-1)*IF(Skills!H8&gt;0,INT(Skills!I8/Skills!H8+0.000000001),1)+IF(Skills!H8&gt;0,INT(MIN(Skills!I8,MAX(0,MAX(0,Inputs!$B$43-B2317)-((R2287-1)*((IF(Inputs!$B$38="pvp",15,MAX(0.1,Skills!D8-IF(TRUE=TRUE,Inputs!$B$32,0)))*(1-IF(AND(ArtifactsInput!$M$27,Inputs!$B$4="Chapter Hunt"),CHOOSE(ArtifactsInput!$N$27+1,20,24,28,32,36,40),0)/100))/B2321))))/Skills!H8+0.000000001),1)))/Inputs!$B$43),G2287*Q2287)+IF(AND(Inputs!$B$38&lt;&gt;"pvp",Inputs!$B$43&gt;0),((Skills!G11*((R2290-1)*IF(Skills!H11&gt;0,INT(Skills!I11/Skills!H11+0.000000001),1)+IF(Skills!H11&gt;0,INT(MIN(Skills!I11,MAX(0,MAX(0,Inputs!$B$43-B2317)-((R2290-1)*((IF(Inputs!$B$38="pvp",15,MAX(0.1,Skills!D11-IF(TRUE=TRUE,Inputs!$B$32,0)))*(1-IF(AND(ArtifactsInput!$M$27,Inputs!$B$4="Chapter Hunt"),CHOOSE(ArtifactsInput!$N$27+1,20,24,28,32,36,40),0)/100))/B2321))))/Skills!H11+0.000000001),1)))/Inputs!$B$43),G2290*Q2290)))*N2293)*IF(Inputs!$B$38="pvp",1,(1+(Inputs!$B$21+Skills!Q14+(IF(ArtifactsInput!$M$33,CHOOSE(ArtifactsInput!$N$33+1,30,36,42,48,54,60),0))+(IF(AND(ArtifactsInput!$M$35,Inputs!$B$4&lt;&gt;"Chapter Hunt"),CHOOSE(ArtifactsInput!$N$35+1,15,18,21,24,27,30)*(1-EXP(-(0.2*B2312)*5)),0)+IF(AND(ArtifactsInput!$M$22,Inputs!$B$4&lt;&gt;"Chapter Hunt"),CHOOSE(ArtifactsInput!$N$22+1,10,12,14,16,18,20)*((0*(((0.15*B2312*5))^0/1)+1*(((0.15*B2312*5))^1/1)+2*(((0.15*B2312*5))^2/2)+3*(((0.15*B2312*5))^3/6)+4*(((0.15*B2312*5))^4/24)+5*(((0.15*B2312*5))^5/120))/((((0.15*B2312*5))^0/1)+(((0.15*B2312*5))^1/1)+(((0.15*B2312*5))^2/2)+(((0.15*B2312*5))^3/6)+(((0.15*B2312*5))^4/24)+(((0.15*B2312*5))^5/120))),0))+IF(Inputs!$B$3&gt;=54,9*(C2282=TRUE)*MIN(1,8*(1+Inputs!$B$34/100)*Q2282),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94">
      <c r="A2294">
        <f>Skills!A15</f>
        <v/>
      </c>
      <c r="B2294">
        <f>Skills!B15</f>
        <v/>
      </c>
      <c r="C2294">
        <f>Inputs!$B$3&gt;=100</f>
        <v/>
      </c>
      <c r="D2294">
        <f>IF(Skills!C15=1,60+Inputs!$B$25+Inputs!$B$29,IF(Skills!C15=2,90+Inputs!$B$26+Inputs!$B$29,IF(Skills!C15=3,120+Inputs!$B$27+Inputs!$B$29,MAX(0,(Inputs!$B$3-100)*3)+Inputs!$B$28+Inputs!$B$29)))</f>
        <v/>
      </c>
      <c r="E2294">
        <f>INDEX(FactorTable!$B$2:$Y$301, MATCH(ROUND(MIN(300,MAX(1,D2294)),0), FactorTable!$A$2:$A$301,0), Skills!M15+1)</f>
        <v/>
      </c>
      <c r="F2294">
        <f>IF(Skills!N15=TRUE,(Skills!L15/10)*(E2294/1000),Skills!L15/10)+Skills!O15</f>
        <v/>
      </c>
      <c r="G2294" t="inlineStr"/>
      <c r="H2294" t="inlineStr"/>
      <c r="I2294" t="inlineStr">
        <is>
          <t>1</t>
        </is>
      </c>
      <c r="J2294" t="inlineStr"/>
      <c r="K2294" t="inlineStr"/>
      <c r="L2294" t="inlineStr"/>
      <c r="M2294" t="inlineStr"/>
      <c r="N2294" t="inlineStr"/>
      <c r="O2294" t="inlineStr"/>
      <c r="P2294" t="inlineStr"/>
      <c r="Q2294" t="inlineStr"/>
      <c r="R2294" t="inlineStr"/>
      <c r="S2294" t="inlineStr"/>
    </row>
    <row r="2295">
      <c r="A2295">
        <f>Skills!A16</f>
        <v/>
      </c>
      <c r="B2295">
        <f>Skills!B16</f>
        <v/>
      </c>
      <c r="C2295">
        <f>Inputs!$B$3&gt;=107</f>
        <v/>
      </c>
      <c r="D2295">
        <f>IF(Skills!C16=1,60+Inputs!$B$25+Inputs!$B$29,IF(Skills!C16=2,90+Inputs!$B$26+Inputs!$B$29,IF(Skills!C16=3,120+Inputs!$B$27+Inputs!$B$29,MAX(0,(Inputs!$B$3-100)*3)+Inputs!$B$28+Inputs!$B$29)))</f>
        <v/>
      </c>
      <c r="E2295">
        <f>INDEX(FactorTable!$B$2:$Y$301, MATCH(ROUND(MIN(300,MAX(1,D2295)),0), FactorTable!$A$2:$A$301,0), Skills!M16+1)</f>
        <v/>
      </c>
      <c r="F2295">
        <f>IF(Skills!N16=TRUE,(Skills!L16/10)*(E2295/1000),Skills!L16/10)+Skills!O16</f>
        <v/>
      </c>
      <c r="G2295" t="inlineStr"/>
      <c r="H2295" t="inlineStr"/>
      <c r="I2295" t="inlineStr">
        <is>
          <t>1</t>
        </is>
      </c>
      <c r="J2295" t="inlineStr"/>
      <c r="K2295" t="inlineStr"/>
      <c r="L2295" t="inlineStr"/>
      <c r="M2295" t="inlineStr"/>
      <c r="N2295" t="inlineStr"/>
      <c r="O2295" t="inlineStr"/>
      <c r="P2295" t="inlineStr"/>
      <c r="Q2295" t="inlineStr"/>
      <c r="R2295" t="inlineStr"/>
      <c r="S2295" t="inlineStr"/>
    </row>
    <row r="2296">
      <c r="A2296">
        <f>Skills!A17</f>
        <v/>
      </c>
      <c r="B2296">
        <f>Skills!B17</f>
        <v/>
      </c>
      <c r="C2296">
        <f>Inputs!$B$3&gt;=74</f>
        <v/>
      </c>
      <c r="D2296">
        <f>IF(Skills!C17=1,60+Inputs!$B$25+Inputs!$B$29,IF(Skills!C17=2,90+Inputs!$B$26+Inputs!$B$29,IF(Skills!C17=3,120+Inputs!$B$27+Inputs!$B$29,MAX(0,(Inputs!$B$3-100)*3)+Inputs!$B$28+Inputs!$B$29)))</f>
        <v/>
      </c>
      <c r="E2296">
        <f>INDEX(FactorTable!$B$2:$Y$301, MATCH(ROUND(MIN(300,MAX(1,D2296)),0), FactorTable!$A$2:$A$301,0), Skills!M17+1)</f>
        <v/>
      </c>
      <c r="F2296">
        <f>IF(Skills!N17=TRUE,(Skills!L17/10)*(E2296/1000),Skills!L17/10)+Skills!O17</f>
        <v/>
      </c>
      <c r="G2296">
        <f>Skills!G17*IF(Skills!H17&gt;0,INT(IF(Inputs!$B$38="pvp",MIN(Skills!I17,15),Skills!I17)/Skills!H17+0.000000001),1)</f>
        <v/>
      </c>
      <c r="H2296">
        <f>1-(1-Skills!J17/100)^Skills!K17</f>
        <v/>
      </c>
      <c r="I2296" t="inlineStr">
        <is>
          <t>1</t>
        </is>
      </c>
      <c r="J2296" t="inlineStr"/>
      <c r="K2296" t="inlineStr"/>
      <c r="L2296" t="inlineStr"/>
      <c r="M2296" t="inlineStr"/>
      <c r="N2296" t="inlineStr"/>
      <c r="O2296">
        <f>(1-Summary!$B$11)*T2296+Summary!$B$11*V2296</f>
        <v/>
      </c>
      <c r="P2296">
        <f>IF(B2320=0,0,O2296/B2320)</f>
        <v/>
      </c>
      <c r="Q2296" t="n">
        <v>0</v>
      </c>
      <c r="R2296" t="n">
        <v>0</v>
      </c>
      <c r="S2296">
        <f>IFERROR(O2296/N2296,0)</f>
        <v/>
      </c>
      <c r="T2296" t="n">
        <v>0</v>
      </c>
      <c r="V2296" t="n">
        <v>0</v>
      </c>
    </row>
    <row r="2297">
      <c r="A2297">
        <f>Skills!A18</f>
        <v/>
      </c>
      <c r="B2297">
        <f>Skills!B18</f>
        <v/>
      </c>
      <c r="C2297">
        <f>Inputs!$B$3&gt;=115</f>
        <v/>
      </c>
      <c r="D2297">
        <f>IF(Skills!C18=1,60+Inputs!$B$25+Inputs!$B$29,IF(Skills!C18=2,90+Inputs!$B$26+Inputs!$B$29,IF(Skills!C18=3,120+Inputs!$B$27+Inputs!$B$29,MAX(0,(Inputs!$B$3-100)*3)+Inputs!$B$28+Inputs!$B$29)))</f>
        <v/>
      </c>
      <c r="E2297">
        <f>INDEX(FactorTable!$B$2:$Y$301, MATCH(ROUND(MIN(300,MAX(1,D2297)),0), FactorTable!$A$2:$A$301,0), Skills!M18+1)</f>
        <v/>
      </c>
      <c r="F2297">
        <f>IF(Skills!N18=TRUE,(Skills!L18/10)*(E2297/1000),Skills!L18/10)+Skills!O18</f>
        <v/>
      </c>
      <c r="G2297">
        <f>Skills!G18*IF(Skills!H18&gt;0,INT(IF(Inputs!$B$38="pvp",MIN(Skills!I18,15),Skills!I18)/Skills!H18+0.000000001),1)</f>
        <v/>
      </c>
      <c r="H2297">
        <f>1-(1-Skills!J18/100)^Skills!K18</f>
        <v/>
      </c>
      <c r="I2297" t="inlineStr">
        <is>
          <t>1</t>
        </is>
      </c>
      <c r="J2297" t="inlineStr"/>
      <c r="K2297" t="inlineStr"/>
      <c r="L2297" t="inlineStr"/>
      <c r="M2297" t="inlineStr"/>
      <c r="N2297" t="inlineStr"/>
      <c r="O2297">
        <f>(1-Summary!$B$11)*T2297+Summary!$B$11*V2297</f>
        <v/>
      </c>
      <c r="P2297">
        <f>IF(B2320=0,0,O2297/B2320)</f>
        <v/>
      </c>
      <c r="Q2297">
        <f>IFERROR(1/(IF(Inputs!$B$38="pvp",15,MAX(0.1,Skills!D18-IF(TRUE=TRUE,Inputs!$B$32,0)))*(1-IF(AND(ArtifactsInput!$M$27,Inputs!$B$4="Chapter Hunt"),CHOOSE(ArtifactsInput!$N$27+1,20,24,28,32,36,40),0)/100)),0)</f>
        <v/>
      </c>
      <c r="R2297">
        <f>IF(AND(Inputs!$B$38&lt;&gt;"pvp",Inputs!$B$43&gt;0),IF(Inputs!$B$43&lt;=0,0,(INT(Inputs!$B$43/(IF(Inputs!$B$38="pvp",15,MAX(0.1,Skills!D18-IF(TRUE=TRUE,Inputs!$B$32,0)))*(1-IF(AND(ArtifactsInput!$M$27,Inputs!$B$4="Chapter Hunt"),CHOOSE(ArtifactsInput!$N$27+1,20,24,28,32,36,40),0)/100)))+1)),0)</f>
        <v/>
      </c>
      <c r="S2297">
        <f>IFERROR(O2297/N2297,0)</f>
        <v/>
      </c>
      <c r="T2297" t="n">
        <v>0</v>
      </c>
      <c r="V2297" t="n">
        <v>0</v>
      </c>
    </row>
    <row r="2298">
      <c r="A2298">
        <f>Skills!A19</f>
        <v/>
      </c>
      <c r="B2298">
        <f>Skills!B19</f>
        <v/>
      </c>
      <c r="C2298">
        <f>Inputs!$B$3&gt;=10</f>
        <v/>
      </c>
      <c r="D2298">
        <f>IF(Skills!C19=1,60+Inputs!$B$25+Inputs!$B$29,IF(Skills!C19=2,90+Inputs!$B$26+Inputs!$B$29,IF(Skills!C19=3,120+Inputs!$B$27+Inputs!$B$29,MAX(0,(Inputs!$B$3-100)*3)+Inputs!$B$28+Inputs!$B$29)))</f>
        <v/>
      </c>
      <c r="E2298">
        <f>INDEX(FactorTable!$B$2:$Y$301, MATCH(ROUND(MIN(300,MAX(1,D2298)),0), FactorTable!$A$2:$A$301,0), Skills!M19+1)</f>
        <v/>
      </c>
      <c r="F2298">
        <f>IF(Skills!N19=TRUE,(Skills!L19/10)*(E2298/1000),Skills!L19/10)+Skills!O19</f>
        <v/>
      </c>
      <c r="G2298">
        <f>Skills!G19*IF(Skills!H19&gt;0,INT(IF(Inputs!$B$38="pvp",MIN(Skills!I19,15),Skills!I19)/Skills!H19+0.000000001),1)</f>
        <v/>
      </c>
      <c r="H2298">
        <f>1-(1-Skills!J19/100)^Skills!K19</f>
        <v/>
      </c>
      <c r="I2298" t="inlineStr">
        <is>
          <t>1</t>
        </is>
      </c>
      <c r="J2298" t="inlineStr"/>
      <c r="K2298" t="inlineStr"/>
      <c r="L2298" t="inlineStr"/>
      <c r="M2298" t="inlineStr"/>
      <c r="N2298" t="inlineStr"/>
      <c r="O2298">
        <f>(1-Summary!$B$11)*T2298+Summary!$B$11*V2298</f>
        <v/>
      </c>
      <c r="P2298">
        <f>IF(B2320=0,0,O2298/B2320)</f>
        <v/>
      </c>
      <c r="Q2298" t="n">
        <v>0</v>
      </c>
      <c r="R2298" t="n">
        <v>0</v>
      </c>
      <c r="S2298">
        <f>IFERROR(O2298/N2298,0)</f>
        <v/>
      </c>
      <c r="T2298" t="n">
        <v>0</v>
      </c>
      <c r="V2298" t="n">
        <v>0</v>
      </c>
    </row>
    <row r="2299">
      <c r="A2299">
        <f>Skills!A20</f>
        <v/>
      </c>
      <c r="B2299">
        <f>Skills!B20</f>
        <v/>
      </c>
      <c r="C2299">
        <f>Inputs!$B$3&gt;=15</f>
        <v/>
      </c>
      <c r="D2299">
        <f>IF(Skills!C20=1,60+Inputs!$B$25+Inputs!$B$29,IF(Skills!C20=2,90+Inputs!$B$26+Inputs!$B$29,IF(Skills!C20=3,120+Inputs!$B$27+Inputs!$B$29,MAX(0,(Inputs!$B$3-100)*3)+Inputs!$B$28+Inputs!$B$29)))</f>
        <v/>
      </c>
      <c r="E2299">
        <f>INDEX(FactorTable!$B$2:$Y$301, MATCH(ROUND(MIN(300,MAX(1,D2299)),0), FactorTable!$A$2:$A$301,0), Skills!M20+1)</f>
        <v/>
      </c>
      <c r="F2299">
        <f>IF(Skills!N20=TRUE,(Skills!L20/10)*(E2299/1000),Skills!L20/10)+Skills!O20</f>
        <v/>
      </c>
      <c r="G2299">
        <f>Skills!G20*IF(Skills!H20&gt;0,INT(IF(Inputs!$B$38="pvp",MIN(Skills!I20,15),Skills!I20)/Skills!H20+0.000000001),1)</f>
        <v/>
      </c>
      <c r="H2299">
        <f>1-(1-Skills!J20/100)^Skills!K20</f>
        <v/>
      </c>
      <c r="I2299" t="inlineStr">
        <is>
          <t>1</t>
        </is>
      </c>
      <c r="J2299" t="inlineStr"/>
      <c r="K2299" t="inlineStr"/>
      <c r="L2299" t="inlineStr"/>
      <c r="M2299" t="inlineStr"/>
      <c r="N2299" t="inlineStr"/>
      <c r="O2299">
        <f>(1-Summary!$B$11)*T2299+Summary!$B$11*V2299</f>
        <v/>
      </c>
      <c r="P2299">
        <f>IF(B2320=0,0,O2299/B2320)</f>
        <v/>
      </c>
      <c r="Q2299" t="n">
        <v>0</v>
      </c>
      <c r="R2299" t="n">
        <v>0</v>
      </c>
      <c r="S2299">
        <f>IFERROR(O2299/N2299,0)</f>
        <v/>
      </c>
      <c r="T2299" t="n">
        <v>0</v>
      </c>
      <c r="V2299" t="n">
        <v>0</v>
      </c>
    </row>
    <row r="2300">
      <c r="A2300">
        <f>Skills!A21</f>
        <v/>
      </c>
      <c r="B2300">
        <f>Skills!B21</f>
        <v/>
      </c>
      <c r="C2300">
        <f>Inputs!$B$3&gt;=40</f>
        <v/>
      </c>
      <c r="D2300">
        <f>IF(Skills!C21=1,60+Inputs!$B$25+Inputs!$B$29,IF(Skills!C21=2,90+Inputs!$B$26+Inputs!$B$29,IF(Skills!C21=3,120+Inputs!$B$27+Inputs!$B$29,MAX(0,(Inputs!$B$3-100)*3)+Inputs!$B$28+Inputs!$B$29)))</f>
        <v/>
      </c>
      <c r="E2300">
        <f>INDEX(FactorTable!$B$2:$Y$301, MATCH(ROUND(MIN(300,MAX(1,D2300)),0), FactorTable!$A$2:$A$301,0), Skills!M21+1)</f>
        <v/>
      </c>
      <c r="F2300">
        <f>IF(Skills!N21=TRUE,(Skills!L21/10)*(E2300/1000),Skills!L21/10)+Skills!O21</f>
        <v/>
      </c>
      <c r="G2300">
        <f>Skills!G21*IF(Skills!H21&gt;0,INT(IF(Inputs!$B$38="pvp",MIN(Skills!I21,15),Skills!I21)/Skills!H21+0.000000001),1)</f>
        <v/>
      </c>
      <c r="H2300">
        <f>1-(1-Skills!J21/100)^Skills!K21</f>
        <v/>
      </c>
      <c r="I2300" t="inlineStr">
        <is>
          <t>1</t>
        </is>
      </c>
      <c r="J2300" t="inlineStr"/>
      <c r="K2300" t="inlineStr"/>
      <c r="L2300" t="inlineStr"/>
      <c r="M2300" t="inlineStr"/>
      <c r="N2300" t="inlineStr"/>
      <c r="O2300">
        <f>(1-Summary!$B$11)*T2300+Summary!$B$11*V2300</f>
        <v/>
      </c>
      <c r="P2300">
        <f>IF(B2320=0,0,O2300/B2320)</f>
        <v/>
      </c>
      <c r="Q2300" t="n">
        <v>0</v>
      </c>
      <c r="R2300" t="n">
        <v>0</v>
      </c>
      <c r="S2300">
        <f>IFERROR(O2300/N2300,0)</f>
        <v/>
      </c>
      <c r="T2300" t="n">
        <v>0</v>
      </c>
      <c r="V2300" t="n">
        <v>0</v>
      </c>
    </row>
    <row r="2301">
      <c r="A2301">
        <f>Skills!A22</f>
        <v/>
      </c>
      <c r="B2301">
        <f>Skills!B22</f>
        <v/>
      </c>
      <c r="C2301">
        <f>Inputs!$B$3&gt;=43</f>
        <v/>
      </c>
      <c r="D2301">
        <f>IF(Skills!C22=1,60+Inputs!$B$25+Inputs!$B$29,IF(Skills!C22=2,90+Inputs!$B$26+Inputs!$B$29,IF(Skills!C22=3,120+Inputs!$B$27+Inputs!$B$29,MAX(0,(Inputs!$B$3-100)*3)+Inputs!$B$28+Inputs!$B$29)))</f>
        <v/>
      </c>
      <c r="E2301">
        <f>INDEX(FactorTable!$B$2:$Y$301, MATCH(ROUND(MIN(300,MAX(1,D2301)),0), FactorTable!$A$2:$A$301,0), Skills!M22+1)</f>
        <v/>
      </c>
      <c r="F2301">
        <f>IF(Skills!N22=TRUE,(Skills!L22/10)*(E2301/1000),Skills!L22/10)+Skills!O22</f>
        <v/>
      </c>
      <c r="G2301">
        <f>Skills!G22*IF(Skills!H22&gt;0,INT(IF(Inputs!$B$38="pvp",MIN(Skills!I22,15),Skills!I22)/Skills!H22+0.000000001),1)</f>
        <v/>
      </c>
      <c r="H2301">
        <f>1-(1-Skills!J22/100)^Skills!K22</f>
        <v/>
      </c>
      <c r="I2301" t="inlineStr">
        <is>
          <t>1</t>
        </is>
      </c>
      <c r="J2301" t="inlineStr"/>
      <c r="K2301" t="inlineStr"/>
      <c r="L2301" t="inlineStr"/>
      <c r="M2301" t="inlineStr"/>
      <c r="N2301" t="inlineStr"/>
      <c r="O2301">
        <f>(1-Summary!$B$11)*T2301+Summary!$B$11*V2301</f>
        <v/>
      </c>
      <c r="P2301">
        <f>IF(B2320=0,0,O2301/B2320)</f>
        <v/>
      </c>
      <c r="Q2301" t="n">
        <v>0</v>
      </c>
      <c r="R2301" t="n">
        <v>0</v>
      </c>
      <c r="S2301">
        <f>IFERROR(O2301/N2301,0)</f>
        <v/>
      </c>
      <c r="T2301" t="n">
        <v>0</v>
      </c>
      <c r="V2301" t="n">
        <v>0</v>
      </c>
    </row>
    <row r="2302">
      <c r="A2302">
        <f>Skills!A23</f>
        <v/>
      </c>
      <c r="B2302">
        <f>Skills!B23</f>
        <v/>
      </c>
      <c r="C2302">
        <f>Inputs!$B$3&gt;=38</f>
        <v/>
      </c>
      <c r="D2302">
        <f>IF(Skills!C23=1,60+Inputs!$B$25+Inputs!$B$29,IF(Skills!C23=2,90+Inputs!$B$26+Inputs!$B$29,IF(Skills!C23=3,120+Inputs!$B$27+Inputs!$B$29,MAX(0,(Inputs!$B$3-100)*3)+Inputs!$B$28+Inputs!$B$29)))</f>
        <v/>
      </c>
      <c r="E2302">
        <f>INDEX(FactorTable!$B$2:$Y$301, MATCH(ROUND(MIN(300,MAX(1,D2302)),0), FactorTable!$A$2:$A$301,0), Skills!M23+1)</f>
        <v/>
      </c>
      <c r="F2302">
        <f>IF(Skills!N23=TRUE,(Skills!L23/10)*(E2302/1000),Skills!L23/10)+Skills!O23</f>
        <v/>
      </c>
      <c r="G2302">
        <f>Skills!G23*IF(Skills!H23&gt;0,INT(IF(Inputs!$B$38="pvp",MIN(Skills!I23,15),Skills!I23)/Skills!H23+0.000000001),1)</f>
        <v/>
      </c>
      <c r="H2302">
        <f>1-(1-Skills!J23/100)^Skills!K23</f>
        <v/>
      </c>
      <c r="I2302" t="inlineStr">
        <is>
          <t>1</t>
        </is>
      </c>
      <c r="J2302" t="inlineStr"/>
      <c r="K2302" t="inlineStr"/>
      <c r="L2302" t="inlineStr"/>
      <c r="M2302" t="inlineStr"/>
      <c r="N2302" t="inlineStr"/>
      <c r="O2302">
        <f>(1-Summary!$B$11)*T2302+Summary!$B$11*V2302</f>
        <v/>
      </c>
      <c r="P2302">
        <f>IF(B2320=0,0,O2302/B2320)</f>
        <v/>
      </c>
      <c r="Q2302" t="n">
        <v>0</v>
      </c>
      <c r="R2302" t="n">
        <v>0</v>
      </c>
      <c r="S2302">
        <f>IFERROR(O2302/N2302,0)</f>
        <v/>
      </c>
      <c r="T2302" t="n">
        <v>0</v>
      </c>
      <c r="V2302" t="n">
        <v>0</v>
      </c>
    </row>
    <row r="2303">
      <c r="A2303">
        <f>Skills!A24</f>
        <v/>
      </c>
      <c r="B2303">
        <f>Skills!B24</f>
        <v/>
      </c>
      <c r="C2303">
        <f>Inputs!$B$3&gt;=45</f>
        <v/>
      </c>
      <c r="D2303">
        <f>IF(Skills!C24=1,60+Inputs!$B$25+Inputs!$B$29,IF(Skills!C24=2,90+Inputs!$B$26+Inputs!$B$29,IF(Skills!C24=3,120+Inputs!$B$27+Inputs!$B$29,MAX(0,(Inputs!$B$3-100)*3)+Inputs!$B$28+Inputs!$B$29)))</f>
        <v/>
      </c>
      <c r="E2303">
        <f>INDEX(FactorTable!$B$2:$Y$301, MATCH(ROUND(MIN(300,MAX(1,D2303)),0), FactorTable!$A$2:$A$301,0), Skills!M24+1)</f>
        <v/>
      </c>
      <c r="F2303">
        <f>IF(Skills!N24=TRUE,(Skills!L24/10)*(E2303/1000),Skills!L24/10)+Skills!O24</f>
        <v/>
      </c>
      <c r="G2303">
        <f>Skills!G24*IF(Skills!H24&gt;0,INT(IF(Inputs!$B$38="pvp",MIN(Skills!I24,15),Skills!I24)/Skills!H24+0.000000001),1)</f>
        <v/>
      </c>
      <c r="H2303">
        <f>1-(1-Skills!J24/100)^Skills!K24</f>
        <v/>
      </c>
      <c r="I2303" t="inlineStr">
        <is>
          <t>1</t>
        </is>
      </c>
      <c r="J2303" t="inlineStr"/>
      <c r="K2303" t="inlineStr"/>
      <c r="L2303" t="inlineStr"/>
      <c r="M2303" t="inlineStr"/>
      <c r="N2303" t="inlineStr"/>
      <c r="O2303">
        <f>(1-Summary!$B$11)*T2303+Summary!$B$11*V2303</f>
        <v/>
      </c>
      <c r="P2303">
        <f>IF(B2320=0,0,O2303/B2320)</f>
        <v/>
      </c>
      <c r="Q2303" t="n">
        <v>0</v>
      </c>
      <c r="R2303" t="n">
        <v>0</v>
      </c>
      <c r="S2303">
        <f>IFERROR(O2303/N2303,0)</f>
        <v/>
      </c>
      <c r="T2303" t="n">
        <v>0</v>
      </c>
      <c r="V2303" t="n">
        <v>0</v>
      </c>
    </row>
    <row r="2304">
      <c r="A2304">
        <f>Skills!A25</f>
        <v/>
      </c>
      <c r="B2304">
        <f>Skills!B25</f>
        <v/>
      </c>
      <c r="C2304">
        <f>Inputs!$B$3&gt;=72</f>
        <v/>
      </c>
      <c r="D2304">
        <f>IF(Skills!C25=1,60+Inputs!$B$25+Inputs!$B$29,IF(Skills!C25=2,90+Inputs!$B$26+Inputs!$B$29,IF(Skills!C25=3,120+Inputs!$B$27+Inputs!$B$29,MAX(0,(Inputs!$B$3-100)*3)+Inputs!$B$28+Inputs!$B$29)))</f>
        <v/>
      </c>
      <c r="E2304">
        <f>INDEX(FactorTable!$B$2:$Y$301, MATCH(ROUND(MIN(300,MAX(1,D2304)),0), FactorTable!$A$2:$A$301,0), Skills!M25+1)</f>
        <v/>
      </c>
      <c r="F2304">
        <f>IF(Skills!N25=TRUE,(Skills!L25/10)*(E2304/1000),Skills!L25/10)+Skills!O25</f>
        <v/>
      </c>
      <c r="G2304">
        <f>Skills!G25*IF(Skills!H25&gt;0,INT(IF(Inputs!$B$38="pvp",MIN(Skills!I25,15),Skills!I25)/Skills!H25+0.000000001),1)</f>
        <v/>
      </c>
      <c r="H2304">
        <f>1-(1-Skills!J25/100)^Skills!K25</f>
        <v/>
      </c>
      <c r="I2304" t="inlineStr">
        <is>
          <t>1</t>
        </is>
      </c>
      <c r="J2304" t="inlineStr"/>
      <c r="K2304" t="inlineStr"/>
      <c r="L2304" t="inlineStr"/>
      <c r="M2304" t="inlineStr"/>
      <c r="N2304" t="inlineStr"/>
      <c r="O2304">
        <f>(1-Summary!$B$11)*T2304+Summary!$B$11*V2304</f>
        <v/>
      </c>
      <c r="P2304">
        <f>IF(B2320=0,0,O2304/B2320)</f>
        <v/>
      </c>
      <c r="Q2304" t="n">
        <v>0</v>
      </c>
      <c r="R2304" t="n">
        <v>0</v>
      </c>
      <c r="S2304">
        <f>IFERROR(O2304/N2304,0)</f>
        <v/>
      </c>
      <c r="T2304" t="n">
        <v>0</v>
      </c>
      <c r="V2304" t="n">
        <v>0</v>
      </c>
    </row>
    <row r="2305">
      <c r="A2305">
        <f>Skills!A26</f>
        <v/>
      </c>
      <c r="B2305">
        <f>Skills!B26</f>
        <v/>
      </c>
      <c r="C2305">
        <f>Inputs!$B$3&gt;=75</f>
        <v/>
      </c>
      <c r="D2305">
        <f>IF(Skills!C26=1,60+Inputs!$B$25+Inputs!$B$29,IF(Skills!C26=2,90+Inputs!$B$26+Inputs!$B$29,IF(Skills!C26=3,120+Inputs!$B$27+Inputs!$B$29,MAX(0,(Inputs!$B$3-100)*3)+Inputs!$B$28+Inputs!$B$29)))</f>
        <v/>
      </c>
      <c r="E2305">
        <f>INDEX(FactorTable!$B$2:$Y$301, MATCH(ROUND(MIN(300,MAX(1,D2305)),0), FactorTable!$A$2:$A$301,0), Skills!M26+1)</f>
        <v/>
      </c>
      <c r="F2305">
        <f>IF(Skills!N26=TRUE,(Skills!L26/10)*(E2305/1000),Skills!L26/10)+Skills!O26</f>
        <v/>
      </c>
      <c r="G2305">
        <f>Skills!G26*IF(Skills!H26&gt;0,INT(IF(Inputs!$B$38="pvp",MIN(Skills!I26,15),Skills!I26)/Skills!H26+0.000000001),1)</f>
        <v/>
      </c>
      <c r="H2305">
        <f>1-(1-Skills!J26/100)^Skills!K26</f>
        <v/>
      </c>
      <c r="I2305" t="inlineStr">
        <is>
          <t>1</t>
        </is>
      </c>
      <c r="J2305" t="inlineStr"/>
      <c r="K2305" t="inlineStr"/>
      <c r="L2305" t="inlineStr"/>
      <c r="M2305" t="inlineStr"/>
      <c r="N2305" t="inlineStr"/>
      <c r="O2305">
        <f>(1-Summary!$B$11)*T2305+Summary!$B$11*V2305</f>
        <v/>
      </c>
      <c r="P2305">
        <f>IF(B2320=0,0,O2305/B2320)</f>
        <v/>
      </c>
      <c r="Q2305" t="n">
        <v>0</v>
      </c>
      <c r="R2305" t="n">
        <v>0</v>
      </c>
      <c r="S2305">
        <f>IFERROR(O2305/N2305,0)</f>
        <v/>
      </c>
      <c r="T2305" t="n">
        <v>0</v>
      </c>
      <c r="V2305" t="n">
        <v>0</v>
      </c>
    </row>
    <row r="2306">
      <c r="A2306">
        <f>Skills!A27</f>
        <v/>
      </c>
      <c r="B2306">
        <f>Skills!B27</f>
        <v/>
      </c>
      <c r="C2306">
        <f>Inputs!$B$3&gt;=125</f>
        <v/>
      </c>
      <c r="D2306">
        <f>IF(Skills!C27=1,60+Inputs!$B$25+Inputs!$B$29,IF(Skills!C27=2,90+Inputs!$B$26+Inputs!$B$29,IF(Skills!C27=3,120+Inputs!$B$27+Inputs!$B$29,MAX(0,(Inputs!$B$3-100)*3)+Inputs!$B$28+Inputs!$B$29)))</f>
        <v/>
      </c>
      <c r="E2306">
        <f>INDEX(FactorTable!$B$2:$Y$301, MATCH(ROUND(MIN(300,MAX(1,D2306)),0), FactorTable!$A$2:$A$301,0), Skills!M27+1)</f>
        <v/>
      </c>
      <c r="F2306">
        <f>IF(Skills!N27=TRUE,(Skills!L27/10)*(E2306/1000),Skills!L27/10)+Skills!O27</f>
        <v/>
      </c>
      <c r="G2306">
        <f>Skills!G27*IF(Skills!H27&gt;0,INT(IF(Inputs!$B$38="pvp",MIN(Skills!I27,15),Skills!I27)/Skills!H27+0.000000001),1)</f>
        <v/>
      </c>
      <c r="H2306">
        <f>1-(1-Skills!J27/100)^Skills!K27</f>
        <v/>
      </c>
      <c r="I2306" t="inlineStr">
        <is>
          <t>1</t>
        </is>
      </c>
      <c r="J2306" t="inlineStr"/>
      <c r="K2306" t="inlineStr"/>
      <c r="L2306" t="inlineStr"/>
      <c r="M2306" t="inlineStr"/>
      <c r="N2306" t="inlineStr"/>
      <c r="O2306">
        <f>(1-Summary!$B$11)*T2306+Summary!$B$11*V2306</f>
        <v/>
      </c>
      <c r="P2306">
        <f>IF(B2320=0,0,O2306/B2320)</f>
        <v/>
      </c>
      <c r="Q2306" t="n">
        <v>0</v>
      </c>
      <c r="R2306" t="n">
        <v>0</v>
      </c>
      <c r="S2306">
        <f>IFERROR(O2306/N2306,0)</f>
        <v/>
      </c>
      <c r="T2306" t="n">
        <v>0</v>
      </c>
      <c r="V2306" t="n">
        <v>0</v>
      </c>
    </row>
    <row r="2307">
      <c r="A2307">
        <f>Skills!A28</f>
        <v/>
      </c>
      <c r="B2307">
        <f>Skills!B28</f>
        <v/>
      </c>
      <c r="C2307">
        <f>TRUE</f>
        <v/>
      </c>
      <c r="D2307">
        <f>IF(Skills!C28=1,60+Inputs!$B$25+Inputs!$B$29,IF(Skills!C28=2,90+Inputs!$B$26+Inputs!$B$29,IF(Skills!C28=3,120+Inputs!$B$27+Inputs!$B$29,MAX(0,(Inputs!$B$3-100)*3)+Inputs!$B$28+Inputs!$B$29)))</f>
        <v/>
      </c>
      <c r="E2307">
        <f>INDEX(FactorTable!$B$2:$Y$301, MATCH(ROUND(MIN(300,MAX(1,D2307)),0), FactorTable!$A$2:$A$301,0), Skills!M28+1)</f>
        <v/>
      </c>
      <c r="F2307">
        <f>IF(Skills!N28=TRUE,(Skills!L28/10)*(E2307/1000),Skills!L28/10)+Skills!O28</f>
        <v/>
      </c>
      <c r="G2307">
        <f>Skills!G28*IF(Skills!H28&gt;0,INT(IF(Inputs!$B$38="pvp",MIN(Skills!I28,15),Skills!I28)/Skills!H28+0.000000001),1)</f>
        <v/>
      </c>
      <c r="H2307">
        <f>1-(1-Skills!J28/100)^Skills!K28</f>
        <v/>
      </c>
      <c r="I2307" t="inlineStr">
        <is>
          <t>1</t>
        </is>
      </c>
      <c r="J2307" t="inlineStr"/>
      <c r="K2307" t="inlineStr"/>
      <c r="L2307" t="inlineStr"/>
      <c r="M2307" t="inlineStr"/>
      <c r="N2307" t="inlineStr"/>
      <c r="O2307">
        <f>(1-Summary!$B$11)*T2307+Summary!$B$11*V2307</f>
        <v/>
      </c>
      <c r="P2307">
        <f>IF(B2320=0,0,O2307/B2320)</f>
        <v/>
      </c>
      <c r="Q2307">
        <f>IFERROR(1/(IF(Inputs!$B$38="pvp",15,MAX(0.1,Skills!D28-IF(TRUE=TRUE,Inputs!$B$32,0)))*(1-IF(AND(ArtifactsInput!$M$27,Inputs!$B$4="Chapter Hunt"),CHOOSE(ArtifactsInput!$N$27+1,20,24,28,32,36,40),0)/100)),0)</f>
        <v/>
      </c>
      <c r="R2307">
        <f>IF(AND(Inputs!$B$38&lt;&gt;"pvp",Inputs!$B$43&gt;0),IF(Inputs!$B$43&lt;=0,0,(INT(Inputs!$B$43/(IF(Inputs!$B$38="pvp",15,MAX(0.1,Skills!D28-IF(TRUE=TRUE,Inputs!$B$32,0)))*(1-IF(AND(ArtifactsInput!$M$27,Inputs!$B$4="Chapter Hunt"),CHOOSE(ArtifactsInput!$N$27+1,20,24,28,32,36,40),0)/100)))+1)),0)</f>
        <v/>
      </c>
      <c r="S2307">
        <f>IFERROR(O2307/N2307,0)</f>
        <v/>
      </c>
      <c r="T2307" t="n">
        <v>0</v>
      </c>
      <c r="V2307" t="n">
        <v>0</v>
      </c>
    </row>
    <row r="2309">
      <c r="A2309" t="inlineStr">
        <is>
          <t>Attack% Bucket Multiplier</t>
        </is>
      </c>
      <c r="B2309">
        <f>(1+(((C2296=TRUE)*F2296*5/7)+((C2303=TRUE)*(F2303-Calc!F24))+(IF(ArtifactsInput!$M$21,CHOOSE(ArtifactsInput!$N$21+1,25,30,35,40,45,50)*(IF(OR(Inputs!$B$4="Chapter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310">
      <c r="A2310" t="inlineStr">
        <is>
          <t>Global Crit Rate Bonus %</t>
        </is>
      </c>
      <c r="B2310" t="n">
        <v>0</v>
      </c>
    </row>
    <row r="2311">
      <c r="A2311" t="inlineStr">
        <is>
          <t>Attack Speed Buff Bonus % (Nimble Feet, duty-cycle averaged)</t>
        </is>
      </c>
      <c r="B2311">
        <f>((C2307=TRUE)*F2307*IF(AND(Inputs!$B$38&lt;&gt;"pvp",Inputs!$B$43&gt;0),(((R2307-1)*MIN((Skills!T28*(1+Inputs!$B$34/100)),(1/Q2307))+MIN((Skills!T28*(1+Inputs!$B$34/100)),MAX(0,Inputs!$B$43-((R2307-1)*(1/Q2307)))))/Inputs!$B$43),IF(Inputs!$B$38="pvp",MIN((Skills!T28*(1+Inputs!$B$34/100)),15)/15,MIN(1,(Skills!T28*(1+Inputs!$B$34/100))/(1/Q2307)))))</f>
        <v/>
      </c>
    </row>
    <row r="2312">
      <c r="A2312" t="inlineStr">
        <is>
          <t>Actions Per Second</t>
        </is>
      </c>
      <c r="B2312">
        <f>1+MIN(150,150*(1-(1-(Inputs!$B$11+((C2299=TRUE)*(F2299-Calc!F20))+((C2300=TRUE)*(F2300-Calc!F21)))/150)*(1-B2311/150)))/100</f>
        <v/>
      </c>
    </row>
    <row r="2313">
      <c r="A2313" t="inlineStr">
        <is>
          <t>Skill + Buff Cast Rate</t>
        </is>
      </c>
      <c r="B2313">
        <f>IF(AND(Inputs!$B$38&lt;&gt;"pvp",Inputs!$B$43&gt;0),SUMPRODUCT((Skills!E2:E28=TRUE)*(C2281:C2307=TRUE)*R2281:R2307*Skills!F2:F28)/Inputs!$B$43,SUMPRODUCT((Skills!E2:E28=TRUE)*(C2281:C2307=TRUE)*Q2281:Q2307*Skills!F2:F28))</f>
        <v/>
      </c>
    </row>
    <row r="2314">
      <c r="A2314" t="inlineStr">
        <is>
          <t>Eight-Legs Easton Casts Per Second</t>
        </is>
      </c>
      <c r="B2314">
        <f>MAX(0,B2312-B2313)</f>
        <v/>
      </c>
    </row>
    <row r="2315">
      <c r="A2315" t="inlineStr">
        <is>
          <t>Global Critical Damage Bonus % (unused)</t>
        </is>
      </c>
      <c r="B2315" t="n">
        <v>0</v>
      </c>
    </row>
    <row r="2316">
      <c r="A2316" t="inlineStr">
        <is>
          <t>Global Final Damage Bonus % (Jolly Roger + Ahoy Mateys - Final Damage proc)</t>
        </is>
      </c>
      <c r="B2316">
        <f>((C2297=TRUE)*F2297*IF(AND(Inputs!$B$38&lt;&gt;"pvp",Inputs!$B$43&gt;0),(((R2297-1)*MIN((Skills!T18*(1+Inputs!$B$34/100)),(1/Q2297))+MIN((Skills!T18*(1+Inputs!$B$34/100)),MAX(0,Inputs!$B$43-((R2297-1)*(1/Q2297)))))/Inputs!$B$43),IF(Inputs!$B$38="pvp",MIN((Skills!T18*(1+Inputs!$B$34/100)),15)/15,MIN(1,(Skills!T18*(1+Inputs!$B$34/100))/(1/Q2297)))))+IF(Inputs!$B$3&gt;=122,20*IF(Inputs!$B$38="pvp",MIN((20*(1+Inputs!$B$34/100)),15)/15,MIN(1,(20*(1+Inputs!$B$34/100))/(1/Q2283))),0)</f>
        <v/>
      </c>
    </row>
    <row r="2317">
      <c r="A2317" t="inlineStr">
        <is>
          <t>Buff-Casting Startup Delay (s, fixed-duration only)</t>
        </is>
      </c>
      <c r="B2317">
        <f>IF(AND(Inputs!$B$38&lt;&gt;"pvp",Inputs!$B$43&gt;0),SUMPRODUCT((Skills!T2:T28&gt;0)*(Skills!E2:E28=TRUE)*(C2281:C2307=TRUE))/B2312,0)</f>
        <v/>
      </c>
    </row>
    <row r="2318">
      <c r="A2318" t="inlineStr">
        <is>
          <t>Boss-Only Total DPS (this block's swept value)</t>
        </is>
      </c>
      <c r="B2318">
        <f>SUM(T2281:T2307)</f>
        <v/>
      </c>
    </row>
    <row r="2319">
      <c r="A2319" t="inlineStr">
        <is>
          <t>Normal-Only Total DPS (this block's swept value)</t>
        </is>
      </c>
      <c r="B2319">
        <f>SUM(V2281:V2307)</f>
        <v/>
      </c>
    </row>
    <row r="2320">
      <c r="A2320" s="6" t="inlineStr">
        <is>
          <t>TOTAL DPS</t>
        </is>
      </c>
      <c r="B2320" s="6">
        <f>SUM(O2281:O2307)</f>
        <v/>
      </c>
    </row>
    <row r="2321">
      <c r="A2321" t="inlineStr">
        <is>
          <t>Quickdraw cooldown divisor (this block's own APS / Q)</t>
        </is>
      </c>
      <c r="B2321">
        <f>IF(AND(C2306=TRUE,Inputs!$B$38&lt;&gt;"pvp"),1+0.25*MAX(0,(B2312-(((C2282=TRUE)*Q2282*1)+((C2283=TRUE)*Q2283*1)+((C2285=TRUE)*Q2285*1)+((C2286=TRUE)*Q2286*1)+((C2288=TRUE)*Q2288*1)+((C2291=TRUE)*Q2291*1)+((C2297=TRUE)*Q2297*1)+((C2307=TRUE)*Q2307*1))-((C2287=TRUE)/(IF(Inputs!$B$38="pvp",15,MAX(0.1,Skills!D8-IF(TRUE=TRUE,Inputs!$B$32,0)))*(1-IF(AND(ArtifactsInput!$M$27,Inputs!$B$4="Chapter Hunt"),CHOOSE(ArtifactsInput!$N$27+1,20,24,28,32,36,40),0)/100))+(C2290=TRUE)/(IF(Inputs!$B$38="pvp",15,MAX(0.1,Skills!D11-IF(TRUE=TRUE,Inputs!$B$32,0)))*(1-IF(AND(ArtifactsInput!$M$27,Inputs!$B$4="Chapter Hunt"),CHOOSE(ArtifactsInput!$N$27+1,20,24,28,32,36,40),0)/100))))/(1+0.25*((C2287=TRUE)/(IF(Inputs!$B$38="pvp",15,MAX(0.1,Skills!D8-IF(TRUE=TRUE,Inputs!$B$32,0)))*(1-IF(AND(ArtifactsInput!$M$27,Inputs!$B$4="Chapter Hunt"),CHOOSE(ArtifactsInput!$N$27+1,20,24,28,32,36,40),0)/100))+(C2290=TRUE)/(IF(Inputs!$B$38="pvp",15,MAX(0.1,Skills!D11-IF(TRUE=TRUE,Inputs!$B$32,0)))*(1-IF(AND(ArtifactsInput!$M$27,Inputs!$B$4="Chapter Hunt"),CHOOSE(ArtifactsInput!$N$27+1,20,24,28,32,36,40),0)/100))))),1)</f>
        <v/>
      </c>
    </row>
    <row r="2322">
      <c r="A2322" t="inlineStr">
        <is>
          <t>Nautilus Strike - Final Attack trigger rate (this block's own Q/R)</t>
        </is>
      </c>
      <c r="B2322">
        <f>IF(AND(Inputs!$B$38&lt;&gt;"pvp",Inputs!$B$43&gt;0),(((C2282=TRUE)*R2282)+((C2285=TRUE)*R2285)+((C2287=TRUE)*R2287)+((C2288=TRUE)*R2288)+((C2290=TRUE)*R2290))/Inputs!$B$43,((C2282=TRUE)*Q2282)+((C2285=TRUE)*Q2285)+((C2287=TRUE)*Q2287)+((C2288=TRUE)*Q2288)+((C2290=TRUE)*Q2290))+B2314</f>
        <v/>
      </c>
    </row>
    <row r="2325">
      <c r="A2325" s="6" t="inlineStr">
        <is>
          <t>Stat: Ancient Text Piece (Equip)</t>
        </is>
      </c>
    </row>
    <row r="2326">
      <c r="A2326" s="5" t="inlineStr">
        <is>
          <t>Key</t>
        </is>
      </c>
      <c r="B2326" s="5" t="inlineStr">
        <is>
          <t>Name</t>
        </is>
      </c>
      <c r="C2326" s="5" t="inlineStr">
        <is>
          <t>Unlocked</t>
        </is>
      </c>
      <c r="D2326" s="5" t="inlineStr">
        <is>
          <t>InputLevel</t>
        </is>
      </c>
      <c r="E2326" s="5" t="inlineStr">
        <is>
          <t>Factor</t>
        </is>
      </c>
      <c r="F2326" s="5" t="inlineStr">
        <is>
          <t>CoefficientPercent</t>
        </is>
      </c>
      <c r="G2326" s="5" t="inlineStr">
        <is>
          <t>EffectiveHits</t>
        </is>
      </c>
      <c r="H2326" s="5" t="inlineStr">
        <is>
          <t>ProcProbability</t>
        </is>
      </c>
      <c r="I2326" s="5" t="inlineStr">
        <is>
          <t>MapleHeroMultiplier</t>
        </is>
      </c>
      <c r="J2326" s="5" t="inlineStr">
        <is>
          <t>BaseDamage</t>
        </is>
      </c>
      <c r="K2326" s="5" t="inlineStr">
        <is>
          <t>BaseHitDamage</t>
        </is>
      </c>
      <c r="L2326" s="5" t="inlineStr">
        <is>
          <t>NonCritAvg</t>
        </is>
      </c>
      <c r="M2326" s="5" t="inlineStr">
        <is>
          <t>CritAvg</t>
        </is>
      </c>
      <c r="N2326" s="5" t="inlineStr">
        <is>
          <t>ExpectedDamage(perHit)</t>
        </is>
      </c>
      <c r="O2326" s="5" t="inlineStr">
        <is>
          <t>DPS</t>
        </is>
      </c>
      <c r="P2326" s="5" t="inlineStr">
        <is>
          <t>% of Total</t>
        </is>
      </c>
      <c r="Q2326" s="5" t="inlineStr">
        <is>
          <t>InvCooldown</t>
        </is>
      </c>
      <c r="R2326" s="5" t="inlineStr">
        <is>
          <t>CastsInFight</t>
        </is>
      </c>
      <c r="S2326" s="5" t="inlineStr">
        <is>
          <t>HitRate(perSec)</t>
        </is>
      </c>
      <c r="U2326" t="inlineStr">
        <is>
          <t>helpers</t>
        </is>
      </c>
    </row>
    <row r="2327">
      <c r="A2327">
        <f>Skills!A2</f>
        <v/>
      </c>
      <c r="B2327">
        <f>Skills!B2</f>
        <v/>
      </c>
      <c r="C2327">
        <f>Inputs!$B$3&gt;=100</f>
        <v/>
      </c>
      <c r="D2327" t="inlineStr"/>
      <c r="E2327" t="inlineStr"/>
      <c r="F2327">
        <f>U2329+Skills!O2</f>
        <v/>
      </c>
      <c r="G2327">
        <f>Skills!G2*IF(Skills!H2&gt;0,INT(IF(Inputs!$B$38="pvp",MIN(Skills!I2,15),Skills!I2)/Skills!H2+0.000000001),1)</f>
        <v/>
      </c>
      <c r="H2327">
        <f>1-(1-Skills!J2/100)^Skills!K2</f>
        <v/>
      </c>
      <c r="I2327" t="inlineStr">
        <is>
          <t>1</t>
        </is>
      </c>
      <c r="J2327">
        <f>((Inputs!$B$6*(1+Inputs!$B$7/100))+(((Inputs!$B$12*(1+Inputs!$B$13/100))-(Inputs!$B$12*(1+Inputs!$B$13/100)))+0.25*(Inputs!$B$14-Inputs!$B$14))*(1+Inputs!$B$7/100))*(F2327/100)</f>
        <v/>
      </c>
      <c r="K2327">
        <f>J2327*(1+((Inputs!$B$12*(1+Inputs!$B$13/100))*0.01+Inputs!$B$14*0.0025)/100)*(1+Inputs!$B$15/100)*(1+Inputs!$B$16/100)*(5000/(6000+Inputs!$B$42*(1-(100*(1-(1-(Inputs!$B$19+0)/100)*(1-CHOOSE(ArtifactsInput!$N$40+1,5,6,7,8,9,10)/100)^(ArtifactsInput!$M$40-ArtifactsInput!$M$40)))/100)))*(1+(Inputs!$B$24+((C2351=TRUE)*(F2351-Calc!F26))+B2362)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IGHT_LEGS_EASTON",Inputs!$B$17+((C2348=TRUE)*(F2348-Calc!F23))+((C2352=TRUE)*(F2352-Calc!F27))+((IF(AND(Inputs!$B$38&lt;&gt;"pvp",Inputs!$B$43=0),1,IF(IF(Inputs!$B$38="pvp",15,Inputs!$B$43)-(B2363)&lt;=0,1,MAX(0,IF(Inputs!$B$38="pvp",15,Inputs!$B$43)-MAX(5,B2363))/(IF(Inputs!$B$38="pvp",15,Inputs!$B$43)-(B2363))))*(IF(AND(ArtifactsInput!$M$42,((Inputs!$B$9+((C2344=TRUE)*(F2344-Calc!F19))+B2356+(ArtifactsInput!$M$24-ArtifactsInput!$M$24)*CHOOSE(ArtifactsInput!$N$24+1,10,12,14,16,18,20)+IF(ArtifactsInput!$M$10,CHOOSE(ArtifactsInput!$N$10+1,15,18,21,24,27,30)*(IF(Inputs!$B$38="pvp",MIN(15,15)/15,IF(AND(Inputs!$B$38&lt;&gt;"pvp",Inputs!$B$43&gt;0),MIN(15,Inputs!$B$43)/(Inputs!$B$43),0))),0)))&gt;=100),MIN(100,((Inputs!$B$9+((C2344=TRUE)*(F2344-Calc!F19))+B2356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2363)&lt;=0,1,MAX(0,IF(Inputs!$B$38="pvp",15,Inputs!$B$43)-MAX(5,B2363))/(IF(Inputs!$B$38="pvp",15,Inputs!$B$43)-(B2363))))*IF(AND(ArtifactsInput!$M$42,((Inputs!$B$9+((C2344=TRUE)*(F2344-Calc!F19))+B2356+(ArtifactsInput!$M$24-ArtifactsInput!$M$24)*CHOOSE(ArtifactsInput!$N$24+1,10,12,14,16,18,20)+IF(ArtifactsInput!$M$10,CHOOSE(ArtifactsInput!$N$10+1,15,18,21,24,27,30)*(IF(Inputs!$B$38="pvp",MIN(15,15)/15,IF(AND(Inputs!$B$38&lt;&gt;"pvp",Inputs!$B$43&gt;0),MIN(15,Inputs!$B$43)/(Inputs!$B$43),0))),0)))&gt;=100),CHOOSE(ArtifactsInput!$N$42+1,40,48,56,64,72,80),0))))/100)*((1+(((C2342=TRUE)*F2342*5/7)+((C2349=TRUE)*(F2349-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2327)</f>
        <v/>
      </c>
      <c r="L2327">
        <f>K2327*(MIN(Inputs!$B$22+((C2347=TRUE)*(F2347-Calc!F22)),(Inputs!$B$23+0+(IF(ArtifactsInput!$M$15,CHOOSE(ArtifactsInput!$N$15+1,25,30,35,40,45,50)/100*(Inputs!$B$11-Inputs!$B$11),0))))/100+(Inputs!$B$23+0+(IF(ArtifactsInput!$M$15,CHOOSE(ArtifactsInput!$N$15+1,25,30,35,40,45,50)/100*(Inputs!$B$11-Inputs!$B$11),0)))/100)/2</f>
        <v/>
      </c>
      <c r="M2327">
        <f>L2327*(1+(Inputs!$B$10+((C2350=TRUE)*(F2350-Calc!F25))+B2361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27">
        <f>L2327*(1-MIN((Inputs!$B$9+((C2344=TRUE)*(F2344-Calc!F19))+B2356+(ArtifactsInput!$M$24-ArtifactsInput!$M$24)*CHOOSE(ArtifactsInput!$N$24+1,10,12,14,16,18,20)+(IF(AND(Inputs!$B$38&lt;&gt;"pvp",Inputs!$B$43=0),1,IF(IF(Inputs!$B$38="pvp",15,Inputs!$B$43)-(B2363)&lt;=0,1,MAX(0,IF(Inputs!$B$38="pvp",15,Inputs!$B$43)-MAX(5,B2363))/(IF(Inputs!$B$38="pvp",15,Inputs!$B$43)-(B2363))))*IF(AND(ArtifactsInput!$M$42,((Inputs!$B$9+((C2344=TRUE)*(F2344-Calc!F19))+B2356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2327*(MIN((Inputs!$B$9+((C2344=TRUE)*(F2344-Calc!F19))+B2356+(ArtifactsInput!$M$24-ArtifactsInput!$M$24)*CHOOSE(ArtifactsInput!$N$24+1,10,12,14,16,18,20)+(IF(AND(Inputs!$B$38&lt;&gt;"pvp",Inputs!$B$43=0),1,IF(IF(Inputs!$B$38="pvp",15,Inputs!$B$43)-(B2363)&lt;=0,1,MAX(0,IF(Inputs!$B$38="pvp",15,Inputs!$B$43)-MAX(5,B2363))/(IF(Inputs!$B$38="pvp",15,Inputs!$B$43)-(B2363))))*IF(AND(ArtifactsInput!$M$42,((Inputs!$B$9+((C2344=TRUE)*(F2344-Calc!F19))+B2356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27">
        <f>(1-Summary!$B$11)*T2327+Summary!$B$11*V2327</f>
        <v/>
      </c>
      <c r="P2327">
        <f>IF(B2366=0,0,O2327/B2366)</f>
        <v/>
      </c>
      <c r="Q2327" t="n">
        <v>0</v>
      </c>
      <c r="R2327" t="n">
        <v>0</v>
      </c>
      <c r="S2327">
        <f>IFERROR(O2327/N2327,0)</f>
        <v/>
      </c>
      <c r="T2327">
        <f>IF(C2327,(Skills!G2*N2327*B2360*(1+IF(C2352=TRUE,1/3,0)))*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Hunt"),CHOOSE(ArtifactsInput!$N$35+1,15,18,21,24,27,30)*(1-EXP(-(0.2*B2358)*5)),0)+IF(AND(ArtifactsInput!$M$22,Inputs!$B$4&lt;&gt;"Chapter Hunt"),CHOOSE(ArtifactsInput!$N$22+1,10,12,14,16,18,20)*((0*(((0.15*B2358*5))^0/1)+1*(((0.15*B2358*5))^1/1)+2*(((0.15*B2358*5))^2/2)+3*(((0.15*B2358*5))^3/6)+4*(((0.15*B2358*5))^4/24)+5*(((0.15*B2358*5))^5/120))/((((0.15*B2358*5))^0/1)+(((0.15*B2358*5))^1/1)+(((0.15*B2358*5))^2/2)+(((0.15*B2358*5))^3/6)+(((0.15*B2358*5))^4/24)+(((0.15*B2358*5))^5/120))),0))+IF(Inputs!$B$3&gt;=54,9*(C2328=TRUE)*MIN(1,8*(1+Inputs!$B$34/100)*Q2328)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2327*(1-MIN(100,(Inputs!$B$9+((C2344=TRUE)*(F2344-Calc!F19))+B2356+(ArtifactsInput!$M$24-ArtifactsInput!$M$24)*CHOOSE(ArtifactsInput!$N$24+1,10,12,14,16,18,20)+(IF(AND(Inputs!$B$38&lt;&gt;"pvp",Inputs!$B$43=0),1,IF(IF(Inputs!$B$38="pvp",15,Inputs!$B$43)-(B2363)&lt;=0,1,MAX(0,IF(Inputs!$B$38="pvp",15,Inputs!$B$43)-MAX(5,B2363))/(IF(Inputs!$B$38="pvp",15,Inputs!$B$43)-(B2363))))*IF(AND(ArtifactsInput!$M$42,((Inputs!$B$9+((C2344=TRUE)*(F2344-Calc!F19))+B2356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2327*(MIN(100,(Inputs!$B$9+((C2344=TRUE)*(F2344-Calc!F19))+B2356+(ArtifactsInput!$M$24-ArtifactsInput!$M$24)*CHOOSE(ArtifactsInput!$N$24+1,10,12,14,16,18,20)+(IF(AND(Inputs!$B$38&lt;&gt;"pvp",Inputs!$B$43=0),1,IF(IF(Inputs!$B$38="pvp",15,Inputs!$B$43)-(B2363)&lt;=0,1,MAX(0,IF(Inputs!$B$38="pvp",15,Inputs!$B$43)-MAX(5,B2363))/(IF(Inputs!$B$38="pvp",15,Inputs!$B$43)-(B2363))))*IF(AND(ArtifactsInput!$M$42,((Inputs!$B$9+((C2344=TRUE)*(F2344-Calc!F19))+B2356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2327*(1-MIN(100,(Inputs!$B$9+((C2344=TRUE)*(F2344-Calc!F19))+B2356+(ArtifactsInput!$M$24-ArtifactsInput!$M$24)*CHOOSE(ArtifactsInput!$N$24+1,10,12,14,16,18,20)+(IF(AND(Inputs!$B$38&lt;&gt;"pvp",Inputs!$B$43=0),1,IF(IF(Inputs!$B$38="pvp",15,Inputs!$B$43)-(B2363)&lt;=0,1,MAX(0,IF(Inputs!$B$38="pvp",15,Inputs!$B$43)-MAX(5,B2363))/(IF(Inputs!$B$38="pvp",15,Inputs!$B$43)-(B2363))))*IF(AND(ArtifactsInput!$M$42,((Inputs!$B$9+((C2344=TRUE)*(F2344-Calc!F19))+B2356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2327*(MIN(100,(Inputs!$B$9+((C2344=TRUE)*(F2344-Calc!F19))+B2356+(ArtifactsInput!$M$24-ArtifactsInput!$M$24)*CHOOSE(ArtifactsInput!$N$24+1,10,12,14,16,18,20)+(IF(AND(Inputs!$B$38&lt;&gt;"pvp",Inputs!$B$43=0),1,IF(IF(Inputs!$B$38="pvp",15,Inputs!$B$43)-(B2363)&lt;=0,1,MAX(0,IF(Inputs!$B$38="pvp",15,Inputs!$B$43)-MAX(5,B2363))/(IF(Inputs!$B$38="pvp",15,Inputs!$B$43)-(B2363))))*IF(AND(ArtifactsInput!$M$42,((Inputs!$B$9+((C2344=TRUE)*(F2344-Calc!F19))+B2356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327">
        <f>MAX(0,(Inputs!$B$3-100)*3)+Inputs!$B$28+Inputs!$B$29</f>
        <v/>
      </c>
      <c r="V2327">
        <f>IF(C2327,(Skills!G2*N2327*B2360*(1+IF(C2352=TRUE,1/3,0)))*IF(Inputs!$B$38="pvp",1,(1+(Inputs!$B$21+Skills!Q2+(IF(ArtifactsInput!$M$33,CHOOSE(ArtifactsInput!$N$33+1,30,36,42,48,54,60),0))+(IF(AND(ArtifactsInput!$M$35,Inputs!$B$4&lt;&gt;"Chapter Hunt"),CHOOSE(ArtifactsInput!$N$35+1,15,18,21,24,27,30)*(1-EXP(-(0.2*B2358)*5)),0)+IF(AND(ArtifactsInput!$M$22,Inputs!$B$4&lt;&gt;"Chapter Hunt"),CHOOSE(ArtifactsInput!$N$22+1,10,12,14,16,18,20)*((0*(((0.15*B2358*5))^0/1)+1*(((0.15*B2358*5))^1/1)+2*(((0.15*B2358*5))^2/2)+3*(((0.15*B2358*5))^3/6)+4*(((0.15*B2358*5))^4/24)+5*(((0.15*B2358*5))^5/120))/((((0.15*B2358*5))^0/1)+(((0.15*B2358*5))^1/1)+(((0.15*B2358*5))^2/2)+(((0.15*B2358*5))^3/6)+(((0.15*B2358*5))^4/24)+(((0.15*B2358*5))^5/120))),0))+IF(Inputs!$B$3&gt;=54,9*(C2328=TRUE)*MIN(1,8*(1+Inputs!$B$34/100)*Q2328),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28">
      <c r="A2328">
        <f>Skills!A3</f>
        <v/>
      </c>
      <c r="B2328">
        <f>Skills!B3</f>
        <v/>
      </c>
      <c r="C2328">
        <f>Inputs!$B$3&gt;=33</f>
        <v/>
      </c>
      <c r="D2328">
        <f>IF(Skills!C3=1,60+Inputs!$B$25+Inputs!$B$29,IF(Skills!C3=2,90+Inputs!$B$26+Inputs!$B$29,IF(Skills!C3=3,120+Inputs!$B$27+Inputs!$B$29,MAX(0,(Inputs!$B$3-100)*3)+Inputs!$B$28+Inputs!$B$29)))</f>
        <v/>
      </c>
      <c r="E2328">
        <f>INDEX(FactorTable!$B$2:$Y$301, MATCH(ROUND(MIN(300,MAX(1,D2328)),0), FactorTable!$A$2:$A$301,0), Skills!M3+1)</f>
        <v/>
      </c>
      <c r="F2328">
        <f>IF(Skills!N3=TRUE,(Skills!L3/10)*(E2328/1000),Skills!L3/10)+Skills!O3</f>
        <v/>
      </c>
      <c r="G2328">
        <f>Skills!G3*IF(Skills!H3&gt;0,INT(IF(Inputs!$B$38="pvp",MIN(Skills!I3,15),Skills!I3)/Skills!H3+0.000000001),1)</f>
        <v/>
      </c>
      <c r="H2328">
        <f>1-(1-Skills!J3/100)^Skills!K3</f>
        <v/>
      </c>
      <c r="I2328" t="inlineStr">
        <is>
          <t>1</t>
        </is>
      </c>
      <c r="J2328">
        <f>((Inputs!$B$6*(1+Inputs!$B$7/100))+(((Inputs!$B$12*(1+Inputs!$B$13/100))-(Inputs!$B$12*(1+Inputs!$B$13/100)))+0.25*(Inputs!$B$14-Inputs!$B$14))*(1+Inputs!$B$7/100))*(F2328/100)</f>
        <v/>
      </c>
      <c r="K2328">
        <f>J2328*(1+((Inputs!$B$12*(1+Inputs!$B$13/100))*0.01+Inputs!$B$14*0.0025)/100)*(1+Inputs!$B$15/100)*(1+Inputs!$B$16/100)*(5000/(6000+Inputs!$B$42*(1-(100*(1-(1-(Inputs!$B$19+0)/100)*(1-CHOOSE(ArtifactsInput!$N$40+1,5,6,7,8,9,10)/100)^(ArtifactsInput!$M$40-ArtifactsInput!$M$40)))/100)))*(1+(Inputs!$B$24+((C2351=TRUE)*(F2351-Calc!F26))+B2362)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2340=TRUE,F2340,0)/100)*(1+(IF(Skills!A3="EIGHT_LEGS_EASTON",Inputs!$B$17+((C2348=TRUE)*(F2348-Calc!F23))+((C2352=TRUE)*(F2352-Calc!F27))+((IF(AND(Inputs!$B$38&lt;&gt;"pvp",Inputs!$B$43=0),1,IF(IF(Inputs!$B$38="pvp",15,Inputs!$B$43)-(B2363)&lt;=0,1,MAX(0,IF(Inputs!$B$38="pvp",15,Inputs!$B$43)-MAX(5,B2363))/(IF(Inputs!$B$38="pvp",15,Inputs!$B$43)-(B2363))))*(IF(AND(ArtifactsInput!$M$42,((Inputs!$B$9+((C2344=TRUE)*(F2344-Calc!F19))+B2356+(ArtifactsInput!$M$24-ArtifactsInput!$M$24)*CHOOSE(ArtifactsInput!$N$24+1,10,12,14,16,18,20)+IF(ArtifactsInput!$M$10,CHOOSE(ArtifactsInput!$N$10+1,15,18,21,24,27,30)*(IF(Inputs!$B$38="pvp",MIN(15,15)/15,IF(AND(Inputs!$B$38&lt;&gt;"pvp",Inputs!$B$43&gt;0),MIN(15,Inputs!$B$43)/(Inputs!$B$43),0))),0)))&gt;=100),MIN(100,((Inputs!$B$9+((C2344=TRUE)*(F2344-Calc!F19))+B2356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2363)&lt;=0,1,MAX(0,IF(Inputs!$B$38="pvp",15,Inputs!$B$43)-MAX(5,B2363))/(IF(Inputs!$B$38="pvp",15,Inputs!$B$43)-(B2363))))*IF(AND(ArtifactsInput!$M$42,((Inputs!$B$9+((C2344=TRUE)*(F2344-Calc!F19))+B2356+(ArtifactsInput!$M$24-ArtifactsInput!$M$24)*CHOOSE(ArtifactsInput!$N$24+1,10,12,14,16,18,20)+IF(ArtifactsInput!$M$10,CHOOSE(ArtifactsInput!$N$10+1,15,18,21,24,27,30)*(IF(Inputs!$B$38="pvp",MIN(15,15)/15,IF(AND(Inputs!$B$38&lt;&gt;"pvp",Inputs!$B$43&gt;0),MIN(15,Inputs!$B$43)/(Inputs!$B$43),0))),0)))&gt;=100),CHOOSE(ArtifactsInput!$N$42+1,40,48,56,64,72,80),0))))/100)*((1+(((C2342=TRUE)*F2342*5/7)+((C2349=TRUE)*(F2349-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2328)</f>
        <v/>
      </c>
      <c r="L2328">
        <f>K2328*(MIN(Inputs!$B$22+((C2347=TRUE)*(F2347-Calc!F22)),(Inputs!$B$23+0+(IF(ArtifactsInput!$M$15,CHOOSE(ArtifactsInput!$N$15+1,25,30,35,40,45,50)/100*(Inputs!$B$11-Inputs!$B$11),0))))/100+(Inputs!$B$23+0+(IF(ArtifactsInput!$M$15,CHOOSE(ArtifactsInput!$N$15+1,25,30,35,40,45,50)/100*(Inputs!$B$11-Inputs!$B$11),0)))/100)/2</f>
        <v/>
      </c>
      <c r="M2328">
        <f>L2328*(1+(Inputs!$B$10+((C2350=TRUE)*(F2350-Calc!F25))+B2361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28">
        <f>L2328*(1-MIN((Inputs!$B$9+((C2344=TRUE)*(F2344-Calc!F19))+B2356+(ArtifactsInput!$M$24-ArtifactsInput!$M$24)*CHOOSE(ArtifactsInput!$N$24+1,10,12,14,16,18,20)+(IF(AND(Inputs!$B$38&lt;&gt;"pvp",Inputs!$B$43=0),1,IF(IF(Inputs!$B$38="pvp",15,Inputs!$B$43)-(B2363)&lt;=0,1,MAX(0,IF(Inputs!$B$38="pvp",15,Inputs!$B$43)-MAX(5,B2363))/(IF(Inputs!$B$38="pvp",15,Inputs!$B$43)-(B2363))))*IF(AND(ArtifactsInput!$M$42,((Inputs!$B$9+((C2344=TRUE)*(F2344-Calc!F19))+B2356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2328*(MIN((Inputs!$B$9+((C2344=TRUE)*(F2344-Calc!F19))+B2356+(ArtifactsInput!$M$24-ArtifactsInput!$M$24)*CHOOSE(ArtifactsInput!$N$24+1,10,12,14,16,18,20)+(IF(AND(Inputs!$B$38&lt;&gt;"pvp",Inputs!$B$43=0),1,IF(IF(Inputs!$B$38="pvp",15,Inputs!$B$43)-(B2363)&lt;=0,1,MAX(0,IF(Inputs!$B$38="pvp",15,Inputs!$B$43)-MAX(5,B2363))/(IF(Inputs!$B$38="pvp",15,Inputs!$B$43)-(B2363))))*IF(AND(ArtifactsInput!$M$42,((Inputs!$B$9+((C2344=TRUE)*(F2344-Calc!F19))+B2356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28">
        <f>(1-Summary!$B$11)*T2328+Summary!$B$11*V2328</f>
        <v/>
      </c>
      <c r="P2328">
        <f>IF(B2366=0,0,O2328/B2366)</f>
        <v/>
      </c>
      <c r="Q2328">
        <f>IFERROR(1/(IF(Inputs!$B$38="pvp",15,MAX(0.1,Skills!D3-IF(TRUE=TRUE,Inputs!$B$32,0)))*(1-IF(AND(ArtifactsInput!$M$27,Inputs!$B$4="Chapter Hunt"),CHOOSE(ArtifactsInput!$N$27+1,20,24,28,32,36,40),0)/100)),0)</f>
        <v/>
      </c>
      <c r="R2328">
        <f>IF(AND(Inputs!$B$38&lt;&gt;"pvp",Inputs!$B$43&gt;0),IF(MAX(0,Inputs!$B$43-B2363)&lt;=0,0,(INT(MAX(0,Inputs!$B$43-B2363)/(IF(Inputs!$B$38="pvp",15,MAX(0.1,Skills!D3-IF(TRUE=TRUE,Inputs!$B$32,0)))*(1-IF(AND(ArtifactsInput!$M$27,Inputs!$B$4="Chapter Hunt"),CHOOSE(ArtifactsInput!$N$27+1,20,24,28,32,36,40),0)/100)))+1)),0)</f>
        <v/>
      </c>
      <c r="S2328">
        <f>IFERROR(O2328/N2328,0)</f>
        <v/>
      </c>
      <c r="T2328">
        <f>IF(C2328,(H2328*N2328*IF(AND(Inputs!$B$38&lt;&gt;"pvp",Inputs!$B$43&gt;0),((Skills!G3*((R2328-1)*IF(Skills!H3&gt;0,INT(Skills!I3/Skills!H3+0.000000001),1)+IF(Skills!H3&gt;0,INT(MIN(Skills!I3,MAX(0,MAX(0,Inputs!$B$43-B2363)-((R2328-1)*(IF(Inputs!$B$38="pvp",15,MAX(0.1,Skills!D3-IF(TRUE=TRUE,Inputs!$B$32,0)))*(1-IF(AND(ArtifactsInput!$M$27,Inputs!$B$4="Chapter Hunt"),CHOOSE(ArtifactsInput!$N$27+1,20,24,28,32,36,40),0)/100)))))/Skills!H3+0.000000001),1)))/Inputs!$B$43),G2328*Q2328))*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Hunt"),CHOOSE(ArtifactsInput!$N$35+1,15,18,21,24,27,30)*(1-EXP(-(0.2*B2358)*5)),0)+IF(AND(ArtifactsInput!$M$22,Inputs!$B$4&lt;&gt;"Chapter Hunt"),CHOOSE(ArtifactsInput!$N$22+1,10,12,14,16,18,20)*((0*(((0.15*B2358*5))^0/1)+1*(((0.15*B2358*5))^1/1)+2*(((0.15*B2358*5))^2/2)+3*(((0.15*B2358*5))^3/6)+4*(((0.15*B2358*5))^4/24)+5*(((0.15*B2358*5))^5/120))/((((0.15*B2358*5))^0/1)+(((0.15*B2358*5))^1/1)+(((0.15*B2358*5))^2/2)+(((0.15*B2358*5))^3/6)+(((0.15*B2358*5))^4/24)+(((0.15*B2358*5))^5/120))),0))+IF(Inputs!$B$3&gt;=54,9*(C2328=TRUE)*MIN(1,8*(1+Inputs!$B$34/100)*Q2328)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2328*(1-MIN(100,(Inputs!$B$9+((C2344=TRUE)*(F2344-Calc!F19))+B2356+(ArtifactsInput!$M$24-ArtifactsInput!$M$24)*CHOOSE(ArtifactsInput!$N$24+1,10,12,14,16,18,20)+(IF(AND(Inputs!$B$38&lt;&gt;"pvp",Inputs!$B$43=0),1,IF(IF(Inputs!$B$38="pvp",15,Inputs!$B$43)-(B2363)&lt;=0,1,MAX(0,IF(Inputs!$B$38="pvp",15,Inputs!$B$43)-MAX(5,B2363))/(IF(Inputs!$B$38="pvp",15,Inputs!$B$43)-(B2363))))*IF(AND(ArtifactsInput!$M$42,((Inputs!$B$9+((C2344=TRUE)*(F2344-Calc!F19))+B2356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2328*(MIN(100,(Inputs!$B$9+((C2344=TRUE)*(F2344-Calc!F19))+B2356+(ArtifactsInput!$M$24-ArtifactsInput!$M$24)*CHOOSE(ArtifactsInput!$N$24+1,10,12,14,16,18,20)+(IF(AND(Inputs!$B$38&lt;&gt;"pvp",Inputs!$B$43=0),1,IF(IF(Inputs!$B$38="pvp",15,Inputs!$B$43)-(B2363)&lt;=0,1,MAX(0,IF(Inputs!$B$38="pvp",15,Inputs!$B$43)-MAX(5,B2363))/(IF(Inputs!$B$38="pvp",15,Inputs!$B$43)-(B2363))))*IF(AND(ArtifactsInput!$M$42,((Inputs!$B$9+((C2344=TRUE)*(F2344-Calc!F19))+B2356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2328*(1-MIN(100,(Inputs!$B$9+((C2344=TRUE)*(F2344-Calc!F19))+B2356+(ArtifactsInput!$M$24-ArtifactsInput!$M$24)*CHOOSE(ArtifactsInput!$N$24+1,10,12,14,16,18,20)+(IF(AND(Inputs!$B$38&lt;&gt;"pvp",Inputs!$B$43=0),1,IF(IF(Inputs!$B$38="pvp",15,Inputs!$B$43)-(B2363)&lt;=0,1,MAX(0,IF(Inputs!$B$38="pvp",15,Inputs!$B$43)-MAX(5,B2363))/(IF(Inputs!$B$38="pvp",15,Inputs!$B$43)-(B2363))))*IF(AND(ArtifactsInput!$M$42,((Inputs!$B$9+((C2344=TRUE)*(F2344-Calc!F19))+B2356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2328*(MIN(100,(Inputs!$B$9+((C2344=TRUE)*(F2344-Calc!F19))+B2356+(ArtifactsInput!$M$24-ArtifactsInput!$M$24)*CHOOSE(ArtifactsInput!$N$24+1,10,12,14,16,18,20)+(IF(AND(Inputs!$B$38&lt;&gt;"pvp",Inputs!$B$43=0),1,IF(IF(Inputs!$B$38="pvp",15,Inputs!$B$43)-(B2363)&lt;=0,1,MAX(0,IF(Inputs!$B$38="pvp",15,Inputs!$B$43)-MAX(5,B2363))/(IF(Inputs!$B$38="pvp",15,Inputs!$B$43)-(B2363))))*IF(AND(ArtifactsInput!$M$42,((Inputs!$B$9+((C2344=TRUE)*(F2344-Calc!F19))+B2356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328">
        <f>INDEX(FactorTable!$B$2:$Y$301, MATCH(ROUND(MIN(300,MAX(1,U2327)),0), FactorTable!$A$2:$A$301,0), 22)</f>
        <v/>
      </c>
      <c r="V2328">
        <f>IF(C2328,(H2328*N2328*IF(AND(Inputs!$B$38&lt;&gt;"pvp",Inputs!$B$43&gt;0),((Skills!G3*((R2328-1)*IF(Skills!H3&gt;0,INT(Skills!I3/Skills!H3+0.000000001),1)+IF(Skills!H3&gt;0,INT(MIN(Skills!I3,MAX(0,MAX(0,Inputs!$B$43-B2363)-((R2328-1)*(IF(Inputs!$B$38="pvp",15,MAX(0.1,Skills!D3-IF(TRUE=TRUE,Inputs!$B$32,0)))*(1-IF(AND(ArtifactsInput!$M$27,Inputs!$B$4="Chapter Hunt"),CHOOSE(ArtifactsInput!$N$27+1,20,24,28,32,36,40),0)/100)))))/Skills!H3+0.000000001),1)))/Inputs!$B$43),G2328*Q2328))*IF(Inputs!$B$38="pvp",1,(1+(Inputs!$B$21+Skills!Q3+(IF(ArtifactsInput!$M$33,CHOOSE(ArtifactsInput!$N$33+1,30,36,42,48,54,60),0))+(IF(AND(ArtifactsInput!$M$35,Inputs!$B$4&lt;&gt;"Chapter Hunt"),CHOOSE(ArtifactsInput!$N$35+1,15,18,21,24,27,30)*(1-EXP(-(0.2*B2358)*5)),0)+IF(AND(ArtifactsInput!$M$22,Inputs!$B$4&lt;&gt;"Chapter Hunt"),CHOOSE(ArtifactsInput!$N$22+1,10,12,14,16,18,20)*((0*(((0.15*B2358*5))^0/1)+1*(((0.15*B2358*5))^1/1)+2*(((0.15*B2358*5))^2/2)+3*(((0.15*B2358*5))^3/6)+4*(((0.15*B2358*5))^4/24)+5*(((0.15*B2358*5))^5/120))/((((0.15*B2358*5))^0/1)+(((0.15*B2358*5))^1/1)+(((0.15*B2358*5))^2/2)+(((0.15*B2358*5))^3/6)+(((0.15*B2358*5))^4/24)+(((0.15*B2358*5))^5/120))),0))+IF(Inputs!$B$3&gt;=54,9*(C2328=TRUE)*MIN(1,8*(1+Inputs!$B$34/100)*Q2328),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29">
      <c r="A2329">
        <f>Skills!A4</f>
        <v/>
      </c>
      <c r="B2329">
        <f>Skills!B4</f>
        <v/>
      </c>
      <c r="C2329">
        <f>Inputs!$B$3&gt;=35</f>
        <v/>
      </c>
      <c r="D2329">
        <f>IF(Skills!C4=1,60+Inputs!$B$25+Inputs!$B$29,IF(Skills!C4=2,90+Inputs!$B$26+Inputs!$B$29,IF(Skills!C4=3,120+Inputs!$B$27+Inputs!$B$29,MAX(0,(Inputs!$B$3-100)*3)+Inputs!$B$28+Inputs!$B$29)))</f>
        <v/>
      </c>
      <c r="E2329">
        <f>INDEX(FactorTable!$B$2:$Y$301, MATCH(ROUND(MIN(300,MAX(1,D2329)),0), FactorTable!$A$2:$A$301,0), Skills!M4+1)</f>
        <v/>
      </c>
      <c r="F2329">
        <f>IF(Skills!N4=TRUE,(Skills!L4/10)*(E2329/1000),Skills!L4/10)+Skills!O4</f>
        <v/>
      </c>
      <c r="G2329">
        <f>Skills!G4*IF(Skills!H4&gt;0,INT(IF(Inputs!$B$38="pvp",MIN(IF(Inputs!$B$3&gt;=104,MIN(35,20*(1+Inputs!$B$34/100)),20),15),IF(Inputs!$B$3&gt;=104,MIN(35,20*(1+Inputs!$B$34/100)),20))/Skills!H4+0.000000001),1)</f>
        <v/>
      </c>
      <c r="H2329">
        <f>1-(1-Skills!J4/100)^Skills!K4</f>
        <v/>
      </c>
      <c r="I2329" t="inlineStr">
        <is>
          <t>1</t>
        </is>
      </c>
      <c r="J2329">
        <f>((Inputs!$B$6*(1+Inputs!$B$7/100))+(((Inputs!$B$12*(1+Inputs!$B$13/100))-(Inputs!$B$12*(1+Inputs!$B$13/100)))+0.25*(Inputs!$B$14-Inputs!$B$14))*(1+Inputs!$B$7/100))*(F2329/100)</f>
        <v/>
      </c>
      <c r="K2329">
        <f>J2329*(1+((Inputs!$B$12*(1+Inputs!$B$13/100))*0.01+Inputs!$B$14*0.0025)/100)*(1+Inputs!$B$15/100)*(1+Inputs!$B$16/100)*(5000/(6000+Inputs!$B$42*(1-(100*(1-(1-(Inputs!$B$19+0)/100)*(1-CHOOSE(ArtifactsInput!$N$40+1,5,6,7,8,9,10)/100)^(ArtifactsInput!$M$40-ArtifactsInput!$M$40)))/100)))*(1+(Inputs!$B$24+((C2351=TRUE)*(F2351-Calc!F26))+B2362)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2341=TRUE,F2341,0)/100)*(1+(IF(Skills!A4="EIGHT_LEGS_EASTON",Inputs!$B$17+((C2348=TRUE)*(F2348-Calc!F23))+((C2352=TRUE)*(F2352-Calc!F27))+((IF(AND(Inputs!$B$38&lt;&gt;"pvp",Inputs!$B$43=0),1,IF(IF(Inputs!$B$38="pvp",15,Inputs!$B$43)-(B2363)&lt;=0,1,MAX(0,IF(Inputs!$B$38="pvp",15,Inputs!$B$43)-MAX(5,B2363))/(IF(Inputs!$B$38="pvp",15,Inputs!$B$43)-(B2363))))*(IF(AND(ArtifactsInput!$M$42,((Inputs!$B$9+((C2344=TRUE)*(F2344-Calc!F19))+B2356+(ArtifactsInput!$M$24-ArtifactsInput!$M$24)*CHOOSE(ArtifactsInput!$N$24+1,10,12,14,16,18,20)+IF(ArtifactsInput!$M$10,CHOOSE(ArtifactsInput!$N$10+1,15,18,21,24,27,30)*(IF(Inputs!$B$38="pvp",MIN(15,15)/15,IF(AND(Inputs!$B$38&lt;&gt;"pvp",Inputs!$B$43&gt;0),MIN(15,Inputs!$B$43)/(Inputs!$B$43),0))),0)))&gt;=100),MIN(100,((Inputs!$B$9+((C2344=TRUE)*(F2344-Calc!F19))+B2356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2363)&lt;=0,1,MAX(0,IF(Inputs!$B$38="pvp",15,Inputs!$B$43)-MAX(5,B2363))/(IF(Inputs!$B$38="pvp",15,Inputs!$B$43)-(B2363))))*IF(AND(ArtifactsInput!$M$42,((Inputs!$B$9+((C2344=TRUE)*(F2344-Calc!F19))+B2356+(ArtifactsInput!$M$24-ArtifactsInput!$M$24)*CHOOSE(ArtifactsInput!$N$24+1,10,12,14,16,18,20)+IF(ArtifactsInput!$M$10,CHOOSE(ArtifactsInput!$N$10+1,15,18,21,24,27,30)*(IF(Inputs!$B$38="pvp",MIN(15,15)/15,IF(AND(Inputs!$B$38&lt;&gt;"pvp",Inputs!$B$43&gt;0),MIN(15,Inputs!$B$43)/(Inputs!$B$43),0))),0)))&gt;=100),CHOOSE(ArtifactsInput!$N$42+1,40,48,56,64,72,80),0))))/100)*((1+(((C2342=TRUE)*F2342*5/7)+((C2349=TRUE)*(F2349-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2329)</f>
        <v/>
      </c>
      <c r="L2329">
        <f>K2329*(MIN(Inputs!$B$22+((C2347=TRUE)*(F2347-Calc!F22)),(Inputs!$B$23+0+(IF(ArtifactsInput!$M$15,CHOOSE(ArtifactsInput!$N$15+1,25,30,35,40,45,50)/100*(Inputs!$B$11-Inputs!$B$11),0))))/100+(Inputs!$B$23+0+(IF(ArtifactsInput!$M$15,CHOOSE(ArtifactsInput!$N$15+1,25,30,35,40,45,50)/100*(Inputs!$B$11-Inputs!$B$11),0)))/100)/2</f>
        <v/>
      </c>
      <c r="M2329">
        <f>L2329*(1+(Inputs!$B$10+((C2350=TRUE)*(F2350-Calc!F25))+B2361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29">
        <f>L2329*(1-MIN((Inputs!$B$9+((C2344=TRUE)*(F2344-Calc!F19))+B2356+(ArtifactsInput!$M$24-ArtifactsInput!$M$24)*CHOOSE(ArtifactsInput!$N$24+1,10,12,14,16,18,20)+(IF(AND(Inputs!$B$38&lt;&gt;"pvp",Inputs!$B$43=0),1,IF(IF(Inputs!$B$38="pvp",15,Inputs!$B$43)-(B2363)&lt;=0,1,MAX(0,IF(Inputs!$B$38="pvp",15,Inputs!$B$43)-MAX(5,B2363))/(IF(Inputs!$B$38="pvp",15,Inputs!$B$43)-(B2363))))*IF(AND(ArtifactsInput!$M$42,((Inputs!$B$9+((C2344=TRUE)*(F2344-Calc!F19))+B2356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2329*(MIN((Inputs!$B$9+((C2344=TRUE)*(F2344-Calc!F19))+B2356+(ArtifactsInput!$M$24-ArtifactsInput!$M$24)*CHOOSE(ArtifactsInput!$N$24+1,10,12,14,16,18,20)+(IF(AND(Inputs!$B$38&lt;&gt;"pvp",Inputs!$B$43=0),1,IF(IF(Inputs!$B$38="pvp",15,Inputs!$B$43)-(B2363)&lt;=0,1,MAX(0,IF(Inputs!$B$38="pvp",15,Inputs!$B$43)-MAX(5,B2363))/(IF(Inputs!$B$38="pvp",15,Inputs!$B$43)-(B2363))))*IF(AND(ArtifactsInput!$M$42,((Inputs!$B$9+((C2344=TRUE)*(F2344-Calc!F19))+B2356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29">
        <f>(1-Summary!$B$11)*T2329+Summary!$B$11*V2329</f>
        <v/>
      </c>
      <c r="P2329">
        <f>IF(B2366=0,0,O2329/B2366)</f>
        <v/>
      </c>
      <c r="Q2329">
        <f>IFERROR(1/(IF(Inputs!$B$38="pvp",15,MAX(0.1,Skills!D4-IF(TRUE=TRUE,Inputs!$B$32,0)))*(1-IF(AND(ArtifactsInput!$M$27,Inputs!$B$4="Chapter Hunt"),CHOOSE(ArtifactsInput!$N$27+1,20,24,28,32,36,40),0)/100)),0)</f>
        <v/>
      </c>
      <c r="R2329">
        <f>IF(AND(Inputs!$B$38&lt;&gt;"pvp",Inputs!$B$43&gt;0),IF(MAX(0,Inputs!$B$43-B2363)&lt;=0,0,(INT(MAX(0,Inputs!$B$43-B2363)/(IF(Inputs!$B$38="pvp",15,MAX(0.1,Skills!D4-IF(TRUE=TRUE,Inputs!$B$32,0)))*(1-IF(AND(ArtifactsInput!$M$27,Inputs!$B$4="Chapter Hunt"),CHOOSE(ArtifactsInput!$N$27+1,20,24,28,32,36,40),0)/100)))+1)),0)</f>
        <v/>
      </c>
      <c r="S2329">
        <f>IFERROR(O2329/N2329,0)</f>
        <v/>
      </c>
      <c r="T2329">
        <f>IF(C2329,(H2329*N2329*IF(AND(Inputs!$B$38&lt;&gt;"pvp",Inputs!$B$43&gt;0),((Skills!G4*((R2329-1)*IF(Skills!H4&gt;0,INT(IF(Inputs!$B$3&gt;=104,MIN(35,20*(1+Inputs!$B$34/100)),20)/Skills!H4+0.000000001),1)+IF(Skills!H4&gt;0,INT(MIN(IF(Inputs!$B$3&gt;=104,MIN(35,20*(1+Inputs!$B$34/100)),20),MAX(0,MAX(0,Inputs!$B$43-B2363)-((R2329-1)*(IF(Inputs!$B$38="pvp",15,MAX(0.1,Skills!D4-IF(TRUE=TRUE,Inputs!$B$32,0)))*(1-IF(AND(ArtifactsInput!$M$27,Inputs!$B$4="Chapter Hunt"),CHOOSE(ArtifactsInput!$N$27+1,20,24,28,32,36,40),0)/100)))))/Skills!H4+0.000000001),1)))/Inputs!$B$43),G2329*Q2329))*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Hunt"),CHOOSE(ArtifactsInput!$N$35+1,15,18,21,24,27,30)*(1-EXP(-(0.2*B2358)*5)),0)+IF(AND(ArtifactsInput!$M$22,Inputs!$B$4&lt;&gt;"Chapter Hunt"),CHOOSE(ArtifactsInput!$N$22+1,10,12,14,16,18,20)*((0*(((0.15*B2358*5))^0/1)+1*(((0.15*B2358*5))^1/1)+2*(((0.15*B2358*5))^2/2)+3*(((0.15*B2358*5))^3/6)+4*(((0.15*B2358*5))^4/24)+5*(((0.15*B2358*5))^5/120))/((((0.15*B2358*5))^0/1)+(((0.15*B2358*5))^1/1)+(((0.15*B2358*5))^2/2)+(((0.15*B2358*5))^3/6)+(((0.15*B2358*5))^4/24)+(((0.15*B2358*5))^5/120))),0))+IF(Inputs!$B$3&gt;=54,9*(C2328=TRUE)*MIN(1,8*(1+Inputs!$B$34/100)*Q2328)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2329*(1-MIN(100,(Inputs!$B$9+((C2344=TRUE)*(F2344-Calc!F19))+B2356+(ArtifactsInput!$M$24-ArtifactsInput!$M$24)*CHOOSE(ArtifactsInput!$N$24+1,10,12,14,16,18,20)+(IF(AND(Inputs!$B$38&lt;&gt;"pvp",Inputs!$B$43=0),1,IF(IF(Inputs!$B$38="pvp",15,Inputs!$B$43)-(B2363)&lt;=0,1,MAX(0,IF(Inputs!$B$38="pvp",15,Inputs!$B$43)-MAX(5,B2363))/(IF(Inputs!$B$38="pvp",15,Inputs!$B$43)-(B2363))))*IF(AND(ArtifactsInput!$M$42,((Inputs!$B$9+((C2344=TRUE)*(F2344-Calc!F19))+B2356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2329*(MIN(100,(Inputs!$B$9+((C2344=TRUE)*(F2344-Calc!F19))+B2356+(ArtifactsInput!$M$24-ArtifactsInput!$M$24)*CHOOSE(ArtifactsInput!$N$24+1,10,12,14,16,18,20)+(IF(AND(Inputs!$B$38&lt;&gt;"pvp",Inputs!$B$43=0),1,IF(IF(Inputs!$B$38="pvp",15,Inputs!$B$43)-(B2363)&lt;=0,1,MAX(0,IF(Inputs!$B$38="pvp",15,Inputs!$B$43)-MAX(5,B2363))/(IF(Inputs!$B$38="pvp",15,Inputs!$B$43)-(B2363))))*IF(AND(ArtifactsInput!$M$42,((Inputs!$B$9+((C2344=TRUE)*(F2344-Calc!F19))+B2356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2329*(1-MIN(100,(Inputs!$B$9+((C2344=TRUE)*(F2344-Calc!F19))+B2356+(ArtifactsInput!$M$24-ArtifactsInput!$M$24)*CHOOSE(ArtifactsInput!$N$24+1,10,12,14,16,18,20)+(IF(AND(Inputs!$B$38&lt;&gt;"pvp",Inputs!$B$43=0),1,IF(IF(Inputs!$B$38="pvp",15,Inputs!$B$43)-(B2363)&lt;=0,1,MAX(0,IF(Inputs!$B$38="pvp",15,Inputs!$B$43)-MAX(5,B2363))/(IF(Inputs!$B$38="pvp",15,Inputs!$B$43)-(B2363))))*IF(AND(ArtifactsInput!$M$42,((Inputs!$B$9+((C2344=TRUE)*(F2344-Calc!F19))+B2356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2329*(MIN(100,(Inputs!$B$9+((C2344=TRUE)*(F2344-Calc!F19))+B2356+(ArtifactsInput!$M$24-ArtifactsInput!$M$24)*CHOOSE(ArtifactsInput!$N$24+1,10,12,14,16,18,20)+(IF(AND(Inputs!$B$38&lt;&gt;"pvp",Inputs!$B$43=0),1,IF(IF(Inputs!$B$38="pvp",15,Inputs!$B$43)-(B2363)&lt;=0,1,MAX(0,IF(Inputs!$B$38="pvp",15,Inputs!$B$43)-MAX(5,B2363))/(IF(Inputs!$B$38="pvp",15,Inputs!$B$43)-(B2363))))*IF(AND(ArtifactsInput!$M$42,((Inputs!$B$9+((C2344=TRUE)*(F2344-Calc!F19))+B2356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329">
        <f>290*U2328/1000</f>
        <v/>
      </c>
      <c r="V2329">
        <f>IF(C2329,(H2329*N2329*IF(AND(Inputs!$B$38&lt;&gt;"pvp",Inputs!$B$43&gt;0),((Skills!G4*((R2329-1)*IF(Skills!H4&gt;0,INT(IF(Inputs!$B$3&gt;=104,MIN(35,20*(1+Inputs!$B$34/100)),20)/Skills!H4+0.000000001),1)+IF(Skills!H4&gt;0,INT(MIN(IF(Inputs!$B$3&gt;=104,MIN(35,20*(1+Inputs!$B$34/100)),20),MAX(0,MAX(0,Inputs!$B$43-B2363)-((R2329-1)*(IF(Inputs!$B$38="pvp",15,MAX(0.1,Skills!D4-IF(TRUE=TRUE,Inputs!$B$32,0)))*(1-IF(AND(ArtifactsInput!$M$27,Inputs!$B$4="Chapter Hunt"),CHOOSE(ArtifactsInput!$N$27+1,20,24,28,32,36,40),0)/100)))))/Skills!H4+0.000000001),1)))/Inputs!$B$43),G2329*Q2329))*IF(Inputs!$B$38="pvp",1,(1+(Inputs!$B$21+Skills!Q4+(IF(ArtifactsInput!$M$33,CHOOSE(ArtifactsInput!$N$33+1,30,36,42,48,54,60),0))+(IF(AND(ArtifactsInput!$M$35,Inputs!$B$4&lt;&gt;"Chapter Hunt"),CHOOSE(ArtifactsInput!$N$35+1,15,18,21,24,27,30)*(1-EXP(-(0.2*B2358)*5)),0)+IF(AND(ArtifactsInput!$M$22,Inputs!$B$4&lt;&gt;"Chapter Hunt"),CHOOSE(ArtifactsInput!$N$22+1,10,12,14,16,18,20)*((0*(((0.15*B2358*5))^0/1)+1*(((0.15*B2358*5))^1/1)+2*(((0.15*B2358*5))^2/2)+3*(((0.15*B2358*5))^3/6)+4*(((0.15*B2358*5))^4/24)+5*(((0.15*B2358*5))^5/120))/((((0.15*B2358*5))^0/1)+(((0.15*B2358*5))^1/1)+(((0.15*B2358*5))^2/2)+(((0.15*B2358*5))^3/6)+(((0.15*B2358*5))^4/24)+(((0.15*B2358*5))^5/120))),0))+IF(Inputs!$B$3&gt;=54,9*(C2328=TRUE)*MIN(1,8*(1+Inputs!$B$34/100)*Q2328),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30">
      <c r="A2330">
        <f>Skills!A5</f>
        <v/>
      </c>
      <c r="B2330">
        <f>Skills!B5</f>
        <v/>
      </c>
      <c r="C2330">
        <f>Inputs!$B$3&gt;=69</f>
        <v/>
      </c>
      <c r="D2330">
        <f>IF(Skills!C5=1,60+Inputs!$B$25+Inputs!$B$29,IF(Skills!C5=2,90+Inputs!$B$26+Inputs!$B$29,IF(Skills!C5=3,120+Inputs!$B$27+Inputs!$B$29,MAX(0,(Inputs!$B$3-100)*3)+Inputs!$B$28+Inputs!$B$29)))</f>
        <v/>
      </c>
      <c r="E2330">
        <f>INDEX(FactorTable!$B$2:$Y$301, MATCH(ROUND(MIN(300,MAX(1,D2330)),0), FactorTable!$A$2:$A$301,0), Skills!M5+1)</f>
        <v/>
      </c>
      <c r="F2330">
        <f>IF(Skills!N5=TRUE,(Skills!L5/10)*(E2330/1000),Skills!L5/10)+Skills!O5</f>
        <v/>
      </c>
      <c r="G2330">
        <f>Skills!G5*IF(Skills!H5&gt;0,INT(IF(Inputs!$B$38="pvp",MIN(IF(Inputs!$B$3&gt;=104,MIN(35,20*(1+Inputs!$B$34/100)),20),15),IF(Inputs!$B$3&gt;=104,MIN(35,20*(1+Inputs!$B$34/100)),20))/Skills!H5+0.000000001),1)</f>
        <v/>
      </c>
      <c r="H2330">
        <f>1-(1-Skills!J5/100)^Skills!K5</f>
        <v/>
      </c>
      <c r="I2330" t="inlineStr">
        <is>
          <t>1</t>
        </is>
      </c>
      <c r="J2330">
        <f>((Inputs!$B$6*(1+Inputs!$B$7/100))+(((Inputs!$B$12*(1+Inputs!$B$13/100))-(Inputs!$B$12*(1+Inputs!$B$13/100)))+0.25*(Inputs!$B$14-Inputs!$B$14))*(1+Inputs!$B$7/100))*(F2330/100)</f>
        <v/>
      </c>
      <c r="K2330">
        <f>J2330*(1+((Inputs!$B$12*(1+Inputs!$B$13/100))*0.01+Inputs!$B$14*0.0025)/100)*(1+Inputs!$B$15/100)*(1+Inputs!$B$16/100)*(5000/(6000+Inputs!$B$42*(1-(100*(1-(1-(Inputs!$B$19+0)/100)*(1-CHOOSE(ArtifactsInput!$N$40+1,5,6,7,8,9,10)/100)^(ArtifactsInput!$M$40-ArtifactsInput!$M$40)))/100)))*(1+(Inputs!$B$24+((C2351=TRUE)*(F2351-Calc!F26))+B2362)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+0.4*IF(C2341=TRUE,F2341,0)/100)*(1+(IF(Skills!A5="EIGHT_LEGS_EASTON",Inputs!$B$17+((C2348=TRUE)*(F2348-Calc!F23))+((C2352=TRUE)*(F2352-Calc!F27))+((IF(AND(Inputs!$B$38&lt;&gt;"pvp",Inputs!$B$43=0),1,IF(IF(Inputs!$B$38="pvp",15,Inputs!$B$43)-(B2363)&lt;=0,1,MAX(0,IF(Inputs!$B$38="pvp",15,Inputs!$B$43)-MAX(5,B2363))/(IF(Inputs!$B$38="pvp",15,Inputs!$B$43)-(B2363))))*(IF(AND(ArtifactsInput!$M$42,((Inputs!$B$9+((C2344=TRUE)*(F2344-Calc!F19))+B2356+(ArtifactsInput!$M$24-ArtifactsInput!$M$24)*CHOOSE(ArtifactsInput!$N$24+1,10,12,14,16,18,20)+IF(ArtifactsInput!$M$10,CHOOSE(ArtifactsInput!$N$10+1,15,18,21,24,27,30)*(IF(Inputs!$B$38="pvp",MIN(15,15)/15,IF(AND(Inputs!$B$38&lt;&gt;"pvp",Inputs!$B$43&gt;0),MIN(15,Inputs!$B$43)/(Inputs!$B$43),0))),0)))&gt;=100),MIN(100,((Inputs!$B$9+((C2344=TRUE)*(F2344-Calc!F19))+B2356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2363)&lt;=0,1,MAX(0,IF(Inputs!$B$38="pvp",15,Inputs!$B$43)-MAX(5,B2363))/(IF(Inputs!$B$38="pvp",15,Inputs!$B$43)-(B2363))))*IF(AND(ArtifactsInput!$M$42,((Inputs!$B$9+((C2344=TRUE)*(F2344-Calc!F19))+B2356+(ArtifactsInput!$M$24-ArtifactsInput!$M$24)*CHOOSE(ArtifactsInput!$N$24+1,10,12,14,16,18,20)+IF(ArtifactsInput!$M$10,CHOOSE(ArtifactsInput!$N$10+1,15,18,21,24,27,30)*(IF(Inputs!$B$38="pvp",MIN(15,15)/15,IF(AND(Inputs!$B$38&lt;&gt;"pvp",Inputs!$B$43&gt;0),MIN(15,Inputs!$B$43)/(Inputs!$B$43),0))),0)))&gt;=100),CHOOSE(ArtifactsInput!$N$42+1,40,48,56,64,72,80),0))))/100)*((1+(((C2342=TRUE)*F2342*5/7)+((C2349=TRUE)*(F2349-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2330)</f>
        <v/>
      </c>
      <c r="L2330">
        <f>K2330*(MIN(Inputs!$B$22+((C2347=TRUE)*(F2347-Calc!F22)),(Inputs!$B$23+0+(IF(ArtifactsInput!$M$15,CHOOSE(ArtifactsInput!$N$15+1,25,30,35,40,45,50)/100*(Inputs!$B$11-Inputs!$B$11),0))))/100+(Inputs!$B$23+0+(IF(ArtifactsInput!$M$15,CHOOSE(ArtifactsInput!$N$15+1,25,30,35,40,45,50)/100*(Inputs!$B$11-Inputs!$B$11),0)))/100)/2</f>
        <v/>
      </c>
      <c r="M2330">
        <f>L2330*(1+(Inputs!$B$10+((C2350=TRUE)*(F2350-Calc!F25))+B2361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30">
        <f>L2330*(1-MIN((Inputs!$B$9+((C2344=TRUE)*(F2344-Calc!F19))+B2356+(ArtifactsInput!$M$24-ArtifactsInput!$M$24)*CHOOSE(ArtifactsInput!$N$24+1,10,12,14,16,18,20)+(IF(AND(Inputs!$B$38&lt;&gt;"pvp",Inputs!$B$43=0),1,IF(IF(Inputs!$B$38="pvp",15,Inputs!$B$43)-(B2363)&lt;=0,1,MAX(0,IF(Inputs!$B$38="pvp",15,Inputs!$B$43)-MAX(5,B2363))/(IF(Inputs!$B$38="pvp",15,Inputs!$B$43)-(B2363))))*IF(AND(ArtifactsInput!$M$42,((Inputs!$B$9+((C2344=TRUE)*(F2344-Calc!F19))+B2356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2330*(MIN((Inputs!$B$9+((C2344=TRUE)*(F2344-Calc!F19))+B2356+(ArtifactsInput!$M$24-ArtifactsInput!$M$24)*CHOOSE(ArtifactsInput!$N$24+1,10,12,14,16,18,20)+(IF(AND(Inputs!$B$38&lt;&gt;"pvp",Inputs!$B$43=0),1,IF(IF(Inputs!$B$38="pvp",15,Inputs!$B$43)-(B2363)&lt;=0,1,MAX(0,IF(Inputs!$B$38="pvp",15,Inputs!$B$43)-MAX(5,B2363))/(IF(Inputs!$B$38="pvp",15,Inputs!$B$43)-(B2363))))*IF(AND(ArtifactsInput!$M$42,((Inputs!$B$9+((C2344=TRUE)*(F2344-Calc!F19))+B2356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30">
        <f>(1-Summary!$B$11)*T2330+Summary!$B$11*V2330</f>
        <v/>
      </c>
      <c r="P2330">
        <f>IF(B2366=0,0,O2330/B2366)</f>
        <v/>
      </c>
      <c r="Q2330">
        <f>IFERROR(1/(IF(Inputs!$B$38="pvp",15,MAX(0.1,Skills!D5-IF(TRUE=TRUE,Inputs!$B$32,0)))*(1-IF(AND(ArtifactsInput!$M$27,Inputs!$B$4="Chapter Hunt"),CHOOSE(ArtifactsInput!$N$27+1,20,24,28,32,36,40),0)/100)),0)</f>
        <v/>
      </c>
      <c r="R2330">
        <f>IF(AND(Inputs!$B$38&lt;&gt;"pvp",Inputs!$B$43&gt;0),IF(MAX(0,Inputs!$B$43-B2363)&lt;=0,0,(INT(MAX(0,Inputs!$B$43-B2363)/(IF(Inputs!$B$38="pvp",15,MAX(0.1,Skills!D5-IF(TRUE=TRUE,Inputs!$B$32,0)))*(1-IF(AND(ArtifactsInput!$M$27,Inputs!$B$4="Chapter Hunt"),CHOOSE(ArtifactsInput!$N$27+1,20,24,28,32,36,40),0)/100)))+1)),0)</f>
        <v/>
      </c>
      <c r="S2330">
        <f>IFERROR(O2330/N2330,0)</f>
        <v/>
      </c>
      <c r="T2330">
        <f>IF(C2330,(H2330*N2330*IF(AND(Inputs!$B$38&lt;&gt;"pvp",Inputs!$B$43&gt;0),((Skills!G5*((R2330-1)*IF(Skills!H5&gt;0,INT(IF(Inputs!$B$3&gt;=104,MIN(35,20*(1+Inputs!$B$34/100)),20)/Skills!H5+0.000000001),1)+IF(Skills!H5&gt;0,INT(MIN(IF(Inputs!$B$3&gt;=104,MIN(35,20*(1+Inputs!$B$34/100)),20),MAX(0,MAX(0,Inputs!$B$43-B2363)-((R2330-1)*(IF(Inputs!$B$38="pvp",15,MAX(0.1,Skills!D5-IF(TRUE=TRUE,Inputs!$B$32,0)))*(1-IF(AND(ArtifactsInput!$M$27,Inputs!$B$4="Chapter Hunt"),CHOOSE(ArtifactsInput!$N$27+1,20,24,28,32,36,40),0)/100)))))/Skills!H5+0.000000001),1)))/Inputs!$B$43),G2330*Q2330))*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Hunt"),CHOOSE(ArtifactsInput!$N$35+1,15,18,21,24,27,30)*(1-EXP(-(0.2*B2358)*5)),0)+IF(AND(ArtifactsInput!$M$22,Inputs!$B$4&lt;&gt;"Chapter Hunt"),CHOOSE(ArtifactsInput!$N$22+1,10,12,14,16,18,20)*((0*(((0.15*B2358*5))^0/1)+1*(((0.15*B2358*5))^1/1)+2*(((0.15*B2358*5))^2/2)+3*(((0.15*B2358*5))^3/6)+4*(((0.15*B2358*5))^4/24)+5*(((0.15*B2358*5))^5/120))/((((0.15*B2358*5))^0/1)+(((0.15*B2358*5))^1/1)+(((0.15*B2358*5))^2/2)+(((0.15*B2358*5))^3/6)+(((0.15*B2358*5))^4/24)+(((0.15*B2358*5))^5/120))),0))+IF(Inputs!$B$3&gt;=54,9*(C2328=TRUE)*MIN(1,8*(1+Inputs!$B$34/100)*Q2328)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2330*(1-MIN(100,(Inputs!$B$9+((C2344=TRUE)*(F2344-Calc!F19))+B2356+(ArtifactsInput!$M$24-ArtifactsInput!$M$24)*CHOOSE(ArtifactsInput!$N$24+1,10,12,14,16,18,20)+(IF(AND(Inputs!$B$38&lt;&gt;"pvp",Inputs!$B$43=0),1,IF(IF(Inputs!$B$38="pvp",15,Inputs!$B$43)-(B2363)&lt;=0,1,MAX(0,IF(Inputs!$B$38="pvp",15,Inputs!$B$43)-MAX(5,B2363))/(IF(Inputs!$B$38="pvp",15,Inputs!$B$43)-(B2363))))*IF(AND(ArtifactsInput!$M$42,((Inputs!$B$9+((C2344=TRUE)*(F2344-Calc!F19))+B2356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2330*(MIN(100,(Inputs!$B$9+((C2344=TRUE)*(F2344-Calc!F19))+B2356+(ArtifactsInput!$M$24-ArtifactsInput!$M$24)*CHOOSE(ArtifactsInput!$N$24+1,10,12,14,16,18,20)+(IF(AND(Inputs!$B$38&lt;&gt;"pvp",Inputs!$B$43=0),1,IF(IF(Inputs!$B$38="pvp",15,Inputs!$B$43)-(B2363)&lt;=0,1,MAX(0,IF(Inputs!$B$38="pvp",15,Inputs!$B$43)-MAX(5,B2363))/(IF(Inputs!$B$38="pvp",15,Inputs!$B$43)-(B2363))))*IF(AND(ArtifactsInput!$M$42,((Inputs!$B$9+((C2344=TRUE)*(F2344-Calc!F19))+B2356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2330*(1-MIN(100,(Inputs!$B$9+((C2344=TRUE)*(F2344-Calc!F19))+B2356+(ArtifactsInput!$M$24-ArtifactsInput!$M$24)*CHOOSE(ArtifactsInput!$N$24+1,10,12,14,16,18,20)+(IF(AND(Inputs!$B$38&lt;&gt;"pvp",Inputs!$B$43=0),1,IF(IF(Inputs!$B$38="pvp",15,Inputs!$B$43)-(B2363)&lt;=0,1,MAX(0,IF(Inputs!$B$38="pvp",15,Inputs!$B$43)-MAX(5,B2363))/(IF(Inputs!$B$38="pvp",15,Inputs!$B$43)-(B2363))))*IF(AND(ArtifactsInput!$M$42,((Inputs!$B$9+((C2344=TRUE)*(F2344-Calc!F19))+B2356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2330*(MIN(100,(Inputs!$B$9+((C2344=TRUE)*(F2344-Calc!F19))+B2356+(ArtifactsInput!$M$24-ArtifactsInput!$M$24)*CHOOSE(ArtifactsInput!$N$24+1,10,12,14,16,18,20)+(IF(AND(Inputs!$B$38&lt;&gt;"pvp",Inputs!$B$43=0),1,IF(IF(Inputs!$B$38="pvp",15,Inputs!$B$43)-(B2363)&lt;=0,1,MAX(0,IF(Inputs!$B$38="pvp",15,Inputs!$B$43)-MAX(5,B2363))/(IF(Inputs!$B$38="pvp",15,Inputs!$B$43)-(B2363))))*IF(AND(ArtifactsInput!$M$42,((Inputs!$B$9+((C2344=TRUE)*(F2344-Calc!F19))+B2356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330">
        <f>IF(C2330,(H2330*N2330*IF(AND(Inputs!$B$38&lt;&gt;"pvp",Inputs!$B$43&gt;0),((Skills!G5*((R2330-1)*IF(Skills!H5&gt;0,INT(IF(Inputs!$B$3&gt;=104,MIN(35,20*(1+Inputs!$B$34/100)),20)/Skills!H5+0.000000001),1)+IF(Skills!H5&gt;0,INT(MIN(IF(Inputs!$B$3&gt;=104,MIN(35,20*(1+Inputs!$B$34/100)),20),MAX(0,MAX(0,Inputs!$B$43-B2363)-((R2330-1)*(IF(Inputs!$B$38="pvp",15,MAX(0.1,Skills!D5-IF(TRUE=TRUE,Inputs!$B$32,0)))*(1-IF(AND(ArtifactsInput!$M$27,Inputs!$B$4="Chapter Hunt"),CHOOSE(ArtifactsInput!$N$27+1,20,24,28,32,36,40),0)/100)))))/Skills!H5+0.000000001),1)))/Inputs!$B$43),G2330*Q2330))*IF(Inputs!$B$38="pvp",1,(1+(Inputs!$B$21+Skills!Q5+(IF(ArtifactsInput!$M$33,CHOOSE(ArtifactsInput!$N$33+1,30,36,42,48,54,60),0))+(IF(AND(ArtifactsInput!$M$35,Inputs!$B$4&lt;&gt;"Chapter Hunt"),CHOOSE(ArtifactsInput!$N$35+1,15,18,21,24,27,30)*(1-EXP(-(0.2*B2358)*5)),0)+IF(AND(ArtifactsInput!$M$22,Inputs!$B$4&lt;&gt;"Chapter Hunt"),CHOOSE(ArtifactsInput!$N$22+1,10,12,14,16,18,20)*((0*(((0.15*B2358*5))^0/1)+1*(((0.15*B2358*5))^1/1)+2*(((0.15*B2358*5))^2/2)+3*(((0.15*B2358*5))^3/6)+4*(((0.15*B2358*5))^4/24)+5*(((0.15*B2358*5))^5/120))/((((0.15*B2358*5))^0/1)+(((0.15*B2358*5))^1/1)+(((0.15*B2358*5))^2/2)+(((0.15*B2358*5))^3/6)+(((0.15*B2358*5))^4/24)+(((0.15*B2358*5))^5/120))),0))+IF(Inputs!$B$3&gt;=54,9*(C2328=TRUE)*MIN(1,8*(1+Inputs!$B$34/100)*Q2328),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31">
      <c r="A2331">
        <f>Skills!A6</f>
        <v/>
      </c>
      <c r="B2331">
        <f>Skills!B6</f>
        <v/>
      </c>
      <c r="C2331">
        <f>Inputs!$B$3&gt;=66</f>
        <v/>
      </c>
      <c r="D2331">
        <f>IF(Skills!C6=1,60+Inputs!$B$25+Inputs!$B$29,IF(Skills!C6=2,90+Inputs!$B$26+Inputs!$B$29,IF(Skills!C6=3,120+Inputs!$B$27+Inputs!$B$29,MAX(0,(Inputs!$B$3-100)*3)+Inputs!$B$28+Inputs!$B$29)))</f>
        <v/>
      </c>
      <c r="E2331">
        <f>INDEX(FactorTable!$B$2:$Y$301, MATCH(ROUND(MIN(300,MAX(1,D2331)),0), FactorTable!$A$2:$A$301,0), Skills!M6+1)</f>
        <v/>
      </c>
      <c r="F2331">
        <f>IF(Skills!N6=TRUE,(Skills!L6/10)*(E2331/1000),Skills!L6/10)+Skills!O6</f>
        <v/>
      </c>
      <c r="G2331">
        <f>Skills!G6*IF(Skills!H6&gt;0,INT(IF(Inputs!$B$38="pvp",MIN(Skills!I6,15),Skills!I6)/Skills!H6+0.000000001),1)</f>
        <v/>
      </c>
      <c r="H2331">
        <f>1-(1-Skills!J6/100)^Skills!K6</f>
        <v/>
      </c>
      <c r="I2331" t="inlineStr">
        <is>
          <t>1</t>
        </is>
      </c>
      <c r="J2331">
        <f>((Inputs!$B$6*(1+Inputs!$B$7/100))+(((Inputs!$B$12*(1+Inputs!$B$13/100))-(Inputs!$B$12*(1+Inputs!$B$13/100)))+0.25*(Inputs!$B$14-Inputs!$B$14))*(1+Inputs!$B$7/100))*(F2331/100)</f>
        <v/>
      </c>
      <c r="K2331">
        <f>J2331*(1+((Inputs!$B$12*(1+Inputs!$B$13/100))*0.01+Inputs!$B$14*0.0025)/100)*(1+Inputs!$B$15/100)*(1+Inputs!$B$16/100)*(5000/(6000+Inputs!$B$42*(1-(100*(1-(1-(Inputs!$B$19+0)/100)*(1-CHOOSE(ArtifactsInput!$N$40+1,5,6,7,8,9,10)/100)^(ArtifactsInput!$M$40-ArtifactsInput!$M$40)))/100)))*(1+(Inputs!$B$24+((C2351=TRUE)*(F2351-Calc!F26))+B2362)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+2.0*IF(C2340=TRUE,F2340,0)/100)*(1+(IF(Skills!A6="EIGHT_LEGS_EASTON",Inputs!$B$17+((C2348=TRUE)*(F2348-Calc!F23))+((C2352=TRUE)*(F2352-Calc!F27))+((IF(AND(Inputs!$B$38&lt;&gt;"pvp",Inputs!$B$43=0),1,IF(IF(Inputs!$B$38="pvp",15,Inputs!$B$43)-(B2363)&lt;=0,1,MAX(0,IF(Inputs!$B$38="pvp",15,Inputs!$B$43)-MAX(5,B2363))/(IF(Inputs!$B$38="pvp",15,Inputs!$B$43)-(B2363))))*(IF(AND(ArtifactsInput!$M$42,((Inputs!$B$9+((C2344=TRUE)*(F2344-Calc!F19))+B2356+(ArtifactsInput!$M$24-ArtifactsInput!$M$24)*CHOOSE(ArtifactsInput!$N$24+1,10,12,14,16,18,20)+IF(ArtifactsInput!$M$10,CHOOSE(ArtifactsInput!$N$10+1,15,18,21,24,27,30)*(IF(Inputs!$B$38="pvp",MIN(15,15)/15,IF(AND(Inputs!$B$38&lt;&gt;"pvp",Inputs!$B$43&gt;0),MIN(15,Inputs!$B$43)/(Inputs!$B$43),0))),0)))&gt;=100),MIN(100,((Inputs!$B$9+((C2344=TRUE)*(F2344-Calc!F19))+B2356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2363)&lt;=0,1,MAX(0,IF(Inputs!$B$38="pvp",15,Inputs!$B$43)-MAX(5,B2363))/(IF(Inputs!$B$38="pvp",15,Inputs!$B$43)-(B2363))))*IF(AND(ArtifactsInput!$M$42,((Inputs!$B$9+((C2344=TRUE)*(F2344-Calc!F19))+B2356+(ArtifactsInput!$M$24-ArtifactsInput!$M$24)*CHOOSE(ArtifactsInput!$N$24+1,10,12,14,16,18,20)+IF(ArtifactsInput!$M$10,CHOOSE(ArtifactsInput!$N$10+1,15,18,21,24,27,30)*(IF(Inputs!$B$38="pvp",MIN(15,15)/15,IF(AND(Inputs!$B$38&lt;&gt;"pvp",Inputs!$B$43&gt;0),MIN(15,Inputs!$B$43)/(Inputs!$B$43),0))),0)))&gt;=100),CHOOSE(ArtifactsInput!$N$42+1,40,48,56,64,72,80),0))))/100)*((1+(((C2342=TRUE)*F2342*5/7)+((C2349=TRUE)*(F2349-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2331)</f>
        <v/>
      </c>
      <c r="L2331">
        <f>K2331*(MIN(Inputs!$B$22+((C2347=TRUE)*(F2347-Calc!F22)),(Inputs!$B$23+0+(IF(ArtifactsInput!$M$15,CHOOSE(ArtifactsInput!$N$15+1,25,30,35,40,45,50)/100*(Inputs!$B$11-Inputs!$B$11),0))))/100+(Inputs!$B$23+0+(IF(ArtifactsInput!$M$15,CHOOSE(ArtifactsInput!$N$15+1,25,30,35,40,45,50)/100*(Inputs!$B$11-Inputs!$B$11),0)))/100)/2</f>
        <v/>
      </c>
      <c r="M2331">
        <f>L2331*(1+(Inputs!$B$10+((C2350=TRUE)*(F2350-Calc!F25))+B2361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31">
        <f>L2331*(1-MIN((Inputs!$B$9+((C2344=TRUE)*(F2344-Calc!F19))+B2356+(ArtifactsInput!$M$24-ArtifactsInput!$M$24)*CHOOSE(ArtifactsInput!$N$24+1,10,12,14,16,18,20)+(IF(AND(Inputs!$B$38&lt;&gt;"pvp",Inputs!$B$43=0),1,IF(IF(Inputs!$B$38="pvp",15,Inputs!$B$43)-(B2363)&lt;=0,1,MAX(0,IF(Inputs!$B$38="pvp",15,Inputs!$B$43)-MAX(5,B2363))/(IF(Inputs!$B$38="pvp",15,Inputs!$B$43)-(B2363))))*IF(AND(ArtifactsInput!$M$42,((Inputs!$B$9+((C2344=TRUE)*(F2344-Calc!F19))+B2356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2331*(MIN((Inputs!$B$9+((C2344=TRUE)*(F2344-Calc!F19))+B2356+(ArtifactsInput!$M$24-ArtifactsInput!$M$24)*CHOOSE(ArtifactsInput!$N$24+1,10,12,14,16,18,20)+(IF(AND(Inputs!$B$38&lt;&gt;"pvp",Inputs!$B$43=0),1,IF(IF(Inputs!$B$38="pvp",15,Inputs!$B$43)-(B2363)&lt;=0,1,MAX(0,IF(Inputs!$B$38="pvp",15,Inputs!$B$43)-MAX(5,B2363))/(IF(Inputs!$B$38="pvp",15,Inputs!$B$43)-(B2363))))*IF(AND(ArtifactsInput!$M$42,((Inputs!$B$9+((C2344=TRUE)*(F2344-Calc!F19))+B2356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31">
        <f>(1-Summary!$B$11)*T2331+Summary!$B$11*V2331</f>
        <v/>
      </c>
      <c r="P2331">
        <f>IF(B2366=0,0,O2331/B2366)</f>
        <v/>
      </c>
      <c r="Q2331">
        <f>IFERROR(1/(IF(Inputs!$B$38="pvp",15,MAX(0.1,Skills!D6-IF(TRUE=TRUE,Inputs!$B$32,0)))*(1-IF(AND(ArtifactsInput!$M$27,Inputs!$B$4="Chapter Hunt"),CHOOSE(ArtifactsInput!$N$27+1,20,24,28,32,36,40),0)/100)),0)</f>
        <v/>
      </c>
      <c r="R2331">
        <f>IF(AND(Inputs!$B$38&lt;&gt;"pvp",Inputs!$B$43&gt;0),IF(MAX(0,Inputs!$B$43-B2363)&lt;=0,0,(INT(MAX(0,Inputs!$B$43-B2363)/(IF(Inputs!$B$38="pvp",15,MAX(0.1,Skills!D6-IF(TRUE=TRUE,Inputs!$B$32,0)))*(1-IF(AND(ArtifactsInput!$M$27,Inputs!$B$4="Chapter Hunt"),CHOOSE(ArtifactsInput!$N$27+1,20,24,28,32,36,40),0)/100)))+1)),0)</f>
        <v/>
      </c>
      <c r="S2331">
        <f>IFERROR(O2331/N2331,0)</f>
        <v/>
      </c>
      <c r="T2331">
        <f>IF(C2331,(H2331*N2331*IF(AND(Inputs!$B$38&lt;&gt;"pvp",Inputs!$B$43&gt;0),((Skills!G6*((R2331-1)*IF(Skills!H6&gt;0,INT(Skills!I6/Skills!H6+0.000000001),1)+IF(Skills!H6&gt;0,INT(MIN(Skills!I6,MAX(0,MAX(0,Inputs!$B$43-B2363)-((R2331-1)*(IF(Inputs!$B$38="pvp",15,MAX(0.1,Skills!D6-IF(TRUE=TRUE,Inputs!$B$32,0)))*(1-IF(AND(ArtifactsInput!$M$27,Inputs!$B$4="Chapter Hunt"),CHOOSE(ArtifactsInput!$N$27+1,20,24,28,32,36,40),0)/100)))))/Skills!H6+0.000000001),1)))/Inputs!$B$43),G2331*Q2331))*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Hunt"),CHOOSE(ArtifactsInput!$N$35+1,15,18,21,24,27,30)*(1-EXP(-(0.2*B2358)*5)),0)+IF(AND(ArtifactsInput!$M$22,Inputs!$B$4&lt;&gt;"Chapter Hunt"),CHOOSE(ArtifactsInput!$N$22+1,10,12,14,16,18,20)*((0*(((0.15*B2358*5))^0/1)+1*(((0.15*B2358*5))^1/1)+2*(((0.15*B2358*5))^2/2)+3*(((0.15*B2358*5))^3/6)+4*(((0.15*B2358*5))^4/24)+5*(((0.15*B2358*5))^5/120))/((((0.15*B2358*5))^0/1)+(((0.15*B2358*5))^1/1)+(((0.15*B2358*5))^2/2)+(((0.15*B2358*5))^3/6)+(((0.15*B2358*5))^4/24)+(((0.15*B2358*5))^5/120))),0))+IF(Inputs!$B$3&gt;=54,9*(C2328=TRUE)*MIN(1,8*(1+Inputs!$B$34/100)*Q2328)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2331*(1-MIN(100,(Inputs!$B$9+((C2344=TRUE)*(F2344-Calc!F19))+B2356+(ArtifactsInput!$M$24-ArtifactsInput!$M$24)*CHOOSE(ArtifactsInput!$N$24+1,10,12,14,16,18,20)+(IF(AND(Inputs!$B$38&lt;&gt;"pvp",Inputs!$B$43=0),1,IF(IF(Inputs!$B$38="pvp",15,Inputs!$B$43)-(B2363)&lt;=0,1,MAX(0,IF(Inputs!$B$38="pvp",15,Inputs!$B$43)-MAX(5,B2363))/(IF(Inputs!$B$38="pvp",15,Inputs!$B$43)-(B2363))))*IF(AND(ArtifactsInput!$M$42,((Inputs!$B$9+((C2344=TRUE)*(F2344-Calc!F19))+B2356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2331*(MIN(100,(Inputs!$B$9+((C2344=TRUE)*(F2344-Calc!F19))+B2356+(ArtifactsInput!$M$24-ArtifactsInput!$M$24)*CHOOSE(ArtifactsInput!$N$24+1,10,12,14,16,18,20)+(IF(AND(Inputs!$B$38&lt;&gt;"pvp",Inputs!$B$43=0),1,IF(IF(Inputs!$B$38="pvp",15,Inputs!$B$43)-(B2363)&lt;=0,1,MAX(0,IF(Inputs!$B$38="pvp",15,Inputs!$B$43)-MAX(5,B2363))/(IF(Inputs!$B$38="pvp",15,Inputs!$B$43)-(B2363))))*IF(AND(ArtifactsInput!$M$42,((Inputs!$B$9+((C2344=TRUE)*(F2344-Calc!F19))+B2356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2331*(1-MIN(100,(Inputs!$B$9+((C2344=TRUE)*(F2344-Calc!F19))+B2356+(ArtifactsInput!$M$24-ArtifactsInput!$M$24)*CHOOSE(ArtifactsInput!$N$24+1,10,12,14,16,18,20)+(IF(AND(Inputs!$B$38&lt;&gt;"pvp",Inputs!$B$43=0),1,IF(IF(Inputs!$B$38="pvp",15,Inputs!$B$43)-(B2363)&lt;=0,1,MAX(0,IF(Inputs!$B$38="pvp",15,Inputs!$B$43)-MAX(5,B2363))/(IF(Inputs!$B$38="pvp",15,Inputs!$B$43)-(B2363))))*IF(AND(ArtifactsInput!$M$42,((Inputs!$B$9+((C2344=TRUE)*(F2344-Calc!F19))+B2356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2331*(MIN(100,(Inputs!$B$9+((C2344=TRUE)*(F2344-Calc!F19))+B2356+(ArtifactsInput!$M$24-ArtifactsInput!$M$24)*CHOOSE(ArtifactsInput!$N$24+1,10,12,14,16,18,20)+(IF(AND(Inputs!$B$38&lt;&gt;"pvp",Inputs!$B$43=0),1,IF(IF(Inputs!$B$38="pvp",15,Inputs!$B$43)-(B2363)&lt;=0,1,MAX(0,IF(Inputs!$B$38="pvp",15,Inputs!$B$43)-MAX(5,B2363))/(IF(Inputs!$B$38="pvp",15,Inputs!$B$43)-(B2363))))*IF(AND(ArtifactsInput!$M$42,((Inputs!$B$9+((C2344=TRUE)*(F2344-Calc!F19))+B2356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331">
        <f>IF(C2331,(H2331*N2331*IF(AND(Inputs!$B$38&lt;&gt;"pvp",Inputs!$B$43&gt;0),((Skills!G6*((R2331-1)*IF(Skills!H6&gt;0,INT(Skills!I6/Skills!H6+0.000000001),1)+IF(Skills!H6&gt;0,INT(MIN(Skills!I6,MAX(0,MAX(0,Inputs!$B$43-B2363)-((R2331-1)*(IF(Inputs!$B$38="pvp",15,MAX(0.1,Skills!D6-IF(TRUE=TRUE,Inputs!$B$32,0)))*(1-IF(AND(ArtifactsInput!$M$27,Inputs!$B$4="Chapter Hunt"),CHOOSE(ArtifactsInput!$N$27+1,20,24,28,32,36,40),0)/100)))))/Skills!H6+0.000000001),1)))/Inputs!$B$43),G2331*Q2331))*IF(Inputs!$B$38="pvp",1,(1+(Inputs!$B$21+Skills!Q6+(IF(ArtifactsInput!$M$33,CHOOSE(ArtifactsInput!$N$33+1,30,36,42,48,54,60),0))+(IF(AND(ArtifactsInput!$M$35,Inputs!$B$4&lt;&gt;"Chapter Hunt"),CHOOSE(ArtifactsInput!$N$35+1,15,18,21,24,27,30)*(1-EXP(-(0.2*B2358)*5)),0)+IF(AND(ArtifactsInput!$M$22,Inputs!$B$4&lt;&gt;"Chapter Hunt"),CHOOSE(ArtifactsInput!$N$22+1,10,12,14,16,18,20)*((0*(((0.15*B2358*5))^0/1)+1*(((0.15*B2358*5))^1/1)+2*(((0.15*B2358*5))^2/2)+3*(((0.15*B2358*5))^3/6)+4*(((0.15*B2358*5))^4/24)+5*(((0.15*B2358*5))^5/120))/((((0.15*B2358*5))^0/1)+(((0.15*B2358*5))^1/1)+(((0.15*B2358*5))^2/2)+(((0.15*B2358*5))^3/6)+(((0.15*B2358*5))^4/24)+(((0.15*B2358*5))^5/120))),0))+IF(Inputs!$B$3&gt;=54,9*(C2328=TRUE)*MIN(1,8*(1+Inputs!$B$34/100)*Q2328),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32">
      <c r="A2332">
        <f>Skills!A7</f>
        <v/>
      </c>
      <c r="B2332">
        <f>Skills!B7</f>
        <v/>
      </c>
      <c r="C2332">
        <f>Inputs!$B$3&gt;=63</f>
        <v/>
      </c>
      <c r="D2332">
        <f>IF(Skills!C7=1,60+Inputs!$B$25+Inputs!$B$29,IF(Skills!C7=2,90+Inputs!$B$26+Inputs!$B$29,IF(Skills!C7=3,120+Inputs!$B$27+Inputs!$B$29,MAX(0,(Inputs!$B$3-100)*3)+Inputs!$B$28+Inputs!$B$29)))</f>
        <v/>
      </c>
      <c r="E2332">
        <f>INDEX(FactorTable!$B$2:$Y$301, MATCH(ROUND(MIN(300,MAX(1,D2332)),0), FactorTable!$A$2:$A$301,0), Skills!M7+1)</f>
        <v/>
      </c>
      <c r="F2332">
        <f>IF(Skills!N7=TRUE,(Skills!L7/10)*(E2332/1000),Skills!L7/10)+Skills!O7</f>
        <v/>
      </c>
      <c r="G2332">
        <f>Skills!G7*IF(Skills!H7&gt;0,INT(IF(Inputs!$B$38="pvp",MIN(Skills!I7,15),Skills!I7)/Skills!H7+0.000000001),1)</f>
        <v/>
      </c>
      <c r="H2332">
        <f>1-(1-Skills!J7/100)^Skills!K7</f>
        <v/>
      </c>
      <c r="I2332" t="inlineStr">
        <is>
          <t>1</t>
        </is>
      </c>
      <c r="J2332">
        <f>((Inputs!$B$6*(1+Inputs!$B$7/100))+(((Inputs!$B$12*(1+Inputs!$B$13/100))-(Inputs!$B$12*(1+Inputs!$B$13/100)))+0.25*(Inputs!$B$14-Inputs!$B$14))*(1+Inputs!$B$7/100))*(F2332/100)</f>
        <v/>
      </c>
      <c r="K2332">
        <f>J2332*(1+((Inputs!$B$12*(1+Inputs!$B$13/100))*0.01+Inputs!$B$14*0.0025)/100)*(1+Inputs!$B$15/100)*(1+Inputs!$B$16/100)*(5000/(6000+Inputs!$B$42*(1-(100*(1-(1-(Inputs!$B$19+0)/100)*(1-CHOOSE(ArtifactsInput!$N$40+1,5,6,7,8,9,10)/100)^(ArtifactsInput!$M$40-ArtifactsInput!$M$40)))/100)))*(1+(Inputs!$B$24+((C2351=TRUE)*(F2351-Calc!F26))+B2362)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2340=TRUE,F2340,0)/100)*(1+(IF(Skills!A7="EIGHT_LEGS_EASTON",Inputs!$B$17+((C2348=TRUE)*(F2348-Calc!F23))+((C2352=TRUE)*(F2352-Calc!F27))+((IF(AND(Inputs!$B$38&lt;&gt;"pvp",Inputs!$B$43=0),1,IF(IF(Inputs!$B$38="pvp",15,Inputs!$B$43)-(B2363)&lt;=0,1,MAX(0,IF(Inputs!$B$38="pvp",15,Inputs!$B$43)-MAX(5,B2363))/(IF(Inputs!$B$38="pvp",15,Inputs!$B$43)-(B2363))))*(IF(AND(ArtifactsInput!$M$42,((Inputs!$B$9+((C2344=TRUE)*(F2344-Calc!F19))+B2356+(ArtifactsInput!$M$24-ArtifactsInput!$M$24)*CHOOSE(ArtifactsInput!$N$24+1,10,12,14,16,18,20)+IF(ArtifactsInput!$M$10,CHOOSE(ArtifactsInput!$N$10+1,15,18,21,24,27,30)*(IF(Inputs!$B$38="pvp",MIN(15,15)/15,IF(AND(Inputs!$B$38&lt;&gt;"pvp",Inputs!$B$43&gt;0),MIN(15,Inputs!$B$43)/(Inputs!$B$43),0))),0)))&gt;=100),MIN(100,((Inputs!$B$9+((C2344=TRUE)*(F2344-Calc!F19))+B2356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2363)&lt;=0,1,MAX(0,IF(Inputs!$B$38="pvp",15,Inputs!$B$43)-MAX(5,B2363))/(IF(Inputs!$B$38="pvp",15,Inputs!$B$43)-(B2363))))*IF(AND(ArtifactsInput!$M$42,((Inputs!$B$9+((C2344=TRUE)*(F2344-Calc!F19))+B2356+(ArtifactsInput!$M$24-ArtifactsInput!$M$24)*CHOOSE(ArtifactsInput!$N$24+1,10,12,14,16,18,20)+IF(ArtifactsInput!$M$10,CHOOSE(ArtifactsInput!$N$10+1,15,18,21,24,27,30)*(IF(Inputs!$B$38="pvp",MIN(15,15)/15,IF(AND(Inputs!$B$38&lt;&gt;"pvp",Inputs!$B$43&gt;0),MIN(15,Inputs!$B$43)/(Inputs!$B$43),0))),0)))&gt;=100),CHOOSE(ArtifactsInput!$N$42+1,40,48,56,64,72,80),0))))/100)*((1+(((C2342=TRUE)*F2342*5/7)+((C2349=TRUE)*(F2349-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2332)</f>
        <v/>
      </c>
      <c r="L2332">
        <f>K2332*(MIN(Inputs!$B$22+((C2347=TRUE)*(F2347-Calc!F22)),(Inputs!$B$23+0+(IF(ArtifactsInput!$M$15,CHOOSE(ArtifactsInput!$N$15+1,25,30,35,40,45,50)/100*(Inputs!$B$11-Inputs!$B$11),0))))/100+(Inputs!$B$23+0+(IF(ArtifactsInput!$M$15,CHOOSE(ArtifactsInput!$N$15+1,25,30,35,40,45,50)/100*(Inputs!$B$11-Inputs!$B$11),0)))/100)/2</f>
        <v/>
      </c>
      <c r="M2332">
        <f>L2332*(1+(Inputs!$B$10+((C2350=TRUE)*(F2350-Calc!F25))+B2361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32">
        <f>L2332*(1-MIN((Inputs!$B$9+((C2344=TRUE)*(F2344-Calc!F19))+B2356+(ArtifactsInput!$M$24-ArtifactsInput!$M$24)*CHOOSE(ArtifactsInput!$N$24+1,10,12,14,16,18,20)+(IF(AND(Inputs!$B$38&lt;&gt;"pvp",Inputs!$B$43=0),1,IF(IF(Inputs!$B$38="pvp",15,Inputs!$B$43)-(B2363)&lt;=0,1,MAX(0,IF(Inputs!$B$38="pvp",15,Inputs!$B$43)-MAX(5,B2363))/(IF(Inputs!$B$38="pvp",15,Inputs!$B$43)-(B2363))))*IF(AND(ArtifactsInput!$M$42,((Inputs!$B$9+((C2344=TRUE)*(F2344-Calc!F19))+B2356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2332*(MIN((Inputs!$B$9+((C2344=TRUE)*(F2344-Calc!F19))+B2356+(ArtifactsInput!$M$24-ArtifactsInput!$M$24)*CHOOSE(ArtifactsInput!$N$24+1,10,12,14,16,18,20)+(IF(AND(Inputs!$B$38&lt;&gt;"pvp",Inputs!$B$43=0),1,IF(IF(Inputs!$B$38="pvp",15,Inputs!$B$43)-(B2363)&lt;=0,1,MAX(0,IF(Inputs!$B$38="pvp",15,Inputs!$B$43)-MAX(5,B2363))/(IF(Inputs!$B$38="pvp",15,Inputs!$B$43)-(B2363))))*IF(AND(ArtifactsInput!$M$42,((Inputs!$B$9+((C2344=TRUE)*(F2344-Calc!F19))+B2356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32">
        <f>(1-Summary!$B$11)*T2332+Summary!$B$11*V2332</f>
        <v/>
      </c>
      <c r="P2332">
        <f>IF(B2366=0,0,O2332/B2366)</f>
        <v/>
      </c>
      <c r="Q2332">
        <f>IFERROR(1/(IF(Inputs!$B$38="pvp",15,MAX(0.1,Skills!D7-IF(TRUE=TRUE,Inputs!$B$32,0)))*(1-IF(AND(ArtifactsInput!$M$27,Inputs!$B$4="Chapter Hunt"),CHOOSE(ArtifactsInput!$N$27+1,20,24,28,32,36,40),0)/100)),0)</f>
        <v/>
      </c>
      <c r="R2332">
        <f>IF(AND(Inputs!$B$38&lt;&gt;"pvp",Inputs!$B$43&gt;0),IF(MAX(0,Inputs!$B$43-B2363)&lt;=0,0,(INT(MAX(0,Inputs!$B$43-B2363)/(IF(Inputs!$B$38="pvp",15,MAX(0.1,Skills!D7-IF(TRUE=TRUE,Inputs!$B$32,0)))*(1-IF(AND(ArtifactsInput!$M$27,Inputs!$B$4="Chapter Hunt"),CHOOSE(ArtifactsInput!$N$27+1,20,24,28,32,36,40),0)/100)))+1)),0)</f>
        <v/>
      </c>
      <c r="S2332">
        <f>IFERROR(O2332/N2332,0)</f>
        <v/>
      </c>
      <c r="T2332">
        <f>IF(C2332,(H2332*N2332*IF(AND(Inputs!$B$38&lt;&gt;"pvp",Inputs!$B$43&gt;0),((Skills!G7*((R2332-1)*IF(Skills!H7&gt;0,INT(Skills!I7/Skills!H7+0.000000001),1)+IF(Skills!H7&gt;0,INT(MIN(Skills!I7,MAX(0,MAX(0,Inputs!$B$43-B2363)-((R2332-1)*(IF(Inputs!$B$38="pvp",15,MAX(0.1,Skills!D7-IF(TRUE=TRUE,Inputs!$B$32,0)))*(1-IF(AND(ArtifactsInput!$M$27,Inputs!$B$4="Chapter Hunt"),CHOOSE(ArtifactsInput!$N$27+1,20,24,28,32,36,40),0)/100)))))/Skills!H7+0.000000001),1)))/Inputs!$B$43),G2332*Q2332))*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Hunt"),CHOOSE(ArtifactsInput!$N$35+1,15,18,21,24,27,30)*(1-EXP(-(0.2*B2358)*5)),0)+IF(AND(ArtifactsInput!$M$22,Inputs!$B$4&lt;&gt;"Chapter Hunt"),CHOOSE(ArtifactsInput!$N$22+1,10,12,14,16,18,20)*((0*(((0.15*B2358*5))^0/1)+1*(((0.15*B2358*5))^1/1)+2*(((0.15*B2358*5))^2/2)+3*(((0.15*B2358*5))^3/6)+4*(((0.15*B2358*5))^4/24)+5*(((0.15*B2358*5))^5/120))/((((0.15*B2358*5))^0/1)+(((0.15*B2358*5))^1/1)+(((0.15*B2358*5))^2/2)+(((0.15*B2358*5))^3/6)+(((0.15*B2358*5))^4/24)+(((0.15*B2358*5))^5/120))),0))+IF(Inputs!$B$3&gt;=54,9*(C2328=TRUE)*MIN(1,8*(1+Inputs!$B$34/100)*Q2328)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2332*(1-MIN(100,(Inputs!$B$9+((C2344=TRUE)*(F2344-Calc!F19))+B2356+(ArtifactsInput!$M$24-ArtifactsInput!$M$24)*CHOOSE(ArtifactsInput!$N$24+1,10,12,14,16,18,20)+(IF(AND(Inputs!$B$38&lt;&gt;"pvp",Inputs!$B$43=0),1,IF(IF(Inputs!$B$38="pvp",15,Inputs!$B$43)-(B2363)&lt;=0,1,MAX(0,IF(Inputs!$B$38="pvp",15,Inputs!$B$43)-MAX(5,B2363))/(IF(Inputs!$B$38="pvp",15,Inputs!$B$43)-(B2363))))*IF(AND(ArtifactsInput!$M$42,((Inputs!$B$9+((C2344=TRUE)*(F2344-Calc!F19))+B2356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2332*(MIN(100,(Inputs!$B$9+((C2344=TRUE)*(F2344-Calc!F19))+B2356+(ArtifactsInput!$M$24-ArtifactsInput!$M$24)*CHOOSE(ArtifactsInput!$N$24+1,10,12,14,16,18,20)+(IF(AND(Inputs!$B$38&lt;&gt;"pvp",Inputs!$B$43=0),1,IF(IF(Inputs!$B$38="pvp",15,Inputs!$B$43)-(B2363)&lt;=0,1,MAX(0,IF(Inputs!$B$38="pvp",15,Inputs!$B$43)-MAX(5,B2363))/(IF(Inputs!$B$38="pvp",15,Inputs!$B$43)-(B2363))))*IF(AND(ArtifactsInput!$M$42,((Inputs!$B$9+((C2344=TRUE)*(F2344-Calc!F19))+B2356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2332*(1-MIN(100,(Inputs!$B$9+((C2344=TRUE)*(F2344-Calc!F19))+B2356+(ArtifactsInput!$M$24-ArtifactsInput!$M$24)*CHOOSE(ArtifactsInput!$N$24+1,10,12,14,16,18,20)+(IF(AND(Inputs!$B$38&lt;&gt;"pvp",Inputs!$B$43=0),1,IF(IF(Inputs!$B$38="pvp",15,Inputs!$B$43)-(B2363)&lt;=0,1,MAX(0,IF(Inputs!$B$38="pvp",15,Inputs!$B$43)-MAX(5,B2363))/(IF(Inputs!$B$38="pvp",15,Inputs!$B$43)-(B2363))))*IF(AND(ArtifactsInput!$M$42,((Inputs!$B$9+((C2344=TRUE)*(F2344-Calc!F19))+B2356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2332*(MIN(100,(Inputs!$B$9+((C2344=TRUE)*(F2344-Calc!F19))+B2356+(ArtifactsInput!$M$24-ArtifactsInput!$M$24)*CHOOSE(ArtifactsInput!$N$24+1,10,12,14,16,18,20)+(IF(AND(Inputs!$B$38&lt;&gt;"pvp",Inputs!$B$43=0),1,IF(IF(Inputs!$B$38="pvp",15,Inputs!$B$43)-(B2363)&lt;=0,1,MAX(0,IF(Inputs!$B$38="pvp",15,Inputs!$B$43)-MAX(5,B2363))/(IF(Inputs!$B$38="pvp",15,Inputs!$B$43)-(B2363))))*IF(AND(ArtifactsInput!$M$42,((Inputs!$B$9+((C2344=TRUE)*(F2344-Calc!F19))+B2356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332">
        <f>IF(C2332,(H2332*N2332*IF(AND(Inputs!$B$38&lt;&gt;"pvp",Inputs!$B$43&gt;0),((Skills!G7*((R2332-1)*IF(Skills!H7&gt;0,INT(Skills!I7/Skills!H7+0.000000001),1)+IF(Skills!H7&gt;0,INT(MIN(Skills!I7,MAX(0,MAX(0,Inputs!$B$43-B2363)-((R2332-1)*(IF(Inputs!$B$38="pvp",15,MAX(0.1,Skills!D7-IF(TRUE=TRUE,Inputs!$B$32,0)))*(1-IF(AND(ArtifactsInput!$M$27,Inputs!$B$4="Chapter Hunt"),CHOOSE(ArtifactsInput!$N$27+1,20,24,28,32,36,40),0)/100)))))/Skills!H7+0.000000001),1)))/Inputs!$B$43),G2332*Q2332))*IF(Inputs!$B$38="pvp",1,(1+(Inputs!$B$21+Skills!Q7+(IF(ArtifactsInput!$M$33,CHOOSE(ArtifactsInput!$N$33+1,30,36,42,48,54,60),0))+(IF(AND(ArtifactsInput!$M$35,Inputs!$B$4&lt;&gt;"Chapter Hunt"),CHOOSE(ArtifactsInput!$N$35+1,15,18,21,24,27,30)*(1-EXP(-(0.2*B2358)*5)),0)+IF(AND(ArtifactsInput!$M$22,Inputs!$B$4&lt;&gt;"Chapter Hunt"),CHOOSE(ArtifactsInput!$N$22+1,10,12,14,16,18,20)*((0*(((0.15*B2358*5))^0/1)+1*(((0.15*B2358*5))^1/1)+2*(((0.15*B2358*5))^2/2)+3*(((0.15*B2358*5))^3/6)+4*(((0.15*B2358*5))^4/24)+5*(((0.15*B2358*5))^5/120))/((((0.15*B2358*5))^0/1)+(((0.15*B2358*5))^1/1)+(((0.15*B2358*5))^2/2)+(((0.15*B2358*5))^3/6)+(((0.15*B2358*5))^4/24)+(((0.15*B2358*5))^5/120))),0))+IF(Inputs!$B$3&gt;=54,9*(C2328=TRUE)*MIN(1,8*(1+Inputs!$B$34/100)*Q2328),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33">
      <c r="A2333">
        <f>Skills!A8</f>
        <v/>
      </c>
      <c r="B2333">
        <f>Skills!B8</f>
        <v/>
      </c>
      <c r="C2333">
        <f>Inputs!$B$3&gt;=103</f>
        <v/>
      </c>
      <c r="D2333">
        <f>IF(Skills!C8=1,60+Inputs!$B$25+Inputs!$B$29,IF(Skills!C8=2,90+Inputs!$B$26+Inputs!$B$29,IF(Skills!C8=3,120+Inputs!$B$27+Inputs!$B$29,MAX(0,(Inputs!$B$3-100)*3)+Inputs!$B$28+Inputs!$B$29)))</f>
        <v/>
      </c>
      <c r="E2333">
        <f>INDEX(FactorTable!$B$2:$Y$301, MATCH(ROUND(MIN(300,MAX(1,D2333)),0), FactorTable!$A$2:$A$301,0), Skills!M8+1)</f>
        <v/>
      </c>
      <c r="F2333">
        <f>IF(Skills!N8=TRUE,(Skills!L8/10)*(E2333/1000),Skills!L8/10)+Skills!O8</f>
        <v/>
      </c>
      <c r="G2333">
        <f>Skills!G8*IF(Skills!H8&gt;0,INT(IF(Inputs!$B$38="pvp",MIN(Skills!I8,15),Skills!I8)/Skills!H8+0.000000001),1)</f>
        <v/>
      </c>
      <c r="H2333">
        <f>1-(1-Skills!J8/100)^Skills!K8</f>
        <v/>
      </c>
      <c r="I2333" t="inlineStr">
        <is>
          <t>1</t>
        </is>
      </c>
      <c r="J2333">
        <f>((Inputs!$B$6*(1+Inputs!$B$7/100))+(((Inputs!$B$12*(1+Inputs!$B$13/100))-(Inputs!$B$12*(1+Inputs!$B$13/100)))+0.25*(Inputs!$B$14-Inputs!$B$14))*(1+Inputs!$B$7/100))*(F2333/100)</f>
        <v/>
      </c>
      <c r="K2333">
        <f>J2333*(1+((Inputs!$B$12*(1+Inputs!$B$13/100))*0.01+Inputs!$B$14*0.0025)/100)*(1+Inputs!$B$15/100)*(1+Inputs!$B$16/100)*(5000/(6000+Inputs!$B$42*(1-(100*(1-(1-(Inputs!$B$19+0)/100)*(1-CHOOSE(ArtifactsInput!$N$40+1,5,6,7,8,9,10)/100)^(ArtifactsInput!$M$40-ArtifactsInput!$M$40)))/100)))*(1+(Inputs!$B$24+((C2351=TRUE)*(F2351-Calc!F26))+B2362)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IGHT_LEGS_EASTON",Inputs!$B$17+((C2348=TRUE)*(F2348-Calc!F23))+((C2352=TRUE)*(F2352-Calc!F27))+((IF(AND(Inputs!$B$38&lt;&gt;"pvp",Inputs!$B$43=0),1,IF(IF(Inputs!$B$38="pvp",15,Inputs!$B$43)-(B2363)&lt;=0,1,MAX(0,IF(Inputs!$B$38="pvp",15,Inputs!$B$43)-MAX(5,B2363))/(IF(Inputs!$B$38="pvp",15,Inputs!$B$43)-(B2363))))*(IF(AND(ArtifactsInput!$M$42,((Inputs!$B$9+((C2344=TRUE)*(F2344-Calc!F19))+B2356+(ArtifactsInput!$M$24-ArtifactsInput!$M$24)*CHOOSE(ArtifactsInput!$N$24+1,10,12,14,16,18,20)+IF(ArtifactsInput!$M$10,CHOOSE(ArtifactsInput!$N$10+1,15,18,21,24,27,30)*(IF(Inputs!$B$38="pvp",MIN(15,15)/15,IF(AND(Inputs!$B$38&lt;&gt;"pvp",Inputs!$B$43&gt;0),MIN(15,Inputs!$B$43)/(Inputs!$B$43),0))),0)))&gt;=100),MIN(100,((Inputs!$B$9+((C2344=TRUE)*(F2344-Calc!F19))+B2356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2363)&lt;=0,1,MAX(0,IF(Inputs!$B$38="pvp",15,Inputs!$B$43)-MAX(5,B2363))/(IF(Inputs!$B$38="pvp",15,Inputs!$B$43)-(B2363))))*IF(AND(ArtifactsInput!$M$42,((Inputs!$B$9+((C2344=TRUE)*(F2344-Calc!F19))+B2356+(ArtifactsInput!$M$24-ArtifactsInput!$M$24)*CHOOSE(ArtifactsInput!$N$24+1,10,12,14,16,18,20)+IF(ArtifactsInput!$M$10,CHOOSE(ArtifactsInput!$N$10+1,15,18,21,24,27,30)*(IF(Inputs!$B$38="pvp",MIN(15,15)/15,IF(AND(Inputs!$B$38&lt;&gt;"pvp",Inputs!$B$43&gt;0),MIN(15,Inputs!$B$43)/(Inputs!$B$43),0))),0)))&gt;=100),CHOOSE(ArtifactsInput!$N$42+1,40,48,56,64,72,80),0))))/100)*((1+(((C2342=TRUE)*F2342*5/7)+((C2349=TRUE)*(F2349-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2333)</f>
        <v/>
      </c>
      <c r="L2333">
        <f>K2333*(MIN(Inputs!$B$22+((C2347=TRUE)*(F2347-Calc!F22)),(Inputs!$B$23+0+(IF(ArtifactsInput!$M$15,CHOOSE(ArtifactsInput!$N$15+1,25,30,35,40,45,50)/100*(Inputs!$B$11-Inputs!$B$11),0))))/100+(Inputs!$B$23+0+(IF(ArtifactsInput!$M$15,CHOOSE(ArtifactsInput!$N$15+1,25,30,35,40,45,50)/100*(Inputs!$B$11-Inputs!$B$11),0)))/100)/2</f>
        <v/>
      </c>
      <c r="M2333">
        <f>L2333*(1+(Inputs!$B$10+((C2350=TRUE)*(F2350-Calc!F25))+B2361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33">
        <f>L2333*(1-MIN((Inputs!$B$9+((C2344=TRUE)*(F2344-Calc!F19))+B2356+(ArtifactsInput!$M$24-ArtifactsInput!$M$24)*CHOOSE(ArtifactsInput!$N$24+1,10,12,14,16,18,20)+(IF(AND(Inputs!$B$38&lt;&gt;"pvp",Inputs!$B$43=0),1,IF(IF(Inputs!$B$38="pvp",15,Inputs!$B$43)-(B2363)&lt;=0,1,MAX(0,IF(Inputs!$B$38="pvp",15,Inputs!$B$43)-MAX(5,B2363))/(IF(Inputs!$B$38="pvp",15,Inputs!$B$43)-(B2363))))*IF(AND(ArtifactsInput!$M$42,((Inputs!$B$9+((C2344=TRUE)*(F2344-Calc!F19))+B2356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2333*(MIN((Inputs!$B$9+((C2344=TRUE)*(F2344-Calc!F19))+B2356+(ArtifactsInput!$M$24-ArtifactsInput!$M$24)*CHOOSE(ArtifactsInput!$N$24+1,10,12,14,16,18,20)+(IF(AND(Inputs!$B$38&lt;&gt;"pvp",Inputs!$B$43=0),1,IF(IF(Inputs!$B$38="pvp",15,Inputs!$B$43)-(B2363)&lt;=0,1,MAX(0,IF(Inputs!$B$38="pvp",15,Inputs!$B$43)-MAX(5,B2363))/(IF(Inputs!$B$38="pvp",15,Inputs!$B$43)-(B2363))))*IF(AND(ArtifactsInput!$M$42,((Inputs!$B$9+((C2344=TRUE)*(F2344-Calc!F19))+B2356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33">
        <f>(1-Summary!$B$11)*T2333+Summary!$B$11*V2333</f>
        <v/>
      </c>
      <c r="P2333">
        <f>IF(B2366=0,0,O2333/B2366)</f>
        <v/>
      </c>
      <c r="Q2333">
        <f>IFERROR(1/((IF(Inputs!$B$38="pvp",15,MAX(0.1,Skills!D8-IF(TRUE=TRUE,Inputs!$B$32,0)))*(1-IF(AND(ArtifactsInput!$M$27,Inputs!$B$4="Chapter Hunt"),CHOOSE(ArtifactsInput!$N$27+1,20,24,28,32,36,40),0)/100))/B2367),0)</f>
        <v/>
      </c>
      <c r="R2333">
        <f>IF(AND(Inputs!$B$38&lt;&gt;"pvp",Inputs!$B$43&gt;0),IF(MAX(0,Inputs!$B$43-B2363)&lt;=0,0,(INT(MAX(0,Inputs!$B$43-B2363)/((IF(Inputs!$B$38="pvp",15,MAX(0.1,Skills!D8-IF(TRUE=TRUE,Inputs!$B$32,0)))*(1-IF(AND(ArtifactsInput!$M$27,Inputs!$B$4="Chapter Hunt"),CHOOSE(ArtifactsInput!$N$27+1,20,24,28,32,36,40),0)/100))/B2367))+1)),0)</f>
        <v/>
      </c>
      <c r="S2333">
        <f>IFERROR(O2333/N2333,0)</f>
        <v/>
      </c>
      <c r="T2333">
        <f>IF(C2333,(H2333*N2333*IF(AND(Inputs!$B$38&lt;&gt;"pvp",Inputs!$B$43&gt;0),((Skills!G8*((R2333-1)*IF(Skills!H8&gt;0,INT(Skills!I8/Skills!H8+0.000000001),1)+IF(Skills!H8&gt;0,INT(MIN(Skills!I8,MAX(0,MAX(0,Inputs!$B$43-B2363)-((R2333-1)*((IF(Inputs!$B$38="pvp",15,MAX(0.1,Skills!D8-IF(TRUE=TRUE,Inputs!$B$32,0)))*(1-IF(AND(ArtifactsInput!$M$27,Inputs!$B$4="Chapter Hunt"),CHOOSE(ArtifactsInput!$N$27+1,20,24,28,32,36,40),0)/100))/B2367))))/Skills!H8+0.000000001),1)))/Inputs!$B$43),G2333*Q2333))*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Hunt"),CHOOSE(ArtifactsInput!$N$35+1,15,18,21,24,27,30)*(1-EXP(-(0.2*B2358)*5)),0)+IF(AND(ArtifactsInput!$M$22,Inputs!$B$4&lt;&gt;"Chapter Hunt"),CHOOSE(ArtifactsInput!$N$22+1,10,12,14,16,18,20)*((0*(((0.15*B2358*5))^0/1)+1*(((0.15*B2358*5))^1/1)+2*(((0.15*B2358*5))^2/2)+3*(((0.15*B2358*5))^3/6)+4*(((0.15*B2358*5))^4/24)+5*(((0.15*B2358*5))^5/120))/((((0.15*B2358*5))^0/1)+(((0.15*B2358*5))^1/1)+(((0.15*B2358*5))^2/2)+(((0.15*B2358*5))^3/6)+(((0.15*B2358*5))^4/24)+(((0.15*B2358*5))^5/120))),0))+IF(Inputs!$B$3&gt;=54,9*(C2328=TRUE)*MIN(1,8*(1+Inputs!$B$34/100)*Q2328)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2333*(1-MIN(100,(Inputs!$B$9+((C2344=TRUE)*(F2344-Calc!F19))+B2356+(ArtifactsInput!$M$24-ArtifactsInput!$M$24)*CHOOSE(ArtifactsInput!$N$24+1,10,12,14,16,18,20)+(IF(AND(Inputs!$B$38&lt;&gt;"pvp",Inputs!$B$43=0),1,IF(IF(Inputs!$B$38="pvp",15,Inputs!$B$43)-(B2363)&lt;=0,1,MAX(0,IF(Inputs!$B$38="pvp",15,Inputs!$B$43)-MAX(5,B2363))/(IF(Inputs!$B$38="pvp",15,Inputs!$B$43)-(B2363))))*IF(AND(ArtifactsInput!$M$42,((Inputs!$B$9+((C2344=TRUE)*(F2344-Calc!F19))+B2356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2333*(MIN(100,(Inputs!$B$9+((C2344=TRUE)*(F2344-Calc!F19))+B2356+(ArtifactsInput!$M$24-ArtifactsInput!$M$24)*CHOOSE(ArtifactsInput!$N$24+1,10,12,14,16,18,20)+(IF(AND(Inputs!$B$38&lt;&gt;"pvp",Inputs!$B$43=0),1,IF(IF(Inputs!$B$38="pvp",15,Inputs!$B$43)-(B2363)&lt;=0,1,MAX(0,IF(Inputs!$B$38="pvp",15,Inputs!$B$43)-MAX(5,B2363))/(IF(Inputs!$B$38="pvp",15,Inputs!$B$43)-(B2363))))*IF(AND(ArtifactsInput!$M$42,((Inputs!$B$9+((C2344=TRUE)*(F2344-Calc!F19))+B2356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2333*(1-MIN(100,(Inputs!$B$9+((C2344=TRUE)*(F2344-Calc!F19))+B2356+(ArtifactsInput!$M$24-ArtifactsInput!$M$24)*CHOOSE(ArtifactsInput!$N$24+1,10,12,14,16,18,20)+(IF(AND(Inputs!$B$38&lt;&gt;"pvp",Inputs!$B$43=0),1,IF(IF(Inputs!$B$38="pvp",15,Inputs!$B$43)-(B2363)&lt;=0,1,MAX(0,IF(Inputs!$B$38="pvp",15,Inputs!$B$43)-MAX(5,B2363))/(IF(Inputs!$B$38="pvp",15,Inputs!$B$43)-(B2363))))*IF(AND(ArtifactsInput!$M$42,((Inputs!$B$9+((C2344=TRUE)*(F2344-Calc!F19))+B2356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2333*(MIN(100,(Inputs!$B$9+((C2344=TRUE)*(F2344-Calc!F19))+B2356+(ArtifactsInput!$M$24-ArtifactsInput!$M$24)*CHOOSE(ArtifactsInput!$N$24+1,10,12,14,16,18,20)+(IF(AND(Inputs!$B$38&lt;&gt;"pvp",Inputs!$B$43=0),1,IF(IF(Inputs!$B$38="pvp",15,Inputs!$B$43)-(B2363)&lt;=0,1,MAX(0,IF(Inputs!$B$38="pvp",15,Inputs!$B$43)-MAX(5,B2363))/(IF(Inputs!$B$38="pvp",15,Inputs!$B$43)-(B2363))))*IF(AND(ArtifactsInput!$M$42,((Inputs!$B$9+((C2344=TRUE)*(F2344-Calc!F19))+B2356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333">
        <f>IF(C2333,(H2333*N2333*IF(AND(Inputs!$B$38&lt;&gt;"pvp",Inputs!$B$43&gt;0),((Skills!G8*((R2333-1)*IF(Skills!H8&gt;0,INT(Skills!I8/Skills!H8+0.000000001),1)+IF(Skills!H8&gt;0,INT(MIN(Skills!I8,MAX(0,MAX(0,Inputs!$B$43-B2363)-((R2333-1)*((IF(Inputs!$B$38="pvp",15,MAX(0.1,Skills!D8-IF(TRUE=TRUE,Inputs!$B$32,0)))*(1-IF(AND(ArtifactsInput!$M$27,Inputs!$B$4="Chapter Hunt"),CHOOSE(ArtifactsInput!$N$27+1,20,24,28,32,36,40),0)/100))/B2367))))/Skills!H8+0.000000001),1)))/Inputs!$B$43),G2333*Q2333))*IF(Inputs!$B$38="pvp",1,(1+(Inputs!$B$21+Skills!Q8+(IF(ArtifactsInput!$M$33,CHOOSE(ArtifactsInput!$N$33+1,30,36,42,48,54,60),0))+(IF(AND(ArtifactsInput!$M$35,Inputs!$B$4&lt;&gt;"Chapter Hunt"),CHOOSE(ArtifactsInput!$N$35+1,15,18,21,24,27,30)*(1-EXP(-(0.2*B2358)*5)),0)+IF(AND(ArtifactsInput!$M$22,Inputs!$B$4&lt;&gt;"Chapter Hunt"),CHOOSE(ArtifactsInput!$N$22+1,10,12,14,16,18,20)*((0*(((0.15*B2358*5))^0/1)+1*(((0.15*B2358*5))^1/1)+2*(((0.15*B2358*5))^2/2)+3*(((0.15*B2358*5))^3/6)+4*(((0.15*B2358*5))^4/24)+5*(((0.15*B2358*5))^5/120))/((((0.15*B2358*5))^0/1)+(((0.15*B2358*5))^1/1)+(((0.15*B2358*5))^2/2)+(((0.15*B2358*5))^3/6)+(((0.15*B2358*5))^4/24)+(((0.15*B2358*5))^5/120))),0))+IF(Inputs!$B$3&gt;=54,9*(C2328=TRUE)*MIN(1,8*(1+Inputs!$B$34/100)*Q2328),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34">
      <c r="A2334">
        <f>Skills!A9</f>
        <v/>
      </c>
      <c r="B2334">
        <f>Skills!B9</f>
        <v/>
      </c>
      <c r="C2334">
        <f>Inputs!$B$3&gt;=105</f>
        <v/>
      </c>
      <c r="D2334">
        <f>IF(Skills!C9=1,60+Inputs!$B$25+Inputs!$B$29,IF(Skills!C9=2,90+Inputs!$B$26+Inputs!$B$29,IF(Skills!C9=3,120+Inputs!$B$27+Inputs!$B$29,MAX(0,(Inputs!$B$3-100)*3)+Inputs!$B$28+Inputs!$B$29)))</f>
        <v/>
      </c>
      <c r="E2334">
        <f>INDEX(FactorTable!$B$2:$Y$301, MATCH(ROUND(MIN(300,MAX(1,D2334)),0), FactorTable!$A$2:$A$301,0), Skills!M9+1)</f>
        <v/>
      </c>
      <c r="F2334">
        <f>IF(Skills!N9=TRUE,(Skills!L9/10)*(E2334/1000),Skills!L9/10)+Skills!O9</f>
        <v/>
      </c>
      <c r="G2334">
        <f>Skills!G9*IF(Skills!H9&gt;0,INT(IF(Inputs!$B$38="pvp",MIN(Skills!I9,15),Skills!I9)/Skills!H9+0.000000001),1)</f>
        <v/>
      </c>
      <c r="H2334">
        <f>1-(1-Skills!J9/100)^Skills!K9</f>
        <v/>
      </c>
      <c r="I2334" t="inlineStr">
        <is>
          <t>1</t>
        </is>
      </c>
      <c r="J2334">
        <f>((Inputs!$B$6*(1+Inputs!$B$7/100))+(((Inputs!$B$12*(1+Inputs!$B$13/100))-(Inputs!$B$12*(1+Inputs!$B$13/100)))+0.25*(Inputs!$B$14-Inputs!$B$14))*(1+Inputs!$B$7/100))*(F2334/100)</f>
        <v/>
      </c>
      <c r="K2334">
        <f>J2334*(1+((Inputs!$B$12*(1+Inputs!$B$13/100))*0.01+Inputs!$B$14*0.0025)/100)*(1+Inputs!$B$15/100)*(1+Inputs!$B$16/100)*(5000/(6000+Inputs!$B$42*(1-(100*(1-(1-(Inputs!$B$19+0)/100)*(1-CHOOSE(ArtifactsInput!$N$40+1,5,6,7,8,9,10)/100)^(ArtifactsInput!$M$40-ArtifactsInput!$M$40)))/100)))*(1+(Inputs!$B$24+((C2351=TRUE)*(F2351-Calc!F26))+B2362)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IGHT_LEGS_EASTON",Inputs!$B$17+((C2348=TRUE)*(F2348-Calc!F23))+((C2352=TRUE)*(F2352-Calc!F27))+((IF(AND(Inputs!$B$38&lt;&gt;"pvp",Inputs!$B$43=0),1,IF(IF(Inputs!$B$38="pvp",15,Inputs!$B$43)-(B2363)&lt;=0,1,MAX(0,IF(Inputs!$B$38="pvp",15,Inputs!$B$43)-MAX(5,B2363))/(IF(Inputs!$B$38="pvp",15,Inputs!$B$43)-(B2363))))*(IF(AND(ArtifactsInput!$M$42,((Inputs!$B$9+((C2344=TRUE)*(F2344-Calc!F19))+B2356+(ArtifactsInput!$M$24-ArtifactsInput!$M$24)*CHOOSE(ArtifactsInput!$N$24+1,10,12,14,16,18,20)+IF(ArtifactsInput!$M$10,CHOOSE(ArtifactsInput!$N$10+1,15,18,21,24,27,30)*(IF(Inputs!$B$38="pvp",MIN(15,15)/15,IF(AND(Inputs!$B$38&lt;&gt;"pvp",Inputs!$B$43&gt;0),MIN(15,Inputs!$B$43)/(Inputs!$B$43),0))),0)))&gt;=100),MIN(100,((Inputs!$B$9+((C2344=TRUE)*(F2344-Calc!F19))+B2356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2363)&lt;=0,1,MAX(0,IF(Inputs!$B$38="pvp",15,Inputs!$B$43)-MAX(5,B2363))/(IF(Inputs!$B$38="pvp",15,Inputs!$B$43)-(B2363))))*IF(AND(ArtifactsInput!$M$42,((Inputs!$B$9+((C2344=TRUE)*(F2344-Calc!F19))+B2356+(ArtifactsInput!$M$24-ArtifactsInput!$M$24)*CHOOSE(ArtifactsInput!$N$24+1,10,12,14,16,18,20)+IF(ArtifactsInput!$M$10,CHOOSE(ArtifactsInput!$N$10+1,15,18,21,24,27,30)*(IF(Inputs!$B$38="pvp",MIN(15,15)/15,IF(AND(Inputs!$B$38&lt;&gt;"pvp",Inputs!$B$43&gt;0),MIN(15,Inputs!$B$43)/(Inputs!$B$43),0))),0)))&gt;=100),CHOOSE(ArtifactsInput!$N$42+1,40,48,56,64,72,80),0))))/100)*((1+(((C2342=TRUE)*F2342*5/7)+((C2349=TRUE)*(F2349-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2334)</f>
        <v/>
      </c>
      <c r="L2334">
        <f>K2334*(MIN(Inputs!$B$22+((C2347=TRUE)*(F2347-Calc!F22)),(Inputs!$B$23+0+(IF(ArtifactsInput!$M$15,CHOOSE(ArtifactsInput!$N$15+1,25,30,35,40,45,50)/100*(Inputs!$B$11-Inputs!$B$11),0))))/100+(Inputs!$B$23+0+(IF(ArtifactsInput!$M$15,CHOOSE(ArtifactsInput!$N$15+1,25,30,35,40,45,50)/100*(Inputs!$B$11-Inputs!$B$11),0)))/100)/2</f>
        <v/>
      </c>
      <c r="M2334">
        <f>L2334*(1+(Inputs!$B$10+((C2350=TRUE)*(F2350-Calc!F25))+B2361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34">
        <f>L2334*(1-MIN((Inputs!$B$9+((C2344=TRUE)*(F2344-Calc!F19))+B2356+(ArtifactsInput!$M$24-ArtifactsInput!$M$24)*CHOOSE(ArtifactsInput!$N$24+1,10,12,14,16,18,20)+(IF(AND(Inputs!$B$38&lt;&gt;"pvp",Inputs!$B$43=0),1,IF(IF(Inputs!$B$38="pvp",15,Inputs!$B$43)-(B2363)&lt;=0,1,MAX(0,IF(Inputs!$B$38="pvp",15,Inputs!$B$43)-MAX(5,B2363))/(IF(Inputs!$B$38="pvp",15,Inputs!$B$43)-(B2363))))*IF(AND(ArtifactsInput!$M$42,((Inputs!$B$9+((C2344=TRUE)*(F2344-Calc!F19))+B2356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2334*(MIN((Inputs!$B$9+((C2344=TRUE)*(F2344-Calc!F19))+B2356+(ArtifactsInput!$M$24-ArtifactsInput!$M$24)*CHOOSE(ArtifactsInput!$N$24+1,10,12,14,16,18,20)+(IF(AND(Inputs!$B$38&lt;&gt;"pvp",Inputs!$B$43=0),1,IF(IF(Inputs!$B$38="pvp",15,Inputs!$B$43)-(B2363)&lt;=0,1,MAX(0,IF(Inputs!$B$38="pvp",15,Inputs!$B$43)-MAX(5,B2363))/(IF(Inputs!$B$38="pvp",15,Inputs!$B$43)-(B2363))))*IF(AND(ArtifactsInput!$M$42,((Inputs!$B$9+((C2344=TRUE)*(F2344-Calc!F19))+B2356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34">
        <f>(1-Summary!$B$11)*T2334+Summary!$B$11*V2334</f>
        <v/>
      </c>
      <c r="P2334">
        <f>IF(B2366=0,0,O2334/B2366)</f>
        <v/>
      </c>
      <c r="Q2334">
        <f>IFERROR(1/(IF(Inputs!$B$38="pvp",15,MAX(0.1,Skills!D9-IF(TRUE=TRUE,Inputs!$B$32,0)))*(1-IF(AND(ArtifactsInput!$M$27,Inputs!$B$4="Chapter Hunt"),CHOOSE(ArtifactsInput!$N$27+1,20,24,28,32,36,40),0)/100)),0)</f>
        <v/>
      </c>
      <c r="R2334">
        <f>IF(AND(Inputs!$B$38&lt;&gt;"pvp",Inputs!$B$43&gt;0),IF(MAX(0,Inputs!$B$43-B2363)&lt;=0,0,(INT(MAX(0,Inputs!$B$43-B2363)/(IF(Inputs!$B$38="pvp",15,MAX(0.1,Skills!D9-IF(TRUE=TRUE,Inputs!$B$32,0)))*(1-IF(AND(ArtifactsInput!$M$27,Inputs!$B$4="Chapter Hunt"),CHOOSE(ArtifactsInput!$N$27+1,20,24,28,32,36,40),0)/100)))+1)),0)</f>
        <v/>
      </c>
      <c r="S2334">
        <f>IFERROR(O2334/N2334,0)</f>
        <v/>
      </c>
      <c r="T2334">
        <f>IF(C2334,(H2334*N2334*IF(AND(Inputs!$B$38&lt;&gt;"pvp",Inputs!$B$43&gt;0),((Skills!G9*((R2334-1)*IF(Skills!H9&gt;0,INT(Skills!I9/Skills!H9+0.000000001),1)+IF(Skills!H9&gt;0,INT(MIN(Skills!I9,MAX(0,MAX(0,Inputs!$B$43-B2363)-((R2334-1)*(IF(Inputs!$B$38="pvp",15,MAX(0.1,Skills!D9-IF(TRUE=TRUE,Inputs!$B$32,0)))*(1-IF(AND(ArtifactsInput!$M$27,Inputs!$B$4="Chapter Hunt"),CHOOSE(ArtifactsInput!$N$27+1,20,24,28,32,36,40),0)/100)))))/Skills!H9+0.000000001),1)))/Inputs!$B$43),G2334*Q2334))*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Hunt"),CHOOSE(ArtifactsInput!$N$35+1,15,18,21,24,27,30)*(1-EXP(-(0.2*B2358)*5)),0)+IF(AND(ArtifactsInput!$M$22,Inputs!$B$4&lt;&gt;"Chapter Hunt"),CHOOSE(ArtifactsInput!$N$22+1,10,12,14,16,18,20)*((0*(((0.15*B2358*5))^0/1)+1*(((0.15*B2358*5))^1/1)+2*(((0.15*B2358*5))^2/2)+3*(((0.15*B2358*5))^3/6)+4*(((0.15*B2358*5))^4/24)+5*(((0.15*B2358*5))^5/120))/((((0.15*B2358*5))^0/1)+(((0.15*B2358*5))^1/1)+(((0.15*B2358*5))^2/2)+(((0.15*B2358*5))^3/6)+(((0.15*B2358*5))^4/24)+(((0.15*B2358*5))^5/120))),0))+IF(Inputs!$B$3&gt;=54,9*(C2328=TRUE)*MIN(1,8*(1+Inputs!$B$34/100)*Q2328)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2334*(1-MIN(100,(Inputs!$B$9+((C2344=TRUE)*(F2344-Calc!F19))+B2356+(ArtifactsInput!$M$24-ArtifactsInput!$M$24)*CHOOSE(ArtifactsInput!$N$24+1,10,12,14,16,18,20)+(IF(AND(Inputs!$B$38&lt;&gt;"pvp",Inputs!$B$43=0),1,IF(IF(Inputs!$B$38="pvp",15,Inputs!$B$43)-(B2363)&lt;=0,1,MAX(0,IF(Inputs!$B$38="pvp",15,Inputs!$B$43)-MAX(5,B2363))/(IF(Inputs!$B$38="pvp",15,Inputs!$B$43)-(B2363))))*IF(AND(ArtifactsInput!$M$42,((Inputs!$B$9+((C2344=TRUE)*(F2344-Calc!F19))+B2356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2334*(MIN(100,(Inputs!$B$9+((C2344=TRUE)*(F2344-Calc!F19))+B2356+(ArtifactsInput!$M$24-ArtifactsInput!$M$24)*CHOOSE(ArtifactsInput!$N$24+1,10,12,14,16,18,20)+(IF(AND(Inputs!$B$38&lt;&gt;"pvp",Inputs!$B$43=0),1,IF(IF(Inputs!$B$38="pvp",15,Inputs!$B$43)-(B2363)&lt;=0,1,MAX(0,IF(Inputs!$B$38="pvp",15,Inputs!$B$43)-MAX(5,B2363))/(IF(Inputs!$B$38="pvp",15,Inputs!$B$43)-(B2363))))*IF(AND(ArtifactsInput!$M$42,((Inputs!$B$9+((C2344=TRUE)*(F2344-Calc!F19))+B2356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2334*(1-MIN(100,(Inputs!$B$9+((C2344=TRUE)*(F2344-Calc!F19))+B2356+(ArtifactsInput!$M$24-ArtifactsInput!$M$24)*CHOOSE(ArtifactsInput!$N$24+1,10,12,14,16,18,20)+(IF(AND(Inputs!$B$38&lt;&gt;"pvp",Inputs!$B$43=0),1,IF(IF(Inputs!$B$38="pvp",15,Inputs!$B$43)-(B2363)&lt;=0,1,MAX(0,IF(Inputs!$B$38="pvp",15,Inputs!$B$43)-MAX(5,B2363))/(IF(Inputs!$B$38="pvp",15,Inputs!$B$43)-(B2363))))*IF(AND(ArtifactsInput!$M$42,((Inputs!$B$9+((C2344=TRUE)*(F2344-Calc!F19))+B2356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2334*(MIN(100,(Inputs!$B$9+((C2344=TRUE)*(F2344-Calc!F19))+B2356+(ArtifactsInput!$M$24-ArtifactsInput!$M$24)*CHOOSE(ArtifactsInput!$N$24+1,10,12,14,16,18,20)+(IF(AND(Inputs!$B$38&lt;&gt;"pvp",Inputs!$B$43=0),1,IF(IF(Inputs!$B$38="pvp",15,Inputs!$B$43)-(B2363)&lt;=0,1,MAX(0,IF(Inputs!$B$38="pvp",15,Inputs!$B$43)-MAX(5,B2363))/(IF(Inputs!$B$38="pvp",15,Inputs!$B$43)-(B2363))))*IF(AND(ArtifactsInput!$M$42,((Inputs!$B$9+((C2344=TRUE)*(F2344-Calc!F19))+B2356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334">
        <f>IF(C2334,(H2334*N2334*IF(AND(Inputs!$B$38&lt;&gt;"pvp",Inputs!$B$43&gt;0),((Skills!G9*((R2334-1)*IF(Skills!H9&gt;0,INT(Skills!I9/Skills!H9+0.000000001),1)+IF(Skills!H9&gt;0,INT(MIN(Skills!I9,MAX(0,MAX(0,Inputs!$B$43-B2363)-((R2334-1)*(IF(Inputs!$B$38="pvp",15,MAX(0.1,Skills!D9-IF(TRUE=TRUE,Inputs!$B$32,0)))*(1-IF(AND(ArtifactsInput!$M$27,Inputs!$B$4="Chapter Hunt"),CHOOSE(ArtifactsInput!$N$27+1,20,24,28,32,36,40),0)/100)))))/Skills!H9+0.000000001),1)))/Inputs!$B$43),G2334*Q2334))*IF(Inputs!$B$38="pvp",1,(1+(Inputs!$B$21+Skills!Q9+(IF(ArtifactsInput!$M$33,CHOOSE(ArtifactsInput!$N$33+1,30,36,42,48,54,60),0))+(IF(AND(ArtifactsInput!$M$35,Inputs!$B$4&lt;&gt;"Chapter Hunt"),CHOOSE(ArtifactsInput!$N$35+1,15,18,21,24,27,30)*(1-EXP(-(0.2*B2358)*5)),0)+IF(AND(ArtifactsInput!$M$22,Inputs!$B$4&lt;&gt;"Chapter Hunt"),CHOOSE(ArtifactsInput!$N$22+1,10,12,14,16,18,20)*((0*(((0.15*B2358*5))^0/1)+1*(((0.15*B2358*5))^1/1)+2*(((0.15*B2358*5))^2/2)+3*(((0.15*B2358*5))^3/6)+4*(((0.15*B2358*5))^4/24)+5*(((0.15*B2358*5))^5/120))/((((0.15*B2358*5))^0/1)+(((0.15*B2358*5))^1/1)+(((0.15*B2358*5))^2/2)+(((0.15*B2358*5))^3/6)+(((0.15*B2358*5))^4/24)+(((0.15*B2358*5))^5/120))),0))+IF(Inputs!$B$3&gt;=54,9*(C2328=TRUE)*MIN(1,8*(1+Inputs!$B$34/100)*Q2328),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35">
      <c r="A2335">
        <f>Skills!A10</f>
        <v/>
      </c>
      <c r="B2335">
        <f>Skills!B10</f>
        <v/>
      </c>
      <c r="C2335">
        <f>Inputs!$B$3&gt;=113</f>
        <v/>
      </c>
      <c r="D2335">
        <f>IF(Skills!C10=1,60+Inputs!$B$25+Inputs!$B$29,IF(Skills!C10=2,90+Inputs!$B$26+Inputs!$B$29,IF(Skills!C10=3,120+Inputs!$B$27+Inputs!$B$29,MAX(0,(Inputs!$B$3-100)*3)+Inputs!$B$28+Inputs!$B$29)))</f>
        <v/>
      </c>
      <c r="E2335">
        <f>INDEX(FactorTable!$B$2:$Y$301, MATCH(ROUND(MIN(300,MAX(1,D2335)),0), FactorTable!$A$2:$A$301,0), Skills!M10+1)</f>
        <v/>
      </c>
      <c r="F2335">
        <f>IF(Skills!N10=TRUE,(Skills!L10/10)*(E2335/1000),Skills!L10/10)+Skills!O10</f>
        <v/>
      </c>
      <c r="G2335">
        <f>Skills!G10*IF(Skills!H10&gt;0,INT(IF(Inputs!$B$38="pvp",MIN(Skills!I10,15),Skills!I10)/Skills!H10+0.000000001),1)</f>
        <v/>
      </c>
      <c r="H2335">
        <f>1-(1-Skills!J10/100)^Skills!K10</f>
        <v/>
      </c>
      <c r="I2335" t="inlineStr">
        <is>
          <t>1</t>
        </is>
      </c>
      <c r="J2335">
        <f>((Inputs!$B$6*(1+Inputs!$B$7/100))+(((Inputs!$B$12*(1+Inputs!$B$13/100))-(Inputs!$B$12*(1+Inputs!$B$13/100)))+0.25*(Inputs!$B$14-Inputs!$B$14))*(1+Inputs!$B$7/100))*(F2335/100)</f>
        <v/>
      </c>
      <c r="K2335">
        <f>J2335*(1+((Inputs!$B$12*(1+Inputs!$B$13/100))*0.01+Inputs!$B$14*0.0025)/100)*(1+Inputs!$B$15/100)*(1+Inputs!$B$16/100)*(5000/(6000+Inputs!$B$42*(1-(100*(1-(1-(Inputs!$B$19+0)/100)*(1-CHOOSE(ArtifactsInput!$N$40+1,5,6,7,8,9,10)/100)^(ArtifactsInput!$M$40-ArtifactsInput!$M$40)))/100)))*(1+(Inputs!$B$24+((C2351=TRUE)*(F2351-Calc!F26))+B2362)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IGHT_LEGS_EASTON",Inputs!$B$17+((C2348=TRUE)*(F2348-Calc!F23))+((C2352=TRUE)*(F2352-Calc!F27))+((IF(AND(Inputs!$B$38&lt;&gt;"pvp",Inputs!$B$43=0),1,IF(IF(Inputs!$B$38="pvp",15,Inputs!$B$43)-(B2363)&lt;=0,1,MAX(0,IF(Inputs!$B$38="pvp",15,Inputs!$B$43)-MAX(5,B2363))/(IF(Inputs!$B$38="pvp",15,Inputs!$B$43)-(B2363))))*(IF(AND(ArtifactsInput!$M$42,((Inputs!$B$9+((C2344=TRUE)*(F2344-Calc!F19))+B2356+(ArtifactsInput!$M$24-ArtifactsInput!$M$24)*CHOOSE(ArtifactsInput!$N$24+1,10,12,14,16,18,20)+IF(ArtifactsInput!$M$10,CHOOSE(ArtifactsInput!$N$10+1,15,18,21,24,27,30)*(IF(Inputs!$B$38="pvp",MIN(15,15)/15,IF(AND(Inputs!$B$38&lt;&gt;"pvp",Inputs!$B$43&gt;0),MIN(15,Inputs!$B$43)/(Inputs!$B$43),0))),0)))&gt;=100),MIN(100,((Inputs!$B$9+((C2344=TRUE)*(F2344-Calc!F19))+B2356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2363)&lt;=0,1,MAX(0,IF(Inputs!$B$38="pvp",15,Inputs!$B$43)-MAX(5,B2363))/(IF(Inputs!$B$38="pvp",15,Inputs!$B$43)-(B2363))))*IF(AND(ArtifactsInput!$M$42,((Inputs!$B$9+((C2344=TRUE)*(F2344-Calc!F19))+B2356+(ArtifactsInput!$M$24-ArtifactsInput!$M$24)*CHOOSE(ArtifactsInput!$N$24+1,10,12,14,16,18,20)+IF(ArtifactsInput!$M$10,CHOOSE(ArtifactsInput!$N$10+1,15,18,21,24,27,30)*(IF(Inputs!$B$38="pvp",MIN(15,15)/15,IF(AND(Inputs!$B$38&lt;&gt;"pvp",Inputs!$B$43&gt;0),MIN(15,Inputs!$B$43)/(Inputs!$B$43),0))),0)))&gt;=100),CHOOSE(ArtifactsInput!$N$42+1,40,48,56,64,72,80),0))))/100)*((1+(((C2342=TRUE)*F2342*5/7)+((C2349=TRUE)*(F2349-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2335)</f>
        <v/>
      </c>
      <c r="L2335">
        <f>K2335*(MIN(Inputs!$B$22+((C2347=TRUE)*(F2347-Calc!F22)),(Inputs!$B$23+0+(IF(ArtifactsInput!$M$15,CHOOSE(ArtifactsInput!$N$15+1,25,30,35,40,45,50)/100*(Inputs!$B$11-Inputs!$B$11),0))))/100+(Inputs!$B$23+0+(IF(ArtifactsInput!$M$15,CHOOSE(ArtifactsInput!$N$15+1,25,30,35,40,45,50)/100*(Inputs!$B$11-Inputs!$B$11),0)))/100)/2</f>
        <v/>
      </c>
      <c r="M2335">
        <f>L2335*(1+(Inputs!$B$10+((C2350=TRUE)*(F2350-Calc!F25))+B2361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35">
        <f>L2335*(1-MIN((Inputs!$B$9+((C2344=TRUE)*(F2344-Calc!F19))+B2356+(ArtifactsInput!$M$24-ArtifactsInput!$M$24)*CHOOSE(ArtifactsInput!$N$24+1,10,12,14,16,18,20)+(IF(AND(Inputs!$B$38&lt;&gt;"pvp",Inputs!$B$43=0),1,IF(IF(Inputs!$B$38="pvp",15,Inputs!$B$43)-(B2363)&lt;=0,1,MAX(0,IF(Inputs!$B$38="pvp",15,Inputs!$B$43)-MAX(5,B2363))/(IF(Inputs!$B$38="pvp",15,Inputs!$B$43)-(B2363))))*IF(AND(ArtifactsInput!$M$42,((Inputs!$B$9+((C2344=TRUE)*(F2344-Calc!F19))+B2356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2335*(MIN((Inputs!$B$9+((C2344=TRUE)*(F2344-Calc!F19))+B2356+(ArtifactsInput!$M$24-ArtifactsInput!$M$24)*CHOOSE(ArtifactsInput!$N$24+1,10,12,14,16,18,20)+(IF(AND(Inputs!$B$38&lt;&gt;"pvp",Inputs!$B$43=0),1,IF(IF(Inputs!$B$38="pvp",15,Inputs!$B$43)-(B2363)&lt;=0,1,MAX(0,IF(Inputs!$B$38="pvp",15,Inputs!$B$43)-MAX(5,B2363))/(IF(Inputs!$B$38="pvp",15,Inputs!$B$43)-(B2363))))*IF(AND(ArtifactsInput!$M$42,((Inputs!$B$9+((C2344=TRUE)*(F2344-Calc!F19))+B2356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35">
        <f>(1-Summary!$B$11)*T2335+Summary!$B$11*V2335</f>
        <v/>
      </c>
      <c r="P2335">
        <f>IF(B2366=0,0,O2335/B2366)</f>
        <v/>
      </c>
      <c r="Q2335" t="n">
        <v>0</v>
      </c>
      <c r="R2335" t="n">
        <v>0</v>
      </c>
      <c r="S2335">
        <f>IFERROR(O2335/N2335,0)</f>
        <v/>
      </c>
      <c r="T2335">
        <f>IF(C2335,((H2335*B2368)/(1+Skills!H10*H2335*B2368)*N2335)*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Hunt"),CHOOSE(ArtifactsInput!$N$35+1,15,18,21,24,27,30)*(1-EXP(-(0.2*B2358)*5)),0)+IF(AND(ArtifactsInput!$M$22,Inputs!$B$4&lt;&gt;"Chapter Hunt"),CHOOSE(ArtifactsInput!$N$22+1,10,12,14,16,18,20)*((0*(((0.15*B2358*5))^0/1)+1*(((0.15*B2358*5))^1/1)+2*(((0.15*B2358*5))^2/2)+3*(((0.15*B2358*5))^3/6)+4*(((0.15*B2358*5))^4/24)+5*(((0.15*B2358*5))^5/120))/((((0.15*B2358*5))^0/1)+(((0.15*B2358*5))^1/1)+(((0.15*B2358*5))^2/2)+(((0.15*B2358*5))^3/6)+(((0.15*B2358*5))^4/24)+(((0.15*B2358*5))^5/120))),0))+IF(Inputs!$B$3&gt;=54,9*(C2328=TRUE)*MIN(1,8*(1+Inputs!$B$34/100)*Q2328)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2335*(1-MIN(100,(Inputs!$B$9+((C2344=TRUE)*(F2344-Calc!F19))+B2356+(ArtifactsInput!$M$24-ArtifactsInput!$M$24)*CHOOSE(ArtifactsInput!$N$24+1,10,12,14,16,18,20)+(IF(AND(Inputs!$B$38&lt;&gt;"pvp",Inputs!$B$43=0),1,IF(IF(Inputs!$B$38="pvp",15,Inputs!$B$43)-(B2363)&lt;=0,1,MAX(0,IF(Inputs!$B$38="pvp",15,Inputs!$B$43)-MAX(5,B2363))/(IF(Inputs!$B$38="pvp",15,Inputs!$B$43)-(B2363))))*IF(AND(ArtifactsInput!$M$42,((Inputs!$B$9+((C2344=TRUE)*(F2344-Calc!F19))+B2356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2335*(MIN(100,(Inputs!$B$9+((C2344=TRUE)*(F2344-Calc!F19))+B2356+(ArtifactsInput!$M$24-ArtifactsInput!$M$24)*CHOOSE(ArtifactsInput!$N$24+1,10,12,14,16,18,20)+(IF(AND(Inputs!$B$38&lt;&gt;"pvp",Inputs!$B$43=0),1,IF(IF(Inputs!$B$38="pvp",15,Inputs!$B$43)-(B2363)&lt;=0,1,MAX(0,IF(Inputs!$B$38="pvp",15,Inputs!$B$43)-MAX(5,B2363))/(IF(Inputs!$B$38="pvp",15,Inputs!$B$43)-(B2363))))*IF(AND(ArtifactsInput!$M$42,((Inputs!$B$9+((C2344=TRUE)*(F2344-Calc!F19))+B2356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2335*(1-MIN(100,(Inputs!$B$9+((C2344=TRUE)*(F2344-Calc!F19))+B2356+(ArtifactsInput!$M$24-ArtifactsInput!$M$24)*CHOOSE(ArtifactsInput!$N$24+1,10,12,14,16,18,20)+(IF(AND(Inputs!$B$38&lt;&gt;"pvp",Inputs!$B$43=0),1,IF(IF(Inputs!$B$38="pvp",15,Inputs!$B$43)-(B2363)&lt;=0,1,MAX(0,IF(Inputs!$B$38="pvp",15,Inputs!$B$43)-MAX(5,B2363))/(IF(Inputs!$B$38="pvp",15,Inputs!$B$43)-(B2363))))*IF(AND(ArtifactsInput!$M$42,((Inputs!$B$9+((C2344=TRUE)*(F2344-Calc!F19))+B2356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2335*(MIN(100,(Inputs!$B$9+((C2344=TRUE)*(F2344-Calc!F19))+B2356+(ArtifactsInput!$M$24-ArtifactsInput!$M$24)*CHOOSE(ArtifactsInput!$N$24+1,10,12,14,16,18,20)+(IF(AND(Inputs!$B$38&lt;&gt;"pvp",Inputs!$B$43=0),1,IF(IF(Inputs!$B$38="pvp",15,Inputs!$B$43)-(B2363)&lt;=0,1,MAX(0,IF(Inputs!$B$38="pvp",15,Inputs!$B$43)-MAX(5,B2363))/(IF(Inputs!$B$38="pvp",15,Inputs!$B$43)-(B2363))))*IF(AND(ArtifactsInput!$M$42,((Inputs!$B$9+((C2344=TRUE)*(F2344-Calc!F19))+B2356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335">
        <f>IF(C2335,((H2335*B2368)/(1+Skills!H10*H2335*B2368)*N2335)*IF(Inputs!$B$38="pvp",1,(1+(Inputs!$B$21+Skills!Q10+(IF(ArtifactsInput!$M$33,CHOOSE(ArtifactsInput!$N$33+1,30,36,42,48,54,60),0))+(IF(AND(ArtifactsInput!$M$35,Inputs!$B$4&lt;&gt;"Chapter Hunt"),CHOOSE(ArtifactsInput!$N$35+1,15,18,21,24,27,30)*(1-EXP(-(0.2*B2358)*5)),0)+IF(AND(ArtifactsInput!$M$22,Inputs!$B$4&lt;&gt;"Chapter Hunt"),CHOOSE(ArtifactsInput!$N$22+1,10,12,14,16,18,20)*((0*(((0.15*B2358*5))^0/1)+1*(((0.15*B2358*5))^1/1)+2*(((0.15*B2358*5))^2/2)+3*(((0.15*B2358*5))^3/6)+4*(((0.15*B2358*5))^4/24)+5*(((0.15*B2358*5))^5/120))/((((0.15*B2358*5))^0/1)+(((0.15*B2358*5))^1/1)+(((0.15*B2358*5))^2/2)+(((0.15*B2358*5))^3/6)+(((0.15*B2358*5))^4/24)+(((0.15*B2358*5))^5/120))),0))+IF(Inputs!$B$3&gt;=54,9*(C2328=TRUE)*MIN(1,8*(1+Inputs!$B$34/100)*Q2328),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36">
      <c r="A2336">
        <f>Skills!A11</f>
        <v/>
      </c>
      <c r="B2336">
        <f>Skills!B11</f>
        <v/>
      </c>
      <c r="C2336">
        <f>Inputs!$B$3&gt;=117</f>
        <v/>
      </c>
      <c r="D2336">
        <f>IF(Skills!C11=1,60+Inputs!$B$25+Inputs!$B$29,IF(Skills!C11=2,90+Inputs!$B$26+Inputs!$B$29,IF(Skills!C11=3,120+Inputs!$B$27+Inputs!$B$29,MAX(0,(Inputs!$B$3-100)*3)+Inputs!$B$28+Inputs!$B$29)))</f>
        <v/>
      </c>
      <c r="E2336">
        <f>INDEX(FactorTable!$B$2:$Y$301, MATCH(ROUND(MIN(300,MAX(1,D2336)),0), FactorTable!$A$2:$A$301,0), Skills!M11+1)</f>
        <v/>
      </c>
      <c r="F2336">
        <f>IF(Skills!N11=TRUE,(Skills!L11/10)*(E2336/1000),Skills!L11/10)+Skills!O11</f>
        <v/>
      </c>
      <c r="G2336">
        <f>Skills!G11*IF(Skills!H11&gt;0,INT(IF(Inputs!$B$38="pvp",MIN(Skills!I11,15),Skills!I11)/Skills!H11+0.000000001),1)</f>
        <v/>
      </c>
      <c r="H2336">
        <f>1-(1-Skills!J11/100)^Skills!K11</f>
        <v/>
      </c>
      <c r="I2336" t="inlineStr">
        <is>
          <t>1</t>
        </is>
      </c>
      <c r="J2336">
        <f>((Inputs!$B$6*(1+Inputs!$B$7/100))+(((Inputs!$B$12*(1+Inputs!$B$13/100))-(Inputs!$B$12*(1+Inputs!$B$13/100)))+0.25*(Inputs!$B$14-Inputs!$B$14))*(1+Inputs!$B$7/100))*(F2336/100)</f>
        <v/>
      </c>
      <c r="K2336">
        <f>J2336*(1+((Inputs!$B$12*(1+Inputs!$B$13/100))*0.01+Inputs!$B$14*0.0025)/100)*(1+Inputs!$B$15/100)*(1+Inputs!$B$16/100)*(5000/(6000+Inputs!$B$42*(1-(100*(1-(1-(Inputs!$B$19+0)/100)*(1-CHOOSE(ArtifactsInput!$N$40+1,5,6,7,8,9,10)/100)^(ArtifactsInput!$M$40-ArtifactsInput!$M$40)))/100)))*(1+(Inputs!$B$24+((C2351=TRUE)*(F2351-Calc!F26))+B2362)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IGHT_LEGS_EASTON",Inputs!$B$17+((C2348=TRUE)*(F2348-Calc!F23))+((C2352=TRUE)*(F2352-Calc!F27))+((IF(AND(Inputs!$B$38&lt;&gt;"pvp",Inputs!$B$43=0),1,IF(IF(Inputs!$B$38="pvp",15,Inputs!$B$43)-(B2363)&lt;=0,1,MAX(0,IF(Inputs!$B$38="pvp",15,Inputs!$B$43)-MAX(5,B2363))/(IF(Inputs!$B$38="pvp",15,Inputs!$B$43)-(B2363))))*(IF(AND(ArtifactsInput!$M$42,((Inputs!$B$9+((C2344=TRUE)*(F2344-Calc!F19))+B2356+(ArtifactsInput!$M$24-ArtifactsInput!$M$24)*CHOOSE(ArtifactsInput!$N$24+1,10,12,14,16,18,20)+IF(ArtifactsInput!$M$10,CHOOSE(ArtifactsInput!$N$10+1,15,18,21,24,27,30)*(IF(Inputs!$B$38="pvp",MIN(15,15)/15,IF(AND(Inputs!$B$38&lt;&gt;"pvp",Inputs!$B$43&gt;0),MIN(15,Inputs!$B$43)/(Inputs!$B$43),0))),0)))&gt;=100),MIN(100,((Inputs!$B$9+((C2344=TRUE)*(F2344-Calc!F19))+B2356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2363)&lt;=0,1,MAX(0,IF(Inputs!$B$38="pvp",15,Inputs!$B$43)-MAX(5,B2363))/(IF(Inputs!$B$38="pvp",15,Inputs!$B$43)-(B2363))))*IF(AND(ArtifactsInput!$M$42,((Inputs!$B$9+((C2344=TRUE)*(F2344-Calc!F19))+B2356+(ArtifactsInput!$M$24-ArtifactsInput!$M$24)*CHOOSE(ArtifactsInput!$N$24+1,10,12,14,16,18,20)+IF(ArtifactsInput!$M$10,CHOOSE(ArtifactsInput!$N$10+1,15,18,21,24,27,30)*(IF(Inputs!$B$38="pvp",MIN(15,15)/15,IF(AND(Inputs!$B$38&lt;&gt;"pvp",Inputs!$B$43&gt;0),MIN(15,Inputs!$B$43)/(Inputs!$B$43),0))),0)))&gt;=100),CHOOSE(ArtifactsInput!$N$42+1,40,48,56,64,72,80),0))))/100)*((1+(((C2342=TRUE)*F2342*5/7)+((C2349=TRUE)*(F2349-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2336)</f>
        <v/>
      </c>
      <c r="L2336">
        <f>K2336*(MIN(Inputs!$B$22+((C2347=TRUE)*(F2347-Calc!F22)),(Inputs!$B$23+0+(IF(ArtifactsInput!$M$15,CHOOSE(ArtifactsInput!$N$15+1,25,30,35,40,45,50)/100*(Inputs!$B$11-Inputs!$B$11),0))))/100+(Inputs!$B$23+0+(IF(ArtifactsInput!$M$15,CHOOSE(ArtifactsInput!$N$15+1,25,30,35,40,45,50)/100*(Inputs!$B$11-Inputs!$B$11),0)))/100)/2</f>
        <v/>
      </c>
      <c r="M2336">
        <f>L2336*(1+(Inputs!$B$10+((C2350=TRUE)*(F2350-Calc!F25))+B2361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36">
        <f>L2336*(1-MIN((Inputs!$B$9+((C2344=TRUE)*(F2344-Calc!F19))+B2356+(ArtifactsInput!$M$24-ArtifactsInput!$M$24)*CHOOSE(ArtifactsInput!$N$24+1,10,12,14,16,18,20)+(IF(AND(Inputs!$B$38&lt;&gt;"pvp",Inputs!$B$43=0),1,IF(IF(Inputs!$B$38="pvp",15,Inputs!$B$43)-(B2363)&lt;=0,1,MAX(0,IF(Inputs!$B$38="pvp",15,Inputs!$B$43)-MAX(5,B2363))/(IF(Inputs!$B$38="pvp",15,Inputs!$B$43)-(B2363))))*IF(AND(ArtifactsInput!$M$42,((Inputs!$B$9+((C2344=TRUE)*(F2344-Calc!F19))+B2356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2336*(MIN((Inputs!$B$9+((C2344=TRUE)*(F2344-Calc!F19))+B2356+(ArtifactsInput!$M$24-ArtifactsInput!$M$24)*CHOOSE(ArtifactsInput!$N$24+1,10,12,14,16,18,20)+(IF(AND(Inputs!$B$38&lt;&gt;"pvp",Inputs!$B$43=0),1,IF(IF(Inputs!$B$38="pvp",15,Inputs!$B$43)-(B2363)&lt;=0,1,MAX(0,IF(Inputs!$B$38="pvp",15,Inputs!$B$43)-MAX(5,B2363))/(IF(Inputs!$B$38="pvp",15,Inputs!$B$43)-(B2363))))*IF(AND(ArtifactsInput!$M$42,((Inputs!$B$9+((C2344=TRUE)*(F2344-Calc!F19))+B2356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36">
        <f>(1-Summary!$B$11)*T2336+Summary!$B$11*V2336</f>
        <v/>
      </c>
      <c r="P2336">
        <f>IF(B2366=0,0,O2336/B2366)</f>
        <v/>
      </c>
      <c r="Q2336">
        <f>IFERROR(1/((IF(Inputs!$B$38="pvp",15,MAX(0.1,Skills!D11-IF(TRUE=TRUE,Inputs!$B$32,0)))*(1-IF(AND(ArtifactsInput!$M$27,Inputs!$B$4="Chapter Hunt"),CHOOSE(ArtifactsInput!$N$27+1,20,24,28,32,36,40),0)/100))/B2367),0)</f>
        <v/>
      </c>
      <c r="R2336">
        <f>IF(AND(Inputs!$B$38&lt;&gt;"pvp",Inputs!$B$43&gt;0),IF(MAX(0,Inputs!$B$43-B2363)&lt;=0,0,(INT(MAX(0,Inputs!$B$43-B2363)/((IF(Inputs!$B$38="pvp",15,MAX(0.1,Skills!D11-IF(TRUE=TRUE,Inputs!$B$32,0)))*(1-IF(AND(ArtifactsInput!$M$27,Inputs!$B$4="Chapter Hunt"),CHOOSE(ArtifactsInput!$N$27+1,20,24,28,32,36,40),0)/100))/B2367))+1)),0)</f>
        <v/>
      </c>
      <c r="S2336">
        <f>IFERROR(O2336/N2336,0)</f>
        <v/>
      </c>
      <c r="T2336">
        <f>IF(C2336,(H2336*N2336*IF(AND(Inputs!$B$38&lt;&gt;"pvp",Inputs!$B$43&gt;0),((Skills!G11*((R2336-1)*IF(Skills!H11&gt;0,INT(Skills!I11/Skills!H11+0.000000001),1)+IF(Skills!H11&gt;0,INT(MIN(Skills!I11,MAX(0,MAX(0,Inputs!$B$43-B2363)-((R2336-1)*((IF(Inputs!$B$38="pvp",15,MAX(0.1,Skills!D11-IF(TRUE=TRUE,Inputs!$B$32,0)))*(1-IF(AND(ArtifactsInput!$M$27,Inputs!$B$4="Chapter Hunt"),CHOOSE(ArtifactsInput!$N$27+1,20,24,28,32,36,40),0)/100))/B2367))))/Skills!H11+0.000000001),1)))/Inputs!$B$43),G2336*Q2336))*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Hunt"),CHOOSE(ArtifactsInput!$N$35+1,15,18,21,24,27,30)*(1-EXP(-(0.2*B2358)*5)),0)+IF(AND(ArtifactsInput!$M$22,Inputs!$B$4&lt;&gt;"Chapter Hunt"),CHOOSE(ArtifactsInput!$N$22+1,10,12,14,16,18,20)*((0*(((0.15*B2358*5))^0/1)+1*(((0.15*B2358*5))^1/1)+2*(((0.15*B2358*5))^2/2)+3*(((0.15*B2358*5))^3/6)+4*(((0.15*B2358*5))^4/24)+5*(((0.15*B2358*5))^5/120))/((((0.15*B2358*5))^0/1)+(((0.15*B2358*5))^1/1)+(((0.15*B2358*5))^2/2)+(((0.15*B2358*5))^3/6)+(((0.15*B2358*5))^4/24)+(((0.15*B2358*5))^5/120))),0))+IF(Inputs!$B$3&gt;=54,9*(C2328=TRUE)*MIN(1,8*(1+Inputs!$B$34/100)*Q2328)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2336*(1-MIN(100,(Inputs!$B$9+((C2344=TRUE)*(F2344-Calc!F19))+B2356+(ArtifactsInput!$M$24-ArtifactsInput!$M$24)*CHOOSE(ArtifactsInput!$N$24+1,10,12,14,16,18,20)+(IF(AND(Inputs!$B$38&lt;&gt;"pvp",Inputs!$B$43=0),1,IF(IF(Inputs!$B$38="pvp",15,Inputs!$B$43)-(B2363)&lt;=0,1,MAX(0,IF(Inputs!$B$38="pvp",15,Inputs!$B$43)-MAX(5,B2363))/(IF(Inputs!$B$38="pvp",15,Inputs!$B$43)-(B2363))))*IF(AND(ArtifactsInput!$M$42,((Inputs!$B$9+((C2344=TRUE)*(F2344-Calc!F19))+B2356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2336*(MIN(100,(Inputs!$B$9+((C2344=TRUE)*(F2344-Calc!F19))+B2356+(ArtifactsInput!$M$24-ArtifactsInput!$M$24)*CHOOSE(ArtifactsInput!$N$24+1,10,12,14,16,18,20)+(IF(AND(Inputs!$B$38&lt;&gt;"pvp",Inputs!$B$43=0),1,IF(IF(Inputs!$B$38="pvp",15,Inputs!$B$43)-(B2363)&lt;=0,1,MAX(0,IF(Inputs!$B$38="pvp",15,Inputs!$B$43)-MAX(5,B2363))/(IF(Inputs!$B$38="pvp",15,Inputs!$B$43)-(B2363))))*IF(AND(ArtifactsInput!$M$42,((Inputs!$B$9+((C2344=TRUE)*(F2344-Calc!F19))+B2356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2336*(1-MIN(100,(Inputs!$B$9+((C2344=TRUE)*(F2344-Calc!F19))+B2356+(ArtifactsInput!$M$24-ArtifactsInput!$M$24)*CHOOSE(ArtifactsInput!$N$24+1,10,12,14,16,18,20)+(IF(AND(Inputs!$B$38&lt;&gt;"pvp",Inputs!$B$43=0),1,IF(IF(Inputs!$B$38="pvp",15,Inputs!$B$43)-(B2363)&lt;=0,1,MAX(0,IF(Inputs!$B$38="pvp",15,Inputs!$B$43)-MAX(5,B2363))/(IF(Inputs!$B$38="pvp",15,Inputs!$B$43)-(B2363))))*IF(AND(ArtifactsInput!$M$42,((Inputs!$B$9+((C2344=TRUE)*(F2344-Calc!F19))+B2356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2336*(MIN(100,(Inputs!$B$9+((C2344=TRUE)*(F2344-Calc!F19))+B2356+(ArtifactsInput!$M$24-ArtifactsInput!$M$24)*CHOOSE(ArtifactsInput!$N$24+1,10,12,14,16,18,20)+(IF(AND(Inputs!$B$38&lt;&gt;"pvp",Inputs!$B$43=0),1,IF(IF(Inputs!$B$38="pvp",15,Inputs!$B$43)-(B2363)&lt;=0,1,MAX(0,IF(Inputs!$B$38="pvp",15,Inputs!$B$43)-MAX(5,B2363))/(IF(Inputs!$B$38="pvp",15,Inputs!$B$43)-(B2363))))*IF(AND(ArtifactsInput!$M$42,((Inputs!$B$9+((C2344=TRUE)*(F2344-Calc!F19))+B2356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336">
        <f>IF(C2336,(H2336*N2336*IF(AND(Inputs!$B$38&lt;&gt;"pvp",Inputs!$B$43&gt;0),((Skills!G11*((R2336-1)*IF(Skills!H11&gt;0,INT(Skills!I11/Skills!H11+0.000000001),1)+IF(Skills!H11&gt;0,INT(MIN(Skills!I11,MAX(0,MAX(0,Inputs!$B$43-B2363)-((R2336-1)*((IF(Inputs!$B$38="pvp",15,MAX(0.1,Skills!D11-IF(TRUE=TRUE,Inputs!$B$32,0)))*(1-IF(AND(ArtifactsInput!$M$27,Inputs!$B$4="Chapter Hunt"),CHOOSE(ArtifactsInput!$N$27+1,20,24,28,32,36,40),0)/100))/B2367))))/Skills!H11+0.000000001),1)))/Inputs!$B$43),G2336*Q2336))*IF(Inputs!$B$38="pvp",1,(1+(Inputs!$B$21+Skills!Q11+(IF(ArtifactsInput!$M$33,CHOOSE(ArtifactsInput!$N$33+1,30,36,42,48,54,60),0))+(IF(AND(ArtifactsInput!$M$35,Inputs!$B$4&lt;&gt;"Chapter Hunt"),CHOOSE(ArtifactsInput!$N$35+1,15,18,21,24,27,30)*(1-EXP(-(0.2*B2358)*5)),0)+IF(AND(ArtifactsInput!$M$22,Inputs!$B$4&lt;&gt;"Chapter Hunt"),CHOOSE(ArtifactsInput!$N$22+1,10,12,14,16,18,20)*((0*(((0.15*B2358*5))^0/1)+1*(((0.15*B2358*5))^1/1)+2*(((0.15*B2358*5))^2/2)+3*(((0.15*B2358*5))^3/6)+4*(((0.15*B2358*5))^4/24)+5*(((0.15*B2358*5))^5/120))/((((0.15*B2358*5))^0/1)+(((0.15*B2358*5))^1/1)+(((0.15*B2358*5))^2/2)+(((0.15*B2358*5))^3/6)+(((0.15*B2358*5))^4/24)+(((0.15*B2358*5))^5/120))),0))+IF(Inputs!$B$3&gt;=54,9*(C2328=TRUE)*MIN(1,8*(1+Inputs!$B$34/100)*Q2328),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37">
      <c r="A2337">
        <f>Skills!A12</f>
        <v/>
      </c>
      <c r="B2337">
        <f>Skills!B12</f>
        <v/>
      </c>
      <c r="C2337">
        <f>Inputs!$B$3&gt;=110</f>
        <v/>
      </c>
      <c r="D2337">
        <f>IF(Skills!C12=1,60+Inputs!$B$25+Inputs!$B$29,IF(Skills!C12=2,90+Inputs!$B$26+Inputs!$B$29,IF(Skills!C12=3,120+Inputs!$B$27+Inputs!$B$29,MAX(0,(Inputs!$B$3-100)*3)+Inputs!$B$28+Inputs!$B$29)))</f>
        <v/>
      </c>
      <c r="E2337">
        <f>INDEX(FactorTable!$B$2:$Y$301, MATCH(ROUND(MIN(300,MAX(1,D2337)),0), FactorTable!$A$2:$A$301,0), Skills!M12+1)</f>
        <v/>
      </c>
      <c r="F2337">
        <f>IF(Skills!N12=TRUE,(Skills!L12/10)*(E2337/1000),Skills!L12/10)+Skills!O12</f>
        <v/>
      </c>
      <c r="G2337">
        <f>Skills!G12*IF(Skills!H12&gt;0,INT(IF(Inputs!$B$38="pvp",MIN(Skills!I12,15),Skills!I12)/Skills!H12+0.000000001),1)</f>
        <v/>
      </c>
      <c r="H2337">
        <f>1-(1-Skills!J12/100)^Skills!K12</f>
        <v/>
      </c>
      <c r="I2337" t="inlineStr">
        <is>
          <t>1</t>
        </is>
      </c>
      <c r="J2337">
        <f>((Inputs!$B$6*(1+Inputs!$B$7/100))+(((Inputs!$B$12*(1+Inputs!$B$13/100))-(Inputs!$B$12*(1+Inputs!$B$13/100)))+0.25*(Inputs!$B$14-Inputs!$B$14))*(1+Inputs!$B$7/100))*(F2337/100)</f>
        <v/>
      </c>
      <c r="K2337">
        <f>J2337*(1+((Inputs!$B$12*(1+Inputs!$B$13/100))*0.01+Inputs!$B$14*0.0025)/100)*(1+Inputs!$B$15/100)*(1+Inputs!$B$16/100)*(5000/(6000+Inputs!$B$42*(1-(100*(1-(1-(Inputs!$B$19+0)/100)*(1-CHOOSE(ArtifactsInput!$N$40+1,5,6,7,8,9,10)/100)^(ArtifactsInput!$M$40-ArtifactsInput!$M$40)))/100)))*(1+(Inputs!$B$24+((C2351=TRUE)*(F2351-Calc!F26))+B2362)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EIGHT_LEGS_EASTON",Inputs!$B$17+((C2348=TRUE)*(F2348-Calc!F23))+((C2352=TRUE)*(F2352-Calc!F27))+((IF(AND(Inputs!$B$38&lt;&gt;"pvp",Inputs!$B$43=0),1,IF(IF(Inputs!$B$38="pvp",15,Inputs!$B$43)-(B2363)&lt;=0,1,MAX(0,IF(Inputs!$B$38="pvp",15,Inputs!$B$43)-MAX(5,B2363))/(IF(Inputs!$B$38="pvp",15,Inputs!$B$43)-(B2363))))*(IF(AND(ArtifactsInput!$M$42,((Inputs!$B$9+((C2344=TRUE)*(F2344-Calc!F19))+B2356+(ArtifactsInput!$M$24-ArtifactsInput!$M$24)*CHOOSE(ArtifactsInput!$N$24+1,10,12,14,16,18,20)+IF(ArtifactsInput!$M$10,CHOOSE(ArtifactsInput!$N$10+1,15,18,21,24,27,30)*(IF(Inputs!$B$38="pvp",MIN(15,15)/15,IF(AND(Inputs!$B$38&lt;&gt;"pvp",Inputs!$B$43&gt;0),MIN(15,Inputs!$B$43)/(Inputs!$B$43),0))),0)))&gt;=100),MIN(100,((Inputs!$B$9+((C2344=TRUE)*(F2344-Calc!F19))+B2356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2363)&lt;=0,1,MAX(0,IF(Inputs!$B$38="pvp",15,Inputs!$B$43)-MAX(5,B2363))/(IF(Inputs!$B$38="pvp",15,Inputs!$B$43)-(B2363))))*IF(AND(ArtifactsInput!$M$42,((Inputs!$B$9+((C2344=TRUE)*(F2344-Calc!F19))+B2356+(ArtifactsInput!$M$24-ArtifactsInput!$M$24)*CHOOSE(ArtifactsInput!$N$24+1,10,12,14,16,18,20)+IF(ArtifactsInput!$M$10,CHOOSE(ArtifactsInput!$N$10+1,15,18,21,24,27,30)*(IF(Inputs!$B$38="pvp",MIN(15,15)/15,IF(AND(Inputs!$B$38&lt;&gt;"pvp",Inputs!$B$43&gt;0),MIN(15,Inputs!$B$43)/(Inputs!$B$43),0))),0)))&gt;=100),CHOOSE(ArtifactsInput!$N$42+1,40,48,56,64,72,80),0))))/100)*((1+(((C2342=TRUE)*F2342*5/7)+((C2349=TRUE)*(F2349-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2337)</f>
        <v/>
      </c>
      <c r="L2337">
        <f>K2337*(MIN(Inputs!$B$22+((C2347=TRUE)*(F2347-Calc!F22)),(Inputs!$B$23+0+(IF(ArtifactsInput!$M$15,CHOOSE(ArtifactsInput!$N$15+1,25,30,35,40,45,50)/100*(Inputs!$B$11-Inputs!$B$11),0))))/100+(Inputs!$B$23+0+(IF(ArtifactsInput!$M$15,CHOOSE(ArtifactsInput!$N$15+1,25,30,35,40,45,50)/100*(Inputs!$B$11-Inputs!$B$11),0)))/100)/2</f>
        <v/>
      </c>
      <c r="M2337">
        <f>L2337*(1+(Inputs!$B$10+((C2350=TRUE)*(F2350-Calc!F25))+B2361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37">
        <f>L2337*(1-MIN((Inputs!$B$9+((C2344=TRUE)*(F2344-Calc!F19))+B2356+(ArtifactsInput!$M$24-ArtifactsInput!$M$24)*CHOOSE(ArtifactsInput!$N$24+1,10,12,14,16,18,20)+(IF(AND(Inputs!$B$38&lt;&gt;"pvp",Inputs!$B$43=0),1,IF(IF(Inputs!$B$38="pvp",15,Inputs!$B$43)-(B2363)&lt;=0,1,MAX(0,IF(Inputs!$B$38="pvp",15,Inputs!$B$43)-MAX(5,B2363))/(IF(Inputs!$B$38="pvp",15,Inputs!$B$43)-(B2363))))*IF(AND(ArtifactsInput!$M$42,((Inputs!$B$9+((C2344=TRUE)*(F2344-Calc!F19))+B2356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2337*(MIN((Inputs!$B$9+((C2344=TRUE)*(F2344-Calc!F19))+B2356+(ArtifactsInput!$M$24-ArtifactsInput!$M$24)*CHOOSE(ArtifactsInput!$N$24+1,10,12,14,16,18,20)+(IF(AND(Inputs!$B$38&lt;&gt;"pvp",Inputs!$B$43=0),1,IF(IF(Inputs!$B$38="pvp",15,Inputs!$B$43)-(B2363)&lt;=0,1,MAX(0,IF(Inputs!$B$38="pvp",15,Inputs!$B$43)-MAX(5,B2363))/(IF(Inputs!$B$38="pvp",15,Inputs!$B$43)-(B2363))))*IF(AND(ArtifactsInput!$M$42,((Inputs!$B$9+((C2344=TRUE)*(F2344-Calc!F19))+B2356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37">
        <f>(1-Summary!$B$11)*T2337+Summary!$B$11*V2337</f>
        <v/>
      </c>
      <c r="P2337">
        <f>IF(B2366=0,0,O2337/B2366)</f>
        <v/>
      </c>
      <c r="Q2337">
        <f>IFERROR(1/(IF(Inputs!$B$38="pvp",15,MAX(0.1,Skills!D12-IF(TRUE=TRUE,Inputs!$B$32,0)))*(1-IF(AND(ArtifactsInput!$M$27,Inputs!$B$4="Chapter Hunt"),CHOOSE(ArtifactsInput!$N$27+1,20,24,28,32,36,40),0)/100)),0)</f>
        <v/>
      </c>
      <c r="R2337">
        <f>IF(AND(Inputs!$B$38&lt;&gt;"pvp",Inputs!$B$43&gt;0),IF(MAX(0,Inputs!$B$43-B2363)&lt;=0,0,(INT(MAX(0,Inputs!$B$43-B2363)/(IF(Inputs!$B$38="pvp",15,MAX(0.1,Skills!D12-IF(TRUE=TRUE,Inputs!$B$32,0)))*(1-IF(AND(ArtifactsInput!$M$27,Inputs!$B$4="Chapter Hunt"),CHOOSE(ArtifactsInput!$N$27+1,20,24,28,32,36,40),0)/100)))+1)),0)</f>
        <v/>
      </c>
      <c r="S2337">
        <f>IFERROR(O2337/N2337,0)</f>
        <v/>
      </c>
      <c r="T2337">
        <f>IF(C2337,(H2337*N2337*IF(AND(Inputs!$B$38&lt;&gt;"pvp",Inputs!$B$43&gt;0),((Skills!G12*((R2337-1)*IF(Skills!H12&gt;0,INT(Skills!I12/Skills!H12+0.000000001),1)+IF(Skills!H12&gt;0,INT(MIN(Skills!I12,MAX(0,MAX(0,Inputs!$B$43-B2363)-((R2337-1)*(IF(Inputs!$B$38="pvp",15,MAX(0.1,Skills!D12-IF(TRUE=TRUE,Inputs!$B$32,0)))*(1-IF(AND(ArtifactsInput!$M$27,Inputs!$B$4="Chapter Hunt"),CHOOSE(ArtifactsInput!$N$27+1,20,24,28,32,36,40),0)/100)))))/Skills!H12+0.000000001),1)))/Inputs!$B$43),G2337*Q2337))*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Hunt"),CHOOSE(ArtifactsInput!$N$35+1,15,18,21,24,27,30)*(1-EXP(-(0.2*B2358)*5)),0)+IF(AND(ArtifactsInput!$M$22,Inputs!$B$4&lt;&gt;"Chapter Hunt"),CHOOSE(ArtifactsInput!$N$22+1,10,12,14,16,18,20)*((0*(((0.15*B2358*5))^0/1)+1*(((0.15*B2358*5))^1/1)+2*(((0.15*B2358*5))^2/2)+3*(((0.15*B2358*5))^3/6)+4*(((0.15*B2358*5))^4/24)+5*(((0.15*B2358*5))^5/120))/((((0.15*B2358*5))^0/1)+(((0.15*B2358*5))^1/1)+(((0.15*B2358*5))^2/2)+(((0.15*B2358*5))^3/6)+(((0.15*B2358*5))^4/24)+(((0.15*B2358*5))^5/120))),0))+IF(Inputs!$B$3&gt;=54,9*(C2328=TRUE)*MIN(1,8*(1+Inputs!$B$34/100)*Q2328)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2337*(1-MIN(100,(Inputs!$B$9+((C2344=TRUE)*(F2344-Calc!F19))+B2356+(ArtifactsInput!$M$24-ArtifactsInput!$M$24)*CHOOSE(ArtifactsInput!$N$24+1,10,12,14,16,18,20)+(IF(AND(Inputs!$B$38&lt;&gt;"pvp",Inputs!$B$43=0),1,IF(IF(Inputs!$B$38="pvp",15,Inputs!$B$43)-(B2363)&lt;=0,1,MAX(0,IF(Inputs!$B$38="pvp",15,Inputs!$B$43)-MAX(5,B2363))/(IF(Inputs!$B$38="pvp",15,Inputs!$B$43)-(B2363))))*IF(AND(ArtifactsInput!$M$42,((Inputs!$B$9+((C2344=TRUE)*(F2344-Calc!F19))+B2356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2337*(MIN(100,(Inputs!$B$9+((C2344=TRUE)*(F2344-Calc!F19))+B2356+(ArtifactsInput!$M$24-ArtifactsInput!$M$24)*CHOOSE(ArtifactsInput!$N$24+1,10,12,14,16,18,20)+(IF(AND(Inputs!$B$38&lt;&gt;"pvp",Inputs!$B$43=0),1,IF(IF(Inputs!$B$38="pvp",15,Inputs!$B$43)-(B2363)&lt;=0,1,MAX(0,IF(Inputs!$B$38="pvp",15,Inputs!$B$43)-MAX(5,B2363))/(IF(Inputs!$B$38="pvp",15,Inputs!$B$43)-(B2363))))*IF(AND(ArtifactsInput!$M$42,((Inputs!$B$9+((C2344=TRUE)*(F2344-Calc!F19))+B2356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2337*(1-MIN(100,(Inputs!$B$9+((C2344=TRUE)*(F2344-Calc!F19))+B2356+(ArtifactsInput!$M$24-ArtifactsInput!$M$24)*CHOOSE(ArtifactsInput!$N$24+1,10,12,14,16,18,20)+(IF(AND(Inputs!$B$38&lt;&gt;"pvp",Inputs!$B$43=0),1,IF(IF(Inputs!$B$38="pvp",15,Inputs!$B$43)-(B2363)&lt;=0,1,MAX(0,IF(Inputs!$B$38="pvp",15,Inputs!$B$43)-MAX(5,B2363))/(IF(Inputs!$B$38="pvp",15,Inputs!$B$43)-(B2363))))*IF(AND(ArtifactsInput!$M$42,((Inputs!$B$9+((C2344=TRUE)*(F2344-Calc!F19))+B2356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2337*(MIN(100,(Inputs!$B$9+((C2344=TRUE)*(F2344-Calc!F19))+B2356+(ArtifactsInput!$M$24-ArtifactsInput!$M$24)*CHOOSE(ArtifactsInput!$N$24+1,10,12,14,16,18,20)+(IF(AND(Inputs!$B$38&lt;&gt;"pvp",Inputs!$B$43=0),1,IF(IF(Inputs!$B$38="pvp",15,Inputs!$B$43)-(B2363)&lt;=0,1,MAX(0,IF(Inputs!$B$38="pvp",15,Inputs!$B$43)-MAX(5,B2363))/(IF(Inputs!$B$38="pvp",15,Inputs!$B$43)-(B2363))))*IF(AND(ArtifactsInput!$M$42,((Inputs!$B$9+((C2344=TRUE)*(F2344-Calc!F19))+B2356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337">
        <f>IF(C2337,(H2337*N2337*IF(AND(Inputs!$B$38&lt;&gt;"pvp",Inputs!$B$43&gt;0),((Skills!G12*((R2337-1)*IF(Skills!H12&gt;0,INT(Skills!I12/Skills!H12+0.000000001),1)+IF(Skills!H12&gt;0,INT(MIN(Skills!I12,MAX(0,MAX(0,Inputs!$B$43-B2363)-((R2337-1)*(IF(Inputs!$B$38="pvp",15,MAX(0.1,Skills!D12-IF(TRUE=TRUE,Inputs!$B$32,0)))*(1-IF(AND(ArtifactsInput!$M$27,Inputs!$B$4="Chapter Hunt"),CHOOSE(ArtifactsInput!$N$27+1,20,24,28,32,36,40),0)/100)))))/Skills!H12+0.000000001),1)))/Inputs!$B$43),G2337*Q2337))*IF(Inputs!$B$38="pvp",1,(1+(Inputs!$B$21+Skills!Q12+(IF(ArtifactsInput!$M$33,CHOOSE(ArtifactsInput!$N$33+1,30,36,42,48,54,60),0))+(IF(AND(ArtifactsInput!$M$35,Inputs!$B$4&lt;&gt;"Chapter Hunt"),CHOOSE(ArtifactsInput!$N$35+1,15,18,21,24,27,30)*(1-EXP(-(0.2*B2358)*5)),0)+IF(AND(ArtifactsInput!$M$22,Inputs!$B$4&lt;&gt;"Chapter Hunt"),CHOOSE(ArtifactsInput!$N$22+1,10,12,14,16,18,20)*((0*(((0.15*B2358*5))^0/1)+1*(((0.15*B2358*5))^1/1)+2*(((0.15*B2358*5))^2/2)+3*(((0.15*B2358*5))^3/6)+4*(((0.15*B2358*5))^4/24)+5*(((0.15*B2358*5))^5/120))/((((0.15*B2358*5))^0/1)+(((0.15*B2358*5))^1/1)+(((0.15*B2358*5))^2/2)+(((0.15*B2358*5))^3/6)+(((0.15*B2358*5))^4/24)+(((0.15*B2358*5))^5/120))),0))+IF(Inputs!$B$3&gt;=54,9*(C2328=TRUE)*MIN(1,8*(1+Inputs!$B$34/100)*Q2328),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38">
      <c r="A2338">
        <f>Skills!A13</f>
        <v/>
      </c>
      <c r="B2338">
        <f>Skills!B13</f>
        <v/>
      </c>
      <c r="C2338">
        <f>Inputs!$B$3&gt;=110</f>
        <v/>
      </c>
      <c r="D2338">
        <f>IF(Skills!C13=1,60+Inputs!$B$25+Inputs!$B$29,IF(Skills!C13=2,90+Inputs!$B$26+Inputs!$B$29,IF(Skills!C13=3,120+Inputs!$B$27+Inputs!$B$29,MAX(0,(Inputs!$B$3-100)*3)+Inputs!$B$28+Inputs!$B$29)))</f>
        <v/>
      </c>
      <c r="E2338">
        <f>INDEX(FactorTable!$B$2:$Y$301, MATCH(ROUND(MIN(300,MAX(1,D2338)),0), FactorTable!$A$2:$A$301,0), Skills!M13+1)</f>
        <v/>
      </c>
      <c r="F2338">
        <f>IF(Skills!N13=TRUE,(Skills!L13/10)*(E2338/1000),Skills!L13/10)+Skills!O13</f>
        <v/>
      </c>
      <c r="G2338">
        <f>Skills!G13*IF(Skills!H13&gt;0,INT(IF(Inputs!$B$38="pvp",MIN(Skills!I13,15),Skills!I13)/Skills!H13+0.000000001),1)</f>
        <v/>
      </c>
      <c r="H2338">
        <f>1-(1-Skills!J13/100)^Skills!K13</f>
        <v/>
      </c>
      <c r="I2338" t="inlineStr">
        <is>
          <t>1</t>
        </is>
      </c>
      <c r="J2338">
        <f>((Inputs!$B$6*(1+Inputs!$B$7/100))+(((Inputs!$B$12*(1+Inputs!$B$13/100))-(Inputs!$B$12*(1+Inputs!$B$13/100)))+0.25*(Inputs!$B$14-Inputs!$B$14))*(1+Inputs!$B$7/100))*(F2338/100)</f>
        <v/>
      </c>
      <c r="K2338">
        <f>J2338*(1+((Inputs!$B$12*(1+Inputs!$B$13/100))*0.01+Inputs!$B$14*0.0025)/100)*(1+Inputs!$B$15/100)*(1+Inputs!$B$16/100)*(5000/(6000+Inputs!$B$42*(1-(100*(1-(1-(Inputs!$B$19+0)/100)*(1-CHOOSE(ArtifactsInput!$N$40+1,5,6,7,8,9,10)/100)^(ArtifactsInput!$M$40-ArtifactsInput!$M$40)))/100)))*(1+(Inputs!$B$24+((C2351=TRUE)*(F2351-Calc!F26))+B2362)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EIGHT_LEGS_EASTON",Inputs!$B$17+((C2348=TRUE)*(F2348-Calc!F23))+((C2352=TRUE)*(F2352-Calc!F27))+((IF(AND(Inputs!$B$38&lt;&gt;"pvp",Inputs!$B$43=0),1,IF(IF(Inputs!$B$38="pvp",15,Inputs!$B$43)-(B2363)&lt;=0,1,MAX(0,IF(Inputs!$B$38="pvp",15,Inputs!$B$43)-MAX(5,B2363))/(IF(Inputs!$B$38="pvp",15,Inputs!$B$43)-(B2363))))*(IF(AND(ArtifactsInput!$M$42,((Inputs!$B$9+((C2344=TRUE)*(F2344-Calc!F19))+B2356+(ArtifactsInput!$M$24-ArtifactsInput!$M$24)*CHOOSE(ArtifactsInput!$N$24+1,10,12,14,16,18,20)+IF(ArtifactsInput!$M$10,CHOOSE(ArtifactsInput!$N$10+1,15,18,21,24,27,30)*(IF(Inputs!$B$38="pvp",MIN(15,15)/15,IF(AND(Inputs!$B$38&lt;&gt;"pvp",Inputs!$B$43&gt;0),MIN(15,Inputs!$B$43)/(Inputs!$B$43),0))),0)))&gt;=100),MIN(100,((Inputs!$B$9+((C2344=TRUE)*(F2344-Calc!F19))+B2356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2363)&lt;=0,1,MAX(0,IF(Inputs!$B$38="pvp",15,Inputs!$B$43)-MAX(5,B2363))/(IF(Inputs!$B$38="pvp",15,Inputs!$B$43)-(B2363))))*IF(AND(ArtifactsInput!$M$42,((Inputs!$B$9+((C2344=TRUE)*(F2344-Calc!F19))+B2356+(ArtifactsInput!$M$24-ArtifactsInput!$M$24)*CHOOSE(ArtifactsInput!$N$24+1,10,12,14,16,18,20)+IF(ArtifactsInput!$M$10,CHOOSE(ArtifactsInput!$N$10+1,15,18,21,24,27,30)*(IF(Inputs!$B$38="pvp",MIN(15,15)/15,IF(AND(Inputs!$B$38&lt;&gt;"pvp",Inputs!$B$43&gt;0),MIN(15,Inputs!$B$43)/(Inputs!$B$43),0))),0)))&gt;=100),CHOOSE(ArtifactsInput!$N$42+1,40,48,56,64,72,80),0))))/100)*((1+(((C2342=TRUE)*F2342*5/7)+((C2349=TRUE)*(F2349-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2338)</f>
        <v/>
      </c>
      <c r="L2338">
        <f>K2338*(MIN(Inputs!$B$22+((C2347=TRUE)*(F2347-Calc!F22)),(Inputs!$B$23+0+(IF(ArtifactsInput!$M$15,CHOOSE(ArtifactsInput!$N$15+1,25,30,35,40,45,50)/100*(Inputs!$B$11-Inputs!$B$11),0))))/100+(Inputs!$B$23+0+(IF(ArtifactsInput!$M$15,CHOOSE(ArtifactsInput!$N$15+1,25,30,35,40,45,50)/100*(Inputs!$B$11-Inputs!$B$11),0)))/100)/2</f>
        <v/>
      </c>
      <c r="M2338">
        <f>L2338*(1+(Inputs!$B$10+((C2350=TRUE)*(F2350-Calc!F25))+B2361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38">
        <f>L2338*(1-MIN((Inputs!$B$9+((C2344=TRUE)*(F2344-Calc!F19))+B2356+(ArtifactsInput!$M$24-ArtifactsInput!$M$24)*CHOOSE(ArtifactsInput!$N$24+1,10,12,14,16,18,20)+(IF(AND(Inputs!$B$38&lt;&gt;"pvp",Inputs!$B$43=0),1,IF(IF(Inputs!$B$38="pvp",15,Inputs!$B$43)-(B2363)&lt;=0,1,MAX(0,IF(Inputs!$B$38="pvp",15,Inputs!$B$43)-MAX(5,B2363))/(IF(Inputs!$B$38="pvp",15,Inputs!$B$43)-(B2363))))*IF(AND(ArtifactsInput!$M$42,((Inputs!$B$9+((C2344=TRUE)*(F2344-Calc!F19))+B2356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2338*(MIN((Inputs!$B$9+((C2344=TRUE)*(F2344-Calc!F19))+B2356+(ArtifactsInput!$M$24-ArtifactsInput!$M$24)*CHOOSE(ArtifactsInput!$N$24+1,10,12,14,16,18,20)+(IF(AND(Inputs!$B$38&lt;&gt;"pvp",Inputs!$B$43=0),1,IF(IF(Inputs!$B$38="pvp",15,Inputs!$B$43)-(B2363)&lt;=0,1,MAX(0,IF(Inputs!$B$38="pvp",15,Inputs!$B$43)-MAX(5,B2363))/(IF(Inputs!$B$38="pvp",15,Inputs!$B$43)-(B2363))))*IF(AND(ArtifactsInput!$M$42,((Inputs!$B$9+((C2344=TRUE)*(F2344-Calc!F19))+B2356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38">
        <f>(1-Summary!$B$11)*T2338+Summary!$B$11*V2338</f>
        <v/>
      </c>
      <c r="P2338">
        <f>IF(B2366=0,0,O2338/B2366)</f>
        <v/>
      </c>
      <c r="Q2338">
        <f>IFERROR(1/(IF(Inputs!$B$38="pvp",15,MAX(0.1,Skills!D13-IF(TRUE=TRUE,Inputs!$B$32,0)))*(1-IF(AND(ArtifactsInput!$M$27,Inputs!$B$4="Chapter Hunt"),CHOOSE(ArtifactsInput!$N$27+1,20,24,28,32,36,40),0)/100)),0)</f>
        <v/>
      </c>
      <c r="R2338">
        <f>IF(AND(Inputs!$B$38&lt;&gt;"pvp",Inputs!$B$43&gt;0),IF(MAX(0,Inputs!$B$43-B2363)&lt;=0,0,(INT(MAX(0,Inputs!$B$43-B2363)/(IF(Inputs!$B$38="pvp",15,MAX(0.1,Skills!D13-IF(TRUE=TRUE,Inputs!$B$32,0)))*(1-IF(AND(ArtifactsInput!$M$27,Inputs!$B$4="Chapter Hunt"),CHOOSE(ArtifactsInput!$N$27+1,20,24,28,32,36,40),0)/100)))+1)),0)</f>
        <v/>
      </c>
      <c r="S2338">
        <f>IFERROR(O2338/N2338,0)</f>
        <v/>
      </c>
      <c r="T2338">
        <f>IF(C2338,(H2338*N2338*IF(AND(Inputs!$B$38&lt;&gt;"pvp",Inputs!$B$43&gt;0),((Skills!G13*((R2338-1)*IF(Skills!H13&gt;0,INT(Skills!I13/Skills!H13+0.000000001),1)+IF(Skills!H13&gt;0,INT(MIN(Skills!I13,MAX(0,MAX(0,Inputs!$B$43-B2363)-((R2338-1)*(IF(Inputs!$B$38="pvp",15,MAX(0.1,Skills!D13-IF(TRUE=TRUE,Inputs!$B$32,0)))*(1-IF(AND(ArtifactsInput!$M$27,Inputs!$B$4="Chapter Hunt"),CHOOSE(ArtifactsInput!$N$27+1,20,24,28,32,36,40),0)/100)))))/Skills!H13+0.000000001),1)))/Inputs!$B$43),G2338*Q2338))*IF(Inputs!$B$38="pvp",1,1+(Inputs!$B$20+0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Hunt"),CHOOSE(ArtifactsInput!$N$35+1,15,18,21,24,27,30)*(1-EXP(-(0.2*B2358)*5)),0)+IF(AND(ArtifactsInput!$M$22,Inputs!$B$4&lt;&gt;"Chapter Hunt"),CHOOSE(ArtifactsInput!$N$22+1,10,12,14,16,18,20)*((0*(((0.15*B2358*5))^0/1)+1*(((0.15*B2358*5))^1/1)+2*(((0.15*B2358*5))^2/2)+3*(((0.15*B2358*5))^3/6)+4*(((0.15*B2358*5))^4/24)+5*(((0.15*B2358*5))^5/120))/((((0.15*B2358*5))^0/1)+(((0.15*B2358*5))^1/1)+(((0.15*B2358*5))^2/2)+(((0.15*B2358*5))^3/6)+(((0.15*B2358*5))^4/24)+(((0.15*B2358*5))^5/120))),0))+IF(Inputs!$B$3&gt;=54,9*(C2328=TRUE)*MIN(1,8*(1+Inputs!$B$34/100)*Q2328)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2338*(1-MIN(100,(Inputs!$B$9+((C2344=TRUE)*(F2344-Calc!F19))+B2356+(ArtifactsInput!$M$24-ArtifactsInput!$M$24)*CHOOSE(ArtifactsInput!$N$24+1,10,12,14,16,18,20)+(IF(AND(Inputs!$B$38&lt;&gt;"pvp",Inputs!$B$43=0),1,IF(IF(Inputs!$B$38="pvp",15,Inputs!$B$43)-(B2363)&lt;=0,1,MAX(0,IF(Inputs!$B$38="pvp",15,Inputs!$B$43)-MAX(5,B2363))/(IF(Inputs!$B$38="pvp",15,Inputs!$B$43)-(B2363))))*IF(AND(ArtifactsInput!$M$42,((Inputs!$B$9+((C2344=TRUE)*(F2344-Calc!F19))+B2356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2338*(MIN(100,(Inputs!$B$9+((C2344=TRUE)*(F2344-Calc!F19))+B2356+(ArtifactsInput!$M$24-ArtifactsInput!$M$24)*CHOOSE(ArtifactsInput!$N$24+1,10,12,14,16,18,20)+(IF(AND(Inputs!$B$38&lt;&gt;"pvp",Inputs!$B$43=0),1,IF(IF(Inputs!$B$38="pvp",15,Inputs!$B$43)-(B2363)&lt;=0,1,MAX(0,IF(Inputs!$B$38="pvp",15,Inputs!$B$43)-MAX(5,B2363))/(IF(Inputs!$B$38="pvp",15,Inputs!$B$43)-(B2363))))*IF(AND(ArtifactsInput!$M$42,((Inputs!$B$9+((C2344=TRUE)*(F2344-Calc!F19))+B2356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2338*(1-MIN(100,(Inputs!$B$9+((C2344=TRUE)*(F2344-Calc!F19))+B2356+(ArtifactsInput!$M$24-ArtifactsInput!$M$24)*CHOOSE(ArtifactsInput!$N$24+1,10,12,14,16,18,20)+(IF(AND(Inputs!$B$38&lt;&gt;"pvp",Inputs!$B$43=0),1,IF(IF(Inputs!$B$38="pvp",15,Inputs!$B$43)-(B2363)&lt;=0,1,MAX(0,IF(Inputs!$B$38="pvp",15,Inputs!$B$43)-MAX(5,B2363))/(IF(Inputs!$B$38="pvp",15,Inputs!$B$43)-(B2363))))*IF(AND(ArtifactsInput!$M$42,((Inputs!$B$9+((C2344=TRUE)*(F2344-Calc!F19))+B2356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2338*(MIN(100,(Inputs!$B$9+((C2344=TRUE)*(F2344-Calc!F19))+B2356+(ArtifactsInput!$M$24-ArtifactsInput!$M$24)*CHOOSE(ArtifactsInput!$N$24+1,10,12,14,16,18,20)+(IF(AND(Inputs!$B$38&lt;&gt;"pvp",Inputs!$B$43=0),1,IF(IF(Inputs!$B$38="pvp",15,Inputs!$B$43)-(B2363)&lt;=0,1,MAX(0,IF(Inputs!$B$38="pvp",15,Inputs!$B$43)-MAX(5,B2363))/(IF(Inputs!$B$38="pvp",15,Inputs!$B$43)-(B2363))))*IF(AND(ArtifactsInput!$M$42,((Inputs!$B$9+((C2344=TRUE)*(F2344-Calc!F19))+B2356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338">
        <f>IF(C2338,(H2338*N2338*IF(AND(Inputs!$B$38&lt;&gt;"pvp",Inputs!$B$43&gt;0),((Skills!G13*((R2338-1)*IF(Skills!H13&gt;0,INT(Skills!I13/Skills!H13+0.000000001),1)+IF(Skills!H13&gt;0,INT(MIN(Skills!I13,MAX(0,MAX(0,Inputs!$B$43-B2363)-((R2338-1)*(IF(Inputs!$B$38="pvp",15,MAX(0.1,Skills!D13-IF(TRUE=TRUE,Inputs!$B$32,0)))*(1-IF(AND(ArtifactsInput!$M$27,Inputs!$B$4="Chapter Hunt"),CHOOSE(ArtifactsInput!$N$27+1,20,24,28,32,36,40),0)/100)))))/Skills!H13+0.000000001),1)))/Inputs!$B$43),G2338*Q2338))*IF(Inputs!$B$38="pvp",1,(1+(Inputs!$B$21+Skills!Q13+(IF(ArtifactsInput!$M$33,CHOOSE(ArtifactsInput!$N$33+1,30,36,42,48,54,60),0))+(IF(AND(ArtifactsInput!$M$35,Inputs!$B$4&lt;&gt;"Chapter Hunt"),CHOOSE(ArtifactsInput!$N$35+1,15,18,21,24,27,30)*(1-EXP(-(0.2*B2358)*5)),0)+IF(AND(ArtifactsInput!$M$22,Inputs!$B$4&lt;&gt;"Chapter Hunt"),CHOOSE(ArtifactsInput!$N$22+1,10,12,14,16,18,20)*((0*(((0.15*B2358*5))^0/1)+1*(((0.15*B2358*5))^1/1)+2*(((0.15*B2358*5))^2/2)+3*(((0.15*B2358*5))^3/6)+4*(((0.15*B2358*5))^4/24)+5*(((0.15*B2358*5))^5/120))/((((0.15*B2358*5))^0/1)+(((0.15*B2358*5))^1/1)+(((0.15*B2358*5))^2/2)+(((0.15*B2358*5))^3/6)+(((0.15*B2358*5))^4/24)+(((0.15*B2358*5))^5/120))),0))+IF(Inputs!$B$3&gt;=54,9*(C2328=TRUE)*MIN(1,8*(1+Inputs!$B$34/100)*Q2328),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39">
      <c r="A2339">
        <f>Skills!A14</f>
        <v/>
      </c>
      <c r="B2339">
        <f>Skills!B14</f>
        <v/>
      </c>
      <c r="C2339">
        <f>Inputs!$B$3&gt;=120</f>
        <v/>
      </c>
      <c r="D2339">
        <f>IF(Skills!C14=1,60+Inputs!$B$25+Inputs!$B$29,IF(Skills!C14=2,90+Inputs!$B$26+Inputs!$B$29,IF(Skills!C14=3,120+Inputs!$B$27+Inputs!$B$29,MAX(0,(Inputs!$B$3-100)*3)+Inputs!$B$28+Inputs!$B$29)))</f>
        <v/>
      </c>
      <c r="E2339">
        <f>INDEX(FactorTable!$B$2:$Y$301, MATCH(ROUND(MIN(300,MAX(1,D2339)),0), FactorTable!$A$2:$A$301,0), Skills!M14+1)</f>
        <v/>
      </c>
      <c r="F2339">
        <f>IF(Skills!N14=TRUE,(Skills!L14/10)*(E2339/1000),Skills!L14/10)+Skills!O14</f>
        <v/>
      </c>
      <c r="G2339">
        <f>Skills!G14*IF(Skills!H14&gt;0,INT(IF(Inputs!$B$38="pvp",MIN(Skills!I14,15),Skills!I14)/Skills!H14+0.000000001),1)</f>
        <v/>
      </c>
      <c r="H2339">
        <f>1-(1-Skills!J14/100)^Skills!K14</f>
        <v/>
      </c>
      <c r="I2339" t="inlineStr">
        <is>
          <t>1</t>
        </is>
      </c>
      <c r="J2339">
        <f>((Inputs!$B$6*(1+Inputs!$B$7/100))+(((Inputs!$B$12*(1+Inputs!$B$13/100))-(Inputs!$B$12*(1+Inputs!$B$13/100)))+0.25*(Inputs!$B$14-Inputs!$B$14))*(1+Inputs!$B$7/100))*(F2339/100)</f>
        <v/>
      </c>
      <c r="K2339">
        <f>J2339*(1+((Inputs!$B$12*(1+Inputs!$B$13/100))*0.01+Inputs!$B$14*0.0025)/100)*(1+Inputs!$B$15/100)*(1+Inputs!$B$16/100)*(5000/(6000+Inputs!$B$42*(1-(100*(1-(1-(Inputs!$B$19+0)/100)*(1-CHOOSE(ArtifactsInput!$N$40+1,5,6,7,8,9,10)/100)^(ArtifactsInput!$M$40-ArtifactsInput!$M$40)))/100)))*(1+(Inputs!$B$24+((C2351=TRUE)*(F2351-Calc!F26))+B2362)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EIGHT_LEGS_EASTON",Inputs!$B$17+((C2348=TRUE)*(F2348-Calc!F23))+((C2352=TRUE)*(F2352-Calc!F27))+((IF(AND(Inputs!$B$38&lt;&gt;"pvp",Inputs!$B$43=0),1,IF(IF(Inputs!$B$38="pvp",15,Inputs!$B$43)-(B2363)&lt;=0,1,MAX(0,IF(Inputs!$B$38="pvp",15,Inputs!$B$43)-MAX(5,B2363))/(IF(Inputs!$B$38="pvp",15,Inputs!$B$43)-(B2363))))*(IF(AND(ArtifactsInput!$M$42,((Inputs!$B$9+((C2344=TRUE)*(F2344-Calc!F19))+B2356+(ArtifactsInput!$M$24-ArtifactsInput!$M$24)*CHOOSE(ArtifactsInput!$N$24+1,10,12,14,16,18,20)+IF(ArtifactsInput!$M$10,CHOOSE(ArtifactsInput!$N$10+1,15,18,21,24,27,30)*(IF(Inputs!$B$38="pvp",MIN(15,15)/15,IF(AND(Inputs!$B$38&lt;&gt;"pvp",Inputs!$B$43&gt;0),MIN(15,Inputs!$B$43)/(Inputs!$B$43),0))),0)))&gt;=100),MIN(100,((Inputs!$B$9+((C2344=TRUE)*(F2344-Calc!F19))+B2356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2363)&lt;=0,1,MAX(0,IF(Inputs!$B$38="pvp",15,Inputs!$B$43)-MAX(5,B2363))/(IF(Inputs!$B$38="pvp",15,Inputs!$B$43)-(B2363))))*IF(AND(ArtifactsInput!$M$42,((Inputs!$B$9+((C2344=TRUE)*(F2344-Calc!F19))+B2356+(ArtifactsInput!$M$24-ArtifactsInput!$M$24)*CHOOSE(ArtifactsInput!$N$24+1,10,12,14,16,18,20)+IF(ArtifactsInput!$M$10,CHOOSE(ArtifactsInput!$N$10+1,15,18,21,24,27,30)*(IF(Inputs!$B$38="pvp",MIN(15,15)/15,IF(AND(Inputs!$B$38&lt;&gt;"pvp",Inputs!$B$43&gt;0),MIN(15,Inputs!$B$43)/(Inputs!$B$43),0))),0)))&gt;=100),CHOOSE(ArtifactsInput!$N$42+1,40,48,56,64,72,80),0))))/100)*((1+(((C2342=TRUE)*F2342*5/7)+((C2349=TRUE)*(F2349-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2339)</f>
        <v/>
      </c>
      <c r="L2339">
        <f>K2339*(MIN(Inputs!$B$22+((C2347=TRUE)*(F2347-Calc!F22)),(Inputs!$B$23+0+(IF(ArtifactsInput!$M$15,CHOOSE(ArtifactsInput!$N$15+1,25,30,35,40,45,50)/100*(Inputs!$B$11-Inputs!$B$11),0))))/100+(Inputs!$B$23+0+(IF(ArtifactsInput!$M$15,CHOOSE(ArtifactsInput!$N$15+1,25,30,35,40,45,50)/100*(Inputs!$B$11-Inputs!$B$11),0)))/100)/2</f>
        <v/>
      </c>
      <c r="M2339">
        <f>L2339*(1+(Inputs!$B$10+((C2350=TRUE)*(F2350-Calc!F25))+B2361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39">
        <f>L2339*(1-MIN((Inputs!$B$9+((C2344=TRUE)*(F2344-Calc!F19))+B2356+(ArtifactsInput!$M$24-ArtifactsInput!$M$24)*CHOOSE(ArtifactsInput!$N$24+1,10,12,14,16,18,20)+(IF(AND(Inputs!$B$38&lt;&gt;"pvp",Inputs!$B$43=0),1,IF(IF(Inputs!$B$38="pvp",15,Inputs!$B$43)-(B2363)&lt;=0,1,MAX(0,IF(Inputs!$B$38="pvp",15,Inputs!$B$43)-MAX(5,B2363))/(IF(Inputs!$B$38="pvp",15,Inputs!$B$43)-(B2363))))*IF(AND(ArtifactsInput!$M$42,((Inputs!$B$9+((C2344=TRUE)*(F2344-Calc!F19))+B2356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2339*(MIN((Inputs!$B$9+((C2344=TRUE)*(F2344-Calc!F19))+B2356+(ArtifactsInput!$M$24-ArtifactsInput!$M$24)*CHOOSE(ArtifactsInput!$N$24+1,10,12,14,16,18,20)+(IF(AND(Inputs!$B$38&lt;&gt;"pvp",Inputs!$B$43=0),1,IF(IF(Inputs!$B$38="pvp",15,Inputs!$B$43)-(B2363)&lt;=0,1,MAX(0,IF(Inputs!$B$38="pvp",15,Inputs!$B$43)-MAX(5,B2363))/(IF(Inputs!$B$38="pvp",15,Inputs!$B$43)-(B2363))))*IF(AND(ArtifactsInput!$M$42,((Inputs!$B$9+((C2344=TRUE)*(F2344-Calc!F19))+B2356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39">
        <f>(1-Summary!$B$11)*T2339+Summary!$B$11*V2339</f>
        <v/>
      </c>
      <c r="P2339">
        <f>IF(B2366=0,0,O2339/B2366)</f>
        <v/>
      </c>
      <c r="Q2339" t="n">
        <v>0</v>
      </c>
      <c r="R2339" t="n">
        <v>0</v>
      </c>
      <c r="S2339">
        <f>IFERROR(O2339/N2339,0)</f>
        <v/>
      </c>
      <c r="T2339">
        <f>IF(C2339,((H2339*(B2360+IF(AND(Inputs!$B$38&lt;&gt;"pvp",Inputs!$B$43&gt;0),((Skills!G8*((R2333-1)*IF(Skills!H8&gt;0,INT(Skills!I8/Skills!H8+0.000000001),1)+IF(Skills!H8&gt;0,INT(MIN(Skills!I8,MAX(0,MAX(0,Inputs!$B$43-B2363)-((R2333-1)*((IF(Inputs!$B$38="pvp",15,MAX(0.1,Skills!D8-IF(TRUE=TRUE,Inputs!$B$32,0)))*(1-IF(AND(ArtifactsInput!$M$27,Inputs!$B$4="Chapter Hunt"),CHOOSE(ArtifactsInput!$N$27+1,20,24,28,32,36,40),0)/100))/B2367))))/Skills!H8+0.000000001),1)))/Inputs!$B$43),G2333*Q2333)+IF(AND(Inputs!$B$38&lt;&gt;"pvp",Inputs!$B$43&gt;0),((Skills!G11*((R2336-1)*IF(Skills!H11&gt;0,INT(Skills!I11/Skills!H11+0.000000001),1)+IF(Skills!H11&gt;0,INT(MIN(Skills!I11,MAX(0,MAX(0,Inputs!$B$43-B2363)-((R2336-1)*((IF(Inputs!$B$38="pvp",15,MAX(0.1,Skills!D11-IF(TRUE=TRUE,Inputs!$B$32,0)))*(1-IF(AND(ArtifactsInput!$M$27,Inputs!$B$4="Chapter Hunt"),CHOOSE(ArtifactsInput!$N$27+1,20,24,28,32,36,40),0)/100))/B2367))))/Skills!H11+0.000000001),1)))/Inputs!$B$43),G2336*Q2336)))/(1+Skills!H14*H2339*(B2360+IF(AND(Inputs!$B$38&lt;&gt;"pvp",Inputs!$B$43&gt;0),((Skills!G8*((R2333-1)*IF(Skills!H8&gt;0,INT(Skills!I8/Skills!H8+0.000000001),1)+IF(Skills!H8&gt;0,INT(MIN(Skills!I8,MAX(0,MAX(0,Inputs!$B$43-B2363)-((R2333-1)*((IF(Inputs!$B$38="pvp",15,MAX(0.1,Skills!D8-IF(TRUE=TRUE,Inputs!$B$32,0)))*(1-IF(AND(ArtifactsInput!$M$27,Inputs!$B$4="Chapter Hunt"),CHOOSE(ArtifactsInput!$N$27+1,20,24,28,32,36,40),0)/100))/B2367))))/Skills!H8+0.000000001),1)))/Inputs!$B$43),G2333*Q2333)+IF(AND(Inputs!$B$38&lt;&gt;"pvp",Inputs!$B$43&gt;0),((Skills!G11*((R2336-1)*IF(Skills!H11&gt;0,INT(Skills!I11/Skills!H11+0.000000001),1)+IF(Skills!H11&gt;0,INT(MIN(Skills!I11,MAX(0,MAX(0,Inputs!$B$43-B2363)-((R2336-1)*((IF(Inputs!$B$38="pvp",15,MAX(0.1,Skills!D11-IF(TRUE=TRUE,Inputs!$B$32,0)))*(1-IF(AND(ArtifactsInput!$M$27,Inputs!$B$4="Chapter Hunt"),CHOOSE(ArtifactsInput!$N$27+1,20,24,28,32,36,40),0)/100))/B2367))))/Skills!H11+0.000000001),1)))/Inputs!$B$43),G2336*Q2336)))*N2339)*IF(Inputs!$B$38="pvp",1,1+(Inputs!$B$20+0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Hunt"),CHOOSE(ArtifactsInput!$N$35+1,15,18,21,24,27,30)*(1-EXP(-(0.2*B2358)*5)),0)+IF(AND(ArtifactsInput!$M$22,Inputs!$B$4&lt;&gt;"Chapter Hunt"),CHOOSE(ArtifactsInput!$N$22+1,10,12,14,16,18,20)*((0*(((0.15*B2358*5))^0/1)+1*(((0.15*B2358*5))^1/1)+2*(((0.15*B2358*5))^2/2)+3*(((0.15*B2358*5))^3/6)+4*(((0.15*B2358*5))^4/24)+5*(((0.15*B2358*5))^5/120))/((((0.15*B2358*5))^0/1)+(((0.15*B2358*5))^1/1)+(((0.15*B2358*5))^2/2)+(((0.15*B2358*5))^3/6)+(((0.15*B2358*5))^4/24)+(((0.15*B2358*5))^5/120))),0))+IF(Inputs!$B$3&gt;=54,9*(C2328=TRUE)*MIN(1,8*(1+Inputs!$B$34/100)*Q2328)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2339*(1-MIN(100,(Inputs!$B$9+((C2344=TRUE)*(F2344-Calc!F19))+B2356+(ArtifactsInput!$M$24-ArtifactsInput!$M$24)*CHOOSE(ArtifactsInput!$N$24+1,10,12,14,16,18,20)+(IF(AND(Inputs!$B$38&lt;&gt;"pvp",Inputs!$B$43=0),1,IF(IF(Inputs!$B$38="pvp",15,Inputs!$B$43)-(B2363)&lt;=0,1,MAX(0,IF(Inputs!$B$38="pvp",15,Inputs!$B$43)-MAX(5,B2363))/(IF(Inputs!$B$38="pvp",15,Inputs!$B$43)-(B2363))))*IF(AND(ArtifactsInput!$M$42,((Inputs!$B$9+((C2344=TRUE)*(F2344-Calc!F19))+B2356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2339*(MIN(100,(Inputs!$B$9+((C2344=TRUE)*(F2344-Calc!F19))+B2356+(ArtifactsInput!$M$24-ArtifactsInput!$M$24)*CHOOSE(ArtifactsInput!$N$24+1,10,12,14,16,18,20)+(IF(AND(Inputs!$B$38&lt;&gt;"pvp",Inputs!$B$43=0),1,IF(IF(Inputs!$B$38="pvp",15,Inputs!$B$43)-(B2363)&lt;=0,1,MAX(0,IF(Inputs!$B$38="pvp",15,Inputs!$B$43)-MAX(5,B2363))/(IF(Inputs!$B$38="pvp",15,Inputs!$B$43)-(B2363))))*IF(AND(ArtifactsInput!$M$42,((Inputs!$B$9+((C2344=TRUE)*(F2344-Calc!F19))+B2356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2339*(1-MIN(100,(Inputs!$B$9+((C2344=TRUE)*(F2344-Calc!F19))+B2356+(ArtifactsInput!$M$24-ArtifactsInput!$M$24)*CHOOSE(ArtifactsInput!$N$24+1,10,12,14,16,18,20)+(IF(AND(Inputs!$B$38&lt;&gt;"pvp",Inputs!$B$43=0),1,IF(IF(Inputs!$B$38="pvp",15,Inputs!$B$43)-(B2363)&lt;=0,1,MAX(0,IF(Inputs!$B$38="pvp",15,Inputs!$B$43)-MAX(5,B2363))/(IF(Inputs!$B$38="pvp",15,Inputs!$B$43)-(B2363))))*IF(AND(ArtifactsInput!$M$42,((Inputs!$B$9+((C2344=TRUE)*(F2344-Calc!F19))+B2356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2339*(MIN(100,(Inputs!$B$9+((C2344=TRUE)*(F2344-Calc!F19))+B2356+(ArtifactsInput!$M$24-ArtifactsInput!$M$24)*CHOOSE(ArtifactsInput!$N$24+1,10,12,14,16,18,20)+(IF(AND(Inputs!$B$38&lt;&gt;"pvp",Inputs!$B$43=0),1,IF(IF(Inputs!$B$38="pvp",15,Inputs!$B$43)-(B2363)&lt;=0,1,MAX(0,IF(Inputs!$B$38="pvp",15,Inputs!$B$43)-MAX(5,B2363))/(IF(Inputs!$B$38="pvp",15,Inputs!$B$43)-(B2363))))*IF(AND(ArtifactsInput!$M$42,((Inputs!$B$9+((C2344=TRUE)*(F2344-Calc!F19))+B2356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339">
        <f>IF(C2339,((H2339*(B2360+IF(AND(Inputs!$B$38&lt;&gt;"pvp",Inputs!$B$43&gt;0),((Skills!G8*((R2333-1)*IF(Skills!H8&gt;0,INT(Skills!I8/Skills!H8+0.000000001),1)+IF(Skills!H8&gt;0,INT(MIN(Skills!I8,MAX(0,MAX(0,Inputs!$B$43-B2363)-((R2333-1)*((IF(Inputs!$B$38="pvp",15,MAX(0.1,Skills!D8-IF(TRUE=TRUE,Inputs!$B$32,0)))*(1-IF(AND(ArtifactsInput!$M$27,Inputs!$B$4="Chapter Hunt"),CHOOSE(ArtifactsInput!$N$27+1,20,24,28,32,36,40),0)/100))/B2367))))/Skills!H8+0.000000001),1)))/Inputs!$B$43),G2333*Q2333)+IF(AND(Inputs!$B$38&lt;&gt;"pvp",Inputs!$B$43&gt;0),((Skills!G11*((R2336-1)*IF(Skills!H11&gt;0,INT(Skills!I11/Skills!H11+0.000000001),1)+IF(Skills!H11&gt;0,INT(MIN(Skills!I11,MAX(0,MAX(0,Inputs!$B$43-B2363)-((R2336-1)*((IF(Inputs!$B$38="pvp",15,MAX(0.1,Skills!D11-IF(TRUE=TRUE,Inputs!$B$32,0)))*(1-IF(AND(ArtifactsInput!$M$27,Inputs!$B$4="Chapter Hunt"),CHOOSE(ArtifactsInput!$N$27+1,20,24,28,32,36,40),0)/100))/B2367))))/Skills!H11+0.000000001),1)))/Inputs!$B$43),G2336*Q2336)))/(1+Skills!H14*H2339*(B2360+IF(AND(Inputs!$B$38&lt;&gt;"pvp",Inputs!$B$43&gt;0),((Skills!G8*((R2333-1)*IF(Skills!H8&gt;0,INT(Skills!I8/Skills!H8+0.000000001),1)+IF(Skills!H8&gt;0,INT(MIN(Skills!I8,MAX(0,MAX(0,Inputs!$B$43-B2363)-((R2333-1)*((IF(Inputs!$B$38="pvp",15,MAX(0.1,Skills!D8-IF(TRUE=TRUE,Inputs!$B$32,0)))*(1-IF(AND(ArtifactsInput!$M$27,Inputs!$B$4="Chapter Hunt"),CHOOSE(ArtifactsInput!$N$27+1,20,24,28,32,36,40),0)/100))/B2367))))/Skills!H8+0.000000001),1)))/Inputs!$B$43),G2333*Q2333)+IF(AND(Inputs!$B$38&lt;&gt;"pvp",Inputs!$B$43&gt;0),((Skills!G11*((R2336-1)*IF(Skills!H11&gt;0,INT(Skills!I11/Skills!H11+0.000000001),1)+IF(Skills!H11&gt;0,INT(MIN(Skills!I11,MAX(0,MAX(0,Inputs!$B$43-B2363)-((R2336-1)*((IF(Inputs!$B$38="pvp",15,MAX(0.1,Skills!D11-IF(TRUE=TRUE,Inputs!$B$32,0)))*(1-IF(AND(ArtifactsInput!$M$27,Inputs!$B$4="Chapter Hunt"),CHOOSE(ArtifactsInput!$N$27+1,20,24,28,32,36,40),0)/100))/B2367))))/Skills!H11+0.000000001),1)))/Inputs!$B$43),G2336*Q2336)))*N2339)*IF(Inputs!$B$38="pvp",1,(1+(Inputs!$B$21+Skills!Q14+(IF(ArtifactsInput!$M$33,CHOOSE(ArtifactsInput!$N$33+1,30,36,42,48,54,60),0))+(IF(AND(ArtifactsInput!$M$35,Inputs!$B$4&lt;&gt;"Chapter Hunt"),CHOOSE(ArtifactsInput!$N$35+1,15,18,21,24,27,30)*(1-EXP(-(0.2*B2358)*5)),0)+IF(AND(ArtifactsInput!$M$22,Inputs!$B$4&lt;&gt;"Chapter Hunt"),CHOOSE(ArtifactsInput!$N$22+1,10,12,14,16,18,20)*((0*(((0.15*B2358*5))^0/1)+1*(((0.15*B2358*5))^1/1)+2*(((0.15*B2358*5))^2/2)+3*(((0.15*B2358*5))^3/6)+4*(((0.15*B2358*5))^4/24)+5*(((0.15*B2358*5))^5/120))/((((0.15*B2358*5))^0/1)+(((0.15*B2358*5))^1/1)+(((0.15*B2358*5))^2/2)+(((0.15*B2358*5))^3/6)+(((0.15*B2358*5))^4/24)+(((0.15*B2358*5))^5/120))),0))+IF(Inputs!$B$3&gt;=54,9*(C2328=TRUE)*MIN(1,8*(1+Inputs!$B$34/100)*Q2328),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40">
      <c r="A2340">
        <f>Skills!A15</f>
        <v/>
      </c>
      <c r="B2340">
        <f>Skills!B15</f>
        <v/>
      </c>
      <c r="C2340">
        <f>Inputs!$B$3&gt;=100</f>
        <v/>
      </c>
      <c r="D2340">
        <f>IF(Skills!C15=1,60+Inputs!$B$25+Inputs!$B$29,IF(Skills!C15=2,90+Inputs!$B$26+Inputs!$B$29,IF(Skills!C15=3,120+Inputs!$B$27+Inputs!$B$29,MAX(0,(Inputs!$B$3-100)*3)+Inputs!$B$28+Inputs!$B$29)))</f>
        <v/>
      </c>
      <c r="E2340">
        <f>INDEX(FactorTable!$B$2:$Y$301, MATCH(ROUND(MIN(300,MAX(1,D2340)),0), FactorTable!$A$2:$A$301,0), Skills!M15+1)</f>
        <v/>
      </c>
      <c r="F2340">
        <f>IF(Skills!N15=TRUE,(Skills!L15/10)*(E2340/1000),Skills!L15/10)+Skills!O15</f>
        <v/>
      </c>
      <c r="G2340" t="inlineStr"/>
      <c r="H2340" t="inlineStr"/>
      <c r="I2340" t="inlineStr">
        <is>
          <t>1</t>
        </is>
      </c>
      <c r="J2340" t="inlineStr"/>
      <c r="K2340" t="inlineStr"/>
      <c r="L2340" t="inlineStr"/>
      <c r="M2340" t="inlineStr"/>
      <c r="N2340" t="inlineStr"/>
      <c r="O2340" t="inlineStr"/>
      <c r="P2340" t="inlineStr"/>
      <c r="Q2340" t="inlineStr"/>
      <c r="R2340" t="inlineStr"/>
      <c r="S2340" t="inlineStr"/>
    </row>
    <row r="2341">
      <c r="A2341">
        <f>Skills!A16</f>
        <v/>
      </c>
      <c r="B2341">
        <f>Skills!B16</f>
        <v/>
      </c>
      <c r="C2341">
        <f>Inputs!$B$3&gt;=107</f>
        <v/>
      </c>
      <c r="D2341">
        <f>IF(Skills!C16=1,60+Inputs!$B$25+Inputs!$B$29,IF(Skills!C16=2,90+Inputs!$B$26+Inputs!$B$29,IF(Skills!C16=3,120+Inputs!$B$27+Inputs!$B$29,MAX(0,(Inputs!$B$3-100)*3)+Inputs!$B$28+Inputs!$B$29)))</f>
        <v/>
      </c>
      <c r="E2341">
        <f>INDEX(FactorTable!$B$2:$Y$301, MATCH(ROUND(MIN(300,MAX(1,D2341)),0), FactorTable!$A$2:$A$301,0), Skills!M16+1)</f>
        <v/>
      </c>
      <c r="F2341">
        <f>IF(Skills!N16=TRUE,(Skills!L16/10)*(E2341/1000),Skills!L16/10)+Skills!O16</f>
        <v/>
      </c>
      <c r="G2341" t="inlineStr"/>
      <c r="H2341" t="inlineStr"/>
      <c r="I2341" t="inlineStr">
        <is>
          <t>1</t>
        </is>
      </c>
      <c r="J2341" t="inlineStr"/>
      <c r="K2341" t="inlineStr"/>
      <c r="L2341" t="inlineStr"/>
      <c r="M2341" t="inlineStr"/>
      <c r="N2341" t="inlineStr"/>
      <c r="O2341" t="inlineStr"/>
      <c r="P2341" t="inlineStr"/>
      <c r="Q2341" t="inlineStr"/>
      <c r="R2341" t="inlineStr"/>
      <c r="S2341" t="inlineStr"/>
    </row>
    <row r="2342">
      <c r="A2342">
        <f>Skills!A17</f>
        <v/>
      </c>
      <c r="B2342">
        <f>Skills!B17</f>
        <v/>
      </c>
      <c r="C2342">
        <f>Inputs!$B$3&gt;=74</f>
        <v/>
      </c>
      <c r="D2342">
        <f>IF(Skills!C17=1,60+Inputs!$B$25+Inputs!$B$29,IF(Skills!C17=2,90+Inputs!$B$26+Inputs!$B$29,IF(Skills!C17=3,120+Inputs!$B$27+Inputs!$B$29,MAX(0,(Inputs!$B$3-100)*3)+Inputs!$B$28+Inputs!$B$29)))</f>
        <v/>
      </c>
      <c r="E2342">
        <f>INDEX(FactorTable!$B$2:$Y$301, MATCH(ROUND(MIN(300,MAX(1,D2342)),0), FactorTable!$A$2:$A$301,0), Skills!M17+1)</f>
        <v/>
      </c>
      <c r="F2342">
        <f>IF(Skills!N17=TRUE,(Skills!L17/10)*(E2342/1000),Skills!L17/10)+Skills!O17</f>
        <v/>
      </c>
      <c r="G2342">
        <f>Skills!G17*IF(Skills!H17&gt;0,INT(IF(Inputs!$B$38="pvp",MIN(Skills!I17,15),Skills!I17)/Skills!H17+0.000000001),1)</f>
        <v/>
      </c>
      <c r="H2342">
        <f>1-(1-Skills!J17/100)^Skills!K17</f>
        <v/>
      </c>
      <c r="I2342" t="inlineStr">
        <is>
          <t>1</t>
        </is>
      </c>
      <c r="J2342" t="inlineStr"/>
      <c r="K2342" t="inlineStr"/>
      <c r="L2342" t="inlineStr"/>
      <c r="M2342" t="inlineStr"/>
      <c r="N2342" t="inlineStr"/>
      <c r="O2342">
        <f>(1-Summary!$B$11)*T2342+Summary!$B$11*V2342</f>
        <v/>
      </c>
      <c r="P2342">
        <f>IF(B2366=0,0,O2342/B2366)</f>
        <v/>
      </c>
      <c r="Q2342" t="n">
        <v>0</v>
      </c>
      <c r="R2342" t="n">
        <v>0</v>
      </c>
      <c r="S2342">
        <f>IFERROR(O2342/N2342,0)</f>
        <v/>
      </c>
      <c r="T2342" t="n">
        <v>0</v>
      </c>
      <c r="V2342" t="n">
        <v>0</v>
      </c>
    </row>
    <row r="2343">
      <c r="A2343">
        <f>Skills!A18</f>
        <v/>
      </c>
      <c r="B2343">
        <f>Skills!B18</f>
        <v/>
      </c>
      <c r="C2343">
        <f>Inputs!$B$3&gt;=115</f>
        <v/>
      </c>
      <c r="D2343">
        <f>IF(Skills!C18=1,60+Inputs!$B$25+Inputs!$B$29,IF(Skills!C18=2,90+Inputs!$B$26+Inputs!$B$29,IF(Skills!C18=3,120+Inputs!$B$27+Inputs!$B$29,MAX(0,(Inputs!$B$3-100)*3)+Inputs!$B$28+Inputs!$B$29)))</f>
        <v/>
      </c>
      <c r="E2343">
        <f>INDEX(FactorTable!$B$2:$Y$301, MATCH(ROUND(MIN(300,MAX(1,D2343)),0), FactorTable!$A$2:$A$301,0), Skills!M18+1)</f>
        <v/>
      </c>
      <c r="F2343">
        <f>IF(Skills!N18=TRUE,(Skills!L18/10)*(E2343/1000),Skills!L18/10)+Skills!O18</f>
        <v/>
      </c>
      <c r="G2343">
        <f>Skills!G18*IF(Skills!H18&gt;0,INT(IF(Inputs!$B$38="pvp",MIN(Skills!I18,15),Skills!I18)/Skills!H18+0.000000001),1)</f>
        <v/>
      </c>
      <c r="H2343">
        <f>1-(1-Skills!J18/100)^Skills!K18</f>
        <v/>
      </c>
      <c r="I2343" t="inlineStr">
        <is>
          <t>1</t>
        </is>
      </c>
      <c r="J2343" t="inlineStr"/>
      <c r="K2343" t="inlineStr"/>
      <c r="L2343" t="inlineStr"/>
      <c r="M2343" t="inlineStr"/>
      <c r="N2343" t="inlineStr"/>
      <c r="O2343">
        <f>(1-Summary!$B$11)*T2343+Summary!$B$11*V2343</f>
        <v/>
      </c>
      <c r="P2343">
        <f>IF(B2366=0,0,O2343/B2366)</f>
        <v/>
      </c>
      <c r="Q2343">
        <f>IFERROR(1/(IF(Inputs!$B$38="pvp",15,MAX(0.1,Skills!D18-IF(TRUE=TRUE,Inputs!$B$32,0)))*(1-IF(AND(ArtifactsInput!$M$27,Inputs!$B$4="Chapter Hunt"),CHOOSE(ArtifactsInput!$N$27+1,20,24,28,32,36,40),0)/100)),0)</f>
        <v/>
      </c>
      <c r="R2343">
        <f>IF(AND(Inputs!$B$38&lt;&gt;"pvp",Inputs!$B$43&gt;0),IF(Inputs!$B$43&lt;=0,0,(INT(Inputs!$B$43/(IF(Inputs!$B$38="pvp",15,MAX(0.1,Skills!D18-IF(TRUE=TRUE,Inputs!$B$32,0)))*(1-IF(AND(ArtifactsInput!$M$27,Inputs!$B$4="Chapter Hunt"),CHOOSE(ArtifactsInput!$N$27+1,20,24,28,32,36,40),0)/100)))+1)),0)</f>
        <v/>
      </c>
      <c r="S2343">
        <f>IFERROR(O2343/N2343,0)</f>
        <v/>
      </c>
      <c r="T2343" t="n">
        <v>0</v>
      </c>
      <c r="V2343" t="n">
        <v>0</v>
      </c>
    </row>
    <row r="2344">
      <c r="A2344">
        <f>Skills!A19</f>
        <v/>
      </c>
      <c r="B2344">
        <f>Skills!B19</f>
        <v/>
      </c>
      <c r="C2344">
        <f>Inputs!$B$3&gt;=10</f>
        <v/>
      </c>
      <c r="D2344">
        <f>IF(Skills!C19=1,60+Inputs!$B$25+Inputs!$B$29,IF(Skills!C19=2,90+Inputs!$B$26+Inputs!$B$29,IF(Skills!C19=3,120+Inputs!$B$27+Inputs!$B$29,MAX(0,(Inputs!$B$3-100)*3)+Inputs!$B$28+Inputs!$B$29)))</f>
        <v/>
      </c>
      <c r="E2344">
        <f>INDEX(FactorTable!$B$2:$Y$301, MATCH(ROUND(MIN(300,MAX(1,D2344)),0), FactorTable!$A$2:$A$301,0), Skills!M19+1)</f>
        <v/>
      </c>
      <c r="F2344">
        <f>IF(Skills!N19=TRUE,(Skills!L19/10)*(E2344/1000),Skills!L19/10)+Skills!O19</f>
        <v/>
      </c>
      <c r="G2344">
        <f>Skills!G19*IF(Skills!H19&gt;0,INT(IF(Inputs!$B$38="pvp",MIN(Skills!I19,15),Skills!I19)/Skills!H19+0.000000001),1)</f>
        <v/>
      </c>
      <c r="H2344">
        <f>1-(1-Skills!J19/100)^Skills!K19</f>
        <v/>
      </c>
      <c r="I2344" t="inlineStr">
        <is>
          <t>1</t>
        </is>
      </c>
      <c r="J2344" t="inlineStr"/>
      <c r="K2344" t="inlineStr"/>
      <c r="L2344" t="inlineStr"/>
      <c r="M2344" t="inlineStr"/>
      <c r="N2344" t="inlineStr"/>
      <c r="O2344">
        <f>(1-Summary!$B$11)*T2344+Summary!$B$11*V2344</f>
        <v/>
      </c>
      <c r="P2344">
        <f>IF(B2366=0,0,O2344/B2366)</f>
        <v/>
      </c>
      <c r="Q2344" t="n">
        <v>0</v>
      </c>
      <c r="R2344" t="n">
        <v>0</v>
      </c>
      <c r="S2344">
        <f>IFERROR(O2344/N2344,0)</f>
        <v/>
      </c>
      <c r="T2344" t="n">
        <v>0</v>
      </c>
      <c r="V2344" t="n">
        <v>0</v>
      </c>
    </row>
    <row r="2345">
      <c r="A2345">
        <f>Skills!A20</f>
        <v/>
      </c>
      <c r="B2345">
        <f>Skills!B20</f>
        <v/>
      </c>
      <c r="C2345">
        <f>Inputs!$B$3&gt;=15</f>
        <v/>
      </c>
      <c r="D2345">
        <f>IF(Skills!C20=1,60+Inputs!$B$25+Inputs!$B$29,IF(Skills!C20=2,90+Inputs!$B$26+Inputs!$B$29,IF(Skills!C20=3,120+Inputs!$B$27+Inputs!$B$29,MAX(0,(Inputs!$B$3-100)*3)+Inputs!$B$28+Inputs!$B$29)))</f>
        <v/>
      </c>
      <c r="E2345">
        <f>INDEX(FactorTable!$B$2:$Y$301, MATCH(ROUND(MIN(300,MAX(1,D2345)),0), FactorTable!$A$2:$A$301,0), Skills!M20+1)</f>
        <v/>
      </c>
      <c r="F2345">
        <f>IF(Skills!N20=TRUE,(Skills!L20/10)*(E2345/1000),Skills!L20/10)+Skills!O20</f>
        <v/>
      </c>
      <c r="G2345">
        <f>Skills!G20*IF(Skills!H20&gt;0,INT(IF(Inputs!$B$38="pvp",MIN(Skills!I20,15),Skills!I20)/Skills!H20+0.000000001),1)</f>
        <v/>
      </c>
      <c r="H2345">
        <f>1-(1-Skills!J20/100)^Skills!K20</f>
        <v/>
      </c>
      <c r="I2345" t="inlineStr">
        <is>
          <t>1</t>
        </is>
      </c>
      <c r="J2345" t="inlineStr"/>
      <c r="K2345" t="inlineStr"/>
      <c r="L2345" t="inlineStr"/>
      <c r="M2345" t="inlineStr"/>
      <c r="N2345" t="inlineStr"/>
      <c r="O2345">
        <f>(1-Summary!$B$11)*T2345+Summary!$B$11*V2345</f>
        <v/>
      </c>
      <c r="P2345">
        <f>IF(B2366=0,0,O2345/B2366)</f>
        <v/>
      </c>
      <c r="Q2345" t="n">
        <v>0</v>
      </c>
      <c r="R2345" t="n">
        <v>0</v>
      </c>
      <c r="S2345">
        <f>IFERROR(O2345/N2345,0)</f>
        <v/>
      </c>
      <c r="T2345" t="n">
        <v>0</v>
      </c>
      <c r="V2345" t="n">
        <v>0</v>
      </c>
    </row>
    <row r="2346">
      <c r="A2346">
        <f>Skills!A21</f>
        <v/>
      </c>
      <c r="B2346">
        <f>Skills!B21</f>
        <v/>
      </c>
      <c r="C2346">
        <f>Inputs!$B$3&gt;=40</f>
        <v/>
      </c>
      <c r="D2346">
        <f>IF(Skills!C21=1,60+Inputs!$B$25+Inputs!$B$29,IF(Skills!C21=2,90+Inputs!$B$26+Inputs!$B$29,IF(Skills!C21=3,120+Inputs!$B$27+Inputs!$B$29,MAX(0,(Inputs!$B$3-100)*3)+Inputs!$B$28+Inputs!$B$29)))</f>
        <v/>
      </c>
      <c r="E2346">
        <f>INDEX(FactorTable!$B$2:$Y$301, MATCH(ROUND(MIN(300,MAX(1,D2346)),0), FactorTable!$A$2:$A$301,0), Skills!M21+1)</f>
        <v/>
      </c>
      <c r="F2346">
        <f>IF(Skills!N21=TRUE,(Skills!L21/10)*(E2346/1000),Skills!L21/10)+Skills!O21</f>
        <v/>
      </c>
      <c r="G2346">
        <f>Skills!G21*IF(Skills!H21&gt;0,INT(IF(Inputs!$B$38="pvp",MIN(Skills!I21,15),Skills!I21)/Skills!H21+0.000000001),1)</f>
        <v/>
      </c>
      <c r="H2346">
        <f>1-(1-Skills!J21/100)^Skills!K21</f>
        <v/>
      </c>
      <c r="I2346" t="inlineStr">
        <is>
          <t>1</t>
        </is>
      </c>
      <c r="J2346" t="inlineStr"/>
      <c r="K2346" t="inlineStr"/>
      <c r="L2346" t="inlineStr"/>
      <c r="M2346" t="inlineStr"/>
      <c r="N2346" t="inlineStr"/>
      <c r="O2346">
        <f>(1-Summary!$B$11)*T2346+Summary!$B$11*V2346</f>
        <v/>
      </c>
      <c r="P2346">
        <f>IF(B2366=0,0,O2346/B2366)</f>
        <v/>
      </c>
      <c r="Q2346" t="n">
        <v>0</v>
      </c>
      <c r="R2346" t="n">
        <v>0</v>
      </c>
      <c r="S2346">
        <f>IFERROR(O2346/N2346,0)</f>
        <v/>
      </c>
      <c r="T2346" t="n">
        <v>0</v>
      </c>
      <c r="V2346" t="n">
        <v>0</v>
      </c>
    </row>
    <row r="2347">
      <c r="A2347">
        <f>Skills!A22</f>
        <v/>
      </c>
      <c r="B2347">
        <f>Skills!B22</f>
        <v/>
      </c>
      <c r="C2347">
        <f>Inputs!$B$3&gt;=43</f>
        <v/>
      </c>
      <c r="D2347">
        <f>IF(Skills!C22=1,60+Inputs!$B$25+Inputs!$B$29,IF(Skills!C22=2,90+Inputs!$B$26+Inputs!$B$29,IF(Skills!C22=3,120+Inputs!$B$27+Inputs!$B$29,MAX(0,(Inputs!$B$3-100)*3)+Inputs!$B$28+Inputs!$B$29)))</f>
        <v/>
      </c>
      <c r="E2347">
        <f>INDEX(FactorTable!$B$2:$Y$301, MATCH(ROUND(MIN(300,MAX(1,D2347)),0), FactorTable!$A$2:$A$301,0), Skills!M22+1)</f>
        <v/>
      </c>
      <c r="F2347">
        <f>IF(Skills!N22=TRUE,(Skills!L22/10)*(E2347/1000),Skills!L22/10)+Skills!O22</f>
        <v/>
      </c>
      <c r="G2347">
        <f>Skills!G22*IF(Skills!H22&gt;0,INT(IF(Inputs!$B$38="pvp",MIN(Skills!I22,15),Skills!I22)/Skills!H22+0.000000001),1)</f>
        <v/>
      </c>
      <c r="H2347">
        <f>1-(1-Skills!J22/100)^Skills!K22</f>
        <v/>
      </c>
      <c r="I2347" t="inlineStr">
        <is>
          <t>1</t>
        </is>
      </c>
      <c r="J2347" t="inlineStr"/>
      <c r="K2347" t="inlineStr"/>
      <c r="L2347" t="inlineStr"/>
      <c r="M2347" t="inlineStr"/>
      <c r="N2347" t="inlineStr"/>
      <c r="O2347">
        <f>(1-Summary!$B$11)*T2347+Summary!$B$11*V2347</f>
        <v/>
      </c>
      <c r="P2347">
        <f>IF(B2366=0,0,O2347/B2366)</f>
        <v/>
      </c>
      <c r="Q2347" t="n">
        <v>0</v>
      </c>
      <c r="R2347" t="n">
        <v>0</v>
      </c>
      <c r="S2347">
        <f>IFERROR(O2347/N2347,0)</f>
        <v/>
      </c>
      <c r="T2347" t="n">
        <v>0</v>
      </c>
      <c r="V2347" t="n">
        <v>0</v>
      </c>
    </row>
    <row r="2348">
      <c r="A2348">
        <f>Skills!A23</f>
        <v/>
      </c>
      <c r="B2348">
        <f>Skills!B23</f>
        <v/>
      </c>
      <c r="C2348">
        <f>Inputs!$B$3&gt;=38</f>
        <v/>
      </c>
      <c r="D2348">
        <f>IF(Skills!C23=1,60+Inputs!$B$25+Inputs!$B$29,IF(Skills!C23=2,90+Inputs!$B$26+Inputs!$B$29,IF(Skills!C23=3,120+Inputs!$B$27+Inputs!$B$29,MAX(0,(Inputs!$B$3-100)*3)+Inputs!$B$28+Inputs!$B$29)))</f>
        <v/>
      </c>
      <c r="E2348">
        <f>INDEX(FactorTable!$B$2:$Y$301, MATCH(ROUND(MIN(300,MAX(1,D2348)),0), FactorTable!$A$2:$A$301,0), Skills!M23+1)</f>
        <v/>
      </c>
      <c r="F2348">
        <f>IF(Skills!N23=TRUE,(Skills!L23/10)*(E2348/1000),Skills!L23/10)+Skills!O23</f>
        <v/>
      </c>
      <c r="G2348">
        <f>Skills!G23*IF(Skills!H23&gt;0,INT(IF(Inputs!$B$38="pvp",MIN(Skills!I23,15),Skills!I23)/Skills!H23+0.000000001),1)</f>
        <v/>
      </c>
      <c r="H2348">
        <f>1-(1-Skills!J23/100)^Skills!K23</f>
        <v/>
      </c>
      <c r="I2348" t="inlineStr">
        <is>
          <t>1</t>
        </is>
      </c>
      <c r="J2348" t="inlineStr"/>
      <c r="K2348" t="inlineStr"/>
      <c r="L2348" t="inlineStr"/>
      <c r="M2348" t="inlineStr"/>
      <c r="N2348" t="inlineStr"/>
      <c r="O2348">
        <f>(1-Summary!$B$11)*T2348+Summary!$B$11*V2348</f>
        <v/>
      </c>
      <c r="P2348">
        <f>IF(B2366=0,0,O2348/B2366)</f>
        <v/>
      </c>
      <c r="Q2348" t="n">
        <v>0</v>
      </c>
      <c r="R2348" t="n">
        <v>0</v>
      </c>
      <c r="S2348">
        <f>IFERROR(O2348/N2348,0)</f>
        <v/>
      </c>
      <c r="T2348" t="n">
        <v>0</v>
      </c>
      <c r="V2348" t="n">
        <v>0</v>
      </c>
    </row>
    <row r="2349">
      <c r="A2349">
        <f>Skills!A24</f>
        <v/>
      </c>
      <c r="B2349">
        <f>Skills!B24</f>
        <v/>
      </c>
      <c r="C2349">
        <f>Inputs!$B$3&gt;=45</f>
        <v/>
      </c>
      <c r="D2349">
        <f>IF(Skills!C24=1,60+Inputs!$B$25+Inputs!$B$29,IF(Skills!C24=2,90+Inputs!$B$26+Inputs!$B$29,IF(Skills!C24=3,120+Inputs!$B$27+Inputs!$B$29,MAX(0,(Inputs!$B$3-100)*3)+Inputs!$B$28+Inputs!$B$29)))</f>
        <v/>
      </c>
      <c r="E2349">
        <f>INDEX(FactorTable!$B$2:$Y$301, MATCH(ROUND(MIN(300,MAX(1,D2349)),0), FactorTable!$A$2:$A$301,0), Skills!M24+1)</f>
        <v/>
      </c>
      <c r="F2349">
        <f>IF(Skills!N24=TRUE,(Skills!L24/10)*(E2349/1000),Skills!L24/10)+Skills!O24</f>
        <v/>
      </c>
      <c r="G2349">
        <f>Skills!G24*IF(Skills!H24&gt;0,INT(IF(Inputs!$B$38="pvp",MIN(Skills!I24,15),Skills!I24)/Skills!H24+0.000000001),1)</f>
        <v/>
      </c>
      <c r="H2349">
        <f>1-(1-Skills!J24/100)^Skills!K24</f>
        <v/>
      </c>
      <c r="I2349" t="inlineStr">
        <is>
          <t>1</t>
        </is>
      </c>
      <c r="J2349" t="inlineStr"/>
      <c r="K2349" t="inlineStr"/>
      <c r="L2349" t="inlineStr"/>
      <c r="M2349" t="inlineStr"/>
      <c r="N2349" t="inlineStr"/>
      <c r="O2349">
        <f>(1-Summary!$B$11)*T2349+Summary!$B$11*V2349</f>
        <v/>
      </c>
      <c r="P2349">
        <f>IF(B2366=0,0,O2349/B2366)</f>
        <v/>
      </c>
      <c r="Q2349" t="n">
        <v>0</v>
      </c>
      <c r="R2349" t="n">
        <v>0</v>
      </c>
      <c r="S2349">
        <f>IFERROR(O2349/N2349,0)</f>
        <v/>
      </c>
      <c r="T2349" t="n">
        <v>0</v>
      </c>
      <c r="V2349" t="n">
        <v>0</v>
      </c>
    </row>
    <row r="2350">
      <c r="A2350">
        <f>Skills!A25</f>
        <v/>
      </c>
      <c r="B2350">
        <f>Skills!B25</f>
        <v/>
      </c>
      <c r="C2350">
        <f>Inputs!$B$3&gt;=72</f>
        <v/>
      </c>
      <c r="D2350">
        <f>IF(Skills!C25=1,60+Inputs!$B$25+Inputs!$B$29,IF(Skills!C25=2,90+Inputs!$B$26+Inputs!$B$29,IF(Skills!C25=3,120+Inputs!$B$27+Inputs!$B$29,MAX(0,(Inputs!$B$3-100)*3)+Inputs!$B$28+Inputs!$B$29)))</f>
        <v/>
      </c>
      <c r="E2350">
        <f>INDEX(FactorTable!$B$2:$Y$301, MATCH(ROUND(MIN(300,MAX(1,D2350)),0), FactorTable!$A$2:$A$301,0), Skills!M25+1)</f>
        <v/>
      </c>
      <c r="F2350">
        <f>IF(Skills!N25=TRUE,(Skills!L25/10)*(E2350/1000),Skills!L25/10)+Skills!O25</f>
        <v/>
      </c>
      <c r="G2350">
        <f>Skills!G25*IF(Skills!H25&gt;0,INT(IF(Inputs!$B$38="pvp",MIN(Skills!I25,15),Skills!I25)/Skills!H25+0.000000001),1)</f>
        <v/>
      </c>
      <c r="H2350">
        <f>1-(1-Skills!J25/100)^Skills!K25</f>
        <v/>
      </c>
      <c r="I2350" t="inlineStr">
        <is>
          <t>1</t>
        </is>
      </c>
      <c r="J2350" t="inlineStr"/>
      <c r="K2350" t="inlineStr"/>
      <c r="L2350" t="inlineStr"/>
      <c r="M2350" t="inlineStr"/>
      <c r="N2350" t="inlineStr"/>
      <c r="O2350">
        <f>(1-Summary!$B$11)*T2350+Summary!$B$11*V2350</f>
        <v/>
      </c>
      <c r="P2350">
        <f>IF(B2366=0,0,O2350/B2366)</f>
        <v/>
      </c>
      <c r="Q2350" t="n">
        <v>0</v>
      </c>
      <c r="R2350" t="n">
        <v>0</v>
      </c>
      <c r="S2350">
        <f>IFERROR(O2350/N2350,0)</f>
        <v/>
      </c>
      <c r="T2350" t="n">
        <v>0</v>
      </c>
      <c r="V2350" t="n">
        <v>0</v>
      </c>
    </row>
    <row r="2351">
      <c r="A2351">
        <f>Skills!A26</f>
        <v/>
      </c>
      <c r="B2351">
        <f>Skills!B26</f>
        <v/>
      </c>
      <c r="C2351">
        <f>Inputs!$B$3&gt;=75</f>
        <v/>
      </c>
      <c r="D2351">
        <f>IF(Skills!C26=1,60+Inputs!$B$25+Inputs!$B$29,IF(Skills!C26=2,90+Inputs!$B$26+Inputs!$B$29,IF(Skills!C26=3,120+Inputs!$B$27+Inputs!$B$29,MAX(0,(Inputs!$B$3-100)*3)+Inputs!$B$28+Inputs!$B$29)))</f>
        <v/>
      </c>
      <c r="E2351">
        <f>INDEX(FactorTable!$B$2:$Y$301, MATCH(ROUND(MIN(300,MAX(1,D2351)),0), FactorTable!$A$2:$A$301,0), Skills!M26+1)</f>
        <v/>
      </c>
      <c r="F2351">
        <f>IF(Skills!N26=TRUE,(Skills!L26/10)*(E2351/1000),Skills!L26/10)+Skills!O26</f>
        <v/>
      </c>
      <c r="G2351">
        <f>Skills!G26*IF(Skills!H26&gt;0,INT(IF(Inputs!$B$38="pvp",MIN(Skills!I26,15),Skills!I26)/Skills!H26+0.000000001),1)</f>
        <v/>
      </c>
      <c r="H2351">
        <f>1-(1-Skills!J26/100)^Skills!K26</f>
        <v/>
      </c>
      <c r="I2351" t="inlineStr">
        <is>
          <t>1</t>
        </is>
      </c>
      <c r="J2351" t="inlineStr"/>
      <c r="K2351" t="inlineStr"/>
      <c r="L2351" t="inlineStr"/>
      <c r="M2351" t="inlineStr"/>
      <c r="N2351" t="inlineStr"/>
      <c r="O2351">
        <f>(1-Summary!$B$11)*T2351+Summary!$B$11*V2351</f>
        <v/>
      </c>
      <c r="P2351">
        <f>IF(B2366=0,0,O2351/B2366)</f>
        <v/>
      </c>
      <c r="Q2351" t="n">
        <v>0</v>
      </c>
      <c r="R2351" t="n">
        <v>0</v>
      </c>
      <c r="S2351">
        <f>IFERROR(O2351/N2351,0)</f>
        <v/>
      </c>
      <c r="T2351" t="n">
        <v>0</v>
      </c>
      <c r="V2351" t="n">
        <v>0</v>
      </c>
    </row>
    <row r="2352">
      <c r="A2352">
        <f>Skills!A27</f>
        <v/>
      </c>
      <c r="B2352">
        <f>Skills!B27</f>
        <v/>
      </c>
      <c r="C2352">
        <f>Inputs!$B$3&gt;=125</f>
        <v/>
      </c>
      <c r="D2352">
        <f>IF(Skills!C27=1,60+Inputs!$B$25+Inputs!$B$29,IF(Skills!C27=2,90+Inputs!$B$26+Inputs!$B$29,IF(Skills!C27=3,120+Inputs!$B$27+Inputs!$B$29,MAX(0,(Inputs!$B$3-100)*3)+Inputs!$B$28+Inputs!$B$29)))</f>
        <v/>
      </c>
      <c r="E2352">
        <f>INDEX(FactorTable!$B$2:$Y$301, MATCH(ROUND(MIN(300,MAX(1,D2352)),0), FactorTable!$A$2:$A$301,0), Skills!M27+1)</f>
        <v/>
      </c>
      <c r="F2352">
        <f>IF(Skills!N27=TRUE,(Skills!L27/10)*(E2352/1000),Skills!L27/10)+Skills!O27</f>
        <v/>
      </c>
      <c r="G2352">
        <f>Skills!G27*IF(Skills!H27&gt;0,INT(IF(Inputs!$B$38="pvp",MIN(Skills!I27,15),Skills!I27)/Skills!H27+0.000000001),1)</f>
        <v/>
      </c>
      <c r="H2352">
        <f>1-(1-Skills!J27/100)^Skills!K27</f>
        <v/>
      </c>
      <c r="I2352" t="inlineStr">
        <is>
          <t>1</t>
        </is>
      </c>
      <c r="J2352" t="inlineStr"/>
      <c r="K2352" t="inlineStr"/>
      <c r="L2352" t="inlineStr"/>
      <c r="M2352" t="inlineStr"/>
      <c r="N2352" t="inlineStr"/>
      <c r="O2352">
        <f>(1-Summary!$B$11)*T2352+Summary!$B$11*V2352</f>
        <v/>
      </c>
      <c r="P2352">
        <f>IF(B2366=0,0,O2352/B2366)</f>
        <v/>
      </c>
      <c r="Q2352" t="n">
        <v>0</v>
      </c>
      <c r="R2352" t="n">
        <v>0</v>
      </c>
      <c r="S2352">
        <f>IFERROR(O2352/N2352,0)</f>
        <v/>
      </c>
      <c r="T2352" t="n">
        <v>0</v>
      </c>
      <c r="V2352" t="n">
        <v>0</v>
      </c>
    </row>
    <row r="2353">
      <c r="A2353">
        <f>Skills!A28</f>
        <v/>
      </c>
      <c r="B2353">
        <f>Skills!B28</f>
        <v/>
      </c>
      <c r="C2353">
        <f>TRUE</f>
        <v/>
      </c>
      <c r="D2353">
        <f>IF(Skills!C28=1,60+Inputs!$B$25+Inputs!$B$29,IF(Skills!C28=2,90+Inputs!$B$26+Inputs!$B$29,IF(Skills!C28=3,120+Inputs!$B$27+Inputs!$B$29,MAX(0,(Inputs!$B$3-100)*3)+Inputs!$B$28+Inputs!$B$29)))</f>
        <v/>
      </c>
      <c r="E2353">
        <f>INDEX(FactorTable!$B$2:$Y$301, MATCH(ROUND(MIN(300,MAX(1,D2353)),0), FactorTable!$A$2:$A$301,0), Skills!M28+1)</f>
        <v/>
      </c>
      <c r="F2353">
        <f>IF(Skills!N28=TRUE,(Skills!L28/10)*(E2353/1000),Skills!L28/10)+Skills!O28</f>
        <v/>
      </c>
      <c r="G2353">
        <f>Skills!G28*IF(Skills!H28&gt;0,INT(IF(Inputs!$B$38="pvp",MIN(Skills!I28,15),Skills!I28)/Skills!H28+0.000000001),1)</f>
        <v/>
      </c>
      <c r="H2353">
        <f>1-(1-Skills!J28/100)^Skills!K28</f>
        <v/>
      </c>
      <c r="I2353" t="inlineStr">
        <is>
          <t>1</t>
        </is>
      </c>
      <c r="J2353" t="inlineStr"/>
      <c r="K2353" t="inlineStr"/>
      <c r="L2353" t="inlineStr"/>
      <c r="M2353" t="inlineStr"/>
      <c r="N2353" t="inlineStr"/>
      <c r="O2353">
        <f>(1-Summary!$B$11)*T2353+Summary!$B$11*V2353</f>
        <v/>
      </c>
      <c r="P2353">
        <f>IF(B2366=0,0,O2353/B2366)</f>
        <v/>
      </c>
      <c r="Q2353">
        <f>IFERROR(1/(IF(Inputs!$B$38="pvp",15,MAX(0.1,Skills!D28-IF(TRUE=TRUE,Inputs!$B$32,0)))*(1-IF(AND(ArtifactsInput!$M$27,Inputs!$B$4="Chapter Hunt"),CHOOSE(ArtifactsInput!$N$27+1,20,24,28,32,36,40),0)/100)),0)</f>
        <v/>
      </c>
      <c r="R2353">
        <f>IF(AND(Inputs!$B$38&lt;&gt;"pvp",Inputs!$B$43&gt;0),IF(Inputs!$B$43&lt;=0,0,(INT(Inputs!$B$43/(IF(Inputs!$B$38="pvp",15,MAX(0.1,Skills!D28-IF(TRUE=TRUE,Inputs!$B$32,0)))*(1-IF(AND(ArtifactsInput!$M$27,Inputs!$B$4="Chapter Hunt"),CHOOSE(ArtifactsInput!$N$27+1,20,24,28,32,36,40),0)/100)))+1)),0)</f>
        <v/>
      </c>
      <c r="S2353">
        <f>IFERROR(O2353/N2353,0)</f>
        <v/>
      </c>
      <c r="T2353" t="n">
        <v>0</v>
      </c>
      <c r="V2353" t="n">
        <v>0</v>
      </c>
    </row>
    <row r="2355">
      <c r="A2355" t="inlineStr">
        <is>
          <t>Attack% Bucket Multiplier</t>
        </is>
      </c>
      <c r="B2355">
        <f>(1+(((C2342=TRUE)*F2342*5/7)+((C2349=TRUE)*(F2349-Calc!F24))+(IF(ArtifactsInput!$M$21,CHOOSE(ArtifactsInput!$N$21+1,25,30,35,40,45,50)*(IF(OR(Inputs!$B$4="Chapter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356">
      <c r="A2356" t="inlineStr">
        <is>
          <t>Global Crit Rate Bonus %</t>
        </is>
      </c>
      <c r="B2356" t="n">
        <v>0</v>
      </c>
    </row>
    <row r="2357">
      <c r="A2357" t="inlineStr">
        <is>
          <t>Attack Speed Buff Bonus % (Nimble Feet, duty-cycle averaged)</t>
        </is>
      </c>
      <c r="B2357">
        <f>((C2353=TRUE)*F2353*IF(AND(Inputs!$B$38&lt;&gt;"pvp",Inputs!$B$43&gt;0),(((R2353-1)*MIN((Skills!T28*(1+Inputs!$B$34/100)),(1/Q2353))+MIN((Skills!T28*(1+Inputs!$B$34/100)),MAX(0,Inputs!$B$43-((R2353-1)*(1/Q2353)))))/Inputs!$B$43),IF(Inputs!$B$38="pvp",MIN((Skills!T28*(1+Inputs!$B$34/100)),15)/15,MIN(1,(Skills!T28*(1+Inputs!$B$34/100))/(1/Q2353)))))</f>
        <v/>
      </c>
    </row>
    <row r="2358">
      <c r="A2358" t="inlineStr">
        <is>
          <t>Actions Per Second</t>
        </is>
      </c>
      <c r="B2358">
        <f>1+MIN(150,150*(1-(1-(Inputs!$B$11+((C2345=TRUE)*(F2345-Calc!F20))+((C2346=TRUE)*(F2346-Calc!F21)))/150)*(1-B2357/150)))/100</f>
        <v/>
      </c>
    </row>
    <row r="2359">
      <c r="A2359" t="inlineStr">
        <is>
          <t>Skill + Buff Cast Rate</t>
        </is>
      </c>
      <c r="B2359">
        <f>IF(AND(Inputs!$B$38&lt;&gt;"pvp",Inputs!$B$43&gt;0),SUMPRODUCT((Skills!E2:E28=TRUE)*(C2327:C2353=TRUE)*R2327:R2353*Skills!F2:F28)/Inputs!$B$43,SUMPRODUCT((Skills!E2:E28=TRUE)*(C2327:C2353=TRUE)*Q2327:Q2353*Skills!F2:F28))</f>
        <v/>
      </c>
    </row>
    <row r="2360">
      <c r="A2360" t="inlineStr">
        <is>
          <t>Eight-Legs Easton Casts Per Second</t>
        </is>
      </c>
      <c r="B2360">
        <f>MAX(0,B2358-B2359)</f>
        <v/>
      </c>
    </row>
    <row r="2361">
      <c r="A2361" t="inlineStr">
        <is>
          <t>Global Critical Damage Bonus % (unused)</t>
        </is>
      </c>
      <c r="B2361" t="n">
        <v>0</v>
      </c>
    </row>
    <row r="2362">
      <c r="A2362" t="inlineStr">
        <is>
          <t>Global Final Damage Bonus % (Jolly Roger + Ahoy Mateys - Final Damage proc)</t>
        </is>
      </c>
      <c r="B2362">
        <f>((C2343=TRUE)*F2343*IF(AND(Inputs!$B$38&lt;&gt;"pvp",Inputs!$B$43&gt;0),(((R2343-1)*MIN((Skills!T18*(1+Inputs!$B$34/100)),(1/Q2343))+MIN((Skills!T18*(1+Inputs!$B$34/100)),MAX(0,Inputs!$B$43-((R2343-1)*(1/Q2343)))))/Inputs!$B$43),IF(Inputs!$B$38="pvp",MIN((Skills!T18*(1+Inputs!$B$34/100)),15)/15,MIN(1,(Skills!T18*(1+Inputs!$B$34/100))/(1/Q2343)))))+IF(Inputs!$B$3&gt;=122,20*IF(Inputs!$B$38="pvp",MIN((20*(1+Inputs!$B$34/100)),15)/15,MIN(1,(20*(1+Inputs!$B$34/100))/(1/Q2329))),0)</f>
        <v/>
      </c>
    </row>
    <row r="2363">
      <c r="A2363" t="inlineStr">
        <is>
          <t>Buff-Casting Startup Delay (s, fixed-duration only)</t>
        </is>
      </c>
      <c r="B2363">
        <f>IF(AND(Inputs!$B$38&lt;&gt;"pvp",Inputs!$B$43&gt;0),SUMPRODUCT((Skills!T2:T28&gt;0)*(Skills!E2:E28=TRUE)*(C2327:C2353=TRUE))/B2358,0)</f>
        <v/>
      </c>
    </row>
    <row r="2364">
      <c r="A2364" t="inlineStr">
        <is>
          <t>Boss-Only Total DPS (this block's swept value)</t>
        </is>
      </c>
      <c r="B2364">
        <f>SUM(T2327:T2353)</f>
        <v/>
      </c>
    </row>
    <row r="2365">
      <c r="A2365" t="inlineStr">
        <is>
          <t>Normal-Only Total DPS (this block's swept value)</t>
        </is>
      </c>
      <c r="B2365">
        <f>SUM(V2327:V2353)</f>
        <v/>
      </c>
    </row>
    <row r="2366">
      <c r="A2366" s="6" t="inlineStr">
        <is>
          <t>TOTAL DPS</t>
        </is>
      </c>
      <c r="B2366" s="6">
        <f>SUM(O2327:O2353)</f>
        <v/>
      </c>
    </row>
    <row r="2367">
      <c r="A2367" t="inlineStr">
        <is>
          <t>Quickdraw cooldown divisor (this block's own APS / Q)</t>
        </is>
      </c>
      <c r="B2367">
        <f>IF(AND(C2352=TRUE,Inputs!$B$38&lt;&gt;"pvp"),1+0.25*MAX(0,(B2358-(((C2328=TRUE)*Q2328*1)+((C2329=TRUE)*Q2329*1)+((C2331=TRUE)*Q2331*1)+((C2332=TRUE)*Q2332*1)+((C2334=TRUE)*Q2334*1)+((C2337=TRUE)*Q2337*1)+((C2343=TRUE)*Q2343*1)+((C2353=TRUE)*Q2353*1))-((C2333=TRUE)/(IF(Inputs!$B$38="pvp",15,MAX(0.1,Skills!D8-IF(TRUE=TRUE,Inputs!$B$32,0)))*(1-IF(AND(ArtifactsInput!$M$27,Inputs!$B$4="Chapter Hunt"),CHOOSE(ArtifactsInput!$N$27+1,20,24,28,32,36,40),0)/100))+(C2336=TRUE)/(IF(Inputs!$B$38="pvp",15,MAX(0.1,Skills!D11-IF(TRUE=TRUE,Inputs!$B$32,0)))*(1-IF(AND(ArtifactsInput!$M$27,Inputs!$B$4="Chapter Hunt"),CHOOSE(ArtifactsInput!$N$27+1,20,24,28,32,36,40),0)/100))))/(1+0.25*((C2333=TRUE)/(IF(Inputs!$B$38="pvp",15,MAX(0.1,Skills!D8-IF(TRUE=TRUE,Inputs!$B$32,0)))*(1-IF(AND(ArtifactsInput!$M$27,Inputs!$B$4="Chapter Hunt"),CHOOSE(ArtifactsInput!$N$27+1,20,24,28,32,36,40),0)/100))+(C2336=TRUE)/(IF(Inputs!$B$38="pvp",15,MAX(0.1,Skills!D11-IF(TRUE=TRUE,Inputs!$B$32,0)))*(1-IF(AND(ArtifactsInput!$M$27,Inputs!$B$4="Chapter Hunt"),CHOOSE(ArtifactsInput!$N$27+1,20,24,28,32,36,40),0)/100))))),1)</f>
        <v/>
      </c>
    </row>
    <row r="2368">
      <c r="A2368" t="inlineStr">
        <is>
          <t>Nautilus Strike - Final Attack trigger rate (this block's own Q/R)</t>
        </is>
      </c>
      <c r="B2368">
        <f>IF(AND(Inputs!$B$38&lt;&gt;"pvp",Inputs!$B$43&gt;0),(((C2328=TRUE)*R2328)+((C2331=TRUE)*R2331)+((C2333=TRUE)*R2333)+((C2334=TRUE)*R2334)+((C2336=TRUE)*R2336))/Inputs!$B$43,((C2328=TRUE)*Q2328)+((C2331=TRUE)*Q2331)+((C2333=TRUE)*Q2333)+((C2334=TRUE)*Q2334)+((C2336=TRUE)*Q2336))+B2360</f>
        <v/>
      </c>
    </row>
    <row r="2371">
      <c r="A2371" s="6" t="inlineStr">
        <is>
          <t>Stat: Icy Soul Rock (Equip)</t>
        </is>
      </c>
    </row>
    <row r="2372">
      <c r="A2372" s="5" t="inlineStr">
        <is>
          <t>Key</t>
        </is>
      </c>
      <c r="B2372" s="5" t="inlineStr">
        <is>
          <t>Name</t>
        </is>
      </c>
      <c r="C2372" s="5" t="inlineStr">
        <is>
          <t>Unlocked</t>
        </is>
      </c>
      <c r="D2372" s="5" t="inlineStr">
        <is>
          <t>InputLevel</t>
        </is>
      </c>
      <c r="E2372" s="5" t="inlineStr">
        <is>
          <t>Factor</t>
        </is>
      </c>
      <c r="F2372" s="5" t="inlineStr">
        <is>
          <t>CoefficientPercent</t>
        </is>
      </c>
      <c r="G2372" s="5" t="inlineStr">
        <is>
          <t>EffectiveHits</t>
        </is>
      </c>
      <c r="H2372" s="5" t="inlineStr">
        <is>
          <t>ProcProbability</t>
        </is>
      </c>
      <c r="I2372" s="5" t="inlineStr">
        <is>
          <t>MapleHeroMultiplier</t>
        </is>
      </c>
      <c r="J2372" s="5" t="inlineStr">
        <is>
          <t>BaseDamage</t>
        </is>
      </c>
      <c r="K2372" s="5" t="inlineStr">
        <is>
          <t>BaseHitDamage</t>
        </is>
      </c>
      <c r="L2372" s="5" t="inlineStr">
        <is>
          <t>NonCritAvg</t>
        </is>
      </c>
      <c r="M2372" s="5" t="inlineStr">
        <is>
          <t>CritAvg</t>
        </is>
      </c>
      <c r="N2372" s="5" t="inlineStr">
        <is>
          <t>ExpectedDamage(perHit)</t>
        </is>
      </c>
      <c r="O2372" s="5" t="inlineStr">
        <is>
          <t>DPS</t>
        </is>
      </c>
      <c r="P2372" s="5" t="inlineStr">
        <is>
          <t>% of Total</t>
        </is>
      </c>
      <c r="Q2372" s="5" t="inlineStr">
        <is>
          <t>InvCooldown</t>
        </is>
      </c>
      <c r="R2372" s="5" t="inlineStr">
        <is>
          <t>CastsInFight</t>
        </is>
      </c>
      <c r="S2372" s="5" t="inlineStr">
        <is>
          <t>HitRate(perSec)</t>
        </is>
      </c>
      <c r="U2372" t="inlineStr">
        <is>
          <t>helpers</t>
        </is>
      </c>
    </row>
    <row r="2373">
      <c r="A2373">
        <f>Skills!A2</f>
        <v/>
      </c>
      <c r="B2373">
        <f>Skills!B2</f>
        <v/>
      </c>
      <c r="C2373">
        <f>Inputs!$B$3&gt;=100</f>
        <v/>
      </c>
      <c r="D2373" t="inlineStr"/>
      <c r="E2373" t="inlineStr"/>
      <c r="F2373">
        <f>U2375+Skills!O2</f>
        <v/>
      </c>
      <c r="G2373">
        <f>Skills!G2*IF(Skills!H2&gt;0,INT(IF(Inputs!$B$38="pvp",MIN(Skills!I2,15),Skills!I2)/Skills!H2+0.000000001),1)</f>
        <v/>
      </c>
      <c r="H2373">
        <f>1-(1-Skills!J2/100)^Skills!K2</f>
        <v/>
      </c>
      <c r="I2373" t="inlineStr">
        <is>
          <t>1</t>
        </is>
      </c>
      <c r="J2373">
        <f>((Inputs!$B$6*(1+Inputs!$B$7/100))+(((Inputs!$B$12*(1+Inputs!$B$13/100))-(Inputs!$B$12*(1+Inputs!$B$13/100)))+0.25*(Inputs!$B$14-Inputs!$B$14))*(1+Inputs!$B$7/100))*(F2373/100)</f>
        <v/>
      </c>
      <c r="K2373">
        <f>J2373*(1+((Inputs!$B$12*(1+Inputs!$B$13/100))*0.01+Inputs!$B$14*0.0025)/100)*(1+Inputs!$B$15/100)*(1+Inputs!$B$16/100)*(5000/(6000+Inputs!$B$42*(1-(100*(1-(1-(Inputs!$B$19+0)/100)*(1-CHOOSE(ArtifactsInput!$N$40+1,5,6,7,8,9,10)/100)^(ArtifactsInput!$M$40-ArtifactsInput!$M$40)))/100)))*(1+(Inputs!$B$24+((C2397=TRUE)*(F2397-Calc!F26))+B2408)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IGHT_LEGS_EASTON",Inputs!$B$17+((C2394=TRUE)*(F2394-Calc!F23))+((C2398=TRUE)*(F2398-Calc!F27))+((IF(AND(Inputs!$B$38&lt;&gt;"pvp",Inputs!$B$43=0),1,IF(IF(Inputs!$B$38="pvp",15,Inputs!$B$43)-(B2409)&lt;=0,1,MAX(0,IF(Inputs!$B$38="pvp",15,Inputs!$B$43)-MAX(5,B2409))/(IF(Inputs!$B$38="pvp",15,Inputs!$B$43)-(B2409))))*(IF(AND(ArtifactsInput!$M$42,((Inputs!$B$9+((C2390=TRUE)*(F2390-Calc!F19))+B2402+(ArtifactsInput!$M$24-ArtifactsInput!$M$24)*CHOOSE(ArtifactsInput!$N$24+1,10,12,14,16,18,20)+IF(ArtifactsInput!$M$10,CHOOSE(ArtifactsInput!$N$10+1,15,18,21,24,27,30)*(IF(Inputs!$B$38="pvp",MIN(15,15)/15,IF(AND(Inputs!$B$38&lt;&gt;"pvp",Inputs!$B$43&gt;0),MIN(15,Inputs!$B$43)/(Inputs!$B$43),0))),0)))&gt;=100),MIN(100,((Inputs!$B$9+((C2390=TRUE)*(F2390-Calc!F19))+B2402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2409)&lt;=0,1,MAX(0,IF(Inputs!$B$38="pvp",15,Inputs!$B$43)-MAX(5,B2409))/(IF(Inputs!$B$38="pvp",15,Inputs!$B$43)-(B2409))))*IF(AND(ArtifactsInput!$M$42,((Inputs!$B$9+((C2390=TRUE)*(F2390-Calc!F19))+B2402+(ArtifactsInput!$M$24-ArtifactsInput!$M$24)*CHOOSE(ArtifactsInput!$N$24+1,10,12,14,16,18,20)+IF(ArtifactsInput!$M$10,CHOOSE(ArtifactsInput!$N$10+1,15,18,21,24,27,30)*(IF(Inputs!$B$38="pvp",MIN(15,15)/15,IF(AND(Inputs!$B$38&lt;&gt;"pvp",Inputs!$B$43&gt;0),MIN(15,Inputs!$B$43)/(Inputs!$B$43),0))),0)))&gt;=100),CHOOSE(ArtifactsInput!$N$42+1,40,48,56,64,72,80),0))))/100)*((1+(((C2388=TRUE)*F2388*5/7)+((C2395=TRUE)*(F2395-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2373)</f>
        <v/>
      </c>
      <c r="L2373">
        <f>K2373*(MIN(Inputs!$B$22+((C2393=TRUE)*(F2393-Calc!F22)),(Inputs!$B$23+0+(IF(ArtifactsInput!$M$15,CHOOSE(ArtifactsInput!$N$15+1,25,30,35,40,45,50)/100*(Inputs!$B$11-Inputs!$B$11),0))))/100+(Inputs!$B$23+0+(IF(ArtifactsInput!$M$15,CHOOSE(ArtifactsInput!$N$15+1,25,30,35,40,45,50)/100*(Inputs!$B$11-Inputs!$B$11),0)))/100)/2</f>
        <v/>
      </c>
      <c r="M2373">
        <f>L2373*(1+(Inputs!$B$10+((C2396=TRUE)*(F2396-Calc!F25))+B2407+(IF(ArtifactsInput!$M$24,CHOOSE(ArtifactsInput!$N$24+1,30,36,42,48,54,60)/100*(Inputs!$B$9-Inputs!$B$9),0)+IF(ArtifactsInput!$M$10,CHOOSE(ArtifactsInput!$N$10+1,20,24,28,32,36,40)*(IF(Inputs!$B$38="pvp",MIN(15,15)/15,IF(AND(Inputs!$B$38&lt;&gt;"pvp",Inputs!$B$43&gt;0),MIN(15,Inputs!$B$43)/(Inputs!$B$43),0))),0)+IF(IF(ArtifactsInput!$M$31,FALSE,TRUE),1.5*CHOOSE(ArtifactsInput!$N$31+1,20,24,28,32,36,40),0)))/100)</f>
        <v/>
      </c>
      <c r="N2373">
        <f>L2373*(1-MIN((Inputs!$B$9+((C2390=TRUE)*(F2390-Calc!F19))+B2402+(ArtifactsInput!$M$24-ArtifactsInput!$M$24)*CHOOSE(ArtifactsInput!$N$24+1,10,12,14,16,18,20)+(IF(AND(Inputs!$B$38&lt;&gt;"pvp",Inputs!$B$43=0),1,IF(IF(Inputs!$B$38="pvp",15,Inputs!$B$43)-(B2409)&lt;=0,1,MAX(0,IF(Inputs!$B$38="pvp",15,Inputs!$B$43)-MAX(5,B2409))/(IF(Inputs!$B$38="pvp",15,Inputs!$B$43)-(B2409))))*IF(AND(ArtifactsInput!$M$42,((Inputs!$B$9+((C2390=TRUE)*(F2390-Calc!F19))+B2402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2373*(MIN((Inputs!$B$9+((C2390=TRUE)*(F2390-Calc!F19))+B2402+(ArtifactsInput!$M$24-ArtifactsInput!$M$24)*CHOOSE(ArtifactsInput!$N$24+1,10,12,14,16,18,20)+(IF(AND(Inputs!$B$38&lt;&gt;"pvp",Inputs!$B$43=0),1,IF(IF(Inputs!$B$38="pvp",15,Inputs!$B$43)-(B2409)&lt;=0,1,MAX(0,IF(Inputs!$B$38="pvp",15,Inputs!$B$43)-MAX(5,B2409))/(IF(Inputs!$B$38="pvp",15,Inputs!$B$43)-(B2409))))*IF(AND(ArtifactsInput!$M$42,((Inputs!$B$9+((C2390=TRUE)*(F2390-Calc!F19))+B2402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73">
        <f>(1-Summary!$B$11)*T2373+Summary!$B$11*V2373</f>
        <v/>
      </c>
      <c r="P2373">
        <f>IF(B2412=0,0,O2373/B2412)</f>
        <v/>
      </c>
      <c r="Q2373" t="n">
        <v>0</v>
      </c>
      <c r="R2373" t="n">
        <v>0</v>
      </c>
      <c r="S2373">
        <f>IFERROR(O2373/N2373,0)</f>
        <v/>
      </c>
      <c r="T2373">
        <f>IF(C2373,(Skills!G2*N2373*B2406*(1+IF(C2398=TRUE,1/3,0)))*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Hunt"),CHOOSE(ArtifactsInput!$N$35+1,15,18,21,24,27,30)*(1-EXP(-(0.2*B2404)*5)),0)+IF(AND(ArtifactsInput!$M$22,Inputs!$B$4&lt;&gt;"Chapter Hunt"),CHOOSE(ArtifactsInput!$N$22+1,10,12,14,16,18,20)*((0*(((0.15*B2404*5))^0/1)+1*(((0.15*B2404*5))^1/1)+2*(((0.15*B2404*5))^2/2)+3*(((0.15*B2404*5))^3/6)+4*(((0.15*B2404*5))^4/24)+5*(((0.15*B2404*5))^5/120))/((((0.15*B2404*5))^0/1)+(((0.15*B2404*5))^1/1)+(((0.15*B2404*5))^2/2)+(((0.15*B2404*5))^3/6)+(((0.15*B2404*5))^4/24)+(((0.15*B2404*5))^5/120))),0))+IF(Inputs!$B$3&gt;=54,9*(C2374=TRUE)*MIN(1,8*(1+Inputs!$B$34/100)*Q2374)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2373*(1-MIN(100,(Inputs!$B$9+((C2390=TRUE)*(F2390-Calc!F19))+B2402+(ArtifactsInput!$M$24-ArtifactsInput!$M$24)*CHOOSE(ArtifactsInput!$N$24+1,10,12,14,16,18,20)+(IF(AND(Inputs!$B$38&lt;&gt;"pvp",Inputs!$B$43=0),1,IF(IF(Inputs!$B$38="pvp",15,Inputs!$B$43)-(B2409)&lt;=0,1,MAX(0,IF(Inputs!$B$38="pvp",15,Inputs!$B$43)-MAX(5,B2409))/(IF(Inputs!$B$38="pvp",15,Inputs!$B$43)-(B2409))))*IF(AND(ArtifactsInput!$M$42,((Inputs!$B$9+((C2390=TRUE)*(F2390-Calc!F19))+B2402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2373*(MIN(100,(Inputs!$B$9+((C2390=TRUE)*(F2390-Calc!F19))+B2402+(ArtifactsInput!$M$24-ArtifactsInput!$M$24)*CHOOSE(ArtifactsInput!$N$24+1,10,12,14,16,18,20)+(IF(AND(Inputs!$B$38&lt;&gt;"pvp",Inputs!$B$43=0),1,IF(IF(Inputs!$B$38="pvp",15,Inputs!$B$43)-(B2409)&lt;=0,1,MAX(0,IF(Inputs!$B$38="pvp",15,Inputs!$B$43)-MAX(5,B2409))/(IF(Inputs!$B$38="pvp",15,Inputs!$B$43)-(B2409))))*IF(AND(ArtifactsInput!$M$42,((Inputs!$B$9+((C2390=TRUE)*(F2390-Calc!F19))+B2402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2373*(1-MIN(100,(Inputs!$B$9+((C2390=TRUE)*(F2390-Calc!F19))+B2402+(ArtifactsInput!$M$24-ArtifactsInput!$M$24)*CHOOSE(ArtifactsInput!$N$24+1,10,12,14,16,18,20)+(IF(AND(Inputs!$B$38&lt;&gt;"pvp",Inputs!$B$43=0),1,IF(IF(Inputs!$B$38="pvp",15,Inputs!$B$43)-(B2409)&lt;=0,1,MAX(0,IF(Inputs!$B$38="pvp",15,Inputs!$B$43)-MAX(5,B2409))/(IF(Inputs!$B$38="pvp",15,Inputs!$B$43)-(B2409))))*IF(AND(ArtifactsInput!$M$42,((Inputs!$B$9+((C2390=TRUE)*(F2390-Calc!F19))+B2402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2373*(MIN(100,(Inputs!$B$9+((C2390=TRUE)*(F2390-Calc!F19))+B2402+(ArtifactsInput!$M$24-ArtifactsInput!$M$24)*CHOOSE(ArtifactsInput!$N$24+1,10,12,14,16,18,20)+(IF(AND(Inputs!$B$38&lt;&gt;"pvp",Inputs!$B$43=0),1,IF(IF(Inputs!$B$38="pvp",15,Inputs!$B$43)-(B2409)&lt;=0,1,MAX(0,IF(Inputs!$B$38="pvp",15,Inputs!$B$43)-MAX(5,B2409))/(IF(Inputs!$B$38="pvp",15,Inputs!$B$43)-(B2409))))*IF(AND(ArtifactsInput!$M$42,((Inputs!$B$9+((C2390=TRUE)*(F2390-Calc!F19))+B2402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373">
        <f>MAX(0,(Inputs!$B$3-100)*3)+Inputs!$B$28+Inputs!$B$29</f>
        <v/>
      </c>
      <c r="V2373">
        <f>IF(C2373,(Skills!G2*N2373*B2406*(1+IF(C2398=TRUE,1/3,0)))*IF(Inputs!$B$38="pvp",1,(1+(Inputs!$B$21+Skills!Q2+(IF(ArtifactsInput!$M$33,CHOOSE(ArtifactsInput!$N$33+1,30,36,42,48,54,60),0))+(IF(AND(ArtifactsInput!$M$35,Inputs!$B$4&lt;&gt;"Chapter Hunt"),CHOOSE(ArtifactsInput!$N$35+1,15,18,21,24,27,30)*(1-EXP(-(0.2*B2404)*5)),0)+IF(AND(ArtifactsInput!$M$22,Inputs!$B$4&lt;&gt;"Chapter Hunt"),CHOOSE(ArtifactsInput!$N$22+1,10,12,14,16,18,20)*((0*(((0.15*B2404*5))^0/1)+1*(((0.15*B2404*5))^1/1)+2*(((0.15*B2404*5))^2/2)+3*(((0.15*B2404*5))^3/6)+4*(((0.15*B2404*5))^4/24)+5*(((0.15*B2404*5))^5/120))/((((0.15*B2404*5))^0/1)+(((0.15*B2404*5))^1/1)+(((0.15*B2404*5))^2/2)+(((0.15*B2404*5))^3/6)+(((0.15*B2404*5))^4/24)+(((0.15*B2404*5))^5/120))),0))+IF(Inputs!$B$3&gt;=54,9*(C2374=TRUE)*MIN(1,8*(1+Inputs!$B$34/100)*Q2374),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74">
      <c r="A2374">
        <f>Skills!A3</f>
        <v/>
      </c>
      <c r="B2374">
        <f>Skills!B3</f>
        <v/>
      </c>
      <c r="C2374">
        <f>Inputs!$B$3&gt;=33</f>
        <v/>
      </c>
      <c r="D2374">
        <f>IF(Skills!C3=1,60+Inputs!$B$25+Inputs!$B$29,IF(Skills!C3=2,90+Inputs!$B$26+Inputs!$B$29,IF(Skills!C3=3,120+Inputs!$B$27+Inputs!$B$29,MAX(0,(Inputs!$B$3-100)*3)+Inputs!$B$28+Inputs!$B$29)))</f>
        <v/>
      </c>
      <c r="E2374">
        <f>INDEX(FactorTable!$B$2:$Y$301, MATCH(ROUND(MIN(300,MAX(1,D2374)),0), FactorTable!$A$2:$A$301,0), Skills!M3+1)</f>
        <v/>
      </c>
      <c r="F2374">
        <f>IF(Skills!N3=TRUE,(Skills!L3/10)*(E2374/1000),Skills!L3/10)+Skills!O3</f>
        <v/>
      </c>
      <c r="G2374">
        <f>Skills!G3*IF(Skills!H3&gt;0,INT(IF(Inputs!$B$38="pvp",MIN(Skills!I3,15),Skills!I3)/Skills!H3+0.000000001),1)</f>
        <v/>
      </c>
      <c r="H2374">
        <f>1-(1-Skills!J3/100)^Skills!K3</f>
        <v/>
      </c>
      <c r="I2374" t="inlineStr">
        <is>
          <t>1</t>
        </is>
      </c>
      <c r="J2374">
        <f>((Inputs!$B$6*(1+Inputs!$B$7/100))+(((Inputs!$B$12*(1+Inputs!$B$13/100))-(Inputs!$B$12*(1+Inputs!$B$13/100)))+0.25*(Inputs!$B$14-Inputs!$B$14))*(1+Inputs!$B$7/100))*(F2374/100)</f>
        <v/>
      </c>
      <c r="K2374">
        <f>J2374*(1+((Inputs!$B$12*(1+Inputs!$B$13/100))*0.01+Inputs!$B$14*0.0025)/100)*(1+Inputs!$B$15/100)*(1+Inputs!$B$16/100)*(5000/(6000+Inputs!$B$42*(1-(100*(1-(1-(Inputs!$B$19+0)/100)*(1-CHOOSE(ArtifactsInput!$N$40+1,5,6,7,8,9,10)/100)^(ArtifactsInput!$M$40-ArtifactsInput!$M$40)))/100)))*(1+(Inputs!$B$24+((C2397=TRUE)*(F2397-Calc!F26))+B2408)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2386=TRUE,F2386,0)/100)*(1+(IF(Skills!A3="EIGHT_LEGS_EASTON",Inputs!$B$17+((C2394=TRUE)*(F2394-Calc!F23))+((C2398=TRUE)*(F2398-Calc!F27))+((IF(AND(Inputs!$B$38&lt;&gt;"pvp",Inputs!$B$43=0),1,IF(IF(Inputs!$B$38="pvp",15,Inputs!$B$43)-(B2409)&lt;=0,1,MAX(0,IF(Inputs!$B$38="pvp",15,Inputs!$B$43)-MAX(5,B2409))/(IF(Inputs!$B$38="pvp",15,Inputs!$B$43)-(B2409))))*(IF(AND(ArtifactsInput!$M$42,((Inputs!$B$9+((C2390=TRUE)*(F2390-Calc!F19))+B2402+(ArtifactsInput!$M$24-ArtifactsInput!$M$24)*CHOOSE(ArtifactsInput!$N$24+1,10,12,14,16,18,20)+IF(ArtifactsInput!$M$10,CHOOSE(ArtifactsInput!$N$10+1,15,18,21,24,27,30)*(IF(Inputs!$B$38="pvp",MIN(15,15)/15,IF(AND(Inputs!$B$38&lt;&gt;"pvp",Inputs!$B$43&gt;0),MIN(15,Inputs!$B$43)/(Inputs!$B$43),0))),0)))&gt;=100),MIN(100,((Inputs!$B$9+((C2390=TRUE)*(F2390-Calc!F19))+B2402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2409)&lt;=0,1,MAX(0,IF(Inputs!$B$38="pvp",15,Inputs!$B$43)-MAX(5,B2409))/(IF(Inputs!$B$38="pvp",15,Inputs!$B$43)-(B2409))))*IF(AND(ArtifactsInput!$M$42,((Inputs!$B$9+((C2390=TRUE)*(F2390-Calc!F19))+B2402+(ArtifactsInput!$M$24-ArtifactsInput!$M$24)*CHOOSE(ArtifactsInput!$N$24+1,10,12,14,16,18,20)+IF(ArtifactsInput!$M$10,CHOOSE(ArtifactsInput!$N$10+1,15,18,21,24,27,30)*(IF(Inputs!$B$38="pvp",MIN(15,15)/15,IF(AND(Inputs!$B$38&lt;&gt;"pvp",Inputs!$B$43&gt;0),MIN(15,Inputs!$B$43)/(Inputs!$B$43),0))),0)))&gt;=100),CHOOSE(ArtifactsInput!$N$42+1,40,48,56,64,72,80),0))))/100)*((1+(((C2388=TRUE)*F2388*5/7)+((C2395=TRUE)*(F2395-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2374)</f>
        <v/>
      </c>
      <c r="L2374">
        <f>K2374*(MIN(Inputs!$B$22+((C2393=TRUE)*(F2393-Calc!F22)),(Inputs!$B$23+0+(IF(ArtifactsInput!$M$15,CHOOSE(ArtifactsInput!$N$15+1,25,30,35,40,45,50)/100*(Inputs!$B$11-Inputs!$B$11),0))))/100+(Inputs!$B$23+0+(IF(ArtifactsInput!$M$15,CHOOSE(ArtifactsInput!$N$15+1,25,30,35,40,45,50)/100*(Inputs!$B$11-Inputs!$B$11),0)))/100)/2</f>
        <v/>
      </c>
      <c r="M2374">
        <f>L2374*(1+(Inputs!$B$10+((C2396=TRUE)*(F2396-Calc!F25))+B2407+(IF(ArtifactsInput!$M$24,CHOOSE(ArtifactsInput!$N$24+1,30,36,42,48,54,60)/100*(Inputs!$B$9-Inputs!$B$9),0)+IF(ArtifactsInput!$M$10,CHOOSE(ArtifactsInput!$N$10+1,20,24,28,32,36,40)*(IF(Inputs!$B$38="pvp",MIN(15,15)/15,IF(AND(Inputs!$B$38&lt;&gt;"pvp",Inputs!$B$43&gt;0),MIN(15,Inputs!$B$43)/(Inputs!$B$43),0))),0)+IF(IF(ArtifactsInput!$M$31,FALSE,TRUE),1.5*CHOOSE(ArtifactsInput!$N$31+1,20,24,28,32,36,40),0)))/100)</f>
        <v/>
      </c>
      <c r="N2374">
        <f>L2374*(1-MIN((Inputs!$B$9+((C2390=TRUE)*(F2390-Calc!F19))+B2402+(ArtifactsInput!$M$24-ArtifactsInput!$M$24)*CHOOSE(ArtifactsInput!$N$24+1,10,12,14,16,18,20)+(IF(AND(Inputs!$B$38&lt;&gt;"pvp",Inputs!$B$43=0),1,IF(IF(Inputs!$B$38="pvp",15,Inputs!$B$43)-(B2409)&lt;=0,1,MAX(0,IF(Inputs!$B$38="pvp",15,Inputs!$B$43)-MAX(5,B2409))/(IF(Inputs!$B$38="pvp",15,Inputs!$B$43)-(B2409))))*IF(AND(ArtifactsInput!$M$42,((Inputs!$B$9+((C2390=TRUE)*(F2390-Calc!F19))+B2402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2374*(MIN((Inputs!$B$9+((C2390=TRUE)*(F2390-Calc!F19))+B2402+(ArtifactsInput!$M$24-ArtifactsInput!$M$24)*CHOOSE(ArtifactsInput!$N$24+1,10,12,14,16,18,20)+(IF(AND(Inputs!$B$38&lt;&gt;"pvp",Inputs!$B$43=0),1,IF(IF(Inputs!$B$38="pvp",15,Inputs!$B$43)-(B2409)&lt;=0,1,MAX(0,IF(Inputs!$B$38="pvp",15,Inputs!$B$43)-MAX(5,B2409))/(IF(Inputs!$B$38="pvp",15,Inputs!$B$43)-(B2409))))*IF(AND(ArtifactsInput!$M$42,((Inputs!$B$9+((C2390=TRUE)*(F2390-Calc!F19))+B2402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74">
        <f>(1-Summary!$B$11)*T2374+Summary!$B$11*V2374</f>
        <v/>
      </c>
      <c r="P2374">
        <f>IF(B2412=0,0,O2374/B2412)</f>
        <v/>
      </c>
      <c r="Q2374">
        <f>IFERROR(1/(IF(Inputs!$B$38="pvp",15,MAX(0.1,Skills!D3-IF(TRUE=TRUE,Inputs!$B$32,0)))*(1-IF(AND(ArtifactsInput!$M$27,Inputs!$B$4="Chapter Hunt"),CHOOSE(ArtifactsInput!$N$27+1,20,24,28,32,36,40),0)/100)),0)</f>
        <v/>
      </c>
      <c r="R2374">
        <f>IF(AND(Inputs!$B$38&lt;&gt;"pvp",Inputs!$B$43&gt;0),IF(MAX(0,Inputs!$B$43-B2409)&lt;=0,0,(INT(MAX(0,Inputs!$B$43-B2409)/(IF(Inputs!$B$38="pvp",15,MAX(0.1,Skills!D3-IF(TRUE=TRUE,Inputs!$B$32,0)))*(1-IF(AND(ArtifactsInput!$M$27,Inputs!$B$4="Chapter Hunt"),CHOOSE(ArtifactsInput!$N$27+1,20,24,28,32,36,40),0)/100)))+1)),0)</f>
        <v/>
      </c>
      <c r="S2374">
        <f>IFERROR(O2374/N2374,0)</f>
        <v/>
      </c>
      <c r="T2374">
        <f>IF(C2374,(H2374*N2374*IF(AND(Inputs!$B$38&lt;&gt;"pvp",Inputs!$B$43&gt;0),((Skills!G3*((R2374-1)*IF(Skills!H3&gt;0,INT(Skills!I3/Skills!H3+0.000000001),1)+IF(Skills!H3&gt;0,INT(MIN(Skills!I3,MAX(0,MAX(0,Inputs!$B$43-B2409)-((R2374-1)*(IF(Inputs!$B$38="pvp",15,MAX(0.1,Skills!D3-IF(TRUE=TRUE,Inputs!$B$32,0)))*(1-IF(AND(ArtifactsInput!$M$27,Inputs!$B$4="Chapter Hunt"),CHOOSE(ArtifactsInput!$N$27+1,20,24,28,32,36,40),0)/100)))))/Skills!H3+0.000000001),1)))/Inputs!$B$43),G2374*Q2374))*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Hunt"),CHOOSE(ArtifactsInput!$N$35+1,15,18,21,24,27,30)*(1-EXP(-(0.2*B2404)*5)),0)+IF(AND(ArtifactsInput!$M$22,Inputs!$B$4&lt;&gt;"Chapter Hunt"),CHOOSE(ArtifactsInput!$N$22+1,10,12,14,16,18,20)*((0*(((0.15*B2404*5))^0/1)+1*(((0.15*B2404*5))^1/1)+2*(((0.15*B2404*5))^2/2)+3*(((0.15*B2404*5))^3/6)+4*(((0.15*B2404*5))^4/24)+5*(((0.15*B2404*5))^5/120))/((((0.15*B2404*5))^0/1)+(((0.15*B2404*5))^1/1)+(((0.15*B2404*5))^2/2)+(((0.15*B2404*5))^3/6)+(((0.15*B2404*5))^4/24)+(((0.15*B2404*5))^5/120))),0))+IF(Inputs!$B$3&gt;=54,9*(C2374=TRUE)*MIN(1,8*(1+Inputs!$B$34/100)*Q2374)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2374*(1-MIN(100,(Inputs!$B$9+((C2390=TRUE)*(F2390-Calc!F19))+B2402+(ArtifactsInput!$M$24-ArtifactsInput!$M$24)*CHOOSE(ArtifactsInput!$N$24+1,10,12,14,16,18,20)+(IF(AND(Inputs!$B$38&lt;&gt;"pvp",Inputs!$B$43=0),1,IF(IF(Inputs!$B$38="pvp",15,Inputs!$B$43)-(B2409)&lt;=0,1,MAX(0,IF(Inputs!$B$38="pvp",15,Inputs!$B$43)-MAX(5,B2409))/(IF(Inputs!$B$38="pvp",15,Inputs!$B$43)-(B2409))))*IF(AND(ArtifactsInput!$M$42,((Inputs!$B$9+((C2390=TRUE)*(F2390-Calc!F19))+B2402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2374*(MIN(100,(Inputs!$B$9+((C2390=TRUE)*(F2390-Calc!F19))+B2402+(ArtifactsInput!$M$24-ArtifactsInput!$M$24)*CHOOSE(ArtifactsInput!$N$24+1,10,12,14,16,18,20)+(IF(AND(Inputs!$B$38&lt;&gt;"pvp",Inputs!$B$43=0),1,IF(IF(Inputs!$B$38="pvp",15,Inputs!$B$43)-(B2409)&lt;=0,1,MAX(0,IF(Inputs!$B$38="pvp",15,Inputs!$B$43)-MAX(5,B2409))/(IF(Inputs!$B$38="pvp",15,Inputs!$B$43)-(B2409))))*IF(AND(ArtifactsInput!$M$42,((Inputs!$B$9+((C2390=TRUE)*(F2390-Calc!F19))+B2402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2374*(1-MIN(100,(Inputs!$B$9+((C2390=TRUE)*(F2390-Calc!F19))+B2402+(ArtifactsInput!$M$24-ArtifactsInput!$M$24)*CHOOSE(ArtifactsInput!$N$24+1,10,12,14,16,18,20)+(IF(AND(Inputs!$B$38&lt;&gt;"pvp",Inputs!$B$43=0),1,IF(IF(Inputs!$B$38="pvp",15,Inputs!$B$43)-(B2409)&lt;=0,1,MAX(0,IF(Inputs!$B$38="pvp",15,Inputs!$B$43)-MAX(5,B2409))/(IF(Inputs!$B$38="pvp",15,Inputs!$B$43)-(B2409))))*IF(AND(ArtifactsInput!$M$42,((Inputs!$B$9+((C2390=TRUE)*(F2390-Calc!F19))+B2402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2374*(MIN(100,(Inputs!$B$9+((C2390=TRUE)*(F2390-Calc!F19))+B2402+(ArtifactsInput!$M$24-ArtifactsInput!$M$24)*CHOOSE(ArtifactsInput!$N$24+1,10,12,14,16,18,20)+(IF(AND(Inputs!$B$38&lt;&gt;"pvp",Inputs!$B$43=0),1,IF(IF(Inputs!$B$38="pvp",15,Inputs!$B$43)-(B2409)&lt;=0,1,MAX(0,IF(Inputs!$B$38="pvp",15,Inputs!$B$43)-MAX(5,B2409))/(IF(Inputs!$B$38="pvp",15,Inputs!$B$43)-(B2409))))*IF(AND(ArtifactsInput!$M$42,((Inputs!$B$9+((C2390=TRUE)*(F2390-Calc!F19))+B2402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374">
        <f>INDEX(FactorTable!$B$2:$Y$301, MATCH(ROUND(MIN(300,MAX(1,U2373)),0), FactorTable!$A$2:$A$301,0), 22)</f>
        <v/>
      </c>
      <c r="V2374">
        <f>IF(C2374,(H2374*N2374*IF(AND(Inputs!$B$38&lt;&gt;"pvp",Inputs!$B$43&gt;0),((Skills!G3*((R2374-1)*IF(Skills!H3&gt;0,INT(Skills!I3/Skills!H3+0.000000001),1)+IF(Skills!H3&gt;0,INT(MIN(Skills!I3,MAX(0,MAX(0,Inputs!$B$43-B2409)-((R2374-1)*(IF(Inputs!$B$38="pvp",15,MAX(0.1,Skills!D3-IF(TRUE=TRUE,Inputs!$B$32,0)))*(1-IF(AND(ArtifactsInput!$M$27,Inputs!$B$4="Chapter Hunt"),CHOOSE(ArtifactsInput!$N$27+1,20,24,28,32,36,40),0)/100)))))/Skills!H3+0.000000001),1)))/Inputs!$B$43),G2374*Q2374))*IF(Inputs!$B$38="pvp",1,(1+(Inputs!$B$21+Skills!Q3+(IF(ArtifactsInput!$M$33,CHOOSE(ArtifactsInput!$N$33+1,30,36,42,48,54,60),0))+(IF(AND(ArtifactsInput!$M$35,Inputs!$B$4&lt;&gt;"Chapter Hunt"),CHOOSE(ArtifactsInput!$N$35+1,15,18,21,24,27,30)*(1-EXP(-(0.2*B2404)*5)),0)+IF(AND(ArtifactsInput!$M$22,Inputs!$B$4&lt;&gt;"Chapter Hunt"),CHOOSE(ArtifactsInput!$N$22+1,10,12,14,16,18,20)*((0*(((0.15*B2404*5))^0/1)+1*(((0.15*B2404*5))^1/1)+2*(((0.15*B2404*5))^2/2)+3*(((0.15*B2404*5))^3/6)+4*(((0.15*B2404*5))^4/24)+5*(((0.15*B2404*5))^5/120))/((((0.15*B2404*5))^0/1)+(((0.15*B2404*5))^1/1)+(((0.15*B2404*5))^2/2)+(((0.15*B2404*5))^3/6)+(((0.15*B2404*5))^4/24)+(((0.15*B2404*5))^5/120))),0))+IF(Inputs!$B$3&gt;=54,9*(C2374=TRUE)*MIN(1,8*(1+Inputs!$B$34/100)*Q2374),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75">
      <c r="A2375">
        <f>Skills!A4</f>
        <v/>
      </c>
      <c r="B2375">
        <f>Skills!B4</f>
        <v/>
      </c>
      <c r="C2375">
        <f>Inputs!$B$3&gt;=35</f>
        <v/>
      </c>
      <c r="D2375">
        <f>IF(Skills!C4=1,60+Inputs!$B$25+Inputs!$B$29,IF(Skills!C4=2,90+Inputs!$B$26+Inputs!$B$29,IF(Skills!C4=3,120+Inputs!$B$27+Inputs!$B$29,MAX(0,(Inputs!$B$3-100)*3)+Inputs!$B$28+Inputs!$B$29)))</f>
        <v/>
      </c>
      <c r="E2375">
        <f>INDEX(FactorTable!$B$2:$Y$301, MATCH(ROUND(MIN(300,MAX(1,D2375)),0), FactorTable!$A$2:$A$301,0), Skills!M4+1)</f>
        <v/>
      </c>
      <c r="F2375">
        <f>IF(Skills!N4=TRUE,(Skills!L4/10)*(E2375/1000),Skills!L4/10)+Skills!O4</f>
        <v/>
      </c>
      <c r="G2375">
        <f>Skills!G4*IF(Skills!H4&gt;0,INT(IF(Inputs!$B$38="pvp",MIN(IF(Inputs!$B$3&gt;=104,MIN(35,20*(1+Inputs!$B$34/100)),20),15),IF(Inputs!$B$3&gt;=104,MIN(35,20*(1+Inputs!$B$34/100)),20))/Skills!H4+0.000000001),1)</f>
        <v/>
      </c>
      <c r="H2375">
        <f>1-(1-Skills!J4/100)^Skills!K4</f>
        <v/>
      </c>
      <c r="I2375" t="inlineStr">
        <is>
          <t>1</t>
        </is>
      </c>
      <c r="J2375">
        <f>((Inputs!$B$6*(1+Inputs!$B$7/100))+(((Inputs!$B$12*(1+Inputs!$B$13/100))-(Inputs!$B$12*(1+Inputs!$B$13/100)))+0.25*(Inputs!$B$14-Inputs!$B$14))*(1+Inputs!$B$7/100))*(F2375/100)</f>
        <v/>
      </c>
      <c r="K2375">
        <f>J2375*(1+((Inputs!$B$12*(1+Inputs!$B$13/100))*0.01+Inputs!$B$14*0.0025)/100)*(1+Inputs!$B$15/100)*(1+Inputs!$B$16/100)*(5000/(6000+Inputs!$B$42*(1-(100*(1-(1-(Inputs!$B$19+0)/100)*(1-CHOOSE(ArtifactsInput!$N$40+1,5,6,7,8,9,10)/100)^(ArtifactsInput!$M$40-ArtifactsInput!$M$40)))/100)))*(1+(Inputs!$B$24+((C2397=TRUE)*(F2397-Calc!F26))+B2408)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2387=TRUE,F2387,0)/100)*(1+(IF(Skills!A4="EIGHT_LEGS_EASTON",Inputs!$B$17+((C2394=TRUE)*(F2394-Calc!F23))+((C2398=TRUE)*(F2398-Calc!F27))+((IF(AND(Inputs!$B$38&lt;&gt;"pvp",Inputs!$B$43=0),1,IF(IF(Inputs!$B$38="pvp",15,Inputs!$B$43)-(B2409)&lt;=0,1,MAX(0,IF(Inputs!$B$38="pvp",15,Inputs!$B$43)-MAX(5,B2409))/(IF(Inputs!$B$38="pvp",15,Inputs!$B$43)-(B2409))))*(IF(AND(ArtifactsInput!$M$42,((Inputs!$B$9+((C2390=TRUE)*(F2390-Calc!F19))+B2402+(ArtifactsInput!$M$24-ArtifactsInput!$M$24)*CHOOSE(ArtifactsInput!$N$24+1,10,12,14,16,18,20)+IF(ArtifactsInput!$M$10,CHOOSE(ArtifactsInput!$N$10+1,15,18,21,24,27,30)*(IF(Inputs!$B$38="pvp",MIN(15,15)/15,IF(AND(Inputs!$B$38&lt;&gt;"pvp",Inputs!$B$43&gt;0),MIN(15,Inputs!$B$43)/(Inputs!$B$43),0))),0)))&gt;=100),MIN(100,((Inputs!$B$9+((C2390=TRUE)*(F2390-Calc!F19))+B2402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2409)&lt;=0,1,MAX(0,IF(Inputs!$B$38="pvp",15,Inputs!$B$43)-MAX(5,B2409))/(IF(Inputs!$B$38="pvp",15,Inputs!$B$43)-(B2409))))*IF(AND(ArtifactsInput!$M$42,((Inputs!$B$9+((C2390=TRUE)*(F2390-Calc!F19))+B2402+(ArtifactsInput!$M$24-ArtifactsInput!$M$24)*CHOOSE(ArtifactsInput!$N$24+1,10,12,14,16,18,20)+IF(ArtifactsInput!$M$10,CHOOSE(ArtifactsInput!$N$10+1,15,18,21,24,27,30)*(IF(Inputs!$B$38="pvp",MIN(15,15)/15,IF(AND(Inputs!$B$38&lt;&gt;"pvp",Inputs!$B$43&gt;0),MIN(15,Inputs!$B$43)/(Inputs!$B$43),0))),0)))&gt;=100),CHOOSE(ArtifactsInput!$N$42+1,40,48,56,64,72,80),0))))/100)*((1+(((C2388=TRUE)*F2388*5/7)+((C2395=TRUE)*(F2395-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2375)</f>
        <v/>
      </c>
      <c r="L2375">
        <f>K2375*(MIN(Inputs!$B$22+((C2393=TRUE)*(F2393-Calc!F22)),(Inputs!$B$23+0+(IF(ArtifactsInput!$M$15,CHOOSE(ArtifactsInput!$N$15+1,25,30,35,40,45,50)/100*(Inputs!$B$11-Inputs!$B$11),0))))/100+(Inputs!$B$23+0+(IF(ArtifactsInput!$M$15,CHOOSE(ArtifactsInput!$N$15+1,25,30,35,40,45,50)/100*(Inputs!$B$11-Inputs!$B$11),0)))/100)/2</f>
        <v/>
      </c>
      <c r="M2375">
        <f>L2375*(1+(Inputs!$B$10+((C2396=TRUE)*(F2396-Calc!F25))+B2407+(IF(ArtifactsInput!$M$24,CHOOSE(ArtifactsInput!$N$24+1,30,36,42,48,54,60)/100*(Inputs!$B$9-Inputs!$B$9),0)+IF(ArtifactsInput!$M$10,CHOOSE(ArtifactsInput!$N$10+1,20,24,28,32,36,40)*(IF(Inputs!$B$38="pvp",MIN(15,15)/15,IF(AND(Inputs!$B$38&lt;&gt;"pvp",Inputs!$B$43&gt;0),MIN(15,Inputs!$B$43)/(Inputs!$B$43),0))),0)+IF(IF(ArtifactsInput!$M$31,FALSE,TRUE),1.5*CHOOSE(ArtifactsInput!$N$31+1,20,24,28,32,36,40),0)))/100)</f>
        <v/>
      </c>
      <c r="N2375">
        <f>L2375*(1-MIN((Inputs!$B$9+((C2390=TRUE)*(F2390-Calc!F19))+B2402+(ArtifactsInput!$M$24-ArtifactsInput!$M$24)*CHOOSE(ArtifactsInput!$N$24+1,10,12,14,16,18,20)+(IF(AND(Inputs!$B$38&lt;&gt;"pvp",Inputs!$B$43=0),1,IF(IF(Inputs!$B$38="pvp",15,Inputs!$B$43)-(B2409)&lt;=0,1,MAX(0,IF(Inputs!$B$38="pvp",15,Inputs!$B$43)-MAX(5,B2409))/(IF(Inputs!$B$38="pvp",15,Inputs!$B$43)-(B2409))))*IF(AND(ArtifactsInput!$M$42,((Inputs!$B$9+((C2390=TRUE)*(F2390-Calc!F19))+B2402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2375*(MIN((Inputs!$B$9+((C2390=TRUE)*(F2390-Calc!F19))+B2402+(ArtifactsInput!$M$24-ArtifactsInput!$M$24)*CHOOSE(ArtifactsInput!$N$24+1,10,12,14,16,18,20)+(IF(AND(Inputs!$B$38&lt;&gt;"pvp",Inputs!$B$43=0),1,IF(IF(Inputs!$B$38="pvp",15,Inputs!$B$43)-(B2409)&lt;=0,1,MAX(0,IF(Inputs!$B$38="pvp",15,Inputs!$B$43)-MAX(5,B2409))/(IF(Inputs!$B$38="pvp",15,Inputs!$B$43)-(B2409))))*IF(AND(ArtifactsInput!$M$42,((Inputs!$B$9+((C2390=TRUE)*(F2390-Calc!F19))+B2402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75">
        <f>(1-Summary!$B$11)*T2375+Summary!$B$11*V2375</f>
        <v/>
      </c>
      <c r="P2375">
        <f>IF(B2412=0,0,O2375/B2412)</f>
        <v/>
      </c>
      <c r="Q2375">
        <f>IFERROR(1/(IF(Inputs!$B$38="pvp",15,MAX(0.1,Skills!D4-IF(TRUE=TRUE,Inputs!$B$32,0)))*(1-IF(AND(ArtifactsInput!$M$27,Inputs!$B$4="Chapter Hunt"),CHOOSE(ArtifactsInput!$N$27+1,20,24,28,32,36,40),0)/100)),0)</f>
        <v/>
      </c>
      <c r="R2375">
        <f>IF(AND(Inputs!$B$38&lt;&gt;"pvp",Inputs!$B$43&gt;0),IF(MAX(0,Inputs!$B$43-B2409)&lt;=0,0,(INT(MAX(0,Inputs!$B$43-B2409)/(IF(Inputs!$B$38="pvp",15,MAX(0.1,Skills!D4-IF(TRUE=TRUE,Inputs!$B$32,0)))*(1-IF(AND(ArtifactsInput!$M$27,Inputs!$B$4="Chapter Hunt"),CHOOSE(ArtifactsInput!$N$27+1,20,24,28,32,36,40),0)/100)))+1)),0)</f>
        <v/>
      </c>
      <c r="S2375">
        <f>IFERROR(O2375/N2375,0)</f>
        <v/>
      </c>
      <c r="T2375">
        <f>IF(C2375,(H2375*N2375*IF(AND(Inputs!$B$38&lt;&gt;"pvp",Inputs!$B$43&gt;0),((Skills!G4*((R2375-1)*IF(Skills!H4&gt;0,INT(IF(Inputs!$B$3&gt;=104,MIN(35,20*(1+Inputs!$B$34/100)),20)/Skills!H4+0.000000001),1)+IF(Skills!H4&gt;0,INT(MIN(IF(Inputs!$B$3&gt;=104,MIN(35,20*(1+Inputs!$B$34/100)),20),MAX(0,MAX(0,Inputs!$B$43-B2409)-((R2375-1)*(IF(Inputs!$B$38="pvp",15,MAX(0.1,Skills!D4-IF(TRUE=TRUE,Inputs!$B$32,0)))*(1-IF(AND(ArtifactsInput!$M$27,Inputs!$B$4="Chapter Hunt"),CHOOSE(ArtifactsInput!$N$27+1,20,24,28,32,36,40),0)/100)))))/Skills!H4+0.000000001),1)))/Inputs!$B$43),G2375*Q2375))*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Hunt"),CHOOSE(ArtifactsInput!$N$35+1,15,18,21,24,27,30)*(1-EXP(-(0.2*B2404)*5)),0)+IF(AND(ArtifactsInput!$M$22,Inputs!$B$4&lt;&gt;"Chapter Hunt"),CHOOSE(ArtifactsInput!$N$22+1,10,12,14,16,18,20)*((0*(((0.15*B2404*5))^0/1)+1*(((0.15*B2404*5))^1/1)+2*(((0.15*B2404*5))^2/2)+3*(((0.15*B2404*5))^3/6)+4*(((0.15*B2404*5))^4/24)+5*(((0.15*B2404*5))^5/120))/((((0.15*B2404*5))^0/1)+(((0.15*B2404*5))^1/1)+(((0.15*B2404*5))^2/2)+(((0.15*B2404*5))^3/6)+(((0.15*B2404*5))^4/24)+(((0.15*B2404*5))^5/120))),0))+IF(Inputs!$B$3&gt;=54,9*(C2374=TRUE)*MIN(1,8*(1+Inputs!$B$34/100)*Q2374)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2375*(1-MIN(100,(Inputs!$B$9+((C2390=TRUE)*(F2390-Calc!F19))+B2402+(ArtifactsInput!$M$24-ArtifactsInput!$M$24)*CHOOSE(ArtifactsInput!$N$24+1,10,12,14,16,18,20)+(IF(AND(Inputs!$B$38&lt;&gt;"pvp",Inputs!$B$43=0),1,IF(IF(Inputs!$B$38="pvp",15,Inputs!$B$43)-(B2409)&lt;=0,1,MAX(0,IF(Inputs!$B$38="pvp",15,Inputs!$B$43)-MAX(5,B2409))/(IF(Inputs!$B$38="pvp",15,Inputs!$B$43)-(B2409))))*IF(AND(ArtifactsInput!$M$42,((Inputs!$B$9+((C2390=TRUE)*(F2390-Calc!F19))+B2402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2375*(MIN(100,(Inputs!$B$9+((C2390=TRUE)*(F2390-Calc!F19))+B2402+(ArtifactsInput!$M$24-ArtifactsInput!$M$24)*CHOOSE(ArtifactsInput!$N$24+1,10,12,14,16,18,20)+(IF(AND(Inputs!$B$38&lt;&gt;"pvp",Inputs!$B$43=0),1,IF(IF(Inputs!$B$38="pvp",15,Inputs!$B$43)-(B2409)&lt;=0,1,MAX(0,IF(Inputs!$B$38="pvp",15,Inputs!$B$43)-MAX(5,B2409))/(IF(Inputs!$B$38="pvp",15,Inputs!$B$43)-(B2409))))*IF(AND(ArtifactsInput!$M$42,((Inputs!$B$9+((C2390=TRUE)*(F2390-Calc!F19))+B2402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2375*(1-MIN(100,(Inputs!$B$9+((C2390=TRUE)*(F2390-Calc!F19))+B2402+(ArtifactsInput!$M$24-ArtifactsInput!$M$24)*CHOOSE(ArtifactsInput!$N$24+1,10,12,14,16,18,20)+(IF(AND(Inputs!$B$38&lt;&gt;"pvp",Inputs!$B$43=0),1,IF(IF(Inputs!$B$38="pvp",15,Inputs!$B$43)-(B2409)&lt;=0,1,MAX(0,IF(Inputs!$B$38="pvp",15,Inputs!$B$43)-MAX(5,B2409))/(IF(Inputs!$B$38="pvp",15,Inputs!$B$43)-(B2409))))*IF(AND(ArtifactsInput!$M$42,((Inputs!$B$9+((C2390=TRUE)*(F2390-Calc!F19))+B2402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2375*(MIN(100,(Inputs!$B$9+((C2390=TRUE)*(F2390-Calc!F19))+B2402+(ArtifactsInput!$M$24-ArtifactsInput!$M$24)*CHOOSE(ArtifactsInput!$N$24+1,10,12,14,16,18,20)+(IF(AND(Inputs!$B$38&lt;&gt;"pvp",Inputs!$B$43=0),1,IF(IF(Inputs!$B$38="pvp",15,Inputs!$B$43)-(B2409)&lt;=0,1,MAX(0,IF(Inputs!$B$38="pvp",15,Inputs!$B$43)-MAX(5,B2409))/(IF(Inputs!$B$38="pvp",15,Inputs!$B$43)-(B2409))))*IF(AND(ArtifactsInput!$M$42,((Inputs!$B$9+((C2390=TRUE)*(F2390-Calc!F19))+B2402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375">
        <f>290*U2374/1000</f>
        <v/>
      </c>
      <c r="V2375">
        <f>IF(C2375,(H2375*N2375*IF(AND(Inputs!$B$38&lt;&gt;"pvp",Inputs!$B$43&gt;0),((Skills!G4*((R2375-1)*IF(Skills!H4&gt;0,INT(IF(Inputs!$B$3&gt;=104,MIN(35,20*(1+Inputs!$B$34/100)),20)/Skills!H4+0.000000001),1)+IF(Skills!H4&gt;0,INT(MIN(IF(Inputs!$B$3&gt;=104,MIN(35,20*(1+Inputs!$B$34/100)),20),MAX(0,MAX(0,Inputs!$B$43-B2409)-((R2375-1)*(IF(Inputs!$B$38="pvp",15,MAX(0.1,Skills!D4-IF(TRUE=TRUE,Inputs!$B$32,0)))*(1-IF(AND(ArtifactsInput!$M$27,Inputs!$B$4="Chapter Hunt"),CHOOSE(ArtifactsInput!$N$27+1,20,24,28,32,36,40),0)/100)))))/Skills!H4+0.000000001),1)))/Inputs!$B$43),G2375*Q2375))*IF(Inputs!$B$38="pvp",1,(1+(Inputs!$B$21+Skills!Q4+(IF(ArtifactsInput!$M$33,CHOOSE(ArtifactsInput!$N$33+1,30,36,42,48,54,60),0))+(IF(AND(ArtifactsInput!$M$35,Inputs!$B$4&lt;&gt;"Chapter Hunt"),CHOOSE(ArtifactsInput!$N$35+1,15,18,21,24,27,30)*(1-EXP(-(0.2*B2404)*5)),0)+IF(AND(ArtifactsInput!$M$22,Inputs!$B$4&lt;&gt;"Chapter Hunt"),CHOOSE(ArtifactsInput!$N$22+1,10,12,14,16,18,20)*((0*(((0.15*B2404*5))^0/1)+1*(((0.15*B2404*5))^1/1)+2*(((0.15*B2404*5))^2/2)+3*(((0.15*B2404*5))^3/6)+4*(((0.15*B2404*5))^4/24)+5*(((0.15*B2404*5))^5/120))/((((0.15*B2404*5))^0/1)+(((0.15*B2404*5))^1/1)+(((0.15*B2404*5))^2/2)+(((0.15*B2404*5))^3/6)+(((0.15*B2404*5))^4/24)+(((0.15*B2404*5))^5/120))),0))+IF(Inputs!$B$3&gt;=54,9*(C2374=TRUE)*MIN(1,8*(1+Inputs!$B$34/100)*Q2374),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76">
      <c r="A2376">
        <f>Skills!A5</f>
        <v/>
      </c>
      <c r="B2376">
        <f>Skills!B5</f>
        <v/>
      </c>
      <c r="C2376">
        <f>Inputs!$B$3&gt;=69</f>
        <v/>
      </c>
      <c r="D2376">
        <f>IF(Skills!C5=1,60+Inputs!$B$25+Inputs!$B$29,IF(Skills!C5=2,90+Inputs!$B$26+Inputs!$B$29,IF(Skills!C5=3,120+Inputs!$B$27+Inputs!$B$29,MAX(0,(Inputs!$B$3-100)*3)+Inputs!$B$28+Inputs!$B$29)))</f>
        <v/>
      </c>
      <c r="E2376">
        <f>INDEX(FactorTable!$B$2:$Y$301, MATCH(ROUND(MIN(300,MAX(1,D2376)),0), FactorTable!$A$2:$A$301,0), Skills!M5+1)</f>
        <v/>
      </c>
      <c r="F2376">
        <f>IF(Skills!N5=TRUE,(Skills!L5/10)*(E2376/1000),Skills!L5/10)+Skills!O5</f>
        <v/>
      </c>
      <c r="G2376">
        <f>Skills!G5*IF(Skills!H5&gt;0,INT(IF(Inputs!$B$38="pvp",MIN(IF(Inputs!$B$3&gt;=104,MIN(35,20*(1+Inputs!$B$34/100)),20),15),IF(Inputs!$B$3&gt;=104,MIN(35,20*(1+Inputs!$B$34/100)),20))/Skills!H5+0.000000001),1)</f>
        <v/>
      </c>
      <c r="H2376">
        <f>1-(1-Skills!J5/100)^Skills!K5</f>
        <v/>
      </c>
      <c r="I2376" t="inlineStr">
        <is>
          <t>1</t>
        </is>
      </c>
      <c r="J2376">
        <f>((Inputs!$B$6*(1+Inputs!$B$7/100))+(((Inputs!$B$12*(1+Inputs!$B$13/100))-(Inputs!$B$12*(1+Inputs!$B$13/100)))+0.25*(Inputs!$B$14-Inputs!$B$14))*(1+Inputs!$B$7/100))*(F2376/100)</f>
        <v/>
      </c>
      <c r="K2376">
        <f>J2376*(1+((Inputs!$B$12*(1+Inputs!$B$13/100))*0.01+Inputs!$B$14*0.0025)/100)*(1+Inputs!$B$15/100)*(1+Inputs!$B$16/100)*(5000/(6000+Inputs!$B$42*(1-(100*(1-(1-(Inputs!$B$19+0)/100)*(1-CHOOSE(ArtifactsInput!$N$40+1,5,6,7,8,9,10)/100)^(ArtifactsInput!$M$40-ArtifactsInput!$M$40)))/100)))*(1+(Inputs!$B$24+((C2397=TRUE)*(F2397-Calc!F26))+B2408)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+0.4*IF(C2387=TRUE,F2387,0)/100)*(1+(IF(Skills!A5="EIGHT_LEGS_EASTON",Inputs!$B$17+((C2394=TRUE)*(F2394-Calc!F23))+((C2398=TRUE)*(F2398-Calc!F27))+((IF(AND(Inputs!$B$38&lt;&gt;"pvp",Inputs!$B$43=0),1,IF(IF(Inputs!$B$38="pvp",15,Inputs!$B$43)-(B2409)&lt;=0,1,MAX(0,IF(Inputs!$B$38="pvp",15,Inputs!$B$43)-MAX(5,B2409))/(IF(Inputs!$B$38="pvp",15,Inputs!$B$43)-(B2409))))*(IF(AND(ArtifactsInput!$M$42,((Inputs!$B$9+((C2390=TRUE)*(F2390-Calc!F19))+B2402+(ArtifactsInput!$M$24-ArtifactsInput!$M$24)*CHOOSE(ArtifactsInput!$N$24+1,10,12,14,16,18,20)+IF(ArtifactsInput!$M$10,CHOOSE(ArtifactsInput!$N$10+1,15,18,21,24,27,30)*(IF(Inputs!$B$38="pvp",MIN(15,15)/15,IF(AND(Inputs!$B$38&lt;&gt;"pvp",Inputs!$B$43&gt;0),MIN(15,Inputs!$B$43)/(Inputs!$B$43),0))),0)))&gt;=100),MIN(100,((Inputs!$B$9+((C2390=TRUE)*(F2390-Calc!F19))+B2402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2409)&lt;=0,1,MAX(0,IF(Inputs!$B$38="pvp",15,Inputs!$B$43)-MAX(5,B2409))/(IF(Inputs!$B$38="pvp",15,Inputs!$B$43)-(B2409))))*IF(AND(ArtifactsInput!$M$42,((Inputs!$B$9+((C2390=TRUE)*(F2390-Calc!F19))+B2402+(ArtifactsInput!$M$24-ArtifactsInput!$M$24)*CHOOSE(ArtifactsInput!$N$24+1,10,12,14,16,18,20)+IF(ArtifactsInput!$M$10,CHOOSE(ArtifactsInput!$N$10+1,15,18,21,24,27,30)*(IF(Inputs!$B$38="pvp",MIN(15,15)/15,IF(AND(Inputs!$B$38&lt;&gt;"pvp",Inputs!$B$43&gt;0),MIN(15,Inputs!$B$43)/(Inputs!$B$43),0))),0)))&gt;=100),CHOOSE(ArtifactsInput!$N$42+1,40,48,56,64,72,80),0))))/100)*((1+(((C2388=TRUE)*F2388*5/7)+((C2395=TRUE)*(F2395-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2376)</f>
        <v/>
      </c>
      <c r="L2376">
        <f>K2376*(MIN(Inputs!$B$22+((C2393=TRUE)*(F2393-Calc!F22)),(Inputs!$B$23+0+(IF(ArtifactsInput!$M$15,CHOOSE(ArtifactsInput!$N$15+1,25,30,35,40,45,50)/100*(Inputs!$B$11-Inputs!$B$11),0))))/100+(Inputs!$B$23+0+(IF(ArtifactsInput!$M$15,CHOOSE(ArtifactsInput!$N$15+1,25,30,35,40,45,50)/100*(Inputs!$B$11-Inputs!$B$11),0)))/100)/2</f>
        <v/>
      </c>
      <c r="M2376">
        <f>L2376*(1+(Inputs!$B$10+((C2396=TRUE)*(F2396-Calc!F25))+B2407+(IF(ArtifactsInput!$M$24,CHOOSE(ArtifactsInput!$N$24+1,30,36,42,48,54,60)/100*(Inputs!$B$9-Inputs!$B$9),0)+IF(ArtifactsInput!$M$10,CHOOSE(ArtifactsInput!$N$10+1,20,24,28,32,36,40)*(IF(Inputs!$B$38="pvp",MIN(15,15)/15,IF(AND(Inputs!$B$38&lt;&gt;"pvp",Inputs!$B$43&gt;0),MIN(15,Inputs!$B$43)/(Inputs!$B$43),0))),0)+IF(IF(ArtifactsInput!$M$31,FALSE,TRUE),1.5*CHOOSE(ArtifactsInput!$N$31+1,20,24,28,32,36,40),0)))/100)</f>
        <v/>
      </c>
      <c r="N2376">
        <f>L2376*(1-MIN((Inputs!$B$9+((C2390=TRUE)*(F2390-Calc!F19))+B2402+(ArtifactsInput!$M$24-ArtifactsInput!$M$24)*CHOOSE(ArtifactsInput!$N$24+1,10,12,14,16,18,20)+(IF(AND(Inputs!$B$38&lt;&gt;"pvp",Inputs!$B$43=0),1,IF(IF(Inputs!$B$38="pvp",15,Inputs!$B$43)-(B2409)&lt;=0,1,MAX(0,IF(Inputs!$B$38="pvp",15,Inputs!$B$43)-MAX(5,B2409))/(IF(Inputs!$B$38="pvp",15,Inputs!$B$43)-(B2409))))*IF(AND(ArtifactsInput!$M$42,((Inputs!$B$9+((C2390=TRUE)*(F2390-Calc!F19))+B2402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2376*(MIN((Inputs!$B$9+((C2390=TRUE)*(F2390-Calc!F19))+B2402+(ArtifactsInput!$M$24-ArtifactsInput!$M$24)*CHOOSE(ArtifactsInput!$N$24+1,10,12,14,16,18,20)+(IF(AND(Inputs!$B$38&lt;&gt;"pvp",Inputs!$B$43=0),1,IF(IF(Inputs!$B$38="pvp",15,Inputs!$B$43)-(B2409)&lt;=0,1,MAX(0,IF(Inputs!$B$38="pvp",15,Inputs!$B$43)-MAX(5,B2409))/(IF(Inputs!$B$38="pvp",15,Inputs!$B$43)-(B2409))))*IF(AND(ArtifactsInput!$M$42,((Inputs!$B$9+((C2390=TRUE)*(F2390-Calc!F19))+B2402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76">
        <f>(1-Summary!$B$11)*T2376+Summary!$B$11*V2376</f>
        <v/>
      </c>
      <c r="P2376">
        <f>IF(B2412=0,0,O2376/B2412)</f>
        <v/>
      </c>
      <c r="Q2376">
        <f>IFERROR(1/(IF(Inputs!$B$38="pvp",15,MAX(0.1,Skills!D5-IF(TRUE=TRUE,Inputs!$B$32,0)))*(1-IF(AND(ArtifactsInput!$M$27,Inputs!$B$4="Chapter Hunt"),CHOOSE(ArtifactsInput!$N$27+1,20,24,28,32,36,40),0)/100)),0)</f>
        <v/>
      </c>
      <c r="R2376">
        <f>IF(AND(Inputs!$B$38&lt;&gt;"pvp",Inputs!$B$43&gt;0),IF(MAX(0,Inputs!$B$43-B2409)&lt;=0,0,(INT(MAX(0,Inputs!$B$43-B2409)/(IF(Inputs!$B$38="pvp",15,MAX(0.1,Skills!D5-IF(TRUE=TRUE,Inputs!$B$32,0)))*(1-IF(AND(ArtifactsInput!$M$27,Inputs!$B$4="Chapter Hunt"),CHOOSE(ArtifactsInput!$N$27+1,20,24,28,32,36,40),0)/100)))+1)),0)</f>
        <v/>
      </c>
      <c r="S2376">
        <f>IFERROR(O2376/N2376,0)</f>
        <v/>
      </c>
      <c r="T2376">
        <f>IF(C2376,(H2376*N2376*IF(AND(Inputs!$B$38&lt;&gt;"pvp",Inputs!$B$43&gt;0),((Skills!G5*((R2376-1)*IF(Skills!H5&gt;0,INT(IF(Inputs!$B$3&gt;=104,MIN(35,20*(1+Inputs!$B$34/100)),20)/Skills!H5+0.000000001),1)+IF(Skills!H5&gt;0,INT(MIN(IF(Inputs!$B$3&gt;=104,MIN(35,20*(1+Inputs!$B$34/100)),20),MAX(0,MAX(0,Inputs!$B$43-B2409)-((R2376-1)*(IF(Inputs!$B$38="pvp",15,MAX(0.1,Skills!D5-IF(TRUE=TRUE,Inputs!$B$32,0)))*(1-IF(AND(ArtifactsInput!$M$27,Inputs!$B$4="Chapter Hunt"),CHOOSE(ArtifactsInput!$N$27+1,20,24,28,32,36,40),0)/100)))))/Skills!H5+0.000000001),1)))/Inputs!$B$43),G2376*Q2376))*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Hunt"),CHOOSE(ArtifactsInput!$N$35+1,15,18,21,24,27,30)*(1-EXP(-(0.2*B2404)*5)),0)+IF(AND(ArtifactsInput!$M$22,Inputs!$B$4&lt;&gt;"Chapter Hunt"),CHOOSE(ArtifactsInput!$N$22+1,10,12,14,16,18,20)*((0*(((0.15*B2404*5))^0/1)+1*(((0.15*B2404*5))^1/1)+2*(((0.15*B2404*5))^2/2)+3*(((0.15*B2404*5))^3/6)+4*(((0.15*B2404*5))^4/24)+5*(((0.15*B2404*5))^5/120))/((((0.15*B2404*5))^0/1)+(((0.15*B2404*5))^1/1)+(((0.15*B2404*5))^2/2)+(((0.15*B2404*5))^3/6)+(((0.15*B2404*5))^4/24)+(((0.15*B2404*5))^5/120))),0))+IF(Inputs!$B$3&gt;=54,9*(C2374=TRUE)*MIN(1,8*(1+Inputs!$B$34/100)*Q2374)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2376*(1-MIN(100,(Inputs!$B$9+((C2390=TRUE)*(F2390-Calc!F19))+B2402+(ArtifactsInput!$M$24-ArtifactsInput!$M$24)*CHOOSE(ArtifactsInput!$N$24+1,10,12,14,16,18,20)+(IF(AND(Inputs!$B$38&lt;&gt;"pvp",Inputs!$B$43=0),1,IF(IF(Inputs!$B$38="pvp",15,Inputs!$B$43)-(B2409)&lt;=0,1,MAX(0,IF(Inputs!$B$38="pvp",15,Inputs!$B$43)-MAX(5,B2409))/(IF(Inputs!$B$38="pvp",15,Inputs!$B$43)-(B2409))))*IF(AND(ArtifactsInput!$M$42,((Inputs!$B$9+((C2390=TRUE)*(F2390-Calc!F19))+B2402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2376*(MIN(100,(Inputs!$B$9+((C2390=TRUE)*(F2390-Calc!F19))+B2402+(ArtifactsInput!$M$24-ArtifactsInput!$M$24)*CHOOSE(ArtifactsInput!$N$24+1,10,12,14,16,18,20)+(IF(AND(Inputs!$B$38&lt;&gt;"pvp",Inputs!$B$43=0),1,IF(IF(Inputs!$B$38="pvp",15,Inputs!$B$43)-(B2409)&lt;=0,1,MAX(0,IF(Inputs!$B$38="pvp",15,Inputs!$B$43)-MAX(5,B2409))/(IF(Inputs!$B$38="pvp",15,Inputs!$B$43)-(B2409))))*IF(AND(ArtifactsInput!$M$42,((Inputs!$B$9+((C2390=TRUE)*(F2390-Calc!F19))+B2402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2376*(1-MIN(100,(Inputs!$B$9+((C2390=TRUE)*(F2390-Calc!F19))+B2402+(ArtifactsInput!$M$24-ArtifactsInput!$M$24)*CHOOSE(ArtifactsInput!$N$24+1,10,12,14,16,18,20)+(IF(AND(Inputs!$B$38&lt;&gt;"pvp",Inputs!$B$43=0),1,IF(IF(Inputs!$B$38="pvp",15,Inputs!$B$43)-(B2409)&lt;=0,1,MAX(0,IF(Inputs!$B$38="pvp",15,Inputs!$B$43)-MAX(5,B2409))/(IF(Inputs!$B$38="pvp",15,Inputs!$B$43)-(B2409))))*IF(AND(ArtifactsInput!$M$42,((Inputs!$B$9+((C2390=TRUE)*(F2390-Calc!F19))+B2402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2376*(MIN(100,(Inputs!$B$9+((C2390=TRUE)*(F2390-Calc!F19))+B2402+(ArtifactsInput!$M$24-ArtifactsInput!$M$24)*CHOOSE(ArtifactsInput!$N$24+1,10,12,14,16,18,20)+(IF(AND(Inputs!$B$38&lt;&gt;"pvp",Inputs!$B$43=0),1,IF(IF(Inputs!$B$38="pvp",15,Inputs!$B$43)-(B2409)&lt;=0,1,MAX(0,IF(Inputs!$B$38="pvp",15,Inputs!$B$43)-MAX(5,B2409))/(IF(Inputs!$B$38="pvp",15,Inputs!$B$43)-(B2409))))*IF(AND(ArtifactsInput!$M$42,((Inputs!$B$9+((C2390=TRUE)*(F2390-Calc!F19))+B2402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376">
        <f>IF(C2376,(H2376*N2376*IF(AND(Inputs!$B$38&lt;&gt;"pvp",Inputs!$B$43&gt;0),((Skills!G5*((R2376-1)*IF(Skills!H5&gt;0,INT(IF(Inputs!$B$3&gt;=104,MIN(35,20*(1+Inputs!$B$34/100)),20)/Skills!H5+0.000000001),1)+IF(Skills!H5&gt;0,INT(MIN(IF(Inputs!$B$3&gt;=104,MIN(35,20*(1+Inputs!$B$34/100)),20),MAX(0,MAX(0,Inputs!$B$43-B2409)-((R2376-1)*(IF(Inputs!$B$38="pvp",15,MAX(0.1,Skills!D5-IF(TRUE=TRUE,Inputs!$B$32,0)))*(1-IF(AND(ArtifactsInput!$M$27,Inputs!$B$4="Chapter Hunt"),CHOOSE(ArtifactsInput!$N$27+1,20,24,28,32,36,40),0)/100)))))/Skills!H5+0.000000001),1)))/Inputs!$B$43),G2376*Q2376))*IF(Inputs!$B$38="pvp",1,(1+(Inputs!$B$21+Skills!Q5+(IF(ArtifactsInput!$M$33,CHOOSE(ArtifactsInput!$N$33+1,30,36,42,48,54,60),0))+(IF(AND(ArtifactsInput!$M$35,Inputs!$B$4&lt;&gt;"Chapter Hunt"),CHOOSE(ArtifactsInput!$N$35+1,15,18,21,24,27,30)*(1-EXP(-(0.2*B2404)*5)),0)+IF(AND(ArtifactsInput!$M$22,Inputs!$B$4&lt;&gt;"Chapter Hunt"),CHOOSE(ArtifactsInput!$N$22+1,10,12,14,16,18,20)*((0*(((0.15*B2404*5))^0/1)+1*(((0.15*B2404*5))^1/1)+2*(((0.15*B2404*5))^2/2)+3*(((0.15*B2404*5))^3/6)+4*(((0.15*B2404*5))^4/24)+5*(((0.15*B2404*5))^5/120))/((((0.15*B2404*5))^0/1)+(((0.15*B2404*5))^1/1)+(((0.15*B2404*5))^2/2)+(((0.15*B2404*5))^3/6)+(((0.15*B2404*5))^4/24)+(((0.15*B2404*5))^5/120))),0))+IF(Inputs!$B$3&gt;=54,9*(C2374=TRUE)*MIN(1,8*(1+Inputs!$B$34/100)*Q2374),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77">
      <c r="A2377">
        <f>Skills!A6</f>
        <v/>
      </c>
      <c r="B2377">
        <f>Skills!B6</f>
        <v/>
      </c>
      <c r="C2377">
        <f>Inputs!$B$3&gt;=66</f>
        <v/>
      </c>
      <c r="D2377">
        <f>IF(Skills!C6=1,60+Inputs!$B$25+Inputs!$B$29,IF(Skills!C6=2,90+Inputs!$B$26+Inputs!$B$29,IF(Skills!C6=3,120+Inputs!$B$27+Inputs!$B$29,MAX(0,(Inputs!$B$3-100)*3)+Inputs!$B$28+Inputs!$B$29)))</f>
        <v/>
      </c>
      <c r="E2377">
        <f>INDEX(FactorTable!$B$2:$Y$301, MATCH(ROUND(MIN(300,MAX(1,D2377)),0), FactorTable!$A$2:$A$301,0), Skills!M6+1)</f>
        <v/>
      </c>
      <c r="F2377">
        <f>IF(Skills!N6=TRUE,(Skills!L6/10)*(E2377/1000),Skills!L6/10)+Skills!O6</f>
        <v/>
      </c>
      <c r="G2377">
        <f>Skills!G6*IF(Skills!H6&gt;0,INT(IF(Inputs!$B$38="pvp",MIN(Skills!I6,15),Skills!I6)/Skills!H6+0.000000001),1)</f>
        <v/>
      </c>
      <c r="H2377">
        <f>1-(1-Skills!J6/100)^Skills!K6</f>
        <v/>
      </c>
      <c r="I2377" t="inlineStr">
        <is>
          <t>1</t>
        </is>
      </c>
      <c r="J2377">
        <f>((Inputs!$B$6*(1+Inputs!$B$7/100))+(((Inputs!$B$12*(1+Inputs!$B$13/100))-(Inputs!$B$12*(1+Inputs!$B$13/100)))+0.25*(Inputs!$B$14-Inputs!$B$14))*(1+Inputs!$B$7/100))*(F2377/100)</f>
        <v/>
      </c>
      <c r="K2377">
        <f>J2377*(1+((Inputs!$B$12*(1+Inputs!$B$13/100))*0.01+Inputs!$B$14*0.0025)/100)*(1+Inputs!$B$15/100)*(1+Inputs!$B$16/100)*(5000/(6000+Inputs!$B$42*(1-(100*(1-(1-(Inputs!$B$19+0)/100)*(1-CHOOSE(ArtifactsInput!$N$40+1,5,6,7,8,9,10)/100)^(ArtifactsInput!$M$40-ArtifactsInput!$M$40)))/100)))*(1+(Inputs!$B$24+((C2397=TRUE)*(F2397-Calc!F26))+B2408)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+2.0*IF(C2386=TRUE,F2386,0)/100)*(1+(IF(Skills!A6="EIGHT_LEGS_EASTON",Inputs!$B$17+((C2394=TRUE)*(F2394-Calc!F23))+((C2398=TRUE)*(F2398-Calc!F27))+((IF(AND(Inputs!$B$38&lt;&gt;"pvp",Inputs!$B$43=0),1,IF(IF(Inputs!$B$38="pvp",15,Inputs!$B$43)-(B2409)&lt;=0,1,MAX(0,IF(Inputs!$B$38="pvp",15,Inputs!$B$43)-MAX(5,B2409))/(IF(Inputs!$B$38="pvp",15,Inputs!$B$43)-(B2409))))*(IF(AND(ArtifactsInput!$M$42,((Inputs!$B$9+((C2390=TRUE)*(F2390-Calc!F19))+B2402+(ArtifactsInput!$M$24-ArtifactsInput!$M$24)*CHOOSE(ArtifactsInput!$N$24+1,10,12,14,16,18,20)+IF(ArtifactsInput!$M$10,CHOOSE(ArtifactsInput!$N$10+1,15,18,21,24,27,30)*(IF(Inputs!$B$38="pvp",MIN(15,15)/15,IF(AND(Inputs!$B$38&lt;&gt;"pvp",Inputs!$B$43&gt;0),MIN(15,Inputs!$B$43)/(Inputs!$B$43),0))),0)))&gt;=100),MIN(100,((Inputs!$B$9+((C2390=TRUE)*(F2390-Calc!F19))+B2402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2409)&lt;=0,1,MAX(0,IF(Inputs!$B$38="pvp",15,Inputs!$B$43)-MAX(5,B2409))/(IF(Inputs!$B$38="pvp",15,Inputs!$B$43)-(B2409))))*IF(AND(ArtifactsInput!$M$42,((Inputs!$B$9+((C2390=TRUE)*(F2390-Calc!F19))+B2402+(ArtifactsInput!$M$24-ArtifactsInput!$M$24)*CHOOSE(ArtifactsInput!$N$24+1,10,12,14,16,18,20)+IF(ArtifactsInput!$M$10,CHOOSE(ArtifactsInput!$N$10+1,15,18,21,24,27,30)*(IF(Inputs!$B$38="pvp",MIN(15,15)/15,IF(AND(Inputs!$B$38&lt;&gt;"pvp",Inputs!$B$43&gt;0),MIN(15,Inputs!$B$43)/(Inputs!$B$43),0))),0)))&gt;=100),CHOOSE(ArtifactsInput!$N$42+1,40,48,56,64,72,80),0))))/100)*((1+(((C2388=TRUE)*F2388*5/7)+((C2395=TRUE)*(F2395-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2377)</f>
        <v/>
      </c>
      <c r="L2377">
        <f>K2377*(MIN(Inputs!$B$22+((C2393=TRUE)*(F2393-Calc!F22)),(Inputs!$B$23+0+(IF(ArtifactsInput!$M$15,CHOOSE(ArtifactsInput!$N$15+1,25,30,35,40,45,50)/100*(Inputs!$B$11-Inputs!$B$11),0))))/100+(Inputs!$B$23+0+(IF(ArtifactsInput!$M$15,CHOOSE(ArtifactsInput!$N$15+1,25,30,35,40,45,50)/100*(Inputs!$B$11-Inputs!$B$11),0)))/100)/2</f>
        <v/>
      </c>
      <c r="M2377">
        <f>L2377*(1+(Inputs!$B$10+((C2396=TRUE)*(F2396-Calc!F25))+B2407+(IF(ArtifactsInput!$M$24,CHOOSE(ArtifactsInput!$N$24+1,30,36,42,48,54,60)/100*(Inputs!$B$9-Inputs!$B$9),0)+IF(ArtifactsInput!$M$10,CHOOSE(ArtifactsInput!$N$10+1,20,24,28,32,36,40)*(IF(Inputs!$B$38="pvp",MIN(15,15)/15,IF(AND(Inputs!$B$38&lt;&gt;"pvp",Inputs!$B$43&gt;0),MIN(15,Inputs!$B$43)/(Inputs!$B$43),0))),0)+IF(IF(ArtifactsInput!$M$31,FALSE,TRUE),1.5*CHOOSE(ArtifactsInput!$N$31+1,20,24,28,32,36,40),0)))/100)</f>
        <v/>
      </c>
      <c r="N2377">
        <f>L2377*(1-MIN((Inputs!$B$9+((C2390=TRUE)*(F2390-Calc!F19))+B2402+(ArtifactsInput!$M$24-ArtifactsInput!$M$24)*CHOOSE(ArtifactsInput!$N$24+1,10,12,14,16,18,20)+(IF(AND(Inputs!$B$38&lt;&gt;"pvp",Inputs!$B$43=0),1,IF(IF(Inputs!$B$38="pvp",15,Inputs!$B$43)-(B2409)&lt;=0,1,MAX(0,IF(Inputs!$B$38="pvp",15,Inputs!$B$43)-MAX(5,B2409))/(IF(Inputs!$B$38="pvp",15,Inputs!$B$43)-(B2409))))*IF(AND(ArtifactsInput!$M$42,((Inputs!$B$9+((C2390=TRUE)*(F2390-Calc!F19))+B2402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2377*(MIN((Inputs!$B$9+((C2390=TRUE)*(F2390-Calc!F19))+B2402+(ArtifactsInput!$M$24-ArtifactsInput!$M$24)*CHOOSE(ArtifactsInput!$N$24+1,10,12,14,16,18,20)+(IF(AND(Inputs!$B$38&lt;&gt;"pvp",Inputs!$B$43=0),1,IF(IF(Inputs!$B$38="pvp",15,Inputs!$B$43)-(B2409)&lt;=0,1,MAX(0,IF(Inputs!$B$38="pvp",15,Inputs!$B$43)-MAX(5,B2409))/(IF(Inputs!$B$38="pvp",15,Inputs!$B$43)-(B2409))))*IF(AND(ArtifactsInput!$M$42,((Inputs!$B$9+((C2390=TRUE)*(F2390-Calc!F19))+B2402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77">
        <f>(1-Summary!$B$11)*T2377+Summary!$B$11*V2377</f>
        <v/>
      </c>
      <c r="P2377">
        <f>IF(B2412=0,0,O2377/B2412)</f>
        <v/>
      </c>
      <c r="Q2377">
        <f>IFERROR(1/(IF(Inputs!$B$38="pvp",15,MAX(0.1,Skills!D6-IF(TRUE=TRUE,Inputs!$B$32,0)))*(1-IF(AND(ArtifactsInput!$M$27,Inputs!$B$4="Chapter Hunt"),CHOOSE(ArtifactsInput!$N$27+1,20,24,28,32,36,40),0)/100)),0)</f>
        <v/>
      </c>
      <c r="R2377">
        <f>IF(AND(Inputs!$B$38&lt;&gt;"pvp",Inputs!$B$43&gt;0),IF(MAX(0,Inputs!$B$43-B2409)&lt;=0,0,(INT(MAX(0,Inputs!$B$43-B2409)/(IF(Inputs!$B$38="pvp",15,MAX(0.1,Skills!D6-IF(TRUE=TRUE,Inputs!$B$32,0)))*(1-IF(AND(ArtifactsInput!$M$27,Inputs!$B$4="Chapter Hunt"),CHOOSE(ArtifactsInput!$N$27+1,20,24,28,32,36,40),0)/100)))+1)),0)</f>
        <v/>
      </c>
      <c r="S2377">
        <f>IFERROR(O2377/N2377,0)</f>
        <v/>
      </c>
      <c r="T2377">
        <f>IF(C2377,(H2377*N2377*IF(AND(Inputs!$B$38&lt;&gt;"pvp",Inputs!$B$43&gt;0),((Skills!G6*((R2377-1)*IF(Skills!H6&gt;0,INT(Skills!I6/Skills!H6+0.000000001),1)+IF(Skills!H6&gt;0,INT(MIN(Skills!I6,MAX(0,MAX(0,Inputs!$B$43-B2409)-((R2377-1)*(IF(Inputs!$B$38="pvp",15,MAX(0.1,Skills!D6-IF(TRUE=TRUE,Inputs!$B$32,0)))*(1-IF(AND(ArtifactsInput!$M$27,Inputs!$B$4="Chapter Hunt"),CHOOSE(ArtifactsInput!$N$27+1,20,24,28,32,36,40),0)/100)))))/Skills!H6+0.000000001),1)))/Inputs!$B$43),G2377*Q2377)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Hunt"),CHOOSE(ArtifactsInput!$N$35+1,15,18,21,24,27,30)*(1-EXP(-(0.2*B2404)*5)),0)+IF(AND(ArtifactsInput!$M$22,Inputs!$B$4&lt;&gt;"Chapter Hunt"),CHOOSE(ArtifactsInput!$N$22+1,10,12,14,16,18,20)*((0*(((0.15*B2404*5))^0/1)+1*(((0.15*B2404*5))^1/1)+2*(((0.15*B2404*5))^2/2)+3*(((0.15*B2404*5))^3/6)+4*(((0.15*B2404*5))^4/24)+5*(((0.15*B2404*5))^5/120))/((((0.15*B2404*5))^0/1)+(((0.15*B2404*5))^1/1)+(((0.15*B2404*5))^2/2)+(((0.15*B2404*5))^3/6)+(((0.15*B2404*5))^4/24)+(((0.15*B2404*5))^5/120))),0))+IF(Inputs!$B$3&gt;=54,9*(C2374=TRUE)*MIN(1,8*(1+Inputs!$B$34/100)*Q2374)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2377*(1-MIN(100,(Inputs!$B$9+((C2390=TRUE)*(F2390-Calc!F19))+B2402+(ArtifactsInput!$M$24-ArtifactsInput!$M$24)*CHOOSE(ArtifactsInput!$N$24+1,10,12,14,16,18,20)+(IF(AND(Inputs!$B$38&lt;&gt;"pvp",Inputs!$B$43=0),1,IF(IF(Inputs!$B$38="pvp",15,Inputs!$B$43)-(B2409)&lt;=0,1,MAX(0,IF(Inputs!$B$38="pvp",15,Inputs!$B$43)-MAX(5,B2409))/(IF(Inputs!$B$38="pvp",15,Inputs!$B$43)-(B2409))))*IF(AND(ArtifactsInput!$M$42,((Inputs!$B$9+((C2390=TRUE)*(F2390-Calc!F19))+B2402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2377*(MIN(100,(Inputs!$B$9+((C2390=TRUE)*(F2390-Calc!F19))+B2402+(ArtifactsInput!$M$24-ArtifactsInput!$M$24)*CHOOSE(ArtifactsInput!$N$24+1,10,12,14,16,18,20)+(IF(AND(Inputs!$B$38&lt;&gt;"pvp",Inputs!$B$43=0),1,IF(IF(Inputs!$B$38="pvp",15,Inputs!$B$43)-(B2409)&lt;=0,1,MAX(0,IF(Inputs!$B$38="pvp",15,Inputs!$B$43)-MAX(5,B2409))/(IF(Inputs!$B$38="pvp",15,Inputs!$B$43)-(B2409))))*IF(AND(ArtifactsInput!$M$42,((Inputs!$B$9+((C2390=TRUE)*(F2390-Calc!F19))+B2402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2377*(1-MIN(100,(Inputs!$B$9+((C2390=TRUE)*(F2390-Calc!F19))+B2402+(ArtifactsInput!$M$24-ArtifactsInput!$M$24)*CHOOSE(ArtifactsInput!$N$24+1,10,12,14,16,18,20)+(IF(AND(Inputs!$B$38&lt;&gt;"pvp",Inputs!$B$43=0),1,IF(IF(Inputs!$B$38="pvp",15,Inputs!$B$43)-(B2409)&lt;=0,1,MAX(0,IF(Inputs!$B$38="pvp",15,Inputs!$B$43)-MAX(5,B2409))/(IF(Inputs!$B$38="pvp",15,Inputs!$B$43)-(B2409))))*IF(AND(ArtifactsInput!$M$42,((Inputs!$B$9+((C2390=TRUE)*(F2390-Calc!F19))+B2402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2377*(MIN(100,(Inputs!$B$9+((C2390=TRUE)*(F2390-Calc!F19))+B2402+(ArtifactsInput!$M$24-ArtifactsInput!$M$24)*CHOOSE(ArtifactsInput!$N$24+1,10,12,14,16,18,20)+(IF(AND(Inputs!$B$38&lt;&gt;"pvp",Inputs!$B$43=0),1,IF(IF(Inputs!$B$38="pvp",15,Inputs!$B$43)-(B2409)&lt;=0,1,MAX(0,IF(Inputs!$B$38="pvp",15,Inputs!$B$43)-MAX(5,B2409))/(IF(Inputs!$B$38="pvp",15,Inputs!$B$43)-(B2409))))*IF(AND(ArtifactsInput!$M$42,((Inputs!$B$9+((C2390=TRUE)*(F2390-Calc!F19))+B2402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377">
        <f>IF(C2377,(H2377*N2377*IF(AND(Inputs!$B$38&lt;&gt;"pvp",Inputs!$B$43&gt;0),((Skills!G6*((R2377-1)*IF(Skills!H6&gt;0,INT(Skills!I6/Skills!H6+0.000000001),1)+IF(Skills!H6&gt;0,INT(MIN(Skills!I6,MAX(0,MAX(0,Inputs!$B$43-B2409)-((R2377-1)*(IF(Inputs!$B$38="pvp",15,MAX(0.1,Skills!D6-IF(TRUE=TRUE,Inputs!$B$32,0)))*(1-IF(AND(ArtifactsInput!$M$27,Inputs!$B$4="Chapter Hunt"),CHOOSE(ArtifactsInput!$N$27+1,20,24,28,32,36,40),0)/100)))))/Skills!H6+0.000000001),1)))/Inputs!$B$43),G2377*Q2377))*IF(Inputs!$B$38="pvp",1,(1+(Inputs!$B$21+Skills!Q6+(IF(ArtifactsInput!$M$33,CHOOSE(ArtifactsInput!$N$33+1,30,36,42,48,54,60),0))+(IF(AND(ArtifactsInput!$M$35,Inputs!$B$4&lt;&gt;"Chapter Hunt"),CHOOSE(ArtifactsInput!$N$35+1,15,18,21,24,27,30)*(1-EXP(-(0.2*B2404)*5)),0)+IF(AND(ArtifactsInput!$M$22,Inputs!$B$4&lt;&gt;"Chapter Hunt"),CHOOSE(ArtifactsInput!$N$22+1,10,12,14,16,18,20)*((0*(((0.15*B2404*5))^0/1)+1*(((0.15*B2404*5))^1/1)+2*(((0.15*B2404*5))^2/2)+3*(((0.15*B2404*5))^3/6)+4*(((0.15*B2404*5))^4/24)+5*(((0.15*B2404*5))^5/120))/((((0.15*B2404*5))^0/1)+(((0.15*B2404*5))^1/1)+(((0.15*B2404*5))^2/2)+(((0.15*B2404*5))^3/6)+(((0.15*B2404*5))^4/24)+(((0.15*B2404*5))^5/120))),0))+IF(Inputs!$B$3&gt;=54,9*(C2374=TRUE)*MIN(1,8*(1+Inputs!$B$34/100)*Q2374),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78">
      <c r="A2378">
        <f>Skills!A7</f>
        <v/>
      </c>
      <c r="B2378">
        <f>Skills!B7</f>
        <v/>
      </c>
      <c r="C2378">
        <f>Inputs!$B$3&gt;=63</f>
        <v/>
      </c>
      <c r="D2378">
        <f>IF(Skills!C7=1,60+Inputs!$B$25+Inputs!$B$29,IF(Skills!C7=2,90+Inputs!$B$26+Inputs!$B$29,IF(Skills!C7=3,120+Inputs!$B$27+Inputs!$B$29,MAX(0,(Inputs!$B$3-100)*3)+Inputs!$B$28+Inputs!$B$29)))</f>
        <v/>
      </c>
      <c r="E2378">
        <f>INDEX(FactorTable!$B$2:$Y$301, MATCH(ROUND(MIN(300,MAX(1,D2378)),0), FactorTable!$A$2:$A$301,0), Skills!M7+1)</f>
        <v/>
      </c>
      <c r="F2378">
        <f>IF(Skills!N7=TRUE,(Skills!L7/10)*(E2378/1000),Skills!L7/10)+Skills!O7</f>
        <v/>
      </c>
      <c r="G2378">
        <f>Skills!G7*IF(Skills!H7&gt;0,INT(IF(Inputs!$B$38="pvp",MIN(Skills!I7,15),Skills!I7)/Skills!H7+0.000000001),1)</f>
        <v/>
      </c>
      <c r="H2378">
        <f>1-(1-Skills!J7/100)^Skills!K7</f>
        <v/>
      </c>
      <c r="I2378" t="inlineStr">
        <is>
          <t>1</t>
        </is>
      </c>
      <c r="J2378">
        <f>((Inputs!$B$6*(1+Inputs!$B$7/100))+(((Inputs!$B$12*(1+Inputs!$B$13/100))-(Inputs!$B$12*(1+Inputs!$B$13/100)))+0.25*(Inputs!$B$14-Inputs!$B$14))*(1+Inputs!$B$7/100))*(F2378/100)</f>
        <v/>
      </c>
      <c r="K2378">
        <f>J2378*(1+((Inputs!$B$12*(1+Inputs!$B$13/100))*0.01+Inputs!$B$14*0.0025)/100)*(1+Inputs!$B$15/100)*(1+Inputs!$B$16/100)*(5000/(6000+Inputs!$B$42*(1-(100*(1-(1-(Inputs!$B$19+0)/100)*(1-CHOOSE(ArtifactsInput!$N$40+1,5,6,7,8,9,10)/100)^(ArtifactsInput!$M$40-ArtifactsInput!$M$40)))/100)))*(1+(Inputs!$B$24+((C2397=TRUE)*(F2397-Calc!F26))+B2408)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2386=TRUE,F2386,0)/100)*(1+(IF(Skills!A7="EIGHT_LEGS_EASTON",Inputs!$B$17+((C2394=TRUE)*(F2394-Calc!F23))+((C2398=TRUE)*(F2398-Calc!F27))+((IF(AND(Inputs!$B$38&lt;&gt;"pvp",Inputs!$B$43=0),1,IF(IF(Inputs!$B$38="pvp",15,Inputs!$B$43)-(B2409)&lt;=0,1,MAX(0,IF(Inputs!$B$38="pvp",15,Inputs!$B$43)-MAX(5,B2409))/(IF(Inputs!$B$38="pvp",15,Inputs!$B$43)-(B2409))))*(IF(AND(ArtifactsInput!$M$42,((Inputs!$B$9+((C2390=TRUE)*(F2390-Calc!F19))+B2402+(ArtifactsInput!$M$24-ArtifactsInput!$M$24)*CHOOSE(ArtifactsInput!$N$24+1,10,12,14,16,18,20)+IF(ArtifactsInput!$M$10,CHOOSE(ArtifactsInput!$N$10+1,15,18,21,24,27,30)*(IF(Inputs!$B$38="pvp",MIN(15,15)/15,IF(AND(Inputs!$B$38&lt;&gt;"pvp",Inputs!$B$43&gt;0),MIN(15,Inputs!$B$43)/(Inputs!$B$43),0))),0)))&gt;=100),MIN(100,((Inputs!$B$9+((C2390=TRUE)*(F2390-Calc!F19))+B2402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2409)&lt;=0,1,MAX(0,IF(Inputs!$B$38="pvp",15,Inputs!$B$43)-MAX(5,B2409))/(IF(Inputs!$B$38="pvp",15,Inputs!$B$43)-(B2409))))*IF(AND(ArtifactsInput!$M$42,((Inputs!$B$9+((C2390=TRUE)*(F2390-Calc!F19))+B2402+(ArtifactsInput!$M$24-ArtifactsInput!$M$24)*CHOOSE(ArtifactsInput!$N$24+1,10,12,14,16,18,20)+IF(ArtifactsInput!$M$10,CHOOSE(ArtifactsInput!$N$10+1,15,18,21,24,27,30)*(IF(Inputs!$B$38="pvp",MIN(15,15)/15,IF(AND(Inputs!$B$38&lt;&gt;"pvp",Inputs!$B$43&gt;0),MIN(15,Inputs!$B$43)/(Inputs!$B$43),0))),0)))&gt;=100),CHOOSE(ArtifactsInput!$N$42+1,40,48,56,64,72,80),0))))/100)*((1+(((C2388=TRUE)*F2388*5/7)+((C2395=TRUE)*(F2395-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2378)</f>
        <v/>
      </c>
      <c r="L2378">
        <f>K2378*(MIN(Inputs!$B$22+((C2393=TRUE)*(F2393-Calc!F22)),(Inputs!$B$23+0+(IF(ArtifactsInput!$M$15,CHOOSE(ArtifactsInput!$N$15+1,25,30,35,40,45,50)/100*(Inputs!$B$11-Inputs!$B$11),0))))/100+(Inputs!$B$23+0+(IF(ArtifactsInput!$M$15,CHOOSE(ArtifactsInput!$N$15+1,25,30,35,40,45,50)/100*(Inputs!$B$11-Inputs!$B$11),0)))/100)/2</f>
        <v/>
      </c>
      <c r="M2378">
        <f>L2378*(1+(Inputs!$B$10+((C2396=TRUE)*(F2396-Calc!F25))+B2407+(IF(ArtifactsInput!$M$24,CHOOSE(ArtifactsInput!$N$24+1,30,36,42,48,54,60)/100*(Inputs!$B$9-Inputs!$B$9),0)+IF(ArtifactsInput!$M$10,CHOOSE(ArtifactsInput!$N$10+1,20,24,28,32,36,40)*(IF(Inputs!$B$38="pvp",MIN(15,15)/15,IF(AND(Inputs!$B$38&lt;&gt;"pvp",Inputs!$B$43&gt;0),MIN(15,Inputs!$B$43)/(Inputs!$B$43),0))),0)+IF(IF(ArtifactsInput!$M$31,FALSE,TRUE),1.5*CHOOSE(ArtifactsInput!$N$31+1,20,24,28,32,36,40),0)))/100)</f>
        <v/>
      </c>
      <c r="N2378">
        <f>L2378*(1-MIN((Inputs!$B$9+((C2390=TRUE)*(F2390-Calc!F19))+B2402+(ArtifactsInput!$M$24-ArtifactsInput!$M$24)*CHOOSE(ArtifactsInput!$N$24+1,10,12,14,16,18,20)+(IF(AND(Inputs!$B$38&lt;&gt;"pvp",Inputs!$B$43=0),1,IF(IF(Inputs!$B$38="pvp",15,Inputs!$B$43)-(B2409)&lt;=0,1,MAX(0,IF(Inputs!$B$38="pvp",15,Inputs!$B$43)-MAX(5,B2409))/(IF(Inputs!$B$38="pvp",15,Inputs!$B$43)-(B2409))))*IF(AND(ArtifactsInput!$M$42,((Inputs!$B$9+((C2390=TRUE)*(F2390-Calc!F19))+B2402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2378*(MIN((Inputs!$B$9+((C2390=TRUE)*(F2390-Calc!F19))+B2402+(ArtifactsInput!$M$24-ArtifactsInput!$M$24)*CHOOSE(ArtifactsInput!$N$24+1,10,12,14,16,18,20)+(IF(AND(Inputs!$B$38&lt;&gt;"pvp",Inputs!$B$43=0),1,IF(IF(Inputs!$B$38="pvp",15,Inputs!$B$43)-(B2409)&lt;=0,1,MAX(0,IF(Inputs!$B$38="pvp",15,Inputs!$B$43)-MAX(5,B2409))/(IF(Inputs!$B$38="pvp",15,Inputs!$B$43)-(B2409))))*IF(AND(ArtifactsInput!$M$42,((Inputs!$B$9+((C2390=TRUE)*(F2390-Calc!F19))+B2402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78">
        <f>(1-Summary!$B$11)*T2378+Summary!$B$11*V2378</f>
        <v/>
      </c>
      <c r="P2378">
        <f>IF(B2412=0,0,O2378/B2412)</f>
        <v/>
      </c>
      <c r="Q2378">
        <f>IFERROR(1/(IF(Inputs!$B$38="pvp",15,MAX(0.1,Skills!D7-IF(TRUE=TRUE,Inputs!$B$32,0)))*(1-IF(AND(ArtifactsInput!$M$27,Inputs!$B$4="Chapter Hunt"),CHOOSE(ArtifactsInput!$N$27+1,20,24,28,32,36,40),0)/100)),0)</f>
        <v/>
      </c>
      <c r="R2378">
        <f>IF(AND(Inputs!$B$38&lt;&gt;"pvp",Inputs!$B$43&gt;0),IF(MAX(0,Inputs!$B$43-B2409)&lt;=0,0,(INT(MAX(0,Inputs!$B$43-B2409)/(IF(Inputs!$B$38="pvp",15,MAX(0.1,Skills!D7-IF(TRUE=TRUE,Inputs!$B$32,0)))*(1-IF(AND(ArtifactsInput!$M$27,Inputs!$B$4="Chapter Hunt"),CHOOSE(ArtifactsInput!$N$27+1,20,24,28,32,36,40),0)/100)))+1)),0)</f>
        <v/>
      </c>
      <c r="S2378">
        <f>IFERROR(O2378/N2378,0)</f>
        <v/>
      </c>
      <c r="T2378">
        <f>IF(C2378,(H2378*N2378*IF(AND(Inputs!$B$38&lt;&gt;"pvp",Inputs!$B$43&gt;0),((Skills!G7*((R2378-1)*IF(Skills!H7&gt;0,INT(Skills!I7/Skills!H7+0.000000001),1)+IF(Skills!H7&gt;0,INT(MIN(Skills!I7,MAX(0,MAX(0,Inputs!$B$43-B2409)-((R2378-1)*(IF(Inputs!$B$38="pvp",15,MAX(0.1,Skills!D7-IF(TRUE=TRUE,Inputs!$B$32,0)))*(1-IF(AND(ArtifactsInput!$M$27,Inputs!$B$4="Chapter Hunt"),CHOOSE(ArtifactsInput!$N$27+1,20,24,28,32,36,40),0)/100)))))/Skills!H7+0.000000001),1)))/Inputs!$B$43),G2378*Q2378)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Hunt"),CHOOSE(ArtifactsInput!$N$35+1,15,18,21,24,27,30)*(1-EXP(-(0.2*B2404)*5)),0)+IF(AND(ArtifactsInput!$M$22,Inputs!$B$4&lt;&gt;"Chapter Hunt"),CHOOSE(ArtifactsInput!$N$22+1,10,12,14,16,18,20)*((0*(((0.15*B2404*5))^0/1)+1*(((0.15*B2404*5))^1/1)+2*(((0.15*B2404*5))^2/2)+3*(((0.15*B2404*5))^3/6)+4*(((0.15*B2404*5))^4/24)+5*(((0.15*B2404*5))^5/120))/((((0.15*B2404*5))^0/1)+(((0.15*B2404*5))^1/1)+(((0.15*B2404*5))^2/2)+(((0.15*B2404*5))^3/6)+(((0.15*B2404*5))^4/24)+(((0.15*B2404*5))^5/120))),0))+IF(Inputs!$B$3&gt;=54,9*(C2374=TRUE)*MIN(1,8*(1+Inputs!$B$34/100)*Q2374)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2378*(1-MIN(100,(Inputs!$B$9+((C2390=TRUE)*(F2390-Calc!F19))+B2402+(ArtifactsInput!$M$24-ArtifactsInput!$M$24)*CHOOSE(ArtifactsInput!$N$24+1,10,12,14,16,18,20)+(IF(AND(Inputs!$B$38&lt;&gt;"pvp",Inputs!$B$43=0),1,IF(IF(Inputs!$B$38="pvp",15,Inputs!$B$43)-(B2409)&lt;=0,1,MAX(0,IF(Inputs!$B$38="pvp",15,Inputs!$B$43)-MAX(5,B2409))/(IF(Inputs!$B$38="pvp",15,Inputs!$B$43)-(B2409))))*IF(AND(ArtifactsInput!$M$42,((Inputs!$B$9+((C2390=TRUE)*(F2390-Calc!F19))+B2402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2378*(MIN(100,(Inputs!$B$9+((C2390=TRUE)*(F2390-Calc!F19))+B2402+(ArtifactsInput!$M$24-ArtifactsInput!$M$24)*CHOOSE(ArtifactsInput!$N$24+1,10,12,14,16,18,20)+(IF(AND(Inputs!$B$38&lt;&gt;"pvp",Inputs!$B$43=0),1,IF(IF(Inputs!$B$38="pvp",15,Inputs!$B$43)-(B2409)&lt;=0,1,MAX(0,IF(Inputs!$B$38="pvp",15,Inputs!$B$43)-MAX(5,B2409))/(IF(Inputs!$B$38="pvp",15,Inputs!$B$43)-(B2409))))*IF(AND(ArtifactsInput!$M$42,((Inputs!$B$9+((C2390=TRUE)*(F2390-Calc!F19))+B2402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2378*(1-MIN(100,(Inputs!$B$9+((C2390=TRUE)*(F2390-Calc!F19))+B2402+(ArtifactsInput!$M$24-ArtifactsInput!$M$24)*CHOOSE(ArtifactsInput!$N$24+1,10,12,14,16,18,20)+(IF(AND(Inputs!$B$38&lt;&gt;"pvp",Inputs!$B$43=0),1,IF(IF(Inputs!$B$38="pvp",15,Inputs!$B$43)-(B2409)&lt;=0,1,MAX(0,IF(Inputs!$B$38="pvp",15,Inputs!$B$43)-MAX(5,B2409))/(IF(Inputs!$B$38="pvp",15,Inputs!$B$43)-(B2409))))*IF(AND(ArtifactsInput!$M$42,((Inputs!$B$9+((C2390=TRUE)*(F2390-Calc!F19))+B2402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2378*(MIN(100,(Inputs!$B$9+((C2390=TRUE)*(F2390-Calc!F19))+B2402+(ArtifactsInput!$M$24-ArtifactsInput!$M$24)*CHOOSE(ArtifactsInput!$N$24+1,10,12,14,16,18,20)+(IF(AND(Inputs!$B$38&lt;&gt;"pvp",Inputs!$B$43=0),1,IF(IF(Inputs!$B$38="pvp",15,Inputs!$B$43)-(B2409)&lt;=0,1,MAX(0,IF(Inputs!$B$38="pvp",15,Inputs!$B$43)-MAX(5,B2409))/(IF(Inputs!$B$38="pvp",15,Inputs!$B$43)-(B2409))))*IF(AND(ArtifactsInput!$M$42,((Inputs!$B$9+((C2390=TRUE)*(F2390-Calc!F19))+B2402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378">
        <f>IF(C2378,(H2378*N2378*IF(AND(Inputs!$B$38&lt;&gt;"pvp",Inputs!$B$43&gt;0),((Skills!G7*((R2378-1)*IF(Skills!H7&gt;0,INT(Skills!I7/Skills!H7+0.000000001),1)+IF(Skills!H7&gt;0,INT(MIN(Skills!I7,MAX(0,MAX(0,Inputs!$B$43-B2409)-((R2378-1)*(IF(Inputs!$B$38="pvp",15,MAX(0.1,Skills!D7-IF(TRUE=TRUE,Inputs!$B$32,0)))*(1-IF(AND(ArtifactsInput!$M$27,Inputs!$B$4="Chapter Hunt"),CHOOSE(ArtifactsInput!$N$27+1,20,24,28,32,36,40),0)/100)))))/Skills!H7+0.000000001),1)))/Inputs!$B$43),G2378*Q2378))*IF(Inputs!$B$38="pvp",1,(1+(Inputs!$B$21+Skills!Q7+(IF(ArtifactsInput!$M$33,CHOOSE(ArtifactsInput!$N$33+1,30,36,42,48,54,60),0))+(IF(AND(ArtifactsInput!$M$35,Inputs!$B$4&lt;&gt;"Chapter Hunt"),CHOOSE(ArtifactsInput!$N$35+1,15,18,21,24,27,30)*(1-EXP(-(0.2*B2404)*5)),0)+IF(AND(ArtifactsInput!$M$22,Inputs!$B$4&lt;&gt;"Chapter Hunt"),CHOOSE(ArtifactsInput!$N$22+1,10,12,14,16,18,20)*((0*(((0.15*B2404*5))^0/1)+1*(((0.15*B2404*5))^1/1)+2*(((0.15*B2404*5))^2/2)+3*(((0.15*B2404*5))^3/6)+4*(((0.15*B2404*5))^4/24)+5*(((0.15*B2404*5))^5/120))/((((0.15*B2404*5))^0/1)+(((0.15*B2404*5))^1/1)+(((0.15*B2404*5))^2/2)+(((0.15*B2404*5))^3/6)+(((0.15*B2404*5))^4/24)+(((0.15*B2404*5))^5/120))),0))+IF(Inputs!$B$3&gt;=54,9*(C2374=TRUE)*MIN(1,8*(1+Inputs!$B$34/100)*Q2374),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79">
      <c r="A2379">
        <f>Skills!A8</f>
        <v/>
      </c>
      <c r="B2379">
        <f>Skills!B8</f>
        <v/>
      </c>
      <c r="C2379">
        <f>Inputs!$B$3&gt;=103</f>
        <v/>
      </c>
      <c r="D2379">
        <f>IF(Skills!C8=1,60+Inputs!$B$25+Inputs!$B$29,IF(Skills!C8=2,90+Inputs!$B$26+Inputs!$B$29,IF(Skills!C8=3,120+Inputs!$B$27+Inputs!$B$29,MAX(0,(Inputs!$B$3-100)*3)+Inputs!$B$28+Inputs!$B$29)))</f>
        <v/>
      </c>
      <c r="E2379">
        <f>INDEX(FactorTable!$B$2:$Y$301, MATCH(ROUND(MIN(300,MAX(1,D2379)),0), FactorTable!$A$2:$A$301,0), Skills!M8+1)</f>
        <v/>
      </c>
      <c r="F2379">
        <f>IF(Skills!N8=TRUE,(Skills!L8/10)*(E2379/1000),Skills!L8/10)+Skills!O8</f>
        <v/>
      </c>
      <c r="G2379">
        <f>Skills!G8*IF(Skills!H8&gt;0,INT(IF(Inputs!$B$38="pvp",MIN(Skills!I8,15),Skills!I8)/Skills!H8+0.000000001),1)</f>
        <v/>
      </c>
      <c r="H2379">
        <f>1-(1-Skills!J8/100)^Skills!K8</f>
        <v/>
      </c>
      <c r="I2379" t="inlineStr">
        <is>
          <t>1</t>
        </is>
      </c>
      <c r="J2379">
        <f>((Inputs!$B$6*(1+Inputs!$B$7/100))+(((Inputs!$B$12*(1+Inputs!$B$13/100))-(Inputs!$B$12*(1+Inputs!$B$13/100)))+0.25*(Inputs!$B$14-Inputs!$B$14))*(1+Inputs!$B$7/100))*(F2379/100)</f>
        <v/>
      </c>
      <c r="K2379">
        <f>J2379*(1+((Inputs!$B$12*(1+Inputs!$B$13/100))*0.01+Inputs!$B$14*0.0025)/100)*(1+Inputs!$B$15/100)*(1+Inputs!$B$16/100)*(5000/(6000+Inputs!$B$42*(1-(100*(1-(1-(Inputs!$B$19+0)/100)*(1-CHOOSE(ArtifactsInput!$N$40+1,5,6,7,8,9,10)/100)^(ArtifactsInput!$M$40-ArtifactsInput!$M$40)))/100)))*(1+(Inputs!$B$24+((C2397=TRUE)*(F2397-Calc!F26))+B2408)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IGHT_LEGS_EASTON",Inputs!$B$17+((C2394=TRUE)*(F2394-Calc!F23))+((C2398=TRUE)*(F2398-Calc!F27))+((IF(AND(Inputs!$B$38&lt;&gt;"pvp",Inputs!$B$43=0),1,IF(IF(Inputs!$B$38="pvp",15,Inputs!$B$43)-(B2409)&lt;=0,1,MAX(0,IF(Inputs!$B$38="pvp",15,Inputs!$B$43)-MAX(5,B2409))/(IF(Inputs!$B$38="pvp",15,Inputs!$B$43)-(B2409))))*(IF(AND(ArtifactsInput!$M$42,((Inputs!$B$9+((C2390=TRUE)*(F2390-Calc!F19))+B2402+(ArtifactsInput!$M$24-ArtifactsInput!$M$24)*CHOOSE(ArtifactsInput!$N$24+1,10,12,14,16,18,20)+IF(ArtifactsInput!$M$10,CHOOSE(ArtifactsInput!$N$10+1,15,18,21,24,27,30)*(IF(Inputs!$B$38="pvp",MIN(15,15)/15,IF(AND(Inputs!$B$38&lt;&gt;"pvp",Inputs!$B$43&gt;0),MIN(15,Inputs!$B$43)/(Inputs!$B$43),0))),0)))&gt;=100),MIN(100,((Inputs!$B$9+((C2390=TRUE)*(F2390-Calc!F19))+B2402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2409)&lt;=0,1,MAX(0,IF(Inputs!$B$38="pvp",15,Inputs!$B$43)-MAX(5,B2409))/(IF(Inputs!$B$38="pvp",15,Inputs!$B$43)-(B2409))))*IF(AND(ArtifactsInput!$M$42,((Inputs!$B$9+((C2390=TRUE)*(F2390-Calc!F19))+B2402+(ArtifactsInput!$M$24-ArtifactsInput!$M$24)*CHOOSE(ArtifactsInput!$N$24+1,10,12,14,16,18,20)+IF(ArtifactsInput!$M$10,CHOOSE(ArtifactsInput!$N$10+1,15,18,21,24,27,30)*(IF(Inputs!$B$38="pvp",MIN(15,15)/15,IF(AND(Inputs!$B$38&lt;&gt;"pvp",Inputs!$B$43&gt;0),MIN(15,Inputs!$B$43)/(Inputs!$B$43),0))),0)))&gt;=100),CHOOSE(ArtifactsInput!$N$42+1,40,48,56,64,72,80),0))))/100)*((1+(((C2388=TRUE)*F2388*5/7)+((C2395=TRUE)*(F2395-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2379)</f>
        <v/>
      </c>
      <c r="L2379">
        <f>K2379*(MIN(Inputs!$B$22+((C2393=TRUE)*(F2393-Calc!F22)),(Inputs!$B$23+0+(IF(ArtifactsInput!$M$15,CHOOSE(ArtifactsInput!$N$15+1,25,30,35,40,45,50)/100*(Inputs!$B$11-Inputs!$B$11),0))))/100+(Inputs!$B$23+0+(IF(ArtifactsInput!$M$15,CHOOSE(ArtifactsInput!$N$15+1,25,30,35,40,45,50)/100*(Inputs!$B$11-Inputs!$B$11),0)))/100)/2</f>
        <v/>
      </c>
      <c r="M2379">
        <f>L2379*(1+(Inputs!$B$10+((C2396=TRUE)*(F2396-Calc!F25))+B2407+(IF(ArtifactsInput!$M$24,CHOOSE(ArtifactsInput!$N$24+1,30,36,42,48,54,60)/100*(Inputs!$B$9-Inputs!$B$9),0)+IF(ArtifactsInput!$M$10,CHOOSE(ArtifactsInput!$N$10+1,20,24,28,32,36,40)*(IF(Inputs!$B$38="pvp",MIN(15,15)/15,IF(AND(Inputs!$B$38&lt;&gt;"pvp",Inputs!$B$43&gt;0),MIN(15,Inputs!$B$43)/(Inputs!$B$43),0))),0)+IF(IF(ArtifactsInput!$M$31,FALSE,TRUE),1.5*CHOOSE(ArtifactsInput!$N$31+1,20,24,28,32,36,40),0)))/100)</f>
        <v/>
      </c>
      <c r="N2379">
        <f>L2379*(1-MIN((Inputs!$B$9+((C2390=TRUE)*(F2390-Calc!F19))+B2402+(ArtifactsInput!$M$24-ArtifactsInput!$M$24)*CHOOSE(ArtifactsInput!$N$24+1,10,12,14,16,18,20)+(IF(AND(Inputs!$B$38&lt;&gt;"pvp",Inputs!$B$43=0),1,IF(IF(Inputs!$B$38="pvp",15,Inputs!$B$43)-(B2409)&lt;=0,1,MAX(0,IF(Inputs!$B$38="pvp",15,Inputs!$B$43)-MAX(5,B2409))/(IF(Inputs!$B$38="pvp",15,Inputs!$B$43)-(B2409))))*IF(AND(ArtifactsInput!$M$42,((Inputs!$B$9+((C2390=TRUE)*(F2390-Calc!F19))+B2402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2379*(MIN((Inputs!$B$9+((C2390=TRUE)*(F2390-Calc!F19))+B2402+(ArtifactsInput!$M$24-ArtifactsInput!$M$24)*CHOOSE(ArtifactsInput!$N$24+1,10,12,14,16,18,20)+(IF(AND(Inputs!$B$38&lt;&gt;"pvp",Inputs!$B$43=0),1,IF(IF(Inputs!$B$38="pvp",15,Inputs!$B$43)-(B2409)&lt;=0,1,MAX(0,IF(Inputs!$B$38="pvp",15,Inputs!$B$43)-MAX(5,B2409))/(IF(Inputs!$B$38="pvp",15,Inputs!$B$43)-(B2409))))*IF(AND(ArtifactsInput!$M$42,((Inputs!$B$9+((C2390=TRUE)*(F2390-Calc!F19))+B2402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79">
        <f>(1-Summary!$B$11)*T2379+Summary!$B$11*V2379</f>
        <v/>
      </c>
      <c r="P2379">
        <f>IF(B2412=0,0,O2379/B2412)</f>
        <v/>
      </c>
      <c r="Q2379">
        <f>IFERROR(1/((IF(Inputs!$B$38="pvp",15,MAX(0.1,Skills!D8-IF(TRUE=TRUE,Inputs!$B$32,0)))*(1-IF(AND(ArtifactsInput!$M$27,Inputs!$B$4="Chapter Hunt"),CHOOSE(ArtifactsInput!$N$27+1,20,24,28,32,36,40),0)/100))/B2413),0)</f>
        <v/>
      </c>
      <c r="R2379">
        <f>IF(AND(Inputs!$B$38&lt;&gt;"pvp",Inputs!$B$43&gt;0),IF(MAX(0,Inputs!$B$43-B2409)&lt;=0,0,(INT(MAX(0,Inputs!$B$43-B2409)/((IF(Inputs!$B$38="pvp",15,MAX(0.1,Skills!D8-IF(TRUE=TRUE,Inputs!$B$32,0)))*(1-IF(AND(ArtifactsInput!$M$27,Inputs!$B$4="Chapter Hunt"),CHOOSE(ArtifactsInput!$N$27+1,20,24,28,32,36,40),0)/100))/B2413))+1)),0)</f>
        <v/>
      </c>
      <c r="S2379">
        <f>IFERROR(O2379/N2379,0)</f>
        <v/>
      </c>
      <c r="T2379">
        <f>IF(C2379,(H2379*N2379*IF(AND(Inputs!$B$38&lt;&gt;"pvp",Inputs!$B$43&gt;0),((Skills!G8*((R2379-1)*IF(Skills!H8&gt;0,INT(Skills!I8/Skills!H8+0.000000001),1)+IF(Skills!H8&gt;0,INT(MIN(Skills!I8,MAX(0,MAX(0,Inputs!$B$43-B2409)-((R2379-1)*((IF(Inputs!$B$38="pvp",15,MAX(0.1,Skills!D8-IF(TRUE=TRUE,Inputs!$B$32,0)))*(1-IF(AND(ArtifactsInput!$M$27,Inputs!$B$4="Chapter Hunt"),CHOOSE(ArtifactsInput!$N$27+1,20,24,28,32,36,40),0)/100))/B2413))))/Skills!H8+0.000000001),1)))/Inputs!$B$43),G2379*Q2379))*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Hunt"),CHOOSE(ArtifactsInput!$N$35+1,15,18,21,24,27,30)*(1-EXP(-(0.2*B2404)*5)),0)+IF(AND(ArtifactsInput!$M$22,Inputs!$B$4&lt;&gt;"Chapter Hunt"),CHOOSE(ArtifactsInput!$N$22+1,10,12,14,16,18,20)*((0*(((0.15*B2404*5))^0/1)+1*(((0.15*B2404*5))^1/1)+2*(((0.15*B2404*5))^2/2)+3*(((0.15*B2404*5))^3/6)+4*(((0.15*B2404*5))^4/24)+5*(((0.15*B2404*5))^5/120))/((((0.15*B2404*5))^0/1)+(((0.15*B2404*5))^1/1)+(((0.15*B2404*5))^2/2)+(((0.15*B2404*5))^3/6)+(((0.15*B2404*5))^4/24)+(((0.15*B2404*5))^5/120))),0))+IF(Inputs!$B$3&gt;=54,9*(C2374=TRUE)*MIN(1,8*(1+Inputs!$B$34/100)*Q2374)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2379*(1-MIN(100,(Inputs!$B$9+((C2390=TRUE)*(F2390-Calc!F19))+B2402+(ArtifactsInput!$M$24-ArtifactsInput!$M$24)*CHOOSE(ArtifactsInput!$N$24+1,10,12,14,16,18,20)+(IF(AND(Inputs!$B$38&lt;&gt;"pvp",Inputs!$B$43=0),1,IF(IF(Inputs!$B$38="pvp",15,Inputs!$B$43)-(B2409)&lt;=0,1,MAX(0,IF(Inputs!$B$38="pvp",15,Inputs!$B$43)-MAX(5,B2409))/(IF(Inputs!$B$38="pvp",15,Inputs!$B$43)-(B2409))))*IF(AND(ArtifactsInput!$M$42,((Inputs!$B$9+((C2390=TRUE)*(F2390-Calc!F19))+B2402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2379*(MIN(100,(Inputs!$B$9+((C2390=TRUE)*(F2390-Calc!F19))+B2402+(ArtifactsInput!$M$24-ArtifactsInput!$M$24)*CHOOSE(ArtifactsInput!$N$24+1,10,12,14,16,18,20)+(IF(AND(Inputs!$B$38&lt;&gt;"pvp",Inputs!$B$43=0),1,IF(IF(Inputs!$B$38="pvp",15,Inputs!$B$43)-(B2409)&lt;=0,1,MAX(0,IF(Inputs!$B$38="pvp",15,Inputs!$B$43)-MAX(5,B2409))/(IF(Inputs!$B$38="pvp",15,Inputs!$B$43)-(B2409))))*IF(AND(ArtifactsInput!$M$42,((Inputs!$B$9+((C2390=TRUE)*(F2390-Calc!F19))+B2402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2379*(1-MIN(100,(Inputs!$B$9+((C2390=TRUE)*(F2390-Calc!F19))+B2402+(ArtifactsInput!$M$24-ArtifactsInput!$M$24)*CHOOSE(ArtifactsInput!$N$24+1,10,12,14,16,18,20)+(IF(AND(Inputs!$B$38&lt;&gt;"pvp",Inputs!$B$43=0),1,IF(IF(Inputs!$B$38="pvp",15,Inputs!$B$43)-(B2409)&lt;=0,1,MAX(0,IF(Inputs!$B$38="pvp",15,Inputs!$B$43)-MAX(5,B2409))/(IF(Inputs!$B$38="pvp",15,Inputs!$B$43)-(B2409))))*IF(AND(ArtifactsInput!$M$42,((Inputs!$B$9+((C2390=TRUE)*(F2390-Calc!F19))+B2402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2379*(MIN(100,(Inputs!$B$9+((C2390=TRUE)*(F2390-Calc!F19))+B2402+(ArtifactsInput!$M$24-ArtifactsInput!$M$24)*CHOOSE(ArtifactsInput!$N$24+1,10,12,14,16,18,20)+(IF(AND(Inputs!$B$38&lt;&gt;"pvp",Inputs!$B$43=0),1,IF(IF(Inputs!$B$38="pvp",15,Inputs!$B$43)-(B2409)&lt;=0,1,MAX(0,IF(Inputs!$B$38="pvp",15,Inputs!$B$43)-MAX(5,B2409))/(IF(Inputs!$B$38="pvp",15,Inputs!$B$43)-(B2409))))*IF(AND(ArtifactsInput!$M$42,((Inputs!$B$9+((C2390=TRUE)*(F2390-Calc!F19))+B2402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379">
        <f>IF(C2379,(H2379*N2379*IF(AND(Inputs!$B$38&lt;&gt;"pvp",Inputs!$B$43&gt;0),((Skills!G8*((R2379-1)*IF(Skills!H8&gt;0,INT(Skills!I8/Skills!H8+0.000000001),1)+IF(Skills!H8&gt;0,INT(MIN(Skills!I8,MAX(0,MAX(0,Inputs!$B$43-B2409)-((R2379-1)*((IF(Inputs!$B$38="pvp",15,MAX(0.1,Skills!D8-IF(TRUE=TRUE,Inputs!$B$32,0)))*(1-IF(AND(ArtifactsInput!$M$27,Inputs!$B$4="Chapter Hunt"),CHOOSE(ArtifactsInput!$N$27+1,20,24,28,32,36,40),0)/100))/B2413))))/Skills!H8+0.000000001),1)))/Inputs!$B$43),G2379*Q2379))*IF(Inputs!$B$38="pvp",1,(1+(Inputs!$B$21+Skills!Q8+(IF(ArtifactsInput!$M$33,CHOOSE(ArtifactsInput!$N$33+1,30,36,42,48,54,60),0))+(IF(AND(ArtifactsInput!$M$35,Inputs!$B$4&lt;&gt;"Chapter Hunt"),CHOOSE(ArtifactsInput!$N$35+1,15,18,21,24,27,30)*(1-EXP(-(0.2*B2404)*5)),0)+IF(AND(ArtifactsInput!$M$22,Inputs!$B$4&lt;&gt;"Chapter Hunt"),CHOOSE(ArtifactsInput!$N$22+1,10,12,14,16,18,20)*((0*(((0.15*B2404*5))^0/1)+1*(((0.15*B2404*5))^1/1)+2*(((0.15*B2404*5))^2/2)+3*(((0.15*B2404*5))^3/6)+4*(((0.15*B2404*5))^4/24)+5*(((0.15*B2404*5))^5/120))/((((0.15*B2404*5))^0/1)+(((0.15*B2404*5))^1/1)+(((0.15*B2404*5))^2/2)+(((0.15*B2404*5))^3/6)+(((0.15*B2404*5))^4/24)+(((0.15*B2404*5))^5/120))),0))+IF(Inputs!$B$3&gt;=54,9*(C2374=TRUE)*MIN(1,8*(1+Inputs!$B$34/100)*Q2374),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80">
      <c r="A2380">
        <f>Skills!A9</f>
        <v/>
      </c>
      <c r="B2380">
        <f>Skills!B9</f>
        <v/>
      </c>
      <c r="C2380">
        <f>Inputs!$B$3&gt;=105</f>
        <v/>
      </c>
      <c r="D2380">
        <f>IF(Skills!C9=1,60+Inputs!$B$25+Inputs!$B$29,IF(Skills!C9=2,90+Inputs!$B$26+Inputs!$B$29,IF(Skills!C9=3,120+Inputs!$B$27+Inputs!$B$29,MAX(0,(Inputs!$B$3-100)*3)+Inputs!$B$28+Inputs!$B$29)))</f>
        <v/>
      </c>
      <c r="E2380">
        <f>INDEX(FactorTable!$B$2:$Y$301, MATCH(ROUND(MIN(300,MAX(1,D2380)),0), FactorTable!$A$2:$A$301,0), Skills!M9+1)</f>
        <v/>
      </c>
      <c r="F2380">
        <f>IF(Skills!N9=TRUE,(Skills!L9/10)*(E2380/1000),Skills!L9/10)+Skills!O9</f>
        <v/>
      </c>
      <c r="G2380">
        <f>Skills!G9*IF(Skills!H9&gt;0,INT(IF(Inputs!$B$38="pvp",MIN(Skills!I9,15),Skills!I9)/Skills!H9+0.000000001),1)</f>
        <v/>
      </c>
      <c r="H2380">
        <f>1-(1-Skills!J9/100)^Skills!K9</f>
        <v/>
      </c>
      <c r="I2380" t="inlineStr">
        <is>
          <t>1</t>
        </is>
      </c>
      <c r="J2380">
        <f>((Inputs!$B$6*(1+Inputs!$B$7/100))+(((Inputs!$B$12*(1+Inputs!$B$13/100))-(Inputs!$B$12*(1+Inputs!$B$13/100)))+0.25*(Inputs!$B$14-Inputs!$B$14))*(1+Inputs!$B$7/100))*(F2380/100)</f>
        <v/>
      </c>
      <c r="K2380">
        <f>J2380*(1+((Inputs!$B$12*(1+Inputs!$B$13/100))*0.01+Inputs!$B$14*0.0025)/100)*(1+Inputs!$B$15/100)*(1+Inputs!$B$16/100)*(5000/(6000+Inputs!$B$42*(1-(100*(1-(1-(Inputs!$B$19+0)/100)*(1-CHOOSE(ArtifactsInput!$N$40+1,5,6,7,8,9,10)/100)^(ArtifactsInput!$M$40-ArtifactsInput!$M$40)))/100)))*(1+(Inputs!$B$24+((C2397=TRUE)*(F2397-Calc!F26))+B2408)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IGHT_LEGS_EASTON",Inputs!$B$17+((C2394=TRUE)*(F2394-Calc!F23))+((C2398=TRUE)*(F2398-Calc!F27))+((IF(AND(Inputs!$B$38&lt;&gt;"pvp",Inputs!$B$43=0),1,IF(IF(Inputs!$B$38="pvp",15,Inputs!$B$43)-(B2409)&lt;=0,1,MAX(0,IF(Inputs!$B$38="pvp",15,Inputs!$B$43)-MAX(5,B2409))/(IF(Inputs!$B$38="pvp",15,Inputs!$B$43)-(B2409))))*(IF(AND(ArtifactsInput!$M$42,((Inputs!$B$9+((C2390=TRUE)*(F2390-Calc!F19))+B2402+(ArtifactsInput!$M$24-ArtifactsInput!$M$24)*CHOOSE(ArtifactsInput!$N$24+1,10,12,14,16,18,20)+IF(ArtifactsInput!$M$10,CHOOSE(ArtifactsInput!$N$10+1,15,18,21,24,27,30)*(IF(Inputs!$B$38="pvp",MIN(15,15)/15,IF(AND(Inputs!$B$38&lt;&gt;"pvp",Inputs!$B$43&gt;0),MIN(15,Inputs!$B$43)/(Inputs!$B$43),0))),0)))&gt;=100),MIN(100,((Inputs!$B$9+((C2390=TRUE)*(F2390-Calc!F19))+B2402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2409)&lt;=0,1,MAX(0,IF(Inputs!$B$38="pvp",15,Inputs!$B$43)-MAX(5,B2409))/(IF(Inputs!$B$38="pvp",15,Inputs!$B$43)-(B2409))))*IF(AND(ArtifactsInput!$M$42,((Inputs!$B$9+((C2390=TRUE)*(F2390-Calc!F19))+B2402+(ArtifactsInput!$M$24-ArtifactsInput!$M$24)*CHOOSE(ArtifactsInput!$N$24+1,10,12,14,16,18,20)+IF(ArtifactsInput!$M$10,CHOOSE(ArtifactsInput!$N$10+1,15,18,21,24,27,30)*(IF(Inputs!$B$38="pvp",MIN(15,15)/15,IF(AND(Inputs!$B$38&lt;&gt;"pvp",Inputs!$B$43&gt;0),MIN(15,Inputs!$B$43)/(Inputs!$B$43),0))),0)))&gt;=100),CHOOSE(ArtifactsInput!$N$42+1,40,48,56,64,72,80),0))))/100)*((1+(((C2388=TRUE)*F2388*5/7)+((C2395=TRUE)*(F2395-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2380)</f>
        <v/>
      </c>
      <c r="L2380">
        <f>K2380*(MIN(Inputs!$B$22+((C2393=TRUE)*(F2393-Calc!F22)),(Inputs!$B$23+0+(IF(ArtifactsInput!$M$15,CHOOSE(ArtifactsInput!$N$15+1,25,30,35,40,45,50)/100*(Inputs!$B$11-Inputs!$B$11),0))))/100+(Inputs!$B$23+0+(IF(ArtifactsInput!$M$15,CHOOSE(ArtifactsInput!$N$15+1,25,30,35,40,45,50)/100*(Inputs!$B$11-Inputs!$B$11),0)))/100)/2</f>
        <v/>
      </c>
      <c r="M2380">
        <f>L2380*(1+(Inputs!$B$10+((C2396=TRUE)*(F2396-Calc!F25))+B2407+(IF(ArtifactsInput!$M$24,CHOOSE(ArtifactsInput!$N$24+1,30,36,42,48,54,60)/100*(Inputs!$B$9-Inputs!$B$9),0)+IF(ArtifactsInput!$M$10,CHOOSE(ArtifactsInput!$N$10+1,20,24,28,32,36,40)*(IF(Inputs!$B$38="pvp",MIN(15,15)/15,IF(AND(Inputs!$B$38&lt;&gt;"pvp",Inputs!$B$43&gt;0),MIN(15,Inputs!$B$43)/(Inputs!$B$43),0))),0)+IF(IF(ArtifactsInput!$M$31,FALSE,TRUE),1.5*CHOOSE(ArtifactsInput!$N$31+1,20,24,28,32,36,40),0)))/100)</f>
        <v/>
      </c>
      <c r="N2380">
        <f>L2380*(1-MIN((Inputs!$B$9+((C2390=TRUE)*(F2390-Calc!F19))+B2402+(ArtifactsInput!$M$24-ArtifactsInput!$M$24)*CHOOSE(ArtifactsInput!$N$24+1,10,12,14,16,18,20)+(IF(AND(Inputs!$B$38&lt;&gt;"pvp",Inputs!$B$43=0),1,IF(IF(Inputs!$B$38="pvp",15,Inputs!$B$43)-(B2409)&lt;=0,1,MAX(0,IF(Inputs!$B$38="pvp",15,Inputs!$B$43)-MAX(5,B2409))/(IF(Inputs!$B$38="pvp",15,Inputs!$B$43)-(B2409))))*IF(AND(ArtifactsInput!$M$42,((Inputs!$B$9+((C2390=TRUE)*(F2390-Calc!F19))+B2402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2380*(MIN((Inputs!$B$9+((C2390=TRUE)*(F2390-Calc!F19))+B2402+(ArtifactsInput!$M$24-ArtifactsInput!$M$24)*CHOOSE(ArtifactsInput!$N$24+1,10,12,14,16,18,20)+(IF(AND(Inputs!$B$38&lt;&gt;"pvp",Inputs!$B$43=0),1,IF(IF(Inputs!$B$38="pvp",15,Inputs!$B$43)-(B2409)&lt;=0,1,MAX(0,IF(Inputs!$B$38="pvp",15,Inputs!$B$43)-MAX(5,B2409))/(IF(Inputs!$B$38="pvp",15,Inputs!$B$43)-(B2409))))*IF(AND(ArtifactsInput!$M$42,((Inputs!$B$9+((C2390=TRUE)*(F2390-Calc!F19))+B2402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80">
        <f>(1-Summary!$B$11)*T2380+Summary!$B$11*V2380</f>
        <v/>
      </c>
      <c r="P2380">
        <f>IF(B2412=0,0,O2380/B2412)</f>
        <v/>
      </c>
      <c r="Q2380">
        <f>IFERROR(1/(IF(Inputs!$B$38="pvp",15,MAX(0.1,Skills!D9-IF(TRUE=TRUE,Inputs!$B$32,0)))*(1-IF(AND(ArtifactsInput!$M$27,Inputs!$B$4="Chapter Hunt"),CHOOSE(ArtifactsInput!$N$27+1,20,24,28,32,36,40),0)/100)),0)</f>
        <v/>
      </c>
      <c r="R2380">
        <f>IF(AND(Inputs!$B$38&lt;&gt;"pvp",Inputs!$B$43&gt;0),IF(MAX(0,Inputs!$B$43-B2409)&lt;=0,0,(INT(MAX(0,Inputs!$B$43-B2409)/(IF(Inputs!$B$38="pvp",15,MAX(0.1,Skills!D9-IF(TRUE=TRUE,Inputs!$B$32,0)))*(1-IF(AND(ArtifactsInput!$M$27,Inputs!$B$4="Chapter Hunt"),CHOOSE(ArtifactsInput!$N$27+1,20,24,28,32,36,40),0)/100)))+1)),0)</f>
        <v/>
      </c>
      <c r="S2380">
        <f>IFERROR(O2380/N2380,0)</f>
        <v/>
      </c>
      <c r="T2380">
        <f>IF(C2380,(H2380*N2380*IF(AND(Inputs!$B$38&lt;&gt;"pvp",Inputs!$B$43&gt;0),((Skills!G9*((R2380-1)*IF(Skills!H9&gt;0,INT(Skills!I9/Skills!H9+0.000000001),1)+IF(Skills!H9&gt;0,INT(MIN(Skills!I9,MAX(0,MAX(0,Inputs!$B$43-B2409)-((R2380-1)*(IF(Inputs!$B$38="pvp",15,MAX(0.1,Skills!D9-IF(TRUE=TRUE,Inputs!$B$32,0)))*(1-IF(AND(ArtifactsInput!$M$27,Inputs!$B$4="Chapter Hunt"),CHOOSE(ArtifactsInput!$N$27+1,20,24,28,32,36,40),0)/100)))))/Skills!H9+0.000000001),1)))/Inputs!$B$43),G2380*Q2380)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Hunt"),CHOOSE(ArtifactsInput!$N$35+1,15,18,21,24,27,30)*(1-EXP(-(0.2*B2404)*5)),0)+IF(AND(ArtifactsInput!$M$22,Inputs!$B$4&lt;&gt;"Chapter Hunt"),CHOOSE(ArtifactsInput!$N$22+1,10,12,14,16,18,20)*((0*(((0.15*B2404*5))^0/1)+1*(((0.15*B2404*5))^1/1)+2*(((0.15*B2404*5))^2/2)+3*(((0.15*B2404*5))^3/6)+4*(((0.15*B2404*5))^4/24)+5*(((0.15*B2404*5))^5/120))/((((0.15*B2404*5))^0/1)+(((0.15*B2404*5))^1/1)+(((0.15*B2404*5))^2/2)+(((0.15*B2404*5))^3/6)+(((0.15*B2404*5))^4/24)+(((0.15*B2404*5))^5/120))),0))+IF(Inputs!$B$3&gt;=54,9*(C2374=TRUE)*MIN(1,8*(1+Inputs!$B$34/100)*Q2374)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2380*(1-MIN(100,(Inputs!$B$9+((C2390=TRUE)*(F2390-Calc!F19))+B2402+(ArtifactsInput!$M$24-ArtifactsInput!$M$24)*CHOOSE(ArtifactsInput!$N$24+1,10,12,14,16,18,20)+(IF(AND(Inputs!$B$38&lt;&gt;"pvp",Inputs!$B$43=0),1,IF(IF(Inputs!$B$38="pvp",15,Inputs!$B$43)-(B2409)&lt;=0,1,MAX(0,IF(Inputs!$B$38="pvp",15,Inputs!$B$43)-MAX(5,B2409))/(IF(Inputs!$B$38="pvp",15,Inputs!$B$43)-(B2409))))*IF(AND(ArtifactsInput!$M$42,((Inputs!$B$9+((C2390=TRUE)*(F2390-Calc!F19))+B2402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2380*(MIN(100,(Inputs!$B$9+((C2390=TRUE)*(F2390-Calc!F19))+B2402+(ArtifactsInput!$M$24-ArtifactsInput!$M$24)*CHOOSE(ArtifactsInput!$N$24+1,10,12,14,16,18,20)+(IF(AND(Inputs!$B$38&lt;&gt;"pvp",Inputs!$B$43=0),1,IF(IF(Inputs!$B$38="pvp",15,Inputs!$B$43)-(B2409)&lt;=0,1,MAX(0,IF(Inputs!$B$38="pvp",15,Inputs!$B$43)-MAX(5,B2409))/(IF(Inputs!$B$38="pvp",15,Inputs!$B$43)-(B2409))))*IF(AND(ArtifactsInput!$M$42,((Inputs!$B$9+((C2390=TRUE)*(F2390-Calc!F19))+B2402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2380*(1-MIN(100,(Inputs!$B$9+((C2390=TRUE)*(F2390-Calc!F19))+B2402+(ArtifactsInput!$M$24-ArtifactsInput!$M$24)*CHOOSE(ArtifactsInput!$N$24+1,10,12,14,16,18,20)+(IF(AND(Inputs!$B$38&lt;&gt;"pvp",Inputs!$B$43=0),1,IF(IF(Inputs!$B$38="pvp",15,Inputs!$B$43)-(B2409)&lt;=0,1,MAX(0,IF(Inputs!$B$38="pvp",15,Inputs!$B$43)-MAX(5,B2409))/(IF(Inputs!$B$38="pvp",15,Inputs!$B$43)-(B2409))))*IF(AND(ArtifactsInput!$M$42,((Inputs!$B$9+((C2390=TRUE)*(F2390-Calc!F19))+B2402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2380*(MIN(100,(Inputs!$B$9+((C2390=TRUE)*(F2390-Calc!F19))+B2402+(ArtifactsInput!$M$24-ArtifactsInput!$M$24)*CHOOSE(ArtifactsInput!$N$24+1,10,12,14,16,18,20)+(IF(AND(Inputs!$B$38&lt;&gt;"pvp",Inputs!$B$43=0),1,IF(IF(Inputs!$B$38="pvp",15,Inputs!$B$43)-(B2409)&lt;=0,1,MAX(0,IF(Inputs!$B$38="pvp",15,Inputs!$B$43)-MAX(5,B2409))/(IF(Inputs!$B$38="pvp",15,Inputs!$B$43)-(B2409))))*IF(AND(ArtifactsInput!$M$42,((Inputs!$B$9+((C2390=TRUE)*(F2390-Calc!F19))+B2402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380">
        <f>IF(C2380,(H2380*N2380*IF(AND(Inputs!$B$38&lt;&gt;"pvp",Inputs!$B$43&gt;0),((Skills!G9*((R2380-1)*IF(Skills!H9&gt;0,INT(Skills!I9/Skills!H9+0.000000001),1)+IF(Skills!H9&gt;0,INT(MIN(Skills!I9,MAX(0,MAX(0,Inputs!$B$43-B2409)-((R2380-1)*(IF(Inputs!$B$38="pvp",15,MAX(0.1,Skills!D9-IF(TRUE=TRUE,Inputs!$B$32,0)))*(1-IF(AND(ArtifactsInput!$M$27,Inputs!$B$4="Chapter Hunt"),CHOOSE(ArtifactsInput!$N$27+1,20,24,28,32,36,40),0)/100)))))/Skills!H9+0.000000001),1)))/Inputs!$B$43),G2380*Q2380))*IF(Inputs!$B$38="pvp",1,(1+(Inputs!$B$21+Skills!Q9+(IF(ArtifactsInput!$M$33,CHOOSE(ArtifactsInput!$N$33+1,30,36,42,48,54,60),0))+(IF(AND(ArtifactsInput!$M$35,Inputs!$B$4&lt;&gt;"Chapter Hunt"),CHOOSE(ArtifactsInput!$N$35+1,15,18,21,24,27,30)*(1-EXP(-(0.2*B2404)*5)),0)+IF(AND(ArtifactsInput!$M$22,Inputs!$B$4&lt;&gt;"Chapter Hunt"),CHOOSE(ArtifactsInput!$N$22+1,10,12,14,16,18,20)*((0*(((0.15*B2404*5))^0/1)+1*(((0.15*B2404*5))^1/1)+2*(((0.15*B2404*5))^2/2)+3*(((0.15*B2404*5))^3/6)+4*(((0.15*B2404*5))^4/24)+5*(((0.15*B2404*5))^5/120))/((((0.15*B2404*5))^0/1)+(((0.15*B2404*5))^1/1)+(((0.15*B2404*5))^2/2)+(((0.15*B2404*5))^3/6)+(((0.15*B2404*5))^4/24)+(((0.15*B2404*5))^5/120))),0))+IF(Inputs!$B$3&gt;=54,9*(C2374=TRUE)*MIN(1,8*(1+Inputs!$B$34/100)*Q2374),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81">
      <c r="A2381">
        <f>Skills!A10</f>
        <v/>
      </c>
      <c r="B2381">
        <f>Skills!B10</f>
        <v/>
      </c>
      <c r="C2381">
        <f>Inputs!$B$3&gt;=113</f>
        <v/>
      </c>
      <c r="D2381">
        <f>IF(Skills!C10=1,60+Inputs!$B$25+Inputs!$B$29,IF(Skills!C10=2,90+Inputs!$B$26+Inputs!$B$29,IF(Skills!C10=3,120+Inputs!$B$27+Inputs!$B$29,MAX(0,(Inputs!$B$3-100)*3)+Inputs!$B$28+Inputs!$B$29)))</f>
        <v/>
      </c>
      <c r="E2381">
        <f>INDEX(FactorTable!$B$2:$Y$301, MATCH(ROUND(MIN(300,MAX(1,D2381)),0), FactorTable!$A$2:$A$301,0), Skills!M10+1)</f>
        <v/>
      </c>
      <c r="F2381">
        <f>IF(Skills!N10=TRUE,(Skills!L10/10)*(E2381/1000),Skills!L10/10)+Skills!O10</f>
        <v/>
      </c>
      <c r="G2381">
        <f>Skills!G10*IF(Skills!H10&gt;0,INT(IF(Inputs!$B$38="pvp",MIN(Skills!I10,15),Skills!I10)/Skills!H10+0.000000001),1)</f>
        <v/>
      </c>
      <c r="H2381">
        <f>1-(1-Skills!J10/100)^Skills!K10</f>
        <v/>
      </c>
      <c r="I2381" t="inlineStr">
        <is>
          <t>1</t>
        </is>
      </c>
      <c r="J2381">
        <f>((Inputs!$B$6*(1+Inputs!$B$7/100))+(((Inputs!$B$12*(1+Inputs!$B$13/100))-(Inputs!$B$12*(1+Inputs!$B$13/100)))+0.25*(Inputs!$B$14-Inputs!$B$14))*(1+Inputs!$B$7/100))*(F2381/100)</f>
        <v/>
      </c>
      <c r="K2381">
        <f>J2381*(1+((Inputs!$B$12*(1+Inputs!$B$13/100))*0.01+Inputs!$B$14*0.0025)/100)*(1+Inputs!$B$15/100)*(1+Inputs!$B$16/100)*(5000/(6000+Inputs!$B$42*(1-(100*(1-(1-(Inputs!$B$19+0)/100)*(1-CHOOSE(ArtifactsInput!$N$40+1,5,6,7,8,9,10)/100)^(ArtifactsInput!$M$40-ArtifactsInput!$M$40)))/100)))*(1+(Inputs!$B$24+((C2397=TRUE)*(F2397-Calc!F26))+B2408)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IGHT_LEGS_EASTON",Inputs!$B$17+((C2394=TRUE)*(F2394-Calc!F23))+((C2398=TRUE)*(F2398-Calc!F27))+((IF(AND(Inputs!$B$38&lt;&gt;"pvp",Inputs!$B$43=0),1,IF(IF(Inputs!$B$38="pvp",15,Inputs!$B$43)-(B2409)&lt;=0,1,MAX(0,IF(Inputs!$B$38="pvp",15,Inputs!$B$43)-MAX(5,B2409))/(IF(Inputs!$B$38="pvp",15,Inputs!$B$43)-(B2409))))*(IF(AND(ArtifactsInput!$M$42,((Inputs!$B$9+((C2390=TRUE)*(F2390-Calc!F19))+B2402+(ArtifactsInput!$M$24-ArtifactsInput!$M$24)*CHOOSE(ArtifactsInput!$N$24+1,10,12,14,16,18,20)+IF(ArtifactsInput!$M$10,CHOOSE(ArtifactsInput!$N$10+1,15,18,21,24,27,30)*(IF(Inputs!$B$38="pvp",MIN(15,15)/15,IF(AND(Inputs!$B$38&lt;&gt;"pvp",Inputs!$B$43&gt;0),MIN(15,Inputs!$B$43)/(Inputs!$B$43),0))),0)))&gt;=100),MIN(100,((Inputs!$B$9+((C2390=TRUE)*(F2390-Calc!F19))+B2402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2409)&lt;=0,1,MAX(0,IF(Inputs!$B$38="pvp",15,Inputs!$B$43)-MAX(5,B2409))/(IF(Inputs!$B$38="pvp",15,Inputs!$B$43)-(B2409))))*IF(AND(ArtifactsInput!$M$42,((Inputs!$B$9+((C2390=TRUE)*(F2390-Calc!F19))+B2402+(ArtifactsInput!$M$24-ArtifactsInput!$M$24)*CHOOSE(ArtifactsInput!$N$24+1,10,12,14,16,18,20)+IF(ArtifactsInput!$M$10,CHOOSE(ArtifactsInput!$N$10+1,15,18,21,24,27,30)*(IF(Inputs!$B$38="pvp",MIN(15,15)/15,IF(AND(Inputs!$B$38&lt;&gt;"pvp",Inputs!$B$43&gt;0),MIN(15,Inputs!$B$43)/(Inputs!$B$43),0))),0)))&gt;=100),CHOOSE(ArtifactsInput!$N$42+1,40,48,56,64,72,80),0))))/100)*((1+(((C2388=TRUE)*F2388*5/7)+((C2395=TRUE)*(F2395-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2381)</f>
        <v/>
      </c>
      <c r="L2381">
        <f>K2381*(MIN(Inputs!$B$22+((C2393=TRUE)*(F2393-Calc!F22)),(Inputs!$B$23+0+(IF(ArtifactsInput!$M$15,CHOOSE(ArtifactsInput!$N$15+1,25,30,35,40,45,50)/100*(Inputs!$B$11-Inputs!$B$11),0))))/100+(Inputs!$B$23+0+(IF(ArtifactsInput!$M$15,CHOOSE(ArtifactsInput!$N$15+1,25,30,35,40,45,50)/100*(Inputs!$B$11-Inputs!$B$11),0)))/100)/2</f>
        <v/>
      </c>
      <c r="M2381">
        <f>L2381*(1+(Inputs!$B$10+((C2396=TRUE)*(F2396-Calc!F25))+B2407+(IF(ArtifactsInput!$M$24,CHOOSE(ArtifactsInput!$N$24+1,30,36,42,48,54,60)/100*(Inputs!$B$9-Inputs!$B$9),0)+IF(ArtifactsInput!$M$10,CHOOSE(ArtifactsInput!$N$10+1,20,24,28,32,36,40)*(IF(Inputs!$B$38="pvp",MIN(15,15)/15,IF(AND(Inputs!$B$38&lt;&gt;"pvp",Inputs!$B$43&gt;0),MIN(15,Inputs!$B$43)/(Inputs!$B$43),0))),0)+IF(IF(ArtifactsInput!$M$31,FALSE,TRUE),1.5*CHOOSE(ArtifactsInput!$N$31+1,20,24,28,32,36,40),0)))/100)</f>
        <v/>
      </c>
      <c r="N2381">
        <f>L2381*(1-MIN((Inputs!$B$9+((C2390=TRUE)*(F2390-Calc!F19))+B2402+(ArtifactsInput!$M$24-ArtifactsInput!$M$24)*CHOOSE(ArtifactsInput!$N$24+1,10,12,14,16,18,20)+(IF(AND(Inputs!$B$38&lt;&gt;"pvp",Inputs!$B$43=0),1,IF(IF(Inputs!$B$38="pvp",15,Inputs!$B$43)-(B2409)&lt;=0,1,MAX(0,IF(Inputs!$B$38="pvp",15,Inputs!$B$43)-MAX(5,B2409))/(IF(Inputs!$B$38="pvp",15,Inputs!$B$43)-(B2409))))*IF(AND(ArtifactsInput!$M$42,((Inputs!$B$9+((C2390=TRUE)*(F2390-Calc!F19))+B2402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2381*(MIN((Inputs!$B$9+((C2390=TRUE)*(F2390-Calc!F19))+B2402+(ArtifactsInput!$M$24-ArtifactsInput!$M$24)*CHOOSE(ArtifactsInput!$N$24+1,10,12,14,16,18,20)+(IF(AND(Inputs!$B$38&lt;&gt;"pvp",Inputs!$B$43=0),1,IF(IF(Inputs!$B$38="pvp",15,Inputs!$B$43)-(B2409)&lt;=0,1,MAX(0,IF(Inputs!$B$38="pvp",15,Inputs!$B$43)-MAX(5,B2409))/(IF(Inputs!$B$38="pvp",15,Inputs!$B$43)-(B2409))))*IF(AND(ArtifactsInput!$M$42,((Inputs!$B$9+((C2390=TRUE)*(F2390-Calc!F19))+B2402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81">
        <f>(1-Summary!$B$11)*T2381+Summary!$B$11*V2381</f>
        <v/>
      </c>
      <c r="P2381">
        <f>IF(B2412=0,0,O2381/B2412)</f>
        <v/>
      </c>
      <c r="Q2381" t="n">
        <v>0</v>
      </c>
      <c r="R2381" t="n">
        <v>0</v>
      </c>
      <c r="S2381">
        <f>IFERROR(O2381/N2381,0)</f>
        <v/>
      </c>
      <c r="T2381">
        <f>IF(C2381,((H2381*B2414)/(1+Skills!H10*H2381*B2414)*N2381)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Hunt"),CHOOSE(ArtifactsInput!$N$35+1,15,18,21,24,27,30)*(1-EXP(-(0.2*B2404)*5)),0)+IF(AND(ArtifactsInput!$M$22,Inputs!$B$4&lt;&gt;"Chapter Hunt"),CHOOSE(ArtifactsInput!$N$22+1,10,12,14,16,18,20)*((0*(((0.15*B2404*5))^0/1)+1*(((0.15*B2404*5))^1/1)+2*(((0.15*B2404*5))^2/2)+3*(((0.15*B2404*5))^3/6)+4*(((0.15*B2404*5))^4/24)+5*(((0.15*B2404*5))^5/120))/((((0.15*B2404*5))^0/1)+(((0.15*B2404*5))^1/1)+(((0.15*B2404*5))^2/2)+(((0.15*B2404*5))^3/6)+(((0.15*B2404*5))^4/24)+(((0.15*B2404*5))^5/120))),0))+IF(Inputs!$B$3&gt;=54,9*(C2374=TRUE)*MIN(1,8*(1+Inputs!$B$34/100)*Q2374)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2381*(1-MIN(100,(Inputs!$B$9+((C2390=TRUE)*(F2390-Calc!F19))+B2402+(ArtifactsInput!$M$24-ArtifactsInput!$M$24)*CHOOSE(ArtifactsInput!$N$24+1,10,12,14,16,18,20)+(IF(AND(Inputs!$B$38&lt;&gt;"pvp",Inputs!$B$43=0),1,IF(IF(Inputs!$B$38="pvp",15,Inputs!$B$43)-(B2409)&lt;=0,1,MAX(0,IF(Inputs!$B$38="pvp",15,Inputs!$B$43)-MAX(5,B2409))/(IF(Inputs!$B$38="pvp",15,Inputs!$B$43)-(B2409))))*IF(AND(ArtifactsInput!$M$42,((Inputs!$B$9+((C2390=TRUE)*(F2390-Calc!F19))+B2402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2381*(MIN(100,(Inputs!$B$9+((C2390=TRUE)*(F2390-Calc!F19))+B2402+(ArtifactsInput!$M$24-ArtifactsInput!$M$24)*CHOOSE(ArtifactsInput!$N$24+1,10,12,14,16,18,20)+(IF(AND(Inputs!$B$38&lt;&gt;"pvp",Inputs!$B$43=0),1,IF(IF(Inputs!$B$38="pvp",15,Inputs!$B$43)-(B2409)&lt;=0,1,MAX(0,IF(Inputs!$B$38="pvp",15,Inputs!$B$43)-MAX(5,B2409))/(IF(Inputs!$B$38="pvp",15,Inputs!$B$43)-(B2409))))*IF(AND(ArtifactsInput!$M$42,((Inputs!$B$9+((C2390=TRUE)*(F2390-Calc!F19))+B2402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2381*(1-MIN(100,(Inputs!$B$9+((C2390=TRUE)*(F2390-Calc!F19))+B2402+(ArtifactsInput!$M$24-ArtifactsInput!$M$24)*CHOOSE(ArtifactsInput!$N$24+1,10,12,14,16,18,20)+(IF(AND(Inputs!$B$38&lt;&gt;"pvp",Inputs!$B$43=0),1,IF(IF(Inputs!$B$38="pvp",15,Inputs!$B$43)-(B2409)&lt;=0,1,MAX(0,IF(Inputs!$B$38="pvp",15,Inputs!$B$43)-MAX(5,B2409))/(IF(Inputs!$B$38="pvp",15,Inputs!$B$43)-(B2409))))*IF(AND(ArtifactsInput!$M$42,((Inputs!$B$9+((C2390=TRUE)*(F2390-Calc!F19))+B2402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2381*(MIN(100,(Inputs!$B$9+((C2390=TRUE)*(F2390-Calc!F19))+B2402+(ArtifactsInput!$M$24-ArtifactsInput!$M$24)*CHOOSE(ArtifactsInput!$N$24+1,10,12,14,16,18,20)+(IF(AND(Inputs!$B$38&lt;&gt;"pvp",Inputs!$B$43=0),1,IF(IF(Inputs!$B$38="pvp",15,Inputs!$B$43)-(B2409)&lt;=0,1,MAX(0,IF(Inputs!$B$38="pvp",15,Inputs!$B$43)-MAX(5,B2409))/(IF(Inputs!$B$38="pvp",15,Inputs!$B$43)-(B2409))))*IF(AND(ArtifactsInput!$M$42,((Inputs!$B$9+((C2390=TRUE)*(F2390-Calc!F19))+B2402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381">
        <f>IF(C2381,((H2381*B2414)/(1+Skills!H10*H2381*B2414)*N2381)*IF(Inputs!$B$38="pvp",1,(1+(Inputs!$B$21+Skills!Q10+(IF(ArtifactsInput!$M$33,CHOOSE(ArtifactsInput!$N$33+1,30,36,42,48,54,60),0))+(IF(AND(ArtifactsInput!$M$35,Inputs!$B$4&lt;&gt;"Chapter Hunt"),CHOOSE(ArtifactsInput!$N$35+1,15,18,21,24,27,30)*(1-EXP(-(0.2*B2404)*5)),0)+IF(AND(ArtifactsInput!$M$22,Inputs!$B$4&lt;&gt;"Chapter Hunt"),CHOOSE(ArtifactsInput!$N$22+1,10,12,14,16,18,20)*((0*(((0.15*B2404*5))^0/1)+1*(((0.15*B2404*5))^1/1)+2*(((0.15*B2404*5))^2/2)+3*(((0.15*B2404*5))^3/6)+4*(((0.15*B2404*5))^4/24)+5*(((0.15*B2404*5))^5/120))/((((0.15*B2404*5))^0/1)+(((0.15*B2404*5))^1/1)+(((0.15*B2404*5))^2/2)+(((0.15*B2404*5))^3/6)+(((0.15*B2404*5))^4/24)+(((0.15*B2404*5))^5/120))),0))+IF(Inputs!$B$3&gt;=54,9*(C2374=TRUE)*MIN(1,8*(1+Inputs!$B$34/100)*Q2374),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82">
      <c r="A2382">
        <f>Skills!A11</f>
        <v/>
      </c>
      <c r="B2382">
        <f>Skills!B11</f>
        <v/>
      </c>
      <c r="C2382">
        <f>Inputs!$B$3&gt;=117</f>
        <v/>
      </c>
      <c r="D2382">
        <f>IF(Skills!C11=1,60+Inputs!$B$25+Inputs!$B$29,IF(Skills!C11=2,90+Inputs!$B$26+Inputs!$B$29,IF(Skills!C11=3,120+Inputs!$B$27+Inputs!$B$29,MAX(0,(Inputs!$B$3-100)*3)+Inputs!$B$28+Inputs!$B$29)))</f>
        <v/>
      </c>
      <c r="E2382">
        <f>INDEX(FactorTable!$B$2:$Y$301, MATCH(ROUND(MIN(300,MAX(1,D2382)),0), FactorTable!$A$2:$A$301,0), Skills!M11+1)</f>
        <v/>
      </c>
      <c r="F2382">
        <f>IF(Skills!N11=TRUE,(Skills!L11/10)*(E2382/1000),Skills!L11/10)+Skills!O11</f>
        <v/>
      </c>
      <c r="G2382">
        <f>Skills!G11*IF(Skills!H11&gt;0,INT(IF(Inputs!$B$38="pvp",MIN(Skills!I11,15),Skills!I11)/Skills!H11+0.000000001),1)</f>
        <v/>
      </c>
      <c r="H2382">
        <f>1-(1-Skills!J11/100)^Skills!K11</f>
        <v/>
      </c>
      <c r="I2382" t="inlineStr">
        <is>
          <t>1</t>
        </is>
      </c>
      <c r="J2382">
        <f>((Inputs!$B$6*(1+Inputs!$B$7/100))+(((Inputs!$B$12*(1+Inputs!$B$13/100))-(Inputs!$B$12*(1+Inputs!$B$13/100)))+0.25*(Inputs!$B$14-Inputs!$B$14))*(1+Inputs!$B$7/100))*(F2382/100)</f>
        <v/>
      </c>
      <c r="K2382">
        <f>J2382*(1+((Inputs!$B$12*(1+Inputs!$B$13/100))*0.01+Inputs!$B$14*0.0025)/100)*(1+Inputs!$B$15/100)*(1+Inputs!$B$16/100)*(5000/(6000+Inputs!$B$42*(1-(100*(1-(1-(Inputs!$B$19+0)/100)*(1-CHOOSE(ArtifactsInput!$N$40+1,5,6,7,8,9,10)/100)^(ArtifactsInput!$M$40-ArtifactsInput!$M$40)))/100)))*(1+(Inputs!$B$24+((C2397=TRUE)*(F2397-Calc!F26))+B2408)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IGHT_LEGS_EASTON",Inputs!$B$17+((C2394=TRUE)*(F2394-Calc!F23))+((C2398=TRUE)*(F2398-Calc!F27))+((IF(AND(Inputs!$B$38&lt;&gt;"pvp",Inputs!$B$43=0),1,IF(IF(Inputs!$B$38="pvp",15,Inputs!$B$43)-(B2409)&lt;=0,1,MAX(0,IF(Inputs!$B$38="pvp",15,Inputs!$B$43)-MAX(5,B2409))/(IF(Inputs!$B$38="pvp",15,Inputs!$B$43)-(B2409))))*(IF(AND(ArtifactsInput!$M$42,((Inputs!$B$9+((C2390=TRUE)*(F2390-Calc!F19))+B2402+(ArtifactsInput!$M$24-ArtifactsInput!$M$24)*CHOOSE(ArtifactsInput!$N$24+1,10,12,14,16,18,20)+IF(ArtifactsInput!$M$10,CHOOSE(ArtifactsInput!$N$10+1,15,18,21,24,27,30)*(IF(Inputs!$B$38="pvp",MIN(15,15)/15,IF(AND(Inputs!$B$38&lt;&gt;"pvp",Inputs!$B$43&gt;0),MIN(15,Inputs!$B$43)/(Inputs!$B$43),0))),0)))&gt;=100),MIN(100,((Inputs!$B$9+((C2390=TRUE)*(F2390-Calc!F19))+B2402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2409)&lt;=0,1,MAX(0,IF(Inputs!$B$38="pvp",15,Inputs!$B$43)-MAX(5,B2409))/(IF(Inputs!$B$38="pvp",15,Inputs!$B$43)-(B2409))))*IF(AND(ArtifactsInput!$M$42,((Inputs!$B$9+((C2390=TRUE)*(F2390-Calc!F19))+B2402+(ArtifactsInput!$M$24-ArtifactsInput!$M$24)*CHOOSE(ArtifactsInput!$N$24+1,10,12,14,16,18,20)+IF(ArtifactsInput!$M$10,CHOOSE(ArtifactsInput!$N$10+1,15,18,21,24,27,30)*(IF(Inputs!$B$38="pvp",MIN(15,15)/15,IF(AND(Inputs!$B$38&lt;&gt;"pvp",Inputs!$B$43&gt;0),MIN(15,Inputs!$B$43)/(Inputs!$B$43),0))),0)))&gt;=100),CHOOSE(ArtifactsInput!$N$42+1,40,48,56,64,72,80),0))))/100)*((1+(((C2388=TRUE)*F2388*5/7)+((C2395=TRUE)*(F2395-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2382)</f>
        <v/>
      </c>
      <c r="L2382">
        <f>K2382*(MIN(Inputs!$B$22+((C2393=TRUE)*(F2393-Calc!F22)),(Inputs!$B$23+0+(IF(ArtifactsInput!$M$15,CHOOSE(ArtifactsInput!$N$15+1,25,30,35,40,45,50)/100*(Inputs!$B$11-Inputs!$B$11),0))))/100+(Inputs!$B$23+0+(IF(ArtifactsInput!$M$15,CHOOSE(ArtifactsInput!$N$15+1,25,30,35,40,45,50)/100*(Inputs!$B$11-Inputs!$B$11),0)))/100)/2</f>
        <v/>
      </c>
      <c r="M2382">
        <f>L2382*(1+(Inputs!$B$10+((C2396=TRUE)*(F2396-Calc!F25))+B2407+(IF(ArtifactsInput!$M$24,CHOOSE(ArtifactsInput!$N$24+1,30,36,42,48,54,60)/100*(Inputs!$B$9-Inputs!$B$9),0)+IF(ArtifactsInput!$M$10,CHOOSE(ArtifactsInput!$N$10+1,20,24,28,32,36,40)*(IF(Inputs!$B$38="pvp",MIN(15,15)/15,IF(AND(Inputs!$B$38&lt;&gt;"pvp",Inputs!$B$43&gt;0),MIN(15,Inputs!$B$43)/(Inputs!$B$43),0))),0)+IF(IF(ArtifactsInput!$M$31,FALSE,TRUE),1.5*CHOOSE(ArtifactsInput!$N$31+1,20,24,28,32,36,40),0)))/100)</f>
        <v/>
      </c>
      <c r="N2382">
        <f>L2382*(1-MIN((Inputs!$B$9+((C2390=TRUE)*(F2390-Calc!F19))+B2402+(ArtifactsInput!$M$24-ArtifactsInput!$M$24)*CHOOSE(ArtifactsInput!$N$24+1,10,12,14,16,18,20)+(IF(AND(Inputs!$B$38&lt;&gt;"pvp",Inputs!$B$43=0),1,IF(IF(Inputs!$B$38="pvp",15,Inputs!$B$43)-(B2409)&lt;=0,1,MAX(0,IF(Inputs!$B$38="pvp",15,Inputs!$B$43)-MAX(5,B2409))/(IF(Inputs!$B$38="pvp",15,Inputs!$B$43)-(B2409))))*IF(AND(ArtifactsInput!$M$42,((Inputs!$B$9+((C2390=TRUE)*(F2390-Calc!F19))+B2402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2382*(MIN((Inputs!$B$9+((C2390=TRUE)*(F2390-Calc!F19))+B2402+(ArtifactsInput!$M$24-ArtifactsInput!$M$24)*CHOOSE(ArtifactsInput!$N$24+1,10,12,14,16,18,20)+(IF(AND(Inputs!$B$38&lt;&gt;"pvp",Inputs!$B$43=0),1,IF(IF(Inputs!$B$38="pvp",15,Inputs!$B$43)-(B2409)&lt;=0,1,MAX(0,IF(Inputs!$B$38="pvp",15,Inputs!$B$43)-MAX(5,B2409))/(IF(Inputs!$B$38="pvp",15,Inputs!$B$43)-(B2409))))*IF(AND(ArtifactsInput!$M$42,((Inputs!$B$9+((C2390=TRUE)*(F2390-Calc!F19))+B2402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82">
        <f>(1-Summary!$B$11)*T2382+Summary!$B$11*V2382</f>
        <v/>
      </c>
      <c r="P2382">
        <f>IF(B2412=0,0,O2382/B2412)</f>
        <v/>
      </c>
      <c r="Q2382">
        <f>IFERROR(1/((IF(Inputs!$B$38="pvp",15,MAX(0.1,Skills!D11-IF(TRUE=TRUE,Inputs!$B$32,0)))*(1-IF(AND(ArtifactsInput!$M$27,Inputs!$B$4="Chapter Hunt"),CHOOSE(ArtifactsInput!$N$27+1,20,24,28,32,36,40),0)/100))/B2413),0)</f>
        <v/>
      </c>
      <c r="R2382">
        <f>IF(AND(Inputs!$B$38&lt;&gt;"pvp",Inputs!$B$43&gt;0),IF(MAX(0,Inputs!$B$43-B2409)&lt;=0,0,(INT(MAX(0,Inputs!$B$43-B2409)/((IF(Inputs!$B$38="pvp",15,MAX(0.1,Skills!D11-IF(TRUE=TRUE,Inputs!$B$32,0)))*(1-IF(AND(ArtifactsInput!$M$27,Inputs!$B$4="Chapter Hunt"),CHOOSE(ArtifactsInput!$N$27+1,20,24,28,32,36,40),0)/100))/B2413))+1)),0)</f>
        <v/>
      </c>
      <c r="S2382">
        <f>IFERROR(O2382/N2382,0)</f>
        <v/>
      </c>
      <c r="T2382">
        <f>IF(C2382,(H2382*N2382*IF(AND(Inputs!$B$38&lt;&gt;"pvp",Inputs!$B$43&gt;0),((Skills!G11*((R2382-1)*IF(Skills!H11&gt;0,INT(Skills!I11/Skills!H11+0.000000001),1)+IF(Skills!H11&gt;0,INT(MIN(Skills!I11,MAX(0,MAX(0,Inputs!$B$43-B2409)-((R2382-1)*((IF(Inputs!$B$38="pvp",15,MAX(0.1,Skills!D11-IF(TRUE=TRUE,Inputs!$B$32,0)))*(1-IF(AND(ArtifactsInput!$M$27,Inputs!$B$4="Chapter Hunt"),CHOOSE(ArtifactsInput!$N$27+1,20,24,28,32,36,40),0)/100))/B2413))))/Skills!H11+0.000000001),1)))/Inputs!$B$43),G2382*Q2382)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Hunt"),CHOOSE(ArtifactsInput!$N$35+1,15,18,21,24,27,30)*(1-EXP(-(0.2*B2404)*5)),0)+IF(AND(ArtifactsInput!$M$22,Inputs!$B$4&lt;&gt;"Chapter Hunt"),CHOOSE(ArtifactsInput!$N$22+1,10,12,14,16,18,20)*((0*(((0.15*B2404*5))^0/1)+1*(((0.15*B2404*5))^1/1)+2*(((0.15*B2404*5))^2/2)+3*(((0.15*B2404*5))^3/6)+4*(((0.15*B2404*5))^4/24)+5*(((0.15*B2404*5))^5/120))/((((0.15*B2404*5))^0/1)+(((0.15*B2404*5))^1/1)+(((0.15*B2404*5))^2/2)+(((0.15*B2404*5))^3/6)+(((0.15*B2404*5))^4/24)+(((0.15*B2404*5))^5/120))),0))+IF(Inputs!$B$3&gt;=54,9*(C2374=TRUE)*MIN(1,8*(1+Inputs!$B$34/100)*Q2374)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2382*(1-MIN(100,(Inputs!$B$9+((C2390=TRUE)*(F2390-Calc!F19))+B2402+(ArtifactsInput!$M$24-ArtifactsInput!$M$24)*CHOOSE(ArtifactsInput!$N$24+1,10,12,14,16,18,20)+(IF(AND(Inputs!$B$38&lt;&gt;"pvp",Inputs!$B$43=0),1,IF(IF(Inputs!$B$38="pvp",15,Inputs!$B$43)-(B2409)&lt;=0,1,MAX(0,IF(Inputs!$B$38="pvp",15,Inputs!$B$43)-MAX(5,B2409))/(IF(Inputs!$B$38="pvp",15,Inputs!$B$43)-(B2409))))*IF(AND(ArtifactsInput!$M$42,((Inputs!$B$9+((C2390=TRUE)*(F2390-Calc!F19))+B2402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2382*(MIN(100,(Inputs!$B$9+((C2390=TRUE)*(F2390-Calc!F19))+B2402+(ArtifactsInput!$M$24-ArtifactsInput!$M$24)*CHOOSE(ArtifactsInput!$N$24+1,10,12,14,16,18,20)+(IF(AND(Inputs!$B$38&lt;&gt;"pvp",Inputs!$B$43=0),1,IF(IF(Inputs!$B$38="pvp",15,Inputs!$B$43)-(B2409)&lt;=0,1,MAX(0,IF(Inputs!$B$38="pvp",15,Inputs!$B$43)-MAX(5,B2409))/(IF(Inputs!$B$38="pvp",15,Inputs!$B$43)-(B2409))))*IF(AND(ArtifactsInput!$M$42,((Inputs!$B$9+((C2390=TRUE)*(F2390-Calc!F19))+B2402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2382*(1-MIN(100,(Inputs!$B$9+((C2390=TRUE)*(F2390-Calc!F19))+B2402+(ArtifactsInput!$M$24-ArtifactsInput!$M$24)*CHOOSE(ArtifactsInput!$N$24+1,10,12,14,16,18,20)+(IF(AND(Inputs!$B$38&lt;&gt;"pvp",Inputs!$B$43=0),1,IF(IF(Inputs!$B$38="pvp",15,Inputs!$B$43)-(B2409)&lt;=0,1,MAX(0,IF(Inputs!$B$38="pvp",15,Inputs!$B$43)-MAX(5,B2409))/(IF(Inputs!$B$38="pvp",15,Inputs!$B$43)-(B2409))))*IF(AND(ArtifactsInput!$M$42,((Inputs!$B$9+((C2390=TRUE)*(F2390-Calc!F19))+B2402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2382*(MIN(100,(Inputs!$B$9+((C2390=TRUE)*(F2390-Calc!F19))+B2402+(ArtifactsInput!$M$24-ArtifactsInput!$M$24)*CHOOSE(ArtifactsInput!$N$24+1,10,12,14,16,18,20)+(IF(AND(Inputs!$B$38&lt;&gt;"pvp",Inputs!$B$43=0),1,IF(IF(Inputs!$B$38="pvp",15,Inputs!$B$43)-(B2409)&lt;=0,1,MAX(0,IF(Inputs!$B$38="pvp",15,Inputs!$B$43)-MAX(5,B2409))/(IF(Inputs!$B$38="pvp",15,Inputs!$B$43)-(B2409))))*IF(AND(ArtifactsInput!$M$42,((Inputs!$B$9+((C2390=TRUE)*(F2390-Calc!F19))+B2402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382">
        <f>IF(C2382,(H2382*N2382*IF(AND(Inputs!$B$38&lt;&gt;"pvp",Inputs!$B$43&gt;0),((Skills!G11*((R2382-1)*IF(Skills!H11&gt;0,INT(Skills!I11/Skills!H11+0.000000001),1)+IF(Skills!H11&gt;0,INT(MIN(Skills!I11,MAX(0,MAX(0,Inputs!$B$43-B2409)-((R2382-1)*((IF(Inputs!$B$38="pvp",15,MAX(0.1,Skills!D11-IF(TRUE=TRUE,Inputs!$B$32,0)))*(1-IF(AND(ArtifactsInput!$M$27,Inputs!$B$4="Chapter Hunt"),CHOOSE(ArtifactsInput!$N$27+1,20,24,28,32,36,40),0)/100))/B2413))))/Skills!H11+0.000000001),1)))/Inputs!$B$43),G2382*Q2382))*IF(Inputs!$B$38="pvp",1,(1+(Inputs!$B$21+Skills!Q11+(IF(ArtifactsInput!$M$33,CHOOSE(ArtifactsInput!$N$33+1,30,36,42,48,54,60),0))+(IF(AND(ArtifactsInput!$M$35,Inputs!$B$4&lt;&gt;"Chapter Hunt"),CHOOSE(ArtifactsInput!$N$35+1,15,18,21,24,27,30)*(1-EXP(-(0.2*B2404)*5)),0)+IF(AND(ArtifactsInput!$M$22,Inputs!$B$4&lt;&gt;"Chapter Hunt"),CHOOSE(ArtifactsInput!$N$22+1,10,12,14,16,18,20)*((0*(((0.15*B2404*5))^0/1)+1*(((0.15*B2404*5))^1/1)+2*(((0.15*B2404*5))^2/2)+3*(((0.15*B2404*5))^3/6)+4*(((0.15*B2404*5))^4/24)+5*(((0.15*B2404*5))^5/120))/((((0.15*B2404*5))^0/1)+(((0.15*B2404*5))^1/1)+(((0.15*B2404*5))^2/2)+(((0.15*B2404*5))^3/6)+(((0.15*B2404*5))^4/24)+(((0.15*B2404*5))^5/120))),0))+IF(Inputs!$B$3&gt;=54,9*(C2374=TRUE)*MIN(1,8*(1+Inputs!$B$34/100)*Q2374),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83">
      <c r="A2383">
        <f>Skills!A12</f>
        <v/>
      </c>
      <c r="B2383">
        <f>Skills!B12</f>
        <v/>
      </c>
      <c r="C2383">
        <f>Inputs!$B$3&gt;=110</f>
        <v/>
      </c>
      <c r="D2383">
        <f>IF(Skills!C12=1,60+Inputs!$B$25+Inputs!$B$29,IF(Skills!C12=2,90+Inputs!$B$26+Inputs!$B$29,IF(Skills!C12=3,120+Inputs!$B$27+Inputs!$B$29,MAX(0,(Inputs!$B$3-100)*3)+Inputs!$B$28+Inputs!$B$29)))</f>
        <v/>
      </c>
      <c r="E2383">
        <f>INDEX(FactorTable!$B$2:$Y$301, MATCH(ROUND(MIN(300,MAX(1,D2383)),0), FactorTable!$A$2:$A$301,0), Skills!M12+1)</f>
        <v/>
      </c>
      <c r="F2383">
        <f>IF(Skills!N12=TRUE,(Skills!L12/10)*(E2383/1000),Skills!L12/10)+Skills!O12</f>
        <v/>
      </c>
      <c r="G2383">
        <f>Skills!G12*IF(Skills!H12&gt;0,INT(IF(Inputs!$B$38="pvp",MIN(Skills!I12,15),Skills!I12)/Skills!H12+0.000000001),1)</f>
        <v/>
      </c>
      <c r="H2383">
        <f>1-(1-Skills!J12/100)^Skills!K12</f>
        <v/>
      </c>
      <c r="I2383" t="inlineStr">
        <is>
          <t>1</t>
        </is>
      </c>
      <c r="J2383">
        <f>((Inputs!$B$6*(1+Inputs!$B$7/100))+(((Inputs!$B$12*(1+Inputs!$B$13/100))-(Inputs!$B$12*(1+Inputs!$B$13/100)))+0.25*(Inputs!$B$14-Inputs!$B$14))*(1+Inputs!$B$7/100))*(F2383/100)</f>
        <v/>
      </c>
      <c r="K2383">
        <f>J2383*(1+((Inputs!$B$12*(1+Inputs!$B$13/100))*0.01+Inputs!$B$14*0.0025)/100)*(1+Inputs!$B$15/100)*(1+Inputs!$B$16/100)*(5000/(6000+Inputs!$B$42*(1-(100*(1-(1-(Inputs!$B$19+0)/100)*(1-CHOOSE(ArtifactsInput!$N$40+1,5,6,7,8,9,10)/100)^(ArtifactsInput!$M$40-ArtifactsInput!$M$40)))/100)))*(1+(Inputs!$B$24+((C2397=TRUE)*(F2397-Calc!F26))+B2408)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EIGHT_LEGS_EASTON",Inputs!$B$17+((C2394=TRUE)*(F2394-Calc!F23))+((C2398=TRUE)*(F2398-Calc!F27))+((IF(AND(Inputs!$B$38&lt;&gt;"pvp",Inputs!$B$43=0),1,IF(IF(Inputs!$B$38="pvp",15,Inputs!$B$43)-(B2409)&lt;=0,1,MAX(0,IF(Inputs!$B$38="pvp",15,Inputs!$B$43)-MAX(5,B2409))/(IF(Inputs!$B$38="pvp",15,Inputs!$B$43)-(B2409))))*(IF(AND(ArtifactsInput!$M$42,((Inputs!$B$9+((C2390=TRUE)*(F2390-Calc!F19))+B2402+(ArtifactsInput!$M$24-ArtifactsInput!$M$24)*CHOOSE(ArtifactsInput!$N$24+1,10,12,14,16,18,20)+IF(ArtifactsInput!$M$10,CHOOSE(ArtifactsInput!$N$10+1,15,18,21,24,27,30)*(IF(Inputs!$B$38="pvp",MIN(15,15)/15,IF(AND(Inputs!$B$38&lt;&gt;"pvp",Inputs!$B$43&gt;0),MIN(15,Inputs!$B$43)/(Inputs!$B$43),0))),0)))&gt;=100),MIN(100,((Inputs!$B$9+((C2390=TRUE)*(F2390-Calc!F19))+B2402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2409)&lt;=0,1,MAX(0,IF(Inputs!$B$38="pvp",15,Inputs!$B$43)-MAX(5,B2409))/(IF(Inputs!$B$38="pvp",15,Inputs!$B$43)-(B2409))))*IF(AND(ArtifactsInput!$M$42,((Inputs!$B$9+((C2390=TRUE)*(F2390-Calc!F19))+B2402+(ArtifactsInput!$M$24-ArtifactsInput!$M$24)*CHOOSE(ArtifactsInput!$N$24+1,10,12,14,16,18,20)+IF(ArtifactsInput!$M$10,CHOOSE(ArtifactsInput!$N$10+1,15,18,21,24,27,30)*(IF(Inputs!$B$38="pvp",MIN(15,15)/15,IF(AND(Inputs!$B$38&lt;&gt;"pvp",Inputs!$B$43&gt;0),MIN(15,Inputs!$B$43)/(Inputs!$B$43),0))),0)))&gt;=100),CHOOSE(ArtifactsInput!$N$42+1,40,48,56,64,72,80),0))))/100)*((1+(((C2388=TRUE)*F2388*5/7)+((C2395=TRUE)*(F2395-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2383)</f>
        <v/>
      </c>
      <c r="L2383">
        <f>K2383*(MIN(Inputs!$B$22+((C2393=TRUE)*(F2393-Calc!F22)),(Inputs!$B$23+0+(IF(ArtifactsInput!$M$15,CHOOSE(ArtifactsInput!$N$15+1,25,30,35,40,45,50)/100*(Inputs!$B$11-Inputs!$B$11),0))))/100+(Inputs!$B$23+0+(IF(ArtifactsInput!$M$15,CHOOSE(ArtifactsInput!$N$15+1,25,30,35,40,45,50)/100*(Inputs!$B$11-Inputs!$B$11),0)))/100)/2</f>
        <v/>
      </c>
      <c r="M2383">
        <f>L2383*(1+(Inputs!$B$10+((C2396=TRUE)*(F2396-Calc!F25))+B2407+(IF(ArtifactsInput!$M$24,CHOOSE(ArtifactsInput!$N$24+1,30,36,42,48,54,60)/100*(Inputs!$B$9-Inputs!$B$9),0)+IF(ArtifactsInput!$M$10,CHOOSE(ArtifactsInput!$N$10+1,20,24,28,32,36,40)*(IF(Inputs!$B$38="pvp",MIN(15,15)/15,IF(AND(Inputs!$B$38&lt;&gt;"pvp",Inputs!$B$43&gt;0),MIN(15,Inputs!$B$43)/(Inputs!$B$43),0))),0)+IF(IF(ArtifactsInput!$M$31,FALSE,TRUE),1.5*CHOOSE(ArtifactsInput!$N$31+1,20,24,28,32,36,40),0)))/100)</f>
        <v/>
      </c>
      <c r="N2383">
        <f>L2383*(1-MIN((Inputs!$B$9+((C2390=TRUE)*(F2390-Calc!F19))+B2402+(ArtifactsInput!$M$24-ArtifactsInput!$M$24)*CHOOSE(ArtifactsInput!$N$24+1,10,12,14,16,18,20)+(IF(AND(Inputs!$B$38&lt;&gt;"pvp",Inputs!$B$43=0),1,IF(IF(Inputs!$B$38="pvp",15,Inputs!$B$43)-(B2409)&lt;=0,1,MAX(0,IF(Inputs!$B$38="pvp",15,Inputs!$B$43)-MAX(5,B2409))/(IF(Inputs!$B$38="pvp",15,Inputs!$B$43)-(B2409))))*IF(AND(ArtifactsInput!$M$42,((Inputs!$B$9+((C2390=TRUE)*(F2390-Calc!F19))+B2402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2383*(MIN((Inputs!$B$9+((C2390=TRUE)*(F2390-Calc!F19))+B2402+(ArtifactsInput!$M$24-ArtifactsInput!$M$24)*CHOOSE(ArtifactsInput!$N$24+1,10,12,14,16,18,20)+(IF(AND(Inputs!$B$38&lt;&gt;"pvp",Inputs!$B$43=0),1,IF(IF(Inputs!$B$38="pvp",15,Inputs!$B$43)-(B2409)&lt;=0,1,MAX(0,IF(Inputs!$B$38="pvp",15,Inputs!$B$43)-MAX(5,B2409))/(IF(Inputs!$B$38="pvp",15,Inputs!$B$43)-(B2409))))*IF(AND(ArtifactsInput!$M$42,((Inputs!$B$9+((C2390=TRUE)*(F2390-Calc!F19))+B2402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83">
        <f>(1-Summary!$B$11)*T2383+Summary!$B$11*V2383</f>
        <v/>
      </c>
      <c r="P2383">
        <f>IF(B2412=0,0,O2383/B2412)</f>
        <v/>
      </c>
      <c r="Q2383">
        <f>IFERROR(1/(IF(Inputs!$B$38="pvp",15,MAX(0.1,Skills!D12-IF(TRUE=TRUE,Inputs!$B$32,0)))*(1-IF(AND(ArtifactsInput!$M$27,Inputs!$B$4="Chapter Hunt"),CHOOSE(ArtifactsInput!$N$27+1,20,24,28,32,36,40),0)/100)),0)</f>
        <v/>
      </c>
      <c r="R2383">
        <f>IF(AND(Inputs!$B$38&lt;&gt;"pvp",Inputs!$B$43&gt;0),IF(MAX(0,Inputs!$B$43-B2409)&lt;=0,0,(INT(MAX(0,Inputs!$B$43-B2409)/(IF(Inputs!$B$38="pvp",15,MAX(0.1,Skills!D12-IF(TRUE=TRUE,Inputs!$B$32,0)))*(1-IF(AND(ArtifactsInput!$M$27,Inputs!$B$4="Chapter Hunt"),CHOOSE(ArtifactsInput!$N$27+1,20,24,28,32,36,40),0)/100)))+1)),0)</f>
        <v/>
      </c>
      <c r="S2383">
        <f>IFERROR(O2383/N2383,0)</f>
        <v/>
      </c>
      <c r="T2383">
        <f>IF(C2383,(H2383*N2383*IF(AND(Inputs!$B$38&lt;&gt;"pvp",Inputs!$B$43&gt;0),((Skills!G12*((R2383-1)*IF(Skills!H12&gt;0,INT(Skills!I12/Skills!H12+0.000000001),1)+IF(Skills!H12&gt;0,INT(MIN(Skills!I12,MAX(0,MAX(0,Inputs!$B$43-B2409)-((R2383-1)*(IF(Inputs!$B$38="pvp",15,MAX(0.1,Skills!D12-IF(TRUE=TRUE,Inputs!$B$32,0)))*(1-IF(AND(ArtifactsInput!$M$27,Inputs!$B$4="Chapter Hunt"),CHOOSE(ArtifactsInput!$N$27+1,20,24,28,32,36,40),0)/100)))))/Skills!H12+0.000000001),1)))/Inputs!$B$43),G2383*Q2383))*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Hunt"),CHOOSE(ArtifactsInput!$N$35+1,15,18,21,24,27,30)*(1-EXP(-(0.2*B2404)*5)),0)+IF(AND(ArtifactsInput!$M$22,Inputs!$B$4&lt;&gt;"Chapter Hunt"),CHOOSE(ArtifactsInput!$N$22+1,10,12,14,16,18,20)*((0*(((0.15*B2404*5))^0/1)+1*(((0.15*B2404*5))^1/1)+2*(((0.15*B2404*5))^2/2)+3*(((0.15*B2404*5))^3/6)+4*(((0.15*B2404*5))^4/24)+5*(((0.15*B2404*5))^5/120))/((((0.15*B2404*5))^0/1)+(((0.15*B2404*5))^1/1)+(((0.15*B2404*5))^2/2)+(((0.15*B2404*5))^3/6)+(((0.15*B2404*5))^4/24)+(((0.15*B2404*5))^5/120))),0))+IF(Inputs!$B$3&gt;=54,9*(C2374=TRUE)*MIN(1,8*(1+Inputs!$B$34/100)*Q2374)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2383*(1-MIN(100,(Inputs!$B$9+((C2390=TRUE)*(F2390-Calc!F19))+B2402+(ArtifactsInput!$M$24-ArtifactsInput!$M$24)*CHOOSE(ArtifactsInput!$N$24+1,10,12,14,16,18,20)+(IF(AND(Inputs!$B$38&lt;&gt;"pvp",Inputs!$B$43=0),1,IF(IF(Inputs!$B$38="pvp",15,Inputs!$B$43)-(B2409)&lt;=0,1,MAX(0,IF(Inputs!$B$38="pvp",15,Inputs!$B$43)-MAX(5,B2409))/(IF(Inputs!$B$38="pvp",15,Inputs!$B$43)-(B2409))))*IF(AND(ArtifactsInput!$M$42,((Inputs!$B$9+((C2390=TRUE)*(F2390-Calc!F19))+B2402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2383*(MIN(100,(Inputs!$B$9+((C2390=TRUE)*(F2390-Calc!F19))+B2402+(ArtifactsInput!$M$24-ArtifactsInput!$M$24)*CHOOSE(ArtifactsInput!$N$24+1,10,12,14,16,18,20)+(IF(AND(Inputs!$B$38&lt;&gt;"pvp",Inputs!$B$43=0),1,IF(IF(Inputs!$B$38="pvp",15,Inputs!$B$43)-(B2409)&lt;=0,1,MAX(0,IF(Inputs!$B$38="pvp",15,Inputs!$B$43)-MAX(5,B2409))/(IF(Inputs!$B$38="pvp",15,Inputs!$B$43)-(B2409))))*IF(AND(ArtifactsInput!$M$42,((Inputs!$B$9+((C2390=TRUE)*(F2390-Calc!F19))+B2402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2383*(1-MIN(100,(Inputs!$B$9+((C2390=TRUE)*(F2390-Calc!F19))+B2402+(ArtifactsInput!$M$24-ArtifactsInput!$M$24)*CHOOSE(ArtifactsInput!$N$24+1,10,12,14,16,18,20)+(IF(AND(Inputs!$B$38&lt;&gt;"pvp",Inputs!$B$43=0),1,IF(IF(Inputs!$B$38="pvp",15,Inputs!$B$43)-(B2409)&lt;=0,1,MAX(0,IF(Inputs!$B$38="pvp",15,Inputs!$B$43)-MAX(5,B2409))/(IF(Inputs!$B$38="pvp",15,Inputs!$B$43)-(B2409))))*IF(AND(ArtifactsInput!$M$42,((Inputs!$B$9+((C2390=TRUE)*(F2390-Calc!F19))+B2402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2383*(MIN(100,(Inputs!$B$9+((C2390=TRUE)*(F2390-Calc!F19))+B2402+(ArtifactsInput!$M$24-ArtifactsInput!$M$24)*CHOOSE(ArtifactsInput!$N$24+1,10,12,14,16,18,20)+(IF(AND(Inputs!$B$38&lt;&gt;"pvp",Inputs!$B$43=0),1,IF(IF(Inputs!$B$38="pvp",15,Inputs!$B$43)-(B2409)&lt;=0,1,MAX(0,IF(Inputs!$B$38="pvp",15,Inputs!$B$43)-MAX(5,B2409))/(IF(Inputs!$B$38="pvp",15,Inputs!$B$43)-(B2409))))*IF(AND(ArtifactsInput!$M$42,((Inputs!$B$9+((C2390=TRUE)*(F2390-Calc!F19))+B2402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383">
        <f>IF(C2383,(H2383*N2383*IF(AND(Inputs!$B$38&lt;&gt;"pvp",Inputs!$B$43&gt;0),((Skills!G12*((R2383-1)*IF(Skills!H12&gt;0,INT(Skills!I12/Skills!H12+0.000000001),1)+IF(Skills!H12&gt;0,INT(MIN(Skills!I12,MAX(0,MAX(0,Inputs!$B$43-B2409)-((R2383-1)*(IF(Inputs!$B$38="pvp",15,MAX(0.1,Skills!D12-IF(TRUE=TRUE,Inputs!$B$32,0)))*(1-IF(AND(ArtifactsInput!$M$27,Inputs!$B$4="Chapter Hunt"),CHOOSE(ArtifactsInput!$N$27+1,20,24,28,32,36,40),0)/100)))))/Skills!H12+0.000000001),1)))/Inputs!$B$43),G2383*Q2383))*IF(Inputs!$B$38="pvp",1,(1+(Inputs!$B$21+Skills!Q12+(IF(ArtifactsInput!$M$33,CHOOSE(ArtifactsInput!$N$33+1,30,36,42,48,54,60),0))+(IF(AND(ArtifactsInput!$M$35,Inputs!$B$4&lt;&gt;"Chapter Hunt"),CHOOSE(ArtifactsInput!$N$35+1,15,18,21,24,27,30)*(1-EXP(-(0.2*B2404)*5)),0)+IF(AND(ArtifactsInput!$M$22,Inputs!$B$4&lt;&gt;"Chapter Hunt"),CHOOSE(ArtifactsInput!$N$22+1,10,12,14,16,18,20)*((0*(((0.15*B2404*5))^0/1)+1*(((0.15*B2404*5))^1/1)+2*(((0.15*B2404*5))^2/2)+3*(((0.15*B2404*5))^3/6)+4*(((0.15*B2404*5))^4/24)+5*(((0.15*B2404*5))^5/120))/((((0.15*B2404*5))^0/1)+(((0.15*B2404*5))^1/1)+(((0.15*B2404*5))^2/2)+(((0.15*B2404*5))^3/6)+(((0.15*B2404*5))^4/24)+(((0.15*B2404*5))^5/120))),0))+IF(Inputs!$B$3&gt;=54,9*(C2374=TRUE)*MIN(1,8*(1+Inputs!$B$34/100)*Q2374),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84">
      <c r="A2384">
        <f>Skills!A13</f>
        <v/>
      </c>
      <c r="B2384">
        <f>Skills!B13</f>
        <v/>
      </c>
      <c r="C2384">
        <f>Inputs!$B$3&gt;=110</f>
        <v/>
      </c>
      <c r="D2384">
        <f>IF(Skills!C13=1,60+Inputs!$B$25+Inputs!$B$29,IF(Skills!C13=2,90+Inputs!$B$26+Inputs!$B$29,IF(Skills!C13=3,120+Inputs!$B$27+Inputs!$B$29,MAX(0,(Inputs!$B$3-100)*3)+Inputs!$B$28+Inputs!$B$29)))</f>
        <v/>
      </c>
      <c r="E2384">
        <f>INDEX(FactorTable!$B$2:$Y$301, MATCH(ROUND(MIN(300,MAX(1,D2384)),0), FactorTable!$A$2:$A$301,0), Skills!M13+1)</f>
        <v/>
      </c>
      <c r="F2384">
        <f>IF(Skills!N13=TRUE,(Skills!L13/10)*(E2384/1000),Skills!L13/10)+Skills!O13</f>
        <v/>
      </c>
      <c r="G2384">
        <f>Skills!G13*IF(Skills!H13&gt;0,INT(IF(Inputs!$B$38="pvp",MIN(Skills!I13,15),Skills!I13)/Skills!H13+0.000000001),1)</f>
        <v/>
      </c>
      <c r="H2384">
        <f>1-(1-Skills!J13/100)^Skills!K13</f>
        <v/>
      </c>
      <c r="I2384" t="inlineStr">
        <is>
          <t>1</t>
        </is>
      </c>
      <c r="J2384">
        <f>((Inputs!$B$6*(1+Inputs!$B$7/100))+(((Inputs!$B$12*(1+Inputs!$B$13/100))-(Inputs!$B$12*(1+Inputs!$B$13/100)))+0.25*(Inputs!$B$14-Inputs!$B$14))*(1+Inputs!$B$7/100))*(F2384/100)</f>
        <v/>
      </c>
      <c r="K2384">
        <f>J2384*(1+((Inputs!$B$12*(1+Inputs!$B$13/100))*0.01+Inputs!$B$14*0.0025)/100)*(1+Inputs!$B$15/100)*(1+Inputs!$B$16/100)*(5000/(6000+Inputs!$B$42*(1-(100*(1-(1-(Inputs!$B$19+0)/100)*(1-CHOOSE(ArtifactsInput!$N$40+1,5,6,7,8,9,10)/100)^(ArtifactsInput!$M$40-ArtifactsInput!$M$40)))/100)))*(1+(Inputs!$B$24+((C2397=TRUE)*(F2397-Calc!F26))+B2408)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EIGHT_LEGS_EASTON",Inputs!$B$17+((C2394=TRUE)*(F2394-Calc!F23))+((C2398=TRUE)*(F2398-Calc!F27))+((IF(AND(Inputs!$B$38&lt;&gt;"pvp",Inputs!$B$43=0),1,IF(IF(Inputs!$B$38="pvp",15,Inputs!$B$43)-(B2409)&lt;=0,1,MAX(0,IF(Inputs!$B$38="pvp",15,Inputs!$B$43)-MAX(5,B2409))/(IF(Inputs!$B$38="pvp",15,Inputs!$B$43)-(B2409))))*(IF(AND(ArtifactsInput!$M$42,((Inputs!$B$9+((C2390=TRUE)*(F2390-Calc!F19))+B2402+(ArtifactsInput!$M$24-ArtifactsInput!$M$24)*CHOOSE(ArtifactsInput!$N$24+1,10,12,14,16,18,20)+IF(ArtifactsInput!$M$10,CHOOSE(ArtifactsInput!$N$10+1,15,18,21,24,27,30)*(IF(Inputs!$B$38="pvp",MIN(15,15)/15,IF(AND(Inputs!$B$38&lt;&gt;"pvp",Inputs!$B$43&gt;0),MIN(15,Inputs!$B$43)/(Inputs!$B$43),0))),0)))&gt;=100),MIN(100,((Inputs!$B$9+((C2390=TRUE)*(F2390-Calc!F19))+B2402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2409)&lt;=0,1,MAX(0,IF(Inputs!$B$38="pvp",15,Inputs!$B$43)-MAX(5,B2409))/(IF(Inputs!$B$38="pvp",15,Inputs!$B$43)-(B2409))))*IF(AND(ArtifactsInput!$M$42,((Inputs!$B$9+((C2390=TRUE)*(F2390-Calc!F19))+B2402+(ArtifactsInput!$M$24-ArtifactsInput!$M$24)*CHOOSE(ArtifactsInput!$N$24+1,10,12,14,16,18,20)+IF(ArtifactsInput!$M$10,CHOOSE(ArtifactsInput!$N$10+1,15,18,21,24,27,30)*(IF(Inputs!$B$38="pvp",MIN(15,15)/15,IF(AND(Inputs!$B$38&lt;&gt;"pvp",Inputs!$B$43&gt;0),MIN(15,Inputs!$B$43)/(Inputs!$B$43),0))),0)))&gt;=100),CHOOSE(ArtifactsInput!$N$42+1,40,48,56,64,72,80),0))))/100)*((1+(((C2388=TRUE)*F2388*5/7)+((C2395=TRUE)*(F2395-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2384)</f>
        <v/>
      </c>
      <c r="L2384">
        <f>K2384*(MIN(Inputs!$B$22+((C2393=TRUE)*(F2393-Calc!F22)),(Inputs!$B$23+0+(IF(ArtifactsInput!$M$15,CHOOSE(ArtifactsInput!$N$15+1,25,30,35,40,45,50)/100*(Inputs!$B$11-Inputs!$B$11),0))))/100+(Inputs!$B$23+0+(IF(ArtifactsInput!$M$15,CHOOSE(ArtifactsInput!$N$15+1,25,30,35,40,45,50)/100*(Inputs!$B$11-Inputs!$B$11),0)))/100)/2</f>
        <v/>
      </c>
      <c r="M2384">
        <f>L2384*(1+(Inputs!$B$10+((C2396=TRUE)*(F2396-Calc!F25))+B2407+(IF(ArtifactsInput!$M$24,CHOOSE(ArtifactsInput!$N$24+1,30,36,42,48,54,60)/100*(Inputs!$B$9-Inputs!$B$9),0)+IF(ArtifactsInput!$M$10,CHOOSE(ArtifactsInput!$N$10+1,20,24,28,32,36,40)*(IF(Inputs!$B$38="pvp",MIN(15,15)/15,IF(AND(Inputs!$B$38&lt;&gt;"pvp",Inputs!$B$43&gt;0),MIN(15,Inputs!$B$43)/(Inputs!$B$43),0))),0)+IF(IF(ArtifactsInput!$M$31,FALSE,TRUE),1.5*CHOOSE(ArtifactsInput!$N$31+1,20,24,28,32,36,40),0)))/100)</f>
        <v/>
      </c>
      <c r="N2384">
        <f>L2384*(1-MIN((Inputs!$B$9+((C2390=TRUE)*(F2390-Calc!F19))+B2402+(ArtifactsInput!$M$24-ArtifactsInput!$M$24)*CHOOSE(ArtifactsInput!$N$24+1,10,12,14,16,18,20)+(IF(AND(Inputs!$B$38&lt;&gt;"pvp",Inputs!$B$43=0),1,IF(IF(Inputs!$B$38="pvp",15,Inputs!$B$43)-(B2409)&lt;=0,1,MAX(0,IF(Inputs!$B$38="pvp",15,Inputs!$B$43)-MAX(5,B2409))/(IF(Inputs!$B$38="pvp",15,Inputs!$B$43)-(B2409))))*IF(AND(ArtifactsInput!$M$42,((Inputs!$B$9+((C2390=TRUE)*(F2390-Calc!F19))+B2402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2384*(MIN((Inputs!$B$9+((C2390=TRUE)*(F2390-Calc!F19))+B2402+(ArtifactsInput!$M$24-ArtifactsInput!$M$24)*CHOOSE(ArtifactsInput!$N$24+1,10,12,14,16,18,20)+(IF(AND(Inputs!$B$38&lt;&gt;"pvp",Inputs!$B$43=0),1,IF(IF(Inputs!$B$38="pvp",15,Inputs!$B$43)-(B2409)&lt;=0,1,MAX(0,IF(Inputs!$B$38="pvp",15,Inputs!$B$43)-MAX(5,B2409))/(IF(Inputs!$B$38="pvp",15,Inputs!$B$43)-(B2409))))*IF(AND(ArtifactsInput!$M$42,((Inputs!$B$9+((C2390=TRUE)*(F2390-Calc!F19))+B2402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84">
        <f>(1-Summary!$B$11)*T2384+Summary!$B$11*V2384</f>
        <v/>
      </c>
      <c r="P2384">
        <f>IF(B2412=0,0,O2384/B2412)</f>
        <v/>
      </c>
      <c r="Q2384">
        <f>IFERROR(1/(IF(Inputs!$B$38="pvp",15,MAX(0.1,Skills!D13-IF(TRUE=TRUE,Inputs!$B$32,0)))*(1-IF(AND(ArtifactsInput!$M$27,Inputs!$B$4="Chapter Hunt"),CHOOSE(ArtifactsInput!$N$27+1,20,24,28,32,36,40),0)/100)),0)</f>
        <v/>
      </c>
      <c r="R2384">
        <f>IF(AND(Inputs!$B$38&lt;&gt;"pvp",Inputs!$B$43&gt;0),IF(MAX(0,Inputs!$B$43-B2409)&lt;=0,0,(INT(MAX(0,Inputs!$B$43-B2409)/(IF(Inputs!$B$38="pvp",15,MAX(0.1,Skills!D13-IF(TRUE=TRUE,Inputs!$B$32,0)))*(1-IF(AND(ArtifactsInput!$M$27,Inputs!$B$4="Chapter Hunt"),CHOOSE(ArtifactsInput!$N$27+1,20,24,28,32,36,40),0)/100)))+1)),0)</f>
        <v/>
      </c>
      <c r="S2384">
        <f>IFERROR(O2384/N2384,0)</f>
        <v/>
      </c>
      <c r="T2384">
        <f>IF(C2384,(H2384*N2384*IF(AND(Inputs!$B$38&lt;&gt;"pvp",Inputs!$B$43&gt;0),((Skills!G13*((R2384-1)*IF(Skills!H13&gt;0,INT(Skills!I13/Skills!H13+0.000000001),1)+IF(Skills!H13&gt;0,INT(MIN(Skills!I13,MAX(0,MAX(0,Inputs!$B$43-B2409)-((R2384-1)*(IF(Inputs!$B$38="pvp",15,MAX(0.1,Skills!D13-IF(TRUE=TRUE,Inputs!$B$32,0)))*(1-IF(AND(ArtifactsInput!$M$27,Inputs!$B$4="Chapter Hunt"),CHOOSE(ArtifactsInput!$N$27+1,20,24,28,32,36,40),0)/100)))))/Skills!H13+0.000000001),1)))/Inputs!$B$43),G2384*Q2384))*IF(Inputs!$B$38="pvp",1,1+(Inputs!$B$20+0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Hunt"),CHOOSE(ArtifactsInput!$N$35+1,15,18,21,24,27,30)*(1-EXP(-(0.2*B2404)*5)),0)+IF(AND(ArtifactsInput!$M$22,Inputs!$B$4&lt;&gt;"Chapter Hunt"),CHOOSE(ArtifactsInput!$N$22+1,10,12,14,16,18,20)*((0*(((0.15*B2404*5))^0/1)+1*(((0.15*B2404*5))^1/1)+2*(((0.15*B2404*5))^2/2)+3*(((0.15*B2404*5))^3/6)+4*(((0.15*B2404*5))^4/24)+5*(((0.15*B2404*5))^5/120))/((((0.15*B2404*5))^0/1)+(((0.15*B2404*5))^1/1)+(((0.15*B2404*5))^2/2)+(((0.15*B2404*5))^3/6)+(((0.15*B2404*5))^4/24)+(((0.15*B2404*5))^5/120))),0))+IF(Inputs!$B$3&gt;=54,9*(C2374=TRUE)*MIN(1,8*(1+Inputs!$B$34/100)*Q2374)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2384*(1-MIN(100,(Inputs!$B$9+((C2390=TRUE)*(F2390-Calc!F19))+B2402+(ArtifactsInput!$M$24-ArtifactsInput!$M$24)*CHOOSE(ArtifactsInput!$N$24+1,10,12,14,16,18,20)+(IF(AND(Inputs!$B$38&lt;&gt;"pvp",Inputs!$B$43=0),1,IF(IF(Inputs!$B$38="pvp",15,Inputs!$B$43)-(B2409)&lt;=0,1,MAX(0,IF(Inputs!$B$38="pvp",15,Inputs!$B$43)-MAX(5,B2409))/(IF(Inputs!$B$38="pvp",15,Inputs!$B$43)-(B2409))))*IF(AND(ArtifactsInput!$M$42,((Inputs!$B$9+((C2390=TRUE)*(F2390-Calc!F19))+B2402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2384*(MIN(100,(Inputs!$B$9+((C2390=TRUE)*(F2390-Calc!F19))+B2402+(ArtifactsInput!$M$24-ArtifactsInput!$M$24)*CHOOSE(ArtifactsInput!$N$24+1,10,12,14,16,18,20)+(IF(AND(Inputs!$B$38&lt;&gt;"pvp",Inputs!$B$43=0),1,IF(IF(Inputs!$B$38="pvp",15,Inputs!$B$43)-(B2409)&lt;=0,1,MAX(0,IF(Inputs!$B$38="pvp",15,Inputs!$B$43)-MAX(5,B2409))/(IF(Inputs!$B$38="pvp",15,Inputs!$B$43)-(B2409))))*IF(AND(ArtifactsInput!$M$42,((Inputs!$B$9+((C2390=TRUE)*(F2390-Calc!F19))+B2402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2384*(1-MIN(100,(Inputs!$B$9+((C2390=TRUE)*(F2390-Calc!F19))+B2402+(ArtifactsInput!$M$24-ArtifactsInput!$M$24)*CHOOSE(ArtifactsInput!$N$24+1,10,12,14,16,18,20)+(IF(AND(Inputs!$B$38&lt;&gt;"pvp",Inputs!$B$43=0),1,IF(IF(Inputs!$B$38="pvp",15,Inputs!$B$43)-(B2409)&lt;=0,1,MAX(0,IF(Inputs!$B$38="pvp",15,Inputs!$B$43)-MAX(5,B2409))/(IF(Inputs!$B$38="pvp",15,Inputs!$B$43)-(B2409))))*IF(AND(ArtifactsInput!$M$42,((Inputs!$B$9+((C2390=TRUE)*(F2390-Calc!F19))+B2402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2384*(MIN(100,(Inputs!$B$9+((C2390=TRUE)*(F2390-Calc!F19))+B2402+(ArtifactsInput!$M$24-ArtifactsInput!$M$24)*CHOOSE(ArtifactsInput!$N$24+1,10,12,14,16,18,20)+(IF(AND(Inputs!$B$38&lt;&gt;"pvp",Inputs!$B$43=0),1,IF(IF(Inputs!$B$38="pvp",15,Inputs!$B$43)-(B2409)&lt;=0,1,MAX(0,IF(Inputs!$B$38="pvp",15,Inputs!$B$43)-MAX(5,B2409))/(IF(Inputs!$B$38="pvp",15,Inputs!$B$43)-(B2409))))*IF(AND(ArtifactsInput!$M$42,((Inputs!$B$9+((C2390=TRUE)*(F2390-Calc!F19))+B2402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384">
        <f>IF(C2384,(H2384*N2384*IF(AND(Inputs!$B$38&lt;&gt;"pvp",Inputs!$B$43&gt;0),((Skills!G13*((R2384-1)*IF(Skills!H13&gt;0,INT(Skills!I13/Skills!H13+0.000000001),1)+IF(Skills!H13&gt;0,INT(MIN(Skills!I13,MAX(0,MAX(0,Inputs!$B$43-B2409)-((R2384-1)*(IF(Inputs!$B$38="pvp",15,MAX(0.1,Skills!D13-IF(TRUE=TRUE,Inputs!$B$32,0)))*(1-IF(AND(ArtifactsInput!$M$27,Inputs!$B$4="Chapter Hunt"),CHOOSE(ArtifactsInput!$N$27+1,20,24,28,32,36,40),0)/100)))))/Skills!H13+0.000000001),1)))/Inputs!$B$43),G2384*Q2384))*IF(Inputs!$B$38="pvp",1,(1+(Inputs!$B$21+Skills!Q13+(IF(ArtifactsInput!$M$33,CHOOSE(ArtifactsInput!$N$33+1,30,36,42,48,54,60),0))+(IF(AND(ArtifactsInput!$M$35,Inputs!$B$4&lt;&gt;"Chapter Hunt"),CHOOSE(ArtifactsInput!$N$35+1,15,18,21,24,27,30)*(1-EXP(-(0.2*B2404)*5)),0)+IF(AND(ArtifactsInput!$M$22,Inputs!$B$4&lt;&gt;"Chapter Hunt"),CHOOSE(ArtifactsInput!$N$22+1,10,12,14,16,18,20)*((0*(((0.15*B2404*5))^0/1)+1*(((0.15*B2404*5))^1/1)+2*(((0.15*B2404*5))^2/2)+3*(((0.15*B2404*5))^3/6)+4*(((0.15*B2404*5))^4/24)+5*(((0.15*B2404*5))^5/120))/((((0.15*B2404*5))^0/1)+(((0.15*B2404*5))^1/1)+(((0.15*B2404*5))^2/2)+(((0.15*B2404*5))^3/6)+(((0.15*B2404*5))^4/24)+(((0.15*B2404*5))^5/120))),0))+IF(Inputs!$B$3&gt;=54,9*(C2374=TRUE)*MIN(1,8*(1+Inputs!$B$34/100)*Q2374),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85">
      <c r="A2385">
        <f>Skills!A14</f>
        <v/>
      </c>
      <c r="B2385">
        <f>Skills!B14</f>
        <v/>
      </c>
      <c r="C2385">
        <f>Inputs!$B$3&gt;=120</f>
        <v/>
      </c>
      <c r="D2385">
        <f>IF(Skills!C14=1,60+Inputs!$B$25+Inputs!$B$29,IF(Skills!C14=2,90+Inputs!$B$26+Inputs!$B$29,IF(Skills!C14=3,120+Inputs!$B$27+Inputs!$B$29,MAX(0,(Inputs!$B$3-100)*3)+Inputs!$B$28+Inputs!$B$29)))</f>
        <v/>
      </c>
      <c r="E2385">
        <f>INDEX(FactorTable!$B$2:$Y$301, MATCH(ROUND(MIN(300,MAX(1,D2385)),0), FactorTable!$A$2:$A$301,0), Skills!M14+1)</f>
        <v/>
      </c>
      <c r="F2385">
        <f>IF(Skills!N14=TRUE,(Skills!L14/10)*(E2385/1000),Skills!L14/10)+Skills!O14</f>
        <v/>
      </c>
      <c r="G2385">
        <f>Skills!G14*IF(Skills!H14&gt;0,INT(IF(Inputs!$B$38="pvp",MIN(Skills!I14,15),Skills!I14)/Skills!H14+0.000000001),1)</f>
        <v/>
      </c>
      <c r="H2385">
        <f>1-(1-Skills!J14/100)^Skills!K14</f>
        <v/>
      </c>
      <c r="I2385" t="inlineStr">
        <is>
          <t>1</t>
        </is>
      </c>
      <c r="J2385">
        <f>((Inputs!$B$6*(1+Inputs!$B$7/100))+(((Inputs!$B$12*(1+Inputs!$B$13/100))-(Inputs!$B$12*(1+Inputs!$B$13/100)))+0.25*(Inputs!$B$14-Inputs!$B$14))*(1+Inputs!$B$7/100))*(F2385/100)</f>
        <v/>
      </c>
      <c r="K2385">
        <f>J2385*(1+((Inputs!$B$12*(1+Inputs!$B$13/100))*0.01+Inputs!$B$14*0.0025)/100)*(1+Inputs!$B$15/100)*(1+Inputs!$B$16/100)*(5000/(6000+Inputs!$B$42*(1-(100*(1-(1-(Inputs!$B$19+0)/100)*(1-CHOOSE(ArtifactsInput!$N$40+1,5,6,7,8,9,10)/100)^(ArtifactsInput!$M$40-ArtifactsInput!$M$40)))/100)))*(1+(Inputs!$B$24+((C2397=TRUE)*(F2397-Calc!F26))+B2408)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EIGHT_LEGS_EASTON",Inputs!$B$17+((C2394=TRUE)*(F2394-Calc!F23))+((C2398=TRUE)*(F2398-Calc!F27))+((IF(AND(Inputs!$B$38&lt;&gt;"pvp",Inputs!$B$43=0),1,IF(IF(Inputs!$B$38="pvp",15,Inputs!$B$43)-(B2409)&lt;=0,1,MAX(0,IF(Inputs!$B$38="pvp",15,Inputs!$B$43)-MAX(5,B2409))/(IF(Inputs!$B$38="pvp",15,Inputs!$B$43)-(B2409))))*(IF(AND(ArtifactsInput!$M$42,((Inputs!$B$9+((C2390=TRUE)*(F2390-Calc!F19))+B2402+(ArtifactsInput!$M$24-ArtifactsInput!$M$24)*CHOOSE(ArtifactsInput!$N$24+1,10,12,14,16,18,20)+IF(ArtifactsInput!$M$10,CHOOSE(ArtifactsInput!$N$10+1,15,18,21,24,27,30)*(IF(Inputs!$B$38="pvp",MIN(15,15)/15,IF(AND(Inputs!$B$38&lt;&gt;"pvp",Inputs!$B$43&gt;0),MIN(15,Inputs!$B$43)/(Inputs!$B$43),0))),0)))&gt;=100),MIN(100,((Inputs!$B$9+((C2390=TRUE)*(F2390-Calc!F19))+B2402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2409)&lt;=0,1,MAX(0,IF(Inputs!$B$38="pvp",15,Inputs!$B$43)-MAX(5,B2409))/(IF(Inputs!$B$38="pvp",15,Inputs!$B$43)-(B2409))))*IF(AND(ArtifactsInput!$M$42,((Inputs!$B$9+((C2390=TRUE)*(F2390-Calc!F19))+B2402+(ArtifactsInput!$M$24-ArtifactsInput!$M$24)*CHOOSE(ArtifactsInput!$N$24+1,10,12,14,16,18,20)+IF(ArtifactsInput!$M$10,CHOOSE(ArtifactsInput!$N$10+1,15,18,21,24,27,30)*(IF(Inputs!$B$38="pvp",MIN(15,15)/15,IF(AND(Inputs!$B$38&lt;&gt;"pvp",Inputs!$B$43&gt;0),MIN(15,Inputs!$B$43)/(Inputs!$B$43),0))),0)))&gt;=100),CHOOSE(ArtifactsInput!$N$42+1,40,48,56,64,72,80),0))))/100)*((1+(((C2388=TRUE)*F2388*5/7)+((C2395=TRUE)*(F2395-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2385)</f>
        <v/>
      </c>
      <c r="L2385">
        <f>K2385*(MIN(Inputs!$B$22+((C2393=TRUE)*(F2393-Calc!F22)),(Inputs!$B$23+0+(IF(ArtifactsInput!$M$15,CHOOSE(ArtifactsInput!$N$15+1,25,30,35,40,45,50)/100*(Inputs!$B$11-Inputs!$B$11),0))))/100+(Inputs!$B$23+0+(IF(ArtifactsInput!$M$15,CHOOSE(ArtifactsInput!$N$15+1,25,30,35,40,45,50)/100*(Inputs!$B$11-Inputs!$B$11),0)))/100)/2</f>
        <v/>
      </c>
      <c r="M2385">
        <f>L2385*(1+(Inputs!$B$10+((C2396=TRUE)*(F2396-Calc!F25))+B2407+(IF(ArtifactsInput!$M$24,CHOOSE(ArtifactsInput!$N$24+1,30,36,42,48,54,60)/100*(Inputs!$B$9-Inputs!$B$9),0)+IF(ArtifactsInput!$M$10,CHOOSE(ArtifactsInput!$N$10+1,20,24,28,32,36,40)*(IF(Inputs!$B$38="pvp",MIN(15,15)/15,IF(AND(Inputs!$B$38&lt;&gt;"pvp",Inputs!$B$43&gt;0),MIN(15,Inputs!$B$43)/(Inputs!$B$43),0))),0)+IF(IF(ArtifactsInput!$M$31,FALSE,TRUE),1.5*CHOOSE(ArtifactsInput!$N$31+1,20,24,28,32,36,40),0)))/100)</f>
        <v/>
      </c>
      <c r="N2385">
        <f>L2385*(1-MIN((Inputs!$B$9+((C2390=TRUE)*(F2390-Calc!F19))+B2402+(ArtifactsInput!$M$24-ArtifactsInput!$M$24)*CHOOSE(ArtifactsInput!$N$24+1,10,12,14,16,18,20)+(IF(AND(Inputs!$B$38&lt;&gt;"pvp",Inputs!$B$43=0),1,IF(IF(Inputs!$B$38="pvp",15,Inputs!$B$43)-(B2409)&lt;=0,1,MAX(0,IF(Inputs!$B$38="pvp",15,Inputs!$B$43)-MAX(5,B2409))/(IF(Inputs!$B$38="pvp",15,Inputs!$B$43)-(B2409))))*IF(AND(ArtifactsInput!$M$42,((Inputs!$B$9+((C2390=TRUE)*(F2390-Calc!F19))+B2402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2385*(MIN((Inputs!$B$9+((C2390=TRUE)*(F2390-Calc!F19))+B2402+(ArtifactsInput!$M$24-ArtifactsInput!$M$24)*CHOOSE(ArtifactsInput!$N$24+1,10,12,14,16,18,20)+(IF(AND(Inputs!$B$38&lt;&gt;"pvp",Inputs!$B$43=0),1,IF(IF(Inputs!$B$38="pvp",15,Inputs!$B$43)-(B2409)&lt;=0,1,MAX(0,IF(Inputs!$B$38="pvp",15,Inputs!$B$43)-MAX(5,B2409))/(IF(Inputs!$B$38="pvp",15,Inputs!$B$43)-(B2409))))*IF(AND(ArtifactsInput!$M$42,((Inputs!$B$9+((C2390=TRUE)*(F2390-Calc!F19))+B2402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85">
        <f>(1-Summary!$B$11)*T2385+Summary!$B$11*V2385</f>
        <v/>
      </c>
      <c r="P2385">
        <f>IF(B2412=0,0,O2385/B2412)</f>
        <v/>
      </c>
      <c r="Q2385" t="n">
        <v>0</v>
      </c>
      <c r="R2385" t="n">
        <v>0</v>
      </c>
      <c r="S2385">
        <f>IFERROR(O2385/N2385,0)</f>
        <v/>
      </c>
      <c r="T2385">
        <f>IF(C2385,((H2385*(B2406+IF(AND(Inputs!$B$38&lt;&gt;"pvp",Inputs!$B$43&gt;0),((Skills!G8*((R2379-1)*IF(Skills!H8&gt;0,INT(Skills!I8/Skills!H8+0.000000001),1)+IF(Skills!H8&gt;0,INT(MIN(Skills!I8,MAX(0,MAX(0,Inputs!$B$43-B2409)-((R2379-1)*((IF(Inputs!$B$38="pvp",15,MAX(0.1,Skills!D8-IF(TRUE=TRUE,Inputs!$B$32,0)))*(1-IF(AND(ArtifactsInput!$M$27,Inputs!$B$4="Chapter Hunt"),CHOOSE(ArtifactsInput!$N$27+1,20,24,28,32,36,40),0)/100))/B2413))))/Skills!H8+0.000000001),1)))/Inputs!$B$43),G2379*Q2379)+IF(AND(Inputs!$B$38&lt;&gt;"pvp",Inputs!$B$43&gt;0),((Skills!G11*((R2382-1)*IF(Skills!H11&gt;0,INT(Skills!I11/Skills!H11+0.000000001),1)+IF(Skills!H11&gt;0,INT(MIN(Skills!I11,MAX(0,MAX(0,Inputs!$B$43-B2409)-((R2382-1)*((IF(Inputs!$B$38="pvp",15,MAX(0.1,Skills!D11-IF(TRUE=TRUE,Inputs!$B$32,0)))*(1-IF(AND(ArtifactsInput!$M$27,Inputs!$B$4="Chapter Hunt"),CHOOSE(ArtifactsInput!$N$27+1,20,24,28,32,36,40),0)/100))/B2413))))/Skills!H11+0.000000001),1)))/Inputs!$B$43),G2382*Q2382)))/(1+Skills!H14*H2385*(B2406+IF(AND(Inputs!$B$38&lt;&gt;"pvp",Inputs!$B$43&gt;0),((Skills!G8*((R2379-1)*IF(Skills!H8&gt;0,INT(Skills!I8/Skills!H8+0.000000001),1)+IF(Skills!H8&gt;0,INT(MIN(Skills!I8,MAX(0,MAX(0,Inputs!$B$43-B2409)-((R2379-1)*((IF(Inputs!$B$38="pvp",15,MAX(0.1,Skills!D8-IF(TRUE=TRUE,Inputs!$B$32,0)))*(1-IF(AND(ArtifactsInput!$M$27,Inputs!$B$4="Chapter Hunt"),CHOOSE(ArtifactsInput!$N$27+1,20,24,28,32,36,40),0)/100))/B2413))))/Skills!H8+0.000000001),1)))/Inputs!$B$43),G2379*Q2379)+IF(AND(Inputs!$B$38&lt;&gt;"pvp",Inputs!$B$43&gt;0),((Skills!G11*((R2382-1)*IF(Skills!H11&gt;0,INT(Skills!I11/Skills!H11+0.000000001),1)+IF(Skills!H11&gt;0,INT(MIN(Skills!I11,MAX(0,MAX(0,Inputs!$B$43-B2409)-((R2382-1)*((IF(Inputs!$B$38="pvp",15,MAX(0.1,Skills!D11-IF(TRUE=TRUE,Inputs!$B$32,0)))*(1-IF(AND(ArtifactsInput!$M$27,Inputs!$B$4="Chapter Hunt"),CHOOSE(ArtifactsInput!$N$27+1,20,24,28,32,36,40),0)/100))/B2413))))/Skills!H11+0.000000001),1)))/Inputs!$B$43),G2382*Q2382)))*N2385)*IF(Inputs!$B$38="pvp",1,1+(Inputs!$B$20+0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Hunt"),CHOOSE(ArtifactsInput!$N$35+1,15,18,21,24,27,30)*(1-EXP(-(0.2*B2404)*5)),0)+IF(AND(ArtifactsInput!$M$22,Inputs!$B$4&lt;&gt;"Chapter Hunt"),CHOOSE(ArtifactsInput!$N$22+1,10,12,14,16,18,20)*((0*(((0.15*B2404*5))^0/1)+1*(((0.15*B2404*5))^1/1)+2*(((0.15*B2404*5))^2/2)+3*(((0.15*B2404*5))^3/6)+4*(((0.15*B2404*5))^4/24)+5*(((0.15*B2404*5))^5/120))/((((0.15*B2404*5))^0/1)+(((0.15*B2404*5))^1/1)+(((0.15*B2404*5))^2/2)+(((0.15*B2404*5))^3/6)+(((0.15*B2404*5))^4/24)+(((0.15*B2404*5))^5/120))),0))+IF(Inputs!$B$3&gt;=54,9*(C2374=TRUE)*MIN(1,8*(1+Inputs!$B$34/100)*Q2374)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2385*(1-MIN(100,(Inputs!$B$9+((C2390=TRUE)*(F2390-Calc!F19))+B2402+(ArtifactsInput!$M$24-ArtifactsInput!$M$24)*CHOOSE(ArtifactsInput!$N$24+1,10,12,14,16,18,20)+(IF(AND(Inputs!$B$38&lt;&gt;"pvp",Inputs!$B$43=0),1,IF(IF(Inputs!$B$38="pvp",15,Inputs!$B$43)-(B2409)&lt;=0,1,MAX(0,IF(Inputs!$B$38="pvp",15,Inputs!$B$43)-MAX(5,B2409))/(IF(Inputs!$B$38="pvp",15,Inputs!$B$43)-(B2409))))*IF(AND(ArtifactsInput!$M$42,((Inputs!$B$9+((C2390=TRUE)*(F2390-Calc!F19))+B2402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2385*(MIN(100,(Inputs!$B$9+((C2390=TRUE)*(F2390-Calc!F19))+B2402+(ArtifactsInput!$M$24-ArtifactsInput!$M$24)*CHOOSE(ArtifactsInput!$N$24+1,10,12,14,16,18,20)+(IF(AND(Inputs!$B$38&lt;&gt;"pvp",Inputs!$B$43=0),1,IF(IF(Inputs!$B$38="pvp",15,Inputs!$B$43)-(B2409)&lt;=0,1,MAX(0,IF(Inputs!$B$38="pvp",15,Inputs!$B$43)-MAX(5,B2409))/(IF(Inputs!$B$38="pvp",15,Inputs!$B$43)-(B2409))))*IF(AND(ArtifactsInput!$M$42,((Inputs!$B$9+((C2390=TRUE)*(F2390-Calc!F19))+B2402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2385*(1-MIN(100,(Inputs!$B$9+((C2390=TRUE)*(F2390-Calc!F19))+B2402+(ArtifactsInput!$M$24-ArtifactsInput!$M$24)*CHOOSE(ArtifactsInput!$N$24+1,10,12,14,16,18,20)+(IF(AND(Inputs!$B$38&lt;&gt;"pvp",Inputs!$B$43=0),1,IF(IF(Inputs!$B$38="pvp",15,Inputs!$B$43)-(B2409)&lt;=0,1,MAX(0,IF(Inputs!$B$38="pvp",15,Inputs!$B$43)-MAX(5,B2409))/(IF(Inputs!$B$38="pvp",15,Inputs!$B$43)-(B2409))))*IF(AND(ArtifactsInput!$M$42,((Inputs!$B$9+((C2390=TRUE)*(F2390-Calc!F19))+B2402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2385*(MIN(100,(Inputs!$B$9+((C2390=TRUE)*(F2390-Calc!F19))+B2402+(ArtifactsInput!$M$24-ArtifactsInput!$M$24)*CHOOSE(ArtifactsInput!$N$24+1,10,12,14,16,18,20)+(IF(AND(Inputs!$B$38&lt;&gt;"pvp",Inputs!$B$43=0),1,IF(IF(Inputs!$B$38="pvp",15,Inputs!$B$43)-(B2409)&lt;=0,1,MAX(0,IF(Inputs!$B$38="pvp",15,Inputs!$B$43)-MAX(5,B2409))/(IF(Inputs!$B$38="pvp",15,Inputs!$B$43)-(B2409))))*IF(AND(ArtifactsInput!$M$42,((Inputs!$B$9+((C2390=TRUE)*(F2390-Calc!F19))+B2402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385">
        <f>IF(C2385,((H2385*(B2406+IF(AND(Inputs!$B$38&lt;&gt;"pvp",Inputs!$B$43&gt;0),((Skills!G8*((R2379-1)*IF(Skills!H8&gt;0,INT(Skills!I8/Skills!H8+0.000000001),1)+IF(Skills!H8&gt;0,INT(MIN(Skills!I8,MAX(0,MAX(0,Inputs!$B$43-B2409)-((R2379-1)*((IF(Inputs!$B$38="pvp",15,MAX(0.1,Skills!D8-IF(TRUE=TRUE,Inputs!$B$32,0)))*(1-IF(AND(ArtifactsInput!$M$27,Inputs!$B$4="Chapter Hunt"),CHOOSE(ArtifactsInput!$N$27+1,20,24,28,32,36,40),0)/100))/B2413))))/Skills!H8+0.000000001),1)))/Inputs!$B$43),G2379*Q2379)+IF(AND(Inputs!$B$38&lt;&gt;"pvp",Inputs!$B$43&gt;0),((Skills!G11*((R2382-1)*IF(Skills!H11&gt;0,INT(Skills!I11/Skills!H11+0.000000001),1)+IF(Skills!H11&gt;0,INT(MIN(Skills!I11,MAX(0,MAX(0,Inputs!$B$43-B2409)-((R2382-1)*((IF(Inputs!$B$38="pvp",15,MAX(0.1,Skills!D11-IF(TRUE=TRUE,Inputs!$B$32,0)))*(1-IF(AND(ArtifactsInput!$M$27,Inputs!$B$4="Chapter Hunt"),CHOOSE(ArtifactsInput!$N$27+1,20,24,28,32,36,40),0)/100))/B2413))))/Skills!H11+0.000000001),1)))/Inputs!$B$43),G2382*Q2382)))/(1+Skills!H14*H2385*(B2406+IF(AND(Inputs!$B$38&lt;&gt;"pvp",Inputs!$B$43&gt;0),((Skills!G8*((R2379-1)*IF(Skills!H8&gt;0,INT(Skills!I8/Skills!H8+0.000000001),1)+IF(Skills!H8&gt;0,INT(MIN(Skills!I8,MAX(0,MAX(0,Inputs!$B$43-B2409)-((R2379-1)*((IF(Inputs!$B$38="pvp",15,MAX(0.1,Skills!D8-IF(TRUE=TRUE,Inputs!$B$32,0)))*(1-IF(AND(ArtifactsInput!$M$27,Inputs!$B$4="Chapter Hunt"),CHOOSE(ArtifactsInput!$N$27+1,20,24,28,32,36,40),0)/100))/B2413))))/Skills!H8+0.000000001),1)))/Inputs!$B$43),G2379*Q2379)+IF(AND(Inputs!$B$38&lt;&gt;"pvp",Inputs!$B$43&gt;0),((Skills!G11*((R2382-1)*IF(Skills!H11&gt;0,INT(Skills!I11/Skills!H11+0.000000001),1)+IF(Skills!H11&gt;0,INT(MIN(Skills!I11,MAX(0,MAX(0,Inputs!$B$43-B2409)-((R2382-1)*((IF(Inputs!$B$38="pvp",15,MAX(0.1,Skills!D11-IF(TRUE=TRUE,Inputs!$B$32,0)))*(1-IF(AND(ArtifactsInput!$M$27,Inputs!$B$4="Chapter Hunt"),CHOOSE(ArtifactsInput!$N$27+1,20,24,28,32,36,40),0)/100))/B2413))))/Skills!H11+0.000000001),1)))/Inputs!$B$43),G2382*Q2382)))*N2385)*IF(Inputs!$B$38="pvp",1,(1+(Inputs!$B$21+Skills!Q14+(IF(ArtifactsInput!$M$33,CHOOSE(ArtifactsInput!$N$33+1,30,36,42,48,54,60),0))+(IF(AND(ArtifactsInput!$M$35,Inputs!$B$4&lt;&gt;"Chapter Hunt"),CHOOSE(ArtifactsInput!$N$35+1,15,18,21,24,27,30)*(1-EXP(-(0.2*B2404)*5)),0)+IF(AND(ArtifactsInput!$M$22,Inputs!$B$4&lt;&gt;"Chapter Hunt"),CHOOSE(ArtifactsInput!$N$22+1,10,12,14,16,18,20)*((0*(((0.15*B2404*5))^0/1)+1*(((0.15*B2404*5))^1/1)+2*(((0.15*B2404*5))^2/2)+3*(((0.15*B2404*5))^3/6)+4*(((0.15*B2404*5))^4/24)+5*(((0.15*B2404*5))^5/120))/((((0.15*B2404*5))^0/1)+(((0.15*B2404*5))^1/1)+(((0.15*B2404*5))^2/2)+(((0.15*B2404*5))^3/6)+(((0.15*B2404*5))^4/24)+(((0.15*B2404*5))^5/120))),0))+IF(Inputs!$B$3&gt;=54,9*(C2374=TRUE)*MIN(1,8*(1+Inputs!$B$34/100)*Q2374),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86">
      <c r="A2386">
        <f>Skills!A15</f>
        <v/>
      </c>
      <c r="B2386">
        <f>Skills!B15</f>
        <v/>
      </c>
      <c r="C2386">
        <f>Inputs!$B$3&gt;=100</f>
        <v/>
      </c>
      <c r="D2386">
        <f>IF(Skills!C15=1,60+Inputs!$B$25+Inputs!$B$29,IF(Skills!C15=2,90+Inputs!$B$26+Inputs!$B$29,IF(Skills!C15=3,120+Inputs!$B$27+Inputs!$B$29,MAX(0,(Inputs!$B$3-100)*3)+Inputs!$B$28+Inputs!$B$29)))</f>
        <v/>
      </c>
      <c r="E2386">
        <f>INDEX(FactorTable!$B$2:$Y$301, MATCH(ROUND(MIN(300,MAX(1,D2386)),0), FactorTable!$A$2:$A$301,0), Skills!M15+1)</f>
        <v/>
      </c>
      <c r="F2386">
        <f>IF(Skills!N15=TRUE,(Skills!L15/10)*(E2386/1000),Skills!L15/10)+Skills!O15</f>
        <v/>
      </c>
      <c r="G2386" t="inlineStr"/>
      <c r="H2386" t="inlineStr"/>
      <c r="I2386" t="inlineStr">
        <is>
          <t>1</t>
        </is>
      </c>
      <c r="J2386" t="inlineStr"/>
      <c r="K2386" t="inlineStr"/>
      <c r="L2386" t="inlineStr"/>
      <c r="M2386" t="inlineStr"/>
      <c r="N2386" t="inlineStr"/>
      <c r="O2386" t="inlineStr"/>
      <c r="P2386" t="inlineStr"/>
      <c r="Q2386" t="inlineStr"/>
      <c r="R2386" t="inlineStr"/>
      <c r="S2386" t="inlineStr"/>
    </row>
    <row r="2387">
      <c r="A2387">
        <f>Skills!A16</f>
        <v/>
      </c>
      <c r="B2387">
        <f>Skills!B16</f>
        <v/>
      </c>
      <c r="C2387">
        <f>Inputs!$B$3&gt;=107</f>
        <v/>
      </c>
      <c r="D2387">
        <f>IF(Skills!C16=1,60+Inputs!$B$25+Inputs!$B$29,IF(Skills!C16=2,90+Inputs!$B$26+Inputs!$B$29,IF(Skills!C16=3,120+Inputs!$B$27+Inputs!$B$29,MAX(0,(Inputs!$B$3-100)*3)+Inputs!$B$28+Inputs!$B$29)))</f>
        <v/>
      </c>
      <c r="E2387">
        <f>INDEX(FactorTable!$B$2:$Y$301, MATCH(ROUND(MIN(300,MAX(1,D2387)),0), FactorTable!$A$2:$A$301,0), Skills!M16+1)</f>
        <v/>
      </c>
      <c r="F2387">
        <f>IF(Skills!N16=TRUE,(Skills!L16/10)*(E2387/1000),Skills!L16/10)+Skills!O16</f>
        <v/>
      </c>
      <c r="G2387" t="inlineStr"/>
      <c r="H2387" t="inlineStr"/>
      <c r="I2387" t="inlineStr">
        <is>
          <t>1</t>
        </is>
      </c>
      <c r="J2387" t="inlineStr"/>
      <c r="K2387" t="inlineStr"/>
      <c r="L2387" t="inlineStr"/>
      <c r="M2387" t="inlineStr"/>
      <c r="N2387" t="inlineStr"/>
      <c r="O2387" t="inlineStr"/>
      <c r="P2387" t="inlineStr"/>
      <c r="Q2387" t="inlineStr"/>
      <c r="R2387" t="inlineStr"/>
      <c r="S2387" t="inlineStr"/>
    </row>
    <row r="2388">
      <c r="A2388">
        <f>Skills!A17</f>
        <v/>
      </c>
      <c r="B2388">
        <f>Skills!B17</f>
        <v/>
      </c>
      <c r="C2388">
        <f>Inputs!$B$3&gt;=74</f>
        <v/>
      </c>
      <c r="D2388">
        <f>IF(Skills!C17=1,60+Inputs!$B$25+Inputs!$B$29,IF(Skills!C17=2,90+Inputs!$B$26+Inputs!$B$29,IF(Skills!C17=3,120+Inputs!$B$27+Inputs!$B$29,MAX(0,(Inputs!$B$3-100)*3)+Inputs!$B$28+Inputs!$B$29)))</f>
        <v/>
      </c>
      <c r="E2388">
        <f>INDEX(FactorTable!$B$2:$Y$301, MATCH(ROUND(MIN(300,MAX(1,D2388)),0), FactorTable!$A$2:$A$301,0), Skills!M17+1)</f>
        <v/>
      </c>
      <c r="F2388">
        <f>IF(Skills!N17=TRUE,(Skills!L17/10)*(E2388/1000),Skills!L17/10)+Skills!O17</f>
        <v/>
      </c>
      <c r="G2388">
        <f>Skills!G17*IF(Skills!H17&gt;0,INT(IF(Inputs!$B$38="pvp",MIN(Skills!I17,15),Skills!I17)/Skills!H17+0.000000001),1)</f>
        <v/>
      </c>
      <c r="H2388">
        <f>1-(1-Skills!J17/100)^Skills!K17</f>
        <v/>
      </c>
      <c r="I2388" t="inlineStr">
        <is>
          <t>1</t>
        </is>
      </c>
      <c r="J2388" t="inlineStr"/>
      <c r="K2388" t="inlineStr"/>
      <c r="L2388" t="inlineStr"/>
      <c r="M2388" t="inlineStr"/>
      <c r="N2388" t="inlineStr"/>
      <c r="O2388">
        <f>(1-Summary!$B$11)*T2388+Summary!$B$11*V2388</f>
        <v/>
      </c>
      <c r="P2388">
        <f>IF(B2412=0,0,O2388/B2412)</f>
        <v/>
      </c>
      <c r="Q2388" t="n">
        <v>0</v>
      </c>
      <c r="R2388" t="n">
        <v>0</v>
      </c>
      <c r="S2388">
        <f>IFERROR(O2388/N2388,0)</f>
        <v/>
      </c>
      <c r="T2388" t="n">
        <v>0</v>
      </c>
      <c r="V2388" t="n">
        <v>0</v>
      </c>
    </row>
    <row r="2389">
      <c r="A2389">
        <f>Skills!A18</f>
        <v/>
      </c>
      <c r="B2389">
        <f>Skills!B18</f>
        <v/>
      </c>
      <c r="C2389">
        <f>Inputs!$B$3&gt;=115</f>
        <v/>
      </c>
      <c r="D2389">
        <f>IF(Skills!C18=1,60+Inputs!$B$25+Inputs!$B$29,IF(Skills!C18=2,90+Inputs!$B$26+Inputs!$B$29,IF(Skills!C18=3,120+Inputs!$B$27+Inputs!$B$29,MAX(0,(Inputs!$B$3-100)*3)+Inputs!$B$28+Inputs!$B$29)))</f>
        <v/>
      </c>
      <c r="E2389">
        <f>INDEX(FactorTable!$B$2:$Y$301, MATCH(ROUND(MIN(300,MAX(1,D2389)),0), FactorTable!$A$2:$A$301,0), Skills!M18+1)</f>
        <v/>
      </c>
      <c r="F2389">
        <f>IF(Skills!N18=TRUE,(Skills!L18/10)*(E2389/1000),Skills!L18/10)+Skills!O18</f>
        <v/>
      </c>
      <c r="G2389">
        <f>Skills!G18*IF(Skills!H18&gt;0,INT(IF(Inputs!$B$38="pvp",MIN(Skills!I18,15),Skills!I18)/Skills!H18+0.000000001),1)</f>
        <v/>
      </c>
      <c r="H2389">
        <f>1-(1-Skills!J18/100)^Skills!K18</f>
        <v/>
      </c>
      <c r="I2389" t="inlineStr">
        <is>
          <t>1</t>
        </is>
      </c>
      <c r="J2389" t="inlineStr"/>
      <c r="K2389" t="inlineStr"/>
      <c r="L2389" t="inlineStr"/>
      <c r="M2389" t="inlineStr"/>
      <c r="N2389" t="inlineStr"/>
      <c r="O2389">
        <f>(1-Summary!$B$11)*T2389+Summary!$B$11*V2389</f>
        <v/>
      </c>
      <c r="P2389">
        <f>IF(B2412=0,0,O2389/B2412)</f>
        <v/>
      </c>
      <c r="Q2389">
        <f>IFERROR(1/(IF(Inputs!$B$38="pvp",15,MAX(0.1,Skills!D18-IF(TRUE=TRUE,Inputs!$B$32,0)))*(1-IF(AND(ArtifactsInput!$M$27,Inputs!$B$4="Chapter Hunt"),CHOOSE(ArtifactsInput!$N$27+1,20,24,28,32,36,40),0)/100)),0)</f>
        <v/>
      </c>
      <c r="R2389">
        <f>IF(AND(Inputs!$B$38&lt;&gt;"pvp",Inputs!$B$43&gt;0),IF(Inputs!$B$43&lt;=0,0,(INT(Inputs!$B$43/(IF(Inputs!$B$38="pvp",15,MAX(0.1,Skills!D18-IF(TRUE=TRUE,Inputs!$B$32,0)))*(1-IF(AND(ArtifactsInput!$M$27,Inputs!$B$4="Chapter Hunt"),CHOOSE(ArtifactsInput!$N$27+1,20,24,28,32,36,40),0)/100)))+1)),0)</f>
        <v/>
      </c>
      <c r="S2389">
        <f>IFERROR(O2389/N2389,0)</f>
        <v/>
      </c>
      <c r="T2389" t="n">
        <v>0</v>
      </c>
      <c r="V2389" t="n">
        <v>0</v>
      </c>
    </row>
    <row r="2390">
      <c r="A2390">
        <f>Skills!A19</f>
        <v/>
      </c>
      <c r="B2390">
        <f>Skills!B19</f>
        <v/>
      </c>
      <c r="C2390">
        <f>Inputs!$B$3&gt;=10</f>
        <v/>
      </c>
      <c r="D2390">
        <f>IF(Skills!C19=1,60+Inputs!$B$25+Inputs!$B$29,IF(Skills!C19=2,90+Inputs!$B$26+Inputs!$B$29,IF(Skills!C19=3,120+Inputs!$B$27+Inputs!$B$29,MAX(0,(Inputs!$B$3-100)*3)+Inputs!$B$28+Inputs!$B$29)))</f>
        <v/>
      </c>
      <c r="E2390">
        <f>INDEX(FactorTable!$B$2:$Y$301, MATCH(ROUND(MIN(300,MAX(1,D2390)),0), FactorTable!$A$2:$A$301,0), Skills!M19+1)</f>
        <v/>
      </c>
      <c r="F2390">
        <f>IF(Skills!N19=TRUE,(Skills!L19/10)*(E2390/1000),Skills!L19/10)+Skills!O19</f>
        <v/>
      </c>
      <c r="G2390">
        <f>Skills!G19*IF(Skills!H19&gt;0,INT(IF(Inputs!$B$38="pvp",MIN(Skills!I19,15),Skills!I19)/Skills!H19+0.000000001),1)</f>
        <v/>
      </c>
      <c r="H2390">
        <f>1-(1-Skills!J19/100)^Skills!K19</f>
        <v/>
      </c>
      <c r="I2390" t="inlineStr">
        <is>
          <t>1</t>
        </is>
      </c>
      <c r="J2390" t="inlineStr"/>
      <c r="K2390" t="inlineStr"/>
      <c r="L2390" t="inlineStr"/>
      <c r="M2390" t="inlineStr"/>
      <c r="N2390" t="inlineStr"/>
      <c r="O2390">
        <f>(1-Summary!$B$11)*T2390+Summary!$B$11*V2390</f>
        <v/>
      </c>
      <c r="P2390">
        <f>IF(B2412=0,0,O2390/B2412)</f>
        <v/>
      </c>
      <c r="Q2390" t="n">
        <v>0</v>
      </c>
      <c r="R2390" t="n">
        <v>0</v>
      </c>
      <c r="S2390">
        <f>IFERROR(O2390/N2390,0)</f>
        <v/>
      </c>
      <c r="T2390" t="n">
        <v>0</v>
      </c>
      <c r="V2390" t="n">
        <v>0</v>
      </c>
    </row>
    <row r="2391">
      <c r="A2391">
        <f>Skills!A20</f>
        <v/>
      </c>
      <c r="B2391">
        <f>Skills!B20</f>
        <v/>
      </c>
      <c r="C2391">
        <f>Inputs!$B$3&gt;=15</f>
        <v/>
      </c>
      <c r="D2391">
        <f>IF(Skills!C20=1,60+Inputs!$B$25+Inputs!$B$29,IF(Skills!C20=2,90+Inputs!$B$26+Inputs!$B$29,IF(Skills!C20=3,120+Inputs!$B$27+Inputs!$B$29,MAX(0,(Inputs!$B$3-100)*3)+Inputs!$B$28+Inputs!$B$29)))</f>
        <v/>
      </c>
      <c r="E2391">
        <f>INDEX(FactorTable!$B$2:$Y$301, MATCH(ROUND(MIN(300,MAX(1,D2391)),0), FactorTable!$A$2:$A$301,0), Skills!M20+1)</f>
        <v/>
      </c>
      <c r="F2391">
        <f>IF(Skills!N20=TRUE,(Skills!L20/10)*(E2391/1000),Skills!L20/10)+Skills!O20</f>
        <v/>
      </c>
      <c r="G2391">
        <f>Skills!G20*IF(Skills!H20&gt;0,INT(IF(Inputs!$B$38="pvp",MIN(Skills!I20,15),Skills!I20)/Skills!H20+0.000000001),1)</f>
        <v/>
      </c>
      <c r="H2391">
        <f>1-(1-Skills!J20/100)^Skills!K20</f>
        <v/>
      </c>
      <c r="I2391" t="inlineStr">
        <is>
          <t>1</t>
        </is>
      </c>
      <c r="J2391" t="inlineStr"/>
      <c r="K2391" t="inlineStr"/>
      <c r="L2391" t="inlineStr"/>
      <c r="M2391" t="inlineStr"/>
      <c r="N2391" t="inlineStr"/>
      <c r="O2391">
        <f>(1-Summary!$B$11)*T2391+Summary!$B$11*V2391</f>
        <v/>
      </c>
      <c r="P2391">
        <f>IF(B2412=0,0,O2391/B2412)</f>
        <v/>
      </c>
      <c r="Q2391" t="n">
        <v>0</v>
      </c>
      <c r="R2391" t="n">
        <v>0</v>
      </c>
      <c r="S2391">
        <f>IFERROR(O2391/N2391,0)</f>
        <v/>
      </c>
      <c r="T2391" t="n">
        <v>0</v>
      </c>
      <c r="V2391" t="n">
        <v>0</v>
      </c>
    </row>
    <row r="2392">
      <c r="A2392">
        <f>Skills!A21</f>
        <v/>
      </c>
      <c r="B2392">
        <f>Skills!B21</f>
        <v/>
      </c>
      <c r="C2392">
        <f>Inputs!$B$3&gt;=40</f>
        <v/>
      </c>
      <c r="D2392">
        <f>IF(Skills!C21=1,60+Inputs!$B$25+Inputs!$B$29,IF(Skills!C21=2,90+Inputs!$B$26+Inputs!$B$29,IF(Skills!C21=3,120+Inputs!$B$27+Inputs!$B$29,MAX(0,(Inputs!$B$3-100)*3)+Inputs!$B$28+Inputs!$B$29)))</f>
        <v/>
      </c>
      <c r="E2392">
        <f>INDEX(FactorTable!$B$2:$Y$301, MATCH(ROUND(MIN(300,MAX(1,D2392)),0), FactorTable!$A$2:$A$301,0), Skills!M21+1)</f>
        <v/>
      </c>
      <c r="F2392">
        <f>IF(Skills!N21=TRUE,(Skills!L21/10)*(E2392/1000),Skills!L21/10)+Skills!O21</f>
        <v/>
      </c>
      <c r="G2392">
        <f>Skills!G21*IF(Skills!H21&gt;0,INT(IF(Inputs!$B$38="pvp",MIN(Skills!I21,15),Skills!I21)/Skills!H21+0.000000001),1)</f>
        <v/>
      </c>
      <c r="H2392">
        <f>1-(1-Skills!J21/100)^Skills!K21</f>
        <v/>
      </c>
      <c r="I2392" t="inlineStr">
        <is>
          <t>1</t>
        </is>
      </c>
      <c r="J2392" t="inlineStr"/>
      <c r="K2392" t="inlineStr"/>
      <c r="L2392" t="inlineStr"/>
      <c r="M2392" t="inlineStr"/>
      <c r="N2392" t="inlineStr"/>
      <c r="O2392">
        <f>(1-Summary!$B$11)*T2392+Summary!$B$11*V2392</f>
        <v/>
      </c>
      <c r="P2392">
        <f>IF(B2412=0,0,O2392/B2412)</f>
        <v/>
      </c>
      <c r="Q2392" t="n">
        <v>0</v>
      </c>
      <c r="R2392" t="n">
        <v>0</v>
      </c>
      <c r="S2392">
        <f>IFERROR(O2392/N2392,0)</f>
        <v/>
      </c>
      <c r="T2392" t="n">
        <v>0</v>
      </c>
      <c r="V2392" t="n">
        <v>0</v>
      </c>
    </row>
    <row r="2393">
      <c r="A2393">
        <f>Skills!A22</f>
        <v/>
      </c>
      <c r="B2393">
        <f>Skills!B22</f>
        <v/>
      </c>
      <c r="C2393">
        <f>Inputs!$B$3&gt;=43</f>
        <v/>
      </c>
      <c r="D2393">
        <f>IF(Skills!C22=1,60+Inputs!$B$25+Inputs!$B$29,IF(Skills!C22=2,90+Inputs!$B$26+Inputs!$B$29,IF(Skills!C22=3,120+Inputs!$B$27+Inputs!$B$29,MAX(0,(Inputs!$B$3-100)*3)+Inputs!$B$28+Inputs!$B$29)))</f>
        <v/>
      </c>
      <c r="E2393">
        <f>INDEX(FactorTable!$B$2:$Y$301, MATCH(ROUND(MIN(300,MAX(1,D2393)),0), FactorTable!$A$2:$A$301,0), Skills!M22+1)</f>
        <v/>
      </c>
      <c r="F2393">
        <f>IF(Skills!N22=TRUE,(Skills!L22/10)*(E2393/1000),Skills!L22/10)+Skills!O22</f>
        <v/>
      </c>
      <c r="G2393">
        <f>Skills!G22*IF(Skills!H22&gt;0,INT(IF(Inputs!$B$38="pvp",MIN(Skills!I22,15),Skills!I22)/Skills!H22+0.000000001),1)</f>
        <v/>
      </c>
      <c r="H2393">
        <f>1-(1-Skills!J22/100)^Skills!K22</f>
        <v/>
      </c>
      <c r="I2393" t="inlineStr">
        <is>
          <t>1</t>
        </is>
      </c>
      <c r="J2393" t="inlineStr"/>
      <c r="K2393" t="inlineStr"/>
      <c r="L2393" t="inlineStr"/>
      <c r="M2393" t="inlineStr"/>
      <c r="N2393" t="inlineStr"/>
      <c r="O2393">
        <f>(1-Summary!$B$11)*T2393+Summary!$B$11*V2393</f>
        <v/>
      </c>
      <c r="P2393">
        <f>IF(B2412=0,0,O2393/B2412)</f>
        <v/>
      </c>
      <c r="Q2393" t="n">
        <v>0</v>
      </c>
      <c r="R2393" t="n">
        <v>0</v>
      </c>
      <c r="S2393">
        <f>IFERROR(O2393/N2393,0)</f>
        <v/>
      </c>
      <c r="T2393" t="n">
        <v>0</v>
      </c>
      <c r="V2393" t="n">
        <v>0</v>
      </c>
    </row>
    <row r="2394">
      <c r="A2394">
        <f>Skills!A23</f>
        <v/>
      </c>
      <c r="B2394">
        <f>Skills!B23</f>
        <v/>
      </c>
      <c r="C2394">
        <f>Inputs!$B$3&gt;=38</f>
        <v/>
      </c>
      <c r="D2394">
        <f>IF(Skills!C23=1,60+Inputs!$B$25+Inputs!$B$29,IF(Skills!C23=2,90+Inputs!$B$26+Inputs!$B$29,IF(Skills!C23=3,120+Inputs!$B$27+Inputs!$B$29,MAX(0,(Inputs!$B$3-100)*3)+Inputs!$B$28+Inputs!$B$29)))</f>
        <v/>
      </c>
      <c r="E2394">
        <f>INDEX(FactorTable!$B$2:$Y$301, MATCH(ROUND(MIN(300,MAX(1,D2394)),0), FactorTable!$A$2:$A$301,0), Skills!M23+1)</f>
        <v/>
      </c>
      <c r="F2394">
        <f>IF(Skills!N23=TRUE,(Skills!L23/10)*(E2394/1000),Skills!L23/10)+Skills!O23</f>
        <v/>
      </c>
      <c r="G2394">
        <f>Skills!G23*IF(Skills!H23&gt;0,INT(IF(Inputs!$B$38="pvp",MIN(Skills!I23,15),Skills!I23)/Skills!H23+0.000000001),1)</f>
        <v/>
      </c>
      <c r="H2394">
        <f>1-(1-Skills!J23/100)^Skills!K23</f>
        <v/>
      </c>
      <c r="I2394" t="inlineStr">
        <is>
          <t>1</t>
        </is>
      </c>
      <c r="J2394" t="inlineStr"/>
      <c r="K2394" t="inlineStr"/>
      <c r="L2394" t="inlineStr"/>
      <c r="M2394" t="inlineStr"/>
      <c r="N2394" t="inlineStr"/>
      <c r="O2394">
        <f>(1-Summary!$B$11)*T2394+Summary!$B$11*V2394</f>
        <v/>
      </c>
      <c r="P2394">
        <f>IF(B2412=0,0,O2394/B2412)</f>
        <v/>
      </c>
      <c r="Q2394" t="n">
        <v>0</v>
      </c>
      <c r="R2394" t="n">
        <v>0</v>
      </c>
      <c r="S2394">
        <f>IFERROR(O2394/N2394,0)</f>
        <v/>
      </c>
      <c r="T2394" t="n">
        <v>0</v>
      </c>
      <c r="V2394" t="n">
        <v>0</v>
      </c>
    </row>
    <row r="2395">
      <c r="A2395">
        <f>Skills!A24</f>
        <v/>
      </c>
      <c r="B2395">
        <f>Skills!B24</f>
        <v/>
      </c>
      <c r="C2395">
        <f>Inputs!$B$3&gt;=45</f>
        <v/>
      </c>
      <c r="D2395">
        <f>IF(Skills!C24=1,60+Inputs!$B$25+Inputs!$B$29,IF(Skills!C24=2,90+Inputs!$B$26+Inputs!$B$29,IF(Skills!C24=3,120+Inputs!$B$27+Inputs!$B$29,MAX(0,(Inputs!$B$3-100)*3)+Inputs!$B$28+Inputs!$B$29)))</f>
        <v/>
      </c>
      <c r="E2395">
        <f>INDEX(FactorTable!$B$2:$Y$301, MATCH(ROUND(MIN(300,MAX(1,D2395)),0), FactorTable!$A$2:$A$301,0), Skills!M24+1)</f>
        <v/>
      </c>
      <c r="F2395">
        <f>IF(Skills!N24=TRUE,(Skills!L24/10)*(E2395/1000),Skills!L24/10)+Skills!O24</f>
        <v/>
      </c>
      <c r="G2395">
        <f>Skills!G24*IF(Skills!H24&gt;0,INT(IF(Inputs!$B$38="pvp",MIN(Skills!I24,15),Skills!I24)/Skills!H24+0.000000001),1)</f>
        <v/>
      </c>
      <c r="H2395">
        <f>1-(1-Skills!J24/100)^Skills!K24</f>
        <v/>
      </c>
      <c r="I2395" t="inlineStr">
        <is>
          <t>1</t>
        </is>
      </c>
      <c r="J2395" t="inlineStr"/>
      <c r="K2395" t="inlineStr"/>
      <c r="L2395" t="inlineStr"/>
      <c r="M2395" t="inlineStr"/>
      <c r="N2395" t="inlineStr"/>
      <c r="O2395">
        <f>(1-Summary!$B$11)*T2395+Summary!$B$11*V2395</f>
        <v/>
      </c>
      <c r="P2395">
        <f>IF(B2412=0,0,O2395/B2412)</f>
        <v/>
      </c>
      <c r="Q2395" t="n">
        <v>0</v>
      </c>
      <c r="R2395" t="n">
        <v>0</v>
      </c>
      <c r="S2395">
        <f>IFERROR(O2395/N2395,0)</f>
        <v/>
      </c>
      <c r="T2395" t="n">
        <v>0</v>
      </c>
      <c r="V2395" t="n">
        <v>0</v>
      </c>
    </row>
    <row r="2396">
      <c r="A2396">
        <f>Skills!A25</f>
        <v/>
      </c>
      <c r="B2396">
        <f>Skills!B25</f>
        <v/>
      </c>
      <c r="C2396">
        <f>Inputs!$B$3&gt;=72</f>
        <v/>
      </c>
      <c r="D2396">
        <f>IF(Skills!C25=1,60+Inputs!$B$25+Inputs!$B$29,IF(Skills!C25=2,90+Inputs!$B$26+Inputs!$B$29,IF(Skills!C25=3,120+Inputs!$B$27+Inputs!$B$29,MAX(0,(Inputs!$B$3-100)*3)+Inputs!$B$28+Inputs!$B$29)))</f>
        <v/>
      </c>
      <c r="E2396">
        <f>INDEX(FactorTable!$B$2:$Y$301, MATCH(ROUND(MIN(300,MAX(1,D2396)),0), FactorTable!$A$2:$A$301,0), Skills!M25+1)</f>
        <v/>
      </c>
      <c r="F2396">
        <f>IF(Skills!N25=TRUE,(Skills!L25/10)*(E2396/1000),Skills!L25/10)+Skills!O25</f>
        <v/>
      </c>
      <c r="G2396">
        <f>Skills!G25*IF(Skills!H25&gt;0,INT(IF(Inputs!$B$38="pvp",MIN(Skills!I25,15),Skills!I25)/Skills!H25+0.000000001),1)</f>
        <v/>
      </c>
      <c r="H2396">
        <f>1-(1-Skills!J25/100)^Skills!K25</f>
        <v/>
      </c>
      <c r="I2396" t="inlineStr">
        <is>
          <t>1</t>
        </is>
      </c>
      <c r="J2396" t="inlineStr"/>
      <c r="K2396" t="inlineStr"/>
      <c r="L2396" t="inlineStr"/>
      <c r="M2396" t="inlineStr"/>
      <c r="N2396" t="inlineStr"/>
      <c r="O2396">
        <f>(1-Summary!$B$11)*T2396+Summary!$B$11*V2396</f>
        <v/>
      </c>
      <c r="P2396">
        <f>IF(B2412=0,0,O2396/B2412)</f>
        <v/>
      </c>
      <c r="Q2396" t="n">
        <v>0</v>
      </c>
      <c r="R2396" t="n">
        <v>0</v>
      </c>
      <c r="S2396">
        <f>IFERROR(O2396/N2396,0)</f>
        <v/>
      </c>
      <c r="T2396" t="n">
        <v>0</v>
      </c>
      <c r="V2396" t="n">
        <v>0</v>
      </c>
    </row>
    <row r="2397">
      <c r="A2397">
        <f>Skills!A26</f>
        <v/>
      </c>
      <c r="B2397">
        <f>Skills!B26</f>
        <v/>
      </c>
      <c r="C2397">
        <f>Inputs!$B$3&gt;=75</f>
        <v/>
      </c>
      <c r="D2397">
        <f>IF(Skills!C26=1,60+Inputs!$B$25+Inputs!$B$29,IF(Skills!C26=2,90+Inputs!$B$26+Inputs!$B$29,IF(Skills!C26=3,120+Inputs!$B$27+Inputs!$B$29,MAX(0,(Inputs!$B$3-100)*3)+Inputs!$B$28+Inputs!$B$29)))</f>
        <v/>
      </c>
      <c r="E2397">
        <f>INDEX(FactorTable!$B$2:$Y$301, MATCH(ROUND(MIN(300,MAX(1,D2397)),0), FactorTable!$A$2:$A$301,0), Skills!M26+1)</f>
        <v/>
      </c>
      <c r="F2397">
        <f>IF(Skills!N26=TRUE,(Skills!L26/10)*(E2397/1000),Skills!L26/10)+Skills!O26</f>
        <v/>
      </c>
      <c r="G2397">
        <f>Skills!G26*IF(Skills!H26&gt;0,INT(IF(Inputs!$B$38="pvp",MIN(Skills!I26,15),Skills!I26)/Skills!H26+0.000000001),1)</f>
        <v/>
      </c>
      <c r="H2397">
        <f>1-(1-Skills!J26/100)^Skills!K26</f>
        <v/>
      </c>
      <c r="I2397" t="inlineStr">
        <is>
          <t>1</t>
        </is>
      </c>
      <c r="J2397" t="inlineStr"/>
      <c r="K2397" t="inlineStr"/>
      <c r="L2397" t="inlineStr"/>
      <c r="M2397" t="inlineStr"/>
      <c r="N2397" t="inlineStr"/>
      <c r="O2397">
        <f>(1-Summary!$B$11)*T2397+Summary!$B$11*V2397</f>
        <v/>
      </c>
      <c r="P2397">
        <f>IF(B2412=0,0,O2397/B2412)</f>
        <v/>
      </c>
      <c r="Q2397" t="n">
        <v>0</v>
      </c>
      <c r="R2397" t="n">
        <v>0</v>
      </c>
      <c r="S2397">
        <f>IFERROR(O2397/N2397,0)</f>
        <v/>
      </c>
      <c r="T2397" t="n">
        <v>0</v>
      </c>
      <c r="V2397" t="n">
        <v>0</v>
      </c>
    </row>
    <row r="2398">
      <c r="A2398">
        <f>Skills!A27</f>
        <v/>
      </c>
      <c r="B2398">
        <f>Skills!B27</f>
        <v/>
      </c>
      <c r="C2398">
        <f>Inputs!$B$3&gt;=125</f>
        <v/>
      </c>
      <c r="D2398">
        <f>IF(Skills!C27=1,60+Inputs!$B$25+Inputs!$B$29,IF(Skills!C27=2,90+Inputs!$B$26+Inputs!$B$29,IF(Skills!C27=3,120+Inputs!$B$27+Inputs!$B$29,MAX(0,(Inputs!$B$3-100)*3)+Inputs!$B$28+Inputs!$B$29)))</f>
        <v/>
      </c>
      <c r="E2398">
        <f>INDEX(FactorTable!$B$2:$Y$301, MATCH(ROUND(MIN(300,MAX(1,D2398)),0), FactorTable!$A$2:$A$301,0), Skills!M27+1)</f>
        <v/>
      </c>
      <c r="F2398">
        <f>IF(Skills!N27=TRUE,(Skills!L27/10)*(E2398/1000),Skills!L27/10)+Skills!O27</f>
        <v/>
      </c>
      <c r="G2398">
        <f>Skills!G27*IF(Skills!H27&gt;0,INT(IF(Inputs!$B$38="pvp",MIN(Skills!I27,15),Skills!I27)/Skills!H27+0.000000001),1)</f>
        <v/>
      </c>
      <c r="H2398">
        <f>1-(1-Skills!J27/100)^Skills!K27</f>
        <v/>
      </c>
      <c r="I2398" t="inlineStr">
        <is>
          <t>1</t>
        </is>
      </c>
      <c r="J2398" t="inlineStr"/>
      <c r="K2398" t="inlineStr"/>
      <c r="L2398" t="inlineStr"/>
      <c r="M2398" t="inlineStr"/>
      <c r="N2398" t="inlineStr"/>
      <c r="O2398">
        <f>(1-Summary!$B$11)*T2398+Summary!$B$11*V2398</f>
        <v/>
      </c>
      <c r="P2398">
        <f>IF(B2412=0,0,O2398/B2412)</f>
        <v/>
      </c>
      <c r="Q2398" t="n">
        <v>0</v>
      </c>
      <c r="R2398" t="n">
        <v>0</v>
      </c>
      <c r="S2398">
        <f>IFERROR(O2398/N2398,0)</f>
        <v/>
      </c>
      <c r="T2398" t="n">
        <v>0</v>
      </c>
      <c r="V2398" t="n">
        <v>0</v>
      </c>
    </row>
    <row r="2399">
      <c r="A2399">
        <f>Skills!A28</f>
        <v/>
      </c>
      <c r="B2399">
        <f>Skills!B28</f>
        <v/>
      </c>
      <c r="C2399">
        <f>TRUE</f>
        <v/>
      </c>
      <c r="D2399">
        <f>IF(Skills!C28=1,60+Inputs!$B$25+Inputs!$B$29,IF(Skills!C28=2,90+Inputs!$B$26+Inputs!$B$29,IF(Skills!C28=3,120+Inputs!$B$27+Inputs!$B$29,MAX(0,(Inputs!$B$3-100)*3)+Inputs!$B$28+Inputs!$B$29)))</f>
        <v/>
      </c>
      <c r="E2399">
        <f>INDEX(FactorTable!$B$2:$Y$301, MATCH(ROUND(MIN(300,MAX(1,D2399)),0), FactorTable!$A$2:$A$301,0), Skills!M28+1)</f>
        <v/>
      </c>
      <c r="F2399">
        <f>IF(Skills!N28=TRUE,(Skills!L28/10)*(E2399/1000),Skills!L28/10)+Skills!O28</f>
        <v/>
      </c>
      <c r="G2399">
        <f>Skills!G28*IF(Skills!H28&gt;0,INT(IF(Inputs!$B$38="pvp",MIN(Skills!I28,15),Skills!I28)/Skills!H28+0.000000001),1)</f>
        <v/>
      </c>
      <c r="H2399">
        <f>1-(1-Skills!J28/100)^Skills!K28</f>
        <v/>
      </c>
      <c r="I2399" t="inlineStr">
        <is>
          <t>1</t>
        </is>
      </c>
      <c r="J2399" t="inlineStr"/>
      <c r="K2399" t="inlineStr"/>
      <c r="L2399" t="inlineStr"/>
      <c r="M2399" t="inlineStr"/>
      <c r="N2399" t="inlineStr"/>
      <c r="O2399">
        <f>(1-Summary!$B$11)*T2399+Summary!$B$11*V2399</f>
        <v/>
      </c>
      <c r="P2399">
        <f>IF(B2412=0,0,O2399/B2412)</f>
        <v/>
      </c>
      <c r="Q2399">
        <f>IFERROR(1/(IF(Inputs!$B$38="pvp",15,MAX(0.1,Skills!D28-IF(TRUE=TRUE,Inputs!$B$32,0)))*(1-IF(AND(ArtifactsInput!$M$27,Inputs!$B$4="Chapter Hunt"),CHOOSE(ArtifactsInput!$N$27+1,20,24,28,32,36,40),0)/100)),0)</f>
        <v/>
      </c>
      <c r="R2399">
        <f>IF(AND(Inputs!$B$38&lt;&gt;"pvp",Inputs!$B$43&gt;0),IF(Inputs!$B$43&lt;=0,0,(INT(Inputs!$B$43/(IF(Inputs!$B$38="pvp",15,MAX(0.1,Skills!D28-IF(TRUE=TRUE,Inputs!$B$32,0)))*(1-IF(AND(ArtifactsInput!$M$27,Inputs!$B$4="Chapter Hunt"),CHOOSE(ArtifactsInput!$N$27+1,20,24,28,32,36,40),0)/100)))+1)),0)</f>
        <v/>
      </c>
      <c r="S2399">
        <f>IFERROR(O2399/N2399,0)</f>
        <v/>
      </c>
      <c r="T2399" t="n">
        <v>0</v>
      </c>
      <c r="V2399" t="n">
        <v>0</v>
      </c>
    </row>
    <row r="2401">
      <c r="A2401" t="inlineStr">
        <is>
          <t>Attack% Bucket Multiplier</t>
        </is>
      </c>
      <c r="B2401">
        <f>(1+(((C2388=TRUE)*F2388*5/7)+((C2395=TRUE)*(F2395-Calc!F24))+(IF(ArtifactsInput!$M$21,CHOOSE(ArtifactsInput!$N$21+1,25,30,35,40,45,50)*(IF(OR(Inputs!$B$4="Chapter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402">
      <c r="A2402" t="inlineStr">
        <is>
          <t>Global Crit Rate Bonus %</t>
        </is>
      </c>
      <c r="B2402" t="n">
        <v>0</v>
      </c>
    </row>
    <row r="2403">
      <c r="A2403" t="inlineStr">
        <is>
          <t>Attack Speed Buff Bonus % (Nimble Feet, duty-cycle averaged)</t>
        </is>
      </c>
      <c r="B2403">
        <f>((C2399=TRUE)*F2399*IF(AND(Inputs!$B$38&lt;&gt;"pvp",Inputs!$B$43&gt;0),(((R2399-1)*MIN((Skills!T28*(1+Inputs!$B$34/100)),(1/Q2399))+MIN((Skills!T28*(1+Inputs!$B$34/100)),MAX(0,Inputs!$B$43-((R2399-1)*(1/Q2399)))))/Inputs!$B$43),IF(Inputs!$B$38="pvp",MIN((Skills!T28*(1+Inputs!$B$34/100)),15)/15,MIN(1,(Skills!T28*(1+Inputs!$B$34/100))/(1/Q2399)))))</f>
        <v/>
      </c>
    </row>
    <row r="2404">
      <c r="A2404" t="inlineStr">
        <is>
          <t>Actions Per Second</t>
        </is>
      </c>
      <c r="B2404">
        <f>1+MIN(150,150*(1-(1-(Inputs!$B$11+((C2391=TRUE)*(F2391-Calc!F20))+((C2392=TRUE)*(F2392-Calc!F21)))/150)*(1-B2403/150)))/100</f>
        <v/>
      </c>
    </row>
    <row r="2405">
      <c r="A2405" t="inlineStr">
        <is>
          <t>Skill + Buff Cast Rate</t>
        </is>
      </c>
      <c r="B2405">
        <f>IF(AND(Inputs!$B$38&lt;&gt;"pvp",Inputs!$B$43&gt;0),SUMPRODUCT((Skills!E2:E28=TRUE)*(C2373:C2399=TRUE)*R2373:R2399*Skills!F2:F28)/Inputs!$B$43,SUMPRODUCT((Skills!E2:E28=TRUE)*(C2373:C2399=TRUE)*Q2373:Q2399*Skills!F2:F28))</f>
        <v/>
      </c>
    </row>
    <row r="2406">
      <c r="A2406" t="inlineStr">
        <is>
          <t>Eight-Legs Easton Casts Per Second</t>
        </is>
      </c>
      <c r="B2406">
        <f>MAX(0,B2404-B2405)</f>
        <v/>
      </c>
    </row>
    <row r="2407">
      <c r="A2407" t="inlineStr">
        <is>
          <t>Global Critical Damage Bonus % (unused)</t>
        </is>
      </c>
      <c r="B2407" t="n">
        <v>0</v>
      </c>
    </row>
    <row r="2408">
      <c r="A2408" t="inlineStr">
        <is>
          <t>Global Final Damage Bonus % (Jolly Roger + Ahoy Mateys - Final Damage proc)</t>
        </is>
      </c>
      <c r="B2408">
        <f>((C2389=TRUE)*F2389*IF(AND(Inputs!$B$38&lt;&gt;"pvp",Inputs!$B$43&gt;0),(((R2389-1)*MIN((Skills!T18*(1+Inputs!$B$34/100)),(1/Q2389))+MIN((Skills!T18*(1+Inputs!$B$34/100)),MAX(0,Inputs!$B$43-((R2389-1)*(1/Q2389)))))/Inputs!$B$43),IF(Inputs!$B$38="pvp",MIN((Skills!T18*(1+Inputs!$B$34/100)),15)/15,MIN(1,(Skills!T18*(1+Inputs!$B$34/100))/(1/Q2389)))))+IF(Inputs!$B$3&gt;=122,20*IF(Inputs!$B$38="pvp",MIN((20*(1+Inputs!$B$34/100)),15)/15,MIN(1,(20*(1+Inputs!$B$34/100))/(1/Q2375))),0)</f>
        <v/>
      </c>
    </row>
    <row r="2409">
      <c r="A2409" t="inlineStr">
        <is>
          <t>Buff-Casting Startup Delay (s, fixed-duration only)</t>
        </is>
      </c>
      <c r="B2409">
        <f>IF(AND(Inputs!$B$38&lt;&gt;"pvp",Inputs!$B$43&gt;0),SUMPRODUCT((Skills!T2:T28&gt;0)*(Skills!E2:E28=TRUE)*(C2373:C2399=TRUE))/B2404,0)</f>
        <v/>
      </c>
    </row>
    <row r="2410">
      <c r="A2410" t="inlineStr">
        <is>
          <t>Boss-Only Total DPS (this block's swept value)</t>
        </is>
      </c>
      <c r="B2410">
        <f>SUM(T2373:T2399)</f>
        <v/>
      </c>
    </row>
    <row r="2411">
      <c r="A2411" t="inlineStr">
        <is>
          <t>Normal-Only Total DPS (this block's swept value)</t>
        </is>
      </c>
      <c r="B2411">
        <f>SUM(V2373:V2399)</f>
        <v/>
      </c>
    </row>
    <row r="2412">
      <c r="A2412" s="6" t="inlineStr">
        <is>
          <t>TOTAL DPS</t>
        </is>
      </c>
      <c r="B2412" s="6">
        <f>SUM(O2373:O2399)</f>
        <v/>
      </c>
    </row>
    <row r="2413">
      <c r="A2413" t="inlineStr">
        <is>
          <t>Quickdraw cooldown divisor (this block's own APS / Q)</t>
        </is>
      </c>
      <c r="B2413">
        <f>IF(AND(C2398=TRUE,Inputs!$B$38&lt;&gt;"pvp"),1+0.25*MAX(0,(B2404-(((C2374=TRUE)*Q2374*1)+((C2375=TRUE)*Q2375*1)+((C2377=TRUE)*Q2377*1)+((C2378=TRUE)*Q2378*1)+((C2380=TRUE)*Q2380*1)+((C2383=TRUE)*Q2383*1)+((C2389=TRUE)*Q2389*1)+((C2399=TRUE)*Q2399*1))-((C2379=TRUE)/(IF(Inputs!$B$38="pvp",15,MAX(0.1,Skills!D8-IF(TRUE=TRUE,Inputs!$B$32,0)))*(1-IF(AND(ArtifactsInput!$M$27,Inputs!$B$4="Chapter Hunt"),CHOOSE(ArtifactsInput!$N$27+1,20,24,28,32,36,40),0)/100))+(C2382=TRUE)/(IF(Inputs!$B$38="pvp",15,MAX(0.1,Skills!D11-IF(TRUE=TRUE,Inputs!$B$32,0)))*(1-IF(AND(ArtifactsInput!$M$27,Inputs!$B$4="Chapter Hunt"),CHOOSE(ArtifactsInput!$N$27+1,20,24,28,32,36,40),0)/100))))/(1+0.25*((C2379=TRUE)/(IF(Inputs!$B$38="pvp",15,MAX(0.1,Skills!D8-IF(TRUE=TRUE,Inputs!$B$32,0)))*(1-IF(AND(ArtifactsInput!$M$27,Inputs!$B$4="Chapter Hunt"),CHOOSE(ArtifactsInput!$N$27+1,20,24,28,32,36,40),0)/100))+(C2382=TRUE)/(IF(Inputs!$B$38="pvp",15,MAX(0.1,Skills!D11-IF(TRUE=TRUE,Inputs!$B$32,0)))*(1-IF(AND(ArtifactsInput!$M$27,Inputs!$B$4="Chapter Hunt"),CHOOSE(ArtifactsInput!$N$27+1,20,24,28,32,36,40),0)/100))))),1)</f>
        <v/>
      </c>
    </row>
    <row r="2414">
      <c r="A2414" t="inlineStr">
        <is>
          <t>Nautilus Strike - Final Attack trigger rate (this block's own Q/R)</t>
        </is>
      </c>
      <c r="B2414">
        <f>IF(AND(Inputs!$B$38&lt;&gt;"pvp",Inputs!$B$43&gt;0),(((C2374=TRUE)*R2374)+((C2377=TRUE)*R2377)+((C2379=TRUE)*R2379)+((C2380=TRUE)*R2380)+((C2382=TRUE)*R2382))/Inputs!$B$43,((C2374=TRUE)*Q2374)+((C2377=TRUE)*Q2377)+((C2379=TRUE)*Q2379)+((C2380=TRUE)*Q2380)+((C2382=TRUE)*Q2382))+B2406</f>
        <v/>
      </c>
    </row>
    <row r="2417">
      <c r="A2417" s="6" t="inlineStr">
        <is>
          <t>Stat: Flaming Lava (Equip)</t>
        </is>
      </c>
    </row>
    <row r="2418">
      <c r="A2418" s="5" t="inlineStr">
        <is>
          <t>Key</t>
        </is>
      </c>
      <c r="B2418" s="5" t="inlineStr">
        <is>
          <t>Name</t>
        </is>
      </c>
      <c r="C2418" s="5" t="inlineStr">
        <is>
          <t>Unlocked</t>
        </is>
      </c>
      <c r="D2418" s="5" t="inlineStr">
        <is>
          <t>InputLevel</t>
        </is>
      </c>
      <c r="E2418" s="5" t="inlineStr">
        <is>
          <t>Factor</t>
        </is>
      </c>
      <c r="F2418" s="5" t="inlineStr">
        <is>
          <t>CoefficientPercent</t>
        </is>
      </c>
      <c r="G2418" s="5" t="inlineStr">
        <is>
          <t>EffectiveHits</t>
        </is>
      </c>
      <c r="H2418" s="5" t="inlineStr">
        <is>
          <t>ProcProbability</t>
        </is>
      </c>
      <c r="I2418" s="5" t="inlineStr">
        <is>
          <t>MapleHeroMultiplier</t>
        </is>
      </c>
      <c r="J2418" s="5" t="inlineStr">
        <is>
          <t>BaseDamage</t>
        </is>
      </c>
      <c r="K2418" s="5" t="inlineStr">
        <is>
          <t>BaseHitDamage</t>
        </is>
      </c>
      <c r="L2418" s="5" t="inlineStr">
        <is>
          <t>NonCritAvg</t>
        </is>
      </c>
      <c r="M2418" s="5" t="inlineStr">
        <is>
          <t>CritAvg</t>
        </is>
      </c>
      <c r="N2418" s="5" t="inlineStr">
        <is>
          <t>ExpectedDamage(perHit)</t>
        </is>
      </c>
      <c r="O2418" s="5" t="inlineStr">
        <is>
          <t>DPS</t>
        </is>
      </c>
      <c r="P2418" s="5" t="inlineStr">
        <is>
          <t>% of Total</t>
        </is>
      </c>
      <c r="Q2418" s="5" t="inlineStr">
        <is>
          <t>InvCooldown</t>
        </is>
      </c>
      <c r="R2418" s="5" t="inlineStr">
        <is>
          <t>CastsInFight</t>
        </is>
      </c>
      <c r="S2418" s="5" t="inlineStr">
        <is>
          <t>HitRate(perSec)</t>
        </is>
      </c>
      <c r="U2418" t="inlineStr">
        <is>
          <t>helpers</t>
        </is>
      </c>
    </row>
    <row r="2419">
      <c r="A2419">
        <f>Skills!A2</f>
        <v/>
      </c>
      <c r="B2419">
        <f>Skills!B2</f>
        <v/>
      </c>
      <c r="C2419">
        <f>Inputs!$B$3&gt;=100</f>
        <v/>
      </c>
      <c r="D2419" t="inlineStr"/>
      <c r="E2419" t="inlineStr"/>
      <c r="F2419">
        <f>U2421+Skills!O2</f>
        <v/>
      </c>
      <c r="G2419">
        <f>Skills!G2*IF(Skills!H2&gt;0,INT(IF(Inputs!$B$38="pvp",MIN(Skills!I2,15),Skills!I2)/Skills!H2+0.000000001),1)</f>
        <v/>
      </c>
      <c r="H2419">
        <f>1-(1-Skills!J2/100)^Skills!K2</f>
        <v/>
      </c>
      <c r="I2419" t="inlineStr">
        <is>
          <t>1</t>
        </is>
      </c>
      <c r="J2419">
        <f>((Inputs!$B$6*(1+Inputs!$B$7/100))+(((Inputs!$B$12*(1+Inputs!$B$13/100))-(Inputs!$B$12*(1+Inputs!$B$13/100)))+0.25*(Inputs!$B$14-Inputs!$B$14))*(1+Inputs!$B$7/100))*(F2419/100)</f>
        <v/>
      </c>
      <c r="K2419">
        <f>J2419*(1+((Inputs!$B$12*(1+Inputs!$B$13/100))*0.01+Inputs!$B$14*0.0025)/100)*(1+Inputs!$B$15/100)*(1+Inputs!$B$16/100)*(5000/(6000+Inputs!$B$42*(1-(100*(1-(1-(Inputs!$B$19+0)/100)*(1-CHOOSE(ArtifactsInput!$N$40+1,5,6,7,8,9,10)/100)^(ArtifactsInput!$M$40-ArtifactsInput!$M$40)))/100)))*(1+(Inputs!$B$24+((C2443=TRUE)*(F2443-Calc!F26))+B2454)/100)*(1+(((1+IF(AND(ArtifactsInput!$M$36,IF(Inputs!$B$38="pvp",TRUE,AND(Inputs!$B$38&lt;&gt;"pvp",Inputs!$B$43&gt;0))),CHOOSE(ArtifactsInput!$N$36+1,8,9.6,11.2,12.8,14.4,16),0)/100)*(1+IF(AND(IF(ArtifactsInput!$M$32,FALSE,TRUE),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IGHT_LEGS_EASTON",Inputs!$B$17+((C2440=TRUE)*(F2440-Calc!F23))+((C2444=TRUE)*(F2444-Calc!F27))+((IF(AND(Inputs!$B$38&lt;&gt;"pvp",Inputs!$B$43=0),1,IF(IF(Inputs!$B$38="pvp",15,Inputs!$B$43)-(B2455)&lt;=0,1,MAX(0,IF(Inputs!$B$38="pvp",15,Inputs!$B$43)-MAX(5,B2455))/(IF(Inputs!$B$38="pvp",15,Inputs!$B$43)-(B2455))))*(IF(AND(ArtifactsInput!$M$42,((Inputs!$B$9+((C2436=TRUE)*(F2436-Calc!F19))+B2448+(ArtifactsInput!$M$24-ArtifactsInput!$M$24)*CHOOSE(ArtifactsInput!$N$24+1,10,12,14,16,18,20)+IF(ArtifactsInput!$M$10,CHOOSE(ArtifactsInput!$N$10+1,15,18,21,24,27,30)*(IF(Inputs!$B$38="pvp",MIN(15,15)/15,IF(AND(Inputs!$B$38&lt;&gt;"pvp",Inputs!$B$43&gt;0),MIN(15,Inputs!$B$43)/(Inputs!$B$43),0))),0)))&gt;=100),MIN(100,((Inputs!$B$9+((C2436=TRUE)*(F2436-Calc!F19))+B2448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2455)&lt;=0,1,MAX(0,IF(Inputs!$B$38="pvp",15,Inputs!$B$43)-MAX(5,B2455))/(IF(Inputs!$B$38="pvp",15,Inputs!$B$43)-(B2455))))*IF(AND(ArtifactsInput!$M$42,((Inputs!$B$9+((C2436=TRUE)*(F2436-Calc!F19))+B2448+(ArtifactsInput!$M$24-ArtifactsInput!$M$24)*CHOOSE(ArtifactsInput!$N$24+1,10,12,14,16,18,20)+IF(ArtifactsInput!$M$10,CHOOSE(ArtifactsInput!$N$10+1,15,18,21,24,27,30)*(IF(Inputs!$B$38="pvp",MIN(15,15)/15,IF(AND(Inputs!$B$38&lt;&gt;"pvp",Inputs!$B$43&gt;0),MIN(15,Inputs!$B$43)/(Inputs!$B$43),0))),0)))&gt;=100),CHOOSE(ArtifactsInput!$N$42+1,40,48,56,64,72,80),0))))/100)*((1+(((C2434=TRUE)*F2434*5/7)+((C2441=TRUE)*(F2441-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2419)</f>
        <v/>
      </c>
      <c r="L2419">
        <f>K2419*(MIN(Inputs!$B$22+((C2439=TRUE)*(F2439-Calc!F22)),(Inputs!$B$23+0+(IF(ArtifactsInput!$M$15,CHOOSE(ArtifactsInput!$N$15+1,25,30,35,40,45,50)/100*(Inputs!$B$11-Inputs!$B$11),0))))/100+(Inputs!$B$23+0+(IF(ArtifactsInput!$M$15,CHOOSE(ArtifactsInput!$N$15+1,25,30,35,40,45,50)/100*(Inputs!$B$11-Inputs!$B$11),0)))/100)/2</f>
        <v/>
      </c>
      <c r="M2419">
        <f>L2419*(1+(Inputs!$B$10+((C2442=TRUE)*(F2442-Calc!F25))+B2453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19">
        <f>L2419*(1-MIN((Inputs!$B$9+((C2436=TRUE)*(F2436-Calc!F19))+B2448+(ArtifactsInput!$M$24-ArtifactsInput!$M$24)*CHOOSE(ArtifactsInput!$N$24+1,10,12,14,16,18,20)+(IF(AND(Inputs!$B$38&lt;&gt;"pvp",Inputs!$B$43=0),1,IF(IF(Inputs!$B$38="pvp",15,Inputs!$B$43)-(B2455)&lt;=0,1,MAX(0,IF(Inputs!$B$38="pvp",15,Inputs!$B$43)-MAX(5,B2455))/(IF(Inputs!$B$38="pvp",15,Inputs!$B$43)-(B2455))))*IF(AND(ArtifactsInput!$M$42,((Inputs!$B$9+((C2436=TRUE)*(F2436-Calc!F19))+B2448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2419*(MIN((Inputs!$B$9+((C2436=TRUE)*(F2436-Calc!F19))+B2448+(ArtifactsInput!$M$24-ArtifactsInput!$M$24)*CHOOSE(ArtifactsInput!$N$24+1,10,12,14,16,18,20)+(IF(AND(Inputs!$B$38&lt;&gt;"pvp",Inputs!$B$43=0),1,IF(IF(Inputs!$B$38="pvp",15,Inputs!$B$43)-(B2455)&lt;=0,1,MAX(0,IF(Inputs!$B$38="pvp",15,Inputs!$B$43)-MAX(5,B2455))/(IF(Inputs!$B$38="pvp",15,Inputs!$B$43)-(B2455))))*IF(AND(ArtifactsInput!$M$42,((Inputs!$B$9+((C2436=TRUE)*(F2436-Calc!F19))+B2448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19">
        <f>(1-Summary!$B$11)*T2419+Summary!$B$11*V2419</f>
        <v/>
      </c>
      <c r="P2419">
        <f>IF(B2458=0,0,O2419/B2458)</f>
        <v/>
      </c>
      <c r="Q2419" t="n">
        <v>0</v>
      </c>
      <c r="R2419" t="n">
        <v>0</v>
      </c>
      <c r="S2419">
        <f>IFERROR(O2419/N2419,0)</f>
        <v/>
      </c>
      <c r="T2419">
        <f>IF(C2419,(Skills!G2*N2419*B2452*(1+IF(C2444=TRUE,1/3,0)))*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Hunt"),CHOOSE(ArtifactsInput!$N$35+1,15,18,21,24,27,30)*(1-EXP(-(0.2*B2450)*5)),0)+IF(AND(ArtifactsInput!$M$22,Inputs!$B$4&lt;&gt;"Chapter Hunt"),CHOOSE(ArtifactsInput!$N$22+1,10,12,14,16,18,20)*((0*(((0.15*B2450*5))^0/1)+1*(((0.15*B2450*5))^1/1)+2*(((0.15*B2450*5))^2/2)+3*(((0.15*B2450*5))^3/6)+4*(((0.15*B2450*5))^4/24)+5*(((0.15*B2450*5))^5/120))/((((0.15*B2450*5))^0/1)+(((0.15*B2450*5))^1/1)+(((0.15*B2450*5))^2/2)+(((0.15*B2450*5))^3/6)+(((0.15*B2450*5))^4/24)+(((0.15*B2450*5))^5/120))),0))+IF(Inputs!$B$3&gt;=54,9*(C2420=TRUE)*MIN(1,8*(1+Inputs!$B$34/100)*Q2420)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2419*(1-MIN(100,(Inputs!$B$9+((C2436=TRUE)*(F2436-Calc!F19))+B2448+(ArtifactsInput!$M$24-ArtifactsInput!$M$24)*CHOOSE(ArtifactsInput!$N$24+1,10,12,14,16,18,20)+(IF(AND(Inputs!$B$38&lt;&gt;"pvp",Inputs!$B$43=0),1,IF(IF(Inputs!$B$38="pvp",15,Inputs!$B$43)-(B2455)&lt;=0,1,MAX(0,IF(Inputs!$B$38="pvp",15,Inputs!$B$43)-MAX(5,B2455))/(IF(Inputs!$B$38="pvp",15,Inputs!$B$43)-(B2455))))*IF(AND(ArtifactsInput!$M$42,((Inputs!$B$9+((C2436=TRUE)*(F2436-Calc!F19))+B2448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2419*(MIN(100,(Inputs!$B$9+((C2436=TRUE)*(F2436-Calc!F19))+B2448+(ArtifactsInput!$M$24-ArtifactsInput!$M$24)*CHOOSE(ArtifactsInput!$N$24+1,10,12,14,16,18,20)+(IF(AND(Inputs!$B$38&lt;&gt;"pvp",Inputs!$B$43=0),1,IF(IF(Inputs!$B$38="pvp",15,Inputs!$B$43)-(B2455)&lt;=0,1,MAX(0,IF(Inputs!$B$38="pvp",15,Inputs!$B$43)-MAX(5,B2455))/(IF(Inputs!$B$38="pvp",15,Inputs!$B$43)-(B2455))))*IF(AND(ArtifactsInput!$M$42,((Inputs!$B$9+((C2436=TRUE)*(F2436-Calc!F19))+B2448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2419*(1-MIN(100,(Inputs!$B$9+((C2436=TRUE)*(F2436-Calc!F19))+B2448+(ArtifactsInput!$M$24-ArtifactsInput!$M$24)*CHOOSE(ArtifactsInput!$N$24+1,10,12,14,16,18,20)+(IF(AND(Inputs!$B$38&lt;&gt;"pvp",Inputs!$B$43=0),1,IF(IF(Inputs!$B$38="pvp",15,Inputs!$B$43)-(B2455)&lt;=0,1,MAX(0,IF(Inputs!$B$38="pvp",15,Inputs!$B$43)-MAX(5,B2455))/(IF(Inputs!$B$38="pvp",15,Inputs!$B$43)-(B2455))))*IF(AND(ArtifactsInput!$M$42,((Inputs!$B$9+((C2436=TRUE)*(F2436-Calc!F19))+B2448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2419*(MIN(100,(Inputs!$B$9+((C2436=TRUE)*(F2436-Calc!F19))+B2448+(ArtifactsInput!$M$24-ArtifactsInput!$M$24)*CHOOSE(ArtifactsInput!$N$24+1,10,12,14,16,18,20)+(IF(AND(Inputs!$B$38&lt;&gt;"pvp",Inputs!$B$43=0),1,IF(IF(Inputs!$B$38="pvp",15,Inputs!$B$43)-(B2455)&lt;=0,1,MAX(0,IF(Inputs!$B$38="pvp",15,Inputs!$B$43)-MAX(5,B2455))/(IF(Inputs!$B$38="pvp",15,Inputs!$B$43)-(B2455))))*IF(AND(ArtifactsInput!$M$42,((Inputs!$B$9+((C2436=TRUE)*(F2436-Calc!F19))+B2448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419">
        <f>MAX(0,(Inputs!$B$3-100)*3)+Inputs!$B$28+Inputs!$B$29</f>
        <v/>
      </c>
      <c r="V2419">
        <f>IF(C2419,(Skills!G2*N2419*B2452*(1+IF(C2444=TRUE,1/3,0)))*IF(Inputs!$B$38="pvp",1,(1+(Inputs!$B$21+Skills!Q2+(IF(ArtifactsInput!$M$33,CHOOSE(ArtifactsInput!$N$33+1,30,36,42,48,54,60),0))+(IF(AND(ArtifactsInput!$M$35,Inputs!$B$4&lt;&gt;"Chapter Hunt"),CHOOSE(ArtifactsInput!$N$35+1,15,18,21,24,27,30)*(1-EXP(-(0.2*B2450)*5)),0)+IF(AND(ArtifactsInput!$M$22,Inputs!$B$4&lt;&gt;"Chapter Hunt"),CHOOSE(ArtifactsInput!$N$22+1,10,12,14,16,18,20)*((0*(((0.15*B2450*5))^0/1)+1*(((0.15*B2450*5))^1/1)+2*(((0.15*B2450*5))^2/2)+3*(((0.15*B2450*5))^3/6)+4*(((0.15*B2450*5))^4/24)+5*(((0.15*B2450*5))^5/120))/((((0.15*B2450*5))^0/1)+(((0.15*B2450*5))^1/1)+(((0.15*B2450*5))^2/2)+(((0.15*B2450*5))^3/6)+(((0.15*B2450*5))^4/24)+(((0.15*B2450*5))^5/120))),0))+IF(Inputs!$B$3&gt;=54,9*(C2420=TRUE)*MIN(1,8*(1+Inputs!$B$34/100)*Q2420)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20">
      <c r="A2420">
        <f>Skills!A3</f>
        <v/>
      </c>
      <c r="B2420">
        <f>Skills!B3</f>
        <v/>
      </c>
      <c r="C2420">
        <f>Inputs!$B$3&gt;=33</f>
        <v/>
      </c>
      <c r="D2420">
        <f>IF(Skills!C3=1,60+Inputs!$B$25+Inputs!$B$29,IF(Skills!C3=2,90+Inputs!$B$26+Inputs!$B$29,IF(Skills!C3=3,120+Inputs!$B$27+Inputs!$B$29,MAX(0,(Inputs!$B$3-100)*3)+Inputs!$B$28+Inputs!$B$29)))</f>
        <v/>
      </c>
      <c r="E2420">
        <f>INDEX(FactorTable!$B$2:$Y$301, MATCH(ROUND(MIN(300,MAX(1,D2420)),0), FactorTable!$A$2:$A$301,0), Skills!M3+1)</f>
        <v/>
      </c>
      <c r="F2420">
        <f>IF(Skills!N3=TRUE,(Skills!L3/10)*(E2420/1000),Skills!L3/10)+Skills!O3</f>
        <v/>
      </c>
      <c r="G2420">
        <f>Skills!G3*IF(Skills!H3&gt;0,INT(IF(Inputs!$B$38="pvp",MIN(Skills!I3,15),Skills!I3)/Skills!H3+0.000000001),1)</f>
        <v/>
      </c>
      <c r="H2420">
        <f>1-(1-Skills!J3/100)^Skills!K3</f>
        <v/>
      </c>
      <c r="I2420" t="inlineStr">
        <is>
          <t>1</t>
        </is>
      </c>
      <c r="J2420">
        <f>((Inputs!$B$6*(1+Inputs!$B$7/100))+(((Inputs!$B$12*(1+Inputs!$B$13/100))-(Inputs!$B$12*(1+Inputs!$B$13/100)))+0.25*(Inputs!$B$14-Inputs!$B$14))*(1+Inputs!$B$7/100))*(F2420/100)</f>
        <v/>
      </c>
      <c r="K2420">
        <f>J2420*(1+((Inputs!$B$12*(1+Inputs!$B$13/100))*0.01+Inputs!$B$14*0.0025)/100)*(1+Inputs!$B$15/100)*(1+Inputs!$B$16/100)*(5000/(6000+Inputs!$B$42*(1-(100*(1-(1-(Inputs!$B$19+0)/100)*(1-CHOOSE(ArtifactsInput!$N$40+1,5,6,7,8,9,10)/100)^(ArtifactsInput!$M$40-ArtifactsInput!$M$40)))/100)))*(1+(Inputs!$B$24+((C2443=TRUE)*(F2443-Calc!F26))+B2454)/100)*(1+(((1+IF(AND(ArtifactsInput!$M$36,IF(Inputs!$B$38="pvp",TRUE,AND(Inputs!$B$38&lt;&gt;"pvp",Inputs!$B$43&gt;0))),CHOOSE(ArtifactsInput!$N$36+1,8,9.6,11.2,12.8,14.4,16),0)/100)*(1+IF(AND(IF(ArtifactsInput!$M$32,FALSE,TRUE),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2432=TRUE,F2432,0)/100)*(1+(IF(Skills!A3="EIGHT_LEGS_EASTON",Inputs!$B$17+((C2440=TRUE)*(F2440-Calc!F23))+((C2444=TRUE)*(F2444-Calc!F27))+((IF(AND(Inputs!$B$38&lt;&gt;"pvp",Inputs!$B$43=0),1,IF(IF(Inputs!$B$38="pvp",15,Inputs!$B$43)-(B2455)&lt;=0,1,MAX(0,IF(Inputs!$B$38="pvp",15,Inputs!$B$43)-MAX(5,B2455))/(IF(Inputs!$B$38="pvp",15,Inputs!$B$43)-(B2455))))*(IF(AND(ArtifactsInput!$M$42,((Inputs!$B$9+((C2436=TRUE)*(F2436-Calc!F19))+B2448+(ArtifactsInput!$M$24-ArtifactsInput!$M$24)*CHOOSE(ArtifactsInput!$N$24+1,10,12,14,16,18,20)+IF(ArtifactsInput!$M$10,CHOOSE(ArtifactsInput!$N$10+1,15,18,21,24,27,30)*(IF(Inputs!$B$38="pvp",MIN(15,15)/15,IF(AND(Inputs!$B$38&lt;&gt;"pvp",Inputs!$B$43&gt;0),MIN(15,Inputs!$B$43)/(Inputs!$B$43),0))),0)))&gt;=100),MIN(100,((Inputs!$B$9+((C2436=TRUE)*(F2436-Calc!F19))+B2448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2455)&lt;=0,1,MAX(0,IF(Inputs!$B$38="pvp",15,Inputs!$B$43)-MAX(5,B2455))/(IF(Inputs!$B$38="pvp",15,Inputs!$B$43)-(B2455))))*IF(AND(ArtifactsInput!$M$42,((Inputs!$B$9+((C2436=TRUE)*(F2436-Calc!F19))+B2448+(ArtifactsInput!$M$24-ArtifactsInput!$M$24)*CHOOSE(ArtifactsInput!$N$24+1,10,12,14,16,18,20)+IF(ArtifactsInput!$M$10,CHOOSE(ArtifactsInput!$N$10+1,15,18,21,24,27,30)*(IF(Inputs!$B$38="pvp",MIN(15,15)/15,IF(AND(Inputs!$B$38&lt;&gt;"pvp",Inputs!$B$43&gt;0),MIN(15,Inputs!$B$43)/(Inputs!$B$43),0))),0)))&gt;=100),CHOOSE(ArtifactsInput!$N$42+1,40,48,56,64,72,80),0))))/100)*((1+(((C2434=TRUE)*F2434*5/7)+((C2441=TRUE)*(F2441-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2420)</f>
        <v/>
      </c>
      <c r="L2420">
        <f>K2420*(MIN(Inputs!$B$22+((C2439=TRUE)*(F2439-Calc!F22)),(Inputs!$B$23+0+(IF(ArtifactsInput!$M$15,CHOOSE(ArtifactsInput!$N$15+1,25,30,35,40,45,50)/100*(Inputs!$B$11-Inputs!$B$11),0))))/100+(Inputs!$B$23+0+(IF(ArtifactsInput!$M$15,CHOOSE(ArtifactsInput!$N$15+1,25,30,35,40,45,50)/100*(Inputs!$B$11-Inputs!$B$11),0)))/100)/2</f>
        <v/>
      </c>
      <c r="M2420">
        <f>L2420*(1+(Inputs!$B$10+((C2442=TRUE)*(F2442-Calc!F25))+B2453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20">
        <f>L2420*(1-MIN((Inputs!$B$9+((C2436=TRUE)*(F2436-Calc!F19))+B2448+(ArtifactsInput!$M$24-ArtifactsInput!$M$24)*CHOOSE(ArtifactsInput!$N$24+1,10,12,14,16,18,20)+(IF(AND(Inputs!$B$38&lt;&gt;"pvp",Inputs!$B$43=0),1,IF(IF(Inputs!$B$38="pvp",15,Inputs!$B$43)-(B2455)&lt;=0,1,MAX(0,IF(Inputs!$B$38="pvp",15,Inputs!$B$43)-MAX(5,B2455))/(IF(Inputs!$B$38="pvp",15,Inputs!$B$43)-(B2455))))*IF(AND(ArtifactsInput!$M$42,((Inputs!$B$9+((C2436=TRUE)*(F2436-Calc!F19))+B2448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2420*(MIN((Inputs!$B$9+((C2436=TRUE)*(F2436-Calc!F19))+B2448+(ArtifactsInput!$M$24-ArtifactsInput!$M$24)*CHOOSE(ArtifactsInput!$N$24+1,10,12,14,16,18,20)+(IF(AND(Inputs!$B$38&lt;&gt;"pvp",Inputs!$B$43=0),1,IF(IF(Inputs!$B$38="pvp",15,Inputs!$B$43)-(B2455)&lt;=0,1,MAX(0,IF(Inputs!$B$38="pvp",15,Inputs!$B$43)-MAX(5,B2455))/(IF(Inputs!$B$38="pvp",15,Inputs!$B$43)-(B2455))))*IF(AND(ArtifactsInput!$M$42,((Inputs!$B$9+((C2436=TRUE)*(F2436-Calc!F19))+B2448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20">
        <f>(1-Summary!$B$11)*T2420+Summary!$B$11*V2420</f>
        <v/>
      </c>
      <c r="P2420">
        <f>IF(B2458=0,0,O2420/B2458)</f>
        <v/>
      </c>
      <c r="Q2420">
        <f>IFERROR(1/(IF(Inputs!$B$38="pvp",15,MAX(0.1,Skills!D3-IF(TRUE=TRUE,Inputs!$B$32,0)))*(1-IF(AND(ArtifactsInput!$M$27,Inputs!$B$4="Chapter Hunt"),CHOOSE(ArtifactsInput!$N$27+1,20,24,28,32,36,40),0)/100)),0)</f>
        <v/>
      </c>
      <c r="R2420">
        <f>IF(AND(Inputs!$B$38&lt;&gt;"pvp",Inputs!$B$43&gt;0),IF(MAX(0,Inputs!$B$43-B2455)&lt;=0,0,(INT(MAX(0,Inputs!$B$43-B2455)/(IF(Inputs!$B$38="pvp",15,MAX(0.1,Skills!D3-IF(TRUE=TRUE,Inputs!$B$32,0)))*(1-IF(AND(ArtifactsInput!$M$27,Inputs!$B$4="Chapter Hunt"),CHOOSE(ArtifactsInput!$N$27+1,20,24,28,32,36,40),0)/100)))+1)),0)</f>
        <v/>
      </c>
      <c r="S2420">
        <f>IFERROR(O2420/N2420,0)</f>
        <v/>
      </c>
      <c r="T2420">
        <f>IF(C2420,(H2420*N2420*IF(AND(Inputs!$B$38&lt;&gt;"pvp",Inputs!$B$43&gt;0),((Skills!G3*((R2420-1)*IF(Skills!H3&gt;0,INT(Skills!I3/Skills!H3+0.000000001),1)+IF(Skills!H3&gt;0,INT(MIN(Skills!I3,MAX(0,MAX(0,Inputs!$B$43-B2455)-((R2420-1)*(IF(Inputs!$B$38="pvp",15,MAX(0.1,Skills!D3-IF(TRUE=TRUE,Inputs!$B$32,0)))*(1-IF(AND(ArtifactsInput!$M$27,Inputs!$B$4="Chapter Hunt"),CHOOSE(ArtifactsInput!$N$27+1,20,24,28,32,36,40),0)/100)))))/Skills!H3+0.000000001),1)))/Inputs!$B$43),G2420*Q2420))*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Hunt"),CHOOSE(ArtifactsInput!$N$35+1,15,18,21,24,27,30)*(1-EXP(-(0.2*B2450)*5)),0)+IF(AND(ArtifactsInput!$M$22,Inputs!$B$4&lt;&gt;"Chapter Hunt"),CHOOSE(ArtifactsInput!$N$22+1,10,12,14,16,18,20)*((0*(((0.15*B2450*5))^0/1)+1*(((0.15*B2450*5))^1/1)+2*(((0.15*B2450*5))^2/2)+3*(((0.15*B2450*5))^3/6)+4*(((0.15*B2450*5))^4/24)+5*(((0.15*B2450*5))^5/120))/((((0.15*B2450*5))^0/1)+(((0.15*B2450*5))^1/1)+(((0.15*B2450*5))^2/2)+(((0.15*B2450*5))^3/6)+(((0.15*B2450*5))^4/24)+(((0.15*B2450*5))^5/120))),0))+IF(Inputs!$B$3&gt;=54,9*(C2420=TRUE)*MIN(1,8*(1+Inputs!$B$34/100)*Q2420)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2420*(1-MIN(100,(Inputs!$B$9+((C2436=TRUE)*(F2436-Calc!F19))+B2448+(ArtifactsInput!$M$24-ArtifactsInput!$M$24)*CHOOSE(ArtifactsInput!$N$24+1,10,12,14,16,18,20)+(IF(AND(Inputs!$B$38&lt;&gt;"pvp",Inputs!$B$43=0),1,IF(IF(Inputs!$B$38="pvp",15,Inputs!$B$43)-(B2455)&lt;=0,1,MAX(0,IF(Inputs!$B$38="pvp",15,Inputs!$B$43)-MAX(5,B2455))/(IF(Inputs!$B$38="pvp",15,Inputs!$B$43)-(B2455))))*IF(AND(ArtifactsInput!$M$42,((Inputs!$B$9+((C2436=TRUE)*(F2436-Calc!F19))+B2448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2420*(MIN(100,(Inputs!$B$9+((C2436=TRUE)*(F2436-Calc!F19))+B2448+(ArtifactsInput!$M$24-ArtifactsInput!$M$24)*CHOOSE(ArtifactsInput!$N$24+1,10,12,14,16,18,20)+(IF(AND(Inputs!$B$38&lt;&gt;"pvp",Inputs!$B$43=0),1,IF(IF(Inputs!$B$38="pvp",15,Inputs!$B$43)-(B2455)&lt;=0,1,MAX(0,IF(Inputs!$B$38="pvp",15,Inputs!$B$43)-MAX(5,B2455))/(IF(Inputs!$B$38="pvp",15,Inputs!$B$43)-(B2455))))*IF(AND(ArtifactsInput!$M$42,((Inputs!$B$9+((C2436=TRUE)*(F2436-Calc!F19))+B2448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2420*(1-MIN(100,(Inputs!$B$9+((C2436=TRUE)*(F2436-Calc!F19))+B2448+(ArtifactsInput!$M$24-ArtifactsInput!$M$24)*CHOOSE(ArtifactsInput!$N$24+1,10,12,14,16,18,20)+(IF(AND(Inputs!$B$38&lt;&gt;"pvp",Inputs!$B$43=0),1,IF(IF(Inputs!$B$38="pvp",15,Inputs!$B$43)-(B2455)&lt;=0,1,MAX(0,IF(Inputs!$B$38="pvp",15,Inputs!$B$43)-MAX(5,B2455))/(IF(Inputs!$B$38="pvp",15,Inputs!$B$43)-(B2455))))*IF(AND(ArtifactsInput!$M$42,((Inputs!$B$9+((C2436=TRUE)*(F2436-Calc!F19))+B2448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2420*(MIN(100,(Inputs!$B$9+((C2436=TRUE)*(F2436-Calc!F19))+B2448+(ArtifactsInput!$M$24-ArtifactsInput!$M$24)*CHOOSE(ArtifactsInput!$N$24+1,10,12,14,16,18,20)+(IF(AND(Inputs!$B$38&lt;&gt;"pvp",Inputs!$B$43=0),1,IF(IF(Inputs!$B$38="pvp",15,Inputs!$B$43)-(B2455)&lt;=0,1,MAX(0,IF(Inputs!$B$38="pvp",15,Inputs!$B$43)-MAX(5,B2455))/(IF(Inputs!$B$38="pvp",15,Inputs!$B$43)-(B2455))))*IF(AND(ArtifactsInput!$M$42,((Inputs!$B$9+((C2436=TRUE)*(F2436-Calc!F19))+B2448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420">
        <f>INDEX(FactorTable!$B$2:$Y$301, MATCH(ROUND(MIN(300,MAX(1,U2419)),0), FactorTable!$A$2:$A$301,0), 22)</f>
        <v/>
      </c>
      <c r="V2420">
        <f>IF(C2420,(H2420*N2420*IF(AND(Inputs!$B$38&lt;&gt;"pvp",Inputs!$B$43&gt;0),((Skills!G3*((R2420-1)*IF(Skills!H3&gt;0,INT(Skills!I3/Skills!H3+0.000000001),1)+IF(Skills!H3&gt;0,INT(MIN(Skills!I3,MAX(0,MAX(0,Inputs!$B$43-B2455)-((R2420-1)*(IF(Inputs!$B$38="pvp",15,MAX(0.1,Skills!D3-IF(TRUE=TRUE,Inputs!$B$32,0)))*(1-IF(AND(ArtifactsInput!$M$27,Inputs!$B$4="Chapter Hunt"),CHOOSE(ArtifactsInput!$N$27+1,20,24,28,32,36,40),0)/100)))))/Skills!H3+0.000000001),1)))/Inputs!$B$43),G2420*Q2420))*IF(Inputs!$B$38="pvp",1,(1+(Inputs!$B$21+Skills!Q3+(IF(ArtifactsInput!$M$33,CHOOSE(ArtifactsInput!$N$33+1,30,36,42,48,54,60),0))+(IF(AND(ArtifactsInput!$M$35,Inputs!$B$4&lt;&gt;"Chapter Hunt"),CHOOSE(ArtifactsInput!$N$35+1,15,18,21,24,27,30)*(1-EXP(-(0.2*B2450)*5)),0)+IF(AND(ArtifactsInput!$M$22,Inputs!$B$4&lt;&gt;"Chapter Hunt"),CHOOSE(ArtifactsInput!$N$22+1,10,12,14,16,18,20)*((0*(((0.15*B2450*5))^0/1)+1*(((0.15*B2450*5))^1/1)+2*(((0.15*B2450*5))^2/2)+3*(((0.15*B2450*5))^3/6)+4*(((0.15*B2450*5))^4/24)+5*(((0.15*B2450*5))^5/120))/((((0.15*B2450*5))^0/1)+(((0.15*B2450*5))^1/1)+(((0.15*B2450*5))^2/2)+(((0.15*B2450*5))^3/6)+(((0.15*B2450*5))^4/24)+(((0.15*B2450*5))^5/120))),0))+IF(Inputs!$B$3&gt;=54,9*(C2420=TRUE)*MIN(1,8*(1+Inputs!$B$34/100)*Q2420)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21">
      <c r="A2421">
        <f>Skills!A4</f>
        <v/>
      </c>
      <c r="B2421">
        <f>Skills!B4</f>
        <v/>
      </c>
      <c r="C2421">
        <f>Inputs!$B$3&gt;=35</f>
        <v/>
      </c>
      <c r="D2421">
        <f>IF(Skills!C4=1,60+Inputs!$B$25+Inputs!$B$29,IF(Skills!C4=2,90+Inputs!$B$26+Inputs!$B$29,IF(Skills!C4=3,120+Inputs!$B$27+Inputs!$B$29,MAX(0,(Inputs!$B$3-100)*3)+Inputs!$B$28+Inputs!$B$29)))</f>
        <v/>
      </c>
      <c r="E2421">
        <f>INDEX(FactorTable!$B$2:$Y$301, MATCH(ROUND(MIN(300,MAX(1,D2421)),0), FactorTable!$A$2:$A$301,0), Skills!M4+1)</f>
        <v/>
      </c>
      <c r="F2421">
        <f>IF(Skills!N4=TRUE,(Skills!L4/10)*(E2421/1000),Skills!L4/10)+Skills!O4</f>
        <v/>
      </c>
      <c r="G2421">
        <f>Skills!G4*IF(Skills!H4&gt;0,INT(IF(Inputs!$B$38="pvp",MIN(IF(Inputs!$B$3&gt;=104,MIN(35,20*(1+Inputs!$B$34/100)),20),15),IF(Inputs!$B$3&gt;=104,MIN(35,20*(1+Inputs!$B$34/100)),20))/Skills!H4+0.000000001),1)</f>
        <v/>
      </c>
      <c r="H2421">
        <f>1-(1-Skills!J4/100)^Skills!K4</f>
        <v/>
      </c>
      <c r="I2421" t="inlineStr">
        <is>
          <t>1</t>
        </is>
      </c>
      <c r="J2421">
        <f>((Inputs!$B$6*(1+Inputs!$B$7/100))+(((Inputs!$B$12*(1+Inputs!$B$13/100))-(Inputs!$B$12*(1+Inputs!$B$13/100)))+0.25*(Inputs!$B$14-Inputs!$B$14))*(1+Inputs!$B$7/100))*(F2421/100)</f>
        <v/>
      </c>
      <c r="K2421">
        <f>J2421*(1+((Inputs!$B$12*(1+Inputs!$B$13/100))*0.01+Inputs!$B$14*0.0025)/100)*(1+Inputs!$B$15/100)*(1+Inputs!$B$16/100)*(5000/(6000+Inputs!$B$42*(1-(100*(1-(1-(Inputs!$B$19+0)/100)*(1-CHOOSE(ArtifactsInput!$N$40+1,5,6,7,8,9,10)/100)^(ArtifactsInput!$M$40-ArtifactsInput!$M$40)))/100)))*(1+(Inputs!$B$24+((C2443=TRUE)*(F2443-Calc!F26))+B2454)/100)*(1+(((1+IF(AND(ArtifactsInput!$M$36,IF(Inputs!$B$38="pvp",TRUE,AND(Inputs!$B$38&lt;&gt;"pvp",Inputs!$B$43&gt;0))),CHOOSE(ArtifactsInput!$N$36+1,8,9.6,11.2,12.8,14.4,16),0)/100)*(1+IF(AND(IF(ArtifactsInput!$M$32,FALSE,TRUE),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2433=TRUE,F2433,0)/100)*(1+(IF(Skills!A4="EIGHT_LEGS_EASTON",Inputs!$B$17+((C2440=TRUE)*(F2440-Calc!F23))+((C2444=TRUE)*(F2444-Calc!F27))+((IF(AND(Inputs!$B$38&lt;&gt;"pvp",Inputs!$B$43=0),1,IF(IF(Inputs!$B$38="pvp",15,Inputs!$B$43)-(B2455)&lt;=0,1,MAX(0,IF(Inputs!$B$38="pvp",15,Inputs!$B$43)-MAX(5,B2455))/(IF(Inputs!$B$38="pvp",15,Inputs!$B$43)-(B2455))))*(IF(AND(ArtifactsInput!$M$42,((Inputs!$B$9+((C2436=TRUE)*(F2436-Calc!F19))+B2448+(ArtifactsInput!$M$24-ArtifactsInput!$M$24)*CHOOSE(ArtifactsInput!$N$24+1,10,12,14,16,18,20)+IF(ArtifactsInput!$M$10,CHOOSE(ArtifactsInput!$N$10+1,15,18,21,24,27,30)*(IF(Inputs!$B$38="pvp",MIN(15,15)/15,IF(AND(Inputs!$B$38&lt;&gt;"pvp",Inputs!$B$43&gt;0),MIN(15,Inputs!$B$43)/(Inputs!$B$43),0))),0)))&gt;=100),MIN(100,((Inputs!$B$9+((C2436=TRUE)*(F2436-Calc!F19))+B2448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2455)&lt;=0,1,MAX(0,IF(Inputs!$B$38="pvp",15,Inputs!$B$43)-MAX(5,B2455))/(IF(Inputs!$B$38="pvp",15,Inputs!$B$43)-(B2455))))*IF(AND(ArtifactsInput!$M$42,((Inputs!$B$9+((C2436=TRUE)*(F2436-Calc!F19))+B2448+(ArtifactsInput!$M$24-ArtifactsInput!$M$24)*CHOOSE(ArtifactsInput!$N$24+1,10,12,14,16,18,20)+IF(ArtifactsInput!$M$10,CHOOSE(ArtifactsInput!$N$10+1,15,18,21,24,27,30)*(IF(Inputs!$B$38="pvp",MIN(15,15)/15,IF(AND(Inputs!$B$38&lt;&gt;"pvp",Inputs!$B$43&gt;0),MIN(15,Inputs!$B$43)/(Inputs!$B$43),0))),0)))&gt;=100),CHOOSE(ArtifactsInput!$N$42+1,40,48,56,64,72,80),0))))/100)*((1+(((C2434=TRUE)*F2434*5/7)+((C2441=TRUE)*(F2441-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2421)</f>
        <v/>
      </c>
      <c r="L2421">
        <f>K2421*(MIN(Inputs!$B$22+((C2439=TRUE)*(F2439-Calc!F22)),(Inputs!$B$23+0+(IF(ArtifactsInput!$M$15,CHOOSE(ArtifactsInput!$N$15+1,25,30,35,40,45,50)/100*(Inputs!$B$11-Inputs!$B$11),0))))/100+(Inputs!$B$23+0+(IF(ArtifactsInput!$M$15,CHOOSE(ArtifactsInput!$N$15+1,25,30,35,40,45,50)/100*(Inputs!$B$11-Inputs!$B$11),0)))/100)/2</f>
        <v/>
      </c>
      <c r="M2421">
        <f>L2421*(1+(Inputs!$B$10+((C2442=TRUE)*(F2442-Calc!F25))+B2453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21">
        <f>L2421*(1-MIN((Inputs!$B$9+((C2436=TRUE)*(F2436-Calc!F19))+B2448+(ArtifactsInput!$M$24-ArtifactsInput!$M$24)*CHOOSE(ArtifactsInput!$N$24+1,10,12,14,16,18,20)+(IF(AND(Inputs!$B$38&lt;&gt;"pvp",Inputs!$B$43=0),1,IF(IF(Inputs!$B$38="pvp",15,Inputs!$B$43)-(B2455)&lt;=0,1,MAX(0,IF(Inputs!$B$38="pvp",15,Inputs!$B$43)-MAX(5,B2455))/(IF(Inputs!$B$38="pvp",15,Inputs!$B$43)-(B2455))))*IF(AND(ArtifactsInput!$M$42,((Inputs!$B$9+((C2436=TRUE)*(F2436-Calc!F19))+B2448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2421*(MIN((Inputs!$B$9+((C2436=TRUE)*(F2436-Calc!F19))+B2448+(ArtifactsInput!$M$24-ArtifactsInput!$M$24)*CHOOSE(ArtifactsInput!$N$24+1,10,12,14,16,18,20)+(IF(AND(Inputs!$B$38&lt;&gt;"pvp",Inputs!$B$43=0),1,IF(IF(Inputs!$B$38="pvp",15,Inputs!$B$43)-(B2455)&lt;=0,1,MAX(0,IF(Inputs!$B$38="pvp",15,Inputs!$B$43)-MAX(5,B2455))/(IF(Inputs!$B$38="pvp",15,Inputs!$B$43)-(B2455))))*IF(AND(ArtifactsInput!$M$42,((Inputs!$B$9+((C2436=TRUE)*(F2436-Calc!F19))+B2448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21">
        <f>(1-Summary!$B$11)*T2421+Summary!$B$11*V2421</f>
        <v/>
      </c>
      <c r="P2421">
        <f>IF(B2458=0,0,O2421/B2458)</f>
        <v/>
      </c>
      <c r="Q2421">
        <f>IFERROR(1/(IF(Inputs!$B$38="pvp",15,MAX(0.1,Skills!D4-IF(TRUE=TRUE,Inputs!$B$32,0)))*(1-IF(AND(ArtifactsInput!$M$27,Inputs!$B$4="Chapter Hunt"),CHOOSE(ArtifactsInput!$N$27+1,20,24,28,32,36,40),0)/100)),0)</f>
        <v/>
      </c>
      <c r="R2421">
        <f>IF(AND(Inputs!$B$38&lt;&gt;"pvp",Inputs!$B$43&gt;0),IF(MAX(0,Inputs!$B$43-B2455)&lt;=0,0,(INT(MAX(0,Inputs!$B$43-B2455)/(IF(Inputs!$B$38="pvp",15,MAX(0.1,Skills!D4-IF(TRUE=TRUE,Inputs!$B$32,0)))*(1-IF(AND(ArtifactsInput!$M$27,Inputs!$B$4="Chapter Hunt"),CHOOSE(ArtifactsInput!$N$27+1,20,24,28,32,36,40),0)/100)))+1)),0)</f>
        <v/>
      </c>
      <c r="S2421">
        <f>IFERROR(O2421/N2421,0)</f>
        <v/>
      </c>
      <c r="T2421">
        <f>IF(C2421,(H2421*N2421*IF(AND(Inputs!$B$38&lt;&gt;"pvp",Inputs!$B$43&gt;0),((Skills!G4*((R2421-1)*IF(Skills!H4&gt;0,INT(IF(Inputs!$B$3&gt;=104,MIN(35,20*(1+Inputs!$B$34/100)),20)/Skills!H4+0.000000001),1)+IF(Skills!H4&gt;0,INT(MIN(IF(Inputs!$B$3&gt;=104,MIN(35,20*(1+Inputs!$B$34/100)),20),MAX(0,MAX(0,Inputs!$B$43-B2455)-((R2421-1)*(IF(Inputs!$B$38="pvp",15,MAX(0.1,Skills!D4-IF(TRUE=TRUE,Inputs!$B$32,0)))*(1-IF(AND(ArtifactsInput!$M$27,Inputs!$B$4="Chapter Hunt"),CHOOSE(ArtifactsInput!$N$27+1,20,24,28,32,36,40),0)/100)))))/Skills!H4+0.000000001),1)))/Inputs!$B$43),G2421*Q2421))*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Hunt"),CHOOSE(ArtifactsInput!$N$35+1,15,18,21,24,27,30)*(1-EXP(-(0.2*B2450)*5)),0)+IF(AND(ArtifactsInput!$M$22,Inputs!$B$4&lt;&gt;"Chapter Hunt"),CHOOSE(ArtifactsInput!$N$22+1,10,12,14,16,18,20)*((0*(((0.15*B2450*5))^0/1)+1*(((0.15*B2450*5))^1/1)+2*(((0.15*B2450*5))^2/2)+3*(((0.15*B2450*5))^3/6)+4*(((0.15*B2450*5))^4/24)+5*(((0.15*B2450*5))^5/120))/((((0.15*B2450*5))^0/1)+(((0.15*B2450*5))^1/1)+(((0.15*B2450*5))^2/2)+(((0.15*B2450*5))^3/6)+(((0.15*B2450*5))^4/24)+(((0.15*B2450*5))^5/120))),0))+IF(Inputs!$B$3&gt;=54,9*(C2420=TRUE)*MIN(1,8*(1+Inputs!$B$34/100)*Q2420)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2421*(1-MIN(100,(Inputs!$B$9+((C2436=TRUE)*(F2436-Calc!F19))+B2448+(ArtifactsInput!$M$24-ArtifactsInput!$M$24)*CHOOSE(ArtifactsInput!$N$24+1,10,12,14,16,18,20)+(IF(AND(Inputs!$B$38&lt;&gt;"pvp",Inputs!$B$43=0),1,IF(IF(Inputs!$B$38="pvp",15,Inputs!$B$43)-(B2455)&lt;=0,1,MAX(0,IF(Inputs!$B$38="pvp",15,Inputs!$B$43)-MAX(5,B2455))/(IF(Inputs!$B$38="pvp",15,Inputs!$B$43)-(B2455))))*IF(AND(ArtifactsInput!$M$42,((Inputs!$B$9+((C2436=TRUE)*(F2436-Calc!F19))+B2448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2421*(MIN(100,(Inputs!$B$9+((C2436=TRUE)*(F2436-Calc!F19))+B2448+(ArtifactsInput!$M$24-ArtifactsInput!$M$24)*CHOOSE(ArtifactsInput!$N$24+1,10,12,14,16,18,20)+(IF(AND(Inputs!$B$38&lt;&gt;"pvp",Inputs!$B$43=0),1,IF(IF(Inputs!$B$38="pvp",15,Inputs!$B$43)-(B2455)&lt;=0,1,MAX(0,IF(Inputs!$B$38="pvp",15,Inputs!$B$43)-MAX(5,B2455))/(IF(Inputs!$B$38="pvp",15,Inputs!$B$43)-(B2455))))*IF(AND(ArtifactsInput!$M$42,((Inputs!$B$9+((C2436=TRUE)*(F2436-Calc!F19))+B2448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2421*(1-MIN(100,(Inputs!$B$9+((C2436=TRUE)*(F2436-Calc!F19))+B2448+(ArtifactsInput!$M$24-ArtifactsInput!$M$24)*CHOOSE(ArtifactsInput!$N$24+1,10,12,14,16,18,20)+(IF(AND(Inputs!$B$38&lt;&gt;"pvp",Inputs!$B$43=0),1,IF(IF(Inputs!$B$38="pvp",15,Inputs!$B$43)-(B2455)&lt;=0,1,MAX(0,IF(Inputs!$B$38="pvp",15,Inputs!$B$43)-MAX(5,B2455))/(IF(Inputs!$B$38="pvp",15,Inputs!$B$43)-(B2455))))*IF(AND(ArtifactsInput!$M$42,((Inputs!$B$9+((C2436=TRUE)*(F2436-Calc!F19))+B2448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2421*(MIN(100,(Inputs!$B$9+((C2436=TRUE)*(F2436-Calc!F19))+B2448+(ArtifactsInput!$M$24-ArtifactsInput!$M$24)*CHOOSE(ArtifactsInput!$N$24+1,10,12,14,16,18,20)+(IF(AND(Inputs!$B$38&lt;&gt;"pvp",Inputs!$B$43=0),1,IF(IF(Inputs!$B$38="pvp",15,Inputs!$B$43)-(B2455)&lt;=0,1,MAX(0,IF(Inputs!$B$38="pvp",15,Inputs!$B$43)-MAX(5,B2455))/(IF(Inputs!$B$38="pvp",15,Inputs!$B$43)-(B2455))))*IF(AND(ArtifactsInput!$M$42,((Inputs!$B$9+((C2436=TRUE)*(F2436-Calc!F19))+B2448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421">
        <f>290*U2420/1000</f>
        <v/>
      </c>
      <c r="V2421">
        <f>IF(C2421,(H2421*N2421*IF(AND(Inputs!$B$38&lt;&gt;"pvp",Inputs!$B$43&gt;0),((Skills!G4*((R2421-1)*IF(Skills!H4&gt;0,INT(IF(Inputs!$B$3&gt;=104,MIN(35,20*(1+Inputs!$B$34/100)),20)/Skills!H4+0.000000001),1)+IF(Skills!H4&gt;0,INT(MIN(IF(Inputs!$B$3&gt;=104,MIN(35,20*(1+Inputs!$B$34/100)),20),MAX(0,MAX(0,Inputs!$B$43-B2455)-((R2421-1)*(IF(Inputs!$B$38="pvp",15,MAX(0.1,Skills!D4-IF(TRUE=TRUE,Inputs!$B$32,0)))*(1-IF(AND(ArtifactsInput!$M$27,Inputs!$B$4="Chapter Hunt"),CHOOSE(ArtifactsInput!$N$27+1,20,24,28,32,36,40),0)/100)))))/Skills!H4+0.000000001),1)))/Inputs!$B$43),G2421*Q2421))*IF(Inputs!$B$38="pvp",1,(1+(Inputs!$B$21+Skills!Q4+(IF(ArtifactsInput!$M$33,CHOOSE(ArtifactsInput!$N$33+1,30,36,42,48,54,60),0))+(IF(AND(ArtifactsInput!$M$35,Inputs!$B$4&lt;&gt;"Chapter Hunt"),CHOOSE(ArtifactsInput!$N$35+1,15,18,21,24,27,30)*(1-EXP(-(0.2*B2450)*5)),0)+IF(AND(ArtifactsInput!$M$22,Inputs!$B$4&lt;&gt;"Chapter Hunt"),CHOOSE(ArtifactsInput!$N$22+1,10,12,14,16,18,20)*((0*(((0.15*B2450*5))^0/1)+1*(((0.15*B2450*5))^1/1)+2*(((0.15*B2450*5))^2/2)+3*(((0.15*B2450*5))^3/6)+4*(((0.15*B2450*5))^4/24)+5*(((0.15*B2450*5))^5/120))/((((0.15*B2450*5))^0/1)+(((0.15*B2450*5))^1/1)+(((0.15*B2450*5))^2/2)+(((0.15*B2450*5))^3/6)+(((0.15*B2450*5))^4/24)+(((0.15*B2450*5))^5/120))),0))+IF(Inputs!$B$3&gt;=54,9*(C2420=TRUE)*MIN(1,8*(1+Inputs!$B$34/100)*Q2420),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22">
      <c r="A2422">
        <f>Skills!A5</f>
        <v/>
      </c>
      <c r="B2422">
        <f>Skills!B5</f>
        <v/>
      </c>
      <c r="C2422">
        <f>Inputs!$B$3&gt;=69</f>
        <v/>
      </c>
      <c r="D2422">
        <f>IF(Skills!C5=1,60+Inputs!$B$25+Inputs!$B$29,IF(Skills!C5=2,90+Inputs!$B$26+Inputs!$B$29,IF(Skills!C5=3,120+Inputs!$B$27+Inputs!$B$29,MAX(0,(Inputs!$B$3-100)*3)+Inputs!$B$28+Inputs!$B$29)))</f>
        <v/>
      </c>
      <c r="E2422">
        <f>INDEX(FactorTable!$B$2:$Y$301, MATCH(ROUND(MIN(300,MAX(1,D2422)),0), FactorTable!$A$2:$A$301,0), Skills!M5+1)</f>
        <v/>
      </c>
      <c r="F2422">
        <f>IF(Skills!N5=TRUE,(Skills!L5/10)*(E2422/1000),Skills!L5/10)+Skills!O5</f>
        <v/>
      </c>
      <c r="G2422">
        <f>Skills!G5*IF(Skills!H5&gt;0,INT(IF(Inputs!$B$38="pvp",MIN(IF(Inputs!$B$3&gt;=104,MIN(35,20*(1+Inputs!$B$34/100)),20),15),IF(Inputs!$B$3&gt;=104,MIN(35,20*(1+Inputs!$B$34/100)),20))/Skills!H5+0.000000001),1)</f>
        <v/>
      </c>
      <c r="H2422">
        <f>1-(1-Skills!J5/100)^Skills!K5</f>
        <v/>
      </c>
      <c r="I2422" t="inlineStr">
        <is>
          <t>1</t>
        </is>
      </c>
      <c r="J2422">
        <f>((Inputs!$B$6*(1+Inputs!$B$7/100))+(((Inputs!$B$12*(1+Inputs!$B$13/100))-(Inputs!$B$12*(1+Inputs!$B$13/100)))+0.25*(Inputs!$B$14-Inputs!$B$14))*(1+Inputs!$B$7/100))*(F2422/100)</f>
        <v/>
      </c>
      <c r="K2422">
        <f>J2422*(1+((Inputs!$B$12*(1+Inputs!$B$13/100))*0.01+Inputs!$B$14*0.0025)/100)*(1+Inputs!$B$15/100)*(1+Inputs!$B$16/100)*(5000/(6000+Inputs!$B$42*(1-(100*(1-(1-(Inputs!$B$19+0)/100)*(1-CHOOSE(ArtifactsInput!$N$40+1,5,6,7,8,9,10)/100)^(ArtifactsInput!$M$40-ArtifactsInput!$M$40)))/100)))*(1+(Inputs!$B$24+((C2443=TRUE)*(F2443-Calc!F26))+B2454)/100)*(1+(((1+IF(AND(ArtifactsInput!$M$36,IF(Inputs!$B$38="pvp",TRUE,AND(Inputs!$B$38&lt;&gt;"pvp",Inputs!$B$43&gt;0))),CHOOSE(ArtifactsInput!$N$36+1,8,9.6,11.2,12.8,14.4,16),0)/100)*(1+IF(AND(IF(ArtifactsInput!$M$32,FALSE,TRUE),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+0.4*IF(C2433=TRUE,F2433,0)/100)*(1+(IF(Skills!A5="EIGHT_LEGS_EASTON",Inputs!$B$17+((C2440=TRUE)*(F2440-Calc!F23))+((C2444=TRUE)*(F2444-Calc!F27))+((IF(AND(Inputs!$B$38&lt;&gt;"pvp",Inputs!$B$43=0),1,IF(IF(Inputs!$B$38="pvp",15,Inputs!$B$43)-(B2455)&lt;=0,1,MAX(0,IF(Inputs!$B$38="pvp",15,Inputs!$B$43)-MAX(5,B2455))/(IF(Inputs!$B$38="pvp",15,Inputs!$B$43)-(B2455))))*(IF(AND(ArtifactsInput!$M$42,((Inputs!$B$9+((C2436=TRUE)*(F2436-Calc!F19))+B2448+(ArtifactsInput!$M$24-ArtifactsInput!$M$24)*CHOOSE(ArtifactsInput!$N$24+1,10,12,14,16,18,20)+IF(ArtifactsInput!$M$10,CHOOSE(ArtifactsInput!$N$10+1,15,18,21,24,27,30)*(IF(Inputs!$B$38="pvp",MIN(15,15)/15,IF(AND(Inputs!$B$38&lt;&gt;"pvp",Inputs!$B$43&gt;0),MIN(15,Inputs!$B$43)/(Inputs!$B$43),0))),0)))&gt;=100),MIN(100,((Inputs!$B$9+((C2436=TRUE)*(F2436-Calc!F19))+B2448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2455)&lt;=0,1,MAX(0,IF(Inputs!$B$38="pvp",15,Inputs!$B$43)-MAX(5,B2455))/(IF(Inputs!$B$38="pvp",15,Inputs!$B$43)-(B2455))))*IF(AND(ArtifactsInput!$M$42,((Inputs!$B$9+((C2436=TRUE)*(F2436-Calc!F19))+B2448+(ArtifactsInput!$M$24-ArtifactsInput!$M$24)*CHOOSE(ArtifactsInput!$N$24+1,10,12,14,16,18,20)+IF(ArtifactsInput!$M$10,CHOOSE(ArtifactsInput!$N$10+1,15,18,21,24,27,30)*(IF(Inputs!$B$38="pvp",MIN(15,15)/15,IF(AND(Inputs!$B$38&lt;&gt;"pvp",Inputs!$B$43&gt;0),MIN(15,Inputs!$B$43)/(Inputs!$B$43),0))),0)))&gt;=100),CHOOSE(ArtifactsInput!$N$42+1,40,48,56,64,72,80),0))))/100)*((1+(((C2434=TRUE)*F2434*5/7)+((C2441=TRUE)*(F2441-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2422)</f>
        <v/>
      </c>
      <c r="L2422">
        <f>K2422*(MIN(Inputs!$B$22+((C2439=TRUE)*(F2439-Calc!F22)),(Inputs!$B$23+0+(IF(ArtifactsInput!$M$15,CHOOSE(ArtifactsInput!$N$15+1,25,30,35,40,45,50)/100*(Inputs!$B$11-Inputs!$B$11),0))))/100+(Inputs!$B$23+0+(IF(ArtifactsInput!$M$15,CHOOSE(ArtifactsInput!$N$15+1,25,30,35,40,45,50)/100*(Inputs!$B$11-Inputs!$B$11),0)))/100)/2</f>
        <v/>
      </c>
      <c r="M2422">
        <f>L2422*(1+(Inputs!$B$10+((C2442=TRUE)*(F2442-Calc!F25))+B2453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22">
        <f>L2422*(1-MIN((Inputs!$B$9+((C2436=TRUE)*(F2436-Calc!F19))+B2448+(ArtifactsInput!$M$24-ArtifactsInput!$M$24)*CHOOSE(ArtifactsInput!$N$24+1,10,12,14,16,18,20)+(IF(AND(Inputs!$B$38&lt;&gt;"pvp",Inputs!$B$43=0),1,IF(IF(Inputs!$B$38="pvp",15,Inputs!$B$43)-(B2455)&lt;=0,1,MAX(0,IF(Inputs!$B$38="pvp",15,Inputs!$B$43)-MAX(5,B2455))/(IF(Inputs!$B$38="pvp",15,Inputs!$B$43)-(B2455))))*IF(AND(ArtifactsInput!$M$42,((Inputs!$B$9+((C2436=TRUE)*(F2436-Calc!F19))+B2448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2422*(MIN((Inputs!$B$9+((C2436=TRUE)*(F2436-Calc!F19))+B2448+(ArtifactsInput!$M$24-ArtifactsInput!$M$24)*CHOOSE(ArtifactsInput!$N$24+1,10,12,14,16,18,20)+(IF(AND(Inputs!$B$38&lt;&gt;"pvp",Inputs!$B$43=0),1,IF(IF(Inputs!$B$38="pvp",15,Inputs!$B$43)-(B2455)&lt;=0,1,MAX(0,IF(Inputs!$B$38="pvp",15,Inputs!$B$43)-MAX(5,B2455))/(IF(Inputs!$B$38="pvp",15,Inputs!$B$43)-(B2455))))*IF(AND(ArtifactsInput!$M$42,((Inputs!$B$9+((C2436=TRUE)*(F2436-Calc!F19))+B2448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22">
        <f>(1-Summary!$B$11)*T2422+Summary!$B$11*V2422</f>
        <v/>
      </c>
      <c r="P2422">
        <f>IF(B2458=0,0,O2422/B2458)</f>
        <v/>
      </c>
      <c r="Q2422">
        <f>IFERROR(1/(IF(Inputs!$B$38="pvp",15,MAX(0.1,Skills!D5-IF(TRUE=TRUE,Inputs!$B$32,0)))*(1-IF(AND(ArtifactsInput!$M$27,Inputs!$B$4="Chapter Hunt"),CHOOSE(ArtifactsInput!$N$27+1,20,24,28,32,36,40),0)/100)),0)</f>
        <v/>
      </c>
      <c r="R2422">
        <f>IF(AND(Inputs!$B$38&lt;&gt;"pvp",Inputs!$B$43&gt;0),IF(MAX(0,Inputs!$B$43-B2455)&lt;=0,0,(INT(MAX(0,Inputs!$B$43-B2455)/(IF(Inputs!$B$38="pvp",15,MAX(0.1,Skills!D5-IF(TRUE=TRUE,Inputs!$B$32,0)))*(1-IF(AND(ArtifactsInput!$M$27,Inputs!$B$4="Chapter Hunt"),CHOOSE(ArtifactsInput!$N$27+1,20,24,28,32,36,40),0)/100)))+1)),0)</f>
        <v/>
      </c>
      <c r="S2422">
        <f>IFERROR(O2422/N2422,0)</f>
        <v/>
      </c>
      <c r="T2422">
        <f>IF(C2422,(H2422*N2422*IF(AND(Inputs!$B$38&lt;&gt;"pvp",Inputs!$B$43&gt;0),((Skills!G5*((R2422-1)*IF(Skills!H5&gt;0,INT(IF(Inputs!$B$3&gt;=104,MIN(35,20*(1+Inputs!$B$34/100)),20)/Skills!H5+0.000000001),1)+IF(Skills!H5&gt;0,INT(MIN(IF(Inputs!$B$3&gt;=104,MIN(35,20*(1+Inputs!$B$34/100)),20),MAX(0,MAX(0,Inputs!$B$43-B2455)-((R2422-1)*(IF(Inputs!$B$38="pvp",15,MAX(0.1,Skills!D5-IF(TRUE=TRUE,Inputs!$B$32,0)))*(1-IF(AND(ArtifactsInput!$M$27,Inputs!$B$4="Chapter Hunt"),CHOOSE(ArtifactsInput!$N$27+1,20,24,28,32,36,40),0)/100)))))/Skills!H5+0.000000001),1)))/Inputs!$B$43),G2422*Q2422))*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Hunt"),CHOOSE(ArtifactsInput!$N$35+1,15,18,21,24,27,30)*(1-EXP(-(0.2*B2450)*5)),0)+IF(AND(ArtifactsInput!$M$22,Inputs!$B$4&lt;&gt;"Chapter Hunt"),CHOOSE(ArtifactsInput!$N$22+1,10,12,14,16,18,20)*((0*(((0.15*B2450*5))^0/1)+1*(((0.15*B2450*5))^1/1)+2*(((0.15*B2450*5))^2/2)+3*(((0.15*B2450*5))^3/6)+4*(((0.15*B2450*5))^4/24)+5*(((0.15*B2450*5))^5/120))/((((0.15*B2450*5))^0/1)+(((0.15*B2450*5))^1/1)+(((0.15*B2450*5))^2/2)+(((0.15*B2450*5))^3/6)+(((0.15*B2450*5))^4/24)+(((0.15*B2450*5))^5/120))),0))+IF(Inputs!$B$3&gt;=54,9*(C2420=TRUE)*MIN(1,8*(1+Inputs!$B$34/100)*Q2420)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2422*(1-MIN(100,(Inputs!$B$9+((C2436=TRUE)*(F2436-Calc!F19))+B2448+(ArtifactsInput!$M$24-ArtifactsInput!$M$24)*CHOOSE(ArtifactsInput!$N$24+1,10,12,14,16,18,20)+(IF(AND(Inputs!$B$38&lt;&gt;"pvp",Inputs!$B$43=0),1,IF(IF(Inputs!$B$38="pvp",15,Inputs!$B$43)-(B2455)&lt;=0,1,MAX(0,IF(Inputs!$B$38="pvp",15,Inputs!$B$43)-MAX(5,B2455))/(IF(Inputs!$B$38="pvp",15,Inputs!$B$43)-(B2455))))*IF(AND(ArtifactsInput!$M$42,((Inputs!$B$9+((C2436=TRUE)*(F2436-Calc!F19))+B2448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2422*(MIN(100,(Inputs!$B$9+((C2436=TRUE)*(F2436-Calc!F19))+B2448+(ArtifactsInput!$M$24-ArtifactsInput!$M$24)*CHOOSE(ArtifactsInput!$N$24+1,10,12,14,16,18,20)+(IF(AND(Inputs!$B$38&lt;&gt;"pvp",Inputs!$B$43=0),1,IF(IF(Inputs!$B$38="pvp",15,Inputs!$B$43)-(B2455)&lt;=0,1,MAX(0,IF(Inputs!$B$38="pvp",15,Inputs!$B$43)-MAX(5,B2455))/(IF(Inputs!$B$38="pvp",15,Inputs!$B$43)-(B2455))))*IF(AND(ArtifactsInput!$M$42,((Inputs!$B$9+((C2436=TRUE)*(F2436-Calc!F19))+B2448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2422*(1-MIN(100,(Inputs!$B$9+((C2436=TRUE)*(F2436-Calc!F19))+B2448+(ArtifactsInput!$M$24-ArtifactsInput!$M$24)*CHOOSE(ArtifactsInput!$N$24+1,10,12,14,16,18,20)+(IF(AND(Inputs!$B$38&lt;&gt;"pvp",Inputs!$B$43=0),1,IF(IF(Inputs!$B$38="pvp",15,Inputs!$B$43)-(B2455)&lt;=0,1,MAX(0,IF(Inputs!$B$38="pvp",15,Inputs!$B$43)-MAX(5,B2455))/(IF(Inputs!$B$38="pvp",15,Inputs!$B$43)-(B2455))))*IF(AND(ArtifactsInput!$M$42,((Inputs!$B$9+((C2436=TRUE)*(F2436-Calc!F19))+B2448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2422*(MIN(100,(Inputs!$B$9+((C2436=TRUE)*(F2436-Calc!F19))+B2448+(ArtifactsInput!$M$24-ArtifactsInput!$M$24)*CHOOSE(ArtifactsInput!$N$24+1,10,12,14,16,18,20)+(IF(AND(Inputs!$B$38&lt;&gt;"pvp",Inputs!$B$43=0),1,IF(IF(Inputs!$B$38="pvp",15,Inputs!$B$43)-(B2455)&lt;=0,1,MAX(0,IF(Inputs!$B$38="pvp",15,Inputs!$B$43)-MAX(5,B2455))/(IF(Inputs!$B$38="pvp",15,Inputs!$B$43)-(B2455))))*IF(AND(ArtifactsInput!$M$42,((Inputs!$B$9+((C2436=TRUE)*(F2436-Calc!F19))+B2448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422">
        <f>IF(C2422,(H2422*N2422*IF(AND(Inputs!$B$38&lt;&gt;"pvp",Inputs!$B$43&gt;0),((Skills!G5*((R2422-1)*IF(Skills!H5&gt;0,INT(IF(Inputs!$B$3&gt;=104,MIN(35,20*(1+Inputs!$B$34/100)),20)/Skills!H5+0.000000001),1)+IF(Skills!H5&gt;0,INT(MIN(IF(Inputs!$B$3&gt;=104,MIN(35,20*(1+Inputs!$B$34/100)),20),MAX(0,MAX(0,Inputs!$B$43-B2455)-((R2422-1)*(IF(Inputs!$B$38="pvp",15,MAX(0.1,Skills!D5-IF(TRUE=TRUE,Inputs!$B$32,0)))*(1-IF(AND(ArtifactsInput!$M$27,Inputs!$B$4="Chapter Hunt"),CHOOSE(ArtifactsInput!$N$27+1,20,24,28,32,36,40),0)/100)))))/Skills!H5+0.000000001),1)))/Inputs!$B$43),G2422*Q2422))*IF(Inputs!$B$38="pvp",1,(1+(Inputs!$B$21+Skills!Q5+(IF(ArtifactsInput!$M$33,CHOOSE(ArtifactsInput!$N$33+1,30,36,42,48,54,60),0))+(IF(AND(ArtifactsInput!$M$35,Inputs!$B$4&lt;&gt;"Chapter Hunt"),CHOOSE(ArtifactsInput!$N$35+1,15,18,21,24,27,30)*(1-EXP(-(0.2*B2450)*5)),0)+IF(AND(ArtifactsInput!$M$22,Inputs!$B$4&lt;&gt;"Chapter Hunt"),CHOOSE(ArtifactsInput!$N$22+1,10,12,14,16,18,20)*((0*(((0.15*B2450*5))^0/1)+1*(((0.15*B2450*5))^1/1)+2*(((0.15*B2450*5))^2/2)+3*(((0.15*B2450*5))^3/6)+4*(((0.15*B2450*5))^4/24)+5*(((0.15*B2450*5))^5/120))/((((0.15*B2450*5))^0/1)+(((0.15*B2450*5))^1/1)+(((0.15*B2450*5))^2/2)+(((0.15*B2450*5))^3/6)+(((0.15*B2450*5))^4/24)+(((0.15*B2450*5))^5/120))),0))+IF(Inputs!$B$3&gt;=54,9*(C2420=TRUE)*MIN(1,8*(1+Inputs!$B$34/100)*Q2420)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23">
      <c r="A2423">
        <f>Skills!A6</f>
        <v/>
      </c>
      <c r="B2423">
        <f>Skills!B6</f>
        <v/>
      </c>
      <c r="C2423">
        <f>Inputs!$B$3&gt;=66</f>
        <v/>
      </c>
      <c r="D2423">
        <f>IF(Skills!C6=1,60+Inputs!$B$25+Inputs!$B$29,IF(Skills!C6=2,90+Inputs!$B$26+Inputs!$B$29,IF(Skills!C6=3,120+Inputs!$B$27+Inputs!$B$29,MAX(0,(Inputs!$B$3-100)*3)+Inputs!$B$28+Inputs!$B$29)))</f>
        <v/>
      </c>
      <c r="E2423">
        <f>INDEX(FactorTable!$B$2:$Y$301, MATCH(ROUND(MIN(300,MAX(1,D2423)),0), FactorTable!$A$2:$A$301,0), Skills!M6+1)</f>
        <v/>
      </c>
      <c r="F2423">
        <f>IF(Skills!N6=TRUE,(Skills!L6/10)*(E2423/1000),Skills!L6/10)+Skills!O6</f>
        <v/>
      </c>
      <c r="G2423">
        <f>Skills!G6*IF(Skills!H6&gt;0,INT(IF(Inputs!$B$38="pvp",MIN(Skills!I6,15),Skills!I6)/Skills!H6+0.000000001),1)</f>
        <v/>
      </c>
      <c r="H2423">
        <f>1-(1-Skills!J6/100)^Skills!K6</f>
        <v/>
      </c>
      <c r="I2423" t="inlineStr">
        <is>
          <t>1</t>
        </is>
      </c>
      <c r="J2423">
        <f>((Inputs!$B$6*(1+Inputs!$B$7/100))+(((Inputs!$B$12*(1+Inputs!$B$13/100))-(Inputs!$B$12*(1+Inputs!$B$13/100)))+0.25*(Inputs!$B$14-Inputs!$B$14))*(1+Inputs!$B$7/100))*(F2423/100)</f>
        <v/>
      </c>
      <c r="K2423">
        <f>J2423*(1+((Inputs!$B$12*(1+Inputs!$B$13/100))*0.01+Inputs!$B$14*0.0025)/100)*(1+Inputs!$B$15/100)*(1+Inputs!$B$16/100)*(5000/(6000+Inputs!$B$42*(1-(100*(1-(1-(Inputs!$B$19+0)/100)*(1-CHOOSE(ArtifactsInput!$N$40+1,5,6,7,8,9,10)/100)^(ArtifactsInput!$M$40-ArtifactsInput!$M$40)))/100)))*(1+(Inputs!$B$24+((C2443=TRUE)*(F2443-Calc!F26))+B2454)/100)*(1+(((1+IF(AND(ArtifactsInput!$M$36,IF(Inputs!$B$38="pvp",TRUE,AND(Inputs!$B$38&lt;&gt;"pvp",Inputs!$B$43&gt;0))),CHOOSE(ArtifactsInput!$N$36+1,8,9.6,11.2,12.8,14.4,16),0)/100)*(1+IF(AND(IF(ArtifactsInput!$M$32,FALSE,TRUE),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+2.0*IF(C2432=TRUE,F2432,0)/100)*(1+(IF(Skills!A6="EIGHT_LEGS_EASTON",Inputs!$B$17+((C2440=TRUE)*(F2440-Calc!F23))+((C2444=TRUE)*(F2444-Calc!F27))+((IF(AND(Inputs!$B$38&lt;&gt;"pvp",Inputs!$B$43=0),1,IF(IF(Inputs!$B$38="pvp",15,Inputs!$B$43)-(B2455)&lt;=0,1,MAX(0,IF(Inputs!$B$38="pvp",15,Inputs!$B$43)-MAX(5,B2455))/(IF(Inputs!$B$38="pvp",15,Inputs!$B$43)-(B2455))))*(IF(AND(ArtifactsInput!$M$42,((Inputs!$B$9+((C2436=TRUE)*(F2436-Calc!F19))+B2448+(ArtifactsInput!$M$24-ArtifactsInput!$M$24)*CHOOSE(ArtifactsInput!$N$24+1,10,12,14,16,18,20)+IF(ArtifactsInput!$M$10,CHOOSE(ArtifactsInput!$N$10+1,15,18,21,24,27,30)*(IF(Inputs!$B$38="pvp",MIN(15,15)/15,IF(AND(Inputs!$B$38&lt;&gt;"pvp",Inputs!$B$43&gt;0),MIN(15,Inputs!$B$43)/(Inputs!$B$43),0))),0)))&gt;=100),MIN(100,((Inputs!$B$9+((C2436=TRUE)*(F2436-Calc!F19))+B2448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2455)&lt;=0,1,MAX(0,IF(Inputs!$B$38="pvp",15,Inputs!$B$43)-MAX(5,B2455))/(IF(Inputs!$B$38="pvp",15,Inputs!$B$43)-(B2455))))*IF(AND(ArtifactsInput!$M$42,((Inputs!$B$9+((C2436=TRUE)*(F2436-Calc!F19))+B2448+(ArtifactsInput!$M$24-ArtifactsInput!$M$24)*CHOOSE(ArtifactsInput!$N$24+1,10,12,14,16,18,20)+IF(ArtifactsInput!$M$10,CHOOSE(ArtifactsInput!$N$10+1,15,18,21,24,27,30)*(IF(Inputs!$B$38="pvp",MIN(15,15)/15,IF(AND(Inputs!$B$38&lt;&gt;"pvp",Inputs!$B$43&gt;0),MIN(15,Inputs!$B$43)/(Inputs!$B$43),0))),0)))&gt;=100),CHOOSE(ArtifactsInput!$N$42+1,40,48,56,64,72,80),0))))/100)*((1+(((C2434=TRUE)*F2434*5/7)+((C2441=TRUE)*(F2441-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2423)</f>
        <v/>
      </c>
      <c r="L2423">
        <f>K2423*(MIN(Inputs!$B$22+((C2439=TRUE)*(F2439-Calc!F22)),(Inputs!$B$23+0+(IF(ArtifactsInput!$M$15,CHOOSE(ArtifactsInput!$N$15+1,25,30,35,40,45,50)/100*(Inputs!$B$11-Inputs!$B$11),0))))/100+(Inputs!$B$23+0+(IF(ArtifactsInput!$M$15,CHOOSE(ArtifactsInput!$N$15+1,25,30,35,40,45,50)/100*(Inputs!$B$11-Inputs!$B$11),0)))/100)/2</f>
        <v/>
      </c>
      <c r="M2423">
        <f>L2423*(1+(Inputs!$B$10+((C2442=TRUE)*(F2442-Calc!F25))+B2453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23">
        <f>L2423*(1-MIN((Inputs!$B$9+((C2436=TRUE)*(F2436-Calc!F19))+B2448+(ArtifactsInput!$M$24-ArtifactsInput!$M$24)*CHOOSE(ArtifactsInput!$N$24+1,10,12,14,16,18,20)+(IF(AND(Inputs!$B$38&lt;&gt;"pvp",Inputs!$B$43=0),1,IF(IF(Inputs!$B$38="pvp",15,Inputs!$B$43)-(B2455)&lt;=0,1,MAX(0,IF(Inputs!$B$38="pvp",15,Inputs!$B$43)-MAX(5,B2455))/(IF(Inputs!$B$38="pvp",15,Inputs!$B$43)-(B2455))))*IF(AND(ArtifactsInput!$M$42,((Inputs!$B$9+((C2436=TRUE)*(F2436-Calc!F19))+B2448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2423*(MIN((Inputs!$B$9+((C2436=TRUE)*(F2436-Calc!F19))+B2448+(ArtifactsInput!$M$24-ArtifactsInput!$M$24)*CHOOSE(ArtifactsInput!$N$24+1,10,12,14,16,18,20)+(IF(AND(Inputs!$B$38&lt;&gt;"pvp",Inputs!$B$43=0),1,IF(IF(Inputs!$B$38="pvp",15,Inputs!$B$43)-(B2455)&lt;=0,1,MAX(0,IF(Inputs!$B$38="pvp",15,Inputs!$B$43)-MAX(5,B2455))/(IF(Inputs!$B$38="pvp",15,Inputs!$B$43)-(B2455))))*IF(AND(ArtifactsInput!$M$42,((Inputs!$B$9+((C2436=TRUE)*(F2436-Calc!F19))+B2448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23">
        <f>(1-Summary!$B$11)*T2423+Summary!$B$11*V2423</f>
        <v/>
      </c>
      <c r="P2423">
        <f>IF(B2458=0,0,O2423/B2458)</f>
        <v/>
      </c>
      <c r="Q2423">
        <f>IFERROR(1/(IF(Inputs!$B$38="pvp",15,MAX(0.1,Skills!D6-IF(TRUE=TRUE,Inputs!$B$32,0)))*(1-IF(AND(ArtifactsInput!$M$27,Inputs!$B$4="Chapter Hunt"),CHOOSE(ArtifactsInput!$N$27+1,20,24,28,32,36,40),0)/100)),0)</f>
        <v/>
      </c>
      <c r="R2423">
        <f>IF(AND(Inputs!$B$38&lt;&gt;"pvp",Inputs!$B$43&gt;0),IF(MAX(0,Inputs!$B$43-B2455)&lt;=0,0,(INT(MAX(0,Inputs!$B$43-B2455)/(IF(Inputs!$B$38="pvp",15,MAX(0.1,Skills!D6-IF(TRUE=TRUE,Inputs!$B$32,0)))*(1-IF(AND(ArtifactsInput!$M$27,Inputs!$B$4="Chapter Hunt"),CHOOSE(ArtifactsInput!$N$27+1,20,24,28,32,36,40),0)/100)))+1)),0)</f>
        <v/>
      </c>
      <c r="S2423">
        <f>IFERROR(O2423/N2423,0)</f>
        <v/>
      </c>
      <c r="T2423">
        <f>IF(C2423,(H2423*N2423*IF(AND(Inputs!$B$38&lt;&gt;"pvp",Inputs!$B$43&gt;0),((Skills!G6*((R2423-1)*IF(Skills!H6&gt;0,INT(Skills!I6/Skills!H6+0.000000001),1)+IF(Skills!H6&gt;0,INT(MIN(Skills!I6,MAX(0,MAX(0,Inputs!$B$43-B2455)-((R2423-1)*(IF(Inputs!$B$38="pvp",15,MAX(0.1,Skills!D6-IF(TRUE=TRUE,Inputs!$B$32,0)))*(1-IF(AND(ArtifactsInput!$M$27,Inputs!$B$4="Chapter Hunt"),CHOOSE(ArtifactsInput!$N$27+1,20,24,28,32,36,40),0)/100)))))/Skills!H6+0.000000001),1)))/Inputs!$B$43),G2423*Q2423))*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Hunt"),CHOOSE(ArtifactsInput!$N$35+1,15,18,21,24,27,30)*(1-EXP(-(0.2*B2450)*5)),0)+IF(AND(ArtifactsInput!$M$22,Inputs!$B$4&lt;&gt;"Chapter Hunt"),CHOOSE(ArtifactsInput!$N$22+1,10,12,14,16,18,20)*((0*(((0.15*B2450*5))^0/1)+1*(((0.15*B2450*5))^1/1)+2*(((0.15*B2450*5))^2/2)+3*(((0.15*B2450*5))^3/6)+4*(((0.15*B2450*5))^4/24)+5*(((0.15*B2450*5))^5/120))/((((0.15*B2450*5))^0/1)+(((0.15*B2450*5))^1/1)+(((0.15*B2450*5))^2/2)+(((0.15*B2450*5))^3/6)+(((0.15*B2450*5))^4/24)+(((0.15*B2450*5))^5/120))),0))+IF(Inputs!$B$3&gt;=54,9*(C2420=TRUE)*MIN(1,8*(1+Inputs!$B$34/100)*Q2420)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2423*(1-MIN(100,(Inputs!$B$9+((C2436=TRUE)*(F2436-Calc!F19))+B2448+(ArtifactsInput!$M$24-ArtifactsInput!$M$24)*CHOOSE(ArtifactsInput!$N$24+1,10,12,14,16,18,20)+(IF(AND(Inputs!$B$38&lt;&gt;"pvp",Inputs!$B$43=0),1,IF(IF(Inputs!$B$38="pvp",15,Inputs!$B$43)-(B2455)&lt;=0,1,MAX(0,IF(Inputs!$B$38="pvp",15,Inputs!$B$43)-MAX(5,B2455))/(IF(Inputs!$B$38="pvp",15,Inputs!$B$43)-(B2455))))*IF(AND(ArtifactsInput!$M$42,((Inputs!$B$9+((C2436=TRUE)*(F2436-Calc!F19))+B2448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2423*(MIN(100,(Inputs!$B$9+((C2436=TRUE)*(F2436-Calc!F19))+B2448+(ArtifactsInput!$M$24-ArtifactsInput!$M$24)*CHOOSE(ArtifactsInput!$N$24+1,10,12,14,16,18,20)+(IF(AND(Inputs!$B$38&lt;&gt;"pvp",Inputs!$B$43=0),1,IF(IF(Inputs!$B$38="pvp",15,Inputs!$B$43)-(B2455)&lt;=0,1,MAX(0,IF(Inputs!$B$38="pvp",15,Inputs!$B$43)-MAX(5,B2455))/(IF(Inputs!$B$38="pvp",15,Inputs!$B$43)-(B2455))))*IF(AND(ArtifactsInput!$M$42,((Inputs!$B$9+((C2436=TRUE)*(F2436-Calc!F19))+B2448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2423*(1-MIN(100,(Inputs!$B$9+((C2436=TRUE)*(F2436-Calc!F19))+B2448+(ArtifactsInput!$M$24-ArtifactsInput!$M$24)*CHOOSE(ArtifactsInput!$N$24+1,10,12,14,16,18,20)+(IF(AND(Inputs!$B$38&lt;&gt;"pvp",Inputs!$B$43=0),1,IF(IF(Inputs!$B$38="pvp",15,Inputs!$B$43)-(B2455)&lt;=0,1,MAX(0,IF(Inputs!$B$38="pvp",15,Inputs!$B$43)-MAX(5,B2455))/(IF(Inputs!$B$38="pvp",15,Inputs!$B$43)-(B2455))))*IF(AND(ArtifactsInput!$M$42,((Inputs!$B$9+((C2436=TRUE)*(F2436-Calc!F19))+B2448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2423*(MIN(100,(Inputs!$B$9+((C2436=TRUE)*(F2436-Calc!F19))+B2448+(ArtifactsInput!$M$24-ArtifactsInput!$M$24)*CHOOSE(ArtifactsInput!$N$24+1,10,12,14,16,18,20)+(IF(AND(Inputs!$B$38&lt;&gt;"pvp",Inputs!$B$43=0),1,IF(IF(Inputs!$B$38="pvp",15,Inputs!$B$43)-(B2455)&lt;=0,1,MAX(0,IF(Inputs!$B$38="pvp",15,Inputs!$B$43)-MAX(5,B2455))/(IF(Inputs!$B$38="pvp",15,Inputs!$B$43)-(B2455))))*IF(AND(ArtifactsInput!$M$42,((Inputs!$B$9+((C2436=TRUE)*(F2436-Calc!F19))+B2448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423">
        <f>IF(C2423,(H2423*N2423*IF(AND(Inputs!$B$38&lt;&gt;"pvp",Inputs!$B$43&gt;0),((Skills!G6*((R2423-1)*IF(Skills!H6&gt;0,INT(Skills!I6/Skills!H6+0.000000001),1)+IF(Skills!H6&gt;0,INT(MIN(Skills!I6,MAX(0,MAX(0,Inputs!$B$43-B2455)-((R2423-1)*(IF(Inputs!$B$38="pvp",15,MAX(0.1,Skills!D6-IF(TRUE=TRUE,Inputs!$B$32,0)))*(1-IF(AND(ArtifactsInput!$M$27,Inputs!$B$4="Chapter Hunt"),CHOOSE(ArtifactsInput!$N$27+1,20,24,28,32,36,40),0)/100)))))/Skills!H6+0.000000001),1)))/Inputs!$B$43),G2423*Q2423))*IF(Inputs!$B$38="pvp",1,(1+(Inputs!$B$21+Skills!Q6+(IF(ArtifactsInput!$M$33,CHOOSE(ArtifactsInput!$N$33+1,30,36,42,48,54,60),0))+(IF(AND(ArtifactsInput!$M$35,Inputs!$B$4&lt;&gt;"Chapter Hunt"),CHOOSE(ArtifactsInput!$N$35+1,15,18,21,24,27,30)*(1-EXP(-(0.2*B2450)*5)),0)+IF(AND(ArtifactsInput!$M$22,Inputs!$B$4&lt;&gt;"Chapter Hunt"),CHOOSE(ArtifactsInput!$N$22+1,10,12,14,16,18,20)*((0*(((0.15*B2450*5))^0/1)+1*(((0.15*B2450*5))^1/1)+2*(((0.15*B2450*5))^2/2)+3*(((0.15*B2450*5))^3/6)+4*(((0.15*B2450*5))^4/24)+5*(((0.15*B2450*5))^5/120))/((((0.15*B2450*5))^0/1)+(((0.15*B2450*5))^1/1)+(((0.15*B2450*5))^2/2)+(((0.15*B2450*5))^3/6)+(((0.15*B2450*5))^4/24)+(((0.15*B2450*5))^5/120))),0))+IF(Inputs!$B$3&gt;=54,9*(C2420=TRUE)*MIN(1,8*(1+Inputs!$B$34/100)*Q2420)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24">
      <c r="A2424">
        <f>Skills!A7</f>
        <v/>
      </c>
      <c r="B2424">
        <f>Skills!B7</f>
        <v/>
      </c>
      <c r="C2424">
        <f>Inputs!$B$3&gt;=63</f>
        <v/>
      </c>
      <c r="D2424">
        <f>IF(Skills!C7=1,60+Inputs!$B$25+Inputs!$B$29,IF(Skills!C7=2,90+Inputs!$B$26+Inputs!$B$29,IF(Skills!C7=3,120+Inputs!$B$27+Inputs!$B$29,MAX(0,(Inputs!$B$3-100)*3)+Inputs!$B$28+Inputs!$B$29)))</f>
        <v/>
      </c>
      <c r="E2424">
        <f>INDEX(FactorTable!$B$2:$Y$301, MATCH(ROUND(MIN(300,MAX(1,D2424)),0), FactorTable!$A$2:$A$301,0), Skills!M7+1)</f>
        <v/>
      </c>
      <c r="F2424">
        <f>IF(Skills!N7=TRUE,(Skills!L7/10)*(E2424/1000),Skills!L7/10)+Skills!O7</f>
        <v/>
      </c>
      <c r="G2424">
        <f>Skills!G7*IF(Skills!H7&gt;0,INT(IF(Inputs!$B$38="pvp",MIN(Skills!I7,15),Skills!I7)/Skills!H7+0.000000001),1)</f>
        <v/>
      </c>
      <c r="H2424">
        <f>1-(1-Skills!J7/100)^Skills!K7</f>
        <v/>
      </c>
      <c r="I2424" t="inlineStr">
        <is>
          <t>1</t>
        </is>
      </c>
      <c r="J2424">
        <f>((Inputs!$B$6*(1+Inputs!$B$7/100))+(((Inputs!$B$12*(1+Inputs!$B$13/100))-(Inputs!$B$12*(1+Inputs!$B$13/100)))+0.25*(Inputs!$B$14-Inputs!$B$14))*(1+Inputs!$B$7/100))*(F2424/100)</f>
        <v/>
      </c>
      <c r="K2424">
        <f>J2424*(1+((Inputs!$B$12*(1+Inputs!$B$13/100))*0.01+Inputs!$B$14*0.0025)/100)*(1+Inputs!$B$15/100)*(1+Inputs!$B$16/100)*(5000/(6000+Inputs!$B$42*(1-(100*(1-(1-(Inputs!$B$19+0)/100)*(1-CHOOSE(ArtifactsInput!$N$40+1,5,6,7,8,9,10)/100)^(ArtifactsInput!$M$40-ArtifactsInput!$M$40)))/100)))*(1+(Inputs!$B$24+((C2443=TRUE)*(F2443-Calc!F26))+B2454)/100)*(1+(((1+IF(AND(ArtifactsInput!$M$36,IF(Inputs!$B$38="pvp",TRUE,AND(Inputs!$B$38&lt;&gt;"pvp",Inputs!$B$43&gt;0))),CHOOSE(ArtifactsInput!$N$36+1,8,9.6,11.2,12.8,14.4,16),0)/100)*(1+IF(AND(IF(ArtifactsInput!$M$32,FALSE,TRUE),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2432=TRUE,F2432,0)/100)*(1+(IF(Skills!A7="EIGHT_LEGS_EASTON",Inputs!$B$17+((C2440=TRUE)*(F2440-Calc!F23))+((C2444=TRUE)*(F2444-Calc!F27))+((IF(AND(Inputs!$B$38&lt;&gt;"pvp",Inputs!$B$43=0),1,IF(IF(Inputs!$B$38="pvp",15,Inputs!$B$43)-(B2455)&lt;=0,1,MAX(0,IF(Inputs!$B$38="pvp",15,Inputs!$B$43)-MAX(5,B2455))/(IF(Inputs!$B$38="pvp",15,Inputs!$B$43)-(B2455))))*(IF(AND(ArtifactsInput!$M$42,((Inputs!$B$9+((C2436=TRUE)*(F2436-Calc!F19))+B2448+(ArtifactsInput!$M$24-ArtifactsInput!$M$24)*CHOOSE(ArtifactsInput!$N$24+1,10,12,14,16,18,20)+IF(ArtifactsInput!$M$10,CHOOSE(ArtifactsInput!$N$10+1,15,18,21,24,27,30)*(IF(Inputs!$B$38="pvp",MIN(15,15)/15,IF(AND(Inputs!$B$38&lt;&gt;"pvp",Inputs!$B$43&gt;0),MIN(15,Inputs!$B$43)/(Inputs!$B$43),0))),0)))&gt;=100),MIN(100,((Inputs!$B$9+((C2436=TRUE)*(F2436-Calc!F19))+B2448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2455)&lt;=0,1,MAX(0,IF(Inputs!$B$38="pvp",15,Inputs!$B$43)-MAX(5,B2455))/(IF(Inputs!$B$38="pvp",15,Inputs!$B$43)-(B2455))))*IF(AND(ArtifactsInput!$M$42,((Inputs!$B$9+((C2436=TRUE)*(F2436-Calc!F19))+B2448+(ArtifactsInput!$M$24-ArtifactsInput!$M$24)*CHOOSE(ArtifactsInput!$N$24+1,10,12,14,16,18,20)+IF(ArtifactsInput!$M$10,CHOOSE(ArtifactsInput!$N$10+1,15,18,21,24,27,30)*(IF(Inputs!$B$38="pvp",MIN(15,15)/15,IF(AND(Inputs!$B$38&lt;&gt;"pvp",Inputs!$B$43&gt;0),MIN(15,Inputs!$B$43)/(Inputs!$B$43),0))),0)))&gt;=100),CHOOSE(ArtifactsInput!$N$42+1,40,48,56,64,72,80),0))))/100)*((1+(((C2434=TRUE)*F2434*5/7)+((C2441=TRUE)*(F2441-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2424)</f>
        <v/>
      </c>
      <c r="L2424">
        <f>K2424*(MIN(Inputs!$B$22+((C2439=TRUE)*(F2439-Calc!F22)),(Inputs!$B$23+0+(IF(ArtifactsInput!$M$15,CHOOSE(ArtifactsInput!$N$15+1,25,30,35,40,45,50)/100*(Inputs!$B$11-Inputs!$B$11),0))))/100+(Inputs!$B$23+0+(IF(ArtifactsInput!$M$15,CHOOSE(ArtifactsInput!$N$15+1,25,30,35,40,45,50)/100*(Inputs!$B$11-Inputs!$B$11),0)))/100)/2</f>
        <v/>
      </c>
      <c r="M2424">
        <f>L2424*(1+(Inputs!$B$10+((C2442=TRUE)*(F2442-Calc!F25))+B2453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24">
        <f>L2424*(1-MIN((Inputs!$B$9+((C2436=TRUE)*(F2436-Calc!F19))+B2448+(ArtifactsInput!$M$24-ArtifactsInput!$M$24)*CHOOSE(ArtifactsInput!$N$24+1,10,12,14,16,18,20)+(IF(AND(Inputs!$B$38&lt;&gt;"pvp",Inputs!$B$43=0),1,IF(IF(Inputs!$B$38="pvp",15,Inputs!$B$43)-(B2455)&lt;=0,1,MAX(0,IF(Inputs!$B$38="pvp",15,Inputs!$B$43)-MAX(5,B2455))/(IF(Inputs!$B$38="pvp",15,Inputs!$B$43)-(B2455))))*IF(AND(ArtifactsInput!$M$42,((Inputs!$B$9+((C2436=TRUE)*(F2436-Calc!F19))+B2448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2424*(MIN((Inputs!$B$9+((C2436=TRUE)*(F2436-Calc!F19))+B2448+(ArtifactsInput!$M$24-ArtifactsInput!$M$24)*CHOOSE(ArtifactsInput!$N$24+1,10,12,14,16,18,20)+(IF(AND(Inputs!$B$38&lt;&gt;"pvp",Inputs!$B$43=0),1,IF(IF(Inputs!$B$38="pvp",15,Inputs!$B$43)-(B2455)&lt;=0,1,MAX(0,IF(Inputs!$B$38="pvp",15,Inputs!$B$43)-MAX(5,B2455))/(IF(Inputs!$B$38="pvp",15,Inputs!$B$43)-(B2455))))*IF(AND(ArtifactsInput!$M$42,((Inputs!$B$9+((C2436=TRUE)*(F2436-Calc!F19))+B2448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24">
        <f>(1-Summary!$B$11)*T2424+Summary!$B$11*V2424</f>
        <v/>
      </c>
      <c r="P2424">
        <f>IF(B2458=0,0,O2424/B2458)</f>
        <v/>
      </c>
      <c r="Q2424">
        <f>IFERROR(1/(IF(Inputs!$B$38="pvp",15,MAX(0.1,Skills!D7-IF(TRUE=TRUE,Inputs!$B$32,0)))*(1-IF(AND(ArtifactsInput!$M$27,Inputs!$B$4="Chapter Hunt"),CHOOSE(ArtifactsInput!$N$27+1,20,24,28,32,36,40),0)/100)),0)</f>
        <v/>
      </c>
      <c r="R2424">
        <f>IF(AND(Inputs!$B$38&lt;&gt;"pvp",Inputs!$B$43&gt;0),IF(MAX(0,Inputs!$B$43-B2455)&lt;=0,0,(INT(MAX(0,Inputs!$B$43-B2455)/(IF(Inputs!$B$38="pvp",15,MAX(0.1,Skills!D7-IF(TRUE=TRUE,Inputs!$B$32,0)))*(1-IF(AND(ArtifactsInput!$M$27,Inputs!$B$4="Chapter Hunt"),CHOOSE(ArtifactsInput!$N$27+1,20,24,28,32,36,40),0)/100)))+1)),0)</f>
        <v/>
      </c>
      <c r="S2424">
        <f>IFERROR(O2424/N2424,0)</f>
        <v/>
      </c>
      <c r="T2424">
        <f>IF(C2424,(H2424*N2424*IF(AND(Inputs!$B$38&lt;&gt;"pvp",Inputs!$B$43&gt;0),((Skills!G7*((R2424-1)*IF(Skills!H7&gt;0,INT(Skills!I7/Skills!H7+0.000000001),1)+IF(Skills!H7&gt;0,INT(MIN(Skills!I7,MAX(0,MAX(0,Inputs!$B$43-B2455)-((R2424-1)*(IF(Inputs!$B$38="pvp",15,MAX(0.1,Skills!D7-IF(TRUE=TRUE,Inputs!$B$32,0)))*(1-IF(AND(ArtifactsInput!$M$27,Inputs!$B$4="Chapter Hunt"),CHOOSE(ArtifactsInput!$N$27+1,20,24,28,32,36,40),0)/100)))))/Skills!H7+0.000000001),1)))/Inputs!$B$43),G2424*Q2424))*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Hunt"),CHOOSE(ArtifactsInput!$N$35+1,15,18,21,24,27,30)*(1-EXP(-(0.2*B2450)*5)),0)+IF(AND(ArtifactsInput!$M$22,Inputs!$B$4&lt;&gt;"Chapter Hunt"),CHOOSE(ArtifactsInput!$N$22+1,10,12,14,16,18,20)*((0*(((0.15*B2450*5))^0/1)+1*(((0.15*B2450*5))^1/1)+2*(((0.15*B2450*5))^2/2)+3*(((0.15*B2450*5))^3/6)+4*(((0.15*B2450*5))^4/24)+5*(((0.15*B2450*5))^5/120))/((((0.15*B2450*5))^0/1)+(((0.15*B2450*5))^1/1)+(((0.15*B2450*5))^2/2)+(((0.15*B2450*5))^3/6)+(((0.15*B2450*5))^4/24)+(((0.15*B2450*5))^5/120))),0))+IF(Inputs!$B$3&gt;=54,9*(C2420=TRUE)*MIN(1,8*(1+Inputs!$B$34/100)*Q2420)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2424*(1-MIN(100,(Inputs!$B$9+((C2436=TRUE)*(F2436-Calc!F19))+B2448+(ArtifactsInput!$M$24-ArtifactsInput!$M$24)*CHOOSE(ArtifactsInput!$N$24+1,10,12,14,16,18,20)+(IF(AND(Inputs!$B$38&lt;&gt;"pvp",Inputs!$B$43=0),1,IF(IF(Inputs!$B$38="pvp",15,Inputs!$B$43)-(B2455)&lt;=0,1,MAX(0,IF(Inputs!$B$38="pvp",15,Inputs!$B$43)-MAX(5,B2455))/(IF(Inputs!$B$38="pvp",15,Inputs!$B$43)-(B2455))))*IF(AND(ArtifactsInput!$M$42,((Inputs!$B$9+((C2436=TRUE)*(F2436-Calc!F19))+B2448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2424*(MIN(100,(Inputs!$B$9+((C2436=TRUE)*(F2436-Calc!F19))+B2448+(ArtifactsInput!$M$24-ArtifactsInput!$M$24)*CHOOSE(ArtifactsInput!$N$24+1,10,12,14,16,18,20)+(IF(AND(Inputs!$B$38&lt;&gt;"pvp",Inputs!$B$43=0),1,IF(IF(Inputs!$B$38="pvp",15,Inputs!$B$43)-(B2455)&lt;=0,1,MAX(0,IF(Inputs!$B$38="pvp",15,Inputs!$B$43)-MAX(5,B2455))/(IF(Inputs!$B$38="pvp",15,Inputs!$B$43)-(B2455))))*IF(AND(ArtifactsInput!$M$42,((Inputs!$B$9+((C2436=TRUE)*(F2436-Calc!F19))+B2448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2424*(1-MIN(100,(Inputs!$B$9+((C2436=TRUE)*(F2436-Calc!F19))+B2448+(ArtifactsInput!$M$24-ArtifactsInput!$M$24)*CHOOSE(ArtifactsInput!$N$24+1,10,12,14,16,18,20)+(IF(AND(Inputs!$B$38&lt;&gt;"pvp",Inputs!$B$43=0),1,IF(IF(Inputs!$B$38="pvp",15,Inputs!$B$43)-(B2455)&lt;=0,1,MAX(0,IF(Inputs!$B$38="pvp",15,Inputs!$B$43)-MAX(5,B2455))/(IF(Inputs!$B$38="pvp",15,Inputs!$B$43)-(B2455))))*IF(AND(ArtifactsInput!$M$42,((Inputs!$B$9+((C2436=TRUE)*(F2436-Calc!F19))+B2448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2424*(MIN(100,(Inputs!$B$9+((C2436=TRUE)*(F2436-Calc!F19))+B2448+(ArtifactsInput!$M$24-ArtifactsInput!$M$24)*CHOOSE(ArtifactsInput!$N$24+1,10,12,14,16,18,20)+(IF(AND(Inputs!$B$38&lt;&gt;"pvp",Inputs!$B$43=0),1,IF(IF(Inputs!$B$38="pvp",15,Inputs!$B$43)-(B2455)&lt;=0,1,MAX(0,IF(Inputs!$B$38="pvp",15,Inputs!$B$43)-MAX(5,B2455))/(IF(Inputs!$B$38="pvp",15,Inputs!$B$43)-(B2455))))*IF(AND(ArtifactsInput!$M$42,((Inputs!$B$9+((C2436=TRUE)*(F2436-Calc!F19))+B2448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424">
        <f>IF(C2424,(H2424*N2424*IF(AND(Inputs!$B$38&lt;&gt;"pvp",Inputs!$B$43&gt;0),((Skills!G7*((R2424-1)*IF(Skills!H7&gt;0,INT(Skills!I7/Skills!H7+0.000000001),1)+IF(Skills!H7&gt;0,INT(MIN(Skills!I7,MAX(0,MAX(0,Inputs!$B$43-B2455)-((R2424-1)*(IF(Inputs!$B$38="pvp",15,MAX(0.1,Skills!D7-IF(TRUE=TRUE,Inputs!$B$32,0)))*(1-IF(AND(ArtifactsInput!$M$27,Inputs!$B$4="Chapter Hunt"),CHOOSE(ArtifactsInput!$N$27+1,20,24,28,32,36,40),0)/100)))))/Skills!H7+0.000000001),1)))/Inputs!$B$43),G2424*Q2424))*IF(Inputs!$B$38="pvp",1,(1+(Inputs!$B$21+Skills!Q7+(IF(ArtifactsInput!$M$33,CHOOSE(ArtifactsInput!$N$33+1,30,36,42,48,54,60),0))+(IF(AND(ArtifactsInput!$M$35,Inputs!$B$4&lt;&gt;"Chapter Hunt"),CHOOSE(ArtifactsInput!$N$35+1,15,18,21,24,27,30)*(1-EXP(-(0.2*B2450)*5)),0)+IF(AND(ArtifactsInput!$M$22,Inputs!$B$4&lt;&gt;"Chapter Hunt"),CHOOSE(ArtifactsInput!$N$22+1,10,12,14,16,18,20)*((0*(((0.15*B2450*5))^0/1)+1*(((0.15*B2450*5))^1/1)+2*(((0.15*B2450*5))^2/2)+3*(((0.15*B2450*5))^3/6)+4*(((0.15*B2450*5))^4/24)+5*(((0.15*B2450*5))^5/120))/((((0.15*B2450*5))^0/1)+(((0.15*B2450*5))^1/1)+(((0.15*B2450*5))^2/2)+(((0.15*B2450*5))^3/6)+(((0.15*B2450*5))^4/24)+(((0.15*B2450*5))^5/120))),0))+IF(Inputs!$B$3&gt;=54,9*(C2420=TRUE)*MIN(1,8*(1+Inputs!$B$34/100)*Q2420)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25">
      <c r="A2425">
        <f>Skills!A8</f>
        <v/>
      </c>
      <c r="B2425">
        <f>Skills!B8</f>
        <v/>
      </c>
      <c r="C2425">
        <f>Inputs!$B$3&gt;=103</f>
        <v/>
      </c>
      <c r="D2425">
        <f>IF(Skills!C8=1,60+Inputs!$B$25+Inputs!$B$29,IF(Skills!C8=2,90+Inputs!$B$26+Inputs!$B$29,IF(Skills!C8=3,120+Inputs!$B$27+Inputs!$B$29,MAX(0,(Inputs!$B$3-100)*3)+Inputs!$B$28+Inputs!$B$29)))</f>
        <v/>
      </c>
      <c r="E2425">
        <f>INDEX(FactorTable!$B$2:$Y$301, MATCH(ROUND(MIN(300,MAX(1,D2425)),0), FactorTable!$A$2:$A$301,0), Skills!M8+1)</f>
        <v/>
      </c>
      <c r="F2425">
        <f>IF(Skills!N8=TRUE,(Skills!L8/10)*(E2425/1000),Skills!L8/10)+Skills!O8</f>
        <v/>
      </c>
      <c r="G2425">
        <f>Skills!G8*IF(Skills!H8&gt;0,INT(IF(Inputs!$B$38="pvp",MIN(Skills!I8,15),Skills!I8)/Skills!H8+0.000000001),1)</f>
        <v/>
      </c>
      <c r="H2425">
        <f>1-(1-Skills!J8/100)^Skills!K8</f>
        <v/>
      </c>
      <c r="I2425" t="inlineStr">
        <is>
          <t>1</t>
        </is>
      </c>
      <c r="J2425">
        <f>((Inputs!$B$6*(1+Inputs!$B$7/100))+(((Inputs!$B$12*(1+Inputs!$B$13/100))-(Inputs!$B$12*(1+Inputs!$B$13/100)))+0.25*(Inputs!$B$14-Inputs!$B$14))*(1+Inputs!$B$7/100))*(F2425/100)</f>
        <v/>
      </c>
      <c r="K2425">
        <f>J2425*(1+((Inputs!$B$12*(1+Inputs!$B$13/100))*0.01+Inputs!$B$14*0.0025)/100)*(1+Inputs!$B$15/100)*(1+Inputs!$B$16/100)*(5000/(6000+Inputs!$B$42*(1-(100*(1-(1-(Inputs!$B$19+0)/100)*(1-CHOOSE(ArtifactsInput!$N$40+1,5,6,7,8,9,10)/100)^(ArtifactsInput!$M$40-ArtifactsInput!$M$40)))/100)))*(1+(Inputs!$B$24+((C2443=TRUE)*(F2443-Calc!F26))+B2454)/100)*(1+(((1+IF(AND(ArtifactsInput!$M$36,IF(Inputs!$B$38="pvp",TRUE,AND(Inputs!$B$38&lt;&gt;"pvp",Inputs!$B$43&gt;0))),CHOOSE(ArtifactsInput!$N$36+1,8,9.6,11.2,12.8,14.4,16),0)/100)*(1+IF(AND(IF(ArtifactsInput!$M$32,FALSE,TRUE),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IGHT_LEGS_EASTON",Inputs!$B$17+((C2440=TRUE)*(F2440-Calc!F23))+((C2444=TRUE)*(F2444-Calc!F27))+((IF(AND(Inputs!$B$38&lt;&gt;"pvp",Inputs!$B$43=0),1,IF(IF(Inputs!$B$38="pvp",15,Inputs!$B$43)-(B2455)&lt;=0,1,MAX(0,IF(Inputs!$B$38="pvp",15,Inputs!$B$43)-MAX(5,B2455))/(IF(Inputs!$B$38="pvp",15,Inputs!$B$43)-(B2455))))*(IF(AND(ArtifactsInput!$M$42,((Inputs!$B$9+((C2436=TRUE)*(F2436-Calc!F19))+B2448+(ArtifactsInput!$M$24-ArtifactsInput!$M$24)*CHOOSE(ArtifactsInput!$N$24+1,10,12,14,16,18,20)+IF(ArtifactsInput!$M$10,CHOOSE(ArtifactsInput!$N$10+1,15,18,21,24,27,30)*(IF(Inputs!$B$38="pvp",MIN(15,15)/15,IF(AND(Inputs!$B$38&lt;&gt;"pvp",Inputs!$B$43&gt;0),MIN(15,Inputs!$B$43)/(Inputs!$B$43),0))),0)))&gt;=100),MIN(100,((Inputs!$B$9+((C2436=TRUE)*(F2436-Calc!F19))+B2448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2455)&lt;=0,1,MAX(0,IF(Inputs!$B$38="pvp",15,Inputs!$B$43)-MAX(5,B2455))/(IF(Inputs!$B$38="pvp",15,Inputs!$B$43)-(B2455))))*IF(AND(ArtifactsInput!$M$42,((Inputs!$B$9+((C2436=TRUE)*(F2436-Calc!F19))+B2448+(ArtifactsInput!$M$24-ArtifactsInput!$M$24)*CHOOSE(ArtifactsInput!$N$24+1,10,12,14,16,18,20)+IF(ArtifactsInput!$M$10,CHOOSE(ArtifactsInput!$N$10+1,15,18,21,24,27,30)*(IF(Inputs!$B$38="pvp",MIN(15,15)/15,IF(AND(Inputs!$B$38&lt;&gt;"pvp",Inputs!$B$43&gt;0),MIN(15,Inputs!$B$43)/(Inputs!$B$43),0))),0)))&gt;=100),CHOOSE(ArtifactsInput!$N$42+1,40,48,56,64,72,80),0))))/100)*((1+(((C2434=TRUE)*F2434*5/7)+((C2441=TRUE)*(F2441-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2425)</f>
        <v/>
      </c>
      <c r="L2425">
        <f>K2425*(MIN(Inputs!$B$22+((C2439=TRUE)*(F2439-Calc!F22)),(Inputs!$B$23+0+(IF(ArtifactsInput!$M$15,CHOOSE(ArtifactsInput!$N$15+1,25,30,35,40,45,50)/100*(Inputs!$B$11-Inputs!$B$11),0))))/100+(Inputs!$B$23+0+(IF(ArtifactsInput!$M$15,CHOOSE(ArtifactsInput!$N$15+1,25,30,35,40,45,50)/100*(Inputs!$B$11-Inputs!$B$11),0)))/100)/2</f>
        <v/>
      </c>
      <c r="M2425">
        <f>L2425*(1+(Inputs!$B$10+((C2442=TRUE)*(F2442-Calc!F25))+B2453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25">
        <f>L2425*(1-MIN((Inputs!$B$9+((C2436=TRUE)*(F2436-Calc!F19))+B2448+(ArtifactsInput!$M$24-ArtifactsInput!$M$24)*CHOOSE(ArtifactsInput!$N$24+1,10,12,14,16,18,20)+(IF(AND(Inputs!$B$38&lt;&gt;"pvp",Inputs!$B$43=0),1,IF(IF(Inputs!$B$38="pvp",15,Inputs!$B$43)-(B2455)&lt;=0,1,MAX(0,IF(Inputs!$B$38="pvp",15,Inputs!$B$43)-MAX(5,B2455))/(IF(Inputs!$B$38="pvp",15,Inputs!$B$43)-(B2455))))*IF(AND(ArtifactsInput!$M$42,((Inputs!$B$9+((C2436=TRUE)*(F2436-Calc!F19))+B2448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2425*(MIN((Inputs!$B$9+((C2436=TRUE)*(F2436-Calc!F19))+B2448+(ArtifactsInput!$M$24-ArtifactsInput!$M$24)*CHOOSE(ArtifactsInput!$N$24+1,10,12,14,16,18,20)+(IF(AND(Inputs!$B$38&lt;&gt;"pvp",Inputs!$B$43=0),1,IF(IF(Inputs!$B$38="pvp",15,Inputs!$B$43)-(B2455)&lt;=0,1,MAX(0,IF(Inputs!$B$38="pvp",15,Inputs!$B$43)-MAX(5,B2455))/(IF(Inputs!$B$38="pvp",15,Inputs!$B$43)-(B2455))))*IF(AND(ArtifactsInput!$M$42,((Inputs!$B$9+((C2436=TRUE)*(F2436-Calc!F19))+B2448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25">
        <f>(1-Summary!$B$11)*T2425+Summary!$B$11*V2425</f>
        <v/>
      </c>
      <c r="P2425">
        <f>IF(B2458=0,0,O2425/B2458)</f>
        <v/>
      </c>
      <c r="Q2425">
        <f>IFERROR(1/((IF(Inputs!$B$38="pvp",15,MAX(0.1,Skills!D8-IF(TRUE=TRUE,Inputs!$B$32,0)))*(1-IF(AND(ArtifactsInput!$M$27,Inputs!$B$4="Chapter Hunt"),CHOOSE(ArtifactsInput!$N$27+1,20,24,28,32,36,40),0)/100))/B2459),0)</f>
        <v/>
      </c>
      <c r="R2425">
        <f>IF(AND(Inputs!$B$38&lt;&gt;"pvp",Inputs!$B$43&gt;0),IF(MAX(0,Inputs!$B$43-B2455)&lt;=0,0,(INT(MAX(0,Inputs!$B$43-B2455)/((IF(Inputs!$B$38="pvp",15,MAX(0.1,Skills!D8-IF(TRUE=TRUE,Inputs!$B$32,0)))*(1-IF(AND(ArtifactsInput!$M$27,Inputs!$B$4="Chapter Hunt"),CHOOSE(ArtifactsInput!$N$27+1,20,24,28,32,36,40),0)/100))/B2459))+1)),0)</f>
        <v/>
      </c>
      <c r="S2425">
        <f>IFERROR(O2425/N2425,0)</f>
        <v/>
      </c>
      <c r="T2425">
        <f>IF(C2425,(H2425*N2425*IF(AND(Inputs!$B$38&lt;&gt;"pvp",Inputs!$B$43&gt;0),((Skills!G8*((R2425-1)*IF(Skills!H8&gt;0,INT(Skills!I8/Skills!H8+0.000000001),1)+IF(Skills!H8&gt;0,INT(MIN(Skills!I8,MAX(0,MAX(0,Inputs!$B$43-B2455)-((R2425-1)*((IF(Inputs!$B$38="pvp",15,MAX(0.1,Skills!D8-IF(TRUE=TRUE,Inputs!$B$32,0)))*(1-IF(AND(ArtifactsInput!$M$27,Inputs!$B$4="Chapter Hunt"),CHOOSE(ArtifactsInput!$N$27+1,20,24,28,32,36,40),0)/100))/B2459))))/Skills!H8+0.000000001),1)))/Inputs!$B$43),G2425*Q2425))*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Hunt"),CHOOSE(ArtifactsInput!$N$35+1,15,18,21,24,27,30)*(1-EXP(-(0.2*B2450)*5)),0)+IF(AND(ArtifactsInput!$M$22,Inputs!$B$4&lt;&gt;"Chapter Hunt"),CHOOSE(ArtifactsInput!$N$22+1,10,12,14,16,18,20)*((0*(((0.15*B2450*5))^0/1)+1*(((0.15*B2450*5))^1/1)+2*(((0.15*B2450*5))^2/2)+3*(((0.15*B2450*5))^3/6)+4*(((0.15*B2450*5))^4/24)+5*(((0.15*B2450*5))^5/120))/((((0.15*B2450*5))^0/1)+(((0.15*B2450*5))^1/1)+(((0.15*B2450*5))^2/2)+(((0.15*B2450*5))^3/6)+(((0.15*B2450*5))^4/24)+(((0.15*B2450*5))^5/120))),0))+IF(Inputs!$B$3&gt;=54,9*(C2420=TRUE)*MIN(1,8*(1+Inputs!$B$34/100)*Q2420)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2425*(1-MIN(100,(Inputs!$B$9+((C2436=TRUE)*(F2436-Calc!F19))+B2448+(ArtifactsInput!$M$24-ArtifactsInput!$M$24)*CHOOSE(ArtifactsInput!$N$24+1,10,12,14,16,18,20)+(IF(AND(Inputs!$B$38&lt;&gt;"pvp",Inputs!$B$43=0),1,IF(IF(Inputs!$B$38="pvp",15,Inputs!$B$43)-(B2455)&lt;=0,1,MAX(0,IF(Inputs!$B$38="pvp",15,Inputs!$B$43)-MAX(5,B2455))/(IF(Inputs!$B$38="pvp",15,Inputs!$B$43)-(B2455))))*IF(AND(ArtifactsInput!$M$42,((Inputs!$B$9+((C2436=TRUE)*(F2436-Calc!F19))+B2448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2425*(MIN(100,(Inputs!$B$9+((C2436=TRUE)*(F2436-Calc!F19))+B2448+(ArtifactsInput!$M$24-ArtifactsInput!$M$24)*CHOOSE(ArtifactsInput!$N$24+1,10,12,14,16,18,20)+(IF(AND(Inputs!$B$38&lt;&gt;"pvp",Inputs!$B$43=0),1,IF(IF(Inputs!$B$38="pvp",15,Inputs!$B$43)-(B2455)&lt;=0,1,MAX(0,IF(Inputs!$B$38="pvp",15,Inputs!$B$43)-MAX(5,B2455))/(IF(Inputs!$B$38="pvp",15,Inputs!$B$43)-(B2455))))*IF(AND(ArtifactsInput!$M$42,((Inputs!$B$9+((C2436=TRUE)*(F2436-Calc!F19))+B2448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2425*(1-MIN(100,(Inputs!$B$9+((C2436=TRUE)*(F2436-Calc!F19))+B2448+(ArtifactsInput!$M$24-ArtifactsInput!$M$24)*CHOOSE(ArtifactsInput!$N$24+1,10,12,14,16,18,20)+(IF(AND(Inputs!$B$38&lt;&gt;"pvp",Inputs!$B$43=0),1,IF(IF(Inputs!$B$38="pvp",15,Inputs!$B$43)-(B2455)&lt;=0,1,MAX(0,IF(Inputs!$B$38="pvp",15,Inputs!$B$43)-MAX(5,B2455))/(IF(Inputs!$B$38="pvp",15,Inputs!$B$43)-(B2455))))*IF(AND(ArtifactsInput!$M$42,((Inputs!$B$9+((C2436=TRUE)*(F2436-Calc!F19))+B2448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2425*(MIN(100,(Inputs!$B$9+((C2436=TRUE)*(F2436-Calc!F19))+B2448+(ArtifactsInput!$M$24-ArtifactsInput!$M$24)*CHOOSE(ArtifactsInput!$N$24+1,10,12,14,16,18,20)+(IF(AND(Inputs!$B$38&lt;&gt;"pvp",Inputs!$B$43=0),1,IF(IF(Inputs!$B$38="pvp",15,Inputs!$B$43)-(B2455)&lt;=0,1,MAX(0,IF(Inputs!$B$38="pvp",15,Inputs!$B$43)-MAX(5,B2455))/(IF(Inputs!$B$38="pvp",15,Inputs!$B$43)-(B2455))))*IF(AND(ArtifactsInput!$M$42,((Inputs!$B$9+((C2436=TRUE)*(F2436-Calc!F19))+B2448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425">
        <f>IF(C2425,(H2425*N2425*IF(AND(Inputs!$B$38&lt;&gt;"pvp",Inputs!$B$43&gt;0),((Skills!G8*((R2425-1)*IF(Skills!H8&gt;0,INT(Skills!I8/Skills!H8+0.000000001),1)+IF(Skills!H8&gt;0,INT(MIN(Skills!I8,MAX(0,MAX(0,Inputs!$B$43-B2455)-((R2425-1)*((IF(Inputs!$B$38="pvp",15,MAX(0.1,Skills!D8-IF(TRUE=TRUE,Inputs!$B$32,0)))*(1-IF(AND(ArtifactsInput!$M$27,Inputs!$B$4="Chapter Hunt"),CHOOSE(ArtifactsInput!$N$27+1,20,24,28,32,36,40),0)/100))/B2459))))/Skills!H8+0.000000001),1)))/Inputs!$B$43),G2425*Q2425))*IF(Inputs!$B$38="pvp",1,(1+(Inputs!$B$21+Skills!Q8+(IF(ArtifactsInput!$M$33,CHOOSE(ArtifactsInput!$N$33+1,30,36,42,48,54,60),0))+(IF(AND(ArtifactsInput!$M$35,Inputs!$B$4&lt;&gt;"Chapter Hunt"),CHOOSE(ArtifactsInput!$N$35+1,15,18,21,24,27,30)*(1-EXP(-(0.2*B2450)*5)),0)+IF(AND(ArtifactsInput!$M$22,Inputs!$B$4&lt;&gt;"Chapter Hunt"),CHOOSE(ArtifactsInput!$N$22+1,10,12,14,16,18,20)*((0*(((0.15*B2450*5))^0/1)+1*(((0.15*B2450*5))^1/1)+2*(((0.15*B2450*5))^2/2)+3*(((0.15*B2450*5))^3/6)+4*(((0.15*B2450*5))^4/24)+5*(((0.15*B2450*5))^5/120))/((((0.15*B2450*5))^0/1)+(((0.15*B2450*5))^1/1)+(((0.15*B2450*5))^2/2)+(((0.15*B2450*5))^3/6)+(((0.15*B2450*5))^4/24)+(((0.15*B2450*5))^5/120))),0))+IF(Inputs!$B$3&gt;=54,9*(C2420=TRUE)*MIN(1,8*(1+Inputs!$B$34/100)*Q2420)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26">
      <c r="A2426">
        <f>Skills!A9</f>
        <v/>
      </c>
      <c r="B2426">
        <f>Skills!B9</f>
        <v/>
      </c>
      <c r="C2426">
        <f>Inputs!$B$3&gt;=105</f>
        <v/>
      </c>
      <c r="D2426">
        <f>IF(Skills!C9=1,60+Inputs!$B$25+Inputs!$B$29,IF(Skills!C9=2,90+Inputs!$B$26+Inputs!$B$29,IF(Skills!C9=3,120+Inputs!$B$27+Inputs!$B$29,MAX(0,(Inputs!$B$3-100)*3)+Inputs!$B$28+Inputs!$B$29)))</f>
        <v/>
      </c>
      <c r="E2426">
        <f>INDEX(FactorTable!$B$2:$Y$301, MATCH(ROUND(MIN(300,MAX(1,D2426)),0), FactorTable!$A$2:$A$301,0), Skills!M9+1)</f>
        <v/>
      </c>
      <c r="F2426">
        <f>IF(Skills!N9=TRUE,(Skills!L9/10)*(E2426/1000),Skills!L9/10)+Skills!O9</f>
        <v/>
      </c>
      <c r="G2426">
        <f>Skills!G9*IF(Skills!H9&gt;0,INT(IF(Inputs!$B$38="pvp",MIN(Skills!I9,15),Skills!I9)/Skills!H9+0.000000001),1)</f>
        <v/>
      </c>
      <c r="H2426">
        <f>1-(1-Skills!J9/100)^Skills!K9</f>
        <v/>
      </c>
      <c r="I2426" t="inlineStr">
        <is>
          <t>1</t>
        </is>
      </c>
      <c r="J2426">
        <f>((Inputs!$B$6*(1+Inputs!$B$7/100))+(((Inputs!$B$12*(1+Inputs!$B$13/100))-(Inputs!$B$12*(1+Inputs!$B$13/100)))+0.25*(Inputs!$B$14-Inputs!$B$14))*(1+Inputs!$B$7/100))*(F2426/100)</f>
        <v/>
      </c>
      <c r="K2426">
        <f>J2426*(1+((Inputs!$B$12*(1+Inputs!$B$13/100))*0.01+Inputs!$B$14*0.0025)/100)*(1+Inputs!$B$15/100)*(1+Inputs!$B$16/100)*(5000/(6000+Inputs!$B$42*(1-(100*(1-(1-(Inputs!$B$19+0)/100)*(1-CHOOSE(ArtifactsInput!$N$40+1,5,6,7,8,9,10)/100)^(ArtifactsInput!$M$40-ArtifactsInput!$M$40)))/100)))*(1+(Inputs!$B$24+((C2443=TRUE)*(F2443-Calc!F26))+B2454)/100)*(1+(((1+IF(AND(ArtifactsInput!$M$36,IF(Inputs!$B$38="pvp",TRUE,AND(Inputs!$B$38&lt;&gt;"pvp",Inputs!$B$43&gt;0))),CHOOSE(ArtifactsInput!$N$36+1,8,9.6,11.2,12.8,14.4,16),0)/100)*(1+IF(AND(IF(ArtifactsInput!$M$32,FALSE,TRUE),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IGHT_LEGS_EASTON",Inputs!$B$17+((C2440=TRUE)*(F2440-Calc!F23))+((C2444=TRUE)*(F2444-Calc!F27))+((IF(AND(Inputs!$B$38&lt;&gt;"pvp",Inputs!$B$43=0),1,IF(IF(Inputs!$B$38="pvp",15,Inputs!$B$43)-(B2455)&lt;=0,1,MAX(0,IF(Inputs!$B$38="pvp",15,Inputs!$B$43)-MAX(5,B2455))/(IF(Inputs!$B$38="pvp",15,Inputs!$B$43)-(B2455))))*(IF(AND(ArtifactsInput!$M$42,((Inputs!$B$9+((C2436=TRUE)*(F2436-Calc!F19))+B2448+(ArtifactsInput!$M$24-ArtifactsInput!$M$24)*CHOOSE(ArtifactsInput!$N$24+1,10,12,14,16,18,20)+IF(ArtifactsInput!$M$10,CHOOSE(ArtifactsInput!$N$10+1,15,18,21,24,27,30)*(IF(Inputs!$B$38="pvp",MIN(15,15)/15,IF(AND(Inputs!$B$38&lt;&gt;"pvp",Inputs!$B$43&gt;0),MIN(15,Inputs!$B$43)/(Inputs!$B$43),0))),0)))&gt;=100),MIN(100,((Inputs!$B$9+((C2436=TRUE)*(F2436-Calc!F19))+B2448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2455)&lt;=0,1,MAX(0,IF(Inputs!$B$38="pvp",15,Inputs!$B$43)-MAX(5,B2455))/(IF(Inputs!$B$38="pvp",15,Inputs!$B$43)-(B2455))))*IF(AND(ArtifactsInput!$M$42,((Inputs!$B$9+((C2436=TRUE)*(F2436-Calc!F19))+B2448+(ArtifactsInput!$M$24-ArtifactsInput!$M$24)*CHOOSE(ArtifactsInput!$N$24+1,10,12,14,16,18,20)+IF(ArtifactsInput!$M$10,CHOOSE(ArtifactsInput!$N$10+1,15,18,21,24,27,30)*(IF(Inputs!$B$38="pvp",MIN(15,15)/15,IF(AND(Inputs!$B$38&lt;&gt;"pvp",Inputs!$B$43&gt;0),MIN(15,Inputs!$B$43)/(Inputs!$B$43),0))),0)))&gt;=100),CHOOSE(ArtifactsInput!$N$42+1,40,48,56,64,72,80),0))))/100)*((1+(((C2434=TRUE)*F2434*5/7)+((C2441=TRUE)*(F2441-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2426)</f>
        <v/>
      </c>
      <c r="L2426">
        <f>K2426*(MIN(Inputs!$B$22+((C2439=TRUE)*(F2439-Calc!F22)),(Inputs!$B$23+0+(IF(ArtifactsInput!$M$15,CHOOSE(ArtifactsInput!$N$15+1,25,30,35,40,45,50)/100*(Inputs!$B$11-Inputs!$B$11),0))))/100+(Inputs!$B$23+0+(IF(ArtifactsInput!$M$15,CHOOSE(ArtifactsInput!$N$15+1,25,30,35,40,45,50)/100*(Inputs!$B$11-Inputs!$B$11),0)))/100)/2</f>
        <v/>
      </c>
      <c r="M2426">
        <f>L2426*(1+(Inputs!$B$10+((C2442=TRUE)*(F2442-Calc!F25))+B2453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26">
        <f>L2426*(1-MIN((Inputs!$B$9+((C2436=TRUE)*(F2436-Calc!F19))+B2448+(ArtifactsInput!$M$24-ArtifactsInput!$M$24)*CHOOSE(ArtifactsInput!$N$24+1,10,12,14,16,18,20)+(IF(AND(Inputs!$B$38&lt;&gt;"pvp",Inputs!$B$43=0),1,IF(IF(Inputs!$B$38="pvp",15,Inputs!$B$43)-(B2455)&lt;=0,1,MAX(0,IF(Inputs!$B$38="pvp",15,Inputs!$B$43)-MAX(5,B2455))/(IF(Inputs!$B$38="pvp",15,Inputs!$B$43)-(B2455))))*IF(AND(ArtifactsInput!$M$42,((Inputs!$B$9+((C2436=TRUE)*(F2436-Calc!F19))+B2448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2426*(MIN((Inputs!$B$9+((C2436=TRUE)*(F2436-Calc!F19))+B2448+(ArtifactsInput!$M$24-ArtifactsInput!$M$24)*CHOOSE(ArtifactsInput!$N$24+1,10,12,14,16,18,20)+(IF(AND(Inputs!$B$38&lt;&gt;"pvp",Inputs!$B$43=0),1,IF(IF(Inputs!$B$38="pvp",15,Inputs!$B$43)-(B2455)&lt;=0,1,MAX(0,IF(Inputs!$B$38="pvp",15,Inputs!$B$43)-MAX(5,B2455))/(IF(Inputs!$B$38="pvp",15,Inputs!$B$43)-(B2455))))*IF(AND(ArtifactsInput!$M$42,((Inputs!$B$9+((C2436=TRUE)*(F2436-Calc!F19))+B2448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26">
        <f>(1-Summary!$B$11)*T2426+Summary!$B$11*V2426</f>
        <v/>
      </c>
      <c r="P2426">
        <f>IF(B2458=0,0,O2426/B2458)</f>
        <v/>
      </c>
      <c r="Q2426">
        <f>IFERROR(1/(IF(Inputs!$B$38="pvp",15,MAX(0.1,Skills!D9-IF(TRUE=TRUE,Inputs!$B$32,0)))*(1-IF(AND(ArtifactsInput!$M$27,Inputs!$B$4="Chapter Hunt"),CHOOSE(ArtifactsInput!$N$27+1,20,24,28,32,36,40),0)/100)),0)</f>
        <v/>
      </c>
      <c r="R2426">
        <f>IF(AND(Inputs!$B$38&lt;&gt;"pvp",Inputs!$B$43&gt;0),IF(MAX(0,Inputs!$B$43-B2455)&lt;=0,0,(INT(MAX(0,Inputs!$B$43-B2455)/(IF(Inputs!$B$38="pvp",15,MAX(0.1,Skills!D9-IF(TRUE=TRUE,Inputs!$B$32,0)))*(1-IF(AND(ArtifactsInput!$M$27,Inputs!$B$4="Chapter Hunt"),CHOOSE(ArtifactsInput!$N$27+1,20,24,28,32,36,40),0)/100)))+1)),0)</f>
        <v/>
      </c>
      <c r="S2426">
        <f>IFERROR(O2426/N2426,0)</f>
        <v/>
      </c>
      <c r="T2426">
        <f>IF(C2426,(H2426*N2426*IF(AND(Inputs!$B$38&lt;&gt;"pvp",Inputs!$B$43&gt;0),((Skills!G9*((R2426-1)*IF(Skills!H9&gt;0,INT(Skills!I9/Skills!H9+0.000000001),1)+IF(Skills!H9&gt;0,INT(MIN(Skills!I9,MAX(0,MAX(0,Inputs!$B$43-B2455)-((R2426-1)*(IF(Inputs!$B$38="pvp",15,MAX(0.1,Skills!D9-IF(TRUE=TRUE,Inputs!$B$32,0)))*(1-IF(AND(ArtifactsInput!$M$27,Inputs!$B$4="Chapter Hunt"),CHOOSE(ArtifactsInput!$N$27+1,20,24,28,32,36,40),0)/100)))))/Skills!H9+0.000000001),1)))/Inputs!$B$43),G2426*Q2426))*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Hunt"),CHOOSE(ArtifactsInput!$N$35+1,15,18,21,24,27,30)*(1-EXP(-(0.2*B2450)*5)),0)+IF(AND(ArtifactsInput!$M$22,Inputs!$B$4&lt;&gt;"Chapter Hunt"),CHOOSE(ArtifactsInput!$N$22+1,10,12,14,16,18,20)*((0*(((0.15*B2450*5))^0/1)+1*(((0.15*B2450*5))^1/1)+2*(((0.15*B2450*5))^2/2)+3*(((0.15*B2450*5))^3/6)+4*(((0.15*B2450*5))^4/24)+5*(((0.15*B2450*5))^5/120))/((((0.15*B2450*5))^0/1)+(((0.15*B2450*5))^1/1)+(((0.15*B2450*5))^2/2)+(((0.15*B2450*5))^3/6)+(((0.15*B2450*5))^4/24)+(((0.15*B2450*5))^5/120))),0))+IF(Inputs!$B$3&gt;=54,9*(C2420=TRUE)*MIN(1,8*(1+Inputs!$B$34/100)*Q2420)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2426*(1-MIN(100,(Inputs!$B$9+((C2436=TRUE)*(F2436-Calc!F19))+B2448+(ArtifactsInput!$M$24-ArtifactsInput!$M$24)*CHOOSE(ArtifactsInput!$N$24+1,10,12,14,16,18,20)+(IF(AND(Inputs!$B$38&lt;&gt;"pvp",Inputs!$B$43=0),1,IF(IF(Inputs!$B$38="pvp",15,Inputs!$B$43)-(B2455)&lt;=0,1,MAX(0,IF(Inputs!$B$38="pvp",15,Inputs!$B$43)-MAX(5,B2455))/(IF(Inputs!$B$38="pvp",15,Inputs!$B$43)-(B2455))))*IF(AND(ArtifactsInput!$M$42,((Inputs!$B$9+((C2436=TRUE)*(F2436-Calc!F19))+B2448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2426*(MIN(100,(Inputs!$B$9+((C2436=TRUE)*(F2436-Calc!F19))+B2448+(ArtifactsInput!$M$24-ArtifactsInput!$M$24)*CHOOSE(ArtifactsInput!$N$24+1,10,12,14,16,18,20)+(IF(AND(Inputs!$B$38&lt;&gt;"pvp",Inputs!$B$43=0),1,IF(IF(Inputs!$B$38="pvp",15,Inputs!$B$43)-(B2455)&lt;=0,1,MAX(0,IF(Inputs!$B$38="pvp",15,Inputs!$B$43)-MAX(5,B2455))/(IF(Inputs!$B$38="pvp",15,Inputs!$B$43)-(B2455))))*IF(AND(ArtifactsInput!$M$42,((Inputs!$B$9+((C2436=TRUE)*(F2436-Calc!F19))+B2448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2426*(1-MIN(100,(Inputs!$B$9+((C2436=TRUE)*(F2436-Calc!F19))+B2448+(ArtifactsInput!$M$24-ArtifactsInput!$M$24)*CHOOSE(ArtifactsInput!$N$24+1,10,12,14,16,18,20)+(IF(AND(Inputs!$B$38&lt;&gt;"pvp",Inputs!$B$43=0),1,IF(IF(Inputs!$B$38="pvp",15,Inputs!$B$43)-(B2455)&lt;=0,1,MAX(0,IF(Inputs!$B$38="pvp",15,Inputs!$B$43)-MAX(5,B2455))/(IF(Inputs!$B$38="pvp",15,Inputs!$B$43)-(B2455))))*IF(AND(ArtifactsInput!$M$42,((Inputs!$B$9+((C2436=TRUE)*(F2436-Calc!F19))+B2448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2426*(MIN(100,(Inputs!$B$9+((C2436=TRUE)*(F2436-Calc!F19))+B2448+(ArtifactsInput!$M$24-ArtifactsInput!$M$24)*CHOOSE(ArtifactsInput!$N$24+1,10,12,14,16,18,20)+(IF(AND(Inputs!$B$38&lt;&gt;"pvp",Inputs!$B$43=0),1,IF(IF(Inputs!$B$38="pvp",15,Inputs!$B$43)-(B2455)&lt;=0,1,MAX(0,IF(Inputs!$B$38="pvp",15,Inputs!$B$43)-MAX(5,B2455))/(IF(Inputs!$B$38="pvp",15,Inputs!$B$43)-(B2455))))*IF(AND(ArtifactsInput!$M$42,((Inputs!$B$9+((C2436=TRUE)*(F2436-Calc!F19))+B2448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426">
        <f>IF(C2426,(H2426*N2426*IF(AND(Inputs!$B$38&lt;&gt;"pvp",Inputs!$B$43&gt;0),((Skills!G9*((R2426-1)*IF(Skills!H9&gt;0,INT(Skills!I9/Skills!H9+0.000000001),1)+IF(Skills!H9&gt;0,INT(MIN(Skills!I9,MAX(0,MAX(0,Inputs!$B$43-B2455)-((R2426-1)*(IF(Inputs!$B$38="pvp",15,MAX(0.1,Skills!D9-IF(TRUE=TRUE,Inputs!$B$32,0)))*(1-IF(AND(ArtifactsInput!$M$27,Inputs!$B$4="Chapter Hunt"),CHOOSE(ArtifactsInput!$N$27+1,20,24,28,32,36,40),0)/100)))))/Skills!H9+0.000000001),1)))/Inputs!$B$43),G2426*Q2426))*IF(Inputs!$B$38="pvp",1,(1+(Inputs!$B$21+Skills!Q9+(IF(ArtifactsInput!$M$33,CHOOSE(ArtifactsInput!$N$33+1,30,36,42,48,54,60),0))+(IF(AND(ArtifactsInput!$M$35,Inputs!$B$4&lt;&gt;"Chapter Hunt"),CHOOSE(ArtifactsInput!$N$35+1,15,18,21,24,27,30)*(1-EXP(-(0.2*B2450)*5)),0)+IF(AND(ArtifactsInput!$M$22,Inputs!$B$4&lt;&gt;"Chapter Hunt"),CHOOSE(ArtifactsInput!$N$22+1,10,12,14,16,18,20)*((0*(((0.15*B2450*5))^0/1)+1*(((0.15*B2450*5))^1/1)+2*(((0.15*B2450*5))^2/2)+3*(((0.15*B2450*5))^3/6)+4*(((0.15*B2450*5))^4/24)+5*(((0.15*B2450*5))^5/120))/((((0.15*B2450*5))^0/1)+(((0.15*B2450*5))^1/1)+(((0.15*B2450*5))^2/2)+(((0.15*B2450*5))^3/6)+(((0.15*B2450*5))^4/24)+(((0.15*B2450*5))^5/120))),0))+IF(Inputs!$B$3&gt;=54,9*(C2420=TRUE)*MIN(1,8*(1+Inputs!$B$34/100)*Q2420)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27">
      <c r="A2427">
        <f>Skills!A10</f>
        <v/>
      </c>
      <c r="B2427">
        <f>Skills!B10</f>
        <v/>
      </c>
      <c r="C2427">
        <f>Inputs!$B$3&gt;=113</f>
        <v/>
      </c>
      <c r="D2427">
        <f>IF(Skills!C10=1,60+Inputs!$B$25+Inputs!$B$29,IF(Skills!C10=2,90+Inputs!$B$26+Inputs!$B$29,IF(Skills!C10=3,120+Inputs!$B$27+Inputs!$B$29,MAX(0,(Inputs!$B$3-100)*3)+Inputs!$B$28+Inputs!$B$29)))</f>
        <v/>
      </c>
      <c r="E2427">
        <f>INDEX(FactorTable!$B$2:$Y$301, MATCH(ROUND(MIN(300,MAX(1,D2427)),0), FactorTable!$A$2:$A$301,0), Skills!M10+1)</f>
        <v/>
      </c>
      <c r="F2427">
        <f>IF(Skills!N10=TRUE,(Skills!L10/10)*(E2427/1000),Skills!L10/10)+Skills!O10</f>
        <v/>
      </c>
      <c r="G2427">
        <f>Skills!G10*IF(Skills!H10&gt;0,INT(IF(Inputs!$B$38="pvp",MIN(Skills!I10,15),Skills!I10)/Skills!H10+0.000000001),1)</f>
        <v/>
      </c>
      <c r="H2427">
        <f>1-(1-Skills!J10/100)^Skills!K10</f>
        <v/>
      </c>
      <c r="I2427" t="inlineStr">
        <is>
          <t>1</t>
        </is>
      </c>
      <c r="J2427">
        <f>((Inputs!$B$6*(1+Inputs!$B$7/100))+(((Inputs!$B$12*(1+Inputs!$B$13/100))-(Inputs!$B$12*(1+Inputs!$B$13/100)))+0.25*(Inputs!$B$14-Inputs!$B$14))*(1+Inputs!$B$7/100))*(F2427/100)</f>
        <v/>
      </c>
      <c r="K2427">
        <f>J2427*(1+((Inputs!$B$12*(1+Inputs!$B$13/100))*0.01+Inputs!$B$14*0.0025)/100)*(1+Inputs!$B$15/100)*(1+Inputs!$B$16/100)*(5000/(6000+Inputs!$B$42*(1-(100*(1-(1-(Inputs!$B$19+0)/100)*(1-CHOOSE(ArtifactsInput!$N$40+1,5,6,7,8,9,10)/100)^(ArtifactsInput!$M$40-ArtifactsInput!$M$40)))/100)))*(1+(Inputs!$B$24+((C2443=TRUE)*(F2443-Calc!F26))+B2454)/100)*(1+(((1+IF(AND(ArtifactsInput!$M$36,IF(Inputs!$B$38="pvp",TRUE,AND(Inputs!$B$38&lt;&gt;"pvp",Inputs!$B$43&gt;0))),CHOOSE(ArtifactsInput!$N$36+1,8,9.6,11.2,12.8,14.4,16),0)/100)*(1+IF(AND(IF(ArtifactsInput!$M$32,FALSE,TRUE),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IGHT_LEGS_EASTON",Inputs!$B$17+((C2440=TRUE)*(F2440-Calc!F23))+((C2444=TRUE)*(F2444-Calc!F27))+((IF(AND(Inputs!$B$38&lt;&gt;"pvp",Inputs!$B$43=0),1,IF(IF(Inputs!$B$38="pvp",15,Inputs!$B$43)-(B2455)&lt;=0,1,MAX(0,IF(Inputs!$B$38="pvp",15,Inputs!$B$43)-MAX(5,B2455))/(IF(Inputs!$B$38="pvp",15,Inputs!$B$43)-(B2455))))*(IF(AND(ArtifactsInput!$M$42,((Inputs!$B$9+((C2436=TRUE)*(F2436-Calc!F19))+B2448+(ArtifactsInput!$M$24-ArtifactsInput!$M$24)*CHOOSE(ArtifactsInput!$N$24+1,10,12,14,16,18,20)+IF(ArtifactsInput!$M$10,CHOOSE(ArtifactsInput!$N$10+1,15,18,21,24,27,30)*(IF(Inputs!$B$38="pvp",MIN(15,15)/15,IF(AND(Inputs!$B$38&lt;&gt;"pvp",Inputs!$B$43&gt;0),MIN(15,Inputs!$B$43)/(Inputs!$B$43),0))),0)))&gt;=100),MIN(100,((Inputs!$B$9+((C2436=TRUE)*(F2436-Calc!F19))+B2448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2455)&lt;=0,1,MAX(0,IF(Inputs!$B$38="pvp",15,Inputs!$B$43)-MAX(5,B2455))/(IF(Inputs!$B$38="pvp",15,Inputs!$B$43)-(B2455))))*IF(AND(ArtifactsInput!$M$42,((Inputs!$B$9+((C2436=TRUE)*(F2436-Calc!F19))+B2448+(ArtifactsInput!$M$24-ArtifactsInput!$M$24)*CHOOSE(ArtifactsInput!$N$24+1,10,12,14,16,18,20)+IF(ArtifactsInput!$M$10,CHOOSE(ArtifactsInput!$N$10+1,15,18,21,24,27,30)*(IF(Inputs!$B$38="pvp",MIN(15,15)/15,IF(AND(Inputs!$B$38&lt;&gt;"pvp",Inputs!$B$43&gt;0),MIN(15,Inputs!$B$43)/(Inputs!$B$43),0))),0)))&gt;=100),CHOOSE(ArtifactsInput!$N$42+1,40,48,56,64,72,80),0))))/100)*((1+(((C2434=TRUE)*F2434*5/7)+((C2441=TRUE)*(F2441-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2427)</f>
        <v/>
      </c>
      <c r="L2427">
        <f>K2427*(MIN(Inputs!$B$22+((C2439=TRUE)*(F2439-Calc!F22)),(Inputs!$B$23+0+(IF(ArtifactsInput!$M$15,CHOOSE(ArtifactsInput!$N$15+1,25,30,35,40,45,50)/100*(Inputs!$B$11-Inputs!$B$11),0))))/100+(Inputs!$B$23+0+(IF(ArtifactsInput!$M$15,CHOOSE(ArtifactsInput!$N$15+1,25,30,35,40,45,50)/100*(Inputs!$B$11-Inputs!$B$11),0)))/100)/2</f>
        <v/>
      </c>
      <c r="M2427">
        <f>L2427*(1+(Inputs!$B$10+((C2442=TRUE)*(F2442-Calc!F25))+B2453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27">
        <f>L2427*(1-MIN((Inputs!$B$9+((C2436=TRUE)*(F2436-Calc!F19))+B2448+(ArtifactsInput!$M$24-ArtifactsInput!$M$24)*CHOOSE(ArtifactsInput!$N$24+1,10,12,14,16,18,20)+(IF(AND(Inputs!$B$38&lt;&gt;"pvp",Inputs!$B$43=0),1,IF(IF(Inputs!$B$38="pvp",15,Inputs!$B$43)-(B2455)&lt;=0,1,MAX(0,IF(Inputs!$B$38="pvp",15,Inputs!$B$43)-MAX(5,B2455))/(IF(Inputs!$B$38="pvp",15,Inputs!$B$43)-(B2455))))*IF(AND(ArtifactsInput!$M$42,((Inputs!$B$9+((C2436=TRUE)*(F2436-Calc!F19))+B2448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2427*(MIN((Inputs!$B$9+((C2436=TRUE)*(F2436-Calc!F19))+B2448+(ArtifactsInput!$M$24-ArtifactsInput!$M$24)*CHOOSE(ArtifactsInput!$N$24+1,10,12,14,16,18,20)+(IF(AND(Inputs!$B$38&lt;&gt;"pvp",Inputs!$B$43=0),1,IF(IF(Inputs!$B$38="pvp",15,Inputs!$B$43)-(B2455)&lt;=0,1,MAX(0,IF(Inputs!$B$38="pvp",15,Inputs!$B$43)-MAX(5,B2455))/(IF(Inputs!$B$38="pvp",15,Inputs!$B$43)-(B2455))))*IF(AND(ArtifactsInput!$M$42,((Inputs!$B$9+((C2436=TRUE)*(F2436-Calc!F19))+B2448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27">
        <f>(1-Summary!$B$11)*T2427+Summary!$B$11*V2427</f>
        <v/>
      </c>
      <c r="P2427">
        <f>IF(B2458=0,0,O2427/B2458)</f>
        <v/>
      </c>
      <c r="Q2427" t="n">
        <v>0</v>
      </c>
      <c r="R2427" t="n">
        <v>0</v>
      </c>
      <c r="S2427">
        <f>IFERROR(O2427/N2427,0)</f>
        <v/>
      </c>
      <c r="T2427">
        <f>IF(C2427,((H2427*B2460)/(1+Skills!H10*H2427*B2460)*N2427)*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Hunt"),CHOOSE(ArtifactsInput!$N$35+1,15,18,21,24,27,30)*(1-EXP(-(0.2*B2450)*5)),0)+IF(AND(ArtifactsInput!$M$22,Inputs!$B$4&lt;&gt;"Chapter Hunt"),CHOOSE(ArtifactsInput!$N$22+1,10,12,14,16,18,20)*((0*(((0.15*B2450*5))^0/1)+1*(((0.15*B2450*5))^1/1)+2*(((0.15*B2450*5))^2/2)+3*(((0.15*B2450*5))^3/6)+4*(((0.15*B2450*5))^4/24)+5*(((0.15*B2450*5))^5/120))/((((0.15*B2450*5))^0/1)+(((0.15*B2450*5))^1/1)+(((0.15*B2450*5))^2/2)+(((0.15*B2450*5))^3/6)+(((0.15*B2450*5))^4/24)+(((0.15*B2450*5))^5/120))),0))+IF(Inputs!$B$3&gt;=54,9*(C2420=TRUE)*MIN(1,8*(1+Inputs!$B$34/100)*Q2420)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2427*(1-MIN(100,(Inputs!$B$9+((C2436=TRUE)*(F2436-Calc!F19))+B2448+(ArtifactsInput!$M$24-ArtifactsInput!$M$24)*CHOOSE(ArtifactsInput!$N$24+1,10,12,14,16,18,20)+(IF(AND(Inputs!$B$38&lt;&gt;"pvp",Inputs!$B$43=0),1,IF(IF(Inputs!$B$38="pvp",15,Inputs!$B$43)-(B2455)&lt;=0,1,MAX(0,IF(Inputs!$B$38="pvp",15,Inputs!$B$43)-MAX(5,B2455))/(IF(Inputs!$B$38="pvp",15,Inputs!$B$43)-(B2455))))*IF(AND(ArtifactsInput!$M$42,((Inputs!$B$9+((C2436=TRUE)*(F2436-Calc!F19))+B2448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2427*(MIN(100,(Inputs!$B$9+((C2436=TRUE)*(F2436-Calc!F19))+B2448+(ArtifactsInput!$M$24-ArtifactsInput!$M$24)*CHOOSE(ArtifactsInput!$N$24+1,10,12,14,16,18,20)+(IF(AND(Inputs!$B$38&lt;&gt;"pvp",Inputs!$B$43=0),1,IF(IF(Inputs!$B$38="pvp",15,Inputs!$B$43)-(B2455)&lt;=0,1,MAX(0,IF(Inputs!$B$38="pvp",15,Inputs!$B$43)-MAX(5,B2455))/(IF(Inputs!$B$38="pvp",15,Inputs!$B$43)-(B2455))))*IF(AND(ArtifactsInput!$M$42,((Inputs!$B$9+((C2436=TRUE)*(F2436-Calc!F19))+B2448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2427*(1-MIN(100,(Inputs!$B$9+((C2436=TRUE)*(F2436-Calc!F19))+B2448+(ArtifactsInput!$M$24-ArtifactsInput!$M$24)*CHOOSE(ArtifactsInput!$N$24+1,10,12,14,16,18,20)+(IF(AND(Inputs!$B$38&lt;&gt;"pvp",Inputs!$B$43=0),1,IF(IF(Inputs!$B$38="pvp",15,Inputs!$B$43)-(B2455)&lt;=0,1,MAX(0,IF(Inputs!$B$38="pvp",15,Inputs!$B$43)-MAX(5,B2455))/(IF(Inputs!$B$38="pvp",15,Inputs!$B$43)-(B2455))))*IF(AND(ArtifactsInput!$M$42,((Inputs!$B$9+((C2436=TRUE)*(F2436-Calc!F19))+B2448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2427*(MIN(100,(Inputs!$B$9+((C2436=TRUE)*(F2436-Calc!F19))+B2448+(ArtifactsInput!$M$24-ArtifactsInput!$M$24)*CHOOSE(ArtifactsInput!$N$24+1,10,12,14,16,18,20)+(IF(AND(Inputs!$B$38&lt;&gt;"pvp",Inputs!$B$43=0),1,IF(IF(Inputs!$B$38="pvp",15,Inputs!$B$43)-(B2455)&lt;=0,1,MAX(0,IF(Inputs!$B$38="pvp",15,Inputs!$B$43)-MAX(5,B2455))/(IF(Inputs!$B$38="pvp",15,Inputs!$B$43)-(B2455))))*IF(AND(ArtifactsInput!$M$42,((Inputs!$B$9+((C2436=TRUE)*(F2436-Calc!F19))+B2448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427">
        <f>IF(C2427,((H2427*B2460)/(1+Skills!H10*H2427*B2460)*N2427)*IF(Inputs!$B$38="pvp",1,(1+(Inputs!$B$21+Skills!Q10+(IF(ArtifactsInput!$M$33,CHOOSE(ArtifactsInput!$N$33+1,30,36,42,48,54,60),0))+(IF(AND(ArtifactsInput!$M$35,Inputs!$B$4&lt;&gt;"Chapter Hunt"),CHOOSE(ArtifactsInput!$N$35+1,15,18,21,24,27,30)*(1-EXP(-(0.2*B2450)*5)),0)+IF(AND(ArtifactsInput!$M$22,Inputs!$B$4&lt;&gt;"Chapter Hunt"),CHOOSE(ArtifactsInput!$N$22+1,10,12,14,16,18,20)*((0*(((0.15*B2450*5))^0/1)+1*(((0.15*B2450*5))^1/1)+2*(((0.15*B2450*5))^2/2)+3*(((0.15*B2450*5))^3/6)+4*(((0.15*B2450*5))^4/24)+5*(((0.15*B2450*5))^5/120))/((((0.15*B2450*5))^0/1)+(((0.15*B2450*5))^1/1)+(((0.15*B2450*5))^2/2)+(((0.15*B2450*5))^3/6)+(((0.15*B2450*5))^4/24)+(((0.15*B2450*5))^5/120))),0))+IF(Inputs!$B$3&gt;=54,9*(C2420=TRUE)*MIN(1,8*(1+Inputs!$B$34/100)*Q2420)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28">
      <c r="A2428">
        <f>Skills!A11</f>
        <v/>
      </c>
      <c r="B2428">
        <f>Skills!B11</f>
        <v/>
      </c>
      <c r="C2428">
        <f>Inputs!$B$3&gt;=117</f>
        <v/>
      </c>
      <c r="D2428">
        <f>IF(Skills!C11=1,60+Inputs!$B$25+Inputs!$B$29,IF(Skills!C11=2,90+Inputs!$B$26+Inputs!$B$29,IF(Skills!C11=3,120+Inputs!$B$27+Inputs!$B$29,MAX(0,(Inputs!$B$3-100)*3)+Inputs!$B$28+Inputs!$B$29)))</f>
        <v/>
      </c>
      <c r="E2428">
        <f>INDEX(FactorTable!$B$2:$Y$301, MATCH(ROUND(MIN(300,MAX(1,D2428)),0), FactorTable!$A$2:$A$301,0), Skills!M11+1)</f>
        <v/>
      </c>
      <c r="F2428">
        <f>IF(Skills!N11=TRUE,(Skills!L11/10)*(E2428/1000),Skills!L11/10)+Skills!O11</f>
        <v/>
      </c>
      <c r="G2428">
        <f>Skills!G11*IF(Skills!H11&gt;0,INT(IF(Inputs!$B$38="pvp",MIN(Skills!I11,15),Skills!I11)/Skills!H11+0.000000001),1)</f>
        <v/>
      </c>
      <c r="H2428">
        <f>1-(1-Skills!J11/100)^Skills!K11</f>
        <v/>
      </c>
      <c r="I2428" t="inlineStr">
        <is>
          <t>1</t>
        </is>
      </c>
      <c r="J2428">
        <f>((Inputs!$B$6*(1+Inputs!$B$7/100))+(((Inputs!$B$12*(1+Inputs!$B$13/100))-(Inputs!$B$12*(1+Inputs!$B$13/100)))+0.25*(Inputs!$B$14-Inputs!$B$14))*(1+Inputs!$B$7/100))*(F2428/100)</f>
        <v/>
      </c>
      <c r="K2428">
        <f>J2428*(1+((Inputs!$B$12*(1+Inputs!$B$13/100))*0.01+Inputs!$B$14*0.0025)/100)*(1+Inputs!$B$15/100)*(1+Inputs!$B$16/100)*(5000/(6000+Inputs!$B$42*(1-(100*(1-(1-(Inputs!$B$19+0)/100)*(1-CHOOSE(ArtifactsInput!$N$40+1,5,6,7,8,9,10)/100)^(ArtifactsInput!$M$40-ArtifactsInput!$M$40)))/100)))*(1+(Inputs!$B$24+((C2443=TRUE)*(F2443-Calc!F26))+B2454)/100)*(1+(((1+IF(AND(ArtifactsInput!$M$36,IF(Inputs!$B$38="pvp",TRUE,AND(Inputs!$B$38&lt;&gt;"pvp",Inputs!$B$43&gt;0))),CHOOSE(ArtifactsInput!$N$36+1,8,9.6,11.2,12.8,14.4,16),0)/100)*(1+IF(AND(IF(ArtifactsInput!$M$32,FALSE,TRUE),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IGHT_LEGS_EASTON",Inputs!$B$17+((C2440=TRUE)*(F2440-Calc!F23))+((C2444=TRUE)*(F2444-Calc!F27))+((IF(AND(Inputs!$B$38&lt;&gt;"pvp",Inputs!$B$43=0),1,IF(IF(Inputs!$B$38="pvp",15,Inputs!$B$43)-(B2455)&lt;=0,1,MAX(0,IF(Inputs!$B$38="pvp",15,Inputs!$B$43)-MAX(5,B2455))/(IF(Inputs!$B$38="pvp",15,Inputs!$B$43)-(B2455))))*(IF(AND(ArtifactsInput!$M$42,((Inputs!$B$9+((C2436=TRUE)*(F2436-Calc!F19))+B2448+(ArtifactsInput!$M$24-ArtifactsInput!$M$24)*CHOOSE(ArtifactsInput!$N$24+1,10,12,14,16,18,20)+IF(ArtifactsInput!$M$10,CHOOSE(ArtifactsInput!$N$10+1,15,18,21,24,27,30)*(IF(Inputs!$B$38="pvp",MIN(15,15)/15,IF(AND(Inputs!$B$38&lt;&gt;"pvp",Inputs!$B$43&gt;0),MIN(15,Inputs!$B$43)/(Inputs!$B$43),0))),0)))&gt;=100),MIN(100,((Inputs!$B$9+((C2436=TRUE)*(F2436-Calc!F19))+B2448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2455)&lt;=0,1,MAX(0,IF(Inputs!$B$38="pvp",15,Inputs!$B$43)-MAX(5,B2455))/(IF(Inputs!$B$38="pvp",15,Inputs!$B$43)-(B2455))))*IF(AND(ArtifactsInput!$M$42,((Inputs!$B$9+((C2436=TRUE)*(F2436-Calc!F19))+B2448+(ArtifactsInput!$M$24-ArtifactsInput!$M$24)*CHOOSE(ArtifactsInput!$N$24+1,10,12,14,16,18,20)+IF(ArtifactsInput!$M$10,CHOOSE(ArtifactsInput!$N$10+1,15,18,21,24,27,30)*(IF(Inputs!$B$38="pvp",MIN(15,15)/15,IF(AND(Inputs!$B$38&lt;&gt;"pvp",Inputs!$B$43&gt;0),MIN(15,Inputs!$B$43)/(Inputs!$B$43),0))),0)))&gt;=100),CHOOSE(ArtifactsInput!$N$42+1,40,48,56,64,72,80),0))))/100)*((1+(((C2434=TRUE)*F2434*5/7)+((C2441=TRUE)*(F2441-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2428)</f>
        <v/>
      </c>
      <c r="L2428">
        <f>K2428*(MIN(Inputs!$B$22+((C2439=TRUE)*(F2439-Calc!F22)),(Inputs!$B$23+0+(IF(ArtifactsInput!$M$15,CHOOSE(ArtifactsInput!$N$15+1,25,30,35,40,45,50)/100*(Inputs!$B$11-Inputs!$B$11),0))))/100+(Inputs!$B$23+0+(IF(ArtifactsInput!$M$15,CHOOSE(ArtifactsInput!$N$15+1,25,30,35,40,45,50)/100*(Inputs!$B$11-Inputs!$B$11),0)))/100)/2</f>
        <v/>
      </c>
      <c r="M2428">
        <f>L2428*(1+(Inputs!$B$10+((C2442=TRUE)*(F2442-Calc!F25))+B2453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28">
        <f>L2428*(1-MIN((Inputs!$B$9+((C2436=TRUE)*(F2436-Calc!F19))+B2448+(ArtifactsInput!$M$24-ArtifactsInput!$M$24)*CHOOSE(ArtifactsInput!$N$24+1,10,12,14,16,18,20)+(IF(AND(Inputs!$B$38&lt;&gt;"pvp",Inputs!$B$43=0),1,IF(IF(Inputs!$B$38="pvp",15,Inputs!$B$43)-(B2455)&lt;=0,1,MAX(0,IF(Inputs!$B$38="pvp",15,Inputs!$B$43)-MAX(5,B2455))/(IF(Inputs!$B$38="pvp",15,Inputs!$B$43)-(B2455))))*IF(AND(ArtifactsInput!$M$42,((Inputs!$B$9+((C2436=TRUE)*(F2436-Calc!F19))+B2448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2428*(MIN((Inputs!$B$9+((C2436=TRUE)*(F2436-Calc!F19))+B2448+(ArtifactsInput!$M$24-ArtifactsInput!$M$24)*CHOOSE(ArtifactsInput!$N$24+1,10,12,14,16,18,20)+(IF(AND(Inputs!$B$38&lt;&gt;"pvp",Inputs!$B$43=0),1,IF(IF(Inputs!$B$38="pvp",15,Inputs!$B$43)-(B2455)&lt;=0,1,MAX(0,IF(Inputs!$B$38="pvp",15,Inputs!$B$43)-MAX(5,B2455))/(IF(Inputs!$B$38="pvp",15,Inputs!$B$43)-(B2455))))*IF(AND(ArtifactsInput!$M$42,((Inputs!$B$9+((C2436=TRUE)*(F2436-Calc!F19))+B2448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28">
        <f>(1-Summary!$B$11)*T2428+Summary!$B$11*V2428</f>
        <v/>
      </c>
      <c r="P2428">
        <f>IF(B2458=0,0,O2428/B2458)</f>
        <v/>
      </c>
      <c r="Q2428">
        <f>IFERROR(1/((IF(Inputs!$B$38="pvp",15,MAX(0.1,Skills!D11-IF(TRUE=TRUE,Inputs!$B$32,0)))*(1-IF(AND(ArtifactsInput!$M$27,Inputs!$B$4="Chapter Hunt"),CHOOSE(ArtifactsInput!$N$27+1,20,24,28,32,36,40),0)/100))/B2459),0)</f>
        <v/>
      </c>
      <c r="R2428">
        <f>IF(AND(Inputs!$B$38&lt;&gt;"pvp",Inputs!$B$43&gt;0),IF(MAX(0,Inputs!$B$43-B2455)&lt;=0,0,(INT(MAX(0,Inputs!$B$43-B2455)/((IF(Inputs!$B$38="pvp",15,MAX(0.1,Skills!D11-IF(TRUE=TRUE,Inputs!$B$32,0)))*(1-IF(AND(ArtifactsInput!$M$27,Inputs!$B$4="Chapter Hunt"),CHOOSE(ArtifactsInput!$N$27+1,20,24,28,32,36,40),0)/100))/B2459))+1)),0)</f>
        <v/>
      </c>
      <c r="S2428">
        <f>IFERROR(O2428/N2428,0)</f>
        <v/>
      </c>
      <c r="T2428">
        <f>IF(C2428,(H2428*N2428*IF(AND(Inputs!$B$38&lt;&gt;"pvp",Inputs!$B$43&gt;0),((Skills!G11*((R2428-1)*IF(Skills!H11&gt;0,INT(Skills!I11/Skills!H11+0.000000001),1)+IF(Skills!H11&gt;0,INT(MIN(Skills!I11,MAX(0,MAX(0,Inputs!$B$43-B2455)-((R2428-1)*((IF(Inputs!$B$38="pvp",15,MAX(0.1,Skills!D11-IF(TRUE=TRUE,Inputs!$B$32,0)))*(1-IF(AND(ArtifactsInput!$M$27,Inputs!$B$4="Chapter Hunt"),CHOOSE(ArtifactsInput!$N$27+1,20,24,28,32,36,40),0)/100))/B2459))))/Skills!H11+0.000000001),1)))/Inputs!$B$43),G2428*Q2428))*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Hunt"),CHOOSE(ArtifactsInput!$N$35+1,15,18,21,24,27,30)*(1-EXP(-(0.2*B2450)*5)),0)+IF(AND(ArtifactsInput!$M$22,Inputs!$B$4&lt;&gt;"Chapter Hunt"),CHOOSE(ArtifactsInput!$N$22+1,10,12,14,16,18,20)*((0*(((0.15*B2450*5))^0/1)+1*(((0.15*B2450*5))^1/1)+2*(((0.15*B2450*5))^2/2)+3*(((0.15*B2450*5))^3/6)+4*(((0.15*B2450*5))^4/24)+5*(((0.15*B2450*5))^5/120))/((((0.15*B2450*5))^0/1)+(((0.15*B2450*5))^1/1)+(((0.15*B2450*5))^2/2)+(((0.15*B2450*5))^3/6)+(((0.15*B2450*5))^4/24)+(((0.15*B2450*5))^5/120))),0))+IF(Inputs!$B$3&gt;=54,9*(C2420=TRUE)*MIN(1,8*(1+Inputs!$B$34/100)*Q2420)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2428*(1-MIN(100,(Inputs!$B$9+((C2436=TRUE)*(F2436-Calc!F19))+B2448+(ArtifactsInput!$M$24-ArtifactsInput!$M$24)*CHOOSE(ArtifactsInput!$N$24+1,10,12,14,16,18,20)+(IF(AND(Inputs!$B$38&lt;&gt;"pvp",Inputs!$B$43=0),1,IF(IF(Inputs!$B$38="pvp",15,Inputs!$B$43)-(B2455)&lt;=0,1,MAX(0,IF(Inputs!$B$38="pvp",15,Inputs!$B$43)-MAX(5,B2455))/(IF(Inputs!$B$38="pvp",15,Inputs!$B$43)-(B2455))))*IF(AND(ArtifactsInput!$M$42,((Inputs!$B$9+((C2436=TRUE)*(F2436-Calc!F19))+B2448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2428*(MIN(100,(Inputs!$B$9+((C2436=TRUE)*(F2436-Calc!F19))+B2448+(ArtifactsInput!$M$24-ArtifactsInput!$M$24)*CHOOSE(ArtifactsInput!$N$24+1,10,12,14,16,18,20)+(IF(AND(Inputs!$B$38&lt;&gt;"pvp",Inputs!$B$43=0),1,IF(IF(Inputs!$B$38="pvp",15,Inputs!$B$43)-(B2455)&lt;=0,1,MAX(0,IF(Inputs!$B$38="pvp",15,Inputs!$B$43)-MAX(5,B2455))/(IF(Inputs!$B$38="pvp",15,Inputs!$B$43)-(B2455))))*IF(AND(ArtifactsInput!$M$42,((Inputs!$B$9+((C2436=TRUE)*(F2436-Calc!F19))+B2448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2428*(1-MIN(100,(Inputs!$B$9+((C2436=TRUE)*(F2436-Calc!F19))+B2448+(ArtifactsInput!$M$24-ArtifactsInput!$M$24)*CHOOSE(ArtifactsInput!$N$24+1,10,12,14,16,18,20)+(IF(AND(Inputs!$B$38&lt;&gt;"pvp",Inputs!$B$43=0),1,IF(IF(Inputs!$B$38="pvp",15,Inputs!$B$43)-(B2455)&lt;=0,1,MAX(0,IF(Inputs!$B$38="pvp",15,Inputs!$B$43)-MAX(5,B2455))/(IF(Inputs!$B$38="pvp",15,Inputs!$B$43)-(B2455))))*IF(AND(ArtifactsInput!$M$42,((Inputs!$B$9+((C2436=TRUE)*(F2436-Calc!F19))+B2448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2428*(MIN(100,(Inputs!$B$9+((C2436=TRUE)*(F2436-Calc!F19))+B2448+(ArtifactsInput!$M$24-ArtifactsInput!$M$24)*CHOOSE(ArtifactsInput!$N$24+1,10,12,14,16,18,20)+(IF(AND(Inputs!$B$38&lt;&gt;"pvp",Inputs!$B$43=0),1,IF(IF(Inputs!$B$38="pvp",15,Inputs!$B$43)-(B2455)&lt;=0,1,MAX(0,IF(Inputs!$B$38="pvp",15,Inputs!$B$43)-MAX(5,B2455))/(IF(Inputs!$B$38="pvp",15,Inputs!$B$43)-(B2455))))*IF(AND(ArtifactsInput!$M$42,((Inputs!$B$9+((C2436=TRUE)*(F2436-Calc!F19))+B2448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428">
        <f>IF(C2428,(H2428*N2428*IF(AND(Inputs!$B$38&lt;&gt;"pvp",Inputs!$B$43&gt;0),((Skills!G11*((R2428-1)*IF(Skills!H11&gt;0,INT(Skills!I11/Skills!H11+0.000000001),1)+IF(Skills!H11&gt;0,INT(MIN(Skills!I11,MAX(0,MAX(0,Inputs!$B$43-B2455)-((R2428-1)*((IF(Inputs!$B$38="pvp",15,MAX(0.1,Skills!D11-IF(TRUE=TRUE,Inputs!$B$32,0)))*(1-IF(AND(ArtifactsInput!$M$27,Inputs!$B$4="Chapter Hunt"),CHOOSE(ArtifactsInput!$N$27+1,20,24,28,32,36,40),0)/100))/B2459))))/Skills!H11+0.000000001),1)))/Inputs!$B$43),G2428*Q2428))*IF(Inputs!$B$38="pvp",1,(1+(Inputs!$B$21+Skills!Q11+(IF(ArtifactsInput!$M$33,CHOOSE(ArtifactsInput!$N$33+1,30,36,42,48,54,60),0))+(IF(AND(ArtifactsInput!$M$35,Inputs!$B$4&lt;&gt;"Chapter Hunt"),CHOOSE(ArtifactsInput!$N$35+1,15,18,21,24,27,30)*(1-EXP(-(0.2*B2450)*5)),0)+IF(AND(ArtifactsInput!$M$22,Inputs!$B$4&lt;&gt;"Chapter Hunt"),CHOOSE(ArtifactsInput!$N$22+1,10,12,14,16,18,20)*((0*(((0.15*B2450*5))^0/1)+1*(((0.15*B2450*5))^1/1)+2*(((0.15*B2450*5))^2/2)+3*(((0.15*B2450*5))^3/6)+4*(((0.15*B2450*5))^4/24)+5*(((0.15*B2450*5))^5/120))/((((0.15*B2450*5))^0/1)+(((0.15*B2450*5))^1/1)+(((0.15*B2450*5))^2/2)+(((0.15*B2450*5))^3/6)+(((0.15*B2450*5))^4/24)+(((0.15*B2450*5))^5/120))),0))+IF(Inputs!$B$3&gt;=54,9*(C2420=TRUE)*MIN(1,8*(1+Inputs!$B$34/100)*Q2420)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29">
      <c r="A2429">
        <f>Skills!A12</f>
        <v/>
      </c>
      <c r="B2429">
        <f>Skills!B12</f>
        <v/>
      </c>
      <c r="C2429">
        <f>Inputs!$B$3&gt;=110</f>
        <v/>
      </c>
      <c r="D2429">
        <f>IF(Skills!C12=1,60+Inputs!$B$25+Inputs!$B$29,IF(Skills!C12=2,90+Inputs!$B$26+Inputs!$B$29,IF(Skills!C12=3,120+Inputs!$B$27+Inputs!$B$29,MAX(0,(Inputs!$B$3-100)*3)+Inputs!$B$28+Inputs!$B$29)))</f>
        <v/>
      </c>
      <c r="E2429">
        <f>INDEX(FactorTable!$B$2:$Y$301, MATCH(ROUND(MIN(300,MAX(1,D2429)),0), FactorTable!$A$2:$A$301,0), Skills!M12+1)</f>
        <v/>
      </c>
      <c r="F2429">
        <f>IF(Skills!N12=TRUE,(Skills!L12/10)*(E2429/1000),Skills!L12/10)+Skills!O12</f>
        <v/>
      </c>
      <c r="G2429">
        <f>Skills!G12*IF(Skills!H12&gt;0,INT(IF(Inputs!$B$38="pvp",MIN(Skills!I12,15),Skills!I12)/Skills!H12+0.000000001),1)</f>
        <v/>
      </c>
      <c r="H2429">
        <f>1-(1-Skills!J12/100)^Skills!K12</f>
        <v/>
      </c>
      <c r="I2429" t="inlineStr">
        <is>
          <t>1</t>
        </is>
      </c>
      <c r="J2429">
        <f>((Inputs!$B$6*(1+Inputs!$B$7/100))+(((Inputs!$B$12*(1+Inputs!$B$13/100))-(Inputs!$B$12*(1+Inputs!$B$13/100)))+0.25*(Inputs!$B$14-Inputs!$B$14))*(1+Inputs!$B$7/100))*(F2429/100)</f>
        <v/>
      </c>
      <c r="K2429">
        <f>J2429*(1+((Inputs!$B$12*(1+Inputs!$B$13/100))*0.01+Inputs!$B$14*0.0025)/100)*(1+Inputs!$B$15/100)*(1+Inputs!$B$16/100)*(5000/(6000+Inputs!$B$42*(1-(100*(1-(1-(Inputs!$B$19+0)/100)*(1-CHOOSE(ArtifactsInput!$N$40+1,5,6,7,8,9,10)/100)^(ArtifactsInput!$M$40-ArtifactsInput!$M$40)))/100)))*(1+(Inputs!$B$24+((C2443=TRUE)*(F2443-Calc!F26))+B2454)/100)*(1+(((1+IF(AND(ArtifactsInput!$M$36,IF(Inputs!$B$38="pvp",TRUE,AND(Inputs!$B$38&lt;&gt;"pvp",Inputs!$B$43&gt;0))),CHOOSE(ArtifactsInput!$N$36+1,8,9.6,11.2,12.8,14.4,16),0)/100)*(1+IF(AND(IF(ArtifactsInput!$M$32,FALSE,TRUE),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EIGHT_LEGS_EASTON",Inputs!$B$17+((C2440=TRUE)*(F2440-Calc!F23))+((C2444=TRUE)*(F2444-Calc!F27))+((IF(AND(Inputs!$B$38&lt;&gt;"pvp",Inputs!$B$43=0),1,IF(IF(Inputs!$B$38="pvp",15,Inputs!$B$43)-(B2455)&lt;=0,1,MAX(0,IF(Inputs!$B$38="pvp",15,Inputs!$B$43)-MAX(5,B2455))/(IF(Inputs!$B$38="pvp",15,Inputs!$B$43)-(B2455))))*(IF(AND(ArtifactsInput!$M$42,((Inputs!$B$9+((C2436=TRUE)*(F2436-Calc!F19))+B2448+(ArtifactsInput!$M$24-ArtifactsInput!$M$24)*CHOOSE(ArtifactsInput!$N$24+1,10,12,14,16,18,20)+IF(ArtifactsInput!$M$10,CHOOSE(ArtifactsInput!$N$10+1,15,18,21,24,27,30)*(IF(Inputs!$B$38="pvp",MIN(15,15)/15,IF(AND(Inputs!$B$38&lt;&gt;"pvp",Inputs!$B$43&gt;0),MIN(15,Inputs!$B$43)/(Inputs!$B$43),0))),0)))&gt;=100),MIN(100,((Inputs!$B$9+((C2436=TRUE)*(F2436-Calc!F19))+B2448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2455)&lt;=0,1,MAX(0,IF(Inputs!$B$38="pvp",15,Inputs!$B$43)-MAX(5,B2455))/(IF(Inputs!$B$38="pvp",15,Inputs!$B$43)-(B2455))))*IF(AND(ArtifactsInput!$M$42,((Inputs!$B$9+((C2436=TRUE)*(F2436-Calc!F19))+B2448+(ArtifactsInput!$M$24-ArtifactsInput!$M$24)*CHOOSE(ArtifactsInput!$N$24+1,10,12,14,16,18,20)+IF(ArtifactsInput!$M$10,CHOOSE(ArtifactsInput!$N$10+1,15,18,21,24,27,30)*(IF(Inputs!$B$38="pvp",MIN(15,15)/15,IF(AND(Inputs!$B$38&lt;&gt;"pvp",Inputs!$B$43&gt;0),MIN(15,Inputs!$B$43)/(Inputs!$B$43),0))),0)))&gt;=100),CHOOSE(ArtifactsInput!$N$42+1,40,48,56,64,72,80),0))))/100)*((1+(((C2434=TRUE)*F2434*5/7)+((C2441=TRUE)*(F2441-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2429)</f>
        <v/>
      </c>
      <c r="L2429">
        <f>K2429*(MIN(Inputs!$B$22+((C2439=TRUE)*(F2439-Calc!F22)),(Inputs!$B$23+0+(IF(ArtifactsInput!$M$15,CHOOSE(ArtifactsInput!$N$15+1,25,30,35,40,45,50)/100*(Inputs!$B$11-Inputs!$B$11),0))))/100+(Inputs!$B$23+0+(IF(ArtifactsInput!$M$15,CHOOSE(ArtifactsInput!$N$15+1,25,30,35,40,45,50)/100*(Inputs!$B$11-Inputs!$B$11),0)))/100)/2</f>
        <v/>
      </c>
      <c r="M2429">
        <f>L2429*(1+(Inputs!$B$10+((C2442=TRUE)*(F2442-Calc!F25))+B2453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29">
        <f>L2429*(1-MIN((Inputs!$B$9+((C2436=TRUE)*(F2436-Calc!F19))+B2448+(ArtifactsInput!$M$24-ArtifactsInput!$M$24)*CHOOSE(ArtifactsInput!$N$24+1,10,12,14,16,18,20)+(IF(AND(Inputs!$B$38&lt;&gt;"pvp",Inputs!$B$43=0),1,IF(IF(Inputs!$B$38="pvp",15,Inputs!$B$43)-(B2455)&lt;=0,1,MAX(0,IF(Inputs!$B$38="pvp",15,Inputs!$B$43)-MAX(5,B2455))/(IF(Inputs!$B$38="pvp",15,Inputs!$B$43)-(B2455))))*IF(AND(ArtifactsInput!$M$42,((Inputs!$B$9+((C2436=TRUE)*(F2436-Calc!F19))+B2448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2429*(MIN((Inputs!$B$9+((C2436=TRUE)*(F2436-Calc!F19))+B2448+(ArtifactsInput!$M$24-ArtifactsInput!$M$24)*CHOOSE(ArtifactsInput!$N$24+1,10,12,14,16,18,20)+(IF(AND(Inputs!$B$38&lt;&gt;"pvp",Inputs!$B$43=0),1,IF(IF(Inputs!$B$38="pvp",15,Inputs!$B$43)-(B2455)&lt;=0,1,MAX(0,IF(Inputs!$B$38="pvp",15,Inputs!$B$43)-MAX(5,B2455))/(IF(Inputs!$B$38="pvp",15,Inputs!$B$43)-(B2455))))*IF(AND(ArtifactsInput!$M$42,((Inputs!$B$9+((C2436=TRUE)*(F2436-Calc!F19))+B2448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29">
        <f>(1-Summary!$B$11)*T2429+Summary!$B$11*V2429</f>
        <v/>
      </c>
      <c r="P2429">
        <f>IF(B2458=0,0,O2429/B2458)</f>
        <v/>
      </c>
      <c r="Q2429">
        <f>IFERROR(1/(IF(Inputs!$B$38="pvp",15,MAX(0.1,Skills!D12-IF(TRUE=TRUE,Inputs!$B$32,0)))*(1-IF(AND(ArtifactsInput!$M$27,Inputs!$B$4="Chapter Hunt"),CHOOSE(ArtifactsInput!$N$27+1,20,24,28,32,36,40),0)/100)),0)</f>
        <v/>
      </c>
      <c r="R2429">
        <f>IF(AND(Inputs!$B$38&lt;&gt;"pvp",Inputs!$B$43&gt;0),IF(MAX(0,Inputs!$B$43-B2455)&lt;=0,0,(INT(MAX(0,Inputs!$B$43-B2455)/(IF(Inputs!$B$38="pvp",15,MAX(0.1,Skills!D12-IF(TRUE=TRUE,Inputs!$B$32,0)))*(1-IF(AND(ArtifactsInput!$M$27,Inputs!$B$4="Chapter Hunt"),CHOOSE(ArtifactsInput!$N$27+1,20,24,28,32,36,40),0)/100)))+1)),0)</f>
        <v/>
      </c>
      <c r="S2429">
        <f>IFERROR(O2429/N2429,0)</f>
        <v/>
      </c>
      <c r="T2429">
        <f>IF(C2429,(H2429*N2429*IF(AND(Inputs!$B$38&lt;&gt;"pvp",Inputs!$B$43&gt;0),((Skills!G12*((R2429-1)*IF(Skills!H12&gt;0,INT(Skills!I12/Skills!H12+0.000000001),1)+IF(Skills!H12&gt;0,INT(MIN(Skills!I12,MAX(0,MAX(0,Inputs!$B$43-B2455)-((R2429-1)*(IF(Inputs!$B$38="pvp",15,MAX(0.1,Skills!D12-IF(TRUE=TRUE,Inputs!$B$32,0)))*(1-IF(AND(ArtifactsInput!$M$27,Inputs!$B$4="Chapter Hunt"),CHOOSE(ArtifactsInput!$N$27+1,20,24,28,32,36,40),0)/100)))))/Skills!H12+0.000000001),1)))/Inputs!$B$43),G2429*Q2429))*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Hunt"),CHOOSE(ArtifactsInput!$N$35+1,15,18,21,24,27,30)*(1-EXP(-(0.2*B2450)*5)),0)+IF(AND(ArtifactsInput!$M$22,Inputs!$B$4&lt;&gt;"Chapter Hunt"),CHOOSE(ArtifactsInput!$N$22+1,10,12,14,16,18,20)*((0*(((0.15*B2450*5))^0/1)+1*(((0.15*B2450*5))^1/1)+2*(((0.15*B2450*5))^2/2)+3*(((0.15*B2450*5))^3/6)+4*(((0.15*B2450*5))^4/24)+5*(((0.15*B2450*5))^5/120))/((((0.15*B2450*5))^0/1)+(((0.15*B2450*5))^1/1)+(((0.15*B2450*5))^2/2)+(((0.15*B2450*5))^3/6)+(((0.15*B2450*5))^4/24)+(((0.15*B2450*5))^5/120))),0))+IF(Inputs!$B$3&gt;=54,9*(C2420=TRUE)*MIN(1,8*(1+Inputs!$B$34/100)*Q2420)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2429*(1-MIN(100,(Inputs!$B$9+((C2436=TRUE)*(F2436-Calc!F19))+B2448+(ArtifactsInput!$M$24-ArtifactsInput!$M$24)*CHOOSE(ArtifactsInput!$N$24+1,10,12,14,16,18,20)+(IF(AND(Inputs!$B$38&lt;&gt;"pvp",Inputs!$B$43=0),1,IF(IF(Inputs!$B$38="pvp",15,Inputs!$B$43)-(B2455)&lt;=0,1,MAX(0,IF(Inputs!$B$38="pvp",15,Inputs!$B$43)-MAX(5,B2455))/(IF(Inputs!$B$38="pvp",15,Inputs!$B$43)-(B2455))))*IF(AND(ArtifactsInput!$M$42,((Inputs!$B$9+((C2436=TRUE)*(F2436-Calc!F19))+B2448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2429*(MIN(100,(Inputs!$B$9+((C2436=TRUE)*(F2436-Calc!F19))+B2448+(ArtifactsInput!$M$24-ArtifactsInput!$M$24)*CHOOSE(ArtifactsInput!$N$24+1,10,12,14,16,18,20)+(IF(AND(Inputs!$B$38&lt;&gt;"pvp",Inputs!$B$43=0),1,IF(IF(Inputs!$B$38="pvp",15,Inputs!$B$43)-(B2455)&lt;=0,1,MAX(0,IF(Inputs!$B$38="pvp",15,Inputs!$B$43)-MAX(5,B2455))/(IF(Inputs!$B$38="pvp",15,Inputs!$B$43)-(B2455))))*IF(AND(ArtifactsInput!$M$42,((Inputs!$B$9+((C2436=TRUE)*(F2436-Calc!F19))+B2448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2429*(1-MIN(100,(Inputs!$B$9+((C2436=TRUE)*(F2436-Calc!F19))+B2448+(ArtifactsInput!$M$24-ArtifactsInput!$M$24)*CHOOSE(ArtifactsInput!$N$24+1,10,12,14,16,18,20)+(IF(AND(Inputs!$B$38&lt;&gt;"pvp",Inputs!$B$43=0),1,IF(IF(Inputs!$B$38="pvp",15,Inputs!$B$43)-(B2455)&lt;=0,1,MAX(0,IF(Inputs!$B$38="pvp",15,Inputs!$B$43)-MAX(5,B2455))/(IF(Inputs!$B$38="pvp",15,Inputs!$B$43)-(B2455))))*IF(AND(ArtifactsInput!$M$42,((Inputs!$B$9+((C2436=TRUE)*(F2436-Calc!F19))+B2448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2429*(MIN(100,(Inputs!$B$9+((C2436=TRUE)*(F2436-Calc!F19))+B2448+(ArtifactsInput!$M$24-ArtifactsInput!$M$24)*CHOOSE(ArtifactsInput!$N$24+1,10,12,14,16,18,20)+(IF(AND(Inputs!$B$38&lt;&gt;"pvp",Inputs!$B$43=0),1,IF(IF(Inputs!$B$38="pvp",15,Inputs!$B$43)-(B2455)&lt;=0,1,MAX(0,IF(Inputs!$B$38="pvp",15,Inputs!$B$43)-MAX(5,B2455))/(IF(Inputs!$B$38="pvp",15,Inputs!$B$43)-(B2455))))*IF(AND(ArtifactsInput!$M$42,((Inputs!$B$9+((C2436=TRUE)*(F2436-Calc!F19))+B2448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429">
        <f>IF(C2429,(H2429*N2429*IF(AND(Inputs!$B$38&lt;&gt;"pvp",Inputs!$B$43&gt;0),((Skills!G12*((R2429-1)*IF(Skills!H12&gt;0,INT(Skills!I12/Skills!H12+0.000000001),1)+IF(Skills!H12&gt;0,INT(MIN(Skills!I12,MAX(0,MAX(0,Inputs!$B$43-B2455)-((R2429-1)*(IF(Inputs!$B$38="pvp",15,MAX(0.1,Skills!D12-IF(TRUE=TRUE,Inputs!$B$32,0)))*(1-IF(AND(ArtifactsInput!$M$27,Inputs!$B$4="Chapter Hunt"),CHOOSE(ArtifactsInput!$N$27+1,20,24,28,32,36,40),0)/100)))))/Skills!H12+0.000000001),1)))/Inputs!$B$43),G2429*Q2429))*IF(Inputs!$B$38="pvp",1,(1+(Inputs!$B$21+Skills!Q12+(IF(ArtifactsInput!$M$33,CHOOSE(ArtifactsInput!$N$33+1,30,36,42,48,54,60),0))+(IF(AND(ArtifactsInput!$M$35,Inputs!$B$4&lt;&gt;"Chapter Hunt"),CHOOSE(ArtifactsInput!$N$35+1,15,18,21,24,27,30)*(1-EXP(-(0.2*B2450)*5)),0)+IF(AND(ArtifactsInput!$M$22,Inputs!$B$4&lt;&gt;"Chapter Hunt"),CHOOSE(ArtifactsInput!$N$22+1,10,12,14,16,18,20)*((0*(((0.15*B2450*5))^0/1)+1*(((0.15*B2450*5))^1/1)+2*(((0.15*B2450*5))^2/2)+3*(((0.15*B2450*5))^3/6)+4*(((0.15*B2450*5))^4/24)+5*(((0.15*B2450*5))^5/120))/((((0.15*B2450*5))^0/1)+(((0.15*B2450*5))^1/1)+(((0.15*B2450*5))^2/2)+(((0.15*B2450*5))^3/6)+(((0.15*B2450*5))^4/24)+(((0.15*B2450*5))^5/120))),0))+IF(Inputs!$B$3&gt;=54,9*(C2420=TRUE)*MIN(1,8*(1+Inputs!$B$34/100)*Q2420),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30">
      <c r="A2430">
        <f>Skills!A13</f>
        <v/>
      </c>
      <c r="B2430">
        <f>Skills!B13</f>
        <v/>
      </c>
      <c r="C2430">
        <f>Inputs!$B$3&gt;=110</f>
        <v/>
      </c>
      <c r="D2430">
        <f>IF(Skills!C13=1,60+Inputs!$B$25+Inputs!$B$29,IF(Skills!C13=2,90+Inputs!$B$26+Inputs!$B$29,IF(Skills!C13=3,120+Inputs!$B$27+Inputs!$B$29,MAX(0,(Inputs!$B$3-100)*3)+Inputs!$B$28+Inputs!$B$29)))</f>
        <v/>
      </c>
      <c r="E2430">
        <f>INDEX(FactorTable!$B$2:$Y$301, MATCH(ROUND(MIN(300,MAX(1,D2430)),0), FactorTable!$A$2:$A$301,0), Skills!M13+1)</f>
        <v/>
      </c>
      <c r="F2430">
        <f>IF(Skills!N13=TRUE,(Skills!L13/10)*(E2430/1000),Skills!L13/10)+Skills!O13</f>
        <v/>
      </c>
      <c r="G2430">
        <f>Skills!G13*IF(Skills!H13&gt;0,INT(IF(Inputs!$B$38="pvp",MIN(Skills!I13,15),Skills!I13)/Skills!H13+0.000000001),1)</f>
        <v/>
      </c>
      <c r="H2430">
        <f>1-(1-Skills!J13/100)^Skills!K13</f>
        <v/>
      </c>
      <c r="I2430" t="inlineStr">
        <is>
          <t>1</t>
        </is>
      </c>
      <c r="J2430">
        <f>((Inputs!$B$6*(1+Inputs!$B$7/100))+(((Inputs!$B$12*(1+Inputs!$B$13/100))-(Inputs!$B$12*(1+Inputs!$B$13/100)))+0.25*(Inputs!$B$14-Inputs!$B$14))*(1+Inputs!$B$7/100))*(F2430/100)</f>
        <v/>
      </c>
      <c r="K2430">
        <f>J2430*(1+((Inputs!$B$12*(1+Inputs!$B$13/100))*0.01+Inputs!$B$14*0.0025)/100)*(1+Inputs!$B$15/100)*(1+Inputs!$B$16/100)*(5000/(6000+Inputs!$B$42*(1-(100*(1-(1-(Inputs!$B$19+0)/100)*(1-CHOOSE(ArtifactsInput!$N$40+1,5,6,7,8,9,10)/100)^(ArtifactsInput!$M$40-ArtifactsInput!$M$40)))/100)))*(1+(Inputs!$B$24+((C2443=TRUE)*(F2443-Calc!F26))+B2454)/100)*(1+(((1+IF(AND(ArtifactsInput!$M$36,IF(Inputs!$B$38="pvp",TRUE,AND(Inputs!$B$38&lt;&gt;"pvp",Inputs!$B$43&gt;0))),CHOOSE(ArtifactsInput!$N$36+1,8,9.6,11.2,12.8,14.4,16),0)/100)*(1+IF(AND(IF(ArtifactsInput!$M$32,FALSE,TRUE),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EIGHT_LEGS_EASTON",Inputs!$B$17+((C2440=TRUE)*(F2440-Calc!F23))+((C2444=TRUE)*(F2444-Calc!F27))+((IF(AND(Inputs!$B$38&lt;&gt;"pvp",Inputs!$B$43=0),1,IF(IF(Inputs!$B$38="pvp",15,Inputs!$B$43)-(B2455)&lt;=0,1,MAX(0,IF(Inputs!$B$38="pvp",15,Inputs!$B$43)-MAX(5,B2455))/(IF(Inputs!$B$38="pvp",15,Inputs!$B$43)-(B2455))))*(IF(AND(ArtifactsInput!$M$42,((Inputs!$B$9+((C2436=TRUE)*(F2436-Calc!F19))+B2448+(ArtifactsInput!$M$24-ArtifactsInput!$M$24)*CHOOSE(ArtifactsInput!$N$24+1,10,12,14,16,18,20)+IF(ArtifactsInput!$M$10,CHOOSE(ArtifactsInput!$N$10+1,15,18,21,24,27,30)*(IF(Inputs!$B$38="pvp",MIN(15,15)/15,IF(AND(Inputs!$B$38&lt;&gt;"pvp",Inputs!$B$43&gt;0),MIN(15,Inputs!$B$43)/(Inputs!$B$43),0))),0)))&gt;=100),MIN(100,((Inputs!$B$9+((C2436=TRUE)*(F2436-Calc!F19))+B2448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2455)&lt;=0,1,MAX(0,IF(Inputs!$B$38="pvp",15,Inputs!$B$43)-MAX(5,B2455))/(IF(Inputs!$B$38="pvp",15,Inputs!$B$43)-(B2455))))*IF(AND(ArtifactsInput!$M$42,((Inputs!$B$9+((C2436=TRUE)*(F2436-Calc!F19))+B2448+(ArtifactsInput!$M$24-ArtifactsInput!$M$24)*CHOOSE(ArtifactsInput!$N$24+1,10,12,14,16,18,20)+IF(ArtifactsInput!$M$10,CHOOSE(ArtifactsInput!$N$10+1,15,18,21,24,27,30)*(IF(Inputs!$B$38="pvp",MIN(15,15)/15,IF(AND(Inputs!$B$38&lt;&gt;"pvp",Inputs!$B$43&gt;0),MIN(15,Inputs!$B$43)/(Inputs!$B$43),0))),0)))&gt;=100),CHOOSE(ArtifactsInput!$N$42+1,40,48,56,64,72,80),0))))/100)*((1+(((C2434=TRUE)*F2434*5/7)+((C2441=TRUE)*(F2441-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2430)</f>
        <v/>
      </c>
      <c r="L2430">
        <f>K2430*(MIN(Inputs!$B$22+((C2439=TRUE)*(F2439-Calc!F22)),(Inputs!$B$23+0+(IF(ArtifactsInput!$M$15,CHOOSE(ArtifactsInput!$N$15+1,25,30,35,40,45,50)/100*(Inputs!$B$11-Inputs!$B$11),0))))/100+(Inputs!$B$23+0+(IF(ArtifactsInput!$M$15,CHOOSE(ArtifactsInput!$N$15+1,25,30,35,40,45,50)/100*(Inputs!$B$11-Inputs!$B$11),0)))/100)/2</f>
        <v/>
      </c>
      <c r="M2430">
        <f>L2430*(1+(Inputs!$B$10+((C2442=TRUE)*(F2442-Calc!F25))+B2453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30">
        <f>L2430*(1-MIN((Inputs!$B$9+((C2436=TRUE)*(F2436-Calc!F19))+B2448+(ArtifactsInput!$M$24-ArtifactsInput!$M$24)*CHOOSE(ArtifactsInput!$N$24+1,10,12,14,16,18,20)+(IF(AND(Inputs!$B$38&lt;&gt;"pvp",Inputs!$B$43=0),1,IF(IF(Inputs!$B$38="pvp",15,Inputs!$B$43)-(B2455)&lt;=0,1,MAX(0,IF(Inputs!$B$38="pvp",15,Inputs!$B$43)-MAX(5,B2455))/(IF(Inputs!$B$38="pvp",15,Inputs!$B$43)-(B2455))))*IF(AND(ArtifactsInput!$M$42,((Inputs!$B$9+((C2436=TRUE)*(F2436-Calc!F19))+B2448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2430*(MIN((Inputs!$B$9+((C2436=TRUE)*(F2436-Calc!F19))+B2448+(ArtifactsInput!$M$24-ArtifactsInput!$M$24)*CHOOSE(ArtifactsInput!$N$24+1,10,12,14,16,18,20)+(IF(AND(Inputs!$B$38&lt;&gt;"pvp",Inputs!$B$43=0),1,IF(IF(Inputs!$B$38="pvp",15,Inputs!$B$43)-(B2455)&lt;=0,1,MAX(0,IF(Inputs!$B$38="pvp",15,Inputs!$B$43)-MAX(5,B2455))/(IF(Inputs!$B$38="pvp",15,Inputs!$B$43)-(B2455))))*IF(AND(ArtifactsInput!$M$42,((Inputs!$B$9+((C2436=TRUE)*(F2436-Calc!F19))+B2448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30">
        <f>(1-Summary!$B$11)*T2430+Summary!$B$11*V2430</f>
        <v/>
      </c>
      <c r="P2430">
        <f>IF(B2458=0,0,O2430/B2458)</f>
        <v/>
      </c>
      <c r="Q2430">
        <f>IFERROR(1/(IF(Inputs!$B$38="pvp",15,MAX(0.1,Skills!D13-IF(TRUE=TRUE,Inputs!$B$32,0)))*(1-IF(AND(ArtifactsInput!$M$27,Inputs!$B$4="Chapter Hunt"),CHOOSE(ArtifactsInput!$N$27+1,20,24,28,32,36,40),0)/100)),0)</f>
        <v/>
      </c>
      <c r="R2430">
        <f>IF(AND(Inputs!$B$38&lt;&gt;"pvp",Inputs!$B$43&gt;0),IF(MAX(0,Inputs!$B$43-B2455)&lt;=0,0,(INT(MAX(0,Inputs!$B$43-B2455)/(IF(Inputs!$B$38="pvp",15,MAX(0.1,Skills!D13-IF(TRUE=TRUE,Inputs!$B$32,0)))*(1-IF(AND(ArtifactsInput!$M$27,Inputs!$B$4="Chapter Hunt"),CHOOSE(ArtifactsInput!$N$27+1,20,24,28,32,36,40),0)/100)))+1)),0)</f>
        <v/>
      </c>
      <c r="S2430">
        <f>IFERROR(O2430/N2430,0)</f>
        <v/>
      </c>
      <c r="T2430">
        <f>IF(C2430,(H2430*N2430*IF(AND(Inputs!$B$38&lt;&gt;"pvp",Inputs!$B$43&gt;0),((Skills!G13*((R2430-1)*IF(Skills!H13&gt;0,INT(Skills!I13/Skills!H13+0.000000001),1)+IF(Skills!H13&gt;0,INT(MIN(Skills!I13,MAX(0,MAX(0,Inputs!$B$43-B2455)-((R2430-1)*(IF(Inputs!$B$38="pvp",15,MAX(0.1,Skills!D13-IF(TRUE=TRUE,Inputs!$B$32,0)))*(1-IF(AND(ArtifactsInput!$M$27,Inputs!$B$4="Chapter Hunt"),CHOOSE(ArtifactsInput!$N$27+1,20,24,28,32,36,40),0)/100)))))/Skills!H13+0.000000001),1)))/Inputs!$B$43),G2430*Q2430))*IF(Inputs!$B$38="pvp",1,1+(Inputs!$B$20+0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Hunt"),CHOOSE(ArtifactsInput!$N$35+1,15,18,21,24,27,30)*(1-EXP(-(0.2*B2450)*5)),0)+IF(AND(ArtifactsInput!$M$22,Inputs!$B$4&lt;&gt;"Chapter Hunt"),CHOOSE(ArtifactsInput!$N$22+1,10,12,14,16,18,20)*((0*(((0.15*B2450*5))^0/1)+1*(((0.15*B2450*5))^1/1)+2*(((0.15*B2450*5))^2/2)+3*(((0.15*B2450*5))^3/6)+4*(((0.15*B2450*5))^4/24)+5*(((0.15*B2450*5))^5/120))/((((0.15*B2450*5))^0/1)+(((0.15*B2450*5))^1/1)+(((0.15*B2450*5))^2/2)+(((0.15*B2450*5))^3/6)+(((0.15*B2450*5))^4/24)+(((0.15*B2450*5))^5/120))),0))+IF(Inputs!$B$3&gt;=54,9*(C2420=TRUE)*MIN(1,8*(1+Inputs!$B$34/100)*Q2420)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2430*(1-MIN(100,(Inputs!$B$9+((C2436=TRUE)*(F2436-Calc!F19))+B2448+(ArtifactsInput!$M$24-ArtifactsInput!$M$24)*CHOOSE(ArtifactsInput!$N$24+1,10,12,14,16,18,20)+(IF(AND(Inputs!$B$38&lt;&gt;"pvp",Inputs!$B$43=0),1,IF(IF(Inputs!$B$38="pvp",15,Inputs!$B$43)-(B2455)&lt;=0,1,MAX(0,IF(Inputs!$B$38="pvp",15,Inputs!$B$43)-MAX(5,B2455))/(IF(Inputs!$B$38="pvp",15,Inputs!$B$43)-(B2455))))*IF(AND(ArtifactsInput!$M$42,((Inputs!$B$9+((C2436=TRUE)*(F2436-Calc!F19))+B2448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2430*(MIN(100,(Inputs!$B$9+((C2436=TRUE)*(F2436-Calc!F19))+B2448+(ArtifactsInput!$M$24-ArtifactsInput!$M$24)*CHOOSE(ArtifactsInput!$N$24+1,10,12,14,16,18,20)+(IF(AND(Inputs!$B$38&lt;&gt;"pvp",Inputs!$B$43=0),1,IF(IF(Inputs!$B$38="pvp",15,Inputs!$B$43)-(B2455)&lt;=0,1,MAX(0,IF(Inputs!$B$38="pvp",15,Inputs!$B$43)-MAX(5,B2455))/(IF(Inputs!$B$38="pvp",15,Inputs!$B$43)-(B2455))))*IF(AND(ArtifactsInput!$M$42,((Inputs!$B$9+((C2436=TRUE)*(F2436-Calc!F19))+B2448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2430*(1-MIN(100,(Inputs!$B$9+((C2436=TRUE)*(F2436-Calc!F19))+B2448+(ArtifactsInput!$M$24-ArtifactsInput!$M$24)*CHOOSE(ArtifactsInput!$N$24+1,10,12,14,16,18,20)+(IF(AND(Inputs!$B$38&lt;&gt;"pvp",Inputs!$B$43=0),1,IF(IF(Inputs!$B$38="pvp",15,Inputs!$B$43)-(B2455)&lt;=0,1,MAX(0,IF(Inputs!$B$38="pvp",15,Inputs!$B$43)-MAX(5,B2455))/(IF(Inputs!$B$38="pvp",15,Inputs!$B$43)-(B2455))))*IF(AND(ArtifactsInput!$M$42,((Inputs!$B$9+((C2436=TRUE)*(F2436-Calc!F19))+B2448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2430*(MIN(100,(Inputs!$B$9+((C2436=TRUE)*(F2436-Calc!F19))+B2448+(ArtifactsInput!$M$24-ArtifactsInput!$M$24)*CHOOSE(ArtifactsInput!$N$24+1,10,12,14,16,18,20)+(IF(AND(Inputs!$B$38&lt;&gt;"pvp",Inputs!$B$43=0),1,IF(IF(Inputs!$B$38="pvp",15,Inputs!$B$43)-(B2455)&lt;=0,1,MAX(0,IF(Inputs!$B$38="pvp",15,Inputs!$B$43)-MAX(5,B2455))/(IF(Inputs!$B$38="pvp",15,Inputs!$B$43)-(B2455))))*IF(AND(ArtifactsInput!$M$42,((Inputs!$B$9+((C2436=TRUE)*(F2436-Calc!F19))+B2448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430">
        <f>IF(C2430,(H2430*N2430*IF(AND(Inputs!$B$38&lt;&gt;"pvp",Inputs!$B$43&gt;0),((Skills!G13*((R2430-1)*IF(Skills!H13&gt;0,INT(Skills!I13/Skills!H13+0.000000001),1)+IF(Skills!H13&gt;0,INT(MIN(Skills!I13,MAX(0,MAX(0,Inputs!$B$43-B2455)-((R2430-1)*(IF(Inputs!$B$38="pvp",15,MAX(0.1,Skills!D13-IF(TRUE=TRUE,Inputs!$B$32,0)))*(1-IF(AND(ArtifactsInput!$M$27,Inputs!$B$4="Chapter Hunt"),CHOOSE(ArtifactsInput!$N$27+1,20,24,28,32,36,40),0)/100)))))/Skills!H13+0.000000001),1)))/Inputs!$B$43),G2430*Q2430))*IF(Inputs!$B$38="pvp",1,(1+(Inputs!$B$21+Skills!Q13+(IF(ArtifactsInput!$M$33,CHOOSE(ArtifactsInput!$N$33+1,30,36,42,48,54,60),0))+(IF(AND(ArtifactsInput!$M$35,Inputs!$B$4&lt;&gt;"Chapter Hunt"),CHOOSE(ArtifactsInput!$N$35+1,15,18,21,24,27,30)*(1-EXP(-(0.2*B2450)*5)),0)+IF(AND(ArtifactsInput!$M$22,Inputs!$B$4&lt;&gt;"Chapter Hunt"),CHOOSE(ArtifactsInput!$N$22+1,10,12,14,16,18,20)*((0*(((0.15*B2450*5))^0/1)+1*(((0.15*B2450*5))^1/1)+2*(((0.15*B2450*5))^2/2)+3*(((0.15*B2450*5))^3/6)+4*(((0.15*B2450*5))^4/24)+5*(((0.15*B2450*5))^5/120))/((((0.15*B2450*5))^0/1)+(((0.15*B2450*5))^1/1)+(((0.15*B2450*5))^2/2)+(((0.15*B2450*5))^3/6)+(((0.15*B2450*5))^4/24)+(((0.15*B2450*5))^5/120))),0))+IF(Inputs!$B$3&gt;=54,9*(C2420=TRUE)*MIN(1,8*(1+Inputs!$B$34/100)*Q2420),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31">
      <c r="A2431">
        <f>Skills!A14</f>
        <v/>
      </c>
      <c r="B2431">
        <f>Skills!B14</f>
        <v/>
      </c>
      <c r="C2431">
        <f>Inputs!$B$3&gt;=120</f>
        <v/>
      </c>
      <c r="D2431">
        <f>IF(Skills!C14=1,60+Inputs!$B$25+Inputs!$B$29,IF(Skills!C14=2,90+Inputs!$B$26+Inputs!$B$29,IF(Skills!C14=3,120+Inputs!$B$27+Inputs!$B$29,MAX(0,(Inputs!$B$3-100)*3)+Inputs!$B$28+Inputs!$B$29)))</f>
        <v/>
      </c>
      <c r="E2431">
        <f>INDEX(FactorTable!$B$2:$Y$301, MATCH(ROUND(MIN(300,MAX(1,D2431)),0), FactorTable!$A$2:$A$301,0), Skills!M14+1)</f>
        <v/>
      </c>
      <c r="F2431">
        <f>IF(Skills!N14=TRUE,(Skills!L14/10)*(E2431/1000),Skills!L14/10)+Skills!O14</f>
        <v/>
      </c>
      <c r="G2431">
        <f>Skills!G14*IF(Skills!H14&gt;0,INT(IF(Inputs!$B$38="pvp",MIN(Skills!I14,15),Skills!I14)/Skills!H14+0.000000001),1)</f>
        <v/>
      </c>
      <c r="H2431">
        <f>1-(1-Skills!J14/100)^Skills!K14</f>
        <v/>
      </c>
      <c r="I2431" t="inlineStr">
        <is>
          <t>1</t>
        </is>
      </c>
      <c r="J2431">
        <f>((Inputs!$B$6*(1+Inputs!$B$7/100))+(((Inputs!$B$12*(1+Inputs!$B$13/100))-(Inputs!$B$12*(1+Inputs!$B$13/100)))+0.25*(Inputs!$B$14-Inputs!$B$14))*(1+Inputs!$B$7/100))*(F2431/100)</f>
        <v/>
      </c>
      <c r="K2431">
        <f>J2431*(1+((Inputs!$B$12*(1+Inputs!$B$13/100))*0.01+Inputs!$B$14*0.0025)/100)*(1+Inputs!$B$15/100)*(1+Inputs!$B$16/100)*(5000/(6000+Inputs!$B$42*(1-(100*(1-(1-(Inputs!$B$19+0)/100)*(1-CHOOSE(ArtifactsInput!$N$40+1,5,6,7,8,9,10)/100)^(ArtifactsInput!$M$40-ArtifactsInput!$M$40)))/100)))*(1+(Inputs!$B$24+((C2443=TRUE)*(F2443-Calc!F26))+B2454)/100)*(1+(((1+IF(AND(ArtifactsInput!$M$36,IF(Inputs!$B$38="pvp",TRUE,AND(Inputs!$B$38&lt;&gt;"pvp",Inputs!$B$43&gt;0))),CHOOSE(ArtifactsInput!$N$36+1,8,9.6,11.2,12.8,14.4,16),0)/100)*(1+IF(AND(IF(ArtifactsInput!$M$32,FALSE,TRUE),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EIGHT_LEGS_EASTON",Inputs!$B$17+((C2440=TRUE)*(F2440-Calc!F23))+((C2444=TRUE)*(F2444-Calc!F27))+((IF(AND(Inputs!$B$38&lt;&gt;"pvp",Inputs!$B$43=0),1,IF(IF(Inputs!$B$38="pvp",15,Inputs!$B$43)-(B2455)&lt;=0,1,MAX(0,IF(Inputs!$B$38="pvp",15,Inputs!$B$43)-MAX(5,B2455))/(IF(Inputs!$B$38="pvp",15,Inputs!$B$43)-(B2455))))*(IF(AND(ArtifactsInput!$M$42,((Inputs!$B$9+((C2436=TRUE)*(F2436-Calc!F19))+B2448+(ArtifactsInput!$M$24-ArtifactsInput!$M$24)*CHOOSE(ArtifactsInput!$N$24+1,10,12,14,16,18,20)+IF(ArtifactsInput!$M$10,CHOOSE(ArtifactsInput!$N$10+1,15,18,21,24,27,30)*(IF(Inputs!$B$38="pvp",MIN(15,15)/15,IF(AND(Inputs!$B$38&lt;&gt;"pvp",Inputs!$B$43&gt;0),MIN(15,Inputs!$B$43)/(Inputs!$B$43),0))),0)))&gt;=100),MIN(100,((Inputs!$B$9+((C2436=TRUE)*(F2436-Calc!F19))+B2448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2455)&lt;=0,1,MAX(0,IF(Inputs!$B$38="pvp",15,Inputs!$B$43)-MAX(5,B2455))/(IF(Inputs!$B$38="pvp",15,Inputs!$B$43)-(B2455))))*IF(AND(ArtifactsInput!$M$42,((Inputs!$B$9+((C2436=TRUE)*(F2436-Calc!F19))+B2448+(ArtifactsInput!$M$24-ArtifactsInput!$M$24)*CHOOSE(ArtifactsInput!$N$24+1,10,12,14,16,18,20)+IF(ArtifactsInput!$M$10,CHOOSE(ArtifactsInput!$N$10+1,15,18,21,24,27,30)*(IF(Inputs!$B$38="pvp",MIN(15,15)/15,IF(AND(Inputs!$B$38&lt;&gt;"pvp",Inputs!$B$43&gt;0),MIN(15,Inputs!$B$43)/(Inputs!$B$43),0))),0)))&gt;=100),CHOOSE(ArtifactsInput!$N$42+1,40,48,56,64,72,80),0))))/100)*((1+(((C2434=TRUE)*F2434*5/7)+((C2441=TRUE)*(F2441-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2431)</f>
        <v/>
      </c>
      <c r="L2431">
        <f>K2431*(MIN(Inputs!$B$22+((C2439=TRUE)*(F2439-Calc!F22)),(Inputs!$B$23+0+(IF(ArtifactsInput!$M$15,CHOOSE(ArtifactsInput!$N$15+1,25,30,35,40,45,50)/100*(Inputs!$B$11-Inputs!$B$11),0))))/100+(Inputs!$B$23+0+(IF(ArtifactsInput!$M$15,CHOOSE(ArtifactsInput!$N$15+1,25,30,35,40,45,50)/100*(Inputs!$B$11-Inputs!$B$11),0)))/100)/2</f>
        <v/>
      </c>
      <c r="M2431">
        <f>L2431*(1+(Inputs!$B$10+((C2442=TRUE)*(F2442-Calc!F25))+B2453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31">
        <f>L2431*(1-MIN((Inputs!$B$9+((C2436=TRUE)*(F2436-Calc!F19))+B2448+(ArtifactsInput!$M$24-ArtifactsInput!$M$24)*CHOOSE(ArtifactsInput!$N$24+1,10,12,14,16,18,20)+(IF(AND(Inputs!$B$38&lt;&gt;"pvp",Inputs!$B$43=0),1,IF(IF(Inputs!$B$38="pvp",15,Inputs!$B$43)-(B2455)&lt;=0,1,MAX(0,IF(Inputs!$B$38="pvp",15,Inputs!$B$43)-MAX(5,B2455))/(IF(Inputs!$B$38="pvp",15,Inputs!$B$43)-(B2455))))*IF(AND(ArtifactsInput!$M$42,((Inputs!$B$9+((C2436=TRUE)*(F2436-Calc!F19))+B2448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2431*(MIN((Inputs!$B$9+((C2436=TRUE)*(F2436-Calc!F19))+B2448+(ArtifactsInput!$M$24-ArtifactsInput!$M$24)*CHOOSE(ArtifactsInput!$N$24+1,10,12,14,16,18,20)+(IF(AND(Inputs!$B$38&lt;&gt;"pvp",Inputs!$B$43=0),1,IF(IF(Inputs!$B$38="pvp",15,Inputs!$B$43)-(B2455)&lt;=0,1,MAX(0,IF(Inputs!$B$38="pvp",15,Inputs!$B$43)-MAX(5,B2455))/(IF(Inputs!$B$38="pvp",15,Inputs!$B$43)-(B2455))))*IF(AND(ArtifactsInput!$M$42,((Inputs!$B$9+((C2436=TRUE)*(F2436-Calc!F19))+B2448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31">
        <f>(1-Summary!$B$11)*T2431+Summary!$B$11*V2431</f>
        <v/>
      </c>
      <c r="P2431">
        <f>IF(B2458=0,0,O2431/B2458)</f>
        <v/>
      </c>
      <c r="Q2431" t="n">
        <v>0</v>
      </c>
      <c r="R2431" t="n">
        <v>0</v>
      </c>
      <c r="S2431">
        <f>IFERROR(O2431/N2431,0)</f>
        <v/>
      </c>
      <c r="T2431">
        <f>IF(C2431,((H2431*(B2452+IF(AND(Inputs!$B$38&lt;&gt;"pvp",Inputs!$B$43&gt;0),((Skills!G8*((R2425-1)*IF(Skills!H8&gt;0,INT(Skills!I8/Skills!H8+0.000000001),1)+IF(Skills!H8&gt;0,INT(MIN(Skills!I8,MAX(0,MAX(0,Inputs!$B$43-B2455)-((R2425-1)*((IF(Inputs!$B$38="pvp",15,MAX(0.1,Skills!D8-IF(TRUE=TRUE,Inputs!$B$32,0)))*(1-IF(AND(ArtifactsInput!$M$27,Inputs!$B$4="Chapter Hunt"),CHOOSE(ArtifactsInput!$N$27+1,20,24,28,32,36,40),0)/100))/B2459))))/Skills!H8+0.000000001),1)))/Inputs!$B$43),G2425*Q2425)+IF(AND(Inputs!$B$38&lt;&gt;"pvp",Inputs!$B$43&gt;0),((Skills!G11*((R2428-1)*IF(Skills!H11&gt;0,INT(Skills!I11/Skills!H11+0.000000001),1)+IF(Skills!H11&gt;0,INT(MIN(Skills!I11,MAX(0,MAX(0,Inputs!$B$43-B2455)-((R2428-1)*((IF(Inputs!$B$38="pvp",15,MAX(0.1,Skills!D11-IF(TRUE=TRUE,Inputs!$B$32,0)))*(1-IF(AND(ArtifactsInput!$M$27,Inputs!$B$4="Chapter Hunt"),CHOOSE(ArtifactsInput!$N$27+1,20,24,28,32,36,40),0)/100))/B2459))))/Skills!H11+0.000000001),1)))/Inputs!$B$43),G2428*Q2428)))/(1+Skills!H14*H2431*(B2452+IF(AND(Inputs!$B$38&lt;&gt;"pvp",Inputs!$B$43&gt;0),((Skills!G8*((R2425-1)*IF(Skills!H8&gt;0,INT(Skills!I8/Skills!H8+0.000000001),1)+IF(Skills!H8&gt;0,INT(MIN(Skills!I8,MAX(0,MAX(0,Inputs!$B$43-B2455)-((R2425-1)*((IF(Inputs!$B$38="pvp",15,MAX(0.1,Skills!D8-IF(TRUE=TRUE,Inputs!$B$32,0)))*(1-IF(AND(ArtifactsInput!$M$27,Inputs!$B$4="Chapter Hunt"),CHOOSE(ArtifactsInput!$N$27+1,20,24,28,32,36,40),0)/100))/B2459))))/Skills!H8+0.000000001),1)))/Inputs!$B$43),G2425*Q2425)+IF(AND(Inputs!$B$38&lt;&gt;"pvp",Inputs!$B$43&gt;0),((Skills!G11*((R2428-1)*IF(Skills!H11&gt;0,INT(Skills!I11/Skills!H11+0.000000001),1)+IF(Skills!H11&gt;0,INT(MIN(Skills!I11,MAX(0,MAX(0,Inputs!$B$43-B2455)-((R2428-1)*((IF(Inputs!$B$38="pvp",15,MAX(0.1,Skills!D11-IF(TRUE=TRUE,Inputs!$B$32,0)))*(1-IF(AND(ArtifactsInput!$M$27,Inputs!$B$4="Chapter Hunt"),CHOOSE(ArtifactsInput!$N$27+1,20,24,28,32,36,40),0)/100))/B2459))))/Skills!H11+0.000000001),1)))/Inputs!$B$43),G2428*Q2428)))*N2431)*IF(Inputs!$B$38="pvp",1,1+(Inputs!$B$20+0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Hunt"),CHOOSE(ArtifactsInput!$N$35+1,15,18,21,24,27,30)*(1-EXP(-(0.2*B2450)*5)),0)+IF(AND(ArtifactsInput!$M$22,Inputs!$B$4&lt;&gt;"Chapter Hunt"),CHOOSE(ArtifactsInput!$N$22+1,10,12,14,16,18,20)*((0*(((0.15*B2450*5))^0/1)+1*(((0.15*B2450*5))^1/1)+2*(((0.15*B2450*5))^2/2)+3*(((0.15*B2450*5))^3/6)+4*(((0.15*B2450*5))^4/24)+5*(((0.15*B2450*5))^5/120))/((((0.15*B2450*5))^0/1)+(((0.15*B2450*5))^1/1)+(((0.15*B2450*5))^2/2)+(((0.15*B2450*5))^3/6)+(((0.15*B2450*5))^4/24)+(((0.15*B2450*5))^5/120))),0))+IF(Inputs!$B$3&gt;=54,9*(C2420=TRUE)*MIN(1,8*(1+Inputs!$B$34/100)*Q2420)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2431*(1-MIN(100,(Inputs!$B$9+((C2436=TRUE)*(F2436-Calc!F19))+B2448+(ArtifactsInput!$M$24-ArtifactsInput!$M$24)*CHOOSE(ArtifactsInput!$N$24+1,10,12,14,16,18,20)+(IF(AND(Inputs!$B$38&lt;&gt;"pvp",Inputs!$B$43=0),1,IF(IF(Inputs!$B$38="pvp",15,Inputs!$B$43)-(B2455)&lt;=0,1,MAX(0,IF(Inputs!$B$38="pvp",15,Inputs!$B$43)-MAX(5,B2455))/(IF(Inputs!$B$38="pvp",15,Inputs!$B$43)-(B2455))))*IF(AND(ArtifactsInput!$M$42,((Inputs!$B$9+((C2436=TRUE)*(F2436-Calc!F19))+B2448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2431*(MIN(100,(Inputs!$B$9+((C2436=TRUE)*(F2436-Calc!F19))+B2448+(ArtifactsInput!$M$24-ArtifactsInput!$M$24)*CHOOSE(ArtifactsInput!$N$24+1,10,12,14,16,18,20)+(IF(AND(Inputs!$B$38&lt;&gt;"pvp",Inputs!$B$43=0),1,IF(IF(Inputs!$B$38="pvp",15,Inputs!$B$43)-(B2455)&lt;=0,1,MAX(0,IF(Inputs!$B$38="pvp",15,Inputs!$B$43)-MAX(5,B2455))/(IF(Inputs!$B$38="pvp",15,Inputs!$B$43)-(B2455))))*IF(AND(ArtifactsInput!$M$42,((Inputs!$B$9+((C2436=TRUE)*(F2436-Calc!F19))+B2448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2431*(1-MIN(100,(Inputs!$B$9+((C2436=TRUE)*(F2436-Calc!F19))+B2448+(ArtifactsInput!$M$24-ArtifactsInput!$M$24)*CHOOSE(ArtifactsInput!$N$24+1,10,12,14,16,18,20)+(IF(AND(Inputs!$B$38&lt;&gt;"pvp",Inputs!$B$43=0),1,IF(IF(Inputs!$B$38="pvp",15,Inputs!$B$43)-(B2455)&lt;=0,1,MAX(0,IF(Inputs!$B$38="pvp",15,Inputs!$B$43)-MAX(5,B2455))/(IF(Inputs!$B$38="pvp",15,Inputs!$B$43)-(B2455))))*IF(AND(ArtifactsInput!$M$42,((Inputs!$B$9+((C2436=TRUE)*(F2436-Calc!F19))+B2448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2431*(MIN(100,(Inputs!$B$9+((C2436=TRUE)*(F2436-Calc!F19))+B2448+(ArtifactsInput!$M$24-ArtifactsInput!$M$24)*CHOOSE(ArtifactsInput!$N$24+1,10,12,14,16,18,20)+(IF(AND(Inputs!$B$38&lt;&gt;"pvp",Inputs!$B$43=0),1,IF(IF(Inputs!$B$38="pvp",15,Inputs!$B$43)-(B2455)&lt;=0,1,MAX(0,IF(Inputs!$B$38="pvp",15,Inputs!$B$43)-MAX(5,B2455))/(IF(Inputs!$B$38="pvp",15,Inputs!$B$43)-(B2455))))*IF(AND(ArtifactsInput!$M$42,((Inputs!$B$9+((C2436=TRUE)*(F2436-Calc!F19))+B2448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431">
        <f>IF(C2431,((H2431*(B2452+IF(AND(Inputs!$B$38&lt;&gt;"pvp",Inputs!$B$43&gt;0),((Skills!G8*((R2425-1)*IF(Skills!H8&gt;0,INT(Skills!I8/Skills!H8+0.000000001),1)+IF(Skills!H8&gt;0,INT(MIN(Skills!I8,MAX(0,MAX(0,Inputs!$B$43-B2455)-((R2425-1)*((IF(Inputs!$B$38="pvp",15,MAX(0.1,Skills!D8-IF(TRUE=TRUE,Inputs!$B$32,0)))*(1-IF(AND(ArtifactsInput!$M$27,Inputs!$B$4="Chapter Hunt"),CHOOSE(ArtifactsInput!$N$27+1,20,24,28,32,36,40),0)/100))/B2459))))/Skills!H8+0.000000001),1)))/Inputs!$B$43),G2425*Q2425)+IF(AND(Inputs!$B$38&lt;&gt;"pvp",Inputs!$B$43&gt;0),((Skills!G11*((R2428-1)*IF(Skills!H11&gt;0,INT(Skills!I11/Skills!H11+0.000000001),1)+IF(Skills!H11&gt;0,INT(MIN(Skills!I11,MAX(0,MAX(0,Inputs!$B$43-B2455)-((R2428-1)*((IF(Inputs!$B$38="pvp",15,MAX(0.1,Skills!D11-IF(TRUE=TRUE,Inputs!$B$32,0)))*(1-IF(AND(ArtifactsInput!$M$27,Inputs!$B$4="Chapter Hunt"),CHOOSE(ArtifactsInput!$N$27+1,20,24,28,32,36,40),0)/100))/B2459))))/Skills!H11+0.000000001),1)))/Inputs!$B$43),G2428*Q2428)))/(1+Skills!H14*H2431*(B2452+IF(AND(Inputs!$B$38&lt;&gt;"pvp",Inputs!$B$43&gt;0),((Skills!G8*((R2425-1)*IF(Skills!H8&gt;0,INT(Skills!I8/Skills!H8+0.000000001),1)+IF(Skills!H8&gt;0,INT(MIN(Skills!I8,MAX(0,MAX(0,Inputs!$B$43-B2455)-((R2425-1)*((IF(Inputs!$B$38="pvp",15,MAX(0.1,Skills!D8-IF(TRUE=TRUE,Inputs!$B$32,0)))*(1-IF(AND(ArtifactsInput!$M$27,Inputs!$B$4="Chapter Hunt"),CHOOSE(ArtifactsInput!$N$27+1,20,24,28,32,36,40),0)/100))/B2459))))/Skills!H8+0.000000001),1)))/Inputs!$B$43),G2425*Q2425)+IF(AND(Inputs!$B$38&lt;&gt;"pvp",Inputs!$B$43&gt;0),((Skills!G11*((R2428-1)*IF(Skills!H11&gt;0,INT(Skills!I11/Skills!H11+0.000000001),1)+IF(Skills!H11&gt;0,INT(MIN(Skills!I11,MAX(0,MAX(0,Inputs!$B$43-B2455)-((R2428-1)*((IF(Inputs!$B$38="pvp",15,MAX(0.1,Skills!D11-IF(TRUE=TRUE,Inputs!$B$32,0)))*(1-IF(AND(ArtifactsInput!$M$27,Inputs!$B$4="Chapter Hunt"),CHOOSE(ArtifactsInput!$N$27+1,20,24,28,32,36,40),0)/100))/B2459))))/Skills!H11+0.000000001),1)))/Inputs!$B$43),G2428*Q2428)))*N2431)*IF(Inputs!$B$38="pvp",1,(1+(Inputs!$B$21+Skills!Q14+(IF(ArtifactsInput!$M$33,CHOOSE(ArtifactsInput!$N$33+1,30,36,42,48,54,60),0))+(IF(AND(ArtifactsInput!$M$35,Inputs!$B$4&lt;&gt;"Chapter Hunt"),CHOOSE(ArtifactsInput!$N$35+1,15,18,21,24,27,30)*(1-EXP(-(0.2*B2450)*5)),0)+IF(AND(ArtifactsInput!$M$22,Inputs!$B$4&lt;&gt;"Chapter Hunt"),CHOOSE(ArtifactsInput!$N$22+1,10,12,14,16,18,20)*((0*(((0.15*B2450*5))^0/1)+1*(((0.15*B2450*5))^1/1)+2*(((0.15*B2450*5))^2/2)+3*(((0.15*B2450*5))^3/6)+4*(((0.15*B2450*5))^4/24)+5*(((0.15*B2450*5))^5/120))/((((0.15*B2450*5))^0/1)+(((0.15*B2450*5))^1/1)+(((0.15*B2450*5))^2/2)+(((0.15*B2450*5))^3/6)+(((0.15*B2450*5))^4/24)+(((0.15*B2450*5))^5/120))),0))+IF(Inputs!$B$3&gt;=54,9*(C2420=TRUE)*MIN(1,8*(1+Inputs!$B$34/100)*Q2420),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32">
      <c r="A2432">
        <f>Skills!A15</f>
        <v/>
      </c>
      <c r="B2432">
        <f>Skills!B15</f>
        <v/>
      </c>
      <c r="C2432">
        <f>Inputs!$B$3&gt;=100</f>
        <v/>
      </c>
      <c r="D2432">
        <f>IF(Skills!C15=1,60+Inputs!$B$25+Inputs!$B$29,IF(Skills!C15=2,90+Inputs!$B$26+Inputs!$B$29,IF(Skills!C15=3,120+Inputs!$B$27+Inputs!$B$29,MAX(0,(Inputs!$B$3-100)*3)+Inputs!$B$28+Inputs!$B$29)))</f>
        <v/>
      </c>
      <c r="E2432">
        <f>INDEX(FactorTable!$B$2:$Y$301, MATCH(ROUND(MIN(300,MAX(1,D2432)),0), FactorTable!$A$2:$A$301,0), Skills!M15+1)</f>
        <v/>
      </c>
      <c r="F2432">
        <f>IF(Skills!N15=TRUE,(Skills!L15/10)*(E2432/1000),Skills!L15/10)+Skills!O15</f>
        <v/>
      </c>
      <c r="G2432" t="inlineStr"/>
      <c r="H2432" t="inlineStr"/>
      <c r="I2432" t="inlineStr">
        <is>
          <t>1</t>
        </is>
      </c>
      <c r="J2432" t="inlineStr"/>
      <c r="K2432" t="inlineStr"/>
      <c r="L2432" t="inlineStr"/>
      <c r="M2432" t="inlineStr"/>
      <c r="N2432" t="inlineStr"/>
      <c r="O2432" t="inlineStr"/>
      <c r="P2432" t="inlineStr"/>
      <c r="Q2432" t="inlineStr"/>
      <c r="R2432" t="inlineStr"/>
      <c r="S2432" t="inlineStr"/>
    </row>
    <row r="2433">
      <c r="A2433">
        <f>Skills!A16</f>
        <v/>
      </c>
      <c r="B2433">
        <f>Skills!B16</f>
        <v/>
      </c>
      <c r="C2433">
        <f>Inputs!$B$3&gt;=107</f>
        <v/>
      </c>
      <c r="D2433">
        <f>IF(Skills!C16=1,60+Inputs!$B$25+Inputs!$B$29,IF(Skills!C16=2,90+Inputs!$B$26+Inputs!$B$29,IF(Skills!C16=3,120+Inputs!$B$27+Inputs!$B$29,MAX(0,(Inputs!$B$3-100)*3)+Inputs!$B$28+Inputs!$B$29)))</f>
        <v/>
      </c>
      <c r="E2433">
        <f>INDEX(FactorTable!$B$2:$Y$301, MATCH(ROUND(MIN(300,MAX(1,D2433)),0), FactorTable!$A$2:$A$301,0), Skills!M16+1)</f>
        <v/>
      </c>
      <c r="F2433">
        <f>IF(Skills!N16=TRUE,(Skills!L16/10)*(E2433/1000),Skills!L16/10)+Skills!O16</f>
        <v/>
      </c>
      <c r="G2433" t="inlineStr"/>
      <c r="H2433" t="inlineStr"/>
      <c r="I2433" t="inlineStr">
        <is>
          <t>1</t>
        </is>
      </c>
      <c r="J2433" t="inlineStr"/>
      <c r="K2433" t="inlineStr"/>
      <c r="L2433" t="inlineStr"/>
      <c r="M2433" t="inlineStr"/>
      <c r="N2433" t="inlineStr"/>
      <c r="O2433" t="inlineStr"/>
      <c r="P2433" t="inlineStr"/>
      <c r="Q2433" t="inlineStr"/>
      <c r="R2433" t="inlineStr"/>
      <c r="S2433" t="inlineStr"/>
    </row>
    <row r="2434">
      <c r="A2434">
        <f>Skills!A17</f>
        <v/>
      </c>
      <c r="B2434">
        <f>Skills!B17</f>
        <v/>
      </c>
      <c r="C2434">
        <f>Inputs!$B$3&gt;=74</f>
        <v/>
      </c>
      <c r="D2434">
        <f>IF(Skills!C17=1,60+Inputs!$B$25+Inputs!$B$29,IF(Skills!C17=2,90+Inputs!$B$26+Inputs!$B$29,IF(Skills!C17=3,120+Inputs!$B$27+Inputs!$B$29,MAX(0,(Inputs!$B$3-100)*3)+Inputs!$B$28+Inputs!$B$29)))</f>
        <v/>
      </c>
      <c r="E2434">
        <f>INDEX(FactorTable!$B$2:$Y$301, MATCH(ROUND(MIN(300,MAX(1,D2434)),0), FactorTable!$A$2:$A$301,0), Skills!M17+1)</f>
        <v/>
      </c>
      <c r="F2434">
        <f>IF(Skills!N17=TRUE,(Skills!L17/10)*(E2434/1000),Skills!L17/10)+Skills!O17</f>
        <v/>
      </c>
      <c r="G2434">
        <f>Skills!G17*IF(Skills!H17&gt;0,INT(IF(Inputs!$B$38="pvp",MIN(Skills!I17,15),Skills!I17)/Skills!H17+0.000000001),1)</f>
        <v/>
      </c>
      <c r="H2434">
        <f>1-(1-Skills!J17/100)^Skills!K17</f>
        <v/>
      </c>
      <c r="I2434" t="inlineStr">
        <is>
          <t>1</t>
        </is>
      </c>
      <c r="J2434" t="inlineStr"/>
      <c r="K2434" t="inlineStr"/>
      <c r="L2434" t="inlineStr"/>
      <c r="M2434" t="inlineStr"/>
      <c r="N2434" t="inlineStr"/>
      <c r="O2434">
        <f>(1-Summary!$B$11)*T2434+Summary!$B$11*V2434</f>
        <v/>
      </c>
      <c r="P2434">
        <f>IF(B2458=0,0,O2434/B2458)</f>
        <v/>
      </c>
      <c r="Q2434" t="n">
        <v>0</v>
      </c>
      <c r="R2434" t="n">
        <v>0</v>
      </c>
      <c r="S2434">
        <f>IFERROR(O2434/N2434,0)</f>
        <v/>
      </c>
      <c r="T2434" t="n">
        <v>0</v>
      </c>
      <c r="V2434" t="n">
        <v>0</v>
      </c>
    </row>
    <row r="2435">
      <c r="A2435">
        <f>Skills!A18</f>
        <v/>
      </c>
      <c r="B2435">
        <f>Skills!B18</f>
        <v/>
      </c>
      <c r="C2435">
        <f>Inputs!$B$3&gt;=115</f>
        <v/>
      </c>
      <c r="D2435">
        <f>IF(Skills!C18=1,60+Inputs!$B$25+Inputs!$B$29,IF(Skills!C18=2,90+Inputs!$B$26+Inputs!$B$29,IF(Skills!C18=3,120+Inputs!$B$27+Inputs!$B$29,MAX(0,(Inputs!$B$3-100)*3)+Inputs!$B$28+Inputs!$B$29)))</f>
        <v/>
      </c>
      <c r="E2435">
        <f>INDEX(FactorTable!$B$2:$Y$301, MATCH(ROUND(MIN(300,MAX(1,D2435)),0), FactorTable!$A$2:$A$301,0), Skills!M18+1)</f>
        <v/>
      </c>
      <c r="F2435">
        <f>IF(Skills!N18=TRUE,(Skills!L18/10)*(E2435/1000),Skills!L18/10)+Skills!O18</f>
        <v/>
      </c>
      <c r="G2435">
        <f>Skills!G18*IF(Skills!H18&gt;0,INT(IF(Inputs!$B$38="pvp",MIN(Skills!I18,15),Skills!I18)/Skills!H18+0.000000001),1)</f>
        <v/>
      </c>
      <c r="H2435">
        <f>1-(1-Skills!J18/100)^Skills!K18</f>
        <v/>
      </c>
      <c r="I2435" t="inlineStr">
        <is>
          <t>1</t>
        </is>
      </c>
      <c r="J2435" t="inlineStr"/>
      <c r="K2435" t="inlineStr"/>
      <c r="L2435" t="inlineStr"/>
      <c r="M2435" t="inlineStr"/>
      <c r="N2435" t="inlineStr"/>
      <c r="O2435">
        <f>(1-Summary!$B$11)*T2435+Summary!$B$11*V2435</f>
        <v/>
      </c>
      <c r="P2435">
        <f>IF(B2458=0,0,O2435/B2458)</f>
        <v/>
      </c>
      <c r="Q2435">
        <f>IFERROR(1/(IF(Inputs!$B$38="pvp",15,MAX(0.1,Skills!D18-IF(TRUE=TRUE,Inputs!$B$32,0)))*(1-IF(AND(ArtifactsInput!$M$27,Inputs!$B$4="Chapter Hunt"),CHOOSE(ArtifactsInput!$N$27+1,20,24,28,32,36,40),0)/100)),0)</f>
        <v/>
      </c>
      <c r="R2435">
        <f>IF(AND(Inputs!$B$38&lt;&gt;"pvp",Inputs!$B$43&gt;0),IF(Inputs!$B$43&lt;=0,0,(INT(Inputs!$B$43/(IF(Inputs!$B$38="pvp",15,MAX(0.1,Skills!D18-IF(TRUE=TRUE,Inputs!$B$32,0)))*(1-IF(AND(ArtifactsInput!$M$27,Inputs!$B$4="Chapter Hunt"),CHOOSE(ArtifactsInput!$N$27+1,20,24,28,32,36,40),0)/100)))+1)),0)</f>
        <v/>
      </c>
      <c r="S2435">
        <f>IFERROR(O2435/N2435,0)</f>
        <v/>
      </c>
      <c r="T2435" t="n">
        <v>0</v>
      </c>
      <c r="V2435" t="n">
        <v>0</v>
      </c>
    </row>
    <row r="2436">
      <c r="A2436">
        <f>Skills!A19</f>
        <v/>
      </c>
      <c r="B2436">
        <f>Skills!B19</f>
        <v/>
      </c>
      <c r="C2436">
        <f>Inputs!$B$3&gt;=10</f>
        <v/>
      </c>
      <c r="D2436">
        <f>IF(Skills!C19=1,60+Inputs!$B$25+Inputs!$B$29,IF(Skills!C19=2,90+Inputs!$B$26+Inputs!$B$29,IF(Skills!C19=3,120+Inputs!$B$27+Inputs!$B$29,MAX(0,(Inputs!$B$3-100)*3)+Inputs!$B$28+Inputs!$B$29)))</f>
        <v/>
      </c>
      <c r="E2436">
        <f>INDEX(FactorTable!$B$2:$Y$301, MATCH(ROUND(MIN(300,MAX(1,D2436)),0), FactorTable!$A$2:$A$301,0), Skills!M19+1)</f>
        <v/>
      </c>
      <c r="F2436">
        <f>IF(Skills!N19=TRUE,(Skills!L19/10)*(E2436/1000),Skills!L19/10)+Skills!O19</f>
        <v/>
      </c>
      <c r="G2436">
        <f>Skills!G19*IF(Skills!H19&gt;0,INT(IF(Inputs!$B$38="pvp",MIN(Skills!I19,15),Skills!I19)/Skills!H19+0.000000001),1)</f>
        <v/>
      </c>
      <c r="H2436">
        <f>1-(1-Skills!J19/100)^Skills!K19</f>
        <v/>
      </c>
      <c r="I2436" t="inlineStr">
        <is>
          <t>1</t>
        </is>
      </c>
      <c r="J2436" t="inlineStr"/>
      <c r="K2436" t="inlineStr"/>
      <c r="L2436" t="inlineStr"/>
      <c r="M2436" t="inlineStr"/>
      <c r="N2436" t="inlineStr"/>
      <c r="O2436">
        <f>(1-Summary!$B$11)*T2436+Summary!$B$11*V2436</f>
        <v/>
      </c>
      <c r="P2436">
        <f>IF(B2458=0,0,O2436/B2458)</f>
        <v/>
      </c>
      <c r="Q2436" t="n">
        <v>0</v>
      </c>
      <c r="R2436" t="n">
        <v>0</v>
      </c>
      <c r="S2436">
        <f>IFERROR(O2436/N2436,0)</f>
        <v/>
      </c>
      <c r="T2436" t="n">
        <v>0</v>
      </c>
      <c r="V2436" t="n">
        <v>0</v>
      </c>
    </row>
    <row r="2437">
      <c r="A2437">
        <f>Skills!A20</f>
        <v/>
      </c>
      <c r="B2437">
        <f>Skills!B20</f>
        <v/>
      </c>
      <c r="C2437">
        <f>Inputs!$B$3&gt;=15</f>
        <v/>
      </c>
      <c r="D2437">
        <f>IF(Skills!C20=1,60+Inputs!$B$25+Inputs!$B$29,IF(Skills!C20=2,90+Inputs!$B$26+Inputs!$B$29,IF(Skills!C20=3,120+Inputs!$B$27+Inputs!$B$29,MAX(0,(Inputs!$B$3-100)*3)+Inputs!$B$28+Inputs!$B$29)))</f>
        <v/>
      </c>
      <c r="E2437">
        <f>INDEX(FactorTable!$B$2:$Y$301, MATCH(ROUND(MIN(300,MAX(1,D2437)),0), FactorTable!$A$2:$A$301,0), Skills!M20+1)</f>
        <v/>
      </c>
      <c r="F2437">
        <f>IF(Skills!N20=TRUE,(Skills!L20/10)*(E2437/1000),Skills!L20/10)+Skills!O20</f>
        <v/>
      </c>
      <c r="G2437">
        <f>Skills!G20*IF(Skills!H20&gt;0,INT(IF(Inputs!$B$38="pvp",MIN(Skills!I20,15),Skills!I20)/Skills!H20+0.000000001),1)</f>
        <v/>
      </c>
      <c r="H2437">
        <f>1-(1-Skills!J20/100)^Skills!K20</f>
        <v/>
      </c>
      <c r="I2437" t="inlineStr">
        <is>
          <t>1</t>
        </is>
      </c>
      <c r="J2437" t="inlineStr"/>
      <c r="K2437" t="inlineStr"/>
      <c r="L2437" t="inlineStr"/>
      <c r="M2437" t="inlineStr"/>
      <c r="N2437" t="inlineStr"/>
      <c r="O2437">
        <f>(1-Summary!$B$11)*T2437+Summary!$B$11*V2437</f>
        <v/>
      </c>
      <c r="P2437">
        <f>IF(B2458=0,0,O2437/B2458)</f>
        <v/>
      </c>
      <c r="Q2437" t="n">
        <v>0</v>
      </c>
      <c r="R2437" t="n">
        <v>0</v>
      </c>
      <c r="S2437">
        <f>IFERROR(O2437/N2437,0)</f>
        <v/>
      </c>
      <c r="T2437" t="n">
        <v>0</v>
      </c>
      <c r="V2437" t="n">
        <v>0</v>
      </c>
    </row>
    <row r="2438">
      <c r="A2438">
        <f>Skills!A21</f>
        <v/>
      </c>
      <c r="B2438">
        <f>Skills!B21</f>
        <v/>
      </c>
      <c r="C2438">
        <f>Inputs!$B$3&gt;=40</f>
        <v/>
      </c>
      <c r="D2438">
        <f>IF(Skills!C21=1,60+Inputs!$B$25+Inputs!$B$29,IF(Skills!C21=2,90+Inputs!$B$26+Inputs!$B$29,IF(Skills!C21=3,120+Inputs!$B$27+Inputs!$B$29,MAX(0,(Inputs!$B$3-100)*3)+Inputs!$B$28+Inputs!$B$29)))</f>
        <v/>
      </c>
      <c r="E2438">
        <f>INDEX(FactorTable!$B$2:$Y$301, MATCH(ROUND(MIN(300,MAX(1,D2438)),0), FactorTable!$A$2:$A$301,0), Skills!M21+1)</f>
        <v/>
      </c>
      <c r="F2438">
        <f>IF(Skills!N21=TRUE,(Skills!L21/10)*(E2438/1000),Skills!L21/10)+Skills!O21</f>
        <v/>
      </c>
      <c r="G2438">
        <f>Skills!G21*IF(Skills!H21&gt;0,INT(IF(Inputs!$B$38="pvp",MIN(Skills!I21,15),Skills!I21)/Skills!H21+0.000000001),1)</f>
        <v/>
      </c>
      <c r="H2438">
        <f>1-(1-Skills!J21/100)^Skills!K21</f>
        <v/>
      </c>
      <c r="I2438" t="inlineStr">
        <is>
          <t>1</t>
        </is>
      </c>
      <c r="J2438" t="inlineStr"/>
      <c r="K2438" t="inlineStr"/>
      <c r="L2438" t="inlineStr"/>
      <c r="M2438" t="inlineStr"/>
      <c r="N2438" t="inlineStr"/>
      <c r="O2438">
        <f>(1-Summary!$B$11)*T2438+Summary!$B$11*V2438</f>
        <v/>
      </c>
      <c r="P2438">
        <f>IF(B2458=0,0,O2438/B2458)</f>
        <v/>
      </c>
      <c r="Q2438" t="n">
        <v>0</v>
      </c>
      <c r="R2438" t="n">
        <v>0</v>
      </c>
      <c r="S2438">
        <f>IFERROR(O2438/N2438,0)</f>
        <v/>
      </c>
      <c r="T2438" t="n">
        <v>0</v>
      </c>
      <c r="V2438" t="n">
        <v>0</v>
      </c>
    </row>
    <row r="2439">
      <c r="A2439">
        <f>Skills!A22</f>
        <v/>
      </c>
      <c r="B2439">
        <f>Skills!B22</f>
        <v/>
      </c>
      <c r="C2439">
        <f>Inputs!$B$3&gt;=43</f>
        <v/>
      </c>
      <c r="D2439">
        <f>IF(Skills!C22=1,60+Inputs!$B$25+Inputs!$B$29,IF(Skills!C22=2,90+Inputs!$B$26+Inputs!$B$29,IF(Skills!C22=3,120+Inputs!$B$27+Inputs!$B$29,MAX(0,(Inputs!$B$3-100)*3)+Inputs!$B$28+Inputs!$B$29)))</f>
        <v/>
      </c>
      <c r="E2439">
        <f>INDEX(FactorTable!$B$2:$Y$301, MATCH(ROUND(MIN(300,MAX(1,D2439)),0), FactorTable!$A$2:$A$301,0), Skills!M22+1)</f>
        <v/>
      </c>
      <c r="F2439">
        <f>IF(Skills!N22=TRUE,(Skills!L22/10)*(E2439/1000),Skills!L22/10)+Skills!O22</f>
        <v/>
      </c>
      <c r="G2439">
        <f>Skills!G22*IF(Skills!H22&gt;0,INT(IF(Inputs!$B$38="pvp",MIN(Skills!I22,15),Skills!I22)/Skills!H22+0.000000001),1)</f>
        <v/>
      </c>
      <c r="H2439">
        <f>1-(1-Skills!J22/100)^Skills!K22</f>
        <v/>
      </c>
      <c r="I2439" t="inlineStr">
        <is>
          <t>1</t>
        </is>
      </c>
      <c r="J2439" t="inlineStr"/>
      <c r="K2439" t="inlineStr"/>
      <c r="L2439" t="inlineStr"/>
      <c r="M2439" t="inlineStr"/>
      <c r="N2439" t="inlineStr"/>
      <c r="O2439">
        <f>(1-Summary!$B$11)*T2439+Summary!$B$11*V2439</f>
        <v/>
      </c>
      <c r="P2439">
        <f>IF(B2458=0,0,O2439/B2458)</f>
        <v/>
      </c>
      <c r="Q2439" t="n">
        <v>0</v>
      </c>
      <c r="R2439" t="n">
        <v>0</v>
      </c>
      <c r="S2439">
        <f>IFERROR(O2439/N2439,0)</f>
        <v/>
      </c>
      <c r="T2439" t="n">
        <v>0</v>
      </c>
      <c r="V2439" t="n">
        <v>0</v>
      </c>
    </row>
    <row r="2440">
      <c r="A2440">
        <f>Skills!A23</f>
        <v/>
      </c>
      <c r="B2440">
        <f>Skills!B23</f>
        <v/>
      </c>
      <c r="C2440">
        <f>Inputs!$B$3&gt;=38</f>
        <v/>
      </c>
      <c r="D2440">
        <f>IF(Skills!C23=1,60+Inputs!$B$25+Inputs!$B$29,IF(Skills!C23=2,90+Inputs!$B$26+Inputs!$B$29,IF(Skills!C23=3,120+Inputs!$B$27+Inputs!$B$29,MAX(0,(Inputs!$B$3-100)*3)+Inputs!$B$28+Inputs!$B$29)))</f>
        <v/>
      </c>
      <c r="E2440">
        <f>INDEX(FactorTable!$B$2:$Y$301, MATCH(ROUND(MIN(300,MAX(1,D2440)),0), FactorTable!$A$2:$A$301,0), Skills!M23+1)</f>
        <v/>
      </c>
      <c r="F2440">
        <f>IF(Skills!N23=TRUE,(Skills!L23/10)*(E2440/1000),Skills!L23/10)+Skills!O23</f>
        <v/>
      </c>
      <c r="G2440">
        <f>Skills!G23*IF(Skills!H23&gt;0,INT(IF(Inputs!$B$38="pvp",MIN(Skills!I23,15),Skills!I23)/Skills!H23+0.000000001),1)</f>
        <v/>
      </c>
      <c r="H2440">
        <f>1-(1-Skills!J23/100)^Skills!K23</f>
        <v/>
      </c>
      <c r="I2440" t="inlineStr">
        <is>
          <t>1</t>
        </is>
      </c>
      <c r="J2440" t="inlineStr"/>
      <c r="K2440" t="inlineStr"/>
      <c r="L2440" t="inlineStr"/>
      <c r="M2440" t="inlineStr"/>
      <c r="N2440" t="inlineStr"/>
      <c r="O2440">
        <f>(1-Summary!$B$11)*T2440+Summary!$B$11*V2440</f>
        <v/>
      </c>
      <c r="P2440">
        <f>IF(B2458=0,0,O2440/B2458)</f>
        <v/>
      </c>
      <c r="Q2440" t="n">
        <v>0</v>
      </c>
      <c r="R2440" t="n">
        <v>0</v>
      </c>
      <c r="S2440">
        <f>IFERROR(O2440/N2440,0)</f>
        <v/>
      </c>
      <c r="T2440" t="n">
        <v>0</v>
      </c>
      <c r="V2440" t="n">
        <v>0</v>
      </c>
    </row>
    <row r="2441">
      <c r="A2441">
        <f>Skills!A24</f>
        <v/>
      </c>
      <c r="B2441">
        <f>Skills!B24</f>
        <v/>
      </c>
      <c r="C2441">
        <f>Inputs!$B$3&gt;=45</f>
        <v/>
      </c>
      <c r="D2441">
        <f>IF(Skills!C24=1,60+Inputs!$B$25+Inputs!$B$29,IF(Skills!C24=2,90+Inputs!$B$26+Inputs!$B$29,IF(Skills!C24=3,120+Inputs!$B$27+Inputs!$B$29,MAX(0,(Inputs!$B$3-100)*3)+Inputs!$B$28+Inputs!$B$29)))</f>
        <v/>
      </c>
      <c r="E2441">
        <f>INDEX(FactorTable!$B$2:$Y$301, MATCH(ROUND(MIN(300,MAX(1,D2441)),0), FactorTable!$A$2:$A$301,0), Skills!M24+1)</f>
        <v/>
      </c>
      <c r="F2441">
        <f>IF(Skills!N24=TRUE,(Skills!L24/10)*(E2441/1000),Skills!L24/10)+Skills!O24</f>
        <v/>
      </c>
      <c r="G2441">
        <f>Skills!G24*IF(Skills!H24&gt;0,INT(IF(Inputs!$B$38="pvp",MIN(Skills!I24,15),Skills!I24)/Skills!H24+0.000000001),1)</f>
        <v/>
      </c>
      <c r="H2441">
        <f>1-(1-Skills!J24/100)^Skills!K24</f>
        <v/>
      </c>
      <c r="I2441" t="inlineStr">
        <is>
          <t>1</t>
        </is>
      </c>
      <c r="J2441" t="inlineStr"/>
      <c r="K2441" t="inlineStr"/>
      <c r="L2441" t="inlineStr"/>
      <c r="M2441" t="inlineStr"/>
      <c r="N2441" t="inlineStr"/>
      <c r="O2441">
        <f>(1-Summary!$B$11)*T2441+Summary!$B$11*V2441</f>
        <v/>
      </c>
      <c r="P2441">
        <f>IF(B2458=0,0,O2441/B2458)</f>
        <v/>
      </c>
      <c r="Q2441" t="n">
        <v>0</v>
      </c>
      <c r="R2441" t="n">
        <v>0</v>
      </c>
      <c r="S2441">
        <f>IFERROR(O2441/N2441,0)</f>
        <v/>
      </c>
      <c r="T2441" t="n">
        <v>0</v>
      </c>
      <c r="V2441" t="n">
        <v>0</v>
      </c>
    </row>
    <row r="2442">
      <c r="A2442">
        <f>Skills!A25</f>
        <v/>
      </c>
      <c r="B2442">
        <f>Skills!B25</f>
        <v/>
      </c>
      <c r="C2442">
        <f>Inputs!$B$3&gt;=72</f>
        <v/>
      </c>
      <c r="D2442">
        <f>IF(Skills!C25=1,60+Inputs!$B$25+Inputs!$B$29,IF(Skills!C25=2,90+Inputs!$B$26+Inputs!$B$29,IF(Skills!C25=3,120+Inputs!$B$27+Inputs!$B$29,MAX(0,(Inputs!$B$3-100)*3)+Inputs!$B$28+Inputs!$B$29)))</f>
        <v/>
      </c>
      <c r="E2442">
        <f>INDEX(FactorTable!$B$2:$Y$301, MATCH(ROUND(MIN(300,MAX(1,D2442)),0), FactorTable!$A$2:$A$301,0), Skills!M25+1)</f>
        <v/>
      </c>
      <c r="F2442">
        <f>IF(Skills!N25=TRUE,(Skills!L25/10)*(E2442/1000),Skills!L25/10)+Skills!O25</f>
        <v/>
      </c>
      <c r="G2442">
        <f>Skills!G25*IF(Skills!H25&gt;0,INT(IF(Inputs!$B$38="pvp",MIN(Skills!I25,15),Skills!I25)/Skills!H25+0.000000001),1)</f>
        <v/>
      </c>
      <c r="H2442">
        <f>1-(1-Skills!J25/100)^Skills!K25</f>
        <v/>
      </c>
      <c r="I2442" t="inlineStr">
        <is>
          <t>1</t>
        </is>
      </c>
      <c r="J2442" t="inlineStr"/>
      <c r="K2442" t="inlineStr"/>
      <c r="L2442" t="inlineStr"/>
      <c r="M2442" t="inlineStr"/>
      <c r="N2442" t="inlineStr"/>
      <c r="O2442">
        <f>(1-Summary!$B$11)*T2442+Summary!$B$11*V2442</f>
        <v/>
      </c>
      <c r="P2442">
        <f>IF(B2458=0,0,O2442/B2458)</f>
        <v/>
      </c>
      <c r="Q2442" t="n">
        <v>0</v>
      </c>
      <c r="R2442" t="n">
        <v>0</v>
      </c>
      <c r="S2442">
        <f>IFERROR(O2442/N2442,0)</f>
        <v/>
      </c>
      <c r="T2442" t="n">
        <v>0</v>
      </c>
      <c r="V2442" t="n">
        <v>0</v>
      </c>
    </row>
    <row r="2443">
      <c r="A2443">
        <f>Skills!A26</f>
        <v/>
      </c>
      <c r="B2443">
        <f>Skills!B26</f>
        <v/>
      </c>
      <c r="C2443">
        <f>Inputs!$B$3&gt;=75</f>
        <v/>
      </c>
      <c r="D2443">
        <f>IF(Skills!C26=1,60+Inputs!$B$25+Inputs!$B$29,IF(Skills!C26=2,90+Inputs!$B$26+Inputs!$B$29,IF(Skills!C26=3,120+Inputs!$B$27+Inputs!$B$29,MAX(0,(Inputs!$B$3-100)*3)+Inputs!$B$28+Inputs!$B$29)))</f>
        <v/>
      </c>
      <c r="E2443">
        <f>INDEX(FactorTable!$B$2:$Y$301, MATCH(ROUND(MIN(300,MAX(1,D2443)),0), FactorTable!$A$2:$A$301,0), Skills!M26+1)</f>
        <v/>
      </c>
      <c r="F2443">
        <f>IF(Skills!N26=TRUE,(Skills!L26/10)*(E2443/1000),Skills!L26/10)+Skills!O26</f>
        <v/>
      </c>
      <c r="G2443">
        <f>Skills!G26*IF(Skills!H26&gt;0,INT(IF(Inputs!$B$38="pvp",MIN(Skills!I26,15),Skills!I26)/Skills!H26+0.000000001),1)</f>
        <v/>
      </c>
      <c r="H2443">
        <f>1-(1-Skills!J26/100)^Skills!K26</f>
        <v/>
      </c>
      <c r="I2443" t="inlineStr">
        <is>
          <t>1</t>
        </is>
      </c>
      <c r="J2443" t="inlineStr"/>
      <c r="K2443" t="inlineStr"/>
      <c r="L2443" t="inlineStr"/>
      <c r="M2443" t="inlineStr"/>
      <c r="N2443" t="inlineStr"/>
      <c r="O2443">
        <f>(1-Summary!$B$11)*T2443+Summary!$B$11*V2443</f>
        <v/>
      </c>
      <c r="P2443">
        <f>IF(B2458=0,0,O2443/B2458)</f>
        <v/>
      </c>
      <c r="Q2443" t="n">
        <v>0</v>
      </c>
      <c r="R2443" t="n">
        <v>0</v>
      </c>
      <c r="S2443">
        <f>IFERROR(O2443/N2443,0)</f>
        <v/>
      </c>
      <c r="T2443" t="n">
        <v>0</v>
      </c>
      <c r="V2443" t="n">
        <v>0</v>
      </c>
    </row>
    <row r="2444">
      <c r="A2444">
        <f>Skills!A27</f>
        <v/>
      </c>
      <c r="B2444">
        <f>Skills!B27</f>
        <v/>
      </c>
      <c r="C2444">
        <f>Inputs!$B$3&gt;=125</f>
        <v/>
      </c>
      <c r="D2444">
        <f>IF(Skills!C27=1,60+Inputs!$B$25+Inputs!$B$29,IF(Skills!C27=2,90+Inputs!$B$26+Inputs!$B$29,IF(Skills!C27=3,120+Inputs!$B$27+Inputs!$B$29,MAX(0,(Inputs!$B$3-100)*3)+Inputs!$B$28+Inputs!$B$29)))</f>
        <v/>
      </c>
      <c r="E2444">
        <f>INDEX(FactorTable!$B$2:$Y$301, MATCH(ROUND(MIN(300,MAX(1,D2444)),0), FactorTable!$A$2:$A$301,0), Skills!M27+1)</f>
        <v/>
      </c>
      <c r="F2444">
        <f>IF(Skills!N27=TRUE,(Skills!L27/10)*(E2444/1000),Skills!L27/10)+Skills!O27</f>
        <v/>
      </c>
      <c r="G2444">
        <f>Skills!G27*IF(Skills!H27&gt;0,INT(IF(Inputs!$B$38="pvp",MIN(Skills!I27,15),Skills!I27)/Skills!H27+0.000000001),1)</f>
        <v/>
      </c>
      <c r="H2444">
        <f>1-(1-Skills!J27/100)^Skills!K27</f>
        <v/>
      </c>
      <c r="I2444" t="inlineStr">
        <is>
          <t>1</t>
        </is>
      </c>
      <c r="J2444" t="inlineStr"/>
      <c r="K2444" t="inlineStr"/>
      <c r="L2444" t="inlineStr"/>
      <c r="M2444" t="inlineStr"/>
      <c r="N2444" t="inlineStr"/>
      <c r="O2444">
        <f>(1-Summary!$B$11)*T2444+Summary!$B$11*V2444</f>
        <v/>
      </c>
      <c r="P2444">
        <f>IF(B2458=0,0,O2444/B2458)</f>
        <v/>
      </c>
      <c r="Q2444" t="n">
        <v>0</v>
      </c>
      <c r="R2444" t="n">
        <v>0</v>
      </c>
      <c r="S2444">
        <f>IFERROR(O2444/N2444,0)</f>
        <v/>
      </c>
      <c r="T2444" t="n">
        <v>0</v>
      </c>
      <c r="V2444" t="n">
        <v>0</v>
      </c>
    </row>
    <row r="2445">
      <c r="A2445">
        <f>Skills!A28</f>
        <v/>
      </c>
      <c r="B2445">
        <f>Skills!B28</f>
        <v/>
      </c>
      <c r="C2445">
        <f>TRUE</f>
        <v/>
      </c>
      <c r="D2445">
        <f>IF(Skills!C28=1,60+Inputs!$B$25+Inputs!$B$29,IF(Skills!C28=2,90+Inputs!$B$26+Inputs!$B$29,IF(Skills!C28=3,120+Inputs!$B$27+Inputs!$B$29,MAX(0,(Inputs!$B$3-100)*3)+Inputs!$B$28+Inputs!$B$29)))</f>
        <v/>
      </c>
      <c r="E2445">
        <f>INDEX(FactorTable!$B$2:$Y$301, MATCH(ROUND(MIN(300,MAX(1,D2445)),0), FactorTable!$A$2:$A$301,0), Skills!M28+1)</f>
        <v/>
      </c>
      <c r="F2445">
        <f>IF(Skills!N28=TRUE,(Skills!L28/10)*(E2445/1000),Skills!L28/10)+Skills!O28</f>
        <v/>
      </c>
      <c r="G2445">
        <f>Skills!G28*IF(Skills!H28&gt;0,INT(IF(Inputs!$B$38="pvp",MIN(Skills!I28,15),Skills!I28)/Skills!H28+0.000000001),1)</f>
        <v/>
      </c>
      <c r="H2445">
        <f>1-(1-Skills!J28/100)^Skills!K28</f>
        <v/>
      </c>
      <c r="I2445" t="inlineStr">
        <is>
          <t>1</t>
        </is>
      </c>
      <c r="J2445" t="inlineStr"/>
      <c r="K2445" t="inlineStr"/>
      <c r="L2445" t="inlineStr"/>
      <c r="M2445" t="inlineStr"/>
      <c r="N2445" t="inlineStr"/>
      <c r="O2445">
        <f>(1-Summary!$B$11)*T2445+Summary!$B$11*V2445</f>
        <v/>
      </c>
      <c r="P2445">
        <f>IF(B2458=0,0,O2445/B2458)</f>
        <v/>
      </c>
      <c r="Q2445">
        <f>IFERROR(1/(IF(Inputs!$B$38="pvp",15,MAX(0.1,Skills!D28-IF(TRUE=TRUE,Inputs!$B$32,0)))*(1-IF(AND(ArtifactsInput!$M$27,Inputs!$B$4="Chapter Hunt"),CHOOSE(ArtifactsInput!$N$27+1,20,24,28,32,36,40),0)/100)),0)</f>
        <v/>
      </c>
      <c r="R2445">
        <f>IF(AND(Inputs!$B$38&lt;&gt;"pvp",Inputs!$B$43&gt;0),IF(Inputs!$B$43&lt;=0,0,(INT(Inputs!$B$43/(IF(Inputs!$B$38="pvp",15,MAX(0.1,Skills!D28-IF(TRUE=TRUE,Inputs!$B$32,0)))*(1-IF(AND(ArtifactsInput!$M$27,Inputs!$B$4="Chapter Hunt"),CHOOSE(ArtifactsInput!$N$27+1,20,24,28,32,36,40),0)/100)))+1)),0)</f>
        <v/>
      </c>
      <c r="S2445">
        <f>IFERROR(O2445/N2445,0)</f>
        <v/>
      </c>
      <c r="T2445" t="n">
        <v>0</v>
      </c>
      <c r="V2445" t="n">
        <v>0</v>
      </c>
    </row>
    <row r="2447">
      <c r="A2447" t="inlineStr">
        <is>
          <t>Attack% Bucket Multiplier</t>
        </is>
      </c>
      <c r="B2447">
        <f>(1+(((C2434=TRUE)*F2434*5/7)+((C2441=TRUE)*(F2441-Calc!F24))+(IF(ArtifactsInput!$M$21,CHOOSE(ArtifactsInput!$N$21+1,25,30,35,40,45,50)*(IF(OR(Inputs!$B$4="Chapter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448">
      <c r="A2448" t="inlineStr">
        <is>
          <t>Global Crit Rate Bonus %</t>
        </is>
      </c>
      <c r="B2448" t="n">
        <v>0</v>
      </c>
    </row>
    <row r="2449">
      <c r="A2449" t="inlineStr">
        <is>
          <t>Attack Speed Buff Bonus % (Nimble Feet, duty-cycle averaged)</t>
        </is>
      </c>
      <c r="B2449">
        <f>((C2445=TRUE)*F2445*IF(AND(Inputs!$B$38&lt;&gt;"pvp",Inputs!$B$43&gt;0),(((R2445-1)*MIN((Skills!T28*(1+Inputs!$B$34/100)),(1/Q2445))+MIN((Skills!T28*(1+Inputs!$B$34/100)),MAX(0,Inputs!$B$43-((R2445-1)*(1/Q2445)))))/Inputs!$B$43),IF(Inputs!$B$38="pvp",MIN((Skills!T28*(1+Inputs!$B$34/100)),15)/15,MIN(1,(Skills!T28*(1+Inputs!$B$34/100))/(1/Q2445)))))</f>
        <v/>
      </c>
    </row>
    <row r="2450">
      <c r="A2450" t="inlineStr">
        <is>
          <t>Actions Per Second</t>
        </is>
      </c>
      <c r="B2450">
        <f>1+MIN(150,150*(1-(1-(Inputs!$B$11+((C2437=TRUE)*(F2437-Calc!F20))+((C2438=TRUE)*(F2438-Calc!F21)))/150)*(1-B2449/150)))/100</f>
        <v/>
      </c>
    </row>
    <row r="2451">
      <c r="A2451" t="inlineStr">
        <is>
          <t>Skill + Buff Cast Rate</t>
        </is>
      </c>
      <c r="B2451">
        <f>IF(AND(Inputs!$B$38&lt;&gt;"pvp",Inputs!$B$43&gt;0),SUMPRODUCT((Skills!E2:E28=TRUE)*(C2419:C2445=TRUE)*R2419:R2445*Skills!F2:F28)/Inputs!$B$43,SUMPRODUCT((Skills!E2:E28=TRUE)*(C2419:C2445=TRUE)*Q2419:Q2445*Skills!F2:F28))</f>
        <v/>
      </c>
    </row>
    <row r="2452">
      <c r="A2452" t="inlineStr">
        <is>
          <t>Eight-Legs Easton Casts Per Second</t>
        </is>
      </c>
      <c r="B2452">
        <f>MAX(0,B2450-B2451)</f>
        <v/>
      </c>
    </row>
    <row r="2453">
      <c r="A2453" t="inlineStr">
        <is>
          <t>Global Critical Damage Bonus % (unused)</t>
        </is>
      </c>
      <c r="B2453" t="n">
        <v>0</v>
      </c>
    </row>
    <row r="2454">
      <c r="A2454" t="inlineStr">
        <is>
          <t>Global Final Damage Bonus % (Jolly Roger + Ahoy Mateys - Final Damage proc)</t>
        </is>
      </c>
      <c r="B2454">
        <f>((C2435=TRUE)*F2435*IF(AND(Inputs!$B$38&lt;&gt;"pvp",Inputs!$B$43&gt;0),(((R2435-1)*MIN((Skills!T18*(1+Inputs!$B$34/100)),(1/Q2435))+MIN((Skills!T18*(1+Inputs!$B$34/100)),MAX(0,Inputs!$B$43-((R2435-1)*(1/Q2435)))))/Inputs!$B$43),IF(Inputs!$B$38="pvp",MIN((Skills!T18*(1+Inputs!$B$34/100)),15)/15,MIN(1,(Skills!T18*(1+Inputs!$B$34/100))/(1/Q2435)))))+IF(Inputs!$B$3&gt;=122,20*IF(Inputs!$B$38="pvp",MIN((20*(1+Inputs!$B$34/100)),15)/15,MIN(1,(20*(1+Inputs!$B$34/100))/(1/Q2421))),0)</f>
        <v/>
      </c>
    </row>
    <row r="2455">
      <c r="A2455" t="inlineStr">
        <is>
          <t>Buff-Casting Startup Delay (s, fixed-duration only)</t>
        </is>
      </c>
      <c r="B2455">
        <f>IF(AND(Inputs!$B$38&lt;&gt;"pvp",Inputs!$B$43&gt;0),SUMPRODUCT((Skills!T2:T28&gt;0)*(Skills!E2:E28=TRUE)*(C2419:C2445=TRUE))/B2450,0)</f>
        <v/>
      </c>
    </row>
    <row r="2456">
      <c r="A2456" t="inlineStr">
        <is>
          <t>Boss-Only Total DPS (this block's swept value)</t>
        </is>
      </c>
      <c r="B2456">
        <f>SUM(T2419:T2445)</f>
        <v/>
      </c>
    </row>
    <row r="2457">
      <c r="A2457" t="inlineStr">
        <is>
          <t>Normal-Only Total DPS (this block's swept value)</t>
        </is>
      </c>
      <c r="B2457">
        <f>SUM(V2419:V2445)</f>
        <v/>
      </c>
    </row>
    <row r="2458">
      <c r="A2458" s="6" t="inlineStr">
        <is>
          <t>TOTAL DPS</t>
        </is>
      </c>
      <c r="B2458" s="6">
        <f>SUM(O2419:O2445)</f>
        <v/>
      </c>
    </row>
    <row r="2459">
      <c r="A2459" t="inlineStr">
        <is>
          <t>Quickdraw cooldown divisor (this block's own APS / Q)</t>
        </is>
      </c>
      <c r="B2459">
        <f>IF(AND(C2444=TRUE,Inputs!$B$38&lt;&gt;"pvp"),1+0.25*MAX(0,(B2450-(((C2420=TRUE)*Q2420*1)+((C2421=TRUE)*Q2421*1)+((C2423=TRUE)*Q2423*1)+((C2424=TRUE)*Q2424*1)+((C2426=TRUE)*Q2426*1)+((C2429=TRUE)*Q2429*1)+((C2435=TRUE)*Q2435*1)+((C2445=TRUE)*Q2445*1))-((C2425=TRUE)/(IF(Inputs!$B$38="pvp",15,MAX(0.1,Skills!D8-IF(TRUE=TRUE,Inputs!$B$32,0)))*(1-IF(AND(ArtifactsInput!$M$27,Inputs!$B$4="Chapter Hunt"),CHOOSE(ArtifactsInput!$N$27+1,20,24,28,32,36,40),0)/100))+(C2428=TRUE)/(IF(Inputs!$B$38="pvp",15,MAX(0.1,Skills!D11-IF(TRUE=TRUE,Inputs!$B$32,0)))*(1-IF(AND(ArtifactsInput!$M$27,Inputs!$B$4="Chapter Hunt"),CHOOSE(ArtifactsInput!$N$27+1,20,24,28,32,36,40),0)/100))))/(1+0.25*((C2425=TRUE)/(IF(Inputs!$B$38="pvp",15,MAX(0.1,Skills!D8-IF(TRUE=TRUE,Inputs!$B$32,0)))*(1-IF(AND(ArtifactsInput!$M$27,Inputs!$B$4="Chapter Hunt"),CHOOSE(ArtifactsInput!$N$27+1,20,24,28,32,36,40),0)/100))+(C2428=TRUE)/(IF(Inputs!$B$38="pvp",15,MAX(0.1,Skills!D11-IF(TRUE=TRUE,Inputs!$B$32,0)))*(1-IF(AND(ArtifactsInput!$M$27,Inputs!$B$4="Chapter Hunt"),CHOOSE(ArtifactsInput!$N$27+1,20,24,28,32,36,40),0)/100))))),1)</f>
        <v/>
      </c>
    </row>
    <row r="2460">
      <c r="A2460" t="inlineStr">
        <is>
          <t>Nautilus Strike - Final Attack trigger rate (this block's own Q/R)</t>
        </is>
      </c>
      <c r="B2460">
        <f>IF(AND(Inputs!$B$38&lt;&gt;"pvp",Inputs!$B$43&gt;0),(((C2420=TRUE)*R2420)+((C2423=TRUE)*R2423)+((C2425=TRUE)*R2425)+((C2426=TRUE)*R2426)+((C2428=TRUE)*R2428))/Inputs!$B$43,((C2420=TRUE)*Q2420)+((C2423=TRUE)*Q2423)+((C2425=TRUE)*Q2425)+((C2426=TRUE)*Q2426)+((C2428=TRUE)*Q2428))+B2452</f>
        <v/>
      </c>
    </row>
    <row r="2463">
      <c r="A2463" s="6" t="inlineStr">
        <is>
          <t>Stat: Sayram's Necklace (Equip)</t>
        </is>
      </c>
    </row>
    <row r="2464">
      <c r="A2464" s="5" t="inlineStr">
        <is>
          <t>Key</t>
        </is>
      </c>
      <c r="B2464" s="5" t="inlineStr">
        <is>
          <t>Name</t>
        </is>
      </c>
      <c r="C2464" s="5" t="inlineStr">
        <is>
          <t>Unlocked</t>
        </is>
      </c>
      <c r="D2464" s="5" t="inlineStr">
        <is>
          <t>InputLevel</t>
        </is>
      </c>
      <c r="E2464" s="5" t="inlineStr">
        <is>
          <t>Factor</t>
        </is>
      </c>
      <c r="F2464" s="5" t="inlineStr">
        <is>
          <t>CoefficientPercent</t>
        </is>
      </c>
      <c r="G2464" s="5" t="inlineStr">
        <is>
          <t>EffectiveHits</t>
        </is>
      </c>
      <c r="H2464" s="5" t="inlineStr">
        <is>
          <t>ProcProbability</t>
        </is>
      </c>
      <c r="I2464" s="5" t="inlineStr">
        <is>
          <t>MapleHeroMultiplier</t>
        </is>
      </c>
      <c r="J2464" s="5" t="inlineStr">
        <is>
          <t>BaseDamage</t>
        </is>
      </c>
      <c r="K2464" s="5" t="inlineStr">
        <is>
          <t>BaseHitDamage</t>
        </is>
      </c>
      <c r="L2464" s="5" t="inlineStr">
        <is>
          <t>NonCritAvg</t>
        </is>
      </c>
      <c r="M2464" s="5" t="inlineStr">
        <is>
          <t>CritAvg</t>
        </is>
      </c>
      <c r="N2464" s="5" t="inlineStr">
        <is>
          <t>ExpectedDamage(perHit)</t>
        </is>
      </c>
      <c r="O2464" s="5" t="inlineStr">
        <is>
          <t>DPS</t>
        </is>
      </c>
      <c r="P2464" s="5" t="inlineStr">
        <is>
          <t>% of Total</t>
        </is>
      </c>
      <c r="Q2464" s="5" t="inlineStr">
        <is>
          <t>InvCooldown</t>
        </is>
      </c>
      <c r="R2464" s="5" t="inlineStr">
        <is>
          <t>CastsInFight</t>
        </is>
      </c>
      <c r="S2464" s="5" t="inlineStr">
        <is>
          <t>HitRate(perSec)</t>
        </is>
      </c>
      <c r="U2464" t="inlineStr">
        <is>
          <t>helpers</t>
        </is>
      </c>
    </row>
    <row r="2465">
      <c r="A2465">
        <f>Skills!A2</f>
        <v/>
      </c>
      <c r="B2465">
        <f>Skills!B2</f>
        <v/>
      </c>
      <c r="C2465">
        <f>Inputs!$B$3&gt;=100</f>
        <v/>
      </c>
      <c r="D2465" t="inlineStr"/>
      <c r="E2465" t="inlineStr"/>
      <c r="F2465">
        <f>U2467+Skills!O2</f>
        <v/>
      </c>
      <c r="G2465">
        <f>Skills!G2*IF(Skills!H2&gt;0,INT(IF(Inputs!$B$38="pvp",MIN(Skills!I2,15),Skills!I2)/Skills!H2+0.000000001),1)</f>
        <v/>
      </c>
      <c r="H2465">
        <f>1-(1-Skills!J2/100)^Skills!K2</f>
        <v/>
      </c>
      <c r="I2465" t="inlineStr">
        <is>
          <t>1</t>
        </is>
      </c>
      <c r="J2465">
        <f>((Inputs!$B$6*(1+Inputs!$B$7/100))+(((Inputs!$B$12*(1+Inputs!$B$13/100))-(Inputs!$B$12*(1+Inputs!$B$13/100)))+0.25*(Inputs!$B$14-Inputs!$B$14))*(1+Inputs!$B$7/100))*(F2465/100)</f>
        <v/>
      </c>
      <c r="K2465">
        <f>J2465*(1+((Inputs!$B$12*(1+Inputs!$B$13/100))*0.01+Inputs!$B$14*0.0025)/100)*(1+Inputs!$B$15/100)*(1+Inputs!$B$16/100)*(5000/(6000+Inputs!$B$42*(1-(100*(1-(1-(Inputs!$B$19+0)/100)*(1-CHOOSE(ArtifactsInput!$N$40+1,5,6,7,8,9,10)/100)^(ArtifactsInput!$M$40-ArtifactsInput!$M$40)))/100)))*(1+(Inputs!$B$24+((C2489=TRUE)*(F2489-Calc!F26))+B2500)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IGHT_LEGS_EASTON",Inputs!$B$17+((C2486=TRUE)*(F2486-Calc!F23))+((C2490=TRUE)*(F2490-Calc!F27))+((IF(AND(Inputs!$B$38&lt;&gt;"pvp",Inputs!$B$43=0),1,IF(IF(Inputs!$B$38="pvp",15,Inputs!$B$43)-(B2501)&lt;=0,1,MAX(0,IF(Inputs!$B$38="pvp",15,Inputs!$B$43)-MAX(5,B2501))/(IF(Inputs!$B$38="pvp",15,Inputs!$B$43)-(B2501))))*(IF(AND(ArtifactsInput!$M$42,((Inputs!$B$9+((C2482=TRUE)*(F2482-Calc!F19))+B2494+(ArtifactsInput!$M$24-ArtifactsInput!$M$24)*CHOOSE(ArtifactsInput!$N$24+1,10,12,14,16,18,20)+IF(ArtifactsInput!$M$10,CHOOSE(ArtifactsInput!$N$10+1,15,18,21,24,27,30)*(IF(Inputs!$B$38="pvp",MIN(15,15)/15,IF(AND(Inputs!$B$38&lt;&gt;"pvp",Inputs!$B$43&gt;0),MIN(15,Inputs!$B$43)/(Inputs!$B$43),0))),0)))&gt;=100),MIN(100,((Inputs!$B$9+((C2482=TRUE)*(F2482-Calc!F19))+B2494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2501)&lt;=0,1,MAX(0,IF(Inputs!$B$38="pvp",15,Inputs!$B$43)-MAX(5,B2501))/(IF(Inputs!$B$38="pvp",15,Inputs!$B$43)-(B2501))))*IF(AND(ArtifactsInput!$M$42,((Inputs!$B$9+((C2482=TRUE)*(F2482-Calc!F19))+B2494+(ArtifactsInput!$M$24-ArtifactsInput!$M$24)*CHOOSE(ArtifactsInput!$N$24+1,10,12,14,16,18,20)+IF(ArtifactsInput!$M$10,CHOOSE(ArtifactsInput!$N$10+1,15,18,21,24,27,30)*(IF(Inputs!$B$38="pvp",MIN(15,15)/15,IF(AND(Inputs!$B$38&lt;&gt;"pvp",Inputs!$B$43&gt;0),MIN(15,Inputs!$B$43)/(Inputs!$B$43),0))),0)))&gt;=100),CHOOSE(ArtifactsInput!$N$42+1,40,48,56,64,72,80),0))))/100)*((1+(((C2480=TRUE)*F2480*5/7)+((C2487=TRUE)*(F2487-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2465)</f>
        <v/>
      </c>
      <c r="L2465">
        <f>K2465*(MIN(Inputs!$B$22+((C2485=TRUE)*(F2485-Calc!F22)),(Inputs!$B$23+0+(IF(ArtifactsInput!$M$15,CHOOSE(ArtifactsInput!$N$15+1,25,30,35,40,45,50)/100*(Inputs!$B$11-Inputs!$B$11),0))))/100+(Inputs!$B$23+0+(IF(ArtifactsInput!$M$15,CHOOSE(ArtifactsInput!$N$15+1,25,30,35,40,45,50)/100*(Inputs!$B$11-Inputs!$B$11),0)))/100)/2</f>
        <v/>
      </c>
      <c r="M2465">
        <f>L2465*(1+(Inputs!$B$10+((C2488=TRUE)*(F2488-Calc!F25))+B2499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65">
        <f>L2465*(1-MIN((Inputs!$B$9+((C2482=TRUE)*(F2482-Calc!F19))+B2494+(ArtifactsInput!$M$24-ArtifactsInput!$M$24)*CHOOSE(ArtifactsInput!$N$24+1,10,12,14,16,18,20)+(IF(AND(Inputs!$B$38&lt;&gt;"pvp",Inputs!$B$43=0),1,IF(IF(Inputs!$B$38="pvp",15,Inputs!$B$43)-(B2501)&lt;=0,1,MAX(0,IF(Inputs!$B$38="pvp",15,Inputs!$B$43)-MAX(5,B2501))/(IF(Inputs!$B$38="pvp",15,Inputs!$B$43)-(B2501))))*IF(AND(ArtifactsInput!$M$42,((Inputs!$B$9+((C2482=TRUE)*(F2482-Calc!F19))+B2494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2465*(MIN((Inputs!$B$9+((C2482=TRUE)*(F2482-Calc!F19))+B2494+(ArtifactsInput!$M$24-ArtifactsInput!$M$24)*CHOOSE(ArtifactsInput!$N$24+1,10,12,14,16,18,20)+(IF(AND(Inputs!$B$38&lt;&gt;"pvp",Inputs!$B$43=0),1,IF(IF(Inputs!$B$38="pvp",15,Inputs!$B$43)-(B2501)&lt;=0,1,MAX(0,IF(Inputs!$B$38="pvp",15,Inputs!$B$43)-MAX(5,B2501))/(IF(Inputs!$B$38="pvp",15,Inputs!$B$43)-(B2501))))*IF(AND(ArtifactsInput!$M$42,((Inputs!$B$9+((C2482=TRUE)*(F2482-Calc!F19))+B2494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65">
        <f>(1-Summary!$B$11)*T2465+Summary!$B$11*V2465</f>
        <v/>
      </c>
      <c r="P2465">
        <f>IF(B2504=0,0,O2465/B2504)</f>
        <v/>
      </c>
      <c r="Q2465" t="n">
        <v>0</v>
      </c>
      <c r="R2465" t="n">
        <v>0</v>
      </c>
      <c r="S2465">
        <f>IFERROR(O2465/N2465,0)</f>
        <v/>
      </c>
      <c r="T2465">
        <f>IF(C2465,(Skills!G2*N2465*B2498*(1+IF(C2490=TRUE,1/3,0)))*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IF(ArtifactsInput!$M$33,FALSE,TRUE),CHOOSE(ArtifactsInput!$N$33+1,10,12,14,16,18,20),0)+(ArtifactsInput!$M$23-ArtifactsInput!$M$23)*CHOOSE(ArtifactsInput!$N$23+1,50,60,70,80,90,100))+(IF(AND(ArtifactsInput!$M$35,Inputs!$B$4&lt;&gt;"Chapter Hunt"),CHOOSE(ArtifactsInput!$N$35+1,15,18,21,24,27,30)*(1-EXP(-(0.2*B2496)*5)),0)+IF(AND(ArtifactsInput!$M$22,Inputs!$B$4&lt;&gt;"Chapter Hunt"),CHOOSE(ArtifactsInput!$N$22+1,10,12,14,16,18,20)*((0*(((0.15*B2496*5))^0/1)+1*(((0.15*B2496*5))^1/1)+2*(((0.15*B2496*5))^2/2)+3*(((0.15*B2496*5))^3/6)+4*(((0.15*B2496*5))^4/24)+5*(((0.15*B2496*5))^5/120))/((((0.15*B2496*5))^0/1)+(((0.15*B2496*5))^1/1)+(((0.15*B2496*5))^2/2)+(((0.15*B2496*5))^3/6)+(((0.15*B2496*5))^4/24)+(((0.15*B2496*5))^5/120))),0))+IF(Inputs!$B$3&gt;=54,9*(C2466=TRUE)*MIN(1,8*(1+Inputs!$B$34/100)*Q2466)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2465*(1-MIN(100,(Inputs!$B$9+((C2482=TRUE)*(F2482-Calc!F19))+B2494+(ArtifactsInput!$M$24-ArtifactsInput!$M$24)*CHOOSE(ArtifactsInput!$N$24+1,10,12,14,16,18,20)+(IF(AND(Inputs!$B$38&lt;&gt;"pvp",Inputs!$B$43=0),1,IF(IF(Inputs!$B$38="pvp",15,Inputs!$B$43)-(B2501)&lt;=0,1,MAX(0,IF(Inputs!$B$38="pvp",15,Inputs!$B$43)-MAX(5,B2501))/(IF(Inputs!$B$38="pvp",15,Inputs!$B$43)-(B2501))))*IF(AND(ArtifactsInput!$M$42,((Inputs!$B$9+((C2482=TRUE)*(F2482-Calc!F19))+B2494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2465*(MIN(100,(Inputs!$B$9+((C2482=TRUE)*(F2482-Calc!F19))+B2494+(ArtifactsInput!$M$24-ArtifactsInput!$M$24)*CHOOSE(ArtifactsInput!$N$24+1,10,12,14,16,18,20)+(IF(AND(Inputs!$B$38&lt;&gt;"pvp",Inputs!$B$43=0),1,IF(IF(Inputs!$B$38="pvp",15,Inputs!$B$43)-(B2501)&lt;=0,1,MAX(0,IF(Inputs!$B$38="pvp",15,Inputs!$B$43)-MAX(5,B2501))/(IF(Inputs!$B$38="pvp",15,Inputs!$B$43)-(B2501))))*IF(AND(ArtifactsInput!$M$42,((Inputs!$B$9+((C2482=TRUE)*(F2482-Calc!F19))+B2494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2465*(1-MIN(100,(Inputs!$B$9+((C2482=TRUE)*(F2482-Calc!F19))+B2494+(ArtifactsInput!$M$24-ArtifactsInput!$M$24)*CHOOSE(ArtifactsInput!$N$24+1,10,12,14,16,18,20)+(IF(AND(Inputs!$B$38&lt;&gt;"pvp",Inputs!$B$43=0),1,IF(IF(Inputs!$B$38="pvp",15,Inputs!$B$43)-(B2501)&lt;=0,1,MAX(0,IF(Inputs!$B$38="pvp",15,Inputs!$B$43)-MAX(5,B2501))/(IF(Inputs!$B$38="pvp",15,Inputs!$B$43)-(B2501))))*IF(AND(ArtifactsInput!$M$42,((Inputs!$B$9+((C2482=TRUE)*(F2482-Calc!F19))+B2494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2465*(MIN(100,(Inputs!$B$9+((C2482=TRUE)*(F2482-Calc!F19))+B2494+(ArtifactsInput!$M$24-ArtifactsInput!$M$24)*CHOOSE(ArtifactsInput!$N$24+1,10,12,14,16,18,20)+(IF(AND(Inputs!$B$38&lt;&gt;"pvp",Inputs!$B$43=0),1,IF(IF(Inputs!$B$38="pvp",15,Inputs!$B$43)-(B2501)&lt;=0,1,MAX(0,IF(Inputs!$B$38="pvp",15,Inputs!$B$43)-MAX(5,B2501))/(IF(Inputs!$B$38="pvp",15,Inputs!$B$43)-(B2501))))*IF(AND(ArtifactsInput!$M$42,((Inputs!$B$9+((C2482=TRUE)*(F2482-Calc!F19))+B2494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465">
        <f>MAX(0,(Inputs!$B$3-100)*3)+Inputs!$B$28+Inputs!$B$29</f>
        <v/>
      </c>
      <c r="V2465">
        <f>IF(C2465,(Skills!G2*N2465*B2498*(1+IF(C2490=TRUE,1/3,0)))*IF(Inputs!$B$38="pvp",1,(1+(Inputs!$B$21+Skills!Q2+(IF(IF(ArtifactsInput!$M$33,FALSE,TRUE),CHOOSE(ArtifactsInput!$N$33+1,30,36,42,48,54,60),0))+(IF(AND(ArtifactsInput!$M$35,Inputs!$B$4&lt;&gt;"Chapter Hunt"),CHOOSE(ArtifactsInput!$N$35+1,15,18,21,24,27,30)*(1-EXP(-(0.2*B2496)*5)),0)+IF(AND(ArtifactsInput!$M$22,Inputs!$B$4&lt;&gt;"Chapter Hunt"),CHOOSE(ArtifactsInput!$N$22+1,10,12,14,16,18,20)*((0*(((0.15*B2496*5))^0/1)+1*(((0.15*B2496*5))^1/1)+2*(((0.15*B2496*5))^2/2)+3*(((0.15*B2496*5))^3/6)+4*(((0.15*B2496*5))^4/24)+5*(((0.15*B2496*5))^5/120))/((((0.15*B2496*5))^0/1)+(((0.15*B2496*5))^1/1)+(((0.15*B2496*5))^2/2)+(((0.15*B2496*5))^3/6)+(((0.15*B2496*5))^4/24)+(((0.15*B2496*5))^5/120))),0))+IF(Inputs!$B$3&gt;=54,9*(C2466=TRUE)*MIN(1,8*(1+Inputs!$B$34/100)*Q2466),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66">
      <c r="A2466">
        <f>Skills!A3</f>
        <v/>
      </c>
      <c r="B2466">
        <f>Skills!B3</f>
        <v/>
      </c>
      <c r="C2466">
        <f>Inputs!$B$3&gt;=33</f>
        <v/>
      </c>
      <c r="D2466">
        <f>IF(Skills!C3=1,60+Inputs!$B$25+Inputs!$B$29,IF(Skills!C3=2,90+Inputs!$B$26+Inputs!$B$29,IF(Skills!C3=3,120+Inputs!$B$27+Inputs!$B$29,MAX(0,(Inputs!$B$3-100)*3)+Inputs!$B$28+Inputs!$B$29)))</f>
        <v/>
      </c>
      <c r="E2466">
        <f>INDEX(FactorTable!$B$2:$Y$301, MATCH(ROUND(MIN(300,MAX(1,D2466)),0), FactorTable!$A$2:$A$301,0), Skills!M3+1)</f>
        <v/>
      </c>
      <c r="F2466">
        <f>IF(Skills!N3=TRUE,(Skills!L3/10)*(E2466/1000),Skills!L3/10)+Skills!O3</f>
        <v/>
      </c>
      <c r="G2466">
        <f>Skills!G3*IF(Skills!H3&gt;0,INT(IF(Inputs!$B$38="pvp",MIN(Skills!I3,15),Skills!I3)/Skills!H3+0.000000001),1)</f>
        <v/>
      </c>
      <c r="H2466">
        <f>1-(1-Skills!J3/100)^Skills!K3</f>
        <v/>
      </c>
      <c r="I2466" t="inlineStr">
        <is>
          <t>1</t>
        </is>
      </c>
      <c r="J2466">
        <f>((Inputs!$B$6*(1+Inputs!$B$7/100))+(((Inputs!$B$12*(1+Inputs!$B$13/100))-(Inputs!$B$12*(1+Inputs!$B$13/100)))+0.25*(Inputs!$B$14-Inputs!$B$14))*(1+Inputs!$B$7/100))*(F2466/100)</f>
        <v/>
      </c>
      <c r="K2466">
        <f>J2466*(1+((Inputs!$B$12*(1+Inputs!$B$13/100))*0.01+Inputs!$B$14*0.0025)/100)*(1+Inputs!$B$15/100)*(1+Inputs!$B$16/100)*(5000/(6000+Inputs!$B$42*(1-(100*(1-(1-(Inputs!$B$19+0)/100)*(1-CHOOSE(ArtifactsInput!$N$40+1,5,6,7,8,9,10)/100)^(ArtifactsInput!$M$40-ArtifactsInput!$M$40)))/100)))*(1+(Inputs!$B$24+((C2489=TRUE)*(F2489-Calc!F26))+B2500)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2478=TRUE,F2478,0)/100)*(1+(IF(Skills!A3="EIGHT_LEGS_EASTON",Inputs!$B$17+((C2486=TRUE)*(F2486-Calc!F23))+((C2490=TRUE)*(F2490-Calc!F27))+((IF(AND(Inputs!$B$38&lt;&gt;"pvp",Inputs!$B$43=0),1,IF(IF(Inputs!$B$38="pvp",15,Inputs!$B$43)-(B2501)&lt;=0,1,MAX(0,IF(Inputs!$B$38="pvp",15,Inputs!$B$43)-MAX(5,B2501))/(IF(Inputs!$B$38="pvp",15,Inputs!$B$43)-(B2501))))*(IF(AND(ArtifactsInput!$M$42,((Inputs!$B$9+((C2482=TRUE)*(F2482-Calc!F19))+B2494+(ArtifactsInput!$M$24-ArtifactsInput!$M$24)*CHOOSE(ArtifactsInput!$N$24+1,10,12,14,16,18,20)+IF(ArtifactsInput!$M$10,CHOOSE(ArtifactsInput!$N$10+1,15,18,21,24,27,30)*(IF(Inputs!$B$38="pvp",MIN(15,15)/15,IF(AND(Inputs!$B$38&lt;&gt;"pvp",Inputs!$B$43&gt;0),MIN(15,Inputs!$B$43)/(Inputs!$B$43),0))),0)))&gt;=100),MIN(100,((Inputs!$B$9+((C2482=TRUE)*(F2482-Calc!F19))+B2494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2501)&lt;=0,1,MAX(0,IF(Inputs!$B$38="pvp",15,Inputs!$B$43)-MAX(5,B2501))/(IF(Inputs!$B$38="pvp",15,Inputs!$B$43)-(B2501))))*IF(AND(ArtifactsInput!$M$42,((Inputs!$B$9+((C2482=TRUE)*(F2482-Calc!F19))+B2494+(ArtifactsInput!$M$24-ArtifactsInput!$M$24)*CHOOSE(ArtifactsInput!$N$24+1,10,12,14,16,18,20)+IF(ArtifactsInput!$M$10,CHOOSE(ArtifactsInput!$N$10+1,15,18,21,24,27,30)*(IF(Inputs!$B$38="pvp",MIN(15,15)/15,IF(AND(Inputs!$B$38&lt;&gt;"pvp",Inputs!$B$43&gt;0),MIN(15,Inputs!$B$43)/(Inputs!$B$43),0))),0)))&gt;=100),CHOOSE(ArtifactsInput!$N$42+1,40,48,56,64,72,80),0))))/100)*((1+(((C2480=TRUE)*F2480*5/7)+((C2487=TRUE)*(F2487-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2466)</f>
        <v/>
      </c>
      <c r="L2466">
        <f>K2466*(MIN(Inputs!$B$22+((C2485=TRUE)*(F2485-Calc!F22)),(Inputs!$B$23+0+(IF(ArtifactsInput!$M$15,CHOOSE(ArtifactsInput!$N$15+1,25,30,35,40,45,50)/100*(Inputs!$B$11-Inputs!$B$11),0))))/100+(Inputs!$B$23+0+(IF(ArtifactsInput!$M$15,CHOOSE(ArtifactsInput!$N$15+1,25,30,35,40,45,50)/100*(Inputs!$B$11-Inputs!$B$11),0)))/100)/2</f>
        <v/>
      </c>
      <c r="M2466">
        <f>L2466*(1+(Inputs!$B$10+((C2488=TRUE)*(F2488-Calc!F25))+B2499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66">
        <f>L2466*(1-MIN((Inputs!$B$9+((C2482=TRUE)*(F2482-Calc!F19))+B2494+(ArtifactsInput!$M$24-ArtifactsInput!$M$24)*CHOOSE(ArtifactsInput!$N$24+1,10,12,14,16,18,20)+(IF(AND(Inputs!$B$38&lt;&gt;"pvp",Inputs!$B$43=0),1,IF(IF(Inputs!$B$38="pvp",15,Inputs!$B$43)-(B2501)&lt;=0,1,MAX(0,IF(Inputs!$B$38="pvp",15,Inputs!$B$43)-MAX(5,B2501))/(IF(Inputs!$B$38="pvp",15,Inputs!$B$43)-(B2501))))*IF(AND(ArtifactsInput!$M$42,((Inputs!$B$9+((C2482=TRUE)*(F2482-Calc!F19))+B2494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2466*(MIN((Inputs!$B$9+((C2482=TRUE)*(F2482-Calc!F19))+B2494+(ArtifactsInput!$M$24-ArtifactsInput!$M$24)*CHOOSE(ArtifactsInput!$N$24+1,10,12,14,16,18,20)+(IF(AND(Inputs!$B$38&lt;&gt;"pvp",Inputs!$B$43=0),1,IF(IF(Inputs!$B$38="pvp",15,Inputs!$B$43)-(B2501)&lt;=0,1,MAX(0,IF(Inputs!$B$38="pvp",15,Inputs!$B$43)-MAX(5,B2501))/(IF(Inputs!$B$38="pvp",15,Inputs!$B$43)-(B2501))))*IF(AND(ArtifactsInput!$M$42,((Inputs!$B$9+((C2482=TRUE)*(F2482-Calc!F19))+B2494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66">
        <f>(1-Summary!$B$11)*T2466+Summary!$B$11*V2466</f>
        <v/>
      </c>
      <c r="P2466">
        <f>IF(B2504=0,0,O2466/B2504)</f>
        <v/>
      </c>
      <c r="Q2466">
        <f>IFERROR(1/(IF(Inputs!$B$38="pvp",15,MAX(0.1,Skills!D3-IF(TRUE=TRUE,Inputs!$B$32,0)))*(1-IF(AND(ArtifactsInput!$M$27,Inputs!$B$4="Chapter Hunt"),CHOOSE(ArtifactsInput!$N$27+1,20,24,28,32,36,40),0)/100)),0)</f>
        <v/>
      </c>
      <c r="R2466">
        <f>IF(AND(Inputs!$B$38&lt;&gt;"pvp",Inputs!$B$43&gt;0),IF(MAX(0,Inputs!$B$43-B2501)&lt;=0,0,(INT(MAX(0,Inputs!$B$43-B2501)/(IF(Inputs!$B$38="pvp",15,MAX(0.1,Skills!D3-IF(TRUE=TRUE,Inputs!$B$32,0)))*(1-IF(AND(ArtifactsInput!$M$27,Inputs!$B$4="Chapter Hunt"),CHOOSE(ArtifactsInput!$N$27+1,20,24,28,32,36,40),0)/100)))+1)),0)</f>
        <v/>
      </c>
      <c r="S2466">
        <f>IFERROR(O2466/N2466,0)</f>
        <v/>
      </c>
      <c r="T2466">
        <f>IF(C2466,(H2466*N2466*IF(AND(Inputs!$B$38&lt;&gt;"pvp",Inputs!$B$43&gt;0),((Skills!G3*((R2466-1)*IF(Skills!H3&gt;0,INT(Skills!I3/Skills!H3+0.000000001),1)+IF(Skills!H3&gt;0,INT(MIN(Skills!I3,MAX(0,MAX(0,Inputs!$B$43-B2501)-((R2466-1)*(IF(Inputs!$B$38="pvp",15,MAX(0.1,Skills!D3-IF(TRUE=TRUE,Inputs!$B$32,0)))*(1-IF(AND(ArtifactsInput!$M$27,Inputs!$B$4="Chapter Hunt"),CHOOSE(ArtifactsInput!$N$27+1,20,24,28,32,36,40),0)/100)))))/Skills!H3+0.000000001),1)))/Inputs!$B$43),G2466*Q2466))*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IF(ArtifactsInput!$M$33,FALSE,TRUE),CHOOSE(ArtifactsInput!$N$33+1,10,12,14,16,18,20),0)+(ArtifactsInput!$M$23-ArtifactsInput!$M$23)*CHOOSE(ArtifactsInput!$N$23+1,50,60,70,80,90,100))+(IF(AND(ArtifactsInput!$M$35,Inputs!$B$4&lt;&gt;"Chapter Hunt"),CHOOSE(ArtifactsInput!$N$35+1,15,18,21,24,27,30)*(1-EXP(-(0.2*B2496)*5)),0)+IF(AND(ArtifactsInput!$M$22,Inputs!$B$4&lt;&gt;"Chapter Hunt"),CHOOSE(ArtifactsInput!$N$22+1,10,12,14,16,18,20)*((0*(((0.15*B2496*5))^0/1)+1*(((0.15*B2496*5))^1/1)+2*(((0.15*B2496*5))^2/2)+3*(((0.15*B2496*5))^3/6)+4*(((0.15*B2496*5))^4/24)+5*(((0.15*B2496*5))^5/120))/((((0.15*B2496*5))^0/1)+(((0.15*B2496*5))^1/1)+(((0.15*B2496*5))^2/2)+(((0.15*B2496*5))^3/6)+(((0.15*B2496*5))^4/24)+(((0.15*B2496*5))^5/120))),0))+IF(Inputs!$B$3&gt;=54,9*(C2466=TRUE)*MIN(1,8*(1+Inputs!$B$34/100)*Q2466)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2466*(1-MIN(100,(Inputs!$B$9+((C2482=TRUE)*(F2482-Calc!F19))+B2494+(ArtifactsInput!$M$24-ArtifactsInput!$M$24)*CHOOSE(ArtifactsInput!$N$24+1,10,12,14,16,18,20)+(IF(AND(Inputs!$B$38&lt;&gt;"pvp",Inputs!$B$43=0),1,IF(IF(Inputs!$B$38="pvp",15,Inputs!$B$43)-(B2501)&lt;=0,1,MAX(0,IF(Inputs!$B$38="pvp",15,Inputs!$B$43)-MAX(5,B2501))/(IF(Inputs!$B$38="pvp",15,Inputs!$B$43)-(B2501))))*IF(AND(ArtifactsInput!$M$42,((Inputs!$B$9+((C2482=TRUE)*(F2482-Calc!F19))+B2494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2466*(MIN(100,(Inputs!$B$9+((C2482=TRUE)*(F2482-Calc!F19))+B2494+(ArtifactsInput!$M$24-ArtifactsInput!$M$24)*CHOOSE(ArtifactsInput!$N$24+1,10,12,14,16,18,20)+(IF(AND(Inputs!$B$38&lt;&gt;"pvp",Inputs!$B$43=0),1,IF(IF(Inputs!$B$38="pvp",15,Inputs!$B$43)-(B2501)&lt;=0,1,MAX(0,IF(Inputs!$B$38="pvp",15,Inputs!$B$43)-MAX(5,B2501))/(IF(Inputs!$B$38="pvp",15,Inputs!$B$43)-(B2501))))*IF(AND(ArtifactsInput!$M$42,((Inputs!$B$9+((C2482=TRUE)*(F2482-Calc!F19))+B2494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2466*(1-MIN(100,(Inputs!$B$9+((C2482=TRUE)*(F2482-Calc!F19))+B2494+(ArtifactsInput!$M$24-ArtifactsInput!$M$24)*CHOOSE(ArtifactsInput!$N$24+1,10,12,14,16,18,20)+(IF(AND(Inputs!$B$38&lt;&gt;"pvp",Inputs!$B$43=0),1,IF(IF(Inputs!$B$38="pvp",15,Inputs!$B$43)-(B2501)&lt;=0,1,MAX(0,IF(Inputs!$B$38="pvp",15,Inputs!$B$43)-MAX(5,B2501))/(IF(Inputs!$B$38="pvp",15,Inputs!$B$43)-(B2501))))*IF(AND(ArtifactsInput!$M$42,((Inputs!$B$9+((C2482=TRUE)*(F2482-Calc!F19))+B2494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2466*(MIN(100,(Inputs!$B$9+((C2482=TRUE)*(F2482-Calc!F19))+B2494+(ArtifactsInput!$M$24-ArtifactsInput!$M$24)*CHOOSE(ArtifactsInput!$N$24+1,10,12,14,16,18,20)+(IF(AND(Inputs!$B$38&lt;&gt;"pvp",Inputs!$B$43=0),1,IF(IF(Inputs!$B$38="pvp",15,Inputs!$B$43)-(B2501)&lt;=0,1,MAX(0,IF(Inputs!$B$38="pvp",15,Inputs!$B$43)-MAX(5,B2501))/(IF(Inputs!$B$38="pvp",15,Inputs!$B$43)-(B2501))))*IF(AND(ArtifactsInput!$M$42,((Inputs!$B$9+((C2482=TRUE)*(F2482-Calc!F19))+B2494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466">
        <f>INDEX(FactorTable!$B$2:$Y$301, MATCH(ROUND(MIN(300,MAX(1,U2465)),0), FactorTable!$A$2:$A$301,0), 22)</f>
        <v/>
      </c>
      <c r="V2466">
        <f>IF(C2466,(H2466*N2466*IF(AND(Inputs!$B$38&lt;&gt;"pvp",Inputs!$B$43&gt;0),((Skills!G3*((R2466-1)*IF(Skills!H3&gt;0,INT(Skills!I3/Skills!H3+0.000000001),1)+IF(Skills!H3&gt;0,INT(MIN(Skills!I3,MAX(0,MAX(0,Inputs!$B$43-B2501)-((R2466-1)*(IF(Inputs!$B$38="pvp",15,MAX(0.1,Skills!D3-IF(TRUE=TRUE,Inputs!$B$32,0)))*(1-IF(AND(ArtifactsInput!$M$27,Inputs!$B$4="Chapter Hunt"),CHOOSE(ArtifactsInput!$N$27+1,20,24,28,32,36,40),0)/100)))))/Skills!H3+0.000000001),1)))/Inputs!$B$43),G2466*Q2466))*IF(Inputs!$B$38="pvp",1,(1+(Inputs!$B$21+Skills!Q3+(IF(IF(ArtifactsInput!$M$33,FALSE,TRUE),CHOOSE(ArtifactsInput!$N$33+1,30,36,42,48,54,60),0))+(IF(AND(ArtifactsInput!$M$35,Inputs!$B$4&lt;&gt;"Chapter Hunt"),CHOOSE(ArtifactsInput!$N$35+1,15,18,21,24,27,30)*(1-EXP(-(0.2*B2496)*5)),0)+IF(AND(ArtifactsInput!$M$22,Inputs!$B$4&lt;&gt;"Chapter Hunt"),CHOOSE(ArtifactsInput!$N$22+1,10,12,14,16,18,20)*((0*(((0.15*B2496*5))^0/1)+1*(((0.15*B2496*5))^1/1)+2*(((0.15*B2496*5))^2/2)+3*(((0.15*B2496*5))^3/6)+4*(((0.15*B2496*5))^4/24)+5*(((0.15*B2496*5))^5/120))/((((0.15*B2496*5))^0/1)+(((0.15*B2496*5))^1/1)+(((0.15*B2496*5))^2/2)+(((0.15*B2496*5))^3/6)+(((0.15*B2496*5))^4/24)+(((0.15*B2496*5))^5/120))),0))+IF(Inputs!$B$3&gt;=54,9*(C2466=TRUE)*MIN(1,8*(1+Inputs!$B$34/100)*Q2466),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67">
      <c r="A2467">
        <f>Skills!A4</f>
        <v/>
      </c>
      <c r="B2467">
        <f>Skills!B4</f>
        <v/>
      </c>
      <c r="C2467">
        <f>Inputs!$B$3&gt;=35</f>
        <v/>
      </c>
      <c r="D2467">
        <f>IF(Skills!C4=1,60+Inputs!$B$25+Inputs!$B$29,IF(Skills!C4=2,90+Inputs!$B$26+Inputs!$B$29,IF(Skills!C4=3,120+Inputs!$B$27+Inputs!$B$29,MAX(0,(Inputs!$B$3-100)*3)+Inputs!$B$28+Inputs!$B$29)))</f>
        <v/>
      </c>
      <c r="E2467">
        <f>INDEX(FactorTable!$B$2:$Y$301, MATCH(ROUND(MIN(300,MAX(1,D2467)),0), FactorTable!$A$2:$A$301,0), Skills!M4+1)</f>
        <v/>
      </c>
      <c r="F2467">
        <f>IF(Skills!N4=TRUE,(Skills!L4/10)*(E2467/1000),Skills!L4/10)+Skills!O4</f>
        <v/>
      </c>
      <c r="G2467">
        <f>Skills!G4*IF(Skills!H4&gt;0,INT(IF(Inputs!$B$38="pvp",MIN(IF(Inputs!$B$3&gt;=104,MIN(35,20*(1+Inputs!$B$34/100)),20),15),IF(Inputs!$B$3&gt;=104,MIN(35,20*(1+Inputs!$B$34/100)),20))/Skills!H4+0.000000001),1)</f>
        <v/>
      </c>
      <c r="H2467">
        <f>1-(1-Skills!J4/100)^Skills!K4</f>
        <v/>
      </c>
      <c r="I2467" t="inlineStr">
        <is>
          <t>1</t>
        </is>
      </c>
      <c r="J2467">
        <f>((Inputs!$B$6*(1+Inputs!$B$7/100))+(((Inputs!$B$12*(1+Inputs!$B$13/100))-(Inputs!$B$12*(1+Inputs!$B$13/100)))+0.25*(Inputs!$B$14-Inputs!$B$14))*(1+Inputs!$B$7/100))*(F2467/100)</f>
        <v/>
      </c>
      <c r="K2467">
        <f>J2467*(1+((Inputs!$B$12*(1+Inputs!$B$13/100))*0.01+Inputs!$B$14*0.0025)/100)*(1+Inputs!$B$15/100)*(1+Inputs!$B$16/100)*(5000/(6000+Inputs!$B$42*(1-(100*(1-(1-(Inputs!$B$19+0)/100)*(1-CHOOSE(ArtifactsInput!$N$40+1,5,6,7,8,9,10)/100)^(ArtifactsInput!$M$40-ArtifactsInput!$M$40)))/100)))*(1+(Inputs!$B$24+((C2489=TRUE)*(F2489-Calc!F26))+B2500)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2479=TRUE,F2479,0)/100)*(1+(IF(Skills!A4="EIGHT_LEGS_EASTON",Inputs!$B$17+((C2486=TRUE)*(F2486-Calc!F23))+((C2490=TRUE)*(F2490-Calc!F27))+((IF(AND(Inputs!$B$38&lt;&gt;"pvp",Inputs!$B$43=0),1,IF(IF(Inputs!$B$38="pvp",15,Inputs!$B$43)-(B2501)&lt;=0,1,MAX(0,IF(Inputs!$B$38="pvp",15,Inputs!$B$43)-MAX(5,B2501))/(IF(Inputs!$B$38="pvp",15,Inputs!$B$43)-(B2501))))*(IF(AND(ArtifactsInput!$M$42,((Inputs!$B$9+((C2482=TRUE)*(F2482-Calc!F19))+B2494+(ArtifactsInput!$M$24-ArtifactsInput!$M$24)*CHOOSE(ArtifactsInput!$N$24+1,10,12,14,16,18,20)+IF(ArtifactsInput!$M$10,CHOOSE(ArtifactsInput!$N$10+1,15,18,21,24,27,30)*(IF(Inputs!$B$38="pvp",MIN(15,15)/15,IF(AND(Inputs!$B$38&lt;&gt;"pvp",Inputs!$B$43&gt;0),MIN(15,Inputs!$B$43)/(Inputs!$B$43),0))),0)))&gt;=100),MIN(100,((Inputs!$B$9+((C2482=TRUE)*(F2482-Calc!F19))+B2494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2501)&lt;=0,1,MAX(0,IF(Inputs!$B$38="pvp",15,Inputs!$B$43)-MAX(5,B2501))/(IF(Inputs!$B$38="pvp",15,Inputs!$B$43)-(B2501))))*IF(AND(ArtifactsInput!$M$42,((Inputs!$B$9+((C2482=TRUE)*(F2482-Calc!F19))+B2494+(ArtifactsInput!$M$24-ArtifactsInput!$M$24)*CHOOSE(ArtifactsInput!$N$24+1,10,12,14,16,18,20)+IF(ArtifactsInput!$M$10,CHOOSE(ArtifactsInput!$N$10+1,15,18,21,24,27,30)*(IF(Inputs!$B$38="pvp",MIN(15,15)/15,IF(AND(Inputs!$B$38&lt;&gt;"pvp",Inputs!$B$43&gt;0),MIN(15,Inputs!$B$43)/(Inputs!$B$43),0))),0)))&gt;=100),CHOOSE(ArtifactsInput!$N$42+1,40,48,56,64,72,80),0))))/100)*((1+(((C2480=TRUE)*F2480*5/7)+((C2487=TRUE)*(F2487-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2467)</f>
        <v/>
      </c>
      <c r="L2467">
        <f>K2467*(MIN(Inputs!$B$22+((C2485=TRUE)*(F2485-Calc!F22)),(Inputs!$B$23+0+(IF(ArtifactsInput!$M$15,CHOOSE(ArtifactsInput!$N$15+1,25,30,35,40,45,50)/100*(Inputs!$B$11-Inputs!$B$11),0))))/100+(Inputs!$B$23+0+(IF(ArtifactsInput!$M$15,CHOOSE(ArtifactsInput!$N$15+1,25,30,35,40,45,50)/100*(Inputs!$B$11-Inputs!$B$11),0)))/100)/2</f>
        <v/>
      </c>
      <c r="M2467">
        <f>L2467*(1+(Inputs!$B$10+((C2488=TRUE)*(F2488-Calc!F25))+B2499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67">
        <f>L2467*(1-MIN((Inputs!$B$9+((C2482=TRUE)*(F2482-Calc!F19))+B2494+(ArtifactsInput!$M$24-ArtifactsInput!$M$24)*CHOOSE(ArtifactsInput!$N$24+1,10,12,14,16,18,20)+(IF(AND(Inputs!$B$38&lt;&gt;"pvp",Inputs!$B$43=0),1,IF(IF(Inputs!$B$38="pvp",15,Inputs!$B$43)-(B2501)&lt;=0,1,MAX(0,IF(Inputs!$B$38="pvp",15,Inputs!$B$43)-MAX(5,B2501))/(IF(Inputs!$B$38="pvp",15,Inputs!$B$43)-(B2501))))*IF(AND(ArtifactsInput!$M$42,((Inputs!$B$9+((C2482=TRUE)*(F2482-Calc!F19))+B2494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2467*(MIN((Inputs!$B$9+((C2482=TRUE)*(F2482-Calc!F19))+B2494+(ArtifactsInput!$M$24-ArtifactsInput!$M$24)*CHOOSE(ArtifactsInput!$N$24+1,10,12,14,16,18,20)+(IF(AND(Inputs!$B$38&lt;&gt;"pvp",Inputs!$B$43=0),1,IF(IF(Inputs!$B$38="pvp",15,Inputs!$B$43)-(B2501)&lt;=0,1,MAX(0,IF(Inputs!$B$38="pvp",15,Inputs!$B$43)-MAX(5,B2501))/(IF(Inputs!$B$38="pvp",15,Inputs!$B$43)-(B2501))))*IF(AND(ArtifactsInput!$M$42,((Inputs!$B$9+((C2482=TRUE)*(F2482-Calc!F19))+B2494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67">
        <f>(1-Summary!$B$11)*T2467+Summary!$B$11*V2467</f>
        <v/>
      </c>
      <c r="P2467">
        <f>IF(B2504=0,0,O2467/B2504)</f>
        <v/>
      </c>
      <c r="Q2467">
        <f>IFERROR(1/(IF(Inputs!$B$38="pvp",15,MAX(0.1,Skills!D4-IF(TRUE=TRUE,Inputs!$B$32,0)))*(1-IF(AND(ArtifactsInput!$M$27,Inputs!$B$4="Chapter Hunt"),CHOOSE(ArtifactsInput!$N$27+1,20,24,28,32,36,40),0)/100)),0)</f>
        <v/>
      </c>
      <c r="R2467">
        <f>IF(AND(Inputs!$B$38&lt;&gt;"pvp",Inputs!$B$43&gt;0),IF(MAX(0,Inputs!$B$43-B2501)&lt;=0,0,(INT(MAX(0,Inputs!$B$43-B2501)/(IF(Inputs!$B$38="pvp",15,MAX(0.1,Skills!D4-IF(TRUE=TRUE,Inputs!$B$32,0)))*(1-IF(AND(ArtifactsInput!$M$27,Inputs!$B$4="Chapter Hunt"),CHOOSE(ArtifactsInput!$N$27+1,20,24,28,32,36,40),0)/100)))+1)),0)</f>
        <v/>
      </c>
      <c r="S2467">
        <f>IFERROR(O2467/N2467,0)</f>
        <v/>
      </c>
      <c r="T2467">
        <f>IF(C2467,(H2467*N2467*IF(AND(Inputs!$B$38&lt;&gt;"pvp",Inputs!$B$43&gt;0),((Skills!G4*((R2467-1)*IF(Skills!H4&gt;0,INT(IF(Inputs!$B$3&gt;=104,MIN(35,20*(1+Inputs!$B$34/100)),20)/Skills!H4+0.000000001),1)+IF(Skills!H4&gt;0,INT(MIN(IF(Inputs!$B$3&gt;=104,MIN(35,20*(1+Inputs!$B$34/100)),20),MAX(0,MAX(0,Inputs!$B$43-B2501)-((R2467-1)*(IF(Inputs!$B$38="pvp",15,MAX(0.1,Skills!D4-IF(TRUE=TRUE,Inputs!$B$32,0)))*(1-IF(AND(ArtifactsInput!$M$27,Inputs!$B$4="Chapter Hunt"),CHOOSE(ArtifactsInput!$N$27+1,20,24,28,32,36,40),0)/100)))))/Skills!H4+0.000000001),1)))/Inputs!$B$43),G2467*Q2467))*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IF(ArtifactsInput!$M$33,FALSE,TRUE),CHOOSE(ArtifactsInput!$N$33+1,10,12,14,16,18,20),0)+(ArtifactsInput!$M$23-ArtifactsInput!$M$23)*CHOOSE(ArtifactsInput!$N$23+1,50,60,70,80,90,100))+(IF(AND(ArtifactsInput!$M$35,Inputs!$B$4&lt;&gt;"Chapter Hunt"),CHOOSE(ArtifactsInput!$N$35+1,15,18,21,24,27,30)*(1-EXP(-(0.2*B2496)*5)),0)+IF(AND(ArtifactsInput!$M$22,Inputs!$B$4&lt;&gt;"Chapter Hunt"),CHOOSE(ArtifactsInput!$N$22+1,10,12,14,16,18,20)*((0*(((0.15*B2496*5))^0/1)+1*(((0.15*B2496*5))^1/1)+2*(((0.15*B2496*5))^2/2)+3*(((0.15*B2496*5))^3/6)+4*(((0.15*B2496*5))^4/24)+5*(((0.15*B2496*5))^5/120))/((((0.15*B2496*5))^0/1)+(((0.15*B2496*5))^1/1)+(((0.15*B2496*5))^2/2)+(((0.15*B2496*5))^3/6)+(((0.15*B2496*5))^4/24)+(((0.15*B2496*5))^5/120))),0))+IF(Inputs!$B$3&gt;=54,9*(C2466=TRUE)*MIN(1,8*(1+Inputs!$B$34/100)*Q2466)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2467*(1-MIN(100,(Inputs!$B$9+((C2482=TRUE)*(F2482-Calc!F19))+B2494+(ArtifactsInput!$M$24-ArtifactsInput!$M$24)*CHOOSE(ArtifactsInput!$N$24+1,10,12,14,16,18,20)+(IF(AND(Inputs!$B$38&lt;&gt;"pvp",Inputs!$B$43=0),1,IF(IF(Inputs!$B$38="pvp",15,Inputs!$B$43)-(B2501)&lt;=0,1,MAX(0,IF(Inputs!$B$38="pvp",15,Inputs!$B$43)-MAX(5,B2501))/(IF(Inputs!$B$38="pvp",15,Inputs!$B$43)-(B2501))))*IF(AND(ArtifactsInput!$M$42,((Inputs!$B$9+((C2482=TRUE)*(F2482-Calc!F19))+B2494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2467*(MIN(100,(Inputs!$B$9+((C2482=TRUE)*(F2482-Calc!F19))+B2494+(ArtifactsInput!$M$24-ArtifactsInput!$M$24)*CHOOSE(ArtifactsInput!$N$24+1,10,12,14,16,18,20)+(IF(AND(Inputs!$B$38&lt;&gt;"pvp",Inputs!$B$43=0),1,IF(IF(Inputs!$B$38="pvp",15,Inputs!$B$43)-(B2501)&lt;=0,1,MAX(0,IF(Inputs!$B$38="pvp",15,Inputs!$B$43)-MAX(5,B2501))/(IF(Inputs!$B$38="pvp",15,Inputs!$B$43)-(B2501))))*IF(AND(ArtifactsInput!$M$42,((Inputs!$B$9+((C2482=TRUE)*(F2482-Calc!F19))+B2494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2467*(1-MIN(100,(Inputs!$B$9+((C2482=TRUE)*(F2482-Calc!F19))+B2494+(ArtifactsInput!$M$24-ArtifactsInput!$M$24)*CHOOSE(ArtifactsInput!$N$24+1,10,12,14,16,18,20)+(IF(AND(Inputs!$B$38&lt;&gt;"pvp",Inputs!$B$43=0),1,IF(IF(Inputs!$B$38="pvp",15,Inputs!$B$43)-(B2501)&lt;=0,1,MAX(0,IF(Inputs!$B$38="pvp",15,Inputs!$B$43)-MAX(5,B2501))/(IF(Inputs!$B$38="pvp",15,Inputs!$B$43)-(B2501))))*IF(AND(ArtifactsInput!$M$42,((Inputs!$B$9+((C2482=TRUE)*(F2482-Calc!F19))+B2494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2467*(MIN(100,(Inputs!$B$9+((C2482=TRUE)*(F2482-Calc!F19))+B2494+(ArtifactsInput!$M$24-ArtifactsInput!$M$24)*CHOOSE(ArtifactsInput!$N$24+1,10,12,14,16,18,20)+(IF(AND(Inputs!$B$38&lt;&gt;"pvp",Inputs!$B$43=0),1,IF(IF(Inputs!$B$38="pvp",15,Inputs!$B$43)-(B2501)&lt;=0,1,MAX(0,IF(Inputs!$B$38="pvp",15,Inputs!$B$43)-MAX(5,B2501))/(IF(Inputs!$B$38="pvp",15,Inputs!$B$43)-(B2501))))*IF(AND(ArtifactsInput!$M$42,((Inputs!$B$9+((C2482=TRUE)*(F2482-Calc!F19))+B2494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467">
        <f>290*U2466/1000</f>
        <v/>
      </c>
      <c r="V2467">
        <f>IF(C2467,(H2467*N2467*IF(AND(Inputs!$B$38&lt;&gt;"pvp",Inputs!$B$43&gt;0),((Skills!G4*((R2467-1)*IF(Skills!H4&gt;0,INT(IF(Inputs!$B$3&gt;=104,MIN(35,20*(1+Inputs!$B$34/100)),20)/Skills!H4+0.000000001),1)+IF(Skills!H4&gt;0,INT(MIN(IF(Inputs!$B$3&gt;=104,MIN(35,20*(1+Inputs!$B$34/100)),20),MAX(0,MAX(0,Inputs!$B$43-B2501)-((R2467-1)*(IF(Inputs!$B$38="pvp",15,MAX(0.1,Skills!D4-IF(TRUE=TRUE,Inputs!$B$32,0)))*(1-IF(AND(ArtifactsInput!$M$27,Inputs!$B$4="Chapter Hunt"),CHOOSE(ArtifactsInput!$N$27+1,20,24,28,32,36,40),0)/100)))))/Skills!H4+0.000000001),1)))/Inputs!$B$43),G2467*Q2467))*IF(Inputs!$B$38="pvp",1,(1+(Inputs!$B$21+Skills!Q4+(IF(IF(ArtifactsInput!$M$33,FALSE,TRUE),CHOOSE(ArtifactsInput!$N$33+1,30,36,42,48,54,60),0))+(IF(AND(ArtifactsInput!$M$35,Inputs!$B$4&lt;&gt;"Chapter Hunt"),CHOOSE(ArtifactsInput!$N$35+1,15,18,21,24,27,30)*(1-EXP(-(0.2*B2496)*5)),0)+IF(AND(ArtifactsInput!$M$22,Inputs!$B$4&lt;&gt;"Chapter Hunt"),CHOOSE(ArtifactsInput!$N$22+1,10,12,14,16,18,20)*((0*(((0.15*B2496*5))^0/1)+1*(((0.15*B2496*5))^1/1)+2*(((0.15*B2496*5))^2/2)+3*(((0.15*B2496*5))^3/6)+4*(((0.15*B2496*5))^4/24)+5*(((0.15*B2496*5))^5/120))/((((0.15*B2496*5))^0/1)+(((0.15*B2496*5))^1/1)+(((0.15*B2496*5))^2/2)+(((0.15*B2496*5))^3/6)+(((0.15*B2496*5))^4/24)+(((0.15*B2496*5))^5/120))),0))+IF(Inputs!$B$3&gt;=54,9*(C2466=TRUE)*MIN(1,8*(1+Inputs!$B$34/100)*Q2466),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68">
      <c r="A2468">
        <f>Skills!A5</f>
        <v/>
      </c>
      <c r="B2468">
        <f>Skills!B5</f>
        <v/>
      </c>
      <c r="C2468">
        <f>Inputs!$B$3&gt;=69</f>
        <v/>
      </c>
      <c r="D2468">
        <f>IF(Skills!C5=1,60+Inputs!$B$25+Inputs!$B$29,IF(Skills!C5=2,90+Inputs!$B$26+Inputs!$B$29,IF(Skills!C5=3,120+Inputs!$B$27+Inputs!$B$29,MAX(0,(Inputs!$B$3-100)*3)+Inputs!$B$28+Inputs!$B$29)))</f>
        <v/>
      </c>
      <c r="E2468">
        <f>INDEX(FactorTable!$B$2:$Y$301, MATCH(ROUND(MIN(300,MAX(1,D2468)),0), FactorTable!$A$2:$A$301,0), Skills!M5+1)</f>
        <v/>
      </c>
      <c r="F2468">
        <f>IF(Skills!N5=TRUE,(Skills!L5/10)*(E2468/1000),Skills!L5/10)+Skills!O5</f>
        <v/>
      </c>
      <c r="G2468">
        <f>Skills!G5*IF(Skills!H5&gt;0,INT(IF(Inputs!$B$38="pvp",MIN(IF(Inputs!$B$3&gt;=104,MIN(35,20*(1+Inputs!$B$34/100)),20),15),IF(Inputs!$B$3&gt;=104,MIN(35,20*(1+Inputs!$B$34/100)),20))/Skills!H5+0.000000001),1)</f>
        <v/>
      </c>
      <c r="H2468">
        <f>1-(1-Skills!J5/100)^Skills!K5</f>
        <v/>
      </c>
      <c r="I2468" t="inlineStr">
        <is>
          <t>1</t>
        </is>
      </c>
      <c r="J2468">
        <f>((Inputs!$B$6*(1+Inputs!$B$7/100))+(((Inputs!$B$12*(1+Inputs!$B$13/100))-(Inputs!$B$12*(1+Inputs!$B$13/100)))+0.25*(Inputs!$B$14-Inputs!$B$14))*(1+Inputs!$B$7/100))*(F2468/100)</f>
        <v/>
      </c>
      <c r="K2468">
        <f>J2468*(1+((Inputs!$B$12*(1+Inputs!$B$13/100))*0.01+Inputs!$B$14*0.0025)/100)*(1+Inputs!$B$15/100)*(1+Inputs!$B$16/100)*(5000/(6000+Inputs!$B$42*(1-(100*(1-(1-(Inputs!$B$19+0)/100)*(1-CHOOSE(ArtifactsInput!$N$40+1,5,6,7,8,9,10)/100)^(ArtifactsInput!$M$40-ArtifactsInput!$M$40)))/100)))*(1+(Inputs!$B$24+((C2489=TRUE)*(F2489-Calc!F26))+B2500)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+0.4*IF(C2479=TRUE,F2479,0)/100)*(1+(IF(Skills!A5="EIGHT_LEGS_EASTON",Inputs!$B$17+((C2486=TRUE)*(F2486-Calc!F23))+((C2490=TRUE)*(F2490-Calc!F27))+((IF(AND(Inputs!$B$38&lt;&gt;"pvp",Inputs!$B$43=0),1,IF(IF(Inputs!$B$38="pvp",15,Inputs!$B$43)-(B2501)&lt;=0,1,MAX(0,IF(Inputs!$B$38="pvp",15,Inputs!$B$43)-MAX(5,B2501))/(IF(Inputs!$B$38="pvp",15,Inputs!$B$43)-(B2501))))*(IF(AND(ArtifactsInput!$M$42,((Inputs!$B$9+((C2482=TRUE)*(F2482-Calc!F19))+B2494+(ArtifactsInput!$M$24-ArtifactsInput!$M$24)*CHOOSE(ArtifactsInput!$N$24+1,10,12,14,16,18,20)+IF(ArtifactsInput!$M$10,CHOOSE(ArtifactsInput!$N$10+1,15,18,21,24,27,30)*(IF(Inputs!$B$38="pvp",MIN(15,15)/15,IF(AND(Inputs!$B$38&lt;&gt;"pvp",Inputs!$B$43&gt;0),MIN(15,Inputs!$B$43)/(Inputs!$B$43),0))),0)))&gt;=100),MIN(100,((Inputs!$B$9+((C2482=TRUE)*(F2482-Calc!F19))+B2494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2501)&lt;=0,1,MAX(0,IF(Inputs!$B$38="pvp",15,Inputs!$B$43)-MAX(5,B2501))/(IF(Inputs!$B$38="pvp",15,Inputs!$B$43)-(B2501))))*IF(AND(ArtifactsInput!$M$42,((Inputs!$B$9+((C2482=TRUE)*(F2482-Calc!F19))+B2494+(ArtifactsInput!$M$24-ArtifactsInput!$M$24)*CHOOSE(ArtifactsInput!$N$24+1,10,12,14,16,18,20)+IF(ArtifactsInput!$M$10,CHOOSE(ArtifactsInput!$N$10+1,15,18,21,24,27,30)*(IF(Inputs!$B$38="pvp",MIN(15,15)/15,IF(AND(Inputs!$B$38&lt;&gt;"pvp",Inputs!$B$43&gt;0),MIN(15,Inputs!$B$43)/(Inputs!$B$43),0))),0)))&gt;=100),CHOOSE(ArtifactsInput!$N$42+1,40,48,56,64,72,80),0))))/100)*((1+(((C2480=TRUE)*F2480*5/7)+((C2487=TRUE)*(F2487-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2468)</f>
        <v/>
      </c>
      <c r="L2468">
        <f>K2468*(MIN(Inputs!$B$22+((C2485=TRUE)*(F2485-Calc!F22)),(Inputs!$B$23+0+(IF(ArtifactsInput!$M$15,CHOOSE(ArtifactsInput!$N$15+1,25,30,35,40,45,50)/100*(Inputs!$B$11-Inputs!$B$11),0))))/100+(Inputs!$B$23+0+(IF(ArtifactsInput!$M$15,CHOOSE(ArtifactsInput!$N$15+1,25,30,35,40,45,50)/100*(Inputs!$B$11-Inputs!$B$11),0)))/100)/2</f>
        <v/>
      </c>
      <c r="M2468">
        <f>L2468*(1+(Inputs!$B$10+((C2488=TRUE)*(F2488-Calc!F25))+B2499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68">
        <f>L2468*(1-MIN((Inputs!$B$9+((C2482=TRUE)*(F2482-Calc!F19))+B2494+(ArtifactsInput!$M$24-ArtifactsInput!$M$24)*CHOOSE(ArtifactsInput!$N$24+1,10,12,14,16,18,20)+(IF(AND(Inputs!$B$38&lt;&gt;"pvp",Inputs!$B$43=0),1,IF(IF(Inputs!$B$38="pvp",15,Inputs!$B$43)-(B2501)&lt;=0,1,MAX(0,IF(Inputs!$B$38="pvp",15,Inputs!$B$43)-MAX(5,B2501))/(IF(Inputs!$B$38="pvp",15,Inputs!$B$43)-(B2501))))*IF(AND(ArtifactsInput!$M$42,((Inputs!$B$9+((C2482=TRUE)*(F2482-Calc!F19))+B2494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2468*(MIN((Inputs!$B$9+((C2482=TRUE)*(F2482-Calc!F19))+B2494+(ArtifactsInput!$M$24-ArtifactsInput!$M$24)*CHOOSE(ArtifactsInput!$N$24+1,10,12,14,16,18,20)+(IF(AND(Inputs!$B$38&lt;&gt;"pvp",Inputs!$B$43=0),1,IF(IF(Inputs!$B$38="pvp",15,Inputs!$B$43)-(B2501)&lt;=0,1,MAX(0,IF(Inputs!$B$38="pvp",15,Inputs!$B$43)-MAX(5,B2501))/(IF(Inputs!$B$38="pvp",15,Inputs!$B$43)-(B2501))))*IF(AND(ArtifactsInput!$M$42,((Inputs!$B$9+((C2482=TRUE)*(F2482-Calc!F19))+B2494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68">
        <f>(1-Summary!$B$11)*T2468+Summary!$B$11*V2468</f>
        <v/>
      </c>
      <c r="P2468">
        <f>IF(B2504=0,0,O2468/B2504)</f>
        <v/>
      </c>
      <c r="Q2468">
        <f>IFERROR(1/(IF(Inputs!$B$38="pvp",15,MAX(0.1,Skills!D5-IF(TRUE=TRUE,Inputs!$B$32,0)))*(1-IF(AND(ArtifactsInput!$M$27,Inputs!$B$4="Chapter Hunt"),CHOOSE(ArtifactsInput!$N$27+1,20,24,28,32,36,40),0)/100)),0)</f>
        <v/>
      </c>
      <c r="R2468">
        <f>IF(AND(Inputs!$B$38&lt;&gt;"pvp",Inputs!$B$43&gt;0),IF(MAX(0,Inputs!$B$43-B2501)&lt;=0,0,(INT(MAX(0,Inputs!$B$43-B2501)/(IF(Inputs!$B$38="pvp",15,MAX(0.1,Skills!D5-IF(TRUE=TRUE,Inputs!$B$32,0)))*(1-IF(AND(ArtifactsInput!$M$27,Inputs!$B$4="Chapter Hunt"),CHOOSE(ArtifactsInput!$N$27+1,20,24,28,32,36,40),0)/100)))+1)),0)</f>
        <v/>
      </c>
      <c r="S2468">
        <f>IFERROR(O2468/N2468,0)</f>
        <v/>
      </c>
      <c r="T2468">
        <f>IF(C2468,(H2468*N2468*IF(AND(Inputs!$B$38&lt;&gt;"pvp",Inputs!$B$43&gt;0),((Skills!G5*((R2468-1)*IF(Skills!H5&gt;0,INT(IF(Inputs!$B$3&gt;=104,MIN(35,20*(1+Inputs!$B$34/100)),20)/Skills!H5+0.000000001),1)+IF(Skills!H5&gt;0,INT(MIN(IF(Inputs!$B$3&gt;=104,MIN(35,20*(1+Inputs!$B$34/100)),20),MAX(0,MAX(0,Inputs!$B$43-B2501)-((R2468-1)*(IF(Inputs!$B$38="pvp",15,MAX(0.1,Skills!D5-IF(TRUE=TRUE,Inputs!$B$32,0)))*(1-IF(AND(ArtifactsInput!$M$27,Inputs!$B$4="Chapter Hunt"),CHOOSE(ArtifactsInput!$N$27+1,20,24,28,32,36,40),0)/100)))))/Skills!H5+0.000000001),1)))/Inputs!$B$43),G2468*Q2468))*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IF(ArtifactsInput!$M$33,FALSE,TRUE),CHOOSE(ArtifactsInput!$N$33+1,10,12,14,16,18,20),0)+(ArtifactsInput!$M$23-ArtifactsInput!$M$23)*CHOOSE(ArtifactsInput!$N$23+1,50,60,70,80,90,100))+(IF(AND(ArtifactsInput!$M$35,Inputs!$B$4&lt;&gt;"Chapter Hunt"),CHOOSE(ArtifactsInput!$N$35+1,15,18,21,24,27,30)*(1-EXP(-(0.2*B2496)*5)),0)+IF(AND(ArtifactsInput!$M$22,Inputs!$B$4&lt;&gt;"Chapter Hunt"),CHOOSE(ArtifactsInput!$N$22+1,10,12,14,16,18,20)*((0*(((0.15*B2496*5))^0/1)+1*(((0.15*B2496*5))^1/1)+2*(((0.15*B2496*5))^2/2)+3*(((0.15*B2496*5))^3/6)+4*(((0.15*B2496*5))^4/24)+5*(((0.15*B2496*5))^5/120))/((((0.15*B2496*5))^0/1)+(((0.15*B2496*5))^1/1)+(((0.15*B2496*5))^2/2)+(((0.15*B2496*5))^3/6)+(((0.15*B2496*5))^4/24)+(((0.15*B2496*5))^5/120))),0))+IF(Inputs!$B$3&gt;=54,9*(C2466=TRUE)*MIN(1,8*(1+Inputs!$B$34/100)*Q2466)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2468*(1-MIN(100,(Inputs!$B$9+((C2482=TRUE)*(F2482-Calc!F19))+B2494+(ArtifactsInput!$M$24-ArtifactsInput!$M$24)*CHOOSE(ArtifactsInput!$N$24+1,10,12,14,16,18,20)+(IF(AND(Inputs!$B$38&lt;&gt;"pvp",Inputs!$B$43=0),1,IF(IF(Inputs!$B$38="pvp",15,Inputs!$B$43)-(B2501)&lt;=0,1,MAX(0,IF(Inputs!$B$38="pvp",15,Inputs!$B$43)-MAX(5,B2501))/(IF(Inputs!$B$38="pvp",15,Inputs!$B$43)-(B2501))))*IF(AND(ArtifactsInput!$M$42,((Inputs!$B$9+((C2482=TRUE)*(F2482-Calc!F19))+B2494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2468*(MIN(100,(Inputs!$B$9+((C2482=TRUE)*(F2482-Calc!F19))+B2494+(ArtifactsInput!$M$24-ArtifactsInput!$M$24)*CHOOSE(ArtifactsInput!$N$24+1,10,12,14,16,18,20)+(IF(AND(Inputs!$B$38&lt;&gt;"pvp",Inputs!$B$43=0),1,IF(IF(Inputs!$B$38="pvp",15,Inputs!$B$43)-(B2501)&lt;=0,1,MAX(0,IF(Inputs!$B$38="pvp",15,Inputs!$B$43)-MAX(5,B2501))/(IF(Inputs!$B$38="pvp",15,Inputs!$B$43)-(B2501))))*IF(AND(ArtifactsInput!$M$42,((Inputs!$B$9+((C2482=TRUE)*(F2482-Calc!F19))+B2494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2468*(1-MIN(100,(Inputs!$B$9+((C2482=TRUE)*(F2482-Calc!F19))+B2494+(ArtifactsInput!$M$24-ArtifactsInput!$M$24)*CHOOSE(ArtifactsInput!$N$24+1,10,12,14,16,18,20)+(IF(AND(Inputs!$B$38&lt;&gt;"pvp",Inputs!$B$43=0),1,IF(IF(Inputs!$B$38="pvp",15,Inputs!$B$43)-(B2501)&lt;=0,1,MAX(0,IF(Inputs!$B$38="pvp",15,Inputs!$B$43)-MAX(5,B2501))/(IF(Inputs!$B$38="pvp",15,Inputs!$B$43)-(B2501))))*IF(AND(ArtifactsInput!$M$42,((Inputs!$B$9+((C2482=TRUE)*(F2482-Calc!F19))+B2494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2468*(MIN(100,(Inputs!$B$9+((C2482=TRUE)*(F2482-Calc!F19))+B2494+(ArtifactsInput!$M$24-ArtifactsInput!$M$24)*CHOOSE(ArtifactsInput!$N$24+1,10,12,14,16,18,20)+(IF(AND(Inputs!$B$38&lt;&gt;"pvp",Inputs!$B$43=0),1,IF(IF(Inputs!$B$38="pvp",15,Inputs!$B$43)-(B2501)&lt;=0,1,MAX(0,IF(Inputs!$B$38="pvp",15,Inputs!$B$43)-MAX(5,B2501))/(IF(Inputs!$B$38="pvp",15,Inputs!$B$43)-(B2501))))*IF(AND(ArtifactsInput!$M$42,((Inputs!$B$9+((C2482=TRUE)*(F2482-Calc!F19))+B2494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468">
        <f>IF(C2468,(H2468*N2468*IF(AND(Inputs!$B$38&lt;&gt;"pvp",Inputs!$B$43&gt;0),((Skills!G5*((R2468-1)*IF(Skills!H5&gt;0,INT(IF(Inputs!$B$3&gt;=104,MIN(35,20*(1+Inputs!$B$34/100)),20)/Skills!H5+0.000000001),1)+IF(Skills!H5&gt;0,INT(MIN(IF(Inputs!$B$3&gt;=104,MIN(35,20*(1+Inputs!$B$34/100)),20),MAX(0,MAX(0,Inputs!$B$43-B2501)-((R2468-1)*(IF(Inputs!$B$38="pvp",15,MAX(0.1,Skills!D5-IF(TRUE=TRUE,Inputs!$B$32,0)))*(1-IF(AND(ArtifactsInput!$M$27,Inputs!$B$4="Chapter Hunt"),CHOOSE(ArtifactsInput!$N$27+1,20,24,28,32,36,40),0)/100)))))/Skills!H5+0.000000001),1)))/Inputs!$B$43),G2468*Q2468))*IF(Inputs!$B$38="pvp",1,(1+(Inputs!$B$21+Skills!Q5+(IF(IF(ArtifactsInput!$M$33,FALSE,TRUE),CHOOSE(ArtifactsInput!$N$33+1,30,36,42,48,54,60),0))+(IF(AND(ArtifactsInput!$M$35,Inputs!$B$4&lt;&gt;"Chapter Hunt"),CHOOSE(ArtifactsInput!$N$35+1,15,18,21,24,27,30)*(1-EXP(-(0.2*B2496)*5)),0)+IF(AND(ArtifactsInput!$M$22,Inputs!$B$4&lt;&gt;"Chapter Hunt"),CHOOSE(ArtifactsInput!$N$22+1,10,12,14,16,18,20)*((0*(((0.15*B2496*5))^0/1)+1*(((0.15*B2496*5))^1/1)+2*(((0.15*B2496*5))^2/2)+3*(((0.15*B2496*5))^3/6)+4*(((0.15*B2496*5))^4/24)+5*(((0.15*B2496*5))^5/120))/((((0.15*B2496*5))^0/1)+(((0.15*B2496*5))^1/1)+(((0.15*B2496*5))^2/2)+(((0.15*B2496*5))^3/6)+(((0.15*B2496*5))^4/24)+(((0.15*B2496*5))^5/120))),0))+IF(Inputs!$B$3&gt;=54,9*(C2466=TRUE)*MIN(1,8*(1+Inputs!$B$34/100)*Q2466),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69">
      <c r="A2469">
        <f>Skills!A6</f>
        <v/>
      </c>
      <c r="B2469">
        <f>Skills!B6</f>
        <v/>
      </c>
      <c r="C2469">
        <f>Inputs!$B$3&gt;=66</f>
        <v/>
      </c>
      <c r="D2469">
        <f>IF(Skills!C6=1,60+Inputs!$B$25+Inputs!$B$29,IF(Skills!C6=2,90+Inputs!$B$26+Inputs!$B$29,IF(Skills!C6=3,120+Inputs!$B$27+Inputs!$B$29,MAX(0,(Inputs!$B$3-100)*3)+Inputs!$B$28+Inputs!$B$29)))</f>
        <v/>
      </c>
      <c r="E2469">
        <f>INDEX(FactorTable!$B$2:$Y$301, MATCH(ROUND(MIN(300,MAX(1,D2469)),0), FactorTable!$A$2:$A$301,0), Skills!M6+1)</f>
        <v/>
      </c>
      <c r="F2469">
        <f>IF(Skills!N6=TRUE,(Skills!L6/10)*(E2469/1000),Skills!L6/10)+Skills!O6</f>
        <v/>
      </c>
      <c r="G2469">
        <f>Skills!G6*IF(Skills!H6&gt;0,INT(IF(Inputs!$B$38="pvp",MIN(Skills!I6,15),Skills!I6)/Skills!H6+0.000000001),1)</f>
        <v/>
      </c>
      <c r="H2469">
        <f>1-(1-Skills!J6/100)^Skills!K6</f>
        <v/>
      </c>
      <c r="I2469" t="inlineStr">
        <is>
          <t>1</t>
        </is>
      </c>
      <c r="J2469">
        <f>((Inputs!$B$6*(1+Inputs!$B$7/100))+(((Inputs!$B$12*(1+Inputs!$B$13/100))-(Inputs!$B$12*(1+Inputs!$B$13/100)))+0.25*(Inputs!$B$14-Inputs!$B$14))*(1+Inputs!$B$7/100))*(F2469/100)</f>
        <v/>
      </c>
      <c r="K2469">
        <f>J2469*(1+((Inputs!$B$12*(1+Inputs!$B$13/100))*0.01+Inputs!$B$14*0.0025)/100)*(1+Inputs!$B$15/100)*(1+Inputs!$B$16/100)*(5000/(6000+Inputs!$B$42*(1-(100*(1-(1-(Inputs!$B$19+0)/100)*(1-CHOOSE(ArtifactsInput!$N$40+1,5,6,7,8,9,10)/100)^(ArtifactsInput!$M$40-ArtifactsInput!$M$40)))/100)))*(1+(Inputs!$B$24+((C2489=TRUE)*(F2489-Calc!F26))+B2500)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+2.0*IF(C2478=TRUE,F2478,0)/100)*(1+(IF(Skills!A6="EIGHT_LEGS_EASTON",Inputs!$B$17+((C2486=TRUE)*(F2486-Calc!F23))+((C2490=TRUE)*(F2490-Calc!F27))+((IF(AND(Inputs!$B$38&lt;&gt;"pvp",Inputs!$B$43=0),1,IF(IF(Inputs!$B$38="pvp",15,Inputs!$B$43)-(B2501)&lt;=0,1,MAX(0,IF(Inputs!$B$38="pvp",15,Inputs!$B$43)-MAX(5,B2501))/(IF(Inputs!$B$38="pvp",15,Inputs!$B$43)-(B2501))))*(IF(AND(ArtifactsInput!$M$42,((Inputs!$B$9+((C2482=TRUE)*(F2482-Calc!F19))+B2494+(ArtifactsInput!$M$24-ArtifactsInput!$M$24)*CHOOSE(ArtifactsInput!$N$24+1,10,12,14,16,18,20)+IF(ArtifactsInput!$M$10,CHOOSE(ArtifactsInput!$N$10+1,15,18,21,24,27,30)*(IF(Inputs!$B$38="pvp",MIN(15,15)/15,IF(AND(Inputs!$B$38&lt;&gt;"pvp",Inputs!$B$43&gt;0),MIN(15,Inputs!$B$43)/(Inputs!$B$43),0))),0)))&gt;=100),MIN(100,((Inputs!$B$9+((C2482=TRUE)*(F2482-Calc!F19))+B2494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2501)&lt;=0,1,MAX(0,IF(Inputs!$B$38="pvp",15,Inputs!$B$43)-MAX(5,B2501))/(IF(Inputs!$B$38="pvp",15,Inputs!$B$43)-(B2501))))*IF(AND(ArtifactsInput!$M$42,((Inputs!$B$9+((C2482=TRUE)*(F2482-Calc!F19))+B2494+(ArtifactsInput!$M$24-ArtifactsInput!$M$24)*CHOOSE(ArtifactsInput!$N$24+1,10,12,14,16,18,20)+IF(ArtifactsInput!$M$10,CHOOSE(ArtifactsInput!$N$10+1,15,18,21,24,27,30)*(IF(Inputs!$B$38="pvp",MIN(15,15)/15,IF(AND(Inputs!$B$38&lt;&gt;"pvp",Inputs!$B$43&gt;0),MIN(15,Inputs!$B$43)/(Inputs!$B$43),0))),0)))&gt;=100),CHOOSE(ArtifactsInput!$N$42+1,40,48,56,64,72,80),0))))/100)*((1+(((C2480=TRUE)*F2480*5/7)+((C2487=TRUE)*(F2487-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2469)</f>
        <v/>
      </c>
      <c r="L2469">
        <f>K2469*(MIN(Inputs!$B$22+((C2485=TRUE)*(F2485-Calc!F22)),(Inputs!$B$23+0+(IF(ArtifactsInput!$M$15,CHOOSE(ArtifactsInput!$N$15+1,25,30,35,40,45,50)/100*(Inputs!$B$11-Inputs!$B$11),0))))/100+(Inputs!$B$23+0+(IF(ArtifactsInput!$M$15,CHOOSE(ArtifactsInput!$N$15+1,25,30,35,40,45,50)/100*(Inputs!$B$11-Inputs!$B$11),0)))/100)/2</f>
        <v/>
      </c>
      <c r="M2469">
        <f>L2469*(1+(Inputs!$B$10+((C2488=TRUE)*(F2488-Calc!F25))+B2499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69">
        <f>L2469*(1-MIN((Inputs!$B$9+((C2482=TRUE)*(F2482-Calc!F19))+B2494+(ArtifactsInput!$M$24-ArtifactsInput!$M$24)*CHOOSE(ArtifactsInput!$N$24+1,10,12,14,16,18,20)+(IF(AND(Inputs!$B$38&lt;&gt;"pvp",Inputs!$B$43=0),1,IF(IF(Inputs!$B$38="pvp",15,Inputs!$B$43)-(B2501)&lt;=0,1,MAX(0,IF(Inputs!$B$38="pvp",15,Inputs!$B$43)-MAX(5,B2501))/(IF(Inputs!$B$38="pvp",15,Inputs!$B$43)-(B2501))))*IF(AND(ArtifactsInput!$M$42,((Inputs!$B$9+((C2482=TRUE)*(F2482-Calc!F19))+B2494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2469*(MIN((Inputs!$B$9+((C2482=TRUE)*(F2482-Calc!F19))+B2494+(ArtifactsInput!$M$24-ArtifactsInput!$M$24)*CHOOSE(ArtifactsInput!$N$24+1,10,12,14,16,18,20)+(IF(AND(Inputs!$B$38&lt;&gt;"pvp",Inputs!$B$43=0),1,IF(IF(Inputs!$B$38="pvp",15,Inputs!$B$43)-(B2501)&lt;=0,1,MAX(0,IF(Inputs!$B$38="pvp",15,Inputs!$B$43)-MAX(5,B2501))/(IF(Inputs!$B$38="pvp",15,Inputs!$B$43)-(B2501))))*IF(AND(ArtifactsInput!$M$42,((Inputs!$B$9+((C2482=TRUE)*(F2482-Calc!F19))+B2494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69">
        <f>(1-Summary!$B$11)*T2469+Summary!$B$11*V2469</f>
        <v/>
      </c>
      <c r="P2469">
        <f>IF(B2504=0,0,O2469/B2504)</f>
        <v/>
      </c>
      <c r="Q2469">
        <f>IFERROR(1/(IF(Inputs!$B$38="pvp",15,MAX(0.1,Skills!D6-IF(TRUE=TRUE,Inputs!$B$32,0)))*(1-IF(AND(ArtifactsInput!$M$27,Inputs!$B$4="Chapter Hunt"),CHOOSE(ArtifactsInput!$N$27+1,20,24,28,32,36,40),0)/100)),0)</f>
        <v/>
      </c>
      <c r="R2469">
        <f>IF(AND(Inputs!$B$38&lt;&gt;"pvp",Inputs!$B$43&gt;0),IF(MAX(0,Inputs!$B$43-B2501)&lt;=0,0,(INT(MAX(0,Inputs!$B$43-B2501)/(IF(Inputs!$B$38="pvp",15,MAX(0.1,Skills!D6-IF(TRUE=TRUE,Inputs!$B$32,0)))*(1-IF(AND(ArtifactsInput!$M$27,Inputs!$B$4="Chapter Hunt"),CHOOSE(ArtifactsInput!$N$27+1,20,24,28,32,36,40),0)/100)))+1)),0)</f>
        <v/>
      </c>
      <c r="S2469">
        <f>IFERROR(O2469/N2469,0)</f>
        <v/>
      </c>
      <c r="T2469">
        <f>IF(C2469,(H2469*N2469*IF(AND(Inputs!$B$38&lt;&gt;"pvp",Inputs!$B$43&gt;0),((Skills!G6*((R2469-1)*IF(Skills!H6&gt;0,INT(Skills!I6/Skills!H6+0.000000001),1)+IF(Skills!H6&gt;0,INT(MIN(Skills!I6,MAX(0,MAX(0,Inputs!$B$43-B2501)-((R2469-1)*(IF(Inputs!$B$38="pvp",15,MAX(0.1,Skills!D6-IF(TRUE=TRUE,Inputs!$B$32,0)))*(1-IF(AND(ArtifactsInput!$M$27,Inputs!$B$4="Chapter Hunt"),CHOOSE(ArtifactsInput!$N$27+1,20,24,28,32,36,40),0)/100)))))/Skills!H6+0.000000001),1)))/Inputs!$B$43),G2469*Q2469))*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IF(ArtifactsInput!$M$33,FALSE,TRUE),CHOOSE(ArtifactsInput!$N$33+1,10,12,14,16,18,20),0)+(ArtifactsInput!$M$23-ArtifactsInput!$M$23)*CHOOSE(ArtifactsInput!$N$23+1,50,60,70,80,90,100))+(IF(AND(ArtifactsInput!$M$35,Inputs!$B$4&lt;&gt;"Chapter Hunt"),CHOOSE(ArtifactsInput!$N$35+1,15,18,21,24,27,30)*(1-EXP(-(0.2*B2496)*5)),0)+IF(AND(ArtifactsInput!$M$22,Inputs!$B$4&lt;&gt;"Chapter Hunt"),CHOOSE(ArtifactsInput!$N$22+1,10,12,14,16,18,20)*((0*(((0.15*B2496*5))^0/1)+1*(((0.15*B2496*5))^1/1)+2*(((0.15*B2496*5))^2/2)+3*(((0.15*B2496*5))^3/6)+4*(((0.15*B2496*5))^4/24)+5*(((0.15*B2496*5))^5/120))/((((0.15*B2496*5))^0/1)+(((0.15*B2496*5))^1/1)+(((0.15*B2496*5))^2/2)+(((0.15*B2496*5))^3/6)+(((0.15*B2496*5))^4/24)+(((0.15*B2496*5))^5/120))),0))+IF(Inputs!$B$3&gt;=54,9*(C2466=TRUE)*MIN(1,8*(1+Inputs!$B$34/100)*Q2466)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2469*(1-MIN(100,(Inputs!$B$9+((C2482=TRUE)*(F2482-Calc!F19))+B2494+(ArtifactsInput!$M$24-ArtifactsInput!$M$24)*CHOOSE(ArtifactsInput!$N$24+1,10,12,14,16,18,20)+(IF(AND(Inputs!$B$38&lt;&gt;"pvp",Inputs!$B$43=0),1,IF(IF(Inputs!$B$38="pvp",15,Inputs!$B$43)-(B2501)&lt;=0,1,MAX(0,IF(Inputs!$B$38="pvp",15,Inputs!$B$43)-MAX(5,B2501))/(IF(Inputs!$B$38="pvp",15,Inputs!$B$43)-(B2501))))*IF(AND(ArtifactsInput!$M$42,((Inputs!$B$9+((C2482=TRUE)*(F2482-Calc!F19))+B2494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2469*(MIN(100,(Inputs!$B$9+((C2482=TRUE)*(F2482-Calc!F19))+B2494+(ArtifactsInput!$M$24-ArtifactsInput!$M$24)*CHOOSE(ArtifactsInput!$N$24+1,10,12,14,16,18,20)+(IF(AND(Inputs!$B$38&lt;&gt;"pvp",Inputs!$B$43=0),1,IF(IF(Inputs!$B$38="pvp",15,Inputs!$B$43)-(B2501)&lt;=0,1,MAX(0,IF(Inputs!$B$38="pvp",15,Inputs!$B$43)-MAX(5,B2501))/(IF(Inputs!$B$38="pvp",15,Inputs!$B$43)-(B2501))))*IF(AND(ArtifactsInput!$M$42,((Inputs!$B$9+((C2482=TRUE)*(F2482-Calc!F19))+B2494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2469*(1-MIN(100,(Inputs!$B$9+((C2482=TRUE)*(F2482-Calc!F19))+B2494+(ArtifactsInput!$M$24-ArtifactsInput!$M$24)*CHOOSE(ArtifactsInput!$N$24+1,10,12,14,16,18,20)+(IF(AND(Inputs!$B$38&lt;&gt;"pvp",Inputs!$B$43=0),1,IF(IF(Inputs!$B$38="pvp",15,Inputs!$B$43)-(B2501)&lt;=0,1,MAX(0,IF(Inputs!$B$38="pvp",15,Inputs!$B$43)-MAX(5,B2501))/(IF(Inputs!$B$38="pvp",15,Inputs!$B$43)-(B2501))))*IF(AND(ArtifactsInput!$M$42,((Inputs!$B$9+((C2482=TRUE)*(F2482-Calc!F19))+B2494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2469*(MIN(100,(Inputs!$B$9+((C2482=TRUE)*(F2482-Calc!F19))+B2494+(ArtifactsInput!$M$24-ArtifactsInput!$M$24)*CHOOSE(ArtifactsInput!$N$24+1,10,12,14,16,18,20)+(IF(AND(Inputs!$B$38&lt;&gt;"pvp",Inputs!$B$43=0),1,IF(IF(Inputs!$B$38="pvp",15,Inputs!$B$43)-(B2501)&lt;=0,1,MAX(0,IF(Inputs!$B$38="pvp",15,Inputs!$B$43)-MAX(5,B2501))/(IF(Inputs!$B$38="pvp",15,Inputs!$B$43)-(B2501))))*IF(AND(ArtifactsInput!$M$42,((Inputs!$B$9+((C2482=TRUE)*(F2482-Calc!F19))+B2494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469">
        <f>IF(C2469,(H2469*N2469*IF(AND(Inputs!$B$38&lt;&gt;"pvp",Inputs!$B$43&gt;0),((Skills!G6*((R2469-1)*IF(Skills!H6&gt;0,INT(Skills!I6/Skills!H6+0.000000001),1)+IF(Skills!H6&gt;0,INT(MIN(Skills!I6,MAX(0,MAX(0,Inputs!$B$43-B2501)-((R2469-1)*(IF(Inputs!$B$38="pvp",15,MAX(0.1,Skills!D6-IF(TRUE=TRUE,Inputs!$B$32,0)))*(1-IF(AND(ArtifactsInput!$M$27,Inputs!$B$4="Chapter Hunt"),CHOOSE(ArtifactsInput!$N$27+1,20,24,28,32,36,40),0)/100)))))/Skills!H6+0.000000001),1)))/Inputs!$B$43),G2469*Q2469))*IF(Inputs!$B$38="pvp",1,(1+(Inputs!$B$21+Skills!Q6+(IF(IF(ArtifactsInput!$M$33,FALSE,TRUE),CHOOSE(ArtifactsInput!$N$33+1,30,36,42,48,54,60),0))+(IF(AND(ArtifactsInput!$M$35,Inputs!$B$4&lt;&gt;"Chapter Hunt"),CHOOSE(ArtifactsInput!$N$35+1,15,18,21,24,27,30)*(1-EXP(-(0.2*B2496)*5)),0)+IF(AND(ArtifactsInput!$M$22,Inputs!$B$4&lt;&gt;"Chapter Hunt"),CHOOSE(ArtifactsInput!$N$22+1,10,12,14,16,18,20)*((0*(((0.15*B2496*5))^0/1)+1*(((0.15*B2496*5))^1/1)+2*(((0.15*B2496*5))^2/2)+3*(((0.15*B2496*5))^3/6)+4*(((0.15*B2496*5))^4/24)+5*(((0.15*B2496*5))^5/120))/((((0.15*B2496*5))^0/1)+(((0.15*B2496*5))^1/1)+(((0.15*B2496*5))^2/2)+(((0.15*B2496*5))^3/6)+(((0.15*B2496*5))^4/24)+(((0.15*B2496*5))^5/120))),0))+IF(Inputs!$B$3&gt;=54,9*(C2466=TRUE)*MIN(1,8*(1+Inputs!$B$34/100)*Q2466),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70">
      <c r="A2470">
        <f>Skills!A7</f>
        <v/>
      </c>
      <c r="B2470">
        <f>Skills!B7</f>
        <v/>
      </c>
      <c r="C2470">
        <f>Inputs!$B$3&gt;=63</f>
        <v/>
      </c>
      <c r="D2470">
        <f>IF(Skills!C7=1,60+Inputs!$B$25+Inputs!$B$29,IF(Skills!C7=2,90+Inputs!$B$26+Inputs!$B$29,IF(Skills!C7=3,120+Inputs!$B$27+Inputs!$B$29,MAX(0,(Inputs!$B$3-100)*3)+Inputs!$B$28+Inputs!$B$29)))</f>
        <v/>
      </c>
      <c r="E2470">
        <f>INDEX(FactorTable!$B$2:$Y$301, MATCH(ROUND(MIN(300,MAX(1,D2470)),0), FactorTable!$A$2:$A$301,0), Skills!M7+1)</f>
        <v/>
      </c>
      <c r="F2470">
        <f>IF(Skills!N7=TRUE,(Skills!L7/10)*(E2470/1000),Skills!L7/10)+Skills!O7</f>
        <v/>
      </c>
      <c r="G2470">
        <f>Skills!G7*IF(Skills!H7&gt;0,INT(IF(Inputs!$B$38="pvp",MIN(Skills!I7,15),Skills!I7)/Skills!H7+0.000000001),1)</f>
        <v/>
      </c>
      <c r="H2470">
        <f>1-(1-Skills!J7/100)^Skills!K7</f>
        <v/>
      </c>
      <c r="I2470" t="inlineStr">
        <is>
          <t>1</t>
        </is>
      </c>
      <c r="J2470">
        <f>((Inputs!$B$6*(1+Inputs!$B$7/100))+(((Inputs!$B$12*(1+Inputs!$B$13/100))-(Inputs!$B$12*(1+Inputs!$B$13/100)))+0.25*(Inputs!$B$14-Inputs!$B$14))*(1+Inputs!$B$7/100))*(F2470/100)</f>
        <v/>
      </c>
      <c r="K2470">
        <f>J2470*(1+((Inputs!$B$12*(1+Inputs!$B$13/100))*0.01+Inputs!$B$14*0.0025)/100)*(1+Inputs!$B$15/100)*(1+Inputs!$B$16/100)*(5000/(6000+Inputs!$B$42*(1-(100*(1-(1-(Inputs!$B$19+0)/100)*(1-CHOOSE(ArtifactsInput!$N$40+1,5,6,7,8,9,10)/100)^(ArtifactsInput!$M$40-ArtifactsInput!$M$40)))/100)))*(1+(Inputs!$B$24+((C2489=TRUE)*(F2489-Calc!F26))+B2500)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2478=TRUE,F2478,0)/100)*(1+(IF(Skills!A7="EIGHT_LEGS_EASTON",Inputs!$B$17+((C2486=TRUE)*(F2486-Calc!F23))+((C2490=TRUE)*(F2490-Calc!F27))+((IF(AND(Inputs!$B$38&lt;&gt;"pvp",Inputs!$B$43=0),1,IF(IF(Inputs!$B$38="pvp",15,Inputs!$B$43)-(B2501)&lt;=0,1,MAX(0,IF(Inputs!$B$38="pvp",15,Inputs!$B$43)-MAX(5,B2501))/(IF(Inputs!$B$38="pvp",15,Inputs!$B$43)-(B2501))))*(IF(AND(ArtifactsInput!$M$42,((Inputs!$B$9+((C2482=TRUE)*(F2482-Calc!F19))+B2494+(ArtifactsInput!$M$24-ArtifactsInput!$M$24)*CHOOSE(ArtifactsInput!$N$24+1,10,12,14,16,18,20)+IF(ArtifactsInput!$M$10,CHOOSE(ArtifactsInput!$N$10+1,15,18,21,24,27,30)*(IF(Inputs!$B$38="pvp",MIN(15,15)/15,IF(AND(Inputs!$B$38&lt;&gt;"pvp",Inputs!$B$43&gt;0),MIN(15,Inputs!$B$43)/(Inputs!$B$43),0))),0)))&gt;=100),MIN(100,((Inputs!$B$9+((C2482=TRUE)*(F2482-Calc!F19))+B2494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2501)&lt;=0,1,MAX(0,IF(Inputs!$B$38="pvp",15,Inputs!$B$43)-MAX(5,B2501))/(IF(Inputs!$B$38="pvp",15,Inputs!$B$43)-(B2501))))*IF(AND(ArtifactsInput!$M$42,((Inputs!$B$9+((C2482=TRUE)*(F2482-Calc!F19))+B2494+(ArtifactsInput!$M$24-ArtifactsInput!$M$24)*CHOOSE(ArtifactsInput!$N$24+1,10,12,14,16,18,20)+IF(ArtifactsInput!$M$10,CHOOSE(ArtifactsInput!$N$10+1,15,18,21,24,27,30)*(IF(Inputs!$B$38="pvp",MIN(15,15)/15,IF(AND(Inputs!$B$38&lt;&gt;"pvp",Inputs!$B$43&gt;0),MIN(15,Inputs!$B$43)/(Inputs!$B$43),0))),0)))&gt;=100),CHOOSE(ArtifactsInput!$N$42+1,40,48,56,64,72,80),0))))/100)*((1+(((C2480=TRUE)*F2480*5/7)+((C2487=TRUE)*(F2487-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2470)</f>
        <v/>
      </c>
      <c r="L2470">
        <f>K2470*(MIN(Inputs!$B$22+((C2485=TRUE)*(F2485-Calc!F22)),(Inputs!$B$23+0+(IF(ArtifactsInput!$M$15,CHOOSE(ArtifactsInput!$N$15+1,25,30,35,40,45,50)/100*(Inputs!$B$11-Inputs!$B$11),0))))/100+(Inputs!$B$23+0+(IF(ArtifactsInput!$M$15,CHOOSE(ArtifactsInput!$N$15+1,25,30,35,40,45,50)/100*(Inputs!$B$11-Inputs!$B$11),0)))/100)/2</f>
        <v/>
      </c>
      <c r="M2470">
        <f>L2470*(1+(Inputs!$B$10+((C2488=TRUE)*(F2488-Calc!F25))+B2499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70">
        <f>L2470*(1-MIN((Inputs!$B$9+((C2482=TRUE)*(F2482-Calc!F19))+B2494+(ArtifactsInput!$M$24-ArtifactsInput!$M$24)*CHOOSE(ArtifactsInput!$N$24+1,10,12,14,16,18,20)+(IF(AND(Inputs!$B$38&lt;&gt;"pvp",Inputs!$B$43=0),1,IF(IF(Inputs!$B$38="pvp",15,Inputs!$B$43)-(B2501)&lt;=0,1,MAX(0,IF(Inputs!$B$38="pvp",15,Inputs!$B$43)-MAX(5,B2501))/(IF(Inputs!$B$38="pvp",15,Inputs!$B$43)-(B2501))))*IF(AND(ArtifactsInput!$M$42,((Inputs!$B$9+((C2482=TRUE)*(F2482-Calc!F19))+B2494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2470*(MIN((Inputs!$B$9+((C2482=TRUE)*(F2482-Calc!F19))+B2494+(ArtifactsInput!$M$24-ArtifactsInput!$M$24)*CHOOSE(ArtifactsInput!$N$24+1,10,12,14,16,18,20)+(IF(AND(Inputs!$B$38&lt;&gt;"pvp",Inputs!$B$43=0),1,IF(IF(Inputs!$B$38="pvp",15,Inputs!$B$43)-(B2501)&lt;=0,1,MAX(0,IF(Inputs!$B$38="pvp",15,Inputs!$B$43)-MAX(5,B2501))/(IF(Inputs!$B$38="pvp",15,Inputs!$B$43)-(B2501))))*IF(AND(ArtifactsInput!$M$42,((Inputs!$B$9+((C2482=TRUE)*(F2482-Calc!F19))+B2494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70">
        <f>(1-Summary!$B$11)*T2470+Summary!$B$11*V2470</f>
        <v/>
      </c>
      <c r="P2470">
        <f>IF(B2504=0,0,O2470/B2504)</f>
        <v/>
      </c>
      <c r="Q2470">
        <f>IFERROR(1/(IF(Inputs!$B$38="pvp",15,MAX(0.1,Skills!D7-IF(TRUE=TRUE,Inputs!$B$32,0)))*(1-IF(AND(ArtifactsInput!$M$27,Inputs!$B$4="Chapter Hunt"),CHOOSE(ArtifactsInput!$N$27+1,20,24,28,32,36,40),0)/100)),0)</f>
        <v/>
      </c>
      <c r="R2470">
        <f>IF(AND(Inputs!$B$38&lt;&gt;"pvp",Inputs!$B$43&gt;0),IF(MAX(0,Inputs!$B$43-B2501)&lt;=0,0,(INT(MAX(0,Inputs!$B$43-B2501)/(IF(Inputs!$B$38="pvp",15,MAX(0.1,Skills!D7-IF(TRUE=TRUE,Inputs!$B$32,0)))*(1-IF(AND(ArtifactsInput!$M$27,Inputs!$B$4="Chapter Hunt"),CHOOSE(ArtifactsInput!$N$27+1,20,24,28,32,36,40),0)/100)))+1)),0)</f>
        <v/>
      </c>
      <c r="S2470">
        <f>IFERROR(O2470/N2470,0)</f>
        <v/>
      </c>
      <c r="T2470">
        <f>IF(C2470,(H2470*N2470*IF(AND(Inputs!$B$38&lt;&gt;"pvp",Inputs!$B$43&gt;0),((Skills!G7*((R2470-1)*IF(Skills!H7&gt;0,INT(Skills!I7/Skills!H7+0.000000001),1)+IF(Skills!H7&gt;0,INT(MIN(Skills!I7,MAX(0,MAX(0,Inputs!$B$43-B2501)-((R2470-1)*(IF(Inputs!$B$38="pvp",15,MAX(0.1,Skills!D7-IF(TRUE=TRUE,Inputs!$B$32,0)))*(1-IF(AND(ArtifactsInput!$M$27,Inputs!$B$4="Chapter Hunt"),CHOOSE(ArtifactsInput!$N$27+1,20,24,28,32,36,40),0)/100)))))/Skills!H7+0.000000001),1)))/Inputs!$B$43),G2470*Q2470))*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IF(ArtifactsInput!$M$33,FALSE,TRUE),CHOOSE(ArtifactsInput!$N$33+1,10,12,14,16,18,20),0)+(ArtifactsInput!$M$23-ArtifactsInput!$M$23)*CHOOSE(ArtifactsInput!$N$23+1,50,60,70,80,90,100))+(IF(AND(ArtifactsInput!$M$35,Inputs!$B$4&lt;&gt;"Chapter Hunt"),CHOOSE(ArtifactsInput!$N$35+1,15,18,21,24,27,30)*(1-EXP(-(0.2*B2496)*5)),0)+IF(AND(ArtifactsInput!$M$22,Inputs!$B$4&lt;&gt;"Chapter Hunt"),CHOOSE(ArtifactsInput!$N$22+1,10,12,14,16,18,20)*((0*(((0.15*B2496*5))^0/1)+1*(((0.15*B2496*5))^1/1)+2*(((0.15*B2496*5))^2/2)+3*(((0.15*B2496*5))^3/6)+4*(((0.15*B2496*5))^4/24)+5*(((0.15*B2496*5))^5/120))/((((0.15*B2496*5))^0/1)+(((0.15*B2496*5))^1/1)+(((0.15*B2496*5))^2/2)+(((0.15*B2496*5))^3/6)+(((0.15*B2496*5))^4/24)+(((0.15*B2496*5))^5/120))),0))+IF(Inputs!$B$3&gt;=54,9*(C2466=TRUE)*MIN(1,8*(1+Inputs!$B$34/100)*Q2466)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2470*(1-MIN(100,(Inputs!$B$9+((C2482=TRUE)*(F2482-Calc!F19))+B2494+(ArtifactsInput!$M$24-ArtifactsInput!$M$24)*CHOOSE(ArtifactsInput!$N$24+1,10,12,14,16,18,20)+(IF(AND(Inputs!$B$38&lt;&gt;"pvp",Inputs!$B$43=0),1,IF(IF(Inputs!$B$38="pvp",15,Inputs!$B$43)-(B2501)&lt;=0,1,MAX(0,IF(Inputs!$B$38="pvp",15,Inputs!$B$43)-MAX(5,B2501))/(IF(Inputs!$B$38="pvp",15,Inputs!$B$43)-(B2501))))*IF(AND(ArtifactsInput!$M$42,((Inputs!$B$9+((C2482=TRUE)*(F2482-Calc!F19))+B2494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2470*(MIN(100,(Inputs!$B$9+((C2482=TRUE)*(F2482-Calc!F19))+B2494+(ArtifactsInput!$M$24-ArtifactsInput!$M$24)*CHOOSE(ArtifactsInput!$N$24+1,10,12,14,16,18,20)+(IF(AND(Inputs!$B$38&lt;&gt;"pvp",Inputs!$B$43=0),1,IF(IF(Inputs!$B$38="pvp",15,Inputs!$B$43)-(B2501)&lt;=0,1,MAX(0,IF(Inputs!$B$38="pvp",15,Inputs!$B$43)-MAX(5,B2501))/(IF(Inputs!$B$38="pvp",15,Inputs!$B$43)-(B2501))))*IF(AND(ArtifactsInput!$M$42,((Inputs!$B$9+((C2482=TRUE)*(F2482-Calc!F19))+B2494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2470*(1-MIN(100,(Inputs!$B$9+((C2482=TRUE)*(F2482-Calc!F19))+B2494+(ArtifactsInput!$M$24-ArtifactsInput!$M$24)*CHOOSE(ArtifactsInput!$N$24+1,10,12,14,16,18,20)+(IF(AND(Inputs!$B$38&lt;&gt;"pvp",Inputs!$B$43=0),1,IF(IF(Inputs!$B$38="pvp",15,Inputs!$B$43)-(B2501)&lt;=0,1,MAX(0,IF(Inputs!$B$38="pvp",15,Inputs!$B$43)-MAX(5,B2501))/(IF(Inputs!$B$38="pvp",15,Inputs!$B$43)-(B2501))))*IF(AND(ArtifactsInput!$M$42,((Inputs!$B$9+((C2482=TRUE)*(F2482-Calc!F19))+B2494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2470*(MIN(100,(Inputs!$B$9+((C2482=TRUE)*(F2482-Calc!F19))+B2494+(ArtifactsInput!$M$24-ArtifactsInput!$M$24)*CHOOSE(ArtifactsInput!$N$24+1,10,12,14,16,18,20)+(IF(AND(Inputs!$B$38&lt;&gt;"pvp",Inputs!$B$43=0),1,IF(IF(Inputs!$B$38="pvp",15,Inputs!$B$43)-(B2501)&lt;=0,1,MAX(0,IF(Inputs!$B$38="pvp",15,Inputs!$B$43)-MAX(5,B2501))/(IF(Inputs!$B$38="pvp",15,Inputs!$B$43)-(B2501))))*IF(AND(ArtifactsInput!$M$42,((Inputs!$B$9+((C2482=TRUE)*(F2482-Calc!F19))+B2494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470">
        <f>IF(C2470,(H2470*N2470*IF(AND(Inputs!$B$38&lt;&gt;"pvp",Inputs!$B$43&gt;0),((Skills!G7*((R2470-1)*IF(Skills!H7&gt;0,INT(Skills!I7/Skills!H7+0.000000001),1)+IF(Skills!H7&gt;0,INT(MIN(Skills!I7,MAX(0,MAX(0,Inputs!$B$43-B2501)-((R2470-1)*(IF(Inputs!$B$38="pvp",15,MAX(0.1,Skills!D7-IF(TRUE=TRUE,Inputs!$B$32,0)))*(1-IF(AND(ArtifactsInput!$M$27,Inputs!$B$4="Chapter Hunt"),CHOOSE(ArtifactsInput!$N$27+1,20,24,28,32,36,40),0)/100)))))/Skills!H7+0.000000001),1)))/Inputs!$B$43),G2470*Q2470))*IF(Inputs!$B$38="pvp",1,(1+(Inputs!$B$21+Skills!Q7+(IF(IF(ArtifactsInput!$M$33,FALSE,TRUE),CHOOSE(ArtifactsInput!$N$33+1,30,36,42,48,54,60),0))+(IF(AND(ArtifactsInput!$M$35,Inputs!$B$4&lt;&gt;"Chapter Hunt"),CHOOSE(ArtifactsInput!$N$35+1,15,18,21,24,27,30)*(1-EXP(-(0.2*B2496)*5)),0)+IF(AND(ArtifactsInput!$M$22,Inputs!$B$4&lt;&gt;"Chapter Hunt"),CHOOSE(ArtifactsInput!$N$22+1,10,12,14,16,18,20)*((0*(((0.15*B2496*5))^0/1)+1*(((0.15*B2496*5))^1/1)+2*(((0.15*B2496*5))^2/2)+3*(((0.15*B2496*5))^3/6)+4*(((0.15*B2496*5))^4/24)+5*(((0.15*B2496*5))^5/120))/((((0.15*B2496*5))^0/1)+(((0.15*B2496*5))^1/1)+(((0.15*B2496*5))^2/2)+(((0.15*B2496*5))^3/6)+(((0.15*B2496*5))^4/24)+(((0.15*B2496*5))^5/120))),0))+IF(Inputs!$B$3&gt;=54,9*(C2466=TRUE)*MIN(1,8*(1+Inputs!$B$34/100)*Q2466),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71">
      <c r="A2471">
        <f>Skills!A8</f>
        <v/>
      </c>
      <c r="B2471">
        <f>Skills!B8</f>
        <v/>
      </c>
      <c r="C2471">
        <f>Inputs!$B$3&gt;=103</f>
        <v/>
      </c>
      <c r="D2471">
        <f>IF(Skills!C8=1,60+Inputs!$B$25+Inputs!$B$29,IF(Skills!C8=2,90+Inputs!$B$26+Inputs!$B$29,IF(Skills!C8=3,120+Inputs!$B$27+Inputs!$B$29,MAX(0,(Inputs!$B$3-100)*3)+Inputs!$B$28+Inputs!$B$29)))</f>
        <v/>
      </c>
      <c r="E2471">
        <f>INDEX(FactorTable!$B$2:$Y$301, MATCH(ROUND(MIN(300,MAX(1,D2471)),0), FactorTable!$A$2:$A$301,0), Skills!M8+1)</f>
        <v/>
      </c>
      <c r="F2471">
        <f>IF(Skills!N8=TRUE,(Skills!L8/10)*(E2471/1000),Skills!L8/10)+Skills!O8</f>
        <v/>
      </c>
      <c r="G2471">
        <f>Skills!G8*IF(Skills!H8&gt;0,INT(IF(Inputs!$B$38="pvp",MIN(Skills!I8,15),Skills!I8)/Skills!H8+0.000000001),1)</f>
        <v/>
      </c>
      <c r="H2471">
        <f>1-(1-Skills!J8/100)^Skills!K8</f>
        <v/>
      </c>
      <c r="I2471" t="inlineStr">
        <is>
          <t>1</t>
        </is>
      </c>
      <c r="J2471">
        <f>((Inputs!$B$6*(1+Inputs!$B$7/100))+(((Inputs!$B$12*(1+Inputs!$B$13/100))-(Inputs!$B$12*(1+Inputs!$B$13/100)))+0.25*(Inputs!$B$14-Inputs!$B$14))*(1+Inputs!$B$7/100))*(F2471/100)</f>
        <v/>
      </c>
      <c r="K2471">
        <f>J2471*(1+((Inputs!$B$12*(1+Inputs!$B$13/100))*0.01+Inputs!$B$14*0.0025)/100)*(1+Inputs!$B$15/100)*(1+Inputs!$B$16/100)*(5000/(6000+Inputs!$B$42*(1-(100*(1-(1-(Inputs!$B$19+0)/100)*(1-CHOOSE(ArtifactsInput!$N$40+1,5,6,7,8,9,10)/100)^(ArtifactsInput!$M$40-ArtifactsInput!$M$40)))/100)))*(1+(Inputs!$B$24+((C2489=TRUE)*(F2489-Calc!F26))+B2500)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IGHT_LEGS_EASTON",Inputs!$B$17+((C2486=TRUE)*(F2486-Calc!F23))+((C2490=TRUE)*(F2490-Calc!F27))+((IF(AND(Inputs!$B$38&lt;&gt;"pvp",Inputs!$B$43=0),1,IF(IF(Inputs!$B$38="pvp",15,Inputs!$B$43)-(B2501)&lt;=0,1,MAX(0,IF(Inputs!$B$38="pvp",15,Inputs!$B$43)-MAX(5,B2501))/(IF(Inputs!$B$38="pvp",15,Inputs!$B$43)-(B2501))))*(IF(AND(ArtifactsInput!$M$42,((Inputs!$B$9+((C2482=TRUE)*(F2482-Calc!F19))+B2494+(ArtifactsInput!$M$24-ArtifactsInput!$M$24)*CHOOSE(ArtifactsInput!$N$24+1,10,12,14,16,18,20)+IF(ArtifactsInput!$M$10,CHOOSE(ArtifactsInput!$N$10+1,15,18,21,24,27,30)*(IF(Inputs!$B$38="pvp",MIN(15,15)/15,IF(AND(Inputs!$B$38&lt;&gt;"pvp",Inputs!$B$43&gt;0),MIN(15,Inputs!$B$43)/(Inputs!$B$43),0))),0)))&gt;=100),MIN(100,((Inputs!$B$9+((C2482=TRUE)*(F2482-Calc!F19))+B2494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2501)&lt;=0,1,MAX(0,IF(Inputs!$B$38="pvp",15,Inputs!$B$43)-MAX(5,B2501))/(IF(Inputs!$B$38="pvp",15,Inputs!$B$43)-(B2501))))*IF(AND(ArtifactsInput!$M$42,((Inputs!$B$9+((C2482=TRUE)*(F2482-Calc!F19))+B2494+(ArtifactsInput!$M$24-ArtifactsInput!$M$24)*CHOOSE(ArtifactsInput!$N$24+1,10,12,14,16,18,20)+IF(ArtifactsInput!$M$10,CHOOSE(ArtifactsInput!$N$10+1,15,18,21,24,27,30)*(IF(Inputs!$B$38="pvp",MIN(15,15)/15,IF(AND(Inputs!$B$38&lt;&gt;"pvp",Inputs!$B$43&gt;0),MIN(15,Inputs!$B$43)/(Inputs!$B$43),0))),0)))&gt;=100),CHOOSE(ArtifactsInput!$N$42+1,40,48,56,64,72,80),0))))/100)*((1+(((C2480=TRUE)*F2480*5/7)+((C2487=TRUE)*(F2487-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2471)</f>
        <v/>
      </c>
      <c r="L2471">
        <f>K2471*(MIN(Inputs!$B$22+((C2485=TRUE)*(F2485-Calc!F22)),(Inputs!$B$23+0+(IF(ArtifactsInput!$M$15,CHOOSE(ArtifactsInput!$N$15+1,25,30,35,40,45,50)/100*(Inputs!$B$11-Inputs!$B$11),0))))/100+(Inputs!$B$23+0+(IF(ArtifactsInput!$M$15,CHOOSE(ArtifactsInput!$N$15+1,25,30,35,40,45,50)/100*(Inputs!$B$11-Inputs!$B$11),0)))/100)/2</f>
        <v/>
      </c>
      <c r="M2471">
        <f>L2471*(1+(Inputs!$B$10+((C2488=TRUE)*(F2488-Calc!F25))+B2499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71">
        <f>L2471*(1-MIN((Inputs!$B$9+((C2482=TRUE)*(F2482-Calc!F19))+B2494+(ArtifactsInput!$M$24-ArtifactsInput!$M$24)*CHOOSE(ArtifactsInput!$N$24+1,10,12,14,16,18,20)+(IF(AND(Inputs!$B$38&lt;&gt;"pvp",Inputs!$B$43=0),1,IF(IF(Inputs!$B$38="pvp",15,Inputs!$B$43)-(B2501)&lt;=0,1,MAX(0,IF(Inputs!$B$38="pvp",15,Inputs!$B$43)-MAX(5,B2501))/(IF(Inputs!$B$38="pvp",15,Inputs!$B$43)-(B2501))))*IF(AND(ArtifactsInput!$M$42,((Inputs!$B$9+((C2482=TRUE)*(F2482-Calc!F19))+B2494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2471*(MIN((Inputs!$B$9+((C2482=TRUE)*(F2482-Calc!F19))+B2494+(ArtifactsInput!$M$24-ArtifactsInput!$M$24)*CHOOSE(ArtifactsInput!$N$24+1,10,12,14,16,18,20)+(IF(AND(Inputs!$B$38&lt;&gt;"pvp",Inputs!$B$43=0),1,IF(IF(Inputs!$B$38="pvp",15,Inputs!$B$43)-(B2501)&lt;=0,1,MAX(0,IF(Inputs!$B$38="pvp",15,Inputs!$B$43)-MAX(5,B2501))/(IF(Inputs!$B$38="pvp",15,Inputs!$B$43)-(B2501))))*IF(AND(ArtifactsInput!$M$42,((Inputs!$B$9+((C2482=TRUE)*(F2482-Calc!F19))+B2494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71">
        <f>(1-Summary!$B$11)*T2471+Summary!$B$11*V2471</f>
        <v/>
      </c>
      <c r="P2471">
        <f>IF(B2504=0,0,O2471/B2504)</f>
        <v/>
      </c>
      <c r="Q2471">
        <f>IFERROR(1/((IF(Inputs!$B$38="pvp",15,MAX(0.1,Skills!D8-IF(TRUE=TRUE,Inputs!$B$32,0)))*(1-IF(AND(ArtifactsInput!$M$27,Inputs!$B$4="Chapter Hunt"),CHOOSE(ArtifactsInput!$N$27+1,20,24,28,32,36,40),0)/100))/B2505),0)</f>
        <v/>
      </c>
      <c r="R2471">
        <f>IF(AND(Inputs!$B$38&lt;&gt;"pvp",Inputs!$B$43&gt;0),IF(MAX(0,Inputs!$B$43-B2501)&lt;=0,0,(INT(MAX(0,Inputs!$B$43-B2501)/((IF(Inputs!$B$38="pvp",15,MAX(0.1,Skills!D8-IF(TRUE=TRUE,Inputs!$B$32,0)))*(1-IF(AND(ArtifactsInput!$M$27,Inputs!$B$4="Chapter Hunt"),CHOOSE(ArtifactsInput!$N$27+1,20,24,28,32,36,40),0)/100))/B2505))+1)),0)</f>
        <v/>
      </c>
      <c r="S2471">
        <f>IFERROR(O2471/N2471,0)</f>
        <v/>
      </c>
      <c r="T2471">
        <f>IF(C2471,(H2471*N2471*IF(AND(Inputs!$B$38&lt;&gt;"pvp",Inputs!$B$43&gt;0),((Skills!G8*((R2471-1)*IF(Skills!H8&gt;0,INT(Skills!I8/Skills!H8+0.000000001),1)+IF(Skills!H8&gt;0,INT(MIN(Skills!I8,MAX(0,MAX(0,Inputs!$B$43-B2501)-((R2471-1)*((IF(Inputs!$B$38="pvp",15,MAX(0.1,Skills!D8-IF(TRUE=TRUE,Inputs!$B$32,0)))*(1-IF(AND(ArtifactsInput!$M$27,Inputs!$B$4="Chapter Hunt"),CHOOSE(ArtifactsInput!$N$27+1,20,24,28,32,36,40),0)/100))/B2505))))/Skills!H8+0.000000001),1)))/Inputs!$B$43),G2471*Q2471))*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IF(ArtifactsInput!$M$33,FALSE,TRUE),CHOOSE(ArtifactsInput!$N$33+1,10,12,14,16,18,20),0)+(ArtifactsInput!$M$23-ArtifactsInput!$M$23)*CHOOSE(ArtifactsInput!$N$23+1,50,60,70,80,90,100))+(IF(AND(ArtifactsInput!$M$35,Inputs!$B$4&lt;&gt;"Chapter Hunt"),CHOOSE(ArtifactsInput!$N$35+1,15,18,21,24,27,30)*(1-EXP(-(0.2*B2496)*5)),0)+IF(AND(ArtifactsInput!$M$22,Inputs!$B$4&lt;&gt;"Chapter Hunt"),CHOOSE(ArtifactsInput!$N$22+1,10,12,14,16,18,20)*((0*(((0.15*B2496*5))^0/1)+1*(((0.15*B2496*5))^1/1)+2*(((0.15*B2496*5))^2/2)+3*(((0.15*B2496*5))^3/6)+4*(((0.15*B2496*5))^4/24)+5*(((0.15*B2496*5))^5/120))/((((0.15*B2496*5))^0/1)+(((0.15*B2496*5))^1/1)+(((0.15*B2496*5))^2/2)+(((0.15*B2496*5))^3/6)+(((0.15*B2496*5))^4/24)+(((0.15*B2496*5))^5/120))),0))+IF(Inputs!$B$3&gt;=54,9*(C2466=TRUE)*MIN(1,8*(1+Inputs!$B$34/100)*Q2466)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2471*(1-MIN(100,(Inputs!$B$9+((C2482=TRUE)*(F2482-Calc!F19))+B2494+(ArtifactsInput!$M$24-ArtifactsInput!$M$24)*CHOOSE(ArtifactsInput!$N$24+1,10,12,14,16,18,20)+(IF(AND(Inputs!$B$38&lt;&gt;"pvp",Inputs!$B$43=0),1,IF(IF(Inputs!$B$38="pvp",15,Inputs!$B$43)-(B2501)&lt;=0,1,MAX(0,IF(Inputs!$B$38="pvp",15,Inputs!$B$43)-MAX(5,B2501))/(IF(Inputs!$B$38="pvp",15,Inputs!$B$43)-(B2501))))*IF(AND(ArtifactsInput!$M$42,((Inputs!$B$9+((C2482=TRUE)*(F2482-Calc!F19))+B2494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2471*(MIN(100,(Inputs!$B$9+((C2482=TRUE)*(F2482-Calc!F19))+B2494+(ArtifactsInput!$M$24-ArtifactsInput!$M$24)*CHOOSE(ArtifactsInput!$N$24+1,10,12,14,16,18,20)+(IF(AND(Inputs!$B$38&lt;&gt;"pvp",Inputs!$B$43=0),1,IF(IF(Inputs!$B$38="pvp",15,Inputs!$B$43)-(B2501)&lt;=0,1,MAX(0,IF(Inputs!$B$38="pvp",15,Inputs!$B$43)-MAX(5,B2501))/(IF(Inputs!$B$38="pvp",15,Inputs!$B$43)-(B2501))))*IF(AND(ArtifactsInput!$M$42,((Inputs!$B$9+((C2482=TRUE)*(F2482-Calc!F19))+B2494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2471*(1-MIN(100,(Inputs!$B$9+((C2482=TRUE)*(F2482-Calc!F19))+B2494+(ArtifactsInput!$M$24-ArtifactsInput!$M$24)*CHOOSE(ArtifactsInput!$N$24+1,10,12,14,16,18,20)+(IF(AND(Inputs!$B$38&lt;&gt;"pvp",Inputs!$B$43=0),1,IF(IF(Inputs!$B$38="pvp",15,Inputs!$B$43)-(B2501)&lt;=0,1,MAX(0,IF(Inputs!$B$38="pvp",15,Inputs!$B$43)-MAX(5,B2501))/(IF(Inputs!$B$38="pvp",15,Inputs!$B$43)-(B2501))))*IF(AND(ArtifactsInput!$M$42,((Inputs!$B$9+((C2482=TRUE)*(F2482-Calc!F19))+B2494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2471*(MIN(100,(Inputs!$B$9+((C2482=TRUE)*(F2482-Calc!F19))+B2494+(ArtifactsInput!$M$24-ArtifactsInput!$M$24)*CHOOSE(ArtifactsInput!$N$24+1,10,12,14,16,18,20)+(IF(AND(Inputs!$B$38&lt;&gt;"pvp",Inputs!$B$43=0),1,IF(IF(Inputs!$B$38="pvp",15,Inputs!$B$43)-(B2501)&lt;=0,1,MAX(0,IF(Inputs!$B$38="pvp",15,Inputs!$B$43)-MAX(5,B2501))/(IF(Inputs!$B$38="pvp",15,Inputs!$B$43)-(B2501))))*IF(AND(ArtifactsInput!$M$42,((Inputs!$B$9+((C2482=TRUE)*(F2482-Calc!F19))+B2494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471">
        <f>IF(C2471,(H2471*N2471*IF(AND(Inputs!$B$38&lt;&gt;"pvp",Inputs!$B$43&gt;0),((Skills!G8*((R2471-1)*IF(Skills!H8&gt;0,INT(Skills!I8/Skills!H8+0.000000001),1)+IF(Skills!H8&gt;0,INT(MIN(Skills!I8,MAX(0,MAX(0,Inputs!$B$43-B2501)-((R2471-1)*((IF(Inputs!$B$38="pvp",15,MAX(0.1,Skills!D8-IF(TRUE=TRUE,Inputs!$B$32,0)))*(1-IF(AND(ArtifactsInput!$M$27,Inputs!$B$4="Chapter Hunt"),CHOOSE(ArtifactsInput!$N$27+1,20,24,28,32,36,40),0)/100))/B2505))))/Skills!H8+0.000000001),1)))/Inputs!$B$43),G2471*Q2471))*IF(Inputs!$B$38="pvp",1,(1+(Inputs!$B$21+Skills!Q8+(IF(IF(ArtifactsInput!$M$33,FALSE,TRUE),CHOOSE(ArtifactsInput!$N$33+1,30,36,42,48,54,60),0))+(IF(AND(ArtifactsInput!$M$35,Inputs!$B$4&lt;&gt;"Chapter Hunt"),CHOOSE(ArtifactsInput!$N$35+1,15,18,21,24,27,30)*(1-EXP(-(0.2*B2496)*5)),0)+IF(AND(ArtifactsInput!$M$22,Inputs!$B$4&lt;&gt;"Chapter Hunt"),CHOOSE(ArtifactsInput!$N$22+1,10,12,14,16,18,20)*((0*(((0.15*B2496*5))^0/1)+1*(((0.15*B2496*5))^1/1)+2*(((0.15*B2496*5))^2/2)+3*(((0.15*B2496*5))^3/6)+4*(((0.15*B2496*5))^4/24)+5*(((0.15*B2496*5))^5/120))/((((0.15*B2496*5))^0/1)+(((0.15*B2496*5))^1/1)+(((0.15*B2496*5))^2/2)+(((0.15*B2496*5))^3/6)+(((0.15*B2496*5))^4/24)+(((0.15*B2496*5))^5/120))),0))+IF(Inputs!$B$3&gt;=54,9*(C2466=TRUE)*MIN(1,8*(1+Inputs!$B$34/100)*Q2466),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72">
      <c r="A2472">
        <f>Skills!A9</f>
        <v/>
      </c>
      <c r="B2472">
        <f>Skills!B9</f>
        <v/>
      </c>
      <c r="C2472">
        <f>Inputs!$B$3&gt;=105</f>
        <v/>
      </c>
      <c r="D2472">
        <f>IF(Skills!C9=1,60+Inputs!$B$25+Inputs!$B$29,IF(Skills!C9=2,90+Inputs!$B$26+Inputs!$B$29,IF(Skills!C9=3,120+Inputs!$B$27+Inputs!$B$29,MAX(0,(Inputs!$B$3-100)*3)+Inputs!$B$28+Inputs!$B$29)))</f>
        <v/>
      </c>
      <c r="E2472">
        <f>INDEX(FactorTable!$B$2:$Y$301, MATCH(ROUND(MIN(300,MAX(1,D2472)),0), FactorTable!$A$2:$A$301,0), Skills!M9+1)</f>
        <v/>
      </c>
      <c r="F2472">
        <f>IF(Skills!N9=TRUE,(Skills!L9/10)*(E2472/1000),Skills!L9/10)+Skills!O9</f>
        <v/>
      </c>
      <c r="G2472">
        <f>Skills!G9*IF(Skills!H9&gt;0,INT(IF(Inputs!$B$38="pvp",MIN(Skills!I9,15),Skills!I9)/Skills!H9+0.000000001),1)</f>
        <v/>
      </c>
      <c r="H2472">
        <f>1-(1-Skills!J9/100)^Skills!K9</f>
        <v/>
      </c>
      <c r="I2472" t="inlineStr">
        <is>
          <t>1</t>
        </is>
      </c>
      <c r="J2472">
        <f>((Inputs!$B$6*(1+Inputs!$B$7/100))+(((Inputs!$B$12*(1+Inputs!$B$13/100))-(Inputs!$B$12*(1+Inputs!$B$13/100)))+0.25*(Inputs!$B$14-Inputs!$B$14))*(1+Inputs!$B$7/100))*(F2472/100)</f>
        <v/>
      </c>
      <c r="K2472">
        <f>J2472*(1+((Inputs!$B$12*(1+Inputs!$B$13/100))*0.01+Inputs!$B$14*0.0025)/100)*(1+Inputs!$B$15/100)*(1+Inputs!$B$16/100)*(5000/(6000+Inputs!$B$42*(1-(100*(1-(1-(Inputs!$B$19+0)/100)*(1-CHOOSE(ArtifactsInput!$N$40+1,5,6,7,8,9,10)/100)^(ArtifactsInput!$M$40-ArtifactsInput!$M$40)))/100)))*(1+(Inputs!$B$24+((C2489=TRUE)*(F2489-Calc!F26))+B2500)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IGHT_LEGS_EASTON",Inputs!$B$17+((C2486=TRUE)*(F2486-Calc!F23))+((C2490=TRUE)*(F2490-Calc!F27))+((IF(AND(Inputs!$B$38&lt;&gt;"pvp",Inputs!$B$43=0),1,IF(IF(Inputs!$B$38="pvp",15,Inputs!$B$43)-(B2501)&lt;=0,1,MAX(0,IF(Inputs!$B$38="pvp",15,Inputs!$B$43)-MAX(5,B2501))/(IF(Inputs!$B$38="pvp",15,Inputs!$B$43)-(B2501))))*(IF(AND(ArtifactsInput!$M$42,((Inputs!$B$9+((C2482=TRUE)*(F2482-Calc!F19))+B2494+(ArtifactsInput!$M$24-ArtifactsInput!$M$24)*CHOOSE(ArtifactsInput!$N$24+1,10,12,14,16,18,20)+IF(ArtifactsInput!$M$10,CHOOSE(ArtifactsInput!$N$10+1,15,18,21,24,27,30)*(IF(Inputs!$B$38="pvp",MIN(15,15)/15,IF(AND(Inputs!$B$38&lt;&gt;"pvp",Inputs!$B$43&gt;0),MIN(15,Inputs!$B$43)/(Inputs!$B$43),0))),0)))&gt;=100),MIN(100,((Inputs!$B$9+((C2482=TRUE)*(F2482-Calc!F19))+B2494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2501)&lt;=0,1,MAX(0,IF(Inputs!$B$38="pvp",15,Inputs!$B$43)-MAX(5,B2501))/(IF(Inputs!$B$38="pvp",15,Inputs!$B$43)-(B2501))))*IF(AND(ArtifactsInput!$M$42,((Inputs!$B$9+((C2482=TRUE)*(F2482-Calc!F19))+B2494+(ArtifactsInput!$M$24-ArtifactsInput!$M$24)*CHOOSE(ArtifactsInput!$N$24+1,10,12,14,16,18,20)+IF(ArtifactsInput!$M$10,CHOOSE(ArtifactsInput!$N$10+1,15,18,21,24,27,30)*(IF(Inputs!$B$38="pvp",MIN(15,15)/15,IF(AND(Inputs!$B$38&lt;&gt;"pvp",Inputs!$B$43&gt;0),MIN(15,Inputs!$B$43)/(Inputs!$B$43),0))),0)))&gt;=100),CHOOSE(ArtifactsInput!$N$42+1,40,48,56,64,72,80),0))))/100)*((1+(((C2480=TRUE)*F2480*5/7)+((C2487=TRUE)*(F2487-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2472)</f>
        <v/>
      </c>
      <c r="L2472">
        <f>K2472*(MIN(Inputs!$B$22+((C2485=TRUE)*(F2485-Calc!F22)),(Inputs!$B$23+0+(IF(ArtifactsInput!$M$15,CHOOSE(ArtifactsInput!$N$15+1,25,30,35,40,45,50)/100*(Inputs!$B$11-Inputs!$B$11),0))))/100+(Inputs!$B$23+0+(IF(ArtifactsInput!$M$15,CHOOSE(ArtifactsInput!$N$15+1,25,30,35,40,45,50)/100*(Inputs!$B$11-Inputs!$B$11),0)))/100)/2</f>
        <v/>
      </c>
      <c r="M2472">
        <f>L2472*(1+(Inputs!$B$10+((C2488=TRUE)*(F2488-Calc!F25))+B2499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72">
        <f>L2472*(1-MIN((Inputs!$B$9+((C2482=TRUE)*(F2482-Calc!F19))+B2494+(ArtifactsInput!$M$24-ArtifactsInput!$M$24)*CHOOSE(ArtifactsInput!$N$24+1,10,12,14,16,18,20)+(IF(AND(Inputs!$B$38&lt;&gt;"pvp",Inputs!$B$43=0),1,IF(IF(Inputs!$B$38="pvp",15,Inputs!$B$43)-(B2501)&lt;=0,1,MAX(0,IF(Inputs!$B$38="pvp",15,Inputs!$B$43)-MAX(5,B2501))/(IF(Inputs!$B$38="pvp",15,Inputs!$B$43)-(B2501))))*IF(AND(ArtifactsInput!$M$42,((Inputs!$B$9+((C2482=TRUE)*(F2482-Calc!F19))+B2494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2472*(MIN((Inputs!$B$9+((C2482=TRUE)*(F2482-Calc!F19))+B2494+(ArtifactsInput!$M$24-ArtifactsInput!$M$24)*CHOOSE(ArtifactsInput!$N$24+1,10,12,14,16,18,20)+(IF(AND(Inputs!$B$38&lt;&gt;"pvp",Inputs!$B$43=0),1,IF(IF(Inputs!$B$38="pvp",15,Inputs!$B$43)-(B2501)&lt;=0,1,MAX(0,IF(Inputs!$B$38="pvp",15,Inputs!$B$43)-MAX(5,B2501))/(IF(Inputs!$B$38="pvp",15,Inputs!$B$43)-(B2501))))*IF(AND(ArtifactsInput!$M$42,((Inputs!$B$9+((C2482=TRUE)*(F2482-Calc!F19))+B2494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72">
        <f>(1-Summary!$B$11)*T2472+Summary!$B$11*V2472</f>
        <v/>
      </c>
      <c r="P2472">
        <f>IF(B2504=0,0,O2472/B2504)</f>
        <v/>
      </c>
      <c r="Q2472">
        <f>IFERROR(1/(IF(Inputs!$B$38="pvp",15,MAX(0.1,Skills!D9-IF(TRUE=TRUE,Inputs!$B$32,0)))*(1-IF(AND(ArtifactsInput!$M$27,Inputs!$B$4="Chapter Hunt"),CHOOSE(ArtifactsInput!$N$27+1,20,24,28,32,36,40),0)/100)),0)</f>
        <v/>
      </c>
      <c r="R2472">
        <f>IF(AND(Inputs!$B$38&lt;&gt;"pvp",Inputs!$B$43&gt;0),IF(MAX(0,Inputs!$B$43-B2501)&lt;=0,0,(INT(MAX(0,Inputs!$B$43-B2501)/(IF(Inputs!$B$38="pvp",15,MAX(0.1,Skills!D9-IF(TRUE=TRUE,Inputs!$B$32,0)))*(1-IF(AND(ArtifactsInput!$M$27,Inputs!$B$4="Chapter Hunt"),CHOOSE(ArtifactsInput!$N$27+1,20,24,28,32,36,40),0)/100)))+1)),0)</f>
        <v/>
      </c>
      <c r="S2472">
        <f>IFERROR(O2472/N2472,0)</f>
        <v/>
      </c>
      <c r="T2472">
        <f>IF(C2472,(H2472*N2472*IF(AND(Inputs!$B$38&lt;&gt;"pvp",Inputs!$B$43&gt;0),((Skills!G9*((R2472-1)*IF(Skills!H9&gt;0,INT(Skills!I9/Skills!H9+0.000000001),1)+IF(Skills!H9&gt;0,INT(MIN(Skills!I9,MAX(0,MAX(0,Inputs!$B$43-B2501)-((R2472-1)*(IF(Inputs!$B$38="pvp",15,MAX(0.1,Skills!D9-IF(TRUE=TRUE,Inputs!$B$32,0)))*(1-IF(AND(ArtifactsInput!$M$27,Inputs!$B$4="Chapter Hunt"),CHOOSE(ArtifactsInput!$N$27+1,20,24,28,32,36,40),0)/100)))))/Skills!H9+0.000000001),1)))/Inputs!$B$43),G2472*Q2472))*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IF(ArtifactsInput!$M$33,FALSE,TRUE),CHOOSE(ArtifactsInput!$N$33+1,10,12,14,16,18,20),0)+(ArtifactsInput!$M$23-ArtifactsInput!$M$23)*CHOOSE(ArtifactsInput!$N$23+1,50,60,70,80,90,100))+(IF(AND(ArtifactsInput!$M$35,Inputs!$B$4&lt;&gt;"Chapter Hunt"),CHOOSE(ArtifactsInput!$N$35+1,15,18,21,24,27,30)*(1-EXP(-(0.2*B2496)*5)),0)+IF(AND(ArtifactsInput!$M$22,Inputs!$B$4&lt;&gt;"Chapter Hunt"),CHOOSE(ArtifactsInput!$N$22+1,10,12,14,16,18,20)*((0*(((0.15*B2496*5))^0/1)+1*(((0.15*B2496*5))^1/1)+2*(((0.15*B2496*5))^2/2)+3*(((0.15*B2496*5))^3/6)+4*(((0.15*B2496*5))^4/24)+5*(((0.15*B2496*5))^5/120))/((((0.15*B2496*5))^0/1)+(((0.15*B2496*5))^1/1)+(((0.15*B2496*5))^2/2)+(((0.15*B2496*5))^3/6)+(((0.15*B2496*5))^4/24)+(((0.15*B2496*5))^5/120))),0))+IF(Inputs!$B$3&gt;=54,9*(C2466=TRUE)*MIN(1,8*(1+Inputs!$B$34/100)*Q2466)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2472*(1-MIN(100,(Inputs!$B$9+((C2482=TRUE)*(F2482-Calc!F19))+B2494+(ArtifactsInput!$M$24-ArtifactsInput!$M$24)*CHOOSE(ArtifactsInput!$N$24+1,10,12,14,16,18,20)+(IF(AND(Inputs!$B$38&lt;&gt;"pvp",Inputs!$B$43=0),1,IF(IF(Inputs!$B$38="pvp",15,Inputs!$B$43)-(B2501)&lt;=0,1,MAX(0,IF(Inputs!$B$38="pvp",15,Inputs!$B$43)-MAX(5,B2501))/(IF(Inputs!$B$38="pvp",15,Inputs!$B$43)-(B2501))))*IF(AND(ArtifactsInput!$M$42,((Inputs!$B$9+((C2482=TRUE)*(F2482-Calc!F19))+B2494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2472*(MIN(100,(Inputs!$B$9+((C2482=TRUE)*(F2482-Calc!F19))+B2494+(ArtifactsInput!$M$24-ArtifactsInput!$M$24)*CHOOSE(ArtifactsInput!$N$24+1,10,12,14,16,18,20)+(IF(AND(Inputs!$B$38&lt;&gt;"pvp",Inputs!$B$43=0),1,IF(IF(Inputs!$B$38="pvp",15,Inputs!$B$43)-(B2501)&lt;=0,1,MAX(0,IF(Inputs!$B$38="pvp",15,Inputs!$B$43)-MAX(5,B2501))/(IF(Inputs!$B$38="pvp",15,Inputs!$B$43)-(B2501))))*IF(AND(ArtifactsInput!$M$42,((Inputs!$B$9+((C2482=TRUE)*(F2482-Calc!F19))+B2494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2472*(1-MIN(100,(Inputs!$B$9+((C2482=TRUE)*(F2482-Calc!F19))+B2494+(ArtifactsInput!$M$24-ArtifactsInput!$M$24)*CHOOSE(ArtifactsInput!$N$24+1,10,12,14,16,18,20)+(IF(AND(Inputs!$B$38&lt;&gt;"pvp",Inputs!$B$43=0),1,IF(IF(Inputs!$B$38="pvp",15,Inputs!$B$43)-(B2501)&lt;=0,1,MAX(0,IF(Inputs!$B$38="pvp",15,Inputs!$B$43)-MAX(5,B2501))/(IF(Inputs!$B$38="pvp",15,Inputs!$B$43)-(B2501))))*IF(AND(ArtifactsInput!$M$42,((Inputs!$B$9+((C2482=TRUE)*(F2482-Calc!F19))+B2494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2472*(MIN(100,(Inputs!$B$9+((C2482=TRUE)*(F2482-Calc!F19))+B2494+(ArtifactsInput!$M$24-ArtifactsInput!$M$24)*CHOOSE(ArtifactsInput!$N$24+1,10,12,14,16,18,20)+(IF(AND(Inputs!$B$38&lt;&gt;"pvp",Inputs!$B$43=0),1,IF(IF(Inputs!$B$38="pvp",15,Inputs!$B$43)-(B2501)&lt;=0,1,MAX(0,IF(Inputs!$B$38="pvp",15,Inputs!$B$43)-MAX(5,B2501))/(IF(Inputs!$B$38="pvp",15,Inputs!$B$43)-(B2501))))*IF(AND(ArtifactsInput!$M$42,((Inputs!$B$9+((C2482=TRUE)*(F2482-Calc!F19))+B2494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472">
        <f>IF(C2472,(H2472*N2472*IF(AND(Inputs!$B$38&lt;&gt;"pvp",Inputs!$B$43&gt;0),((Skills!G9*((R2472-1)*IF(Skills!H9&gt;0,INT(Skills!I9/Skills!H9+0.000000001),1)+IF(Skills!H9&gt;0,INT(MIN(Skills!I9,MAX(0,MAX(0,Inputs!$B$43-B2501)-((R2472-1)*(IF(Inputs!$B$38="pvp",15,MAX(0.1,Skills!D9-IF(TRUE=TRUE,Inputs!$B$32,0)))*(1-IF(AND(ArtifactsInput!$M$27,Inputs!$B$4="Chapter Hunt"),CHOOSE(ArtifactsInput!$N$27+1,20,24,28,32,36,40),0)/100)))))/Skills!H9+0.000000001),1)))/Inputs!$B$43),G2472*Q2472))*IF(Inputs!$B$38="pvp",1,(1+(Inputs!$B$21+Skills!Q9+(IF(IF(ArtifactsInput!$M$33,FALSE,TRUE),CHOOSE(ArtifactsInput!$N$33+1,30,36,42,48,54,60),0))+(IF(AND(ArtifactsInput!$M$35,Inputs!$B$4&lt;&gt;"Chapter Hunt"),CHOOSE(ArtifactsInput!$N$35+1,15,18,21,24,27,30)*(1-EXP(-(0.2*B2496)*5)),0)+IF(AND(ArtifactsInput!$M$22,Inputs!$B$4&lt;&gt;"Chapter Hunt"),CHOOSE(ArtifactsInput!$N$22+1,10,12,14,16,18,20)*((0*(((0.15*B2496*5))^0/1)+1*(((0.15*B2496*5))^1/1)+2*(((0.15*B2496*5))^2/2)+3*(((0.15*B2496*5))^3/6)+4*(((0.15*B2496*5))^4/24)+5*(((0.15*B2496*5))^5/120))/((((0.15*B2496*5))^0/1)+(((0.15*B2496*5))^1/1)+(((0.15*B2496*5))^2/2)+(((0.15*B2496*5))^3/6)+(((0.15*B2496*5))^4/24)+(((0.15*B2496*5))^5/120))),0))+IF(Inputs!$B$3&gt;=54,9*(C2466=TRUE)*MIN(1,8*(1+Inputs!$B$34/100)*Q2466),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73">
      <c r="A2473">
        <f>Skills!A10</f>
        <v/>
      </c>
      <c r="B2473">
        <f>Skills!B10</f>
        <v/>
      </c>
      <c r="C2473">
        <f>Inputs!$B$3&gt;=113</f>
        <v/>
      </c>
      <c r="D2473">
        <f>IF(Skills!C10=1,60+Inputs!$B$25+Inputs!$B$29,IF(Skills!C10=2,90+Inputs!$B$26+Inputs!$B$29,IF(Skills!C10=3,120+Inputs!$B$27+Inputs!$B$29,MAX(0,(Inputs!$B$3-100)*3)+Inputs!$B$28+Inputs!$B$29)))</f>
        <v/>
      </c>
      <c r="E2473">
        <f>INDEX(FactorTable!$B$2:$Y$301, MATCH(ROUND(MIN(300,MAX(1,D2473)),0), FactorTable!$A$2:$A$301,0), Skills!M10+1)</f>
        <v/>
      </c>
      <c r="F2473">
        <f>IF(Skills!N10=TRUE,(Skills!L10/10)*(E2473/1000),Skills!L10/10)+Skills!O10</f>
        <v/>
      </c>
      <c r="G2473">
        <f>Skills!G10*IF(Skills!H10&gt;0,INT(IF(Inputs!$B$38="pvp",MIN(Skills!I10,15),Skills!I10)/Skills!H10+0.000000001),1)</f>
        <v/>
      </c>
      <c r="H2473">
        <f>1-(1-Skills!J10/100)^Skills!K10</f>
        <v/>
      </c>
      <c r="I2473" t="inlineStr">
        <is>
          <t>1</t>
        </is>
      </c>
      <c r="J2473">
        <f>((Inputs!$B$6*(1+Inputs!$B$7/100))+(((Inputs!$B$12*(1+Inputs!$B$13/100))-(Inputs!$B$12*(1+Inputs!$B$13/100)))+0.25*(Inputs!$B$14-Inputs!$B$14))*(1+Inputs!$B$7/100))*(F2473/100)</f>
        <v/>
      </c>
      <c r="K2473">
        <f>J2473*(1+((Inputs!$B$12*(1+Inputs!$B$13/100))*0.01+Inputs!$B$14*0.0025)/100)*(1+Inputs!$B$15/100)*(1+Inputs!$B$16/100)*(5000/(6000+Inputs!$B$42*(1-(100*(1-(1-(Inputs!$B$19+0)/100)*(1-CHOOSE(ArtifactsInput!$N$40+1,5,6,7,8,9,10)/100)^(ArtifactsInput!$M$40-ArtifactsInput!$M$40)))/100)))*(1+(Inputs!$B$24+((C2489=TRUE)*(F2489-Calc!F26))+B2500)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IGHT_LEGS_EASTON",Inputs!$B$17+((C2486=TRUE)*(F2486-Calc!F23))+((C2490=TRUE)*(F2490-Calc!F27))+((IF(AND(Inputs!$B$38&lt;&gt;"pvp",Inputs!$B$43=0),1,IF(IF(Inputs!$B$38="pvp",15,Inputs!$B$43)-(B2501)&lt;=0,1,MAX(0,IF(Inputs!$B$38="pvp",15,Inputs!$B$43)-MAX(5,B2501))/(IF(Inputs!$B$38="pvp",15,Inputs!$B$43)-(B2501))))*(IF(AND(ArtifactsInput!$M$42,((Inputs!$B$9+((C2482=TRUE)*(F2482-Calc!F19))+B2494+(ArtifactsInput!$M$24-ArtifactsInput!$M$24)*CHOOSE(ArtifactsInput!$N$24+1,10,12,14,16,18,20)+IF(ArtifactsInput!$M$10,CHOOSE(ArtifactsInput!$N$10+1,15,18,21,24,27,30)*(IF(Inputs!$B$38="pvp",MIN(15,15)/15,IF(AND(Inputs!$B$38&lt;&gt;"pvp",Inputs!$B$43&gt;0),MIN(15,Inputs!$B$43)/(Inputs!$B$43),0))),0)))&gt;=100),MIN(100,((Inputs!$B$9+((C2482=TRUE)*(F2482-Calc!F19))+B2494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2501)&lt;=0,1,MAX(0,IF(Inputs!$B$38="pvp",15,Inputs!$B$43)-MAX(5,B2501))/(IF(Inputs!$B$38="pvp",15,Inputs!$B$43)-(B2501))))*IF(AND(ArtifactsInput!$M$42,((Inputs!$B$9+((C2482=TRUE)*(F2482-Calc!F19))+B2494+(ArtifactsInput!$M$24-ArtifactsInput!$M$24)*CHOOSE(ArtifactsInput!$N$24+1,10,12,14,16,18,20)+IF(ArtifactsInput!$M$10,CHOOSE(ArtifactsInput!$N$10+1,15,18,21,24,27,30)*(IF(Inputs!$B$38="pvp",MIN(15,15)/15,IF(AND(Inputs!$B$38&lt;&gt;"pvp",Inputs!$B$43&gt;0),MIN(15,Inputs!$B$43)/(Inputs!$B$43),0))),0)))&gt;=100),CHOOSE(ArtifactsInput!$N$42+1,40,48,56,64,72,80),0))))/100)*((1+(((C2480=TRUE)*F2480*5/7)+((C2487=TRUE)*(F2487-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2473)</f>
        <v/>
      </c>
      <c r="L2473">
        <f>K2473*(MIN(Inputs!$B$22+((C2485=TRUE)*(F2485-Calc!F22)),(Inputs!$B$23+0+(IF(ArtifactsInput!$M$15,CHOOSE(ArtifactsInput!$N$15+1,25,30,35,40,45,50)/100*(Inputs!$B$11-Inputs!$B$11),0))))/100+(Inputs!$B$23+0+(IF(ArtifactsInput!$M$15,CHOOSE(ArtifactsInput!$N$15+1,25,30,35,40,45,50)/100*(Inputs!$B$11-Inputs!$B$11),0)))/100)/2</f>
        <v/>
      </c>
      <c r="M2473">
        <f>L2473*(1+(Inputs!$B$10+((C2488=TRUE)*(F2488-Calc!F25))+B2499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73">
        <f>L2473*(1-MIN((Inputs!$B$9+((C2482=TRUE)*(F2482-Calc!F19))+B2494+(ArtifactsInput!$M$24-ArtifactsInput!$M$24)*CHOOSE(ArtifactsInput!$N$24+1,10,12,14,16,18,20)+(IF(AND(Inputs!$B$38&lt;&gt;"pvp",Inputs!$B$43=0),1,IF(IF(Inputs!$B$38="pvp",15,Inputs!$B$43)-(B2501)&lt;=0,1,MAX(0,IF(Inputs!$B$38="pvp",15,Inputs!$B$43)-MAX(5,B2501))/(IF(Inputs!$B$38="pvp",15,Inputs!$B$43)-(B2501))))*IF(AND(ArtifactsInput!$M$42,((Inputs!$B$9+((C2482=TRUE)*(F2482-Calc!F19))+B2494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2473*(MIN((Inputs!$B$9+((C2482=TRUE)*(F2482-Calc!F19))+B2494+(ArtifactsInput!$M$24-ArtifactsInput!$M$24)*CHOOSE(ArtifactsInput!$N$24+1,10,12,14,16,18,20)+(IF(AND(Inputs!$B$38&lt;&gt;"pvp",Inputs!$B$43=0),1,IF(IF(Inputs!$B$38="pvp",15,Inputs!$B$43)-(B2501)&lt;=0,1,MAX(0,IF(Inputs!$B$38="pvp",15,Inputs!$B$43)-MAX(5,B2501))/(IF(Inputs!$B$38="pvp",15,Inputs!$B$43)-(B2501))))*IF(AND(ArtifactsInput!$M$42,((Inputs!$B$9+((C2482=TRUE)*(F2482-Calc!F19))+B2494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73">
        <f>(1-Summary!$B$11)*T2473+Summary!$B$11*V2473</f>
        <v/>
      </c>
      <c r="P2473">
        <f>IF(B2504=0,0,O2473/B2504)</f>
        <v/>
      </c>
      <c r="Q2473" t="n">
        <v>0</v>
      </c>
      <c r="R2473" t="n">
        <v>0</v>
      </c>
      <c r="S2473">
        <f>IFERROR(O2473/N2473,0)</f>
        <v/>
      </c>
      <c r="T2473">
        <f>IF(C2473,((H2473*B2506)/(1+Skills!H10*H2473*B2506)*N2473)*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IF(ArtifactsInput!$M$33,FALSE,TRUE),CHOOSE(ArtifactsInput!$N$33+1,10,12,14,16,18,20),0)+(ArtifactsInput!$M$23-ArtifactsInput!$M$23)*CHOOSE(ArtifactsInput!$N$23+1,50,60,70,80,90,100))+(IF(AND(ArtifactsInput!$M$35,Inputs!$B$4&lt;&gt;"Chapter Hunt"),CHOOSE(ArtifactsInput!$N$35+1,15,18,21,24,27,30)*(1-EXP(-(0.2*B2496)*5)),0)+IF(AND(ArtifactsInput!$M$22,Inputs!$B$4&lt;&gt;"Chapter Hunt"),CHOOSE(ArtifactsInput!$N$22+1,10,12,14,16,18,20)*((0*(((0.15*B2496*5))^0/1)+1*(((0.15*B2496*5))^1/1)+2*(((0.15*B2496*5))^2/2)+3*(((0.15*B2496*5))^3/6)+4*(((0.15*B2496*5))^4/24)+5*(((0.15*B2496*5))^5/120))/((((0.15*B2496*5))^0/1)+(((0.15*B2496*5))^1/1)+(((0.15*B2496*5))^2/2)+(((0.15*B2496*5))^3/6)+(((0.15*B2496*5))^4/24)+(((0.15*B2496*5))^5/120))),0))+IF(Inputs!$B$3&gt;=54,9*(C2466=TRUE)*MIN(1,8*(1+Inputs!$B$34/100)*Q2466)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2473*(1-MIN(100,(Inputs!$B$9+((C2482=TRUE)*(F2482-Calc!F19))+B2494+(ArtifactsInput!$M$24-ArtifactsInput!$M$24)*CHOOSE(ArtifactsInput!$N$24+1,10,12,14,16,18,20)+(IF(AND(Inputs!$B$38&lt;&gt;"pvp",Inputs!$B$43=0),1,IF(IF(Inputs!$B$38="pvp",15,Inputs!$B$43)-(B2501)&lt;=0,1,MAX(0,IF(Inputs!$B$38="pvp",15,Inputs!$B$43)-MAX(5,B2501))/(IF(Inputs!$B$38="pvp",15,Inputs!$B$43)-(B2501))))*IF(AND(ArtifactsInput!$M$42,((Inputs!$B$9+((C2482=TRUE)*(F2482-Calc!F19))+B2494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2473*(MIN(100,(Inputs!$B$9+((C2482=TRUE)*(F2482-Calc!F19))+B2494+(ArtifactsInput!$M$24-ArtifactsInput!$M$24)*CHOOSE(ArtifactsInput!$N$24+1,10,12,14,16,18,20)+(IF(AND(Inputs!$B$38&lt;&gt;"pvp",Inputs!$B$43=0),1,IF(IF(Inputs!$B$38="pvp",15,Inputs!$B$43)-(B2501)&lt;=0,1,MAX(0,IF(Inputs!$B$38="pvp",15,Inputs!$B$43)-MAX(5,B2501))/(IF(Inputs!$B$38="pvp",15,Inputs!$B$43)-(B2501))))*IF(AND(ArtifactsInput!$M$42,((Inputs!$B$9+((C2482=TRUE)*(F2482-Calc!F19))+B2494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2473*(1-MIN(100,(Inputs!$B$9+((C2482=TRUE)*(F2482-Calc!F19))+B2494+(ArtifactsInput!$M$24-ArtifactsInput!$M$24)*CHOOSE(ArtifactsInput!$N$24+1,10,12,14,16,18,20)+(IF(AND(Inputs!$B$38&lt;&gt;"pvp",Inputs!$B$43=0),1,IF(IF(Inputs!$B$38="pvp",15,Inputs!$B$43)-(B2501)&lt;=0,1,MAX(0,IF(Inputs!$B$38="pvp",15,Inputs!$B$43)-MAX(5,B2501))/(IF(Inputs!$B$38="pvp",15,Inputs!$B$43)-(B2501))))*IF(AND(ArtifactsInput!$M$42,((Inputs!$B$9+((C2482=TRUE)*(F2482-Calc!F19))+B2494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2473*(MIN(100,(Inputs!$B$9+((C2482=TRUE)*(F2482-Calc!F19))+B2494+(ArtifactsInput!$M$24-ArtifactsInput!$M$24)*CHOOSE(ArtifactsInput!$N$24+1,10,12,14,16,18,20)+(IF(AND(Inputs!$B$38&lt;&gt;"pvp",Inputs!$B$43=0),1,IF(IF(Inputs!$B$38="pvp",15,Inputs!$B$43)-(B2501)&lt;=0,1,MAX(0,IF(Inputs!$B$38="pvp",15,Inputs!$B$43)-MAX(5,B2501))/(IF(Inputs!$B$38="pvp",15,Inputs!$B$43)-(B2501))))*IF(AND(ArtifactsInput!$M$42,((Inputs!$B$9+((C2482=TRUE)*(F2482-Calc!F19))+B2494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473">
        <f>IF(C2473,((H2473*B2506)/(1+Skills!H10*H2473*B2506)*N2473)*IF(Inputs!$B$38="pvp",1,(1+(Inputs!$B$21+Skills!Q10+(IF(IF(ArtifactsInput!$M$33,FALSE,TRUE),CHOOSE(ArtifactsInput!$N$33+1,30,36,42,48,54,60),0))+(IF(AND(ArtifactsInput!$M$35,Inputs!$B$4&lt;&gt;"Chapter Hunt"),CHOOSE(ArtifactsInput!$N$35+1,15,18,21,24,27,30)*(1-EXP(-(0.2*B2496)*5)),0)+IF(AND(ArtifactsInput!$M$22,Inputs!$B$4&lt;&gt;"Chapter Hunt"),CHOOSE(ArtifactsInput!$N$22+1,10,12,14,16,18,20)*((0*(((0.15*B2496*5))^0/1)+1*(((0.15*B2496*5))^1/1)+2*(((0.15*B2496*5))^2/2)+3*(((0.15*B2496*5))^3/6)+4*(((0.15*B2496*5))^4/24)+5*(((0.15*B2496*5))^5/120))/((((0.15*B2496*5))^0/1)+(((0.15*B2496*5))^1/1)+(((0.15*B2496*5))^2/2)+(((0.15*B2496*5))^3/6)+(((0.15*B2496*5))^4/24)+(((0.15*B2496*5))^5/120))),0))+IF(Inputs!$B$3&gt;=54,9*(C2466=TRUE)*MIN(1,8*(1+Inputs!$B$34/100)*Q2466),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74">
      <c r="A2474">
        <f>Skills!A11</f>
        <v/>
      </c>
      <c r="B2474">
        <f>Skills!B11</f>
        <v/>
      </c>
      <c r="C2474">
        <f>Inputs!$B$3&gt;=117</f>
        <v/>
      </c>
      <c r="D2474">
        <f>IF(Skills!C11=1,60+Inputs!$B$25+Inputs!$B$29,IF(Skills!C11=2,90+Inputs!$B$26+Inputs!$B$29,IF(Skills!C11=3,120+Inputs!$B$27+Inputs!$B$29,MAX(0,(Inputs!$B$3-100)*3)+Inputs!$B$28+Inputs!$B$29)))</f>
        <v/>
      </c>
      <c r="E2474">
        <f>INDEX(FactorTable!$B$2:$Y$301, MATCH(ROUND(MIN(300,MAX(1,D2474)),0), FactorTable!$A$2:$A$301,0), Skills!M11+1)</f>
        <v/>
      </c>
      <c r="F2474">
        <f>IF(Skills!N11=TRUE,(Skills!L11/10)*(E2474/1000),Skills!L11/10)+Skills!O11</f>
        <v/>
      </c>
      <c r="G2474">
        <f>Skills!G11*IF(Skills!H11&gt;0,INT(IF(Inputs!$B$38="pvp",MIN(Skills!I11,15),Skills!I11)/Skills!H11+0.000000001),1)</f>
        <v/>
      </c>
      <c r="H2474">
        <f>1-(1-Skills!J11/100)^Skills!K11</f>
        <v/>
      </c>
      <c r="I2474" t="inlineStr">
        <is>
          <t>1</t>
        </is>
      </c>
      <c r="J2474">
        <f>((Inputs!$B$6*(1+Inputs!$B$7/100))+(((Inputs!$B$12*(1+Inputs!$B$13/100))-(Inputs!$B$12*(1+Inputs!$B$13/100)))+0.25*(Inputs!$B$14-Inputs!$B$14))*(1+Inputs!$B$7/100))*(F2474/100)</f>
        <v/>
      </c>
      <c r="K2474">
        <f>J2474*(1+((Inputs!$B$12*(1+Inputs!$B$13/100))*0.01+Inputs!$B$14*0.0025)/100)*(1+Inputs!$B$15/100)*(1+Inputs!$B$16/100)*(5000/(6000+Inputs!$B$42*(1-(100*(1-(1-(Inputs!$B$19+0)/100)*(1-CHOOSE(ArtifactsInput!$N$40+1,5,6,7,8,9,10)/100)^(ArtifactsInput!$M$40-ArtifactsInput!$M$40)))/100)))*(1+(Inputs!$B$24+((C2489=TRUE)*(F2489-Calc!F26))+B2500)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IGHT_LEGS_EASTON",Inputs!$B$17+((C2486=TRUE)*(F2486-Calc!F23))+((C2490=TRUE)*(F2490-Calc!F27))+((IF(AND(Inputs!$B$38&lt;&gt;"pvp",Inputs!$B$43=0),1,IF(IF(Inputs!$B$38="pvp",15,Inputs!$B$43)-(B2501)&lt;=0,1,MAX(0,IF(Inputs!$B$38="pvp",15,Inputs!$B$43)-MAX(5,B2501))/(IF(Inputs!$B$38="pvp",15,Inputs!$B$43)-(B2501))))*(IF(AND(ArtifactsInput!$M$42,((Inputs!$B$9+((C2482=TRUE)*(F2482-Calc!F19))+B2494+(ArtifactsInput!$M$24-ArtifactsInput!$M$24)*CHOOSE(ArtifactsInput!$N$24+1,10,12,14,16,18,20)+IF(ArtifactsInput!$M$10,CHOOSE(ArtifactsInput!$N$10+1,15,18,21,24,27,30)*(IF(Inputs!$B$38="pvp",MIN(15,15)/15,IF(AND(Inputs!$B$38&lt;&gt;"pvp",Inputs!$B$43&gt;0),MIN(15,Inputs!$B$43)/(Inputs!$B$43),0))),0)))&gt;=100),MIN(100,((Inputs!$B$9+((C2482=TRUE)*(F2482-Calc!F19))+B2494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2501)&lt;=0,1,MAX(0,IF(Inputs!$B$38="pvp",15,Inputs!$B$43)-MAX(5,B2501))/(IF(Inputs!$B$38="pvp",15,Inputs!$B$43)-(B2501))))*IF(AND(ArtifactsInput!$M$42,((Inputs!$B$9+((C2482=TRUE)*(F2482-Calc!F19))+B2494+(ArtifactsInput!$M$24-ArtifactsInput!$M$24)*CHOOSE(ArtifactsInput!$N$24+1,10,12,14,16,18,20)+IF(ArtifactsInput!$M$10,CHOOSE(ArtifactsInput!$N$10+1,15,18,21,24,27,30)*(IF(Inputs!$B$38="pvp",MIN(15,15)/15,IF(AND(Inputs!$B$38&lt;&gt;"pvp",Inputs!$B$43&gt;0),MIN(15,Inputs!$B$43)/(Inputs!$B$43),0))),0)))&gt;=100),CHOOSE(ArtifactsInput!$N$42+1,40,48,56,64,72,80),0))))/100)*((1+(((C2480=TRUE)*F2480*5/7)+((C2487=TRUE)*(F2487-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2474)</f>
        <v/>
      </c>
      <c r="L2474">
        <f>K2474*(MIN(Inputs!$B$22+((C2485=TRUE)*(F2485-Calc!F22)),(Inputs!$B$23+0+(IF(ArtifactsInput!$M$15,CHOOSE(ArtifactsInput!$N$15+1,25,30,35,40,45,50)/100*(Inputs!$B$11-Inputs!$B$11),0))))/100+(Inputs!$B$23+0+(IF(ArtifactsInput!$M$15,CHOOSE(ArtifactsInput!$N$15+1,25,30,35,40,45,50)/100*(Inputs!$B$11-Inputs!$B$11),0)))/100)/2</f>
        <v/>
      </c>
      <c r="M2474">
        <f>L2474*(1+(Inputs!$B$10+((C2488=TRUE)*(F2488-Calc!F25))+B2499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74">
        <f>L2474*(1-MIN((Inputs!$B$9+((C2482=TRUE)*(F2482-Calc!F19))+B2494+(ArtifactsInput!$M$24-ArtifactsInput!$M$24)*CHOOSE(ArtifactsInput!$N$24+1,10,12,14,16,18,20)+(IF(AND(Inputs!$B$38&lt;&gt;"pvp",Inputs!$B$43=0),1,IF(IF(Inputs!$B$38="pvp",15,Inputs!$B$43)-(B2501)&lt;=0,1,MAX(0,IF(Inputs!$B$38="pvp",15,Inputs!$B$43)-MAX(5,B2501))/(IF(Inputs!$B$38="pvp",15,Inputs!$B$43)-(B2501))))*IF(AND(ArtifactsInput!$M$42,((Inputs!$B$9+((C2482=TRUE)*(F2482-Calc!F19))+B2494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2474*(MIN((Inputs!$B$9+((C2482=TRUE)*(F2482-Calc!F19))+B2494+(ArtifactsInput!$M$24-ArtifactsInput!$M$24)*CHOOSE(ArtifactsInput!$N$24+1,10,12,14,16,18,20)+(IF(AND(Inputs!$B$38&lt;&gt;"pvp",Inputs!$B$43=0),1,IF(IF(Inputs!$B$38="pvp",15,Inputs!$B$43)-(B2501)&lt;=0,1,MAX(0,IF(Inputs!$B$38="pvp",15,Inputs!$B$43)-MAX(5,B2501))/(IF(Inputs!$B$38="pvp",15,Inputs!$B$43)-(B2501))))*IF(AND(ArtifactsInput!$M$42,((Inputs!$B$9+((C2482=TRUE)*(F2482-Calc!F19))+B2494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74">
        <f>(1-Summary!$B$11)*T2474+Summary!$B$11*V2474</f>
        <v/>
      </c>
      <c r="P2474">
        <f>IF(B2504=0,0,O2474/B2504)</f>
        <v/>
      </c>
      <c r="Q2474">
        <f>IFERROR(1/((IF(Inputs!$B$38="pvp",15,MAX(0.1,Skills!D11-IF(TRUE=TRUE,Inputs!$B$32,0)))*(1-IF(AND(ArtifactsInput!$M$27,Inputs!$B$4="Chapter Hunt"),CHOOSE(ArtifactsInput!$N$27+1,20,24,28,32,36,40),0)/100))/B2505),0)</f>
        <v/>
      </c>
      <c r="R2474">
        <f>IF(AND(Inputs!$B$38&lt;&gt;"pvp",Inputs!$B$43&gt;0),IF(MAX(0,Inputs!$B$43-B2501)&lt;=0,0,(INT(MAX(0,Inputs!$B$43-B2501)/((IF(Inputs!$B$38="pvp",15,MAX(0.1,Skills!D11-IF(TRUE=TRUE,Inputs!$B$32,0)))*(1-IF(AND(ArtifactsInput!$M$27,Inputs!$B$4="Chapter Hunt"),CHOOSE(ArtifactsInput!$N$27+1,20,24,28,32,36,40),0)/100))/B2505))+1)),0)</f>
        <v/>
      </c>
      <c r="S2474">
        <f>IFERROR(O2474/N2474,0)</f>
        <v/>
      </c>
      <c r="T2474">
        <f>IF(C2474,(H2474*N2474*IF(AND(Inputs!$B$38&lt;&gt;"pvp",Inputs!$B$43&gt;0),((Skills!G11*((R2474-1)*IF(Skills!H11&gt;0,INT(Skills!I11/Skills!H11+0.000000001),1)+IF(Skills!H11&gt;0,INT(MIN(Skills!I11,MAX(0,MAX(0,Inputs!$B$43-B2501)-((R2474-1)*((IF(Inputs!$B$38="pvp",15,MAX(0.1,Skills!D11-IF(TRUE=TRUE,Inputs!$B$32,0)))*(1-IF(AND(ArtifactsInput!$M$27,Inputs!$B$4="Chapter Hunt"),CHOOSE(ArtifactsInput!$N$27+1,20,24,28,32,36,40),0)/100))/B2505))))/Skills!H11+0.000000001),1)))/Inputs!$B$43),G2474*Q2474))*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IF(ArtifactsInput!$M$33,FALSE,TRUE),CHOOSE(ArtifactsInput!$N$33+1,10,12,14,16,18,20),0)+(ArtifactsInput!$M$23-ArtifactsInput!$M$23)*CHOOSE(ArtifactsInput!$N$23+1,50,60,70,80,90,100))+(IF(AND(ArtifactsInput!$M$35,Inputs!$B$4&lt;&gt;"Chapter Hunt"),CHOOSE(ArtifactsInput!$N$35+1,15,18,21,24,27,30)*(1-EXP(-(0.2*B2496)*5)),0)+IF(AND(ArtifactsInput!$M$22,Inputs!$B$4&lt;&gt;"Chapter Hunt"),CHOOSE(ArtifactsInput!$N$22+1,10,12,14,16,18,20)*((0*(((0.15*B2496*5))^0/1)+1*(((0.15*B2496*5))^1/1)+2*(((0.15*B2496*5))^2/2)+3*(((0.15*B2496*5))^3/6)+4*(((0.15*B2496*5))^4/24)+5*(((0.15*B2496*5))^5/120))/((((0.15*B2496*5))^0/1)+(((0.15*B2496*5))^1/1)+(((0.15*B2496*5))^2/2)+(((0.15*B2496*5))^3/6)+(((0.15*B2496*5))^4/24)+(((0.15*B2496*5))^5/120))),0))+IF(Inputs!$B$3&gt;=54,9*(C2466=TRUE)*MIN(1,8*(1+Inputs!$B$34/100)*Q2466)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2474*(1-MIN(100,(Inputs!$B$9+((C2482=TRUE)*(F2482-Calc!F19))+B2494+(ArtifactsInput!$M$24-ArtifactsInput!$M$24)*CHOOSE(ArtifactsInput!$N$24+1,10,12,14,16,18,20)+(IF(AND(Inputs!$B$38&lt;&gt;"pvp",Inputs!$B$43=0),1,IF(IF(Inputs!$B$38="pvp",15,Inputs!$B$43)-(B2501)&lt;=0,1,MAX(0,IF(Inputs!$B$38="pvp",15,Inputs!$B$43)-MAX(5,B2501))/(IF(Inputs!$B$38="pvp",15,Inputs!$B$43)-(B2501))))*IF(AND(ArtifactsInput!$M$42,((Inputs!$B$9+((C2482=TRUE)*(F2482-Calc!F19))+B2494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2474*(MIN(100,(Inputs!$B$9+((C2482=TRUE)*(F2482-Calc!F19))+B2494+(ArtifactsInput!$M$24-ArtifactsInput!$M$24)*CHOOSE(ArtifactsInput!$N$24+1,10,12,14,16,18,20)+(IF(AND(Inputs!$B$38&lt;&gt;"pvp",Inputs!$B$43=0),1,IF(IF(Inputs!$B$38="pvp",15,Inputs!$B$43)-(B2501)&lt;=0,1,MAX(0,IF(Inputs!$B$38="pvp",15,Inputs!$B$43)-MAX(5,B2501))/(IF(Inputs!$B$38="pvp",15,Inputs!$B$43)-(B2501))))*IF(AND(ArtifactsInput!$M$42,((Inputs!$B$9+((C2482=TRUE)*(F2482-Calc!F19))+B2494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2474*(1-MIN(100,(Inputs!$B$9+((C2482=TRUE)*(F2482-Calc!F19))+B2494+(ArtifactsInput!$M$24-ArtifactsInput!$M$24)*CHOOSE(ArtifactsInput!$N$24+1,10,12,14,16,18,20)+(IF(AND(Inputs!$B$38&lt;&gt;"pvp",Inputs!$B$43=0),1,IF(IF(Inputs!$B$38="pvp",15,Inputs!$B$43)-(B2501)&lt;=0,1,MAX(0,IF(Inputs!$B$38="pvp",15,Inputs!$B$43)-MAX(5,B2501))/(IF(Inputs!$B$38="pvp",15,Inputs!$B$43)-(B2501))))*IF(AND(ArtifactsInput!$M$42,((Inputs!$B$9+((C2482=TRUE)*(F2482-Calc!F19))+B2494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2474*(MIN(100,(Inputs!$B$9+((C2482=TRUE)*(F2482-Calc!F19))+B2494+(ArtifactsInput!$M$24-ArtifactsInput!$M$24)*CHOOSE(ArtifactsInput!$N$24+1,10,12,14,16,18,20)+(IF(AND(Inputs!$B$38&lt;&gt;"pvp",Inputs!$B$43=0),1,IF(IF(Inputs!$B$38="pvp",15,Inputs!$B$43)-(B2501)&lt;=0,1,MAX(0,IF(Inputs!$B$38="pvp",15,Inputs!$B$43)-MAX(5,B2501))/(IF(Inputs!$B$38="pvp",15,Inputs!$B$43)-(B2501))))*IF(AND(ArtifactsInput!$M$42,((Inputs!$B$9+((C2482=TRUE)*(F2482-Calc!F19))+B2494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474">
        <f>IF(C2474,(H2474*N2474*IF(AND(Inputs!$B$38&lt;&gt;"pvp",Inputs!$B$43&gt;0),((Skills!G11*((R2474-1)*IF(Skills!H11&gt;0,INT(Skills!I11/Skills!H11+0.000000001),1)+IF(Skills!H11&gt;0,INT(MIN(Skills!I11,MAX(0,MAX(0,Inputs!$B$43-B2501)-((R2474-1)*((IF(Inputs!$B$38="pvp",15,MAX(0.1,Skills!D11-IF(TRUE=TRUE,Inputs!$B$32,0)))*(1-IF(AND(ArtifactsInput!$M$27,Inputs!$B$4="Chapter Hunt"),CHOOSE(ArtifactsInput!$N$27+1,20,24,28,32,36,40),0)/100))/B2505))))/Skills!H11+0.000000001),1)))/Inputs!$B$43),G2474*Q2474))*IF(Inputs!$B$38="pvp",1,(1+(Inputs!$B$21+Skills!Q11+(IF(IF(ArtifactsInput!$M$33,FALSE,TRUE),CHOOSE(ArtifactsInput!$N$33+1,30,36,42,48,54,60),0))+(IF(AND(ArtifactsInput!$M$35,Inputs!$B$4&lt;&gt;"Chapter Hunt"),CHOOSE(ArtifactsInput!$N$35+1,15,18,21,24,27,30)*(1-EXP(-(0.2*B2496)*5)),0)+IF(AND(ArtifactsInput!$M$22,Inputs!$B$4&lt;&gt;"Chapter Hunt"),CHOOSE(ArtifactsInput!$N$22+1,10,12,14,16,18,20)*((0*(((0.15*B2496*5))^0/1)+1*(((0.15*B2496*5))^1/1)+2*(((0.15*B2496*5))^2/2)+3*(((0.15*B2496*5))^3/6)+4*(((0.15*B2496*5))^4/24)+5*(((0.15*B2496*5))^5/120))/((((0.15*B2496*5))^0/1)+(((0.15*B2496*5))^1/1)+(((0.15*B2496*5))^2/2)+(((0.15*B2496*5))^3/6)+(((0.15*B2496*5))^4/24)+(((0.15*B2496*5))^5/120))),0))+IF(Inputs!$B$3&gt;=54,9*(C2466=TRUE)*MIN(1,8*(1+Inputs!$B$34/100)*Q2466),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75">
      <c r="A2475">
        <f>Skills!A12</f>
        <v/>
      </c>
      <c r="B2475">
        <f>Skills!B12</f>
        <v/>
      </c>
      <c r="C2475">
        <f>Inputs!$B$3&gt;=110</f>
        <v/>
      </c>
      <c r="D2475">
        <f>IF(Skills!C12=1,60+Inputs!$B$25+Inputs!$B$29,IF(Skills!C12=2,90+Inputs!$B$26+Inputs!$B$29,IF(Skills!C12=3,120+Inputs!$B$27+Inputs!$B$29,MAX(0,(Inputs!$B$3-100)*3)+Inputs!$B$28+Inputs!$B$29)))</f>
        <v/>
      </c>
      <c r="E2475">
        <f>INDEX(FactorTable!$B$2:$Y$301, MATCH(ROUND(MIN(300,MAX(1,D2475)),0), FactorTable!$A$2:$A$301,0), Skills!M12+1)</f>
        <v/>
      </c>
      <c r="F2475">
        <f>IF(Skills!N12=TRUE,(Skills!L12/10)*(E2475/1000),Skills!L12/10)+Skills!O12</f>
        <v/>
      </c>
      <c r="G2475">
        <f>Skills!G12*IF(Skills!H12&gt;0,INT(IF(Inputs!$B$38="pvp",MIN(Skills!I12,15),Skills!I12)/Skills!H12+0.000000001),1)</f>
        <v/>
      </c>
      <c r="H2475">
        <f>1-(1-Skills!J12/100)^Skills!K12</f>
        <v/>
      </c>
      <c r="I2475" t="inlineStr">
        <is>
          <t>1</t>
        </is>
      </c>
      <c r="J2475">
        <f>((Inputs!$B$6*(1+Inputs!$B$7/100))+(((Inputs!$B$12*(1+Inputs!$B$13/100))-(Inputs!$B$12*(1+Inputs!$B$13/100)))+0.25*(Inputs!$B$14-Inputs!$B$14))*(1+Inputs!$B$7/100))*(F2475/100)</f>
        <v/>
      </c>
      <c r="K2475">
        <f>J2475*(1+((Inputs!$B$12*(1+Inputs!$B$13/100))*0.01+Inputs!$B$14*0.0025)/100)*(1+Inputs!$B$15/100)*(1+Inputs!$B$16/100)*(5000/(6000+Inputs!$B$42*(1-(100*(1-(1-(Inputs!$B$19+0)/100)*(1-CHOOSE(ArtifactsInput!$N$40+1,5,6,7,8,9,10)/100)^(ArtifactsInput!$M$40-ArtifactsInput!$M$40)))/100)))*(1+(Inputs!$B$24+((C2489=TRUE)*(F2489-Calc!F26))+B2500)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EIGHT_LEGS_EASTON",Inputs!$B$17+((C2486=TRUE)*(F2486-Calc!F23))+((C2490=TRUE)*(F2490-Calc!F27))+((IF(AND(Inputs!$B$38&lt;&gt;"pvp",Inputs!$B$43=0),1,IF(IF(Inputs!$B$38="pvp",15,Inputs!$B$43)-(B2501)&lt;=0,1,MAX(0,IF(Inputs!$B$38="pvp",15,Inputs!$B$43)-MAX(5,B2501))/(IF(Inputs!$B$38="pvp",15,Inputs!$B$43)-(B2501))))*(IF(AND(ArtifactsInput!$M$42,((Inputs!$B$9+((C2482=TRUE)*(F2482-Calc!F19))+B2494+(ArtifactsInput!$M$24-ArtifactsInput!$M$24)*CHOOSE(ArtifactsInput!$N$24+1,10,12,14,16,18,20)+IF(ArtifactsInput!$M$10,CHOOSE(ArtifactsInput!$N$10+1,15,18,21,24,27,30)*(IF(Inputs!$B$38="pvp",MIN(15,15)/15,IF(AND(Inputs!$B$38&lt;&gt;"pvp",Inputs!$B$43&gt;0),MIN(15,Inputs!$B$43)/(Inputs!$B$43),0))),0)))&gt;=100),MIN(100,((Inputs!$B$9+((C2482=TRUE)*(F2482-Calc!F19))+B2494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2501)&lt;=0,1,MAX(0,IF(Inputs!$B$38="pvp",15,Inputs!$B$43)-MAX(5,B2501))/(IF(Inputs!$B$38="pvp",15,Inputs!$B$43)-(B2501))))*IF(AND(ArtifactsInput!$M$42,((Inputs!$B$9+((C2482=TRUE)*(F2482-Calc!F19))+B2494+(ArtifactsInput!$M$24-ArtifactsInput!$M$24)*CHOOSE(ArtifactsInput!$N$24+1,10,12,14,16,18,20)+IF(ArtifactsInput!$M$10,CHOOSE(ArtifactsInput!$N$10+1,15,18,21,24,27,30)*(IF(Inputs!$B$38="pvp",MIN(15,15)/15,IF(AND(Inputs!$B$38&lt;&gt;"pvp",Inputs!$B$43&gt;0),MIN(15,Inputs!$B$43)/(Inputs!$B$43),0))),0)))&gt;=100),CHOOSE(ArtifactsInput!$N$42+1,40,48,56,64,72,80),0))))/100)*((1+(((C2480=TRUE)*F2480*5/7)+((C2487=TRUE)*(F2487-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2475)</f>
        <v/>
      </c>
      <c r="L2475">
        <f>K2475*(MIN(Inputs!$B$22+((C2485=TRUE)*(F2485-Calc!F22)),(Inputs!$B$23+0+(IF(ArtifactsInput!$M$15,CHOOSE(ArtifactsInput!$N$15+1,25,30,35,40,45,50)/100*(Inputs!$B$11-Inputs!$B$11),0))))/100+(Inputs!$B$23+0+(IF(ArtifactsInput!$M$15,CHOOSE(ArtifactsInput!$N$15+1,25,30,35,40,45,50)/100*(Inputs!$B$11-Inputs!$B$11),0)))/100)/2</f>
        <v/>
      </c>
      <c r="M2475">
        <f>L2475*(1+(Inputs!$B$10+((C2488=TRUE)*(F2488-Calc!F25))+B2499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75">
        <f>L2475*(1-MIN((Inputs!$B$9+((C2482=TRUE)*(F2482-Calc!F19))+B2494+(ArtifactsInput!$M$24-ArtifactsInput!$M$24)*CHOOSE(ArtifactsInput!$N$24+1,10,12,14,16,18,20)+(IF(AND(Inputs!$B$38&lt;&gt;"pvp",Inputs!$B$43=0),1,IF(IF(Inputs!$B$38="pvp",15,Inputs!$B$43)-(B2501)&lt;=0,1,MAX(0,IF(Inputs!$B$38="pvp",15,Inputs!$B$43)-MAX(5,B2501))/(IF(Inputs!$B$38="pvp",15,Inputs!$B$43)-(B2501))))*IF(AND(ArtifactsInput!$M$42,((Inputs!$B$9+((C2482=TRUE)*(F2482-Calc!F19))+B2494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2475*(MIN((Inputs!$B$9+((C2482=TRUE)*(F2482-Calc!F19))+B2494+(ArtifactsInput!$M$24-ArtifactsInput!$M$24)*CHOOSE(ArtifactsInput!$N$24+1,10,12,14,16,18,20)+(IF(AND(Inputs!$B$38&lt;&gt;"pvp",Inputs!$B$43=0),1,IF(IF(Inputs!$B$38="pvp",15,Inputs!$B$43)-(B2501)&lt;=0,1,MAX(0,IF(Inputs!$B$38="pvp",15,Inputs!$B$43)-MAX(5,B2501))/(IF(Inputs!$B$38="pvp",15,Inputs!$B$43)-(B2501))))*IF(AND(ArtifactsInput!$M$42,((Inputs!$B$9+((C2482=TRUE)*(F2482-Calc!F19))+B2494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75">
        <f>(1-Summary!$B$11)*T2475+Summary!$B$11*V2475</f>
        <v/>
      </c>
      <c r="P2475">
        <f>IF(B2504=0,0,O2475/B2504)</f>
        <v/>
      </c>
      <c r="Q2475">
        <f>IFERROR(1/(IF(Inputs!$B$38="pvp",15,MAX(0.1,Skills!D12-IF(TRUE=TRUE,Inputs!$B$32,0)))*(1-IF(AND(ArtifactsInput!$M$27,Inputs!$B$4="Chapter Hunt"),CHOOSE(ArtifactsInput!$N$27+1,20,24,28,32,36,40),0)/100)),0)</f>
        <v/>
      </c>
      <c r="R2475">
        <f>IF(AND(Inputs!$B$38&lt;&gt;"pvp",Inputs!$B$43&gt;0),IF(MAX(0,Inputs!$B$43-B2501)&lt;=0,0,(INT(MAX(0,Inputs!$B$43-B2501)/(IF(Inputs!$B$38="pvp",15,MAX(0.1,Skills!D12-IF(TRUE=TRUE,Inputs!$B$32,0)))*(1-IF(AND(ArtifactsInput!$M$27,Inputs!$B$4="Chapter Hunt"),CHOOSE(ArtifactsInput!$N$27+1,20,24,28,32,36,40),0)/100)))+1)),0)</f>
        <v/>
      </c>
      <c r="S2475">
        <f>IFERROR(O2475/N2475,0)</f>
        <v/>
      </c>
      <c r="T2475">
        <f>IF(C2475,(H2475*N2475*IF(AND(Inputs!$B$38&lt;&gt;"pvp",Inputs!$B$43&gt;0),((Skills!G12*((R2475-1)*IF(Skills!H12&gt;0,INT(Skills!I12/Skills!H12+0.000000001),1)+IF(Skills!H12&gt;0,INT(MIN(Skills!I12,MAX(0,MAX(0,Inputs!$B$43-B2501)-((R2475-1)*(IF(Inputs!$B$38="pvp",15,MAX(0.1,Skills!D12-IF(TRUE=TRUE,Inputs!$B$32,0)))*(1-IF(AND(ArtifactsInput!$M$27,Inputs!$B$4="Chapter Hunt"),CHOOSE(ArtifactsInput!$N$27+1,20,24,28,32,36,40),0)/100)))))/Skills!H12+0.000000001),1)))/Inputs!$B$43),G2475*Q2475))*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IF(ArtifactsInput!$M$33,FALSE,TRUE),CHOOSE(ArtifactsInput!$N$33+1,10,12,14,16,18,20),0)+(ArtifactsInput!$M$23-ArtifactsInput!$M$23)*CHOOSE(ArtifactsInput!$N$23+1,50,60,70,80,90,100))+(IF(AND(ArtifactsInput!$M$35,Inputs!$B$4&lt;&gt;"Chapter Hunt"),CHOOSE(ArtifactsInput!$N$35+1,15,18,21,24,27,30)*(1-EXP(-(0.2*B2496)*5)),0)+IF(AND(ArtifactsInput!$M$22,Inputs!$B$4&lt;&gt;"Chapter Hunt"),CHOOSE(ArtifactsInput!$N$22+1,10,12,14,16,18,20)*((0*(((0.15*B2496*5))^0/1)+1*(((0.15*B2496*5))^1/1)+2*(((0.15*B2496*5))^2/2)+3*(((0.15*B2496*5))^3/6)+4*(((0.15*B2496*5))^4/24)+5*(((0.15*B2496*5))^5/120))/((((0.15*B2496*5))^0/1)+(((0.15*B2496*5))^1/1)+(((0.15*B2496*5))^2/2)+(((0.15*B2496*5))^3/6)+(((0.15*B2496*5))^4/24)+(((0.15*B2496*5))^5/120))),0))+IF(Inputs!$B$3&gt;=54,9*(C2466=TRUE)*MIN(1,8*(1+Inputs!$B$34/100)*Q2466)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2475*(1-MIN(100,(Inputs!$B$9+((C2482=TRUE)*(F2482-Calc!F19))+B2494+(ArtifactsInput!$M$24-ArtifactsInput!$M$24)*CHOOSE(ArtifactsInput!$N$24+1,10,12,14,16,18,20)+(IF(AND(Inputs!$B$38&lt;&gt;"pvp",Inputs!$B$43=0),1,IF(IF(Inputs!$B$38="pvp",15,Inputs!$B$43)-(B2501)&lt;=0,1,MAX(0,IF(Inputs!$B$38="pvp",15,Inputs!$B$43)-MAX(5,B2501))/(IF(Inputs!$B$38="pvp",15,Inputs!$B$43)-(B2501))))*IF(AND(ArtifactsInput!$M$42,((Inputs!$B$9+((C2482=TRUE)*(F2482-Calc!F19))+B2494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2475*(MIN(100,(Inputs!$B$9+((C2482=TRUE)*(F2482-Calc!F19))+B2494+(ArtifactsInput!$M$24-ArtifactsInput!$M$24)*CHOOSE(ArtifactsInput!$N$24+1,10,12,14,16,18,20)+(IF(AND(Inputs!$B$38&lt;&gt;"pvp",Inputs!$B$43=0),1,IF(IF(Inputs!$B$38="pvp",15,Inputs!$B$43)-(B2501)&lt;=0,1,MAX(0,IF(Inputs!$B$38="pvp",15,Inputs!$B$43)-MAX(5,B2501))/(IF(Inputs!$B$38="pvp",15,Inputs!$B$43)-(B2501))))*IF(AND(ArtifactsInput!$M$42,((Inputs!$B$9+((C2482=TRUE)*(F2482-Calc!F19))+B2494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2475*(1-MIN(100,(Inputs!$B$9+((C2482=TRUE)*(F2482-Calc!F19))+B2494+(ArtifactsInput!$M$24-ArtifactsInput!$M$24)*CHOOSE(ArtifactsInput!$N$24+1,10,12,14,16,18,20)+(IF(AND(Inputs!$B$38&lt;&gt;"pvp",Inputs!$B$43=0),1,IF(IF(Inputs!$B$38="pvp",15,Inputs!$B$43)-(B2501)&lt;=0,1,MAX(0,IF(Inputs!$B$38="pvp",15,Inputs!$B$43)-MAX(5,B2501))/(IF(Inputs!$B$38="pvp",15,Inputs!$B$43)-(B2501))))*IF(AND(ArtifactsInput!$M$42,((Inputs!$B$9+((C2482=TRUE)*(F2482-Calc!F19))+B2494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2475*(MIN(100,(Inputs!$B$9+((C2482=TRUE)*(F2482-Calc!F19))+B2494+(ArtifactsInput!$M$24-ArtifactsInput!$M$24)*CHOOSE(ArtifactsInput!$N$24+1,10,12,14,16,18,20)+(IF(AND(Inputs!$B$38&lt;&gt;"pvp",Inputs!$B$43=0),1,IF(IF(Inputs!$B$38="pvp",15,Inputs!$B$43)-(B2501)&lt;=0,1,MAX(0,IF(Inputs!$B$38="pvp",15,Inputs!$B$43)-MAX(5,B2501))/(IF(Inputs!$B$38="pvp",15,Inputs!$B$43)-(B2501))))*IF(AND(ArtifactsInput!$M$42,((Inputs!$B$9+((C2482=TRUE)*(F2482-Calc!F19))+B2494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475">
        <f>IF(C2475,(H2475*N2475*IF(AND(Inputs!$B$38&lt;&gt;"pvp",Inputs!$B$43&gt;0),((Skills!G12*((R2475-1)*IF(Skills!H12&gt;0,INT(Skills!I12/Skills!H12+0.000000001),1)+IF(Skills!H12&gt;0,INT(MIN(Skills!I12,MAX(0,MAX(0,Inputs!$B$43-B2501)-((R2475-1)*(IF(Inputs!$B$38="pvp",15,MAX(0.1,Skills!D12-IF(TRUE=TRUE,Inputs!$B$32,0)))*(1-IF(AND(ArtifactsInput!$M$27,Inputs!$B$4="Chapter Hunt"),CHOOSE(ArtifactsInput!$N$27+1,20,24,28,32,36,40),0)/100)))))/Skills!H12+0.000000001),1)))/Inputs!$B$43),G2475*Q2475))*IF(Inputs!$B$38="pvp",1,(1+(Inputs!$B$21+Skills!Q12+(IF(IF(ArtifactsInput!$M$33,FALSE,TRUE),CHOOSE(ArtifactsInput!$N$33+1,30,36,42,48,54,60),0))+(IF(AND(ArtifactsInput!$M$35,Inputs!$B$4&lt;&gt;"Chapter Hunt"),CHOOSE(ArtifactsInput!$N$35+1,15,18,21,24,27,30)*(1-EXP(-(0.2*B2496)*5)),0)+IF(AND(ArtifactsInput!$M$22,Inputs!$B$4&lt;&gt;"Chapter Hunt"),CHOOSE(ArtifactsInput!$N$22+1,10,12,14,16,18,20)*((0*(((0.15*B2496*5))^0/1)+1*(((0.15*B2496*5))^1/1)+2*(((0.15*B2496*5))^2/2)+3*(((0.15*B2496*5))^3/6)+4*(((0.15*B2496*5))^4/24)+5*(((0.15*B2496*5))^5/120))/((((0.15*B2496*5))^0/1)+(((0.15*B2496*5))^1/1)+(((0.15*B2496*5))^2/2)+(((0.15*B2496*5))^3/6)+(((0.15*B2496*5))^4/24)+(((0.15*B2496*5))^5/120))),0))+IF(Inputs!$B$3&gt;=54,9*(C2466=TRUE)*MIN(1,8*(1+Inputs!$B$34/100)*Q2466),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76">
      <c r="A2476">
        <f>Skills!A13</f>
        <v/>
      </c>
      <c r="B2476">
        <f>Skills!B13</f>
        <v/>
      </c>
      <c r="C2476">
        <f>Inputs!$B$3&gt;=110</f>
        <v/>
      </c>
      <c r="D2476">
        <f>IF(Skills!C13=1,60+Inputs!$B$25+Inputs!$B$29,IF(Skills!C13=2,90+Inputs!$B$26+Inputs!$B$29,IF(Skills!C13=3,120+Inputs!$B$27+Inputs!$B$29,MAX(0,(Inputs!$B$3-100)*3)+Inputs!$B$28+Inputs!$B$29)))</f>
        <v/>
      </c>
      <c r="E2476">
        <f>INDEX(FactorTable!$B$2:$Y$301, MATCH(ROUND(MIN(300,MAX(1,D2476)),0), FactorTable!$A$2:$A$301,0), Skills!M13+1)</f>
        <v/>
      </c>
      <c r="F2476">
        <f>IF(Skills!N13=TRUE,(Skills!L13/10)*(E2476/1000),Skills!L13/10)+Skills!O13</f>
        <v/>
      </c>
      <c r="G2476">
        <f>Skills!G13*IF(Skills!H13&gt;0,INT(IF(Inputs!$B$38="pvp",MIN(Skills!I13,15),Skills!I13)/Skills!H13+0.000000001),1)</f>
        <v/>
      </c>
      <c r="H2476">
        <f>1-(1-Skills!J13/100)^Skills!K13</f>
        <v/>
      </c>
      <c r="I2476" t="inlineStr">
        <is>
          <t>1</t>
        </is>
      </c>
      <c r="J2476">
        <f>((Inputs!$B$6*(1+Inputs!$B$7/100))+(((Inputs!$B$12*(1+Inputs!$B$13/100))-(Inputs!$B$12*(1+Inputs!$B$13/100)))+0.25*(Inputs!$B$14-Inputs!$B$14))*(1+Inputs!$B$7/100))*(F2476/100)</f>
        <v/>
      </c>
      <c r="K2476">
        <f>J2476*(1+((Inputs!$B$12*(1+Inputs!$B$13/100))*0.01+Inputs!$B$14*0.0025)/100)*(1+Inputs!$B$15/100)*(1+Inputs!$B$16/100)*(5000/(6000+Inputs!$B$42*(1-(100*(1-(1-(Inputs!$B$19+0)/100)*(1-CHOOSE(ArtifactsInput!$N$40+1,5,6,7,8,9,10)/100)^(ArtifactsInput!$M$40-ArtifactsInput!$M$40)))/100)))*(1+(Inputs!$B$24+((C2489=TRUE)*(F2489-Calc!F26))+B2500)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EIGHT_LEGS_EASTON",Inputs!$B$17+((C2486=TRUE)*(F2486-Calc!F23))+((C2490=TRUE)*(F2490-Calc!F27))+((IF(AND(Inputs!$B$38&lt;&gt;"pvp",Inputs!$B$43=0),1,IF(IF(Inputs!$B$38="pvp",15,Inputs!$B$43)-(B2501)&lt;=0,1,MAX(0,IF(Inputs!$B$38="pvp",15,Inputs!$B$43)-MAX(5,B2501))/(IF(Inputs!$B$38="pvp",15,Inputs!$B$43)-(B2501))))*(IF(AND(ArtifactsInput!$M$42,((Inputs!$B$9+((C2482=TRUE)*(F2482-Calc!F19))+B2494+(ArtifactsInput!$M$24-ArtifactsInput!$M$24)*CHOOSE(ArtifactsInput!$N$24+1,10,12,14,16,18,20)+IF(ArtifactsInput!$M$10,CHOOSE(ArtifactsInput!$N$10+1,15,18,21,24,27,30)*(IF(Inputs!$B$38="pvp",MIN(15,15)/15,IF(AND(Inputs!$B$38&lt;&gt;"pvp",Inputs!$B$43&gt;0),MIN(15,Inputs!$B$43)/(Inputs!$B$43),0))),0)))&gt;=100),MIN(100,((Inputs!$B$9+((C2482=TRUE)*(F2482-Calc!F19))+B2494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2501)&lt;=0,1,MAX(0,IF(Inputs!$B$38="pvp",15,Inputs!$B$43)-MAX(5,B2501))/(IF(Inputs!$B$38="pvp",15,Inputs!$B$43)-(B2501))))*IF(AND(ArtifactsInput!$M$42,((Inputs!$B$9+((C2482=TRUE)*(F2482-Calc!F19))+B2494+(ArtifactsInput!$M$24-ArtifactsInput!$M$24)*CHOOSE(ArtifactsInput!$N$24+1,10,12,14,16,18,20)+IF(ArtifactsInput!$M$10,CHOOSE(ArtifactsInput!$N$10+1,15,18,21,24,27,30)*(IF(Inputs!$B$38="pvp",MIN(15,15)/15,IF(AND(Inputs!$B$38&lt;&gt;"pvp",Inputs!$B$43&gt;0),MIN(15,Inputs!$B$43)/(Inputs!$B$43),0))),0)))&gt;=100),CHOOSE(ArtifactsInput!$N$42+1,40,48,56,64,72,80),0))))/100)*((1+(((C2480=TRUE)*F2480*5/7)+((C2487=TRUE)*(F2487-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2476)</f>
        <v/>
      </c>
      <c r="L2476">
        <f>K2476*(MIN(Inputs!$B$22+((C2485=TRUE)*(F2485-Calc!F22)),(Inputs!$B$23+0+(IF(ArtifactsInput!$M$15,CHOOSE(ArtifactsInput!$N$15+1,25,30,35,40,45,50)/100*(Inputs!$B$11-Inputs!$B$11),0))))/100+(Inputs!$B$23+0+(IF(ArtifactsInput!$M$15,CHOOSE(ArtifactsInput!$N$15+1,25,30,35,40,45,50)/100*(Inputs!$B$11-Inputs!$B$11),0)))/100)/2</f>
        <v/>
      </c>
      <c r="M2476">
        <f>L2476*(1+(Inputs!$B$10+((C2488=TRUE)*(F2488-Calc!F25))+B2499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76">
        <f>L2476*(1-MIN((Inputs!$B$9+((C2482=TRUE)*(F2482-Calc!F19))+B2494+(ArtifactsInput!$M$24-ArtifactsInput!$M$24)*CHOOSE(ArtifactsInput!$N$24+1,10,12,14,16,18,20)+(IF(AND(Inputs!$B$38&lt;&gt;"pvp",Inputs!$B$43=0),1,IF(IF(Inputs!$B$38="pvp",15,Inputs!$B$43)-(B2501)&lt;=0,1,MAX(0,IF(Inputs!$B$38="pvp",15,Inputs!$B$43)-MAX(5,B2501))/(IF(Inputs!$B$38="pvp",15,Inputs!$B$43)-(B2501))))*IF(AND(ArtifactsInput!$M$42,((Inputs!$B$9+((C2482=TRUE)*(F2482-Calc!F19))+B2494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2476*(MIN((Inputs!$B$9+((C2482=TRUE)*(F2482-Calc!F19))+B2494+(ArtifactsInput!$M$24-ArtifactsInput!$M$24)*CHOOSE(ArtifactsInput!$N$24+1,10,12,14,16,18,20)+(IF(AND(Inputs!$B$38&lt;&gt;"pvp",Inputs!$B$43=0),1,IF(IF(Inputs!$B$38="pvp",15,Inputs!$B$43)-(B2501)&lt;=0,1,MAX(0,IF(Inputs!$B$38="pvp",15,Inputs!$B$43)-MAX(5,B2501))/(IF(Inputs!$B$38="pvp",15,Inputs!$B$43)-(B2501))))*IF(AND(ArtifactsInput!$M$42,((Inputs!$B$9+((C2482=TRUE)*(F2482-Calc!F19))+B2494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76">
        <f>(1-Summary!$B$11)*T2476+Summary!$B$11*V2476</f>
        <v/>
      </c>
      <c r="P2476">
        <f>IF(B2504=0,0,O2476/B2504)</f>
        <v/>
      </c>
      <c r="Q2476">
        <f>IFERROR(1/(IF(Inputs!$B$38="pvp",15,MAX(0.1,Skills!D13-IF(TRUE=TRUE,Inputs!$B$32,0)))*(1-IF(AND(ArtifactsInput!$M$27,Inputs!$B$4="Chapter Hunt"),CHOOSE(ArtifactsInput!$N$27+1,20,24,28,32,36,40),0)/100)),0)</f>
        <v/>
      </c>
      <c r="R2476">
        <f>IF(AND(Inputs!$B$38&lt;&gt;"pvp",Inputs!$B$43&gt;0),IF(MAX(0,Inputs!$B$43-B2501)&lt;=0,0,(INT(MAX(0,Inputs!$B$43-B2501)/(IF(Inputs!$B$38="pvp",15,MAX(0.1,Skills!D13-IF(TRUE=TRUE,Inputs!$B$32,0)))*(1-IF(AND(ArtifactsInput!$M$27,Inputs!$B$4="Chapter Hunt"),CHOOSE(ArtifactsInput!$N$27+1,20,24,28,32,36,40),0)/100)))+1)),0)</f>
        <v/>
      </c>
      <c r="S2476">
        <f>IFERROR(O2476/N2476,0)</f>
        <v/>
      </c>
      <c r="T2476">
        <f>IF(C2476,(H2476*N2476*IF(AND(Inputs!$B$38&lt;&gt;"pvp",Inputs!$B$43&gt;0),((Skills!G13*((R2476-1)*IF(Skills!H13&gt;0,INT(Skills!I13/Skills!H13+0.000000001),1)+IF(Skills!H13&gt;0,INT(MIN(Skills!I13,MAX(0,MAX(0,Inputs!$B$43-B2501)-((R2476-1)*(IF(Inputs!$B$38="pvp",15,MAX(0.1,Skills!D13-IF(TRUE=TRUE,Inputs!$B$32,0)))*(1-IF(AND(ArtifactsInput!$M$27,Inputs!$B$4="Chapter Hunt"),CHOOSE(ArtifactsInput!$N$27+1,20,24,28,32,36,40),0)/100)))))/Skills!H13+0.000000001),1)))/Inputs!$B$43),G2476*Q2476))*IF(Inputs!$B$38="pvp",1,1+(Inputs!$B$20+0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IF(ArtifactsInput!$M$33,FALSE,TRUE),CHOOSE(ArtifactsInput!$N$33+1,10,12,14,16,18,20),0)+(ArtifactsInput!$M$23-ArtifactsInput!$M$23)*CHOOSE(ArtifactsInput!$N$23+1,50,60,70,80,90,100))+(IF(AND(ArtifactsInput!$M$35,Inputs!$B$4&lt;&gt;"Chapter Hunt"),CHOOSE(ArtifactsInput!$N$35+1,15,18,21,24,27,30)*(1-EXP(-(0.2*B2496)*5)),0)+IF(AND(ArtifactsInput!$M$22,Inputs!$B$4&lt;&gt;"Chapter Hunt"),CHOOSE(ArtifactsInput!$N$22+1,10,12,14,16,18,20)*((0*(((0.15*B2496*5))^0/1)+1*(((0.15*B2496*5))^1/1)+2*(((0.15*B2496*5))^2/2)+3*(((0.15*B2496*5))^3/6)+4*(((0.15*B2496*5))^4/24)+5*(((0.15*B2496*5))^5/120))/((((0.15*B2496*5))^0/1)+(((0.15*B2496*5))^1/1)+(((0.15*B2496*5))^2/2)+(((0.15*B2496*5))^3/6)+(((0.15*B2496*5))^4/24)+(((0.15*B2496*5))^5/120))),0))+IF(Inputs!$B$3&gt;=54,9*(C2466=TRUE)*MIN(1,8*(1+Inputs!$B$34/100)*Q2466)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2476*(1-MIN(100,(Inputs!$B$9+((C2482=TRUE)*(F2482-Calc!F19))+B2494+(ArtifactsInput!$M$24-ArtifactsInput!$M$24)*CHOOSE(ArtifactsInput!$N$24+1,10,12,14,16,18,20)+(IF(AND(Inputs!$B$38&lt;&gt;"pvp",Inputs!$B$43=0),1,IF(IF(Inputs!$B$38="pvp",15,Inputs!$B$43)-(B2501)&lt;=0,1,MAX(0,IF(Inputs!$B$38="pvp",15,Inputs!$B$43)-MAX(5,B2501))/(IF(Inputs!$B$38="pvp",15,Inputs!$B$43)-(B2501))))*IF(AND(ArtifactsInput!$M$42,((Inputs!$B$9+((C2482=TRUE)*(F2482-Calc!F19))+B2494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2476*(MIN(100,(Inputs!$B$9+((C2482=TRUE)*(F2482-Calc!F19))+B2494+(ArtifactsInput!$M$24-ArtifactsInput!$M$24)*CHOOSE(ArtifactsInput!$N$24+1,10,12,14,16,18,20)+(IF(AND(Inputs!$B$38&lt;&gt;"pvp",Inputs!$B$43=0),1,IF(IF(Inputs!$B$38="pvp",15,Inputs!$B$43)-(B2501)&lt;=0,1,MAX(0,IF(Inputs!$B$38="pvp",15,Inputs!$B$43)-MAX(5,B2501))/(IF(Inputs!$B$38="pvp",15,Inputs!$B$43)-(B2501))))*IF(AND(ArtifactsInput!$M$42,((Inputs!$B$9+((C2482=TRUE)*(F2482-Calc!F19))+B2494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2476*(1-MIN(100,(Inputs!$B$9+((C2482=TRUE)*(F2482-Calc!F19))+B2494+(ArtifactsInput!$M$24-ArtifactsInput!$M$24)*CHOOSE(ArtifactsInput!$N$24+1,10,12,14,16,18,20)+(IF(AND(Inputs!$B$38&lt;&gt;"pvp",Inputs!$B$43=0),1,IF(IF(Inputs!$B$38="pvp",15,Inputs!$B$43)-(B2501)&lt;=0,1,MAX(0,IF(Inputs!$B$38="pvp",15,Inputs!$B$43)-MAX(5,B2501))/(IF(Inputs!$B$38="pvp",15,Inputs!$B$43)-(B2501))))*IF(AND(ArtifactsInput!$M$42,((Inputs!$B$9+((C2482=TRUE)*(F2482-Calc!F19))+B2494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2476*(MIN(100,(Inputs!$B$9+((C2482=TRUE)*(F2482-Calc!F19))+B2494+(ArtifactsInput!$M$24-ArtifactsInput!$M$24)*CHOOSE(ArtifactsInput!$N$24+1,10,12,14,16,18,20)+(IF(AND(Inputs!$B$38&lt;&gt;"pvp",Inputs!$B$43=0),1,IF(IF(Inputs!$B$38="pvp",15,Inputs!$B$43)-(B2501)&lt;=0,1,MAX(0,IF(Inputs!$B$38="pvp",15,Inputs!$B$43)-MAX(5,B2501))/(IF(Inputs!$B$38="pvp",15,Inputs!$B$43)-(B2501))))*IF(AND(ArtifactsInput!$M$42,((Inputs!$B$9+((C2482=TRUE)*(F2482-Calc!F19))+B2494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476">
        <f>IF(C2476,(H2476*N2476*IF(AND(Inputs!$B$38&lt;&gt;"pvp",Inputs!$B$43&gt;0),((Skills!G13*((R2476-1)*IF(Skills!H13&gt;0,INT(Skills!I13/Skills!H13+0.000000001),1)+IF(Skills!H13&gt;0,INT(MIN(Skills!I13,MAX(0,MAX(0,Inputs!$B$43-B2501)-((R2476-1)*(IF(Inputs!$B$38="pvp",15,MAX(0.1,Skills!D13-IF(TRUE=TRUE,Inputs!$B$32,0)))*(1-IF(AND(ArtifactsInput!$M$27,Inputs!$B$4="Chapter Hunt"),CHOOSE(ArtifactsInput!$N$27+1,20,24,28,32,36,40),0)/100)))))/Skills!H13+0.000000001),1)))/Inputs!$B$43),G2476*Q2476))*IF(Inputs!$B$38="pvp",1,(1+(Inputs!$B$21+Skills!Q13+(IF(IF(ArtifactsInput!$M$33,FALSE,TRUE),CHOOSE(ArtifactsInput!$N$33+1,30,36,42,48,54,60),0))+(IF(AND(ArtifactsInput!$M$35,Inputs!$B$4&lt;&gt;"Chapter Hunt"),CHOOSE(ArtifactsInput!$N$35+1,15,18,21,24,27,30)*(1-EXP(-(0.2*B2496)*5)),0)+IF(AND(ArtifactsInput!$M$22,Inputs!$B$4&lt;&gt;"Chapter Hunt"),CHOOSE(ArtifactsInput!$N$22+1,10,12,14,16,18,20)*((0*(((0.15*B2496*5))^0/1)+1*(((0.15*B2496*5))^1/1)+2*(((0.15*B2496*5))^2/2)+3*(((0.15*B2496*5))^3/6)+4*(((0.15*B2496*5))^4/24)+5*(((0.15*B2496*5))^5/120))/((((0.15*B2496*5))^0/1)+(((0.15*B2496*5))^1/1)+(((0.15*B2496*5))^2/2)+(((0.15*B2496*5))^3/6)+(((0.15*B2496*5))^4/24)+(((0.15*B2496*5))^5/120))),0))+IF(Inputs!$B$3&gt;=54,9*(C2466=TRUE)*MIN(1,8*(1+Inputs!$B$34/100)*Q2466),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77">
      <c r="A2477">
        <f>Skills!A14</f>
        <v/>
      </c>
      <c r="B2477">
        <f>Skills!B14</f>
        <v/>
      </c>
      <c r="C2477">
        <f>Inputs!$B$3&gt;=120</f>
        <v/>
      </c>
      <c r="D2477">
        <f>IF(Skills!C14=1,60+Inputs!$B$25+Inputs!$B$29,IF(Skills!C14=2,90+Inputs!$B$26+Inputs!$B$29,IF(Skills!C14=3,120+Inputs!$B$27+Inputs!$B$29,MAX(0,(Inputs!$B$3-100)*3)+Inputs!$B$28+Inputs!$B$29)))</f>
        <v/>
      </c>
      <c r="E2477">
        <f>INDEX(FactorTable!$B$2:$Y$301, MATCH(ROUND(MIN(300,MAX(1,D2477)),0), FactorTable!$A$2:$A$301,0), Skills!M14+1)</f>
        <v/>
      </c>
      <c r="F2477">
        <f>IF(Skills!N14=TRUE,(Skills!L14/10)*(E2477/1000),Skills!L14/10)+Skills!O14</f>
        <v/>
      </c>
      <c r="G2477">
        <f>Skills!G14*IF(Skills!H14&gt;0,INT(IF(Inputs!$B$38="pvp",MIN(Skills!I14,15),Skills!I14)/Skills!H14+0.000000001),1)</f>
        <v/>
      </c>
      <c r="H2477">
        <f>1-(1-Skills!J14/100)^Skills!K14</f>
        <v/>
      </c>
      <c r="I2477" t="inlineStr">
        <is>
          <t>1</t>
        </is>
      </c>
      <c r="J2477">
        <f>((Inputs!$B$6*(1+Inputs!$B$7/100))+(((Inputs!$B$12*(1+Inputs!$B$13/100))-(Inputs!$B$12*(1+Inputs!$B$13/100)))+0.25*(Inputs!$B$14-Inputs!$B$14))*(1+Inputs!$B$7/100))*(F2477/100)</f>
        <v/>
      </c>
      <c r="K2477">
        <f>J2477*(1+((Inputs!$B$12*(1+Inputs!$B$13/100))*0.01+Inputs!$B$14*0.0025)/100)*(1+Inputs!$B$15/100)*(1+Inputs!$B$16/100)*(5000/(6000+Inputs!$B$42*(1-(100*(1-(1-(Inputs!$B$19+0)/100)*(1-CHOOSE(ArtifactsInput!$N$40+1,5,6,7,8,9,10)/100)^(ArtifactsInput!$M$40-ArtifactsInput!$M$40)))/100)))*(1+(Inputs!$B$24+((C2489=TRUE)*(F2489-Calc!F26))+B2500)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EIGHT_LEGS_EASTON",Inputs!$B$17+((C2486=TRUE)*(F2486-Calc!F23))+((C2490=TRUE)*(F2490-Calc!F27))+((IF(AND(Inputs!$B$38&lt;&gt;"pvp",Inputs!$B$43=0),1,IF(IF(Inputs!$B$38="pvp",15,Inputs!$B$43)-(B2501)&lt;=0,1,MAX(0,IF(Inputs!$B$38="pvp",15,Inputs!$B$43)-MAX(5,B2501))/(IF(Inputs!$B$38="pvp",15,Inputs!$B$43)-(B2501))))*(IF(AND(ArtifactsInput!$M$42,((Inputs!$B$9+((C2482=TRUE)*(F2482-Calc!F19))+B2494+(ArtifactsInput!$M$24-ArtifactsInput!$M$24)*CHOOSE(ArtifactsInput!$N$24+1,10,12,14,16,18,20)+IF(ArtifactsInput!$M$10,CHOOSE(ArtifactsInput!$N$10+1,15,18,21,24,27,30)*(IF(Inputs!$B$38="pvp",MIN(15,15)/15,IF(AND(Inputs!$B$38&lt;&gt;"pvp",Inputs!$B$43&gt;0),MIN(15,Inputs!$B$43)/(Inputs!$B$43),0))),0)))&gt;=100),MIN(100,((Inputs!$B$9+((C2482=TRUE)*(F2482-Calc!F19))+B2494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2501)&lt;=0,1,MAX(0,IF(Inputs!$B$38="pvp",15,Inputs!$B$43)-MAX(5,B2501))/(IF(Inputs!$B$38="pvp",15,Inputs!$B$43)-(B2501))))*IF(AND(ArtifactsInput!$M$42,((Inputs!$B$9+((C2482=TRUE)*(F2482-Calc!F19))+B2494+(ArtifactsInput!$M$24-ArtifactsInput!$M$24)*CHOOSE(ArtifactsInput!$N$24+1,10,12,14,16,18,20)+IF(ArtifactsInput!$M$10,CHOOSE(ArtifactsInput!$N$10+1,15,18,21,24,27,30)*(IF(Inputs!$B$38="pvp",MIN(15,15)/15,IF(AND(Inputs!$B$38&lt;&gt;"pvp",Inputs!$B$43&gt;0),MIN(15,Inputs!$B$43)/(Inputs!$B$43),0))),0)))&gt;=100),CHOOSE(ArtifactsInput!$N$42+1,40,48,56,64,72,80),0))))/100)*((1+(((C2480=TRUE)*F2480*5/7)+((C2487=TRUE)*(F2487-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2477)</f>
        <v/>
      </c>
      <c r="L2477">
        <f>K2477*(MIN(Inputs!$B$22+((C2485=TRUE)*(F2485-Calc!F22)),(Inputs!$B$23+0+(IF(ArtifactsInput!$M$15,CHOOSE(ArtifactsInput!$N$15+1,25,30,35,40,45,50)/100*(Inputs!$B$11-Inputs!$B$11),0))))/100+(Inputs!$B$23+0+(IF(ArtifactsInput!$M$15,CHOOSE(ArtifactsInput!$N$15+1,25,30,35,40,45,50)/100*(Inputs!$B$11-Inputs!$B$11),0)))/100)/2</f>
        <v/>
      </c>
      <c r="M2477">
        <f>L2477*(1+(Inputs!$B$10+((C2488=TRUE)*(F2488-Calc!F25))+B2499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77">
        <f>L2477*(1-MIN((Inputs!$B$9+((C2482=TRUE)*(F2482-Calc!F19))+B2494+(ArtifactsInput!$M$24-ArtifactsInput!$M$24)*CHOOSE(ArtifactsInput!$N$24+1,10,12,14,16,18,20)+(IF(AND(Inputs!$B$38&lt;&gt;"pvp",Inputs!$B$43=0),1,IF(IF(Inputs!$B$38="pvp",15,Inputs!$B$43)-(B2501)&lt;=0,1,MAX(0,IF(Inputs!$B$38="pvp",15,Inputs!$B$43)-MAX(5,B2501))/(IF(Inputs!$B$38="pvp",15,Inputs!$B$43)-(B2501))))*IF(AND(ArtifactsInput!$M$42,((Inputs!$B$9+((C2482=TRUE)*(F2482-Calc!F19))+B2494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2477*(MIN((Inputs!$B$9+((C2482=TRUE)*(F2482-Calc!F19))+B2494+(ArtifactsInput!$M$24-ArtifactsInput!$M$24)*CHOOSE(ArtifactsInput!$N$24+1,10,12,14,16,18,20)+(IF(AND(Inputs!$B$38&lt;&gt;"pvp",Inputs!$B$43=0),1,IF(IF(Inputs!$B$38="pvp",15,Inputs!$B$43)-(B2501)&lt;=0,1,MAX(0,IF(Inputs!$B$38="pvp",15,Inputs!$B$43)-MAX(5,B2501))/(IF(Inputs!$B$38="pvp",15,Inputs!$B$43)-(B2501))))*IF(AND(ArtifactsInput!$M$42,((Inputs!$B$9+((C2482=TRUE)*(F2482-Calc!F19))+B2494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77">
        <f>(1-Summary!$B$11)*T2477+Summary!$B$11*V2477</f>
        <v/>
      </c>
      <c r="P2477">
        <f>IF(B2504=0,0,O2477/B2504)</f>
        <v/>
      </c>
      <c r="Q2477" t="n">
        <v>0</v>
      </c>
      <c r="R2477" t="n">
        <v>0</v>
      </c>
      <c r="S2477">
        <f>IFERROR(O2477/N2477,0)</f>
        <v/>
      </c>
      <c r="T2477">
        <f>IF(C2477,((H2477*(B2498+IF(AND(Inputs!$B$38&lt;&gt;"pvp",Inputs!$B$43&gt;0),((Skills!G8*((R2471-1)*IF(Skills!H8&gt;0,INT(Skills!I8/Skills!H8+0.000000001),1)+IF(Skills!H8&gt;0,INT(MIN(Skills!I8,MAX(0,MAX(0,Inputs!$B$43-B2501)-((R2471-1)*((IF(Inputs!$B$38="pvp",15,MAX(0.1,Skills!D8-IF(TRUE=TRUE,Inputs!$B$32,0)))*(1-IF(AND(ArtifactsInput!$M$27,Inputs!$B$4="Chapter Hunt"),CHOOSE(ArtifactsInput!$N$27+1,20,24,28,32,36,40),0)/100))/B2505))))/Skills!H8+0.000000001),1)))/Inputs!$B$43),G2471*Q2471)+IF(AND(Inputs!$B$38&lt;&gt;"pvp",Inputs!$B$43&gt;0),((Skills!G11*((R2474-1)*IF(Skills!H11&gt;0,INT(Skills!I11/Skills!H11+0.000000001),1)+IF(Skills!H11&gt;0,INT(MIN(Skills!I11,MAX(0,MAX(0,Inputs!$B$43-B2501)-((R2474-1)*((IF(Inputs!$B$38="pvp",15,MAX(0.1,Skills!D11-IF(TRUE=TRUE,Inputs!$B$32,0)))*(1-IF(AND(ArtifactsInput!$M$27,Inputs!$B$4="Chapter Hunt"),CHOOSE(ArtifactsInput!$N$27+1,20,24,28,32,36,40),0)/100))/B2505))))/Skills!H11+0.000000001),1)))/Inputs!$B$43),G2474*Q2474)))/(1+Skills!H14*H2477*(B2498+IF(AND(Inputs!$B$38&lt;&gt;"pvp",Inputs!$B$43&gt;0),((Skills!G8*((R2471-1)*IF(Skills!H8&gt;0,INT(Skills!I8/Skills!H8+0.000000001),1)+IF(Skills!H8&gt;0,INT(MIN(Skills!I8,MAX(0,MAX(0,Inputs!$B$43-B2501)-((R2471-1)*((IF(Inputs!$B$38="pvp",15,MAX(0.1,Skills!D8-IF(TRUE=TRUE,Inputs!$B$32,0)))*(1-IF(AND(ArtifactsInput!$M$27,Inputs!$B$4="Chapter Hunt"),CHOOSE(ArtifactsInput!$N$27+1,20,24,28,32,36,40),0)/100))/B2505))))/Skills!H8+0.000000001),1)))/Inputs!$B$43),G2471*Q2471)+IF(AND(Inputs!$B$38&lt;&gt;"pvp",Inputs!$B$43&gt;0),((Skills!G11*((R2474-1)*IF(Skills!H11&gt;0,INT(Skills!I11/Skills!H11+0.000000001),1)+IF(Skills!H11&gt;0,INT(MIN(Skills!I11,MAX(0,MAX(0,Inputs!$B$43-B2501)-((R2474-1)*((IF(Inputs!$B$38="pvp",15,MAX(0.1,Skills!D11-IF(TRUE=TRUE,Inputs!$B$32,0)))*(1-IF(AND(ArtifactsInput!$M$27,Inputs!$B$4="Chapter Hunt"),CHOOSE(ArtifactsInput!$N$27+1,20,24,28,32,36,40),0)/100))/B2505))))/Skills!H11+0.000000001),1)))/Inputs!$B$43),G2474*Q2474)))*N2477)*IF(Inputs!$B$38="pvp",1,1+(Inputs!$B$20+0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IF(ArtifactsInput!$M$33,FALSE,TRUE),CHOOSE(ArtifactsInput!$N$33+1,10,12,14,16,18,20),0)+(ArtifactsInput!$M$23-ArtifactsInput!$M$23)*CHOOSE(ArtifactsInput!$N$23+1,50,60,70,80,90,100))+(IF(AND(ArtifactsInput!$M$35,Inputs!$B$4&lt;&gt;"Chapter Hunt"),CHOOSE(ArtifactsInput!$N$35+1,15,18,21,24,27,30)*(1-EXP(-(0.2*B2496)*5)),0)+IF(AND(ArtifactsInput!$M$22,Inputs!$B$4&lt;&gt;"Chapter Hunt"),CHOOSE(ArtifactsInput!$N$22+1,10,12,14,16,18,20)*((0*(((0.15*B2496*5))^0/1)+1*(((0.15*B2496*5))^1/1)+2*(((0.15*B2496*5))^2/2)+3*(((0.15*B2496*5))^3/6)+4*(((0.15*B2496*5))^4/24)+5*(((0.15*B2496*5))^5/120))/((((0.15*B2496*5))^0/1)+(((0.15*B2496*5))^1/1)+(((0.15*B2496*5))^2/2)+(((0.15*B2496*5))^3/6)+(((0.15*B2496*5))^4/24)+(((0.15*B2496*5))^5/120))),0))+IF(Inputs!$B$3&gt;=54,9*(C2466=TRUE)*MIN(1,8*(1+Inputs!$B$34/100)*Q2466)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2477*(1-MIN(100,(Inputs!$B$9+((C2482=TRUE)*(F2482-Calc!F19))+B2494+(ArtifactsInput!$M$24-ArtifactsInput!$M$24)*CHOOSE(ArtifactsInput!$N$24+1,10,12,14,16,18,20)+(IF(AND(Inputs!$B$38&lt;&gt;"pvp",Inputs!$B$43=0),1,IF(IF(Inputs!$B$38="pvp",15,Inputs!$B$43)-(B2501)&lt;=0,1,MAX(0,IF(Inputs!$B$38="pvp",15,Inputs!$B$43)-MAX(5,B2501))/(IF(Inputs!$B$38="pvp",15,Inputs!$B$43)-(B2501))))*IF(AND(ArtifactsInput!$M$42,((Inputs!$B$9+((C2482=TRUE)*(F2482-Calc!F19))+B2494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2477*(MIN(100,(Inputs!$B$9+((C2482=TRUE)*(F2482-Calc!F19))+B2494+(ArtifactsInput!$M$24-ArtifactsInput!$M$24)*CHOOSE(ArtifactsInput!$N$24+1,10,12,14,16,18,20)+(IF(AND(Inputs!$B$38&lt;&gt;"pvp",Inputs!$B$43=0),1,IF(IF(Inputs!$B$38="pvp",15,Inputs!$B$43)-(B2501)&lt;=0,1,MAX(0,IF(Inputs!$B$38="pvp",15,Inputs!$B$43)-MAX(5,B2501))/(IF(Inputs!$B$38="pvp",15,Inputs!$B$43)-(B2501))))*IF(AND(ArtifactsInput!$M$42,((Inputs!$B$9+((C2482=TRUE)*(F2482-Calc!F19))+B2494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2477*(1-MIN(100,(Inputs!$B$9+((C2482=TRUE)*(F2482-Calc!F19))+B2494+(ArtifactsInput!$M$24-ArtifactsInput!$M$24)*CHOOSE(ArtifactsInput!$N$24+1,10,12,14,16,18,20)+(IF(AND(Inputs!$B$38&lt;&gt;"pvp",Inputs!$B$43=0),1,IF(IF(Inputs!$B$38="pvp",15,Inputs!$B$43)-(B2501)&lt;=0,1,MAX(0,IF(Inputs!$B$38="pvp",15,Inputs!$B$43)-MAX(5,B2501))/(IF(Inputs!$B$38="pvp",15,Inputs!$B$43)-(B2501))))*IF(AND(ArtifactsInput!$M$42,((Inputs!$B$9+((C2482=TRUE)*(F2482-Calc!F19))+B2494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2477*(MIN(100,(Inputs!$B$9+((C2482=TRUE)*(F2482-Calc!F19))+B2494+(ArtifactsInput!$M$24-ArtifactsInput!$M$24)*CHOOSE(ArtifactsInput!$N$24+1,10,12,14,16,18,20)+(IF(AND(Inputs!$B$38&lt;&gt;"pvp",Inputs!$B$43=0),1,IF(IF(Inputs!$B$38="pvp",15,Inputs!$B$43)-(B2501)&lt;=0,1,MAX(0,IF(Inputs!$B$38="pvp",15,Inputs!$B$43)-MAX(5,B2501))/(IF(Inputs!$B$38="pvp",15,Inputs!$B$43)-(B2501))))*IF(AND(ArtifactsInput!$M$42,((Inputs!$B$9+((C2482=TRUE)*(F2482-Calc!F19))+B2494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477">
        <f>IF(C2477,((H2477*(B2498+IF(AND(Inputs!$B$38&lt;&gt;"pvp",Inputs!$B$43&gt;0),((Skills!G8*((R2471-1)*IF(Skills!H8&gt;0,INT(Skills!I8/Skills!H8+0.000000001),1)+IF(Skills!H8&gt;0,INT(MIN(Skills!I8,MAX(0,MAX(0,Inputs!$B$43-B2501)-((R2471-1)*((IF(Inputs!$B$38="pvp",15,MAX(0.1,Skills!D8-IF(TRUE=TRUE,Inputs!$B$32,0)))*(1-IF(AND(ArtifactsInput!$M$27,Inputs!$B$4="Chapter Hunt"),CHOOSE(ArtifactsInput!$N$27+1,20,24,28,32,36,40),0)/100))/B2505))))/Skills!H8+0.000000001),1)))/Inputs!$B$43),G2471*Q2471)+IF(AND(Inputs!$B$38&lt;&gt;"pvp",Inputs!$B$43&gt;0),((Skills!G11*((R2474-1)*IF(Skills!H11&gt;0,INT(Skills!I11/Skills!H11+0.000000001),1)+IF(Skills!H11&gt;0,INT(MIN(Skills!I11,MAX(0,MAX(0,Inputs!$B$43-B2501)-((R2474-1)*((IF(Inputs!$B$38="pvp",15,MAX(0.1,Skills!D11-IF(TRUE=TRUE,Inputs!$B$32,0)))*(1-IF(AND(ArtifactsInput!$M$27,Inputs!$B$4="Chapter Hunt"),CHOOSE(ArtifactsInput!$N$27+1,20,24,28,32,36,40),0)/100))/B2505))))/Skills!H11+0.000000001),1)))/Inputs!$B$43),G2474*Q2474)))/(1+Skills!H14*H2477*(B2498+IF(AND(Inputs!$B$38&lt;&gt;"pvp",Inputs!$B$43&gt;0),((Skills!G8*((R2471-1)*IF(Skills!H8&gt;0,INT(Skills!I8/Skills!H8+0.000000001),1)+IF(Skills!H8&gt;0,INT(MIN(Skills!I8,MAX(0,MAX(0,Inputs!$B$43-B2501)-((R2471-1)*((IF(Inputs!$B$38="pvp",15,MAX(0.1,Skills!D8-IF(TRUE=TRUE,Inputs!$B$32,0)))*(1-IF(AND(ArtifactsInput!$M$27,Inputs!$B$4="Chapter Hunt"),CHOOSE(ArtifactsInput!$N$27+1,20,24,28,32,36,40),0)/100))/B2505))))/Skills!H8+0.000000001),1)))/Inputs!$B$43),G2471*Q2471)+IF(AND(Inputs!$B$38&lt;&gt;"pvp",Inputs!$B$43&gt;0),((Skills!G11*((R2474-1)*IF(Skills!H11&gt;0,INT(Skills!I11/Skills!H11+0.000000001),1)+IF(Skills!H11&gt;0,INT(MIN(Skills!I11,MAX(0,MAX(0,Inputs!$B$43-B2501)-((R2474-1)*((IF(Inputs!$B$38="pvp",15,MAX(0.1,Skills!D11-IF(TRUE=TRUE,Inputs!$B$32,0)))*(1-IF(AND(ArtifactsInput!$M$27,Inputs!$B$4="Chapter Hunt"),CHOOSE(ArtifactsInput!$N$27+1,20,24,28,32,36,40),0)/100))/B2505))))/Skills!H11+0.000000001),1)))/Inputs!$B$43),G2474*Q2474)))*N2477)*IF(Inputs!$B$38="pvp",1,(1+(Inputs!$B$21+Skills!Q14+(IF(IF(ArtifactsInput!$M$33,FALSE,TRUE),CHOOSE(ArtifactsInput!$N$33+1,30,36,42,48,54,60),0))+(IF(AND(ArtifactsInput!$M$35,Inputs!$B$4&lt;&gt;"Chapter Hunt"),CHOOSE(ArtifactsInput!$N$35+1,15,18,21,24,27,30)*(1-EXP(-(0.2*B2496)*5)),0)+IF(AND(ArtifactsInput!$M$22,Inputs!$B$4&lt;&gt;"Chapter Hunt"),CHOOSE(ArtifactsInput!$N$22+1,10,12,14,16,18,20)*((0*(((0.15*B2496*5))^0/1)+1*(((0.15*B2496*5))^1/1)+2*(((0.15*B2496*5))^2/2)+3*(((0.15*B2496*5))^3/6)+4*(((0.15*B2496*5))^4/24)+5*(((0.15*B2496*5))^5/120))/((((0.15*B2496*5))^0/1)+(((0.15*B2496*5))^1/1)+(((0.15*B2496*5))^2/2)+(((0.15*B2496*5))^3/6)+(((0.15*B2496*5))^4/24)+(((0.15*B2496*5))^5/120))),0))+IF(Inputs!$B$3&gt;=54,9*(C2466=TRUE)*MIN(1,8*(1+Inputs!$B$34/100)*Q2466),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78">
      <c r="A2478">
        <f>Skills!A15</f>
        <v/>
      </c>
      <c r="B2478">
        <f>Skills!B15</f>
        <v/>
      </c>
      <c r="C2478">
        <f>Inputs!$B$3&gt;=100</f>
        <v/>
      </c>
      <c r="D2478">
        <f>IF(Skills!C15=1,60+Inputs!$B$25+Inputs!$B$29,IF(Skills!C15=2,90+Inputs!$B$26+Inputs!$B$29,IF(Skills!C15=3,120+Inputs!$B$27+Inputs!$B$29,MAX(0,(Inputs!$B$3-100)*3)+Inputs!$B$28+Inputs!$B$29)))</f>
        <v/>
      </c>
      <c r="E2478">
        <f>INDEX(FactorTable!$B$2:$Y$301, MATCH(ROUND(MIN(300,MAX(1,D2478)),0), FactorTable!$A$2:$A$301,0), Skills!M15+1)</f>
        <v/>
      </c>
      <c r="F2478">
        <f>IF(Skills!N15=TRUE,(Skills!L15/10)*(E2478/1000),Skills!L15/10)+Skills!O15</f>
        <v/>
      </c>
      <c r="G2478" t="inlineStr"/>
      <c r="H2478" t="inlineStr"/>
      <c r="I2478" t="inlineStr">
        <is>
          <t>1</t>
        </is>
      </c>
      <c r="J2478" t="inlineStr"/>
      <c r="K2478" t="inlineStr"/>
      <c r="L2478" t="inlineStr"/>
      <c r="M2478" t="inlineStr"/>
      <c r="N2478" t="inlineStr"/>
      <c r="O2478" t="inlineStr"/>
      <c r="P2478" t="inlineStr"/>
      <c r="Q2478" t="inlineStr"/>
      <c r="R2478" t="inlineStr"/>
      <c r="S2478" t="inlineStr"/>
    </row>
    <row r="2479">
      <c r="A2479">
        <f>Skills!A16</f>
        <v/>
      </c>
      <c r="B2479">
        <f>Skills!B16</f>
        <v/>
      </c>
      <c r="C2479">
        <f>Inputs!$B$3&gt;=107</f>
        <v/>
      </c>
      <c r="D2479">
        <f>IF(Skills!C16=1,60+Inputs!$B$25+Inputs!$B$29,IF(Skills!C16=2,90+Inputs!$B$26+Inputs!$B$29,IF(Skills!C16=3,120+Inputs!$B$27+Inputs!$B$29,MAX(0,(Inputs!$B$3-100)*3)+Inputs!$B$28+Inputs!$B$29)))</f>
        <v/>
      </c>
      <c r="E2479">
        <f>INDEX(FactorTable!$B$2:$Y$301, MATCH(ROUND(MIN(300,MAX(1,D2479)),0), FactorTable!$A$2:$A$301,0), Skills!M16+1)</f>
        <v/>
      </c>
      <c r="F2479">
        <f>IF(Skills!N16=TRUE,(Skills!L16/10)*(E2479/1000),Skills!L16/10)+Skills!O16</f>
        <v/>
      </c>
      <c r="G2479" t="inlineStr"/>
      <c r="H2479" t="inlineStr"/>
      <c r="I2479" t="inlineStr">
        <is>
          <t>1</t>
        </is>
      </c>
      <c r="J2479" t="inlineStr"/>
      <c r="K2479" t="inlineStr"/>
      <c r="L2479" t="inlineStr"/>
      <c r="M2479" t="inlineStr"/>
      <c r="N2479" t="inlineStr"/>
      <c r="O2479" t="inlineStr"/>
      <c r="P2479" t="inlineStr"/>
      <c r="Q2479" t="inlineStr"/>
      <c r="R2479" t="inlineStr"/>
      <c r="S2479" t="inlineStr"/>
    </row>
    <row r="2480">
      <c r="A2480">
        <f>Skills!A17</f>
        <v/>
      </c>
      <c r="B2480">
        <f>Skills!B17</f>
        <v/>
      </c>
      <c r="C2480">
        <f>Inputs!$B$3&gt;=74</f>
        <v/>
      </c>
      <c r="D2480">
        <f>IF(Skills!C17=1,60+Inputs!$B$25+Inputs!$B$29,IF(Skills!C17=2,90+Inputs!$B$26+Inputs!$B$29,IF(Skills!C17=3,120+Inputs!$B$27+Inputs!$B$29,MAX(0,(Inputs!$B$3-100)*3)+Inputs!$B$28+Inputs!$B$29)))</f>
        <v/>
      </c>
      <c r="E2480">
        <f>INDEX(FactorTable!$B$2:$Y$301, MATCH(ROUND(MIN(300,MAX(1,D2480)),0), FactorTable!$A$2:$A$301,0), Skills!M17+1)</f>
        <v/>
      </c>
      <c r="F2480">
        <f>IF(Skills!N17=TRUE,(Skills!L17/10)*(E2480/1000),Skills!L17/10)+Skills!O17</f>
        <v/>
      </c>
      <c r="G2480">
        <f>Skills!G17*IF(Skills!H17&gt;0,INT(IF(Inputs!$B$38="pvp",MIN(Skills!I17,15),Skills!I17)/Skills!H17+0.000000001),1)</f>
        <v/>
      </c>
      <c r="H2480">
        <f>1-(1-Skills!J17/100)^Skills!K17</f>
        <v/>
      </c>
      <c r="I2480" t="inlineStr">
        <is>
          <t>1</t>
        </is>
      </c>
      <c r="J2480" t="inlineStr"/>
      <c r="K2480" t="inlineStr"/>
      <c r="L2480" t="inlineStr"/>
      <c r="M2480" t="inlineStr"/>
      <c r="N2480" t="inlineStr"/>
      <c r="O2480">
        <f>(1-Summary!$B$11)*T2480+Summary!$B$11*V2480</f>
        <v/>
      </c>
      <c r="P2480">
        <f>IF(B2504=0,0,O2480/B2504)</f>
        <v/>
      </c>
      <c r="Q2480" t="n">
        <v>0</v>
      </c>
      <c r="R2480" t="n">
        <v>0</v>
      </c>
      <c r="S2480">
        <f>IFERROR(O2480/N2480,0)</f>
        <v/>
      </c>
      <c r="T2480" t="n">
        <v>0</v>
      </c>
      <c r="V2480" t="n">
        <v>0</v>
      </c>
    </row>
    <row r="2481">
      <c r="A2481">
        <f>Skills!A18</f>
        <v/>
      </c>
      <c r="B2481">
        <f>Skills!B18</f>
        <v/>
      </c>
      <c r="C2481">
        <f>Inputs!$B$3&gt;=115</f>
        <v/>
      </c>
      <c r="D2481">
        <f>IF(Skills!C18=1,60+Inputs!$B$25+Inputs!$B$29,IF(Skills!C18=2,90+Inputs!$B$26+Inputs!$B$29,IF(Skills!C18=3,120+Inputs!$B$27+Inputs!$B$29,MAX(0,(Inputs!$B$3-100)*3)+Inputs!$B$28+Inputs!$B$29)))</f>
        <v/>
      </c>
      <c r="E2481">
        <f>INDEX(FactorTable!$B$2:$Y$301, MATCH(ROUND(MIN(300,MAX(1,D2481)),0), FactorTable!$A$2:$A$301,0), Skills!M18+1)</f>
        <v/>
      </c>
      <c r="F2481">
        <f>IF(Skills!N18=TRUE,(Skills!L18/10)*(E2481/1000),Skills!L18/10)+Skills!O18</f>
        <v/>
      </c>
      <c r="G2481">
        <f>Skills!G18*IF(Skills!H18&gt;0,INT(IF(Inputs!$B$38="pvp",MIN(Skills!I18,15),Skills!I18)/Skills!H18+0.000000001),1)</f>
        <v/>
      </c>
      <c r="H2481">
        <f>1-(1-Skills!J18/100)^Skills!K18</f>
        <v/>
      </c>
      <c r="I2481" t="inlineStr">
        <is>
          <t>1</t>
        </is>
      </c>
      <c r="J2481" t="inlineStr"/>
      <c r="K2481" t="inlineStr"/>
      <c r="L2481" t="inlineStr"/>
      <c r="M2481" t="inlineStr"/>
      <c r="N2481" t="inlineStr"/>
      <c r="O2481">
        <f>(1-Summary!$B$11)*T2481+Summary!$B$11*V2481</f>
        <v/>
      </c>
      <c r="P2481">
        <f>IF(B2504=0,0,O2481/B2504)</f>
        <v/>
      </c>
      <c r="Q2481">
        <f>IFERROR(1/(IF(Inputs!$B$38="pvp",15,MAX(0.1,Skills!D18-IF(TRUE=TRUE,Inputs!$B$32,0)))*(1-IF(AND(ArtifactsInput!$M$27,Inputs!$B$4="Chapter Hunt"),CHOOSE(ArtifactsInput!$N$27+1,20,24,28,32,36,40),0)/100)),0)</f>
        <v/>
      </c>
      <c r="R2481">
        <f>IF(AND(Inputs!$B$38&lt;&gt;"pvp",Inputs!$B$43&gt;0),IF(Inputs!$B$43&lt;=0,0,(INT(Inputs!$B$43/(IF(Inputs!$B$38="pvp",15,MAX(0.1,Skills!D18-IF(TRUE=TRUE,Inputs!$B$32,0)))*(1-IF(AND(ArtifactsInput!$M$27,Inputs!$B$4="Chapter Hunt"),CHOOSE(ArtifactsInput!$N$27+1,20,24,28,32,36,40),0)/100)))+1)),0)</f>
        <v/>
      </c>
      <c r="S2481">
        <f>IFERROR(O2481/N2481,0)</f>
        <v/>
      </c>
      <c r="T2481" t="n">
        <v>0</v>
      </c>
      <c r="V2481" t="n">
        <v>0</v>
      </c>
    </row>
    <row r="2482">
      <c r="A2482">
        <f>Skills!A19</f>
        <v/>
      </c>
      <c r="B2482">
        <f>Skills!B19</f>
        <v/>
      </c>
      <c r="C2482">
        <f>Inputs!$B$3&gt;=10</f>
        <v/>
      </c>
      <c r="D2482">
        <f>IF(Skills!C19=1,60+Inputs!$B$25+Inputs!$B$29,IF(Skills!C19=2,90+Inputs!$B$26+Inputs!$B$29,IF(Skills!C19=3,120+Inputs!$B$27+Inputs!$B$29,MAX(0,(Inputs!$B$3-100)*3)+Inputs!$B$28+Inputs!$B$29)))</f>
        <v/>
      </c>
      <c r="E2482">
        <f>INDEX(FactorTable!$B$2:$Y$301, MATCH(ROUND(MIN(300,MAX(1,D2482)),0), FactorTable!$A$2:$A$301,0), Skills!M19+1)</f>
        <v/>
      </c>
      <c r="F2482">
        <f>IF(Skills!N19=TRUE,(Skills!L19/10)*(E2482/1000),Skills!L19/10)+Skills!O19</f>
        <v/>
      </c>
      <c r="G2482">
        <f>Skills!G19*IF(Skills!H19&gt;0,INT(IF(Inputs!$B$38="pvp",MIN(Skills!I19,15),Skills!I19)/Skills!H19+0.000000001),1)</f>
        <v/>
      </c>
      <c r="H2482">
        <f>1-(1-Skills!J19/100)^Skills!K19</f>
        <v/>
      </c>
      <c r="I2482" t="inlineStr">
        <is>
          <t>1</t>
        </is>
      </c>
      <c r="J2482" t="inlineStr"/>
      <c r="K2482" t="inlineStr"/>
      <c r="L2482" t="inlineStr"/>
      <c r="M2482" t="inlineStr"/>
      <c r="N2482" t="inlineStr"/>
      <c r="O2482">
        <f>(1-Summary!$B$11)*T2482+Summary!$B$11*V2482</f>
        <v/>
      </c>
      <c r="P2482">
        <f>IF(B2504=0,0,O2482/B2504)</f>
        <v/>
      </c>
      <c r="Q2482" t="n">
        <v>0</v>
      </c>
      <c r="R2482" t="n">
        <v>0</v>
      </c>
      <c r="S2482">
        <f>IFERROR(O2482/N2482,0)</f>
        <v/>
      </c>
      <c r="T2482" t="n">
        <v>0</v>
      </c>
      <c r="V2482" t="n">
        <v>0</v>
      </c>
    </row>
    <row r="2483">
      <c r="A2483">
        <f>Skills!A20</f>
        <v/>
      </c>
      <c r="B2483">
        <f>Skills!B20</f>
        <v/>
      </c>
      <c r="C2483">
        <f>Inputs!$B$3&gt;=15</f>
        <v/>
      </c>
      <c r="D2483">
        <f>IF(Skills!C20=1,60+Inputs!$B$25+Inputs!$B$29,IF(Skills!C20=2,90+Inputs!$B$26+Inputs!$B$29,IF(Skills!C20=3,120+Inputs!$B$27+Inputs!$B$29,MAX(0,(Inputs!$B$3-100)*3)+Inputs!$B$28+Inputs!$B$29)))</f>
        <v/>
      </c>
      <c r="E2483">
        <f>INDEX(FactorTable!$B$2:$Y$301, MATCH(ROUND(MIN(300,MAX(1,D2483)),0), FactorTable!$A$2:$A$301,0), Skills!M20+1)</f>
        <v/>
      </c>
      <c r="F2483">
        <f>IF(Skills!N20=TRUE,(Skills!L20/10)*(E2483/1000),Skills!L20/10)+Skills!O20</f>
        <v/>
      </c>
      <c r="G2483">
        <f>Skills!G20*IF(Skills!H20&gt;0,INT(IF(Inputs!$B$38="pvp",MIN(Skills!I20,15),Skills!I20)/Skills!H20+0.000000001),1)</f>
        <v/>
      </c>
      <c r="H2483">
        <f>1-(1-Skills!J20/100)^Skills!K20</f>
        <v/>
      </c>
      <c r="I2483" t="inlineStr">
        <is>
          <t>1</t>
        </is>
      </c>
      <c r="J2483" t="inlineStr"/>
      <c r="K2483" t="inlineStr"/>
      <c r="L2483" t="inlineStr"/>
      <c r="M2483" t="inlineStr"/>
      <c r="N2483" t="inlineStr"/>
      <c r="O2483">
        <f>(1-Summary!$B$11)*T2483+Summary!$B$11*V2483</f>
        <v/>
      </c>
      <c r="P2483">
        <f>IF(B2504=0,0,O2483/B2504)</f>
        <v/>
      </c>
      <c r="Q2483" t="n">
        <v>0</v>
      </c>
      <c r="R2483" t="n">
        <v>0</v>
      </c>
      <c r="S2483">
        <f>IFERROR(O2483/N2483,0)</f>
        <v/>
      </c>
      <c r="T2483" t="n">
        <v>0</v>
      </c>
      <c r="V2483" t="n">
        <v>0</v>
      </c>
    </row>
    <row r="2484">
      <c r="A2484">
        <f>Skills!A21</f>
        <v/>
      </c>
      <c r="B2484">
        <f>Skills!B21</f>
        <v/>
      </c>
      <c r="C2484">
        <f>Inputs!$B$3&gt;=40</f>
        <v/>
      </c>
      <c r="D2484">
        <f>IF(Skills!C21=1,60+Inputs!$B$25+Inputs!$B$29,IF(Skills!C21=2,90+Inputs!$B$26+Inputs!$B$29,IF(Skills!C21=3,120+Inputs!$B$27+Inputs!$B$29,MAX(0,(Inputs!$B$3-100)*3)+Inputs!$B$28+Inputs!$B$29)))</f>
        <v/>
      </c>
      <c r="E2484">
        <f>INDEX(FactorTable!$B$2:$Y$301, MATCH(ROUND(MIN(300,MAX(1,D2484)),0), FactorTable!$A$2:$A$301,0), Skills!M21+1)</f>
        <v/>
      </c>
      <c r="F2484">
        <f>IF(Skills!N21=TRUE,(Skills!L21/10)*(E2484/1000),Skills!L21/10)+Skills!O21</f>
        <v/>
      </c>
      <c r="G2484">
        <f>Skills!G21*IF(Skills!H21&gt;0,INT(IF(Inputs!$B$38="pvp",MIN(Skills!I21,15),Skills!I21)/Skills!H21+0.000000001),1)</f>
        <v/>
      </c>
      <c r="H2484">
        <f>1-(1-Skills!J21/100)^Skills!K21</f>
        <v/>
      </c>
      <c r="I2484" t="inlineStr">
        <is>
          <t>1</t>
        </is>
      </c>
      <c r="J2484" t="inlineStr"/>
      <c r="K2484" t="inlineStr"/>
      <c r="L2484" t="inlineStr"/>
      <c r="M2484" t="inlineStr"/>
      <c r="N2484" t="inlineStr"/>
      <c r="O2484">
        <f>(1-Summary!$B$11)*T2484+Summary!$B$11*V2484</f>
        <v/>
      </c>
      <c r="P2484">
        <f>IF(B2504=0,0,O2484/B2504)</f>
        <v/>
      </c>
      <c r="Q2484" t="n">
        <v>0</v>
      </c>
      <c r="R2484" t="n">
        <v>0</v>
      </c>
      <c r="S2484">
        <f>IFERROR(O2484/N2484,0)</f>
        <v/>
      </c>
      <c r="T2484" t="n">
        <v>0</v>
      </c>
      <c r="V2484" t="n">
        <v>0</v>
      </c>
    </row>
    <row r="2485">
      <c r="A2485">
        <f>Skills!A22</f>
        <v/>
      </c>
      <c r="B2485">
        <f>Skills!B22</f>
        <v/>
      </c>
      <c r="C2485">
        <f>Inputs!$B$3&gt;=43</f>
        <v/>
      </c>
      <c r="D2485">
        <f>IF(Skills!C22=1,60+Inputs!$B$25+Inputs!$B$29,IF(Skills!C22=2,90+Inputs!$B$26+Inputs!$B$29,IF(Skills!C22=3,120+Inputs!$B$27+Inputs!$B$29,MAX(0,(Inputs!$B$3-100)*3)+Inputs!$B$28+Inputs!$B$29)))</f>
        <v/>
      </c>
      <c r="E2485">
        <f>INDEX(FactorTable!$B$2:$Y$301, MATCH(ROUND(MIN(300,MAX(1,D2485)),0), FactorTable!$A$2:$A$301,0), Skills!M22+1)</f>
        <v/>
      </c>
      <c r="F2485">
        <f>IF(Skills!N22=TRUE,(Skills!L22/10)*(E2485/1000),Skills!L22/10)+Skills!O22</f>
        <v/>
      </c>
      <c r="G2485">
        <f>Skills!G22*IF(Skills!H22&gt;0,INT(IF(Inputs!$B$38="pvp",MIN(Skills!I22,15),Skills!I22)/Skills!H22+0.000000001),1)</f>
        <v/>
      </c>
      <c r="H2485">
        <f>1-(1-Skills!J22/100)^Skills!K22</f>
        <v/>
      </c>
      <c r="I2485" t="inlineStr">
        <is>
          <t>1</t>
        </is>
      </c>
      <c r="J2485" t="inlineStr"/>
      <c r="K2485" t="inlineStr"/>
      <c r="L2485" t="inlineStr"/>
      <c r="M2485" t="inlineStr"/>
      <c r="N2485" t="inlineStr"/>
      <c r="O2485">
        <f>(1-Summary!$B$11)*T2485+Summary!$B$11*V2485</f>
        <v/>
      </c>
      <c r="P2485">
        <f>IF(B2504=0,0,O2485/B2504)</f>
        <v/>
      </c>
      <c r="Q2485" t="n">
        <v>0</v>
      </c>
      <c r="R2485" t="n">
        <v>0</v>
      </c>
      <c r="S2485">
        <f>IFERROR(O2485/N2485,0)</f>
        <v/>
      </c>
      <c r="T2485" t="n">
        <v>0</v>
      </c>
      <c r="V2485" t="n">
        <v>0</v>
      </c>
    </row>
    <row r="2486">
      <c r="A2486">
        <f>Skills!A23</f>
        <v/>
      </c>
      <c r="B2486">
        <f>Skills!B23</f>
        <v/>
      </c>
      <c r="C2486">
        <f>Inputs!$B$3&gt;=38</f>
        <v/>
      </c>
      <c r="D2486">
        <f>IF(Skills!C23=1,60+Inputs!$B$25+Inputs!$B$29,IF(Skills!C23=2,90+Inputs!$B$26+Inputs!$B$29,IF(Skills!C23=3,120+Inputs!$B$27+Inputs!$B$29,MAX(0,(Inputs!$B$3-100)*3)+Inputs!$B$28+Inputs!$B$29)))</f>
        <v/>
      </c>
      <c r="E2486">
        <f>INDEX(FactorTable!$B$2:$Y$301, MATCH(ROUND(MIN(300,MAX(1,D2486)),0), FactorTable!$A$2:$A$301,0), Skills!M23+1)</f>
        <v/>
      </c>
      <c r="F2486">
        <f>IF(Skills!N23=TRUE,(Skills!L23/10)*(E2486/1000),Skills!L23/10)+Skills!O23</f>
        <v/>
      </c>
      <c r="G2486">
        <f>Skills!G23*IF(Skills!H23&gt;0,INT(IF(Inputs!$B$38="pvp",MIN(Skills!I23,15),Skills!I23)/Skills!H23+0.000000001),1)</f>
        <v/>
      </c>
      <c r="H2486">
        <f>1-(1-Skills!J23/100)^Skills!K23</f>
        <v/>
      </c>
      <c r="I2486" t="inlineStr">
        <is>
          <t>1</t>
        </is>
      </c>
      <c r="J2486" t="inlineStr"/>
      <c r="K2486" t="inlineStr"/>
      <c r="L2486" t="inlineStr"/>
      <c r="M2486" t="inlineStr"/>
      <c r="N2486" t="inlineStr"/>
      <c r="O2486">
        <f>(1-Summary!$B$11)*T2486+Summary!$B$11*V2486</f>
        <v/>
      </c>
      <c r="P2486">
        <f>IF(B2504=0,0,O2486/B2504)</f>
        <v/>
      </c>
      <c r="Q2486" t="n">
        <v>0</v>
      </c>
      <c r="R2486" t="n">
        <v>0</v>
      </c>
      <c r="S2486">
        <f>IFERROR(O2486/N2486,0)</f>
        <v/>
      </c>
      <c r="T2486" t="n">
        <v>0</v>
      </c>
      <c r="V2486" t="n">
        <v>0</v>
      </c>
    </row>
    <row r="2487">
      <c r="A2487">
        <f>Skills!A24</f>
        <v/>
      </c>
      <c r="B2487">
        <f>Skills!B24</f>
        <v/>
      </c>
      <c r="C2487">
        <f>Inputs!$B$3&gt;=45</f>
        <v/>
      </c>
      <c r="D2487">
        <f>IF(Skills!C24=1,60+Inputs!$B$25+Inputs!$B$29,IF(Skills!C24=2,90+Inputs!$B$26+Inputs!$B$29,IF(Skills!C24=3,120+Inputs!$B$27+Inputs!$B$29,MAX(0,(Inputs!$B$3-100)*3)+Inputs!$B$28+Inputs!$B$29)))</f>
        <v/>
      </c>
      <c r="E2487">
        <f>INDEX(FactorTable!$B$2:$Y$301, MATCH(ROUND(MIN(300,MAX(1,D2487)),0), FactorTable!$A$2:$A$301,0), Skills!M24+1)</f>
        <v/>
      </c>
      <c r="F2487">
        <f>IF(Skills!N24=TRUE,(Skills!L24/10)*(E2487/1000),Skills!L24/10)+Skills!O24</f>
        <v/>
      </c>
      <c r="G2487">
        <f>Skills!G24*IF(Skills!H24&gt;0,INT(IF(Inputs!$B$38="pvp",MIN(Skills!I24,15),Skills!I24)/Skills!H24+0.000000001),1)</f>
        <v/>
      </c>
      <c r="H2487">
        <f>1-(1-Skills!J24/100)^Skills!K24</f>
        <v/>
      </c>
      <c r="I2487" t="inlineStr">
        <is>
          <t>1</t>
        </is>
      </c>
      <c r="J2487" t="inlineStr"/>
      <c r="K2487" t="inlineStr"/>
      <c r="L2487" t="inlineStr"/>
      <c r="M2487" t="inlineStr"/>
      <c r="N2487" t="inlineStr"/>
      <c r="O2487">
        <f>(1-Summary!$B$11)*T2487+Summary!$B$11*V2487</f>
        <v/>
      </c>
      <c r="P2487">
        <f>IF(B2504=0,0,O2487/B2504)</f>
        <v/>
      </c>
      <c r="Q2487" t="n">
        <v>0</v>
      </c>
      <c r="R2487" t="n">
        <v>0</v>
      </c>
      <c r="S2487">
        <f>IFERROR(O2487/N2487,0)</f>
        <v/>
      </c>
      <c r="T2487" t="n">
        <v>0</v>
      </c>
      <c r="V2487" t="n">
        <v>0</v>
      </c>
    </row>
    <row r="2488">
      <c r="A2488">
        <f>Skills!A25</f>
        <v/>
      </c>
      <c r="B2488">
        <f>Skills!B25</f>
        <v/>
      </c>
      <c r="C2488">
        <f>Inputs!$B$3&gt;=72</f>
        <v/>
      </c>
      <c r="D2488">
        <f>IF(Skills!C25=1,60+Inputs!$B$25+Inputs!$B$29,IF(Skills!C25=2,90+Inputs!$B$26+Inputs!$B$29,IF(Skills!C25=3,120+Inputs!$B$27+Inputs!$B$29,MAX(0,(Inputs!$B$3-100)*3)+Inputs!$B$28+Inputs!$B$29)))</f>
        <v/>
      </c>
      <c r="E2488">
        <f>INDEX(FactorTable!$B$2:$Y$301, MATCH(ROUND(MIN(300,MAX(1,D2488)),0), FactorTable!$A$2:$A$301,0), Skills!M25+1)</f>
        <v/>
      </c>
      <c r="F2488">
        <f>IF(Skills!N25=TRUE,(Skills!L25/10)*(E2488/1000),Skills!L25/10)+Skills!O25</f>
        <v/>
      </c>
      <c r="G2488">
        <f>Skills!G25*IF(Skills!H25&gt;0,INT(IF(Inputs!$B$38="pvp",MIN(Skills!I25,15),Skills!I25)/Skills!H25+0.000000001),1)</f>
        <v/>
      </c>
      <c r="H2488">
        <f>1-(1-Skills!J25/100)^Skills!K25</f>
        <v/>
      </c>
      <c r="I2488" t="inlineStr">
        <is>
          <t>1</t>
        </is>
      </c>
      <c r="J2488" t="inlineStr"/>
      <c r="K2488" t="inlineStr"/>
      <c r="L2488" t="inlineStr"/>
      <c r="M2488" t="inlineStr"/>
      <c r="N2488" t="inlineStr"/>
      <c r="O2488">
        <f>(1-Summary!$B$11)*T2488+Summary!$B$11*V2488</f>
        <v/>
      </c>
      <c r="P2488">
        <f>IF(B2504=0,0,O2488/B2504)</f>
        <v/>
      </c>
      <c r="Q2488" t="n">
        <v>0</v>
      </c>
      <c r="R2488" t="n">
        <v>0</v>
      </c>
      <c r="S2488">
        <f>IFERROR(O2488/N2488,0)</f>
        <v/>
      </c>
      <c r="T2488" t="n">
        <v>0</v>
      </c>
      <c r="V2488" t="n">
        <v>0</v>
      </c>
    </row>
    <row r="2489">
      <c r="A2489">
        <f>Skills!A26</f>
        <v/>
      </c>
      <c r="B2489">
        <f>Skills!B26</f>
        <v/>
      </c>
      <c r="C2489">
        <f>Inputs!$B$3&gt;=75</f>
        <v/>
      </c>
      <c r="D2489">
        <f>IF(Skills!C26=1,60+Inputs!$B$25+Inputs!$B$29,IF(Skills!C26=2,90+Inputs!$B$26+Inputs!$B$29,IF(Skills!C26=3,120+Inputs!$B$27+Inputs!$B$29,MAX(0,(Inputs!$B$3-100)*3)+Inputs!$B$28+Inputs!$B$29)))</f>
        <v/>
      </c>
      <c r="E2489">
        <f>INDEX(FactorTable!$B$2:$Y$301, MATCH(ROUND(MIN(300,MAX(1,D2489)),0), FactorTable!$A$2:$A$301,0), Skills!M26+1)</f>
        <v/>
      </c>
      <c r="F2489">
        <f>IF(Skills!N26=TRUE,(Skills!L26/10)*(E2489/1000),Skills!L26/10)+Skills!O26</f>
        <v/>
      </c>
      <c r="G2489">
        <f>Skills!G26*IF(Skills!H26&gt;0,INT(IF(Inputs!$B$38="pvp",MIN(Skills!I26,15),Skills!I26)/Skills!H26+0.000000001),1)</f>
        <v/>
      </c>
      <c r="H2489">
        <f>1-(1-Skills!J26/100)^Skills!K26</f>
        <v/>
      </c>
      <c r="I2489" t="inlineStr">
        <is>
          <t>1</t>
        </is>
      </c>
      <c r="J2489" t="inlineStr"/>
      <c r="K2489" t="inlineStr"/>
      <c r="L2489" t="inlineStr"/>
      <c r="M2489" t="inlineStr"/>
      <c r="N2489" t="inlineStr"/>
      <c r="O2489">
        <f>(1-Summary!$B$11)*T2489+Summary!$B$11*V2489</f>
        <v/>
      </c>
      <c r="P2489">
        <f>IF(B2504=0,0,O2489/B2504)</f>
        <v/>
      </c>
      <c r="Q2489" t="n">
        <v>0</v>
      </c>
      <c r="R2489" t="n">
        <v>0</v>
      </c>
      <c r="S2489">
        <f>IFERROR(O2489/N2489,0)</f>
        <v/>
      </c>
      <c r="T2489" t="n">
        <v>0</v>
      </c>
      <c r="V2489" t="n">
        <v>0</v>
      </c>
    </row>
    <row r="2490">
      <c r="A2490">
        <f>Skills!A27</f>
        <v/>
      </c>
      <c r="B2490">
        <f>Skills!B27</f>
        <v/>
      </c>
      <c r="C2490">
        <f>Inputs!$B$3&gt;=125</f>
        <v/>
      </c>
      <c r="D2490">
        <f>IF(Skills!C27=1,60+Inputs!$B$25+Inputs!$B$29,IF(Skills!C27=2,90+Inputs!$B$26+Inputs!$B$29,IF(Skills!C27=3,120+Inputs!$B$27+Inputs!$B$29,MAX(0,(Inputs!$B$3-100)*3)+Inputs!$B$28+Inputs!$B$29)))</f>
        <v/>
      </c>
      <c r="E2490">
        <f>INDEX(FactorTable!$B$2:$Y$301, MATCH(ROUND(MIN(300,MAX(1,D2490)),0), FactorTable!$A$2:$A$301,0), Skills!M27+1)</f>
        <v/>
      </c>
      <c r="F2490">
        <f>IF(Skills!N27=TRUE,(Skills!L27/10)*(E2490/1000),Skills!L27/10)+Skills!O27</f>
        <v/>
      </c>
      <c r="G2490">
        <f>Skills!G27*IF(Skills!H27&gt;0,INT(IF(Inputs!$B$38="pvp",MIN(Skills!I27,15),Skills!I27)/Skills!H27+0.000000001),1)</f>
        <v/>
      </c>
      <c r="H2490">
        <f>1-(1-Skills!J27/100)^Skills!K27</f>
        <v/>
      </c>
      <c r="I2490" t="inlineStr">
        <is>
          <t>1</t>
        </is>
      </c>
      <c r="J2490" t="inlineStr"/>
      <c r="K2490" t="inlineStr"/>
      <c r="L2490" t="inlineStr"/>
      <c r="M2490" t="inlineStr"/>
      <c r="N2490" t="inlineStr"/>
      <c r="O2490">
        <f>(1-Summary!$B$11)*T2490+Summary!$B$11*V2490</f>
        <v/>
      </c>
      <c r="P2490">
        <f>IF(B2504=0,0,O2490/B2504)</f>
        <v/>
      </c>
      <c r="Q2490" t="n">
        <v>0</v>
      </c>
      <c r="R2490" t="n">
        <v>0</v>
      </c>
      <c r="S2490">
        <f>IFERROR(O2490/N2490,0)</f>
        <v/>
      </c>
      <c r="T2490" t="n">
        <v>0</v>
      </c>
      <c r="V2490" t="n">
        <v>0</v>
      </c>
    </row>
    <row r="2491">
      <c r="A2491">
        <f>Skills!A28</f>
        <v/>
      </c>
      <c r="B2491">
        <f>Skills!B28</f>
        <v/>
      </c>
      <c r="C2491">
        <f>TRUE</f>
        <v/>
      </c>
      <c r="D2491">
        <f>IF(Skills!C28=1,60+Inputs!$B$25+Inputs!$B$29,IF(Skills!C28=2,90+Inputs!$B$26+Inputs!$B$29,IF(Skills!C28=3,120+Inputs!$B$27+Inputs!$B$29,MAX(0,(Inputs!$B$3-100)*3)+Inputs!$B$28+Inputs!$B$29)))</f>
        <v/>
      </c>
      <c r="E2491">
        <f>INDEX(FactorTable!$B$2:$Y$301, MATCH(ROUND(MIN(300,MAX(1,D2491)),0), FactorTable!$A$2:$A$301,0), Skills!M28+1)</f>
        <v/>
      </c>
      <c r="F2491">
        <f>IF(Skills!N28=TRUE,(Skills!L28/10)*(E2491/1000),Skills!L28/10)+Skills!O28</f>
        <v/>
      </c>
      <c r="G2491">
        <f>Skills!G28*IF(Skills!H28&gt;0,INT(IF(Inputs!$B$38="pvp",MIN(Skills!I28,15),Skills!I28)/Skills!H28+0.000000001),1)</f>
        <v/>
      </c>
      <c r="H2491">
        <f>1-(1-Skills!J28/100)^Skills!K28</f>
        <v/>
      </c>
      <c r="I2491" t="inlineStr">
        <is>
          <t>1</t>
        </is>
      </c>
      <c r="J2491" t="inlineStr"/>
      <c r="K2491" t="inlineStr"/>
      <c r="L2491" t="inlineStr"/>
      <c r="M2491" t="inlineStr"/>
      <c r="N2491" t="inlineStr"/>
      <c r="O2491">
        <f>(1-Summary!$B$11)*T2491+Summary!$B$11*V2491</f>
        <v/>
      </c>
      <c r="P2491">
        <f>IF(B2504=0,0,O2491/B2504)</f>
        <v/>
      </c>
      <c r="Q2491">
        <f>IFERROR(1/(IF(Inputs!$B$38="pvp",15,MAX(0.1,Skills!D28-IF(TRUE=TRUE,Inputs!$B$32,0)))*(1-IF(AND(ArtifactsInput!$M$27,Inputs!$B$4="Chapter Hunt"),CHOOSE(ArtifactsInput!$N$27+1,20,24,28,32,36,40),0)/100)),0)</f>
        <v/>
      </c>
      <c r="R2491">
        <f>IF(AND(Inputs!$B$38&lt;&gt;"pvp",Inputs!$B$43&gt;0),IF(Inputs!$B$43&lt;=0,0,(INT(Inputs!$B$43/(IF(Inputs!$B$38="pvp",15,MAX(0.1,Skills!D28-IF(TRUE=TRUE,Inputs!$B$32,0)))*(1-IF(AND(ArtifactsInput!$M$27,Inputs!$B$4="Chapter Hunt"),CHOOSE(ArtifactsInput!$N$27+1,20,24,28,32,36,40),0)/100)))+1)),0)</f>
        <v/>
      </c>
      <c r="S2491">
        <f>IFERROR(O2491/N2491,0)</f>
        <v/>
      </c>
      <c r="T2491" t="n">
        <v>0</v>
      </c>
      <c r="V2491" t="n">
        <v>0</v>
      </c>
    </row>
    <row r="2493">
      <c r="A2493" t="inlineStr">
        <is>
          <t>Attack% Bucket Multiplier</t>
        </is>
      </c>
      <c r="B2493">
        <f>(1+(((C2480=TRUE)*F2480*5/7)+((C2487=TRUE)*(F2487-Calc!F24))+(IF(ArtifactsInput!$M$21,CHOOSE(ArtifactsInput!$N$21+1,25,30,35,40,45,50)*(IF(OR(Inputs!$B$4="Chapter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494">
      <c r="A2494" t="inlineStr">
        <is>
          <t>Global Crit Rate Bonus %</t>
        </is>
      </c>
      <c r="B2494" t="n">
        <v>0</v>
      </c>
    </row>
    <row r="2495">
      <c r="A2495" t="inlineStr">
        <is>
          <t>Attack Speed Buff Bonus % (Nimble Feet, duty-cycle averaged)</t>
        </is>
      </c>
      <c r="B2495">
        <f>((C2491=TRUE)*F2491*IF(AND(Inputs!$B$38&lt;&gt;"pvp",Inputs!$B$43&gt;0),(((R2491-1)*MIN((Skills!T28*(1+Inputs!$B$34/100)),(1/Q2491))+MIN((Skills!T28*(1+Inputs!$B$34/100)),MAX(0,Inputs!$B$43-((R2491-1)*(1/Q2491)))))/Inputs!$B$43),IF(Inputs!$B$38="pvp",MIN((Skills!T28*(1+Inputs!$B$34/100)),15)/15,MIN(1,(Skills!T28*(1+Inputs!$B$34/100))/(1/Q2491)))))</f>
        <v/>
      </c>
    </row>
    <row r="2496">
      <c r="A2496" t="inlineStr">
        <is>
          <t>Actions Per Second</t>
        </is>
      </c>
      <c r="B2496">
        <f>1+MIN(150,150*(1-(1-(Inputs!$B$11+((C2483=TRUE)*(F2483-Calc!F20))+((C2484=TRUE)*(F2484-Calc!F21)))/150)*(1-B2495/150)))/100</f>
        <v/>
      </c>
    </row>
    <row r="2497">
      <c r="A2497" t="inlineStr">
        <is>
          <t>Skill + Buff Cast Rate</t>
        </is>
      </c>
      <c r="B2497">
        <f>IF(AND(Inputs!$B$38&lt;&gt;"pvp",Inputs!$B$43&gt;0),SUMPRODUCT((Skills!E2:E28=TRUE)*(C2465:C2491=TRUE)*R2465:R2491*Skills!F2:F28)/Inputs!$B$43,SUMPRODUCT((Skills!E2:E28=TRUE)*(C2465:C2491=TRUE)*Q2465:Q2491*Skills!F2:F28))</f>
        <v/>
      </c>
    </row>
    <row r="2498">
      <c r="A2498" t="inlineStr">
        <is>
          <t>Eight-Legs Easton Casts Per Second</t>
        </is>
      </c>
      <c r="B2498">
        <f>MAX(0,B2496-B2497)</f>
        <v/>
      </c>
    </row>
    <row r="2499">
      <c r="A2499" t="inlineStr">
        <is>
          <t>Global Critical Damage Bonus % (unused)</t>
        </is>
      </c>
      <c r="B2499" t="n">
        <v>0</v>
      </c>
    </row>
    <row r="2500">
      <c r="A2500" t="inlineStr">
        <is>
          <t>Global Final Damage Bonus % (Jolly Roger + Ahoy Mateys - Final Damage proc)</t>
        </is>
      </c>
      <c r="B2500">
        <f>((C2481=TRUE)*F2481*IF(AND(Inputs!$B$38&lt;&gt;"pvp",Inputs!$B$43&gt;0),(((R2481-1)*MIN((Skills!T18*(1+Inputs!$B$34/100)),(1/Q2481))+MIN((Skills!T18*(1+Inputs!$B$34/100)),MAX(0,Inputs!$B$43-((R2481-1)*(1/Q2481)))))/Inputs!$B$43),IF(Inputs!$B$38="pvp",MIN((Skills!T18*(1+Inputs!$B$34/100)),15)/15,MIN(1,(Skills!T18*(1+Inputs!$B$34/100))/(1/Q2481)))))+IF(Inputs!$B$3&gt;=122,20*IF(Inputs!$B$38="pvp",MIN((20*(1+Inputs!$B$34/100)),15)/15,MIN(1,(20*(1+Inputs!$B$34/100))/(1/Q2467))),0)</f>
        <v/>
      </c>
    </row>
    <row r="2501">
      <c r="A2501" t="inlineStr">
        <is>
          <t>Buff-Casting Startup Delay (s, fixed-duration only)</t>
        </is>
      </c>
      <c r="B2501">
        <f>IF(AND(Inputs!$B$38&lt;&gt;"pvp",Inputs!$B$43&gt;0),SUMPRODUCT((Skills!T2:T28&gt;0)*(Skills!E2:E28=TRUE)*(C2465:C2491=TRUE))/B2496,0)</f>
        <v/>
      </c>
    </row>
    <row r="2502">
      <c r="A2502" t="inlineStr">
        <is>
          <t>Boss-Only Total DPS (this block's swept value)</t>
        </is>
      </c>
      <c r="B2502">
        <f>SUM(T2465:T2491)</f>
        <v/>
      </c>
    </row>
    <row r="2503">
      <c r="A2503" t="inlineStr">
        <is>
          <t>Normal-Only Total DPS (this block's swept value)</t>
        </is>
      </c>
      <c r="B2503">
        <f>SUM(V2465:V2491)</f>
        <v/>
      </c>
    </row>
    <row r="2504">
      <c r="A2504" s="6" t="inlineStr">
        <is>
          <t>TOTAL DPS</t>
        </is>
      </c>
      <c r="B2504" s="6">
        <f>SUM(O2465:O2491)</f>
        <v/>
      </c>
    </row>
    <row r="2505">
      <c r="A2505" t="inlineStr">
        <is>
          <t>Quickdraw cooldown divisor (this block's own APS / Q)</t>
        </is>
      </c>
      <c r="B2505">
        <f>IF(AND(C2490=TRUE,Inputs!$B$38&lt;&gt;"pvp"),1+0.25*MAX(0,(B2496-(((C2466=TRUE)*Q2466*1)+((C2467=TRUE)*Q2467*1)+((C2469=TRUE)*Q2469*1)+((C2470=TRUE)*Q2470*1)+((C2472=TRUE)*Q2472*1)+((C2475=TRUE)*Q2475*1)+((C2481=TRUE)*Q2481*1)+((C2491=TRUE)*Q2491*1))-((C2471=TRUE)/(IF(Inputs!$B$38="pvp",15,MAX(0.1,Skills!D8-IF(TRUE=TRUE,Inputs!$B$32,0)))*(1-IF(AND(ArtifactsInput!$M$27,Inputs!$B$4="Chapter Hunt"),CHOOSE(ArtifactsInput!$N$27+1,20,24,28,32,36,40),0)/100))+(C2474=TRUE)/(IF(Inputs!$B$38="pvp",15,MAX(0.1,Skills!D11-IF(TRUE=TRUE,Inputs!$B$32,0)))*(1-IF(AND(ArtifactsInput!$M$27,Inputs!$B$4="Chapter Hunt"),CHOOSE(ArtifactsInput!$N$27+1,20,24,28,32,36,40),0)/100))))/(1+0.25*((C2471=TRUE)/(IF(Inputs!$B$38="pvp",15,MAX(0.1,Skills!D8-IF(TRUE=TRUE,Inputs!$B$32,0)))*(1-IF(AND(ArtifactsInput!$M$27,Inputs!$B$4="Chapter Hunt"),CHOOSE(ArtifactsInput!$N$27+1,20,24,28,32,36,40),0)/100))+(C2474=TRUE)/(IF(Inputs!$B$38="pvp",15,MAX(0.1,Skills!D11-IF(TRUE=TRUE,Inputs!$B$32,0)))*(1-IF(AND(ArtifactsInput!$M$27,Inputs!$B$4="Chapter Hunt"),CHOOSE(ArtifactsInput!$N$27+1,20,24,28,32,36,40),0)/100))))),1)</f>
        <v/>
      </c>
    </row>
    <row r="2506">
      <c r="A2506" t="inlineStr">
        <is>
          <t>Nautilus Strike - Final Attack trigger rate (this block's own Q/R)</t>
        </is>
      </c>
      <c r="B2506">
        <f>IF(AND(Inputs!$B$38&lt;&gt;"pvp",Inputs!$B$43&gt;0),(((C2466=TRUE)*R2466)+((C2469=TRUE)*R2469)+((C2471=TRUE)*R2471)+((C2472=TRUE)*R2472)+((C2474=TRUE)*R2474))/Inputs!$B$43,((C2466=TRUE)*Q2466)+((C2469=TRUE)*Q2469)+((C2471=TRUE)*Q2471)+((C2472=TRUE)*Q2472)+((C2474=TRUE)*Q2474))+B2498</f>
        <v/>
      </c>
    </row>
    <row r="2509">
      <c r="A2509" s="6" t="inlineStr">
        <is>
          <t>Stat: Bottle of Emotion (Equip)</t>
        </is>
      </c>
    </row>
    <row r="2510">
      <c r="A2510" s="5" t="inlineStr">
        <is>
          <t>Key</t>
        </is>
      </c>
      <c r="B2510" s="5" t="inlineStr">
        <is>
          <t>Name</t>
        </is>
      </c>
      <c r="C2510" s="5" t="inlineStr">
        <is>
          <t>Unlocked</t>
        </is>
      </c>
      <c r="D2510" s="5" t="inlineStr">
        <is>
          <t>InputLevel</t>
        </is>
      </c>
      <c r="E2510" s="5" t="inlineStr">
        <is>
          <t>Factor</t>
        </is>
      </c>
      <c r="F2510" s="5" t="inlineStr">
        <is>
          <t>CoefficientPercent</t>
        </is>
      </c>
      <c r="G2510" s="5" t="inlineStr">
        <is>
          <t>EffectiveHits</t>
        </is>
      </c>
      <c r="H2510" s="5" t="inlineStr">
        <is>
          <t>ProcProbability</t>
        </is>
      </c>
      <c r="I2510" s="5" t="inlineStr">
        <is>
          <t>MapleHeroMultiplier</t>
        </is>
      </c>
      <c r="J2510" s="5" t="inlineStr">
        <is>
          <t>BaseDamage</t>
        </is>
      </c>
      <c r="K2510" s="5" t="inlineStr">
        <is>
          <t>BaseHitDamage</t>
        </is>
      </c>
      <c r="L2510" s="5" t="inlineStr">
        <is>
          <t>NonCritAvg</t>
        </is>
      </c>
      <c r="M2510" s="5" t="inlineStr">
        <is>
          <t>CritAvg</t>
        </is>
      </c>
      <c r="N2510" s="5" t="inlineStr">
        <is>
          <t>ExpectedDamage(perHit)</t>
        </is>
      </c>
      <c r="O2510" s="5" t="inlineStr">
        <is>
          <t>DPS</t>
        </is>
      </c>
      <c r="P2510" s="5" t="inlineStr">
        <is>
          <t>% of Total</t>
        </is>
      </c>
      <c r="Q2510" s="5" t="inlineStr">
        <is>
          <t>InvCooldown</t>
        </is>
      </c>
      <c r="R2510" s="5" t="inlineStr">
        <is>
          <t>CastsInFight</t>
        </is>
      </c>
      <c r="S2510" s="5" t="inlineStr">
        <is>
          <t>HitRate(perSec)</t>
        </is>
      </c>
      <c r="U2510" t="inlineStr">
        <is>
          <t>helpers</t>
        </is>
      </c>
    </row>
    <row r="2511">
      <c r="A2511">
        <f>Skills!A2</f>
        <v/>
      </c>
      <c r="B2511">
        <f>Skills!B2</f>
        <v/>
      </c>
      <c r="C2511">
        <f>Inputs!$B$3&gt;=100</f>
        <v/>
      </c>
      <c r="D2511" t="inlineStr"/>
      <c r="E2511" t="inlineStr"/>
      <c r="F2511">
        <f>U2513+Skills!O2</f>
        <v/>
      </c>
      <c r="G2511">
        <f>Skills!G2*IF(Skills!H2&gt;0,INT(IF(Inputs!$B$38="pvp",MIN(Skills!I2,15),Skills!I2)/Skills!H2+0.000000001),1)</f>
        <v/>
      </c>
      <c r="H2511">
        <f>1-(1-Skills!J2/100)^Skills!K2</f>
        <v/>
      </c>
      <c r="I2511" t="inlineStr">
        <is>
          <t>1</t>
        </is>
      </c>
      <c r="J2511">
        <f>((Inputs!$B$6*(1+Inputs!$B$7/100))+(((Inputs!$B$12*(1+Inputs!$B$13/100))-(Inputs!$B$12*(1+Inputs!$B$13/100)))+0.25*(Inputs!$B$14-Inputs!$B$14))*(1+Inputs!$B$7/100))*(F2511/100)</f>
        <v/>
      </c>
      <c r="K2511">
        <f>J2511*(1+((Inputs!$B$12*(1+Inputs!$B$13/100))*0.01+Inputs!$B$14*0.0025)/100)*(1+Inputs!$B$15/100)*(1+Inputs!$B$16/100)*(5000/(6000+Inputs!$B$42*(1-(100*(1-(1-(Inputs!$B$19+0)/100)*(1-CHOOSE(ArtifactsInput!$N$40+1,5,6,7,8,9,10)/100)^(ArtifactsInput!$M$40-ArtifactsInput!$M$40)))/100)))*(1+(Inputs!$B$24+((C2535=TRUE)*(F2535-Calc!F26))+B2546)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IF(ArtifactsInput!$M$34,FALSE,TRUE),1,-1)*IF(TRUE,MIN(CHOOSE(ArtifactsInput!$N$34+1,10,12,14,16,18,20),MAX(0,(CHOOSE(ArtifactsInput!$N$34+1,0.5,0.6,0.7,0.8,0.9,1)/3)*(Inputs!$B$11-60))),0)))/100)*(1+(IF(Skills!A2="EIGHT_LEGS_EASTON",Inputs!$B$17+((C2532=TRUE)*(F2532-Calc!F23))+((C2536=TRUE)*(F2536-Calc!F27))+((IF(AND(Inputs!$B$38&lt;&gt;"pvp",Inputs!$B$43=0),1,IF(IF(Inputs!$B$38="pvp",15,Inputs!$B$43)-(B2547)&lt;=0,1,MAX(0,IF(Inputs!$B$38="pvp",15,Inputs!$B$43)-MAX(5,B2547))/(IF(Inputs!$B$38="pvp",15,Inputs!$B$43)-(B2547))))*(IF(AND(ArtifactsInput!$M$42,((Inputs!$B$9+((C2528=TRUE)*(F2528-Calc!F19))+B2540+(ArtifactsInput!$M$24-ArtifactsInput!$M$24)*CHOOSE(ArtifactsInput!$N$24+1,10,12,14,16,18,20)+IF(ArtifactsInput!$M$10,CHOOSE(ArtifactsInput!$N$10+1,15,18,21,24,27,30)*(IF(Inputs!$B$38="pvp",MIN(15,15)/15,IF(AND(Inputs!$B$38&lt;&gt;"pvp",Inputs!$B$43&gt;0),MIN(15,Inputs!$B$43)/(Inputs!$B$43),0))),0)))&gt;=100),MIN(100,((Inputs!$B$9+((C2528=TRUE)*(F2528-Calc!F19))+B2540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2547)&lt;=0,1,MAX(0,IF(Inputs!$B$38="pvp",15,Inputs!$B$43)-MAX(5,B2547))/(IF(Inputs!$B$38="pvp",15,Inputs!$B$43)-(B2547))))*IF(AND(ArtifactsInput!$M$42,((Inputs!$B$9+((C2528=TRUE)*(F2528-Calc!F19))+B2540+(ArtifactsInput!$M$24-ArtifactsInput!$M$24)*CHOOSE(ArtifactsInput!$N$24+1,10,12,14,16,18,20)+IF(ArtifactsInput!$M$10,CHOOSE(ArtifactsInput!$N$10+1,15,18,21,24,27,30)*(IF(Inputs!$B$38="pvp",MIN(15,15)/15,IF(AND(Inputs!$B$38&lt;&gt;"pvp",Inputs!$B$43&gt;0),MIN(15,Inputs!$B$43)/(Inputs!$B$43),0))),0)))&gt;=100),CHOOSE(ArtifactsInput!$N$42+1,40,48,56,64,72,80),0))))/100)*((1+(((C2526=TRUE)*F2526*5/7)+((C2533=TRUE)*(F2533-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IF(ArtifactsInput!$M$34,FALSE,TRUE),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2511)</f>
        <v/>
      </c>
      <c r="L2511">
        <f>K2511*(MIN(Inputs!$B$22+((C2531=TRUE)*(F2531-Calc!F22)),(Inputs!$B$23+0+(IF(ArtifactsInput!$M$15,CHOOSE(ArtifactsInput!$N$15+1,25,30,35,40,45,50)/100*(Inputs!$B$11-Inputs!$B$11),0))))/100+(Inputs!$B$23+0+(IF(ArtifactsInput!$M$15,CHOOSE(ArtifactsInput!$N$15+1,25,30,35,40,45,50)/100*(Inputs!$B$11-Inputs!$B$11),0)))/100)/2</f>
        <v/>
      </c>
      <c r="M2511">
        <f>L2511*(1+(Inputs!$B$10+((C2534=TRUE)*(F2534-Calc!F25))+B2545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11">
        <f>L2511*(1-MIN((Inputs!$B$9+((C2528=TRUE)*(F2528-Calc!F19))+B2540+(ArtifactsInput!$M$24-ArtifactsInput!$M$24)*CHOOSE(ArtifactsInput!$N$24+1,10,12,14,16,18,20)+(IF(AND(Inputs!$B$38&lt;&gt;"pvp",Inputs!$B$43=0),1,IF(IF(Inputs!$B$38="pvp",15,Inputs!$B$43)-(B2547)&lt;=0,1,MAX(0,IF(Inputs!$B$38="pvp",15,Inputs!$B$43)-MAX(5,B2547))/(IF(Inputs!$B$38="pvp",15,Inputs!$B$43)-(B2547))))*IF(AND(ArtifactsInput!$M$42,((Inputs!$B$9+((C2528=TRUE)*(F2528-Calc!F19))+B2540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2511*(MIN((Inputs!$B$9+((C2528=TRUE)*(F2528-Calc!F19))+B2540+(ArtifactsInput!$M$24-ArtifactsInput!$M$24)*CHOOSE(ArtifactsInput!$N$24+1,10,12,14,16,18,20)+(IF(AND(Inputs!$B$38&lt;&gt;"pvp",Inputs!$B$43=0),1,IF(IF(Inputs!$B$38="pvp",15,Inputs!$B$43)-(B2547)&lt;=0,1,MAX(0,IF(Inputs!$B$38="pvp",15,Inputs!$B$43)-MAX(5,B2547))/(IF(Inputs!$B$38="pvp",15,Inputs!$B$43)-(B2547))))*IF(AND(ArtifactsInput!$M$42,((Inputs!$B$9+((C2528=TRUE)*(F2528-Calc!F19))+B2540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11">
        <f>(1-Summary!$B$11)*T2511+Summary!$B$11*V2511</f>
        <v/>
      </c>
      <c r="P2511">
        <f>IF(B2550=0,0,O2511/B2550)</f>
        <v/>
      </c>
      <c r="Q2511" t="n">
        <v>0</v>
      </c>
      <c r="R2511" t="n">
        <v>0</v>
      </c>
      <c r="S2511">
        <f>IFERROR(O2511/N2511,0)</f>
        <v/>
      </c>
      <c r="T2511">
        <f>IF(C2511,(Skills!G2*N2511*B2544*(1+IF(C2536=TRUE,1/3,0)))*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Hunt"),CHOOSE(ArtifactsInput!$N$35+1,15,18,21,24,27,30)*(1-EXP(-(0.2*B2542)*5)),0)+IF(AND(ArtifactsInput!$M$22,Inputs!$B$4&lt;&gt;"Chapter Hunt"),CHOOSE(ArtifactsInput!$N$22+1,10,12,14,16,18,20)*((0*(((0.15*B2542*5))^0/1)+1*(((0.15*B2542*5))^1/1)+2*(((0.15*B2542*5))^2/2)+3*(((0.15*B2542*5))^3/6)+4*(((0.15*B2542*5))^4/24)+5*(((0.15*B2542*5))^5/120))/((((0.15*B2542*5))^0/1)+(((0.15*B2542*5))^1/1)+(((0.15*B2542*5))^2/2)+(((0.15*B2542*5))^3/6)+(((0.15*B2542*5))^4/24)+(((0.15*B2542*5))^5/120))),0))+IF(Inputs!$B$3&gt;=54,9*(C2512=TRUE)*MIN(1,8*(1+Inputs!$B$34/100)*Q2512)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2511*(1-MIN(100,(Inputs!$B$9+((C2528=TRUE)*(F2528-Calc!F19))+B2540+(ArtifactsInput!$M$24-ArtifactsInput!$M$24)*CHOOSE(ArtifactsInput!$N$24+1,10,12,14,16,18,20)+(IF(AND(Inputs!$B$38&lt;&gt;"pvp",Inputs!$B$43=0),1,IF(IF(Inputs!$B$38="pvp",15,Inputs!$B$43)-(B2547)&lt;=0,1,MAX(0,IF(Inputs!$B$38="pvp",15,Inputs!$B$43)-MAX(5,B2547))/(IF(Inputs!$B$38="pvp",15,Inputs!$B$43)-(B2547))))*IF(AND(ArtifactsInput!$M$42,((Inputs!$B$9+((C2528=TRUE)*(F2528-Calc!F19))+B2540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2511*(MIN(100,(Inputs!$B$9+((C2528=TRUE)*(F2528-Calc!F19))+B2540+(ArtifactsInput!$M$24-ArtifactsInput!$M$24)*CHOOSE(ArtifactsInput!$N$24+1,10,12,14,16,18,20)+(IF(AND(Inputs!$B$38&lt;&gt;"pvp",Inputs!$B$43=0),1,IF(IF(Inputs!$B$38="pvp",15,Inputs!$B$43)-(B2547)&lt;=0,1,MAX(0,IF(Inputs!$B$38="pvp",15,Inputs!$B$43)-MAX(5,B2547))/(IF(Inputs!$B$38="pvp",15,Inputs!$B$43)-(B2547))))*IF(AND(ArtifactsInput!$M$42,((Inputs!$B$9+((C2528=TRUE)*(F2528-Calc!F19))+B2540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2511*(1-MIN(100,(Inputs!$B$9+((C2528=TRUE)*(F2528-Calc!F19))+B2540+(ArtifactsInput!$M$24-ArtifactsInput!$M$24)*CHOOSE(ArtifactsInput!$N$24+1,10,12,14,16,18,20)+(IF(AND(Inputs!$B$38&lt;&gt;"pvp",Inputs!$B$43=0),1,IF(IF(Inputs!$B$38="pvp",15,Inputs!$B$43)-(B2547)&lt;=0,1,MAX(0,IF(Inputs!$B$38="pvp",15,Inputs!$B$43)-MAX(5,B2547))/(IF(Inputs!$B$38="pvp",15,Inputs!$B$43)-(B2547))))*IF(AND(ArtifactsInput!$M$42,((Inputs!$B$9+((C2528=TRUE)*(F2528-Calc!F19))+B2540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2511*(MIN(100,(Inputs!$B$9+((C2528=TRUE)*(F2528-Calc!F19))+B2540+(ArtifactsInput!$M$24-ArtifactsInput!$M$24)*CHOOSE(ArtifactsInput!$N$24+1,10,12,14,16,18,20)+(IF(AND(Inputs!$B$38&lt;&gt;"pvp",Inputs!$B$43=0),1,IF(IF(Inputs!$B$38="pvp",15,Inputs!$B$43)-(B2547)&lt;=0,1,MAX(0,IF(Inputs!$B$38="pvp",15,Inputs!$B$43)-MAX(5,B2547))/(IF(Inputs!$B$38="pvp",15,Inputs!$B$43)-(B2547))))*IF(AND(ArtifactsInput!$M$42,((Inputs!$B$9+((C2528=TRUE)*(F2528-Calc!F19))+B2540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511">
        <f>MAX(0,(Inputs!$B$3-100)*3)+Inputs!$B$28+Inputs!$B$29</f>
        <v/>
      </c>
      <c r="V2511">
        <f>IF(C2511,(Skills!G2*N2511*B2544*(1+IF(C2536=TRUE,1/3,0)))*IF(Inputs!$B$38="pvp",1,(1+(Inputs!$B$21+Skills!Q2+(IF(ArtifactsInput!$M$33,CHOOSE(ArtifactsInput!$N$33+1,30,36,42,48,54,60),0))+(IF(AND(ArtifactsInput!$M$35,Inputs!$B$4&lt;&gt;"Chapter Hunt"),CHOOSE(ArtifactsInput!$N$35+1,15,18,21,24,27,30)*(1-EXP(-(0.2*B2542)*5)),0)+IF(AND(ArtifactsInput!$M$22,Inputs!$B$4&lt;&gt;"Chapter Hunt"),CHOOSE(ArtifactsInput!$N$22+1,10,12,14,16,18,20)*((0*(((0.15*B2542*5))^0/1)+1*(((0.15*B2542*5))^1/1)+2*(((0.15*B2542*5))^2/2)+3*(((0.15*B2542*5))^3/6)+4*(((0.15*B2542*5))^4/24)+5*(((0.15*B2542*5))^5/120))/((((0.15*B2542*5))^0/1)+(((0.15*B2542*5))^1/1)+(((0.15*B2542*5))^2/2)+(((0.15*B2542*5))^3/6)+(((0.15*B2542*5))^4/24)+(((0.15*B2542*5))^5/120))),0))+IF(Inputs!$B$3&gt;=54,9*(C2512=TRUE)*MIN(1,8*(1+Inputs!$B$34/100)*Q2512),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12">
      <c r="A2512">
        <f>Skills!A3</f>
        <v/>
      </c>
      <c r="B2512">
        <f>Skills!B3</f>
        <v/>
      </c>
      <c r="C2512">
        <f>Inputs!$B$3&gt;=33</f>
        <v/>
      </c>
      <c r="D2512">
        <f>IF(Skills!C3=1,60+Inputs!$B$25+Inputs!$B$29,IF(Skills!C3=2,90+Inputs!$B$26+Inputs!$B$29,IF(Skills!C3=3,120+Inputs!$B$27+Inputs!$B$29,MAX(0,(Inputs!$B$3-100)*3)+Inputs!$B$28+Inputs!$B$29)))</f>
        <v/>
      </c>
      <c r="E2512">
        <f>INDEX(FactorTable!$B$2:$Y$301, MATCH(ROUND(MIN(300,MAX(1,D2512)),0), FactorTable!$A$2:$A$301,0), Skills!M3+1)</f>
        <v/>
      </c>
      <c r="F2512">
        <f>IF(Skills!N3=TRUE,(Skills!L3/10)*(E2512/1000),Skills!L3/10)+Skills!O3</f>
        <v/>
      </c>
      <c r="G2512">
        <f>Skills!G3*IF(Skills!H3&gt;0,INT(IF(Inputs!$B$38="pvp",MIN(Skills!I3,15),Skills!I3)/Skills!H3+0.000000001),1)</f>
        <v/>
      </c>
      <c r="H2512">
        <f>1-(1-Skills!J3/100)^Skills!K3</f>
        <v/>
      </c>
      <c r="I2512" t="inlineStr">
        <is>
          <t>1</t>
        </is>
      </c>
      <c r="J2512">
        <f>((Inputs!$B$6*(1+Inputs!$B$7/100))+(((Inputs!$B$12*(1+Inputs!$B$13/100))-(Inputs!$B$12*(1+Inputs!$B$13/100)))+0.25*(Inputs!$B$14-Inputs!$B$14))*(1+Inputs!$B$7/100))*(F2512/100)</f>
        <v/>
      </c>
      <c r="K2512">
        <f>J2512*(1+((Inputs!$B$12*(1+Inputs!$B$13/100))*0.01+Inputs!$B$14*0.0025)/100)*(1+Inputs!$B$15/100)*(1+Inputs!$B$16/100)*(5000/(6000+Inputs!$B$42*(1-(100*(1-(1-(Inputs!$B$19+0)/100)*(1-CHOOSE(ArtifactsInput!$N$40+1,5,6,7,8,9,10)/100)^(ArtifactsInput!$M$40-ArtifactsInput!$M$40)))/100)))*(1+(Inputs!$B$24+((C2535=TRUE)*(F2535-Calc!F26))+B2546)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IF(ArtifactsInput!$M$34,FALSE,TRUE),1,-1)*IF(TRUE,MIN(CHOOSE(ArtifactsInput!$N$34+1,10,12,14,16,18,20),MAX(0,(CHOOSE(ArtifactsInput!$N$34+1,0.5,0.6,0.7,0.8,0.9,1)/3)*(Inputs!$B$11-60))),0)))/100)*(1+4.0*IF(C2524=TRUE,F2524,0)/100)*(1+(IF(Skills!A3="EIGHT_LEGS_EASTON",Inputs!$B$17+((C2532=TRUE)*(F2532-Calc!F23))+((C2536=TRUE)*(F2536-Calc!F27))+((IF(AND(Inputs!$B$38&lt;&gt;"pvp",Inputs!$B$43=0),1,IF(IF(Inputs!$B$38="pvp",15,Inputs!$B$43)-(B2547)&lt;=0,1,MAX(0,IF(Inputs!$B$38="pvp",15,Inputs!$B$43)-MAX(5,B2547))/(IF(Inputs!$B$38="pvp",15,Inputs!$B$43)-(B2547))))*(IF(AND(ArtifactsInput!$M$42,((Inputs!$B$9+((C2528=TRUE)*(F2528-Calc!F19))+B2540+(ArtifactsInput!$M$24-ArtifactsInput!$M$24)*CHOOSE(ArtifactsInput!$N$24+1,10,12,14,16,18,20)+IF(ArtifactsInput!$M$10,CHOOSE(ArtifactsInput!$N$10+1,15,18,21,24,27,30)*(IF(Inputs!$B$38="pvp",MIN(15,15)/15,IF(AND(Inputs!$B$38&lt;&gt;"pvp",Inputs!$B$43&gt;0),MIN(15,Inputs!$B$43)/(Inputs!$B$43),0))),0)))&gt;=100),MIN(100,((Inputs!$B$9+((C2528=TRUE)*(F2528-Calc!F19))+B2540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2547)&lt;=0,1,MAX(0,IF(Inputs!$B$38="pvp",15,Inputs!$B$43)-MAX(5,B2547))/(IF(Inputs!$B$38="pvp",15,Inputs!$B$43)-(B2547))))*IF(AND(ArtifactsInput!$M$42,((Inputs!$B$9+((C2528=TRUE)*(F2528-Calc!F19))+B2540+(ArtifactsInput!$M$24-ArtifactsInput!$M$24)*CHOOSE(ArtifactsInput!$N$24+1,10,12,14,16,18,20)+IF(ArtifactsInput!$M$10,CHOOSE(ArtifactsInput!$N$10+1,15,18,21,24,27,30)*(IF(Inputs!$B$38="pvp",MIN(15,15)/15,IF(AND(Inputs!$B$38&lt;&gt;"pvp",Inputs!$B$43&gt;0),MIN(15,Inputs!$B$43)/(Inputs!$B$43),0))),0)))&gt;=100),CHOOSE(ArtifactsInput!$N$42+1,40,48,56,64,72,80),0))))/100)*((1+(((C2526=TRUE)*F2526*5/7)+((C2533=TRUE)*(F2533-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IF(ArtifactsInput!$M$34,FALSE,TRUE),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2512)</f>
        <v/>
      </c>
      <c r="L2512">
        <f>K2512*(MIN(Inputs!$B$22+((C2531=TRUE)*(F2531-Calc!F22)),(Inputs!$B$23+0+(IF(ArtifactsInput!$M$15,CHOOSE(ArtifactsInput!$N$15+1,25,30,35,40,45,50)/100*(Inputs!$B$11-Inputs!$B$11),0))))/100+(Inputs!$B$23+0+(IF(ArtifactsInput!$M$15,CHOOSE(ArtifactsInput!$N$15+1,25,30,35,40,45,50)/100*(Inputs!$B$11-Inputs!$B$11),0)))/100)/2</f>
        <v/>
      </c>
      <c r="M2512">
        <f>L2512*(1+(Inputs!$B$10+((C2534=TRUE)*(F2534-Calc!F25))+B2545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12">
        <f>L2512*(1-MIN((Inputs!$B$9+((C2528=TRUE)*(F2528-Calc!F19))+B2540+(ArtifactsInput!$M$24-ArtifactsInput!$M$24)*CHOOSE(ArtifactsInput!$N$24+1,10,12,14,16,18,20)+(IF(AND(Inputs!$B$38&lt;&gt;"pvp",Inputs!$B$43=0),1,IF(IF(Inputs!$B$38="pvp",15,Inputs!$B$43)-(B2547)&lt;=0,1,MAX(0,IF(Inputs!$B$38="pvp",15,Inputs!$B$43)-MAX(5,B2547))/(IF(Inputs!$B$38="pvp",15,Inputs!$B$43)-(B2547))))*IF(AND(ArtifactsInput!$M$42,((Inputs!$B$9+((C2528=TRUE)*(F2528-Calc!F19))+B2540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2512*(MIN((Inputs!$B$9+((C2528=TRUE)*(F2528-Calc!F19))+B2540+(ArtifactsInput!$M$24-ArtifactsInput!$M$24)*CHOOSE(ArtifactsInput!$N$24+1,10,12,14,16,18,20)+(IF(AND(Inputs!$B$38&lt;&gt;"pvp",Inputs!$B$43=0),1,IF(IF(Inputs!$B$38="pvp",15,Inputs!$B$43)-(B2547)&lt;=0,1,MAX(0,IF(Inputs!$B$38="pvp",15,Inputs!$B$43)-MAX(5,B2547))/(IF(Inputs!$B$38="pvp",15,Inputs!$B$43)-(B2547))))*IF(AND(ArtifactsInput!$M$42,((Inputs!$B$9+((C2528=TRUE)*(F2528-Calc!F19))+B2540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12">
        <f>(1-Summary!$B$11)*T2512+Summary!$B$11*V2512</f>
        <v/>
      </c>
      <c r="P2512">
        <f>IF(B2550=0,0,O2512/B2550)</f>
        <v/>
      </c>
      <c r="Q2512">
        <f>IFERROR(1/(IF(Inputs!$B$38="pvp",15,MAX(0.1,Skills!D3-IF(TRUE=TRUE,Inputs!$B$32,0)))*(1-IF(AND(ArtifactsInput!$M$27,Inputs!$B$4="Chapter Hunt"),CHOOSE(ArtifactsInput!$N$27+1,20,24,28,32,36,40),0)/100)),0)</f>
        <v/>
      </c>
      <c r="R2512">
        <f>IF(AND(Inputs!$B$38&lt;&gt;"pvp",Inputs!$B$43&gt;0),IF(MAX(0,Inputs!$B$43-B2547)&lt;=0,0,(INT(MAX(0,Inputs!$B$43-B2547)/(IF(Inputs!$B$38="pvp",15,MAX(0.1,Skills!D3-IF(TRUE=TRUE,Inputs!$B$32,0)))*(1-IF(AND(ArtifactsInput!$M$27,Inputs!$B$4="Chapter Hunt"),CHOOSE(ArtifactsInput!$N$27+1,20,24,28,32,36,40),0)/100)))+1)),0)</f>
        <v/>
      </c>
      <c r="S2512">
        <f>IFERROR(O2512/N2512,0)</f>
        <v/>
      </c>
      <c r="T2512">
        <f>IF(C2512,(H2512*N2512*IF(AND(Inputs!$B$38&lt;&gt;"pvp",Inputs!$B$43&gt;0),((Skills!G3*((R2512-1)*IF(Skills!H3&gt;0,INT(Skills!I3/Skills!H3+0.000000001),1)+IF(Skills!H3&gt;0,INT(MIN(Skills!I3,MAX(0,MAX(0,Inputs!$B$43-B2547)-((R2512-1)*(IF(Inputs!$B$38="pvp",15,MAX(0.1,Skills!D3-IF(TRUE=TRUE,Inputs!$B$32,0)))*(1-IF(AND(ArtifactsInput!$M$27,Inputs!$B$4="Chapter Hunt"),CHOOSE(ArtifactsInput!$N$27+1,20,24,28,32,36,40),0)/100)))))/Skills!H3+0.000000001),1)))/Inputs!$B$43),G2512*Q2512))*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Hunt"),CHOOSE(ArtifactsInput!$N$35+1,15,18,21,24,27,30)*(1-EXP(-(0.2*B2542)*5)),0)+IF(AND(ArtifactsInput!$M$22,Inputs!$B$4&lt;&gt;"Chapter Hunt"),CHOOSE(ArtifactsInput!$N$22+1,10,12,14,16,18,20)*((0*(((0.15*B2542*5))^0/1)+1*(((0.15*B2542*5))^1/1)+2*(((0.15*B2542*5))^2/2)+3*(((0.15*B2542*5))^3/6)+4*(((0.15*B2542*5))^4/24)+5*(((0.15*B2542*5))^5/120))/((((0.15*B2542*5))^0/1)+(((0.15*B2542*5))^1/1)+(((0.15*B2542*5))^2/2)+(((0.15*B2542*5))^3/6)+(((0.15*B2542*5))^4/24)+(((0.15*B2542*5))^5/120))),0))+IF(Inputs!$B$3&gt;=54,9*(C2512=TRUE)*MIN(1,8*(1+Inputs!$B$34/100)*Q2512)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2512*(1-MIN(100,(Inputs!$B$9+((C2528=TRUE)*(F2528-Calc!F19))+B2540+(ArtifactsInput!$M$24-ArtifactsInput!$M$24)*CHOOSE(ArtifactsInput!$N$24+1,10,12,14,16,18,20)+(IF(AND(Inputs!$B$38&lt;&gt;"pvp",Inputs!$B$43=0),1,IF(IF(Inputs!$B$38="pvp",15,Inputs!$B$43)-(B2547)&lt;=0,1,MAX(0,IF(Inputs!$B$38="pvp",15,Inputs!$B$43)-MAX(5,B2547))/(IF(Inputs!$B$38="pvp",15,Inputs!$B$43)-(B2547))))*IF(AND(ArtifactsInput!$M$42,((Inputs!$B$9+((C2528=TRUE)*(F2528-Calc!F19))+B2540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2512*(MIN(100,(Inputs!$B$9+((C2528=TRUE)*(F2528-Calc!F19))+B2540+(ArtifactsInput!$M$24-ArtifactsInput!$M$24)*CHOOSE(ArtifactsInput!$N$24+1,10,12,14,16,18,20)+(IF(AND(Inputs!$B$38&lt;&gt;"pvp",Inputs!$B$43=0),1,IF(IF(Inputs!$B$38="pvp",15,Inputs!$B$43)-(B2547)&lt;=0,1,MAX(0,IF(Inputs!$B$38="pvp",15,Inputs!$B$43)-MAX(5,B2547))/(IF(Inputs!$B$38="pvp",15,Inputs!$B$43)-(B2547))))*IF(AND(ArtifactsInput!$M$42,((Inputs!$B$9+((C2528=TRUE)*(F2528-Calc!F19))+B2540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2512*(1-MIN(100,(Inputs!$B$9+((C2528=TRUE)*(F2528-Calc!F19))+B2540+(ArtifactsInput!$M$24-ArtifactsInput!$M$24)*CHOOSE(ArtifactsInput!$N$24+1,10,12,14,16,18,20)+(IF(AND(Inputs!$B$38&lt;&gt;"pvp",Inputs!$B$43=0),1,IF(IF(Inputs!$B$38="pvp",15,Inputs!$B$43)-(B2547)&lt;=0,1,MAX(0,IF(Inputs!$B$38="pvp",15,Inputs!$B$43)-MAX(5,B2547))/(IF(Inputs!$B$38="pvp",15,Inputs!$B$43)-(B2547))))*IF(AND(ArtifactsInput!$M$42,((Inputs!$B$9+((C2528=TRUE)*(F2528-Calc!F19))+B2540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2512*(MIN(100,(Inputs!$B$9+((C2528=TRUE)*(F2528-Calc!F19))+B2540+(ArtifactsInput!$M$24-ArtifactsInput!$M$24)*CHOOSE(ArtifactsInput!$N$24+1,10,12,14,16,18,20)+(IF(AND(Inputs!$B$38&lt;&gt;"pvp",Inputs!$B$43=0),1,IF(IF(Inputs!$B$38="pvp",15,Inputs!$B$43)-(B2547)&lt;=0,1,MAX(0,IF(Inputs!$B$38="pvp",15,Inputs!$B$43)-MAX(5,B2547))/(IF(Inputs!$B$38="pvp",15,Inputs!$B$43)-(B2547))))*IF(AND(ArtifactsInput!$M$42,((Inputs!$B$9+((C2528=TRUE)*(F2528-Calc!F19))+B2540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512">
        <f>INDEX(FactorTable!$B$2:$Y$301, MATCH(ROUND(MIN(300,MAX(1,U2511)),0), FactorTable!$A$2:$A$301,0), 22)</f>
        <v/>
      </c>
      <c r="V2512">
        <f>IF(C2512,(H2512*N2512*IF(AND(Inputs!$B$38&lt;&gt;"pvp",Inputs!$B$43&gt;0),((Skills!G3*((R2512-1)*IF(Skills!H3&gt;0,INT(Skills!I3/Skills!H3+0.000000001),1)+IF(Skills!H3&gt;0,INT(MIN(Skills!I3,MAX(0,MAX(0,Inputs!$B$43-B2547)-((R2512-1)*(IF(Inputs!$B$38="pvp",15,MAX(0.1,Skills!D3-IF(TRUE=TRUE,Inputs!$B$32,0)))*(1-IF(AND(ArtifactsInput!$M$27,Inputs!$B$4="Chapter Hunt"),CHOOSE(ArtifactsInput!$N$27+1,20,24,28,32,36,40),0)/100)))))/Skills!H3+0.000000001),1)))/Inputs!$B$43),G2512*Q2512))*IF(Inputs!$B$38="pvp",1,(1+(Inputs!$B$21+Skills!Q3+(IF(ArtifactsInput!$M$33,CHOOSE(ArtifactsInput!$N$33+1,30,36,42,48,54,60),0))+(IF(AND(ArtifactsInput!$M$35,Inputs!$B$4&lt;&gt;"Chapter Hunt"),CHOOSE(ArtifactsInput!$N$35+1,15,18,21,24,27,30)*(1-EXP(-(0.2*B2542)*5)),0)+IF(AND(ArtifactsInput!$M$22,Inputs!$B$4&lt;&gt;"Chapter Hunt"),CHOOSE(ArtifactsInput!$N$22+1,10,12,14,16,18,20)*((0*(((0.15*B2542*5))^0/1)+1*(((0.15*B2542*5))^1/1)+2*(((0.15*B2542*5))^2/2)+3*(((0.15*B2542*5))^3/6)+4*(((0.15*B2542*5))^4/24)+5*(((0.15*B2542*5))^5/120))/((((0.15*B2542*5))^0/1)+(((0.15*B2542*5))^1/1)+(((0.15*B2542*5))^2/2)+(((0.15*B2542*5))^3/6)+(((0.15*B2542*5))^4/24)+(((0.15*B2542*5))^5/120))),0))+IF(Inputs!$B$3&gt;=54,9*(C2512=TRUE)*MIN(1,8*(1+Inputs!$B$34/100)*Q2512),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13">
      <c r="A2513">
        <f>Skills!A4</f>
        <v/>
      </c>
      <c r="B2513">
        <f>Skills!B4</f>
        <v/>
      </c>
      <c r="C2513">
        <f>Inputs!$B$3&gt;=35</f>
        <v/>
      </c>
      <c r="D2513">
        <f>IF(Skills!C4=1,60+Inputs!$B$25+Inputs!$B$29,IF(Skills!C4=2,90+Inputs!$B$26+Inputs!$B$29,IF(Skills!C4=3,120+Inputs!$B$27+Inputs!$B$29,MAX(0,(Inputs!$B$3-100)*3)+Inputs!$B$28+Inputs!$B$29)))</f>
        <v/>
      </c>
      <c r="E2513">
        <f>INDEX(FactorTable!$B$2:$Y$301, MATCH(ROUND(MIN(300,MAX(1,D2513)),0), FactorTable!$A$2:$A$301,0), Skills!M4+1)</f>
        <v/>
      </c>
      <c r="F2513">
        <f>IF(Skills!N4=TRUE,(Skills!L4/10)*(E2513/1000),Skills!L4/10)+Skills!O4</f>
        <v/>
      </c>
      <c r="G2513">
        <f>Skills!G4*IF(Skills!H4&gt;0,INT(IF(Inputs!$B$38="pvp",MIN(IF(Inputs!$B$3&gt;=104,MIN(35,20*(1+Inputs!$B$34/100)),20),15),IF(Inputs!$B$3&gt;=104,MIN(35,20*(1+Inputs!$B$34/100)),20))/Skills!H4+0.000000001),1)</f>
        <v/>
      </c>
      <c r="H2513">
        <f>1-(1-Skills!J4/100)^Skills!K4</f>
        <v/>
      </c>
      <c r="I2513" t="inlineStr">
        <is>
          <t>1</t>
        </is>
      </c>
      <c r="J2513">
        <f>((Inputs!$B$6*(1+Inputs!$B$7/100))+(((Inputs!$B$12*(1+Inputs!$B$13/100))-(Inputs!$B$12*(1+Inputs!$B$13/100)))+0.25*(Inputs!$B$14-Inputs!$B$14))*(1+Inputs!$B$7/100))*(F2513/100)</f>
        <v/>
      </c>
      <c r="K2513">
        <f>J2513*(1+((Inputs!$B$12*(1+Inputs!$B$13/100))*0.01+Inputs!$B$14*0.0025)/100)*(1+Inputs!$B$15/100)*(1+Inputs!$B$16/100)*(5000/(6000+Inputs!$B$42*(1-(100*(1-(1-(Inputs!$B$19+0)/100)*(1-CHOOSE(ArtifactsInput!$N$40+1,5,6,7,8,9,10)/100)^(ArtifactsInput!$M$40-ArtifactsInput!$M$40)))/100)))*(1+(Inputs!$B$24+((C2535=TRUE)*(F2535-Calc!F26))+B2546)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IF(ArtifactsInput!$M$34,FALSE,TRUE),1,-1)*IF(TRUE,MIN(CHOOSE(ArtifactsInput!$N$34+1,10,12,14,16,18,20),MAX(0,(CHOOSE(ArtifactsInput!$N$34+1,0.5,0.6,0.7,0.8,0.9,1)/3)*(Inputs!$B$11-60))),0)))/100)*(1+1.0*IF(C2525=TRUE,F2525,0)/100)*(1+(IF(Skills!A4="EIGHT_LEGS_EASTON",Inputs!$B$17+((C2532=TRUE)*(F2532-Calc!F23))+((C2536=TRUE)*(F2536-Calc!F27))+((IF(AND(Inputs!$B$38&lt;&gt;"pvp",Inputs!$B$43=0),1,IF(IF(Inputs!$B$38="pvp",15,Inputs!$B$43)-(B2547)&lt;=0,1,MAX(0,IF(Inputs!$B$38="pvp",15,Inputs!$B$43)-MAX(5,B2547))/(IF(Inputs!$B$38="pvp",15,Inputs!$B$43)-(B2547))))*(IF(AND(ArtifactsInput!$M$42,((Inputs!$B$9+((C2528=TRUE)*(F2528-Calc!F19))+B2540+(ArtifactsInput!$M$24-ArtifactsInput!$M$24)*CHOOSE(ArtifactsInput!$N$24+1,10,12,14,16,18,20)+IF(ArtifactsInput!$M$10,CHOOSE(ArtifactsInput!$N$10+1,15,18,21,24,27,30)*(IF(Inputs!$B$38="pvp",MIN(15,15)/15,IF(AND(Inputs!$B$38&lt;&gt;"pvp",Inputs!$B$43&gt;0),MIN(15,Inputs!$B$43)/(Inputs!$B$43),0))),0)))&gt;=100),MIN(100,((Inputs!$B$9+((C2528=TRUE)*(F2528-Calc!F19))+B2540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2547)&lt;=0,1,MAX(0,IF(Inputs!$B$38="pvp",15,Inputs!$B$43)-MAX(5,B2547))/(IF(Inputs!$B$38="pvp",15,Inputs!$B$43)-(B2547))))*IF(AND(ArtifactsInput!$M$42,((Inputs!$B$9+((C2528=TRUE)*(F2528-Calc!F19))+B2540+(ArtifactsInput!$M$24-ArtifactsInput!$M$24)*CHOOSE(ArtifactsInput!$N$24+1,10,12,14,16,18,20)+IF(ArtifactsInput!$M$10,CHOOSE(ArtifactsInput!$N$10+1,15,18,21,24,27,30)*(IF(Inputs!$B$38="pvp",MIN(15,15)/15,IF(AND(Inputs!$B$38&lt;&gt;"pvp",Inputs!$B$43&gt;0),MIN(15,Inputs!$B$43)/(Inputs!$B$43),0))),0)))&gt;=100),CHOOSE(ArtifactsInput!$N$42+1,40,48,56,64,72,80),0))))/100)*((1+(((C2526=TRUE)*F2526*5/7)+((C2533=TRUE)*(F2533-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IF(ArtifactsInput!$M$34,FALSE,TRUE),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2513)</f>
        <v/>
      </c>
      <c r="L2513">
        <f>K2513*(MIN(Inputs!$B$22+((C2531=TRUE)*(F2531-Calc!F22)),(Inputs!$B$23+0+(IF(ArtifactsInput!$M$15,CHOOSE(ArtifactsInput!$N$15+1,25,30,35,40,45,50)/100*(Inputs!$B$11-Inputs!$B$11),0))))/100+(Inputs!$B$23+0+(IF(ArtifactsInput!$M$15,CHOOSE(ArtifactsInput!$N$15+1,25,30,35,40,45,50)/100*(Inputs!$B$11-Inputs!$B$11),0)))/100)/2</f>
        <v/>
      </c>
      <c r="M2513">
        <f>L2513*(1+(Inputs!$B$10+((C2534=TRUE)*(F2534-Calc!F25))+B2545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13">
        <f>L2513*(1-MIN((Inputs!$B$9+((C2528=TRUE)*(F2528-Calc!F19))+B2540+(ArtifactsInput!$M$24-ArtifactsInput!$M$24)*CHOOSE(ArtifactsInput!$N$24+1,10,12,14,16,18,20)+(IF(AND(Inputs!$B$38&lt;&gt;"pvp",Inputs!$B$43=0),1,IF(IF(Inputs!$B$38="pvp",15,Inputs!$B$43)-(B2547)&lt;=0,1,MAX(0,IF(Inputs!$B$38="pvp",15,Inputs!$B$43)-MAX(5,B2547))/(IF(Inputs!$B$38="pvp",15,Inputs!$B$43)-(B2547))))*IF(AND(ArtifactsInput!$M$42,((Inputs!$B$9+((C2528=TRUE)*(F2528-Calc!F19))+B2540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2513*(MIN((Inputs!$B$9+((C2528=TRUE)*(F2528-Calc!F19))+B2540+(ArtifactsInput!$M$24-ArtifactsInput!$M$24)*CHOOSE(ArtifactsInput!$N$24+1,10,12,14,16,18,20)+(IF(AND(Inputs!$B$38&lt;&gt;"pvp",Inputs!$B$43=0),1,IF(IF(Inputs!$B$38="pvp",15,Inputs!$B$43)-(B2547)&lt;=0,1,MAX(0,IF(Inputs!$B$38="pvp",15,Inputs!$B$43)-MAX(5,B2547))/(IF(Inputs!$B$38="pvp",15,Inputs!$B$43)-(B2547))))*IF(AND(ArtifactsInput!$M$42,((Inputs!$B$9+((C2528=TRUE)*(F2528-Calc!F19))+B2540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13">
        <f>(1-Summary!$B$11)*T2513+Summary!$B$11*V2513</f>
        <v/>
      </c>
      <c r="P2513">
        <f>IF(B2550=0,0,O2513/B2550)</f>
        <v/>
      </c>
      <c r="Q2513">
        <f>IFERROR(1/(IF(Inputs!$B$38="pvp",15,MAX(0.1,Skills!D4-IF(TRUE=TRUE,Inputs!$B$32,0)))*(1-IF(AND(ArtifactsInput!$M$27,Inputs!$B$4="Chapter Hunt"),CHOOSE(ArtifactsInput!$N$27+1,20,24,28,32,36,40),0)/100)),0)</f>
        <v/>
      </c>
      <c r="R2513">
        <f>IF(AND(Inputs!$B$38&lt;&gt;"pvp",Inputs!$B$43&gt;0),IF(MAX(0,Inputs!$B$43-B2547)&lt;=0,0,(INT(MAX(0,Inputs!$B$43-B2547)/(IF(Inputs!$B$38="pvp",15,MAX(0.1,Skills!D4-IF(TRUE=TRUE,Inputs!$B$32,0)))*(1-IF(AND(ArtifactsInput!$M$27,Inputs!$B$4="Chapter Hunt"),CHOOSE(ArtifactsInput!$N$27+1,20,24,28,32,36,40),0)/100)))+1)),0)</f>
        <v/>
      </c>
      <c r="S2513">
        <f>IFERROR(O2513/N2513,0)</f>
        <v/>
      </c>
      <c r="T2513">
        <f>IF(C2513,(H2513*N2513*IF(AND(Inputs!$B$38&lt;&gt;"pvp",Inputs!$B$43&gt;0),((Skills!G4*((R2513-1)*IF(Skills!H4&gt;0,INT(IF(Inputs!$B$3&gt;=104,MIN(35,20*(1+Inputs!$B$34/100)),20)/Skills!H4+0.000000001),1)+IF(Skills!H4&gt;0,INT(MIN(IF(Inputs!$B$3&gt;=104,MIN(35,20*(1+Inputs!$B$34/100)),20),MAX(0,MAX(0,Inputs!$B$43-B2547)-((R2513-1)*(IF(Inputs!$B$38="pvp",15,MAX(0.1,Skills!D4-IF(TRUE=TRUE,Inputs!$B$32,0)))*(1-IF(AND(ArtifactsInput!$M$27,Inputs!$B$4="Chapter Hunt"),CHOOSE(ArtifactsInput!$N$27+1,20,24,28,32,36,40),0)/100)))))/Skills!H4+0.000000001),1)))/Inputs!$B$43),G2513*Q2513))*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Hunt"),CHOOSE(ArtifactsInput!$N$35+1,15,18,21,24,27,30)*(1-EXP(-(0.2*B2542)*5)),0)+IF(AND(ArtifactsInput!$M$22,Inputs!$B$4&lt;&gt;"Chapter Hunt"),CHOOSE(ArtifactsInput!$N$22+1,10,12,14,16,18,20)*((0*(((0.15*B2542*5))^0/1)+1*(((0.15*B2542*5))^1/1)+2*(((0.15*B2542*5))^2/2)+3*(((0.15*B2542*5))^3/6)+4*(((0.15*B2542*5))^4/24)+5*(((0.15*B2542*5))^5/120))/((((0.15*B2542*5))^0/1)+(((0.15*B2542*5))^1/1)+(((0.15*B2542*5))^2/2)+(((0.15*B2542*5))^3/6)+(((0.15*B2542*5))^4/24)+(((0.15*B2542*5))^5/120))),0))+IF(Inputs!$B$3&gt;=54,9*(C2512=TRUE)*MIN(1,8*(1+Inputs!$B$34/100)*Q2512)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2513*(1-MIN(100,(Inputs!$B$9+((C2528=TRUE)*(F2528-Calc!F19))+B2540+(ArtifactsInput!$M$24-ArtifactsInput!$M$24)*CHOOSE(ArtifactsInput!$N$24+1,10,12,14,16,18,20)+(IF(AND(Inputs!$B$38&lt;&gt;"pvp",Inputs!$B$43=0),1,IF(IF(Inputs!$B$38="pvp",15,Inputs!$B$43)-(B2547)&lt;=0,1,MAX(0,IF(Inputs!$B$38="pvp",15,Inputs!$B$43)-MAX(5,B2547))/(IF(Inputs!$B$38="pvp",15,Inputs!$B$43)-(B2547))))*IF(AND(ArtifactsInput!$M$42,((Inputs!$B$9+((C2528=TRUE)*(F2528-Calc!F19))+B2540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2513*(MIN(100,(Inputs!$B$9+((C2528=TRUE)*(F2528-Calc!F19))+B2540+(ArtifactsInput!$M$24-ArtifactsInput!$M$24)*CHOOSE(ArtifactsInput!$N$24+1,10,12,14,16,18,20)+(IF(AND(Inputs!$B$38&lt;&gt;"pvp",Inputs!$B$43=0),1,IF(IF(Inputs!$B$38="pvp",15,Inputs!$B$43)-(B2547)&lt;=0,1,MAX(0,IF(Inputs!$B$38="pvp",15,Inputs!$B$43)-MAX(5,B2547))/(IF(Inputs!$B$38="pvp",15,Inputs!$B$43)-(B2547))))*IF(AND(ArtifactsInput!$M$42,((Inputs!$B$9+((C2528=TRUE)*(F2528-Calc!F19))+B2540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2513*(1-MIN(100,(Inputs!$B$9+((C2528=TRUE)*(F2528-Calc!F19))+B2540+(ArtifactsInput!$M$24-ArtifactsInput!$M$24)*CHOOSE(ArtifactsInput!$N$24+1,10,12,14,16,18,20)+(IF(AND(Inputs!$B$38&lt;&gt;"pvp",Inputs!$B$43=0),1,IF(IF(Inputs!$B$38="pvp",15,Inputs!$B$43)-(B2547)&lt;=0,1,MAX(0,IF(Inputs!$B$38="pvp",15,Inputs!$B$43)-MAX(5,B2547))/(IF(Inputs!$B$38="pvp",15,Inputs!$B$43)-(B2547))))*IF(AND(ArtifactsInput!$M$42,((Inputs!$B$9+((C2528=TRUE)*(F2528-Calc!F19))+B2540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2513*(MIN(100,(Inputs!$B$9+((C2528=TRUE)*(F2528-Calc!F19))+B2540+(ArtifactsInput!$M$24-ArtifactsInput!$M$24)*CHOOSE(ArtifactsInput!$N$24+1,10,12,14,16,18,20)+(IF(AND(Inputs!$B$38&lt;&gt;"pvp",Inputs!$B$43=0),1,IF(IF(Inputs!$B$38="pvp",15,Inputs!$B$43)-(B2547)&lt;=0,1,MAX(0,IF(Inputs!$B$38="pvp",15,Inputs!$B$43)-MAX(5,B2547))/(IF(Inputs!$B$38="pvp",15,Inputs!$B$43)-(B2547))))*IF(AND(ArtifactsInput!$M$42,((Inputs!$B$9+((C2528=TRUE)*(F2528-Calc!F19))+B2540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513">
        <f>290*U2512/1000</f>
        <v/>
      </c>
      <c r="V2513">
        <f>IF(C2513,(H2513*N2513*IF(AND(Inputs!$B$38&lt;&gt;"pvp",Inputs!$B$43&gt;0),((Skills!G4*((R2513-1)*IF(Skills!H4&gt;0,INT(IF(Inputs!$B$3&gt;=104,MIN(35,20*(1+Inputs!$B$34/100)),20)/Skills!H4+0.000000001),1)+IF(Skills!H4&gt;0,INT(MIN(IF(Inputs!$B$3&gt;=104,MIN(35,20*(1+Inputs!$B$34/100)),20),MAX(0,MAX(0,Inputs!$B$43-B2547)-((R2513-1)*(IF(Inputs!$B$38="pvp",15,MAX(0.1,Skills!D4-IF(TRUE=TRUE,Inputs!$B$32,0)))*(1-IF(AND(ArtifactsInput!$M$27,Inputs!$B$4="Chapter Hunt"),CHOOSE(ArtifactsInput!$N$27+1,20,24,28,32,36,40),0)/100)))))/Skills!H4+0.000000001),1)))/Inputs!$B$43),G2513*Q2513))*IF(Inputs!$B$38="pvp",1,(1+(Inputs!$B$21+Skills!Q4+(IF(ArtifactsInput!$M$33,CHOOSE(ArtifactsInput!$N$33+1,30,36,42,48,54,60),0))+(IF(AND(ArtifactsInput!$M$35,Inputs!$B$4&lt;&gt;"Chapter Hunt"),CHOOSE(ArtifactsInput!$N$35+1,15,18,21,24,27,30)*(1-EXP(-(0.2*B2542)*5)),0)+IF(AND(ArtifactsInput!$M$22,Inputs!$B$4&lt;&gt;"Chapter Hunt"),CHOOSE(ArtifactsInput!$N$22+1,10,12,14,16,18,20)*((0*(((0.15*B2542*5))^0/1)+1*(((0.15*B2542*5))^1/1)+2*(((0.15*B2542*5))^2/2)+3*(((0.15*B2542*5))^3/6)+4*(((0.15*B2542*5))^4/24)+5*(((0.15*B2542*5))^5/120))/((((0.15*B2542*5))^0/1)+(((0.15*B2542*5))^1/1)+(((0.15*B2542*5))^2/2)+(((0.15*B2542*5))^3/6)+(((0.15*B2542*5))^4/24)+(((0.15*B2542*5))^5/120))),0))+IF(Inputs!$B$3&gt;=54,9*(C2512=TRUE)*MIN(1,8*(1+Inputs!$B$34/100)*Q2512),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14">
      <c r="A2514">
        <f>Skills!A5</f>
        <v/>
      </c>
      <c r="B2514">
        <f>Skills!B5</f>
        <v/>
      </c>
      <c r="C2514">
        <f>Inputs!$B$3&gt;=69</f>
        <v/>
      </c>
      <c r="D2514">
        <f>IF(Skills!C5=1,60+Inputs!$B$25+Inputs!$B$29,IF(Skills!C5=2,90+Inputs!$B$26+Inputs!$B$29,IF(Skills!C5=3,120+Inputs!$B$27+Inputs!$B$29,MAX(0,(Inputs!$B$3-100)*3)+Inputs!$B$28+Inputs!$B$29)))</f>
        <v/>
      </c>
      <c r="E2514">
        <f>INDEX(FactorTable!$B$2:$Y$301, MATCH(ROUND(MIN(300,MAX(1,D2514)),0), FactorTable!$A$2:$A$301,0), Skills!M5+1)</f>
        <v/>
      </c>
      <c r="F2514">
        <f>IF(Skills!N5=TRUE,(Skills!L5/10)*(E2514/1000),Skills!L5/10)+Skills!O5</f>
        <v/>
      </c>
      <c r="G2514">
        <f>Skills!G5*IF(Skills!H5&gt;0,INT(IF(Inputs!$B$38="pvp",MIN(IF(Inputs!$B$3&gt;=104,MIN(35,20*(1+Inputs!$B$34/100)),20),15),IF(Inputs!$B$3&gt;=104,MIN(35,20*(1+Inputs!$B$34/100)),20))/Skills!H5+0.000000001),1)</f>
        <v/>
      </c>
      <c r="H2514">
        <f>1-(1-Skills!J5/100)^Skills!K5</f>
        <v/>
      </c>
      <c r="I2514" t="inlineStr">
        <is>
          <t>1</t>
        </is>
      </c>
      <c r="J2514">
        <f>((Inputs!$B$6*(1+Inputs!$B$7/100))+(((Inputs!$B$12*(1+Inputs!$B$13/100))-(Inputs!$B$12*(1+Inputs!$B$13/100)))+0.25*(Inputs!$B$14-Inputs!$B$14))*(1+Inputs!$B$7/100))*(F2514/100)</f>
        <v/>
      </c>
      <c r="K2514">
        <f>J2514*(1+((Inputs!$B$12*(1+Inputs!$B$13/100))*0.01+Inputs!$B$14*0.0025)/100)*(1+Inputs!$B$15/100)*(1+Inputs!$B$16/100)*(5000/(6000+Inputs!$B$42*(1-(100*(1-(1-(Inputs!$B$19+0)/100)*(1-CHOOSE(ArtifactsInput!$N$40+1,5,6,7,8,9,10)/100)^(ArtifactsInput!$M$40-ArtifactsInput!$M$40)))/100)))*(1+(Inputs!$B$24+((C2535=TRUE)*(F2535-Calc!F26))+B2546)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IF(ArtifactsInput!$M$34,FALSE,TRUE),1,-1)*IF(TRUE,MIN(CHOOSE(ArtifactsInput!$N$34+1,10,12,14,16,18,20),MAX(0,(CHOOSE(ArtifactsInput!$N$34+1,0.5,0.6,0.7,0.8,0.9,1)/3)*(Inputs!$B$11-60))),0)))/100)*(1+0.4*IF(C2525=TRUE,F2525,0)/100)*(1+(IF(Skills!A5="EIGHT_LEGS_EASTON",Inputs!$B$17+((C2532=TRUE)*(F2532-Calc!F23))+((C2536=TRUE)*(F2536-Calc!F27))+((IF(AND(Inputs!$B$38&lt;&gt;"pvp",Inputs!$B$43=0),1,IF(IF(Inputs!$B$38="pvp",15,Inputs!$B$43)-(B2547)&lt;=0,1,MAX(0,IF(Inputs!$B$38="pvp",15,Inputs!$B$43)-MAX(5,B2547))/(IF(Inputs!$B$38="pvp",15,Inputs!$B$43)-(B2547))))*(IF(AND(ArtifactsInput!$M$42,((Inputs!$B$9+((C2528=TRUE)*(F2528-Calc!F19))+B2540+(ArtifactsInput!$M$24-ArtifactsInput!$M$24)*CHOOSE(ArtifactsInput!$N$24+1,10,12,14,16,18,20)+IF(ArtifactsInput!$M$10,CHOOSE(ArtifactsInput!$N$10+1,15,18,21,24,27,30)*(IF(Inputs!$B$38="pvp",MIN(15,15)/15,IF(AND(Inputs!$B$38&lt;&gt;"pvp",Inputs!$B$43&gt;0),MIN(15,Inputs!$B$43)/(Inputs!$B$43),0))),0)))&gt;=100),MIN(100,((Inputs!$B$9+((C2528=TRUE)*(F2528-Calc!F19))+B2540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2547)&lt;=0,1,MAX(0,IF(Inputs!$B$38="pvp",15,Inputs!$B$43)-MAX(5,B2547))/(IF(Inputs!$B$38="pvp",15,Inputs!$B$43)-(B2547))))*IF(AND(ArtifactsInput!$M$42,((Inputs!$B$9+((C2528=TRUE)*(F2528-Calc!F19))+B2540+(ArtifactsInput!$M$24-ArtifactsInput!$M$24)*CHOOSE(ArtifactsInput!$N$24+1,10,12,14,16,18,20)+IF(ArtifactsInput!$M$10,CHOOSE(ArtifactsInput!$N$10+1,15,18,21,24,27,30)*(IF(Inputs!$B$38="pvp",MIN(15,15)/15,IF(AND(Inputs!$B$38&lt;&gt;"pvp",Inputs!$B$43&gt;0),MIN(15,Inputs!$B$43)/(Inputs!$B$43),0))),0)))&gt;=100),CHOOSE(ArtifactsInput!$N$42+1,40,48,56,64,72,80),0))))/100)*((1+(((C2526=TRUE)*F2526*5/7)+((C2533=TRUE)*(F2533-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IF(ArtifactsInput!$M$34,FALSE,TRUE),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2514)</f>
        <v/>
      </c>
      <c r="L2514">
        <f>K2514*(MIN(Inputs!$B$22+((C2531=TRUE)*(F2531-Calc!F22)),(Inputs!$B$23+0+(IF(ArtifactsInput!$M$15,CHOOSE(ArtifactsInput!$N$15+1,25,30,35,40,45,50)/100*(Inputs!$B$11-Inputs!$B$11),0))))/100+(Inputs!$B$23+0+(IF(ArtifactsInput!$M$15,CHOOSE(ArtifactsInput!$N$15+1,25,30,35,40,45,50)/100*(Inputs!$B$11-Inputs!$B$11),0)))/100)/2</f>
        <v/>
      </c>
      <c r="M2514">
        <f>L2514*(1+(Inputs!$B$10+((C2534=TRUE)*(F2534-Calc!F25))+B2545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14">
        <f>L2514*(1-MIN((Inputs!$B$9+((C2528=TRUE)*(F2528-Calc!F19))+B2540+(ArtifactsInput!$M$24-ArtifactsInput!$M$24)*CHOOSE(ArtifactsInput!$N$24+1,10,12,14,16,18,20)+(IF(AND(Inputs!$B$38&lt;&gt;"pvp",Inputs!$B$43=0),1,IF(IF(Inputs!$B$38="pvp",15,Inputs!$B$43)-(B2547)&lt;=0,1,MAX(0,IF(Inputs!$B$38="pvp",15,Inputs!$B$43)-MAX(5,B2547))/(IF(Inputs!$B$38="pvp",15,Inputs!$B$43)-(B2547))))*IF(AND(ArtifactsInput!$M$42,((Inputs!$B$9+((C2528=TRUE)*(F2528-Calc!F19))+B2540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2514*(MIN((Inputs!$B$9+((C2528=TRUE)*(F2528-Calc!F19))+B2540+(ArtifactsInput!$M$24-ArtifactsInput!$M$24)*CHOOSE(ArtifactsInput!$N$24+1,10,12,14,16,18,20)+(IF(AND(Inputs!$B$38&lt;&gt;"pvp",Inputs!$B$43=0),1,IF(IF(Inputs!$B$38="pvp",15,Inputs!$B$43)-(B2547)&lt;=0,1,MAX(0,IF(Inputs!$B$38="pvp",15,Inputs!$B$43)-MAX(5,B2547))/(IF(Inputs!$B$38="pvp",15,Inputs!$B$43)-(B2547))))*IF(AND(ArtifactsInput!$M$42,((Inputs!$B$9+((C2528=TRUE)*(F2528-Calc!F19))+B2540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14">
        <f>(1-Summary!$B$11)*T2514+Summary!$B$11*V2514</f>
        <v/>
      </c>
      <c r="P2514">
        <f>IF(B2550=0,0,O2514/B2550)</f>
        <v/>
      </c>
      <c r="Q2514">
        <f>IFERROR(1/(IF(Inputs!$B$38="pvp",15,MAX(0.1,Skills!D5-IF(TRUE=TRUE,Inputs!$B$32,0)))*(1-IF(AND(ArtifactsInput!$M$27,Inputs!$B$4="Chapter Hunt"),CHOOSE(ArtifactsInput!$N$27+1,20,24,28,32,36,40),0)/100)),0)</f>
        <v/>
      </c>
      <c r="R2514">
        <f>IF(AND(Inputs!$B$38&lt;&gt;"pvp",Inputs!$B$43&gt;0),IF(MAX(0,Inputs!$B$43-B2547)&lt;=0,0,(INT(MAX(0,Inputs!$B$43-B2547)/(IF(Inputs!$B$38="pvp",15,MAX(0.1,Skills!D5-IF(TRUE=TRUE,Inputs!$B$32,0)))*(1-IF(AND(ArtifactsInput!$M$27,Inputs!$B$4="Chapter Hunt"),CHOOSE(ArtifactsInput!$N$27+1,20,24,28,32,36,40),0)/100)))+1)),0)</f>
        <v/>
      </c>
      <c r="S2514">
        <f>IFERROR(O2514/N2514,0)</f>
        <v/>
      </c>
      <c r="T2514">
        <f>IF(C2514,(H2514*N2514*IF(AND(Inputs!$B$38&lt;&gt;"pvp",Inputs!$B$43&gt;0),((Skills!G5*((R2514-1)*IF(Skills!H5&gt;0,INT(IF(Inputs!$B$3&gt;=104,MIN(35,20*(1+Inputs!$B$34/100)),20)/Skills!H5+0.000000001),1)+IF(Skills!H5&gt;0,INT(MIN(IF(Inputs!$B$3&gt;=104,MIN(35,20*(1+Inputs!$B$34/100)),20),MAX(0,MAX(0,Inputs!$B$43-B2547)-((R2514-1)*(IF(Inputs!$B$38="pvp",15,MAX(0.1,Skills!D5-IF(TRUE=TRUE,Inputs!$B$32,0)))*(1-IF(AND(ArtifactsInput!$M$27,Inputs!$B$4="Chapter Hunt"),CHOOSE(ArtifactsInput!$N$27+1,20,24,28,32,36,40),0)/100)))))/Skills!H5+0.000000001),1)))/Inputs!$B$43),G2514*Q2514))*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Hunt"),CHOOSE(ArtifactsInput!$N$35+1,15,18,21,24,27,30)*(1-EXP(-(0.2*B2542)*5)),0)+IF(AND(ArtifactsInput!$M$22,Inputs!$B$4&lt;&gt;"Chapter Hunt"),CHOOSE(ArtifactsInput!$N$22+1,10,12,14,16,18,20)*((0*(((0.15*B2542*5))^0/1)+1*(((0.15*B2542*5))^1/1)+2*(((0.15*B2542*5))^2/2)+3*(((0.15*B2542*5))^3/6)+4*(((0.15*B2542*5))^4/24)+5*(((0.15*B2542*5))^5/120))/((((0.15*B2542*5))^0/1)+(((0.15*B2542*5))^1/1)+(((0.15*B2542*5))^2/2)+(((0.15*B2542*5))^3/6)+(((0.15*B2542*5))^4/24)+(((0.15*B2542*5))^5/120))),0))+IF(Inputs!$B$3&gt;=54,9*(C2512=TRUE)*MIN(1,8*(1+Inputs!$B$34/100)*Q2512)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2514*(1-MIN(100,(Inputs!$B$9+((C2528=TRUE)*(F2528-Calc!F19))+B2540+(ArtifactsInput!$M$24-ArtifactsInput!$M$24)*CHOOSE(ArtifactsInput!$N$24+1,10,12,14,16,18,20)+(IF(AND(Inputs!$B$38&lt;&gt;"pvp",Inputs!$B$43=0),1,IF(IF(Inputs!$B$38="pvp",15,Inputs!$B$43)-(B2547)&lt;=0,1,MAX(0,IF(Inputs!$B$38="pvp",15,Inputs!$B$43)-MAX(5,B2547))/(IF(Inputs!$B$38="pvp",15,Inputs!$B$43)-(B2547))))*IF(AND(ArtifactsInput!$M$42,((Inputs!$B$9+((C2528=TRUE)*(F2528-Calc!F19))+B2540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2514*(MIN(100,(Inputs!$B$9+((C2528=TRUE)*(F2528-Calc!F19))+B2540+(ArtifactsInput!$M$24-ArtifactsInput!$M$24)*CHOOSE(ArtifactsInput!$N$24+1,10,12,14,16,18,20)+(IF(AND(Inputs!$B$38&lt;&gt;"pvp",Inputs!$B$43=0),1,IF(IF(Inputs!$B$38="pvp",15,Inputs!$B$43)-(B2547)&lt;=0,1,MAX(0,IF(Inputs!$B$38="pvp",15,Inputs!$B$43)-MAX(5,B2547))/(IF(Inputs!$B$38="pvp",15,Inputs!$B$43)-(B2547))))*IF(AND(ArtifactsInput!$M$42,((Inputs!$B$9+((C2528=TRUE)*(F2528-Calc!F19))+B2540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2514*(1-MIN(100,(Inputs!$B$9+((C2528=TRUE)*(F2528-Calc!F19))+B2540+(ArtifactsInput!$M$24-ArtifactsInput!$M$24)*CHOOSE(ArtifactsInput!$N$24+1,10,12,14,16,18,20)+(IF(AND(Inputs!$B$38&lt;&gt;"pvp",Inputs!$B$43=0),1,IF(IF(Inputs!$B$38="pvp",15,Inputs!$B$43)-(B2547)&lt;=0,1,MAX(0,IF(Inputs!$B$38="pvp",15,Inputs!$B$43)-MAX(5,B2547))/(IF(Inputs!$B$38="pvp",15,Inputs!$B$43)-(B2547))))*IF(AND(ArtifactsInput!$M$42,((Inputs!$B$9+((C2528=TRUE)*(F2528-Calc!F19))+B2540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2514*(MIN(100,(Inputs!$B$9+((C2528=TRUE)*(F2528-Calc!F19))+B2540+(ArtifactsInput!$M$24-ArtifactsInput!$M$24)*CHOOSE(ArtifactsInput!$N$24+1,10,12,14,16,18,20)+(IF(AND(Inputs!$B$38&lt;&gt;"pvp",Inputs!$B$43=0),1,IF(IF(Inputs!$B$38="pvp",15,Inputs!$B$43)-(B2547)&lt;=0,1,MAX(0,IF(Inputs!$B$38="pvp",15,Inputs!$B$43)-MAX(5,B2547))/(IF(Inputs!$B$38="pvp",15,Inputs!$B$43)-(B2547))))*IF(AND(ArtifactsInput!$M$42,((Inputs!$B$9+((C2528=TRUE)*(F2528-Calc!F19))+B2540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514">
        <f>IF(C2514,(H2514*N2514*IF(AND(Inputs!$B$38&lt;&gt;"pvp",Inputs!$B$43&gt;0),((Skills!G5*((R2514-1)*IF(Skills!H5&gt;0,INT(IF(Inputs!$B$3&gt;=104,MIN(35,20*(1+Inputs!$B$34/100)),20)/Skills!H5+0.000000001),1)+IF(Skills!H5&gt;0,INT(MIN(IF(Inputs!$B$3&gt;=104,MIN(35,20*(1+Inputs!$B$34/100)),20),MAX(0,MAX(0,Inputs!$B$43-B2547)-((R2514-1)*(IF(Inputs!$B$38="pvp",15,MAX(0.1,Skills!D5-IF(TRUE=TRUE,Inputs!$B$32,0)))*(1-IF(AND(ArtifactsInput!$M$27,Inputs!$B$4="Chapter Hunt"),CHOOSE(ArtifactsInput!$N$27+1,20,24,28,32,36,40),0)/100)))))/Skills!H5+0.000000001),1)))/Inputs!$B$43),G2514*Q2514))*IF(Inputs!$B$38="pvp",1,(1+(Inputs!$B$21+Skills!Q5+(IF(ArtifactsInput!$M$33,CHOOSE(ArtifactsInput!$N$33+1,30,36,42,48,54,60),0))+(IF(AND(ArtifactsInput!$M$35,Inputs!$B$4&lt;&gt;"Chapter Hunt"),CHOOSE(ArtifactsInput!$N$35+1,15,18,21,24,27,30)*(1-EXP(-(0.2*B2542)*5)),0)+IF(AND(ArtifactsInput!$M$22,Inputs!$B$4&lt;&gt;"Chapter Hunt"),CHOOSE(ArtifactsInput!$N$22+1,10,12,14,16,18,20)*((0*(((0.15*B2542*5))^0/1)+1*(((0.15*B2542*5))^1/1)+2*(((0.15*B2542*5))^2/2)+3*(((0.15*B2542*5))^3/6)+4*(((0.15*B2542*5))^4/24)+5*(((0.15*B2542*5))^5/120))/((((0.15*B2542*5))^0/1)+(((0.15*B2542*5))^1/1)+(((0.15*B2542*5))^2/2)+(((0.15*B2542*5))^3/6)+(((0.15*B2542*5))^4/24)+(((0.15*B2542*5))^5/120))),0))+IF(Inputs!$B$3&gt;=54,9*(C2512=TRUE)*MIN(1,8*(1+Inputs!$B$34/100)*Q2512),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15">
      <c r="A2515">
        <f>Skills!A6</f>
        <v/>
      </c>
      <c r="B2515">
        <f>Skills!B6</f>
        <v/>
      </c>
      <c r="C2515">
        <f>Inputs!$B$3&gt;=66</f>
        <v/>
      </c>
      <c r="D2515">
        <f>IF(Skills!C6=1,60+Inputs!$B$25+Inputs!$B$29,IF(Skills!C6=2,90+Inputs!$B$26+Inputs!$B$29,IF(Skills!C6=3,120+Inputs!$B$27+Inputs!$B$29,MAX(0,(Inputs!$B$3-100)*3)+Inputs!$B$28+Inputs!$B$29)))</f>
        <v/>
      </c>
      <c r="E2515">
        <f>INDEX(FactorTable!$B$2:$Y$301, MATCH(ROUND(MIN(300,MAX(1,D2515)),0), FactorTable!$A$2:$A$301,0), Skills!M6+1)</f>
        <v/>
      </c>
      <c r="F2515">
        <f>IF(Skills!N6=TRUE,(Skills!L6/10)*(E2515/1000),Skills!L6/10)+Skills!O6</f>
        <v/>
      </c>
      <c r="G2515">
        <f>Skills!G6*IF(Skills!H6&gt;0,INT(IF(Inputs!$B$38="pvp",MIN(Skills!I6,15),Skills!I6)/Skills!H6+0.000000001),1)</f>
        <v/>
      </c>
      <c r="H2515">
        <f>1-(1-Skills!J6/100)^Skills!K6</f>
        <v/>
      </c>
      <c r="I2515" t="inlineStr">
        <is>
          <t>1</t>
        </is>
      </c>
      <c r="J2515">
        <f>((Inputs!$B$6*(1+Inputs!$B$7/100))+(((Inputs!$B$12*(1+Inputs!$B$13/100))-(Inputs!$B$12*(1+Inputs!$B$13/100)))+0.25*(Inputs!$B$14-Inputs!$B$14))*(1+Inputs!$B$7/100))*(F2515/100)</f>
        <v/>
      </c>
      <c r="K2515">
        <f>J2515*(1+((Inputs!$B$12*(1+Inputs!$B$13/100))*0.01+Inputs!$B$14*0.0025)/100)*(1+Inputs!$B$15/100)*(1+Inputs!$B$16/100)*(5000/(6000+Inputs!$B$42*(1-(100*(1-(1-(Inputs!$B$19+0)/100)*(1-CHOOSE(ArtifactsInput!$N$40+1,5,6,7,8,9,10)/100)^(ArtifactsInput!$M$40-ArtifactsInput!$M$40)))/100)))*(1+(Inputs!$B$24+((C2535=TRUE)*(F2535-Calc!F26))+B2546)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IF(ArtifactsInput!$M$34,FALSE,TRUE),1,-1)*IF(TRUE,MIN(CHOOSE(ArtifactsInput!$N$34+1,10,12,14,16,18,20),MAX(0,(CHOOSE(ArtifactsInput!$N$34+1,0.5,0.6,0.7,0.8,0.9,1)/3)*(Inputs!$B$11-60))),0)))/100)*(1+2.0*IF(C2524=TRUE,F2524,0)/100)*(1+(IF(Skills!A6="EIGHT_LEGS_EASTON",Inputs!$B$17+((C2532=TRUE)*(F2532-Calc!F23))+((C2536=TRUE)*(F2536-Calc!F27))+((IF(AND(Inputs!$B$38&lt;&gt;"pvp",Inputs!$B$43=0),1,IF(IF(Inputs!$B$38="pvp",15,Inputs!$B$43)-(B2547)&lt;=0,1,MAX(0,IF(Inputs!$B$38="pvp",15,Inputs!$B$43)-MAX(5,B2547))/(IF(Inputs!$B$38="pvp",15,Inputs!$B$43)-(B2547))))*(IF(AND(ArtifactsInput!$M$42,((Inputs!$B$9+((C2528=TRUE)*(F2528-Calc!F19))+B2540+(ArtifactsInput!$M$24-ArtifactsInput!$M$24)*CHOOSE(ArtifactsInput!$N$24+1,10,12,14,16,18,20)+IF(ArtifactsInput!$M$10,CHOOSE(ArtifactsInput!$N$10+1,15,18,21,24,27,30)*(IF(Inputs!$B$38="pvp",MIN(15,15)/15,IF(AND(Inputs!$B$38&lt;&gt;"pvp",Inputs!$B$43&gt;0),MIN(15,Inputs!$B$43)/(Inputs!$B$43),0))),0)))&gt;=100),MIN(100,((Inputs!$B$9+((C2528=TRUE)*(F2528-Calc!F19))+B2540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2547)&lt;=0,1,MAX(0,IF(Inputs!$B$38="pvp",15,Inputs!$B$43)-MAX(5,B2547))/(IF(Inputs!$B$38="pvp",15,Inputs!$B$43)-(B2547))))*IF(AND(ArtifactsInput!$M$42,((Inputs!$B$9+((C2528=TRUE)*(F2528-Calc!F19))+B2540+(ArtifactsInput!$M$24-ArtifactsInput!$M$24)*CHOOSE(ArtifactsInput!$N$24+1,10,12,14,16,18,20)+IF(ArtifactsInput!$M$10,CHOOSE(ArtifactsInput!$N$10+1,15,18,21,24,27,30)*(IF(Inputs!$B$38="pvp",MIN(15,15)/15,IF(AND(Inputs!$B$38&lt;&gt;"pvp",Inputs!$B$43&gt;0),MIN(15,Inputs!$B$43)/(Inputs!$B$43),0))),0)))&gt;=100),CHOOSE(ArtifactsInput!$N$42+1,40,48,56,64,72,80),0))))/100)*((1+(((C2526=TRUE)*F2526*5/7)+((C2533=TRUE)*(F2533-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IF(ArtifactsInput!$M$34,FALSE,TRUE),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2515)</f>
        <v/>
      </c>
      <c r="L2515">
        <f>K2515*(MIN(Inputs!$B$22+((C2531=TRUE)*(F2531-Calc!F22)),(Inputs!$B$23+0+(IF(ArtifactsInput!$M$15,CHOOSE(ArtifactsInput!$N$15+1,25,30,35,40,45,50)/100*(Inputs!$B$11-Inputs!$B$11),0))))/100+(Inputs!$B$23+0+(IF(ArtifactsInput!$M$15,CHOOSE(ArtifactsInput!$N$15+1,25,30,35,40,45,50)/100*(Inputs!$B$11-Inputs!$B$11),0)))/100)/2</f>
        <v/>
      </c>
      <c r="M2515">
        <f>L2515*(1+(Inputs!$B$10+((C2534=TRUE)*(F2534-Calc!F25))+B2545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15">
        <f>L2515*(1-MIN((Inputs!$B$9+((C2528=TRUE)*(F2528-Calc!F19))+B2540+(ArtifactsInput!$M$24-ArtifactsInput!$M$24)*CHOOSE(ArtifactsInput!$N$24+1,10,12,14,16,18,20)+(IF(AND(Inputs!$B$38&lt;&gt;"pvp",Inputs!$B$43=0),1,IF(IF(Inputs!$B$38="pvp",15,Inputs!$B$43)-(B2547)&lt;=0,1,MAX(0,IF(Inputs!$B$38="pvp",15,Inputs!$B$43)-MAX(5,B2547))/(IF(Inputs!$B$38="pvp",15,Inputs!$B$43)-(B2547))))*IF(AND(ArtifactsInput!$M$42,((Inputs!$B$9+((C2528=TRUE)*(F2528-Calc!F19))+B2540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2515*(MIN((Inputs!$B$9+((C2528=TRUE)*(F2528-Calc!F19))+B2540+(ArtifactsInput!$M$24-ArtifactsInput!$M$24)*CHOOSE(ArtifactsInput!$N$24+1,10,12,14,16,18,20)+(IF(AND(Inputs!$B$38&lt;&gt;"pvp",Inputs!$B$43=0),1,IF(IF(Inputs!$B$38="pvp",15,Inputs!$B$43)-(B2547)&lt;=0,1,MAX(0,IF(Inputs!$B$38="pvp",15,Inputs!$B$43)-MAX(5,B2547))/(IF(Inputs!$B$38="pvp",15,Inputs!$B$43)-(B2547))))*IF(AND(ArtifactsInput!$M$42,((Inputs!$B$9+((C2528=TRUE)*(F2528-Calc!F19))+B2540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15">
        <f>(1-Summary!$B$11)*T2515+Summary!$B$11*V2515</f>
        <v/>
      </c>
      <c r="P2515">
        <f>IF(B2550=0,0,O2515/B2550)</f>
        <v/>
      </c>
      <c r="Q2515">
        <f>IFERROR(1/(IF(Inputs!$B$38="pvp",15,MAX(0.1,Skills!D6-IF(TRUE=TRUE,Inputs!$B$32,0)))*(1-IF(AND(ArtifactsInput!$M$27,Inputs!$B$4="Chapter Hunt"),CHOOSE(ArtifactsInput!$N$27+1,20,24,28,32,36,40),0)/100)),0)</f>
        <v/>
      </c>
      <c r="R2515">
        <f>IF(AND(Inputs!$B$38&lt;&gt;"pvp",Inputs!$B$43&gt;0),IF(MAX(0,Inputs!$B$43-B2547)&lt;=0,0,(INT(MAX(0,Inputs!$B$43-B2547)/(IF(Inputs!$B$38="pvp",15,MAX(0.1,Skills!D6-IF(TRUE=TRUE,Inputs!$B$32,0)))*(1-IF(AND(ArtifactsInput!$M$27,Inputs!$B$4="Chapter Hunt"),CHOOSE(ArtifactsInput!$N$27+1,20,24,28,32,36,40),0)/100)))+1)),0)</f>
        <v/>
      </c>
      <c r="S2515">
        <f>IFERROR(O2515/N2515,0)</f>
        <v/>
      </c>
      <c r="T2515">
        <f>IF(C2515,(H2515*N2515*IF(AND(Inputs!$B$38&lt;&gt;"pvp",Inputs!$B$43&gt;0),((Skills!G6*((R2515-1)*IF(Skills!H6&gt;0,INT(Skills!I6/Skills!H6+0.000000001),1)+IF(Skills!H6&gt;0,INT(MIN(Skills!I6,MAX(0,MAX(0,Inputs!$B$43-B2547)-((R2515-1)*(IF(Inputs!$B$38="pvp",15,MAX(0.1,Skills!D6-IF(TRUE=TRUE,Inputs!$B$32,0)))*(1-IF(AND(ArtifactsInput!$M$27,Inputs!$B$4="Chapter Hunt"),CHOOSE(ArtifactsInput!$N$27+1,20,24,28,32,36,40),0)/100)))))/Skills!H6+0.000000001),1)))/Inputs!$B$43),G2515*Q2515))*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Hunt"),CHOOSE(ArtifactsInput!$N$35+1,15,18,21,24,27,30)*(1-EXP(-(0.2*B2542)*5)),0)+IF(AND(ArtifactsInput!$M$22,Inputs!$B$4&lt;&gt;"Chapter Hunt"),CHOOSE(ArtifactsInput!$N$22+1,10,12,14,16,18,20)*((0*(((0.15*B2542*5))^0/1)+1*(((0.15*B2542*5))^1/1)+2*(((0.15*B2542*5))^2/2)+3*(((0.15*B2542*5))^3/6)+4*(((0.15*B2542*5))^4/24)+5*(((0.15*B2542*5))^5/120))/((((0.15*B2542*5))^0/1)+(((0.15*B2542*5))^1/1)+(((0.15*B2542*5))^2/2)+(((0.15*B2542*5))^3/6)+(((0.15*B2542*5))^4/24)+(((0.15*B2542*5))^5/120))),0))+IF(Inputs!$B$3&gt;=54,9*(C2512=TRUE)*MIN(1,8*(1+Inputs!$B$34/100)*Q2512)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2515*(1-MIN(100,(Inputs!$B$9+((C2528=TRUE)*(F2528-Calc!F19))+B2540+(ArtifactsInput!$M$24-ArtifactsInput!$M$24)*CHOOSE(ArtifactsInput!$N$24+1,10,12,14,16,18,20)+(IF(AND(Inputs!$B$38&lt;&gt;"pvp",Inputs!$B$43=0),1,IF(IF(Inputs!$B$38="pvp",15,Inputs!$B$43)-(B2547)&lt;=0,1,MAX(0,IF(Inputs!$B$38="pvp",15,Inputs!$B$43)-MAX(5,B2547))/(IF(Inputs!$B$38="pvp",15,Inputs!$B$43)-(B2547))))*IF(AND(ArtifactsInput!$M$42,((Inputs!$B$9+((C2528=TRUE)*(F2528-Calc!F19))+B2540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2515*(MIN(100,(Inputs!$B$9+((C2528=TRUE)*(F2528-Calc!F19))+B2540+(ArtifactsInput!$M$24-ArtifactsInput!$M$24)*CHOOSE(ArtifactsInput!$N$24+1,10,12,14,16,18,20)+(IF(AND(Inputs!$B$38&lt;&gt;"pvp",Inputs!$B$43=0),1,IF(IF(Inputs!$B$38="pvp",15,Inputs!$B$43)-(B2547)&lt;=0,1,MAX(0,IF(Inputs!$B$38="pvp",15,Inputs!$B$43)-MAX(5,B2547))/(IF(Inputs!$B$38="pvp",15,Inputs!$B$43)-(B2547))))*IF(AND(ArtifactsInput!$M$42,((Inputs!$B$9+((C2528=TRUE)*(F2528-Calc!F19))+B2540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2515*(1-MIN(100,(Inputs!$B$9+((C2528=TRUE)*(F2528-Calc!F19))+B2540+(ArtifactsInput!$M$24-ArtifactsInput!$M$24)*CHOOSE(ArtifactsInput!$N$24+1,10,12,14,16,18,20)+(IF(AND(Inputs!$B$38&lt;&gt;"pvp",Inputs!$B$43=0),1,IF(IF(Inputs!$B$38="pvp",15,Inputs!$B$43)-(B2547)&lt;=0,1,MAX(0,IF(Inputs!$B$38="pvp",15,Inputs!$B$43)-MAX(5,B2547))/(IF(Inputs!$B$38="pvp",15,Inputs!$B$43)-(B2547))))*IF(AND(ArtifactsInput!$M$42,((Inputs!$B$9+((C2528=TRUE)*(F2528-Calc!F19))+B2540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2515*(MIN(100,(Inputs!$B$9+((C2528=TRUE)*(F2528-Calc!F19))+B2540+(ArtifactsInput!$M$24-ArtifactsInput!$M$24)*CHOOSE(ArtifactsInput!$N$24+1,10,12,14,16,18,20)+(IF(AND(Inputs!$B$38&lt;&gt;"pvp",Inputs!$B$43=0),1,IF(IF(Inputs!$B$38="pvp",15,Inputs!$B$43)-(B2547)&lt;=0,1,MAX(0,IF(Inputs!$B$38="pvp",15,Inputs!$B$43)-MAX(5,B2547))/(IF(Inputs!$B$38="pvp",15,Inputs!$B$43)-(B2547))))*IF(AND(ArtifactsInput!$M$42,((Inputs!$B$9+((C2528=TRUE)*(F2528-Calc!F19))+B2540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515">
        <f>IF(C2515,(H2515*N2515*IF(AND(Inputs!$B$38&lt;&gt;"pvp",Inputs!$B$43&gt;0),((Skills!G6*((R2515-1)*IF(Skills!H6&gt;0,INT(Skills!I6/Skills!H6+0.000000001),1)+IF(Skills!H6&gt;0,INT(MIN(Skills!I6,MAX(0,MAX(0,Inputs!$B$43-B2547)-((R2515-1)*(IF(Inputs!$B$38="pvp",15,MAX(0.1,Skills!D6-IF(TRUE=TRUE,Inputs!$B$32,0)))*(1-IF(AND(ArtifactsInput!$M$27,Inputs!$B$4="Chapter Hunt"),CHOOSE(ArtifactsInput!$N$27+1,20,24,28,32,36,40),0)/100)))))/Skills!H6+0.000000001),1)))/Inputs!$B$43),G2515*Q2515))*IF(Inputs!$B$38="pvp",1,(1+(Inputs!$B$21+Skills!Q6+(IF(ArtifactsInput!$M$33,CHOOSE(ArtifactsInput!$N$33+1,30,36,42,48,54,60),0))+(IF(AND(ArtifactsInput!$M$35,Inputs!$B$4&lt;&gt;"Chapter Hunt"),CHOOSE(ArtifactsInput!$N$35+1,15,18,21,24,27,30)*(1-EXP(-(0.2*B2542)*5)),0)+IF(AND(ArtifactsInput!$M$22,Inputs!$B$4&lt;&gt;"Chapter Hunt"),CHOOSE(ArtifactsInput!$N$22+1,10,12,14,16,18,20)*((0*(((0.15*B2542*5))^0/1)+1*(((0.15*B2542*5))^1/1)+2*(((0.15*B2542*5))^2/2)+3*(((0.15*B2542*5))^3/6)+4*(((0.15*B2542*5))^4/24)+5*(((0.15*B2542*5))^5/120))/((((0.15*B2542*5))^0/1)+(((0.15*B2542*5))^1/1)+(((0.15*B2542*5))^2/2)+(((0.15*B2542*5))^3/6)+(((0.15*B2542*5))^4/24)+(((0.15*B2542*5))^5/120))),0))+IF(Inputs!$B$3&gt;=54,9*(C2512=TRUE)*MIN(1,8*(1+Inputs!$B$34/100)*Q2512),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16">
      <c r="A2516">
        <f>Skills!A7</f>
        <v/>
      </c>
      <c r="B2516">
        <f>Skills!B7</f>
        <v/>
      </c>
      <c r="C2516">
        <f>Inputs!$B$3&gt;=63</f>
        <v/>
      </c>
      <c r="D2516">
        <f>IF(Skills!C7=1,60+Inputs!$B$25+Inputs!$B$29,IF(Skills!C7=2,90+Inputs!$B$26+Inputs!$B$29,IF(Skills!C7=3,120+Inputs!$B$27+Inputs!$B$29,MAX(0,(Inputs!$B$3-100)*3)+Inputs!$B$28+Inputs!$B$29)))</f>
        <v/>
      </c>
      <c r="E2516">
        <f>INDEX(FactorTable!$B$2:$Y$301, MATCH(ROUND(MIN(300,MAX(1,D2516)),0), FactorTable!$A$2:$A$301,0), Skills!M7+1)</f>
        <v/>
      </c>
      <c r="F2516">
        <f>IF(Skills!N7=TRUE,(Skills!L7/10)*(E2516/1000),Skills!L7/10)+Skills!O7</f>
        <v/>
      </c>
      <c r="G2516">
        <f>Skills!G7*IF(Skills!H7&gt;0,INT(IF(Inputs!$B$38="pvp",MIN(Skills!I7,15),Skills!I7)/Skills!H7+0.000000001),1)</f>
        <v/>
      </c>
      <c r="H2516">
        <f>1-(1-Skills!J7/100)^Skills!K7</f>
        <v/>
      </c>
      <c r="I2516" t="inlineStr">
        <is>
          <t>1</t>
        </is>
      </c>
      <c r="J2516">
        <f>((Inputs!$B$6*(1+Inputs!$B$7/100))+(((Inputs!$B$12*(1+Inputs!$B$13/100))-(Inputs!$B$12*(1+Inputs!$B$13/100)))+0.25*(Inputs!$B$14-Inputs!$B$14))*(1+Inputs!$B$7/100))*(F2516/100)</f>
        <v/>
      </c>
      <c r="K2516">
        <f>J2516*(1+((Inputs!$B$12*(1+Inputs!$B$13/100))*0.01+Inputs!$B$14*0.0025)/100)*(1+Inputs!$B$15/100)*(1+Inputs!$B$16/100)*(5000/(6000+Inputs!$B$42*(1-(100*(1-(1-(Inputs!$B$19+0)/100)*(1-CHOOSE(ArtifactsInput!$N$40+1,5,6,7,8,9,10)/100)^(ArtifactsInput!$M$40-ArtifactsInput!$M$40)))/100)))*(1+(Inputs!$B$24+((C2535=TRUE)*(F2535-Calc!F26))+B2546)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IF(ArtifactsInput!$M$34,FALSE,TRUE),1,-1)*IF(TRUE,MIN(CHOOSE(ArtifactsInput!$N$34+1,10,12,14,16,18,20),MAX(0,(CHOOSE(ArtifactsInput!$N$34+1,0.5,0.6,0.7,0.8,0.9,1)/3)*(Inputs!$B$11-60))),0)))/100)*(1+1.0*IF(C2524=TRUE,F2524,0)/100)*(1+(IF(Skills!A7="EIGHT_LEGS_EASTON",Inputs!$B$17+((C2532=TRUE)*(F2532-Calc!F23))+((C2536=TRUE)*(F2536-Calc!F27))+((IF(AND(Inputs!$B$38&lt;&gt;"pvp",Inputs!$B$43=0),1,IF(IF(Inputs!$B$38="pvp",15,Inputs!$B$43)-(B2547)&lt;=0,1,MAX(0,IF(Inputs!$B$38="pvp",15,Inputs!$B$43)-MAX(5,B2547))/(IF(Inputs!$B$38="pvp",15,Inputs!$B$43)-(B2547))))*(IF(AND(ArtifactsInput!$M$42,((Inputs!$B$9+((C2528=TRUE)*(F2528-Calc!F19))+B2540+(ArtifactsInput!$M$24-ArtifactsInput!$M$24)*CHOOSE(ArtifactsInput!$N$24+1,10,12,14,16,18,20)+IF(ArtifactsInput!$M$10,CHOOSE(ArtifactsInput!$N$10+1,15,18,21,24,27,30)*(IF(Inputs!$B$38="pvp",MIN(15,15)/15,IF(AND(Inputs!$B$38&lt;&gt;"pvp",Inputs!$B$43&gt;0),MIN(15,Inputs!$B$43)/(Inputs!$B$43),0))),0)))&gt;=100),MIN(100,((Inputs!$B$9+((C2528=TRUE)*(F2528-Calc!F19))+B2540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2547)&lt;=0,1,MAX(0,IF(Inputs!$B$38="pvp",15,Inputs!$B$43)-MAX(5,B2547))/(IF(Inputs!$B$38="pvp",15,Inputs!$B$43)-(B2547))))*IF(AND(ArtifactsInput!$M$42,((Inputs!$B$9+((C2528=TRUE)*(F2528-Calc!F19))+B2540+(ArtifactsInput!$M$24-ArtifactsInput!$M$24)*CHOOSE(ArtifactsInput!$N$24+1,10,12,14,16,18,20)+IF(ArtifactsInput!$M$10,CHOOSE(ArtifactsInput!$N$10+1,15,18,21,24,27,30)*(IF(Inputs!$B$38="pvp",MIN(15,15)/15,IF(AND(Inputs!$B$38&lt;&gt;"pvp",Inputs!$B$43&gt;0),MIN(15,Inputs!$B$43)/(Inputs!$B$43),0))),0)))&gt;=100),CHOOSE(ArtifactsInput!$N$42+1,40,48,56,64,72,80),0))))/100)*((1+(((C2526=TRUE)*F2526*5/7)+((C2533=TRUE)*(F2533-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IF(ArtifactsInput!$M$34,FALSE,TRUE),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2516)</f>
        <v/>
      </c>
      <c r="L2516">
        <f>K2516*(MIN(Inputs!$B$22+((C2531=TRUE)*(F2531-Calc!F22)),(Inputs!$B$23+0+(IF(ArtifactsInput!$M$15,CHOOSE(ArtifactsInput!$N$15+1,25,30,35,40,45,50)/100*(Inputs!$B$11-Inputs!$B$11),0))))/100+(Inputs!$B$23+0+(IF(ArtifactsInput!$M$15,CHOOSE(ArtifactsInput!$N$15+1,25,30,35,40,45,50)/100*(Inputs!$B$11-Inputs!$B$11),0)))/100)/2</f>
        <v/>
      </c>
      <c r="M2516">
        <f>L2516*(1+(Inputs!$B$10+((C2534=TRUE)*(F2534-Calc!F25))+B2545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16">
        <f>L2516*(1-MIN((Inputs!$B$9+((C2528=TRUE)*(F2528-Calc!F19))+B2540+(ArtifactsInput!$M$24-ArtifactsInput!$M$24)*CHOOSE(ArtifactsInput!$N$24+1,10,12,14,16,18,20)+(IF(AND(Inputs!$B$38&lt;&gt;"pvp",Inputs!$B$43=0),1,IF(IF(Inputs!$B$38="pvp",15,Inputs!$B$43)-(B2547)&lt;=0,1,MAX(0,IF(Inputs!$B$38="pvp",15,Inputs!$B$43)-MAX(5,B2547))/(IF(Inputs!$B$38="pvp",15,Inputs!$B$43)-(B2547))))*IF(AND(ArtifactsInput!$M$42,((Inputs!$B$9+((C2528=TRUE)*(F2528-Calc!F19))+B2540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2516*(MIN((Inputs!$B$9+((C2528=TRUE)*(F2528-Calc!F19))+B2540+(ArtifactsInput!$M$24-ArtifactsInput!$M$24)*CHOOSE(ArtifactsInput!$N$24+1,10,12,14,16,18,20)+(IF(AND(Inputs!$B$38&lt;&gt;"pvp",Inputs!$B$43=0),1,IF(IF(Inputs!$B$38="pvp",15,Inputs!$B$43)-(B2547)&lt;=0,1,MAX(0,IF(Inputs!$B$38="pvp",15,Inputs!$B$43)-MAX(5,B2547))/(IF(Inputs!$B$38="pvp",15,Inputs!$B$43)-(B2547))))*IF(AND(ArtifactsInput!$M$42,((Inputs!$B$9+((C2528=TRUE)*(F2528-Calc!F19))+B2540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16">
        <f>(1-Summary!$B$11)*T2516+Summary!$B$11*V2516</f>
        <v/>
      </c>
      <c r="P2516">
        <f>IF(B2550=0,0,O2516/B2550)</f>
        <v/>
      </c>
      <c r="Q2516">
        <f>IFERROR(1/(IF(Inputs!$B$38="pvp",15,MAX(0.1,Skills!D7-IF(TRUE=TRUE,Inputs!$B$32,0)))*(1-IF(AND(ArtifactsInput!$M$27,Inputs!$B$4="Chapter Hunt"),CHOOSE(ArtifactsInput!$N$27+1,20,24,28,32,36,40),0)/100)),0)</f>
        <v/>
      </c>
      <c r="R2516">
        <f>IF(AND(Inputs!$B$38&lt;&gt;"pvp",Inputs!$B$43&gt;0),IF(MAX(0,Inputs!$B$43-B2547)&lt;=0,0,(INT(MAX(0,Inputs!$B$43-B2547)/(IF(Inputs!$B$38="pvp",15,MAX(0.1,Skills!D7-IF(TRUE=TRUE,Inputs!$B$32,0)))*(1-IF(AND(ArtifactsInput!$M$27,Inputs!$B$4="Chapter Hunt"),CHOOSE(ArtifactsInput!$N$27+1,20,24,28,32,36,40),0)/100)))+1)),0)</f>
        <v/>
      </c>
      <c r="S2516">
        <f>IFERROR(O2516/N2516,0)</f>
        <v/>
      </c>
      <c r="T2516">
        <f>IF(C2516,(H2516*N2516*IF(AND(Inputs!$B$38&lt;&gt;"pvp",Inputs!$B$43&gt;0),((Skills!G7*((R2516-1)*IF(Skills!H7&gt;0,INT(Skills!I7/Skills!H7+0.000000001),1)+IF(Skills!H7&gt;0,INT(MIN(Skills!I7,MAX(0,MAX(0,Inputs!$B$43-B2547)-((R2516-1)*(IF(Inputs!$B$38="pvp",15,MAX(0.1,Skills!D7-IF(TRUE=TRUE,Inputs!$B$32,0)))*(1-IF(AND(ArtifactsInput!$M$27,Inputs!$B$4="Chapter Hunt"),CHOOSE(ArtifactsInput!$N$27+1,20,24,28,32,36,40),0)/100)))))/Skills!H7+0.000000001),1)))/Inputs!$B$43),G2516*Q2516))*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Hunt"),CHOOSE(ArtifactsInput!$N$35+1,15,18,21,24,27,30)*(1-EXP(-(0.2*B2542)*5)),0)+IF(AND(ArtifactsInput!$M$22,Inputs!$B$4&lt;&gt;"Chapter Hunt"),CHOOSE(ArtifactsInput!$N$22+1,10,12,14,16,18,20)*((0*(((0.15*B2542*5))^0/1)+1*(((0.15*B2542*5))^1/1)+2*(((0.15*B2542*5))^2/2)+3*(((0.15*B2542*5))^3/6)+4*(((0.15*B2542*5))^4/24)+5*(((0.15*B2542*5))^5/120))/((((0.15*B2542*5))^0/1)+(((0.15*B2542*5))^1/1)+(((0.15*B2542*5))^2/2)+(((0.15*B2542*5))^3/6)+(((0.15*B2542*5))^4/24)+(((0.15*B2542*5))^5/120))),0))+IF(Inputs!$B$3&gt;=54,9*(C2512=TRUE)*MIN(1,8*(1+Inputs!$B$34/100)*Q2512)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2516*(1-MIN(100,(Inputs!$B$9+((C2528=TRUE)*(F2528-Calc!F19))+B2540+(ArtifactsInput!$M$24-ArtifactsInput!$M$24)*CHOOSE(ArtifactsInput!$N$24+1,10,12,14,16,18,20)+(IF(AND(Inputs!$B$38&lt;&gt;"pvp",Inputs!$B$43=0),1,IF(IF(Inputs!$B$38="pvp",15,Inputs!$B$43)-(B2547)&lt;=0,1,MAX(0,IF(Inputs!$B$38="pvp",15,Inputs!$B$43)-MAX(5,B2547))/(IF(Inputs!$B$38="pvp",15,Inputs!$B$43)-(B2547))))*IF(AND(ArtifactsInput!$M$42,((Inputs!$B$9+((C2528=TRUE)*(F2528-Calc!F19))+B2540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2516*(MIN(100,(Inputs!$B$9+((C2528=TRUE)*(F2528-Calc!F19))+B2540+(ArtifactsInput!$M$24-ArtifactsInput!$M$24)*CHOOSE(ArtifactsInput!$N$24+1,10,12,14,16,18,20)+(IF(AND(Inputs!$B$38&lt;&gt;"pvp",Inputs!$B$43=0),1,IF(IF(Inputs!$B$38="pvp",15,Inputs!$B$43)-(B2547)&lt;=0,1,MAX(0,IF(Inputs!$B$38="pvp",15,Inputs!$B$43)-MAX(5,B2547))/(IF(Inputs!$B$38="pvp",15,Inputs!$B$43)-(B2547))))*IF(AND(ArtifactsInput!$M$42,((Inputs!$B$9+((C2528=TRUE)*(F2528-Calc!F19))+B2540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2516*(1-MIN(100,(Inputs!$B$9+((C2528=TRUE)*(F2528-Calc!F19))+B2540+(ArtifactsInput!$M$24-ArtifactsInput!$M$24)*CHOOSE(ArtifactsInput!$N$24+1,10,12,14,16,18,20)+(IF(AND(Inputs!$B$38&lt;&gt;"pvp",Inputs!$B$43=0),1,IF(IF(Inputs!$B$38="pvp",15,Inputs!$B$43)-(B2547)&lt;=0,1,MAX(0,IF(Inputs!$B$38="pvp",15,Inputs!$B$43)-MAX(5,B2547))/(IF(Inputs!$B$38="pvp",15,Inputs!$B$43)-(B2547))))*IF(AND(ArtifactsInput!$M$42,((Inputs!$B$9+((C2528=TRUE)*(F2528-Calc!F19))+B2540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2516*(MIN(100,(Inputs!$B$9+((C2528=TRUE)*(F2528-Calc!F19))+B2540+(ArtifactsInput!$M$24-ArtifactsInput!$M$24)*CHOOSE(ArtifactsInput!$N$24+1,10,12,14,16,18,20)+(IF(AND(Inputs!$B$38&lt;&gt;"pvp",Inputs!$B$43=0),1,IF(IF(Inputs!$B$38="pvp",15,Inputs!$B$43)-(B2547)&lt;=0,1,MAX(0,IF(Inputs!$B$38="pvp",15,Inputs!$B$43)-MAX(5,B2547))/(IF(Inputs!$B$38="pvp",15,Inputs!$B$43)-(B2547))))*IF(AND(ArtifactsInput!$M$42,((Inputs!$B$9+((C2528=TRUE)*(F2528-Calc!F19))+B2540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516">
        <f>IF(C2516,(H2516*N2516*IF(AND(Inputs!$B$38&lt;&gt;"pvp",Inputs!$B$43&gt;0),((Skills!G7*((R2516-1)*IF(Skills!H7&gt;0,INT(Skills!I7/Skills!H7+0.000000001),1)+IF(Skills!H7&gt;0,INT(MIN(Skills!I7,MAX(0,MAX(0,Inputs!$B$43-B2547)-((R2516-1)*(IF(Inputs!$B$38="pvp",15,MAX(0.1,Skills!D7-IF(TRUE=TRUE,Inputs!$B$32,0)))*(1-IF(AND(ArtifactsInput!$M$27,Inputs!$B$4="Chapter Hunt"),CHOOSE(ArtifactsInput!$N$27+1,20,24,28,32,36,40),0)/100)))))/Skills!H7+0.000000001),1)))/Inputs!$B$43),G2516*Q2516))*IF(Inputs!$B$38="pvp",1,(1+(Inputs!$B$21+Skills!Q7+(IF(ArtifactsInput!$M$33,CHOOSE(ArtifactsInput!$N$33+1,30,36,42,48,54,60),0))+(IF(AND(ArtifactsInput!$M$35,Inputs!$B$4&lt;&gt;"Chapter Hunt"),CHOOSE(ArtifactsInput!$N$35+1,15,18,21,24,27,30)*(1-EXP(-(0.2*B2542)*5)),0)+IF(AND(ArtifactsInput!$M$22,Inputs!$B$4&lt;&gt;"Chapter Hunt"),CHOOSE(ArtifactsInput!$N$22+1,10,12,14,16,18,20)*((0*(((0.15*B2542*5))^0/1)+1*(((0.15*B2542*5))^1/1)+2*(((0.15*B2542*5))^2/2)+3*(((0.15*B2542*5))^3/6)+4*(((0.15*B2542*5))^4/24)+5*(((0.15*B2542*5))^5/120))/((((0.15*B2542*5))^0/1)+(((0.15*B2542*5))^1/1)+(((0.15*B2542*5))^2/2)+(((0.15*B2542*5))^3/6)+(((0.15*B2542*5))^4/24)+(((0.15*B2542*5))^5/120))),0))+IF(Inputs!$B$3&gt;=54,9*(C2512=TRUE)*MIN(1,8*(1+Inputs!$B$34/100)*Q2512),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17">
      <c r="A2517">
        <f>Skills!A8</f>
        <v/>
      </c>
      <c r="B2517">
        <f>Skills!B8</f>
        <v/>
      </c>
      <c r="C2517">
        <f>Inputs!$B$3&gt;=103</f>
        <v/>
      </c>
      <c r="D2517">
        <f>IF(Skills!C8=1,60+Inputs!$B$25+Inputs!$B$29,IF(Skills!C8=2,90+Inputs!$B$26+Inputs!$B$29,IF(Skills!C8=3,120+Inputs!$B$27+Inputs!$B$29,MAX(0,(Inputs!$B$3-100)*3)+Inputs!$B$28+Inputs!$B$29)))</f>
        <v/>
      </c>
      <c r="E2517">
        <f>INDEX(FactorTable!$B$2:$Y$301, MATCH(ROUND(MIN(300,MAX(1,D2517)),0), FactorTable!$A$2:$A$301,0), Skills!M8+1)</f>
        <v/>
      </c>
      <c r="F2517">
        <f>IF(Skills!N8=TRUE,(Skills!L8/10)*(E2517/1000),Skills!L8/10)+Skills!O8</f>
        <v/>
      </c>
      <c r="G2517">
        <f>Skills!G8*IF(Skills!H8&gt;0,INT(IF(Inputs!$B$38="pvp",MIN(Skills!I8,15),Skills!I8)/Skills!H8+0.000000001),1)</f>
        <v/>
      </c>
      <c r="H2517">
        <f>1-(1-Skills!J8/100)^Skills!K8</f>
        <v/>
      </c>
      <c r="I2517" t="inlineStr">
        <is>
          <t>1</t>
        </is>
      </c>
      <c r="J2517">
        <f>((Inputs!$B$6*(1+Inputs!$B$7/100))+(((Inputs!$B$12*(1+Inputs!$B$13/100))-(Inputs!$B$12*(1+Inputs!$B$13/100)))+0.25*(Inputs!$B$14-Inputs!$B$14))*(1+Inputs!$B$7/100))*(F2517/100)</f>
        <v/>
      </c>
      <c r="K2517">
        <f>J2517*(1+((Inputs!$B$12*(1+Inputs!$B$13/100))*0.01+Inputs!$B$14*0.0025)/100)*(1+Inputs!$B$15/100)*(1+Inputs!$B$16/100)*(5000/(6000+Inputs!$B$42*(1-(100*(1-(1-(Inputs!$B$19+0)/100)*(1-CHOOSE(ArtifactsInput!$N$40+1,5,6,7,8,9,10)/100)^(ArtifactsInput!$M$40-ArtifactsInput!$M$40)))/100)))*(1+(Inputs!$B$24+((C2535=TRUE)*(F2535-Calc!F26))+B2546)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IF(ArtifactsInput!$M$34,FALSE,TRUE),1,-1)*IF(TRUE,MIN(CHOOSE(ArtifactsInput!$N$34+1,10,12,14,16,18,20),MAX(0,(CHOOSE(ArtifactsInput!$N$34+1,0.5,0.6,0.7,0.8,0.9,1)/3)*(Inputs!$B$11-60))),0)))/100)*(1+(IF(Skills!A8="EIGHT_LEGS_EASTON",Inputs!$B$17+((C2532=TRUE)*(F2532-Calc!F23))+((C2536=TRUE)*(F2536-Calc!F27))+((IF(AND(Inputs!$B$38&lt;&gt;"pvp",Inputs!$B$43=0),1,IF(IF(Inputs!$B$38="pvp",15,Inputs!$B$43)-(B2547)&lt;=0,1,MAX(0,IF(Inputs!$B$38="pvp",15,Inputs!$B$43)-MAX(5,B2547))/(IF(Inputs!$B$38="pvp",15,Inputs!$B$43)-(B2547))))*(IF(AND(ArtifactsInput!$M$42,((Inputs!$B$9+((C2528=TRUE)*(F2528-Calc!F19))+B2540+(ArtifactsInput!$M$24-ArtifactsInput!$M$24)*CHOOSE(ArtifactsInput!$N$24+1,10,12,14,16,18,20)+IF(ArtifactsInput!$M$10,CHOOSE(ArtifactsInput!$N$10+1,15,18,21,24,27,30)*(IF(Inputs!$B$38="pvp",MIN(15,15)/15,IF(AND(Inputs!$B$38&lt;&gt;"pvp",Inputs!$B$43&gt;0),MIN(15,Inputs!$B$43)/(Inputs!$B$43),0))),0)))&gt;=100),MIN(100,((Inputs!$B$9+((C2528=TRUE)*(F2528-Calc!F19))+B2540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2547)&lt;=0,1,MAX(0,IF(Inputs!$B$38="pvp",15,Inputs!$B$43)-MAX(5,B2547))/(IF(Inputs!$B$38="pvp",15,Inputs!$B$43)-(B2547))))*IF(AND(ArtifactsInput!$M$42,((Inputs!$B$9+((C2528=TRUE)*(F2528-Calc!F19))+B2540+(ArtifactsInput!$M$24-ArtifactsInput!$M$24)*CHOOSE(ArtifactsInput!$N$24+1,10,12,14,16,18,20)+IF(ArtifactsInput!$M$10,CHOOSE(ArtifactsInput!$N$10+1,15,18,21,24,27,30)*(IF(Inputs!$B$38="pvp",MIN(15,15)/15,IF(AND(Inputs!$B$38&lt;&gt;"pvp",Inputs!$B$43&gt;0),MIN(15,Inputs!$B$43)/(Inputs!$B$43),0))),0)))&gt;=100),CHOOSE(ArtifactsInput!$N$42+1,40,48,56,64,72,80),0))))/100)*((1+(((C2526=TRUE)*F2526*5/7)+((C2533=TRUE)*(F2533-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IF(ArtifactsInput!$M$34,FALSE,TRUE),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2517)</f>
        <v/>
      </c>
      <c r="L2517">
        <f>K2517*(MIN(Inputs!$B$22+((C2531=TRUE)*(F2531-Calc!F22)),(Inputs!$B$23+0+(IF(ArtifactsInput!$M$15,CHOOSE(ArtifactsInput!$N$15+1,25,30,35,40,45,50)/100*(Inputs!$B$11-Inputs!$B$11),0))))/100+(Inputs!$B$23+0+(IF(ArtifactsInput!$M$15,CHOOSE(ArtifactsInput!$N$15+1,25,30,35,40,45,50)/100*(Inputs!$B$11-Inputs!$B$11),0)))/100)/2</f>
        <v/>
      </c>
      <c r="M2517">
        <f>L2517*(1+(Inputs!$B$10+((C2534=TRUE)*(F2534-Calc!F25))+B2545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17">
        <f>L2517*(1-MIN((Inputs!$B$9+((C2528=TRUE)*(F2528-Calc!F19))+B2540+(ArtifactsInput!$M$24-ArtifactsInput!$M$24)*CHOOSE(ArtifactsInput!$N$24+1,10,12,14,16,18,20)+(IF(AND(Inputs!$B$38&lt;&gt;"pvp",Inputs!$B$43=0),1,IF(IF(Inputs!$B$38="pvp",15,Inputs!$B$43)-(B2547)&lt;=0,1,MAX(0,IF(Inputs!$B$38="pvp",15,Inputs!$B$43)-MAX(5,B2547))/(IF(Inputs!$B$38="pvp",15,Inputs!$B$43)-(B2547))))*IF(AND(ArtifactsInput!$M$42,((Inputs!$B$9+((C2528=TRUE)*(F2528-Calc!F19))+B2540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2517*(MIN((Inputs!$B$9+((C2528=TRUE)*(F2528-Calc!F19))+B2540+(ArtifactsInput!$M$24-ArtifactsInput!$M$24)*CHOOSE(ArtifactsInput!$N$24+1,10,12,14,16,18,20)+(IF(AND(Inputs!$B$38&lt;&gt;"pvp",Inputs!$B$43=0),1,IF(IF(Inputs!$B$38="pvp",15,Inputs!$B$43)-(B2547)&lt;=0,1,MAX(0,IF(Inputs!$B$38="pvp",15,Inputs!$B$43)-MAX(5,B2547))/(IF(Inputs!$B$38="pvp",15,Inputs!$B$43)-(B2547))))*IF(AND(ArtifactsInput!$M$42,((Inputs!$B$9+((C2528=TRUE)*(F2528-Calc!F19))+B2540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17">
        <f>(1-Summary!$B$11)*T2517+Summary!$B$11*V2517</f>
        <v/>
      </c>
      <c r="P2517">
        <f>IF(B2550=0,0,O2517/B2550)</f>
        <v/>
      </c>
      <c r="Q2517">
        <f>IFERROR(1/((IF(Inputs!$B$38="pvp",15,MAX(0.1,Skills!D8-IF(TRUE=TRUE,Inputs!$B$32,0)))*(1-IF(AND(ArtifactsInput!$M$27,Inputs!$B$4="Chapter Hunt"),CHOOSE(ArtifactsInput!$N$27+1,20,24,28,32,36,40),0)/100))/B2551),0)</f>
        <v/>
      </c>
      <c r="R2517">
        <f>IF(AND(Inputs!$B$38&lt;&gt;"pvp",Inputs!$B$43&gt;0),IF(MAX(0,Inputs!$B$43-B2547)&lt;=0,0,(INT(MAX(0,Inputs!$B$43-B2547)/((IF(Inputs!$B$38="pvp",15,MAX(0.1,Skills!D8-IF(TRUE=TRUE,Inputs!$B$32,0)))*(1-IF(AND(ArtifactsInput!$M$27,Inputs!$B$4="Chapter Hunt"),CHOOSE(ArtifactsInput!$N$27+1,20,24,28,32,36,40),0)/100))/B2551))+1)),0)</f>
        <v/>
      </c>
      <c r="S2517">
        <f>IFERROR(O2517/N2517,0)</f>
        <v/>
      </c>
      <c r="T2517">
        <f>IF(C2517,(H2517*N2517*IF(AND(Inputs!$B$38&lt;&gt;"pvp",Inputs!$B$43&gt;0),((Skills!G8*((R2517-1)*IF(Skills!H8&gt;0,INT(Skills!I8/Skills!H8+0.000000001),1)+IF(Skills!H8&gt;0,INT(MIN(Skills!I8,MAX(0,MAX(0,Inputs!$B$43-B2547)-((R2517-1)*((IF(Inputs!$B$38="pvp",15,MAX(0.1,Skills!D8-IF(TRUE=TRUE,Inputs!$B$32,0)))*(1-IF(AND(ArtifactsInput!$M$27,Inputs!$B$4="Chapter Hunt"),CHOOSE(ArtifactsInput!$N$27+1,20,24,28,32,36,40),0)/100))/B2551))))/Skills!H8+0.000000001),1)))/Inputs!$B$43),G2517*Q2517))*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Hunt"),CHOOSE(ArtifactsInput!$N$35+1,15,18,21,24,27,30)*(1-EXP(-(0.2*B2542)*5)),0)+IF(AND(ArtifactsInput!$M$22,Inputs!$B$4&lt;&gt;"Chapter Hunt"),CHOOSE(ArtifactsInput!$N$22+1,10,12,14,16,18,20)*((0*(((0.15*B2542*5))^0/1)+1*(((0.15*B2542*5))^1/1)+2*(((0.15*B2542*5))^2/2)+3*(((0.15*B2542*5))^3/6)+4*(((0.15*B2542*5))^4/24)+5*(((0.15*B2542*5))^5/120))/((((0.15*B2542*5))^0/1)+(((0.15*B2542*5))^1/1)+(((0.15*B2542*5))^2/2)+(((0.15*B2542*5))^3/6)+(((0.15*B2542*5))^4/24)+(((0.15*B2542*5))^5/120))),0))+IF(Inputs!$B$3&gt;=54,9*(C2512=TRUE)*MIN(1,8*(1+Inputs!$B$34/100)*Q2512)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2517*(1-MIN(100,(Inputs!$B$9+((C2528=TRUE)*(F2528-Calc!F19))+B2540+(ArtifactsInput!$M$24-ArtifactsInput!$M$24)*CHOOSE(ArtifactsInput!$N$24+1,10,12,14,16,18,20)+(IF(AND(Inputs!$B$38&lt;&gt;"pvp",Inputs!$B$43=0),1,IF(IF(Inputs!$B$38="pvp",15,Inputs!$B$43)-(B2547)&lt;=0,1,MAX(0,IF(Inputs!$B$38="pvp",15,Inputs!$B$43)-MAX(5,B2547))/(IF(Inputs!$B$38="pvp",15,Inputs!$B$43)-(B2547))))*IF(AND(ArtifactsInput!$M$42,((Inputs!$B$9+((C2528=TRUE)*(F2528-Calc!F19))+B2540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2517*(MIN(100,(Inputs!$B$9+((C2528=TRUE)*(F2528-Calc!F19))+B2540+(ArtifactsInput!$M$24-ArtifactsInput!$M$24)*CHOOSE(ArtifactsInput!$N$24+1,10,12,14,16,18,20)+(IF(AND(Inputs!$B$38&lt;&gt;"pvp",Inputs!$B$43=0),1,IF(IF(Inputs!$B$38="pvp",15,Inputs!$B$43)-(B2547)&lt;=0,1,MAX(0,IF(Inputs!$B$38="pvp",15,Inputs!$B$43)-MAX(5,B2547))/(IF(Inputs!$B$38="pvp",15,Inputs!$B$43)-(B2547))))*IF(AND(ArtifactsInput!$M$42,((Inputs!$B$9+((C2528=TRUE)*(F2528-Calc!F19))+B2540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2517*(1-MIN(100,(Inputs!$B$9+((C2528=TRUE)*(F2528-Calc!F19))+B2540+(ArtifactsInput!$M$24-ArtifactsInput!$M$24)*CHOOSE(ArtifactsInput!$N$24+1,10,12,14,16,18,20)+(IF(AND(Inputs!$B$38&lt;&gt;"pvp",Inputs!$B$43=0),1,IF(IF(Inputs!$B$38="pvp",15,Inputs!$B$43)-(B2547)&lt;=0,1,MAX(0,IF(Inputs!$B$38="pvp",15,Inputs!$B$43)-MAX(5,B2547))/(IF(Inputs!$B$38="pvp",15,Inputs!$B$43)-(B2547))))*IF(AND(ArtifactsInput!$M$42,((Inputs!$B$9+((C2528=TRUE)*(F2528-Calc!F19))+B2540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2517*(MIN(100,(Inputs!$B$9+((C2528=TRUE)*(F2528-Calc!F19))+B2540+(ArtifactsInput!$M$24-ArtifactsInput!$M$24)*CHOOSE(ArtifactsInput!$N$24+1,10,12,14,16,18,20)+(IF(AND(Inputs!$B$38&lt;&gt;"pvp",Inputs!$B$43=0),1,IF(IF(Inputs!$B$38="pvp",15,Inputs!$B$43)-(B2547)&lt;=0,1,MAX(0,IF(Inputs!$B$38="pvp",15,Inputs!$B$43)-MAX(5,B2547))/(IF(Inputs!$B$38="pvp",15,Inputs!$B$43)-(B2547))))*IF(AND(ArtifactsInput!$M$42,((Inputs!$B$9+((C2528=TRUE)*(F2528-Calc!F19))+B2540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517">
        <f>IF(C2517,(H2517*N2517*IF(AND(Inputs!$B$38&lt;&gt;"pvp",Inputs!$B$43&gt;0),((Skills!G8*((R2517-1)*IF(Skills!H8&gt;0,INT(Skills!I8/Skills!H8+0.000000001),1)+IF(Skills!H8&gt;0,INT(MIN(Skills!I8,MAX(0,MAX(0,Inputs!$B$43-B2547)-((R2517-1)*((IF(Inputs!$B$38="pvp",15,MAX(0.1,Skills!D8-IF(TRUE=TRUE,Inputs!$B$32,0)))*(1-IF(AND(ArtifactsInput!$M$27,Inputs!$B$4="Chapter Hunt"),CHOOSE(ArtifactsInput!$N$27+1,20,24,28,32,36,40),0)/100))/B2551))))/Skills!H8+0.000000001),1)))/Inputs!$B$43),G2517*Q2517))*IF(Inputs!$B$38="pvp",1,(1+(Inputs!$B$21+Skills!Q8+(IF(ArtifactsInput!$M$33,CHOOSE(ArtifactsInput!$N$33+1,30,36,42,48,54,60),0))+(IF(AND(ArtifactsInput!$M$35,Inputs!$B$4&lt;&gt;"Chapter Hunt"),CHOOSE(ArtifactsInput!$N$35+1,15,18,21,24,27,30)*(1-EXP(-(0.2*B2542)*5)),0)+IF(AND(ArtifactsInput!$M$22,Inputs!$B$4&lt;&gt;"Chapter Hunt"),CHOOSE(ArtifactsInput!$N$22+1,10,12,14,16,18,20)*((0*(((0.15*B2542*5))^0/1)+1*(((0.15*B2542*5))^1/1)+2*(((0.15*B2542*5))^2/2)+3*(((0.15*B2542*5))^3/6)+4*(((0.15*B2542*5))^4/24)+5*(((0.15*B2542*5))^5/120))/((((0.15*B2542*5))^0/1)+(((0.15*B2542*5))^1/1)+(((0.15*B2542*5))^2/2)+(((0.15*B2542*5))^3/6)+(((0.15*B2542*5))^4/24)+(((0.15*B2542*5))^5/120))),0))+IF(Inputs!$B$3&gt;=54,9*(C2512=TRUE)*MIN(1,8*(1+Inputs!$B$34/100)*Q2512),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18">
      <c r="A2518">
        <f>Skills!A9</f>
        <v/>
      </c>
      <c r="B2518">
        <f>Skills!B9</f>
        <v/>
      </c>
      <c r="C2518">
        <f>Inputs!$B$3&gt;=105</f>
        <v/>
      </c>
      <c r="D2518">
        <f>IF(Skills!C9=1,60+Inputs!$B$25+Inputs!$B$29,IF(Skills!C9=2,90+Inputs!$B$26+Inputs!$B$29,IF(Skills!C9=3,120+Inputs!$B$27+Inputs!$B$29,MAX(0,(Inputs!$B$3-100)*3)+Inputs!$B$28+Inputs!$B$29)))</f>
        <v/>
      </c>
      <c r="E2518">
        <f>INDEX(FactorTable!$B$2:$Y$301, MATCH(ROUND(MIN(300,MAX(1,D2518)),0), FactorTable!$A$2:$A$301,0), Skills!M9+1)</f>
        <v/>
      </c>
      <c r="F2518">
        <f>IF(Skills!N9=TRUE,(Skills!L9/10)*(E2518/1000),Skills!L9/10)+Skills!O9</f>
        <v/>
      </c>
      <c r="G2518">
        <f>Skills!G9*IF(Skills!H9&gt;0,INT(IF(Inputs!$B$38="pvp",MIN(Skills!I9,15),Skills!I9)/Skills!H9+0.000000001),1)</f>
        <v/>
      </c>
      <c r="H2518">
        <f>1-(1-Skills!J9/100)^Skills!K9</f>
        <v/>
      </c>
      <c r="I2518" t="inlineStr">
        <is>
          <t>1</t>
        </is>
      </c>
      <c r="J2518">
        <f>((Inputs!$B$6*(1+Inputs!$B$7/100))+(((Inputs!$B$12*(1+Inputs!$B$13/100))-(Inputs!$B$12*(1+Inputs!$B$13/100)))+0.25*(Inputs!$B$14-Inputs!$B$14))*(1+Inputs!$B$7/100))*(F2518/100)</f>
        <v/>
      </c>
      <c r="K2518">
        <f>J2518*(1+((Inputs!$B$12*(1+Inputs!$B$13/100))*0.01+Inputs!$B$14*0.0025)/100)*(1+Inputs!$B$15/100)*(1+Inputs!$B$16/100)*(5000/(6000+Inputs!$B$42*(1-(100*(1-(1-(Inputs!$B$19+0)/100)*(1-CHOOSE(ArtifactsInput!$N$40+1,5,6,7,8,9,10)/100)^(ArtifactsInput!$M$40-ArtifactsInput!$M$40)))/100)))*(1+(Inputs!$B$24+((C2535=TRUE)*(F2535-Calc!F26))+B2546)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IF(ArtifactsInput!$M$34,FALSE,TRUE),1,-1)*IF(TRUE,MIN(CHOOSE(ArtifactsInput!$N$34+1,10,12,14,16,18,20),MAX(0,(CHOOSE(ArtifactsInput!$N$34+1,0.5,0.6,0.7,0.8,0.9,1)/3)*(Inputs!$B$11-60))),0)))/100)*(1+(IF(Skills!A9="EIGHT_LEGS_EASTON",Inputs!$B$17+((C2532=TRUE)*(F2532-Calc!F23))+((C2536=TRUE)*(F2536-Calc!F27))+((IF(AND(Inputs!$B$38&lt;&gt;"pvp",Inputs!$B$43=0),1,IF(IF(Inputs!$B$38="pvp",15,Inputs!$B$43)-(B2547)&lt;=0,1,MAX(0,IF(Inputs!$B$38="pvp",15,Inputs!$B$43)-MAX(5,B2547))/(IF(Inputs!$B$38="pvp",15,Inputs!$B$43)-(B2547))))*(IF(AND(ArtifactsInput!$M$42,((Inputs!$B$9+((C2528=TRUE)*(F2528-Calc!F19))+B2540+(ArtifactsInput!$M$24-ArtifactsInput!$M$24)*CHOOSE(ArtifactsInput!$N$24+1,10,12,14,16,18,20)+IF(ArtifactsInput!$M$10,CHOOSE(ArtifactsInput!$N$10+1,15,18,21,24,27,30)*(IF(Inputs!$B$38="pvp",MIN(15,15)/15,IF(AND(Inputs!$B$38&lt;&gt;"pvp",Inputs!$B$43&gt;0),MIN(15,Inputs!$B$43)/(Inputs!$B$43),0))),0)))&gt;=100),MIN(100,((Inputs!$B$9+((C2528=TRUE)*(F2528-Calc!F19))+B2540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2547)&lt;=0,1,MAX(0,IF(Inputs!$B$38="pvp",15,Inputs!$B$43)-MAX(5,B2547))/(IF(Inputs!$B$38="pvp",15,Inputs!$B$43)-(B2547))))*IF(AND(ArtifactsInput!$M$42,((Inputs!$B$9+((C2528=TRUE)*(F2528-Calc!F19))+B2540+(ArtifactsInput!$M$24-ArtifactsInput!$M$24)*CHOOSE(ArtifactsInput!$N$24+1,10,12,14,16,18,20)+IF(ArtifactsInput!$M$10,CHOOSE(ArtifactsInput!$N$10+1,15,18,21,24,27,30)*(IF(Inputs!$B$38="pvp",MIN(15,15)/15,IF(AND(Inputs!$B$38&lt;&gt;"pvp",Inputs!$B$43&gt;0),MIN(15,Inputs!$B$43)/(Inputs!$B$43),0))),0)))&gt;=100),CHOOSE(ArtifactsInput!$N$42+1,40,48,56,64,72,80),0))))/100)*((1+(((C2526=TRUE)*F2526*5/7)+((C2533=TRUE)*(F2533-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IF(ArtifactsInput!$M$34,FALSE,TRUE),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2518)</f>
        <v/>
      </c>
      <c r="L2518">
        <f>K2518*(MIN(Inputs!$B$22+((C2531=TRUE)*(F2531-Calc!F22)),(Inputs!$B$23+0+(IF(ArtifactsInput!$M$15,CHOOSE(ArtifactsInput!$N$15+1,25,30,35,40,45,50)/100*(Inputs!$B$11-Inputs!$B$11),0))))/100+(Inputs!$B$23+0+(IF(ArtifactsInput!$M$15,CHOOSE(ArtifactsInput!$N$15+1,25,30,35,40,45,50)/100*(Inputs!$B$11-Inputs!$B$11),0)))/100)/2</f>
        <v/>
      </c>
      <c r="M2518">
        <f>L2518*(1+(Inputs!$B$10+((C2534=TRUE)*(F2534-Calc!F25))+B2545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18">
        <f>L2518*(1-MIN((Inputs!$B$9+((C2528=TRUE)*(F2528-Calc!F19))+B2540+(ArtifactsInput!$M$24-ArtifactsInput!$M$24)*CHOOSE(ArtifactsInput!$N$24+1,10,12,14,16,18,20)+(IF(AND(Inputs!$B$38&lt;&gt;"pvp",Inputs!$B$43=0),1,IF(IF(Inputs!$B$38="pvp",15,Inputs!$B$43)-(B2547)&lt;=0,1,MAX(0,IF(Inputs!$B$38="pvp",15,Inputs!$B$43)-MAX(5,B2547))/(IF(Inputs!$B$38="pvp",15,Inputs!$B$43)-(B2547))))*IF(AND(ArtifactsInput!$M$42,((Inputs!$B$9+((C2528=TRUE)*(F2528-Calc!F19))+B2540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2518*(MIN((Inputs!$B$9+((C2528=TRUE)*(F2528-Calc!F19))+B2540+(ArtifactsInput!$M$24-ArtifactsInput!$M$24)*CHOOSE(ArtifactsInput!$N$24+1,10,12,14,16,18,20)+(IF(AND(Inputs!$B$38&lt;&gt;"pvp",Inputs!$B$43=0),1,IF(IF(Inputs!$B$38="pvp",15,Inputs!$B$43)-(B2547)&lt;=0,1,MAX(0,IF(Inputs!$B$38="pvp",15,Inputs!$B$43)-MAX(5,B2547))/(IF(Inputs!$B$38="pvp",15,Inputs!$B$43)-(B2547))))*IF(AND(ArtifactsInput!$M$42,((Inputs!$B$9+((C2528=TRUE)*(F2528-Calc!F19))+B2540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18">
        <f>(1-Summary!$B$11)*T2518+Summary!$B$11*V2518</f>
        <v/>
      </c>
      <c r="P2518">
        <f>IF(B2550=0,0,O2518/B2550)</f>
        <v/>
      </c>
      <c r="Q2518">
        <f>IFERROR(1/(IF(Inputs!$B$38="pvp",15,MAX(0.1,Skills!D9-IF(TRUE=TRUE,Inputs!$B$32,0)))*(1-IF(AND(ArtifactsInput!$M$27,Inputs!$B$4="Chapter Hunt"),CHOOSE(ArtifactsInput!$N$27+1,20,24,28,32,36,40),0)/100)),0)</f>
        <v/>
      </c>
      <c r="R2518">
        <f>IF(AND(Inputs!$B$38&lt;&gt;"pvp",Inputs!$B$43&gt;0),IF(MAX(0,Inputs!$B$43-B2547)&lt;=0,0,(INT(MAX(0,Inputs!$B$43-B2547)/(IF(Inputs!$B$38="pvp",15,MAX(0.1,Skills!D9-IF(TRUE=TRUE,Inputs!$B$32,0)))*(1-IF(AND(ArtifactsInput!$M$27,Inputs!$B$4="Chapter Hunt"),CHOOSE(ArtifactsInput!$N$27+1,20,24,28,32,36,40),0)/100)))+1)),0)</f>
        <v/>
      </c>
      <c r="S2518">
        <f>IFERROR(O2518/N2518,0)</f>
        <v/>
      </c>
      <c r="T2518">
        <f>IF(C2518,(H2518*N2518*IF(AND(Inputs!$B$38&lt;&gt;"pvp",Inputs!$B$43&gt;0),((Skills!G9*((R2518-1)*IF(Skills!H9&gt;0,INT(Skills!I9/Skills!H9+0.000000001),1)+IF(Skills!H9&gt;0,INT(MIN(Skills!I9,MAX(0,MAX(0,Inputs!$B$43-B2547)-((R2518-1)*(IF(Inputs!$B$38="pvp",15,MAX(0.1,Skills!D9-IF(TRUE=TRUE,Inputs!$B$32,0)))*(1-IF(AND(ArtifactsInput!$M$27,Inputs!$B$4="Chapter Hunt"),CHOOSE(ArtifactsInput!$N$27+1,20,24,28,32,36,40),0)/100)))))/Skills!H9+0.000000001),1)))/Inputs!$B$43),G2518*Q2518))*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Hunt"),CHOOSE(ArtifactsInput!$N$35+1,15,18,21,24,27,30)*(1-EXP(-(0.2*B2542)*5)),0)+IF(AND(ArtifactsInput!$M$22,Inputs!$B$4&lt;&gt;"Chapter Hunt"),CHOOSE(ArtifactsInput!$N$22+1,10,12,14,16,18,20)*((0*(((0.15*B2542*5))^0/1)+1*(((0.15*B2542*5))^1/1)+2*(((0.15*B2542*5))^2/2)+3*(((0.15*B2542*5))^3/6)+4*(((0.15*B2542*5))^4/24)+5*(((0.15*B2542*5))^5/120))/((((0.15*B2542*5))^0/1)+(((0.15*B2542*5))^1/1)+(((0.15*B2542*5))^2/2)+(((0.15*B2542*5))^3/6)+(((0.15*B2542*5))^4/24)+(((0.15*B2542*5))^5/120))),0))+IF(Inputs!$B$3&gt;=54,9*(C2512=TRUE)*MIN(1,8*(1+Inputs!$B$34/100)*Q2512)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2518*(1-MIN(100,(Inputs!$B$9+((C2528=TRUE)*(F2528-Calc!F19))+B2540+(ArtifactsInput!$M$24-ArtifactsInput!$M$24)*CHOOSE(ArtifactsInput!$N$24+1,10,12,14,16,18,20)+(IF(AND(Inputs!$B$38&lt;&gt;"pvp",Inputs!$B$43=0),1,IF(IF(Inputs!$B$38="pvp",15,Inputs!$B$43)-(B2547)&lt;=0,1,MAX(0,IF(Inputs!$B$38="pvp",15,Inputs!$B$43)-MAX(5,B2547))/(IF(Inputs!$B$38="pvp",15,Inputs!$B$43)-(B2547))))*IF(AND(ArtifactsInput!$M$42,((Inputs!$B$9+((C2528=TRUE)*(F2528-Calc!F19))+B2540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2518*(MIN(100,(Inputs!$B$9+((C2528=TRUE)*(F2528-Calc!F19))+B2540+(ArtifactsInput!$M$24-ArtifactsInput!$M$24)*CHOOSE(ArtifactsInput!$N$24+1,10,12,14,16,18,20)+(IF(AND(Inputs!$B$38&lt;&gt;"pvp",Inputs!$B$43=0),1,IF(IF(Inputs!$B$38="pvp",15,Inputs!$B$43)-(B2547)&lt;=0,1,MAX(0,IF(Inputs!$B$38="pvp",15,Inputs!$B$43)-MAX(5,B2547))/(IF(Inputs!$B$38="pvp",15,Inputs!$B$43)-(B2547))))*IF(AND(ArtifactsInput!$M$42,((Inputs!$B$9+((C2528=TRUE)*(F2528-Calc!F19))+B2540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2518*(1-MIN(100,(Inputs!$B$9+((C2528=TRUE)*(F2528-Calc!F19))+B2540+(ArtifactsInput!$M$24-ArtifactsInput!$M$24)*CHOOSE(ArtifactsInput!$N$24+1,10,12,14,16,18,20)+(IF(AND(Inputs!$B$38&lt;&gt;"pvp",Inputs!$B$43=0),1,IF(IF(Inputs!$B$38="pvp",15,Inputs!$B$43)-(B2547)&lt;=0,1,MAX(0,IF(Inputs!$B$38="pvp",15,Inputs!$B$43)-MAX(5,B2547))/(IF(Inputs!$B$38="pvp",15,Inputs!$B$43)-(B2547))))*IF(AND(ArtifactsInput!$M$42,((Inputs!$B$9+((C2528=TRUE)*(F2528-Calc!F19))+B2540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2518*(MIN(100,(Inputs!$B$9+((C2528=TRUE)*(F2528-Calc!F19))+B2540+(ArtifactsInput!$M$24-ArtifactsInput!$M$24)*CHOOSE(ArtifactsInput!$N$24+1,10,12,14,16,18,20)+(IF(AND(Inputs!$B$38&lt;&gt;"pvp",Inputs!$B$43=0),1,IF(IF(Inputs!$B$38="pvp",15,Inputs!$B$43)-(B2547)&lt;=0,1,MAX(0,IF(Inputs!$B$38="pvp",15,Inputs!$B$43)-MAX(5,B2547))/(IF(Inputs!$B$38="pvp",15,Inputs!$B$43)-(B2547))))*IF(AND(ArtifactsInput!$M$42,((Inputs!$B$9+((C2528=TRUE)*(F2528-Calc!F19))+B2540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518">
        <f>IF(C2518,(H2518*N2518*IF(AND(Inputs!$B$38&lt;&gt;"pvp",Inputs!$B$43&gt;0),((Skills!G9*((R2518-1)*IF(Skills!H9&gt;0,INT(Skills!I9/Skills!H9+0.000000001),1)+IF(Skills!H9&gt;0,INT(MIN(Skills!I9,MAX(0,MAX(0,Inputs!$B$43-B2547)-((R2518-1)*(IF(Inputs!$B$38="pvp",15,MAX(0.1,Skills!D9-IF(TRUE=TRUE,Inputs!$B$32,0)))*(1-IF(AND(ArtifactsInput!$M$27,Inputs!$B$4="Chapter Hunt"),CHOOSE(ArtifactsInput!$N$27+1,20,24,28,32,36,40),0)/100)))))/Skills!H9+0.000000001),1)))/Inputs!$B$43),G2518*Q2518))*IF(Inputs!$B$38="pvp",1,(1+(Inputs!$B$21+Skills!Q9+(IF(ArtifactsInput!$M$33,CHOOSE(ArtifactsInput!$N$33+1,30,36,42,48,54,60),0))+(IF(AND(ArtifactsInput!$M$35,Inputs!$B$4&lt;&gt;"Chapter Hunt"),CHOOSE(ArtifactsInput!$N$35+1,15,18,21,24,27,30)*(1-EXP(-(0.2*B2542)*5)),0)+IF(AND(ArtifactsInput!$M$22,Inputs!$B$4&lt;&gt;"Chapter Hunt"),CHOOSE(ArtifactsInput!$N$22+1,10,12,14,16,18,20)*((0*(((0.15*B2542*5))^0/1)+1*(((0.15*B2542*5))^1/1)+2*(((0.15*B2542*5))^2/2)+3*(((0.15*B2542*5))^3/6)+4*(((0.15*B2542*5))^4/24)+5*(((0.15*B2542*5))^5/120))/((((0.15*B2542*5))^0/1)+(((0.15*B2542*5))^1/1)+(((0.15*B2542*5))^2/2)+(((0.15*B2542*5))^3/6)+(((0.15*B2542*5))^4/24)+(((0.15*B2542*5))^5/120))),0))+IF(Inputs!$B$3&gt;=54,9*(C2512=TRUE)*MIN(1,8*(1+Inputs!$B$34/100)*Q2512),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19">
      <c r="A2519">
        <f>Skills!A10</f>
        <v/>
      </c>
      <c r="B2519">
        <f>Skills!B10</f>
        <v/>
      </c>
      <c r="C2519">
        <f>Inputs!$B$3&gt;=113</f>
        <v/>
      </c>
      <c r="D2519">
        <f>IF(Skills!C10=1,60+Inputs!$B$25+Inputs!$B$29,IF(Skills!C10=2,90+Inputs!$B$26+Inputs!$B$29,IF(Skills!C10=3,120+Inputs!$B$27+Inputs!$B$29,MAX(0,(Inputs!$B$3-100)*3)+Inputs!$B$28+Inputs!$B$29)))</f>
        <v/>
      </c>
      <c r="E2519">
        <f>INDEX(FactorTable!$B$2:$Y$301, MATCH(ROUND(MIN(300,MAX(1,D2519)),0), FactorTable!$A$2:$A$301,0), Skills!M10+1)</f>
        <v/>
      </c>
      <c r="F2519">
        <f>IF(Skills!N10=TRUE,(Skills!L10/10)*(E2519/1000),Skills!L10/10)+Skills!O10</f>
        <v/>
      </c>
      <c r="G2519">
        <f>Skills!G10*IF(Skills!H10&gt;0,INT(IF(Inputs!$B$38="pvp",MIN(Skills!I10,15),Skills!I10)/Skills!H10+0.000000001),1)</f>
        <v/>
      </c>
      <c r="H2519">
        <f>1-(1-Skills!J10/100)^Skills!K10</f>
        <v/>
      </c>
      <c r="I2519" t="inlineStr">
        <is>
          <t>1</t>
        </is>
      </c>
      <c r="J2519">
        <f>((Inputs!$B$6*(1+Inputs!$B$7/100))+(((Inputs!$B$12*(1+Inputs!$B$13/100))-(Inputs!$B$12*(1+Inputs!$B$13/100)))+0.25*(Inputs!$B$14-Inputs!$B$14))*(1+Inputs!$B$7/100))*(F2519/100)</f>
        <v/>
      </c>
      <c r="K2519">
        <f>J2519*(1+((Inputs!$B$12*(1+Inputs!$B$13/100))*0.01+Inputs!$B$14*0.0025)/100)*(1+Inputs!$B$15/100)*(1+Inputs!$B$16/100)*(5000/(6000+Inputs!$B$42*(1-(100*(1-(1-(Inputs!$B$19+0)/100)*(1-CHOOSE(ArtifactsInput!$N$40+1,5,6,7,8,9,10)/100)^(ArtifactsInput!$M$40-ArtifactsInput!$M$40)))/100)))*(1+(Inputs!$B$24+((C2535=TRUE)*(F2535-Calc!F26))+B2546)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IF(ArtifactsInput!$M$34,FALSE,TRUE),1,-1)*IF(TRUE,MIN(CHOOSE(ArtifactsInput!$N$34+1,10,12,14,16,18,20),MAX(0,(CHOOSE(ArtifactsInput!$N$34+1,0.5,0.6,0.7,0.8,0.9,1)/3)*(Inputs!$B$11-60))),0)))/100)*(1+(IF(Skills!A10="EIGHT_LEGS_EASTON",Inputs!$B$17+((C2532=TRUE)*(F2532-Calc!F23))+((C2536=TRUE)*(F2536-Calc!F27))+((IF(AND(Inputs!$B$38&lt;&gt;"pvp",Inputs!$B$43=0),1,IF(IF(Inputs!$B$38="pvp",15,Inputs!$B$43)-(B2547)&lt;=0,1,MAX(0,IF(Inputs!$B$38="pvp",15,Inputs!$B$43)-MAX(5,B2547))/(IF(Inputs!$B$38="pvp",15,Inputs!$B$43)-(B2547))))*(IF(AND(ArtifactsInput!$M$42,((Inputs!$B$9+((C2528=TRUE)*(F2528-Calc!F19))+B2540+(ArtifactsInput!$M$24-ArtifactsInput!$M$24)*CHOOSE(ArtifactsInput!$N$24+1,10,12,14,16,18,20)+IF(ArtifactsInput!$M$10,CHOOSE(ArtifactsInput!$N$10+1,15,18,21,24,27,30)*(IF(Inputs!$B$38="pvp",MIN(15,15)/15,IF(AND(Inputs!$B$38&lt;&gt;"pvp",Inputs!$B$43&gt;0),MIN(15,Inputs!$B$43)/(Inputs!$B$43),0))),0)))&gt;=100),MIN(100,((Inputs!$B$9+((C2528=TRUE)*(F2528-Calc!F19))+B2540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2547)&lt;=0,1,MAX(0,IF(Inputs!$B$38="pvp",15,Inputs!$B$43)-MAX(5,B2547))/(IF(Inputs!$B$38="pvp",15,Inputs!$B$43)-(B2547))))*IF(AND(ArtifactsInput!$M$42,((Inputs!$B$9+((C2528=TRUE)*(F2528-Calc!F19))+B2540+(ArtifactsInput!$M$24-ArtifactsInput!$M$24)*CHOOSE(ArtifactsInput!$N$24+1,10,12,14,16,18,20)+IF(ArtifactsInput!$M$10,CHOOSE(ArtifactsInput!$N$10+1,15,18,21,24,27,30)*(IF(Inputs!$B$38="pvp",MIN(15,15)/15,IF(AND(Inputs!$B$38&lt;&gt;"pvp",Inputs!$B$43&gt;0),MIN(15,Inputs!$B$43)/(Inputs!$B$43),0))),0)))&gt;=100),CHOOSE(ArtifactsInput!$N$42+1,40,48,56,64,72,80),0))))/100)*((1+(((C2526=TRUE)*F2526*5/7)+((C2533=TRUE)*(F2533-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IF(ArtifactsInput!$M$34,FALSE,TRUE),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2519)</f>
        <v/>
      </c>
      <c r="L2519">
        <f>K2519*(MIN(Inputs!$B$22+((C2531=TRUE)*(F2531-Calc!F22)),(Inputs!$B$23+0+(IF(ArtifactsInput!$M$15,CHOOSE(ArtifactsInput!$N$15+1,25,30,35,40,45,50)/100*(Inputs!$B$11-Inputs!$B$11),0))))/100+(Inputs!$B$23+0+(IF(ArtifactsInput!$M$15,CHOOSE(ArtifactsInput!$N$15+1,25,30,35,40,45,50)/100*(Inputs!$B$11-Inputs!$B$11),0)))/100)/2</f>
        <v/>
      </c>
      <c r="M2519">
        <f>L2519*(1+(Inputs!$B$10+((C2534=TRUE)*(F2534-Calc!F25))+B2545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19">
        <f>L2519*(1-MIN((Inputs!$B$9+((C2528=TRUE)*(F2528-Calc!F19))+B2540+(ArtifactsInput!$M$24-ArtifactsInput!$M$24)*CHOOSE(ArtifactsInput!$N$24+1,10,12,14,16,18,20)+(IF(AND(Inputs!$B$38&lt;&gt;"pvp",Inputs!$B$43=0),1,IF(IF(Inputs!$B$38="pvp",15,Inputs!$B$43)-(B2547)&lt;=0,1,MAX(0,IF(Inputs!$B$38="pvp",15,Inputs!$B$43)-MAX(5,B2547))/(IF(Inputs!$B$38="pvp",15,Inputs!$B$43)-(B2547))))*IF(AND(ArtifactsInput!$M$42,((Inputs!$B$9+((C2528=TRUE)*(F2528-Calc!F19))+B2540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2519*(MIN((Inputs!$B$9+((C2528=TRUE)*(F2528-Calc!F19))+B2540+(ArtifactsInput!$M$24-ArtifactsInput!$M$24)*CHOOSE(ArtifactsInput!$N$24+1,10,12,14,16,18,20)+(IF(AND(Inputs!$B$38&lt;&gt;"pvp",Inputs!$B$43=0),1,IF(IF(Inputs!$B$38="pvp",15,Inputs!$B$43)-(B2547)&lt;=0,1,MAX(0,IF(Inputs!$B$38="pvp",15,Inputs!$B$43)-MAX(5,B2547))/(IF(Inputs!$B$38="pvp",15,Inputs!$B$43)-(B2547))))*IF(AND(ArtifactsInput!$M$42,((Inputs!$B$9+((C2528=TRUE)*(F2528-Calc!F19))+B2540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19">
        <f>(1-Summary!$B$11)*T2519+Summary!$B$11*V2519</f>
        <v/>
      </c>
      <c r="P2519">
        <f>IF(B2550=0,0,O2519/B2550)</f>
        <v/>
      </c>
      <c r="Q2519" t="n">
        <v>0</v>
      </c>
      <c r="R2519" t="n">
        <v>0</v>
      </c>
      <c r="S2519">
        <f>IFERROR(O2519/N2519,0)</f>
        <v/>
      </c>
      <c r="T2519">
        <f>IF(C2519,((H2519*B2552)/(1+Skills!H10*H2519*B2552)*N2519)*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Hunt"),CHOOSE(ArtifactsInput!$N$35+1,15,18,21,24,27,30)*(1-EXP(-(0.2*B2542)*5)),0)+IF(AND(ArtifactsInput!$M$22,Inputs!$B$4&lt;&gt;"Chapter Hunt"),CHOOSE(ArtifactsInput!$N$22+1,10,12,14,16,18,20)*((0*(((0.15*B2542*5))^0/1)+1*(((0.15*B2542*5))^1/1)+2*(((0.15*B2542*5))^2/2)+3*(((0.15*B2542*5))^3/6)+4*(((0.15*B2542*5))^4/24)+5*(((0.15*B2542*5))^5/120))/((((0.15*B2542*5))^0/1)+(((0.15*B2542*5))^1/1)+(((0.15*B2542*5))^2/2)+(((0.15*B2542*5))^3/6)+(((0.15*B2542*5))^4/24)+(((0.15*B2542*5))^5/120))),0))+IF(Inputs!$B$3&gt;=54,9*(C2512=TRUE)*MIN(1,8*(1+Inputs!$B$34/100)*Q2512)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2519*(1-MIN(100,(Inputs!$B$9+((C2528=TRUE)*(F2528-Calc!F19))+B2540+(ArtifactsInput!$M$24-ArtifactsInput!$M$24)*CHOOSE(ArtifactsInput!$N$24+1,10,12,14,16,18,20)+(IF(AND(Inputs!$B$38&lt;&gt;"pvp",Inputs!$B$43=0),1,IF(IF(Inputs!$B$38="pvp",15,Inputs!$B$43)-(B2547)&lt;=0,1,MAX(0,IF(Inputs!$B$38="pvp",15,Inputs!$B$43)-MAX(5,B2547))/(IF(Inputs!$B$38="pvp",15,Inputs!$B$43)-(B2547))))*IF(AND(ArtifactsInput!$M$42,((Inputs!$B$9+((C2528=TRUE)*(F2528-Calc!F19))+B2540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2519*(MIN(100,(Inputs!$B$9+((C2528=TRUE)*(F2528-Calc!F19))+B2540+(ArtifactsInput!$M$24-ArtifactsInput!$M$24)*CHOOSE(ArtifactsInput!$N$24+1,10,12,14,16,18,20)+(IF(AND(Inputs!$B$38&lt;&gt;"pvp",Inputs!$B$43=0),1,IF(IF(Inputs!$B$38="pvp",15,Inputs!$B$43)-(B2547)&lt;=0,1,MAX(0,IF(Inputs!$B$38="pvp",15,Inputs!$B$43)-MAX(5,B2547))/(IF(Inputs!$B$38="pvp",15,Inputs!$B$43)-(B2547))))*IF(AND(ArtifactsInput!$M$42,((Inputs!$B$9+((C2528=TRUE)*(F2528-Calc!F19))+B2540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2519*(1-MIN(100,(Inputs!$B$9+((C2528=TRUE)*(F2528-Calc!F19))+B2540+(ArtifactsInput!$M$24-ArtifactsInput!$M$24)*CHOOSE(ArtifactsInput!$N$24+1,10,12,14,16,18,20)+(IF(AND(Inputs!$B$38&lt;&gt;"pvp",Inputs!$B$43=0),1,IF(IF(Inputs!$B$38="pvp",15,Inputs!$B$43)-(B2547)&lt;=0,1,MAX(0,IF(Inputs!$B$38="pvp",15,Inputs!$B$43)-MAX(5,B2547))/(IF(Inputs!$B$38="pvp",15,Inputs!$B$43)-(B2547))))*IF(AND(ArtifactsInput!$M$42,((Inputs!$B$9+((C2528=TRUE)*(F2528-Calc!F19))+B2540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2519*(MIN(100,(Inputs!$B$9+((C2528=TRUE)*(F2528-Calc!F19))+B2540+(ArtifactsInput!$M$24-ArtifactsInput!$M$24)*CHOOSE(ArtifactsInput!$N$24+1,10,12,14,16,18,20)+(IF(AND(Inputs!$B$38&lt;&gt;"pvp",Inputs!$B$43=0),1,IF(IF(Inputs!$B$38="pvp",15,Inputs!$B$43)-(B2547)&lt;=0,1,MAX(0,IF(Inputs!$B$38="pvp",15,Inputs!$B$43)-MAX(5,B2547))/(IF(Inputs!$B$38="pvp",15,Inputs!$B$43)-(B2547))))*IF(AND(ArtifactsInput!$M$42,((Inputs!$B$9+((C2528=TRUE)*(F2528-Calc!F19))+B2540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519">
        <f>IF(C2519,((H2519*B2552)/(1+Skills!H10*H2519*B2552)*N2519)*IF(Inputs!$B$38="pvp",1,(1+(Inputs!$B$21+Skills!Q10+(IF(ArtifactsInput!$M$33,CHOOSE(ArtifactsInput!$N$33+1,30,36,42,48,54,60),0))+(IF(AND(ArtifactsInput!$M$35,Inputs!$B$4&lt;&gt;"Chapter Hunt"),CHOOSE(ArtifactsInput!$N$35+1,15,18,21,24,27,30)*(1-EXP(-(0.2*B2542)*5)),0)+IF(AND(ArtifactsInput!$M$22,Inputs!$B$4&lt;&gt;"Chapter Hunt"),CHOOSE(ArtifactsInput!$N$22+1,10,12,14,16,18,20)*((0*(((0.15*B2542*5))^0/1)+1*(((0.15*B2542*5))^1/1)+2*(((0.15*B2542*5))^2/2)+3*(((0.15*B2542*5))^3/6)+4*(((0.15*B2542*5))^4/24)+5*(((0.15*B2542*5))^5/120))/((((0.15*B2542*5))^0/1)+(((0.15*B2542*5))^1/1)+(((0.15*B2542*5))^2/2)+(((0.15*B2542*5))^3/6)+(((0.15*B2542*5))^4/24)+(((0.15*B2542*5))^5/120))),0))+IF(Inputs!$B$3&gt;=54,9*(C2512=TRUE)*MIN(1,8*(1+Inputs!$B$34/100)*Q2512),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20">
      <c r="A2520">
        <f>Skills!A11</f>
        <v/>
      </c>
      <c r="B2520">
        <f>Skills!B11</f>
        <v/>
      </c>
      <c r="C2520">
        <f>Inputs!$B$3&gt;=117</f>
        <v/>
      </c>
      <c r="D2520">
        <f>IF(Skills!C11=1,60+Inputs!$B$25+Inputs!$B$29,IF(Skills!C11=2,90+Inputs!$B$26+Inputs!$B$29,IF(Skills!C11=3,120+Inputs!$B$27+Inputs!$B$29,MAX(0,(Inputs!$B$3-100)*3)+Inputs!$B$28+Inputs!$B$29)))</f>
        <v/>
      </c>
      <c r="E2520">
        <f>INDEX(FactorTable!$B$2:$Y$301, MATCH(ROUND(MIN(300,MAX(1,D2520)),0), FactorTable!$A$2:$A$301,0), Skills!M11+1)</f>
        <v/>
      </c>
      <c r="F2520">
        <f>IF(Skills!N11=TRUE,(Skills!L11/10)*(E2520/1000),Skills!L11/10)+Skills!O11</f>
        <v/>
      </c>
      <c r="G2520">
        <f>Skills!G11*IF(Skills!H11&gt;0,INT(IF(Inputs!$B$38="pvp",MIN(Skills!I11,15),Skills!I11)/Skills!H11+0.000000001),1)</f>
        <v/>
      </c>
      <c r="H2520">
        <f>1-(1-Skills!J11/100)^Skills!K11</f>
        <v/>
      </c>
      <c r="I2520" t="inlineStr">
        <is>
          <t>1</t>
        </is>
      </c>
      <c r="J2520">
        <f>((Inputs!$B$6*(1+Inputs!$B$7/100))+(((Inputs!$B$12*(1+Inputs!$B$13/100))-(Inputs!$B$12*(1+Inputs!$B$13/100)))+0.25*(Inputs!$B$14-Inputs!$B$14))*(1+Inputs!$B$7/100))*(F2520/100)</f>
        <v/>
      </c>
      <c r="K2520">
        <f>J2520*(1+((Inputs!$B$12*(1+Inputs!$B$13/100))*0.01+Inputs!$B$14*0.0025)/100)*(1+Inputs!$B$15/100)*(1+Inputs!$B$16/100)*(5000/(6000+Inputs!$B$42*(1-(100*(1-(1-(Inputs!$B$19+0)/100)*(1-CHOOSE(ArtifactsInput!$N$40+1,5,6,7,8,9,10)/100)^(ArtifactsInput!$M$40-ArtifactsInput!$M$40)))/100)))*(1+(Inputs!$B$24+((C2535=TRUE)*(F2535-Calc!F26))+B2546)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IF(ArtifactsInput!$M$34,FALSE,TRUE),1,-1)*IF(TRUE,MIN(CHOOSE(ArtifactsInput!$N$34+1,10,12,14,16,18,20),MAX(0,(CHOOSE(ArtifactsInput!$N$34+1,0.5,0.6,0.7,0.8,0.9,1)/3)*(Inputs!$B$11-60))),0)))/100)*(1+(IF(Skills!A11="EIGHT_LEGS_EASTON",Inputs!$B$17+((C2532=TRUE)*(F2532-Calc!F23))+((C2536=TRUE)*(F2536-Calc!F27))+((IF(AND(Inputs!$B$38&lt;&gt;"pvp",Inputs!$B$43=0),1,IF(IF(Inputs!$B$38="pvp",15,Inputs!$B$43)-(B2547)&lt;=0,1,MAX(0,IF(Inputs!$B$38="pvp",15,Inputs!$B$43)-MAX(5,B2547))/(IF(Inputs!$B$38="pvp",15,Inputs!$B$43)-(B2547))))*(IF(AND(ArtifactsInput!$M$42,((Inputs!$B$9+((C2528=TRUE)*(F2528-Calc!F19))+B2540+(ArtifactsInput!$M$24-ArtifactsInput!$M$24)*CHOOSE(ArtifactsInput!$N$24+1,10,12,14,16,18,20)+IF(ArtifactsInput!$M$10,CHOOSE(ArtifactsInput!$N$10+1,15,18,21,24,27,30)*(IF(Inputs!$B$38="pvp",MIN(15,15)/15,IF(AND(Inputs!$B$38&lt;&gt;"pvp",Inputs!$B$43&gt;0),MIN(15,Inputs!$B$43)/(Inputs!$B$43),0))),0)))&gt;=100),MIN(100,((Inputs!$B$9+((C2528=TRUE)*(F2528-Calc!F19))+B2540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2547)&lt;=0,1,MAX(0,IF(Inputs!$B$38="pvp",15,Inputs!$B$43)-MAX(5,B2547))/(IF(Inputs!$B$38="pvp",15,Inputs!$B$43)-(B2547))))*IF(AND(ArtifactsInput!$M$42,((Inputs!$B$9+((C2528=TRUE)*(F2528-Calc!F19))+B2540+(ArtifactsInput!$M$24-ArtifactsInput!$M$24)*CHOOSE(ArtifactsInput!$N$24+1,10,12,14,16,18,20)+IF(ArtifactsInput!$M$10,CHOOSE(ArtifactsInput!$N$10+1,15,18,21,24,27,30)*(IF(Inputs!$B$38="pvp",MIN(15,15)/15,IF(AND(Inputs!$B$38&lt;&gt;"pvp",Inputs!$B$43&gt;0),MIN(15,Inputs!$B$43)/(Inputs!$B$43),0))),0)))&gt;=100),CHOOSE(ArtifactsInput!$N$42+1,40,48,56,64,72,80),0))))/100)*((1+(((C2526=TRUE)*F2526*5/7)+((C2533=TRUE)*(F2533-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IF(ArtifactsInput!$M$34,FALSE,TRUE),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2520)</f>
        <v/>
      </c>
      <c r="L2520">
        <f>K2520*(MIN(Inputs!$B$22+((C2531=TRUE)*(F2531-Calc!F22)),(Inputs!$B$23+0+(IF(ArtifactsInput!$M$15,CHOOSE(ArtifactsInput!$N$15+1,25,30,35,40,45,50)/100*(Inputs!$B$11-Inputs!$B$11),0))))/100+(Inputs!$B$23+0+(IF(ArtifactsInput!$M$15,CHOOSE(ArtifactsInput!$N$15+1,25,30,35,40,45,50)/100*(Inputs!$B$11-Inputs!$B$11),0)))/100)/2</f>
        <v/>
      </c>
      <c r="M2520">
        <f>L2520*(1+(Inputs!$B$10+((C2534=TRUE)*(F2534-Calc!F25))+B2545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20">
        <f>L2520*(1-MIN((Inputs!$B$9+((C2528=TRUE)*(F2528-Calc!F19))+B2540+(ArtifactsInput!$M$24-ArtifactsInput!$M$24)*CHOOSE(ArtifactsInput!$N$24+1,10,12,14,16,18,20)+(IF(AND(Inputs!$B$38&lt;&gt;"pvp",Inputs!$B$43=0),1,IF(IF(Inputs!$B$38="pvp",15,Inputs!$B$43)-(B2547)&lt;=0,1,MAX(0,IF(Inputs!$B$38="pvp",15,Inputs!$B$43)-MAX(5,B2547))/(IF(Inputs!$B$38="pvp",15,Inputs!$B$43)-(B2547))))*IF(AND(ArtifactsInput!$M$42,((Inputs!$B$9+((C2528=TRUE)*(F2528-Calc!F19))+B2540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2520*(MIN((Inputs!$B$9+((C2528=TRUE)*(F2528-Calc!F19))+B2540+(ArtifactsInput!$M$24-ArtifactsInput!$M$24)*CHOOSE(ArtifactsInput!$N$24+1,10,12,14,16,18,20)+(IF(AND(Inputs!$B$38&lt;&gt;"pvp",Inputs!$B$43=0),1,IF(IF(Inputs!$B$38="pvp",15,Inputs!$B$43)-(B2547)&lt;=0,1,MAX(0,IF(Inputs!$B$38="pvp",15,Inputs!$B$43)-MAX(5,B2547))/(IF(Inputs!$B$38="pvp",15,Inputs!$B$43)-(B2547))))*IF(AND(ArtifactsInput!$M$42,((Inputs!$B$9+((C2528=TRUE)*(F2528-Calc!F19))+B2540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20">
        <f>(1-Summary!$B$11)*T2520+Summary!$B$11*V2520</f>
        <v/>
      </c>
      <c r="P2520">
        <f>IF(B2550=0,0,O2520/B2550)</f>
        <v/>
      </c>
      <c r="Q2520">
        <f>IFERROR(1/((IF(Inputs!$B$38="pvp",15,MAX(0.1,Skills!D11-IF(TRUE=TRUE,Inputs!$B$32,0)))*(1-IF(AND(ArtifactsInput!$M$27,Inputs!$B$4="Chapter Hunt"),CHOOSE(ArtifactsInput!$N$27+1,20,24,28,32,36,40),0)/100))/B2551),0)</f>
        <v/>
      </c>
      <c r="R2520">
        <f>IF(AND(Inputs!$B$38&lt;&gt;"pvp",Inputs!$B$43&gt;0),IF(MAX(0,Inputs!$B$43-B2547)&lt;=0,0,(INT(MAX(0,Inputs!$B$43-B2547)/((IF(Inputs!$B$38="pvp",15,MAX(0.1,Skills!D11-IF(TRUE=TRUE,Inputs!$B$32,0)))*(1-IF(AND(ArtifactsInput!$M$27,Inputs!$B$4="Chapter Hunt"),CHOOSE(ArtifactsInput!$N$27+1,20,24,28,32,36,40),0)/100))/B2551))+1)),0)</f>
        <v/>
      </c>
      <c r="S2520">
        <f>IFERROR(O2520/N2520,0)</f>
        <v/>
      </c>
      <c r="T2520">
        <f>IF(C2520,(H2520*N2520*IF(AND(Inputs!$B$38&lt;&gt;"pvp",Inputs!$B$43&gt;0),((Skills!G11*((R2520-1)*IF(Skills!H11&gt;0,INT(Skills!I11/Skills!H11+0.000000001),1)+IF(Skills!H11&gt;0,INT(MIN(Skills!I11,MAX(0,MAX(0,Inputs!$B$43-B2547)-((R2520-1)*((IF(Inputs!$B$38="pvp",15,MAX(0.1,Skills!D11-IF(TRUE=TRUE,Inputs!$B$32,0)))*(1-IF(AND(ArtifactsInput!$M$27,Inputs!$B$4="Chapter Hunt"),CHOOSE(ArtifactsInput!$N$27+1,20,24,28,32,36,40),0)/100))/B2551))))/Skills!H11+0.000000001),1)))/Inputs!$B$43),G2520*Q2520))*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Hunt"),CHOOSE(ArtifactsInput!$N$35+1,15,18,21,24,27,30)*(1-EXP(-(0.2*B2542)*5)),0)+IF(AND(ArtifactsInput!$M$22,Inputs!$B$4&lt;&gt;"Chapter Hunt"),CHOOSE(ArtifactsInput!$N$22+1,10,12,14,16,18,20)*((0*(((0.15*B2542*5))^0/1)+1*(((0.15*B2542*5))^1/1)+2*(((0.15*B2542*5))^2/2)+3*(((0.15*B2542*5))^3/6)+4*(((0.15*B2542*5))^4/24)+5*(((0.15*B2542*5))^5/120))/((((0.15*B2542*5))^0/1)+(((0.15*B2542*5))^1/1)+(((0.15*B2542*5))^2/2)+(((0.15*B2542*5))^3/6)+(((0.15*B2542*5))^4/24)+(((0.15*B2542*5))^5/120))),0))+IF(Inputs!$B$3&gt;=54,9*(C2512=TRUE)*MIN(1,8*(1+Inputs!$B$34/100)*Q2512)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2520*(1-MIN(100,(Inputs!$B$9+((C2528=TRUE)*(F2528-Calc!F19))+B2540+(ArtifactsInput!$M$24-ArtifactsInput!$M$24)*CHOOSE(ArtifactsInput!$N$24+1,10,12,14,16,18,20)+(IF(AND(Inputs!$B$38&lt;&gt;"pvp",Inputs!$B$43=0),1,IF(IF(Inputs!$B$38="pvp",15,Inputs!$B$43)-(B2547)&lt;=0,1,MAX(0,IF(Inputs!$B$38="pvp",15,Inputs!$B$43)-MAX(5,B2547))/(IF(Inputs!$B$38="pvp",15,Inputs!$B$43)-(B2547))))*IF(AND(ArtifactsInput!$M$42,((Inputs!$B$9+((C2528=TRUE)*(F2528-Calc!F19))+B2540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2520*(MIN(100,(Inputs!$B$9+((C2528=TRUE)*(F2528-Calc!F19))+B2540+(ArtifactsInput!$M$24-ArtifactsInput!$M$24)*CHOOSE(ArtifactsInput!$N$24+1,10,12,14,16,18,20)+(IF(AND(Inputs!$B$38&lt;&gt;"pvp",Inputs!$B$43=0),1,IF(IF(Inputs!$B$38="pvp",15,Inputs!$B$43)-(B2547)&lt;=0,1,MAX(0,IF(Inputs!$B$38="pvp",15,Inputs!$B$43)-MAX(5,B2547))/(IF(Inputs!$B$38="pvp",15,Inputs!$B$43)-(B2547))))*IF(AND(ArtifactsInput!$M$42,((Inputs!$B$9+((C2528=TRUE)*(F2528-Calc!F19))+B2540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2520*(1-MIN(100,(Inputs!$B$9+((C2528=TRUE)*(F2528-Calc!F19))+B2540+(ArtifactsInput!$M$24-ArtifactsInput!$M$24)*CHOOSE(ArtifactsInput!$N$24+1,10,12,14,16,18,20)+(IF(AND(Inputs!$B$38&lt;&gt;"pvp",Inputs!$B$43=0),1,IF(IF(Inputs!$B$38="pvp",15,Inputs!$B$43)-(B2547)&lt;=0,1,MAX(0,IF(Inputs!$B$38="pvp",15,Inputs!$B$43)-MAX(5,B2547))/(IF(Inputs!$B$38="pvp",15,Inputs!$B$43)-(B2547))))*IF(AND(ArtifactsInput!$M$42,((Inputs!$B$9+((C2528=TRUE)*(F2528-Calc!F19))+B2540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2520*(MIN(100,(Inputs!$B$9+((C2528=TRUE)*(F2528-Calc!F19))+B2540+(ArtifactsInput!$M$24-ArtifactsInput!$M$24)*CHOOSE(ArtifactsInput!$N$24+1,10,12,14,16,18,20)+(IF(AND(Inputs!$B$38&lt;&gt;"pvp",Inputs!$B$43=0),1,IF(IF(Inputs!$B$38="pvp",15,Inputs!$B$43)-(B2547)&lt;=0,1,MAX(0,IF(Inputs!$B$38="pvp",15,Inputs!$B$43)-MAX(5,B2547))/(IF(Inputs!$B$38="pvp",15,Inputs!$B$43)-(B2547))))*IF(AND(ArtifactsInput!$M$42,((Inputs!$B$9+((C2528=TRUE)*(F2528-Calc!F19))+B2540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520">
        <f>IF(C2520,(H2520*N2520*IF(AND(Inputs!$B$38&lt;&gt;"pvp",Inputs!$B$43&gt;0),((Skills!G11*((R2520-1)*IF(Skills!H11&gt;0,INT(Skills!I11/Skills!H11+0.000000001),1)+IF(Skills!H11&gt;0,INT(MIN(Skills!I11,MAX(0,MAX(0,Inputs!$B$43-B2547)-((R2520-1)*((IF(Inputs!$B$38="pvp",15,MAX(0.1,Skills!D11-IF(TRUE=TRUE,Inputs!$B$32,0)))*(1-IF(AND(ArtifactsInput!$M$27,Inputs!$B$4="Chapter Hunt"),CHOOSE(ArtifactsInput!$N$27+1,20,24,28,32,36,40),0)/100))/B2551))))/Skills!H11+0.000000001),1)))/Inputs!$B$43),G2520*Q2520))*IF(Inputs!$B$38="pvp",1,(1+(Inputs!$B$21+Skills!Q11+(IF(ArtifactsInput!$M$33,CHOOSE(ArtifactsInput!$N$33+1,30,36,42,48,54,60),0))+(IF(AND(ArtifactsInput!$M$35,Inputs!$B$4&lt;&gt;"Chapter Hunt"),CHOOSE(ArtifactsInput!$N$35+1,15,18,21,24,27,30)*(1-EXP(-(0.2*B2542)*5)),0)+IF(AND(ArtifactsInput!$M$22,Inputs!$B$4&lt;&gt;"Chapter Hunt"),CHOOSE(ArtifactsInput!$N$22+1,10,12,14,16,18,20)*((0*(((0.15*B2542*5))^0/1)+1*(((0.15*B2542*5))^1/1)+2*(((0.15*B2542*5))^2/2)+3*(((0.15*B2542*5))^3/6)+4*(((0.15*B2542*5))^4/24)+5*(((0.15*B2542*5))^5/120))/((((0.15*B2542*5))^0/1)+(((0.15*B2542*5))^1/1)+(((0.15*B2542*5))^2/2)+(((0.15*B2542*5))^3/6)+(((0.15*B2542*5))^4/24)+(((0.15*B2542*5))^5/120))),0))+IF(Inputs!$B$3&gt;=54,9*(C2512=TRUE)*MIN(1,8*(1+Inputs!$B$34/100)*Q2512),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21">
      <c r="A2521">
        <f>Skills!A12</f>
        <v/>
      </c>
      <c r="B2521">
        <f>Skills!B12</f>
        <v/>
      </c>
      <c r="C2521">
        <f>Inputs!$B$3&gt;=110</f>
        <v/>
      </c>
      <c r="D2521">
        <f>IF(Skills!C12=1,60+Inputs!$B$25+Inputs!$B$29,IF(Skills!C12=2,90+Inputs!$B$26+Inputs!$B$29,IF(Skills!C12=3,120+Inputs!$B$27+Inputs!$B$29,MAX(0,(Inputs!$B$3-100)*3)+Inputs!$B$28+Inputs!$B$29)))</f>
        <v/>
      </c>
      <c r="E2521">
        <f>INDEX(FactorTable!$B$2:$Y$301, MATCH(ROUND(MIN(300,MAX(1,D2521)),0), FactorTable!$A$2:$A$301,0), Skills!M12+1)</f>
        <v/>
      </c>
      <c r="F2521">
        <f>IF(Skills!N12=TRUE,(Skills!L12/10)*(E2521/1000),Skills!L12/10)+Skills!O12</f>
        <v/>
      </c>
      <c r="G2521">
        <f>Skills!G12*IF(Skills!H12&gt;0,INT(IF(Inputs!$B$38="pvp",MIN(Skills!I12,15),Skills!I12)/Skills!H12+0.000000001),1)</f>
        <v/>
      </c>
      <c r="H2521">
        <f>1-(1-Skills!J12/100)^Skills!K12</f>
        <v/>
      </c>
      <c r="I2521" t="inlineStr">
        <is>
          <t>1</t>
        </is>
      </c>
      <c r="J2521">
        <f>((Inputs!$B$6*(1+Inputs!$B$7/100))+(((Inputs!$B$12*(1+Inputs!$B$13/100))-(Inputs!$B$12*(1+Inputs!$B$13/100)))+0.25*(Inputs!$B$14-Inputs!$B$14))*(1+Inputs!$B$7/100))*(F2521/100)</f>
        <v/>
      </c>
      <c r="K2521">
        <f>J2521*(1+((Inputs!$B$12*(1+Inputs!$B$13/100))*0.01+Inputs!$B$14*0.0025)/100)*(1+Inputs!$B$15/100)*(1+Inputs!$B$16/100)*(5000/(6000+Inputs!$B$42*(1-(100*(1-(1-(Inputs!$B$19+0)/100)*(1-CHOOSE(ArtifactsInput!$N$40+1,5,6,7,8,9,10)/100)^(ArtifactsInput!$M$40-ArtifactsInput!$M$40)))/100)))*(1+(Inputs!$B$24+((C2535=TRUE)*(F2535-Calc!F26))+B2546)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IF(ArtifactsInput!$M$34,FALSE,TRUE),1,-1)*IF(TRUE,MIN(CHOOSE(ArtifactsInput!$N$34+1,10,12,14,16,18,20),MAX(0,(CHOOSE(ArtifactsInput!$N$34+1,0.5,0.6,0.7,0.8,0.9,1)/3)*(Inputs!$B$11-60))),0)))/100)*(1+(IF(Skills!A12="EIGHT_LEGS_EASTON",Inputs!$B$17+((C2532=TRUE)*(F2532-Calc!F23))+((C2536=TRUE)*(F2536-Calc!F27))+((IF(AND(Inputs!$B$38&lt;&gt;"pvp",Inputs!$B$43=0),1,IF(IF(Inputs!$B$38="pvp",15,Inputs!$B$43)-(B2547)&lt;=0,1,MAX(0,IF(Inputs!$B$38="pvp",15,Inputs!$B$43)-MAX(5,B2547))/(IF(Inputs!$B$38="pvp",15,Inputs!$B$43)-(B2547))))*(IF(AND(ArtifactsInput!$M$42,((Inputs!$B$9+((C2528=TRUE)*(F2528-Calc!F19))+B2540+(ArtifactsInput!$M$24-ArtifactsInput!$M$24)*CHOOSE(ArtifactsInput!$N$24+1,10,12,14,16,18,20)+IF(ArtifactsInput!$M$10,CHOOSE(ArtifactsInput!$N$10+1,15,18,21,24,27,30)*(IF(Inputs!$B$38="pvp",MIN(15,15)/15,IF(AND(Inputs!$B$38&lt;&gt;"pvp",Inputs!$B$43&gt;0),MIN(15,Inputs!$B$43)/(Inputs!$B$43),0))),0)))&gt;=100),MIN(100,((Inputs!$B$9+((C2528=TRUE)*(F2528-Calc!F19))+B2540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2547)&lt;=0,1,MAX(0,IF(Inputs!$B$38="pvp",15,Inputs!$B$43)-MAX(5,B2547))/(IF(Inputs!$B$38="pvp",15,Inputs!$B$43)-(B2547))))*IF(AND(ArtifactsInput!$M$42,((Inputs!$B$9+((C2528=TRUE)*(F2528-Calc!F19))+B2540+(ArtifactsInput!$M$24-ArtifactsInput!$M$24)*CHOOSE(ArtifactsInput!$N$24+1,10,12,14,16,18,20)+IF(ArtifactsInput!$M$10,CHOOSE(ArtifactsInput!$N$10+1,15,18,21,24,27,30)*(IF(Inputs!$B$38="pvp",MIN(15,15)/15,IF(AND(Inputs!$B$38&lt;&gt;"pvp",Inputs!$B$43&gt;0),MIN(15,Inputs!$B$43)/(Inputs!$B$43),0))),0)))&gt;=100),CHOOSE(ArtifactsInput!$N$42+1,40,48,56,64,72,80),0))))/100)*((1+(((C2526=TRUE)*F2526*5/7)+((C2533=TRUE)*(F2533-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IF(ArtifactsInput!$M$34,FALSE,TRUE),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2521)</f>
        <v/>
      </c>
      <c r="L2521">
        <f>K2521*(MIN(Inputs!$B$22+((C2531=TRUE)*(F2531-Calc!F22)),(Inputs!$B$23+0+(IF(ArtifactsInput!$M$15,CHOOSE(ArtifactsInput!$N$15+1,25,30,35,40,45,50)/100*(Inputs!$B$11-Inputs!$B$11),0))))/100+(Inputs!$B$23+0+(IF(ArtifactsInput!$M$15,CHOOSE(ArtifactsInput!$N$15+1,25,30,35,40,45,50)/100*(Inputs!$B$11-Inputs!$B$11),0)))/100)/2</f>
        <v/>
      </c>
      <c r="M2521">
        <f>L2521*(1+(Inputs!$B$10+((C2534=TRUE)*(F2534-Calc!F25))+B2545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21">
        <f>L2521*(1-MIN((Inputs!$B$9+((C2528=TRUE)*(F2528-Calc!F19))+B2540+(ArtifactsInput!$M$24-ArtifactsInput!$M$24)*CHOOSE(ArtifactsInput!$N$24+1,10,12,14,16,18,20)+(IF(AND(Inputs!$B$38&lt;&gt;"pvp",Inputs!$B$43=0),1,IF(IF(Inputs!$B$38="pvp",15,Inputs!$B$43)-(B2547)&lt;=0,1,MAX(0,IF(Inputs!$B$38="pvp",15,Inputs!$B$43)-MAX(5,B2547))/(IF(Inputs!$B$38="pvp",15,Inputs!$B$43)-(B2547))))*IF(AND(ArtifactsInput!$M$42,((Inputs!$B$9+((C2528=TRUE)*(F2528-Calc!F19))+B2540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2521*(MIN((Inputs!$B$9+((C2528=TRUE)*(F2528-Calc!F19))+B2540+(ArtifactsInput!$M$24-ArtifactsInput!$M$24)*CHOOSE(ArtifactsInput!$N$24+1,10,12,14,16,18,20)+(IF(AND(Inputs!$B$38&lt;&gt;"pvp",Inputs!$B$43=0),1,IF(IF(Inputs!$B$38="pvp",15,Inputs!$B$43)-(B2547)&lt;=0,1,MAX(0,IF(Inputs!$B$38="pvp",15,Inputs!$B$43)-MAX(5,B2547))/(IF(Inputs!$B$38="pvp",15,Inputs!$B$43)-(B2547))))*IF(AND(ArtifactsInput!$M$42,((Inputs!$B$9+((C2528=TRUE)*(F2528-Calc!F19))+B2540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21">
        <f>(1-Summary!$B$11)*T2521+Summary!$B$11*V2521</f>
        <v/>
      </c>
      <c r="P2521">
        <f>IF(B2550=0,0,O2521/B2550)</f>
        <v/>
      </c>
      <c r="Q2521">
        <f>IFERROR(1/(IF(Inputs!$B$38="pvp",15,MAX(0.1,Skills!D12-IF(TRUE=TRUE,Inputs!$B$32,0)))*(1-IF(AND(ArtifactsInput!$M$27,Inputs!$B$4="Chapter Hunt"),CHOOSE(ArtifactsInput!$N$27+1,20,24,28,32,36,40),0)/100)),0)</f>
        <v/>
      </c>
      <c r="R2521">
        <f>IF(AND(Inputs!$B$38&lt;&gt;"pvp",Inputs!$B$43&gt;0),IF(MAX(0,Inputs!$B$43-B2547)&lt;=0,0,(INT(MAX(0,Inputs!$B$43-B2547)/(IF(Inputs!$B$38="pvp",15,MAX(0.1,Skills!D12-IF(TRUE=TRUE,Inputs!$B$32,0)))*(1-IF(AND(ArtifactsInput!$M$27,Inputs!$B$4="Chapter Hunt"),CHOOSE(ArtifactsInput!$N$27+1,20,24,28,32,36,40),0)/100)))+1)),0)</f>
        <v/>
      </c>
      <c r="S2521">
        <f>IFERROR(O2521/N2521,0)</f>
        <v/>
      </c>
      <c r="T2521">
        <f>IF(C2521,(H2521*N2521*IF(AND(Inputs!$B$38&lt;&gt;"pvp",Inputs!$B$43&gt;0),((Skills!G12*((R2521-1)*IF(Skills!H12&gt;0,INT(Skills!I12/Skills!H12+0.000000001),1)+IF(Skills!H12&gt;0,INT(MIN(Skills!I12,MAX(0,MAX(0,Inputs!$B$43-B2547)-((R2521-1)*(IF(Inputs!$B$38="pvp",15,MAX(0.1,Skills!D12-IF(TRUE=TRUE,Inputs!$B$32,0)))*(1-IF(AND(ArtifactsInput!$M$27,Inputs!$B$4="Chapter Hunt"),CHOOSE(ArtifactsInput!$N$27+1,20,24,28,32,36,40),0)/100)))))/Skills!H12+0.000000001),1)))/Inputs!$B$43),G2521*Q2521))*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Hunt"),CHOOSE(ArtifactsInput!$N$35+1,15,18,21,24,27,30)*(1-EXP(-(0.2*B2542)*5)),0)+IF(AND(ArtifactsInput!$M$22,Inputs!$B$4&lt;&gt;"Chapter Hunt"),CHOOSE(ArtifactsInput!$N$22+1,10,12,14,16,18,20)*((0*(((0.15*B2542*5))^0/1)+1*(((0.15*B2542*5))^1/1)+2*(((0.15*B2542*5))^2/2)+3*(((0.15*B2542*5))^3/6)+4*(((0.15*B2542*5))^4/24)+5*(((0.15*B2542*5))^5/120))/((((0.15*B2542*5))^0/1)+(((0.15*B2542*5))^1/1)+(((0.15*B2542*5))^2/2)+(((0.15*B2542*5))^3/6)+(((0.15*B2542*5))^4/24)+(((0.15*B2542*5))^5/120))),0))+IF(Inputs!$B$3&gt;=54,9*(C2512=TRUE)*MIN(1,8*(1+Inputs!$B$34/100)*Q2512)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2521*(1-MIN(100,(Inputs!$B$9+((C2528=TRUE)*(F2528-Calc!F19))+B2540+(ArtifactsInput!$M$24-ArtifactsInput!$M$24)*CHOOSE(ArtifactsInput!$N$24+1,10,12,14,16,18,20)+(IF(AND(Inputs!$B$38&lt;&gt;"pvp",Inputs!$B$43=0),1,IF(IF(Inputs!$B$38="pvp",15,Inputs!$B$43)-(B2547)&lt;=0,1,MAX(0,IF(Inputs!$B$38="pvp",15,Inputs!$B$43)-MAX(5,B2547))/(IF(Inputs!$B$38="pvp",15,Inputs!$B$43)-(B2547))))*IF(AND(ArtifactsInput!$M$42,((Inputs!$B$9+((C2528=TRUE)*(F2528-Calc!F19))+B2540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2521*(MIN(100,(Inputs!$B$9+((C2528=TRUE)*(F2528-Calc!F19))+B2540+(ArtifactsInput!$M$24-ArtifactsInput!$M$24)*CHOOSE(ArtifactsInput!$N$24+1,10,12,14,16,18,20)+(IF(AND(Inputs!$B$38&lt;&gt;"pvp",Inputs!$B$43=0),1,IF(IF(Inputs!$B$38="pvp",15,Inputs!$B$43)-(B2547)&lt;=0,1,MAX(0,IF(Inputs!$B$38="pvp",15,Inputs!$B$43)-MAX(5,B2547))/(IF(Inputs!$B$38="pvp",15,Inputs!$B$43)-(B2547))))*IF(AND(ArtifactsInput!$M$42,((Inputs!$B$9+((C2528=TRUE)*(F2528-Calc!F19))+B2540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2521*(1-MIN(100,(Inputs!$B$9+((C2528=TRUE)*(F2528-Calc!F19))+B2540+(ArtifactsInput!$M$24-ArtifactsInput!$M$24)*CHOOSE(ArtifactsInput!$N$24+1,10,12,14,16,18,20)+(IF(AND(Inputs!$B$38&lt;&gt;"pvp",Inputs!$B$43=0),1,IF(IF(Inputs!$B$38="pvp",15,Inputs!$B$43)-(B2547)&lt;=0,1,MAX(0,IF(Inputs!$B$38="pvp",15,Inputs!$B$43)-MAX(5,B2547))/(IF(Inputs!$B$38="pvp",15,Inputs!$B$43)-(B2547))))*IF(AND(ArtifactsInput!$M$42,((Inputs!$B$9+((C2528=TRUE)*(F2528-Calc!F19))+B2540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2521*(MIN(100,(Inputs!$B$9+((C2528=TRUE)*(F2528-Calc!F19))+B2540+(ArtifactsInput!$M$24-ArtifactsInput!$M$24)*CHOOSE(ArtifactsInput!$N$24+1,10,12,14,16,18,20)+(IF(AND(Inputs!$B$38&lt;&gt;"pvp",Inputs!$B$43=0),1,IF(IF(Inputs!$B$38="pvp",15,Inputs!$B$43)-(B2547)&lt;=0,1,MAX(0,IF(Inputs!$B$38="pvp",15,Inputs!$B$43)-MAX(5,B2547))/(IF(Inputs!$B$38="pvp",15,Inputs!$B$43)-(B2547))))*IF(AND(ArtifactsInput!$M$42,((Inputs!$B$9+((C2528=TRUE)*(F2528-Calc!F19))+B2540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521">
        <f>IF(C2521,(H2521*N2521*IF(AND(Inputs!$B$38&lt;&gt;"pvp",Inputs!$B$43&gt;0),((Skills!G12*((R2521-1)*IF(Skills!H12&gt;0,INT(Skills!I12/Skills!H12+0.000000001),1)+IF(Skills!H12&gt;0,INT(MIN(Skills!I12,MAX(0,MAX(0,Inputs!$B$43-B2547)-((R2521-1)*(IF(Inputs!$B$38="pvp",15,MAX(0.1,Skills!D12-IF(TRUE=TRUE,Inputs!$B$32,0)))*(1-IF(AND(ArtifactsInput!$M$27,Inputs!$B$4="Chapter Hunt"),CHOOSE(ArtifactsInput!$N$27+1,20,24,28,32,36,40),0)/100)))))/Skills!H12+0.000000001),1)))/Inputs!$B$43),G2521*Q2521))*IF(Inputs!$B$38="pvp",1,(1+(Inputs!$B$21+Skills!Q12+(IF(ArtifactsInput!$M$33,CHOOSE(ArtifactsInput!$N$33+1,30,36,42,48,54,60),0))+(IF(AND(ArtifactsInput!$M$35,Inputs!$B$4&lt;&gt;"Chapter Hunt"),CHOOSE(ArtifactsInput!$N$35+1,15,18,21,24,27,30)*(1-EXP(-(0.2*B2542)*5)),0)+IF(AND(ArtifactsInput!$M$22,Inputs!$B$4&lt;&gt;"Chapter Hunt"),CHOOSE(ArtifactsInput!$N$22+1,10,12,14,16,18,20)*((0*(((0.15*B2542*5))^0/1)+1*(((0.15*B2542*5))^1/1)+2*(((0.15*B2542*5))^2/2)+3*(((0.15*B2542*5))^3/6)+4*(((0.15*B2542*5))^4/24)+5*(((0.15*B2542*5))^5/120))/((((0.15*B2542*5))^0/1)+(((0.15*B2542*5))^1/1)+(((0.15*B2542*5))^2/2)+(((0.15*B2542*5))^3/6)+(((0.15*B2542*5))^4/24)+(((0.15*B2542*5))^5/120))),0))+IF(Inputs!$B$3&gt;=54,9*(C2512=TRUE)*MIN(1,8*(1+Inputs!$B$34/100)*Q2512),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22">
      <c r="A2522">
        <f>Skills!A13</f>
        <v/>
      </c>
      <c r="B2522">
        <f>Skills!B13</f>
        <v/>
      </c>
      <c r="C2522">
        <f>Inputs!$B$3&gt;=110</f>
        <v/>
      </c>
      <c r="D2522">
        <f>IF(Skills!C13=1,60+Inputs!$B$25+Inputs!$B$29,IF(Skills!C13=2,90+Inputs!$B$26+Inputs!$B$29,IF(Skills!C13=3,120+Inputs!$B$27+Inputs!$B$29,MAX(0,(Inputs!$B$3-100)*3)+Inputs!$B$28+Inputs!$B$29)))</f>
        <v/>
      </c>
      <c r="E2522">
        <f>INDEX(FactorTable!$B$2:$Y$301, MATCH(ROUND(MIN(300,MAX(1,D2522)),0), FactorTable!$A$2:$A$301,0), Skills!M13+1)</f>
        <v/>
      </c>
      <c r="F2522">
        <f>IF(Skills!N13=TRUE,(Skills!L13/10)*(E2522/1000),Skills!L13/10)+Skills!O13</f>
        <v/>
      </c>
      <c r="G2522">
        <f>Skills!G13*IF(Skills!H13&gt;0,INT(IF(Inputs!$B$38="pvp",MIN(Skills!I13,15),Skills!I13)/Skills!H13+0.000000001),1)</f>
        <v/>
      </c>
      <c r="H2522">
        <f>1-(1-Skills!J13/100)^Skills!K13</f>
        <v/>
      </c>
      <c r="I2522" t="inlineStr">
        <is>
          <t>1</t>
        </is>
      </c>
      <c r="J2522">
        <f>((Inputs!$B$6*(1+Inputs!$B$7/100))+(((Inputs!$B$12*(1+Inputs!$B$13/100))-(Inputs!$B$12*(1+Inputs!$B$13/100)))+0.25*(Inputs!$B$14-Inputs!$B$14))*(1+Inputs!$B$7/100))*(F2522/100)</f>
        <v/>
      </c>
      <c r="K2522">
        <f>J2522*(1+((Inputs!$B$12*(1+Inputs!$B$13/100))*0.01+Inputs!$B$14*0.0025)/100)*(1+Inputs!$B$15/100)*(1+Inputs!$B$16/100)*(5000/(6000+Inputs!$B$42*(1-(100*(1-(1-(Inputs!$B$19+0)/100)*(1-CHOOSE(ArtifactsInput!$N$40+1,5,6,7,8,9,10)/100)^(ArtifactsInput!$M$40-ArtifactsInput!$M$40)))/100)))*(1+(Inputs!$B$24+((C2535=TRUE)*(F2535-Calc!F26))+B2546)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IF(ArtifactsInput!$M$34,FALSE,TRUE),1,-1)*IF(TRUE,MIN(CHOOSE(ArtifactsInput!$N$34+1,10,12,14,16,18,20),MAX(0,(CHOOSE(ArtifactsInput!$N$34+1,0.5,0.6,0.7,0.8,0.9,1)/3)*(Inputs!$B$11-60))),0)))/100)*(1+(IF(Skills!A13="EIGHT_LEGS_EASTON",Inputs!$B$17+((C2532=TRUE)*(F2532-Calc!F23))+((C2536=TRUE)*(F2536-Calc!F27))+((IF(AND(Inputs!$B$38&lt;&gt;"pvp",Inputs!$B$43=0),1,IF(IF(Inputs!$B$38="pvp",15,Inputs!$B$43)-(B2547)&lt;=0,1,MAX(0,IF(Inputs!$B$38="pvp",15,Inputs!$B$43)-MAX(5,B2547))/(IF(Inputs!$B$38="pvp",15,Inputs!$B$43)-(B2547))))*(IF(AND(ArtifactsInput!$M$42,((Inputs!$B$9+((C2528=TRUE)*(F2528-Calc!F19))+B2540+(ArtifactsInput!$M$24-ArtifactsInput!$M$24)*CHOOSE(ArtifactsInput!$N$24+1,10,12,14,16,18,20)+IF(ArtifactsInput!$M$10,CHOOSE(ArtifactsInput!$N$10+1,15,18,21,24,27,30)*(IF(Inputs!$B$38="pvp",MIN(15,15)/15,IF(AND(Inputs!$B$38&lt;&gt;"pvp",Inputs!$B$43&gt;0),MIN(15,Inputs!$B$43)/(Inputs!$B$43),0))),0)))&gt;=100),MIN(100,((Inputs!$B$9+((C2528=TRUE)*(F2528-Calc!F19))+B2540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2547)&lt;=0,1,MAX(0,IF(Inputs!$B$38="pvp",15,Inputs!$B$43)-MAX(5,B2547))/(IF(Inputs!$B$38="pvp",15,Inputs!$B$43)-(B2547))))*IF(AND(ArtifactsInput!$M$42,((Inputs!$B$9+((C2528=TRUE)*(F2528-Calc!F19))+B2540+(ArtifactsInput!$M$24-ArtifactsInput!$M$24)*CHOOSE(ArtifactsInput!$N$24+1,10,12,14,16,18,20)+IF(ArtifactsInput!$M$10,CHOOSE(ArtifactsInput!$N$10+1,15,18,21,24,27,30)*(IF(Inputs!$B$38="pvp",MIN(15,15)/15,IF(AND(Inputs!$B$38&lt;&gt;"pvp",Inputs!$B$43&gt;0),MIN(15,Inputs!$B$43)/(Inputs!$B$43),0))),0)))&gt;=100),CHOOSE(ArtifactsInput!$N$42+1,40,48,56,64,72,80),0))))/100)*((1+(((C2526=TRUE)*F2526*5/7)+((C2533=TRUE)*(F2533-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IF(ArtifactsInput!$M$34,FALSE,TRUE),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2522)</f>
        <v/>
      </c>
      <c r="L2522">
        <f>K2522*(MIN(Inputs!$B$22+((C2531=TRUE)*(F2531-Calc!F22)),(Inputs!$B$23+0+(IF(ArtifactsInput!$M$15,CHOOSE(ArtifactsInput!$N$15+1,25,30,35,40,45,50)/100*(Inputs!$B$11-Inputs!$B$11),0))))/100+(Inputs!$B$23+0+(IF(ArtifactsInput!$M$15,CHOOSE(ArtifactsInput!$N$15+1,25,30,35,40,45,50)/100*(Inputs!$B$11-Inputs!$B$11),0)))/100)/2</f>
        <v/>
      </c>
      <c r="M2522">
        <f>L2522*(1+(Inputs!$B$10+((C2534=TRUE)*(F2534-Calc!F25))+B2545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22">
        <f>L2522*(1-MIN((Inputs!$B$9+((C2528=TRUE)*(F2528-Calc!F19))+B2540+(ArtifactsInput!$M$24-ArtifactsInput!$M$24)*CHOOSE(ArtifactsInput!$N$24+1,10,12,14,16,18,20)+(IF(AND(Inputs!$B$38&lt;&gt;"pvp",Inputs!$B$43=0),1,IF(IF(Inputs!$B$38="pvp",15,Inputs!$B$43)-(B2547)&lt;=0,1,MAX(0,IF(Inputs!$B$38="pvp",15,Inputs!$B$43)-MAX(5,B2547))/(IF(Inputs!$B$38="pvp",15,Inputs!$B$43)-(B2547))))*IF(AND(ArtifactsInput!$M$42,((Inputs!$B$9+((C2528=TRUE)*(F2528-Calc!F19))+B2540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2522*(MIN((Inputs!$B$9+((C2528=TRUE)*(F2528-Calc!F19))+B2540+(ArtifactsInput!$M$24-ArtifactsInput!$M$24)*CHOOSE(ArtifactsInput!$N$24+1,10,12,14,16,18,20)+(IF(AND(Inputs!$B$38&lt;&gt;"pvp",Inputs!$B$43=0),1,IF(IF(Inputs!$B$38="pvp",15,Inputs!$B$43)-(B2547)&lt;=0,1,MAX(0,IF(Inputs!$B$38="pvp",15,Inputs!$B$43)-MAX(5,B2547))/(IF(Inputs!$B$38="pvp",15,Inputs!$B$43)-(B2547))))*IF(AND(ArtifactsInput!$M$42,((Inputs!$B$9+((C2528=TRUE)*(F2528-Calc!F19))+B2540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22">
        <f>(1-Summary!$B$11)*T2522+Summary!$B$11*V2522</f>
        <v/>
      </c>
      <c r="P2522">
        <f>IF(B2550=0,0,O2522/B2550)</f>
        <v/>
      </c>
      <c r="Q2522">
        <f>IFERROR(1/(IF(Inputs!$B$38="pvp",15,MAX(0.1,Skills!D13-IF(TRUE=TRUE,Inputs!$B$32,0)))*(1-IF(AND(ArtifactsInput!$M$27,Inputs!$B$4="Chapter Hunt"),CHOOSE(ArtifactsInput!$N$27+1,20,24,28,32,36,40),0)/100)),0)</f>
        <v/>
      </c>
      <c r="R2522">
        <f>IF(AND(Inputs!$B$38&lt;&gt;"pvp",Inputs!$B$43&gt;0),IF(MAX(0,Inputs!$B$43-B2547)&lt;=0,0,(INT(MAX(0,Inputs!$B$43-B2547)/(IF(Inputs!$B$38="pvp",15,MAX(0.1,Skills!D13-IF(TRUE=TRUE,Inputs!$B$32,0)))*(1-IF(AND(ArtifactsInput!$M$27,Inputs!$B$4="Chapter Hunt"),CHOOSE(ArtifactsInput!$N$27+1,20,24,28,32,36,40),0)/100)))+1)),0)</f>
        <v/>
      </c>
      <c r="S2522">
        <f>IFERROR(O2522/N2522,0)</f>
        <v/>
      </c>
      <c r="T2522">
        <f>IF(C2522,(H2522*N2522*IF(AND(Inputs!$B$38&lt;&gt;"pvp",Inputs!$B$43&gt;0),((Skills!G13*((R2522-1)*IF(Skills!H13&gt;0,INT(Skills!I13/Skills!H13+0.000000001),1)+IF(Skills!H13&gt;0,INT(MIN(Skills!I13,MAX(0,MAX(0,Inputs!$B$43-B2547)-((R2522-1)*(IF(Inputs!$B$38="pvp",15,MAX(0.1,Skills!D13-IF(TRUE=TRUE,Inputs!$B$32,0)))*(1-IF(AND(ArtifactsInput!$M$27,Inputs!$B$4="Chapter Hunt"),CHOOSE(ArtifactsInput!$N$27+1,20,24,28,32,36,40),0)/100)))))/Skills!H13+0.000000001),1)))/Inputs!$B$43),G2522*Q2522))*IF(Inputs!$B$38="pvp",1,1+(Inputs!$B$20+0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Hunt"),CHOOSE(ArtifactsInput!$N$35+1,15,18,21,24,27,30)*(1-EXP(-(0.2*B2542)*5)),0)+IF(AND(ArtifactsInput!$M$22,Inputs!$B$4&lt;&gt;"Chapter Hunt"),CHOOSE(ArtifactsInput!$N$22+1,10,12,14,16,18,20)*((0*(((0.15*B2542*5))^0/1)+1*(((0.15*B2542*5))^1/1)+2*(((0.15*B2542*5))^2/2)+3*(((0.15*B2542*5))^3/6)+4*(((0.15*B2542*5))^4/24)+5*(((0.15*B2542*5))^5/120))/((((0.15*B2542*5))^0/1)+(((0.15*B2542*5))^1/1)+(((0.15*B2542*5))^2/2)+(((0.15*B2542*5))^3/6)+(((0.15*B2542*5))^4/24)+(((0.15*B2542*5))^5/120))),0))+IF(Inputs!$B$3&gt;=54,9*(C2512=TRUE)*MIN(1,8*(1+Inputs!$B$34/100)*Q2512)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2522*(1-MIN(100,(Inputs!$B$9+((C2528=TRUE)*(F2528-Calc!F19))+B2540+(ArtifactsInput!$M$24-ArtifactsInput!$M$24)*CHOOSE(ArtifactsInput!$N$24+1,10,12,14,16,18,20)+(IF(AND(Inputs!$B$38&lt;&gt;"pvp",Inputs!$B$43=0),1,IF(IF(Inputs!$B$38="pvp",15,Inputs!$B$43)-(B2547)&lt;=0,1,MAX(0,IF(Inputs!$B$38="pvp",15,Inputs!$B$43)-MAX(5,B2547))/(IF(Inputs!$B$38="pvp",15,Inputs!$B$43)-(B2547))))*IF(AND(ArtifactsInput!$M$42,((Inputs!$B$9+((C2528=TRUE)*(F2528-Calc!F19))+B2540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2522*(MIN(100,(Inputs!$B$9+((C2528=TRUE)*(F2528-Calc!F19))+B2540+(ArtifactsInput!$M$24-ArtifactsInput!$M$24)*CHOOSE(ArtifactsInput!$N$24+1,10,12,14,16,18,20)+(IF(AND(Inputs!$B$38&lt;&gt;"pvp",Inputs!$B$43=0),1,IF(IF(Inputs!$B$38="pvp",15,Inputs!$B$43)-(B2547)&lt;=0,1,MAX(0,IF(Inputs!$B$38="pvp",15,Inputs!$B$43)-MAX(5,B2547))/(IF(Inputs!$B$38="pvp",15,Inputs!$B$43)-(B2547))))*IF(AND(ArtifactsInput!$M$42,((Inputs!$B$9+((C2528=TRUE)*(F2528-Calc!F19))+B2540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2522*(1-MIN(100,(Inputs!$B$9+((C2528=TRUE)*(F2528-Calc!F19))+B2540+(ArtifactsInput!$M$24-ArtifactsInput!$M$24)*CHOOSE(ArtifactsInput!$N$24+1,10,12,14,16,18,20)+(IF(AND(Inputs!$B$38&lt;&gt;"pvp",Inputs!$B$43=0),1,IF(IF(Inputs!$B$38="pvp",15,Inputs!$B$43)-(B2547)&lt;=0,1,MAX(0,IF(Inputs!$B$38="pvp",15,Inputs!$B$43)-MAX(5,B2547))/(IF(Inputs!$B$38="pvp",15,Inputs!$B$43)-(B2547))))*IF(AND(ArtifactsInput!$M$42,((Inputs!$B$9+((C2528=TRUE)*(F2528-Calc!F19))+B2540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2522*(MIN(100,(Inputs!$B$9+((C2528=TRUE)*(F2528-Calc!F19))+B2540+(ArtifactsInput!$M$24-ArtifactsInput!$M$24)*CHOOSE(ArtifactsInput!$N$24+1,10,12,14,16,18,20)+(IF(AND(Inputs!$B$38&lt;&gt;"pvp",Inputs!$B$43=0),1,IF(IF(Inputs!$B$38="pvp",15,Inputs!$B$43)-(B2547)&lt;=0,1,MAX(0,IF(Inputs!$B$38="pvp",15,Inputs!$B$43)-MAX(5,B2547))/(IF(Inputs!$B$38="pvp",15,Inputs!$B$43)-(B2547))))*IF(AND(ArtifactsInput!$M$42,((Inputs!$B$9+((C2528=TRUE)*(F2528-Calc!F19))+B2540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522">
        <f>IF(C2522,(H2522*N2522*IF(AND(Inputs!$B$38&lt;&gt;"pvp",Inputs!$B$43&gt;0),((Skills!G13*((R2522-1)*IF(Skills!H13&gt;0,INT(Skills!I13/Skills!H13+0.000000001),1)+IF(Skills!H13&gt;0,INT(MIN(Skills!I13,MAX(0,MAX(0,Inputs!$B$43-B2547)-((R2522-1)*(IF(Inputs!$B$38="pvp",15,MAX(0.1,Skills!D13-IF(TRUE=TRUE,Inputs!$B$32,0)))*(1-IF(AND(ArtifactsInput!$M$27,Inputs!$B$4="Chapter Hunt"),CHOOSE(ArtifactsInput!$N$27+1,20,24,28,32,36,40),0)/100)))))/Skills!H13+0.000000001),1)))/Inputs!$B$43),G2522*Q2522))*IF(Inputs!$B$38="pvp",1,(1+(Inputs!$B$21+Skills!Q13+(IF(ArtifactsInput!$M$33,CHOOSE(ArtifactsInput!$N$33+1,30,36,42,48,54,60),0))+(IF(AND(ArtifactsInput!$M$35,Inputs!$B$4&lt;&gt;"Chapter Hunt"),CHOOSE(ArtifactsInput!$N$35+1,15,18,21,24,27,30)*(1-EXP(-(0.2*B2542)*5)),0)+IF(AND(ArtifactsInput!$M$22,Inputs!$B$4&lt;&gt;"Chapter Hunt"),CHOOSE(ArtifactsInput!$N$22+1,10,12,14,16,18,20)*((0*(((0.15*B2542*5))^0/1)+1*(((0.15*B2542*5))^1/1)+2*(((0.15*B2542*5))^2/2)+3*(((0.15*B2542*5))^3/6)+4*(((0.15*B2542*5))^4/24)+5*(((0.15*B2542*5))^5/120))/((((0.15*B2542*5))^0/1)+(((0.15*B2542*5))^1/1)+(((0.15*B2542*5))^2/2)+(((0.15*B2542*5))^3/6)+(((0.15*B2542*5))^4/24)+(((0.15*B2542*5))^5/120))),0))+IF(Inputs!$B$3&gt;=54,9*(C2512=TRUE)*MIN(1,8*(1+Inputs!$B$34/100)*Q2512),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23">
      <c r="A2523">
        <f>Skills!A14</f>
        <v/>
      </c>
      <c r="B2523">
        <f>Skills!B14</f>
        <v/>
      </c>
      <c r="C2523">
        <f>Inputs!$B$3&gt;=120</f>
        <v/>
      </c>
      <c r="D2523">
        <f>IF(Skills!C14=1,60+Inputs!$B$25+Inputs!$B$29,IF(Skills!C14=2,90+Inputs!$B$26+Inputs!$B$29,IF(Skills!C14=3,120+Inputs!$B$27+Inputs!$B$29,MAX(0,(Inputs!$B$3-100)*3)+Inputs!$B$28+Inputs!$B$29)))</f>
        <v/>
      </c>
      <c r="E2523">
        <f>INDEX(FactorTable!$B$2:$Y$301, MATCH(ROUND(MIN(300,MAX(1,D2523)),0), FactorTable!$A$2:$A$301,0), Skills!M14+1)</f>
        <v/>
      </c>
      <c r="F2523">
        <f>IF(Skills!N14=TRUE,(Skills!L14/10)*(E2523/1000),Skills!L14/10)+Skills!O14</f>
        <v/>
      </c>
      <c r="G2523">
        <f>Skills!G14*IF(Skills!H14&gt;0,INT(IF(Inputs!$B$38="pvp",MIN(Skills!I14,15),Skills!I14)/Skills!H14+0.000000001),1)</f>
        <v/>
      </c>
      <c r="H2523">
        <f>1-(1-Skills!J14/100)^Skills!K14</f>
        <v/>
      </c>
      <c r="I2523" t="inlineStr">
        <is>
          <t>1</t>
        </is>
      </c>
      <c r="J2523">
        <f>((Inputs!$B$6*(1+Inputs!$B$7/100))+(((Inputs!$B$12*(1+Inputs!$B$13/100))-(Inputs!$B$12*(1+Inputs!$B$13/100)))+0.25*(Inputs!$B$14-Inputs!$B$14))*(1+Inputs!$B$7/100))*(F2523/100)</f>
        <v/>
      </c>
      <c r="K2523">
        <f>J2523*(1+((Inputs!$B$12*(1+Inputs!$B$13/100))*0.01+Inputs!$B$14*0.0025)/100)*(1+Inputs!$B$15/100)*(1+Inputs!$B$16/100)*(5000/(6000+Inputs!$B$42*(1-(100*(1-(1-(Inputs!$B$19+0)/100)*(1-CHOOSE(ArtifactsInput!$N$40+1,5,6,7,8,9,10)/100)^(ArtifactsInput!$M$40-ArtifactsInput!$M$40)))/100)))*(1+(Inputs!$B$24+((C2535=TRUE)*(F2535-Calc!F26))+B2546)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IF(ArtifactsInput!$M$34,FALSE,TRUE),1,-1)*IF(TRUE,MIN(CHOOSE(ArtifactsInput!$N$34+1,10,12,14,16,18,20),MAX(0,(CHOOSE(ArtifactsInput!$N$34+1,0.5,0.6,0.7,0.8,0.9,1)/3)*(Inputs!$B$11-60))),0)))/100)*(1+(IF(Skills!A14="EIGHT_LEGS_EASTON",Inputs!$B$17+((C2532=TRUE)*(F2532-Calc!F23))+((C2536=TRUE)*(F2536-Calc!F27))+((IF(AND(Inputs!$B$38&lt;&gt;"pvp",Inputs!$B$43=0),1,IF(IF(Inputs!$B$38="pvp",15,Inputs!$B$43)-(B2547)&lt;=0,1,MAX(0,IF(Inputs!$B$38="pvp",15,Inputs!$B$43)-MAX(5,B2547))/(IF(Inputs!$B$38="pvp",15,Inputs!$B$43)-(B2547))))*(IF(AND(ArtifactsInput!$M$42,((Inputs!$B$9+((C2528=TRUE)*(F2528-Calc!F19))+B2540+(ArtifactsInput!$M$24-ArtifactsInput!$M$24)*CHOOSE(ArtifactsInput!$N$24+1,10,12,14,16,18,20)+IF(ArtifactsInput!$M$10,CHOOSE(ArtifactsInput!$N$10+1,15,18,21,24,27,30)*(IF(Inputs!$B$38="pvp",MIN(15,15)/15,IF(AND(Inputs!$B$38&lt;&gt;"pvp",Inputs!$B$43&gt;0),MIN(15,Inputs!$B$43)/(Inputs!$B$43),0))),0)))&gt;=100),MIN(100,((Inputs!$B$9+((C2528=TRUE)*(F2528-Calc!F19))+B2540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2547)&lt;=0,1,MAX(0,IF(Inputs!$B$38="pvp",15,Inputs!$B$43)-MAX(5,B2547))/(IF(Inputs!$B$38="pvp",15,Inputs!$B$43)-(B2547))))*IF(AND(ArtifactsInput!$M$42,((Inputs!$B$9+((C2528=TRUE)*(F2528-Calc!F19))+B2540+(ArtifactsInput!$M$24-ArtifactsInput!$M$24)*CHOOSE(ArtifactsInput!$N$24+1,10,12,14,16,18,20)+IF(ArtifactsInput!$M$10,CHOOSE(ArtifactsInput!$N$10+1,15,18,21,24,27,30)*(IF(Inputs!$B$38="pvp",MIN(15,15)/15,IF(AND(Inputs!$B$38&lt;&gt;"pvp",Inputs!$B$43&gt;0),MIN(15,Inputs!$B$43)/(Inputs!$B$43),0))),0)))&gt;=100),CHOOSE(ArtifactsInput!$N$42+1,40,48,56,64,72,80),0))))/100)*((1+(((C2526=TRUE)*F2526*5/7)+((C2533=TRUE)*(F2533-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IF(ArtifactsInput!$M$34,FALSE,TRUE),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2523)</f>
        <v/>
      </c>
      <c r="L2523">
        <f>K2523*(MIN(Inputs!$B$22+((C2531=TRUE)*(F2531-Calc!F22)),(Inputs!$B$23+0+(IF(ArtifactsInput!$M$15,CHOOSE(ArtifactsInput!$N$15+1,25,30,35,40,45,50)/100*(Inputs!$B$11-Inputs!$B$11),0))))/100+(Inputs!$B$23+0+(IF(ArtifactsInput!$M$15,CHOOSE(ArtifactsInput!$N$15+1,25,30,35,40,45,50)/100*(Inputs!$B$11-Inputs!$B$11),0)))/100)/2</f>
        <v/>
      </c>
      <c r="M2523">
        <f>L2523*(1+(Inputs!$B$10+((C2534=TRUE)*(F2534-Calc!F25))+B2545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23">
        <f>L2523*(1-MIN((Inputs!$B$9+((C2528=TRUE)*(F2528-Calc!F19))+B2540+(ArtifactsInput!$M$24-ArtifactsInput!$M$24)*CHOOSE(ArtifactsInput!$N$24+1,10,12,14,16,18,20)+(IF(AND(Inputs!$B$38&lt;&gt;"pvp",Inputs!$B$43=0),1,IF(IF(Inputs!$B$38="pvp",15,Inputs!$B$43)-(B2547)&lt;=0,1,MAX(0,IF(Inputs!$B$38="pvp",15,Inputs!$B$43)-MAX(5,B2547))/(IF(Inputs!$B$38="pvp",15,Inputs!$B$43)-(B2547))))*IF(AND(ArtifactsInput!$M$42,((Inputs!$B$9+((C2528=TRUE)*(F2528-Calc!F19))+B2540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2523*(MIN((Inputs!$B$9+((C2528=TRUE)*(F2528-Calc!F19))+B2540+(ArtifactsInput!$M$24-ArtifactsInput!$M$24)*CHOOSE(ArtifactsInput!$N$24+1,10,12,14,16,18,20)+(IF(AND(Inputs!$B$38&lt;&gt;"pvp",Inputs!$B$43=0),1,IF(IF(Inputs!$B$38="pvp",15,Inputs!$B$43)-(B2547)&lt;=0,1,MAX(0,IF(Inputs!$B$38="pvp",15,Inputs!$B$43)-MAX(5,B2547))/(IF(Inputs!$B$38="pvp",15,Inputs!$B$43)-(B2547))))*IF(AND(ArtifactsInput!$M$42,((Inputs!$B$9+((C2528=TRUE)*(F2528-Calc!F19))+B2540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23">
        <f>(1-Summary!$B$11)*T2523+Summary!$B$11*V2523</f>
        <v/>
      </c>
      <c r="P2523">
        <f>IF(B2550=0,0,O2523/B2550)</f>
        <v/>
      </c>
      <c r="Q2523" t="n">
        <v>0</v>
      </c>
      <c r="R2523" t="n">
        <v>0</v>
      </c>
      <c r="S2523">
        <f>IFERROR(O2523/N2523,0)</f>
        <v/>
      </c>
      <c r="T2523">
        <f>IF(C2523,((H2523*(B2544+IF(AND(Inputs!$B$38&lt;&gt;"pvp",Inputs!$B$43&gt;0),((Skills!G8*((R2517-1)*IF(Skills!H8&gt;0,INT(Skills!I8/Skills!H8+0.000000001),1)+IF(Skills!H8&gt;0,INT(MIN(Skills!I8,MAX(0,MAX(0,Inputs!$B$43-B2547)-((R2517-1)*((IF(Inputs!$B$38="pvp",15,MAX(0.1,Skills!D8-IF(TRUE=TRUE,Inputs!$B$32,0)))*(1-IF(AND(ArtifactsInput!$M$27,Inputs!$B$4="Chapter Hunt"),CHOOSE(ArtifactsInput!$N$27+1,20,24,28,32,36,40),0)/100))/B2551))))/Skills!H8+0.000000001),1)))/Inputs!$B$43),G2517*Q2517)+IF(AND(Inputs!$B$38&lt;&gt;"pvp",Inputs!$B$43&gt;0),((Skills!G11*((R2520-1)*IF(Skills!H11&gt;0,INT(Skills!I11/Skills!H11+0.000000001),1)+IF(Skills!H11&gt;0,INT(MIN(Skills!I11,MAX(0,MAX(0,Inputs!$B$43-B2547)-((R2520-1)*((IF(Inputs!$B$38="pvp",15,MAX(0.1,Skills!D11-IF(TRUE=TRUE,Inputs!$B$32,0)))*(1-IF(AND(ArtifactsInput!$M$27,Inputs!$B$4="Chapter Hunt"),CHOOSE(ArtifactsInput!$N$27+1,20,24,28,32,36,40),0)/100))/B2551))))/Skills!H11+0.000000001),1)))/Inputs!$B$43),G2520*Q2520)))/(1+Skills!H14*H2523*(B2544+IF(AND(Inputs!$B$38&lt;&gt;"pvp",Inputs!$B$43&gt;0),((Skills!G8*((R2517-1)*IF(Skills!H8&gt;0,INT(Skills!I8/Skills!H8+0.000000001),1)+IF(Skills!H8&gt;0,INT(MIN(Skills!I8,MAX(0,MAX(0,Inputs!$B$43-B2547)-((R2517-1)*((IF(Inputs!$B$38="pvp",15,MAX(0.1,Skills!D8-IF(TRUE=TRUE,Inputs!$B$32,0)))*(1-IF(AND(ArtifactsInput!$M$27,Inputs!$B$4="Chapter Hunt"),CHOOSE(ArtifactsInput!$N$27+1,20,24,28,32,36,40),0)/100))/B2551))))/Skills!H8+0.000000001),1)))/Inputs!$B$43),G2517*Q2517)+IF(AND(Inputs!$B$38&lt;&gt;"pvp",Inputs!$B$43&gt;0),((Skills!G11*((R2520-1)*IF(Skills!H11&gt;0,INT(Skills!I11/Skills!H11+0.000000001),1)+IF(Skills!H11&gt;0,INT(MIN(Skills!I11,MAX(0,MAX(0,Inputs!$B$43-B2547)-((R2520-1)*((IF(Inputs!$B$38="pvp",15,MAX(0.1,Skills!D11-IF(TRUE=TRUE,Inputs!$B$32,0)))*(1-IF(AND(ArtifactsInput!$M$27,Inputs!$B$4="Chapter Hunt"),CHOOSE(ArtifactsInput!$N$27+1,20,24,28,32,36,40),0)/100))/B2551))))/Skills!H11+0.000000001),1)))/Inputs!$B$43),G2520*Q2520)))*N2523)*IF(Inputs!$B$38="pvp",1,1+(Inputs!$B$20+0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Hunt"),CHOOSE(ArtifactsInput!$N$35+1,15,18,21,24,27,30)*(1-EXP(-(0.2*B2542)*5)),0)+IF(AND(ArtifactsInput!$M$22,Inputs!$B$4&lt;&gt;"Chapter Hunt"),CHOOSE(ArtifactsInput!$N$22+1,10,12,14,16,18,20)*((0*(((0.15*B2542*5))^0/1)+1*(((0.15*B2542*5))^1/1)+2*(((0.15*B2542*5))^2/2)+3*(((0.15*B2542*5))^3/6)+4*(((0.15*B2542*5))^4/24)+5*(((0.15*B2542*5))^5/120))/((((0.15*B2542*5))^0/1)+(((0.15*B2542*5))^1/1)+(((0.15*B2542*5))^2/2)+(((0.15*B2542*5))^3/6)+(((0.15*B2542*5))^4/24)+(((0.15*B2542*5))^5/120))),0))+IF(Inputs!$B$3&gt;=54,9*(C2512=TRUE)*MIN(1,8*(1+Inputs!$B$34/100)*Q2512)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2523*(1-MIN(100,(Inputs!$B$9+((C2528=TRUE)*(F2528-Calc!F19))+B2540+(ArtifactsInput!$M$24-ArtifactsInput!$M$24)*CHOOSE(ArtifactsInput!$N$24+1,10,12,14,16,18,20)+(IF(AND(Inputs!$B$38&lt;&gt;"pvp",Inputs!$B$43=0),1,IF(IF(Inputs!$B$38="pvp",15,Inputs!$B$43)-(B2547)&lt;=0,1,MAX(0,IF(Inputs!$B$38="pvp",15,Inputs!$B$43)-MAX(5,B2547))/(IF(Inputs!$B$38="pvp",15,Inputs!$B$43)-(B2547))))*IF(AND(ArtifactsInput!$M$42,((Inputs!$B$9+((C2528=TRUE)*(F2528-Calc!F19))+B2540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2523*(MIN(100,(Inputs!$B$9+((C2528=TRUE)*(F2528-Calc!F19))+B2540+(ArtifactsInput!$M$24-ArtifactsInput!$M$24)*CHOOSE(ArtifactsInput!$N$24+1,10,12,14,16,18,20)+(IF(AND(Inputs!$B$38&lt;&gt;"pvp",Inputs!$B$43=0),1,IF(IF(Inputs!$B$38="pvp",15,Inputs!$B$43)-(B2547)&lt;=0,1,MAX(0,IF(Inputs!$B$38="pvp",15,Inputs!$B$43)-MAX(5,B2547))/(IF(Inputs!$B$38="pvp",15,Inputs!$B$43)-(B2547))))*IF(AND(ArtifactsInput!$M$42,((Inputs!$B$9+((C2528=TRUE)*(F2528-Calc!F19))+B2540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2523*(1-MIN(100,(Inputs!$B$9+((C2528=TRUE)*(F2528-Calc!F19))+B2540+(ArtifactsInput!$M$24-ArtifactsInput!$M$24)*CHOOSE(ArtifactsInput!$N$24+1,10,12,14,16,18,20)+(IF(AND(Inputs!$B$38&lt;&gt;"pvp",Inputs!$B$43=0),1,IF(IF(Inputs!$B$38="pvp",15,Inputs!$B$43)-(B2547)&lt;=0,1,MAX(0,IF(Inputs!$B$38="pvp",15,Inputs!$B$43)-MAX(5,B2547))/(IF(Inputs!$B$38="pvp",15,Inputs!$B$43)-(B2547))))*IF(AND(ArtifactsInput!$M$42,((Inputs!$B$9+((C2528=TRUE)*(F2528-Calc!F19))+B2540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2523*(MIN(100,(Inputs!$B$9+((C2528=TRUE)*(F2528-Calc!F19))+B2540+(ArtifactsInput!$M$24-ArtifactsInput!$M$24)*CHOOSE(ArtifactsInput!$N$24+1,10,12,14,16,18,20)+(IF(AND(Inputs!$B$38&lt;&gt;"pvp",Inputs!$B$43=0),1,IF(IF(Inputs!$B$38="pvp",15,Inputs!$B$43)-(B2547)&lt;=0,1,MAX(0,IF(Inputs!$B$38="pvp",15,Inputs!$B$43)-MAX(5,B2547))/(IF(Inputs!$B$38="pvp",15,Inputs!$B$43)-(B2547))))*IF(AND(ArtifactsInput!$M$42,((Inputs!$B$9+((C2528=TRUE)*(F2528-Calc!F19))+B2540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523">
        <f>IF(C2523,((H2523*(B2544+IF(AND(Inputs!$B$38&lt;&gt;"pvp",Inputs!$B$43&gt;0),((Skills!G8*((R2517-1)*IF(Skills!H8&gt;0,INT(Skills!I8/Skills!H8+0.000000001),1)+IF(Skills!H8&gt;0,INT(MIN(Skills!I8,MAX(0,MAX(0,Inputs!$B$43-B2547)-((R2517-1)*((IF(Inputs!$B$38="pvp",15,MAX(0.1,Skills!D8-IF(TRUE=TRUE,Inputs!$B$32,0)))*(1-IF(AND(ArtifactsInput!$M$27,Inputs!$B$4="Chapter Hunt"),CHOOSE(ArtifactsInput!$N$27+1,20,24,28,32,36,40),0)/100))/B2551))))/Skills!H8+0.000000001),1)))/Inputs!$B$43),G2517*Q2517)+IF(AND(Inputs!$B$38&lt;&gt;"pvp",Inputs!$B$43&gt;0),((Skills!G11*((R2520-1)*IF(Skills!H11&gt;0,INT(Skills!I11/Skills!H11+0.000000001),1)+IF(Skills!H11&gt;0,INT(MIN(Skills!I11,MAX(0,MAX(0,Inputs!$B$43-B2547)-((R2520-1)*((IF(Inputs!$B$38="pvp",15,MAX(0.1,Skills!D11-IF(TRUE=TRUE,Inputs!$B$32,0)))*(1-IF(AND(ArtifactsInput!$M$27,Inputs!$B$4="Chapter Hunt"),CHOOSE(ArtifactsInput!$N$27+1,20,24,28,32,36,40),0)/100))/B2551))))/Skills!H11+0.000000001),1)))/Inputs!$B$43),G2520*Q2520)))/(1+Skills!H14*H2523*(B2544+IF(AND(Inputs!$B$38&lt;&gt;"pvp",Inputs!$B$43&gt;0),((Skills!G8*((R2517-1)*IF(Skills!H8&gt;0,INT(Skills!I8/Skills!H8+0.000000001),1)+IF(Skills!H8&gt;0,INT(MIN(Skills!I8,MAX(0,MAX(0,Inputs!$B$43-B2547)-((R2517-1)*((IF(Inputs!$B$38="pvp",15,MAX(0.1,Skills!D8-IF(TRUE=TRUE,Inputs!$B$32,0)))*(1-IF(AND(ArtifactsInput!$M$27,Inputs!$B$4="Chapter Hunt"),CHOOSE(ArtifactsInput!$N$27+1,20,24,28,32,36,40),0)/100))/B2551))))/Skills!H8+0.000000001),1)))/Inputs!$B$43),G2517*Q2517)+IF(AND(Inputs!$B$38&lt;&gt;"pvp",Inputs!$B$43&gt;0),((Skills!G11*((R2520-1)*IF(Skills!H11&gt;0,INT(Skills!I11/Skills!H11+0.000000001),1)+IF(Skills!H11&gt;0,INT(MIN(Skills!I11,MAX(0,MAX(0,Inputs!$B$43-B2547)-((R2520-1)*((IF(Inputs!$B$38="pvp",15,MAX(0.1,Skills!D11-IF(TRUE=TRUE,Inputs!$B$32,0)))*(1-IF(AND(ArtifactsInput!$M$27,Inputs!$B$4="Chapter Hunt"),CHOOSE(ArtifactsInput!$N$27+1,20,24,28,32,36,40),0)/100))/B2551))))/Skills!H11+0.000000001),1)))/Inputs!$B$43),G2520*Q2520)))*N2523)*IF(Inputs!$B$38="pvp",1,(1+(Inputs!$B$21+Skills!Q14+(IF(ArtifactsInput!$M$33,CHOOSE(ArtifactsInput!$N$33+1,30,36,42,48,54,60),0))+(IF(AND(ArtifactsInput!$M$35,Inputs!$B$4&lt;&gt;"Chapter Hunt"),CHOOSE(ArtifactsInput!$N$35+1,15,18,21,24,27,30)*(1-EXP(-(0.2*B2542)*5)),0)+IF(AND(ArtifactsInput!$M$22,Inputs!$B$4&lt;&gt;"Chapter Hunt"),CHOOSE(ArtifactsInput!$N$22+1,10,12,14,16,18,20)*((0*(((0.15*B2542*5))^0/1)+1*(((0.15*B2542*5))^1/1)+2*(((0.15*B2542*5))^2/2)+3*(((0.15*B2542*5))^3/6)+4*(((0.15*B2542*5))^4/24)+5*(((0.15*B2542*5))^5/120))/((((0.15*B2542*5))^0/1)+(((0.15*B2542*5))^1/1)+(((0.15*B2542*5))^2/2)+(((0.15*B2542*5))^3/6)+(((0.15*B2542*5))^4/24)+(((0.15*B2542*5))^5/120))),0))+IF(Inputs!$B$3&gt;=54,9*(C2512=TRUE)*MIN(1,8*(1+Inputs!$B$34/100)*Q2512),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24">
      <c r="A2524">
        <f>Skills!A15</f>
        <v/>
      </c>
      <c r="B2524">
        <f>Skills!B15</f>
        <v/>
      </c>
      <c r="C2524">
        <f>Inputs!$B$3&gt;=100</f>
        <v/>
      </c>
      <c r="D2524">
        <f>IF(Skills!C15=1,60+Inputs!$B$25+Inputs!$B$29,IF(Skills!C15=2,90+Inputs!$B$26+Inputs!$B$29,IF(Skills!C15=3,120+Inputs!$B$27+Inputs!$B$29,MAX(0,(Inputs!$B$3-100)*3)+Inputs!$B$28+Inputs!$B$29)))</f>
        <v/>
      </c>
      <c r="E2524">
        <f>INDEX(FactorTable!$B$2:$Y$301, MATCH(ROUND(MIN(300,MAX(1,D2524)),0), FactorTable!$A$2:$A$301,0), Skills!M15+1)</f>
        <v/>
      </c>
      <c r="F2524">
        <f>IF(Skills!N15=TRUE,(Skills!L15/10)*(E2524/1000),Skills!L15/10)+Skills!O15</f>
        <v/>
      </c>
      <c r="G2524" t="inlineStr"/>
      <c r="H2524" t="inlineStr"/>
      <c r="I2524" t="inlineStr">
        <is>
          <t>1</t>
        </is>
      </c>
      <c r="J2524" t="inlineStr"/>
      <c r="K2524" t="inlineStr"/>
      <c r="L2524" t="inlineStr"/>
      <c r="M2524" t="inlineStr"/>
      <c r="N2524" t="inlineStr"/>
      <c r="O2524" t="inlineStr"/>
      <c r="P2524" t="inlineStr"/>
      <c r="Q2524" t="inlineStr"/>
      <c r="R2524" t="inlineStr"/>
      <c r="S2524" t="inlineStr"/>
    </row>
    <row r="2525">
      <c r="A2525">
        <f>Skills!A16</f>
        <v/>
      </c>
      <c r="B2525">
        <f>Skills!B16</f>
        <v/>
      </c>
      <c r="C2525">
        <f>Inputs!$B$3&gt;=107</f>
        <v/>
      </c>
      <c r="D2525">
        <f>IF(Skills!C16=1,60+Inputs!$B$25+Inputs!$B$29,IF(Skills!C16=2,90+Inputs!$B$26+Inputs!$B$29,IF(Skills!C16=3,120+Inputs!$B$27+Inputs!$B$29,MAX(0,(Inputs!$B$3-100)*3)+Inputs!$B$28+Inputs!$B$29)))</f>
        <v/>
      </c>
      <c r="E2525">
        <f>INDEX(FactorTable!$B$2:$Y$301, MATCH(ROUND(MIN(300,MAX(1,D2525)),0), FactorTable!$A$2:$A$301,0), Skills!M16+1)</f>
        <v/>
      </c>
      <c r="F2525">
        <f>IF(Skills!N16=TRUE,(Skills!L16/10)*(E2525/1000),Skills!L16/10)+Skills!O16</f>
        <v/>
      </c>
      <c r="G2525" t="inlineStr"/>
      <c r="H2525" t="inlineStr"/>
      <c r="I2525" t="inlineStr">
        <is>
          <t>1</t>
        </is>
      </c>
      <c r="J2525" t="inlineStr"/>
      <c r="K2525" t="inlineStr"/>
      <c r="L2525" t="inlineStr"/>
      <c r="M2525" t="inlineStr"/>
      <c r="N2525" t="inlineStr"/>
      <c r="O2525" t="inlineStr"/>
      <c r="P2525" t="inlineStr"/>
      <c r="Q2525" t="inlineStr"/>
      <c r="R2525" t="inlineStr"/>
      <c r="S2525" t="inlineStr"/>
    </row>
    <row r="2526">
      <c r="A2526">
        <f>Skills!A17</f>
        <v/>
      </c>
      <c r="B2526">
        <f>Skills!B17</f>
        <v/>
      </c>
      <c r="C2526">
        <f>Inputs!$B$3&gt;=74</f>
        <v/>
      </c>
      <c r="D2526">
        <f>IF(Skills!C17=1,60+Inputs!$B$25+Inputs!$B$29,IF(Skills!C17=2,90+Inputs!$B$26+Inputs!$B$29,IF(Skills!C17=3,120+Inputs!$B$27+Inputs!$B$29,MAX(0,(Inputs!$B$3-100)*3)+Inputs!$B$28+Inputs!$B$29)))</f>
        <v/>
      </c>
      <c r="E2526">
        <f>INDEX(FactorTable!$B$2:$Y$301, MATCH(ROUND(MIN(300,MAX(1,D2526)),0), FactorTable!$A$2:$A$301,0), Skills!M17+1)</f>
        <v/>
      </c>
      <c r="F2526">
        <f>IF(Skills!N17=TRUE,(Skills!L17/10)*(E2526/1000),Skills!L17/10)+Skills!O17</f>
        <v/>
      </c>
      <c r="G2526">
        <f>Skills!G17*IF(Skills!H17&gt;0,INT(IF(Inputs!$B$38="pvp",MIN(Skills!I17,15),Skills!I17)/Skills!H17+0.000000001),1)</f>
        <v/>
      </c>
      <c r="H2526">
        <f>1-(1-Skills!J17/100)^Skills!K17</f>
        <v/>
      </c>
      <c r="I2526" t="inlineStr">
        <is>
          <t>1</t>
        </is>
      </c>
      <c r="J2526" t="inlineStr"/>
      <c r="K2526" t="inlineStr"/>
      <c r="L2526" t="inlineStr"/>
      <c r="M2526" t="inlineStr"/>
      <c r="N2526" t="inlineStr"/>
      <c r="O2526">
        <f>(1-Summary!$B$11)*T2526+Summary!$B$11*V2526</f>
        <v/>
      </c>
      <c r="P2526">
        <f>IF(B2550=0,0,O2526/B2550)</f>
        <v/>
      </c>
      <c r="Q2526" t="n">
        <v>0</v>
      </c>
      <c r="R2526" t="n">
        <v>0</v>
      </c>
      <c r="S2526">
        <f>IFERROR(O2526/N2526,0)</f>
        <v/>
      </c>
      <c r="T2526" t="n">
        <v>0</v>
      </c>
      <c r="V2526" t="n">
        <v>0</v>
      </c>
    </row>
    <row r="2527">
      <c r="A2527">
        <f>Skills!A18</f>
        <v/>
      </c>
      <c r="B2527">
        <f>Skills!B18</f>
        <v/>
      </c>
      <c r="C2527">
        <f>Inputs!$B$3&gt;=115</f>
        <v/>
      </c>
      <c r="D2527">
        <f>IF(Skills!C18=1,60+Inputs!$B$25+Inputs!$B$29,IF(Skills!C18=2,90+Inputs!$B$26+Inputs!$B$29,IF(Skills!C18=3,120+Inputs!$B$27+Inputs!$B$29,MAX(0,(Inputs!$B$3-100)*3)+Inputs!$B$28+Inputs!$B$29)))</f>
        <v/>
      </c>
      <c r="E2527">
        <f>INDEX(FactorTable!$B$2:$Y$301, MATCH(ROUND(MIN(300,MAX(1,D2527)),0), FactorTable!$A$2:$A$301,0), Skills!M18+1)</f>
        <v/>
      </c>
      <c r="F2527">
        <f>IF(Skills!N18=TRUE,(Skills!L18/10)*(E2527/1000),Skills!L18/10)+Skills!O18</f>
        <v/>
      </c>
      <c r="G2527">
        <f>Skills!G18*IF(Skills!H18&gt;0,INT(IF(Inputs!$B$38="pvp",MIN(Skills!I18,15),Skills!I18)/Skills!H18+0.000000001),1)</f>
        <v/>
      </c>
      <c r="H2527">
        <f>1-(1-Skills!J18/100)^Skills!K18</f>
        <v/>
      </c>
      <c r="I2527" t="inlineStr">
        <is>
          <t>1</t>
        </is>
      </c>
      <c r="J2527" t="inlineStr"/>
      <c r="K2527" t="inlineStr"/>
      <c r="L2527" t="inlineStr"/>
      <c r="M2527" t="inlineStr"/>
      <c r="N2527" t="inlineStr"/>
      <c r="O2527">
        <f>(1-Summary!$B$11)*T2527+Summary!$B$11*V2527</f>
        <v/>
      </c>
      <c r="P2527">
        <f>IF(B2550=0,0,O2527/B2550)</f>
        <v/>
      </c>
      <c r="Q2527">
        <f>IFERROR(1/(IF(Inputs!$B$38="pvp",15,MAX(0.1,Skills!D18-IF(TRUE=TRUE,Inputs!$B$32,0)))*(1-IF(AND(ArtifactsInput!$M$27,Inputs!$B$4="Chapter Hunt"),CHOOSE(ArtifactsInput!$N$27+1,20,24,28,32,36,40),0)/100)),0)</f>
        <v/>
      </c>
      <c r="R2527">
        <f>IF(AND(Inputs!$B$38&lt;&gt;"pvp",Inputs!$B$43&gt;0),IF(Inputs!$B$43&lt;=0,0,(INT(Inputs!$B$43/(IF(Inputs!$B$38="pvp",15,MAX(0.1,Skills!D18-IF(TRUE=TRUE,Inputs!$B$32,0)))*(1-IF(AND(ArtifactsInput!$M$27,Inputs!$B$4="Chapter Hunt"),CHOOSE(ArtifactsInput!$N$27+1,20,24,28,32,36,40),0)/100)))+1)),0)</f>
        <v/>
      </c>
      <c r="S2527">
        <f>IFERROR(O2527/N2527,0)</f>
        <v/>
      </c>
      <c r="T2527" t="n">
        <v>0</v>
      </c>
      <c r="V2527" t="n">
        <v>0</v>
      </c>
    </row>
    <row r="2528">
      <c r="A2528">
        <f>Skills!A19</f>
        <v/>
      </c>
      <c r="B2528">
        <f>Skills!B19</f>
        <v/>
      </c>
      <c r="C2528">
        <f>Inputs!$B$3&gt;=10</f>
        <v/>
      </c>
      <c r="D2528">
        <f>IF(Skills!C19=1,60+Inputs!$B$25+Inputs!$B$29,IF(Skills!C19=2,90+Inputs!$B$26+Inputs!$B$29,IF(Skills!C19=3,120+Inputs!$B$27+Inputs!$B$29,MAX(0,(Inputs!$B$3-100)*3)+Inputs!$B$28+Inputs!$B$29)))</f>
        <v/>
      </c>
      <c r="E2528">
        <f>INDEX(FactorTable!$B$2:$Y$301, MATCH(ROUND(MIN(300,MAX(1,D2528)),0), FactorTable!$A$2:$A$301,0), Skills!M19+1)</f>
        <v/>
      </c>
      <c r="F2528">
        <f>IF(Skills!N19=TRUE,(Skills!L19/10)*(E2528/1000),Skills!L19/10)+Skills!O19</f>
        <v/>
      </c>
      <c r="G2528">
        <f>Skills!G19*IF(Skills!H19&gt;0,INT(IF(Inputs!$B$38="pvp",MIN(Skills!I19,15),Skills!I19)/Skills!H19+0.000000001),1)</f>
        <v/>
      </c>
      <c r="H2528">
        <f>1-(1-Skills!J19/100)^Skills!K19</f>
        <v/>
      </c>
      <c r="I2528" t="inlineStr">
        <is>
          <t>1</t>
        </is>
      </c>
      <c r="J2528" t="inlineStr"/>
      <c r="K2528" t="inlineStr"/>
      <c r="L2528" t="inlineStr"/>
      <c r="M2528" t="inlineStr"/>
      <c r="N2528" t="inlineStr"/>
      <c r="O2528">
        <f>(1-Summary!$B$11)*T2528+Summary!$B$11*V2528</f>
        <v/>
      </c>
      <c r="P2528">
        <f>IF(B2550=0,0,O2528/B2550)</f>
        <v/>
      </c>
      <c r="Q2528" t="n">
        <v>0</v>
      </c>
      <c r="R2528" t="n">
        <v>0</v>
      </c>
      <c r="S2528">
        <f>IFERROR(O2528/N2528,0)</f>
        <v/>
      </c>
      <c r="T2528" t="n">
        <v>0</v>
      </c>
      <c r="V2528" t="n">
        <v>0</v>
      </c>
    </row>
    <row r="2529">
      <c r="A2529">
        <f>Skills!A20</f>
        <v/>
      </c>
      <c r="B2529">
        <f>Skills!B20</f>
        <v/>
      </c>
      <c r="C2529">
        <f>Inputs!$B$3&gt;=15</f>
        <v/>
      </c>
      <c r="D2529">
        <f>IF(Skills!C20=1,60+Inputs!$B$25+Inputs!$B$29,IF(Skills!C20=2,90+Inputs!$B$26+Inputs!$B$29,IF(Skills!C20=3,120+Inputs!$B$27+Inputs!$B$29,MAX(0,(Inputs!$B$3-100)*3)+Inputs!$B$28+Inputs!$B$29)))</f>
        <v/>
      </c>
      <c r="E2529">
        <f>INDEX(FactorTable!$B$2:$Y$301, MATCH(ROUND(MIN(300,MAX(1,D2529)),0), FactorTable!$A$2:$A$301,0), Skills!M20+1)</f>
        <v/>
      </c>
      <c r="F2529">
        <f>IF(Skills!N20=TRUE,(Skills!L20/10)*(E2529/1000),Skills!L20/10)+Skills!O20</f>
        <v/>
      </c>
      <c r="G2529">
        <f>Skills!G20*IF(Skills!H20&gt;0,INT(IF(Inputs!$B$38="pvp",MIN(Skills!I20,15),Skills!I20)/Skills!H20+0.000000001),1)</f>
        <v/>
      </c>
      <c r="H2529">
        <f>1-(1-Skills!J20/100)^Skills!K20</f>
        <v/>
      </c>
      <c r="I2529" t="inlineStr">
        <is>
          <t>1</t>
        </is>
      </c>
      <c r="J2529" t="inlineStr"/>
      <c r="K2529" t="inlineStr"/>
      <c r="L2529" t="inlineStr"/>
      <c r="M2529" t="inlineStr"/>
      <c r="N2529" t="inlineStr"/>
      <c r="O2529">
        <f>(1-Summary!$B$11)*T2529+Summary!$B$11*V2529</f>
        <v/>
      </c>
      <c r="P2529">
        <f>IF(B2550=0,0,O2529/B2550)</f>
        <v/>
      </c>
      <c r="Q2529" t="n">
        <v>0</v>
      </c>
      <c r="R2529" t="n">
        <v>0</v>
      </c>
      <c r="S2529">
        <f>IFERROR(O2529/N2529,0)</f>
        <v/>
      </c>
      <c r="T2529" t="n">
        <v>0</v>
      </c>
      <c r="V2529" t="n">
        <v>0</v>
      </c>
    </row>
    <row r="2530">
      <c r="A2530">
        <f>Skills!A21</f>
        <v/>
      </c>
      <c r="B2530">
        <f>Skills!B21</f>
        <v/>
      </c>
      <c r="C2530">
        <f>Inputs!$B$3&gt;=40</f>
        <v/>
      </c>
      <c r="D2530">
        <f>IF(Skills!C21=1,60+Inputs!$B$25+Inputs!$B$29,IF(Skills!C21=2,90+Inputs!$B$26+Inputs!$B$29,IF(Skills!C21=3,120+Inputs!$B$27+Inputs!$B$29,MAX(0,(Inputs!$B$3-100)*3)+Inputs!$B$28+Inputs!$B$29)))</f>
        <v/>
      </c>
      <c r="E2530">
        <f>INDEX(FactorTable!$B$2:$Y$301, MATCH(ROUND(MIN(300,MAX(1,D2530)),0), FactorTable!$A$2:$A$301,0), Skills!M21+1)</f>
        <v/>
      </c>
      <c r="F2530">
        <f>IF(Skills!N21=TRUE,(Skills!L21/10)*(E2530/1000),Skills!L21/10)+Skills!O21</f>
        <v/>
      </c>
      <c r="G2530">
        <f>Skills!G21*IF(Skills!H21&gt;0,INT(IF(Inputs!$B$38="pvp",MIN(Skills!I21,15),Skills!I21)/Skills!H21+0.000000001),1)</f>
        <v/>
      </c>
      <c r="H2530">
        <f>1-(1-Skills!J21/100)^Skills!K21</f>
        <v/>
      </c>
      <c r="I2530" t="inlineStr">
        <is>
          <t>1</t>
        </is>
      </c>
      <c r="J2530" t="inlineStr"/>
      <c r="K2530" t="inlineStr"/>
      <c r="L2530" t="inlineStr"/>
      <c r="M2530" t="inlineStr"/>
      <c r="N2530" t="inlineStr"/>
      <c r="O2530">
        <f>(1-Summary!$B$11)*T2530+Summary!$B$11*V2530</f>
        <v/>
      </c>
      <c r="P2530">
        <f>IF(B2550=0,0,O2530/B2550)</f>
        <v/>
      </c>
      <c r="Q2530" t="n">
        <v>0</v>
      </c>
      <c r="R2530" t="n">
        <v>0</v>
      </c>
      <c r="S2530">
        <f>IFERROR(O2530/N2530,0)</f>
        <v/>
      </c>
      <c r="T2530" t="n">
        <v>0</v>
      </c>
      <c r="V2530" t="n">
        <v>0</v>
      </c>
    </row>
    <row r="2531">
      <c r="A2531">
        <f>Skills!A22</f>
        <v/>
      </c>
      <c r="B2531">
        <f>Skills!B22</f>
        <v/>
      </c>
      <c r="C2531">
        <f>Inputs!$B$3&gt;=43</f>
        <v/>
      </c>
      <c r="D2531">
        <f>IF(Skills!C22=1,60+Inputs!$B$25+Inputs!$B$29,IF(Skills!C22=2,90+Inputs!$B$26+Inputs!$B$29,IF(Skills!C22=3,120+Inputs!$B$27+Inputs!$B$29,MAX(0,(Inputs!$B$3-100)*3)+Inputs!$B$28+Inputs!$B$29)))</f>
        <v/>
      </c>
      <c r="E2531">
        <f>INDEX(FactorTable!$B$2:$Y$301, MATCH(ROUND(MIN(300,MAX(1,D2531)),0), FactorTable!$A$2:$A$301,0), Skills!M22+1)</f>
        <v/>
      </c>
      <c r="F2531">
        <f>IF(Skills!N22=TRUE,(Skills!L22/10)*(E2531/1000),Skills!L22/10)+Skills!O22</f>
        <v/>
      </c>
      <c r="G2531">
        <f>Skills!G22*IF(Skills!H22&gt;0,INT(IF(Inputs!$B$38="pvp",MIN(Skills!I22,15),Skills!I22)/Skills!H22+0.000000001),1)</f>
        <v/>
      </c>
      <c r="H2531">
        <f>1-(1-Skills!J22/100)^Skills!K22</f>
        <v/>
      </c>
      <c r="I2531" t="inlineStr">
        <is>
          <t>1</t>
        </is>
      </c>
      <c r="J2531" t="inlineStr"/>
      <c r="K2531" t="inlineStr"/>
      <c r="L2531" t="inlineStr"/>
      <c r="M2531" t="inlineStr"/>
      <c r="N2531" t="inlineStr"/>
      <c r="O2531">
        <f>(1-Summary!$B$11)*T2531+Summary!$B$11*V2531</f>
        <v/>
      </c>
      <c r="P2531">
        <f>IF(B2550=0,0,O2531/B2550)</f>
        <v/>
      </c>
      <c r="Q2531" t="n">
        <v>0</v>
      </c>
      <c r="R2531" t="n">
        <v>0</v>
      </c>
      <c r="S2531">
        <f>IFERROR(O2531/N2531,0)</f>
        <v/>
      </c>
      <c r="T2531" t="n">
        <v>0</v>
      </c>
      <c r="V2531" t="n">
        <v>0</v>
      </c>
    </row>
    <row r="2532">
      <c r="A2532">
        <f>Skills!A23</f>
        <v/>
      </c>
      <c r="B2532">
        <f>Skills!B23</f>
        <v/>
      </c>
      <c r="C2532">
        <f>Inputs!$B$3&gt;=38</f>
        <v/>
      </c>
      <c r="D2532">
        <f>IF(Skills!C23=1,60+Inputs!$B$25+Inputs!$B$29,IF(Skills!C23=2,90+Inputs!$B$26+Inputs!$B$29,IF(Skills!C23=3,120+Inputs!$B$27+Inputs!$B$29,MAX(0,(Inputs!$B$3-100)*3)+Inputs!$B$28+Inputs!$B$29)))</f>
        <v/>
      </c>
      <c r="E2532">
        <f>INDEX(FactorTable!$B$2:$Y$301, MATCH(ROUND(MIN(300,MAX(1,D2532)),0), FactorTable!$A$2:$A$301,0), Skills!M23+1)</f>
        <v/>
      </c>
      <c r="F2532">
        <f>IF(Skills!N23=TRUE,(Skills!L23/10)*(E2532/1000),Skills!L23/10)+Skills!O23</f>
        <v/>
      </c>
      <c r="G2532">
        <f>Skills!G23*IF(Skills!H23&gt;0,INT(IF(Inputs!$B$38="pvp",MIN(Skills!I23,15),Skills!I23)/Skills!H23+0.000000001),1)</f>
        <v/>
      </c>
      <c r="H2532">
        <f>1-(1-Skills!J23/100)^Skills!K23</f>
        <v/>
      </c>
      <c r="I2532" t="inlineStr">
        <is>
          <t>1</t>
        </is>
      </c>
      <c r="J2532" t="inlineStr"/>
      <c r="K2532" t="inlineStr"/>
      <c r="L2532" t="inlineStr"/>
      <c r="M2532" t="inlineStr"/>
      <c r="N2532" t="inlineStr"/>
      <c r="O2532">
        <f>(1-Summary!$B$11)*T2532+Summary!$B$11*V2532</f>
        <v/>
      </c>
      <c r="P2532">
        <f>IF(B2550=0,0,O2532/B2550)</f>
        <v/>
      </c>
      <c r="Q2532" t="n">
        <v>0</v>
      </c>
      <c r="R2532" t="n">
        <v>0</v>
      </c>
      <c r="S2532">
        <f>IFERROR(O2532/N2532,0)</f>
        <v/>
      </c>
      <c r="T2532" t="n">
        <v>0</v>
      </c>
      <c r="V2532" t="n">
        <v>0</v>
      </c>
    </row>
    <row r="2533">
      <c r="A2533">
        <f>Skills!A24</f>
        <v/>
      </c>
      <c r="B2533">
        <f>Skills!B24</f>
        <v/>
      </c>
      <c r="C2533">
        <f>Inputs!$B$3&gt;=45</f>
        <v/>
      </c>
      <c r="D2533">
        <f>IF(Skills!C24=1,60+Inputs!$B$25+Inputs!$B$29,IF(Skills!C24=2,90+Inputs!$B$26+Inputs!$B$29,IF(Skills!C24=3,120+Inputs!$B$27+Inputs!$B$29,MAX(0,(Inputs!$B$3-100)*3)+Inputs!$B$28+Inputs!$B$29)))</f>
        <v/>
      </c>
      <c r="E2533">
        <f>INDEX(FactorTable!$B$2:$Y$301, MATCH(ROUND(MIN(300,MAX(1,D2533)),0), FactorTable!$A$2:$A$301,0), Skills!M24+1)</f>
        <v/>
      </c>
      <c r="F2533">
        <f>IF(Skills!N24=TRUE,(Skills!L24/10)*(E2533/1000),Skills!L24/10)+Skills!O24</f>
        <v/>
      </c>
      <c r="G2533">
        <f>Skills!G24*IF(Skills!H24&gt;0,INT(IF(Inputs!$B$38="pvp",MIN(Skills!I24,15),Skills!I24)/Skills!H24+0.000000001),1)</f>
        <v/>
      </c>
      <c r="H2533">
        <f>1-(1-Skills!J24/100)^Skills!K24</f>
        <v/>
      </c>
      <c r="I2533" t="inlineStr">
        <is>
          <t>1</t>
        </is>
      </c>
      <c r="J2533" t="inlineStr"/>
      <c r="K2533" t="inlineStr"/>
      <c r="L2533" t="inlineStr"/>
      <c r="M2533" t="inlineStr"/>
      <c r="N2533" t="inlineStr"/>
      <c r="O2533">
        <f>(1-Summary!$B$11)*T2533+Summary!$B$11*V2533</f>
        <v/>
      </c>
      <c r="P2533">
        <f>IF(B2550=0,0,O2533/B2550)</f>
        <v/>
      </c>
      <c r="Q2533" t="n">
        <v>0</v>
      </c>
      <c r="R2533" t="n">
        <v>0</v>
      </c>
      <c r="S2533">
        <f>IFERROR(O2533/N2533,0)</f>
        <v/>
      </c>
      <c r="T2533" t="n">
        <v>0</v>
      </c>
      <c r="V2533" t="n">
        <v>0</v>
      </c>
    </row>
    <row r="2534">
      <c r="A2534">
        <f>Skills!A25</f>
        <v/>
      </c>
      <c r="B2534">
        <f>Skills!B25</f>
        <v/>
      </c>
      <c r="C2534">
        <f>Inputs!$B$3&gt;=72</f>
        <v/>
      </c>
      <c r="D2534">
        <f>IF(Skills!C25=1,60+Inputs!$B$25+Inputs!$B$29,IF(Skills!C25=2,90+Inputs!$B$26+Inputs!$B$29,IF(Skills!C25=3,120+Inputs!$B$27+Inputs!$B$29,MAX(0,(Inputs!$B$3-100)*3)+Inputs!$B$28+Inputs!$B$29)))</f>
        <v/>
      </c>
      <c r="E2534">
        <f>INDEX(FactorTable!$B$2:$Y$301, MATCH(ROUND(MIN(300,MAX(1,D2534)),0), FactorTable!$A$2:$A$301,0), Skills!M25+1)</f>
        <v/>
      </c>
      <c r="F2534">
        <f>IF(Skills!N25=TRUE,(Skills!L25/10)*(E2534/1000),Skills!L25/10)+Skills!O25</f>
        <v/>
      </c>
      <c r="G2534">
        <f>Skills!G25*IF(Skills!H25&gt;0,INT(IF(Inputs!$B$38="pvp",MIN(Skills!I25,15),Skills!I25)/Skills!H25+0.000000001),1)</f>
        <v/>
      </c>
      <c r="H2534">
        <f>1-(1-Skills!J25/100)^Skills!K25</f>
        <v/>
      </c>
      <c r="I2534" t="inlineStr">
        <is>
          <t>1</t>
        </is>
      </c>
      <c r="J2534" t="inlineStr"/>
      <c r="K2534" t="inlineStr"/>
      <c r="L2534" t="inlineStr"/>
      <c r="M2534" t="inlineStr"/>
      <c r="N2534" t="inlineStr"/>
      <c r="O2534">
        <f>(1-Summary!$B$11)*T2534+Summary!$B$11*V2534</f>
        <v/>
      </c>
      <c r="P2534">
        <f>IF(B2550=0,0,O2534/B2550)</f>
        <v/>
      </c>
      <c r="Q2534" t="n">
        <v>0</v>
      </c>
      <c r="R2534" t="n">
        <v>0</v>
      </c>
      <c r="S2534">
        <f>IFERROR(O2534/N2534,0)</f>
        <v/>
      </c>
      <c r="T2534" t="n">
        <v>0</v>
      </c>
      <c r="V2534" t="n">
        <v>0</v>
      </c>
    </row>
    <row r="2535">
      <c r="A2535">
        <f>Skills!A26</f>
        <v/>
      </c>
      <c r="B2535">
        <f>Skills!B26</f>
        <v/>
      </c>
      <c r="C2535">
        <f>Inputs!$B$3&gt;=75</f>
        <v/>
      </c>
      <c r="D2535">
        <f>IF(Skills!C26=1,60+Inputs!$B$25+Inputs!$B$29,IF(Skills!C26=2,90+Inputs!$B$26+Inputs!$B$29,IF(Skills!C26=3,120+Inputs!$B$27+Inputs!$B$29,MAX(0,(Inputs!$B$3-100)*3)+Inputs!$B$28+Inputs!$B$29)))</f>
        <v/>
      </c>
      <c r="E2535">
        <f>INDEX(FactorTable!$B$2:$Y$301, MATCH(ROUND(MIN(300,MAX(1,D2535)),0), FactorTable!$A$2:$A$301,0), Skills!M26+1)</f>
        <v/>
      </c>
      <c r="F2535">
        <f>IF(Skills!N26=TRUE,(Skills!L26/10)*(E2535/1000),Skills!L26/10)+Skills!O26</f>
        <v/>
      </c>
      <c r="G2535">
        <f>Skills!G26*IF(Skills!H26&gt;0,INT(IF(Inputs!$B$38="pvp",MIN(Skills!I26,15),Skills!I26)/Skills!H26+0.000000001),1)</f>
        <v/>
      </c>
      <c r="H2535">
        <f>1-(1-Skills!J26/100)^Skills!K26</f>
        <v/>
      </c>
      <c r="I2535" t="inlineStr">
        <is>
          <t>1</t>
        </is>
      </c>
      <c r="J2535" t="inlineStr"/>
      <c r="K2535" t="inlineStr"/>
      <c r="L2535" t="inlineStr"/>
      <c r="M2535" t="inlineStr"/>
      <c r="N2535" t="inlineStr"/>
      <c r="O2535">
        <f>(1-Summary!$B$11)*T2535+Summary!$B$11*V2535</f>
        <v/>
      </c>
      <c r="P2535">
        <f>IF(B2550=0,0,O2535/B2550)</f>
        <v/>
      </c>
      <c r="Q2535" t="n">
        <v>0</v>
      </c>
      <c r="R2535" t="n">
        <v>0</v>
      </c>
      <c r="S2535">
        <f>IFERROR(O2535/N2535,0)</f>
        <v/>
      </c>
      <c r="T2535" t="n">
        <v>0</v>
      </c>
      <c r="V2535" t="n">
        <v>0</v>
      </c>
    </row>
    <row r="2536">
      <c r="A2536">
        <f>Skills!A27</f>
        <v/>
      </c>
      <c r="B2536">
        <f>Skills!B27</f>
        <v/>
      </c>
      <c r="C2536">
        <f>Inputs!$B$3&gt;=125</f>
        <v/>
      </c>
      <c r="D2536">
        <f>IF(Skills!C27=1,60+Inputs!$B$25+Inputs!$B$29,IF(Skills!C27=2,90+Inputs!$B$26+Inputs!$B$29,IF(Skills!C27=3,120+Inputs!$B$27+Inputs!$B$29,MAX(0,(Inputs!$B$3-100)*3)+Inputs!$B$28+Inputs!$B$29)))</f>
        <v/>
      </c>
      <c r="E2536">
        <f>INDEX(FactorTable!$B$2:$Y$301, MATCH(ROUND(MIN(300,MAX(1,D2536)),0), FactorTable!$A$2:$A$301,0), Skills!M27+1)</f>
        <v/>
      </c>
      <c r="F2536">
        <f>IF(Skills!N27=TRUE,(Skills!L27/10)*(E2536/1000),Skills!L27/10)+Skills!O27</f>
        <v/>
      </c>
      <c r="G2536">
        <f>Skills!G27*IF(Skills!H27&gt;0,INT(IF(Inputs!$B$38="pvp",MIN(Skills!I27,15),Skills!I27)/Skills!H27+0.000000001),1)</f>
        <v/>
      </c>
      <c r="H2536">
        <f>1-(1-Skills!J27/100)^Skills!K27</f>
        <v/>
      </c>
      <c r="I2536" t="inlineStr">
        <is>
          <t>1</t>
        </is>
      </c>
      <c r="J2536" t="inlineStr"/>
      <c r="K2536" t="inlineStr"/>
      <c r="L2536" t="inlineStr"/>
      <c r="M2536" t="inlineStr"/>
      <c r="N2536" t="inlineStr"/>
      <c r="O2536">
        <f>(1-Summary!$B$11)*T2536+Summary!$B$11*V2536</f>
        <v/>
      </c>
      <c r="P2536">
        <f>IF(B2550=0,0,O2536/B2550)</f>
        <v/>
      </c>
      <c r="Q2536" t="n">
        <v>0</v>
      </c>
      <c r="R2536" t="n">
        <v>0</v>
      </c>
      <c r="S2536">
        <f>IFERROR(O2536/N2536,0)</f>
        <v/>
      </c>
      <c r="T2536" t="n">
        <v>0</v>
      </c>
      <c r="V2536" t="n">
        <v>0</v>
      </c>
    </row>
    <row r="2537">
      <c r="A2537">
        <f>Skills!A28</f>
        <v/>
      </c>
      <c r="B2537">
        <f>Skills!B28</f>
        <v/>
      </c>
      <c r="C2537">
        <f>TRUE</f>
        <v/>
      </c>
      <c r="D2537">
        <f>IF(Skills!C28=1,60+Inputs!$B$25+Inputs!$B$29,IF(Skills!C28=2,90+Inputs!$B$26+Inputs!$B$29,IF(Skills!C28=3,120+Inputs!$B$27+Inputs!$B$29,MAX(0,(Inputs!$B$3-100)*3)+Inputs!$B$28+Inputs!$B$29)))</f>
        <v/>
      </c>
      <c r="E2537">
        <f>INDEX(FactorTable!$B$2:$Y$301, MATCH(ROUND(MIN(300,MAX(1,D2537)),0), FactorTable!$A$2:$A$301,0), Skills!M28+1)</f>
        <v/>
      </c>
      <c r="F2537">
        <f>IF(Skills!N28=TRUE,(Skills!L28/10)*(E2537/1000),Skills!L28/10)+Skills!O28</f>
        <v/>
      </c>
      <c r="G2537">
        <f>Skills!G28*IF(Skills!H28&gt;0,INT(IF(Inputs!$B$38="pvp",MIN(Skills!I28,15),Skills!I28)/Skills!H28+0.000000001),1)</f>
        <v/>
      </c>
      <c r="H2537">
        <f>1-(1-Skills!J28/100)^Skills!K28</f>
        <v/>
      </c>
      <c r="I2537" t="inlineStr">
        <is>
          <t>1</t>
        </is>
      </c>
      <c r="J2537" t="inlineStr"/>
      <c r="K2537" t="inlineStr"/>
      <c r="L2537" t="inlineStr"/>
      <c r="M2537" t="inlineStr"/>
      <c r="N2537" t="inlineStr"/>
      <c r="O2537">
        <f>(1-Summary!$B$11)*T2537+Summary!$B$11*V2537</f>
        <v/>
      </c>
      <c r="P2537">
        <f>IF(B2550=0,0,O2537/B2550)</f>
        <v/>
      </c>
      <c r="Q2537">
        <f>IFERROR(1/(IF(Inputs!$B$38="pvp",15,MAX(0.1,Skills!D28-IF(TRUE=TRUE,Inputs!$B$32,0)))*(1-IF(AND(ArtifactsInput!$M$27,Inputs!$B$4="Chapter Hunt"),CHOOSE(ArtifactsInput!$N$27+1,20,24,28,32,36,40),0)/100)),0)</f>
        <v/>
      </c>
      <c r="R2537">
        <f>IF(AND(Inputs!$B$38&lt;&gt;"pvp",Inputs!$B$43&gt;0),IF(Inputs!$B$43&lt;=0,0,(INT(Inputs!$B$43/(IF(Inputs!$B$38="pvp",15,MAX(0.1,Skills!D28-IF(TRUE=TRUE,Inputs!$B$32,0)))*(1-IF(AND(ArtifactsInput!$M$27,Inputs!$B$4="Chapter Hunt"),CHOOSE(ArtifactsInput!$N$27+1,20,24,28,32,36,40),0)/100)))+1)),0)</f>
        <v/>
      </c>
      <c r="S2537">
        <f>IFERROR(O2537/N2537,0)</f>
        <v/>
      </c>
      <c r="T2537" t="n">
        <v>0</v>
      </c>
      <c r="V2537" t="n">
        <v>0</v>
      </c>
    </row>
    <row r="2539">
      <c r="A2539" t="inlineStr">
        <is>
          <t>Attack% Bucket Multiplier</t>
        </is>
      </c>
      <c r="B2539">
        <f>(1+(((C2526=TRUE)*F2526*5/7)+((C2533=TRUE)*(F2533-Calc!F24))+(IF(ArtifactsInput!$M$21,CHOOSE(ArtifactsInput!$N$21+1,25,30,35,40,45,50)*(IF(OR(Inputs!$B$4="Chapter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IF(ArtifactsInput!$M$34,FALSE,TRUE),CHOOSE(ArtifactsInput!$N$34+1,15,18,21,24,27,30),0)+IF(ArtifactsInput!$M$5,CHOOSE(ArtifactsInput!$N$5+1,10,12,14,16,18,20)*(IF(AND(Inputs!$B$38&lt;&gt;"pvp",Inputs!$B$43=0),0.5,(5*INT(MAX(0,IF(Inputs!$B$38="pvp",15,Inputs!$B$43)-10)/10)+MIN((MAX(0,IF(Inputs!$B$38="pvp",15,Inputs!$B$43)-10)-10*INT(MAX(0,IF(Inputs!$B$38="pvp",15,Inputs!$B$43)-10)/10)),5))/IF(Inputs!$B$38="pvp",15,Inputs!$B$43))),0)))/100)</f>
        <v/>
      </c>
    </row>
    <row r="2540">
      <c r="A2540" t="inlineStr">
        <is>
          <t>Global Crit Rate Bonus %</t>
        </is>
      </c>
      <c r="B2540" t="n">
        <v>0</v>
      </c>
    </row>
    <row r="2541">
      <c r="A2541" t="inlineStr">
        <is>
          <t>Attack Speed Buff Bonus % (Nimble Feet, duty-cycle averaged)</t>
        </is>
      </c>
      <c r="B2541">
        <f>((C2537=TRUE)*F2537*IF(AND(Inputs!$B$38&lt;&gt;"pvp",Inputs!$B$43&gt;0),(((R2537-1)*MIN((Skills!T28*(1+Inputs!$B$34/100)),(1/Q2537))+MIN((Skills!T28*(1+Inputs!$B$34/100)),MAX(0,Inputs!$B$43-((R2537-1)*(1/Q2537)))))/Inputs!$B$43),IF(Inputs!$B$38="pvp",MIN((Skills!T28*(1+Inputs!$B$34/100)),15)/15,MIN(1,(Skills!T28*(1+Inputs!$B$34/100))/(1/Q2537)))))</f>
        <v/>
      </c>
    </row>
    <row r="2542">
      <c r="A2542" t="inlineStr">
        <is>
          <t>Actions Per Second</t>
        </is>
      </c>
      <c r="B2542">
        <f>1+MIN(150,150*(1-(1-(Inputs!$B$11+((C2529=TRUE)*(F2529-Calc!F20))+((C2530=TRUE)*(F2530-Calc!F21)))/150)*(1-B2541/150)))/100</f>
        <v/>
      </c>
    </row>
    <row r="2543">
      <c r="A2543" t="inlineStr">
        <is>
          <t>Skill + Buff Cast Rate</t>
        </is>
      </c>
      <c r="B2543">
        <f>IF(AND(Inputs!$B$38&lt;&gt;"pvp",Inputs!$B$43&gt;0),SUMPRODUCT((Skills!E2:E28=TRUE)*(C2511:C2537=TRUE)*R2511:R2537*Skills!F2:F28)/Inputs!$B$43,SUMPRODUCT((Skills!E2:E28=TRUE)*(C2511:C2537=TRUE)*Q2511:Q2537*Skills!F2:F28))</f>
        <v/>
      </c>
    </row>
    <row r="2544">
      <c r="A2544" t="inlineStr">
        <is>
          <t>Eight-Legs Easton Casts Per Second</t>
        </is>
      </c>
      <c r="B2544">
        <f>MAX(0,B2542-B2543)</f>
        <v/>
      </c>
    </row>
    <row r="2545">
      <c r="A2545" t="inlineStr">
        <is>
          <t>Global Critical Damage Bonus % (unused)</t>
        </is>
      </c>
      <c r="B2545" t="n">
        <v>0</v>
      </c>
    </row>
    <row r="2546">
      <c r="A2546" t="inlineStr">
        <is>
          <t>Global Final Damage Bonus % (Jolly Roger + Ahoy Mateys - Final Damage proc)</t>
        </is>
      </c>
      <c r="B2546">
        <f>((C2527=TRUE)*F2527*IF(AND(Inputs!$B$38&lt;&gt;"pvp",Inputs!$B$43&gt;0),(((R2527-1)*MIN((Skills!T18*(1+Inputs!$B$34/100)),(1/Q2527))+MIN((Skills!T18*(1+Inputs!$B$34/100)),MAX(0,Inputs!$B$43-((R2527-1)*(1/Q2527)))))/Inputs!$B$43),IF(Inputs!$B$38="pvp",MIN((Skills!T18*(1+Inputs!$B$34/100)),15)/15,MIN(1,(Skills!T18*(1+Inputs!$B$34/100))/(1/Q2527)))))+IF(Inputs!$B$3&gt;=122,20*IF(Inputs!$B$38="pvp",MIN((20*(1+Inputs!$B$34/100)),15)/15,MIN(1,(20*(1+Inputs!$B$34/100))/(1/Q2513))),0)</f>
        <v/>
      </c>
    </row>
    <row r="2547">
      <c r="A2547" t="inlineStr">
        <is>
          <t>Buff-Casting Startup Delay (s, fixed-duration only)</t>
        </is>
      </c>
      <c r="B2547">
        <f>IF(AND(Inputs!$B$38&lt;&gt;"pvp",Inputs!$B$43&gt;0),SUMPRODUCT((Skills!T2:T28&gt;0)*(Skills!E2:E28=TRUE)*(C2511:C2537=TRUE))/B2542,0)</f>
        <v/>
      </c>
    </row>
    <row r="2548">
      <c r="A2548" t="inlineStr">
        <is>
          <t>Boss-Only Total DPS (this block's swept value)</t>
        </is>
      </c>
      <c r="B2548">
        <f>SUM(T2511:T2537)</f>
        <v/>
      </c>
    </row>
    <row r="2549">
      <c r="A2549" t="inlineStr">
        <is>
          <t>Normal-Only Total DPS (this block's swept value)</t>
        </is>
      </c>
      <c r="B2549">
        <f>SUM(V2511:V2537)</f>
        <v/>
      </c>
    </row>
    <row r="2550">
      <c r="A2550" s="6" t="inlineStr">
        <is>
          <t>TOTAL DPS</t>
        </is>
      </c>
      <c r="B2550" s="6">
        <f>SUM(O2511:O2537)</f>
        <v/>
      </c>
    </row>
    <row r="2551">
      <c r="A2551" t="inlineStr">
        <is>
          <t>Quickdraw cooldown divisor (this block's own APS / Q)</t>
        </is>
      </c>
      <c r="B2551">
        <f>IF(AND(C2536=TRUE,Inputs!$B$38&lt;&gt;"pvp"),1+0.25*MAX(0,(B2542-(((C2512=TRUE)*Q2512*1)+((C2513=TRUE)*Q2513*1)+((C2515=TRUE)*Q2515*1)+((C2516=TRUE)*Q2516*1)+((C2518=TRUE)*Q2518*1)+((C2521=TRUE)*Q2521*1)+((C2527=TRUE)*Q2527*1)+((C2537=TRUE)*Q2537*1))-((C2517=TRUE)/(IF(Inputs!$B$38="pvp",15,MAX(0.1,Skills!D8-IF(TRUE=TRUE,Inputs!$B$32,0)))*(1-IF(AND(ArtifactsInput!$M$27,Inputs!$B$4="Chapter Hunt"),CHOOSE(ArtifactsInput!$N$27+1,20,24,28,32,36,40),0)/100))+(C2520=TRUE)/(IF(Inputs!$B$38="pvp",15,MAX(0.1,Skills!D11-IF(TRUE=TRUE,Inputs!$B$32,0)))*(1-IF(AND(ArtifactsInput!$M$27,Inputs!$B$4="Chapter Hunt"),CHOOSE(ArtifactsInput!$N$27+1,20,24,28,32,36,40),0)/100))))/(1+0.25*((C2517=TRUE)/(IF(Inputs!$B$38="pvp",15,MAX(0.1,Skills!D8-IF(TRUE=TRUE,Inputs!$B$32,0)))*(1-IF(AND(ArtifactsInput!$M$27,Inputs!$B$4="Chapter Hunt"),CHOOSE(ArtifactsInput!$N$27+1,20,24,28,32,36,40),0)/100))+(C2520=TRUE)/(IF(Inputs!$B$38="pvp",15,MAX(0.1,Skills!D11-IF(TRUE=TRUE,Inputs!$B$32,0)))*(1-IF(AND(ArtifactsInput!$M$27,Inputs!$B$4="Chapter Hunt"),CHOOSE(ArtifactsInput!$N$27+1,20,24,28,32,36,40),0)/100))))),1)</f>
        <v/>
      </c>
    </row>
    <row r="2552">
      <c r="A2552" t="inlineStr">
        <is>
          <t>Nautilus Strike - Final Attack trigger rate (this block's own Q/R)</t>
        </is>
      </c>
      <c r="B2552">
        <f>IF(AND(Inputs!$B$38&lt;&gt;"pvp",Inputs!$B$43&gt;0),(((C2512=TRUE)*R2512)+((C2515=TRUE)*R2515)+((C2517=TRUE)*R2517)+((C2518=TRUE)*R2518)+((C2520=TRUE)*R2520))/Inputs!$B$43,((C2512=TRUE)*Q2512)+((C2515=TRUE)*Q2515)+((C2517=TRUE)*Q2517)+((C2518=TRUE)*Q2518)+((C2520=TRUE)*Q2520))+B2544</f>
        <v/>
      </c>
    </row>
    <row r="2555">
      <c r="A2555" s="6" t="inlineStr">
        <is>
          <t>Stat: Peach Tree Herb Pouch (Equip)</t>
        </is>
      </c>
    </row>
    <row r="2556">
      <c r="A2556" s="5" t="inlineStr">
        <is>
          <t>Key</t>
        </is>
      </c>
      <c r="B2556" s="5" t="inlineStr">
        <is>
          <t>Name</t>
        </is>
      </c>
      <c r="C2556" s="5" t="inlineStr">
        <is>
          <t>Unlocked</t>
        </is>
      </c>
      <c r="D2556" s="5" t="inlineStr">
        <is>
          <t>InputLevel</t>
        </is>
      </c>
      <c r="E2556" s="5" t="inlineStr">
        <is>
          <t>Factor</t>
        </is>
      </c>
      <c r="F2556" s="5" t="inlineStr">
        <is>
          <t>CoefficientPercent</t>
        </is>
      </c>
      <c r="G2556" s="5" t="inlineStr">
        <is>
          <t>EffectiveHits</t>
        </is>
      </c>
      <c r="H2556" s="5" t="inlineStr">
        <is>
          <t>ProcProbability</t>
        </is>
      </c>
      <c r="I2556" s="5" t="inlineStr">
        <is>
          <t>MapleHeroMultiplier</t>
        </is>
      </c>
      <c r="J2556" s="5" t="inlineStr">
        <is>
          <t>BaseDamage</t>
        </is>
      </c>
      <c r="K2556" s="5" t="inlineStr">
        <is>
          <t>BaseHitDamage</t>
        </is>
      </c>
      <c r="L2556" s="5" t="inlineStr">
        <is>
          <t>NonCritAvg</t>
        </is>
      </c>
      <c r="M2556" s="5" t="inlineStr">
        <is>
          <t>CritAvg</t>
        </is>
      </c>
      <c r="N2556" s="5" t="inlineStr">
        <is>
          <t>ExpectedDamage(perHit)</t>
        </is>
      </c>
      <c r="O2556" s="5" t="inlineStr">
        <is>
          <t>DPS</t>
        </is>
      </c>
      <c r="P2556" s="5" t="inlineStr">
        <is>
          <t>% of Total</t>
        </is>
      </c>
      <c r="Q2556" s="5" t="inlineStr">
        <is>
          <t>InvCooldown</t>
        </is>
      </c>
      <c r="R2556" s="5" t="inlineStr">
        <is>
          <t>CastsInFight</t>
        </is>
      </c>
      <c r="S2556" s="5" t="inlineStr">
        <is>
          <t>HitRate(perSec)</t>
        </is>
      </c>
      <c r="U2556" t="inlineStr">
        <is>
          <t>helpers</t>
        </is>
      </c>
    </row>
    <row r="2557">
      <c r="A2557">
        <f>Skills!A2</f>
        <v/>
      </c>
      <c r="B2557">
        <f>Skills!B2</f>
        <v/>
      </c>
      <c r="C2557">
        <f>Inputs!$B$3&gt;=100</f>
        <v/>
      </c>
      <c r="D2557" t="inlineStr"/>
      <c r="E2557" t="inlineStr"/>
      <c r="F2557">
        <f>U2559+Skills!O2</f>
        <v/>
      </c>
      <c r="G2557">
        <f>Skills!G2*IF(Skills!H2&gt;0,INT(IF(Inputs!$B$38="pvp",MIN(Skills!I2,15),Skills!I2)/Skills!H2+0.000000001),1)</f>
        <v/>
      </c>
      <c r="H2557">
        <f>1-(1-Skills!J2/100)^Skills!K2</f>
        <v/>
      </c>
      <c r="I2557" t="inlineStr">
        <is>
          <t>1</t>
        </is>
      </c>
      <c r="J2557">
        <f>((Inputs!$B$6*(1+Inputs!$B$7/100))+(((Inputs!$B$12*(1+Inputs!$B$13/100))-(Inputs!$B$12*(1+Inputs!$B$13/100)))+0.25*(Inputs!$B$14-Inputs!$B$14))*(1+Inputs!$B$7/100))*(F2557/100)</f>
        <v/>
      </c>
      <c r="K2557">
        <f>J2557*(1+((Inputs!$B$12*(1+Inputs!$B$13/100))*0.01+Inputs!$B$14*0.0025)/100)*(1+Inputs!$B$15/100)*(1+Inputs!$B$16/100)*(5000/(6000+Inputs!$B$42*(1-(100*(1-(1-(Inputs!$B$19+0)/100)*(1-CHOOSE(ArtifactsInput!$N$40+1,5,6,7,8,9,10)/100)^(ArtifactsInput!$M$40-ArtifactsInput!$M$40)))/100)))*(1+(Inputs!$B$24+((C2581=TRUE)*(F2581-Calc!F26))+B2592)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IGHT_LEGS_EASTON",Inputs!$B$17+((C2578=TRUE)*(F2578-Calc!F23))+((C2582=TRUE)*(F2582-Calc!F27))+((IF(AND(Inputs!$B$38&lt;&gt;"pvp",Inputs!$B$43=0),1,IF(IF(Inputs!$B$38="pvp",15,Inputs!$B$43)-(B2593)&lt;=0,1,MAX(0,IF(Inputs!$B$38="pvp",15,Inputs!$B$43)-MAX(5,B2593))/(IF(Inputs!$B$38="pvp",15,Inputs!$B$43)-(B2593))))*(IF(AND(ArtifactsInput!$M$42,((Inputs!$B$9+((C2574=TRUE)*(F2574-Calc!F19))+B2586+(ArtifactsInput!$M$24-ArtifactsInput!$M$24)*CHOOSE(ArtifactsInput!$N$24+1,10,12,14,16,18,20)+IF(ArtifactsInput!$M$10,CHOOSE(ArtifactsInput!$N$10+1,15,18,21,24,27,30)*(IF(Inputs!$B$38="pvp",MIN(15,15)/15,IF(AND(Inputs!$B$38&lt;&gt;"pvp",Inputs!$B$43&gt;0),MIN(15,Inputs!$B$43)/(Inputs!$B$43),0))),0)))&gt;=100),MIN(100,((Inputs!$B$9+((C2574=TRUE)*(F2574-Calc!F19))+B2586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2593)&lt;=0,1,MAX(0,IF(Inputs!$B$38="pvp",15,Inputs!$B$43)-MAX(5,B2593))/(IF(Inputs!$B$38="pvp",15,Inputs!$B$43)-(B2593))))*IF(AND(ArtifactsInput!$M$42,((Inputs!$B$9+((C2574=TRUE)*(F2574-Calc!F19))+B2586+(ArtifactsInput!$M$24-ArtifactsInput!$M$24)*CHOOSE(ArtifactsInput!$N$24+1,10,12,14,16,18,20)+IF(ArtifactsInput!$M$10,CHOOSE(ArtifactsInput!$N$10+1,15,18,21,24,27,30)*(IF(Inputs!$B$38="pvp",MIN(15,15)/15,IF(AND(Inputs!$B$38&lt;&gt;"pvp",Inputs!$B$43&gt;0),MIN(15,Inputs!$B$43)/(Inputs!$B$43),0))),0)))&gt;=100),CHOOSE(ArtifactsInput!$N$42+1,40,48,56,64,72,80),0))))/100)*((1+(((C2572=TRUE)*F2572*5/7)+((C2579=TRUE)*(F2579-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2557)</f>
        <v/>
      </c>
      <c r="L2557">
        <f>K2557*(MIN(Inputs!$B$22+((C2577=TRUE)*(F2577-Calc!F22)),(Inputs!$B$23+0+(IF(ArtifactsInput!$M$15,CHOOSE(ArtifactsInput!$N$15+1,25,30,35,40,45,50)/100*(Inputs!$B$11-Inputs!$B$11),0))))/100+(Inputs!$B$23+0+(IF(ArtifactsInput!$M$15,CHOOSE(ArtifactsInput!$N$15+1,25,30,35,40,45,50)/100*(Inputs!$B$11-Inputs!$B$11),0)))/100)/2</f>
        <v/>
      </c>
      <c r="M2557">
        <f>L2557*(1+(Inputs!$B$10+((C2580=TRUE)*(F2580-Calc!F25))+B2591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57">
        <f>L2557*(1-MIN((Inputs!$B$9+((C2574=TRUE)*(F2574-Calc!F19))+B2586+(ArtifactsInput!$M$24-ArtifactsInput!$M$24)*CHOOSE(ArtifactsInput!$N$24+1,10,12,14,16,18,20)+(IF(AND(Inputs!$B$38&lt;&gt;"pvp",Inputs!$B$43=0),1,IF(IF(Inputs!$B$38="pvp",15,Inputs!$B$43)-(B2593)&lt;=0,1,MAX(0,IF(Inputs!$B$38="pvp",15,Inputs!$B$43)-MAX(5,B2593))/(IF(Inputs!$B$38="pvp",15,Inputs!$B$43)-(B2593))))*IF(AND(ArtifactsInput!$M$42,((Inputs!$B$9+((C2574=TRUE)*(F2574-Calc!F19))+B2586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2557*(MIN((Inputs!$B$9+((C2574=TRUE)*(F2574-Calc!F19))+B2586+(ArtifactsInput!$M$24-ArtifactsInput!$M$24)*CHOOSE(ArtifactsInput!$N$24+1,10,12,14,16,18,20)+(IF(AND(Inputs!$B$38&lt;&gt;"pvp",Inputs!$B$43=0),1,IF(IF(Inputs!$B$38="pvp",15,Inputs!$B$43)-(B2593)&lt;=0,1,MAX(0,IF(Inputs!$B$38="pvp",15,Inputs!$B$43)-MAX(5,B2593))/(IF(Inputs!$B$38="pvp",15,Inputs!$B$43)-(B2593))))*IF(AND(ArtifactsInput!$M$42,((Inputs!$B$9+((C2574=TRUE)*(F2574-Calc!F19))+B2586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57">
        <f>(1-Summary!$B$11)*T2557+Summary!$B$11*V2557</f>
        <v/>
      </c>
      <c r="P2557">
        <f>IF(B2596=0,0,O2557/B2596)</f>
        <v/>
      </c>
      <c r="Q2557" t="n">
        <v>0</v>
      </c>
      <c r="R2557" t="n">
        <v>0</v>
      </c>
      <c r="S2557">
        <f>IFERROR(O2557/N2557,0)</f>
        <v/>
      </c>
      <c r="T2557">
        <f>IF(C2557,(Skills!G2*N2557*B2590*(1+IF(C2582=TRUE,1/3,0)))*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IF(ArtifactsInput!$M$35,FALSE,TRUE),Inputs!$B$4&lt;&gt;"Chapter Hunt"),CHOOSE(ArtifactsInput!$N$35+1,15,18,21,24,27,30)*(1-EXP(-(0.2*B2588)*5)),0)+IF(AND(ArtifactsInput!$M$22,Inputs!$B$4&lt;&gt;"Chapter Hunt"),CHOOSE(ArtifactsInput!$N$22+1,10,12,14,16,18,20)*((0*(((0.15*B2588*5))^0/1)+1*(((0.15*B2588*5))^1/1)+2*(((0.15*B2588*5))^2/2)+3*(((0.15*B2588*5))^3/6)+4*(((0.15*B2588*5))^4/24)+5*(((0.15*B2588*5))^5/120))/((((0.15*B2588*5))^0/1)+(((0.15*B2588*5))^1/1)+(((0.15*B2588*5))^2/2)+(((0.15*B2588*5))^3/6)+(((0.15*B2588*5))^4/24)+(((0.15*B2588*5))^5/120))),0))+IF(Inputs!$B$3&gt;=54,9*(C2558=TRUE)*MIN(1,8*(1+Inputs!$B$34/100)*Q2558)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2557*(1-MIN(100,(Inputs!$B$9+((C2574=TRUE)*(F2574-Calc!F19))+B2586+(ArtifactsInput!$M$24-ArtifactsInput!$M$24)*CHOOSE(ArtifactsInput!$N$24+1,10,12,14,16,18,20)+(IF(AND(Inputs!$B$38&lt;&gt;"pvp",Inputs!$B$43=0),1,IF(IF(Inputs!$B$38="pvp",15,Inputs!$B$43)-(B2593)&lt;=0,1,MAX(0,IF(Inputs!$B$38="pvp",15,Inputs!$B$43)-MAX(5,B2593))/(IF(Inputs!$B$38="pvp",15,Inputs!$B$43)-(B2593))))*IF(AND(ArtifactsInput!$M$42,((Inputs!$B$9+((C2574=TRUE)*(F2574-Calc!F19))+B2586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2557*(MIN(100,(Inputs!$B$9+((C2574=TRUE)*(F2574-Calc!F19))+B2586+(ArtifactsInput!$M$24-ArtifactsInput!$M$24)*CHOOSE(ArtifactsInput!$N$24+1,10,12,14,16,18,20)+(IF(AND(Inputs!$B$38&lt;&gt;"pvp",Inputs!$B$43=0),1,IF(IF(Inputs!$B$38="pvp",15,Inputs!$B$43)-(B2593)&lt;=0,1,MAX(0,IF(Inputs!$B$38="pvp",15,Inputs!$B$43)-MAX(5,B2593))/(IF(Inputs!$B$38="pvp",15,Inputs!$B$43)-(B2593))))*IF(AND(ArtifactsInput!$M$42,((Inputs!$B$9+((C2574=TRUE)*(F2574-Calc!F19))+B2586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2557*(1-MIN(100,(Inputs!$B$9+((C2574=TRUE)*(F2574-Calc!F19))+B2586+(ArtifactsInput!$M$24-ArtifactsInput!$M$24)*CHOOSE(ArtifactsInput!$N$24+1,10,12,14,16,18,20)+(IF(AND(Inputs!$B$38&lt;&gt;"pvp",Inputs!$B$43=0),1,IF(IF(Inputs!$B$38="pvp",15,Inputs!$B$43)-(B2593)&lt;=0,1,MAX(0,IF(Inputs!$B$38="pvp",15,Inputs!$B$43)-MAX(5,B2593))/(IF(Inputs!$B$38="pvp",15,Inputs!$B$43)-(B2593))))*IF(AND(ArtifactsInput!$M$42,((Inputs!$B$9+((C2574=TRUE)*(F2574-Calc!F19))+B2586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2557*(MIN(100,(Inputs!$B$9+((C2574=TRUE)*(F2574-Calc!F19))+B2586+(ArtifactsInput!$M$24-ArtifactsInput!$M$24)*CHOOSE(ArtifactsInput!$N$24+1,10,12,14,16,18,20)+(IF(AND(Inputs!$B$38&lt;&gt;"pvp",Inputs!$B$43=0),1,IF(IF(Inputs!$B$38="pvp",15,Inputs!$B$43)-(B2593)&lt;=0,1,MAX(0,IF(Inputs!$B$38="pvp",15,Inputs!$B$43)-MAX(5,B2593))/(IF(Inputs!$B$38="pvp",15,Inputs!$B$43)-(B2593))))*IF(AND(ArtifactsInput!$M$42,((Inputs!$B$9+((C2574=TRUE)*(F2574-Calc!F19))+B2586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557">
        <f>MAX(0,(Inputs!$B$3-100)*3)+Inputs!$B$28+Inputs!$B$29</f>
        <v/>
      </c>
      <c r="V2557">
        <f>IF(C2557,(Skills!G2*N2557*B2590*(1+IF(C2582=TRUE,1/3,0)))*IF(Inputs!$B$38="pvp",1,(1+(Inputs!$B$21+Skills!Q2+(IF(ArtifactsInput!$M$33,CHOOSE(ArtifactsInput!$N$33+1,30,36,42,48,54,60),0))+(IF(AND(IF(ArtifactsInput!$M$35,FALSE,TRUE),Inputs!$B$4&lt;&gt;"Chapter Hunt"),CHOOSE(ArtifactsInput!$N$35+1,15,18,21,24,27,30)*(1-EXP(-(0.2*B2588)*5)),0)+IF(AND(ArtifactsInput!$M$22,Inputs!$B$4&lt;&gt;"Chapter Hunt"),CHOOSE(ArtifactsInput!$N$22+1,10,12,14,16,18,20)*((0*(((0.15*B2588*5))^0/1)+1*(((0.15*B2588*5))^1/1)+2*(((0.15*B2588*5))^2/2)+3*(((0.15*B2588*5))^3/6)+4*(((0.15*B2588*5))^4/24)+5*(((0.15*B2588*5))^5/120))/((((0.15*B2588*5))^0/1)+(((0.15*B2588*5))^1/1)+(((0.15*B2588*5))^2/2)+(((0.15*B2588*5))^3/6)+(((0.15*B2588*5))^4/24)+(((0.15*B2588*5))^5/120))),0))+IF(Inputs!$B$3&gt;=54,9*(C2558=TRUE)*MIN(1,8*(1+Inputs!$B$34/100)*Q2558),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58">
      <c r="A2558">
        <f>Skills!A3</f>
        <v/>
      </c>
      <c r="B2558">
        <f>Skills!B3</f>
        <v/>
      </c>
      <c r="C2558">
        <f>Inputs!$B$3&gt;=33</f>
        <v/>
      </c>
      <c r="D2558">
        <f>IF(Skills!C3=1,60+Inputs!$B$25+Inputs!$B$29,IF(Skills!C3=2,90+Inputs!$B$26+Inputs!$B$29,IF(Skills!C3=3,120+Inputs!$B$27+Inputs!$B$29,MAX(0,(Inputs!$B$3-100)*3)+Inputs!$B$28+Inputs!$B$29)))</f>
        <v/>
      </c>
      <c r="E2558">
        <f>INDEX(FactorTable!$B$2:$Y$301, MATCH(ROUND(MIN(300,MAX(1,D2558)),0), FactorTable!$A$2:$A$301,0), Skills!M3+1)</f>
        <v/>
      </c>
      <c r="F2558">
        <f>IF(Skills!N3=TRUE,(Skills!L3/10)*(E2558/1000),Skills!L3/10)+Skills!O3</f>
        <v/>
      </c>
      <c r="G2558">
        <f>Skills!G3*IF(Skills!H3&gt;0,INT(IF(Inputs!$B$38="pvp",MIN(Skills!I3,15),Skills!I3)/Skills!H3+0.000000001),1)</f>
        <v/>
      </c>
      <c r="H2558">
        <f>1-(1-Skills!J3/100)^Skills!K3</f>
        <v/>
      </c>
      <c r="I2558" t="inlineStr">
        <is>
          <t>1</t>
        </is>
      </c>
      <c r="J2558">
        <f>((Inputs!$B$6*(1+Inputs!$B$7/100))+(((Inputs!$B$12*(1+Inputs!$B$13/100))-(Inputs!$B$12*(1+Inputs!$B$13/100)))+0.25*(Inputs!$B$14-Inputs!$B$14))*(1+Inputs!$B$7/100))*(F2558/100)</f>
        <v/>
      </c>
      <c r="K2558">
        <f>J2558*(1+((Inputs!$B$12*(1+Inputs!$B$13/100))*0.01+Inputs!$B$14*0.0025)/100)*(1+Inputs!$B$15/100)*(1+Inputs!$B$16/100)*(5000/(6000+Inputs!$B$42*(1-(100*(1-(1-(Inputs!$B$19+0)/100)*(1-CHOOSE(ArtifactsInput!$N$40+1,5,6,7,8,9,10)/100)^(ArtifactsInput!$M$40-ArtifactsInput!$M$40)))/100)))*(1+(Inputs!$B$24+((C2581=TRUE)*(F2581-Calc!F26))+B2592)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2570=TRUE,F2570,0)/100)*(1+(IF(Skills!A3="EIGHT_LEGS_EASTON",Inputs!$B$17+((C2578=TRUE)*(F2578-Calc!F23))+((C2582=TRUE)*(F2582-Calc!F27))+((IF(AND(Inputs!$B$38&lt;&gt;"pvp",Inputs!$B$43=0),1,IF(IF(Inputs!$B$38="pvp",15,Inputs!$B$43)-(B2593)&lt;=0,1,MAX(0,IF(Inputs!$B$38="pvp",15,Inputs!$B$43)-MAX(5,B2593))/(IF(Inputs!$B$38="pvp",15,Inputs!$B$43)-(B2593))))*(IF(AND(ArtifactsInput!$M$42,((Inputs!$B$9+((C2574=TRUE)*(F2574-Calc!F19))+B2586+(ArtifactsInput!$M$24-ArtifactsInput!$M$24)*CHOOSE(ArtifactsInput!$N$24+1,10,12,14,16,18,20)+IF(ArtifactsInput!$M$10,CHOOSE(ArtifactsInput!$N$10+1,15,18,21,24,27,30)*(IF(Inputs!$B$38="pvp",MIN(15,15)/15,IF(AND(Inputs!$B$38&lt;&gt;"pvp",Inputs!$B$43&gt;0),MIN(15,Inputs!$B$43)/(Inputs!$B$43),0))),0)))&gt;=100),MIN(100,((Inputs!$B$9+((C2574=TRUE)*(F2574-Calc!F19))+B2586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2593)&lt;=0,1,MAX(0,IF(Inputs!$B$38="pvp",15,Inputs!$B$43)-MAX(5,B2593))/(IF(Inputs!$B$38="pvp",15,Inputs!$B$43)-(B2593))))*IF(AND(ArtifactsInput!$M$42,((Inputs!$B$9+((C2574=TRUE)*(F2574-Calc!F19))+B2586+(ArtifactsInput!$M$24-ArtifactsInput!$M$24)*CHOOSE(ArtifactsInput!$N$24+1,10,12,14,16,18,20)+IF(ArtifactsInput!$M$10,CHOOSE(ArtifactsInput!$N$10+1,15,18,21,24,27,30)*(IF(Inputs!$B$38="pvp",MIN(15,15)/15,IF(AND(Inputs!$B$38&lt;&gt;"pvp",Inputs!$B$43&gt;0),MIN(15,Inputs!$B$43)/(Inputs!$B$43),0))),0)))&gt;=100),CHOOSE(ArtifactsInput!$N$42+1,40,48,56,64,72,80),0))))/100)*((1+(((C2572=TRUE)*F2572*5/7)+((C2579=TRUE)*(F2579-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2558)</f>
        <v/>
      </c>
      <c r="L2558">
        <f>K2558*(MIN(Inputs!$B$22+((C2577=TRUE)*(F2577-Calc!F22)),(Inputs!$B$23+0+(IF(ArtifactsInput!$M$15,CHOOSE(ArtifactsInput!$N$15+1,25,30,35,40,45,50)/100*(Inputs!$B$11-Inputs!$B$11),0))))/100+(Inputs!$B$23+0+(IF(ArtifactsInput!$M$15,CHOOSE(ArtifactsInput!$N$15+1,25,30,35,40,45,50)/100*(Inputs!$B$11-Inputs!$B$11),0)))/100)/2</f>
        <v/>
      </c>
      <c r="M2558">
        <f>L2558*(1+(Inputs!$B$10+((C2580=TRUE)*(F2580-Calc!F25))+B2591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58">
        <f>L2558*(1-MIN((Inputs!$B$9+((C2574=TRUE)*(F2574-Calc!F19))+B2586+(ArtifactsInput!$M$24-ArtifactsInput!$M$24)*CHOOSE(ArtifactsInput!$N$24+1,10,12,14,16,18,20)+(IF(AND(Inputs!$B$38&lt;&gt;"pvp",Inputs!$B$43=0),1,IF(IF(Inputs!$B$38="pvp",15,Inputs!$B$43)-(B2593)&lt;=0,1,MAX(0,IF(Inputs!$B$38="pvp",15,Inputs!$B$43)-MAX(5,B2593))/(IF(Inputs!$B$38="pvp",15,Inputs!$B$43)-(B2593))))*IF(AND(ArtifactsInput!$M$42,((Inputs!$B$9+((C2574=TRUE)*(F2574-Calc!F19))+B2586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2558*(MIN((Inputs!$B$9+((C2574=TRUE)*(F2574-Calc!F19))+B2586+(ArtifactsInput!$M$24-ArtifactsInput!$M$24)*CHOOSE(ArtifactsInput!$N$24+1,10,12,14,16,18,20)+(IF(AND(Inputs!$B$38&lt;&gt;"pvp",Inputs!$B$43=0),1,IF(IF(Inputs!$B$38="pvp",15,Inputs!$B$43)-(B2593)&lt;=0,1,MAX(0,IF(Inputs!$B$38="pvp",15,Inputs!$B$43)-MAX(5,B2593))/(IF(Inputs!$B$38="pvp",15,Inputs!$B$43)-(B2593))))*IF(AND(ArtifactsInput!$M$42,((Inputs!$B$9+((C2574=TRUE)*(F2574-Calc!F19))+B2586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58">
        <f>(1-Summary!$B$11)*T2558+Summary!$B$11*V2558</f>
        <v/>
      </c>
      <c r="P2558">
        <f>IF(B2596=0,0,O2558/B2596)</f>
        <v/>
      </c>
      <c r="Q2558">
        <f>IFERROR(1/(IF(Inputs!$B$38="pvp",15,MAX(0.1,Skills!D3-IF(TRUE=TRUE,Inputs!$B$32,0)))*(1-IF(AND(ArtifactsInput!$M$27,Inputs!$B$4="Chapter Hunt"),CHOOSE(ArtifactsInput!$N$27+1,20,24,28,32,36,40),0)/100)),0)</f>
        <v/>
      </c>
      <c r="R2558">
        <f>IF(AND(Inputs!$B$38&lt;&gt;"pvp",Inputs!$B$43&gt;0),IF(MAX(0,Inputs!$B$43-B2593)&lt;=0,0,(INT(MAX(0,Inputs!$B$43-B2593)/(IF(Inputs!$B$38="pvp",15,MAX(0.1,Skills!D3-IF(TRUE=TRUE,Inputs!$B$32,0)))*(1-IF(AND(ArtifactsInput!$M$27,Inputs!$B$4="Chapter Hunt"),CHOOSE(ArtifactsInput!$N$27+1,20,24,28,32,36,40),0)/100)))+1)),0)</f>
        <v/>
      </c>
      <c r="S2558">
        <f>IFERROR(O2558/N2558,0)</f>
        <v/>
      </c>
      <c r="T2558">
        <f>IF(C2558,(H2558*N2558*IF(AND(Inputs!$B$38&lt;&gt;"pvp",Inputs!$B$43&gt;0),((Skills!G3*((R2558-1)*IF(Skills!H3&gt;0,INT(Skills!I3/Skills!H3+0.000000001),1)+IF(Skills!H3&gt;0,INT(MIN(Skills!I3,MAX(0,MAX(0,Inputs!$B$43-B2593)-((R2558-1)*(IF(Inputs!$B$38="pvp",15,MAX(0.1,Skills!D3-IF(TRUE=TRUE,Inputs!$B$32,0)))*(1-IF(AND(ArtifactsInput!$M$27,Inputs!$B$4="Chapter Hunt"),CHOOSE(ArtifactsInput!$N$27+1,20,24,28,32,36,40),0)/100)))))/Skills!H3+0.000000001),1)))/Inputs!$B$43),G2558*Q2558))*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IF(ArtifactsInput!$M$35,FALSE,TRUE),Inputs!$B$4&lt;&gt;"Chapter Hunt"),CHOOSE(ArtifactsInput!$N$35+1,15,18,21,24,27,30)*(1-EXP(-(0.2*B2588)*5)),0)+IF(AND(ArtifactsInput!$M$22,Inputs!$B$4&lt;&gt;"Chapter Hunt"),CHOOSE(ArtifactsInput!$N$22+1,10,12,14,16,18,20)*((0*(((0.15*B2588*5))^0/1)+1*(((0.15*B2588*5))^1/1)+2*(((0.15*B2588*5))^2/2)+3*(((0.15*B2588*5))^3/6)+4*(((0.15*B2588*5))^4/24)+5*(((0.15*B2588*5))^5/120))/((((0.15*B2588*5))^0/1)+(((0.15*B2588*5))^1/1)+(((0.15*B2588*5))^2/2)+(((0.15*B2588*5))^3/6)+(((0.15*B2588*5))^4/24)+(((0.15*B2588*5))^5/120))),0))+IF(Inputs!$B$3&gt;=54,9*(C2558=TRUE)*MIN(1,8*(1+Inputs!$B$34/100)*Q2558)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2558*(1-MIN(100,(Inputs!$B$9+((C2574=TRUE)*(F2574-Calc!F19))+B2586+(ArtifactsInput!$M$24-ArtifactsInput!$M$24)*CHOOSE(ArtifactsInput!$N$24+1,10,12,14,16,18,20)+(IF(AND(Inputs!$B$38&lt;&gt;"pvp",Inputs!$B$43=0),1,IF(IF(Inputs!$B$38="pvp",15,Inputs!$B$43)-(B2593)&lt;=0,1,MAX(0,IF(Inputs!$B$38="pvp",15,Inputs!$B$43)-MAX(5,B2593))/(IF(Inputs!$B$38="pvp",15,Inputs!$B$43)-(B2593))))*IF(AND(ArtifactsInput!$M$42,((Inputs!$B$9+((C2574=TRUE)*(F2574-Calc!F19))+B2586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2558*(MIN(100,(Inputs!$B$9+((C2574=TRUE)*(F2574-Calc!F19))+B2586+(ArtifactsInput!$M$24-ArtifactsInput!$M$24)*CHOOSE(ArtifactsInput!$N$24+1,10,12,14,16,18,20)+(IF(AND(Inputs!$B$38&lt;&gt;"pvp",Inputs!$B$43=0),1,IF(IF(Inputs!$B$38="pvp",15,Inputs!$B$43)-(B2593)&lt;=0,1,MAX(0,IF(Inputs!$B$38="pvp",15,Inputs!$B$43)-MAX(5,B2593))/(IF(Inputs!$B$38="pvp",15,Inputs!$B$43)-(B2593))))*IF(AND(ArtifactsInput!$M$42,((Inputs!$B$9+((C2574=TRUE)*(F2574-Calc!F19))+B2586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2558*(1-MIN(100,(Inputs!$B$9+((C2574=TRUE)*(F2574-Calc!F19))+B2586+(ArtifactsInput!$M$24-ArtifactsInput!$M$24)*CHOOSE(ArtifactsInput!$N$24+1,10,12,14,16,18,20)+(IF(AND(Inputs!$B$38&lt;&gt;"pvp",Inputs!$B$43=0),1,IF(IF(Inputs!$B$38="pvp",15,Inputs!$B$43)-(B2593)&lt;=0,1,MAX(0,IF(Inputs!$B$38="pvp",15,Inputs!$B$43)-MAX(5,B2593))/(IF(Inputs!$B$38="pvp",15,Inputs!$B$43)-(B2593))))*IF(AND(ArtifactsInput!$M$42,((Inputs!$B$9+((C2574=TRUE)*(F2574-Calc!F19))+B2586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2558*(MIN(100,(Inputs!$B$9+((C2574=TRUE)*(F2574-Calc!F19))+B2586+(ArtifactsInput!$M$24-ArtifactsInput!$M$24)*CHOOSE(ArtifactsInput!$N$24+1,10,12,14,16,18,20)+(IF(AND(Inputs!$B$38&lt;&gt;"pvp",Inputs!$B$43=0),1,IF(IF(Inputs!$B$38="pvp",15,Inputs!$B$43)-(B2593)&lt;=0,1,MAX(0,IF(Inputs!$B$38="pvp",15,Inputs!$B$43)-MAX(5,B2593))/(IF(Inputs!$B$38="pvp",15,Inputs!$B$43)-(B2593))))*IF(AND(ArtifactsInput!$M$42,((Inputs!$B$9+((C2574=TRUE)*(F2574-Calc!F19))+B2586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558">
        <f>INDEX(FactorTable!$B$2:$Y$301, MATCH(ROUND(MIN(300,MAX(1,U2557)),0), FactorTable!$A$2:$A$301,0), 22)</f>
        <v/>
      </c>
      <c r="V2558">
        <f>IF(C2558,(H2558*N2558*IF(AND(Inputs!$B$38&lt;&gt;"pvp",Inputs!$B$43&gt;0),((Skills!G3*((R2558-1)*IF(Skills!H3&gt;0,INT(Skills!I3/Skills!H3+0.000000001),1)+IF(Skills!H3&gt;0,INT(MIN(Skills!I3,MAX(0,MAX(0,Inputs!$B$43-B2593)-((R2558-1)*(IF(Inputs!$B$38="pvp",15,MAX(0.1,Skills!D3-IF(TRUE=TRUE,Inputs!$B$32,0)))*(1-IF(AND(ArtifactsInput!$M$27,Inputs!$B$4="Chapter Hunt"),CHOOSE(ArtifactsInput!$N$27+1,20,24,28,32,36,40),0)/100)))))/Skills!H3+0.000000001),1)))/Inputs!$B$43),G2558*Q2558))*IF(Inputs!$B$38="pvp",1,(1+(Inputs!$B$21+Skills!Q3+(IF(ArtifactsInput!$M$33,CHOOSE(ArtifactsInput!$N$33+1,30,36,42,48,54,60),0))+(IF(AND(IF(ArtifactsInput!$M$35,FALSE,TRUE),Inputs!$B$4&lt;&gt;"Chapter Hunt"),CHOOSE(ArtifactsInput!$N$35+1,15,18,21,24,27,30)*(1-EXP(-(0.2*B2588)*5)),0)+IF(AND(ArtifactsInput!$M$22,Inputs!$B$4&lt;&gt;"Chapter Hunt"),CHOOSE(ArtifactsInput!$N$22+1,10,12,14,16,18,20)*((0*(((0.15*B2588*5))^0/1)+1*(((0.15*B2588*5))^1/1)+2*(((0.15*B2588*5))^2/2)+3*(((0.15*B2588*5))^3/6)+4*(((0.15*B2588*5))^4/24)+5*(((0.15*B2588*5))^5/120))/((((0.15*B2588*5))^0/1)+(((0.15*B2588*5))^1/1)+(((0.15*B2588*5))^2/2)+(((0.15*B2588*5))^3/6)+(((0.15*B2588*5))^4/24)+(((0.15*B2588*5))^5/120))),0))+IF(Inputs!$B$3&gt;=54,9*(C2558=TRUE)*MIN(1,8*(1+Inputs!$B$34/100)*Q2558),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59">
      <c r="A2559">
        <f>Skills!A4</f>
        <v/>
      </c>
      <c r="B2559">
        <f>Skills!B4</f>
        <v/>
      </c>
      <c r="C2559">
        <f>Inputs!$B$3&gt;=35</f>
        <v/>
      </c>
      <c r="D2559">
        <f>IF(Skills!C4=1,60+Inputs!$B$25+Inputs!$B$29,IF(Skills!C4=2,90+Inputs!$B$26+Inputs!$B$29,IF(Skills!C4=3,120+Inputs!$B$27+Inputs!$B$29,MAX(0,(Inputs!$B$3-100)*3)+Inputs!$B$28+Inputs!$B$29)))</f>
        <v/>
      </c>
      <c r="E2559">
        <f>INDEX(FactorTable!$B$2:$Y$301, MATCH(ROUND(MIN(300,MAX(1,D2559)),0), FactorTable!$A$2:$A$301,0), Skills!M4+1)</f>
        <v/>
      </c>
      <c r="F2559">
        <f>IF(Skills!N4=TRUE,(Skills!L4/10)*(E2559/1000),Skills!L4/10)+Skills!O4</f>
        <v/>
      </c>
      <c r="G2559">
        <f>Skills!G4*IF(Skills!H4&gt;0,INT(IF(Inputs!$B$38="pvp",MIN(IF(Inputs!$B$3&gt;=104,MIN(35,20*(1+Inputs!$B$34/100)),20),15),IF(Inputs!$B$3&gt;=104,MIN(35,20*(1+Inputs!$B$34/100)),20))/Skills!H4+0.000000001),1)</f>
        <v/>
      </c>
      <c r="H2559">
        <f>1-(1-Skills!J4/100)^Skills!K4</f>
        <v/>
      </c>
      <c r="I2559" t="inlineStr">
        <is>
          <t>1</t>
        </is>
      </c>
      <c r="J2559">
        <f>((Inputs!$B$6*(1+Inputs!$B$7/100))+(((Inputs!$B$12*(1+Inputs!$B$13/100))-(Inputs!$B$12*(1+Inputs!$B$13/100)))+0.25*(Inputs!$B$14-Inputs!$B$14))*(1+Inputs!$B$7/100))*(F2559/100)</f>
        <v/>
      </c>
      <c r="K2559">
        <f>J2559*(1+((Inputs!$B$12*(1+Inputs!$B$13/100))*0.01+Inputs!$B$14*0.0025)/100)*(1+Inputs!$B$15/100)*(1+Inputs!$B$16/100)*(5000/(6000+Inputs!$B$42*(1-(100*(1-(1-(Inputs!$B$19+0)/100)*(1-CHOOSE(ArtifactsInput!$N$40+1,5,6,7,8,9,10)/100)^(ArtifactsInput!$M$40-ArtifactsInput!$M$40)))/100)))*(1+(Inputs!$B$24+((C2581=TRUE)*(F2581-Calc!F26))+B2592)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2571=TRUE,F2571,0)/100)*(1+(IF(Skills!A4="EIGHT_LEGS_EASTON",Inputs!$B$17+((C2578=TRUE)*(F2578-Calc!F23))+((C2582=TRUE)*(F2582-Calc!F27))+((IF(AND(Inputs!$B$38&lt;&gt;"pvp",Inputs!$B$43=0),1,IF(IF(Inputs!$B$38="pvp",15,Inputs!$B$43)-(B2593)&lt;=0,1,MAX(0,IF(Inputs!$B$38="pvp",15,Inputs!$B$43)-MAX(5,B2593))/(IF(Inputs!$B$38="pvp",15,Inputs!$B$43)-(B2593))))*(IF(AND(ArtifactsInput!$M$42,((Inputs!$B$9+((C2574=TRUE)*(F2574-Calc!F19))+B2586+(ArtifactsInput!$M$24-ArtifactsInput!$M$24)*CHOOSE(ArtifactsInput!$N$24+1,10,12,14,16,18,20)+IF(ArtifactsInput!$M$10,CHOOSE(ArtifactsInput!$N$10+1,15,18,21,24,27,30)*(IF(Inputs!$B$38="pvp",MIN(15,15)/15,IF(AND(Inputs!$B$38&lt;&gt;"pvp",Inputs!$B$43&gt;0),MIN(15,Inputs!$B$43)/(Inputs!$B$43),0))),0)))&gt;=100),MIN(100,((Inputs!$B$9+((C2574=TRUE)*(F2574-Calc!F19))+B2586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2593)&lt;=0,1,MAX(0,IF(Inputs!$B$38="pvp",15,Inputs!$B$43)-MAX(5,B2593))/(IF(Inputs!$B$38="pvp",15,Inputs!$B$43)-(B2593))))*IF(AND(ArtifactsInput!$M$42,((Inputs!$B$9+((C2574=TRUE)*(F2574-Calc!F19))+B2586+(ArtifactsInput!$M$24-ArtifactsInput!$M$24)*CHOOSE(ArtifactsInput!$N$24+1,10,12,14,16,18,20)+IF(ArtifactsInput!$M$10,CHOOSE(ArtifactsInput!$N$10+1,15,18,21,24,27,30)*(IF(Inputs!$B$38="pvp",MIN(15,15)/15,IF(AND(Inputs!$B$38&lt;&gt;"pvp",Inputs!$B$43&gt;0),MIN(15,Inputs!$B$43)/(Inputs!$B$43),0))),0)))&gt;=100),CHOOSE(ArtifactsInput!$N$42+1,40,48,56,64,72,80),0))))/100)*((1+(((C2572=TRUE)*F2572*5/7)+((C2579=TRUE)*(F2579-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2559)</f>
        <v/>
      </c>
      <c r="L2559">
        <f>K2559*(MIN(Inputs!$B$22+((C2577=TRUE)*(F2577-Calc!F22)),(Inputs!$B$23+0+(IF(ArtifactsInput!$M$15,CHOOSE(ArtifactsInput!$N$15+1,25,30,35,40,45,50)/100*(Inputs!$B$11-Inputs!$B$11),0))))/100+(Inputs!$B$23+0+(IF(ArtifactsInput!$M$15,CHOOSE(ArtifactsInput!$N$15+1,25,30,35,40,45,50)/100*(Inputs!$B$11-Inputs!$B$11),0)))/100)/2</f>
        <v/>
      </c>
      <c r="M2559">
        <f>L2559*(1+(Inputs!$B$10+((C2580=TRUE)*(F2580-Calc!F25))+B2591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59">
        <f>L2559*(1-MIN((Inputs!$B$9+((C2574=TRUE)*(F2574-Calc!F19))+B2586+(ArtifactsInput!$M$24-ArtifactsInput!$M$24)*CHOOSE(ArtifactsInput!$N$24+1,10,12,14,16,18,20)+(IF(AND(Inputs!$B$38&lt;&gt;"pvp",Inputs!$B$43=0),1,IF(IF(Inputs!$B$38="pvp",15,Inputs!$B$43)-(B2593)&lt;=0,1,MAX(0,IF(Inputs!$B$38="pvp",15,Inputs!$B$43)-MAX(5,B2593))/(IF(Inputs!$B$38="pvp",15,Inputs!$B$43)-(B2593))))*IF(AND(ArtifactsInput!$M$42,((Inputs!$B$9+((C2574=TRUE)*(F2574-Calc!F19))+B2586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2559*(MIN((Inputs!$B$9+((C2574=TRUE)*(F2574-Calc!F19))+B2586+(ArtifactsInput!$M$24-ArtifactsInput!$M$24)*CHOOSE(ArtifactsInput!$N$24+1,10,12,14,16,18,20)+(IF(AND(Inputs!$B$38&lt;&gt;"pvp",Inputs!$B$43=0),1,IF(IF(Inputs!$B$38="pvp",15,Inputs!$B$43)-(B2593)&lt;=0,1,MAX(0,IF(Inputs!$B$38="pvp",15,Inputs!$B$43)-MAX(5,B2593))/(IF(Inputs!$B$38="pvp",15,Inputs!$B$43)-(B2593))))*IF(AND(ArtifactsInput!$M$42,((Inputs!$B$9+((C2574=TRUE)*(F2574-Calc!F19))+B2586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59">
        <f>(1-Summary!$B$11)*T2559+Summary!$B$11*V2559</f>
        <v/>
      </c>
      <c r="P2559">
        <f>IF(B2596=0,0,O2559/B2596)</f>
        <v/>
      </c>
      <c r="Q2559">
        <f>IFERROR(1/(IF(Inputs!$B$38="pvp",15,MAX(0.1,Skills!D4-IF(TRUE=TRUE,Inputs!$B$32,0)))*(1-IF(AND(ArtifactsInput!$M$27,Inputs!$B$4="Chapter Hunt"),CHOOSE(ArtifactsInput!$N$27+1,20,24,28,32,36,40),0)/100)),0)</f>
        <v/>
      </c>
      <c r="R2559">
        <f>IF(AND(Inputs!$B$38&lt;&gt;"pvp",Inputs!$B$43&gt;0),IF(MAX(0,Inputs!$B$43-B2593)&lt;=0,0,(INT(MAX(0,Inputs!$B$43-B2593)/(IF(Inputs!$B$38="pvp",15,MAX(0.1,Skills!D4-IF(TRUE=TRUE,Inputs!$B$32,0)))*(1-IF(AND(ArtifactsInput!$M$27,Inputs!$B$4="Chapter Hunt"),CHOOSE(ArtifactsInput!$N$27+1,20,24,28,32,36,40),0)/100)))+1)),0)</f>
        <v/>
      </c>
      <c r="S2559">
        <f>IFERROR(O2559/N2559,0)</f>
        <v/>
      </c>
      <c r="T2559">
        <f>IF(C2559,(H2559*N2559*IF(AND(Inputs!$B$38&lt;&gt;"pvp",Inputs!$B$43&gt;0),((Skills!G4*((R2559-1)*IF(Skills!H4&gt;0,INT(IF(Inputs!$B$3&gt;=104,MIN(35,20*(1+Inputs!$B$34/100)),20)/Skills!H4+0.000000001),1)+IF(Skills!H4&gt;0,INT(MIN(IF(Inputs!$B$3&gt;=104,MIN(35,20*(1+Inputs!$B$34/100)),20),MAX(0,MAX(0,Inputs!$B$43-B2593)-((R2559-1)*(IF(Inputs!$B$38="pvp",15,MAX(0.1,Skills!D4-IF(TRUE=TRUE,Inputs!$B$32,0)))*(1-IF(AND(ArtifactsInput!$M$27,Inputs!$B$4="Chapter Hunt"),CHOOSE(ArtifactsInput!$N$27+1,20,24,28,32,36,40),0)/100)))))/Skills!H4+0.000000001),1)))/Inputs!$B$43),G2559*Q2559))*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IF(ArtifactsInput!$M$35,FALSE,TRUE),Inputs!$B$4&lt;&gt;"Chapter Hunt"),CHOOSE(ArtifactsInput!$N$35+1,15,18,21,24,27,30)*(1-EXP(-(0.2*B2588)*5)),0)+IF(AND(ArtifactsInput!$M$22,Inputs!$B$4&lt;&gt;"Chapter Hunt"),CHOOSE(ArtifactsInput!$N$22+1,10,12,14,16,18,20)*((0*(((0.15*B2588*5))^0/1)+1*(((0.15*B2588*5))^1/1)+2*(((0.15*B2588*5))^2/2)+3*(((0.15*B2588*5))^3/6)+4*(((0.15*B2588*5))^4/24)+5*(((0.15*B2588*5))^5/120))/((((0.15*B2588*5))^0/1)+(((0.15*B2588*5))^1/1)+(((0.15*B2588*5))^2/2)+(((0.15*B2588*5))^3/6)+(((0.15*B2588*5))^4/24)+(((0.15*B2588*5))^5/120))),0))+IF(Inputs!$B$3&gt;=54,9*(C2558=TRUE)*MIN(1,8*(1+Inputs!$B$34/100)*Q2558)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2559*(1-MIN(100,(Inputs!$B$9+((C2574=TRUE)*(F2574-Calc!F19))+B2586+(ArtifactsInput!$M$24-ArtifactsInput!$M$24)*CHOOSE(ArtifactsInput!$N$24+1,10,12,14,16,18,20)+(IF(AND(Inputs!$B$38&lt;&gt;"pvp",Inputs!$B$43=0),1,IF(IF(Inputs!$B$38="pvp",15,Inputs!$B$43)-(B2593)&lt;=0,1,MAX(0,IF(Inputs!$B$38="pvp",15,Inputs!$B$43)-MAX(5,B2593))/(IF(Inputs!$B$38="pvp",15,Inputs!$B$43)-(B2593))))*IF(AND(ArtifactsInput!$M$42,((Inputs!$B$9+((C2574=TRUE)*(F2574-Calc!F19))+B2586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2559*(MIN(100,(Inputs!$B$9+((C2574=TRUE)*(F2574-Calc!F19))+B2586+(ArtifactsInput!$M$24-ArtifactsInput!$M$24)*CHOOSE(ArtifactsInput!$N$24+1,10,12,14,16,18,20)+(IF(AND(Inputs!$B$38&lt;&gt;"pvp",Inputs!$B$43=0),1,IF(IF(Inputs!$B$38="pvp",15,Inputs!$B$43)-(B2593)&lt;=0,1,MAX(0,IF(Inputs!$B$38="pvp",15,Inputs!$B$43)-MAX(5,B2593))/(IF(Inputs!$B$38="pvp",15,Inputs!$B$43)-(B2593))))*IF(AND(ArtifactsInput!$M$42,((Inputs!$B$9+((C2574=TRUE)*(F2574-Calc!F19))+B2586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2559*(1-MIN(100,(Inputs!$B$9+((C2574=TRUE)*(F2574-Calc!F19))+B2586+(ArtifactsInput!$M$24-ArtifactsInput!$M$24)*CHOOSE(ArtifactsInput!$N$24+1,10,12,14,16,18,20)+(IF(AND(Inputs!$B$38&lt;&gt;"pvp",Inputs!$B$43=0),1,IF(IF(Inputs!$B$38="pvp",15,Inputs!$B$43)-(B2593)&lt;=0,1,MAX(0,IF(Inputs!$B$38="pvp",15,Inputs!$B$43)-MAX(5,B2593))/(IF(Inputs!$B$38="pvp",15,Inputs!$B$43)-(B2593))))*IF(AND(ArtifactsInput!$M$42,((Inputs!$B$9+((C2574=TRUE)*(F2574-Calc!F19))+B2586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2559*(MIN(100,(Inputs!$B$9+((C2574=TRUE)*(F2574-Calc!F19))+B2586+(ArtifactsInput!$M$24-ArtifactsInput!$M$24)*CHOOSE(ArtifactsInput!$N$24+1,10,12,14,16,18,20)+(IF(AND(Inputs!$B$38&lt;&gt;"pvp",Inputs!$B$43=0),1,IF(IF(Inputs!$B$38="pvp",15,Inputs!$B$43)-(B2593)&lt;=0,1,MAX(0,IF(Inputs!$B$38="pvp",15,Inputs!$B$43)-MAX(5,B2593))/(IF(Inputs!$B$38="pvp",15,Inputs!$B$43)-(B2593))))*IF(AND(ArtifactsInput!$M$42,((Inputs!$B$9+((C2574=TRUE)*(F2574-Calc!F19))+B2586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559">
        <f>290*U2558/1000</f>
        <v/>
      </c>
      <c r="V2559">
        <f>IF(C2559,(H2559*N2559*IF(AND(Inputs!$B$38&lt;&gt;"pvp",Inputs!$B$43&gt;0),((Skills!G4*((R2559-1)*IF(Skills!H4&gt;0,INT(IF(Inputs!$B$3&gt;=104,MIN(35,20*(1+Inputs!$B$34/100)),20)/Skills!H4+0.000000001),1)+IF(Skills!H4&gt;0,INT(MIN(IF(Inputs!$B$3&gt;=104,MIN(35,20*(1+Inputs!$B$34/100)),20),MAX(0,MAX(0,Inputs!$B$43-B2593)-((R2559-1)*(IF(Inputs!$B$38="pvp",15,MAX(0.1,Skills!D4-IF(TRUE=TRUE,Inputs!$B$32,0)))*(1-IF(AND(ArtifactsInput!$M$27,Inputs!$B$4="Chapter Hunt"),CHOOSE(ArtifactsInput!$N$27+1,20,24,28,32,36,40),0)/100)))))/Skills!H4+0.000000001),1)))/Inputs!$B$43),G2559*Q2559))*IF(Inputs!$B$38="pvp",1,(1+(Inputs!$B$21+Skills!Q4+(IF(ArtifactsInput!$M$33,CHOOSE(ArtifactsInput!$N$33+1,30,36,42,48,54,60),0))+(IF(AND(IF(ArtifactsInput!$M$35,FALSE,TRUE),Inputs!$B$4&lt;&gt;"Chapter Hunt"),CHOOSE(ArtifactsInput!$N$35+1,15,18,21,24,27,30)*(1-EXP(-(0.2*B2588)*5)),0)+IF(AND(ArtifactsInput!$M$22,Inputs!$B$4&lt;&gt;"Chapter Hunt"),CHOOSE(ArtifactsInput!$N$22+1,10,12,14,16,18,20)*((0*(((0.15*B2588*5))^0/1)+1*(((0.15*B2588*5))^1/1)+2*(((0.15*B2588*5))^2/2)+3*(((0.15*B2588*5))^3/6)+4*(((0.15*B2588*5))^4/24)+5*(((0.15*B2588*5))^5/120))/((((0.15*B2588*5))^0/1)+(((0.15*B2588*5))^1/1)+(((0.15*B2588*5))^2/2)+(((0.15*B2588*5))^3/6)+(((0.15*B2588*5))^4/24)+(((0.15*B2588*5))^5/120))),0))+IF(Inputs!$B$3&gt;=54,9*(C2558=TRUE)*MIN(1,8*(1+Inputs!$B$34/100)*Q2558),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60">
      <c r="A2560">
        <f>Skills!A5</f>
        <v/>
      </c>
      <c r="B2560">
        <f>Skills!B5</f>
        <v/>
      </c>
      <c r="C2560">
        <f>Inputs!$B$3&gt;=69</f>
        <v/>
      </c>
      <c r="D2560">
        <f>IF(Skills!C5=1,60+Inputs!$B$25+Inputs!$B$29,IF(Skills!C5=2,90+Inputs!$B$26+Inputs!$B$29,IF(Skills!C5=3,120+Inputs!$B$27+Inputs!$B$29,MAX(0,(Inputs!$B$3-100)*3)+Inputs!$B$28+Inputs!$B$29)))</f>
        <v/>
      </c>
      <c r="E2560">
        <f>INDEX(FactorTable!$B$2:$Y$301, MATCH(ROUND(MIN(300,MAX(1,D2560)),0), FactorTable!$A$2:$A$301,0), Skills!M5+1)</f>
        <v/>
      </c>
      <c r="F2560">
        <f>IF(Skills!N5=TRUE,(Skills!L5/10)*(E2560/1000),Skills!L5/10)+Skills!O5</f>
        <v/>
      </c>
      <c r="G2560">
        <f>Skills!G5*IF(Skills!H5&gt;0,INT(IF(Inputs!$B$38="pvp",MIN(IF(Inputs!$B$3&gt;=104,MIN(35,20*(1+Inputs!$B$34/100)),20),15),IF(Inputs!$B$3&gt;=104,MIN(35,20*(1+Inputs!$B$34/100)),20))/Skills!H5+0.000000001),1)</f>
        <v/>
      </c>
      <c r="H2560">
        <f>1-(1-Skills!J5/100)^Skills!K5</f>
        <v/>
      </c>
      <c r="I2560" t="inlineStr">
        <is>
          <t>1</t>
        </is>
      </c>
      <c r="J2560">
        <f>((Inputs!$B$6*(1+Inputs!$B$7/100))+(((Inputs!$B$12*(1+Inputs!$B$13/100))-(Inputs!$B$12*(1+Inputs!$B$13/100)))+0.25*(Inputs!$B$14-Inputs!$B$14))*(1+Inputs!$B$7/100))*(F2560/100)</f>
        <v/>
      </c>
      <c r="K2560">
        <f>J2560*(1+((Inputs!$B$12*(1+Inputs!$B$13/100))*0.01+Inputs!$B$14*0.0025)/100)*(1+Inputs!$B$15/100)*(1+Inputs!$B$16/100)*(5000/(6000+Inputs!$B$42*(1-(100*(1-(1-(Inputs!$B$19+0)/100)*(1-CHOOSE(ArtifactsInput!$N$40+1,5,6,7,8,9,10)/100)^(ArtifactsInput!$M$40-ArtifactsInput!$M$40)))/100)))*(1+(Inputs!$B$24+((C2581=TRUE)*(F2581-Calc!F26))+B2592)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+0.4*IF(C2571=TRUE,F2571,0)/100)*(1+(IF(Skills!A5="EIGHT_LEGS_EASTON",Inputs!$B$17+((C2578=TRUE)*(F2578-Calc!F23))+((C2582=TRUE)*(F2582-Calc!F27))+((IF(AND(Inputs!$B$38&lt;&gt;"pvp",Inputs!$B$43=0),1,IF(IF(Inputs!$B$38="pvp",15,Inputs!$B$43)-(B2593)&lt;=0,1,MAX(0,IF(Inputs!$B$38="pvp",15,Inputs!$B$43)-MAX(5,B2593))/(IF(Inputs!$B$38="pvp",15,Inputs!$B$43)-(B2593))))*(IF(AND(ArtifactsInput!$M$42,((Inputs!$B$9+((C2574=TRUE)*(F2574-Calc!F19))+B2586+(ArtifactsInput!$M$24-ArtifactsInput!$M$24)*CHOOSE(ArtifactsInput!$N$24+1,10,12,14,16,18,20)+IF(ArtifactsInput!$M$10,CHOOSE(ArtifactsInput!$N$10+1,15,18,21,24,27,30)*(IF(Inputs!$B$38="pvp",MIN(15,15)/15,IF(AND(Inputs!$B$38&lt;&gt;"pvp",Inputs!$B$43&gt;0),MIN(15,Inputs!$B$43)/(Inputs!$B$43),0))),0)))&gt;=100),MIN(100,((Inputs!$B$9+((C2574=TRUE)*(F2574-Calc!F19))+B2586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2593)&lt;=0,1,MAX(0,IF(Inputs!$B$38="pvp",15,Inputs!$B$43)-MAX(5,B2593))/(IF(Inputs!$B$38="pvp",15,Inputs!$B$43)-(B2593))))*IF(AND(ArtifactsInput!$M$42,((Inputs!$B$9+((C2574=TRUE)*(F2574-Calc!F19))+B2586+(ArtifactsInput!$M$24-ArtifactsInput!$M$24)*CHOOSE(ArtifactsInput!$N$24+1,10,12,14,16,18,20)+IF(ArtifactsInput!$M$10,CHOOSE(ArtifactsInput!$N$10+1,15,18,21,24,27,30)*(IF(Inputs!$B$38="pvp",MIN(15,15)/15,IF(AND(Inputs!$B$38&lt;&gt;"pvp",Inputs!$B$43&gt;0),MIN(15,Inputs!$B$43)/(Inputs!$B$43),0))),0)))&gt;=100),CHOOSE(ArtifactsInput!$N$42+1,40,48,56,64,72,80),0))))/100)*((1+(((C2572=TRUE)*F2572*5/7)+((C2579=TRUE)*(F2579-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2560)</f>
        <v/>
      </c>
      <c r="L2560">
        <f>K2560*(MIN(Inputs!$B$22+((C2577=TRUE)*(F2577-Calc!F22)),(Inputs!$B$23+0+(IF(ArtifactsInput!$M$15,CHOOSE(ArtifactsInput!$N$15+1,25,30,35,40,45,50)/100*(Inputs!$B$11-Inputs!$B$11),0))))/100+(Inputs!$B$23+0+(IF(ArtifactsInput!$M$15,CHOOSE(ArtifactsInput!$N$15+1,25,30,35,40,45,50)/100*(Inputs!$B$11-Inputs!$B$11),0)))/100)/2</f>
        <v/>
      </c>
      <c r="M2560">
        <f>L2560*(1+(Inputs!$B$10+((C2580=TRUE)*(F2580-Calc!F25))+B2591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60">
        <f>L2560*(1-MIN((Inputs!$B$9+((C2574=TRUE)*(F2574-Calc!F19))+B2586+(ArtifactsInput!$M$24-ArtifactsInput!$M$24)*CHOOSE(ArtifactsInput!$N$24+1,10,12,14,16,18,20)+(IF(AND(Inputs!$B$38&lt;&gt;"pvp",Inputs!$B$43=0),1,IF(IF(Inputs!$B$38="pvp",15,Inputs!$B$43)-(B2593)&lt;=0,1,MAX(0,IF(Inputs!$B$38="pvp",15,Inputs!$B$43)-MAX(5,B2593))/(IF(Inputs!$B$38="pvp",15,Inputs!$B$43)-(B2593))))*IF(AND(ArtifactsInput!$M$42,((Inputs!$B$9+((C2574=TRUE)*(F2574-Calc!F19))+B2586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2560*(MIN((Inputs!$B$9+((C2574=TRUE)*(F2574-Calc!F19))+B2586+(ArtifactsInput!$M$24-ArtifactsInput!$M$24)*CHOOSE(ArtifactsInput!$N$24+1,10,12,14,16,18,20)+(IF(AND(Inputs!$B$38&lt;&gt;"pvp",Inputs!$B$43=0),1,IF(IF(Inputs!$B$38="pvp",15,Inputs!$B$43)-(B2593)&lt;=0,1,MAX(0,IF(Inputs!$B$38="pvp",15,Inputs!$B$43)-MAX(5,B2593))/(IF(Inputs!$B$38="pvp",15,Inputs!$B$43)-(B2593))))*IF(AND(ArtifactsInput!$M$42,((Inputs!$B$9+((C2574=TRUE)*(F2574-Calc!F19))+B2586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60">
        <f>(1-Summary!$B$11)*T2560+Summary!$B$11*V2560</f>
        <v/>
      </c>
      <c r="P2560">
        <f>IF(B2596=0,0,O2560/B2596)</f>
        <v/>
      </c>
      <c r="Q2560">
        <f>IFERROR(1/(IF(Inputs!$B$38="pvp",15,MAX(0.1,Skills!D5-IF(TRUE=TRUE,Inputs!$B$32,0)))*(1-IF(AND(ArtifactsInput!$M$27,Inputs!$B$4="Chapter Hunt"),CHOOSE(ArtifactsInput!$N$27+1,20,24,28,32,36,40),0)/100)),0)</f>
        <v/>
      </c>
      <c r="R2560">
        <f>IF(AND(Inputs!$B$38&lt;&gt;"pvp",Inputs!$B$43&gt;0),IF(MAX(0,Inputs!$B$43-B2593)&lt;=0,0,(INT(MAX(0,Inputs!$B$43-B2593)/(IF(Inputs!$B$38="pvp",15,MAX(0.1,Skills!D5-IF(TRUE=TRUE,Inputs!$B$32,0)))*(1-IF(AND(ArtifactsInput!$M$27,Inputs!$B$4="Chapter Hunt"),CHOOSE(ArtifactsInput!$N$27+1,20,24,28,32,36,40),0)/100)))+1)),0)</f>
        <v/>
      </c>
      <c r="S2560">
        <f>IFERROR(O2560/N2560,0)</f>
        <v/>
      </c>
      <c r="T2560">
        <f>IF(C2560,(H2560*N2560*IF(AND(Inputs!$B$38&lt;&gt;"pvp",Inputs!$B$43&gt;0),((Skills!G5*((R2560-1)*IF(Skills!H5&gt;0,INT(IF(Inputs!$B$3&gt;=104,MIN(35,20*(1+Inputs!$B$34/100)),20)/Skills!H5+0.000000001),1)+IF(Skills!H5&gt;0,INT(MIN(IF(Inputs!$B$3&gt;=104,MIN(35,20*(1+Inputs!$B$34/100)),20),MAX(0,MAX(0,Inputs!$B$43-B2593)-((R2560-1)*(IF(Inputs!$B$38="pvp",15,MAX(0.1,Skills!D5-IF(TRUE=TRUE,Inputs!$B$32,0)))*(1-IF(AND(ArtifactsInput!$M$27,Inputs!$B$4="Chapter Hunt"),CHOOSE(ArtifactsInput!$N$27+1,20,24,28,32,36,40),0)/100)))))/Skills!H5+0.000000001),1)))/Inputs!$B$43),G2560*Q2560))*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IF(ArtifactsInput!$M$35,FALSE,TRUE),Inputs!$B$4&lt;&gt;"Chapter Hunt"),CHOOSE(ArtifactsInput!$N$35+1,15,18,21,24,27,30)*(1-EXP(-(0.2*B2588)*5)),0)+IF(AND(ArtifactsInput!$M$22,Inputs!$B$4&lt;&gt;"Chapter Hunt"),CHOOSE(ArtifactsInput!$N$22+1,10,12,14,16,18,20)*((0*(((0.15*B2588*5))^0/1)+1*(((0.15*B2588*5))^1/1)+2*(((0.15*B2588*5))^2/2)+3*(((0.15*B2588*5))^3/6)+4*(((0.15*B2588*5))^4/24)+5*(((0.15*B2588*5))^5/120))/((((0.15*B2588*5))^0/1)+(((0.15*B2588*5))^1/1)+(((0.15*B2588*5))^2/2)+(((0.15*B2588*5))^3/6)+(((0.15*B2588*5))^4/24)+(((0.15*B2588*5))^5/120))),0))+IF(Inputs!$B$3&gt;=54,9*(C2558=TRUE)*MIN(1,8*(1+Inputs!$B$34/100)*Q2558)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2560*(1-MIN(100,(Inputs!$B$9+((C2574=TRUE)*(F2574-Calc!F19))+B2586+(ArtifactsInput!$M$24-ArtifactsInput!$M$24)*CHOOSE(ArtifactsInput!$N$24+1,10,12,14,16,18,20)+(IF(AND(Inputs!$B$38&lt;&gt;"pvp",Inputs!$B$43=0),1,IF(IF(Inputs!$B$38="pvp",15,Inputs!$B$43)-(B2593)&lt;=0,1,MAX(0,IF(Inputs!$B$38="pvp",15,Inputs!$B$43)-MAX(5,B2593))/(IF(Inputs!$B$38="pvp",15,Inputs!$B$43)-(B2593))))*IF(AND(ArtifactsInput!$M$42,((Inputs!$B$9+((C2574=TRUE)*(F2574-Calc!F19))+B2586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2560*(MIN(100,(Inputs!$B$9+((C2574=TRUE)*(F2574-Calc!F19))+B2586+(ArtifactsInput!$M$24-ArtifactsInput!$M$24)*CHOOSE(ArtifactsInput!$N$24+1,10,12,14,16,18,20)+(IF(AND(Inputs!$B$38&lt;&gt;"pvp",Inputs!$B$43=0),1,IF(IF(Inputs!$B$38="pvp",15,Inputs!$B$43)-(B2593)&lt;=0,1,MAX(0,IF(Inputs!$B$38="pvp",15,Inputs!$B$43)-MAX(5,B2593))/(IF(Inputs!$B$38="pvp",15,Inputs!$B$43)-(B2593))))*IF(AND(ArtifactsInput!$M$42,((Inputs!$B$9+((C2574=TRUE)*(F2574-Calc!F19))+B2586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2560*(1-MIN(100,(Inputs!$B$9+((C2574=TRUE)*(F2574-Calc!F19))+B2586+(ArtifactsInput!$M$24-ArtifactsInput!$M$24)*CHOOSE(ArtifactsInput!$N$24+1,10,12,14,16,18,20)+(IF(AND(Inputs!$B$38&lt;&gt;"pvp",Inputs!$B$43=0),1,IF(IF(Inputs!$B$38="pvp",15,Inputs!$B$43)-(B2593)&lt;=0,1,MAX(0,IF(Inputs!$B$38="pvp",15,Inputs!$B$43)-MAX(5,B2593))/(IF(Inputs!$B$38="pvp",15,Inputs!$B$43)-(B2593))))*IF(AND(ArtifactsInput!$M$42,((Inputs!$B$9+((C2574=TRUE)*(F2574-Calc!F19))+B2586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2560*(MIN(100,(Inputs!$B$9+((C2574=TRUE)*(F2574-Calc!F19))+B2586+(ArtifactsInput!$M$24-ArtifactsInput!$M$24)*CHOOSE(ArtifactsInput!$N$24+1,10,12,14,16,18,20)+(IF(AND(Inputs!$B$38&lt;&gt;"pvp",Inputs!$B$43=0),1,IF(IF(Inputs!$B$38="pvp",15,Inputs!$B$43)-(B2593)&lt;=0,1,MAX(0,IF(Inputs!$B$38="pvp",15,Inputs!$B$43)-MAX(5,B2593))/(IF(Inputs!$B$38="pvp",15,Inputs!$B$43)-(B2593))))*IF(AND(ArtifactsInput!$M$42,((Inputs!$B$9+((C2574=TRUE)*(F2574-Calc!F19))+B2586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560">
        <f>IF(C2560,(H2560*N2560*IF(AND(Inputs!$B$38&lt;&gt;"pvp",Inputs!$B$43&gt;0),((Skills!G5*((R2560-1)*IF(Skills!H5&gt;0,INT(IF(Inputs!$B$3&gt;=104,MIN(35,20*(1+Inputs!$B$34/100)),20)/Skills!H5+0.000000001),1)+IF(Skills!H5&gt;0,INT(MIN(IF(Inputs!$B$3&gt;=104,MIN(35,20*(1+Inputs!$B$34/100)),20),MAX(0,MAX(0,Inputs!$B$43-B2593)-((R2560-1)*(IF(Inputs!$B$38="pvp",15,MAX(0.1,Skills!D5-IF(TRUE=TRUE,Inputs!$B$32,0)))*(1-IF(AND(ArtifactsInput!$M$27,Inputs!$B$4="Chapter Hunt"),CHOOSE(ArtifactsInput!$N$27+1,20,24,28,32,36,40),0)/100)))))/Skills!H5+0.000000001),1)))/Inputs!$B$43),G2560*Q2560))*IF(Inputs!$B$38="pvp",1,(1+(Inputs!$B$21+Skills!Q5+(IF(ArtifactsInput!$M$33,CHOOSE(ArtifactsInput!$N$33+1,30,36,42,48,54,60),0))+(IF(AND(IF(ArtifactsInput!$M$35,FALSE,TRUE),Inputs!$B$4&lt;&gt;"Chapter Hunt"),CHOOSE(ArtifactsInput!$N$35+1,15,18,21,24,27,30)*(1-EXP(-(0.2*B2588)*5)),0)+IF(AND(ArtifactsInput!$M$22,Inputs!$B$4&lt;&gt;"Chapter Hunt"),CHOOSE(ArtifactsInput!$N$22+1,10,12,14,16,18,20)*((0*(((0.15*B2588*5))^0/1)+1*(((0.15*B2588*5))^1/1)+2*(((0.15*B2588*5))^2/2)+3*(((0.15*B2588*5))^3/6)+4*(((0.15*B2588*5))^4/24)+5*(((0.15*B2588*5))^5/120))/((((0.15*B2588*5))^0/1)+(((0.15*B2588*5))^1/1)+(((0.15*B2588*5))^2/2)+(((0.15*B2588*5))^3/6)+(((0.15*B2588*5))^4/24)+(((0.15*B2588*5))^5/120))),0))+IF(Inputs!$B$3&gt;=54,9*(C2558=TRUE)*MIN(1,8*(1+Inputs!$B$34/100)*Q2558),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61">
      <c r="A2561">
        <f>Skills!A6</f>
        <v/>
      </c>
      <c r="B2561">
        <f>Skills!B6</f>
        <v/>
      </c>
      <c r="C2561">
        <f>Inputs!$B$3&gt;=66</f>
        <v/>
      </c>
      <c r="D2561">
        <f>IF(Skills!C6=1,60+Inputs!$B$25+Inputs!$B$29,IF(Skills!C6=2,90+Inputs!$B$26+Inputs!$B$29,IF(Skills!C6=3,120+Inputs!$B$27+Inputs!$B$29,MAX(0,(Inputs!$B$3-100)*3)+Inputs!$B$28+Inputs!$B$29)))</f>
        <v/>
      </c>
      <c r="E2561">
        <f>INDEX(FactorTable!$B$2:$Y$301, MATCH(ROUND(MIN(300,MAX(1,D2561)),0), FactorTable!$A$2:$A$301,0), Skills!M6+1)</f>
        <v/>
      </c>
      <c r="F2561">
        <f>IF(Skills!N6=TRUE,(Skills!L6/10)*(E2561/1000),Skills!L6/10)+Skills!O6</f>
        <v/>
      </c>
      <c r="G2561">
        <f>Skills!G6*IF(Skills!H6&gt;0,INT(IF(Inputs!$B$38="pvp",MIN(Skills!I6,15),Skills!I6)/Skills!H6+0.000000001),1)</f>
        <v/>
      </c>
      <c r="H2561">
        <f>1-(1-Skills!J6/100)^Skills!K6</f>
        <v/>
      </c>
      <c r="I2561" t="inlineStr">
        <is>
          <t>1</t>
        </is>
      </c>
      <c r="J2561">
        <f>((Inputs!$B$6*(1+Inputs!$B$7/100))+(((Inputs!$B$12*(1+Inputs!$B$13/100))-(Inputs!$B$12*(1+Inputs!$B$13/100)))+0.25*(Inputs!$B$14-Inputs!$B$14))*(1+Inputs!$B$7/100))*(F2561/100)</f>
        <v/>
      </c>
      <c r="K2561">
        <f>J2561*(1+((Inputs!$B$12*(1+Inputs!$B$13/100))*0.01+Inputs!$B$14*0.0025)/100)*(1+Inputs!$B$15/100)*(1+Inputs!$B$16/100)*(5000/(6000+Inputs!$B$42*(1-(100*(1-(1-(Inputs!$B$19+0)/100)*(1-CHOOSE(ArtifactsInput!$N$40+1,5,6,7,8,9,10)/100)^(ArtifactsInput!$M$40-ArtifactsInput!$M$40)))/100)))*(1+(Inputs!$B$24+((C2581=TRUE)*(F2581-Calc!F26))+B2592)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+2.0*IF(C2570=TRUE,F2570,0)/100)*(1+(IF(Skills!A6="EIGHT_LEGS_EASTON",Inputs!$B$17+((C2578=TRUE)*(F2578-Calc!F23))+((C2582=TRUE)*(F2582-Calc!F27))+((IF(AND(Inputs!$B$38&lt;&gt;"pvp",Inputs!$B$43=0),1,IF(IF(Inputs!$B$38="pvp",15,Inputs!$B$43)-(B2593)&lt;=0,1,MAX(0,IF(Inputs!$B$38="pvp",15,Inputs!$B$43)-MAX(5,B2593))/(IF(Inputs!$B$38="pvp",15,Inputs!$B$43)-(B2593))))*(IF(AND(ArtifactsInput!$M$42,((Inputs!$B$9+((C2574=TRUE)*(F2574-Calc!F19))+B2586+(ArtifactsInput!$M$24-ArtifactsInput!$M$24)*CHOOSE(ArtifactsInput!$N$24+1,10,12,14,16,18,20)+IF(ArtifactsInput!$M$10,CHOOSE(ArtifactsInput!$N$10+1,15,18,21,24,27,30)*(IF(Inputs!$B$38="pvp",MIN(15,15)/15,IF(AND(Inputs!$B$38&lt;&gt;"pvp",Inputs!$B$43&gt;0),MIN(15,Inputs!$B$43)/(Inputs!$B$43),0))),0)))&gt;=100),MIN(100,((Inputs!$B$9+((C2574=TRUE)*(F2574-Calc!F19))+B2586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2593)&lt;=0,1,MAX(0,IF(Inputs!$B$38="pvp",15,Inputs!$B$43)-MAX(5,B2593))/(IF(Inputs!$B$38="pvp",15,Inputs!$B$43)-(B2593))))*IF(AND(ArtifactsInput!$M$42,((Inputs!$B$9+((C2574=TRUE)*(F2574-Calc!F19))+B2586+(ArtifactsInput!$M$24-ArtifactsInput!$M$24)*CHOOSE(ArtifactsInput!$N$24+1,10,12,14,16,18,20)+IF(ArtifactsInput!$M$10,CHOOSE(ArtifactsInput!$N$10+1,15,18,21,24,27,30)*(IF(Inputs!$B$38="pvp",MIN(15,15)/15,IF(AND(Inputs!$B$38&lt;&gt;"pvp",Inputs!$B$43&gt;0),MIN(15,Inputs!$B$43)/(Inputs!$B$43),0))),0)))&gt;=100),CHOOSE(ArtifactsInput!$N$42+1,40,48,56,64,72,80),0))))/100)*((1+(((C2572=TRUE)*F2572*5/7)+((C2579=TRUE)*(F2579-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2561)</f>
        <v/>
      </c>
      <c r="L2561">
        <f>K2561*(MIN(Inputs!$B$22+((C2577=TRUE)*(F2577-Calc!F22)),(Inputs!$B$23+0+(IF(ArtifactsInput!$M$15,CHOOSE(ArtifactsInput!$N$15+1,25,30,35,40,45,50)/100*(Inputs!$B$11-Inputs!$B$11),0))))/100+(Inputs!$B$23+0+(IF(ArtifactsInput!$M$15,CHOOSE(ArtifactsInput!$N$15+1,25,30,35,40,45,50)/100*(Inputs!$B$11-Inputs!$B$11),0)))/100)/2</f>
        <v/>
      </c>
      <c r="M2561">
        <f>L2561*(1+(Inputs!$B$10+((C2580=TRUE)*(F2580-Calc!F25))+B2591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61">
        <f>L2561*(1-MIN((Inputs!$B$9+((C2574=TRUE)*(F2574-Calc!F19))+B2586+(ArtifactsInput!$M$24-ArtifactsInput!$M$24)*CHOOSE(ArtifactsInput!$N$24+1,10,12,14,16,18,20)+(IF(AND(Inputs!$B$38&lt;&gt;"pvp",Inputs!$B$43=0),1,IF(IF(Inputs!$B$38="pvp",15,Inputs!$B$43)-(B2593)&lt;=0,1,MAX(0,IF(Inputs!$B$38="pvp",15,Inputs!$B$43)-MAX(5,B2593))/(IF(Inputs!$B$38="pvp",15,Inputs!$B$43)-(B2593))))*IF(AND(ArtifactsInput!$M$42,((Inputs!$B$9+((C2574=TRUE)*(F2574-Calc!F19))+B2586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2561*(MIN((Inputs!$B$9+((C2574=TRUE)*(F2574-Calc!F19))+B2586+(ArtifactsInput!$M$24-ArtifactsInput!$M$24)*CHOOSE(ArtifactsInput!$N$24+1,10,12,14,16,18,20)+(IF(AND(Inputs!$B$38&lt;&gt;"pvp",Inputs!$B$43=0),1,IF(IF(Inputs!$B$38="pvp",15,Inputs!$B$43)-(B2593)&lt;=0,1,MAX(0,IF(Inputs!$B$38="pvp",15,Inputs!$B$43)-MAX(5,B2593))/(IF(Inputs!$B$38="pvp",15,Inputs!$B$43)-(B2593))))*IF(AND(ArtifactsInput!$M$42,((Inputs!$B$9+((C2574=TRUE)*(F2574-Calc!F19))+B2586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61">
        <f>(1-Summary!$B$11)*T2561+Summary!$B$11*V2561</f>
        <v/>
      </c>
      <c r="P2561">
        <f>IF(B2596=0,0,O2561/B2596)</f>
        <v/>
      </c>
      <c r="Q2561">
        <f>IFERROR(1/(IF(Inputs!$B$38="pvp",15,MAX(0.1,Skills!D6-IF(TRUE=TRUE,Inputs!$B$32,0)))*(1-IF(AND(ArtifactsInput!$M$27,Inputs!$B$4="Chapter Hunt"),CHOOSE(ArtifactsInput!$N$27+1,20,24,28,32,36,40),0)/100)),0)</f>
        <v/>
      </c>
      <c r="R2561">
        <f>IF(AND(Inputs!$B$38&lt;&gt;"pvp",Inputs!$B$43&gt;0),IF(MAX(0,Inputs!$B$43-B2593)&lt;=0,0,(INT(MAX(0,Inputs!$B$43-B2593)/(IF(Inputs!$B$38="pvp",15,MAX(0.1,Skills!D6-IF(TRUE=TRUE,Inputs!$B$32,0)))*(1-IF(AND(ArtifactsInput!$M$27,Inputs!$B$4="Chapter Hunt"),CHOOSE(ArtifactsInput!$N$27+1,20,24,28,32,36,40),0)/100)))+1)),0)</f>
        <v/>
      </c>
      <c r="S2561">
        <f>IFERROR(O2561/N2561,0)</f>
        <v/>
      </c>
      <c r="T2561">
        <f>IF(C2561,(H2561*N2561*IF(AND(Inputs!$B$38&lt;&gt;"pvp",Inputs!$B$43&gt;0),((Skills!G6*((R2561-1)*IF(Skills!H6&gt;0,INT(Skills!I6/Skills!H6+0.000000001),1)+IF(Skills!H6&gt;0,INT(MIN(Skills!I6,MAX(0,MAX(0,Inputs!$B$43-B2593)-((R2561-1)*(IF(Inputs!$B$38="pvp",15,MAX(0.1,Skills!D6-IF(TRUE=TRUE,Inputs!$B$32,0)))*(1-IF(AND(ArtifactsInput!$M$27,Inputs!$B$4="Chapter Hunt"),CHOOSE(ArtifactsInput!$N$27+1,20,24,28,32,36,40),0)/100)))))/Skills!H6+0.000000001),1)))/Inputs!$B$43),G2561*Q2561))*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IF(ArtifactsInput!$M$35,FALSE,TRUE),Inputs!$B$4&lt;&gt;"Chapter Hunt"),CHOOSE(ArtifactsInput!$N$35+1,15,18,21,24,27,30)*(1-EXP(-(0.2*B2588)*5)),0)+IF(AND(ArtifactsInput!$M$22,Inputs!$B$4&lt;&gt;"Chapter Hunt"),CHOOSE(ArtifactsInput!$N$22+1,10,12,14,16,18,20)*((0*(((0.15*B2588*5))^0/1)+1*(((0.15*B2588*5))^1/1)+2*(((0.15*B2588*5))^2/2)+3*(((0.15*B2588*5))^3/6)+4*(((0.15*B2588*5))^4/24)+5*(((0.15*B2588*5))^5/120))/((((0.15*B2588*5))^0/1)+(((0.15*B2588*5))^1/1)+(((0.15*B2588*5))^2/2)+(((0.15*B2588*5))^3/6)+(((0.15*B2588*5))^4/24)+(((0.15*B2588*5))^5/120))),0))+IF(Inputs!$B$3&gt;=54,9*(C2558=TRUE)*MIN(1,8*(1+Inputs!$B$34/100)*Q2558)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2561*(1-MIN(100,(Inputs!$B$9+((C2574=TRUE)*(F2574-Calc!F19))+B2586+(ArtifactsInput!$M$24-ArtifactsInput!$M$24)*CHOOSE(ArtifactsInput!$N$24+1,10,12,14,16,18,20)+(IF(AND(Inputs!$B$38&lt;&gt;"pvp",Inputs!$B$43=0),1,IF(IF(Inputs!$B$38="pvp",15,Inputs!$B$43)-(B2593)&lt;=0,1,MAX(0,IF(Inputs!$B$38="pvp",15,Inputs!$B$43)-MAX(5,B2593))/(IF(Inputs!$B$38="pvp",15,Inputs!$B$43)-(B2593))))*IF(AND(ArtifactsInput!$M$42,((Inputs!$B$9+((C2574=TRUE)*(F2574-Calc!F19))+B2586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2561*(MIN(100,(Inputs!$B$9+((C2574=TRUE)*(F2574-Calc!F19))+B2586+(ArtifactsInput!$M$24-ArtifactsInput!$M$24)*CHOOSE(ArtifactsInput!$N$24+1,10,12,14,16,18,20)+(IF(AND(Inputs!$B$38&lt;&gt;"pvp",Inputs!$B$43=0),1,IF(IF(Inputs!$B$38="pvp",15,Inputs!$B$43)-(B2593)&lt;=0,1,MAX(0,IF(Inputs!$B$38="pvp",15,Inputs!$B$43)-MAX(5,B2593))/(IF(Inputs!$B$38="pvp",15,Inputs!$B$43)-(B2593))))*IF(AND(ArtifactsInput!$M$42,((Inputs!$B$9+((C2574=TRUE)*(F2574-Calc!F19))+B2586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2561*(1-MIN(100,(Inputs!$B$9+((C2574=TRUE)*(F2574-Calc!F19))+B2586+(ArtifactsInput!$M$24-ArtifactsInput!$M$24)*CHOOSE(ArtifactsInput!$N$24+1,10,12,14,16,18,20)+(IF(AND(Inputs!$B$38&lt;&gt;"pvp",Inputs!$B$43=0),1,IF(IF(Inputs!$B$38="pvp",15,Inputs!$B$43)-(B2593)&lt;=0,1,MAX(0,IF(Inputs!$B$38="pvp",15,Inputs!$B$43)-MAX(5,B2593))/(IF(Inputs!$B$38="pvp",15,Inputs!$B$43)-(B2593))))*IF(AND(ArtifactsInput!$M$42,((Inputs!$B$9+((C2574=TRUE)*(F2574-Calc!F19))+B2586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2561*(MIN(100,(Inputs!$B$9+((C2574=TRUE)*(F2574-Calc!F19))+B2586+(ArtifactsInput!$M$24-ArtifactsInput!$M$24)*CHOOSE(ArtifactsInput!$N$24+1,10,12,14,16,18,20)+(IF(AND(Inputs!$B$38&lt;&gt;"pvp",Inputs!$B$43=0),1,IF(IF(Inputs!$B$38="pvp",15,Inputs!$B$43)-(B2593)&lt;=0,1,MAX(0,IF(Inputs!$B$38="pvp",15,Inputs!$B$43)-MAX(5,B2593))/(IF(Inputs!$B$38="pvp",15,Inputs!$B$43)-(B2593))))*IF(AND(ArtifactsInput!$M$42,((Inputs!$B$9+((C2574=TRUE)*(F2574-Calc!F19))+B2586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561">
        <f>IF(C2561,(H2561*N2561*IF(AND(Inputs!$B$38&lt;&gt;"pvp",Inputs!$B$43&gt;0),((Skills!G6*((R2561-1)*IF(Skills!H6&gt;0,INT(Skills!I6/Skills!H6+0.000000001),1)+IF(Skills!H6&gt;0,INT(MIN(Skills!I6,MAX(0,MAX(0,Inputs!$B$43-B2593)-((R2561-1)*(IF(Inputs!$B$38="pvp",15,MAX(0.1,Skills!D6-IF(TRUE=TRUE,Inputs!$B$32,0)))*(1-IF(AND(ArtifactsInput!$M$27,Inputs!$B$4="Chapter Hunt"),CHOOSE(ArtifactsInput!$N$27+1,20,24,28,32,36,40),0)/100)))))/Skills!H6+0.000000001),1)))/Inputs!$B$43),G2561*Q2561))*IF(Inputs!$B$38="pvp",1,(1+(Inputs!$B$21+Skills!Q6+(IF(ArtifactsInput!$M$33,CHOOSE(ArtifactsInput!$N$33+1,30,36,42,48,54,60),0))+(IF(AND(IF(ArtifactsInput!$M$35,FALSE,TRUE),Inputs!$B$4&lt;&gt;"Chapter Hunt"),CHOOSE(ArtifactsInput!$N$35+1,15,18,21,24,27,30)*(1-EXP(-(0.2*B2588)*5)),0)+IF(AND(ArtifactsInput!$M$22,Inputs!$B$4&lt;&gt;"Chapter Hunt"),CHOOSE(ArtifactsInput!$N$22+1,10,12,14,16,18,20)*((0*(((0.15*B2588*5))^0/1)+1*(((0.15*B2588*5))^1/1)+2*(((0.15*B2588*5))^2/2)+3*(((0.15*B2588*5))^3/6)+4*(((0.15*B2588*5))^4/24)+5*(((0.15*B2588*5))^5/120))/((((0.15*B2588*5))^0/1)+(((0.15*B2588*5))^1/1)+(((0.15*B2588*5))^2/2)+(((0.15*B2588*5))^3/6)+(((0.15*B2588*5))^4/24)+(((0.15*B2588*5))^5/120))),0))+IF(Inputs!$B$3&gt;=54,9*(C2558=TRUE)*MIN(1,8*(1+Inputs!$B$34/100)*Q2558),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62">
      <c r="A2562">
        <f>Skills!A7</f>
        <v/>
      </c>
      <c r="B2562">
        <f>Skills!B7</f>
        <v/>
      </c>
      <c r="C2562">
        <f>Inputs!$B$3&gt;=63</f>
        <v/>
      </c>
      <c r="D2562">
        <f>IF(Skills!C7=1,60+Inputs!$B$25+Inputs!$B$29,IF(Skills!C7=2,90+Inputs!$B$26+Inputs!$B$29,IF(Skills!C7=3,120+Inputs!$B$27+Inputs!$B$29,MAX(0,(Inputs!$B$3-100)*3)+Inputs!$B$28+Inputs!$B$29)))</f>
        <v/>
      </c>
      <c r="E2562">
        <f>INDEX(FactorTable!$B$2:$Y$301, MATCH(ROUND(MIN(300,MAX(1,D2562)),0), FactorTable!$A$2:$A$301,0), Skills!M7+1)</f>
        <v/>
      </c>
      <c r="F2562">
        <f>IF(Skills!N7=TRUE,(Skills!L7/10)*(E2562/1000),Skills!L7/10)+Skills!O7</f>
        <v/>
      </c>
      <c r="G2562">
        <f>Skills!G7*IF(Skills!H7&gt;0,INT(IF(Inputs!$B$38="pvp",MIN(Skills!I7,15),Skills!I7)/Skills!H7+0.000000001),1)</f>
        <v/>
      </c>
      <c r="H2562">
        <f>1-(1-Skills!J7/100)^Skills!K7</f>
        <v/>
      </c>
      <c r="I2562" t="inlineStr">
        <is>
          <t>1</t>
        </is>
      </c>
      <c r="J2562">
        <f>((Inputs!$B$6*(1+Inputs!$B$7/100))+(((Inputs!$B$12*(1+Inputs!$B$13/100))-(Inputs!$B$12*(1+Inputs!$B$13/100)))+0.25*(Inputs!$B$14-Inputs!$B$14))*(1+Inputs!$B$7/100))*(F2562/100)</f>
        <v/>
      </c>
      <c r="K2562">
        <f>J2562*(1+((Inputs!$B$12*(1+Inputs!$B$13/100))*0.01+Inputs!$B$14*0.0025)/100)*(1+Inputs!$B$15/100)*(1+Inputs!$B$16/100)*(5000/(6000+Inputs!$B$42*(1-(100*(1-(1-(Inputs!$B$19+0)/100)*(1-CHOOSE(ArtifactsInput!$N$40+1,5,6,7,8,9,10)/100)^(ArtifactsInput!$M$40-ArtifactsInput!$M$40)))/100)))*(1+(Inputs!$B$24+((C2581=TRUE)*(F2581-Calc!F26))+B2592)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2570=TRUE,F2570,0)/100)*(1+(IF(Skills!A7="EIGHT_LEGS_EASTON",Inputs!$B$17+((C2578=TRUE)*(F2578-Calc!F23))+((C2582=TRUE)*(F2582-Calc!F27))+((IF(AND(Inputs!$B$38&lt;&gt;"pvp",Inputs!$B$43=0),1,IF(IF(Inputs!$B$38="pvp",15,Inputs!$B$43)-(B2593)&lt;=0,1,MAX(0,IF(Inputs!$B$38="pvp",15,Inputs!$B$43)-MAX(5,B2593))/(IF(Inputs!$B$38="pvp",15,Inputs!$B$43)-(B2593))))*(IF(AND(ArtifactsInput!$M$42,((Inputs!$B$9+((C2574=TRUE)*(F2574-Calc!F19))+B2586+(ArtifactsInput!$M$24-ArtifactsInput!$M$24)*CHOOSE(ArtifactsInput!$N$24+1,10,12,14,16,18,20)+IF(ArtifactsInput!$M$10,CHOOSE(ArtifactsInput!$N$10+1,15,18,21,24,27,30)*(IF(Inputs!$B$38="pvp",MIN(15,15)/15,IF(AND(Inputs!$B$38&lt;&gt;"pvp",Inputs!$B$43&gt;0),MIN(15,Inputs!$B$43)/(Inputs!$B$43),0))),0)))&gt;=100),MIN(100,((Inputs!$B$9+((C2574=TRUE)*(F2574-Calc!F19))+B2586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2593)&lt;=0,1,MAX(0,IF(Inputs!$B$38="pvp",15,Inputs!$B$43)-MAX(5,B2593))/(IF(Inputs!$B$38="pvp",15,Inputs!$B$43)-(B2593))))*IF(AND(ArtifactsInput!$M$42,((Inputs!$B$9+((C2574=TRUE)*(F2574-Calc!F19))+B2586+(ArtifactsInput!$M$24-ArtifactsInput!$M$24)*CHOOSE(ArtifactsInput!$N$24+1,10,12,14,16,18,20)+IF(ArtifactsInput!$M$10,CHOOSE(ArtifactsInput!$N$10+1,15,18,21,24,27,30)*(IF(Inputs!$B$38="pvp",MIN(15,15)/15,IF(AND(Inputs!$B$38&lt;&gt;"pvp",Inputs!$B$43&gt;0),MIN(15,Inputs!$B$43)/(Inputs!$B$43),0))),0)))&gt;=100),CHOOSE(ArtifactsInput!$N$42+1,40,48,56,64,72,80),0))))/100)*((1+(((C2572=TRUE)*F2572*5/7)+((C2579=TRUE)*(F2579-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2562)</f>
        <v/>
      </c>
      <c r="L2562">
        <f>K2562*(MIN(Inputs!$B$22+((C2577=TRUE)*(F2577-Calc!F22)),(Inputs!$B$23+0+(IF(ArtifactsInput!$M$15,CHOOSE(ArtifactsInput!$N$15+1,25,30,35,40,45,50)/100*(Inputs!$B$11-Inputs!$B$11),0))))/100+(Inputs!$B$23+0+(IF(ArtifactsInput!$M$15,CHOOSE(ArtifactsInput!$N$15+1,25,30,35,40,45,50)/100*(Inputs!$B$11-Inputs!$B$11),0)))/100)/2</f>
        <v/>
      </c>
      <c r="M2562">
        <f>L2562*(1+(Inputs!$B$10+((C2580=TRUE)*(F2580-Calc!F25))+B2591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62">
        <f>L2562*(1-MIN((Inputs!$B$9+((C2574=TRUE)*(F2574-Calc!F19))+B2586+(ArtifactsInput!$M$24-ArtifactsInput!$M$24)*CHOOSE(ArtifactsInput!$N$24+1,10,12,14,16,18,20)+(IF(AND(Inputs!$B$38&lt;&gt;"pvp",Inputs!$B$43=0),1,IF(IF(Inputs!$B$38="pvp",15,Inputs!$B$43)-(B2593)&lt;=0,1,MAX(0,IF(Inputs!$B$38="pvp",15,Inputs!$B$43)-MAX(5,B2593))/(IF(Inputs!$B$38="pvp",15,Inputs!$B$43)-(B2593))))*IF(AND(ArtifactsInput!$M$42,((Inputs!$B$9+((C2574=TRUE)*(F2574-Calc!F19))+B2586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2562*(MIN((Inputs!$B$9+((C2574=TRUE)*(F2574-Calc!F19))+B2586+(ArtifactsInput!$M$24-ArtifactsInput!$M$24)*CHOOSE(ArtifactsInput!$N$24+1,10,12,14,16,18,20)+(IF(AND(Inputs!$B$38&lt;&gt;"pvp",Inputs!$B$43=0),1,IF(IF(Inputs!$B$38="pvp",15,Inputs!$B$43)-(B2593)&lt;=0,1,MAX(0,IF(Inputs!$B$38="pvp",15,Inputs!$B$43)-MAX(5,B2593))/(IF(Inputs!$B$38="pvp",15,Inputs!$B$43)-(B2593))))*IF(AND(ArtifactsInput!$M$42,((Inputs!$B$9+((C2574=TRUE)*(F2574-Calc!F19))+B2586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62">
        <f>(1-Summary!$B$11)*T2562+Summary!$B$11*V2562</f>
        <v/>
      </c>
      <c r="P2562">
        <f>IF(B2596=0,0,O2562/B2596)</f>
        <v/>
      </c>
      <c r="Q2562">
        <f>IFERROR(1/(IF(Inputs!$B$38="pvp",15,MAX(0.1,Skills!D7-IF(TRUE=TRUE,Inputs!$B$32,0)))*(1-IF(AND(ArtifactsInput!$M$27,Inputs!$B$4="Chapter Hunt"),CHOOSE(ArtifactsInput!$N$27+1,20,24,28,32,36,40),0)/100)),0)</f>
        <v/>
      </c>
      <c r="R2562">
        <f>IF(AND(Inputs!$B$38&lt;&gt;"pvp",Inputs!$B$43&gt;0),IF(MAX(0,Inputs!$B$43-B2593)&lt;=0,0,(INT(MAX(0,Inputs!$B$43-B2593)/(IF(Inputs!$B$38="pvp",15,MAX(0.1,Skills!D7-IF(TRUE=TRUE,Inputs!$B$32,0)))*(1-IF(AND(ArtifactsInput!$M$27,Inputs!$B$4="Chapter Hunt"),CHOOSE(ArtifactsInput!$N$27+1,20,24,28,32,36,40),0)/100)))+1)),0)</f>
        <v/>
      </c>
      <c r="S2562">
        <f>IFERROR(O2562/N2562,0)</f>
        <v/>
      </c>
      <c r="T2562">
        <f>IF(C2562,(H2562*N2562*IF(AND(Inputs!$B$38&lt;&gt;"pvp",Inputs!$B$43&gt;0),((Skills!G7*((R2562-1)*IF(Skills!H7&gt;0,INT(Skills!I7/Skills!H7+0.000000001),1)+IF(Skills!H7&gt;0,INT(MIN(Skills!I7,MAX(0,MAX(0,Inputs!$B$43-B2593)-((R2562-1)*(IF(Inputs!$B$38="pvp",15,MAX(0.1,Skills!D7-IF(TRUE=TRUE,Inputs!$B$32,0)))*(1-IF(AND(ArtifactsInput!$M$27,Inputs!$B$4="Chapter Hunt"),CHOOSE(ArtifactsInput!$N$27+1,20,24,28,32,36,40),0)/100)))))/Skills!H7+0.000000001),1)))/Inputs!$B$43),G2562*Q2562))*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IF(ArtifactsInput!$M$35,FALSE,TRUE),Inputs!$B$4&lt;&gt;"Chapter Hunt"),CHOOSE(ArtifactsInput!$N$35+1,15,18,21,24,27,30)*(1-EXP(-(0.2*B2588)*5)),0)+IF(AND(ArtifactsInput!$M$22,Inputs!$B$4&lt;&gt;"Chapter Hunt"),CHOOSE(ArtifactsInput!$N$22+1,10,12,14,16,18,20)*((0*(((0.15*B2588*5))^0/1)+1*(((0.15*B2588*5))^1/1)+2*(((0.15*B2588*5))^2/2)+3*(((0.15*B2588*5))^3/6)+4*(((0.15*B2588*5))^4/24)+5*(((0.15*B2588*5))^5/120))/((((0.15*B2588*5))^0/1)+(((0.15*B2588*5))^1/1)+(((0.15*B2588*5))^2/2)+(((0.15*B2588*5))^3/6)+(((0.15*B2588*5))^4/24)+(((0.15*B2588*5))^5/120))),0))+IF(Inputs!$B$3&gt;=54,9*(C2558=TRUE)*MIN(1,8*(1+Inputs!$B$34/100)*Q2558)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2562*(1-MIN(100,(Inputs!$B$9+((C2574=TRUE)*(F2574-Calc!F19))+B2586+(ArtifactsInput!$M$24-ArtifactsInput!$M$24)*CHOOSE(ArtifactsInput!$N$24+1,10,12,14,16,18,20)+(IF(AND(Inputs!$B$38&lt;&gt;"pvp",Inputs!$B$43=0),1,IF(IF(Inputs!$B$38="pvp",15,Inputs!$B$43)-(B2593)&lt;=0,1,MAX(0,IF(Inputs!$B$38="pvp",15,Inputs!$B$43)-MAX(5,B2593))/(IF(Inputs!$B$38="pvp",15,Inputs!$B$43)-(B2593))))*IF(AND(ArtifactsInput!$M$42,((Inputs!$B$9+((C2574=TRUE)*(F2574-Calc!F19))+B2586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2562*(MIN(100,(Inputs!$B$9+((C2574=TRUE)*(F2574-Calc!F19))+B2586+(ArtifactsInput!$M$24-ArtifactsInput!$M$24)*CHOOSE(ArtifactsInput!$N$24+1,10,12,14,16,18,20)+(IF(AND(Inputs!$B$38&lt;&gt;"pvp",Inputs!$B$43=0),1,IF(IF(Inputs!$B$38="pvp",15,Inputs!$B$43)-(B2593)&lt;=0,1,MAX(0,IF(Inputs!$B$38="pvp",15,Inputs!$B$43)-MAX(5,B2593))/(IF(Inputs!$B$38="pvp",15,Inputs!$B$43)-(B2593))))*IF(AND(ArtifactsInput!$M$42,((Inputs!$B$9+((C2574=TRUE)*(F2574-Calc!F19))+B2586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2562*(1-MIN(100,(Inputs!$B$9+((C2574=TRUE)*(F2574-Calc!F19))+B2586+(ArtifactsInput!$M$24-ArtifactsInput!$M$24)*CHOOSE(ArtifactsInput!$N$24+1,10,12,14,16,18,20)+(IF(AND(Inputs!$B$38&lt;&gt;"pvp",Inputs!$B$43=0),1,IF(IF(Inputs!$B$38="pvp",15,Inputs!$B$43)-(B2593)&lt;=0,1,MAX(0,IF(Inputs!$B$38="pvp",15,Inputs!$B$43)-MAX(5,B2593))/(IF(Inputs!$B$38="pvp",15,Inputs!$B$43)-(B2593))))*IF(AND(ArtifactsInput!$M$42,((Inputs!$B$9+((C2574=TRUE)*(F2574-Calc!F19))+B2586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2562*(MIN(100,(Inputs!$B$9+((C2574=TRUE)*(F2574-Calc!F19))+B2586+(ArtifactsInput!$M$24-ArtifactsInput!$M$24)*CHOOSE(ArtifactsInput!$N$24+1,10,12,14,16,18,20)+(IF(AND(Inputs!$B$38&lt;&gt;"pvp",Inputs!$B$43=0),1,IF(IF(Inputs!$B$38="pvp",15,Inputs!$B$43)-(B2593)&lt;=0,1,MAX(0,IF(Inputs!$B$38="pvp",15,Inputs!$B$43)-MAX(5,B2593))/(IF(Inputs!$B$38="pvp",15,Inputs!$B$43)-(B2593))))*IF(AND(ArtifactsInput!$M$42,((Inputs!$B$9+((C2574=TRUE)*(F2574-Calc!F19))+B2586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562">
        <f>IF(C2562,(H2562*N2562*IF(AND(Inputs!$B$38&lt;&gt;"pvp",Inputs!$B$43&gt;0),((Skills!G7*((R2562-1)*IF(Skills!H7&gt;0,INT(Skills!I7/Skills!H7+0.000000001),1)+IF(Skills!H7&gt;0,INT(MIN(Skills!I7,MAX(0,MAX(0,Inputs!$B$43-B2593)-((R2562-1)*(IF(Inputs!$B$38="pvp",15,MAX(0.1,Skills!D7-IF(TRUE=TRUE,Inputs!$B$32,0)))*(1-IF(AND(ArtifactsInput!$M$27,Inputs!$B$4="Chapter Hunt"),CHOOSE(ArtifactsInput!$N$27+1,20,24,28,32,36,40),0)/100)))))/Skills!H7+0.000000001),1)))/Inputs!$B$43),G2562*Q2562))*IF(Inputs!$B$38="pvp",1,(1+(Inputs!$B$21+Skills!Q7+(IF(ArtifactsInput!$M$33,CHOOSE(ArtifactsInput!$N$33+1,30,36,42,48,54,60),0))+(IF(AND(IF(ArtifactsInput!$M$35,FALSE,TRUE),Inputs!$B$4&lt;&gt;"Chapter Hunt"),CHOOSE(ArtifactsInput!$N$35+1,15,18,21,24,27,30)*(1-EXP(-(0.2*B2588)*5)),0)+IF(AND(ArtifactsInput!$M$22,Inputs!$B$4&lt;&gt;"Chapter Hunt"),CHOOSE(ArtifactsInput!$N$22+1,10,12,14,16,18,20)*((0*(((0.15*B2588*5))^0/1)+1*(((0.15*B2588*5))^1/1)+2*(((0.15*B2588*5))^2/2)+3*(((0.15*B2588*5))^3/6)+4*(((0.15*B2588*5))^4/24)+5*(((0.15*B2588*5))^5/120))/((((0.15*B2588*5))^0/1)+(((0.15*B2588*5))^1/1)+(((0.15*B2588*5))^2/2)+(((0.15*B2588*5))^3/6)+(((0.15*B2588*5))^4/24)+(((0.15*B2588*5))^5/120))),0))+IF(Inputs!$B$3&gt;=54,9*(C2558=TRUE)*MIN(1,8*(1+Inputs!$B$34/100)*Q2558),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63">
      <c r="A2563">
        <f>Skills!A8</f>
        <v/>
      </c>
      <c r="B2563">
        <f>Skills!B8</f>
        <v/>
      </c>
      <c r="C2563">
        <f>Inputs!$B$3&gt;=103</f>
        <v/>
      </c>
      <c r="D2563">
        <f>IF(Skills!C8=1,60+Inputs!$B$25+Inputs!$B$29,IF(Skills!C8=2,90+Inputs!$B$26+Inputs!$B$29,IF(Skills!C8=3,120+Inputs!$B$27+Inputs!$B$29,MAX(0,(Inputs!$B$3-100)*3)+Inputs!$B$28+Inputs!$B$29)))</f>
        <v/>
      </c>
      <c r="E2563">
        <f>INDEX(FactorTable!$B$2:$Y$301, MATCH(ROUND(MIN(300,MAX(1,D2563)),0), FactorTable!$A$2:$A$301,0), Skills!M8+1)</f>
        <v/>
      </c>
      <c r="F2563">
        <f>IF(Skills!N8=TRUE,(Skills!L8/10)*(E2563/1000),Skills!L8/10)+Skills!O8</f>
        <v/>
      </c>
      <c r="G2563">
        <f>Skills!G8*IF(Skills!H8&gt;0,INT(IF(Inputs!$B$38="pvp",MIN(Skills!I8,15),Skills!I8)/Skills!H8+0.000000001),1)</f>
        <v/>
      </c>
      <c r="H2563">
        <f>1-(1-Skills!J8/100)^Skills!K8</f>
        <v/>
      </c>
      <c r="I2563" t="inlineStr">
        <is>
          <t>1</t>
        </is>
      </c>
      <c r="J2563">
        <f>((Inputs!$B$6*(1+Inputs!$B$7/100))+(((Inputs!$B$12*(1+Inputs!$B$13/100))-(Inputs!$B$12*(1+Inputs!$B$13/100)))+0.25*(Inputs!$B$14-Inputs!$B$14))*(1+Inputs!$B$7/100))*(F2563/100)</f>
        <v/>
      </c>
      <c r="K2563">
        <f>J2563*(1+((Inputs!$B$12*(1+Inputs!$B$13/100))*0.01+Inputs!$B$14*0.0025)/100)*(1+Inputs!$B$15/100)*(1+Inputs!$B$16/100)*(5000/(6000+Inputs!$B$42*(1-(100*(1-(1-(Inputs!$B$19+0)/100)*(1-CHOOSE(ArtifactsInput!$N$40+1,5,6,7,8,9,10)/100)^(ArtifactsInput!$M$40-ArtifactsInput!$M$40)))/100)))*(1+(Inputs!$B$24+((C2581=TRUE)*(F2581-Calc!F26))+B2592)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IGHT_LEGS_EASTON",Inputs!$B$17+((C2578=TRUE)*(F2578-Calc!F23))+((C2582=TRUE)*(F2582-Calc!F27))+((IF(AND(Inputs!$B$38&lt;&gt;"pvp",Inputs!$B$43=0),1,IF(IF(Inputs!$B$38="pvp",15,Inputs!$B$43)-(B2593)&lt;=0,1,MAX(0,IF(Inputs!$B$38="pvp",15,Inputs!$B$43)-MAX(5,B2593))/(IF(Inputs!$B$38="pvp",15,Inputs!$B$43)-(B2593))))*(IF(AND(ArtifactsInput!$M$42,((Inputs!$B$9+((C2574=TRUE)*(F2574-Calc!F19))+B2586+(ArtifactsInput!$M$24-ArtifactsInput!$M$24)*CHOOSE(ArtifactsInput!$N$24+1,10,12,14,16,18,20)+IF(ArtifactsInput!$M$10,CHOOSE(ArtifactsInput!$N$10+1,15,18,21,24,27,30)*(IF(Inputs!$B$38="pvp",MIN(15,15)/15,IF(AND(Inputs!$B$38&lt;&gt;"pvp",Inputs!$B$43&gt;0),MIN(15,Inputs!$B$43)/(Inputs!$B$43),0))),0)))&gt;=100),MIN(100,((Inputs!$B$9+((C2574=TRUE)*(F2574-Calc!F19))+B2586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2593)&lt;=0,1,MAX(0,IF(Inputs!$B$38="pvp",15,Inputs!$B$43)-MAX(5,B2593))/(IF(Inputs!$B$38="pvp",15,Inputs!$B$43)-(B2593))))*IF(AND(ArtifactsInput!$M$42,((Inputs!$B$9+((C2574=TRUE)*(F2574-Calc!F19))+B2586+(ArtifactsInput!$M$24-ArtifactsInput!$M$24)*CHOOSE(ArtifactsInput!$N$24+1,10,12,14,16,18,20)+IF(ArtifactsInput!$M$10,CHOOSE(ArtifactsInput!$N$10+1,15,18,21,24,27,30)*(IF(Inputs!$B$38="pvp",MIN(15,15)/15,IF(AND(Inputs!$B$38&lt;&gt;"pvp",Inputs!$B$43&gt;0),MIN(15,Inputs!$B$43)/(Inputs!$B$43),0))),0)))&gt;=100),CHOOSE(ArtifactsInput!$N$42+1,40,48,56,64,72,80),0))))/100)*((1+(((C2572=TRUE)*F2572*5/7)+((C2579=TRUE)*(F2579-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2563)</f>
        <v/>
      </c>
      <c r="L2563">
        <f>K2563*(MIN(Inputs!$B$22+((C2577=TRUE)*(F2577-Calc!F22)),(Inputs!$B$23+0+(IF(ArtifactsInput!$M$15,CHOOSE(ArtifactsInput!$N$15+1,25,30,35,40,45,50)/100*(Inputs!$B$11-Inputs!$B$11),0))))/100+(Inputs!$B$23+0+(IF(ArtifactsInput!$M$15,CHOOSE(ArtifactsInput!$N$15+1,25,30,35,40,45,50)/100*(Inputs!$B$11-Inputs!$B$11),0)))/100)/2</f>
        <v/>
      </c>
      <c r="M2563">
        <f>L2563*(1+(Inputs!$B$10+((C2580=TRUE)*(F2580-Calc!F25))+B2591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63">
        <f>L2563*(1-MIN((Inputs!$B$9+((C2574=TRUE)*(F2574-Calc!F19))+B2586+(ArtifactsInput!$M$24-ArtifactsInput!$M$24)*CHOOSE(ArtifactsInput!$N$24+1,10,12,14,16,18,20)+(IF(AND(Inputs!$B$38&lt;&gt;"pvp",Inputs!$B$43=0),1,IF(IF(Inputs!$B$38="pvp",15,Inputs!$B$43)-(B2593)&lt;=0,1,MAX(0,IF(Inputs!$B$38="pvp",15,Inputs!$B$43)-MAX(5,B2593))/(IF(Inputs!$B$38="pvp",15,Inputs!$B$43)-(B2593))))*IF(AND(ArtifactsInput!$M$42,((Inputs!$B$9+((C2574=TRUE)*(F2574-Calc!F19))+B2586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2563*(MIN((Inputs!$B$9+((C2574=TRUE)*(F2574-Calc!F19))+B2586+(ArtifactsInput!$M$24-ArtifactsInput!$M$24)*CHOOSE(ArtifactsInput!$N$24+1,10,12,14,16,18,20)+(IF(AND(Inputs!$B$38&lt;&gt;"pvp",Inputs!$B$43=0),1,IF(IF(Inputs!$B$38="pvp",15,Inputs!$B$43)-(B2593)&lt;=0,1,MAX(0,IF(Inputs!$B$38="pvp",15,Inputs!$B$43)-MAX(5,B2593))/(IF(Inputs!$B$38="pvp",15,Inputs!$B$43)-(B2593))))*IF(AND(ArtifactsInput!$M$42,((Inputs!$B$9+((C2574=TRUE)*(F2574-Calc!F19))+B2586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63">
        <f>(1-Summary!$B$11)*T2563+Summary!$B$11*V2563</f>
        <v/>
      </c>
      <c r="P2563">
        <f>IF(B2596=0,0,O2563/B2596)</f>
        <v/>
      </c>
      <c r="Q2563">
        <f>IFERROR(1/((IF(Inputs!$B$38="pvp",15,MAX(0.1,Skills!D8-IF(TRUE=TRUE,Inputs!$B$32,0)))*(1-IF(AND(ArtifactsInput!$M$27,Inputs!$B$4="Chapter Hunt"),CHOOSE(ArtifactsInput!$N$27+1,20,24,28,32,36,40),0)/100))/B2597),0)</f>
        <v/>
      </c>
      <c r="R2563">
        <f>IF(AND(Inputs!$B$38&lt;&gt;"pvp",Inputs!$B$43&gt;0),IF(MAX(0,Inputs!$B$43-B2593)&lt;=0,0,(INT(MAX(0,Inputs!$B$43-B2593)/((IF(Inputs!$B$38="pvp",15,MAX(0.1,Skills!D8-IF(TRUE=TRUE,Inputs!$B$32,0)))*(1-IF(AND(ArtifactsInput!$M$27,Inputs!$B$4="Chapter Hunt"),CHOOSE(ArtifactsInput!$N$27+1,20,24,28,32,36,40),0)/100))/B2597))+1)),0)</f>
        <v/>
      </c>
      <c r="S2563">
        <f>IFERROR(O2563/N2563,0)</f>
        <v/>
      </c>
      <c r="T2563">
        <f>IF(C2563,(H2563*N2563*IF(AND(Inputs!$B$38&lt;&gt;"pvp",Inputs!$B$43&gt;0),((Skills!G8*((R2563-1)*IF(Skills!H8&gt;0,INT(Skills!I8/Skills!H8+0.000000001),1)+IF(Skills!H8&gt;0,INT(MIN(Skills!I8,MAX(0,MAX(0,Inputs!$B$43-B2593)-((R2563-1)*((IF(Inputs!$B$38="pvp",15,MAX(0.1,Skills!D8-IF(TRUE=TRUE,Inputs!$B$32,0)))*(1-IF(AND(ArtifactsInput!$M$27,Inputs!$B$4="Chapter Hunt"),CHOOSE(ArtifactsInput!$N$27+1,20,24,28,32,36,40),0)/100))/B2597))))/Skills!H8+0.000000001),1)))/Inputs!$B$43),G2563*Q2563))*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IF(ArtifactsInput!$M$35,FALSE,TRUE),Inputs!$B$4&lt;&gt;"Chapter Hunt"),CHOOSE(ArtifactsInput!$N$35+1,15,18,21,24,27,30)*(1-EXP(-(0.2*B2588)*5)),0)+IF(AND(ArtifactsInput!$M$22,Inputs!$B$4&lt;&gt;"Chapter Hunt"),CHOOSE(ArtifactsInput!$N$22+1,10,12,14,16,18,20)*((0*(((0.15*B2588*5))^0/1)+1*(((0.15*B2588*5))^1/1)+2*(((0.15*B2588*5))^2/2)+3*(((0.15*B2588*5))^3/6)+4*(((0.15*B2588*5))^4/24)+5*(((0.15*B2588*5))^5/120))/((((0.15*B2588*5))^0/1)+(((0.15*B2588*5))^1/1)+(((0.15*B2588*5))^2/2)+(((0.15*B2588*5))^3/6)+(((0.15*B2588*5))^4/24)+(((0.15*B2588*5))^5/120))),0))+IF(Inputs!$B$3&gt;=54,9*(C2558=TRUE)*MIN(1,8*(1+Inputs!$B$34/100)*Q2558)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2563*(1-MIN(100,(Inputs!$B$9+((C2574=TRUE)*(F2574-Calc!F19))+B2586+(ArtifactsInput!$M$24-ArtifactsInput!$M$24)*CHOOSE(ArtifactsInput!$N$24+1,10,12,14,16,18,20)+(IF(AND(Inputs!$B$38&lt;&gt;"pvp",Inputs!$B$43=0),1,IF(IF(Inputs!$B$38="pvp",15,Inputs!$B$43)-(B2593)&lt;=0,1,MAX(0,IF(Inputs!$B$38="pvp",15,Inputs!$B$43)-MAX(5,B2593))/(IF(Inputs!$B$38="pvp",15,Inputs!$B$43)-(B2593))))*IF(AND(ArtifactsInput!$M$42,((Inputs!$B$9+((C2574=TRUE)*(F2574-Calc!F19))+B2586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2563*(MIN(100,(Inputs!$B$9+((C2574=TRUE)*(F2574-Calc!F19))+B2586+(ArtifactsInput!$M$24-ArtifactsInput!$M$24)*CHOOSE(ArtifactsInput!$N$24+1,10,12,14,16,18,20)+(IF(AND(Inputs!$B$38&lt;&gt;"pvp",Inputs!$B$43=0),1,IF(IF(Inputs!$B$38="pvp",15,Inputs!$B$43)-(B2593)&lt;=0,1,MAX(0,IF(Inputs!$B$38="pvp",15,Inputs!$B$43)-MAX(5,B2593))/(IF(Inputs!$B$38="pvp",15,Inputs!$B$43)-(B2593))))*IF(AND(ArtifactsInput!$M$42,((Inputs!$B$9+((C2574=TRUE)*(F2574-Calc!F19))+B2586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2563*(1-MIN(100,(Inputs!$B$9+((C2574=TRUE)*(F2574-Calc!F19))+B2586+(ArtifactsInput!$M$24-ArtifactsInput!$M$24)*CHOOSE(ArtifactsInput!$N$24+1,10,12,14,16,18,20)+(IF(AND(Inputs!$B$38&lt;&gt;"pvp",Inputs!$B$43=0),1,IF(IF(Inputs!$B$38="pvp",15,Inputs!$B$43)-(B2593)&lt;=0,1,MAX(0,IF(Inputs!$B$38="pvp",15,Inputs!$B$43)-MAX(5,B2593))/(IF(Inputs!$B$38="pvp",15,Inputs!$B$43)-(B2593))))*IF(AND(ArtifactsInput!$M$42,((Inputs!$B$9+((C2574=TRUE)*(F2574-Calc!F19))+B2586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2563*(MIN(100,(Inputs!$B$9+((C2574=TRUE)*(F2574-Calc!F19))+B2586+(ArtifactsInput!$M$24-ArtifactsInput!$M$24)*CHOOSE(ArtifactsInput!$N$24+1,10,12,14,16,18,20)+(IF(AND(Inputs!$B$38&lt;&gt;"pvp",Inputs!$B$43=0),1,IF(IF(Inputs!$B$38="pvp",15,Inputs!$B$43)-(B2593)&lt;=0,1,MAX(0,IF(Inputs!$B$38="pvp",15,Inputs!$B$43)-MAX(5,B2593))/(IF(Inputs!$B$38="pvp",15,Inputs!$B$43)-(B2593))))*IF(AND(ArtifactsInput!$M$42,((Inputs!$B$9+((C2574=TRUE)*(F2574-Calc!F19))+B2586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563">
        <f>IF(C2563,(H2563*N2563*IF(AND(Inputs!$B$38&lt;&gt;"pvp",Inputs!$B$43&gt;0),((Skills!G8*((R2563-1)*IF(Skills!H8&gt;0,INT(Skills!I8/Skills!H8+0.000000001),1)+IF(Skills!H8&gt;0,INT(MIN(Skills!I8,MAX(0,MAX(0,Inputs!$B$43-B2593)-((R2563-1)*((IF(Inputs!$B$38="pvp",15,MAX(0.1,Skills!D8-IF(TRUE=TRUE,Inputs!$B$32,0)))*(1-IF(AND(ArtifactsInput!$M$27,Inputs!$B$4="Chapter Hunt"),CHOOSE(ArtifactsInput!$N$27+1,20,24,28,32,36,40),0)/100))/B2597))))/Skills!H8+0.000000001),1)))/Inputs!$B$43),G2563*Q2563))*IF(Inputs!$B$38="pvp",1,(1+(Inputs!$B$21+Skills!Q8+(IF(ArtifactsInput!$M$33,CHOOSE(ArtifactsInput!$N$33+1,30,36,42,48,54,60),0))+(IF(AND(IF(ArtifactsInput!$M$35,FALSE,TRUE),Inputs!$B$4&lt;&gt;"Chapter Hunt"),CHOOSE(ArtifactsInput!$N$35+1,15,18,21,24,27,30)*(1-EXP(-(0.2*B2588)*5)),0)+IF(AND(ArtifactsInput!$M$22,Inputs!$B$4&lt;&gt;"Chapter Hunt"),CHOOSE(ArtifactsInput!$N$22+1,10,12,14,16,18,20)*((0*(((0.15*B2588*5))^0/1)+1*(((0.15*B2588*5))^1/1)+2*(((0.15*B2588*5))^2/2)+3*(((0.15*B2588*5))^3/6)+4*(((0.15*B2588*5))^4/24)+5*(((0.15*B2588*5))^5/120))/((((0.15*B2588*5))^0/1)+(((0.15*B2588*5))^1/1)+(((0.15*B2588*5))^2/2)+(((0.15*B2588*5))^3/6)+(((0.15*B2588*5))^4/24)+(((0.15*B2588*5))^5/120))),0))+IF(Inputs!$B$3&gt;=54,9*(C2558=TRUE)*MIN(1,8*(1+Inputs!$B$34/100)*Q2558),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64">
      <c r="A2564">
        <f>Skills!A9</f>
        <v/>
      </c>
      <c r="B2564">
        <f>Skills!B9</f>
        <v/>
      </c>
      <c r="C2564">
        <f>Inputs!$B$3&gt;=105</f>
        <v/>
      </c>
      <c r="D2564">
        <f>IF(Skills!C9=1,60+Inputs!$B$25+Inputs!$B$29,IF(Skills!C9=2,90+Inputs!$B$26+Inputs!$B$29,IF(Skills!C9=3,120+Inputs!$B$27+Inputs!$B$29,MAX(0,(Inputs!$B$3-100)*3)+Inputs!$B$28+Inputs!$B$29)))</f>
        <v/>
      </c>
      <c r="E2564">
        <f>INDEX(FactorTable!$B$2:$Y$301, MATCH(ROUND(MIN(300,MAX(1,D2564)),0), FactorTable!$A$2:$A$301,0), Skills!M9+1)</f>
        <v/>
      </c>
      <c r="F2564">
        <f>IF(Skills!N9=TRUE,(Skills!L9/10)*(E2564/1000),Skills!L9/10)+Skills!O9</f>
        <v/>
      </c>
      <c r="G2564">
        <f>Skills!G9*IF(Skills!H9&gt;0,INT(IF(Inputs!$B$38="pvp",MIN(Skills!I9,15),Skills!I9)/Skills!H9+0.000000001),1)</f>
        <v/>
      </c>
      <c r="H2564">
        <f>1-(1-Skills!J9/100)^Skills!K9</f>
        <v/>
      </c>
      <c r="I2564" t="inlineStr">
        <is>
          <t>1</t>
        </is>
      </c>
      <c r="J2564">
        <f>((Inputs!$B$6*(1+Inputs!$B$7/100))+(((Inputs!$B$12*(1+Inputs!$B$13/100))-(Inputs!$B$12*(1+Inputs!$B$13/100)))+0.25*(Inputs!$B$14-Inputs!$B$14))*(1+Inputs!$B$7/100))*(F2564/100)</f>
        <v/>
      </c>
      <c r="K2564">
        <f>J2564*(1+((Inputs!$B$12*(1+Inputs!$B$13/100))*0.01+Inputs!$B$14*0.0025)/100)*(1+Inputs!$B$15/100)*(1+Inputs!$B$16/100)*(5000/(6000+Inputs!$B$42*(1-(100*(1-(1-(Inputs!$B$19+0)/100)*(1-CHOOSE(ArtifactsInput!$N$40+1,5,6,7,8,9,10)/100)^(ArtifactsInput!$M$40-ArtifactsInput!$M$40)))/100)))*(1+(Inputs!$B$24+((C2581=TRUE)*(F2581-Calc!F26))+B2592)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IGHT_LEGS_EASTON",Inputs!$B$17+((C2578=TRUE)*(F2578-Calc!F23))+((C2582=TRUE)*(F2582-Calc!F27))+((IF(AND(Inputs!$B$38&lt;&gt;"pvp",Inputs!$B$43=0),1,IF(IF(Inputs!$B$38="pvp",15,Inputs!$B$43)-(B2593)&lt;=0,1,MAX(0,IF(Inputs!$B$38="pvp",15,Inputs!$B$43)-MAX(5,B2593))/(IF(Inputs!$B$38="pvp",15,Inputs!$B$43)-(B2593))))*(IF(AND(ArtifactsInput!$M$42,((Inputs!$B$9+((C2574=TRUE)*(F2574-Calc!F19))+B2586+(ArtifactsInput!$M$24-ArtifactsInput!$M$24)*CHOOSE(ArtifactsInput!$N$24+1,10,12,14,16,18,20)+IF(ArtifactsInput!$M$10,CHOOSE(ArtifactsInput!$N$10+1,15,18,21,24,27,30)*(IF(Inputs!$B$38="pvp",MIN(15,15)/15,IF(AND(Inputs!$B$38&lt;&gt;"pvp",Inputs!$B$43&gt;0),MIN(15,Inputs!$B$43)/(Inputs!$B$43),0))),0)))&gt;=100),MIN(100,((Inputs!$B$9+((C2574=TRUE)*(F2574-Calc!F19))+B2586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2593)&lt;=0,1,MAX(0,IF(Inputs!$B$38="pvp",15,Inputs!$B$43)-MAX(5,B2593))/(IF(Inputs!$B$38="pvp",15,Inputs!$B$43)-(B2593))))*IF(AND(ArtifactsInput!$M$42,((Inputs!$B$9+((C2574=TRUE)*(F2574-Calc!F19))+B2586+(ArtifactsInput!$M$24-ArtifactsInput!$M$24)*CHOOSE(ArtifactsInput!$N$24+1,10,12,14,16,18,20)+IF(ArtifactsInput!$M$10,CHOOSE(ArtifactsInput!$N$10+1,15,18,21,24,27,30)*(IF(Inputs!$B$38="pvp",MIN(15,15)/15,IF(AND(Inputs!$B$38&lt;&gt;"pvp",Inputs!$B$43&gt;0),MIN(15,Inputs!$B$43)/(Inputs!$B$43),0))),0)))&gt;=100),CHOOSE(ArtifactsInput!$N$42+1,40,48,56,64,72,80),0))))/100)*((1+(((C2572=TRUE)*F2572*5/7)+((C2579=TRUE)*(F2579-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2564)</f>
        <v/>
      </c>
      <c r="L2564">
        <f>K2564*(MIN(Inputs!$B$22+((C2577=TRUE)*(F2577-Calc!F22)),(Inputs!$B$23+0+(IF(ArtifactsInput!$M$15,CHOOSE(ArtifactsInput!$N$15+1,25,30,35,40,45,50)/100*(Inputs!$B$11-Inputs!$B$11),0))))/100+(Inputs!$B$23+0+(IF(ArtifactsInput!$M$15,CHOOSE(ArtifactsInput!$N$15+1,25,30,35,40,45,50)/100*(Inputs!$B$11-Inputs!$B$11),0)))/100)/2</f>
        <v/>
      </c>
      <c r="M2564">
        <f>L2564*(1+(Inputs!$B$10+((C2580=TRUE)*(F2580-Calc!F25))+B2591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64">
        <f>L2564*(1-MIN((Inputs!$B$9+((C2574=TRUE)*(F2574-Calc!F19))+B2586+(ArtifactsInput!$M$24-ArtifactsInput!$M$24)*CHOOSE(ArtifactsInput!$N$24+1,10,12,14,16,18,20)+(IF(AND(Inputs!$B$38&lt;&gt;"pvp",Inputs!$B$43=0),1,IF(IF(Inputs!$B$38="pvp",15,Inputs!$B$43)-(B2593)&lt;=0,1,MAX(0,IF(Inputs!$B$38="pvp",15,Inputs!$B$43)-MAX(5,B2593))/(IF(Inputs!$B$38="pvp",15,Inputs!$B$43)-(B2593))))*IF(AND(ArtifactsInput!$M$42,((Inputs!$B$9+((C2574=TRUE)*(F2574-Calc!F19))+B2586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2564*(MIN((Inputs!$B$9+((C2574=TRUE)*(F2574-Calc!F19))+B2586+(ArtifactsInput!$M$24-ArtifactsInput!$M$24)*CHOOSE(ArtifactsInput!$N$24+1,10,12,14,16,18,20)+(IF(AND(Inputs!$B$38&lt;&gt;"pvp",Inputs!$B$43=0),1,IF(IF(Inputs!$B$38="pvp",15,Inputs!$B$43)-(B2593)&lt;=0,1,MAX(0,IF(Inputs!$B$38="pvp",15,Inputs!$B$43)-MAX(5,B2593))/(IF(Inputs!$B$38="pvp",15,Inputs!$B$43)-(B2593))))*IF(AND(ArtifactsInput!$M$42,((Inputs!$B$9+((C2574=TRUE)*(F2574-Calc!F19))+B2586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64">
        <f>(1-Summary!$B$11)*T2564+Summary!$B$11*V2564</f>
        <v/>
      </c>
      <c r="P2564">
        <f>IF(B2596=0,0,O2564/B2596)</f>
        <v/>
      </c>
      <c r="Q2564">
        <f>IFERROR(1/(IF(Inputs!$B$38="pvp",15,MAX(0.1,Skills!D9-IF(TRUE=TRUE,Inputs!$B$32,0)))*(1-IF(AND(ArtifactsInput!$M$27,Inputs!$B$4="Chapter Hunt"),CHOOSE(ArtifactsInput!$N$27+1,20,24,28,32,36,40),0)/100)),0)</f>
        <v/>
      </c>
      <c r="R2564">
        <f>IF(AND(Inputs!$B$38&lt;&gt;"pvp",Inputs!$B$43&gt;0),IF(MAX(0,Inputs!$B$43-B2593)&lt;=0,0,(INT(MAX(0,Inputs!$B$43-B2593)/(IF(Inputs!$B$38="pvp",15,MAX(0.1,Skills!D9-IF(TRUE=TRUE,Inputs!$B$32,0)))*(1-IF(AND(ArtifactsInput!$M$27,Inputs!$B$4="Chapter Hunt"),CHOOSE(ArtifactsInput!$N$27+1,20,24,28,32,36,40),0)/100)))+1)),0)</f>
        <v/>
      </c>
      <c r="S2564">
        <f>IFERROR(O2564/N2564,0)</f>
        <v/>
      </c>
      <c r="T2564">
        <f>IF(C2564,(H2564*N2564*IF(AND(Inputs!$B$38&lt;&gt;"pvp",Inputs!$B$43&gt;0),((Skills!G9*((R2564-1)*IF(Skills!H9&gt;0,INT(Skills!I9/Skills!H9+0.000000001),1)+IF(Skills!H9&gt;0,INT(MIN(Skills!I9,MAX(0,MAX(0,Inputs!$B$43-B2593)-((R2564-1)*(IF(Inputs!$B$38="pvp",15,MAX(0.1,Skills!D9-IF(TRUE=TRUE,Inputs!$B$32,0)))*(1-IF(AND(ArtifactsInput!$M$27,Inputs!$B$4="Chapter Hunt"),CHOOSE(ArtifactsInput!$N$27+1,20,24,28,32,36,40),0)/100)))))/Skills!H9+0.000000001),1)))/Inputs!$B$43),G2564*Q2564))*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IF(ArtifactsInput!$M$35,FALSE,TRUE),Inputs!$B$4&lt;&gt;"Chapter Hunt"),CHOOSE(ArtifactsInput!$N$35+1,15,18,21,24,27,30)*(1-EXP(-(0.2*B2588)*5)),0)+IF(AND(ArtifactsInput!$M$22,Inputs!$B$4&lt;&gt;"Chapter Hunt"),CHOOSE(ArtifactsInput!$N$22+1,10,12,14,16,18,20)*((0*(((0.15*B2588*5))^0/1)+1*(((0.15*B2588*5))^1/1)+2*(((0.15*B2588*5))^2/2)+3*(((0.15*B2588*5))^3/6)+4*(((0.15*B2588*5))^4/24)+5*(((0.15*B2588*5))^5/120))/((((0.15*B2588*5))^0/1)+(((0.15*B2588*5))^1/1)+(((0.15*B2588*5))^2/2)+(((0.15*B2588*5))^3/6)+(((0.15*B2588*5))^4/24)+(((0.15*B2588*5))^5/120))),0))+IF(Inputs!$B$3&gt;=54,9*(C2558=TRUE)*MIN(1,8*(1+Inputs!$B$34/100)*Q2558)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2564*(1-MIN(100,(Inputs!$B$9+((C2574=TRUE)*(F2574-Calc!F19))+B2586+(ArtifactsInput!$M$24-ArtifactsInput!$M$24)*CHOOSE(ArtifactsInput!$N$24+1,10,12,14,16,18,20)+(IF(AND(Inputs!$B$38&lt;&gt;"pvp",Inputs!$B$43=0),1,IF(IF(Inputs!$B$38="pvp",15,Inputs!$B$43)-(B2593)&lt;=0,1,MAX(0,IF(Inputs!$B$38="pvp",15,Inputs!$B$43)-MAX(5,B2593))/(IF(Inputs!$B$38="pvp",15,Inputs!$B$43)-(B2593))))*IF(AND(ArtifactsInput!$M$42,((Inputs!$B$9+((C2574=TRUE)*(F2574-Calc!F19))+B2586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2564*(MIN(100,(Inputs!$B$9+((C2574=TRUE)*(F2574-Calc!F19))+B2586+(ArtifactsInput!$M$24-ArtifactsInput!$M$24)*CHOOSE(ArtifactsInput!$N$24+1,10,12,14,16,18,20)+(IF(AND(Inputs!$B$38&lt;&gt;"pvp",Inputs!$B$43=0),1,IF(IF(Inputs!$B$38="pvp",15,Inputs!$B$43)-(B2593)&lt;=0,1,MAX(0,IF(Inputs!$B$38="pvp",15,Inputs!$B$43)-MAX(5,B2593))/(IF(Inputs!$B$38="pvp",15,Inputs!$B$43)-(B2593))))*IF(AND(ArtifactsInput!$M$42,((Inputs!$B$9+((C2574=TRUE)*(F2574-Calc!F19))+B2586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2564*(1-MIN(100,(Inputs!$B$9+((C2574=TRUE)*(F2574-Calc!F19))+B2586+(ArtifactsInput!$M$24-ArtifactsInput!$M$24)*CHOOSE(ArtifactsInput!$N$24+1,10,12,14,16,18,20)+(IF(AND(Inputs!$B$38&lt;&gt;"pvp",Inputs!$B$43=0),1,IF(IF(Inputs!$B$38="pvp",15,Inputs!$B$43)-(B2593)&lt;=0,1,MAX(0,IF(Inputs!$B$38="pvp",15,Inputs!$B$43)-MAX(5,B2593))/(IF(Inputs!$B$38="pvp",15,Inputs!$B$43)-(B2593))))*IF(AND(ArtifactsInput!$M$42,((Inputs!$B$9+((C2574=TRUE)*(F2574-Calc!F19))+B2586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2564*(MIN(100,(Inputs!$B$9+((C2574=TRUE)*(F2574-Calc!F19))+B2586+(ArtifactsInput!$M$24-ArtifactsInput!$M$24)*CHOOSE(ArtifactsInput!$N$24+1,10,12,14,16,18,20)+(IF(AND(Inputs!$B$38&lt;&gt;"pvp",Inputs!$B$43=0),1,IF(IF(Inputs!$B$38="pvp",15,Inputs!$B$43)-(B2593)&lt;=0,1,MAX(0,IF(Inputs!$B$38="pvp",15,Inputs!$B$43)-MAX(5,B2593))/(IF(Inputs!$B$38="pvp",15,Inputs!$B$43)-(B2593))))*IF(AND(ArtifactsInput!$M$42,((Inputs!$B$9+((C2574=TRUE)*(F2574-Calc!F19))+B2586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564">
        <f>IF(C2564,(H2564*N2564*IF(AND(Inputs!$B$38&lt;&gt;"pvp",Inputs!$B$43&gt;0),((Skills!G9*((R2564-1)*IF(Skills!H9&gt;0,INT(Skills!I9/Skills!H9+0.000000001),1)+IF(Skills!H9&gt;0,INT(MIN(Skills!I9,MAX(0,MAX(0,Inputs!$B$43-B2593)-((R2564-1)*(IF(Inputs!$B$38="pvp",15,MAX(0.1,Skills!D9-IF(TRUE=TRUE,Inputs!$B$32,0)))*(1-IF(AND(ArtifactsInput!$M$27,Inputs!$B$4="Chapter Hunt"),CHOOSE(ArtifactsInput!$N$27+1,20,24,28,32,36,40),0)/100)))))/Skills!H9+0.000000001),1)))/Inputs!$B$43),G2564*Q2564))*IF(Inputs!$B$38="pvp",1,(1+(Inputs!$B$21+Skills!Q9+(IF(ArtifactsInput!$M$33,CHOOSE(ArtifactsInput!$N$33+1,30,36,42,48,54,60),0))+(IF(AND(IF(ArtifactsInput!$M$35,FALSE,TRUE),Inputs!$B$4&lt;&gt;"Chapter Hunt"),CHOOSE(ArtifactsInput!$N$35+1,15,18,21,24,27,30)*(1-EXP(-(0.2*B2588)*5)),0)+IF(AND(ArtifactsInput!$M$22,Inputs!$B$4&lt;&gt;"Chapter Hunt"),CHOOSE(ArtifactsInput!$N$22+1,10,12,14,16,18,20)*((0*(((0.15*B2588*5))^0/1)+1*(((0.15*B2588*5))^1/1)+2*(((0.15*B2588*5))^2/2)+3*(((0.15*B2588*5))^3/6)+4*(((0.15*B2588*5))^4/24)+5*(((0.15*B2588*5))^5/120))/((((0.15*B2588*5))^0/1)+(((0.15*B2588*5))^1/1)+(((0.15*B2588*5))^2/2)+(((0.15*B2588*5))^3/6)+(((0.15*B2588*5))^4/24)+(((0.15*B2588*5))^5/120))),0))+IF(Inputs!$B$3&gt;=54,9*(C2558=TRUE)*MIN(1,8*(1+Inputs!$B$34/100)*Q2558),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65">
      <c r="A2565">
        <f>Skills!A10</f>
        <v/>
      </c>
      <c r="B2565">
        <f>Skills!B10</f>
        <v/>
      </c>
      <c r="C2565">
        <f>Inputs!$B$3&gt;=113</f>
        <v/>
      </c>
      <c r="D2565">
        <f>IF(Skills!C10=1,60+Inputs!$B$25+Inputs!$B$29,IF(Skills!C10=2,90+Inputs!$B$26+Inputs!$B$29,IF(Skills!C10=3,120+Inputs!$B$27+Inputs!$B$29,MAX(0,(Inputs!$B$3-100)*3)+Inputs!$B$28+Inputs!$B$29)))</f>
        <v/>
      </c>
      <c r="E2565">
        <f>INDEX(FactorTable!$B$2:$Y$301, MATCH(ROUND(MIN(300,MAX(1,D2565)),0), FactorTable!$A$2:$A$301,0), Skills!M10+1)</f>
        <v/>
      </c>
      <c r="F2565">
        <f>IF(Skills!N10=TRUE,(Skills!L10/10)*(E2565/1000),Skills!L10/10)+Skills!O10</f>
        <v/>
      </c>
      <c r="G2565">
        <f>Skills!G10*IF(Skills!H10&gt;0,INT(IF(Inputs!$B$38="pvp",MIN(Skills!I10,15),Skills!I10)/Skills!H10+0.000000001),1)</f>
        <v/>
      </c>
      <c r="H2565">
        <f>1-(1-Skills!J10/100)^Skills!K10</f>
        <v/>
      </c>
      <c r="I2565" t="inlineStr">
        <is>
          <t>1</t>
        </is>
      </c>
      <c r="J2565">
        <f>((Inputs!$B$6*(1+Inputs!$B$7/100))+(((Inputs!$B$12*(1+Inputs!$B$13/100))-(Inputs!$B$12*(1+Inputs!$B$13/100)))+0.25*(Inputs!$B$14-Inputs!$B$14))*(1+Inputs!$B$7/100))*(F2565/100)</f>
        <v/>
      </c>
      <c r="K2565">
        <f>J2565*(1+((Inputs!$B$12*(1+Inputs!$B$13/100))*0.01+Inputs!$B$14*0.0025)/100)*(1+Inputs!$B$15/100)*(1+Inputs!$B$16/100)*(5000/(6000+Inputs!$B$42*(1-(100*(1-(1-(Inputs!$B$19+0)/100)*(1-CHOOSE(ArtifactsInput!$N$40+1,5,6,7,8,9,10)/100)^(ArtifactsInput!$M$40-ArtifactsInput!$M$40)))/100)))*(1+(Inputs!$B$24+((C2581=TRUE)*(F2581-Calc!F26))+B2592)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IGHT_LEGS_EASTON",Inputs!$B$17+((C2578=TRUE)*(F2578-Calc!F23))+((C2582=TRUE)*(F2582-Calc!F27))+((IF(AND(Inputs!$B$38&lt;&gt;"pvp",Inputs!$B$43=0),1,IF(IF(Inputs!$B$38="pvp",15,Inputs!$B$43)-(B2593)&lt;=0,1,MAX(0,IF(Inputs!$B$38="pvp",15,Inputs!$B$43)-MAX(5,B2593))/(IF(Inputs!$B$38="pvp",15,Inputs!$B$43)-(B2593))))*(IF(AND(ArtifactsInput!$M$42,((Inputs!$B$9+((C2574=TRUE)*(F2574-Calc!F19))+B2586+(ArtifactsInput!$M$24-ArtifactsInput!$M$24)*CHOOSE(ArtifactsInput!$N$24+1,10,12,14,16,18,20)+IF(ArtifactsInput!$M$10,CHOOSE(ArtifactsInput!$N$10+1,15,18,21,24,27,30)*(IF(Inputs!$B$38="pvp",MIN(15,15)/15,IF(AND(Inputs!$B$38&lt;&gt;"pvp",Inputs!$B$43&gt;0),MIN(15,Inputs!$B$43)/(Inputs!$B$43),0))),0)))&gt;=100),MIN(100,((Inputs!$B$9+((C2574=TRUE)*(F2574-Calc!F19))+B2586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2593)&lt;=0,1,MAX(0,IF(Inputs!$B$38="pvp",15,Inputs!$B$43)-MAX(5,B2593))/(IF(Inputs!$B$38="pvp",15,Inputs!$B$43)-(B2593))))*IF(AND(ArtifactsInput!$M$42,((Inputs!$B$9+((C2574=TRUE)*(F2574-Calc!F19))+B2586+(ArtifactsInput!$M$24-ArtifactsInput!$M$24)*CHOOSE(ArtifactsInput!$N$24+1,10,12,14,16,18,20)+IF(ArtifactsInput!$M$10,CHOOSE(ArtifactsInput!$N$10+1,15,18,21,24,27,30)*(IF(Inputs!$B$38="pvp",MIN(15,15)/15,IF(AND(Inputs!$B$38&lt;&gt;"pvp",Inputs!$B$43&gt;0),MIN(15,Inputs!$B$43)/(Inputs!$B$43),0))),0)))&gt;=100),CHOOSE(ArtifactsInput!$N$42+1,40,48,56,64,72,80),0))))/100)*((1+(((C2572=TRUE)*F2572*5/7)+((C2579=TRUE)*(F2579-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2565)</f>
        <v/>
      </c>
      <c r="L2565">
        <f>K2565*(MIN(Inputs!$B$22+((C2577=TRUE)*(F2577-Calc!F22)),(Inputs!$B$23+0+(IF(ArtifactsInput!$M$15,CHOOSE(ArtifactsInput!$N$15+1,25,30,35,40,45,50)/100*(Inputs!$B$11-Inputs!$B$11),0))))/100+(Inputs!$B$23+0+(IF(ArtifactsInput!$M$15,CHOOSE(ArtifactsInput!$N$15+1,25,30,35,40,45,50)/100*(Inputs!$B$11-Inputs!$B$11),0)))/100)/2</f>
        <v/>
      </c>
      <c r="M2565">
        <f>L2565*(1+(Inputs!$B$10+((C2580=TRUE)*(F2580-Calc!F25))+B2591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65">
        <f>L2565*(1-MIN((Inputs!$B$9+((C2574=TRUE)*(F2574-Calc!F19))+B2586+(ArtifactsInput!$M$24-ArtifactsInput!$M$24)*CHOOSE(ArtifactsInput!$N$24+1,10,12,14,16,18,20)+(IF(AND(Inputs!$B$38&lt;&gt;"pvp",Inputs!$B$43=0),1,IF(IF(Inputs!$B$38="pvp",15,Inputs!$B$43)-(B2593)&lt;=0,1,MAX(0,IF(Inputs!$B$38="pvp",15,Inputs!$B$43)-MAX(5,B2593))/(IF(Inputs!$B$38="pvp",15,Inputs!$B$43)-(B2593))))*IF(AND(ArtifactsInput!$M$42,((Inputs!$B$9+((C2574=TRUE)*(F2574-Calc!F19))+B2586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2565*(MIN((Inputs!$B$9+((C2574=TRUE)*(F2574-Calc!F19))+B2586+(ArtifactsInput!$M$24-ArtifactsInput!$M$24)*CHOOSE(ArtifactsInput!$N$24+1,10,12,14,16,18,20)+(IF(AND(Inputs!$B$38&lt;&gt;"pvp",Inputs!$B$43=0),1,IF(IF(Inputs!$B$38="pvp",15,Inputs!$B$43)-(B2593)&lt;=0,1,MAX(0,IF(Inputs!$B$38="pvp",15,Inputs!$B$43)-MAX(5,B2593))/(IF(Inputs!$B$38="pvp",15,Inputs!$B$43)-(B2593))))*IF(AND(ArtifactsInput!$M$42,((Inputs!$B$9+((C2574=TRUE)*(F2574-Calc!F19))+B2586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65">
        <f>(1-Summary!$B$11)*T2565+Summary!$B$11*V2565</f>
        <v/>
      </c>
      <c r="P2565">
        <f>IF(B2596=0,0,O2565/B2596)</f>
        <v/>
      </c>
      <c r="Q2565" t="n">
        <v>0</v>
      </c>
      <c r="R2565" t="n">
        <v>0</v>
      </c>
      <c r="S2565">
        <f>IFERROR(O2565/N2565,0)</f>
        <v/>
      </c>
      <c r="T2565">
        <f>IF(C2565,((H2565*B2598)/(1+Skills!H10*H2565*B2598)*N2565)*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IF(ArtifactsInput!$M$35,FALSE,TRUE),Inputs!$B$4&lt;&gt;"Chapter Hunt"),CHOOSE(ArtifactsInput!$N$35+1,15,18,21,24,27,30)*(1-EXP(-(0.2*B2588)*5)),0)+IF(AND(ArtifactsInput!$M$22,Inputs!$B$4&lt;&gt;"Chapter Hunt"),CHOOSE(ArtifactsInput!$N$22+1,10,12,14,16,18,20)*((0*(((0.15*B2588*5))^0/1)+1*(((0.15*B2588*5))^1/1)+2*(((0.15*B2588*5))^2/2)+3*(((0.15*B2588*5))^3/6)+4*(((0.15*B2588*5))^4/24)+5*(((0.15*B2588*5))^5/120))/((((0.15*B2588*5))^0/1)+(((0.15*B2588*5))^1/1)+(((0.15*B2588*5))^2/2)+(((0.15*B2588*5))^3/6)+(((0.15*B2588*5))^4/24)+(((0.15*B2588*5))^5/120))),0))+IF(Inputs!$B$3&gt;=54,9*(C2558=TRUE)*MIN(1,8*(1+Inputs!$B$34/100)*Q2558)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2565*(1-MIN(100,(Inputs!$B$9+((C2574=TRUE)*(F2574-Calc!F19))+B2586+(ArtifactsInput!$M$24-ArtifactsInput!$M$24)*CHOOSE(ArtifactsInput!$N$24+1,10,12,14,16,18,20)+(IF(AND(Inputs!$B$38&lt;&gt;"pvp",Inputs!$B$43=0),1,IF(IF(Inputs!$B$38="pvp",15,Inputs!$B$43)-(B2593)&lt;=0,1,MAX(0,IF(Inputs!$B$38="pvp",15,Inputs!$B$43)-MAX(5,B2593))/(IF(Inputs!$B$38="pvp",15,Inputs!$B$43)-(B2593))))*IF(AND(ArtifactsInput!$M$42,((Inputs!$B$9+((C2574=TRUE)*(F2574-Calc!F19))+B2586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2565*(MIN(100,(Inputs!$B$9+((C2574=TRUE)*(F2574-Calc!F19))+B2586+(ArtifactsInput!$M$24-ArtifactsInput!$M$24)*CHOOSE(ArtifactsInput!$N$24+1,10,12,14,16,18,20)+(IF(AND(Inputs!$B$38&lt;&gt;"pvp",Inputs!$B$43=0),1,IF(IF(Inputs!$B$38="pvp",15,Inputs!$B$43)-(B2593)&lt;=0,1,MAX(0,IF(Inputs!$B$38="pvp",15,Inputs!$B$43)-MAX(5,B2593))/(IF(Inputs!$B$38="pvp",15,Inputs!$B$43)-(B2593))))*IF(AND(ArtifactsInput!$M$42,((Inputs!$B$9+((C2574=TRUE)*(F2574-Calc!F19))+B2586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2565*(1-MIN(100,(Inputs!$B$9+((C2574=TRUE)*(F2574-Calc!F19))+B2586+(ArtifactsInput!$M$24-ArtifactsInput!$M$24)*CHOOSE(ArtifactsInput!$N$24+1,10,12,14,16,18,20)+(IF(AND(Inputs!$B$38&lt;&gt;"pvp",Inputs!$B$43=0),1,IF(IF(Inputs!$B$38="pvp",15,Inputs!$B$43)-(B2593)&lt;=0,1,MAX(0,IF(Inputs!$B$38="pvp",15,Inputs!$B$43)-MAX(5,B2593))/(IF(Inputs!$B$38="pvp",15,Inputs!$B$43)-(B2593))))*IF(AND(ArtifactsInput!$M$42,((Inputs!$B$9+((C2574=TRUE)*(F2574-Calc!F19))+B2586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2565*(MIN(100,(Inputs!$B$9+((C2574=TRUE)*(F2574-Calc!F19))+B2586+(ArtifactsInput!$M$24-ArtifactsInput!$M$24)*CHOOSE(ArtifactsInput!$N$24+1,10,12,14,16,18,20)+(IF(AND(Inputs!$B$38&lt;&gt;"pvp",Inputs!$B$43=0),1,IF(IF(Inputs!$B$38="pvp",15,Inputs!$B$43)-(B2593)&lt;=0,1,MAX(0,IF(Inputs!$B$38="pvp",15,Inputs!$B$43)-MAX(5,B2593))/(IF(Inputs!$B$38="pvp",15,Inputs!$B$43)-(B2593))))*IF(AND(ArtifactsInput!$M$42,((Inputs!$B$9+((C2574=TRUE)*(F2574-Calc!F19))+B2586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565">
        <f>IF(C2565,((H2565*B2598)/(1+Skills!H10*H2565*B2598)*N2565)*IF(Inputs!$B$38="pvp",1,(1+(Inputs!$B$21+Skills!Q10+(IF(ArtifactsInput!$M$33,CHOOSE(ArtifactsInput!$N$33+1,30,36,42,48,54,60),0))+(IF(AND(IF(ArtifactsInput!$M$35,FALSE,TRUE),Inputs!$B$4&lt;&gt;"Chapter Hunt"),CHOOSE(ArtifactsInput!$N$35+1,15,18,21,24,27,30)*(1-EXP(-(0.2*B2588)*5)),0)+IF(AND(ArtifactsInput!$M$22,Inputs!$B$4&lt;&gt;"Chapter Hunt"),CHOOSE(ArtifactsInput!$N$22+1,10,12,14,16,18,20)*((0*(((0.15*B2588*5))^0/1)+1*(((0.15*B2588*5))^1/1)+2*(((0.15*B2588*5))^2/2)+3*(((0.15*B2588*5))^3/6)+4*(((0.15*B2588*5))^4/24)+5*(((0.15*B2588*5))^5/120))/((((0.15*B2588*5))^0/1)+(((0.15*B2588*5))^1/1)+(((0.15*B2588*5))^2/2)+(((0.15*B2588*5))^3/6)+(((0.15*B2588*5))^4/24)+(((0.15*B2588*5))^5/120))),0))+IF(Inputs!$B$3&gt;=54,9*(C2558=TRUE)*MIN(1,8*(1+Inputs!$B$34/100)*Q2558),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66">
      <c r="A2566">
        <f>Skills!A11</f>
        <v/>
      </c>
      <c r="B2566">
        <f>Skills!B11</f>
        <v/>
      </c>
      <c r="C2566">
        <f>Inputs!$B$3&gt;=117</f>
        <v/>
      </c>
      <c r="D2566">
        <f>IF(Skills!C11=1,60+Inputs!$B$25+Inputs!$B$29,IF(Skills!C11=2,90+Inputs!$B$26+Inputs!$B$29,IF(Skills!C11=3,120+Inputs!$B$27+Inputs!$B$29,MAX(0,(Inputs!$B$3-100)*3)+Inputs!$B$28+Inputs!$B$29)))</f>
        <v/>
      </c>
      <c r="E2566">
        <f>INDEX(FactorTable!$B$2:$Y$301, MATCH(ROUND(MIN(300,MAX(1,D2566)),0), FactorTable!$A$2:$A$301,0), Skills!M11+1)</f>
        <v/>
      </c>
      <c r="F2566">
        <f>IF(Skills!N11=TRUE,(Skills!L11/10)*(E2566/1000),Skills!L11/10)+Skills!O11</f>
        <v/>
      </c>
      <c r="G2566">
        <f>Skills!G11*IF(Skills!H11&gt;0,INT(IF(Inputs!$B$38="pvp",MIN(Skills!I11,15),Skills!I11)/Skills!H11+0.000000001),1)</f>
        <v/>
      </c>
      <c r="H2566">
        <f>1-(1-Skills!J11/100)^Skills!K11</f>
        <v/>
      </c>
      <c r="I2566" t="inlineStr">
        <is>
          <t>1</t>
        </is>
      </c>
      <c r="J2566">
        <f>((Inputs!$B$6*(1+Inputs!$B$7/100))+(((Inputs!$B$12*(1+Inputs!$B$13/100))-(Inputs!$B$12*(1+Inputs!$B$13/100)))+0.25*(Inputs!$B$14-Inputs!$B$14))*(1+Inputs!$B$7/100))*(F2566/100)</f>
        <v/>
      </c>
      <c r="K2566">
        <f>J2566*(1+((Inputs!$B$12*(1+Inputs!$B$13/100))*0.01+Inputs!$B$14*0.0025)/100)*(1+Inputs!$B$15/100)*(1+Inputs!$B$16/100)*(5000/(6000+Inputs!$B$42*(1-(100*(1-(1-(Inputs!$B$19+0)/100)*(1-CHOOSE(ArtifactsInput!$N$40+1,5,6,7,8,9,10)/100)^(ArtifactsInput!$M$40-ArtifactsInput!$M$40)))/100)))*(1+(Inputs!$B$24+((C2581=TRUE)*(F2581-Calc!F26))+B2592)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IGHT_LEGS_EASTON",Inputs!$B$17+((C2578=TRUE)*(F2578-Calc!F23))+((C2582=TRUE)*(F2582-Calc!F27))+((IF(AND(Inputs!$B$38&lt;&gt;"pvp",Inputs!$B$43=0),1,IF(IF(Inputs!$B$38="pvp",15,Inputs!$B$43)-(B2593)&lt;=0,1,MAX(0,IF(Inputs!$B$38="pvp",15,Inputs!$B$43)-MAX(5,B2593))/(IF(Inputs!$B$38="pvp",15,Inputs!$B$43)-(B2593))))*(IF(AND(ArtifactsInput!$M$42,((Inputs!$B$9+((C2574=TRUE)*(F2574-Calc!F19))+B2586+(ArtifactsInput!$M$24-ArtifactsInput!$M$24)*CHOOSE(ArtifactsInput!$N$24+1,10,12,14,16,18,20)+IF(ArtifactsInput!$M$10,CHOOSE(ArtifactsInput!$N$10+1,15,18,21,24,27,30)*(IF(Inputs!$B$38="pvp",MIN(15,15)/15,IF(AND(Inputs!$B$38&lt;&gt;"pvp",Inputs!$B$43&gt;0),MIN(15,Inputs!$B$43)/(Inputs!$B$43),0))),0)))&gt;=100),MIN(100,((Inputs!$B$9+((C2574=TRUE)*(F2574-Calc!F19))+B2586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2593)&lt;=0,1,MAX(0,IF(Inputs!$B$38="pvp",15,Inputs!$B$43)-MAX(5,B2593))/(IF(Inputs!$B$38="pvp",15,Inputs!$B$43)-(B2593))))*IF(AND(ArtifactsInput!$M$42,((Inputs!$B$9+((C2574=TRUE)*(F2574-Calc!F19))+B2586+(ArtifactsInput!$M$24-ArtifactsInput!$M$24)*CHOOSE(ArtifactsInput!$N$24+1,10,12,14,16,18,20)+IF(ArtifactsInput!$M$10,CHOOSE(ArtifactsInput!$N$10+1,15,18,21,24,27,30)*(IF(Inputs!$B$38="pvp",MIN(15,15)/15,IF(AND(Inputs!$B$38&lt;&gt;"pvp",Inputs!$B$43&gt;0),MIN(15,Inputs!$B$43)/(Inputs!$B$43),0))),0)))&gt;=100),CHOOSE(ArtifactsInput!$N$42+1,40,48,56,64,72,80),0))))/100)*((1+(((C2572=TRUE)*F2572*5/7)+((C2579=TRUE)*(F2579-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2566)</f>
        <v/>
      </c>
      <c r="L2566">
        <f>K2566*(MIN(Inputs!$B$22+((C2577=TRUE)*(F2577-Calc!F22)),(Inputs!$B$23+0+(IF(ArtifactsInput!$M$15,CHOOSE(ArtifactsInput!$N$15+1,25,30,35,40,45,50)/100*(Inputs!$B$11-Inputs!$B$11),0))))/100+(Inputs!$B$23+0+(IF(ArtifactsInput!$M$15,CHOOSE(ArtifactsInput!$N$15+1,25,30,35,40,45,50)/100*(Inputs!$B$11-Inputs!$B$11),0)))/100)/2</f>
        <v/>
      </c>
      <c r="M2566">
        <f>L2566*(1+(Inputs!$B$10+((C2580=TRUE)*(F2580-Calc!F25))+B2591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66">
        <f>L2566*(1-MIN((Inputs!$B$9+((C2574=TRUE)*(F2574-Calc!F19))+B2586+(ArtifactsInput!$M$24-ArtifactsInput!$M$24)*CHOOSE(ArtifactsInput!$N$24+1,10,12,14,16,18,20)+(IF(AND(Inputs!$B$38&lt;&gt;"pvp",Inputs!$B$43=0),1,IF(IF(Inputs!$B$38="pvp",15,Inputs!$B$43)-(B2593)&lt;=0,1,MAX(0,IF(Inputs!$B$38="pvp",15,Inputs!$B$43)-MAX(5,B2593))/(IF(Inputs!$B$38="pvp",15,Inputs!$B$43)-(B2593))))*IF(AND(ArtifactsInput!$M$42,((Inputs!$B$9+((C2574=TRUE)*(F2574-Calc!F19))+B2586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2566*(MIN((Inputs!$B$9+((C2574=TRUE)*(F2574-Calc!F19))+B2586+(ArtifactsInput!$M$24-ArtifactsInput!$M$24)*CHOOSE(ArtifactsInput!$N$24+1,10,12,14,16,18,20)+(IF(AND(Inputs!$B$38&lt;&gt;"pvp",Inputs!$B$43=0),1,IF(IF(Inputs!$B$38="pvp",15,Inputs!$B$43)-(B2593)&lt;=0,1,MAX(0,IF(Inputs!$B$38="pvp",15,Inputs!$B$43)-MAX(5,B2593))/(IF(Inputs!$B$38="pvp",15,Inputs!$B$43)-(B2593))))*IF(AND(ArtifactsInput!$M$42,((Inputs!$B$9+((C2574=TRUE)*(F2574-Calc!F19))+B2586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66">
        <f>(1-Summary!$B$11)*T2566+Summary!$B$11*V2566</f>
        <v/>
      </c>
      <c r="P2566">
        <f>IF(B2596=0,0,O2566/B2596)</f>
        <v/>
      </c>
      <c r="Q2566">
        <f>IFERROR(1/((IF(Inputs!$B$38="pvp",15,MAX(0.1,Skills!D11-IF(TRUE=TRUE,Inputs!$B$32,0)))*(1-IF(AND(ArtifactsInput!$M$27,Inputs!$B$4="Chapter Hunt"),CHOOSE(ArtifactsInput!$N$27+1,20,24,28,32,36,40),0)/100))/B2597),0)</f>
        <v/>
      </c>
      <c r="R2566">
        <f>IF(AND(Inputs!$B$38&lt;&gt;"pvp",Inputs!$B$43&gt;0),IF(MAX(0,Inputs!$B$43-B2593)&lt;=0,0,(INT(MAX(0,Inputs!$B$43-B2593)/((IF(Inputs!$B$38="pvp",15,MAX(0.1,Skills!D11-IF(TRUE=TRUE,Inputs!$B$32,0)))*(1-IF(AND(ArtifactsInput!$M$27,Inputs!$B$4="Chapter Hunt"),CHOOSE(ArtifactsInput!$N$27+1,20,24,28,32,36,40),0)/100))/B2597))+1)),0)</f>
        <v/>
      </c>
      <c r="S2566">
        <f>IFERROR(O2566/N2566,0)</f>
        <v/>
      </c>
      <c r="T2566">
        <f>IF(C2566,(H2566*N2566*IF(AND(Inputs!$B$38&lt;&gt;"pvp",Inputs!$B$43&gt;0),((Skills!G11*((R2566-1)*IF(Skills!H11&gt;0,INT(Skills!I11/Skills!H11+0.000000001),1)+IF(Skills!H11&gt;0,INT(MIN(Skills!I11,MAX(0,MAX(0,Inputs!$B$43-B2593)-((R2566-1)*((IF(Inputs!$B$38="pvp",15,MAX(0.1,Skills!D11-IF(TRUE=TRUE,Inputs!$B$32,0)))*(1-IF(AND(ArtifactsInput!$M$27,Inputs!$B$4="Chapter Hunt"),CHOOSE(ArtifactsInput!$N$27+1,20,24,28,32,36,40),0)/100))/B2597))))/Skills!H11+0.000000001),1)))/Inputs!$B$43),G2566*Q2566))*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IF(ArtifactsInput!$M$35,FALSE,TRUE),Inputs!$B$4&lt;&gt;"Chapter Hunt"),CHOOSE(ArtifactsInput!$N$35+1,15,18,21,24,27,30)*(1-EXP(-(0.2*B2588)*5)),0)+IF(AND(ArtifactsInput!$M$22,Inputs!$B$4&lt;&gt;"Chapter Hunt"),CHOOSE(ArtifactsInput!$N$22+1,10,12,14,16,18,20)*((0*(((0.15*B2588*5))^0/1)+1*(((0.15*B2588*5))^1/1)+2*(((0.15*B2588*5))^2/2)+3*(((0.15*B2588*5))^3/6)+4*(((0.15*B2588*5))^4/24)+5*(((0.15*B2588*5))^5/120))/((((0.15*B2588*5))^0/1)+(((0.15*B2588*5))^1/1)+(((0.15*B2588*5))^2/2)+(((0.15*B2588*5))^3/6)+(((0.15*B2588*5))^4/24)+(((0.15*B2588*5))^5/120))),0))+IF(Inputs!$B$3&gt;=54,9*(C2558=TRUE)*MIN(1,8*(1+Inputs!$B$34/100)*Q2558)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2566*(1-MIN(100,(Inputs!$B$9+((C2574=TRUE)*(F2574-Calc!F19))+B2586+(ArtifactsInput!$M$24-ArtifactsInput!$M$24)*CHOOSE(ArtifactsInput!$N$24+1,10,12,14,16,18,20)+(IF(AND(Inputs!$B$38&lt;&gt;"pvp",Inputs!$B$43=0),1,IF(IF(Inputs!$B$38="pvp",15,Inputs!$B$43)-(B2593)&lt;=0,1,MAX(0,IF(Inputs!$B$38="pvp",15,Inputs!$B$43)-MAX(5,B2593))/(IF(Inputs!$B$38="pvp",15,Inputs!$B$43)-(B2593))))*IF(AND(ArtifactsInput!$M$42,((Inputs!$B$9+((C2574=TRUE)*(F2574-Calc!F19))+B2586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2566*(MIN(100,(Inputs!$B$9+((C2574=TRUE)*(F2574-Calc!F19))+B2586+(ArtifactsInput!$M$24-ArtifactsInput!$M$24)*CHOOSE(ArtifactsInput!$N$24+1,10,12,14,16,18,20)+(IF(AND(Inputs!$B$38&lt;&gt;"pvp",Inputs!$B$43=0),1,IF(IF(Inputs!$B$38="pvp",15,Inputs!$B$43)-(B2593)&lt;=0,1,MAX(0,IF(Inputs!$B$38="pvp",15,Inputs!$B$43)-MAX(5,B2593))/(IF(Inputs!$B$38="pvp",15,Inputs!$B$43)-(B2593))))*IF(AND(ArtifactsInput!$M$42,((Inputs!$B$9+((C2574=TRUE)*(F2574-Calc!F19))+B2586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2566*(1-MIN(100,(Inputs!$B$9+((C2574=TRUE)*(F2574-Calc!F19))+B2586+(ArtifactsInput!$M$24-ArtifactsInput!$M$24)*CHOOSE(ArtifactsInput!$N$24+1,10,12,14,16,18,20)+(IF(AND(Inputs!$B$38&lt;&gt;"pvp",Inputs!$B$43=0),1,IF(IF(Inputs!$B$38="pvp",15,Inputs!$B$43)-(B2593)&lt;=0,1,MAX(0,IF(Inputs!$B$38="pvp",15,Inputs!$B$43)-MAX(5,B2593))/(IF(Inputs!$B$38="pvp",15,Inputs!$B$43)-(B2593))))*IF(AND(ArtifactsInput!$M$42,((Inputs!$B$9+((C2574=TRUE)*(F2574-Calc!F19))+B2586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2566*(MIN(100,(Inputs!$B$9+((C2574=TRUE)*(F2574-Calc!F19))+B2586+(ArtifactsInput!$M$24-ArtifactsInput!$M$24)*CHOOSE(ArtifactsInput!$N$24+1,10,12,14,16,18,20)+(IF(AND(Inputs!$B$38&lt;&gt;"pvp",Inputs!$B$43=0),1,IF(IF(Inputs!$B$38="pvp",15,Inputs!$B$43)-(B2593)&lt;=0,1,MAX(0,IF(Inputs!$B$38="pvp",15,Inputs!$B$43)-MAX(5,B2593))/(IF(Inputs!$B$38="pvp",15,Inputs!$B$43)-(B2593))))*IF(AND(ArtifactsInput!$M$42,((Inputs!$B$9+((C2574=TRUE)*(F2574-Calc!F19))+B2586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566">
        <f>IF(C2566,(H2566*N2566*IF(AND(Inputs!$B$38&lt;&gt;"pvp",Inputs!$B$43&gt;0),((Skills!G11*((R2566-1)*IF(Skills!H11&gt;0,INT(Skills!I11/Skills!H11+0.000000001),1)+IF(Skills!H11&gt;0,INT(MIN(Skills!I11,MAX(0,MAX(0,Inputs!$B$43-B2593)-((R2566-1)*((IF(Inputs!$B$38="pvp",15,MAX(0.1,Skills!D11-IF(TRUE=TRUE,Inputs!$B$32,0)))*(1-IF(AND(ArtifactsInput!$M$27,Inputs!$B$4="Chapter Hunt"),CHOOSE(ArtifactsInput!$N$27+1,20,24,28,32,36,40),0)/100))/B2597))))/Skills!H11+0.000000001),1)))/Inputs!$B$43),G2566*Q2566))*IF(Inputs!$B$38="pvp",1,(1+(Inputs!$B$21+Skills!Q11+(IF(ArtifactsInput!$M$33,CHOOSE(ArtifactsInput!$N$33+1,30,36,42,48,54,60),0))+(IF(AND(IF(ArtifactsInput!$M$35,FALSE,TRUE),Inputs!$B$4&lt;&gt;"Chapter Hunt"),CHOOSE(ArtifactsInput!$N$35+1,15,18,21,24,27,30)*(1-EXP(-(0.2*B2588)*5)),0)+IF(AND(ArtifactsInput!$M$22,Inputs!$B$4&lt;&gt;"Chapter Hunt"),CHOOSE(ArtifactsInput!$N$22+1,10,12,14,16,18,20)*((0*(((0.15*B2588*5))^0/1)+1*(((0.15*B2588*5))^1/1)+2*(((0.15*B2588*5))^2/2)+3*(((0.15*B2588*5))^3/6)+4*(((0.15*B2588*5))^4/24)+5*(((0.15*B2588*5))^5/120))/((((0.15*B2588*5))^0/1)+(((0.15*B2588*5))^1/1)+(((0.15*B2588*5))^2/2)+(((0.15*B2588*5))^3/6)+(((0.15*B2588*5))^4/24)+(((0.15*B2588*5))^5/120))),0))+IF(Inputs!$B$3&gt;=54,9*(C2558=TRUE)*MIN(1,8*(1+Inputs!$B$34/100)*Q2558),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67">
      <c r="A2567">
        <f>Skills!A12</f>
        <v/>
      </c>
      <c r="B2567">
        <f>Skills!B12</f>
        <v/>
      </c>
      <c r="C2567">
        <f>Inputs!$B$3&gt;=110</f>
        <v/>
      </c>
      <c r="D2567">
        <f>IF(Skills!C12=1,60+Inputs!$B$25+Inputs!$B$29,IF(Skills!C12=2,90+Inputs!$B$26+Inputs!$B$29,IF(Skills!C12=3,120+Inputs!$B$27+Inputs!$B$29,MAX(0,(Inputs!$B$3-100)*3)+Inputs!$B$28+Inputs!$B$29)))</f>
        <v/>
      </c>
      <c r="E2567">
        <f>INDEX(FactorTable!$B$2:$Y$301, MATCH(ROUND(MIN(300,MAX(1,D2567)),0), FactorTable!$A$2:$A$301,0), Skills!M12+1)</f>
        <v/>
      </c>
      <c r="F2567">
        <f>IF(Skills!N12=TRUE,(Skills!L12/10)*(E2567/1000),Skills!L12/10)+Skills!O12</f>
        <v/>
      </c>
      <c r="G2567">
        <f>Skills!G12*IF(Skills!H12&gt;0,INT(IF(Inputs!$B$38="pvp",MIN(Skills!I12,15),Skills!I12)/Skills!H12+0.000000001),1)</f>
        <v/>
      </c>
      <c r="H2567">
        <f>1-(1-Skills!J12/100)^Skills!K12</f>
        <v/>
      </c>
      <c r="I2567" t="inlineStr">
        <is>
          <t>1</t>
        </is>
      </c>
      <c r="J2567">
        <f>((Inputs!$B$6*(1+Inputs!$B$7/100))+(((Inputs!$B$12*(1+Inputs!$B$13/100))-(Inputs!$B$12*(1+Inputs!$B$13/100)))+0.25*(Inputs!$B$14-Inputs!$B$14))*(1+Inputs!$B$7/100))*(F2567/100)</f>
        <v/>
      </c>
      <c r="K2567">
        <f>J2567*(1+((Inputs!$B$12*(1+Inputs!$B$13/100))*0.01+Inputs!$B$14*0.0025)/100)*(1+Inputs!$B$15/100)*(1+Inputs!$B$16/100)*(5000/(6000+Inputs!$B$42*(1-(100*(1-(1-(Inputs!$B$19+0)/100)*(1-CHOOSE(ArtifactsInput!$N$40+1,5,6,7,8,9,10)/100)^(ArtifactsInput!$M$40-ArtifactsInput!$M$40)))/100)))*(1+(Inputs!$B$24+((C2581=TRUE)*(F2581-Calc!F26))+B2592)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EIGHT_LEGS_EASTON",Inputs!$B$17+((C2578=TRUE)*(F2578-Calc!F23))+((C2582=TRUE)*(F2582-Calc!F27))+((IF(AND(Inputs!$B$38&lt;&gt;"pvp",Inputs!$B$43=0),1,IF(IF(Inputs!$B$38="pvp",15,Inputs!$B$43)-(B2593)&lt;=0,1,MAX(0,IF(Inputs!$B$38="pvp",15,Inputs!$B$43)-MAX(5,B2593))/(IF(Inputs!$B$38="pvp",15,Inputs!$B$43)-(B2593))))*(IF(AND(ArtifactsInput!$M$42,((Inputs!$B$9+((C2574=TRUE)*(F2574-Calc!F19))+B2586+(ArtifactsInput!$M$24-ArtifactsInput!$M$24)*CHOOSE(ArtifactsInput!$N$24+1,10,12,14,16,18,20)+IF(ArtifactsInput!$M$10,CHOOSE(ArtifactsInput!$N$10+1,15,18,21,24,27,30)*(IF(Inputs!$B$38="pvp",MIN(15,15)/15,IF(AND(Inputs!$B$38&lt;&gt;"pvp",Inputs!$B$43&gt;0),MIN(15,Inputs!$B$43)/(Inputs!$B$43),0))),0)))&gt;=100),MIN(100,((Inputs!$B$9+((C2574=TRUE)*(F2574-Calc!F19))+B2586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2593)&lt;=0,1,MAX(0,IF(Inputs!$B$38="pvp",15,Inputs!$B$43)-MAX(5,B2593))/(IF(Inputs!$B$38="pvp",15,Inputs!$B$43)-(B2593))))*IF(AND(ArtifactsInput!$M$42,((Inputs!$B$9+((C2574=TRUE)*(F2574-Calc!F19))+B2586+(ArtifactsInput!$M$24-ArtifactsInput!$M$24)*CHOOSE(ArtifactsInput!$N$24+1,10,12,14,16,18,20)+IF(ArtifactsInput!$M$10,CHOOSE(ArtifactsInput!$N$10+1,15,18,21,24,27,30)*(IF(Inputs!$B$38="pvp",MIN(15,15)/15,IF(AND(Inputs!$B$38&lt;&gt;"pvp",Inputs!$B$43&gt;0),MIN(15,Inputs!$B$43)/(Inputs!$B$43),0))),0)))&gt;=100),CHOOSE(ArtifactsInput!$N$42+1,40,48,56,64,72,80),0))))/100)*((1+(((C2572=TRUE)*F2572*5/7)+((C2579=TRUE)*(F2579-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2567)</f>
        <v/>
      </c>
      <c r="L2567">
        <f>K2567*(MIN(Inputs!$B$22+((C2577=TRUE)*(F2577-Calc!F22)),(Inputs!$B$23+0+(IF(ArtifactsInput!$M$15,CHOOSE(ArtifactsInput!$N$15+1,25,30,35,40,45,50)/100*(Inputs!$B$11-Inputs!$B$11),0))))/100+(Inputs!$B$23+0+(IF(ArtifactsInput!$M$15,CHOOSE(ArtifactsInput!$N$15+1,25,30,35,40,45,50)/100*(Inputs!$B$11-Inputs!$B$11),0)))/100)/2</f>
        <v/>
      </c>
      <c r="M2567">
        <f>L2567*(1+(Inputs!$B$10+((C2580=TRUE)*(F2580-Calc!F25))+B2591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67">
        <f>L2567*(1-MIN((Inputs!$B$9+((C2574=TRUE)*(F2574-Calc!F19))+B2586+(ArtifactsInput!$M$24-ArtifactsInput!$M$24)*CHOOSE(ArtifactsInput!$N$24+1,10,12,14,16,18,20)+(IF(AND(Inputs!$B$38&lt;&gt;"pvp",Inputs!$B$43=0),1,IF(IF(Inputs!$B$38="pvp",15,Inputs!$B$43)-(B2593)&lt;=0,1,MAX(0,IF(Inputs!$B$38="pvp",15,Inputs!$B$43)-MAX(5,B2593))/(IF(Inputs!$B$38="pvp",15,Inputs!$B$43)-(B2593))))*IF(AND(ArtifactsInput!$M$42,((Inputs!$B$9+((C2574=TRUE)*(F2574-Calc!F19))+B2586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2567*(MIN((Inputs!$B$9+((C2574=TRUE)*(F2574-Calc!F19))+B2586+(ArtifactsInput!$M$24-ArtifactsInput!$M$24)*CHOOSE(ArtifactsInput!$N$24+1,10,12,14,16,18,20)+(IF(AND(Inputs!$B$38&lt;&gt;"pvp",Inputs!$B$43=0),1,IF(IF(Inputs!$B$38="pvp",15,Inputs!$B$43)-(B2593)&lt;=0,1,MAX(0,IF(Inputs!$B$38="pvp",15,Inputs!$B$43)-MAX(5,B2593))/(IF(Inputs!$B$38="pvp",15,Inputs!$B$43)-(B2593))))*IF(AND(ArtifactsInput!$M$42,((Inputs!$B$9+((C2574=TRUE)*(F2574-Calc!F19))+B2586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67">
        <f>(1-Summary!$B$11)*T2567+Summary!$B$11*V2567</f>
        <v/>
      </c>
      <c r="P2567">
        <f>IF(B2596=0,0,O2567/B2596)</f>
        <v/>
      </c>
      <c r="Q2567">
        <f>IFERROR(1/(IF(Inputs!$B$38="pvp",15,MAX(0.1,Skills!D12-IF(TRUE=TRUE,Inputs!$B$32,0)))*(1-IF(AND(ArtifactsInput!$M$27,Inputs!$B$4="Chapter Hunt"),CHOOSE(ArtifactsInput!$N$27+1,20,24,28,32,36,40),0)/100)),0)</f>
        <v/>
      </c>
      <c r="R2567">
        <f>IF(AND(Inputs!$B$38&lt;&gt;"pvp",Inputs!$B$43&gt;0),IF(MAX(0,Inputs!$B$43-B2593)&lt;=0,0,(INT(MAX(0,Inputs!$B$43-B2593)/(IF(Inputs!$B$38="pvp",15,MAX(0.1,Skills!D12-IF(TRUE=TRUE,Inputs!$B$32,0)))*(1-IF(AND(ArtifactsInput!$M$27,Inputs!$B$4="Chapter Hunt"),CHOOSE(ArtifactsInput!$N$27+1,20,24,28,32,36,40),0)/100)))+1)),0)</f>
        <v/>
      </c>
      <c r="S2567">
        <f>IFERROR(O2567/N2567,0)</f>
        <v/>
      </c>
      <c r="T2567">
        <f>IF(C2567,(H2567*N2567*IF(AND(Inputs!$B$38&lt;&gt;"pvp",Inputs!$B$43&gt;0),((Skills!G12*((R2567-1)*IF(Skills!H12&gt;0,INT(Skills!I12/Skills!H12+0.000000001),1)+IF(Skills!H12&gt;0,INT(MIN(Skills!I12,MAX(0,MAX(0,Inputs!$B$43-B2593)-((R2567-1)*(IF(Inputs!$B$38="pvp",15,MAX(0.1,Skills!D12-IF(TRUE=TRUE,Inputs!$B$32,0)))*(1-IF(AND(ArtifactsInput!$M$27,Inputs!$B$4="Chapter Hunt"),CHOOSE(ArtifactsInput!$N$27+1,20,24,28,32,36,40),0)/100)))))/Skills!H12+0.000000001),1)))/Inputs!$B$43),G2567*Q2567))*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IF(ArtifactsInput!$M$35,FALSE,TRUE),Inputs!$B$4&lt;&gt;"Chapter Hunt"),CHOOSE(ArtifactsInput!$N$35+1,15,18,21,24,27,30)*(1-EXP(-(0.2*B2588)*5)),0)+IF(AND(ArtifactsInput!$M$22,Inputs!$B$4&lt;&gt;"Chapter Hunt"),CHOOSE(ArtifactsInput!$N$22+1,10,12,14,16,18,20)*((0*(((0.15*B2588*5))^0/1)+1*(((0.15*B2588*5))^1/1)+2*(((0.15*B2588*5))^2/2)+3*(((0.15*B2588*5))^3/6)+4*(((0.15*B2588*5))^4/24)+5*(((0.15*B2588*5))^5/120))/((((0.15*B2588*5))^0/1)+(((0.15*B2588*5))^1/1)+(((0.15*B2588*5))^2/2)+(((0.15*B2588*5))^3/6)+(((0.15*B2588*5))^4/24)+(((0.15*B2588*5))^5/120))),0))+IF(Inputs!$B$3&gt;=54,9*(C2558=TRUE)*MIN(1,8*(1+Inputs!$B$34/100)*Q2558)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2567*(1-MIN(100,(Inputs!$B$9+((C2574=TRUE)*(F2574-Calc!F19))+B2586+(ArtifactsInput!$M$24-ArtifactsInput!$M$24)*CHOOSE(ArtifactsInput!$N$24+1,10,12,14,16,18,20)+(IF(AND(Inputs!$B$38&lt;&gt;"pvp",Inputs!$B$43=0),1,IF(IF(Inputs!$B$38="pvp",15,Inputs!$B$43)-(B2593)&lt;=0,1,MAX(0,IF(Inputs!$B$38="pvp",15,Inputs!$B$43)-MAX(5,B2593))/(IF(Inputs!$B$38="pvp",15,Inputs!$B$43)-(B2593))))*IF(AND(ArtifactsInput!$M$42,((Inputs!$B$9+((C2574=TRUE)*(F2574-Calc!F19))+B2586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2567*(MIN(100,(Inputs!$B$9+((C2574=TRUE)*(F2574-Calc!F19))+B2586+(ArtifactsInput!$M$24-ArtifactsInput!$M$24)*CHOOSE(ArtifactsInput!$N$24+1,10,12,14,16,18,20)+(IF(AND(Inputs!$B$38&lt;&gt;"pvp",Inputs!$B$43=0),1,IF(IF(Inputs!$B$38="pvp",15,Inputs!$B$43)-(B2593)&lt;=0,1,MAX(0,IF(Inputs!$B$38="pvp",15,Inputs!$B$43)-MAX(5,B2593))/(IF(Inputs!$B$38="pvp",15,Inputs!$B$43)-(B2593))))*IF(AND(ArtifactsInput!$M$42,((Inputs!$B$9+((C2574=TRUE)*(F2574-Calc!F19))+B2586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2567*(1-MIN(100,(Inputs!$B$9+((C2574=TRUE)*(F2574-Calc!F19))+B2586+(ArtifactsInput!$M$24-ArtifactsInput!$M$24)*CHOOSE(ArtifactsInput!$N$24+1,10,12,14,16,18,20)+(IF(AND(Inputs!$B$38&lt;&gt;"pvp",Inputs!$B$43=0),1,IF(IF(Inputs!$B$38="pvp",15,Inputs!$B$43)-(B2593)&lt;=0,1,MAX(0,IF(Inputs!$B$38="pvp",15,Inputs!$B$43)-MAX(5,B2593))/(IF(Inputs!$B$38="pvp",15,Inputs!$B$43)-(B2593))))*IF(AND(ArtifactsInput!$M$42,((Inputs!$B$9+((C2574=TRUE)*(F2574-Calc!F19))+B2586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2567*(MIN(100,(Inputs!$B$9+((C2574=TRUE)*(F2574-Calc!F19))+B2586+(ArtifactsInput!$M$24-ArtifactsInput!$M$24)*CHOOSE(ArtifactsInput!$N$24+1,10,12,14,16,18,20)+(IF(AND(Inputs!$B$38&lt;&gt;"pvp",Inputs!$B$43=0),1,IF(IF(Inputs!$B$38="pvp",15,Inputs!$B$43)-(B2593)&lt;=0,1,MAX(0,IF(Inputs!$B$38="pvp",15,Inputs!$B$43)-MAX(5,B2593))/(IF(Inputs!$B$38="pvp",15,Inputs!$B$43)-(B2593))))*IF(AND(ArtifactsInput!$M$42,((Inputs!$B$9+((C2574=TRUE)*(F2574-Calc!F19))+B2586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567">
        <f>IF(C2567,(H2567*N2567*IF(AND(Inputs!$B$38&lt;&gt;"pvp",Inputs!$B$43&gt;0),((Skills!G12*((R2567-1)*IF(Skills!H12&gt;0,INT(Skills!I12/Skills!H12+0.000000001),1)+IF(Skills!H12&gt;0,INT(MIN(Skills!I12,MAX(0,MAX(0,Inputs!$B$43-B2593)-((R2567-1)*(IF(Inputs!$B$38="pvp",15,MAX(0.1,Skills!D12-IF(TRUE=TRUE,Inputs!$B$32,0)))*(1-IF(AND(ArtifactsInput!$M$27,Inputs!$B$4="Chapter Hunt"),CHOOSE(ArtifactsInput!$N$27+1,20,24,28,32,36,40),0)/100)))))/Skills!H12+0.000000001),1)))/Inputs!$B$43),G2567*Q2567))*IF(Inputs!$B$38="pvp",1,(1+(Inputs!$B$21+Skills!Q12+(IF(ArtifactsInput!$M$33,CHOOSE(ArtifactsInput!$N$33+1,30,36,42,48,54,60),0))+(IF(AND(IF(ArtifactsInput!$M$35,FALSE,TRUE),Inputs!$B$4&lt;&gt;"Chapter Hunt"),CHOOSE(ArtifactsInput!$N$35+1,15,18,21,24,27,30)*(1-EXP(-(0.2*B2588)*5)),0)+IF(AND(ArtifactsInput!$M$22,Inputs!$B$4&lt;&gt;"Chapter Hunt"),CHOOSE(ArtifactsInput!$N$22+1,10,12,14,16,18,20)*((0*(((0.15*B2588*5))^0/1)+1*(((0.15*B2588*5))^1/1)+2*(((0.15*B2588*5))^2/2)+3*(((0.15*B2588*5))^3/6)+4*(((0.15*B2588*5))^4/24)+5*(((0.15*B2588*5))^5/120))/((((0.15*B2588*5))^0/1)+(((0.15*B2588*5))^1/1)+(((0.15*B2588*5))^2/2)+(((0.15*B2588*5))^3/6)+(((0.15*B2588*5))^4/24)+(((0.15*B2588*5))^5/120))),0))+IF(Inputs!$B$3&gt;=54,9*(C2558=TRUE)*MIN(1,8*(1+Inputs!$B$34/100)*Q2558),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68">
      <c r="A2568">
        <f>Skills!A13</f>
        <v/>
      </c>
      <c r="B2568">
        <f>Skills!B13</f>
        <v/>
      </c>
      <c r="C2568">
        <f>Inputs!$B$3&gt;=110</f>
        <v/>
      </c>
      <c r="D2568">
        <f>IF(Skills!C13=1,60+Inputs!$B$25+Inputs!$B$29,IF(Skills!C13=2,90+Inputs!$B$26+Inputs!$B$29,IF(Skills!C13=3,120+Inputs!$B$27+Inputs!$B$29,MAX(0,(Inputs!$B$3-100)*3)+Inputs!$B$28+Inputs!$B$29)))</f>
        <v/>
      </c>
      <c r="E2568">
        <f>INDEX(FactorTable!$B$2:$Y$301, MATCH(ROUND(MIN(300,MAX(1,D2568)),0), FactorTable!$A$2:$A$301,0), Skills!M13+1)</f>
        <v/>
      </c>
      <c r="F2568">
        <f>IF(Skills!N13=TRUE,(Skills!L13/10)*(E2568/1000),Skills!L13/10)+Skills!O13</f>
        <v/>
      </c>
      <c r="G2568">
        <f>Skills!G13*IF(Skills!H13&gt;0,INT(IF(Inputs!$B$38="pvp",MIN(Skills!I13,15),Skills!I13)/Skills!H13+0.000000001),1)</f>
        <v/>
      </c>
      <c r="H2568">
        <f>1-(1-Skills!J13/100)^Skills!K13</f>
        <v/>
      </c>
      <c r="I2568" t="inlineStr">
        <is>
          <t>1</t>
        </is>
      </c>
      <c r="J2568">
        <f>((Inputs!$B$6*(1+Inputs!$B$7/100))+(((Inputs!$B$12*(1+Inputs!$B$13/100))-(Inputs!$B$12*(1+Inputs!$B$13/100)))+0.25*(Inputs!$B$14-Inputs!$B$14))*(1+Inputs!$B$7/100))*(F2568/100)</f>
        <v/>
      </c>
      <c r="K2568">
        <f>J2568*(1+((Inputs!$B$12*(1+Inputs!$B$13/100))*0.01+Inputs!$B$14*0.0025)/100)*(1+Inputs!$B$15/100)*(1+Inputs!$B$16/100)*(5000/(6000+Inputs!$B$42*(1-(100*(1-(1-(Inputs!$B$19+0)/100)*(1-CHOOSE(ArtifactsInput!$N$40+1,5,6,7,8,9,10)/100)^(ArtifactsInput!$M$40-ArtifactsInput!$M$40)))/100)))*(1+(Inputs!$B$24+((C2581=TRUE)*(F2581-Calc!F26))+B2592)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EIGHT_LEGS_EASTON",Inputs!$B$17+((C2578=TRUE)*(F2578-Calc!F23))+((C2582=TRUE)*(F2582-Calc!F27))+((IF(AND(Inputs!$B$38&lt;&gt;"pvp",Inputs!$B$43=0),1,IF(IF(Inputs!$B$38="pvp",15,Inputs!$B$43)-(B2593)&lt;=0,1,MAX(0,IF(Inputs!$B$38="pvp",15,Inputs!$B$43)-MAX(5,B2593))/(IF(Inputs!$B$38="pvp",15,Inputs!$B$43)-(B2593))))*(IF(AND(ArtifactsInput!$M$42,((Inputs!$B$9+((C2574=TRUE)*(F2574-Calc!F19))+B2586+(ArtifactsInput!$M$24-ArtifactsInput!$M$24)*CHOOSE(ArtifactsInput!$N$24+1,10,12,14,16,18,20)+IF(ArtifactsInput!$M$10,CHOOSE(ArtifactsInput!$N$10+1,15,18,21,24,27,30)*(IF(Inputs!$B$38="pvp",MIN(15,15)/15,IF(AND(Inputs!$B$38&lt;&gt;"pvp",Inputs!$B$43&gt;0),MIN(15,Inputs!$B$43)/(Inputs!$B$43),0))),0)))&gt;=100),MIN(100,((Inputs!$B$9+((C2574=TRUE)*(F2574-Calc!F19))+B2586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2593)&lt;=0,1,MAX(0,IF(Inputs!$B$38="pvp",15,Inputs!$B$43)-MAX(5,B2593))/(IF(Inputs!$B$38="pvp",15,Inputs!$B$43)-(B2593))))*IF(AND(ArtifactsInput!$M$42,((Inputs!$B$9+((C2574=TRUE)*(F2574-Calc!F19))+B2586+(ArtifactsInput!$M$24-ArtifactsInput!$M$24)*CHOOSE(ArtifactsInput!$N$24+1,10,12,14,16,18,20)+IF(ArtifactsInput!$M$10,CHOOSE(ArtifactsInput!$N$10+1,15,18,21,24,27,30)*(IF(Inputs!$B$38="pvp",MIN(15,15)/15,IF(AND(Inputs!$B$38&lt;&gt;"pvp",Inputs!$B$43&gt;0),MIN(15,Inputs!$B$43)/(Inputs!$B$43),0))),0)))&gt;=100),CHOOSE(ArtifactsInput!$N$42+1,40,48,56,64,72,80),0))))/100)*((1+(((C2572=TRUE)*F2572*5/7)+((C2579=TRUE)*(F2579-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2568)</f>
        <v/>
      </c>
      <c r="L2568">
        <f>K2568*(MIN(Inputs!$B$22+((C2577=TRUE)*(F2577-Calc!F22)),(Inputs!$B$23+0+(IF(ArtifactsInput!$M$15,CHOOSE(ArtifactsInput!$N$15+1,25,30,35,40,45,50)/100*(Inputs!$B$11-Inputs!$B$11),0))))/100+(Inputs!$B$23+0+(IF(ArtifactsInput!$M$15,CHOOSE(ArtifactsInput!$N$15+1,25,30,35,40,45,50)/100*(Inputs!$B$11-Inputs!$B$11),0)))/100)/2</f>
        <v/>
      </c>
      <c r="M2568">
        <f>L2568*(1+(Inputs!$B$10+((C2580=TRUE)*(F2580-Calc!F25))+B2591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68">
        <f>L2568*(1-MIN((Inputs!$B$9+((C2574=TRUE)*(F2574-Calc!F19))+B2586+(ArtifactsInput!$M$24-ArtifactsInput!$M$24)*CHOOSE(ArtifactsInput!$N$24+1,10,12,14,16,18,20)+(IF(AND(Inputs!$B$38&lt;&gt;"pvp",Inputs!$B$43=0),1,IF(IF(Inputs!$B$38="pvp",15,Inputs!$B$43)-(B2593)&lt;=0,1,MAX(0,IF(Inputs!$B$38="pvp",15,Inputs!$B$43)-MAX(5,B2593))/(IF(Inputs!$B$38="pvp",15,Inputs!$B$43)-(B2593))))*IF(AND(ArtifactsInput!$M$42,((Inputs!$B$9+((C2574=TRUE)*(F2574-Calc!F19))+B2586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2568*(MIN((Inputs!$B$9+((C2574=TRUE)*(F2574-Calc!F19))+B2586+(ArtifactsInput!$M$24-ArtifactsInput!$M$24)*CHOOSE(ArtifactsInput!$N$24+1,10,12,14,16,18,20)+(IF(AND(Inputs!$B$38&lt;&gt;"pvp",Inputs!$B$43=0),1,IF(IF(Inputs!$B$38="pvp",15,Inputs!$B$43)-(B2593)&lt;=0,1,MAX(0,IF(Inputs!$B$38="pvp",15,Inputs!$B$43)-MAX(5,B2593))/(IF(Inputs!$B$38="pvp",15,Inputs!$B$43)-(B2593))))*IF(AND(ArtifactsInput!$M$42,((Inputs!$B$9+((C2574=TRUE)*(F2574-Calc!F19))+B2586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68">
        <f>(1-Summary!$B$11)*T2568+Summary!$B$11*V2568</f>
        <v/>
      </c>
      <c r="P2568">
        <f>IF(B2596=0,0,O2568/B2596)</f>
        <v/>
      </c>
      <c r="Q2568">
        <f>IFERROR(1/(IF(Inputs!$B$38="pvp",15,MAX(0.1,Skills!D13-IF(TRUE=TRUE,Inputs!$B$32,0)))*(1-IF(AND(ArtifactsInput!$M$27,Inputs!$B$4="Chapter Hunt"),CHOOSE(ArtifactsInput!$N$27+1,20,24,28,32,36,40),0)/100)),0)</f>
        <v/>
      </c>
      <c r="R2568">
        <f>IF(AND(Inputs!$B$38&lt;&gt;"pvp",Inputs!$B$43&gt;0),IF(MAX(0,Inputs!$B$43-B2593)&lt;=0,0,(INT(MAX(0,Inputs!$B$43-B2593)/(IF(Inputs!$B$38="pvp",15,MAX(0.1,Skills!D13-IF(TRUE=TRUE,Inputs!$B$32,0)))*(1-IF(AND(ArtifactsInput!$M$27,Inputs!$B$4="Chapter Hunt"),CHOOSE(ArtifactsInput!$N$27+1,20,24,28,32,36,40),0)/100)))+1)),0)</f>
        <v/>
      </c>
      <c r="S2568">
        <f>IFERROR(O2568/N2568,0)</f>
        <v/>
      </c>
      <c r="T2568">
        <f>IF(C2568,(H2568*N2568*IF(AND(Inputs!$B$38&lt;&gt;"pvp",Inputs!$B$43&gt;0),((Skills!G13*((R2568-1)*IF(Skills!H13&gt;0,INT(Skills!I13/Skills!H13+0.000000001),1)+IF(Skills!H13&gt;0,INT(MIN(Skills!I13,MAX(0,MAX(0,Inputs!$B$43-B2593)-((R2568-1)*(IF(Inputs!$B$38="pvp",15,MAX(0.1,Skills!D13-IF(TRUE=TRUE,Inputs!$B$32,0)))*(1-IF(AND(ArtifactsInput!$M$27,Inputs!$B$4="Chapter Hunt"),CHOOSE(ArtifactsInput!$N$27+1,20,24,28,32,36,40),0)/100)))))/Skills!H13+0.000000001),1)))/Inputs!$B$43),G2568*Q2568))*IF(Inputs!$B$38="pvp",1,1+(Inputs!$B$20+0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IF(ArtifactsInput!$M$35,FALSE,TRUE),Inputs!$B$4&lt;&gt;"Chapter Hunt"),CHOOSE(ArtifactsInput!$N$35+1,15,18,21,24,27,30)*(1-EXP(-(0.2*B2588)*5)),0)+IF(AND(ArtifactsInput!$M$22,Inputs!$B$4&lt;&gt;"Chapter Hunt"),CHOOSE(ArtifactsInput!$N$22+1,10,12,14,16,18,20)*((0*(((0.15*B2588*5))^0/1)+1*(((0.15*B2588*5))^1/1)+2*(((0.15*B2588*5))^2/2)+3*(((0.15*B2588*5))^3/6)+4*(((0.15*B2588*5))^4/24)+5*(((0.15*B2588*5))^5/120))/((((0.15*B2588*5))^0/1)+(((0.15*B2588*5))^1/1)+(((0.15*B2588*5))^2/2)+(((0.15*B2588*5))^3/6)+(((0.15*B2588*5))^4/24)+(((0.15*B2588*5))^5/120))),0))+IF(Inputs!$B$3&gt;=54,9*(C2558=TRUE)*MIN(1,8*(1+Inputs!$B$34/100)*Q2558)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2568*(1-MIN(100,(Inputs!$B$9+((C2574=TRUE)*(F2574-Calc!F19))+B2586+(ArtifactsInput!$M$24-ArtifactsInput!$M$24)*CHOOSE(ArtifactsInput!$N$24+1,10,12,14,16,18,20)+(IF(AND(Inputs!$B$38&lt;&gt;"pvp",Inputs!$B$43=0),1,IF(IF(Inputs!$B$38="pvp",15,Inputs!$B$43)-(B2593)&lt;=0,1,MAX(0,IF(Inputs!$B$38="pvp",15,Inputs!$B$43)-MAX(5,B2593))/(IF(Inputs!$B$38="pvp",15,Inputs!$B$43)-(B2593))))*IF(AND(ArtifactsInput!$M$42,((Inputs!$B$9+((C2574=TRUE)*(F2574-Calc!F19))+B2586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2568*(MIN(100,(Inputs!$B$9+((C2574=TRUE)*(F2574-Calc!F19))+B2586+(ArtifactsInput!$M$24-ArtifactsInput!$M$24)*CHOOSE(ArtifactsInput!$N$24+1,10,12,14,16,18,20)+(IF(AND(Inputs!$B$38&lt;&gt;"pvp",Inputs!$B$43=0),1,IF(IF(Inputs!$B$38="pvp",15,Inputs!$B$43)-(B2593)&lt;=0,1,MAX(0,IF(Inputs!$B$38="pvp",15,Inputs!$B$43)-MAX(5,B2593))/(IF(Inputs!$B$38="pvp",15,Inputs!$B$43)-(B2593))))*IF(AND(ArtifactsInput!$M$42,((Inputs!$B$9+((C2574=TRUE)*(F2574-Calc!F19))+B2586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2568*(1-MIN(100,(Inputs!$B$9+((C2574=TRUE)*(F2574-Calc!F19))+B2586+(ArtifactsInput!$M$24-ArtifactsInput!$M$24)*CHOOSE(ArtifactsInput!$N$24+1,10,12,14,16,18,20)+(IF(AND(Inputs!$B$38&lt;&gt;"pvp",Inputs!$B$43=0),1,IF(IF(Inputs!$B$38="pvp",15,Inputs!$B$43)-(B2593)&lt;=0,1,MAX(0,IF(Inputs!$B$38="pvp",15,Inputs!$B$43)-MAX(5,B2593))/(IF(Inputs!$B$38="pvp",15,Inputs!$B$43)-(B2593))))*IF(AND(ArtifactsInput!$M$42,((Inputs!$B$9+((C2574=TRUE)*(F2574-Calc!F19))+B2586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2568*(MIN(100,(Inputs!$B$9+((C2574=TRUE)*(F2574-Calc!F19))+B2586+(ArtifactsInput!$M$24-ArtifactsInput!$M$24)*CHOOSE(ArtifactsInput!$N$24+1,10,12,14,16,18,20)+(IF(AND(Inputs!$B$38&lt;&gt;"pvp",Inputs!$B$43=0),1,IF(IF(Inputs!$B$38="pvp",15,Inputs!$B$43)-(B2593)&lt;=0,1,MAX(0,IF(Inputs!$B$38="pvp",15,Inputs!$B$43)-MAX(5,B2593))/(IF(Inputs!$B$38="pvp",15,Inputs!$B$43)-(B2593))))*IF(AND(ArtifactsInput!$M$42,((Inputs!$B$9+((C2574=TRUE)*(F2574-Calc!F19))+B2586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568">
        <f>IF(C2568,(H2568*N2568*IF(AND(Inputs!$B$38&lt;&gt;"pvp",Inputs!$B$43&gt;0),((Skills!G13*((R2568-1)*IF(Skills!H13&gt;0,INT(Skills!I13/Skills!H13+0.000000001),1)+IF(Skills!H13&gt;0,INT(MIN(Skills!I13,MAX(0,MAX(0,Inputs!$B$43-B2593)-((R2568-1)*(IF(Inputs!$B$38="pvp",15,MAX(0.1,Skills!D13-IF(TRUE=TRUE,Inputs!$B$32,0)))*(1-IF(AND(ArtifactsInput!$M$27,Inputs!$B$4="Chapter Hunt"),CHOOSE(ArtifactsInput!$N$27+1,20,24,28,32,36,40),0)/100)))))/Skills!H13+0.000000001),1)))/Inputs!$B$43),G2568*Q2568))*IF(Inputs!$B$38="pvp",1,(1+(Inputs!$B$21+Skills!Q13+(IF(ArtifactsInput!$M$33,CHOOSE(ArtifactsInput!$N$33+1,30,36,42,48,54,60),0))+(IF(AND(IF(ArtifactsInput!$M$35,FALSE,TRUE),Inputs!$B$4&lt;&gt;"Chapter Hunt"),CHOOSE(ArtifactsInput!$N$35+1,15,18,21,24,27,30)*(1-EXP(-(0.2*B2588)*5)),0)+IF(AND(ArtifactsInput!$M$22,Inputs!$B$4&lt;&gt;"Chapter Hunt"),CHOOSE(ArtifactsInput!$N$22+1,10,12,14,16,18,20)*((0*(((0.15*B2588*5))^0/1)+1*(((0.15*B2588*5))^1/1)+2*(((0.15*B2588*5))^2/2)+3*(((0.15*B2588*5))^3/6)+4*(((0.15*B2588*5))^4/24)+5*(((0.15*B2588*5))^5/120))/((((0.15*B2588*5))^0/1)+(((0.15*B2588*5))^1/1)+(((0.15*B2588*5))^2/2)+(((0.15*B2588*5))^3/6)+(((0.15*B2588*5))^4/24)+(((0.15*B2588*5))^5/120))),0))+IF(Inputs!$B$3&gt;=54,9*(C2558=TRUE)*MIN(1,8*(1+Inputs!$B$34/100)*Q2558),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69">
      <c r="A2569">
        <f>Skills!A14</f>
        <v/>
      </c>
      <c r="B2569">
        <f>Skills!B14</f>
        <v/>
      </c>
      <c r="C2569">
        <f>Inputs!$B$3&gt;=120</f>
        <v/>
      </c>
      <c r="D2569">
        <f>IF(Skills!C14=1,60+Inputs!$B$25+Inputs!$B$29,IF(Skills!C14=2,90+Inputs!$B$26+Inputs!$B$29,IF(Skills!C14=3,120+Inputs!$B$27+Inputs!$B$29,MAX(0,(Inputs!$B$3-100)*3)+Inputs!$B$28+Inputs!$B$29)))</f>
        <v/>
      </c>
      <c r="E2569">
        <f>INDEX(FactorTable!$B$2:$Y$301, MATCH(ROUND(MIN(300,MAX(1,D2569)),0), FactorTable!$A$2:$A$301,0), Skills!M14+1)</f>
        <v/>
      </c>
      <c r="F2569">
        <f>IF(Skills!N14=TRUE,(Skills!L14/10)*(E2569/1000),Skills!L14/10)+Skills!O14</f>
        <v/>
      </c>
      <c r="G2569">
        <f>Skills!G14*IF(Skills!H14&gt;0,INT(IF(Inputs!$B$38="pvp",MIN(Skills!I14,15),Skills!I14)/Skills!H14+0.000000001),1)</f>
        <v/>
      </c>
      <c r="H2569">
        <f>1-(1-Skills!J14/100)^Skills!K14</f>
        <v/>
      </c>
      <c r="I2569" t="inlineStr">
        <is>
          <t>1</t>
        </is>
      </c>
      <c r="J2569">
        <f>((Inputs!$B$6*(1+Inputs!$B$7/100))+(((Inputs!$B$12*(1+Inputs!$B$13/100))-(Inputs!$B$12*(1+Inputs!$B$13/100)))+0.25*(Inputs!$B$14-Inputs!$B$14))*(1+Inputs!$B$7/100))*(F2569/100)</f>
        <v/>
      </c>
      <c r="K2569">
        <f>J2569*(1+((Inputs!$B$12*(1+Inputs!$B$13/100))*0.01+Inputs!$B$14*0.0025)/100)*(1+Inputs!$B$15/100)*(1+Inputs!$B$16/100)*(5000/(6000+Inputs!$B$42*(1-(100*(1-(1-(Inputs!$B$19+0)/100)*(1-CHOOSE(ArtifactsInput!$N$40+1,5,6,7,8,9,10)/100)^(ArtifactsInput!$M$40-ArtifactsInput!$M$40)))/100)))*(1+(Inputs!$B$24+((C2581=TRUE)*(F2581-Calc!F26))+B2592)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EIGHT_LEGS_EASTON",Inputs!$B$17+((C2578=TRUE)*(F2578-Calc!F23))+((C2582=TRUE)*(F2582-Calc!F27))+((IF(AND(Inputs!$B$38&lt;&gt;"pvp",Inputs!$B$43=0),1,IF(IF(Inputs!$B$38="pvp",15,Inputs!$B$43)-(B2593)&lt;=0,1,MAX(0,IF(Inputs!$B$38="pvp",15,Inputs!$B$43)-MAX(5,B2593))/(IF(Inputs!$B$38="pvp",15,Inputs!$B$43)-(B2593))))*(IF(AND(ArtifactsInput!$M$42,((Inputs!$B$9+((C2574=TRUE)*(F2574-Calc!F19))+B2586+(ArtifactsInput!$M$24-ArtifactsInput!$M$24)*CHOOSE(ArtifactsInput!$N$24+1,10,12,14,16,18,20)+IF(ArtifactsInput!$M$10,CHOOSE(ArtifactsInput!$N$10+1,15,18,21,24,27,30)*(IF(Inputs!$B$38="pvp",MIN(15,15)/15,IF(AND(Inputs!$B$38&lt;&gt;"pvp",Inputs!$B$43&gt;0),MIN(15,Inputs!$B$43)/(Inputs!$B$43),0))),0)))&gt;=100),MIN(100,((Inputs!$B$9+((C2574=TRUE)*(F2574-Calc!F19))+B2586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2593)&lt;=0,1,MAX(0,IF(Inputs!$B$38="pvp",15,Inputs!$B$43)-MAX(5,B2593))/(IF(Inputs!$B$38="pvp",15,Inputs!$B$43)-(B2593))))*IF(AND(ArtifactsInput!$M$42,((Inputs!$B$9+((C2574=TRUE)*(F2574-Calc!F19))+B2586+(ArtifactsInput!$M$24-ArtifactsInput!$M$24)*CHOOSE(ArtifactsInput!$N$24+1,10,12,14,16,18,20)+IF(ArtifactsInput!$M$10,CHOOSE(ArtifactsInput!$N$10+1,15,18,21,24,27,30)*(IF(Inputs!$B$38="pvp",MIN(15,15)/15,IF(AND(Inputs!$B$38&lt;&gt;"pvp",Inputs!$B$43&gt;0),MIN(15,Inputs!$B$43)/(Inputs!$B$43),0))),0)))&gt;=100),CHOOSE(ArtifactsInput!$N$42+1,40,48,56,64,72,80),0))))/100)*((1+(((C2572=TRUE)*F2572*5/7)+((C2579=TRUE)*(F2579-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2569)</f>
        <v/>
      </c>
      <c r="L2569">
        <f>K2569*(MIN(Inputs!$B$22+((C2577=TRUE)*(F2577-Calc!F22)),(Inputs!$B$23+0+(IF(ArtifactsInput!$M$15,CHOOSE(ArtifactsInput!$N$15+1,25,30,35,40,45,50)/100*(Inputs!$B$11-Inputs!$B$11),0))))/100+(Inputs!$B$23+0+(IF(ArtifactsInput!$M$15,CHOOSE(ArtifactsInput!$N$15+1,25,30,35,40,45,50)/100*(Inputs!$B$11-Inputs!$B$11),0)))/100)/2</f>
        <v/>
      </c>
      <c r="M2569">
        <f>L2569*(1+(Inputs!$B$10+((C2580=TRUE)*(F2580-Calc!F25))+B2591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69">
        <f>L2569*(1-MIN((Inputs!$B$9+((C2574=TRUE)*(F2574-Calc!F19))+B2586+(ArtifactsInput!$M$24-ArtifactsInput!$M$24)*CHOOSE(ArtifactsInput!$N$24+1,10,12,14,16,18,20)+(IF(AND(Inputs!$B$38&lt;&gt;"pvp",Inputs!$B$43=0),1,IF(IF(Inputs!$B$38="pvp",15,Inputs!$B$43)-(B2593)&lt;=0,1,MAX(0,IF(Inputs!$B$38="pvp",15,Inputs!$B$43)-MAX(5,B2593))/(IF(Inputs!$B$38="pvp",15,Inputs!$B$43)-(B2593))))*IF(AND(ArtifactsInput!$M$42,((Inputs!$B$9+((C2574=TRUE)*(F2574-Calc!F19))+B2586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2569*(MIN((Inputs!$B$9+((C2574=TRUE)*(F2574-Calc!F19))+B2586+(ArtifactsInput!$M$24-ArtifactsInput!$M$24)*CHOOSE(ArtifactsInput!$N$24+1,10,12,14,16,18,20)+(IF(AND(Inputs!$B$38&lt;&gt;"pvp",Inputs!$B$43=0),1,IF(IF(Inputs!$B$38="pvp",15,Inputs!$B$43)-(B2593)&lt;=0,1,MAX(0,IF(Inputs!$B$38="pvp",15,Inputs!$B$43)-MAX(5,B2593))/(IF(Inputs!$B$38="pvp",15,Inputs!$B$43)-(B2593))))*IF(AND(ArtifactsInput!$M$42,((Inputs!$B$9+((C2574=TRUE)*(F2574-Calc!F19))+B2586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69">
        <f>(1-Summary!$B$11)*T2569+Summary!$B$11*V2569</f>
        <v/>
      </c>
      <c r="P2569">
        <f>IF(B2596=0,0,O2569/B2596)</f>
        <v/>
      </c>
      <c r="Q2569" t="n">
        <v>0</v>
      </c>
      <c r="R2569" t="n">
        <v>0</v>
      </c>
      <c r="S2569">
        <f>IFERROR(O2569/N2569,0)</f>
        <v/>
      </c>
      <c r="T2569">
        <f>IF(C2569,((H2569*(B2590+IF(AND(Inputs!$B$38&lt;&gt;"pvp",Inputs!$B$43&gt;0),((Skills!G8*((R2563-1)*IF(Skills!H8&gt;0,INT(Skills!I8/Skills!H8+0.000000001),1)+IF(Skills!H8&gt;0,INT(MIN(Skills!I8,MAX(0,MAX(0,Inputs!$B$43-B2593)-((R2563-1)*((IF(Inputs!$B$38="pvp",15,MAX(0.1,Skills!D8-IF(TRUE=TRUE,Inputs!$B$32,0)))*(1-IF(AND(ArtifactsInput!$M$27,Inputs!$B$4="Chapter Hunt"),CHOOSE(ArtifactsInput!$N$27+1,20,24,28,32,36,40),0)/100))/B2597))))/Skills!H8+0.000000001),1)))/Inputs!$B$43),G2563*Q2563)+IF(AND(Inputs!$B$38&lt;&gt;"pvp",Inputs!$B$43&gt;0),((Skills!G11*((R2566-1)*IF(Skills!H11&gt;0,INT(Skills!I11/Skills!H11+0.000000001),1)+IF(Skills!H11&gt;0,INT(MIN(Skills!I11,MAX(0,MAX(0,Inputs!$B$43-B2593)-((R2566-1)*((IF(Inputs!$B$38="pvp",15,MAX(0.1,Skills!D11-IF(TRUE=TRUE,Inputs!$B$32,0)))*(1-IF(AND(ArtifactsInput!$M$27,Inputs!$B$4="Chapter Hunt"),CHOOSE(ArtifactsInput!$N$27+1,20,24,28,32,36,40),0)/100))/B2597))))/Skills!H11+0.000000001),1)))/Inputs!$B$43),G2566*Q2566)))/(1+Skills!H14*H2569*(B2590+IF(AND(Inputs!$B$38&lt;&gt;"pvp",Inputs!$B$43&gt;0),((Skills!G8*((R2563-1)*IF(Skills!H8&gt;0,INT(Skills!I8/Skills!H8+0.000000001),1)+IF(Skills!H8&gt;0,INT(MIN(Skills!I8,MAX(0,MAX(0,Inputs!$B$43-B2593)-((R2563-1)*((IF(Inputs!$B$38="pvp",15,MAX(0.1,Skills!D8-IF(TRUE=TRUE,Inputs!$B$32,0)))*(1-IF(AND(ArtifactsInput!$M$27,Inputs!$B$4="Chapter Hunt"),CHOOSE(ArtifactsInput!$N$27+1,20,24,28,32,36,40),0)/100))/B2597))))/Skills!H8+0.000000001),1)))/Inputs!$B$43),G2563*Q2563)+IF(AND(Inputs!$B$38&lt;&gt;"pvp",Inputs!$B$43&gt;0),((Skills!G11*((R2566-1)*IF(Skills!H11&gt;0,INT(Skills!I11/Skills!H11+0.000000001),1)+IF(Skills!H11&gt;0,INT(MIN(Skills!I11,MAX(0,MAX(0,Inputs!$B$43-B2593)-((R2566-1)*((IF(Inputs!$B$38="pvp",15,MAX(0.1,Skills!D11-IF(TRUE=TRUE,Inputs!$B$32,0)))*(1-IF(AND(ArtifactsInput!$M$27,Inputs!$B$4="Chapter Hunt"),CHOOSE(ArtifactsInput!$N$27+1,20,24,28,32,36,40),0)/100))/B2597))))/Skills!H11+0.000000001),1)))/Inputs!$B$43),G2566*Q2566)))*N2569)*IF(Inputs!$B$38="pvp",1,1+(Inputs!$B$20+0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IF(ArtifactsInput!$M$35,FALSE,TRUE),Inputs!$B$4&lt;&gt;"Chapter Hunt"),CHOOSE(ArtifactsInput!$N$35+1,15,18,21,24,27,30)*(1-EXP(-(0.2*B2588)*5)),0)+IF(AND(ArtifactsInput!$M$22,Inputs!$B$4&lt;&gt;"Chapter Hunt"),CHOOSE(ArtifactsInput!$N$22+1,10,12,14,16,18,20)*((0*(((0.15*B2588*5))^0/1)+1*(((0.15*B2588*5))^1/1)+2*(((0.15*B2588*5))^2/2)+3*(((0.15*B2588*5))^3/6)+4*(((0.15*B2588*5))^4/24)+5*(((0.15*B2588*5))^5/120))/((((0.15*B2588*5))^0/1)+(((0.15*B2588*5))^1/1)+(((0.15*B2588*5))^2/2)+(((0.15*B2588*5))^3/6)+(((0.15*B2588*5))^4/24)+(((0.15*B2588*5))^5/120))),0))+IF(Inputs!$B$3&gt;=54,9*(C2558=TRUE)*MIN(1,8*(1+Inputs!$B$34/100)*Q2558)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2569*(1-MIN(100,(Inputs!$B$9+((C2574=TRUE)*(F2574-Calc!F19))+B2586+(ArtifactsInput!$M$24-ArtifactsInput!$M$24)*CHOOSE(ArtifactsInput!$N$24+1,10,12,14,16,18,20)+(IF(AND(Inputs!$B$38&lt;&gt;"pvp",Inputs!$B$43=0),1,IF(IF(Inputs!$B$38="pvp",15,Inputs!$B$43)-(B2593)&lt;=0,1,MAX(0,IF(Inputs!$B$38="pvp",15,Inputs!$B$43)-MAX(5,B2593))/(IF(Inputs!$B$38="pvp",15,Inputs!$B$43)-(B2593))))*IF(AND(ArtifactsInput!$M$42,((Inputs!$B$9+((C2574=TRUE)*(F2574-Calc!F19))+B2586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2569*(MIN(100,(Inputs!$B$9+((C2574=TRUE)*(F2574-Calc!F19))+B2586+(ArtifactsInput!$M$24-ArtifactsInput!$M$24)*CHOOSE(ArtifactsInput!$N$24+1,10,12,14,16,18,20)+(IF(AND(Inputs!$B$38&lt;&gt;"pvp",Inputs!$B$43=0),1,IF(IF(Inputs!$B$38="pvp",15,Inputs!$B$43)-(B2593)&lt;=0,1,MAX(0,IF(Inputs!$B$38="pvp",15,Inputs!$B$43)-MAX(5,B2593))/(IF(Inputs!$B$38="pvp",15,Inputs!$B$43)-(B2593))))*IF(AND(ArtifactsInput!$M$42,((Inputs!$B$9+((C2574=TRUE)*(F2574-Calc!F19))+B2586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2569*(1-MIN(100,(Inputs!$B$9+((C2574=TRUE)*(F2574-Calc!F19))+B2586+(ArtifactsInput!$M$24-ArtifactsInput!$M$24)*CHOOSE(ArtifactsInput!$N$24+1,10,12,14,16,18,20)+(IF(AND(Inputs!$B$38&lt;&gt;"pvp",Inputs!$B$43=0),1,IF(IF(Inputs!$B$38="pvp",15,Inputs!$B$43)-(B2593)&lt;=0,1,MAX(0,IF(Inputs!$B$38="pvp",15,Inputs!$B$43)-MAX(5,B2593))/(IF(Inputs!$B$38="pvp",15,Inputs!$B$43)-(B2593))))*IF(AND(ArtifactsInput!$M$42,((Inputs!$B$9+((C2574=TRUE)*(F2574-Calc!F19))+B2586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2569*(MIN(100,(Inputs!$B$9+((C2574=TRUE)*(F2574-Calc!F19))+B2586+(ArtifactsInput!$M$24-ArtifactsInput!$M$24)*CHOOSE(ArtifactsInput!$N$24+1,10,12,14,16,18,20)+(IF(AND(Inputs!$B$38&lt;&gt;"pvp",Inputs!$B$43=0),1,IF(IF(Inputs!$B$38="pvp",15,Inputs!$B$43)-(B2593)&lt;=0,1,MAX(0,IF(Inputs!$B$38="pvp",15,Inputs!$B$43)-MAX(5,B2593))/(IF(Inputs!$B$38="pvp",15,Inputs!$B$43)-(B2593))))*IF(AND(ArtifactsInput!$M$42,((Inputs!$B$9+((C2574=TRUE)*(F2574-Calc!F19))+B2586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569">
        <f>IF(C2569,((H2569*(B2590+IF(AND(Inputs!$B$38&lt;&gt;"pvp",Inputs!$B$43&gt;0),((Skills!G8*((R2563-1)*IF(Skills!H8&gt;0,INT(Skills!I8/Skills!H8+0.000000001),1)+IF(Skills!H8&gt;0,INT(MIN(Skills!I8,MAX(0,MAX(0,Inputs!$B$43-B2593)-((R2563-1)*((IF(Inputs!$B$38="pvp",15,MAX(0.1,Skills!D8-IF(TRUE=TRUE,Inputs!$B$32,0)))*(1-IF(AND(ArtifactsInput!$M$27,Inputs!$B$4="Chapter Hunt"),CHOOSE(ArtifactsInput!$N$27+1,20,24,28,32,36,40),0)/100))/B2597))))/Skills!H8+0.000000001),1)))/Inputs!$B$43),G2563*Q2563)+IF(AND(Inputs!$B$38&lt;&gt;"pvp",Inputs!$B$43&gt;0),((Skills!G11*((R2566-1)*IF(Skills!H11&gt;0,INT(Skills!I11/Skills!H11+0.000000001),1)+IF(Skills!H11&gt;0,INT(MIN(Skills!I11,MAX(0,MAX(0,Inputs!$B$43-B2593)-((R2566-1)*((IF(Inputs!$B$38="pvp",15,MAX(0.1,Skills!D11-IF(TRUE=TRUE,Inputs!$B$32,0)))*(1-IF(AND(ArtifactsInput!$M$27,Inputs!$B$4="Chapter Hunt"),CHOOSE(ArtifactsInput!$N$27+1,20,24,28,32,36,40),0)/100))/B2597))))/Skills!H11+0.000000001),1)))/Inputs!$B$43),G2566*Q2566)))/(1+Skills!H14*H2569*(B2590+IF(AND(Inputs!$B$38&lt;&gt;"pvp",Inputs!$B$43&gt;0),((Skills!G8*((R2563-1)*IF(Skills!H8&gt;0,INT(Skills!I8/Skills!H8+0.000000001),1)+IF(Skills!H8&gt;0,INT(MIN(Skills!I8,MAX(0,MAX(0,Inputs!$B$43-B2593)-((R2563-1)*((IF(Inputs!$B$38="pvp",15,MAX(0.1,Skills!D8-IF(TRUE=TRUE,Inputs!$B$32,0)))*(1-IF(AND(ArtifactsInput!$M$27,Inputs!$B$4="Chapter Hunt"),CHOOSE(ArtifactsInput!$N$27+1,20,24,28,32,36,40),0)/100))/B2597))))/Skills!H8+0.000000001),1)))/Inputs!$B$43),G2563*Q2563)+IF(AND(Inputs!$B$38&lt;&gt;"pvp",Inputs!$B$43&gt;0),((Skills!G11*((R2566-1)*IF(Skills!H11&gt;0,INT(Skills!I11/Skills!H11+0.000000001),1)+IF(Skills!H11&gt;0,INT(MIN(Skills!I11,MAX(0,MAX(0,Inputs!$B$43-B2593)-((R2566-1)*((IF(Inputs!$B$38="pvp",15,MAX(0.1,Skills!D11-IF(TRUE=TRUE,Inputs!$B$32,0)))*(1-IF(AND(ArtifactsInput!$M$27,Inputs!$B$4="Chapter Hunt"),CHOOSE(ArtifactsInput!$N$27+1,20,24,28,32,36,40),0)/100))/B2597))))/Skills!H11+0.000000001),1)))/Inputs!$B$43),G2566*Q2566)))*N2569)*IF(Inputs!$B$38="pvp",1,(1+(Inputs!$B$21+Skills!Q14+(IF(ArtifactsInput!$M$33,CHOOSE(ArtifactsInput!$N$33+1,30,36,42,48,54,60),0))+(IF(AND(IF(ArtifactsInput!$M$35,FALSE,TRUE),Inputs!$B$4&lt;&gt;"Chapter Hunt"),CHOOSE(ArtifactsInput!$N$35+1,15,18,21,24,27,30)*(1-EXP(-(0.2*B2588)*5)),0)+IF(AND(ArtifactsInput!$M$22,Inputs!$B$4&lt;&gt;"Chapter Hunt"),CHOOSE(ArtifactsInput!$N$22+1,10,12,14,16,18,20)*((0*(((0.15*B2588*5))^0/1)+1*(((0.15*B2588*5))^1/1)+2*(((0.15*B2588*5))^2/2)+3*(((0.15*B2588*5))^3/6)+4*(((0.15*B2588*5))^4/24)+5*(((0.15*B2588*5))^5/120))/((((0.15*B2588*5))^0/1)+(((0.15*B2588*5))^1/1)+(((0.15*B2588*5))^2/2)+(((0.15*B2588*5))^3/6)+(((0.15*B2588*5))^4/24)+(((0.15*B2588*5))^5/120))),0))+IF(Inputs!$B$3&gt;=54,9*(C2558=TRUE)*MIN(1,8*(1+Inputs!$B$34/100)*Q2558),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70">
      <c r="A2570">
        <f>Skills!A15</f>
        <v/>
      </c>
      <c r="B2570">
        <f>Skills!B15</f>
        <v/>
      </c>
      <c r="C2570">
        <f>Inputs!$B$3&gt;=100</f>
        <v/>
      </c>
      <c r="D2570">
        <f>IF(Skills!C15=1,60+Inputs!$B$25+Inputs!$B$29,IF(Skills!C15=2,90+Inputs!$B$26+Inputs!$B$29,IF(Skills!C15=3,120+Inputs!$B$27+Inputs!$B$29,MAX(0,(Inputs!$B$3-100)*3)+Inputs!$B$28+Inputs!$B$29)))</f>
        <v/>
      </c>
      <c r="E2570">
        <f>INDEX(FactorTable!$B$2:$Y$301, MATCH(ROUND(MIN(300,MAX(1,D2570)),0), FactorTable!$A$2:$A$301,0), Skills!M15+1)</f>
        <v/>
      </c>
      <c r="F2570">
        <f>IF(Skills!N15=TRUE,(Skills!L15/10)*(E2570/1000),Skills!L15/10)+Skills!O15</f>
        <v/>
      </c>
      <c r="G2570" t="inlineStr"/>
      <c r="H2570" t="inlineStr"/>
      <c r="I2570" t="inlineStr">
        <is>
          <t>1</t>
        </is>
      </c>
      <c r="J2570" t="inlineStr"/>
      <c r="K2570" t="inlineStr"/>
      <c r="L2570" t="inlineStr"/>
      <c r="M2570" t="inlineStr"/>
      <c r="N2570" t="inlineStr"/>
      <c r="O2570" t="inlineStr"/>
      <c r="P2570" t="inlineStr"/>
      <c r="Q2570" t="inlineStr"/>
      <c r="R2570" t="inlineStr"/>
      <c r="S2570" t="inlineStr"/>
    </row>
    <row r="2571">
      <c r="A2571">
        <f>Skills!A16</f>
        <v/>
      </c>
      <c r="B2571">
        <f>Skills!B16</f>
        <v/>
      </c>
      <c r="C2571">
        <f>Inputs!$B$3&gt;=107</f>
        <v/>
      </c>
      <c r="D2571">
        <f>IF(Skills!C16=1,60+Inputs!$B$25+Inputs!$B$29,IF(Skills!C16=2,90+Inputs!$B$26+Inputs!$B$29,IF(Skills!C16=3,120+Inputs!$B$27+Inputs!$B$29,MAX(0,(Inputs!$B$3-100)*3)+Inputs!$B$28+Inputs!$B$29)))</f>
        <v/>
      </c>
      <c r="E2571">
        <f>INDEX(FactorTable!$B$2:$Y$301, MATCH(ROUND(MIN(300,MAX(1,D2571)),0), FactorTable!$A$2:$A$301,0), Skills!M16+1)</f>
        <v/>
      </c>
      <c r="F2571">
        <f>IF(Skills!N16=TRUE,(Skills!L16/10)*(E2571/1000),Skills!L16/10)+Skills!O16</f>
        <v/>
      </c>
      <c r="G2571" t="inlineStr"/>
      <c r="H2571" t="inlineStr"/>
      <c r="I2571" t="inlineStr">
        <is>
          <t>1</t>
        </is>
      </c>
      <c r="J2571" t="inlineStr"/>
      <c r="K2571" t="inlineStr"/>
      <c r="L2571" t="inlineStr"/>
      <c r="M2571" t="inlineStr"/>
      <c r="N2571" t="inlineStr"/>
      <c r="O2571" t="inlineStr"/>
      <c r="P2571" t="inlineStr"/>
      <c r="Q2571" t="inlineStr"/>
      <c r="R2571" t="inlineStr"/>
      <c r="S2571" t="inlineStr"/>
    </row>
    <row r="2572">
      <c r="A2572">
        <f>Skills!A17</f>
        <v/>
      </c>
      <c r="B2572">
        <f>Skills!B17</f>
        <v/>
      </c>
      <c r="C2572">
        <f>Inputs!$B$3&gt;=74</f>
        <v/>
      </c>
      <c r="D2572">
        <f>IF(Skills!C17=1,60+Inputs!$B$25+Inputs!$B$29,IF(Skills!C17=2,90+Inputs!$B$26+Inputs!$B$29,IF(Skills!C17=3,120+Inputs!$B$27+Inputs!$B$29,MAX(0,(Inputs!$B$3-100)*3)+Inputs!$B$28+Inputs!$B$29)))</f>
        <v/>
      </c>
      <c r="E2572">
        <f>INDEX(FactorTable!$B$2:$Y$301, MATCH(ROUND(MIN(300,MAX(1,D2572)),0), FactorTable!$A$2:$A$301,0), Skills!M17+1)</f>
        <v/>
      </c>
      <c r="F2572">
        <f>IF(Skills!N17=TRUE,(Skills!L17/10)*(E2572/1000),Skills!L17/10)+Skills!O17</f>
        <v/>
      </c>
      <c r="G2572">
        <f>Skills!G17*IF(Skills!H17&gt;0,INT(IF(Inputs!$B$38="pvp",MIN(Skills!I17,15),Skills!I17)/Skills!H17+0.000000001),1)</f>
        <v/>
      </c>
      <c r="H2572">
        <f>1-(1-Skills!J17/100)^Skills!K17</f>
        <v/>
      </c>
      <c r="I2572" t="inlineStr">
        <is>
          <t>1</t>
        </is>
      </c>
      <c r="J2572" t="inlineStr"/>
      <c r="K2572" t="inlineStr"/>
      <c r="L2572" t="inlineStr"/>
      <c r="M2572" t="inlineStr"/>
      <c r="N2572" t="inlineStr"/>
      <c r="O2572">
        <f>(1-Summary!$B$11)*T2572+Summary!$B$11*V2572</f>
        <v/>
      </c>
      <c r="P2572">
        <f>IF(B2596=0,0,O2572/B2596)</f>
        <v/>
      </c>
      <c r="Q2572" t="n">
        <v>0</v>
      </c>
      <c r="R2572" t="n">
        <v>0</v>
      </c>
      <c r="S2572">
        <f>IFERROR(O2572/N2572,0)</f>
        <v/>
      </c>
      <c r="T2572" t="n">
        <v>0</v>
      </c>
      <c r="V2572" t="n">
        <v>0</v>
      </c>
    </row>
    <row r="2573">
      <c r="A2573">
        <f>Skills!A18</f>
        <v/>
      </c>
      <c r="B2573">
        <f>Skills!B18</f>
        <v/>
      </c>
      <c r="C2573">
        <f>Inputs!$B$3&gt;=115</f>
        <v/>
      </c>
      <c r="D2573">
        <f>IF(Skills!C18=1,60+Inputs!$B$25+Inputs!$B$29,IF(Skills!C18=2,90+Inputs!$B$26+Inputs!$B$29,IF(Skills!C18=3,120+Inputs!$B$27+Inputs!$B$29,MAX(0,(Inputs!$B$3-100)*3)+Inputs!$B$28+Inputs!$B$29)))</f>
        <v/>
      </c>
      <c r="E2573">
        <f>INDEX(FactorTable!$B$2:$Y$301, MATCH(ROUND(MIN(300,MAX(1,D2573)),0), FactorTable!$A$2:$A$301,0), Skills!M18+1)</f>
        <v/>
      </c>
      <c r="F2573">
        <f>IF(Skills!N18=TRUE,(Skills!L18/10)*(E2573/1000),Skills!L18/10)+Skills!O18</f>
        <v/>
      </c>
      <c r="G2573">
        <f>Skills!G18*IF(Skills!H18&gt;0,INT(IF(Inputs!$B$38="pvp",MIN(Skills!I18,15),Skills!I18)/Skills!H18+0.000000001),1)</f>
        <v/>
      </c>
      <c r="H2573">
        <f>1-(1-Skills!J18/100)^Skills!K18</f>
        <v/>
      </c>
      <c r="I2573" t="inlineStr">
        <is>
          <t>1</t>
        </is>
      </c>
      <c r="J2573" t="inlineStr"/>
      <c r="K2573" t="inlineStr"/>
      <c r="L2573" t="inlineStr"/>
      <c r="M2573" t="inlineStr"/>
      <c r="N2573" t="inlineStr"/>
      <c r="O2573">
        <f>(1-Summary!$B$11)*T2573+Summary!$B$11*V2573</f>
        <v/>
      </c>
      <c r="P2573">
        <f>IF(B2596=0,0,O2573/B2596)</f>
        <v/>
      </c>
      <c r="Q2573">
        <f>IFERROR(1/(IF(Inputs!$B$38="pvp",15,MAX(0.1,Skills!D18-IF(TRUE=TRUE,Inputs!$B$32,0)))*(1-IF(AND(ArtifactsInput!$M$27,Inputs!$B$4="Chapter Hunt"),CHOOSE(ArtifactsInput!$N$27+1,20,24,28,32,36,40),0)/100)),0)</f>
        <v/>
      </c>
      <c r="R2573">
        <f>IF(AND(Inputs!$B$38&lt;&gt;"pvp",Inputs!$B$43&gt;0),IF(Inputs!$B$43&lt;=0,0,(INT(Inputs!$B$43/(IF(Inputs!$B$38="pvp",15,MAX(0.1,Skills!D18-IF(TRUE=TRUE,Inputs!$B$32,0)))*(1-IF(AND(ArtifactsInput!$M$27,Inputs!$B$4="Chapter Hunt"),CHOOSE(ArtifactsInput!$N$27+1,20,24,28,32,36,40),0)/100)))+1)),0)</f>
        <v/>
      </c>
      <c r="S2573">
        <f>IFERROR(O2573/N2573,0)</f>
        <v/>
      </c>
      <c r="T2573" t="n">
        <v>0</v>
      </c>
      <c r="V2573" t="n">
        <v>0</v>
      </c>
    </row>
    <row r="2574">
      <c r="A2574">
        <f>Skills!A19</f>
        <v/>
      </c>
      <c r="B2574">
        <f>Skills!B19</f>
        <v/>
      </c>
      <c r="C2574">
        <f>Inputs!$B$3&gt;=10</f>
        <v/>
      </c>
      <c r="D2574">
        <f>IF(Skills!C19=1,60+Inputs!$B$25+Inputs!$B$29,IF(Skills!C19=2,90+Inputs!$B$26+Inputs!$B$29,IF(Skills!C19=3,120+Inputs!$B$27+Inputs!$B$29,MAX(0,(Inputs!$B$3-100)*3)+Inputs!$B$28+Inputs!$B$29)))</f>
        <v/>
      </c>
      <c r="E2574">
        <f>INDEX(FactorTable!$B$2:$Y$301, MATCH(ROUND(MIN(300,MAX(1,D2574)),0), FactorTable!$A$2:$A$301,0), Skills!M19+1)</f>
        <v/>
      </c>
      <c r="F2574">
        <f>IF(Skills!N19=TRUE,(Skills!L19/10)*(E2574/1000),Skills!L19/10)+Skills!O19</f>
        <v/>
      </c>
      <c r="G2574">
        <f>Skills!G19*IF(Skills!H19&gt;0,INT(IF(Inputs!$B$38="pvp",MIN(Skills!I19,15),Skills!I19)/Skills!H19+0.000000001),1)</f>
        <v/>
      </c>
      <c r="H2574">
        <f>1-(1-Skills!J19/100)^Skills!K19</f>
        <v/>
      </c>
      <c r="I2574" t="inlineStr">
        <is>
          <t>1</t>
        </is>
      </c>
      <c r="J2574" t="inlineStr"/>
      <c r="K2574" t="inlineStr"/>
      <c r="L2574" t="inlineStr"/>
      <c r="M2574" t="inlineStr"/>
      <c r="N2574" t="inlineStr"/>
      <c r="O2574">
        <f>(1-Summary!$B$11)*T2574+Summary!$B$11*V2574</f>
        <v/>
      </c>
      <c r="P2574">
        <f>IF(B2596=0,0,O2574/B2596)</f>
        <v/>
      </c>
      <c r="Q2574" t="n">
        <v>0</v>
      </c>
      <c r="R2574" t="n">
        <v>0</v>
      </c>
      <c r="S2574">
        <f>IFERROR(O2574/N2574,0)</f>
        <v/>
      </c>
      <c r="T2574" t="n">
        <v>0</v>
      </c>
      <c r="V2574" t="n">
        <v>0</v>
      </c>
    </row>
    <row r="2575">
      <c r="A2575">
        <f>Skills!A20</f>
        <v/>
      </c>
      <c r="B2575">
        <f>Skills!B20</f>
        <v/>
      </c>
      <c r="C2575">
        <f>Inputs!$B$3&gt;=15</f>
        <v/>
      </c>
      <c r="D2575">
        <f>IF(Skills!C20=1,60+Inputs!$B$25+Inputs!$B$29,IF(Skills!C20=2,90+Inputs!$B$26+Inputs!$B$29,IF(Skills!C20=3,120+Inputs!$B$27+Inputs!$B$29,MAX(0,(Inputs!$B$3-100)*3)+Inputs!$B$28+Inputs!$B$29)))</f>
        <v/>
      </c>
      <c r="E2575">
        <f>INDEX(FactorTable!$B$2:$Y$301, MATCH(ROUND(MIN(300,MAX(1,D2575)),0), FactorTable!$A$2:$A$301,0), Skills!M20+1)</f>
        <v/>
      </c>
      <c r="F2575">
        <f>IF(Skills!N20=TRUE,(Skills!L20/10)*(E2575/1000),Skills!L20/10)+Skills!O20</f>
        <v/>
      </c>
      <c r="G2575">
        <f>Skills!G20*IF(Skills!H20&gt;0,INT(IF(Inputs!$B$38="pvp",MIN(Skills!I20,15),Skills!I20)/Skills!H20+0.000000001),1)</f>
        <v/>
      </c>
      <c r="H2575">
        <f>1-(1-Skills!J20/100)^Skills!K20</f>
        <v/>
      </c>
      <c r="I2575" t="inlineStr">
        <is>
          <t>1</t>
        </is>
      </c>
      <c r="J2575" t="inlineStr"/>
      <c r="K2575" t="inlineStr"/>
      <c r="L2575" t="inlineStr"/>
      <c r="M2575" t="inlineStr"/>
      <c r="N2575" t="inlineStr"/>
      <c r="O2575">
        <f>(1-Summary!$B$11)*T2575+Summary!$B$11*V2575</f>
        <v/>
      </c>
      <c r="P2575">
        <f>IF(B2596=0,0,O2575/B2596)</f>
        <v/>
      </c>
      <c r="Q2575" t="n">
        <v>0</v>
      </c>
      <c r="R2575" t="n">
        <v>0</v>
      </c>
      <c r="S2575">
        <f>IFERROR(O2575/N2575,0)</f>
        <v/>
      </c>
      <c r="T2575" t="n">
        <v>0</v>
      </c>
      <c r="V2575" t="n">
        <v>0</v>
      </c>
    </row>
    <row r="2576">
      <c r="A2576">
        <f>Skills!A21</f>
        <v/>
      </c>
      <c r="B2576">
        <f>Skills!B21</f>
        <v/>
      </c>
      <c r="C2576">
        <f>Inputs!$B$3&gt;=40</f>
        <v/>
      </c>
      <c r="D2576">
        <f>IF(Skills!C21=1,60+Inputs!$B$25+Inputs!$B$29,IF(Skills!C21=2,90+Inputs!$B$26+Inputs!$B$29,IF(Skills!C21=3,120+Inputs!$B$27+Inputs!$B$29,MAX(0,(Inputs!$B$3-100)*3)+Inputs!$B$28+Inputs!$B$29)))</f>
        <v/>
      </c>
      <c r="E2576">
        <f>INDEX(FactorTable!$B$2:$Y$301, MATCH(ROUND(MIN(300,MAX(1,D2576)),0), FactorTable!$A$2:$A$301,0), Skills!M21+1)</f>
        <v/>
      </c>
      <c r="F2576">
        <f>IF(Skills!N21=TRUE,(Skills!L21/10)*(E2576/1000),Skills!L21/10)+Skills!O21</f>
        <v/>
      </c>
      <c r="G2576">
        <f>Skills!G21*IF(Skills!H21&gt;0,INT(IF(Inputs!$B$38="pvp",MIN(Skills!I21,15),Skills!I21)/Skills!H21+0.000000001),1)</f>
        <v/>
      </c>
      <c r="H2576">
        <f>1-(1-Skills!J21/100)^Skills!K21</f>
        <v/>
      </c>
      <c r="I2576" t="inlineStr">
        <is>
          <t>1</t>
        </is>
      </c>
      <c r="J2576" t="inlineStr"/>
      <c r="K2576" t="inlineStr"/>
      <c r="L2576" t="inlineStr"/>
      <c r="M2576" t="inlineStr"/>
      <c r="N2576" t="inlineStr"/>
      <c r="O2576">
        <f>(1-Summary!$B$11)*T2576+Summary!$B$11*V2576</f>
        <v/>
      </c>
      <c r="P2576">
        <f>IF(B2596=0,0,O2576/B2596)</f>
        <v/>
      </c>
      <c r="Q2576" t="n">
        <v>0</v>
      </c>
      <c r="R2576" t="n">
        <v>0</v>
      </c>
      <c r="S2576">
        <f>IFERROR(O2576/N2576,0)</f>
        <v/>
      </c>
      <c r="T2576" t="n">
        <v>0</v>
      </c>
      <c r="V2576" t="n">
        <v>0</v>
      </c>
    </row>
    <row r="2577">
      <c r="A2577">
        <f>Skills!A22</f>
        <v/>
      </c>
      <c r="B2577">
        <f>Skills!B22</f>
        <v/>
      </c>
      <c r="C2577">
        <f>Inputs!$B$3&gt;=43</f>
        <v/>
      </c>
      <c r="D2577">
        <f>IF(Skills!C22=1,60+Inputs!$B$25+Inputs!$B$29,IF(Skills!C22=2,90+Inputs!$B$26+Inputs!$B$29,IF(Skills!C22=3,120+Inputs!$B$27+Inputs!$B$29,MAX(0,(Inputs!$B$3-100)*3)+Inputs!$B$28+Inputs!$B$29)))</f>
        <v/>
      </c>
      <c r="E2577">
        <f>INDEX(FactorTable!$B$2:$Y$301, MATCH(ROUND(MIN(300,MAX(1,D2577)),0), FactorTable!$A$2:$A$301,0), Skills!M22+1)</f>
        <v/>
      </c>
      <c r="F2577">
        <f>IF(Skills!N22=TRUE,(Skills!L22/10)*(E2577/1000),Skills!L22/10)+Skills!O22</f>
        <v/>
      </c>
      <c r="G2577">
        <f>Skills!G22*IF(Skills!H22&gt;0,INT(IF(Inputs!$B$38="pvp",MIN(Skills!I22,15),Skills!I22)/Skills!H22+0.000000001),1)</f>
        <v/>
      </c>
      <c r="H2577">
        <f>1-(1-Skills!J22/100)^Skills!K22</f>
        <v/>
      </c>
      <c r="I2577" t="inlineStr">
        <is>
          <t>1</t>
        </is>
      </c>
      <c r="J2577" t="inlineStr"/>
      <c r="K2577" t="inlineStr"/>
      <c r="L2577" t="inlineStr"/>
      <c r="M2577" t="inlineStr"/>
      <c r="N2577" t="inlineStr"/>
      <c r="O2577">
        <f>(1-Summary!$B$11)*T2577+Summary!$B$11*V2577</f>
        <v/>
      </c>
      <c r="P2577">
        <f>IF(B2596=0,0,O2577/B2596)</f>
        <v/>
      </c>
      <c r="Q2577" t="n">
        <v>0</v>
      </c>
      <c r="R2577" t="n">
        <v>0</v>
      </c>
      <c r="S2577">
        <f>IFERROR(O2577/N2577,0)</f>
        <v/>
      </c>
      <c r="T2577" t="n">
        <v>0</v>
      </c>
      <c r="V2577" t="n">
        <v>0</v>
      </c>
    </row>
    <row r="2578">
      <c r="A2578">
        <f>Skills!A23</f>
        <v/>
      </c>
      <c r="B2578">
        <f>Skills!B23</f>
        <v/>
      </c>
      <c r="C2578">
        <f>Inputs!$B$3&gt;=38</f>
        <v/>
      </c>
      <c r="D2578">
        <f>IF(Skills!C23=1,60+Inputs!$B$25+Inputs!$B$29,IF(Skills!C23=2,90+Inputs!$B$26+Inputs!$B$29,IF(Skills!C23=3,120+Inputs!$B$27+Inputs!$B$29,MAX(0,(Inputs!$B$3-100)*3)+Inputs!$B$28+Inputs!$B$29)))</f>
        <v/>
      </c>
      <c r="E2578">
        <f>INDEX(FactorTable!$B$2:$Y$301, MATCH(ROUND(MIN(300,MAX(1,D2578)),0), FactorTable!$A$2:$A$301,0), Skills!M23+1)</f>
        <v/>
      </c>
      <c r="F2578">
        <f>IF(Skills!N23=TRUE,(Skills!L23/10)*(E2578/1000),Skills!L23/10)+Skills!O23</f>
        <v/>
      </c>
      <c r="G2578">
        <f>Skills!G23*IF(Skills!H23&gt;0,INT(IF(Inputs!$B$38="pvp",MIN(Skills!I23,15),Skills!I23)/Skills!H23+0.000000001),1)</f>
        <v/>
      </c>
      <c r="H2578">
        <f>1-(1-Skills!J23/100)^Skills!K23</f>
        <v/>
      </c>
      <c r="I2578" t="inlineStr">
        <is>
          <t>1</t>
        </is>
      </c>
      <c r="J2578" t="inlineStr"/>
      <c r="K2578" t="inlineStr"/>
      <c r="L2578" t="inlineStr"/>
      <c r="M2578" t="inlineStr"/>
      <c r="N2578" t="inlineStr"/>
      <c r="O2578">
        <f>(1-Summary!$B$11)*T2578+Summary!$B$11*V2578</f>
        <v/>
      </c>
      <c r="P2578">
        <f>IF(B2596=0,0,O2578/B2596)</f>
        <v/>
      </c>
      <c r="Q2578" t="n">
        <v>0</v>
      </c>
      <c r="R2578" t="n">
        <v>0</v>
      </c>
      <c r="S2578">
        <f>IFERROR(O2578/N2578,0)</f>
        <v/>
      </c>
      <c r="T2578" t="n">
        <v>0</v>
      </c>
      <c r="V2578" t="n">
        <v>0</v>
      </c>
    </row>
    <row r="2579">
      <c r="A2579">
        <f>Skills!A24</f>
        <v/>
      </c>
      <c r="B2579">
        <f>Skills!B24</f>
        <v/>
      </c>
      <c r="C2579">
        <f>Inputs!$B$3&gt;=45</f>
        <v/>
      </c>
      <c r="D2579">
        <f>IF(Skills!C24=1,60+Inputs!$B$25+Inputs!$B$29,IF(Skills!C24=2,90+Inputs!$B$26+Inputs!$B$29,IF(Skills!C24=3,120+Inputs!$B$27+Inputs!$B$29,MAX(0,(Inputs!$B$3-100)*3)+Inputs!$B$28+Inputs!$B$29)))</f>
        <v/>
      </c>
      <c r="E2579">
        <f>INDEX(FactorTable!$B$2:$Y$301, MATCH(ROUND(MIN(300,MAX(1,D2579)),0), FactorTable!$A$2:$A$301,0), Skills!M24+1)</f>
        <v/>
      </c>
      <c r="F2579">
        <f>IF(Skills!N24=TRUE,(Skills!L24/10)*(E2579/1000),Skills!L24/10)+Skills!O24</f>
        <v/>
      </c>
      <c r="G2579">
        <f>Skills!G24*IF(Skills!H24&gt;0,INT(IF(Inputs!$B$38="pvp",MIN(Skills!I24,15),Skills!I24)/Skills!H24+0.000000001),1)</f>
        <v/>
      </c>
      <c r="H2579">
        <f>1-(1-Skills!J24/100)^Skills!K24</f>
        <v/>
      </c>
      <c r="I2579" t="inlineStr">
        <is>
          <t>1</t>
        </is>
      </c>
      <c r="J2579" t="inlineStr"/>
      <c r="K2579" t="inlineStr"/>
      <c r="L2579" t="inlineStr"/>
      <c r="M2579" t="inlineStr"/>
      <c r="N2579" t="inlineStr"/>
      <c r="O2579">
        <f>(1-Summary!$B$11)*T2579+Summary!$B$11*V2579</f>
        <v/>
      </c>
      <c r="P2579">
        <f>IF(B2596=0,0,O2579/B2596)</f>
        <v/>
      </c>
      <c r="Q2579" t="n">
        <v>0</v>
      </c>
      <c r="R2579" t="n">
        <v>0</v>
      </c>
      <c r="S2579">
        <f>IFERROR(O2579/N2579,0)</f>
        <v/>
      </c>
      <c r="T2579" t="n">
        <v>0</v>
      </c>
      <c r="V2579" t="n">
        <v>0</v>
      </c>
    </row>
    <row r="2580">
      <c r="A2580">
        <f>Skills!A25</f>
        <v/>
      </c>
      <c r="B2580">
        <f>Skills!B25</f>
        <v/>
      </c>
      <c r="C2580">
        <f>Inputs!$B$3&gt;=72</f>
        <v/>
      </c>
      <c r="D2580">
        <f>IF(Skills!C25=1,60+Inputs!$B$25+Inputs!$B$29,IF(Skills!C25=2,90+Inputs!$B$26+Inputs!$B$29,IF(Skills!C25=3,120+Inputs!$B$27+Inputs!$B$29,MAX(0,(Inputs!$B$3-100)*3)+Inputs!$B$28+Inputs!$B$29)))</f>
        <v/>
      </c>
      <c r="E2580">
        <f>INDEX(FactorTable!$B$2:$Y$301, MATCH(ROUND(MIN(300,MAX(1,D2580)),0), FactorTable!$A$2:$A$301,0), Skills!M25+1)</f>
        <v/>
      </c>
      <c r="F2580">
        <f>IF(Skills!N25=TRUE,(Skills!L25/10)*(E2580/1000),Skills!L25/10)+Skills!O25</f>
        <v/>
      </c>
      <c r="G2580">
        <f>Skills!G25*IF(Skills!H25&gt;0,INT(IF(Inputs!$B$38="pvp",MIN(Skills!I25,15),Skills!I25)/Skills!H25+0.000000001),1)</f>
        <v/>
      </c>
      <c r="H2580">
        <f>1-(1-Skills!J25/100)^Skills!K25</f>
        <v/>
      </c>
      <c r="I2580" t="inlineStr">
        <is>
          <t>1</t>
        </is>
      </c>
      <c r="J2580" t="inlineStr"/>
      <c r="K2580" t="inlineStr"/>
      <c r="L2580" t="inlineStr"/>
      <c r="M2580" t="inlineStr"/>
      <c r="N2580" t="inlineStr"/>
      <c r="O2580">
        <f>(1-Summary!$B$11)*T2580+Summary!$B$11*V2580</f>
        <v/>
      </c>
      <c r="P2580">
        <f>IF(B2596=0,0,O2580/B2596)</f>
        <v/>
      </c>
      <c r="Q2580" t="n">
        <v>0</v>
      </c>
      <c r="R2580" t="n">
        <v>0</v>
      </c>
      <c r="S2580">
        <f>IFERROR(O2580/N2580,0)</f>
        <v/>
      </c>
      <c r="T2580" t="n">
        <v>0</v>
      </c>
      <c r="V2580" t="n">
        <v>0</v>
      </c>
    </row>
    <row r="2581">
      <c r="A2581">
        <f>Skills!A26</f>
        <v/>
      </c>
      <c r="B2581">
        <f>Skills!B26</f>
        <v/>
      </c>
      <c r="C2581">
        <f>Inputs!$B$3&gt;=75</f>
        <v/>
      </c>
      <c r="D2581">
        <f>IF(Skills!C26=1,60+Inputs!$B$25+Inputs!$B$29,IF(Skills!C26=2,90+Inputs!$B$26+Inputs!$B$29,IF(Skills!C26=3,120+Inputs!$B$27+Inputs!$B$29,MAX(0,(Inputs!$B$3-100)*3)+Inputs!$B$28+Inputs!$B$29)))</f>
        <v/>
      </c>
      <c r="E2581">
        <f>INDEX(FactorTable!$B$2:$Y$301, MATCH(ROUND(MIN(300,MAX(1,D2581)),0), FactorTable!$A$2:$A$301,0), Skills!M26+1)</f>
        <v/>
      </c>
      <c r="F2581">
        <f>IF(Skills!N26=TRUE,(Skills!L26/10)*(E2581/1000),Skills!L26/10)+Skills!O26</f>
        <v/>
      </c>
      <c r="G2581">
        <f>Skills!G26*IF(Skills!H26&gt;0,INT(IF(Inputs!$B$38="pvp",MIN(Skills!I26,15),Skills!I26)/Skills!H26+0.000000001),1)</f>
        <v/>
      </c>
      <c r="H2581">
        <f>1-(1-Skills!J26/100)^Skills!K26</f>
        <v/>
      </c>
      <c r="I2581" t="inlineStr">
        <is>
          <t>1</t>
        </is>
      </c>
      <c r="J2581" t="inlineStr"/>
      <c r="K2581" t="inlineStr"/>
      <c r="L2581" t="inlineStr"/>
      <c r="M2581" t="inlineStr"/>
      <c r="N2581" t="inlineStr"/>
      <c r="O2581">
        <f>(1-Summary!$B$11)*T2581+Summary!$B$11*V2581</f>
        <v/>
      </c>
      <c r="P2581">
        <f>IF(B2596=0,0,O2581/B2596)</f>
        <v/>
      </c>
      <c r="Q2581" t="n">
        <v>0</v>
      </c>
      <c r="R2581" t="n">
        <v>0</v>
      </c>
      <c r="S2581">
        <f>IFERROR(O2581/N2581,0)</f>
        <v/>
      </c>
      <c r="T2581" t="n">
        <v>0</v>
      </c>
      <c r="V2581" t="n">
        <v>0</v>
      </c>
    </row>
    <row r="2582">
      <c r="A2582">
        <f>Skills!A27</f>
        <v/>
      </c>
      <c r="B2582">
        <f>Skills!B27</f>
        <v/>
      </c>
      <c r="C2582">
        <f>Inputs!$B$3&gt;=125</f>
        <v/>
      </c>
      <c r="D2582">
        <f>IF(Skills!C27=1,60+Inputs!$B$25+Inputs!$B$29,IF(Skills!C27=2,90+Inputs!$B$26+Inputs!$B$29,IF(Skills!C27=3,120+Inputs!$B$27+Inputs!$B$29,MAX(0,(Inputs!$B$3-100)*3)+Inputs!$B$28+Inputs!$B$29)))</f>
        <v/>
      </c>
      <c r="E2582">
        <f>INDEX(FactorTable!$B$2:$Y$301, MATCH(ROUND(MIN(300,MAX(1,D2582)),0), FactorTable!$A$2:$A$301,0), Skills!M27+1)</f>
        <v/>
      </c>
      <c r="F2582">
        <f>IF(Skills!N27=TRUE,(Skills!L27/10)*(E2582/1000),Skills!L27/10)+Skills!O27</f>
        <v/>
      </c>
      <c r="G2582">
        <f>Skills!G27*IF(Skills!H27&gt;0,INT(IF(Inputs!$B$38="pvp",MIN(Skills!I27,15),Skills!I27)/Skills!H27+0.000000001),1)</f>
        <v/>
      </c>
      <c r="H2582">
        <f>1-(1-Skills!J27/100)^Skills!K27</f>
        <v/>
      </c>
      <c r="I2582" t="inlineStr">
        <is>
          <t>1</t>
        </is>
      </c>
      <c r="J2582" t="inlineStr"/>
      <c r="K2582" t="inlineStr"/>
      <c r="L2582" t="inlineStr"/>
      <c r="M2582" t="inlineStr"/>
      <c r="N2582" t="inlineStr"/>
      <c r="O2582">
        <f>(1-Summary!$B$11)*T2582+Summary!$B$11*V2582</f>
        <v/>
      </c>
      <c r="P2582">
        <f>IF(B2596=0,0,O2582/B2596)</f>
        <v/>
      </c>
      <c r="Q2582" t="n">
        <v>0</v>
      </c>
      <c r="R2582" t="n">
        <v>0</v>
      </c>
      <c r="S2582">
        <f>IFERROR(O2582/N2582,0)</f>
        <v/>
      </c>
      <c r="T2582" t="n">
        <v>0</v>
      </c>
      <c r="V2582" t="n">
        <v>0</v>
      </c>
    </row>
    <row r="2583">
      <c r="A2583">
        <f>Skills!A28</f>
        <v/>
      </c>
      <c r="B2583">
        <f>Skills!B28</f>
        <v/>
      </c>
      <c r="C2583">
        <f>TRUE</f>
        <v/>
      </c>
      <c r="D2583">
        <f>IF(Skills!C28=1,60+Inputs!$B$25+Inputs!$B$29,IF(Skills!C28=2,90+Inputs!$B$26+Inputs!$B$29,IF(Skills!C28=3,120+Inputs!$B$27+Inputs!$B$29,MAX(0,(Inputs!$B$3-100)*3)+Inputs!$B$28+Inputs!$B$29)))</f>
        <v/>
      </c>
      <c r="E2583">
        <f>INDEX(FactorTable!$B$2:$Y$301, MATCH(ROUND(MIN(300,MAX(1,D2583)),0), FactorTable!$A$2:$A$301,0), Skills!M28+1)</f>
        <v/>
      </c>
      <c r="F2583">
        <f>IF(Skills!N28=TRUE,(Skills!L28/10)*(E2583/1000),Skills!L28/10)+Skills!O28</f>
        <v/>
      </c>
      <c r="G2583">
        <f>Skills!G28*IF(Skills!H28&gt;0,INT(IF(Inputs!$B$38="pvp",MIN(Skills!I28,15),Skills!I28)/Skills!H28+0.000000001),1)</f>
        <v/>
      </c>
      <c r="H2583">
        <f>1-(1-Skills!J28/100)^Skills!K28</f>
        <v/>
      </c>
      <c r="I2583" t="inlineStr">
        <is>
          <t>1</t>
        </is>
      </c>
      <c r="J2583" t="inlineStr"/>
      <c r="K2583" t="inlineStr"/>
      <c r="L2583" t="inlineStr"/>
      <c r="M2583" t="inlineStr"/>
      <c r="N2583" t="inlineStr"/>
      <c r="O2583">
        <f>(1-Summary!$B$11)*T2583+Summary!$B$11*V2583</f>
        <v/>
      </c>
      <c r="P2583">
        <f>IF(B2596=0,0,O2583/B2596)</f>
        <v/>
      </c>
      <c r="Q2583">
        <f>IFERROR(1/(IF(Inputs!$B$38="pvp",15,MAX(0.1,Skills!D28-IF(TRUE=TRUE,Inputs!$B$32,0)))*(1-IF(AND(ArtifactsInput!$M$27,Inputs!$B$4="Chapter Hunt"),CHOOSE(ArtifactsInput!$N$27+1,20,24,28,32,36,40),0)/100)),0)</f>
        <v/>
      </c>
      <c r="R2583">
        <f>IF(AND(Inputs!$B$38&lt;&gt;"pvp",Inputs!$B$43&gt;0),IF(Inputs!$B$43&lt;=0,0,(INT(Inputs!$B$43/(IF(Inputs!$B$38="pvp",15,MAX(0.1,Skills!D28-IF(TRUE=TRUE,Inputs!$B$32,0)))*(1-IF(AND(ArtifactsInput!$M$27,Inputs!$B$4="Chapter Hunt"),CHOOSE(ArtifactsInput!$N$27+1,20,24,28,32,36,40),0)/100)))+1)),0)</f>
        <v/>
      </c>
      <c r="S2583">
        <f>IFERROR(O2583/N2583,0)</f>
        <v/>
      </c>
      <c r="T2583" t="n">
        <v>0</v>
      </c>
      <c r="V2583" t="n">
        <v>0</v>
      </c>
    </row>
    <row r="2585">
      <c r="A2585" t="inlineStr">
        <is>
          <t>Attack% Bucket Multiplier</t>
        </is>
      </c>
      <c r="B2585">
        <f>(1+(((C2572=TRUE)*F2572*5/7)+((C2579=TRUE)*(F2579-Calc!F24))+(IF(ArtifactsInput!$M$21,CHOOSE(ArtifactsInput!$N$21+1,25,30,35,40,45,50)*(IF(OR(Inputs!$B$4="Chapter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586">
      <c r="A2586" t="inlineStr">
        <is>
          <t>Global Crit Rate Bonus %</t>
        </is>
      </c>
      <c r="B2586" t="n">
        <v>0</v>
      </c>
    </row>
    <row r="2587">
      <c r="A2587" t="inlineStr">
        <is>
          <t>Attack Speed Buff Bonus % (Nimble Feet, duty-cycle averaged)</t>
        </is>
      </c>
      <c r="B2587">
        <f>((C2583=TRUE)*F2583*IF(AND(Inputs!$B$38&lt;&gt;"pvp",Inputs!$B$43&gt;0),(((R2583-1)*MIN((Skills!T28*(1+Inputs!$B$34/100)),(1/Q2583))+MIN((Skills!T28*(1+Inputs!$B$34/100)),MAX(0,Inputs!$B$43-((R2583-1)*(1/Q2583)))))/Inputs!$B$43),IF(Inputs!$B$38="pvp",MIN((Skills!T28*(1+Inputs!$B$34/100)),15)/15,MIN(1,(Skills!T28*(1+Inputs!$B$34/100))/(1/Q2583)))))</f>
        <v/>
      </c>
    </row>
    <row r="2588">
      <c r="A2588" t="inlineStr">
        <is>
          <t>Actions Per Second</t>
        </is>
      </c>
      <c r="B2588">
        <f>1+MIN(150,150*(1-(1-(Inputs!$B$11+((C2575=TRUE)*(F2575-Calc!F20))+((C2576=TRUE)*(F2576-Calc!F21)))/150)*(1-B2587/150)))/100</f>
        <v/>
      </c>
    </row>
    <row r="2589">
      <c r="A2589" t="inlineStr">
        <is>
          <t>Skill + Buff Cast Rate</t>
        </is>
      </c>
      <c r="B2589">
        <f>IF(AND(Inputs!$B$38&lt;&gt;"pvp",Inputs!$B$43&gt;0),SUMPRODUCT((Skills!E2:E28=TRUE)*(C2557:C2583=TRUE)*R2557:R2583*Skills!F2:F28)/Inputs!$B$43,SUMPRODUCT((Skills!E2:E28=TRUE)*(C2557:C2583=TRUE)*Q2557:Q2583*Skills!F2:F28))</f>
        <v/>
      </c>
    </row>
    <row r="2590">
      <c r="A2590" t="inlineStr">
        <is>
          <t>Eight-Legs Easton Casts Per Second</t>
        </is>
      </c>
      <c r="B2590">
        <f>MAX(0,B2588-B2589)</f>
        <v/>
      </c>
    </row>
    <row r="2591">
      <c r="A2591" t="inlineStr">
        <is>
          <t>Global Critical Damage Bonus % (unused)</t>
        </is>
      </c>
      <c r="B2591" t="n">
        <v>0</v>
      </c>
    </row>
    <row r="2592">
      <c r="A2592" t="inlineStr">
        <is>
          <t>Global Final Damage Bonus % (Jolly Roger + Ahoy Mateys - Final Damage proc)</t>
        </is>
      </c>
      <c r="B2592">
        <f>((C2573=TRUE)*F2573*IF(AND(Inputs!$B$38&lt;&gt;"pvp",Inputs!$B$43&gt;0),(((R2573-1)*MIN((Skills!T18*(1+Inputs!$B$34/100)),(1/Q2573))+MIN((Skills!T18*(1+Inputs!$B$34/100)),MAX(0,Inputs!$B$43-((R2573-1)*(1/Q2573)))))/Inputs!$B$43),IF(Inputs!$B$38="pvp",MIN((Skills!T18*(1+Inputs!$B$34/100)),15)/15,MIN(1,(Skills!T18*(1+Inputs!$B$34/100))/(1/Q2573)))))+IF(Inputs!$B$3&gt;=122,20*IF(Inputs!$B$38="pvp",MIN((20*(1+Inputs!$B$34/100)),15)/15,MIN(1,(20*(1+Inputs!$B$34/100))/(1/Q2559))),0)</f>
        <v/>
      </c>
    </row>
    <row r="2593">
      <c r="A2593" t="inlineStr">
        <is>
          <t>Buff-Casting Startup Delay (s, fixed-duration only)</t>
        </is>
      </c>
      <c r="B2593">
        <f>IF(AND(Inputs!$B$38&lt;&gt;"pvp",Inputs!$B$43&gt;0),SUMPRODUCT((Skills!T2:T28&gt;0)*(Skills!E2:E28=TRUE)*(C2557:C2583=TRUE))/B2588,0)</f>
        <v/>
      </c>
    </row>
    <row r="2594">
      <c r="A2594" t="inlineStr">
        <is>
          <t>Boss-Only Total DPS (this block's swept value)</t>
        </is>
      </c>
      <c r="B2594">
        <f>SUM(T2557:T2583)</f>
        <v/>
      </c>
    </row>
    <row r="2595">
      <c r="A2595" t="inlineStr">
        <is>
          <t>Normal-Only Total DPS (this block's swept value)</t>
        </is>
      </c>
      <c r="B2595">
        <f>SUM(V2557:V2583)</f>
        <v/>
      </c>
    </row>
    <row r="2596">
      <c r="A2596" s="6" t="inlineStr">
        <is>
          <t>TOTAL DPS</t>
        </is>
      </c>
      <c r="B2596" s="6">
        <f>SUM(O2557:O2583)</f>
        <v/>
      </c>
    </row>
    <row r="2597">
      <c r="A2597" t="inlineStr">
        <is>
          <t>Quickdraw cooldown divisor (this block's own APS / Q)</t>
        </is>
      </c>
      <c r="B2597">
        <f>IF(AND(C2582=TRUE,Inputs!$B$38&lt;&gt;"pvp"),1+0.25*MAX(0,(B2588-(((C2558=TRUE)*Q2558*1)+((C2559=TRUE)*Q2559*1)+((C2561=TRUE)*Q2561*1)+((C2562=TRUE)*Q2562*1)+((C2564=TRUE)*Q2564*1)+((C2567=TRUE)*Q2567*1)+((C2573=TRUE)*Q2573*1)+((C2583=TRUE)*Q2583*1))-((C2563=TRUE)/(IF(Inputs!$B$38="pvp",15,MAX(0.1,Skills!D8-IF(TRUE=TRUE,Inputs!$B$32,0)))*(1-IF(AND(ArtifactsInput!$M$27,Inputs!$B$4="Chapter Hunt"),CHOOSE(ArtifactsInput!$N$27+1,20,24,28,32,36,40),0)/100))+(C2566=TRUE)/(IF(Inputs!$B$38="pvp",15,MAX(0.1,Skills!D11-IF(TRUE=TRUE,Inputs!$B$32,0)))*(1-IF(AND(ArtifactsInput!$M$27,Inputs!$B$4="Chapter Hunt"),CHOOSE(ArtifactsInput!$N$27+1,20,24,28,32,36,40),0)/100))))/(1+0.25*((C2563=TRUE)/(IF(Inputs!$B$38="pvp",15,MAX(0.1,Skills!D8-IF(TRUE=TRUE,Inputs!$B$32,0)))*(1-IF(AND(ArtifactsInput!$M$27,Inputs!$B$4="Chapter Hunt"),CHOOSE(ArtifactsInput!$N$27+1,20,24,28,32,36,40),0)/100))+(C2566=TRUE)/(IF(Inputs!$B$38="pvp",15,MAX(0.1,Skills!D11-IF(TRUE=TRUE,Inputs!$B$32,0)))*(1-IF(AND(ArtifactsInput!$M$27,Inputs!$B$4="Chapter Hunt"),CHOOSE(ArtifactsInput!$N$27+1,20,24,28,32,36,40),0)/100))))),1)</f>
        <v/>
      </c>
    </row>
    <row r="2598">
      <c r="A2598" t="inlineStr">
        <is>
          <t>Nautilus Strike - Final Attack trigger rate (this block's own Q/R)</t>
        </is>
      </c>
      <c r="B2598">
        <f>IF(AND(Inputs!$B$38&lt;&gt;"pvp",Inputs!$B$43&gt;0),(((C2558=TRUE)*R2558)+((C2561=TRUE)*R2561)+((C2563=TRUE)*R2563)+((C2564=TRUE)*R2564)+((C2566=TRUE)*R2566))/Inputs!$B$43,((C2558=TRUE)*Q2558)+((C2561=TRUE)*Q2561)+((C2563=TRUE)*Q2563)+((C2564=TRUE)*Q2564)+((C2566=TRUE)*Q2566))+B2590</f>
        <v/>
      </c>
    </row>
    <row r="2601">
      <c r="A2601" s="6" t="inlineStr">
        <is>
          <t>Stat: Candle (Equip)</t>
        </is>
      </c>
    </row>
    <row r="2602">
      <c r="A2602" s="5" t="inlineStr">
        <is>
          <t>Key</t>
        </is>
      </c>
      <c r="B2602" s="5" t="inlineStr">
        <is>
          <t>Name</t>
        </is>
      </c>
      <c r="C2602" s="5" t="inlineStr">
        <is>
          <t>Unlocked</t>
        </is>
      </c>
      <c r="D2602" s="5" t="inlineStr">
        <is>
          <t>InputLevel</t>
        </is>
      </c>
      <c r="E2602" s="5" t="inlineStr">
        <is>
          <t>Factor</t>
        </is>
      </c>
      <c r="F2602" s="5" t="inlineStr">
        <is>
          <t>CoefficientPercent</t>
        </is>
      </c>
      <c r="G2602" s="5" t="inlineStr">
        <is>
          <t>EffectiveHits</t>
        </is>
      </c>
      <c r="H2602" s="5" t="inlineStr">
        <is>
          <t>ProcProbability</t>
        </is>
      </c>
      <c r="I2602" s="5" t="inlineStr">
        <is>
          <t>MapleHeroMultiplier</t>
        </is>
      </c>
      <c r="J2602" s="5" t="inlineStr">
        <is>
          <t>BaseDamage</t>
        </is>
      </c>
      <c r="K2602" s="5" t="inlineStr">
        <is>
          <t>BaseHitDamage</t>
        </is>
      </c>
      <c r="L2602" s="5" t="inlineStr">
        <is>
          <t>NonCritAvg</t>
        </is>
      </c>
      <c r="M2602" s="5" t="inlineStr">
        <is>
          <t>CritAvg</t>
        </is>
      </c>
      <c r="N2602" s="5" t="inlineStr">
        <is>
          <t>ExpectedDamage(perHit)</t>
        </is>
      </c>
      <c r="O2602" s="5" t="inlineStr">
        <is>
          <t>DPS</t>
        </is>
      </c>
      <c r="P2602" s="5" t="inlineStr">
        <is>
          <t>% of Total</t>
        </is>
      </c>
      <c r="Q2602" s="5" t="inlineStr">
        <is>
          <t>InvCooldown</t>
        </is>
      </c>
      <c r="R2602" s="5" t="inlineStr">
        <is>
          <t>CastsInFight</t>
        </is>
      </c>
      <c r="S2602" s="5" t="inlineStr">
        <is>
          <t>HitRate(perSec)</t>
        </is>
      </c>
      <c r="U2602" t="inlineStr">
        <is>
          <t>helpers</t>
        </is>
      </c>
    </row>
    <row r="2603">
      <c r="A2603">
        <f>Skills!A2</f>
        <v/>
      </c>
      <c r="B2603">
        <f>Skills!B2</f>
        <v/>
      </c>
      <c r="C2603">
        <f>Inputs!$B$3&gt;=100</f>
        <v/>
      </c>
      <c r="D2603" t="inlineStr"/>
      <c r="E2603" t="inlineStr"/>
      <c r="F2603">
        <f>U2605+Skills!O2</f>
        <v/>
      </c>
      <c r="G2603">
        <f>Skills!G2*IF(Skills!H2&gt;0,INT(IF(Inputs!$B$38="pvp",MIN(Skills!I2,15),Skills!I2)/Skills!H2+0.000000001),1)</f>
        <v/>
      </c>
      <c r="H2603">
        <f>1-(1-Skills!J2/100)^Skills!K2</f>
        <v/>
      </c>
      <c r="I2603" t="inlineStr">
        <is>
          <t>1</t>
        </is>
      </c>
      <c r="J2603">
        <f>((Inputs!$B$6*(1+Inputs!$B$7/100))+(((Inputs!$B$12*(1+Inputs!$B$13/100))-(Inputs!$B$12*(1+Inputs!$B$13/100)))+0.25*(Inputs!$B$14-Inputs!$B$14))*(1+Inputs!$B$7/100))*(F2603/100)</f>
        <v/>
      </c>
      <c r="K2603">
        <f>J2603*(1+((Inputs!$B$12*(1+Inputs!$B$13/100))*0.01+Inputs!$B$14*0.0025)/100)*(1+Inputs!$B$15/100)*(1+Inputs!$B$16/100)*(5000/(6000+Inputs!$B$42*(1-(100*(1-(1-(Inputs!$B$19+0)/100)*(1-CHOOSE(ArtifactsInput!$N$40+1,5,6,7,8,9,10)/100)^(ArtifactsInput!$M$40-ArtifactsInput!$M$40)))/100)))*(1+(Inputs!$B$24+((C2627=TRUE)*(F2627-Calc!F26))+B2638)/100)*(1+(((1+IF(AND(IF(ArtifactsInput!$M$36,FALSE,TRUE),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IGHT_LEGS_EASTON",Inputs!$B$17+((C2624=TRUE)*(F2624-Calc!F23))+((C2628=TRUE)*(F2628-Calc!F27))+((IF(AND(Inputs!$B$38&lt;&gt;"pvp",Inputs!$B$43=0),1,IF(IF(Inputs!$B$38="pvp",15,Inputs!$B$43)-(B2639)&lt;=0,1,MAX(0,IF(Inputs!$B$38="pvp",15,Inputs!$B$43)-MAX(5,B2639))/(IF(Inputs!$B$38="pvp",15,Inputs!$B$43)-(B2639))))*(IF(AND(ArtifactsInput!$M$42,((Inputs!$B$9+((C2620=TRUE)*(F2620-Calc!F19))+B2632+(ArtifactsInput!$M$24-ArtifactsInput!$M$24)*CHOOSE(ArtifactsInput!$N$24+1,10,12,14,16,18,20)+IF(ArtifactsInput!$M$10,CHOOSE(ArtifactsInput!$N$10+1,15,18,21,24,27,30)*(IF(Inputs!$B$38="pvp",MIN(15,15)/15,IF(AND(Inputs!$B$38&lt;&gt;"pvp",Inputs!$B$43&gt;0),MIN(15,Inputs!$B$43)/(Inputs!$B$43),0))),0)))&gt;=100),MIN(100,((Inputs!$B$9+((C2620=TRUE)*(F2620-Calc!F19))+B2632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2639)&lt;=0,1,MAX(0,IF(Inputs!$B$38="pvp",15,Inputs!$B$43)-MAX(5,B2639))/(IF(Inputs!$B$38="pvp",15,Inputs!$B$43)-(B2639))))*IF(AND(ArtifactsInput!$M$42,((Inputs!$B$9+((C2620=TRUE)*(F2620-Calc!F19))+B2632+(ArtifactsInput!$M$24-ArtifactsInput!$M$24)*CHOOSE(ArtifactsInput!$N$24+1,10,12,14,16,18,20)+IF(ArtifactsInput!$M$10,CHOOSE(ArtifactsInput!$N$10+1,15,18,21,24,27,30)*(IF(Inputs!$B$38="pvp",MIN(15,15)/15,IF(AND(Inputs!$B$38&lt;&gt;"pvp",Inputs!$B$43&gt;0),MIN(15,Inputs!$B$43)/(Inputs!$B$43),0))),0)))&gt;=100),CHOOSE(ArtifactsInput!$N$42+1,40,48,56,64,72,80),0))))/100)*((1+(((C2618=TRUE)*F2618*5/7)+((C2625=TRUE)*(F2625-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2603)</f>
        <v/>
      </c>
      <c r="L2603">
        <f>K2603*(MIN(Inputs!$B$22+((C2623=TRUE)*(F2623-Calc!F22)),(Inputs!$B$23+0+(IF(ArtifactsInput!$M$15,CHOOSE(ArtifactsInput!$N$15+1,25,30,35,40,45,50)/100*(Inputs!$B$11-Inputs!$B$11),0))))/100+(Inputs!$B$23+0+(IF(ArtifactsInput!$M$15,CHOOSE(ArtifactsInput!$N$15+1,25,30,35,40,45,50)/100*(Inputs!$B$11-Inputs!$B$11),0)))/100)/2</f>
        <v/>
      </c>
      <c r="M2603">
        <f>L2603*(1+(Inputs!$B$10+((C2626=TRUE)*(F2626-Calc!F25))+B2637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03">
        <f>L2603*(1-MIN((Inputs!$B$9+((C2620=TRUE)*(F2620-Calc!F19))+B2632+(ArtifactsInput!$M$24-ArtifactsInput!$M$24)*CHOOSE(ArtifactsInput!$N$24+1,10,12,14,16,18,20)+(IF(AND(Inputs!$B$38&lt;&gt;"pvp",Inputs!$B$43=0),1,IF(IF(Inputs!$B$38="pvp",15,Inputs!$B$43)-(B2639)&lt;=0,1,MAX(0,IF(Inputs!$B$38="pvp",15,Inputs!$B$43)-MAX(5,B2639))/(IF(Inputs!$B$38="pvp",15,Inputs!$B$43)-(B2639))))*IF(AND(ArtifactsInput!$M$42,((Inputs!$B$9+((C2620=TRUE)*(F2620-Calc!F19))+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2603*(MIN((Inputs!$B$9+((C2620=TRUE)*(F2620-Calc!F19))+B2632+(ArtifactsInput!$M$24-ArtifactsInput!$M$24)*CHOOSE(ArtifactsInput!$N$24+1,10,12,14,16,18,20)+(IF(AND(Inputs!$B$38&lt;&gt;"pvp",Inputs!$B$43=0),1,IF(IF(Inputs!$B$38="pvp",15,Inputs!$B$43)-(B2639)&lt;=0,1,MAX(0,IF(Inputs!$B$38="pvp",15,Inputs!$B$43)-MAX(5,B2639))/(IF(Inputs!$B$38="pvp",15,Inputs!$B$43)-(B2639))))*IF(AND(ArtifactsInput!$M$42,((Inputs!$B$9+((C2620=TRUE)*(F2620-Calc!F19))+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03">
        <f>(1-Summary!$B$11)*T2603+Summary!$B$11*V2603</f>
        <v/>
      </c>
      <c r="P2603">
        <f>IF(B2642=0,0,O2603/B2642)</f>
        <v/>
      </c>
      <c r="Q2603" t="n">
        <v>0</v>
      </c>
      <c r="R2603" t="n">
        <v>0</v>
      </c>
      <c r="S2603">
        <f>IFERROR(O2603/N2603,0)</f>
        <v/>
      </c>
      <c r="T2603">
        <f>IF(C2603,(Skills!G2*N2603*B2636*(1+IF(C2628=TRUE,1/3,0)))*IF(Inputs!$B$38="pvp",1,1+(Inputs!$B$20+0+Skills!P2+(IF(AND(IF(ArtifactsInput!$M$36,FALSE,TRUE),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Hunt"),CHOOSE(ArtifactsInput!$N$35+1,15,18,21,24,27,30)*(1-EXP(-(0.2*B2634)*5)),0)+IF(AND(ArtifactsInput!$M$22,Inputs!$B$4&lt;&gt;"Chapter Hunt"),CHOOSE(ArtifactsInput!$N$22+1,10,12,14,16,18,20)*((0*(((0.15*B2634*5))^0/1)+1*(((0.15*B2634*5))^1/1)+2*(((0.15*B2634*5))^2/2)+3*(((0.15*B2634*5))^3/6)+4*(((0.15*B2634*5))^4/24)+5*(((0.15*B2634*5))^5/120))/((((0.15*B2634*5))^0/1)+(((0.15*B2634*5))^1/1)+(((0.15*B2634*5))^2/2)+(((0.15*B2634*5))^3/6)+(((0.15*B2634*5))^4/24)+(((0.15*B2634*5))^5/120))),0))+IF(Inputs!$B$3&gt;=54,9*(C2604=TRUE)*MIN(1,8*(1+Inputs!$B$34/100)*Q2604)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2603*(1-MIN(100,(Inputs!$B$9+((C2620=TRUE)*(F2620-Calc!F19))+B2632+(ArtifactsInput!$M$24-ArtifactsInput!$M$24)*CHOOSE(ArtifactsInput!$N$24+1,10,12,14,16,18,20)+(IF(AND(Inputs!$B$38&lt;&gt;"pvp",Inputs!$B$43=0),1,IF(IF(Inputs!$B$38="pvp",15,Inputs!$B$43)-(B2639)&lt;=0,1,MAX(0,IF(Inputs!$B$38="pvp",15,Inputs!$B$43)-MAX(5,B2639))/(IF(Inputs!$B$38="pvp",15,Inputs!$B$43)-(B2639))))*IF(AND(ArtifactsInput!$M$42,((Inputs!$B$9+((C2620=TRUE)*(F2620-Calc!F19))+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2603*(MIN(100,(Inputs!$B$9+((C2620=TRUE)*(F2620-Calc!F19))+B2632+(ArtifactsInput!$M$24-ArtifactsInput!$M$24)*CHOOSE(ArtifactsInput!$N$24+1,10,12,14,16,18,20)+(IF(AND(Inputs!$B$38&lt;&gt;"pvp",Inputs!$B$43=0),1,IF(IF(Inputs!$B$38="pvp",15,Inputs!$B$43)-(B2639)&lt;=0,1,MAX(0,IF(Inputs!$B$38="pvp",15,Inputs!$B$43)-MAX(5,B2639))/(IF(Inputs!$B$38="pvp",15,Inputs!$B$43)-(B2639))))*IF(AND(ArtifactsInput!$M$42,((Inputs!$B$9+((C2620=TRUE)*(F2620-Calc!F19))+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2603*(1-MIN(100,(Inputs!$B$9+((C2620=TRUE)*(F2620-Calc!F19))+B2632+(ArtifactsInput!$M$24-ArtifactsInput!$M$24)*CHOOSE(ArtifactsInput!$N$24+1,10,12,14,16,18,20)+(IF(AND(Inputs!$B$38&lt;&gt;"pvp",Inputs!$B$43=0),1,IF(IF(Inputs!$B$38="pvp",15,Inputs!$B$43)-(B2639)&lt;=0,1,MAX(0,IF(Inputs!$B$38="pvp",15,Inputs!$B$43)-MAX(5,B2639))/(IF(Inputs!$B$38="pvp",15,Inputs!$B$43)-(B2639))))*IF(AND(ArtifactsInput!$M$42,((Inputs!$B$9+((C2620=TRUE)*(F2620-Calc!F19))+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2603*(MIN(100,(Inputs!$B$9+((C2620=TRUE)*(F2620-Calc!F19))+B2632+(ArtifactsInput!$M$24-ArtifactsInput!$M$24)*CHOOSE(ArtifactsInput!$N$24+1,10,12,14,16,18,20)+(IF(AND(Inputs!$B$38&lt;&gt;"pvp",Inputs!$B$43=0),1,IF(IF(Inputs!$B$38="pvp",15,Inputs!$B$43)-(B2639)&lt;=0,1,MAX(0,IF(Inputs!$B$38="pvp",15,Inputs!$B$43)-MAX(5,B2639))/(IF(Inputs!$B$38="pvp",15,Inputs!$B$43)-(B2639))))*IF(AND(ArtifactsInput!$M$42,((Inputs!$B$9+((C2620=TRUE)*(F2620-Calc!F19))+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603">
        <f>MAX(0,(Inputs!$B$3-100)*3)+Inputs!$B$28+Inputs!$B$29</f>
        <v/>
      </c>
      <c r="V2603">
        <f>IF(C2603,(Skills!G2*N2603*B2636*(1+IF(C2628=TRUE,1/3,0)))*IF(Inputs!$B$38="pvp",1,(1+(Inputs!$B$21+Skills!Q2+(IF(ArtifactsInput!$M$33,CHOOSE(ArtifactsInput!$N$33+1,30,36,42,48,54,60),0))+(IF(AND(ArtifactsInput!$M$35,Inputs!$B$4&lt;&gt;"Chapter Hunt"),CHOOSE(ArtifactsInput!$N$35+1,15,18,21,24,27,30)*(1-EXP(-(0.2*B2634)*5)),0)+IF(AND(ArtifactsInput!$M$22,Inputs!$B$4&lt;&gt;"Chapter Hunt"),CHOOSE(ArtifactsInput!$N$22+1,10,12,14,16,18,20)*((0*(((0.15*B2634*5))^0/1)+1*(((0.15*B2634*5))^1/1)+2*(((0.15*B2634*5))^2/2)+3*(((0.15*B2634*5))^3/6)+4*(((0.15*B2634*5))^4/24)+5*(((0.15*B2634*5))^5/120))/((((0.15*B2634*5))^0/1)+(((0.15*B2634*5))^1/1)+(((0.15*B2634*5))^2/2)+(((0.15*B2634*5))^3/6)+(((0.15*B2634*5))^4/24)+(((0.15*B2634*5))^5/120))),0))+IF(Inputs!$B$3&gt;=54,9*(C2604=TRUE)*MIN(1,8*(1+Inputs!$B$34/100)*Q2604),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04">
      <c r="A2604">
        <f>Skills!A3</f>
        <v/>
      </c>
      <c r="B2604">
        <f>Skills!B3</f>
        <v/>
      </c>
      <c r="C2604">
        <f>Inputs!$B$3&gt;=33</f>
        <v/>
      </c>
      <c r="D2604">
        <f>IF(Skills!C3=1,60+Inputs!$B$25+Inputs!$B$29,IF(Skills!C3=2,90+Inputs!$B$26+Inputs!$B$29,IF(Skills!C3=3,120+Inputs!$B$27+Inputs!$B$29,MAX(0,(Inputs!$B$3-100)*3)+Inputs!$B$28+Inputs!$B$29)))</f>
        <v/>
      </c>
      <c r="E2604">
        <f>INDEX(FactorTable!$B$2:$Y$301, MATCH(ROUND(MIN(300,MAX(1,D2604)),0), FactorTable!$A$2:$A$301,0), Skills!M3+1)</f>
        <v/>
      </c>
      <c r="F2604">
        <f>IF(Skills!N3=TRUE,(Skills!L3/10)*(E2604/1000),Skills!L3/10)+Skills!O3</f>
        <v/>
      </c>
      <c r="G2604">
        <f>Skills!G3*IF(Skills!H3&gt;0,INT(IF(Inputs!$B$38="pvp",MIN(Skills!I3,15),Skills!I3)/Skills!H3+0.000000001),1)</f>
        <v/>
      </c>
      <c r="H2604">
        <f>1-(1-Skills!J3/100)^Skills!K3</f>
        <v/>
      </c>
      <c r="I2604" t="inlineStr">
        <is>
          <t>1</t>
        </is>
      </c>
      <c r="J2604">
        <f>((Inputs!$B$6*(1+Inputs!$B$7/100))+(((Inputs!$B$12*(1+Inputs!$B$13/100))-(Inputs!$B$12*(1+Inputs!$B$13/100)))+0.25*(Inputs!$B$14-Inputs!$B$14))*(1+Inputs!$B$7/100))*(F2604/100)</f>
        <v/>
      </c>
      <c r="K2604">
        <f>J2604*(1+((Inputs!$B$12*(1+Inputs!$B$13/100))*0.01+Inputs!$B$14*0.0025)/100)*(1+Inputs!$B$15/100)*(1+Inputs!$B$16/100)*(5000/(6000+Inputs!$B$42*(1-(100*(1-(1-(Inputs!$B$19+0)/100)*(1-CHOOSE(ArtifactsInput!$N$40+1,5,6,7,8,9,10)/100)^(ArtifactsInput!$M$40-ArtifactsInput!$M$40)))/100)))*(1+(Inputs!$B$24+((C2627=TRUE)*(F2627-Calc!F26))+B2638)/100)*(1+(((1+IF(AND(IF(ArtifactsInput!$M$36,FALSE,TRUE),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2616=TRUE,F2616,0)/100)*(1+(IF(Skills!A3="EIGHT_LEGS_EASTON",Inputs!$B$17+((C2624=TRUE)*(F2624-Calc!F23))+((C2628=TRUE)*(F2628-Calc!F27))+((IF(AND(Inputs!$B$38&lt;&gt;"pvp",Inputs!$B$43=0),1,IF(IF(Inputs!$B$38="pvp",15,Inputs!$B$43)-(B2639)&lt;=0,1,MAX(0,IF(Inputs!$B$38="pvp",15,Inputs!$B$43)-MAX(5,B2639))/(IF(Inputs!$B$38="pvp",15,Inputs!$B$43)-(B2639))))*(IF(AND(ArtifactsInput!$M$42,((Inputs!$B$9+((C2620=TRUE)*(F2620-Calc!F19))+B2632+(ArtifactsInput!$M$24-ArtifactsInput!$M$24)*CHOOSE(ArtifactsInput!$N$24+1,10,12,14,16,18,20)+IF(ArtifactsInput!$M$10,CHOOSE(ArtifactsInput!$N$10+1,15,18,21,24,27,30)*(IF(Inputs!$B$38="pvp",MIN(15,15)/15,IF(AND(Inputs!$B$38&lt;&gt;"pvp",Inputs!$B$43&gt;0),MIN(15,Inputs!$B$43)/(Inputs!$B$43),0))),0)))&gt;=100),MIN(100,((Inputs!$B$9+((C2620=TRUE)*(F2620-Calc!F19))+B2632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2639)&lt;=0,1,MAX(0,IF(Inputs!$B$38="pvp",15,Inputs!$B$43)-MAX(5,B2639))/(IF(Inputs!$B$38="pvp",15,Inputs!$B$43)-(B2639))))*IF(AND(ArtifactsInput!$M$42,((Inputs!$B$9+((C2620=TRUE)*(F2620-Calc!F19))+B2632+(ArtifactsInput!$M$24-ArtifactsInput!$M$24)*CHOOSE(ArtifactsInput!$N$24+1,10,12,14,16,18,20)+IF(ArtifactsInput!$M$10,CHOOSE(ArtifactsInput!$N$10+1,15,18,21,24,27,30)*(IF(Inputs!$B$38="pvp",MIN(15,15)/15,IF(AND(Inputs!$B$38&lt;&gt;"pvp",Inputs!$B$43&gt;0),MIN(15,Inputs!$B$43)/(Inputs!$B$43),0))),0)))&gt;=100),CHOOSE(ArtifactsInput!$N$42+1,40,48,56,64,72,80),0))))/100)*((1+(((C2618=TRUE)*F2618*5/7)+((C2625=TRUE)*(F2625-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2604)</f>
        <v/>
      </c>
      <c r="L2604">
        <f>K2604*(MIN(Inputs!$B$22+((C2623=TRUE)*(F2623-Calc!F22)),(Inputs!$B$23+0+(IF(ArtifactsInput!$M$15,CHOOSE(ArtifactsInput!$N$15+1,25,30,35,40,45,50)/100*(Inputs!$B$11-Inputs!$B$11),0))))/100+(Inputs!$B$23+0+(IF(ArtifactsInput!$M$15,CHOOSE(ArtifactsInput!$N$15+1,25,30,35,40,45,50)/100*(Inputs!$B$11-Inputs!$B$11),0)))/100)/2</f>
        <v/>
      </c>
      <c r="M2604">
        <f>L2604*(1+(Inputs!$B$10+((C2626=TRUE)*(F2626-Calc!F25))+B2637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04">
        <f>L2604*(1-MIN((Inputs!$B$9+((C2620=TRUE)*(F2620-Calc!F19))+B2632+(ArtifactsInput!$M$24-ArtifactsInput!$M$24)*CHOOSE(ArtifactsInput!$N$24+1,10,12,14,16,18,20)+(IF(AND(Inputs!$B$38&lt;&gt;"pvp",Inputs!$B$43=0),1,IF(IF(Inputs!$B$38="pvp",15,Inputs!$B$43)-(B2639)&lt;=0,1,MAX(0,IF(Inputs!$B$38="pvp",15,Inputs!$B$43)-MAX(5,B2639))/(IF(Inputs!$B$38="pvp",15,Inputs!$B$43)-(B2639))))*IF(AND(ArtifactsInput!$M$42,((Inputs!$B$9+((C2620=TRUE)*(F2620-Calc!F19))+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2604*(MIN((Inputs!$B$9+((C2620=TRUE)*(F2620-Calc!F19))+B2632+(ArtifactsInput!$M$24-ArtifactsInput!$M$24)*CHOOSE(ArtifactsInput!$N$24+1,10,12,14,16,18,20)+(IF(AND(Inputs!$B$38&lt;&gt;"pvp",Inputs!$B$43=0),1,IF(IF(Inputs!$B$38="pvp",15,Inputs!$B$43)-(B2639)&lt;=0,1,MAX(0,IF(Inputs!$B$38="pvp",15,Inputs!$B$43)-MAX(5,B2639))/(IF(Inputs!$B$38="pvp",15,Inputs!$B$43)-(B2639))))*IF(AND(ArtifactsInput!$M$42,((Inputs!$B$9+((C2620=TRUE)*(F2620-Calc!F19))+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04">
        <f>(1-Summary!$B$11)*T2604+Summary!$B$11*V2604</f>
        <v/>
      </c>
      <c r="P2604">
        <f>IF(B2642=0,0,O2604/B2642)</f>
        <v/>
      </c>
      <c r="Q2604">
        <f>IFERROR(1/(IF(Inputs!$B$38="pvp",15,MAX(0.1,Skills!D3-IF(TRUE=TRUE,Inputs!$B$32,0)))*(1-IF(AND(ArtifactsInput!$M$27,Inputs!$B$4="Chapter Hunt"),CHOOSE(ArtifactsInput!$N$27+1,20,24,28,32,36,40),0)/100)),0)</f>
        <v/>
      </c>
      <c r="R2604">
        <f>IF(AND(Inputs!$B$38&lt;&gt;"pvp",Inputs!$B$43&gt;0),IF(MAX(0,Inputs!$B$43-B2639)&lt;=0,0,(INT(MAX(0,Inputs!$B$43-B2639)/(IF(Inputs!$B$38="pvp",15,MAX(0.1,Skills!D3-IF(TRUE=TRUE,Inputs!$B$32,0)))*(1-IF(AND(ArtifactsInput!$M$27,Inputs!$B$4="Chapter Hunt"),CHOOSE(ArtifactsInput!$N$27+1,20,24,28,32,36,40),0)/100)))+1)),0)</f>
        <v/>
      </c>
      <c r="S2604">
        <f>IFERROR(O2604/N2604,0)</f>
        <v/>
      </c>
      <c r="T2604">
        <f>IF(C2604,(H2604*N2604*IF(AND(Inputs!$B$38&lt;&gt;"pvp",Inputs!$B$43&gt;0),((Skills!G3*((R2604-1)*IF(Skills!H3&gt;0,INT(Skills!I3/Skills!H3+0.000000001),1)+IF(Skills!H3&gt;0,INT(MIN(Skills!I3,MAX(0,MAX(0,Inputs!$B$43-B2639)-((R2604-1)*(IF(Inputs!$B$38="pvp",15,MAX(0.1,Skills!D3-IF(TRUE=TRUE,Inputs!$B$32,0)))*(1-IF(AND(ArtifactsInput!$M$27,Inputs!$B$4="Chapter Hunt"),CHOOSE(ArtifactsInput!$N$27+1,20,24,28,32,36,40),0)/100)))))/Skills!H3+0.000000001),1)))/Inputs!$B$43),G2604*Q2604))*IF(Inputs!$B$38="pvp",1,1+(Inputs!$B$20+0+Skills!P3+(IF(AND(IF(ArtifactsInput!$M$36,FALSE,TRUE),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Hunt"),CHOOSE(ArtifactsInput!$N$35+1,15,18,21,24,27,30)*(1-EXP(-(0.2*B2634)*5)),0)+IF(AND(ArtifactsInput!$M$22,Inputs!$B$4&lt;&gt;"Chapter Hunt"),CHOOSE(ArtifactsInput!$N$22+1,10,12,14,16,18,20)*((0*(((0.15*B2634*5))^0/1)+1*(((0.15*B2634*5))^1/1)+2*(((0.15*B2634*5))^2/2)+3*(((0.15*B2634*5))^3/6)+4*(((0.15*B2634*5))^4/24)+5*(((0.15*B2634*5))^5/120))/((((0.15*B2634*5))^0/1)+(((0.15*B2634*5))^1/1)+(((0.15*B2634*5))^2/2)+(((0.15*B2634*5))^3/6)+(((0.15*B2634*5))^4/24)+(((0.15*B2634*5))^5/120))),0))+IF(Inputs!$B$3&gt;=54,9*(C2604=TRUE)*MIN(1,8*(1+Inputs!$B$34/100)*Q2604)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2604*(1-MIN(100,(Inputs!$B$9+((C2620=TRUE)*(F2620-Calc!F19))+B2632+(ArtifactsInput!$M$24-ArtifactsInput!$M$24)*CHOOSE(ArtifactsInput!$N$24+1,10,12,14,16,18,20)+(IF(AND(Inputs!$B$38&lt;&gt;"pvp",Inputs!$B$43=0),1,IF(IF(Inputs!$B$38="pvp",15,Inputs!$B$43)-(B2639)&lt;=0,1,MAX(0,IF(Inputs!$B$38="pvp",15,Inputs!$B$43)-MAX(5,B2639))/(IF(Inputs!$B$38="pvp",15,Inputs!$B$43)-(B2639))))*IF(AND(ArtifactsInput!$M$42,((Inputs!$B$9+((C2620=TRUE)*(F2620-Calc!F19))+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2604*(MIN(100,(Inputs!$B$9+((C2620=TRUE)*(F2620-Calc!F19))+B2632+(ArtifactsInput!$M$24-ArtifactsInput!$M$24)*CHOOSE(ArtifactsInput!$N$24+1,10,12,14,16,18,20)+(IF(AND(Inputs!$B$38&lt;&gt;"pvp",Inputs!$B$43=0),1,IF(IF(Inputs!$B$38="pvp",15,Inputs!$B$43)-(B2639)&lt;=0,1,MAX(0,IF(Inputs!$B$38="pvp",15,Inputs!$B$43)-MAX(5,B2639))/(IF(Inputs!$B$38="pvp",15,Inputs!$B$43)-(B2639))))*IF(AND(ArtifactsInput!$M$42,((Inputs!$B$9+((C2620=TRUE)*(F2620-Calc!F19))+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2604*(1-MIN(100,(Inputs!$B$9+((C2620=TRUE)*(F2620-Calc!F19))+B2632+(ArtifactsInput!$M$24-ArtifactsInput!$M$24)*CHOOSE(ArtifactsInput!$N$24+1,10,12,14,16,18,20)+(IF(AND(Inputs!$B$38&lt;&gt;"pvp",Inputs!$B$43=0),1,IF(IF(Inputs!$B$38="pvp",15,Inputs!$B$43)-(B2639)&lt;=0,1,MAX(0,IF(Inputs!$B$38="pvp",15,Inputs!$B$43)-MAX(5,B2639))/(IF(Inputs!$B$38="pvp",15,Inputs!$B$43)-(B2639))))*IF(AND(ArtifactsInput!$M$42,((Inputs!$B$9+((C2620=TRUE)*(F2620-Calc!F19))+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2604*(MIN(100,(Inputs!$B$9+((C2620=TRUE)*(F2620-Calc!F19))+B2632+(ArtifactsInput!$M$24-ArtifactsInput!$M$24)*CHOOSE(ArtifactsInput!$N$24+1,10,12,14,16,18,20)+(IF(AND(Inputs!$B$38&lt;&gt;"pvp",Inputs!$B$43=0),1,IF(IF(Inputs!$B$38="pvp",15,Inputs!$B$43)-(B2639)&lt;=0,1,MAX(0,IF(Inputs!$B$38="pvp",15,Inputs!$B$43)-MAX(5,B2639))/(IF(Inputs!$B$38="pvp",15,Inputs!$B$43)-(B2639))))*IF(AND(ArtifactsInput!$M$42,((Inputs!$B$9+((C2620=TRUE)*(F2620-Calc!F19))+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604">
        <f>INDEX(FactorTable!$B$2:$Y$301, MATCH(ROUND(MIN(300,MAX(1,U2603)),0), FactorTable!$A$2:$A$301,0), 22)</f>
        <v/>
      </c>
      <c r="V2604">
        <f>IF(C2604,(H2604*N2604*IF(AND(Inputs!$B$38&lt;&gt;"pvp",Inputs!$B$43&gt;0),((Skills!G3*((R2604-1)*IF(Skills!H3&gt;0,INT(Skills!I3/Skills!H3+0.000000001),1)+IF(Skills!H3&gt;0,INT(MIN(Skills!I3,MAX(0,MAX(0,Inputs!$B$43-B2639)-((R2604-1)*(IF(Inputs!$B$38="pvp",15,MAX(0.1,Skills!D3-IF(TRUE=TRUE,Inputs!$B$32,0)))*(1-IF(AND(ArtifactsInput!$M$27,Inputs!$B$4="Chapter Hunt"),CHOOSE(ArtifactsInput!$N$27+1,20,24,28,32,36,40),0)/100)))))/Skills!H3+0.000000001),1)))/Inputs!$B$43),G2604*Q2604))*IF(Inputs!$B$38="pvp",1,(1+(Inputs!$B$21+Skills!Q3+(IF(ArtifactsInput!$M$33,CHOOSE(ArtifactsInput!$N$33+1,30,36,42,48,54,60),0))+(IF(AND(ArtifactsInput!$M$35,Inputs!$B$4&lt;&gt;"Chapter Hunt"),CHOOSE(ArtifactsInput!$N$35+1,15,18,21,24,27,30)*(1-EXP(-(0.2*B2634)*5)),0)+IF(AND(ArtifactsInput!$M$22,Inputs!$B$4&lt;&gt;"Chapter Hunt"),CHOOSE(ArtifactsInput!$N$22+1,10,12,14,16,18,20)*((0*(((0.15*B2634*5))^0/1)+1*(((0.15*B2634*5))^1/1)+2*(((0.15*B2634*5))^2/2)+3*(((0.15*B2634*5))^3/6)+4*(((0.15*B2634*5))^4/24)+5*(((0.15*B2634*5))^5/120))/((((0.15*B2634*5))^0/1)+(((0.15*B2634*5))^1/1)+(((0.15*B2634*5))^2/2)+(((0.15*B2634*5))^3/6)+(((0.15*B2634*5))^4/24)+(((0.15*B2634*5))^5/120))),0))+IF(Inputs!$B$3&gt;=54,9*(C2604=TRUE)*MIN(1,8*(1+Inputs!$B$34/100)*Q2604),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05">
      <c r="A2605">
        <f>Skills!A4</f>
        <v/>
      </c>
      <c r="B2605">
        <f>Skills!B4</f>
        <v/>
      </c>
      <c r="C2605">
        <f>Inputs!$B$3&gt;=35</f>
        <v/>
      </c>
      <c r="D2605">
        <f>IF(Skills!C4=1,60+Inputs!$B$25+Inputs!$B$29,IF(Skills!C4=2,90+Inputs!$B$26+Inputs!$B$29,IF(Skills!C4=3,120+Inputs!$B$27+Inputs!$B$29,MAX(0,(Inputs!$B$3-100)*3)+Inputs!$B$28+Inputs!$B$29)))</f>
        <v/>
      </c>
      <c r="E2605">
        <f>INDEX(FactorTable!$B$2:$Y$301, MATCH(ROUND(MIN(300,MAX(1,D2605)),0), FactorTable!$A$2:$A$301,0), Skills!M4+1)</f>
        <v/>
      </c>
      <c r="F2605">
        <f>IF(Skills!N4=TRUE,(Skills!L4/10)*(E2605/1000),Skills!L4/10)+Skills!O4</f>
        <v/>
      </c>
      <c r="G2605">
        <f>Skills!G4*IF(Skills!H4&gt;0,INT(IF(Inputs!$B$38="pvp",MIN(IF(Inputs!$B$3&gt;=104,MIN(35,20*(1+Inputs!$B$34/100)),20),15),IF(Inputs!$B$3&gt;=104,MIN(35,20*(1+Inputs!$B$34/100)),20))/Skills!H4+0.000000001),1)</f>
        <v/>
      </c>
      <c r="H2605">
        <f>1-(1-Skills!J4/100)^Skills!K4</f>
        <v/>
      </c>
      <c r="I2605" t="inlineStr">
        <is>
          <t>1</t>
        </is>
      </c>
      <c r="J2605">
        <f>((Inputs!$B$6*(1+Inputs!$B$7/100))+(((Inputs!$B$12*(1+Inputs!$B$13/100))-(Inputs!$B$12*(1+Inputs!$B$13/100)))+0.25*(Inputs!$B$14-Inputs!$B$14))*(1+Inputs!$B$7/100))*(F2605/100)</f>
        <v/>
      </c>
      <c r="K2605">
        <f>J2605*(1+((Inputs!$B$12*(1+Inputs!$B$13/100))*0.01+Inputs!$B$14*0.0025)/100)*(1+Inputs!$B$15/100)*(1+Inputs!$B$16/100)*(5000/(6000+Inputs!$B$42*(1-(100*(1-(1-(Inputs!$B$19+0)/100)*(1-CHOOSE(ArtifactsInput!$N$40+1,5,6,7,8,9,10)/100)^(ArtifactsInput!$M$40-ArtifactsInput!$M$40)))/100)))*(1+(Inputs!$B$24+((C2627=TRUE)*(F2627-Calc!F26))+B2638)/100)*(1+(((1+IF(AND(IF(ArtifactsInput!$M$36,FALSE,TRUE),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2617=TRUE,F2617,0)/100)*(1+(IF(Skills!A4="EIGHT_LEGS_EASTON",Inputs!$B$17+((C2624=TRUE)*(F2624-Calc!F23))+((C2628=TRUE)*(F2628-Calc!F27))+((IF(AND(Inputs!$B$38&lt;&gt;"pvp",Inputs!$B$43=0),1,IF(IF(Inputs!$B$38="pvp",15,Inputs!$B$43)-(B2639)&lt;=0,1,MAX(0,IF(Inputs!$B$38="pvp",15,Inputs!$B$43)-MAX(5,B2639))/(IF(Inputs!$B$38="pvp",15,Inputs!$B$43)-(B2639))))*(IF(AND(ArtifactsInput!$M$42,((Inputs!$B$9+((C2620=TRUE)*(F2620-Calc!F19))+B2632+(ArtifactsInput!$M$24-ArtifactsInput!$M$24)*CHOOSE(ArtifactsInput!$N$24+1,10,12,14,16,18,20)+IF(ArtifactsInput!$M$10,CHOOSE(ArtifactsInput!$N$10+1,15,18,21,24,27,30)*(IF(Inputs!$B$38="pvp",MIN(15,15)/15,IF(AND(Inputs!$B$38&lt;&gt;"pvp",Inputs!$B$43&gt;0),MIN(15,Inputs!$B$43)/(Inputs!$B$43),0))),0)))&gt;=100),MIN(100,((Inputs!$B$9+((C2620=TRUE)*(F2620-Calc!F19))+B2632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2639)&lt;=0,1,MAX(0,IF(Inputs!$B$38="pvp",15,Inputs!$B$43)-MAX(5,B2639))/(IF(Inputs!$B$38="pvp",15,Inputs!$B$43)-(B2639))))*IF(AND(ArtifactsInput!$M$42,((Inputs!$B$9+((C2620=TRUE)*(F2620-Calc!F19))+B2632+(ArtifactsInput!$M$24-ArtifactsInput!$M$24)*CHOOSE(ArtifactsInput!$N$24+1,10,12,14,16,18,20)+IF(ArtifactsInput!$M$10,CHOOSE(ArtifactsInput!$N$10+1,15,18,21,24,27,30)*(IF(Inputs!$B$38="pvp",MIN(15,15)/15,IF(AND(Inputs!$B$38&lt;&gt;"pvp",Inputs!$B$43&gt;0),MIN(15,Inputs!$B$43)/(Inputs!$B$43),0))),0)))&gt;=100),CHOOSE(ArtifactsInput!$N$42+1,40,48,56,64,72,80),0))))/100)*((1+(((C2618=TRUE)*F2618*5/7)+((C2625=TRUE)*(F2625-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2605)</f>
        <v/>
      </c>
      <c r="L2605">
        <f>K2605*(MIN(Inputs!$B$22+((C2623=TRUE)*(F2623-Calc!F22)),(Inputs!$B$23+0+(IF(ArtifactsInput!$M$15,CHOOSE(ArtifactsInput!$N$15+1,25,30,35,40,45,50)/100*(Inputs!$B$11-Inputs!$B$11),0))))/100+(Inputs!$B$23+0+(IF(ArtifactsInput!$M$15,CHOOSE(ArtifactsInput!$N$15+1,25,30,35,40,45,50)/100*(Inputs!$B$11-Inputs!$B$11),0)))/100)/2</f>
        <v/>
      </c>
      <c r="M2605">
        <f>L2605*(1+(Inputs!$B$10+((C2626=TRUE)*(F2626-Calc!F25))+B2637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05">
        <f>L2605*(1-MIN((Inputs!$B$9+((C2620=TRUE)*(F2620-Calc!F19))+B2632+(ArtifactsInput!$M$24-ArtifactsInput!$M$24)*CHOOSE(ArtifactsInput!$N$24+1,10,12,14,16,18,20)+(IF(AND(Inputs!$B$38&lt;&gt;"pvp",Inputs!$B$43=0),1,IF(IF(Inputs!$B$38="pvp",15,Inputs!$B$43)-(B2639)&lt;=0,1,MAX(0,IF(Inputs!$B$38="pvp",15,Inputs!$B$43)-MAX(5,B2639))/(IF(Inputs!$B$38="pvp",15,Inputs!$B$43)-(B2639))))*IF(AND(ArtifactsInput!$M$42,((Inputs!$B$9+((C2620=TRUE)*(F2620-Calc!F19))+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2605*(MIN((Inputs!$B$9+((C2620=TRUE)*(F2620-Calc!F19))+B2632+(ArtifactsInput!$M$24-ArtifactsInput!$M$24)*CHOOSE(ArtifactsInput!$N$24+1,10,12,14,16,18,20)+(IF(AND(Inputs!$B$38&lt;&gt;"pvp",Inputs!$B$43=0),1,IF(IF(Inputs!$B$38="pvp",15,Inputs!$B$43)-(B2639)&lt;=0,1,MAX(0,IF(Inputs!$B$38="pvp",15,Inputs!$B$43)-MAX(5,B2639))/(IF(Inputs!$B$38="pvp",15,Inputs!$B$43)-(B2639))))*IF(AND(ArtifactsInput!$M$42,((Inputs!$B$9+((C2620=TRUE)*(F2620-Calc!F19))+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05">
        <f>(1-Summary!$B$11)*T2605+Summary!$B$11*V2605</f>
        <v/>
      </c>
      <c r="P2605">
        <f>IF(B2642=0,0,O2605/B2642)</f>
        <v/>
      </c>
      <c r="Q2605">
        <f>IFERROR(1/(IF(Inputs!$B$38="pvp",15,MAX(0.1,Skills!D4-IF(TRUE=TRUE,Inputs!$B$32,0)))*(1-IF(AND(ArtifactsInput!$M$27,Inputs!$B$4="Chapter Hunt"),CHOOSE(ArtifactsInput!$N$27+1,20,24,28,32,36,40),0)/100)),0)</f>
        <v/>
      </c>
      <c r="R2605">
        <f>IF(AND(Inputs!$B$38&lt;&gt;"pvp",Inputs!$B$43&gt;0),IF(MAX(0,Inputs!$B$43-B2639)&lt;=0,0,(INT(MAX(0,Inputs!$B$43-B2639)/(IF(Inputs!$B$38="pvp",15,MAX(0.1,Skills!D4-IF(TRUE=TRUE,Inputs!$B$32,0)))*(1-IF(AND(ArtifactsInput!$M$27,Inputs!$B$4="Chapter Hunt"),CHOOSE(ArtifactsInput!$N$27+1,20,24,28,32,36,40),0)/100)))+1)),0)</f>
        <v/>
      </c>
      <c r="S2605">
        <f>IFERROR(O2605/N2605,0)</f>
        <v/>
      </c>
      <c r="T2605">
        <f>IF(C2605,(H2605*N2605*IF(AND(Inputs!$B$38&lt;&gt;"pvp",Inputs!$B$43&gt;0),((Skills!G4*((R2605-1)*IF(Skills!H4&gt;0,INT(IF(Inputs!$B$3&gt;=104,MIN(35,20*(1+Inputs!$B$34/100)),20)/Skills!H4+0.000000001),1)+IF(Skills!H4&gt;0,INT(MIN(IF(Inputs!$B$3&gt;=104,MIN(35,20*(1+Inputs!$B$34/100)),20),MAX(0,MAX(0,Inputs!$B$43-B2639)-((R2605-1)*(IF(Inputs!$B$38="pvp",15,MAX(0.1,Skills!D4-IF(TRUE=TRUE,Inputs!$B$32,0)))*(1-IF(AND(ArtifactsInput!$M$27,Inputs!$B$4="Chapter Hunt"),CHOOSE(ArtifactsInput!$N$27+1,20,24,28,32,36,40),0)/100)))))/Skills!H4+0.000000001),1)))/Inputs!$B$43),G2605*Q2605))*IF(Inputs!$B$38="pvp",1,1+(Inputs!$B$20+0+Skills!P4+(IF(AND(IF(ArtifactsInput!$M$36,FALSE,TRUE),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Hunt"),CHOOSE(ArtifactsInput!$N$35+1,15,18,21,24,27,30)*(1-EXP(-(0.2*B2634)*5)),0)+IF(AND(ArtifactsInput!$M$22,Inputs!$B$4&lt;&gt;"Chapter Hunt"),CHOOSE(ArtifactsInput!$N$22+1,10,12,14,16,18,20)*((0*(((0.15*B2634*5))^0/1)+1*(((0.15*B2634*5))^1/1)+2*(((0.15*B2634*5))^2/2)+3*(((0.15*B2634*5))^3/6)+4*(((0.15*B2634*5))^4/24)+5*(((0.15*B2634*5))^5/120))/((((0.15*B2634*5))^0/1)+(((0.15*B2634*5))^1/1)+(((0.15*B2634*5))^2/2)+(((0.15*B2634*5))^3/6)+(((0.15*B2634*5))^4/24)+(((0.15*B2634*5))^5/120))),0))+IF(Inputs!$B$3&gt;=54,9*(C2604=TRUE)*MIN(1,8*(1+Inputs!$B$34/100)*Q2604)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2605*(1-MIN(100,(Inputs!$B$9+((C2620=TRUE)*(F2620-Calc!F19))+B2632+(ArtifactsInput!$M$24-ArtifactsInput!$M$24)*CHOOSE(ArtifactsInput!$N$24+1,10,12,14,16,18,20)+(IF(AND(Inputs!$B$38&lt;&gt;"pvp",Inputs!$B$43=0),1,IF(IF(Inputs!$B$38="pvp",15,Inputs!$B$43)-(B2639)&lt;=0,1,MAX(0,IF(Inputs!$B$38="pvp",15,Inputs!$B$43)-MAX(5,B2639))/(IF(Inputs!$B$38="pvp",15,Inputs!$B$43)-(B2639))))*IF(AND(ArtifactsInput!$M$42,((Inputs!$B$9+((C2620=TRUE)*(F2620-Calc!F19))+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2605*(MIN(100,(Inputs!$B$9+((C2620=TRUE)*(F2620-Calc!F19))+B2632+(ArtifactsInput!$M$24-ArtifactsInput!$M$24)*CHOOSE(ArtifactsInput!$N$24+1,10,12,14,16,18,20)+(IF(AND(Inputs!$B$38&lt;&gt;"pvp",Inputs!$B$43=0),1,IF(IF(Inputs!$B$38="pvp",15,Inputs!$B$43)-(B2639)&lt;=0,1,MAX(0,IF(Inputs!$B$38="pvp",15,Inputs!$B$43)-MAX(5,B2639))/(IF(Inputs!$B$38="pvp",15,Inputs!$B$43)-(B2639))))*IF(AND(ArtifactsInput!$M$42,((Inputs!$B$9+((C2620=TRUE)*(F2620-Calc!F19))+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2605*(1-MIN(100,(Inputs!$B$9+((C2620=TRUE)*(F2620-Calc!F19))+B2632+(ArtifactsInput!$M$24-ArtifactsInput!$M$24)*CHOOSE(ArtifactsInput!$N$24+1,10,12,14,16,18,20)+(IF(AND(Inputs!$B$38&lt;&gt;"pvp",Inputs!$B$43=0),1,IF(IF(Inputs!$B$38="pvp",15,Inputs!$B$43)-(B2639)&lt;=0,1,MAX(0,IF(Inputs!$B$38="pvp",15,Inputs!$B$43)-MAX(5,B2639))/(IF(Inputs!$B$38="pvp",15,Inputs!$B$43)-(B2639))))*IF(AND(ArtifactsInput!$M$42,((Inputs!$B$9+((C2620=TRUE)*(F2620-Calc!F19))+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2605*(MIN(100,(Inputs!$B$9+((C2620=TRUE)*(F2620-Calc!F19))+B2632+(ArtifactsInput!$M$24-ArtifactsInput!$M$24)*CHOOSE(ArtifactsInput!$N$24+1,10,12,14,16,18,20)+(IF(AND(Inputs!$B$38&lt;&gt;"pvp",Inputs!$B$43=0),1,IF(IF(Inputs!$B$38="pvp",15,Inputs!$B$43)-(B2639)&lt;=0,1,MAX(0,IF(Inputs!$B$38="pvp",15,Inputs!$B$43)-MAX(5,B2639))/(IF(Inputs!$B$38="pvp",15,Inputs!$B$43)-(B2639))))*IF(AND(ArtifactsInput!$M$42,((Inputs!$B$9+((C2620=TRUE)*(F2620-Calc!F19))+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605">
        <f>290*U2604/1000</f>
        <v/>
      </c>
      <c r="V2605">
        <f>IF(C2605,(H2605*N2605*IF(AND(Inputs!$B$38&lt;&gt;"pvp",Inputs!$B$43&gt;0),((Skills!G4*((R2605-1)*IF(Skills!H4&gt;0,INT(IF(Inputs!$B$3&gt;=104,MIN(35,20*(1+Inputs!$B$34/100)),20)/Skills!H4+0.000000001),1)+IF(Skills!H4&gt;0,INT(MIN(IF(Inputs!$B$3&gt;=104,MIN(35,20*(1+Inputs!$B$34/100)),20),MAX(0,MAX(0,Inputs!$B$43-B2639)-((R2605-1)*(IF(Inputs!$B$38="pvp",15,MAX(0.1,Skills!D4-IF(TRUE=TRUE,Inputs!$B$32,0)))*(1-IF(AND(ArtifactsInput!$M$27,Inputs!$B$4="Chapter Hunt"),CHOOSE(ArtifactsInput!$N$27+1,20,24,28,32,36,40),0)/100)))))/Skills!H4+0.000000001),1)))/Inputs!$B$43),G2605*Q2605))*IF(Inputs!$B$38="pvp",1,(1+(Inputs!$B$21+Skills!Q4+(IF(ArtifactsInput!$M$33,CHOOSE(ArtifactsInput!$N$33+1,30,36,42,48,54,60),0))+(IF(AND(ArtifactsInput!$M$35,Inputs!$B$4&lt;&gt;"Chapter Hunt"),CHOOSE(ArtifactsInput!$N$35+1,15,18,21,24,27,30)*(1-EXP(-(0.2*B2634)*5)),0)+IF(AND(ArtifactsInput!$M$22,Inputs!$B$4&lt;&gt;"Chapter Hunt"),CHOOSE(ArtifactsInput!$N$22+1,10,12,14,16,18,20)*((0*(((0.15*B2634*5))^0/1)+1*(((0.15*B2634*5))^1/1)+2*(((0.15*B2634*5))^2/2)+3*(((0.15*B2634*5))^3/6)+4*(((0.15*B2634*5))^4/24)+5*(((0.15*B2634*5))^5/120))/((((0.15*B2634*5))^0/1)+(((0.15*B2634*5))^1/1)+(((0.15*B2634*5))^2/2)+(((0.15*B2634*5))^3/6)+(((0.15*B2634*5))^4/24)+(((0.15*B2634*5))^5/120))),0))+IF(Inputs!$B$3&gt;=54,9*(C2604=TRUE)*MIN(1,8*(1+Inputs!$B$34/100)*Q2604),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06">
      <c r="A2606">
        <f>Skills!A5</f>
        <v/>
      </c>
      <c r="B2606">
        <f>Skills!B5</f>
        <v/>
      </c>
      <c r="C2606">
        <f>Inputs!$B$3&gt;=69</f>
        <v/>
      </c>
      <c r="D2606">
        <f>IF(Skills!C5=1,60+Inputs!$B$25+Inputs!$B$29,IF(Skills!C5=2,90+Inputs!$B$26+Inputs!$B$29,IF(Skills!C5=3,120+Inputs!$B$27+Inputs!$B$29,MAX(0,(Inputs!$B$3-100)*3)+Inputs!$B$28+Inputs!$B$29)))</f>
        <v/>
      </c>
      <c r="E2606">
        <f>INDEX(FactorTable!$B$2:$Y$301, MATCH(ROUND(MIN(300,MAX(1,D2606)),0), FactorTable!$A$2:$A$301,0), Skills!M5+1)</f>
        <v/>
      </c>
      <c r="F2606">
        <f>IF(Skills!N5=TRUE,(Skills!L5/10)*(E2606/1000),Skills!L5/10)+Skills!O5</f>
        <v/>
      </c>
      <c r="G2606">
        <f>Skills!G5*IF(Skills!H5&gt;0,INT(IF(Inputs!$B$38="pvp",MIN(IF(Inputs!$B$3&gt;=104,MIN(35,20*(1+Inputs!$B$34/100)),20),15),IF(Inputs!$B$3&gt;=104,MIN(35,20*(1+Inputs!$B$34/100)),20))/Skills!H5+0.000000001),1)</f>
        <v/>
      </c>
      <c r="H2606">
        <f>1-(1-Skills!J5/100)^Skills!K5</f>
        <v/>
      </c>
      <c r="I2606" t="inlineStr">
        <is>
          <t>1</t>
        </is>
      </c>
      <c r="J2606">
        <f>((Inputs!$B$6*(1+Inputs!$B$7/100))+(((Inputs!$B$12*(1+Inputs!$B$13/100))-(Inputs!$B$12*(1+Inputs!$B$13/100)))+0.25*(Inputs!$B$14-Inputs!$B$14))*(1+Inputs!$B$7/100))*(F2606/100)</f>
        <v/>
      </c>
      <c r="K2606">
        <f>J2606*(1+((Inputs!$B$12*(1+Inputs!$B$13/100))*0.01+Inputs!$B$14*0.0025)/100)*(1+Inputs!$B$15/100)*(1+Inputs!$B$16/100)*(5000/(6000+Inputs!$B$42*(1-(100*(1-(1-(Inputs!$B$19+0)/100)*(1-CHOOSE(ArtifactsInput!$N$40+1,5,6,7,8,9,10)/100)^(ArtifactsInput!$M$40-ArtifactsInput!$M$40)))/100)))*(1+(Inputs!$B$24+((C2627=TRUE)*(F2627-Calc!F26))+B2638)/100)*(1+(((1+IF(AND(IF(ArtifactsInput!$M$36,FALSE,TRUE),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+0.4*IF(C2617=TRUE,F2617,0)/100)*(1+(IF(Skills!A5="EIGHT_LEGS_EASTON",Inputs!$B$17+((C2624=TRUE)*(F2624-Calc!F23))+((C2628=TRUE)*(F2628-Calc!F27))+((IF(AND(Inputs!$B$38&lt;&gt;"pvp",Inputs!$B$43=0),1,IF(IF(Inputs!$B$38="pvp",15,Inputs!$B$43)-(B2639)&lt;=0,1,MAX(0,IF(Inputs!$B$38="pvp",15,Inputs!$B$43)-MAX(5,B2639))/(IF(Inputs!$B$38="pvp",15,Inputs!$B$43)-(B2639))))*(IF(AND(ArtifactsInput!$M$42,((Inputs!$B$9+((C2620=TRUE)*(F2620-Calc!F19))+B2632+(ArtifactsInput!$M$24-ArtifactsInput!$M$24)*CHOOSE(ArtifactsInput!$N$24+1,10,12,14,16,18,20)+IF(ArtifactsInput!$M$10,CHOOSE(ArtifactsInput!$N$10+1,15,18,21,24,27,30)*(IF(Inputs!$B$38="pvp",MIN(15,15)/15,IF(AND(Inputs!$B$38&lt;&gt;"pvp",Inputs!$B$43&gt;0),MIN(15,Inputs!$B$43)/(Inputs!$B$43),0))),0)))&gt;=100),MIN(100,((Inputs!$B$9+((C2620=TRUE)*(F2620-Calc!F19))+B2632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2639)&lt;=0,1,MAX(0,IF(Inputs!$B$38="pvp",15,Inputs!$B$43)-MAX(5,B2639))/(IF(Inputs!$B$38="pvp",15,Inputs!$B$43)-(B2639))))*IF(AND(ArtifactsInput!$M$42,((Inputs!$B$9+((C2620=TRUE)*(F2620-Calc!F19))+B2632+(ArtifactsInput!$M$24-ArtifactsInput!$M$24)*CHOOSE(ArtifactsInput!$N$24+1,10,12,14,16,18,20)+IF(ArtifactsInput!$M$10,CHOOSE(ArtifactsInput!$N$10+1,15,18,21,24,27,30)*(IF(Inputs!$B$38="pvp",MIN(15,15)/15,IF(AND(Inputs!$B$38&lt;&gt;"pvp",Inputs!$B$43&gt;0),MIN(15,Inputs!$B$43)/(Inputs!$B$43),0))),0)))&gt;=100),CHOOSE(ArtifactsInput!$N$42+1,40,48,56,64,72,80),0))))/100)*((1+(((C2618=TRUE)*F2618*5/7)+((C2625=TRUE)*(F2625-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2606)</f>
        <v/>
      </c>
      <c r="L2606">
        <f>K2606*(MIN(Inputs!$B$22+((C2623=TRUE)*(F2623-Calc!F22)),(Inputs!$B$23+0+(IF(ArtifactsInput!$M$15,CHOOSE(ArtifactsInput!$N$15+1,25,30,35,40,45,50)/100*(Inputs!$B$11-Inputs!$B$11),0))))/100+(Inputs!$B$23+0+(IF(ArtifactsInput!$M$15,CHOOSE(ArtifactsInput!$N$15+1,25,30,35,40,45,50)/100*(Inputs!$B$11-Inputs!$B$11),0)))/100)/2</f>
        <v/>
      </c>
      <c r="M2606">
        <f>L2606*(1+(Inputs!$B$10+((C2626=TRUE)*(F2626-Calc!F25))+B2637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06">
        <f>L2606*(1-MIN((Inputs!$B$9+((C2620=TRUE)*(F2620-Calc!F19))+B2632+(ArtifactsInput!$M$24-ArtifactsInput!$M$24)*CHOOSE(ArtifactsInput!$N$24+1,10,12,14,16,18,20)+(IF(AND(Inputs!$B$38&lt;&gt;"pvp",Inputs!$B$43=0),1,IF(IF(Inputs!$B$38="pvp",15,Inputs!$B$43)-(B2639)&lt;=0,1,MAX(0,IF(Inputs!$B$38="pvp",15,Inputs!$B$43)-MAX(5,B2639))/(IF(Inputs!$B$38="pvp",15,Inputs!$B$43)-(B2639))))*IF(AND(ArtifactsInput!$M$42,((Inputs!$B$9+((C2620=TRUE)*(F2620-Calc!F19))+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2606*(MIN((Inputs!$B$9+((C2620=TRUE)*(F2620-Calc!F19))+B2632+(ArtifactsInput!$M$24-ArtifactsInput!$M$24)*CHOOSE(ArtifactsInput!$N$24+1,10,12,14,16,18,20)+(IF(AND(Inputs!$B$38&lt;&gt;"pvp",Inputs!$B$43=0),1,IF(IF(Inputs!$B$38="pvp",15,Inputs!$B$43)-(B2639)&lt;=0,1,MAX(0,IF(Inputs!$B$38="pvp",15,Inputs!$B$43)-MAX(5,B2639))/(IF(Inputs!$B$38="pvp",15,Inputs!$B$43)-(B2639))))*IF(AND(ArtifactsInput!$M$42,((Inputs!$B$9+((C2620=TRUE)*(F2620-Calc!F19))+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06">
        <f>(1-Summary!$B$11)*T2606+Summary!$B$11*V2606</f>
        <v/>
      </c>
      <c r="P2606">
        <f>IF(B2642=0,0,O2606/B2642)</f>
        <v/>
      </c>
      <c r="Q2606">
        <f>IFERROR(1/(IF(Inputs!$B$38="pvp",15,MAX(0.1,Skills!D5-IF(TRUE=TRUE,Inputs!$B$32,0)))*(1-IF(AND(ArtifactsInput!$M$27,Inputs!$B$4="Chapter Hunt"),CHOOSE(ArtifactsInput!$N$27+1,20,24,28,32,36,40),0)/100)),0)</f>
        <v/>
      </c>
      <c r="R2606">
        <f>IF(AND(Inputs!$B$38&lt;&gt;"pvp",Inputs!$B$43&gt;0),IF(MAX(0,Inputs!$B$43-B2639)&lt;=0,0,(INT(MAX(0,Inputs!$B$43-B2639)/(IF(Inputs!$B$38="pvp",15,MAX(0.1,Skills!D5-IF(TRUE=TRUE,Inputs!$B$32,0)))*(1-IF(AND(ArtifactsInput!$M$27,Inputs!$B$4="Chapter Hunt"),CHOOSE(ArtifactsInput!$N$27+1,20,24,28,32,36,40),0)/100)))+1)),0)</f>
        <v/>
      </c>
      <c r="S2606">
        <f>IFERROR(O2606/N2606,0)</f>
        <v/>
      </c>
      <c r="T2606">
        <f>IF(C2606,(H2606*N2606*IF(AND(Inputs!$B$38&lt;&gt;"pvp",Inputs!$B$43&gt;0),((Skills!G5*((R2606-1)*IF(Skills!H5&gt;0,INT(IF(Inputs!$B$3&gt;=104,MIN(35,20*(1+Inputs!$B$34/100)),20)/Skills!H5+0.000000001),1)+IF(Skills!H5&gt;0,INT(MIN(IF(Inputs!$B$3&gt;=104,MIN(35,20*(1+Inputs!$B$34/100)),20),MAX(0,MAX(0,Inputs!$B$43-B2639)-((R2606-1)*(IF(Inputs!$B$38="pvp",15,MAX(0.1,Skills!D5-IF(TRUE=TRUE,Inputs!$B$32,0)))*(1-IF(AND(ArtifactsInput!$M$27,Inputs!$B$4="Chapter Hunt"),CHOOSE(ArtifactsInput!$N$27+1,20,24,28,32,36,40),0)/100)))))/Skills!H5+0.000000001),1)))/Inputs!$B$43),G2606*Q2606))*IF(Inputs!$B$38="pvp",1,1+(Inputs!$B$20+0+Skills!P5+(IF(AND(IF(ArtifactsInput!$M$36,FALSE,TRUE),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Hunt"),CHOOSE(ArtifactsInput!$N$35+1,15,18,21,24,27,30)*(1-EXP(-(0.2*B2634)*5)),0)+IF(AND(ArtifactsInput!$M$22,Inputs!$B$4&lt;&gt;"Chapter Hunt"),CHOOSE(ArtifactsInput!$N$22+1,10,12,14,16,18,20)*((0*(((0.15*B2634*5))^0/1)+1*(((0.15*B2634*5))^1/1)+2*(((0.15*B2634*5))^2/2)+3*(((0.15*B2634*5))^3/6)+4*(((0.15*B2634*5))^4/24)+5*(((0.15*B2634*5))^5/120))/((((0.15*B2634*5))^0/1)+(((0.15*B2634*5))^1/1)+(((0.15*B2634*5))^2/2)+(((0.15*B2634*5))^3/6)+(((0.15*B2634*5))^4/24)+(((0.15*B2634*5))^5/120))),0))+IF(Inputs!$B$3&gt;=54,9*(C2604=TRUE)*MIN(1,8*(1+Inputs!$B$34/100)*Q2604)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2606*(1-MIN(100,(Inputs!$B$9+((C2620=TRUE)*(F2620-Calc!F19))+B2632+(ArtifactsInput!$M$24-ArtifactsInput!$M$24)*CHOOSE(ArtifactsInput!$N$24+1,10,12,14,16,18,20)+(IF(AND(Inputs!$B$38&lt;&gt;"pvp",Inputs!$B$43=0),1,IF(IF(Inputs!$B$38="pvp",15,Inputs!$B$43)-(B2639)&lt;=0,1,MAX(0,IF(Inputs!$B$38="pvp",15,Inputs!$B$43)-MAX(5,B2639))/(IF(Inputs!$B$38="pvp",15,Inputs!$B$43)-(B2639))))*IF(AND(ArtifactsInput!$M$42,((Inputs!$B$9+((C2620=TRUE)*(F2620-Calc!F19))+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2606*(MIN(100,(Inputs!$B$9+((C2620=TRUE)*(F2620-Calc!F19))+B2632+(ArtifactsInput!$M$24-ArtifactsInput!$M$24)*CHOOSE(ArtifactsInput!$N$24+1,10,12,14,16,18,20)+(IF(AND(Inputs!$B$38&lt;&gt;"pvp",Inputs!$B$43=0),1,IF(IF(Inputs!$B$38="pvp",15,Inputs!$B$43)-(B2639)&lt;=0,1,MAX(0,IF(Inputs!$B$38="pvp",15,Inputs!$B$43)-MAX(5,B2639))/(IF(Inputs!$B$38="pvp",15,Inputs!$B$43)-(B2639))))*IF(AND(ArtifactsInput!$M$42,((Inputs!$B$9+((C2620=TRUE)*(F2620-Calc!F19))+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2606*(1-MIN(100,(Inputs!$B$9+((C2620=TRUE)*(F2620-Calc!F19))+B2632+(ArtifactsInput!$M$24-ArtifactsInput!$M$24)*CHOOSE(ArtifactsInput!$N$24+1,10,12,14,16,18,20)+(IF(AND(Inputs!$B$38&lt;&gt;"pvp",Inputs!$B$43=0),1,IF(IF(Inputs!$B$38="pvp",15,Inputs!$B$43)-(B2639)&lt;=0,1,MAX(0,IF(Inputs!$B$38="pvp",15,Inputs!$B$43)-MAX(5,B2639))/(IF(Inputs!$B$38="pvp",15,Inputs!$B$43)-(B2639))))*IF(AND(ArtifactsInput!$M$42,((Inputs!$B$9+((C2620=TRUE)*(F2620-Calc!F19))+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2606*(MIN(100,(Inputs!$B$9+((C2620=TRUE)*(F2620-Calc!F19))+B2632+(ArtifactsInput!$M$24-ArtifactsInput!$M$24)*CHOOSE(ArtifactsInput!$N$24+1,10,12,14,16,18,20)+(IF(AND(Inputs!$B$38&lt;&gt;"pvp",Inputs!$B$43=0),1,IF(IF(Inputs!$B$38="pvp",15,Inputs!$B$43)-(B2639)&lt;=0,1,MAX(0,IF(Inputs!$B$38="pvp",15,Inputs!$B$43)-MAX(5,B2639))/(IF(Inputs!$B$38="pvp",15,Inputs!$B$43)-(B2639))))*IF(AND(ArtifactsInput!$M$42,((Inputs!$B$9+((C2620=TRUE)*(F2620-Calc!F19))+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06">
        <f>IF(C2606,(H2606*N2606*IF(AND(Inputs!$B$38&lt;&gt;"pvp",Inputs!$B$43&gt;0),((Skills!G5*((R2606-1)*IF(Skills!H5&gt;0,INT(IF(Inputs!$B$3&gt;=104,MIN(35,20*(1+Inputs!$B$34/100)),20)/Skills!H5+0.000000001),1)+IF(Skills!H5&gt;0,INT(MIN(IF(Inputs!$B$3&gt;=104,MIN(35,20*(1+Inputs!$B$34/100)),20),MAX(0,MAX(0,Inputs!$B$43-B2639)-((R2606-1)*(IF(Inputs!$B$38="pvp",15,MAX(0.1,Skills!D5-IF(TRUE=TRUE,Inputs!$B$32,0)))*(1-IF(AND(ArtifactsInput!$M$27,Inputs!$B$4="Chapter Hunt"),CHOOSE(ArtifactsInput!$N$27+1,20,24,28,32,36,40),0)/100)))))/Skills!H5+0.000000001),1)))/Inputs!$B$43),G2606*Q2606))*IF(Inputs!$B$38="pvp",1,(1+(Inputs!$B$21+Skills!Q5+(IF(ArtifactsInput!$M$33,CHOOSE(ArtifactsInput!$N$33+1,30,36,42,48,54,60),0))+(IF(AND(ArtifactsInput!$M$35,Inputs!$B$4&lt;&gt;"Chapter Hunt"),CHOOSE(ArtifactsInput!$N$35+1,15,18,21,24,27,30)*(1-EXP(-(0.2*B2634)*5)),0)+IF(AND(ArtifactsInput!$M$22,Inputs!$B$4&lt;&gt;"Chapter Hunt"),CHOOSE(ArtifactsInput!$N$22+1,10,12,14,16,18,20)*((0*(((0.15*B2634*5))^0/1)+1*(((0.15*B2634*5))^1/1)+2*(((0.15*B2634*5))^2/2)+3*(((0.15*B2634*5))^3/6)+4*(((0.15*B2634*5))^4/24)+5*(((0.15*B2634*5))^5/120))/((((0.15*B2634*5))^0/1)+(((0.15*B2634*5))^1/1)+(((0.15*B2634*5))^2/2)+(((0.15*B2634*5))^3/6)+(((0.15*B2634*5))^4/24)+(((0.15*B2634*5))^5/120))),0))+IF(Inputs!$B$3&gt;=54,9*(C2604=TRUE)*MIN(1,8*(1+Inputs!$B$34/100)*Q2604),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07">
      <c r="A2607">
        <f>Skills!A6</f>
        <v/>
      </c>
      <c r="B2607">
        <f>Skills!B6</f>
        <v/>
      </c>
      <c r="C2607">
        <f>Inputs!$B$3&gt;=66</f>
        <v/>
      </c>
      <c r="D2607">
        <f>IF(Skills!C6=1,60+Inputs!$B$25+Inputs!$B$29,IF(Skills!C6=2,90+Inputs!$B$26+Inputs!$B$29,IF(Skills!C6=3,120+Inputs!$B$27+Inputs!$B$29,MAX(0,(Inputs!$B$3-100)*3)+Inputs!$B$28+Inputs!$B$29)))</f>
        <v/>
      </c>
      <c r="E2607">
        <f>INDEX(FactorTable!$B$2:$Y$301, MATCH(ROUND(MIN(300,MAX(1,D2607)),0), FactorTable!$A$2:$A$301,0), Skills!M6+1)</f>
        <v/>
      </c>
      <c r="F2607">
        <f>IF(Skills!N6=TRUE,(Skills!L6/10)*(E2607/1000),Skills!L6/10)+Skills!O6</f>
        <v/>
      </c>
      <c r="G2607">
        <f>Skills!G6*IF(Skills!H6&gt;0,INT(IF(Inputs!$B$38="pvp",MIN(Skills!I6,15),Skills!I6)/Skills!H6+0.000000001),1)</f>
        <v/>
      </c>
      <c r="H2607">
        <f>1-(1-Skills!J6/100)^Skills!K6</f>
        <v/>
      </c>
      <c r="I2607" t="inlineStr">
        <is>
          <t>1</t>
        </is>
      </c>
      <c r="J2607">
        <f>((Inputs!$B$6*(1+Inputs!$B$7/100))+(((Inputs!$B$12*(1+Inputs!$B$13/100))-(Inputs!$B$12*(1+Inputs!$B$13/100)))+0.25*(Inputs!$B$14-Inputs!$B$14))*(1+Inputs!$B$7/100))*(F2607/100)</f>
        <v/>
      </c>
      <c r="K2607">
        <f>J2607*(1+((Inputs!$B$12*(1+Inputs!$B$13/100))*0.01+Inputs!$B$14*0.0025)/100)*(1+Inputs!$B$15/100)*(1+Inputs!$B$16/100)*(5000/(6000+Inputs!$B$42*(1-(100*(1-(1-(Inputs!$B$19+0)/100)*(1-CHOOSE(ArtifactsInput!$N$40+1,5,6,7,8,9,10)/100)^(ArtifactsInput!$M$40-ArtifactsInput!$M$40)))/100)))*(1+(Inputs!$B$24+((C2627=TRUE)*(F2627-Calc!F26))+B2638)/100)*(1+(((1+IF(AND(IF(ArtifactsInput!$M$36,FALSE,TRUE),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+2.0*IF(C2616=TRUE,F2616,0)/100)*(1+(IF(Skills!A6="EIGHT_LEGS_EASTON",Inputs!$B$17+((C2624=TRUE)*(F2624-Calc!F23))+((C2628=TRUE)*(F2628-Calc!F27))+((IF(AND(Inputs!$B$38&lt;&gt;"pvp",Inputs!$B$43=0),1,IF(IF(Inputs!$B$38="pvp",15,Inputs!$B$43)-(B2639)&lt;=0,1,MAX(0,IF(Inputs!$B$38="pvp",15,Inputs!$B$43)-MAX(5,B2639))/(IF(Inputs!$B$38="pvp",15,Inputs!$B$43)-(B2639))))*(IF(AND(ArtifactsInput!$M$42,((Inputs!$B$9+((C2620=TRUE)*(F2620-Calc!F19))+B2632+(ArtifactsInput!$M$24-ArtifactsInput!$M$24)*CHOOSE(ArtifactsInput!$N$24+1,10,12,14,16,18,20)+IF(ArtifactsInput!$M$10,CHOOSE(ArtifactsInput!$N$10+1,15,18,21,24,27,30)*(IF(Inputs!$B$38="pvp",MIN(15,15)/15,IF(AND(Inputs!$B$38&lt;&gt;"pvp",Inputs!$B$43&gt;0),MIN(15,Inputs!$B$43)/(Inputs!$B$43),0))),0)))&gt;=100),MIN(100,((Inputs!$B$9+((C2620=TRUE)*(F2620-Calc!F19))+B2632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2639)&lt;=0,1,MAX(0,IF(Inputs!$B$38="pvp",15,Inputs!$B$43)-MAX(5,B2639))/(IF(Inputs!$B$38="pvp",15,Inputs!$B$43)-(B2639))))*IF(AND(ArtifactsInput!$M$42,((Inputs!$B$9+((C2620=TRUE)*(F2620-Calc!F19))+B2632+(ArtifactsInput!$M$24-ArtifactsInput!$M$24)*CHOOSE(ArtifactsInput!$N$24+1,10,12,14,16,18,20)+IF(ArtifactsInput!$M$10,CHOOSE(ArtifactsInput!$N$10+1,15,18,21,24,27,30)*(IF(Inputs!$B$38="pvp",MIN(15,15)/15,IF(AND(Inputs!$B$38&lt;&gt;"pvp",Inputs!$B$43&gt;0),MIN(15,Inputs!$B$43)/(Inputs!$B$43),0))),0)))&gt;=100),CHOOSE(ArtifactsInput!$N$42+1,40,48,56,64,72,80),0))))/100)*((1+(((C2618=TRUE)*F2618*5/7)+((C2625=TRUE)*(F2625-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2607)</f>
        <v/>
      </c>
      <c r="L2607">
        <f>K2607*(MIN(Inputs!$B$22+((C2623=TRUE)*(F2623-Calc!F22)),(Inputs!$B$23+0+(IF(ArtifactsInput!$M$15,CHOOSE(ArtifactsInput!$N$15+1,25,30,35,40,45,50)/100*(Inputs!$B$11-Inputs!$B$11),0))))/100+(Inputs!$B$23+0+(IF(ArtifactsInput!$M$15,CHOOSE(ArtifactsInput!$N$15+1,25,30,35,40,45,50)/100*(Inputs!$B$11-Inputs!$B$11),0)))/100)/2</f>
        <v/>
      </c>
      <c r="M2607">
        <f>L2607*(1+(Inputs!$B$10+((C2626=TRUE)*(F2626-Calc!F25))+B2637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07">
        <f>L2607*(1-MIN((Inputs!$B$9+((C2620=TRUE)*(F2620-Calc!F19))+B2632+(ArtifactsInput!$M$24-ArtifactsInput!$M$24)*CHOOSE(ArtifactsInput!$N$24+1,10,12,14,16,18,20)+(IF(AND(Inputs!$B$38&lt;&gt;"pvp",Inputs!$B$43=0),1,IF(IF(Inputs!$B$38="pvp",15,Inputs!$B$43)-(B2639)&lt;=0,1,MAX(0,IF(Inputs!$B$38="pvp",15,Inputs!$B$43)-MAX(5,B2639))/(IF(Inputs!$B$38="pvp",15,Inputs!$B$43)-(B2639))))*IF(AND(ArtifactsInput!$M$42,((Inputs!$B$9+((C2620=TRUE)*(F2620-Calc!F19))+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2607*(MIN((Inputs!$B$9+((C2620=TRUE)*(F2620-Calc!F19))+B2632+(ArtifactsInput!$M$24-ArtifactsInput!$M$24)*CHOOSE(ArtifactsInput!$N$24+1,10,12,14,16,18,20)+(IF(AND(Inputs!$B$38&lt;&gt;"pvp",Inputs!$B$43=0),1,IF(IF(Inputs!$B$38="pvp",15,Inputs!$B$43)-(B2639)&lt;=0,1,MAX(0,IF(Inputs!$B$38="pvp",15,Inputs!$B$43)-MAX(5,B2639))/(IF(Inputs!$B$38="pvp",15,Inputs!$B$43)-(B2639))))*IF(AND(ArtifactsInput!$M$42,((Inputs!$B$9+((C2620=TRUE)*(F2620-Calc!F19))+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07">
        <f>(1-Summary!$B$11)*T2607+Summary!$B$11*V2607</f>
        <v/>
      </c>
      <c r="P2607">
        <f>IF(B2642=0,0,O2607/B2642)</f>
        <v/>
      </c>
      <c r="Q2607">
        <f>IFERROR(1/(IF(Inputs!$B$38="pvp",15,MAX(0.1,Skills!D6-IF(TRUE=TRUE,Inputs!$B$32,0)))*(1-IF(AND(ArtifactsInput!$M$27,Inputs!$B$4="Chapter Hunt"),CHOOSE(ArtifactsInput!$N$27+1,20,24,28,32,36,40),0)/100)),0)</f>
        <v/>
      </c>
      <c r="R2607">
        <f>IF(AND(Inputs!$B$38&lt;&gt;"pvp",Inputs!$B$43&gt;0),IF(MAX(0,Inputs!$B$43-B2639)&lt;=0,0,(INT(MAX(0,Inputs!$B$43-B2639)/(IF(Inputs!$B$38="pvp",15,MAX(0.1,Skills!D6-IF(TRUE=TRUE,Inputs!$B$32,0)))*(1-IF(AND(ArtifactsInput!$M$27,Inputs!$B$4="Chapter Hunt"),CHOOSE(ArtifactsInput!$N$27+1,20,24,28,32,36,40),0)/100)))+1)),0)</f>
        <v/>
      </c>
      <c r="S2607">
        <f>IFERROR(O2607/N2607,0)</f>
        <v/>
      </c>
      <c r="T2607">
        <f>IF(C2607,(H2607*N2607*IF(AND(Inputs!$B$38&lt;&gt;"pvp",Inputs!$B$43&gt;0),((Skills!G6*((R2607-1)*IF(Skills!H6&gt;0,INT(Skills!I6/Skills!H6+0.000000001),1)+IF(Skills!H6&gt;0,INT(MIN(Skills!I6,MAX(0,MAX(0,Inputs!$B$43-B2639)-((R2607-1)*(IF(Inputs!$B$38="pvp",15,MAX(0.1,Skills!D6-IF(TRUE=TRUE,Inputs!$B$32,0)))*(1-IF(AND(ArtifactsInput!$M$27,Inputs!$B$4="Chapter Hunt"),CHOOSE(ArtifactsInput!$N$27+1,20,24,28,32,36,40),0)/100)))))/Skills!H6+0.000000001),1)))/Inputs!$B$43),G2607*Q2607))*IF(Inputs!$B$38="pvp",1,1+(Inputs!$B$20+0+Skills!P6+(IF(AND(IF(ArtifactsInput!$M$36,FALSE,TRUE),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Hunt"),CHOOSE(ArtifactsInput!$N$35+1,15,18,21,24,27,30)*(1-EXP(-(0.2*B2634)*5)),0)+IF(AND(ArtifactsInput!$M$22,Inputs!$B$4&lt;&gt;"Chapter Hunt"),CHOOSE(ArtifactsInput!$N$22+1,10,12,14,16,18,20)*((0*(((0.15*B2634*5))^0/1)+1*(((0.15*B2634*5))^1/1)+2*(((0.15*B2634*5))^2/2)+3*(((0.15*B2634*5))^3/6)+4*(((0.15*B2634*5))^4/24)+5*(((0.15*B2634*5))^5/120))/((((0.15*B2634*5))^0/1)+(((0.15*B2634*5))^1/1)+(((0.15*B2634*5))^2/2)+(((0.15*B2634*5))^3/6)+(((0.15*B2634*5))^4/24)+(((0.15*B2634*5))^5/120))),0))+IF(Inputs!$B$3&gt;=54,9*(C2604=TRUE)*MIN(1,8*(1+Inputs!$B$34/100)*Q2604)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2607*(1-MIN(100,(Inputs!$B$9+((C2620=TRUE)*(F2620-Calc!F19))+B2632+(ArtifactsInput!$M$24-ArtifactsInput!$M$24)*CHOOSE(ArtifactsInput!$N$24+1,10,12,14,16,18,20)+(IF(AND(Inputs!$B$38&lt;&gt;"pvp",Inputs!$B$43=0),1,IF(IF(Inputs!$B$38="pvp",15,Inputs!$B$43)-(B2639)&lt;=0,1,MAX(0,IF(Inputs!$B$38="pvp",15,Inputs!$B$43)-MAX(5,B2639))/(IF(Inputs!$B$38="pvp",15,Inputs!$B$43)-(B2639))))*IF(AND(ArtifactsInput!$M$42,((Inputs!$B$9+((C2620=TRUE)*(F2620-Calc!F19))+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2607*(MIN(100,(Inputs!$B$9+((C2620=TRUE)*(F2620-Calc!F19))+B2632+(ArtifactsInput!$M$24-ArtifactsInput!$M$24)*CHOOSE(ArtifactsInput!$N$24+1,10,12,14,16,18,20)+(IF(AND(Inputs!$B$38&lt;&gt;"pvp",Inputs!$B$43=0),1,IF(IF(Inputs!$B$38="pvp",15,Inputs!$B$43)-(B2639)&lt;=0,1,MAX(0,IF(Inputs!$B$38="pvp",15,Inputs!$B$43)-MAX(5,B2639))/(IF(Inputs!$B$38="pvp",15,Inputs!$B$43)-(B2639))))*IF(AND(ArtifactsInput!$M$42,((Inputs!$B$9+((C2620=TRUE)*(F2620-Calc!F19))+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2607*(1-MIN(100,(Inputs!$B$9+((C2620=TRUE)*(F2620-Calc!F19))+B2632+(ArtifactsInput!$M$24-ArtifactsInput!$M$24)*CHOOSE(ArtifactsInput!$N$24+1,10,12,14,16,18,20)+(IF(AND(Inputs!$B$38&lt;&gt;"pvp",Inputs!$B$43=0),1,IF(IF(Inputs!$B$38="pvp",15,Inputs!$B$43)-(B2639)&lt;=0,1,MAX(0,IF(Inputs!$B$38="pvp",15,Inputs!$B$43)-MAX(5,B2639))/(IF(Inputs!$B$38="pvp",15,Inputs!$B$43)-(B2639))))*IF(AND(ArtifactsInput!$M$42,((Inputs!$B$9+((C2620=TRUE)*(F2620-Calc!F19))+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2607*(MIN(100,(Inputs!$B$9+((C2620=TRUE)*(F2620-Calc!F19))+B2632+(ArtifactsInput!$M$24-ArtifactsInput!$M$24)*CHOOSE(ArtifactsInput!$N$24+1,10,12,14,16,18,20)+(IF(AND(Inputs!$B$38&lt;&gt;"pvp",Inputs!$B$43=0),1,IF(IF(Inputs!$B$38="pvp",15,Inputs!$B$43)-(B2639)&lt;=0,1,MAX(0,IF(Inputs!$B$38="pvp",15,Inputs!$B$43)-MAX(5,B2639))/(IF(Inputs!$B$38="pvp",15,Inputs!$B$43)-(B2639))))*IF(AND(ArtifactsInput!$M$42,((Inputs!$B$9+((C2620=TRUE)*(F2620-Calc!F19))+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07">
        <f>IF(C2607,(H2607*N2607*IF(AND(Inputs!$B$38&lt;&gt;"pvp",Inputs!$B$43&gt;0),((Skills!G6*((R2607-1)*IF(Skills!H6&gt;0,INT(Skills!I6/Skills!H6+0.000000001),1)+IF(Skills!H6&gt;0,INT(MIN(Skills!I6,MAX(0,MAX(0,Inputs!$B$43-B2639)-((R2607-1)*(IF(Inputs!$B$38="pvp",15,MAX(0.1,Skills!D6-IF(TRUE=TRUE,Inputs!$B$32,0)))*(1-IF(AND(ArtifactsInput!$M$27,Inputs!$B$4="Chapter Hunt"),CHOOSE(ArtifactsInput!$N$27+1,20,24,28,32,36,40),0)/100)))))/Skills!H6+0.000000001),1)))/Inputs!$B$43),G2607*Q2607))*IF(Inputs!$B$38="pvp",1,(1+(Inputs!$B$21+Skills!Q6+(IF(ArtifactsInput!$M$33,CHOOSE(ArtifactsInput!$N$33+1,30,36,42,48,54,60),0))+(IF(AND(ArtifactsInput!$M$35,Inputs!$B$4&lt;&gt;"Chapter Hunt"),CHOOSE(ArtifactsInput!$N$35+1,15,18,21,24,27,30)*(1-EXP(-(0.2*B2634)*5)),0)+IF(AND(ArtifactsInput!$M$22,Inputs!$B$4&lt;&gt;"Chapter Hunt"),CHOOSE(ArtifactsInput!$N$22+1,10,12,14,16,18,20)*((0*(((0.15*B2634*5))^0/1)+1*(((0.15*B2634*5))^1/1)+2*(((0.15*B2634*5))^2/2)+3*(((0.15*B2634*5))^3/6)+4*(((0.15*B2634*5))^4/24)+5*(((0.15*B2634*5))^5/120))/((((0.15*B2634*5))^0/1)+(((0.15*B2634*5))^1/1)+(((0.15*B2634*5))^2/2)+(((0.15*B2634*5))^3/6)+(((0.15*B2634*5))^4/24)+(((0.15*B2634*5))^5/120))),0))+IF(Inputs!$B$3&gt;=54,9*(C2604=TRUE)*MIN(1,8*(1+Inputs!$B$34/100)*Q2604),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08">
      <c r="A2608">
        <f>Skills!A7</f>
        <v/>
      </c>
      <c r="B2608">
        <f>Skills!B7</f>
        <v/>
      </c>
      <c r="C2608">
        <f>Inputs!$B$3&gt;=63</f>
        <v/>
      </c>
      <c r="D2608">
        <f>IF(Skills!C7=1,60+Inputs!$B$25+Inputs!$B$29,IF(Skills!C7=2,90+Inputs!$B$26+Inputs!$B$29,IF(Skills!C7=3,120+Inputs!$B$27+Inputs!$B$29,MAX(0,(Inputs!$B$3-100)*3)+Inputs!$B$28+Inputs!$B$29)))</f>
        <v/>
      </c>
      <c r="E2608">
        <f>INDEX(FactorTable!$B$2:$Y$301, MATCH(ROUND(MIN(300,MAX(1,D2608)),0), FactorTable!$A$2:$A$301,0), Skills!M7+1)</f>
        <v/>
      </c>
      <c r="F2608">
        <f>IF(Skills!N7=TRUE,(Skills!L7/10)*(E2608/1000),Skills!L7/10)+Skills!O7</f>
        <v/>
      </c>
      <c r="G2608">
        <f>Skills!G7*IF(Skills!H7&gt;0,INT(IF(Inputs!$B$38="pvp",MIN(Skills!I7,15),Skills!I7)/Skills!H7+0.000000001),1)</f>
        <v/>
      </c>
      <c r="H2608">
        <f>1-(1-Skills!J7/100)^Skills!K7</f>
        <v/>
      </c>
      <c r="I2608" t="inlineStr">
        <is>
          <t>1</t>
        </is>
      </c>
      <c r="J2608">
        <f>((Inputs!$B$6*(1+Inputs!$B$7/100))+(((Inputs!$B$12*(1+Inputs!$B$13/100))-(Inputs!$B$12*(1+Inputs!$B$13/100)))+0.25*(Inputs!$B$14-Inputs!$B$14))*(1+Inputs!$B$7/100))*(F2608/100)</f>
        <v/>
      </c>
      <c r="K2608">
        <f>J2608*(1+((Inputs!$B$12*(1+Inputs!$B$13/100))*0.01+Inputs!$B$14*0.0025)/100)*(1+Inputs!$B$15/100)*(1+Inputs!$B$16/100)*(5000/(6000+Inputs!$B$42*(1-(100*(1-(1-(Inputs!$B$19+0)/100)*(1-CHOOSE(ArtifactsInput!$N$40+1,5,6,7,8,9,10)/100)^(ArtifactsInput!$M$40-ArtifactsInput!$M$40)))/100)))*(1+(Inputs!$B$24+((C2627=TRUE)*(F2627-Calc!F26))+B2638)/100)*(1+(((1+IF(AND(IF(ArtifactsInput!$M$36,FALSE,TRUE),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2616=TRUE,F2616,0)/100)*(1+(IF(Skills!A7="EIGHT_LEGS_EASTON",Inputs!$B$17+((C2624=TRUE)*(F2624-Calc!F23))+((C2628=TRUE)*(F2628-Calc!F27))+((IF(AND(Inputs!$B$38&lt;&gt;"pvp",Inputs!$B$43=0),1,IF(IF(Inputs!$B$38="pvp",15,Inputs!$B$43)-(B2639)&lt;=0,1,MAX(0,IF(Inputs!$B$38="pvp",15,Inputs!$B$43)-MAX(5,B2639))/(IF(Inputs!$B$38="pvp",15,Inputs!$B$43)-(B2639))))*(IF(AND(ArtifactsInput!$M$42,((Inputs!$B$9+((C2620=TRUE)*(F2620-Calc!F19))+B2632+(ArtifactsInput!$M$24-ArtifactsInput!$M$24)*CHOOSE(ArtifactsInput!$N$24+1,10,12,14,16,18,20)+IF(ArtifactsInput!$M$10,CHOOSE(ArtifactsInput!$N$10+1,15,18,21,24,27,30)*(IF(Inputs!$B$38="pvp",MIN(15,15)/15,IF(AND(Inputs!$B$38&lt;&gt;"pvp",Inputs!$B$43&gt;0),MIN(15,Inputs!$B$43)/(Inputs!$B$43),0))),0)))&gt;=100),MIN(100,((Inputs!$B$9+((C2620=TRUE)*(F2620-Calc!F19))+B2632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2639)&lt;=0,1,MAX(0,IF(Inputs!$B$38="pvp",15,Inputs!$B$43)-MAX(5,B2639))/(IF(Inputs!$B$38="pvp",15,Inputs!$B$43)-(B2639))))*IF(AND(ArtifactsInput!$M$42,((Inputs!$B$9+((C2620=TRUE)*(F2620-Calc!F19))+B2632+(ArtifactsInput!$M$24-ArtifactsInput!$M$24)*CHOOSE(ArtifactsInput!$N$24+1,10,12,14,16,18,20)+IF(ArtifactsInput!$M$10,CHOOSE(ArtifactsInput!$N$10+1,15,18,21,24,27,30)*(IF(Inputs!$B$38="pvp",MIN(15,15)/15,IF(AND(Inputs!$B$38&lt;&gt;"pvp",Inputs!$B$43&gt;0),MIN(15,Inputs!$B$43)/(Inputs!$B$43),0))),0)))&gt;=100),CHOOSE(ArtifactsInput!$N$42+1,40,48,56,64,72,80),0))))/100)*((1+(((C2618=TRUE)*F2618*5/7)+((C2625=TRUE)*(F2625-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2608)</f>
        <v/>
      </c>
      <c r="L2608">
        <f>K2608*(MIN(Inputs!$B$22+((C2623=TRUE)*(F2623-Calc!F22)),(Inputs!$B$23+0+(IF(ArtifactsInput!$M$15,CHOOSE(ArtifactsInput!$N$15+1,25,30,35,40,45,50)/100*(Inputs!$B$11-Inputs!$B$11),0))))/100+(Inputs!$B$23+0+(IF(ArtifactsInput!$M$15,CHOOSE(ArtifactsInput!$N$15+1,25,30,35,40,45,50)/100*(Inputs!$B$11-Inputs!$B$11),0)))/100)/2</f>
        <v/>
      </c>
      <c r="M2608">
        <f>L2608*(1+(Inputs!$B$10+((C2626=TRUE)*(F2626-Calc!F25))+B2637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08">
        <f>L2608*(1-MIN((Inputs!$B$9+((C2620=TRUE)*(F2620-Calc!F19))+B2632+(ArtifactsInput!$M$24-ArtifactsInput!$M$24)*CHOOSE(ArtifactsInput!$N$24+1,10,12,14,16,18,20)+(IF(AND(Inputs!$B$38&lt;&gt;"pvp",Inputs!$B$43=0),1,IF(IF(Inputs!$B$38="pvp",15,Inputs!$B$43)-(B2639)&lt;=0,1,MAX(0,IF(Inputs!$B$38="pvp",15,Inputs!$B$43)-MAX(5,B2639))/(IF(Inputs!$B$38="pvp",15,Inputs!$B$43)-(B2639))))*IF(AND(ArtifactsInput!$M$42,((Inputs!$B$9+((C2620=TRUE)*(F2620-Calc!F19))+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2608*(MIN((Inputs!$B$9+((C2620=TRUE)*(F2620-Calc!F19))+B2632+(ArtifactsInput!$M$24-ArtifactsInput!$M$24)*CHOOSE(ArtifactsInput!$N$24+1,10,12,14,16,18,20)+(IF(AND(Inputs!$B$38&lt;&gt;"pvp",Inputs!$B$43=0),1,IF(IF(Inputs!$B$38="pvp",15,Inputs!$B$43)-(B2639)&lt;=0,1,MAX(0,IF(Inputs!$B$38="pvp",15,Inputs!$B$43)-MAX(5,B2639))/(IF(Inputs!$B$38="pvp",15,Inputs!$B$43)-(B2639))))*IF(AND(ArtifactsInput!$M$42,((Inputs!$B$9+((C2620=TRUE)*(F2620-Calc!F19))+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08">
        <f>(1-Summary!$B$11)*T2608+Summary!$B$11*V2608</f>
        <v/>
      </c>
      <c r="P2608">
        <f>IF(B2642=0,0,O2608/B2642)</f>
        <v/>
      </c>
      <c r="Q2608">
        <f>IFERROR(1/(IF(Inputs!$B$38="pvp",15,MAX(0.1,Skills!D7-IF(TRUE=TRUE,Inputs!$B$32,0)))*(1-IF(AND(ArtifactsInput!$M$27,Inputs!$B$4="Chapter Hunt"),CHOOSE(ArtifactsInput!$N$27+1,20,24,28,32,36,40),0)/100)),0)</f>
        <v/>
      </c>
      <c r="R2608">
        <f>IF(AND(Inputs!$B$38&lt;&gt;"pvp",Inputs!$B$43&gt;0),IF(MAX(0,Inputs!$B$43-B2639)&lt;=0,0,(INT(MAX(0,Inputs!$B$43-B2639)/(IF(Inputs!$B$38="pvp",15,MAX(0.1,Skills!D7-IF(TRUE=TRUE,Inputs!$B$32,0)))*(1-IF(AND(ArtifactsInput!$M$27,Inputs!$B$4="Chapter Hunt"),CHOOSE(ArtifactsInput!$N$27+1,20,24,28,32,36,40),0)/100)))+1)),0)</f>
        <v/>
      </c>
      <c r="S2608">
        <f>IFERROR(O2608/N2608,0)</f>
        <v/>
      </c>
      <c r="T2608">
        <f>IF(C2608,(H2608*N2608*IF(AND(Inputs!$B$38&lt;&gt;"pvp",Inputs!$B$43&gt;0),((Skills!G7*((R2608-1)*IF(Skills!H7&gt;0,INT(Skills!I7/Skills!H7+0.000000001),1)+IF(Skills!H7&gt;0,INT(MIN(Skills!I7,MAX(0,MAX(0,Inputs!$B$43-B2639)-((R2608-1)*(IF(Inputs!$B$38="pvp",15,MAX(0.1,Skills!D7-IF(TRUE=TRUE,Inputs!$B$32,0)))*(1-IF(AND(ArtifactsInput!$M$27,Inputs!$B$4="Chapter Hunt"),CHOOSE(ArtifactsInput!$N$27+1,20,24,28,32,36,40),0)/100)))))/Skills!H7+0.000000001),1)))/Inputs!$B$43),G2608*Q2608))*IF(Inputs!$B$38="pvp",1,1+(Inputs!$B$20+0+Skills!P7+(IF(AND(IF(ArtifactsInput!$M$36,FALSE,TRUE),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Hunt"),CHOOSE(ArtifactsInput!$N$35+1,15,18,21,24,27,30)*(1-EXP(-(0.2*B2634)*5)),0)+IF(AND(ArtifactsInput!$M$22,Inputs!$B$4&lt;&gt;"Chapter Hunt"),CHOOSE(ArtifactsInput!$N$22+1,10,12,14,16,18,20)*((0*(((0.15*B2634*5))^0/1)+1*(((0.15*B2634*5))^1/1)+2*(((0.15*B2634*5))^2/2)+3*(((0.15*B2634*5))^3/6)+4*(((0.15*B2634*5))^4/24)+5*(((0.15*B2634*5))^5/120))/((((0.15*B2634*5))^0/1)+(((0.15*B2634*5))^1/1)+(((0.15*B2634*5))^2/2)+(((0.15*B2634*5))^3/6)+(((0.15*B2634*5))^4/24)+(((0.15*B2634*5))^5/120))),0))+IF(Inputs!$B$3&gt;=54,9*(C2604=TRUE)*MIN(1,8*(1+Inputs!$B$34/100)*Q2604)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2608*(1-MIN(100,(Inputs!$B$9+((C2620=TRUE)*(F2620-Calc!F19))+B2632+(ArtifactsInput!$M$24-ArtifactsInput!$M$24)*CHOOSE(ArtifactsInput!$N$24+1,10,12,14,16,18,20)+(IF(AND(Inputs!$B$38&lt;&gt;"pvp",Inputs!$B$43=0),1,IF(IF(Inputs!$B$38="pvp",15,Inputs!$B$43)-(B2639)&lt;=0,1,MAX(0,IF(Inputs!$B$38="pvp",15,Inputs!$B$43)-MAX(5,B2639))/(IF(Inputs!$B$38="pvp",15,Inputs!$B$43)-(B2639))))*IF(AND(ArtifactsInput!$M$42,((Inputs!$B$9+((C2620=TRUE)*(F2620-Calc!F19))+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2608*(MIN(100,(Inputs!$B$9+((C2620=TRUE)*(F2620-Calc!F19))+B2632+(ArtifactsInput!$M$24-ArtifactsInput!$M$24)*CHOOSE(ArtifactsInput!$N$24+1,10,12,14,16,18,20)+(IF(AND(Inputs!$B$38&lt;&gt;"pvp",Inputs!$B$43=0),1,IF(IF(Inputs!$B$38="pvp",15,Inputs!$B$43)-(B2639)&lt;=0,1,MAX(0,IF(Inputs!$B$38="pvp",15,Inputs!$B$43)-MAX(5,B2639))/(IF(Inputs!$B$38="pvp",15,Inputs!$B$43)-(B2639))))*IF(AND(ArtifactsInput!$M$42,((Inputs!$B$9+((C2620=TRUE)*(F2620-Calc!F19))+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2608*(1-MIN(100,(Inputs!$B$9+((C2620=TRUE)*(F2620-Calc!F19))+B2632+(ArtifactsInput!$M$24-ArtifactsInput!$M$24)*CHOOSE(ArtifactsInput!$N$24+1,10,12,14,16,18,20)+(IF(AND(Inputs!$B$38&lt;&gt;"pvp",Inputs!$B$43=0),1,IF(IF(Inputs!$B$38="pvp",15,Inputs!$B$43)-(B2639)&lt;=0,1,MAX(0,IF(Inputs!$B$38="pvp",15,Inputs!$B$43)-MAX(5,B2639))/(IF(Inputs!$B$38="pvp",15,Inputs!$B$43)-(B2639))))*IF(AND(ArtifactsInput!$M$42,((Inputs!$B$9+((C2620=TRUE)*(F2620-Calc!F19))+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2608*(MIN(100,(Inputs!$B$9+((C2620=TRUE)*(F2620-Calc!F19))+B2632+(ArtifactsInput!$M$24-ArtifactsInput!$M$24)*CHOOSE(ArtifactsInput!$N$24+1,10,12,14,16,18,20)+(IF(AND(Inputs!$B$38&lt;&gt;"pvp",Inputs!$B$43=0),1,IF(IF(Inputs!$B$38="pvp",15,Inputs!$B$43)-(B2639)&lt;=0,1,MAX(0,IF(Inputs!$B$38="pvp",15,Inputs!$B$43)-MAX(5,B2639))/(IF(Inputs!$B$38="pvp",15,Inputs!$B$43)-(B2639))))*IF(AND(ArtifactsInput!$M$42,((Inputs!$B$9+((C2620=TRUE)*(F2620-Calc!F19))+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08">
        <f>IF(C2608,(H2608*N2608*IF(AND(Inputs!$B$38&lt;&gt;"pvp",Inputs!$B$43&gt;0),((Skills!G7*((R2608-1)*IF(Skills!H7&gt;0,INT(Skills!I7/Skills!H7+0.000000001),1)+IF(Skills!H7&gt;0,INT(MIN(Skills!I7,MAX(0,MAX(0,Inputs!$B$43-B2639)-((R2608-1)*(IF(Inputs!$B$38="pvp",15,MAX(0.1,Skills!D7-IF(TRUE=TRUE,Inputs!$B$32,0)))*(1-IF(AND(ArtifactsInput!$M$27,Inputs!$B$4="Chapter Hunt"),CHOOSE(ArtifactsInput!$N$27+1,20,24,28,32,36,40),0)/100)))))/Skills!H7+0.000000001),1)))/Inputs!$B$43),G2608*Q2608))*IF(Inputs!$B$38="pvp",1,(1+(Inputs!$B$21+Skills!Q7+(IF(ArtifactsInput!$M$33,CHOOSE(ArtifactsInput!$N$33+1,30,36,42,48,54,60),0))+(IF(AND(ArtifactsInput!$M$35,Inputs!$B$4&lt;&gt;"Chapter Hunt"),CHOOSE(ArtifactsInput!$N$35+1,15,18,21,24,27,30)*(1-EXP(-(0.2*B2634)*5)),0)+IF(AND(ArtifactsInput!$M$22,Inputs!$B$4&lt;&gt;"Chapter Hunt"),CHOOSE(ArtifactsInput!$N$22+1,10,12,14,16,18,20)*((0*(((0.15*B2634*5))^0/1)+1*(((0.15*B2634*5))^1/1)+2*(((0.15*B2634*5))^2/2)+3*(((0.15*B2634*5))^3/6)+4*(((0.15*B2634*5))^4/24)+5*(((0.15*B2634*5))^5/120))/((((0.15*B2634*5))^0/1)+(((0.15*B2634*5))^1/1)+(((0.15*B2634*5))^2/2)+(((0.15*B2634*5))^3/6)+(((0.15*B2634*5))^4/24)+(((0.15*B2634*5))^5/120))),0))+IF(Inputs!$B$3&gt;=54,9*(C2604=TRUE)*MIN(1,8*(1+Inputs!$B$34/100)*Q2604),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09">
      <c r="A2609">
        <f>Skills!A8</f>
        <v/>
      </c>
      <c r="B2609">
        <f>Skills!B8</f>
        <v/>
      </c>
      <c r="C2609">
        <f>Inputs!$B$3&gt;=103</f>
        <v/>
      </c>
      <c r="D2609">
        <f>IF(Skills!C8=1,60+Inputs!$B$25+Inputs!$B$29,IF(Skills!C8=2,90+Inputs!$B$26+Inputs!$B$29,IF(Skills!C8=3,120+Inputs!$B$27+Inputs!$B$29,MAX(0,(Inputs!$B$3-100)*3)+Inputs!$B$28+Inputs!$B$29)))</f>
        <v/>
      </c>
      <c r="E2609">
        <f>INDEX(FactorTable!$B$2:$Y$301, MATCH(ROUND(MIN(300,MAX(1,D2609)),0), FactorTable!$A$2:$A$301,0), Skills!M8+1)</f>
        <v/>
      </c>
      <c r="F2609">
        <f>IF(Skills!N8=TRUE,(Skills!L8/10)*(E2609/1000),Skills!L8/10)+Skills!O8</f>
        <v/>
      </c>
      <c r="G2609">
        <f>Skills!G8*IF(Skills!H8&gt;0,INT(IF(Inputs!$B$38="pvp",MIN(Skills!I8,15),Skills!I8)/Skills!H8+0.000000001),1)</f>
        <v/>
      </c>
      <c r="H2609">
        <f>1-(1-Skills!J8/100)^Skills!K8</f>
        <v/>
      </c>
      <c r="I2609" t="inlineStr">
        <is>
          <t>1</t>
        </is>
      </c>
      <c r="J2609">
        <f>((Inputs!$B$6*(1+Inputs!$B$7/100))+(((Inputs!$B$12*(1+Inputs!$B$13/100))-(Inputs!$B$12*(1+Inputs!$B$13/100)))+0.25*(Inputs!$B$14-Inputs!$B$14))*(1+Inputs!$B$7/100))*(F2609/100)</f>
        <v/>
      </c>
      <c r="K2609">
        <f>J2609*(1+((Inputs!$B$12*(1+Inputs!$B$13/100))*0.01+Inputs!$B$14*0.0025)/100)*(1+Inputs!$B$15/100)*(1+Inputs!$B$16/100)*(5000/(6000+Inputs!$B$42*(1-(100*(1-(1-(Inputs!$B$19+0)/100)*(1-CHOOSE(ArtifactsInput!$N$40+1,5,6,7,8,9,10)/100)^(ArtifactsInput!$M$40-ArtifactsInput!$M$40)))/100)))*(1+(Inputs!$B$24+((C2627=TRUE)*(F2627-Calc!F26))+B2638)/100)*(1+(((1+IF(AND(IF(ArtifactsInput!$M$36,FALSE,TRUE),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IGHT_LEGS_EASTON",Inputs!$B$17+((C2624=TRUE)*(F2624-Calc!F23))+((C2628=TRUE)*(F2628-Calc!F27))+((IF(AND(Inputs!$B$38&lt;&gt;"pvp",Inputs!$B$43=0),1,IF(IF(Inputs!$B$38="pvp",15,Inputs!$B$43)-(B2639)&lt;=0,1,MAX(0,IF(Inputs!$B$38="pvp",15,Inputs!$B$43)-MAX(5,B2639))/(IF(Inputs!$B$38="pvp",15,Inputs!$B$43)-(B2639))))*(IF(AND(ArtifactsInput!$M$42,((Inputs!$B$9+((C2620=TRUE)*(F2620-Calc!F19))+B2632+(ArtifactsInput!$M$24-ArtifactsInput!$M$24)*CHOOSE(ArtifactsInput!$N$24+1,10,12,14,16,18,20)+IF(ArtifactsInput!$M$10,CHOOSE(ArtifactsInput!$N$10+1,15,18,21,24,27,30)*(IF(Inputs!$B$38="pvp",MIN(15,15)/15,IF(AND(Inputs!$B$38&lt;&gt;"pvp",Inputs!$B$43&gt;0),MIN(15,Inputs!$B$43)/(Inputs!$B$43),0))),0)))&gt;=100),MIN(100,((Inputs!$B$9+((C2620=TRUE)*(F2620-Calc!F19))+B2632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2639)&lt;=0,1,MAX(0,IF(Inputs!$B$38="pvp",15,Inputs!$B$43)-MAX(5,B2639))/(IF(Inputs!$B$38="pvp",15,Inputs!$B$43)-(B2639))))*IF(AND(ArtifactsInput!$M$42,((Inputs!$B$9+((C2620=TRUE)*(F2620-Calc!F19))+B2632+(ArtifactsInput!$M$24-ArtifactsInput!$M$24)*CHOOSE(ArtifactsInput!$N$24+1,10,12,14,16,18,20)+IF(ArtifactsInput!$M$10,CHOOSE(ArtifactsInput!$N$10+1,15,18,21,24,27,30)*(IF(Inputs!$B$38="pvp",MIN(15,15)/15,IF(AND(Inputs!$B$38&lt;&gt;"pvp",Inputs!$B$43&gt;0),MIN(15,Inputs!$B$43)/(Inputs!$B$43),0))),0)))&gt;=100),CHOOSE(ArtifactsInput!$N$42+1,40,48,56,64,72,80),0))))/100)*((1+(((C2618=TRUE)*F2618*5/7)+((C2625=TRUE)*(F2625-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2609)</f>
        <v/>
      </c>
      <c r="L2609">
        <f>K2609*(MIN(Inputs!$B$22+((C2623=TRUE)*(F2623-Calc!F22)),(Inputs!$B$23+0+(IF(ArtifactsInput!$M$15,CHOOSE(ArtifactsInput!$N$15+1,25,30,35,40,45,50)/100*(Inputs!$B$11-Inputs!$B$11),0))))/100+(Inputs!$B$23+0+(IF(ArtifactsInput!$M$15,CHOOSE(ArtifactsInput!$N$15+1,25,30,35,40,45,50)/100*(Inputs!$B$11-Inputs!$B$11),0)))/100)/2</f>
        <v/>
      </c>
      <c r="M2609">
        <f>L2609*(1+(Inputs!$B$10+((C2626=TRUE)*(F2626-Calc!F25))+B2637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09">
        <f>L2609*(1-MIN((Inputs!$B$9+((C2620=TRUE)*(F2620-Calc!F19))+B2632+(ArtifactsInput!$M$24-ArtifactsInput!$M$24)*CHOOSE(ArtifactsInput!$N$24+1,10,12,14,16,18,20)+(IF(AND(Inputs!$B$38&lt;&gt;"pvp",Inputs!$B$43=0),1,IF(IF(Inputs!$B$38="pvp",15,Inputs!$B$43)-(B2639)&lt;=0,1,MAX(0,IF(Inputs!$B$38="pvp",15,Inputs!$B$43)-MAX(5,B2639))/(IF(Inputs!$B$38="pvp",15,Inputs!$B$43)-(B2639))))*IF(AND(ArtifactsInput!$M$42,((Inputs!$B$9+((C2620=TRUE)*(F2620-Calc!F19))+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2609*(MIN((Inputs!$B$9+((C2620=TRUE)*(F2620-Calc!F19))+B2632+(ArtifactsInput!$M$24-ArtifactsInput!$M$24)*CHOOSE(ArtifactsInput!$N$24+1,10,12,14,16,18,20)+(IF(AND(Inputs!$B$38&lt;&gt;"pvp",Inputs!$B$43=0),1,IF(IF(Inputs!$B$38="pvp",15,Inputs!$B$43)-(B2639)&lt;=0,1,MAX(0,IF(Inputs!$B$38="pvp",15,Inputs!$B$43)-MAX(5,B2639))/(IF(Inputs!$B$38="pvp",15,Inputs!$B$43)-(B2639))))*IF(AND(ArtifactsInput!$M$42,((Inputs!$B$9+((C2620=TRUE)*(F2620-Calc!F19))+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09">
        <f>(1-Summary!$B$11)*T2609+Summary!$B$11*V2609</f>
        <v/>
      </c>
      <c r="P2609">
        <f>IF(B2642=0,0,O2609/B2642)</f>
        <v/>
      </c>
      <c r="Q2609">
        <f>IFERROR(1/((IF(Inputs!$B$38="pvp",15,MAX(0.1,Skills!D8-IF(TRUE=TRUE,Inputs!$B$32,0)))*(1-IF(AND(ArtifactsInput!$M$27,Inputs!$B$4="Chapter Hunt"),CHOOSE(ArtifactsInput!$N$27+1,20,24,28,32,36,40),0)/100))/B2643),0)</f>
        <v/>
      </c>
      <c r="R2609">
        <f>IF(AND(Inputs!$B$38&lt;&gt;"pvp",Inputs!$B$43&gt;0),IF(MAX(0,Inputs!$B$43-B2639)&lt;=0,0,(INT(MAX(0,Inputs!$B$43-B2639)/((IF(Inputs!$B$38="pvp",15,MAX(0.1,Skills!D8-IF(TRUE=TRUE,Inputs!$B$32,0)))*(1-IF(AND(ArtifactsInput!$M$27,Inputs!$B$4="Chapter Hunt"),CHOOSE(ArtifactsInput!$N$27+1,20,24,28,32,36,40),0)/100))/B2643))+1)),0)</f>
        <v/>
      </c>
      <c r="S2609">
        <f>IFERROR(O2609/N2609,0)</f>
        <v/>
      </c>
      <c r="T2609">
        <f>IF(C2609,(H2609*N2609*IF(AND(Inputs!$B$38&lt;&gt;"pvp",Inputs!$B$43&gt;0),((Skills!G8*((R2609-1)*IF(Skills!H8&gt;0,INT(Skills!I8/Skills!H8+0.000000001),1)+IF(Skills!H8&gt;0,INT(MIN(Skills!I8,MAX(0,MAX(0,Inputs!$B$43-B2639)-((R2609-1)*((IF(Inputs!$B$38="pvp",15,MAX(0.1,Skills!D8-IF(TRUE=TRUE,Inputs!$B$32,0)))*(1-IF(AND(ArtifactsInput!$M$27,Inputs!$B$4="Chapter Hunt"),CHOOSE(ArtifactsInput!$N$27+1,20,24,28,32,36,40),0)/100))/B2643))))/Skills!H8+0.000000001),1)))/Inputs!$B$43),G2609*Q2609))*IF(Inputs!$B$38="pvp",1,1+(Inputs!$B$20+0+Skills!P8+(IF(AND(IF(ArtifactsInput!$M$36,FALSE,TRUE),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Hunt"),CHOOSE(ArtifactsInput!$N$35+1,15,18,21,24,27,30)*(1-EXP(-(0.2*B2634)*5)),0)+IF(AND(ArtifactsInput!$M$22,Inputs!$B$4&lt;&gt;"Chapter Hunt"),CHOOSE(ArtifactsInput!$N$22+1,10,12,14,16,18,20)*((0*(((0.15*B2634*5))^0/1)+1*(((0.15*B2634*5))^1/1)+2*(((0.15*B2634*5))^2/2)+3*(((0.15*B2634*5))^3/6)+4*(((0.15*B2634*5))^4/24)+5*(((0.15*B2634*5))^5/120))/((((0.15*B2634*5))^0/1)+(((0.15*B2634*5))^1/1)+(((0.15*B2634*5))^2/2)+(((0.15*B2634*5))^3/6)+(((0.15*B2634*5))^4/24)+(((0.15*B2634*5))^5/120))),0))+IF(Inputs!$B$3&gt;=54,9*(C2604=TRUE)*MIN(1,8*(1+Inputs!$B$34/100)*Q2604)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2609*(1-MIN(100,(Inputs!$B$9+((C2620=TRUE)*(F2620-Calc!F19))+B2632+(ArtifactsInput!$M$24-ArtifactsInput!$M$24)*CHOOSE(ArtifactsInput!$N$24+1,10,12,14,16,18,20)+(IF(AND(Inputs!$B$38&lt;&gt;"pvp",Inputs!$B$43=0),1,IF(IF(Inputs!$B$38="pvp",15,Inputs!$B$43)-(B2639)&lt;=0,1,MAX(0,IF(Inputs!$B$38="pvp",15,Inputs!$B$43)-MAX(5,B2639))/(IF(Inputs!$B$38="pvp",15,Inputs!$B$43)-(B2639))))*IF(AND(ArtifactsInput!$M$42,((Inputs!$B$9+((C2620=TRUE)*(F2620-Calc!F19))+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2609*(MIN(100,(Inputs!$B$9+((C2620=TRUE)*(F2620-Calc!F19))+B2632+(ArtifactsInput!$M$24-ArtifactsInput!$M$24)*CHOOSE(ArtifactsInput!$N$24+1,10,12,14,16,18,20)+(IF(AND(Inputs!$B$38&lt;&gt;"pvp",Inputs!$B$43=0),1,IF(IF(Inputs!$B$38="pvp",15,Inputs!$B$43)-(B2639)&lt;=0,1,MAX(0,IF(Inputs!$B$38="pvp",15,Inputs!$B$43)-MAX(5,B2639))/(IF(Inputs!$B$38="pvp",15,Inputs!$B$43)-(B2639))))*IF(AND(ArtifactsInput!$M$42,((Inputs!$B$9+((C2620=TRUE)*(F2620-Calc!F19))+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2609*(1-MIN(100,(Inputs!$B$9+((C2620=TRUE)*(F2620-Calc!F19))+B2632+(ArtifactsInput!$M$24-ArtifactsInput!$M$24)*CHOOSE(ArtifactsInput!$N$24+1,10,12,14,16,18,20)+(IF(AND(Inputs!$B$38&lt;&gt;"pvp",Inputs!$B$43=0),1,IF(IF(Inputs!$B$38="pvp",15,Inputs!$B$43)-(B2639)&lt;=0,1,MAX(0,IF(Inputs!$B$38="pvp",15,Inputs!$B$43)-MAX(5,B2639))/(IF(Inputs!$B$38="pvp",15,Inputs!$B$43)-(B2639))))*IF(AND(ArtifactsInput!$M$42,((Inputs!$B$9+((C2620=TRUE)*(F2620-Calc!F19))+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2609*(MIN(100,(Inputs!$B$9+((C2620=TRUE)*(F2620-Calc!F19))+B2632+(ArtifactsInput!$M$24-ArtifactsInput!$M$24)*CHOOSE(ArtifactsInput!$N$24+1,10,12,14,16,18,20)+(IF(AND(Inputs!$B$38&lt;&gt;"pvp",Inputs!$B$43=0),1,IF(IF(Inputs!$B$38="pvp",15,Inputs!$B$43)-(B2639)&lt;=0,1,MAX(0,IF(Inputs!$B$38="pvp",15,Inputs!$B$43)-MAX(5,B2639))/(IF(Inputs!$B$38="pvp",15,Inputs!$B$43)-(B2639))))*IF(AND(ArtifactsInput!$M$42,((Inputs!$B$9+((C2620=TRUE)*(F2620-Calc!F19))+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09">
        <f>IF(C2609,(H2609*N2609*IF(AND(Inputs!$B$38&lt;&gt;"pvp",Inputs!$B$43&gt;0),((Skills!G8*((R2609-1)*IF(Skills!H8&gt;0,INT(Skills!I8/Skills!H8+0.000000001),1)+IF(Skills!H8&gt;0,INT(MIN(Skills!I8,MAX(0,MAX(0,Inputs!$B$43-B2639)-((R2609-1)*((IF(Inputs!$B$38="pvp",15,MAX(0.1,Skills!D8-IF(TRUE=TRUE,Inputs!$B$32,0)))*(1-IF(AND(ArtifactsInput!$M$27,Inputs!$B$4="Chapter Hunt"),CHOOSE(ArtifactsInput!$N$27+1,20,24,28,32,36,40),0)/100))/B2643))))/Skills!H8+0.000000001),1)))/Inputs!$B$43),G2609*Q2609))*IF(Inputs!$B$38="pvp",1,(1+(Inputs!$B$21+Skills!Q8+(IF(ArtifactsInput!$M$33,CHOOSE(ArtifactsInput!$N$33+1,30,36,42,48,54,60),0))+(IF(AND(ArtifactsInput!$M$35,Inputs!$B$4&lt;&gt;"Chapter Hunt"),CHOOSE(ArtifactsInput!$N$35+1,15,18,21,24,27,30)*(1-EXP(-(0.2*B2634)*5)),0)+IF(AND(ArtifactsInput!$M$22,Inputs!$B$4&lt;&gt;"Chapter Hunt"),CHOOSE(ArtifactsInput!$N$22+1,10,12,14,16,18,20)*((0*(((0.15*B2634*5))^0/1)+1*(((0.15*B2634*5))^1/1)+2*(((0.15*B2634*5))^2/2)+3*(((0.15*B2634*5))^3/6)+4*(((0.15*B2634*5))^4/24)+5*(((0.15*B2634*5))^5/120))/((((0.15*B2634*5))^0/1)+(((0.15*B2634*5))^1/1)+(((0.15*B2634*5))^2/2)+(((0.15*B2634*5))^3/6)+(((0.15*B2634*5))^4/24)+(((0.15*B2634*5))^5/120))),0))+IF(Inputs!$B$3&gt;=54,9*(C2604=TRUE)*MIN(1,8*(1+Inputs!$B$34/100)*Q2604),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10">
      <c r="A2610">
        <f>Skills!A9</f>
        <v/>
      </c>
      <c r="B2610">
        <f>Skills!B9</f>
        <v/>
      </c>
      <c r="C2610">
        <f>Inputs!$B$3&gt;=105</f>
        <v/>
      </c>
      <c r="D2610">
        <f>IF(Skills!C9=1,60+Inputs!$B$25+Inputs!$B$29,IF(Skills!C9=2,90+Inputs!$B$26+Inputs!$B$29,IF(Skills!C9=3,120+Inputs!$B$27+Inputs!$B$29,MAX(0,(Inputs!$B$3-100)*3)+Inputs!$B$28+Inputs!$B$29)))</f>
        <v/>
      </c>
      <c r="E2610">
        <f>INDEX(FactorTable!$B$2:$Y$301, MATCH(ROUND(MIN(300,MAX(1,D2610)),0), FactorTable!$A$2:$A$301,0), Skills!M9+1)</f>
        <v/>
      </c>
      <c r="F2610">
        <f>IF(Skills!N9=TRUE,(Skills!L9/10)*(E2610/1000),Skills!L9/10)+Skills!O9</f>
        <v/>
      </c>
      <c r="G2610">
        <f>Skills!G9*IF(Skills!H9&gt;0,INT(IF(Inputs!$B$38="pvp",MIN(Skills!I9,15),Skills!I9)/Skills!H9+0.000000001),1)</f>
        <v/>
      </c>
      <c r="H2610">
        <f>1-(1-Skills!J9/100)^Skills!K9</f>
        <v/>
      </c>
      <c r="I2610" t="inlineStr">
        <is>
          <t>1</t>
        </is>
      </c>
      <c r="J2610">
        <f>((Inputs!$B$6*(1+Inputs!$B$7/100))+(((Inputs!$B$12*(1+Inputs!$B$13/100))-(Inputs!$B$12*(1+Inputs!$B$13/100)))+0.25*(Inputs!$B$14-Inputs!$B$14))*(1+Inputs!$B$7/100))*(F2610/100)</f>
        <v/>
      </c>
      <c r="K2610">
        <f>J2610*(1+((Inputs!$B$12*(1+Inputs!$B$13/100))*0.01+Inputs!$B$14*0.0025)/100)*(1+Inputs!$B$15/100)*(1+Inputs!$B$16/100)*(5000/(6000+Inputs!$B$42*(1-(100*(1-(1-(Inputs!$B$19+0)/100)*(1-CHOOSE(ArtifactsInput!$N$40+1,5,6,7,8,9,10)/100)^(ArtifactsInput!$M$40-ArtifactsInput!$M$40)))/100)))*(1+(Inputs!$B$24+((C2627=TRUE)*(F2627-Calc!F26))+B2638)/100)*(1+(((1+IF(AND(IF(ArtifactsInput!$M$36,FALSE,TRUE),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IGHT_LEGS_EASTON",Inputs!$B$17+((C2624=TRUE)*(F2624-Calc!F23))+((C2628=TRUE)*(F2628-Calc!F27))+((IF(AND(Inputs!$B$38&lt;&gt;"pvp",Inputs!$B$43=0),1,IF(IF(Inputs!$B$38="pvp",15,Inputs!$B$43)-(B2639)&lt;=0,1,MAX(0,IF(Inputs!$B$38="pvp",15,Inputs!$B$43)-MAX(5,B2639))/(IF(Inputs!$B$38="pvp",15,Inputs!$B$43)-(B2639))))*(IF(AND(ArtifactsInput!$M$42,((Inputs!$B$9+((C2620=TRUE)*(F2620-Calc!F19))+B2632+(ArtifactsInput!$M$24-ArtifactsInput!$M$24)*CHOOSE(ArtifactsInput!$N$24+1,10,12,14,16,18,20)+IF(ArtifactsInput!$M$10,CHOOSE(ArtifactsInput!$N$10+1,15,18,21,24,27,30)*(IF(Inputs!$B$38="pvp",MIN(15,15)/15,IF(AND(Inputs!$B$38&lt;&gt;"pvp",Inputs!$B$43&gt;0),MIN(15,Inputs!$B$43)/(Inputs!$B$43),0))),0)))&gt;=100),MIN(100,((Inputs!$B$9+((C2620=TRUE)*(F2620-Calc!F19))+B2632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2639)&lt;=0,1,MAX(0,IF(Inputs!$B$38="pvp",15,Inputs!$B$43)-MAX(5,B2639))/(IF(Inputs!$B$38="pvp",15,Inputs!$B$43)-(B2639))))*IF(AND(ArtifactsInput!$M$42,((Inputs!$B$9+((C2620=TRUE)*(F2620-Calc!F19))+B2632+(ArtifactsInput!$M$24-ArtifactsInput!$M$24)*CHOOSE(ArtifactsInput!$N$24+1,10,12,14,16,18,20)+IF(ArtifactsInput!$M$10,CHOOSE(ArtifactsInput!$N$10+1,15,18,21,24,27,30)*(IF(Inputs!$B$38="pvp",MIN(15,15)/15,IF(AND(Inputs!$B$38&lt;&gt;"pvp",Inputs!$B$43&gt;0),MIN(15,Inputs!$B$43)/(Inputs!$B$43),0))),0)))&gt;=100),CHOOSE(ArtifactsInput!$N$42+1,40,48,56,64,72,80),0))))/100)*((1+(((C2618=TRUE)*F2618*5/7)+((C2625=TRUE)*(F2625-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2610)</f>
        <v/>
      </c>
      <c r="L2610">
        <f>K2610*(MIN(Inputs!$B$22+((C2623=TRUE)*(F2623-Calc!F22)),(Inputs!$B$23+0+(IF(ArtifactsInput!$M$15,CHOOSE(ArtifactsInput!$N$15+1,25,30,35,40,45,50)/100*(Inputs!$B$11-Inputs!$B$11),0))))/100+(Inputs!$B$23+0+(IF(ArtifactsInput!$M$15,CHOOSE(ArtifactsInput!$N$15+1,25,30,35,40,45,50)/100*(Inputs!$B$11-Inputs!$B$11),0)))/100)/2</f>
        <v/>
      </c>
      <c r="M2610">
        <f>L2610*(1+(Inputs!$B$10+((C2626=TRUE)*(F2626-Calc!F25))+B2637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10">
        <f>L2610*(1-MIN((Inputs!$B$9+((C2620=TRUE)*(F2620-Calc!F19))+B2632+(ArtifactsInput!$M$24-ArtifactsInput!$M$24)*CHOOSE(ArtifactsInput!$N$24+1,10,12,14,16,18,20)+(IF(AND(Inputs!$B$38&lt;&gt;"pvp",Inputs!$B$43=0),1,IF(IF(Inputs!$B$38="pvp",15,Inputs!$B$43)-(B2639)&lt;=0,1,MAX(0,IF(Inputs!$B$38="pvp",15,Inputs!$B$43)-MAX(5,B2639))/(IF(Inputs!$B$38="pvp",15,Inputs!$B$43)-(B2639))))*IF(AND(ArtifactsInput!$M$42,((Inputs!$B$9+((C2620=TRUE)*(F2620-Calc!F19))+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2610*(MIN((Inputs!$B$9+((C2620=TRUE)*(F2620-Calc!F19))+B2632+(ArtifactsInput!$M$24-ArtifactsInput!$M$24)*CHOOSE(ArtifactsInput!$N$24+1,10,12,14,16,18,20)+(IF(AND(Inputs!$B$38&lt;&gt;"pvp",Inputs!$B$43=0),1,IF(IF(Inputs!$B$38="pvp",15,Inputs!$B$43)-(B2639)&lt;=0,1,MAX(0,IF(Inputs!$B$38="pvp",15,Inputs!$B$43)-MAX(5,B2639))/(IF(Inputs!$B$38="pvp",15,Inputs!$B$43)-(B2639))))*IF(AND(ArtifactsInput!$M$42,((Inputs!$B$9+((C2620=TRUE)*(F2620-Calc!F19))+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10">
        <f>(1-Summary!$B$11)*T2610+Summary!$B$11*V2610</f>
        <v/>
      </c>
      <c r="P2610">
        <f>IF(B2642=0,0,O2610/B2642)</f>
        <v/>
      </c>
      <c r="Q2610">
        <f>IFERROR(1/(IF(Inputs!$B$38="pvp",15,MAX(0.1,Skills!D9-IF(TRUE=TRUE,Inputs!$B$32,0)))*(1-IF(AND(ArtifactsInput!$M$27,Inputs!$B$4="Chapter Hunt"),CHOOSE(ArtifactsInput!$N$27+1,20,24,28,32,36,40),0)/100)),0)</f>
        <v/>
      </c>
      <c r="R2610">
        <f>IF(AND(Inputs!$B$38&lt;&gt;"pvp",Inputs!$B$43&gt;0),IF(MAX(0,Inputs!$B$43-B2639)&lt;=0,0,(INT(MAX(0,Inputs!$B$43-B2639)/(IF(Inputs!$B$38="pvp",15,MAX(0.1,Skills!D9-IF(TRUE=TRUE,Inputs!$B$32,0)))*(1-IF(AND(ArtifactsInput!$M$27,Inputs!$B$4="Chapter Hunt"),CHOOSE(ArtifactsInput!$N$27+1,20,24,28,32,36,40),0)/100)))+1)),0)</f>
        <v/>
      </c>
      <c r="S2610">
        <f>IFERROR(O2610/N2610,0)</f>
        <v/>
      </c>
      <c r="T2610">
        <f>IF(C2610,(H2610*N2610*IF(AND(Inputs!$B$38&lt;&gt;"pvp",Inputs!$B$43&gt;0),((Skills!G9*((R2610-1)*IF(Skills!H9&gt;0,INT(Skills!I9/Skills!H9+0.000000001),1)+IF(Skills!H9&gt;0,INT(MIN(Skills!I9,MAX(0,MAX(0,Inputs!$B$43-B2639)-((R2610-1)*(IF(Inputs!$B$38="pvp",15,MAX(0.1,Skills!D9-IF(TRUE=TRUE,Inputs!$B$32,0)))*(1-IF(AND(ArtifactsInput!$M$27,Inputs!$B$4="Chapter Hunt"),CHOOSE(ArtifactsInput!$N$27+1,20,24,28,32,36,40),0)/100)))))/Skills!H9+0.000000001),1)))/Inputs!$B$43),G2610*Q2610))*IF(Inputs!$B$38="pvp",1,1+(Inputs!$B$20+0+Skills!P9+(IF(AND(IF(ArtifactsInput!$M$36,FALSE,TRUE),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Hunt"),CHOOSE(ArtifactsInput!$N$35+1,15,18,21,24,27,30)*(1-EXP(-(0.2*B2634)*5)),0)+IF(AND(ArtifactsInput!$M$22,Inputs!$B$4&lt;&gt;"Chapter Hunt"),CHOOSE(ArtifactsInput!$N$22+1,10,12,14,16,18,20)*((0*(((0.15*B2634*5))^0/1)+1*(((0.15*B2634*5))^1/1)+2*(((0.15*B2634*5))^2/2)+3*(((0.15*B2634*5))^3/6)+4*(((0.15*B2634*5))^4/24)+5*(((0.15*B2634*5))^5/120))/((((0.15*B2634*5))^0/1)+(((0.15*B2634*5))^1/1)+(((0.15*B2634*5))^2/2)+(((0.15*B2634*5))^3/6)+(((0.15*B2634*5))^4/24)+(((0.15*B2634*5))^5/120))),0))+IF(Inputs!$B$3&gt;=54,9*(C2604=TRUE)*MIN(1,8*(1+Inputs!$B$34/100)*Q2604)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2610*(1-MIN(100,(Inputs!$B$9+((C2620=TRUE)*(F2620-Calc!F19))+B2632+(ArtifactsInput!$M$24-ArtifactsInput!$M$24)*CHOOSE(ArtifactsInput!$N$24+1,10,12,14,16,18,20)+(IF(AND(Inputs!$B$38&lt;&gt;"pvp",Inputs!$B$43=0),1,IF(IF(Inputs!$B$38="pvp",15,Inputs!$B$43)-(B2639)&lt;=0,1,MAX(0,IF(Inputs!$B$38="pvp",15,Inputs!$B$43)-MAX(5,B2639))/(IF(Inputs!$B$38="pvp",15,Inputs!$B$43)-(B2639))))*IF(AND(ArtifactsInput!$M$42,((Inputs!$B$9+((C2620=TRUE)*(F2620-Calc!F19))+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2610*(MIN(100,(Inputs!$B$9+((C2620=TRUE)*(F2620-Calc!F19))+B2632+(ArtifactsInput!$M$24-ArtifactsInput!$M$24)*CHOOSE(ArtifactsInput!$N$24+1,10,12,14,16,18,20)+(IF(AND(Inputs!$B$38&lt;&gt;"pvp",Inputs!$B$43=0),1,IF(IF(Inputs!$B$38="pvp",15,Inputs!$B$43)-(B2639)&lt;=0,1,MAX(0,IF(Inputs!$B$38="pvp",15,Inputs!$B$43)-MAX(5,B2639))/(IF(Inputs!$B$38="pvp",15,Inputs!$B$43)-(B2639))))*IF(AND(ArtifactsInput!$M$42,((Inputs!$B$9+((C2620=TRUE)*(F2620-Calc!F19))+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2610*(1-MIN(100,(Inputs!$B$9+((C2620=TRUE)*(F2620-Calc!F19))+B2632+(ArtifactsInput!$M$24-ArtifactsInput!$M$24)*CHOOSE(ArtifactsInput!$N$24+1,10,12,14,16,18,20)+(IF(AND(Inputs!$B$38&lt;&gt;"pvp",Inputs!$B$43=0),1,IF(IF(Inputs!$B$38="pvp",15,Inputs!$B$43)-(B2639)&lt;=0,1,MAX(0,IF(Inputs!$B$38="pvp",15,Inputs!$B$43)-MAX(5,B2639))/(IF(Inputs!$B$38="pvp",15,Inputs!$B$43)-(B2639))))*IF(AND(ArtifactsInput!$M$42,((Inputs!$B$9+((C2620=TRUE)*(F2620-Calc!F19))+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2610*(MIN(100,(Inputs!$B$9+((C2620=TRUE)*(F2620-Calc!F19))+B2632+(ArtifactsInput!$M$24-ArtifactsInput!$M$24)*CHOOSE(ArtifactsInput!$N$24+1,10,12,14,16,18,20)+(IF(AND(Inputs!$B$38&lt;&gt;"pvp",Inputs!$B$43=0),1,IF(IF(Inputs!$B$38="pvp",15,Inputs!$B$43)-(B2639)&lt;=0,1,MAX(0,IF(Inputs!$B$38="pvp",15,Inputs!$B$43)-MAX(5,B2639))/(IF(Inputs!$B$38="pvp",15,Inputs!$B$43)-(B2639))))*IF(AND(ArtifactsInput!$M$42,((Inputs!$B$9+((C2620=TRUE)*(F2620-Calc!F19))+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10">
        <f>IF(C2610,(H2610*N2610*IF(AND(Inputs!$B$38&lt;&gt;"pvp",Inputs!$B$43&gt;0),((Skills!G9*((R2610-1)*IF(Skills!H9&gt;0,INT(Skills!I9/Skills!H9+0.000000001),1)+IF(Skills!H9&gt;0,INT(MIN(Skills!I9,MAX(0,MAX(0,Inputs!$B$43-B2639)-((R2610-1)*(IF(Inputs!$B$38="pvp",15,MAX(0.1,Skills!D9-IF(TRUE=TRUE,Inputs!$B$32,0)))*(1-IF(AND(ArtifactsInput!$M$27,Inputs!$B$4="Chapter Hunt"),CHOOSE(ArtifactsInput!$N$27+1,20,24,28,32,36,40),0)/100)))))/Skills!H9+0.000000001),1)))/Inputs!$B$43),G2610*Q2610))*IF(Inputs!$B$38="pvp",1,(1+(Inputs!$B$21+Skills!Q9+(IF(ArtifactsInput!$M$33,CHOOSE(ArtifactsInput!$N$33+1,30,36,42,48,54,60),0))+(IF(AND(ArtifactsInput!$M$35,Inputs!$B$4&lt;&gt;"Chapter Hunt"),CHOOSE(ArtifactsInput!$N$35+1,15,18,21,24,27,30)*(1-EXP(-(0.2*B2634)*5)),0)+IF(AND(ArtifactsInput!$M$22,Inputs!$B$4&lt;&gt;"Chapter Hunt"),CHOOSE(ArtifactsInput!$N$22+1,10,12,14,16,18,20)*((0*(((0.15*B2634*5))^0/1)+1*(((0.15*B2634*5))^1/1)+2*(((0.15*B2634*5))^2/2)+3*(((0.15*B2634*5))^3/6)+4*(((0.15*B2634*5))^4/24)+5*(((0.15*B2634*5))^5/120))/((((0.15*B2634*5))^0/1)+(((0.15*B2634*5))^1/1)+(((0.15*B2634*5))^2/2)+(((0.15*B2634*5))^3/6)+(((0.15*B2634*5))^4/24)+(((0.15*B2634*5))^5/120))),0))+IF(Inputs!$B$3&gt;=54,9*(C2604=TRUE)*MIN(1,8*(1+Inputs!$B$34/100)*Q2604),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11">
      <c r="A2611">
        <f>Skills!A10</f>
        <v/>
      </c>
      <c r="B2611">
        <f>Skills!B10</f>
        <v/>
      </c>
      <c r="C2611">
        <f>Inputs!$B$3&gt;=113</f>
        <v/>
      </c>
      <c r="D2611">
        <f>IF(Skills!C10=1,60+Inputs!$B$25+Inputs!$B$29,IF(Skills!C10=2,90+Inputs!$B$26+Inputs!$B$29,IF(Skills!C10=3,120+Inputs!$B$27+Inputs!$B$29,MAX(0,(Inputs!$B$3-100)*3)+Inputs!$B$28+Inputs!$B$29)))</f>
        <v/>
      </c>
      <c r="E2611">
        <f>INDEX(FactorTable!$B$2:$Y$301, MATCH(ROUND(MIN(300,MAX(1,D2611)),0), FactorTable!$A$2:$A$301,0), Skills!M10+1)</f>
        <v/>
      </c>
      <c r="F2611">
        <f>IF(Skills!N10=TRUE,(Skills!L10/10)*(E2611/1000),Skills!L10/10)+Skills!O10</f>
        <v/>
      </c>
      <c r="G2611">
        <f>Skills!G10*IF(Skills!H10&gt;0,INT(IF(Inputs!$B$38="pvp",MIN(Skills!I10,15),Skills!I10)/Skills!H10+0.000000001),1)</f>
        <v/>
      </c>
      <c r="H2611">
        <f>1-(1-Skills!J10/100)^Skills!K10</f>
        <v/>
      </c>
      <c r="I2611" t="inlineStr">
        <is>
          <t>1</t>
        </is>
      </c>
      <c r="J2611">
        <f>((Inputs!$B$6*(1+Inputs!$B$7/100))+(((Inputs!$B$12*(1+Inputs!$B$13/100))-(Inputs!$B$12*(1+Inputs!$B$13/100)))+0.25*(Inputs!$B$14-Inputs!$B$14))*(1+Inputs!$B$7/100))*(F2611/100)</f>
        <v/>
      </c>
      <c r="K2611">
        <f>J2611*(1+((Inputs!$B$12*(1+Inputs!$B$13/100))*0.01+Inputs!$B$14*0.0025)/100)*(1+Inputs!$B$15/100)*(1+Inputs!$B$16/100)*(5000/(6000+Inputs!$B$42*(1-(100*(1-(1-(Inputs!$B$19+0)/100)*(1-CHOOSE(ArtifactsInput!$N$40+1,5,6,7,8,9,10)/100)^(ArtifactsInput!$M$40-ArtifactsInput!$M$40)))/100)))*(1+(Inputs!$B$24+((C2627=TRUE)*(F2627-Calc!F26))+B2638)/100)*(1+(((1+IF(AND(IF(ArtifactsInput!$M$36,FALSE,TRUE),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IGHT_LEGS_EASTON",Inputs!$B$17+((C2624=TRUE)*(F2624-Calc!F23))+((C2628=TRUE)*(F2628-Calc!F27))+((IF(AND(Inputs!$B$38&lt;&gt;"pvp",Inputs!$B$43=0),1,IF(IF(Inputs!$B$38="pvp",15,Inputs!$B$43)-(B2639)&lt;=0,1,MAX(0,IF(Inputs!$B$38="pvp",15,Inputs!$B$43)-MAX(5,B2639))/(IF(Inputs!$B$38="pvp",15,Inputs!$B$43)-(B2639))))*(IF(AND(ArtifactsInput!$M$42,((Inputs!$B$9+((C2620=TRUE)*(F2620-Calc!F19))+B2632+(ArtifactsInput!$M$24-ArtifactsInput!$M$24)*CHOOSE(ArtifactsInput!$N$24+1,10,12,14,16,18,20)+IF(ArtifactsInput!$M$10,CHOOSE(ArtifactsInput!$N$10+1,15,18,21,24,27,30)*(IF(Inputs!$B$38="pvp",MIN(15,15)/15,IF(AND(Inputs!$B$38&lt;&gt;"pvp",Inputs!$B$43&gt;0),MIN(15,Inputs!$B$43)/(Inputs!$B$43),0))),0)))&gt;=100),MIN(100,((Inputs!$B$9+((C2620=TRUE)*(F2620-Calc!F19))+B2632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2639)&lt;=0,1,MAX(0,IF(Inputs!$B$38="pvp",15,Inputs!$B$43)-MAX(5,B2639))/(IF(Inputs!$B$38="pvp",15,Inputs!$B$43)-(B2639))))*IF(AND(ArtifactsInput!$M$42,((Inputs!$B$9+((C2620=TRUE)*(F2620-Calc!F19))+B2632+(ArtifactsInput!$M$24-ArtifactsInput!$M$24)*CHOOSE(ArtifactsInput!$N$24+1,10,12,14,16,18,20)+IF(ArtifactsInput!$M$10,CHOOSE(ArtifactsInput!$N$10+1,15,18,21,24,27,30)*(IF(Inputs!$B$38="pvp",MIN(15,15)/15,IF(AND(Inputs!$B$38&lt;&gt;"pvp",Inputs!$B$43&gt;0),MIN(15,Inputs!$B$43)/(Inputs!$B$43),0))),0)))&gt;=100),CHOOSE(ArtifactsInput!$N$42+1,40,48,56,64,72,80),0))))/100)*((1+(((C2618=TRUE)*F2618*5/7)+((C2625=TRUE)*(F2625-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2611)</f>
        <v/>
      </c>
      <c r="L2611">
        <f>K2611*(MIN(Inputs!$B$22+((C2623=TRUE)*(F2623-Calc!F22)),(Inputs!$B$23+0+(IF(ArtifactsInput!$M$15,CHOOSE(ArtifactsInput!$N$15+1,25,30,35,40,45,50)/100*(Inputs!$B$11-Inputs!$B$11),0))))/100+(Inputs!$B$23+0+(IF(ArtifactsInput!$M$15,CHOOSE(ArtifactsInput!$N$15+1,25,30,35,40,45,50)/100*(Inputs!$B$11-Inputs!$B$11),0)))/100)/2</f>
        <v/>
      </c>
      <c r="M2611">
        <f>L2611*(1+(Inputs!$B$10+((C2626=TRUE)*(F2626-Calc!F25))+B2637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11">
        <f>L2611*(1-MIN((Inputs!$B$9+((C2620=TRUE)*(F2620-Calc!F19))+B2632+(ArtifactsInput!$M$24-ArtifactsInput!$M$24)*CHOOSE(ArtifactsInput!$N$24+1,10,12,14,16,18,20)+(IF(AND(Inputs!$B$38&lt;&gt;"pvp",Inputs!$B$43=0),1,IF(IF(Inputs!$B$38="pvp",15,Inputs!$B$43)-(B2639)&lt;=0,1,MAX(0,IF(Inputs!$B$38="pvp",15,Inputs!$B$43)-MAX(5,B2639))/(IF(Inputs!$B$38="pvp",15,Inputs!$B$43)-(B2639))))*IF(AND(ArtifactsInput!$M$42,((Inputs!$B$9+((C2620=TRUE)*(F2620-Calc!F19))+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2611*(MIN((Inputs!$B$9+((C2620=TRUE)*(F2620-Calc!F19))+B2632+(ArtifactsInput!$M$24-ArtifactsInput!$M$24)*CHOOSE(ArtifactsInput!$N$24+1,10,12,14,16,18,20)+(IF(AND(Inputs!$B$38&lt;&gt;"pvp",Inputs!$B$43=0),1,IF(IF(Inputs!$B$38="pvp",15,Inputs!$B$43)-(B2639)&lt;=0,1,MAX(0,IF(Inputs!$B$38="pvp",15,Inputs!$B$43)-MAX(5,B2639))/(IF(Inputs!$B$38="pvp",15,Inputs!$B$43)-(B2639))))*IF(AND(ArtifactsInput!$M$42,((Inputs!$B$9+((C2620=TRUE)*(F2620-Calc!F19))+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11">
        <f>(1-Summary!$B$11)*T2611+Summary!$B$11*V2611</f>
        <v/>
      </c>
      <c r="P2611">
        <f>IF(B2642=0,0,O2611/B2642)</f>
        <v/>
      </c>
      <c r="Q2611" t="n">
        <v>0</v>
      </c>
      <c r="R2611" t="n">
        <v>0</v>
      </c>
      <c r="S2611">
        <f>IFERROR(O2611/N2611,0)</f>
        <v/>
      </c>
      <c r="T2611">
        <f>IF(C2611,((H2611*B2644)/(1+Skills!H10*H2611*B2644)*N2611)*IF(Inputs!$B$38="pvp",1,1+(Inputs!$B$20+0+Skills!P10+(IF(AND(IF(ArtifactsInput!$M$36,FALSE,TRUE),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Hunt"),CHOOSE(ArtifactsInput!$N$35+1,15,18,21,24,27,30)*(1-EXP(-(0.2*B2634)*5)),0)+IF(AND(ArtifactsInput!$M$22,Inputs!$B$4&lt;&gt;"Chapter Hunt"),CHOOSE(ArtifactsInput!$N$22+1,10,12,14,16,18,20)*((0*(((0.15*B2634*5))^0/1)+1*(((0.15*B2634*5))^1/1)+2*(((0.15*B2634*5))^2/2)+3*(((0.15*B2634*5))^3/6)+4*(((0.15*B2634*5))^4/24)+5*(((0.15*B2634*5))^5/120))/((((0.15*B2634*5))^0/1)+(((0.15*B2634*5))^1/1)+(((0.15*B2634*5))^2/2)+(((0.15*B2634*5))^3/6)+(((0.15*B2634*5))^4/24)+(((0.15*B2634*5))^5/120))),0))+IF(Inputs!$B$3&gt;=54,9*(C2604=TRUE)*MIN(1,8*(1+Inputs!$B$34/100)*Q2604)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2611*(1-MIN(100,(Inputs!$B$9+((C2620=TRUE)*(F2620-Calc!F19))+B2632+(ArtifactsInput!$M$24-ArtifactsInput!$M$24)*CHOOSE(ArtifactsInput!$N$24+1,10,12,14,16,18,20)+(IF(AND(Inputs!$B$38&lt;&gt;"pvp",Inputs!$B$43=0),1,IF(IF(Inputs!$B$38="pvp",15,Inputs!$B$43)-(B2639)&lt;=0,1,MAX(0,IF(Inputs!$B$38="pvp",15,Inputs!$B$43)-MAX(5,B2639))/(IF(Inputs!$B$38="pvp",15,Inputs!$B$43)-(B2639))))*IF(AND(ArtifactsInput!$M$42,((Inputs!$B$9+((C2620=TRUE)*(F2620-Calc!F19))+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2611*(MIN(100,(Inputs!$B$9+((C2620=TRUE)*(F2620-Calc!F19))+B2632+(ArtifactsInput!$M$24-ArtifactsInput!$M$24)*CHOOSE(ArtifactsInput!$N$24+1,10,12,14,16,18,20)+(IF(AND(Inputs!$B$38&lt;&gt;"pvp",Inputs!$B$43=0),1,IF(IF(Inputs!$B$38="pvp",15,Inputs!$B$43)-(B2639)&lt;=0,1,MAX(0,IF(Inputs!$B$38="pvp",15,Inputs!$B$43)-MAX(5,B2639))/(IF(Inputs!$B$38="pvp",15,Inputs!$B$43)-(B2639))))*IF(AND(ArtifactsInput!$M$42,((Inputs!$B$9+((C2620=TRUE)*(F2620-Calc!F19))+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2611*(1-MIN(100,(Inputs!$B$9+((C2620=TRUE)*(F2620-Calc!F19))+B2632+(ArtifactsInput!$M$24-ArtifactsInput!$M$24)*CHOOSE(ArtifactsInput!$N$24+1,10,12,14,16,18,20)+(IF(AND(Inputs!$B$38&lt;&gt;"pvp",Inputs!$B$43=0),1,IF(IF(Inputs!$B$38="pvp",15,Inputs!$B$43)-(B2639)&lt;=0,1,MAX(0,IF(Inputs!$B$38="pvp",15,Inputs!$B$43)-MAX(5,B2639))/(IF(Inputs!$B$38="pvp",15,Inputs!$B$43)-(B2639))))*IF(AND(ArtifactsInput!$M$42,((Inputs!$B$9+((C2620=TRUE)*(F2620-Calc!F19))+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2611*(MIN(100,(Inputs!$B$9+((C2620=TRUE)*(F2620-Calc!F19))+B2632+(ArtifactsInput!$M$24-ArtifactsInput!$M$24)*CHOOSE(ArtifactsInput!$N$24+1,10,12,14,16,18,20)+(IF(AND(Inputs!$B$38&lt;&gt;"pvp",Inputs!$B$43=0),1,IF(IF(Inputs!$B$38="pvp",15,Inputs!$B$43)-(B2639)&lt;=0,1,MAX(0,IF(Inputs!$B$38="pvp",15,Inputs!$B$43)-MAX(5,B2639))/(IF(Inputs!$B$38="pvp",15,Inputs!$B$43)-(B2639))))*IF(AND(ArtifactsInput!$M$42,((Inputs!$B$9+((C2620=TRUE)*(F2620-Calc!F19))+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11">
        <f>IF(C2611,((H2611*B2644)/(1+Skills!H10*H2611*B2644)*N2611)*IF(Inputs!$B$38="pvp",1,(1+(Inputs!$B$21+Skills!Q10+(IF(ArtifactsInput!$M$33,CHOOSE(ArtifactsInput!$N$33+1,30,36,42,48,54,60),0))+(IF(AND(ArtifactsInput!$M$35,Inputs!$B$4&lt;&gt;"Chapter Hunt"),CHOOSE(ArtifactsInput!$N$35+1,15,18,21,24,27,30)*(1-EXP(-(0.2*B2634)*5)),0)+IF(AND(ArtifactsInput!$M$22,Inputs!$B$4&lt;&gt;"Chapter Hunt"),CHOOSE(ArtifactsInput!$N$22+1,10,12,14,16,18,20)*((0*(((0.15*B2634*5))^0/1)+1*(((0.15*B2634*5))^1/1)+2*(((0.15*B2634*5))^2/2)+3*(((0.15*B2634*5))^3/6)+4*(((0.15*B2634*5))^4/24)+5*(((0.15*B2634*5))^5/120))/((((0.15*B2634*5))^0/1)+(((0.15*B2634*5))^1/1)+(((0.15*B2634*5))^2/2)+(((0.15*B2634*5))^3/6)+(((0.15*B2634*5))^4/24)+(((0.15*B2634*5))^5/120))),0))+IF(Inputs!$B$3&gt;=54,9*(C2604=TRUE)*MIN(1,8*(1+Inputs!$B$34/100)*Q2604),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12">
      <c r="A2612">
        <f>Skills!A11</f>
        <v/>
      </c>
      <c r="B2612">
        <f>Skills!B11</f>
        <v/>
      </c>
      <c r="C2612">
        <f>Inputs!$B$3&gt;=117</f>
        <v/>
      </c>
      <c r="D2612">
        <f>IF(Skills!C11=1,60+Inputs!$B$25+Inputs!$B$29,IF(Skills!C11=2,90+Inputs!$B$26+Inputs!$B$29,IF(Skills!C11=3,120+Inputs!$B$27+Inputs!$B$29,MAX(0,(Inputs!$B$3-100)*3)+Inputs!$B$28+Inputs!$B$29)))</f>
        <v/>
      </c>
      <c r="E2612">
        <f>INDEX(FactorTable!$B$2:$Y$301, MATCH(ROUND(MIN(300,MAX(1,D2612)),0), FactorTable!$A$2:$A$301,0), Skills!M11+1)</f>
        <v/>
      </c>
      <c r="F2612">
        <f>IF(Skills!N11=TRUE,(Skills!L11/10)*(E2612/1000),Skills!L11/10)+Skills!O11</f>
        <v/>
      </c>
      <c r="G2612">
        <f>Skills!G11*IF(Skills!H11&gt;0,INT(IF(Inputs!$B$38="pvp",MIN(Skills!I11,15),Skills!I11)/Skills!H11+0.000000001),1)</f>
        <v/>
      </c>
      <c r="H2612">
        <f>1-(1-Skills!J11/100)^Skills!K11</f>
        <v/>
      </c>
      <c r="I2612" t="inlineStr">
        <is>
          <t>1</t>
        </is>
      </c>
      <c r="J2612">
        <f>((Inputs!$B$6*(1+Inputs!$B$7/100))+(((Inputs!$B$12*(1+Inputs!$B$13/100))-(Inputs!$B$12*(1+Inputs!$B$13/100)))+0.25*(Inputs!$B$14-Inputs!$B$14))*(1+Inputs!$B$7/100))*(F2612/100)</f>
        <v/>
      </c>
      <c r="K2612">
        <f>J2612*(1+((Inputs!$B$12*(1+Inputs!$B$13/100))*0.01+Inputs!$B$14*0.0025)/100)*(1+Inputs!$B$15/100)*(1+Inputs!$B$16/100)*(5000/(6000+Inputs!$B$42*(1-(100*(1-(1-(Inputs!$B$19+0)/100)*(1-CHOOSE(ArtifactsInput!$N$40+1,5,6,7,8,9,10)/100)^(ArtifactsInput!$M$40-ArtifactsInput!$M$40)))/100)))*(1+(Inputs!$B$24+((C2627=TRUE)*(F2627-Calc!F26))+B2638)/100)*(1+(((1+IF(AND(IF(ArtifactsInput!$M$36,FALSE,TRUE),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IGHT_LEGS_EASTON",Inputs!$B$17+((C2624=TRUE)*(F2624-Calc!F23))+((C2628=TRUE)*(F2628-Calc!F27))+((IF(AND(Inputs!$B$38&lt;&gt;"pvp",Inputs!$B$43=0),1,IF(IF(Inputs!$B$38="pvp",15,Inputs!$B$43)-(B2639)&lt;=0,1,MAX(0,IF(Inputs!$B$38="pvp",15,Inputs!$B$43)-MAX(5,B2639))/(IF(Inputs!$B$38="pvp",15,Inputs!$B$43)-(B2639))))*(IF(AND(ArtifactsInput!$M$42,((Inputs!$B$9+((C2620=TRUE)*(F2620-Calc!F19))+B2632+(ArtifactsInput!$M$24-ArtifactsInput!$M$24)*CHOOSE(ArtifactsInput!$N$24+1,10,12,14,16,18,20)+IF(ArtifactsInput!$M$10,CHOOSE(ArtifactsInput!$N$10+1,15,18,21,24,27,30)*(IF(Inputs!$B$38="pvp",MIN(15,15)/15,IF(AND(Inputs!$B$38&lt;&gt;"pvp",Inputs!$B$43&gt;0),MIN(15,Inputs!$B$43)/(Inputs!$B$43),0))),0)))&gt;=100),MIN(100,((Inputs!$B$9+((C2620=TRUE)*(F2620-Calc!F19))+B2632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2639)&lt;=0,1,MAX(0,IF(Inputs!$B$38="pvp",15,Inputs!$B$43)-MAX(5,B2639))/(IF(Inputs!$B$38="pvp",15,Inputs!$B$43)-(B2639))))*IF(AND(ArtifactsInput!$M$42,((Inputs!$B$9+((C2620=TRUE)*(F2620-Calc!F19))+B2632+(ArtifactsInput!$M$24-ArtifactsInput!$M$24)*CHOOSE(ArtifactsInput!$N$24+1,10,12,14,16,18,20)+IF(ArtifactsInput!$M$10,CHOOSE(ArtifactsInput!$N$10+1,15,18,21,24,27,30)*(IF(Inputs!$B$38="pvp",MIN(15,15)/15,IF(AND(Inputs!$B$38&lt;&gt;"pvp",Inputs!$B$43&gt;0),MIN(15,Inputs!$B$43)/(Inputs!$B$43),0))),0)))&gt;=100),CHOOSE(ArtifactsInput!$N$42+1,40,48,56,64,72,80),0))))/100)*((1+(((C2618=TRUE)*F2618*5/7)+((C2625=TRUE)*(F2625-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2612)</f>
        <v/>
      </c>
      <c r="L2612">
        <f>K2612*(MIN(Inputs!$B$22+((C2623=TRUE)*(F2623-Calc!F22)),(Inputs!$B$23+0+(IF(ArtifactsInput!$M$15,CHOOSE(ArtifactsInput!$N$15+1,25,30,35,40,45,50)/100*(Inputs!$B$11-Inputs!$B$11),0))))/100+(Inputs!$B$23+0+(IF(ArtifactsInput!$M$15,CHOOSE(ArtifactsInput!$N$15+1,25,30,35,40,45,50)/100*(Inputs!$B$11-Inputs!$B$11),0)))/100)/2</f>
        <v/>
      </c>
      <c r="M2612">
        <f>L2612*(1+(Inputs!$B$10+((C2626=TRUE)*(F2626-Calc!F25))+B2637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12">
        <f>L2612*(1-MIN((Inputs!$B$9+((C2620=TRUE)*(F2620-Calc!F19))+B2632+(ArtifactsInput!$M$24-ArtifactsInput!$M$24)*CHOOSE(ArtifactsInput!$N$24+1,10,12,14,16,18,20)+(IF(AND(Inputs!$B$38&lt;&gt;"pvp",Inputs!$B$43=0),1,IF(IF(Inputs!$B$38="pvp",15,Inputs!$B$43)-(B2639)&lt;=0,1,MAX(0,IF(Inputs!$B$38="pvp",15,Inputs!$B$43)-MAX(5,B2639))/(IF(Inputs!$B$38="pvp",15,Inputs!$B$43)-(B2639))))*IF(AND(ArtifactsInput!$M$42,((Inputs!$B$9+((C2620=TRUE)*(F2620-Calc!F19))+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2612*(MIN((Inputs!$B$9+((C2620=TRUE)*(F2620-Calc!F19))+B2632+(ArtifactsInput!$M$24-ArtifactsInput!$M$24)*CHOOSE(ArtifactsInput!$N$24+1,10,12,14,16,18,20)+(IF(AND(Inputs!$B$38&lt;&gt;"pvp",Inputs!$B$43=0),1,IF(IF(Inputs!$B$38="pvp",15,Inputs!$B$43)-(B2639)&lt;=0,1,MAX(0,IF(Inputs!$B$38="pvp",15,Inputs!$B$43)-MAX(5,B2639))/(IF(Inputs!$B$38="pvp",15,Inputs!$B$43)-(B2639))))*IF(AND(ArtifactsInput!$M$42,((Inputs!$B$9+((C2620=TRUE)*(F2620-Calc!F19))+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12">
        <f>(1-Summary!$B$11)*T2612+Summary!$B$11*V2612</f>
        <v/>
      </c>
      <c r="P2612">
        <f>IF(B2642=0,0,O2612/B2642)</f>
        <v/>
      </c>
      <c r="Q2612">
        <f>IFERROR(1/((IF(Inputs!$B$38="pvp",15,MAX(0.1,Skills!D11-IF(TRUE=TRUE,Inputs!$B$32,0)))*(1-IF(AND(ArtifactsInput!$M$27,Inputs!$B$4="Chapter Hunt"),CHOOSE(ArtifactsInput!$N$27+1,20,24,28,32,36,40),0)/100))/B2643),0)</f>
        <v/>
      </c>
      <c r="R2612">
        <f>IF(AND(Inputs!$B$38&lt;&gt;"pvp",Inputs!$B$43&gt;0),IF(MAX(0,Inputs!$B$43-B2639)&lt;=0,0,(INT(MAX(0,Inputs!$B$43-B2639)/((IF(Inputs!$B$38="pvp",15,MAX(0.1,Skills!D11-IF(TRUE=TRUE,Inputs!$B$32,0)))*(1-IF(AND(ArtifactsInput!$M$27,Inputs!$B$4="Chapter Hunt"),CHOOSE(ArtifactsInput!$N$27+1,20,24,28,32,36,40),0)/100))/B2643))+1)),0)</f>
        <v/>
      </c>
      <c r="S2612">
        <f>IFERROR(O2612/N2612,0)</f>
        <v/>
      </c>
      <c r="T2612">
        <f>IF(C2612,(H2612*N2612*IF(AND(Inputs!$B$38&lt;&gt;"pvp",Inputs!$B$43&gt;0),((Skills!G11*((R2612-1)*IF(Skills!H11&gt;0,INT(Skills!I11/Skills!H11+0.000000001),1)+IF(Skills!H11&gt;0,INT(MIN(Skills!I11,MAX(0,MAX(0,Inputs!$B$43-B2639)-((R2612-1)*((IF(Inputs!$B$38="pvp",15,MAX(0.1,Skills!D11-IF(TRUE=TRUE,Inputs!$B$32,0)))*(1-IF(AND(ArtifactsInput!$M$27,Inputs!$B$4="Chapter Hunt"),CHOOSE(ArtifactsInput!$N$27+1,20,24,28,32,36,40),0)/100))/B2643))))/Skills!H11+0.000000001),1)))/Inputs!$B$43),G2612*Q2612))*IF(Inputs!$B$38="pvp",1,1+(Inputs!$B$20+0+Skills!P11+(IF(AND(IF(ArtifactsInput!$M$36,FALSE,TRUE),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Hunt"),CHOOSE(ArtifactsInput!$N$35+1,15,18,21,24,27,30)*(1-EXP(-(0.2*B2634)*5)),0)+IF(AND(ArtifactsInput!$M$22,Inputs!$B$4&lt;&gt;"Chapter Hunt"),CHOOSE(ArtifactsInput!$N$22+1,10,12,14,16,18,20)*((0*(((0.15*B2634*5))^0/1)+1*(((0.15*B2634*5))^1/1)+2*(((0.15*B2634*5))^2/2)+3*(((0.15*B2634*5))^3/6)+4*(((0.15*B2634*5))^4/24)+5*(((0.15*B2634*5))^5/120))/((((0.15*B2634*5))^0/1)+(((0.15*B2634*5))^1/1)+(((0.15*B2634*5))^2/2)+(((0.15*B2634*5))^3/6)+(((0.15*B2634*5))^4/24)+(((0.15*B2634*5))^5/120))),0))+IF(Inputs!$B$3&gt;=54,9*(C2604=TRUE)*MIN(1,8*(1+Inputs!$B$34/100)*Q2604)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2612*(1-MIN(100,(Inputs!$B$9+((C2620=TRUE)*(F2620-Calc!F19))+B2632+(ArtifactsInput!$M$24-ArtifactsInput!$M$24)*CHOOSE(ArtifactsInput!$N$24+1,10,12,14,16,18,20)+(IF(AND(Inputs!$B$38&lt;&gt;"pvp",Inputs!$B$43=0),1,IF(IF(Inputs!$B$38="pvp",15,Inputs!$B$43)-(B2639)&lt;=0,1,MAX(0,IF(Inputs!$B$38="pvp",15,Inputs!$B$43)-MAX(5,B2639))/(IF(Inputs!$B$38="pvp",15,Inputs!$B$43)-(B2639))))*IF(AND(ArtifactsInput!$M$42,((Inputs!$B$9+((C2620=TRUE)*(F2620-Calc!F19))+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2612*(MIN(100,(Inputs!$B$9+((C2620=TRUE)*(F2620-Calc!F19))+B2632+(ArtifactsInput!$M$24-ArtifactsInput!$M$24)*CHOOSE(ArtifactsInput!$N$24+1,10,12,14,16,18,20)+(IF(AND(Inputs!$B$38&lt;&gt;"pvp",Inputs!$B$43=0),1,IF(IF(Inputs!$B$38="pvp",15,Inputs!$B$43)-(B2639)&lt;=0,1,MAX(0,IF(Inputs!$B$38="pvp",15,Inputs!$B$43)-MAX(5,B2639))/(IF(Inputs!$B$38="pvp",15,Inputs!$B$43)-(B2639))))*IF(AND(ArtifactsInput!$M$42,((Inputs!$B$9+((C2620=TRUE)*(F2620-Calc!F19))+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2612*(1-MIN(100,(Inputs!$B$9+((C2620=TRUE)*(F2620-Calc!F19))+B2632+(ArtifactsInput!$M$24-ArtifactsInput!$M$24)*CHOOSE(ArtifactsInput!$N$24+1,10,12,14,16,18,20)+(IF(AND(Inputs!$B$38&lt;&gt;"pvp",Inputs!$B$43=0),1,IF(IF(Inputs!$B$38="pvp",15,Inputs!$B$43)-(B2639)&lt;=0,1,MAX(0,IF(Inputs!$B$38="pvp",15,Inputs!$B$43)-MAX(5,B2639))/(IF(Inputs!$B$38="pvp",15,Inputs!$B$43)-(B2639))))*IF(AND(ArtifactsInput!$M$42,((Inputs!$B$9+((C2620=TRUE)*(F2620-Calc!F19))+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2612*(MIN(100,(Inputs!$B$9+((C2620=TRUE)*(F2620-Calc!F19))+B2632+(ArtifactsInput!$M$24-ArtifactsInput!$M$24)*CHOOSE(ArtifactsInput!$N$24+1,10,12,14,16,18,20)+(IF(AND(Inputs!$B$38&lt;&gt;"pvp",Inputs!$B$43=0),1,IF(IF(Inputs!$B$38="pvp",15,Inputs!$B$43)-(B2639)&lt;=0,1,MAX(0,IF(Inputs!$B$38="pvp",15,Inputs!$B$43)-MAX(5,B2639))/(IF(Inputs!$B$38="pvp",15,Inputs!$B$43)-(B2639))))*IF(AND(ArtifactsInput!$M$42,((Inputs!$B$9+((C2620=TRUE)*(F2620-Calc!F19))+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12">
        <f>IF(C2612,(H2612*N2612*IF(AND(Inputs!$B$38&lt;&gt;"pvp",Inputs!$B$43&gt;0),((Skills!G11*((R2612-1)*IF(Skills!H11&gt;0,INT(Skills!I11/Skills!H11+0.000000001),1)+IF(Skills!H11&gt;0,INT(MIN(Skills!I11,MAX(0,MAX(0,Inputs!$B$43-B2639)-((R2612-1)*((IF(Inputs!$B$38="pvp",15,MAX(0.1,Skills!D11-IF(TRUE=TRUE,Inputs!$B$32,0)))*(1-IF(AND(ArtifactsInput!$M$27,Inputs!$B$4="Chapter Hunt"),CHOOSE(ArtifactsInput!$N$27+1,20,24,28,32,36,40),0)/100))/B2643))))/Skills!H11+0.000000001),1)))/Inputs!$B$43),G2612*Q2612))*IF(Inputs!$B$38="pvp",1,(1+(Inputs!$B$21+Skills!Q11+(IF(ArtifactsInput!$M$33,CHOOSE(ArtifactsInput!$N$33+1,30,36,42,48,54,60),0))+(IF(AND(ArtifactsInput!$M$35,Inputs!$B$4&lt;&gt;"Chapter Hunt"),CHOOSE(ArtifactsInput!$N$35+1,15,18,21,24,27,30)*(1-EXP(-(0.2*B2634)*5)),0)+IF(AND(ArtifactsInput!$M$22,Inputs!$B$4&lt;&gt;"Chapter Hunt"),CHOOSE(ArtifactsInput!$N$22+1,10,12,14,16,18,20)*((0*(((0.15*B2634*5))^0/1)+1*(((0.15*B2634*5))^1/1)+2*(((0.15*B2634*5))^2/2)+3*(((0.15*B2634*5))^3/6)+4*(((0.15*B2634*5))^4/24)+5*(((0.15*B2634*5))^5/120))/((((0.15*B2634*5))^0/1)+(((0.15*B2634*5))^1/1)+(((0.15*B2634*5))^2/2)+(((0.15*B2634*5))^3/6)+(((0.15*B2634*5))^4/24)+(((0.15*B2634*5))^5/120))),0))+IF(Inputs!$B$3&gt;=54,9*(C2604=TRUE)*MIN(1,8*(1+Inputs!$B$34/100)*Q2604),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13">
      <c r="A2613">
        <f>Skills!A12</f>
        <v/>
      </c>
      <c r="B2613">
        <f>Skills!B12</f>
        <v/>
      </c>
      <c r="C2613">
        <f>Inputs!$B$3&gt;=110</f>
        <v/>
      </c>
      <c r="D2613">
        <f>IF(Skills!C12=1,60+Inputs!$B$25+Inputs!$B$29,IF(Skills!C12=2,90+Inputs!$B$26+Inputs!$B$29,IF(Skills!C12=3,120+Inputs!$B$27+Inputs!$B$29,MAX(0,(Inputs!$B$3-100)*3)+Inputs!$B$28+Inputs!$B$29)))</f>
        <v/>
      </c>
      <c r="E2613">
        <f>INDEX(FactorTable!$B$2:$Y$301, MATCH(ROUND(MIN(300,MAX(1,D2613)),0), FactorTable!$A$2:$A$301,0), Skills!M12+1)</f>
        <v/>
      </c>
      <c r="F2613">
        <f>IF(Skills!N12=TRUE,(Skills!L12/10)*(E2613/1000),Skills!L12/10)+Skills!O12</f>
        <v/>
      </c>
      <c r="G2613">
        <f>Skills!G12*IF(Skills!H12&gt;0,INT(IF(Inputs!$B$38="pvp",MIN(Skills!I12,15),Skills!I12)/Skills!H12+0.000000001),1)</f>
        <v/>
      </c>
      <c r="H2613">
        <f>1-(1-Skills!J12/100)^Skills!K12</f>
        <v/>
      </c>
      <c r="I2613" t="inlineStr">
        <is>
          <t>1</t>
        </is>
      </c>
      <c r="J2613">
        <f>((Inputs!$B$6*(1+Inputs!$B$7/100))+(((Inputs!$B$12*(1+Inputs!$B$13/100))-(Inputs!$B$12*(1+Inputs!$B$13/100)))+0.25*(Inputs!$B$14-Inputs!$B$14))*(1+Inputs!$B$7/100))*(F2613/100)</f>
        <v/>
      </c>
      <c r="K2613">
        <f>J2613*(1+((Inputs!$B$12*(1+Inputs!$B$13/100))*0.01+Inputs!$B$14*0.0025)/100)*(1+Inputs!$B$15/100)*(1+Inputs!$B$16/100)*(5000/(6000+Inputs!$B$42*(1-(100*(1-(1-(Inputs!$B$19+0)/100)*(1-CHOOSE(ArtifactsInput!$N$40+1,5,6,7,8,9,10)/100)^(ArtifactsInput!$M$40-ArtifactsInput!$M$40)))/100)))*(1+(Inputs!$B$24+((C2627=TRUE)*(F2627-Calc!F26))+B2638)/100)*(1+(((1+IF(AND(IF(ArtifactsInput!$M$36,FALSE,TRUE),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EIGHT_LEGS_EASTON",Inputs!$B$17+((C2624=TRUE)*(F2624-Calc!F23))+((C2628=TRUE)*(F2628-Calc!F27))+((IF(AND(Inputs!$B$38&lt;&gt;"pvp",Inputs!$B$43=0),1,IF(IF(Inputs!$B$38="pvp",15,Inputs!$B$43)-(B2639)&lt;=0,1,MAX(0,IF(Inputs!$B$38="pvp",15,Inputs!$B$43)-MAX(5,B2639))/(IF(Inputs!$B$38="pvp",15,Inputs!$B$43)-(B2639))))*(IF(AND(ArtifactsInput!$M$42,((Inputs!$B$9+((C2620=TRUE)*(F2620-Calc!F19))+B2632+(ArtifactsInput!$M$24-ArtifactsInput!$M$24)*CHOOSE(ArtifactsInput!$N$24+1,10,12,14,16,18,20)+IF(ArtifactsInput!$M$10,CHOOSE(ArtifactsInput!$N$10+1,15,18,21,24,27,30)*(IF(Inputs!$B$38="pvp",MIN(15,15)/15,IF(AND(Inputs!$B$38&lt;&gt;"pvp",Inputs!$B$43&gt;0),MIN(15,Inputs!$B$43)/(Inputs!$B$43),0))),0)))&gt;=100),MIN(100,((Inputs!$B$9+((C2620=TRUE)*(F2620-Calc!F19))+B2632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2639)&lt;=0,1,MAX(0,IF(Inputs!$B$38="pvp",15,Inputs!$B$43)-MAX(5,B2639))/(IF(Inputs!$B$38="pvp",15,Inputs!$B$43)-(B2639))))*IF(AND(ArtifactsInput!$M$42,((Inputs!$B$9+((C2620=TRUE)*(F2620-Calc!F19))+B2632+(ArtifactsInput!$M$24-ArtifactsInput!$M$24)*CHOOSE(ArtifactsInput!$N$24+1,10,12,14,16,18,20)+IF(ArtifactsInput!$M$10,CHOOSE(ArtifactsInput!$N$10+1,15,18,21,24,27,30)*(IF(Inputs!$B$38="pvp",MIN(15,15)/15,IF(AND(Inputs!$B$38&lt;&gt;"pvp",Inputs!$B$43&gt;0),MIN(15,Inputs!$B$43)/(Inputs!$B$43),0))),0)))&gt;=100),CHOOSE(ArtifactsInput!$N$42+1,40,48,56,64,72,80),0))))/100)*((1+(((C2618=TRUE)*F2618*5/7)+((C2625=TRUE)*(F2625-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2613)</f>
        <v/>
      </c>
      <c r="L2613">
        <f>K2613*(MIN(Inputs!$B$22+((C2623=TRUE)*(F2623-Calc!F22)),(Inputs!$B$23+0+(IF(ArtifactsInput!$M$15,CHOOSE(ArtifactsInput!$N$15+1,25,30,35,40,45,50)/100*(Inputs!$B$11-Inputs!$B$11),0))))/100+(Inputs!$B$23+0+(IF(ArtifactsInput!$M$15,CHOOSE(ArtifactsInput!$N$15+1,25,30,35,40,45,50)/100*(Inputs!$B$11-Inputs!$B$11),0)))/100)/2</f>
        <v/>
      </c>
      <c r="M2613">
        <f>L2613*(1+(Inputs!$B$10+((C2626=TRUE)*(F2626-Calc!F25))+B2637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13">
        <f>L2613*(1-MIN((Inputs!$B$9+((C2620=TRUE)*(F2620-Calc!F19))+B2632+(ArtifactsInput!$M$24-ArtifactsInput!$M$24)*CHOOSE(ArtifactsInput!$N$24+1,10,12,14,16,18,20)+(IF(AND(Inputs!$B$38&lt;&gt;"pvp",Inputs!$B$43=0),1,IF(IF(Inputs!$B$38="pvp",15,Inputs!$B$43)-(B2639)&lt;=0,1,MAX(0,IF(Inputs!$B$38="pvp",15,Inputs!$B$43)-MAX(5,B2639))/(IF(Inputs!$B$38="pvp",15,Inputs!$B$43)-(B2639))))*IF(AND(ArtifactsInput!$M$42,((Inputs!$B$9+((C2620=TRUE)*(F2620-Calc!F19))+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2613*(MIN((Inputs!$B$9+((C2620=TRUE)*(F2620-Calc!F19))+B2632+(ArtifactsInput!$M$24-ArtifactsInput!$M$24)*CHOOSE(ArtifactsInput!$N$24+1,10,12,14,16,18,20)+(IF(AND(Inputs!$B$38&lt;&gt;"pvp",Inputs!$B$43=0),1,IF(IF(Inputs!$B$38="pvp",15,Inputs!$B$43)-(B2639)&lt;=0,1,MAX(0,IF(Inputs!$B$38="pvp",15,Inputs!$B$43)-MAX(5,B2639))/(IF(Inputs!$B$38="pvp",15,Inputs!$B$43)-(B2639))))*IF(AND(ArtifactsInput!$M$42,((Inputs!$B$9+((C2620=TRUE)*(F2620-Calc!F19))+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13">
        <f>(1-Summary!$B$11)*T2613+Summary!$B$11*V2613</f>
        <v/>
      </c>
      <c r="P2613">
        <f>IF(B2642=0,0,O2613/B2642)</f>
        <v/>
      </c>
      <c r="Q2613">
        <f>IFERROR(1/(IF(Inputs!$B$38="pvp",15,MAX(0.1,Skills!D12-IF(TRUE=TRUE,Inputs!$B$32,0)))*(1-IF(AND(ArtifactsInput!$M$27,Inputs!$B$4="Chapter Hunt"),CHOOSE(ArtifactsInput!$N$27+1,20,24,28,32,36,40),0)/100)),0)</f>
        <v/>
      </c>
      <c r="R2613">
        <f>IF(AND(Inputs!$B$38&lt;&gt;"pvp",Inputs!$B$43&gt;0),IF(MAX(0,Inputs!$B$43-B2639)&lt;=0,0,(INT(MAX(0,Inputs!$B$43-B2639)/(IF(Inputs!$B$38="pvp",15,MAX(0.1,Skills!D12-IF(TRUE=TRUE,Inputs!$B$32,0)))*(1-IF(AND(ArtifactsInput!$M$27,Inputs!$B$4="Chapter Hunt"),CHOOSE(ArtifactsInput!$N$27+1,20,24,28,32,36,40),0)/100)))+1)),0)</f>
        <v/>
      </c>
      <c r="S2613">
        <f>IFERROR(O2613/N2613,0)</f>
        <v/>
      </c>
      <c r="T2613">
        <f>IF(C2613,(H2613*N2613*IF(AND(Inputs!$B$38&lt;&gt;"pvp",Inputs!$B$43&gt;0),((Skills!G12*((R2613-1)*IF(Skills!H12&gt;0,INT(Skills!I12/Skills!H12+0.000000001),1)+IF(Skills!H12&gt;0,INT(MIN(Skills!I12,MAX(0,MAX(0,Inputs!$B$43-B2639)-((R2613-1)*(IF(Inputs!$B$38="pvp",15,MAX(0.1,Skills!D12-IF(TRUE=TRUE,Inputs!$B$32,0)))*(1-IF(AND(ArtifactsInput!$M$27,Inputs!$B$4="Chapter Hunt"),CHOOSE(ArtifactsInput!$N$27+1,20,24,28,32,36,40),0)/100)))))/Skills!H12+0.000000001),1)))/Inputs!$B$43),G2613*Q2613))*IF(Inputs!$B$38="pvp",1,1+(Inputs!$B$20+0+Skills!P12+(IF(AND(IF(ArtifactsInput!$M$36,FALSE,TRUE),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Hunt"),CHOOSE(ArtifactsInput!$N$35+1,15,18,21,24,27,30)*(1-EXP(-(0.2*B2634)*5)),0)+IF(AND(ArtifactsInput!$M$22,Inputs!$B$4&lt;&gt;"Chapter Hunt"),CHOOSE(ArtifactsInput!$N$22+1,10,12,14,16,18,20)*((0*(((0.15*B2634*5))^0/1)+1*(((0.15*B2634*5))^1/1)+2*(((0.15*B2634*5))^2/2)+3*(((0.15*B2634*5))^3/6)+4*(((0.15*B2634*5))^4/24)+5*(((0.15*B2634*5))^5/120))/((((0.15*B2634*5))^0/1)+(((0.15*B2634*5))^1/1)+(((0.15*B2634*5))^2/2)+(((0.15*B2634*5))^3/6)+(((0.15*B2634*5))^4/24)+(((0.15*B2634*5))^5/120))),0))+IF(Inputs!$B$3&gt;=54,9*(C2604=TRUE)*MIN(1,8*(1+Inputs!$B$34/100)*Q2604)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2613*(1-MIN(100,(Inputs!$B$9+((C2620=TRUE)*(F2620-Calc!F19))+B2632+(ArtifactsInput!$M$24-ArtifactsInput!$M$24)*CHOOSE(ArtifactsInput!$N$24+1,10,12,14,16,18,20)+(IF(AND(Inputs!$B$38&lt;&gt;"pvp",Inputs!$B$43=0),1,IF(IF(Inputs!$B$38="pvp",15,Inputs!$B$43)-(B2639)&lt;=0,1,MAX(0,IF(Inputs!$B$38="pvp",15,Inputs!$B$43)-MAX(5,B2639))/(IF(Inputs!$B$38="pvp",15,Inputs!$B$43)-(B2639))))*IF(AND(ArtifactsInput!$M$42,((Inputs!$B$9+((C2620=TRUE)*(F2620-Calc!F19))+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2613*(MIN(100,(Inputs!$B$9+((C2620=TRUE)*(F2620-Calc!F19))+B2632+(ArtifactsInput!$M$24-ArtifactsInput!$M$24)*CHOOSE(ArtifactsInput!$N$24+1,10,12,14,16,18,20)+(IF(AND(Inputs!$B$38&lt;&gt;"pvp",Inputs!$B$43=0),1,IF(IF(Inputs!$B$38="pvp",15,Inputs!$B$43)-(B2639)&lt;=0,1,MAX(0,IF(Inputs!$B$38="pvp",15,Inputs!$B$43)-MAX(5,B2639))/(IF(Inputs!$B$38="pvp",15,Inputs!$B$43)-(B2639))))*IF(AND(ArtifactsInput!$M$42,((Inputs!$B$9+((C2620=TRUE)*(F2620-Calc!F19))+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2613*(1-MIN(100,(Inputs!$B$9+((C2620=TRUE)*(F2620-Calc!F19))+B2632+(ArtifactsInput!$M$24-ArtifactsInput!$M$24)*CHOOSE(ArtifactsInput!$N$24+1,10,12,14,16,18,20)+(IF(AND(Inputs!$B$38&lt;&gt;"pvp",Inputs!$B$43=0),1,IF(IF(Inputs!$B$38="pvp",15,Inputs!$B$43)-(B2639)&lt;=0,1,MAX(0,IF(Inputs!$B$38="pvp",15,Inputs!$B$43)-MAX(5,B2639))/(IF(Inputs!$B$38="pvp",15,Inputs!$B$43)-(B2639))))*IF(AND(ArtifactsInput!$M$42,((Inputs!$B$9+((C2620=TRUE)*(F2620-Calc!F19))+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2613*(MIN(100,(Inputs!$B$9+((C2620=TRUE)*(F2620-Calc!F19))+B2632+(ArtifactsInput!$M$24-ArtifactsInput!$M$24)*CHOOSE(ArtifactsInput!$N$24+1,10,12,14,16,18,20)+(IF(AND(Inputs!$B$38&lt;&gt;"pvp",Inputs!$B$43=0),1,IF(IF(Inputs!$B$38="pvp",15,Inputs!$B$43)-(B2639)&lt;=0,1,MAX(0,IF(Inputs!$B$38="pvp",15,Inputs!$B$43)-MAX(5,B2639))/(IF(Inputs!$B$38="pvp",15,Inputs!$B$43)-(B2639))))*IF(AND(ArtifactsInput!$M$42,((Inputs!$B$9+((C2620=TRUE)*(F2620-Calc!F19))+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13">
        <f>IF(C2613,(H2613*N2613*IF(AND(Inputs!$B$38&lt;&gt;"pvp",Inputs!$B$43&gt;0),((Skills!G12*((R2613-1)*IF(Skills!H12&gt;0,INT(Skills!I12/Skills!H12+0.000000001),1)+IF(Skills!H12&gt;0,INT(MIN(Skills!I12,MAX(0,MAX(0,Inputs!$B$43-B2639)-((R2613-1)*(IF(Inputs!$B$38="pvp",15,MAX(0.1,Skills!D12-IF(TRUE=TRUE,Inputs!$B$32,0)))*(1-IF(AND(ArtifactsInput!$M$27,Inputs!$B$4="Chapter Hunt"),CHOOSE(ArtifactsInput!$N$27+1,20,24,28,32,36,40),0)/100)))))/Skills!H12+0.000000001),1)))/Inputs!$B$43),G2613*Q2613))*IF(Inputs!$B$38="pvp",1,(1+(Inputs!$B$21+Skills!Q12+(IF(ArtifactsInput!$M$33,CHOOSE(ArtifactsInput!$N$33+1,30,36,42,48,54,60),0))+(IF(AND(ArtifactsInput!$M$35,Inputs!$B$4&lt;&gt;"Chapter Hunt"),CHOOSE(ArtifactsInput!$N$35+1,15,18,21,24,27,30)*(1-EXP(-(0.2*B2634)*5)),0)+IF(AND(ArtifactsInput!$M$22,Inputs!$B$4&lt;&gt;"Chapter Hunt"),CHOOSE(ArtifactsInput!$N$22+1,10,12,14,16,18,20)*((0*(((0.15*B2634*5))^0/1)+1*(((0.15*B2634*5))^1/1)+2*(((0.15*B2634*5))^2/2)+3*(((0.15*B2634*5))^3/6)+4*(((0.15*B2634*5))^4/24)+5*(((0.15*B2634*5))^5/120))/((((0.15*B2634*5))^0/1)+(((0.15*B2634*5))^1/1)+(((0.15*B2634*5))^2/2)+(((0.15*B2634*5))^3/6)+(((0.15*B2634*5))^4/24)+(((0.15*B2634*5))^5/120))),0))+IF(Inputs!$B$3&gt;=54,9*(C2604=TRUE)*MIN(1,8*(1+Inputs!$B$34/100)*Q2604),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14">
      <c r="A2614">
        <f>Skills!A13</f>
        <v/>
      </c>
      <c r="B2614">
        <f>Skills!B13</f>
        <v/>
      </c>
      <c r="C2614">
        <f>Inputs!$B$3&gt;=110</f>
        <v/>
      </c>
      <c r="D2614">
        <f>IF(Skills!C13=1,60+Inputs!$B$25+Inputs!$B$29,IF(Skills!C13=2,90+Inputs!$B$26+Inputs!$B$29,IF(Skills!C13=3,120+Inputs!$B$27+Inputs!$B$29,MAX(0,(Inputs!$B$3-100)*3)+Inputs!$B$28+Inputs!$B$29)))</f>
        <v/>
      </c>
      <c r="E2614">
        <f>INDEX(FactorTable!$B$2:$Y$301, MATCH(ROUND(MIN(300,MAX(1,D2614)),0), FactorTable!$A$2:$A$301,0), Skills!M13+1)</f>
        <v/>
      </c>
      <c r="F2614">
        <f>IF(Skills!N13=TRUE,(Skills!L13/10)*(E2614/1000),Skills!L13/10)+Skills!O13</f>
        <v/>
      </c>
      <c r="G2614">
        <f>Skills!G13*IF(Skills!H13&gt;0,INT(IF(Inputs!$B$38="pvp",MIN(Skills!I13,15),Skills!I13)/Skills!H13+0.000000001),1)</f>
        <v/>
      </c>
      <c r="H2614">
        <f>1-(1-Skills!J13/100)^Skills!K13</f>
        <v/>
      </c>
      <c r="I2614" t="inlineStr">
        <is>
          <t>1</t>
        </is>
      </c>
      <c r="J2614">
        <f>((Inputs!$B$6*(1+Inputs!$B$7/100))+(((Inputs!$B$12*(1+Inputs!$B$13/100))-(Inputs!$B$12*(1+Inputs!$B$13/100)))+0.25*(Inputs!$B$14-Inputs!$B$14))*(1+Inputs!$B$7/100))*(F2614/100)</f>
        <v/>
      </c>
      <c r="K2614">
        <f>J2614*(1+((Inputs!$B$12*(1+Inputs!$B$13/100))*0.01+Inputs!$B$14*0.0025)/100)*(1+Inputs!$B$15/100)*(1+Inputs!$B$16/100)*(5000/(6000+Inputs!$B$42*(1-(100*(1-(1-(Inputs!$B$19+0)/100)*(1-CHOOSE(ArtifactsInput!$N$40+1,5,6,7,8,9,10)/100)^(ArtifactsInput!$M$40-ArtifactsInput!$M$40)))/100)))*(1+(Inputs!$B$24+((C2627=TRUE)*(F2627-Calc!F26))+B2638)/100)*(1+(((1+IF(AND(IF(ArtifactsInput!$M$36,FALSE,TRUE),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EIGHT_LEGS_EASTON",Inputs!$B$17+((C2624=TRUE)*(F2624-Calc!F23))+((C2628=TRUE)*(F2628-Calc!F27))+((IF(AND(Inputs!$B$38&lt;&gt;"pvp",Inputs!$B$43=0),1,IF(IF(Inputs!$B$38="pvp",15,Inputs!$B$43)-(B2639)&lt;=0,1,MAX(0,IF(Inputs!$B$38="pvp",15,Inputs!$B$43)-MAX(5,B2639))/(IF(Inputs!$B$38="pvp",15,Inputs!$B$43)-(B2639))))*(IF(AND(ArtifactsInput!$M$42,((Inputs!$B$9+((C2620=TRUE)*(F2620-Calc!F19))+B2632+(ArtifactsInput!$M$24-ArtifactsInput!$M$24)*CHOOSE(ArtifactsInput!$N$24+1,10,12,14,16,18,20)+IF(ArtifactsInput!$M$10,CHOOSE(ArtifactsInput!$N$10+1,15,18,21,24,27,30)*(IF(Inputs!$B$38="pvp",MIN(15,15)/15,IF(AND(Inputs!$B$38&lt;&gt;"pvp",Inputs!$B$43&gt;0),MIN(15,Inputs!$B$43)/(Inputs!$B$43),0))),0)))&gt;=100),MIN(100,((Inputs!$B$9+((C2620=TRUE)*(F2620-Calc!F19))+B2632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2639)&lt;=0,1,MAX(0,IF(Inputs!$B$38="pvp",15,Inputs!$B$43)-MAX(5,B2639))/(IF(Inputs!$B$38="pvp",15,Inputs!$B$43)-(B2639))))*IF(AND(ArtifactsInput!$M$42,((Inputs!$B$9+((C2620=TRUE)*(F2620-Calc!F19))+B2632+(ArtifactsInput!$M$24-ArtifactsInput!$M$24)*CHOOSE(ArtifactsInput!$N$24+1,10,12,14,16,18,20)+IF(ArtifactsInput!$M$10,CHOOSE(ArtifactsInput!$N$10+1,15,18,21,24,27,30)*(IF(Inputs!$B$38="pvp",MIN(15,15)/15,IF(AND(Inputs!$B$38&lt;&gt;"pvp",Inputs!$B$43&gt;0),MIN(15,Inputs!$B$43)/(Inputs!$B$43),0))),0)))&gt;=100),CHOOSE(ArtifactsInput!$N$42+1,40,48,56,64,72,80),0))))/100)*((1+(((C2618=TRUE)*F2618*5/7)+((C2625=TRUE)*(F2625-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2614)</f>
        <v/>
      </c>
      <c r="L2614">
        <f>K2614*(MIN(Inputs!$B$22+((C2623=TRUE)*(F2623-Calc!F22)),(Inputs!$B$23+0+(IF(ArtifactsInput!$M$15,CHOOSE(ArtifactsInput!$N$15+1,25,30,35,40,45,50)/100*(Inputs!$B$11-Inputs!$B$11),0))))/100+(Inputs!$B$23+0+(IF(ArtifactsInput!$M$15,CHOOSE(ArtifactsInput!$N$15+1,25,30,35,40,45,50)/100*(Inputs!$B$11-Inputs!$B$11),0)))/100)/2</f>
        <v/>
      </c>
      <c r="M2614">
        <f>L2614*(1+(Inputs!$B$10+((C2626=TRUE)*(F2626-Calc!F25))+B2637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14">
        <f>L2614*(1-MIN((Inputs!$B$9+((C2620=TRUE)*(F2620-Calc!F19))+B2632+(ArtifactsInput!$M$24-ArtifactsInput!$M$24)*CHOOSE(ArtifactsInput!$N$24+1,10,12,14,16,18,20)+(IF(AND(Inputs!$B$38&lt;&gt;"pvp",Inputs!$B$43=0),1,IF(IF(Inputs!$B$38="pvp",15,Inputs!$B$43)-(B2639)&lt;=0,1,MAX(0,IF(Inputs!$B$38="pvp",15,Inputs!$B$43)-MAX(5,B2639))/(IF(Inputs!$B$38="pvp",15,Inputs!$B$43)-(B2639))))*IF(AND(ArtifactsInput!$M$42,((Inputs!$B$9+((C2620=TRUE)*(F2620-Calc!F19))+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2614*(MIN((Inputs!$B$9+((C2620=TRUE)*(F2620-Calc!F19))+B2632+(ArtifactsInput!$M$24-ArtifactsInput!$M$24)*CHOOSE(ArtifactsInput!$N$24+1,10,12,14,16,18,20)+(IF(AND(Inputs!$B$38&lt;&gt;"pvp",Inputs!$B$43=0),1,IF(IF(Inputs!$B$38="pvp",15,Inputs!$B$43)-(B2639)&lt;=0,1,MAX(0,IF(Inputs!$B$38="pvp",15,Inputs!$B$43)-MAX(5,B2639))/(IF(Inputs!$B$38="pvp",15,Inputs!$B$43)-(B2639))))*IF(AND(ArtifactsInput!$M$42,((Inputs!$B$9+((C2620=TRUE)*(F2620-Calc!F19))+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14">
        <f>(1-Summary!$B$11)*T2614+Summary!$B$11*V2614</f>
        <v/>
      </c>
      <c r="P2614">
        <f>IF(B2642=0,0,O2614/B2642)</f>
        <v/>
      </c>
      <c r="Q2614">
        <f>IFERROR(1/(IF(Inputs!$B$38="pvp",15,MAX(0.1,Skills!D13-IF(TRUE=TRUE,Inputs!$B$32,0)))*(1-IF(AND(ArtifactsInput!$M$27,Inputs!$B$4="Chapter Hunt"),CHOOSE(ArtifactsInput!$N$27+1,20,24,28,32,36,40),0)/100)),0)</f>
        <v/>
      </c>
      <c r="R2614">
        <f>IF(AND(Inputs!$B$38&lt;&gt;"pvp",Inputs!$B$43&gt;0),IF(MAX(0,Inputs!$B$43-B2639)&lt;=0,0,(INT(MAX(0,Inputs!$B$43-B2639)/(IF(Inputs!$B$38="pvp",15,MAX(0.1,Skills!D13-IF(TRUE=TRUE,Inputs!$B$32,0)))*(1-IF(AND(ArtifactsInput!$M$27,Inputs!$B$4="Chapter Hunt"),CHOOSE(ArtifactsInput!$N$27+1,20,24,28,32,36,40),0)/100)))+1)),0)</f>
        <v/>
      </c>
      <c r="S2614">
        <f>IFERROR(O2614/N2614,0)</f>
        <v/>
      </c>
      <c r="T2614">
        <f>IF(C2614,(H2614*N2614*IF(AND(Inputs!$B$38&lt;&gt;"pvp",Inputs!$B$43&gt;0),((Skills!G13*((R2614-1)*IF(Skills!H13&gt;0,INT(Skills!I13/Skills!H13+0.000000001),1)+IF(Skills!H13&gt;0,INT(MIN(Skills!I13,MAX(0,MAX(0,Inputs!$B$43-B2639)-((R2614-1)*(IF(Inputs!$B$38="pvp",15,MAX(0.1,Skills!D13-IF(TRUE=TRUE,Inputs!$B$32,0)))*(1-IF(AND(ArtifactsInput!$M$27,Inputs!$B$4="Chapter Hunt"),CHOOSE(ArtifactsInput!$N$27+1,20,24,28,32,36,40),0)/100)))))/Skills!H13+0.000000001),1)))/Inputs!$B$43),G2614*Q2614))*IF(Inputs!$B$38="pvp",1,1+(Inputs!$B$20+0+Skills!P13+(IF(AND(IF(ArtifactsInput!$M$36,FALSE,TRUE),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Hunt"),CHOOSE(ArtifactsInput!$N$35+1,15,18,21,24,27,30)*(1-EXP(-(0.2*B2634)*5)),0)+IF(AND(ArtifactsInput!$M$22,Inputs!$B$4&lt;&gt;"Chapter Hunt"),CHOOSE(ArtifactsInput!$N$22+1,10,12,14,16,18,20)*((0*(((0.15*B2634*5))^0/1)+1*(((0.15*B2634*5))^1/1)+2*(((0.15*B2634*5))^2/2)+3*(((0.15*B2634*5))^3/6)+4*(((0.15*B2634*5))^4/24)+5*(((0.15*B2634*5))^5/120))/((((0.15*B2634*5))^0/1)+(((0.15*B2634*5))^1/1)+(((0.15*B2634*5))^2/2)+(((0.15*B2634*5))^3/6)+(((0.15*B2634*5))^4/24)+(((0.15*B2634*5))^5/120))),0))+IF(Inputs!$B$3&gt;=54,9*(C2604=TRUE)*MIN(1,8*(1+Inputs!$B$34/100)*Q2604)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2614*(1-MIN(100,(Inputs!$B$9+((C2620=TRUE)*(F2620-Calc!F19))+B2632+(ArtifactsInput!$M$24-ArtifactsInput!$M$24)*CHOOSE(ArtifactsInput!$N$24+1,10,12,14,16,18,20)+(IF(AND(Inputs!$B$38&lt;&gt;"pvp",Inputs!$B$43=0),1,IF(IF(Inputs!$B$38="pvp",15,Inputs!$B$43)-(B2639)&lt;=0,1,MAX(0,IF(Inputs!$B$38="pvp",15,Inputs!$B$43)-MAX(5,B2639))/(IF(Inputs!$B$38="pvp",15,Inputs!$B$43)-(B2639))))*IF(AND(ArtifactsInput!$M$42,((Inputs!$B$9+((C2620=TRUE)*(F2620-Calc!F19))+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2614*(MIN(100,(Inputs!$B$9+((C2620=TRUE)*(F2620-Calc!F19))+B2632+(ArtifactsInput!$M$24-ArtifactsInput!$M$24)*CHOOSE(ArtifactsInput!$N$24+1,10,12,14,16,18,20)+(IF(AND(Inputs!$B$38&lt;&gt;"pvp",Inputs!$B$43=0),1,IF(IF(Inputs!$B$38="pvp",15,Inputs!$B$43)-(B2639)&lt;=0,1,MAX(0,IF(Inputs!$B$38="pvp",15,Inputs!$B$43)-MAX(5,B2639))/(IF(Inputs!$B$38="pvp",15,Inputs!$B$43)-(B2639))))*IF(AND(ArtifactsInput!$M$42,((Inputs!$B$9+((C2620=TRUE)*(F2620-Calc!F19))+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2614*(1-MIN(100,(Inputs!$B$9+((C2620=TRUE)*(F2620-Calc!F19))+B2632+(ArtifactsInput!$M$24-ArtifactsInput!$M$24)*CHOOSE(ArtifactsInput!$N$24+1,10,12,14,16,18,20)+(IF(AND(Inputs!$B$38&lt;&gt;"pvp",Inputs!$B$43=0),1,IF(IF(Inputs!$B$38="pvp",15,Inputs!$B$43)-(B2639)&lt;=0,1,MAX(0,IF(Inputs!$B$38="pvp",15,Inputs!$B$43)-MAX(5,B2639))/(IF(Inputs!$B$38="pvp",15,Inputs!$B$43)-(B2639))))*IF(AND(ArtifactsInput!$M$42,((Inputs!$B$9+((C2620=TRUE)*(F2620-Calc!F19))+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2614*(MIN(100,(Inputs!$B$9+((C2620=TRUE)*(F2620-Calc!F19))+B2632+(ArtifactsInput!$M$24-ArtifactsInput!$M$24)*CHOOSE(ArtifactsInput!$N$24+1,10,12,14,16,18,20)+(IF(AND(Inputs!$B$38&lt;&gt;"pvp",Inputs!$B$43=0),1,IF(IF(Inputs!$B$38="pvp",15,Inputs!$B$43)-(B2639)&lt;=0,1,MAX(0,IF(Inputs!$B$38="pvp",15,Inputs!$B$43)-MAX(5,B2639))/(IF(Inputs!$B$38="pvp",15,Inputs!$B$43)-(B2639))))*IF(AND(ArtifactsInput!$M$42,((Inputs!$B$9+((C2620=TRUE)*(F2620-Calc!F19))+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14">
        <f>IF(C2614,(H2614*N2614*IF(AND(Inputs!$B$38&lt;&gt;"pvp",Inputs!$B$43&gt;0),((Skills!G13*((R2614-1)*IF(Skills!H13&gt;0,INT(Skills!I13/Skills!H13+0.000000001),1)+IF(Skills!H13&gt;0,INT(MIN(Skills!I13,MAX(0,MAX(0,Inputs!$B$43-B2639)-((R2614-1)*(IF(Inputs!$B$38="pvp",15,MAX(0.1,Skills!D13-IF(TRUE=TRUE,Inputs!$B$32,0)))*(1-IF(AND(ArtifactsInput!$M$27,Inputs!$B$4="Chapter Hunt"),CHOOSE(ArtifactsInput!$N$27+1,20,24,28,32,36,40),0)/100)))))/Skills!H13+0.000000001),1)))/Inputs!$B$43),G2614*Q2614))*IF(Inputs!$B$38="pvp",1,(1+(Inputs!$B$21+Skills!Q13+(IF(ArtifactsInput!$M$33,CHOOSE(ArtifactsInput!$N$33+1,30,36,42,48,54,60),0))+(IF(AND(ArtifactsInput!$M$35,Inputs!$B$4&lt;&gt;"Chapter Hunt"),CHOOSE(ArtifactsInput!$N$35+1,15,18,21,24,27,30)*(1-EXP(-(0.2*B2634)*5)),0)+IF(AND(ArtifactsInput!$M$22,Inputs!$B$4&lt;&gt;"Chapter Hunt"),CHOOSE(ArtifactsInput!$N$22+1,10,12,14,16,18,20)*((0*(((0.15*B2634*5))^0/1)+1*(((0.15*B2634*5))^1/1)+2*(((0.15*B2634*5))^2/2)+3*(((0.15*B2634*5))^3/6)+4*(((0.15*B2634*5))^4/24)+5*(((0.15*B2634*5))^5/120))/((((0.15*B2634*5))^0/1)+(((0.15*B2634*5))^1/1)+(((0.15*B2634*5))^2/2)+(((0.15*B2634*5))^3/6)+(((0.15*B2634*5))^4/24)+(((0.15*B2634*5))^5/120))),0))+IF(Inputs!$B$3&gt;=54,9*(C2604=TRUE)*MIN(1,8*(1+Inputs!$B$34/100)*Q2604),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15">
      <c r="A2615">
        <f>Skills!A14</f>
        <v/>
      </c>
      <c r="B2615">
        <f>Skills!B14</f>
        <v/>
      </c>
      <c r="C2615">
        <f>Inputs!$B$3&gt;=120</f>
        <v/>
      </c>
      <c r="D2615">
        <f>IF(Skills!C14=1,60+Inputs!$B$25+Inputs!$B$29,IF(Skills!C14=2,90+Inputs!$B$26+Inputs!$B$29,IF(Skills!C14=3,120+Inputs!$B$27+Inputs!$B$29,MAX(0,(Inputs!$B$3-100)*3)+Inputs!$B$28+Inputs!$B$29)))</f>
        <v/>
      </c>
      <c r="E2615">
        <f>INDEX(FactorTable!$B$2:$Y$301, MATCH(ROUND(MIN(300,MAX(1,D2615)),0), FactorTable!$A$2:$A$301,0), Skills!M14+1)</f>
        <v/>
      </c>
      <c r="F2615">
        <f>IF(Skills!N14=TRUE,(Skills!L14/10)*(E2615/1000),Skills!L14/10)+Skills!O14</f>
        <v/>
      </c>
      <c r="G2615">
        <f>Skills!G14*IF(Skills!H14&gt;0,INT(IF(Inputs!$B$38="pvp",MIN(Skills!I14,15),Skills!I14)/Skills!H14+0.000000001),1)</f>
        <v/>
      </c>
      <c r="H2615">
        <f>1-(1-Skills!J14/100)^Skills!K14</f>
        <v/>
      </c>
      <c r="I2615" t="inlineStr">
        <is>
          <t>1</t>
        </is>
      </c>
      <c r="J2615">
        <f>((Inputs!$B$6*(1+Inputs!$B$7/100))+(((Inputs!$B$12*(1+Inputs!$B$13/100))-(Inputs!$B$12*(1+Inputs!$B$13/100)))+0.25*(Inputs!$B$14-Inputs!$B$14))*(1+Inputs!$B$7/100))*(F2615/100)</f>
        <v/>
      </c>
      <c r="K2615">
        <f>J2615*(1+((Inputs!$B$12*(1+Inputs!$B$13/100))*0.01+Inputs!$B$14*0.0025)/100)*(1+Inputs!$B$15/100)*(1+Inputs!$B$16/100)*(5000/(6000+Inputs!$B$42*(1-(100*(1-(1-(Inputs!$B$19+0)/100)*(1-CHOOSE(ArtifactsInput!$N$40+1,5,6,7,8,9,10)/100)^(ArtifactsInput!$M$40-ArtifactsInput!$M$40)))/100)))*(1+(Inputs!$B$24+((C2627=TRUE)*(F2627-Calc!F26))+B2638)/100)*(1+(((1+IF(AND(IF(ArtifactsInput!$M$36,FALSE,TRUE),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EIGHT_LEGS_EASTON",Inputs!$B$17+((C2624=TRUE)*(F2624-Calc!F23))+((C2628=TRUE)*(F2628-Calc!F27))+((IF(AND(Inputs!$B$38&lt;&gt;"pvp",Inputs!$B$43=0),1,IF(IF(Inputs!$B$38="pvp",15,Inputs!$B$43)-(B2639)&lt;=0,1,MAX(0,IF(Inputs!$B$38="pvp",15,Inputs!$B$43)-MAX(5,B2639))/(IF(Inputs!$B$38="pvp",15,Inputs!$B$43)-(B2639))))*(IF(AND(ArtifactsInput!$M$42,((Inputs!$B$9+((C2620=TRUE)*(F2620-Calc!F19))+B2632+(ArtifactsInput!$M$24-ArtifactsInput!$M$24)*CHOOSE(ArtifactsInput!$N$24+1,10,12,14,16,18,20)+IF(ArtifactsInput!$M$10,CHOOSE(ArtifactsInput!$N$10+1,15,18,21,24,27,30)*(IF(Inputs!$B$38="pvp",MIN(15,15)/15,IF(AND(Inputs!$B$38&lt;&gt;"pvp",Inputs!$B$43&gt;0),MIN(15,Inputs!$B$43)/(Inputs!$B$43),0))),0)))&gt;=100),MIN(100,((Inputs!$B$9+((C2620=TRUE)*(F2620-Calc!F19))+B2632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2639)&lt;=0,1,MAX(0,IF(Inputs!$B$38="pvp",15,Inputs!$B$43)-MAX(5,B2639))/(IF(Inputs!$B$38="pvp",15,Inputs!$B$43)-(B2639))))*IF(AND(ArtifactsInput!$M$42,((Inputs!$B$9+((C2620=TRUE)*(F2620-Calc!F19))+B2632+(ArtifactsInput!$M$24-ArtifactsInput!$M$24)*CHOOSE(ArtifactsInput!$N$24+1,10,12,14,16,18,20)+IF(ArtifactsInput!$M$10,CHOOSE(ArtifactsInput!$N$10+1,15,18,21,24,27,30)*(IF(Inputs!$B$38="pvp",MIN(15,15)/15,IF(AND(Inputs!$B$38&lt;&gt;"pvp",Inputs!$B$43&gt;0),MIN(15,Inputs!$B$43)/(Inputs!$B$43),0))),0)))&gt;=100),CHOOSE(ArtifactsInput!$N$42+1,40,48,56,64,72,80),0))))/100)*((1+(((C2618=TRUE)*F2618*5/7)+((C2625=TRUE)*(F2625-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2615)</f>
        <v/>
      </c>
      <c r="L2615">
        <f>K2615*(MIN(Inputs!$B$22+((C2623=TRUE)*(F2623-Calc!F22)),(Inputs!$B$23+0+(IF(ArtifactsInput!$M$15,CHOOSE(ArtifactsInput!$N$15+1,25,30,35,40,45,50)/100*(Inputs!$B$11-Inputs!$B$11),0))))/100+(Inputs!$B$23+0+(IF(ArtifactsInput!$M$15,CHOOSE(ArtifactsInput!$N$15+1,25,30,35,40,45,50)/100*(Inputs!$B$11-Inputs!$B$11),0)))/100)/2</f>
        <v/>
      </c>
      <c r="M2615">
        <f>L2615*(1+(Inputs!$B$10+((C2626=TRUE)*(F2626-Calc!F25))+B2637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15">
        <f>L2615*(1-MIN((Inputs!$B$9+((C2620=TRUE)*(F2620-Calc!F19))+B2632+(ArtifactsInput!$M$24-ArtifactsInput!$M$24)*CHOOSE(ArtifactsInput!$N$24+1,10,12,14,16,18,20)+(IF(AND(Inputs!$B$38&lt;&gt;"pvp",Inputs!$B$43=0),1,IF(IF(Inputs!$B$38="pvp",15,Inputs!$B$43)-(B2639)&lt;=0,1,MAX(0,IF(Inputs!$B$38="pvp",15,Inputs!$B$43)-MAX(5,B2639))/(IF(Inputs!$B$38="pvp",15,Inputs!$B$43)-(B2639))))*IF(AND(ArtifactsInput!$M$42,((Inputs!$B$9+((C2620=TRUE)*(F2620-Calc!F19))+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2615*(MIN((Inputs!$B$9+((C2620=TRUE)*(F2620-Calc!F19))+B2632+(ArtifactsInput!$M$24-ArtifactsInput!$M$24)*CHOOSE(ArtifactsInput!$N$24+1,10,12,14,16,18,20)+(IF(AND(Inputs!$B$38&lt;&gt;"pvp",Inputs!$B$43=0),1,IF(IF(Inputs!$B$38="pvp",15,Inputs!$B$43)-(B2639)&lt;=0,1,MAX(0,IF(Inputs!$B$38="pvp",15,Inputs!$B$43)-MAX(5,B2639))/(IF(Inputs!$B$38="pvp",15,Inputs!$B$43)-(B2639))))*IF(AND(ArtifactsInput!$M$42,((Inputs!$B$9+((C2620=TRUE)*(F2620-Calc!F19))+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15">
        <f>(1-Summary!$B$11)*T2615+Summary!$B$11*V2615</f>
        <v/>
      </c>
      <c r="P2615">
        <f>IF(B2642=0,0,O2615/B2642)</f>
        <v/>
      </c>
      <c r="Q2615" t="n">
        <v>0</v>
      </c>
      <c r="R2615" t="n">
        <v>0</v>
      </c>
      <c r="S2615">
        <f>IFERROR(O2615/N2615,0)</f>
        <v/>
      </c>
      <c r="T2615">
        <f>IF(C2615,((H2615*(B2636+IF(AND(Inputs!$B$38&lt;&gt;"pvp",Inputs!$B$43&gt;0),((Skills!G8*((R2609-1)*IF(Skills!H8&gt;0,INT(Skills!I8/Skills!H8+0.000000001),1)+IF(Skills!H8&gt;0,INT(MIN(Skills!I8,MAX(0,MAX(0,Inputs!$B$43-B2639)-((R2609-1)*((IF(Inputs!$B$38="pvp",15,MAX(0.1,Skills!D8-IF(TRUE=TRUE,Inputs!$B$32,0)))*(1-IF(AND(ArtifactsInput!$M$27,Inputs!$B$4="Chapter Hunt"),CHOOSE(ArtifactsInput!$N$27+1,20,24,28,32,36,40),0)/100))/B2643))))/Skills!H8+0.000000001),1)))/Inputs!$B$43),G2609*Q2609)+IF(AND(Inputs!$B$38&lt;&gt;"pvp",Inputs!$B$43&gt;0),((Skills!G11*((R2612-1)*IF(Skills!H11&gt;0,INT(Skills!I11/Skills!H11+0.000000001),1)+IF(Skills!H11&gt;0,INT(MIN(Skills!I11,MAX(0,MAX(0,Inputs!$B$43-B2639)-((R2612-1)*((IF(Inputs!$B$38="pvp",15,MAX(0.1,Skills!D11-IF(TRUE=TRUE,Inputs!$B$32,0)))*(1-IF(AND(ArtifactsInput!$M$27,Inputs!$B$4="Chapter Hunt"),CHOOSE(ArtifactsInput!$N$27+1,20,24,28,32,36,40),0)/100))/B2643))))/Skills!H11+0.000000001),1)))/Inputs!$B$43),G2612*Q2612)))/(1+Skills!H14*H2615*(B2636+IF(AND(Inputs!$B$38&lt;&gt;"pvp",Inputs!$B$43&gt;0),((Skills!G8*((R2609-1)*IF(Skills!H8&gt;0,INT(Skills!I8/Skills!H8+0.000000001),1)+IF(Skills!H8&gt;0,INT(MIN(Skills!I8,MAX(0,MAX(0,Inputs!$B$43-B2639)-((R2609-1)*((IF(Inputs!$B$38="pvp",15,MAX(0.1,Skills!D8-IF(TRUE=TRUE,Inputs!$B$32,0)))*(1-IF(AND(ArtifactsInput!$M$27,Inputs!$B$4="Chapter Hunt"),CHOOSE(ArtifactsInput!$N$27+1,20,24,28,32,36,40),0)/100))/B2643))))/Skills!H8+0.000000001),1)))/Inputs!$B$43),G2609*Q2609)+IF(AND(Inputs!$B$38&lt;&gt;"pvp",Inputs!$B$43&gt;0),((Skills!G11*((R2612-1)*IF(Skills!H11&gt;0,INT(Skills!I11/Skills!H11+0.000000001),1)+IF(Skills!H11&gt;0,INT(MIN(Skills!I11,MAX(0,MAX(0,Inputs!$B$43-B2639)-((R2612-1)*((IF(Inputs!$B$38="pvp",15,MAX(0.1,Skills!D11-IF(TRUE=TRUE,Inputs!$B$32,0)))*(1-IF(AND(ArtifactsInput!$M$27,Inputs!$B$4="Chapter Hunt"),CHOOSE(ArtifactsInput!$N$27+1,20,24,28,32,36,40),0)/100))/B2643))))/Skills!H11+0.000000001),1)))/Inputs!$B$43),G2612*Q2612)))*N2615)*IF(Inputs!$B$38="pvp",1,1+(Inputs!$B$20+0+Skills!P14+(IF(AND(IF(ArtifactsInput!$M$36,FALSE,TRUE),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Hunt"),CHOOSE(ArtifactsInput!$N$35+1,15,18,21,24,27,30)*(1-EXP(-(0.2*B2634)*5)),0)+IF(AND(ArtifactsInput!$M$22,Inputs!$B$4&lt;&gt;"Chapter Hunt"),CHOOSE(ArtifactsInput!$N$22+1,10,12,14,16,18,20)*((0*(((0.15*B2634*5))^0/1)+1*(((0.15*B2634*5))^1/1)+2*(((0.15*B2634*5))^2/2)+3*(((0.15*B2634*5))^3/6)+4*(((0.15*B2634*5))^4/24)+5*(((0.15*B2634*5))^5/120))/((((0.15*B2634*5))^0/1)+(((0.15*B2634*5))^1/1)+(((0.15*B2634*5))^2/2)+(((0.15*B2634*5))^3/6)+(((0.15*B2634*5))^4/24)+(((0.15*B2634*5))^5/120))),0))+IF(Inputs!$B$3&gt;=54,9*(C2604=TRUE)*MIN(1,8*(1+Inputs!$B$34/100)*Q2604)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2615*(1-MIN(100,(Inputs!$B$9+((C2620=TRUE)*(F2620-Calc!F19))+B2632+(ArtifactsInput!$M$24-ArtifactsInput!$M$24)*CHOOSE(ArtifactsInput!$N$24+1,10,12,14,16,18,20)+(IF(AND(Inputs!$B$38&lt;&gt;"pvp",Inputs!$B$43=0),1,IF(IF(Inputs!$B$38="pvp",15,Inputs!$B$43)-(B2639)&lt;=0,1,MAX(0,IF(Inputs!$B$38="pvp",15,Inputs!$B$43)-MAX(5,B2639))/(IF(Inputs!$B$38="pvp",15,Inputs!$B$43)-(B2639))))*IF(AND(ArtifactsInput!$M$42,((Inputs!$B$9+((C2620=TRUE)*(F2620-Calc!F19))+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2615*(MIN(100,(Inputs!$B$9+((C2620=TRUE)*(F2620-Calc!F19))+B2632+(ArtifactsInput!$M$24-ArtifactsInput!$M$24)*CHOOSE(ArtifactsInput!$N$24+1,10,12,14,16,18,20)+(IF(AND(Inputs!$B$38&lt;&gt;"pvp",Inputs!$B$43=0),1,IF(IF(Inputs!$B$38="pvp",15,Inputs!$B$43)-(B2639)&lt;=0,1,MAX(0,IF(Inputs!$B$38="pvp",15,Inputs!$B$43)-MAX(5,B2639))/(IF(Inputs!$B$38="pvp",15,Inputs!$B$43)-(B2639))))*IF(AND(ArtifactsInput!$M$42,((Inputs!$B$9+((C2620=TRUE)*(F2620-Calc!F19))+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2615*(1-MIN(100,(Inputs!$B$9+((C2620=TRUE)*(F2620-Calc!F19))+B2632+(ArtifactsInput!$M$24-ArtifactsInput!$M$24)*CHOOSE(ArtifactsInput!$N$24+1,10,12,14,16,18,20)+(IF(AND(Inputs!$B$38&lt;&gt;"pvp",Inputs!$B$43=0),1,IF(IF(Inputs!$B$38="pvp",15,Inputs!$B$43)-(B2639)&lt;=0,1,MAX(0,IF(Inputs!$B$38="pvp",15,Inputs!$B$43)-MAX(5,B2639))/(IF(Inputs!$B$38="pvp",15,Inputs!$B$43)-(B2639))))*IF(AND(ArtifactsInput!$M$42,((Inputs!$B$9+((C2620=TRUE)*(F2620-Calc!F19))+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2615*(MIN(100,(Inputs!$B$9+((C2620=TRUE)*(F2620-Calc!F19))+B2632+(ArtifactsInput!$M$24-ArtifactsInput!$M$24)*CHOOSE(ArtifactsInput!$N$24+1,10,12,14,16,18,20)+(IF(AND(Inputs!$B$38&lt;&gt;"pvp",Inputs!$B$43=0),1,IF(IF(Inputs!$B$38="pvp",15,Inputs!$B$43)-(B2639)&lt;=0,1,MAX(0,IF(Inputs!$B$38="pvp",15,Inputs!$B$43)-MAX(5,B2639))/(IF(Inputs!$B$38="pvp",15,Inputs!$B$43)-(B2639))))*IF(AND(ArtifactsInput!$M$42,((Inputs!$B$9+((C2620=TRUE)*(F2620-Calc!F19))+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15">
        <f>IF(C2615,((H2615*(B2636+IF(AND(Inputs!$B$38&lt;&gt;"pvp",Inputs!$B$43&gt;0),((Skills!G8*((R2609-1)*IF(Skills!H8&gt;0,INT(Skills!I8/Skills!H8+0.000000001),1)+IF(Skills!H8&gt;0,INT(MIN(Skills!I8,MAX(0,MAX(0,Inputs!$B$43-B2639)-((R2609-1)*((IF(Inputs!$B$38="pvp",15,MAX(0.1,Skills!D8-IF(TRUE=TRUE,Inputs!$B$32,0)))*(1-IF(AND(ArtifactsInput!$M$27,Inputs!$B$4="Chapter Hunt"),CHOOSE(ArtifactsInput!$N$27+1,20,24,28,32,36,40),0)/100))/B2643))))/Skills!H8+0.000000001),1)))/Inputs!$B$43),G2609*Q2609)+IF(AND(Inputs!$B$38&lt;&gt;"pvp",Inputs!$B$43&gt;0),((Skills!G11*((R2612-1)*IF(Skills!H11&gt;0,INT(Skills!I11/Skills!H11+0.000000001),1)+IF(Skills!H11&gt;0,INT(MIN(Skills!I11,MAX(0,MAX(0,Inputs!$B$43-B2639)-((R2612-1)*((IF(Inputs!$B$38="pvp",15,MAX(0.1,Skills!D11-IF(TRUE=TRUE,Inputs!$B$32,0)))*(1-IF(AND(ArtifactsInput!$M$27,Inputs!$B$4="Chapter Hunt"),CHOOSE(ArtifactsInput!$N$27+1,20,24,28,32,36,40),0)/100))/B2643))))/Skills!H11+0.000000001),1)))/Inputs!$B$43),G2612*Q2612)))/(1+Skills!H14*H2615*(B2636+IF(AND(Inputs!$B$38&lt;&gt;"pvp",Inputs!$B$43&gt;0),((Skills!G8*((R2609-1)*IF(Skills!H8&gt;0,INT(Skills!I8/Skills!H8+0.000000001),1)+IF(Skills!H8&gt;0,INT(MIN(Skills!I8,MAX(0,MAX(0,Inputs!$B$43-B2639)-((R2609-1)*((IF(Inputs!$B$38="pvp",15,MAX(0.1,Skills!D8-IF(TRUE=TRUE,Inputs!$B$32,0)))*(1-IF(AND(ArtifactsInput!$M$27,Inputs!$B$4="Chapter Hunt"),CHOOSE(ArtifactsInput!$N$27+1,20,24,28,32,36,40),0)/100))/B2643))))/Skills!H8+0.000000001),1)))/Inputs!$B$43),G2609*Q2609)+IF(AND(Inputs!$B$38&lt;&gt;"pvp",Inputs!$B$43&gt;0),((Skills!G11*((R2612-1)*IF(Skills!H11&gt;0,INT(Skills!I11/Skills!H11+0.000000001),1)+IF(Skills!H11&gt;0,INT(MIN(Skills!I11,MAX(0,MAX(0,Inputs!$B$43-B2639)-((R2612-1)*((IF(Inputs!$B$38="pvp",15,MAX(0.1,Skills!D11-IF(TRUE=TRUE,Inputs!$B$32,0)))*(1-IF(AND(ArtifactsInput!$M$27,Inputs!$B$4="Chapter Hunt"),CHOOSE(ArtifactsInput!$N$27+1,20,24,28,32,36,40),0)/100))/B2643))))/Skills!H11+0.000000001),1)))/Inputs!$B$43),G2612*Q2612)))*N2615)*IF(Inputs!$B$38="pvp",1,(1+(Inputs!$B$21+Skills!Q14+(IF(ArtifactsInput!$M$33,CHOOSE(ArtifactsInput!$N$33+1,30,36,42,48,54,60),0))+(IF(AND(ArtifactsInput!$M$35,Inputs!$B$4&lt;&gt;"Chapter Hunt"),CHOOSE(ArtifactsInput!$N$35+1,15,18,21,24,27,30)*(1-EXP(-(0.2*B2634)*5)),0)+IF(AND(ArtifactsInput!$M$22,Inputs!$B$4&lt;&gt;"Chapter Hunt"),CHOOSE(ArtifactsInput!$N$22+1,10,12,14,16,18,20)*((0*(((0.15*B2634*5))^0/1)+1*(((0.15*B2634*5))^1/1)+2*(((0.15*B2634*5))^2/2)+3*(((0.15*B2634*5))^3/6)+4*(((0.15*B2634*5))^4/24)+5*(((0.15*B2634*5))^5/120))/((((0.15*B2634*5))^0/1)+(((0.15*B2634*5))^1/1)+(((0.15*B2634*5))^2/2)+(((0.15*B2634*5))^3/6)+(((0.15*B2634*5))^4/24)+(((0.15*B2634*5))^5/120))),0))+IF(Inputs!$B$3&gt;=54,9*(C2604=TRUE)*MIN(1,8*(1+Inputs!$B$34/100)*Q2604),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16">
      <c r="A2616">
        <f>Skills!A15</f>
        <v/>
      </c>
      <c r="B2616">
        <f>Skills!B15</f>
        <v/>
      </c>
      <c r="C2616">
        <f>Inputs!$B$3&gt;=100</f>
        <v/>
      </c>
      <c r="D2616">
        <f>IF(Skills!C15=1,60+Inputs!$B$25+Inputs!$B$29,IF(Skills!C15=2,90+Inputs!$B$26+Inputs!$B$29,IF(Skills!C15=3,120+Inputs!$B$27+Inputs!$B$29,MAX(0,(Inputs!$B$3-100)*3)+Inputs!$B$28+Inputs!$B$29)))</f>
        <v/>
      </c>
      <c r="E2616">
        <f>INDEX(FactorTable!$B$2:$Y$301, MATCH(ROUND(MIN(300,MAX(1,D2616)),0), FactorTable!$A$2:$A$301,0), Skills!M15+1)</f>
        <v/>
      </c>
      <c r="F2616">
        <f>IF(Skills!N15=TRUE,(Skills!L15/10)*(E2616/1000),Skills!L15/10)+Skills!O15</f>
        <v/>
      </c>
      <c r="G2616" t="inlineStr"/>
      <c r="H2616" t="inlineStr"/>
      <c r="I2616" t="inlineStr">
        <is>
          <t>1</t>
        </is>
      </c>
      <c r="J2616" t="inlineStr"/>
      <c r="K2616" t="inlineStr"/>
      <c r="L2616" t="inlineStr"/>
      <c r="M2616" t="inlineStr"/>
      <c r="N2616" t="inlineStr"/>
      <c r="O2616" t="inlineStr"/>
      <c r="P2616" t="inlineStr"/>
      <c r="Q2616" t="inlineStr"/>
      <c r="R2616" t="inlineStr"/>
      <c r="S2616" t="inlineStr"/>
    </row>
    <row r="2617">
      <c r="A2617">
        <f>Skills!A16</f>
        <v/>
      </c>
      <c r="B2617">
        <f>Skills!B16</f>
        <v/>
      </c>
      <c r="C2617">
        <f>Inputs!$B$3&gt;=107</f>
        <v/>
      </c>
      <c r="D2617">
        <f>IF(Skills!C16=1,60+Inputs!$B$25+Inputs!$B$29,IF(Skills!C16=2,90+Inputs!$B$26+Inputs!$B$29,IF(Skills!C16=3,120+Inputs!$B$27+Inputs!$B$29,MAX(0,(Inputs!$B$3-100)*3)+Inputs!$B$28+Inputs!$B$29)))</f>
        <v/>
      </c>
      <c r="E2617">
        <f>INDEX(FactorTable!$B$2:$Y$301, MATCH(ROUND(MIN(300,MAX(1,D2617)),0), FactorTable!$A$2:$A$301,0), Skills!M16+1)</f>
        <v/>
      </c>
      <c r="F2617">
        <f>IF(Skills!N16=TRUE,(Skills!L16/10)*(E2617/1000),Skills!L16/10)+Skills!O16</f>
        <v/>
      </c>
      <c r="G2617" t="inlineStr"/>
      <c r="H2617" t="inlineStr"/>
      <c r="I2617" t="inlineStr">
        <is>
          <t>1</t>
        </is>
      </c>
      <c r="J2617" t="inlineStr"/>
      <c r="K2617" t="inlineStr"/>
      <c r="L2617" t="inlineStr"/>
      <c r="M2617" t="inlineStr"/>
      <c r="N2617" t="inlineStr"/>
      <c r="O2617" t="inlineStr"/>
      <c r="P2617" t="inlineStr"/>
      <c r="Q2617" t="inlineStr"/>
      <c r="R2617" t="inlineStr"/>
      <c r="S2617" t="inlineStr"/>
    </row>
    <row r="2618">
      <c r="A2618">
        <f>Skills!A17</f>
        <v/>
      </c>
      <c r="B2618">
        <f>Skills!B17</f>
        <v/>
      </c>
      <c r="C2618">
        <f>Inputs!$B$3&gt;=74</f>
        <v/>
      </c>
      <c r="D2618">
        <f>IF(Skills!C17=1,60+Inputs!$B$25+Inputs!$B$29,IF(Skills!C17=2,90+Inputs!$B$26+Inputs!$B$29,IF(Skills!C17=3,120+Inputs!$B$27+Inputs!$B$29,MAX(0,(Inputs!$B$3-100)*3)+Inputs!$B$28+Inputs!$B$29)))</f>
        <v/>
      </c>
      <c r="E2618">
        <f>INDEX(FactorTable!$B$2:$Y$301, MATCH(ROUND(MIN(300,MAX(1,D2618)),0), FactorTable!$A$2:$A$301,0), Skills!M17+1)</f>
        <v/>
      </c>
      <c r="F2618">
        <f>IF(Skills!N17=TRUE,(Skills!L17/10)*(E2618/1000),Skills!L17/10)+Skills!O17</f>
        <v/>
      </c>
      <c r="G2618">
        <f>Skills!G17*IF(Skills!H17&gt;0,INT(IF(Inputs!$B$38="pvp",MIN(Skills!I17,15),Skills!I17)/Skills!H17+0.000000001),1)</f>
        <v/>
      </c>
      <c r="H2618">
        <f>1-(1-Skills!J17/100)^Skills!K17</f>
        <v/>
      </c>
      <c r="I2618" t="inlineStr">
        <is>
          <t>1</t>
        </is>
      </c>
      <c r="J2618" t="inlineStr"/>
      <c r="K2618" t="inlineStr"/>
      <c r="L2618" t="inlineStr"/>
      <c r="M2618" t="inlineStr"/>
      <c r="N2618" t="inlineStr"/>
      <c r="O2618">
        <f>(1-Summary!$B$11)*T2618+Summary!$B$11*V2618</f>
        <v/>
      </c>
      <c r="P2618">
        <f>IF(B2642=0,0,O2618/B2642)</f>
        <v/>
      </c>
      <c r="Q2618" t="n">
        <v>0</v>
      </c>
      <c r="R2618" t="n">
        <v>0</v>
      </c>
      <c r="S2618">
        <f>IFERROR(O2618/N2618,0)</f>
        <v/>
      </c>
      <c r="T2618" t="n">
        <v>0</v>
      </c>
      <c r="V2618" t="n">
        <v>0</v>
      </c>
    </row>
    <row r="2619">
      <c r="A2619">
        <f>Skills!A18</f>
        <v/>
      </c>
      <c r="B2619">
        <f>Skills!B18</f>
        <v/>
      </c>
      <c r="C2619">
        <f>Inputs!$B$3&gt;=115</f>
        <v/>
      </c>
      <c r="D2619">
        <f>IF(Skills!C18=1,60+Inputs!$B$25+Inputs!$B$29,IF(Skills!C18=2,90+Inputs!$B$26+Inputs!$B$29,IF(Skills!C18=3,120+Inputs!$B$27+Inputs!$B$29,MAX(0,(Inputs!$B$3-100)*3)+Inputs!$B$28+Inputs!$B$29)))</f>
        <v/>
      </c>
      <c r="E2619">
        <f>INDEX(FactorTable!$B$2:$Y$301, MATCH(ROUND(MIN(300,MAX(1,D2619)),0), FactorTable!$A$2:$A$301,0), Skills!M18+1)</f>
        <v/>
      </c>
      <c r="F2619">
        <f>IF(Skills!N18=TRUE,(Skills!L18/10)*(E2619/1000),Skills!L18/10)+Skills!O18</f>
        <v/>
      </c>
      <c r="G2619">
        <f>Skills!G18*IF(Skills!H18&gt;0,INT(IF(Inputs!$B$38="pvp",MIN(Skills!I18,15),Skills!I18)/Skills!H18+0.000000001),1)</f>
        <v/>
      </c>
      <c r="H2619">
        <f>1-(1-Skills!J18/100)^Skills!K18</f>
        <v/>
      </c>
      <c r="I2619" t="inlineStr">
        <is>
          <t>1</t>
        </is>
      </c>
      <c r="J2619" t="inlineStr"/>
      <c r="K2619" t="inlineStr"/>
      <c r="L2619" t="inlineStr"/>
      <c r="M2619" t="inlineStr"/>
      <c r="N2619" t="inlineStr"/>
      <c r="O2619">
        <f>(1-Summary!$B$11)*T2619+Summary!$B$11*V2619</f>
        <v/>
      </c>
      <c r="P2619">
        <f>IF(B2642=0,0,O2619/B2642)</f>
        <v/>
      </c>
      <c r="Q2619">
        <f>IFERROR(1/(IF(Inputs!$B$38="pvp",15,MAX(0.1,Skills!D18-IF(TRUE=TRUE,Inputs!$B$32,0)))*(1-IF(AND(ArtifactsInput!$M$27,Inputs!$B$4="Chapter Hunt"),CHOOSE(ArtifactsInput!$N$27+1,20,24,28,32,36,40),0)/100)),0)</f>
        <v/>
      </c>
      <c r="R2619">
        <f>IF(AND(Inputs!$B$38&lt;&gt;"pvp",Inputs!$B$43&gt;0),IF(Inputs!$B$43&lt;=0,0,(INT(Inputs!$B$43/(IF(Inputs!$B$38="pvp",15,MAX(0.1,Skills!D18-IF(TRUE=TRUE,Inputs!$B$32,0)))*(1-IF(AND(ArtifactsInput!$M$27,Inputs!$B$4="Chapter Hunt"),CHOOSE(ArtifactsInput!$N$27+1,20,24,28,32,36,40),0)/100)))+1)),0)</f>
        <v/>
      </c>
      <c r="S2619">
        <f>IFERROR(O2619/N2619,0)</f>
        <v/>
      </c>
      <c r="T2619" t="n">
        <v>0</v>
      </c>
      <c r="V2619" t="n">
        <v>0</v>
      </c>
    </row>
    <row r="2620">
      <c r="A2620">
        <f>Skills!A19</f>
        <v/>
      </c>
      <c r="B2620">
        <f>Skills!B19</f>
        <v/>
      </c>
      <c r="C2620">
        <f>Inputs!$B$3&gt;=10</f>
        <v/>
      </c>
      <c r="D2620">
        <f>IF(Skills!C19=1,60+Inputs!$B$25+Inputs!$B$29,IF(Skills!C19=2,90+Inputs!$B$26+Inputs!$B$29,IF(Skills!C19=3,120+Inputs!$B$27+Inputs!$B$29,MAX(0,(Inputs!$B$3-100)*3)+Inputs!$B$28+Inputs!$B$29)))</f>
        <v/>
      </c>
      <c r="E2620">
        <f>INDEX(FactorTable!$B$2:$Y$301, MATCH(ROUND(MIN(300,MAX(1,D2620)),0), FactorTable!$A$2:$A$301,0), Skills!M19+1)</f>
        <v/>
      </c>
      <c r="F2620">
        <f>IF(Skills!N19=TRUE,(Skills!L19/10)*(E2620/1000),Skills!L19/10)+Skills!O19</f>
        <v/>
      </c>
      <c r="G2620">
        <f>Skills!G19*IF(Skills!H19&gt;0,INT(IF(Inputs!$B$38="pvp",MIN(Skills!I19,15),Skills!I19)/Skills!H19+0.000000001),1)</f>
        <v/>
      </c>
      <c r="H2620">
        <f>1-(1-Skills!J19/100)^Skills!K19</f>
        <v/>
      </c>
      <c r="I2620" t="inlineStr">
        <is>
          <t>1</t>
        </is>
      </c>
      <c r="J2620" t="inlineStr"/>
      <c r="K2620" t="inlineStr"/>
      <c r="L2620" t="inlineStr"/>
      <c r="M2620" t="inlineStr"/>
      <c r="N2620" t="inlineStr"/>
      <c r="O2620">
        <f>(1-Summary!$B$11)*T2620+Summary!$B$11*V2620</f>
        <v/>
      </c>
      <c r="P2620">
        <f>IF(B2642=0,0,O2620/B2642)</f>
        <v/>
      </c>
      <c r="Q2620" t="n">
        <v>0</v>
      </c>
      <c r="R2620" t="n">
        <v>0</v>
      </c>
      <c r="S2620">
        <f>IFERROR(O2620/N2620,0)</f>
        <v/>
      </c>
      <c r="T2620" t="n">
        <v>0</v>
      </c>
      <c r="V2620" t="n">
        <v>0</v>
      </c>
    </row>
    <row r="2621">
      <c r="A2621">
        <f>Skills!A20</f>
        <v/>
      </c>
      <c r="B2621">
        <f>Skills!B20</f>
        <v/>
      </c>
      <c r="C2621">
        <f>Inputs!$B$3&gt;=15</f>
        <v/>
      </c>
      <c r="D2621">
        <f>IF(Skills!C20=1,60+Inputs!$B$25+Inputs!$B$29,IF(Skills!C20=2,90+Inputs!$B$26+Inputs!$B$29,IF(Skills!C20=3,120+Inputs!$B$27+Inputs!$B$29,MAX(0,(Inputs!$B$3-100)*3)+Inputs!$B$28+Inputs!$B$29)))</f>
        <v/>
      </c>
      <c r="E2621">
        <f>INDEX(FactorTable!$B$2:$Y$301, MATCH(ROUND(MIN(300,MAX(1,D2621)),0), FactorTable!$A$2:$A$301,0), Skills!M20+1)</f>
        <v/>
      </c>
      <c r="F2621">
        <f>IF(Skills!N20=TRUE,(Skills!L20/10)*(E2621/1000),Skills!L20/10)+Skills!O20</f>
        <v/>
      </c>
      <c r="G2621">
        <f>Skills!G20*IF(Skills!H20&gt;0,INT(IF(Inputs!$B$38="pvp",MIN(Skills!I20,15),Skills!I20)/Skills!H20+0.000000001),1)</f>
        <v/>
      </c>
      <c r="H2621">
        <f>1-(1-Skills!J20/100)^Skills!K20</f>
        <v/>
      </c>
      <c r="I2621" t="inlineStr">
        <is>
          <t>1</t>
        </is>
      </c>
      <c r="J2621" t="inlineStr"/>
      <c r="K2621" t="inlineStr"/>
      <c r="L2621" t="inlineStr"/>
      <c r="M2621" t="inlineStr"/>
      <c r="N2621" t="inlineStr"/>
      <c r="O2621">
        <f>(1-Summary!$B$11)*T2621+Summary!$B$11*V2621</f>
        <v/>
      </c>
      <c r="P2621">
        <f>IF(B2642=0,0,O2621/B2642)</f>
        <v/>
      </c>
      <c r="Q2621" t="n">
        <v>0</v>
      </c>
      <c r="R2621" t="n">
        <v>0</v>
      </c>
      <c r="S2621">
        <f>IFERROR(O2621/N2621,0)</f>
        <v/>
      </c>
      <c r="T2621" t="n">
        <v>0</v>
      </c>
      <c r="V2621" t="n">
        <v>0</v>
      </c>
    </row>
    <row r="2622">
      <c r="A2622">
        <f>Skills!A21</f>
        <v/>
      </c>
      <c r="B2622">
        <f>Skills!B21</f>
        <v/>
      </c>
      <c r="C2622">
        <f>Inputs!$B$3&gt;=40</f>
        <v/>
      </c>
      <c r="D2622">
        <f>IF(Skills!C21=1,60+Inputs!$B$25+Inputs!$B$29,IF(Skills!C21=2,90+Inputs!$B$26+Inputs!$B$29,IF(Skills!C21=3,120+Inputs!$B$27+Inputs!$B$29,MAX(0,(Inputs!$B$3-100)*3)+Inputs!$B$28+Inputs!$B$29)))</f>
        <v/>
      </c>
      <c r="E2622">
        <f>INDEX(FactorTable!$B$2:$Y$301, MATCH(ROUND(MIN(300,MAX(1,D2622)),0), FactorTable!$A$2:$A$301,0), Skills!M21+1)</f>
        <v/>
      </c>
      <c r="F2622">
        <f>IF(Skills!N21=TRUE,(Skills!L21/10)*(E2622/1000),Skills!L21/10)+Skills!O21</f>
        <v/>
      </c>
      <c r="G2622">
        <f>Skills!G21*IF(Skills!H21&gt;0,INT(IF(Inputs!$B$38="pvp",MIN(Skills!I21,15),Skills!I21)/Skills!H21+0.000000001),1)</f>
        <v/>
      </c>
      <c r="H2622">
        <f>1-(1-Skills!J21/100)^Skills!K21</f>
        <v/>
      </c>
      <c r="I2622" t="inlineStr">
        <is>
          <t>1</t>
        </is>
      </c>
      <c r="J2622" t="inlineStr"/>
      <c r="K2622" t="inlineStr"/>
      <c r="L2622" t="inlineStr"/>
      <c r="M2622" t="inlineStr"/>
      <c r="N2622" t="inlineStr"/>
      <c r="O2622">
        <f>(1-Summary!$B$11)*T2622+Summary!$B$11*V2622</f>
        <v/>
      </c>
      <c r="P2622">
        <f>IF(B2642=0,0,O2622/B2642)</f>
        <v/>
      </c>
      <c r="Q2622" t="n">
        <v>0</v>
      </c>
      <c r="R2622" t="n">
        <v>0</v>
      </c>
      <c r="S2622">
        <f>IFERROR(O2622/N2622,0)</f>
        <v/>
      </c>
      <c r="T2622" t="n">
        <v>0</v>
      </c>
      <c r="V2622" t="n">
        <v>0</v>
      </c>
    </row>
    <row r="2623">
      <c r="A2623">
        <f>Skills!A22</f>
        <v/>
      </c>
      <c r="B2623">
        <f>Skills!B22</f>
        <v/>
      </c>
      <c r="C2623">
        <f>Inputs!$B$3&gt;=43</f>
        <v/>
      </c>
      <c r="D2623">
        <f>IF(Skills!C22=1,60+Inputs!$B$25+Inputs!$B$29,IF(Skills!C22=2,90+Inputs!$B$26+Inputs!$B$29,IF(Skills!C22=3,120+Inputs!$B$27+Inputs!$B$29,MAX(0,(Inputs!$B$3-100)*3)+Inputs!$B$28+Inputs!$B$29)))</f>
        <v/>
      </c>
      <c r="E2623">
        <f>INDEX(FactorTable!$B$2:$Y$301, MATCH(ROUND(MIN(300,MAX(1,D2623)),0), FactorTable!$A$2:$A$301,0), Skills!M22+1)</f>
        <v/>
      </c>
      <c r="F2623">
        <f>IF(Skills!N22=TRUE,(Skills!L22/10)*(E2623/1000),Skills!L22/10)+Skills!O22</f>
        <v/>
      </c>
      <c r="G2623">
        <f>Skills!G22*IF(Skills!H22&gt;0,INT(IF(Inputs!$B$38="pvp",MIN(Skills!I22,15),Skills!I22)/Skills!H22+0.000000001),1)</f>
        <v/>
      </c>
      <c r="H2623">
        <f>1-(1-Skills!J22/100)^Skills!K22</f>
        <v/>
      </c>
      <c r="I2623" t="inlineStr">
        <is>
          <t>1</t>
        </is>
      </c>
      <c r="J2623" t="inlineStr"/>
      <c r="K2623" t="inlineStr"/>
      <c r="L2623" t="inlineStr"/>
      <c r="M2623" t="inlineStr"/>
      <c r="N2623" t="inlineStr"/>
      <c r="O2623">
        <f>(1-Summary!$B$11)*T2623+Summary!$B$11*V2623</f>
        <v/>
      </c>
      <c r="P2623">
        <f>IF(B2642=0,0,O2623/B2642)</f>
        <v/>
      </c>
      <c r="Q2623" t="n">
        <v>0</v>
      </c>
      <c r="R2623" t="n">
        <v>0</v>
      </c>
      <c r="S2623">
        <f>IFERROR(O2623/N2623,0)</f>
        <v/>
      </c>
      <c r="T2623" t="n">
        <v>0</v>
      </c>
      <c r="V2623" t="n">
        <v>0</v>
      </c>
    </row>
    <row r="2624">
      <c r="A2624">
        <f>Skills!A23</f>
        <v/>
      </c>
      <c r="B2624">
        <f>Skills!B23</f>
        <v/>
      </c>
      <c r="C2624">
        <f>Inputs!$B$3&gt;=38</f>
        <v/>
      </c>
      <c r="D2624">
        <f>IF(Skills!C23=1,60+Inputs!$B$25+Inputs!$B$29,IF(Skills!C23=2,90+Inputs!$B$26+Inputs!$B$29,IF(Skills!C23=3,120+Inputs!$B$27+Inputs!$B$29,MAX(0,(Inputs!$B$3-100)*3)+Inputs!$B$28+Inputs!$B$29)))</f>
        <v/>
      </c>
      <c r="E2624">
        <f>INDEX(FactorTable!$B$2:$Y$301, MATCH(ROUND(MIN(300,MAX(1,D2624)),0), FactorTable!$A$2:$A$301,0), Skills!M23+1)</f>
        <v/>
      </c>
      <c r="F2624">
        <f>IF(Skills!N23=TRUE,(Skills!L23/10)*(E2624/1000),Skills!L23/10)+Skills!O23</f>
        <v/>
      </c>
      <c r="G2624">
        <f>Skills!G23*IF(Skills!H23&gt;0,INT(IF(Inputs!$B$38="pvp",MIN(Skills!I23,15),Skills!I23)/Skills!H23+0.000000001),1)</f>
        <v/>
      </c>
      <c r="H2624">
        <f>1-(1-Skills!J23/100)^Skills!K23</f>
        <v/>
      </c>
      <c r="I2624" t="inlineStr">
        <is>
          <t>1</t>
        </is>
      </c>
      <c r="J2624" t="inlineStr"/>
      <c r="K2624" t="inlineStr"/>
      <c r="L2624" t="inlineStr"/>
      <c r="M2624" t="inlineStr"/>
      <c r="N2624" t="inlineStr"/>
      <c r="O2624">
        <f>(1-Summary!$B$11)*T2624+Summary!$B$11*V2624</f>
        <v/>
      </c>
      <c r="P2624">
        <f>IF(B2642=0,0,O2624/B2642)</f>
        <v/>
      </c>
      <c r="Q2624" t="n">
        <v>0</v>
      </c>
      <c r="R2624" t="n">
        <v>0</v>
      </c>
      <c r="S2624">
        <f>IFERROR(O2624/N2624,0)</f>
        <v/>
      </c>
      <c r="T2624" t="n">
        <v>0</v>
      </c>
      <c r="V2624" t="n">
        <v>0</v>
      </c>
    </row>
    <row r="2625">
      <c r="A2625">
        <f>Skills!A24</f>
        <v/>
      </c>
      <c r="B2625">
        <f>Skills!B24</f>
        <v/>
      </c>
      <c r="C2625">
        <f>Inputs!$B$3&gt;=45</f>
        <v/>
      </c>
      <c r="D2625">
        <f>IF(Skills!C24=1,60+Inputs!$B$25+Inputs!$B$29,IF(Skills!C24=2,90+Inputs!$B$26+Inputs!$B$29,IF(Skills!C24=3,120+Inputs!$B$27+Inputs!$B$29,MAX(0,(Inputs!$B$3-100)*3)+Inputs!$B$28+Inputs!$B$29)))</f>
        <v/>
      </c>
      <c r="E2625">
        <f>INDEX(FactorTable!$B$2:$Y$301, MATCH(ROUND(MIN(300,MAX(1,D2625)),0), FactorTable!$A$2:$A$301,0), Skills!M24+1)</f>
        <v/>
      </c>
      <c r="F2625">
        <f>IF(Skills!N24=TRUE,(Skills!L24/10)*(E2625/1000),Skills!L24/10)+Skills!O24</f>
        <v/>
      </c>
      <c r="G2625">
        <f>Skills!G24*IF(Skills!H24&gt;0,INT(IF(Inputs!$B$38="pvp",MIN(Skills!I24,15),Skills!I24)/Skills!H24+0.000000001),1)</f>
        <v/>
      </c>
      <c r="H2625">
        <f>1-(1-Skills!J24/100)^Skills!K24</f>
        <v/>
      </c>
      <c r="I2625" t="inlineStr">
        <is>
          <t>1</t>
        </is>
      </c>
      <c r="J2625" t="inlineStr"/>
      <c r="K2625" t="inlineStr"/>
      <c r="L2625" t="inlineStr"/>
      <c r="M2625" t="inlineStr"/>
      <c r="N2625" t="inlineStr"/>
      <c r="O2625">
        <f>(1-Summary!$B$11)*T2625+Summary!$B$11*V2625</f>
        <v/>
      </c>
      <c r="P2625">
        <f>IF(B2642=0,0,O2625/B2642)</f>
        <v/>
      </c>
      <c r="Q2625" t="n">
        <v>0</v>
      </c>
      <c r="R2625" t="n">
        <v>0</v>
      </c>
      <c r="S2625">
        <f>IFERROR(O2625/N2625,0)</f>
        <v/>
      </c>
      <c r="T2625" t="n">
        <v>0</v>
      </c>
      <c r="V2625" t="n">
        <v>0</v>
      </c>
    </row>
    <row r="2626">
      <c r="A2626">
        <f>Skills!A25</f>
        <v/>
      </c>
      <c r="B2626">
        <f>Skills!B25</f>
        <v/>
      </c>
      <c r="C2626">
        <f>Inputs!$B$3&gt;=72</f>
        <v/>
      </c>
      <c r="D2626">
        <f>IF(Skills!C25=1,60+Inputs!$B$25+Inputs!$B$29,IF(Skills!C25=2,90+Inputs!$B$26+Inputs!$B$29,IF(Skills!C25=3,120+Inputs!$B$27+Inputs!$B$29,MAX(0,(Inputs!$B$3-100)*3)+Inputs!$B$28+Inputs!$B$29)))</f>
        <v/>
      </c>
      <c r="E2626">
        <f>INDEX(FactorTable!$B$2:$Y$301, MATCH(ROUND(MIN(300,MAX(1,D2626)),0), FactorTable!$A$2:$A$301,0), Skills!M25+1)</f>
        <v/>
      </c>
      <c r="F2626">
        <f>IF(Skills!N25=TRUE,(Skills!L25/10)*(E2626/1000),Skills!L25/10)+Skills!O25</f>
        <v/>
      </c>
      <c r="G2626">
        <f>Skills!G25*IF(Skills!H25&gt;0,INT(IF(Inputs!$B$38="pvp",MIN(Skills!I25,15),Skills!I25)/Skills!H25+0.000000001),1)</f>
        <v/>
      </c>
      <c r="H2626">
        <f>1-(1-Skills!J25/100)^Skills!K25</f>
        <v/>
      </c>
      <c r="I2626" t="inlineStr">
        <is>
          <t>1</t>
        </is>
      </c>
      <c r="J2626" t="inlineStr"/>
      <c r="K2626" t="inlineStr"/>
      <c r="L2626" t="inlineStr"/>
      <c r="M2626" t="inlineStr"/>
      <c r="N2626" t="inlineStr"/>
      <c r="O2626">
        <f>(1-Summary!$B$11)*T2626+Summary!$B$11*V2626</f>
        <v/>
      </c>
      <c r="P2626">
        <f>IF(B2642=0,0,O2626/B2642)</f>
        <v/>
      </c>
      <c r="Q2626" t="n">
        <v>0</v>
      </c>
      <c r="R2626" t="n">
        <v>0</v>
      </c>
      <c r="S2626">
        <f>IFERROR(O2626/N2626,0)</f>
        <v/>
      </c>
      <c r="T2626" t="n">
        <v>0</v>
      </c>
      <c r="V2626" t="n">
        <v>0</v>
      </c>
    </row>
    <row r="2627">
      <c r="A2627">
        <f>Skills!A26</f>
        <v/>
      </c>
      <c r="B2627">
        <f>Skills!B26</f>
        <v/>
      </c>
      <c r="C2627">
        <f>Inputs!$B$3&gt;=75</f>
        <v/>
      </c>
      <c r="D2627">
        <f>IF(Skills!C26=1,60+Inputs!$B$25+Inputs!$B$29,IF(Skills!C26=2,90+Inputs!$B$26+Inputs!$B$29,IF(Skills!C26=3,120+Inputs!$B$27+Inputs!$B$29,MAX(0,(Inputs!$B$3-100)*3)+Inputs!$B$28+Inputs!$B$29)))</f>
        <v/>
      </c>
      <c r="E2627">
        <f>INDEX(FactorTable!$B$2:$Y$301, MATCH(ROUND(MIN(300,MAX(1,D2627)),0), FactorTable!$A$2:$A$301,0), Skills!M26+1)</f>
        <v/>
      </c>
      <c r="F2627">
        <f>IF(Skills!N26=TRUE,(Skills!L26/10)*(E2627/1000),Skills!L26/10)+Skills!O26</f>
        <v/>
      </c>
      <c r="G2627">
        <f>Skills!G26*IF(Skills!H26&gt;0,INT(IF(Inputs!$B$38="pvp",MIN(Skills!I26,15),Skills!I26)/Skills!H26+0.000000001),1)</f>
        <v/>
      </c>
      <c r="H2627">
        <f>1-(1-Skills!J26/100)^Skills!K26</f>
        <v/>
      </c>
      <c r="I2627" t="inlineStr">
        <is>
          <t>1</t>
        </is>
      </c>
      <c r="J2627" t="inlineStr"/>
      <c r="K2627" t="inlineStr"/>
      <c r="L2627" t="inlineStr"/>
      <c r="M2627" t="inlineStr"/>
      <c r="N2627" t="inlineStr"/>
      <c r="O2627">
        <f>(1-Summary!$B$11)*T2627+Summary!$B$11*V2627</f>
        <v/>
      </c>
      <c r="P2627">
        <f>IF(B2642=0,0,O2627/B2642)</f>
        <v/>
      </c>
      <c r="Q2627" t="n">
        <v>0</v>
      </c>
      <c r="R2627" t="n">
        <v>0</v>
      </c>
      <c r="S2627">
        <f>IFERROR(O2627/N2627,0)</f>
        <v/>
      </c>
      <c r="T2627" t="n">
        <v>0</v>
      </c>
      <c r="V2627" t="n">
        <v>0</v>
      </c>
    </row>
    <row r="2628">
      <c r="A2628">
        <f>Skills!A27</f>
        <v/>
      </c>
      <c r="B2628">
        <f>Skills!B27</f>
        <v/>
      </c>
      <c r="C2628">
        <f>Inputs!$B$3&gt;=125</f>
        <v/>
      </c>
      <c r="D2628">
        <f>IF(Skills!C27=1,60+Inputs!$B$25+Inputs!$B$29,IF(Skills!C27=2,90+Inputs!$B$26+Inputs!$B$29,IF(Skills!C27=3,120+Inputs!$B$27+Inputs!$B$29,MAX(0,(Inputs!$B$3-100)*3)+Inputs!$B$28+Inputs!$B$29)))</f>
        <v/>
      </c>
      <c r="E2628">
        <f>INDEX(FactorTable!$B$2:$Y$301, MATCH(ROUND(MIN(300,MAX(1,D2628)),0), FactorTable!$A$2:$A$301,0), Skills!M27+1)</f>
        <v/>
      </c>
      <c r="F2628">
        <f>IF(Skills!N27=TRUE,(Skills!L27/10)*(E2628/1000),Skills!L27/10)+Skills!O27</f>
        <v/>
      </c>
      <c r="G2628">
        <f>Skills!G27*IF(Skills!H27&gt;0,INT(IF(Inputs!$B$38="pvp",MIN(Skills!I27,15),Skills!I27)/Skills!H27+0.000000001),1)</f>
        <v/>
      </c>
      <c r="H2628">
        <f>1-(1-Skills!J27/100)^Skills!K27</f>
        <v/>
      </c>
      <c r="I2628" t="inlineStr">
        <is>
          <t>1</t>
        </is>
      </c>
      <c r="J2628" t="inlineStr"/>
      <c r="K2628" t="inlineStr"/>
      <c r="L2628" t="inlineStr"/>
      <c r="M2628" t="inlineStr"/>
      <c r="N2628" t="inlineStr"/>
      <c r="O2628">
        <f>(1-Summary!$B$11)*T2628+Summary!$B$11*V2628</f>
        <v/>
      </c>
      <c r="P2628">
        <f>IF(B2642=0,0,O2628/B2642)</f>
        <v/>
      </c>
      <c r="Q2628" t="n">
        <v>0</v>
      </c>
      <c r="R2628" t="n">
        <v>0</v>
      </c>
      <c r="S2628">
        <f>IFERROR(O2628/N2628,0)</f>
        <v/>
      </c>
      <c r="T2628" t="n">
        <v>0</v>
      </c>
      <c r="V2628" t="n">
        <v>0</v>
      </c>
    </row>
    <row r="2629">
      <c r="A2629">
        <f>Skills!A28</f>
        <v/>
      </c>
      <c r="B2629">
        <f>Skills!B28</f>
        <v/>
      </c>
      <c r="C2629">
        <f>TRUE</f>
        <v/>
      </c>
      <c r="D2629">
        <f>IF(Skills!C28=1,60+Inputs!$B$25+Inputs!$B$29,IF(Skills!C28=2,90+Inputs!$B$26+Inputs!$B$29,IF(Skills!C28=3,120+Inputs!$B$27+Inputs!$B$29,MAX(0,(Inputs!$B$3-100)*3)+Inputs!$B$28+Inputs!$B$29)))</f>
        <v/>
      </c>
      <c r="E2629">
        <f>INDEX(FactorTable!$B$2:$Y$301, MATCH(ROUND(MIN(300,MAX(1,D2629)),0), FactorTable!$A$2:$A$301,0), Skills!M28+1)</f>
        <v/>
      </c>
      <c r="F2629">
        <f>IF(Skills!N28=TRUE,(Skills!L28/10)*(E2629/1000),Skills!L28/10)+Skills!O28</f>
        <v/>
      </c>
      <c r="G2629">
        <f>Skills!G28*IF(Skills!H28&gt;0,INT(IF(Inputs!$B$38="pvp",MIN(Skills!I28,15),Skills!I28)/Skills!H28+0.000000001),1)</f>
        <v/>
      </c>
      <c r="H2629">
        <f>1-(1-Skills!J28/100)^Skills!K28</f>
        <v/>
      </c>
      <c r="I2629" t="inlineStr">
        <is>
          <t>1</t>
        </is>
      </c>
      <c r="J2629" t="inlineStr"/>
      <c r="K2629" t="inlineStr"/>
      <c r="L2629" t="inlineStr"/>
      <c r="M2629" t="inlineStr"/>
      <c r="N2629" t="inlineStr"/>
      <c r="O2629">
        <f>(1-Summary!$B$11)*T2629+Summary!$B$11*V2629</f>
        <v/>
      </c>
      <c r="P2629">
        <f>IF(B2642=0,0,O2629/B2642)</f>
        <v/>
      </c>
      <c r="Q2629">
        <f>IFERROR(1/(IF(Inputs!$B$38="pvp",15,MAX(0.1,Skills!D28-IF(TRUE=TRUE,Inputs!$B$32,0)))*(1-IF(AND(ArtifactsInput!$M$27,Inputs!$B$4="Chapter Hunt"),CHOOSE(ArtifactsInput!$N$27+1,20,24,28,32,36,40),0)/100)),0)</f>
        <v/>
      </c>
      <c r="R2629">
        <f>IF(AND(Inputs!$B$38&lt;&gt;"pvp",Inputs!$B$43&gt;0),IF(Inputs!$B$43&lt;=0,0,(INT(Inputs!$B$43/(IF(Inputs!$B$38="pvp",15,MAX(0.1,Skills!D28-IF(TRUE=TRUE,Inputs!$B$32,0)))*(1-IF(AND(ArtifactsInput!$M$27,Inputs!$B$4="Chapter Hunt"),CHOOSE(ArtifactsInput!$N$27+1,20,24,28,32,36,40),0)/100)))+1)),0)</f>
        <v/>
      </c>
      <c r="S2629">
        <f>IFERROR(O2629/N2629,0)</f>
        <v/>
      </c>
      <c r="T2629" t="n">
        <v>0</v>
      </c>
      <c r="V2629" t="n">
        <v>0</v>
      </c>
    </row>
    <row r="2631">
      <c r="A2631" t="inlineStr">
        <is>
          <t>Attack% Bucket Multiplier</t>
        </is>
      </c>
      <c r="B2631">
        <f>(1+(((C2618=TRUE)*F2618*5/7)+((C2625=TRUE)*(F2625-Calc!F24))+(IF(ArtifactsInput!$M$21,CHOOSE(ArtifactsInput!$N$21+1,25,30,35,40,45,50)*(IF(OR(Inputs!$B$4="Chapter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632">
      <c r="A2632" t="inlineStr">
        <is>
          <t>Global Crit Rate Bonus %</t>
        </is>
      </c>
      <c r="B2632" t="n">
        <v>0</v>
      </c>
    </row>
    <row r="2633">
      <c r="A2633" t="inlineStr">
        <is>
          <t>Attack Speed Buff Bonus % (Nimble Feet, duty-cycle averaged)</t>
        </is>
      </c>
      <c r="B2633">
        <f>((C2629=TRUE)*F2629*IF(AND(Inputs!$B$38&lt;&gt;"pvp",Inputs!$B$43&gt;0),(((R2629-1)*MIN((Skills!T28*(1+Inputs!$B$34/100)),(1/Q2629))+MIN((Skills!T28*(1+Inputs!$B$34/100)),MAX(0,Inputs!$B$43-((R2629-1)*(1/Q2629)))))/Inputs!$B$43),IF(Inputs!$B$38="pvp",MIN((Skills!T28*(1+Inputs!$B$34/100)),15)/15,MIN(1,(Skills!T28*(1+Inputs!$B$34/100))/(1/Q2629)))))</f>
        <v/>
      </c>
    </row>
    <row r="2634">
      <c r="A2634" t="inlineStr">
        <is>
          <t>Actions Per Second</t>
        </is>
      </c>
      <c r="B2634">
        <f>1+MIN(150,150*(1-(1-(Inputs!$B$11+((C2621=TRUE)*(F2621-Calc!F20))+((C2622=TRUE)*(F2622-Calc!F21)))/150)*(1-B2633/150)))/100</f>
        <v/>
      </c>
    </row>
    <row r="2635">
      <c r="A2635" t="inlineStr">
        <is>
          <t>Skill + Buff Cast Rate</t>
        </is>
      </c>
      <c r="B2635">
        <f>IF(AND(Inputs!$B$38&lt;&gt;"pvp",Inputs!$B$43&gt;0),SUMPRODUCT((Skills!E2:E28=TRUE)*(C2603:C2629=TRUE)*R2603:R2629*Skills!F2:F28)/Inputs!$B$43,SUMPRODUCT((Skills!E2:E28=TRUE)*(C2603:C2629=TRUE)*Q2603:Q2629*Skills!F2:F28))</f>
        <v/>
      </c>
    </row>
    <row r="2636">
      <c r="A2636" t="inlineStr">
        <is>
          <t>Eight-Legs Easton Casts Per Second</t>
        </is>
      </c>
      <c r="B2636">
        <f>MAX(0,B2634-B2635)</f>
        <v/>
      </c>
    </row>
    <row r="2637">
      <c r="A2637" t="inlineStr">
        <is>
          <t>Global Critical Damage Bonus % (unused)</t>
        </is>
      </c>
      <c r="B2637" t="n">
        <v>0</v>
      </c>
    </row>
    <row r="2638">
      <c r="A2638" t="inlineStr">
        <is>
          <t>Global Final Damage Bonus % (Jolly Roger + Ahoy Mateys - Final Damage proc)</t>
        </is>
      </c>
      <c r="B2638">
        <f>((C2619=TRUE)*F2619*IF(AND(Inputs!$B$38&lt;&gt;"pvp",Inputs!$B$43&gt;0),(((R2619-1)*MIN((Skills!T18*(1+Inputs!$B$34/100)),(1/Q2619))+MIN((Skills!T18*(1+Inputs!$B$34/100)),MAX(0,Inputs!$B$43-((R2619-1)*(1/Q2619)))))/Inputs!$B$43),IF(Inputs!$B$38="pvp",MIN((Skills!T18*(1+Inputs!$B$34/100)),15)/15,MIN(1,(Skills!T18*(1+Inputs!$B$34/100))/(1/Q2619)))))+IF(Inputs!$B$3&gt;=122,20*IF(Inputs!$B$38="pvp",MIN((20*(1+Inputs!$B$34/100)),15)/15,MIN(1,(20*(1+Inputs!$B$34/100))/(1/Q2605))),0)</f>
        <v/>
      </c>
    </row>
    <row r="2639">
      <c r="A2639" t="inlineStr">
        <is>
          <t>Buff-Casting Startup Delay (s, fixed-duration only)</t>
        </is>
      </c>
      <c r="B2639">
        <f>IF(AND(Inputs!$B$38&lt;&gt;"pvp",Inputs!$B$43&gt;0),SUMPRODUCT((Skills!T2:T28&gt;0)*(Skills!E2:E28=TRUE)*(C2603:C2629=TRUE))/B2634,0)</f>
        <v/>
      </c>
    </row>
    <row r="2640">
      <c r="A2640" t="inlineStr">
        <is>
          <t>Boss-Only Total DPS (this block's swept value)</t>
        </is>
      </c>
      <c r="B2640">
        <f>SUM(T2603:T2629)</f>
        <v/>
      </c>
    </row>
    <row r="2641">
      <c r="A2641" t="inlineStr">
        <is>
          <t>Normal-Only Total DPS (this block's swept value)</t>
        </is>
      </c>
      <c r="B2641">
        <f>SUM(V2603:V2629)</f>
        <v/>
      </c>
    </row>
    <row r="2642">
      <c r="A2642" s="6" t="inlineStr">
        <is>
          <t>TOTAL DPS</t>
        </is>
      </c>
      <c r="B2642" s="6">
        <f>SUM(O2603:O2629)</f>
        <v/>
      </c>
    </row>
    <row r="2643">
      <c r="A2643" t="inlineStr">
        <is>
          <t>Quickdraw cooldown divisor (this block's own APS / Q)</t>
        </is>
      </c>
      <c r="B2643">
        <f>IF(AND(C2628=TRUE,Inputs!$B$38&lt;&gt;"pvp"),1+0.25*MAX(0,(B2634-(((C2604=TRUE)*Q2604*1)+((C2605=TRUE)*Q2605*1)+((C2607=TRUE)*Q2607*1)+((C2608=TRUE)*Q2608*1)+((C2610=TRUE)*Q2610*1)+((C2613=TRUE)*Q2613*1)+((C2619=TRUE)*Q2619*1)+((C2629=TRUE)*Q2629*1))-((C2609=TRUE)/(IF(Inputs!$B$38="pvp",15,MAX(0.1,Skills!D8-IF(TRUE=TRUE,Inputs!$B$32,0)))*(1-IF(AND(ArtifactsInput!$M$27,Inputs!$B$4="Chapter Hunt"),CHOOSE(ArtifactsInput!$N$27+1,20,24,28,32,36,40),0)/100))+(C2612=TRUE)/(IF(Inputs!$B$38="pvp",15,MAX(0.1,Skills!D11-IF(TRUE=TRUE,Inputs!$B$32,0)))*(1-IF(AND(ArtifactsInput!$M$27,Inputs!$B$4="Chapter Hunt"),CHOOSE(ArtifactsInput!$N$27+1,20,24,28,32,36,40),0)/100))))/(1+0.25*((C2609=TRUE)/(IF(Inputs!$B$38="pvp",15,MAX(0.1,Skills!D8-IF(TRUE=TRUE,Inputs!$B$32,0)))*(1-IF(AND(ArtifactsInput!$M$27,Inputs!$B$4="Chapter Hunt"),CHOOSE(ArtifactsInput!$N$27+1,20,24,28,32,36,40),0)/100))+(C2612=TRUE)/(IF(Inputs!$B$38="pvp",15,MAX(0.1,Skills!D11-IF(TRUE=TRUE,Inputs!$B$32,0)))*(1-IF(AND(ArtifactsInput!$M$27,Inputs!$B$4="Chapter Hunt"),CHOOSE(ArtifactsInput!$N$27+1,20,24,28,32,36,40),0)/100))))),1)</f>
        <v/>
      </c>
    </row>
    <row r="2644">
      <c r="A2644" t="inlineStr">
        <is>
          <t>Nautilus Strike - Final Attack trigger rate (this block's own Q/R)</t>
        </is>
      </c>
      <c r="B2644">
        <f>IF(AND(Inputs!$B$38&lt;&gt;"pvp",Inputs!$B$43&gt;0),(((C2604=TRUE)*R2604)+((C2607=TRUE)*R2607)+((C2609=TRUE)*R2609)+((C2610=TRUE)*R2610)+((C2612=TRUE)*R2612))/Inputs!$B$43,((C2604=TRUE)*Q2604)+((C2607=TRUE)*Q2607)+((C2609=TRUE)*Q2609)+((C2610=TRUE)*Q2610)+((C2612=TRUE)*Q2612))+B2636</f>
        <v/>
      </c>
    </row>
    <row r="2647">
      <c r="A2647" s="6" t="inlineStr">
        <is>
          <t>Stat: Alliance Badge (Equip)</t>
        </is>
      </c>
    </row>
    <row r="2648">
      <c r="A2648" s="5" t="inlineStr">
        <is>
          <t>Key</t>
        </is>
      </c>
      <c r="B2648" s="5" t="inlineStr">
        <is>
          <t>Name</t>
        </is>
      </c>
      <c r="C2648" s="5" t="inlineStr">
        <is>
          <t>Unlocked</t>
        </is>
      </c>
      <c r="D2648" s="5" t="inlineStr">
        <is>
          <t>InputLevel</t>
        </is>
      </c>
      <c r="E2648" s="5" t="inlineStr">
        <is>
          <t>Factor</t>
        </is>
      </c>
      <c r="F2648" s="5" t="inlineStr">
        <is>
          <t>CoefficientPercent</t>
        </is>
      </c>
      <c r="G2648" s="5" t="inlineStr">
        <is>
          <t>EffectiveHits</t>
        </is>
      </c>
      <c r="H2648" s="5" t="inlineStr">
        <is>
          <t>ProcProbability</t>
        </is>
      </c>
      <c r="I2648" s="5" t="inlineStr">
        <is>
          <t>MapleHeroMultiplier</t>
        </is>
      </c>
      <c r="J2648" s="5" t="inlineStr">
        <is>
          <t>BaseDamage</t>
        </is>
      </c>
      <c r="K2648" s="5" t="inlineStr">
        <is>
          <t>BaseHitDamage</t>
        </is>
      </c>
      <c r="L2648" s="5" t="inlineStr">
        <is>
          <t>NonCritAvg</t>
        </is>
      </c>
      <c r="M2648" s="5" t="inlineStr">
        <is>
          <t>CritAvg</t>
        </is>
      </c>
      <c r="N2648" s="5" t="inlineStr">
        <is>
          <t>ExpectedDamage(perHit)</t>
        </is>
      </c>
      <c r="O2648" s="5" t="inlineStr">
        <is>
          <t>DPS</t>
        </is>
      </c>
      <c r="P2648" s="5" t="inlineStr">
        <is>
          <t>% of Total</t>
        </is>
      </c>
      <c r="Q2648" s="5" t="inlineStr">
        <is>
          <t>InvCooldown</t>
        </is>
      </c>
      <c r="R2648" s="5" t="inlineStr">
        <is>
          <t>CastsInFight</t>
        </is>
      </c>
      <c r="S2648" s="5" t="inlineStr">
        <is>
          <t>HitRate(perSec)</t>
        </is>
      </c>
      <c r="U2648" t="inlineStr">
        <is>
          <t>helpers</t>
        </is>
      </c>
    </row>
    <row r="2649">
      <c r="A2649">
        <f>Skills!A2</f>
        <v/>
      </c>
      <c r="B2649">
        <f>Skills!B2</f>
        <v/>
      </c>
      <c r="C2649">
        <f>Inputs!$B$3&gt;=100</f>
        <v/>
      </c>
      <c r="D2649" t="inlineStr"/>
      <c r="E2649" t="inlineStr"/>
      <c r="F2649">
        <f>U2651+Skills!O2</f>
        <v/>
      </c>
      <c r="G2649">
        <f>Skills!G2*IF(Skills!H2&gt;0,INT(IF(Inputs!$B$38="pvp",MIN(Skills!I2,15),Skills!I2)/Skills!H2+0.000000001),1)</f>
        <v/>
      </c>
      <c r="H2649">
        <f>1-(1-Skills!J2/100)^Skills!K2</f>
        <v/>
      </c>
      <c r="I2649" t="inlineStr">
        <is>
          <t>1</t>
        </is>
      </c>
      <c r="J2649">
        <f>((Inputs!$B$6*(1+Inputs!$B$7/100))+(((Inputs!$B$12*(1+Inputs!$B$13/100))-(Inputs!$B$12*(1+Inputs!$B$13/100)))+0.25*(Inputs!$B$14-Inputs!$B$14))*(1+Inputs!$B$7/100))*(F2649/100)</f>
        <v/>
      </c>
      <c r="K2649">
        <f>J2649*(1+((Inputs!$B$12*(1+Inputs!$B$13/100))*0.01+Inputs!$B$14*0.0025)/100)*(1+Inputs!$B$15/100)*(1+Inputs!$B$16/100)*(5000/(6000+Inputs!$B$42*(1-(100*(1-(1-(Inputs!$B$19+0)/100)*(1-CHOOSE(ArtifactsInput!$N$40+1,5,6,7,8,9,10)/100)^(ArtifactsInput!$M$40-ArtifactsInput!$M$40)))/100)))*(1+(Inputs!$B$24+((C2673=TRUE)*(F2673-Calc!F26))+B2684)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IGHT_LEGS_EASTON",Inputs!$B$17+((C2670=TRUE)*(F2670-Calc!F23))+((C2674=TRUE)*(F2674-Calc!F27))+((IF(AND(Inputs!$B$38&lt;&gt;"pvp",Inputs!$B$43=0),1,IF(IF(Inputs!$B$38="pvp",15,Inputs!$B$43)-(B2685)&lt;=0,1,MAX(0,IF(Inputs!$B$38="pvp",15,Inputs!$B$43)-MAX(5,B2685))/(IF(Inputs!$B$38="pvp",15,Inputs!$B$43)-(B2685))))*(IF(AND(ArtifactsInput!$M$42,((Inputs!$B$9+((C2666=TRUE)*(F2666-Calc!F19))+B2678+(ArtifactsInput!$M$24-ArtifactsInput!$M$24)*CHOOSE(ArtifactsInput!$N$24+1,10,12,14,16,18,20)+IF(ArtifactsInput!$M$10,CHOOSE(ArtifactsInput!$N$10+1,15,18,21,24,27,30)*(IF(Inputs!$B$38="pvp",MIN(15,15)/15,IF(AND(Inputs!$B$38&lt;&gt;"pvp",Inputs!$B$43&gt;0),MIN(15,Inputs!$B$43)/(Inputs!$B$43),0))),0)))&gt;=100),MIN(100,((Inputs!$B$9+((C2666=TRUE)*(F2666-Calc!F19))+B2678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2685)&lt;=0,1,MAX(0,IF(Inputs!$B$38="pvp",15,Inputs!$B$43)-MAX(5,B2685))/(IF(Inputs!$B$38="pvp",15,Inputs!$B$43)-(B2685))))*IF(AND(ArtifactsInput!$M$42,((Inputs!$B$9+((C2666=TRUE)*(F2666-Calc!F19))+B2678+(ArtifactsInput!$M$24-ArtifactsInput!$M$24)*CHOOSE(ArtifactsInput!$N$24+1,10,12,14,16,18,20)+IF(ArtifactsInput!$M$10,CHOOSE(ArtifactsInput!$N$10+1,15,18,21,24,27,30)*(IF(Inputs!$B$38="pvp",MIN(15,15)/15,IF(AND(Inputs!$B$38&lt;&gt;"pvp",Inputs!$B$43&gt;0),MIN(15,Inputs!$B$43)/(Inputs!$B$43),0))),0)))&gt;=100),CHOOSE(ArtifactsInput!$N$42+1,40,48,56,64,72,80),0))))/100)*((1+(((C2664=TRUE)*F2664*5/7)+((C2671=TRUE)*(F2671-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IF(ArtifactsInput!$M$37,FALSE,TRUE),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2649)</f>
        <v/>
      </c>
      <c r="L2649">
        <f>K2649*(MIN(Inputs!$B$22+((C2669=TRUE)*(F2669-Calc!F22)),(Inputs!$B$23+0+(IF(ArtifactsInput!$M$15,CHOOSE(ArtifactsInput!$N$15+1,25,30,35,40,45,50)/100*(Inputs!$B$11-Inputs!$B$11),0))))/100+(Inputs!$B$23+0+(IF(ArtifactsInput!$M$15,CHOOSE(ArtifactsInput!$N$15+1,25,30,35,40,45,50)/100*(Inputs!$B$11-Inputs!$B$11),0)))/100)/2</f>
        <v/>
      </c>
      <c r="M2649">
        <f>L2649*(1+(Inputs!$B$10+((C2672=TRUE)*(F2672-Calc!F25))+B2683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49">
        <f>L2649*(1-MIN((Inputs!$B$9+((C2666=TRUE)*(F2666-Calc!F19))+B2678+(ArtifactsInput!$M$24-ArtifactsInput!$M$24)*CHOOSE(ArtifactsInput!$N$24+1,10,12,14,16,18,20)+(IF(AND(Inputs!$B$38&lt;&gt;"pvp",Inputs!$B$43=0),1,IF(IF(Inputs!$B$38="pvp",15,Inputs!$B$43)-(B2685)&lt;=0,1,MAX(0,IF(Inputs!$B$38="pvp",15,Inputs!$B$43)-MAX(5,B2685))/(IF(Inputs!$B$38="pvp",15,Inputs!$B$43)-(B2685))))*IF(AND(ArtifactsInput!$M$42,((Inputs!$B$9+((C2666=TRUE)*(F2666-Calc!F19))+B2678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2649*(MIN((Inputs!$B$9+((C2666=TRUE)*(F2666-Calc!F19))+B2678+(ArtifactsInput!$M$24-ArtifactsInput!$M$24)*CHOOSE(ArtifactsInput!$N$24+1,10,12,14,16,18,20)+(IF(AND(Inputs!$B$38&lt;&gt;"pvp",Inputs!$B$43=0),1,IF(IF(Inputs!$B$38="pvp",15,Inputs!$B$43)-(B2685)&lt;=0,1,MAX(0,IF(Inputs!$B$38="pvp",15,Inputs!$B$43)-MAX(5,B2685))/(IF(Inputs!$B$38="pvp",15,Inputs!$B$43)-(B2685))))*IF(AND(ArtifactsInput!$M$42,((Inputs!$B$9+((C2666=TRUE)*(F2666-Calc!F19))+B2678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49">
        <f>(1-Summary!$B$11)*T2649+Summary!$B$11*V2649</f>
        <v/>
      </c>
      <c r="P2649">
        <f>IF(B2688=0,0,O2649/B2688)</f>
        <v/>
      </c>
      <c r="Q2649" t="n">
        <v>0</v>
      </c>
      <c r="R2649" t="n">
        <v>0</v>
      </c>
      <c r="S2649">
        <f>IFERROR(O2649/N2649,0)</f>
        <v/>
      </c>
      <c r="T2649">
        <f>IF(C2649,(Skills!G2*N2649*B2682*(1+IF(C2674=TRUE,1/3,0)))*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Hunt"),CHOOSE(ArtifactsInput!$N$35+1,15,18,21,24,27,30)*(1-EXP(-(0.2*B2680)*5)),0)+IF(AND(ArtifactsInput!$M$22,Inputs!$B$4&lt;&gt;"Chapter Hunt"),CHOOSE(ArtifactsInput!$N$22+1,10,12,14,16,18,20)*((0*(((0.15*B2680*5))^0/1)+1*(((0.15*B2680*5))^1/1)+2*(((0.15*B2680*5))^2/2)+3*(((0.15*B2680*5))^3/6)+4*(((0.15*B2680*5))^4/24)+5*(((0.15*B2680*5))^5/120))/((((0.15*B2680*5))^0/1)+(((0.15*B2680*5))^1/1)+(((0.15*B2680*5))^2/2)+(((0.15*B2680*5))^3/6)+(((0.15*B2680*5))^4/24)+(((0.15*B2680*5))^5/120))),0))+IF(Inputs!$B$3&gt;=54,9*(C2650=TRUE)*MIN(1,8*(1+Inputs!$B$34/100)*Q2650)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2649*(1-MIN(100,(Inputs!$B$9+((C2666=TRUE)*(F2666-Calc!F19))+B2678+(ArtifactsInput!$M$24-ArtifactsInput!$M$24)*CHOOSE(ArtifactsInput!$N$24+1,10,12,14,16,18,20)+(IF(AND(Inputs!$B$38&lt;&gt;"pvp",Inputs!$B$43=0),1,IF(IF(Inputs!$B$38="pvp",15,Inputs!$B$43)-(B2685)&lt;=0,1,MAX(0,IF(Inputs!$B$38="pvp",15,Inputs!$B$43)-MAX(5,B2685))/(IF(Inputs!$B$38="pvp",15,Inputs!$B$43)-(B2685))))*IF(AND(ArtifactsInput!$M$42,((Inputs!$B$9+((C2666=TRUE)*(F2666-Calc!F19))+B2678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2649*(MIN(100,(Inputs!$B$9+((C2666=TRUE)*(F2666-Calc!F19))+B2678+(ArtifactsInput!$M$24-ArtifactsInput!$M$24)*CHOOSE(ArtifactsInput!$N$24+1,10,12,14,16,18,20)+(IF(AND(Inputs!$B$38&lt;&gt;"pvp",Inputs!$B$43=0),1,IF(IF(Inputs!$B$38="pvp",15,Inputs!$B$43)-(B2685)&lt;=0,1,MAX(0,IF(Inputs!$B$38="pvp",15,Inputs!$B$43)-MAX(5,B2685))/(IF(Inputs!$B$38="pvp",15,Inputs!$B$43)-(B2685))))*IF(AND(ArtifactsInput!$M$42,((Inputs!$B$9+((C2666=TRUE)*(F2666-Calc!F19))+B2678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2649*(1-MIN(100,(Inputs!$B$9+((C2666=TRUE)*(F2666-Calc!F19))+B2678+(ArtifactsInput!$M$24-ArtifactsInput!$M$24)*CHOOSE(ArtifactsInput!$N$24+1,10,12,14,16,18,20)+(IF(AND(Inputs!$B$38&lt;&gt;"pvp",Inputs!$B$43=0),1,IF(IF(Inputs!$B$38="pvp",15,Inputs!$B$43)-(B2685)&lt;=0,1,MAX(0,IF(Inputs!$B$38="pvp",15,Inputs!$B$43)-MAX(5,B2685))/(IF(Inputs!$B$38="pvp",15,Inputs!$B$43)-(B2685))))*IF(AND(ArtifactsInput!$M$42,((Inputs!$B$9+((C2666=TRUE)*(F2666-Calc!F19))+B2678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2649*(MIN(100,(Inputs!$B$9+((C2666=TRUE)*(F2666-Calc!F19))+B2678+(ArtifactsInput!$M$24-ArtifactsInput!$M$24)*CHOOSE(ArtifactsInput!$N$24+1,10,12,14,16,18,20)+(IF(AND(Inputs!$B$38&lt;&gt;"pvp",Inputs!$B$43=0),1,IF(IF(Inputs!$B$38="pvp",15,Inputs!$B$43)-(B2685)&lt;=0,1,MAX(0,IF(Inputs!$B$38="pvp",15,Inputs!$B$43)-MAX(5,B2685))/(IF(Inputs!$B$38="pvp",15,Inputs!$B$43)-(B2685))))*IF(AND(ArtifactsInput!$M$42,((Inputs!$B$9+((C2666=TRUE)*(F2666-Calc!F19))+B2678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649">
        <f>MAX(0,(Inputs!$B$3-100)*3)+Inputs!$B$28+Inputs!$B$29</f>
        <v/>
      </c>
      <c r="V2649">
        <f>IF(C2649,(Skills!G2*N2649*B2682*(1+IF(C2674=TRUE,1/3,0)))*IF(Inputs!$B$38="pvp",1,(1+(Inputs!$B$21+Skills!Q2+(IF(ArtifactsInput!$M$33,CHOOSE(ArtifactsInput!$N$33+1,30,36,42,48,54,60),0))+(IF(AND(ArtifactsInput!$M$35,Inputs!$B$4&lt;&gt;"Chapter Hunt"),CHOOSE(ArtifactsInput!$N$35+1,15,18,21,24,27,30)*(1-EXP(-(0.2*B2680)*5)),0)+IF(AND(ArtifactsInput!$M$22,Inputs!$B$4&lt;&gt;"Chapter Hunt"),CHOOSE(ArtifactsInput!$N$22+1,10,12,14,16,18,20)*((0*(((0.15*B2680*5))^0/1)+1*(((0.15*B2680*5))^1/1)+2*(((0.15*B2680*5))^2/2)+3*(((0.15*B2680*5))^3/6)+4*(((0.15*B2680*5))^4/24)+5*(((0.15*B2680*5))^5/120))/((((0.15*B2680*5))^0/1)+(((0.15*B2680*5))^1/1)+(((0.15*B2680*5))^2/2)+(((0.15*B2680*5))^3/6)+(((0.15*B2680*5))^4/24)+(((0.15*B2680*5))^5/120))),0))+IF(Inputs!$B$3&gt;=54,9*(C2650=TRUE)*MIN(1,8*(1+Inputs!$B$34/100)*Q2650)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50">
      <c r="A2650">
        <f>Skills!A3</f>
        <v/>
      </c>
      <c r="B2650">
        <f>Skills!B3</f>
        <v/>
      </c>
      <c r="C2650">
        <f>Inputs!$B$3&gt;=33</f>
        <v/>
      </c>
      <c r="D2650">
        <f>IF(Skills!C3=1,60+Inputs!$B$25+Inputs!$B$29,IF(Skills!C3=2,90+Inputs!$B$26+Inputs!$B$29,IF(Skills!C3=3,120+Inputs!$B$27+Inputs!$B$29,MAX(0,(Inputs!$B$3-100)*3)+Inputs!$B$28+Inputs!$B$29)))</f>
        <v/>
      </c>
      <c r="E2650">
        <f>INDEX(FactorTable!$B$2:$Y$301, MATCH(ROUND(MIN(300,MAX(1,D2650)),0), FactorTable!$A$2:$A$301,0), Skills!M3+1)</f>
        <v/>
      </c>
      <c r="F2650">
        <f>IF(Skills!N3=TRUE,(Skills!L3/10)*(E2650/1000),Skills!L3/10)+Skills!O3</f>
        <v/>
      </c>
      <c r="G2650">
        <f>Skills!G3*IF(Skills!H3&gt;0,INT(IF(Inputs!$B$38="pvp",MIN(Skills!I3,15),Skills!I3)/Skills!H3+0.000000001),1)</f>
        <v/>
      </c>
      <c r="H2650">
        <f>1-(1-Skills!J3/100)^Skills!K3</f>
        <v/>
      </c>
      <c r="I2650" t="inlineStr">
        <is>
          <t>1</t>
        </is>
      </c>
      <c r="J2650">
        <f>((Inputs!$B$6*(1+Inputs!$B$7/100))+(((Inputs!$B$12*(1+Inputs!$B$13/100))-(Inputs!$B$12*(1+Inputs!$B$13/100)))+0.25*(Inputs!$B$14-Inputs!$B$14))*(1+Inputs!$B$7/100))*(F2650/100)</f>
        <v/>
      </c>
      <c r="K2650">
        <f>J2650*(1+((Inputs!$B$12*(1+Inputs!$B$13/100))*0.01+Inputs!$B$14*0.0025)/100)*(1+Inputs!$B$15/100)*(1+Inputs!$B$16/100)*(5000/(6000+Inputs!$B$42*(1-(100*(1-(1-(Inputs!$B$19+0)/100)*(1-CHOOSE(ArtifactsInput!$N$40+1,5,6,7,8,9,10)/100)^(ArtifactsInput!$M$40-ArtifactsInput!$M$40)))/100)))*(1+(Inputs!$B$24+((C2673=TRUE)*(F2673-Calc!F26))+B2684)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2662=TRUE,F2662,0)/100)*(1+(IF(Skills!A3="EIGHT_LEGS_EASTON",Inputs!$B$17+((C2670=TRUE)*(F2670-Calc!F23))+((C2674=TRUE)*(F2674-Calc!F27))+((IF(AND(Inputs!$B$38&lt;&gt;"pvp",Inputs!$B$43=0),1,IF(IF(Inputs!$B$38="pvp",15,Inputs!$B$43)-(B2685)&lt;=0,1,MAX(0,IF(Inputs!$B$38="pvp",15,Inputs!$B$43)-MAX(5,B2685))/(IF(Inputs!$B$38="pvp",15,Inputs!$B$43)-(B2685))))*(IF(AND(ArtifactsInput!$M$42,((Inputs!$B$9+((C2666=TRUE)*(F2666-Calc!F19))+B2678+(ArtifactsInput!$M$24-ArtifactsInput!$M$24)*CHOOSE(ArtifactsInput!$N$24+1,10,12,14,16,18,20)+IF(ArtifactsInput!$M$10,CHOOSE(ArtifactsInput!$N$10+1,15,18,21,24,27,30)*(IF(Inputs!$B$38="pvp",MIN(15,15)/15,IF(AND(Inputs!$B$38&lt;&gt;"pvp",Inputs!$B$43&gt;0),MIN(15,Inputs!$B$43)/(Inputs!$B$43),0))),0)))&gt;=100),MIN(100,((Inputs!$B$9+((C2666=TRUE)*(F2666-Calc!F19))+B2678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2685)&lt;=0,1,MAX(0,IF(Inputs!$B$38="pvp",15,Inputs!$B$43)-MAX(5,B2685))/(IF(Inputs!$B$38="pvp",15,Inputs!$B$43)-(B2685))))*IF(AND(ArtifactsInput!$M$42,((Inputs!$B$9+((C2666=TRUE)*(F2666-Calc!F19))+B2678+(ArtifactsInput!$M$24-ArtifactsInput!$M$24)*CHOOSE(ArtifactsInput!$N$24+1,10,12,14,16,18,20)+IF(ArtifactsInput!$M$10,CHOOSE(ArtifactsInput!$N$10+1,15,18,21,24,27,30)*(IF(Inputs!$B$38="pvp",MIN(15,15)/15,IF(AND(Inputs!$B$38&lt;&gt;"pvp",Inputs!$B$43&gt;0),MIN(15,Inputs!$B$43)/(Inputs!$B$43),0))),0)))&gt;=100),CHOOSE(ArtifactsInput!$N$42+1,40,48,56,64,72,80),0))))/100)*((1+(((C2664=TRUE)*F2664*5/7)+((C2671=TRUE)*(F2671-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IF(ArtifactsInput!$M$37,FALSE,TRUE),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2650)</f>
        <v/>
      </c>
      <c r="L2650">
        <f>K2650*(MIN(Inputs!$B$22+((C2669=TRUE)*(F2669-Calc!F22)),(Inputs!$B$23+0+(IF(ArtifactsInput!$M$15,CHOOSE(ArtifactsInput!$N$15+1,25,30,35,40,45,50)/100*(Inputs!$B$11-Inputs!$B$11),0))))/100+(Inputs!$B$23+0+(IF(ArtifactsInput!$M$15,CHOOSE(ArtifactsInput!$N$15+1,25,30,35,40,45,50)/100*(Inputs!$B$11-Inputs!$B$11),0)))/100)/2</f>
        <v/>
      </c>
      <c r="M2650">
        <f>L2650*(1+(Inputs!$B$10+((C2672=TRUE)*(F2672-Calc!F25))+B2683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50">
        <f>L2650*(1-MIN((Inputs!$B$9+((C2666=TRUE)*(F2666-Calc!F19))+B2678+(ArtifactsInput!$M$24-ArtifactsInput!$M$24)*CHOOSE(ArtifactsInput!$N$24+1,10,12,14,16,18,20)+(IF(AND(Inputs!$B$38&lt;&gt;"pvp",Inputs!$B$43=0),1,IF(IF(Inputs!$B$38="pvp",15,Inputs!$B$43)-(B2685)&lt;=0,1,MAX(0,IF(Inputs!$B$38="pvp",15,Inputs!$B$43)-MAX(5,B2685))/(IF(Inputs!$B$38="pvp",15,Inputs!$B$43)-(B2685))))*IF(AND(ArtifactsInput!$M$42,((Inputs!$B$9+((C2666=TRUE)*(F2666-Calc!F19))+B2678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2650*(MIN((Inputs!$B$9+((C2666=TRUE)*(F2666-Calc!F19))+B2678+(ArtifactsInput!$M$24-ArtifactsInput!$M$24)*CHOOSE(ArtifactsInput!$N$24+1,10,12,14,16,18,20)+(IF(AND(Inputs!$B$38&lt;&gt;"pvp",Inputs!$B$43=0),1,IF(IF(Inputs!$B$38="pvp",15,Inputs!$B$43)-(B2685)&lt;=0,1,MAX(0,IF(Inputs!$B$38="pvp",15,Inputs!$B$43)-MAX(5,B2685))/(IF(Inputs!$B$38="pvp",15,Inputs!$B$43)-(B2685))))*IF(AND(ArtifactsInput!$M$42,((Inputs!$B$9+((C2666=TRUE)*(F2666-Calc!F19))+B2678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50">
        <f>(1-Summary!$B$11)*T2650+Summary!$B$11*V2650</f>
        <v/>
      </c>
      <c r="P2650">
        <f>IF(B2688=0,0,O2650/B2688)</f>
        <v/>
      </c>
      <c r="Q2650">
        <f>IFERROR(1/(IF(Inputs!$B$38="pvp",15,MAX(0.1,Skills!D3-IF(TRUE=TRUE,Inputs!$B$32,0)))*(1-IF(AND(ArtifactsInput!$M$27,Inputs!$B$4="Chapter Hunt"),CHOOSE(ArtifactsInput!$N$27+1,20,24,28,32,36,40),0)/100)),0)</f>
        <v/>
      </c>
      <c r="R2650">
        <f>IF(AND(Inputs!$B$38&lt;&gt;"pvp",Inputs!$B$43&gt;0),IF(MAX(0,Inputs!$B$43-B2685)&lt;=0,0,(INT(MAX(0,Inputs!$B$43-B2685)/(IF(Inputs!$B$38="pvp",15,MAX(0.1,Skills!D3-IF(TRUE=TRUE,Inputs!$B$32,0)))*(1-IF(AND(ArtifactsInput!$M$27,Inputs!$B$4="Chapter Hunt"),CHOOSE(ArtifactsInput!$N$27+1,20,24,28,32,36,40),0)/100)))+1)),0)</f>
        <v/>
      </c>
      <c r="S2650">
        <f>IFERROR(O2650/N2650,0)</f>
        <v/>
      </c>
      <c r="T2650">
        <f>IF(C2650,(H2650*N2650*IF(AND(Inputs!$B$38&lt;&gt;"pvp",Inputs!$B$43&gt;0),((Skills!G3*((R2650-1)*IF(Skills!H3&gt;0,INT(Skills!I3/Skills!H3+0.000000001),1)+IF(Skills!H3&gt;0,INT(MIN(Skills!I3,MAX(0,MAX(0,Inputs!$B$43-B2685)-((R2650-1)*(IF(Inputs!$B$38="pvp",15,MAX(0.1,Skills!D3-IF(TRUE=TRUE,Inputs!$B$32,0)))*(1-IF(AND(ArtifactsInput!$M$27,Inputs!$B$4="Chapter Hunt"),CHOOSE(ArtifactsInput!$N$27+1,20,24,28,32,36,40),0)/100)))))/Skills!H3+0.000000001),1)))/Inputs!$B$43),G2650*Q2650))*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Hunt"),CHOOSE(ArtifactsInput!$N$35+1,15,18,21,24,27,30)*(1-EXP(-(0.2*B2680)*5)),0)+IF(AND(ArtifactsInput!$M$22,Inputs!$B$4&lt;&gt;"Chapter Hunt"),CHOOSE(ArtifactsInput!$N$22+1,10,12,14,16,18,20)*((0*(((0.15*B2680*5))^0/1)+1*(((0.15*B2680*5))^1/1)+2*(((0.15*B2680*5))^2/2)+3*(((0.15*B2680*5))^3/6)+4*(((0.15*B2680*5))^4/24)+5*(((0.15*B2680*5))^5/120))/((((0.15*B2680*5))^0/1)+(((0.15*B2680*5))^1/1)+(((0.15*B2680*5))^2/2)+(((0.15*B2680*5))^3/6)+(((0.15*B2680*5))^4/24)+(((0.15*B2680*5))^5/120))),0))+IF(Inputs!$B$3&gt;=54,9*(C2650=TRUE)*MIN(1,8*(1+Inputs!$B$34/100)*Q2650)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2650*(1-MIN(100,(Inputs!$B$9+((C2666=TRUE)*(F2666-Calc!F19))+B2678+(ArtifactsInput!$M$24-ArtifactsInput!$M$24)*CHOOSE(ArtifactsInput!$N$24+1,10,12,14,16,18,20)+(IF(AND(Inputs!$B$38&lt;&gt;"pvp",Inputs!$B$43=0),1,IF(IF(Inputs!$B$38="pvp",15,Inputs!$B$43)-(B2685)&lt;=0,1,MAX(0,IF(Inputs!$B$38="pvp",15,Inputs!$B$43)-MAX(5,B2685))/(IF(Inputs!$B$38="pvp",15,Inputs!$B$43)-(B2685))))*IF(AND(ArtifactsInput!$M$42,((Inputs!$B$9+((C2666=TRUE)*(F2666-Calc!F19))+B2678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2650*(MIN(100,(Inputs!$B$9+((C2666=TRUE)*(F2666-Calc!F19))+B2678+(ArtifactsInput!$M$24-ArtifactsInput!$M$24)*CHOOSE(ArtifactsInput!$N$24+1,10,12,14,16,18,20)+(IF(AND(Inputs!$B$38&lt;&gt;"pvp",Inputs!$B$43=0),1,IF(IF(Inputs!$B$38="pvp",15,Inputs!$B$43)-(B2685)&lt;=0,1,MAX(0,IF(Inputs!$B$38="pvp",15,Inputs!$B$43)-MAX(5,B2685))/(IF(Inputs!$B$38="pvp",15,Inputs!$B$43)-(B2685))))*IF(AND(ArtifactsInput!$M$42,((Inputs!$B$9+((C2666=TRUE)*(F2666-Calc!F19))+B2678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2650*(1-MIN(100,(Inputs!$B$9+((C2666=TRUE)*(F2666-Calc!F19))+B2678+(ArtifactsInput!$M$24-ArtifactsInput!$M$24)*CHOOSE(ArtifactsInput!$N$24+1,10,12,14,16,18,20)+(IF(AND(Inputs!$B$38&lt;&gt;"pvp",Inputs!$B$43=0),1,IF(IF(Inputs!$B$38="pvp",15,Inputs!$B$43)-(B2685)&lt;=0,1,MAX(0,IF(Inputs!$B$38="pvp",15,Inputs!$B$43)-MAX(5,B2685))/(IF(Inputs!$B$38="pvp",15,Inputs!$B$43)-(B2685))))*IF(AND(ArtifactsInput!$M$42,((Inputs!$B$9+((C2666=TRUE)*(F2666-Calc!F19))+B2678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2650*(MIN(100,(Inputs!$B$9+((C2666=TRUE)*(F2666-Calc!F19))+B2678+(ArtifactsInput!$M$24-ArtifactsInput!$M$24)*CHOOSE(ArtifactsInput!$N$24+1,10,12,14,16,18,20)+(IF(AND(Inputs!$B$38&lt;&gt;"pvp",Inputs!$B$43=0),1,IF(IF(Inputs!$B$38="pvp",15,Inputs!$B$43)-(B2685)&lt;=0,1,MAX(0,IF(Inputs!$B$38="pvp",15,Inputs!$B$43)-MAX(5,B2685))/(IF(Inputs!$B$38="pvp",15,Inputs!$B$43)-(B2685))))*IF(AND(ArtifactsInput!$M$42,((Inputs!$B$9+((C2666=TRUE)*(F2666-Calc!F19))+B2678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650">
        <f>INDEX(FactorTable!$B$2:$Y$301, MATCH(ROUND(MIN(300,MAX(1,U2649)),0), FactorTable!$A$2:$A$301,0), 22)</f>
        <v/>
      </c>
      <c r="V2650">
        <f>IF(C2650,(H2650*N2650*IF(AND(Inputs!$B$38&lt;&gt;"pvp",Inputs!$B$43&gt;0),((Skills!G3*((R2650-1)*IF(Skills!H3&gt;0,INT(Skills!I3/Skills!H3+0.000000001),1)+IF(Skills!H3&gt;0,INT(MIN(Skills!I3,MAX(0,MAX(0,Inputs!$B$43-B2685)-((R2650-1)*(IF(Inputs!$B$38="pvp",15,MAX(0.1,Skills!D3-IF(TRUE=TRUE,Inputs!$B$32,0)))*(1-IF(AND(ArtifactsInput!$M$27,Inputs!$B$4="Chapter Hunt"),CHOOSE(ArtifactsInput!$N$27+1,20,24,28,32,36,40),0)/100)))))/Skills!H3+0.000000001),1)))/Inputs!$B$43),G2650*Q2650))*IF(Inputs!$B$38="pvp",1,(1+(Inputs!$B$21+Skills!Q3+(IF(ArtifactsInput!$M$33,CHOOSE(ArtifactsInput!$N$33+1,30,36,42,48,54,60),0))+(IF(AND(ArtifactsInput!$M$35,Inputs!$B$4&lt;&gt;"Chapter Hunt"),CHOOSE(ArtifactsInput!$N$35+1,15,18,21,24,27,30)*(1-EXP(-(0.2*B2680)*5)),0)+IF(AND(ArtifactsInput!$M$22,Inputs!$B$4&lt;&gt;"Chapter Hunt"),CHOOSE(ArtifactsInput!$N$22+1,10,12,14,16,18,20)*((0*(((0.15*B2680*5))^0/1)+1*(((0.15*B2680*5))^1/1)+2*(((0.15*B2680*5))^2/2)+3*(((0.15*B2680*5))^3/6)+4*(((0.15*B2680*5))^4/24)+5*(((0.15*B2680*5))^5/120))/((((0.15*B2680*5))^0/1)+(((0.15*B2680*5))^1/1)+(((0.15*B2680*5))^2/2)+(((0.15*B2680*5))^3/6)+(((0.15*B2680*5))^4/24)+(((0.15*B2680*5))^5/120))),0))+IF(Inputs!$B$3&gt;=54,9*(C2650=TRUE)*MIN(1,8*(1+Inputs!$B$34/100)*Q2650)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51">
      <c r="A2651">
        <f>Skills!A4</f>
        <v/>
      </c>
      <c r="B2651">
        <f>Skills!B4</f>
        <v/>
      </c>
      <c r="C2651">
        <f>Inputs!$B$3&gt;=35</f>
        <v/>
      </c>
      <c r="D2651">
        <f>IF(Skills!C4=1,60+Inputs!$B$25+Inputs!$B$29,IF(Skills!C4=2,90+Inputs!$B$26+Inputs!$B$29,IF(Skills!C4=3,120+Inputs!$B$27+Inputs!$B$29,MAX(0,(Inputs!$B$3-100)*3)+Inputs!$B$28+Inputs!$B$29)))</f>
        <v/>
      </c>
      <c r="E2651">
        <f>INDEX(FactorTable!$B$2:$Y$301, MATCH(ROUND(MIN(300,MAX(1,D2651)),0), FactorTable!$A$2:$A$301,0), Skills!M4+1)</f>
        <v/>
      </c>
      <c r="F2651">
        <f>IF(Skills!N4=TRUE,(Skills!L4/10)*(E2651/1000),Skills!L4/10)+Skills!O4</f>
        <v/>
      </c>
      <c r="G2651">
        <f>Skills!G4*IF(Skills!H4&gt;0,INT(IF(Inputs!$B$38="pvp",MIN(IF(Inputs!$B$3&gt;=104,MIN(35,20*(1+Inputs!$B$34/100)),20),15),IF(Inputs!$B$3&gt;=104,MIN(35,20*(1+Inputs!$B$34/100)),20))/Skills!H4+0.000000001),1)</f>
        <v/>
      </c>
      <c r="H2651">
        <f>1-(1-Skills!J4/100)^Skills!K4</f>
        <v/>
      </c>
      <c r="I2651" t="inlineStr">
        <is>
          <t>1</t>
        </is>
      </c>
      <c r="J2651">
        <f>((Inputs!$B$6*(1+Inputs!$B$7/100))+(((Inputs!$B$12*(1+Inputs!$B$13/100))-(Inputs!$B$12*(1+Inputs!$B$13/100)))+0.25*(Inputs!$B$14-Inputs!$B$14))*(1+Inputs!$B$7/100))*(F2651/100)</f>
        <v/>
      </c>
      <c r="K2651">
        <f>J2651*(1+((Inputs!$B$12*(1+Inputs!$B$13/100))*0.01+Inputs!$B$14*0.0025)/100)*(1+Inputs!$B$15/100)*(1+Inputs!$B$16/100)*(5000/(6000+Inputs!$B$42*(1-(100*(1-(1-(Inputs!$B$19+0)/100)*(1-CHOOSE(ArtifactsInput!$N$40+1,5,6,7,8,9,10)/100)^(ArtifactsInput!$M$40-ArtifactsInput!$M$40)))/100)))*(1+(Inputs!$B$24+((C2673=TRUE)*(F2673-Calc!F26))+B2684)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2663=TRUE,F2663,0)/100)*(1+(IF(Skills!A4="EIGHT_LEGS_EASTON",Inputs!$B$17+((C2670=TRUE)*(F2670-Calc!F23))+((C2674=TRUE)*(F2674-Calc!F27))+((IF(AND(Inputs!$B$38&lt;&gt;"pvp",Inputs!$B$43=0),1,IF(IF(Inputs!$B$38="pvp",15,Inputs!$B$43)-(B2685)&lt;=0,1,MAX(0,IF(Inputs!$B$38="pvp",15,Inputs!$B$43)-MAX(5,B2685))/(IF(Inputs!$B$38="pvp",15,Inputs!$B$43)-(B2685))))*(IF(AND(ArtifactsInput!$M$42,((Inputs!$B$9+((C2666=TRUE)*(F2666-Calc!F19))+B2678+(ArtifactsInput!$M$24-ArtifactsInput!$M$24)*CHOOSE(ArtifactsInput!$N$24+1,10,12,14,16,18,20)+IF(ArtifactsInput!$M$10,CHOOSE(ArtifactsInput!$N$10+1,15,18,21,24,27,30)*(IF(Inputs!$B$38="pvp",MIN(15,15)/15,IF(AND(Inputs!$B$38&lt;&gt;"pvp",Inputs!$B$43&gt;0),MIN(15,Inputs!$B$43)/(Inputs!$B$43),0))),0)))&gt;=100),MIN(100,((Inputs!$B$9+((C2666=TRUE)*(F2666-Calc!F19))+B2678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2685)&lt;=0,1,MAX(0,IF(Inputs!$B$38="pvp",15,Inputs!$B$43)-MAX(5,B2685))/(IF(Inputs!$B$38="pvp",15,Inputs!$B$43)-(B2685))))*IF(AND(ArtifactsInput!$M$42,((Inputs!$B$9+((C2666=TRUE)*(F2666-Calc!F19))+B2678+(ArtifactsInput!$M$24-ArtifactsInput!$M$24)*CHOOSE(ArtifactsInput!$N$24+1,10,12,14,16,18,20)+IF(ArtifactsInput!$M$10,CHOOSE(ArtifactsInput!$N$10+1,15,18,21,24,27,30)*(IF(Inputs!$B$38="pvp",MIN(15,15)/15,IF(AND(Inputs!$B$38&lt;&gt;"pvp",Inputs!$B$43&gt;0),MIN(15,Inputs!$B$43)/(Inputs!$B$43),0))),0)))&gt;=100),CHOOSE(ArtifactsInput!$N$42+1,40,48,56,64,72,80),0))))/100)*((1+(((C2664=TRUE)*F2664*5/7)+((C2671=TRUE)*(F2671-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IF(ArtifactsInput!$M$37,FALSE,TRUE),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2651)</f>
        <v/>
      </c>
      <c r="L2651">
        <f>K2651*(MIN(Inputs!$B$22+((C2669=TRUE)*(F2669-Calc!F22)),(Inputs!$B$23+0+(IF(ArtifactsInput!$M$15,CHOOSE(ArtifactsInput!$N$15+1,25,30,35,40,45,50)/100*(Inputs!$B$11-Inputs!$B$11),0))))/100+(Inputs!$B$23+0+(IF(ArtifactsInput!$M$15,CHOOSE(ArtifactsInput!$N$15+1,25,30,35,40,45,50)/100*(Inputs!$B$11-Inputs!$B$11),0)))/100)/2</f>
        <v/>
      </c>
      <c r="M2651">
        <f>L2651*(1+(Inputs!$B$10+((C2672=TRUE)*(F2672-Calc!F25))+B2683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51">
        <f>L2651*(1-MIN((Inputs!$B$9+((C2666=TRUE)*(F2666-Calc!F19))+B2678+(ArtifactsInput!$M$24-ArtifactsInput!$M$24)*CHOOSE(ArtifactsInput!$N$24+1,10,12,14,16,18,20)+(IF(AND(Inputs!$B$38&lt;&gt;"pvp",Inputs!$B$43=0),1,IF(IF(Inputs!$B$38="pvp",15,Inputs!$B$43)-(B2685)&lt;=0,1,MAX(0,IF(Inputs!$B$38="pvp",15,Inputs!$B$43)-MAX(5,B2685))/(IF(Inputs!$B$38="pvp",15,Inputs!$B$43)-(B2685))))*IF(AND(ArtifactsInput!$M$42,((Inputs!$B$9+((C2666=TRUE)*(F2666-Calc!F19))+B2678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2651*(MIN((Inputs!$B$9+((C2666=TRUE)*(F2666-Calc!F19))+B2678+(ArtifactsInput!$M$24-ArtifactsInput!$M$24)*CHOOSE(ArtifactsInput!$N$24+1,10,12,14,16,18,20)+(IF(AND(Inputs!$B$38&lt;&gt;"pvp",Inputs!$B$43=0),1,IF(IF(Inputs!$B$38="pvp",15,Inputs!$B$43)-(B2685)&lt;=0,1,MAX(0,IF(Inputs!$B$38="pvp",15,Inputs!$B$43)-MAX(5,B2685))/(IF(Inputs!$B$38="pvp",15,Inputs!$B$43)-(B2685))))*IF(AND(ArtifactsInput!$M$42,((Inputs!$B$9+((C2666=TRUE)*(F2666-Calc!F19))+B2678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51">
        <f>(1-Summary!$B$11)*T2651+Summary!$B$11*V2651</f>
        <v/>
      </c>
      <c r="P2651">
        <f>IF(B2688=0,0,O2651/B2688)</f>
        <v/>
      </c>
      <c r="Q2651">
        <f>IFERROR(1/(IF(Inputs!$B$38="pvp",15,MAX(0.1,Skills!D4-IF(TRUE=TRUE,Inputs!$B$32,0)))*(1-IF(AND(ArtifactsInput!$M$27,Inputs!$B$4="Chapter Hunt"),CHOOSE(ArtifactsInput!$N$27+1,20,24,28,32,36,40),0)/100)),0)</f>
        <v/>
      </c>
      <c r="R2651">
        <f>IF(AND(Inputs!$B$38&lt;&gt;"pvp",Inputs!$B$43&gt;0),IF(MAX(0,Inputs!$B$43-B2685)&lt;=0,0,(INT(MAX(0,Inputs!$B$43-B2685)/(IF(Inputs!$B$38="pvp",15,MAX(0.1,Skills!D4-IF(TRUE=TRUE,Inputs!$B$32,0)))*(1-IF(AND(ArtifactsInput!$M$27,Inputs!$B$4="Chapter Hunt"),CHOOSE(ArtifactsInput!$N$27+1,20,24,28,32,36,40),0)/100)))+1)),0)</f>
        <v/>
      </c>
      <c r="S2651">
        <f>IFERROR(O2651/N2651,0)</f>
        <v/>
      </c>
      <c r="T2651">
        <f>IF(C2651,(H2651*N2651*IF(AND(Inputs!$B$38&lt;&gt;"pvp",Inputs!$B$43&gt;0),((Skills!G4*((R2651-1)*IF(Skills!H4&gt;0,INT(IF(Inputs!$B$3&gt;=104,MIN(35,20*(1+Inputs!$B$34/100)),20)/Skills!H4+0.000000001),1)+IF(Skills!H4&gt;0,INT(MIN(IF(Inputs!$B$3&gt;=104,MIN(35,20*(1+Inputs!$B$34/100)),20),MAX(0,MAX(0,Inputs!$B$43-B2685)-((R2651-1)*(IF(Inputs!$B$38="pvp",15,MAX(0.1,Skills!D4-IF(TRUE=TRUE,Inputs!$B$32,0)))*(1-IF(AND(ArtifactsInput!$M$27,Inputs!$B$4="Chapter Hunt"),CHOOSE(ArtifactsInput!$N$27+1,20,24,28,32,36,40),0)/100)))))/Skills!H4+0.000000001),1)))/Inputs!$B$43),G2651*Q2651))*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Hunt"),CHOOSE(ArtifactsInput!$N$35+1,15,18,21,24,27,30)*(1-EXP(-(0.2*B2680)*5)),0)+IF(AND(ArtifactsInput!$M$22,Inputs!$B$4&lt;&gt;"Chapter Hunt"),CHOOSE(ArtifactsInput!$N$22+1,10,12,14,16,18,20)*((0*(((0.15*B2680*5))^0/1)+1*(((0.15*B2680*5))^1/1)+2*(((0.15*B2680*5))^2/2)+3*(((0.15*B2680*5))^3/6)+4*(((0.15*B2680*5))^4/24)+5*(((0.15*B2680*5))^5/120))/((((0.15*B2680*5))^0/1)+(((0.15*B2680*5))^1/1)+(((0.15*B2680*5))^2/2)+(((0.15*B2680*5))^3/6)+(((0.15*B2680*5))^4/24)+(((0.15*B2680*5))^5/120))),0))+IF(Inputs!$B$3&gt;=54,9*(C2650=TRUE)*MIN(1,8*(1+Inputs!$B$34/100)*Q2650)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2651*(1-MIN(100,(Inputs!$B$9+((C2666=TRUE)*(F2666-Calc!F19))+B2678+(ArtifactsInput!$M$24-ArtifactsInput!$M$24)*CHOOSE(ArtifactsInput!$N$24+1,10,12,14,16,18,20)+(IF(AND(Inputs!$B$38&lt;&gt;"pvp",Inputs!$B$43=0),1,IF(IF(Inputs!$B$38="pvp",15,Inputs!$B$43)-(B2685)&lt;=0,1,MAX(0,IF(Inputs!$B$38="pvp",15,Inputs!$B$43)-MAX(5,B2685))/(IF(Inputs!$B$38="pvp",15,Inputs!$B$43)-(B2685))))*IF(AND(ArtifactsInput!$M$42,((Inputs!$B$9+((C2666=TRUE)*(F2666-Calc!F19))+B2678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2651*(MIN(100,(Inputs!$B$9+((C2666=TRUE)*(F2666-Calc!F19))+B2678+(ArtifactsInput!$M$24-ArtifactsInput!$M$24)*CHOOSE(ArtifactsInput!$N$24+1,10,12,14,16,18,20)+(IF(AND(Inputs!$B$38&lt;&gt;"pvp",Inputs!$B$43=0),1,IF(IF(Inputs!$B$38="pvp",15,Inputs!$B$43)-(B2685)&lt;=0,1,MAX(0,IF(Inputs!$B$38="pvp",15,Inputs!$B$43)-MAX(5,B2685))/(IF(Inputs!$B$38="pvp",15,Inputs!$B$43)-(B2685))))*IF(AND(ArtifactsInput!$M$42,((Inputs!$B$9+((C2666=TRUE)*(F2666-Calc!F19))+B2678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2651*(1-MIN(100,(Inputs!$B$9+((C2666=TRUE)*(F2666-Calc!F19))+B2678+(ArtifactsInput!$M$24-ArtifactsInput!$M$24)*CHOOSE(ArtifactsInput!$N$24+1,10,12,14,16,18,20)+(IF(AND(Inputs!$B$38&lt;&gt;"pvp",Inputs!$B$43=0),1,IF(IF(Inputs!$B$38="pvp",15,Inputs!$B$43)-(B2685)&lt;=0,1,MAX(0,IF(Inputs!$B$38="pvp",15,Inputs!$B$43)-MAX(5,B2685))/(IF(Inputs!$B$38="pvp",15,Inputs!$B$43)-(B2685))))*IF(AND(ArtifactsInput!$M$42,((Inputs!$B$9+((C2666=TRUE)*(F2666-Calc!F19))+B2678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2651*(MIN(100,(Inputs!$B$9+((C2666=TRUE)*(F2666-Calc!F19))+B2678+(ArtifactsInput!$M$24-ArtifactsInput!$M$24)*CHOOSE(ArtifactsInput!$N$24+1,10,12,14,16,18,20)+(IF(AND(Inputs!$B$38&lt;&gt;"pvp",Inputs!$B$43=0),1,IF(IF(Inputs!$B$38="pvp",15,Inputs!$B$43)-(B2685)&lt;=0,1,MAX(0,IF(Inputs!$B$38="pvp",15,Inputs!$B$43)-MAX(5,B2685))/(IF(Inputs!$B$38="pvp",15,Inputs!$B$43)-(B2685))))*IF(AND(ArtifactsInput!$M$42,((Inputs!$B$9+((C2666=TRUE)*(F2666-Calc!F19))+B2678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651">
        <f>290*U2650/1000</f>
        <v/>
      </c>
      <c r="V2651">
        <f>IF(C2651,(H2651*N2651*IF(AND(Inputs!$B$38&lt;&gt;"pvp",Inputs!$B$43&gt;0),((Skills!G4*((R2651-1)*IF(Skills!H4&gt;0,INT(IF(Inputs!$B$3&gt;=104,MIN(35,20*(1+Inputs!$B$34/100)),20)/Skills!H4+0.000000001),1)+IF(Skills!H4&gt;0,INT(MIN(IF(Inputs!$B$3&gt;=104,MIN(35,20*(1+Inputs!$B$34/100)),20),MAX(0,MAX(0,Inputs!$B$43-B2685)-((R2651-1)*(IF(Inputs!$B$38="pvp",15,MAX(0.1,Skills!D4-IF(TRUE=TRUE,Inputs!$B$32,0)))*(1-IF(AND(ArtifactsInput!$M$27,Inputs!$B$4="Chapter Hunt"),CHOOSE(ArtifactsInput!$N$27+1,20,24,28,32,36,40),0)/100)))))/Skills!H4+0.000000001),1)))/Inputs!$B$43),G2651*Q2651))*IF(Inputs!$B$38="pvp",1,(1+(Inputs!$B$21+Skills!Q4+(IF(ArtifactsInput!$M$33,CHOOSE(ArtifactsInput!$N$33+1,30,36,42,48,54,60),0))+(IF(AND(ArtifactsInput!$M$35,Inputs!$B$4&lt;&gt;"Chapter Hunt"),CHOOSE(ArtifactsInput!$N$35+1,15,18,21,24,27,30)*(1-EXP(-(0.2*B2680)*5)),0)+IF(AND(ArtifactsInput!$M$22,Inputs!$B$4&lt;&gt;"Chapter Hunt"),CHOOSE(ArtifactsInput!$N$22+1,10,12,14,16,18,20)*((0*(((0.15*B2680*5))^0/1)+1*(((0.15*B2680*5))^1/1)+2*(((0.15*B2680*5))^2/2)+3*(((0.15*B2680*5))^3/6)+4*(((0.15*B2680*5))^4/24)+5*(((0.15*B2680*5))^5/120))/((((0.15*B2680*5))^0/1)+(((0.15*B2680*5))^1/1)+(((0.15*B2680*5))^2/2)+(((0.15*B2680*5))^3/6)+(((0.15*B2680*5))^4/24)+(((0.15*B2680*5))^5/120))),0))+IF(Inputs!$B$3&gt;=54,9*(C2650=TRUE)*MIN(1,8*(1+Inputs!$B$34/100)*Q2650),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52">
      <c r="A2652">
        <f>Skills!A5</f>
        <v/>
      </c>
      <c r="B2652">
        <f>Skills!B5</f>
        <v/>
      </c>
      <c r="C2652">
        <f>Inputs!$B$3&gt;=69</f>
        <v/>
      </c>
      <c r="D2652">
        <f>IF(Skills!C5=1,60+Inputs!$B$25+Inputs!$B$29,IF(Skills!C5=2,90+Inputs!$B$26+Inputs!$B$29,IF(Skills!C5=3,120+Inputs!$B$27+Inputs!$B$29,MAX(0,(Inputs!$B$3-100)*3)+Inputs!$B$28+Inputs!$B$29)))</f>
        <v/>
      </c>
      <c r="E2652">
        <f>INDEX(FactorTable!$B$2:$Y$301, MATCH(ROUND(MIN(300,MAX(1,D2652)),0), FactorTable!$A$2:$A$301,0), Skills!M5+1)</f>
        <v/>
      </c>
      <c r="F2652">
        <f>IF(Skills!N5=TRUE,(Skills!L5/10)*(E2652/1000),Skills!L5/10)+Skills!O5</f>
        <v/>
      </c>
      <c r="G2652">
        <f>Skills!G5*IF(Skills!H5&gt;0,INT(IF(Inputs!$B$38="pvp",MIN(IF(Inputs!$B$3&gt;=104,MIN(35,20*(1+Inputs!$B$34/100)),20),15),IF(Inputs!$B$3&gt;=104,MIN(35,20*(1+Inputs!$B$34/100)),20))/Skills!H5+0.000000001),1)</f>
        <v/>
      </c>
      <c r="H2652">
        <f>1-(1-Skills!J5/100)^Skills!K5</f>
        <v/>
      </c>
      <c r="I2652" t="inlineStr">
        <is>
          <t>1</t>
        </is>
      </c>
      <c r="J2652">
        <f>((Inputs!$B$6*(1+Inputs!$B$7/100))+(((Inputs!$B$12*(1+Inputs!$B$13/100))-(Inputs!$B$12*(1+Inputs!$B$13/100)))+0.25*(Inputs!$B$14-Inputs!$B$14))*(1+Inputs!$B$7/100))*(F2652/100)</f>
        <v/>
      </c>
      <c r="K2652">
        <f>J2652*(1+((Inputs!$B$12*(1+Inputs!$B$13/100))*0.01+Inputs!$B$14*0.0025)/100)*(1+Inputs!$B$15/100)*(1+Inputs!$B$16/100)*(5000/(6000+Inputs!$B$42*(1-(100*(1-(1-(Inputs!$B$19+0)/100)*(1-CHOOSE(ArtifactsInput!$N$40+1,5,6,7,8,9,10)/100)^(ArtifactsInput!$M$40-ArtifactsInput!$M$40)))/100)))*(1+(Inputs!$B$24+((C2673=TRUE)*(F2673-Calc!F26))+B2684)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+0.4*IF(C2663=TRUE,F2663,0)/100)*(1+(IF(Skills!A5="EIGHT_LEGS_EASTON",Inputs!$B$17+((C2670=TRUE)*(F2670-Calc!F23))+((C2674=TRUE)*(F2674-Calc!F27))+((IF(AND(Inputs!$B$38&lt;&gt;"pvp",Inputs!$B$43=0),1,IF(IF(Inputs!$B$38="pvp",15,Inputs!$B$43)-(B2685)&lt;=0,1,MAX(0,IF(Inputs!$B$38="pvp",15,Inputs!$B$43)-MAX(5,B2685))/(IF(Inputs!$B$38="pvp",15,Inputs!$B$43)-(B2685))))*(IF(AND(ArtifactsInput!$M$42,((Inputs!$B$9+((C2666=TRUE)*(F2666-Calc!F19))+B2678+(ArtifactsInput!$M$24-ArtifactsInput!$M$24)*CHOOSE(ArtifactsInput!$N$24+1,10,12,14,16,18,20)+IF(ArtifactsInput!$M$10,CHOOSE(ArtifactsInput!$N$10+1,15,18,21,24,27,30)*(IF(Inputs!$B$38="pvp",MIN(15,15)/15,IF(AND(Inputs!$B$38&lt;&gt;"pvp",Inputs!$B$43&gt;0),MIN(15,Inputs!$B$43)/(Inputs!$B$43),0))),0)))&gt;=100),MIN(100,((Inputs!$B$9+((C2666=TRUE)*(F2666-Calc!F19))+B2678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2685)&lt;=0,1,MAX(0,IF(Inputs!$B$38="pvp",15,Inputs!$B$43)-MAX(5,B2685))/(IF(Inputs!$B$38="pvp",15,Inputs!$B$43)-(B2685))))*IF(AND(ArtifactsInput!$M$42,((Inputs!$B$9+((C2666=TRUE)*(F2666-Calc!F19))+B2678+(ArtifactsInput!$M$24-ArtifactsInput!$M$24)*CHOOSE(ArtifactsInput!$N$24+1,10,12,14,16,18,20)+IF(ArtifactsInput!$M$10,CHOOSE(ArtifactsInput!$N$10+1,15,18,21,24,27,30)*(IF(Inputs!$B$38="pvp",MIN(15,15)/15,IF(AND(Inputs!$B$38&lt;&gt;"pvp",Inputs!$B$43&gt;0),MIN(15,Inputs!$B$43)/(Inputs!$B$43),0))),0)))&gt;=100),CHOOSE(ArtifactsInput!$N$42+1,40,48,56,64,72,80),0))))/100)*((1+(((C2664=TRUE)*F2664*5/7)+((C2671=TRUE)*(F2671-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IF(ArtifactsInput!$M$37,FALSE,TRUE),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2652)</f>
        <v/>
      </c>
      <c r="L2652">
        <f>K2652*(MIN(Inputs!$B$22+((C2669=TRUE)*(F2669-Calc!F22)),(Inputs!$B$23+0+(IF(ArtifactsInput!$M$15,CHOOSE(ArtifactsInput!$N$15+1,25,30,35,40,45,50)/100*(Inputs!$B$11-Inputs!$B$11),0))))/100+(Inputs!$B$23+0+(IF(ArtifactsInput!$M$15,CHOOSE(ArtifactsInput!$N$15+1,25,30,35,40,45,50)/100*(Inputs!$B$11-Inputs!$B$11),0)))/100)/2</f>
        <v/>
      </c>
      <c r="M2652">
        <f>L2652*(1+(Inputs!$B$10+((C2672=TRUE)*(F2672-Calc!F25))+B2683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52">
        <f>L2652*(1-MIN((Inputs!$B$9+((C2666=TRUE)*(F2666-Calc!F19))+B2678+(ArtifactsInput!$M$24-ArtifactsInput!$M$24)*CHOOSE(ArtifactsInput!$N$24+1,10,12,14,16,18,20)+(IF(AND(Inputs!$B$38&lt;&gt;"pvp",Inputs!$B$43=0),1,IF(IF(Inputs!$B$38="pvp",15,Inputs!$B$43)-(B2685)&lt;=0,1,MAX(0,IF(Inputs!$B$38="pvp",15,Inputs!$B$43)-MAX(5,B2685))/(IF(Inputs!$B$38="pvp",15,Inputs!$B$43)-(B2685))))*IF(AND(ArtifactsInput!$M$42,((Inputs!$B$9+((C2666=TRUE)*(F2666-Calc!F19))+B2678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2652*(MIN((Inputs!$B$9+((C2666=TRUE)*(F2666-Calc!F19))+B2678+(ArtifactsInput!$M$24-ArtifactsInput!$M$24)*CHOOSE(ArtifactsInput!$N$24+1,10,12,14,16,18,20)+(IF(AND(Inputs!$B$38&lt;&gt;"pvp",Inputs!$B$43=0),1,IF(IF(Inputs!$B$38="pvp",15,Inputs!$B$43)-(B2685)&lt;=0,1,MAX(0,IF(Inputs!$B$38="pvp",15,Inputs!$B$43)-MAX(5,B2685))/(IF(Inputs!$B$38="pvp",15,Inputs!$B$43)-(B2685))))*IF(AND(ArtifactsInput!$M$42,((Inputs!$B$9+((C2666=TRUE)*(F2666-Calc!F19))+B2678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52">
        <f>(1-Summary!$B$11)*T2652+Summary!$B$11*V2652</f>
        <v/>
      </c>
      <c r="P2652">
        <f>IF(B2688=0,0,O2652/B2688)</f>
        <v/>
      </c>
      <c r="Q2652">
        <f>IFERROR(1/(IF(Inputs!$B$38="pvp",15,MAX(0.1,Skills!D5-IF(TRUE=TRUE,Inputs!$B$32,0)))*(1-IF(AND(ArtifactsInput!$M$27,Inputs!$B$4="Chapter Hunt"),CHOOSE(ArtifactsInput!$N$27+1,20,24,28,32,36,40),0)/100)),0)</f>
        <v/>
      </c>
      <c r="R2652">
        <f>IF(AND(Inputs!$B$38&lt;&gt;"pvp",Inputs!$B$43&gt;0),IF(MAX(0,Inputs!$B$43-B2685)&lt;=0,0,(INT(MAX(0,Inputs!$B$43-B2685)/(IF(Inputs!$B$38="pvp",15,MAX(0.1,Skills!D5-IF(TRUE=TRUE,Inputs!$B$32,0)))*(1-IF(AND(ArtifactsInput!$M$27,Inputs!$B$4="Chapter Hunt"),CHOOSE(ArtifactsInput!$N$27+1,20,24,28,32,36,40),0)/100)))+1)),0)</f>
        <v/>
      </c>
      <c r="S2652">
        <f>IFERROR(O2652/N2652,0)</f>
        <v/>
      </c>
      <c r="T2652">
        <f>IF(C2652,(H2652*N2652*IF(AND(Inputs!$B$38&lt;&gt;"pvp",Inputs!$B$43&gt;0),((Skills!G5*((R2652-1)*IF(Skills!H5&gt;0,INT(IF(Inputs!$B$3&gt;=104,MIN(35,20*(1+Inputs!$B$34/100)),20)/Skills!H5+0.000000001),1)+IF(Skills!H5&gt;0,INT(MIN(IF(Inputs!$B$3&gt;=104,MIN(35,20*(1+Inputs!$B$34/100)),20),MAX(0,MAX(0,Inputs!$B$43-B2685)-((R2652-1)*(IF(Inputs!$B$38="pvp",15,MAX(0.1,Skills!D5-IF(TRUE=TRUE,Inputs!$B$32,0)))*(1-IF(AND(ArtifactsInput!$M$27,Inputs!$B$4="Chapter Hunt"),CHOOSE(ArtifactsInput!$N$27+1,20,24,28,32,36,40),0)/100)))))/Skills!H5+0.000000001),1)))/Inputs!$B$43),G2652*Q2652))*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Hunt"),CHOOSE(ArtifactsInput!$N$35+1,15,18,21,24,27,30)*(1-EXP(-(0.2*B2680)*5)),0)+IF(AND(ArtifactsInput!$M$22,Inputs!$B$4&lt;&gt;"Chapter Hunt"),CHOOSE(ArtifactsInput!$N$22+1,10,12,14,16,18,20)*((0*(((0.15*B2680*5))^0/1)+1*(((0.15*B2680*5))^1/1)+2*(((0.15*B2680*5))^2/2)+3*(((0.15*B2680*5))^3/6)+4*(((0.15*B2680*5))^4/24)+5*(((0.15*B2680*5))^5/120))/((((0.15*B2680*5))^0/1)+(((0.15*B2680*5))^1/1)+(((0.15*B2680*5))^2/2)+(((0.15*B2680*5))^3/6)+(((0.15*B2680*5))^4/24)+(((0.15*B2680*5))^5/120))),0))+IF(Inputs!$B$3&gt;=54,9*(C2650=TRUE)*MIN(1,8*(1+Inputs!$B$34/100)*Q2650)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2652*(1-MIN(100,(Inputs!$B$9+((C2666=TRUE)*(F2666-Calc!F19))+B2678+(ArtifactsInput!$M$24-ArtifactsInput!$M$24)*CHOOSE(ArtifactsInput!$N$24+1,10,12,14,16,18,20)+(IF(AND(Inputs!$B$38&lt;&gt;"pvp",Inputs!$B$43=0),1,IF(IF(Inputs!$B$38="pvp",15,Inputs!$B$43)-(B2685)&lt;=0,1,MAX(0,IF(Inputs!$B$38="pvp",15,Inputs!$B$43)-MAX(5,B2685))/(IF(Inputs!$B$38="pvp",15,Inputs!$B$43)-(B2685))))*IF(AND(ArtifactsInput!$M$42,((Inputs!$B$9+((C2666=TRUE)*(F2666-Calc!F19))+B2678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2652*(MIN(100,(Inputs!$B$9+((C2666=TRUE)*(F2666-Calc!F19))+B2678+(ArtifactsInput!$M$24-ArtifactsInput!$M$24)*CHOOSE(ArtifactsInput!$N$24+1,10,12,14,16,18,20)+(IF(AND(Inputs!$B$38&lt;&gt;"pvp",Inputs!$B$43=0),1,IF(IF(Inputs!$B$38="pvp",15,Inputs!$B$43)-(B2685)&lt;=0,1,MAX(0,IF(Inputs!$B$38="pvp",15,Inputs!$B$43)-MAX(5,B2685))/(IF(Inputs!$B$38="pvp",15,Inputs!$B$43)-(B2685))))*IF(AND(ArtifactsInput!$M$42,((Inputs!$B$9+((C2666=TRUE)*(F2666-Calc!F19))+B2678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2652*(1-MIN(100,(Inputs!$B$9+((C2666=TRUE)*(F2666-Calc!F19))+B2678+(ArtifactsInput!$M$24-ArtifactsInput!$M$24)*CHOOSE(ArtifactsInput!$N$24+1,10,12,14,16,18,20)+(IF(AND(Inputs!$B$38&lt;&gt;"pvp",Inputs!$B$43=0),1,IF(IF(Inputs!$B$38="pvp",15,Inputs!$B$43)-(B2685)&lt;=0,1,MAX(0,IF(Inputs!$B$38="pvp",15,Inputs!$B$43)-MAX(5,B2685))/(IF(Inputs!$B$38="pvp",15,Inputs!$B$43)-(B2685))))*IF(AND(ArtifactsInput!$M$42,((Inputs!$B$9+((C2666=TRUE)*(F2666-Calc!F19))+B2678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2652*(MIN(100,(Inputs!$B$9+((C2666=TRUE)*(F2666-Calc!F19))+B2678+(ArtifactsInput!$M$24-ArtifactsInput!$M$24)*CHOOSE(ArtifactsInput!$N$24+1,10,12,14,16,18,20)+(IF(AND(Inputs!$B$38&lt;&gt;"pvp",Inputs!$B$43=0),1,IF(IF(Inputs!$B$38="pvp",15,Inputs!$B$43)-(B2685)&lt;=0,1,MAX(0,IF(Inputs!$B$38="pvp",15,Inputs!$B$43)-MAX(5,B2685))/(IF(Inputs!$B$38="pvp",15,Inputs!$B$43)-(B2685))))*IF(AND(ArtifactsInput!$M$42,((Inputs!$B$9+((C2666=TRUE)*(F2666-Calc!F19))+B2678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52">
        <f>IF(C2652,(H2652*N2652*IF(AND(Inputs!$B$38&lt;&gt;"pvp",Inputs!$B$43&gt;0),((Skills!G5*((R2652-1)*IF(Skills!H5&gt;0,INT(IF(Inputs!$B$3&gt;=104,MIN(35,20*(1+Inputs!$B$34/100)),20)/Skills!H5+0.000000001),1)+IF(Skills!H5&gt;0,INT(MIN(IF(Inputs!$B$3&gt;=104,MIN(35,20*(1+Inputs!$B$34/100)),20),MAX(0,MAX(0,Inputs!$B$43-B2685)-((R2652-1)*(IF(Inputs!$B$38="pvp",15,MAX(0.1,Skills!D5-IF(TRUE=TRUE,Inputs!$B$32,0)))*(1-IF(AND(ArtifactsInput!$M$27,Inputs!$B$4="Chapter Hunt"),CHOOSE(ArtifactsInput!$N$27+1,20,24,28,32,36,40),0)/100)))))/Skills!H5+0.000000001),1)))/Inputs!$B$43),G2652*Q2652))*IF(Inputs!$B$38="pvp",1,(1+(Inputs!$B$21+Skills!Q5+(IF(ArtifactsInput!$M$33,CHOOSE(ArtifactsInput!$N$33+1,30,36,42,48,54,60),0))+(IF(AND(ArtifactsInput!$M$35,Inputs!$B$4&lt;&gt;"Chapter Hunt"),CHOOSE(ArtifactsInput!$N$35+1,15,18,21,24,27,30)*(1-EXP(-(0.2*B2680)*5)),0)+IF(AND(ArtifactsInput!$M$22,Inputs!$B$4&lt;&gt;"Chapter Hunt"),CHOOSE(ArtifactsInput!$N$22+1,10,12,14,16,18,20)*((0*(((0.15*B2680*5))^0/1)+1*(((0.15*B2680*5))^1/1)+2*(((0.15*B2680*5))^2/2)+3*(((0.15*B2680*5))^3/6)+4*(((0.15*B2680*5))^4/24)+5*(((0.15*B2680*5))^5/120))/((((0.15*B2680*5))^0/1)+(((0.15*B2680*5))^1/1)+(((0.15*B2680*5))^2/2)+(((0.15*B2680*5))^3/6)+(((0.15*B2680*5))^4/24)+(((0.15*B2680*5))^5/120))),0))+IF(Inputs!$B$3&gt;=54,9*(C2650=TRUE)*MIN(1,8*(1+Inputs!$B$34/100)*Q2650)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53">
      <c r="A2653">
        <f>Skills!A6</f>
        <v/>
      </c>
      <c r="B2653">
        <f>Skills!B6</f>
        <v/>
      </c>
      <c r="C2653">
        <f>Inputs!$B$3&gt;=66</f>
        <v/>
      </c>
      <c r="D2653">
        <f>IF(Skills!C6=1,60+Inputs!$B$25+Inputs!$B$29,IF(Skills!C6=2,90+Inputs!$B$26+Inputs!$B$29,IF(Skills!C6=3,120+Inputs!$B$27+Inputs!$B$29,MAX(0,(Inputs!$B$3-100)*3)+Inputs!$B$28+Inputs!$B$29)))</f>
        <v/>
      </c>
      <c r="E2653">
        <f>INDEX(FactorTable!$B$2:$Y$301, MATCH(ROUND(MIN(300,MAX(1,D2653)),0), FactorTable!$A$2:$A$301,0), Skills!M6+1)</f>
        <v/>
      </c>
      <c r="F2653">
        <f>IF(Skills!N6=TRUE,(Skills!L6/10)*(E2653/1000),Skills!L6/10)+Skills!O6</f>
        <v/>
      </c>
      <c r="G2653">
        <f>Skills!G6*IF(Skills!H6&gt;0,INT(IF(Inputs!$B$38="pvp",MIN(Skills!I6,15),Skills!I6)/Skills!H6+0.000000001),1)</f>
        <v/>
      </c>
      <c r="H2653">
        <f>1-(1-Skills!J6/100)^Skills!K6</f>
        <v/>
      </c>
      <c r="I2653" t="inlineStr">
        <is>
          <t>1</t>
        </is>
      </c>
      <c r="J2653">
        <f>((Inputs!$B$6*(1+Inputs!$B$7/100))+(((Inputs!$B$12*(1+Inputs!$B$13/100))-(Inputs!$B$12*(1+Inputs!$B$13/100)))+0.25*(Inputs!$B$14-Inputs!$B$14))*(1+Inputs!$B$7/100))*(F2653/100)</f>
        <v/>
      </c>
      <c r="K2653">
        <f>J2653*(1+((Inputs!$B$12*(1+Inputs!$B$13/100))*0.01+Inputs!$B$14*0.0025)/100)*(1+Inputs!$B$15/100)*(1+Inputs!$B$16/100)*(5000/(6000+Inputs!$B$42*(1-(100*(1-(1-(Inputs!$B$19+0)/100)*(1-CHOOSE(ArtifactsInput!$N$40+1,5,6,7,8,9,10)/100)^(ArtifactsInput!$M$40-ArtifactsInput!$M$40)))/100)))*(1+(Inputs!$B$24+((C2673=TRUE)*(F2673-Calc!F26))+B2684)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+2.0*IF(C2662=TRUE,F2662,0)/100)*(1+(IF(Skills!A6="EIGHT_LEGS_EASTON",Inputs!$B$17+((C2670=TRUE)*(F2670-Calc!F23))+((C2674=TRUE)*(F2674-Calc!F27))+((IF(AND(Inputs!$B$38&lt;&gt;"pvp",Inputs!$B$43=0),1,IF(IF(Inputs!$B$38="pvp",15,Inputs!$B$43)-(B2685)&lt;=0,1,MAX(0,IF(Inputs!$B$38="pvp",15,Inputs!$B$43)-MAX(5,B2685))/(IF(Inputs!$B$38="pvp",15,Inputs!$B$43)-(B2685))))*(IF(AND(ArtifactsInput!$M$42,((Inputs!$B$9+((C2666=TRUE)*(F2666-Calc!F19))+B2678+(ArtifactsInput!$M$24-ArtifactsInput!$M$24)*CHOOSE(ArtifactsInput!$N$24+1,10,12,14,16,18,20)+IF(ArtifactsInput!$M$10,CHOOSE(ArtifactsInput!$N$10+1,15,18,21,24,27,30)*(IF(Inputs!$B$38="pvp",MIN(15,15)/15,IF(AND(Inputs!$B$38&lt;&gt;"pvp",Inputs!$B$43&gt;0),MIN(15,Inputs!$B$43)/(Inputs!$B$43),0))),0)))&gt;=100),MIN(100,((Inputs!$B$9+((C2666=TRUE)*(F2666-Calc!F19))+B2678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2685)&lt;=0,1,MAX(0,IF(Inputs!$B$38="pvp",15,Inputs!$B$43)-MAX(5,B2685))/(IF(Inputs!$B$38="pvp",15,Inputs!$B$43)-(B2685))))*IF(AND(ArtifactsInput!$M$42,((Inputs!$B$9+((C2666=TRUE)*(F2666-Calc!F19))+B2678+(ArtifactsInput!$M$24-ArtifactsInput!$M$24)*CHOOSE(ArtifactsInput!$N$24+1,10,12,14,16,18,20)+IF(ArtifactsInput!$M$10,CHOOSE(ArtifactsInput!$N$10+1,15,18,21,24,27,30)*(IF(Inputs!$B$38="pvp",MIN(15,15)/15,IF(AND(Inputs!$B$38&lt;&gt;"pvp",Inputs!$B$43&gt;0),MIN(15,Inputs!$B$43)/(Inputs!$B$43),0))),0)))&gt;=100),CHOOSE(ArtifactsInput!$N$42+1,40,48,56,64,72,80),0))))/100)*((1+(((C2664=TRUE)*F2664*5/7)+((C2671=TRUE)*(F2671-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IF(ArtifactsInput!$M$37,FALSE,TRUE),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2653)</f>
        <v/>
      </c>
      <c r="L2653">
        <f>K2653*(MIN(Inputs!$B$22+((C2669=TRUE)*(F2669-Calc!F22)),(Inputs!$B$23+0+(IF(ArtifactsInput!$M$15,CHOOSE(ArtifactsInput!$N$15+1,25,30,35,40,45,50)/100*(Inputs!$B$11-Inputs!$B$11),0))))/100+(Inputs!$B$23+0+(IF(ArtifactsInput!$M$15,CHOOSE(ArtifactsInput!$N$15+1,25,30,35,40,45,50)/100*(Inputs!$B$11-Inputs!$B$11),0)))/100)/2</f>
        <v/>
      </c>
      <c r="M2653">
        <f>L2653*(1+(Inputs!$B$10+((C2672=TRUE)*(F2672-Calc!F25))+B2683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53">
        <f>L2653*(1-MIN((Inputs!$B$9+((C2666=TRUE)*(F2666-Calc!F19))+B2678+(ArtifactsInput!$M$24-ArtifactsInput!$M$24)*CHOOSE(ArtifactsInput!$N$24+1,10,12,14,16,18,20)+(IF(AND(Inputs!$B$38&lt;&gt;"pvp",Inputs!$B$43=0),1,IF(IF(Inputs!$B$38="pvp",15,Inputs!$B$43)-(B2685)&lt;=0,1,MAX(0,IF(Inputs!$B$38="pvp",15,Inputs!$B$43)-MAX(5,B2685))/(IF(Inputs!$B$38="pvp",15,Inputs!$B$43)-(B2685))))*IF(AND(ArtifactsInput!$M$42,((Inputs!$B$9+((C2666=TRUE)*(F2666-Calc!F19))+B2678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2653*(MIN((Inputs!$B$9+((C2666=TRUE)*(F2666-Calc!F19))+B2678+(ArtifactsInput!$M$24-ArtifactsInput!$M$24)*CHOOSE(ArtifactsInput!$N$24+1,10,12,14,16,18,20)+(IF(AND(Inputs!$B$38&lt;&gt;"pvp",Inputs!$B$43=0),1,IF(IF(Inputs!$B$38="pvp",15,Inputs!$B$43)-(B2685)&lt;=0,1,MAX(0,IF(Inputs!$B$38="pvp",15,Inputs!$B$43)-MAX(5,B2685))/(IF(Inputs!$B$38="pvp",15,Inputs!$B$43)-(B2685))))*IF(AND(ArtifactsInput!$M$42,((Inputs!$B$9+((C2666=TRUE)*(F2666-Calc!F19))+B2678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53">
        <f>(1-Summary!$B$11)*T2653+Summary!$B$11*V2653</f>
        <v/>
      </c>
      <c r="P2653">
        <f>IF(B2688=0,0,O2653/B2688)</f>
        <v/>
      </c>
      <c r="Q2653">
        <f>IFERROR(1/(IF(Inputs!$B$38="pvp",15,MAX(0.1,Skills!D6-IF(TRUE=TRUE,Inputs!$B$32,0)))*(1-IF(AND(ArtifactsInput!$M$27,Inputs!$B$4="Chapter Hunt"),CHOOSE(ArtifactsInput!$N$27+1,20,24,28,32,36,40),0)/100)),0)</f>
        <v/>
      </c>
      <c r="R2653">
        <f>IF(AND(Inputs!$B$38&lt;&gt;"pvp",Inputs!$B$43&gt;0),IF(MAX(0,Inputs!$B$43-B2685)&lt;=0,0,(INT(MAX(0,Inputs!$B$43-B2685)/(IF(Inputs!$B$38="pvp",15,MAX(0.1,Skills!D6-IF(TRUE=TRUE,Inputs!$B$32,0)))*(1-IF(AND(ArtifactsInput!$M$27,Inputs!$B$4="Chapter Hunt"),CHOOSE(ArtifactsInput!$N$27+1,20,24,28,32,36,40),0)/100)))+1)),0)</f>
        <v/>
      </c>
      <c r="S2653">
        <f>IFERROR(O2653/N2653,0)</f>
        <v/>
      </c>
      <c r="T2653">
        <f>IF(C2653,(H2653*N2653*IF(AND(Inputs!$B$38&lt;&gt;"pvp",Inputs!$B$43&gt;0),((Skills!G6*((R2653-1)*IF(Skills!H6&gt;0,INT(Skills!I6/Skills!H6+0.000000001),1)+IF(Skills!H6&gt;0,INT(MIN(Skills!I6,MAX(0,MAX(0,Inputs!$B$43-B2685)-((R2653-1)*(IF(Inputs!$B$38="pvp",15,MAX(0.1,Skills!D6-IF(TRUE=TRUE,Inputs!$B$32,0)))*(1-IF(AND(ArtifactsInput!$M$27,Inputs!$B$4="Chapter Hunt"),CHOOSE(ArtifactsInput!$N$27+1,20,24,28,32,36,40),0)/100)))))/Skills!H6+0.000000001),1)))/Inputs!$B$43),G2653*Q2653))*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Hunt"),CHOOSE(ArtifactsInput!$N$35+1,15,18,21,24,27,30)*(1-EXP(-(0.2*B2680)*5)),0)+IF(AND(ArtifactsInput!$M$22,Inputs!$B$4&lt;&gt;"Chapter Hunt"),CHOOSE(ArtifactsInput!$N$22+1,10,12,14,16,18,20)*((0*(((0.15*B2680*5))^0/1)+1*(((0.15*B2680*5))^1/1)+2*(((0.15*B2680*5))^2/2)+3*(((0.15*B2680*5))^3/6)+4*(((0.15*B2680*5))^4/24)+5*(((0.15*B2680*5))^5/120))/((((0.15*B2680*5))^0/1)+(((0.15*B2680*5))^1/1)+(((0.15*B2680*5))^2/2)+(((0.15*B2680*5))^3/6)+(((0.15*B2680*5))^4/24)+(((0.15*B2680*5))^5/120))),0))+IF(Inputs!$B$3&gt;=54,9*(C2650=TRUE)*MIN(1,8*(1+Inputs!$B$34/100)*Q2650)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2653*(1-MIN(100,(Inputs!$B$9+((C2666=TRUE)*(F2666-Calc!F19))+B2678+(ArtifactsInput!$M$24-ArtifactsInput!$M$24)*CHOOSE(ArtifactsInput!$N$24+1,10,12,14,16,18,20)+(IF(AND(Inputs!$B$38&lt;&gt;"pvp",Inputs!$B$43=0),1,IF(IF(Inputs!$B$38="pvp",15,Inputs!$B$43)-(B2685)&lt;=0,1,MAX(0,IF(Inputs!$B$38="pvp",15,Inputs!$B$43)-MAX(5,B2685))/(IF(Inputs!$B$38="pvp",15,Inputs!$B$43)-(B2685))))*IF(AND(ArtifactsInput!$M$42,((Inputs!$B$9+((C2666=TRUE)*(F2666-Calc!F19))+B2678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2653*(MIN(100,(Inputs!$B$9+((C2666=TRUE)*(F2666-Calc!F19))+B2678+(ArtifactsInput!$M$24-ArtifactsInput!$M$24)*CHOOSE(ArtifactsInput!$N$24+1,10,12,14,16,18,20)+(IF(AND(Inputs!$B$38&lt;&gt;"pvp",Inputs!$B$43=0),1,IF(IF(Inputs!$B$38="pvp",15,Inputs!$B$43)-(B2685)&lt;=0,1,MAX(0,IF(Inputs!$B$38="pvp",15,Inputs!$B$43)-MAX(5,B2685))/(IF(Inputs!$B$38="pvp",15,Inputs!$B$43)-(B2685))))*IF(AND(ArtifactsInput!$M$42,((Inputs!$B$9+((C2666=TRUE)*(F2666-Calc!F19))+B2678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2653*(1-MIN(100,(Inputs!$B$9+((C2666=TRUE)*(F2666-Calc!F19))+B2678+(ArtifactsInput!$M$24-ArtifactsInput!$M$24)*CHOOSE(ArtifactsInput!$N$24+1,10,12,14,16,18,20)+(IF(AND(Inputs!$B$38&lt;&gt;"pvp",Inputs!$B$43=0),1,IF(IF(Inputs!$B$38="pvp",15,Inputs!$B$43)-(B2685)&lt;=0,1,MAX(0,IF(Inputs!$B$38="pvp",15,Inputs!$B$43)-MAX(5,B2685))/(IF(Inputs!$B$38="pvp",15,Inputs!$B$43)-(B2685))))*IF(AND(ArtifactsInput!$M$42,((Inputs!$B$9+((C2666=TRUE)*(F2666-Calc!F19))+B2678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2653*(MIN(100,(Inputs!$B$9+((C2666=TRUE)*(F2666-Calc!F19))+B2678+(ArtifactsInput!$M$24-ArtifactsInput!$M$24)*CHOOSE(ArtifactsInput!$N$24+1,10,12,14,16,18,20)+(IF(AND(Inputs!$B$38&lt;&gt;"pvp",Inputs!$B$43=0),1,IF(IF(Inputs!$B$38="pvp",15,Inputs!$B$43)-(B2685)&lt;=0,1,MAX(0,IF(Inputs!$B$38="pvp",15,Inputs!$B$43)-MAX(5,B2685))/(IF(Inputs!$B$38="pvp",15,Inputs!$B$43)-(B2685))))*IF(AND(ArtifactsInput!$M$42,((Inputs!$B$9+((C2666=TRUE)*(F2666-Calc!F19))+B2678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53">
        <f>IF(C2653,(H2653*N2653*IF(AND(Inputs!$B$38&lt;&gt;"pvp",Inputs!$B$43&gt;0),((Skills!G6*((R2653-1)*IF(Skills!H6&gt;0,INT(Skills!I6/Skills!H6+0.000000001),1)+IF(Skills!H6&gt;0,INT(MIN(Skills!I6,MAX(0,MAX(0,Inputs!$B$43-B2685)-((R2653-1)*(IF(Inputs!$B$38="pvp",15,MAX(0.1,Skills!D6-IF(TRUE=TRUE,Inputs!$B$32,0)))*(1-IF(AND(ArtifactsInput!$M$27,Inputs!$B$4="Chapter Hunt"),CHOOSE(ArtifactsInput!$N$27+1,20,24,28,32,36,40),0)/100)))))/Skills!H6+0.000000001),1)))/Inputs!$B$43),G2653*Q2653))*IF(Inputs!$B$38="pvp",1,(1+(Inputs!$B$21+Skills!Q6+(IF(ArtifactsInput!$M$33,CHOOSE(ArtifactsInput!$N$33+1,30,36,42,48,54,60),0))+(IF(AND(ArtifactsInput!$M$35,Inputs!$B$4&lt;&gt;"Chapter Hunt"),CHOOSE(ArtifactsInput!$N$35+1,15,18,21,24,27,30)*(1-EXP(-(0.2*B2680)*5)),0)+IF(AND(ArtifactsInput!$M$22,Inputs!$B$4&lt;&gt;"Chapter Hunt"),CHOOSE(ArtifactsInput!$N$22+1,10,12,14,16,18,20)*((0*(((0.15*B2680*5))^0/1)+1*(((0.15*B2680*5))^1/1)+2*(((0.15*B2680*5))^2/2)+3*(((0.15*B2680*5))^3/6)+4*(((0.15*B2680*5))^4/24)+5*(((0.15*B2680*5))^5/120))/((((0.15*B2680*5))^0/1)+(((0.15*B2680*5))^1/1)+(((0.15*B2680*5))^2/2)+(((0.15*B2680*5))^3/6)+(((0.15*B2680*5))^4/24)+(((0.15*B2680*5))^5/120))),0))+IF(Inputs!$B$3&gt;=54,9*(C2650=TRUE)*MIN(1,8*(1+Inputs!$B$34/100)*Q2650)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54">
      <c r="A2654">
        <f>Skills!A7</f>
        <v/>
      </c>
      <c r="B2654">
        <f>Skills!B7</f>
        <v/>
      </c>
      <c r="C2654">
        <f>Inputs!$B$3&gt;=63</f>
        <v/>
      </c>
      <c r="D2654">
        <f>IF(Skills!C7=1,60+Inputs!$B$25+Inputs!$B$29,IF(Skills!C7=2,90+Inputs!$B$26+Inputs!$B$29,IF(Skills!C7=3,120+Inputs!$B$27+Inputs!$B$29,MAX(0,(Inputs!$B$3-100)*3)+Inputs!$B$28+Inputs!$B$29)))</f>
        <v/>
      </c>
      <c r="E2654">
        <f>INDEX(FactorTable!$B$2:$Y$301, MATCH(ROUND(MIN(300,MAX(1,D2654)),0), FactorTable!$A$2:$A$301,0), Skills!M7+1)</f>
        <v/>
      </c>
      <c r="F2654">
        <f>IF(Skills!N7=TRUE,(Skills!L7/10)*(E2654/1000),Skills!L7/10)+Skills!O7</f>
        <v/>
      </c>
      <c r="G2654">
        <f>Skills!G7*IF(Skills!H7&gt;0,INT(IF(Inputs!$B$38="pvp",MIN(Skills!I7,15),Skills!I7)/Skills!H7+0.000000001),1)</f>
        <v/>
      </c>
      <c r="H2654">
        <f>1-(1-Skills!J7/100)^Skills!K7</f>
        <v/>
      </c>
      <c r="I2654" t="inlineStr">
        <is>
          <t>1</t>
        </is>
      </c>
      <c r="J2654">
        <f>((Inputs!$B$6*(1+Inputs!$B$7/100))+(((Inputs!$B$12*(1+Inputs!$B$13/100))-(Inputs!$B$12*(1+Inputs!$B$13/100)))+0.25*(Inputs!$B$14-Inputs!$B$14))*(1+Inputs!$B$7/100))*(F2654/100)</f>
        <v/>
      </c>
      <c r="K2654">
        <f>J2654*(1+((Inputs!$B$12*(1+Inputs!$B$13/100))*0.01+Inputs!$B$14*0.0025)/100)*(1+Inputs!$B$15/100)*(1+Inputs!$B$16/100)*(5000/(6000+Inputs!$B$42*(1-(100*(1-(1-(Inputs!$B$19+0)/100)*(1-CHOOSE(ArtifactsInput!$N$40+1,5,6,7,8,9,10)/100)^(ArtifactsInput!$M$40-ArtifactsInput!$M$40)))/100)))*(1+(Inputs!$B$24+((C2673=TRUE)*(F2673-Calc!F26))+B2684)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2662=TRUE,F2662,0)/100)*(1+(IF(Skills!A7="EIGHT_LEGS_EASTON",Inputs!$B$17+((C2670=TRUE)*(F2670-Calc!F23))+((C2674=TRUE)*(F2674-Calc!F27))+((IF(AND(Inputs!$B$38&lt;&gt;"pvp",Inputs!$B$43=0),1,IF(IF(Inputs!$B$38="pvp",15,Inputs!$B$43)-(B2685)&lt;=0,1,MAX(0,IF(Inputs!$B$38="pvp",15,Inputs!$B$43)-MAX(5,B2685))/(IF(Inputs!$B$38="pvp",15,Inputs!$B$43)-(B2685))))*(IF(AND(ArtifactsInput!$M$42,((Inputs!$B$9+((C2666=TRUE)*(F2666-Calc!F19))+B2678+(ArtifactsInput!$M$24-ArtifactsInput!$M$24)*CHOOSE(ArtifactsInput!$N$24+1,10,12,14,16,18,20)+IF(ArtifactsInput!$M$10,CHOOSE(ArtifactsInput!$N$10+1,15,18,21,24,27,30)*(IF(Inputs!$B$38="pvp",MIN(15,15)/15,IF(AND(Inputs!$B$38&lt;&gt;"pvp",Inputs!$B$43&gt;0),MIN(15,Inputs!$B$43)/(Inputs!$B$43),0))),0)))&gt;=100),MIN(100,((Inputs!$B$9+((C2666=TRUE)*(F2666-Calc!F19))+B2678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2685)&lt;=0,1,MAX(0,IF(Inputs!$B$38="pvp",15,Inputs!$B$43)-MAX(5,B2685))/(IF(Inputs!$B$38="pvp",15,Inputs!$B$43)-(B2685))))*IF(AND(ArtifactsInput!$M$42,((Inputs!$B$9+((C2666=TRUE)*(F2666-Calc!F19))+B2678+(ArtifactsInput!$M$24-ArtifactsInput!$M$24)*CHOOSE(ArtifactsInput!$N$24+1,10,12,14,16,18,20)+IF(ArtifactsInput!$M$10,CHOOSE(ArtifactsInput!$N$10+1,15,18,21,24,27,30)*(IF(Inputs!$B$38="pvp",MIN(15,15)/15,IF(AND(Inputs!$B$38&lt;&gt;"pvp",Inputs!$B$43&gt;0),MIN(15,Inputs!$B$43)/(Inputs!$B$43),0))),0)))&gt;=100),CHOOSE(ArtifactsInput!$N$42+1,40,48,56,64,72,80),0))))/100)*((1+(((C2664=TRUE)*F2664*5/7)+((C2671=TRUE)*(F2671-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IF(ArtifactsInput!$M$37,FALSE,TRUE),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2654)</f>
        <v/>
      </c>
      <c r="L2654">
        <f>K2654*(MIN(Inputs!$B$22+((C2669=TRUE)*(F2669-Calc!F22)),(Inputs!$B$23+0+(IF(ArtifactsInput!$M$15,CHOOSE(ArtifactsInput!$N$15+1,25,30,35,40,45,50)/100*(Inputs!$B$11-Inputs!$B$11),0))))/100+(Inputs!$B$23+0+(IF(ArtifactsInput!$M$15,CHOOSE(ArtifactsInput!$N$15+1,25,30,35,40,45,50)/100*(Inputs!$B$11-Inputs!$B$11),0)))/100)/2</f>
        <v/>
      </c>
      <c r="M2654">
        <f>L2654*(1+(Inputs!$B$10+((C2672=TRUE)*(F2672-Calc!F25))+B2683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54">
        <f>L2654*(1-MIN((Inputs!$B$9+((C2666=TRUE)*(F2666-Calc!F19))+B2678+(ArtifactsInput!$M$24-ArtifactsInput!$M$24)*CHOOSE(ArtifactsInput!$N$24+1,10,12,14,16,18,20)+(IF(AND(Inputs!$B$38&lt;&gt;"pvp",Inputs!$B$43=0),1,IF(IF(Inputs!$B$38="pvp",15,Inputs!$B$43)-(B2685)&lt;=0,1,MAX(0,IF(Inputs!$B$38="pvp",15,Inputs!$B$43)-MAX(5,B2685))/(IF(Inputs!$B$38="pvp",15,Inputs!$B$43)-(B2685))))*IF(AND(ArtifactsInput!$M$42,((Inputs!$B$9+((C2666=TRUE)*(F2666-Calc!F19))+B2678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2654*(MIN((Inputs!$B$9+((C2666=TRUE)*(F2666-Calc!F19))+B2678+(ArtifactsInput!$M$24-ArtifactsInput!$M$24)*CHOOSE(ArtifactsInput!$N$24+1,10,12,14,16,18,20)+(IF(AND(Inputs!$B$38&lt;&gt;"pvp",Inputs!$B$43=0),1,IF(IF(Inputs!$B$38="pvp",15,Inputs!$B$43)-(B2685)&lt;=0,1,MAX(0,IF(Inputs!$B$38="pvp",15,Inputs!$B$43)-MAX(5,B2685))/(IF(Inputs!$B$38="pvp",15,Inputs!$B$43)-(B2685))))*IF(AND(ArtifactsInput!$M$42,((Inputs!$B$9+((C2666=TRUE)*(F2666-Calc!F19))+B2678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54">
        <f>(1-Summary!$B$11)*T2654+Summary!$B$11*V2654</f>
        <v/>
      </c>
      <c r="P2654">
        <f>IF(B2688=0,0,O2654/B2688)</f>
        <v/>
      </c>
      <c r="Q2654">
        <f>IFERROR(1/(IF(Inputs!$B$38="pvp",15,MAX(0.1,Skills!D7-IF(TRUE=TRUE,Inputs!$B$32,0)))*(1-IF(AND(ArtifactsInput!$M$27,Inputs!$B$4="Chapter Hunt"),CHOOSE(ArtifactsInput!$N$27+1,20,24,28,32,36,40),0)/100)),0)</f>
        <v/>
      </c>
      <c r="R2654">
        <f>IF(AND(Inputs!$B$38&lt;&gt;"pvp",Inputs!$B$43&gt;0),IF(MAX(0,Inputs!$B$43-B2685)&lt;=0,0,(INT(MAX(0,Inputs!$B$43-B2685)/(IF(Inputs!$B$38="pvp",15,MAX(0.1,Skills!D7-IF(TRUE=TRUE,Inputs!$B$32,0)))*(1-IF(AND(ArtifactsInput!$M$27,Inputs!$B$4="Chapter Hunt"),CHOOSE(ArtifactsInput!$N$27+1,20,24,28,32,36,40),0)/100)))+1)),0)</f>
        <v/>
      </c>
      <c r="S2654">
        <f>IFERROR(O2654/N2654,0)</f>
        <v/>
      </c>
      <c r="T2654">
        <f>IF(C2654,(H2654*N2654*IF(AND(Inputs!$B$38&lt;&gt;"pvp",Inputs!$B$43&gt;0),((Skills!G7*((R2654-1)*IF(Skills!H7&gt;0,INT(Skills!I7/Skills!H7+0.000000001),1)+IF(Skills!H7&gt;0,INT(MIN(Skills!I7,MAX(0,MAX(0,Inputs!$B$43-B2685)-((R2654-1)*(IF(Inputs!$B$38="pvp",15,MAX(0.1,Skills!D7-IF(TRUE=TRUE,Inputs!$B$32,0)))*(1-IF(AND(ArtifactsInput!$M$27,Inputs!$B$4="Chapter Hunt"),CHOOSE(ArtifactsInput!$N$27+1,20,24,28,32,36,40),0)/100)))))/Skills!H7+0.000000001),1)))/Inputs!$B$43),G2654*Q2654))*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Hunt"),CHOOSE(ArtifactsInput!$N$35+1,15,18,21,24,27,30)*(1-EXP(-(0.2*B2680)*5)),0)+IF(AND(ArtifactsInput!$M$22,Inputs!$B$4&lt;&gt;"Chapter Hunt"),CHOOSE(ArtifactsInput!$N$22+1,10,12,14,16,18,20)*((0*(((0.15*B2680*5))^0/1)+1*(((0.15*B2680*5))^1/1)+2*(((0.15*B2680*5))^2/2)+3*(((0.15*B2680*5))^3/6)+4*(((0.15*B2680*5))^4/24)+5*(((0.15*B2680*5))^5/120))/((((0.15*B2680*5))^0/1)+(((0.15*B2680*5))^1/1)+(((0.15*B2680*5))^2/2)+(((0.15*B2680*5))^3/6)+(((0.15*B2680*5))^4/24)+(((0.15*B2680*5))^5/120))),0))+IF(Inputs!$B$3&gt;=54,9*(C2650=TRUE)*MIN(1,8*(1+Inputs!$B$34/100)*Q2650)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2654*(1-MIN(100,(Inputs!$B$9+((C2666=TRUE)*(F2666-Calc!F19))+B2678+(ArtifactsInput!$M$24-ArtifactsInput!$M$24)*CHOOSE(ArtifactsInput!$N$24+1,10,12,14,16,18,20)+(IF(AND(Inputs!$B$38&lt;&gt;"pvp",Inputs!$B$43=0),1,IF(IF(Inputs!$B$38="pvp",15,Inputs!$B$43)-(B2685)&lt;=0,1,MAX(0,IF(Inputs!$B$38="pvp",15,Inputs!$B$43)-MAX(5,B2685))/(IF(Inputs!$B$38="pvp",15,Inputs!$B$43)-(B2685))))*IF(AND(ArtifactsInput!$M$42,((Inputs!$B$9+((C2666=TRUE)*(F2666-Calc!F19))+B2678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2654*(MIN(100,(Inputs!$B$9+((C2666=TRUE)*(F2666-Calc!F19))+B2678+(ArtifactsInput!$M$24-ArtifactsInput!$M$24)*CHOOSE(ArtifactsInput!$N$24+1,10,12,14,16,18,20)+(IF(AND(Inputs!$B$38&lt;&gt;"pvp",Inputs!$B$43=0),1,IF(IF(Inputs!$B$38="pvp",15,Inputs!$B$43)-(B2685)&lt;=0,1,MAX(0,IF(Inputs!$B$38="pvp",15,Inputs!$B$43)-MAX(5,B2685))/(IF(Inputs!$B$38="pvp",15,Inputs!$B$43)-(B2685))))*IF(AND(ArtifactsInput!$M$42,((Inputs!$B$9+((C2666=TRUE)*(F2666-Calc!F19))+B2678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2654*(1-MIN(100,(Inputs!$B$9+((C2666=TRUE)*(F2666-Calc!F19))+B2678+(ArtifactsInput!$M$24-ArtifactsInput!$M$24)*CHOOSE(ArtifactsInput!$N$24+1,10,12,14,16,18,20)+(IF(AND(Inputs!$B$38&lt;&gt;"pvp",Inputs!$B$43=0),1,IF(IF(Inputs!$B$38="pvp",15,Inputs!$B$43)-(B2685)&lt;=0,1,MAX(0,IF(Inputs!$B$38="pvp",15,Inputs!$B$43)-MAX(5,B2685))/(IF(Inputs!$B$38="pvp",15,Inputs!$B$43)-(B2685))))*IF(AND(ArtifactsInput!$M$42,((Inputs!$B$9+((C2666=TRUE)*(F2666-Calc!F19))+B2678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2654*(MIN(100,(Inputs!$B$9+((C2666=TRUE)*(F2666-Calc!F19))+B2678+(ArtifactsInput!$M$24-ArtifactsInput!$M$24)*CHOOSE(ArtifactsInput!$N$24+1,10,12,14,16,18,20)+(IF(AND(Inputs!$B$38&lt;&gt;"pvp",Inputs!$B$43=0),1,IF(IF(Inputs!$B$38="pvp",15,Inputs!$B$43)-(B2685)&lt;=0,1,MAX(0,IF(Inputs!$B$38="pvp",15,Inputs!$B$43)-MAX(5,B2685))/(IF(Inputs!$B$38="pvp",15,Inputs!$B$43)-(B2685))))*IF(AND(ArtifactsInput!$M$42,((Inputs!$B$9+((C2666=TRUE)*(F2666-Calc!F19))+B2678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54">
        <f>IF(C2654,(H2654*N2654*IF(AND(Inputs!$B$38&lt;&gt;"pvp",Inputs!$B$43&gt;0),((Skills!G7*((R2654-1)*IF(Skills!H7&gt;0,INT(Skills!I7/Skills!H7+0.000000001),1)+IF(Skills!H7&gt;0,INT(MIN(Skills!I7,MAX(0,MAX(0,Inputs!$B$43-B2685)-((R2654-1)*(IF(Inputs!$B$38="pvp",15,MAX(0.1,Skills!D7-IF(TRUE=TRUE,Inputs!$B$32,0)))*(1-IF(AND(ArtifactsInput!$M$27,Inputs!$B$4="Chapter Hunt"),CHOOSE(ArtifactsInput!$N$27+1,20,24,28,32,36,40),0)/100)))))/Skills!H7+0.000000001),1)))/Inputs!$B$43),G2654*Q2654))*IF(Inputs!$B$38="pvp",1,(1+(Inputs!$B$21+Skills!Q7+(IF(ArtifactsInput!$M$33,CHOOSE(ArtifactsInput!$N$33+1,30,36,42,48,54,60),0))+(IF(AND(ArtifactsInput!$M$35,Inputs!$B$4&lt;&gt;"Chapter Hunt"),CHOOSE(ArtifactsInput!$N$35+1,15,18,21,24,27,30)*(1-EXP(-(0.2*B2680)*5)),0)+IF(AND(ArtifactsInput!$M$22,Inputs!$B$4&lt;&gt;"Chapter Hunt"),CHOOSE(ArtifactsInput!$N$22+1,10,12,14,16,18,20)*((0*(((0.15*B2680*5))^0/1)+1*(((0.15*B2680*5))^1/1)+2*(((0.15*B2680*5))^2/2)+3*(((0.15*B2680*5))^3/6)+4*(((0.15*B2680*5))^4/24)+5*(((0.15*B2680*5))^5/120))/((((0.15*B2680*5))^0/1)+(((0.15*B2680*5))^1/1)+(((0.15*B2680*5))^2/2)+(((0.15*B2680*5))^3/6)+(((0.15*B2680*5))^4/24)+(((0.15*B2680*5))^5/120))),0))+IF(Inputs!$B$3&gt;=54,9*(C2650=TRUE)*MIN(1,8*(1+Inputs!$B$34/100)*Q2650)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55">
      <c r="A2655">
        <f>Skills!A8</f>
        <v/>
      </c>
      <c r="B2655">
        <f>Skills!B8</f>
        <v/>
      </c>
      <c r="C2655">
        <f>Inputs!$B$3&gt;=103</f>
        <v/>
      </c>
      <c r="D2655">
        <f>IF(Skills!C8=1,60+Inputs!$B$25+Inputs!$B$29,IF(Skills!C8=2,90+Inputs!$B$26+Inputs!$B$29,IF(Skills!C8=3,120+Inputs!$B$27+Inputs!$B$29,MAX(0,(Inputs!$B$3-100)*3)+Inputs!$B$28+Inputs!$B$29)))</f>
        <v/>
      </c>
      <c r="E2655">
        <f>INDEX(FactorTable!$B$2:$Y$301, MATCH(ROUND(MIN(300,MAX(1,D2655)),0), FactorTable!$A$2:$A$301,0), Skills!M8+1)</f>
        <v/>
      </c>
      <c r="F2655">
        <f>IF(Skills!N8=TRUE,(Skills!L8/10)*(E2655/1000),Skills!L8/10)+Skills!O8</f>
        <v/>
      </c>
      <c r="G2655">
        <f>Skills!G8*IF(Skills!H8&gt;0,INT(IF(Inputs!$B$38="pvp",MIN(Skills!I8,15),Skills!I8)/Skills!H8+0.000000001),1)</f>
        <v/>
      </c>
      <c r="H2655">
        <f>1-(1-Skills!J8/100)^Skills!K8</f>
        <v/>
      </c>
      <c r="I2655" t="inlineStr">
        <is>
          <t>1</t>
        </is>
      </c>
      <c r="J2655">
        <f>((Inputs!$B$6*(1+Inputs!$B$7/100))+(((Inputs!$B$12*(1+Inputs!$B$13/100))-(Inputs!$B$12*(1+Inputs!$B$13/100)))+0.25*(Inputs!$B$14-Inputs!$B$14))*(1+Inputs!$B$7/100))*(F2655/100)</f>
        <v/>
      </c>
      <c r="K2655">
        <f>J2655*(1+((Inputs!$B$12*(1+Inputs!$B$13/100))*0.01+Inputs!$B$14*0.0025)/100)*(1+Inputs!$B$15/100)*(1+Inputs!$B$16/100)*(5000/(6000+Inputs!$B$42*(1-(100*(1-(1-(Inputs!$B$19+0)/100)*(1-CHOOSE(ArtifactsInput!$N$40+1,5,6,7,8,9,10)/100)^(ArtifactsInput!$M$40-ArtifactsInput!$M$40)))/100)))*(1+(Inputs!$B$24+((C2673=TRUE)*(F2673-Calc!F26))+B2684)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IGHT_LEGS_EASTON",Inputs!$B$17+((C2670=TRUE)*(F2670-Calc!F23))+((C2674=TRUE)*(F2674-Calc!F27))+((IF(AND(Inputs!$B$38&lt;&gt;"pvp",Inputs!$B$43=0),1,IF(IF(Inputs!$B$38="pvp",15,Inputs!$B$43)-(B2685)&lt;=0,1,MAX(0,IF(Inputs!$B$38="pvp",15,Inputs!$B$43)-MAX(5,B2685))/(IF(Inputs!$B$38="pvp",15,Inputs!$B$43)-(B2685))))*(IF(AND(ArtifactsInput!$M$42,((Inputs!$B$9+((C2666=TRUE)*(F2666-Calc!F19))+B2678+(ArtifactsInput!$M$24-ArtifactsInput!$M$24)*CHOOSE(ArtifactsInput!$N$24+1,10,12,14,16,18,20)+IF(ArtifactsInput!$M$10,CHOOSE(ArtifactsInput!$N$10+1,15,18,21,24,27,30)*(IF(Inputs!$B$38="pvp",MIN(15,15)/15,IF(AND(Inputs!$B$38&lt;&gt;"pvp",Inputs!$B$43&gt;0),MIN(15,Inputs!$B$43)/(Inputs!$B$43),0))),0)))&gt;=100),MIN(100,((Inputs!$B$9+((C2666=TRUE)*(F2666-Calc!F19))+B2678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2685)&lt;=0,1,MAX(0,IF(Inputs!$B$38="pvp",15,Inputs!$B$43)-MAX(5,B2685))/(IF(Inputs!$B$38="pvp",15,Inputs!$B$43)-(B2685))))*IF(AND(ArtifactsInput!$M$42,((Inputs!$B$9+((C2666=TRUE)*(F2666-Calc!F19))+B2678+(ArtifactsInput!$M$24-ArtifactsInput!$M$24)*CHOOSE(ArtifactsInput!$N$24+1,10,12,14,16,18,20)+IF(ArtifactsInput!$M$10,CHOOSE(ArtifactsInput!$N$10+1,15,18,21,24,27,30)*(IF(Inputs!$B$38="pvp",MIN(15,15)/15,IF(AND(Inputs!$B$38&lt;&gt;"pvp",Inputs!$B$43&gt;0),MIN(15,Inputs!$B$43)/(Inputs!$B$43),0))),0)))&gt;=100),CHOOSE(ArtifactsInput!$N$42+1,40,48,56,64,72,80),0))))/100)*((1+(((C2664=TRUE)*F2664*5/7)+((C2671=TRUE)*(F2671-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IF(ArtifactsInput!$M$37,FALSE,TRUE),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2655)</f>
        <v/>
      </c>
      <c r="L2655">
        <f>K2655*(MIN(Inputs!$B$22+((C2669=TRUE)*(F2669-Calc!F22)),(Inputs!$B$23+0+(IF(ArtifactsInput!$M$15,CHOOSE(ArtifactsInput!$N$15+1,25,30,35,40,45,50)/100*(Inputs!$B$11-Inputs!$B$11),0))))/100+(Inputs!$B$23+0+(IF(ArtifactsInput!$M$15,CHOOSE(ArtifactsInput!$N$15+1,25,30,35,40,45,50)/100*(Inputs!$B$11-Inputs!$B$11),0)))/100)/2</f>
        <v/>
      </c>
      <c r="M2655">
        <f>L2655*(1+(Inputs!$B$10+((C2672=TRUE)*(F2672-Calc!F25))+B2683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55">
        <f>L2655*(1-MIN((Inputs!$B$9+((C2666=TRUE)*(F2666-Calc!F19))+B2678+(ArtifactsInput!$M$24-ArtifactsInput!$M$24)*CHOOSE(ArtifactsInput!$N$24+1,10,12,14,16,18,20)+(IF(AND(Inputs!$B$38&lt;&gt;"pvp",Inputs!$B$43=0),1,IF(IF(Inputs!$B$38="pvp",15,Inputs!$B$43)-(B2685)&lt;=0,1,MAX(0,IF(Inputs!$B$38="pvp",15,Inputs!$B$43)-MAX(5,B2685))/(IF(Inputs!$B$38="pvp",15,Inputs!$B$43)-(B2685))))*IF(AND(ArtifactsInput!$M$42,((Inputs!$B$9+((C2666=TRUE)*(F2666-Calc!F19))+B2678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2655*(MIN((Inputs!$B$9+((C2666=TRUE)*(F2666-Calc!F19))+B2678+(ArtifactsInput!$M$24-ArtifactsInput!$M$24)*CHOOSE(ArtifactsInput!$N$24+1,10,12,14,16,18,20)+(IF(AND(Inputs!$B$38&lt;&gt;"pvp",Inputs!$B$43=0),1,IF(IF(Inputs!$B$38="pvp",15,Inputs!$B$43)-(B2685)&lt;=0,1,MAX(0,IF(Inputs!$B$38="pvp",15,Inputs!$B$43)-MAX(5,B2685))/(IF(Inputs!$B$38="pvp",15,Inputs!$B$43)-(B2685))))*IF(AND(ArtifactsInput!$M$42,((Inputs!$B$9+((C2666=TRUE)*(F2666-Calc!F19))+B2678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55">
        <f>(1-Summary!$B$11)*T2655+Summary!$B$11*V2655</f>
        <v/>
      </c>
      <c r="P2655">
        <f>IF(B2688=0,0,O2655/B2688)</f>
        <v/>
      </c>
      <c r="Q2655">
        <f>IFERROR(1/((IF(Inputs!$B$38="pvp",15,MAX(0.1,Skills!D8-IF(TRUE=TRUE,Inputs!$B$32,0)))*(1-IF(AND(ArtifactsInput!$M$27,Inputs!$B$4="Chapter Hunt"),CHOOSE(ArtifactsInput!$N$27+1,20,24,28,32,36,40),0)/100))/B2689),0)</f>
        <v/>
      </c>
      <c r="R2655">
        <f>IF(AND(Inputs!$B$38&lt;&gt;"pvp",Inputs!$B$43&gt;0),IF(MAX(0,Inputs!$B$43-B2685)&lt;=0,0,(INT(MAX(0,Inputs!$B$43-B2685)/((IF(Inputs!$B$38="pvp",15,MAX(0.1,Skills!D8-IF(TRUE=TRUE,Inputs!$B$32,0)))*(1-IF(AND(ArtifactsInput!$M$27,Inputs!$B$4="Chapter Hunt"),CHOOSE(ArtifactsInput!$N$27+1,20,24,28,32,36,40),0)/100))/B2689))+1)),0)</f>
        <v/>
      </c>
      <c r="S2655">
        <f>IFERROR(O2655/N2655,0)</f>
        <v/>
      </c>
      <c r="T2655">
        <f>IF(C2655,(H2655*N2655*IF(AND(Inputs!$B$38&lt;&gt;"pvp",Inputs!$B$43&gt;0),((Skills!G8*((R2655-1)*IF(Skills!H8&gt;0,INT(Skills!I8/Skills!H8+0.000000001),1)+IF(Skills!H8&gt;0,INT(MIN(Skills!I8,MAX(0,MAX(0,Inputs!$B$43-B2685)-((R2655-1)*((IF(Inputs!$B$38="pvp",15,MAX(0.1,Skills!D8-IF(TRUE=TRUE,Inputs!$B$32,0)))*(1-IF(AND(ArtifactsInput!$M$27,Inputs!$B$4="Chapter Hunt"),CHOOSE(ArtifactsInput!$N$27+1,20,24,28,32,36,40),0)/100))/B2689))))/Skills!H8+0.000000001),1)))/Inputs!$B$43),G2655*Q2655))*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Hunt"),CHOOSE(ArtifactsInput!$N$35+1,15,18,21,24,27,30)*(1-EXP(-(0.2*B2680)*5)),0)+IF(AND(ArtifactsInput!$M$22,Inputs!$B$4&lt;&gt;"Chapter Hunt"),CHOOSE(ArtifactsInput!$N$22+1,10,12,14,16,18,20)*((0*(((0.15*B2680*5))^0/1)+1*(((0.15*B2680*5))^1/1)+2*(((0.15*B2680*5))^2/2)+3*(((0.15*B2680*5))^3/6)+4*(((0.15*B2680*5))^4/24)+5*(((0.15*B2680*5))^5/120))/((((0.15*B2680*5))^0/1)+(((0.15*B2680*5))^1/1)+(((0.15*B2680*5))^2/2)+(((0.15*B2680*5))^3/6)+(((0.15*B2680*5))^4/24)+(((0.15*B2680*5))^5/120))),0))+IF(Inputs!$B$3&gt;=54,9*(C2650=TRUE)*MIN(1,8*(1+Inputs!$B$34/100)*Q2650)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2655*(1-MIN(100,(Inputs!$B$9+((C2666=TRUE)*(F2666-Calc!F19))+B2678+(ArtifactsInput!$M$24-ArtifactsInput!$M$24)*CHOOSE(ArtifactsInput!$N$24+1,10,12,14,16,18,20)+(IF(AND(Inputs!$B$38&lt;&gt;"pvp",Inputs!$B$43=0),1,IF(IF(Inputs!$B$38="pvp",15,Inputs!$B$43)-(B2685)&lt;=0,1,MAX(0,IF(Inputs!$B$38="pvp",15,Inputs!$B$43)-MAX(5,B2685))/(IF(Inputs!$B$38="pvp",15,Inputs!$B$43)-(B2685))))*IF(AND(ArtifactsInput!$M$42,((Inputs!$B$9+((C2666=TRUE)*(F2666-Calc!F19))+B2678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2655*(MIN(100,(Inputs!$B$9+((C2666=TRUE)*(F2666-Calc!F19))+B2678+(ArtifactsInput!$M$24-ArtifactsInput!$M$24)*CHOOSE(ArtifactsInput!$N$24+1,10,12,14,16,18,20)+(IF(AND(Inputs!$B$38&lt;&gt;"pvp",Inputs!$B$43=0),1,IF(IF(Inputs!$B$38="pvp",15,Inputs!$B$43)-(B2685)&lt;=0,1,MAX(0,IF(Inputs!$B$38="pvp",15,Inputs!$B$43)-MAX(5,B2685))/(IF(Inputs!$B$38="pvp",15,Inputs!$B$43)-(B2685))))*IF(AND(ArtifactsInput!$M$42,((Inputs!$B$9+((C2666=TRUE)*(F2666-Calc!F19))+B2678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2655*(1-MIN(100,(Inputs!$B$9+((C2666=TRUE)*(F2666-Calc!F19))+B2678+(ArtifactsInput!$M$24-ArtifactsInput!$M$24)*CHOOSE(ArtifactsInput!$N$24+1,10,12,14,16,18,20)+(IF(AND(Inputs!$B$38&lt;&gt;"pvp",Inputs!$B$43=0),1,IF(IF(Inputs!$B$38="pvp",15,Inputs!$B$43)-(B2685)&lt;=0,1,MAX(0,IF(Inputs!$B$38="pvp",15,Inputs!$B$43)-MAX(5,B2685))/(IF(Inputs!$B$38="pvp",15,Inputs!$B$43)-(B2685))))*IF(AND(ArtifactsInput!$M$42,((Inputs!$B$9+((C2666=TRUE)*(F2666-Calc!F19))+B2678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2655*(MIN(100,(Inputs!$B$9+((C2666=TRUE)*(F2666-Calc!F19))+B2678+(ArtifactsInput!$M$24-ArtifactsInput!$M$24)*CHOOSE(ArtifactsInput!$N$24+1,10,12,14,16,18,20)+(IF(AND(Inputs!$B$38&lt;&gt;"pvp",Inputs!$B$43=0),1,IF(IF(Inputs!$B$38="pvp",15,Inputs!$B$43)-(B2685)&lt;=0,1,MAX(0,IF(Inputs!$B$38="pvp",15,Inputs!$B$43)-MAX(5,B2685))/(IF(Inputs!$B$38="pvp",15,Inputs!$B$43)-(B2685))))*IF(AND(ArtifactsInput!$M$42,((Inputs!$B$9+((C2666=TRUE)*(F2666-Calc!F19))+B2678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55">
        <f>IF(C2655,(H2655*N2655*IF(AND(Inputs!$B$38&lt;&gt;"pvp",Inputs!$B$43&gt;0),((Skills!G8*((R2655-1)*IF(Skills!H8&gt;0,INT(Skills!I8/Skills!H8+0.000000001),1)+IF(Skills!H8&gt;0,INT(MIN(Skills!I8,MAX(0,MAX(0,Inputs!$B$43-B2685)-((R2655-1)*((IF(Inputs!$B$38="pvp",15,MAX(0.1,Skills!D8-IF(TRUE=TRUE,Inputs!$B$32,0)))*(1-IF(AND(ArtifactsInput!$M$27,Inputs!$B$4="Chapter Hunt"),CHOOSE(ArtifactsInput!$N$27+1,20,24,28,32,36,40),0)/100))/B2689))))/Skills!H8+0.000000001),1)))/Inputs!$B$43),G2655*Q2655))*IF(Inputs!$B$38="pvp",1,(1+(Inputs!$B$21+Skills!Q8+(IF(ArtifactsInput!$M$33,CHOOSE(ArtifactsInput!$N$33+1,30,36,42,48,54,60),0))+(IF(AND(ArtifactsInput!$M$35,Inputs!$B$4&lt;&gt;"Chapter Hunt"),CHOOSE(ArtifactsInput!$N$35+1,15,18,21,24,27,30)*(1-EXP(-(0.2*B2680)*5)),0)+IF(AND(ArtifactsInput!$M$22,Inputs!$B$4&lt;&gt;"Chapter Hunt"),CHOOSE(ArtifactsInput!$N$22+1,10,12,14,16,18,20)*((0*(((0.15*B2680*5))^0/1)+1*(((0.15*B2680*5))^1/1)+2*(((0.15*B2680*5))^2/2)+3*(((0.15*B2680*5))^3/6)+4*(((0.15*B2680*5))^4/24)+5*(((0.15*B2680*5))^5/120))/((((0.15*B2680*5))^0/1)+(((0.15*B2680*5))^1/1)+(((0.15*B2680*5))^2/2)+(((0.15*B2680*5))^3/6)+(((0.15*B2680*5))^4/24)+(((0.15*B2680*5))^5/120))),0))+IF(Inputs!$B$3&gt;=54,9*(C2650=TRUE)*MIN(1,8*(1+Inputs!$B$34/100)*Q2650)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56">
      <c r="A2656">
        <f>Skills!A9</f>
        <v/>
      </c>
      <c r="B2656">
        <f>Skills!B9</f>
        <v/>
      </c>
      <c r="C2656">
        <f>Inputs!$B$3&gt;=105</f>
        <v/>
      </c>
      <c r="D2656">
        <f>IF(Skills!C9=1,60+Inputs!$B$25+Inputs!$B$29,IF(Skills!C9=2,90+Inputs!$B$26+Inputs!$B$29,IF(Skills!C9=3,120+Inputs!$B$27+Inputs!$B$29,MAX(0,(Inputs!$B$3-100)*3)+Inputs!$B$28+Inputs!$B$29)))</f>
        <v/>
      </c>
      <c r="E2656">
        <f>INDEX(FactorTable!$B$2:$Y$301, MATCH(ROUND(MIN(300,MAX(1,D2656)),0), FactorTable!$A$2:$A$301,0), Skills!M9+1)</f>
        <v/>
      </c>
      <c r="F2656">
        <f>IF(Skills!N9=TRUE,(Skills!L9/10)*(E2656/1000),Skills!L9/10)+Skills!O9</f>
        <v/>
      </c>
      <c r="G2656">
        <f>Skills!G9*IF(Skills!H9&gt;0,INT(IF(Inputs!$B$38="pvp",MIN(Skills!I9,15),Skills!I9)/Skills!H9+0.000000001),1)</f>
        <v/>
      </c>
      <c r="H2656">
        <f>1-(1-Skills!J9/100)^Skills!K9</f>
        <v/>
      </c>
      <c r="I2656" t="inlineStr">
        <is>
          <t>1</t>
        </is>
      </c>
      <c r="J2656">
        <f>((Inputs!$B$6*(1+Inputs!$B$7/100))+(((Inputs!$B$12*(1+Inputs!$B$13/100))-(Inputs!$B$12*(1+Inputs!$B$13/100)))+0.25*(Inputs!$B$14-Inputs!$B$14))*(1+Inputs!$B$7/100))*(F2656/100)</f>
        <v/>
      </c>
      <c r="K2656">
        <f>J2656*(1+((Inputs!$B$12*(1+Inputs!$B$13/100))*0.01+Inputs!$B$14*0.0025)/100)*(1+Inputs!$B$15/100)*(1+Inputs!$B$16/100)*(5000/(6000+Inputs!$B$42*(1-(100*(1-(1-(Inputs!$B$19+0)/100)*(1-CHOOSE(ArtifactsInput!$N$40+1,5,6,7,8,9,10)/100)^(ArtifactsInput!$M$40-ArtifactsInput!$M$40)))/100)))*(1+(Inputs!$B$24+((C2673=TRUE)*(F2673-Calc!F26))+B2684)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IGHT_LEGS_EASTON",Inputs!$B$17+((C2670=TRUE)*(F2670-Calc!F23))+((C2674=TRUE)*(F2674-Calc!F27))+((IF(AND(Inputs!$B$38&lt;&gt;"pvp",Inputs!$B$43=0),1,IF(IF(Inputs!$B$38="pvp",15,Inputs!$B$43)-(B2685)&lt;=0,1,MAX(0,IF(Inputs!$B$38="pvp",15,Inputs!$B$43)-MAX(5,B2685))/(IF(Inputs!$B$38="pvp",15,Inputs!$B$43)-(B2685))))*(IF(AND(ArtifactsInput!$M$42,((Inputs!$B$9+((C2666=TRUE)*(F2666-Calc!F19))+B2678+(ArtifactsInput!$M$24-ArtifactsInput!$M$24)*CHOOSE(ArtifactsInput!$N$24+1,10,12,14,16,18,20)+IF(ArtifactsInput!$M$10,CHOOSE(ArtifactsInput!$N$10+1,15,18,21,24,27,30)*(IF(Inputs!$B$38="pvp",MIN(15,15)/15,IF(AND(Inputs!$B$38&lt;&gt;"pvp",Inputs!$B$43&gt;0),MIN(15,Inputs!$B$43)/(Inputs!$B$43),0))),0)))&gt;=100),MIN(100,((Inputs!$B$9+((C2666=TRUE)*(F2666-Calc!F19))+B2678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2685)&lt;=0,1,MAX(0,IF(Inputs!$B$38="pvp",15,Inputs!$B$43)-MAX(5,B2685))/(IF(Inputs!$B$38="pvp",15,Inputs!$B$43)-(B2685))))*IF(AND(ArtifactsInput!$M$42,((Inputs!$B$9+((C2666=TRUE)*(F2666-Calc!F19))+B2678+(ArtifactsInput!$M$24-ArtifactsInput!$M$24)*CHOOSE(ArtifactsInput!$N$24+1,10,12,14,16,18,20)+IF(ArtifactsInput!$M$10,CHOOSE(ArtifactsInput!$N$10+1,15,18,21,24,27,30)*(IF(Inputs!$B$38="pvp",MIN(15,15)/15,IF(AND(Inputs!$B$38&lt;&gt;"pvp",Inputs!$B$43&gt;0),MIN(15,Inputs!$B$43)/(Inputs!$B$43),0))),0)))&gt;=100),CHOOSE(ArtifactsInput!$N$42+1,40,48,56,64,72,80),0))))/100)*((1+(((C2664=TRUE)*F2664*5/7)+((C2671=TRUE)*(F2671-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IF(ArtifactsInput!$M$37,FALSE,TRUE),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2656)</f>
        <v/>
      </c>
      <c r="L2656">
        <f>K2656*(MIN(Inputs!$B$22+((C2669=TRUE)*(F2669-Calc!F22)),(Inputs!$B$23+0+(IF(ArtifactsInput!$M$15,CHOOSE(ArtifactsInput!$N$15+1,25,30,35,40,45,50)/100*(Inputs!$B$11-Inputs!$B$11),0))))/100+(Inputs!$B$23+0+(IF(ArtifactsInput!$M$15,CHOOSE(ArtifactsInput!$N$15+1,25,30,35,40,45,50)/100*(Inputs!$B$11-Inputs!$B$11),0)))/100)/2</f>
        <v/>
      </c>
      <c r="M2656">
        <f>L2656*(1+(Inputs!$B$10+((C2672=TRUE)*(F2672-Calc!F25))+B2683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56">
        <f>L2656*(1-MIN((Inputs!$B$9+((C2666=TRUE)*(F2666-Calc!F19))+B2678+(ArtifactsInput!$M$24-ArtifactsInput!$M$24)*CHOOSE(ArtifactsInput!$N$24+1,10,12,14,16,18,20)+(IF(AND(Inputs!$B$38&lt;&gt;"pvp",Inputs!$B$43=0),1,IF(IF(Inputs!$B$38="pvp",15,Inputs!$B$43)-(B2685)&lt;=0,1,MAX(0,IF(Inputs!$B$38="pvp",15,Inputs!$B$43)-MAX(5,B2685))/(IF(Inputs!$B$38="pvp",15,Inputs!$B$43)-(B2685))))*IF(AND(ArtifactsInput!$M$42,((Inputs!$B$9+((C2666=TRUE)*(F2666-Calc!F19))+B2678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2656*(MIN((Inputs!$B$9+((C2666=TRUE)*(F2666-Calc!F19))+B2678+(ArtifactsInput!$M$24-ArtifactsInput!$M$24)*CHOOSE(ArtifactsInput!$N$24+1,10,12,14,16,18,20)+(IF(AND(Inputs!$B$38&lt;&gt;"pvp",Inputs!$B$43=0),1,IF(IF(Inputs!$B$38="pvp",15,Inputs!$B$43)-(B2685)&lt;=0,1,MAX(0,IF(Inputs!$B$38="pvp",15,Inputs!$B$43)-MAX(5,B2685))/(IF(Inputs!$B$38="pvp",15,Inputs!$B$43)-(B2685))))*IF(AND(ArtifactsInput!$M$42,((Inputs!$B$9+((C2666=TRUE)*(F2666-Calc!F19))+B2678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56">
        <f>(1-Summary!$B$11)*T2656+Summary!$B$11*V2656</f>
        <v/>
      </c>
      <c r="P2656">
        <f>IF(B2688=0,0,O2656/B2688)</f>
        <v/>
      </c>
      <c r="Q2656">
        <f>IFERROR(1/(IF(Inputs!$B$38="pvp",15,MAX(0.1,Skills!D9-IF(TRUE=TRUE,Inputs!$B$32,0)))*(1-IF(AND(ArtifactsInput!$M$27,Inputs!$B$4="Chapter Hunt"),CHOOSE(ArtifactsInput!$N$27+1,20,24,28,32,36,40),0)/100)),0)</f>
        <v/>
      </c>
      <c r="R2656">
        <f>IF(AND(Inputs!$B$38&lt;&gt;"pvp",Inputs!$B$43&gt;0),IF(MAX(0,Inputs!$B$43-B2685)&lt;=0,0,(INT(MAX(0,Inputs!$B$43-B2685)/(IF(Inputs!$B$38="pvp",15,MAX(0.1,Skills!D9-IF(TRUE=TRUE,Inputs!$B$32,0)))*(1-IF(AND(ArtifactsInput!$M$27,Inputs!$B$4="Chapter Hunt"),CHOOSE(ArtifactsInput!$N$27+1,20,24,28,32,36,40),0)/100)))+1)),0)</f>
        <v/>
      </c>
      <c r="S2656">
        <f>IFERROR(O2656/N2656,0)</f>
        <v/>
      </c>
      <c r="T2656">
        <f>IF(C2656,(H2656*N2656*IF(AND(Inputs!$B$38&lt;&gt;"pvp",Inputs!$B$43&gt;0),((Skills!G9*((R2656-1)*IF(Skills!H9&gt;0,INT(Skills!I9/Skills!H9+0.000000001),1)+IF(Skills!H9&gt;0,INT(MIN(Skills!I9,MAX(0,MAX(0,Inputs!$B$43-B2685)-((R2656-1)*(IF(Inputs!$B$38="pvp",15,MAX(0.1,Skills!D9-IF(TRUE=TRUE,Inputs!$B$32,0)))*(1-IF(AND(ArtifactsInput!$M$27,Inputs!$B$4="Chapter Hunt"),CHOOSE(ArtifactsInput!$N$27+1,20,24,28,32,36,40),0)/100)))))/Skills!H9+0.000000001),1)))/Inputs!$B$43),G2656*Q2656))*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Hunt"),CHOOSE(ArtifactsInput!$N$35+1,15,18,21,24,27,30)*(1-EXP(-(0.2*B2680)*5)),0)+IF(AND(ArtifactsInput!$M$22,Inputs!$B$4&lt;&gt;"Chapter Hunt"),CHOOSE(ArtifactsInput!$N$22+1,10,12,14,16,18,20)*((0*(((0.15*B2680*5))^0/1)+1*(((0.15*B2680*5))^1/1)+2*(((0.15*B2680*5))^2/2)+3*(((0.15*B2680*5))^3/6)+4*(((0.15*B2680*5))^4/24)+5*(((0.15*B2680*5))^5/120))/((((0.15*B2680*5))^0/1)+(((0.15*B2680*5))^1/1)+(((0.15*B2680*5))^2/2)+(((0.15*B2680*5))^3/6)+(((0.15*B2680*5))^4/24)+(((0.15*B2680*5))^5/120))),0))+IF(Inputs!$B$3&gt;=54,9*(C2650=TRUE)*MIN(1,8*(1+Inputs!$B$34/100)*Q2650)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2656*(1-MIN(100,(Inputs!$B$9+((C2666=TRUE)*(F2666-Calc!F19))+B2678+(ArtifactsInput!$M$24-ArtifactsInput!$M$24)*CHOOSE(ArtifactsInput!$N$24+1,10,12,14,16,18,20)+(IF(AND(Inputs!$B$38&lt;&gt;"pvp",Inputs!$B$43=0),1,IF(IF(Inputs!$B$38="pvp",15,Inputs!$B$43)-(B2685)&lt;=0,1,MAX(0,IF(Inputs!$B$38="pvp",15,Inputs!$B$43)-MAX(5,B2685))/(IF(Inputs!$B$38="pvp",15,Inputs!$B$43)-(B2685))))*IF(AND(ArtifactsInput!$M$42,((Inputs!$B$9+((C2666=TRUE)*(F2666-Calc!F19))+B2678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2656*(MIN(100,(Inputs!$B$9+((C2666=TRUE)*(F2666-Calc!F19))+B2678+(ArtifactsInput!$M$24-ArtifactsInput!$M$24)*CHOOSE(ArtifactsInput!$N$24+1,10,12,14,16,18,20)+(IF(AND(Inputs!$B$38&lt;&gt;"pvp",Inputs!$B$43=0),1,IF(IF(Inputs!$B$38="pvp",15,Inputs!$B$43)-(B2685)&lt;=0,1,MAX(0,IF(Inputs!$B$38="pvp",15,Inputs!$B$43)-MAX(5,B2685))/(IF(Inputs!$B$38="pvp",15,Inputs!$B$43)-(B2685))))*IF(AND(ArtifactsInput!$M$42,((Inputs!$B$9+((C2666=TRUE)*(F2666-Calc!F19))+B2678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2656*(1-MIN(100,(Inputs!$B$9+((C2666=TRUE)*(F2666-Calc!F19))+B2678+(ArtifactsInput!$M$24-ArtifactsInput!$M$24)*CHOOSE(ArtifactsInput!$N$24+1,10,12,14,16,18,20)+(IF(AND(Inputs!$B$38&lt;&gt;"pvp",Inputs!$B$43=0),1,IF(IF(Inputs!$B$38="pvp",15,Inputs!$B$43)-(B2685)&lt;=0,1,MAX(0,IF(Inputs!$B$38="pvp",15,Inputs!$B$43)-MAX(5,B2685))/(IF(Inputs!$B$38="pvp",15,Inputs!$B$43)-(B2685))))*IF(AND(ArtifactsInput!$M$42,((Inputs!$B$9+((C2666=TRUE)*(F2666-Calc!F19))+B2678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2656*(MIN(100,(Inputs!$B$9+((C2666=TRUE)*(F2666-Calc!F19))+B2678+(ArtifactsInput!$M$24-ArtifactsInput!$M$24)*CHOOSE(ArtifactsInput!$N$24+1,10,12,14,16,18,20)+(IF(AND(Inputs!$B$38&lt;&gt;"pvp",Inputs!$B$43=0),1,IF(IF(Inputs!$B$38="pvp",15,Inputs!$B$43)-(B2685)&lt;=0,1,MAX(0,IF(Inputs!$B$38="pvp",15,Inputs!$B$43)-MAX(5,B2685))/(IF(Inputs!$B$38="pvp",15,Inputs!$B$43)-(B2685))))*IF(AND(ArtifactsInput!$M$42,((Inputs!$B$9+((C2666=TRUE)*(F2666-Calc!F19))+B2678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56">
        <f>IF(C2656,(H2656*N2656*IF(AND(Inputs!$B$38&lt;&gt;"pvp",Inputs!$B$43&gt;0),((Skills!G9*((R2656-1)*IF(Skills!H9&gt;0,INT(Skills!I9/Skills!H9+0.000000001),1)+IF(Skills!H9&gt;0,INT(MIN(Skills!I9,MAX(0,MAX(0,Inputs!$B$43-B2685)-((R2656-1)*(IF(Inputs!$B$38="pvp",15,MAX(0.1,Skills!D9-IF(TRUE=TRUE,Inputs!$B$32,0)))*(1-IF(AND(ArtifactsInput!$M$27,Inputs!$B$4="Chapter Hunt"),CHOOSE(ArtifactsInput!$N$27+1,20,24,28,32,36,40),0)/100)))))/Skills!H9+0.000000001),1)))/Inputs!$B$43),G2656*Q2656))*IF(Inputs!$B$38="pvp",1,(1+(Inputs!$B$21+Skills!Q9+(IF(ArtifactsInput!$M$33,CHOOSE(ArtifactsInput!$N$33+1,30,36,42,48,54,60),0))+(IF(AND(ArtifactsInput!$M$35,Inputs!$B$4&lt;&gt;"Chapter Hunt"),CHOOSE(ArtifactsInput!$N$35+1,15,18,21,24,27,30)*(1-EXP(-(0.2*B2680)*5)),0)+IF(AND(ArtifactsInput!$M$22,Inputs!$B$4&lt;&gt;"Chapter Hunt"),CHOOSE(ArtifactsInput!$N$22+1,10,12,14,16,18,20)*((0*(((0.15*B2680*5))^0/1)+1*(((0.15*B2680*5))^1/1)+2*(((0.15*B2680*5))^2/2)+3*(((0.15*B2680*5))^3/6)+4*(((0.15*B2680*5))^4/24)+5*(((0.15*B2680*5))^5/120))/((((0.15*B2680*5))^0/1)+(((0.15*B2680*5))^1/1)+(((0.15*B2680*5))^2/2)+(((0.15*B2680*5))^3/6)+(((0.15*B2680*5))^4/24)+(((0.15*B2680*5))^5/120))),0))+IF(Inputs!$B$3&gt;=54,9*(C2650=TRUE)*MIN(1,8*(1+Inputs!$B$34/100)*Q2650)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57">
      <c r="A2657">
        <f>Skills!A10</f>
        <v/>
      </c>
      <c r="B2657">
        <f>Skills!B10</f>
        <v/>
      </c>
      <c r="C2657">
        <f>Inputs!$B$3&gt;=113</f>
        <v/>
      </c>
      <c r="D2657">
        <f>IF(Skills!C10=1,60+Inputs!$B$25+Inputs!$B$29,IF(Skills!C10=2,90+Inputs!$B$26+Inputs!$B$29,IF(Skills!C10=3,120+Inputs!$B$27+Inputs!$B$29,MAX(0,(Inputs!$B$3-100)*3)+Inputs!$B$28+Inputs!$B$29)))</f>
        <v/>
      </c>
      <c r="E2657">
        <f>INDEX(FactorTable!$B$2:$Y$301, MATCH(ROUND(MIN(300,MAX(1,D2657)),0), FactorTable!$A$2:$A$301,0), Skills!M10+1)</f>
        <v/>
      </c>
      <c r="F2657">
        <f>IF(Skills!N10=TRUE,(Skills!L10/10)*(E2657/1000),Skills!L10/10)+Skills!O10</f>
        <v/>
      </c>
      <c r="G2657">
        <f>Skills!G10*IF(Skills!H10&gt;0,INT(IF(Inputs!$B$38="pvp",MIN(Skills!I10,15),Skills!I10)/Skills!H10+0.000000001),1)</f>
        <v/>
      </c>
      <c r="H2657">
        <f>1-(1-Skills!J10/100)^Skills!K10</f>
        <v/>
      </c>
      <c r="I2657" t="inlineStr">
        <is>
          <t>1</t>
        </is>
      </c>
      <c r="J2657">
        <f>((Inputs!$B$6*(1+Inputs!$B$7/100))+(((Inputs!$B$12*(1+Inputs!$B$13/100))-(Inputs!$B$12*(1+Inputs!$B$13/100)))+0.25*(Inputs!$B$14-Inputs!$B$14))*(1+Inputs!$B$7/100))*(F2657/100)</f>
        <v/>
      </c>
      <c r="K2657">
        <f>J2657*(1+((Inputs!$B$12*(1+Inputs!$B$13/100))*0.01+Inputs!$B$14*0.0025)/100)*(1+Inputs!$B$15/100)*(1+Inputs!$B$16/100)*(5000/(6000+Inputs!$B$42*(1-(100*(1-(1-(Inputs!$B$19+0)/100)*(1-CHOOSE(ArtifactsInput!$N$40+1,5,6,7,8,9,10)/100)^(ArtifactsInput!$M$40-ArtifactsInput!$M$40)))/100)))*(1+(Inputs!$B$24+((C2673=TRUE)*(F2673-Calc!F26))+B2684)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IGHT_LEGS_EASTON",Inputs!$B$17+((C2670=TRUE)*(F2670-Calc!F23))+((C2674=TRUE)*(F2674-Calc!F27))+((IF(AND(Inputs!$B$38&lt;&gt;"pvp",Inputs!$B$43=0),1,IF(IF(Inputs!$B$38="pvp",15,Inputs!$B$43)-(B2685)&lt;=0,1,MAX(0,IF(Inputs!$B$38="pvp",15,Inputs!$B$43)-MAX(5,B2685))/(IF(Inputs!$B$38="pvp",15,Inputs!$B$43)-(B2685))))*(IF(AND(ArtifactsInput!$M$42,((Inputs!$B$9+((C2666=TRUE)*(F2666-Calc!F19))+B2678+(ArtifactsInput!$M$24-ArtifactsInput!$M$24)*CHOOSE(ArtifactsInput!$N$24+1,10,12,14,16,18,20)+IF(ArtifactsInput!$M$10,CHOOSE(ArtifactsInput!$N$10+1,15,18,21,24,27,30)*(IF(Inputs!$B$38="pvp",MIN(15,15)/15,IF(AND(Inputs!$B$38&lt;&gt;"pvp",Inputs!$B$43&gt;0),MIN(15,Inputs!$B$43)/(Inputs!$B$43),0))),0)))&gt;=100),MIN(100,((Inputs!$B$9+((C2666=TRUE)*(F2666-Calc!F19))+B2678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2685)&lt;=0,1,MAX(0,IF(Inputs!$B$38="pvp",15,Inputs!$B$43)-MAX(5,B2685))/(IF(Inputs!$B$38="pvp",15,Inputs!$B$43)-(B2685))))*IF(AND(ArtifactsInput!$M$42,((Inputs!$B$9+((C2666=TRUE)*(F2666-Calc!F19))+B2678+(ArtifactsInput!$M$24-ArtifactsInput!$M$24)*CHOOSE(ArtifactsInput!$N$24+1,10,12,14,16,18,20)+IF(ArtifactsInput!$M$10,CHOOSE(ArtifactsInput!$N$10+1,15,18,21,24,27,30)*(IF(Inputs!$B$38="pvp",MIN(15,15)/15,IF(AND(Inputs!$B$38&lt;&gt;"pvp",Inputs!$B$43&gt;0),MIN(15,Inputs!$B$43)/(Inputs!$B$43),0))),0)))&gt;=100),CHOOSE(ArtifactsInput!$N$42+1,40,48,56,64,72,80),0))))/100)*((1+(((C2664=TRUE)*F2664*5/7)+((C2671=TRUE)*(F2671-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IF(ArtifactsInput!$M$37,FALSE,TRUE),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2657)</f>
        <v/>
      </c>
      <c r="L2657">
        <f>K2657*(MIN(Inputs!$B$22+((C2669=TRUE)*(F2669-Calc!F22)),(Inputs!$B$23+0+(IF(ArtifactsInput!$M$15,CHOOSE(ArtifactsInput!$N$15+1,25,30,35,40,45,50)/100*(Inputs!$B$11-Inputs!$B$11),0))))/100+(Inputs!$B$23+0+(IF(ArtifactsInput!$M$15,CHOOSE(ArtifactsInput!$N$15+1,25,30,35,40,45,50)/100*(Inputs!$B$11-Inputs!$B$11),0)))/100)/2</f>
        <v/>
      </c>
      <c r="M2657">
        <f>L2657*(1+(Inputs!$B$10+((C2672=TRUE)*(F2672-Calc!F25))+B2683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57">
        <f>L2657*(1-MIN((Inputs!$B$9+((C2666=TRUE)*(F2666-Calc!F19))+B2678+(ArtifactsInput!$M$24-ArtifactsInput!$M$24)*CHOOSE(ArtifactsInput!$N$24+1,10,12,14,16,18,20)+(IF(AND(Inputs!$B$38&lt;&gt;"pvp",Inputs!$B$43=0),1,IF(IF(Inputs!$B$38="pvp",15,Inputs!$B$43)-(B2685)&lt;=0,1,MAX(0,IF(Inputs!$B$38="pvp",15,Inputs!$B$43)-MAX(5,B2685))/(IF(Inputs!$B$38="pvp",15,Inputs!$B$43)-(B2685))))*IF(AND(ArtifactsInput!$M$42,((Inputs!$B$9+((C2666=TRUE)*(F2666-Calc!F19))+B2678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2657*(MIN((Inputs!$B$9+((C2666=TRUE)*(F2666-Calc!F19))+B2678+(ArtifactsInput!$M$24-ArtifactsInput!$M$24)*CHOOSE(ArtifactsInput!$N$24+1,10,12,14,16,18,20)+(IF(AND(Inputs!$B$38&lt;&gt;"pvp",Inputs!$B$43=0),1,IF(IF(Inputs!$B$38="pvp",15,Inputs!$B$43)-(B2685)&lt;=0,1,MAX(0,IF(Inputs!$B$38="pvp",15,Inputs!$B$43)-MAX(5,B2685))/(IF(Inputs!$B$38="pvp",15,Inputs!$B$43)-(B2685))))*IF(AND(ArtifactsInput!$M$42,((Inputs!$B$9+((C2666=TRUE)*(F2666-Calc!F19))+B2678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57">
        <f>(1-Summary!$B$11)*T2657+Summary!$B$11*V2657</f>
        <v/>
      </c>
      <c r="P2657">
        <f>IF(B2688=0,0,O2657/B2688)</f>
        <v/>
      </c>
      <c r="Q2657" t="n">
        <v>0</v>
      </c>
      <c r="R2657" t="n">
        <v>0</v>
      </c>
      <c r="S2657">
        <f>IFERROR(O2657/N2657,0)</f>
        <v/>
      </c>
      <c r="T2657">
        <f>IF(C2657,((H2657*B2690)/(1+Skills!H10*H2657*B2690)*N2657)*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Hunt"),CHOOSE(ArtifactsInput!$N$35+1,15,18,21,24,27,30)*(1-EXP(-(0.2*B2680)*5)),0)+IF(AND(ArtifactsInput!$M$22,Inputs!$B$4&lt;&gt;"Chapter Hunt"),CHOOSE(ArtifactsInput!$N$22+1,10,12,14,16,18,20)*((0*(((0.15*B2680*5))^0/1)+1*(((0.15*B2680*5))^1/1)+2*(((0.15*B2680*5))^2/2)+3*(((0.15*B2680*5))^3/6)+4*(((0.15*B2680*5))^4/24)+5*(((0.15*B2680*5))^5/120))/((((0.15*B2680*5))^0/1)+(((0.15*B2680*5))^1/1)+(((0.15*B2680*5))^2/2)+(((0.15*B2680*5))^3/6)+(((0.15*B2680*5))^4/24)+(((0.15*B2680*5))^5/120))),0))+IF(Inputs!$B$3&gt;=54,9*(C2650=TRUE)*MIN(1,8*(1+Inputs!$B$34/100)*Q2650)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2657*(1-MIN(100,(Inputs!$B$9+((C2666=TRUE)*(F2666-Calc!F19))+B2678+(ArtifactsInput!$M$24-ArtifactsInput!$M$24)*CHOOSE(ArtifactsInput!$N$24+1,10,12,14,16,18,20)+(IF(AND(Inputs!$B$38&lt;&gt;"pvp",Inputs!$B$43=0),1,IF(IF(Inputs!$B$38="pvp",15,Inputs!$B$43)-(B2685)&lt;=0,1,MAX(0,IF(Inputs!$B$38="pvp",15,Inputs!$B$43)-MAX(5,B2685))/(IF(Inputs!$B$38="pvp",15,Inputs!$B$43)-(B2685))))*IF(AND(ArtifactsInput!$M$42,((Inputs!$B$9+((C2666=TRUE)*(F2666-Calc!F19))+B2678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2657*(MIN(100,(Inputs!$B$9+((C2666=TRUE)*(F2666-Calc!F19))+B2678+(ArtifactsInput!$M$24-ArtifactsInput!$M$24)*CHOOSE(ArtifactsInput!$N$24+1,10,12,14,16,18,20)+(IF(AND(Inputs!$B$38&lt;&gt;"pvp",Inputs!$B$43=0),1,IF(IF(Inputs!$B$38="pvp",15,Inputs!$B$43)-(B2685)&lt;=0,1,MAX(0,IF(Inputs!$B$38="pvp",15,Inputs!$B$43)-MAX(5,B2685))/(IF(Inputs!$B$38="pvp",15,Inputs!$B$43)-(B2685))))*IF(AND(ArtifactsInput!$M$42,((Inputs!$B$9+((C2666=TRUE)*(F2666-Calc!F19))+B2678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2657*(1-MIN(100,(Inputs!$B$9+((C2666=TRUE)*(F2666-Calc!F19))+B2678+(ArtifactsInput!$M$24-ArtifactsInput!$M$24)*CHOOSE(ArtifactsInput!$N$24+1,10,12,14,16,18,20)+(IF(AND(Inputs!$B$38&lt;&gt;"pvp",Inputs!$B$43=0),1,IF(IF(Inputs!$B$38="pvp",15,Inputs!$B$43)-(B2685)&lt;=0,1,MAX(0,IF(Inputs!$B$38="pvp",15,Inputs!$B$43)-MAX(5,B2685))/(IF(Inputs!$B$38="pvp",15,Inputs!$B$43)-(B2685))))*IF(AND(ArtifactsInput!$M$42,((Inputs!$B$9+((C2666=TRUE)*(F2666-Calc!F19))+B2678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2657*(MIN(100,(Inputs!$B$9+((C2666=TRUE)*(F2666-Calc!F19))+B2678+(ArtifactsInput!$M$24-ArtifactsInput!$M$24)*CHOOSE(ArtifactsInput!$N$24+1,10,12,14,16,18,20)+(IF(AND(Inputs!$B$38&lt;&gt;"pvp",Inputs!$B$43=0),1,IF(IF(Inputs!$B$38="pvp",15,Inputs!$B$43)-(B2685)&lt;=0,1,MAX(0,IF(Inputs!$B$38="pvp",15,Inputs!$B$43)-MAX(5,B2685))/(IF(Inputs!$B$38="pvp",15,Inputs!$B$43)-(B2685))))*IF(AND(ArtifactsInput!$M$42,((Inputs!$B$9+((C2666=TRUE)*(F2666-Calc!F19))+B2678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57">
        <f>IF(C2657,((H2657*B2690)/(1+Skills!H10*H2657*B2690)*N2657)*IF(Inputs!$B$38="pvp",1,(1+(Inputs!$B$21+Skills!Q10+(IF(ArtifactsInput!$M$33,CHOOSE(ArtifactsInput!$N$33+1,30,36,42,48,54,60),0))+(IF(AND(ArtifactsInput!$M$35,Inputs!$B$4&lt;&gt;"Chapter Hunt"),CHOOSE(ArtifactsInput!$N$35+1,15,18,21,24,27,30)*(1-EXP(-(0.2*B2680)*5)),0)+IF(AND(ArtifactsInput!$M$22,Inputs!$B$4&lt;&gt;"Chapter Hunt"),CHOOSE(ArtifactsInput!$N$22+1,10,12,14,16,18,20)*((0*(((0.15*B2680*5))^0/1)+1*(((0.15*B2680*5))^1/1)+2*(((0.15*B2680*5))^2/2)+3*(((0.15*B2680*5))^3/6)+4*(((0.15*B2680*5))^4/24)+5*(((0.15*B2680*5))^5/120))/((((0.15*B2680*5))^0/1)+(((0.15*B2680*5))^1/1)+(((0.15*B2680*5))^2/2)+(((0.15*B2680*5))^3/6)+(((0.15*B2680*5))^4/24)+(((0.15*B2680*5))^5/120))),0))+IF(Inputs!$B$3&gt;=54,9*(C2650=TRUE)*MIN(1,8*(1+Inputs!$B$34/100)*Q2650)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58">
      <c r="A2658">
        <f>Skills!A11</f>
        <v/>
      </c>
      <c r="B2658">
        <f>Skills!B11</f>
        <v/>
      </c>
      <c r="C2658">
        <f>Inputs!$B$3&gt;=117</f>
        <v/>
      </c>
      <c r="D2658">
        <f>IF(Skills!C11=1,60+Inputs!$B$25+Inputs!$B$29,IF(Skills!C11=2,90+Inputs!$B$26+Inputs!$B$29,IF(Skills!C11=3,120+Inputs!$B$27+Inputs!$B$29,MAX(0,(Inputs!$B$3-100)*3)+Inputs!$B$28+Inputs!$B$29)))</f>
        <v/>
      </c>
      <c r="E2658">
        <f>INDEX(FactorTable!$B$2:$Y$301, MATCH(ROUND(MIN(300,MAX(1,D2658)),0), FactorTable!$A$2:$A$301,0), Skills!M11+1)</f>
        <v/>
      </c>
      <c r="F2658">
        <f>IF(Skills!N11=TRUE,(Skills!L11/10)*(E2658/1000),Skills!L11/10)+Skills!O11</f>
        <v/>
      </c>
      <c r="G2658">
        <f>Skills!G11*IF(Skills!H11&gt;0,INT(IF(Inputs!$B$38="pvp",MIN(Skills!I11,15),Skills!I11)/Skills!H11+0.000000001),1)</f>
        <v/>
      </c>
      <c r="H2658">
        <f>1-(1-Skills!J11/100)^Skills!K11</f>
        <v/>
      </c>
      <c r="I2658" t="inlineStr">
        <is>
          <t>1</t>
        </is>
      </c>
      <c r="J2658">
        <f>((Inputs!$B$6*(1+Inputs!$B$7/100))+(((Inputs!$B$12*(1+Inputs!$B$13/100))-(Inputs!$B$12*(1+Inputs!$B$13/100)))+0.25*(Inputs!$B$14-Inputs!$B$14))*(1+Inputs!$B$7/100))*(F2658/100)</f>
        <v/>
      </c>
      <c r="K2658">
        <f>J2658*(1+((Inputs!$B$12*(1+Inputs!$B$13/100))*0.01+Inputs!$B$14*0.0025)/100)*(1+Inputs!$B$15/100)*(1+Inputs!$B$16/100)*(5000/(6000+Inputs!$B$42*(1-(100*(1-(1-(Inputs!$B$19+0)/100)*(1-CHOOSE(ArtifactsInput!$N$40+1,5,6,7,8,9,10)/100)^(ArtifactsInput!$M$40-ArtifactsInput!$M$40)))/100)))*(1+(Inputs!$B$24+((C2673=TRUE)*(F2673-Calc!F26))+B2684)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IGHT_LEGS_EASTON",Inputs!$B$17+((C2670=TRUE)*(F2670-Calc!F23))+((C2674=TRUE)*(F2674-Calc!F27))+((IF(AND(Inputs!$B$38&lt;&gt;"pvp",Inputs!$B$43=0),1,IF(IF(Inputs!$B$38="pvp",15,Inputs!$B$43)-(B2685)&lt;=0,1,MAX(0,IF(Inputs!$B$38="pvp",15,Inputs!$B$43)-MAX(5,B2685))/(IF(Inputs!$B$38="pvp",15,Inputs!$B$43)-(B2685))))*(IF(AND(ArtifactsInput!$M$42,((Inputs!$B$9+((C2666=TRUE)*(F2666-Calc!F19))+B2678+(ArtifactsInput!$M$24-ArtifactsInput!$M$24)*CHOOSE(ArtifactsInput!$N$24+1,10,12,14,16,18,20)+IF(ArtifactsInput!$M$10,CHOOSE(ArtifactsInput!$N$10+1,15,18,21,24,27,30)*(IF(Inputs!$B$38="pvp",MIN(15,15)/15,IF(AND(Inputs!$B$38&lt;&gt;"pvp",Inputs!$B$43&gt;0),MIN(15,Inputs!$B$43)/(Inputs!$B$43),0))),0)))&gt;=100),MIN(100,((Inputs!$B$9+((C2666=TRUE)*(F2666-Calc!F19))+B2678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2685)&lt;=0,1,MAX(0,IF(Inputs!$B$38="pvp",15,Inputs!$B$43)-MAX(5,B2685))/(IF(Inputs!$B$38="pvp",15,Inputs!$B$43)-(B2685))))*IF(AND(ArtifactsInput!$M$42,((Inputs!$B$9+((C2666=TRUE)*(F2666-Calc!F19))+B2678+(ArtifactsInput!$M$24-ArtifactsInput!$M$24)*CHOOSE(ArtifactsInput!$N$24+1,10,12,14,16,18,20)+IF(ArtifactsInput!$M$10,CHOOSE(ArtifactsInput!$N$10+1,15,18,21,24,27,30)*(IF(Inputs!$B$38="pvp",MIN(15,15)/15,IF(AND(Inputs!$B$38&lt;&gt;"pvp",Inputs!$B$43&gt;0),MIN(15,Inputs!$B$43)/(Inputs!$B$43),0))),0)))&gt;=100),CHOOSE(ArtifactsInput!$N$42+1,40,48,56,64,72,80),0))))/100)*((1+(((C2664=TRUE)*F2664*5/7)+((C2671=TRUE)*(F2671-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IF(ArtifactsInput!$M$37,FALSE,TRUE),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2658)</f>
        <v/>
      </c>
      <c r="L2658">
        <f>K2658*(MIN(Inputs!$B$22+((C2669=TRUE)*(F2669-Calc!F22)),(Inputs!$B$23+0+(IF(ArtifactsInput!$M$15,CHOOSE(ArtifactsInput!$N$15+1,25,30,35,40,45,50)/100*(Inputs!$B$11-Inputs!$B$11),0))))/100+(Inputs!$B$23+0+(IF(ArtifactsInput!$M$15,CHOOSE(ArtifactsInput!$N$15+1,25,30,35,40,45,50)/100*(Inputs!$B$11-Inputs!$B$11),0)))/100)/2</f>
        <v/>
      </c>
      <c r="M2658">
        <f>L2658*(1+(Inputs!$B$10+((C2672=TRUE)*(F2672-Calc!F25))+B2683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58">
        <f>L2658*(1-MIN((Inputs!$B$9+((C2666=TRUE)*(F2666-Calc!F19))+B2678+(ArtifactsInput!$M$24-ArtifactsInput!$M$24)*CHOOSE(ArtifactsInput!$N$24+1,10,12,14,16,18,20)+(IF(AND(Inputs!$B$38&lt;&gt;"pvp",Inputs!$B$43=0),1,IF(IF(Inputs!$B$38="pvp",15,Inputs!$B$43)-(B2685)&lt;=0,1,MAX(0,IF(Inputs!$B$38="pvp",15,Inputs!$B$43)-MAX(5,B2685))/(IF(Inputs!$B$38="pvp",15,Inputs!$B$43)-(B2685))))*IF(AND(ArtifactsInput!$M$42,((Inputs!$B$9+((C2666=TRUE)*(F2666-Calc!F19))+B2678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2658*(MIN((Inputs!$B$9+((C2666=TRUE)*(F2666-Calc!F19))+B2678+(ArtifactsInput!$M$24-ArtifactsInput!$M$24)*CHOOSE(ArtifactsInput!$N$24+1,10,12,14,16,18,20)+(IF(AND(Inputs!$B$38&lt;&gt;"pvp",Inputs!$B$43=0),1,IF(IF(Inputs!$B$38="pvp",15,Inputs!$B$43)-(B2685)&lt;=0,1,MAX(0,IF(Inputs!$B$38="pvp",15,Inputs!$B$43)-MAX(5,B2685))/(IF(Inputs!$B$38="pvp",15,Inputs!$B$43)-(B2685))))*IF(AND(ArtifactsInput!$M$42,((Inputs!$B$9+((C2666=TRUE)*(F2666-Calc!F19))+B2678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58">
        <f>(1-Summary!$B$11)*T2658+Summary!$B$11*V2658</f>
        <v/>
      </c>
      <c r="P2658">
        <f>IF(B2688=0,0,O2658/B2688)</f>
        <v/>
      </c>
      <c r="Q2658">
        <f>IFERROR(1/((IF(Inputs!$B$38="pvp",15,MAX(0.1,Skills!D11-IF(TRUE=TRUE,Inputs!$B$32,0)))*(1-IF(AND(ArtifactsInput!$M$27,Inputs!$B$4="Chapter Hunt"),CHOOSE(ArtifactsInput!$N$27+1,20,24,28,32,36,40),0)/100))/B2689),0)</f>
        <v/>
      </c>
      <c r="R2658">
        <f>IF(AND(Inputs!$B$38&lt;&gt;"pvp",Inputs!$B$43&gt;0),IF(MAX(0,Inputs!$B$43-B2685)&lt;=0,0,(INT(MAX(0,Inputs!$B$43-B2685)/((IF(Inputs!$B$38="pvp",15,MAX(0.1,Skills!D11-IF(TRUE=TRUE,Inputs!$B$32,0)))*(1-IF(AND(ArtifactsInput!$M$27,Inputs!$B$4="Chapter Hunt"),CHOOSE(ArtifactsInput!$N$27+1,20,24,28,32,36,40),0)/100))/B2689))+1)),0)</f>
        <v/>
      </c>
      <c r="S2658">
        <f>IFERROR(O2658/N2658,0)</f>
        <v/>
      </c>
      <c r="T2658">
        <f>IF(C2658,(H2658*N2658*IF(AND(Inputs!$B$38&lt;&gt;"pvp",Inputs!$B$43&gt;0),((Skills!G11*((R2658-1)*IF(Skills!H11&gt;0,INT(Skills!I11/Skills!H11+0.000000001),1)+IF(Skills!H11&gt;0,INT(MIN(Skills!I11,MAX(0,MAX(0,Inputs!$B$43-B2685)-((R2658-1)*((IF(Inputs!$B$38="pvp",15,MAX(0.1,Skills!D11-IF(TRUE=TRUE,Inputs!$B$32,0)))*(1-IF(AND(ArtifactsInput!$M$27,Inputs!$B$4="Chapter Hunt"),CHOOSE(ArtifactsInput!$N$27+1,20,24,28,32,36,40),0)/100))/B2689))))/Skills!H11+0.000000001),1)))/Inputs!$B$43),G2658*Q2658))*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Hunt"),CHOOSE(ArtifactsInput!$N$35+1,15,18,21,24,27,30)*(1-EXP(-(0.2*B2680)*5)),0)+IF(AND(ArtifactsInput!$M$22,Inputs!$B$4&lt;&gt;"Chapter Hunt"),CHOOSE(ArtifactsInput!$N$22+1,10,12,14,16,18,20)*((0*(((0.15*B2680*5))^0/1)+1*(((0.15*B2680*5))^1/1)+2*(((0.15*B2680*5))^2/2)+3*(((0.15*B2680*5))^3/6)+4*(((0.15*B2680*5))^4/24)+5*(((0.15*B2680*5))^5/120))/((((0.15*B2680*5))^0/1)+(((0.15*B2680*5))^1/1)+(((0.15*B2680*5))^2/2)+(((0.15*B2680*5))^3/6)+(((0.15*B2680*5))^4/24)+(((0.15*B2680*5))^5/120))),0))+IF(Inputs!$B$3&gt;=54,9*(C2650=TRUE)*MIN(1,8*(1+Inputs!$B$34/100)*Q2650)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2658*(1-MIN(100,(Inputs!$B$9+((C2666=TRUE)*(F2666-Calc!F19))+B2678+(ArtifactsInput!$M$24-ArtifactsInput!$M$24)*CHOOSE(ArtifactsInput!$N$24+1,10,12,14,16,18,20)+(IF(AND(Inputs!$B$38&lt;&gt;"pvp",Inputs!$B$43=0),1,IF(IF(Inputs!$B$38="pvp",15,Inputs!$B$43)-(B2685)&lt;=0,1,MAX(0,IF(Inputs!$B$38="pvp",15,Inputs!$B$43)-MAX(5,B2685))/(IF(Inputs!$B$38="pvp",15,Inputs!$B$43)-(B2685))))*IF(AND(ArtifactsInput!$M$42,((Inputs!$B$9+((C2666=TRUE)*(F2666-Calc!F19))+B2678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2658*(MIN(100,(Inputs!$B$9+((C2666=TRUE)*(F2666-Calc!F19))+B2678+(ArtifactsInput!$M$24-ArtifactsInput!$M$24)*CHOOSE(ArtifactsInput!$N$24+1,10,12,14,16,18,20)+(IF(AND(Inputs!$B$38&lt;&gt;"pvp",Inputs!$B$43=0),1,IF(IF(Inputs!$B$38="pvp",15,Inputs!$B$43)-(B2685)&lt;=0,1,MAX(0,IF(Inputs!$B$38="pvp",15,Inputs!$B$43)-MAX(5,B2685))/(IF(Inputs!$B$38="pvp",15,Inputs!$B$43)-(B2685))))*IF(AND(ArtifactsInput!$M$42,((Inputs!$B$9+((C2666=TRUE)*(F2666-Calc!F19))+B2678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2658*(1-MIN(100,(Inputs!$B$9+((C2666=TRUE)*(F2666-Calc!F19))+B2678+(ArtifactsInput!$M$24-ArtifactsInput!$M$24)*CHOOSE(ArtifactsInput!$N$24+1,10,12,14,16,18,20)+(IF(AND(Inputs!$B$38&lt;&gt;"pvp",Inputs!$B$43=0),1,IF(IF(Inputs!$B$38="pvp",15,Inputs!$B$43)-(B2685)&lt;=0,1,MAX(0,IF(Inputs!$B$38="pvp",15,Inputs!$B$43)-MAX(5,B2685))/(IF(Inputs!$B$38="pvp",15,Inputs!$B$43)-(B2685))))*IF(AND(ArtifactsInput!$M$42,((Inputs!$B$9+((C2666=TRUE)*(F2666-Calc!F19))+B2678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2658*(MIN(100,(Inputs!$B$9+((C2666=TRUE)*(F2666-Calc!F19))+B2678+(ArtifactsInput!$M$24-ArtifactsInput!$M$24)*CHOOSE(ArtifactsInput!$N$24+1,10,12,14,16,18,20)+(IF(AND(Inputs!$B$38&lt;&gt;"pvp",Inputs!$B$43=0),1,IF(IF(Inputs!$B$38="pvp",15,Inputs!$B$43)-(B2685)&lt;=0,1,MAX(0,IF(Inputs!$B$38="pvp",15,Inputs!$B$43)-MAX(5,B2685))/(IF(Inputs!$B$38="pvp",15,Inputs!$B$43)-(B2685))))*IF(AND(ArtifactsInput!$M$42,((Inputs!$B$9+((C2666=TRUE)*(F2666-Calc!F19))+B2678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58">
        <f>IF(C2658,(H2658*N2658*IF(AND(Inputs!$B$38&lt;&gt;"pvp",Inputs!$B$43&gt;0),((Skills!G11*((R2658-1)*IF(Skills!H11&gt;0,INT(Skills!I11/Skills!H11+0.000000001),1)+IF(Skills!H11&gt;0,INT(MIN(Skills!I11,MAX(0,MAX(0,Inputs!$B$43-B2685)-((R2658-1)*((IF(Inputs!$B$38="pvp",15,MAX(0.1,Skills!D11-IF(TRUE=TRUE,Inputs!$B$32,0)))*(1-IF(AND(ArtifactsInput!$M$27,Inputs!$B$4="Chapter Hunt"),CHOOSE(ArtifactsInput!$N$27+1,20,24,28,32,36,40),0)/100))/B2689))))/Skills!H11+0.000000001),1)))/Inputs!$B$43),G2658*Q2658))*IF(Inputs!$B$38="pvp",1,(1+(Inputs!$B$21+Skills!Q11+(IF(ArtifactsInput!$M$33,CHOOSE(ArtifactsInput!$N$33+1,30,36,42,48,54,60),0))+(IF(AND(ArtifactsInput!$M$35,Inputs!$B$4&lt;&gt;"Chapter Hunt"),CHOOSE(ArtifactsInput!$N$35+1,15,18,21,24,27,30)*(1-EXP(-(0.2*B2680)*5)),0)+IF(AND(ArtifactsInput!$M$22,Inputs!$B$4&lt;&gt;"Chapter Hunt"),CHOOSE(ArtifactsInput!$N$22+1,10,12,14,16,18,20)*((0*(((0.15*B2680*5))^0/1)+1*(((0.15*B2680*5))^1/1)+2*(((0.15*B2680*5))^2/2)+3*(((0.15*B2680*5))^3/6)+4*(((0.15*B2680*5))^4/24)+5*(((0.15*B2680*5))^5/120))/((((0.15*B2680*5))^0/1)+(((0.15*B2680*5))^1/1)+(((0.15*B2680*5))^2/2)+(((0.15*B2680*5))^3/6)+(((0.15*B2680*5))^4/24)+(((0.15*B2680*5))^5/120))),0))+IF(Inputs!$B$3&gt;=54,9*(C2650=TRUE)*MIN(1,8*(1+Inputs!$B$34/100)*Q2650)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59">
      <c r="A2659">
        <f>Skills!A12</f>
        <v/>
      </c>
      <c r="B2659">
        <f>Skills!B12</f>
        <v/>
      </c>
      <c r="C2659">
        <f>Inputs!$B$3&gt;=110</f>
        <v/>
      </c>
      <c r="D2659">
        <f>IF(Skills!C12=1,60+Inputs!$B$25+Inputs!$B$29,IF(Skills!C12=2,90+Inputs!$B$26+Inputs!$B$29,IF(Skills!C12=3,120+Inputs!$B$27+Inputs!$B$29,MAX(0,(Inputs!$B$3-100)*3)+Inputs!$B$28+Inputs!$B$29)))</f>
        <v/>
      </c>
      <c r="E2659">
        <f>INDEX(FactorTable!$B$2:$Y$301, MATCH(ROUND(MIN(300,MAX(1,D2659)),0), FactorTable!$A$2:$A$301,0), Skills!M12+1)</f>
        <v/>
      </c>
      <c r="F2659">
        <f>IF(Skills!N12=TRUE,(Skills!L12/10)*(E2659/1000),Skills!L12/10)+Skills!O12</f>
        <v/>
      </c>
      <c r="G2659">
        <f>Skills!G12*IF(Skills!H12&gt;0,INT(IF(Inputs!$B$38="pvp",MIN(Skills!I12,15),Skills!I12)/Skills!H12+0.000000001),1)</f>
        <v/>
      </c>
      <c r="H2659">
        <f>1-(1-Skills!J12/100)^Skills!K12</f>
        <v/>
      </c>
      <c r="I2659" t="inlineStr">
        <is>
          <t>1</t>
        </is>
      </c>
      <c r="J2659">
        <f>((Inputs!$B$6*(1+Inputs!$B$7/100))+(((Inputs!$B$12*(1+Inputs!$B$13/100))-(Inputs!$B$12*(1+Inputs!$B$13/100)))+0.25*(Inputs!$B$14-Inputs!$B$14))*(1+Inputs!$B$7/100))*(F2659/100)</f>
        <v/>
      </c>
      <c r="K2659">
        <f>J2659*(1+((Inputs!$B$12*(1+Inputs!$B$13/100))*0.01+Inputs!$B$14*0.0025)/100)*(1+Inputs!$B$15/100)*(1+Inputs!$B$16/100)*(5000/(6000+Inputs!$B$42*(1-(100*(1-(1-(Inputs!$B$19+0)/100)*(1-CHOOSE(ArtifactsInput!$N$40+1,5,6,7,8,9,10)/100)^(ArtifactsInput!$M$40-ArtifactsInput!$M$40)))/100)))*(1+(Inputs!$B$24+((C2673=TRUE)*(F2673-Calc!F26))+B2684)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EIGHT_LEGS_EASTON",Inputs!$B$17+((C2670=TRUE)*(F2670-Calc!F23))+((C2674=TRUE)*(F2674-Calc!F27))+((IF(AND(Inputs!$B$38&lt;&gt;"pvp",Inputs!$B$43=0),1,IF(IF(Inputs!$B$38="pvp",15,Inputs!$B$43)-(B2685)&lt;=0,1,MAX(0,IF(Inputs!$B$38="pvp",15,Inputs!$B$43)-MAX(5,B2685))/(IF(Inputs!$B$38="pvp",15,Inputs!$B$43)-(B2685))))*(IF(AND(ArtifactsInput!$M$42,((Inputs!$B$9+((C2666=TRUE)*(F2666-Calc!F19))+B2678+(ArtifactsInput!$M$24-ArtifactsInput!$M$24)*CHOOSE(ArtifactsInput!$N$24+1,10,12,14,16,18,20)+IF(ArtifactsInput!$M$10,CHOOSE(ArtifactsInput!$N$10+1,15,18,21,24,27,30)*(IF(Inputs!$B$38="pvp",MIN(15,15)/15,IF(AND(Inputs!$B$38&lt;&gt;"pvp",Inputs!$B$43&gt;0),MIN(15,Inputs!$B$43)/(Inputs!$B$43),0))),0)))&gt;=100),MIN(100,((Inputs!$B$9+((C2666=TRUE)*(F2666-Calc!F19))+B2678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2685)&lt;=0,1,MAX(0,IF(Inputs!$B$38="pvp",15,Inputs!$B$43)-MAX(5,B2685))/(IF(Inputs!$B$38="pvp",15,Inputs!$B$43)-(B2685))))*IF(AND(ArtifactsInput!$M$42,((Inputs!$B$9+((C2666=TRUE)*(F2666-Calc!F19))+B2678+(ArtifactsInput!$M$24-ArtifactsInput!$M$24)*CHOOSE(ArtifactsInput!$N$24+1,10,12,14,16,18,20)+IF(ArtifactsInput!$M$10,CHOOSE(ArtifactsInput!$N$10+1,15,18,21,24,27,30)*(IF(Inputs!$B$38="pvp",MIN(15,15)/15,IF(AND(Inputs!$B$38&lt;&gt;"pvp",Inputs!$B$43&gt;0),MIN(15,Inputs!$B$43)/(Inputs!$B$43),0))),0)))&gt;=100),CHOOSE(ArtifactsInput!$N$42+1,40,48,56,64,72,80),0))))/100)*((1+(((C2664=TRUE)*F2664*5/7)+((C2671=TRUE)*(F2671-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IF(ArtifactsInput!$M$37,FALSE,TRUE),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2659)</f>
        <v/>
      </c>
      <c r="L2659">
        <f>K2659*(MIN(Inputs!$B$22+((C2669=TRUE)*(F2669-Calc!F22)),(Inputs!$B$23+0+(IF(ArtifactsInput!$M$15,CHOOSE(ArtifactsInput!$N$15+1,25,30,35,40,45,50)/100*(Inputs!$B$11-Inputs!$B$11),0))))/100+(Inputs!$B$23+0+(IF(ArtifactsInput!$M$15,CHOOSE(ArtifactsInput!$N$15+1,25,30,35,40,45,50)/100*(Inputs!$B$11-Inputs!$B$11),0)))/100)/2</f>
        <v/>
      </c>
      <c r="M2659">
        <f>L2659*(1+(Inputs!$B$10+((C2672=TRUE)*(F2672-Calc!F25))+B2683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59">
        <f>L2659*(1-MIN((Inputs!$B$9+((C2666=TRUE)*(F2666-Calc!F19))+B2678+(ArtifactsInput!$M$24-ArtifactsInput!$M$24)*CHOOSE(ArtifactsInput!$N$24+1,10,12,14,16,18,20)+(IF(AND(Inputs!$B$38&lt;&gt;"pvp",Inputs!$B$43=0),1,IF(IF(Inputs!$B$38="pvp",15,Inputs!$B$43)-(B2685)&lt;=0,1,MAX(0,IF(Inputs!$B$38="pvp",15,Inputs!$B$43)-MAX(5,B2685))/(IF(Inputs!$B$38="pvp",15,Inputs!$B$43)-(B2685))))*IF(AND(ArtifactsInput!$M$42,((Inputs!$B$9+((C2666=TRUE)*(F2666-Calc!F19))+B2678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2659*(MIN((Inputs!$B$9+((C2666=TRUE)*(F2666-Calc!F19))+B2678+(ArtifactsInput!$M$24-ArtifactsInput!$M$24)*CHOOSE(ArtifactsInput!$N$24+1,10,12,14,16,18,20)+(IF(AND(Inputs!$B$38&lt;&gt;"pvp",Inputs!$B$43=0),1,IF(IF(Inputs!$B$38="pvp",15,Inputs!$B$43)-(B2685)&lt;=0,1,MAX(0,IF(Inputs!$B$38="pvp",15,Inputs!$B$43)-MAX(5,B2685))/(IF(Inputs!$B$38="pvp",15,Inputs!$B$43)-(B2685))))*IF(AND(ArtifactsInput!$M$42,((Inputs!$B$9+((C2666=TRUE)*(F2666-Calc!F19))+B2678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59">
        <f>(1-Summary!$B$11)*T2659+Summary!$B$11*V2659</f>
        <v/>
      </c>
      <c r="P2659">
        <f>IF(B2688=0,0,O2659/B2688)</f>
        <v/>
      </c>
      <c r="Q2659">
        <f>IFERROR(1/(IF(Inputs!$B$38="pvp",15,MAX(0.1,Skills!D12-IF(TRUE=TRUE,Inputs!$B$32,0)))*(1-IF(AND(ArtifactsInput!$M$27,Inputs!$B$4="Chapter Hunt"),CHOOSE(ArtifactsInput!$N$27+1,20,24,28,32,36,40),0)/100)),0)</f>
        <v/>
      </c>
      <c r="R2659">
        <f>IF(AND(Inputs!$B$38&lt;&gt;"pvp",Inputs!$B$43&gt;0),IF(MAX(0,Inputs!$B$43-B2685)&lt;=0,0,(INT(MAX(0,Inputs!$B$43-B2685)/(IF(Inputs!$B$38="pvp",15,MAX(0.1,Skills!D12-IF(TRUE=TRUE,Inputs!$B$32,0)))*(1-IF(AND(ArtifactsInput!$M$27,Inputs!$B$4="Chapter Hunt"),CHOOSE(ArtifactsInput!$N$27+1,20,24,28,32,36,40),0)/100)))+1)),0)</f>
        <v/>
      </c>
      <c r="S2659">
        <f>IFERROR(O2659/N2659,0)</f>
        <v/>
      </c>
      <c r="T2659">
        <f>IF(C2659,(H2659*N2659*IF(AND(Inputs!$B$38&lt;&gt;"pvp",Inputs!$B$43&gt;0),((Skills!G12*((R2659-1)*IF(Skills!H12&gt;0,INT(Skills!I12/Skills!H12+0.000000001),1)+IF(Skills!H12&gt;0,INT(MIN(Skills!I12,MAX(0,MAX(0,Inputs!$B$43-B2685)-((R2659-1)*(IF(Inputs!$B$38="pvp",15,MAX(0.1,Skills!D12-IF(TRUE=TRUE,Inputs!$B$32,0)))*(1-IF(AND(ArtifactsInput!$M$27,Inputs!$B$4="Chapter Hunt"),CHOOSE(ArtifactsInput!$N$27+1,20,24,28,32,36,40),0)/100)))))/Skills!H12+0.000000001),1)))/Inputs!$B$43),G2659*Q2659))*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Hunt"),CHOOSE(ArtifactsInput!$N$35+1,15,18,21,24,27,30)*(1-EXP(-(0.2*B2680)*5)),0)+IF(AND(ArtifactsInput!$M$22,Inputs!$B$4&lt;&gt;"Chapter Hunt"),CHOOSE(ArtifactsInput!$N$22+1,10,12,14,16,18,20)*((0*(((0.15*B2680*5))^0/1)+1*(((0.15*B2680*5))^1/1)+2*(((0.15*B2680*5))^2/2)+3*(((0.15*B2680*5))^3/6)+4*(((0.15*B2680*5))^4/24)+5*(((0.15*B2680*5))^5/120))/((((0.15*B2680*5))^0/1)+(((0.15*B2680*5))^1/1)+(((0.15*B2680*5))^2/2)+(((0.15*B2680*5))^3/6)+(((0.15*B2680*5))^4/24)+(((0.15*B2680*5))^5/120))),0))+IF(Inputs!$B$3&gt;=54,9*(C2650=TRUE)*MIN(1,8*(1+Inputs!$B$34/100)*Q2650)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2659*(1-MIN(100,(Inputs!$B$9+((C2666=TRUE)*(F2666-Calc!F19))+B2678+(ArtifactsInput!$M$24-ArtifactsInput!$M$24)*CHOOSE(ArtifactsInput!$N$24+1,10,12,14,16,18,20)+(IF(AND(Inputs!$B$38&lt;&gt;"pvp",Inputs!$B$43=0),1,IF(IF(Inputs!$B$38="pvp",15,Inputs!$B$43)-(B2685)&lt;=0,1,MAX(0,IF(Inputs!$B$38="pvp",15,Inputs!$B$43)-MAX(5,B2685))/(IF(Inputs!$B$38="pvp",15,Inputs!$B$43)-(B2685))))*IF(AND(ArtifactsInput!$M$42,((Inputs!$B$9+((C2666=TRUE)*(F2666-Calc!F19))+B2678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2659*(MIN(100,(Inputs!$B$9+((C2666=TRUE)*(F2666-Calc!F19))+B2678+(ArtifactsInput!$M$24-ArtifactsInput!$M$24)*CHOOSE(ArtifactsInput!$N$24+1,10,12,14,16,18,20)+(IF(AND(Inputs!$B$38&lt;&gt;"pvp",Inputs!$B$43=0),1,IF(IF(Inputs!$B$38="pvp",15,Inputs!$B$43)-(B2685)&lt;=0,1,MAX(0,IF(Inputs!$B$38="pvp",15,Inputs!$B$43)-MAX(5,B2685))/(IF(Inputs!$B$38="pvp",15,Inputs!$B$43)-(B2685))))*IF(AND(ArtifactsInput!$M$42,((Inputs!$B$9+((C2666=TRUE)*(F2666-Calc!F19))+B2678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2659*(1-MIN(100,(Inputs!$B$9+((C2666=TRUE)*(F2666-Calc!F19))+B2678+(ArtifactsInput!$M$24-ArtifactsInput!$M$24)*CHOOSE(ArtifactsInput!$N$24+1,10,12,14,16,18,20)+(IF(AND(Inputs!$B$38&lt;&gt;"pvp",Inputs!$B$43=0),1,IF(IF(Inputs!$B$38="pvp",15,Inputs!$B$43)-(B2685)&lt;=0,1,MAX(0,IF(Inputs!$B$38="pvp",15,Inputs!$B$43)-MAX(5,B2685))/(IF(Inputs!$B$38="pvp",15,Inputs!$B$43)-(B2685))))*IF(AND(ArtifactsInput!$M$42,((Inputs!$B$9+((C2666=TRUE)*(F2666-Calc!F19))+B2678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2659*(MIN(100,(Inputs!$B$9+((C2666=TRUE)*(F2666-Calc!F19))+B2678+(ArtifactsInput!$M$24-ArtifactsInput!$M$24)*CHOOSE(ArtifactsInput!$N$24+1,10,12,14,16,18,20)+(IF(AND(Inputs!$B$38&lt;&gt;"pvp",Inputs!$B$43=0),1,IF(IF(Inputs!$B$38="pvp",15,Inputs!$B$43)-(B2685)&lt;=0,1,MAX(0,IF(Inputs!$B$38="pvp",15,Inputs!$B$43)-MAX(5,B2685))/(IF(Inputs!$B$38="pvp",15,Inputs!$B$43)-(B2685))))*IF(AND(ArtifactsInput!$M$42,((Inputs!$B$9+((C2666=TRUE)*(F2666-Calc!F19))+B2678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59">
        <f>IF(C2659,(H2659*N2659*IF(AND(Inputs!$B$38&lt;&gt;"pvp",Inputs!$B$43&gt;0),((Skills!G12*((R2659-1)*IF(Skills!H12&gt;0,INT(Skills!I12/Skills!H12+0.000000001),1)+IF(Skills!H12&gt;0,INT(MIN(Skills!I12,MAX(0,MAX(0,Inputs!$B$43-B2685)-((R2659-1)*(IF(Inputs!$B$38="pvp",15,MAX(0.1,Skills!D12-IF(TRUE=TRUE,Inputs!$B$32,0)))*(1-IF(AND(ArtifactsInput!$M$27,Inputs!$B$4="Chapter Hunt"),CHOOSE(ArtifactsInput!$N$27+1,20,24,28,32,36,40),0)/100)))))/Skills!H12+0.000000001),1)))/Inputs!$B$43),G2659*Q2659))*IF(Inputs!$B$38="pvp",1,(1+(Inputs!$B$21+Skills!Q12+(IF(ArtifactsInput!$M$33,CHOOSE(ArtifactsInput!$N$33+1,30,36,42,48,54,60),0))+(IF(AND(ArtifactsInput!$M$35,Inputs!$B$4&lt;&gt;"Chapter Hunt"),CHOOSE(ArtifactsInput!$N$35+1,15,18,21,24,27,30)*(1-EXP(-(0.2*B2680)*5)),0)+IF(AND(ArtifactsInput!$M$22,Inputs!$B$4&lt;&gt;"Chapter Hunt"),CHOOSE(ArtifactsInput!$N$22+1,10,12,14,16,18,20)*((0*(((0.15*B2680*5))^0/1)+1*(((0.15*B2680*5))^1/1)+2*(((0.15*B2680*5))^2/2)+3*(((0.15*B2680*5))^3/6)+4*(((0.15*B2680*5))^4/24)+5*(((0.15*B2680*5))^5/120))/((((0.15*B2680*5))^0/1)+(((0.15*B2680*5))^1/1)+(((0.15*B2680*5))^2/2)+(((0.15*B2680*5))^3/6)+(((0.15*B2680*5))^4/24)+(((0.15*B2680*5))^5/120))),0))+IF(Inputs!$B$3&gt;=54,9*(C2650=TRUE)*MIN(1,8*(1+Inputs!$B$34/100)*Q2650),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60">
      <c r="A2660">
        <f>Skills!A13</f>
        <v/>
      </c>
      <c r="B2660">
        <f>Skills!B13</f>
        <v/>
      </c>
      <c r="C2660">
        <f>Inputs!$B$3&gt;=110</f>
        <v/>
      </c>
      <c r="D2660">
        <f>IF(Skills!C13=1,60+Inputs!$B$25+Inputs!$B$29,IF(Skills!C13=2,90+Inputs!$B$26+Inputs!$B$29,IF(Skills!C13=3,120+Inputs!$B$27+Inputs!$B$29,MAX(0,(Inputs!$B$3-100)*3)+Inputs!$B$28+Inputs!$B$29)))</f>
        <v/>
      </c>
      <c r="E2660">
        <f>INDEX(FactorTable!$B$2:$Y$301, MATCH(ROUND(MIN(300,MAX(1,D2660)),0), FactorTable!$A$2:$A$301,0), Skills!M13+1)</f>
        <v/>
      </c>
      <c r="F2660">
        <f>IF(Skills!N13=TRUE,(Skills!L13/10)*(E2660/1000),Skills!L13/10)+Skills!O13</f>
        <v/>
      </c>
      <c r="G2660">
        <f>Skills!G13*IF(Skills!H13&gt;0,INT(IF(Inputs!$B$38="pvp",MIN(Skills!I13,15),Skills!I13)/Skills!H13+0.000000001),1)</f>
        <v/>
      </c>
      <c r="H2660">
        <f>1-(1-Skills!J13/100)^Skills!K13</f>
        <v/>
      </c>
      <c r="I2660" t="inlineStr">
        <is>
          <t>1</t>
        </is>
      </c>
      <c r="J2660">
        <f>((Inputs!$B$6*(1+Inputs!$B$7/100))+(((Inputs!$B$12*(1+Inputs!$B$13/100))-(Inputs!$B$12*(1+Inputs!$B$13/100)))+0.25*(Inputs!$B$14-Inputs!$B$14))*(1+Inputs!$B$7/100))*(F2660/100)</f>
        <v/>
      </c>
      <c r="K2660">
        <f>J2660*(1+((Inputs!$B$12*(1+Inputs!$B$13/100))*0.01+Inputs!$B$14*0.0025)/100)*(1+Inputs!$B$15/100)*(1+Inputs!$B$16/100)*(5000/(6000+Inputs!$B$42*(1-(100*(1-(1-(Inputs!$B$19+0)/100)*(1-CHOOSE(ArtifactsInput!$N$40+1,5,6,7,8,9,10)/100)^(ArtifactsInput!$M$40-ArtifactsInput!$M$40)))/100)))*(1+(Inputs!$B$24+((C2673=TRUE)*(F2673-Calc!F26))+B2684)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EIGHT_LEGS_EASTON",Inputs!$B$17+((C2670=TRUE)*(F2670-Calc!F23))+((C2674=TRUE)*(F2674-Calc!F27))+((IF(AND(Inputs!$B$38&lt;&gt;"pvp",Inputs!$B$43=0),1,IF(IF(Inputs!$B$38="pvp",15,Inputs!$B$43)-(B2685)&lt;=0,1,MAX(0,IF(Inputs!$B$38="pvp",15,Inputs!$B$43)-MAX(5,B2685))/(IF(Inputs!$B$38="pvp",15,Inputs!$B$43)-(B2685))))*(IF(AND(ArtifactsInput!$M$42,((Inputs!$B$9+((C2666=TRUE)*(F2666-Calc!F19))+B2678+(ArtifactsInput!$M$24-ArtifactsInput!$M$24)*CHOOSE(ArtifactsInput!$N$24+1,10,12,14,16,18,20)+IF(ArtifactsInput!$M$10,CHOOSE(ArtifactsInput!$N$10+1,15,18,21,24,27,30)*(IF(Inputs!$B$38="pvp",MIN(15,15)/15,IF(AND(Inputs!$B$38&lt;&gt;"pvp",Inputs!$B$43&gt;0),MIN(15,Inputs!$B$43)/(Inputs!$B$43),0))),0)))&gt;=100),MIN(100,((Inputs!$B$9+((C2666=TRUE)*(F2666-Calc!F19))+B2678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2685)&lt;=0,1,MAX(0,IF(Inputs!$B$38="pvp",15,Inputs!$B$43)-MAX(5,B2685))/(IF(Inputs!$B$38="pvp",15,Inputs!$B$43)-(B2685))))*IF(AND(ArtifactsInput!$M$42,((Inputs!$B$9+((C2666=TRUE)*(F2666-Calc!F19))+B2678+(ArtifactsInput!$M$24-ArtifactsInput!$M$24)*CHOOSE(ArtifactsInput!$N$24+1,10,12,14,16,18,20)+IF(ArtifactsInput!$M$10,CHOOSE(ArtifactsInput!$N$10+1,15,18,21,24,27,30)*(IF(Inputs!$B$38="pvp",MIN(15,15)/15,IF(AND(Inputs!$B$38&lt;&gt;"pvp",Inputs!$B$43&gt;0),MIN(15,Inputs!$B$43)/(Inputs!$B$43),0))),0)))&gt;=100),CHOOSE(ArtifactsInput!$N$42+1,40,48,56,64,72,80),0))))/100)*((1+(((C2664=TRUE)*F2664*5/7)+((C2671=TRUE)*(F2671-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IF(ArtifactsInput!$M$37,FALSE,TRUE),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2660)</f>
        <v/>
      </c>
      <c r="L2660">
        <f>K2660*(MIN(Inputs!$B$22+((C2669=TRUE)*(F2669-Calc!F22)),(Inputs!$B$23+0+(IF(ArtifactsInput!$M$15,CHOOSE(ArtifactsInput!$N$15+1,25,30,35,40,45,50)/100*(Inputs!$B$11-Inputs!$B$11),0))))/100+(Inputs!$B$23+0+(IF(ArtifactsInput!$M$15,CHOOSE(ArtifactsInput!$N$15+1,25,30,35,40,45,50)/100*(Inputs!$B$11-Inputs!$B$11),0)))/100)/2</f>
        <v/>
      </c>
      <c r="M2660">
        <f>L2660*(1+(Inputs!$B$10+((C2672=TRUE)*(F2672-Calc!F25))+B2683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60">
        <f>L2660*(1-MIN((Inputs!$B$9+((C2666=TRUE)*(F2666-Calc!F19))+B2678+(ArtifactsInput!$M$24-ArtifactsInput!$M$24)*CHOOSE(ArtifactsInput!$N$24+1,10,12,14,16,18,20)+(IF(AND(Inputs!$B$38&lt;&gt;"pvp",Inputs!$B$43=0),1,IF(IF(Inputs!$B$38="pvp",15,Inputs!$B$43)-(B2685)&lt;=0,1,MAX(0,IF(Inputs!$B$38="pvp",15,Inputs!$B$43)-MAX(5,B2685))/(IF(Inputs!$B$38="pvp",15,Inputs!$B$43)-(B2685))))*IF(AND(ArtifactsInput!$M$42,((Inputs!$B$9+((C2666=TRUE)*(F2666-Calc!F19))+B2678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2660*(MIN((Inputs!$B$9+((C2666=TRUE)*(F2666-Calc!F19))+B2678+(ArtifactsInput!$M$24-ArtifactsInput!$M$24)*CHOOSE(ArtifactsInput!$N$24+1,10,12,14,16,18,20)+(IF(AND(Inputs!$B$38&lt;&gt;"pvp",Inputs!$B$43=0),1,IF(IF(Inputs!$B$38="pvp",15,Inputs!$B$43)-(B2685)&lt;=0,1,MAX(0,IF(Inputs!$B$38="pvp",15,Inputs!$B$43)-MAX(5,B2685))/(IF(Inputs!$B$38="pvp",15,Inputs!$B$43)-(B2685))))*IF(AND(ArtifactsInput!$M$42,((Inputs!$B$9+((C2666=TRUE)*(F2666-Calc!F19))+B2678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60">
        <f>(1-Summary!$B$11)*T2660+Summary!$B$11*V2660</f>
        <v/>
      </c>
      <c r="P2660">
        <f>IF(B2688=0,0,O2660/B2688)</f>
        <v/>
      </c>
      <c r="Q2660">
        <f>IFERROR(1/(IF(Inputs!$B$38="pvp",15,MAX(0.1,Skills!D13-IF(TRUE=TRUE,Inputs!$B$32,0)))*(1-IF(AND(ArtifactsInput!$M$27,Inputs!$B$4="Chapter Hunt"),CHOOSE(ArtifactsInput!$N$27+1,20,24,28,32,36,40),0)/100)),0)</f>
        <v/>
      </c>
      <c r="R2660">
        <f>IF(AND(Inputs!$B$38&lt;&gt;"pvp",Inputs!$B$43&gt;0),IF(MAX(0,Inputs!$B$43-B2685)&lt;=0,0,(INT(MAX(0,Inputs!$B$43-B2685)/(IF(Inputs!$B$38="pvp",15,MAX(0.1,Skills!D13-IF(TRUE=TRUE,Inputs!$B$32,0)))*(1-IF(AND(ArtifactsInput!$M$27,Inputs!$B$4="Chapter Hunt"),CHOOSE(ArtifactsInput!$N$27+1,20,24,28,32,36,40),0)/100)))+1)),0)</f>
        <v/>
      </c>
      <c r="S2660">
        <f>IFERROR(O2660/N2660,0)</f>
        <v/>
      </c>
      <c r="T2660">
        <f>IF(C2660,(H2660*N2660*IF(AND(Inputs!$B$38&lt;&gt;"pvp",Inputs!$B$43&gt;0),((Skills!G13*((R2660-1)*IF(Skills!H13&gt;0,INT(Skills!I13/Skills!H13+0.000000001),1)+IF(Skills!H13&gt;0,INT(MIN(Skills!I13,MAX(0,MAX(0,Inputs!$B$43-B2685)-((R2660-1)*(IF(Inputs!$B$38="pvp",15,MAX(0.1,Skills!D13-IF(TRUE=TRUE,Inputs!$B$32,0)))*(1-IF(AND(ArtifactsInput!$M$27,Inputs!$B$4="Chapter Hunt"),CHOOSE(ArtifactsInput!$N$27+1,20,24,28,32,36,40),0)/100)))))/Skills!H13+0.000000001),1)))/Inputs!$B$43),G2660*Q2660))*IF(Inputs!$B$38="pvp",1,1+(Inputs!$B$20+0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Hunt"),CHOOSE(ArtifactsInput!$N$35+1,15,18,21,24,27,30)*(1-EXP(-(0.2*B2680)*5)),0)+IF(AND(ArtifactsInput!$M$22,Inputs!$B$4&lt;&gt;"Chapter Hunt"),CHOOSE(ArtifactsInput!$N$22+1,10,12,14,16,18,20)*((0*(((0.15*B2680*5))^0/1)+1*(((0.15*B2680*5))^1/1)+2*(((0.15*B2680*5))^2/2)+3*(((0.15*B2680*5))^3/6)+4*(((0.15*B2680*5))^4/24)+5*(((0.15*B2680*5))^5/120))/((((0.15*B2680*5))^0/1)+(((0.15*B2680*5))^1/1)+(((0.15*B2680*5))^2/2)+(((0.15*B2680*5))^3/6)+(((0.15*B2680*5))^4/24)+(((0.15*B2680*5))^5/120))),0))+IF(Inputs!$B$3&gt;=54,9*(C2650=TRUE)*MIN(1,8*(1+Inputs!$B$34/100)*Q2650)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2660*(1-MIN(100,(Inputs!$B$9+((C2666=TRUE)*(F2666-Calc!F19))+B2678+(ArtifactsInput!$M$24-ArtifactsInput!$M$24)*CHOOSE(ArtifactsInput!$N$24+1,10,12,14,16,18,20)+(IF(AND(Inputs!$B$38&lt;&gt;"pvp",Inputs!$B$43=0),1,IF(IF(Inputs!$B$38="pvp",15,Inputs!$B$43)-(B2685)&lt;=0,1,MAX(0,IF(Inputs!$B$38="pvp",15,Inputs!$B$43)-MAX(5,B2685))/(IF(Inputs!$B$38="pvp",15,Inputs!$B$43)-(B2685))))*IF(AND(ArtifactsInput!$M$42,((Inputs!$B$9+((C2666=TRUE)*(F2666-Calc!F19))+B2678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2660*(MIN(100,(Inputs!$B$9+((C2666=TRUE)*(F2666-Calc!F19))+B2678+(ArtifactsInput!$M$24-ArtifactsInput!$M$24)*CHOOSE(ArtifactsInput!$N$24+1,10,12,14,16,18,20)+(IF(AND(Inputs!$B$38&lt;&gt;"pvp",Inputs!$B$43=0),1,IF(IF(Inputs!$B$38="pvp",15,Inputs!$B$43)-(B2685)&lt;=0,1,MAX(0,IF(Inputs!$B$38="pvp",15,Inputs!$B$43)-MAX(5,B2685))/(IF(Inputs!$B$38="pvp",15,Inputs!$B$43)-(B2685))))*IF(AND(ArtifactsInput!$M$42,((Inputs!$B$9+((C2666=TRUE)*(F2666-Calc!F19))+B2678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2660*(1-MIN(100,(Inputs!$B$9+((C2666=TRUE)*(F2666-Calc!F19))+B2678+(ArtifactsInput!$M$24-ArtifactsInput!$M$24)*CHOOSE(ArtifactsInput!$N$24+1,10,12,14,16,18,20)+(IF(AND(Inputs!$B$38&lt;&gt;"pvp",Inputs!$B$43=0),1,IF(IF(Inputs!$B$38="pvp",15,Inputs!$B$43)-(B2685)&lt;=0,1,MAX(0,IF(Inputs!$B$38="pvp",15,Inputs!$B$43)-MAX(5,B2685))/(IF(Inputs!$B$38="pvp",15,Inputs!$B$43)-(B2685))))*IF(AND(ArtifactsInput!$M$42,((Inputs!$B$9+((C2666=TRUE)*(F2666-Calc!F19))+B2678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2660*(MIN(100,(Inputs!$B$9+((C2666=TRUE)*(F2666-Calc!F19))+B2678+(ArtifactsInput!$M$24-ArtifactsInput!$M$24)*CHOOSE(ArtifactsInput!$N$24+1,10,12,14,16,18,20)+(IF(AND(Inputs!$B$38&lt;&gt;"pvp",Inputs!$B$43=0),1,IF(IF(Inputs!$B$38="pvp",15,Inputs!$B$43)-(B2685)&lt;=0,1,MAX(0,IF(Inputs!$B$38="pvp",15,Inputs!$B$43)-MAX(5,B2685))/(IF(Inputs!$B$38="pvp",15,Inputs!$B$43)-(B2685))))*IF(AND(ArtifactsInput!$M$42,((Inputs!$B$9+((C2666=TRUE)*(F2666-Calc!F19))+B2678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60">
        <f>IF(C2660,(H2660*N2660*IF(AND(Inputs!$B$38&lt;&gt;"pvp",Inputs!$B$43&gt;0),((Skills!G13*((R2660-1)*IF(Skills!H13&gt;0,INT(Skills!I13/Skills!H13+0.000000001),1)+IF(Skills!H13&gt;0,INT(MIN(Skills!I13,MAX(0,MAX(0,Inputs!$B$43-B2685)-((R2660-1)*(IF(Inputs!$B$38="pvp",15,MAX(0.1,Skills!D13-IF(TRUE=TRUE,Inputs!$B$32,0)))*(1-IF(AND(ArtifactsInput!$M$27,Inputs!$B$4="Chapter Hunt"),CHOOSE(ArtifactsInput!$N$27+1,20,24,28,32,36,40),0)/100)))))/Skills!H13+0.000000001),1)))/Inputs!$B$43),G2660*Q2660))*IF(Inputs!$B$38="pvp",1,(1+(Inputs!$B$21+Skills!Q13+(IF(ArtifactsInput!$M$33,CHOOSE(ArtifactsInput!$N$33+1,30,36,42,48,54,60),0))+(IF(AND(ArtifactsInput!$M$35,Inputs!$B$4&lt;&gt;"Chapter Hunt"),CHOOSE(ArtifactsInput!$N$35+1,15,18,21,24,27,30)*(1-EXP(-(0.2*B2680)*5)),0)+IF(AND(ArtifactsInput!$M$22,Inputs!$B$4&lt;&gt;"Chapter Hunt"),CHOOSE(ArtifactsInput!$N$22+1,10,12,14,16,18,20)*((0*(((0.15*B2680*5))^0/1)+1*(((0.15*B2680*5))^1/1)+2*(((0.15*B2680*5))^2/2)+3*(((0.15*B2680*5))^3/6)+4*(((0.15*B2680*5))^4/24)+5*(((0.15*B2680*5))^5/120))/((((0.15*B2680*5))^0/1)+(((0.15*B2680*5))^1/1)+(((0.15*B2680*5))^2/2)+(((0.15*B2680*5))^3/6)+(((0.15*B2680*5))^4/24)+(((0.15*B2680*5))^5/120))),0))+IF(Inputs!$B$3&gt;=54,9*(C2650=TRUE)*MIN(1,8*(1+Inputs!$B$34/100)*Q2650),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61">
      <c r="A2661">
        <f>Skills!A14</f>
        <v/>
      </c>
      <c r="B2661">
        <f>Skills!B14</f>
        <v/>
      </c>
      <c r="C2661">
        <f>Inputs!$B$3&gt;=120</f>
        <v/>
      </c>
      <c r="D2661">
        <f>IF(Skills!C14=1,60+Inputs!$B$25+Inputs!$B$29,IF(Skills!C14=2,90+Inputs!$B$26+Inputs!$B$29,IF(Skills!C14=3,120+Inputs!$B$27+Inputs!$B$29,MAX(0,(Inputs!$B$3-100)*3)+Inputs!$B$28+Inputs!$B$29)))</f>
        <v/>
      </c>
      <c r="E2661">
        <f>INDEX(FactorTable!$B$2:$Y$301, MATCH(ROUND(MIN(300,MAX(1,D2661)),0), FactorTable!$A$2:$A$301,0), Skills!M14+1)</f>
        <v/>
      </c>
      <c r="F2661">
        <f>IF(Skills!N14=TRUE,(Skills!L14/10)*(E2661/1000),Skills!L14/10)+Skills!O14</f>
        <v/>
      </c>
      <c r="G2661">
        <f>Skills!G14*IF(Skills!H14&gt;0,INT(IF(Inputs!$B$38="pvp",MIN(Skills!I14,15),Skills!I14)/Skills!H14+0.000000001),1)</f>
        <v/>
      </c>
      <c r="H2661">
        <f>1-(1-Skills!J14/100)^Skills!K14</f>
        <v/>
      </c>
      <c r="I2661" t="inlineStr">
        <is>
          <t>1</t>
        </is>
      </c>
      <c r="J2661">
        <f>((Inputs!$B$6*(1+Inputs!$B$7/100))+(((Inputs!$B$12*(1+Inputs!$B$13/100))-(Inputs!$B$12*(1+Inputs!$B$13/100)))+0.25*(Inputs!$B$14-Inputs!$B$14))*(1+Inputs!$B$7/100))*(F2661/100)</f>
        <v/>
      </c>
      <c r="K2661">
        <f>J2661*(1+((Inputs!$B$12*(1+Inputs!$B$13/100))*0.01+Inputs!$B$14*0.0025)/100)*(1+Inputs!$B$15/100)*(1+Inputs!$B$16/100)*(5000/(6000+Inputs!$B$42*(1-(100*(1-(1-(Inputs!$B$19+0)/100)*(1-CHOOSE(ArtifactsInput!$N$40+1,5,6,7,8,9,10)/100)^(ArtifactsInput!$M$40-ArtifactsInput!$M$40)))/100)))*(1+(Inputs!$B$24+((C2673=TRUE)*(F2673-Calc!F26))+B2684)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EIGHT_LEGS_EASTON",Inputs!$B$17+((C2670=TRUE)*(F2670-Calc!F23))+((C2674=TRUE)*(F2674-Calc!F27))+((IF(AND(Inputs!$B$38&lt;&gt;"pvp",Inputs!$B$43=0),1,IF(IF(Inputs!$B$38="pvp",15,Inputs!$B$43)-(B2685)&lt;=0,1,MAX(0,IF(Inputs!$B$38="pvp",15,Inputs!$B$43)-MAX(5,B2685))/(IF(Inputs!$B$38="pvp",15,Inputs!$B$43)-(B2685))))*(IF(AND(ArtifactsInput!$M$42,((Inputs!$B$9+((C2666=TRUE)*(F2666-Calc!F19))+B2678+(ArtifactsInput!$M$24-ArtifactsInput!$M$24)*CHOOSE(ArtifactsInput!$N$24+1,10,12,14,16,18,20)+IF(ArtifactsInput!$M$10,CHOOSE(ArtifactsInput!$N$10+1,15,18,21,24,27,30)*(IF(Inputs!$B$38="pvp",MIN(15,15)/15,IF(AND(Inputs!$B$38&lt;&gt;"pvp",Inputs!$B$43&gt;0),MIN(15,Inputs!$B$43)/(Inputs!$B$43),0))),0)))&gt;=100),MIN(100,((Inputs!$B$9+((C2666=TRUE)*(F2666-Calc!F19))+B2678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2685)&lt;=0,1,MAX(0,IF(Inputs!$B$38="pvp",15,Inputs!$B$43)-MAX(5,B2685))/(IF(Inputs!$B$38="pvp",15,Inputs!$B$43)-(B2685))))*IF(AND(ArtifactsInput!$M$42,((Inputs!$B$9+((C2666=TRUE)*(F2666-Calc!F19))+B2678+(ArtifactsInput!$M$24-ArtifactsInput!$M$24)*CHOOSE(ArtifactsInput!$N$24+1,10,12,14,16,18,20)+IF(ArtifactsInput!$M$10,CHOOSE(ArtifactsInput!$N$10+1,15,18,21,24,27,30)*(IF(Inputs!$B$38="pvp",MIN(15,15)/15,IF(AND(Inputs!$B$38&lt;&gt;"pvp",Inputs!$B$43&gt;0),MIN(15,Inputs!$B$43)/(Inputs!$B$43),0))),0)))&gt;=100),CHOOSE(ArtifactsInput!$N$42+1,40,48,56,64,72,80),0))))/100)*((1+(((C2664=TRUE)*F2664*5/7)+((C2671=TRUE)*(F2671-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IF(ArtifactsInput!$M$37,FALSE,TRUE),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2661)</f>
        <v/>
      </c>
      <c r="L2661">
        <f>K2661*(MIN(Inputs!$B$22+((C2669=TRUE)*(F2669-Calc!F22)),(Inputs!$B$23+0+(IF(ArtifactsInput!$M$15,CHOOSE(ArtifactsInput!$N$15+1,25,30,35,40,45,50)/100*(Inputs!$B$11-Inputs!$B$11),0))))/100+(Inputs!$B$23+0+(IF(ArtifactsInput!$M$15,CHOOSE(ArtifactsInput!$N$15+1,25,30,35,40,45,50)/100*(Inputs!$B$11-Inputs!$B$11),0)))/100)/2</f>
        <v/>
      </c>
      <c r="M2661">
        <f>L2661*(1+(Inputs!$B$10+((C2672=TRUE)*(F2672-Calc!F25))+B2683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61">
        <f>L2661*(1-MIN((Inputs!$B$9+((C2666=TRUE)*(F2666-Calc!F19))+B2678+(ArtifactsInput!$M$24-ArtifactsInput!$M$24)*CHOOSE(ArtifactsInput!$N$24+1,10,12,14,16,18,20)+(IF(AND(Inputs!$B$38&lt;&gt;"pvp",Inputs!$B$43=0),1,IF(IF(Inputs!$B$38="pvp",15,Inputs!$B$43)-(B2685)&lt;=0,1,MAX(0,IF(Inputs!$B$38="pvp",15,Inputs!$B$43)-MAX(5,B2685))/(IF(Inputs!$B$38="pvp",15,Inputs!$B$43)-(B2685))))*IF(AND(ArtifactsInput!$M$42,((Inputs!$B$9+((C2666=TRUE)*(F2666-Calc!F19))+B2678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2661*(MIN((Inputs!$B$9+((C2666=TRUE)*(F2666-Calc!F19))+B2678+(ArtifactsInput!$M$24-ArtifactsInput!$M$24)*CHOOSE(ArtifactsInput!$N$24+1,10,12,14,16,18,20)+(IF(AND(Inputs!$B$38&lt;&gt;"pvp",Inputs!$B$43=0),1,IF(IF(Inputs!$B$38="pvp",15,Inputs!$B$43)-(B2685)&lt;=0,1,MAX(0,IF(Inputs!$B$38="pvp",15,Inputs!$B$43)-MAX(5,B2685))/(IF(Inputs!$B$38="pvp",15,Inputs!$B$43)-(B2685))))*IF(AND(ArtifactsInput!$M$42,((Inputs!$B$9+((C2666=TRUE)*(F2666-Calc!F19))+B2678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61">
        <f>(1-Summary!$B$11)*T2661+Summary!$B$11*V2661</f>
        <v/>
      </c>
      <c r="P2661">
        <f>IF(B2688=0,0,O2661/B2688)</f>
        <v/>
      </c>
      <c r="Q2661" t="n">
        <v>0</v>
      </c>
      <c r="R2661" t="n">
        <v>0</v>
      </c>
      <c r="S2661">
        <f>IFERROR(O2661/N2661,0)</f>
        <v/>
      </c>
      <c r="T2661">
        <f>IF(C2661,((H2661*(B2682+IF(AND(Inputs!$B$38&lt;&gt;"pvp",Inputs!$B$43&gt;0),((Skills!G8*((R2655-1)*IF(Skills!H8&gt;0,INT(Skills!I8/Skills!H8+0.000000001),1)+IF(Skills!H8&gt;0,INT(MIN(Skills!I8,MAX(0,MAX(0,Inputs!$B$43-B2685)-((R2655-1)*((IF(Inputs!$B$38="pvp",15,MAX(0.1,Skills!D8-IF(TRUE=TRUE,Inputs!$B$32,0)))*(1-IF(AND(ArtifactsInput!$M$27,Inputs!$B$4="Chapter Hunt"),CHOOSE(ArtifactsInput!$N$27+1,20,24,28,32,36,40),0)/100))/B2689))))/Skills!H8+0.000000001),1)))/Inputs!$B$43),G2655*Q2655)+IF(AND(Inputs!$B$38&lt;&gt;"pvp",Inputs!$B$43&gt;0),((Skills!G11*((R2658-1)*IF(Skills!H11&gt;0,INT(Skills!I11/Skills!H11+0.000000001),1)+IF(Skills!H11&gt;0,INT(MIN(Skills!I11,MAX(0,MAX(0,Inputs!$B$43-B2685)-((R2658-1)*((IF(Inputs!$B$38="pvp",15,MAX(0.1,Skills!D11-IF(TRUE=TRUE,Inputs!$B$32,0)))*(1-IF(AND(ArtifactsInput!$M$27,Inputs!$B$4="Chapter Hunt"),CHOOSE(ArtifactsInput!$N$27+1,20,24,28,32,36,40),0)/100))/B2689))))/Skills!H11+0.000000001),1)))/Inputs!$B$43),G2658*Q2658)))/(1+Skills!H14*H2661*(B2682+IF(AND(Inputs!$B$38&lt;&gt;"pvp",Inputs!$B$43&gt;0),((Skills!G8*((R2655-1)*IF(Skills!H8&gt;0,INT(Skills!I8/Skills!H8+0.000000001),1)+IF(Skills!H8&gt;0,INT(MIN(Skills!I8,MAX(0,MAX(0,Inputs!$B$43-B2685)-((R2655-1)*((IF(Inputs!$B$38="pvp",15,MAX(0.1,Skills!D8-IF(TRUE=TRUE,Inputs!$B$32,0)))*(1-IF(AND(ArtifactsInput!$M$27,Inputs!$B$4="Chapter Hunt"),CHOOSE(ArtifactsInput!$N$27+1,20,24,28,32,36,40),0)/100))/B2689))))/Skills!H8+0.000000001),1)))/Inputs!$B$43),G2655*Q2655)+IF(AND(Inputs!$B$38&lt;&gt;"pvp",Inputs!$B$43&gt;0),((Skills!G11*((R2658-1)*IF(Skills!H11&gt;0,INT(Skills!I11/Skills!H11+0.000000001),1)+IF(Skills!H11&gt;0,INT(MIN(Skills!I11,MAX(0,MAX(0,Inputs!$B$43-B2685)-((R2658-1)*((IF(Inputs!$B$38="pvp",15,MAX(0.1,Skills!D11-IF(TRUE=TRUE,Inputs!$B$32,0)))*(1-IF(AND(ArtifactsInput!$M$27,Inputs!$B$4="Chapter Hunt"),CHOOSE(ArtifactsInput!$N$27+1,20,24,28,32,36,40),0)/100))/B2689))))/Skills!H11+0.000000001),1)))/Inputs!$B$43),G2658*Q2658)))*N2661)*IF(Inputs!$B$38="pvp",1,1+(Inputs!$B$20+0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Hunt"),CHOOSE(ArtifactsInput!$N$35+1,15,18,21,24,27,30)*(1-EXP(-(0.2*B2680)*5)),0)+IF(AND(ArtifactsInput!$M$22,Inputs!$B$4&lt;&gt;"Chapter Hunt"),CHOOSE(ArtifactsInput!$N$22+1,10,12,14,16,18,20)*((0*(((0.15*B2680*5))^0/1)+1*(((0.15*B2680*5))^1/1)+2*(((0.15*B2680*5))^2/2)+3*(((0.15*B2680*5))^3/6)+4*(((0.15*B2680*5))^4/24)+5*(((0.15*B2680*5))^5/120))/((((0.15*B2680*5))^0/1)+(((0.15*B2680*5))^1/1)+(((0.15*B2680*5))^2/2)+(((0.15*B2680*5))^3/6)+(((0.15*B2680*5))^4/24)+(((0.15*B2680*5))^5/120))),0))+IF(Inputs!$B$3&gt;=54,9*(C2650=TRUE)*MIN(1,8*(1+Inputs!$B$34/100)*Q2650)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2661*(1-MIN(100,(Inputs!$B$9+((C2666=TRUE)*(F2666-Calc!F19))+B2678+(ArtifactsInput!$M$24-ArtifactsInput!$M$24)*CHOOSE(ArtifactsInput!$N$24+1,10,12,14,16,18,20)+(IF(AND(Inputs!$B$38&lt;&gt;"pvp",Inputs!$B$43=0),1,IF(IF(Inputs!$B$38="pvp",15,Inputs!$B$43)-(B2685)&lt;=0,1,MAX(0,IF(Inputs!$B$38="pvp",15,Inputs!$B$43)-MAX(5,B2685))/(IF(Inputs!$B$38="pvp",15,Inputs!$B$43)-(B2685))))*IF(AND(ArtifactsInput!$M$42,((Inputs!$B$9+((C2666=TRUE)*(F2666-Calc!F19))+B2678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2661*(MIN(100,(Inputs!$B$9+((C2666=TRUE)*(F2666-Calc!F19))+B2678+(ArtifactsInput!$M$24-ArtifactsInput!$M$24)*CHOOSE(ArtifactsInput!$N$24+1,10,12,14,16,18,20)+(IF(AND(Inputs!$B$38&lt;&gt;"pvp",Inputs!$B$43=0),1,IF(IF(Inputs!$B$38="pvp",15,Inputs!$B$43)-(B2685)&lt;=0,1,MAX(0,IF(Inputs!$B$38="pvp",15,Inputs!$B$43)-MAX(5,B2685))/(IF(Inputs!$B$38="pvp",15,Inputs!$B$43)-(B2685))))*IF(AND(ArtifactsInput!$M$42,((Inputs!$B$9+((C2666=TRUE)*(F2666-Calc!F19))+B2678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2661*(1-MIN(100,(Inputs!$B$9+((C2666=TRUE)*(F2666-Calc!F19))+B2678+(ArtifactsInput!$M$24-ArtifactsInput!$M$24)*CHOOSE(ArtifactsInput!$N$24+1,10,12,14,16,18,20)+(IF(AND(Inputs!$B$38&lt;&gt;"pvp",Inputs!$B$43=0),1,IF(IF(Inputs!$B$38="pvp",15,Inputs!$B$43)-(B2685)&lt;=0,1,MAX(0,IF(Inputs!$B$38="pvp",15,Inputs!$B$43)-MAX(5,B2685))/(IF(Inputs!$B$38="pvp",15,Inputs!$B$43)-(B2685))))*IF(AND(ArtifactsInput!$M$42,((Inputs!$B$9+((C2666=TRUE)*(F2666-Calc!F19))+B2678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2661*(MIN(100,(Inputs!$B$9+((C2666=TRUE)*(F2666-Calc!F19))+B2678+(ArtifactsInput!$M$24-ArtifactsInput!$M$24)*CHOOSE(ArtifactsInput!$N$24+1,10,12,14,16,18,20)+(IF(AND(Inputs!$B$38&lt;&gt;"pvp",Inputs!$B$43=0),1,IF(IF(Inputs!$B$38="pvp",15,Inputs!$B$43)-(B2685)&lt;=0,1,MAX(0,IF(Inputs!$B$38="pvp",15,Inputs!$B$43)-MAX(5,B2685))/(IF(Inputs!$B$38="pvp",15,Inputs!$B$43)-(B2685))))*IF(AND(ArtifactsInput!$M$42,((Inputs!$B$9+((C2666=TRUE)*(F2666-Calc!F19))+B2678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61">
        <f>IF(C2661,((H2661*(B2682+IF(AND(Inputs!$B$38&lt;&gt;"pvp",Inputs!$B$43&gt;0),((Skills!G8*((R2655-1)*IF(Skills!H8&gt;0,INT(Skills!I8/Skills!H8+0.000000001),1)+IF(Skills!H8&gt;0,INT(MIN(Skills!I8,MAX(0,MAX(0,Inputs!$B$43-B2685)-((R2655-1)*((IF(Inputs!$B$38="pvp",15,MAX(0.1,Skills!D8-IF(TRUE=TRUE,Inputs!$B$32,0)))*(1-IF(AND(ArtifactsInput!$M$27,Inputs!$B$4="Chapter Hunt"),CHOOSE(ArtifactsInput!$N$27+1,20,24,28,32,36,40),0)/100))/B2689))))/Skills!H8+0.000000001),1)))/Inputs!$B$43),G2655*Q2655)+IF(AND(Inputs!$B$38&lt;&gt;"pvp",Inputs!$B$43&gt;0),((Skills!G11*((R2658-1)*IF(Skills!H11&gt;0,INT(Skills!I11/Skills!H11+0.000000001),1)+IF(Skills!H11&gt;0,INT(MIN(Skills!I11,MAX(0,MAX(0,Inputs!$B$43-B2685)-((R2658-1)*((IF(Inputs!$B$38="pvp",15,MAX(0.1,Skills!D11-IF(TRUE=TRUE,Inputs!$B$32,0)))*(1-IF(AND(ArtifactsInput!$M$27,Inputs!$B$4="Chapter Hunt"),CHOOSE(ArtifactsInput!$N$27+1,20,24,28,32,36,40),0)/100))/B2689))))/Skills!H11+0.000000001),1)))/Inputs!$B$43),G2658*Q2658)))/(1+Skills!H14*H2661*(B2682+IF(AND(Inputs!$B$38&lt;&gt;"pvp",Inputs!$B$43&gt;0),((Skills!G8*((R2655-1)*IF(Skills!H8&gt;0,INT(Skills!I8/Skills!H8+0.000000001),1)+IF(Skills!H8&gt;0,INT(MIN(Skills!I8,MAX(0,MAX(0,Inputs!$B$43-B2685)-((R2655-1)*((IF(Inputs!$B$38="pvp",15,MAX(0.1,Skills!D8-IF(TRUE=TRUE,Inputs!$B$32,0)))*(1-IF(AND(ArtifactsInput!$M$27,Inputs!$B$4="Chapter Hunt"),CHOOSE(ArtifactsInput!$N$27+1,20,24,28,32,36,40),0)/100))/B2689))))/Skills!H8+0.000000001),1)))/Inputs!$B$43),G2655*Q2655)+IF(AND(Inputs!$B$38&lt;&gt;"pvp",Inputs!$B$43&gt;0),((Skills!G11*((R2658-1)*IF(Skills!H11&gt;0,INT(Skills!I11/Skills!H11+0.000000001),1)+IF(Skills!H11&gt;0,INT(MIN(Skills!I11,MAX(0,MAX(0,Inputs!$B$43-B2685)-((R2658-1)*((IF(Inputs!$B$38="pvp",15,MAX(0.1,Skills!D11-IF(TRUE=TRUE,Inputs!$B$32,0)))*(1-IF(AND(ArtifactsInput!$M$27,Inputs!$B$4="Chapter Hunt"),CHOOSE(ArtifactsInput!$N$27+1,20,24,28,32,36,40),0)/100))/B2689))))/Skills!H11+0.000000001),1)))/Inputs!$B$43),G2658*Q2658)))*N2661)*IF(Inputs!$B$38="pvp",1,(1+(Inputs!$B$21+Skills!Q14+(IF(ArtifactsInput!$M$33,CHOOSE(ArtifactsInput!$N$33+1,30,36,42,48,54,60),0))+(IF(AND(ArtifactsInput!$M$35,Inputs!$B$4&lt;&gt;"Chapter Hunt"),CHOOSE(ArtifactsInput!$N$35+1,15,18,21,24,27,30)*(1-EXP(-(0.2*B2680)*5)),0)+IF(AND(ArtifactsInput!$M$22,Inputs!$B$4&lt;&gt;"Chapter Hunt"),CHOOSE(ArtifactsInput!$N$22+1,10,12,14,16,18,20)*((0*(((0.15*B2680*5))^0/1)+1*(((0.15*B2680*5))^1/1)+2*(((0.15*B2680*5))^2/2)+3*(((0.15*B2680*5))^3/6)+4*(((0.15*B2680*5))^4/24)+5*(((0.15*B2680*5))^5/120))/((((0.15*B2680*5))^0/1)+(((0.15*B2680*5))^1/1)+(((0.15*B2680*5))^2/2)+(((0.15*B2680*5))^3/6)+(((0.15*B2680*5))^4/24)+(((0.15*B2680*5))^5/120))),0))+IF(Inputs!$B$3&gt;=54,9*(C2650=TRUE)*MIN(1,8*(1+Inputs!$B$34/100)*Q2650),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62">
      <c r="A2662">
        <f>Skills!A15</f>
        <v/>
      </c>
      <c r="B2662">
        <f>Skills!B15</f>
        <v/>
      </c>
      <c r="C2662">
        <f>Inputs!$B$3&gt;=100</f>
        <v/>
      </c>
      <c r="D2662">
        <f>IF(Skills!C15=1,60+Inputs!$B$25+Inputs!$B$29,IF(Skills!C15=2,90+Inputs!$B$26+Inputs!$B$29,IF(Skills!C15=3,120+Inputs!$B$27+Inputs!$B$29,MAX(0,(Inputs!$B$3-100)*3)+Inputs!$B$28+Inputs!$B$29)))</f>
        <v/>
      </c>
      <c r="E2662">
        <f>INDEX(FactorTable!$B$2:$Y$301, MATCH(ROUND(MIN(300,MAX(1,D2662)),0), FactorTable!$A$2:$A$301,0), Skills!M15+1)</f>
        <v/>
      </c>
      <c r="F2662">
        <f>IF(Skills!N15=TRUE,(Skills!L15/10)*(E2662/1000),Skills!L15/10)+Skills!O15</f>
        <v/>
      </c>
      <c r="G2662" t="inlineStr"/>
      <c r="H2662" t="inlineStr"/>
      <c r="I2662" t="inlineStr">
        <is>
          <t>1</t>
        </is>
      </c>
      <c r="J2662" t="inlineStr"/>
      <c r="K2662" t="inlineStr"/>
      <c r="L2662" t="inlineStr"/>
      <c r="M2662" t="inlineStr"/>
      <c r="N2662" t="inlineStr"/>
      <c r="O2662" t="inlineStr"/>
      <c r="P2662" t="inlineStr"/>
      <c r="Q2662" t="inlineStr"/>
      <c r="R2662" t="inlineStr"/>
      <c r="S2662" t="inlineStr"/>
    </row>
    <row r="2663">
      <c r="A2663">
        <f>Skills!A16</f>
        <v/>
      </c>
      <c r="B2663">
        <f>Skills!B16</f>
        <v/>
      </c>
      <c r="C2663">
        <f>Inputs!$B$3&gt;=107</f>
        <v/>
      </c>
      <c r="D2663">
        <f>IF(Skills!C16=1,60+Inputs!$B$25+Inputs!$B$29,IF(Skills!C16=2,90+Inputs!$B$26+Inputs!$B$29,IF(Skills!C16=3,120+Inputs!$B$27+Inputs!$B$29,MAX(0,(Inputs!$B$3-100)*3)+Inputs!$B$28+Inputs!$B$29)))</f>
        <v/>
      </c>
      <c r="E2663">
        <f>INDEX(FactorTable!$B$2:$Y$301, MATCH(ROUND(MIN(300,MAX(1,D2663)),0), FactorTable!$A$2:$A$301,0), Skills!M16+1)</f>
        <v/>
      </c>
      <c r="F2663">
        <f>IF(Skills!N16=TRUE,(Skills!L16/10)*(E2663/1000),Skills!L16/10)+Skills!O16</f>
        <v/>
      </c>
      <c r="G2663" t="inlineStr"/>
      <c r="H2663" t="inlineStr"/>
      <c r="I2663" t="inlineStr">
        <is>
          <t>1</t>
        </is>
      </c>
      <c r="J2663" t="inlineStr"/>
      <c r="K2663" t="inlineStr"/>
      <c r="L2663" t="inlineStr"/>
      <c r="M2663" t="inlineStr"/>
      <c r="N2663" t="inlineStr"/>
      <c r="O2663" t="inlineStr"/>
      <c r="P2663" t="inlineStr"/>
      <c r="Q2663" t="inlineStr"/>
      <c r="R2663" t="inlineStr"/>
      <c r="S2663" t="inlineStr"/>
    </row>
    <row r="2664">
      <c r="A2664">
        <f>Skills!A17</f>
        <v/>
      </c>
      <c r="B2664">
        <f>Skills!B17</f>
        <v/>
      </c>
      <c r="C2664">
        <f>Inputs!$B$3&gt;=74</f>
        <v/>
      </c>
      <c r="D2664">
        <f>IF(Skills!C17=1,60+Inputs!$B$25+Inputs!$B$29,IF(Skills!C17=2,90+Inputs!$B$26+Inputs!$B$29,IF(Skills!C17=3,120+Inputs!$B$27+Inputs!$B$29,MAX(0,(Inputs!$B$3-100)*3)+Inputs!$B$28+Inputs!$B$29)))</f>
        <v/>
      </c>
      <c r="E2664">
        <f>INDEX(FactorTable!$B$2:$Y$301, MATCH(ROUND(MIN(300,MAX(1,D2664)),0), FactorTable!$A$2:$A$301,0), Skills!M17+1)</f>
        <v/>
      </c>
      <c r="F2664">
        <f>IF(Skills!N17=TRUE,(Skills!L17/10)*(E2664/1000),Skills!L17/10)+Skills!O17</f>
        <v/>
      </c>
      <c r="G2664">
        <f>Skills!G17*IF(Skills!H17&gt;0,INT(IF(Inputs!$B$38="pvp",MIN(Skills!I17,15),Skills!I17)/Skills!H17+0.000000001),1)</f>
        <v/>
      </c>
      <c r="H2664">
        <f>1-(1-Skills!J17/100)^Skills!K17</f>
        <v/>
      </c>
      <c r="I2664" t="inlineStr">
        <is>
          <t>1</t>
        </is>
      </c>
      <c r="J2664" t="inlineStr"/>
      <c r="K2664" t="inlineStr"/>
      <c r="L2664" t="inlineStr"/>
      <c r="M2664" t="inlineStr"/>
      <c r="N2664" t="inlineStr"/>
      <c r="O2664">
        <f>(1-Summary!$B$11)*T2664+Summary!$B$11*V2664</f>
        <v/>
      </c>
      <c r="P2664">
        <f>IF(B2688=0,0,O2664/B2688)</f>
        <v/>
      </c>
      <c r="Q2664" t="n">
        <v>0</v>
      </c>
      <c r="R2664" t="n">
        <v>0</v>
      </c>
      <c r="S2664">
        <f>IFERROR(O2664/N2664,0)</f>
        <v/>
      </c>
      <c r="T2664" t="n">
        <v>0</v>
      </c>
      <c r="V2664" t="n">
        <v>0</v>
      </c>
    </row>
    <row r="2665">
      <c r="A2665">
        <f>Skills!A18</f>
        <v/>
      </c>
      <c r="B2665">
        <f>Skills!B18</f>
        <v/>
      </c>
      <c r="C2665">
        <f>Inputs!$B$3&gt;=115</f>
        <v/>
      </c>
      <c r="D2665">
        <f>IF(Skills!C18=1,60+Inputs!$B$25+Inputs!$B$29,IF(Skills!C18=2,90+Inputs!$B$26+Inputs!$B$29,IF(Skills!C18=3,120+Inputs!$B$27+Inputs!$B$29,MAX(0,(Inputs!$B$3-100)*3)+Inputs!$B$28+Inputs!$B$29)))</f>
        <v/>
      </c>
      <c r="E2665">
        <f>INDEX(FactorTable!$B$2:$Y$301, MATCH(ROUND(MIN(300,MAX(1,D2665)),0), FactorTable!$A$2:$A$301,0), Skills!M18+1)</f>
        <v/>
      </c>
      <c r="F2665">
        <f>IF(Skills!N18=TRUE,(Skills!L18/10)*(E2665/1000),Skills!L18/10)+Skills!O18</f>
        <v/>
      </c>
      <c r="G2665">
        <f>Skills!G18*IF(Skills!H18&gt;0,INT(IF(Inputs!$B$38="pvp",MIN(Skills!I18,15),Skills!I18)/Skills!H18+0.000000001),1)</f>
        <v/>
      </c>
      <c r="H2665">
        <f>1-(1-Skills!J18/100)^Skills!K18</f>
        <v/>
      </c>
      <c r="I2665" t="inlineStr">
        <is>
          <t>1</t>
        </is>
      </c>
      <c r="J2665" t="inlineStr"/>
      <c r="K2665" t="inlineStr"/>
      <c r="L2665" t="inlineStr"/>
      <c r="M2665" t="inlineStr"/>
      <c r="N2665" t="inlineStr"/>
      <c r="O2665">
        <f>(1-Summary!$B$11)*T2665+Summary!$B$11*V2665</f>
        <v/>
      </c>
      <c r="P2665">
        <f>IF(B2688=0,0,O2665/B2688)</f>
        <v/>
      </c>
      <c r="Q2665">
        <f>IFERROR(1/(IF(Inputs!$B$38="pvp",15,MAX(0.1,Skills!D18-IF(TRUE=TRUE,Inputs!$B$32,0)))*(1-IF(AND(ArtifactsInput!$M$27,Inputs!$B$4="Chapter Hunt"),CHOOSE(ArtifactsInput!$N$27+1,20,24,28,32,36,40),0)/100)),0)</f>
        <v/>
      </c>
      <c r="R2665">
        <f>IF(AND(Inputs!$B$38&lt;&gt;"pvp",Inputs!$B$43&gt;0),IF(Inputs!$B$43&lt;=0,0,(INT(Inputs!$B$43/(IF(Inputs!$B$38="pvp",15,MAX(0.1,Skills!D18-IF(TRUE=TRUE,Inputs!$B$32,0)))*(1-IF(AND(ArtifactsInput!$M$27,Inputs!$B$4="Chapter Hunt"),CHOOSE(ArtifactsInput!$N$27+1,20,24,28,32,36,40),0)/100)))+1)),0)</f>
        <v/>
      </c>
      <c r="S2665">
        <f>IFERROR(O2665/N2665,0)</f>
        <v/>
      </c>
      <c r="T2665" t="n">
        <v>0</v>
      </c>
      <c r="V2665" t="n">
        <v>0</v>
      </c>
    </row>
    <row r="2666">
      <c r="A2666">
        <f>Skills!A19</f>
        <v/>
      </c>
      <c r="B2666">
        <f>Skills!B19</f>
        <v/>
      </c>
      <c r="C2666">
        <f>Inputs!$B$3&gt;=10</f>
        <v/>
      </c>
      <c r="D2666">
        <f>IF(Skills!C19=1,60+Inputs!$B$25+Inputs!$B$29,IF(Skills!C19=2,90+Inputs!$B$26+Inputs!$B$29,IF(Skills!C19=3,120+Inputs!$B$27+Inputs!$B$29,MAX(0,(Inputs!$B$3-100)*3)+Inputs!$B$28+Inputs!$B$29)))</f>
        <v/>
      </c>
      <c r="E2666">
        <f>INDEX(FactorTable!$B$2:$Y$301, MATCH(ROUND(MIN(300,MAX(1,D2666)),0), FactorTable!$A$2:$A$301,0), Skills!M19+1)</f>
        <v/>
      </c>
      <c r="F2666">
        <f>IF(Skills!N19=TRUE,(Skills!L19/10)*(E2666/1000),Skills!L19/10)+Skills!O19</f>
        <v/>
      </c>
      <c r="G2666">
        <f>Skills!G19*IF(Skills!H19&gt;0,INT(IF(Inputs!$B$38="pvp",MIN(Skills!I19,15),Skills!I19)/Skills!H19+0.000000001),1)</f>
        <v/>
      </c>
      <c r="H2666">
        <f>1-(1-Skills!J19/100)^Skills!K19</f>
        <v/>
      </c>
      <c r="I2666" t="inlineStr">
        <is>
          <t>1</t>
        </is>
      </c>
      <c r="J2666" t="inlineStr"/>
      <c r="K2666" t="inlineStr"/>
      <c r="L2666" t="inlineStr"/>
      <c r="M2666" t="inlineStr"/>
      <c r="N2666" t="inlineStr"/>
      <c r="O2666">
        <f>(1-Summary!$B$11)*T2666+Summary!$B$11*V2666</f>
        <v/>
      </c>
      <c r="P2666">
        <f>IF(B2688=0,0,O2666/B2688)</f>
        <v/>
      </c>
      <c r="Q2666" t="n">
        <v>0</v>
      </c>
      <c r="R2666" t="n">
        <v>0</v>
      </c>
      <c r="S2666">
        <f>IFERROR(O2666/N2666,0)</f>
        <v/>
      </c>
      <c r="T2666" t="n">
        <v>0</v>
      </c>
      <c r="V2666" t="n">
        <v>0</v>
      </c>
    </row>
    <row r="2667">
      <c r="A2667">
        <f>Skills!A20</f>
        <v/>
      </c>
      <c r="B2667">
        <f>Skills!B20</f>
        <v/>
      </c>
      <c r="C2667">
        <f>Inputs!$B$3&gt;=15</f>
        <v/>
      </c>
      <c r="D2667">
        <f>IF(Skills!C20=1,60+Inputs!$B$25+Inputs!$B$29,IF(Skills!C20=2,90+Inputs!$B$26+Inputs!$B$29,IF(Skills!C20=3,120+Inputs!$B$27+Inputs!$B$29,MAX(0,(Inputs!$B$3-100)*3)+Inputs!$B$28+Inputs!$B$29)))</f>
        <v/>
      </c>
      <c r="E2667">
        <f>INDEX(FactorTable!$B$2:$Y$301, MATCH(ROUND(MIN(300,MAX(1,D2667)),0), FactorTable!$A$2:$A$301,0), Skills!M20+1)</f>
        <v/>
      </c>
      <c r="F2667">
        <f>IF(Skills!N20=TRUE,(Skills!L20/10)*(E2667/1000),Skills!L20/10)+Skills!O20</f>
        <v/>
      </c>
      <c r="G2667">
        <f>Skills!G20*IF(Skills!H20&gt;0,INT(IF(Inputs!$B$38="pvp",MIN(Skills!I20,15),Skills!I20)/Skills!H20+0.000000001),1)</f>
        <v/>
      </c>
      <c r="H2667">
        <f>1-(1-Skills!J20/100)^Skills!K20</f>
        <v/>
      </c>
      <c r="I2667" t="inlineStr">
        <is>
          <t>1</t>
        </is>
      </c>
      <c r="J2667" t="inlineStr"/>
      <c r="K2667" t="inlineStr"/>
      <c r="L2667" t="inlineStr"/>
      <c r="M2667" t="inlineStr"/>
      <c r="N2667" t="inlineStr"/>
      <c r="O2667">
        <f>(1-Summary!$B$11)*T2667+Summary!$B$11*V2667</f>
        <v/>
      </c>
      <c r="P2667">
        <f>IF(B2688=0,0,O2667/B2688)</f>
        <v/>
      </c>
      <c r="Q2667" t="n">
        <v>0</v>
      </c>
      <c r="R2667" t="n">
        <v>0</v>
      </c>
      <c r="S2667">
        <f>IFERROR(O2667/N2667,0)</f>
        <v/>
      </c>
      <c r="T2667" t="n">
        <v>0</v>
      </c>
      <c r="V2667" t="n">
        <v>0</v>
      </c>
    </row>
    <row r="2668">
      <c r="A2668">
        <f>Skills!A21</f>
        <v/>
      </c>
      <c r="B2668">
        <f>Skills!B21</f>
        <v/>
      </c>
      <c r="C2668">
        <f>Inputs!$B$3&gt;=40</f>
        <v/>
      </c>
      <c r="D2668">
        <f>IF(Skills!C21=1,60+Inputs!$B$25+Inputs!$B$29,IF(Skills!C21=2,90+Inputs!$B$26+Inputs!$B$29,IF(Skills!C21=3,120+Inputs!$B$27+Inputs!$B$29,MAX(0,(Inputs!$B$3-100)*3)+Inputs!$B$28+Inputs!$B$29)))</f>
        <v/>
      </c>
      <c r="E2668">
        <f>INDEX(FactorTable!$B$2:$Y$301, MATCH(ROUND(MIN(300,MAX(1,D2668)),0), FactorTable!$A$2:$A$301,0), Skills!M21+1)</f>
        <v/>
      </c>
      <c r="F2668">
        <f>IF(Skills!N21=TRUE,(Skills!L21/10)*(E2668/1000),Skills!L21/10)+Skills!O21</f>
        <v/>
      </c>
      <c r="G2668">
        <f>Skills!G21*IF(Skills!H21&gt;0,INT(IF(Inputs!$B$38="pvp",MIN(Skills!I21,15),Skills!I21)/Skills!H21+0.000000001),1)</f>
        <v/>
      </c>
      <c r="H2668">
        <f>1-(1-Skills!J21/100)^Skills!K21</f>
        <v/>
      </c>
      <c r="I2668" t="inlineStr">
        <is>
          <t>1</t>
        </is>
      </c>
      <c r="J2668" t="inlineStr"/>
      <c r="K2668" t="inlineStr"/>
      <c r="L2668" t="inlineStr"/>
      <c r="M2668" t="inlineStr"/>
      <c r="N2668" t="inlineStr"/>
      <c r="O2668">
        <f>(1-Summary!$B$11)*T2668+Summary!$B$11*V2668</f>
        <v/>
      </c>
      <c r="P2668">
        <f>IF(B2688=0,0,O2668/B2688)</f>
        <v/>
      </c>
      <c r="Q2668" t="n">
        <v>0</v>
      </c>
      <c r="R2668" t="n">
        <v>0</v>
      </c>
      <c r="S2668">
        <f>IFERROR(O2668/N2668,0)</f>
        <v/>
      </c>
      <c r="T2668" t="n">
        <v>0</v>
      </c>
      <c r="V2668" t="n">
        <v>0</v>
      </c>
    </row>
    <row r="2669">
      <c r="A2669">
        <f>Skills!A22</f>
        <v/>
      </c>
      <c r="B2669">
        <f>Skills!B22</f>
        <v/>
      </c>
      <c r="C2669">
        <f>Inputs!$B$3&gt;=43</f>
        <v/>
      </c>
      <c r="D2669">
        <f>IF(Skills!C22=1,60+Inputs!$B$25+Inputs!$B$29,IF(Skills!C22=2,90+Inputs!$B$26+Inputs!$B$29,IF(Skills!C22=3,120+Inputs!$B$27+Inputs!$B$29,MAX(0,(Inputs!$B$3-100)*3)+Inputs!$B$28+Inputs!$B$29)))</f>
        <v/>
      </c>
      <c r="E2669">
        <f>INDEX(FactorTable!$B$2:$Y$301, MATCH(ROUND(MIN(300,MAX(1,D2669)),0), FactorTable!$A$2:$A$301,0), Skills!M22+1)</f>
        <v/>
      </c>
      <c r="F2669">
        <f>IF(Skills!N22=TRUE,(Skills!L22/10)*(E2669/1000),Skills!L22/10)+Skills!O22</f>
        <v/>
      </c>
      <c r="G2669">
        <f>Skills!G22*IF(Skills!H22&gt;0,INT(IF(Inputs!$B$38="pvp",MIN(Skills!I22,15),Skills!I22)/Skills!H22+0.000000001),1)</f>
        <v/>
      </c>
      <c r="H2669">
        <f>1-(1-Skills!J22/100)^Skills!K22</f>
        <v/>
      </c>
      <c r="I2669" t="inlineStr">
        <is>
          <t>1</t>
        </is>
      </c>
      <c r="J2669" t="inlineStr"/>
      <c r="K2669" t="inlineStr"/>
      <c r="L2669" t="inlineStr"/>
      <c r="M2669" t="inlineStr"/>
      <c r="N2669" t="inlineStr"/>
      <c r="O2669">
        <f>(1-Summary!$B$11)*T2669+Summary!$B$11*V2669</f>
        <v/>
      </c>
      <c r="P2669">
        <f>IF(B2688=0,0,O2669/B2688)</f>
        <v/>
      </c>
      <c r="Q2669" t="n">
        <v>0</v>
      </c>
      <c r="R2669" t="n">
        <v>0</v>
      </c>
      <c r="S2669">
        <f>IFERROR(O2669/N2669,0)</f>
        <v/>
      </c>
      <c r="T2669" t="n">
        <v>0</v>
      </c>
      <c r="V2669" t="n">
        <v>0</v>
      </c>
    </row>
    <row r="2670">
      <c r="A2670">
        <f>Skills!A23</f>
        <v/>
      </c>
      <c r="B2670">
        <f>Skills!B23</f>
        <v/>
      </c>
      <c r="C2670">
        <f>Inputs!$B$3&gt;=38</f>
        <v/>
      </c>
      <c r="D2670">
        <f>IF(Skills!C23=1,60+Inputs!$B$25+Inputs!$B$29,IF(Skills!C23=2,90+Inputs!$B$26+Inputs!$B$29,IF(Skills!C23=3,120+Inputs!$B$27+Inputs!$B$29,MAX(0,(Inputs!$B$3-100)*3)+Inputs!$B$28+Inputs!$B$29)))</f>
        <v/>
      </c>
      <c r="E2670">
        <f>INDEX(FactorTable!$B$2:$Y$301, MATCH(ROUND(MIN(300,MAX(1,D2670)),0), FactorTable!$A$2:$A$301,0), Skills!M23+1)</f>
        <v/>
      </c>
      <c r="F2670">
        <f>IF(Skills!N23=TRUE,(Skills!L23/10)*(E2670/1000),Skills!L23/10)+Skills!O23</f>
        <v/>
      </c>
      <c r="G2670">
        <f>Skills!G23*IF(Skills!H23&gt;0,INT(IF(Inputs!$B$38="pvp",MIN(Skills!I23,15),Skills!I23)/Skills!H23+0.000000001),1)</f>
        <v/>
      </c>
      <c r="H2670">
        <f>1-(1-Skills!J23/100)^Skills!K23</f>
        <v/>
      </c>
      <c r="I2670" t="inlineStr">
        <is>
          <t>1</t>
        </is>
      </c>
      <c r="J2670" t="inlineStr"/>
      <c r="K2670" t="inlineStr"/>
      <c r="L2670" t="inlineStr"/>
      <c r="M2670" t="inlineStr"/>
      <c r="N2670" t="inlineStr"/>
      <c r="O2670">
        <f>(1-Summary!$B$11)*T2670+Summary!$B$11*V2670</f>
        <v/>
      </c>
      <c r="P2670">
        <f>IF(B2688=0,0,O2670/B2688)</f>
        <v/>
      </c>
      <c r="Q2670" t="n">
        <v>0</v>
      </c>
      <c r="R2670" t="n">
        <v>0</v>
      </c>
      <c r="S2670">
        <f>IFERROR(O2670/N2670,0)</f>
        <v/>
      </c>
      <c r="T2670" t="n">
        <v>0</v>
      </c>
      <c r="V2670" t="n">
        <v>0</v>
      </c>
    </row>
    <row r="2671">
      <c r="A2671">
        <f>Skills!A24</f>
        <v/>
      </c>
      <c r="B2671">
        <f>Skills!B24</f>
        <v/>
      </c>
      <c r="C2671">
        <f>Inputs!$B$3&gt;=45</f>
        <v/>
      </c>
      <c r="D2671">
        <f>IF(Skills!C24=1,60+Inputs!$B$25+Inputs!$B$29,IF(Skills!C24=2,90+Inputs!$B$26+Inputs!$B$29,IF(Skills!C24=3,120+Inputs!$B$27+Inputs!$B$29,MAX(0,(Inputs!$B$3-100)*3)+Inputs!$B$28+Inputs!$B$29)))</f>
        <v/>
      </c>
      <c r="E2671">
        <f>INDEX(FactorTable!$B$2:$Y$301, MATCH(ROUND(MIN(300,MAX(1,D2671)),0), FactorTable!$A$2:$A$301,0), Skills!M24+1)</f>
        <v/>
      </c>
      <c r="F2671">
        <f>IF(Skills!N24=TRUE,(Skills!L24/10)*(E2671/1000),Skills!L24/10)+Skills!O24</f>
        <v/>
      </c>
      <c r="G2671">
        <f>Skills!G24*IF(Skills!H24&gt;0,INT(IF(Inputs!$B$38="pvp",MIN(Skills!I24,15),Skills!I24)/Skills!H24+0.000000001),1)</f>
        <v/>
      </c>
      <c r="H2671">
        <f>1-(1-Skills!J24/100)^Skills!K24</f>
        <v/>
      </c>
      <c r="I2671" t="inlineStr">
        <is>
          <t>1</t>
        </is>
      </c>
      <c r="J2671" t="inlineStr"/>
      <c r="K2671" t="inlineStr"/>
      <c r="L2671" t="inlineStr"/>
      <c r="M2671" t="inlineStr"/>
      <c r="N2671" t="inlineStr"/>
      <c r="O2671">
        <f>(1-Summary!$B$11)*T2671+Summary!$B$11*V2671</f>
        <v/>
      </c>
      <c r="P2671">
        <f>IF(B2688=0,0,O2671/B2688)</f>
        <v/>
      </c>
      <c r="Q2671" t="n">
        <v>0</v>
      </c>
      <c r="R2671" t="n">
        <v>0</v>
      </c>
      <c r="S2671">
        <f>IFERROR(O2671/N2671,0)</f>
        <v/>
      </c>
      <c r="T2671" t="n">
        <v>0</v>
      </c>
      <c r="V2671" t="n">
        <v>0</v>
      </c>
    </row>
    <row r="2672">
      <c r="A2672">
        <f>Skills!A25</f>
        <v/>
      </c>
      <c r="B2672">
        <f>Skills!B25</f>
        <v/>
      </c>
      <c r="C2672">
        <f>Inputs!$B$3&gt;=72</f>
        <v/>
      </c>
      <c r="D2672">
        <f>IF(Skills!C25=1,60+Inputs!$B$25+Inputs!$B$29,IF(Skills!C25=2,90+Inputs!$B$26+Inputs!$B$29,IF(Skills!C25=3,120+Inputs!$B$27+Inputs!$B$29,MAX(0,(Inputs!$B$3-100)*3)+Inputs!$B$28+Inputs!$B$29)))</f>
        <v/>
      </c>
      <c r="E2672">
        <f>INDEX(FactorTable!$B$2:$Y$301, MATCH(ROUND(MIN(300,MAX(1,D2672)),0), FactorTable!$A$2:$A$301,0), Skills!M25+1)</f>
        <v/>
      </c>
      <c r="F2672">
        <f>IF(Skills!N25=TRUE,(Skills!L25/10)*(E2672/1000),Skills!L25/10)+Skills!O25</f>
        <v/>
      </c>
      <c r="G2672">
        <f>Skills!G25*IF(Skills!H25&gt;0,INT(IF(Inputs!$B$38="pvp",MIN(Skills!I25,15),Skills!I25)/Skills!H25+0.000000001),1)</f>
        <v/>
      </c>
      <c r="H2672">
        <f>1-(1-Skills!J25/100)^Skills!K25</f>
        <v/>
      </c>
      <c r="I2672" t="inlineStr">
        <is>
          <t>1</t>
        </is>
      </c>
      <c r="J2672" t="inlineStr"/>
      <c r="K2672" t="inlineStr"/>
      <c r="L2672" t="inlineStr"/>
      <c r="M2672" t="inlineStr"/>
      <c r="N2672" t="inlineStr"/>
      <c r="O2672">
        <f>(1-Summary!$B$11)*T2672+Summary!$B$11*V2672</f>
        <v/>
      </c>
      <c r="P2672">
        <f>IF(B2688=0,0,O2672/B2688)</f>
        <v/>
      </c>
      <c r="Q2672" t="n">
        <v>0</v>
      </c>
      <c r="R2672" t="n">
        <v>0</v>
      </c>
      <c r="S2672">
        <f>IFERROR(O2672/N2672,0)</f>
        <v/>
      </c>
      <c r="T2672" t="n">
        <v>0</v>
      </c>
      <c r="V2672" t="n">
        <v>0</v>
      </c>
    </row>
    <row r="2673">
      <c r="A2673">
        <f>Skills!A26</f>
        <v/>
      </c>
      <c r="B2673">
        <f>Skills!B26</f>
        <v/>
      </c>
      <c r="C2673">
        <f>Inputs!$B$3&gt;=75</f>
        <v/>
      </c>
      <c r="D2673">
        <f>IF(Skills!C26=1,60+Inputs!$B$25+Inputs!$B$29,IF(Skills!C26=2,90+Inputs!$B$26+Inputs!$B$29,IF(Skills!C26=3,120+Inputs!$B$27+Inputs!$B$29,MAX(0,(Inputs!$B$3-100)*3)+Inputs!$B$28+Inputs!$B$29)))</f>
        <v/>
      </c>
      <c r="E2673">
        <f>INDEX(FactorTable!$B$2:$Y$301, MATCH(ROUND(MIN(300,MAX(1,D2673)),0), FactorTable!$A$2:$A$301,0), Skills!M26+1)</f>
        <v/>
      </c>
      <c r="F2673">
        <f>IF(Skills!N26=TRUE,(Skills!L26/10)*(E2673/1000),Skills!L26/10)+Skills!O26</f>
        <v/>
      </c>
      <c r="G2673">
        <f>Skills!G26*IF(Skills!H26&gt;0,INT(IF(Inputs!$B$38="pvp",MIN(Skills!I26,15),Skills!I26)/Skills!H26+0.000000001),1)</f>
        <v/>
      </c>
      <c r="H2673">
        <f>1-(1-Skills!J26/100)^Skills!K26</f>
        <v/>
      </c>
      <c r="I2673" t="inlineStr">
        <is>
          <t>1</t>
        </is>
      </c>
      <c r="J2673" t="inlineStr"/>
      <c r="K2673" t="inlineStr"/>
      <c r="L2673" t="inlineStr"/>
      <c r="M2673" t="inlineStr"/>
      <c r="N2673" t="inlineStr"/>
      <c r="O2673">
        <f>(1-Summary!$B$11)*T2673+Summary!$B$11*V2673</f>
        <v/>
      </c>
      <c r="P2673">
        <f>IF(B2688=0,0,O2673/B2688)</f>
        <v/>
      </c>
      <c r="Q2673" t="n">
        <v>0</v>
      </c>
      <c r="R2673" t="n">
        <v>0</v>
      </c>
      <c r="S2673">
        <f>IFERROR(O2673/N2673,0)</f>
        <v/>
      </c>
      <c r="T2673" t="n">
        <v>0</v>
      </c>
      <c r="V2673" t="n">
        <v>0</v>
      </c>
    </row>
    <row r="2674">
      <c r="A2674">
        <f>Skills!A27</f>
        <v/>
      </c>
      <c r="B2674">
        <f>Skills!B27</f>
        <v/>
      </c>
      <c r="C2674">
        <f>Inputs!$B$3&gt;=125</f>
        <v/>
      </c>
      <c r="D2674">
        <f>IF(Skills!C27=1,60+Inputs!$B$25+Inputs!$B$29,IF(Skills!C27=2,90+Inputs!$B$26+Inputs!$B$29,IF(Skills!C27=3,120+Inputs!$B$27+Inputs!$B$29,MAX(0,(Inputs!$B$3-100)*3)+Inputs!$B$28+Inputs!$B$29)))</f>
        <v/>
      </c>
      <c r="E2674">
        <f>INDEX(FactorTable!$B$2:$Y$301, MATCH(ROUND(MIN(300,MAX(1,D2674)),0), FactorTable!$A$2:$A$301,0), Skills!M27+1)</f>
        <v/>
      </c>
      <c r="F2674">
        <f>IF(Skills!N27=TRUE,(Skills!L27/10)*(E2674/1000),Skills!L27/10)+Skills!O27</f>
        <v/>
      </c>
      <c r="G2674">
        <f>Skills!G27*IF(Skills!H27&gt;0,INT(IF(Inputs!$B$38="pvp",MIN(Skills!I27,15),Skills!I27)/Skills!H27+0.000000001),1)</f>
        <v/>
      </c>
      <c r="H2674">
        <f>1-(1-Skills!J27/100)^Skills!K27</f>
        <v/>
      </c>
      <c r="I2674" t="inlineStr">
        <is>
          <t>1</t>
        </is>
      </c>
      <c r="J2674" t="inlineStr"/>
      <c r="K2674" t="inlineStr"/>
      <c r="L2674" t="inlineStr"/>
      <c r="M2674" t="inlineStr"/>
      <c r="N2674" t="inlineStr"/>
      <c r="O2674">
        <f>(1-Summary!$B$11)*T2674+Summary!$B$11*V2674</f>
        <v/>
      </c>
      <c r="P2674">
        <f>IF(B2688=0,0,O2674/B2688)</f>
        <v/>
      </c>
      <c r="Q2674" t="n">
        <v>0</v>
      </c>
      <c r="R2674" t="n">
        <v>0</v>
      </c>
      <c r="S2674">
        <f>IFERROR(O2674/N2674,0)</f>
        <v/>
      </c>
      <c r="T2674" t="n">
        <v>0</v>
      </c>
      <c r="V2674" t="n">
        <v>0</v>
      </c>
    </row>
    <row r="2675">
      <c r="A2675">
        <f>Skills!A28</f>
        <v/>
      </c>
      <c r="B2675">
        <f>Skills!B28</f>
        <v/>
      </c>
      <c r="C2675">
        <f>TRUE</f>
        <v/>
      </c>
      <c r="D2675">
        <f>IF(Skills!C28=1,60+Inputs!$B$25+Inputs!$B$29,IF(Skills!C28=2,90+Inputs!$B$26+Inputs!$B$29,IF(Skills!C28=3,120+Inputs!$B$27+Inputs!$B$29,MAX(0,(Inputs!$B$3-100)*3)+Inputs!$B$28+Inputs!$B$29)))</f>
        <v/>
      </c>
      <c r="E2675">
        <f>INDEX(FactorTable!$B$2:$Y$301, MATCH(ROUND(MIN(300,MAX(1,D2675)),0), FactorTable!$A$2:$A$301,0), Skills!M28+1)</f>
        <v/>
      </c>
      <c r="F2675">
        <f>IF(Skills!N28=TRUE,(Skills!L28/10)*(E2675/1000),Skills!L28/10)+Skills!O28</f>
        <v/>
      </c>
      <c r="G2675">
        <f>Skills!G28*IF(Skills!H28&gt;0,INT(IF(Inputs!$B$38="pvp",MIN(Skills!I28,15),Skills!I28)/Skills!H28+0.000000001),1)</f>
        <v/>
      </c>
      <c r="H2675">
        <f>1-(1-Skills!J28/100)^Skills!K28</f>
        <v/>
      </c>
      <c r="I2675" t="inlineStr">
        <is>
          <t>1</t>
        </is>
      </c>
      <c r="J2675" t="inlineStr"/>
      <c r="K2675" t="inlineStr"/>
      <c r="L2675" t="inlineStr"/>
      <c r="M2675" t="inlineStr"/>
      <c r="N2675" t="inlineStr"/>
      <c r="O2675">
        <f>(1-Summary!$B$11)*T2675+Summary!$B$11*V2675</f>
        <v/>
      </c>
      <c r="P2675">
        <f>IF(B2688=0,0,O2675/B2688)</f>
        <v/>
      </c>
      <c r="Q2675">
        <f>IFERROR(1/(IF(Inputs!$B$38="pvp",15,MAX(0.1,Skills!D28-IF(TRUE=TRUE,Inputs!$B$32,0)))*(1-IF(AND(ArtifactsInput!$M$27,Inputs!$B$4="Chapter Hunt"),CHOOSE(ArtifactsInput!$N$27+1,20,24,28,32,36,40),0)/100)),0)</f>
        <v/>
      </c>
      <c r="R2675">
        <f>IF(AND(Inputs!$B$38&lt;&gt;"pvp",Inputs!$B$43&gt;0),IF(Inputs!$B$43&lt;=0,0,(INT(Inputs!$B$43/(IF(Inputs!$B$38="pvp",15,MAX(0.1,Skills!D28-IF(TRUE=TRUE,Inputs!$B$32,0)))*(1-IF(AND(ArtifactsInput!$M$27,Inputs!$B$4="Chapter Hunt"),CHOOSE(ArtifactsInput!$N$27+1,20,24,28,32,36,40),0)/100)))+1)),0)</f>
        <v/>
      </c>
      <c r="S2675">
        <f>IFERROR(O2675/N2675,0)</f>
        <v/>
      </c>
      <c r="T2675" t="n">
        <v>0</v>
      </c>
      <c r="V2675" t="n">
        <v>0</v>
      </c>
    </row>
    <row r="2677">
      <c r="A2677" t="inlineStr">
        <is>
          <t>Attack% Bucket Multiplier</t>
        </is>
      </c>
      <c r="B2677">
        <f>(1+(((C2664=TRUE)*F2664*5/7)+((C2671=TRUE)*(F2671-Calc!F24))+(IF(ArtifactsInput!$M$21,CHOOSE(ArtifactsInput!$N$21+1,25,30,35,40,45,50)*(IF(OR(Inputs!$B$4="Chapter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IF(ArtifactsInput!$M$37,FALSE,TRUE),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678">
      <c r="A2678" t="inlineStr">
        <is>
          <t>Global Crit Rate Bonus %</t>
        </is>
      </c>
      <c r="B2678" t="n">
        <v>0</v>
      </c>
    </row>
    <row r="2679">
      <c r="A2679" t="inlineStr">
        <is>
          <t>Attack Speed Buff Bonus % (Nimble Feet, duty-cycle averaged)</t>
        </is>
      </c>
      <c r="B2679">
        <f>((C2675=TRUE)*F2675*IF(AND(Inputs!$B$38&lt;&gt;"pvp",Inputs!$B$43&gt;0),(((R2675-1)*MIN((Skills!T28*(1+Inputs!$B$34/100)),(1/Q2675))+MIN((Skills!T28*(1+Inputs!$B$34/100)),MAX(0,Inputs!$B$43-((R2675-1)*(1/Q2675)))))/Inputs!$B$43),IF(Inputs!$B$38="pvp",MIN((Skills!T28*(1+Inputs!$B$34/100)),15)/15,MIN(1,(Skills!T28*(1+Inputs!$B$34/100))/(1/Q2675)))))</f>
        <v/>
      </c>
    </row>
    <row r="2680">
      <c r="A2680" t="inlineStr">
        <is>
          <t>Actions Per Second</t>
        </is>
      </c>
      <c r="B2680">
        <f>1+MIN(150,150*(1-(1-(Inputs!$B$11+((C2667=TRUE)*(F2667-Calc!F20))+((C2668=TRUE)*(F2668-Calc!F21)))/150)*(1-B2679/150)))/100</f>
        <v/>
      </c>
    </row>
    <row r="2681">
      <c r="A2681" t="inlineStr">
        <is>
          <t>Skill + Buff Cast Rate</t>
        </is>
      </c>
      <c r="B2681">
        <f>IF(AND(Inputs!$B$38&lt;&gt;"pvp",Inputs!$B$43&gt;0),SUMPRODUCT((Skills!E2:E28=TRUE)*(C2649:C2675=TRUE)*R2649:R2675*Skills!F2:F28)/Inputs!$B$43,SUMPRODUCT((Skills!E2:E28=TRUE)*(C2649:C2675=TRUE)*Q2649:Q2675*Skills!F2:F28))</f>
        <v/>
      </c>
    </row>
    <row r="2682">
      <c r="A2682" t="inlineStr">
        <is>
          <t>Eight-Legs Easton Casts Per Second</t>
        </is>
      </c>
      <c r="B2682">
        <f>MAX(0,B2680-B2681)</f>
        <v/>
      </c>
    </row>
    <row r="2683">
      <c r="A2683" t="inlineStr">
        <is>
          <t>Global Critical Damage Bonus % (unused)</t>
        </is>
      </c>
      <c r="B2683" t="n">
        <v>0</v>
      </c>
    </row>
    <row r="2684">
      <c r="A2684" t="inlineStr">
        <is>
          <t>Global Final Damage Bonus % (Jolly Roger + Ahoy Mateys - Final Damage proc)</t>
        </is>
      </c>
      <c r="B2684">
        <f>((C2665=TRUE)*F2665*IF(AND(Inputs!$B$38&lt;&gt;"pvp",Inputs!$B$43&gt;0),(((R2665-1)*MIN((Skills!T18*(1+Inputs!$B$34/100)),(1/Q2665))+MIN((Skills!T18*(1+Inputs!$B$34/100)),MAX(0,Inputs!$B$43-((R2665-1)*(1/Q2665)))))/Inputs!$B$43),IF(Inputs!$B$38="pvp",MIN((Skills!T18*(1+Inputs!$B$34/100)),15)/15,MIN(1,(Skills!T18*(1+Inputs!$B$34/100))/(1/Q2665)))))+IF(Inputs!$B$3&gt;=122,20*IF(Inputs!$B$38="pvp",MIN((20*(1+Inputs!$B$34/100)),15)/15,MIN(1,(20*(1+Inputs!$B$34/100))/(1/Q2651))),0)</f>
        <v/>
      </c>
    </row>
    <row r="2685">
      <c r="A2685" t="inlineStr">
        <is>
          <t>Buff-Casting Startup Delay (s, fixed-duration only)</t>
        </is>
      </c>
      <c r="B2685">
        <f>IF(AND(Inputs!$B$38&lt;&gt;"pvp",Inputs!$B$43&gt;0),SUMPRODUCT((Skills!T2:T28&gt;0)*(Skills!E2:E28=TRUE)*(C2649:C2675=TRUE))/B2680,0)</f>
        <v/>
      </c>
    </row>
    <row r="2686">
      <c r="A2686" t="inlineStr">
        <is>
          <t>Boss-Only Total DPS (this block's swept value)</t>
        </is>
      </c>
      <c r="B2686">
        <f>SUM(T2649:T2675)</f>
        <v/>
      </c>
    </row>
    <row r="2687">
      <c r="A2687" t="inlineStr">
        <is>
          <t>Normal-Only Total DPS (this block's swept value)</t>
        </is>
      </c>
      <c r="B2687">
        <f>SUM(V2649:V2675)</f>
        <v/>
      </c>
    </row>
    <row r="2688">
      <c r="A2688" s="6" t="inlineStr">
        <is>
          <t>TOTAL DPS</t>
        </is>
      </c>
      <c r="B2688" s="6">
        <f>SUM(O2649:O2675)</f>
        <v/>
      </c>
    </row>
    <row r="2689">
      <c r="A2689" t="inlineStr">
        <is>
          <t>Quickdraw cooldown divisor (this block's own APS / Q)</t>
        </is>
      </c>
      <c r="B2689">
        <f>IF(AND(C2674=TRUE,Inputs!$B$38&lt;&gt;"pvp"),1+0.25*MAX(0,(B2680-(((C2650=TRUE)*Q2650*1)+((C2651=TRUE)*Q2651*1)+((C2653=TRUE)*Q2653*1)+((C2654=TRUE)*Q2654*1)+((C2656=TRUE)*Q2656*1)+((C2659=TRUE)*Q2659*1)+((C2665=TRUE)*Q2665*1)+((C2675=TRUE)*Q2675*1))-((C2655=TRUE)/(IF(Inputs!$B$38="pvp",15,MAX(0.1,Skills!D8-IF(TRUE=TRUE,Inputs!$B$32,0)))*(1-IF(AND(ArtifactsInput!$M$27,Inputs!$B$4="Chapter Hunt"),CHOOSE(ArtifactsInput!$N$27+1,20,24,28,32,36,40),0)/100))+(C2658=TRUE)/(IF(Inputs!$B$38="pvp",15,MAX(0.1,Skills!D11-IF(TRUE=TRUE,Inputs!$B$32,0)))*(1-IF(AND(ArtifactsInput!$M$27,Inputs!$B$4="Chapter Hunt"),CHOOSE(ArtifactsInput!$N$27+1,20,24,28,32,36,40),0)/100))))/(1+0.25*((C2655=TRUE)/(IF(Inputs!$B$38="pvp",15,MAX(0.1,Skills!D8-IF(TRUE=TRUE,Inputs!$B$32,0)))*(1-IF(AND(ArtifactsInput!$M$27,Inputs!$B$4="Chapter Hunt"),CHOOSE(ArtifactsInput!$N$27+1,20,24,28,32,36,40),0)/100))+(C2658=TRUE)/(IF(Inputs!$B$38="pvp",15,MAX(0.1,Skills!D11-IF(TRUE=TRUE,Inputs!$B$32,0)))*(1-IF(AND(ArtifactsInput!$M$27,Inputs!$B$4="Chapter Hunt"),CHOOSE(ArtifactsInput!$N$27+1,20,24,28,32,36,40),0)/100))))),1)</f>
        <v/>
      </c>
    </row>
    <row r="2690">
      <c r="A2690" t="inlineStr">
        <is>
          <t>Nautilus Strike - Final Attack trigger rate (this block's own Q/R)</t>
        </is>
      </c>
      <c r="B2690">
        <f>IF(AND(Inputs!$B$38&lt;&gt;"pvp",Inputs!$B$43&gt;0),(((C2650=TRUE)*R2650)+((C2653=TRUE)*R2653)+((C2655=TRUE)*R2655)+((C2656=TRUE)*R2656)+((C2658=TRUE)*R2658))/Inputs!$B$43,((C2650=TRUE)*Q2650)+((C2653=TRUE)*Q2653)+((C2655=TRUE)*Q2655)+((C2656=TRUE)*Q2656)+((C2658=TRUE)*Q2658))+B2682</f>
        <v/>
      </c>
    </row>
    <row r="2693">
      <c r="A2693" s="6" t="inlineStr">
        <is>
          <t>Stat: Horn Flute (Equip)</t>
        </is>
      </c>
    </row>
    <row r="2694">
      <c r="A2694" s="5" t="inlineStr">
        <is>
          <t>Key</t>
        </is>
      </c>
      <c r="B2694" s="5" t="inlineStr">
        <is>
          <t>Name</t>
        </is>
      </c>
      <c r="C2694" s="5" t="inlineStr">
        <is>
          <t>Unlocked</t>
        </is>
      </c>
      <c r="D2694" s="5" t="inlineStr">
        <is>
          <t>InputLevel</t>
        </is>
      </c>
      <c r="E2694" s="5" t="inlineStr">
        <is>
          <t>Factor</t>
        </is>
      </c>
      <c r="F2694" s="5" t="inlineStr">
        <is>
          <t>CoefficientPercent</t>
        </is>
      </c>
      <c r="G2694" s="5" t="inlineStr">
        <is>
          <t>EffectiveHits</t>
        </is>
      </c>
      <c r="H2694" s="5" t="inlineStr">
        <is>
          <t>ProcProbability</t>
        </is>
      </c>
      <c r="I2694" s="5" t="inlineStr">
        <is>
          <t>MapleHeroMultiplier</t>
        </is>
      </c>
      <c r="J2694" s="5" t="inlineStr">
        <is>
          <t>BaseDamage</t>
        </is>
      </c>
      <c r="K2694" s="5" t="inlineStr">
        <is>
          <t>BaseHitDamage</t>
        </is>
      </c>
      <c r="L2694" s="5" t="inlineStr">
        <is>
          <t>NonCritAvg</t>
        </is>
      </c>
      <c r="M2694" s="5" t="inlineStr">
        <is>
          <t>CritAvg</t>
        </is>
      </c>
      <c r="N2694" s="5" t="inlineStr">
        <is>
          <t>ExpectedDamage(perHit)</t>
        </is>
      </c>
      <c r="O2694" s="5" t="inlineStr">
        <is>
          <t>DPS</t>
        </is>
      </c>
      <c r="P2694" s="5" t="inlineStr">
        <is>
          <t>% of Total</t>
        </is>
      </c>
      <c r="Q2694" s="5" t="inlineStr">
        <is>
          <t>InvCooldown</t>
        </is>
      </c>
      <c r="R2694" s="5" t="inlineStr">
        <is>
          <t>CastsInFight</t>
        </is>
      </c>
      <c r="S2694" s="5" t="inlineStr">
        <is>
          <t>HitRate(perSec)</t>
        </is>
      </c>
      <c r="U2694" t="inlineStr">
        <is>
          <t>helpers</t>
        </is>
      </c>
    </row>
    <row r="2695">
      <c r="A2695">
        <f>Skills!A2</f>
        <v/>
      </c>
      <c r="B2695">
        <f>Skills!B2</f>
        <v/>
      </c>
      <c r="C2695">
        <f>Inputs!$B$3&gt;=100</f>
        <v/>
      </c>
      <c r="D2695" t="inlineStr"/>
      <c r="E2695" t="inlineStr"/>
      <c r="F2695">
        <f>U2697+Skills!O2</f>
        <v/>
      </c>
      <c r="G2695">
        <f>Skills!G2*IF(Skills!H2&gt;0,INT(IF(Inputs!$B$38="pvp",MIN(Skills!I2,15),Skills!I2)/Skills!H2+0.000000001),1)</f>
        <v/>
      </c>
      <c r="H2695">
        <f>1-(1-Skills!J2/100)^Skills!K2</f>
        <v/>
      </c>
      <c r="I2695" t="inlineStr">
        <is>
          <t>1</t>
        </is>
      </c>
      <c r="J2695">
        <f>((Inputs!$B$6*(1+Inputs!$B$7/100))+(((Inputs!$B$12*(1+Inputs!$B$13/100))-(Inputs!$B$12*(1+Inputs!$B$13/100)))+0.25*(Inputs!$B$14-Inputs!$B$14))*(1+Inputs!$B$7/100))*(F2695/100)</f>
        <v/>
      </c>
      <c r="K2695">
        <f>J2695*(1+((Inputs!$B$12*(1+Inputs!$B$13/100))*0.01+Inputs!$B$14*0.0025)/100)*(1+Inputs!$B$15/100)*(1+Inputs!$B$16/100)*(5000/(6000+Inputs!$B$42*(1-(100*(1-(1-(Inputs!$B$19+0)/100)*(1-CHOOSE(ArtifactsInput!$N$40+1,5,6,7,8,9,10)/100)^(ArtifactsInput!$M$40-ArtifactsInput!$M$40)))/100)))*(1+(Inputs!$B$24+((C2719=TRUE)*(F2719-Calc!F26))+B2730)/100)*(1+(((1+IF(AND(ArtifactsInput!$M$36,IF(Inputs!$B$38="pvp",TRUE,AND(Inputs!$B$38&lt;&gt;"pvp",Inputs!$B$43&gt;0))),CHOOSE(ArtifactsInput!$N$36+1,8,9.6,11.2,12.8,14.4,16),0)/100)*(1+IF(AND(ArtifactsInput!$M$32,Inputs!$B$4&lt;&gt;"Chapter Hunt"),CHOOSE(ArtifactsInput!$N$32+1,8,9.6,11.2,12.8,14.4,16),0)/100)*(1+IF(AND(IF(ArtifactsInput!$M$38,FALSE,TRUE),Inputs!$B$38&lt;&gt;"pvp",Inputs!$B$43&gt;0),CHOOSE(ArtifactsInput!$N$38+1,10,12,14,16,18,20)*(MIN(30,MAX(0,Inputs!$B$43-7))/Inputs!$B$43)*IF(Inputs!$B$4="Chapter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IGHT_LEGS_EASTON",Inputs!$B$17+((C2716=TRUE)*(F2716-Calc!F23))+((C2720=TRUE)*(F2720-Calc!F27))+((IF(AND(Inputs!$B$38&lt;&gt;"pvp",Inputs!$B$43=0),1,IF(IF(Inputs!$B$38="pvp",15,Inputs!$B$43)-(B2731)&lt;=0,1,MAX(0,IF(Inputs!$B$38="pvp",15,Inputs!$B$43)-MAX(5,B2731))/(IF(Inputs!$B$38="pvp",15,Inputs!$B$43)-(B2731))))*(IF(AND(ArtifactsInput!$M$42,((Inputs!$B$9+((C2712=TRUE)*(F2712-Calc!F19))+B2724+(ArtifactsInput!$M$24-ArtifactsInput!$M$24)*CHOOSE(ArtifactsInput!$N$24+1,10,12,14,16,18,20)+IF(ArtifactsInput!$M$10,CHOOSE(ArtifactsInput!$N$10+1,15,18,21,24,27,30)*(IF(Inputs!$B$38="pvp",MIN(15,15)/15,IF(AND(Inputs!$B$38&lt;&gt;"pvp",Inputs!$B$43&gt;0),MIN(15,Inputs!$B$43)/(Inputs!$B$43),0))),0)))&gt;=100),MIN(100,((Inputs!$B$9+((C2712=TRUE)*(F2712-Calc!F19))+B2724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2731)&lt;=0,1,MAX(0,IF(Inputs!$B$38="pvp",15,Inputs!$B$43)-MAX(5,B2731))/(IF(Inputs!$B$38="pvp",15,Inputs!$B$43)-(B2731))))*IF(AND(ArtifactsInput!$M$42,((Inputs!$B$9+((C2712=TRUE)*(F2712-Calc!F19))+B2724+(ArtifactsInput!$M$24-ArtifactsInput!$M$24)*CHOOSE(ArtifactsInput!$N$24+1,10,12,14,16,18,20)+IF(ArtifactsInput!$M$10,CHOOSE(ArtifactsInput!$N$10+1,15,18,21,24,27,30)*(IF(Inputs!$B$38="pvp",MIN(15,15)/15,IF(AND(Inputs!$B$38&lt;&gt;"pvp",Inputs!$B$43&gt;0),MIN(15,Inputs!$B$43)/(Inputs!$B$43),0))),0)))&gt;=100),CHOOSE(ArtifactsInput!$N$42+1,40,48,56,64,72,80),0))))/100)*((1+(((C2710=TRUE)*F2710*5/7)+((C2717=TRUE)*(F2717-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2695)</f>
        <v/>
      </c>
      <c r="L2695">
        <f>K2695*(MIN(Inputs!$B$22+((C2715=TRUE)*(F2715-Calc!F22)),(Inputs!$B$23+0+(IF(ArtifactsInput!$M$15,CHOOSE(ArtifactsInput!$N$15+1,25,30,35,40,45,50)/100*(Inputs!$B$11-Inputs!$B$11),0))))/100+(Inputs!$B$23+0+(IF(ArtifactsInput!$M$15,CHOOSE(ArtifactsInput!$N$15+1,25,30,35,40,45,50)/100*(Inputs!$B$11-Inputs!$B$11),0)))/100)/2</f>
        <v/>
      </c>
      <c r="M2695">
        <f>L2695*(1+(Inputs!$B$10+((C2718=TRUE)*(F2718-Calc!F25))+B2729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95">
        <f>L2695*(1-MIN((Inputs!$B$9+((C2712=TRUE)*(F2712-Calc!F19))+B2724+(ArtifactsInput!$M$24-ArtifactsInput!$M$24)*CHOOSE(ArtifactsInput!$N$24+1,10,12,14,16,18,20)+(IF(AND(Inputs!$B$38&lt;&gt;"pvp",Inputs!$B$43=0),1,IF(IF(Inputs!$B$38="pvp",15,Inputs!$B$43)-(B2731)&lt;=0,1,MAX(0,IF(Inputs!$B$38="pvp",15,Inputs!$B$43)-MAX(5,B2731))/(IF(Inputs!$B$38="pvp",15,Inputs!$B$43)-(B2731))))*IF(AND(ArtifactsInput!$M$42,((Inputs!$B$9+((C2712=TRUE)*(F2712-Calc!F19))+B2724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2695*(MIN((Inputs!$B$9+((C2712=TRUE)*(F2712-Calc!F19))+B2724+(ArtifactsInput!$M$24-ArtifactsInput!$M$24)*CHOOSE(ArtifactsInput!$N$24+1,10,12,14,16,18,20)+(IF(AND(Inputs!$B$38&lt;&gt;"pvp",Inputs!$B$43=0),1,IF(IF(Inputs!$B$38="pvp",15,Inputs!$B$43)-(B2731)&lt;=0,1,MAX(0,IF(Inputs!$B$38="pvp",15,Inputs!$B$43)-MAX(5,B2731))/(IF(Inputs!$B$38="pvp",15,Inputs!$B$43)-(B2731))))*IF(AND(ArtifactsInput!$M$42,((Inputs!$B$9+((C2712=TRUE)*(F2712-Calc!F19))+B2724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95">
        <f>(1-Summary!$B$11)*T2695+Summary!$B$11*V2695</f>
        <v/>
      </c>
      <c r="P2695">
        <f>IF(B2734=0,0,O2695/B2734)</f>
        <v/>
      </c>
      <c r="Q2695" t="n">
        <v>0</v>
      </c>
      <c r="R2695" t="n">
        <v>0</v>
      </c>
      <c r="S2695">
        <f>IFERROR(O2695/N2695,0)</f>
        <v/>
      </c>
      <c r="T2695">
        <f>IF(C2695,(Skills!G2*N2695*B2728*(1+IF(C2720=TRUE,1/3,0)))*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Hunt"),CHOOSE(ArtifactsInput!$N$35+1,15,18,21,24,27,30)*(1-EXP(-(0.2*B2726)*5)),0)+IF(AND(ArtifactsInput!$M$22,Inputs!$B$4&lt;&gt;"Chapter Hunt"),CHOOSE(ArtifactsInput!$N$22+1,10,12,14,16,18,20)*((0*(((0.15*B2726*5))^0/1)+1*(((0.15*B2726*5))^1/1)+2*(((0.15*B2726*5))^2/2)+3*(((0.15*B2726*5))^3/6)+4*(((0.15*B2726*5))^4/24)+5*(((0.15*B2726*5))^5/120))/((((0.15*B2726*5))^0/1)+(((0.15*B2726*5))^1/1)+(((0.15*B2726*5))^2/2)+(((0.15*B2726*5))^3/6)+(((0.15*B2726*5))^4/24)+(((0.15*B2726*5))^5/120))),0))+IF(Inputs!$B$3&gt;=54,9*(C2696=TRUE)*MIN(1,8*(1+Inputs!$B$34/100)*Q2696)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2695*(1-MIN(100,(Inputs!$B$9+((C2712=TRUE)*(F2712-Calc!F19))+B2724+(ArtifactsInput!$M$24-ArtifactsInput!$M$24)*CHOOSE(ArtifactsInput!$N$24+1,10,12,14,16,18,20)+(IF(AND(Inputs!$B$38&lt;&gt;"pvp",Inputs!$B$43=0),1,IF(IF(Inputs!$B$38="pvp",15,Inputs!$B$43)-(B2731)&lt;=0,1,MAX(0,IF(Inputs!$B$38="pvp",15,Inputs!$B$43)-MAX(5,B2731))/(IF(Inputs!$B$38="pvp",15,Inputs!$B$43)-(B2731))))*IF(AND(ArtifactsInput!$M$42,((Inputs!$B$9+((C2712=TRUE)*(F2712-Calc!F19))+B2724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2695*(MIN(100,(Inputs!$B$9+((C2712=TRUE)*(F2712-Calc!F19))+B2724+(ArtifactsInput!$M$24-ArtifactsInput!$M$24)*CHOOSE(ArtifactsInput!$N$24+1,10,12,14,16,18,20)+(IF(AND(Inputs!$B$38&lt;&gt;"pvp",Inputs!$B$43=0),1,IF(IF(Inputs!$B$38="pvp",15,Inputs!$B$43)-(B2731)&lt;=0,1,MAX(0,IF(Inputs!$B$38="pvp",15,Inputs!$B$43)-MAX(5,B2731))/(IF(Inputs!$B$38="pvp",15,Inputs!$B$43)-(B2731))))*IF(AND(ArtifactsInput!$M$42,((Inputs!$B$9+((C2712=TRUE)*(F2712-Calc!F19))+B2724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2695*(1-MIN(100,(Inputs!$B$9+((C2712=TRUE)*(F2712-Calc!F19))+B2724+(ArtifactsInput!$M$24-ArtifactsInput!$M$24)*CHOOSE(ArtifactsInput!$N$24+1,10,12,14,16,18,20)+(IF(AND(Inputs!$B$38&lt;&gt;"pvp",Inputs!$B$43=0),1,IF(IF(Inputs!$B$38="pvp",15,Inputs!$B$43)-(B2731)&lt;=0,1,MAX(0,IF(Inputs!$B$38="pvp",15,Inputs!$B$43)-MAX(5,B2731))/(IF(Inputs!$B$38="pvp",15,Inputs!$B$43)-(B2731))))*IF(AND(ArtifactsInput!$M$42,((Inputs!$B$9+((C2712=TRUE)*(F2712-Calc!F19))+B2724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2695*(MIN(100,(Inputs!$B$9+((C2712=TRUE)*(F2712-Calc!F19))+B2724+(ArtifactsInput!$M$24-ArtifactsInput!$M$24)*CHOOSE(ArtifactsInput!$N$24+1,10,12,14,16,18,20)+(IF(AND(Inputs!$B$38&lt;&gt;"pvp",Inputs!$B$43=0),1,IF(IF(Inputs!$B$38="pvp",15,Inputs!$B$43)-(B2731)&lt;=0,1,MAX(0,IF(Inputs!$B$38="pvp",15,Inputs!$B$43)-MAX(5,B2731))/(IF(Inputs!$B$38="pvp",15,Inputs!$B$43)-(B2731))))*IF(AND(ArtifactsInput!$M$42,((Inputs!$B$9+((C2712=TRUE)*(F2712-Calc!F19))+B2724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695">
        <f>MAX(0,(Inputs!$B$3-100)*3)+Inputs!$B$28+Inputs!$B$29</f>
        <v/>
      </c>
      <c r="V2695">
        <f>IF(C2695,(Skills!G2*N2695*B2728*(1+IF(C2720=TRUE,1/3,0)))*IF(Inputs!$B$38="pvp",1,(1+(Inputs!$B$21+Skills!Q2+(IF(ArtifactsInput!$M$33,CHOOSE(ArtifactsInput!$N$33+1,30,36,42,48,54,60),0))+(IF(AND(ArtifactsInput!$M$35,Inputs!$B$4&lt;&gt;"Chapter Hunt"),CHOOSE(ArtifactsInput!$N$35+1,15,18,21,24,27,30)*(1-EXP(-(0.2*B2726)*5)),0)+IF(AND(ArtifactsInput!$M$22,Inputs!$B$4&lt;&gt;"Chapter Hunt"),CHOOSE(ArtifactsInput!$N$22+1,10,12,14,16,18,20)*((0*(((0.15*B2726*5))^0/1)+1*(((0.15*B2726*5))^1/1)+2*(((0.15*B2726*5))^2/2)+3*(((0.15*B2726*5))^3/6)+4*(((0.15*B2726*5))^4/24)+5*(((0.15*B2726*5))^5/120))/((((0.15*B2726*5))^0/1)+(((0.15*B2726*5))^1/1)+(((0.15*B2726*5))^2/2)+(((0.15*B2726*5))^3/6)+(((0.15*B2726*5))^4/24)+(((0.15*B2726*5))^5/120))),0))+IF(Inputs!$B$3&gt;=54,9*(C2696=TRUE)*MIN(1,8*(1+Inputs!$B$34/100)*Q2696),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96">
      <c r="A2696">
        <f>Skills!A3</f>
        <v/>
      </c>
      <c r="B2696">
        <f>Skills!B3</f>
        <v/>
      </c>
      <c r="C2696">
        <f>Inputs!$B$3&gt;=33</f>
        <v/>
      </c>
      <c r="D2696">
        <f>IF(Skills!C3=1,60+Inputs!$B$25+Inputs!$B$29,IF(Skills!C3=2,90+Inputs!$B$26+Inputs!$B$29,IF(Skills!C3=3,120+Inputs!$B$27+Inputs!$B$29,MAX(0,(Inputs!$B$3-100)*3)+Inputs!$B$28+Inputs!$B$29)))</f>
        <v/>
      </c>
      <c r="E2696">
        <f>INDEX(FactorTable!$B$2:$Y$301, MATCH(ROUND(MIN(300,MAX(1,D2696)),0), FactorTable!$A$2:$A$301,0), Skills!M3+1)</f>
        <v/>
      </c>
      <c r="F2696">
        <f>IF(Skills!N3=TRUE,(Skills!L3/10)*(E2696/1000),Skills!L3/10)+Skills!O3</f>
        <v/>
      </c>
      <c r="G2696">
        <f>Skills!G3*IF(Skills!H3&gt;0,INT(IF(Inputs!$B$38="pvp",MIN(Skills!I3,15),Skills!I3)/Skills!H3+0.000000001),1)</f>
        <v/>
      </c>
      <c r="H2696">
        <f>1-(1-Skills!J3/100)^Skills!K3</f>
        <v/>
      </c>
      <c r="I2696" t="inlineStr">
        <is>
          <t>1</t>
        </is>
      </c>
      <c r="J2696">
        <f>((Inputs!$B$6*(1+Inputs!$B$7/100))+(((Inputs!$B$12*(1+Inputs!$B$13/100))-(Inputs!$B$12*(1+Inputs!$B$13/100)))+0.25*(Inputs!$B$14-Inputs!$B$14))*(1+Inputs!$B$7/100))*(F2696/100)</f>
        <v/>
      </c>
      <c r="K2696">
        <f>J2696*(1+((Inputs!$B$12*(1+Inputs!$B$13/100))*0.01+Inputs!$B$14*0.0025)/100)*(1+Inputs!$B$15/100)*(1+Inputs!$B$16/100)*(5000/(6000+Inputs!$B$42*(1-(100*(1-(1-(Inputs!$B$19+0)/100)*(1-CHOOSE(ArtifactsInput!$N$40+1,5,6,7,8,9,10)/100)^(ArtifactsInput!$M$40-ArtifactsInput!$M$40)))/100)))*(1+(Inputs!$B$24+((C2719=TRUE)*(F2719-Calc!F26))+B2730)/100)*(1+(((1+IF(AND(ArtifactsInput!$M$36,IF(Inputs!$B$38="pvp",TRUE,AND(Inputs!$B$38&lt;&gt;"pvp",Inputs!$B$43&gt;0))),CHOOSE(ArtifactsInput!$N$36+1,8,9.6,11.2,12.8,14.4,16),0)/100)*(1+IF(AND(ArtifactsInput!$M$32,Inputs!$B$4&lt;&gt;"Chapter Hunt"),CHOOSE(ArtifactsInput!$N$32+1,8,9.6,11.2,12.8,14.4,16),0)/100)*(1+IF(AND(IF(ArtifactsInput!$M$38,FALSE,TRUE),Inputs!$B$38&lt;&gt;"pvp",Inputs!$B$43&gt;0),CHOOSE(ArtifactsInput!$N$38+1,10,12,14,16,18,20)*(MIN(30,MAX(0,Inputs!$B$43-7))/Inputs!$B$43)*IF(Inputs!$B$4="Chapter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2708=TRUE,F2708,0)/100)*(1+(IF(Skills!A3="EIGHT_LEGS_EASTON",Inputs!$B$17+((C2716=TRUE)*(F2716-Calc!F23))+((C2720=TRUE)*(F2720-Calc!F27))+((IF(AND(Inputs!$B$38&lt;&gt;"pvp",Inputs!$B$43=0),1,IF(IF(Inputs!$B$38="pvp",15,Inputs!$B$43)-(B2731)&lt;=0,1,MAX(0,IF(Inputs!$B$38="pvp",15,Inputs!$B$43)-MAX(5,B2731))/(IF(Inputs!$B$38="pvp",15,Inputs!$B$43)-(B2731))))*(IF(AND(ArtifactsInput!$M$42,((Inputs!$B$9+((C2712=TRUE)*(F2712-Calc!F19))+B2724+(ArtifactsInput!$M$24-ArtifactsInput!$M$24)*CHOOSE(ArtifactsInput!$N$24+1,10,12,14,16,18,20)+IF(ArtifactsInput!$M$10,CHOOSE(ArtifactsInput!$N$10+1,15,18,21,24,27,30)*(IF(Inputs!$B$38="pvp",MIN(15,15)/15,IF(AND(Inputs!$B$38&lt;&gt;"pvp",Inputs!$B$43&gt;0),MIN(15,Inputs!$B$43)/(Inputs!$B$43),0))),0)))&gt;=100),MIN(100,((Inputs!$B$9+((C2712=TRUE)*(F2712-Calc!F19))+B2724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2731)&lt;=0,1,MAX(0,IF(Inputs!$B$38="pvp",15,Inputs!$B$43)-MAX(5,B2731))/(IF(Inputs!$B$38="pvp",15,Inputs!$B$43)-(B2731))))*IF(AND(ArtifactsInput!$M$42,((Inputs!$B$9+((C2712=TRUE)*(F2712-Calc!F19))+B2724+(ArtifactsInput!$M$24-ArtifactsInput!$M$24)*CHOOSE(ArtifactsInput!$N$24+1,10,12,14,16,18,20)+IF(ArtifactsInput!$M$10,CHOOSE(ArtifactsInput!$N$10+1,15,18,21,24,27,30)*(IF(Inputs!$B$38="pvp",MIN(15,15)/15,IF(AND(Inputs!$B$38&lt;&gt;"pvp",Inputs!$B$43&gt;0),MIN(15,Inputs!$B$43)/(Inputs!$B$43),0))),0)))&gt;=100),CHOOSE(ArtifactsInput!$N$42+1,40,48,56,64,72,80),0))))/100)*((1+(((C2710=TRUE)*F2710*5/7)+((C2717=TRUE)*(F2717-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2696)</f>
        <v/>
      </c>
      <c r="L2696">
        <f>K2696*(MIN(Inputs!$B$22+((C2715=TRUE)*(F2715-Calc!F22)),(Inputs!$B$23+0+(IF(ArtifactsInput!$M$15,CHOOSE(ArtifactsInput!$N$15+1,25,30,35,40,45,50)/100*(Inputs!$B$11-Inputs!$B$11),0))))/100+(Inputs!$B$23+0+(IF(ArtifactsInput!$M$15,CHOOSE(ArtifactsInput!$N$15+1,25,30,35,40,45,50)/100*(Inputs!$B$11-Inputs!$B$11),0)))/100)/2</f>
        <v/>
      </c>
      <c r="M2696">
        <f>L2696*(1+(Inputs!$B$10+((C2718=TRUE)*(F2718-Calc!F25))+B2729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96">
        <f>L2696*(1-MIN((Inputs!$B$9+((C2712=TRUE)*(F2712-Calc!F19))+B2724+(ArtifactsInput!$M$24-ArtifactsInput!$M$24)*CHOOSE(ArtifactsInput!$N$24+1,10,12,14,16,18,20)+(IF(AND(Inputs!$B$38&lt;&gt;"pvp",Inputs!$B$43=0),1,IF(IF(Inputs!$B$38="pvp",15,Inputs!$B$43)-(B2731)&lt;=0,1,MAX(0,IF(Inputs!$B$38="pvp",15,Inputs!$B$43)-MAX(5,B2731))/(IF(Inputs!$B$38="pvp",15,Inputs!$B$43)-(B2731))))*IF(AND(ArtifactsInput!$M$42,((Inputs!$B$9+((C2712=TRUE)*(F2712-Calc!F19))+B2724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2696*(MIN((Inputs!$B$9+((C2712=TRUE)*(F2712-Calc!F19))+B2724+(ArtifactsInput!$M$24-ArtifactsInput!$M$24)*CHOOSE(ArtifactsInput!$N$24+1,10,12,14,16,18,20)+(IF(AND(Inputs!$B$38&lt;&gt;"pvp",Inputs!$B$43=0),1,IF(IF(Inputs!$B$38="pvp",15,Inputs!$B$43)-(B2731)&lt;=0,1,MAX(0,IF(Inputs!$B$38="pvp",15,Inputs!$B$43)-MAX(5,B2731))/(IF(Inputs!$B$38="pvp",15,Inputs!$B$43)-(B2731))))*IF(AND(ArtifactsInput!$M$42,((Inputs!$B$9+((C2712=TRUE)*(F2712-Calc!F19))+B2724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96">
        <f>(1-Summary!$B$11)*T2696+Summary!$B$11*V2696</f>
        <v/>
      </c>
      <c r="P2696">
        <f>IF(B2734=0,0,O2696/B2734)</f>
        <v/>
      </c>
      <c r="Q2696">
        <f>IFERROR(1/(IF(Inputs!$B$38="pvp",15,MAX(0.1,Skills!D3-IF(TRUE=TRUE,Inputs!$B$32,0)))*(1-IF(AND(ArtifactsInput!$M$27,Inputs!$B$4="Chapter Hunt"),CHOOSE(ArtifactsInput!$N$27+1,20,24,28,32,36,40),0)/100)),0)</f>
        <v/>
      </c>
      <c r="R2696">
        <f>IF(AND(Inputs!$B$38&lt;&gt;"pvp",Inputs!$B$43&gt;0),IF(MAX(0,Inputs!$B$43-B2731)&lt;=0,0,(INT(MAX(0,Inputs!$B$43-B2731)/(IF(Inputs!$B$38="pvp",15,MAX(0.1,Skills!D3-IF(TRUE=TRUE,Inputs!$B$32,0)))*(1-IF(AND(ArtifactsInput!$M$27,Inputs!$B$4="Chapter Hunt"),CHOOSE(ArtifactsInput!$N$27+1,20,24,28,32,36,40),0)/100)))+1)),0)</f>
        <v/>
      </c>
      <c r="S2696">
        <f>IFERROR(O2696/N2696,0)</f>
        <v/>
      </c>
      <c r="T2696">
        <f>IF(C2696,(H2696*N2696*IF(AND(Inputs!$B$38&lt;&gt;"pvp",Inputs!$B$43&gt;0),((Skills!G3*((R2696-1)*IF(Skills!H3&gt;0,INT(Skills!I3/Skills!H3+0.000000001),1)+IF(Skills!H3&gt;0,INT(MIN(Skills!I3,MAX(0,MAX(0,Inputs!$B$43-B2731)-((R2696-1)*(IF(Inputs!$B$38="pvp",15,MAX(0.1,Skills!D3-IF(TRUE=TRUE,Inputs!$B$32,0)))*(1-IF(AND(ArtifactsInput!$M$27,Inputs!$B$4="Chapter Hunt"),CHOOSE(ArtifactsInput!$N$27+1,20,24,28,32,36,40),0)/100)))))/Skills!H3+0.000000001),1)))/Inputs!$B$43),G2696*Q2696))*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Hunt"),CHOOSE(ArtifactsInput!$N$35+1,15,18,21,24,27,30)*(1-EXP(-(0.2*B2726)*5)),0)+IF(AND(ArtifactsInput!$M$22,Inputs!$B$4&lt;&gt;"Chapter Hunt"),CHOOSE(ArtifactsInput!$N$22+1,10,12,14,16,18,20)*((0*(((0.15*B2726*5))^0/1)+1*(((0.15*B2726*5))^1/1)+2*(((0.15*B2726*5))^2/2)+3*(((0.15*B2726*5))^3/6)+4*(((0.15*B2726*5))^4/24)+5*(((0.15*B2726*5))^5/120))/((((0.15*B2726*5))^0/1)+(((0.15*B2726*5))^1/1)+(((0.15*B2726*5))^2/2)+(((0.15*B2726*5))^3/6)+(((0.15*B2726*5))^4/24)+(((0.15*B2726*5))^5/120))),0))+IF(Inputs!$B$3&gt;=54,9*(C2696=TRUE)*MIN(1,8*(1+Inputs!$B$34/100)*Q2696)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2696*(1-MIN(100,(Inputs!$B$9+((C2712=TRUE)*(F2712-Calc!F19))+B2724+(ArtifactsInput!$M$24-ArtifactsInput!$M$24)*CHOOSE(ArtifactsInput!$N$24+1,10,12,14,16,18,20)+(IF(AND(Inputs!$B$38&lt;&gt;"pvp",Inputs!$B$43=0),1,IF(IF(Inputs!$B$38="pvp",15,Inputs!$B$43)-(B2731)&lt;=0,1,MAX(0,IF(Inputs!$B$38="pvp",15,Inputs!$B$43)-MAX(5,B2731))/(IF(Inputs!$B$38="pvp",15,Inputs!$B$43)-(B2731))))*IF(AND(ArtifactsInput!$M$42,((Inputs!$B$9+((C2712=TRUE)*(F2712-Calc!F19))+B2724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2696*(MIN(100,(Inputs!$B$9+((C2712=TRUE)*(F2712-Calc!F19))+B2724+(ArtifactsInput!$M$24-ArtifactsInput!$M$24)*CHOOSE(ArtifactsInput!$N$24+1,10,12,14,16,18,20)+(IF(AND(Inputs!$B$38&lt;&gt;"pvp",Inputs!$B$43=0),1,IF(IF(Inputs!$B$38="pvp",15,Inputs!$B$43)-(B2731)&lt;=0,1,MAX(0,IF(Inputs!$B$38="pvp",15,Inputs!$B$43)-MAX(5,B2731))/(IF(Inputs!$B$38="pvp",15,Inputs!$B$43)-(B2731))))*IF(AND(ArtifactsInput!$M$42,((Inputs!$B$9+((C2712=TRUE)*(F2712-Calc!F19))+B2724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2696*(1-MIN(100,(Inputs!$B$9+((C2712=TRUE)*(F2712-Calc!F19))+B2724+(ArtifactsInput!$M$24-ArtifactsInput!$M$24)*CHOOSE(ArtifactsInput!$N$24+1,10,12,14,16,18,20)+(IF(AND(Inputs!$B$38&lt;&gt;"pvp",Inputs!$B$43=0),1,IF(IF(Inputs!$B$38="pvp",15,Inputs!$B$43)-(B2731)&lt;=0,1,MAX(0,IF(Inputs!$B$38="pvp",15,Inputs!$B$43)-MAX(5,B2731))/(IF(Inputs!$B$38="pvp",15,Inputs!$B$43)-(B2731))))*IF(AND(ArtifactsInput!$M$42,((Inputs!$B$9+((C2712=TRUE)*(F2712-Calc!F19))+B2724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2696*(MIN(100,(Inputs!$B$9+((C2712=TRUE)*(F2712-Calc!F19))+B2724+(ArtifactsInput!$M$24-ArtifactsInput!$M$24)*CHOOSE(ArtifactsInput!$N$24+1,10,12,14,16,18,20)+(IF(AND(Inputs!$B$38&lt;&gt;"pvp",Inputs!$B$43=0),1,IF(IF(Inputs!$B$38="pvp",15,Inputs!$B$43)-(B2731)&lt;=0,1,MAX(0,IF(Inputs!$B$38="pvp",15,Inputs!$B$43)-MAX(5,B2731))/(IF(Inputs!$B$38="pvp",15,Inputs!$B$43)-(B2731))))*IF(AND(ArtifactsInput!$M$42,((Inputs!$B$9+((C2712=TRUE)*(F2712-Calc!F19))+B2724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696">
        <f>INDEX(FactorTable!$B$2:$Y$301, MATCH(ROUND(MIN(300,MAX(1,U2695)),0), FactorTable!$A$2:$A$301,0), 22)</f>
        <v/>
      </c>
      <c r="V2696">
        <f>IF(C2696,(H2696*N2696*IF(AND(Inputs!$B$38&lt;&gt;"pvp",Inputs!$B$43&gt;0),((Skills!G3*((R2696-1)*IF(Skills!H3&gt;0,INT(Skills!I3/Skills!H3+0.000000001),1)+IF(Skills!H3&gt;0,INT(MIN(Skills!I3,MAX(0,MAX(0,Inputs!$B$43-B2731)-((R2696-1)*(IF(Inputs!$B$38="pvp",15,MAX(0.1,Skills!D3-IF(TRUE=TRUE,Inputs!$B$32,0)))*(1-IF(AND(ArtifactsInput!$M$27,Inputs!$B$4="Chapter Hunt"),CHOOSE(ArtifactsInput!$N$27+1,20,24,28,32,36,40),0)/100)))))/Skills!H3+0.000000001),1)))/Inputs!$B$43),G2696*Q2696))*IF(Inputs!$B$38="pvp",1,(1+(Inputs!$B$21+Skills!Q3+(IF(ArtifactsInput!$M$33,CHOOSE(ArtifactsInput!$N$33+1,30,36,42,48,54,60),0))+(IF(AND(ArtifactsInput!$M$35,Inputs!$B$4&lt;&gt;"Chapter Hunt"),CHOOSE(ArtifactsInput!$N$35+1,15,18,21,24,27,30)*(1-EXP(-(0.2*B2726)*5)),0)+IF(AND(ArtifactsInput!$M$22,Inputs!$B$4&lt;&gt;"Chapter Hunt"),CHOOSE(ArtifactsInput!$N$22+1,10,12,14,16,18,20)*((0*(((0.15*B2726*5))^0/1)+1*(((0.15*B2726*5))^1/1)+2*(((0.15*B2726*5))^2/2)+3*(((0.15*B2726*5))^3/6)+4*(((0.15*B2726*5))^4/24)+5*(((0.15*B2726*5))^5/120))/((((0.15*B2726*5))^0/1)+(((0.15*B2726*5))^1/1)+(((0.15*B2726*5))^2/2)+(((0.15*B2726*5))^3/6)+(((0.15*B2726*5))^4/24)+(((0.15*B2726*5))^5/120))),0))+IF(Inputs!$B$3&gt;=54,9*(C2696=TRUE)*MIN(1,8*(1+Inputs!$B$34/100)*Q2696),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97">
      <c r="A2697">
        <f>Skills!A4</f>
        <v/>
      </c>
      <c r="B2697">
        <f>Skills!B4</f>
        <v/>
      </c>
      <c r="C2697">
        <f>Inputs!$B$3&gt;=35</f>
        <v/>
      </c>
      <c r="D2697">
        <f>IF(Skills!C4=1,60+Inputs!$B$25+Inputs!$B$29,IF(Skills!C4=2,90+Inputs!$B$26+Inputs!$B$29,IF(Skills!C4=3,120+Inputs!$B$27+Inputs!$B$29,MAX(0,(Inputs!$B$3-100)*3)+Inputs!$B$28+Inputs!$B$29)))</f>
        <v/>
      </c>
      <c r="E2697">
        <f>INDEX(FactorTable!$B$2:$Y$301, MATCH(ROUND(MIN(300,MAX(1,D2697)),0), FactorTable!$A$2:$A$301,0), Skills!M4+1)</f>
        <v/>
      </c>
      <c r="F2697">
        <f>IF(Skills!N4=TRUE,(Skills!L4/10)*(E2697/1000),Skills!L4/10)+Skills!O4</f>
        <v/>
      </c>
      <c r="G2697">
        <f>Skills!G4*IF(Skills!H4&gt;0,INT(IF(Inputs!$B$38="pvp",MIN(IF(Inputs!$B$3&gt;=104,MIN(35,20*(1+Inputs!$B$34/100)),20),15),IF(Inputs!$B$3&gt;=104,MIN(35,20*(1+Inputs!$B$34/100)),20))/Skills!H4+0.000000001),1)</f>
        <v/>
      </c>
      <c r="H2697">
        <f>1-(1-Skills!J4/100)^Skills!K4</f>
        <v/>
      </c>
      <c r="I2697" t="inlineStr">
        <is>
          <t>1</t>
        </is>
      </c>
      <c r="J2697">
        <f>((Inputs!$B$6*(1+Inputs!$B$7/100))+(((Inputs!$B$12*(1+Inputs!$B$13/100))-(Inputs!$B$12*(1+Inputs!$B$13/100)))+0.25*(Inputs!$B$14-Inputs!$B$14))*(1+Inputs!$B$7/100))*(F2697/100)</f>
        <v/>
      </c>
      <c r="K2697">
        <f>J2697*(1+((Inputs!$B$12*(1+Inputs!$B$13/100))*0.01+Inputs!$B$14*0.0025)/100)*(1+Inputs!$B$15/100)*(1+Inputs!$B$16/100)*(5000/(6000+Inputs!$B$42*(1-(100*(1-(1-(Inputs!$B$19+0)/100)*(1-CHOOSE(ArtifactsInput!$N$40+1,5,6,7,8,9,10)/100)^(ArtifactsInput!$M$40-ArtifactsInput!$M$40)))/100)))*(1+(Inputs!$B$24+((C2719=TRUE)*(F2719-Calc!F26))+B2730)/100)*(1+(((1+IF(AND(ArtifactsInput!$M$36,IF(Inputs!$B$38="pvp",TRUE,AND(Inputs!$B$38&lt;&gt;"pvp",Inputs!$B$43&gt;0))),CHOOSE(ArtifactsInput!$N$36+1,8,9.6,11.2,12.8,14.4,16),0)/100)*(1+IF(AND(ArtifactsInput!$M$32,Inputs!$B$4&lt;&gt;"Chapter Hunt"),CHOOSE(ArtifactsInput!$N$32+1,8,9.6,11.2,12.8,14.4,16),0)/100)*(1+IF(AND(IF(ArtifactsInput!$M$38,FALSE,TRUE),Inputs!$B$38&lt;&gt;"pvp",Inputs!$B$43&gt;0),CHOOSE(ArtifactsInput!$N$38+1,10,12,14,16,18,20)*(MIN(30,MAX(0,Inputs!$B$43-7))/Inputs!$B$43)*IF(Inputs!$B$4="Chapter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2709=TRUE,F2709,0)/100)*(1+(IF(Skills!A4="EIGHT_LEGS_EASTON",Inputs!$B$17+((C2716=TRUE)*(F2716-Calc!F23))+((C2720=TRUE)*(F2720-Calc!F27))+((IF(AND(Inputs!$B$38&lt;&gt;"pvp",Inputs!$B$43=0),1,IF(IF(Inputs!$B$38="pvp",15,Inputs!$B$43)-(B2731)&lt;=0,1,MAX(0,IF(Inputs!$B$38="pvp",15,Inputs!$B$43)-MAX(5,B2731))/(IF(Inputs!$B$38="pvp",15,Inputs!$B$43)-(B2731))))*(IF(AND(ArtifactsInput!$M$42,((Inputs!$B$9+((C2712=TRUE)*(F2712-Calc!F19))+B2724+(ArtifactsInput!$M$24-ArtifactsInput!$M$24)*CHOOSE(ArtifactsInput!$N$24+1,10,12,14,16,18,20)+IF(ArtifactsInput!$M$10,CHOOSE(ArtifactsInput!$N$10+1,15,18,21,24,27,30)*(IF(Inputs!$B$38="pvp",MIN(15,15)/15,IF(AND(Inputs!$B$38&lt;&gt;"pvp",Inputs!$B$43&gt;0),MIN(15,Inputs!$B$43)/(Inputs!$B$43),0))),0)))&gt;=100),MIN(100,((Inputs!$B$9+((C2712=TRUE)*(F2712-Calc!F19))+B2724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2731)&lt;=0,1,MAX(0,IF(Inputs!$B$38="pvp",15,Inputs!$B$43)-MAX(5,B2731))/(IF(Inputs!$B$38="pvp",15,Inputs!$B$43)-(B2731))))*IF(AND(ArtifactsInput!$M$42,((Inputs!$B$9+((C2712=TRUE)*(F2712-Calc!F19))+B2724+(ArtifactsInput!$M$24-ArtifactsInput!$M$24)*CHOOSE(ArtifactsInput!$N$24+1,10,12,14,16,18,20)+IF(ArtifactsInput!$M$10,CHOOSE(ArtifactsInput!$N$10+1,15,18,21,24,27,30)*(IF(Inputs!$B$38="pvp",MIN(15,15)/15,IF(AND(Inputs!$B$38&lt;&gt;"pvp",Inputs!$B$43&gt;0),MIN(15,Inputs!$B$43)/(Inputs!$B$43),0))),0)))&gt;=100),CHOOSE(ArtifactsInput!$N$42+1,40,48,56,64,72,80),0))))/100)*((1+(((C2710=TRUE)*F2710*5/7)+((C2717=TRUE)*(F2717-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2697)</f>
        <v/>
      </c>
      <c r="L2697">
        <f>K2697*(MIN(Inputs!$B$22+((C2715=TRUE)*(F2715-Calc!F22)),(Inputs!$B$23+0+(IF(ArtifactsInput!$M$15,CHOOSE(ArtifactsInput!$N$15+1,25,30,35,40,45,50)/100*(Inputs!$B$11-Inputs!$B$11),0))))/100+(Inputs!$B$23+0+(IF(ArtifactsInput!$M$15,CHOOSE(ArtifactsInput!$N$15+1,25,30,35,40,45,50)/100*(Inputs!$B$11-Inputs!$B$11),0)))/100)/2</f>
        <v/>
      </c>
      <c r="M2697">
        <f>L2697*(1+(Inputs!$B$10+((C2718=TRUE)*(F2718-Calc!F25))+B2729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97">
        <f>L2697*(1-MIN((Inputs!$B$9+((C2712=TRUE)*(F2712-Calc!F19))+B2724+(ArtifactsInput!$M$24-ArtifactsInput!$M$24)*CHOOSE(ArtifactsInput!$N$24+1,10,12,14,16,18,20)+(IF(AND(Inputs!$B$38&lt;&gt;"pvp",Inputs!$B$43=0),1,IF(IF(Inputs!$B$38="pvp",15,Inputs!$B$43)-(B2731)&lt;=0,1,MAX(0,IF(Inputs!$B$38="pvp",15,Inputs!$B$43)-MAX(5,B2731))/(IF(Inputs!$B$38="pvp",15,Inputs!$B$43)-(B2731))))*IF(AND(ArtifactsInput!$M$42,((Inputs!$B$9+((C2712=TRUE)*(F2712-Calc!F19))+B2724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2697*(MIN((Inputs!$B$9+((C2712=TRUE)*(F2712-Calc!F19))+B2724+(ArtifactsInput!$M$24-ArtifactsInput!$M$24)*CHOOSE(ArtifactsInput!$N$24+1,10,12,14,16,18,20)+(IF(AND(Inputs!$B$38&lt;&gt;"pvp",Inputs!$B$43=0),1,IF(IF(Inputs!$B$38="pvp",15,Inputs!$B$43)-(B2731)&lt;=0,1,MAX(0,IF(Inputs!$B$38="pvp",15,Inputs!$B$43)-MAX(5,B2731))/(IF(Inputs!$B$38="pvp",15,Inputs!$B$43)-(B2731))))*IF(AND(ArtifactsInput!$M$42,((Inputs!$B$9+((C2712=TRUE)*(F2712-Calc!F19))+B2724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97">
        <f>(1-Summary!$B$11)*T2697+Summary!$B$11*V2697</f>
        <v/>
      </c>
      <c r="P2697">
        <f>IF(B2734=0,0,O2697/B2734)</f>
        <v/>
      </c>
      <c r="Q2697">
        <f>IFERROR(1/(IF(Inputs!$B$38="pvp",15,MAX(0.1,Skills!D4-IF(TRUE=TRUE,Inputs!$B$32,0)))*(1-IF(AND(ArtifactsInput!$M$27,Inputs!$B$4="Chapter Hunt"),CHOOSE(ArtifactsInput!$N$27+1,20,24,28,32,36,40),0)/100)),0)</f>
        <v/>
      </c>
      <c r="R2697">
        <f>IF(AND(Inputs!$B$38&lt;&gt;"pvp",Inputs!$B$43&gt;0),IF(MAX(0,Inputs!$B$43-B2731)&lt;=0,0,(INT(MAX(0,Inputs!$B$43-B2731)/(IF(Inputs!$B$38="pvp",15,MAX(0.1,Skills!D4-IF(TRUE=TRUE,Inputs!$B$32,0)))*(1-IF(AND(ArtifactsInput!$M$27,Inputs!$B$4="Chapter Hunt"),CHOOSE(ArtifactsInput!$N$27+1,20,24,28,32,36,40),0)/100)))+1)),0)</f>
        <v/>
      </c>
      <c r="S2697">
        <f>IFERROR(O2697/N2697,0)</f>
        <v/>
      </c>
      <c r="T2697">
        <f>IF(C2697,(H2697*N2697*IF(AND(Inputs!$B$38&lt;&gt;"pvp",Inputs!$B$43&gt;0),((Skills!G4*((R2697-1)*IF(Skills!H4&gt;0,INT(IF(Inputs!$B$3&gt;=104,MIN(35,20*(1+Inputs!$B$34/100)),20)/Skills!H4+0.000000001),1)+IF(Skills!H4&gt;0,INT(MIN(IF(Inputs!$B$3&gt;=104,MIN(35,20*(1+Inputs!$B$34/100)),20),MAX(0,MAX(0,Inputs!$B$43-B2731)-((R2697-1)*(IF(Inputs!$B$38="pvp",15,MAX(0.1,Skills!D4-IF(TRUE=TRUE,Inputs!$B$32,0)))*(1-IF(AND(ArtifactsInput!$M$27,Inputs!$B$4="Chapter Hunt"),CHOOSE(ArtifactsInput!$N$27+1,20,24,28,32,36,40),0)/100)))))/Skills!H4+0.000000001),1)))/Inputs!$B$43),G2697*Q2697))*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Hunt"),CHOOSE(ArtifactsInput!$N$35+1,15,18,21,24,27,30)*(1-EXP(-(0.2*B2726)*5)),0)+IF(AND(ArtifactsInput!$M$22,Inputs!$B$4&lt;&gt;"Chapter Hunt"),CHOOSE(ArtifactsInput!$N$22+1,10,12,14,16,18,20)*((0*(((0.15*B2726*5))^0/1)+1*(((0.15*B2726*5))^1/1)+2*(((0.15*B2726*5))^2/2)+3*(((0.15*B2726*5))^3/6)+4*(((0.15*B2726*5))^4/24)+5*(((0.15*B2726*5))^5/120))/((((0.15*B2726*5))^0/1)+(((0.15*B2726*5))^1/1)+(((0.15*B2726*5))^2/2)+(((0.15*B2726*5))^3/6)+(((0.15*B2726*5))^4/24)+(((0.15*B2726*5))^5/120))),0))+IF(Inputs!$B$3&gt;=54,9*(C2696=TRUE)*MIN(1,8*(1+Inputs!$B$34/100)*Q2696)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2697*(1-MIN(100,(Inputs!$B$9+((C2712=TRUE)*(F2712-Calc!F19))+B2724+(ArtifactsInput!$M$24-ArtifactsInput!$M$24)*CHOOSE(ArtifactsInput!$N$24+1,10,12,14,16,18,20)+(IF(AND(Inputs!$B$38&lt;&gt;"pvp",Inputs!$B$43=0),1,IF(IF(Inputs!$B$38="pvp",15,Inputs!$B$43)-(B2731)&lt;=0,1,MAX(0,IF(Inputs!$B$38="pvp",15,Inputs!$B$43)-MAX(5,B2731))/(IF(Inputs!$B$38="pvp",15,Inputs!$B$43)-(B2731))))*IF(AND(ArtifactsInput!$M$42,((Inputs!$B$9+((C2712=TRUE)*(F2712-Calc!F19))+B2724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2697*(MIN(100,(Inputs!$B$9+((C2712=TRUE)*(F2712-Calc!F19))+B2724+(ArtifactsInput!$M$24-ArtifactsInput!$M$24)*CHOOSE(ArtifactsInput!$N$24+1,10,12,14,16,18,20)+(IF(AND(Inputs!$B$38&lt;&gt;"pvp",Inputs!$B$43=0),1,IF(IF(Inputs!$B$38="pvp",15,Inputs!$B$43)-(B2731)&lt;=0,1,MAX(0,IF(Inputs!$B$38="pvp",15,Inputs!$B$43)-MAX(5,B2731))/(IF(Inputs!$B$38="pvp",15,Inputs!$B$43)-(B2731))))*IF(AND(ArtifactsInput!$M$42,((Inputs!$B$9+((C2712=TRUE)*(F2712-Calc!F19))+B2724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2697*(1-MIN(100,(Inputs!$B$9+((C2712=TRUE)*(F2712-Calc!F19))+B2724+(ArtifactsInput!$M$24-ArtifactsInput!$M$24)*CHOOSE(ArtifactsInput!$N$24+1,10,12,14,16,18,20)+(IF(AND(Inputs!$B$38&lt;&gt;"pvp",Inputs!$B$43=0),1,IF(IF(Inputs!$B$38="pvp",15,Inputs!$B$43)-(B2731)&lt;=0,1,MAX(0,IF(Inputs!$B$38="pvp",15,Inputs!$B$43)-MAX(5,B2731))/(IF(Inputs!$B$38="pvp",15,Inputs!$B$43)-(B2731))))*IF(AND(ArtifactsInput!$M$42,((Inputs!$B$9+((C2712=TRUE)*(F2712-Calc!F19))+B2724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2697*(MIN(100,(Inputs!$B$9+((C2712=TRUE)*(F2712-Calc!F19))+B2724+(ArtifactsInput!$M$24-ArtifactsInput!$M$24)*CHOOSE(ArtifactsInput!$N$24+1,10,12,14,16,18,20)+(IF(AND(Inputs!$B$38&lt;&gt;"pvp",Inputs!$B$43=0),1,IF(IF(Inputs!$B$38="pvp",15,Inputs!$B$43)-(B2731)&lt;=0,1,MAX(0,IF(Inputs!$B$38="pvp",15,Inputs!$B$43)-MAX(5,B2731))/(IF(Inputs!$B$38="pvp",15,Inputs!$B$43)-(B2731))))*IF(AND(ArtifactsInput!$M$42,((Inputs!$B$9+((C2712=TRUE)*(F2712-Calc!F19))+B2724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697">
        <f>290*U2696/1000</f>
        <v/>
      </c>
      <c r="V2697">
        <f>IF(C2697,(H2697*N2697*IF(AND(Inputs!$B$38&lt;&gt;"pvp",Inputs!$B$43&gt;0),((Skills!G4*((R2697-1)*IF(Skills!H4&gt;0,INT(IF(Inputs!$B$3&gt;=104,MIN(35,20*(1+Inputs!$B$34/100)),20)/Skills!H4+0.000000001),1)+IF(Skills!H4&gt;0,INT(MIN(IF(Inputs!$B$3&gt;=104,MIN(35,20*(1+Inputs!$B$34/100)),20),MAX(0,MAX(0,Inputs!$B$43-B2731)-((R2697-1)*(IF(Inputs!$B$38="pvp",15,MAX(0.1,Skills!D4-IF(TRUE=TRUE,Inputs!$B$32,0)))*(1-IF(AND(ArtifactsInput!$M$27,Inputs!$B$4="Chapter Hunt"),CHOOSE(ArtifactsInput!$N$27+1,20,24,28,32,36,40),0)/100)))))/Skills!H4+0.000000001),1)))/Inputs!$B$43),G2697*Q2697))*IF(Inputs!$B$38="pvp",1,(1+(Inputs!$B$21+Skills!Q4+(IF(ArtifactsInput!$M$33,CHOOSE(ArtifactsInput!$N$33+1,30,36,42,48,54,60),0))+(IF(AND(ArtifactsInput!$M$35,Inputs!$B$4&lt;&gt;"Chapter Hunt"),CHOOSE(ArtifactsInput!$N$35+1,15,18,21,24,27,30)*(1-EXP(-(0.2*B2726)*5)),0)+IF(AND(ArtifactsInput!$M$22,Inputs!$B$4&lt;&gt;"Chapter Hunt"),CHOOSE(ArtifactsInput!$N$22+1,10,12,14,16,18,20)*((0*(((0.15*B2726*5))^0/1)+1*(((0.15*B2726*5))^1/1)+2*(((0.15*B2726*5))^2/2)+3*(((0.15*B2726*5))^3/6)+4*(((0.15*B2726*5))^4/24)+5*(((0.15*B2726*5))^5/120))/((((0.15*B2726*5))^0/1)+(((0.15*B2726*5))^1/1)+(((0.15*B2726*5))^2/2)+(((0.15*B2726*5))^3/6)+(((0.15*B2726*5))^4/24)+(((0.15*B2726*5))^5/120))),0))+IF(Inputs!$B$3&gt;=54,9*(C2696=TRUE)*MIN(1,8*(1+Inputs!$B$34/100)*Q2696),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98">
      <c r="A2698">
        <f>Skills!A5</f>
        <v/>
      </c>
      <c r="B2698">
        <f>Skills!B5</f>
        <v/>
      </c>
      <c r="C2698">
        <f>Inputs!$B$3&gt;=69</f>
        <v/>
      </c>
      <c r="D2698">
        <f>IF(Skills!C5=1,60+Inputs!$B$25+Inputs!$B$29,IF(Skills!C5=2,90+Inputs!$B$26+Inputs!$B$29,IF(Skills!C5=3,120+Inputs!$B$27+Inputs!$B$29,MAX(0,(Inputs!$B$3-100)*3)+Inputs!$B$28+Inputs!$B$29)))</f>
        <v/>
      </c>
      <c r="E2698">
        <f>INDEX(FactorTable!$B$2:$Y$301, MATCH(ROUND(MIN(300,MAX(1,D2698)),0), FactorTable!$A$2:$A$301,0), Skills!M5+1)</f>
        <v/>
      </c>
      <c r="F2698">
        <f>IF(Skills!N5=TRUE,(Skills!L5/10)*(E2698/1000),Skills!L5/10)+Skills!O5</f>
        <v/>
      </c>
      <c r="G2698">
        <f>Skills!G5*IF(Skills!H5&gt;0,INT(IF(Inputs!$B$38="pvp",MIN(IF(Inputs!$B$3&gt;=104,MIN(35,20*(1+Inputs!$B$34/100)),20),15),IF(Inputs!$B$3&gt;=104,MIN(35,20*(1+Inputs!$B$34/100)),20))/Skills!H5+0.000000001),1)</f>
        <v/>
      </c>
      <c r="H2698">
        <f>1-(1-Skills!J5/100)^Skills!K5</f>
        <v/>
      </c>
      <c r="I2698" t="inlineStr">
        <is>
          <t>1</t>
        </is>
      </c>
      <c r="J2698">
        <f>((Inputs!$B$6*(1+Inputs!$B$7/100))+(((Inputs!$B$12*(1+Inputs!$B$13/100))-(Inputs!$B$12*(1+Inputs!$B$13/100)))+0.25*(Inputs!$B$14-Inputs!$B$14))*(1+Inputs!$B$7/100))*(F2698/100)</f>
        <v/>
      </c>
      <c r="K2698">
        <f>J2698*(1+((Inputs!$B$12*(1+Inputs!$B$13/100))*0.01+Inputs!$B$14*0.0025)/100)*(1+Inputs!$B$15/100)*(1+Inputs!$B$16/100)*(5000/(6000+Inputs!$B$42*(1-(100*(1-(1-(Inputs!$B$19+0)/100)*(1-CHOOSE(ArtifactsInput!$N$40+1,5,6,7,8,9,10)/100)^(ArtifactsInput!$M$40-ArtifactsInput!$M$40)))/100)))*(1+(Inputs!$B$24+((C2719=TRUE)*(F2719-Calc!F26))+B2730)/100)*(1+(((1+IF(AND(ArtifactsInput!$M$36,IF(Inputs!$B$38="pvp",TRUE,AND(Inputs!$B$38&lt;&gt;"pvp",Inputs!$B$43&gt;0))),CHOOSE(ArtifactsInput!$N$36+1,8,9.6,11.2,12.8,14.4,16),0)/100)*(1+IF(AND(ArtifactsInput!$M$32,Inputs!$B$4&lt;&gt;"Chapter Hunt"),CHOOSE(ArtifactsInput!$N$32+1,8,9.6,11.2,12.8,14.4,16),0)/100)*(1+IF(AND(IF(ArtifactsInput!$M$38,FALSE,TRUE),Inputs!$B$38&lt;&gt;"pvp",Inputs!$B$43&gt;0),CHOOSE(ArtifactsInput!$N$38+1,10,12,14,16,18,20)*(MIN(30,MAX(0,Inputs!$B$43-7))/Inputs!$B$43)*IF(Inputs!$B$4="Chapter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+0.4*IF(C2709=TRUE,F2709,0)/100)*(1+(IF(Skills!A5="EIGHT_LEGS_EASTON",Inputs!$B$17+((C2716=TRUE)*(F2716-Calc!F23))+((C2720=TRUE)*(F2720-Calc!F27))+((IF(AND(Inputs!$B$38&lt;&gt;"pvp",Inputs!$B$43=0),1,IF(IF(Inputs!$B$38="pvp",15,Inputs!$B$43)-(B2731)&lt;=0,1,MAX(0,IF(Inputs!$B$38="pvp",15,Inputs!$B$43)-MAX(5,B2731))/(IF(Inputs!$B$38="pvp",15,Inputs!$B$43)-(B2731))))*(IF(AND(ArtifactsInput!$M$42,((Inputs!$B$9+((C2712=TRUE)*(F2712-Calc!F19))+B2724+(ArtifactsInput!$M$24-ArtifactsInput!$M$24)*CHOOSE(ArtifactsInput!$N$24+1,10,12,14,16,18,20)+IF(ArtifactsInput!$M$10,CHOOSE(ArtifactsInput!$N$10+1,15,18,21,24,27,30)*(IF(Inputs!$B$38="pvp",MIN(15,15)/15,IF(AND(Inputs!$B$38&lt;&gt;"pvp",Inputs!$B$43&gt;0),MIN(15,Inputs!$B$43)/(Inputs!$B$43),0))),0)))&gt;=100),MIN(100,((Inputs!$B$9+((C2712=TRUE)*(F2712-Calc!F19))+B2724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2731)&lt;=0,1,MAX(0,IF(Inputs!$B$38="pvp",15,Inputs!$B$43)-MAX(5,B2731))/(IF(Inputs!$B$38="pvp",15,Inputs!$B$43)-(B2731))))*IF(AND(ArtifactsInput!$M$42,((Inputs!$B$9+((C2712=TRUE)*(F2712-Calc!F19))+B2724+(ArtifactsInput!$M$24-ArtifactsInput!$M$24)*CHOOSE(ArtifactsInput!$N$24+1,10,12,14,16,18,20)+IF(ArtifactsInput!$M$10,CHOOSE(ArtifactsInput!$N$10+1,15,18,21,24,27,30)*(IF(Inputs!$B$38="pvp",MIN(15,15)/15,IF(AND(Inputs!$B$38&lt;&gt;"pvp",Inputs!$B$43&gt;0),MIN(15,Inputs!$B$43)/(Inputs!$B$43),0))),0)))&gt;=100),CHOOSE(ArtifactsInput!$N$42+1,40,48,56,64,72,80),0))))/100)*((1+(((C2710=TRUE)*F2710*5/7)+((C2717=TRUE)*(F2717-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2698)</f>
        <v/>
      </c>
      <c r="L2698">
        <f>K2698*(MIN(Inputs!$B$22+((C2715=TRUE)*(F2715-Calc!F22)),(Inputs!$B$23+0+(IF(ArtifactsInput!$M$15,CHOOSE(ArtifactsInput!$N$15+1,25,30,35,40,45,50)/100*(Inputs!$B$11-Inputs!$B$11),0))))/100+(Inputs!$B$23+0+(IF(ArtifactsInput!$M$15,CHOOSE(ArtifactsInput!$N$15+1,25,30,35,40,45,50)/100*(Inputs!$B$11-Inputs!$B$11),0)))/100)/2</f>
        <v/>
      </c>
      <c r="M2698">
        <f>L2698*(1+(Inputs!$B$10+((C2718=TRUE)*(F2718-Calc!F25))+B2729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98">
        <f>L2698*(1-MIN((Inputs!$B$9+((C2712=TRUE)*(F2712-Calc!F19))+B2724+(ArtifactsInput!$M$24-ArtifactsInput!$M$24)*CHOOSE(ArtifactsInput!$N$24+1,10,12,14,16,18,20)+(IF(AND(Inputs!$B$38&lt;&gt;"pvp",Inputs!$B$43=0),1,IF(IF(Inputs!$B$38="pvp",15,Inputs!$B$43)-(B2731)&lt;=0,1,MAX(0,IF(Inputs!$B$38="pvp",15,Inputs!$B$43)-MAX(5,B2731))/(IF(Inputs!$B$38="pvp",15,Inputs!$B$43)-(B2731))))*IF(AND(ArtifactsInput!$M$42,((Inputs!$B$9+((C2712=TRUE)*(F2712-Calc!F19))+B2724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2698*(MIN((Inputs!$B$9+((C2712=TRUE)*(F2712-Calc!F19))+B2724+(ArtifactsInput!$M$24-ArtifactsInput!$M$24)*CHOOSE(ArtifactsInput!$N$24+1,10,12,14,16,18,20)+(IF(AND(Inputs!$B$38&lt;&gt;"pvp",Inputs!$B$43=0),1,IF(IF(Inputs!$B$38="pvp",15,Inputs!$B$43)-(B2731)&lt;=0,1,MAX(0,IF(Inputs!$B$38="pvp",15,Inputs!$B$43)-MAX(5,B2731))/(IF(Inputs!$B$38="pvp",15,Inputs!$B$43)-(B2731))))*IF(AND(ArtifactsInput!$M$42,((Inputs!$B$9+((C2712=TRUE)*(F2712-Calc!F19))+B2724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98">
        <f>(1-Summary!$B$11)*T2698+Summary!$B$11*V2698</f>
        <v/>
      </c>
      <c r="P2698">
        <f>IF(B2734=0,0,O2698/B2734)</f>
        <v/>
      </c>
      <c r="Q2698">
        <f>IFERROR(1/(IF(Inputs!$B$38="pvp",15,MAX(0.1,Skills!D5-IF(TRUE=TRUE,Inputs!$B$32,0)))*(1-IF(AND(ArtifactsInput!$M$27,Inputs!$B$4="Chapter Hunt"),CHOOSE(ArtifactsInput!$N$27+1,20,24,28,32,36,40),0)/100)),0)</f>
        <v/>
      </c>
      <c r="R2698">
        <f>IF(AND(Inputs!$B$38&lt;&gt;"pvp",Inputs!$B$43&gt;0),IF(MAX(0,Inputs!$B$43-B2731)&lt;=0,0,(INT(MAX(0,Inputs!$B$43-B2731)/(IF(Inputs!$B$38="pvp",15,MAX(0.1,Skills!D5-IF(TRUE=TRUE,Inputs!$B$32,0)))*(1-IF(AND(ArtifactsInput!$M$27,Inputs!$B$4="Chapter Hunt"),CHOOSE(ArtifactsInput!$N$27+1,20,24,28,32,36,40),0)/100)))+1)),0)</f>
        <v/>
      </c>
      <c r="S2698">
        <f>IFERROR(O2698/N2698,0)</f>
        <v/>
      </c>
      <c r="T2698">
        <f>IF(C2698,(H2698*N2698*IF(AND(Inputs!$B$38&lt;&gt;"pvp",Inputs!$B$43&gt;0),((Skills!G5*((R2698-1)*IF(Skills!H5&gt;0,INT(IF(Inputs!$B$3&gt;=104,MIN(35,20*(1+Inputs!$B$34/100)),20)/Skills!H5+0.000000001),1)+IF(Skills!H5&gt;0,INT(MIN(IF(Inputs!$B$3&gt;=104,MIN(35,20*(1+Inputs!$B$34/100)),20),MAX(0,MAX(0,Inputs!$B$43-B2731)-((R2698-1)*(IF(Inputs!$B$38="pvp",15,MAX(0.1,Skills!D5-IF(TRUE=TRUE,Inputs!$B$32,0)))*(1-IF(AND(ArtifactsInput!$M$27,Inputs!$B$4="Chapter Hunt"),CHOOSE(ArtifactsInput!$N$27+1,20,24,28,32,36,40),0)/100)))))/Skills!H5+0.000000001),1)))/Inputs!$B$43),G2698*Q2698))*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Hunt"),CHOOSE(ArtifactsInput!$N$35+1,15,18,21,24,27,30)*(1-EXP(-(0.2*B2726)*5)),0)+IF(AND(ArtifactsInput!$M$22,Inputs!$B$4&lt;&gt;"Chapter Hunt"),CHOOSE(ArtifactsInput!$N$22+1,10,12,14,16,18,20)*((0*(((0.15*B2726*5))^0/1)+1*(((0.15*B2726*5))^1/1)+2*(((0.15*B2726*5))^2/2)+3*(((0.15*B2726*5))^3/6)+4*(((0.15*B2726*5))^4/24)+5*(((0.15*B2726*5))^5/120))/((((0.15*B2726*5))^0/1)+(((0.15*B2726*5))^1/1)+(((0.15*B2726*5))^2/2)+(((0.15*B2726*5))^3/6)+(((0.15*B2726*5))^4/24)+(((0.15*B2726*5))^5/120))),0))+IF(Inputs!$B$3&gt;=54,9*(C2696=TRUE)*MIN(1,8*(1+Inputs!$B$34/100)*Q2696)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2698*(1-MIN(100,(Inputs!$B$9+((C2712=TRUE)*(F2712-Calc!F19))+B2724+(ArtifactsInput!$M$24-ArtifactsInput!$M$24)*CHOOSE(ArtifactsInput!$N$24+1,10,12,14,16,18,20)+(IF(AND(Inputs!$B$38&lt;&gt;"pvp",Inputs!$B$43=0),1,IF(IF(Inputs!$B$38="pvp",15,Inputs!$B$43)-(B2731)&lt;=0,1,MAX(0,IF(Inputs!$B$38="pvp",15,Inputs!$B$43)-MAX(5,B2731))/(IF(Inputs!$B$38="pvp",15,Inputs!$B$43)-(B2731))))*IF(AND(ArtifactsInput!$M$42,((Inputs!$B$9+((C2712=TRUE)*(F2712-Calc!F19))+B2724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2698*(MIN(100,(Inputs!$B$9+((C2712=TRUE)*(F2712-Calc!F19))+B2724+(ArtifactsInput!$M$24-ArtifactsInput!$M$24)*CHOOSE(ArtifactsInput!$N$24+1,10,12,14,16,18,20)+(IF(AND(Inputs!$B$38&lt;&gt;"pvp",Inputs!$B$43=0),1,IF(IF(Inputs!$B$38="pvp",15,Inputs!$B$43)-(B2731)&lt;=0,1,MAX(0,IF(Inputs!$B$38="pvp",15,Inputs!$B$43)-MAX(5,B2731))/(IF(Inputs!$B$38="pvp",15,Inputs!$B$43)-(B2731))))*IF(AND(ArtifactsInput!$M$42,((Inputs!$B$9+((C2712=TRUE)*(F2712-Calc!F19))+B2724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2698*(1-MIN(100,(Inputs!$B$9+((C2712=TRUE)*(F2712-Calc!F19))+B2724+(ArtifactsInput!$M$24-ArtifactsInput!$M$24)*CHOOSE(ArtifactsInput!$N$24+1,10,12,14,16,18,20)+(IF(AND(Inputs!$B$38&lt;&gt;"pvp",Inputs!$B$43=0),1,IF(IF(Inputs!$B$38="pvp",15,Inputs!$B$43)-(B2731)&lt;=0,1,MAX(0,IF(Inputs!$B$38="pvp",15,Inputs!$B$43)-MAX(5,B2731))/(IF(Inputs!$B$38="pvp",15,Inputs!$B$43)-(B2731))))*IF(AND(ArtifactsInput!$M$42,((Inputs!$B$9+((C2712=TRUE)*(F2712-Calc!F19))+B2724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2698*(MIN(100,(Inputs!$B$9+((C2712=TRUE)*(F2712-Calc!F19))+B2724+(ArtifactsInput!$M$24-ArtifactsInput!$M$24)*CHOOSE(ArtifactsInput!$N$24+1,10,12,14,16,18,20)+(IF(AND(Inputs!$B$38&lt;&gt;"pvp",Inputs!$B$43=0),1,IF(IF(Inputs!$B$38="pvp",15,Inputs!$B$43)-(B2731)&lt;=0,1,MAX(0,IF(Inputs!$B$38="pvp",15,Inputs!$B$43)-MAX(5,B2731))/(IF(Inputs!$B$38="pvp",15,Inputs!$B$43)-(B2731))))*IF(AND(ArtifactsInput!$M$42,((Inputs!$B$9+((C2712=TRUE)*(F2712-Calc!F19))+B2724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98">
        <f>IF(C2698,(H2698*N2698*IF(AND(Inputs!$B$38&lt;&gt;"pvp",Inputs!$B$43&gt;0),((Skills!G5*((R2698-1)*IF(Skills!H5&gt;0,INT(IF(Inputs!$B$3&gt;=104,MIN(35,20*(1+Inputs!$B$34/100)),20)/Skills!H5+0.000000001),1)+IF(Skills!H5&gt;0,INT(MIN(IF(Inputs!$B$3&gt;=104,MIN(35,20*(1+Inputs!$B$34/100)),20),MAX(0,MAX(0,Inputs!$B$43-B2731)-((R2698-1)*(IF(Inputs!$B$38="pvp",15,MAX(0.1,Skills!D5-IF(TRUE=TRUE,Inputs!$B$32,0)))*(1-IF(AND(ArtifactsInput!$M$27,Inputs!$B$4="Chapter Hunt"),CHOOSE(ArtifactsInput!$N$27+1,20,24,28,32,36,40),0)/100)))))/Skills!H5+0.000000001),1)))/Inputs!$B$43),G2698*Q2698))*IF(Inputs!$B$38="pvp",1,(1+(Inputs!$B$21+Skills!Q5+(IF(ArtifactsInput!$M$33,CHOOSE(ArtifactsInput!$N$33+1,30,36,42,48,54,60),0))+(IF(AND(ArtifactsInput!$M$35,Inputs!$B$4&lt;&gt;"Chapter Hunt"),CHOOSE(ArtifactsInput!$N$35+1,15,18,21,24,27,30)*(1-EXP(-(0.2*B2726)*5)),0)+IF(AND(ArtifactsInput!$M$22,Inputs!$B$4&lt;&gt;"Chapter Hunt"),CHOOSE(ArtifactsInput!$N$22+1,10,12,14,16,18,20)*((0*(((0.15*B2726*5))^0/1)+1*(((0.15*B2726*5))^1/1)+2*(((0.15*B2726*5))^2/2)+3*(((0.15*B2726*5))^3/6)+4*(((0.15*B2726*5))^4/24)+5*(((0.15*B2726*5))^5/120))/((((0.15*B2726*5))^0/1)+(((0.15*B2726*5))^1/1)+(((0.15*B2726*5))^2/2)+(((0.15*B2726*5))^3/6)+(((0.15*B2726*5))^4/24)+(((0.15*B2726*5))^5/120))),0))+IF(Inputs!$B$3&gt;=54,9*(C2696=TRUE)*MIN(1,8*(1+Inputs!$B$34/100)*Q2696),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99">
      <c r="A2699">
        <f>Skills!A6</f>
        <v/>
      </c>
      <c r="B2699">
        <f>Skills!B6</f>
        <v/>
      </c>
      <c r="C2699">
        <f>Inputs!$B$3&gt;=66</f>
        <v/>
      </c>
      <c r="D2699">
        <f>IF(Skills!C6=1,60+Inputs!$B$25+Inputs!$B$29,IF(Skills!C6=2,90+Inputs!$B$26+Inputs!$B$29,IF(Skills!C6=3,120+Inputs!$B$27+Inputs!$B$29,MAX(0,(Inputs!$B$3-100)*3)+Inputs!$B$28+Inputs!$B$29)))</f>
        <v/>
      </c>
      <c r="E2699">
        <f>INDEX(FactorTable!$B$2:$Y$301, MATCH(ROUND(MIN(300,MAX(1,D2699)),0), FactorTable!$A$2:$A$301,0), Skills!M6+1)</f>
        <v/>
      </c>
      <c r="F2699">
        <f>IF(Skills!N6=TRUE,(Skills!L6/10)*(E2699/1000),Skills!L6/10)+Skills!O6</f>
        <v/>
      </c>
      <c r="G2699">
        <f>Skills!G6*IF(Skills!H6&gt;0,INT(IF(Inputs!$B$38="pvp",MIN(Skills!I6,15),Skills!I6)/Skills!H6+0.000000001),1)</f>
        <v/>
      </c>
      <c r="H2699">
        <f>1-(1-Skills!J6/100)^Skills!K6</f>
        <v/>
      </c>
      <c r="I2699" t="inlineStr">
        <is>
          <t>1</t>
        </is>
      </c>
      <c r="J2699">
        <f>((Inputs!$B$6*(1+Inputs!$B$7/100))+(((Inputs!$B$12*(1+Inputs!$B$13/100))-(Inputs!$B$12*(1+Inputs!$B$13/100)))+0.25*(Inputs!$B$14-Inputs!$B$14))*(1+Inputs!$B$7/100))*(F2699/100)</f>
        <v/>
      </c>
      <c r="K2699">
        <f>J2699*(1+((Inputs!$B$12*(1+Inputs!$B$13/100))*0.01+Inputs!$B$14*0.0025)/100)*(1+Inputs!$B$15/100)*(1+Inputs!$B$16/100)*(5000/(6000+Inputs!$B$42*(1-(100*(1-(1-(Inputs!$B$19+0)/100)*(1-CHOOSE(ArtifactsInput!$N$40+1,5,6,7,8,9,10)/100)^(ArtifactsInput!$M$40-ArtifactsInput!$M$40)))/100)))*(1+(Inputs!$B$24+((C2719=TRUE)*(F2719-Calc!F26))+B2730)/100)*(1+(((1+IF(AND(ArtifactsInput!$M$36,IF(Inputs!$B$38="pvp",TRUE,AND(Inputs!$B$38&lt;&gt;"pvp",Inputs!$B$43&gt;0))),CHOOSE(ArtifactsInput!$N$36+1,8,9.6,11.2,12.8,14.4,16),0)/100)*(1+IF(AND(ArtifactsInput!$M$32,Inputs!$B$4&lt;&gt;"Chapter Hunt"),CHOOSE(ArtifactsInput!$N$32+1,8,9.6,11.2,12.8,14.4,16),0)/100)*(1+IF(AND(IF(ArtifactsInput!$M$38,FALSE,TRUE),Inputs!$B$38&lt;&gt;"pvp",Inputs!$B$43&gt;0),CHOOSE(ArtifactsInput!$N$38+1,10,12,14,16,18,20)*(MIN(30,MAX(0,Inputs!$B$43-7))/Inputs!$B$43)*IF(Inputs!$B$4="Chapter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+2.0*IF(C2708=TRUE,F2708,0)/100)*(1+(IF(Skills!A6="EIGHT_LEGS_EASTON",Inputs!$B$17+((C2716=TRUE)*(F2716-Calc!F23))+((C2720=TRUE)*(F2720-Calc!F27))+((IF(AND(Inputs!$B$38&lt;&gt;"pvp",Inputs!$B$43=0),1,IF(IF(Inputs!$B$38="pvp",15,Inputs!$B$43)-(B2731)&lt;=0,1,MAX(0,IF(Inputs!$B$38="pvp",15,Inputs!$B$43)-MAX(5,B2731))/(IF(Inputs!$B$38="pvp",15,Inputs!$B$43)-(B2731))))*(IF(AND(ArtifactsInput!$M$42,((Inputs!$B$9+((C2712=TRUE)*(F2712-Calc!F19))+B2724+(ArtifactsInput!$M$24-ArtifactsInput!$M$24)*CHOOSE(ArtifactsInput!$N$24+1,10,12,14,16,18,20)+IF(ArtifactsInput!$M$10,CHOOSE(ArtifactsInput!$N$10+1,15,18,21,24,27,30)*(IF(Inputs!$B$38="pvp",MIN(15,15)/15,IF(AND(Inputs!$B$38&lt;&gt;"pvp",Inputs!$B$43&gt;0),MIN(15,Inputs!$B$43)/(Inputs!$B$43),0))),0)))&gt;=100),MIN(100,((Inputs!$B$9+((C2712=TRUE)*(F2712-Calc!F19))+B2724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2731)&lt;=0,1,MAX(0,IF(Inputs!$B$38="pvp",15,Inputs!$B$43)-MAX(5,B2731))/(IF(Inputs!$B$38="pvp",15,Inputs!$B$43)-(B2731))))*IF(AND(ArtifactsInput!$M$42,((Inputs!$B$9+((C2712=TRUE)*(F2712-Calc!F19))+B2724+(ArtifactsInput!$M$24-ArtifactsInput!$M$24)*CHOOSE(ArtifactsInput!$N$24+1,10,12,14,16,18,20)+IF(ArtifactsInput!$M$10,CHOOSE(ArtifactsInput!$N$10+1,15,18,21,24,27,30)*(IF(Inputs!$B$38="pvp",MIN(15,15)/15,IF(AND(Inputs!$B$38&lt;&gt;"pvp",Inputs!$B$43&gt;0),MIN(15,Inputs!$B$43)/(Inputs!$B$43),0))),0)))&gt;=100),CHOOSE(ArtifactsInput!$N$42+1,40,48,56,64,72,80),0))))/100)*((1+(((C2710=TRUE)*F2710*5/7)+((C2717=TRUE)*(F2717-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2699)</f>
        <v/>
      </c>
      <c r="L2699">
        <f>K2699*(MIN(Inputs!$B$22+((C2715=TRUE)*(F2715-Calc!F22)),(Inputs!$B$23+0+(IF(ArtifactsInput!$M$15,CHOOSE(ArtifactsInput!$N$15+1,25,30,35,40,45,50)/100*(Inputs!$B$11-Inputs!$B$11),0))))/100+(Inputs!$B$23+0+(IF(ArtifactsInput!$M$15,CHOOSE(ArtifactsInput!$N$15+1,25,30,35,40,45,50)/100*(Inputs!$B$11-Inputs!$B$11),0)))/100)/2</f>
        <v/>
      </c>
      <c r="M2699">
        <f>L2699*(1+(Inputs!$B$10+((C2718=TRUE)*(F2718-Calc!F25))+B2729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99">
        <f>L2699*(1-MIN((Inputs!$B$9+((C2712=TRUE)*(F2712-Calc!F19))+B2724+(ArtifactsInput!$M$24-ArtifactsInput!$M$24)*CHOOSE(ArtifactsInput!$N$24+1,10,12,14,16,18,20)+(IF(AND(Inputs!$B$38&lt;&gt;"pvp",Inputs!$B$43=0),1,IF(IF(Inputs!$B$38="pvp",15,Inputs!$B$43)-(B2731)&lt;=0,1,MAX(0,IF(Inputs!$B$38="pvp",15,Inputs!$B$43)-MAX(5,B2731))/(IF(Inputs!$B$38="pvp",15,Inputs!$B$43)-(B2731))))*IF(AND(ArtifactsInput!$M$42,((Inputs!$B$9+((C2712=TRUE)*(F2712-Calc!F19))+B2724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2699*(MIN((Inputs!$B$9+((C2712=TRUE)*(F2712-Calc!F19))+B2724+(ArtifactsInput!$M$24-ArtifactsInput!$M$24)*CHOOSE(ArtifactsInput!$N$24+1,10,12,14,16,18,20)+(IF(AND(Inputs!$B$38&lt;&gt;"pvp",Inputs!$B$43=0),1,IF(IF(Inputs!$B$38="pvp",15,Inputs!$B$43)-(B2731)&lt;=0,1,MAX(0,IF(Inputs!$B$38="pvp",15,Inputs!$B$43)-MAX(5,B2731))/(IF(Inputs!$B$38="pvp",15,Inputs!$B$43)-(B2731))))*IF(AND(ArtifactsInput!$M$42,((Inputs!$B$9+((C2712=TRUE)*(F2712-Calc!F19))+B2724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99">
        <f>(1-Summary!$B$11)*T2699+Summary!$B$11*V2699</f>
        <v/>
      </c>
      <c r="P2699">
        <f>IF(B2734=0,0,O2699/B2734)</f>
        <v/>
      </c>
      <c r="Q2699">
        <f>IFERROR(1/(IF(Inputs!$B$38="pvp",15,MAX(0.1,Skills!D6-IF(TRUE=TRUE,Inputs!$B$32,0)))*(1-IF(AND(ArtifactsInput!$M$27,Inputs!$B$4="Chapter Hunt"),CHOOSE(ArtifactsInput!$N$27+1,20,24,28,32,36,40),0)/100)),0)</f>
        <v/>
      </c>
      <c r="R2699">
        <f>IF(AND(Inputs!$B$38&lt;&gt;"pvp",Inputs!$B$43&gt;0),IF(MAX(0,Inputs!$B$43-B2731)&lt;=0,0,(INT(MAX(0,Inputs!$B$43-B2731)/(IF(Inputs!$B$38="pvp",15,MAX(0.1,Skills!D6-IF(TRUE=TRUE,Inputs!$B$32,0)))*(1-IF(AND(ArtifactsInput!$M$27,Inputs!$B$4="Chapter Hunt"),CHOOSE(ArtifactsInput!$N$27+1,20,24,28,32,36,40),0)/100)))+1)),0)</f>
        <v/>
      </c>
      <c r="S2699">
        <f>IFERROR(O2699/N2699,0)</f>
        <v/>
      </c>
      <c r="T2699">
        <f>IF(C2699,(H2699*N2699*IF(AND(Inputs!$B$38&lt;&gt;"pvp",Inputs!$B$43&gt;0),((Skills!G6*((R2699-1)*IF(Skills!H6&gt;0,INT(Skills!I6/Skills!H6+0.000000001),1)+IF(Skills!H6&gt;0,INT(MIN(Skills!I6,MAX(0,MAX(0,Inputs!$B$43-B2731)-((R2699-1)*(IF(Inputs!$B$38="pvp",15,MAX(0.1,Skills!D6-IF(TRUE=TRUE,Inputs!$B$32,0)))*(1-IF(AND(ArtifactsInput!$M$27,Inputs!$B$4="Chapter Hunt"),CHOOSE(ArtifactsInput!$N$27+1,20,24,28,32,36,40),0)/100)))))/Skills!H6+0.000000001),1)))/Inputs!$B$43),G2699*Q2699))*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Hunt"),CHOOSE(ArtifactsInput!$N$35+1,15,18,21,24,27,30)*(1-EXP(-(0.2*B2726)*5)),0)+IF(AND(ArtifactsInput!$M$22,Inputs!$B$4&lt;&gt;"Chapter Hunt"),CHOOSE(ArtifactsInput!$N$22+1,10,12,14,16,18,20)*((0*(((0.15*B2726*5))^0/1)+1*(((0.15*B2726*5))^1/1)+2*(((0.15*B2726*5))^2/2)+3*(((0.15*B2726*5))^3/6)+4*(((0.15*B2726*5))^4/24)+5*(((0.15*B2726*5))^5/120))/((((0.15*B2726*5))^0/1)+(((0.15*B2726*5))^1/1)+(((0.15*B2726*5))^2/2)+(((0.15*B2726*5))^3/6)+(((0.15*B2726*5))^4/24)+(((0.15*B2726*5))^5/120))),0))+IF(Inputs!$B$3&gt;=54,9*(C2696=TRUE)*MIN(1,8*(1+Inputs!$B$34/100)*Q2696)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2699*(1-MIN(100,(Inputs!$B$9+((C2712=TRUE)*(F2712-Calc!F19))+B2724+(ArtifactsInput!$M$24-ArtifactsInput!$M$24)*CHOOSE(ArtifactsInput!$N$24+1,10,12,14,16,18,20)+(IF(AND(Inputs!$B$38&lt;&gt;"pvp",Inputs!$B$43=0),1,IF(IF(Inputs!$B$38="pvp",15,Inputs!$B$43)-(B2731)&lt;=0,1,MAX(0,IF(Inputs!$B$38="pvp",15,Inputs!$B$43)-MAX(5,B2731))/(IF(Inputs!$B$38="pvp",15,Inputs!$B$43)-(B2731))))*IF(AND(ArtifactsInput!$M$42,((Inputs!$B$9+((C2712=TRUE)*(F2712-Calc!F19))+B2724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2699*(MIN(100,(Inputs!$B$9+((C2712=TRUE)*(F2712-Calc!F19))+B2724+(ArtifactsInput!$M$24-ArtifactsInput!$M$24)*CHOOSE(ArtifactsInput!$N$24+1,10,12,14,16,18,20)+(IF(AND(Inputs!$B$38&lt;&gt;"pvp",Inputs!$B$43=0),1,IF(IF(Inputs!$B$38="pvp",15,Inputs!$B$43)-(B2731)&lt;=0,1,MAX(0,IF(Inputs!$B$38="pvp",15,Inputs!$B$43)-MAX(5,B2731))/(IF(Inputs!$B$38="pvp",15,Inputs!$B$43)-(B2731))))*IF(AND(ArtifactsInput!$M$42,((Inputs!$B$9+((C2712=TRUE)*(F2712-Calc!F19))+B2724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2699*(1-MIN(100,(Inputs!$B$9+((C2712=TRUE)*(F2712-Calc!F19))+B2724+(ArtifactsInput!$M$24-ArtifactsInput!$M$24)*CHOOSE(ArtifactsInput!$N$24+1,10,12,14,16,18,20)+(IF(AND(Inputs!$B$38&lt;&gt;"pvp",Inputs!$B$43=0),1,IF(IF(Inputs!$B$38="pvp",15,Inputs!$B$43)-(B2731)&lt;=0,1,MAX(0,IF(Inputs!$B$38="pvp",15,Inputs!$B$43)-MAX(5,B2731))/(IF(Inputs!$B$38="pvp",15,Inputs!$B$43)-(B2731))))*IF(AND(ArtifactsInput!$M$42,((Inputs!$B$9+((C2712=TRUE)*(F2712-Calc!F19))+B2724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2699*(MIN(100,(Inputs!$B$9+((C2712=TRUE)*(F2712-Calc!F19))+B2724+(ArtifactsInput!$M$24-ArtifactsInput!$M$24)*CHOOSE(ArtifactsInput!$N$24+1,10,12,14,16,18,20)+(IF(AND(Inputs!$B$38&lt;&gt;"pvp",Inputs!$B$43=0),1,IF(IF(Inputs!$B$38="pvp",15,Inputs!$B$43)-(B2731)&lt;=0,1,MAX(0,IF(Inputs!$B$38="pvp",15,Inputs!$B$43)-MAX(5,B2731))/(IF(Inputs!$B$38="pvp",15,Inputs!$B$43)-(B2731))))*IF(AND(ArtifactsInput!$M$42,((Inputs!$B$9+((C2712=TRUE)*(F2712-Calc!F19))+B2724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99">
        <f>IF(C2699,(H2699*N2699*IF(AND(Inputs!$B$38&lt;&gt;"pvp",Inputs!$B$43&gt;0),((Skills!G6*((R2699-1)*IF(Skills!H6&gt;0,INT(Skills!I6/Skills!H6+0.000000001),1)+IF(Skills!H6&gt;0,INT(MIN(Skills!I6,MAX(0,MAX(0,Inputs!$B$43-B2731)-((R2699-1)*(IF(Inputs!$B$38="pvp",15,MAX(0.1,Skills!D6-IF(TRUE=TRUE,Inputs!$B$32,0)))*(1-IF(AND(ArtifactsInput!$M$27,Inputs!$B$4="Chapter Hunt"),CHOOSE(ArtifactsInput!$N$27+1,20,24,28,32,36,40),0)/100)))))/Skills!H6+0.000000001),1)))/Inputs!$B$43),G2699*Q2699))*IF(Inputs!$B$38="pvp",1,(1+(Inputs!$B$21+Skills!Q6+(IF(ArtifactsInput!$M$33,CHOOSE(ArtifactsInput!$N$33+1,30,36,42,48,54,60),0))+(IF(AND(ArtifactsInput!$M$35,Inputs!$B$4&lt;&gt;"Chapter Hunt"),CHOOSE(ArtifactsInput!$N$35+1,15,18,21,24,27,30)*(1-EXP(-(0.2*B2726)*5)),0)+IF(AND(ArtifactsInput!$M$22,Inputs!$B$4&lt;&gt;"Chapter Hunt"),CHOOSE(ArtifactsInput!$N$22+1,10,12,14,16,18,20)*((0*(((0.15*B2726*5))^0/1)+1*(((0.15*B2726*5))^1/1)+2*(((0.15*B2726*5))^2/2)+3*(((0.15*B2726*5))^3/6)+4*(((0.15*B2726*5))^4/24)+5*(((0.15*B2726*5))^5/120))/((((0.15*B2726*5))^0/1)+(((0.15*B2726*5))^1/1)+(((0.15*B2726*5))^2/2)+(((0.15*B2726*5))^3/6)+(((0.15*B2726*5))^4/24)+(((0.15*B2726*5))^5/120))),0))+IF(Inputs!$B$3&gt;=54,9*(C2696=TRUE)*MIN(1,8*(1+Inputs!$B$34/100)*Q2696),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00">
      <c r="A2700">
        <f>Skills!A7</f>
        <v/>
      </c>
      <c r="B2700">
        <f>Skills!B7</f>
        <v/>
      </c>
      <c r="C2700">
        <f>Inputs!$B$3&gt;=63</f>
        <v/>
      </c>
      <c r="D2700">
        <f>IF(Skills!C7=1,60+Inputs!$B$25+Inputs!$B$29,IF(Skills!C7=2,90+Inputs!$B$26+Inputs!$B$29,IF(Skills!C7=3,120+Inputs!$B$27+Inputs!$B$29,MAX(0,(Inputs!$B$3-100)*3)+Inputs!$B$28+Inputs!$B$29)))</f>
        <v/>
      </c>
      <c r="E2700">
        <f>INDEX(FactorTable!$B$2:$Y$301, MATCH(ROUND(MIN(300,MAX(1,D2700)),0), FactorTable!$A$2:$A$301,0), Skills!M7+1)</f>
        <v/>
      </c>
      <c r="F2700">
        <f>IF(Skills!N7=TRUE,(Skills!L7/10)*(E2700/1000),Skills!L7/10)+Skills!O7</f>
        <v/>
      </c>
      <c r="G2700">
        <f>Skills!G7*IF(Skills!H7&gt;0,INT(IF(Inputs!$B$38="pvp",MIN(Skills!I7,15),Skills!I7)/Skills!H7+0.000000001),1)</f>
        <v/>
      </c>
      <c r="H2700">
        <f>1-(1-Skills!J7/100)^Skills!K7</f>
        <v/>
      </c>
      <c r="I2700" t="inlineStr">
        <is>
          <t>1</t>
        </is>
      </c>
      <c r="J2700">
        <f>((Inputs!$B$6*(1+Inputs!$B$7/100))+(((Inputs!$B$12*(1+Inputs!$B$13/100))-(Inputs!$B$12*(1+Inputs!$B$13/100)))+0.25*(Inputs!$B$14-Inputs!$B$14))*(1+Inputs!$B$7/100))*(F2700/100)</f>
        <v/>
      </c>
      <c r="K2700">
        <f>J2700*(1+((Inputs!$B$12*(1+Inputs!$B$13/100))*0.01+Inputs!$B$14*0.0025)/100)*(1+Inputs!$B$15/100)*(1+Inputs!$B$16/100)*(5000/(6000+Inputs!$B$42*(1-(100*(1-(1-(Inputs!$B$19+0)/100)*(1-CHOOSE(ArtifactsInput!$N$40+1,5,6,7,8,9,10)/100)^(ArtifactsInput!$M$40-ArtifactsInput!$M$40)))/100)))*(1+(Inputs!$B$24+((C2719=TRUE)*(F2719-Calc!F26))+B2730)/100)*(1+(((1+IF(AND(ArtifactsInput!$M$36,IF(Inputs!$B$38="pvp",TRUE,AND(Inputs!$B$38&lt;&gt;"pvp",Inputs!$B$43&gt;0))),CHOOSE(ArtifactsInput!$N$36+1,8,9.6,11.2,12.8,14.4,16),0)/100)*(1+IF(AND(ArtifactsInput!$M$32,Inputs!$B$4&lt;&gt;"Chapter Hunt"),CHOOSE(ArtifactsInput!$N$32+1,8,9.6,11.2,12.8,14.4,16),0)/100)*(1+IF(AND(IF(ArtifactsInput!$M$38,FALSE,TRUE),Inputs!$B$38&lt;&gt;"pvp",Inputs!$B$43&gt;0),CHOOSE(ArtifactsInput!$N$38+1,10,12,14,16,18,20)*(MIN(30,MAX(0,Inputs!$B$43-7))/Inputs!$B$43)*IF(Inputs!$B$4="Chapter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2708=TRUE,F2708,0)/100)*(1+(IF(Skills!A7="EIGHT_LEGS_EASTON",Inputs!$B$17+((C2716=TRUE)*(F2716-Calc!F23))+((C2720=TRUE)*(F2720-Calc!F27))+((IF(AND(Inputs!$B$38&lt;&gt;"pvp",Inputs!$B$43=0),1,IF(IF(Inputs!$B$38="pvp",15,Inputs!$B$43)-(B2731)&lt;=0,1,MAX(0,IF(Inputs!$B$38="pvp",15,Inputs!$B$43)-MAX(5,B2731))/(IF(Inputs!$B$38="pvp",15,Inputs!$B$43)-(B2731))))*(IF(AND(ArtifactsInput!$M$42,((Inputs!$B$9+((C2712=TRUE)*(F2712-Calc!F19))+B2724+(ArtifactsInput!$M$24-ArtifactsInput!$M$24)*CHOOSE(ArtifactsInput!$N$24+1,10,12,14,16,18,20)+IF(ArtifactsInput!$M$10,CHOOSE(ArtifactsInput!$N$10+1,15,18,21,24,27,30)*(IF(Inputs!$B$38="pvp",MIN(15,15)/15,IF(AND(Inputs!$B$38&lt;&gt;"pvp",Inputs!$B$43&gt;0),MIN(15,Inputs!$B$43)/(Inputs!$B$43),0))),0)))&gt;=100),MIN(100,((Inputs!$B$9+((C2712=TRUE)*(F2712-Calc!F19))+B2724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2731)&lt;=0,1,MAX(0,IF(Inputs!$B$38="pvp",15,Inputs!$B$43)-MAX(5,B2731))/(IF(Inputs!$B$38="pvp",15,Inputs!$B$43)-(B2731))))*IF(AND(ArtifactsInput!$M$42,((Inputs!$B$9+((C2712=TRUE)*(F2712-Calc!F19))+B2724+(ArtifactsInput!$M$24-ArtifactsInput!$M$24)*CHOOSE(ArtifactsInput!$N$24+1,10,12,14,16,18,20)+IF(ArtifactsInput!$M$10,CHOOSE(ArtifactsInput!$N$10+1,15,18,21,24,27,30)*(IF(Inputs!$B$38="pvp",MIN(15,15)/15,IF(AND(Inputs!$B$38&lt;&gt;"pvp",Inputs!$B$43&gt;0),MIN(15,Inputs!$B$43)/(Inputs!$B$43),0))),0)))&gt;=100),CHOOSE(ArtifactsInput!$N$42+1,40,48,56,64,72,80),0))))/100)*((1+(((C2710=TRUE)*F2710*5/7)+((C2717=TRUE)*(F2717-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2700)</f>
        <v/>
      </c>
      <c r="L2700">
        <f>K2700*(MIN(Inputs!$B$22+((C2715=TRUE)*(F2715-Calc!F22)),(Inputs!$B$23+0+(IF(ArtifactsInput!$M$15,CHOOSE(ArtifactsInput!$N$15+1,25,30,35,40,45,50)/100*(Inputs!$B$11-Inputs!$B$11),0))))/100+(Inputs!$B$23+0+(IF(ArtifactsInput!$M$15,CHOOSE(ArtifactsInput!$N$15+1,25,30,35,40,45,50)/100*(Inputs!$B$11-Inputs!$B$11),0)))/100)/2</f>
        <v/>
      </c>
      <c r="M2700">
        <f>L2700*(1+(Inputs!$B$10+((C2718=TRUE)*(F2718-Calc!F25))+B2729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00">
        <f>L2700*(1-MIN((Inputs!$B$9+((C2712=TRUE)*(F2712-Calc!F19))+B2724+(ArtifactsInput!$M$24-ArtifactsInput!$M$24)*CHOOSE(ArtifactsInput!$N$24+1,10,12,14,16,18,20)+(IF(AND(Inputs!$B$38&lt;&gt;"pvp",Inputs!$B$43=0),1,IF(IF(Inputs!$B$38="pvp",15,Inputs!$B$43)-(B2731)&lt;=0,1,MAX(0,IF(Inputs!$B$38="pvp",15,Inputs!$B$43)-MAX(5,B2731))/(IF(Inputs!$B$38="pvp",15,Inputs!$B$43)-(B2731))))*IF(AND(ArtifactsInput!$M$42,((Inputs!$B$9+((C2712=TRUE)*(F2712-Calc!F19))+B2724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2700*(MIN((Inputs!$B$9+((C2712=TRUE)*(F2712-Calc!F19))+B2724+(ArtifactsInput!$M$24-ArtifactsInput!$M$24)*CHOOSE(ArtifactsInput!$N$24+1,10,12,14,16,18,20)+(IF(AND(Inputs!$B$38&lt;&gt;"pvp",Inputs!$B$43=0),1,IF(IF(Inputs!$B$38="pvp",15,Inputs!$B$43)-(B2731)&lt;=0,1,MAX(0,IF(Inputs!$B$38="pvp",15,Inputs!$B$43)-MAX(5,B2731))/(IF(Inputs!$B$38="pvp",15,Inputs!$B$43)-(B2731))))*IF(AND(ArtifactsInput!$M$42,((Inputs!$B$9+((C2712=TRUE)*(F2712-Calc!F19))+B2724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00">
        <f>(1-Summary!$B$11)*T2700+Summary!$B$11*V2700</f>
        <v/>
      </c>
      <c r="P2700">
        <f>IF(B2734=0,0,O2700/B2734)</f>
        <v/>
      </c>
      <c r="Q2700">
        <f>IFERROR(1/(IF(Inputs!$B$38="pvp",15,MAX(0.1,Skills!D7-IF(TRUE=TRUE,Inputs!$B$32,0)))*(1-IF(AND(ArtifactsInput!$M$27,Inputs!$B$4="Chapter Hunt"),CHOOSE(ArtifactsInput!$N$27+1,20,24,28,32,36,40),0)/100)),0)</f>
        <v/>
      </c>
      <c r="R2700">
        <f>IF(AND(Inputs!$B$38&lt;&gt;"pvp",Inputs!$B$43&gt;0),IF(MAX(0,Inputs!$B$43-B2731)&lt;=0,0,(INT(MAX(0,Inputs!$B$43-B2731)/(IF(Inputs!$B$38="pvp",15,MAX(0.1,Skills!D7-IF(TRUE=TRUE,Inputs!$B$32,0)))*(1-IF(AND(ArtifactsInput!$M$27,Inputs!$B$4="Chapter Hunt"),CHOOSE(ArtifactsInput!$N$27+1,20,24,28,32,36,40),0)/100)))+1)),0)</f>
        <v/>
      </c>
      <c r="S2700">
        <f>IFERROR(O2700/N2700,0)</f>
        <v/>
      </c>
      <c r="T2700">
        <f>IF(C2700,(H2700*N2700*IF(AND(Inputs!$B$38&lt;&gt;"pvp",Inputs!$B$43&gt;0),((Skills!G7*((R2700-1)*IF(Skills!H7&gt;0,INT(Skills!I7/Skills!H7+0.000000001),1)+IF(Skills!H7&gt;0,INT(MIN(Skills!I7,MAX(0,MAX(0,Inputs!$B$43-B2731)-((R2700-1)*(IF(Inputs!$B$38="pvp",15,MAX(0.1,Skills!D7-IF(TRUE=TRUE,Inputs!$B$32,0)))*(1-IF(AND(ArtifactsInput!$M$27,Inputs!$B$4="Chapter Hunt"),CHOOSE(ArtifactsInput!$N$27+1,20,24,28,32,36,40),0)/100)))))/Skills!H7+0.000000001),1)))/Inputs!$B$43),G2700*Q2700))*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Hunt"),CHOOSE(ArtifactsInput!$N$35+1,15,18,21,24,27,30)*(1-EXP(-(0.2*B2726)*5)),0)+IF(AND(ArtifactsInput!$M$22,Inputs!$B$4&lt;&gt;"Chapter Hunt"),CHOOSE(ArtifactsInput!$N$22+1,10,12,14,16,18,20)*((0*(((0.15*B2726*5))^0/1)+1*(((0.15*B2726*5))^1/1)+2*(((0.15*B2726*5))^2/2)+3*(((0.15*B2726*5))^3/6)+4*(((0.15*B2726*5))^4/24)+5*(((0.15*B2726*5))^5/120))/((((0.15*B2726*5))^0/1)+(((0.15*B2726*5))^1/1)+(((0.15*B2726*5))^2/2)+(((0.15*B2726*5))^3/6)+(((0.15*B2726*5))^4/24)+(((0.15*B2726*5))^5/120))),0))+IF(Inputs!$B$3&gt;=54,9*(C2696=TRUE)*MIN(1,8*(1+Inputs!$B$34/100)*Q2696)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2700*(1-MIN(100,(Inputs!$B$9+((C2712=TRUE)*(F2712-Calc!F19))+B2724+(ArtifactsInput!$M$24-ArtifactsInput!$M$24)*CHOOSE(ArtifactsInput!$N$24+1,10,12,14,16,18,20)+(IF(AND(Inputs!$B$38&lt;&gt;"pvp",Inputs!$B$43=0),1,IF(IF(Inputs!$B$38="pvp",15,Inputs!$B$43)-(B2731)&lt;=0,1,MAX(0,IF(Inputs!$B$38="pvp",15,Inputs!$B$43)-MAX(5,B2731))/(IF(Inputs!$B$38="pvp",15,Inputs!$B$43)-(B2731))))*IF(AND(ArtifactsInput!$M$42,((Inputs!$B$9+((C2712=TRUE)*(F2712-Calc!F19))+B2724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2700*(MIN(100,(Inputs!$B$9+((C2712=TRUE)*(F2712-Calc!F19))+B2724+(ArtifactsInput!$M$24-ArtifactsInput!$M$24)*CHOOSE(ArtifactsInput!$N$24+1,10,12,14,16,18,20)+(IF(AND(Inputs!$B$38&lt;&gt;"pvp",Inputs!$B$43=0),1,IF(IF(Inputs!$B$38="pvp",15,Inputs!$B$43)-(B2731)&lt;=0,1,MAX(0,IF(Inputs!$B$38="pvp",15,Inputs!$B$43)-MAX(5,B2731))/(IF(Inputs!$B$38="pvp",15,Inputs!$B$43)-(B2731))))*IF(AND(ArtifactsInput!$M$42,((Inputs!$B$9+((C2712=TRUE)*(F2712-Calc!F19))+B2724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2700*(1-MIN(100,(Inputs!$B$9+((C2712=TRUE)*(F2712-Calc!F19))+B2724+(ArtifactsInput!$M$24-ArtifactsInput!$M$24)*CHOOSE(ArtifactsInput!$N$24+1,10,12,14,16,18,20)+(IF(AND(Inputs!$B$38&lt;&gt;"pvp",Inputs!$B$43=0),1,IF(IF(Inputs!$B$38="pvp",15,Inputs!$B$43)-(B2731)&lt;=0,1,MAX(0,IF(Inputs!$B$38="pvp",15,Inputs!$B$43)-MAX(5,B2731))/(IF(Inputs!$B$38="pvp",15,Inputs!$B$43)-(B2731))))*IF(AND(ArtifactsInput!$M$42,((Inputs!$B$9+((C2712=TRUE)*(F2712-Calc!F19))+B2724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2700*(MIN(100,(Inputs!$B$9+((C2712=TRUE)*(F2712-Calc!F19))+B2724+(ArtifactsInput!$M$24-ArtifactsInput!$M$24)*CHOOSE(ArtifactsInput!$N$24+1,10,12,14,16,18,20)+(IF(AND(Inputs!$B$38&lt;&gt;"pvp",Inputs!$B$43=0),1,IF(IF(Inputs!$B$38="pvp",15,Inputs!$B$43)-(B2731)&lt;=0,1,MAX(0,IF(Inputs!$B$38="pvp",15,Inputs!$B$43)-MAX(5,B2731))/(IF(Inputs!$B$38="pvp",15,Inputs!$B$43)-(B2731))))*IF(AND(ArtifactsInput!$M$42,((Inputs!$B$9+((C2712=TRUE)*(F2712-Calc!F19))+B2724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700">
        <f>IF(C2700,(H2700*N2700*IF(AND(Inputs!$B$38&lt;&gt;"pvp",Inputs!$B$43&gt;0),((Skills!G7*((R2700-1)*IF(Skills!H7&gt;0,INT(Skills!I7/Skills!H7+0.000000001),1)+IF(Skills!H7&gt;0,INT(MIN(Skills!I7,MAX(0,MAX(0,Inputs!$B$43-B2731)-((R2700-1)*(IF(Inputs!$B$38="pvp",15,MAX(0.1,Skills!D7-IF(TRUE=TRUE,Inputs!$B$32,0)))*(1-IF(AND(ArtifactsInput!$M$27,Inputs!$B$4="Chapter Hunt"),CHOOSE(ArtifactsInput!$N$27+1,20,24,28,32,36,40),0)/100)))))/Skills!H7+0.000000001),1)))/Inputs!$B$43),G2700*Q2700))*IF(Inputs!$B$38="pvp",1,(1+(Inputs!$B$21+Skills!Q7+(IF(ArtifactsInput!$M$33,CHOOSE(ArtifactsInput!$N$33+1,30,36,42,48,54,60),0))+(IF(AND(ArtifactsInput!$M$35,Inputs!$B$4&lt;&gt;"Chapter Hunt"),CHOOSE(ArtifactsInput!$N$35+1,15,18,21,24,27,30)*(1-EXP(-(0.2*B2726)*5)),0)+IF(AND(ArtifactsInput!$M$22,Inputs!$B$4&lt;&gt;"Chapter Hunt"),CHOOSE(ArtifactsInput!$N$22+1,10,12,14,16,18,20)*((0*(((0.15*B2726*5))^0/1)+1*(((0.15*B2726*5))^1/1)+2*(((0.15*B2726*5))^2/2)+3*(((0.15*B2726*5))^3/6)+4*(((0.15*B2726*5))^4/24)+5*(((0.15*B2726*5))^5/120))/((((0.15*B2726*5))^0/1)+(((0.15*B2726*5))^1/1)+(((0.15*B2726*5))^2/2)+(((0.15*B2726*5))^3/6)+(((0.15*B2726*5))^4/24)+(((0.15*B2726*5))^5/120))),0))+IF(Inputs!$B$3&gt;=54,9*(C2696=TRUE)*MIN(1,8*(1+Inputs!$B$34/100)*Q2696),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01">
      <c r="A2701">
        <f>Skills!A8</f>
        <v/>
      </c>
      <c r="B2701">
        <f>Skills!B8</f>
        <v/>
      </c>
      <c r="C2701">
        <f>Inputs!$B$3&gt;=103</f>
        <v/>
      </c>
      <c r="D2701">
        <f>IF(Skills!C8=1,60+Inputs!$B$25+Inputs!$B$29,IF(Skills!C8=2,90+Inputs!$B$26+Inputs!$B$29,IF(Skills!C8=3,120+Inputs!$B$27+Inputs!$B$29,MAX(0,(Inputs!$B$3-100)*3)+Inputs!$B$28+Inputs!$B$29)))</f>
        <v/>
      </c>
      <c r="E2701">
        <f>INDEX(FactorTable!$B$2:$Y$301, MATCH(ROUND(MIN(300,MAX(1,D2701)),0), FactorTable!$A$2:$A$301,0), Skills!M8+1)</f>
        <v/>
      </c>
      <c r="F2701">
        <f>IF(Skills!N8=TRUE,(Skills!L8/10)*(E2701/1000),Skills!L8/10)+Skills!O8</f>
        <v/>
      </c>
      <c r="G2701">
        <f>Skills!G8*IF(Skills!H8&gt;0,INT(IF(Inputs!$B$38="pvp",MIN(Skills!I8,15),Skills!I8)/Skills!H8+0.000000001),1)</f>
        <v/>
      </c>
      <c r="H2701">
        <f>1-(1-Skills!J8/100)^Skills!K8</f>
        <v/>
      </c>
      <c r="I2701" t="inlineStr">
        <is>
          <t>1</t>
        </is>
      </c>
      <c r="J2701">
        <f>((Inputs!$B$6*(1+Inputs!$B$7/100))+(((Inputs!$B$12*(1+Inputs!$B$13/100))-(Inputs!$B$12*(1+Inputs!$B$13/100)))+0.25*(Inputs!$B$14-Inputs!$B$14))*(1+Inputs!$B$7/100))*(F2701/100)</f>
        <v/>
      </c>
      <c r="K2701">
        <f>J2701*(1+((Inputs!$B$12*(1+Inputs!$B$13/100))*0.01+Inputs!$B$14*0.0025)/100)*(1+Inputs!$B$15/100)*(1+Inputs!$B$16/100)*(5000/(6000+Inputs!$B$42*(1-(100*(1-(1-(Inputs!$B$19+0)/100)*(1-CHOOSE(ArtifactsInput!$N$40+1,5,6,7,8,9,10)/100)^(ArtifactsInput!$M$40-ArtifactsInput!$M$40)))/100)))*(1+(Inputs!$B$24+((C2719=TRUE)*(F2719-Calc!F26))+B2730)/100)*(1+(((1+IF(AND(ArtifactsInput!$M$36,IF(Inputs!$B$38="pvp",TRUE,AND(Inputs!$B$38&lt;&gt;"pvp",Inputs!$B$43&gt;0))),CHOOSE(ArtifactsInput!$N$36+1,8,9.6,11.2,12.8,14.4,16),0)/100)*(1+IF(AND(ArtifactsInput!$M$32,Inputs!$B$4&lt;&gt;"Chapter Hunt"),CHOOSE(ArtifactsInput!$N$32+1,8,9.6,11.2,12.8,14.4,16),0)/100)*(1+IF(AND(IF(ArtifactsInput!$M$38,FALSE,TRUE),Inputs!$B$38&lt;&gt;"pvp",Inputs!$B$43&gt;0),CHOOSE(ArtifactsInput!$N$38+1,10,12,14,16,18,20)*(MIN(30,MAX(0,Inputs!$B$43-7))/Inputs!$B$43)*IF(Inputs!$B$4="Chapter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IGHT_LEGS_EASTON",Inputs!$B$17+((C2716=TRUE)*(F2716-Calc!F23))+((C2720=TRUE)*(F2720-Calc!F27))+((IF(AND(Inputs!$B$38&lt;&gt;"pvp",Inputs!$B$43=0),1,IF(IF(Inputs!$B$38="pvp",15,Inputs!$B$43)-(B2731)&lt;=0,1,MAX(0,IF(Inputs!$B$38="pvp",15,Inputs!$B$43)-MAX(5,B2731))/(IF(Inputs!$B$38="pvp",15,Inputs!$B$43)-(B2731))))*(IF(AND(ArtifactsInput!$M$42,((Inputs!$B$9+((C2712=TRUE)*(F2712-Calc!F19))+B2724+(ArtifactsInput!$M$24-ArtifactsInput!$M$24)*CHOOSE(ArtifactsInput!$N$24+1,10,12,14,16,18,20)+IF(ArtifactsInput!$M$10,CHOOSE(ArtifactsInput!$N$10+1,15,18,21,24,27,30)*(IF(Inputs!$B$38="pvp",MIN(15,15)/15,IF(AND(Inputs!$B$38&lt;&gt;"pvp",Inputs!$B$43&gt;0),MIN(15,Inputs!$B$43)/(Inputs!$B$43),0))),0)))&gt;=100),MIN(100,((Inputs!$B$9+((C2712=TRUE)*(F2712-Calc!F19))+B2724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2731)&lt;=0,1,MAX(0,IF(Inputs!$B$38="pvp",15,Inputs!$B$43)-MAX(5,B2731))/(IF(Inputs!$B$38="pvp",15,Inputs!$B$43)-(B2731))))*IF(AND(ArtifactsInput!$M$42,((Inputs!$B$9+((C2712=TRUE)*(F2712-Calc!F19))+B2724+(ArtifactsInput!$M$24-ArtifactsInput!$M$24)*CHOOSE(ArtifactsInput!$N$24+1,10,12,14,16,18,20)+IF(ArtifactsInput!$M$10,CHOOSE(ArtifactsInput!$N$10+1,15,18,21,24,27,30)*(IF(Inputs!$B$38="pvp",MIN(15,15)/15,IF(AND(Inputs!$B$38&lt;&gt;"pvp",Inputs!$B$43&gt;0),MIN(15,Inputs!$B$43)/(Inputs!$B$43),0))),0)))&gt;=100),CHOOSE(ArtifactsInput!$N$42+1,40,48,56,64,72,80),0))))/100)*((1+(((C2710=TRUE)*F2710*5/7)+((C2717=TRUE)*(F2717-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2701)</f>
        <v/>
      </c>
      <c r="L2701">
        <f>K2701*(MIN(Inputs!$B$22+((C2715=TRUE)*(F2715-Calc!F22)),(Inputs!$B$23+0+(IF(ArtifactsInput!$M$15,CHOOSE(ArtifactsInput!$N$15+1,25,30,35,40,45,50)/100*(Inputs!$B$11-Inputs!$B$11),0))))/100+(Inputs!$B$23+0+(IF(ArtifactsInput!$M$15,CHOOSE(ArtifactsInput!$N$15+1,25,30,35,40,45,50)/100*(Inputs!$B$11-Inputs!$B$11),0)))/100)/2</f>
        <v/>
      </c>
      <c r="M2701">
        <f>L2701*(1+(Inputs!$B$10+((C2718=TRUE)*(F2718-Calc!F25))+B2729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01">
        <f>L2701*(1-MIN((Inputs!$B$9+((C2712=TRUE)*(F2712-Calc!F19))+B2724+(ArtifactsInput!$M$24-ArtifactsInput!$M$24)*CHOOSE(ArtifactsInput!$N$24+1,10,12,14,16,18,20)+(IF(AND(Inputs!$B$38&lt;&gt;"pvp",Inputs!$B$43=0),1,IF(IF(Inputs!$B$38="pvp",15,Inputs!$B$43)-(B2731)&lt;=0,1,MAX(0,IF(Inputs!$B$38="pvp",15,Inputs!$B$43)-MAX(5,B2731))/(IF(Inputs!$B$38="pvp",15,Inputs!$B$43)-(B2731))))*IF(AND(ArtifactsInput!$M$42,((Inputs!$B$9+((C2712=TRUE)*(F2712-Calc!F19))+B2724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2701*(MIN((Inputs!$B$9+((C2712=TRUE)*(F2712-Calc!F19))+B2724+(ArtifactsInput!$M$24-ArtifactsInput!$M$24)*CHOOSE(ArtifactsInput!$N$24+1,10,12,14,16,18,20)+(IF(AND(Inputs!$B$38&lt;&gt;"pvp",Inputs!$B$43=0),1,IF(IF(Inputs!$B$38="pvp",15,Inputs!$B$43)-(B2731)&lt;=0,1,MAX(0,IF(Inputs!$B$38="pvp",15,Inputs!$B$43)-MAX(5,B2731))/(IF(Inputs!$B$38="pvp",15,Inputs!$B$43)-(B2731))))*IF(AND(ArtifactsInput!$M$42,((Inputs!$B$9+((C2712=TRUE)*(F2712-Calc!F19))+B2724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01">
        <f>(1-Summary!$B$11)*T2701+Summary!$B$11*V2701</f>
        <v/>
      </c>
      <c r="P2701">
        <f>IF(B2734=0,0,O2701/B2734)</f>
        <v/>
      </c>
      <c r="Q2701">
        <f>IFERROR(1/((IF(Inputs!$B$38="pvp",15,MAX(0.1,Skills!D8-IF(TRUE=TRUE,Inputs!$B$32,0)))*(1-IF(AND(ArtifactsInput!$M$27,Inputs!$B$4="Chapter Hunt"),CHOOSE(ArtifactsInput!$N$27+1,20,24,28,32,36,40),0)/100))/B2735),0)</f>
        <v/>
      </c>
      <c r="R2701">
        <f>IF(AND(Inputs!$B$38&lt;&gt;"pvp",Inputs!$B$43&gt;0),IF(MAX(0,Inputs!$B$43-B2731)&lt;=0,0,(INT(MAX(0,Inputs!$B$43-B2731)/((IF(Inputs!$B$38="pvp",15,MAX(0.1,Skills!D8-IF(TRUE=TRUE,Inputs!$B$32,0)))*(1-IF(AND(ArtifactsInput!$M$27,Inputs!$B$4="Chapter Hunt"),CHOOSE(ArtifactsInput!$N$27+1,20,24,28,32,36,40),0)/100))/B2735))+1)),0)</f>
        <v/>
      </c>
      <c r="S2701">
        <f>IFERROR(O2701/N2701,0)</f>
        <v/>
      </c>
      <c r="T2701">
        <f>IF(C2701,(H2701*N2701*IF(AND(Inputs!$B$38&lt;&gt;"pvp",Inputs!$B$43&gt;0),((Skills!G8*((R2701-1)*IF(Skills!H8&gt;0,INT(Skills!I8/Skills!H8+0.000000001),1)+IF(Skills!H8&gt;0,INT(MIN(Skills!I8,MAX(0,MAX(0,Inputs!$B$43-B2731)-((R2701-1)*((IF(Inputs!$B$38="pvp",15,MAX(0.1,Skills!D8-IF(TRUE=TRUE,Inputs!$B$32,0)))*(1-IF(AND(ArtifactsInput!$M$27,Inputs!$B$4="Chapter Hunt"),CHOOSE(ArtifactsInput!$N$27+1,20,24,28,32,36,40),0)/100))/B2735))))/Skills!H8+0.000000001),1)))/Inputs!$B$43),G2701*Q2701))*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Hunt"),CHOOSE(ArtifactsInput!$N$35+1,15,18,21,24,27,30)*(1-EXP(-(0.2*B2726)*5)),0)+IF(AND(ArtifactsInput!$M$22,Inputs!$B$4&lt;&gt;"Chapter Hunt"),CHOOSE(ArtifactsInput!$N$22+1,10,12,14,16,18,20)*((0*(((0.15*B2726*5))^0/1)+1*(((0.15*B2726*5))^1/1)+2*(((0.15*B2726*5))^2/2)+3*(((0.15*B2726*5))^3/6)+4*(((0.15*B2726*5))^4/24)+5*(((0.15*B2726*5))^5/120))/((((0.15*B2726*5))^0/1)+(((0.15*B2726*5))^1/1)+(((0.15*B2726*5))^2/2)+(((0.15*B2726*5))^3/6)+(((0.15*B2726*5))^4/24)+(((0.15*B2726*5))^5/120))),0))+IF(Inputs!$B$3&gt;=54,9*(C2696=TRUE)*MIN(1,8*(1+Inputs!$B$34/100)*Q2696)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2701*(1-MIN(100,(Inputs!$B$9+((C2712=TRUE)*(F2712-Calc!F19))+B2724+(ArtifactsInput!$M$24-ArtifactsInput!$M$24)*CHOOSE(ArtifactsInput!$N$24+1,10,12,14,16,18,20)+(IF(AND(Inputs!$B$38&lt;&gt;"pvp",Inputs!$B$43=0),1,IF(IF(Inputs!$B$38="pvp",15,Inputs!$B$43)-(B2731)&lt;=0,1,MAX(0,IF(Inputs!$B$38="pvp",15,Inputs!$B$43)-MAX(5,B2731))/(IF(Inputs!$B$38="pvp",15,Inputs!$B$43)-(B2731))))*IF(AND(ArtifactsInput!$M$42,((Inputs!$B$9+((C2712=TRUE)*(F2712-Calc!F19))+B2724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2701*(MIN(100,(Inputs!$B$9+((C2712=TRUE)*(F2712-Calc!F19))+B2724+(ArtifactsInput!$M$24-ArtifactsInput!$M$24)*CHOOSE(ArtifactsInput!$N$24+1,10,12,14,16,18,20)+(IF(AND(Inputs!$B$38&lt;&gt;"pvp",Inputs!$B$43=0),1,IF(IF(Inputs!$B$38="pvp",15,Inputs!$B$43)-(B2731)&lt;=0,1,MAX(0,IF(Inputs!$B$38="pvp",15,Inputs!$B$43)-MAX(5,B2731))/(IF(Inputs!$B$38="pvp",15,Inputs!$B$43)-(B2731))))*IF(AND(ArtifactsInput!$M$42,((Inputs!$B$9+((C2712=TRUE)*(F2712-Calc!F19))+B2724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2701*(1-MIN(100,(Inputs!$B$9+((C2712=TRUE)*(F2712-Calc!F19))+B2724+(ArtifactsInput!$M$24-ArtifactsInput!$M$24)*CHOOSE(ArtifactsInput!$N$24+1,10,12,14,16,18,20)+(IF(AND(Inputs!$B$38&lt;&gt;"pvp",Inputs!$B$43=0),1,IF(IF(Inputs!$B$38="pvp",15,Inputs!$B$43)-(B2731)&lt;=0,1,MAX(0,IF(Inputs!$B$38="pvp",15,Inputs!$B$43)-MAX(5,B2731))/(IF(Inputs!$B$38="pvp",15,Inputs!$B$43)-(B2731))))*IF(AND(ArtifactsInput!$M$42,((Inputs!$B$9+((C2712=TRUE)*(F2712-Calc!F19))+B2724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2701*(MIN(100,(Inputs!$B$9+((C2712=TRUE)*(F2712-Calc!F19))+B2724+(ArtifactsInput!$M$24-ArtifactsInput!$M$24)*CHOOSE(ArtifactsInput!$N$24+1,10,12,14,16,18,20)+(IF(AND(Inputs!$B$38&lt;&gt;"pvp",Inputs!$B$43=0),1,IF(IF(Inputs!$B$38="pvp",15,Inputs!$B$43)-(B2731)&lt;=0,1,MAX(0,IF(Inputs!$B$38="pvp",15,Inputs!$B$43)-MAX(5,B2731))/(IF(Inputs!$B$38="pvp",15,Inputs!$B$43)-(B2731))))*IF(AND(ArtifactsInput!$M$42,((Inputs!$B$9+((C2712=TRUE)*(F2712-Calc!F19))+B2724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701">
        <f>IF(C2701,(H2701*N2701*IF(AND(Inputs!$B$38&lt;&gt;"pvp",Inputs!$B$43&gt;0),((Skills!G8*((R2701-1)*IF(Skills!H8&gt;0,INT(Skills!I8/Skills!H8+0.000000001),1)+IF(Skills!H8&gt;0,INT(MIN(Skills!I8,MAX(0,MAX(0,Inputs!$B$43-B2731)-((R2701-1)*((IF(Inputs!$B$38="pvp",15,MAX(0.1,Skills!D8-IF(TRUE=TRUE,Inputs!$B$32,0)))*(1-IF(AND(ArtifactsInput!$M$27,Inputs!$B$4="Chapter Hunt"),CHOOSE(ArtifactsInput!$N$27+1,20,24,28,32,36,40),0)/100))/B2735))))/Skills!H8+0.000000001),1)))/Inputs!$B$43),G2701*Q2701))*IF(Inputs!$B$38="pvp",1,(1+(Inputs!$B$21+Skills!Q8+(IF(ArtifactsInput!$M$33,CHOOSE(ArtifactsInput!$N$33+1,30,36,42,48,54,60),0))+(IF(AND(ArtifactsInput!$M$35,Inputs!$B$4&lt;&gt;"Chapter Hunt"),CHOOSE(ArtifactsInput!$N$35+1,15,18,21,24,27,30)*(1-EXP(-(0.2*B2726)*5)),0)+IF(AND(ArtifactsInput!$M$22,Inputs!$B$4&lt;&gt;"Chapter Hunt"),CHOOSE(ArtifactsInput!$N$22+1,10,12,14,16,18,20)*((0*(((0.15*B2726*5))^0/1)+1*(((0.15*B2726*5))^1/1)+2*(((0.15*B2726*5))^2/2)+3*(((0.15*B2726*5))^3/6)+4*(((0.15*B2726*5))^4/24)+5*(((0.15*B2726*5))^5/120))/((((0.15*B2726*5))^0/1)+(((0.15*B2726*5))^1/1)+(((0.15*B2726*5))^2/2)+(((0.15*B2726*5))^3/6)+(((0.15*B2726*5))^4/24)+(((0.15*B2726*5))^5/120))),0))+IF(Inputs!$B$3&gt;=54,9*(C2696=TRUE)*MIN(1,8*(1+Inputs!$B$34/100)*Q2696),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02">
      <c r="A2702">
        <f>Skills!A9</f>
        <v/>
      </c>
      <c r="B2702">
        <f>Skills!B9</f>
        <v/>
      </c>
      <c r="C2702">
        <f>Inputs!$B$3&gt;=105</f>
        <v/>
      </c>
      <c r="D2702">
        <f>IF(Skills!C9=1,60+Inputs!$B$25+Inputs!$B$29,IF(Skills!C9=2,90+Inputs!$B$26+Inputs!$B$29,IF(Skills!C9=3,120+Inputs!$B$27+Inputs!$B$29,MAX(0,(Inputs!$B$3-100)*3)+Inputs!$B$28+Inputs!$B$29)))</f>
        <v/>
      </c>
      <c r="E2702">
        <f>INDEX(FactorTable!$B$2:$Y$301, MATCH(ROUND(MIN(300,MAX(1,D2702)),0), FactorTable!$A$2:$A$301,0), Skills!M9+1)</f>
        <v/>
      </c>
      <c r="F2702">
        <f>IF(Skills!N9=TRUE,(Skills!L9/10)*(E2702/1000),Skills!L9/10)+Skills!O9</f>
        <v/>
      </c>
      <c r="G2702">
        <f>Skills!G9*IF(Skills!H9&gt;0,INT(IF(Inputs!$B$38="pvp",MIN(Skills!I9,15),Skills!I9)/Skills!H9+0.000000001),1)</f>
        <v/>
      </c>
      <c r="H2702">
        <f>1-(1-Skills!J9/100)^Skills!K9</f>
        <v/>
      </c>
      <c r="I2702" t="inlineStr">
        <is>
          <t>1</t>
        </is>
      </c>
      <c r="J2702">
        <f>((Inputs!$B$6*(1+Inputs!$B$7/100))+(((Inputs!$B$12*(1+Inputs!$B$13/100))-(Inputs!$B$12*(1+Inputs!$B$13/100)))+0.25*(Inputs!$B$14-Inputs!$B$14))*(1+Inputs!$B$7/100))*(F2702/100)</f>
        <v/>
      </c>
      <c r="K2702">
        <f>J2702*(1+((Inputs!$B$12*(1+Inputs!$B$13/100))*0.01+Inputs!$B$14*0.0025)/100)*(1+Inputs!$B$15/100)*(1+Inputs!$B$16/100)*(5000/(6000+Inputs!$B$42*(1-(100*(1-(1-(Inputs!$B$19+0)/100)*(1-CHOOSE(ArtifactsInput!$N$40+1,5,6,7,8,9,10)/100)^(ArtifactsInput!$M$40-ArtifactsInput!$M$40)))/100)))*(1+(Inputs!$B$24+((C2719=TRUE)*(F2719-Calc!F26))+B2730)/100)*(1+(((1+IF(AND(ArtifactsInput!$M$36,IF(Inputs!$B$38="pvp",TRUE,AND(Inputs!$B$38&lt;&gt;"pvp",Inputs!$B$43&gt;0))),CHOOSE(ArtifactsInput!$N$36+1,8,9.6,11.2,12.8,14.4,16),0)/100)*(1+IF(AND(ArtifactsInput!$M$32,Inputs!$B$4&lt;&gt;"Chapter Hunt"),CHOOSE(ArtifactsInput!$N$32+1,8,9.6,11.2,12.8,14.4,16),0)/100)*(1+IF(AND(IF(ArtifactsInput!$M$38,FALSE,TRUE),Inputs!$B$38&lt;&gt;"pvp",Inputs!$B$43&gt;0),CHOOSE(ArtifactsInput!$N$38+1,10,12,14,16,18,20)*(MIN(30,MAX(0,Inputs!$B$43-7))/Inputs!$B$43)*IF(Inputs!$B$4="Chapter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IGHT_LEGS_EASTON",Inputs!$B$17+((C2716=TRUE)*(F2716-Calc!F23))+((C2720=TRUE)*(F2720-Calc!F27))+((IF(AND(Inputs!$B$38&lt;&gt;"pvp",Inputs!$B$43=0),1,IF(IF(Inputs!$B$38="pvp",15,Inputs!$B$43)-(B2731)&lt;=0,1,MAX(0,IF(Inputs!$B$38="pvp",15,Inputs!$B$43)-MAX(5,B2731))/(IF(Inputs!$B$38="pvp",15,Inputs!$B$43)-(B2731))))*(IF(AND(ArtifactsInput!$M$42,((Inputs!$B$9+((C2712=TRUE)*(F2712-Calc!F19))+B2724+(ArtifactsInput!$M$24-ArtifactsInput!$M$24)*CHOOSE(ArtifactsInput!$N$24+1,10,12,14,16,18,20)+IF(ArtifactsInput!$M$10,CHOOSE(ArtifactsInput!$N$10+1,15,18,21,24,27,30)*(IF(Inputs!$B$38="pvp",MIN(15,15)/15,IF(AND(Inputs!$B$38&lt;&gt;"pvp",Inputs!$B$43&gt;0),MIN(15,Inputs!$B$43)/(Inputs!$B$43),0))),0)))&gt;=100),MIN(100,((Inputs!$B$9+((C2712=TRUE)*(F2712-Calc!F19))+B2724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2731)&lt;=0,1,MAX(0,IF(Inputs!$B$38="pvp",15,Inputs!$B$43)-MAX(5,B2731))/(IF(Inputs!$B$38="pvp",15,Inputs!$B$43)-(B2731))))*IF(AND(ArtifactsInput!$M$42,((Inputs!$B$9+((C2712=TRUE)*(F2712-Calc!F19))+B2724+(ArtifactsInput!$M$24-ArtifactsInput!$M$24)*CHOOSE(ArtifactsInput!$N$24+1,10,12,14,16,18,20)+IF(ArtifactsInput!$M$10,CHOOSE(ArtifactsInput!$N$10+1,15,18,21,24,27,30)*(IF(Inputs!$B$38="pvp",MIN(15,15)/15,IF(AND(Inputs!$B$38&lt;&gt;"pvp",Inputs!$B$43&gt;0),MIN(15,Inputs!$B$43)/(Inputs!$B$43),0))),0)))&gt;=100),CHOOSE(ArtifactsInput!$N$42+1,40,48,56,64,72,80),0))))/100)*((1+(((C2710=TRUE)*F2710*5/7)+((C2717=TRUE)*(F2717-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2702)</f>
        <v/>
      </c>
      <c r="L2702">
        <f>K2702*(MIN(Inputs!$B$22+((C2715=TRUE)*(F2715-Calc!F22)),(Inputs!$B$23+0+(IF(ArtifactsInput!$M$15,CHOOSE(ArtifactsInput!$N$15+1,25,30,35,40,45,50)/100*(Inputs!$B$11-Inputs!$B$11),0))))/100+(Inputs!$B$23+0+(IF(ArtifactsInput!$M$15,CHOOSE(ArtifactsInput!$N$15+1,25,30,35,40,45,50)/100*(Inputs!$B$11-Inputs!$B$11),0)))/100)/2</f>
        <v/>
      </c>
      <c r="M2702">
        <f>L2702*(1+(Inputs!$B$10+((C2718=TRUE)*(F2718-Calc!F25))+B2729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02">
        <f>L2702*(1-MIN((Inputs!$B$9+((C2712=TRUE)*(F2712-Calc!F19))+B2724+(ArtifactsInput!$M$24-ArtifactsInput!$M$24)*CHOOSE(ArtifactsInput!$N$24+1,10,12,14,16,18,20)+(IF(AND(Inputs!$B$38&lt;&gt;"pvp",Inputs!$B$43=0),1,IF(IF(Inputs!$B$38="pvp",15,Inputs!$B$43)-(B2731)&lt;=0,1,MAX(0,IF(Inputs!$B$38="pvp",15,Inputs!$B$43)-MAX(5,B2731))/(IF(Inputs!$B$38="pvp",15,Inputs!$B$43)-(B2731))))*IF(AND(ArtifactsInput!$M$42,((Inputs!$B$9+((C2712=TRUE)*(F2712-Calc!F19))+B2724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2702*(MIN((Inputs!$B$9+((C2712=TRUE)*(F2712-Calc!F19))+B2724+(ArtifactsInput!$M$24-ArtifactsInput!$M$24)*CHOOSE(ArtifactsInput!$N$24+1,10,12,14,16,18,20)+(IF(AND(Inputs!$B$38&lt;&gt;"pvp",Inputs!$B$43=0),1,IF(IF(Inputs!$B$38="pvp",15,Inputs!$B$43)-(B2731)&lt;=0,1,MAX(0,IF(Inputs!$B$38="pvp",15,Inputs!$B$43)-MAX(5,B2731))/(IF(Inputs!$B$38="pvp",15,Inputs!$B$43)-(B2731))))*IF(AND(ArtifactsInput!$M$42,((Inputs!$B$9+((C2712=TRUE)*(F2712-Calc!F19))+B2724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02">
        <f>(1-Summary!$B$11)*T2702+Summary!$B$11*V2702</f>
        <v/>
      </c>
      <c r="P2702">
        <f>IF(B2734=0,0,O2702/B2734)</f>
        <v/>
      </c>
      <c r="Q2702">
        <f>IFERROR(1/(IF(Inputs!$B$38="pvp",15,MAX(0.1,Skills!D9-IF(TRUE=TRUE,Inputs!$B$32,0)))*(1-IF(AND(ArtifactsInput!$M$27,Inputs!$B$4="Chapter Hunt"),CHOOSE(ArtifactsInput!$N$27+1,20,24,28,32,36,40),0)/100)),0)</f>
        <v/>
      </c>
      <c r="R2702">
        <f>IF(AND(Inputs!$B$38&lt;&gt;"pvp",Inputs!$B$43&gt;0),IF(MAX(0,Inputs!$B$43-B2731)&lt;=0,0,(INT(MAX(0,Inputs!$B$43-B2731)/(IF(Inputs!$B$38="pvp",15,MAX(0.1,Skills!D9-IF(TRUE=TRUE,Inputs!$B$32,0)))*(1-IF(AND(ArtifactsInput!$M$27,Inputs!$B$4="Chapter Hunt"),CHOOSE(ArtifactsInput!$N$27+1,20,24,28,32,36,40),0)/100)))+1)),0)</f>
        <v/>
      </c>
      <c r="S2702">
        <f>IFERROR(O2702/N2702,0)</f>
        <v/>
      </c>
      <c r="T2702">
        <f>IF(C2702,(H2702*N2702*IF(AND(Inputs!$B$38&lt;&gt;"pvp",Inputs!$B$43&gt;0),((Skills!G9*((R2702-1)*IF(Skills!H9&gt;0,INT(Skills!I9/Skills!H9+0.000000001),1)+IF(Skills!H9&gt;0,INT(MIN(Skills!I9,MAX(0,MAX(0,Inputs!$B$43-B2731)-((R2702-1)*(IF(Inputs!$B$38="pvp",15,MAX(0.1,Skills!D9-IF(TRUE=TRUE,Inputs!$B$32,0)))*(1-IF(AND(ArtifactsInput!$M$27,Inputs!$B$4="Chapter Hunt"),CHOOSE(ArtifactsInput!$N$27+1,20,24,28,32,36,40),0)/100)))))/Skills!H9+0.000000001),1)))/Inputs!$B$43),G2702*Q2702))*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Hunt"),CHOOSE(ArtifactsInput!$N$35+1,15,18,21,24,27,30)*(1-EXP(-(0.2*B2726)*5)),0)+IF(AND(ArtifactsInput!$M$22,Inputs!$B$4&lt;&gt;"Chapter Hunt"),CHOOSE(ArtifactsInput!$N$22+1,10,12,14,16,18,20)*((0*(((0.15*B2726*5))^0/1)+1*(((0.15*B2726*5))^1/1)+2*(((0.15*B2726*5))^2/2)+3*(((0.15*B2726*5))^3/6)+4*(((0.15*B2726*5))^4/24)+5*(((0.15*B2726*5))^5/120))/((((0.15*B2726*5))^0/1)+(((0.15*B2726*5))^1/1)+(((0.15*B2726*5))^2/2)+(((0.15*B2726*5))^3/6)+(((0.15*B2726*5))^4/24)+(((0.15*B2726*5))^5/120))),0))+IF(Inputs!$B$3&gt;=54,9*(C2696=TRUE)*MIN(1,8*(1+Inputs!$B$34/100)*Q2696)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2702*(1-MIN(100,(Inputs!$B$9+((C2712=TRUE)*(F2712-Calc!F19))+B2724+(ArtifactsInput!$M$24-ArtifactsInput!$M$24)*CHOOSE(ArtifactsInput!$N$24+1,10,12,14,16,18,20)+(IF(AND(Inputs!$B$38&lt;&gt;"pvp",Inputs!$B$43=0),1,IF(IF(Inputs!$B$38="pvp",15,Inputs!$B$43)-(B2731)&lt;=0,1,MAX(0,IF(Inputs!$B$38="pvp",15,Inputs!$B$43)-MAX(5,B2731))/(IF(Inputs!$B$38="pvp",15,Inputs!$B$43)-(B2731))))*IF(AND(ArtifactsInput!$M$42,((Inputs!$B$9+((C2712=TRUE)*(F2712-Calc!F19))+B2724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2702*(MIN(100,(Inputs!$B$9+((C2712=TRUE)*(F2712-Calc!F19))+B2724+(ArtifactsInput!$M$24-ArtifactsInput!$M$24)*CHOOSE(ArtifactsInput!$N$24+1,10,12,14,16,18,20)+(IF(AND(Inputs!$B$38&lt;&gt;"pvp",Inputs!$B$43=0),1,IF(IF(Inputs!$B$38="pvp",15,Inputs!$B$43)-(B2731)&lt;=0,1,MAX(0,IF(Inputs!$B$38="pvp",15,Inputs!$B$43)-MAX(5,B2731))/(IF(Inputs!$B$38="pvp",15,Inputs!$B$43)-(B2731))))*IF(AND(ArtifactsInput!$M$42,((Inputs!$B$9+((C2712=TRUE)*(F2712-Calc!F19))+B2724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2702*(1-MIN(100,(Inputs!$B$9+((C2712=TRUE)*(F2712-Calc!F19))+B2724+(ArtifactsInput!$M$24-ArtifactsInput!$M$24)*CHOOSE(ArtifactsInput!$N$24+1,10,12,14,16,18,20)+(IF(AND(Inputs!$B$38&lt;&gt;"pvp",Inputs!$B$43=0),1,IF(IF(Inputs!$B$38="pvp",15,Inputs!$B$43)-(B2731)&lt;=0,1,MAX(0,IF(Inputs!$B$38="pvp",15,Inputs!$B$43)-MAX(5,B2731))/(IF(Inputs!$B$38="pvp",15,Inputs!$B$43)-(B2731))))*IF(AND(ArtifactsInput!$M$42,((Inputs!$B$9+((C2712=TRUE)*(F2712-Calc!F19))+B2724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2702*(MIN(100,(Inputs!$B$9+((C2712=TRUE)*(F2712-Calc!F19))+B2724+(ArtifactsInput!$M$24-ArtifactsInput!$M$24)*CHOOSE(ArtifactsInput!$N$24+1,10,12,14,16,18,20)+(IF(AND(Inputs!$B$38&lt;&gt;"pvp",Inputs!$B$43=0),1,IF(IF(Inputs!$B$38="pvp",15,Inputs!$B$43)-(B2731)&lt;=0,1,MAX(0,IF(Inputs!$B$38="pvp",15,Inputs!$B$43)-MAX(5,B2731))/(IF(Inputs!$B$38="pvp",15,Inputs!$B$43)-(B2731))))*IF(AND(ArtifactsInput!$M$42,((Inputs!$B$9+((C2712=TRUE)*(F2712-Calc!F19))+B2724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702">
        <f>IF(C2702,(H2702*N2702*IF(AND(Inputs!$B$38&lt;&gt;"pvp",Inputs!$B$43&gt;0),((Skills!G9*((R2702-1)*IF(Skills!H9&gt;0,INT(Skills!I9/Skills!H9+0.000000001),1)+IF(Skills!H9&gt;0,INT(MIN(Skills!I9,MAX(0,MAX(0,Inputs!$B$43-B2731)-((R2702-1)*(IF(Inputs!$B$38="pvp",15,MAX(0.1,Skills!D9-IF(TRUE=TRUE,Inputs!$B$32,0)))*(1-IF(AND(ArtifactsInput!$M$27,Inputs!$B$4="Chapter Hunt"),CHOOSE(ArtifactsInput!$N$27+1,20,24,28,32,36,40),0)/100)))))/Skills!H9+0.000000001),1)))/Inputs!$B$43),G2702*Q2702))*IF(Inputs!$B$38="pvp",1,(1+(Inputs!$B$21+Skills!Q9+(IF(ArtifactsInput!$M$33,CHOOSE(ArtifactsInput!$N$33+1,30,36,42,48,54,60),0))+(IF(AND(ArtifactsInput!$M$35,Inputs!$B$4&lt;&gt;"Chapter Hunt"),CHOOSE(ArtifactsInput!$N$35+1,15,18,21,24,27,30)*(1-EXP(-(0.2*B2726)*5)),0)+IF(AND(ArtifactsInput!$M$22,Inputs!$B$4&lt;&gt;"Chapter Hunt"),CHOOSE(ArtifactsInput!$N$22+1,10,12,14,16,18,20)*((0*(((0.15*B2726*5))^0/1)+1*(((0.15*B2726*5))^1/1)+2*(((0.15*B2726*5))^2/2)+3*(((0.15*B2726*5))^3/6)+4*(((0.15*B2726*5))^4/24)+5*(((0.15*B2726*5))^5/120))/((((0.15*B2726*5))^0/1)+(((0.15*B2726*5))^1/1)+(((0.15*B2726*5))^2/2)+(((0.15*B2726*5))^3/6)+(((0.15*B2726*5))^4/24)+(((0.15*B2726*5))^5/120))),0))+IF(Inputs!$B$3&gt;=54,9*(C2696=TRUE)*MIN(1,8*(1+Inputs!$B$34/100)*Q2696),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03">
      <c r="A2703">
        <f>Skills!A10</f>
        <v/>
      </c>
      <c r="B2703">
        <f>Skills!B10</f>
        <v/>
      </c>
      <c r="C2703">
        <f>Inputs!$B$3&gt;=113</f>
        <v/>
      </c>
      <c r="D2703">
        <f>IF(Skills!C10=1,60+Inputs!$B$25+Inputs!$B$29,IF(Skills!C10=2,90+Inputs!$B$26+Inputs!$B$29,IF(Skills!C10=3,120+Inputs!$B$27+Inputs!$B$29,MAX(0,(Inputs!$B$3-100)*3)+Inputs!$B$28+Inputs!$B$29)))</f>
        <v/>
      </c>
      <c r="E2703">
        <f>INDEX(FactorTable!$B$2:$Y$301, MATCH(ROUND(MIN(300,MAX(1,D2703)),0), FactorTable!$A$2:$A$301,0), Skills!M10+1)</f>
        <v/>
      </c>
      <c r="F2703">
        <f>IF(Skills!N10=TRUE,(Skills!L10/10)*(E2703/1000),Skills!L10/10)+Skills!O10</f>
        <v/>
      </c>
      <c r="G2703">
        <f>Skills!G10*IF(Skills!H10&gt;0,INT(IF(Inputs!$B$38="pvp",MIN(Skills!I10,15),Skills!I10)/Skills!H10+0.000000001),1)</f>
        <v/>
      </c>
      <c r="H2703">
        <f>1-(1-Skills!J10/100)^Skills!K10</f>
        <v/>
      </c>
      <c r="I2703" t="inlineStr">
        <is>
          <t>1</t>
        </is>
      </c>
      <c r="J2703">
        <f>((Inputs!$B$6*(1+Inputs!$B$7/100))+(((Inputs!$B$12*(1+Inputs!$B$13/100))-(Inputs!$B$12*(1+Inputs!$B$13/100)))+0.25*(Inputs!$B$14-Inputs!$B$14))*(1+Inputs!$B$7/100))*(F2703/100)</f>
        <v/>
      </c>
      <c r="K2703">
        <f>J2703*(1+((Inputs!$B$12*(1+Inputs!$B$13/100))*0.01+Inputs!$B$14*0.0025)/100)*(1+Inputs!$B$15/100)*(1+Inputs!$B$16/100)*(5000/(6000+Inputs!$B$42*(1-(100*(1-(1-(Inputs!$B$19+0)/100)*(1-CHOOSE(ArtifactsInput!$N$40+1,5,6,7,8,9,10)/100)^(ArtifactsInput!$M$40-ArtifactsInput!$M$40)))/100)))*(1+(Inputs!$B$24+((C2719=TRUE)*(F2719-Calc!F26))+B2730)/100)*(1+(((1+IF(AND(ArtifactsInput!$M$36,IF(Inputs!$B$38="pvp",TRUE,AND(Inputs!$B$38&lt;&gt;"pvp",Inputs!$B$43&gt;0))),CHOOSE(ArtifactsInput!$N$36+1,8,9.6,11.2,12.8,14.4,16),0)/100)*(1+IF(AND(ArtifactsInput!$M$32,Inputs!$B$4&lt;&gt;"Chapter Hunt"),CHOOSE(ArtifactsInput!$N$32+1,8,9.6,11.2,12.8,14.4,16),0)/100)*(1+IF(AND(IF(ArtifactsInput!$M$38,FALSE,TRUE),Inputs!$B$38&lt;&gt;"pvp",Inputs!$B$43&gt;0),CHOOSE(ArtifactsInput!$N$38+1,10,12,14,16,18,20)*(MIN(30,MAX(0,Inputs!$B$43-7))/Inputs!$B$43)*IF(Inputs!$B$4="Chapter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IGHT_LEGS_EASTON",Inputs!$B$17+((C2716=TRUE)*(F2716-Calc!F23))+((C2720=TRUE)*(F2720-Calc!F27))+((IF(AND(Inputs!$B$38&lt;&gt;"pvp",Inputs!$B$43=0),1,IF(IF(Inputs!$B$38="pvp",15,Inputs!$B$43)-(B2731)&lt;=0,1,MAX(0,IF(Inputs!$B$38="pvp",15,Inputs!$B$43)-MAX(5,B2731))/(IF(Inputs!$B$38="pvp",15,Inputs!$B$43)-(B2731))))*(IF(AND(ArtifactsInput!$M$42,((Inputs!$B$9+((C2712=TRUE)*(F2712-Calc!F19))+B2724+(ArtifactsInput!$M$24-ArtifactsInput!$M$24)*CHOOSE(ArtifactsInput!$N$24+1,10,12,14,16,18,20)+IF(ArtifactsInput!$M$10,CHOOSE(ArtifactsInput!$N$10+1,15,18,21,24,27,30)*(IF(Inputs!$B$38="pvp",MIN(15,15)/15,IF(AND(Inputs!$B$38&lt;&gt;"pvp",Inputs!$B$43&gt;0),MIN(15,Inputs!$B$43)/(Inputs!$B$43),0))),0)))&gt;=100),MIN(100,((Inputs!$B$9+((C2712=TRUE)*(F2712-Calc!F19))+B2724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2731)&lt;=0,1,MAX(0,IF(Inputs!$B$38="pvp",15,Inputs!$B$43)-MAX(5,B2731))/(IF(Inputs!$B$38="pvp",15,Inputs!$B$43)-(B2731))))*IF(AND(ArtifactsInput!$M$42,((Inputs!$B$9+((C2712=TRUE)*(F2712-Calc!F19))+B2724+(ArtifactsInput!$M$24-ArtifactsInput!$M$24)*CHOOSE(ArtifactsInput!$N$24+1,10,12,14,16,18,20)+IF(ArtifactsInput!$M$10,CHOOSE(ArtifactsInput!$N$10+1,15,18,21,24,27,30)*(IF(Inputs!$B$38="pvp",MIN(15,15)/15,IF(AND(Inputs!$B$38&lt;&gt;"pvp",Inputs!$B$43&gt;0),MIN(15,Inputs!$B$43)/(Inputs!$B$43),0))),0)))&gt;=100),CHOOSE(ArtifactsInput!$N$42+1,40,48,56,64,72,80),0))))/100)*((1+(((C2710=TRUE)*F2710*5/7)+((C2717=TRUE)*(F2717-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2703)</f>
        <v/>
      </c>
      <c r="L2703">
        <f>K2703*(MIN(Inputs!$B$22+((C2715=TRUE)*(F2715-Calc!F22)),(Inputs!$B$23+0+(IF(ArtifactsInput!$M$15,CHOOSE(ArtifactsInput!$N$15+1,25,30,35,40,45,50)/100*(Inputs!$B$11-Inputs!$B$11),0))))/100+(Inputs!$B$23+0+(IF(ArtifactsInput!$M$15,CHOOSE(ArtifactsInput!$N$15+1,25,30,35,40,45,50)/100*(Inputs!$B$11-Inputs!$B$11),0)))/100)/2</f>
        <v/>
      </c>
      <c r="M2703">
        <f>L2703*(1+(Inputs!$B$10+((C2718=TRUE)*(F2718-Calc!F25))+B2729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03">
        <f>L2703*(1-MIN((Inputs!$B$9+((C2712=TRUE)*(F2712-Calc!F19))+B2724+(ArtifactsInput!$M$24-ArtifactsInput!$M$24)*CHOOSE(ArtifactsInput!$N$24+1,10,12,14,16,18,20)+(IF(AND(Inputs!$B$38&lt;&gt;"pvp",Inputs!$B$43=0),1,IF(IF(Inputs!$B$38="pvp",15,Inputs!$B$43)-(B2731)&lt;=0,1,MAX(0,IF(Inputs!$B$38="pvp",15,Inputs!$B$43)-MAX(5,B2731))/(IF(Inputs!$B$38="pvp",15,Inputs!$B$43)-(B2731))))*IF(AND(ArtifactsInput!$M$42,((Inputs!$B$9+((C2712=TRUE)*(F2712-Calc!F19))+B2724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2703*(MIN((Inputs!$B$9+((C2712=TRUE)*(F2712-Calc!F19))+B2724+(ArtifactsInput!$M$24-ArtifactsInput!$M$24)*CHOOSE(ArtifactsInput!$N$24+1,10,12,14,16,18,20)+(IF(AND(Inputs!$B$38&lt;&gt;"pvp",Inputs!$B$43=0),1,IF(IF(Inputs!$B$38="pvp",15,Inputs!$B$43)-(B2731)&lt;=0,1,MAX(0,IF(Inputs!$B$38="pvp",15,Inputs!$B$43)-MAX(5,B2731))/(IF(Inputs!$B$38="pvp",15,Inputs!$B$43)-(B2731))))*IF(AND(ArtifactsInput!$M$42,((Inputs!$B$9+((C2712=TRUE)*(F2712-Calc!F19))+B2724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03">
        <f>(1-Summary!$B$11)*T2703+Summary!$B$11*V2703</f>
        <v/>
      </c>
      <c r="P2703">
        <f>IF(B2734=0,0,O2703/B2734)</f>
        <v/>
      </c>
      <c r="Q2703" t="n">
        <v>0</v>
      </c>
      <c r="R2703" t="n">
        <v>0</v>
      </c>
      <c r="S2703">
        <f>IFERROR(O2703/N2703,0)</f>
        <v/>
      </c>
      <c r="T2703">
        <f>IF(C2703,((H2703*B2736)/(1+Skills!H10*H2703*B2736)*N2703)*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Hunt"),CHOOSE(ArtifactsInput!$N$35+1,15,18,21,24,27,30)*(1-EXP(-(0.2*B2726)*5)),0)+IF(AND(ArtifactsInput!$M$22,Inputs!$B$4&lt;&gt;"Chapter Hunt"),CHOOSE(ArtifactsInput!$N$22+1,10,12,14,16,18,20)*((0*(((0.15*B2726*5))^0/1)+1*(((0.15*B2726*5))^1/1)+2*(((0.15*B2726*5))^2/2)+3*(((0.15*B2726*5))^3/6)+4*(((0.15*B2726*5))^4/24)+5*(((0.15*B2726*5))^5/120))/((((0.15*B2726*5))^0/1)+(((0.15*B2726*5))^1/1)+(((0.15*B2726*5))^2/2)+(((0.15*B2726*5))^3/6)+(((0.15*B2726*5))^4/24)+(((0.15*B2726*5))^5/120))),0))+IF(Inputs!$B$3&gt;=54,9*(C2696=TRUE)*MIN(1,8*(1+Inputs!$B$34/100)*Q2696)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2703*(1-MIN(100,(Inputs!$B$9+((C2712=TRUE)*(F2712-Calc!F19))+B2724+(ArtifactsInput!$M$24-ArtifactsInput!$M$24)*CHOOSE(ArtifactsInput!$N$24+1,10,12,14,16,18,20)+(IF(AND(Inputs!$B$38&lt;&gt;"pvp",Inputs!$B$43=0),1,IF(IF(Inputs!$B$38="pvp",15,Inputs!$B$43)-(B2731)&lt;=0,1,MAX(0,IF(Inputs!$B$38="pvp",15,Inputs!$B$43)-MAX(5,B2731))/(IF(Inputs!$B$38="pvp",15,Inputs!$B$43)-(B2731))))*IF(AND(ArtifactsInput!$M$42,((Inputs!$B$9+((C2712=TRUE)*(F2712-Calc!F19))+B2724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2703*(MIN(100,(Inputs!$B$9+((C2712=TRUE)*(F2712-Calc!F19))+B2724+(ArtifactsInput!$M$24-ArtifactsInput!$M$24)*CHOOSE(ArtifactsInput!$N$24+1,10,12,14,16,18,20)+(IF(AND(Inputs!$B$38&lt;&gt;"pvp",Inputs!$B$43=0),1,IF(IF(Inputs!$B$38="pvp",15,Inputs!$B$43)-(B2731)&lt;=0,1,MAX(0,IF(Inputs!$B$38="pvp",15,Inputs!$B$43)-MAX(5,B2731))/(IF(Inputs!$B$38="pvp",15,Inputs!$B$43)-(B2731))))*IF(AND(ArtifactsInput!$M$42,((Inputs!$B$9+((C2712=TRUE)*(F2712-Calc!F19))+B2724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2703*(1-MIN(100,(Inputs!$B$9+((C2712=TRUE)*(F2712-Calc!F19))+B2724+(ArtifactsInput!$M$24-ArtifactsInput!$M$24)*CHOOSE(ArtifactsInput!$N$24+1,10,12,14,16,18,20)+(IF(AND(Inputs!$B$38&lt;&gt;"pvp",Inputs!$B$43=0),1,IF(IF(Inputs!$B$38="pvp",15,Inputs!$B$43)-(B2731)&lt;=0,1,MAX(0,IF(Inputs!$B$38="pvp",15,Inputs!$B$43)-MAX(5,B2731))/(IF(Inputs!$B$38="pvp",15,Inputs!$B$43)-(B2731))))*IF(AND(ArtifactsInput!$M$42,((Inputs!$B$9+((C2712=TRUE)*(F2712-Calc!F19))+B2724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2703*(MIN(100,(Inputs!$B$9+((C2712=TRUE)*(F2712-Calc!F19))+B2724+(ArtifactsInput!$M$24-ArtifactsInput!$M$24)*CHOOSE(ArtifactsInput!$N$24+1,10,12,14,16,18,20)+(IF(AND(Inputs!$B$38&lt;&gt;"pvp",Inputs!$B$43=0),1,IF(IF(Inputs!$B$38="pvp",15,Inputs!$B$43)-(B2731)&lt;=0,1,MAX(0,IF(Inputs!$B$38="pvp",15,Inputs!$B$43)-MAX(5,B2731))/(IF(Inputs!$B$38="pvp",15,Inputs!$B$43)-(B2731))))*IF(AND(ArtifactsInput!$M$42,((Inputs!$B$9+((C2712=TRUE)*(F2712-Calc!F19))+B2724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703">
        <f>IF(C2703,((H2703*B2736)/(1+Skills!H10*H2703*B2736)*N2703)*IF(Inputs!$B$38="pvp",1,(1+(Inputs!$B$21+Skills!Q10+(IF(ArtifactsInput!$M$33,CHOOSE(ArtifactsInput!$N$33+1,30,36,42,48,54,60),0))+(IF(AND(ArtifactsInput!$M$35,Inputs!$B$4&lt;&gt;"Chapter Hunt"),CHOOSE(ArtifactsInput!$N$35+1,15,18,21,24,27,30)*(1-EXP(-(0.2*B2726)*5)),0)+IF(AND(ArtifactsInput!$M$22,Inputs!$B$4&lt;&gt;"Chapter Hunt"),CHOOSE(ArtifactsInput!$N$22+1,10,12,14,16,18,20)*((0*(((0.15*B2726*5))^0/1)+1*(((0.15*B2726*5))^1/1)+2*(((0.15*B2726*5))^2/2)+3*(((0.15*B2726*5))^3/6)+4*(((0.15*B2726*5))^4/24)+5*(((0.15*B2726*5))^5/120))/((((0.15*B2726*5))^0/1)+(((0.15*B2726*5))^1/1)+(((0.15*B2726*5))^2/2)+(((0.15*B2726*5))^3/6)+(((0.15*B2726*5))^4/24)+(((0.15*B2726*5))^5/120))),0))+IF(Inputs!$B$3&gt;=54,9*(C2696=TRUE)*MIN(1,8*(1+Inputs!$B$34/100)*Q2696),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04">
      <c r="A2704">
        <f>Skills!A11</f>
        <v/>
      </c>
      <c r="B2704">
        <f>Skills!B11</f>
        <v/>
      </c>
      <c r="C2704">
        <f>Inputs!$B$3&gt;=117</f>
        <v/>
      </c>
      <c r="D2704">
        <f>IF(Skills!C11=1,60+Inputs!$B$25+Inputs!$B$29,IF(Skills!C11=2,90+Inputs!$B$26+Inputs!$B$29,IF(Skills!C11=3,120+Inputs!$B$27+Inputs!$B$29,MAX(0,(Inputs!$B$3-100)*3)+Inputs!$B$28+Inputs!$B$29)))</f>
        <v/>
      </c>
      <c r="E2704">
        <f>INDEX(FactorTable!$B$2:$Y$301, MATCH(ROUND(MIN(300,MAX(1,D2704)),0), FactorTable!$A$2:$A$301,0), Skills!M11+1)</f>
        <v/>
      </c>
      <c r="F2704">
        <f>IF(Skills!N11=TRUE,(Skills!L11/10)*(E2704/1000),Skills!L11/10)+Skills!O11</f>
        <v/>
      </c>
      <c r="G2704">
        <f>Skills!G11*IF(Skills!H11&gt;0,INT(IF(Inputs!$B$38="pvp",MIN(Skills!I11,15),Skills!I11)/Skills!H11+0.000000001),1)</f>
        <v/>
      </c>
      <c r="H2704">
        <f>1-(1-Skills!J11/100)^Skills!K11</f>
        <v/>
      </c>
      <c r="I2704" t="inlineStr">
        <is>
          <t>1</t>
        </is>
      </c>
      <c r="J2704">
        <f>((Inputs!$B$6*(1+Inputs!$B$7/100))+(((Inputs!$B$12*(1+Inputs!$B$13/100))-(Inputs!$B$12*(1+Inputs!$B$13/100)))+0.25*(Inputs!$B$14-Inputs!$B$14))*(1+Inputs!$B$7/100))*(F2704/100)</f>
        <v/>
      </c>
      <c r="K2704">
        <f>J2704*(1+((Inputs!$B$12*(1+Inputs!$B$13/100))*0.01+Inputs!$B$14*0.0025)/100)*(1+Inputs!$B$15/100)*(1+Inputs!$B$16/100)*(5000/(6000+Inputs!$B$42*(1-(100*(1-(1-(Inputs!$B$19+0)/100)*(1-CHOOSE(ArtifactsInput!$N$40+1,5,6,7,8,9,10)/100)^(ArtifactsInput!$M$40-ArtifactsInput!$M$40)))/100)))*(1+(Inputs!$B$24+((C2719=TRUE)*(F2719-Calc!F26))+B2730)/100)*(1+(((1+IF(AND(ArtifactsInput!$M$36,IF(Inputs!$B$38="pvp",TRUE,AND(Inputs!$B$38&lt;&gt;"pvp",Inputs!$B$43&gt;0))),CHOOSE(ArtifactsInput!$N$36+1,8,9.6,11.2,12.8,14.4,16),0)/100)*(1+IF(AND(ArtifactsInput!$M$32,Inputs!$B$4&lt;&gt;"Chapter Hunt"),CHOOSE(ArtifactsInput!$N$32+1,8,9.6,11.2,12.8,14.4,16),0)/100)*(1+IF(AND(IF(ArtifactsInput!$M$38,FALSE,TRUE),Inputs!$B$38&lt;&gt;"pvp",Inputs!$B$43&gt;0),CHOOSE(ArtifactsInput!$N$38+1,10,12,14,16,18,20)*(MIN(30,MAX(0,Inputs!$B$43-7))/Inputs!$B$43)*IF(Inputs!$B$4="Chapter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IGHT_LEGS_EASTON",Inputs!$B$17+((C2716=TRUE)*(F2716-Calc!F23))+((C2720=TRUE)*(F2720-Calc!F27))+((IF(AND(Inputs!$B$38&lt;&gt;"pvp",Inputs!$B$43=0),1,IF(IF(Inputs!$B$38="pvp",15,Inputs!$B$43)-(B2731)&lt;=0,1,MAX(0,IF(Inputs!$B$38="pvp",15,Inputs!$B$43)-MAX(5,B2731))/(IF(Inputs!$B$38="pvp",15,Inputs!$B$43)-(B2731))))*(IF(AND(ArtifactsInput!$M$42,((Inputs!$B$9+((C2712=TRUE)*(F2712-Calc!F19))+B2724+(ArtifactsInput!$M$24-ArtifactsInput!$M$24)*CHOOSE(ArtifactsInput!$N$24+1,10,12,14,16,18,20)+IF(ArtifactsInput!$M$10,CHOOSE(ArtifactsInput!$N$10+1,15,18,21,24,27,30)*(IF(Inputs!$B$38="pvp",MIN(15,15)/15,IF(AND(Inputs!$B$38&lt;&gt;"pvp",Inputs!$B$43&gt;0),MIN(15,Inputs!$B$43)/(Inputs!$B$43),0))),0)))&gt;=100),MIN(100,((Inputs!$B$9+((C2712=TRUE)*(F2712-Calc!F19))+B2724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2731)&lt;=0,1,MAX(0,IF(Inputs!$B$38="pvp",15,Inputs!$B$43)-MAX(5,B2731))/(IF(Inputs!$B$38="pvp",15,Inputs!$B$43)-(B2731))))*IF(AND(ArtifactsInput!$M$42,((Inputs!$B$9+((C2712=TRUE)*(F2712-Calc!F19))+B2724+(ArtifactsInput!$M$24-ArtifactsInput!$M$24)*CHOOSE(ArtifactsInput!$N$24+1,10,12,14,16,18,20)+IF(ArtifactsInput!$M$10,CHOOSE(ArtifactsInput!$N$10+1,15,18,21,24,27,30)*(IF(Inputs!$B$38="pvp",MIN(15,15)/15,IF(AND(Inputs!$B$38&lt;&gt;"pvp",Inputs!$B$43&gt;0),MIN(15,Inputs!$B$43)/(Inputs!$B$43),0))),0)))&gt;=100),CHOOSE(ArtifactsInput!$N$42+1,40,48,56,64,72,80),0))))/100)*((1+(((C2710=TRUE)*F2710*5/7)+((C2717=TRUE)*(F2717-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2704)</f>
        <v/>
      </c>
      <c r="L2704">
        <f>K2704*(MIN(Inputs!$B$22+((C2715=TRUE)*(F2715-Calc!F22)),(Inputs!$B$23+0+(IF(ArtifactsInput!$M$15,CHOOSE(ArtifactsInput!$N$15+1,25,30,35,40,45,50)/100*(Inputs!$B$11-Inputs!$B$11),0))))/100+(Inputs!$B$23+0+(IF(ArtifactsInput!$M$15,CHOOSE(ArtifactsInput!$N$15+1,25,30,35,40,45,50)/100*(Inputs!$B$11-Inputs!$B$11),0)))/100)/2</f>
        <v/>
      </c>
      <c r="M2704">
        <f>L2704*(1+(Inputs!$B$10+((C2718=TRUE)*(F2718-Calc!F25))+B2729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04">
        <f>L2704*(1-MIN((Inputs!$B$9+((C2712=TRUE)*(F2712-Calc!F19))+B2724+(ArtifactsInput!$M$24-ArtifactsInput!$M$24)*CHOOSE(ArtifactsInput!$N$24+1,10,12,14,16,18,20)+(IF(AND(Inputs!$B$38&lt;&gt;"pvp",Inputs!$B$43=0),1,IF(IF(Inputs!$B$38="pvp",15,Inputs!$B$43)-(B2731)&lt;=0,1,MAX(0,IF(Inputs!$B$38="pvp",15,Inputs!$B$43)-MAX(5,B2731))/(IF(Inputs!$B$38="pvp",15,Inputs!$B$43)-(B2731))))*IF(AND(ArtifactsInput!$M$42,((Inputs!$B$9+((C2712=TRUE)*(F2712-Calc!F19))+B2724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2704*(MIN((Inputs!$B$9+((C2712=TRUE)*(F2712-Calc!F19))+B2724+(ArtifactsInput!$M$24-ArtifactsInput!$M$24)*CHOOSE(ArtifactsInput!$N$24+1,10,12,14,16,18,20)+(IF(AND(Inputs!$B$38&lt;&gt;"pvp",Inputs!$B$43=0),1,IF(IF(Inputs!$B$38="pvp",15,Inputs!$B$43)-(B2731)&lt;=0,1,MAX(0,IF(Inputs!$B$38="pvp",15,Inputs!$B$43)-MAX(5,B2731))/(IF(Inputs!$B$38="pvp",15,Inputs!$B$43)-(B2731))))*IF(AND(ArtifactsInput!$M$42,((Inputs!$B$9+((C2712=TRUE)*(F2712-Calc!F19))+B2724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04">
        <f>(1-Summary!$B$11)*T2704+Summary!$B$11*V2704</f>
        <v/>
      </c>
      <c r="P2704">
        <f>IF(B2734=0,0,O2704/B2734)</f>
        <v/>
      </c>
      <c r="Q2704">
        <f>IFERROR(1/((IF(Inputs!$B$38="pvp",15,MAX(0.1,Skills!D11-IF(TRUE=TRUE,Inputs!$B$32,0)))*(1-IF(AND(ArtifactsInput!$M$27,Inputs!$B$4="Chapter Hunt"),CHOOSE(ArtifactsInput!$N$27+1,20,24,28,32,36,40),0)/100))/B2735),0)</f>
        <v/>
      </c>
      <c r="R2704">
        <f>IF(AND(Inputs!$B$38&lt;&gt;"pvp",Inputs!$B$43&gt;0),IF(MAX(0,Inputs!$B$43-B2731)&lt;=0,0,(INT(MAX(0,Inputs!$B$43-B2731)/((IF(Inputs!$B$38="pvp",15,MAX(0.1,Skills!D11-IF(TRUE=TRUE,Inputs!$B$32,0)))*(1-IF(AND(ArtifactsInput!$M$27,Inputs!$B$4="Chapter Hunt"),CHOOSE(ArtifactsInput!$N$27+1,20,24,28,32,36,40),0)/100))/B2735))+1)),0)</f>
        <v/>
      </c>
      <c r="S2704">
        <f>IFERROR(O2704/N2704,0)</f>
        <v/>
      </c>
      <c r="T2704">
        <f>IF(C2704,(H2704*N2704*IF(AND(Inputs!$B$38&lt;&gt;"pvp",Inputs!$B$43&gt;0),((Skills!G11*((R2704-1)*IF(Skills!H11&gt;0,INT(Skills!I11/Skills!H11+0.000000001),1)+IF(Skills!H11&gt;0,INT(MIN(Skills!I11,MAX(0,MAX(0,Inputs!$B$43-B2731)-((R2704-1)*((IF(Inputs!$B$38="pvp",15,MAX(0.1,Skills!D11-IF(TRUE=TRUE,Inputs!$B$32,0)))*(1-IF(AND(ArtifactsInput!$M$27,Inputs!$B$4="Chapter Hunt"),CHOOSE(ArtifactsInput!$N$27+1,20,24,28,32,36,40),0)/100))/B2735))))/Skills!H11+0.000000001),1)))/Inputs!$B$43),G2704*Q2704))*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Hunt"),CHOOSE(ArtifactsInput!$N$35+1,15,18,21,24,27,30)*(1-EXP(-(0.2*B2726)*5)),0)+IF(AND(ArtifactsInput!$M$22,Inputs!$B$4&lt;&gt;"Chapter Hunt"),CHOOSE(ArtifactsInput!$N$22+1,10,12,14,16,18,20)*((0*(((0.15*B2726*5))^0/1)+1*(((0.15*B2726*5))^1/1)+2*(((0.15*B2726*5))^2/2)+3*(((0.15*B2726*5))^3/6)+4*(((0.15*B2726*5))^4/24)+5*(((0.15*B2726*5))^5/120))/((((0.15*B2726*5))^0/1)+(((0.15*B2726*5))^1/1)+(((0.15*B2726*5))^2/2)+(((0.15*B2726*5))^3/6)+(((0.15*B2726*5))^4/24)+(((0.15*B2726*5))^5/120))),0))+IF(Inputs!$B$3&gt;=54,9*(C2696=TRUE)*MIN(1,8*(1+Inputs!$B$34/100)*Q2696)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2704*(1-MIN(100,(Inputs!$B$9+((C2712=TRUE)*(F2712-Calc!F19))+B2724+(ArtifactsInput!$M$24-ArtifactsInput!$M$24)*CHOOSE(ArtifactsInput!$N$24+1,10,12,14,16,18,20)+(IF(AND(Inputs!$B$38&lt;&gt;"pvp",Inputs!$B$43=0),1,IF(IF(Inputs!$B$38="pvp",15,Inputs!$B$43)-(B2731)&lt;=0,1,MAX(0,IF(Inputs!$B$38="pvp",15,Inputs!$B$43)-MAX(5,B2731))/(IF(Inputs!$B$38="pvp",15,Inputs!$B$43)-(B2731))))*IF(AND(ArtifactsInput!$M$42,((Inputs!$B$9+((C2712=TRUE)*(F2712-Calc!F19))+B2724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2704*(MIN(100,(Inputs!$B$9+((C2712=TRUE)*(F2712-Calc!F19))+B2724+(ArtifactsInput!$M$24-ArtifactsInput!$M$24)*CHOOSE(ArtifactsInput!$N$24+1,10,12,14,16,18,20)+(IF(AND(Inputs!$B$38&lt;&gt;"pvp",Inputs!$B$43=0),1,IF(IF(Inputs!$B$38="pvp",15,Inputs!$B$43)-(B2731)&lt;=0,1,MAX(0,IF(Inputs!$B$38="pvp",15,Inputs!$B$43)-MAX(5,B2731))/(IF(Inputs!$B$38="pvp",15,Inputs!$B$43)-(B2731))))*IF(AND(ArtifactsInput!$M$42,((Inputs!$B$9+((C2712=TRUE)*(F2712-Calc!F19))+B2724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2704*(1-MIN(100,(Inputs!$B$9+((C2712=TRUE)*(F2712-Calc!F19))+B2724+(ArtifactsInput!$M$24-ArtifactsInput!$M$24)*CHOOSE(ArtifactsInput!$N$24+1,10,12,14,16,18,20)+(IF(AND(Inputs!$B$38&lt;&gt;"pvp",Inputs!$B$43=0),1,IF(IF(Inputs!$B$38="pvp",15,Inputs!$B$43)-(B2731)&lt;=0,1,MAX(0,IF(Inputs!$B$38="pvp",15,Inputs!$B$43)-MAX(5,B2731))/(IF(Inputs!$B$38="pvp",15,Inputs!$B$43)-(B2731))))*IF(AND(ArtifactsInput!$M$42,((Inputs!$B$9+((C2712=TRUE)*(F2712-Calc!F19))+B2724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2704*(MIN(100,(Inputs!$B$9+((C2712=TRUE)*(F2712-Calc!F19))+B2724+(ArtifactsInput!$M$24-ArtifactsInput!$M$24)*CHOOSE(ArtifactsInput!$N$24+1,10,12,14,16,18,20)+(IF(AND(Inputs!$B$38&lt;&gt;"pvp",Inputs!$B$43=0),1,IF(IF(Inputs!$B$38="pvp",15,Inputs!$B$43)-(B2731)&lt;=0,1,MAX(0,IF(Inputs!$B$38="pvp",15,Inputs!$B$43)-MAX(5,B2731))/(IF(Inputs!$B$38="pvp",15,Inputs!$B$43)-(B2731))))*IF(AND(ArtifactsInput!$M$42,((Inputs!$B$9+((C2712=TRUE)*(F2712-Calc!F19))+B2724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704">
        <f>IF(C2704,(H2704*N2704*IF(AND(Inputs!$B$38&lt;&gt;"pvp",Inputs!$B$43&gt;0),((Skills!G11*((R2704-1)*IF(Skills!H11&gt;0,INT(Skills!I11/Skills!H11+0.000000001),1)+IF(Skills!H11&gt;0,INT(MIN(Skills!I11,MAX(0,MAX(0,Inputs!$B$43-B2731)-((R2704-1)*((IF(Inputs!$B$38="pvp",15,MAX(0.1,Skills!D11-IF(TRUE=TRUE,Inputs!$B$32,0)))*(1-IF(AND(ArtifactsInput!$M$27,Inputs!$B$4="Chapter Hunt"),CHOOSE(ArtifactsInput!$N$27+1,20,24,28,32,36,40),0)/100))/B2735))))/Skills!H11+0.000000001),1)))/Inputs!$B$43),G2704*Q2704))*IF(Inputs!$B$38="pvp",1,(1+(Inputs!$B$21+Skills!Q11+(IF(ArtifactsInput!$M$33,CHOOSE(ArtifactsInput!$N$33+1,30,36,42,48,54,60),0))+(IF(AND(ArtifactsInput!$M$35,Inputs!$B$4&lt;&gt;"Chapter Hunt"),CHOOSE(ArtifactsInput!$N$35+1,15,18,21,24,27,30)*(1-EXP(-(0.2*B2726)*5)),0)+IF(AND(ArtifactsInput!$M$22,Inputs!$B$4&lt;&gt;"Chapter Hunt"),CHOOSE(ArtifactsInput!$N$22+1,10,12,14,16,18,20)*((0*(((0.15*B2726*5))^0/1)+1*(((0.15*B2726*5))^1/1)+2*(((0.15*B2726*5))^2/2)+3*(((0.15*B2726*5))^3/6)+4*(((0.15*B2726*5))^4/24)+5*(((0.15*B2726*5))^5/120))/((((0.15*B2726*5))^0/1)+(((0.15*B2726*5))^1/1)+(((0.15*B2726*5))^2/2)+(((0.15*B2726*5))^3/6)+(((0.15*B2726*5))^4/24)+(((0.15*B2726*5))^5/120))),0))+IF(Inputs!$B$3&gt;=54,9*(C2696=TRUE)*MIN(1,8*(1+Inputs!$B$34/100)*Q2696),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05">
      <c r="A2705">
        <f>Skills!A12</f>
        <v/>
      </c>
      <c r="B2705">
        <f>Skills!B12</f>
        <v/>
      </c>
      <c r="C2705">
        <f>Inputs!$B$3&gt;=110</f>
        <v/>
      </c>
      <c r="D2705">
        <f>IF(Skills!C12=1,60+Inputs!$B$25+Inputs!$B$29,IF(Skills!C12=2,90+Inputs!$B$26+Inputs!$B$29,IF(Skills!C12=3,120+Inputs!$B$27+Inputs!$B$29,MAX(0,(Inputs!$B$3-100)*3)+Inputs!$B$28+Inputs!$B$29)))</f>
        <v/>
      </c>
      <c r="E2705">
        <f>INDEX(FactorTable!$B$2:$Y$301, MATCH(ROUND(MIN(300,MAX(1,D2705)),0), FactorTable!$A$2:$A$301,0), Skills!M12+1)</f>
        <v/>
      </c>
      <c r="F2705">
        <f>IF(Skills!N12=TRUE,(Skills!L12/10)*(E2705/1000),Skills!L12/10)+Skills!O12</f>
        <v/>
      </c>
      <c r="G2705">
        <f>Skills!G12*IF(Skills!H12&gt;0,INT(IF(Inputs!$B$38="pvp",MIN(Skills!I12,15),Skills!I12)/Skills!H12+0.000000001),1)</f>
        <v/>
      </c>
      <c r="H2705">
        <f>1-(1-Skills!J12/100)^Skills!K12</f>
        <v/>
      </c>
      <c r="I2705" t="inlineStr">
        <is>
          <t>1</t>
        </is>
      </c>
      <c r="J2705">
        <f>((Inputs!$B$6*(1+Inputs!$B$7/100))+(((Inputs!$B$12*(1+Inputs!$B$13/100))-(Inputs!$B$12*(1+Inputs!$B$13/100)))+0.25*(Inputs!$B$14-Inputs!$B$14))*(1+Inputs!$B$7/100))*(F2705/100)</f>
        <v/>
      </c>
      <c r="K2705">
        <f>J2705*(1+((Inputs!$B$12*(1+Inputs!$B$13/100))*0.01+Inputs!$B$14*0.0025)/100)*(1+Inputs!$B$15/100)*(1+Inputs!$B$16/100)*(5000/(6000+Inputs!$B$42*(1-(100*(1-(1-(Inputs!$B$19+0)/100)*(1-CHOOSE(ArtifactsInput!$N$40+1,5,6,7,8,9,10)/100)^(ArtifactsInput!$M$40-ArtifactsInput!$M$40)))/100)))*(1+(Inputs!$B$24+((C2719=TRUE)*(F2719-Calc!F26))+B2730)/100)*(1+(((1+IF(AND(ArtifactsInput!$M$36,IF(Inputs!$B$38="pvp",TRUE,AND(Inputs!$B$38&lt;&gt;"pvp",Inputs!$B$43&gt;0))),CHOOSE(ArtifactsInput!$N$36+1,8,9.6,11.2,12.8,14.4,16),0)/100)*(1+IF(AND(ArtifactsInput!$M$32,Inputs!$B$4&lt;&gt;"Chapter Hunt"),CHOOSE(ArtifactsInput!$N$32+1,8,9.6,11.2,12.8,14.4,16),0)/100)*(1+IF(AND(IF(ArtifactsInput!$M$38,FALSE,TRUE),Inputs!$B$38&lt;&gt;"pvp",Inputs!$B$43&gt;0),CHOOSE(ArtifactsInput!$N$38+1,10,12,14,16,18,20)*(MIN(30,MAX(0,Inputs!$B$43-7))/Inputs!$B$43)*IF(Inputs!$B$4="Chapter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EIGHT_LEGS_EASTON",Inputs!$B$17+((C2716=TRUE)*(F2716-Calc!F23))+((C2720=TRUE)*(F2720-Calc!F27))+((IF(AND(Inputs!$B$38&lt;&gt;"pvp",Inputs!$B$43=0),1,IF(IF(Inputs!$B$38="pvp",15,Inputs!$B$43)-(B2731)&lt;=0,1,MAX(0,IF(Inputs!$B$38="pvp",15,Inputs!$B$43)-MAX(5,B2731))/(IF(Inputs!$B$38="pvp",15,Inputs!$B$43)-(B2731))))*(IF(AND(ArtifactsInput!$M$42,((Inputs!$B$9+((C2712=TRUE)*(F2712-Calc!F19))+B2724+(ArtifactsInput!$M$24-ArtifactsInput!$M$24)*CHOOSE(ArtifactsInput!$N$24+1,10,12,14,16,18,20)+IF(ArtifactsInput!$M$10,CHOOSE(ArtifactsInput!$N$10+1,15,18,21,24,27,30)*(IF(Inputs!$B$38="pvp",MIN(15,15)/15,IF(AND(Inputs!$B$38&lt;&gt;"pvp",Inputs!$B$43&gt;0),MIN(15,Inputs!$B$43)/(Inputs!$B$43),0))),0)))&gt;=100),MIN(100,((Inputs!$B$9+((C2712=TRUE)*(F2712-Calc!F19))+B2724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2731)&lt;=0,1,MAX(0,IF(Inputs!$B$38="pvp",15,Inputs!$B$43)-MAX(5,B2731))/(IF(Inputs!$B$38="pvp",15,Inputs!$B$43)-(B2731))))*IF(AND(ArtifactsInput!$M$42,((Inputs!$B$9+((C2712=TRUE)*(F2712-Calc!F19))+B2724+(ArtifactsInput!$M$24-ArtifactsInput!$M$24)*CHOOSE(ArtifactsInput!$N$24+1,10,12,14,16,18,20)+IF(ArtifactsInput!$M$10,CHOOSE(ArtifactsInput!$N$10+1,15,18,21,24,27,30)*(IF(Inputs!$B$38="pvp",MIN(15,15)/15,IF(AND(Inputs!$B$38&lt;&gt;"pvp",Inputs!$B$43&gt;0),MIN(15,Inputs!$B$43)/(Inputs!$B$43),0))),0)))&gt;=100),CHOOSE(ArtifactsInput!$N$42+1,40,48,56,64,72,80),0))))/100)*((1+(((C2710=TRUE)*F2710*5/7)+((C2717=TRUE)*(F2717-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2705)</f>
        <v/>
      </c>
      <c r="L2705">
        <f>K2705*(MIN(Inputs!$B$22+((C2715=TRUE)*(F2715-Calc!F22)),(Inputs!$B$23+0+(IF(ArtifactsInput!$M$15,CHOOSE(ArtifactsInput!$N$15+1,25,30,35,40,45,50)/100*(Inputs!$B$11-Inputs!$B$11),0))))/100+(Inputs!$B$23+0+(IF(ArtifactsInput!$M$15,CHOOSE(ArtifactsInput!$N$15+1,25,30,35,40,45,50)/100*(Inputs!$B$11-Inputs!$B$11),0)))/100)/2</f>
        <v/>
      </c>
      <c r="M2705">
        <f>L2705*(1+(Inputs!$B$10+((C2718=TRUE)*(F2718-Calc!F25))+B2729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05">
        <f>L2705*(1-MIN((Inputs!$B$9+((C2712=TRUE)*(F2712-Calc!F19))+B2724+(ArtifactsInput!$M$24-ArtifactsInput!$M$24)*CHOOSE(ArtifactsInput!$N$24+1,10,12,14,16,18,20)+(IF(AND(Inputs!$B$38&lt;&gt;"pvp",Inputs!$B$43=0),1,IF(IF(Inputs!$B$38="pvp",15,Inputs!$B$43)-(B2731)&lt;=0,1,MAX(0,IF(Inputs!$B$38="pvp",15,Inputs!$B$43)-MAX(5,B2731))/(IF(Inputs!$B$38="pvp",15,Inputs!$B$43)-(B2731))))*IF(AND(ArtifactsInput!$M$42,((Inputs!$B$9+((C2712=TRUE)*(F2712-Calc!F19))+B2724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2705*(MIN((Inputs!$B$9+((C2712=TRUE)*(F2712-Calc!F19))+B2724+(ArtifactsInput!$M$24-ArtifactsInput!$M$24)*CHOOSE(ArtifactsInput!$N$24+1,10,12,14,16,18,20)+(IF(AND(Inputs!$B$38&lt;&gt;"pvp",Inputs!$B$43=0),1,IF(IF(Inputs!$B$38="pvp",15,Inputs!$B$43)-(B2731)&lt;=0,1,MAX(0,IF(Inputs!$B$38="pvp",15,Inputs!$B$43)-MAX(5,B2731))/(IF(Inputs!$B$38="pvp",15,Inputs!$B$43)-(B2731))))*IF(AND(ArtifactsInput!$M$42,((Inputs!$B$9+((C2712=TRUE)*(F2712-Calc!F19))+B2724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05">
        <f>(1-Summary!$B$11)*T2705+Summary!$B$11*V2705</f>
        <v/>
      </c>
      <c r="P2705">
        <f>IF(B2734=0,0,O2705/B2734)</f>
        <v/>
      </c>
      <c r="Q2705">
        <f>IFERROR(1/(IF(Inputs!$B$38="pvp",15,MAX(0.1,Skills!D12-IF(TRUE=TRUE,Inputs!$B$32,0)))*(1-IF(AND(ArtifactsInput!$M$27,Inputs!$B$4="Chapter Hunt"),CHOOSE(ArtifactsInput!$N$27+1,20,24,28,32,36,40),0)/100)),0)</f>
        <v/>
      </c>
      <c r="R2705">
        <f>IF(AND(Inputs!$B$38&lt;&gt;"pvp",Inputs!$B$43&gt;0),IF(MAX(0,Inputs!$B$43-B2731)&lt;=0,0,(INT(MAX(0,Inputs!$B$43-B2731)/(IF(Inputs!$B$38="pvp",15,MAX(0.1,Skills!D12-IF(TRUE=TRUE,Inputs!$B$32,0)))*(1-IF(AND(ArtifactsInput!$M$27,Inputs!$B$4="Chapter Hunt"),CHOOSE(ArtifactsInput!$N$27+1,20,24,28,32,36,40),0)/100)))+1)),0)</f>
        <v/>
      </c>
      <c r="S2705">
        <f>IFERROR(O2705/N2705,0)</f>
        <v/>
      </c>
      <c r="T2705">
        <f>IF(C2705,(H2705*N2705*IF(AND(Inputs!$B$38&lt;&gt;"pvp",Inputs!$B$43&gt;0),((Skills!G12*((R2705-1)*IF(Skills!H12&gt;0,INT(Skills!I12/Skills!H12+0.000000001),1)+IF(Skills!H12&gt;0,INT(MIN(Skills!I12,MAX(0,MAX(0,Inputs!$B$43-B2731)-((R2705-1)*(IF(Inputs!$B$38="pvp",15,MAX(0.1,Skills!D12-IF(TRUE=TRUE,Inputs!$B$32,0)))*(1-IF(AND(ArtifactsInput!$M$27,Inputs!$B$4="Chapter Hunt"),CHOOSE(ArtifactsInput!$N$27+1,20,24,28,32,36,40),0)/100)))))/Skills!H12+0.000000001),1)))/Inputs!$B$43),G2705*Q2705))*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Hunt"),CHOOSE(ArtifactsInput!$N$35+1,15,18,21,24,27,30)*(1-EXP(-(0.2*B2726)*5)),0)+IF(AND(ArtifactsInput!$M$22,Inputs!$B$4&lt;&gt;"Chapter Hunt"),CHOOSE(ArtifactsInput!$N$22+1,10,12,14,16,18,20)*((0*(((0.15*B2726*5))^0/1)+1*(((0.15*B2726*5))^1/1)+2*(((0.15*B2726*5))^2/2)+3*(((0.15*B2726*5))^3/6)+4*(((0.15*B2726*5))^4/24)+5*(((0.15*B2726*5))^5/120))/((((0.15*B2726*5))^0/1)+(((0.15*B2726*5))^1/1)+(((0.15*B2726*5))^2/2)+(((0.15*B2726*5))^3/6)+(((0.15*B2726*5))^4/24)+(((0.15*B2726*5))^5/120))),0))+IF(Inputs!$B$3&gt;=54,9*(C2696=TRUE)*MIN(1,8*(1+Inputs!$B$34/100)*Q2696)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2705*(1-MIN(100,(Inputs!$B$9+((C2712=TRUE)*(F2712-Calc!F19))+B2724+(ArtifactsInput!$M$24-ArtifactsInput!$M$24)*CHOOSE(ArtifactsInput!$N$24+1,10,12,14,16,18,20)+(IF(AND(Inputs!$B$38&lt;&gt;"pvp",Inputs!$B$43=0),1,IF(IF(Inputs!$B$38="pvp",15,Inputs!$B$43)-(B2731)&lt;=0,1,MAX(0,IF(Inputs!$B$38="pvp",15,Inputs!$B$43)-MAX(5,B2731))/(IF(Inputs!$B$38="pvp",15,Inputs!$B$43)-(B2731))))*IF(AND(ArtifactsInput!$M$42,((Inputs!$B$9+((C2712=TRUE)*(F2712-Calc!F19))+B2724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2705*(MIN(100,(Inputs!$B$9+((C2712=TRUE)*(F2712-Calc!F19))+B2724+(ArtifactsInput!$M$24-ArtifactsInput!$M$24)*CHOOSE(ArtifactsInput!$N$24+1,10,12,14,16,18,20)+(IF(AND(Inputs!$B$38&lt;&gt;"pvp",Inputs!$B$43=0),1,IF(IF(Inputs!$B$38="pvp",15,Inputs!$B$43)-(B2731)&lt;=0,1,MAX(0,IF(Inputs!$B$38="pvp",15,Inputs!$B$43)-MAX(5,B2731))/(IF(Inputs!$B$38="pvp",15,Inputs!$B$43)-(B2731))))*IF(AND(ArtifactsInput!$M$42,((Inputs!$B$9+((C2712=TRUE)*(F2712-Calc!F19))+B2724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2705*(1-MIN(100,(Inputs!$B$9+((C2712=TRUE)*(F2712-Calc!F19))+B2724+(ArtifactsInput!$M$24-ArtifactsInput!$M$24)*CHOOSE(ArtifactsInput!$N$24+1,10,12,14,16,18,20)+(IF(AND(Inputs!$B$38&lt;&gt;"pvp",Inputs!$B$43=0),1,IF(IF(Inputs!$B$38="pvp",15,Inputs!$B$43)-(B2731)&lt;=0,1,MAX(0,IF(Inputs!$B$38="pvp",15,Inputs!$B$43)-MAX(5,B2731))/(IF(Inputs!$B$38="pvp",15,Inputs!$B$43)-(B2731))))*IF(AND(ArtifactsInput!$M$42,((Inputs!$B$9+((C2712=TRUE)*(F2712-Calc!F19))+B2724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2705*(MIN(100,(Inputs!$B$9+((C2712=TRUE)*(F2712-Calc!F19))+B2724+(ArtifactsInput!$M$24-ArtifactsInput!$M$24)*CHOOSE(ArtifactsInput!$N$24+1,10,12,14,16,18,20)+(IF(AND(Inputs!$B$38&lt;&gt;"pvp",Inputs!$B$43=0),1,IF(IF(Inputs!$B$38="pvp",15,Inputs!$B$43)-(B2731)&lt;=0,1,MAX(0,IF(Inputs!$B$38="pvp",15,Inputs!$B$43)-MAX(5,B2731))/(IF(Inputs!$B$38="pvp",15,Inputs!$B$43)-(B2731))))*IF(AND(ArtifactsInput!$M$42,((Inputs!$B$9+((C2712=TRUE)*(F2712-Calc!F19))+B2724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705">
        <f>IF(C2705,(H2705*N2705*IF(AND(Inputs!$B$38&lt;&gt;"pvp",Inputs!$B$43&gt;0),((Skills!G12*((R2705-1)*IF(Skills!H12&gt;0,INT(Skills!I12/Skills!H12+0.000000001),1)+IF(Skills!H12&gt;0,INT(MIN(Skills!I12,MAX(0,MAX(0,Inputs!$B$43-B2731)-((R2705-1)*(IF(Inputs!$B$38="pvp",15,MAX(0.1,Skills!D12-IF(TRUE=TRUE,Inputs!$B$32,0)))*(1-IF(AND(ArtifactsInput!$M$27,Inputs!$B$4="Chapter Hunt"),CHOOSE(ArtifactsInput!$N$27+1,20,24,28,32,36,40),0)/100)))))/Skills!H12+0.000000001),1)))/Inputs!$B$43),G2705*Q2705))*IF(Inputs!$B$38="pvp",1,(1+(Inputs!$B$21+Skills!Q12+(IF(ArtifactsInput!$M$33,CHOOSE(ArtifactsInput!$N$33+1,30,36,42,48,54,60),0))+(IF(AND(ArtifactsInput!$M$35,Inputs!$B$4&lt;&gt;"Chapter Hunt"),CHOOSE(ArtifactsInput!$N$35+1,15,18,21,24,27,30)*(1-EXP(-(0.2*B2726)*5)),0)+IF(AND(ArtifactsInput!$M$22,Inputs!$B$4&lt;&gt;"Chapter Hunt"),CHOOSE(ArtifactsInput!$N$22+1,10,12,14,16,18,20)*((0*(((0.15*B2726*5))^0/1)+1*(((0.15*B2726*5))^1/1)+2*(((0.15*B2726*5))^2/2)+3*(((0.15*B2726*5))^3/6)+4*(((0.15*B2726*5))^4/24)+5*(((0.15*B2726*5))^5/120))/((((0.15*B2726*5))^0/1)+(((0.15*B2726*5))^1/1)+(((0.15*B2726*5))^2/2)+(((0.15*B2726*5))^3/6)+(((0.15*B2726*5))^4/24)+(((0.15*B2726*5))^5/120))),0))+IF(Inputs!$B$3&gt;=54,9*(C2696=TRUE)*MIN(1,8*(1+Inputs!$B$34/100)*Q2696),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06">
      <c r="A2706">
        <f>Skills!A13</f>
        <v/>
      </c>
      <c r="B2706">
        <f>Skills!B13</f>
        <v/>
      </c>
      <c r="C2706">
        <f>Inputs!$B$3&gt;=110</f>
        <v/>
      </c>
      <c r="D2706">
        <f>IF(Skills!C13=1,60+Inputs!$B$25+Inputs!$B$29,IF(Skills!C13=2,90+Inputs!$B$26+Inputs!$B$29,IF(Skills!C13=3,120+Inputs!$B$27+Inputs!$B$29,MAX(0,(Inputs!$B$3-100)*3)+Inputs!$B$28+Inputs!$B$29)))</f>
        <v/>
      </c>
      <c r="E2706">
        <f>INDEX(FactorTable!$B$2:$Y$301, MATCH(ROUND(MIN(300,MAX(1,D2706)),0), FactorTable!$A$2:$A$301,0), Skills!M13+1)</f>
        <v/>
      </c>
      <c r="F2706">
        <f>IF(Skills!N13=TRUE,(Skills!L13/10)*(E2706/1000),Skills!L13/10)+Skills!O13</f>
        <v/>
      </c>
      <c r="G2706">
        <f>Skills!G13*IF(Skills!H13&gt;0,INT(IF(Inputs!$B$38="pvp",MIN(Skills!I13,15),Skills!I13)/Skills!H13+0.000000001),1)</f>
        <v/>
      </c>
      <c r="H2706">
        <f>1-(1-Skills!J13/100)^Skills!K13</f>
        <v/>
      </c>
      <c r="I2706" t="inlineStr">
        <is>
          <t>1</t>
        </is>
      </c>
      <c r="J2706">
        <f>((Inputs!$B$6*(1+Inputs!$B$7/100))+(((Inputs!$B$12*(1+Inputs!$B$13/100))-(Inputs!$B$12*(1+Inputs!$B$13/100)))+0.25*(Inputs!$B$14-Inputs!$B$14))*(1+Inputs!$B$7/100))*(F2706/100)</f>
        <v/>
      </c>
      <c r="K2706">
        <f>J2706*(1+((Inputs!$B$12*(1+Inputs!$B$13/100))*0.01+Inputs!$B$14*0.0025)/100)*(1+Inputs!$B$15/100)*(1+Inputs!$B$16/100)*(5000/(6000+Inputs!$B$42*(1-(100*(1-(1-(Inputs!$B$19+0)/100)*(1-CHOOSE(ArtifactsInput!$N$40+1,5,6,7,8,9,10)/100)^(ArtifactsInput!$M$40-ArtifactsInput!$M$40)))/100)))*(1+(Inputs!$B$24+((C2719=TRUE)*(F2719-Calc!F26))+B2730)/100)*(1+(((1+IF(AND(ArtifactsInput!$M$36,IF(Inputs!$B$38="pvp",TRUE,AND(Inputs!$B$38&lt;&gt;"pvp",Inputs!$B$43&gt;0))),CHOOSE(ArtifactsInput!$N$36+1,8,9.6,11.2,12.8,14.4,16),0)/100)*(1+IF(AND(ArtifactsInput!$M$32,Inputs!$B$4&lt;&gt;"Chapter Hunt"),CHOOSE(ArtifactsInput!$N$32+1,8,9.6,11.2,12.8,14.4,16),0)/100)*(1+IF(AND(IF(ArtifactsInput!$M$38,FALSE,TRUE),Inputs!$B$38&lt;&gt;"pvp",Inputs!$B$43&gt;0),CHOOSE(ArtifactsInput!$N$38+1,10,12,14,16,18,20)*(MIN(30,MAX(0,Inputs!$B$43-7))/Inputs!$B$43)*IF(Inputs!$B$4="Chapter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EIGHT_LEGS_EASTON",Inputs!$B$17+((C2716=TRUE)*(F2716-Calc!F23))+((C2720=TRUE)*(F2720-Calc!F27))+((IF(AND(Inputs!$B$38&lt;&gt;"pvp",Inputs!$B$43=0),1,IF(IF(Inputs!$B$38="pvp",15,Inputs!$B$43)-(B2731)&lt;=0,1,MAX(0,IF(Inputs!$B$38="pvp",15,Inputs!$B$43)-MAX(5,B2731))/(IF(Inputs!$B$38="pvp",15,Inputs!$B$43)-(B2731))))*(IF(AND(ArtifactsInput!$M$42,((Inputs!$B$9+((C2712=TRUE)*(F2712-Calc!F19))+B2724+(ArtifactsInput!$M$24-ArtifactsInput!$M$24)*CHOOSE(ArtifactsInput!$N$24+1,10,12,14,16,18,20)+IF(ArtifactsInput!$M$10,CHOOSE(ArtifactsInput!$N$10+1,15,18,21,24,27,30)*(IF(Inputs!$B$38="pvp",MIN(15,15)/15,IF(AND(Inputs!$B$38&lt;&gt;"pvp",Inputs!$B$43&gt;0),MIN(15,Inputs!$B$43)/(Inputs!$B$43),0))),0)))&gt;=100),MIN(100,((Inputs!$B$9+((C2712=TRUE)*(F2712-Calc!F19))+B2724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2731)&lt;=0,1,MAX(0,IF(Inputs!$B$38="pvp",15,Inputs!$B$43)-MAX(5,B2731))/(IF(Inputs!$B$38="pvp",15,Inputs!$B$43)-(B2731))))*IF(AND(ArtifactsInput!$M$42,((Inputs!$B$9+((C2712=TRUE)*(F2712-Calc!F19))+B2724+(ArtifactsInput!$M$24-ArtifactsInput!$M$24)*CHOOSE(ArtifactsInput!$N$24+1,10,12,14,16,18,20)+IF(ArtifactsInput!$M$10,CHOOSE(ArtifactsInput!$N$10+1,15,18,21,24,27,30)*(IF(Inputs!$B$38="pvp",MIN(15,15)/15,IF(AND(Inputs!$B$38&lt;&gt;"pvp",Inputs!$B$43&gt;0),MIN(15,Inputs!$B$43)/(Inputs!$B$43),0))),0)))&gt;=100),CHOOSE(ArtifactsInput!$N$42+1,40,48,56,64,72,80),0))))/100)*((1+(((C2710=TRUE)*F2710*5/7)+((C2717=TRUE)*(F2717-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2706)</f>
        <v/>
      </c>
      <c r="L2706">
        <f>K2706*(MIN(Inputs!$B$22+((C2715=TRUE)*(F2715-Calc!F22)),(Inputs!$B$23+0+(IF(ArtifactsInput!$M$15,CHOOSE(ArtifactsInput!$N$15+1,25,30,35,40,45,50)/100*(Inputs!$B$11-Inputs!$B$11),0))))/100+(Inputs!$B$23+0+(IF(ArtifactsInput!$M$15,CHOOSE(ArtifactsInput!$N$15+1,25,30,35,40,45,50)/100*(Inputs!$B$11-Inputs!$B$11),0)))/100)/2</f>
        <v/>
      </c>
      <c r="M2706">
        <f>L2706*(1+(Inputs!$B$10+((C2718=TRUE)*(F2718-Calc!F25))+B2729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06">
        <f>L2706*(1-MIN((Inputs!$B$9+((C2712=TRUE)*(F2712-Calc!F19))+B2724+(ArtifactsInput!$M$24-ArtifactsInput!$M$24)*CHOOSE(ArtifactsInput!$N$24+1,10,12,14,16,18,20)+(IF(AND(Inputs!$B$38&lt;&gt;"pvp",Inputs!$B$43=0),1,IF(IF(Inputs!$B$38="pvp",15,Inputs!$B$43)-(B2731)&lt;=0,1,MAX(0,IF(Inputs!$B$38="pvp",15,Inputs!$B$43)-MAX(5,B2731))/(IF(Inputs!$B$38="pvp",15,Inputs!$B$43)-(B2731))))*IF(AND(ArtifactsInput!$M$42,((Inputs!$B$9+((C2712=TRUE)*(F2712-Calc!F19))+B2724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2706*(MIN((Inputs!$B$9+((C2712=TRUE)*(F2712-Calc!F19))+B2724+(ArtifactsInput!$M$24-ArtifactsInput!$M$24)*CHOOSE(ArtifactsInput!$N$24+1,10,12,14,16,18,20)+(IF(AND(Inputs!$B$38&lt;&gt;"pvp",Inputs!$B$43=0),1,IF(IF(Inputs!$B$38="pvp",15,Inputs!$B$43)-(B2731)&lt;=0,1,MAX(0,IF(Inputs!$B$38="pvp",15,Inputs!$B$43)-MAX(5,B2731))/(IF(Inputs!$B$38="pvp",15,Inputs!$B$43)-(B2731))))*IF(AND(ArtifactsInput!$M$42,((Inputs!$B$9+((C2712=TRUE)*(F2712-Calc!F19))+B2724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06">
        <f>(1-Summary!$B$11)*T2706+Summary!$B$11*V2706</f>
        <v/>
      </c>
      <c r="P2706">
        <f>IF(B2734=0,0,O2706/B2734)</f>
        <v/>
      </c>
      <c r="Q2706">
        <f>IFERROR(1/(IF(Inputs!$B$38="pvp",15,MAX(0.1,Skills!D13-IF(TRUE=TRUE,Inputs!$B$32,0)))*(1-IF(AND(ArtifactsInput!$M$27,Inputs!$B$4="Chapter Hunt"),CHOOSE(ArtifactsInput!$N$27+1,20,24,28,32,36,40),0)/100)),0)</f>
        <v/>
      </c>
      <c r="R2706">
        <f>IF(AND(Inputs!$B$38&lt;&gt;"pvp",Inputs!$B$43&gt;0),IF(MAX(0,Inputs!$B$43-B2731)&lt;=0,0,(INT(MAX(0,Inputs!$B$43-B2731)/(IF(Inputs!$B$38="pvp",15,MAX(0.1,Skills!D13-IF(TRUE=TRUE,Inputs!$B$32,0)))*(1-IF(AND(ArtifactsInput!$M$27,Inputs!$B$4="Chapter Hunt"),CHOOSE(ArtifactsInput!$N$27+1,20,24,28,32,36,40),0)/100)))+1)),0)</f>
        <v/>
      </c>
      <c r="S2706">
        <f>IFERROR(O2706/N2706,0)</f>
        <v/>
      </c>
      <c r="T2706">
        <f>IF(C2706,(H2706*N2706*IF(AND(Inputs!$B$38&lt;&gt;"pvp",Inputs!$B$43&gt;0),((Skills!G13*((R2706-1)*IF(Skills!H13&gt;0,INT(Skills!I13/Skills!H13+0.000000001),1)+IF(Skills!H13&gt;0,INT(MIN(Skills!I13,MAX(0,MAX(0,Inputs!$B$43-B2731)-((R2706-1)*(IF(Inputs!$B$38="pvp",15,MAX(0.1,Skills!D13-IF(TRUE=TRUE,Inputs!$B$32,0)))*(1-IF(AND(ArtifactsInput!$M$27,Inputs!$B$4="Chapter Hunt"),CHOOSE(ArtifactsInput!$N$27+1,20,24,28,32,36,40),0)/100)))))/Skills!H13+0.000000001),1)))/Inputs!$B$43),G2706*Q2706))*IF(Inputs!$B$38="pvp",1,1+(Inputs!$B$20+0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Hunt"),CHOOSE(ArtifactsInput!$N$35+1,15,18,21,24,27,30)*(1-EXP(-(0.2*B2726)*5)),0)+IF(AND(ArtifactsInput!$M$22,Inputs!$B$4&lt;&gt;"Chapter Hunt"),CHOOSE(ArtifactsInput!$N$22+1,10,12,14,16,18,20)*((0*(((0.15*B2726*5))^0/1)+1*(((0.15*B2726*5))^1/1)+2*(((0.15*B2726*5))^2/2)+3*(((0.15*B2726*5))^3/6)+4*(((0.15*B2726*5))^4/24)+5*(((0.15*B2726*5))^5/120))/((((0.15*B2726*5))^0/1)+(((0.15*B2726*5))^1/1)+(((0.15*B2726*5))^2/2)+(((0.15*B2726*5))^3/6)+(((0.15*B2726*5))^4/24)+(((0.15*B2726*5))^5/120))),0))+IF(Inputs!$B$3&gt;=54,9*(C2696=TRUE)*MIN(1,8*(1+Inputs!$B$34/100)*Q2696)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2706*(1-MIN(100,(Inputs!$B$9+((C2712=TRUE)*(F2712-Calc!F19))+B2724+(ArtifactsInput!$M$24-ArtifactsInput!$M$24)*CHOOSE(ArtifactsInput!$N$24+1,10,12,14,16,18,20)+(IF(AND(Inputs!$B$38&lt;&gt;"pvp",Inputs!$B$43=0),1,IF(IF(Inputs!$B$38="pvp",15,Inputs!$B$43)-(B2731)&lt;=0,1,MAX(0,IF(Inputs!$B$38="pvp",15,Inputs!$B$43)-MAX(5,B2731))/(IF(Inputs!$B$38="pvp",15,Inputs!$B$43)-(B2731))))*IF(AND(ArtifactsInput!$M$42,((Inputs!$B$9+((C2712=TRUE)*(F2712-Calc!F19))+B2724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2706*(MIN(100,(Inputs!$B$9+((C2712=TRUE)*(F2712-Calc!F19))+B2724+(ArtifactsInput!$M$24-ArtifactsInput!$M$24)*CHOOSE(ArtifactsInput!$N$24+1,10,12,14,16,18,20)+(IF(AND(Inputs!$B$38&lt;&gt;"pvp",Inputs!$B$43=0),1,IF(IF(Inputs!$B$38="pvp",15,Inputs!$B$43)-(B2731)&lt;=0,1,MAX(0,IF(Inputs!$B$38="pvp",15,Inputs!$B$43)-MAX(5,B2731))/(IF(Inputs!$B$38="pvp",15,Inputs!$B$43)-(B2731))))*IF(AND(ArtifactsInput!$M$42,((Inputs!$B$9+((C2712=TRUE)*(F2712-Calc!F19))+B2724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2706*(1-MIN(100,(Inputs!$B$9+((C2712=TRUE)*(F2712-Calc!F19))+B2724+(ArtifactsInput!$M$24-ArtifactsInput!$M$24)*CHOOSE(ArtifactsInput!$N$24+1,10,12,14,16,18,20)+(IF(AND(Inputs!$B$38&lt;&gt;"pvp",Inputs!$B$43=0),1,IF(IF(Inputs!$B$38="pvp",15,Inputs!$B$43)-(B2731)&lt;=0,1,MAX(0,IF(Inputs!$B$38="pvp",15,Inputs!$B$43)-MAX(5,B2731))/(IF(Inputs!$B$38="pvp",15,Inputs!$B$43)-(B2731))))*IF(AND(ArtifactsInput!$M$42,((Inputs!$B$9+((C2712=TRUE)*(F2712-Calc!F19))+B2724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2706*(MIN(100,(Inputs!$B$9+((C2712=TRUE)*(F2712-Calc!F19))+B2724+(ArtifactsInput!$M$24-ArtifactsInput!$M$24)*CHOOSE(ArtifactsInput!$N$24+1,10,12,14,16,18,20)+(IF(AND(Inputs!$B$38&lt;&gt;"pvp",Inputs!$B$43=0),1,IF(IF(Inputs!$B$38="pvp",15,Inputs!$B$43)-(B2731)&lt;=0,1,MAX(0,IF(Inputs!$B$38="pvp",15,Inputs!$B$43)-MAX(5,B2731))/(IF(Inputs!$B$38="pvp",15,Inputs!$B$43)-(B2731))))*IF(AND(ArtifactsInput!$M$42,((Inputs!$B$9+((C2712=TRUE)*(F2712-Calc!F19))+B2724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706">
        <f>IF(C2706,(H2706*N2706*IF(AND(Inputs!$B$38&lt;&gt;"pvp",Inputs!$B$43&gt;0),((Skills!G13*((R2706-1)*IF(Skills!H13&gt;0,INT(Skills!I13/Skills!H13+0.000000001),1)+IF(Skills!H13&gt;0,INT(MIN(Skills!I13,MAX(0,MAX(0,Inputs!$B$43-B2731)-((R2706-1)*(IF(Inputs!$B$38="pvp",15,MAX(0.1,Skills!D13-IF(TRUE=TRUE,Inputs!$B$32,0)))*(1-IF(AND(ArtifactsInput!$M$27,Inputs!$B$4="Chapter Hunt"),CHOOSE(ArtifactsInput!$N$27+1,20,24,28,32,36,40),0)/100)))))/Skills!H13+0.000000001),1)))/Inputs!$B$43),G2706*Q2706))*IF(Inputs!$B$38="pvp",1,(1+(Inputs!$B$21+Skills!Q13+(IF(ArtifactsInput!$M$33,CHOOSE(ArtifactsInput!$N$33+1,30,36,42,48,54,60),0))+(IF(AND(ArtifactsInput!$M$35,Inputs!$B$4&lt;&gt;"Chapter Hunt"),CHOOSE(ArtifactsInput!$N$35+1,15,18,21,24,27,30)*(1-EXP(-(0.2*B2726)*5)),0)+IF(AND(ArtifactsInput!$M$22,Inputs!$B$4&lt;&gt;"Chapter Hunt"),CHOOSE(ArtifactsInput!$N$22+1,10,12,14,16,18,20)*((0*(((0.15*B2726*5))^0/1)+1*(((0.15*B2726*5))^1/1)+2*(((0.15*B2726*5))^2/2)+3*(((0.15*B2726*5))^3/6)+4*(((0.15*B2726*5))^4/24)+5*(((0.15*B2726*5))^5/120))/((((0.15*B2726*5))^0/1)+(((0.15*B2726*5))^1/1)+(((0.15*B2726*5))^2/2)+(((0.15*B2726*5))^3/6)+(((0.15*B2726*5))^4/24)+(((0.15*B2726*5))^5/120))),0))+IF(Inputs!$B$3&gt;=54,9*(C2696=TRUE)*MIN(1,8*(1+Inputs!$B$34/100)*Q2696),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07">
      <c r="A2707">
        <f>Skills!A14</f>
        <v/>
      </c>
      <c r="B2707">
        <f>Skills!B14</f>
        <v/>
      </c>
      <c r="C2707">
        <f>Inputs!$B$3&gt;=120</f>
        <v/>
      </c>
      <c r="D2707">
        <f>IF(Skills!C14=1,60+Inputs!$B$25+Inputs!$B$29,IF(Skills!C14=2,90+Inputs!$B$26+Inputs!$B$29,IF(Skills!C14=3,120+Inputs!$B$27+Inputs!$B$29,MAX(0,(Inputs!$B$3-100)*3)+Inputs!$B$28+Inputs!$B$29)))</f>
        <v/>
      </c>
      <c r="E2707">
        <f>INDEX(FactorTable!$B$2:$Y$301, MATCH(ROUND(MIN(300,MAX(1,D2707)),0), FactorTable!$A$2:$A$301,0), Skills!M14+1)</f>
        <v/>
      </c>
      <c r="F2707">
        <f>IF(Skills!N14=TRUE,(Skills!L14/10)*(E2707/1000),Skills!L14/10)+Skills!O14</f>
        <v/>
      </c>
      <c r="G2707">
        <f>Skills!G14*IF(Skills!H14&gt;0,INT(IF(Inputs!$B$38="pvp",MIN(Skills!I14,15),Skills!I14)/Skills!H14+0.000000001),1)</f>
        <v/>
      </c>
      <c r="H2707">
        <f>1-(1-Skills!J14/100)^Skills!K14</f>
        <v/>
      </c>
      <c r="I2707" t="inlineStr">
        <is>
          <t>1</t>
        </is>
      </c>
      <c r="J2707">
        <f>((Inputs!$B$6*(1+Inputs!$B$7/100))+(((Inputs!$B$12*(1+Inputs!$B$13/100))-(Inputs!$B$12*(1+Inputs!$B$13/100)))+0.25*(Inputs!$B$14-Inputs!$B$14))*(1+Inputs!$B$7/100))*(F2707/100)</f>
        <v/>
      </c>
      <c r="K2707">
        <f>J2707*(1+((Inputs!$B$12*(1+Inputs!$B$13/100))*0.01+Inputs!$B$14*0.0025)/100)*(1+Inputs!$B$15/100)*(1+Inputs!$B$16/100)*(5000/(6000+Inputs!$B$42*(1-(100*(1-(1-(Inputs!$B$19+0)/100)*(1-CHOOSE(ArtifactsInput!$N$40+1,5,6,7,8,9,10)/100)^(ArtifactsInput!$M$40-ArtifactsInput!$M$40)))/100)))*(1+(Inputs!$B$24+((C2719=TRUE)*(F2719-Calc!F26))+B2730)/100)*(1+(((1+IF(AND(ArtifactsInput!$M$36,IF(Inputs!$B$38="pvp",TRUE,AND(Inputs!$B$38&lt;&gt;"pvp",Inputs!$B$43&gt;0))),CHOOSE(ArtifactsInput!$N$36+1,8,9.6,11.2,12.8,14.4,16),0)/100)*(1+IF(AND(ArtifactsInput!$M$32,Inputs!$B$4&lt;&gt;"Chapter Hunt"),CHOOSE(ArtifactsInput!$N$32+1,8,9.6,11.2,12.8,14.4,16),0)/100)*(1+IF(AND(IF(ArtifactsInput!$M$38,FALSE,TRUE),Inputs!$B$38&lt;&gt;"pvp",Inputs!$B$43&gt;0),CHOOSE(ArtifactsInput!$N$38+1,10,12,14,16,18,20)*(MIN(30,MAX(0,Inputs!$B$43-7))/Inputs!$B$43)*IF(Inputs!$B$4="Chapter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EIGHT_LEGS_EASTON",Inputs!$B$17+((C2716=TRUE)*(F2716-Calc!F23))+((C2720=TRUE)*(F2720-Calc!F27))+((IF(AND(Inputs!$B$38&lt;&gt;"pvp",Inputs!$B$43=0),1,IF(IF(Inputs!$B$38="pvp",15,Inputs!$B$43)-(B2731)&lt;=0,1,MAX(0,IF(Inputs!$B$38="pvp",15,Inputs!$B$43)-MAX(5,B2731))/(IF(Inputs!$B$38="pvp",15,Inputs!$B$43)-(B2731))))*(IF(AND(ArtifactsInput!$M$42,((Inputs!$B$9+((C2712=TRUE)*(F2712-Calc!F19))+B2724+(ArtifactsInput!$M$24-ArtifactsInput!$M$24)*CHOOSE(ArtifactsInput!$N$24+1,10,12,14,16,18,20)+IF(ArtifactsInput!$M$10,CHOOSE(ArtifactsInput!$N$10+1,15,18,21,24,27,30)*(IF(Inputs!$B$38="pvp",MIN(15,15)/15,IF(AND(Inputs!$B$38&lt;&gt;"pvp",Inputs!$B$43&gt;0),MIN(15,Inputs!$B$43)/(Inputs!$B$43),0))),0)))&gt;=100),MIN(100,((Inputs!$B$9+((C2712=TRUE)*(F2712-Calc!F19))+B2724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2731)&lt;=0,1,MAX(0,IF(Inputs!$B$38="pvp",15,Inputs!$B$43)-MAX(5,B2731))/(IF(Inputs!$B$38="pvp",15,Inputs!$B$43)-(B2731))))*IF(AND(ArtifactsInput!$M$42,((Inputs!$B$9+((C2712=TRUE)*(F2712-Calc!F19))+B2724+(ArtifactsInput!$M$24-ArtifactsInput!$M$24)*CHOOSE(ArtifactsInput!$N$24+1,10,12,14,16,18,20)+IF(ArtifactsInput!$M$10,CHOOSE(ArtifactsInput!$N$10+1,15,18,21,24,27,30)*(IF(Inputs!$B$38="pvp",MIN(15,15)/15,IF(AND(Inputs!$B$38&lt;&gt;"pvp",Inputs!$B$43&gt;0),MIN(15,Inputs!$B$43)/(Inputs!$B$43),0))),0)))&gt;=100),CHOOSE(ArtifactsInput!$N$42+1,40,48,56,64,72,80),0))))/100)*((1+(((C2710=TRUE)*F2710*5/7)+((C2717=TRUE)*(F2717-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2707)</f>
        <v/>
      </c>
      <c r="L2707">
        <f>K2707*(MIN(Inputs!$B$22+((C2715=TRUE)*(F2715-Calc!F22)),(Inputs!$B$23+0+(IF(ArtifactsInput!$M$15,CHOOSE(ArtifactsInput!$N$15+1,25,30,35,40,45,50)/100*(Inputs!$B$11-Inputs!$B$11),0))))/100+(Inputs!$B$23+0+(IF(ArtifactsInput!$M$15,CHOOSE(ArtifactsInput!$N$15+1,25,30,35,40,45,50)/100*(Inputs!$B$11-Inputs!$B$11),0)))/100)/2</f>
        <v/>
      </c>
      <c r="M2707">
        <f>L2707*(1+(Inputs!$B$10+((C2718=TRUE)*(F2718-Calc!F25))+B2729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07">
        <f>L2707*(1-MIN((Inputs!$B$9+((C2712=TRUE)*(F2712-Calc!F19))+B2724+(ArtifactsInput!$M$24-ArtifactsInput!$M$24)*CHOOSE(ArtifactsInput!$N$24+1,10,12,14,16,18,20)+(IF(AND(Inputs!$B$38&lt;&gt;"pvp",Inputs!$B$43=0),1,IF(IF(Inputs!$B$38="pvp",15,Inputs!$B$43)-(B2731)&lt;=0,1,MAX(0,IF(Inputs!$B$38="pvp",15,Inputs!$B$43)-MAX(5,B2731))/(IF(Inputs!$B$38="pvp",15,Inputs!$B$43)-(B2731))))*IF(AND(ArtifactsInput!$M$42,((Inputs!$B$9+((C2712=TRUE)*(F2712-Calc!F19))+B2724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2707*(MIN((Inputs!$B$9+((C2712=TRUE)*(F2712-Calc!F19))+B2724+(ArtifactsInput!$M$24-ArtifactsInput!$M$24)*CHOOSE(ArtifactsInput!$N$24+1,10,12,14,16,18,20)+(IF(AND(Inputs!$B$38&lt;&gt;"pvp",Inputs!$B$43=0),1,IF(IF(Inputs!$B$38="pvp",15,Inputs!$B$43)-(B2731)&lt;=0,1,MAX(0,IF(Inputs!$B$38="pvp",15,Inputs!$B$43)-MAX(5,B2731))/(IF(Inputs!$B$38="pvp",15,Inputs!$B$43)-(B2731))))*IF(AND(ArtifactsInput!$M$42,((Inputs!$B$9+((C2712=TRUE)*(F2712-Calc!F19))+B2724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07">
        <f>(1-Summary!$B$11)*T2707+Summary!$B$11*V2707</f>
        <v/>
      </c>
      <c r="P2707">
        <f>IF(B2734=0,0,O2707/B2734)</f>
        <v/>
      </c>
      <c r="Q2707" t="n">
        <v>0</v>
      </c>
      <c r="R2707" t="n">
        <v>0</v>
      </c>
      <c r="S2707">
        <f>IFERROR(O2707/N2707,0)</f>
        <v/>
      </c>
      <c r="T2707">
        <f>IF(C2707,((H2707*(B2728+IF(AND(Inputs!$B$38&lt;&gt;"pvp",Inputs!$B$43&gt;0),((Skills!G8*((R2701-1)*IF(Skills!H8&gt;0,INT(Skills!I8/Skills!H8+0.000000001),1)+IF(Skills!H8&gt;0,INT(MIN(Skills!I8,MAX(0,MAX(0,Inputs!$B$43-B2731)-((R2701-1)*((IF(Inputs!$B$38="pvp",15,MAX(0.1,Skills!D8-IF(TRUE=TRUE,Inputs!$B$32,0)))*(1-IF(AND(ArtifactsInput!$M$27,Inputs!$B$4="Chapter Hunt"),CHOOSE(ArtifactsInput!$N$27+1,20,24,28,32,36,40),0)/100))/B2735))))/Skills!H8+0.000000001),1)))/Inputs!$B$43),G2701*Q2701)+IF(AND(Inputs!$B$38&lt;&gt;"pvp",Inputs!$B$43&gt;0),((Skills!G11*((R2704-1)*IF(Skills!H11&gt;0,INT(Skills!I11/Skills!H11+0.000000001),1)+IF(Skills!H11&gt;0,INT(MIN(Skills!I11,MAX(0,MAX(0,Inputs!$B$43-B2731)-((R2704-1)*((IF(Inputs!$B$38="pvp",15,MAX(0.1,Skills!D11-IF(TRUE=TRUE,Inputs!$B$32,0)))*(1-IF(AND(ArtifactsInput!$M$27,Inputs!$B$4="Chapter Hunt"),CHOOSE(ArtifactsInput!$N$27+1,20,24,28,32,36,40),0)/100))/B2735))))/Skills!H11+0.000000001),1)))/Inputs!$B$43),G2704*Q2704)))/(1+Skills!H14*H2707*(B2728+IF(AND(Inputs!$B$38&lt;&gt;"pvp",Inputs!$B$43&gt;0),((Skills!G8*((R2701-1)*IF(Skills!H8&gt;0,INT(Skills!I8/Skills!H8+0.000000001),1)+IF(Skills!H8&gt;0,INT(MIN(Skills!I8,MAX(0,MAX(0,Inputs!$B$43-B2731)-((R2701-1)*((IF(Inputs!$B$38="pvp",15,MAX(0.1,Skills!D8-IF(TRUE=TRUE,Inputs!$B$32,0)))*(1-IF(AND(ArtifactsInput!$M$27,Inputs!$B$4="Chapter Hunt"),CHOOSE(ArtifactsInput!$N$27+1,20,24,28,32,36,40),0)/100))/B2735))))/Skills!H8+0.000000001),1)))/Inputs!$B$43),G2701*Q2701)+IF(AND(Inputs!$B$38&lt;&gt;"pvp",Inputs!$B$43&gt;0),((Skills!G11*((R2704-1)*IF(Skills!H11&gt;0,INT(Skills!I11/Skills!H11+0.000000001),1)+IF(Skills!H11&gt;0,INT(MIN(Skills!I11,MAX(0,MAX(0,Inputs!$B$43-B2731)-((R2704-1)*((IF(Inputs!$B$38="pvp",15,MAX(0.1,Skills!D11-IF(TRUE=TRUE,Inputs!$B$32,0)))*(1-IF(AND(ArtifactsInput!$M$27,Inputs!$B$4="Chapter Hunt"),CHOOSE(ArtifactsInput!$N$27+1,20,24,28,32,36,40),0)/100))/B2735))))/Skills!H11+0.000000001),1)))/Inputs!$B$43),G2704*Q2704)))*N2707)*IF(Inputs!$B$38="pvp",1,1+(Inputs!$B$20+0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Hunt"),CHOOSE(ArtifactsInput!$N$35+1,15,18,21,24,27,30)*(1-EXP(-(0.2*B2726)*5)),0)+IF(AND(ArtifactsInput!$M$22,Inputs!$B$4&lt;&gt;"Chapter Hunt"),CHOOSE(ArtifactsInput!$N$22+1,10,12,14,16,18,20)*((0*(((0.15*B2726*5))^0/1)+1*(((0.15*B2726*5))^1/1)+2*(((0.15*B2726*5))^2/2)+3*(((0.15*B2726*5))^3/6)+4*(((0.15*B2726*5))^4/24)+5*(((0.15*B2726*5))^5/120))/((((0.15*B2726*5))^0/1)+(((0.15*B2726*5))^1/1)+(((0.15*B2726*5))^2/2)+(((0.15*B2726*5))^3/6)+(((0.15*B2726*5))^4/24)+(((0.15*B2726*5))^5/120))),0))+IF(Inputs!$B$3&gt;=54,9*(C2696=TRUE)*MIN(1,8*(1+Inputs!$B$34/100)*Q2696)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2707*(1-MIN(100,(Inputs!$B$9+((C2712=TRUE)*(F2712-Calc!F19))+B2724+(ArtifactsInput!$M$24-ArtifactsInput!$M$24)*CHOOSE(ArtifactsInput!$N$24+1,10,12,14,16,18,20)+(IF(AND(Inputs!$B$38&lt;&gt;"pvp",Inputs!$B$43=0),1,IF(IF(Inputs!$B$38="pvp",15,Inputs!$B$43)-(B2731)&lt;=0,1,MAX(0,IF(Inputs!$B$38="pvp",15,Inputs!$B$43)-MAX(5,B2731))/(IF(Inputs!$B$38="pvp",15,Inputs!$B$43)-(B2731))))*IF(AND(ArtifactsInput!$M$42,((Inputs!$B$9+((C2712=TRUE)*(F2712-Calc!F19))+B2724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2707*(MIN(100,(Inputs!$B$9+((C2712=TRUE)*(F2712-Calc!F19))+B2724+(ArtifactsInput!$M$24-ArtifactsInput!$M$24)*CHOOSE(ArtifactsInput!$N$24+1,10,12,14,16,18,20)+(IF(AND(Inputs!$B$38&lt;&gt;"pvp",Inputs!$B$43=0),1,IF(IF(Inputs!$B$38="pvp",15,Inputs!$B$43)-(B2731)&lt;=0,1,MAX(0,IF(Inputs!$B$38="pvp",15,Inputs!$B$43)-MAX(5,B2731))/(IF(Inputs!$B$38="pvp",15,Inputs!$B$43)-(B2731))))*IF(AND(ArtifactsInput!$M$42,((Inputs!$B$9+((C2712=TRUE)*(F2712-Calc!F19))+B2724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2707*(1-MIN(100,(Inputs!$B$9+((C2712=TRUE)*(F2712-Calc!F19))+B2724+(ArtifactsInput!$M$24-ArtifactsInput!$M$24)*CHOOSE(ArtifactsInput!$N$24+1,10,12,14,16,18,20)+(IF(AND(Inputs!$B$38&lt;&gt;"pvp",Inputs!$B$43=0),1,IF(IF(Inputs!$B$38="pvp",15,Inputs!$B$43)-(B2731)&lt;=0,1,MAX(0,IF(Inputs!$B$38="pvp",15,Inputs!$B$43)-MAX(5,B2731))/(IF(Inputs!$B$38="pvp",15,Inputs!$B$43)-(B2731))))*IF(AND(ArtifactsInput!$M$42,((Inputs!$B$9+((C2712=TRUE)*(F2712-Calc!F19))+B2724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2707*(MIN(100,(Inputs!$B$9+((C2712=TRUE)*(F2712-Calc!F19))+B2724+(ArtifactsInput!$M$24-ArtifactsInput!$M$24)*CHOOSE(ArtifactsInput!$N$24+1,10,12,14,16,18,20)+(IF(AND(Inputs!$B$38&lt;&gt;"pvp",Inputs!$B$43=0),1,IF(IF(Inputs!$B$38="pvp",15,Inputs!$B$43)-(B2731)&lt;=0,1,MAX(0,IF(Inputs!$B$38="pvp",15,Inputs!$B$43)-MAX(5,B2731))/(IF(Inputs!$B$38="pvp",15,Inputs!$B$43)-(B2731))))*IF(AND(ArtifactsInput!$M$42,((Inputs!$B$9+((C2712=TRUE)*(F2712-Calc!F19))+B2724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707">
        <f>IF(C2707,((H2707*(B2728+IF(AND(Inputs!$B$38&lt;&gt;"pvp",Inputs!$B$43&gt;0),((Skills!G8*((R2701-1)*IF(Skills!H8&gt;0,INT(Skills!I8/Skills!H8+0.000000001),1)+IF(Skills!H8&gt;0,INT(MIN(Skills!I8,MAX(0,MAX(0,Inputs!$B$43-B2731)-((R2701-1)*((IF(Inputs!$B$38="pvp",15,MAX(0.1,Skills!D8-IF(TRUE=TRUE,Inputs!$B$32,0)))*(1-IF(AND(ArtifactsInput!$M$27,Inputs!$B$4="Chapter Hunt"),CHOOSE(ArtifactsInput!$N$27+1,20,24,28,32,36,40),0)/100))/B2735))))/Skills!H8+0.000000001),1)))/Inputs!$B$43),G2701*Q2701)+IF(AND(Inputs!$B$38&lt;&gt;"pvp",Inputs!$B$43&gt;0),((Skills!G11*((R2704-1)*IF(Skills!H11&gt;0,INT(Skills!I11/Skills!H11+0.000000001),1)+IF(Skills!H11&gt;0,INT(MIN(Skills!I11,MAX(0,MAX(0,Inputs!$B$43-B2731)-((R2704-1)*((IF(Inputs!$B$38="pvp",15,MAX(0.1,Skills!D11-IF(TRUE=TRUE,Inputs!$B$32,0)))*(1-IF(AND(ArtifactsInput!$M$27,Inputs!$B$4="Chapter Hunt"),CHOOSE(ArtifactsInput!$N$27+1,20,24,28,32,36,40),0)/100))/B2735))))/Skills!H11+0.000000001),1)))/Inputs!$B$43),G2704*Q2704)))/(1+Skills!H14*H2707*(B2728+IF(AND(Inputs!$B$38&lt;&gt;"pvp",Inputs!$B$43&gt;0),((Skills!G8*((R2701-1)*IF(Skills!H8&gt;0,INT(Skills!I8/Skills!H8+0.000000001),1)+IF(Skills!H8&gt;0,INT(MIN(Skills!I8,MAX(0,MAX(0,Inputs!$B$43-B2731)-((R2701-1)*((IF(Inputs!$B$38="pvp",15,MAX(0.1,Skills!D8-IF(TRUE=TRUE,Inputs!$B$32,0)))*(1-IF(AND(ArtifactsInput!$M$27,Inputs!$B$4="Chapter Hunt"),CHOOSE(ArtifactsInput!$N$27+1,20,24,28,32,36,40),0)/100))/B2735))))/Skills!H8+0.000000001),1)))/Inputs!$B$43),G2701*Q2701)+IF(AND(Inputs!$B$38&lt;&gt;"pvp",Inputs!$B$43&gt;0),((Skills!G11*((R2704-1)*IF(Skills!H11&gt;0,INT(Skills!I11/Skills!H11+0.000000001),1)+IF(Skills!H11&gt;0,INT(MIN(Skills!I11,MAX(0,MAX(0,Inputs!$B$43-B2731)-((R2704-1)*((IF(Inputs!$B$38="pvp",15,MAX(0.1,Skills!D11-IF(TRUE=TRUE,Inputs!$B$32,0)))*(1-IF(AND(ArtifactsInput!$M$27,Inputs!$B$4="Chapter Hunt"),CHOOSE(ArtifactsInput!$N$27+1,20,24,28,32,36,40),0)/100))/B2735))))/Skills!H11+0.000000001),1)))/Inputs!$B$43),G2704*Q2704)))*N2707)*IF(Inputs!$B$38="pvp",1,(1+(Inputs!$B$21+Skills!Q14+(IF(ArtifactsInput!$M$33,CHOOSE(ArtifactsInput!$N$33+1,30,36,42,48,54,60),0))+(IF(AND(ArtifactsInput!$M$35,Inputs!$B$4&lt;&gt;"Chapter Hunt"),CHOOSE(ArtifactsInput!$N$35+1,15,18,21,24,27,30)*(1-EXP(-(0.2*B2726)*5)),0)+IF(AND(ArtifactsInput!$M$22,Inputs!$B$4&lt;&gt;"Chapter Hunt"),CHOOSE(ArtifactsInput!$N$22+1,10,12,14,16,18,20)*((0*(((0.15*B2726*5))^0/1)+1*(((0.15*B2726*5))^1/1)+2*(((0.15*B2726*5))^2/2)+3*(((0.15*B2726*5))^3/6)+4*(((0.15*B2726*5))^4/24)+5*(((0.15*B2726*5))^5/120))/((((0.15*B2726*5))^0/1)+(((0.15*B2726*5))^1/1)+(((0.15*B2726*5))^2/2)+(((0.15*B2726*5))^3/6)+(((0.15*B2726*5))^4/24)+(((0.15*B2726*5))^5/120))),0))+IF(Inputs!$B$3&gt;=54,9*(C2696=TRUE)*MIN(1,8*(1+Inputs!$B$34/100)*Q2696),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08">
      <c r="A2708">
        <f>Skills!A15</f>
        <v/>
      </c>
      <c r="B2708">
        <f>Skills!B15</f>
        <v/>
      </c>
      <c r="C2708">
        <f>Inputs!$B$3&gt;=100</f>
        <v/>
      </c>
      <c r="D2708">
        <f>IF(Skills!C15=1,60+Inputs!$B$25+Inputs!$B$29,IF(Skills!C15=2,90+Inputs!$B$26+Inputs!$B$29,IF(Skills!C15=3,120+Inputs!$B$27+Inputs!$B$29,MAX(0,(Inputs!$B$3-100)*3)+Inputs!$B$28+Inputs!$B$29)))</f>
        <v/>
      </c>
      <c r="E2708">
        <f>INDEX(FactorTable!$B$2:$Y$301, MATCH(ROUND(MIN(300,MAX(1,D2708)),0), FactorTable!$A$2:$A$301,0), Skills!M15+1)</f>
        <v/>
      </c>
      <c r="F2708">
        <f>IF(Skills!N15=TRUE,(Skills!L15/10)*(E2708/1000),Skills!L15/10)+Skills!O15</f>
        <v/>
      </c>
      <c r="G2708" t="inlineStr"/>
      <c r="H2708" t="inlineStr"/>
      <c r="I2708" t="inlineStr">
        <is>
          <t>1</t>
        </is>
      </c>
      <c r="J2708" t="inlineStr"/>
      <c r="K2708" t="inlineStr"/>
      <c r="L2708" t="inlineStr"/>
      <c r="M2708" t="inlineStr"/>
      <c r="N2708" t="inlineStr"/>
      <c r="O2708" t="inlineStr"/>
      <c r="P2708" t="inlineStr"/>
      <c r="Q2708" t="inlineStr"/>
      <c r="R2708" t="inlineStr"/>
      <c r="S2708" t="inlineStr"/>
    </row>
    <row r="2709">
      <c r="A2709">
        <f>Skills!A16</f>
        <v/>
      </c>
      <c r="B2709">
        <f>Skills!B16</f>
        <v/>
      </c>
      <c r="C2709">
        <f>Inputs!$B$3&gt;=107</f>
        <v/>
      </c>
      <c r="D2709">
        <f>IF(Skills!C16=1,60+Inputs!$B$25+Inputs!$B$29,IF(Skills!C16=2,90+Inputs!$B$26+Inputs!$B$29,IF(Skills!C16=3,120+Inputs!$B$27+Inputs!$B$29,MAX(0,(Inputs!$B$3-100)*3)+Inputs!$B$28+Inputs!$B$29)))</f>
        <v/>
      </c>
      <c r="E2709">
        <f>INDEX(FactorTable!$B$2:$Y$301, MATCH(ROUND(MIN(300,MAX(1,D2709)),0), FactorTable!$A$2:$A$301,0), Skills!M16+1)</f>
        <v/>
      </c>
      <c r="F2709">
        <f>IF(Skills!N16=TRUE,(Skills!L16/10)*(E2709/1000),Skills!L16/10)+Skills!O16</f>
        <v/>
      </c>
      <c r="G2709" t="inlineStr"/>
      <c r="H2709" t="inlineStr"/>
      <c r="I2709" t="inlineStr">
        <is>
          <t>1</t>
        </is>
      </c>
      <c r="J2709" t="inlineStr"/>
      <c r="K2709" t="inlineStr"/>
      <c r="L2709" t="inlineStr"/>
      <c r="M2709" t="inlineStr"/>
      <c r="N2709" t="inlineStr"/>
      <c r="O2709" t="inlineStr"/>
      <c r="P2709" t="inlineStr"/>
      <c r="Q2709" t="inlineStr"/>
      <c r="R2709" t="inlineStr"/>
      <c r="S2709" t="inlineStr"/>
    </row>
    <row r="2710">
      <c r="A2710">
        <f>Skills!A17</f>
        <v/>
      </c>
      <c r="B2710">
        <f>Skills!B17</f>
        <v/>
      </c>
      <c r="C2710">
        <f>Inputs!$B$3&gt;=74</f>
        <v/>
      </c>
      <c r="D2710">
        <f>IF(Skills!C17=1,60+Inputs!$B$25+Inputs!$B$29,IF(Skills!C17=2,90+Inputs!$B$26+Inputs!$B$29,IF(Skills!C17=3,120+Inputs!$B$27+Inputs!$B$29,MAX(0,(Inputs!$B$3-100)*3)+Inputs!$B$28+Inputs!$B$29)))</f>
        <v/>
      </c>
      <c r="E2710">
        <f>INDEX(FactorTable!$B$2:$Y$301, MATCH(ROUND(MIN(300,MAX(1,D2710)),0), FactorTable!$A$2:$A$301,0), Skills!M17+1)</f>
        <v/>
      </c>
      <c r="F2710">
        <f>IF(Skills!N17=TRUE,(Skills!L17/10)*(E2710/1000),Skills!L17/10)+Skills!O17</f>
        <v/>
      </c>
      <c r="G2710">
        <f>Skills!G17*IF(Skills!H17&gt;0,INT(IF(Inputs!$B$38="pvp",MIN(Skills!I17,15),Skills!I17)/Skills!H17+0.000000001),1)</f>
        <v/>
      </c>
      <c r="H2710">
        <f>1-(1-Skills!J17/100)^Skills!K17</f>
        <v/>
      </c>
      <c r="I2710" t="inlineStr">
        <is>
          <t>1</t>
        </is>
      </c>
      <c r="J2710" t="inlineStr"/>
      <c r="K2710" t="inlineStr"/>
      <c r="L2710" t="inlineStr"/>
      <c r="M2710" t="inlineStr"/>
      <c r="N2710" t="inlineStr"/>
      <c r="O2710">
        <f>(1-Summary!$B$11)*T2710+Summary!$B$11*V2710</f>
        <v/>
      </c>
      <c r="P2710">
        <f>IF(B2734=0,0,O2710/B2734)</f>
        <v/>
      </c>
      <c r="Q2710" t="n">
        <v>0</v>
      </c>
      <c r="R2710" t="n">
        <v>0</v>
      </c>
      <c r="S2710">
        <f>IFERROR(O2710/N2710,0)</f>
        <v/>
      </c>
      <c r="T2710" t="n">
        <v>0</v>
      </c>
      <c r="V2710" t="n">
        <v>0</v>
      </c>
    </row>
    <row r="2711">
      <c r="A2711">
        <f>Skills!A18</f>
        <v/>
      </c>
      <c r="B2711">
        <f>Skills!B18</f>
        <v/>
      </c>
      <c r="C2711">
        <f>Inputs!$B$3&gt;=115</f>
        <v/>
      </c>
      <c r="D2711">
        <f>IF(Skills!C18=1,60+Inputs!$B$25+Inputs!$B$29,IF(Skills!C18=2,90+Inputs!$B$26+Inputs!$B$29,IF(Skills!C18=3,120+Inputs!$B$27+Inputs!$B$29,MAX(0,(Inputs!$B$3-100)*3)+Inputs!$B$28+Inputs!$B$29)))</f>
        <v/>
      </c>
      <c r="E2711">
        <f>INDEX(FactorTable!$B$2:$Y$301, MATCH(ROUND(MIN(300,MAX(1,D2711)),0), FactorTable!$A$2:$A$301,0), Skills!M18+1)</f>
        <v/>
      </c>
      <c r="F2711">
        <f>IF(Skills!N18=TRUE,(Skills!L18/10)*(E2711/1000),Skills!L18/10)+Skills!O18</f>
        <v/>
      </c>
      <c r="G2711">
        <f>Skills!G18*IF(Skills!H18&gt;0,INT(IF(Inputs!$B$38="pvp",MIN(Skills!I18,15),Skills!I18)/Skills!H18+0.000000001),1)</f>
        <v/>
      </c>
      <c r="H2711">
        <f>1-(1-Skills!J18/100)^Skills!K18</f>
        <v/>
      </c>
      <c r="I2711" t="inlineStr">
        <is>
          <t>1</t>
        </is>
      </c>
      <c r="J2711" t="inlineStr"/>
      <c r="K2711" t="inlineStr"/>
      <c r="L2711" t="inlineStr"/>
      <c r="M2711" t="inlineStr"/>
      <c r="N2711" t="inlineStr"/>
      <c r="O2711">
        <f>(1-Summary!$B$11)*T2711+Summary!$B$11*V2711</f>
        <v/>
      </c>
      <c r="P2711">
        <f>IF(B2734=0,0,O2711/B2734)</f>
        <v/>
      </c>
      <c r="Q2711">
        <f>IFERROR(1/(IF(Inputs!$B$38="pvp",15,MAX(0.1,Skills!D18-IF(TRUE=TRUE,Inputs!$B$32,0)))*(1-IF(AND(ArtifactsInput!$M$27,Inputs!$B$4="Chapter Hunt"),CHOOSE(ArtifactsInput!$N$27+1,20,24,28,32,36,40),0)/100)),0)</f>
        <v/>
      </c>
      <c r="R2711">
        <f>IF(AND(Inputs!$B$38&lt;&gt;"pvp",Inputs!$B$43&gt;0),IF(Inputs!$B$43&lt;=0,0,(INT(Inputs!$B$43/(IF(Inputs!$B$38="pvp",15,MAX(0.1,Skills!D18-IF(TRUE=TRUE,Inputs!$B$32,0)))*(1-IF(AND(ArtifactsInput!$M$27,Inputs!$B$4="Chapter Hunt"),CHOOSE(ArtifactsInput!$N$27+1,20,24,28,32,36,40),0)/100)))+1)),0)</f>
        <v/>
      </c>
      <c r="S2711">
        <f>IFERROR(O2711/N2711,0)</f>
        <v/>
      </c>
      <c r="T2711" t="n">
        <v>0</v>
      </c>
      <c r="V2711" t="n">
        <v>0</v>
      </c>
    </row>
    <row r="2712">
      <c r="A2712">
        <f>Skills!A19</f>
        <v/>
      </c>
      <c r="B2712">
        <f>Skills!B19</f>
        <v/>
      </c>
      <c r="C2712">
        <f>Inputs!$B$3&gt;=10</f>
        <v/>
      </c>
      <c r="D2712">
        <f>IF(Skills!C19=1,60+Inputs!$B$25+Inputs!$B$29,IF(Skills!C19=2,90+Inputs!$B$26+Inputs!$B$29,IF(Skills!C19=3,120+Inputs!$B$27+Inputs!$B$29,MAX(0,(Inputs!$B$3-100)*3)+Inputs!$B$28+Inputs!$B$29)))</f>
        <v/>
      </c>
      <c r="E2712">
        <f>INDEX(FactorTable!$B$2:$Y$301, MATCH(ROUND(MIN(300,MAX(1,D2712)),0), FactorTable!$A$2:$A$301,0), Skills!M19+1)</f>
        <v/>
      </c>
      <c r="F2712">
        <f>IF(Skills!N19=TRUE,(Skills!L19/10)*(E2712/1000),Skills!L19/10)+Skills!O19</f>
        <v/>
      </c>
      <c r="G2712">
        <f>Skills!G19*IF(Skills!H19&gt;0,INT(IF(Inputs!$B$38="pvp",MIN(Skills!I19,15),Skills!I19)/Skills!H19+0.000000001),1)</f>
        <v/>
      </c>
      <c r="H2712">
        <f>1-(1-Skills!J19/100)^Skills!K19</f>
        <v/>
      </c>
      <c r="I2712" t="inlineStr">
        <is>
          <t>1</t>
        </is>
      </c>
      <c r="J2712" t="inlineStr"/>
      <c r="K2712" t="inlineStr"/>
      <c r="L2712" t="inlineStr"/>
      <c r="M2712" t="inlineStr"/>
      <c r="N2712" t="inlineStr"/>
      <c r="O2712">
        <f>(1-Summary!$B$11)*T2712+Summary!$B$11*V2712</f>
        <v/>
      </c>
      <c r="P2712">
        <f>IF(B2734=0,0,O2712/B2734)</f>
        <v/>
      </c>
      <c r="Q2712" t="n">
        <v>0</v>
      </c>
      <c r="R2712" t="n">
        <v>0</v>
      </c>
      <c r="S2712">
        <f>IFERROR(O2712/N2712,0)</f>
        <v/>
      </c>
      <c r="T2712" t="n">
        <v>0</v>
      </c>
      <c r="V2712" t="n">
        <v>0</v>
      </c>
    </row>
    <row r="2713">
      <c r="A2713">
        <f>Skills!A20</f>
        <v/>
      </c>
      <c r="B2713">
        <f>Skills!B20</f>
        <v/>
      </c>
      <c r="C2713">
        <f>Inputs!$B$3&gt;=15</f>
        <v/>
      </c>
      <c r="D2713">
        <f>IF(Skills!C20=1,60+Inputs!$B$25+Inputs!$B$29,IF(Skills!C20=2,90+Inputs!$B$26+Inputs!$B$29,IF(Skills!C20=3,120+Inputs!$B$27+Inputs!$B$29,MAX(0,(Inputs!$B$3-100)*3)+Inputs!$B$28+Inputs!$B$29)))</f>
        <v/>
      </c>
      <c r="E2713">
        <f>INDEX(FactorTable!$B$2:$Y$301, MATCH(ROUND(MIN(300,MAX(1,D2713)),0), FactorTable!$A$2:$A$301,0), Skills!M20+1)</f>
        <v/>
      </c>
      <c r="F2713">
        <f>IF(Skills!N20=TRUE,(Skills!L20/10)*(E2713/1000),Skills!L20/10)+Skills!O20</f>
        <v/>
      </c>
      <c r="G2713">
        <f>Skills!G20*IF(Skills!H20&gt;0,INT(IF(Inputs!$B$38="pvp",MIN(Skills!I20,15),Skills!I20)/Skills!H20+0.000000001),1)</f>
        <v/>
      </c>
      <c r="H2713">
        <f>1-(1-Skills!J20/100)^Skills!K20</f>
        <v/>
      </c>
      <c r="I2713" t="inlineStr">
        <is>
          <t>1</t>
        </is>
      </c>
      <c r="J2713" t="inlineStr"/>
      <c r="K2713" t="inlineStr"/>
      <c r="L2713" t="inlineStr"/>
      <c r="M2713" t="inlineStr"/>
      <c r="N2713" t="inlineStr"/>
      <c r="O2713">
        <f>(1-Summary!$B$11)*T2713+Summary!$B$11*V2713</f>
        <v/>
      </c>
      <c r="P2713">
        <f>IF(B2734=0,0,O2713/B2734)</f>
        <v/>
      </c>
      <c r="Q2713" t="n">
        <v>0</v>
      </c>
      <c r="R2713" t="n">
        <v>0</v>
      </c>
      <c r="S2713">
        <f>IFERROR(O2713/N2713,0)</f>
        <v/>
      </c>
      <c r="T2713" t="n">
        <v>0</v>
      </c>
      <c r="V2713" t="n">
        <v>0</v>
      </c>
    </row>
    <row r="2714">
      <c r="A2714">
        <f>Skills!A21</f>
        <v/>
      </c>
      <c r="B2714">
        <f>Skills!B21</f>
        <v/>
      </c>
      <c r="C2714">
        <f>Inputs!$B$3&gt;=40</f>
        <v/>
      </c>
      <c r="D2714">
        <f>IF(Skills!C21=1,60+Inputs!$B$25+Inputs!$B$29,IF(Skills!C21=2,90+Inputs!$B$26+Inputs!$B$29,IF(Skills!C21=3,120+Inputs!$B$27+Inputs!$B$29,MAX(0,(Inputs!$B$3-100)*3)+Inputs!$B$28+Inputs!$B$29)))</f>
        <v/>
      </c>
      <c r="E2714">
        <f>INDEX(FactorTable!$B$2:$Y$301, MATCH(ROUND(MIN(300,MAX(1,D2714)),0), FactorTable!$A$2:$A$301,0), Skills!M21+1)</f>
        <v/>
      </c>
      <c r="F2714">
        <f>IF(Skills!N21=TRUE,(Skills!L21/10)*(E2714/1000),Skills!L21/10)+Skills!O21</f>
        <v/>
      </c>
      <c r="G2714">
        <f>Skills!G21*IF(Skills!H21&gt;0,INT(IF(Inputs!$B$38="pvp",MIN(Skills!I21,15),Skills!I21)/Skills!H21+0.000000001),1)</f>
        <v/>
      </c>
      <c r="H2714">
        <f>1-(1-Skills!J21/100)^Skills!K21</f>
        <v/>
      </c>
      <c r="I2714" t="inlineStr">
        <is>
          <t>1</t>
        </is>
      </c>
      <c r="J2714" t="inlineStr"/>
      <c r="K2714" t="inlineStr"/>
      <c r="L2714" t="inlineStr"/>
      <c r="M2714" t="inlineStr"/>
      <c r="N2714" t="inlineStr"/>
      <c r="O2714">
        <f>(1-Summary!$B$11)*T2714+Summary!$B$11*V2714</f>
        <v/>
      </c>
      <c r="P2714">
        <f>IF(B2734=0,0,O2714/B2734)</f>
        <v/>
      </c>
      <c r="Q2714" t="n">
        <v>0</v>
      </c>
      <c r="R2714" t="n">
        <v>0</v>
      </c>
      <c r="S2714">
        <f>IFERROR(O2714/N2714,0)</f>
        <v/>
      </c>
      <c r="T2714" t="n">
        <v>0</v>
      </c>
      <c r="V2714" t="n">
        <v>0</v>
      </c>
    </row>
    <row r="2715">
      <c r="A2715">
        <f>Skills!A22</f>
        <v/>
      </c>
      <c r="B2715">
        <f>Skills!B22</f>
        <v/>
      </c>
      <c r="C2715">
        <f>Inputs!$B$3&gt;=43</f>
        <v/>
      </c>
      <c r="D2715">
        <f>IF(Skills!C22=1,60+Inputs!$B$25+Inputs!$B$29,IF(Skills!C22=2,90+Inputs!$B$26+Inputs!$B$29,IF(Skills!C22=3,120+Inputs!$B$27+Inputs!$B$29,MAX(0,(Inputs!$B$3-100)*3)+Inputs!$B$28+Inputs!$B$29)))</f>
        <v/>
      </c>
      <c r="E2715">
        <f>INDEX(FactorTable!$B$2:$Y$301, MATCH(ROUND(MIN(300,MAX(1,D2715)),0), FactorTable!$A$2:$A$301,0), Skills!M22+1)</f>
        <v/>
      </c>
      <c r="F2715">
        <f>IF(Skills!N22=TRUE,(Skills!L22/10)*(E2715/1000),Skills!L22/10)+Skills!O22</f>
        <v/>
      </c>
      <c r="G2715">
        <f>Skills!G22*IF(Skills!H22&gt;0,INT(IF(Inputs!$B$38="pvp",MIN(Skills!I22,15),Skills!I22)/Skills!H22+0.000000001),1)</f>
        <v/>
      </c>
      <c r="H2715">
        <f>1-(1-Skills!J22/100)^Skills!K22</f>
        <v/>
      </c>
      <c r="I2715" t="inlineStr">
        <is>
          <t>1</t>
        </is>
      </c>
      <c r="J2715" t="inlineStr"/>
      <c r="K2715" t="inlineStr"/>
      <c r="L2715" t="inlineStr"/>
      <c r="M2715" t="inlineStr"/>
      <c r="N2715" t="inlineStr"/>
      <c r="O2715">
        <f>(1-Summary!$B$11)*T2715+Summary!$B$11*V2715</f>
        <v/>
      </c>
      <c r="P2715">
        <f>IF(B2734=0,0,O2715/B2734)</f>
        <v/>
      </c>
      <c r="Q2715" t="n">
        <v>0</v>
      </c>
      <c r="R2715" t="n">
        <v>0</v>
      </c>
      <c r="S2715">
        <f>IFERROR(O2715/N2715,0)</f>
        <v/>
      </c>
      <c r="T2715" t="n">
        <v>0</v>
      </c>
      <c r="V2715" t="n">
        <v>0</v>
      </c>
    </row>
    <row r="2716">
      <c r="A2716">
        <f>Skills!A23</f>
        <v/>
      </c>
      <c r="B2716">
        <f>Skills!B23</f>
        <v/>
      </c>
      <c r="C2716">
        <f>Inputs!$B$3&gt;=38</f>
        <v/>
      </c>
      <c r="D2716">
        <f>IF(Skills!C23=1,60+Inputs!$B$25+Inputs!$B$29,IF(Skills!C23=2,90+Inputs!$B$26+Inputs!$B$29,IF(Skills!C23=3,120+Inputs!$B$27+Inputs!$B$29,MAX(0,(Inputs!$B$3-100)*3)+Inputs!$B$28+Inputs!$B$29)))</f>
        <v/>
      </c>
      <c r="E2716">
        <f>INDEX(FactorTable!$B$2:$Y$301, MATCH(ROUND(MIN(300,MAX(1,D2716)),0), FactorTable!$A$2:$A$301,0), Skills!M23+1)</f>
        <v/>
      </c>
      <c r="F2716">
        <f>IF(Skills!N23=TRUE,(Skills!L23/10)*(E2716/1000),Skills!L23/10)+Skills!O23</f>
        <v/>
      </c>
      <c r="G2716">
        <f>Skills!G23*IF(Skills!H23&gt;0,INT(IF(Inputs!$B$38="pvp",MIN(Skills!I23,15),Skills!I23)/Skills!H23+0.000000001),1)</f>
        <v/>
      </c>
      <c r="H2716">
        <f>1-(1-Skills!J23/100)^Skills!K23</f>
        <v/>
      </c>
      <c r="I2716" t="inlineStr">
        <is>
          <t>1</t>
        </is>
      </c>
      <c r="J2716" t="inlineStr"/>
      <c r="K2716" t="inlineStr"/>
      <c r="L2716" t="inlineStr"/>
      <c r="M2716" t="inlineStr"/>
      <c r="N2716" t="inlineStr"/>
      <c r="O2716">
        <f>(1-Summary!$B$11)*T2716+Summary!$B$11*V2716</f>
        <v/>
      </c>
      <c r="P2716">
        <f>IF(B2734=0,0,O2716/B2734)</f>
        <v/>
      </c>
      <c r="Q2716" t="n">
        <v>0</v>
      </c>
      <c r="R2716" t="n">
        <v>0</v>
      </c>
      <c r="S2716">
        <f>IFERROR(O2716/N2716,0)</f>
        <v/>
      </c>
      <c r="T2716" t="n">
        <v>0</v>
      </c>
      <c r="V2716" t="n">
        <v>0</v>
      </c>
    </row>
    <row r="2717">
      <c r="A2717">
        <f>Skills!A24</f>
        <v/>
      </c>
      <c r="B2717">
        <f>Skills!B24</f>
        <v/>
      </c>
      <c r="C2717">
        <f>Inputs!$B$3&gt;=45</f>
        <v/>
      </c>
      <c r="D2717">
        <f>IF(Skills!C24=1,60+Inputs!$B$25+Inputs!$B$29,IF(Skills!C24=2,90+Inputs!$B$26+Inputs!$B$29,IF(Skills!C24=3,120+Inputs!$B$27+Inputs!$B$29,MAX(0,(Inputs!$B$3-100)*3)+Inputs!$B$28+Inputs!$B$29)))</f>
        <v/>
      </c>
      <c r="E2717">
        <f>INDEX(FactorTable!$B$2:$Y$301, MATCH(ROUND(MIN(300,MAX(1,D2717)),0), FactorTable!$A$2:$A$301,0), Skills!M24+1)</f>
        <v/>
      </c>
      <c r="F2717">
        <f>IF(Skills!N24=TRUE,(Skills!L24/10)*(E2717/1000),Skills!L24/10)+Skills!O24</f>
        <v/>
      </c>
      <c r="G2717">
        <f>Skills!G24*IF(Skills!H24&gt;0,INT(IF(Inputs!$B$38="pvp",MIN(Skills!I24,15),Skills!I24)/Skills!H24+0.000000001),1)</f>
        <v/>
      </c>
      <c r="H2717">
        <f>1-(1-Skills!J24/100)^Skills!K24</f>
        <v/>
      </c>
      <c r="I2717" t="inlineStr">
        <is>
          <t>1</t>
        </is>
      </c>
      <c r="J2717" t="inlineStr"/>
      <c r="K2717" t="inlineStr"/>
      <c r="L2717" t="inlineStr"/>
      <c r="M2717" t="inlineStr"/>
      <c r="N2717" t="inlineStr"/>
      <c r="O2717">
        <f>(1-Summary!$B$11)*T2717+Summary!$B$11*V2717</f>
        <v/>
      </c>
      <c r="P2717">
        <f>IF(B2734=0,0,O2717/B2734)</f>
        <v/>
      </c>
      <c r="Q2717" t="n">
        <v>0</v>
      </c>
      <c r="R2717" t="n">
        <v>0</v>
      </c>
      <c r="S2717">
        <f>IFERROR(O2717/N2717,0)</f>
        <v/>
      </c>
      <c r="T2717" t="n">
        <v>0</v>
      </c>
      <c r="V2717" t="n">
        <v>0</v>
      </c>
    </row>
    <row r="2718">
      <c r="A2718">
        <f>Skills!A25</f>
        <v/>
      </c>
      <c r="B2718">
        <f>Skills!B25</f>
        <v/>
      </c>
      <c r="C2718">
        <f>Inputs!$B$3&gt;=72</f>
        <v/>
      </c>
      <c r="D2718">
        <f>IF(Skills!C25=1,60+Inputs!$B$25+Inputs!$B$29,IF(Skills!C25=2,90+Inputs!$B$26+Inputs!$B$29,IF(Skills!C25=3,120+Inputs!$B$27+Inputs!$B$29,MAX(0,(Inputs!$B$3-100)*3)+Inputs!$B$28+Inputs!$B$29)))</f>
        <v/>
      </c>
      <c r="E2718">
        <f>INDEX(FactorTable!$B$2:$Y$301, MATCH(ROUND(MIN(300,MAX(1,D2718)),0), FactorTable!$A$2:$A$301,0), Skills!M25+1)</f>
        <v/>
      </c>
      <c r="F2718">
        <f>IF(Skills!N25=TRUE,(Skills!L25/10)*(E2718/1000),Skills!L25/10)+Skills!O25</f>
        <v/>
      </c>
      <c r="G2718">
        <f>Skills!G25*IF(Skills!H25&gt;0,INT(IF(Inputs!$B$38="pvp",MIN(Skills!I25,15),Skills!I25)/Skills!H25+0.000000001),1)</f>
        <v/>
      </c>
      <c r="H2718">
        <f>1-(1-Skills!J25/100)^Skills!K25</f>
        <v/>
      </c>
      <c r="I2718" t="inlineStr">
        <is>
          <t>1</t>
        </is>
      </c>
      <c r="J2718" t="inlineStr"/>
      <c r="K2718" t="inlineStr"/>
      <c r="L2718" t="inlineStr"/>
      <c r="M2718" t="inlineStr"/>
      <c r="N2718" t="inlineStr"/>
      <c r="O2718">
        <f>(1-Summary!$B$11)*T2718+Summary!$B$11*V2718</f>
        <v/>
      </c>
      <c r="P2718">
        <f>IF(B2734=0,0,O2718/B2734)</f>
        <v/>
      </c>
      <c r="Q2718" t="n">
        <v>0</v>
      </c>
      <c r="R2718" t="n">
        <v>0</v>
      </c>
      <c r="S2718">
        <f>IFERROR(O2718/N2718,0)</f>
        <v/>
      </c>
      <c r="T2718" t="n">
        <v>0</v>
      </c>
      <c r="V2718" t="n">
        <v>0</v>
      </c>
    </row>
    <row r="2719">
      <c r="A2719">
        <f>Skills!A26</f>
        <v/>
      </c>
      <c r="B2719">
        <f>Skills!B26</f>
        <v/>
      </c>
      <c r="C2719">
        <f>Inputs!$B$3&gt;=75</f>
        <v/>
      </c>
      <c r="D2719">
        <f>IF(Skills!C26=1,60+Inputs!$B$25+Inputs!$B$29,IF(Skills!C26=2,90+Inputs!$B$26+Inputs!$B$29,IF(Skills!C26=3,120+Inputs!$B$27+Inputs!$B$29,MAX(0,(Inputs!$B$3-100)*3)+Inputs!$B$28+Inputs!$B$29)))</f>
        <v/>
      </c>
      <c r="E2719">
        <f>INDEX(FactorTable!$B$2:$Y$301, MATCH(ROUND(MIN(300,MAX(1,D2719)),0), FactorTable!$A$2:$A$301,0), Skills!M26+1)</f>
        <v/>
      </c>
      <c r="F2719">
        <f>IF(Skills!N26=TRUE,(Skills!L26/10)*(E2719/1000),Skills!L26/10)+Skills!O26</f>
        <v/>
      </c>
      <c r="G2719">
        <f>Skills!G26*IF(Skills!H26&gt;0,INT(IF(Inputs!$B$38="pvp",MIN(Skills!I26,15),Skills!I26)/Skills!H26+0.000000001),1)</f>
        <v/>
      </c>
      <c r="H2719">
        <f>1-(1-Skills!J26/100)^Skills!K26</f>
        <v/>
      </c>
      <c r="I2719" t="inlineStr">
        <is>
          <t>1</t>
        </is>
      </c>
      <c r="J2719" t="inlineStr"/>
      <c r="K2719" t="inlineStr"/>
      <c r="L2719" t="inlineStr"/>
      <c r="M2719" t="inlineStr"/>
      <c r="N2719" t="inlineStr"/>
      <c r="O2719">
        <f>(1-Summary!$B$11)*T2719+Summary!$B$11*V2719</f>
        <v/>
      </c>
      <c r="P2719">
        <f>IF(B2734=0,0,O2719/B2734)</f>
        <v/>
      </c>
      <c r="Q2719" t="n">
        <v>0</v>
      </c>
      <c r="R2719" t="n">
        <v>0</v>
      </c>
      <c r="S2719">
        <f>IFERROR(O2719/N2719,0)</f>
        <v/>
      </c>
      <c r="T2719" t="n">
        <v>0</v>
      </c>
      <c r="V2719" t="n">
        <v>0</v>
      </c>
    </row>
    <row r="2720">
      <c r="A2720">
        <f>Skills!A27</f>
        <v/>
      </c>
      <c r="B2720">
        <f>Skills!B27</f>
        <v/>
      </c>
      <c r="C2720">
        <f>Inputs!$B$3&gt;=125</f>
        <v/>
      </c>
      <c r="D2720">
        <f>IF(Skills!C27=1,60+Inputs!$B$25+Inputs!$B$29,IF(Skills!C27=2,90+Inputs!$B$26+Inputs!$B$29,IF(Skills!C27=3,120+Inputs!$B$27+Inputs!$B$29,MAX(0,(Inputs!$B$3-100)*3)+Inputs!$B$28+Inputs!$B$29)))</f>
        <v/>
      </c>
      <c r="E2720">
        <f>INDEX(FactorTable!$B$2:$Y$301, MATCH(ROUND(MIN(300,MAX(1,D2720)),0), FactorTable!$A$2:$A$301,0), Skills!M27+1)</f>
        <v/>
      </c>
      <c r="F2720">
        <f>IF(Skills!N27=TRUE,(Skills!L27/10)*(E2720/1000),Skills!L27/10)+Skills!O27</f>
        <v/>
      </c>
      <c r="G2720">
        <f>Skills!G27*IF(Skills!H27&gt;0,INT(IF(Inputs!$B$38="pvp",MIN(Skills!I27,15),Skills!I27)/Skills!H27+0.000000001),1)</f>
        <v/>
      </c>
      <c r="H2720">
        <f>1-(1-Skills!J27/100)^Skills!K27</f>
        <v/>
      </c>
      <c r="I2720" t="inlineStr">
        <is>
          <t>1</t>
        </is>
      </c>
      <c r="J2720" t="inlineStr"/>
      <c r="K2720" t="inlineStr"/>
      <c r="L2720" t="inlineStr"/>
      <c r="M2720" t="inlineStr"/>
      <c r="N2720" t="inlineStr"/>
      <c r="O2720">
        <f>(1-Summary!$B$11)*T2720+Summary!$B$11*V2720</f>
        <v/>
      </c>
      <c r="P2720">
        <f>IF(B2734=0,0,O2720/B2734)</f>
        <v/>
      </c>
      <c r="Q2720" t="n">
        <v>0</v>
      </c>
      <c r="R2720" t="n">
        <v>0</v>
      </c>
      <c r="S2720">
        <f>IFERROR(O2720/N2720,0)</f>
        <v/>
      </c>
      <c r="T2720" t="n">
        <v>0</v>
      </c>
      <c r="V2720" t="n">
        <v>0</v>
      </c>
    </row>
    <row r="2721">
      <c r="A2721">
        <f>Skills!A28</f>
        <v/>
      </c>
      <c r="B2721">
        <f>Skills!B28</f>
        <v/>
      </c>
      <c r="C2721">
        <f>TRUE</f>
        <v/>
      </c>
      <c r="D2721">
        <f>IF(Skills!C28=1,60+Inputs!$B$25+Inputs!$B$29,IF(Skills!C28=2,90+Inputs!$B$26+Inputs!$B$29,IF(Skills!C28=3,120+Inputs!$B$27+Inputs!$B$29,MAX(0,(Inputs!$B$3-100)*3)+Inputs!$B$28+Inputs!$B$29)))</f>
        <v/>
      </c>
      <c r="E2721">
        <f>INDEX(FactorTable!$B$2:$Y$301, MATCH(ROUND(MIN(300,MAX(1,D2721)),0), FactorTable!$A$2:$A$301,0), Skills!M28+1)</f>
        <v/>
      </c>
      <c r="F2721">
        <f>IF(Skills!N28=TRUE,(Skills!L28/10)*(E2721/1000),Skills!L28/10)+Skills!O28</f>
        <v/>
      </c>
      <c r="G2721">
        <f>Skills!G28*IF(Skills!H28&gt;0,INT(IF(Inputs!$B$38="pvp",MIN(Skills!I28,15),Skills!I28)/Skills!H28+0.000000001),1)</f>
        <v/>
      </c>
      <c r="H2721">
        <f>1-(1-Skills!J28/100)^Skills!K28</f>
        <v/>
      </c>
      <c r="I2721" t="inlineStr">
        <is>
          <t>1</t>
        </is>
      </c>
      <c r="J2721" t="inlineStr"/>
      <c r="K2721" t="inlineStr"/>
      <c r="L2721" t="inlineStr"/>
      <c r="M2721" t="inlineStr"/>
      <c r="N2721" t="inlineStr"/>
      <c r="O2721">
        <f>(1-Summary!$B$11)*T2721+Summary!$B$11*V2721</f>
        <v/>
      </c>
      <c r="P2721">
        <f>IF(B2734=0,0,O2721/B2734)</f>
        <v/>
      </c>
      <c r="Q2721">
        <f>IFERROR(1/(IF(Inputs!$B$38="pvp",15,MAX(0.1,Skills!D28-IF(TRUE=TRUE,Inputs!$B$32,0)))*(1-IF(AND(ArtifactsInput!$M$27,Inputs!$B$4="Chapter Hunt"),CHOOSE(ArtifactsInput!$N$27+1,20,24,28,32,36,40),0)/100)),0)</f>
        <v/>
      </c>
      <c r="R2721">
        <f>IF(AND(Inputs!$B$38&lt;&gt;"pvp",Inputs!$B$43&gt;0),IF(Inputs!$B$43&lt;=0,0,(INT(Inputs!$B$43/(IF(Inputs!$B$38="pvp",15,MAX(0.1,Skills!D28-IF(TRUE=TRUE,Inputs!$B$32,0)))*(1-IF(AND(ArtifactsInput!$M$27,Inputs!$B$4="Chapter Hunt"),CHOOSE(ArtifactsInput!$N$27+1,20,24,28,32,36,40),0)/100)))+1)),0)</f>
        <v/>
      </c>
      <c r="S2721">
        <f>IFERROR(O2721/N2721,0)</f>
        <v/>
      </c>
      <c r="T2721" t="n">
        <v>0</v>
      </c>
      <c r="V2721" t="n">
        <v>0</v>
      </c>
    </row>
    <row r="2723">
      <c r="A2723" t="inlineStr">
        <is>
          <t>Attack% Bucket Multiplier</t>
        </is>
      </c>
      <c r="B2723">
        <f>(1+(((C2710=TRUE)*F2710*5/7)+((C2717=TRUE)*(F2717-Calc!F24))+(IF(ArtifactsInput!$M$21,CHOOSE(ArtifactsInput!$N$21+1,25,30,35,40,45,50)*(IF(OR(Inputs!$B$4="Chapter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724">
      <c r="A2724" t="inlineStr">
        <is>
          <t>Global Crit Rate Bonus %</t>
        </is>
      </c>
      <c r="B2724" t="n">
        <v>0</v>
      </c>
    </row>
    <row r="2725">
      <c r="A2725" t="inlineStr">
        <is>
          <t>Attack Speed Buff Bonus % (Nimble Feet, duty-cycle averaged)</t>
        </is>
      </c>
      <c r="B2725">
        <f>((C2721=TRUE)*F2721*IF(AND(Inputs!$B$38&lt;&gt;"pvp",Inputs!$B$43&gt;0),(((R2721-1)*MIN((Skills!T28*(1+Inputs!$B$34/100)),(1/Q2721))+MIN((Skills!T28*(1+Inputs!$B$34/100)),MAX(0,Inputs!$B$43-((R2721-1)*(1/Q2721)))))/Inputs!$B$43),IF(Inputs!$B$38="pvp",MIN((Skills!T28*(1+Inputs!$B$34/100)),15)/15,MIN(1,(Skills!T28*(1+Inputs!$B$34/100))/(1/Q2721)))))</f>
        <v/>
      </c>
    </row>
    <row r="2726">
      <c r="A2726" t="inlineStr">
        <is>
          <t>Actions Per Second</t>
        </is>
      </c>
      <c r="B2726">
        <f>1+MIN(150,150*(1-(1-(Inputs!$B$11+((C2713=TRUE)*(F2713-Calc!F20))+((C2714=TRUE)*(F2714-Calc!F21)))/150)*(1-B2725/150)))/100</f>
        <v/>
      </c>
    </row>
    <row r="2727">
      <c r="A2727" t="inlineStr">
        <is>
          <t>Skill + Buff Cast Rate</t>
        </is>
      </c>
      <c r="B2727">
        <f>IF(AND(Inputs!$B$38&lt;&gt;"pvp",Inputs!$B$43&gt;0),SUMPRODUCT((Skills!E2:E28=TRUE)*(C2695:C2721=TRUE)*R2695:R2721*Skills!F2:F28)/Inputs!$B$43,SUMPRODUCT((Skills!E2:E28=TRUE)*(C2695:C2721=TRUE)*Q2695:Q2721*Skills!F2:F28))</f>
        <v/>
      </c>
    </row>
    <row r="2728">
      <c r="A2728" t="inlineStr">
        <is>
          <t>Eight-Legs Easton Casts Per Second</t>
        </is>
      </c>
      <c r="B2728">
        <f>MAX(0,B2726-B2727)</f>
        <v/>
      </c>
    </row>
    <row r="2729">
      <c r="A2729" t="inlineStr">
        <is>
          <t>Global Critical Damage Bonus % (unused)</t>
        </is>
      </c>
      <c r="B2729" t="n">
        <v>0</v>
      </c>
    </row>
    <row r="2730">
      <c r="A2730" t="inlineStr">
        <is>
          <t>Global Final Damage Bonus % (Jolly Roger + Ahoy Mateys - Final Damage proc)</t>
        </is>
      </c>
      <c r="B2730">
        <f>((C2711=TRUE)*F2711*IF(AND(Inputs!$B$38&lt;&gt;"pvp",Inputs!$B$43&gt;0),(((R2711-1)*MIN((Skills!T18*(1+Inputs!$B$34/100)),(1/Q2711))+MIN((Skills!T18*(1+Inputs!$B$34/100)),MAX(0,Inputs!$B$43-((R2711-1)*(1/Q2711)))))/Inputs!$B$43),IF(Inputs!$B$38="pvp",MIN((Skills!T18*(1+Inputs!$B$34/100)),15)/15,MIN(1,(Skills!T18*(1+Inputs!$B$34/100))/(1/Q2711)))))+IF(Inputs!$B$3&gt;=122,20*IF(Inputs!$B$38="pvp",MIN((20*(1+Inputs!$B$34/100)),15)/15,MIN(1,(20*(1+Inputs!$B$34/100))/(1/Q2697))),0)</f>
        <v/>
      </c>
    </row>
    <row r="2731">
      <c r="A2731" t="inlineStr">
        <is>
          <t>Buff-Casting Startup Delay (s, fixed-duration only)</t>
        </is>
      </c>
      <c r="B2731">
        <f>IF(AND(Inputs!$B$38&lt;&gt;"pvp",Inputs!$B$43&gt;0),SUMPRODUCT((Skills!T2:T28&gt;0)*(Skills!E2:E28=TRUE)*(C2695:C2721=TRUE))/B2726,0)</f>
        <v/>
      </c>
    </row>
    <row r="2732">
      <c r="A2732" t="inlineStr">
        <is>
          <t>Boss-Only Total DPS (this block's swept value)</t>
        </is>
      </c>
      <c r="B2732">
        <f>SUM(T2695:T2721)</f>
        <v/>
      </c>
    </row>
    <row r="2733">
      <c r="A2733" t="inlineStr">
        <is>
          <t>Normal-Only Total DPS (this block's swept value)</t>
        </is>
      </c>
      <c r="B2733">
        <f>SUM(V2695:V2721)</f>
        <v/>
      </c>
    </row>
    <row r="2734">
      <c r="A2734" s="6" t="inlineStr">
        <is>
          <t>TOTAL DPS</t>
        </is>
      </c>
      <c r="B2734" s="6">
        <f>SUM(O2695:O2721)</f>
        <v/>
      </c>
    </row>
    <row r="2735">
      <c r="A2735" t="inlineStr">
        <is>
          <t>Quickdraw cooldown divisor (this block's own APS / Q)</t>
        </is>
      </c>
      <c r="B2735">
        <f>IF(AND(C2720=TRUE,Inputs!$B$38&lt;&gt;"pvp"),1+0.25*MAX(0,(B2726-(((C2696=TRUE)*Q2696*1)+((C2697=TRUE)*Q2697*1)+((C2699=TRUE)*Q2699*1)+((C2700=TRUE)*Q2700*1)+((C2702=TRUE)*Q2702*1)+((C2705=TRUE)*Q2705*1)+((C2711=TRUE)*Q2711*1)+((C2721=TRUE)*Q2721*1))-((C2701=TRUE)/(IF(Inputs!$B$38="pvp",15,MAX(0.1,Skills!D8-IF(TRUE=TRUE,Inputs!$B$32,0)))*(1-IF(AND(ArtifactsInput!$M$27,Inputs!$B$4="Chapter Hunt"),CHOOSE(ArtifactsInput!$N$27+1,20,24,28,32,36,40),0)/100))+(C2704=TRUE)/(IF(Inputs!$B$38="pvp",15,MAX(0.1,Skills!D11-IF(TRUE=TRUE,Inputs!$B$32,0)))*(1-IF(AND(ArtifactsInput!$M$27,Inputs!$B$4="Chapter Hunt"),CHOOSE(ArtifactsInput!$N$27+1,20,24,28,32,36,40),0)/100))))/(1+0.25*((C2701=TRUE)/(IF(Inputs!$B$38="pvp",15,MAX(0.1,Skills!D8-IF(TRUE=TRUE,Inputs!$B$32,0)))*(1-IF(AND(ArtifactsInput!$M$27,Inputs!$B$4="Chapter Hunt"),CHOOSE(ArtifactsInput!$N$27+1,20,24,28,32,36,40),0)/100))+(C2704=TRUE)/(IF(Inputs!$B$38="pvp",15,MAX(0.1,Skills!D11-IF(TRUE=TRUE,Inputs!$B$32,0)))*(1-IF(AND(ArtifactsInput!$M$27,Inputs!$B$4="Chapter Hunt"),CHOOSE(ArtifactsInput!$N$27+1,20,24,28,32,36,40),0)/100))))),1)</f>
        <v/>
      </c>
    </row>
    <row r="2736">
      <c r="A2736" t="inlineStr">
        <is>
          <t>Nautilus Strike - Final Attack trigger rate (this block's own Q/R)</t>
        </is>
      </c>
      <c r="B2736">
        <f>IF(AND(Inputs!$B$38&lt;&gt;"pvp",Inputs!$B$43&gt;0),(((C2696=TRUE)*R2696)+((C2699=TRUE)*R2699)+((C2701=TRUE)*R2701)+((C2702=TRUE)*R2702)+((C2704=TRUE)*R2704))/Inputs!$B$43,((C2696=TRUE)*Q2696)+((C2699=TRUE)*Q2699)+((C2701=TRUE)*Q2701)+((C2702=TRUE)*Q2702)+((C2704=TRUE)*Q2704))+B2728</f>
        <v/>
      </c>
    </row>
    <row r="2739">
      <c r="A2739" s="6" t="inlineStr">
        <is>
          <t>Stat: Cursed Doll (Equip)</t>
        </is>
      </c>
    </row>
    <row r="2740">
      <c r="A2740" s="5" t="inlineStr">
        <is>
          <t>Key</t>
        </is>
      </c>
      <c r="B2740" s="5" t="inlineStr">
        <is>
          <t>Name</t>
        </is>
      </c>
      <c r="C2740" s="5" t="inlineStr">
        <is>
          <t>Unlocked</t>
        </is>
      </c>
      <c r="D2740" s="5" t="inlineStr">
        <is>
          <t>InputLevel</t>
        </is>
      </c>
      <c r="E2740" s="5" t="inlineStr">
        <is>
          <t>Factor</t>
        </is>
      </c>
      <c r="F2740" s="5" t="inlineStr">
        <is>
          <t>CoefficientPercent</t>
        </is>
      </c>
      <c r="G2740" s="5" t="inlineStr">
        <is>
          <t>EffectiveHits</t>
        </is>
      </c>
      <c r="H2740" s="5" t="inlineStr">
        <is>
          <t>ProcProbability</t>
        </is>
      </c>
      <c r="I2740" s="5" t="inlineStr">
        <is>
          <t>MapleHeroMultiplier</t>
        </is>
      </c>
      <c r="J2740" s="5" t="inlineStr">
        <is>
          <t>BaseDamage</t>
        </is>
      </c>
      <c r="K2740" s="5" t="inlineStr">
        <is>
          <t>BaseHitDamage</t>
        </is>
      </c>
      <c r="L2740" s="5" t="inlineStr">
        <is>
          <t>NonCritAvg</t>
        </is>
      </c>
      <c r="M2740" s="5" t="inlineStr">
        <is>
          <t>CritAvg</t>
        </is>
      </c>
      <c r="N2740" s="5" t="inlineStr">
        <is>
          <t>ExpectedDamage(perHit)</t>
        </is>
      </c>
      <c r="O2740" s="5" t="inlineStr">
        <is>
          <t>DPS</t>
        </is>
      </c>
      <c r="P2740" s="5" t="inlineStr">
        <is>
          <t>% of Total</t>
        </is>
      </c>
      <c r="Q2740" s="5" t="inlineStr">
        <is>
          <t>InvCooldown</t>
        </is>
      </c>
      <c r="R2740" s="5" t="inlineStr">
        <is>
          <t>CastsInFight</t>
        </is>
      </c>
      <c r="S2740" s="5" t="inlineStr">
        <is>
          <t>HitRate(perSec)</t>
        </is>
      </c>
      <c r="U2740" t="inlineStr">
        <is>
          <t>helpers</t>
        </is>
      </c>
    </row>
    <row r="2741">
      <c r="A2741">
        <f>Skills!A2</f>
        <v/>
      </c>
      <c r="B2741">
        <f>Skills!B2</f>
        <v/>
      </c>
      <c r="C2741">
        <f>Inputs!$B$3&gt;=100</f>
        <v/>
      </c>
      <c r="D2741" t="inlineStr"/>
      <c r="E2741" t="inlineStr"/>
      <c r="F2741">
        <f>U2743+Skills!O2</f>
        <v/>
      </c>
      <c r="G2741">
        <f>Skills!G2*IF(Skills!H2&gt;0,INT(IF(Inputs!$B$38="pvp",MIN(Skills!I2,15),Skills!I2)/Skills!H2+0.000000001),1)</f>
        <v/>
      </c>
      <c r="H2741">
        <f>1-(1-Skills!J2/100)^Skills!K2</f>
        <v/>
      </c>
      <c r="I2741" t="inlineStr">
        <is>
          <t>1</t>
        </is>
      </c>
      <c r="J2741">
        <f>((Inputs!$B$6*(1+Inputs!$B$7/100))+(((Inputs!$B$12*(1+Inputs!$B$13/100))-(Inputs!$B$12*(1+Inputs!$B$13/100)))+0.25*(Inputs!$B$14-Inputs!$B$14))*(1+Inputs!$B$7/100))*(F2741/100)</f>
        <v/>
      </c>
      <c r="K2741">
        <f>J2741*(1+((Inputs!$B$12*(1+Inputs!$B$13/100))*0.01+Inputs!$B$14*0.0025)/100)*(1+Inputs!$B$15/100)*(1+Inputs!$B$16/100)*(5000/(6000+Inputs!$B$42*(1-(100*(1-(1-(Inputs!$B$19+0)/100)*(1-CHOOSE(ArtifactsInput!$N$40+1,5,6,7,8,9,10)/100)^(ArtifactsInput!$M$40-ArtifactsInput!$M$40)))/100)))*(1+(Inputs!$B$24+((C2765=TRUE)*(F2765-Calc!F26))+B2776)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IF(ArtifactsInput!$M$39,FALSE,TRUE)-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IGHT_LEGS_EASTON",Inputs!$B$17+((C2762=TRUE)*(F2762-Calc!F23))+((C2766=TRUE)*(F2766-Calc!F27))+((IF(AND(Inputs!$B$38&lt;&gt;"pvp",Inputs!$B$43=0),1,IF(IF(Inputs!$B$38="pvp",15,Inputs!$B$43)-(B2777)&lt;=0,1,MAX(0,IF(Inputs!$B$38="pvp",15,Inputs!$B$43)-MAX(5,B2777))/(IF(Inputs!$B$38="pvp",15,Inputs!$B$43)-(B2777))))*(IF(AND(ArtifactsInput!$M$42,((Inputs!$B$9+((C2758=TRUE)*(F2758-Calc!F19))+B2770+(ArtifactsInput!$M$24-ArtifactsInput!$M$24)*CHOOSE(ArtifactsInput!$N$24+1,10,12,14,16,18,20)+IF(ArtifactsInput!$M$10,CHOOSE(ArtifactsInput!$N$10+1,15,18,21,24,27,30)*(IF(Inputs!$B$38="pvp",MIN(15,15)/15,IF(AND(Inputs!$B$38&lt;&gt;"pvp",Inputs!$B$43&gt;0),MIN(15,Inputs!$B$43)/(Inputs!$B$43),0))),0)))&gt;=100),MIN(100,((Inputs!$B$9+((C2758=TRUE)*(F2758-Calc!F19))+B2770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2777)&lt;=0,1,MAX(0,IF(Inputs!$B$38="pvp",15,Inputs!$B$43)-MAX(5,B2777))/(IF(Inputs!$B$38="pvp",15,Inputs!$B$43)-(B2777))))*IF(AND(ArtifactsInput!$M$42,((Inputs!$B$9+((C2758=TRUE)*(F2758-Calc!F19))+B2770+(ArtifactsInput!$M$24-ArtifactsInput!$M$24)*CHOOSE(ArtifactsInput!$N$24+1,10,12,14,16,18,20)+IF(ArtifactsInput!$M$10,CHOOSE(ArtifactsInput!$N$10+1,15,18,21,24,27,30)*(IF(Inputs!$B$38="pvp",MIN(15,15)/15,IF(AND(Inputs!$B$38&lt;&gt;"pvp",Inputs!$B$43&gt;0),MIN(15,Inputs!$B$43)/(Inputs!$B$43),0))),0)))&gt;=100),CHOOSE(ArtifactsInput!$N$42+1,40,48,56,64,72,80),0))))/100)*((1+(((C2756=TRUE)*F2756*5/7)+((C2763=TRUE)*(F2763-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2741)</f>
        <v/>
      </c>
      <c r="L2741">
        <f>K2741*(MIN(Inputs!$B$22+((C2761=TRUE)*(F2761-Calc!F22)),(Inputs!$B$23+0+(IF(ArtifactsInput!$M$15,CHOOSE(ArtifactsInput!$N$15+1,25,30,35,40,45,50)/100*(Inputs!$B$11-Inputs!$B$11),0))))/100+(Inputs!$B$23+0+(IF(ArtifactsInput!$M$15,CHOOSE(ArtifactsInput!$N$15+1,25,30,35,40,45,50)/100*(Inputs!$B$11-Inputs!$B$11),0)))/100)/2</f>
        <v/>
      </c>
      <c r="M2741">
        <f>L2741*(1+(Inputs!$B$10+((C2764=TRUE)*(F2764-Calc!F25))+B2775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41">
        <f>L2741*(1-MIN((Inputs!$B$9+((C2758=TRUE)*(F2758-Calc!F19))+B2770+(ArtifactsInput!$M$24-ArtifactsInput!$M$24)*CHOOSE(ArtifactsInput!$N$24+1,10,12,14,16,18,20)+(IF(AND(Inputs!$B$38&lt;&gt;"pvp",Inputs!$B$43=0),1,IF(IF(Inputs!$B$38="pvp",15,Inputs!$B$43)-(B2777)&lt;=0,1,MAX(0,IF(Inputs!$B$38="pvp",15,Inputs!$B$43)-MAX(5,B2777))/(IF(Inputs!$B$38="pvp",15,Inputs!$B$43)-(B2777))))*IF(AND(ArtifactsInput!$M$42,((Inputs!$B$9+((C2758=TRUE)*(F2758-Calc!F19))+B2770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2741*(MIN((Inputs!$B$9+((C2758=TRUE)*(F2758-Calc!F19))+B2770+(ArtifactsInput!$M$24-ArtifactsInput!$M$24)*CHOOSE(ArtifactsInput!$N$24+1,10,12,14,16,18,20)+(IF(AND(Inputs!$B$38&lt;&gt;"pvp",Inputs!$B$43=0),1,IF(IF(Inputs!$B$38="pvp",15,Inputs!$B$43)-(B2777)&lt;=0,1,MAX(0,IF(Inputs!$B$38="pvp",15,Inputs!$B$43)-MAX(5,B2777))/(IF(Inputs!$B$38="pvp",15,Inputs!$B$43)-(B2777))))*IF(AND(ArtifactsInput!$M$42,((Inputs!$B$9+((C2758=TRUE)*(F2758-Calc!F19))+B2770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41">
        <f>(1-Summary!$B$11)*T2741+Summary!$B$11*V2741</f>
        <v/>
      </c>
      <c r="P2741">
        <f>IF(B2780=0,0,O2741/B2780)</f>
        <v/>
      </c>
      <c r="Q2741" t="n">
        <v>0</v>
      </c>
      <c r="R2741" t="n">
        <v>0</v>
      </c>
      <c r="S2741">
        <f>IFERROR(O2741/N2741,0)</f>
        <v/>
      </c>
      <c r="T2741">
        <f>IF(C2741,(Skills!G2*N2741*B2774*(1+IF(C2766=TRUE,1/3,0)))*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Hunt"),CHOOSE(ArtifactsInput!$N$35+1,15,18,21,24,27,30)*(1-EXP(-(0.2*B2772)*5)),0)+IF(AND(ArtifactsInput!$M$22,Inputs!$B$4&lt;&gt;"Chapter Hunt"),CHOOSE(ArtifactsInput!$N$22+1,10,12,14,16,18,20)*((0*(((0.15*B2772*5))^0/1)+1*(((0.15*B2772*5))^1/1)+2*(((0.15*B2772*5))^2/2)+3*(((0.15*B2772*5))^3/6)+4*(((0.15*B2772*5))^4/24)+5*(((0.15*B2772*5))^5/120))/((((0.15*B2772*5))^0/1)+(((0.15*B2772*5))^1/1)+(((0.15*B2772*5))^2/2)+(((0.15*B2772*5))^3/6)+(((0.15*B2772*5))^4/24)+(((0.15*B2772*5))^5/120))),0))+IF(Inputs!$B$3&gt;=54,9*(C2742=TRUE)*MIN(1,8*(1+Inputs!$B$34/100)*Q2742)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2741*(1-MIN(100,(Inputs!$B$9+((C2758=TRUE)*(F2758-Calc!F19))+B2770+(ArtifactsInput!$M$24-ArtifactsInput!$M$24)*CHOOSE(ArtifactsInput!$N$24+1,10,12,14,16,18,20)+(IF(AND(Inputs!$B$38&lt;&gt;"pvp",Inputs!$B$43=0),1,IF(IF(Inputs!$B$38="pvp",15,Inputs!$B$43)-(B2777)&lt;=0,1,MAX(0,IF(Inputs!$B$38="pvp",15,Inputs!$B$43)-MAX(5,B2777))/(IF(Inputs!$B$38="pvp",15,Inputs!$B$43)-(B2777))))*IF(AND(ArtifactsInput!$M$42,((Inputs!$B$9+((C2758=TRUE)*(F2758-Calc!F19))+B2770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2741*(MIN(100,(Inputs!$B$9+((C2758=TRUE)*(F2758-Calc!F19))+B2770+(ArtifactsInput!$M$24-ArtifactsInput!$M$24)*CHOOSE(ArtifactsInput!$N$24+1,10,12,14,16,18,20)+(IF(AND(Inputs!$B$38&lt;&gt;"pvp",Inputs!$B$43=0),1,IF(IF(Inputs!$B$38="pvp",15,Inputs!$B$43)-(B2777)&lt;=0,1,MAX(0,IF(Inputs!$B$38="pvp",15,Inputs!$B$43)-MAX(5,B2777))/(IF(Inputs!$B$38="pvp",15,Inputs!$B$43)-(B2777))))*IF(AND(ArtifactsInput!$M$42,((Inputs!$B$9+((C2758=TRUE)*(F2758-Calc!F19))+B2770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2741*(1-MIN(100,(Inputs!$B$9+((C2758=TRUE)*(F2758-Calc!F19))+B2770+(ArtifactsInput!$M$24-ArtifactsInput!$M$24)*CHOOSE(ArtifactsInput!$N$24+1,10,12,14,16,18,20)+(IF(AND(Inputs!$B$38&lt;&gt;"pvp",Inputs!$B$43=0),1,IF(IF(Inputs!$B$38="pvp",15,Inputs!$B$43)-(B2777)&lt;=0,1,MAX(0,IF(Inputs!$B$38="pvp",15,Inputs!$B$43)-MAX(5,B2777))/(IF(Inputs!$B$38="pvp",15,Inputs!$B$43)-(B2777))))*IF(AND(ArtifactsInput!$M$42,((Inputs!$B$9+((C2758=TRUE)*(F2758-Calc!F19))+B2770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2741*(MIN(100,(Inputs!$B$9+((C2758=TRUE)*(F2758-Calc!F19))+B2770+(ArtifactsInput!$M$24-ArtifactsInput!$M$24)*CHOOSE(ArtifactsInput!$N$24+1,10,12,14,16,18,20)+(IF(AND(Inputs!$B$38&lt;&gt;"pvp",Inputs!$B$43=0),1,IF(IF(Inputs!$B$38="pvp",15,Inputs!$B$43)-(B2777)&lt;=0,1,MAX(0,IF(Inputs!$B$38="pvp",15,Inputs!$B$43)-MAX(5,B2777))/(IF(Inputs!$B$38="pvp",15,Inputs!$B$43)-(B2777))))*IF(AND(ArtifactsInput!$M$42,((Inputs!$B$9+((C2758=TRUE)*(F2758-Calc!F19))+B2770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741">
        <f>MAX(0,(Inputs!$B$3-100)*3)+Inputs!$B$28+Inputs!$B$29</f>
        <v/>
      </c>
      <c r="V2741">
        <f>IF(C2741,(Skills!G2*N2741*B2774*(1+IF(C2766=TRUE,1/3,0)))*IF(Inputs!$B$38="pvp",1,(1+(Inputs!$B$21+Skills!Q2+(IF(ArtifactsInput!$M$33,CHOOSE(ArtifactsInput!$N$33+1,30,36,42,48,54,60),0))+(IF(AND(ArtifactsInput!$M$35,Inputs!$B$4&lt;&gt;"Chapter Hunt"),CHOOSE(ArtifactsInput!$N$35+1,15,18,21,24,27,30)*(1-EXP(-(0.2*B2772)*5)),0)+IF(AND(ArtifactsInput!$M$22,Inputs!$B$4&lt;&gt;"Chapter Hunt"),CHOOSE(ArtifactsInput!$N$22+1,10,12,14,16,18,20)*((0*(((0.15*B2772*5))^0/1)+1*(((0.15*B2772*5))^1/1)+2*(((0.15*B2772*5))^2/2)+3*(((0.15*B2772*5))^3/6)+4*(((0.15*B2772*5))^4/24)+5*(((0.15*B2772*5))^5/120))/((((0.15*B2772*5))^0/1)+(((0.15*B2772*5))^1/1)+(((0.15*B2772*5))^2/2)+(((0.15*B2772*5))^3/6)+(((0.15*B2772*5))^4/24)+(((0.15*B2772*5))^5/120))),0))+IF(Inputs!$B$3&gt;=54,9*(C2742=TRUE)*MIN(1,8*(1+Inputs!$B$34/100)*Q2742),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42">
      <c r="A2742">
        <f>Skills!A3</f>
        <v/>
      </c>
      <c r="B2742">
        <f>Skills!B3</f>
        <v/>
      </c>
      <c r="C2742">
        <f>Inputs!$B$3&gt;=33</f>
        <v/>
      </c>
      <c r="D2742">
        <f>IF(Skills!C3=1,60+Inputs!$B$25+Inputs!$B$29,IF(Skills!C3=2,90+Inputs!$B$26+Inputs!$B$29,IF(Skills!C3=3,120+Inputs!$B$27+Inputs!$B$29,MAX(0,(Inputs!$B$3-100)*3)+Inputs!$B$28+Inputs!$B$29)))</f>
        <v/>
      </c>
      <c r="E2742">
        <f>INDEX(FactorTable!$B$2:$Y$301, MATCH(ROUND(MIN(300,MAX(1,D2742)),0), FactorTable!$A$2:$A$301,0), Skills!M3+1)</f>
        <v/>
      </c>
      <c r="F2742">
        <f>IF(Skills!N3=TRUE,(Skills!L3/10)*(E2742/1000),Skills!L3/10)+Skills!O3</f>
        <v/>
      </c>
      <c r="G2742">
        <f>Skills!G3*IF(Skills!H3&gt;0,INT(IF(Inputs!$B$38="pvp",MIN(Skills!I3,15),Skills!I3)/Skills!H3+0.000000001),1)</f>
        <v/>
      </c>
      <c r="H2742">
        <f>1-(1-Skills!J3/100)^Skills!K3</f>
        <v/>
      </c>
      <c r="I2742" t="inlineStr">
        <is>
          <t>1</t>
        </is>
      </c>
      <c r="J2742">
        <f>((Inputs!$B$6*(1+Inputs!$B$7/100))+(((Inputs!$B$12*(1+Inputs!$B$13/100))-(Inputs!$B$12*(1+Inputs!$B$13/100)))+0.25*(Inputs!$B$14-Inputs!$B$14))*(1+Inputs!$B$7/100))*(F2742/100)</f>
        <v/>
      </c>
      <c r="K2742">
        <f>J2742*(1+((Inputs!$B$12*(1+Inputs!$B$13/100))*0.01+Inputs!$B$14*0.0025)/100)*(1+Inputs!$B$15/100)*(1+Inputs!$B$16/100)*(5000/(6000+Inputs!$B$42*(1-(100*(1-(1-(Inputs!$B$19+0)/100)*(1-CHOOSE(ArtifactsInput!$N$40+1,5,6,7,8,9,10)/100)^(ArtifactsInput!$M$40-ArtifactsInput!$M$40)))/100)))*(1+(Inputs!$B$24+((C2765=TRUE)*(F2765-Calc!F26))+B2776)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IF(ArtifactsInput!$M$39,FALSE,TRUE)-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2754=TRUE,F2754,0)/100)*(1+(IF(Skills!A3="EIGHT_LEGS_EASTON",Inputs!$B$17+((C2762=TRUE)*(F2762-Calc!F23))+((C2766=TRUE)*(F2766-Calc!F27))+((IF(AND(Inputs!$B$38&lt;&gt;"pvp",Inputs!$B$43=0),1,IF(IF(Inputs!$B$38="pvp",15,Inputs!$B$43)-(B2777)&lt;=0,1,MAX(0,IF(Inputs!$B$38="pvp",15,Inputs!$B$43)-MAX(5,B2777))/(IF(Inputs!$B$38="pvp",15,Inputs!$B$43)-(B2777))))*(IF(AND(ArtifactsInput!$M$42,((Inputs!$B$9+((C2758=TRUE)*(F2758-Calc!F19))+B2770+(ArtifactsInput!$M$24-ArtifactsInput!$M$24)*CHOOSE(ArtifactsInput!$N$24+1,10,12,14,16,18,20)+IF(ArtifactsInput!$M$10,CHOOSE(ArtifactsInput!$N$10+1,15,18,21,24,27,30)*(IF(Inputs!$B$38="pvp",MIN(15,15)/15,IF(AND(Inputs!$B$38&lt;&gt;"pvp",Inputs!$B$43&gt;0),MIN(15,Inputs!$B$43)/(Inputs!$B$43),0))),0)))&gt;=100),MIN(100,((Inputs!$B$9+((C2758=TRUE)*(F2758-Calc!F19))+B2770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2777)&lt;=0,1,MAX(0,IF(Inputs!$B$38="pvp",15,Inputs!$B$43)-MAX(5,B2777))/(IF(Inputs!$B$38="pvp",15,Inputs!$B$43)-(B2777))))*IF(AND(ArtifactsInput!$M$42,((Inputs!$B$9+((C2758=TRUE)*(F2758-Calc!F19))+B2770+(ArtifactsInput!$M$24-ArtifactsInput!$M$24)*CHOOSE(ArtifactsInput!$N$24+1,10,12,14,16,18,20)+IF(ArtifactsInput!$M$10,CHOOSE(ArtifactsInput!$N$10+1,15,18,21,24,27,30)*(IF(Inputs!$B$38="pvp",MIN(15,15)/15,IF(AND(Inputs!$B$38&lt;&gt;"pvp",Inputs!$B$43&gt;0),MIN(15,Inputs!$B$43)/(Inputs!$B$43),0))),0)))&gt;=100),CHOOSE(ArtifactsInput!$N$42+1,40,48,56,64,72,80),0))))/100)*((1+(((C2756=TRUE)*F2756*5/7)+((C2763=TRUE)*(F2763-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2742)</f>
        <v/>
      </c>
      <c r="L2742">
        <f>K2742*(MIN(Inputs!$B$22+((C2761=TRUE)*(F2761-Calc!F22)),(Inputs!$B$23+0+(IF(ArtifactsInput!$M$15,CHOOSE(ArtifactsInput!$N$15+1,25,30,35,40,45,50)/100*(Inputs!$B$11-Inputs!$B$11),0))))/100+(Inputs!$B$23+0+(IF(ArtifactsInput!$M$15,CHOOSE(ArtifactsInput!$N$15+1,25,30,35,40,45,50)/100*(Inputs!$B$11-Inputs!$B$11),0)))/100)/2</f>
        <v/>
      </c>
      <c r="M2742">
        <f>L2742*(1+(Inputs!$B$10+((C2764=TRUE)*(F2764-Calc!F25))+B2775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42">
        <f>L2742*(1-MIN((Inputs!$B$9+((C2758=TRUE)*(F2758-Calc!F19))+B2770+(ArtifactsInput!$M$24-ArtifactsInput!$M$24)*CHOOSE(ArtifactsInput!$N$24+1,10,12,14,16,18,20)+(IF(AND(Inputs!$B$38&lt;&gt;"pvp",Inputs!$B$43=0),1,IF(IF(Inputs!$B$38="pvp",15,Inputs!$B$43)-(B2777)&lt;=0,1,MAX(0,IF(Inputs!$B$38="pvp",15,Inputs!$B$43)-MAX(5,B2777))/(IF(Inputs!$B$38="pvp",15,Inputs!$B$43)-(B2777))))*IF(AND(ArtifactsInput!$M$42,((Inputs!$B$9+((C2758=TRUE)*(F2758-Calc!F19))+B2770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2742*(MIN((Inputs!$B$9+((C2758=TRUE)*(F2758-Calc!F19))+B2770+(ArtifactsInput!$M$24-ArtifactsInput!$M$24)*CHOOSE(ArtifactsInput!$N$24+1,10,12,14,16,18,20)+(IF(AND(Inputs!$B$38&lt;&gt;"pvp",Inputs!$B$43=0),1,IF(IF(Inputs!$B$38="pvp",15,Inputs!$B$43)-(B2777)&lt;=0,1,MAX(0,IF(Inputs!$B$38="pvp",15,Inputs!$B$43)-MAX(5,B2777))/(IF(Inputs!$B$38="pvp",15,Inputs!$B$43)-(B2777))))*IF(AND(ArtifactsInput!$M$42,((Inputs!$B$9+((C2758=TRUE)*(F2758-Calc!F19))+B2770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42">
        <f>(1-Summary!$B$11)*T2742+Summary!$B$11*V2742</f>
        <v/>
      </c>
      <c r="P2742">
        <f>IF(B2780=0,0,O2742/B2780)</f>
        <v/>
      </c>
      <c r="Q2742">
        <f>IFERROR(1/(IF(Inputs!$B$38="pvp",15,MAX(0.1,Skills!D3-IF(TRUE=TRUE,Inputs!$B$32,0)))*(1-IF(AND(ArtifactsInput!$M$27,Inputs!$B$4="Chapter Hunt"),CHOOSE(ArtifactsInput!$N$27+1,20,24,28,32,36,40),0)/100)),0)</f>
        <v/>
      </c>
      <c r="R2742">
        <f>IF(AND(Inputs!$B$38&lt;&gt;"pvp",Inputs!$B$43&gt;0),IF(MAX(0,Inputs!$B$43-B2777)&lt;=0,0,(INT(MAX(0,Inputs!$B$43-B2777)/(IF(Inputs!$B$38="pvp",15,MAX(0.1,Skills!D3-IF(TRUE=TRUE,Inputs!$B$32,0)))*(1-IF(AND(ArtifactsInput!$M$27,Inputs!$B$4="Chapter Hunt"),CHOOSE(ArtifactsInput!$N$27+1,20,24,28,32,36,40),0)/100)))+1)),0)</f>
        <v/>
      </c>
      <c r="S2742">
        <f>IFERROR(O2742/N2742,0)</f>
        <v/>
      </c>
      <c r="T2742">
        <f>IF(C2742,(H2742*N2742*IF(AND(Inputs!$B$38&lt;&gt;"pvp",Inputs!$B$43&gt;0),((Skills!G3*((R2742-1)*IF(Skills!H3&gt;0,INT(Skills!I3/Skills!H3+0.000000001),1)+IF(Skills!H3&gt;0,INT(MIN(Skills!I3,MAX(0,MAX(0,Inputs!$B$43-B2777)-((R2742-1)*(IF(Inputs!$B$38="pvp",15,MAX(0.1,Skills!D3-IF(TRUE=TRUE,Inputs!$B$32,0)))*(1-IF(AND(ArtifactsInput!$M$27,Inputs!$B$4="Chapter Hunt"),CHOOSE(ArtifactsInput!$N$27+1,20,24,28,32,36,40),0)/100)))))/Skills!H3+0.000000001),1)))/Inputs!$B$43),G2742*Q2742))*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Hunt"),CHOOSE(ArtifactsInput!$N$35+1,15,18,21,24,27,30)*(1-EXP(-(0.2*B2772)*5)),0)+IF(AND(ArtifactsInput!$M$22,Inputs!$B$4&lt;&gt;"Chapter Hunt"),CHOOSE(ArtifactsInput!$N$22+1,10,12,14,16,18,20)*((0*(((0.15*B2772*5))^0/1)+1*(((0.15*B2772*5))^1/1)+2*(((0.15*B2772*5))^2/2)+3*(((0.15*B2772*5))^3/6)+4*(((0.15*B2772*5))^4/24)+5*(((0.15*B2772*5))^5/120))/((((0.15*B2772*5))^0/1)+(((0.15*B2772*5))^1/1)+(((0.15*B2772*5))^2/2)+(((0.15*B2772*5))^3/6)+(((0.15*B2772*5))^4/24)+(((0.15*B2772*5))^5/120))),0))+IF(Inputs!$B$3&gt;=54,9*(C2742=TRUE)*MIN(1,8*(1+Inputs!$B$34/100)*Q2742)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2742*(1-MIN(100,(Inputs!$B$9+((C2758=TRUE)*(F2758-Calc!F19))+B2770+(ArtifactsInput!$M$24-ArtifactsInput!$M$24)*CHOOSE(ArtifactsInput!$N$24+1,10,12,14,16,18,20)+(IF(AND(Inputs!$B$38&lt;&gt;"pvp",Inputs!$B$43=0),1,IF(IF(Inputs!$B$38="pvp",15,Inputs!$B$43)-(B2777)&lt;=0,1,MAX(0,IF(Inputs!$B$38="pvp",15,Inputs!$B$43)-MAX(5,B2777))/(IF(Inputs!$B$38="pvp",15,Inputs!$B$43)-(B2777))))*IF(AND(ArtifactsInput!$M$42,((Inputs!$B$9+((C2758=TRUE)*(F2758-Calc!F19))+B2770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2742*(MIN(100,(Inputs!$B$9+((C2758=TRUE)*(F2758-Calc!F19))+B2770+(ArtifactsInput!$M$24-ArtifactsInput!$M$24)*CHOOSE(ArtifactsInput!$N$24+1,10,12,14,16,18,20)+(IF(AND(Inputs!$B$38&lt;&gt;"pvp",Inputs!$B$43=0),1,IF(IF(Inputs!$B$38="pvp",15,Inputs!$B$43)-(B2777)&lt;=0,1,MAX(0,IF(Inputs!$B$38="pvp",15,Inputs!$B$43)-MAX(5,B2777))/(IF(Inputs!$B$38="pvp",15,Inputs!$B$43)-(B2777))))*IF(AND(ArtifactsInput!$M$42,((Inputs!$B$9+((C2758=TRUE)*(F2758-Calc!F19))+B2770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2742*(1-MIN(100,(Inputs!$B$9+((C2758=TRUE)*(F2758-Calc!F19))+B2770+(ArtifactsInput!$M$24-ArtifactsInput!$M$24)*CHOOSE(ArtifactsInput!$N$24+1,10,12,14,16,18,20)+(IF(AND(Inputs!$B$38&lt;&gt;"pvp",Inputs!$B$43=0),1,IF(IF(Inputs!$B$38="pvp",15,Inputs!$B$43)-(B2777)&lt;=0,1,MAX(0,IF(Inputs!$B$38="pvp",15,Inputs!$B$43)-MAX(5,B2777))/(IF(Inputs!$B$38="pvp",15,Inputs!$B$43)-(B2777))))*IF(AND(ArtifactsInput!$M$42,((Inputs!$B$9+((C2758=TRUE)*(F2758-Calc!F19))+B2770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2742*(MIN(100,(Inputs!$B$9+((C2758=TRUE)*(F2758-Calc!F19))+B2770+(ArtifactsInput!$M$24-ArtifactsInput!$M$24)*CHOOSE(ArtifactsInput!$N$24+1,10,12,14,16,18,20)+(IF(AND(Inputs!$B$38&lt;&gt;"pvp",Inputs!$B$43=0),1,IF(IF(Inputs!$B$38="pvp",15,Inputs!$B$43)-(B2777)&lt;=0,1,MAX(0,IF(Inputs!$B$38="pvp",15,Inputs!$B$43)-MAX(5,B2777))/(IF(Inputs!$B$38="pvp",15,Inputs!$B$43)-(B2777))))*IF(AND(ArtifactsInput!$M$42,((Inputs!$B$9+((C2758=TRUE)*(F2758-Calc!F19))+B2770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742">
        <f>INDEX(FactorTable!$B$2:$Y$301, MATCH(ROUND(MIN(300,MAX(1,U2741)),0), FactorTable!$A$2:$A$301,0), 22)</f>
        <v/>
      </c>
      <c r="V2742">
        <f>IF(C2742,(H2742*N2742*IF(AND(Inputs!$B$38&lt;&gt;"pvp",Inputs!$B$43&gt;0),((Skills!G3*((R2742-1)*IF(Skills!H3&gt;0,INT(Skills!I3/Skills!H3+0.000000001),1)+IF(Skills!H3&gt;0,INT(MIN(Skills!I3,MAX(0,MAX(0,Inputs!$B$43-B2777)-((R2742-1)*(IF(Inputs!$B$38="pvp",15,MAX(0.1,Skills!D3-IF(TRUE=TRUE,Inputs!$B$32,0)))*(1-IF(AND(ArtifactsInput!$M$27,Inputs!$B$4="Chapter Hunt"),CHOOSE(ArtifactsInput!$N$27+1,20,24,28,32,36,40),0)/100)))))/Skills!H3+0.000000001),1)))/Inputs!$B$43),G2742*Q2742))*IF(Inputs!$B$38="pvp",1,(1+(Inputs!$B$21+Skills!Q3+(IF(ArtifactsInput!$M$33,CHOOSE(ArtifactsInput!$N$33+1,30,36,42,48,54,60),0))+(IF(AND(ArtifactsInput!$M$35,Inputs!$B$4&lt;&gt;"Chapter Hunt"),CHOOSE(ArtifactsInput!$N$35+1,15,18,21,24,27,30)*(1-EXP(-(0.2*B2772)*5)),0)+IF(AND(ArtifactsInput!$M$22,Inputs!$B$4&lt;&gt;"Chapter Hunt"),CHOOSE(ArtifactsInput!$N$22+1,10,12,14,16,18,20)*((0*(((0.15*B2772*5))^0/1)+1*(((0.15*B2772*5))^1/1)+2*(((0.15*B2772*5))^2/2)+3*(((0.15*B2772*5))^3/6)+4*(((0.15*B2772*5))^4/24)+5*(((0.15*B2772*5))^5/120))/((((0.15*B2772*5))^0/1)+(((0.15*B2772*5))^1/1)+(((0.15*B2772*5))^2/2)+(((0.15*B2772*5))^3/6)+(((0.15*B2772*5))^4/24)+(((0.15*B2772*5))^5/120))),0))+IF(Inputs!$B$3&gt;=54,9*(C2742=TRUE)*MIN(1,8*(1+Inputs!$B$34/100)*Q2742),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43">
      <c r="A2743">
        <f>Skills!A4</f>
        <v/>
      </c>
      <c r="B2743">
        <f>Skills!B4</f>
        <v/>
      </c>
      <c r="C2743">
        <f>Inputs!$B$3&gt;=35</f>
        <v/>
      </c>
      <c r="D2743">
        <f>IF(Skills!C4=1,60+Inputs!$B$25+Inputs!$B$29,IF(Skills!C4=2,90+Inputs!$B$26+Inputs!$B$29,IF(Skills!C4=3,120+Inputs!$B$27+Inputs!$B$29,MAX(0,(Inputs!$B$3-100)*3)+Inputs!$B$28+Inputs!$B$29)))</f>
        <v/>
      </c>
      <c r="E2743">
        <f>INDEX(FactorTable!$B$2:$Y$301, MATCH(ROUND(MIN(300,MAX(1,D2743)),0), FactorTable!$A$2:$A$301,0), Skills!M4+1)</f>
        <v/>
      </c>
      <c r="F2743">
        <f>IF(Skills!N4=TRUE,(Skills!L4/10)*(E2743/1000),Skills!L4/10)+Skills!O4</f>
        <v/>
      </c>
      <c r="G2743">
        <f>Skills!G4*IF(Skills!H4&gt;0,INT(IF(Inputs!$B$38="pvp",MIN(IF(Inputs!$B$3&gt;=104,MIN(35,20*(1+Inputs!$B$34/100)),20),15),IF(Inputs!$B$3&gt;=104,MIN(35,20*(1+Inputs!$B$34/100)),20))/Skills!H4+0.000000001),1)</f>
        <v/>
      </c>
      <c r="H2743">
        <f>1-(1-Skills!J4/100)^Skills!K4</f>
        <v/>
      </c>
      <c r="I2743" t="inlineStr">
        <is>
          <t>1</t>
        </is>
      </c>
      <c r="J2743">
        <f>((Inputs!$B$6*(1+Inputs!$B$7/100))+(((Inputs!$B$12*(1+Inputs!$B$13/100))-(Inputs!$B$12*(1+Inputs!$B$13/100)))+0.25*(Inputs!$B$14-Inputs!$B$14))*(1+Inputs!$B$7/100))*(F2743/100)</f>
        <v/>
      </c>
      <c r="K2743">
        <f>J2743*(1+((Inputs!$B$12*(1+Inputs!$B$13/100))*0.01+Inputs!$B$14*0.0025)/100)*(1+Inputs!$B$15/100)*(1+Inputs!$B$16/100)*(5000/(6000+Inputs!$B$42*(1-(100*(1-(1-(Inputs!$B$19+0)/100)*(1-CHOOSE(ArtifactsInput!$N$40+1,5,6,7,8,9,10)/100)^(ArtifactsInput!$M$40-ArtifactsInput!$M$40)))/100)))*(1+(Inputs!$B$24+((C2765=TRUE)*(F2765-Calc!F26))+B2776)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IF(ArtifactsInput!$M$39,FALSE,TRUE)-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2755=TRUE,F2755,0)/100)*(1+(IF(Skills!A4="EIGHT_LEGS_EASTON",Inputs!$B$17+((C2762=TRUE)*(F2762-Calc!F23))+((C2766=TRUE)*(F2766-Calc!F27))+((IF(AND(Inputs!$B$38&lt;&gt;"pvp",Inputs!$B$43=0),1,IF(IF(Inputs!$B$38="pvp",15,Inputs!$B$43)-(B2777)&lt;=0,1,MAX(0,IF(Inputs!$B$38="pvp",15,Inputs!$B$43)-MAX(5,B2777))/(IF(Inputs!$B$38="pvp",15,Inputs!$B$43)-(B2777))))*(IF(AND(ArtifactsInput!$M$42,((Inputs!$B$9+((C2758=TRUE)*(F2758-Calc!F19))+B2770+(ArtifactsInput!$M$24-ArtifactsInput!$M$24)*CHOOSE(ArtifactsInput!$N$24+1,10,12,14,16,18,20)+IF(ArtifactsInput!$M$10,CHOOSE(ArtifactsInput!$N$10+1,15,18,21,24,27,30)*(IF(Inputs!$B$38="pvp",MIN(15,15)/15,IF(AND(Inputs!$B$38&lt;&gt;"pvp",Inputs!$B$43&gt;0),MIN(15,Inputs!$B$43)/(Inputs!$B$43),0))),0)))&gt;=100),MIN(100,((Inputs!$B$9+((C2758=TRUE)*(F2758-Calc!F19))+B2770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2777)&lt;=0,1,MAX(0,IF(Inputs!$B$38="pvp",15,Inputs!$B$43)-MAX(5,B2777))/(IF(Inputs!$B$38="pvp",15,Inputs!$B$43)-(B2777))))*IF(AND(ArtifactsInput!$M$42,((Inputs!$B$9+((C2758=TRUE)*(F2758-Calc!F19))+B2770+(ArtifactsInput!$M$24-ArtifactsInput!$M$24)*CHOOSE(ArtifactsInput!$N$24+1,10,12,14,16,18,20)+IF(ArtifactsInput!$M$10,CHOOSE(ArtifactsInput!$N$10+1,15,18,21,24,27,30)*(IF(Inputs!$B$38="pvp",MIN(15,15)/15,IF(AND(Inputs!$B$38&lt;&gt;"pvp",Inputs!$B$43&gt;0),MIN(15,Inputs!$B$43)/(Inputs!$B$43),0))),0)))&gt;=100),CHOOSE(ArtifactsInput!$N$42+1,40,48,56,64,72,80),0))))/100)*((1+(((C2756=TRUE)*F2756*5/7)+((C2763=TRUE)*(F2763-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2743)</f>
        <v/>
      </c>
      <c r="L2743">
        <f>K2743*(MIN(Inputs!$B$22+((C2761=TRUE)*(F2761-Calc!F22)),(Inputs!$B$23+0+(IF(ArtifactsInput!$M$15,CHOOSE(ArtifactsInput!$N$15+1,25,30,35,40,45,50)/100*(Inputs!$B$11-Inputs!$B$11),0))))/100+(Inputs!$B$23+0+(IF(ArtifactsInput!$M$15,CHOOSE(ArtifactsInput!$N$15+1,25,30,35,40,45,50)/100*(Inputs!$B$11-Inputs!$B$11),0)))/100)/2</f>
        <v/>
      </c>
      <c r="M2743">
        <f>L2743*(1+(Inputs!$B$10+((C2764=TRUE)*(F2764-Calc!F25))+B2775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43">
        <f>L2743*(1-MIN((Inputs!$B$9+((C2758=TRUE)*(F2758-Calc!F19))+B2770+(ArtifactsInput!$M$24-ArtifactsInput!$M$24)*CHOOSE(ArtifactsInput!$N$24+1,10,12,14,16,18,20)+(IF(AND(Inputs!$B$38&lt;&gt;"pvp",Inputs!$B$43=0),1,IF(IF(Inputs!$B$38="pvp",15,Inputs!$B$43)-(B2777)&lt;=0,1,MAX(0,IF(Inputs!$B$38="pvp",15,Inputs!$B$43)-MAX(5,B2777))/(IF(Inputs!$B$38="pvp",15,Inputs!$B$43)-(B2777))))*IF(AND(ArtifactsInput!$M$42,((Inputs!$B$9+((C2758=TRUE)*(F2758-Calc!F19))+B2770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2743*(MIN((Inputs!$B$9+((C2758=TRUE)*(F2758-Calc!F19))+B2770+(ArtifactsInput!$M$24-ArtifactsInput!$M$24)*CHOOSE(ArtifactsInput!$N$24+1,10,12,14,16,18,20)+(IF(AND(Inputs!$B$38&lt;&gt;"pvp",Inputs!$B$43=0),1,IF(IF(Inputs!$B$38="pvp",15,Inputs!$B$43)-(B2777)&lt;=0,1,MAX(0,IF(Inputs!$B$38="pvp",15,Inputs!$B$43)-MAX(5,B2777))/(IF(Inputs!$B$38="pvp",15,Inputs!$B$43)-(B2777))))*IF(AND(ArtifactsInput!$M$42,((Inputs!$B$9+((C2758=TRUE)*(F2758-Calc!F19))+B2770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43">
        <f>(1-Summary!$B$11)*T2743+Summary!$B$11*V2743</f>
        <v/>
      </c>
      <c r="P2743">
        <f>IF(B2780=0,0,O2743/B2780)</f>
        <v/>
      </c>
      <c r="Q2743">
        <f>IFERROR(1/(IF(Inputs!$B$38="pvp",15,MAX(0.1,Skills!D4-IF(TRUE=TRUE,Inputs!$B$32,0)))*(1-IF(AND(ArtifactsInput!$M$27,Inputs!$B$4="Chapter Hunt"),CHOOSE(ArtifactsInput!$N$27+1,20,24,28,32,36,40),0)/100)),0)</f>
        <v/>
      </c>
      <c r="R2743">
        <f>IF(AND(Inputs!$B$38&lt;&gt;"pvp",Inputs!$B$43&gt;0),IF(MAX(0,Inputs!$B$43-B2777)&lt;=0,0,(INT(MAX(0,Inputs!$B$43-B2777)/(IF(Inputs!$B$38="pvp",15,MAX(0.1,Skills!D4-IF(TRUE=TRUE,Inputs!$B$32,0)))*(1-IF(AND(ArtifactsInput!$M$27,Inputs!$B$4="Chapter Hunt"),CHOOSE(ArtifactsInput!$N$27+1,20,24,28,32,36,40),0)/100)))+1)),0)</f>
        <v/>
      </c>
      <c r="S2743">
        <f>IFERROR(O2743/N2743,0)</f>
        <v/>
      </c>
      <c r="T2743">
        <f>IF(C2743,(H2743*N2743*IF(AND(Inputs!$B$38&lt;&gt;"pvp",Inputs!$B$43&gt;0),((Skills!G4*((R2743-1)*IF(Skills!H4&gt;0,INT(IF(Inputs!$B$3&gt;=104,MIN(35,20*(1+Inputs!$B$34/100)),20)/Skills!H4+0.000000001),1)+IF(Skills!H4&gt;0,INT(MIN(IF(Inputs!$B$3&gt;=104,MIN(35,20*(1+Inputs!$B$34/100)),20),MAX(0,MAX(0,Inputs!$B$43-B2777)-((R2743-1)*(IF(Inputs!$B$38="pvp",15,MAX(0.1,Skills!D4-IF(TRUE=TRUE,Inputs!$B$32,0)))*(1-IF(AND(ArtifactsInput!$M$27,Inputs!$B$4="Chapter Hunt"),CHOOSE(ArtifactsInput!$N$27+1,20,24,28,32,36,40),0)/100)))))/Skills!H4+0.000000001),1)))/Inputs!$B$43),G2743*Q2743))*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Hunt"),CHOOSE(ArtifactsInput!$N$35+1,15,18,21,24,27,30)*(1-EXP(-(0.2*B2772)*5)),0)+IF(AND(ArtifactsInput!$M$22,Inputs!$B$4&lt;&gt;"Chapter Hunt"),CHOOSE(ArtifactsInput!$N$22+1,10,12,14,16,18,20)*((0*(((0.15*B2772*5))^0/1)+1*(((0.15*B2772*5))^1/1)+2*(((0.15*B2772*5))^2/2)+3*(((0.15*B2772*5))^3/6)+4*(((0.15*B2772*5))^4/24)+5*(((0.15*B2772*5))^5/120))/((((0.15*B2772*5))^0/1)+(((0.15*B2772*5))^1/1)+(((0.15*B2772*5))^2/2)+(((0.15*B2772*5))^3/6)+(((0.15*B2772*5))^4/24)+(((0.15*B2772*5))^5/120))),0))+IF(Inputs!$B$3&gt;=54,9*(C2742=TRUE)*MIN(1,8*(1+Inputs!$B$34/100)*Q2742)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2743*(1-MIN(100,(Inputs!$B$9+((C2758=TRUE)*(F2758-Calc!F19))+B2770+(ArtifactsInput!$M$24-ArtifactsInput!$M$24)*CHOOSE(ArtifactsInput!$N$24+1,10,12,14,16,18,20)+(IF(AND(Inputs!$B$38&lt;&gt;"pvp",Inputs!$B$43=0),1,IF(IF(Inputs!$B$38="pvp",15,Inputs!$B$43)-(B2777)&lt;=0,1,MAX(0,IF(Inputs!$B$38="pvp",15,Inputs!$B$43)-MAX(5,B2777))/(IF(Inputs!$B$38="pvp",15,Inputs!$B$43)-(B2777))))*IF(AND(ArtifactsInput!$M$42,((Inputs!$B$9+((C2758=TRUE)*(F2758-Calc!F19))+B2770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2743*(MIN(100,(Inputs!$B$9+((C2758=TRUE)*(F2758-Calc!F19))+B2770+(ArtifactsInput!$M$24-ArtifactsInput!$M$24)*CHOOSE(ArtifactsInput!$N$24+1,10,12,14,16,18,20)+(IF(AND(Inputs!$B$38&lt;&gt;"pvp",Inputs!$B$43=0),1,IF(IF(Inputs!$B$38="pvp",15,Inputs!$B$43)-(B2777)&lt;=0,1,MAX(0,IF(Inputs!$B$38="pvp",15,Inputs!$B$43)-MAX(5,B2777))/(IF(Inputs!$B$38="pvp",15,Inputs!$B$43)-(B2777))))*IF(AND(ArtifactsInput!$M$42,((Inputs!$B$9+((C2758=TRUE)*(F2758-Calc!F19))+B2770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2743*(1-MIN(100,(Inputs!$B$9+((C2758=TRUE)*(F2758-Calc!F19))+B2770+(ArtifactsInput!$M$24-ArtifactsInput!$M$24)*CHOOSE(ArtifactsInput!$N$24+1,10,12,14,16,18,20)+(IF(AND(Inputs!$B$38&lt;&gt;"pvp",Inputs!$B$43=0),1,IF(IF(Inputs!$B$38="pvp",15,Inputs!$B$43)-(B2777)&lt;=0,1,MAX(0,IF(Inputs!$B$38="pvp",15,Inputs!$B$43)-MAX(5,B2777))/(IF(Inputs!$B$38="pvp",15,Inputs!$B$43)-(B2777))))*IF(AND(ArtifactsInput!$M$42,((Inputs!$B$9+((C2758=TRUE)*(F2758-Calc!F19))+B2770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2743*(MIN(100,(Inputs!$B$9+((C2758=TRUE)*(F2758-Calc!F19))+B2770+(ArtifactsInput!$M$24-ArtifactsInput!$M$24)*CHOOSE(ArtifactsInput!$N$24+1,10,12,14,16,18,20)+(IF(AND(Inputs!$B$38&lt;&gt;"pvp",Inputs!$B$43=0),1,IF(IF(Inputs!$B$38="pvp",15,Inputs!$B$43)-(B2777)&lt;=0,1,MAX(0,IF(Inputs!$B$38="pvp",15,Inputs!$B$43)-MAX(5,B2777))/(IF(Inputs!$B$38="pvp",15,Inputs!$B$43)-(B2777))))*IF(AND(ArtifactsInput!$M$42,((Inputs!$B$9+((C2758=TRUE)*(F2758-Calc!F19))+B2770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743">
        <f>290*U2742/1000</f>
        <v/>
      </c>
      <c r="V2743">
        <f>IF(C2743,(H2743*N2743*IF(AND(Inputs!$B$38&lt;&gt;"pvp",Inputs!$B$43&gt;0),((Skills!G4*((R2743-1)*IF(Skills!H4&gt;0,INT(IF(Inputs!$B$3&gt;=104,MIN(35,20*(1+Inputs!$B$34/100)),20)/Skills!H4+0.000000001),1)+IF(Skills!H4&gt;0,INT(MIN(IF(Inputs!$B$3&gt;=104,MIN(35,20*(1+Inputs!$B$34/100)),20),MAX(0,MAX(0,Inputs!$B$43-B2777)-((R2743-1)*(IF(Inputs!$B$38="pvp",15,MAX(0.1,Skills!D4-IF(TRUE=TRUE,Inputs!$B$32,0)))*(1-IF(AND(ArtifactsInput!$M$27,Inputs!$B$4="Chapter Hunt"),CHOOSE(ArtifactsInput!$N$27+1,20,24,28,32,36,40),0)/100)))))/Skills!H4+0.000000001),1)))/Inputs!$B$43),G2743*Q2743))*IF(Inputs!$B$38="pvp",1,(1+(Inputs!$B$21+Skills!Q4+(IF(ArtifactsInput!$M$33,CHOOSE(ArtifactsInput!$N$33+1,30,36,42,48,54,60),0))+(IF(AND(ArtifactsInput!$M$35,Inputs!$B$4&lt;&gt;"Chapter Hunt"),CHOOSE(ArtifactsInput!$N$35+1,15,18,21,24,27,30)*(1-EXP(-(0.2*B2772)*5)),0)+IF(AND(ArtifactsInput!$M$22,Inputs!$B$4&lt;&gt;"Chapter Hunt"),CHOOSE(ArtifactsInput!$N$22+1,10,12,14,16,18,20)*((0*(((0.15*B2772*5))^0/1)+1*(((0.15*B2772*5))^1/1)+2*(((0.15*B2772*5))^2/2)+3*(((0.15*B2772*5))^3/6)+4*(((0.15*B2772*5))^4/24)+5*(((0.15*B2772*5))^5/120))/((((0.15*B2772*5))^0/1)+(((0.15*B2772*5))^1/1)+(((0.15*B2772*5))^2/2)+(((0.15*B2772*5))^3/6)+(((0.15*B2772*5))^4/24)+(((0.15*B2772*5))^5/120))),0))+IF(Inputs!$B$3&gt;=54,9*(C2742=TRUE)*MIN(1,8*(1+Inputs!$B$34/100)*Q2742),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44">
      <c r="A2744">
        <f>Skills!A5</f>
        <v/>
      </c>
      <c r="B2744">
        <f>Skills!B5</f>
        <v/>
      </c>
      <c r="C2744">
        <f>Inputs!$B$3&gt;=69</f>
        <v/>
      </c>
      <c r="D2744">
        <f>IF(Skills!C5=1,60+Inputs!$B$25+Inputs!$B$29,IF(Skills!C5=2,90+Inputs!$B$26+Inputs!$B$29,IF(Skills!C5=3,120+Inputs!$B$27+Inputs!$B$29,MAX(0,(Inputs!$B$3-100)*3)+Inputs!$B$28+Inputs!$B$29)))</f>
        <v/>
      </c>
      <c r="E2744">
        <f>INDEX(FactorTable!$B$2:$Y$301, MATCH(ROUND(MIN(300,MAX(1,D2744)),0), FactorTable!$A$2:$A$301,0), Skills!M5+1)</f>
        <v/>
      </c>
      <c r="F2744">
        <f>IF(Skills!N5=TRUE,(Skills!L5/10)*(E2744/1000),Skills!L5/10)+Skills!O5</f>
        <v/>
      </c>
      <c r="G2744">
        <f>Skills!G5*IF(Skills!H5&gt;0,INT(IF(Inputs!$B$38="pvp",MIN(IF(Inputs!$B$3&gt;=104,MIN(35,20*(1+Inputs!$B$34/100)),20),15),IF(Inputs!$B$3&gt;=104,MIN(35,20*(1+Inputs!$B$34/100)),20))/Skills!H5+0.000000001),1)</f>
        <v/>
      </c>
      <c r="H2744">
        <f>1-(1-Skills!J5/100)^Skills!K5</f>
        <v/>
      </c>
      <c r="I2744" t="inlineStr">
        <is>
          <t>1</t>
        </is>
      </c>
      <c r="J2744">
        <f>((Inputs!$B$6*(1+Inputs!$B$7/100))+(((Inputs!$B$12*(1+Inputs!$B$13/100))-(Inputs!$B$12*(1+Inputs!$B$13/100)))+0.25*(Inputs!$B$14-Inputs!$B$14))*(1+Inputs!$B$7/100))*(F2744/100)</f>
        <v/>
      </c>
      <c r="K2744">
        <f>J2744*(1+((Inputs!$B$12*(1+Inputs!$B$13/100))*0.01+Inputs!$B$14*0.0025)/100)*(1+Inputs!$B$15/100)*(1+Inputs!$B$16/100)*(5000/(6000+Inputs!$B$42*(1-(100*(1-(1-(Inputs!$B$19+0)/100)*(1-CHOOSE(ArtifactsInput!$N$40+1,5,6,7,8,9,10)/100)^(ArtifactsInput!$M$40-ArtifactsInput!$M$40)))/100)))*(1+(Inputs!$B$24+((C2765=TRUE)*(F2765-Calc!F26))+B2776)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IF(ArtifactsInput!$M$39,FALSE,TRUE)-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+0.4*IF(C2755=TRUE,F2755,0)/100)*(1+(IF(Skills!A5="EIGHT_LEGS_EASTON",Inputs!$B$17+((C2762=TRUE)*(F2762-Calc!F23))+((C2766=TRUE)*(F2766-Calc!F27))+((IF(AND(Inputs!$B$38&lt;&gt;"pvp",Inputs!$B$43=0),1,IF(IF(Inputs!$B$38="pvp",15,Inputs!$B$43)-(B2777)&lt;=0,1,MAX(0,IF(Inputs!$B$38="pvp",15,Inputs!$B$43)-MAX(5,B2777))/(IF(Inputs!$B$38="pvp",15,Inputs!$B$43)-(B2777))))*(IF(AND(ArtifactsInput!$M$42,((Inputs!$B$9+((C2758=TRUE)*(F2758-Calc!F19))+B2770+(ArtifactsInput!$M$24-ArtifactsInput!$M$24)*CHOOSE(ArtifactsInput!$N$24+1,10,12,14,16,18,20)+IF(ArtifactsInput!$M$10,CHOOSE(ArtifactsInput!$N$10+1,15,18,21,24,27,30)*(IF(Inputs!$B$38="pvp",MIN(15,15)/15,IF(AND(Inputs!$B$38&lt;&gt;"pvp",Inputs!$B$43&gt;0),MIN(15,Inputs!$B$43)/(Inputs!$B$43),0))),0)))&gt;=100),MIN(100,((Inputs!$B$9+((C2758=TRUE)*(F2758-Calc!F19))+B2770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2777)&lt;=0,1,MAX(0,IF(Inputs!$B$38="pvp",15,Inputs!$B$43)-MAX(5,B2777))/(IF(Inputs!$B$38="pvp",15,Inputs!$B$43)-(B2777))))*IF(AND(ArtifactsInput!$M$42,((Inputs!$B$9+((C2758=TRUE)*(F2758-Calc!F19))+B2770+(ArtifactsInput!$M$24-ArtifactsInput!$M$24)*CHOOSE(ArtifactsInput!$N$24+1,10,12,14,16,18,20)+IF(ArtifactsInput!$M$10,CHOOSE(ArtifactsInput!$N$10+1,15,18,21,24,27,30)*(IF(Inputs!$B$38="pvp",MIN(15,15)/15,IF(AND(Inputs!$B$38&lt;&gt;"pvp",Inputs!$B$43&gt;0),MIN(15,Inputs!$B$43)/(Inputs!$B$43),0))),0)))&gt;=100),CHOOSE(ArtifactsInput!$N$42+1,40,48,56,64,72,80),0))))/100)*((1+(((C2756=TRUE)*F2756*5/7)+((C2763=TRUE)*(F2763-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2744)</f>
        <v/>
      </c>
      <c r="L2744">
        <f>K2744*(MIN(Inputs!$B$22+((C2761=TRUE)*(F2761-Calc!F22)),(Inputs!$B$23+0+(IF(ArtifactsInput!$M$15,CHOOSE(ArtifactsInput!$N$15+1,25,30,35,40,45,50)/100*(Inputs!$B$11-Inputs!$B$11),0))))/100+(Inputs!$B$23+0+(IF(ArtifactsInput!$M$15,CHOOSE(ArtifactsInput!$N$15+1,25,30,35,40,45,50)/100*(Inputs!$B$11-Inputs!$B$11),0)))/100)/2</f>
        <v/>
      </c>
      <c r="M2744">
        <f>L2744*(1+(Inputs!$B$10+((C2764=TRUE)*(F2764-Calc!F25))+B2775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44">
        <f>L2744*(1-MIN((Inputs!$B$9+((C2758=TRUE)*(F2758-Calc!F19))+B2770+(ArtifactsInput!$M$24-ArtifactsInput!$M$24)*CHOOSE(ArtifactsInput!$N$24+1,10,12,14,16,18,20)+(IF(AND(Inputs!$B$38&lt;&gt;"pvp",Inputs!$B$43=0),1,IF(IF(Inputs!$B$38="pvp",15,Inputs!$B$43)-(B2777)&lt;=0,1,MAX(0,IF(Inputs!$B$38="pvp",15,Inputs!$B$43)-MAX(5,B2777))/(IF(Inputs!$B$38="pvp",15,Inputs!$B$43)-(B2777))))*IF(AND(ArtifactsInput!$M$42,((Inputs!$B$9+((C2758=TRUE)*(F2758-Calc!F19))+B2770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2744*(MIN((Inputs!$B$9+((C2758=TRUE)*(F2758-Calc!F19))+B2770+(ArtifactsInput!$M$24-ArtifactsInput!$M$24)*CHOOSE(ArtifactsInput!$N$24+1,10,12,14,16,18,20)+(IF(AND(Inputs!$B$38&lt;&gt;"pvp",Inputs!$B$43=0),1,IF(IF(Inputs!$B$38="pvp",15,Inputs!$B$43)-(B2777)&lt;=0,1,MAX(0,IF(Inputs!$B$38="pvp",15,Inputs!$B$43)-MAX(5,B2777))/(IF(Inputs!$B$38="pvp",15,Inputs!$B$43)-(B2777))))*IF(AND(ArtifactsInput!$M$42,((Inputs!$B$9+((C2758=TRUE)*(F2758-Calc!F19))+B2770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44">
        <f>(1-Summary!$B$11)*T2744+Summary!$B$11*V2744</f>
        <v/>
      </c>
      <c r="P2744">
        <f>IF(B2780=0,0,O2744/B2780)</f>
        <v/>
      </c>
      <c r="Q2744">
        <f>IFERROR(1/(IF(Inputs!$B$38="pvp",15,MAX(0.1,Skills!D5-IF(TRUE=TRUE,Inputs!$B$32,0)))*(1-IF(AND(ArtifactsInput!$M$27,Inputs!$B$4="Chapter Hunt"),CHOOSE(ArtifactsInput!$N$27+1,20,24,28,32,36,40),0)/100)),0)</f>
        <v/>
      </c>
      <c r="R2744">
        <f>IF(AND(Inputs!$B$38&lt;&gt;"pvp",Inputs!$B$43&gt;0),IF(MAX(0,Inputs!$B$43-B2777)&lt;=0,0,(INT(MAX(0,Inputs!$B$43-B2777)/(IF(Inputs!$B$38="pvp",15,MAX(0.1,Skills!D5-IF(TRUE=TRUE,Inputs!$B$32,0)))*(1-IF(AND(ArtifactsInput!$M$27,Inputs!$B$4="Chapter Hunt"),CHOOSE(ArtifactsInput!$N$27+1,20,24,28,32,36,40),0)/100)))+1)),0)</f>
        <v/>
      </c>
      <c r="S2744">
        <f>IFERROR(O2744/N2744,0)</f>
        <v/>
      </c>
      <c r="T2744">
        <f>IF(C2744,(H2744*N2744*IF(AND(Inputs!$B$38&lt;&gt;"pvp",Inputs!$B$43&gt;0),((Skills!G5*((R2744-1)*IF(Skills!H5&gt;0,INT(IF(Inputs!$B$3&gt;=104,MIN(35,20*(1+Inputs!$B$34/100)),20)/Skills!H5+0.000000001),1)+IF(Skills!H5&gt;0,INT(MIN(IF(Inputs!$B$3&gt;=104,MIN(35,20*(1+Inputs!$B$34/100)),20),MAX(0,MAX(0,Inputs!$B$43-B2777)-((R2744-1)*(IF(Inputs!$B$38="pvp",15,MAX(0.1,Skills!D5-IF(TRUE=TRUE,Inputs!$B$32,0)))*(1-IF(AND(ArtifactsInput!$M$27,Inputs!$B$4="Chapter Hunt"),CHOOSE(ArtifactsInput!$N$27+1,20,24,28,32,36,40),0)/100)))))/Skills!H5+0.000000001),1)))/Inputs!$B$43),G2744*Q2744))*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Hunt"),CHOOSE(ArtifactsInput!$N$35+1,15,18,21,24,27,30)*(1-EXP(-(0.2*B2772)*5)),0)+IF(AND(ArtifactsInput!$M$22,Inputs!$B$4&lt;&gt;"Chapter Hunt"),CHOOSE(ArtifactsInput!$N$22+1,10,12,14,16,18,20)*((0*(((0.15*B2772*5))^0/1)+1*(((0.15*B2772*5))^1/1)+2*(((0.15*B2772*5))^2/2)+3*(((0.15*B2772*5))^3/6)+4*(((0.15*B2772*5))^4/24)+5*(((0.15*B2772*5))^5/120))/((((0.15*B2772*5))^0/1)+(((0.15*B2772*5))^1/1)+(((0.15*B2772*5))^2/2)+(((0.15*B2772*5))^3/6)+(((0.15*B2772*5))^4/24)+(((0.15*B2772*5))^5/120))),0))+IF(Inputs!$B$3&gt;=54,9*(C2742=TRUE)*MIN(1,8*(1+Inputs!$B$34/100)*Q2742)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2744*(1-MIN(100,(Inputs!$B$9+((C2758=TRUE)*(F2758-Calc!F19))+B2770+(ArtifactsInput!$M$24-ArtifactsInput!$M$24)*CHOOSE(ArtifactsInput!$N$24+1,10,12,14,16,18,20)+(IF(AND(Inputs!$B$38&lt;&gt;"pvp",Inputs!$B$43=0),1,IF(IF(Inputs!$B$38="pvp",15,Inputs!$B$43)-(B2777)&lt;=0,1,MAX(0,IF(Inputs!$B$38="pvp",15,Inputs!$B$43)-MAX(5,B2777))/(IF(Inputs!$B$38="pvp",15,Inputs!$B$43)-(B2777))))*IF(AND(ArtifactsInput!$M$42,((Inputs!$B$9+((C2758=TRUE)*(F2758-Calc!F19))+B2770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2744*(MIN(100,(Inputs!$B$9+((C2758=TRUE)*(F2758-Calc!F19))+B2770+(ArtifactsInput!$M$24-ArtifactsInput!$M$24)*CHOOSE(ArtifactsInput!$N$24+1,10,12,14,16,18,20)+(IF(AND(Inputs!$B$38&lt;&gt;"pvp",Inputs!$B$43=0),1,IF(IF(Inputs!$B$38="pvp",15,Inputs!$B$43)-(B2777)&lt;=0,1,MAX(0,IF(Inputs!$B$38="pvp",15,Inputs!$B$43)-MAX(5,B2777))/(IF(Inputs!$B$38="pvp",15,Inputs!$B$43)-(B2777))))*IF(AND(ArtifactsInput!$M$42,((Inputs!$B$9+((C2758=TRUE)*(F2758-Calc!F19))+B2770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2744*(1-MIN(100,(Inputs!$B$9+((C2758=TRUE)*(F2758-Calc!F19))+B2770+(ArtifactsInput!$M$24-ArtifactsInput!$M$24)*CHOOSE(ArtifactsInput!$N$24+1,10,12,14,16,18,20)+(IF(AND(Inputs!$B$38&lt;&gt;"pvp",Inputs!$B$43=0),1,IF(IF(Inputs!$B$38="pvp",15,Inputs!$B$43)-(B2777)&lt;=0,1,MAX(0,IF(Inputs!$B$38="pvp",15,Inputs!$B$43)-MAX(5,B2777))/(IF(Inputs!$B$38="pvp",15,Inputs!$B$43)-(B2777))))*IF(AND(ArtifactsInput!$M$42,((Inputs!$B$9+((C2758=TRUE)*(F2758-Calc!F19))+B2770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2744*(MIN(100,(Inputs!$B$9+((C2758=TRUE)*(F2758-Calc!F19))+B2770+(ArtifactsInput!$M$24-ArtifactsInput!$M$24)*CHOOSE(ArtifactsInput!$N$24+1,10,12,14,16,18,20)+(IF(AND(Inputs!$B$38&lt;&gt;"pvp",Inputs!$B$43=0),1,IF(IF(Inputs!$B$38="pvp",15,Inputs!$B$43)-(B2777)&lt;=0,1,MAX(0,IF(Inputs!$B$38="pvp",15,Inputs!$B$43)-MAX(5,B2777))/(IF(Inputs!$B$38="pvp",15,Inputs!$B$43)-(B2777))))*IF(AND(ArtifactsInput!$M$42,((Inputs!$B$9+((C2758=TRUE)*(F2758-Calc!F19))+B2770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744">
        <f>IF(C2744,(H2744*N2744*IF(AND(Inputs!$B$38&lt;&gt;"pvp",Inputs!$B$43&gt;0),((Skills!G5*((R2744-1)*IF(Skills!H5&gt;0,INT(IF(Inputs!$B$3&gt;=104,MIN(35,20*(1+Inputs!$B$34/100)),20)/Skills!H5+0.000000001),1)+IF(Skills!H5&gt;0,INT(MIN(IF(Inputs!$B$3&gt;=104,MIN(35,20*(1+Inputs!$B$34/100)),20),MAX(0,MAX(0,Inputs!$B$43-B2777)-((R2744-1)*(IF(Inputs!$B$38="pvp",15,MAX(0.1,Skills!D5-IF(TRUE=TRUE,Inputs!$B$32,0)))*(1-IF(AND(ArtifactsInput!$M$27,Inputs!$B$4="Chapter Hunt"),CHOOSE(ArtifactsInput!$N$27+1,20,24,28,32,36,40),0)/100)))))/Skills!H5+0.000000001),1)))/Inputs!$B$43),G2744*Q2744))*IF(Inputs!$B$38="pvp",1,(1+(Inputs!$B$21+Skills!Q5+(IF(ArtifactsInput!$M$33,CHOOSE(ArtifactsInput!$N$33+1,30,36,42,48,54,60),0))+(IF(AND(ArtifactsInput!$M$35,Inputs!$B$4&lt;&gt;"Chapter Hunt"),CHOOSE(ArtifactsInput!$N$35+1,15,18,21,24,27,30)*(1-EXP(-(0.2*B2772)*5)),0)+IF(AND(ArtifactsInput!$M$22,Inputs!$B$4&lt;&gt;"Chapter Hunt"),CHOOSE(ArtifactsInput!$N$22+1,10,12,14,16,18,20)*((0*(((0.15*B2772*5))^0/1)+1*(((0.15*B2772*5))^1/1)+2*(((0.15*B2772*5))^2/2)+3*(((0.15*B2772*5))^3/6)+4*(((0.15*B2772*5))^4/24)+5*(((0.15*B2772*5))^5/120))/((((0.15*B2772*5))^0/1)+(((0.15*B2772*5))^1/1)+(((0.15*B2772*5))^2/2)+(((0.15*B2772*5))^3/6)+(((0.15*B2772*5))^4/24)+(((0.15*B2772*5))^5/120))),0))+IF(Inputs!$B$3&gt;=54,9*(C2742=TRUE)*MIN(1,8*(1+Inputs!$B$34/100)*Q2742),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45">
      <c r="A2745">
        <f>Skills!A6</f>
        <v/>
      </c>
      <c r="B2745">
        <f>Skills!B6</f>
        <v/>
      </c>
      <c r="C2745">
        <f>Inputs!$B$3&gt;=66</f>
        <v/>
      </c>
      <c r="D2745">
        <f>IF(Skills!C6=1,60+Inputs!$B$25+Inputs!$B$29,IF(Skills!C6=2,90+Inputs!$B$26+Inputs!$B$29,IF(Skills!C6=3,120+Inputs!$B$27+Inputs!$B$29,MAX(0,(Inputs!$B$3-100)*3)+Inputs!$B$28+Inputs!$B$29)))</f>
        <v/>
      </c>
      <c r="E2745">
        <f>INDEX(FactorTable!$B$2:$Y$301, MATCH(ROUND(MIN(300,MAX(1,D2745)),0), FactorTable!$A$2:$A$301,0), Skills!M6+1)</f>
        <v/>
      </c>
      <c r="F2745">
        <f>IF(Skills!N6=TRUE,(Skills!L6/10)*(E2745/1000),Skills!L6/10)+Skills!O6</f>
        <v/>
      </c>
      <c r="G2745">
        <f>Skills!G6*IF(Skills!H6&gt;0,INT(IF(Inputs!$B$38="pvp",MIN(Skills!I6,15),Skills!I6)/Skills!H6+0.000000001),1)</f>
        <v/>
      </c>
      <c r="H2745">
        <f>1-(1-Skills!J6/100)^Skills!K6</f>
        <v/>
      </c>
      <c r="I2745" t="inlineStr">
        <is>
          <t>1</t>
        </is>
      </c>
      <c r="J2745">
        <f>((Inputs!$B$6*(1+Inputs!$B$7/100))+(((Inputs!$B$12*(1+Inputs!$B$13/100))-(Inputs!$B$12*(1+Inputs!$B$13/100)))+0.25*(Inputs!$B$14-Inputs!$B$14))*(1+Inputs!$B$7/100))*(F2745/100)</f>
        <v/>
      </c>
      <c r="K2745">
        <f>J2745*(1+((Inputs!$B$12*(1+Inputs!$B$13/100))*0.01+Inputs!$B$14*0.0025)/100)*(1+Inputs!$B$15/100)*(1+Inputs!$B$16/100)*(5000/(6000+Inputs!$B$42*(1-(100*(1-(1-(Inputs!$B$19+0)/100)*(1-CHOOSE(ArtifactsInput!$N$40+1,5,6,7,8,9,10)/100)^(ArtifactsInput!$M$40-ArtifactsInput!$M$40)))/100)))*(1+(Inputs!$B$24+((C2765=TRUE)*(F2765-Calc!F26))+B2776)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IF(ArtifactsInput!$M$39,FALSE,TRUE)-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+2.0*IF(C2754=TRUE,F2754,0)/100)*(1+(IF(Skills!A6="EIGHT_LEGS_EASTON",Inputs!$B$17+((C2762=TRUE)*(F2762-Calc!F23))+((C2766=TRUE)*(F2766-Calc!F27))+((IF(AND(Inputs!$B$38&lt;&gt;"pvp",Inputs!$B$43=0),1,IF(IF(Inputs!$B$38="pvp",15,Inputs!$B$43)-(B2777)&lt;=0,1,MAX(0,IF(Inputs!$B$38="pvp",15,Inputs!$B$43)-MAX(5,B2777))/(IF(Inputs!$B$38="pvp",15,Inputs!$B$43)-(B2777))))*(IF(AND(ArtifactsInput!$M$42,((Inputs!$B$9+((C2758=TRUE)*(F2758-Calc!F19))+B2770+(ArtifactsInput!$M$24-ArtifactsInput!$M$24)*CHOOSE(ArtifactsInput!$N$24+1,10,12,14,16,18,20)+IF(ArtifactsInput!$M$10,CHOOSE(ArtifactsInput!$N$10+1,15,18,21,24,27,30)*(IF(Inputs!$B$38="pvp",MIN(15,15)/15,IF(AND(Inputs!$B$38&lt;&gt;"pvp",Inputs!$B$43&gt;0),MIN(15,Inputs!$B$43)/(Inputs!$B$43),0))),0)))&gt;=100),MIN(100,((Inputs!$B$9+((C2758=TRUE)*(F2758-Calc!F19))+B2770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2777)&lt;=0,1,MAX(0,IF(Inputs!$B$38="pvp",15,Inputs!$B$43)-MAX(5,B2777))/(IF(Inputs!$B$38="pvp",15,Inputs!$B$43)-(B2777))))*IF(AND(ArtifactsInput!$M$42,((Inputs!$B$9+((C2758=TRUE)*(F2758-Calc!F19))+B2770+(ArtifactsInput!$M$24-ArtifactsInput!$M$24)*CHOOSE(ArtifactsInput!$N$24+1,10,12,14,16,18,20)+IF(ArtifactsInput!$M$10,CHOOSE(ArtifactsInput!$N$10+1,15,18,21,24,27,30)*(IF(Inputs!$B$38="pvp",MIN(15,15)/15,IF(AND(Inputs!$B$38&lt;&gt;"pvp",Inputs!$B$43&gt;0),MIN(15,Inputs!$B$43)/(Inputs!$B$43),0))),0)))&gt;=100),CHOOSE(ArtifactsInput!$N$42+1,40,48,56,64,72,80),0))))/100)*((1+(((C2756=TRUE)*F2756*5/7)+((C2763=TRUE)*(F2763-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2745)</f>
        <v/>
      </c>
      <c r="L2745">
        <f>K2745*(MIN(Inputs!$B$22+((C2761=TRUE)*(F2761-Calc!F22)),(Inputs!$B$23+0+(IF(ArtifactsInput!$M$15,CHOOSE(ArtifactsInput!$N$15+1,25,30,35,40,45,50)/100*(Inputs!$B$11-Inputs!$B$11),0))))/100+(Inputs!$B$23+0+(IF(ArtifactsInput!$M$15,CHOOSE(ArtifactsInput!$N$15+1,25,30,35,40,45,50)/100*(Inputs!$B$11-Inputs!$B$11),0)))/100)/2</f>
        <v/>
      </c>
      <c r="M2745">
        <f>L2745*(1+(Inputs!$B$10+((C2764=TRUE)*(F2764-Calc!F25))+B2775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45">
        <f>L2745*(1-MIN((Inputs!$B$9+((C2758=TRUE)*(F2758-Calc!F19))+B2770+(ArtifactsInput!$M$24-ArtifactsInput!$M$24)*CHOOSE(ArtifactsInput!$N$24+1,10,12,14,16,18,20)+(IF(AND(Inputs!$B$38&lt;&gt;"pvp",Inputs!$B$43=0),1,IF(IF(Inputs!$B$38="pvp",15,Inputs!$B$43)-(B2777)&lt;=0,1,MAX(0,IF(Inputs!$B$38="pvp",15,Inputs!$B$43)-MAX(5,B2777))/(IF(Inputs!$B$38="pvp",15,Inputs!$B$43)-(B2777))))*IF(AND(ArtifactsInput!$M$42,((Inputs!$B$9+((C2758=TRUE)*(F2758-Calc!F19))+B2770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2745*(MIN((Inputs!$B$9+((C2758=TRUE)*(F2758-Calc!F19))+B2770+(ArtifactsInput!$M$24-ArtifactsInput!$M$24)*CHOOSE(ArtifactsInput!$N$24+1,10,12,14,16,18,20)+(IF(AND(Inputs!$B$38&lt;&gt;"pvp",Inputs!$B$43=0),1,IF(IF(Inputs!$B$38="pvp",15,Inputs!$B$43)-(B2777)&lt;=0,1,MAX(0,IF(Inputs!$B$38="pvp",15,Inputs!$B$43)-MAX(5,B2777))/(IF(Inputs!$B$38="pvp",15,Inputs!$B$43)-(B2777))))*IF(AND(ArtifactsInput!$M$42,((Inputs!$B$9+((C2758=TRUE)*(F2758-Calc!F19))+B2770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45">
        <f>(1-Summary!$B$11)*T2745+Summary!$B$11*V2745</f>
        <v/>
      </c>
      <c r="P2745">
        <f>IF(B2780=0,0,O2745/B2780)</f>
        <v/>
      </c>
      <c r="Q2745">
        <f>IFERROR(1/(IF(Inputs!$B$38="pvp",15,MAX(0.1,Skills!D6-IF(TRUE=TRUE,Inputs!$B$32,0)))*(1-IF(AND(ArtifactsInput!$M$27,Inputs!$B$4="Chapter Hunt"),CHOOSE(ArtifactsInput!$N$27+1,20,24,28,32,36,40),0)/100)),0)</f>
        <v/>
      </c>
      <c r="R2745">
        <f>IF(AND(Inputs!$B$38&lt;&gt;"pvp",Inputs!$B$43&gt;0),IF(MAX(0,Inputs!$B$43-B2777)&lt;=0,0,(INT(MAX(0,Inputs!$B$43-B2777)/(IF(Inputs!$B$38="pvp",15,MAX(0.1,Skills!D6-IF(TRUE=TRUE,Inputs!$B$32,0)))*(1-IF(AND(ArtifactsInput!$M$27,Inputs!$B$4="Chapter Hunt"),CHOOSE(ArtifactsInput!$N$27+1,20,24,28,32,36,40),0)/100)))+1)),0)</f>
        <v/>
      </c>
      <c r="S2745">
        <f>IFERROR(O2745/N2745,0)</f>
        <v/>
      </c>
      <c r="T2745">
        <f>IF(C2745,(H2745*N2745*IF(AND(Inputs!$B$38&lt;&gt;"pvp",Inputs!$B$43&gt;0),((Skills!G6*((R2745-1)*IF(Skills!H6&gt;0,INT(Skills!I6/Skills!H6+0.000000001),1)+IF(Skills!H6&gt;0,INT(MIN(Skills!I6,MAX(0,MAX(0,Inputs!$B$43-B2777)-((R2745-1)*(IF(Inputs!$B$38="pvp",15,MAX(0.1,Skills!D6-IF(TRUE=TRUE,Inputs!$B$32,0)))*(1-IF(AND(ArtifactsInput!$M$27,Inputs!$B$4="Chapter Hunt"),CHOOSE(ArtifactsInput!$N$27+1,20,24,28,32,36,40),0)/100)))))/Skills!H6+0.000000001),1)))/Inputs!$B$43),G2745*Q2745))*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Hunt"),CHOOSE(ArtifactsInput!$N$35+1,15,18,21,24,27,30)*(1-EXP(-(0.2*B2772)*5)),0)+IF(AND(ArtifactsInput!$M$22,Inputs!$B$4&lt;&gt;"Chapter Hunt"),CHOOSE(ArtifactsInput!$N$22+1,10,12,14,16,18,20)*((0*(((0.15*B2772*5))^0/1)+1*(((0.15*B2772*5))^1/1)+2*(((0.15*B2772*5))^2/2)+3*(((0.15*B2772*5))^3/6)+4*(((0.15*B2772*5))^4/24)+5*(((0.15*B2772*5))^5/120))/((((0.15*B2772*5))^0/1)+(((0.15*B2772*5))^1/1)+(((0.15*B2772*5))^2/2)+(((0.15*B2772*5))^3/6)+(((0.15*B2772*5))^4/24)+(((0.15*B2772*5))^5/120))),0))+IF(Inputs!$B$3&gt;=54,9*(C2742=TRUE)*MIN(1,8*(1+Inputs!$B$34/100)*Q2742)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2745*(1-MIN(100,(Inputs!$B$9+((C2758=TRUE)*(F2758-Calc!F19))+B2770+(ArtifactsInput!$M$24-ArtifactsInput!$M$24)*CHOOSE(ArtifactsInput!$N$24+1,10,12,14,16,18,20)+(IF(AND(Inputs!$B$38&lt;&gt;"pvp",Inputs!$B$43=0),1,IF(IF(Inputs!$B$38="pvp",15,Inputs!$B$43)-(B2777)&lt;=0,1,MAX(0,IF(Inputs!$B$38="pvp",15,Inputs!$B$43)-MAX(5,B2777))/(IF(Inputs!$B$38="pvp",15,Inputs!$B$43)-(B2777))))*IF(AND(ArtifactsInput!$M$42,((Inputs!$B$9+((C2758=TRUE)*(F2758-Calc!F19))+B2770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2745*(MIN(100,(Inputs!$B$9+((C2758=TRUE)*(F2758-Calc!F19))+B2770+(ArtifactsInput!$M$24-ArtifactsInput!$M$24)*CHOOSE(ArtifactsInput!$N$24+1,10,12,14,16,18,20)+(IF(AND(Inputs!$B$38&lt;&gt;"pvp",Inputs!$B$43=0),1,IF(IF(Inputs!$B$38="pvp",15,Inputs!$B$43)-(B2777)&lt;=0,1,MAX(0,IF(Inputs!$B$38="pvp",15,Inputs!$B$43)-MAX(5,B2777))/(IF(Inputs!$B$38="pvp",15,Inputs!$B$43)-(B2777))))*IF(AND(ArtifactsInput!$M$42,((Inputs!$B$9+((C2758=TRUE)*(F2758-Calc!F19))+B2770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2745*(1-MIN(100,(Inputs!$B$9+((C2758=TRUE)*(F2758-Calc!F19))+B2770+(ArtifactsInput!$M$24-ArtifactsInput!$M$24)*CHOOSE(ArtifactsInput!$N$24+1,10,12,14,16,18,20)+(IF(AND(Inputs!$B$38&lt;&gt;"pvp",Inputs!$B$43=0),1,IF(IF(Inputs!$B$38="pvp",15,Inputs!$B$43)-(B2777)&lt;=0,1,MAX(0,IF(Inputs!$B$38="pvp",15,Inputs!$B$43)-MAX(5,B2777))/(IF(Inputs!$B$38="pvp",15,Inputs!$B$43)-(B2777))))*IF(AND(ArtifactsInput!$M$42,((Inputs!$B$9+((C2758=TRUE)*(F2758-Calc!F19))+B2770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2745*(MIN(100,(Inputs!$B$9+((C2758=TRUE)*(F2758-Calc!F19))+B2770+(ArtifactsInput!$M$24-ArtifactsInput!$M$24)*CHOOSE(ArtifactsInput!$N$24+1,10,12,14,16,18,20)+(IF(AND(Inputs!$B$38&lt;&gt;"pvp",Inputs!$B$43=0),1,IF(IF(Inputs!$B$38="pvp",15,Inputs!$B$43)-(B2777)&lt;=0,1,MAX(0,IF(Inputs!$B$38="pvp",15,Inputs!$B$43)-MAX(5,B2777))/(IF(Inputs!$B$38="pvp",15,Inputs!$B$43)-(B2777))))*IF(AND(ArtifactsInput!$M$42,((Inputs!$B$9+((C2758=TRUE)*(F2758-Calc!F19))+B2770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745">
        <f>IF(C2745,(H2745*N2745*IF(AND(Inputs!$B$38&lt;&gt;"pvp",Inputs!$B$43&gt;0),((Skills!G6*((R2745-1)*IF(Skills!H6&gt;0,INT(Skills!I6/Skills!H6+0.000000001),1)+IF(Skills!H6&gt;0,INT(MIN(Skills!I6,MAX(0,MAX(0,Inputs!$B$43-B2777)-((R2745-1)*(IF(Inputs!$B$38="pvp",15,MAX(0.1,Skills!D6-IF(TRUE=TRUE,Inputs!$B$32,0)))*(1-IF(AND(ArtifactsInput!$M$27,Inputs!$B$4="Chapter Hunt"),CHOOSE(ArtifactsInput!$N$27+1,20,24,28,32,36,40),0)/100)))))/Skills!H6+0.000000001),1)))/Inputs!$B$43),G2745*Q2745))*IF(Inputs!$B$38="pvp",1,(1+(Inputs!$B$21+Skills!Q6+(IF(ArtifactsInput!$M$33,CHOOSE(ArtifactsInput!$N$33+1,30,36,42,48,54,60),0))+(IF(AND(ArtifactsInput!$M$35,Inputs!$B$4&lt;&gt;"Chapter Hunt"),CHOOSE(ArtifactsInput!$N$35+1,15,18,21,24,27,30)*(1-EXP(-(0.2*B2772)*5)),0)+IF(AND(ArtifactsInput!$M$22,Inputs!$B$4&lt;&gt;"Chapter Hunt"),CHOOSE(ArtifactsInput!$N$22+1,10,12,14,16,18,20)*((0*(((0.15*B2772*5))^0/1)+1*(((0.15*B2772*5))^1/1)+2*(((0.15*B2772*5))^2/2)+3*(((0.15*B2772*5))^3/6)+4*(((0.15*B2772*5))^4/24)+5*(((0.15*B2772*5))^5/120))/((((0.15*B2772*5))^0/1)+(((0.15*B2772*5))^1/1)+(((0.15*B2772*5))^2/2)+(((0.15*B2772*5))^3/6)+(((0.15*B2772*5))^4/24)+(((0.15*B2772*5))^5/120))),0))+IF(Inputs!$B$3&gt;=54,9*(C2742=TRUE)*MIN(1,8*(1+Inputs!$B$34/100)*Q2742),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46">
      <c r="A2746">
        <f>Skills!A7</f>
        <v/>
      </c>
      <c r="B2746">
        <f>Skills!B7</f>
        <v/>
      </c>
      <c r="C2746">
        <f>Inputs!$B$3&gt;=63</f>
        <v/>
      </c>
      <c r="D2746">
        <f>IF(Skills!C7=1,60+Inputs!$B$25+Inputs!$B$29,IF(Skills!C7=2,90+Inputs!$B$26+Inputs!$B$29,IF(Skills!C7=3,120+Inputs!$B$27+Inputs!$B$29,MAX(0,(Inputs!$B$3-100)*3)+Inputs!$B$28+Inputs!$B$29)))</f>
        <v/>
      </c>
      <c r="E2746">
        <f>INDEX(FactorTable!$B$2:$Y$301, MATCH(ROUND(MIN(300,MAX(1,D2746)),0), FactorTable!$A$2:$A$301,0), Skills!M7+1)</f>
        <v/>
      </c>
      <c r="F2746">
        <f>IF(Skills!N7=TRUE,(Skills!L7/10)*(E2746/1000),Skills!L7/10)+Skills!O7</f>
        <v/>
      </c>
      <c r="G2746">
        <f>Skills!G7*IF(Skills!H7&gt;0,INT(IF(Inputs!$B$38="pvp",MIN(Skills!I7,15),Skills!I7)/Skills!H7+0.000000001),1)</f>
        <v/>
      </c>
      <c r="H2746">
        <f>1-(1-Skills!J7/100)^Skills!K7</f>
        <v/>
      </c>
      <c r="I2746" t="inlineStr">
        <is>
          <t>1</t>
        </is>
      </c>
      <c r="J2746">
        <f>((Inputs!$B$6*(1+Inputs!$B$7/100))+(((Inputs!$B$12*(1+Inputs!$B$13/100))-(Inputs!$B$12*(1+Inputs!$B$13/100)))+0.25*(Inputs!$B$14-Inputs!$B$14))*(1+Inputs!$B$7/100))*(F2746/100)</f>
        <v/>
      </c>
      <c r="K2746">
        <f>J2746*(1+((Inputs!$B$12*(1+Inputs!$B$13/100))*0.01+Inputs!$B$14*0.0025)/100)*(1+Inputs!$B$15/100)*(1+Inputs!$B$16/100)*(5000/(6000+Inputs!$B$42*(1-(100*(1-(1-(Inputs!$B$19+0)/100)*(1-CHOOSE(ArtifactsInput!$N$40+1,5,6,7,8,9,10)/100)^(ArtifactsInput!$M$40-ArtifactsInput!$M$40)))/100)))*(1+(Inputs!$B$24+((C2765=TRUE)*(F2765-Calc!F26))+B2776)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IF(ArtifactsInput!$M$39,FALSE,TRUE)-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2754=TRUE,F2754,0)/100)*(1+(IF(Skills!A7="EIGHT_LEGS_EASTON",Inputs!$B$17+((C2762=TRUE)*(F2762-Calc!F23))+((C2766=TRUE)*(F2766-Calc!F27))+((IF(AND(Inputs!$B$38&lt;&gt;"pvp",Inputs!$B$43=0),1,IF(IF(Inputs!$B$38="pvp",15,Inputs!$B$43)-(B2777)&lt;=0,1,MAX(0,IF(Inputs!$B$38="pvp",15,Inputs!$B$43)-MAX(5,B2777))/(IF(Inputs!$B$38="pvp",15,Inputs!$B$43)-(B2777))))*(IF(AND(ArtifactsInput!$M$42,((Inputs!$B$9+((C2758=TRUE)*(F2758-Calc!F19))+B2770+(ArtifactsInput!$M$24-ArtifactsInput!$M$24)*CHOOSE(ArtifactsInput!$N$24+1,10,12,14,16,18,20)+IF(ArtifactsInput!$M$10,CHOOSE(ArtifactsInput!$N$10+1,15,18,21,24,27,30)*(IF(Inputs!$B$38="pvp",MIN(15,15)/15,IF(AND(Inputs!$B$38&lt;&gt;"pvp",Inputs!$B$43&gt;0),MIN(15,Inputs!$B$43)/(Inputs!$B$43),0))),0)))&gt;=100),MIN(100,((Inputs!$B$9+((C2758=TRUE)*(F2758-Calc!F19))+B2770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2777)&lt;=0,1,MAX(0,IF(Inputs!$B$38="pvp",15,Inputs!$B$43)-MAX(5,B2777))/(IF(Inputs!$B$38="pvp",15,Inputs!$B$43)-(B2777))))*IF(AND(ArtifactsInput!$M$42,((Inputs!$B$9+((C2758=TRUE)*(F2758-Calc!F19))+B2770+(ArtifactsInput!$M$24-ArtifactsInput!$M$24)*CHOOSE(ArtifactsInput!$N$24+1,10,12,14,16,18,20)+IF(ArtifactsInput!$M$10,CHOOSE(ArtifactsInput!$N$10+1,15,18,21,24,27,30)*(IF(Inputs!$B$38="pvp",MIN(15,15)/15,IF(AND(Inputs!$B$38&lt;&gt;"pvp",Inputs!$B$43&gt;0),MIN(15,Inputs!$B$43)/(Inputs!$B$43),0))),0)))&gt;=100),CHOOSE(ArtifactsInput!$N$42+1,40,48,56,64,72,80),0))))/100)*((1+(((C2756=TRUE)*F2756*5/7)+((C2763=TRUE)*(F2763-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2746)</f>
        <v/>
      </c>
      <c r="L2746">
        <f>K2746*(MIN(Inputs!$B$22+((C2761=TRUE)*(F2761-Calc!F22)),(Inputs!$B$23+0+(IF(ArtifactsInput!$M$15,CHOOSE(ArtifactsInput!$N$15+1,25,30,35,40,45,50)/100*(Inputs!$B$11-Inputs!$B$11),0))))/100+(Inputs!$B$23+0+(IF(ArtifactsInput!$M$15,CHOOSE(ArtifactsInput!$N$15+1,25,30,35,40,45,50)/100*(Inputs!$B$11-Inputs!$B$11),0)))/100)/2</f>
        <v/>
      </c>
      <c r="M2746">
        <f>L2746*(1+(Inputs!$B$10+((C2764=TRUE)*(F2764-Calc!F25))+B2775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46">
        <f>L2746*(1-MIN((Inputs!$B$9+((C2758=TRUE)*(F2758-Calc!F19))+B2770+(ArtifactsInput!$M$24-ArtifactsInput!$M$24)*CHOOSE(ArtifactsInput!$N$24+1,10,12,14,16,18,20)+(IF(AND(Inputs!$B$38&lt;&gt;"pvp",Inputs!$B$43=0),1,IF(IF(Inputs!$B$38="pvp",15,Inputs!$B$43)-(B2777)&lt;=0,1,MAX(0,IF(Inputs!$B$38="pvp",15,Inputs!$B$43)-MAX(5,B2777))/(IF(Inputs!$B$38="pvp",15,Inputs!$B$43)-(B2777))))*IF(AND(ArtifactsInput!$M$42,((Inputs!$B$9+((C2758=TRUE)*(F2758-Calc!F19))+B2770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2746*(MIN((Inputs!$B$9+((C2758=TRUE)*(F2758-Calc!F19))+B2770+(ArtifactsInput!$M$24-ArtifactsInput!$M$24)*CHOOSE(ArtifactsInput!$N$24+1,10,12,14,16,18,20)+(IF(AND(Inputs!$B$38&lt;&gt;"pvp",Inputs!$B$43=0),1,IF(IF(Inputs!$B$38="pvp",15,Inputs!$B$43)-(B2777)&lt;=0,1,MAX(0,IF(Inputs!$B$38="pvp",15,Inputs!$B$43)-MAX(5,B2777))/(IF(Inputs!$B$38="pvp",15,Inputs!$B$43)-(B2777))))*IF(AND(ArtifactsInput!$M$42,((Inputs!$B$9+((C2758=TRUE)*(F2758-Calc!F19))+B2770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46">
        <f>(1-Summary!$B$11)*T2746+Summary!$B$11*V2746</f>
        <v/>
      </c>
      <c r="P2746">
        <f>IF(B2780=0,0,O2746/B2780)</f>
        <v/>
      </c>
      <c r="Q2746">
        <f>IFERROR(1/(IF(Inputs!$B$38="pvp",15,MAX(0.1,Skills!D7-IF(TRUE=TRUE,Inputs!$B$32,0)))*(1-IF(AND(ArtifactsInput!$M$27,Inputs!$B$4="Chapter Hunt"),CHOOSE(ArtifactsInput!$N$27+1,20,24,28,32,36,40),0)/100)),0)</f>
        <v/>
      </c>
      <c r="R2746">
        <f>IF(AND(Inputs!$B$38&lt;&gt;"pvp",Inputs!$B$43&gt;0),IF(MAX(0,Inputs!$B$43-B2777)&lt;=0,0,(INT(MAX(0,Inputs!$B$43-B2777)/(IF(Inputs!$B$38="pvp",15,MAX(0.1,Skills!D7-IF(TRUE=TRUE,Inputs!$B$32,0)))*(1-IF(AND(ArtifactsInput!$M$27,Inputs!$B$4="Chapter Hunt"),CHOOSE(ArtifactsInput!$N$27+1,20,24,28,32,36,40),0)/100)))+1)),0)</f>
        <v/>
      </c>
      <c r="S2746">
        <f>IFERROR(O2746/N2746,0)</f>
        <v/>
      </c>
      <c r="T2746">
        <f>IF(C2746,(H2746*N2746*IF(AND(Inputs!$B$38&lt;&gt;"pvp",Inputs!$B$43&gt;0),((Skills!G7*((R2746-1)*IF(Skills!H7&gt;0,INT(Skills!I7/Skills!H7+0.000000001),1)+IF(Skills!H7&gt;0,INT(MIN(Skills!I7,MAX(0,MAX(0,Inputs!$B$43-B2777)-((R2746-1)*(IF(Inputs!$B$38="pvp",15,MAX(0.1,Skills!D7-IF(TRUE=TRUE,Inputs!$B$32,0)))*(1-IF(AND(ArtifactsInput!$M$27,Inputs!$B$4="Chapter Hunt"),CHOOSE(ArtifactsInput!$N$27+1,20,24,28,32,36,40),0)/100)))))/Skills!H7+0.000000001),1)))/Inputs!$B$43),G2746*Q2746))*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Hunt"),CHOOSE(ArtifactsInput!$N$35+1,15,18,21,24,27,30)*(1-EXP(-(0.2*B2772)*5)),0)+IF(AND(ArtifactsInput!$M$22,Inputs!$B$4&lt;&gt;"Chapter Hunt"),CHOOSE(ArtifactsInput!$N$22+1,10,12,14,16,18,20)*((0*(((0.15*B2772*5))^0/1)+1*(((0.15*B2772*5))^1/1)+2*(((0.15*B2772*5))^2/2)+3*(((0.15*B2772*5))^3/6)+4*(((0.15*B2772*5))^4/24)+5*(((0.15*B2772*5))^5/120))/((((0.15*B2772*5))^0/1)+(((0.15*B2772*5))^1/1)+(((0.15*B2772*5))^2/2)+(((0.15*B2772*5))^3/6)+(((0.15*B2772*5))^4/24)+(((0.15*B2772*5))^5/120))),0))+IF(Inputs!$B$3&gt;=54,9*(C2742=TRUE)*MIN(1,8*(1+Inputs!$B$34/100)*Q2742)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2746*(1-MIN(100,(Inputs!$B$9+((C2758=TRUE)*(F2758-Calc!F19))+B2770+(ArtifactsInput!$M$24-ArtifactsInput!$M$24)*CHOOSE(ArtifactsInput!$N$24+1,10,12,14,16,18,20)+(IF(AND(Inputs!$B$38&lt;&gt;"pvp",Inputs!$B$43=0),1,IF(IF(Inputs!$B$38="pvp",15,Inputs!$B$43)-(B2777)&lt;=0,1,MAX(0,IF(Inputs!$B$38="pvp",15,Inputs!$B$43)-MAX(5,B2777))/(IF(Inputs!$B$38="pvp",15,Inputs!$B$43)-(B2777))))*IF(AND(ArtifactsInput!$M$42,((Inputs!$B$9+((C2758=TRUE)*(F2758-Calc!F19))+B2770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2746*(MIN(100,(Inputs!$B$9+((C2758=TRUE)*(F2758-Calc!F19))+B2770+(ArtifactsInput!$M$24-ArtifactsInput!$M$24)*CHOOSE(ArtifactsInput!$N$24+1,10,12,14,16,18,20)+(IF(AND(Inputs!$B$38&lt;&gt;"pvp",Inputs!$B$43=0),1,IF(IF(Inputs!$B$38="pvp",15,Inputs!$B$43)-(B2777)&lt;=0,1,MAX(0,IF(Inputs!$B$38="pvp",15,Inputs!$B$43)-MAX(5,B2777))/(IF(Inputs!$B$38="pvp",15,Inputs!$B$43)-(B2777))))*IF(AND(ArtifactsInput!$M$42,((Inputs!$B$9+((C2758=TRUE)*(F2758-Calc!F19))+B2770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2746*(1-MIN(100,(Inputs!$B$9+((C2758=TRUE)*(F2758-Calc!F19))+B2770+(ArtifactsInput!$M$24-ArtifactsInput!$M$24)*CHOOSE(ArtifactsInput!$N$24+1,10,12,14,16,18,20)+(IF(AND(Inputs!$B$38&lt;&gt;"pvp",Inputs!$B$43=0),1,IF(IF(Inputs!$B$38="pvp",15,Inputs!$B$43)-(B2777)&lt;=0,1,MAX(0,IF(Inputs!$B$38="pvp",15,Inputs!$B$43)-MAX(5,B2777))/(IF(Inputs!$B$38="pvp",15,Inputs!$B$43)-(B2777))))*IF(AND(ArtifactsInput!$M$42,((Inputs!$B$9+((C2758=TRUE)*(F2758-Calc!F19))+B2770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2746*(MIN(100,(Inputs!$B$9+((C2758=TRUE)*(F2758-Calc!F19))+B2770+(ArtifactsInput!$M$24-ArtifactsInput!$M$24)*CHOOSE(ArtifactsInput!$N$24+1,10,12,14,16,18,20)+(IF(AND(Inputs!$B$38&lt;&gt;"pvp",Inputs!$B$43=0),1,IF(IF(Inputs!$B$38="pvp",15,Inputs!$B$43)-(B2777)&lt;=0,1,MAX(0,IF(Inputs!$B$38="pvp",15,Inputs!$B$43)-MAX(5,B2777))/(IF(Inputs!$B$38="pvp",15,Inputs!$B$43)-(B2777))))*IF(AND(ArtifactsInput!$M$42,((Inputs!$B$9+((C2758=TRUE)*(F2758-Calc!F19))+B2770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746">
        <f>IF(C2746,(H2746*N2746*IF(AND(Inputs!$B$38&lt;&gt;"pvp",Inputs!$B$43&gt;0),((Skills!G7*((R2746-1)*IF(Skills!H7&gt;0,INT(Skills!I7/Skills!H7+0.000000001),1)+IF(Skills!H7&gt;0,INT(MIN(Skills!I7,MAX(0,MAX(0,Inputs!$B$43-B2777)-((R2746-1)*(IF(Inputs!$B$38="pvp",15,MAX(0.1,Skills!D7-IF(TRUE=TRUE,Inputs!$B$32,0)))*(1-IF(AND(ArtifactsInput!$M$27,Inputs!$B$4="Chapter Hunt"),CHOOSE(ArtifactsInput!$N$27+1,20,24,28,32,36,40),0)/100)))))/Skills!H7+0.000000001),1)))/Inputs!$B$43),G2746*Q2746))*IF(Inputs!$B$38="pvp",1,(1+(Inputs!$B$21+Skills!Q7+(IF(ArtifactsInput!$M$33,CHOOSE(ArtifactsInput!$N$33+1,30,36,42,48,54,60),0))+(IF(AND(ArtifactsInput!$M$35,Inputs!$B$4&lt;&gt;"Chapter Hunt"),CHOOSE(ArtifactsInput!$N$35+1,15,18,21,24,27,30)*(1-EXP(-(0.2*B2772)*5)),0)+IF(AND(ArtifactsInput!$M$22,Inputs!$B$4&lt;&gt;"Chapter Hunt"),CHOOSE(ArtifactsInput!$N$22+1,10,12,14,16,18,20)*((0*(((0.15*B2772*5))^0/1)+1*(((0.15*B2772*5))^1/1)+2*(((0.15*B2772*5))^2/2)+3*(((0.15*B2772*5))^3/6)+4*(((0.15*B2772*5))^4/24)+5*(((0.15*B2772*5))^5/120))/((((0.15*B2772*5))^0/1)+(((0.15*B2772*5))^1/1)+(((0.15*B2772*5))^2/2)+(((0.15*B2772*5))^3/6)+(((0.15*B2772*5))^4/24)+(((0.15*B2772*5))^5/120))),0))+IF(Inputs!$B$3&gt;=54,9*(C2742=TRUE)*MIN(1,8*(1+Inputs!$B$34/100)*Q2742),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47">
      <c r="A2747">
        <f>Skills!A8</f>
        <v/>
      </c>
      <c r="B2747">
        <f>Skills!B8</f>
        <v/>
      </c>
      <c r="C2747">
        <f>Inputs!$B$3&gt;=103</f>
        <v/>
      </c>
      <c r="D2747">
        <f>IF(Skills!C8=1,60+Inputs!$B$25+Inputs!$B$29,IF(Skills!C8=2,90+Inputs!$B$26+Inputs!$B$29,IF(Skills!C8=3,120+Inputs!$B$27+Inputs!$B$29,MAX(0,(Inputs!$B$3-100)*3)+Inputs!$B$28+Inputs!$B$29)))</f>
        <v/>
      </c>
      <c r="E2747">
        <f>INDEX(FactorTable!$B$2:$Y$301, MATCH(ROUND(MIN(300,MAX(1,D2747)),0), FactorTable!$A$2:$A$301,0), Skills!M8+1)</f>
        <v/>
      </c>
      <c r="F2747">
        <f>IF(Skills!N8=TRUE,(Skills!L8/10)*(E2747/1000),Skills!L8/10)+Skills!O8</f>
        <v/>
      </c>
      <c r="G2747">
        <f>Skills!G8*IF(Skills!H8&gt;0,INT(IF(Inputs!$B$38="pvp",MIN(Skills!I8,15),Skills!I8)/Skills!H8+0.000000001),1)</f>
        <v/>
      </c>
      <c r="H2747">
        <f>1-(1-Skills!J8/100)^Skills!K8</f>
        <v/>
      </c>
      <c r="I2747" t="inlineStr">
        <is>
          <t>1</t>
        </is>
      </c>
      <c r="J2747">
        <f>((Inputs!$B$6*(1+Inputs!$B$7/100))+(((Inputs!$B$12*(1+Inputs!$B$13/100))-(Inputs!$B$12*(1+Inputs!$B$13/100)))+0.25*(Inputs!$B$14-Inputs!$B$14))*(1+Inputs!$B$7/100))*(F2747/100)</f>
        <v/>
      </c>
      <c r="K2747">
        <f>J2747*(1+((Inputs!$B$12*(1+Inputs!$B$13/100))*0.01+Inputs!$B$14*0.0025)/100)*(1+Inputs!$B$15/100)*(1+Inputs!$B$16/100)*(5000/(6000+Inputs!$B$42*(1-(100*(1-(1-(Inputs!$B$19+0)/100)*(1-CHOOSE(ArtifactsInput!$N$40+1,5,6,7,8,9,10)/100)^(ArtifactsInput!$M$40-ArtifactsInput!$M$40)))/100)))*(1+(Inputs!$B$24+((C2765=TRUE)*(F2765-Calc!F26))+B2776)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IF(ArtifactsInput!$M$39,FALSE,TRUE)-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IGHT_LEGS_EASTON",Inputs!$B$17+((C2762=TRUE)*(F2762-Calc!F23))+((C2766=TRUE)*(F2766-Calc!F27))+((IF(AND(Inputs!$B$38&lt;&gt;"pvp",Inputs!$B$43=0),1,IF(IF(Inputs!$B$38="pvp",15,Inputs!$B$43)-(B2777)&lt;=0,1,MAX(0,IF(Inputs!$B$38="pvp",15,Inputs!$B$43)-MAX(5,B2777))/(IF(Inputs!$B$38="pvp",15,Inputs!$B$43)-(B2777))))*(IF(AND(ArtifactsInput!$M$42,((Inputs!$B$9+((C2758=TRUE)*(F2758-Calc!F19))+B2770+(ArtifactsInput!$M$24-ArtifactsInput!$M$24)*CHOOSE(ArtifactsInput!$N$24+1,10,12,14,16,18,20)+IF(ArtifactsInput!$M$10,CHOOSE(ArtifactsInput!$N$10+1,15,18,21,24,27,30)*(IF(Inputs!$B$38="pvp",MIN(15,15)/15,IF(AND(Inputs!$B$38&lt;&gt;"pvp",Inputs!$B$43&gt;0),MIN(15,Inputs!$B$43)/(Inputs!$B$43),0))),0)))&gt;=100),MIN(100,((Inputs!$B$9+((C2758=TRUE)*(F2758-Calc!F19))+B2770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2777)&lt;=0,1,MAX(0,IF(Inputs!$B$38="pvp",15,Inputs!$B$43)-MAX(5,B2777))/(IF(Inputs!$B$38="pvp",15,Inputs!$B$43)-(B2777))))*IF(AND(ArtifactsInput!$M$42,((Inputs!$B$9+((C2758=TRUE)*(F2758-Calc!F19))+B2770+(ArtifactsInput!$M$24-ArtifactsInput!$M$24)*CHOOSE(ArtifactsInput!$N$24+1,10,12,14,16,18,20)+IF(ArtifactsInput!$M$10,CHOOSE(ArtifactsInput!$N$10+1,15,18,21,24,27,30)*(IF(Inputs!$B$38="pvp",MIN(15,15)/15,IF(AND(Inputs!$B$38&lt;&gt;"pvp",Inputs!$B$43&gt;0),MIN(15,Inputs!$B$43)/(Inputs!$B$43),0))),0)))&gt;=100),CHOOSE(ArtifactsInput!$N$42+1,40,48,56,64,72,80),0))))/100)*((1+(((C2756=TRUE)*F2756*5/7)+((C2763=TRUE)*(F2763-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2747)</f>
        <v/>
      </c>
      <c r="L2747">
        <f>K2747*(MIN(Inputs!$B$22+((C2761=TRUE)*(F2761-Calc!F22)),(Inputs!$B$23+0+(IF(ArtifactsInput!$M$15,CHOOSE(ArtifactsInput!$N$15+1,25,30,35,40,45,50)/100*(Inputs!$B$11-Inputs!$B$11),0))))/100+(Inputs!$B$23+0+(IF(ArtifactsInput!$M$15,CHOOSE(ArtifactsInput!$N$15+1,25,30,35,40,45,50)/100*(Inputs!$B$11-Inputs!$B$11),0)))/100)/2</f>
        <v/>
      </c>
      <c r="M2747">
        <f>L2747*(1+(Inputs!$B$10+((C2764=TRUE)*(F2764-Calc!F25))+B2775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47">
        <f>L2747*(1-MIN((Inputs!$B$9+((C2758=TRUE)*(F2758-Calc!F19))+B2770+(ArtifactsInput!$M$24-ArtifactsInput!$M$24)*CHOOSE(ArtifactsInput!$N$24+1,10,12,14,16,18,20)+(IF(AND(Inputs!$B$38&lt;&gt;"pvp",Inputs!$B$43=0),1,IF(IF(Inputs!$B$38="pvp",15,Inputs!$B$43)-(B2777)&lt;=0,1,MAX(0,IF(Inputs!$B$38="pvp",15,Inputs!$B$43)-MAX(5,B2777))/(IF(Inputs!$B$38="pvp",15,Inputs!$B$43)-(B2777))))*IF(AND(ArtifactsInput!$M$42,((Inputs!$B$9+((C2758=TRUE)*(F2758-Calc!F19))+B2770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2747*(MIN((Inputs!$B$9+((C2758=TRUE)*(F2758-Calc!F19))+B2770+(ArtifactsInput!$M$24-ArtifactsInput!$M$24)*CHOOSE(ArtifactsInput!$N$24+1,10,12,14,16,18,20)+(IF(AND(Inputs!$B$38&lt;&gt;"pvp",Inputs!$B$43=0),1,IF(IF(Inputs!$B$38="pvp",15,Inputs!$B$43)-(B2777)&lt;=0,1,MAX(0,IF(Inputs!$B$38="pvp",15,Inputs!$B$43)-MAX(5,B2777))/(IF(Inputs!$B$38="pvp",15,Inputs!$B$43)-(B2777))))*IF(AND(ArtifactsInput!$M$42,((Inputs!$B$9+((C2758=TRUE)*(F2758-Calc!F19))+B2770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47">
        <f>(1-Summary!$B$11)*T2747+Summary!$B$11*V2747</f>
        <v/>
      </c>
      <c r="P2747">
        <f>IF(B2780=0,0,O2747/B2780)</f>
        <v/>
      </c>
      <c r="Q2747">
        <f>IFERROR(1/((IF(Inputs!$B$38="pvp",15,MAX(0.1,Skills!D8-IF(TRUE=TRUE,Inputs!$B$32,0)))*(1-IF(AND(ArtifactsInput!$M$27,Inputs!$B$4="Chapter Hunt"),CHOOSE(ArtifactsInput!$N$27+1,20,24,28,32,36,40),0)/100))/B2781),0)</f>
        <v/>
      </c>
      <c r="R2747">
        <f>IF(AND(Inputs!$B$38&lt;&gt;"pvp",Inputs!$B$43&gt;0),IF(MAX(0,Inputs!$B$43-B2777)&lt;=0,0,(INT(MAX(0,Inputs!$B$43-B2777)/((IF(Inputs!$B$38="pvp",15,MAX(0.1,Skills!D8-IF(TRUE=TRUE,Inputs!$B$32,0)))*(1-IF(AND(ArtifactsInput!$M$27,Inputs!$B$4="Chapter Hunt"),CHOOSE(ArtifactsInput!$N$27+1,20,24,28,32,36,40),0)/100))/B2781))+1)),0)</f>
        <v/>
      </c>
      <c r="S2747">
        <f>IFERROR(O2747/N2747,0)</f>
        <v/>
      </c>
      <c r="T2747">
        <f>IF(C2747,(H2747*N2747*IF(AND(Inputs!$B$38&lt;&gt;"pvp",Inputs!$B$43&gt;0),((Skills!G8*((R2747-1)*IF(Skills!H8&gt;0,INT(Skills!I8/Skills!H8+0.000000001),1)+IF(Skills!H8&gt;0,INT(MIN(Skills!I8,MAX(0,MAX(0,Inputs!$B$43-B2777)-((R2747-1)*((IF(Inputs!$B$38="pvp",15,MAX(0.1,Skills!D8-IF(TRUE=TRUE,Inputs!$B$32,0)))*(1-IF(AND(ArtifactsInput!$M$27,Inputs!$B$4="Chapter Hunt"),CHOOSE(ArtifactsInput!$N$27+1,20,24,28,32,36,40),0)/100))/B2781))))/Skills!H8+0.000000001),1)))/Inputs!$B$43),G2747*Q2747))*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Hunt"),CHOOSE(ArtifactsInput!$N$35+1,15,18,21,24,27,30)*(1-EXP(-(0.2*B2772)*5)),0)+IF(AND(ArtifactsInput!$M$22,Inputs!$B$4&lt;&gt;"Chapter Hunt"),CHOOSE(ArtifactsInput!$N$22+1,10,12,14,16,18,20)*((0*(((0.15*B2772*5))^0/1)+1*(((0.15*B2772*5))^1/1)+2*(((0.15*B2772*5))^2/2)+3*(((0.15*B2772*5))^3/6)+4*(((0.15*B2772*5))^4/24)+5*(((0.15*B2772*5))^5/120))/((((0.15*B2772*5))^0/1)+(((0.15*B2772*5))^1/1)+(((0.15*B2772*5))^2/2)+(((0.15*B2772*5))^3/6)+(((0.15*B2772*5))^4/24)+(((0.15*B2772*5))^5/120))),0))+IF(Inputs!$B$3&gt;=54,9*(C2742=TRUE)*MIN(1,8*(1+Inputs!$B$34/100)*Q2742)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2747*(1-MIN(100,(Inputs!$B$9+((C2758=TRUE)*(F2758-Calc!F19))+B2770+(ArtifactsInput!$M$24-ArtifactsInput!$M$24)*CHOOSE(ArtifactsInput!$N$24+1,10,12,14,16,18,20)+(IF(AND(Inputs!$B$38&lt;&gt;"pvp",Inputs!$B$43=0),1,IF(IF(Inputs!$B$38="pvp",15,Inputs!$B$43)-(B2777)&lt;=0,1,MAX(0,IF(Inputs!$B$38="pvp",15,Inputs!$B$43)-MAX(5,B2777))/(IF(Inputs!$B$38="pvp",15,Inputs!$B$43)-(B2777))))*IF(AND(ArtifactsInput!$M$42,((Inputs!$B$9+((C2758=TRUE)*(F2758-Calc!F19))+B2770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2747*(MIN(100,(Inputs!$B$9+((C2758=TRUE)*(F2758-Calc!F19))+B2770+(ArtifactsInput!$M$24-ArtifactsInput!$M$24)*CHOOSE(ArtifactsInput!$N$24+1,10,12,14,16,18,20)+(IF(AND(Inputs!$B$38&lt;&gt;"pvp",Inputs!$B$43=0),1,IF(IF(Inputs!$B$38="pvp",15,Inputs!$B$43)-(B2777)&lt;=0,1,MAX(0,IF(Inputs!$B$38="pvp",15,Inputs!$B$43)-MAX(5,B2777))/(IF(Inputs!$B$38="pvp",15,Inputs!$B$43)-(B2777))))*IF(AND(ArtifactsInput!$M$42,((Inputs!$B$9+((C2758=TRUE)*(F2758-Calc!F19))+B2770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2747*(1-MIN(100,(Inputs!$B$9+((C2758=TRUE)*(F2758-Calc!F19))+B2770+(ArtifactsInput!$M$24-ArtifactsInput!$M$24)*CHOOSE(ArtifactsInput!$N$24+1,10,12,14,16,18,20)+(IF(AND(Inputs!$B$38&lt;&gt;"pvp",Inputs!$B$43=0),1,IF(IF(Inputs!$B$38="pvp",15,Inputs!$B$43)-(B2777)&lt;=0,1,MAX(0,IF(Inputs!$B$38="pvp",15,Inputs!$B$43)-MAX(5,B2777))/(IF(Inputs!$B$38="pvp",15,Inputs!$B$43)-(B2777))))*IF(AND(ArtifactsInput!$M$42,((Inputs!$B$9+((C2758=TRUE)*(F2758-Calc!F19))+B2770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2747*(MIN(100,(Inputs!$B$9+((C2758=TRUE)*(F2758-Calc!F19))+B2770+(ArtifactsInput!$M$24-ArtifactsInput!$M$24)*CHOOSE(ArtifactsInput!$N$24+1,10,12,14,16,18,20)+(IF(AND(Inputs!$B$38&lt;&gt;"pvp",Inputs!$B$43=0),1,IF(IF(Inputs!$B$38="pvp",15,Inputs!$B$43)-(B2777)&lt;=0,1,MAX(0,IF(Inputs!$B$38="pvp",15,Inputs!$B$43)-MAX(5,B2777))/(IF(Inputs!$B$38="pvp",15,Inputs!$B$43)-(B2777))))*IF(AND(ArtifactsInput!$M$42,((Inputs!$B$9+((C2758=TRUE)*(F2758-Calc!F19))+B2770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747">
        <f>IF(C2747,(H2747*N2747*IF(AND(Inputs!$B$38&lt;&gt;"pvp",Inputs!$B$43&gt;0),((Skills!G8*((R2747-1)*IF(Skills!H8&gt;0,INT(Skills!I8/Skills!H8+0.000000001),1)+IF(Skills!H8&gt;0,INT(MIN(Skills!I8,MAX(0,MAX(0,Inputs!$B$43-B2777)-((R2747-1)*((IF(Inputs!$B$38="pvp",15,MAX(0.1,Skills!D8-IF(TRUE=TRUE,Inputs!$B$32,0)))*(1-IF(AND(ArtifactsInput!$M$27,Inputs!$B$4="Chapter Hunt"),CHOOSE(ArtifactsInput!$N$27+1,20,24,28,32,36,40),0)/100))/B2781))))/Skills!H8+0.000000001),1)))/Inputs!$B$43),G2747*Q2747))*IF(Inputs!$B$38="pvp",1,(1+(Inputs!$B$21+Skills!Q8+(IF(ArtifactsInput!$M$33,CHOOSE(ArtifactsInput!$N$33+1,30,36,42,48,54,60),0))+(IF(AND(ArtifactsInput!$M$35,Inputs!$B$4&lt;&gt;"Chapter Hunt"),CHOOSE(ArtifactsInput!$N$35+1,15,18,21,24,27,30)*(1-EXP(-(0.2*B2772)*5)),0)+IF(AND(ArtifactsInput!$M$22,Inputs!$B$4&lt;&gt;"Chapter Hunt"),CHOOSE(ArtifactsInput!$N$22+1,10,12,14,16,18,20)*((0*(((0.15*B2772*5))^0/1)+1*(((0.15*B2772*5))^1/1)+2*(((0.15*B2772*5))^2/2)+3*(((0.15*B2772*5))^3/6)+4*(((0.15*B2772*5))^4/24)+5*(((0.15*B2772*5))^5/120))/((((0.15*B2772*5))^0/1)+(((0.15*B2772*5))^1/1)+(((0.15*B2772*5))^2/2)+(((0.15*B2772*5))^3/6)+(((0.15*B2772*5))^4/24)+(((0.15*B2772*5))^5/120))),0))+IF(Inputs!$B$3&gt;=54,9*(C2742=TRUE)*MIN(1,8*(1+Inputs!$B$34/100)*Q2742),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48">
      <c r="A2748">
        <f>Skills!A9</f>
        <v/>
      </c>
      <c r="B2748">
        <f>Skills!B9</f>
        <v/>
      </c>
      <c r="C2748">
        <f>Inputs!$B$3&gt;=105</f>
        <v/>
      </c>
      <c r="D2748">
        <f>IF(Skills!C9=1,60+Inputs!$B$25+Inputs!$B$29,IF(Skills!C9=2,90+Inputs!$B$26+Inputs!$B$29,IF(Skills!C9=3,120+Inputs!$B$27+Inputs!$B$29,MAX(0,(Inputs!$B$3-100)*3)+Inputs!$B$28+Inputs!$B$29)))</f>
        <v/>
      </c>
      <c r="E2748">
        <f>INDEX(FactorTable!$B$2:$Y$301, MATCH(ROUND(MIN(300,MAX(1,D2748)),0), FactorTable!$A$2:$A$301,0), Skills!M9+1)</f>
        <v/>
      </c>
      <c r="F2748">
        <f>IF(Skills!N9=TRUE,(Skills!L9/10)*(E2748/1000),Skills!L9/10)+Skills!O9</f>
        <v/>
      </c>
      <c r="G2748">
        <f>Skills!G9*IF(Skills!H9&gt;0,INT(IF(Inputs!$B$38="pvp",MIN(Skills!I9,15),Skills!I9)/Skills!H9+0.000000001),1)</f>
        <v/>
      </c>
      <c r="H2748">
        <f>1-(1-Skills!J9/100)^Skills!K9</f>
        <v/>
      </c>
      <c r="I2748" t="inlineStr">
        <is>
          <t>1</t>
        </is>
      </c>
      <c r="J2748">
        <f>((Inputs!$B$6*(1+Inputs!$B$7/100))+(((Inputs!$B$12*(1+Inputs!$B$13/100))-(Inputs!$B$12*(1+Inputs!$B$13/100)))+0.25*(Inputs!$B$14-Inputs!$B$14))*(1+Inputs!$B$7/100))*(F2748/100)</f>
        <v/>
      </c>
      <c r="K2748">
        <f>J2748*(1+((Inputs!$B$12*(1+Inputs!$B$13/100))*0.01+Inputs!$B$14*0.0025)/100)*(1+Inputs!$B$15/100)*(1+Inputs!$B$16/100)*(5000/(6000+Inputs!$B$42*(1-(100*(1-(1-(Inputs!$B$19+0)/100)*(1-CHOOSE(ArtifactsInput!$N$40+1,5,6,7,8,9,10)/100)^(ArtifactsInput!$M$40-ArtifactsInput!$M$40)))/100)))*(1+(Inputs!$B$24+((C2765=TRUE)*(F2765-Calc!F26))+B2776)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IF(ArtifactsInput!$M$39,FALSE,TRUE)-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IGHT_LEGS_EASTON",Inputs!$B$17+((C2762=TRUE)*(F2762-Calc!F23))+((C2766=TRUE)*(F2766-Calc!F27))+((IF(AND(Inputs!$B$38&lt;&gt;"pvp",Inputs!$B$43=0),1,IF(IF(Inputs!$B$38="pvp",15,Inputs!$B$43)-(B2777)&lt;=0,1,MAX(0,IF(Inputs!$B$38="pvp",15,Inputs!$B$43)-MAX(5,B2777))/(IF(Inputs!$B$38="pvp",15,Inputs!$B$43)-(B2777))))*(IF(AND(ArtifactsInput!$M$42,((Inputs!$B$9+((C2758=TRUE)*(F2758-Calc!F19))+B2770+(ArtifactsInput!$M$24-ArtifactsInput!$M$24)*CHOOSE(ArtifactsInput!$N$24+1,10,12,14,16,18,20)+IF(ArtifactsInput!$M$10,CHOOSE(ArtifactsInput!$N$10+1,15,18,21,24,27,30)*(IF(Inputs!$B$38="pvp",MIN(15,15)/15,IF(AND(Inputs!$B$38&lt;&gt;"pvp",Inputs!$B$43&gt;0),MIN(15,Inputs!$B$43)/(Inputs!$B$43),0))),0)))&gt;=100),MIN(100,((Inputs!$B$9+((C2758=TRUE)*(F2758-Calc!F19))+B2770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2777)&lt;=0,1,MAX(0,IF(Inputs!$B$38="pvp",15,Inputs!$B$43)-MAX(5,B2777))/(IF(Inputs!$B$38="pvp",15,Inputs!$B$43)-(B2777))))*IF(AND(ArtifactsInput!$M$42,((Inputs!$B$9+((C2758=TRUE)*(F2758-Calc!F19))+B2770+(ArtifactsInput!$M$24-ArtifactsInput!$M$24)*CHOOSE(ArtifactsInput!$N$24+1,10,12,14,16,18,20)+IF(ArtifactsInput!$M$10,CHOOSE(ArtifactsInput!$N$10+1,15,18,21,24,27,30)*(IF(Inputs!$B$38="pvp",MIN(15,15)/15,IF(AND(Inputs!$B$38&lt;&gt;"pvp",Inputs!$B$43&gt;0),MIN(15,Inputs!$B$43)/(Inputs!$B$43),0))),0)))&gt;=100),CHOOSE(ArtifactsInput!$N$42+1,40,48,56,64,72,80),0))))/100)*((1+(((C2756=TRUE)*F2756*5/7)+((C2763=TRUE)*(F2763-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2748)</f>
        <v/>
      </c>
      <c r="L2748">
        <f>K2748*(MIN(Inputs!$B$22+((C2761=TRUE)*(F2761-Calc!F22)),(Inputs!$B$23+0+(IF(ArtifactsInput!$M$15,CHOOSE(ArtifactsInput!$N$15+1,25,30,35,40,45,50)/100*(Inputs!$B$11-Inputs!$B$11),0))))/100+(Inputs!$B$23+0+(IF(ArtifactsInput!$M$15,CHOOSE(ArtifactsInput!$N$15+1,25,30,35,40,45,50)/100*(Inputs!$B$11-Inputs!$B$11),0)))/100)/2</f>
        <v/>
      </c>
      <c r="M2748">
        <f>L2748*(1+(Inputs!$B$10+((C2764=TRUE)*(F2764-Calc!F25))+B2775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48">
        <f>L2748*(1-MIN((Inputs!$B$9+((C2758=TRUE)*(F2758-Calc!F19))+B2770+(ArtifactsInput!$M$24-ArtifactsInput!$M$24)*CHOOSE(ArtifactsInput!$N$24+1,10,12,14,16,18,20)+(IF(AND(Inputs!$B$38&lt;&gt;"pvp",Inputs!$B$43=0),1,IF(IF(Inputs!$B$38="pvp",15,Inputs!$B$43)-(B2777)&lt;=0,1,MAX(0,IF(Inputs!$B$38="pvp",15,Inputs!$B$43)-MAX(5,B2777))/(IF(Inputs!$B$38="pvp",15,Inputs!$B$43)-(B2777))))*IF(AND(ArtifactsInput!$M$42,((Inputs!$B$9+((C2758=TRUE)*(F2758-Calc!F19))+B2770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2748*(MIN((Inputs!$B$9+((C2758=TRUE)*(F2758-Calc!F19))+B2770+(ArtifactsInput!$M$24-ArtifactsInput!$M$24)*CHOOSE(ArtifactsInput!$N$24+1,10,12,14,16,18,20)+(IF(AND(Inputs!$B$38&lt;&gt;"pvp",Inputs!$B$43=0),1,IF(IF(Inputs!$B$38="pvp",15,Inputs!$B$43)-(B2777)&lt;=0,1,MAX(0,IF(Inputs!$B$38="pvp",15,Inputs!$B$43)-MAX(5,B2777))/(IF(Inputs!$B$38="pvp",15,Inputs!$B$43)-(B2777))))*IF(AND(ArtifactsInput!$M$42,((Inputs!$B$9+((C2758=TRUE)*(F2758-Calc!F19))+B2770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48">
        <f>(1-Summary!$B$11)*T2748+Summary!$B$11*V2748</f>
        <v/>
      </c>
      <c r="P2748">
        <f>IF(B2780=0,0,O2748/B2780)</f>
        <v/>
      </c>
      <c r="Q2748">
        <f>IFERROR(1/(IF(Inputs!$B$38="pvp",15,MAX(0.1,Skills!D9-IF(TRUE=TRUE,Inputs!$B$32,0)))*(1-IF(AND(ArtifactsInput!$M$27,Inputs!$B$4="Chapter Hunt"),CHOOSE(ArtifactsInput!$N$27+1,20,24,28,32,36,40),0)/100)),0)</f>
        <v/>
      </c>
      <c r="R2748">
        <f>IF(AND(Inputs!$B$38&lt;&gt;"pvp",Inputs!$B$43&gt;0),IF(MAX(0,Inputs!$B$43-B2777)&lt;=0,0,(INT(MAX(0,Inputs!$B$43-B2777)/(IF(Inputs!$B$38="pvp",15,MAX(0.1,Skills!D9-IF(TRUE=TRUE,Inputs!$B$32,0)))*(1-IF(AND(ArtifactsInput!$M$27,Inputs!$B$4="Chapter Hunt"),CHOOSE(ArtifactsInput!$N$27+1,20,24,28,32,36,40),0)/100)))+1)),0)</f>
        <v/>
      </c>
      <c r="S2748">
        <f>IFERROR(O2748/N2748,0)</f>
        <v/>
      </c>
      <c r="T2748">
        <f>IF(C2748,(H2748*N2748*IF(AND(Inputs!$B$38&lt;&gt;"pvp",Inputs!$B$43&gt;0),((Skills!G9*((R2748-1)*IF(Skills!H9&gt;0,INT(Skills!I9/Skills!H9+0.000000001),1)+IF(Skills!H9&gt;0,INT(MIN(Skills!I9,MAX(0,MAX(0,Inputs!$B$43-B2777)-((R2748-1)*(IF(Inputs!$B$38="pvp",15,MAX(0.1,Skills!D9-IF(TRUE=TRUE,Inputs!$B$32,0)))*(1-IF(AND(ArtifactsInput!$M$27,Inputs!$B$4="Chapter Hunt"),CHOOSE(ArtifactsInput!$N$27+1,20,24,28,32,36,40),0)/100)))))/Skills!H9+0.000000001),1)))/Inputs!$B$43),G2748*Q2748))*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Hunt"),CHOOSE(ArtifactsInput!$N$35+1,15,18,21,24,27,30)*(1-EXP(-(0.2*B2772)*5)),0)+IF(AND(ArtifactsInput!$M$22,Inputs!$B$4&lt;&gt;"Chapter Hunt"),CHOOSE(ArtifactsInput!$N$22+1,10,12,14,16,18,20)*((0*(((0.15*B2772*5))^0/1)+1*(((0.15*B2772*5))^1/1)+2*(((0.15*B2772*5))^2/2)+3*(((0.15*B2772*5))^3/6)+4*(((0.15*B2772*5))^4/24)+5*(((0.15*B2772*5))^5/120))/((((0.15*B2772*5))^0/1)+(((0.15*B2772*5))^1/1)+(((0.15*B2772*5))^2/2)+(((0.15*B2772*5))^3/6)+(((0.15*B2772*5))^4/24)+(((0.15*B2772*5))^5/120))),0))+IF(Inputs!$B$3&gt;=54,9*(C2742=TRUE)*MIN(1,8*(1+Inputs!$B$34/100)*Q2742)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2748*(1-MIN(100,(Inputs!$B$9+((C2758=TRUE)*(F2758-Calc!F19))+B2770+(ArtifactsInput!$M$24-ArtifactsInput!$M$24)*CHOOSE(ArtifactsInput!$N$24+1,10,12,14,16,18,20)+(IF(AND(Inputs!$B$38&lt;&gt;"pvp",Inputs!$B$43=0),1,IF(IF(Inputs!$B$38="pvp",15,Inputs!$B$43)-(B2777)&lt;=0,1,MAX(0,IF(Inputs!$B$38="pvp",15,Inputs!$B$43)-MAX(5,B2777))/(IF(Inputs!$B$38="pvp",15,Inputs!$B$43)-(B2777))))*IF(AND(ArtifactsInput!$M$42,((Inputs!$B$9+((C2758=TRUE)*(F2758-Calc!F19))+B2770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2748*(MIN(100,(Inputs!$B$9+((C2758=TRUE)*(F2758-Calc!F19))+B2770+(ArtifactsInput!$M$24-ArtifactsInput!$M$24)*CHOOSE(ArtifactsInput!$N$24+1,10,12,14,16,18,20)+(IF(AND(Inputs!$B$38&lt;&gt;"pvp",Inputs!$B$43=0),1,IF(IF(Inputs!$B$38="pvp",15,Inputs!$B$43)-(B2777)&lt;=0,1,MAX(0,IF(Inputs!$B$38="pvp",15,Inputs!$B$43)-MAX(5,B2777))/(IF(Inputs!$B$38="pvp",15,Inputs!$B$43)-(B2777))))*IF(AND(ArtifactsInput!$M$42,((Inputs!$B$9+((C2758=TRUE)*(F2758-Calc!F19))+B2770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2748*(1-MIN(100,(Inputs!$B$9+((C2758=TRUE)*(F2758-Calc!F19))+B2770+(ArtifactsInput!$M$24-ArtifactsInput!$M$24)*CHOOSE(ArtifactsInput!$N$24+1,10,12,14,16,18,20)+(IF(AND(Inputs!$B$38&lt;&gt;"pvp",Inputs!$B$43=0),1,IF(IF(Inputs!$B$38="pvp",15,Inputs!$B$43)-(B2777)&lt;=0,1,MAX(0,IF(Inputs!$B$38="pvp",15,Inputs!$B$43)-MAX(5,B2777))/(IF(Inputs!$B$38="pvp",15,Inputs!$B$43)-(B2777))))*IF(AND(ArtifactsInput!$M$42,((Inputs!$B$9+((C2758=TRUE)*(F2758-Calc!F19))+B2770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2748*(MIN(100,(Inputs!$B$9+((C2758=TRUE)*(F2758-Calc!F19))+B2770+(ArtifactsInput!$M$24-ArtifactsInput!$M$24)*CHOOSE(ArtifactsInput!$N$24+1,10,12,14,16,18,20)+(IF(AND(Inputs!$B$38&lt;&gt;"pvp",Inputs!$B$43=0),1,IF(IF(Inputs!$B$38="pvp",15,Inputs!$B$43)-(B2777)&lt;=0,1,MAX(0,IF(Inputs!$B$38="pvp",15,Inputs!$B$43)-MAX(5,B2777))/(IF(Inputs!$B$38="pvp",15,Inputs!$B$43)-(B2777))))*IF(AND(ArtifactsInput!$M$42,((Inputs!$B$9+((C2758=TRUE)*(F2758-Calc!F19))+B2770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748">
        <f>IF(C2748,(H2748*N2748*IF(AND(Inputs!$B$38&lt;&gt;"pvp",Inputs!$B$43&gt;0),((Skills!G9*((R2748-1)*IF(Skills!H9&gt;0,INT(Skills!I9/Skills!H9+0.000000001),1)+IF(Skills!H9&gt;0,INT(MIN(Skills!I9,MAX(0,MAX(0,Inputs!$B$43-B2777)-((R2748-1)*(IF(Inputs!$B$38="pvp",15,MAX(0.1,Skills!D9-IF(TRUE=TRUE,Inputs!$B$32,0)))*(1-IF(AND(ArtifactsInput!$M$27,Inputs!$B$4="Chapter Hunt"),CHOOSE(ArtifactsInput!$N$27+1,20,24,28,32,36,40),0)/100)))))/Skills!H9+0.000000001),1)))/Inputs!$B$43),G2748*Q2748))*IF(Inputs!$B$38="pvp",1,(1+(Inputs!$B$21+Skills!Q9+(IF(ArtifactsInput!$M$33,CHOOSE(ArtifactsInput!$N$33+1,30,36,42,48,54,60),0))+(IF(AND(ArtifactsInput!$M$35,Inputs!$B$4&lt;&gt;"Chapter Hunt"),CHOOSE(ArtifactsInput!$N$35+1,15,18,21,24,27,30)*(1-EXP(-(0.2*B2772)*5)),0)+IF(AND(ArtifactsInput!$M$22,Inputs!$B$4&lt;&gt;"Chapter Hunt"),CHOOSE(ArtifactsInput!$N$22+1,10,12,14,16,18,20)*((0*(((0.15*B2772*5))^0/1)+1*(((0.15*B2772*5))^1/1)+2*(((0.15*B2772*5))^2/2)+3*(((0.15*B2772*5))^3/6)+4*(((0.15*B2772*5))^4/24)+5*(((0.15*B2772*5))^5/120))/((((0.15*B2772*5))^0/1)+(((0.15*B2772*5))^1/1)+(((0.15*B2772*5))^2/2)+(((0.15*B2772*5))^3/6)+(((0.15*B2772*5))^4/24)+(((0.15*B2772*5))^5/120))),0))+IF(Inputs!$B$3&gt;=54,9*(C2742=TRUE)*MIN(1,8*(1+Inputs!$B$34/100)*Q2742),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49">
      <c r="A2749">
        <f>Skills!A10</f>
        <v/>
      </c>
      <c r="B2749">
        <f>Skills!B10</f>
        <v/>
      </c>
      <c r="C2749">
        <f>Inputs!$B$3&gt;=113</f>
        <v/>
      </c>
      <c r="D2749">
        <f>IF(Skills!C10=1,60+Inputs!$B$25+Inputs!$B$29,IF(Skills!C10=2,90+Inputs!$B$26+Inputs!$B$29,IF(Skills!C10=3,120+Inputs!$B$27+Inputs!$B$29,MAX(0,(Inputs!$B$3-100)*3)+Inputs!$B$28+Inputs!$B$29)))</f>
        <v/>
      </c>
      <c r="E2749">
        <f>INDEX(FactorTable!$B$2:$Y$301, MATCH(ROUND(MIN(300,MAX(1,D2749)),0), FactorTable!$A$2:$A$301,0), Skills!M10+1)</f>
        <v/>
      </c>
      <c r="F2749">
        <f>IF(Skills!N10=TRUE,(Skills!L10/10)*(E2749/1000),Skills!L10/10)+Skills!O10</f>
        <v/>
      </c>
      <c r="G2749">
        <f>Skills!G10*IF(Skills!H10&gt;0,INT(IF(Inputs!$B$38="pvp",MIN(Skills!I10,15),Skills!I10)/Skills!H10+0.000000001),1)</f>
        <v/>
      </c>
      <c r="H2749">
        <f>1-(1-Skills!J10/100)^Skills!K10</f>
        <v/>
      </c>
      <c r="I2749" t="inlineStr">
        <is>
          <t>1</t>
        </is>
      </c>
      <c r="J2749">
        <f>((Inputs!$B$6*(1+Inputs!$B$7/100))+(((Inputs!$B$12*(1+Inputs!$B$13/100))-(Inputs!$B$12*(1+Inputs!$B$13/100)))+0.25*(Inputs!$B$14-Inputs!$B$14))*(1+Inputs!$B$7/100))*(F2749/100)</f>
        <v/>
      </c>
      <c r="K2749">
        <f>J2749*(1+((Inputs!$B$12*(1+Inputs!$B$13/100))*0.01+Inputs!$B$14*0.0025)/100)*(1+Inputs!$B$15/100)*(1+Inputs!$B$16/100)*(5000/(6000+Inputs!$B$42*(1-(100*(1-(1-(Inputs!$B$19+0)/100)*(1-CHOOSE(ArtifactsInput!$N$40+1,5,6,7,8,9,10)/100)^(ArtifactsInput!$M$40-ArtifactsInput!$M$40)))/100)))*(1+(Inputs!$B$24+((C2765=TRUE)*(F2765-Calc!F26))+B2776)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IF(ArtifactsInput!$M$39,FALSE,TRUE)-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IGHT_LEGS_EASTON",Inputs!$B$17+((C2762=TRUE)*(F2762-Calc!F23))+((C2766=TRUE)*(F2766-Calc!F27))+((IF(AND(Inputs!$B$38&lt;&gt;"pvp",Inputs!$B$43=0),1,IF(IF(Inputs!$B$38="pvp",15,Inputs!$B$43)-(B2777)&lt;=0,1,MAX(0,IF(Inputs!$B$38="pvp",15,Inputs!$B$43)-MAX(5,B2777))/(IF(Inputs!$B$38="pvp",15,Inputs!$B$43)-(B2777))))*(IF(AND(ArtifactsInput!$M$42,((Inputs!$B$9+((C2758=TRUE)*(F2758-Calc!F19))+B2770+(ArtifactsInput!$M$24-ArtifactsInput!$M$24)*CHOOSE(ArtifactsInput!$N$24+1,10,12,14,16,18,20)+IF(ArtifactsInput!$M$10,CHOOSE(ArtifactsInput!$N$10+1,15,18,21,24,27,30)*(IF(Inputs!$B$38="pvp",MIN(15,15)/15,IF(AND(Inputs!$B$38&lt;&gt;"pvp",Inputs!$B$43&gt;0),MIN(15,Inputs!$B$43)/(Inputs!$B$43),0))),0)))&gt;=100),MIN(100,((Inputs!$B$9+((C2758=TRUE)*(F2758-Calc!F19))+B2770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2777)&lt;=0,1,MAX(0,IF(Inputs!$B$38="pvp",15,Inputs!$B$43)-MAX(5,B2777))/(IF(Inputs!$B$38="pvp",15,Inputs!$B$43)-(B2777))))*IF(AND(ArtifactsInput!$M$42,((Inputs!$B$9+((C2758=TRUE)*(F2758-Calc!F19))+B2770+(ArtifactsInput!$M$24-ArtifactsInput!$M$24)*CHOOSE(ArtifactsInput!$N$24+1,10,12,14,16,18,20)+IF(ArtifactsInput!$M$10,CHOOSE(ArtifactsInput!$N$10+1,15,18,21,24,27,30)*(IF(Inputs!$B$38="pvp",MIN(15,15)/15,IF(AND(Inputs!$B$38&lt;&gt;"pvp",Inputs!$B$43&gt;0),MIN(15,Inputs!$B$43)/(Inputs!$B$43),0))),0)))&gt;=100),CHOOSE(ArtifactsInput!$N$42+1,40,48,56,64,72,80),0))))/100)*((1+(((C2756=TRUE)*F2756*5/7)+((C2763=TRUE)*(F2763-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2749)</f>
        <v/>
      </c>
      <c r="L2749">
        <f>K2749*(MIN(Inputs!$B$22+((C2761=TRUE)*(F2761-Calc!F22)),(Inputs!$B$23+0+(IF(ArtifactsInput!$M$15,CHOOSE(ArtifactsInput!$N$15+1,25,30,35,40,45,50)/100*(Inputs!$B$11-Inputs!$B$11),0))))/100+(Inputs!$B$23+0+(IF(ArtifactsInput!$M$15,CHOOSE(ArtifactsInput!$N$15+1,25,30,35,40,45,50)/100*(Inputs!$B$11-Inputs!$B$11),0)))/100)/2</f>
        <v/>
      </c>
      <c r="M2749">
        <f>L2749*(1+(Inputs!$B$10+((C2764=TRUE)*(F2764-Calc!F25))+B2775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49">
        <f>L2749*(1-MIN((Inputs!$B$9+((C2758=TRUE)*(F2758-Calc!F19))+B2770+(ArtifactsInput!$M$24-ArtifactsInput!$M$24)*CHOOSE(ArtifactsInput!$N$24+1,10,12,14,16,18,20)+(IF(AND(Inputs!$B$38&lt;&gt;"pvp",Inputs!$B$43=0),1,IF(IF(Inputs!$B$38="pvp",15,Inputs!$B$43)-(B2777)&lt;=0,1,MAX(0,IF(Inputs!$B$38="pvp",15,Inputs!$B$43)-MAX(5,B2777))/(IF(Inputs!$B$38="pvp",15,Inputs!$B$43)-(B2777))))*IF(AND(ArtifactsInput!$M$42,((Inputs!$B$9+((C2758=TRUE)*(F2758-Calc!F19))+B2770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2749*(MIN((Inputs!$B$9+((C2758=TRUE)*(F2758-Calc!F19))+B2770+(ArtifactsInput!$M$24-ArtifactsInput!$M$24)*CHOOSE(ArtifactsInput!$N$24+1,10,12,14,16,18,20)+(IF(AND(Inputs!$B$38&lt;&gt;"pvp",Inputs!$B$43=0),1,IF(IF(Inputs!$B$38="pvp",15,Inputs!$B$43)-(B2777)&lt;=0,1,MAX(0,IF(Inputs!$B$38="pvp",15,Inputs!$B$43)-MAX(5,B2777))/(IF(Inputs!$B$38="pvp",15,Inputs!$B$43)-(B2777))))*IF(AND(ArtifactsInput!$M$42,((Inputs!$B$9+((C2758=TRUE)*(F2758-Calc!F19))+B2770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49">
        <f>(1-Summary!$B$11)*T2749+Summary!$B$11*V2749</f>
        <v/>
      </c>
      <c r="P2749">
        <f>IF(B2780=0,0,O2749/B2780)</f>
        <v/>
      </c>
      <c r="Q2749" t="n">
        <v>0</v>
      </c>
      <c r="R2749" t="n">
        <v>0</v>
      </c>
      <c r="S2749">
        <f>IFERROR(O2749/N2749,0)</f>
        <v/>
      </c>
      <c r="T2749">
        <f>IF(C2749,((H2749*B2782)/(1+Skills!H10*H2749*B2782)*N2749)*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Hunt"),CHOOSE(ArtifactsInput!$N$35+1,15,18,21,24,27,30)*(1-EXP(-(0.2*B2772)*5)),0)+IF(AND(ArtifactsInput!$M$22,Inputs!$B$4&lt;&gt;"Chapter Hunt"),CHOOSE(ArtifactsInput!$N$22+1,10,12,14,16,18,20)*((0*(((0.15*B2772*5))^0/1)+1*(((0.15*B2772*5))^1/1)+2*(((0.15*B2772*5))^2/2)+3*(((0.15*B2772*5))^3/6)+4*(((0.15*B2772*5))^4/24)+5*(((0.15*B2772*5))^5/120))/((((0.15*B2772*5))^0/1)+(((0.15*B2772*5))^1/1)+(((0.15*B2772*5))^2/2)+(((0.15*B2772*5))^3/6)+(((0.15*B2772*5))^4/24)+(((0.15*B2772*5))^5/120))),0))+IF(Inputs!$B$3&gt;=54,9*(C2742=TRUE)*MIN(1,8*(1+Inputs!$B$34/100)*Q2742)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2749*(1-MIN(100,(Inputs!$B$9+((C2758=TRUE)*(F2758-Calc!F19))+B2770+(ArtifactsInput!$M$24-ArtifactsInput!$M$24)*CHOOSE(ArtifactsInput!$N$24+1,10,12,14,16,18,20)+(IF(AND(Inputs!$B$38&lt;&gt;"pvp",Inputs!$B$43=0),1,IF(IF(Inputs!$B$38="pvp",15,Inputs!$B$43)-(B2777)&lt;=0,1,MAX(0,IF(Inputs!$B$38="pvp",15,Inputs!$B$43)-MAX(5,B2777))/(IF(Inputs!$B$38="pvp",15,Inputs!$B$43)-(B2777))))*IF(AND(ArtifactsInput!$M$42,((Inputs!$B$9+((C2758=TRUE)*(F2758-Calc!F19))+B2770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2749*(MIN(100,(Inputs!$B$9+((C2758=TRUE)*(F2758-Calc!F19))+B2770+(ArtifactsInput!$M$24-ArtifactsInput!$M$24)*CHOOSE(ArtifactsInput!$N$24+1,10,12,14,16,18,20)+(IF(AND(Inputs!$B$38&lt;&gt;"pvp",Inputs!$B$43=0),1,IF(IF(Inputs!$B$38="pvp",15,Inputs!$B$43)-(B2777)&lt;=0,1,MAX(0,IF(Inputs!$B$38="pvp",15,Inputs!$B$43)-MAX(5,B2777))/(IF(Inputs!$B$38="pvp",15,Inputs!$B$43)-(B2777))))*IF(AND(ArtifactsInput!$M$42,((Inputs!$B$9+((C2758=TRUE)*(F2758-Calc!F19))+B2770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2749*(1-MIN(100,(Inputs!$B$9+((C2758=TRUE)*(F2758-Calc!F19))+B2770+(ArtifactsInput!$M$24-ArtifactsInput!$M$24)*CHOOSE(ArtifactsInput!$N$24+1,10,12,14,16,18,20)+(IF(AND(Inputs!$B$38&lt;&gt;"pvp",Inputs!$B$43=0),1,IF(IF(Inputs!$B$38="pvp",15,Inputs!$B$43)-(B2777)&lt;=0,1,MAX(0,IF(Inputs!$B$38="pvp",15,Inputs!$B$43)-MAX(5,B2777))/(IF(Inputs!$B$38="pvp",15,Inputs!$B$43)-(B2777))))*IF(AND(ArtifactsInput!$M$42,((Inputs!$B$9+((C2758=TRUE)*(F2758-Calc!F19))+B2770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2749*(MIN(100,(Inputs!$B$9+((C2758=TRUE)*(F2758-Calc!F19))+B2770+(ArtifactsInput!$M$24-ArtifactsInput!$M$24)*CHOOSE(ArtifactsInput!$N$24+1,10,12,14,16,18,20)+(IF(AND(Inputs!$B$38&lt;&gt;"pvp",Inputs!$B$43=0),1,IF(IF(Inputs!$B$38="pvp",15,Inputs!$B$43)-(B2777)&lt;=0,1,MAX(0,IF(Inputs!$B$38="pvp",15,Inputs!$B$43)-MAX(5,B2777))/(IF(Inputs!$B$38="pvp",15,Inputs!$B$43)-(B2777))))*IF(AND(ArtifactsInput!$M$42,((Inputs!$B$9+((C2758=TRUE)*(F2758-Calc!F19))+B2770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749">
        <f>IF(C2749,((H2749*B2782)/(1+Skills!H10*H2749*B2782)*N2749)*IF(Inputs!$B$38="pvp",1,(1+(Inputs!$B$21+Skills!Q10+(IF(ArtifactsInput!$M$33,CHOOSE(ArtifactsInput!$N$33+1,30,36,42,48,54,60),0))+(IF(AND(ArtifactsInput!$M$35,Inputs!$B$4&lt;&gt;"Chapter Hunt"),CHOOSE(ArtifactsInput!$N$35+1,15,18,21,24,27,30)*(1-EXP(-(0.2*B2772)*5)),0)+IF(AND(ArtifactsInput!$M$22,Inputs!$B$4&lt;&gt;"Chapter Hunt"),CHOOSE(ArtifactsInput!$N$22+1,10,12,14,16,18,20)*((0*(((0.15*B2772*5))^0/1)+1*(((0.15*B2772*5))^1/1)+2*(((0.15*B2772*5))^2/2)+3*(((0.15*B2772*5))^3/6)+4*(((0.15*B2772*5))^4/24)+5*(((0.15*B2772*5))^5/120))/((((0.15*B2772*5))^0/1)+(((0.15*B2772*5))^1/1)+(((0.15*B2772*5))^2/2)+(((0.15*B2772*5))^3/6)+(((0.15*B2772*5))^4/24)+(((0.15*B2772*5))^5/120))),0))+IF(Inputs!$B$3&gt;=54,9*(C2742=TRUE)*MIN(1,8*(1+Inputs!$B$34/100)*Q2742),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50">
      <c r="A2750">
        <f>Skills!A11</f>
        <v/>
      </c>
      <c r="B2750">
        <f>Skills!B11</f>
        <v/>
      </c>
      <c r="C2750">
        <f>Inputs!$B$3&gt;=117</f>
        <v/>
      </c>
      <c r="D2750">
        <f>IF(Skills!C11=1,60+Inputs!$B$25+Inputs!$B$29,IF(Skills!C11=2,90+Inputs!$B$26+Inputs!$B$29,IF(Skills!C11=3,120+Inputs!$B$27+Inputs!$B$29,MAX(0,(Inputs!$B$3-100)*3)+Inputs!$B$28+Inputs!$B$29)))</f>
        <v/>
      </c>
      <c r="E2750">
        <f>INDEX(FactorTable!$B$2:$Y$301, MATCH(ROUND(MIN(300,MAX(1,D2750)),0), FactorTable!$A$2:$A$301,0), Skills!M11+1)</f>
        <v/>
      </c>
      <c r="F2750">
        <f>IF(Skills!N11=TRUE,(Skills!L11/10)*(E2750/1000),Skills!L11/10)+Skills!O11</f>
        <v/>
      </c>
      <c r="G2750">
        <f>Skills!G11*IF(Skills!H11&gt;0,INT(IF(Inputs!$B$38="pvp",MIN(Skills!I11,15),Skills!I11)/Skills!H11+0.000000001),1)</f>
        <v/>
      </c>
      <c r="H2750">
        <f>1-(1-Skills!J11/100)^Skills!K11</f>
        <v/>
      </c>
      <c r="I2750" t="inlineStr">
        <is>
          <t>1</t>
        </is>
      </c>
      <c r="J2750">
        <f>((Inputs!$B$6*(1+Inputs!$B$7/100))+(((Inputs!$B$12*(1+Inputs!$B$13/100))-(Inputs!$B$12*(1+Inputs!$B$13/100)))+0.25*(Inputs!$B$14-Inputs!$B$14))*(1+Inputs!$B$7/100))*(F2750/100)</f>
        <v/>
      </c>
      <c r="K2750">
        <f>J2750*(1+((Inputs!$B$12*(1+Inputs!$B$13/100))*0.01+Inputs!$B$14*0.0025)/100)*(1+Inputs!$B$15/100)*(1+Inputs!$B$16/100)*(5000/(6000+Inputs!$B$42*(1-(100*(1-(1-(Inputs!$B$19+0)/100)*(1-CHOOSE(ArtifactsInput!$N$40+1,5,6,7,8,9,10)/100)^(ArtifactsInput!$M$40-ArtifactsInput!$M$40)))/100)))*(1+(Inputs!$B$24+((C2765=TRUE)*(F2765-Calc!F26))+B2776)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IF(ArtifactsInput!$M$39,FALSE,TRUE)-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IGHT_LEGS_EASTON",Inputs!$B$17+((C2762=TRUE)*(F2762-Calc!F23))+((C2766=TRUE)*(F2766-Calc!F27))+((IF(AND(Inputs!$B$38&lt;&gt;"pvp",Inputs!$B$43=0),1,IF(IF(Inputs!$B$38="pvp",15,Inputs!$B$43)-(B2777)&lt;=0,1,MAX(0,IF(Inputs!$B$38="pvp",15,Inputs!$B$43)-MAX(5,B2777))/(IF(Inputs!$B$38="pvp",15,Inputs!$B$43)-(B2777))))*(IF(AND(ArtifactsInput!$M$42,((Inputs!$B$9+((C2758=TRUE)*(F2758-Calc!F19))+B2770+(ArtifactsInput!$M$24-ArtifactsInput!$M$24)*CHOOSE(ArtifactsInput!$N$24+1,10,12,14,16,18,20)+IF(ArtifactsInput!$M$10,CHOOSE(ArtifactsInput!$N$10+1,15,18,21,24,27,30)*(IF(Inputs!$B$38="pvp",MIN(15,15)/15,IF(AND(Inputs!$B$38&lt;&gt;"pvp",Inputs!$B$43&gt;0),MIN(15,Inputs!$B$43)/(Inputs!$B$43),0))),0)))&gt;=100),MIN(100,((Inputs!$B$9+((C2758=TRUE)*(F2758-Calc!F19))+B2770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2777)&lt;=0,1,MAX(0,IF(Inputs!$B$38="pvp",15,Inputs!$B$43)-MAX(5,B2777))/(IF(Inputs!$B$38="pvp",15,Inputs!$B$43)-(B2777))))*IF(AND(ArtifactsInput!$M$42,((Inputs!$B$9+((C2758=TRUE)*(F2758-Calc!F19))+B2770+(ArtifactsInput!$M$24-ArtifactsInput!$M$24)*CHOOSE(ArtifactsInput!$N$24+1,10,12,14,16,18,20)+IF(ArtifactsInput!$M$10,CHOOSE(ArtifactsInput!$N$10+1,15,18,21,24,27,30)*(IF(Inputs!$B$38="pvp",MIN(15,15)/15,IF(AND(Inputs!$B$38&lt;&gt;"pvp",Inputs!$B$43&gt;0),MIN(15,Inputs!$B$43)/(Inputs!$B$43),0))),0)))&gt;=100),CHOOSE(ArtifactsInput!$N$42+1,40,48,56,64,72,80),0))))/100)*((1+(((C2756=TRUE)*F2756*5/7)+((C2763=TRUE)*(F2763-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2750)</f>
        <v/>
      </c>
      <c r="L2750">
        <f>K2750*(MIN(Inputs!$B$22+((C2761=TRUE)*(F2761-Calc!F22)),(Inputs!$B$23+0+(IF(ArtifactsInput!$M$15,CHOOSE(ArtifactsInput!$N$15+1,25,30,35,40,45,50)/100*(Inputs!$B$11-Inputs!$B$11),0))))/100+(Inputs!$B$23+0+(IF(ArtifactsInput!$M$15,CHOOSE(ArtifactsInput!$N$15+1,25,30,35,40,45,50)/100*(Inputs!$B$11-Inputs!$B$11),0)))/100)/2</f>
        <v/>
      </c>
      <c r="M2750">
        <f>L2750*(1+(Inputs!$B$10+((C2764=TRUE)*(F2764-Calc!F25))+B2775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50">
        <f>L2750*(1-MIN((Inputs!$B$9+((C2758=TRUE)*(F2758-Calc!F19))+B2770+(ArtifactsInput!$M$24-ArtifactsInput!$M$24)*CHOOSE(ArtifactsInput!$N$24+1,10,12,14,16,18,20)+(IF(AND(Inputs!$B$38&lt;&gt;"pvp",Inputs!$B$43=0),1,IF(IF(Inputs!$B$38="pvp",15,Inputs!$B$43)-(B2777)&lt;=0,1,MAX(0,IF(Inputs!$B$38="pvp",15,Inputs!$B$43)-MAX(5,B2777))/(IF(Inputs!$B$38="pvp",15,Inputs!$B$43)-(B2777))))*IF(AND(ArtifactsInput!$M$42,((Inputs!$B$9+((C2758=TRUE)*(F2758-Calc!F19))+B2770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2750*(MIN((Inputs!$B$9+((C2758=TRUE)*(F2758-Calc!F19))+B2770+(ArtifactsInput!$M$24-ArtifactsInput!$M$24)*CHOOSE(ArtifactsInput!$N$24+1,10,12,14,16,18,20)+(IF(AND(Inputs!$B$38&lt;&gt;"pvp",Inputs!$B$43=0),1,IF(IF(Inputs!$B$38="pvp",15,Inputs!$B$43)-(B2777)&lt;=0,1,MAX(0,IF(Inputs!$B$38="pvp",15,Inputs!$B$43)-MAX(5,B2777))/(IF(Inputs!$B$38="pvp",15,Inputs!$B$43)-(B2777))))*IF(AND(ArtifactsInput!$M$42,((Inputs!$B$9+((C2758=TRUE)*(F2758-Calc!F19))+B2770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50">
        <f>(1-Summary!$B$11)*T2750+Summary!$B$11*V2750</f>
        <v/>
      </c>
      <c r="P2750">
        <f>IF(B2780=0,0,O2750/B2780)</f>
        <v/>
      </c>
      <c r="Q2750">
        <f>IFERROR(1/((IF(Inputs!$B$38="pvp",15,MAX(0.1,Skills!D11-IF(TRUE=TRUE,Inputs!$B$32,0)))*(1-IF(AND(ArtifactsInput!$M$27,Inputs!$B$4="Chapter Hunt"),CHOOSE(ArtifactsInput!$N$27+1,20,24,28,32,36,40),0)/100))/B2781),0)</f>
        <v/>
      </c>
      <c r="R2750">
        <f>IF(AND(Inputs!$B$38&lt;&gt;"pvp",Inputs!$B$43&gt;0),IF(MAX(0,Inputs!$B$43-B2777)&lt;=0,0,(INT(MAX(0,Inputs!$B$43-B2777)/((IF(Inputs!$B$38="pvp",15,MAX(0.1,Skills!D11-IF(TRUE=TRUE,Inputs!$B$32,0)))*(1-IF(AND(ArtifactsInput!$M$27,Inputs!$B$4="Chapter Hunt"),CHOOSE(ArtifactsInput!$N$27+1,20,24,28,32,36,40),0)/100))/B2781))+1)),0)</f>
        <v/>
      </c>
      <c r="S2750">
        <f>IFERROR(O2750/N2750,0)</f>
        <v/>
      </c>
      <c r="T2750">
        <f>IF(C2750,(H2750*N2750*IF(AND(Inputs!$B$38&lt;&gt;"pvp",Inputs!$B$43&gt;0),((Skills!G11*((R2750-1)*IF(Skills!H11&gt;0,INT(Skills!I11/Skills!H11+0.000000001),1)+IF(Skills!H11&gt;0,INT(MIN(Skills!I11,MAX(0,MAX(0,Inputs!$B$43-B2777)-((R2750-1)*((IF(Inputs!$B$38="pvp",15,MAX(0.1,Skills!D11-IF(TRUE=TRUE,Inputs!$B$32,0)))*(1-IF(AND(ArtifactsInput!$M$27,Inputs!$B$4="Chapter Hunt"),CHOOSE(ArtifactsInput!$N$27+1,20,24,28,32,36,40),0)/100))/B2781))))/Skills!H11+0.000000001),1)))/Inputs!$B$43),G2750*Q2750))*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Hunt"),CHOOSE(ArtifactsInput!$N$35+1,15,18,21,24,27,30)*(1-EXP(-(0.2*B2772)*5)),0)+IF(AND(ArtifactsInput!$M$22,Inputs!$B$4&lt;&gt;"Chapter Hunt"),CHOOSE(ArtifactsInput!$N$22+1,10,12,14,16,18,20)*((0*(((0.15*B2772*5))^0/1)+1*(((0.15*B2772*5))^1/1)+2*(((0.15*B2772*5))^2/2)+3*(((0.15*B2772*5))^3/6)+4*(((0.15*B2772*5))^4/24)+5*(((0.15*B2772*5))^5/120))/((((0.15*B2772*5))^0/1)+(((0.15*B2772*5))^1/1)+(((0.15*B2772*5))^2/2)+(((0.15*B2772*5))^3/6)+(((0.15*B2772*5))^4/24)+(((0.15*B2772*5))^5/120))),0))+IF(Inputs!$B$3&gt;=54,9*(C2742=TRUE)*MIN(1,8*(1+Inputs!$B$34/100)*Q2742)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2750*(1-MIN(100,(Inputs!$B$9+((C2758=TRUE)*(F2758-Calc!F19))+B2770+(ArtifactsInput!$M$24-ArtifactsInput!$M$24)*CHOOSE(ArtifactsInput!$N$24+1,10,12,14,16,18,20)+(IF(AND(Inputs!$B$38&lt;&gt;"pvp",Inputs!$B$43=0),1,IF(IF(Inputs!$B$38="pvp",15,Inputs!$B$43)-(B2777)&lt;=0,1,MAX(0,IF(Inputs!$B$38="pvp",15,Inputs!$B$43)-MAX(5,B2777))/(IF(Inputs!$B$38="pvp",15,Inputs!$B$43)-(B2777))))*IF(AND(ArtifactsInput!$M$42,((Inputs!$B$9+((C2758=TRUE)*(F2758-Calc!F19))+B2770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2750*(MIN(100,(Inputs!$B$9+((C2758=TRUE)*(F2758-Calc!F19))+B2770+(ArtifactsInput!$M$24-ArtifactsInput!$M$24)*CHOOSE(ArtifactsInput!$N$24+1,10,12,14,16,18,20)+(IF(AND(Inputs!$B$38&lt;&gt;"pvp",Inputs!$B$43=0),1,IF(IF(Inputs!$B$38="pvp",15,Inputs!$B$43)-(B2777)&lt;=0,1,MAX(0,IF(Inputs!$B$38="pvp",15,Inputs!$B$43)-MAX(5,B2777))/(IF(Inputs!$B$38="pvp",15,Inputs!$B$43)-(B2777))))*IF(AND(ArtifactsInput!$M$42,((Inputs!$B$9+((C2758=TRUE)*(F2758-Calc!F19))+B2770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2750*(1-MIN(100,(Inputs!$B$9+((C2758=TRUE)*(F2758-Calc!F19))+B2770+(ArtifactsInput!$M$24-ArtifactsInput!$M$24)*CHOOSE(ArtifactsInput!$N$24+1,10,12,14,16,18,20)+(IF(AND(Inputs!$B$38&lt;&gt;"pvp",Inputs!$B$43=0),1,IF(IF(Inputs!$B$38="pvp",15,Inputs!$B$43)-(B2777)&lt;=0,1,MAX(0,IF(Inputs!$B$38="pvp",15,Inputs!$B$43)-MAX(5,B2777))/(IF(Inputs!$B$38="pvp",15,Inputs!$B$43)-(B2777))))*IF(AND(ArtifactsInput!$M$42,((Inputs!$B$9+((C2758=TRUE)*(F2758-Calc!F19))+B2770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2750*(MIN(100,(Inputs!$B$9+((C2758=TRUE)*(F2758-Calc!F19))+B2770+(ArtifactsInput!$M$24-ArtifactsInput!$M$24)*CHOOSE(ArtifactsInput!$N$24+1,10,12,14,16,18,20)+(IF(AND(Inputs!$B$38&lt;&gt;"pvp",Inputs!$B$43=0),1,IF(IF(Inputs!$B$38="pvp",15,Inputs!$B$43)-(B2777)&lt;=0,1,MAX(0,IF(Inputs!$B$38="pvp",15,Inputs!$B$43)-MAX(5,B2777))/(IF(Inputs!$B$38="pvp",15,Inputs!$B$43)-(B2777))))*IF(AND(ArtifactsInput!$M$42,((Inputs!$B$9+((C2758=TRUE)*(F2758-Calc!F19))+B2770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750">
        <f>IF(C2750,(H2750*N2750*IF(AND(Inputs!$B$38&lt;&gt;"pvp",Inputs!$B$43&gt;0),((Skills!G11*((R2750-1)*IF(Skills!H11&gt;0,INT(Skills!I11/Skills!H11+0.000000001),1)+IF(Skills!H11&gt;0,INT(MIN(Skills!I11,MAX(0,MAX(0,Inputs!$B$43-B2777)-((R2750-1)*((IF(Inputs!$B$38="pvp",15,MAX(0.1,Skills!D11-IF(TRUE=TRUE,Inputs!$B$32,0)))*(1-IF(AND(ArtifactsInput!$M$27,Inputs!$B$4="Chapter Hunt"),CHOOSE(ArtifactsInput!$N$27+1,20,24,28,32,36,40),0)/100))/B2781))))/Skills!H11+0.000000001),1)))/Inputs!$B$43),G2750*Q2750))*IF(Inputs!$B$38="pvp",1,(1+(Inputs!$B$21+Skills!Q11+(IF(ArtifactsInput!$M$33,CHOOSE(ArtifactsInput!$N$33+1,30,36,42,48,54,60),0))+(IF(AND(ArtifactsInput!$M$35,Inputs!$B$4&lt;&gt;"Chapter Hunt"),CHOOSE(ArtifactsInput!$N$35+1,15,18,21,24,27,30)*(1-EXP(-(0.2*B2772)*5)),0)+IF(AND(ArtifactsInput!$M$22,Inputs!$B$4&lt;&gt;"Chapter Hunt"),CHOOSE(ArtifactsInput!$N$22+1,10,12,14,16,18,20)*((0*(((0.15*B2772*5))^0/1)+1*(((0.15*B2772*5))^1/1)+2*(((0.15*B2772*5))^2/2)+3*(((0.15*B2772*5))^3/6)+4*(((0.15*B2772*5))^4/24)+5*(((0.15*B2772*5))^5/120))/((((0.15*B2772*5))^0/1)+(((0.15*B2772*5))^1/1)+(((0.15*B2772*5))^2/2)+(((0.15*B2772*5))^3/6)+(((0.15*B2772*5))^4/24)+(((0.15*B2772*5))^5/120))),0))+IF(Inputs!$B$3&gt;=54,9*(C2742=TRUE)*MIN(1,8*(1+Inputs!$B$34/100)*Q2742),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51">
      <c r="A2751">
        <f>Skills!A12</f>
        <v/>
      </c>
      <c r="B2751">
        <f>Skills!B12</f>
        <v/>
      </c>
      <c r="C2751">
        <f>Inputs!$B$3&gt;=110</f>
        <v/>
      </c>
      <c r="D2751">
        <f>IF(Skills!C12=1,60+Inputs!$B$25+Inputs!$B$29,IF(Skills!C12=2,90+Inputs!$B$26+Inputs!$B$29,IF(Skills!C12=3,120+Inputs!$B$27+Inputs!$B$29,MAX(0,(Inputs!$B$3-100)*3)+Inputs!$B$28+Inputs!$B$29)))</f>
        <v/>
      </c>
      <c r="E2751">
        <f>INDEX(FactorTable!$B$2:$Y$301, MATCH(ROUND(MIN(300,MAX(1,D2751)),0), FactorTable!$A$2:$A$301,0), Skills!M12+1)</f>
        <v/>
      </c>
      <c r="F2751">
        <f>IF(Skills!N12=TRUE,(Skills!L12/10)*(E2751/1000),Skills!L12/10)+Skills!O12</f>
        <v/>
      </c>
      <c r="G2751">
        <f>Skills!G12*IF(Skills!H12&gt;0,INT(IF(Inputs!$B$38="pvp",MIN(Skills!I12,15),Skills!I12)/Skills!H12+0.000000001),1)</f>
        <v/>
      </c>
      <c r="H2751">
        <f>1-(1-Skills!J12/100)^Skills!K12</f>
        <v/>
      </c>
      <c r="I2751" t="inlineStr">
        <is>
          <t>1</t>
        </is>
      </c>
      <c r="J2751">
        <f>((Inputs!$B$6*(1+Inputs!$B$7/100))+(((Inputs!$B$12*(1+Inputs!$B$13/100))-(Inputs!$B$12*(1+Inputs!$B$13/100)))+0.25*(Inputs!$B$14-Inputs!$B$14))*(1+Inputs!$B$7/100))*(F2751/100)</f>
        <v/>
      </c>
      <c r="K2751">
        <f>J2751*(1+((Inputs!$B$12*(1+Inputs!$B$13/100))*0.01+Inputs!$B$14*0.0025)/100)*(1+Inputs!$B$15/100)*(1+Inputs!$B$16/100)*(5000/(6000+Inputs!$B$42*(1-(100*(1-(1-(Inputs!$B$19+0)/100)*(1-CHOOSE(ArtifactsInput!$N$40+1,5,6,7,8,9,10)/100)^(ArtifactsInput!$M$40-ArtifactsInput!$M$40)))/100)))*(1+(Inputs!$B$24+((C2765=TRUE)*(F2765-Calc!F26))+B2776)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IF(ArtifactsInput!$M$39,FALSE,TRUE)-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EIGHT_LEGS_EASTON",Inputs!$B$17+((C2762=TRUE)*(F2762-Calc!F23))+((C2766=TRUE)*(F2766-Calc!F27))+((IF(AND(Inputs!$B$38&lt;&gt;"pvp",Inputs!$B$43=0),1,IF(IF(Inputs!$B$38="pvp",15,Inputs!$B$43)-(B2777)&lt;=0,1,MAX(0,IF(Inputs!$B$38="pvp",15,Inputs!$B$43)-MAX(5,B2777))/(IF(Inputs!$B$38="pvp",15,Inputs!$B$43)-(B2777))))*(IF(AND(ArtifactsInput!$M$42,((Inputs!$B$9+((C2758=TRUE)*(F2758-Calc!F19))+B2770+(ArtifactsInput!$M$24-ArtifactsInput!$M$24)*CHOOSE(ArtifactsInput!$N$24+1,10,12,14,16,18,20)+IF(ArtifactsInput!$M$10,CHOOSE(ArtifactsInput!$N$10+1,15,18,21,24,27,30)*(IF(Inputs!$B$38="pvp",MIN(15,15)/15,IF(AND(Inputs!$B$38&lt;&gt;"pvp",Inputs!$B$43&gt;0),MIN(15,Inputs!$B$43)/(Inputs!$B$43),0))),0)))&gt;=100),MIN(100,((Inputs!$B$9+((C2758=TRUE)*(F2758-Calc!F19))+B2770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2777)&lt;=0,1,MAX(0,IF(Inputs!$B$38="pvp",15,Inputs!$B$43)-MAX(5,B2777))/(IF(Inputs!$B$38="pvp",15,Inputs!$B$43)-(B2777))))*IF(AND(ArtifactsInput!$M$42,((Inputs!$B$9+((C2758=TRUE)*(F2758-Calc!F19))+B2770+(ArtifactsInput!$M$24-ArtifactsInput!$M$24)*CHOOSE(ArtifactsInput!$N$24+1,10,12,14,16,18,20)+IF(ArtifactsInput!$M$10,CHOOSE(ArtifactsInput!$N$10+1,15,18,21,24,27,30)*(IF(Inputs!$B$38="pvp",MIN(15,15)/15,IF(AND(Inputs!$B$38&lt;&gt;"pvp",Inputs!$B$43&gt;0),MIN(15,Inputs!$B$43)/(Inputs!$B$43),0))),0)))&gt;=100),CHOOSE(ArtifactsInput!$N$42+1,40,48,56,64,72,80),0))))/100)*((1+(((C2756=TRUE)*F2756*5/7)+((C2763=TRUE)*(F2763-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2751)</f>
        <v/>
      </c>
      <c r="L2751">
        <f>K2751*(MIN(Inputs!$B$22+((C2761=TRUE)*(F2761-Calc!F22)),(Inputs!$B$23+0+(IF(ArtifactsInput!$M$15,CHOOSE(ArtifactsInput!$N$15+1,25,30,35,40,45,50)/100*(Inputs!$B$11-Inputs!$B$11),0))))/100+(Inputs!$B$23+0+(IF(ArtifactsInput!$M$15,CHOOSE(ArtifactsInput!$N$15+1,25,30,35,40,45,50)/100*(Inputs!$B$11-Inputs!$B$11),0)))/100)/2</f>
        <v/>
      </c>
      <c r="M2751">
        <f>L2751*(1+(Inputs!$B$10+((C2764=TRUE)*(F2764-Calc!F25))+B2775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51">
        <f>L2751*(1-MIN((Inputs!$B$9+((C2758=TRUE)*(F2758-Calc!F19))+B2770+(ArtifactsInput!$M$24-ArtifactsInput!$M$24)*CHOOSE(ArtifactsInput!$N$24+1,10,12,14,16,18,20)+(IF(AND(Inputs!$B$38&lt;&gt;"pvp",Inputs!$B$43=0),1,IF(IF(Inputs!$B$38="pvp",15,Inputs!$B$43)-(B2777)&lt;=0,1,MAX(0,IF(Inputs!$B$38="pvp",15,Inputs!$B$43)-MAX(5,B2777))/(IF(Inputs!$B$38="pvp",15,Inputs!$B$43)-(B2777))))*IF(AND(ArtifactsInput!$M$42,((Inputs!$B$9+((C2758=TRUE)*(F2758-Calc!F19))+B2770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2751*(MIN((Inputs!$B$9+((C2758=TRUE)*(F2758-Calc!F19))+B2770+(ArtifactsInput!$M$24-ArtifactsInput!$M$24)*CHOOSE(ArtifactsInput!$N$24+1,10,12,14,16,18,20)+(IF(AND(Inputs!$B$38&lt;&gt;"pvp",Inputs!$B$43=0),1,IF(IF(Inputs!$B$38="pvp",15,Inputs!$B$43)-(B2777)&lt;=0,1,MAX(0,IF(Inputs!$B$38="pvp",15,Inputs!$B$43)-MAX(5,B2777))/(IF(Inputs!$B$38="pvp",15,Inputs!$B$43)-(B2777))))*IF(AND(ArtifactsInput!$M$42,((Inputs!$B$9+((C2758=TRUE)*(F2758-Calc!F19))+B2770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51">
        <f>(1-Summary!$B$11)*T2751+Summary!$B$11*V2751</f>
        <v/>
      </c>
      <c r="P2751">
        <f>IF(B2780=0,0,O2751/B2780)</f>
        <v/>
      </c>
      <c r="Q2751">
        <f>IFERROR(1/(IF(Inputs!$B$38="pvp",15,MAX(0.1,Skills!D12-IF(TRUE=TRUE,Inputs!$B$32,0)))*(1-IF(AND(ArtifactsInput!$M$27,Inputs!$B$4="Chapter Hunt"),CHOOSE(ArtifactsInput!$N$27+1,20,24,28,32,36,40),0)/100)),0)</f>
        <v/>
      </c>
      <c r="R2751">
        <f>IF(AND(Inputs!$B$38&lt;&gt;"pvp",Inputs!$B$43&gt;0),IF(MAX(0,Inputs!$B$43-B2777)&lt;=0,0,(INT(MAX(0,Inputs!$B$43-B2777)/(IF(Inputs!$B$38="pvp",15,MAX(0.1,Skills!D12-IF(TRUE=TRUE,Inputs!$B$32,0)))*(1-IF(AND(ArtifactsInput!$M$27,Inputs!$B$4="Chapter Hunt"),CHOOSE(ArtifactsInput!$N$27+1,20,24,28,32,36,40),0)/100)))+1)),0)</f>
        <v/>
      </c>
      <c r="S2751">
        <f>IFERROR(O2751/N2751,0)</f>
        <v/>
      </c>
      <c r="T2751">
        <f>IF(C2751,(H2751*N2751*IF(AND(Inputs!$B$38&lt;&gt;"pvp",Inputs!$B$43&gt;0),((Skills!G12*((R2751-1)*IF(Skills!H12&gt;0,INT(Skills!I12/Skills!H12+0.000000001),1)+IF(Skills!H12&gt;0,INT(MIN(Skills!I12,MAX(0,MAX(0,Inputs!$B$43-B2777)-((R2751-1)*(IF(Inputs!$B$38="pvp",15,MAX(0.1,Skills!D12-IF(TRUE=TRUE,Inputs!$B$32,0)))*(1-IF(AND(ArtifactsInput!$M$27,Inputs!$B$4="Chapter Hunt"),CHOOSE(ArtifactsInput!$N$27+1,20,24,28,32,36,40),0)/100)))))/Skills!H12+0.000000001),1)))/Inputs!$B$43),G2751*Q2751))*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Hunt"),CHOOSE(ArtifactsInput!$N$35+1,15,18,21,24,27,30)*(1-EXP(-(0.2*B2772)*5)),0)+IF(AND(ArtifactsInput!$M$22,Inputs!$B$4&lt;&gt;"Chapter Hunt"),CHOOSE(ArtifactsInput!$N$22+1,10,12,14,16,18,20)*((0*(((0.15*B2772*5))^0/1)+1*(((0.15*B2772*5))^1/1)+2*(((0.15*B2772*5))^2/2)+3*(((0.15*B2772*5))^3/6)+4*(((0.15*B2772*5))^4/24)+5*(((0.15*B2772*5))^5/120))/((((0.15*B2772*5))^0/1)+(((0.15*B2772*5))^1/1)+(((0.15*B2772*5))^2/2)+(((0.15*B2772*5))^3/6)+(((0.15*B2772*5))^4/24)+(((0.15*B2772*5))^5/120))),0))+IF(Inputs!$B$3&gt;=54,9*(C2742=TRUE)*MIN(1,8*(1+Inputs!$B$34/100)*Q2742)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2751*(1-MIN(100,(Inputs!$B$9+((C2758=TRUE)*(F2758-Calc!F19))+B2770+(ArtifactsInput!$M$24-ArtifactsInput!$M$24)*CHOOSE(ArtifactsInput!$N$24+1,10,12,14,16,18,20)+(IF(AND(Inputs!$B$38&lt;&gt;"pvp",Inputs!$B$43=0),1,IF(IF(Inputs!$B$38="pvp",15,Inputs!$B$43)-(B2777)&lt;=0,1,MAX(0,IF(Inputs!$B$38="pvp",15,Inputs!$B$43)-MAX(5,B2777))/(IF(Inputs!$B$38="pvp",15,Inputs!$B$43)-(B2777))))*IF(AND(ArtifactsInput!$M$42,((Inputs!$B$9+((C2758=TRUE)*(F2758-Calc!F19))+B2770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2751*(MIN(100,(Inputs!$B$9+((C2758=TRUE)*(F2758-Calc!F19))+B2770+(ArtifactsInput!$M$24-ArtifactsInput!$M$24)*CHOOSE(ArtifactsInput!$N$24+1,10,12,14,16,18,20)+(IF(AND(Inputs!$B$38&lt;&gt;"pvp",Inputs!$B$43=0),1,IF(IF(Inputs!$B$38="pvp",15,Inputs!$B$43)-(B2777)&lt;=0,1,MAX(0,IF(Inputs!$B$38="pvp",15,Inputs!$B$43)-MAX(5,B2777))/(IF(Inputs!$B$38="pvp",15,Inputs!$B$43)-(B2777))))*IF(AND(ArtifactsInput!$M$42,((Inputs!$B$9+((C2758=TRUE)*(F2758-Calc!F19))+B2770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2751*(1-MIN(100,(Inputs!$B$9+((C2758=TRUE)*(F2758-Calc!F19))+B2770+(ArtifactsInput!$M$24-ArtifactsInput!$M$24)*CHOOSE(ArtifactsInput!$N$24+1,10,12,14,16,18,20)+(IF(AND(Inputs!$B$38&lt;&gt;"pvp",Inputs!$B$43=0),1,IF(IF(Inputs!$B$38="pvp",15,Inputs!$B$43)-(B2777)&lt;=0,1,MAX(0,IF(Inputs!$B$38="pvp",15,Inputs!$B$43)-MAX(5,B2777))/(IF(Inputs!$B$38="pvp",15,Inputs!$B$43)-(B2777))))*IF(AND(ArtifactsInput!$M$42,((Inputs!$B$9+((C2758=TRUE)*(F2758-Calc!F19))+B2770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2751*(MIN(100,(Inputs!$B$9+((C2758=TRUE)*(F2758-Calc!F19))+B2770+(ArtifactsInput!$M$24-ArtifactsInput!$M$24)*CHOOSE(ArtifactsInput!$N$24+1,10,12,14,16,18,20)+(IF(AND(Inputs!$B$38&lt;&gt;"pvp",Inputs!$B$43=0),1,IF(IF(Inputs!$B$38="pvp",15,Inputs!$B$43)-(B2777)&lt;=0,1,MAX(0,IF(Inputs!$B$38="pvp",15,Inputs!$B$43)-MAX(5,B2777))/(IF(Inputs!$B$38="pvp",15,Inputs!$B$43)-(B2777))))*IF(AND(ArtifactsInput!$M$42,((Inputs!$B$9+((C2758=TRUE)*(F2758-Calc!F19))+B2770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751">
        <f>IF(C2751,(H2751*N2751*IF(AND(Inputs!$B$38&lt;&gt;"pvp",Inputs!$B$43&gt;0),((Skills!G12*((R2751-1)*IF(Skills!H12&gt;0,INT(Skills!I12/Skills!H12+0.000000001),1)+IF(Skills!H12&gt;0,INT(MIN(Skills!I12,MAX(0,MAX(0,Inputs!$B$43-B2777)-((R2751-1)*(IF(Inputs!$B$38="pvp",15,MAX(0.1,Skills!D12-IF(TRUE=TRUE,Inputs!$B$32,0)))*(1-IF(AND(ArtifactsInput!$M$27,Inputs!$B$4="Chapter Hunt"),CHOOSE(ArtifactsInput!$N$27+1,20,24,28,32,36,40),0)/100)))))/Skills!H12+0.000000001),1)))/Inputs!$B$43),G2751*Q2751))*IF(Inputs!$B$38="pvp",1,(1+(Inputs!$B$21+Skills!Q12+(IF(ArtifactsInput!$M$33,CHOOSE(ArtifactsInput!$N$33+1,30,36,42,48,54,60),0))+(IF(AND(ArtifactsInput!$M$35,Inputs!$B$4&lt;&gt;"Chapter Hunt"),CHOOSE(ArtifactsInput!$N$35+1,15,18,21,24,27,30)*(1-EXP(-(0.2*B2772)*5)),0)+IF(AND(ArtifactsInput!$M$22,Inputs!$B$4&lt;&gt;"Chapter Hunt"),CHOOSE(ArtifactsInput!$N$22+1,10,12,14,16,18,20)*((0*(((0.15*B2772*5))^0/1)+1*(((0.15*B2772*5))^1/1)+2*(((0.15*B2772*5))^2/2)+3*(((0.15*B2772*5))^3/6)+4*(((0.15*B2772*5))^4/24)+5*(((0.15*B2772*5))^5/120))/((((0.15*B2772*5))^0/1)+(((0.15*B2772*5))^1/1)+(((0.15*B2772*5))^2/2)+(((0.15*B2772*5))^3/6)+(((0.15*B2772*5))^4/24)+(((0.15*B2772*5))^5/120))),0))+IF(Inputs!$B$3&gt;=54,9*(C2742=TRUE)*MIN(1,8*(1+Inputs!$B$34/100)*Q2742),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52">
      <c r="A2752">
        <f>Skills!A13</f>
        <v/>
      </c>
      <c r="B2752">
        <f>Skills!B13</f>
        <v/>
      </c>
      <c r="C2752">
        <f>Inputs!$B$3&gt;=110</f>
        <v/>
      </c>
      <c r="D2752">
        <f>IF(Skills!C13=1,60+Inputs!$B$25+Inputs!$B$29,IF(Skills!C13=2,90+Inputs!$B$26+Inputs!$B$29,IF(Skills!C13=3,120+Inputs!$B$27+Inputs!$B$29,MAX(0,(Inputs!$B$3-100)*3)+Inputs!$B$28+Inputs!$B$29)))</f>
        <v/>
      </c>
      <c r="E2752">
        <f>INDEX(FactorTable!$B$2:$Y$301, MATCH(ROUND(MIN(300,MAX(1,D2752)),0), FactorTable!$A$2:$A$301,0), Skills!M13+1)</f>
        <v/>
      </c>
      <c r="F2752">
        <f>IF(Skills!N13=TRUE,(Skills!L13/10)*(E2752/1000),Skills!L13/10)+Skills!O13</f>
        <v/>
      </c>
      <c r="G2752">
        <f>Skills!G13*IF(Skills!H13&gt;0,INT(IF(Inputs!$B$38="pvp",MIN(Skills!I13,15),Skills!I13)/Skills!H13+0.000000001),1)</f>
        <v/>
      </c>
      <c r="H2752">
        <f>1-(1-Skills!J13/100)^Skills!K13</f>
        <v/>
      </c>
      <c r="I2752" t="inlineStr">
        <is>
          <t>1</t>
        </is>
      </c>
      <c r="J2752">
        <f>((Inputs!$B$6*(1+Inputs!$B$7/100))+(((Inputs!$B$12*(1+Inputs!$B$13/100))-(Inputs!$B$12*(1+Inputs!$B$13/100)))+0.25*(Inputs!$B$14-Inputs!$B$14))*(1+Inputs!$B$7/100))*(F2752/100)</f>
        <v/>
      </c>
      <c r="K2752">
        <f>J2752*(1+((Inputs!$B$12*(1+Inputs!$B$13/100))*0.01+Inputs!$B$14*0.0025)/100)*(1+Inputs!$B$15/100)*(1+Inputs!$B$16/100)*(5000/(6000+Inputs!$B$42*(1-(100*(1-(1-(Inputs!$B$19+0)/100)*(1-CHOOSE(ArtifactsInput!$N$40+1,5,6,7,8,9,10)/100)^(ArtifactsInput!$M$40-ArtifactsInput!$M$40)))/100)))*(1+(Inputs!$B$24+((C2765=TRUE)*(F2765-Calc!F26))+B2776)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IF(ArtifactsInput!$M$39,FALSE,TRUE)-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EIGHT_LEGS_EASTON",Inputs!$B$17+((C2762=TRUE)*(F2762-Calc!F23))+((C2766=TRUE)*(F2766-Calc!F27))+((IF(AND(Inputs!$B$38&lt;&gt;"pvp",Inputs!$B$43=0),1,IF(IF(Inputs!$B$38="pvp",15,Inputs!$B$43)-(B2777)&lt;=0,1,MAX(0,IF(Inputs!$B$38="pvp",15,Inputs!$B$43)-MAX(5,B2777))/(IF(Inputs!$B$38="pvp",15,Inputs!$B$43)-(B2777))))*(IF(AND(ArtifactsInput!$M$42,((Inputs!$B$9+((C2758=TRUE)*(F2758-Calc!F19))+B2770+(ArtifactsInput!$M$24-ArtifactsInput!$M$24)*CHOOSE(ArtifactsInput!$N$24+1,10,12,14,16,18,20)+IF(ArtifactsInput!$M$10,CHOOSE(ArtifactsInput!$N$10+1,15,18,21,24,27,30)*(IF(Inputs!$B$38="pvp",MIN(15,15)/15,IF(AND(Inputs!$B$38&lt;&gt;"pvp",Inputs!$B$43&gt;0),MIN(15,Inputs!$B$43)/(Inputs!$B$43),0))),0)))&gt;=100),MIN(100,((Inputs!$B$9+((C2758=TRUE)*(F2758-Calc!F19))+B2770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2777)&lt;=0,1,MAX(0,IF(Inputs!$B$38="pvp",15,Inputs!$B$43)-MAX(5,B2777))/(IF(Inputs!$B$38="pvp",15,Inputs!$B$43)-(B2777))))*IF(AND(ArtifactsInput!$M$42,((Inputs!$B$9+((C2758=TRUE)*(F2758-Calc!F19))+B2770+(ArtifactsInput!$M$24-ArtifactsInput!$M$24)*CHOOSE(ArtifactsInput!$N$24+1,10,12,14,16,18,20)+IF(ArtifactsInput!$M$10,CHOOSE(ArtifactsInput!$N$10+1,15,18,21,24,27,30)*(IF(Inputs!$B$38="pvp",MIN(15,15)/15,IF(AND(Inputs!$B$38&lt;&gt;"pvp",Inputs!$B$43&gt;0),MIN(15,Inputs!$B$43)/(Inputs!$B$43),0))),0)))&gt;=100),CHOOSE(ArtifactsInput!$N$42+1,40,48,56,64,72,80),0))))/100)*((1+(((C2756=TRUE)*F2756*5/7)+((C2763=TRUE)*(F2763-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2752)</f>
        <v/>
      </c>
      <c r="L2752">
        <f>K2752*(MIN(Inputs!$B$22+((C2761=TRUE)*(F2761-Calc!F22)),(Inputs!$B$23+0+(IF(ArtifactsInput!$M$15,CHOOSE(ArtifactsInput!$N$15+1,25,30,35,40,45,50)/100*(Inputs!$B$11-Inputs!$B$11),0))))/100+(Inputs!$B$23+0+(IF(ArtifactsInput!$M$15,CHOOSE(ArtifactsInput!$N$15+1,25,30,35,40,45,50)/100*(Inputs!$B$11-Inputs!$B$11),0)))/100)/2</f>
        <v/>
      </c>
      <c r="M2752">
        <f>L2752*(1+(Inputs!$B$10+((C2764=TRUE)*(F2764-Calc!F25))+B2775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52">
        <f>L2752*(1-MIN((Inputs!$B$9+((C2758=TRUE)*(F2758-Calc!F19))+B2770+(ArtifactsInput!$M$24-ArtifactsInput!$M$24)*CHOOSE(ArtifactsInput!$N$24+1,10,12,14,16,18,20)+(IF(AND(Inputs!$B$38&lt;&gt;"pvp",Inputs!$B$43=0),1,IF(IF(Inputs!$B$38="pvp",15,Inputs!$B$43)-(B2777)&lt;=0,1,MAX(0,IF(Inputs!$B$38="pvp",15,Inputs!$B$43)-MAX(5,B2777))/(IF(Inputs!$B$38="pvp",15,Inputs!$B$43)-(B2777))))*IF(AND(ArtifactsInput!$M$42,((Inputs!$B$9+((C2758=TRUE)*(F2758-Calc!F19))+B2770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2752*(MIN((Inputs!$B$9+((C2758=TRUE)*(F2758-Calc!F19))+B2770+(ArtifactsInput!$M$24-ArtifactsInput!$M$24)*CHOOSE(ArtifactsInput!$N$24+1,10,12,14,16,18,20)+(IF(AND(Inputs!$B$38&lt;&gt;"pvp",Inputs!$B$43=0),1,IF(IF(Inputs!$B$38="pvp",15,Inputs!$B$43)-(B2777)&lt;=0,1,MAX(0,IF(Inputs!$B$38="pvp",15,Inputs!$B$43)-MAX(5,B2777))/(IF(Inputs!$B$38="pvp",15,Inputs!$B$43)-(B2777))))*IF(AND(ArtifactsInput!$M$42,((Inputs!$B$9+((C2758=TRUE)*(F2758-Calc!F19))+B2770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52">
        <f>(1-Summary!$B$11)*T2752+Summary!$B$11*V2752</f>
        <v/>
      </c>
      <c r="P2752">
        <f>IF(B2780=0,0,O2752/B2780)</f>
        <v/>
      </c>
      <c r="Q2752">
        <f>IFERROR(1/(IF(Inputs!$B$38="pvp",15,MAX(0.1,Skills!D13-IF(TRUE=TRUE,Inputs!$B$32,0)))*(1-IF(AND(ArtifactsInput!$M$27,Inputs!$B$4="Chapter Hunt"),CHOOSE(ArtifactsInput!$N$27+1,20,24,28,32,36,40),0)/100)),0)</f>
        <v/>
      </c>
      <c r="R2752">
        <f>IF(AND(Inputs!$B$38&lt;&gt;"pvp",Inputs!$B$43&gt;0),IF(MAX(0,Inputs!$B$43-B2777)&lt;=0,0,(INT(MAX(0,Inputs!$B$43-B2777)/(IF(Inputs!$B$38="pvp",15,MAX(0.1,Skills!D13-IF(TRUE=TRUE,Inputs!$B$32,0)))*(1-IF(AND(ArtifactsInput!$M$27,Inputs!$B$4="Chapter Hunt"),CHOOSE(ArtifactsInput!$N$27+1,20,24,28,32,36,40),0)/100)))+1)),0)</f>
        <v/>
      </c>
      <c r="S2752">
        <f>IFERROR(O2752/N2752,0)</f>
        <v/>
      </c>
      <c r="T2752">
        <f>IF(C2752,(H2752*N2752*IF(AND(Inputs!$B$38&lt;&gt;"pvp",Inputs!$B$43&gt;0),((Skills!G13*((R2752-1)*IF(Skills!H13&gt;0,INT(Skills!I13/Skills!H13+0.000000001),1)+IF(Skills!H13&gt;0,INT(MIN(Skills!I13,MAX(0,MAX(0,Inputs!$B$43-B2777)-((R2752-1)*(IF(Inputs!$B$38="pvp",15,MAX(0.1,Skills!D13-IF(TRUE=TRUE,Inputs!$B$32,0)))*(1-IF(AND(ArtifactsInput!$M$27,Inputs!$B$4="Chapter Hunt"),CHOOSE(ArtifactsInput!$N$27+1,20,24,28,32,36,40),0)/100)))))/Skills!H13+0.000000001),1)))/Inputs!$B$43),G2752*Q2752))*IF(Inputs!$B$38="pvp",1,1+(Inputs!$B$20+0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Hunt"),CHOOSE(ArtifactsInput!$N$35+1,15,18,21,24,27,30)*(1-EXP(-(0.2*B2772)*5)),0)+IF(AND(ArtifactsInput!$M$22,Inputs!$B$4&lt;&gt;"Chapter Hunt"),CHOOSE(ArtifactsInput!$N$22+1,10,12,14,16,18,20)*((0*(((0.15*B2772*5))^0/1)+1*(((0.15*B2772*5))^1/1)+2*(((0.15*B2772*5))^2/2)+3*(((0.15*B2772*5))^3/6)+4*(((0.15*B2772*5))^4/24)+5*(((0.15*B2772*5))^5/120))/((((0.15*B2772*5))^0/1)+(((0.15*B2772*5))^1/1)+(((0.15*B2772*5))^2/2)+(((0.15*B2772*5))^3/6)+(((0.15*B2772*5))^4/24)+(((0.15*B2772*5))^5/120))),0))+IF(Inputs!$B$3&gt;=54,9*(C2742=TRUE)*MIN(1,8*(1+Inputs!$B$34/100)*Q2742)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2752*(1-MIN(100,(Inputs!$B$9+((C2758=TRUE)*(F2758-Calc!F19))+B2770+(ArtifactsInput!$M$24-ArtifactsInput!$M$24)*CHOOSE(ArtifactsInput!$N$24+1,10,12,14,16,18,20)+(IF(AND(Inputs!$B$38&lt;&gt;"pvp",Inputs!$B$43=0),1,IF(IF(Inputs!$B$38="pvp",15,Inputs!$B$43)-(B2777)&lt;=0,1,MAX(0,IF(Inputs!$B$38="pvp",15,Inputs!$B$43)-MAX(5,B2777))/(IF(Inputs!$B$38="pvp",15,Inputs!$B$43)-(B2777))))*IF(AND(ArtifactsInput!$M$42,((Inputs!$B$9+((C2758=TRUE)*(F2758-Calc!F19))+B2770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2752*(MIN(100,(Inputs!$B$9+((C2758=TRUE)*(F2758-Calc!F19))+B2770+(ArtifactsInput!$M$24-ArtifactsInput!$M$24)*CHOOSE(ArtifactsInput!$N$24+1,10,12,14,16,18,20)+(IF(AND(Inputs!$B$38&lt;&gt;"pvp",Inputs!$B$43=0),1,IF(IF(Inputs!$B$38="pvp",15,Inputs!$B$43)-(B2777)&lt;=0,1,MAX(0,IF(Inputs!$B$38="pvp",15,Inputs!$B$43)-MAX(5,B2777))/(IF(Inputs!$B$38="pvp",15,Inputs!$B$43)-(B2777))))*IF(AND(ArtifactsInput!$M$42,((Inputs!$B$9+((C2758=TRUE)*(F2758-Calc!F19))+B2770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2752*(1-MIN(100,(Inputs!$B$9+((C2758=TRUE)*(F2758-Calc!F19))+B2770+(ArtifactsInput!$M$24-ArtifactsInput!$M$24)*CHOOSE(ArtifactsInput!$N$24+1,10,12,14,16,18,20)+(IF(AND(Inputs!$B$38&lt;&gt;"pvp",Inputs!$B$43=0),1,IF(IF(Inputs!$B$38="pvp",15,Inputs!$B$43)-(B2777)&lt;=0,1,MAX(0,IF(Inputs!$B$38="pvp",15,Inputs!$B$43)-MAX(5,B2777))/(IF(Inputs!$B$38="pvp",15,Inputs!$B$43)-(B2777))))*IF(AND(ArtifactsInput!$M$42,((Inputs!$B$9+((C2758=TRUE)*(F2758-Calc!F19))+B2770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2752*(MIN(100,(Inputs!$B$9+((C2758=TRUE)*(F2758-Calc!F19))+B2770+(ArtifactsInput!$M$24-ArtifactsInput!$M$24)*CHOOSE(ArtifactsInput!$N$24+1,10,12,14,16,18,20)+(IF(AND(Inputs!$B$38&lt;&gt;"pvp",Inputs!$B$43=0),1,IF(IF(Inputs!$B$38="pvp",15,Inputs!$B$43)-(B2777)&lt;=0,1,MAX(0,IF(Inputs!$B$38="pvp",15,Inputs!$B$43)-MAX(5,B2777))/(IF(Inputs!$B$38="pvp",15,Inputs!$B$43)-(B2777))))*IF(AND(ArtifactsInput!$M$42,((Inputs!$B$9+((C2758=TRUE)*(F2758-Calc!F19))+B2770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752">
        <f>IF(C2752,(H2752*N2752*IF(AND(Inputs!$B$38&lt;&gt;"pvp",Inputs!$B$43&gt;0),((Skills!G13*((R2752-1)*IF(Skills!H13&gt;0,INT(Skills!I13/Skills!H13+0.000000001),1)+IF(Skills!H13&gt;0,INT(MIN(Skills!I13,MAX(0,MAX(0,Inputs!$B$43-B2777)-((R2752-1)*(IF(Inputs!$B$38="pvp",15,MAX(0.1,Skills!D13-IF(TRUE=TRUE,Inputs!$B$32,0)))*(1-IF(AND(ArtifactsInput!$M$27,Inputs!$B$4="Chapter Hunt"),CHOOSE(ArtifactsInput!$N$27+1,20,24,28,32,36,40),0)/100)))))/Skills!H13+0.000000001),1)))/Inputs!$B$43),G2752*Q2752))*IF(Inputs!$B$38="pvp",1,(1+(Inputs!$B$21+Skills!Q13+(IF(ArtifactsInput!$M$33,CHOOSE(ArtifactsInput!$N$33+1,30,36,42,48,54,60),0))+(IF(AND(ArtifactsInput!$M$35,Inputs!$B$4&lt;&gt;"Chapter Hunt"),CHOOSE(ArtifactsInput!$N$35+1,15,18,21,24,27,30)*(1-EXP(-(0.2*B2772)*5)),0)+IF(AND(ArtifactsInput!$M$22,Inputs!$B$4&lt;&gt;"Chapter Hunt"),CHOOSE(ArtifactsInput!$N$22+1,10,12,14,16,18,20)*((0*(((0.15*B2772*5))^0/1)+1*(((0.15*B2772*5))^1/1)+2*(((0.15*B2772*5))^2/2)+3*(((0.15*B2772*5))^3/6)+4*(((0.15*B2772*5))^4/24)+5*(((0.15*B2772*5))^5/120))/((((0.15*B2772*5))^0/1)+(((0.15*B2772*5))^1/1)+(((0.15*B2772*5))^2/2)+(((0.15*B2772*5))^3/6)+(((0.15*B2772*5))^4/24)+(((0.15*B2772*5))^5/120))),0))+IF(Inputs!$B$3&gt;=54,9*(C2742=TRUE)*MIN(1,8*(1+Inputs!$B$34/100)*Q2742),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53">
      <c r="A2753">
        <f>Skills!A14</f>
        <v/>
      </c>
      <c r="B2753">
        <f>Skills!B14</f>
        <v/>
      </c>
      <c r="C2753">
        <f>Inputs!$B$3&gt;=120</f>
        <v/>
      </c>
      <c r="D2753">
        <f>IF(Skills!C14=1,60+Inputs!$B$25+Inputs!$B$29,IF(Skills!C14=2,90+Inputs!$B$26+Inputs!$B$29,IF(Skills!C14=3,120+Inputs!$B$27+Inputs!$B$29,MAX(0,(Inputs!$B$3-100)*3)+Inputs!$B$28+Inputs!$B$29)))</f>
        <v/>
      </c>
      <c r="E2753">
        <f>INDEX(FactorTable!$B$2:$Y$301, MATCH(ROUND(MIN(300,MAX(1,D2753)),0), FactorTable!$A$2:$A$301,0), Skills!M14+1)</f>
        <v/>
      </c>
      <c r="F2753">
        <f>IF(Skills!N14=TRUE,(Skills!L14/10)*(E2753/1000),Skills!L14/10)+Skills!O14</f>
        <v/>
      </c>
      <c r="G2753">
        <f>Skills!G14*IF(Skills!H14&gt;0,INT(IF(Inputs!$B$38="pvp",MIN(Skills!I14,15),Skills!I14)/Skills!H14+0.000000001),1)</f>
        <v/>
      </c>
      <c r="H2753">
        <f>1-(1-Skills!J14/100)^Skills!K14</f>
        <v/>
      </c>
      <c r="I2753" t="inlineStr">
        <is>
          <t>1</t>
        </is>
      </c>
      <c r="J2753">
        <f>((Inputs!$B$6*(1+Inputs!$B$7/100))+(((Inputs!$B$12*(1+Inputs!$B$13/100))-(Inputs!$B$12*(1+Inputs!$B$13/100)))+0.25*(Inputs!$B$14-Inputs!$B$14))*(1+Inputs!$B$7/100))*(F2753/100)</f>
        <v/>
      </c>
      <c r="K2753">
        <f>J2753*(1+((Inputs!$B$12*(1+Inputs!$B$13/100))*0.01+Inputs!$B$14*0.0025)/100)*(1+Inputs!$B$15/100)*(1+Inputs!$B$16/100)*(5000/(6000+Inputs!$B$42*(1-(100*(1-(1-(Inputs!$B$19+0)/100)*(1-CHOOSE(ArtifactsInput!$N$40+1,5,6,7,8,9,10)/100)^(ArtifactsInput!$M$40-ArtifactsInput!$M$40)))/100)))*(1+(Inputs!$B$24+((C2765=TRUE)*(F2765-Calc!F26))+B2776)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IF(ArtifactsInput!$M$39,FALSE,TRUE)-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EIGHT_LEGS_EASTON",Inputs!$B$17+((C2762=TRUE)*(F2762-Calc!F23))+((C2766=TRUE)*(F2766-Calc!F27))+((IF(AND(Inputs!$B$38&lt;&gt;"pvp",Inputs!$B$43=0),1,IF(IF(Inputs!$B$38="pvp",15,Inputs!$B$43)-(B2777)&lt;=0,1,MAX(0,IF(Inputs!$B$38="pvp",15,Inputs!$B$43)-MAX(5,B2777))/(IF(Inputs!$B$38="pvp",15,Inputs!$B$43)-(B2777))))*(IF(AND(ArtifactsInput!$M$42,((Inputs!$B$9+((C2758=TRUE)*(F2758-Calc!F19))+B2770+(ArtifactsInput!$M$24-ArtifactsInput!$M$24)*CHOOSE(ArtifactsInput!$N$24+1,10,12,14,16,18,20)+IF(ArtifactsInput!$M$10,CHOOSE(ArtifactsInput!$N$10+1,15,18,21,24,27,30)*(IF(Inputs!$B$38="pvp",MIN(15,15)/15,IF(AND(Inputs!$B$38&lt;&gt;"pvp",Inputs!$B$43&gt;0),MIN(15,Inputs!$B$43)/(Inputs!$B$43),0))),0)))&gt;=100),MIN(100,((Inputs!$B$9+((C2758=TRUE)*(F2758-Calc!F19))+B2770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2777)&lt;=0,1,MAX(0,IF(Inputs!$B$38="pvp",15,Inputs!$B$43)-MAX(5,B2777))/(IF(Inputs!$B$38="pvp",15,Inputs!$B$43)-(B2777))))*IF(AND(ArtifactsInput!$M$42,((Inputs!$B$9+((C2758=TRUE)*(F2758-Calc!F19))+B2770+(ArtifactsInput!$M$24-ArtifactsInput!$M$24)*CHOOSE(ArtifactsInput!$N$24+1,10,12,14,16,18,20)+IF(ArtifactsInput!$M$10,CHOOSE(ArtifactsInput!$N$10+1,15,18,21,24,27,30)*(IF(Inputs!$B$38="pvp",MIN(15,15)/15,IF(AND(Inputs!$B$38&lt;&gt;"pvp",Inputs!$B$43&gt;0),MIN(15,Inputs!$B$43)/(Inputs!$B$43),0))),0)))&gt;=100),CHOOSE(ArtifactsInput!$N$42+1,40,48,56,64,72,80),0))))/100)*((1+(((C2756=TRUE)*F2756*5/7)+((C2763=TRUE)*(F2763-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2753)</f>
        <v/>
      </c>
      <c r="L2753">
        <f>K2753*(MIN(Inputs!$B$22+((C2761=TRUE)*(F2761-Calc!F22)),(Inputs!$B$23+0+(IF(ArtifactsInput!$M$15,CHOOSE(ArtifactsInput!$N$15+1,25,30,35,40,45,50)/100*(Inputs!$B$11-Inputs!$B$11),0))))/100+(Inputs!$B$23+0+(IF(ArtifactsInput!$M$15,CHOOSE(ArtifactsInput!$N$15+1,25,30,35,40,45,50)/100*(Inputs!$B$11-Inputs!$B$11),0)))/100)/2</f>
        <v/>
      </c>
      <c r="M2753">
        <f>L2753*(1+(Inputs!$B$10+((C2764=TRUE)*(F2764-Calc!F25))+B2775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53">
        <f>L2753*(1-MIN((Inputs!$B$9+((C2758=TRUE)*(F2758-Calc!F19))+B2770+(ArtifactsInput!$M$24-ArtifactsInput!$M$24)*CHOOSE(ArtifactsInput!$N$24+1,10,12,14,16,18,20)+(IF(AND(Inputs!$B$38&lt;&gt;"pvp",Inputs!$B$43=0),1,IF(IF(Inputs!$B$38="pvp",15,Inputs!$B$43)-(B2777)&lt;=0,1,MAX(0,IF(Inputs!$B$38="pvp",15,Inputs!$B$43)-MAX(5,B2777))/(IF(Inputs!$B$38="pvp",15,Inputs!$B$43)-(B2777))))*IF(AND(ArtifactsInput!$M$42,((Inputs!$B$9+((C2758=TRUE)*(F2758-Calc!F19))+B2770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2753*(MIN((Inputs!$B$9+((C2758=TRUE)*(F2758-Calc!F19))+B2770+(ArtifactsInput!$M$24-ArtifactsInput!$M$24)*CHOOSE(ArtifactsInput!$N$24+1,10,12,14,16,18,20)+(IF(AND(Inputs!$B$38&lt;&gt;"pvp",Inputs!$B$43=0),1,IF(IF(Inputs!$B$38="pvp",15,Inputs!$B$43)-(B2777)&lt;=0,1,MAX(0,IF(Inputs!$B$38="pvp",15,Inputs!$B$43)-MAX(5,B2777))/(IF(Inputs!$B$38="pvp",15,Inputs!$B$43)-(B2777))))*IF(AND(ArtifactsInput!$M$42,((Inputs!$B$9+((C2758=TRUE)*(F2758-Calc!F19))+B2770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53">
        <f>(1-Summary!$B$11)*T2753+Summary!$B$11*V2753</f>
        <v/>
      </c>
      <c r="P2753">
        <f>IF(B2780=0,0,O2753/B2780)</f>
        <v/>
      </c>
      <c r="Q2753" t="n">
        <v>0</v>
      </c>
      <c r="R2753" t="n">
        <v>0</v>
      </c>
      <c r="S2753">
        <f>IFERROR(O2753/N2753,0)</f>
        <v/>
      </c>
      <c r="T2753">
        <f>IF(C2753,((H2753*(B2774+IF(AND(Inputs!$B$38&lt;&gt;"pvp",Inputs!$B$43&gt;0),((Skills!G8*((R2747-1)*IF(Skills!H8&gt;0,INT(Skills!I8/Skills!H8+0.000000001),1)+IF(Skills!H8&gt;0,INT(MIN(Skills!I8,MAX(0,MAX(0,Inputs!$B$43-B2777)-((R2747-1)*((IF(Inputs!$B$38="pvp",15,MAX(0.1,Skills!D8-IF(TRUE=TRUE,Inputs!$B$32,0)))*(1-IF(AND(ArtifactsInput!$M$27,Inputs!$B$4="Chapter Hunt"),CHOOSE(ArtifactsInput!$N$27+1,20,24,28,32,36,40),0)/100))/B2781))))/Skills!H8+0.000000001),1)))/Inputs!$B$43),G2747*Q2747)+IF(AND(Inputs!$B$38&lt;&gt;"pvp",Inputs!$B$43&gt;0),((Skills!G11*((R2750-1)*IF(Skills!H11&gt;0,INT(Skills!I11/Skills!H11+0.000000001),1)+IF(Skills!H11&gt;0,INT(MIN(Skills!I11,MAX(0,MAX(0,Inputs!$B$43-B2777)-((R2750-1)*((IF(Inputs!$B$38="pvp",15,MAX(0.1,Skills!D11-IF(TRUE=TRUE,Inputs!$B$32,0)))*(1-IF(AND(ArtifactsInput!$M$27,Inputs!$B$4="Chapter Hunt"),CHOOSE(ArtifactsInput!$N$27+1,20,24,28,32,36,40),0)/100))/B2781))))/Skills!H11+0.000000001),1)))/Inputs!$B$43),G2750*Q2750)))/(1+Skills!H14*H2753*(B2774+IF(AND(Inputs!$B$38&lt;&gt;"pvp",Inputs!$B$43&gt;0),((Skills!G8*((R2747-1)*IF(Skills!H8&gt;0,INT(Skills!I8/Skills!H8+0.000000001),1)+IF(Skills!H8&gt;0,INT(MIN(Skills!I8,MAX(0,MAX(0,Inputs!$B$43-B2777)-((R2747-1)*((IF(Inputs!$B$38="pvp",15,MAX(0.1,Skills!D8-IF(TRUE=TRUE,Inputs!$B$32,0)))*(1-IF(AND(ArtifactsInput!$M$27,Inputs!$B$4="Chapter Hunt"),CHOOSE(ArtifactsInput!$N$27+1,20,24,28,32,36,40),0)/100))/B2781))))/Skills!H8+0.000000001),1)))/Inputs!$B$43),G2747*Q2747)+IF(AND(Inputs!$B$38&lt;&gt;"pvp",Inputs!$B$43&gt;0),((Skills!G11*((R2750-1)*IF(Skills!H11&gt;0,INT(Skills!I11/Skills!H11+0.000000001),1)+IF(Skills!H11&gt;0,INT(MIN(Skills!I11,MAX(0,MAX(0,Inputs!$B$43-B2777)-((R2750-1)*((IF(Inputs!$B$38="pvp",15,MAX(0.1,Skills!D11-IF(TRUE=TRUE,Inputs!$B$32,0)))*(1-IF(AND(ArtifactsInput!$M$27,Inputs!$B$4="Chapter Hunt"),CHOOSE(ArtifactsInput!$N$27+1,20,24,28,32,36,40),0)/100))/B2781))))/Skills!H11+0.000000001),1)))/Inputs!$B$43),G2750*Q2750)))*N2753)*IF(Inputs!$B$38="pvp",1,1+(Inputs!$B$20+0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Hunt"),CHOOSE(ArtifactsInput!$N$35+1,15,18,21,24,27,30)*(1-EXP(-(0.2*B2772)*5)),0)+IF(AND(ArtifactsInput!$M$22,Inputs!$B$4&lt;&gt;"Chapter Hunt"),CHOOSE(ArtifactsInput!$N$22+1,10,12,14,16,18,20)*((0*(((0.15*B2772*5))^0/1)+1*(((0.15*B2772*5))^1/1)+2*(((0.15*B2772*5))^2/2)+3*(((0.15*B2772*5))^3/6)+4*(((0.15*B2772*5))^4/24)+5*(((0.15*B2772*5))^5/120))/((((0.15*B2772*5))^0/1)+(((0.15*B2772*5))^1/1)+(((0.15*B2772*5))^2/2)+(((0.15*B2772*5))^3/6)+(((0.15*B2772*5))^4/24)+(((0.15*B2772*5))^5/120))),0))+IF(Inputs!$B$3&gt;=54,9*(C2742=TRUE)*MIN(1,8*(1+Inputs!$B$34/100)*Q2742)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2753*(1-MIN(100,(Inputs!$B$9+((C2758=TRUE)*(F2758-Calc!F19))+B2770+(ArtifactsInput!$M$24-ArtifactsInput!$M$24)*CHOOSE(ArtifactsInput!$N$24+1,10,12,14,16,18,20)+(IF(AND(Inputs!$B$38&lt;&gt;"pvp",Inputs!$B$43=0),1,IF(IF(Inputs!$B$38="pvp",15,Inputs!$B$43)-(B2777)&lt;=0,1,MAX(0,IF(Inputs!$B$38="pvp",15,Inputs!$B$43)-MAX(5,B2777))/(IF(Inputs!$B$38="pvp",15,Inputs!$B$43)-(B2777))))*IF(AND(ArtifactsInput!$M$42,((Inputs!$B$9+((C2758=TRUE)*(F2758-Calc!F19))+B2770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2753*(MIN(100,(Inputs!$B$9+((C2758=TRUE)*(F2758-Calc!F19))+B2770+(ArtifactsInput!$M$24-ArtifactsInput!$M$24)*CHOOSE(ArtifactsInput!$N$24+1,10,12,14,16,18,20)+(IF(AND(Inputs!$B$38&lt;&gt;"pvp",Inputs!$B$43=0),1,IF(IF(Inputs!$B$38="pvp",15,Inputs!$B$43)-(B2777)&lt;=0,1,MAX(0,IF(Inputs!$B$38="pvp",15,Inputs!$B$43)-MAX(5,B2777))/(IF(Inputs!$B$38="pvp",15,Inputs!$B$43)-(B2777))))*IF(AND(ArtifactsInput!$M$42,((Inputs!$B$9+((C2758=TRUE)*(F2758-Calc!F19))+B2770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2753*(1-MIN(100,(Inputs!$B$9+((C2758=TRUE)*(F2758-Calc!F19))+B2770+(ArtifactsInput!$M$24-ArtifactsInput!$M$24)*CHOOSE(ArtifactsInput!$N$24+1,10,12,14,16,18,20)+(IF(AND(Inputs!$B$38&lt;&gt;"pvp",Inputs!$B$43=0),1,IF(IF(Inputs!$B$38="pvp",15,Inputs!$B$43)-(B2777)&lt;=0,1,MAX(0,IF(Inputs!$B$38="pvp",15,Inputs!$B$43)-MAX(5,B2777))/(IF(Inputs!$B$38="pvp",15,Inputs!$B$43)-(B2777))))*IF(AND(ArtifactsInput!$M$42,((Inputs!$B$9+((C2758=TRUE)*(F2758-Calc!F19))+B2770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2753*(MIN(100,(Inputs!$B$9+((C2758=TRUE)*(F2758-Calc!F19))+B2770+(ArtifactsInput!$M$24-ArtifactsInput!$M$24)*CHOOSE(ArtifactsInput!$N$24+1,10,12,14,16,18,20)+(IF(AND(Inputs!$B$38&lt;&gt;"pvp",Inputs!$B$43=0),1,IF(IF(Inputs!$B$38="pvp",15,Inputs!$B$43)-(B2777)&lt;=0,1,MAX(0,IF(Inputs!$B$38="pvp",15,Inputs!$B$43)-MAX(5,B2777))/(IF(Inputs!$B$38="pvp",15,Inputs!$B$43)-(B2777))))*IF(AND(ArtifactsInput!$M$42,((Inputs!$B$9+((C2758=TRUE)*(F2758-Calc!F19))+B2770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753">
        <f>IF(C2753,((H2753*(B2774+IF(AND(Inputs!$B$38&lt;&gt;"pvp",Inputs!$B$43&gt;0),((Skills!G8*((R2747-1)*IF(Skills!H8&gt;0,INT(Skills!I8/Skills!H8+0.000000001),1)+IF(Skills!H8&gt;0,INT(MIN(Skills!I8,MAX(0,MAX(0,Inputs!$B$43-B2777)-((R2747-1)*((IF(Inputs!$B$38="pvp",15,MAX(0.1,Skills!D8-IF(TRUE=TRUE,Inputs!$B$32,0)))*(1-IF(AND(ArtifactsInput!$M$27,Inputs!$B$4="Chapter Hunt"),CHOOSE(ArtifactsInput!$N$27+1,20,24,28,32,36,40),0)/100))/B2781))))/Skills!H8+0.000000001),1)))/Inputs!$B$43),G2747*Q2747)+IF(AND(Inputs!$B$38&lt;&gt;"pvp",Inputs!$B$43&gt;0),((Skills!G11*((R2750-1)*IF(Skills!H11&gt;0,INT(Skills!I11/Skills!H11+0.000000001),1)+IF(Skills!H11&gt;0,INT(MIN(Skills!I11,MAX(0,MAX(0,Inputs!$B$43-B2777)-((R2750-1)*((IF(Inputs!$B$38="pvp",15,MAX(0.1,Skills!D11-IF(TRUE=TRUE,Inputs!$B$32,0)))*(1-IF(AND(ArtifactsInput!$M$27,Inputs!$B$4="Chapter Hunt"),CHOOSE(ArtifactsInput!$N$27+1,20,24,28,32,36,40),0)/100))/B2781))))/Skills!H11+0.000000001),1)))/Inputs!$B$43),G2750*Q2750)))/(1+Skills!H14*H2753*(B2774+IF(AND(Inputs!$B$38&lt;&gt;"pvp",Inputs!$B$43&gt;0),((Skills!G8*((R2747-1)*IF(Skills!H8&gt;0,INT(Skills!I8/Skills!H8+0.000000001),1)+IF(Skills!H8&gt;0,INT(MIN(Skills!I8,MAX(0,MAX(0,Inputs!$B$43-B2777)-((R2747-1)*((IF(Inputs!$B$38="pvp",15,MAX(0.1,Skills!D8-IF(TRUE=TRUE,Inputs!$B$32,0)))*(1-IF(AND(ArtifactsInput!$M$27,Inputs!$B$4="Chapter Hunt"),CHOOSE(ArtifactsInput!$N$27+1,20,24,28,32,36,40),0)/100))/B2781))))/Skills!H8+0.000000001),1)))/Inputs!$B$43),G2747*Q2747)+IF(AND(Inputs!$B$38&lt;&gt;"pvp",Inputs!$B$43&gt;0),((Skills!G11*((R2750-1)*IF(Skills!H11&gt;0,INT(Skills!I11/Skills!H11+0.000000001),1)+IF(Skills!H11&gt;0,INT(MIN(Skills!I11,MAX(0,MAX(0,Inputs!$B$43-B2777)-((R2750-1)*((IF(Inputs!$B$38="pvp",15,MAX(0.1,Skills!D11-IF(TRUE=TRUE,Inputs!$B$32,0)))*(1-IF(AND(ArtifactsInput!$M$27,Inputs!$B$4="Chapter Hunt"),CHOOSE(ArtifactsInput!$N$27+1,20,24,28,32,36,40),0)/100))/B2781))))/Skills!H11+0.000000001),1)))/Inputs!$B$43),G2750*Q2750)))*N2753)*IF(Inputs!$B$38="pvp",1,(1+(Inputs!$B$21+Skills!Q14+(IF(ArtifactsInput!$M$33,CHOOSE(ArtifactsInput!$N$33+1,30,36,42,48,54,60),0))+(IF(AND(ArtifactsInput!$M$35,Inputs!$B$4&lt;&gt;"Chapter Hunt"),CHOOSE(ArtifactsInput!$N$35+1,15,18,21,24,27,30)*(1-EXP(-(0.2*B2772)*5)),0)+IF(AND(ArtifactsInput!$M$22,Inputs!$B$4&lt;&gt;"Chapter Hunt"),CHOOSE(ArtifactsInput!$N$22+1,10,12,14,16,18,20)*((0*(((0.15*B2772*5))^0/1)+1*(((0.15*B2772*5))^1/1)+2*(((0.15*B2772*5))^2/2)+3*(((0.15*B2772*5))^3/6)+4*(((0.15*B2772*5))^4/24)+5*(((0.15*B2772*5))^5/120))/((((0.15*B2772*5))^0/1)+(((0.15*B2772*5))^1/1)+(((0.15*B2772*5))^2/2)+(((0.15*B2772*5))^3/6)+(((0.15*B2772*5))^4/24)+(((0.15*B2772*5))^5/120))),0))+IF(Inputs!$B$3&gt;=54,9*(C2742=TRUE)*MIN(1,8*(1+Inputs!$B$34/100)*Q2742),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54">
      <c r="A2754">
        <f>Skills!A15</f>
        <v/>
      </c>
      <c r="B2754">
        <f>Skills!B15</f>
        <v/>
      </c>
      <c r="C2754">
        <f>Inputs!$B$3&gt;=100</f>
        <v/>
      </c>
      <c r="D2754">
        <f>IF(Skills!C15=1,60+Inputs!$B$25+Inputs!$B$29,IF(Skills!C15=2,90+Inputs!$B$26+Inputs!$B$29,IF(Skills!C15=3,120+Inputs!$B$27+Inputs!$B$29,MAX(0,(Inputs!$B$3-100)*3)+Inputs!$B$28+Inputs!$B$29)))</f>
        <v/>
      </c>
      <c r="E2754">
        <f>INDEX(FactorTable!$B$2:$Y$301, MATCH(ROUND(MIN(300,MAX(1,D2754)),0), FactorTable!$A$2:$A$301,0), Skills!M15+1)</f>
        <v/>
      </c>
      <c r="F2754">
        <f>IF(Skills!N15=TRUE,(Skills!L15/10)*(E2754/1000),Skills!L15/10)+Skills!O15</f>
        <v/>
      </c>
      <c r="G2754" t="inlineStr"/>
      <c r="H2754" t="inlineStr"/>
      <c r="I2754" t="inlineStr">
        <is>
          <t>1</t>
        </is>
      </c>
      <c r="J2754" t="inlineStr"/>
      <c r="K2754" t="inlineStr"/>
      <c r="L2754" t="inlineStr"/>
      <c r="M2754" t="inlineStr"/>
      <c r="N2754" t="inlineStr"/>
      <c r="O2754" t="inlineStr"/>
      <c r="P2754" t="inlineStr"/>
      <c r="Q2754" t="inlineStr"/>
      <c r="R2754" t="inlineStr"/>
      <c r="S2754" t="inlineStr"/>
    </row>
    <row r="2755">
      <c r="A2755">
        <f>Skills!A16</f>
        <v/>
      </c>
      <c r="B2755">
        <f>Skills!B16</f>
        <v/>
      </c>
      <c r="C2755">
        <f>Inputs!$B$3&gt;=107</f>
        <v/>
      </c>
      <c r="D2755">
        <f>IF(Skills!C16=1,60+Inputs!$B$25+Inputs!$B$29,IF(Skills!C16=2,90+Inputs!$B$26+Inputs!$B$29,IF(Skills!C16=3,120+Inputs!$B$27+Inputs!$B$29,MAX(0,(Inputs!$B$3-100)*3)+Inputs!$B$28+Inputs!$B$29)))</f>
        <v/>
      </c>
      <c r="E2755">
        <f>INDEX(FactorTable!$B$2:$Y$301, MATCH(ROUND(MIN(300,MAX(1,D2755)),0), FactorTable!$A$2:$A$301,0), Skills!M16+1)</f>
        <v/>
      </c>
      <c r="F2755">
        <f>IF(Skills!N16=TRUE,(Skills!L16/10)*(E2755/1000),Skills!L16/10)+Skills!O16</f>
        <v/>
      </c>
      <c r="G2755" t="inlineStr"/>
      <c r="H2755" t="inlineStr"/>
      <c r="I2755" t="inlineStr">
        <is>
          <t>1</t>
        </is>
      </c>
      <c r="J2755" t="inlineStr"/>
      <c r="K2755" t="inlineStr"/>
      <c r="L2755" t="inlineStr"/>
      <c r="M2755" t="inlineStr"/>
      <c r="N2755" t="inlineStr"/>
      <c r="O2755" t="inlineStr"/>
      <c r="P2755" t="inlineStr"/>
      <c r="Q2755" t="inlineStr"/>
      <c r="R2755" t="inlineStr"/>
      <c r="S2755" t="inlineStr"/>
    </row>
    <row r="2756">
      <c r="A2756">
        <f>Skills!A17</f>
        <v/>
      </c>
      <c r="B2756">
        <f>Skills!B17</f>
        <v/>
      </c>
      <c r="C2756">
        <f>Inputs!$B$3&gt;=74</f>
        <v/>
      </c>
      <c r="D2756">
        <f>IF(Skills!C17=1,60+Inputs!$B$25+Inputs!$B$29,IF(Skills!C17=2,90+Inputs!$B$26+Inputs!$B$29,IF(Skills!C17=3,120+Inputs!$B$27+Inputs!$B$29,MAX(0,(Inputs!$B$3-100)*3)+Inputs!$B$28+Inputs!$B$29)))</f>
        <v/>
      </c>
      <c r="E2756">
        <f>INDEX(FactorTable!$B$2:$Y$301, MATCH(ROUND(MIN(300,MAX(1,D2756)),0), FactorTable!$A$2:$A$301,0), Skills!M17+1)</f>
        <v/>
      </c>
      <c r="F2756">
        <f>IF(Skills!N17=TRUE,(Skills!L17/10)*(E2756/1000),Skills!L17/10)+Skills!O17</f>
        <v/>
      </c>
      <c r="G2756">
        <f>Skills!G17*IF(Skills!H17&gt;0,INT(IF(Inputs!$B$38="pvp",MIN(Skills!I17,15),Skills!I17)/Skills!H17+0.000000001),1)</f>
        <v/>
      </c>
      <c r="H2756">
        <f>1-(1-Skills!J17/100)^Skills!K17</f>
        <v/>
      </c>
      <c r="I2756" t="inlineStr">
        <is>
          <t>1</t>
        </is>
      </c>
      <c r="J2756" t="inlineStr"/>
      <c r="K2756" t="inlineStr"/>
      <c r="L2756" t="inlineStr"/>
      <c r="M2756" t="inlineStr"/>
      <c r="N2756" t="inlineStr"/>
      <c r="O2756">
        <f>(1-Summary!$B$11)*T2756+Summary!$B$11*V2756</f>
        <v/>
      </c>
      <c r="P2756">
        <f>IF(B2780=0,0,O2756/B2780)</f>
        <v/>
      </c>
      <c r="Q2756" t="n">
        <v>0</v>
      </c>
      <c r="R2756" t="n">
        <v>0</v>
      </c>
      <c r="S2756">
        <f>IFERROR(O2756/N2756,0)</f>
        <v/>
      </c>
      <c r="T2756" t="n">
        <v>0</v>
      </c>
      <c r="V2756" t="n">
        <v>0</v>
      </c>
    </row>
    <row r="2757">
      <c r="A2757">
        <f>Skills!A18</f>
        <v/>
      </c>
      <c r="B2757">
        <f>Skills!B18</f>
        <v/>
      </c>
      <c r="C2757">
        <f>Inputs!$B$3&gt;=115</f>
        <v/>
      </c>
      <c r="D2757">
        <f>IF(Skills!C18=1,60+Inputs!$B$25+Inputs!$B$29,IF(Skills!C18=2,90+Inputs!$B$26+Inputs!$B$29,IF(Skills!C18=3,120+Inputs!$B$27+Inputs!$B$29,MAX(0,(Inputs!$B$3-100)*3)+Inputs!$B$28+Inputs!$B$29)))</f>
        <v/>
      </c>
      <c r="E2757">
        <f>INDEX(FactorTable!$B$2:$Y$301, MATCH(ROUND(MIN(300,MAX(1,D2757)),0), FactorTable!$A$2:$A$301,0), Skills!M18+1)</f>
        <v/>
      </c>
      <c r="F2757">
        <f>IF(Skills!N18=TRUE,(Skills!L18/10)*(E2757/1000),Skills!L18/10)+Skills!O18</f>
        <v/>
      </c>
      <c r="G2757">
        <f>Skills!G18*IF(Skills!H18&gt;0,INT(IF(Inputs!$B$38="pvp",MIN(Skills!I18,15),Skills!I18)/Skills!H18+0.000000001),1)</f>
        <v/>
      </c>
      <c r="H2757">
        <f>1-(1-Skills!J18/100)^Skills!K18</f>
        <v/>
      </c>
      <c r="I2757" t="inlineStr">
        <is>
          <t>1</t>
        </is>
      </c>
      <c r="J2757" t="inlineStr"/>
      <c r="K2757" t="inlineStr"/>
      <c r="L2757" t="inlineStr"/>
      <c r="M2757" t="inlineStr"/>
      <c r="N2757" t="inlineStr"/>
      <c r="O2757">
        <f>(1-Summary!$B$11)*T2757+Summary!$B$11*V2757</f>
        <v/>
      </c>
      <c r="P2757">
        <f>IF(B2780=0,0,O2757/B2780)</f>
        <v/>
      </c>
      <c r="Q2757">
        <f>IFERROR(1/(IF(Inputs!$B$38="pvp",15,MAX(0.1,Skills!D18-IF(TRUE=TRUE,Inputs!$B$32,0)))*(1-IF(AND(ArtifactsInput!$M$27,Inputs!$B$4="Chapter Hunt"),CHOOSE(ArtifactsInput!$N$27+1,20,24,28,32,36,40),0)/100)),0)</f>
        <v/>
      </c>
      <c r="R2757">
        <f>IF(AND(Inputs!$B$38&lt;&gt;"pvp",Inputs!$B$43&gt;0),IF(Inputs!$B$43&lt;=0,0,(INT(Inputs!$B$43/(IF(Inputs!$B$38="pvp",15,MAX(0.1,Skills!D18-IF(TRUE=TRUE,Inputs!$B$32,0)))*(1-IF(AND(ArtifactsInput!$M$27,Inputs!$B$4="Chapter Hunt"),CHOOSE(ArtifactsInput!$N$27+1,20,24,28,32,36,40),0)/100)))+1)),0)</f>
        <v/>
      </c>
      <c r="S2757">
        <f>IFERROR(O2757/N2757,0)</f>
        <v/>
      </c>
      <c r="T2757" t="n">
        <v>0</v>
      </c>
      <c r="V2757" t="n">
        <v>0</v>
      </c>
    </row>
    <row r="2758">
      <c r="A2758">
        <f>Skills!A19</f>
        <v/>
      </c>
      <c r="B2758">
        <f>Skills!B19</f>
        <v/>
      </c>
      <c r="C2758">
        <f>Inputs!$B$3&gt;=10</f>
        <v/>
      </c>
      <c r="D2758">
        <f>IF(Skills!C19=1,60+Inputs!$B$25+Inputs!$B$29,IF(Skills!C19=2,90+Inputs!$B$26+Inputs!$B$29,IF(Skills!C19=3,120+Inputs!$B$27+Inputs!$B$29,MAX(0,(Inputs!$B$3-100)*3)+Inputs!$B$28+Inputs!$B$29)))</f>
        <v/>
      </c>
      <c r="E2758">
        <f>INDEX(FactorTable!$B$2:$Y$301, MATCH(ROUND(MIN(300,MAX(1,D2758)),0), FactorTable!$A$2:$A$301,0), Skills!M19+1)</f>
        <v/>
      </c>
      <c r="F2758">
        <f>IF(Skills!N19=TRUE,(Skills!L19/10)*(E2758/1000),Skills!L19/10)+Skills!O19</f>
        <v/>
      </c>
      <c r="G2758">
        <f>Skills!G19*IF(Skills!H19&gt;0,INT(IF(Inputs!$B$38="pvp",MIN(Skills!I19,15),Skills!I19)/Skills!H19+0.000000001),1)</f>
        <v/>
      </c>
      <c r="H2758">
        <f>1-(1-Skills!J19/100)^Skills!K19</f>
        <v/>
      </c>
      <c r="I2758" t="inlineStr">
        <is>
          <t>1</t>
        </is>
      </c>
      <c r="J2758" t="inlineStr"/>
      <c r="K2758" t="inlineStr"/>
      <c r="L2758" t="inlineStr"/>
      <c r="M2758" t="inlineStr"/>
      <c r="N2758" t="inlineStr"/>
      <c r="O2758">
        <f>(1-Summary!$B$11)*T2758+Summary!$B$11*V2758</f>
        <v/>
      </c>
      <c r="P2758">
        <f>IF(B2780=0,0,O2758/B2780)</f>
        <v/>
      </c>
      <c r="Q2758" t="n">
        <v>0</v>
      </c>
      <c r="R2758" t="n">
        <v>0</v>
      </c>
      <c r="S2758">
        <f>IFERROR(O2758/N2758,0)</f>
        <v/>
      </c>
      <c r="T2758" t="n">
        <v>0</v>
      </c>
      <c r="V2758" t="n">
        <v>0</v>
      </c>
    </row>
    <row r="2759">
      <c r="A2759">
        <f>Skills!A20</f>
        <v/>
      </c>
      <c r="B2759">
        <f>Skills!B20</f>
        <v/>
      </c>
      <c r="C2759">
        <f>Inputs!$B$3&gt;=15</f>
        <v/>
      </c>
      <c r="D2759">
        <f>IF(Skills!C20=1,60+Inputs!$B$25+Inputs!$B$29,IF(Skills!C20=2,90+Inputs!$B$26+Inputs!$B$29,IF(Skills!C20=3,120+Inputs!$B$27+Inputs!$B$29,MAX(0,(Inputs!$B$3-100)*3)+Inputs!$B$28+Inputs!$B$29)))</f>
        <v/>
      </c>
      <c r="E2759">
        <f>INDEX(FactorTable!$B$2:$Y$301, MATCH(ROUND(MIN(300,MAX(1,D2759)),0), FactorTable!$A$2:$A$301,0), Skills!M20+1)</f>
        <v/>
      </c>
      <c r="F2759">
        <f>IF(Skills!N20=TRUE,(Skills!L20/10)*(E2759/1000),Skills!L20/10)+Skills!O20</f>
        <v/>
      </c>
      <c r="G2759">
        <f>Skills!G20*IF(Skills!H20&gt;0,INT(IF(Inputs!$B$38="pvp",MIN(Skills!I20,15),Skills!I20)/Skills!H20+0.000000001),1)</f>
        <v/>
      </c>
      <c r="H2759">
        <f>1-(1-Skills!J20/100)^Skills!K20</f>
        <v/>
      </c>
      <c r="I2759" t="inlineStr">
        <is>
          <t>1</t>
        </is>
      </c>
      <c r="J2759" t="inlineStr"/>
      <c r="K2759" t="inlineStr"/>
      <c r="L2759" t="inlineStr"/>
      <c r="M2759" t="inlineStr"/>
      <c r="N2759" t="inlineStr"/>
      <c r="O2759">
        <f>(1-Summary!$B$11)*T2759+Summary!$B$11*V2759</f>
        <v/>
      </c>
      <c r="P2759">
        <f>IF(B2780=0,0,O2759/B2780)</f>
        <v/>
      </c>
      <c r="Q2759" t="n">
        <v>0</v>
      </c>
      <c r="R2759" t="n">
        <v>0</v>
      </c>
      <c r="S2759">
        <f>IFERROR(O2759/N2759,0)</f>
        <v/>
      </c>
      <c r="T2759" t="n">
        <v>0</v>
      </c>
      <c r="V2759" t="n">
        <v>0</v>
      </c>
    </row>
    <row r="2760">
      <c r="A2760">
        <f>Skills!A21</f>
        <v/>
      </c>
      <c r="B2760">
        <f>Skills!B21</f>
        <v/>
      </c>
      <c r="C2760">
        <f>Inputs!$B$3&gt;=40</f>
        <v/>
      </c>
      <c r="D2760">
        <f>IF(Skills!C21=1,60+Inputs!$B$25+Inputs!$B$29,IF(Skills!C21=2,90+Inputs!$B$26+Inputs!$B$29,IF(Skills!C21=3,120+Inputs!$B$27+Inputs!$B$29,MAX(0,(Inputs!$B$3-100)*3)+Inputs!$B$28+Inputs!$B$29)))</f>
        <v/>
      </c>
      <c r="E2760">
        <f>INDEX(FactorTable!$B$2:$Y$301, MATCH(ROUND(MIN(300,MAX(1,D2760)),0), FactorTable!$A$2:$A$301,0), Skills!M21+1)</f>
        <v/>
      </c>
      <c r="F2760">
        <f>IF(Skills!N21=TRUE,(Skills!L21/10)*(E2760/1000),Skills!L21/10)+Skills!O21</f>
        <v/>
      </c>
      <c r="G2760">
        <f>Skills!G21*IF(Skills!H21&gt;0,INT(IF(Inputs!$B$38="pvp",MIN(Skills!I21,15),Skills!I21)/Skills!H21+0.000000001),1)</f>
        <v/>
      </c>
      <c r="H2760">
        <f>1-(1-Skills!J21/100)^Skills!K21</f>
        <v/>
      </c>
      <c r="I2760" t="inlineStr">
        <is>
          <t>1</t>
        </is>
      </c>
      <c r="J2760" t="inlineStr"/>
      <c r="K2760" t="inlineStr"/>
      <c r="L2760" t="inlineStr"/>
      <c r="M2760" t="inlineStr"/>
      <c r="N2760" t="inlineStr"/>
      <c r="O2760">
        <f>(1-Summary!$B$11)*T2760+Summary!$B$11*V2760</f>
        <v/>
      </c>
      <c r="P2760">
        <f>IF(B2780=0,0,O2760/B2780)</f>
        <v/>
      </c>
      <c r="Q2760" t="n">
        <v>0</v>
      </c>
      <c r="R2760" t="n">
        <v>0</v>
      </c>
      <c r="S2760">
        <f>IFERROR(O2760/N2760,0)</f>
        <v/>
      </c>
      <c r="T2760" t="n">
        <v>0</v>
      </c>
      <c r="V2760" t="n">
        <v>0</v>
      </c>
    </row>
    <row r="2761">
      <c r="A2761">
        <f>Skills!A22</f>
        <v/>
      </c>
      <c r="B2761">
        <f>Skills!B22</f>
        <v/>
      </c>
      <c r="C2761">
        <f>Inputs!$B$3&gt;=43</f>
        <v/>
      </c>
      <c r="D2761">
        <f>IF(Skills!C22=1,60+Inputs!$B$25+Inputs!$B$29,IF(Skills!C22=2,90+Inputs!$B$26+Inputs!$B$29,IF(Skills!C22=3,120+Inputs!$B$27+Inputs!$B$29,MAX(0,(Inputs!$B$3-100)*3)+Inputs!$B$28+Inputs!$B$29)))</f>
        <v/>
      </c>
      <c r="E2761">
        <f>INDEX(FactorTable!$B$2:$Y$301, MATCH(ROUND(MIN(300,MAX(1,D2761)),0), FactorTable!$A$2:$A$301,0), Skills!M22+1)</f>
        <v/>
      </c>
      <c r="F2761">
        <f>IF(Skills!N22=TRUE,(Skills!L22/10)*(E2761/1000),Skills!L22/10)+Skills!O22</f>
        <v/>
      </c>
      <c r="G2761">
        <f>Skills!G22*IF(Skills!H22&gt;0,INT(IF(Inputs!$B$38="pvp",MIN(Skills!I22,15),Skills!I22)/Skills!H22+0.000000001),1)</f>
        <v/>
      </c>
      <c r="H2761">
        <f>1-(1-Skills!J22/100)^Skills!K22</f>
        <v/>
      </c>
      <c r="I2761" t="inlineStr">
        <is>
          <t>1</t>
        </is>
      </c>
      <c r="J2761" t="inlineStr"/>
      <c r="K2761" t="inlineStr"/>
      <c r="L2761" t="inlineStr"/>
      <c r="M2761" t="inlineStr"/>
      <c r="N2761" t="inlineStr"/>
      <c r="O2761">
        <f>(1-Summary!$B$11)*T2761+Summary!$B$11*V2761</f>
        <v/>
      </c>
      <c r="P2761">
        <f>IF(B2780=0,0,O2761/B2780)</f>
        <v/>
      </c>
      <c r="Q2761" t="n">
        <v>0</v>
      </c>
      <c r="R2761" t="n">
        <v>0</v>
      </c>
      <c r="S2761">
        <f>IFERROR(O2761/N2761,0)</f>
        <v/>
      </c>
      <c r="T2761" t="n">
        <v>0</v>
      </c>
      <c r="V2761" t="n">
        <v>0</v>
      </c>
    </row>
    <row r="2762">
      <c r="A2762">
        <f>Skills!A23</f>
        <v/>
      </c>
      <c r="B2762">
        <f>Skills!B23</f>
        <v/>
      </c>
      <c r="C2762">
        <f>Inputs!$B$3&gt;=38</f>
        <v/>
      </c>
      <c r="D2762">
        <f>IF(Skills!C23=1,60+Inputs!$B$25+Inputs!$B$29,IF(Skills!C23=2,90+Inputs!$B$26+Inputs!$B$29,IF(Skills!C23=3,120+Inputs!$B$27+Inputs!$B$29,MAX(0,(Inputs!$B$3-100)*3)+Inputs!$B$28+Inputs!$B$29)))</f>
        <v/>
      </c>
      <c r="E2762">
        <f>INDEX(FactorTable!$B$2:$Y$301, MATCH(ROUND(MIN(300,MAX(1,D2762)),0), FactorTable!$A$2:$A$301,0), Skills!M23+1)</f>
        <v/>
      </c>
      <c r="F2762">
        <f>IF(Skills!N23=TRUE,(Skills!L23/10)*(E2762/1000),Skills!L23/10)+Skills!O23</f>
        <v/>
      </c>
      <c r="G2762">
        <f>Skills!G23*IF(Skills!H23&gt;0,INT(IF(Inputs!$B$38="pvp",MIN(Skills!I23,15),Skills!I23)/Skills!H23+0.000000001),1)</f>
        <v/>
      </c>
      <c r="H2762">
        <f>1-(1-Skills!J23/100)^Skills!K23</f>
        <v/>
      </c>
      <c r="I2762" t="inlineStr">
        <is>
          <t>1</t>
        </is>
      </c>
      <c r="J2762" t="inlineStr"/>
      <c r="K2762" t="inlineStr"/>
      <c r="L2762" t="inlineStr"/>
      <c r="M2762" t="inlineStr"/>
      <c r="N2762" t="inlineStr"/>
      <c r="O2762">
        <f>(1-Summary!$B$11)*T2762+Summary!$B$11*V2762</f>
        <v/>
      </c>
      <c r="P2762">
        <f>IF(B2780=0,0,O2762/B2780)</f>
        <v/>
      </c>
      <c r="Q2762" t="n">
        <v>0</v>
      </c>
      <c r="R2762" t="n">
        <v>0</v>
      </c>
      <c r="S2762">
        <f>IFERROR(O2762/N2762,0)</f>
        <v/>
      </c>
      <c r="T2762" t="n">
        <v>0</v>
      </c>
      <c r="V2762" t="n">
        <v>0</v>
      </c>
    </row>
    <row r="2763">
      <c r="A2763">
        <f>Skills!A24</f>
        <v/>
      </c>
      <c r="B2763">
        <f>Skills!B24</f>
        <v/>
      </c>
      <c r="C2763">
        <f>Inputs!$B$3&gt;=45</f>
        <v/>
      </c>
      <c r="D2763">
        <f>IF(Skills!C24=1,60+Inputs!$B$25+Inputs!$B$29,IF(Skills!C24=2,90+Inputs!$B$26+Inputs!$B$29,IF(Skills!C24=3,120+Inputs!$B$27+Inputs!$B$29,MAX(0,(Inputs!$B$3-100)*3)+Inputs!$B$28+Inputs!$B$29)))</f>
        <v/>
      </c>
      <c r="E2763">
        <f>INDEX(FactorTable!$B$2:$Y$301, MATCH(ROUND(MIN(300,MAX(1,D2763)),0), FactorTable!$A$2:$A$301,0), Skills!M24+1)</f>
        <v/>
      </c>
      <c r="F2763">
        <f>IF(Skills!N24=TRUE,(Skills!L24/10)*(E2763/1000),Skills!L24/10)+Skills!O24</f>
        <v/>
      </c>
      <c r="G2763">
        <f>Skills!G24*IF(Skills!H24&gt;0,INT(IF(Inputs!$B$38="pvp",MIN(Skills!I24,15),Skills!I24)/Skills!H24+0.000000001),1)</f>
        <v/>
      </c>
      <c r="H2763">
        <f>1-(1-Skills!J24/100)^Skills!K24</f>
        <v/>
      </c>
      <c r="I2763" t="inlineStr">
        <is>
          <t>1</t>
        </is>
      </c>
      <c r="J2763" t="inlineStr"/>
      <c r="K2763" t="inlineStr"/>
      <c r="L2763" t="inlineStr"/>
      <c r="M2763" t="inlineStr"/>
      <c r="N2763" t="inlineStr"/>
      <c r="O2763">
        <f>(1-Summary!$B$11)*T2763+Summary!$B$11*V2763</f>
        <v/>
      </c>
      <c r="P2763">
        <f>IF(B2780=0,0,O2763/B2780)</f>
        <v/>
      </c>
      <c r="Q2763" t="n">
        <v>0</v>
      </c>
      <c r="R2763" t="n">
        <v>0</v>
      </c>
      <c r="S2763">
        <f>IFERROR(O2763/N2763,0)</f>
        <v/>
      </c>
      <c r="T2763" t="n">
        <v>0</v>
      </c>
      <c r="V2763" t="n">
        <v>0</v>
      </c>
    </row>
    <row r="2764">
      <c r="A2764">
        <f>Skills!A25</f>
        <v/>
      </c>
      <c r="B2764">
        <f>Skills!B25</f>
        <v/>
      </c>
      <c r="C2764">
        <f>Inputs!$B$3&gt;=72</f>
        <v/>
      </c>
      <c r="D2764">
        <f>IF(Skills!C25=1,60+Inputs!$B$25+Inputs!$B$29,IF(Skills!C25=2,90+Inputs!$B$26+Inputs!$B$29,IF(Skills!C25=3,120+Inputs!$B$27+Inputs!$B$29,MAX(0,(Inputs!$B$3-100)*3)+Inputs!$B$28+Inputs!$B$29)))</f>
        <v/>
      </c>
      <c r="E2764">
        <f>INDEX(FactorTable!$B$2:$Y$301, MATCH(ROUND(MIN(300,MAX(1,D2764)),0), FactorTable!$A$2:$A$301,0), Skills!M25+1)</f>
        <v/>
      </c>
      <c r="F2764">
        <f>IF(Skills!N25=TRUE,(Skills!L25/10)*(E2764/1000),Skills!L25/10)+Skills!O25</f>
        <v/>
      </c>
      <c r="G2764">
        <f>Skills!G25*IF(Skills!H25&gt;0,INT(IF(Inputs!$B$38="pvp",MIN(Skills!I25,15),Skills!I25)/Skills!H25+0.000000001),1)</f>
        <v/>
      </c>
      <c r="H2764">
        <f>1-(1-Skills!J25/100)^Skills!K25</f>
        <v/>
      </c>
      <c r="I2764" t="inlineStr">
        <is>
          <t>1</t>
        </is>
      </c>
      <c r="J2764" t="inlineStr"/>
      <c r="K2764" t="inlineStr"/>
      <c r="L2764" t="inlineStr"/>
      <c r="M2764" t="inlineStr"/>
      <c r="N2764" t="inlineStr"/>
      <c r="O2764">
        <f>(1-Summary!$B$11)*T2764+Summary!$B$11*V2764</f>
        <v/>
      </c>
      <c r="P2764">
        <f>IF(B2780=0,0,O2764/B2780)</f>
        <v/>
      </c>
      <c r="Q2764" t="n">
        <v>0</v>
      </c>
      <c r="R2764" t="n">
        <v>0</v>
      </c>
      <c r="S2764">
        <f>IFERROR(O2764/N2764,0)</f>
        <v/>
      </c>
      <c r="T2764" t="n">
        <v>0</v>
      </c>
      <c r="V2764" t="n">
        <v>0</v>
      </c>
    </row>
    <row r="2765">
      <c r="A2765">
        <f>Skills!A26</f>
        <v/>
      </c>
      <c r="B2765">
        <f>Skills!B26</f>
        <v/>
      </c>
      <c r="C2765">
        <f>Inputs!$B$3&gt;=75</f>
        <v/>
      </c>
      <c r="D2765">
        <f>IF(Skills!C26=1,60+Inputs!$B$25+Inputs!$B$29,IF(Skills!C26=2,90+Inputs!$B$26+Inputs!$B$29,IF(Skills!C26=3,120+Inputs!$B$27+Inputs!$B$29,MAX(0,(Inputs!$B$3-100)*3)+Inputs!$B$28+Inputs!$B$29)))</f>
        <v/>
      </c>
      <c r="E2765">
        <f>INDEX(FactorTable!$B$2:$Y$301, MATCH(ROUND(MIN(300,MAX(1,D2765)),0), FactorTable!$A$2:$A$301,0), Skills!M26+1)</f>
        <v/>
      </c>
      <c r="F2765">
        <f>IF(Skills!N26=TRUE,(Skills!L26/10)*(E2765/1000),Skills!L26/10)+Skills!O26</f>
        <v/>
      </c>
      <c r="G2765">
        <f>Skills!G26*IF(Skills!H26&gt;0,INT(IF(Inputs!$B$38="pvp",MIN(Skills!I26,15),Skills!I26)/Skills!H26+0.000000001),1)</f>
        <v/>
      </c>
      <c r="H2765">
        <f>1-(1-Skills!J26/100)^Skills!K26</f>
        <v/>
      </c>
      <c r="I2765" t="inlineStr">
        <is>
          <t>1</t>
        </is>
      </c>
      <c r="J2765" t="inlineStr"/>
      <c r="K2765" t="inlineStr"/>
      <c r="L2765" t="inlineStr"/>
      <c r="M2765" t="inlineStr"/>
      <c r="N2765" t="inlineStr"/>
      <c r="O2765">
        <f>(1-Summary!$B$11)*T2765+Summary!$B$11*V2765</f>
        <v/>
      </c>
      <c r="P2765">
        <f>IF(B2780=0,0,O2765/B2780)</f>
        <v/>
      </c>
      <c r="Q2765" t="n">
        <v>0</v>
      </c>
      <c r="R2765" t="n">
        <v>0</v>
      </c>
      <c r="S2765">
        <f>IFERROR(O2765/N2765,0)</f>
        <v/>
      </c>
      <c r="T2765" t="n">
        <v>0</v>
      </c>
      <c r="V2765" t="n">
        <v>0</v>
      </c>
    </row>
    <row r="2766">
      <c r="A2766">
        <f>Skills!A27</f>
        <v/>
      </c>
      <c r="B2766">
        <f>Skills!B27</f>
        <v/>
      </c>
      <c r="C2766">
        <f>Inputs!$B$3&gt;=125</f>
        <v/>
      </c>
      <c r="D2766">
        <f>IF(Skills!C27=1,60+Inputs!$B$25+Inputs!$B$29,IF(Skills!C27=2,90+Inputs!$B$26+Inputs!$B$29,IF(Skills!C27=3,120+Inputs!$B$27+Inputs!$B$29,MAX(0,(Inputs!$B$3-100)*3)+Inputs!$B$28+Inputs!$B$29)))</f>
        <v/>
      </c>
      <c r="E2766">
        <f>INDEX(FactorTable!$B$2:$Y$301, MATCH(ROUND(MIN(300,MAX(1,D2766)),0), FactorTable!$A$2:$A$301,0), Skills!M27+1)</f>
        <v/>
      </c>
      <c r="F2766">
        <f>IF(Skills!N27=TRUE,(Skills!L27/10)*(E2766/1000),Skills!L27/10)+Skills!O27</f>
        <v/>
      </c>
      <c r="G2766">
        <f>Skills!G27*IF(Skills!H27&gt;0,INT(IF(Inputs!$B$38="pvp",MIN(Skills!I27,15),Skills!I27)/Skills!H27+0.000000001),1)</f>
        <v/>
      </c>
      <c r="H2766">
        <f>1-(1-Skills!J27/100)^Skills!K27</f>
        <v/>
      </c>
      <c r="I2766" t="inlineStr">
        <is>
          <t>1</t>
        </is>
      </c>
      <c r="J2766" t="inlineStr"/>
      <c r="K2766" t="inlineStr"/>
      <c r="L2766" t="inlineStr"/>
      <c r="M2766" t="inlineStr"/>
      <c r="N2766" t="inlineStr"/>
      <c r="O2766">
        <f>(1-Summary!$B$11)*T2766+Summary!$B$11*V2766</f>
        <v/>
      </c>
      <c r="P2766">
        <f>IF(B2780=0,0,O2766/B2780)</f>
        <v/>
      </c>
      <c r="Q2766" t="n">
        <v>0</v>
      </c>
      <c r="R2766" t="n">
        <v>0</v>
      </c>
      <c r="S2766">
        <f>IFERROR(O2766/N2766,0)</f>
        <v/>
      </c>
      <c r="T2766" t="n">
        <v>0</v>
      </c>
      <c r="V2766" t="n">
        <v>0</v>
      </c>
    </row>
    <row r="2767">
      <c r="A2767">
        <f>Skills!A28</f>
        <v/>
      </c>
      <c r="B2767">
        <f>Skills!B28</f>
        <v/>
      </c>
      <c r="C2767">
        <f>TRUE</f>
        <v/>
      </c>
      <c r="D2767">
        <f>IF(Skills!C28=1,60+Inputs!$B$25+Inputs!$B$29,IF(Skills!C28=2,90+Inputs!$B$26+Inputs!$B$29,IF(Skills!C28=3,120+Inputs!$B$27+Inputs!$B$29,MAX(0,(Inputs!$B$3-100)*3)+Inputs!$B$28+Inputs!$B$29)))</f>
        <v/>
      </c>
      <c r="E2767">
        <f>INDEX(FactorTable!$B$2:$Y$301, MATCH(ROUND(MIN(300,MAX(1,D2767)),0), FactorTable!$A$2:$A$301,0), Skills!M28+1)</f>
        <v/>
      </c>
      <c r="F2767">
        <f>IF(Skills!N28=TRUE,(Skills!L28/10)*(E2767/1000),Skills!L28/10)+Skills!O28</f>
        <v/>
      </c>
      <c r="G2767">
        <f>Skills!G28*IF(Skills!H28&gt;0,INT(IF(Inputs!$B$38="pvp",MIN(Skills!I28,15),Skills!I28)/Skills!H28+0.000000001),1)</f>
        <v/>
      </c>
      <c r="H2767">
        <f>1-(1-Skills!J28/100)^Skills!K28</f>
        <v/>
      </c>
      <c r="I2767" t="inlineStr">
        <is>
          <t>1</t>
        </is>
      </c>
      <c r="J2767" t="inlineStr"/>
      <c r="K2767" t="inlineStr"/>
      <c r="L2767" t="inlineStr"/>
      <c r="M2767" t="inlineStr"/>
      <c r="N2767" t="inlineStr"/>
      <c r="O2767">
        <f>(1-Summary!$B$11)*T2767+Summary!$B$11*V2767</f>
        <v/>
      </c>
      <c r="P2767">
        <f>IF(B2780=0,0,O2767/B2780)</f>
        <v/>
      </c>
      <c r="Q2767">
        <f>IFERROR(1/(IF(Inputs!$B$38="pvp",15,MAX(0.1,Skills!D28-IF(TRUE=TRUE,Inputs!$B$32,0)))*(1-IF(AND(ArtifactsInput!$M$27,Inputs!$B$4="Chapter Hunt"),CHOOSE(ArtifactsInput!$N$27+1,20,24,28,32,36,40),0)/100)),0)</f>
        <v/>
      </c>
      <c r="R2767">
        <f>IF(AND(Inputs!$B$38&lt;&gt;"pvp",Inputs!$B$43&gt;0),IF(Inputs!$B$43&lt;=0,0,(INT(Inputs!$B$43/(IF(Inputs!$B$38="pvp",15,MAX(0.1,Skills!D28-IF(TRUE=TRUE,Inputs!$B$32,0)))*(1-IF(AND(ArtifactsInput!$M$27,Inputs!$B$4="Chapter Hunt"),CHOOSE(ArtifactsInput!$N$27+1,20,24,28,32,36,40),0)/100)))+1)),0)</f>
        <v/>
      </c>
      <c r="S2767">
        <f>IFERROR(O2767/N2767,0)</f>
        <v/>
      </c>
      <c r="T2767" t="n">
        <v>0</v>
      </c>
      <c r="V2767" t="n">
        <v>0</v>
      </c>
    </row>
    <row r="2769">
      <c r="A2769" t="inlineStr">
        <is>
          <t>Attack% Bucket Multiplier</t>
        </is>
      </c>
      <c r="B2769">
        <f>(1+(((C2756=TRUE)*F2756*5/7)+((C2763=TRUE)*(F2763-Calc!F24))+(IF(ArtifactsInput!$M$21,CHOOSE(ArtifactsInput!$N$21+1,25,30,35,40,45,50)*(IF(OR(Inputs!$B$4="Chapter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770">
      <c r="A2770" t="inlineStr">
        <is>
          <t>Global Crit Rate Bonus %</t>
        </is>
      </c>
      <c r="B2770" t="n">
        <v>0</v>
      </c>
    </row>
    <row r="2771">
      <c r="A2771" t="inlineStr">
        <is>
          <t>Attack Speed Buff Bonus % (Nimble Feet, duty-cycle averaged)</t>
        </is>
      </c>
      <c r="B2771">
        <f>((C2767=TRUE)*F2767*IF(AND(Inputs!$B$38&lt;&gt;"pvp",Inputs!$B$43&gt;0),(((R2767-1)*MIN((Skills!T28*(1+Inputs!$B$34/100)),(1/Q2767))+MIN((Skills!T28*(1+Inputs!$B$34/100)),MAX(0,Inputs!$B$43-((R2767-1)*(1/Q2767)))))/Inputs!$B$43),IF(Inputs!$B$38="pvp",MIN((Skills!T28*(1+Inputs!$B$34/100)),15)/15,MIN(1,(Skills!T28*(1+Inputs!$B$34/100))/(1/Q2767)))))</f>
        <v/>
      </c>
    </row>
    <row r="2772">
      <c r="A2772" t="inlineStr">
        <is>
          <t>Actions Per Second</t>
        </is>
      </c>
      <c r="B2772">
        <f>1+MIN(150,150*(1-(1-(Inputs!$B$11+((C2759=TRUE)*(F2759-Calc!F20))+((C2760=TRUE)*(F2760-Calc!F21)))/150)*(1-B2771/150)))/100</f>
        <v/>
      </c>
    </row>
    <row r="2773">
      <c r="A2773" t="inlineStr">
        <is>
          <t>Skill + Buff Cast Rate</t>
        </is>
      </c>
      <c r="B2773">
        <f>IF(AND(Inputs!$B$38&lt;&gt;"pvp",Inputs!$B$43&gt;0),SUMPRODUCT((Skills!E2:E28=TRUE)*(C2741:C2767=TRUE)*R2741:R2767*Skills!F2:F28)/Inputs!$B$43,SUMPRODUCT((Skills!E2:E28=TRUE)*(C2741:C2767=TRUE)*Q2741:Q2767*Skills!F2:F28))</f>
        <v/>
      </c>
    </row>
    <row r="2774">
      <c r="A2774" t="inlineStr">
        <is>
          <t>Eight-Legs Easton Casts Per Second</t>
        </is>
      </c>
      <c r="B2774">
        <f>MAX(0,B2772-B2773)</f>
        <v/>
      </c>
    </row>
    <row r="2775">
      <c r="A2775" t="inlineStr">
        <is>
          <t>Global Critical Damage Bonus % (unused)</t>
        </is>
      </c>
      <c r="B2775" t="n">
        <v>0</v>
      </c>
    </row>
    <row r="2776">
      <c r="A2776" t="inlineStr">
        <is>
          <t>Global Final Damage Bonus % (Jolly Roger + Ahoy Mateys - Final Damage proc)</t>
        </is>
      </c>
      <c r="B2776">
        <f>((C2757=TRUE)*F2757*IF(AND(Inputs!$B$38&lt;&gt;"pvp",Inputs!$B$43&gt;0),(((R2757-1)*MIN((Skills!T18*(1+Inputs!$B$34/100)),(1/Q2757))+MIN((Skills!T18*(1+Inputs!$B$34/100)),MAX(0,Inputs!$B$43-((R2757-1)*(1/Q2757)))))/Inputs!$B$43),IF(Inputs!$B$38="pvp",MIN((Skills!T18*(1+Inputs!$B$34/100)),15)/15,MIN(1,(Skills!T18*(1+Inputs!$B$34/100))/(1/Q2757)))))+IF(Inputs!$B$3&gt;=122,20*IF(Inputs!$B$38="pvp",MIN((20*(1+Inputs!$B$34/100)),15)/15,MIN(1,(20*(1+Inputs!$B$34/100))/(1/Q2743))),0)</f>
        <v/>
      </c>
    </row>
    <row r="2777">
      <c r="A2777" t="inlineStr">
        <is>
          <t>Buff-Casting Startup Delay (s, fixed-duration only)</t>
        </is>
      </c>
      <c r="B2777">
        <f>IF(AND(Inputs!$B$38&lt;&gt;"pvp",Inputs!$B$43&gt;0),SUMPRODUCT((Skills!T2:T28&gt;0)*(Skills!E2:E28=TRUE)*(C2741:C2767=TRUE))/B2772,0)</f>
        <v/>
      </c>
    </row>
    <row r="2778">
      <c r="A2778" t="inlineStr">
        <is>
          <t>Boss-Only Total DPS (this block's swept value)</t>
        </is>
      </c>
      <c r="B2778">
        <f>SUM(T2741:T2767)</f>
        <v/>
      </c>
    </row>
    <row r="2779">
      <c r="A2779" t="inlineStr">
        <is>
          <t>Normal-Only Total DPS (this block's swept value)</t>
        </is>
      </c>
      <c r="B2779">
        <f>SUM(V2741:V2767)</f>
        <v/>
      </c>
    </row>
    <row r="2780">
      <c r="A2780" s="6" t="inlineStr">
        <is>
          <t>TOTAL DPS</t>
        </is>
      </c>
      <c r="B2780" s="6">
        <f>SUM(O2741:O2767)</f>
        <v/>
      </c>
    </row>
    <row r="2781">
      <c r="A2781" t="inlineStr">
        <is>
          <t>Quickdraw cooldown divisor (this block's own APS / Q)</t>
        </is>
      </c>
      <c r="B2781">
        <f>IF(AND(C2766=TRUE,Inputs!$B$38&lt;&gt;"pvp"),1+0.25*MAX(0,(B2772-(((C2742=TRUE)*Q2742*1)+((C2743=TRUE)*Q2743*1)+((C2745=TRUE)*Q2745*1)+((C2746=TRUE)*Q2746*1)+((C2748=TRUE)*Q2748*1)+((C2751=TRUE)*Q2751*1)+((C2757=TRUE)*Q2757*1)+((C2767=TRUE)*Q2767*1))-((C2747=TRUE)/(IF(Inputs!$B$38="pvp",15,MAX(0.1,Skills!D8-IF(TRUE=TRUE,Inputs!$B$32,0)))*(1-IF(AND(ArtifactsInput!$M$27,Inputs!$B$4="Chapter Hunt"),CHOOSE(ArtifactsInput!$N$27+1,20,24,28,32,36,40),0)/100))+(C2750=TRUE)/(IF(Inputs!$B$38="pvp",15,MAX(0.1,Skills!D11-IF(TRUE=TRUE,Inputs!$B$32,0)))*(1-IF(AND(ArtifactsInput!$M$27,Inputs!$B$4="Chapter Hunt"),CHOOSE(ArtifactsInput!$N$27+1,20,24,28,32,36,40),0)/100))))/(1+0.25*((C2747=TRUE)/(IF(Inputs!$B$38="pvp",15,MAX(0.1,Skills!D8-IF(TRUE=TRUE,Inputs!$B$32,0)))*(1-IF(AND(ArtifactsInput!$M$27,Inputs!$B$4="Chapter Hunt"),CHOOSE(ArtifactsInput!$N$27+1,20,24,28,32,36,40),0)/100))+(C2750=TRUE)/(IF(Inputs!$B$38="pvp",15,MAX(0.1,Skills!D11-IF(TRUE=TRUE,Inputs!$B$32,0)))*(1-IF(AND(ArtifactsInput!$M$27,Inputs!$B$4="Chapter Hunt"),CHOOSE(ArtifactsInput!$N$27+1,20,24,28,32,36,40),0)/100))))),1)</f>
        <v/>
      </c>
    </row>
    <row r="2782">
      <c r="A2782" t="inlineStr">
        <is>
          <t>Nautilus Strike - Final Attack trigger rate (this block's own Q/R)</t>
        </is>
      </c>
      <c r="B2782">
        <f>IF(AND(Inputs!$B$38&lt;&gt;"pvp",Inputs!$B$43&gt;0),(((C2742=TRUE)*R2742)+((C2745=TRUE)*R2745)+((C2747=TRUE)*R2747)+((C2748=TRUE)*R2748)+((C2750=TRUE)*R2750))/Inputs!$B$43,((C2742=TRUE)*Q2742)+((C2745=TRUE)*Q2745)+((C2747=TRUE)*Q2747)+((C2748=TRUE)*Q2748)+((C2750=TRUE)*Q2750))+B2774</f>
        <v/>
      </c>
    </row>
    <row r="2785">
      <c r="A2785" s="6" t="inlineStr">
        <is>
          <t>Stat: Reindeer's Spear (Equip)</t>
        </is>
      </c>
    </row>
    <row r="2786">
      <c r="A2786" s="5" t="inlineStr">
        <is>
          <t>Key</t>
        </is>
      </c>
      <c r="B2786" s="5" t="inlineStr">
        <is>
          <t>Name</t>
        </is>
      </c>
      <c r="C2786" s="5" t="inlineStr">
        <is>
          <t>Unlocked</t>
        </is>
      </c>
      <c r="D2786" s="5" t="inlineStr">
        <is>
          <t>InputLevel</t>
        </is>
      </c>
      <c r="E2786" s="5" t="inlineStr">
        <is>
          <t>Factor</t>
        </is>
      </c>
      <c r="F2786" s="5" t="inlineStr">
        <is>
          <t>CoefficientPercent</t>
        </is>
      </c>
      <c r="G2786" s="5" t="inlineStr">
        <is>
          <t>EffectiveHits</t>
        </is>
      </c>
      <c r="H2786" s="5" t="inlineStr">
        <is>
          <t>ProcProbability</t>
        </is>
      </c>
      <c r="I2786" s="5" t="inlineStr">
        <is>
          <t>MapleHeroMultiplier</t>
        </is>
      </c>
      <c r="J2786" s="5" t="inlineStr">
        <is>
          <t>BaseDamage</t>
        </is>
      </c>
      <c r="K2786" s="5" t="inlineStr">
        <is>
          <t>BaseHitDamage</t>
        </is>
      </c>
      <c r="L2786" s="5" t="inlineStr">
        <is>
          <t>NonCritAvg</t>
        </is>
      </c>
      <c r="M2786" s="5" t="inlineStr">
        <is>
          <t>CritAvg</t>
        </is>
      </c>
      <c r="N2786" s="5" t="inlineStr">
        <is>
          <t>ExpectedDamage(perHit)</t>
        </is>
      </c>
      <c r="O2786" s="5" t="inlineStr">
        <is>
          <t>DPS</t>
        </is>
      </c>
      <c r="P2786" s="5" t="inlineStr">
        <is>
          <t>% of Total</t>
        </is>
      </c>
      <c r="Q2786" s="5" t="inlineStr">
        <is>
          <t>InvCooldown</t>
        </is>
      </c>
      <c r="R2786" s="5" t="inlineStr">
        <is>
          <t>CastsInFight</t>
        </is>
      </c>
      <c r="S2786" s="5" t="inlineStr">
        <is>
          <t>HitRate(perSec)</t>
        </is>
      </c>
      <c r="U2786" t="inlineStr">
        <is>
          <t>helpers</t>
        </is>
      </c>
    </row>
    <row r="2787">
      <c r="A2787">
        <f>Skills!A2</f>
        <v/>
      </c>
      <c r="B2787">
        <f>Skills!B2</f>
        <v/>
      </c>
      <c r="C2787">
        <f>Inputs!$B$3&gt;=100</f>
        <v/>
      </c>
      <c r="D2787" t="inlineStr"/>
      <c r="E2787" t="inlineStr"/>
      <c r="F2787">
        <f>U2789+Skills!O2</f>
        <v/>
      </c>
      <c r="G2787">
        <f>Skills!G2*IF(Skills!H2&gt;0,INT(IF(Inputs!$B$38="pvp",MIN(Skills!I2,15),Skills!I2)/Skills!H2+0.000000001),1)</f>
        <v/>
      </c>
      <c r="H2787">
        <f>1-(1-Skills!J2/100)^Skills!K2</f>
        <v/>
      </c>
      <c r="I2787" t="inlineStr">
        <is>
          <t>1</t>
        </is>
      </c>
      <c r="J2787">
        <f>((Inputs!$B$6*(1+Inputs!$B$7/100))+(((Inputs!$B$12*(1+Inputs!$B$13/100))-(Inputs!$B$12*(1+Inputs!$B$13/100)))+0.25*(Inputs!$B$14-Inputs!$B$14))*(1+Inputs!$B$7/100))*(F2787/100)</f>
        <v/>
      </c>
      <c r="K2787">
        <f>J2787*(1+((Inputs!$B$12*(1+Inputs!$B$13/100))*0.01+Inputs!$B$14*0.0025)/100)*(1+Inputs!$B$15/100)*(1+Inputs!$B$16/100)*(5000/(6000+Inputs!$B$42*(1-(100*(1-(1-(Inputs!$B$19+0)/100)*(1-CHOOSE(ArtifactsInput!$N$40+1,5,6,7,8,9,10)/100)^(IF(ArtifactsInput!$M$40,FALSE,TRUE)-ArtifactsInput!$M$40)))/100)))*(1+(Inputs!$B$24+((C2811=TRUE)*(F2811-Calc!F26))+B2822)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IGHT_LEGS_EASTON",Inputs!$B$17+((C2808=TRUE)*(F2808-Calc!F23))+((C2812=TRUE)*(F2812-Calc!F27))+((IF(AND(Inputs!$B$38&lt;&gt;"pvp",Inputs!$B$43=0),1,IF(IF(Inputs!$B$38="pvp",15,Inputs!$B$43)-(B2823)&lt;=0,1,MAX(0,IF(Inputs!$B$38="pvp",15,Inputs!$B$43)-MAX(5,B2823))/(IF(Inputs!$B$38="pvp",15,Inputs!$B$43)-(B2823))))*(IF(AND(ArtifactsInput!$M$42,((Inputs!$B$9+((C2804=TRUE)*(F2804-Calc!F19))+B2816+(ArtifactsInput!$M$24-ArtifactsInput!$M$24)*CHOOSE(ArtifactsInput!$N$24+1,10,12,14,16,18,20)+IF(ArtifactsInput!$M$10,CHOOSE(ArtifactsInput!$N$10+1,15,18,21,24,27,30)*(IF(Inputs!$B$38="pvp",MIN(15,15)/15,IF(AND(Inputs!$B$38&lt;&gt;"pvp",Inputs!$B$43&gt;0),MIN(15,Inputs!$B$43)/(Inputs!$B$43),0))),0)))&gt;=100),MIN(100,((Inputs!$B$9+((C2804=TRUE)*(F2804-Calc!F19))+B2816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2823)&lt;=0,1,MAX(0,IF(Inputs!$B$38="pvp",15,Inputs!$B$43)-MAX(5,B2823))/(IF(Inputs!$B$38="pvp",15,Inputs!$B$43)-(B2823))))*IF(AND(ArtifactsInput!$M$42,((Inputs!$B$9+((C2804=TRUE)*(F2804-Calc!F19))+B2816+(ArtifactsInput!$M$24-ArtifactsInput!$M$24)*CHOOSE(ArtifactsInput!$N$24+1,10,12,14,16,18,20)+IF(ArtifactsInput!$M$10,CHOOSE(ArtifactsInput!$N$10+1,15,18,21,24,27,30)*(IF(Inputs!$B$38="pvp",MIN(15,15)/15,IF(AND(Inputs!$B$38&lt;&gt;"pvp",Inputs!$B$43&gt;0),MIN(15,Inputs!$B$43)/(Inputs!$B$43),0))),0)))&gt;=100),CHOOSE(ArtifactsInput!$N$42+1,40,48,56,64,72,80),0))))/100)*((1+(((C2802=TRUE)*F2802*5/7)+((C2809=TRUE)*(F2809-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IF(ArtifactsInput!$M$40,FALSE,TRUE),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2787)</f>
        <v/>
      </c>
      <c r="L2787">
        <f>K2787*(MIN(Inputs!$B$22+((C2807=TRUE)*(F2807-Calc!F22)),(Inputs!$B$23+0+(IF(ArtifactsInput!$M$15,CHOOSE(ArtifactsInput!$N$15+1,25,30,35,40,45,50)/100*(Inputs!$B$11-Inputs!$B$11),0))))/100+(Inputs!$B$23+0+(IF(ArtifactsInput!$M$15,CHOOSE(ArtifactsInput!$N$15+1,25,30,35,40,45,50)/100*(Inputs!$B$11-Inputs!$B$11),0)))/100)/2</f>
        <v/>
      </c>
      <c r="M2787">
        <f>L2787*(1+(Inputs!$B$10+((C2810=TRUE)*(F2810-Calc!F25))+B2821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87">
        <f>L2787*(1-MIN((Inputs!$B$9+((C2804=TRUE)*(F2804-Calc!F19))+B2816+(ArtifactsInput!$M$24-ArtifactsInput!$M$24)*CHOOSE(ArtifactsInput!$N$24+1,10,12,14,16,18,20)+(IF(AND(Inputs!$B$38&lt;&gt;"pvp",Inputs!$B$43=0),1,IF(IF(Inputs!$B$38="pvp",15,Inputs!$B$43)-(B2823)&lt;=0,1,MAX(0,IF(Inputs!$B$38="pvp",15,Inputs!$B$43)-MAX(5,B2823))/(IF(Inputs!$B$38="pvp",15,Inputs!$B$43)-(B2823))))*IF(AND(ArtifactsInput!$M$42,((Inputs!$B$9+((C2804=TRUE)*(F2804-Calc!F19))+B2816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2787*(MIN((Inputs!$B$9+((C2804=TRUE)*(F2804-Calc!F19))+B2816+(ArtifactsInput!$M$24-ArtifactsInput!$M$24)*CHOOSE(ArtifactsInput!$N$24+1,10,12,14,16,18,20)+(IF(AND(Inputs!$B$38&lt;&gt;"pvp",Inputs!$B$43=0),1,IF(IF(Inputs!$B$38="pvp",15,Inputs!$B$43)-(B2823)&lt;=0,1,MAX(0,IF(Inputs!$B$38="pvp",15,Inputs!$B$43)-MAX(5,B2823))/(IF(Inputs!$B$38="pvp",15,Inputs!$B$43)-(B2823))))*IF(AND(ArtifactsInput!$M$42,((Inputs!$B$9+((C2804=TRUE)*(F2804-Calc!F19))+B2816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87">
        <f>(1-Summary!$B$11)*T2787+Summary!$B$11*V2787</f>
        <v/>
      </c>
      <c r="P2787">
        <f>IF(B2826=0,0,O2787/B2826)</f>
        <v/>
      </c>
      <c r="Q2787" t="n">
        <v>0</v>
      </c>
      <c r="R2787" t="n">
        <v>0</v>
      </c>
      <c r="S2787">
        <f>IFERROR(O2787/N2787,0)</f>
        <v/>
      </c>
      <c r="T2787">
        <f>IF(C2787,(Skills!G2*N2787*B2820*(1+IF(C2812=TRUE,1/3,0)))*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Hunt"),CHOOSE(ArtifactsInput!$N$35+1,15,18,21,24,27,30)*(1-EXP(-(0.2*B2818)*5)),0)+IF(AND(ArtifactsInput!$M$22,Inputs!$B$4&lt;&gt;"Chapter Hunt"),CHOOSE(ArtifactsInput!$N$22+1,10,12,14,16,18,20)*((0*(((0.15*B2818*5))^0/1)+1*(((0.15*B2818*5))^1/1)+2*(((0.15*B2818*5))^2/2)+3*(((0.15*B2818*5))^3/6)+4*(((0.15*B2818*5))^4/24)+5*(((0.15*B2818*5))^5/120))/((((0.15*B2818*5))^0/1)+(((0.15*B2818*5))^1/1)+(((0.15*B2818*5))^2/2)+(((0.15*B2818*5))^3/6)+(((0.15*B2818*5))^4/24)+(((0.15*B2818*5))^5/120))),0))+IF(Inputs!$B$3&gt;=54,9*(C2788=TRUE)*MIN(1,8*(1+Inputs!$B$34/100)*Q2788),0))/100)*((((5000/(6000+Inputs!$B$42*(1-(100*(1-(1-(100*(1-(1-(Inputs!$B$19+0)/100)*(1-CHOOSE(ArtifactsInput!$N$40+1,5,6,7,8,9,10)/100)^(IF(ArtifactsInput!$M$40,FALSE,TRUE)-ArtifactsInput!$M$40)))/100)*(1-IF(IF(ArtifactsInput!$M$40,FALSE,TRUE),CHOOSE(ArtifactsInput!$N$40+1,5,6,7,8,9,10),0)/100)^IF(Inputs!$B$38="pvp",1,2)))/100)))/(5000/(6000+Inputs!$B$42*(1-(100*(1-(1-(Inputs!$B$19+0)/100)*(1-CHOOSE(ArtifactsInput!$N$40+1,5,6,7,8,9,10)/100)^(IF(ArtifactsInput!$M$40,FALSE,TRUE)-ArtifactsInput!$M$40)))/100))))*((L2787*(1-MIN(100,(Inputs!$B$9+((C2804=TRUE)*(F2804-Calc!F19))+B2816+(ArtifactsInput!$M$24-ArtifactsInput!$M$24)*CHOOSE(ArtifactsInput!$N$24+1,10,12,14,16,18,20)+(IF(AND(Inputs!$B$38&lt;&gt;"pvp",Inputs!$B$43=0),1,IF(IF(Inputs!$B$38="pvp",15,Inputs!$B$43)-(B2823)&lt;=0,1,MAX(0,IF(Inputs!$B$38="pvp",15,Inputs!$B$43)-MAX(5,B2823))/(IF(Inputs!$B$38="pvp",15,Inputs!$B$43)-(B2823))))*IF(AND(ArtifactsInput!$M$42,((Inputs!$B$9+((C2804=TRUE)*(F2804-Calc!F19))+B2816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2787*(MIN(100,(Inputs!$B$9+((C2804=TRUE)*(F2804-Calc!F19))+B2816+(ArtifactsInput!$M$24-ArtifactsInput!$M$24)*CHOOSE(ArtifactsInput!$N$24+1,10,12,14,16,18,20)+(IF(AND(Inputs!$B$38&lt;&gt;"pvp",Inputs!$B$43=0),1,IF(IF(Inputs!$B$38="pvp",15,Inputs!$B$43)-(B2823)&lt;=0,1,MAX(0,IF(Inputs!$B$38="pvp",15,Inputs!$B$43)-MAX(5,B2823))/(IF(Inputs!$B$38="pvp",15,Inputs!$B$43)-(B2823))))*IF(AND(ArtifactsInput!$M$42,((Inputs!$B$9+((C2804=TRUE)*(F2804-Calc!F19))+B2816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2787*(1-MIN(100,(Inputs!$B$9+((C2804=TRUE)*(F2804-Calc!F19))+B2816+(ArtifactsInput!$M$24-ArtifactsInput!$M$24)*CHOOSE(ArtifactsInput!$N$24+1,10,12,14,16,18,20)+(IF(AND(Inputs!$B$38&lt;&gt;"pvp",Inputs!$B$43=0),1,IF(IF(Inputs!$B$38="pvp",15,Inputs!$B$43)-(B2823)&lt;=0,1,MAX(0,IF(Inputs!$B$38="pvp",15,Inputs!$B$43)-MAX(5,B2823))/(IF(Inputs!$B$38="pvp",15,Inputs!$B$43)-(B2823))))*IF(AND(ArtifactsInput!$M$42,((Inputs!$B$9+((C2804=TRUE)*(F2804-Calc!F19))+B2816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2787*(MIN(100,(Inputs!$B$9+((C2804=TRUE)*(F2804-Calc!F19))+B2816+(ArtifactsInput!$M$24-ArtifactsInput!$M$24)*CHOOSE(ArtifactsInput!$N$24+1,10,12,14,16,18,20)+(IF(AND(Inputs!$B$38&lt;&gt;"pvp",Inputs!$B$43=0),1,IF(IF(Inputs!$B$38="pvp",15,Inputs!$B$43)-(B2823)&lt;=0,1,MAX(0,IF(Inputs!$B$38="pvp",15,Inputs!$B$43)-MAX(5,B2823))/(IF(Inputs!$B$38="pvp",15,Inputs!$B$43)-(B2823))))*IF(AND(ArtifactsInput!$M$42,((Inputs!$B$9+((C2804=TRUE)*(F2804-Calc!F19))+B2816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787">
        <f>MAX(0,(Inputs!$B$3-100)*3)+Inputs!$B$28+Inputs!$B$29</f>
        <v/>
      </c>
      <c r="V2787">
        <f>IF(C2787,(Skills!G2*N2787*B2820*(1+IF(C2812=TRUE,1/3,0)))*IF(Inputs!$B$38="pvp",1,(1+(Inputs!$B$21+Skills!Q2+(IF(ArtifactsInput!$M$33,CHOOSE(ArtifactsInput!$N$33+1,30,36,42,48,54,60),0))+(IF(AND(ArtifactsInput!$M$35,Inputs!$B$4&lt;&gt;"Chapter Hunt"),CHOOSE(ArtifactsInput!$N$35+1,15,18,21,24,27,30)*(1-EXP(-(0.2*B2818)*5)),0)+IF(AND(ArtifactsInput!$M$22,Inputs!$B$4&lt;&gt;"Chapter Hunt"),CHOOSE(ArtifactsInput!$N$22+1,10,12,14,16,18,20)*((0*(((0.15*B2818*5))^0/1)+1*(((0.15*B2818*5))^1/1)+2*(((0.15*B2818*5))^2/2)+3*(((0.15*B2818*5))^3/6)+4*(((0.15*B2818*5))^4/24)+5*(((0.15*B2818*5))^5/120))/((((0.15*B2818*5))^0/1)+(((0.15*B2818*5))^1/1)+(((0.15*B2818*5))^2/2)+(((0.15*B2818*5))^3/6)+(((0.15*B2818*5))^4/24)+(((0.15*B2818*5))^5/120))),0))+IF(Inputs!$B$3&gt;=54,9*(C2788=TRUE)*MIN(1,8*(1+Inputs!$B$34/100)*Q2788),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88">
      <c r="A2788">
        <f>Skills!A3</f>
        <v/>
      </c>
      <c r="B2788">
        <f>Skills!B3</f>
        <v/>
      </c>
      <c r="C2788">
        <f>Inputs!$B$3&gt;=33</f>
        <v/>
      </c>
      <c r="D2788">
        <f>IF(Skills!C3=1,60+Inputs!$B$25+Inputs!$B$29,IF(Skills!C3=2,90+Inputs!$B$26+Inputs!$B$29,IF(Skills!C3=3,120+Inputs!$B$27+Inputs!$B$29,MAX(0,(Inputs!$B$3-100)*3)+Inputs!$B$28+Inputs!$B$29)))</f>
        <v/>
      </c>
      <c r="E2788">
        <f>INDEX(FactorTable!$B$2:$Y$301, MATCH(ROUND(MIN(300,MAX(1,D2788)),0), FactorTable!$A$2:$A$301,0), Skills!M3+1)</f>
        <v/>
      </c>
      <c r="F2788">
        <f>IF(Skills!N3=TRUE,(Skills!L3/10)*(E2788/1000),Skills!L3/10)+Skills!O3</f>
        <v/>
      </c>
      <c r="G2788">
        <f>Skills!G3*IF(Skills!H3&gt;0,INT(IF(Inputs!$B$38="pvp",MIN(Skills!I3,15),Skills!I3)/Skills!H3+0.000000001),1)</f>
        <v/>
      </c>
      <c r="H2788">
        <f>1-(1-Skills!J3/100)^Skills!K3</f>
        <v/>
      </c>
      <c r="I2788" t="inlineStr">
        <is>
          <t>1</t>
        </is>
      </c>
      <c r="J2788">
        <f>((Inputs!$B$6*(1+Inputs!$B$7/100))+(((Inputs!$B$12*(1+Inputs!$B$13/100))-(Inputs!$B$12*(1+Inputs!$B$13/100)))+0.25*(Inputs!$B$14-Inputs!$B$14))*(1+Inputs!$B$7/100))*(F2788/100)</f>
        <v/>
      </c>
      <c r="K2788">
        <f>J2788*(1+((Inputs!$B$12*(1+Inputs!$B$13/100))*0.01+Inputs!$B$14*0.0025)/100)*(1+Inputs!$B$15/100)*(1+Inputs!$B$16/100)*(5000/(6000+Inputs!$B$42*(1-(100*(1-(1-(Inputs!$B$19+0)/100)*(1-CHOOSE(ArtifactsInput!$N$40+1,5,6,7,8,9,10)/100)^(IF(ArtifactsInput!$M$40,FALSE,TRUE)-ArtifactsInput!$M$40)))/100)))*(1+(Inputs!$B$24+((C2811=TRUE)*(F2811-Calc!F26))+B2822)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2800=TRUE,F2800,0)/100)*(1+(IF(Skills!A3="EIGHT_LEGS_EASTON",Inputs!$B$17+((C2808=TRUE)*(F2808-Calc!F23))+((C2812=TRUE)*(F2812-Calc!F27))+((IF(AND(Inputs!$B$38&lt;&gt;"pvp",Inputs!$B$43=0),1,IF(IF(Inputs!$B$38="pvp",15,Inputs!$B$43)-(B2823)&lt;=0,1,MAX(0,IF(Inputs!$B$38="pvp",15,Inputs!$B$43)-MAX(5,B2823))/(IF(Inputs!$B$38="pvp",15,Inputs!$B$43)-(B2823))))*(IF(AND(ArtifactsInput!$M$42,((Inputs!$B$9+((C2804=TRUE)*(F2804-Calc!F19))+B2816+(ArtifactsInput!$M$24-ArtifactsInput!$M$24)*CHOOSE(ArtifactsInput!$N$24+1,10,12,14,16,18,20)+IF(ArtifactsInput!$M$10,CHOOSE(ArtifactsInput!$N$10+1,15,18,21,24,27,30)*(IF(Inputs!$B$38="pvp",MIN(15,15)/15,IF(AND(Inputs!$B$38&lt;&gt;"pvp",Inputs!$B$43&gt;0),MIN(15,Inputs!$B$43)/(Inputs!$B$43),0))),0)))&gt;=100),MIN(100,((Inputs!$B$9+((C2804=TRUE)*(F2804-Calc!F19))+B2816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2823)&lt;=0,1,MAX(0,IF(Inputs!$B$38="pvp",15,Inputs!$B$43)-MAX(5,B2823))/(IF(Inputs!$B$38="pvp",15,Inputs!$B$43)-(B2823))))*IF(AND(ArtifactsInput!$M$42,((Inputs!$B$9+((C2804=TRUE)*(F2804-Calc!F19))+B2816+(ArtifactsInput!$M$24-ArtifactsInput!$M$24)*CHOOSE(ArtifactsInput!$N$24+1,10,12,14,16,18,20)+IF(ArtifactsInput!$M$10,CHOOSE(ArtifactsInput!$N$10+1,15,18,21,24,27,30)*(IF(Inputs!$B$38="pvp",MIN(15,15)/15,IF(AND(Inputs!$B$38&lt;&gt;"pvp",Inputs!$B$43&gt;0),MIN(15,Inputs!$B$43)/(Inputs!$B$43),0))),0)))&gt;=100),CHOOSE(ArtifactsInput!$N$42+1,40,48,56,64,72,80),0))))/100)*((1+(((C2802=TRUE)*F2802*5/7)+((C2809=TRUE)*(F2809-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IF(ArtifactsInput!$M$40,FALSE,TRUE),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2788)</f>
        <v/>
      </c>
      <c r="L2788">
        <f>K2788*(MIN(Inputs!$B$22+((C2807=TRUE)*(F2807-Calc!F22)),(Inputs!$B$23+0+(IF(ArtifactsInput!$M$15,CHOOSE(ArtifactsInput!$N$15+1,25,30,35,40,45,50)/100*(Inputs!$B$11-Inputs!$B$11),0))))/100+(Inputs!$B$23+0+(IF(ArtifactsInput!$M$15,CHOOSE(ArtifactsInput!$N$15+1,25,30,35,40,45,50)/100*(Inputs!$B$11-Inputs!$B$11),0)))/100)/2</f>
        <v/>
      </c>
      <c r="M2788">
        <f>L2788*(1+(Inputs!$B$10+((C2810=TRUE)*(F2810-Calc!F25))+B2821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88">
        <f>L2788*(1-MIN((Inputs!$B$9+((C2804=TRUE)*(F2804-Calc!F19))+B2816+(ArtifactsInput!$M$24-ArtifactsInput!$M$24)*CHOOSE(ArtifactsInput!$N$24+1,10,12,14,16,18,20)+(IF(AND(Inputs!$B$38&lt;&gt;"pvp",Inputs!$B$43=0),1,IF(IF(Inputs!$B$38="pvp",15,Inputs!$B$43)-(B2823)&lt;=0,1,MAX(0,IF(Inputs!$B$38="pvp",15,Inputs!$B$43)-MAX(5,B2823))/(IF(Inputs!$B$38="pvp",15,Inputs!$B$43)-(B2823))))*IF(AND(ArtifactsInput!$M$42,((Inputs!$B$9+((C2804=TRUE)*(F2804-Calc!F19))+B2816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2788*(MIN((Inputs!$B$9+((C2804=TRUE)*(F2804-Calc!F19))+B2816+(ArtifactsInput!$M$24-ArtifactsInput!$M$24)*CHOOSE(ArtifactsInput!$N$24+1,10,12,14,16,18,20)+(IF(AND(Inputs!$B$38&lt;&gt;"pvp",Inputs!$B$43=0),1,IF(IF(Inputs!$B$38="pvp",15,Inputs!$B$43)-(B2823)&lt;=0,1,MAX(0,IF(Inputs!$B$38="pvp",15,Inputs!$B$43)-MAX(5,B2823))/(IF(Inputs!$B$38="pvp",15,Inputs!$B$43)-(B2823))))*IF(AND(ArtifactsInput!$M$42,((Inputs!$B$9+((C2804=TRUE)*(F2804-Calc!F19))+B2816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88">
        <f>(1-Summary!$B$11)*T2788+Summary!$B$11*V2788</f>
        <v/>
      </c>
      <c r="P2788">
        <f>IF(B2826=0,0,O2788/B2826)</f>
        <v/>
      </c>
      <c r="Q2788">
        <f>IFERROR(1/(IF(Inputs!$B$38="pvp",15,MAX(0.1,Skills!D3-IF(TRUE=TRUE,Inputs!$B$32,0)))*(1-IF(AND(ArtifactsInput!$M$27,Inputs!$B$4="Chapter Hunt"),CHOOSE(ArtifactsInput!$N$27+1,20,24,28,32,36,40),0)/100)),0)</f>
        <v/>
      </c>
      <c r="R2788">
        <f>IF(AND(Inputs!$B$38&lt;&gt;"pvp",Inputs!$B$43&gt;0),IF(MAX(0,Inputs!$B$43-B2823)&lt;=0,0,(INT(MAX(0,Inputs!$B$43-B2823)/(IF(Inputs!$B$38="pvp",15,MAX(0.1,Skills!D3-IF(TRUE=TRUE,Inputs!$B$32,0)))*(1-IF(AND(ArtifactsInput!$M$27,Inputs!$B$4="Chapter Hunt"),CHOOSE(ArtifactsInput!$N$27+1,20,24,28,32,36,40),0)/100)))+1)),0)</f>
        <v/>
      </c>
      <c r="S2788">
        <f>IFERROR(O2788/N2788,0)</f>
        <v/>
      </c>
      <c r="T2788">
        <f>IF(C2788,(H2788*N2788*IF(AND(Inputs!$B$38&lt;&gt;"pvp",Inputs!$B$43&gt;0),((Skills!G3*((R2788-1)*IF(Skills!H3&gt;0,INT(Skills!I3/Skills!H3+0.000000001),1)+IF(Skills!H3&gt;0,INT(MIN(Skills!I3,MAX(0,MAX(0,Inputs!$B$43-B2823)-((R2788-1)*(IF(Inputs!$B$38="pvp",15,MAX(0.1,Skills!D3-IF(TRUE=TRUE,Inputs!$B$32,0)))*(1-IF(AND(ArtifactsInput!$M$27,Inputs!$B$4="Chapter Hunt"),CHOOSE(ArtifactsInput!$N$27+1,20,24,28,32,36,40),0)/100)))))/Skills!H3+0.000000001),1)))/Inputs!$B$43),G2788*Q2788))*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Hunt"),CHOOSE(ArtifactsInput!$N$35+1,15,18,21,24,27,30)*(1-EXP(-(0.2*B2818)*5)),0)+IF(AND(ArtifactsInput!$M$22,Inputs!$B$4&lt;&gt;"Chapter Hunt"),CHOOSE(ArtifactsInput!$N$22+1,10,12,14,16,18,20)*((0*(((0.15*B2818*5))^0/1)+1*(((0.15*B2818*5))^1/1)+2*(((0.15*B2818*5))^2/2)+3*(((0.15*B2818*5))^3/6)+4*(((0.15*B2818*5))^4/24)+5*(((0.15*B2818*5))^5/120))/((((0.15*B2818*5))^0/1)+(((0.15*B2818*5))^1/1)+(((0.15*B2818*5))^2/2)+(((0.15*B2818*5))^3/6)+(((0.15*B2818*5))^4/24)+(((0.15*B2818*5))^5/120))),0))+IF(Inputs!$B$3&gt;=54,9*(C2788=TRUE)*MIN(1,8*(1+Inputs!$B$34/100)*Q2788),0))/100)*((((5000/(6000+Inputs!$B$42*(1-(100*(1-(1-(100*(1-(1-(Inputs!$B$19+0)/100)*(1-CHOOSE(ArtifactsInput!$N$40+1,5,6,7,8,9,10)/100)^(IF(ArtifactsInput!$M$40,FALSE,TRUE)-ArtifactsInput!$M$40)))/100)*(1-IF(IF(ArtifactsInput!$M$40,FALSE,TRUE),CHOOSE(ArtifactsInput!$N$40+1,5,6,7,8,9,10),0)/100)^IF(Inputs!$B$38="pvp",1,2)))/100)))/(5000/(6000+Inputs!$B$42*(1-(100*(1-(1-(Inputs!$B$19+0)/100)*(1-CHOOSE(ArtifactsInput!$N$40+1,5,6,7,8,9,10)/100)^(IF(ArtifactsInput!$M$40,FALSE,TRUE)-ArtifactsInput!$M$40)))/100))))*((L2788*(1-MIN(100,(Inputs!$B$9+((C2804=TRUE)*(F2804-Calc!F19))+B2816+(ArtifactsInput!$M$24-ArtifactsInput!$M$24)*CHOOSE(ArtifactsInput!$N$24+1,10,12,14,16,18,20)+(IF(AND(Inputs!$B$38&lt;&gt;"pvp",Inputs!$B$43=0),1,IF(IF(Inputs!$B$38="pvp",15,Inputs!$B$43)-(B2823)&lt;=0,1,MAX(0,IF(Inputs!$B$38="pvp",15,Inputs!$B$43)-MAX(5,B2823))/(IF(Inputs!$B$38="pvp",15,Inputs!$B$43)-(B2823))))*IF(AND(ArtifactsInput!$M$42,((Inputs!$B$9+((C2804=TRUE)*(F2804-Calc!F19))+B2816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2788*(MIN(100,(Inputs!$B$9+((C2804=TRUE)*(F2804-Calc!F19))+B2816+(ArtifactsInput!$M$24-ArtifactsInput!$M$24)*CHOOSE(ArtifactsInput!$N$24+1,10,12,14,16,18,20)+(IF(AND(Inputs!$B$38&lt;&gt;"pvp",Inputs!$B$43=0),1,IF(IF(Inputs!$B$38="pvp",15,Inputs!$B$43)-(B2823)&lt;=0,1,MAX(0,IF(Inputs!$B$38="pvp",15,Inputs!$B$43)-MAX(5,B2823))/(IF(Inputs!$B$38="pvp",15,Inputs!$B$43)-(B2823))))*IF(AND(ArtifactsInput!$M$42,((Inputs!$B$9+((C2804=TRUE)*(F2804-Calc!F19))+B2816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2788*(1-MIN(100,(Inputs!$B$9+((C2804=TRUE)*(F2804-Calc!F19))+B2816+(ArtifactsInput!$M$24-ArtifactsInput!$M$24)*CHOOSE(ArtifactsInput!$N$24+1,10,12,14,16,18,20)+(IF(AND(Inputs!$B$38&lt;&gt;"pvp",Inputs!$B$43=0),1,IF(IF(Inputs!$B$38="pvp",15,Inputs!$B$43)-(B2823)&lt;=0,1,MAX(0,IF(Inputs!$B$38="pvp",15,Inputs!$B$43)-MAX(5,B2823))/(IF(Inputs!$B$38="pvp",15,Inputs!$B$43)-(B2823))))*IF(AND(ArtifactsInput!$M$42,((Inputs!$B$9+((C2804=TRUE)*(F2804-Calc!F19))+B2816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2788*(MIN(100,(Inputs!$B$9+((C2804=TRUE)*(F2804-Calc!F19))+B2816+(ArtifactsInput!$M$24-ArtifactsInput!$M$24)*CHOOSE(ArtifactsInput!$N$24+1,10,12,14,16,18,20)+(IF(AND(Inputs!$B$38&lt;&gt;"pvp",Inputs!$B$43=0),1,IF(IF(Inputs!$B$38="pvp",15,Inputs!$B$43)-(B2823)&lt;=0,1,MAX(0,IF(Inputs!$B$38="pvp",15,Inputs!$B$43)-MAX(5,B2823))/(IF(Inputs!$B$38="pvp",15,Inputs!$B$43)-(B2823))))*IF(AND(ArtifactsInput!$M$42,((Inputs!$B$9+((C2804=TRUE)*(F2804-Calc!F19))+B2816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788">
        <f>INDEX(FactorTable!$B$2:$Y$301, MATCH(ROUND(MIN(300,MAX(1,U2787)),0), FactorTable!$A$2:$A$301,0), 22)</f>
        <v/>
      </c>
      <c r="V2788">
        <f>IF(C2788,(H2788*N2788*IF(AND(Inputs!$B$38&lt;&gt;"pvp",Inputs!$B$43&gt;0),((Skills!G3*((R2788-1)*IF(Skills!H3&gt;0,INT(Skills!I3/Skills!H3+0.000000001),1)+IF(Skills!H3&gt;0,INT(MIN(Skills!I3,MAX(0,MAX(0,Inputs!$B$43-B2823)-((R2788-1)*(IF(Inputs!$B$38="pvp",15,MAX(0.1,Skills!D3-IF(TRUE=TRUE,Inputs!$B$32,0)))*(1-IF(AND(ArtifactsInput!$M$27,Inputs!$B$4="Chapter Hunt"),CHOOSE(ArtifactsInput!$N$27+1,20,24,28,32,36,40),0)/100)))))/Skills!H3+0.000000001),1)))/Inputs!$B$43),G2788*Q2788))*IF(Inputs!$B$38="pvp",1,(1+(Inputs!$B$21+Skills!Q3+(IF(ArtifactsInput!$M$33,CHOOSE(ArtifactsInput!$N$33+1,30,36,42,48,54,60),0))+(IF(AND(ArtifactsInput!$M$35,Inputs!$B$4&lt;&gt;"Chapter Hunt"),CHOOSE(ArtifactsInput!$N$35+1,15,18,21,24,27,30)*(1-EXP(-(0.2*B2818)*5)),0)+IF(AND(ArtifactsInput!$M$22,Inputs!$B$4&lt;&gt;"Chapter Hunt"),CHOOSE(ArtifactsInput!$N$22+1,10,12,14,16,18,20)*((0*(((0.15*B2818*5))^0/1)+1*(((0.15*B2818*5))^1/1)+2*(((0.15*B2818*5))^2/2)+3*(((0.15*B2818*5))^3/6)+4*(((0.15*B2818*5))^4/24)+5*(((0.15*B2818*5))^5/120))/((((0.15*B2818*5))^0/1)+(((0.15*B2818*5))^1/1)+(((0.15*B2818*5))^2/2)+(((0.15*B2818*5))^3/6)+(((0.15*B2818*5))^4/24)+(((0.15*B2818*5))^5/120))),0))+IF(Inputs!$B$3&gt;=54,9*(C2788=TRUE)*MIN(1,8*(1+Inputs!$B$34/100)*Q2788),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89">
      <c r="A2789">
        <f>Skills!A4</f>
        <v/>
      </c>
      <c r="B2789">
        <f>Skills!B4</f>
        <v/>
      </c>
      <c r="C2789">
        <f>Inputs!$B$3&gt;=35</f>
        <v/>
      </c>
      <c r="D2789">
        <f>IF(Skills!C4=1,60+Inputs!$B$25+Inputs!$B$29,IF(Skills!C4=2,90+Inputs!$B$26+Inputs!$B$29,IF(Skills!C4=3,120+Inputs!$B$27+Inputs!$B$29,MAX(0,(Inputs!$B$3-100)*3)+Inputs!$B$28+Inputs!$B$29)))</f>
        <v/>
      </c>
      <c r="E2789">
        <f>INDEX(FactorTable!$B$2:$Y$301, MATCH(ROUND(MIN(300,MAX(1,D2789)),0), FactorTable!$A$2:$A$301,0), Skills!M4+1)</f>
        <v/>
      </c>
      <c r="F2789">
        <f>IF(Skills!N4=TRUE,(Skills!L4/10)*(E2789/1000),Skills!L4/10)+Skills!O4</f>
        <v/>
      </c>
      <c r="G2789">
        <f>Skills!G4*IF(Skills!H4&gt;0,INT(IF(Inputs!$B$38="pvp",MIN(IF(Inputs!$B$3&gt;=104,MIN(35,20*(1+Inputs!$B$34/100)),20),15),IF(Inputs!$B$3&gt;=104,MIN(35,20*(1+Inputs!$B$34/100)),20))/Skills!H4+0.000000001),1)</f>
        <v/>
      </c>
      <c r="H2789">
        <f>1-(1-Skills!J4/100)^Skills!K4</f>
        <v/>
      </c>
      <c r="I2789" t="inlineStr">
        <is>
          <t>1</t>
        </is>
      </c>
      <c r="J2789">
        <f>((Inputs!$B$6*(1+Inputs!$B$7/100))+(((Inputs!$B$12*(1+Inputs!$B$13/100))-(Inputs!$B$12*(1+Inputs!$B$13/100)))+0.25*(Inputs!$B$14-Inputs!$B$14))*(1+Inputs!$B$7/100))*(F2789/100)</f>
        <v/>
      </c>
      <c r="K2789">
        <f>J2789*(1+((Inputs!$B$12*(1+Inputs!$B$13/100))*0.01+Inputs!$B$14*0.0025)/100)*(1+Inputs!$B$15/100)*(1+Inputs!$B$16/100)*(5000/(6000+Inputs!$B$42*(1-(100*(1-(1-(Inputs!$B$19+0)/100)*(1-CHOOSE(ArtifactsInput!$N$40+1,5,6,7,8,9,10)/100)^(IF(ArtifactsInput!$M$40,FALSE,TRUE)-ArtifactsInput!$M$40)))/100)))*(1+(Inputs!$B$24+((C2811=TRUE)*(F2811-Calc!F26))+B2822)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2801=TRUE,F2801,0)/100)*(1+(IF(Skills!A4="EIGHT_LEGS_EASTON",Inputs!$B$17+((C2808=TRUE)*(F2808-Calc!F23))+((C2812=TRUE)*(F2812-Calc!F27))+((IF(AND(Inputs!$B$38&lt;&gt;"pvp",Inputs!$B$43=0),1,IF(IF(Inputs!$B$38="pvp",15,Inputs!$B$43)-(B2823)&lt;=0,1,MAX(0,IF(Inputs!$B$38="pvp",15,Inputs!$B$43)-MAX(5,B2823))/(IF(Inputs!$B$38="pvp",15,Inputs!$B$43)-(B2823))))*(IF(AND(ArtifactsInput!$M$42,((Inputs!$B$9+((C2804=TRUE)*(F2804-Calc!F19))+B2816+(ArtifactsInput!$M$24-ArtifactsInput!$M$24)*CHOOSE(ArtifactsInput!$N$24+1,10,12,14,16,18,20)+IF(ArtifactsInput!$M$10,CHOOSE(ArtifactsInput!$N$10+1,15,18,21,24,27,30)*(IF(Inputs!$B$38="pvp",MIN(15,15)/15,IF(AND(Inputs!$B$38&lt;&gt;"pvp",Inputs!$B$43&gt;0),MIN(15,Inputs!$B$43)/(Inputs!$B$43),0))),0)))&gt;=100),MIN(100,((Inputs!$B$9+((C2804=TRUE)*(F2804-Calc!F19))+B2816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2823)&lt;=0,1,MAX(0,IF(Inputs!$B$38="pvp",15,Inputs!$B$43)-MAX(5,B2823))/(IF(Inputs!$B$38="pvp",15,Inputs!$B$43)-(B2823))))*IF(AND(ArtifactsInput!$M$42,((Inputs!$B$9+((C2804=TRUE)*(F2804-Calc!F19))+B2816+(ArtifactsInput!$M$24-ArtifactsInput!$M$24)*CHOOSE(ArtifactsInput!$N$24+1,10,12,14,16,18,20)+IF(ArtifactsInput!$M$10,CHOOSE(ArtifactsInput!$N$10+1,15,18,21,24,27,30)*(IF(Inputs!$B$38="pvp",MIN(15,15)/15,IF(AND(Inputs!$B$38&lt;&gt;"pvp",Inputs!$B$43&gt;0),MIN(15,Inputs!$B$43)/(Inputs!$B$43),0))),0)))&gt;=100),CHOOSE(ArtifactsInput!$N$42+1,40,48,56,64,72,80),0))))/100)*((1+(((C2802=TRUE)*F2802*5/7)+((C2809=TRUE)*(F2809-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IF(ArtifactsInput!$M$40,FALSE,TRUE),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2789)</f>
        <v/>
      </c>
      <c r="L2789">
        <f>K2789*(MIN(Inputs!$B$22+((C2807=TRUE)*(F2807-Calc!F22)),(Inputs!$B$23+0+(IF(ArtifactsInput!$M$15,CHOOSE(ArtifactsInput!$N$15+1,25,30,35,40,45,50)/100*(Inputs!$B$11-Inputs!$B$11),0))))/100+(Inputs!$B$23+0+(IF(ArtifactsInput!$M$15,CHOOSE(ArtifactsInput!$N$15+1,25,30,35,40,45,50)/100*(Inputs!$B$11-Inputs!$B$11),0)))/100)/2</f>
        <v/>
      </c>
      <c r="M2789">
        <f>L2789*(1+(Inputs!$B$10+((C2810=TRUE)*(F2810-Calc!F25))+B2821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89">
        <f>L2789*(1-MIN((Inputs!$B$9+((C2804=TRUE)*(F2804-Calc!F19))+B2816+(ArtifactsInput!$M$24-ArtifactsInput!$M$24)*CHOOSE(ArtifactsInput!$N$24+1,10,12,14,16,18,20)+(IF(AND(Inputs!$B$38&lt;&gt;"pvp",Inputs!$B$43=0),1,IF(IF(Inputs!$B$38="pvp",15,Inputs!$B$43)-(B2823)&lt;=0,1,MAX(0,IF(Inputs!$B$38="pvp",15,Inputs!$B$43)-MAX(5,B2823))/(IF(Inputs!$B$38="pvp",15,Inputs!$B$43)-(B2823))))*IF(AND(ArtifactsInput!$M$42,((Inputs!$B$9+((C2804=TRUE)*(F2804-Calc!F19))+B2816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2789*(MIN((Inputs!$B$9+((C2804=TRUE)*(F2804-Calc!F19))+B2816+(ArtifactsInput!$M$24-ArtifactsInput!$M$24)*CHOOSE(ArtifactsInput!$N$24+1,10,12,14,16,18,20)+(IF(AND(Inputs!$B$38&lt;&gt;"pvp",Inputs!$B$43=0),1,IF(IF(Inputs!$B$38="pvp",15,Inputs!$B$43)-(B2823)&lt;=0,1,MAX(0,IF(Inputs!$B$38="pvp",15,Inputs!$B$43)-MAX(5,B2823))/(IF(Inputs!$B$38="pvp",15,Inputs!$B$43)-(B2823))))*IF(AND(ArtifactsInput!$M$42,((Inputs!$B$9+((C2804=TRUE)*(F2804-Calc!F19))+B2816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89">
        <f>(1-Summary!$B$11)*T2789+Summary!$B$11*V2789</f>
        <v/>
      </c>
      <c r="P2789">
        <f>IF(B2826=0,0,O2789/B2826)</f>
        <v/>
      </c>
      <c r="Q2789">
        <f>IFERROR(1/(IF(Inputs!$B$38="pvp",15,MAX(0.1,Skills!D4-IF(TRUE=TRUE,Inputs!$B$32,0)))*(1-IF(AND(ArtifactsInput!$M$27,Inputs!$B$4="Chapter Hunt"),CHOOSE(ArtifactsInput!$N$27+1,20,24,28,32,36,40),0)/100)),0)</f>
        <v/>
      </c>
      <c r="R2789">
        <f>IF(AND(Inputs!$B$38&lt;&gt;"pvp",Inputs!$B$43&gt;0),IF(MAX(0,Inputs!$B$43-B2823)&lt;=0,0,(INT(MAX(0,Inputs!$B$43-B2823)/(IF(Inputs!$B$38="pvp",15,MAX(0.1,Skills!D4-IF(TRUE=TRUE,Inputs!$B$32,0)))*(1-IF(AND(ArtifactsInput!$M$27,Inputs!$B$4="Chapter Hunt"),CHOOSE(ArtifactsInput!$N$27+1,20,24,28,32,36,40),0)/100)))+1)),0)</f>
        <v/>
      </c>
      <c r="S2789">
        <f>IFERROR(O2789/N2789,0)</f>
        <v/>
      </c>
      <c r="T2789">
        <f>IF(C2789,(H2789*N2789*IF(AND(Inputs!$B$38&lt;&gt;"pvp",Inputs!$B$43&gt;0),((Skills!G4*((R2789-1)*IF(Skills!H4&gt;0,INT(IF(Inputs!$B$3&gt;=104,MIN(35,20*(1+Inputs!$B$34/100)),20)/Skills!H4+0.000000001),1)+IF(Skills!H4&gt;0,INT(MIN(IF(Inputs!$B$3&gt;=104,MIN(35,20*(1+Inputs!$B$34/100)),20),MAX(0,MAX(0,Inputs!$B$43-B2823)-((R2789-1)*(IF(Inputs!$B$38="pvp",15,MAX(0.1,Skills!D4-IF(TRUE=TRUE,Inputs!$B$32,0)))*(1-IF(AND(ArtifactsInput!$M$27,Inputs!$B$4="Chapter Hunt"),CHOOSE(ArtifactsInput!$N$27+1,20,24,28,32,36,40),0)/100)))))/Skills!H4+0.000000001),1)))/Inputs!$B$43),G2789*Q2789))*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Hunt"),CHOOSE(ArtifactsInput!$N$35+1,15,18,21,24,27,30)*(1-EXP(-(0.2*B2818)*5)),0)+IF(AND(ArtifactsInput!$M$22,Inputs!$B$4&lt;&gt;"Chapter Hunt"),CHOOSE(ArtifactsInput!$N$22+1,10,12,14,16,18,20)*((0*(((0.15*B2818*5))^0/1)+1*(((0.15*B2818*5))^1/1)+2*(((0.15*B2818*5))^2/2)+3*(((0.15*B2818*5))^3/6)+4*(((0.15*B2818*5))^4/24)+5*(((0.15*B2818*5))^5/120))/((((0.15*B2818*5))^0/1)+(((0.15*B2818*5))^1/1)+(((0.15*B2818*5))^2/2)+(((0.15*B2818*5))^3/6)+(((0.15*B2818*5))^4/24)+(((0.15*B2818*5))^5/120))),0))+IF(Inputs!$B$3&gt;=54,9*(C2788=TRUE)*MIN(1,8*(1+Inputs!$B$34/100)*Q2788),0))/100)*((((5000/(6000+Inputs!$B$42*(1-(100*(1-(1-(100*(1-(1-(Inputs!$B$19+0)/100)*(1-CHOOSE(ArtifactsInput!$N$40+1,5,6,7,8,9,10)/100)^(IF(ArtifactsInput!$M$40,FALSE,TRUE)-ArtifactsInput!$M$40)))/100)*(1-IF(IF(ArtifactsInput!$M$40,FALSE,TRUE),CHOOSE(ArtifactsInput!$N$40+1,5,6,7,8,9,10),0)/100)^IF(Inputs!$B$38="pvp",1,2)))/100)))/(5000/(6000+Inputs!$B$42*(1-(100*(1-(1-(Inputs!$B$19+0)/100)*(1-CHOOSE(ArtifactsInput!$N$40+1,5,6,7,8,9,10)/100)^(IF(ArtifactsInput!$M$40,FALSE,TRUE)-ArtifactsInput!$M$40)))/100))))*((L2789*(1-MIN(100,(Inputs!$B$9+((C2804=TRUE)*(F2804-Calc!F19))+B2816+(ArtifactsInput!$M$24-ArtifactsInput!$M$24)*CHOOSE(ArtifactsInput!$N$24+1,10,12,14,16,18,20)+(IF(AND(Inputs!$B$38&lt;&gt;"pvp",Inputs!$B$43=0),1,IF(IF(Inputs!$B$38="pvp",15,Inputs!$B$43)-(B2823)&lt;=0,1,MAX(0,IF(Inputs!$B$38="pvp",15,Inputs!$B$43)-MAX(5,B2823))/(IF(Inputs!$B$38="pvp",15,Inputs!$B$43)-(B2823))))*IF(AND(ArtifactsInput!$M$42,((Inputs!$B$9+((C2804=TRUE)*(F2804-Calc!F19))+B2816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2789*(MIN(100,(Inputs!$B$9+((C2804=TRUE)*(F2804-Calc!F19))+B2816+(ArtifactsInput!$M$24-ArtifactsInput!$M$24)*CHOOSE(ArtifactsInput!$N$24+1,10,12,14,16,18,20)+(IF(AND(Inputs!$B$38&lt;&gt;"pvp",Inputs!$B$43=0),1,IF(IF(Inputs!$B$38="pvp",15,Inputs!$B$43)-(B2823)&lt;=0,1,MAX(0,IF(Inputs!$B$38="pvp",15,Inputs!$B$43)-MAX(5,B2823))/(IF(Inputs!$B$38="pvp",15,Inputs!$B$43)-(B2823))))*IF(AND(ArtifactsInput!$M$42,((Inputs!$B$9+((C2804=TRUE)*(F2804-Calc!F19))+B2816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2789*(1-MIN(100,(Inputs!$B$9+((C2804=TRUE)*(F2804-Calc!F19))+B2816+(ArtifactsInput!$M$24-ArtifactsInput!$M$24)*CHOOSE(ArtifactsInput!$N$24+1,10,12,14,16,18,20)+(IF(AND(Inputs!$B$38&lt;&gt;"pvp",Inputs!$B$43=0),1,IF(IF(Inputs!$B$38="pvp",15,Inputs!$B$43)-(B2823)&lt;=0,1,MAX(0,IF(Inputs!$B$38="pvp",15,Inputs!$B$43)-MAX(5,B2823))/(IF(Inputs!$B$38="pvp",15,Inputs!$B$43)-(B2823))))*IF(AND(ArtifactsInput!$M$42,((Inputs!$B$9+((C2804=TRUE)*(F2804-Calc!F19))+B2816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2789*(MIN(100,(Inputs!$B$9+((C2804=TRUE)*(F2804-Calc!F19))+B2816+(ArtifactsInput!$M$24-ArtifactsInput!$M$24)*CHOOSE(ArtifactsInput!$N$24+1,10,12,14,16,18,20)+(IF(AND(Inputs!$B$38&lt;&gt;"pvp",Inputs!$B$43=0),1,IF(IF(Inputs!$B$38="pvp",15,Inputs!$B$43)-(B2823)&lt;=0,1,MAX(0,IF(Inputs!$B$38="pvp",15,Inputs!$B$43)-MAX(5,B2823))/(IF(Inputs!$B$38="pvp",15,Inputs!$B$43)-(B2823))))*IF(AND(ArtifactsInput!$M$42,((Inputs!$B$9+((C2804=TRUE)*(F2804-Calc!F19))+B2816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789">
        <f>290*U2788/1000</f>
        <v/>
      </c>
      <c r="V2789">
        <f>IF(C2789,(H2789*N2789*IF(AND(Inputs!$B$38&lt;&gt;"pvp",Inputs!$B$43&gt;0),((Skills!G4*((R2789-1)*IF(Skills!H4&gt;0,INT(IF(Inputs!$B$3&gt;=104,MIN(35,20*(1+Inputs!$B$34/100)),20)/Skills!H4+0.000000001),1)+IF(Skills!H4&gt;0,INT(MIN(IF(Inputs!$B$3&gt;=104,MIN(35,20*(1+Inputs!$B$34/100)),20),MAX(0,MAX(0,Inputs!$B$43-B2823)-((R2789-1)*(IF(Inputs!$B$38="pvp",15,MAX(0.1,Skills!D4-IF(TRUE=TRUE,Inputs!$B$32,0)))*(1-IF(AND(ArtifactsInput!$M$27,Inputs!$B$4="Chapter Hunt"),CHOOSE(ArtifactsInput!$N$27+1,20,24,28,32,36,40),0)/100)))))/Skills!H4+0.000000001),1)))/Inputs!$B$43),G2789*Q2789))*IF(Inputs!$B$38="pvp",1,(1+(Inputs!$B$21+Skills!Q4+(IF(ArtifactsInput!$M$33,CHOOSE(ArtifactsInput!$N$33+1,30,36,42,48,54,60),0))+(IF(AND(ArtifactsInput!$M$35,Inputs!$B$4&lt;&gt;"Chapter Hunt"),CHOOSE(ArtifactsInput!$N$35+1,15,18,21,24,27,30)*(1-EXP(-(0.2*B2818)*5)),0)+IF(AND(ArtifactsInput!$M$22,Inputs!$B$4&lt;&gt;"Chapter Hunt"),CHOOSE(ArtifactsInput!$N$22+1,10,12,14,16,18,20)*((0*(((0.15*B2818*5))^0/1)+1*(((0.15*B2818*5))^1/1)+2*(((0.15*B2818*5))^2/2)+3*(((0.15*B2818*5))^3/6)+4*(((0.15*B2818*5))^4/24)+5*(((0.15*B2818*5))^5/120))/((((0.15*B2818*5))^0/1)+(((0.15*B2818*5))^1/1)+(((0.15*B2818*5))^2/2)+(((0.15*B2818*5))^3/6)+(((0.15*B2818*5))^4/24)+(((0.15*B2818*5))^5/120))),0))+IF(Inputs!$B$3&gt;=54,9*(C2788=TRUE)*MIN(1,8*(1+Inputs!$B$34/100)*Q2788),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90">
      <c r="A2790">
        <f>Skills!A5</f>
        <v/>
      </c>
      <c r="B2790">
        <f>Skills!B5</f>
        <v/>
      </c>
      <c r="C2790">
        <f>Inputs!$B$3&gt;=69</f>
        <v/>
      </c>
      <c r="D2790">
        <f>IF(Skills!C5=1,60+Inputs!$B$25+Inputs!$B$29,IF(Skills!C5=2,90+Inputs!$B$26+Inputs!$B$29,IF(Skills!C5=3,120+Inputs!$B$27+Inputs!$B$29,MAX(0,(Inputs!$B$3-100)*3)+Inputs!$B$28+Inputs!$B$29)))</f>
        <v/>
      </c>
      <c r="E2790">
        <f>INDEX(FactorTable!$B$2:$Y$301, MATCH(ROUND(MIN(300,MAX(1,D2790)),0), FactorTable!$A$2:$A$301,0), Skills!M5+1)</f>
        <v/>
      </c>
      <c r="F2790">
        <f>IF(Skills!N5=TRUE,(Skills!L5/10)*(E2790/1000),Skills!L5/10)+Skills!O5</f>
        <v/>
      </c>
      <c r="G2790">
        <f>Skills!G5*IF(Skills!H5&gt;0,INT(IF(Inputs!$B$38="pvp",MIN(IF(Inputs!$B$3&gt;=104,MIN(35,20*(1+Inputs!$B$34/100)),20),15),IF(Inputs!$B$3&gt;=104,MIN(35,20*(1+Inputs!$B$34/100)),20))/Skills!H5+0.000000001),1)</f>
        <v/>
      </c>
      <c r="H2790">
        <f>1-(1-Skills!J5/100)^Skills!K5</f>
        <v/>
      </c>
      <c r="I2790" t="inlineStr">
        <is>
          <t>1</t>
        </is>
      </c>
      <c r="J2790">
        <f>((Inputs!$B$6*(1+Inputs!$B$7/100))+(((Inputs!$B$12*(1+Inputs!$B$13/100))-(Inputs!$B$12*(1+Inputs!$B$13/100)))+0.25*(Inputs!$B$14-Inputs!$B$14))*(1+Inputs!$B$7/100))*(F2790/100)</f>
        <v/>
      </c>
      <c r="K2790">
        <f>J2790*(1+((Inputs!$B$12*(1+Inputs!$B$13/100))*0.01+Inputs!$B$14*0.0025)/100)*(1+Inputs!$B$15/100)*(1+Inputs!$B$16/100)*(5000/(6000+Inputs!$B$42*(1-(100*(1-(1-(Inputs!$B$19+0)/100)*(1-CHOOSE(ArtifactsInput!$N$40+1,5,6,7,8,9,10)/100)^(IF(ArtifactsInput!$M$40,FALSE,TRUE)-ArtifactsInput!$M$40)))/100)))*(1+(Inputs!$B$24+((C2811=TRUE)*(F2811-Calc!F26))+B2822)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+0.4*IF(C2801=TRUE,F2801,0)/100)*(1+(IF(Skills!A5="EIGHT_LEGS_EASTON",Inputs!$B$17+((C2808=TRUE)*(F2808-Calc!F23))+((C2812=TRUE)*(F2812-Calc!F27))+((IF(AND(Inputs!$B$38&lt;&gt;"pvp",Inputs!$B$43=0),1,IF(IF(Inputs!$B$38="pvp",15,Inputs!$B$43)-(B2823)&lt;=0,1,MAX(0,IF(Inputs!$B$38="pvp",15,Inputs!$B$43)-MAX(5,B2823))/(IF(Inputs!$B$38="pvp",15,Inputs!$B$43)-(B2823))))*(IF(AND(ArtifactsInput!$M$42,((Inputs!$B$9+((C2804=TRUE)*(F2804-Calc!F19))+B2816+(ArtifactsInput!$M$24-ArtifactsInput!$M$24)*CHOOSE(ArtifactsInput!$N$24+1,10,12,14,16,18,20)+IF(ArtifactsInput!$M$10,CHOOSE(ArtifactsInput!$N$10+1,15,18,21,24,27,30)*(IF(Inputs!$B$38="pvp",MIN(15,15)/15,IF(AND(Inputs!$B$38&lt;&gt;"pvp",Inputs!$B$43&gt;0),MIN(15,Inputs!$B$43)/(Inputs!$B$43),0))),0)))&gt;=100),MIN(100,((Inputs!$B$9+((C2804=TRUE)*(F2804-Calc!F19))+B2816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2823)&lt;=0,1,MAX(0,IF(Inputs!$B$38="pvp",15,Inputs!$B$43)-MAX(5,B2823))/(IF(Inputs!$B$38="pvp",15,Inputs!$B$43)-(B2823))))*IF(AND(ArtifactsInput!$M$42,((Inputs!$B$9+((C2804=TRUE)*(F2804-Calc!F19))+B2816+(ArtifactsInput!$M$24-ArtifactsInput!$M$24)*CHOOSE(ArtifactsInput!$N$24+1,10,12,14,16,18,20)+IF(ArtifactsInput!$M$10,CHOOSE(ArtifactsInput!$N$10+1,15,18,21,24,27,30)*(IF(Inputs!$B$38="pvp",MIN(15,15)/15,IF(AND(Inputs!$B$38&lt;&gt;"pvp",Inputs!$B$43&gt;0),MIN(15,Inputs!$B$43)/(Inputs!$B$43),0))),0)))&gt;=100),CHOOSE(ArtifactsInput!$N$42+1,40,48,56,64,72,80),0))))/100)*((1+(((C2802=TRUE)*F2802*5/7)+((C2809=TRUE)*(F2809-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IF(ArtifactsInput!$M$40,FALSE,TRUE),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2790)</f>
        <v/>
      </c>
      <c r="L2790">
        <f>K2790*(MIN(Inputs!$B$22+((C2807=TRUE)*(F2807-Calc!F22)),(Inputs!$B$23+0+(IF(ArtifactsInput!$M$15,CHOOSE(ArtifactsInput!$N$15+1,25,30,35,40,45,50)/100*(Inputs!$B$11-Inputs!$B$11),0))))/100+(Inputs!$B$23+0+(IF(ArtifactsInput!$M$15,CHOOSE(ArtifactsInput!$N$15+1,25,30,35,40,45,50)/100*(Inputs!$B$11-Inputs!$B$11),0)))/100)/2</f>
        <v/>
      </c>
      <c r="M2790">
        <f>L2790*(1+(Inputs!$B$10+((C2810=TRUE)*(F2810-Calc!F25))+B2821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90">
        <f>L2790*(1-MIN((Inputs!$B$9+((C2804=TRUE)*(F2804-Calc!F19))+B2816+(ArtifactsInput!$M$24-ArtifactsInput!$M$24)*CHOOSE(ArtifactsInput!$N$24+1,10,12,14,16,18,20)+(IF(AND(Inputs!$B$38&lt;&gt;"pvp",Inputs!$B$43=0),1,IF(IF(Inputs!$B$38="pvp",15,Inputs!$B$43)-(B2823)&lt;=0,1,MAX(0,IF(Inputs!$B$38="pvp",15,Inputs!$B$43)-MAX(5,B2823))/(IF(Inputs!$B$38="pvp",15,Inputs!$B$43)-(B2823))))*IF(AND(ArtifactsInput!$M$42,((Inputs!$B$9+((C2804=TRUE)*(F2804-Calc!F19))+B2816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2790*(MIN((Inputs!$B$9+((C2804=TRUE)*(F2804-Calc!F19))+B2816+(ArtifactsInput!$M$24-ArtifactsInput!$M$24)*CHOOSE(ArtifactsInput!$N$24+1,10,12,14,16,18,20)+(IF(AND(Inputs!$B$38&lt;&gt;"pvp",Inputs!$B$43=0),1,IF(IF(Inputs!$B$38="pvp",15,Inputs!$B$43)-(B2823)&lt;=0,1,MAX(0,IF(Inputs!$B$38="pvp",15,Inputs!$B$43)-MAX(5,B2823))/(IF(Inputs!$B$38="pvp",15,Inputs!$B$43)-(B2823))))*IF(AND(ArtifactsInput!$M$42,((Inputs!$B$9+((C2804=TRUE)*(F2804-Calc!F19))+B2816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90">
        <f>(1-Summary!$B$11)*T2790+Summary!$B$11*V2790</f>
        <v/>
      </c>
      <c r="P2790">
        <f>IF(B2826=0,0,O2790/B2826)</f>
        <v/>
      </c>
      <c r="Q2790">
        <f>IFERROR(1/(IF(Inputs!$B$38="pvp",15,MAX(0.1,Skills!D5-IF(TRUE=TRUE,Inputs!$B$32,0)))*(1-IF(AND(ArtifactsInput!$M$27,Inputs!$B$4="Chapter Hunt"),CHOOSE(ArtifactsInput!$N$27+1,20,24,28,32,36,40),0)/100)),0)</f>
        <v/>
      </c>
      <c r="R2790">
        <f>IF(AND(Inputs!$B$38&lt;&gt;"pvp",Inputs!$B$43&gt;0),IF(MAX(0,Inputs!$B$43-B2823)&lt;=0,0,(INT(MAX(0,Inputs!$B$43-B2823)/(IF(Inputs!$B$38="pvp",15,MAX(0.1,Skills!D5-IF(TRUE=TRUE,Inputs!$B$32,0)))*(1-IF(AND(ArtifactsInput!$M$27,Inputs!$B$4="Chapter Hunt"),CHOOSE(ArtifactsInput!$N$27+1,20,24,28,32,36,40),0)/100)))+1)),0)</f>
        <v/>
      </c>
      <c r="S2790">
        <f>IFERROR(O2790/N2790,0)</f>
        <v/>
      </c>
      <c r="T2790">
        <f>IF(C2790,(H2790*N2790*IF(AND(Inputs!$B$38&lt;&gt;"pvp",Inputs!$B$43&gt;0),((Skills!G5*((R2790-1)*IF(Skills!H5&gt;0,INT(IF(Inputs!$B$3&gt;=104,MIN(35,20*(1+Inputs!$B$34/100)),20)/Skills!H5+0.000000001),1)+IF(Skills!H5&gt;0,INT(MIN(IF(Inputs!$B$3&gt;=104,MIN(35,20*(1+Inputs!$B$34/100)),20),MAX(0,MAX(0,Inputs!$B$43-B2823)-((R2790-1)*(IF(Inputs!$B$38="pvp",15,MAX(0.1,Skills!D5-IF(TRUE=TRUE,Inputs!$B$32,0)))*(1-IF(AND(ArtifactsInput!$M$27,Inputs!$B$4="Chapter Hunt"),CHOOSE(ArtifactsInput!$N$27+1,20,24,28,32,36,40),0)/100)))))/Skills!H5+0.000000001),1)))/Inputs!$B$43),G2790*Q2790))*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Hunt"),CHOOSE(ArtifactsInput!$N$35+1,15,18,21,24,27,30)*(1-EXP(-(0.2*B2818)*5)),0)+IF(AND(ArtifactsInput!$M$22,Inputs!$B$4&lt;&gt;"Chapter Hunt"),CHOOSE(ArtifactsInput!$N$22+1,10,12,14,16,18,20)*((0*(((0.15*B2818*5))^0/1)+1*(((0.15*B2818*5))^1/1)+2*(((0.15*B2818*5))^2/2)+3*(((0.15*B2818*5))^3/6)+4*(((0.15*B2818*5))^4/24)+5*(((0.15*B2818*5))^5/120))/((((0.15*B2818*5))^0/1)+(((0.15*B2818*5))^1/1)+(((0.15*B2818*5))^2/2)+(((0.15*B2818*5))^3/6)+(((0.15*B2818*5))^4/24)+(((0.15*B2818*5))^5/120))),0))+IF(Inputs!$B$3&gt;=54,9*(C2788=TRUE)*MIN(1,8*(1+Inputs!$B$34/100)*Q2788),0))/100)*((((5000/(6000+Inputs!$B$42*(1-(100*(1-(1-(100*(1-(1-(Inputs!$B$19+0)/100)*(1-CHOOSE(ArtifactsInput!$N$40+1,5,6,7,8,9,10)/100)^(IF(ArtifactsInput!$M$40,FALSE,TRUE)-ArtifactsInput!$M$40)))/100)*(1-IF(IF(ArtifactsInput!$M$40,FALSE,TRUE),CHOOSE(ArtifactsInput!$N$40+1,5,6,7,8,9,10),0)/100)^IF(Inputs!$B$38="pvp",1,2)))/100)))/(5000/(6000+Inputs!$B$42*(1-(100*(1-(1-(Inputs!$B$19+0)/100)*(1-CHOOSE(ArtifactsInput!$N$40+1,5,6,7,8,9,10)/100)^(IF(ArtifactsInput!$M$40,FALSE,TRUE)-ArtifactsInput!$M$40)))/100))))*((L2790*(1-MIN(100,(Inputs!$B$9+((C2804=TRUE)*(F2804-Calc!F19))+B2816+(ArtifactsInput!$M$24-ArtifactsInput!$M$24)*CHOOSE(ArtifactsInput!$N$24+1,10,12,14,16,18,20)+(IF(AND(Inputs!$B$38&lt;&gt;"pvp",Inputs!$B$43=0),1,IF(IF(Inputs!$B$38="pvp",15,Inputs!$B$43)-(B2823)&lt;=0,1,MAX(0,IF(Inputs!$B$38="pvp",15,Inputs!$B$43)-MAX(5,B2823))/(IF(Inputs!$B$38="pvp",15,Inputs!$B$43)-(B2823))))*IF(AND(ArtifactsInput!$M$42,((Inputs!$B$9+((C2804=TRUE)*(F2804-Calc!F19))+B2816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2790*(MIN(100,(Inputs!$B$9+((C2804=TRUE)*(F2804-Calc!F19))+B2816+(ArtifactsInput!$M$24-ArtifactsInput!$M$24)*CHOOSE(ArtifactsInput!$N$24+1,10,12,14,16,18,20)+(IF(AND(Inputs!$B$38&lt;&gt;"pvp",Inputs!$B$43=0),1,IF(IF(Inputs!$B$38="pvp",15,Inputs!$B$43)-(B2823)&lt;=0,1,MAX(0,IF(Inputs!$B$38="pvp",15,Inputs!$B$43)-MAX(5,B2823))/(IF(Inputs!$B$38="pvp",15,Inputs!$B$43)-(B2823))))*IF(AND(ArtifactsInput!$M$42,((Inputs!$B$9+((C2804=TRUE)*(F2804-Calc!F19))+B2816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2790*(1-MIN(100,(Inputs!$B$9+((C2804=TRUE)*(F2804-Calc!F19))+B2816+(ArtifactsInput!$M$24-ArtifactsInput!$M$24)*CHOOSE(ArtifactsInput!$N$24+1,10,12,14,16,18,20)+(IF(AND(Inputs!$B$38&lt;&gt;"pvp",Inputs!$B$43=0),1,IF(IF(Inputs!$B$38="pvp",15,Inputs!$B$43)-(B2823)&lt;=0,1,MAX(0,IF(Inputs!$B$38="pvp",15,Inputs!$B$43)-MAX(5,B2823))/(IF(Inputs!$B$38="pvp",15,Inputs!$B$43)-(B2823))))*IF(AND(ArtifactsInput!$M$42,((Inputs!$B$9+((C2804=TRUE)*(F2804-Calc!F19))+B2816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2790*(MIN(100,(Inputs!$B$9+((C2804=TRUE)*(F2804-Calc!F19))+B2816+(ArtifactsInput!$M$24-ArtifactsInput!$M$24)*CHOOSE(ArtifactsInput!$N$24+1,10,12,14,16,18,20)+(IF(AND(Inputs!$B$38&lt;&gt;"pvp",Inputs!$B$43=0),1,IF(IF(Inputs!$B$38="pvp",15,Inputs!$B$43)-(B2823)&lt;=0,1,MAX(0,IF(Inputs!$B$38="pvp",15,Inputs!$B$43)-MAX(5,B2823))/(IF(Inputs!$B$38="pvp",15,Inputs!$B$43)-(B2823))))*IF(AND(ArtifactsInput!$M$42,((Inputs!$B$9+((C2804=TRUE)*(F2804-Calc!F19))+B2816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790">
        <f>IF(C2790,(H2790*N2790*IF(AND(Inputs!$B$38&lt;&gt;"pvp",Inputs!$B$43&gt;0),((Skills!G5*((R2790-1)*IF(Skills!H5&gt;0,INT(IF(Inputs!$B$3&gt;=104,MIN(35,20*(1+Inputs!$B$34/100)),20)/Skills!H5+0.000000001),1)+IF(Skills!H5&gt;0,INT(MIN(IF(Inputs!$B$3&gt;=104,MIN(35,20*(1+Inputs!$B$34/100)),20),MAX(0,MAX(0,Inputs!$B$43-B2823)-((R2790-1)*(IF(Inputs!$B$38="pvp",15,MAX(0.1,Skills!D5-IF(TRUE=TRUE,Inputs!$B$32,0)))*(1-IF(AND(ArtifactsInput!$M$27,Inputs!$B$4="Chapter Hunt"),CHOOSE(ArtifactsInput!$N$27+1,20,24,28,32,36,40),0)/100)))))/Skills!H5+0.000000001),1)))/Inputs!$B$43),G2790*Q2790))*IF(Inputs!$B$38="pvp",1,(1+(Inputs!$B$21+Skills!Q5+(IF(ArtifactsInput!$M$33,CHOOSE(ArtifactsInput!$N$33+1,30,36,42,48,54,60),0))+(IF(AND(ArtifactsInput!$M$35,Inputs!$B$4&lt;&gt;"Chapter Hunt"),CHOOSE(ArtifactsInput!$N$35+1,15,18,21,24,27,30)*(1-EXP(-(0.2*B2818)*5)),0)+IF(AND(ArtifactsInput!$M$22,Inputs!$B$4&lt;&gt;"Chapter Hunt"),CHOOSE(ArtifactsInput!$N$22+1,10,12,14,16,18,20)*((0*(((0.15*B2818*5))^0/1)+1*(((0.15*B2818*5))^1/1)+2*(((0.15*B2818*5))^2/2)+3*(((0.15*B2818*5))^3/6)+4*(((0.15*B2818*5))^4/24)+5*(((0.15*B2818*5))^5/120))/((((0.15*B2818*5))^0/1)+(((0.15*B2818*5))^1/1)+(((0.15*B2818*5))^2/2)+(((0.15*B2818*5))^3/6)+(((0.15*B2818*5))^4/24)+(((0.15*B2818*5))^5/120))),0))+IF(Inputs!$B$3&gt;=54,9*(C2788=TRUE)*MIN(1,8*(1+Inputs!$B$34/100)*Q2788),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91">
      <c r="A2791">
        <f>Skills!A6</f>
        <v/>
      </c>
      <c r="B2791">
        <f>Skills!B6</f>
        <v/>
      </c>
      <c r="C2791">
        <f>Inputs!$B$3&gt;=66</f>
        <v/>
      </c>
      <c r="D2791">
        <f>IF(Skills!C6=1,60+Inputs!$B$25+Inputs!$B$29,IF(Skills!C6=2,90+Inputs!$B$26+Inputs!$B$29,IF(Skills!C6=3,120+Inputs!$B$27+Inputs!$B$29,MAX(0,(Inputs!$B$3-100)*3)+Inputs!$B$28+Inputs!$B$29)))</f>
        <v/>
      </c>
      <c r="E2791">
        <f>INDEX(FactorTable!$B$2:$Y$301, MATCH(ROUND(MIN(300,MAX(1,D2791)),0), FactorTable!$A$2:$A$301,0), Skills!M6+1)</f>
        <v/>
      </c>
      <c r="F2791">
        <f>IF(Skills!N6=TRUE,(Skills!L6/10)*(E2791/1000),Skills!L6/10)+Skills!O6</f>
        <v/>
      </c>
      <c r="G2791">
        <f>Skills!G6*IF(Skills!H6&gt;0,INT(IF(Inputs!$B$38="pvp",MIN(Skills!I6,15),Skills!I6)/Skills!H6+0.000000001),1)</f>
        <v/>
      </c>
      <c r="H2791">
        <f>1-(1-Skills!J6/100)^Skills!K6</f>
        <v/>
      </c>
      <c r="I2791" t="inlineStr">
        <is>
          <t>1</t>
        </is>
      </c>
      <c r="J2791">
        <f>((Inputs!$B$6*(1+Inputs!$B$7/100))+(((Inputs!$B$12*(1+Inputs!$B$13/100))-(Inputs!$B$12*(1+Inputs!$B$13/100)))+0.25*(Inputs!$B$14-Inputs!$B$14))*(1+Inputs!$B$7/100))*(F2791/100)</f>
        <v/>
      </c>
      <c r="K2791">
        <f>J2791*(1+((Inputs!$B$12*(1+Inputs!$B$13/100))*0.01+Inputs!$B$14*0.0025)/100)*(1+Inputs!$B$15/100)*(1+Inputs!$B$16/100)*(5000/(6000+Inputs!$B$42*(1-(100*(1-(1-(Inputs!$B$19+0)/100)*(1-CHOOSE(ArtifactsInput!$N$40+1,5,6,7,8,9,10)/100)^(IF(ArtifactsInput!$M$40,FALSE,TRUE)-ArtifactsInput!$M$40)))/100)))*(1+(Inputs!$B$24+((C2811=TRUE)*(F2811-Calc!F26))+B2822)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+2.0*IF(C2800=TRUE,F2800,0)/100)*(1+(IF(Skills!A6="EIGHT_LEGS_EASTON",Inputs!$B$17+((C2808=TRUE)*(F2808-Calc!F23))+((C2812=TRUE)*(F2812-Calc!F27))+((IF(AND(Inputs!$B$38&lt;&gt;"pvp",Inputs!$B$43=0),1,IF(IF(Inputs!$B$38="pvp",15,Inputs!$B$43)-(B2823)&lt;=0,1,MAX(0,IF(Inputs!$B$38="pvp",15,Inputs!$B$43)-MAX(5,B2823))/(IF(Inputs!$B$38="pvp",15,Inputs!$B$43)-(B2823))))*(IF(AND(ArtifactsInput!$M$42,((Inputs!$B$9+((C2804=TRUE)*(F2804-Calc!F19))+B2816+(ArtifactsInput!$M$24-ArtifactsInput!$M$24)*CHOOSE(ArtifactsInput!$N$24+1,10,12,14,16,18,20)+IF(ArtifactsInput!$M$10,CHOOSE(ArtifactsInput!$N$10+1,15,18,21,24,27,30)*(IF(Inputs!$B$38="pvp",MIN(15,15)/15,IF(AND(Inputs!$B$38&lt;&gt;"pvp",Inputs!$B$43&gt;0),MIN(15,Inputs!$B$43)/(Inputs!$B$43),0))),0)))&gt;=100),MIN(100,((Inputs!$B$9+((C2804=TRUE)*(F2804-Calc!F19))+B2816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2823)&lt;=0,1,MAX(0,IF(Inputs!$B$38="pvp",15,Inputs!$B$43)-MAX(5,B2823))/(IF(Inputs!$B$38="pvp",15,Inputs!$B$43)-(B2823))))*IF(AND(ArtifactsInput!$M$42,((Inputs!$B$9+((C2804=TRUE)*(F2804-Calc!F19))+B2816+(ArtifactsInput!$M$24-ArtifactsInput!$M$24)*CHOOSE(ArtifactsInput!$N$24+1,10,12,14,16,18,20)+IF(ArtifactsInput!$M$10,CHOOSE(ArtifactsInput!$N$10+1,15,18,21,24,27,30)*(IF(Inputs!$B$38="pvp",MIN(15,15)/15,IF(AND(Inputs!$B$38&lt;&gt;"pvp",Inputs!$B$43&gt;0),MIN(15,Inputs!$B$43)/(Inputs!$B$43),0))),0)))&gt;=100),CHOOSE(ArtifactsInput!$N$42+1,40,48,56,64,72,80),0))))/100)*((1+(((C2802=TRUE)*F2802*5/7)+((C2809=TRUE)*(F2809-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IF(ArtifactsInput!$M$40,FALSE,TRUE),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2791)</f>
        <v/>
      </c>
      <c r="L2791">
        <f>K2791*(MIN(Inputs!$B$22+((C2807=TRUE)*(F2807-Calc!F22)),(Inputs!$B$23+0+(IF(ArtifactsInput!$M$15,CHOOSE(ArtifactsInput!$N$15+1,25,30,35,40,45,50)/100*(Inputs!$B$11-Inputs!$B$11),0))))/100+(Inputs!$B$23+0+(IF(ArtifactsInput!$M$15,CHOOSE(ArtifactsInput!$N$15+1,25,30,35,40,45,50)/100*(Inputs!$B$11-Inputs!$B$11),0)))/100)/2</f>
        <v/>
      </c>
      <c r="M2791">
        <f>L2791*(1+(Inputs!$B$10+((C2810=TRUE)*(F2810-Calc!F25))+B2821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91">
        <f>L2791*(1-MIN((Inputs!$B$9+((C2804=TRUE)*(F2804-Calc!F19))+B2816+(ArtifactsInput!$M$24-ArtifactsInput!$M$24)*CHOOSE(ArtifactsInput!$N$24+1,10,12,14,16,18,20)+(IF(AND(Inputs!$B$38&lt;&gt;"pvp",Inputs!$B$43=0),1,IF(IF(Inputs!$B$38="pvp",15,Inputs!$B$43)-(B2823)&lt;=0,1,MAX(0,IF(Inputs!$B$38="pvp",15,Inputs!$B$43)-MAX(5,B2823))/(IF(Inputs!$B$38="pvp",15,Inputs!$B$43)-(B2823))))*IF(AND(ArtifactsInput!$M$42,((Inputs!$B$9+((C2804=TRUE)*(F2804-Calc!F19))+B2816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2791*(MIN((Inputs!$B$9+((C2804=TRUE)*(F2804-Calc!F19))+B2816+(ArtifactsInput!$M$24-ArtifactsInput!$M$24)*CHOOSE(ArtifactsInput!$N$24+1,10,12,14,16,18,20)+(IF(AND(Inputs!$B$38&lt;&gt;"pvp",Inputs!$B$43=0),1,IF(IF(Inputs!$B$38="pvp",15,Inputs!$B$43)-(B2823)&lt;=0,1,MAX(0,IF(Inputs!$B$38="pvp",15,Inputs!$B$43)-MAX(5,B2823))/(IF(Inputs!$B$38="pvp",15,Inputs!$B$43)-(B2823))))*IF(AND(ArtifactsInput!$M$42,((Inputs!$B$9+((C2804=TRUE)*(F2804-Calc!F19))+B2816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91">
        <f>(1-Summary!$B$11)*T2791+Summary!$B$11*V2791</f>
        <v/>
      </c>
      <c r="P2791">
        <f>IF(B2826=0,0,O2791/B2826)</f>
        <v/>
      </c>
      <c r="Q2791">
        <f>IFERROR(1/(IF(Inputs!$B$38="pvp",15,MAX(0.1,Skills!D6-IF(TRUE=TRUE,Inputs!$B$32,0)))*(1-IF(AND(ArtifactsInput!$M$27,Inputs!$B$4="Chapter Hunt"),CHOOSE(ArtifactsInput!$N$27+1,20,24,28,32,36,40),0)/100)),0)</f>
        <v/>
      </c>
      <c r="R2791">
        <f>IF(AND(Inputs!$B$38&lt;&gt;"pvp",Inputs!$B$43&gt;0),IF(MAX(0,Inputs!$B$43-B2823)&lt;=0,0,(INT(MAX(0,Inputs!$B$43-B2823)/(IF(Inputs!$B$38="pvp",15,MAX(0.1,Skills!D6-IF(TRUE=TRUE,Inputs!$B$32,0)))*(1-IF(AND(ArtifactsInput!$M$27,Inputs!$B$4="Chapter Hunt"),CHOOSE(ArtifactsInput!$N$27+1,20,24,28,32,36,40),0)/100)))+1)),0)</f>
        <v/>
      </c>
      <c r="S2791">
        <f>IFERROR(O2791/N2791,0)</f>
        <v/>
      </c>
      <c r="T2791">
        <f>IF(C2791,(H2791*N2791*IF(AND(Inputs!$B$38&lt;&gt;"pvp",Inputs!$B$43&gt;0),((Skills!G6*((R2791-1)*IF(Skills!H6&gt;0,INT(Skills!I6/Skills!H6+0.000000001),1)+IF(Skills!H6&gt;0,INT(MIN(Skills!I6,MAX(0,MAX(0,Inputs!$B$43-B2823)-((R2791-1)*(IF(Inputs!$B$38="pvp",15,MAX(0.1,Skills!D6-IF(TRUE=TRUE,Inputs!$B$32,0)))*(1-IF(AND(ArtifactsInput!$M$27,Inputs!$B$4="Chapter Hunt"),CHOOSE(ArtifactsInput!$N$27+1,20,24,28,32,36,40),0)/100)))))/Skills!H6+0.000000001),1)))/Inputs!$B$43),G2791*Q2791))*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Hunt"),CHOOSE(ArtifactsInput!$N$35+1,15,18,21,24,27,30)*(1-EXP(-(0.2*B2818)*5)),0)+IF(AND(ArtifactsInput!$M$22,Inputs!$B$4&lt;&gt;"Chapter Hunt"),CHOOSE(ArtifactsInput!$N$22+1,10,12,14,16,18,20)*((0*(((0.15*B2818*5))^0/1)+1*(((0.15*B2818*5))^1/1)+2*(((0.15*B2818*5))^2/2)+3*(((0.15*B2818*5))^3/6)+4*(((0.15*B2818*5))^4/24)+5*(((0.15*B2818*5))^5/120))/((((0.15*B2818*5))^0/1)+(((0.15*B2818*5))^1/1)+(((0.15*B2818*5))^2/2)+(((0.15*B2818*5))^3/6)+(((0.15*B2818*5))^4/24)+(((0.15*B2818*5))^5/120))),0))+IF(Inputs!$B$3&gt;=54,9*(C2788=TRUE)*MIN(1,8*(1+Inputs!$B$34/100)*Q2788),0))/100)*((((5000/(6000+Inputs!$B$42*(1-(100*(1-(1-(100*(1-(1-(Inputs!$B$19+0)/100)*(1-CHOOSE(ArtifactsInput!$N$40+1,5,6,7,8,9,10)/100)^(IF(ArtifactsInput!$M$40,FALSE,TRUE)-ArtifactsInput!$M$40)))/100)*(1-IF(IF(ArtifactsInput!$M$40,FALSE,TRUE),CHOOSE(ArtifactsInput!$N$40+1,5,6,7,8,9,10),0)/100)^IF(Inputs!$B$38="pvp",1,2)))/100)))/(5000/(6000+Inputs!$B$42*(1-(100*(1-(1-(Inputs!$B$19+0)/100)*(1-CHOOSE(ArtifactsInput!$N$40+1,5,6,7,8,9,10)/100)^(IF(ArtifactsInput!$M$40,FALSE,TRUE)-ArtifactsInput!$M$40)))/100))))*((L2791*(1-MIN(100,(Inputs!$B$9+((C2804=TRUE)*(F2804-Calc!F19))+B2816+(ArtifactsInput!$M$24-ArtifactsInput!$M$24)*CHOOSE(ArtifactsInput!$N$24+1,10,12,14,16,18,20)+(IF(AND(Inputs!$B$38&lt;&gt;"pvp",Inputs!$B$43=0),1,IF(IF(Inputs!$B$38="pvp",15,Inputs!$B$43)-(B2823)&lt;=0,1,MAX(0,IF(Inputs!$B$38="pvp",15,Inputs!$B$43)-MAX(5,B2823))/(IF(Inputs!$B$38="pvp",15,Inputs!$B$43)-(B2823))))*IF(AND(ArtifactsInput!$M$42,((Inputs!$B$9+((C2804=TRUE)*(F2804-Calc!F19))+B2816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2791*(MIN(100,(Inputs!$B$9+((C2804=TRUE)*(F2804-Calc!F19))+B2816+(ArtifactsInput!$M$24-ArtifactsInput!$M$24)*CHOOSE(ArtifactsInput!$N$24+1,10,12,14,16,18,20)+(IF(AND(Inputs!$B$38&lt;&gt;"pvp",Inputs!$B$43=0),1,IF(IF(Inputs!$B$38="pvp",15,Inputs!$B$43)-(B2823)&lt;=0,1,MAX(0,IF(Inputs!$B$38="pvp",15,Inputs!$B$43)-MAX(5,B2823))/(IF(Inputs!$B$38="pvp",15,Inputs!$B$43)-(B2823))))*IF(AND(ArtifactsInput!$M$42,((Inputs!$B$9+((C2804=TRUE)*(F2804-Calc!F19))+B2816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2791*(1-MIN(100,(Inputs!$B$9+((C2804=TRUE)*(F2804-Calc!F19))+B2816+(ArtifactsInput!$M$24-ArtifactsInput!$M$24)*CHOOSE(ArtifactsInput!$N$24+1,10,12,14,16,18,20)+(IF(AND(Inputs!$B$38&lt;&gt;"pvp",Inputs!$B$43=0),1,IF(IF(Inputs!$B$38="pvp",15,Inputs!$B$43)-(B2823)&lt;=0,1,MAX(0,IF(Inputs!$B$38="pvp",15,Inputs!$B$43)-MAX(5,B2823))/(IF(Inputs!$B$38="pvp",15,Inputs!$B$43)-(B2823))))*IF(AND(ArtifactsInput!$M$42,((Inputs!$B$9+((C2804=TRUE)*(F2804-Calc!F19))+B2816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2791*(MIN(100,(Inputs!$B$9+((C2804=TRUE)*(F2804-Calc!F19))+B2816+(ArtifactsInput!$M$24-ArtifactsInput!$M$24)*CHOOSE(ArtifactsInput!$N$24+1,10,12,14,16,18,20)+(IF(AND(Inputs!$B$38&lt;&gt;"pvp",Inputs!$B$43=0),1,IF(IF(Inputs!$B$38="pvp",15,Inputs!$B$43)-(B2823)&lt;=0,1,MAX(0,IF(Inputs!$B$38="pvp",15,Inputs!$B$43)-MAX(5,B2823))/(IF(Inputs!$B$38="pvp",15,Inputs!$B$43)-(B2823))))*IF(AND(ArtifactsInput!$M$42,((Inputs!$B$9+((C2804=TRUE)*(F2804-Calc!F19))+B2816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791">
        <f>IF(C2791,(H2791*N2791*IF(AND(Inputs!$B$38&lt;&gt;"pvp",Inputs!$B$43&gt;0),((Skills!G6*((R2791-1)*IF(Skills!H6&gt;0,INT(Skills!I6/Skills!H6+0.000000001),1)+IF(Skills!H6&gt;0,INT(MIN(Skills!I6,MAX(0,MAX(0,Inputs!$B$43-B2823)-((R2791-1)*(IF(Inputs!$B$38="pvp",15,MAX(0.1,Skills!D6-IF(TRUE=TRUE,Inputs!$B$32,0)))*(1-IF(AND(ArtifactsInput!$M$27,Inputs!$B$4="Chapter Hunt"),CHOOSE(ArtifactsInput!$N$27+1,20,24,28,32,36,40),0)/100)))))/Skills!H6+0.000000001),1)))/Inputs!$B$43),G2791*Q2791))*IF(Inputs!$B$38="pvp",1,(1+(Inputs!$B$21+Skills!Q6+(IF(ArtifactsInput!$M$33,CHOOSE(ArtifactsInput!$N$33+1,30,36,42,48,54,60),0))+(IF(AND(ArtifactsInput!$M$35,Inputs!$B$4&lt;&gt;"Chapter Hunt"),CHOOSE(ArtifactsInput!$N$35+1,15,18,21,24,27,30)*(1-EXP(-(0.2*B2818)*5)),0)+IF(AND(ArtifactsInput!$M$22,Inputs!$B$4&lt;&gt;"Chapter Hunt"),CHOOSE(ArtifactsInput!$N$22+1,10,12,14,16,18,20)*((0*(((0.15*B2818*5))^0/1)+1*(((0.15*B2818*5))^1/1)+2*(((0.15*B2818*5))^2/2)+3*(((0.15*B2818*5))^3/6)+4*(((0.15*B2818*5))^4/24)+5*(((0.15*B2818*5))^5/120))/((((0.15*B2818*5))^0/1)+(((0.15*B2818*5))^1/1)+(((0.15*B2818*5))^2/2)+(((0.15*B2818*5))^3/6)+(((0.15*B2818*5))^4/24)+(((0.15*B2818*5))^5/120))),0))+IF(Inputs!$B$3&gt;=54,9*(C2788=TRUE)*MIN(1,8*(1+Inputs!$B$34/100)*Q2788),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92">
      <c r="A2792">
        <f>Skills!A7</f>
        <v/>
      </c>
      <c r="B2792">
        <f>Skills!B7</f>
        <v/>
      </c>
      <c r="C2792">
        <f>Inputs!$B$3&gt;=63</f>
        <v/>
      </c>
      <c r="D2792">
        <f>IF(Skills!C7=1,60+Inputs!$B$25+Inputs!$B$29,IF(Skills!C7=2,90+Inputs!$B$26+Inputs!$B$29,IF(Skills!C7=3,120+Inputs!$B$27+Inputs!$B$29,MAX(0,(Inputs!$B$3-100)*3)+Inputs!$B$28+Inputs!$B$29)))</f>
        <v/>
      </c>
      <c r="E2792">
        <f>INDEX(FactorTable!$B$2:$Y$301, MATCH(ROUND(MIN(300,MAX(1,D2792)),0), FactorTable!$A$2:$A$301,0), Skills!M7+1)</f>
        <v/>
      </c>
      <c r="F2792">
        <f>IF(Skills!N7=TRUE,(Skills!L7/10)*(E2792/1000),Skills!L7/10)+Skills!O7</f>
        <v/>
      </c>
      <c r="G2792">
        <f>Skills!G7*IF(Skills!H7&gt;0,INT(IF(Inputs!$B$38="pvp",MIN(Skills!I7,15),Skills!I7)/Skills!H7+0.000000001),1)</f>
        <v/>
      </c>
      <c r="H2792">
        <f>1-(1-Skills!J7/100)^Skills!K7</f>
        <v/>
      </c>
      <c r="I2792" t="inlineStr">
        <is>
          <t>1</t>
        </is>
      </c>
      <c r="J2792">
        <f>((Inputs!$B$6*(1+Inputs!$B$7/100))+(((Inputs!$B$12*(1+Inputs!$B$13/100))-(Inputs!$B$12*(1+Inputs!$B$13/100)))+0.25*(Inputs!$B$14-Inputs!$B$14))*(1+Inputs!$B$7/100))*(F2792/100)</f>
        <v/>
      </c>
      <c r="K2792">
        <f>J2792*(1+((Inputs!$B$12*(1+Inputs!$B$13/100))*0.01+Inputs!$B$14*0.0025)/100)*(1+Inputs!$B$15/100)*(1+Inputs!$B$16/100)*(5000/(6000+Inputs!$B$42*(1-(100*(1-(1-(Inputs!$B$19+0)/100)*(1-CHOOSE(ArtifactsInput!$N$40+1,5,6,7,8,9,10)/100)^(IF(ArtifactsInput!$M$40,FALSE,TRUE)-ArtifactsInput!$M$40)))/100)))*(1+(Inputs!$B$24+((C2811=TRUE)*(F2811-Calc!F26))+B2822)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2800=TRUE,F2800,0)/100)*(1+(IF(Skills!A7="EIGHT_LEGS_EASTON",Inputs!$B$17+((C2808=TRUE)*(F2808-Calc!F23))+((C2812=TRUE)*(F2812-Calc!F27))+((IF(AND(Inputs!$B$38&lt;&gt;"pvp",Inputs!$B$43=0),1,IF(IF(Inputs!$B$38="pvp",15,Inputs!$B$43)-(B2823)&lt;=0,1,MAX(0,IF(Inputs!$B$38="pvp",15,Inputs!$B$43)-MAX(5,B2823))/(IF(Inputs!$B$38="pvp",15,Inputs!$B$43)-(B2823))))*(IF(AND(ArtifactsInput!$M$42,((Inputs!$B$9+((C2804=TRUE)*(F2804-Calc!F19))+B2816+(ArtifactsInput!$M$24-ArtifactsInput!$M$24)*CHOOSE(ArtifactsInput!$N$24+1,10,12,14,16,18,20)+IF(ArtifactsInput!$M$10,CHOOSE(ArtifactsInput!$N$10+1,15,18,21,24,27,30)*(IF(Inputs!$B$38="pvp",MIN(15,15)/15,IF(AND(Inputs!$B$38&lt;&gt;"pvp",Inputs!$B$43&gt;0),MIN(15,Inputs!$B$43)/(Inputs!$B$43),0))),0)))&gt;=100),MIN(100,((Inputs!$B$9+((C2804=TRUE)*(F2804-Calc!F19))+B2816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2823)&lt;=0,1,MAX(0,IF(Inputs!$B$38="pvp",15,Inputs!$B$43)-MAX(5,B2823))/(IF(Inputs!$B$38="pvp",15,Inputs!$B$43)-(B2823))))*IF(AND(ArtifactsInput!$M$42,((Inputs!$B$9+((C2804=TRUE)*(F2804-Calc!F19))+B2816+(ArtifactsInput!$M$24-ArtifactsInput!$M$24)*CHOOSE(ArtifactsInput!$N$24+1,10,12,14,16,18,20)+IF(ArtifactsInput!$M$10,CHOOSE(ArtifactsInput!$N$10+1,15,18,21,24,27,30)*(IF(Inputs!$B$38="pvp",MIN(15,15)/15,IF(AND(Inputs!$B$38&lt;&gt;"pvp",Inputs!$B$43&gt;0),MIN(15,Inputs!$B$43)/(Inputs!$B$43),0))),0)))&gt;=100),CHOOSE(ArtifactsInput!$N$42+1,40,48,56,64,72,80),0))))/100)*((1+(((C2802=TRUE)*F2802*5/7)+((C2809=TRUE)*(F2809-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IF(ArtifactsInput!$M$40,FALSE,TRUE),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2792)</f>
        <v/>
      </c>
      <c r="L2792">
        <f>K2792*(MIN(Inputs!$B$22+((C2807=TRUE)*(F2807-Calc!F22)),(Inputs!$B$23+0+(IF(ArtifactsInput!$M$15,CHOOSE(ArtifactsInput!$N$15+1,25,30,35,40,45,50)/100*(Inputs!$B$11-Inputs!$B$11),0))))/100+(Inputs!$B$23+0+(IF(ArtifactsInput!$M$15,CHOOSE(ArtifactsInput!$N$15+1,25,30,35,40,45,50)/100*(Inputs!$B$11-Inputs!$B$11),0)))/100)/2</f>
        <v/>
      </c>
      <c r="M2792">
        <f>L2792*(1+(Inputs!$B$10+((C2810=TRUE)*(F2810-Calc!F25))+B2821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92">
        <f>L2792*(1-MIN((Inputs!$B$9+((C2804=TRUE)*(F2804-Calc!F19))+B2816+(ArtifactsInput!$M$24-ArtifactsInput!$M$24)*CHOOSE(ArtifactsInput!$N$24+1,10,12,14,16,18,20)+(IF(AND(Inputs!$B$38&lt;&gt;"pvp",Inputs!$B$43=0),1,IF(IF(Inputs!$B$38="pvp",15,Inputs!$B$43)-(B2823)&lt;=0,1,MAX(0,IF(Inputs!$B$38="pvp",15,Inputs!$B$43)-MAX(5,B2823))/(IF(Inputs!$B$38="pvp",15,Inputs!$B$43)-(B2823))))*IF(AND(ArtifactsInput!$M$42,((Inputs!$B$9+((C2804=TRUE)*(F2804-Calc!F19))+B2816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2792*(MIN((Inputs!$B$9+((C2804=TRUE)*(F2804-Calc!F19))+B2816+(ArtifactsInput!$M$24-ArtifactsInput!$M$24)*CHOOSE(ArtifactsInput!$N$24+1,10,12,14,16,18,20)+(IF(AND(Inputs!$B$38&lt;&gt;"pvp",Inputs!$B$43=0),1,IF(IF(Inputs!$B$38="pvp",15,Inputs!$B$43)-(B2823)&lt;=0,1,MAX(0,IF(Inputs!$B$38="pvp",15,Inputs!$B$43)-MAX(5,B2823))/(IF(Inputs!$B$38="pvp",15,Inputs!$B$43)-(B2823))))*IF(AND(ArtifactsInput!$M$42,((Inputs!$B$9+((C2804=TRUE)*(F2804-Calc!F19))+B2816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92">
        <f>(1-Summary!$B$11)*T2792+Summary!$B$11*V2792</f>
        <v/>
      </c>
      <c r="P2792">
        <f>IF(B2826=0,0,O2792/B2826)</f>
        <v/>
      </c>
      <c r="Q2792">
        <f>IFERROR(1/(IF(Inputs!$B$38="pvp",15,MAX(0.1,Skills!D7-IF(TRUE=TRUE,Inputs!$B$32,0)))*(1-IF(AND(ArtifactsInput!$M$27,Inputs!$B$4="Chapter Hunt"),CHOOSE(ArtifactsInput!$N$27+1,20,24,28,32,36,40),0)/100)),0)</f>
        <v/>
      </c>
      <c r="R2792">
        <f>IF(AND(Inputs!$B$38&lt;&gt;"pvp",Inputs!$B$43&gt;0),IF(MAX(0,Inputs!$B$43-B2823)&lt;=0,0,(INT(MAX(0,Inputs!$B$43-B2823)/(IF(Inputs!$B$38="pvp",15,MAX(0.1,Skills!D7-IF(TRUE=TRUE,Inputs!$B$32,0)))*(1-IF(AND(ArtifactsInput!$M$27,Inputs!$B$4="Chapter Hunt"),CHOOSE(ArtifactsInput!$N$27+1,20,24,28,32,36,40),0)/100)))+1)),0)</f>
        <v/>
      </c>
      <c r="S2792">
        <f>IFERROR(O2792/N2792,0)</f>
        <v/>
      </c>
      <c r="T2792">
        <f>IF(C2792,(H2792*N2792*IF(AND(Inputs!$B$38&lt;&gt;"pvp",Inputs!$B$43&gt;0),((Skills!G7*((R2792-1)*IF(Skills!H7&gt;0,INT(Skills!I7/Skills!H7+0.000000001),1)+IF(Skills!H7&gt;0,INT(MIN(Skills!I7,MAX(0,MAX(0,Inputs!$B$43-B2823)-((R2792-1)*(IF(Inputs!$B$38="pvp",15,MAX(0.1,Skills!D7-IF(TRUE=TRUE,Inputs!$B$32,0)))*(1-IF(AND(ArtifactsInput!$M$27,Inputs!$B$4="Chapter Hunt"),CHOOSE(ArtifactsInput!$N$27+1,20,24,28,32,36,40),0)/100)))))/Skills!H7+0.000000001),1)))/Inputs!$B$43),G2792*Q2792))*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Hunt"),CHOOSE(ArtifactsInput!$N$35+1,15,18,21,24,27,30)*(1-EXP(-(0.2*B2818)*5)),0)+IF(AND(ArtifactsInput!$M$22,Inputs!$B$4&lt;&gt;"Chapter Hunt"),CHOOSE(ArtifactsInput!$N$22+1,10,12,14,16,18,20)*((0*(((0.15*B2818*5))^0/1)+1*(((0.15*B2818*5))^1/1)+2*(((0.15*B2818*5))^2/2)+3*(((0.15*B2818*5))^3/6)+4*(((0.15*B2818*5))^4/24)+5*(((0.15*B2818*5))^5/120))/((((0.15*B2818*5))^0/1)+(((0.15*B2818*5))^1/1)+(((0.15*B2818*5))^2/2)+(((0.15*B2818*5))^3/6)+(((0.15*B2818*5))^4/24)+(((0.15*B2818*5))^5/120))),0))+IF(Inputs!$B$3&gt;=54,9*(C2788=TRUE)*MIN(1,8*(1+Inputs!$B$34/100)*Q2788),0))/100)*((((5000/(6000+Inputs!$B$42*(1-(100*(1-(1-(100*(1-(1-(Inputs!$B$19+0)/100)*(1-CHOOSE(ArtifactsInput!$N$40+1,5,6,7,8,9,10)/100)^(IF(ArtifactsInput!$M$40,FALSE,TRUE)-ArtifactsInput!$M$40)))/100)*(1-IF(IF(ArtifactsInput!$M$40,FALSE,TRUE),CHOOSE(ArtifactsInput!$N$40+1,5,6,7,8,9,10),0)/100)^IF(Inputs!$B$38="pvp",1,2)))/100)))/(5000/(6000+Inputs!$B$42*(1-(100*(1-(1-(Inputs!$B$19+0)/100)*(1-CHOOSE(ArtifactsInput!$N$40+1,5,6,7,8,9,10)/100)^(IF(ArtifactsInput!$M$40,FALSE,TRUE)-ArtifactsInput!$M$40)))/100))))*((L2792*(1-MIN(100,(Inputs!$B$9+((C2804=TRUE)*(F2804-Calc!F19))+B2816+(ArtifactsInput!$M$24-ArtifactsInput!$M$24)*CHOOSE(ArtifactsInput!$N$24+1,10,12,14,16,18,20)+(IF(AND(Inputs!$B$38&lt;&gt;"pvp",Inputs!$B$43=0),1,IF(IF(Inputs!$B$38="pvp",15,Inputs!$B$43)-(B2823)&lt;=0,1,MAX(0,IF(Inputs!$B$38="pvp",15,Inputs!$B$43)-MAX(5,B2823))/(IF(Inputs!$B$38="pvp",15,Inputs!$B$43)-(B2823))))*IF(AND(ArtifactsInput!$M$42,((Inputs!$B$9+((C2804=TRUE)*(F2804-Calc!F19))+B2816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2792*(MIN(100,(Inputs!$B$9+((C2804=TRUE)*(F2804-Calc!F19))+B2816+(ArtifactsInput!$M$24-ArtifactsInput!$M$24)*CHOOSE(ArtifactsInput!$N$24+1,10,12,14,16,18,20)+(IF(AND(Inputs!$B$38&lt;&gt;"pvp",Inputs!$B$43=0),1,IF(IF(Inputs!$B$38="pvp",15,Inputs!$B$43)-(B2823)&lt;=0,1,MAX(0,IF(Inputs!$B$38="pvp",15,Inputs!$B$43)-MAX(5,B2823))/(IF(Inputs!$B$38="pvp",15,Inputs!$B$43)-(B2823))))*IF(AND(ArtifactsInput!$M$42,((Inputs!$B$9+((C2804=TRUE)*(F2804-Calc!F19))+B2816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2792*(1-MIN(100,(Inputs!$B$9+((C2804=TRUE)*(F2804-Calc!F19))+B2816+(ArtifactsInput!$M$24-ArtifactsInput!$M$24)*CHOOSE(ArtifactsInput!$N$24+1,10,12,14,16,18,20)+(IF(AND(Inputs!$B$38&lt;&gt;"pvp",Inputs!$B$43=0),1,IF(IF(Inputs!$B$38="pvp",15,Inputs!$B$43)-(B2823)&lt;=0,1,MAX(0,IF(Inputs!$B$38="pvp",15,Inputs!$B$43)-MAX(5,B2823))/(IF(Inputs!$B$38="pvp",15,Inputs!$B$43)-(B2823))))*IF(AND(ArtifactsInput!$M$42,((Inputs!$B$9+((C2804=TRUE)*(F2804-Calc!F19))+B2816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2792*(MIN(100,(Inputs!$B$9+((C2804=TRUE)*(F2804-Calc!F19))+B2816+(ArtifactsInput!$M$24-ArtifactsInput!$M$24)*CHOOSE(ArtifactsInput!$N$24+1,10,12,14,16,18,20)+(IF(AND(Inputs!$B$38&lt;&gt;"pvp",Inputs!$B$43=0),1,IF(IF(Inputs!$B$38="pvp",15,Inputs!$B$43)-(B2823)&lt;=0,1,MAX(0,IF(Inputs!$B$38="pvp",15,Inputs!$B$43)-MAX(5,B2823))/(IF(Inputs!$B$38="pvp",15,Inputs!$B$43)-(B2823))))*IF(AND(ArtifactsInput!$M$42,((Inputs!$B$9+((C2804=TRUE)*(F2804-Calc!F19))+B2816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792">
        <f>IF(C2792,(H2792*N2792*IF(AND(Inputs!$B$38&lt;&gt;"pvp",Inputs!$B$43&gt;0),((Skills!G7*((R2792-1)*IF(Skills!H7&gt;0,INT(Skills!I7/Skills!H7+0.000000001),1)+IF(Skills!H7&gt;0,INT(MIN(Skills!I7,MAX(0,MAX(0,Inputs!$B$43-B2823)-((R2792-1)*(IF(Inputs!$B$38="pvp",15,MAX(0.1,Skills!D7-IF(TRUE=TRUE,Inputs!$B$32,0)))*(1-IF(AND(ArtifactsInput!$M$27,Inputs!$B$4="Chapter Hunt"),CHOOSE(ArtifactsInput!$N$27+1,20,24,28,32,36,40),0)/100)))))/Skills!H7+0.000000001),1)))/Inputs!$B$43),G2792*Q2792))*IF(Inputs!$B$38="pvp",1,(1+(Inputs!$B$21+Skills!Q7+(IF(ArtifactsInput!$M$33,CHOOSE(ArtifactsInput!$N$33+1,30,36,42,48,54,60),0))+(IF(AND(ArtifactsInput!$M$35,Inputs!$B$4&lt;&gt;"Chapter Hunt"),CHOOSE(ArtifactsInput!$N$35+1,15,18,21,24,27,30)*(1-EXP(-(0.2*B2818)*5)),0)+IF(AND(ArtifactsInput!$M$22,Inputs!$B$4&lt;&gt;"Chapter Hunt"),CHOOSE(ArtifactsInput!$N$22+1,10,12,14,16,18,20)*((0*(((0.15*B2818*5))^0/1)+1*(((0.15*B2818*5))^1/1)+2*(((0.15*B2818*5))^2/2)+3*(((0.15*B2818*5))^3/6)+4*(((0.15*B2818*5))^4/24)+5*(((0.15*B2818*5))^5/120))/((((0.15*B2818*5))^0/1)+(((0.15*B2818*5))^1/1)+(((0.15*B2818*5))^2/2)+(((0.15*B2818*5))^3/6)+(((0.15*B2818*5))^4/24)+(((0.15*B2818*5))^5/120))),0))+IF(Inputs!$B$3&gt;=54,9*(C2788=TRUE)*MIN(1,8*(1+Inputs!$B$34/100)*Q2788),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93">
      <c r="A2793">
        <f>Skills!A8</f>
        <v/>
      </c>
      <c r="B2793">
        <f>Skills!B8</f>
        <v/>
      </c>
      <c r="C2793">
        <f>Inputs!$B$3&gt;=103</f>
        <v/>
      </c>
      <c r="D2793">
        <f>IF(Skills!C8=1,60+Inputs!$B$25+Inputs!$B$29,IF(Skills!C8=2,90+Inputs!$B$26+Inputs!$B$29,IF(Skills!C8=3,120+Inputs!$B$27+Inputs!$B$29,MAX(0,(Inputs!$B$3-100)*3)+Inputs!$B$28+Inputs!$B$29)))</f>
        <v/>
      </c>
      <c r="E2793">
        <f>INDEX(FactorTable!$B$2:$Y$301, MATCH(ROUND(MIN(300,MAX(1,D2793)),0), FactorTable!$A$2:$A$301,0), Skills!M8+1)</f>
        <v/>
      </c>
      <c r="F2793">
        <f>IF(Skills!N8=TRUE,(Skills!L8/10)*(E2793/1000),Skills!L8/10)+Skills!O8</f>
        <v/>
      </c>
      <c r="G2793">
        <f>Skills!G8*IF(Skills!H8&gt;0,INT(IF(Inputs!$B$38="pvp",MIN(Skills!I8,15),Skills!I8)/Skills!H8+0.000000001),1)</f>
        <v/>
      </c>
      <c r="H2793">
        <f>1-(1-Skills!J8/100)^Skills!K8</f>
        <v/>
      </c>
      <c r="I2793" t="inlineStr">
        <is>
          <t>1</t>
        </is>
      </c>
      <c r="J2793">
        <f>((Inputs!$B$6*(1+Inputs!$B$7/100))+(((Inputs!$B$12*(1+Inputs!$B$13/100))-(Inputs!$B$12*(1+Inputs!$B$13/100)))+0.25*(Inputs!$B$14-Inputs!$B$14))*(1+Inputs!$B$7/100))*(F2793/100)</f>
        <v/>
      </c>
      <c r="K2793">
        <f>J2793*(1+((Inputs!$B$12*(1+Inputs!$B$13/100))*0.01+Inputs!$B$14*0.0025)/100)*(1+Inputs!$B$15/100)*(1+Inputs!$B$16/100)*(5000/(6000+Inputs!$B$42*(1-(100*(1-(1-(Inputs!$B$19+0)/100)*(1-CHOOSE(ArtifactsInput!$N$40+1,5,6,7,8,9,10)/100)^(IF(ArtifactsInput!$M$40,FALSE,TRUE)-ArtifactsInput!$M$40)))/100)))*(1+(Inputs!$B$24+((C2811=TRUE)*(F2811-Calc!F26))+B2822)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IGHT_LEGS_EASTON",Inputs!$B$17+((C2808=TRUE)*(F2808-Calc!F23))+((C2812=TRUE)*(F2812-Calc!F27))+((IF(AND(Inputs!$B$38&lt;&gt;"pvp",Inputs!$B$43=0),1,IF(IF(Inputs!$B$38="pvp",15,Inputs!$B$43)-(B2823)&lt;=0,1,MAX(0,IF(Inputs!$B$38="pvp",15,Inputs!$B$43)-MAX(5,B2823))/(IF(Inputs!$B$38="pvp",15,Inputs!$B$43)-(B2823))))*(IF(AND(ArtifactsInput!$M$42,((Inputs!$B$9+((C2804=TRUE)*(F2804-Calc!F19))+B2816+(ArtifactsInput!$M$24-ArtifactsInput!$M$24)*CHOOSE(ArtifactsInput!$N$24+1,10,12,14,16,18,20)+IF(ArtifactsInput!$M$10,CHOOSE(ArtifactsInput!$N$10+1,15,18,21,24,27,30)*(IF(Inputs!$B$38="pvp",MIN(15,15)/15,IF(AND(Inputs!$B$38&lt;&gt;"pvp",Inputs!$B$43&gt;0),MIN(15,Inputs!$B$43)/(Inputs!$B$43),0))),0)))&gt;=100),MIN(100,((Inputs!$B$9+((C2804=TRUE)*(F2804-Calc!F19))+B2816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2823)&lt;=0,1,MAX(0,IF(Inputs!$B$38="pvp",15,Inputs!$B$43)-MAX(5,B2823))/(IF(Inputs!$B$38="pvp",15,Inputs!$B$43)-(B2823))))*IF(AND(ArtifactsInput!$M$42,((Inputs!$B$9+((C2804=TRUE)*(F2804-Calc!F19))+B2816+(ArtifactsInput!$M$24-ArtifactsInput!$M$24)*CHOOSE(ArtifactsInput!$N$24+1,10,12,14,16,18,20)+IF(ArtifactsInput!$M$10,CHOOSE(ArtifactsInput!$N$10+1,15,18,21,24,27,30)*(IF(Inputs!$B$38="pvp",MIN(15,15)/15,IF(AND(Inputs!$B$38&lt;&gt;"pvp",Inputs!$B$43&gt;0),MIN(15,Inputs!$B$43)/(Inputs!$B$43),0))),0)))&gt;=100),CHOOSE(ArtifactsInput!$N$42+1,40,48,56,64,72,80),0))))/100)*((1+(((C2802=TRUE)*F2802*5/7)+((C2809=TRUE)*(F2809-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IF(ArtifactsInput!$M$40,FALSE,TRUE),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2793)</f>
        <v/>
      </c>
      <c r="L2793">
        <f>K2793*(MIN(Inputs!$B$22+((C2807=TRUE)*(F2807-Calc!F22)),(Inputs!$B$23+0+(IF(ArtifactsInput!$M$15,CHOOSE(ArtifactsInput!$N$15+1,25,30,35,40,45,50)/100*(Inputs!$B$11-Inputs!$B$11),0))))/100+(Inputs!$B$23+0+(IF(ArtifactsInput!$M$15,CHOOSE(ArtifactsInput!$N$15+1,25,30,35,40,45,50)/100*(Inputs!$B$11-Inputs!$B$11),0)))/100)/2</f>
        <v/>
      </c>
      <c r="M2793">
        <f>L2793*(1+(Inputs!$B$10+((C2810=TRUE)*(F2810-Calc!F25))+B2821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93">
        <f>L2793*(1-MIN((Inputs!$B$9+((C2804=TRUE)*(F2804-Calc!F19))+B2816+(ArtifactsInput!$M$24-ArtifactsInput!$M$24)*CHOOSE(ArtifactsInput!$N$24+1,10,12,14,16,18,20)+(IF(AND(Inputs!$B$38&lt;&gt;"pvp",Inputs!$B$43=0),1,IF(IF(Inputs!$B$38="pvp",15,Inputs!$B$43)-(B2823)&lt;=0,1,MAX(0,IF(Inputs!$B$38="pvp",15,Inputs!$B$43)-MAX(5,B2823))/(IF(Inputs!$B$38="pvp",15,Inputs!$B$43)-(B2823))))*IF(AND(ArtifactsInput!$M$42,((Inputs!$B$9+((C2804=TRUE)*(F2804-Calc!F19))+B2816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2793*(MIN((Inputs!$B$9+((C2804=TRUE)*(F2804-Calc!F19))+B2816+(ArtifactsInput!$M$24-ArtifactsInput!$M$24)*CHOOSE(ArtifactsInput!$N$24+1,10,12,14,16,18,20)+(IF(AND(Inputs!$B$38&lt;&gt;"pvp",Inputs!$B$43=0),1,IF(IF(Inputs!$B$38="pvp",15,Inputs!$B$43)-(B2823)&lt;=0,1,MAX(0,IF(Inputs!$B$38="pvp",15,Inputs!$B$43)-MAX(5,B2823))/(IF(Inputs!$B$38="pvp",15,Inputs!$B$43)-(B2823))))*IF(AND(ArtifactsInput!$M$42,((Inputs!$B$9+((C2804=TRUE)*(F2804-Calc!F19))+B2816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93">
        <f>(1-Summary!$B$11)*T2793+Summary!$B$11*V2793</f>
        <v/>
      </c>
      <c r="P2793">
        <f>IF(B2826=0,0,O2793/B2826)</f>
        <v/>
      </c>
      <c r="Q2793">
        <f>IFERROR(1/((IF(Inputs!$B$38="pvp",15,MAX(0.1,Skills!D8-IF(TRUE=TRUE,Inputs!$B$32,0)))*(1-IF(AND(ArtifactsInput!$M$27,Inputs!$B$4="Chapter Hunt"),CHOOSE(ArtifactsInput!$N$27+1,20,24,28,32,36,40),0)/100))/B2827),0)</f>
        <v/>
      </c>
      <c r="R2793">
        <f>IF(AND(Inputs!$B$38&lt;&gt;"pvp",Inputs!$B$43&gt;0),IF(MAX(0,Inputs!$B$43-B2823)&lt;=0,0,(INT(MAX(0,Inputs!$B$43-B2823)/((IF(Inputs!$B$38="pvp",15,MAX(0.1,Skills!D8-IF(TRUE=TRUE,Inputs!$B$32,0)))*(1-IF(AND(ArtifactsInput!$M$27,Inputs!$B$4="Chapter Hunt"),CHOOSE(ArtifactsInput!$N$27+1,20,24,28,32,36,40),0)/100))/B2827))+1)),0)</f>
        <v/>
      </c>
      <c r="S2793">
        <f>IFERROR(O2793/N2793,0)</f>
        <v/>
      </c>
      <c r="T2793">
        <f>IF(C2793,(H2793*N2793*IF(AND(Inputs!$B$38&lt;&gt;"pvp",Inputs!$B$43&gt;0),((Skills!G8*((R2793-1)*IF(Skills!H8&gt;0,INT(Skills!I8/Skills!H8+0.000000001),1)+IF(Skills!H8&gt;0,INT(MIN(Skills!I8,MAX(0,MAX(0,Inputs!$B$43-B2823)-((R2793-1)*((IF(Inputs!$B$38="pvp",15,MAX(0.1,Skills!D8-IF(TRUE=TRUE,Inputs!$B$32,0)))*(1-IF(AND(ArtifactsInput!$M$27,Inputs!$B$4="Chapter Hunt"),CHOOSE(ArtifactsInput!$N$27+1,20,24,28,32,36,40),0)/100))/B2827))))/Skills!H8+0.000000001),1)))/Inputs!$B$43),G2793*Q2793))*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Hunt"),CHOOSE(ArtifactsInput!$N$35+1,15,18,21,24,27,30)*(1-EXP(-(0.2*B2818)*5)),0)+IF(AND(ArtifactsInput!$M$22,Inputs!$B$4&lt;&gt;"Chapter Hunt"),CHOOSE(ArtifactsInput!$N$22+1,10,12,14,16,18,20)*((0*(((0.15*B2818*5))^0/1)+1*(((0.15*B2818*5))^1/1)+2*(((0.15*B2818*5))^2/2)+3*(((0.15*B2818*5))^3/6)+4*(((0.15*B2818*5))^4/24)+5*(((0.15*B2818*5))^5/120))/((((0.15*B2818*5))^0/1)+(((0.15*B2818*5))^1/1)+(((0.15*B2818*5))^2/2)+(((0.15*B2818*5))^3/6)+(((0.15*B2818*5))^4/24)+(((0.15*B2818*5))^5/120))),0))+IF(Inputs!$B$3&gt;=54,9*(C2788=TRUE)*MIN(1,8*(1+Inputs!$B$34/100)*Q2788),0))/100)*((((5000/(6000+Inputs!$B$42*(1-(100*(1-(1-(100*(1-(1-(Inputs!$B$19+0)/100)*(1-CHOOSE(ArtifactsInput!$N$40+1,5,6,7,8,9,10)/100)^(IF(ArtifactsInput!$M$40,FALSE,TRUE)-ArtifactsInput!$M$40)))/100)*(1-IF(IF(ArtifactsInput!$M$40,FALSE,TRUE),CHOOSE(ArtifactsInput!$N$40+1,5,6,7,8,9,10),0)/100)^IF(Inputs!$B$38="pvp",1,2)))/100)))/(5000/(6000+Inputs!$B$42*(1-(100*(1-(1-(Inputs!$B$19+0)/100)*(1-CHOOSE(ArtifactsInput!$N$40+1,5,6,7,8,9,10)/100)^(IF(ArtifactsInput!$M$40,FALSE,TRUE)-ArtifactsInput!$M$40)))/100))))*((L2793*(1-MIN(100,(Inputs!$B$9+((C2804=TRUE)*(F2804-Calc!F19))+B2816+(ArtifactsInput!$M$24-ArtifactsInput!$M$24)*CHOOSE(ArtifactsInput!$N$24+1,10,12,14,16,18,20)+(IF(AND(Inputs!$B$38&lt;&gt;"pvp",Inputs!$B$43=0),1,IF(IF(Inputs!$B$38="pvp",15,Inputs!$B$43)-(B2823)&lt;=0,1,MAX(0,IF(Inputs!$B$38="pvp",15,Inputs!$B$43)-MAX(5,B2823))/(IF(Inputs!$B$38="pvp",15,Inputs!$B$43)-(B2823))))*IF(AND(ArtifactsInput!$M$42,((Inputs!$B$9+((C2804=TRUE)*(F2804-Calc!F19))+B2816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2793*(MIN(100,(Inputs!$B$9+((C2804=TRUE)*(F2804-Calc!F19))+B2816+(ArtifactsInput!$M$24-ArtifactsInput!$M$24)*CHOOSE(ArtifactsInput!$N$24+1,10,12,14,16,18,20)+(IF(AND(Inputs!$B$38&lt;&gt;"pvp",Inputs!$B$43=0),1,IF(IF(Inputs!$B$38="pvp",15,Inputs!$B$43)-(B2823)&lt;=0,1,MAX(0,IF(Inputs!$B$38="pvp",15,Inputs!$B$43)-MAX(5,B2823))/(IF(Inputs!$B$38="pvp",15,Inputs!$B$43)-(B2823))))*IF(AND(ArtifactsInput!$M$42,((Inputs!$B$9+((C2804=TRUE)*(F2804-Calc!F19))+B2816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2793*(1-MIN(100,(Inputs!$B$9+((C2804=TRUE)*(F2804-Calc!F19))+B2816+(ArtifactsInput!$M$24-ArtifactsInput!$M$24)*CHOOSE(ArtifactsInput!$N$24+1,10,12,14,16,18,20)+(IF(AND(Inputs!$B$38&lt;&gt;"pvp",Inputs!$B$43=0),1,IF(IF(Inputs!$B$38="pvp",15,Inputs!$B$43)-(B2823)&lt;=0,1,MAX(0,IF(Inputs!$B$38="pvp",15,Inputs!$B$43)-MAX(5,B2823))/(IF(Inputs!$B$38="pvp",15,Inputs!$B$43)-(B2823))))*IF(AND(ArtifactsInput!$M$42,((Inputs!$B$9+((C2804=TRUE)*(F2804-Calc!F19))+B2816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2793*(MIN(100,(Inputs!$B$9+((C2804=TRUE)*(F2804-Calc!F19))+B2816+(ArtifactsInput!$M$24-ArtifactsInput!$M$24)*CHOOSE(ArtifactsInput!$N$24+1,10,12,14,16,18,20)+(IF(AND(Inputs!$B$38&lt;&gt;"pvp",Inputs!$B$43=0),1,IF(IF(Inputs!$B$38="pvp",15,Inputs!$B$43)-(B2823)&lt;=0,1,MAX(0,IF(Inputs!$B$38="pvp",15,Inputs!$B$43)-MAX(5,B2823))/(IF(Inputs!$B$38="pvp",15,Inputs!$B$43)-(B2823))))*IF(AND(ArtifactsInput!$M$42,((Inputs!$B$9+((C2804=TRUE)*(F2804-Calc!F19))+B2816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793">
        <f>IF(C2793,(H2793*N2793*IF(AND(Inputs!$B$38&lt;&gt;"pvp",Inputs!$B$43&gt;0),((Skills!G8*((R2793-1)*IF(Skills!H8&gt;0,INT(Skills!I8/Skills!H8+0.000000001),1)+IF(Skills!H8&gt;0,INT(MIN(Skills!I8,MAX(0,MAX(0,Inputs!$B$43-B2823)-((R2793-1)*((IF(Inputs!$B$38="pvp",15,MAX(0.1,Skills!D8-IF(TRUE=TRUE,Inputs!$B$32,0)))*(1-IF(AND(ArtifactsInput!$M$27,Inputs!$B$4="Chapter Hunt"),CHOOSE(ArtifactsInput!$N$27+1,20,24,28,32,36,40),0)/100))/B2827))))/Skills!H8+0.000000001),1)))/Inputs!$B$43),G2793*Q2793))*IF(Inputs!$B$38="pvp",1,(1+(Inputs!$B$21+Skills!Q8+(IF(ArtifactsInput!$M$33,CHOOSE(ArtifactsInput!$N$33+1,30,36,42,48,54,60),0))+(IF(AND(ArtifactsInput!$M$35,Inputs!$B$4&lt;&gt;"Chapter Hunt"),CHOOSE(ArtifactsInput!$N$35+1,15,18,21,24,27,30)*(1-EXP(-(0.2*B2818)*5)),0)+IF(AND(ArtifactsInput!$M$22,Inputs!$B$4&lt;&gt;"Chapter Hunt"),CHOOSE(ArtifactsInput!$N$22+1,10,12,14,16,18,20)*((0*(((0.15*B2818*5))^0/1)+1*(((0.15*B2818*5))^1/1)+2*(((0.15*B2818*5))^2/2)+3*(((0.15*B2818*5))^3/6)+4*(((0.15*B2818*5))^4/24)+5*(((0.15*B2818*5))^5/120))/((((0.15*B2818*5))^0/1)+(((0.15*B2818*5))^1/1)+(((0.15*B2818*5))^2/2)+(((0.15*B2818*5))^3/6)+(((0.15*B2818*5))^4/24)+(((0.15*B2818*5))^5/120))),0))+IF(Inputs!$B$3&gt;=54,9*(C2788=TRUE)*MIN(1,8*(1+Inputs!$B$34/100)*Q2788),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94">
      <c r="A2794">
        <f>Skills!A9</f>
        <v/>
      </c>
      <c r="B2794">
        <f>Skills!B9</f>
        <v/>
      </c>
      <c r="C2794">
        <f>Inputs!$B$3&gt;=105</f>
        <v/>
      </c>
      <c r="D2794">
        <f>IF(Skills!C9=1,60+Inputs!$B$25+Inputs!$B$29,IF(Skills!C9=2,90+Inputs!$B$26+Inputs!$B$29,IF(Skills!C9=3,120+Inputs!$B$27+Inputs!$B$29,MAX(0,(Inputs!$B$3-100)*3)+Inputs!$B$28+Inputs!$B$29)))</f>
        <v/>
      </c>
      <c r="E2794">
        <f>INDEX(FactorTable!$B$2:$Y$301, MATCH(ROUND(MIN(300,MAX(1,D2794)),0), FactorTable!$A$2:$A$301,0), Skills!M9+1)</f>
        <v/>
      </c>
      <c r="F2794">
        <f>IF(Skills!N9=TRUE,(Skills!L9/10)*(E2794/1000),Skills!L9/10)+Skills!O9</f>
        <v/>
      </c>
      <c r="G2794">
        <f>Skills!G9*IF(Skills!H9&gt;0,INT(IF(Inputs!$B$38="pvp",MIN(Skills!I9,15),Skills!I9)/Skills!H9+0.000000001),1)</f>
        <v/>
      </c>
      <c r="H2794">
        <f>1-(1-Skills!J9/100)^Skills!K9</f>
        <v/>
      </c>
      <c r="I2794" t="inlineStr">
        <is>
          <t>1</t>
        </is>
      </c>
      <c r="J2794">
        <f>((Inputs!$B$6*(1+Inputs!$B$7/100))+(((Inputs!$B$12*(1+Inputs!$B$13/100))-(Inputs!$B$12*(1+Inputs!$B$13/100)))+0.25*(Inputs!$B$14-Inputs!$B$14))*(1+Inputs!$B$7/100))*(F2794/100)</f>
        <v/>
      </c>
      <c r="K2794">
        <f>J2794*(1+((Inputs!$B$12*(1+Inputs!$B$13/100))*0.01+Inputs!$B$14*0.0025)/100)*(1+Inputs!$B$15/100)*(1+Inputs!$B$16/100)*(5000/(6000+Inputs!$B$42*(1-(100*(1-(1-(Inputs!$B$19+0)/100)*(1-CHOOSE(ArtifactsInput!$N$40+1,5,6,7,8,9,10)/100)^(IF(ArtifactsInput!$M$40,FALSE,TRUE)-ArtifactsInput!$M$40)))/100)))*(1+(Inputs!$B$24+((C2811=TRUE)*(F2811-Calc!F26))+B2822)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IGHT_LEGS_EASTON",Inputs!$B$17+((C2808=TRUE)*(F2808-Calc!F23))+((C2812=TRUE)*(F2812-Calc!F27))+((IF(AND(Inputs!$B$38&lt;&gt;"pvp",Inputs!$B$43=0),1,IF(IF(Inputs!$B$38="pvp",15,Inputs!$B$43)-(B2823)&lt;=0,1,MAX(0,IF(Inputs!$B$38="pvp",15,Inputs!$B$43)-MAX(5,B2823))/(IF(Inputs!$B$38="pvp",15,Inputs!$B$43)-(B2823))))*(IF(AND(ArtifactsInput!$M$42,((Inputs!$B$9+((C2804=TRUE)*(F2804-Calc!F19))+B2816+(ArtifactsInput!$M$24-ArtifactsInput!$M$24)*CHOOSE(ArtifactsInput!$N$24+1,10,12,14,16,18,20)+IF(ArtifactsInput!$M$10,CHOOSE(ArtifactsInput!$N$10+1,15,18,21,24,27,30)*(IF(Inputs!$B$38="pvp",MIN(15,15)/15,IF(AND(Inputs!$B$38&lt;&gt;"pvp",Inputs!$B$43&gt;0),MIN(15,Inputs!$B$43)/(Inputs!$B$43),0))),0)))&gt;=100),MIN(100,((Inputs!$B$9+((C2804=TRUE)*(F2804-Calc!F19))+B2816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2823)&lt;=0,1,MAX(0,IF(Inputs!$B$38="pvp",15,Inputs!$B$43)-MAX(5,B2823))/(IF(Inputs!$B$38="pvp",15,Inputs!$B$43)-(B2823))))*IF(AND(ArtifactsInput!$M$42,((Inputs!$B$9+((C2804=TRUE)*(F2804-Calc!F19))+B2816+(ArtifactsInput!$M$24-ArtifactsInput!$M$24)*CHOOSE(ArtifactsInput!$N$24+1,10,12,14,16,18,20)+IF(ArtifactsInput!$M$10,CHOOSE(ArtifactsInput!$N$10+1,15,18,21,24,27,30)*(IF(Inputs!$B$38="pvp",MIN(15,15)/15,IF(AND(Inputs!$B$38&lt;&gt;"pvp",Inputs!$B$43&gt;0),MIN(15,Inputs!$B$43)/(Inputs!$B$43),0))),0)))&gt;=100),CHOOSE(ArtifactsInput!$N$42+1,40,48,56,64,72,80),0))))/100)*((1+(((C2802=TRUE)*F2802*5/7)+((C2809=TRUE)*(F2809-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IF(ArtifactsInput!$M$40,FALSE,TRUE),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2794)</f>
        <v/>
      </c>
      <c r="L2794">
        <f>K2794*(MIN(Inputs!$B$22+((C2807=TRUE)*(F2807-Calc!F22)),(Inputs!$B$23+0+(IF(ArtifactsInput!$M$15,CHOOSE(ArtifactsInput!$N$15+1,25,30,35,40,45,50)/100*(Inputs!$B$11-Inputs!$B$11),0))))/100+(Inputs!$B$23+0+(IF(ArtifactsInput!$M$15,CHOOSE(ArtifactsInput!$N$15+1,25,30,35,40,45,50)/100*(Inputs!$B$11-Inputs!$B$11),0)))/100)/2</f>
        <v/>
      </c>
      <c r="M2794">
        <f>L2794*(1+(Inputs!$B$10+((C2810=TRUE)*(F2810-Calc!F25))+B2821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94">
        <f>L2794*(1-MIN((Inputs!$B$9+((C2804=TRUE)*(F2804-Calc!F19))+B2816+(ArtifactsInput!$M$24-ArtifactsInput!$M$24)*CHOOSE(ArtifactsInput!$N$24+1,10,12,14,16,18,20)+(IF(AND(Inputs!$B$38&lt;&gt;"pvp",Inputs!$B$43=0),1,IF(IF(Inputs!$B$38="pvp",15,Inputs!$B$43)-(B2823)&lt;=0,1,MAX(0,IF(Inputs!$B$38="pvp",15,Inputs!$B$43)-MAX(5,B2823))/(IF(Inputs!$B$38="pvp",15,Inputs!$B$43)-(B2823))))*IF(AND(ArtifactsInput!$M$42,((Inputs!$B$9+((C2804=TRUE)*(F2804-Calc!F19))+B2816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2794*(MIN((Inputs!$B$9+((C2804=TRUE)*(F2804-Calc!F19))+B2816+(ArtifactsInput!$M$24-ArtifactsInput!$M$24)*CHOOSE(ArtifactsInput!$N$24+1,10,12,14,16,18,20)+(IF(AND(Inputs!$B$38&lt;&gt;"pvp",Inputs!$B$43=0),1,IF(IF(Inputs!$B$38="pvp",15,Inputs!$B$43)-(B2823)&lt;=0,1,MAX(0,IF(Inputs!$B$38="pvp",15,Inputs!$B$43)-MAX(5,B2823))/(IF(Inputs!$B$38="pvp",15,Inputs!$B$43)-(B2823))))*IF(AND(ArtifactsInput!$M$42,((Inputs!$B$9+((C2804=TRUE)*(F2804-Calc!F19))+B2816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94">
        <f>(1-Summary!$B$11)*T2794+Summary!$B$11*V2794</f>
        <v/>
      </c>
      <c r="P2794">
        <f>IF(B2826=0,0,O2794/B2826)</f>
        <v/>
      </c>
      <c r="Q2794">
        <f>IFERROR(1/(IF(Inputs!$B$38="pvp",15,MAX(0.1,Skills!D9-IF(TRUE=TRUE,Inputs!$B$32,0)))*(1-IF(AND(ArtifactsInput!$M$27,Inputs!$B$4="Chapter Hunt"),CHOOSE(ArtifactsInput!$N$27+1,20,24,28,32,36,40),0)/100)),0)</f>
        <v/>
      </c>
      <c r="R2794">
        <f>IF(AND(Inputs!$B$38&lt;&gt;"pvp",Inputs!$B$43&gt;0),IF(MAX(0,Inputs!$B$43-B2823)&lt;=0,0,(INT(MAX(0,Inputs!$B$43-B2823)/(IF(Inputs!$B$38="pvp",15,MAX(0.1,Skills!D9-IF(TRUE=TRUE,Inputs!$B$32,0)))*(1-IF(AND(ArtifactsInput!$M$27,Inputs!$B$4="Chapter Hunt"),CHOOSE(ArtifactsInput!$N$27+1,20,24,28,32,36,40),0)/100)))+1)),0)</f>
        <v/>
      </c>
      <c r="S2794">
        <f>IFERROR(O2794/N2794,0)</f>
        <v/>
      </c>
      <c r="T2794">
        <f>IF(C2794,(H2794*N2794*IF(AND(Inputs!$B$38&lt;&gt;"pvp",Inputs!$B$43&gt;0),((Skills!G9*((R2794-1)*IF(Skills!H9&gt;0,INT(Skills!I9/Skills!H9+0.000000001),1)+IF(Skills!H9&gt;0,INT(MIN(Skills!I9,MAX(0,MAX(0,Inputs!$B$43-B2823)-((R2794-1)*(IF(Inputs!$B$38="pvp",15,MAX(0.1,Skills!D9-IF(TRUE=TRUE,Inputs!$B$32,0)))*(1-IF(AND(ArtifactsInput!$M$27,Inputs!$B$4="Chapter Hunt"),CHOOSE(ArtifactsInput!$N$27+1,20,24,28,32,36,40),0)/100)))))/Skills!H9+0.000000001),1)))/Inputs!$B$43),G2794*Q2794))*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Hunt"),CHOOSE(ArtifactsInput!$N$35+1,15,18,21,24,27,30)*(1-EXP(-(0.2*B2818)*5)),0)+IF(AND(ArtifactsInput!$M$22,Inputs!$B$4&lt;&gt;"Chapter Hunt"),CHOOSE(ArtifactsInput!$N$22+1,10,12,14,16,18,20)*((0*(((0.15*B2818*5))^0/1)+1*(((0.15*B2818*5))^1/1)+2*(((0.15*B2818*5))^2/2)+3*(((0.15*B2818*5))^3/6)+4*(((0.15*B2818*5))^4/24)+5*(((0.15*B2818*5))^5/120))/((((0.15*B2818*5))^0/1)+(((0.15*B2818*5))^1/1)+(((0.15*B2818*5))^2/2)+(((0.15*B2818*5))^3/6)+(((0.15*B2818*5))^4/24)+(((0.15*B2818*5))^5/120))),0))+IF(Inputs!$B$3&gt;=54,9*(C2788=TRUE)*MIN(1,8*(1+Inputs!$B$34/100)*Q2788),0))/100)*((((5000/(6000+Inputs!$B$42*(1-(100*(1-(1-(100*(1-(1-(Inputs!$B$19+0)/100)*(1-CHOOSE(ArtifactsInput!$N$40+1,5,6,7,8,9,10)/100)^(IF(ArtifactsInput!$M$40,FALSE,TRUE)-ArtifactsInput!$M$40)))/100)*(1-IF(IF(ArtifactsInput!$M$40,FALSE,TRUE),CHOOSE(ArtifactsInput!$N$40+1,5,6,7,8,9,10),0)/100)^IF(Inputs!$B$38="pvp",1,2)))/100)))/(5000/(6000+Inputs!$B$42*(1-(100*(1-(1-(Inputs!$B$19+0)/100)*(1-CHOOSE(ArtifactsInput!$N$40+1,5,6,7,8,9,10)/100)^(IF(ArtifactsInput!$M$40,FALSE,TRUE)-ArtifactsInput!$M$40)))/100))))*((L2794*(1-MIN(100,(Inputs!$B$9+((C2804=TRUE)*(F2804-Calc!F19))+B2816+(ArtifactsInput!$M$24-ArtifactsInput!$M$24)*CHOOSE(ArtifactsInput!$N$24+1,10,12,14,16,18,20)+(IF(AND(Inputs!$B$38&lt;&gt;"pvp",Inputs!$B$43=0),1,IF(IF(Inputs!$B$38="pvp",15,Inputs!$B$43)-(B2823)&lt;=0,1,MAX(0,IF(Inputs!$B$38="pvp",15,Inputs!$B$43)-MAX(5,B2823))/(IF(Inputs!$B$38="pvp",15,Inputs!$B$43)-(B2823))))*IF(AND(ArtifactsInput!$M$42,((Inputs!$B$9+((C2804=TRUE)*(F2804-Calc!F19))+B2816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2794*(MIN(100,(Inputs!$B$9+((C2804=TRUE)*(F2804-Calc!F19))+B2816+(ArtifactsInput!$M$24-ArtifactsInput!$M$24)*CHOOSE(ArtifactsInput!$N$24+1,10,12,14,16,18,20)+(IF(AND(Inputs!$B$38&lt;&gt;"pvp",Inputs!$B$43=0),1,IF(IF(Inputs!$B$38="pvp",15,Inputs!$B$43)-(B2823)&lt;=0,1,MAX(0,IF(Inputs!$B$38="pvp",15,Inputs!$B$43)-MAX(5,B2823))/(IF(Inputs!$B$38="pvp",15,Inputs!$B$43)-(B2823))))*IF(AND(ArtifactsInput!$M$42,((Inputs!$B$9+((C2804=TRUE)*(F2804-Calc!F19))+B2816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2794*(1-MIN(100,(Inputs!$B$9+((C2804=TRUE)*(F2804-Calc!F19))+B2816+(ArtifactsInput!$M$24-ArtifactsInput!$M$24)*CHOOSE(ArtifactsInput!$N$24+1,10,12,14,16,18,20)+(IF(AND(Inputs!$B$38&lt;&gt;"pvp",Inputs!$B$43=0),1,IF(IF(Inputs!$B$38="pvp",15,Inputs!$B$43)-(B2823)&lt;=0,1,MAX(0,IF(Inputs!$B$38="pvp",15,Inputs!$B$43)-MAX(5,B2823))/(IF(Inputs!$B$38="pvp",15,Inputs!$B$43)-(B2823))))*IF(AND(ArtifactsInput!$M$42,((Inputs!$B$9+((C2804=TRUE)*(F2804-Calc!F19))+B2816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2794*(MIN(100,(Inputs!$B$9+((C2804=TRUE)*(F2804-Calc!F19))+B2816+(ArtifactsInput!$M$24-ArtifactsInput!$M$24)*CHOOSE(ArtifactsInput!$N$24+1,10,12,14,16,18,20)+(IF(AND(Inputs!$B$38&lt;&gt;"pvp",Inputs!$B$43=0),1,IF(IF(Inputs!$B$38="pvp",15,Inputs!$B$43)-(B2823)&lt;=0,1,MAX(0,IF(Inputs!$B$38="pvp",15,Inputs!$B$43)-MAX(5,B2823))/(IF(Inputs!$B$38="pvp",15,Inputs!$B$43)-(B2823))))*IF(AND(ArtifactsInput!$M$42,((Inputs!$B$9+((C2804=TRUE)*(F2804-Calc!F19))+B2816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794">
        <f>IF(C2794,(H2794*N2794*IF(AND(Inputs!$B$38&lt;&gt;"pvp",Inputs!$B$43&gt;0),((Skills!G9*((R2794-1)*IF(Skills!H9&gt;0,INT(Skills!I9/Skills!H9+0.000000001),1)+IF(Skills!H9&gt;0,INT(MIN(Skills!I9,MAX(0,MAX(0,Inputs!$B$43-B2823)-((R2794-1)*(IF(Inputs!$B$38="pvp",15,MAX(0.1,Skills!D9-IF(TRUE=TRUE,Inputs!$B$32,0)))*(1-IF(AND(ArtifactsInput!$M$27,Inputs!$B$4="Chapter Hunt"),CHOOSE(ArtifactsInput!$N$27+1,20,24,28,32,36,40),0)/100)))))/Skills!H9+0.000000001),1)))/Inputs!$B$43),G2794*Q2794))*IF(Inputs!$B$38="pvp",1,(1+(Inputs!$B$21+Skills!Q9+(IF(ArtifactsInput!$M$33,CHOOSE(ArtifactsInput!$N$33+1,30,36,42,48,54,60),0))+(IF(AND(ArtifactsInput!$M$35,Inputs!$B$4&lt;&gt;"Chapter Hunt"),CHOOSE(ArtifactsInput!$N$35+1,15,18,21,24,27,30)*(1-EXP(-(0.2*B2818)*5)),0)+IF(AND(ArtifactsInput!$M$22,Inputs!$B$4&lt;&gt;"Chapter Hunt"),CHOOSE(ArtifactsInput!$N$22+1,10,12,14,16,18,20)*((0*(((0.15*B2818*5))^0/1)+1*(((0.15*B2818*5))^1/1)+2*(((0.15*B2818*5))^2/2)+3*(((0.15*B2818*5))^3/6)+4*(((0.15*B2818*5))^4/24)+5*(((0.15*B2818*5))^5/120))/((((0.15*B2818*5))^0/1)+(((0.15*B2818*5))^1/1)+(((0.15*B2818*5))^2/2)+(((0.15*B2818*5))^3/6)+(((0.15*B2818*5))^4/24)+(((0.15*B2818*5))^5/120))),0))+IF(Inputs!$B$3&gt;=54,9*(C2788=TRUE)*MIN(1,8*(1+Inputs!$B$34/100)*Q2788),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95">
      <c r="A2795">
        <f>Skills!A10</f>
        <v/>
      </c>
      <c r="B2795">
        <f>Skills!B10</f>
        <v/>
      </c>
      <c r="C2795">
        <f>Inputs!$B$3&gt;=113</f>
        <v/>
      </c>
      <c r="D2795">
        <f>IF(Skills!C10=1,60+Inputs!$B$25+Inputs!$B$29,IF(Skills!C10=2,90+Inputs!$B$26+Inputs!$B$29,IF(Skills!C10=3,120+Inputs!$B$27+Inputs!$B$29,MAX(0,(Inputs!$B$3-100)*3)+Inputs!$B$28+Inputs!$B$29)))</f>
        <v/>
      </c>
      <c r="E2795">
        <f>INDEX(FactorTable!$B$2:$Y$301, MATCH(ROUND(MIN(300,MAX(1,D2795)),0), FactorTable!$A$2:$A$301,0), Skills!M10+1)</f>
        <v/>
      </c>
      <c r="F2795">
        <f>IF(Skills!N10=TRUE,(Skills!L10/10)*(E2795/1000),Skills!L10/10)+Skills!O10</f>
        <v/>
      </c>
      <c r="G2795">
        <f>Skills!G10*IF(Skills!H10&gt;0,INT(IF(Inputs!$B$38="pvp",MIN(Skills!I10,15),Skills!I10)/Skills!H10+0.000000001),1)</f>
        <v/>
      </c>
      <c r="H2795">
        <f>1-(1-Skills!J10/100)^Skills!K10</f>
        <v/>
      </c>
      <c r="I2795" t="inlineStr">
        <is>
          <t>1</t>
        </is>
      </c>
      <c r="J2795">
        <f>((Inputs!$B$6*(1+Inputs!$B$7/100))+(((Inputs!$B$12*(1+Inputs!$B$13/100))-(Inputs!$B$12*(1+Inputs!$B$13/100)))+0.25*(Inputs!$B$14-Inputs!$B$14))*(1+Inputs!$B$7/100))*(F2795/100)</f>
        <v/>
      </c>
      <c r="K2795">
        <f>J2795*(1+((Inputs!$B$12*(1+Inputs!$B$13/100))*0.01+Inputs!$B$14*0.0025)/100)*(1+Inputs!$B$15/100)*(1+Inputs!$B$16/100)*(5000/(6000+Inputs!$B$42*(1-(100*(1-(1-(Inputs!$B$19+0)/100)*(1-CHOOSE(ArtifactsInput!$N$40+1,5,6,7,8,9,10)/100)^(IF(ArtifactsInput!$M$40,FALSE,TRUE)-ArtifactsInput!$M$40)))/100)))*(1+(Inputs!$B$24+((C2811=TRUE)*(F2811-Calc!F26))+B2822)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IGHT_LEGS_EASTON",Inputs!$B$17+((C2808=TRUE)*(F2808-Calc!F23))+((C2812=TRUE)*(F2812-Calc!F27))+((IF(AND(Inputs!$B$38&lt;&gt;"pvp",Inputs!$B$43=0),1,IF(IF(Inputs!$B$38="pvp",15,Inputs!$B$43)-(B2823)&lt;=0,1,MAX(0,IF(Inputs!$B$38="pvp",15,Inputs!$B$43)-MAX(5,B2823))/(IF(Inputs!$B$38="pvp",15,Inputs!$B$43)-(B2823))))*(IF(AND(ArtifactsInput!$M$42,((Inputs!$B$9+((C2804=TRUE)*(F2804-Calc!F19))+B2816+(ArtifactsInput!$M$24-ArtifactsInput!$M$24)*CHOOSE(ArtifactsInput!$N$24+1,10,12,14,16,18,20)+IF(ArtifactsInput!$M$10,CHOOSE(ArtifactsInput!$N$10+1,15,18,21,24,27,30)*(IF(Inputs!$B$38="pvp",MIN(15,15)/15,IF(AND(Inputs!$B$38&lt;&gt;"pvp",Inputs!$B$43&gt;0),MIN(15,Inputs!$B$43)/(Inputs!$B$43),0))),0)))&gt;=100),MIN(100,((Inputs!$B$9+((C2804=TRUE)*(F2804-Calc!F19))+B2816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2823)&lt;=0,1,MAX(0,IF(Inputs!$B$38="pvp",15,Inputs!$B$43)-MAX(5,B2823))/(IF(Inputs!$B$38="pvp",15,Inputs!$B$43)-(B2823))))*IF(AND(ArtifactsInput!$M$42,((Inputs!$B$9+((C2804=TRUE)*(F2804-Calc!F19))+B2816+(ArtifactsInput!$M$24-ArtifactsInput!$M$24)*CHOOSE(ArtifactsInput!$N$24+1,10,12,14,16,18,20)+IF(ArtifactsInput!$M$10,CHOOSE(ArtifactsInput!$N$10+1,15,18,21,24,27,30)*(IF(Inputs!$B$38="pvp",MIN(15,15)/15,IF(AND(Inputs!$B$38&lt;&gt;"pvp",Inputs!$B$43&gt;0),MIN(15,Inputs!$B$43)/(Inputs!$B$43),0))),0)))&gt;=100),CHOOSE(ArtifactsInput!$N$42+1,40,48,56,64,72,80),0))))/100)*((1+(((C2802=TRUE)*F2802*5/7)+((C2809=TRUE)*(F2809-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IF(ArtifactsInput!$M$40,FALSE,TRUE),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2795)</f>
        <v/>
      </c>
      <c r="L2795">
        <f>K2795*(MIN(Inputs!$B$22+((C2807=TRUE)*(F2807-Calc!F22)),(Inputs!$B$23+0+(IF(ArtifactsInput!$M$15,CHOOSE(ArtifactsInput!$N$15+1,25,30,35,40,45,50)/100*(Inputs!$B$11-Inputs!$B$11),0))))/100+(Inputs!$B$23+0+(IF(ArtifactsInput!$M$15,CHOOSE(ArtifactsInput!$N$15+1,25,30,35,40,45,50)/100*(Inputs!$B$11-Inputs!$B$11),0)))/100)/2</f>
        <v/>
      </c>
      <c r="M2795">
        <f>L2795*(1+(Inputs!$B$10+((C2810=TRUE)*(F2810-Calc!F25))+B2821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95">
        <f>L2795*(1-MIN((Inputs!$B$9+((C2804=TRUE)*(F2804-Calc!F19))+B2816+(ArtifactsInput!$M$24-ArtifactsInput!$M$24)*CHOOSE(ArtifactsInput!$N$24+1,10,12,14,16,18,20)+(IF(AND(Inputs!$B$38&lt;&gt;"pvp",Inputs!$B$43=0),1,IF(IF(Inputs!$B$38="pvp",15,Inputs!$B$43)-(B2823)&lt;=0,1,MAX(0,IF(Inputs!$B$38="pvp",15,Inputs!$B$43)-MAX(5,B2823))/(IF(Inputs!$B$38="pvp",15,Inputs!$B$43)-(B2823))))*IF(AND(ArtifactsInput!$M$42,((Inputs!$B$9+((C2804=TRUE)*(F2804-Calc!F19))+B2816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2795*(MIN((Inputs!$B$9+((C2804=TRUE)*(F2804-Calc!F19))+B2816+(ArtifactsInput!$M$24-ArtifactsInput!$M$24)*CHOOSE(ArtifactsInput!$N$24+1,10,12,14,16,18,20)+(IF(AND(Inputs!$B$38&lt;&gt;"pvp",Inputs!$B$43=0),1,IF(IF(Inputs!$B$38="pvp",15,Inputs!$B$43)-(B2823)&lt;=0,1,MAX(0,IF(Inputs!$B$38="pvp",15,Inputs!$B$43)-MAX(5,B2823))/(IF(Inputs!$B$38="pvp",15,Inputs!$B$43)-(B2823))))*IF(AND(ArtifactsInput!$M$42,((Inputs!$B$9+((C2804=TRUE)*(F2804-Calc!F19))+B2816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95">
        <f>(1-Summary!$B$11)*T2795+Summary!$B$11*V2795</f>
        <v/>
      </c>
      <c r="P2795">
        <f>IF(B2826=0,0,O2795/B2826)</f>
        <v/>
      </c>
      <c r="Q2795" t="n">
        <v>0</v>
      </c>
      <c r="R2795" t="n">
        <v>0</v>
      </c>
      <c r="S2795">
        <f>IFERROR(O2795/N2795,0)</f>
        <v/>
      </c>
      <c r="T2795">
        <f>IF(C2795,((H2795*B2828)/(1+Skills!H10*H2795*B2828)*N2795)*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Hunt"),CHOOSE(ArtifactsInput!$N$35+1,15,18,21,24,27,30)*(1-EXP(-(0.2*B2818)*5)),0)+IF(AND(ArtifactsInput!$M$22,Inputs!$B$4&lt;&gt;"Chapter Hunt"),CHOOSE(ArtifactsInput!$N$22+1,10,12,14,16,18,20)*((0*(((0.15*B2818*5))^0/1)+1*(((0.15*B2818*5))^1/1)+2*(((0.15*B2818*5))^2/2)+3*(((0.15*B2818*5))^3/6)+4*(((0.15*B2818*5))^4/24)+5*(((0.15*B2818*5))^5/120))/((((0.15*B2818*5))^0/1)+(((0.15*B2818*5))^1/1)+(((0.15*B2818*5))^2/2)+(((0.15*B2818*5))^3/6)+(((0.15*B2818*5))^4/24)+(((0.15*B2818*5))^5/120))),0))+IF(Inputs!$B$3&gt;=54,9*(C2788=TRUE)*MIN(1,8*(1+Inputs!$B$34/100)*Q2788),0))/100)*((((5000/(6000+Inputs!$B$42*(1-(100*(1-(1-(100*(1-(1-(Inputs!$B$19+0)/100)*(1-CHOOSE(ArtifactsInput!$N$40+1,5,6,7,8,9,10)/100)^(IF(ArtifactsInput!$M$40,FALSE,TRUE)-ArtifactsInput!$M$40)))/100)*(1-IF(IF(ArtifactsInput!$M$40,FALSE,TRUE),CHOOSE(ArtifactsInput!$N$40+1,5,6,7,8,9,10),0)/100)^IF(Inputs!$B$38="pvp",1,2)))/100)))/(5000/(6000+Inputs!$B$42*(1-(100*(1-(1-(Inputs!$B$19+0)/100)*(1-CHOOSE(ArtifactsInput!$N$40+1,5,6,7,8,9,10)/100)^(IF(ArtifactsInput!$M$40,FALSE,TRUE)-ArtifactsInput!$M$40)))/100))))*((L2795*(1-MIN(100,(Inputs!$B$9+((C2804=TRUE)*(F2804-Calc!F19))+B2816+(ArtifactsInput!$M$24-ArtifactsInput!$M$24)*CHOOSE(ArtifactsInput!$N$24+1,10,12,14,16,18,20)+(IF(AND(Inputs!$B$38&lt;&gt;"pvp",Inputs!$B$43=0),1,IF(IF(Inputs!$B$38="pvp",15,Inputs!$B$43)-(B2823)&lt;=0,1,MAX(0,IF(Inputs!$B$38="pvp",15,Inputs!$B$43)-MAX(5,B2823))/(IF(Inputs!$B$38="pvp",15,Inputs!$B$43)-(B2823))))*IF(AND(ArtifactsInput!$M$42,((Inputs!$B$9+((C2804=TRUE)*(F2804-Calc!F19))+B2816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2795*(MIN(100,(Inputs!$B$9+((C2804=TRUE)*(F2804-Calc!F19))+B2816+(ArtifactsInput!$M$24-ArtifactsInput!$M$24)*CHOOSE(ArtifactsInput!$N$24+1,10,12,14,16,18,20)+(IF(AND(Inputs!$B$38&lt;&gt;"pvp",Inputs!$B$43=0),1,IF(IF(Inputs!$B$38="pvp",15,Inputs!$B$43)-(B2823)&lt;=0,1,MAX(0,IF(Inputs!$B$38="pvp",15,Inputs!$B$43)-MAX(5,B2823))/(IF(Inputs!$B$38="pvp",15,Inputs!$B$43)-(B2823))))*IF(AND(ArtifactsInput!$M$42,((Inputs!$B$9+((C2804=TRUE)*(F2804-Calc!F19))+B2816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2795*(1-MIN(100,(Inputs!$B$9+((C2804=TRUE)*(F2804-Calc!F19))+B2816+(ArtifactsInput!$M$24-ArtifactsInput!$M$24)*CHOOSE(ArtifactsInput!$N$24+1,10,12,14,16,18,20)+(IF(AND(Inputs!$B$38&lt;&gt;"pvp",Inputs!$B$43=0),1,IF(IF(Inputs!$B$38="pvp",15,Inputs!$B$43)-(B2823)&lt;=0,1,MAX(0,IF(Inputs!$B$38="pvp",15,Inputs!$B$43)-MAX(5,B2823))/(IF(Inputs!$B$38="pvp",15,Inputs!$B$43)-(B2823))))*IF(AND(ArtifactsInput!$M$42,((Inputs!$B$9+((C2804=TRUE)*(F2804-Calc!F19))+B2816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2795*(MIN(100,(Inputs!$B$9+((C2804=TRUE)*(F2804-Calc!F19))+B2816+(ArtifactsInput!$M$24-ArtifactsInput!$M$24)*CHOOSE(ArtifactsInput!$N$24+1,10,12,14,16,18,20)+(IF(AND(Inputs!$B$38&lt;&gt;"pvp",Inputs!$B$43=0),1,IF(IF(Inputs!$B$38="pvp",15,Inputs!$B$43)-(B2823)&lt;=0,1,MAX(0,IF(Inputs!$B$38="pvp",15,Inputs!$B$43)-MAX(5,B2823))/(IF(Inputs!$B$38="pvp",15,Inputs!$B$43)-(B2823))))*IF(AND(ArtifactsInput!$M$42,((Inputs!$B$9+((C2804=TRUE)*(F2804-Calc!F19))+B2816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795">
        <f>IF(C2795,((H2795*B2828)/(1+Skills!H10*H2795*B2828)*N2795)*IF(Inputs!$B$38="pvp",1,(1+(Inputs!$B$21+Skills!Q10+(IF(ArtifactsInput!$M$33,CHOOSE(ArtifactsInput!$N$33+1,30,36,42,48,54,60),0))+(IF(AND(ArtifactsInput!$M$35,Inputs!$B$4&lt;&gt;"Chapter Hunt"),CHOOSE(ArtifactsInput!$N$35+1,15,18,21,24,27,30)*(1-EXP(-(0.2*B2818)*5)),0)+IF(AND(ArtifactsInput!$M$22,Inputs!$B$4&lt;&gt;"Chapter Hunt"),CHOOSE(ArtifactsInput!$N$22+1,10,12,14,16,18,20)*((0*(((0.15*B2818*5))^0/1)+1*(((0.15*B2818*5))^1/1)+2*(((0.15*B2818*5))^2/2)+3*(((0.15*B2818*5))^3/6)+4*(((0.15*B2818*5))^4/24)+5*(((0.15*B2818*5))^5/120))/((((0.15*B2818*5))^0/1)+(((0.15*B2818*5))^1/1)+(((0.15*B2818*5))^2/2)+(((0.15*B2818*5))^3/6)+(((0.15*B2818*5))^4/24)+(((0.15*B2818*5))^5/120))),0))+IF(Inputs!$B$3&gt;=54,9*(C2788=TRUE)*MIN(1,8*(1+Inputs!$B$34/100)*Q2788),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96">
      <c r="A2796">
        <f>Skills!A11</f>
        <v/>
      </c>
      <c r="B2796">
        <f>Skills!B11</f>
        <v/>
      </c>
      <c r="C2796">
        <f>Inputs!$B$3&gt;=117</f>
        <v/>
      </c>
      <c r="D2796">
        <f>IF(Skills!C11=1,60+Inputs!$B$25+Inputs!$B$29,IF(Skills!C11=2,90+Inputs!$B$26+Inputs!$B$29,IF(Skills!C11=3,120+Inputs!$B$27+Inputs!$B$29,MAX(0,(Inputs!$B$3-100)*3)+Inputs!$B$28+Inputs!$B$29)))</f>
        <v/>
      </c>
      <c r="E2796">
        <f>INDEX(FactorTable!$B$2:$Y$301, MATCH(ROUND(MIN(300,MAX(1,D2796)),0), FactorTable!$A$2:$A$301,0), Skills!M11+1)</f>
        <v/>
      </c>
      <c r="F2796">
        <f>IF(Skills!N11=TRUE,(Skills!L11/10)*(E2796/1000),Skills!L11/10)+Skills!O11</f>
        <v/>
      </c>
      <c r="G2796">
        <f>Skills!G11*IF(Skills!H11&gt;0,INT(IF(Inputs!$B$38="pvp",MIN(Skills!I11,15),Skills!I11)/Skills!H11+0.000000001),1)</f>
        <v/>
      </c>
      <c r="H2796">
        <f>1-(1-Skills!J11/100)^Skills!K11</f>
        <v/>
      </c>
      <c r="I2796" t="inlineStr">
        <is>
          <t>1</t>
        </is>
      </c>
      <c r="J2796">
        <f>((Inputs!$B$6*(1+Inputs!$B$7/100))+(((Inputs!$B$12*(1+Inputs!$B$13/100))-(Inputs!$B$12*(1+Inputs!$B$13/100)))+0.25*(Inputs!$B$14-Inputs!$B$14))*(1+Inputs!$B$7/100))*(F2796/100)</f>
        <v/>
      </c>
      <c r="K2796">
        <f>J2796*(1+((Inputs!$B$12*(1+Inputs!$B$13/100))*0.01+Inputs!$B$14*0.0025)/100)*(1+Inputs!$B$15/100)*(1+Inputs!$B$16/100)*(5000/(6000+Inputs!$B$42*(1-(100*(1-(1-(Inputs!$B$19+0)/100)*(1-CHOOSE(ArtifactsInput!$N$40+1,5,6,7,8,9,10)/100)^(IF(ArtifactsInput!$M$40,FALSE,TRUE)-ArtifactsInput!$M$40)))/100)))*(1+(Inputs!$B$24+((C2811=TRUE)*(F2811-Calc!F26))+B2822)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IGHT_LEGS_EASTON",Inputs!$B$17+((C2808=TRUE)*(F2808-Calc!F23))+((C2812=TRUE)*(F2812-Calc!F27))+((IF(AND(Inputs!$B$38&lt;&gt;"pvp",Inputs!$B$43=0),1,IF(IF(Inputs!$B$38="pvp",15,Inputs!$B$43)-(B2823)&lt;=0,1,MAX(0,IF(Inputs!$B$38="pvp",15,Inputs!$B$43)-MAX(5,B2823))/(IF(Inputs!$B$38="pvp",15,Inputs!$B$43)-(B2823))))*(IF(AND(ArtifactsInput!$M$42,((Inputs!$B$9+((C2804=TRUE)*(F2804-Calc!F19))+B2816+(ArtifactsInput!$M$24-ArtifactsInput!$M$24)*CHOOSE(ArtifactsInput!$N$24+1,10,12,14,16,18,20)+IF(ArtifactsInput!$M$10,CHOOSE(ArtifactsInput!$N$10+1,15,18,21,24,27,30)*(IF(Inputs!$B$38="pvp",MIN(15,15)/15,IF(AND(Inputs!$B$38&lt;&gt;"pvp",Inputs!$B$43&gt;0),MIN(15,Inputs!$B$43)/(Inputs!$B$43),0))),0)))&gt;=100),MIN(100,((Inputs!$B$9+((C2804=TRUE)*(F2804-Calc!F19))+B2816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2823)&lt;=0,1,MAX(0,IF(Inputs!$B$38="pvp",15,Inputs!$B$43)-MAX(5,B2823))/(IF(Inputs!$B$38="pvp",15,Inputs!$B$43)-(B2823))))*IF(AND(ArtifactsInput!$M$42,((Inputs!$B$9+((C2804=TRUE)*(F2804-Calc!F19))+B2816+(ArtifactsInput!$M$24-ArtifactsInput!$M$24)*CHOOSE(ArtifactsInput!$N$24+1,10,12,14,16,18,20)+IF(ArtifactsInput!$M$10,CHOOSE(ArtifactsInput!$N$10+1,15,18,21,24,27,30)*(IF(Inputs!$B$38="pvp",MIN(15,15)/15,IF(AND(Inputs!$B$38&lt;&gt;"pvp",Inputs!$B$43&gt;0),MIN(15,Inputs!$B$43)/(Inputs!$B$43),0))),0)))&gt;=100),CHOOSE(ArtifactsInput!$N$42+1,40,48,56,64,72,80),0))))/100)*((1+(((C2802=TRUE)*F2802*5/7)+((C2809=TRUE)*(F2809-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IF(ArtifactsInput!$M$40,FALSE,TRUE),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2796)</f>
        <v/>
      </c>
      <c r="L2796">
        <f>K2796*(MIN(Inputs!$B$22+((C2807=TRUE)*(F2807-Calc!F22)),(Inputs!$B$23+0+(IF(ArtifactsInput!$M$15,CHOOSE(ArtifactsInput!$N$15+1,25,30,35,40,45,50)/100*(Inputs!$B$11-Inputs!$B$11),0))))/100+(Inputs!$B$23+0+(IF(ArtifactsInput!$M$15,CHOOSE(ArtifactsInput!$N$15+1,25,30,35,40,45,50)/100*(Inputs!$B$11-Inputs!$B$11),0)))/100)/2</f>
        <v/>
      </c>
      <c r="M2796">
        <f>L2796*(1+(Inputs!$B$10+((C2810=TRUE)*(F2810-Calc!F25))+B2821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96">
        <f>L2796*(1-MIN((Inputs!$B$9+((C2804=TRUE)*(F2804-Calc!F19))+B2816+(ArtifactsInput!$M$24-ArtifactsInput!$M$24)*CHOOSE(ArtifactsInput!$N$24+1,10,12,14,16,18,20)+(IF(AND(Inputs!$B$38&lt;&gt;"pvp",Inputs!$B$43=0),1,IF(IF(Inputs!$B$38="pvp",15,Inputs!$B$43)-(B2823)&lt;=0,1,MAX(0,IF(Inputs!$B$38="pvp",15,Inputs!$B$43)-MAX(5,B2823))/(IF(Inputs!$B$38="pvp",15,Inputs!$B$43)-(B2823))))*IF(AND(ArtifactsInput!$M$42,((Inputs!$B$9+((C2804=TRUE)*(F2804-Calc!F19))+B2816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2796*(MIN((Inputs!$B$9+((C2804=TRUE)*(F2804-Calc!F19))+B2816+(ArtifactsInput!$M$24-ArtifactsInput!$M$24)*CHOOSE(ArtifactsInput!$N$24+1,10,12,14,16,18,20)+(IF(AND(Inputs!$B$38&lt;&gt;"pvp",Inputs!$B$43=0),1,IF(IF(Inputs!$B$38="pvp",15,Inputs!$B$43)-(B2823)&lt;=0,1,MAX(0,IF(Inputs!$B$38="pvp",15,Inputs!$B$43)-MAX(5,B2823))/(IF(Inputs!$B$38="pvp",15,Inputs!$B$43)-(B2823))))*IF(AND(ArtifactsInput!$M$42,((Inputs!$B$9+((C2804=TRUE)*(F2804-Calc!F19))+B2816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96">
        <f>(1-Summary!$B$11)*T2796+Summary!$B$11*V2796</f>
        <v/>
      </c>
      <c r="P2796">
        <f>IF(B2826=0,0,O2796/B2826)</f>
        <v/>
      </c>
      <c r="Q2796">
        <f>IFERROR(1/((IF(Inputs!$B$38="pvp",15,MAX(0.1,Skills!D11-IF(TRUE=TRUE,Inputs!$B$32,0)))*(1-IF(AND(ArtifactsInput!$M$27,Inputs!$B$4="Chapter Hunt"),CHOOSE(ArtifactsInput!$N$27+1,20,24,28,32,36,40),0)/100))/B2827),0)</f>
        <v/>
      </c>
      <c r="R2796">
        <f>IF(AND(Inputs!$B$38&lt;&gt;"pvp",Inputs!$B$43&gt;0),IF(MAX(0,Inputs!$B$43-B2823)&lt;=0,0,(INT(MAX(0,Inputs!$B$43-B2823)/((IF(Inputs!$B$38="pvp",15,MAX(0.1,Skills!D11-IF(TRUE=TRUE,Inputs!$B$32,0)))*(1-IF(AND(ArtifactsInput!$M$27,Inputs!$B$4="Chapter Hunt"),CHOOSE(ArtifactsInput!$N$27+1,20,24,28,32,36,40),0)/100))/B2827))+1)),0)</f>
        <v/>
      </c>
      <c r="S2796">
        <f>IFERROR(O2796/N2796,0)</f>
        <v/>
      </c>
      <c r="T2796">
        <f>IF(C2796,(H2796*N2796*IF(AND(Inputs!$B$38&lt;&gt;"pvp",Inputs!$B$43&gt;0),((Skills!G11*((R2796-1)*IF(Skills!H11&gt;0,INT(Skills!I11/Skills!H11+0.000000001),1)+IF(Skills!H11&gt;0,INT(MIN(Skills!I11,MAX(0,MAX(0,Inputs!$B$43-B2823)-((R2796-1)*((IF(Inputs!$B$38="pvp",15,MAX(0.1,Skills!D11-IF(TRUE=TRUE,Inputs!$B$32,0)))*(1-IF(AND(ArtifactsInput!$M$27,Inputs!$B$4="Chapter Hunt"),CHOOSE(ArtifactsInput!$N$27+1,20,24,28,32,36,40),0)/100))/B2827))))/Skills!H11+0.000000001),1)))/Inputs!$B$43),G2796*Q2796))*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Hunt"),CHOOSE(ArtifactsInput!$N$35+1,15,18,21,24,27,30)*(1-EXP(-(0.2*B2818)*5)),0)+IF(AND(ArtifactsInput!$M$22,Inputs!$B$4&lt;&gt;"Chapter Hunt"),CHOOSE(ArtifactsInput!$N$22+1,10,12,14,16,18,20)*((0*(((0.15*B2818*5))^0/1)+1*(((0.15*B2818*5))^1/1)+2*(((0.15*B2818*5))^2/2)+3*(((0.15*B2818*5))^3/6)+4*(((0.15*B2818*5))^4/24)+5*(((0.15*B2818*5))^5/120))/((((0.15*B2818*5))^0/1)+(((0.15*B2818*5))^1/1)+(((0.15*B2818*5))^2/2)+(((0.15*B2818*5))^3/6)+(((0.15*B2818*5))^4/24)+(((0.15*B2818*5))^5/120))),0))+IF(Inputs!$B$3&gt;=54,9*(C2788=TRUE)*MIN(1,8*(1+Inputs!$B$34/100)*Q2788),0))/100)*((((5000/(6000+Inputs!$B$42*(1-(100*(1-(1-(100*(1-(1-(Inputs!$B$19+0)/100)*(1-CHOOSE(ArtifactsInput!$N$40+1,5,6,7,8,9,10)/100)^(IF(ArtifactsInput!$M$40,FALSE,TRUE)-ArtifactsInput!$M$40)))/100)*(1-IF(IF(ArtifactsInput!$M$40,FALSE,TRUE),CHOOSE(ArtifactsInput!$N$40+1,5,6,7,8,9,10),0)/100)^IF(Inputs!$B$38="pvp",1,2)))/100)))/(5000/(6000+Inputs!$B$42*(1-(100*(1-(1-(Inputs!$B$19+0)/100)*(1-CHOOSE(ArtifactsInput!$N$40+1,5,6,7,8,9,10)/100)^(IF(ArtifactsInput!$M$40,FALSE,TRUE)-ArtifactsInput!$M$40)))/100))))*((L2796*(1-MIN(100,(Inputs!$B$9+((C2804=TRUE)*(F2804-Calc!F19))+B2816+(ArtifactsInput!$M$24-ArtifactsInput!$M$24)*CHOOSE(ArtifactsInput!$N$24+1,10,12,14,16,18,20)+(IF(AND(Inputs!$B$38&lt;&gt;"pvp",Inputs!$B$43=0),1,IF(IF(Inputs!$B$38="pvp",15,Inputs!$B$43)-(B2823)&lt;=0,1,MAX(0,IF(Inputs!$B$38="pvp",15,Inputs!$B$43)-MAX(5,B2823))/(IF(Inputs!$B$38="pvp",15,Inputs!$B$43)-(B2823))))*IF(AND(ArtifactsInput!$M$42,((Inputs!$B$9+((C2804=TRUE)*(F2804-Calc!F19))+B2816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2796*(MIN(100,(Inputs!$B$9+((C2804=TRUE)*(F2804-Calc!F19))+B2816+(ArtifactsInput!$M$24-ArtifactsInput!$M$24)*CHOOSE(ArtifactsInput!$N$24+1,10,12,14,16,18,20)+(IF(AND(Inputs!$B$38&lt;&gt;"pvp",Inputs!$B$43=0),1,IF(IF(Inputs!$B$38="pvp",15,Inputs!$B$43)-(B2823)&lt;=0,1,MAX(0,IF(Inputs!$B$38="pvp",15,Inputs!$B$43)-MAX(5,B2823))/(IF(Inputs!$B$38="pvp",15,Inputs!$B$43)-(B2823))))*IF(AND(ArtifactsInput!$M$42,((Inputs!$B$9+((C2804=TRUE)*(F2804-Calc!F19))+B2816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2796*(1-MIN(100,(Inputs!$B$9+((C2804=TRUE)*(F2804-Calc!F19))+B2816+(ArtifactsInput!$M$24-ArtifactsInput!$M$24)*CHOOSE(ArtifactsInput!$N$24+1,10,12,14,16,18,20)+(IF(AND(Inputs!$B$38&lt;&gt;"pvp",Inputs!$B$43=0),1,IF(IF(Inputs!$B$38="pvp",15,Inputs!$B$43)-(B2823)&lt;=0,1,MAX(0,IF(Inputs!$B$38="pvp",15,Inputs!$B$43)-MAX(5,B2823))/(IF(Inputs!$B$38="pvp",15,Inputs!$B$43)-(B2823))))*IF(AND(ArtifactsInput!$M$42,((Inputs!$B$9+((C2804=TRUE)*(F2804-Calc!F19))+B2816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2796*(MIN(100,(Inputs!$B$9+((C2804=TRUE)*(F2804-Calc!F19))+B2816+(ArtifactsInput!$M$24-ArtifactsInput!$M$24)*CHOOSE(ArtifactsInput!$N$24+1,10,12,14,16,18,20)+(IF(AND(Inputs!$B$38&lt;&gt;"pvp",Inputs!$B$43=0),1,IF(IF(Inputs!$B$38="pvp",15,Inputs!$B$43)-(B2823)&lt;=0,1,MAX(0,IF(Inputs!$B$38="pvp",15,Inputs!$B$43)-MAX(5,B2823))/(IF(Inputs!$B$38="pvp",15,Inputs!$B$43)-(B2823))))*IF(AND(ArtifactsInput!$M$42,((Inputs!$B$9+((C2804=TRUE)*(F2804-Calc!F19))+B2816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796">
        <f>IF(C2796,(H2796*N2796*IF(AND(Inputs!$B$38&lt;&gt;"pvp",Inputs!$B$43&gt;0),((Skills!G11*((R2796-1)*IF(Skills!H11&gt;0,INT(Skills!I11/Skills!H11+0.000000001),1)+IF(Skills!H11&gt;0,INT(MIN(Skills!I11,MAX(0,MAX(0,Inputs!$B$43-B2823)-((R2796-1)*((IF(Inputs!$B$38="pvp",15,MAX(0.1,Skills!D11-IF(TRUE=TRUE,Inputs!$B$32,0)))*(1-IF(AND(ArtifactsInput!$M$27,Inputs!$B$4="Chapter Hunt"),CHOOSE(ArtifactsInput!$N$27+1,20,24,28,32,36,40),0)/100))/B2827))))/Skills!H11+0.000000001),1)))/Inputs!$B$43),G2796*Q2796))*IF(Inputs!$B$38="pvp",1,(1+(Inputs!$B$21+Skills!Q11+(IF(ArtifactsInput!$M$33,CHOOSE(ArtifactsInput!$N$33+1,30,36,42,48,54,60),0))+(IF(AND(ArtifactsInput!$M$35,Inputs!$B$4&lt;&gt;"Chapter Hunt"),CHOOSE(ArtifactsInput!$N$35+1,15,18,21,24,27,30)*(1-EXP(-(0.2*B2818)*5)),0)+IF(AND(ArtifactsInput!$M$22,Inputs!$B$4&lt;&gt;"Chapter Hunt"),CHOOSE(ArtifactsInput!$N$22+1,10,12,14,16,18,20)*((0*(((0.15*B2818*5))^0/1)+1*(((0.15*B2818*5))^1/1)+2*(((0.15*B2818*5))^2/2)+3*(((0.15*B2818*5))^3/6)+4*(((0.15*B2818*5))^4/24)+5*(((0.15*B2818*5))^5/120))/((((0.15*B2818*5))^0/1)+(((0.15*B2818*5))^1/1)+(((0.15*B2818*5))^2/2)+(((0.15*B2818*5))^3/6)+(((0.15*B2818*5))^4/24)+(((0.15*B2818*5))^5/120))),0))+IF(Inputs!$B$3&gt;=54,9*(C2788=TRUE)*MIN(1,8*(1+Inputs!$B$34/100)*Q2788),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97">
      <c r="A2797">
        <f>Skills!A12</f>
        <v/>
      </c>
      <c r="B2797">
        <f>Skills!B12</f>
        <v/>
      </c>
      <c r="C2797">
        <f>Inputs!$B$3&gt;=110</f>
        <v/>
      </c>
      <c r="D2797">
        <f>IF(Skills!C12=1,60+Inputs!$B$25+Inputs!$B$29,IF(Skills!C12=2,90+Inputs!$B$26+Inputs!$B$29,IF(Skills!C12=3,120+Inputs!$B$27+Inputs!$B$29,MAX(0,(Inputs!$B$3-100)*3)+Inputs!$B$28+Inputs!$B$29)))</f>
        <v/>
      </c>
      <c r="E2797">
        <f>INDEX(FactorTable!$B$2:$Y$301, MATCH(ROUND(MIN(300,MAX(1,D2797)),0), FactorTable!$A$2:$A$301,0), Skills!M12+1)</f>
        <v/>
      </c>
      <c r="F2797">
        <f>IF(Skills!N12=TRUE,(Skills!L12/10)*(E2797/1000),Skills!L12/10)+Skills!O12</f>
        <v/>
      </c>
      <c r="G2797">
        <f>Skills!G12*IF(Skills!H12&gt;0,INT(IF(Inputs!$B$38="pvp",MIN(Skills!I12,15),Skills!I12)/Skills!H12+0.000000001),1)</f>
        <v/>
      </c>
      <c r="H2797">
        <f>1-(1-Skills!J12/100)^Skills!K12</f>
        <v/>
      </c>
      <c r="I2797" t="inlineStr">
        <is>
          <t>1</t>
        </is>
      </c>
      <c r="J2797">
        <f>((Inputs!$B$6*(1+Inputs!$B$7/100))+(((Inputs!$B$12*(1+Inputs!$B$13/100))-(Inputs!$B$12*(1+Inputs!$B$13/100)))+0.25*(Inputs!$B$14-Inputs!$B$14))*(1+Inputs!$B$7/100))*(F2797/100)</f>
        <v/>
      </c>
      <c r="K2797">
        <f>J2797*(1+((Inputs!$B$12*(1+Inputs!$B$13/100))*0.01+Inputs!$B$14*0.0025)/100)*(1+Inputs!$B$15/100)*(1+Inputs!$B$16/100)*(5000/(6000+Inputs!$B$42*(1-(100*(1-(1-(Inputs!$B$19+0)/100)*(1-CHOOSE(ArtifactsInput!$N$40+1,5,6,7,8,9,10)/100)^(IF(ArtifactsInput!$M$40,FALSE,TRUE)-ArtifactsInput!$M$40)))/100)))*(1+(Inputs!$B$24+((C2811=TRUE)*(F2811-Calc!F26))+B2822)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EIGHT_LEGS_EASTON",Inputs!$B$17+((C2808=TRUE)*(F2808-Calc!F23))+((C2812=TRUE)*(F2812-Calc!F27))+((IF(AND(Inputs!$B$38&lt;&gt;"pvp",Inputs!$B$43=0),1,IF(IF(Inputs!$B$38="pvp",15,Inputs!$B$43)-(B2823)&lt;=0,1,MAX(0,IF(Inputs!$B$38="pvp",15,Inputs!$B$43)-MAX(5,B2823))/(IF(Inputs!$B$38="pvp",15,Inputs!$B$43)-(B2823))))*(IF(AND(ArtifactsInput!$M$42,((Inputs!$B$9+((C2804=TRUE)*(F2804-Calc!F19))+B2816+(ArtifactsInput!$M$24-ArtifactsInput!$M$24)*CHOOSE(ArtifactsInput!$N$24+1,10,12,14,16,18,20)+IF(ArtifactsInput!$M$10,CHOOSE(ArtifactsInput!$N$10+1,15,18,21,24,27,30)*(IF(Inputs!$B$38="pvp",MIN(15,15)/15,IF(AND(Inputs!$B$38&lt;&gt;"pvp",Inputs!$B$43&gt;0),MIN(15,Inputs!$B$43)/(Inputs!$B$43),0))),0)))&gt;=100),MIN(100,((Inputs!$B$9+((C2804=TRUE)*(F2804-Calc!F19))+B2816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2823)&lt;=0,1,MAX(0,IF(Inputs!$B$38="pvp",15,Inputs!$B$43)-MAX(5,B2823))/(IF(Inputs!$B$38="pvp",15,Inputs!$B$43)-(B2823))))*IF(AND(ArtifactsInput!$M$42,((Inputs!$B$9+((C2804=TRUE)*(F2804-Calc!F19))+B2816+(ArtifactsInput!$M$24-ArtifactsInput!$M$24)*CHOOSE(ArtifactsInput!$N$24+1,10,12,14,16,18,20)+IF(ArtifactsInput!$M$10,CHOOSE(ArtifactsInput!$N$10+1,15,18,21,24,27,30)*(IF(Inputs!$B$38="pvp",MIN(15,15)/15,IF(AND(Inputs!$B$38&lt;&gt;"pvp",Inputs!$B$43&gt;0),MIN(15,Inputs!$B$43)/(Inputs!$B$43),0))),0)))&gt;=100),CHOOSE(ArtifactsInput!$N$42+1,40,48,56,64,72,80),0))))/100)*((1+(((C2802=TRUE)*F2802*5/7)+((C2809=TRUE)*(F2809-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IF(ArtifactsInput!$M$40,FALSE,TRUE),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2797)</f>
        <v/>
      </c>
      <c r="L2797">
        <f>K2797*(MIN(Inputs!$B$22+((C2807=TRUE)*(F2807-Calc!F22)),(Inputs!$B$23+0+(IF(ArtifactsInput!$M$15,CHOOSE(ArtifactsInput!$N$15+1,25,30,35,40,45,50)/100*(Inputs!$B$11-Inputs!$B$11),0))))/100+(Inputs!$B$23+0+(IF(ArtifactsInput!$M$15,CHOOSE(ArtifactsInput!$N$15+1,25,30,35,40,45,50)/100*(Inputs!$B$11-Inputs!$B$11),0)))/100)/2</f>
        <v/>
      </c>
      <c r="M2797">
        <f>L2797*(1+(Inputs!$B$10+((C2810=TRUE)*(F2810-Calc!F25))+B2821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97">
        <f>L2797*(1-MIN((Inputs!$B$9+((C2804=TRUE)*(F2804-Calc!F19))+B2816+(ArtifactsInput!$M$24-ArtifactsInput!$M$24)*CHOOSE(ArtifactsInput!$N$24+1,10,12,14,16,18,20)+(IF(AND(Inputs!$B$38&lt;&gt;"pvp",Inputs!$B$43=0),1,IF(IF(Inputs!$B$38="pvp",15,Inputs!$B$43)-(B2823)&lt;=0,1,MAX(0,IF(Inputs!$B$38="pvp",15,Inputs!$B$43)-MAX(5,B2823))/(IF(Inputs!$B$38="pvp",15,Inputs!$B$43)-(B2823))))*IF(AND(ArtifactsInput!$M$42,((Inputs!$B$9+((C2804=TRUE)*(F2804-Calc!F19))+B2816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2797*(MIN((Inputs!$B$9+((C2804=TRUE)*(F2804-Calc!F19))+B2816+(ArtifactsInput!$M$24-ArtifactsInput!$M$24)*CHOOSE(ArtifactsInput!$N$24+1,10,12,14,16,18,20)+(IF(AND(Inputs!$B$38&lt;&gt;"pvp",Inputs!$B$43=0),1,IF(IF(Inputs!$B$38="pvp",15,Inputs!$B$43)-(B2823)&lt;=0,1,MAX(0,IF(Inputs!$B$38="pvp",15,Inputs!$B$43)-MAX(5,B2823))/(IF(Inputs!$B$38="pvp",15,Inputs!$B$43)-(B2823))))*IF(AND(ArtifactsInput!$M$42,((Inputs!$B$9+((C2804=TRUE)*(F2804-Calc!F19))+B2816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97">
        <f>(1-Summary!$B$11)*T2797+Summary!$B$11*V2797</f>
        <v/>
      </c>
      <c r="P2797">
        <f>IF(B2826=0,0,O2797/B2826)</f>
        <v/>
      </c>
      <c r="Q2797">
        <f>IFERROR(1/(IF(Inputs!$B$38="pvp",15,MAX(0.1,Skills!D12-IF(TRUE=TRUE,Inputs!$B$32,0)))*(1-IF(AND(ArtifactsInput!$M$27,Inputs!$B$4="Chapter Hunt"),CHOOSE(ArtifactsInput!$N$27+1,20,24,28,32,36,40),0)/100)),0)</f>
        <v/>
      </c>
      <c r="R2797">
        <f>IF(AND(Inputs!$B$38&lt;&gt;"pvp",Inputs!$B$43&gt;0),IF(MAX(0,Inputs!$B$43-B2823)&lt;=0,0,(INT(MAX(0,Inputs!$B$43-B2823)/(IF(Inputs!$B$38="pvp",15,MAX(0.1,Skills!D12-IF(TRUE=TRUE,Inputs!$B$32,0)))*(1-IF(AND(ArtifactsInput!$M$27,Inputs!$B$4="Chapter Hunt"),CHOOSE(ArtifactsInput!$N$27+1,20,24,28,32,36,40),0)/100)))+1)),0)</f>
        <v/>
      </c>
      <c r="S2797">
        <f>IFERROR(O2797/N2797,0)</f>
        <v/>
      </c>
      <c r="T2797">
        <f>IF(C2797,(H2797*N2797*IF(AND(Inputs!$B$38&lt;&gt;"pvp",Inputs!$B$43&gt;0),((Skills!G12*((R2797-1)*IF(Skills!H12&gt;0,INT(Skills!I12/Skills!H12+0.000000001),1)+IF(Skills!H12&gt;0,INT(MIN(Skills!I12,MAX(0,MAX(0,Inputs!$B$43-B2823)-((R2797-1)*(IF(Inputs!$B$38="pvp",15,MAX(0.1,Skills!D12-IF(TRUE=TRUE,Inputs!$B$32,0)))*(1-IF(AND(ArtifactsInput!$M$27,Inputs!$B$4="Chapter Hunt"),CHOOSE(ArtifactsInput!$N$27+1,20,24,28,32,36,40),0)/100)))))/Skills!H12+0.000000001),1)))/Inputs!$B$43),G2797*Q2797))*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Hunt"),CHOOSE(ArtifactsInput!$N$35+1,15,18,21,24,27,30)*(1-EXP(-(0.2*B2818)*5)),0)+IF(AND(ArtifactsInput!$M$22,Inputs!$B$4&lt;&gt;"Chapter Hunt"),CHOOSE(ArtifactsInput!$N$22+1,10,12,14,16,18,20)*((0*(((0.15*B2818*5))^0/1)+1*(((0.15*B2818*5))^1/1)+2*(((0.15*B2818*5))^2/2)+3*(((0.15*B2818*5))^3/6)+4*(((0.15*B2818*5))^4/24)+5*(((0.15*B2818*5))^5/120))/((((0.15*B2818*5))^0/1)+(((0.15*B2818*5))^1/1)+(((0.15*B2818*5))^2/2)+(((0.15*B2818*5))^3/6)+(((0.15*B2818*5))^4/24)+(((0.15*B2818*5))^5/120))),0))+IF(Inputs!$B$3&gt;=54,9*(C2788=TRUE)*MIN(1,8*(1+Inputs!$B$34/100)*Q2788),0))/100)*((((5000/(6000+Inputs!$B$42*(1-(100*(1-(1-(100*(1-(1-(Inputs!$B$19+0)/100)*(1-CHOOSE(ArtifactsInput!$N$40+1,5,6,7,8,9,10)/100)^(IF(ArtifactsInput!$M$40,FALSE,TRUE)-ArtifactsInput!$M$40)))/100)*(1-IF(IF(ArtifactsInput!$M$40,FALSE,TRUE),CHOOSE(ArtifactsInput!$N$40+1,5,6,7,8,9,10),0)/100)^IF(Inputs!$B$38="pvp",1,2)))/100)))/(5000/(6000+Inputs!$B$42*(1-(100*(1-(1-(Inputs!$B$19+0)/100)*(1-CHOOSE(ArtifactsInput!$N$40+1,5,6,7,8,9,10)/100)^(IF(ArtifactsInput!$M$40,FALSE,TRUE)-ArtifactsInput!$M$40)))/100))))*((L2797*(1-MIN(100,(Inputs!$B$9+((C2804=TRUE)*(F2804-Calc!F19))+B2816+(ArtifactsInput!$M$24-ArtifactsInput!$M$24)*CHOOSE(ArtifactsInput!$N$24+1,10,12,14,16,18,20)+(IF(AND(Inputs!$B$38&lt;&gt;"pvp",Inputs!$B$43=0),1,IF(IF(Inputs!$B$38="pvp",15,Inputs!$B$43)-(B2823)&lt;=0,1,MAX(0,IF(Inputs!$B$38="pvp",15,Inputs!$B$43)-MAX(5,B2823))/(IF(Inputs!$B$38="pvp",15,Inputs!$B$43)-(B2823))))*IF(AND(ArtifactsInput!$M$42,((Inputs!$B$9+((C2804=TRUE)*(F2804-Calc!F19))+B2816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2797*(MIN(100,(Inputs!$B$9+((C2804=TRUE)*(F2804-Calc!F19))+B2816+(ArtifactsInput!$M$24-ArtifactsInput!$M$24)*CHOOSE(ArtifactsInput!$N$24+1,10,12,14,16,18,20)+(IF(AND(Inputs!$B$38&lt;&gt;"pvp",Inputs!$B$43=0),1,IF(IF(Inputs!$B$38="pvp",15,Inputs!$B$43)-(B2823)&lt;=0,1,MAX(0,IF(Inputs!$B$38="pvp",15,Inputs!$B$43)-MAX(5,B2823))/(IF(Inputs!$B$38="pvp",15,Inputs!$B$43)-(B2823))))*IF(AND(ArtifactsInput!$M$42,((Inputs!$B$9+((C2804=TRUE)*(F2804-Calc!F19))+B2816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2797*(1-MIN(100,(Inputs!$B$9+((C2804=TRUE)*(F2804-Calc!F19))+B2816+(ArtifactsInput!$M$24-ArtifactsInput!$M$24)*CHOOSE(ArtifactsInput!$N$24+1,10,12,14,16,18,20)+(IF(AND(Inputs!$B$38&lt;&gt;"pvp",Inputs!$B$43=0),1,IF(IF(Inputs!$B$38="pvp",15,Inputs!$B$43)-(B2823)&lt;=0,1,MAX(0,IF(Inputs!$B$38="pvp",15,Inputs!$B$43)-MAX(5,B2823))/(IF(Inputs!$B$38="pvp",15,Inputs!$B$43)-(B2823))))*IF(AND(ArtifactsInput!$M$42,((Inputs!$B$9+((C2804=TRUE)*(F2804-Calc!F19))+B2816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2797*(MIN(100,(Inputs!$B$9+((C2804=TRUE)*(F2804-Calc!F19))+B2816+(ArtifactsInput!$M$24-ArtifactsInput!$M$24)*CHOOSE(ArtifactsInput!$N$24+1,10,12,14,16,18,20)+(IF(AND(Inputs!$B$38&lt;&gt;"pvp",Inputs!$B$43=0),1,IF(IF(Inputs!$B$38="pvp",15,Inputs!$B$43)-(B2823)&lt;=0,1,MAX(0,IF(Inputs!$B$38="pvp",15,Inputs!$B$43)-MAX(5,B2823))/(IF(Inputs!$B$38="pvp",15,Inputs!$B$43)-(B2823))))*IF(AND(ArtifactsInput!$M$42,((Inputs!$B$9+((C2804=TRUE)*(F2804-Calc!F19))+B2816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797">
        <f>IF(C2797,(H2797*N2797*IF(AND(Inputs!$B$38&lt;&gt;"pvp",Inputs!$B$43&gt;0),((Skills!G12*((R2797-1)*IF(Skills!H12&gt;0,INT(Skills!I12/Skills!H12+0.000000001),1)+IF(Skills!H12&gt;0,INT(MIN(Skills!I12,MAX(0,MAX(0,Inputs!$B$43-B2823)-((R2797-1)*(IF(Inputs!$B$38="pvp",15,MAX(0.1,Skills!D12-IF(TRUE=TRUE,Inputs!$B$32,0)))*(1-IF(AND(ArtifactsInput!$M$27,Inputs!$B$4="Chapter Hunt"),CHOOSE(ArtifactsInput!$N$27+1,20,24,28,32,36,40),0)/100)))))/Skills!H12+0.000000001),1)))/Inputs!$B$43),G2797*Q2797))*IF(Inputs!$B$38="pvp",1,(1+(Inputs!$B$21+Skills!Q12+(IF(ArtifactsInput!$M$33,CHOOSE(ArtifactsInput!$N$33+1,30,36,42,48,54,60),0))+(IF(AND(ArtifactsInput!$M$35,Inputs!$B$4&lt;&gt;"Chapter Hunt"),CHOOSE(ArtifactsInput!$N$35+1,15,18,21,24,27,30)*(1-EXP(-(0.2*B2818)*5)),0)+IF(AND(ArtifactsInput!$M$22,Inputs!$B$4&lt;&gt;"Chapter Hunt"),CHOOSE(ArtifactsInput!$N$22+1,10,12,14,16,18,20)*((0*(((0.15*B2818*5))^0/1)+1*(((0.15*B2818*5))^1/1)+2*(((0.15*B2818*5))^2/2)+3*(((0.15*B2818*5))^3/6)+4*(((0.15*B2818*5))^4/24)+5*(((0.15*B2818*5))^5/120))/((((0.15*B2818*5))^0/1)+(((0.15*B2818*5))^1/1)+(((0.15*B2818*5))^2/2)+(((0.15*B2818*5))^3/6)+(((0.15*B2818*5))^4/24)+(((0.15*B2818*5))^5/120))),0))+IF(Inputs!$B$3&gt;=54,9*(C2788=TRUE)*MIN(1,8*(1+Inputs!$B$34/100)*Q2788),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98">
      <c r="A2798">
        <f>Skills!A13</f>
        <v/>
      </c>
      <c r="B2798">
        <f>Skills!B13</f>
        <v/>
      </c>
      <c r="C2798">
        <f>Inputs!$B$3&gt;=110</f>
        <v/>
      </c>
      <c r="D2798">
        <f>IF(Skills!C13=1,60+Inputs!$B$25+Inputs!$B$29,IF(Skills!C13=2,90+Inputs!$B$26+Inputs!$B$29,IF(Skills!C13=3,120+Inputs!$B$27+Inputs!$B$29,MAX(0,(Inputs!$B$3-100)*3)+Inputs!$B$28+Inputs!$B$29)))</f>
        <v/>
      </c>
      <c r="E2798">
        <f>INDEX(FactorTable!$B$2:$Y$301, MATCH(ROUND(MIN(300,MAX(1,D2798)),0), FactorTable!$A$2:$A$301,0), Skills!M13+1)</f>
        <v/>
      </c>
      <c r="F2798">
        <f>IF(Skills!N13=TRUE,(Skills!L13/10)*(E2798/1000),Skills!L13/10)+Skills!O13</f>
        <v/>
      </c>
      <c r="G2798">
        <f>Skills!G13*IF(Skills!H13&gt;0,INT(IF(Inputs!$B$38="pvp",MIN(Skills!I13,15),Skills!I13)/Skills!H13+0.000000001),1)</f>
        <v/>
      </c>
      <c r="H2798">
        <f>1-(1-Skills!J13/100)^Skills!K13</f>
        <v/>
      </c>
      <c r="I2798" t="inlineStr">
        <is>
          <t>1</t>
        </is>
      </c>
      <c r="J2798">
        <f>((Inputs!$B$6*(1+Inputs!$B$7/100))+(((Inputs!$B$12*(1+Inputs!$B$13/100))-(Inputs!$B$12*(1+Inputs!$B$13/100)))+0.25*(Inputs!$B$14-Inputs!$B$14))*(1+Inputs!$B$7/100))*(F2798/100)</f>
        <v/>
      </c>
      <c r="K2798">
        <f>J2798*(1+((Inputs!$B$12*(1+Inputs!$B$13/100))*0.01+Inputs!$B$14*0.0025)/100)*(1+Inputs!$B$15/100)*(1+Inputs!$B$16/100)*(5000/(6000+Inputs!$B$42*(1-(100*(1-(1-(Inputs!$B$19+0)/100)*(1-CHOOSE(ArtifactsInput!$N$40+1,5,6,7,8,9,10)/100)^(IF(ArtifactsInput!$M$40,FALSE,TRUE)-ArtifactsInput!$M$40)))/100)))*(1+(Inputs!$B$24+((C2811=TRUE)*(F2811-Calc!F26))+B2822)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EIGHT_LEGS_EASTON",Inputs!$B$17+((C2808=TRUE)*(F2808-Calc!F23))+((C2812=TRUE)*(F2812-Calc!F27))+((IF(AND(Inputs!$B$38&lt;&gt;"pvp",Inputs!$B$43=0),1,IF(IF(Inputs!$B$38="pvp",15,Inputs!$B$43)-(B2823)&lt;=0,1,MAX(0,IF(Inputs!$B$38="pvp",15,Inputs!$B$43)-MAX(5,B2823))/(IF(Inputs!$B$38="pvp",15,Inputs!$B$43)-(B2823))))*(IF(AND(ArtifactsInput!$M$42,((Inputs!$B$9+((C2804=TRUE)*(F2804-Calc!F19))+B2816+(ArtifactsInput!$M$24-ArtifactsInput!$M$24)*CHOOSE(ArtifactsInput!$N$24+1,10,12,14,16,18,20)+IF(ArtifactsInput!$M$10,CHOOSE(ArtifactsInput!$N$10+1,15,18,21,24,27,30)*(IF(Inputs!$B$38="pvp",MIN(15,15)/15,IF(AND(Inputs!$B$38&lt;&gt;"pvp",Inputs!$B$43&gt;0),MIN(15,Inputs!$B$43)/(Inputs!$B$43),0))),0)))&gt;=100),MIN(100,((Inputs!$B$9+((C2804=TRUE)*(F2804-Calc!F19))+B2816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2823)&lt;=0,1,MAX(0,IF(Inputs!$B$38="pvp",15,Inputs!$B$43)-MAX(5,B2823))/(IF(Inputs!$B$38="pvp",15,Inputs!$B$43)-(B2823))))*IF(AND(ArtifactsInput!$M$42,((Inputs!$B$9+((C2804=TRUE)*(F2804-Calc!F19))+B2816+(ArtifactsInput!$M$24-ArtifactsInput!$M$24)*CHOOSE(ArtifactsInput!$N$24+1,10,12,14,16,18,20)+IF(ArtifactsInput!$M$10,CHOOSE(ArtifactsInput!$N$10+1,15,18,21,24,27,30)*(IF(Inputs!$B$38="pvp",MIN(15,15)/15,IF(AND(Inputs!$B$38&lt;&gt;"pvp",Inputs!$B$43&gt;0),MIN(15,Inputs!$B$43)/(Inputs!$B$43),0))),0)))&gt;=100),CHOOSE(ArtifactsInput!$N$42+1,40,48,56,64,72,80),0))))/100)*((1+(((C2802=TRUE)*F2802*5/7)+((C2809=TRUE)*(F2809-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IF(ArtifactsInput!$M$40,FALSE,TRUE),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2798)</f>
        <v/>
      </c>
      <c r="L2798">
        <f>K2798*(MIN(Inputs!$B$22+((C2807=TRUE)*(F2807-Calc!F22)),(Inputs!$B$23+0+(IF(ArtifactsInput!$M$15,CHOOSE(ArtifactsInput!$N$15+1,25,30,35,40,45,50)/100*(Inputs!$B$11-Inputs!$B$11),0))))/100+(Inputs!$B$23+0+(IF(ArtifactsInput!$M$15,CHOOSE(ArtifactsInput!$N$15+1,25,30,35,40,45,50)/100*(Inputs!$B$11-Inputs!$B$11),0)))/100)/2</f>
        <v/>
      </c>
      <c r="M2798">
        <f>L2798*(1+(Inputs!$B$10+((C2810=TRUE)*(F2810-Calc!F25))+B2821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98">
        <f>L2798*(1-MIN((Inputs!$B$9+((C2804=TRUE)*(F2804-Calc!F19))+B2816+(ArtifactsInput!$M$24-ArtifactsInput!$M$24)*CHOOSE(ArtifactsInput!$N$24+1,10,12,14,16,18,20)+(IF(AND(Inputs!$B$38&lt;&gt;"pvp",Inputs!$B$43=0),1,IF(IF(Inputs!$B$38="pvp",15,Inputs!$B$43)-(B2823)&lt;=0,1,MAX(0,IF(Inputs!$B$38="pvp",15,Inputs!$B$43)-MAX(5,B2823))/(IF(Inputs!$B$38="pvp",15,Inputs!$B$43)-(B2823))))*IF(AND(ArtifactsInput!$M$42,((Inputs!$B$9+((C2804=TRUE)*(F2804-Calc!F19))+B2816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2798*(MIN((Inputs!$B$9+((C2804=TRUE)*(F2804-Calc!F19))+B2816+(ArtifactsInput!$M$24-ArtifactsInput!$M$24)*CHOOSE(ArtifactsInput!$N$24+1,10,12,14,16,18,20)+(IF(AND(Inputs!$B$38&lt;&gt;"pvp",Inputs!$B$43=0),1,IF(IF(Inputs!$B$38="pvp",15,Inputs!$B$43)-(B2823)&lt;=0,1,MAX(0,IF(Inputs!$B$38="pvp",15,Inputs!$B$43)-MAX(5,B2823))/(IF(Inputs!$B$38="pvp",15,Inputs!$B$43)-(B2823))))*IF(AND(ArtifactsInput!$M$42,((Inputs!$B$9+((C2804=TRUE)*(F2804-Calc!F19))+B2816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98">
        <f>(1-Summary!$B$11)*T2798+Summary!$B$11*V2798</f>
        <v/>
      </c>
      <c r="P2798">
        <f>IF(B2826=0,0,O2798/B2826)</f>
        <v/>
      </c>
      <c r="Q2798">
        <f>IFERROR(1/(IF(Inputs!$B$38="pvp",15,MAX(0.1,Skills!D13-IF(TRUE=TRUE,Inputs!$B$32,0)))*(1-IF(AND(ArtifactsInput!$M$27,Inputs!$B$4="Chapter Hunt"),CHOOSE(ArtifactsInput!$N$27+1,20,24,28,32,36,40),0)/100)),0)</f>
        <v/>
      </c>
      <c r="R2798">
        <f>IF(AND(Inputs!$B$38&lt;&gt;"pvp",Inputs!$B$43&gt;0),IF(MAX(0,Inputs!$B$43-B2823)&lt;=0,0,(INT(MAX(0,Inputs!$B$43-B2823)/(IF(Inputs!$B$38="pvp",15,MAX(0.1,Skills!D13-IF(TRUE=TRUE,Inputs!$B$32,0)))*(1-IF(AND(ArtifactsInput!$M$27,Inputs!$B$4="Chapter Hunt"),CHOOSE(ArtifactsInput!$N$27+1,20,24,28,32,36,40),0)/100)))+1)),0)</f>
        <v/>
      </c>
      <c r="S2798">
        <f>IFERROR(O2798/N2798,0)</f>
        <v/>
      </c>
      <c r="T2798">
        <f>IF(C2798,(H2798*N2798*IF(AND(Inputs!$B$38&lt;&gt;"pvp",Inputs!$B$43&gt;0),((Skills!G13*((R2798-1)*IF(Skills!H13&gt;0,INT(Skills!I13/Skills!H13+0.000000001),1)+IF(Skills!H13&gt;0,INT(MIN(Skills!I13,MAX(0,MAX(0,Inputs!$B$43-B2823)-((R2798-1)*(IF(Inputs!$B$38="pvp",15,MAX(0.1,Skills!D13-IF(TRUE=TRUE,Inputs!$B$32,0)))*(1-IF(AND(ArtifactsInput!$M$27,Inputs!$B$4="Chapter Hunt"),CHOOSE(ArtifactsInput!$N$27+1,20,24,28,32,36,40),0)/100)))))/Skills!H13+0.000000001),1)))/Inputs!$B$43),G2798*Q2798))*IF(Inputs!$B$38="pvp",1,1+(Inputs!$B$20+0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Hunt"),CHOOSE(ArtifactsInput!$N$35+1,15,18,21,24,27,30)*(1-EXP(-(0.2*B2818)*5)),0)+IF(AND(ArtifactsInput!$M$22,Inputs!$B$4&lt;&gt;"Chapter Hunt"),CHOOSE(ArtifactsInput!$N$22+1,10,12,14,16,18,20)*((0*(((0.15*B2818*5))^0/1)+1*(((0.15*B2818*5))^1/1)+2*(((0.15*B2818*5))^2/2)+3*(((0.15*B2818*5))^3/6)+4*(((0.15*B2818*5))^4/24)+5*(((0.15*B2818*5))^5/120))/((((0.15*B2818*5))^0/1)+(((0.15*B2818*5))^1/1)+(((0.15*B2818*5))^2/2)+(((0.15*B2818*5))^3/6)+(((0.15*B2818*5))^4/24)+(((0.15*B2818*5))^5/120))),0))+IF(Inputs!$B$3&gt;=54,9*(C2788=TRUE)*MIN(1,8*(1+Inputs!$B$34/100)*Q2788),0))/100)*((((5000/(6000+Inputs!$B$42*(1-(100*(1-(1-(100*(1-(1-(Inputs!$B$19+0)/100)*(1-CHOOSE(ArtifactsInput!$N$40+1,5,6,7,8,9,10)/100)^(IF(ArtifactsInput!$M$40,FALSE,TRUE)-ArtifactsInput!$M$40)))/100)*(1-IF(IF(ArtifactsInput!$M$40,FALSE,TRUE),CHOOSE(ArtifactsInput!$N$40+1,5,6,7,8,9,10),0)/100)^IF(Inputs!$B$38="pvp",1,2)))/100)))/(5000/(6000+Inputs!$B$42*(1-(100*(1-(1-(Inputs!$B$19+0)/100)*(1-CHOOSE(ArtifactsInput!$N$40+1,5,6,7,8,9,10)/100)^(IF(ArtifactsInput!$M$40,FALSE,TRUE)-ArtifactsInput!$M$40)))/100))))*((L2798*(1-MIN(100,(Inputs!$B$9+((C2804=TRUE)*(F2804-Calc!F19))+B2816+(ArtifactsInput!$M$24-ArtifactsInput!$M$24)*CHOOSE(ArtifactsInput!$N$24+1,10,12,14,16,18,20)+(IF(AND(Inputs!$B$38&lt;&gt;"pvp",Inputs!$B$43=0),1,IF(IF(Inputs!$B$38="pvp",15,Inputs!$B$43)-(B2823)&lt;=0,1,MAX(0,IF(Inputs!$B$38="pvp",15,Inputs!$B$43)-MAX(5,B2823))/(IF(Inputs!$B$38="pvp",15,Inputs!$B$43)-(B2823))))*IF(AND(ArtifactsInput!$M$42,((Inputs!$B$9+((C2804=TRUE)*(F2804-Calc!F19))+B2816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2798*(MIN(100,(Inputs!$B$9+((C2804=TRUE)*(F2804-Calc!F19))+B2816+(ArtifactsInput!$M$24-ArtifactsInput!$M$24)*CHOOSE(ArtifactsInput!$N$24+1,10,12,14,16,18,20)+(IF(AND(Inputs!$B$38&lt;&gt;"pvp",Inputs!$B$43=0),1,IF(IF(Inputs!$B$38="pvp",15,Inputs!$B$43)-(B2823)&lt;=0,1,MAX(0,IF(Inputs!$B$38="pvp",15,Inputs!$B$43)-MAX(5,B2823))/(IF(Inputs!$B$38="pvp",15,Inputs!$B$43)-(B2823))))*IF(AND(ArtifactsInput!$M$42,((Inputs!$B$9+((C2804=TRUE)*(F2804-Calc!F19))+B2816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2798*(1-MIN(100,(Inputs!$B$9+((C2804=TRUE)*(F2804-Calc!F19))+B2816+(ArtifactsInput!$M$24-ArtifactsInput!$M$24)*CHOOSE(ArtifactsInput!$N$24+1,10,12,14,16,18,20)+(IF(AND(Inputs!$B$38&lt;&gt;"pvp",Inputs!$B$43=0),1,IF(IF(Inputs!$B$38="pvp",15,Inputs!$B$43)-(B2823)&lt;=0,1,MAX(0,IF(Inputs!$B$38="pvp",15,Inputs!$B$43)-MAX(5,B2823))/(IF(Inputs!$B$38="pvp",15,Inputs!$B$43)-(B2823))))*IF(AND(ArtifactsInput!$M$42,((Inputs!$B$9+((C2804=TRUE)*(F2804-Calc!F19))+B2816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2798*(MIN(100,(Inputs!$B$9+((C2804=TRUE)*(F2804-Calc!F19))+B2816+(ArtifactsInput!$M$24-ArtifactsInput!$M$24)*CHOOSE(ArtifactsInput!$N$24+1,10,12,14,16,18,20)+(IF(AND(Inputs!$B$38&lt;&gt;"pvp",Inputs!$B$43=0),1,IF(IF(Inputs!$B$38="pvp",15,Inputs!$B$43)-(B2823)&lt;=0,1,MAX(0,IF(Inputs!$B$38="pvp",15,Inputs!$B$43)-MAX(5,B2823))/(IF(Inputs!$B$38="pvp",15,Inputs!$B$43)-(B2823))))*IF(AND(ArtifactsInput!$M$42,((Inputs!$B$9+((C2804=TRUE)*(F2804-Calc!F19))+B2816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798">
        <f>IF(C2798,(H2798*N2798*IF(AND(Inputs!$B$38&lt;&gt;"pvp",Inputs!$B$43&gt;0),((Skills!G13*((R2798-1)*IF(Skills!H13&gt;0,INT(Skills!I13/Skills!H13+0.000000001),1)+IF(Skills!H13&gt;0,INT(MIN(Skills!I13,MAX(0,MAX(0,Inputs!$B$43-B2823)-((R2798-1)*(IF(Inputs!$B$38="pvp",15,MAX(0.1,Skills!D13-IF(TRUE=TRUE,Inputs!$B$32,0)))*(1-IF(AND(ArtifactsInput!$M$27,Inputs!$B$4="Chapter Hunt"),CHOOSE(ArtifactsInput!$N$27+1,20,24,28,32,36,40),0)/100)))))/Skills!H13+0.000000001),1)))/Inputs!$B$43),G2798*Q2798))*IF(Inputs!$B$38="pvp",1,(1+(Inputs!$B$21+Skills!Q13+(IF(ArtifactsInput!$M$33,CHOOSE(ArtifactsInput!$N$33+1,30,36,42,48,54,60),0))+(IF(AND(ArtifactsInput!$M$35,Inputs!$B$4&lt;&gt;"Chapter Hunt"),CHOOSE(ArtifactsInput!$N$35+1,15,18,21,24,27,30)*(1-EXP(-(0.2*B2818)*5)),0)+IF(AND(ArtifactsInput!$M$22,Inputs!$B$4&lt;&gt;"Chapter Hunt"),CHOOSE(ArtifactsInput!$N$22+1,10,12,14,16,18,20)*((0*(((0.15*B2818*5))^0/1)+1*(((0.15*B2818*5))^1/1)+2*(((0.15*B2818*5))^2/2)+3*(((0.15*B2818*5))^3/6)+4*(((0.15*B2818*5))^4/24)+5*(((0.15*B2818*5))^5/120))/((((0.15*B2818*5))^0/1)+(((0.15*B2818*5))^1/1)+(((0.15*B2818*5))^2/2)+(((0.15*B2818*5))^3/6)+(((0.15*B2818*5))^4/24)+(((0.15*B2818*5))^5/120))),0))+IF(Inputs!$B$3&gt;=54,9*(C2788=TRUE)*MIN(1,8*(1+Inputs!$B$34/100)*Q2788),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99">
      <c r="A2799">
        <f>Skills!A14</f>
        <v/>
      </c>
      <c r="B2799">
        <f>Skills!B14</f>
        <v/>
      </c>
      <c r="C2799">
        <f>Inputs!$B$3&gt;=120</f>
        <v/>
      </c>
      <c r="D2799">
        <f>IF(Skills!C14=1,60+Inputs!$B$25+Inputs!$B$29,IF(Skills!C14=2,90+Inputs!$B$26+Inputs!$B$29,IF(Skills!C14=3,120+Inputs!$B$27+Inputs!$B$29,MAX(0,(Inputs!$B$3-100)*3)+Inputs!$B$28+Inputs!$B$29)))</f>
        <v/>
      </c>
      <c r="E2799">
        <f>INDEX(FactorTable!$B$2:$Y$301, MATCH(ROUND(MIN(300,MAX(1,D2799)),0), FactorTable!$A$2:$A$301,0), Skills!M14+1)</f>
        <v/>
      </c>
      <c r="F2799">
        <f>IF(Skills!N14=TRUE,(Skills!L14/10)*(E2799/1000),Skills!L14/10)+Skills!O14</f>
        <v/>
      </c>
      <c r="G2799">
        <f>Skills!G14*IF(Skills!H14&gt;0,INT(IF(Inputs!$B$38="pvp",MIN(Skills!I14,15),Skills!I14)/Skills!H14+0.000000001),1)</f>
        <v/>
      </c>
      <c r="H2799">
        <f>1-(1-Skills!J14/100)^Skills!K14</f>
        <v/>
      </c>
      <c r="I2799" t="inlineStr">
        <is>
          <t>1</t>
        </is>
      </c>
      <c r="J2799">
        <f>((Inputs!$B$6*(1+Inputs!$B$7/100))+(((Inputs!$B$12*(1+Inputs!$B$13/100))-(Inputs!$B$12*(1+Inputs!$B$13/100)))+0.25*(Inputs!$B$14-Inputs!$B$14))*(1+Inputs!$B$7/100))*(F2799/100)</f>
        <v/>
      </c>
      <c r="K2799">
        <f>J2799*(1+((Inputs!$B$12*(1+Inputs!$B$13/100))*0.01+Inputs!$B$14*0.0025)/100)*(1+Inputs!$B$15/100)*(1+Inputs!$B$16/100)*(5000/(6000+Inputs!$B$42*(1-(100*(1-(1-(Inputs!$B$19+0)/100)*(1-CHOOSE(ArtifactsInput!$N$40+1,5,6,7,8,9,10)/100)^(IF(ArtifactsInput!$M$40,FALSE,TRUE)-ArtifactsInput!$M$40)))/100)))*(1+(Inputs!$B$24+((C2811=TRUE)*(F2811-Calc!F26))+B2822)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EIGHT_LEGS_EASTON",Inputs!$B$17+((C2808=TRUE)*(F2808-Calc!F23))+((C2812=TRUE)*(F2812-Calc!F27))+((IF(AND(Inputs!$B$38&lt;&gt;"pvp",Inputs!$B$43=0),1,IF(IF(Inputs!$B$38="pvp",15,Inputs!$B$43)-(B2823)&lt;=0,1,MAX(0,IF(Inputs!$B$38="pvp",15,Inputs!$B$43)-MAX(5,B2823))/(IF(Inputs!$B$38="pvp",15,Inputs!$B$43)-(B2823))))*(IF(AND(ArtifactsInput!$M$42,((Inputs!$B$9+((C2804=TRUE)*(F2804-Calc!F19))+B2816+(ArtifactsInput!$M$24-ArtifactsInput!$M$24)*CHOOSE(ArtifactsInput!$N$24+1,10,12,14,16,18,20)+IF(ArtifactsInput!$M$10,CHOOSE(ArtifactsInput!$N$10+1,15,18,21,24,27,30)*(IF(Inputs!$B$38="pvp",MIN(15,15)/15,IF(AND(Inputs!$B$38&lt;&gt;"pvp",Inputs!$B$43&gt;0),MIN(15,Inputs!$B$43)/(Inputs!$B$43),0))),0)))&gt;=100),MIN(100,((Inputs!$B$9+((C2804=TRUE)*(F2804-Calc!F19))+B2816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2823)&lt;=0,1,MAX(0,IF(Inputs!$B$38="pvp",15,Inputs!$B$43)-MAX(5,B2823))/(IF(Inputs!$B$38="pvp",15,Inputs!$B$43)-(B2823))))*IF(AND(ArtifactsInput!$M$42,((Inputs!$B$9+((C2804=TRUE)*(F2804-Calc!F19))+B2816+(ArtifactsInput!$M$24-ArtifactsInput!$M$24)*CHOOSE(ArtifactsInput!$N$24+1,10,12,14,16,18,20)+IF(ArtifactsInput!$M$10,CHOOSE(ArtifactsInput!$N$10+1,15,18,21,24,27,30)*(IF(Inputs!$B$38="pvp",MIN(15,15)/15,IF(AND(Inputs!$B$38&lt;&gt;"pvp",Inputs!$B$43&gt;0),MIN(15,Inputs!$B$43)/(Inputs!$B$43),0))),0)))&gt;=100),CHOOSE(ArtifactsInput!$N$42+1,40,48,56,64,72,80),0))))/100)*((1+(((C2802=TRUE)*F2802*5/7)+((C2809=TRUE)*(F2809-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IF(ArtifactsInput!$M$40,FALSE,TRUE),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2799)</f>
        <v/>
      </c>
      <c r="L2799">
        <f>K2799*(MIN(Inputs!$B$22+((C2807=TRUE)*(F2807-Calc!F22)),(Inputs!$B$23+0+(IF(ArtifactsInput!$M$15,CHOOSE(ArtifactsInput!$N$15+1,25,30,35,40,45,50)/100*(Inputs!$B$11-Inputs!$B$11),0))))/100+(Inputs!$B$23+0+(IF(ArtifactsInput!$M$15,CHOOSE(ArtifactsInput!$N$15+1,25,30,35,40,45,50)/100*(Inputs!$B$11-Inputs!$B$11),0)))/100)/2</f>
        <v/>
      </c>
      <c r="M2799">
        <f>L2799*(1+(Inputs!$B$10+((C2810=TRUE)*(F2810-Calc!F25))+B2821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99">
        <f>L2799*(1-MIN((Inputs!$B$9+((C2804=TRUE)*(F2804-Calc!F19))+B2816+(ArtifactsInput!$M$24-ArtifactsInput!$M$24)*CHOOSE(ArtifactsInput!$N$24+1,10,12,14,16,18,20)+(IF(AND(Inputs!$B$38&lt;&gt;"pvp",Inputs!$B$43=0),1,IF(IF(Inputs!$B$38="pvp",15,Inputs!$B$43)-(B2823)&lt;=0,1,MAX(0,IF(Inputs!$B$38="pvp",15,Inputs!$B$43)-MAX(5,B2823))/(IF(Inputs!$B$38="pvp",15,Inputs!$B$43)-(B2823))))*IF(AND(ArtifactsInput!$M$42,((Inputs!$B$9+((C2804=TRUE)*(F2804-Calc!F19))+B2816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2799*(MIN((Inputs!$B$9+((C2804=TRUE)*(F2804-Calc!F19))+B2816+(ArtifactsInput!$M$24-ArtifactsInput!$M$24)*CHOOSE(ArtifactsInput!$N$24+1,10,12,14,16,18,20)+(IF(AND(Inputs!$B$38&lt;&gt;"pvp",Inputs!$B$43=0),1,IF(IF(Inputs!$B$38="pvp",15,Inputs!$B$43)-(B2823)&lt;=0,1,MAX(0,IF(Inputs!$B$38="pvp",15,Inputs!$B$43)-MAX(5,B2823))/(IF(Inputs!$B$38="pvp",15,Inputs!$B$43)-(B2823))))*IF(AND(ArtifactsInput!$M$42,((Inputs!$B$9+((C2804=TRUE)*(F2804-Calc!F19))+B2816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99">
        <f>(1-Summary!$B$11)*T2799+Summary!$B$11*V2799</f>
        <v/>
      </c>
      <c r="P2799">
        <f>IF(B2826=0,0,O2799/B2826)</f>
        <v/>
      </c>
      <c r="Q2799" t="n">
        <v>0</v>
      </c>
      <c r="R2799" t="n">
        <v>0</v>
      </c>
      <c r="S2799">
        <f>IFERROR(O2799/N2799,0)</f>
        <v/>
      </c>
      <c r="T2799">
        <f>IF(C2799,((H2799*(B2820+IF(AND(Inputs!$B$38&lt;&gt;"pvp",Inputs!$B$43&gt;0),((Skills!G8*((R2793-1)*IF(Skills!H8&gt;0,INT(Skills!I8/Skills!H8+0.000000001),1)+IF(Skills!H8&gt;0,INT(MIN(Skills!I8,MAX(0,MAX(0,Inputs!$B$43-B2823)-((R2793-1)*((IF(Inputs!$B$38="pvp",15,MAX(0.1,Skills!D8-IF(TRUE=TRUE,Inputs!$B$32,0)))*(1-IF(AND(ArtifactsInput!$M$27,Inputs!$B$4="Chapter Hunt"),CHOOSE(ArtifactsInput!$N$27+1,20,24,28,32,36,40),0)/100))/B2827))))/Skills!H8+0.000000001),1)))/Inputs!$B$43),G2793*Q2793)+IF(AND(Inputs!$B$38&lt;&gt;"pvp",Inputs!$B$43&gt;0),((Skills!G11*((R2796-1)*IF(Skills!H11&gt;0,INT(Skills!I11/Skills!H11+0.000000001),1)+IF(Skills!H11&gt;0,INT(MIN(Skills!I11,MAX(0,MAX(0,Inputs!$B$43-B2823)-((R2796-1)*((IF(Inputs!$B$38="pvp",15,MAX(0.1,Skills!D11-IF(TRUE=TRUE,Inputs!$B$32,0)))*(1-IF(AND(ArtifactsInput!$M$27,Inputs!$B$4="Chapter Hunt"),CHOOSE(ArtifactsInput!$N$27+1,20,24,28,32,36,40),0)/100))/B2827))))/Skills!H11+0.000000001),1)))/Inputs!$B$43),G2796*Q2796)))/(1+Skills!H14*H2799*(B2820+IF(AND(Inputs!$B$38&lt;&gt;"pvp",Inputs!$B$43&gt;0),((Skills!G8*((R2793-1)*IF(Skills!H8&gt;0,INT(Skills!I8/Skills!H8+0.000000001),1)+IF(Skills!H8&gt;0,INT(MIN(Skills!I8,MAX(0,MAX(0,Inputs!$B$43-B2823)-((R2793-1)*((IF(Inputs!$B$38="pvp",15,MAX(0.1,Skills!D8-IF(TRUE=TRUE,Inputs!$B$32,0)))*(1-IF(AND(ArtifactsInput!$M$27,Inputs!$B$4="Chapter Hunt"),CHOOSE(ArtifactsInput!$N$27+1,20,24,28,32,36,40),0)/100))/B2827))))/Skills!H8+0.000000001),1)))/Inputs!$B$43),G2793*Q2793)+IF(AND(Inputs!$B$38&lt;&gt;"pvp",Inputs!$B$43&gt;0),((Skills!G11*((R2796-1)*IF(Skills!H11&gt;0,INT(Skills!I11/Skills!H11+0.000000001),1)+IF(Skills!H11&gt;0,INT(MIN(Skills!I11,MAX(0,MAX(0,Inputs!$B$43-B2823)-((R2796-1)*((IF(Inputs!$B$38="pvp",15,MAX(0.1,Skills!D11-IF(TRUE=TRUE,Inputs!$B$32,0)))*(1-IF(AND(ArtifactsInput!$M$27,Inputs!$B$4="Chapter Hunt"),CHOOSE(ArtifactsInput!$N$27+1,20,24,28,32,36,40),0)/100))/B2827))))/Skills!H11+0.000000001),1)))/Inputs!$B$43),G2796*Q2796)))*N2799)*IF(Inputs!$B$38="pvp",1,1+(Inputs!$B$20+0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Hunt"),CHOOSE(ArtifactsInput!$N$35+1,15,18,21,24,27,30)*(1-EXP(-(0.2*B2818)*5)),0)+IF(AND(ArtifactsInput!$M$22,Inputs!$B$4&lt;&gt;"Chapter Hunt"),CHOOSE(ArtifactsInput!$N$22+1,10,12,14,16,18,20)*((0*(((0.15*B2818*5))^0/1)+1*(((0.15*B2818*5))^1/1)+2*(((0.15*B2818*5))^2/2)+3*(((0.15*B2818*5))^3/6)+4*(((0.15*B2818*5))^4/24)+5*(((0.15*B2818*5))^5/120))/((((0.15*B2818*5))^0/1)+(((0.15*B2818*5))^1/1)+(((0.15*B2818*5))^2/2)+(((0.15*B2818*5))^3/6)+(((0.15*B2818*5))^4/24)+(((0.15*B2818*5))^5/120))),0))+IF(Inputs!$B$3&gt;=54,9*(C2788=TRUE)*MIN(1,8*(1+Inputs!$B$34/100)*Q2788),0))/100)*((((5000/(6000+Inputs!$B$42*(1-(100*(1-(1-(100*(1-(1-(Inputs!$B$19+0)/100)*(1-CHOOSE(ArtifactsInput!$N$40+1,5,6,7,8,9,10)/100)^(IF(ArtifactsInput!$M$40,FALSE,TRUE)-ArtifactsInput!$M$40)))/100)*(1-IF(IF(ArtifactsInput!$M$40,FALSE,TRUE),CHOOSE(ArtifactsInput!$N$40+1,5,6,7,8,9,10),0)/100)^IF(Inputs!$B$38="pvp",1,2)))/100)))/(5000/(6000+Inputs!$B$42*(1-(100*(1-(1-(Inputs!$B$19+0)/100)*(1-CHOOSE(ArtifactsInput!$N$40+1,5,6,7,8,9,10)/100)^(IF(ArtifactsInput!$M$40,FALSE,TRUE)-ArtifactsInput!$M$40)))/100))))*((L2799*(1-MIN(100,(Inputs!$B$9+((C2804=TRUE)*(F2804-Calc!F19))+B2816+(ArtifactsInput!$M$24-ArtifactsInput!$M$24)*CHOOSE(ArtifactsInput!$N$24+1,10,12,14,16,18,20)+(IF(AND(Inputs!$B$38&lt;&gt;"pvp",Inputs!$B$43=0),1,IF(IF(Inputs!$B$38="pvp",15,Inputs!$B$43)-(B2823)&lt;=0,1,MAX(0,IF(Inputs!$B$38="pvp",15,Inputs!$B$43)-MAX(5,B2823))/(IF(Inputs!$B$38="pvp",15,Inputs!$B$43)-(B2823))))*IF(AND(ArtifactsInput!$M$42,((Inputs!$B$9+((C2804=TRUE)*(F2804-Calc!F19))+B2816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2799*(MIN(100,(Inputs!$B$9+((C2804=TRUE)*(F2804-Calc!F19))+B2816+(ArtifactsInput!$M$24-ArtifactsInput!$M$24)*CHOOSE(ArtifactsInput!$N$24+1,10,12,14,16,18,20)+(IF(AND(Inputs!$B$38&lt;&gt;"pvp",Inputs!$B$43=0),1,IF(IF(Inputs!$B$38="pvp",15,Inputs!$B$43)-(B2823)&lt;=0,1,MAX(0,IF(Inputs!$B$38="pvp",15,Inputs!$B$43)-MAX(5,B2823))/(IF(Inputs!$B$38="pvp",15,Inputs!$B$43)-(B2823))))*IF(AND(ArtifactsInput!$M$42,((Inputs!$B$9+((C2804=TRUE)*(F2804-Calc!F19))+B2816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2799*(1-MIN(100,(Inputs!$B$9+((C2804=TRUE)*(F2804-Calc!F19))+B2816+(ArtifactsInput!$M$24-ArtifactsInput!$M$24)*CHOOSE(ArtifactsInput!$N$24+1,10,12,14,16,18,20)+(IF(AND(Inputs!$B$38&lt;&gt;"pvp",Inputs!$B$43=0),1,IF(IF(Inputs!$B$38="pvp",15,Inputs!$B$43)-(B2823)&lt;=0,1,MAX(0,IF(Inputs!$B$38="pvp",15,Inputs!$B$43)-MAX(5,B2823))/(IF(Inputs!$B$38="pvp",15,Inputs!$B$43)-(B2823))))*IF(AND(ArtifactsInput!$M$42,((Inputs!$B$9+((C2804=TRUE)*(F2804-Calc!F19))+B2816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2799*(MIN(100,(Inputs!$B$9+((C2804=TRUE)*(F2804-Calc!F19))+B2816+(ArtifactsInput!$M$24-ArtifactsInput!$M$24)*CHOOSE(ArtifactsInput!$N$24+1,10,12,14,16,18,20)+(IF(AND(Inputs!$B$38&lt;&gt;"pvp",Inputs!$B$43=0),1,IF(IF(Inputs!$B$38="pvp",15,Inputs!$B$43)-(B2823)&lt;=0,1,MAX(0,IF(Inputs!$B$38="pvp",15,Inputs!$B$43)-MAX(5,B2823))/(IF(Inputs!$B$38="pvp",15,Inputs!$B$43)-(B2823))))*IF(AND(ArtifactsInput!$M$42,((Inputs!$B$9+((C2804=TRUE)*(F2804-Calc!F19))+B2816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799">
        <f>IF(C2799,((H2799*(B2820+IF(AND(Inputs!$B$38&lt;&gt;"pvp",Inputs!$B$43&gt;0),((Skills!G8*((R2793-1)*IF(Skills!H8&gt;0,INT(Skills!I8/Skills!H8+0.000000001),1)+IF(Skills!H8&gt;0,INT(MIN(Skills!I8,MAX(0,MAX(0,Inputs!$B$43-B2823)-((R2793-1)*((IF(Inputs!$B$38="pvp",15,MAX(0.1,Skills!D8-IF(TRUE=TRUE,Inputs!$B$32,0)))*(1-IF(AND(ArtifactsInput!$M$27,Inputs!$B$4="Chapter Hunt"),CHOOSE(ArtifactsInput!$N$27+1,20,24,28,32,36,40),0)/100))/B2827))))/Skills!H8+0.000000001),1)))/Inputs!$B$43),G2793*Q2793)+IF(AND(Inputs!$B$38&lt;&gt;"pvp",Inputs!$B$43&gt;0),((Skills!G11*((R2796-1)*IF(Skills!H11&gt;0,INT(Skills!I11/Skills!H11+0.000000001),1)+IF(Skills!H11&gt;0,INT(MIN(Skills!I11,MAX(0,MAX(0,Inputs!$B$43-B2823)-((R2796-1)*((IF(Inputs!$B$38="pvp",15,MAX(0.1,Skills!D11-IF(TRUE=TRUE,Inputs!$B$32,0)))*(1-IF(AND(ArtifactsInput!$M$27,Inputs!$B$4="Chapter Hunt"),CHOOSE(ArtifactsInput!$N$27+1,20,24,28,32,36,40),0)/100))/B2827))))/Skills!H11+0.000000001),1)))/Inputs!$B$43),G2796*Q2796)))/(1+Skills!H14*H2799*(B2820+IF(AND(Inputs!$B$38&lt;&gt;"pvp",Inputs!$B$43&gt;0),((Skills!G8*((R2793-1)*IF(Skills!H8&gt;0,INT(Skills!I8/Skills!H8+0.000000001),1)+IF(Skills!H8&gt;0,INT(MIN(Skills!I8,MAX(0,MAX(0,Inputs!$B$43-B2823)-((R2793-1)*((IF(Inputs!$B$38="pvp",15,MAX(0.1,Skills!D8-IF(TRUE=TRUE,Inputs!$B$32,0)))*(1-IF(AND(ArtifactsInput!$M$27,Inputs!$B$4="Chapter Hunt"),CHOOSE(ArtifactsInput!$N$27+1,20,24,28,32,36,40),0)/100))/B2827))))/Skills!H8+0.000000001),1)))/Inputs!$B$43),G2793*Q2793)+IF(AND(Inputs!$B$38&lt;&gt;"pvp",Inputs!$B$43&gt;0),((Skills!G11*((R2796-1)*IF(Skills!H11&gt;0,INT(Skills!I11/Skills!H11+0.000000001),1)+IF(Skills!H11&gt;0,INT(MIN(Skills!I11,MAX(0,MAX(0,Inputs!$B$43-B2823)-((R2796-1)*((IF(Inputs!$B$38="pvp",15,MAX(0.1,Skills!D11-IF(TRUE=TRUE,Inputs!$B$32,0)))*(1-IF(AND(ArtifactsInput!$M$27,Inputs!$B$4="Chapter Hunt"),CHOOSE(ArtifactsInput!$N$27+1,20,24,28,32,36,40),0)/100))/B2827))))/Skills!H11+0.000000001),1)))/Inputs!$B$43),G2796*Q2796)))*N2799)*IF(Inputs!$B$38="pvp",1,(1+(Inputs!$B$21+Skills!Q14+(IF(ArtifactsInput!$M$33,CHOOSE(ArtifactsInput!$N$33+1,30,36,42,48,54,60),0))+(IF(AND(ArtifactsInput!$M$35,Inputs!$B$4&lt;&gt;"Chapter Hunt"),CHOOSE(ArtifactsInput!$N$35+1,15,18,21,24,27,30)*(1-EXP(-(0.2*B2818)*5)),0)+IF(AND(ArtifactsInput!$M$22,Inputs!$B$4&lt;&gt;"Chapter Hunt"),CHOOSE(ArtifactsInput!$N$22+1,10,12,14,16,18,20)*((0*(((0.15*B2818*5))^0/1)+1*(((0.15*B2818*5))^1/1)+2*(((0.15*B2818*5))^2/2)+3*(((0.15*B2818*5))^3/6)+4*(((0.15*B2818*5))^4/24)+5*(((0.15*B2818*5))^5/120))/((((0.15*B2818*5))^0/1)+(((0.15*B2818*5))^1/1)+(((0.15*B2818*5))^2/2)+(((0.15*B2818*5))^3/6)+(((0.15*B2818*5))^4/24)+(((0.15*B2818*5))^5/120))),0))+IF(Inputs!$B$3&gt;=54,9*(C2788=TRUE)*MIN(1,8*(1+Inputs!$B$34/100)*Q2788),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00">
      <c r="A2800">
        <f>Skills!A15</f>
        <v/>
      </c>
      <c r="B2800">
        <f>Skills!B15</f>
        <v/>
      </c>
      <c r="C2800">
        <f>Inputs!$B$3&gt;=100</f>
        <v/>
      </c>
      <c r="D2800">
        <f>IF(Skills!C15=1,60+Inputs!$B$25+Inputs!$B$29,IF(Skills!C15=2,90+Inputs!$B$26+Inputs!$B$29,IF(Skills!C15=3,120+Inputs!$B$27+Inputs!$B$29,MAX(0,(Inputs!$B$3-100)*3)+Inputs!$B$28+Inputs!$B$29)))</f>
        <v/>
      </c>
      <c r="E2800">
        <f>INDEX(FactorTable!$B$2:$Y$301, MATCH(ROUND(MIN(300,MAX(1,D2800)),0), FactorTable!$A$2:$A$301,0), Skills!M15+1)</f>
        <v/>
      </c>
      <c r="F2800">
        <f>IF(Skills!N15=TRUE,(Skills!L15/10)*(E2800/1000),Skills!L15/10)+Skills!O15</f>
        <v/>
      </c>
      <c r="G2800" t="inlineStr"/>
      <c r="H2800" t="inlineStr"/>
      <c r="I2800" t="inlineStr">
        <is>
          <t>1</t>
        </is>
      </c>
      <c r="J2800" t="inlineStr"/>
      <c r="K2800" t="inlineStr"/>
      <c r="L2800" t="inlineStr"/>
      <c r="M2800" t="inlineStr"/>
      <c r="N2800" t="inlineStr"/>
      <c r="O2800" t="inlineStr"/>
      <c r="P2800" t="inlineStr"/>
      <c r="Q2800" t="inlineStr"/>
      <c r="R2800" t="inlineStr"/>
      <c r="S2800" t="inlineStr"/>
    </row>
    <row r="2801">
      <c r="A2801">
        <f>Skills!A16</f>
        <v/>
      </c>
      <c r="B2801">
        <f>Skills!B16</f>
        <v/>
      </c>
      <c r="C2801">
        <f>Inputs!$B$3&gt;=107</f>
        <v/>
      </c>
      <c r="D2801">
        <f>IF(Skills!C16=1,60+Inputs!$B$25+Inputs!$B$29,IF(Skills!C16=2,90+Inputs!$B$26+Inputs!$B$29,IF(Skills!C16=3,120+Inputs!$B$27+Inputs!$B$29,MAX(0,(Inputs!$B$3-100)*3)+Inputs!$B$28+Inputs!$B$29)))</f>
        <v/>
      </c>
      <c r="E2801">
        <f>INDEX(FactorTable!$B$2:$Y$301, MATCH(ROUND(MIN(300,MAX(1,D2801)),0), FactorTable!$A$2:$A$301,0), Skills!M16+1)</f>
        <v/>
      </c>
      <c r="F2801">
        <f>IF(Skills!N16=TRUE,(Skills!L16/10)*(E2801/1000),Skills!L16/10)+Skills!O16</f>
        <v/>
      </c>
      <c r="G2801" t="inlineStr"/>
      <c r="H2801" t="inlineStr"/>
      <c r="I2801" t="inlineStr">
        <is>
          <t>1</t>
        </is>
      </c>
      <c r="J2801" t="inlineStr"/>
      <c r="K2801" t="inlineStr"/>
      <c r="L2801" t="inlineStr"/>
      <c r="M2801" t="inlineStr"/>
      <c r="N2801" t="inlineStr"/>
      <c r="O2801" t="inlineStr"/>
      <c r="P2801" t="inlineStr"/>
      <c r="Q2801" t="inlineStr"/>
      <c r="R2801" t="inlineStr"/>
      <c r="S2801" t="inlineStr"/>
    </row>
    <row r="2802">
      <c r="A2802">
        <f>Skills!A17</f>
        <v/>
      </c>
      <c r="B2802">
        <f>Skills!B17</f>
        <v/>
      </c>
      <c r="C2802">
        <f>Inputs!$B$3&gt;=74</f>
        <v/>
      </c>
      <c r="D2802">
        <f>IF(Skills!C17=1,60+Inputs!$B$25+Inputs!$B$29,IF(Skills!C17=2,90+Inputs!$B$26+Inputs!$B$29,IF(Skills!C17=3,120+Inputs!$B$27+Inputs!$B$29,MAX(0,(Inputs!$B$3-100)*3)+Inputs!$B$28+Inputs!$B$29)))</f>
        <v/>
      </c>
      <c r="E2802">
        <f>INDEX(FactorTable!$B$2:$Y$301, MATCH(ROUND(MIN(300,MAX(1,D2802)),0), FactorTable!$A$2:$A$301,0), Skills!M17+1)</f>
        <v/>
      </c>
      <c r="F2802">
        <f>IF(Skills!N17=TRUE,(Skills!L17/10)*(E2802/1000),Skills!L17/10)+Skills!O17</f>
        <v/>
      </c>
      <c r="G2802">
        <f>Skills!G17*IF(Skills!H17&gt;0,INT(IF(Inputs!$B$38="pvp",MIN(Skills!I17,15),Skills!I17)/Skills!H17+0.000000001),1)</f>
        <v/>
      </c>
      <c r="H2802">
        <f>1-(1-Skills!J17/100)^Skills!K17</f>
        <v/>
      </c>
      <c r="I2802" t="inlineStr">
        <is>
          <t>1</t>
        </is>
      </c>
      <c r="J2802" t="inlineStr"/>
      <c r="K2802" t="inlineStr"/>
      <c r="L2802" t="inlineStr"/>
      <c r="M2802" t="inlineStr"/>
      <c r="N2802" t="inlineStr"/>
      <c r="O2802">
        <f>(1-Summary!$B$11)*T2802+Summary!$B$11*V2802</f>
        <v/>
      </c>
      <c r="P2802">
        <f>IF(B2826=0,0,O2802/B2826)</f>
        <v/>
      </c>
      <c r="Q2802" t="n">
        <v>0</v>
      </c>
      <c r="R2802" t="n">
        <v>0</v>
      </c>
      <c r="S2802">
        <f>IFERROR(O2802/N2802,0)</f>
        <v/>
      </c>
      <c r="T2802" t="n">
        <v>0</v>
      </c>
      <c r="V2802" t="n">
        <v>0</v>
      </c>
    </row>
    <row r="2803">
      <c r="A2803">
        <f>Skills!A18</f>
        <v/>
      </c>
      <c r="B2803">
        <f>Skills!B18</f>
        <v/>
      </c>
      <c r="C2803">
        <f>Inputs!$B$3&gt;=115</f>
        <v/>
      </c>
      <c r="D2803">
        <f>IF(Skills!C18=1,60+Inputs!$B$25+Inputs!$B$29,IF(Skills!C18=2,90+Inputs!$B$26+Inputs!$B$29,IF(Skills!C18=3,120+Inputs!$B$27+Inputs!$B$29,MAX(0,(Inputs!$B$3-100)*3)+Inputs!$B$28+Inputs!$B$29)))</f>
        <v/>
      </c>
      <c r="E2803">
        <f>INDEX(FactorTable!$B$2:$Y$301, MATCH(ROUND(MIN(300,MAX(1,D2803)),0), FactorTable!$A$2:$A$301,0), Skills!M18+1)</f>
        <v/>
      </c>
      <c r="F2803">
        <f>IF(Skills!N18=TRUE,(Skills!L18/10)*(E2803/1000),Skills!L18/10)+Skills!O18</f>
        <v/>
      </c>
      <c r="G2803">
        <f>Skills!G18*IF(Skills!H18&gt;0,INT(IF(Inputs!$B$38="pvp",MIN(Skills!I18,15),Skills!I18)/Skills!H18+0.000000001),1)</f>
        <v/>
      </c>
      <c r="H2803">
        <f>1-(1-Skills!J18/100)^Skills!K18</f>
        <v/>
      </c>
      <c r="I2803" t="inlineStr">
        <is>
          <t>1</t>
        </is>
      </c>
      <c r="J2803" t="inlineStr"/>
      <c r="K2803" t="inlineStr"/>
      <c r="L2803" t="inlineStr"/>
      <c r="M2803" t="inlineStr"/>
      <c r="N2803" t="inlineStr"/>
      <c r="O2803">
        <f>(1-Summary!$B$11)*T2803+Summary!$B$11*V2803</f>
        <v/>
      </c>
      <c r="P2803">
        <f>IF(B2826=0,0,O2803/B2826)</f>
        <v/>
      </c>
      <c r="Q2803">
        <f>IFERROR(1/(IF(Inputs!$B$38="pvp",15,MAX(0.1,Skills!D18-IF(TRUE=TRUE,Inputs!$B$32,0)))*(1-IF(AND(ArtifactsInput!$M$27,Inputs!$B$4="Chapter Hunt"),CHOOSE(ArtifactsInput!$N$27+1,20,24,28,32,36,40),0)/100)),0)</f>
        <v/>
      </c>
      <c r="R2803">
        <f>IF(AND(Inputs!$B$38&lt;&gt;"pvp",Inputs!$B$43&gt;0),IF(Inputs!$B$43&lt;=0,0,(INT(Inputs!$B$43/(IF(Inputs!$B$38="pvp",15,MAX(0.1,Skills!D18-IF(TRUE=TRUE,Inputs!$B$32,0)))*(1-IF(AND(ArtifactsInput!$M$27,Inputs!$B$4="Chapter Hunt"),CHOOSE(ArtifactsInput!$N$27+1,20,24,28,32,36,40),0)/100)))+1)),0)</f>
        <v/>
      </c>
      <c r="S2803">
        <f>IFERROR(O2803/N2803,0)</f>
        <v/>
      </c>
      <c r="T2803" t="n">
        <v>0</v>
      </c>
      <c r="V2803" t="n">
        <v>0</v>
      </c>
    </row>
    <row r="2804">
      <c r="A2804">
        <f>Skills!A19</f>
        <v/>
      </c>
      <c r="B2804">
        <f>Skills!B19</f>
        <v/>
      </c>
      <c r="C2804">
        <f>Inputs!$B$3&gt;=10</f>
        <v/>
      </c>
      <c r="D2804">
        <f>IF(Skills!C19=1,60+Inputs!$B$25+Inputs!$B$29,IF(Skills!C19=2,90+Inputs!$B$26+Inputs!$B$29,IF(Skills!C19=3,120+Inputs!$B$27+Inputs!$B$29,MAX(0,(Inputs!$B$3-100)*3)+Inputs!$B$28+Inputs!$B$29)))</f>
        <v/>
      </c>
      <c r="E2804">
        <f>INDEX(FactorTable!$B$2:$Y$301, MATCH(ROUND(MIN(300,MAX(1,D2804)),0), FactorTable!$A$2:$A$301,0), Skills!M19+1)</f>
        <v/>
      </c>
      <c r="F2804">
        <f>IF(Skills!N19=TRUE,(Skills!L19/10)*(E2804/1000),Skills!L19/10)+Skills!O19</f>
        <v/>
      </c>
      <c r="G2804">
        <f>Skills!G19*IF(Skills!H19&gt;0,INT(IF(Inputs!$B$38="pvp",MIN(Skills!I19,15),Skills!I19)/Skills!H19+0.000000001),1)</f>
        <v/>
      </c>
      <c r="H2804">
        <f>1-(1-Skills!J19/100)^Skills!K19</f>
        <v/>
      </c>
      <c r="I2804" t="inlineStr">
        <is>
          <t>1</t>
        </is>
      </c>
      <c r="J2804" t="inlineStr"/>
      <c r="K2804" t="inlineStr"/>
      <c r="L2804" t="inlineStr"/>
      <c r="M2804" t="inlineStr"/>
      <c r="N2804" t="inlineStr"/>
      <c r="O2804">
        <f>(1-Summary!$B$11)*T2804+Summary!$B$11*V2804</f>
        <v/>
      </c>
      <c r="P2804">
        <f>IF(B2826=0,0,O2804/B2826)</f>
        <v/>
      </c>
      <c r="Q2804" t="n">
        <v>0</v>
      </c>
      <c r="R2804" t="n">
        <v>0</v>
      </c>
      <c r="S2804">
        <f>IFERROR(O2804/N2804,0)</f>
        <v/>
      </c>
      <c r="T2804" t="n">
        <v>0</v>
      </c>
      <c r="V2804" t="n">
        <v>0</v>
      </c>
    </row>
    <row r="2805">
      <c r="A2805">
        <f>Skills!A20</f>
        <v/>
      </c>
      <c r="B2805">
        <f>Skills!B20</f>
        <v/>
      </c>
      <c r="C2805">
        <f>Inputs!$B$3&gt;=15</f>
        <v/>
      </c>
      <c r="D2805">
        <f>IF(Skills!C20=1,60+Inputs!$B$25+Inputs!$B$29,IF(Skills!C20=2,90+Inputs!$B$26+Inputs!$B$29,IF(Skills!C20=3,120+Inputs!$B$27+Inputs!$B$29,MAX(0,(Inputs!$B$3-100)*3)+Inputs!$B$28+Inputs!$B$29)))</f>
        <v/>
      </c>
      <c r="E2805">
        <f>INDEX(FactorTable!$B$2:$Y$301, MATCH(ROUND(MIN(300,MAX(1,D2805)),0), FactorTable!$A$2:$A$301,0), Skills!M20+1)</f>
        <v/>
      </c>
      <c r="F2805">
        <f>IF(Skills!N20=TRUE,(Skills!L20/10)*(E2805/1000),Skills!L20/10)+Skills!O20</f>
        <v/>
      </c>
      <c r="G2805">
        <f>Skills!G20*IF(Skills!H20&gt;0,INT(IF(Inputs!$B$38="pvp",MIN(Skills!I20,15),Skills!I20)/Skills!H20+0.000000001),1)</f>
        <v/>
      </c>
      <c r="H2805">
        <f>1-(1-Skills!J20/100)^Skills!K20</f>
        <v/>
      </c>
      <c r="I2805" t="inlineStr">
        <is>
          <t>1</t>
        </is>
      </c>
      <c r="J2805" t="inlineStr"/>
      <c r="K2805" t="inlineStr"/>
      <c r="L2805" t="inlineStr"/>
      <c r="M2805" t="inlineStr"/>
      <c r="N2805" t="inlineStr"/>
      <c r="O2805">
        <f>(1-Summary!$B$11)*T2805+Summary!$B$11*V2805</f>
        <v/>
      </c>
      <c r="P2805">
        <f>IF(B2826=0,0,O2805/B2826)</f>
        <v/>
      </c>
      <c r="Q2805" t="n">
        <v>0</v>
      </c>
      <c r="R2805" t="n">
        <v>0</v>
      </c>
      <c r="S2805">
        <f>IFERROR(O2805/N2805,0)</f>
        <v/>
      </c>
      <c r="T2805" t="n">
        <v>0</v>
      </c>
      <c r="V2805" t="n">
        <v>0</v>
      </c>
    </row>
    <row r="2806">
      <c r="A2806">
        <f>Skills!A21</f>
        <v/>
      </c>
      <c r="B2806">
        <f>Skills!B21</f>
        <v/>
      </c>
      <c r="C2806">
        <f>Inputs!$B$3&gt;=40</f>
        <v/>
      </c>
      <c r="D2806">
        <f>IF(Skills!C21=1,60+Inputs!$B$25+Inputs!$B$29,IF(Skills!C21=2,90+Inputs!$B$26+Inputs!$B$29,IF(Skills!C21=3,120+Inputs!$B$27+Inputs!$B$29,MAX(0,(Inputs!$B$3-100)*3)+Inputs!$B$28+Inputs!$B$29)))</f>
        <v/>
      </c>
      <c r="E2806">
        <f>INDEX(FactorTable!$B$2:$Y$301, MATCH(ROUND(MIN(300,MAX(1,D2806)),0), FactorTable!$A$2:$A$301,0), Skills!M21+1)</f>
        <v/>
      </c>
      <c r="F2806">
        <f>IF(Skills!N21=TRUE,(Skills!L21/10)*(E2806/1000),Skills!L21/10)+Skills!O21</f>
        <v/>
      </c>
      <c r="G2806">
        <f>Skills!G21*IF(Skills!H21&gt;0,INT(IF(Inputs!$B$38="pvp",MIN(Skills!I21,15),Skills!I21)/Skills!H21+0.000000001),1)</f>
        <v/>
      </c>
      <c r="H2806">
        <f>1-(1-Skills!J21/100)^Skills!K21</f>
        <v/>
      </c>
      <c r="I2806" t="inlineStr">
        <is>
          <t>1</t>
        </is>
      </c>
      <c r="J2806" t="inlineStr"/>
      <c r="K2806" t="inlineStr"/>
      <c r="L2806" t="inlineStr"/>
      <c r="M2806" t="inlineStr"/>
      <c r="N2806" t="inlineStr"/>
      <c r="O2806">
        <f>(1-Summary!$B$11)*T2806+Summary!$B$11*V2806</f>
        <v/>
      </c>
      <c r="P2806">
        <f>IF(B2826=0,0,O2806/B2826)</f>
        <v/>
      </c>
      <c r="Q2806" t="n">
        <v>0</v>
      </c>
      <c r="R2806" t="n">
        <v>0</v>
      </c>
      <c r="S2806">
        <f>IFERROR(O2806/N2806,0)</f>
        <v/>
      </c>
      <c r="T2806" t="n">
        <v>0</v>
      </c>
      <c r="V2806" t="n">
        <v>0</v>
      </c>
    </row>
    <row r="2807">
      <c r="A2807">
        <f>Skills!A22</f>
        <v/>
      </c>
      <c r="B2807">
        <f>Skills!B22</f>
        <v/>
      </c>
      <c r="C2807">
        <f>Inputs!$B$3&gt;=43</f>
        <v/>
      </c>
      <c r="D2807">
        <f>IF(Skills!C22=1,60+Inputs!$B$25+Inputs!$B$29,IF(Skills!C22=2,90+Inputs!$B$26+Inputs!$B$29,IF(Skills!C22=3,120+Inputs!$B$27+Inputs!$B$29,MAX(0,(Inputs!$B$3-100)*3)+Inputs!$B$28+Inputs!$B$29)))</f>
        <v/>
      </c>
      <c r="E2807">
        <f>INDEX(FactorTable!$B$2:$Y$301, MATCH(ROUND(MIN(300,MAX(1,D2807)),0), FactorTable!$A$2:$A$301,0), Skills!M22+1)</f>
        <v/>
      </c>
      <c r="F2807">
        <f>IF(Skills!N22=TRUE,(Skills!L22/10)*(E2807/1000),Skills!L22/10)+Skills!O22</f>
        <v/>
      </c>
      <c r="G2807">
        <f>Skills!G22*IF(Skills!H22&gt;0,INT(IF(Inputs!$B$38="pvp",MIN(Skills!I22,15),Skills!I22)/Skills!H22+0.000000001),1)</f>
        <v/>
      </c>
      <c r="H2807">
        <f>1-(1-Skills!J22/100)^Skills!K22</f>
        <v/>
      </c>
      <c r="I2807" t="inlineStr">
        <is>
          <t>1</t>
        </is>
      </c>
      <c r="J2807" t="inlineStr"/>
      <c r="K2807" t="inlineStr"/>
      <c r="L2807" t="inlineStr"/>
      <c r="M2807" t="inlineStr"/>
      <c r="N2807" t="inlineStr"/>
      <c r="O2807">
        <f>(1-Summary!$B$11)*T2807+Summary!$B$11*V2807</f>
        <v/>
      </c>
      <c r="P2807">
        <f>IF(B2826=0,0,O2807/B2826)</f>
        <v/>
      </c>
      <c r="Q2807" t="n">
        <v>0</v>
      </c>
      <c r="R2807" t="n">
        <v>0</v>
      </c>
      <c r="S2807">
        <f>IFERROR(O2807/N2807,0)</f>
        <v/>
      </c>
      <c r="T2807" t="n">
        <v>0</v>
      </c>
      <c r="V2807" t="n">
        <v>0</v>
      </c>
    </row>
    <row r="2808">
      <c r="A2808">
        <f>Skills!A23</f>
        <v/>
      </c>
      <c r="B2808">
        <f>Skills!B23</f>
        <v/>
      </c>
      <c r="C2808">
        <f>Inputs!$B$3&gt;=38</f>
        <v/>
      </c>
      <c r="D2808">
        <f>IF(Skills!C23=1,60+Inputs!$B$25+Inputs!$B$29,IF(Skills!C23=2,90+Inputs!$B$26+Inputs!$B$29,IF(Skills!C23=3,120+Inputs!$B$27+Inputs!$B$29,MAX(0,(Inputs!$B$3-100)*3)+Inputs!$B$28+Inputs!$B$29)))</f>
        <v/>
      </c>
      <c r="E2808">
        <f>INDEX(FactorTable!$B$2:$Y$301, MATCH(ROUND(MIN(300,MAX(1,D2808)),0), FactorTable!$A$2:$A$301,0), Skills!M23+1)</f>
        <v/>
      </c>
      <c r="F2808">
        <f>IF(Skills!N23=TRUE,(Skills!L23/10)*(E2808/1000),Skills!L23/10)+Skills!O23</f>
        <v/>
      </c>
      <c r="G2808">
        <f>Skills!G23*IF(Skills!H23&gt;0,INT(IF(Inputs!$B$38="pvp",MIN(Skills!I23,15),Skills!I23)/Skills!H23+0.000000001),1)</f>
        <v/>
      </c>
      <c r="H2808">
        <f>1-(1-Skills!J23/100)^Skills!K23</f>
        <v/>
      </c>
      <c r="I2808" t="inlineStr">
        <is>
          <t>1</t>
        </is>
      </c>
      <c r="J2808" t="inlineStr"/>
      <c r="K2808" t="inlineStr"/>
      <c r="L2808" t="inlineStr"/>
      <c r="M2808" t="inlineStr"/>
      <c r="N2808" t="inlineStr"/>
      <c r="O2808">
        <f>(1-Summary!$B$11)*T2808+Summary!$B$11*V2808</f>
        <v/>
      </c>
      <c r="P2808">
        <f>IF(B2826=0,0,O2808/B2826)</f>
        <v/>
      </c>
      <c r="Q2808" t="n">
        <v>0</v>
      </c>
      <c r="R2808" t="n">
        <v>0</v>
      </c>
      <c r="S2808">
        <f>IFERROR(O2808/N2808,0)</f>
        <v/>
      </c>
      <c r="T2808" t="n">
        <v>0</v>
      </c>
      <c r="V2808" t="n">
        <v>0</v>
      </c>
    </row>
    <row r="2809">
      <c r="A2809">
        <f>Skills!A24</f>
        <v/>
      </c>
      <c r="B2809">
        <f>Skills!B24</f>
        <v/>
      </c>
      <c r="C2809">
        <f>Inputs!$B$3&gt;=45</f>
        <v/>
      </c>
      <c r="D2809">
        <f>IF(Skills!C24=1,60+Inputs!$B$25+Inputs!$B$29,IF(Skills!C24=2,90+Inputs!$B$26+Inputs!$B$29,IF(Skills!C24=3,120+Inputs!$B$27+Inputs!$B$29,MAX(0,(Inputs!$B$3-100)*3)+Inputs!$B$28+Inputs!$B$29)))</f>
        <v/>
      </c>
      <c r="E2809">
        <f>INDEX(FactorTable!$B$2:$Y$301, MATCH(ROUND(MIN(300,MAX(1,D2809)),0), FactorTable!$A$2:$A$301,0), Skills!M24+1)</f>
        <v/>
      </c>
      <c r="F2809">
        <f>IF(Skills!N24=TRUE,(Skills!L24/10)*(E2809/1000),Skills!L24/10)+Skills!O24</f>
        <v/>
      </c>
      <c r="G2809">
        <f>Skills!G24*IF(Skills!H24&gt;0,INT(IF(Inputs!$B$38="pvp",MIN(Skills!I24,15),Skills!I24)/Skills!H24+0.000000001),1)</f>
        <v/>
      </c>
      <c r="H2809">
        <f>1-(1-Skills!J24/100)^Skills!K24</f>
        <v/>
      </c>
      <c r="I2809" t="inlineStr">
        <is>
          <t>1</t>
        </is>
      </c>
      <c r="J2809" t="inlineStr"/>
      <c r="K2809" t="inlineStr"/>
      <c r="L2809" t="inlineStr"/>
      <c r="M2809" t="inlineStr"/>
      <c r="N2809" t="inlineStr"/>
      <c r="O2809">
        <f>(1-Summary!$B$11)*T2809+Summary!$B$11*V2809</f>
        <v/>
      </c>
      <c r="P2809">
        <f>IF(B2826=0,0,O2809/B2826)</f>
        <v/>
      </c>
      <c r="Q2809" t="n">
        <v>0</v>
      </c>
      <c r="R2809" t="n">
        <v>0</v>
      </c>
      <c r="S2809">
        <f>IFERROR(O2809/N2809,0)</f>
        <v/>
      </c>
      <c r="T2809" t="n">
        <v>0</v>
      </c>
      <c r="V2809" t="n">
        <v>0</v>
      </c>
    </row>
    <row r="2810">
      <c r="A2810">
        <f>Skills!A25</f>
        <v/>
      </c>
      <c r="B2810">
        <f>Skills!B25</f>
        <v/>
      </c>
      <c r="C2810">
        <f>Inputs!$B$3&gt;=72</f>
        <v/>
      </c>
      <c r="D2810">
        <f>IF(Skills!C25=1,60+Inputs!$B$25+Inputs!$B$29,IF(Skills!C25=2,90+Inputs!$B$26+Inputs!$B$29,IF(Skills!C25=3,120+Inputs!$B$27+Inputs!$B$29,MAX(0,(Inputs!$B$3-100)*3)+Inputs!$B$28+Inputs!$B$29)))</f>
        <v/>
      </c>
      <c r="E2810">
        <f>INDEX(FactorTable!$B$2:$Y$301, MATCH(ROUND(MIN(300,MAX(1,D2810)),0), FactorTable!$A$2:$A$301,0), Skills!M25+1)</f>
        <v/>
      </c>
      <c r="F2810">
        <f>IF(Skills!N25=TRUE,(Skills!L25/10)*(E2810/1000),Skills!L25/10)+Skills!O25</f>
        <v/>
      </c>
      <c r="G2810">
        <f>Skills!G25*IF(Skills!H25&gt;0,INT(IF(Inputs!$B$38="pvp",MIN(Skills!I25,15),Skills!I25)/Skills!H25+0.000000001),1)</f>
        <v/>
      </c>
      <c r="H2810">
        <f>1-(1-Skills!J25/100)^Skills!K25</f>
        <v/>
      </c>
      <c r="I2810" t="inlineStr">
        <is>
          <t>1</t>
        </is>
      </c>
      <c r="J2810" t="inlineStr"/>
      <c r="K2810" t="inlineStr"/>
      <c r="L2810" t="inlineStr"/>
      <c r="M2810" t="inlineStr"/>
      <c r="N2810" t="inlineStr"/>
      <c r="O2810">
        <f>(1-Summary!$B$11)*T2810+Summary!$B$11*V2810</f>
        <v/>
      </c>
      <c r="P2810">
        <f>IF(B2826=0,0,O2810/B2826)</f>
        <v/>
      </c>
      <c r="Q2810" t="n">
        <v>0</v>
      </c>
      <c r="R2810" t="n">
        <v>0</v>
      </c>
      <c r="S2810">
        <f>IFERROR(O2810/N2810,0)</f>
        <v/>
      </c>
      <c r="T2810" t="n">
        <v>0</v>
      </c>
      <c r="V2810" t="n">
        <v>0</v>
      </c>
    </row>
    <row r="2811">
      <c r="A2811">
        <f>Skills!A26</f>
        <v/>
      </c>
      <c r="B2811">
        <f>Skills!B26</f>
        <v/>
      </c>
      <c r="C2811">
        <f>Inputs!$B$3&gt;=75</f>
        <v/>
      </c>
      <c r="D2811">
        <f>IF(Skills!C26=1,60+Inputs!$B$25+Inputs!$B$29,IF(Skills!C26=2,90+Inputs!$B$26+Inputs!$B$29,IF(Skills!C26=3,120+Inputs!$B$27+Inputs!$B$29,MAX(0,(Inputs!$B$3-100)*3)+Inputs!$B$28+Inputs!$B$29)))</f>
        <v/>
      </c>
      <c r="E2811">
        <f>INDEX(FactorTable!$B$2:$Y$301, MATCH(ROUND(MIN(300,MAX(1,D2811)),0), FactorTable!$A$2:$A$301,0), Skills!M26+1)</f>
        <v/>
      </c>
      <c r="F2811">
        <f>IF(Skills!N26=TRUE,(Skills!L26/10)*(E2811/1000),Skills!L26/10)+Skills!O26</f>
        <v/>
      </c>
      <c r="G2811">
        <f>Skills!G26*IF(Skills!H26&gt;0,INT(IF(Inputs!$B$38="pvp",MIN(Skills!I26,15),Skills!I26)/Skills!H26+0.000000001),1)</f>
        <v/>
      </c>
      <c r="H2811">
        <f>1-(1-Skills!J26/100)^Skills!K26</f>
        <v/>
      </c>
      <c r="I2811" t="inlineStr">
        <is>
          <t>1</t>
        </is>
      </c>
      <c r="J2811" t="inlineStr"/>
      <c r="K2811" t="inlineStr"/>
      <c r="L2811" t="inlineStr"/>
      <c r="M2811" t="inlineStr"/>
      <c r="N2811" t="inlineStr"/>
      <c r="O2811">
        <f>(1-Summary!$B$11)*T2811+Summary!$B$11*V2811</f>
        <v/>
      </c>
      <c r="P2811">
        <f>IF(B2826=0,0,O2811/B2826)</f>
        <v/>
      </c>
      <c r="Q2811" t="n">
        <v>0</v>
      </c>
      <c r="R2811" t="n">
        <v>0</v>
      </c>
      <c r="S2811">
        <f>IFERROR(O2811/N2811,0)</f>
        <v/>
      </c>
      <c r="T2811" t="n">
        <v>0</v>
      </c>
      <c r="V2811" t="n">
        <v>0</v>
      </c>
    </row>
    <row r="2812">
      <c r="A2812">
        <f>Skills!A27</f>
        <v/>
      </c>
      <c r="B2812">
        <f>Skills!B27</f>
        <v/>
      </c>
      <c r="C2812">
        <f>Inputs!$B$3&gt;=125</f>
        <v/>
      </c>
      <c r="D2812">
        <f>IF(Skills!C27=1,60+Inputs!$B$25+Inputs!$B$29,IF(Skills!C27=2,90+Inputs!$B$26+Inputs!$B$29,IF(Skills!C27=3,120+Inputs!$B$27+Inputs!$B$29,MAX(0,(Inputs!$B$3-100)*3)+Inputs!$B$28+Inputs!$B$29)))</f>
        <v/>
      </c>
      <c r="E2812">
        <f>INDEX(FactorTable!$B$2:$Y$301, MATCH(ROUND(MIN(300,MAX(1,D2812)),0), FactorTable!$A$2:$A$301,0), Skills!M27+1)</f>
        <v/>
      </c>
      <c r="F2812">
        <f>IF(Skills!N27=TRUE,(Skills!L27/10)*(E2812/1000),Skills!L27/10)+Skills!O27</f>
        <v/>
      </c>
      <c r="G2812">
        <f>Skills!G27*IF(Skills!H27&gt;0,INT(IF(Inputs!$B$38="pvp",MIN(Skills!I27,15),Skills!I27)/Skills!H27+0.000000001),1)</f>
        <v/>
      </c>
      <c r="H2812">
        <f>1-(1-Skills!J27/100)^Skills!K27</f>
        <v/>
      </c>
      <c r="I2812" t="inlineStr">
        <is>
          <t>1</t>
        </is>
      </c>
      <c r="J2812" t="inlineStr"/>
      <c r="K2812" t="inlineStr"/>
      <c r="L2812" t="inlineStr"/>
      <c r="M2812" t="inlineStr"/>
      <c r="N2812" t="inlineStr"/>
      <c r="O2812">
        <f>(1-Summary!$B$11)*T2812+Summary!$B$11*V2812</f>
        <v/>
      </c>
      <c r="P2812">
        <f>IF(B2826=0,0,O2812/B2826)</f>
        <v/>
      </c>
      <c r="Q2812" t="n">
        <v>0</v>
      </c>
      <c r="R2812" t="n">
        <v>0</v>
      </c>
      <c r="S2812">
        <f>IFERROR(O2812/N2812,0)</f>
        <v/>
      </c>
      <c r="T2812" t="n">
        <v>0</v>
      </c>
      <c r="V2812" t="n">
        <v>0</v>
      </c>
    </row>
    <row r="2813">
      <c r="A2813">
        <f>Skills!A28</f>
        <v/>
      </c>
      <c r="B2813">
        <f>Skills!B28</f>
        <v/>
      </c>
      <c r="C2813">
        <f>TRUE</f>
        <v/>
      </c>
      <c r="D2813">
        <f>IF(Skills!C28=1,60+Inputs!$B$25+Inputs!$B$29,IF(Skills!C28=2,90+Inputs!$B$26+Inputs!$B$29,IF(Skills!C28=3,120+Inputs!$B$27+Inputs!$B$29,MAX(0,(Inputs!$B$3-100)*3)+Inputs!$B$28+Inputs!$B$29)))</f>
        <v/>
      </c>
      <c r="E2813">
        <f>INDEX(FactorTable!$B$2:$Y$301, MATCH(ROUND(MIN(300,MAX(1,D2813)),0), FactorTable!$A$2:$A$301,0), Skills!M28+1)</f>
        <v/>
      </c>
      <c r="F2813">
        <f>IF(Skills!N28=TRUE,(Skills!L28/10)*(E2813/1000),Skills!L28/10)+Skills!O28</f>
        <v/>
      </c>
      <c r="G2813">
        <f>Skills!G28*IF(Skills!H28&gt;0,INT(IF(Inputs!$B$38="pvp",MIN(Skills!I28,15),Skills!I28)/Skills!H28+0.000000001),1)</f>
        <v/>
      </c>
      <c r="H2813">
        <f>1-(1-Skills!J28/100)^Skills!K28</f>
        <v/>
      </c>
      <c r="I2813" t="inlineStr">
        <is>
          <t>1</t>
        </is>
      </c>
      <c r="J2813" t="inlineStr"/>
      <c r="K2813" t="inlineStr"/>
      <c r="L2813" t="inlineStr"/>
      <c r="M2813" t="inlineStr"/>
      <c r="N2813" t="inlineStr"/>
      <c r="O2813">
        <f>(1-Summary!$B$11)*T2813+Summary!$B$11*V2813</f>
        <v/>
      </c>
      <c r="P2813">
        <f>IF(B2826=0,0,O2813/B2826)</f>
        <v/>
      </c>
      <c r="Q2813">
        <f>IFERROR(1/(IF(Inputs!$B$38="pvp",15,MAX(0.1,Skills!D28-IF(TRUE=TRUE,Inputs!$B$32,0)))*(1-IF(AND(ArtifactsInput!$M$27,Inputs!$B$4="Chapter Hunt"),CHOOSE(ArtifactsInput!$N$27+1,20,24,28,32,36,40),0)/100)),0)</f>
        <v/>
      </c>
      <c r="R2813">
        <f>IF(AND(Inputs!$B$38&lt;&gt;"pvp",Inputs!$B$43&gt;0),IF(Inputs!$B$43&lt;=0,0,(INT(Inputs!$B$43/(IF(Inputs!$B$38="pvp",15,MAX(0.1,Skills!D28-IF(TRUE=TRUE,Inputs!$B$32,0)))*(1-IF(AND(ArtifactsInput!$M$27,Inputs!$B$4="Chapter Hunt"),CHOOSE(ArtifactsInput!$N$27+1,20,24,28,32,36,40),0)/100)))+1)),0)</f>
        <v/>
      </c>
      <c r="S2813">
        <f>IFERROR(O2813/N2813,0)</f>
        <v/>
      </c>
      <c r="T2813" t="n">
        <v>0</v>
      </c>
      <c r="V2813" t="n">
        <v>0</v>
      </c>
    </row>
    <row r="2815">
      <c r="A2815" t="inlineStr">
        <is>
          <t>Attack% Bucket Multiplier</t>
        </is>
      </c>
      <c r="B2815">
        <f>(1+(((C2802=TRUE)*F2802*5/7)+((C2809=TRUE)*(F2809-Calc!F24))+(IF(ArtifactsInput!$M$21,CHOOSE(ArtifactsInput!$N$21+1,25,30,35,40,45,50)*(IF(OR(Inputs!$B$4="Chapter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IF(ArtifactsInput!$M$40,FALSE,TRUE),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816">
      <c r="A2816" t="inlineStr">
        <is>
          <t>Global Crit Rate Bonus %</t>
        </is>
      </c>
      <c r="B2816" t="n">
        <v>0</v>
      </c>
    </row>
    <row r="2817">
      <c r="A2817" t="inlineStr">
        <is>
          <t>Attack Speed Buff Bonus % (Nimble Feet, duty-cycle averaged)</t>
        </is>
      </c>
      <c r="B2817">
        <f>((C2813=TRUE)*F2813*IF(AND(Inputs!$B$38&lt;&gt;"pvp",Inputs!$B$43&gt;0),(((R2813-1)*MIN((Skills!T28*(1+Inputs!$B$34/100)),(1/Q2813))+MIN((Skills!T28*(1+Inputs!$B$34/100)),MAX(0,Inputs!$B$43-((R2813-1)*(1/Q2813)))))/Inputs!$B$43),IF(Inputs!$B$38="pvp",MIN((Skills!T28*(1+Inputs!$B$34/100)),15)/15,MIN(1,(Skills!T28*(1+Inputs!$B$34/100))/(1/Q2813)))))</f>
        <v/>
      </c>
    </row>
    <row r="2818">
      <c r="A2818" t="inlineStr">
        <is>
          <t>Actions Per Second</t>
        </is>
      </c>
      <c r="B2818">
        <f>1+MIN(150,150*(1-(1-(Inputs!$B$11+((C2805=TRUE)*(F2805-Calc!F20))+((C2806=TRUE)*(F2806-Calc!F21)))/150)*(1-B2817/150)))/100</f>
        <v/>
      </c>
    </row>
    <row r="2819">
      <c r="A2819" t="inlineStr">
        <is>
          <t>Skill + Buff Cast Rate</t>
        </is>
      </c>
      <c r="B2819">
        <f>IF(AND(Inputs!$B$38&lt;&gt;"pvp",Inputs!$B$43&gt;0),SUMPRODUCT((Skills!E2:E28=TRUE)*(C2787:C2813=TRUE)*R2787:R2813*Skills!F2:F28)/Inputs!$B$43,SUMPRODUCT((Skills!E2:E28=TRUE)*(C2787:C2813=TRUE)*Q2787:Q2813*Skills!F2:F28))</f>
        <v/>
      </c>
    </row>
    <row r="2820">
      <c r="A2820" t="inlineStr">
        <is>
          <t>Eight-Legs Easton Casts Per Second</t>
        </is>
      </c>
      <c r="B2820">
        <f>MAX(0,B2818-B2819)</f>
        <v/>
      </c>
    </row>
    <row r="2821">
      <c r="A2821" t="inlineStr">
        <is>
          <t>Global Critical Damage Bonus % (unused)</t>
        </is>
      </c>
      <c r="B2821" t="n">
        <v>0</v>
      </c>
    </row>
    <row r="2822">
      <c r="A2822" t="inlineStr">
        <is>
          <t>Global Final Damage Bonus % (Jolly Roger + Ahoy Mateys - Final Damage proc)</t>
        </is>
      </c>
      <c r="B2822">
        <f>((C2803=TRUE)*F2803*IF(AND(Inputs!$B$38&lt;&gt;"pvp",Inputs!$B$43&gt;0),(((R2803-1)*MIN((Skills!T18*(1+Inputs!$B$34/100)),(1/Q2803))+MIN((Skills!T18*(1+Inputs!$B$34/100)),MAX(0,Inputs!$B$43-((R2803-1)*(1/Q2803)))))/Inputs!$B$43),IF(Inputs!$B$38="pvp",MIN((Skills!T18*(1+Inputs!$B$34/100)),15)/15,MIN(1,(Skills!T18*(1+Inputs!$B$34/100))/(1/Q2803)))))+IF(Inputs!$B$3&gt;=122,20*IF(Inputs!$B$38="pvp",MIN((20*(1+Inputs!$B$34/100)),15)/15,MIN(1,(20*(1+Inputs!$B$34/100))/(1/Q2789))),0)</f>
        <v/>
      </c>
    </row>
    <row r="2823">
      <c r="A2823" t="inlineStr">
        <is>
          <t>Buff-Casting Startup Delay (s, fixed-duration only)</t>
        </is>
      </c>
      <c r="B2823">
        <f>IF(AND(Inputs!$B$38&lt;&gt;"pvp",Inputs!$B$43&gt;0),SUMPRODUCT((Skills!T2:T28&gt;0)*(Skills!E2:E28=TRUE)*(C2787:C2813=TRUE))/B2818,0)</f>
        <v/>
      </c>
    </row>
    <row r="2824">
      <c r="A2824" t="inlineStr">
        <is>
          <t>Boss-Only Total DPS (this block's swept value)</t>
        </is>
      </c>
      <c r="B2824">
        <f>SUM(T2787:T2813)</f>
        <v/>
      </c>
    </row>
    <row r="2825">
      <c r="A2825" t="inlineStr">
        <is>
          <t>Normal-Only Total DPS (this block's swept value)</t>
        </is>
      </c>
      <c r="B2825">
        <f>SUM(V2787:V2813)</f>
        <v/>
      </c>
    </row>
    <row r="2826">
      <c r="A2826" s="6" t="inlineStr">
        <is>
          <t>TOTAL DPS</t>
        </is>
      </c>
      <c r="B2826" s="6">
        <f>SUM(O2787:O2813)</f>
        <v/>
      </c>
    </row>
    <row r="2827">
      <c r="A2827" t="inlineStr">
        <is>
          <t>Quickdraw cooldown divisor (this block's own APS / Q)</t>
        </is>
      </c>
      <c r="B2827">
        <f>IF(AND(C2812=TRUE,Inputs!$B$38&lt;&gt;"pvp"),1+0.25*MAX(0,(B2818-(((C2788=TRUE)*Q2788*1)+((C2789=TRUE)*Q2789*1)+((C2791=TRUE)*Q2791*1)+((C2792=TRUE)*Q2792*1)+((C2794=TRUE)*Q2794*1)+((C2797=TRUE)*Q2797*1)+((C2803=TRUE)*Q2803*1)+((C2813=TRUE)*Q2813*1))-((C2793=TRUE)/(IF(Inputs!$B$38="pvp",15,MAX(0.1,Skills!D8-IF(TRUE=TRUE,Inputs!$B$32,0)))*(1-IF(AND(ArtifactsInput!$M$27,Inputs!$B$4="Chapter Hunt"),CHOOSE(ArtifactsInput!$N$27+1,20,24,28,32,36,40),0)/100))+(C2796=TRUE)/(IF(Inputs!$B$38="pvp",15,MAX(0.1,Skills!D11-IF(TRUE=TRUE,Inputs!$B$32,0)))*(1-IF(AND(ArtifactsInput!$M$27,Inputs!$B$4="Chapter Hunt"),CHOOSE(ArtifactsInput!$N$27+1,20,24,28,32,36,40),0)/100))))/(1+0.25*((C2793=TRUE)/(IF(Inputs!$B$38="pvp",15,MAX(0.1,Skills!D8-IF(TRUE=TRUE,Inputs!$B$32,0)))*(1-IF(AND(ArtifactsInput!$M$27,Inputs!$B$4="Chapter Hunt"),CHOOSE(ArtifactsInput!$N$27+1,20,24,28,32,36,40),0)/100))+(C2796=TRUE)/(IF(Inputs!$B$38="pvp",15,MAX(0.1,Skills!D11-IF(TRUE=TRUE,Inputs!$B$32,0)))*(1-IF(AND(ArtifactsInput!$M$27,Inputs!$B$4="Chapter Hunt"),CHOOSE(ArtifactsInput!$N$27+1,20,24,28,32,36,40),0)/100))))),1)</f>
        <v/>
      </c>
    </row>
    <row r="2828">
      <c r="A2828" t="inlineStr">
        <is>
          <t>Nautilus Strike - Final Attack trigger rate (this block's own Q/R)</t>
        </is>
      </c>
      <c r="B2828">
        <f>IF(AND(Inputs!$B$38&lt;&gt;"pvp",Inputs!$B$43&gt;0),(((C2788=TRUE)*R2788)+((C2791=TRUE)*R2791)+((C2793=TRUE)*R2793)+((C2794=TRUE)*R2794)+((C2796=TRUE)*R2796))/Inputs!$B$43,((C2788=TRUE)*Q2788)+((C2791=TRUE)*Q2791)+((C2793=TRUE)*Q2793)+((C2794=TRUE)*Q2794)+((C2796=TRUE)*Q2796))+B2820</f>
        <v/>
      </c>
    </row>
    <row r="2831">
      <c r="A2831" s="6" t="inlineStr">
        <is>
          <t>Stat: Secret Map (Equip)</t>
        </is>
      </c>
    </row>
    <row r="2832">
      <c r="A2832" s="5" t="inlineStr">
        <is>
          <t>Key</t>
        </is>
      </c>
      <c r="B2832" s="5" t="inlineStr">
        <is>
          <t>Name</t>
        </is>
      </c>
      <c r="C2832" s="5" t="inlineStr">
        <is>
          <t>Unlocked</t>
        </is>
      </c>
      <c r="D2832" s="5" t="inlineStr">
        <is>
          <t>InputLevel</t>
        </is>
      </c>
      <c r="E2832" s="5" t="inlineStr">
        <is>
          <t>Factor</t>
        </is>
      </c>
      <c r="F2832" s="5" t="inlineStr">
        <is>
          <t>CoefficientPercent</t>
        </is>
      </c>
      <c r="G2832" s="5" t="inlineStr">
        <is>
          <t>EffectiveHits</t>
        </is>
      </c>
      <c r="H2832" s="5" t="inlineStr">
        <is>
          <t>ProcProbability</t>
        </is>
      </c>
      <c r="I2832" s="5" t="inlineStr">
        <is>
          <t>MapleHeroMultiplier</t>
        </is>
      </c>
      <c r="J2832" s="5" t="inlineStr">
        <is>
          <t>BaseDamage</t>
        </is>
      </c>
      <c r="K2832" s="5" t="inlineStr">
        <is>
          <t>BaseHitDamage</t>
        </is>
      </c>
      <c r="L2832" s="5" t="inlineStr">
        <is>
          <t>NonCritAvg</t>
        </is>
      </c>
      <c r="M2832" s="5" t="inlineStr">
        <is>
          <t>CritAvg</t>
        </is>
      </c>
      <c r="N2832" s="5" t="inlineStr">
        <is>
          <t>ExpectedDamage(perHit)</t>
        </is>
      </c>
      <c r="O2832" s="5" t="inlineStr">
        <is>
          <t>DPS</t>
        </is>
      </c>
      <c r="P2832" s="5" t="inlineStr">
        <is>
          <t>% of Total</t>
        </is>
      </c>
      <c r="Q2832" s="5" t="inlineStr">
        <is>
          <t>InvCooldown</t>
        </is>
      </c>
      <c r="R2832" s="5" t="inlineStr">
        <is>
          <t>CastsInFight</t>
        </is>
      </c>
      <c r="S2832" s="5" t="inlineStr">
        <is>
          <t>HitRate(perSec)</t>
        </is>
      </c>
      <c r="U2832" t="inlineStr">
        <is>
          <t>helpers</t>
        </is>
      </c>
    </row>
    <row r="2833">
      <c r="A2833">
        <f>Skills!A2</f>
        <v/>
      </c>
      <c r="B2833">
        <f>Skills!B2</f>
        <v/>
      </c>
      <c r="C2833">
        <f>Inputs!$B$3&gt;=100</f>
        <v/>
      </c>
      <c r="D2833" t="inlineStr"/>
      <c r="E2833" t="inlineStr"/>
      <c r="F2833">
        <f>U2835+Skills!O2</f>
        <v/>
      </c>
      <c r="G2833">
        <f>Skills!G2*IF(Skills!H2&gt;0,INT(IF(Inputs!$B$38="pvp",MIN(Skills!I2,15),Skills!I2)/Skills!H2+0.000000001),1)</f>
        <v/>
      </c>
      <c r="H2833">
        <f>1-(1-Skills!J2/100)^Skills!K2</f>
        <v/>
      </c>
      <c r="I2833" t="inlineStr">
        <is>
          <t>1</t>
        </is>
      </c>
      <c r="J2833">
        <f>((Inputs!$B$6*(1+Inputs!$B$7/100))+(((Inputs!$B$12*(1+Inputs!$B$13/100))-(Inputs!$B$12*(1+Inputs!$B$13/100)))+0.25*(Inputs!$B$14-Inputs!$B$14))*(1+Inputs!$B$7/100))*(F2833/100)</f>
        <v/>
      </c>
      <c r="K2833">
        <f>J2833*(1+((Inputs!$B$12*(1+Inputs!$B$13/100))*0.01+Inputs!$B$14*0.0025)/100)*(1+Inputs!$B$15/100)*(1+Inputs!$B$16/100)*(5000/(6000+Inputs!$B$42*(1-(100*(1-(1-(Inputs!$B$19+0)/100)*(1-CHOOSE(ArtifactsInput!$N$40+1,5,6,7,8,9,10)/100)^(ArtifactsInput!$M$40-ArtifactsInput!$M$40)))/100)))*(1+(Inputs!$B$24+((C2857=TRUE)*(F2857-Calc!F26))+B2868)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IGHT_LEGS_EASTON",Inputs!$B$17+((C2854=TRUE)*(F2854-Calc!F23))+((C2858=TRUE)*(F2858-Calc!F27))+((IF(AND(Inputs!$B$38&lt;&gt;"pvp",Inputs!$B$43=0),1,IF(IF(Inputs!$B$38="pvp",15,Inputs!$B$43)-(B2869)&lt;=0,1,MAX(0,IF(Inputs!$B$38="pvp",15,Inputs!$B$43)-MAX(5,B2869))/(IF(Inputs!$B$38="pvp",15,Inputs!$B$43)-(B2869))))*(IF(AND(ArtifactsInput!$M$42,((Inputs!$B$9+((C2850=TRUE)*(F2850-Calc!F19))+B2862+(ArtifactsInput!$M$24-ArtifactsInput!$M$24)*CHOOSE(ArtifactsInput!$N$24+1,10,12,14,16,18,20)+IF(ArtifactsInput!$M$10,CHOOSE(ArtifactsInput!$N$10+1,15,18,21,24,27,30)*(IF(Inputs!$B$38="pvp",MIN(15,15)/15,IF(AND(Inputs!$B$38&lt;&gt;"pvp",Inputs!$B$43&gt;0),MIN(15,Inputs!$B$43)/(Inputs!$B$43),0))),0)))&gt;=100),MIN(100,((Inputs!$B$9+((C2850=TRUE)*(F2850-Calc!F19))+B2862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2869)&lt;=0,1,MAX(0,IF(Inputs!$B$38="pvp",15,Inputs!$B$43)-MAX(5,B2869))/(IF(Inputs!$B$38="pvp",15,Inputs!$B$43)-(B2869))))*IF(AND(ArtifactsInput!$M$42,((Inputs!$B$9+((C2850=TRUE)*(F2850-Calc!F19))+B2862+(ArtifactsInput!$M$24-ArtifactsInput!$M$24)*CHOOSE(ArtifactsInput!$N$24+1,10,12,14,16,18,20)+IF(ArtifactsInput!$M$10,CHOOSE(ArtifactsInput!$N$10+1,15,18,21,24,27,30)*(IF(Inputs!$B$38="pvp",MIN(15,15)/15,IF(AND(Inputs!$B$38&lt;&gt;"pvp",Inputs!$B$43&gt;0),MIN(15,Inputs!$B$43)/(Inputs!$B$43),0))),0)))&gt;=100),CHOOSE(ArtifactsInput!$N$42+1,40,48,56,64,72,80),0))))/100)*((1+(((C2848=TRUE)*F2848*5/7)+((C2855=TRUE)*(F2855-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IF(ArtifactsInput!$M$41,FALSE,TRUE),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2833)</f>
        <v/>
      </c>
      <c r="L2833">
        <f>K2833*(MIN(Inputs!$B$22+((C2853=TRUE)*(F2853-Calc!F22)),(Inputs!$B$23+0+(IF(ArtifactsInput!$M$15,CHOOSE(ArtifactsInput!$N$15+1,25,30,35,40,45,50)/100*(Inputs!$B$11-Inputs!$B$11),0))))/100+(Inputs!$B$23+0+(IF(ArtifactsInput!$M$15,CHOOSE(ArtifactsInput!$N$15+1,25,30,35,40,45,50)/100*(Inputs!$B$11-Inputs!$B$11),0)))/100)/2</f>
        <v/>
      </c>
      <c r="M2833">
        <f>L2833*(1+(Inputs!$B$10+((C2856=TRUE)*(F2856-Calc!F25))+B2867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33">
        <f>L2833*(1-MIN((Inputs!$B$9+((C2850=TRUE)*(F2850-Calc!F19))+B2862+(ArtifactsInput!$M$24-ArtifactsInput!$M$24)*CHOOSE(ArtifactsInput!$N$24+1,10,12,14,16,18,20)+(IF(AND(Inputs!$B$38&lt;&gt;"pvp",Inputs!$B$43=0),1,IF(IF(Inputs!$B$38="pvp",15,Inputs!$B$43)-(B2869)&lt;=0,1,MAX(0,IF(Inputs!$B$38="pvp",15,Inputs!$B$43)-MAX(5,B2869))/(IF(Inputs!$B$38="pvp",15,Inputs!$B$43)-(B2869))))*IF(AND(ArtifactsInput!$M$42,((Inputs!$B$9+((C2850=TRUE)*(F2850-Calc!F19))+B2862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2833*(MIN((Inputs!$B$9+((C2850=TRUE)*(F2850-Calc!F19))+B2862+(ArtifactsInput!$M$24-ArtifactsInput!$M$24)*CHOOSE(ArtifactsInput!$N$24+1,10,12,14,16,18,20)+(IF(AND(Inputs!$B$38&lt;&gt;"pvp",Inputs!$B$43=0),1,IF(IF(Inputs!$B$38="pvp",15,Inputs!$B$43)-(B2869)&lt;=0,1,MAX(0,IF(Inputs!$B$38="pvp",15,Inputs!$B$43)-MAX(5,B2869))/(IF(Inputs!$B$38="pvp",15,Inputs!$B$43)-(B2869))))*IF(AND(ArtifactsInput!$M$42,((Inputs!$B$9+((C2850=TRUE)*(F2850-Calc!F19))+B2862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33">
        <f>(1-Summary!$B$11)*T2833+Summary!$B$11*V2833</f>
        <v/>
      </c>
      <c r="P2833">
        <f>IF(B2872=0,0,O2833/B2872)</f>
        <v/>
      </c>
      <c r="Q2833" t="n">
        <v>0</v>
      </c>
      <c r="R2833" t="n">
        <v>0</v>
      </c>
      <c r="S2833">
        <f>IFERROR(O2833/N2833,0)</f>
        <v/>
      </c>
      <c r="T2833">
        <f>IF(C2833,(Skills!G2*N2833*B2866*(1+IF(C2858=TRUE,1/3,0)))*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Hunt"),CHOOSE(ArtifactsInput!$N$35+1,15,18,21,24,27,30)*(1-EXP(-(0.2*B2864)*5)),0)+IF(AND(ArtifactsInput!$M$22,Inputs!$B$4&lt;&gt;"Chapter Hunt"),CHOOSE(ArtifactsInput!$N$22+1,10,12,14,16,18,20)*((0*(((0.15*B2864*5))^0/1)+1*(((0.15*B2864*5))^1/1)+2*(((0.15*B2864*5))^2/2)+3*(((0.15*B2864*5))^3/6)+4*(((0.15*B2864*5))^4/24)+5*(((0.15*B2864*5))^5/120))/((((0.15*B2864*5))^0/1)+(((0.15*B2864*5))^1/1)+(((0.15*B2864*5))^2/2)+(((0.15*B2864*5))^3/6)+(((0.15*B2864*5))^4/24)+(((0.15*B2864*5))^5/120))),0))+IF(Inputs!$B$3&gt;=54,9*(C2834=TRUE)*MIN(1,8*(1+Inputs!$B$34/100)*Q2834)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2833*(1-MIN(100,(Inputs!$B$9+((C2850=TRUE)*(F2850-Calc!F19))+B2862+(ArtifactsInput!$M$24-ArtifactsInput!$M$24)*CHOOSE(ArtifactsInput!$N$24+1,10,12,14,16,18,20)+(IF(AND(Inputs!$B$38&lt;&gt;"pvp",Inputs!$B$43=0),1,IF(IF(Inputs!$B$38="pvp",15,Inputs!$B$43)-(B2869)&lt;=0,1,MAX(0,IF(Inputs!$B$38="pvp",15,Inputs!$B$43)-MAX(5,B2869))/(IF(Inputs!$B$38="pvp",15,Inputs!$B$43)-(B2869))))*IF(AND(ArtifactsInput!$M$42,((Inputs!$B$9+((C2850=TRUE)*(F2850-Calc!F19))+B2862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2833*(MIN(100,(Inputs!$B$9+((C2850=TRUE)*(F2850-Calc!F19))+B2862+(ArtifactsInput!$M$24-ArtifactsInput!$M$24)*CHOOSE(ArtifactsInput!$N$24+1,10,12,14,16,18,20)+(IF(AND(Inputs!$B$38&lt;&gt;"pvp",Inputs!$B$43=0),1,IF(IF(Inputs!$B$38="pvp",15,Inputs!$B$43)-(B2869)&lt;=0,1,MAX(0,IF(Inputs!$B$38="pvp",15,Inputs!$B$43)-MAX(5,B2869))/(IF(Inputs!$B$38="pvp",15,Inputs!$B$43)-(B2869))))*IF(AND(ArtifactsInput!$M$42,((Inputs!$B$9+((C2850=TRUE)*(F2850-Calc!F19))+B2862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2833*(1-MIN(100,(Inputs!$B$9+((C2850=TRUE)*(F2850-Calc!F19))+B2862+(ArtifactsInput!$M$24-ArtifactsInput!$M$24)*CHOOSE(ArtifactsInput!$N$24+1,10,12,14,16,18,20)+(IF(AND(Inputs!$B$38&lt;&gt;"pvp",Inputs!$B$43=0),1,IF(IF(Inputs!$B$38="pvp",15,Inputs!$B$43)-(B2869)&lt;=0,1,MAX(0,IF(Inputs!$B$38="pvp",15,Inputs!$B$43)-MAX(5,B2869))/(IF(Inputs!$B$38="pvp",15,Inputs!$B$43)-(B2869))))*IF(AND(ArtifactsInput!$M$42,((Inputs!$B$9+((C2850=TRUE)*(F2850-Calc!F19))+B2862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2833*(MIN(100,(Inputs!$B$9+((C2850=TRUE)*(F2850-Calc!F19))+B2862+(ArtifactsInput!$M$24-ArtifactsInput!$M$24)*CHOOSE(ArtifactsInput!$N$24+1,10,12,14,16,18,20)+(IF(AND(Inputs!$B$38&lt;&gt;"pvp",Inputs!$B$43=0),1,IF(IF(Inputs!$B$38="pvp",15,Inputs!$B$43)-(B2869)&lt;=0,1,MAX(0,IF(Inputs!$B$38="pvp",15,Inputs!$B$43)-MAX(5,B2869))/(IF(Inputs!$B$38="pvp",15,Inputs!$B$43)-(B2869))))*IF(AND(ArtifactsInput!$M$42,((Inputs!$B$9+((C2850=TRUE)*(F2850-Calc!F19))+B2862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833">
        <f>MAX(0,(Inputs!$B$3-100)*3)+Inputs!$B$28+Inputs!$B$29</f>
        <v/>
      </c>
      <c r="V2833">
        <f>IF(C2833,(Skills!G2*N2833*B2866*(1+IF(C2858=TRUE,1/3,0)))*IF(Inputs!$B$38="pvp",1,(1+(Inputs!$B$21+Skills!Q2+(IF(ArtifactsInput!$M$33,CHOOSE(ArtifactsInput!$N$33+1,30,36,42,48,54,60),0))+(IF(AND(ArtifactsInput!$M$35,Inputs!$B$4&lt;&gt;"Chapter Hunt"),CHOOSE(ArtifactsInput!$N$35+1,15,18,21,24,27,30)*(1-EXP(-(0.2*B2864)*5)),0)+IF(AND(ArtifactsInput!$M$22,Inputs!$B$4&lt;&gt;"Chapter Hunt"),CHOOSE(ArtifactsInput!$N$22+1,10,12,14,16,18,20)*((0*(((0.15*B2864*5))^0/1)+1*(((0.15*B2864*5))^1/1)+2*(((0.15*B2864*5))^2/2)+3*(((0.15*B2864*5))^3/6)+4*(((0.15*B2864*5))^4/24)+5*(((0.15*B2864*5))^5/120))/((((0.15*B2864*5))^0/1)+(((0.15*B2864*5))^1/1)+(((0.15*B2864*5))^2/2)+(((0.15*B2864*5))^3/6)+(((0.15*B2864*5))^4/24)+(((0.15*B2864*5))^5/120))),0))+IF(Inputs!$B$3&gt;=54,9*(C2834=TRUE)*MIN(1,8*(1+Inputs!$B$34/100)*Q2834),0))/100)*(MIN((6+Inputs!$B$33),Inputs!$B$37)))*((1+(IF(AND(IF(ArtifactsInput!$M$41,FALSE,TRUE),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34">
      <c r="A2834">
        <f>Skills!A3</f>
        <v/>
      </c>
      <c r="B2834">
        <f>Skills!B3</f>
        <v/>
      </c>
      <c r="C2834">
        <f>Inputs!$B$3&gt;=33</f>
        <v/>
      </c>
      <c r="D2834">
        <f>IF(Skills!C3=1,60+Inputs!$B$25+Inputs!$B$29,IF(Skills!C3=2,90+Inputs!$B$26+Inputs!$B$29,IF(Skills!C3=3,120+Inputs!$B$27+Inputs!$B$29,MAX(0,(Inputs!$B$3-100)*3)+Inputs!$B$28+Inputs!$B$29)))</f>
        <v/>
      </c>
      <c r="E2834">
        <f>INDEX(FactorTable!$B$2:$Y$301, MATCH(ROUND(MIN(300,MAX(1,D2834)),0), FactorTable!$A$2:$A$301,0), Skills!M3+1)</f>
        <v/>
      </c>
      <c r="F2834">
        <f>IF(Skills!N3=TRUE,(Skills!L3/10)*(E2834/1000),Skills!L3/10)+Skills!O3</f>
        <v/>
      </c>
      <c r="G2834">
        <f>Skills!G3*IF(Skills!H3&gt;0,INT(IF(Inputs!$B$38="pvp",MIN(Skills!I3,15),Skills!I3)/Skills!H3+0.000000001),1)</f>
        <v/>
      </c>
      <c r="H2834">
        <f>1-(1-Skills!J3/100)^Skills!K3</f>
        <v/>
      </c>
      <c r="I2834" t="inlineStr">
        <is>
          <t>1</t>
        </is>
      </c>
      <c r="J2834">
        <f>((Inputs!$B$6*(1+Inputs!$B$7/100))+(((Inputs!$B$12*(1+Inputs!$B$13/100))-(Inputs!$B$12*(1+Inputs!$B$13/100)))+0.25*(Inputs!$B$14-Inputs!$B$14))*(1+Inputs!$B$7/100))*(F2834/100)</f>
        <v/>
      </c>
      <c r="K2834">
        <f>J2834*(1+((Inputs!$B$12*(1+Inputs!$B$13/100))*0.01+Inputs!$B$14*0.0025)/100)*(1+Inputs!$B$15/100)*(1+Inputs!$B$16/100)*(5000/(6000+Inputs!$B$42*(1-(100*(1-(1-(Inputs!$B$19+0)/100)*(1-CHOOSE(ArtifactsInput!$N$40+1,5,6,7,8,9,10)/100)^(ArtifactsInput!$M$40-ArtifactsInput!$M$40)))/100)))*(1+(Inputs!$B$24+((C2857=TRUE)*(F2857-Calc!F26))+B2868)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2846=TRUE,F2846,0)/100)*(1+(IF(Skills!A3="EIGHT_LEGS_EASTON",Inputs!$B$17+((C2854=TRUE)*(F2854-Calc!F23))+((C2858=TRUE)*(F2858-Calc!F27))+((IF(AND(Inputs!$B$38&lt;&gt;"pvp",Inputs!$B$43=0),1,IF(IF(Inputs!$B$38="pvp",15,Inputs!$B$43)-(B2869)&lt;=0,1,MAX(0,IF(Inputs!$B$38="pvp",15,Inputs!$B$43)-MAX(5,B2869))/(IF(Inputs!$B$38="pvp",15,Inputs!$B$43)-(B2869))))*(IF(AND(ArtifactsInput!$M$42,((Inputs!$B$9+((C2850=TRUE)*(F2850-Calc!F19))+B2862+(ArtifactsInput!$M$24-ArtifactsInput!$M$24)*CHOOSE(ArtifactsInput!$N$24+1,10,12,14,16,18,20)+IF(ArtifactsInput!$M$10,CHOOSE(ArtifactsInput!$N$10+1,15,18,21,24,27,30)*(IF(Inputs!$B$38="pvp",MIN(15,15)/15,IF(AND(Inputs!$B$38&lt;&gt;"pvp",Inputs!$B$43&gt;0),MIN(15,Inputs!$B$43)/(Inputs!$B$43),0))),0)))&gt;=100),MIN(100,((Inputs!$B$9+((C2850=TRUE)*(F2850-Calc!F19))+B2862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2869)&lt;=0,1,MAX(0,IF(Inputs!$B$38="pvp",15,Inputs!$B$43)-MAX(5,B2869))/(IF(Inputs!$B$38="pvp",15,Inputs!$B$43)-(B2869))))*IF(AND(ArtifactsInput!$M$42,((Inputs!$B$9+((C2850=TRUE)*(F2850-Calc!F19))+B2862+(ArtifactsInput!$M$24-ArtifactsInput!$M$24)*CHOOSE(ArtifactsInput!$N$24+1,10,12,14,16,18,20)+IF(ArtifactsInput!$M$10,CHOOSE(ArtifactsInput!$N$10+1,15,18,21,24,27,30)*(IF(Inputs!$B$38="pvp",MIN(15,15)/15,IF(AND(Inputs!$B$38&lt;&gt;"pvp",Inputs!$B$43&gt;0),MIN(15,Inputs!$B$43)/(Inputs!$B$43),0))),0)))&gt;=100),CHOOSE(ArtifactsInput!$N$42+1,40,48,56,64,72,80),0))))/100)*((1+(((C2848=TRUE)*F2848*5/7)+((C2855=TRUE)*(F2855-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IF(ArtifactsInput!$M$41,FALSE,TRUE),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2834)</f>
        <v/>
      </c>
      <c r="L2834">
        <f>K2834*(MIN(Inputs!$B$22+((C2853=TRUE)*(F2853-Calc!F22)),(Inputs!$B$23+0+(IF(ArtifactsInput!$M$15,CHOOSE(ArtifactsInput!$N$15+1,25,30,35,40,45,50)/100*(Inputs!$B$11-Inputs!$B$11),0))))/100+(Inputs!$B$23+0+(IF(ArtifactsInput!$M$15,CHOOSE(ArtifactsInput!$N$15+1,25,30,35,40,45,50)/100*(Inputs!$B$11-Inputs!$B$11),0)))/100)/2</f>
        <v/>
      </c>
      <c r="M2834">
        <f>L2834*(1+(Inputs!$B$10+((C2856=TRUE)*(F2856-Calc!F25))+B2867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34">
        <f>L2834*(1-MIN((Inputs!$B$9+((C2850=TRUE)*(F2850-Calc!F19))+B2862+(ArtifactsInput!$M$24-ArtifactsInput!$M$24)*CHOOSE(ArtifactsInput!$N$24+1,10,12,14,16,18,20)+(IF(AND(Inputs!$B$38&lt;&gt;"pvp",Inputs!$B$43=0),1,IF(IF(Inputs!$B$38="pvp",15,Inputs!$B$43)-(B2869)&lt;=0,1,MAX(0,IF(Inputs!$B$38="pvp",15,Inputs!$B$43)-MAX(5,B2869))/(IF(Inputs!$B$38="pvp",15,Inputs!$B$43)-(B2869))))*IF(AND(ArtifactsInput!$M$42,((Inputs!$B$9+((C2850=TRUE)*(F2850-Calc!F19))+B2862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2834*(MIN((Inputs!$B$9+((C2850=TRUE)*(F2850-Calc!F19))+B2862+(ArtifactsInput!$M$24-ArtifactsInput!$M$24)*CHOOSE(ArtifactsInput!$N$24+1,10,12,14,16,18,20)+(IF(AND(Inputs!$B$38&lt;&gt;"pvp",Inputs!$B$43=0),1,IF(IF(Inputs!$B$38="pvp",15,Inputs!$B$43)-(B2869)&lt;=0,1,MAX(0,IF(Inputs!$B$38="pvp",15,Inputs!$B$43)-MAX(5,B2869))/(IF(Inputs!$B$38="pvp",15,Inputs!$B$43)-(B2869))))*IF(AND(ArtifactsInput!$M$42,((Inputs!$B$9+((C2850=TRUE)*(F2850-Calc!F19))+B2862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34">
        <f>(1-Summary!$B$11)*T2834+Summary!$B$11*V2834</f>
        <v/>
      </c>
      <c r="P2834">
        <f>IF(B2872=0,0,O2834/B2872)</f>
        <v/>
      </c>
      <c r="Q2834">
        <f>IFERROR(1/(IF(Inputs!$B$38="pvp",15,MAX(0.1,Skills!D3-IF(TRUE=TRUE,Inputs!$B$32,0)))*(1-IF(AND(ArtifactsInput!$M$27,Inputs!$B$4="Chapter Hunt"),CHOOSE(ArtifactsInput!$N$27+1,20,24,28,32,36,40),0)/100)),0)</f>
        <v/>
      </c>
      <c r="R2834">
        <f>IF(AND(Inputs!$B$38&lt;&gt;"pvp",Inputs!$B$43&gt;0),IF(MAX(0,Inputs!$B$43-B2869)&lt;=0,0,(INT(MAX(0,Inputs!$B$43-B2869)/(IF(Inputs!$B$38="pvp",15,MAX(0.1,Skills!D3-IF(TRUE=TRUE,Inputs!$B$32,0)))*(1-IF(AND(ArtifactsInput!$M$27,Inputs!$B$4="Chapter Hunt"),CHOOSE(ArtifactsInput!$N$27+1,20,24,28,32,36,40),0)/100)))+1)),0)</f>
        <v/>
      </c>
      <c r="S2834">
        <f>IFERROR(O2834/N2834,0)</f>
        <v/>
      </c>
      <c r="T2834">
        <f>IF(C2834,(H2834*N2834*IF(AND(Inputs!$B$38&lt;&gt;"pvp",Inputs!$B$43&gt;0),((Skills!G3*((R2834-1)*IF(Skills!H3&gt;0,INT(Skills!I3/Skills!H3+0.000000001),1)+IF(Skills!H3&gt;0,INT(MIN(Skills!I3,MAX(0,MAX(0,Inputs!$B$43-B2869)-((R2834-1)*(IF(Inputs!$B$38="pvp",15,MAX(0.1,Skills!D3-IF(TRUE=TRUE,Inputs!$B$32,0)))*(1-IF(AND(ArtifactsInput!$M$27,Inputs!$B$4="Chapter Hunt"),CHOOSE(ArtifactsInput!$N$27+1,20,24,28,32,36,40),0)/100)))))/Skills!H3+0.000000001),1)))/Inputs!$B$43),G2834*Q2834))*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Hunt"),CHOOSE(ArtifactsInput!$N$35+1,15,18,21,24,27,30)*(1-EXP(-(0.2*B2864)*5)),0)+IF(AND(ArtifactsInput!$M$22,Inputs!$B$4&lt;&gt;"Chapter Hunt"),CHOOSE(ArtifactsInput!$N$22+1,10,12,14,16,18,20)*((0*(((0.15*B2864*5))^0/1)+1*(((0.15*B2864*5))^1/1)+2*(((0.15*B2864*5))^2/2)+3*(((0.15*B2864*5))^3/6)+4*(((0.15*B2864*5))^4/24)+5*(((0.15*B2864*5))^5/120))/((((0.15*B2864*5))^0/1)+(((0.15*B2864*5))^1/1)+(((0.15*B2864*5))^2/2)+(((0.15*B2864*5))^3/6)+(((0.15*B2864*5))^4/24)+(((0.15*B2864*5))^5/120))),0))+IF(Inputs!$B$3&gt;=54,9*(C2834=TRUE)*MIN(1,8*(1+Inputs!$B$34/100)*Q2834)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2834*(1-MIN(100,(Inputs!$B$9+((C2850=TRUE)*(F2850-Calc!F19))+B2862+(ArtifactsInput!$M$24-ArtifactsInput!$M$24)*CHOOSE(ArtifactsInput!$N$24+1,10,12,14,16,18,20)+(IF(AND(Inputs!$B$38&lt;&gt;"pvp",Inputs!$B$43=0),1,IF(IF(Inputs!$B$38="pvp",15,Inputs!$B$43)-(B2869)&lt;=0,1,MAX(0,IF(Inputs!$B$38="pvp",15,Inputs!$B$43)-MAX(5,B2869))/(IF(Inputs!$B$38="pvp",15,Inputs!$B$43)-(B2869))))*IF(AND(ArtifactsInput!$M$42,((Inputs!$B$9+((C2850=TRUE)*(F2850-Calc!F19))+B2862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2834*(MIN(100,(Inputs!$B$9+((C2850=TRUE)*(F2850-Calc!F19))+B2862+(ArtifactsInput!$M$24-ArtifactsInput!$M$24)*CHOOSE(ArtifactsInput!$N$24+1,10,12,14,16,18,20)+(IF(AND(Inputs!$B$38&lt;&gt;"pvp",Inputs!$B$43=0),1,IF(IF(Inputs!$B$38="pvp",15,Inputs!$B$43)-(B2869)&lt;=0,1,MAX(0,IF(Inputs!$B$38="pvp",15,Inputs!$B$43)-MAX(5,B2869))/(IF(Inputs!$B$38="pvp",15,Inputs!$B$43)-(B2869))))*IF(AND(ArtifactsInput!$M$42,((Inputs!$B$9+((C2850=TRUE)*(F2850-Calc!F19))+B2862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2834*(1-MIN(100,(Inputs!$B$9+((C2850=TRUE)*(F2850-Calc!F19))+B2862+(ArtifactsInput!$M$24-ArtifactsInput!$M$24)*CHOOSE(ArtifactsInput!$N$24+1,10,12,14,16,18,20)+(IF(AND(Inputs!$B$38&lt;&gt;"pvp",Inputs!$B$43=0),1,IF(IF(Inputs!$B$38="pvp",15,Inputs!$B$43)-(B2869)&lt;=0,1,MAX(0,IF(Inputs!$B$38="pvp",15,Inputs!$B$43)-MAX(5,B2869))/(IF(Inputs!$B$38="pvp",15,Inputs!$B$43)-(B2869))))*IF(AND(ArtifactsInput!$M$42,((Inputs!$B$9+((C2850=TRUE)*(F2850-Calc!F19))+B2862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2834*(MIN(100,(Inputs!$B$9+((C2850=TRUE)*(F2850-Calc!F19))+B2862+(ArtifactsInput!$M$24-ArtifactsInput!$M$24)*CHOOSE(ArtifactsInput!$N$24+1,10,12,14,16,18,20)+(IF(AND(Inputs!$B$38&lt;&gt;"pvp",Inputs!$B$43=0),1,IF(IF(Inputs!$B$38="pvp",15,Inputs!$B$43)-(B2869)&lt;=0,1,MAX(0,IF(Inputs!$B$38="pvp",15,Inputs!$B$43)-MAX(5,B2869))/(IF(Inputs!$B$38="pvp",15,Inputs!$B$43)-(B2869))))*IF(AND(ArtifactsInput!$M$42,((Inputs!$B$9+((C2850=TRUE)*(F2850-Calc!F19))+B2862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834">
        <f>INDEX(FactorTable!$B$2:$Y$301, MATCH(ROUND(MIN(300,MAX(1,U2833)),0), FactorTable!$A$2:$A$301,0), 22)</f>
        <v/>
      </c>
      <c r="V2834">
        <f>IF(C2834,(H2834*N2834*IF(AND(Inputs!$B$38&lt;&gt;"pvp",Inputs!$B$43&gt;0),((Skills!G3*((R2834-1)*IF(Skills!H3&gt;0,INT(Skills!I3/Skills!H3+0.000000001),1)+IF(Skills!H3&gt;0,INT(MIN(Skills!I3,MAX(0,MAX(0,Inputs!$B$43-B2869)-((R2834-1)*(IF(Inputs!$B$38="pvp",15,MAX(0.1,Skills!D3-IF(TRUE=TRUE,Inputs!$B$32,0)))*(1-IF(AND(ArtifactsInput!$M$27,Inputs!$B$4="Chapter Hunt"),CHOOSE(ArtifactsInput!$N$27+1,20,24,28,32,36,40),0)/100)))))/Skills!H3+0.000000001),1)))/Inputs!$B$43),G2834*Q2834))*IF(Inputs!$B$38="pvp",1,(1+(Inputs!$B$21+Skills!Q3+(IF(ArtifactsInput!$M$33,CHOOSE(ArtifactsInput!$N$33+1,30,36,42,48,54,60),0))+(IF(AND(ArtifactsInput!$M$35,Inputs!$B$4&lt;&gt;"Chapter Hunt"),CHOOSE(ArtifactsInput!$N$35+1,15,18,21,24,27,30)*(1-EXP(-(0.2*B2864)*5)),0)+IF(AND(ArtifactsInput!$M$22,Inputs!$B$4&lt;&gt;"Chapter Hunt"),CHOOSE(ArtifactsInput!$N$22+1,10,12,14,16,18,20)*((0*(((0.15*B2864*5))^0/1)+1*(((0.15*B2864*5))^1/1)+2*(((0.15*B2864*5))^2/2)+3*(((0.15*B2864*5))^3/6)+4*(((0.15*B2864*5))^4/24)+5*(((0.15*B2864*5))^5/120))/((((0.15*B2864*5))^0/1)+(((0.15*B2864*5))^1/1)+(((0.15*B2864*5))^2/2)+(((0.15*B2864*5))^3/6)+(((0.15*B2864*5))^4/24)+(((0.15*B2864*5))^5/120))),0))+IF(Inputs!$B$3&gt;=54,9*(C2834=TRUE)*MIN(1,8*(1+Inputs!$B$34/100)*Q2834),0))/100)*(MIN(Skills!R3,Inputs!$B$37)))*((1+(IF(AND(IF(ArtifactsInput!$M$41,FALSE,TRUE),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35">
      <c r="A2835">
        <f>Skills!A4</f>
        <v/>
      </c>
      <c r="B2835">
        <f>Skills!B4</f>
        <v/>
      </c>
      <c r="C2835">
        <f>Inputs!$B$3&gt;=35</f>
        <v/>
      </c>
      <c r="D2835">
        <f>IF(Skills!C4=1,60+Inputs!$B$25+Inputs!$B$29,IF(Skills!C4=2,90+Inputs!$B$26+Inputs!$B$29,IF(Skills!C4=3,120+Inputs!$B$27+Inputs!$B$29,MAX(0,(Inputs!$B$3-100)*3)+Inputs!$B$28+Inputs!$B$29)))</f>
        <v/>
      </c>
      <c r="E2835">
        <f>INDEX(FactorTable!$B$2:$Y$301, MATCH(ROUND(MIN(300,MAX(1,D2835)),0), FactorTable!$A$2:$A$301,0), Skills!M4+1)</f>
        <v/>
      </c>
      <c r="F2835">
        <f>IF(Skills!N4=TRUE,(Skills!L4/10)*(E2835/1000),Skills!L4/10)+Skills!O4</f>
        <v/>
      </c>
      <c r="G2835">
        <f>Skills!G4*IF(Skills!H4&gt;0,INT(IF(Inputs!$B$38="pvp",MIN(IF(Inputs!$B$3&gt;=104,MIN(35,20*(1+Inputs!$B$34/100)),20),15),IF(Inputs!$B$3&gt;=104,MIN(35,20*(1+Inputs!$B$34/100)),20))/Skills!H4+0.000000001),1)</f>
        <v/>
      </c>
      <c r="H2835">
        <f>1-(1-Skills!J4/100)^Skills!K4</f>
        <v/>
      </c>
      <c r="I2835" t="inlineStr">
        <is>
          <t>1</t>
        </is>
      </c>
      <c r="J2835">
        <f>((Inputs!$B$6*(1+Inputs!$B$7/100))+(((Inputs!$B$12*(1+Inputs!$B$13/100))-(Inputs!$B$12*(1+Inputs!$B$13/100)))+0.25*(Inputs!$B$14-Inputs!$B$14))*(1+Inputs!$B$7/100))*(F2835/100)</f>
        <v/>
      </c>
      <c r="K2835">
        <f>J2835*(1+((Inputs!$B$12*(1+Inputs!$B$13/100))*0.01+Inputs!$B$14*0.0025)/100)*(1+Inputs!$B$15/100)*(1+Inputs!$B$16/100)*(5000/(6000+Inputs!$B$42*(1-(100*(1-(1-(Inputs!$B$19+0)/100)*(1-CHOOSE(ArtifactsInput!$N$40+1,5,6,7,8,9,10)/100)^(ArtifactsInput!$M$40-ArtifactsInput!$M$40)))/100)))*(1+(Inputs!$B$24+((C2857=TRUE)*(F2857-Calc!F26))+B2868)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2847=TRUE,F2847,0)/100)*(1+(IF(Skills!A4="EIGHT_LEGS_EASTON",Inputs!$B$17+((C2854=TRUE)*(F2854-Calc!F23))+((C2858=TRUE)*(F2858-Calc!F27))+((IF(AND(Inputs!$B$38&lt;&gt;"pvp",Inputs!$B$43=0),1,IF(IF(Inputs!$B$38="pvp",15,Inputs!$B$43)-(B2869)&lt;=0,1,MAX(0,IF(Inputs!$B$38="pvp",15,Inputs!$B$43)-MAX(5,B2869))/(IF(Inputs!$B$38="pvp",15,Inputs!$B$43)-(B2869))))*(IF(AND(ArtifactsInput!$M$42,((Inputs!$B$9+((C2850=TRUE)*(F2850-Calc!F19))+B2862+(ArtifactsInput!$M$24-ArtifactsInput!$M$24)*CHOOSE(ArtifactsInput!$N$24+1,10,12,14,16,18,20)+IF(ArtifactsInput!$M$10,CHOOSE(ArtifactsInput!$N$10+1,15,18,21,24,27,30)*(IF(Inputs!$B$38="pvp",MIN(15,15)/15,IF(AND(Inputs!$B$38&lt;&gt;"pvp",Inputs!$B$43&gt;0),MIN(15,Inputs!$B$43)/(Inputs!$B$43),0))),0)))&gt;=100),MIN(100,((Inputs!$B$9+((C2850=TRUE)*(F2850-Calc!F19))+B2862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2869)&lt;=0,1,MAX(0,IF(Inputs!$B$38="pvp",15,Inputs!$B$43)-MAX(5,B2869))/(IF(Inputs!$B$38="pvp",15,Inputs!$B$43)-(B2869))))*IF(AND(ArtifactsInput!$M$42,((Inputs!$B$9+((C2850=TRUE)*(F2850-Calc!F19))+B2862+(ArtifactsInput!$M$24-ArtifactsInput!$M$24)*CHOOSE(ArtifactsInput!$N$24+1,10,12,14,16,18,20)+IF(ArtifactsInput!$M$10,CHOOSE(ArtifactsInput!$N$10+1,15,18,21,24,27,30)*(IF(Inputs!$B$38="pvp",MIN(15,15)/15,IF(AND(Inputs!$B$38&lt;&gt;"pvp",Inputs!$B$43&gt;0),MIN(15,Inputs!$B$43)/(Inputs!$B$43),0))),0)))&gt;=100),CHOOSE(ArtifactsInput!$N$42+1,40,48,56,64,72,80),0))))/100)*((1+(((C2848=TRUE)*F2848*5/7)+((C2855=TRUE)*(F2855-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IF(ArtifactsInput!$M$41,FALSE,TRUE),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2835)</f>
        <v/>
      </c>
      <c r="L2835">
        <f>K2835*(MIN(Inputs!$B$22+((C2853=TRUE)*(F2853-Calc!F22)),(Inputs!$B$23+0+(IF(ArtifactsInput!$M$15,CHOOSE(ArtifactsInput!$N$15+1,25,30,35,40,45,50)/100*(Inputs!$B$11-Inputs!$B$11),0))))/100+(Inputs!$B$23+0+(IF(ArtifactsInput!$M$15,CHOOSE(ArtifactsInput!$N$15+1,25,30,35,40,45,50)/100*(Inputs!$B$11-Inputs!$B$11),0)))/100)/2</f>
        <v/>
      </c>
      <c r="M2835">
        <f>L2835*(1+(Inputs!$B$10+((C2856=TRUE)*(F2856-Calc!F25))+B2867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35">
        <f>L2835*(1-MIN((Inputs!$B$9+((C2850=TRUE)*(F2850-Calc!F19))+B2862+(ArtifactsInput!$M$24-ArtifactsInput!$M$24)*CHOOSE(ArtifactsInput!$N$24+1,10,12,14,16,18,20)+(IF(AND(Inputs!$B$38&lt;&gt;"pvp",Inputs!$B$43=0),1,IF(IF(Inputs!$B$38="pvp",15,Inputs!$B$43)-(B2869)&lt;=0,1,MAX(0,IF(Inputs!$B$38="pvp",15,Inputs!$B$43)-MAX(5,B2869))/(IF(Inputs!$B$38="pvp",15,Inputs!$B$43)-(B2869))))*IF(AND(ArtifactsInput!$M$42,((Inputs!$B$9+((C2850=TRUE)*(F2850-Calc!F19))+B2862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2835*(MIN((Inputs!$B$9+((C2850=TRUE)*(F2850-Calc!F19))+B2862+(ArtifactsInput!$M$24-ArtifactsInput!$M$24)*CHOOSE(ArtifactsInput!$N$24+1,10,12,14,16,18,20)+(IF(AND(Inputs!$B$38&lt;&gt;"pvp",Inputs!$B$43=0),1,IF(IF(Inputs!$B$38="pvp",15,Inputs!$B$43)-(B2869)&lt;=0,1,MAX(0,IF(Inputs!$B$38="pvp",15,Inputs!$B$43)-MAX(5,B2869))/(IF(Inputs!$B$38="pvp",15,Inputs!$B$43)-(B2869))))*IF(AND(ArtifactsInput!$M$42,((Inputs!$B$9+((C2850=TRUE)*(F2850-Calc!F19))+B2862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35">
        <f>(1-Summary!$B$11)*T2835+Summary!$B$11*V2835</f>
        <v/>
      </c>
      <c r="P2835">
        <f>IF(B2872=0,0,O2835/B2872)</f>
        <v/>
      </c>
      <c r="Q2835">
        <f>IFERROR(1/(IF(Inputs!$B$38="pvp",15,MAX(0.1,Skills!D4-IF(TRUE=TRUE,Inputs!$B$32,0)))*(1-IF(AND(ArtifactsInput!$M$27,Inputs!$B$4="Chapter Hunt"),CHOOSE(ArtifactsInput!$N$27+1,20,24,28,32,36,40),0)/100)),0)</f>
        <v/>
      </c>
      <c r="R2835">
        <f>IF(AND(Inputs!$B$38&lt;&gt;"pvp",Inputs!$B$43&gt;0),IF(MAX(0,Inputs!$B$43-B2869)&lt;=0,0,(INT(MAX(0,Inputs!$B$43-B2869)/(IF(Inputs!$B$38="pvp",15,MAX(0.1,Skills!D4-IF(TRUE=TRUE,Inputs!$B$32,0)))*(1-IF(AND(ArtifactsInput!$M$27,Inputs!$B$4="Chapter Hunt"),CHOOSE(ArtifactsInput!$N$27+1,20,24,28,32,36,40),0)/100)))+1)),0)</f>
        <v/>
      </c>
      <c r="S2835">
        <f>IFERROR(O2835/N2835,0)</f>
        <v/>
      </c>
      <c r="T2835">
        <f>IF(C2835,(H2835*N2835*IF(AND(Inputs!$B$38&lt;&gt;"pvp",Inputs!$B$43&gt;0),((Skills!G4*((R2835-1)*IF(Skills!H4&gt;0,INT(IF(Inputs!$B$3&gt;=104,MIN(35,20*(1+Inputs!$B$34/100)),20)/Skills!H4+0.000000001),1)+IF(Skills!H4&gt;0,INT(MIN(IF(Inputs!$B$3&gt;=104,MIN(35,20*(1+Inputs!$B$34/100)),20),MAX(0,MAX(0,Inputs!$B$43-B2869)-((R2835-1)*(IF(Inputs!$B$38="pvp",15,MAX(0.1,Skills!D4-IF(TRUE=TRUE,Inputs!$B$32,0)))*(1-IF(AND(ArtifactsInput!$M$27,Inputs!$B$4="Chapter Hunt"),CHOOSE(ArtifactsInput!$N$27+1,20,24,28,32,36,40),0)/100)))))/Skills!H4+0.000000001),1)))/Inputs!$B$43),G2835*Q2835))*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Hunt"),CHOOSE(ArtifactsInput!$N$35+1,15,18,21,24,27,30)*(1-EXP(-(0.2*B2864)*5)),0)+IF(AND(ArtifactsInput!$M$22,Inputs!$B$4&lt;&gt;"Chapter Hunt"),CHOOSE(ArtifactsInput!$N$22+1,10,12,14,16,18,20)*((0*(((0.15*B2864*5))^0/1)+1*(((0.15*B2864*5))^1/1)+2*(((0.15*B2864*5))^2/2)+3*(((0.15*B2864*5))^3/6)+4*(((0.15*B2864*5))^4/24)+5*(((0.15*B2864*5))^5/120))/((((0.15*B2864*5))^0/1)+(((0.15*B2864*5))^1/1)+(((0.15*B2864*5))^2/2)+(((0.15*B2864*5))^3/6)+(((0.15*B2864*5))^4/24)+(((0.15*B2864*5))^5/120))),0))+IF(Inputs!$B$3&gt;=54,9*(C2834=TRUE)*MIN(1,8*(1+Inputs!$B$34/100)*Q2834)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2835*(1-MIN(100,(Inputs!$B$9+((C2850=TRUE)*(F2850-Calc!F19))+B2862+(ArtifactsInput!$M$24-ArtifactsInput!$M$24)*CHOOSE(ArtifactsInput!$N$24+1,10,12,14,16,18,20)+(IF(AND(Inputs!$B$38&lt;&gt;"pvp",Inputs!$B$43=0),1,IF(IF(Inputs!$B$38="pvp",15,Inputs!$B$43)-(B2869)&lt;=0,1,MAX(0,IF(Inputs!$B$38="pvp",15,Inputs!$B$43)-MAX(5,B2869))/(IF(Inputs!$B$38="pvp",15,Inputs!$B$43)-(B2869))))*IF(AND(ArtifactsInput!$M$42,((Inputs!$B$9+((C2850=TRUE)*(F2850-Calc!F19))+B2862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2835*(MIN(100,(Inputs!$B$9+((C2850=TRUE)*(F2850-Calc!F19))+B2862+(ArtifactsInput!$M$24-ArtifactsInput!$M$24)*CHOOSE(ArtifactsInput!$N$24+1,10,12,14,16,18,20)+(IF(AND(Inputs!$B$38&lt;&gt;"pvp",Inputs!$B$43=0),1,IF(IF(Inputs!$B$38="pvp",15,Inputs!$B$43)-(B2869)&lt;=0,1,MAX(0,IF(Inputs!$B$38="pvp",15,Inputs!$B$43)-MAX(5,B2869))/(IF(Inputs!$B$38="pvp",15,Inputs!$B$43)-(B2869))))*IF(AND(ArtifactsInput!$M$42,((Inputs!$B$9+((C2850=TRUE)*(F2850-Calc!F19))+B2862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2835*(1-MIN(100,(Inputs!$B$9+((C2850=TRUE)*(F2850-Calc!F19))+B2862+(ArtifactsInput!$M$24-ArtifactsInput!$M$24)*CHOOSE(ArtifactsInput!$N$24+1,10,12,14,16,18,20)+(IF(AND(Inputs!$B$38&lt;&gt;"pvp",Inputs!$B$43=0),1,IF(IF(Inputs!$B$38="pvp",15,Inputs!$B$43)-(B2869)&lt;=0,1,MAX(0,IF(Inputs!$B$38="pvp",15,Inputs!$B$43)-MAX(5,B2869))/(IF(Inputs!$B$38="pvp",15,Inputs!$B$43)-(B2869))))*IF(AND(ArtifactsInput!$M$42,((Inputs!$B$9+((C2850=TRUE)*(F2850-Calc!F19))+B2862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2835*(MIN(100,(Inputs!$B$9+((C2850=TRUE)*(F2850-Calc!F19))+B2862+(ArtifactsInput!$M$24-ArtifactsInput!$M$24)*CHOOSE(ArtifactsInput!$N$24+1,10,12,14,16,18,20)+(IF(AND(Inputs!$B$38&lt;&gt;"pvp",Inputs!$B$43=0),1,IF(IF(Inputs!$B$38="pvp",15,Inputs!$B$43)-(B2869)&lt;=0,1,MAX(0,IF(Inputs!$B$38="pvp",15,Inputs!$B$43)-MAX(5,B2869))/(IF(Inputs!$B$38="pvp",15,Inputs!$B$43)-(B2869))))*IF(AND(ArtifactsInput!$M$42,((Inputs!$B$9+((C2850=TRUE)*(F2850-Calc!F19))+B2862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835">
        <f>290*U2834/1000</f>
        <v/>
      </c>
      <c r="V2835">
        <f>IF(C2835,(H2835*N2835*IF(AND(Inputs!$B$38&lt;&gt;"pvp",Inputs!$B$43&gt;0),((Skills!G4*((R2835-1)*IF(Skills!H4&gt;0,INT(IF(Inputs!$B$3&gt;=104,MIN(35,20*(1+Inputs!$B$34/100)),20)/Skills!H4+0.000000001),1)+IF(Skills!H4&gt;0,INT(MIN(IF(Inputs!$B$3&gt;=104,MIN(35,20*(1+Inputs!$B$34/100)),20),MAX(0,MAX(0,Inputs!$B$43-B2869)-((R2835-1)*(IF(Inputs!$B$38="pvp",15,MAX(0.1,Skills!D4-IF(TRUE=TRUE,Inputs!$B$32,0)))*(1-IF(AND(ArtifactsInput!$M$27,Inputs!$B$4="Chapter Hunt"),CHOOSE(ArtifactsInput!$N$27+1,20,24,28,32,36,40),0)/100)))))/Skills!H4+0.000000001),1)))/Inputs!$B$43),G2835*Q2835))*IF(Inputs!$B$38="pvp",1,(1+(Inputs!$B$21+Skills!Q4+(IF(ArtifactsInput!$M$33,CHOOSE(ArtifactsInput!$N$33+1,30,36,42,48,54,60),0))+(IF(AND(ArtifactsInput!$M$35,Inputs!$B$4&lt;&gt;"Chapter Hunt"),CHOOSE(ArtifactsInput!$N$35+1,15,18,21,24,27,30)*(1-EXP(-(0.2*B2864)*5)),0)+IF(AND(ArtifactsInput!$M$22,Inputs!$B$4&lt;&gt;"Chapter Hunt"),CHOOSE(ArtifactsInput!$N$22+1,10,12,14,16,18,20)*((0*(((0.15*B2864*5))^0/1)+1*(((0.15*B2864*5))^1/1)+2*(((0.15*B2864*5))^2/2)+3*(((0.15*B2864*5))^3/6)+4*(((0.15*B2864*5))^4/24)+5*(((0.15*B2864*5))^5/120))/((((0.15*B2864*5))^0/1)+(((0.15*B2864*5))^1/1)+(((0.15*B2864*5))^2/2)+(((0.15*B2864*5))^3/6)+(((0.15*B2864*5))^4/24)+(((0.15*B2864*5))^5/120))),0))+IF(Inputs!$B$3&gt;=54,9*(C2834=TRUE)*MIN(1,8*(1+Inputs!$B$34/100)*Q2834),0))/100)*(MIN(Skills!R4,Inputs!$B$37)))*((1+(IF(AND(IF(ArtifactsInput!$M$41,FALSE,TRUE),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36">
      <c r="A2836">
        <f>Skills!A5</f>
        <v/>
      </c>
      <c r="B2836">
        <f>Skills!B5</f>
        <v/>
      </c>
      <c r="C2836">
        <f>Inputs!$B$3&gt;=69</f>
        <v/>
      </c>
      <c r="D2836">
        <f>IF(Skills!C5=1,60+Inputs!$B$25+Inputs!$B$29,IF(Skills!C5=2,90+Inputs!$B$26+Inputs!$B$29,IF(Skills!C5=3,120+Inputs!$B$27+Inputs!$B$29,MAX(0,(Inputs!$B$3-100)*3)+Inputs!$B$28+Inputs!$B$29)))</f>
        <v/>
      </c>
      <c r="E2836">
        <f>INDEX(FactorTable!$B$2:$Y$301, MATCH(ROUND(MIN(300,MAX(1,D2836)),0), FactorTable!$A$2:$A$301,0), Skills!M5+1)</f>
        <v/>
      </c>
      <c r="F2836">
        <f>IF(Skills!N5=TRUE,(Skills!L5/10)*(E2836/1000),Skills!L5/10)+Skills!O5</f>
        <v/>
      </c>
      <c r="G2836">
        <f>Skills!G5*IF(Skills!H5&gt;0,INT(IF(Inputs!$B$38="pvp",MIN(IF(Inputs!$B$3&gt;=104,MIN(35,20*(1+Inputs!$B$34/100)),20),15),IF(Inputs!$B$3&gt;=104,MIN(35,20*(1+Inputs!$B$34/100)),20))/Skills!H5+0.000000001),1)</f>
        <v/>
      </c>
      <c r="H2836">
        <f>1-(1-Skills!J5/100)^Skills!K5</f>
        <v/>
      </c>
      <c r="I2836" t="inlineStr">
        <is>
          <t>1</t>
        </is>
      </c>
      <c r="J2836">
        <f>((Inputs!$B$6*(1+Inputs!$B$7/100))+(((Inputs!$B$12*(1+Inputs!$B$13/100))-(Inputs!$B$12*(1+Inputs!$B$13/100)))+0.25*(Inputs!$B$14-Inputs!$B$14))*(1+Inputs!$B$7/100))*(F2836/100)</f>
        <v/>
      </c>
      <c r="K2836">
        <f>J2836*(1+((Inputs!$B$12*(1+Inputs!$B$13/100))*0.01+Inputs!$B$14*0.0025)/100)*(1+Inputs!$B$15/100)*(1+Inputs!$B$16/100)*(5000/(6000+Inputs!$B$42*(1-(100*(1-(1-(Inputs!$B$19+0)/100)*(1-CHOOSE(ArtifactsInput!$N$40+1,5,6,7,8,9,10)/100)^(ArtifactsInput!$M$40-ArtifactsInput!$M$40)))/100)))*(1+(Inputs!$B$24+((C2857=TRUE)*(F2857-Calc!F26))+B2868)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+0.4*IF(C2847=TRUE,F2847,0)/100)*(1+(IF(Skills!A5="EIGHT_LEGS_EASTON",Inputs!$B$17+((C2854=TRUE)*(F2854-Calc!F23))+((C2858=TRUE)*(F2858-Calc!F27))+((IF(AND(Inputs!$B$38&lt;&gt;"pvp",Inputs!$B$43=0),1,IF(IF(Inputs!$B$38="pvp",15,Inputs!$B$43)-(B2869)&lt;=0,1,MAX(0,IF(Inputs!$B$38="pvp",15,Inputs!$B$43)-MAX(5,B2869))/(IF(Inputs!$B$38="pvp",15,Inputs!$B$43)-(B2869))))*(IF(AND(ArtifactsInput!$M$42,((Inputs!$B$9+((C2850=TRUE)*(F2850-Calc!F19))+B2862+(ArtifactsInput!$M$24-ArtifactsInput!$M$24)*CHOOSE(ArtifactsInput!$N$24+1,10,12,14,16,18,20)+IF(ArtifactsInput!$M$10,CHOOSE(ArtifactsInput!$N$10+1,15,18,21,24,27,30)*(IF(Inputs!$B$38="pvp",MIN(15,15)/15,IF(AND(Inputs!$B$38&lt;&gt;"pvp",Inputs!$B$43&gt;0),MIN(15,Inputs!$B$43)/(Inputs!$B$43),0))),0)))&gt;=100),MIN(100,((Inputs!$B$9+((C2850=TRUE)*(F2850-Calc!F19))+B2862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2869)&lt;=0,1,MAX(0,IF(Inputs!$B$38="pvp",15,Inputs!$B$43)-MAX(5,B2869))/(IF(Inputs!$B$38="pvp",15,Inputs!$B$43)-(B2869))))*IF(AND(ArtifactsInput!$M$42,((Inputs!$B$9+((C2850=TRUE)*(F2850-Calc!F19))+B2862+(ArtifactsInput!$M$24-ArtifactsInput!$M$24)*CHOOSE(ArtifactsInput!$N$24+1,10,12,14,16,18,20)+IF(ArtifactsInput!$M$10,CHOOSE(ArtifactsInput!$N$10+1,15,18,21,24,27,30)*(IF(Inputs!$B$38="pvp",MIN(15,15)/15,IF(AND(Inputs!$B$38&lt;&gt;"pvp",Inputs!$B$43&gt;0),MIN(15,Inputs!$B$43)/(Inputs!$B$43),0))),0)))&gt;=100),CHOOSE(ArtifactsInput!$N$42+1,40,48,56,64,72,80),0))))/100)*((1+(((C2848=TRUE)*F2848*5/7)+((C2855=TRUE)*(F2855-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IF(ArtifactsInput!$M$41,FALSE,TRUE),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2836)</f>
        <v/>
      </c>
      <c r="L2836">
        <f>K2836*(MIN(Inputs!$B$22+((C2853=TRUE)*(F2853-Calc!F22)),(Inputs!$B$23+0+(IF(ArtifactsInput!$M$15,CHOOSE(ArtifactsInput!$N$15+1,25,30,35,40,45,50)/100*(Inputs!$B$11-Inputs!$B$11),0))))/100+(Inputs!$B$23+0+(IF(ArtifactsInput!$M$15,CHOOSE(ArtifactsInput!$N$15+1,25,30,35,40,45,50)/100*(Inputs!$B$11-Inputs!$B$11),0)))/100)/2</f>
        <v/>
      </c>
      <c r="M2836">
        <f>L2836*(1+(Inputs!$B$10+((C2856=TRUE)*(F2856-Calc!F25))+B2867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36">
        <f>L2836*(1-MIN((Inputs!$B$9+((C2850=TRUE)*(F2850-Calc!F19))+B2862+(ArtifactsInput!$M$24-ArtifactsInput!$M$24)*CHOOSE(ArtifactsInput!$N$24+1,10,12,14,16,18,20)+(IF(AND(Inputs!$B$38&lt;&gt;"pvp",Inputs!$B$43=0),1,IF(IF(Inputs!$B$38="pvp",15,Inputs!$B$43)-(B2869)&lt;=0,1,MAX(0,IF(Inputs!$B$38="pvp",15,Inputs!$B$43)-MAX(5,B2869))/(IF(Inputs!$B$38="pvp",15,Inputs!$B$43)-(B2869))))*IF(AND(ArtifactsInput!$M$42,((Inputs!$B$9+((C2850=TRUE)*(F2850-Calc!F19))+B2862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2836*(MIN((Inputs!$B$9+((C2850=TRUE)*(F2850-Calc!F19))+B2862+(ArtifactsInput!$M$24-ArtifactsInput!$M$24)*CHOOSE(ArtifactsInput!$N$24+1,10,12,14,16,18,20)+(IF(AND(Inputs!$B$38&lt;&gt;"pvp",Inputs!$B$43=0),1,IF(IF(Inputs!$B$38="pvp",15,Inputs!$B$43)-(B2869)&lt;=0,1,MAX(0,IF(Inputs!$B$38="pvp",15,Inputs!$B$43)-MAX(5,B2869))/(IF(Inputs!$B$38="pvp",15,Inputs!$B$43)-(B2869))))*IF(AND(ArtifactsInput!$M$42,((Inputs!$B$9+((C2850=TRUE)*(F2850-Calc!F19))+B2862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36">
        <f>(1-Summary!$B$11)*T2836+Summary!$B$11*V2836</f>
        <v/>
      </c>
      <c r="P2836">
        <f>IF(B2872=0,0,O2836/B2872)</f>
        <v/>
      </c>
      <c r="Q2836">
        <f>IFERROR(1/(IF(Inputs!$B$38="pvp",15,MAX(0.1,Skills!D5-IF(TRUE=TRUE,Inputs!$B$32,0)))*(1-IF(AND(ArtifactsInput!$M$27,Inputs!$B$4="Chapter Hunt"),CHOOSE(ArtifactsInput!$N$27+1,20,24,28,32,36,40),0)/100)),0)</f>
        <v/>
      </c>
      <c r="R2836">
        <f>IF(AND(Inputs!$B$38&lt;&gt;"pvp",Inputs!$B$43&gt;0),IF(MAX(0,Inputs!$B$43-B2869)&lt;=0,0,(INT(MAX(0,Inputs!$B$43-B2869)/(IF(Inputs!$B$38="pvp",15,MAX(0.1,Skills!D5-IF(TRUE=TRUE,Inputs!$B$32,0)))*(1-IF(AND(ArtifactsInput!$M$27,Inputs!$B$4="Chapter Hunt"),CHOOSE(ArtifactsInput!$N$27+1,20,24,28,32,36,40),0)/100)))+1)),0)</f>
        <v/>
      </c>
      <c r="S2836">
        <f>IFERROR(O2836/N2836,0)</f>
        <v/>
      </c>
      <c r="T2836">
        <f>IF(C2836,(H2836*N2836*IF(AND(Inputs!$B$38&lt;&gt;"pvp",Inputs!$B$43&gt;0),((Skills!G5*((R2836-1)*IF(Skills!H5&gt;0,INT(IF(Inputs!$B$3&gt;=104,MIN(35,20*(1+Inputs!$B$34/100)),20)/Skills!H5+0.000000001),1)+IF(Skills!H5&gt;0,INT(MIN(IF(Inputs!$B$3&gt;=104,MIN(35,20*(1+Inputs!$B$34/100)),20),MAX(0,MAX(0,Inputs!$B$43-B2869)-((R2836-1)*(IF(Inputs!$B$38="pvp",15,MAX(0.1,Skills!D5-IF(TRUE=TRUE,Inputs!$B$32,0)))*(1-IF(AND(ArtifactsInput!$M$27,Inputs!$B$4="Chapter Hunt"),CHOOSE(ArtifactsInput!$N$27+1,20,24,28,32,36,40),0)/100)))))/Skills!H5+0.000000001),1)))/Inputs!$B$43),G2836*Q2836))*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Hunt"),CHOOSE(ArtifactsInput!$N$35+1,15,18,21,24,27,30)*(1-EXP(-(0.2*B2864)*5)),0)+IF(AND(ArtifactsInput!$M$22,Inputs!$B$4&lt;&gt;"Chapter Hunt"),CHOOSE(ArtifactsInput!$N$22+1,10,12,14,16,18,20)*((0*(((0.15*B2864*5))^0/1)+1*(((0.15*B2864*5))^1/1)+2*(((0.15*B2864*5))^2/2)+3*(((0.15*B2864*5))^3/6)+4*(((0.15*B2864*5))^4/24)+5*(((0.15*B2864*5))^5/120))/((((0.15*B2864*5))^0/1)+(((0.15*B2864*5))^1/1)+(((0.15*B2864*5))^2/2)+(((0.15*B2864*5))^3/6)+(((0.15*B2864*5))^4/24)+(((0.15*B2864*5))^5/120))),0))+IF(Inputs!$B$3&gt;=54,9*(C2834=TRUE)*MIN(1,8*(1+Inputs!$B$34/100)*Q2834)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2836*(1-MIN(100,(Inputs!$B$9+((C2850=TRUE)*(F2850-Calc!F19))+B2862+(ArtifactsInput!$M$24-ArtifactsInput!$M$24)*CHOOSE(ArtifactsInput!$N$24+1,10,12,14,16,18,20)+(IF(AND(Inputs!$B$38&lt;&gt;"pvp",Inputs!$B$43=0),1,IF(IF(Inputs!$B$38="pvp",15,Inputs!$B$43)-(B2869)&lt;=0,1,MAX(0,IF(Inputs!$B$38="pvp",15,Inputs!$B$43)-MAX(5,B2869))/(IF(Inputs!$B$38="pvp",15,Inputs!$B$43)-(B2869))))*IF(AND(ArtifactsInput!$M$42,((Inputs!$B$9+((C2850=TRUE)*(F2850-Calc!F19))+B2862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2836*(MIN(100,(Inputs!$B$9+((C2850=TRUE)*(F2850-Calc!F19))+B2862+(ArtifactsInput!$M$24-ArtifactsInput!$M$24)*CHOOSE(ArtifactsInput!$N$24+1,10,12,14,16,18,20)+(IF(AND(Inputs!$B$38&lt;&gt;"pvp",Inputs!$B$43=0),1,IF(IF(Inputs!$B$38="pvp",15,Inputs!$B$43)-(B2869)&lt;=0,1,MAX(0,IF(Inputs!$B$38="pvp",15,Inputs!$B$43)-MAX(5,B2869))/(IF(Inputs!$B$38="pvp",15,Inputs!$B$43)-(B2869))))*IF(AND(ArtifactsInput!$M$42,((Inputs!$B$9+((C2850=TRUE)*(F2850-Calc!F19))+B2862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2836*(1-MIN(100,(Inputs!$B$9+((C2850=TRUE)*(F2850-Calc!F19))+B2862+(ArtifactsInput!$M$24-ArtifactsInput!$M$24)*CHOOSE(ArtifactsInput!$N$24+1,10,12,14,16,18,20)+(IF(AND(Inputs!$B$38&lt;&gt;"pvp",Inputs!$B$43=0),1,IF(IF(Inputs!$B$38="pvp",15,Inputs!$B$43)-(B2869)&lt;=0,1,MAX(0,IF(Inputs!$B$38="pvp",15,Inputs!$B$43)-MAX(5,B2869))/(IF(Inputs!$B$38="pvp",15,Inputs!$B$43)-(B2869))))*IF(AND(ArtifactsInput!$M$42,((Inputs!$B$9+((C2850=TRUE)*(F2850-Calc!F19))+B2862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2836*(MIN(100,(Inputs!$B$9+((C2850=TRUE)*(F2850-Calc!F19))+B2862+(ArtifactsInput!$M$24-ArtifactsInput!$M$24)*CHOOSE(ArtifactsInput!$N$24+1,10,12,14,16,18,20)+(IF(AND(Inputs!$B$38&lt;&gt;"pvp",Inputs!$B$43=0),1,IF(IF(Inputs!$B$38="pvp",15,Inputs!$B$43)-(B2869)&lt;=0,1,MAX(0,IF(Inputs!$B$38="pvp",15,Inputs!$B$43)-MAX(5,B2869))/(IF(Inputs!$B$38="pvp",15,Inputs!$B$43)-(B2869))))*IF(AND(ArtifactsInput!$M$42,((Inputs!$B$9+((C2850=TRUE)*(F2850-Calc!F19))+B2862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836">
        <f>IF(C2836,(H2836*N2836*IF(AND(Inputs!$B$38&lt;&gt;"pvp",Inputs!$B$43&gt;0),((Skills!G5*((R2836-1)*IF(Skills!H5&gt;0,INT(IF(Inputs!$B$3&gt;=104,MIN(35,20*(1+Inputs!$B$34/100)),20)/Skills!H5+0.000000001),1)+IF(Skills!H5&gt;0,INT(MIN(IF(Inputs!$B$3&gt;=104,MIN(35,20*(1+Inputs!$B$34/100)),20),MAX(0,MAX(0,Inputs!$B$43-B2869)-((R2836-1)*(IF(Inputs!$B$38="pvp",15,MAX(0.1,Skills!D5-IF(TRUE=TRUE,Inputs!$B$32,0)))*(1-IF(AND(ArtifactsInput!$M$27,Inputs!$B$4="Chapter Hunt"),CHOOSE(ArtifactsInput!$N$27+1,20,24,28,32,36,40),0)/100)))))/Skills!H5+0.000000001),1)))/Inputs!$B$43),G2836*Q2836))*IF(Inputs!$B$38="pvp",1,(1+(Inputs!$B$21+Skills!Q5+(IF(ArtifactsInput!$M$33,CHOOSE(ArtifactsInput!$N$33+1,30,36,42,48,54,60),0))+(IF(AND(ArtifactsInput!$M$35,Inputs!$B$4&lt;&gt;"Chapter Hunt"),CHOOSE(ArtifactsInput!$N$35+1,15,18,21,24,27,30)*(1-EXP(-(0.2*B2864)*5)),0)+IF(AND(ArtifactsInput!$M$22,Inputs!$B$4&lt;&gt;"Chapter Hunt"),CHOOSE(ArtifactsInput!$N$22+1,10,12,14,16,18,20)*((0*(((0.15*B2864*5))^0/1)+1*(((0.15*B2864*5))^1/1)+2*(((0.15*B2864*5))^2/2)+3*(((0.15*B2864*5))^3/6)+4*(((0.15*B2864*5))^4/24)+5*(((0.15*B2864*5))^5/120))/((((0.15*B2864*5))^0/1)+(((0.15*B2864*5))^1/1)+(((0.15*B2864*5))^2/2)+(((0.15*B2864*5))^3/6)+(((0.15*B2864*5))^4/24)+(((0.15*B2864*5))^5/120))),0))+IF(Inputs!$B$3&gt;=54,9*(C2834=TRUE)*MIN(1,8*(1+Inputs!$B$34/100)*Q2834),0))/100)*(MIN(Skills!R5,Inputs!$B$37)))*((1+(IF(AND(IF(ArtifactsInput!$M$41,FALSE,TRUE),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37">
      <c r="A2837">
        <f>Skills!A6</f>
        <v/>
      </c>
      <c r="B2837">
        <f>Skills!B6</f>
        <v/>
      </c>
      <c r="C2837">
        <f>Inputs!$B$3&gt;=66</f>
        <v/>
      </c>
      <c r="D2837">
        <f>IF(Skills!C6=1,60+Inputs!$B$25+Inputs!$B$29,IF(Skills!C6=2,90+Inputs!$B$26+Inputs!$B$29,IF(Skills!C6=3,120+Inputs!$B$27+Inputs!$B$29,MAX(0,(Inputs!$B$3-100)*3)+Inputs!$B$28+Inputs!$B$29)))</f>
        <v/>
      </c>
      <c r="E2837">
        <f>INDEX(FactorTable!$B$2:$Y$301, MATCH(ROUND(MIN(300,MAX(1,D2837)),0), FactorTable!$A$2:$A$301,0), Skills!M6+1)</f>
        <v/>
      </c>
      <c r="F2837">
        <f>IF(Skills!N6=TRUE,(Skills!L6/10)*(E2837/1000),Skills!L6/10)+Skills!O6</f>
        <v/>
      </c>
      <c r="G2837">
        <f>Skills!G6*IF(Skills!H6&gt;0,INT(IF(Inputs!$B$38="pvp",MIN(Skills!I6,15),Skills!I6)/Skills!H6+0.000000001),1)</f>
        <v/>
      </c>
      <c r="H2837">
        <f>1-(1-Skills!J6/100)^Skills!K6</f>
        <v/>
      </c>
      <c r="I2837" t="inlineStr">
        <is>
          <t>1</t>
        </is>
      </c>
      <c r="J2837">
        <f>((Inputs!$B$6*(1+Inputs!$B$7/100))+(((Inputs!$B$12*(1+Inputs!$B$13/100))-(Inputs!$B$12*(1+Inputs!$B$13/100)))+0.25*(Inputs!$B$14-Inputs!$B$14))*(1+Inputs!$B$7/100))*(F2837/100)</f>
        <v/>
      </c>
      <c r="K2837">
        <f>J2837*(1+((Inputs!$B$12*(1+Inputs!$B$13/100))*0.01+Inputs!$B$14*0.0025)/100)*(1+Inputs!$B$15/100)*(1+Inputs!$B$16/100)*(5000/(6000+Inputs!$B$42*(1-(100*(1-(1-(Inputs!$B$19+0)/100)*(1-CHOOSE(ArtifactsInput!$N$40+1,5,6,7,8,9,10)/100)^(ArtifactsInput!$M$40-ArtifactsInput!$M$40)))/100)))*(1+(Inputs!$B$24+((C2857=TRUE)*(F2857-Calc!F26))+B2868)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+2.0*IF(C2846=TRUE,F2846,0)/100)*(1+(IF(Skills!A6="EIGHT_LEGS_EASTON",Inputs!$B$17+((C2854=TRUE)*(F2854-Calc!F23))+((C2858=TRUE)*(F2858-Calc!F27))+((IF(AND(Inputs!$B$38&lt;&gt;"pvp",Inputs!$B$43=0),1,IF(IF(Inputs!$B$38="pvp",15,Inputs!$B$43)-(B2869)&lt;=0,1,MAX(0,IF(Inputs!$B$38="pvp",15,Inputs!$B$43)-MAX(5,B2869))/(IF(Inputs!$B$38="pvp",15,Inputs!$B$43)-(B2869))))*(IF(AND(ArtifactsInput!$M$42,((Inputs!$B$9+((C2850=TRUE)*(F2850-Calc!F19))+B2862+(ArtifactsInput!$M$24-ArtifactsInput!$M$24)*CHOOSE(ArtifactsInput!$N$24+1,10,12,14,16,18,20)+IF(ArtifactsInput!$M$10,CHOOSE(ArtifactsInput!$N$10+1,15,18,21,24,27,30)*(IF(Inputs!$B$38="pvp",MIN(15,15)/15,IF(AND(Inputs!$B$38&lt;&gt;"pvp",Inputs!$B$43&gt;0),MIN(15,Inputs!$B$43)/(Inputs!$B$43),0))),0)))&gt;=100),MIN(100,((Inputs!$B$9+((C2850=TRUE)*(F2850-Calc!F19))+B2862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2869)&lt;=0,1,MAX(0,IF(Inputs!$B$38="pvp",15,Inputs!$B$43)-MAX(5,B2869))/(IF(Inputs!$B$38="pvp",15,Inputs!$B$43)-(B2869))))*IF(AND(ArtifactsInput!$M$42,((Inputs!$B$9+((C2850=TRUE)*(F2850-Calc!F19))+B2862+(ArtifactsInput!$M$24-ArtifactsInput!$M$24)*CHOOSE(ArtifactsInput!$N$24+1,10,12,14,16,18,20)+IF(ArtifactsInput!$M$10,CHOOSE(ArtifactsInput!$N$10+1,15,18,21,24,27,30)*(IF(Inputs!$B$38="pvp",MIN(15,15)/15,IF(AND(Inputs!$B$38&lt;&gt;"pvp",Inputs!$B$43&gt;0),MIN(15,Inputs!$B$43)/(Inputs!$B$43),0))),0)))&gt;=100),CHOOSE(ArtifactsInput!$N$42+1,40,48,56,64,72,80),0))))/100)*((1+(((C2848=TRUE)*F2848*5/7)+((C2855=TRUE)*(F2855-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IF(ArtifactsInput!$M$41,FALSE,TRUE),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2837)</f>
        <v/>
      </c>
      <c r="L2837">
        <f>K2837*(MIN(Inputs!$B$22+((C2853=TRUE)*(F2853-Calc!F22)),(Inputs!$B$23+0+(IF(ArtifactsInput!$M$15,CHOOSE(ArtifactsInput!$N$15+1,25,30,35,40,45,50)/100*(Inputs!$B$11-Inputs!$B$11),0))))/100+(Inputs!$B$23+0+(IF(ArtifactsInput!$M$15,CHOOSE(ArtifactsInput!$N$15+1,25,30,35,40,45,50)/100*(Inputs!$B$11-Inputs!$B$11),0)))/100)/2</f>
        <v/>
      </c>
      <c r="M2837">
        <f>L2837*(1+(Inputs!$B$10+((C2856=TRUE)*(F2856-Calc!F25))+B2867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37">
        <f>L2837*(1-MIN((Inputs!$B$9+((C2850=TRUE)*(F2850-Calc!F19))+B2862+(ArtifactsInput!$M$24-ArtifactsInput!$M$24)*CHOOSE(ArtifactsInput!$N$24+1,10,12,14,16,18,20)+(IF(AND(Inputs!$B$38&lt;&gt;"pvp",Inputs!$B$43=0),1,IF(IF(Inputs!$B$38="pvp",15,Inputs!$B$43)-(B2869)&lt;=0,1,MAX(0,IF(Inputs!$B$38="pvp",15,Inputs!$B$43)-MAX(5,B2869))/(IF(Inputs!$B$38="pvp",15,Inputs!$B$43)-(B2869))))*IF(AND(ArtifactsInput!$M$42,((Inputs!$B$9+((C2850=TRUE)*(F2850-Calc!F19))+B2862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2837*(MIN((Inputs!$B$9+((C2850=TRUE)*(F2850-Calc!F19))+B2862+(ArtifactsInput!$M$24-ArtifactsInput!$M$24)*CHOOSE(ArtifactsInput!$N$24+1,10,12,14,16,18,20)+(IF(AND(Inputs!$B$38&lt;&gt;"pvp",Inputs!$B$43=0),1,IF(IF(Inputs!$B$38="pvp",15,Inputs!$B$43)-(B2869)&lt;=0,1,MAX(0,IF(Inputs!$B$38="pvp",15,Inputs!$B$43)-MAX(5,B2869))/(IF(Inputs!$B$38="pvp",15,Inputs!$B$43)-(B2869))))*IF(AND(ArtifactsInput!$M$42,((Inputs!$B$9+((C2850=TRUE)*(F2850-Calc!F19))+B2862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37">
        <f>(1-Summary!$B$11)*T2837+Summary!$B$11*V2837</f>
        <v/>
      </c>
      <c r="P2837">
        <f>IF(B2872=0,0,O2837/B2872)</f>
        <v/>
      </c>
      <c r="Q2837">
        <f>IFERROR(1/(IF(Inputs!$B$38="pvp",15,MAX(0.1,Skills!D6-IF(TRUE=TRUE,Inputs!$B$32,0)))*(1-IF(AND(ArtifactsInput!$M$27,Inputs!$B$4="Chapter Hunt"),CHOOSE(ArtifactsInput!$N$27+1,20,24,28,32,36,40),0)/100)),0)</f>
        <v/>
      </c>
      <c r="R2837">
        <f>IF(AND(Inputs!$B$38&lt;&gt;"pvp",Inputs!$B$43&gt;0),IF(MAX(0,Inputs!$B$43-B2869)&lt;=0,0,(INT(MAX(0,Inputs!$B$43-B2869)/(IF(Inputs!$B$38="pvp",15,MAX(0.1,Skills!D6-IF(TRUE=TRUE,Inputs!$B$32,0)))*(1-IF(AND(ArtifactsInput!$M$27,Inputs!$B$4="Chapter Hunt"),CHOOSE(ArtifactsInput!$N$27+1,20,24,28,32,36,40),0)/100)))+1)),0)</f>
        <v/>
      </c>
      <c r="S2837">
        <f>IFERROR(O2837/N2837,0)</f>
        <v/>
      </c>
      <c r="T2837">
        <f>IF(C2837,(H2837*N2837*IF(AND(Inputs!$B$38&lt;&gt;"pvp",Inputs!$B$43&gt;0),((Skills!G6*((R2837-1)*IF(Skills!H6&gt;0,INT(Skills!I6/Skills!H6+0.000000001),1)+IF(Skills!H6&gt;0,INT(MIN(Skills!I6,MAX(0,MAX(0,Inputs!$B$43-B2869)-((R2837-1)*(IF(Inputs!$B$38="pvp",15,MAX(0.1,Skills!D6-IF(TRUE=TRUE,Inputs!$B$32,0)))*(1-IF(AND(ArtifactsInput!$M$27,Inputs!$B$4="Chapter Hunt"),CHOOSE(ArtifactsInput!$N$27+1,20,24,28,32,36,40),0)/100)))))/Skills!H6+0.000000001),1)))/Inputs!$B$43),G2837*Q2837)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Hunt"),CHOOSE(ArtifactsInput!$N$35+1,15,18,21,24,27,30)*(1-EXP(-(0.2*B2864)*5)),0)+IF(AND(ArtifactsInput!$M$22,Inputs!$B$4&lt;&gt;"Chapter Hunt"),CHOOSE(ArtifactsInput!$N$22+1,10,12,14,16,18,20)*((0*(((0.15*B2864*5))^0/1)+1*(((0.15*B2864*5))^1/1)+2*(((0.15*B2864*5))^2/2)+3*(((0.15*B2864*5))^3/6)+4*(((0.15*B2864*5))^4/24)+5*(((0.15*B2864*5))^5/120))/((((0.15*B2864*5))^0/1)+(((0.15*B2864*5))^1/1)+(((0.15*B2864*5))^2/2)+(((0.15*B2864*5))^3/6)+(((0.15*B2864*5))^4/24)+(((0.15*B2864*5))^5/120))),0))+IF(Inputs!$B$3&gt;=54,9*(C2834=TRUE)*MIN(1,8*(1+Inputs!$B$34/100)*Q2834)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2837*(1-MIN(100,(Inputs!$B$9+((C2850=TRUE)*(F2850-Calc!F19))+B2862+(ArtifactsInput!$M$24-ArtifactsInput!$M$24)*CHOOSE(ArtifactsInput!$N$24+1,10,12,14,16,18,20)+(IF(AND(Inputs!$B$38&lt;&gt;"pvp",Inputs!$B$43=0),1,IF(IF(Inputs!$B$38="pvp",15,Inputs!$B$43)-(B2869)&lt;=0,1,MAX(0,IF(Inputs!$B$38="pvp",15,Inputs!$B$43)-MAX(5,B2869))/(IF(Inputs!$B$38="pvp",15,Inputs!$B$43)-(B2869))))*IF(AND(ArtifactsInput!$M$42,((Inputs!$B$9+((C2850=TRUE)*(F2850-Calc!F19))+B2862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2837*(MIN(100,(Inputs!$B$9+((C2850=TRUE)*(F2850-Calc!F19))+B2862+(ArtifactsInput!$M$24-ArtifactsInput!$M$24)*CHOOSE(ArtifactsInput!$N$24+1,10,12,14,16,18,20)+(IF(AND(Inputs!$B$38&lt;&gt;"pvp",Inputs!$B$43=0),1,IF(IF(Inputs!$B$38="pvp",15,Inputs!$B$43)-(B2869)&lt;=0,1,MAX(0,IF(Inputs!$B$38="pvp",15,Inputs!$B$43)-MAX(5,B2869))/(IF(Inputs!$B$38="pvp",15,Inputs!$B$43)-(B2869))))*IF(AND(ArtifactsInput!$M$42,((Inputs!$B$9+((C2850=TRUE)*(F2850-Calc!F19))+B2862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2837*(1-MIN(100,(Inputs!$B$9+((C2850=TRUE)*(F2850-Calc!F19))+B2862+(ArtifactsInput!$M$24-ArtifactsInput!$M$24)*CHOOSE(ArtifactsInput!$N$24+1,10,12,14,16,18,20)+(IF(AND(Inputs!$B$38&lt;&gt;"pvp",Inputs!$B$43=0),1,IF(IF(Inputs!$B$38="pvp",15,Inputs!$B$43)-(B2869)&lt;=0,1,MAX(0,IF(Inputs!$B$38="pvp",15,Inputs!$B$43)-MAX(5,B2869))/(IF(Inputs!$B$38="pvp",15,Inputs!$B$43)-(B2869))))*IF(AND(ArtifactsInput!$M$42,((Inputs!$B$9+((C2850=TRUE)*(F2850-Calc!F19))+B2862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2837*(MIN(100,(Inputs!$B$9+((C2850=TRUE)*(F2850-Calc!F19))+B2862+(ArtifactsInput!$M$24-ArtifactsInput!$M$24)*CHOOSE(ArtifactsInput!$N$24+1,10,12,14,16,18,20)+(IF(AND(Inputs!$B$38&lt;&gt;"pvp",Inputs!$B$43=0),1,IF(IF(Inputs!$B$38="pvp",15,Inputs!$B$43)-(B2869)&lt;=0,1,MAX(0,IF(Inputs!$B$38="pvp",15,Inputs!$B$43)-MAX(5,B2869))/(IF(Inputs!$B$38="pvp",15,Inputs!$B$43)-(B2869))))*IF(AND(ArtifactsInput!$M$42,((Inputs!$B$9+((C2850=TRUE)*(F2850-Calc!F19))+B2862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837">
        <f>IF(C2837,(H2837*N2837*IF(AND(Inputs!$B$38&lt;&gt;"pvp",Inputs!$B$43&gt;0),((Skills!G6*((R2837-1)*IF(Skills!H6&gt;0,INT(Skills!I6/Skills!H6+0.000000001),1)+IF(Skills!H6&gt;0,INT(MIN(Skills!I6,MAX(0,MAX(0,Inputs!$B$43-B2869)-((R2837-1)*(IF(Inputs!$B$38="pvp",15,MAX(0.1,Skills!D6-IF(TRUE=TRUE,Inputs!$B$32,0)))*(1-IF(AND(ArtifactsInput!$M$27,Inputs!$B$4="Chapter Hunt"),CHOOSE(ArtifactsInput!$N$27+1,20,24,28,32,36,40),0)/100)))))/Skills!H6+0.000000001),1)))/Inputs!$B$43),G2837*Q2837))*IF(Inputs!$B$38="pvp",1,(1+(Inputs!$B$21+Skills!Q6+(IF(ArtifactsInput!$M$33,CHOOSE(ArtifactsInput!$N$33+1,30,36,42,48,54,60),0))+(IF(AND(ArtifactsInput!$M$35,Inputs!$B$4&lt;&gt;"Chapter Hunt"),CHOOSE(ArtifactsInput!$N$35+1,15,18,21,24,27,30)*(1-EXP(-(0.2*B2864)*5)),0)+IF(AND(ArtifactsInput!$M$22,Inputs!$B$4&lt;&gt;"Chapter Hunt"),CHOOSE(ArtifactsInput!$N$22+1,10,12,14,16,18,20)*((0*(((0.15*B2864*5))^0/1)+1*(((0.15*B2864*5))^1/1)+2*(((0.15*B2864*5))^2/2)+3*(((0.15*B2864*5))^3/6)+4*(((0.15*B2864*5))^4/24)+5*(((0.15*B2864*5))^5/120))/((((0.15*B2864*5))^0/1)+(((0.15*B2864*5))^1/1)+(((0.15*B2864*5))^2/2)+(((0.15*B2864*5))^3/6)+(((0.15*B2864*5))^4/24)+(((0.15*B2864*5))^5/120))),0))+IF(Inputs!$B$3&gt;=54,9*(C2834=TRUE)*MIN(1,8*(1+Inputs!$B$34/100)*Q2834),0))/100)*(MIN(Skills!R6,Inputs!$B$37)))*((1+(IF(AND(IF(ArtifactsInput!$M$41,FALSE,TRUE),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38">
      <c r="A2838">
        <f>Skills!A7</f>
        <v/>
      </c>
      <c r="B2838">
        <f>Skills!B7</f>
        <v/>
      </c>
      <c r="C2838">
        <f>Inputs!$B$3&gt;=63</f>
        <v/>
      </c>
      <c r="D2838">
        <f>IF(Skills!C7=1,60+Inputs!$B$25+Inputs!$B$29,IF(Skills!C7=2,90+Inputs!$B$26+Inputs!$B$29,IF(Skills!C7=3,120+Inputs!$B$27+Inputs!$B$29,MAX(0,(Inputs!$B$3-100)*3)+Inputs!$B$28+Inputs!$B$29)))</f>
        <v/>
      </c>
      <c r="E2838">
        <f>INDEX(FactorTable!$B$2:$Y$301, MATCH(ROUND(MIN(300,MAX(1,D2838)),0), FactorTable!$A$2:$A$301,0), Skills!M7+1)</f>
        <v/>
      </c>
      <c r="F2838">
        <f>IF(Skills!N7=TRUE,(Skills!L7/10)*(E2838/1000),Skills!L7/10)+Skills!O7</f>
        <v/>
      </c>
      <c r="G2838">
        <f>Skills!G7*IF(Skills!H7&gt;0,INT(IF(Inputs!$B$38="pvp",MIN(Skills!I7,15),Skills!I7)/Skills!H7+0.000000001),1)</f>
        <v/>
      </c>
      <c r="H2838">
        <f>1-(1-Skills!J7/100)^Skills!K7</f>
        <v/>
      </c>
      <c r="I2838" t="inlineStr">
        <is>
          <t>1</t>
        </is>
      </c>
      <c r="J2838">
        <f>((Inputs!$B$6*(1+Inputs!$B$7/100))+(((Inputs!$B$12*(1+Inputs!$B$13/100))-(Inputs!$B$12*(1+Inputs!$B$13/100)))+0.25*(Inputs!$B$14-Inputs!$B$14))*(1+Inputs!$B$7/100))*(F2838/100)</f>
        <v/>
      </c>
      <c r="K2838">
        <f>J2838*(1+((Inputs!$B$12*(1+Inputs!$B$13/100))*0.01+Inputs!$B$14*0.0025)/100)*(1+Inputs!$B$15/100)*(1+Inputs!$B$16/100)*(5000/(6000+Inputs!$B$42*(1-(100*(1-(1-(Inputs!$B$19+0)/100)*(1-CHOOSE(ArtifactsInput!$N$40+1,5,6,7,8,9,10)/100)^(ArtifactsInput!$M$40-ArtifactsInput!$M$40)))/100)))*(1+(Inputs!$B$24+((C2857=TRUE)*(F2857-Calc!F26))+B2868)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2846=TRUE,F2846,0)/100)*(1+(IF(Skills!A7="EIGHT_LEGS_EASTON",Inputs!$B$17+((C2854=TRUE)*(F2854-Calc!F23))+((C2858=TRUE)*(F2858-Calc!F27))+((IF(AND(Inputs!$B$38&lt;&gt;"pvp",Inputs!$B$43=0),1,IF(IF(Inputs!$B$38="pvp",15,Inputs!$B$43)-(B2869)&lt;=0,1,MAX(0,IF(Inputs!$B$38="pvp",15,Inputs!$B$43)-MAX(5,B2869))/(IF(Inputs!$B$38="pvp",15,Inputs!$B$43)-(B2869))))*(IF(AND(ArtifactsInput!$M$42,((Inputs!$B$9+((C2850=TRUE)*(F2850-Calc!F19))+B2862+(ArtifactsInput!$M$24-ArtifactsInput!$M$24)*CHOOSE(ArtifactsInput!$N$24+1,10,12,14,16,18,20)+IF(ArtifactsInput!$M$10,CHOOSE(ArtifactsInput!$N$10+1,15,18,21,24,27,30)*(IF(Inputs!$B$38="pvp",MIN(15,15)/15,IF(AND(Inputs!$B$38&lt;&gt;"pvp",Inputs!$B$43&gt;0),MIN(15,Inputs!$B$43)/(Inputs!$B$43),0))),0)))&gt;=100),MIN(100,((Inputs!$B$9+((C2850=TRUE)*(F2850-Calc!F19))+B2862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2869)&lt;=0,1,MAX(0,IF(Inputs!$B$38="pvp",15,Inputs!$B$43)-MAX(5,B2869))/(IF(Inputs!$B$38="pvp",15,Inputs!$B$43)-(B2869))))*IF(AND(ArtifactsInput!$M$42,((Inputs!$B$9+((C2850=TRUE)*(F2850-Calc!F19))+B2862+(ArtifactsInput!$M$24-ArtifactsInput!$M$24)*CHOOSE(ArtifactsInput!$N$24+1,10,12,14,16,18,20)+IF(ArtifactsInput!$M$10,CHOOSE(ArtifactsInput!$N$10+1,15,18,21,24,27,30)*(IF(Inputs!$B$38="pvp",MIN(15,15)/15,IF(AND(Inputs!$B$38&lt;&gt;"pvp",Inputs!$B$43&gt;0),MIN(15,Inputs!$B$43)/(Inputs!$B$43),0))),0)))&gt;=100),CHOOSE(ArtifactsInput!$N$42+1,40,48,56,64,72,80),0))))/100)*((1+(((C2848=TRUE)*F2848*5/7)+((C2855=TRUE)*(F2855-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IF(ArtifactsInput!$M$41,FALSE,TRUE),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2838)</f>
        <v/>
      </c>
      <c r="L2838">
        <f>K2838*(MIN(Inputs!$B$22+((C2853=TRUE)*(F2853-Calc!F22)),(Inputs!$B$23+0+(IF(ArtifactsInput!$M$15,CHOOSE(ArtifactsInput!$N$15+1,25,30,35,40,45,50)/100*(Inputs!$B$11-Inputs!$B$11),0))))/100+(Inputs!$B$23+0+(IF(ArtifactsInput!$M$15,CHOOSE(ArtifactsInput!$N$15+1,25,30,35,40,45,50)/100*(Inputs!$B$11-Inputs!$B$11),0)))/100)/2</f>
        <v/>
      </c>
      <c r="M2838">
        <f>L2838*(1+(Inputs!$B$10+((C2856=TRUE)*(F2856-Calc!F25))+B2867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38">
        <f>L2838*(1-MIN((Inputs!$B$9+((C2850=TRUE)*(F2850-Calc!F19))+B2862+(ArtifactsInput!$M$24-ArtifactsInput!$M$24)*CHOOSE(ArtifactsInput!$N$24+1,10,12,14,16,18,20)+(IF(AND(Inputs!$B$38&lt;&gt;"pvp",Inputs!$B$43=0),1,IF(IF(Inputs!$B$38="pvp",15,Inputs!$B$43)-(B2869)&lt;=0,1,MAX(0,IF(Inputs!$B$38="pvp",15,Inputs!$B$43)-MAX(5,B2869))/(IF(Inputs!$B$38="pvp",15,Inputs!$B$43)-(B2869))))*IF(AND(ArtifactsInput!$M$42,((Inputs!$B$9+((C2850=TRUE)*(F2850-Calc!F19))+B2862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2838*(MIN((Inputs!$B$9+((C2850=TRUE)*(F2850-Calc!F19))+B2862+(ArtifactsInput!$M$24-ArtifactsInput!$M$24)*CHOOSE(ArtifactsInput!$N$24+1,10,12,14,16,18,20)+(IF(AND(Inputs!$B$38&lt;&gt;"pvp",Inputs!$B$43=0),1,IF(IF(Inputs!$B$38="pvp",15,Inputs!$B$43)-(B2869)&lt;=0,1,MAX(0,IF(Inputs!$B$38="pvp",15,Inputs!$B$43)-MAX(5,B2869))/(IF(Inputs!$B$38="pvp",15,Inputs!$B$43)-(B2869))))*IF(AND(ArtifactsInput!$M$42,((Inputs!$B$9+((C2850=TRUE)*(F2850-Calc!F19))+B2862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38">
        <f>(1-Summary!$B$11)*T2838+Summary!$B$11*V2838</f>
        <v/>
      </c>
      <c r="P2838">
        <f>IF(B2872=0,0,O2838/B2872)</f>
        <v/>
      </c>
      <c r="Q2838">
        <f>IFERROR(1/(IF(Inputs!$B$38="pvp",15,MAX(0.1,Skills!D7-IF(TRUE=TRUE,Inputs!$B$32,0)))*(1-IF(AND(ArtifactsInput!$M$27,Inputs!$B$4="Chapter Hunt"),CHOOSE(ArtifactsInput!$N$27+1,20,24,28,32,36,40),0)/100)),0)</f>
        <v/>
      </c>
      <c r="R2838">
        <f>IF(AND(Inputs!$B$38&lt;&gt;"pvp",Inputs!$B$43&gt;0),IF(MAX(0,Inputs!$B$43-B2869)&lt;=0,0,(INT(MAX(0,Inputs!$B$43-B2869)/(IF(Inputs!$B$38="pvp",15,MAX(0.1,Skills!D7-IF(TRUE=TRUE,Inputs!$B$32,0)))*(1-IF(AND(ArtifactsInput!$M$27,Inputs!$B$4="Chapter Hunt"),CHOOSE(ArtifactsInput!$N$27+1,20,24,28,32,36,40),0)/100)))+1)),0)</f>
        <v/>
      </c>
      <c r="S2838">
        <f>IFERROR(O2838/N2838,0)</f>
        <v/>
      </c>
      <c r="T2838">
        <f>IF(C2838,(H2838*N2838*IF(AND(Inputs!$B$38&lt;&gt;"pvp",Inputs!$B$43&gt;0),((Skills!G7*((R2838-1)*IF(Skills!H7&gt;0,INT(Skills!I7/Skills!H7+0.000000001),1)+IF(Skills!H7&gt;0,INT(MIN(Skills!I7,MAX(0,MAX(0,Inputs!$B$43-B2869)-((R2838-1)*(IF(Inputs!$B$38="pvp",15,MAX(0.1,Skills!D7-IF(TRUE=TRUE,Inputs!$B$32,0)))*(1-IF(AND(ArtifactsInput!$M$27,Inputs!$B$4="Chapter Hunt"),CHOOSE(ArtifactsInput!$N$27+1,20,24,28,32,36,40),0)/100)))))/Skills!H7+0.000000001),1)))/Inputs!$B$43),G2838*Q2838)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Hunt"),CHOOSE(ArtifactsInput!$N$35+1,15,18,21,24,27,30)*(1-EXP(-(0.2*B2864)*5)),0)+IF(AND(ArtifactsInput!$M$22,Inputs!$B$4&lt;&gt;"Chapter Hunt"),CHOOSE(ArtifactsInput!$N$22+1,10,12,14,16,18,20)*((0*(((0.15*B2864*5))^0/1)+1*(((0.15*B2864*5))^1/1)+2*(((0.15*B2864*5))^2/2)+3*(((0.15*B2864*5))^3/6)+4*(((0.15*B2864*5))^4/24)+5*(((0.15*B2864*5))^5/120))/((((0.15*B2864*5))^0/1)+(((0.15*B2864*5))^1/1)+(((0.15*B2864*5))^2/2)+(((0.15*B2864*5))^3/6)+(((0.15*B2864*5))^4/24)+(((0.15*B2864*5))^5/120))),0))+IF(Inputs!$B$3&gt;=54,9*(C2834=TRUE)*MIN(1,8*(1+Inputs!$B$34/100)*Q2834)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2838*(1-MIN(100,(Inputs!$B$9+((C2850=TRUE)*(F2850-Calc!F19))+B2862+(ArtifactsInput!$M$24-ArtifactsInput!$M$24)*CHOOSE(ArtifactsInput!$N$24+1,10,12,14,16,18,20)+(IF(AND(Inputs!$B$38&lt;&gt;"pvp",Inputs!$B$43=0),1,IF(IF(Inputs!$B$38="pvp",15,Inputs!$B$43)-(B2869)&lt;=0,1,MAX(0,IF(Inputs!$B$38="pvp",15,Inputs!$B$43)-MAX(5,B2869))/(IF(Inputs!$B$38="pvp",15,Inputs!$B$43)-(B2869))))*IF(AND(ArtifactsInput!$M$42,((Inputs!$B$9+((C2850=TRUE)*(F2850-Calc!F19))+B2862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2838*(MIN(100,(Inputs!$B$9+((C2850=TRUE)*(F2850-Calc!F19))+B2862+(ArtifactsInput!$M$24-ArtifactsInput!$M$24)*CHOOSE(ArtifactsInput!$N$24+1,10,12,14,16,18,20)+(IF(AND(Inputs!$B$38&lt;&gt;"pvp",Inputs!$B$43=0),1,IF(IF(Inputs!$B$38="pvp",15,Inputs!$B$43)-(B2869)&lt;=0,1,MAX(0,IF(Inputs!$B$38="pvp",15,Inputs!$B$43)-MAX(5,B2869))/(IF(Inputs!$B$38="pvp",15,Inputs!$B$43)-(B2869))))*IF(AND(ArtifactsInput!$M$42,((Inputs!$B$9+((C2850=TRUE)*(F2850-Calc!F19))+B2862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2838*(1-MIN(100,(Inputs!$B$9+((C2850=TRUE)*(F2850-Calc!F19))+B2862+(ArtifactsInput!$M$24-ArtifactsInput!$M$24)*CHOOSE(ArtifactsInput!$N$24+1,10,12,14,16,18,20)+(IF(AND(Inputs!$B$38&lt;&gt;"pvp",Inputs!$B$43=0),1,IF(IF(Inputs!$B$38="pvp",15,Inputs!$B$43)-(B2869)&lt;=0,1,MAX(0,IF(Inputs!$B$38="pvp",15,Inputs!$B$43)-MAX(5,B2869))/(IF(Inputs!$B$38="pvp",15,Inputs!$B$43)-(B2869))))*IF(AND(ArtifactsInput!$M$42,((Inputs!$B$9+((C2850=TRUE)*(F2850-Calc!F19))+B2862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2838*(MIN(100,(Inputs!$B$9+((C2850=TRUE)*(F2850-Calc!F19))+B2862+(ArtifactsInput!$M$24-ArtifactsInput!$M$24)*CHOOSE(ArtifactsInput!$N$24+1,10,12,14,16,18,20)+(IF(AND(Inputs!$B$38&lt;&gt;"pvp",Inputs!$B$43=0),1,IF(IF(Inputs!$B$38="pvp",15,Inputs!$B$43)-(B2869)&lt;=0,1,MAX(0,IF(Inputs!$B$38="pvp",15,Inputs!$B$43)-MAX(5,B2869))/(IF(Inputs!$B$38="pvp",15,Inputs!$B$43)-(B2869))))*IF(AND(ArtifactsInput!$M$42,((Inputs!$B$9+((C2850=TRUE)*(F2850-Calc!F19))+B2862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838">
        <f>IF(C2838,(H2838*N2838*IF(AND(Inputs!$B$38&lt;&gt;"pvp",Inputs!$B$43&gt;0),((Skills!G7*((R2838-1)*IF(Skills!H7&gt;0,INT(Skills!I7/Skills!H7+0.000000001),1)+IF(Skills!H7&gt;0,INT(MIN(Skills!I7,MAX(0,MAX(0,Inputs!$B$43-B2869)-((R2838-1)*(IF(Inputs!$B$38="pvp",15,MAX(0.1,Skills!D7-IF(TRUE=TRUE,Inputs!$B$32,0)))*(1-IF(AND(ArtifactsInput!$M$27,Inputs!$B$4="Chapter Hunt"),CHOOSE(ArtifactsInput!$N$27+1,20,24,28,32,36,40),0)/100)))))/Skills!H7+0.000000001),1)))/Inputs!$B$43),G2838*Q2838))*IF(Inputs!$B$38="pvp",1,(1+(Inputs!$B$21+Skills!Q7+(IF(ArtifactsInput!$M$33,CHOOSE(ArtifactsInput!$N$33+1,30,36,42,48,54,60),0))+(IF(AND(ArtifactsInput!$M$35,Inputs!$B$4&lt;&gt;"Chapter Hunt"),CHOOSE(ArtifactsInput!$N$35+1,15,18,21,24,27,30)*(1-EXP(-(0.2*B2864)*5)),0)+IF(AND(ArtifactsInput!$M$22,Inputs!$B$4&lt;&gt;"Chapter Hunt"),CHOOSE(ArtifactsInput!$N$22+1,10,12,14,16,18,20)*((0*(((0.15*B2864*5))^0/1)+1*(((0.15*B2864*5))^1/1)+2*(((0.15*B2864*5))^2/2)+3*(((0.15*B2864*5))^3/6)+4*(((0.15*B2864*5))^4/24)+5*(((0.15*B2864*5))^5/120))/((((0.15*B2864*5))^0/1)+(((0.15*B2864*5))^1/1)+(((0.15*B2864*5))^2/2)+(((0.15*B2864*5))^3/6)+(((0.15*B2864*5))^4/24)+(((0.15*B2864*5))^5/120))),0))+IF(Inputs!$B$3&gt;=54,9*(C2834=TRUE)*MIN(1,8*(1+Inputs!$B$34/100)*Q2834),0))/100)*(MIN(Skills!R7,Inputs!$B$37)))*((1+(IF(AND(IF(ArtifactsInput!$M$41,FALSE,TRUE),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39">
      <c r="A2839">
        <f>Skills!A8</f>
        <v/>
      </c>
      <c r="B2839">
        <f>Skills!B8</f>
        <v/>
      </c>
      <c r="C2839">
        <f>Inputs!$B$3&gt;=103</f>
        <v/>
      </c>
      <c r="D2839">
        <f>IF(Skills!C8=1,60+Inputs!$B$25+Inputs!$B$29,IF(Skills!C8=2,90+Inputs!$B$26+Inputs!$B$29,IF(Skills!C8=3,120+Inputs!$B$27+Inputs!$B$29,MAX(0,(Inputs!$B$3-100)*3)+Inputs!$B$28+Inputs!$B$29)))</f>
        <v/>
      </c>
      <c r="E2839">
        <f>INDEX(FactorTable!$B$2:$Y$301, MATCH(ROUND(MIN(300,MAX(1,D2839)),0), FactorTable!$A$2:$A$301,0), Skills!M8+1)</f>
        <v/>
      </c>
      <c r="F2839">
        <f>IF(Skills!N8=TRUE,(Skills!L8/10)*(E2839/1000),Skills!L8/10)+Skills!O8</f>
        <v/>
      </c>
      <c r="G2839">
        <f>Skills!G8*IF(Skills!H8&gt;0,INT(IF(Inputs!$B$38="pvp",MIN(Skills!I8,15),Skills!I8)/Skills!H8+0.000000001),1)</f>
        <v/>
      </c>
      <c r="H2839">
        <f>1-(1-Skills!J8/100)^Skills!K8</f>
        <v/>
      </c>
      <c r="I2839" t="inlineStr">
        <is>
          <t>1</t>
        </is>
      </c>
      <c r="J2839">
        <f>((Inputs!$B$6*(1+Inputs!$B$7/100))+(((Inputs!$B$12*(1+Inputs!$B$13/100))-(Inputs!$B$12*(1+Inputs!$B$13/100)))+0.25*(Inputs!$B$14-Inputs!$B$14))*(1+Inputs!$B$7/100))*(F2839/100)</f>
        <v/>
      </c>
      <c r="K2839">
        <f>J2839*(1+((Inputs!$B$12*(1+Inputs!$B$13/100))*0.01+Inputs!$B$14*0.0025)/100)*(1+Inputs!$B$15/100)*(1+Inputs!$B$16/100)*(5000/(6000+Inputs!$B$42*(1-(100*(1-(1-(Inputs!$B$19+0)/100)*(1-CHOOSE(ArtifactsInput!$N$40+1,5,6,7,8,9,10)/100)^(ArtifactsInput!$M$40-ArtifactsInput!$M$40)))/100)))*(1+(Inputs!$B$24+((C2857=TRUE)*(F2857-Calc!F26))+B2868)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IGHT_LEGS_EASTON",Inputs!$B$17+((C2854=TRUE)*(F2854-Calc!F23))+((C2858=TRUE)*(F2858-Calc!F27))+((IF(AND(Inputs!$B$38&lt;&gt;"pvp",Inputs!$B$43=0),1,IF(IF(Inputs!$B$38="pvp",15,Inputs!$B$43)-(B2869)&lt;=0,1,MAX(0,IF(Inputs!$B$38="pvp",15,Inputs!$B$43)-MAX(5,B2869))/(IF(Inputs!$B$38="pvp",15,Inputs!$B$43)-(B2869))))*(IF(AND(ArtifactsInput!$M$42,((Inputs!$B$9+((C2850=TRUE)*(F2850-Calc!F19))+B2862+(ArtifactsInput!$M$24-ArtifactsInput!$M$24)*CHOOSE(ArtifactsInput!$N$24+1,10,12,14,16,18,20)+IF(ArtifactsInput!$M$10,CHOOSE(ArtifactsInput!$N$10+1,15,18,21,24,27,30)*(IF(Inputs!$B$38="pvp",MIN(15,15)/15,IF(AND(Inputs!$B$38&lt;&gt;"pvp",Inputs!$B$43&gt;0),MIN(15,Inputs!$B$43)/(Inputs!$B$43),0))),0)))&gt;=100),MIN(100,((Inputs!$B$9+((C2850=TRUE)*(F2850-Calc!F19))+B2862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2869)&lt;=0,1,MAX(0,IF(Inputs!$B$38="pvp",15,Inputs!$B$43)-MAX(5,B2869))/(IF(Inputs!$B$38="pvp",15,Inputs!$B$43)-(B2869))))*IF(AND(ArtifactsInput!$M$42,((Inputs!$B$9+((C2850=TRUE)*(F2850-Calc!F19))+B2862+(ArtifactsInput!$M$24-ArtifactsInput!$M$24)*CHOOSE(ArtifactsInput!$N$24+1,10,12,14,16,18,20)+IF(ArtifactsInput!$M$10,CHOOSE(ArtifactsInput!$N$10+1,15,18,21,24,27,30)*(IF(Inputs!$B$38="pvp",MIN(15,15)/15,IF(AND(Inputs!$B$38&lt;&gt;"pvp",Inputs!$B$43&gt;0),MIN(15,Inputs!$B$43)/(Inputs!$B$43),0))),0)))&gt;=100),CHOOSE(ArtifactsInput!$N$42+1,40,48,56,64,72,80),0))))/100)*((1+(((C2848=TRUE)*F2848*5/7)+((C2855=TRUE)*(F2855-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IF(ArtifactsInput!$M$41,FALSE,TRUE),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2839)</f>
        <v/>
      </c>
      <c r="L2839">
        <f>K2839*(MIN(Inputs!$B$22+((C2853=TRUE)*(F2853-Calc!F22)),(Inputs!$B$23+0+(IF(ArtifactsInput!$M$15,CHOOSE(ArtifactsInput!$N$15+1,25,30,35,40,45,50)/100*(Inputs!$B$11-Inputs!$B$11),0))))/100+(Inputs!$B$23+0+(IF(ArtifactsInput!$M$15,CHOOSE(ArtifactsInput!$N$15+1,25,30,35,40,45,50)/100*(Inputs!$B$11-Inputs!$B$11),0)))/100)/2</f>
        <v/>
      </c>
      <c r="M2839">
        <f>L2839*(1+(Inputs!$B$10+((C2856=TRUE)*(F2856-Calc!F25))+B2867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39">
        <f>L2839*(1-MIN((Inputs!$B$9+((C2850=TRUE)*(F2850-Calc!F19))+B2862+(ArtifactsInput!$M$24-ArtifactsInput!$M$24)*CHOOSE(ArtifactsInput!$N$24+1,10,12,14,16,18,20)+(IF(AND(Inputs!$B$38&lt;&gt;"pvp",Inputs!$B$43=0),1,IF(IF(Inputs!$B$38="pvp",15,Inputs!$B$43)-(B2869)&lt;=0,1,MAX(0,IF(Inputs!$B$38="pvp",15,Inputs!$B$43)-MAX(5,B2869))/(IF(Inputs!$B$38="pvp",15,Inputs!$B$43)-(B2869))))*IF(AND(ArtifactsInput!$M$42,((Inputs!$B$9+((C2850=TRUE)*(F2850-Calc!F19))+B2862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2839*(MIN((Inputs!$B$9+((C2850=TRUE)*(F2850-Calc!F19))+B2862+(ArtifactsInput!$M$24-ArtifactsInput!$M$24)*CHOOSE(ArtifactsInput!$N$24+1,10,12,14,16,18,20)+(IF(AND(Inputs!$B$38&lt;&gt;"pvp",Inputs!$B$43=0),1,IF(IF(Inputs!$B$38="pvp",15,Inputs!$B$43)-(B2869)&lt;=0,1,MAX(0,IF(Inputs!$B$38="pvp",15,Inputs!$B$43)-MAX(5,B2869))/(IF(Inputs!$B$38="pvp",15,Inputs!$B$43)-(B2869))))*IF(AND(ArtifactsInput!$M$42,((Inputs!$B$9+((C2850=TRUE)*(F2850-Calc!F19))+B2862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39">
        <f>(1-Summary!$B$11)*T2839+Summary!$B$11*V2839</f>
        <v/>
      </c>
      <c r="P2839">
        <f>IF(B2872=0,0,O2839/B2872)</f>
        <v/>
      </c>
      <c r="Q2839">
        <f>IFERROR(1/((IF(Inputs!$B$38="pvp",15,MAX(0.1,Skills!D8-IF(TRUE=TRUE,Inputs!$B$32,0)))*(1-IF(AND(ArtifactsInput!$M$27,Inputs!$B$4="Chapter Hunt"),CHOOSE(ArtifactsInput!$N$27+1,20,24,28,32,36,40),0)/100))/B2873),0)</f>
        <v/>
      </c>
      <c r="R2839">
        <f>IF(AND(Inputs!$B$38&lt;&gt;"pvp",Inputs!$B$43&gt;0),IF(MAX(0,Inputs!$B$43-B2869)&lt;=0,0,(INT(MAX(0,Inputs!$B$43-B2869)/((IF(Inputs!$B$38="pvp",15,MAX(0.1,Skills!D8-IF(TRUE=TRUE,Inputs!$B$32,0)))*(1-IF(AND(ArtifactsInput!$M$27,Inputs!$B$4="Chapter Hunt"),CHOOSE(ArtifactsInput!$N$27+1,20,24,28,32,36,40),0)/100))/B2873))+1)),0)</f>
        <v/>
      </c>
      <c r="S2839">
        <f>IFERROR(O2839/N2839,0)</f>
        <v/>
      </c>
      <c r="T2839">
        <f>IF(C2839,(H2839*N2839*IF(AND(Inputs!$B$38&lt;&gt;"pvp",Inputs!$B$43&gt;0),((Skills!G8*((R2839-1)*IF(Skills!H8&gt;0,INT(Skills!I8/Skills!H8+0.000000001),1)+IF(Skills!H8&gt;0,INT(MIN(Skills!I8,MAX(0,MAX(0,Inputs!$B$43-B2869)-((R2839-1)*((IF(Inputs!$B$38="pvp",15,MAX(0.1,Skills!D8-IF(TRUE=TRUE,Inputs!$B$32,0)))*(1-IF(AND(ArtifactsInput!$M$27,Inputs!$B$4="Chapter Hunt"),CHOOSE(ArtifactsInput!$N$27+1,20,24,28,32,36,40),0)/100))/B2873))))/Skills!H8+0.000000001),1)))/Inputs!$B$43),G2839*Q2839))*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Hunt"),CHOOSE(ArtifactsInput!$N$35+1,15,18,21,24,27,30)*(1-EXP(-(0.2*B2864)*5)),0)+IF(AND(ArtifactsInput!$M$22,Inputs!$B$4&lt;&gt;"Chapter Hunt"),CHOOSE(ArtifactsInput!$N$22+1,10,12,14,16,18,20)*((0*(((0.15*B2864*5))^0/1)+1*(((0.15*B2864*5))^1/1)+2*(((0.15*B2864*5))^2/2)+3*(((0.15*B2864*5))^3/6)+4*(((0.15*B2864*5))^4/24)+5*(((0.15*B2864*5))^5/120))/((((0.15*B2864*5))^0/1)+(((0.15*B2864*5))^1/1)+(((0.15*B2864*5))^2/2)+(((0.15*B2864*5))^3/6)+(((0.15*B2864*5))^4/24)+(((0.15*B2864*5))^5/120))),0))+IF(Inputs!$B$3&gt;=54,9*(C2834=TRUE)*MIN(1,8*(1+Inputs!$B$34/100)*Q2834)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2839*(1-MIN(100,(Inputs!$B$9+((C2850=TRUE)*(F2850-Calc!F19))+B2862+(ArtifactsInput!$M$24-ArtifactsInput!$M$24)*CHOOSE(ArtifactsInput!$N$24+1,10,12,14,16,18,20)+(IF(AND(Inputs!$B$38&lt;&gt;"pvp",Inputs!$B$43=0),1,IF(IF(Inputs!$B$38="pvp",15,Inputs!$B$43)-(B2869)&lt;=0,1,MAX(0,IF(Inputs!$B$38="pvp",15,Inputs!$B$43)-MAX(5,B2869))/(IF(Inputs!$B$38="pvp",15,Inputs!$B$43)-(B2869))))*IF(AND(ArtifactsInput!$M$42,((Inputs!$B$9+((C2850=TRUE)*(F2850-Calc!F19))+B2862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2839*(MIN(100,(Inputs!$B$9+((C2850=TRUE)*(F2850-Calc!F19))+B2862+(ArtifactsInput!$M$24-ArtifactsInput!$M$24)*CHOOSE(ArtifactsInput!$N$24+1,10,12,14,16,18,20)+(IF(AND(Inputs!$B$38&lt;&gt;"pvp",Inputs!$B$43=0),1,IF(IF(Inputs!$B$38="pvp",15,Inputs!$B$43)-(B2869)&lt;=0,1,MAX(0,IF(Inputs!$B$38="pvp",15,Inputs!$B$43)-MAX(5,B2869))/(IF(Inputs!$B$38="pvp",15,Inputs!$B$43)-(B2869))))*IF(AND(ArtifactsInput!$M$42,((Inputs!$B$9+((C2850=TRUE)*(F2850-Calc!F19))+B2862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2839*(1-MIN(100,(Inputs!$B$9+((C2850=TRUE)*(F2850-Calc!F19))+B2862+(ArtifactsInput!$M$24-ArtifactsInput!$M$24)*CHOOSE(ArtifactsInput!$N$24+1,10,12,14,16,18,20)+(IF(AND(Inputs!$B$38&lt;&gt;"pvp",Inputs!$B$43=0),1,IF(IF(Inputs!$B$38="pvp",15,Inputs!$B$43)-(B2869)&lt;=0,1,MAX(0,IF(Inputs!$B$38="pvp",15,Inputs!$B$43)-MAX(5,B2869))/(IF(Inputs!$B$38="pvp",15,Inputs!$B$43)-(B2869))))*IF(AND(ArtifactsInput!$M$42,((Inputs!$B$9+((C2850=TRUE)*(F2850-Calc!F19))+B2862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2839*(MIN(100,(Inputs!$B$9+((C2850=TRUE)*(F2850-Calc!F19))+B2862+(ArtifactsInput!$M$24-ArtifactsInput!$M$24)*CHOOSE(ArtifactsInput!$N$24+1,10,12,14,16,18,20)+(IF(AND(Inputs!$B$38&lt;&gt;"pvp",Inputs!$B$43=0),1,IF(IF(Inputs!$B$38="pvp",15,Inputs!$B$43)-(B2869)&lt;=0,1,MAX(0,IF(Inputs!$B$38="pvp",15,Inputs!$B$43)-MAX(5,B2869))/(IF(Inputs!$B$38="pvp",15,Inputs!$B$43)-(B2869))))*IF(AND(ArtifactsInput!$M$42,((Inputs!$B$9+((C2850=TRUE)*(F2850-Calc!F19))+B2862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839">
        <f>IF(C2839,(H2839*N2839*IF(AND(Inputs!$B$38&lt;&gt;"pvp",Inputs!$B$43&gt;0),((Skills!G8*((R2839-1)*IF(Skills!H8&gt;0,INT(Skills!I8/Skills!H8+0.000000001),1)+IF(Skills!H8&gt;0,INT(MIN(Skills!I8,MAX(0,MAX(0,Inputs!$B$43-B2869)-((R2839-1)*((IF(Inputs!$B$38="pvp",15,MAX(0.1,Skills!D8-IF(TRUE=TRUE,Inputs!$B$32,0)))*(1-IF(AND(ArtifactsInput!$M$27,Inputs!$B$4="Chapter Hunt"),CHOOSE(ArtifactsInput!$N$27+1,20,24,28,32,36,40),0)/100))/B2873))))/Skills!H8+0.000000001),1)))/Inputs!$B$43),G2839*Q2839))*IF(Inputs!$B$38="pvp",1,(1+(Inputs!$B$21+Skills!Q8+(IF(ArtifactsInput!$M$33,CHOOSE(ArtifactsInput!$N$33+1,30,36,42,48,54,60),0))+(IF(AND(ArtifactsInput!$M$35,Inputs!$B$4&lt;&gt;"Chapter Hunt"),CHOOSE(ArtifactsInput!$N$35+1,15,18,21,24,27,30)*(1-EXP(-(0.2*B2864)*5)),0)+IF(AND(ArtifactsInput!$M$22,Inputs!$B$4&lt;&gt;"Chapter Hunt"),CHOOSE(ArtifactsInput!$N$22+1,10,12,14,16,18,20)*((0*(((0.15*B2864*5))^0/1)+1*(((0.15*B2864*5))^1/1)+2*(((0.15*B2864*5))^2/2)+3*(((0.15*B2864*5))^3/6)+4*(((0.15*B2864*5))^4/24)+5*(((0.15*B2864*5))^5/120))/((((0.15*B2864*5))^0/1)+(((0.15*B2864*5))^1/1)+(((0.15*B2864*5))^2/2)+(((0.15*B2864*5))^3/6)+(((0.15*B2864*5))^4/24)+(((0.15*B2864*5))^5/120))),0))+IF(Inputs!$B$3&gt;=54,9*(C2834=TRUE)*MIN(1,8*(1+Inputs!$B$34/100)*Q2834),0))/100)*(MIN(Skills!R8,Inputs!$B$37)))*((1+(IF(AND(IF(ArtifactsInput!$M$41,FALSE,TRUE),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40">
      <c r="A2840">
        <f>Skills!A9</f>
        <v/>
      </c>
      <c r="B2840">
        <f>Skills!B9</f>
        <v/>
      </c>
      <c r="C2840">
        <f>Inputs!$B$3&gt;=105</f>
        <v/>
      </c>
      <c r="D2840">
        <f>IF(Skills!C9=1,60+Inputs!$B$25+Inputs!$B$29,IF(Skills!C9=2,90+Inputs!$B$26+Inputs!$B$29,IF(Skills!C9=3,120+Inputs!$B$27+Inputs!$B$29,MAX(0,(Inputs!$B$3-100)*3)+Inputs!$B$28+Inputs!$B$29)))</f>
        <v/>
      </c>
      <c r="E2840">
        <f>INDEX(FactorTable!$B$2:$Y$301, MATCH(ROUND(MIN(300,MAX(1,D2840)),0), FactorTable!$A$2:$A$301,0), Skills!M9+1)</f>
        <v/>
      </c>
      <c r="F2840">
        <f>IF(Skills!N9=TRUE,(Skills!L9/10)*(E2840/1000),Skills!L9/10)+Skills!O9</f>
        <v/>
      </c>
      <c r="G2840">
        <f>Skills!G9*IF(Skills!H9&gt;0,INT(IF(Inputs!$B$38="pvp",MIN(Skills!I9,15),Skills!I9)/Skills!H9+0.000000001),1)</f>
        <v/>
      </c>
      <c r="H2840">
        <f>1-(1-Skills!J9/100)^Skills!K9</f>
        <v/>
      </c>
      <c r="I2840" t="inlineStr">
        <is>
          <t>1</t>
        </is>
      </c>
      <c r="J2840">
        <f>((Inputs!$B$6*(1+Inputs!$B$7/100))+(((Inputs!$B$12*(1+Inputs!$B$13/100))-(Inputs!$B$12*(1+Inputs!$B$13/100)))+0.25*(Inputs!$B$14-Inputs!$B$14))*(1+Inputs!$B$7/100))*(F2840/100)</f>
        <v/>
      </c>
      <c r="K2840">
        <f>J2840*(1+((Inputs!$B$12*(1+Inputs!$B$13/100))*0.01+Inputs!$B$14*0.0025)/100)*(1+Inputs!$B$15/100)*(1+Inputs!$B$16/100)*(5000/(6000+Inputs!$B$42*(1-(100*(1-(1-(Inputs!$B$19+0)/100)*(1-CHOOSE(ArtifactsInput!$N$40+1,5,6,7,8,9,10)/100)^(ArtifactsInput!$M$40-ArtifactsInput!$M$40)))/100)))*(1+(Inputs!$B$24+((C2857=TRUE)*(F2857-Calc!F26))+B2868)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IGHT_LEGS_EASTON",Inputs!$B$17+((C2854=TRUE)*(F2854-Calc!F23))+((C2858=TRUE)*(F2858-Calc!F27))+((IF(AND(Inputs!$B$38&lt;&gt;"pvp",Inputs!$B$43=0),1,IF(IF(Inputs!$B$38="pvp",15,Inputs!$B$43)-(B2869)&lt;=0,1,MAX(0,IF(Inputs!$B$38="pvp",15,Inputs!$B$43)-MAX(5,B2869))/(IF(Inputs!$B$38="pvp",15,Inputs!$B$43)-(B2869))))*(IF(AND(ArtifactsInput!$M$42,((Inputs!$B$9+((C2850=TRUE)*(F2850-Calc!F19))+B2862+(ArtifactsInput!$M$24-ArtifactsInput!$M$24)*CHOOSE(ArtifactsInput!$N$24+1,10,12,14,16,18,20)+IF(ArtifactsInput!$M$10,CHOOSE(ArtifactsInput!$N$10+1,15,18,21,24,27,30)*(IF(Inputs!$B$38="pvp",MIN(15,15)/15,IF(AND(Inputs!$B$38&lt;&gt;"pvp",Inputs!$B$43&gt;0),MIN(15,Inputs!$B$43)/(Inputs!$B$43),0))),0)))&gt;=100),MIN(100,((Inputs!$B$9+((C2850=TRUE)*(F2850-Calc!F19))+B2862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2869)&lt;=0,1,MAX(0,IF(Inputs!$B$38="pvp",15,Inputs!$B$43)-MAX(5,B2869))/(IF(Inputs!$B$38="pvp",15,Inputs!$B$43)-(B2869))))*IF(AND(ArtifactsInput!$M$42,((Inputs!$B$9+((C2850=TRUE)*(F2850-Calc!F19))+B2862+(ArtifactsInput!$M$24-ArtifactsInput!$M$24)*CHOOSE(ArtifactsInput!$N$24+1,10,12,14,16,18,20)+IF(ArtifactsInput!$M$10,CHOOSE(ArtifactsInput!$N$10+1,15,18,21,24,27,30)*(IF(Inputs!$B$38="pvp",MIN(15,15)/15,IF(AND(Inputs!$B$38&lt;&gt;"pvp",Inputs!$B$43&gt;0),MIN(15,Inputs!$B$43)/(Inputs!$B$43),0))),0)))&gt;=100),CHOOSE(ArtifactsInput!$N$42+1,40,48,56,64,72,80),0))))/100)*((1+(((C2848=TRUE)*F2848*5/7)+((C2855=TRUE)*(F2855-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IF(ArtifactsInput!$M$41,FALSE,TRUE),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2840)</f>
        <v/>
      </c>
      <c r="L2840">
        <f>K2840*(MIN(Inputs!$B$22+((C2853=TRUE)*(F2853-Calc!F22)),(Inputs!$B$23+0+(IF(ArtifactsInput!$M$15,CHOOSE(ArtifactsInput!$N$15+1,25,30,35,40,45,50)/100*(Inputs!$B$11-Inputs!$B$11),0))))/100+(Inputs!$B$23+0+(IF(ArtifactsInput!$M$15,CHOOSE(ArtifactsInput!$N$15+1,25,30,35,40,45,50)/100*(Inputs!$B$11-Inputs!$B$11),0)))/100)/2</f>
        <v/>
      </c>
      <c r="M2840">
        <f>L2840*(1+(Inputs!$B$10+((C2856=TRUE)*(F2856-Calc!F25))+B2867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40">
        <f>L2840*(1-MIN((Inputs!$B$9+((C2850=TRUE)*(F2850-Calc!F19))+B2862+(ArtifactsInput!$M$24-ArtifactsInput!$M$24)*CHOOSE(ArtifactsInput!$N$24+1,10,12,14,16,18,20)+(IF(AND(Inputs!$B$38&lt;&gt;"pvp",Inputs!$B$43=0),1,IF(IF(Inputs!$B$38="pvp",15,Inputs!$B$43)-(B2869)&lt;=0,1,MAX(0,IF(Inputs!$B$38="pvp",15,Inputs!$B$43)-MAX(5,B2869))/(IF(Inputs!$B$38="pvp",15,Inputs!$B$43)-(B2869))))*IF(AND(ArtifactsInput!$M$42,((Inputs!$B$9+((C2850=TRUE)*(F2850-Calc!F19))+B2862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2840*(MIN((Inputs!$B$9+((C2850=TRUE)*(F2850-Calc!F19))+B2862+(ArtifactsInput!$M$24-ArtifactsInput!$M$24)*CHOOSE(ArtifactsInput!$N$24+1,10,12,14,16,18,20)+(IF(AND(Inputs!$B$38&lt;&gt;"pvp",Inputs!$B$43=0),1,IF(IF(Inputs!$B$38="pvp",15,Inputs!$B$43)-(B2869)&lt;=0,1,MAX(0,IF(Inputs!$B$38="pvp",15,Inputs!$B$43)-MAX(5,B2869))/(IF(Inputs!$B$38="pvp",15,Inputs!$B$43)-(B2869))))*IF(AND(ArtifactsInput!$M$42,((Inputs!$B$9+((C2850=TRUE)*(F2850-Calc!F19))+B2862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40">
        <f>(1-Summary!$B$11)*T2840+Summary!$B$11*V2840</f>
        <v/>
      </c>
      <c r="P2840">
        <f>IF(B2872=0,0,O2840/B2872)</f>
        <v/>
      </c>
      <c r="Q2840">
        <f>IFERROR(1/(IF(Inputs!$B$38="pvp",15,MAX(0.1,Skills!D9-IF(TRUE=TRUE,Inputs!$B$32,0)))*(1-IF(AND(ArtifactsInput!$M$27,Inputs!$B$4="Chapter Hunt"),CHOOSE(ArtifactsInput!$N$27+1,20,24,28,32,36,40),0)/100)),0)</f>
        <v/>
      </c>
      <c r="R2840">
        <f>IF(AND(Inputs!$B$38&lt;&gt;"pvp",Inputs!$B$43&gt;0),IF(MAX(0,Inputs!$B$43-B2869)&lt;=0,0,(INT(MAX(0,Inputs!$B$43-B2869)/(IF(Inputs!$B$38="pvp",15,MAX(0.1,Skills!D9-IF(TRUE=TRUE,Inputs!$B$32,0)))*(1-IF(AND(ArtifactsInput!$M$27,Inputs!$B$4="Chapter Hunt"),CHOOSE(ArtifactsInput!$N$27+1,20,24,28,32,36,40),0)/100)))+1)),0)</f>
        <v/>
      </c>
      <c r="S2840">
        <f>IFERROR(O2840/N2840,0)</f>
        <v/>
      </c>
      <c r="T2840">
        <f>IF(C2840,(H2840*N2840*IF(AND(Inputs!$B$38&lt;&gt;"pvp",Inputs!$B$43&gt;0),((Skills!G9*((R2840-1)*IF(Skills!H9&gt;0,INT(Skills!I9/Skills!H9+0.000000001),1)+IF(Skills!H9&gt;0,INT(MIN(Skills!I9,MAX(0,MAX(0,Inputs!$B$43-B2869)-((R2840-1)*(IF(Inputs!$B$38="pvp",15,MAX(0.1,Skills!D9-IF(TRUE=TRUE,Inputs!$B$32,0)))*(1-IF(AND(ArtifactsInput!$M$27,Inputs!$B$4="Chapter Hunt"),CHOOSE(ArtifactsInput!$N$27+1,20,24,28,32,36,40),0)/100)))))/Skills!H9+0.000000001),1)))/Inputs!$B$43),G2840*Q2840)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Hunt"),CHOOSE(ArtifactsInput!$N$35+1,15,18,21,24,27,30)*(1-EXP(-(0.2*B2864)*5)),0)+IF(AND(ArtifactsInput!$M$22,Inputs!$B$4&lt;&gt;"Chapter Hunt"),CHOOSE(ArtifactsInput!$N$22+1,10,12,14,16,18,20)*((0*(((0.15*B2864*5))^0/1)+1*(((0.15*B2864*5))^1/1)+2*(((0.15*B2864*5))^2/2)+3*(((0.15*B2864*5))^3/6)+4*(((0.15*B2864*5))^4/24)+5*(((0.15*B2864*5))^5/120))/((((0.15*B2864*5))^0/1)+(((0.15*B2864*5))^1/1)+(((0.15*B2864*5))^2/2)+(((0.15*B2864*5))^3/6)+(((0.15*B2864*5))^4/24)+(((0.15*B2864*5))^5/120))),0))+IF(Inputs!$B$3&gt;=54,9*(C2834=TRUE)*MIN(1,8*(1+Inputs!$B$34/100)*Q2834)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2840*(1-MIN(100,(Inputs!$B$9+((C2850=TRUE)*(F2850-Calc!F19))+B2862+(ArtifactsInput!$M$24-ArtifactsInput!$M$24)*CHOOSE(ArtifactsInput!$N$24+1,10,12,14,16,18,20)+(IF(AND(Inputs!$B$38&lt;&gt;"pvp",Inputs!$B$43=0),1,IF(IF(Inputs!$B$38="pvp",15,Inputs!$B$43)-(B2869)&lt;=0,1,MAX(0,IF(Inputs!$B$38="pvp",15,Inputs!$B$43)-MAX(5,B2869))/(IF(Inputs!$B$38="pvp",15,Inputs!$B$43)-(B2869))))*IF(AND(ArtifactsInput!$M$42,((Inputs!$B$9+((C2850=TRUE)*(F2850-Calc!F19))+B2862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2840*(MIN(100,(Inputs!$B$9+((C2850=TRUE)*(F2850-Calc!F19))+B2862+(ArtifactsInput!$M$24-ArtifactsInput!$M$24)*CHOOSE(ArtifactsInput!$N$24+1,10,12,14,16,18,20)+(IF(AND(Inputs!$B$38&lt;&gt;"pvp",Inputs!$B$43=0),1,IF(IF(Inputs!$B$38="pvp",15,Inputs!$B$43)-(B2869)&lt;=0,1,MAX(0,IF(Inputs!$B$38="pvp",15,Inputs!$B$43)-MAX(5,B2869))/(IF(Inputs!$B$38="pvp",15,Inputs!$B$43)-(B2869))))*IF(AND(ArtifactsInput!$M$42,((Inputs!$B$9+((C2850=TRUE)*(F2850-Calc!F19))+B2862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2840*(1-MIN(100,(Inputs!$B$9+((C2850=TRUE)*(F2850-Calc!F19))+B2862+(ArtifactsInput!$M$24-ArtifactsInput!$M$24)*CHOOSE(ArtifactsInput!$N$24+1,10,12,14,16,18,20)+(IF(AND(Inputs!$B$38&lt;&gt;"pvp",Inputs!$B$43=0),1,IF(IF(Inputs!$B$38="pvp",15,Inputs!$B$43)-(B2869)&lt;=0,1,MAX(0,IF(Inputs!$B$38="pvp",15,Inputs!$B$43)-MAX(5,B2869))/(IF(Inputs!$B$38="pvp",15,Inputs!$B$43)-(B2869))))*IF(AND(ArtifactsInput!$M$42,((Inputs!$B$9+((C2850=TRUE)*(F2850-Calc!F19))+B2862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2840*(MIN(100,(Inputs!$B$9+((C2850=TRUE)*(F2850-Calc!F19))+B2862+(ArtifactsInput!$M$24-ArtifactsInput!$M$24)*CHOOSE(ArtifactsInput!$N$24+1,10,12,14,16,18,20)+(IF(AND(Inputs!$B$38&lt;&gt;"pvp",Inputs!$B$43=0),1,IF(IF(Inputs!$B$38="pvp",15,Inputs!$B$43)-(B2869)&lt;=0,1,MAX(0,IF(Inputs!$B$38="pvp",15,Inputs!$B$43)-MAX(5,B2869))/(IF(Inputs!$B$38="pvp",15,Inputs!$B$43)-(B2869))))*IF(AND(ArtifactsInput!$M$42,((Inputs!$B$9+((C2850=TRUE)*(F2850-Calc!F19))+B2862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840">
        <f>IF(C2840,(H2840*N2840*IF(AND(Inputs!$B$38&lt;&gt;"pvp",Inputs!$B$43&gt;0),((Skills!G9*((R2840-1)*IF(Skills!H9&gt;0,INT(Skills!I9/Skills!H9+0.000000001),1)+IF(Skills!H9&gt;0,INT(MIN(Skills!I9,MAX(0,MAX(0,Inputs!$B$43-B2869)-((R2840-1)*(IF(Inputs!$B$38="pvp",15,MAX(0.1,Skills!D9-IF(TRUE=TRUE,Inputs!$B$32,0)))*(1-IF(AND(ArtifactsInput!$M$27,Inputs!$B$4="Chapter Hunt"),CHOOSE(ArtifactsInput!$N$27+1,20,24,28,32,36,40),0)/100)))))/Skills!H9+0.000000001),1)))/Inputs!$B$43),G2840*Q2840))*IF(Inputs!$B$38="pvp",1,(1+(Inputs!$B$21+Skills!Q9+(IF(ArtifactsInput!$M$33,CHOOSE(ArtifactsInput!$N$33+1,30,36,42,48,54,60),0))+(IF(AND(ArtifactsInput!$M$35,Inputs!$B$4&lt;&gt;"Chapter Hunt"),CHOOSE(ArtifactsInput!$N$35+1,15,18,21,24,27,30)*(1-EXP(-(0.2*B2864)*5)),0)+IF(AND(ArtifactsInput!$M$22,Inputs!$B$4&lt;&gt;"Chapter Hunt"),CHOOSE(ArtifactsInput!$N$22+1,10,12,14,16,18,20)*((0*(((0.15*B2864*5))^0/1)+1*(((0.15*B2864*5))^1/1)+2*(((0.15*B2864*5))^2/2)+3*(((0.15*B2864*5))^3/6)+4*(((0.15*B2864*5))^4/24)+5*(((0.15*B2864*5))^5/120))/((((0.15*B2864*5))^0/1)+(((0.15*B2864*5))^1/1)+(((0.15*B2864*5))^2/2)+(((0.15*B2864*5))^3/6)+(((0.15*B2864*5))^4/24)+(((0.15*B2864*5))^5/120))),0))+IF(Inputs!$B$3&gt;=54,9*(C2834=TRUE)*MIN(1,8*(1+Inputs!$B$34/100)*Q2834),0))/100)*(MIN(Skills!R9,Inputs!$B$37)))*((1+(IF(AND(IF(ArtifactsInput!$M$41,FALSE,TRUE),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41">
      <c r="A2841">
        <f>Skills!A10</f>
        <v/>
      </c>
      <c r="B2841">
        <f>Skills!B10</f>
        <v/>
      </c>
      <c r="C2841">
        <f>Inputs!$B$3&gt;=113</f>
        <v/>
      </c>
      <c r="D2841">
        <f>IF(Skills!C10=1,60+Inputs!$B$25+Inputs!$B$29,IF(Skills!C10=2,90+Inputs!$B$26+Inputs!$B$29,IF(Skills!C10=3,120+Inputs!$B$27+Inputs!$B$29,MAX(0,(Inputs!$B$3-100)*3)+Inputs!$B$28+Inputs!$B$29)))</f>
        <v/>
      </c>
      <c r="E2841">
        <f>INDEX(FactorTable!$B$2:$Y$301, MATCH(ROUND(MIN(300,MAX(1,D2841)),0), FactorTable!$A$2:$A$301,0), Skills!M10+1)</f>
        <v/>
      </c>
      <c r="F2841">
        <f>IF(Skills!N10=TRUE,(Skills!L10/10)*(E2841/1000),Skills!L10/10)+Skills!O10</f>
        <v/>
      </c>
      <c r="G2841">
        <f>Skills!G10*IF(Skills!H10&gt;0,INT(IF(Inputs!$B$38="pvp",MIN(Skills!I10,15),Skills!I10)/Skills!H10+0.000000001),1)</f>
        <v/>
      </c>
      <c r="H2841">
        <f>1-(1-Skills!J10/100)^Skills!K10</f>
        <v/>
      </c>
      <c r="I2841" t="inlineStr">
        <is>
          <t>1</t>
        </is>
      </c>
      <c r="J2841">
        <f>((Inputs!$B$6*(1+Inputs!$B$7/100))+(((Inputs!$B$12*(1+Inputs!$B$13/100))-(Inputs!$B$12*(1+Inputs!$B$13/100)))+0.25*(Inputs!$B$14-Inputs!$B$14))*(1+Inputs!$B$7/100))*(F2841/100)</f>
        <v/>
      </c>
      <c r="K2841">
        <f>J2841*(1+((Inputs!$B$12*(1+Inputs!$B$13/100))*0.01+Inputs!$B$14*0.0025)/100)*(1+Inputs!$B$15/100)*(1+Inputs!$B$16/100)*(5000/(6000+Inputs!$B$42*(1-(100*(1-(1-(Inputs!$B$19+0)/100)*(1-CHOOSE(ArtifactsInput!$N$40+1,5,6,7,8,9,10)/100)^(ArtifactsInput!$M$40-ArtifactsInput!$M$40)))/100)))*(1+(Inputs!$B$24+((C2857=TRUE)*(F2857-Calc!F26))+B2868)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IGHT_LEGS_EASTON",Inputs!$B$17+((C2854=TRUE)*(F2854-Calc!F23))+((C2858=TRUE)*(F2858-Calc!F27))+((IF(AND(Inputs!$B$38&lt;&gt;"pvp",Inputs!$B$43=0),1,IF(IF(Inputs!$B$38="pvp",15,Inputs!$B$43)-(B2869)&lt;=0,1,MAX(0,IF(Inputs!$B$38="pvp",15,Inputs!$B$43)-MAX(5,B2869))/(IF(Inputs!$B$38="pvp",15,Inputs!$B$43)-(B2869))))*(IF(AND(ArtifactsInput!$M$42,((Inputs!$B$9+((C2850=TRUE)*(F2850-Calc!F19))+B2862+(ArtifactsInput!$M$24-ArtifactsInput!$M$24)*CHOOSE(ArtifactsInput!$N$24+1,10,12,14,16,18,20)+IF(ArtifactsInput!$M$10,CHOOSE(ArtifactsInput!$N$10+1,15,18,21,24,27,30)*(IF(Inputs!$B$38="pvp",MIN(15,15)/15,IF(AND(Inputs!$B$38&lt;&gt;"pvp",Inputs!$B$43&gt;0),MIN(15,Inputs!$B$43)/(Inputs!$B$43),0))),0)))&gt;=100),MIN(100,((Inputs!$B$9+((C2850=TRUE)*(F2850-Calc!F19))+B2862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2869)&lt;=0,1,MAX(0,IF(Inputs!$B$38="pvp",15,Inputs!$B$43)-MAX(5,B2869))/(IF(Inputs!$B$38="pvp",15,Inputs!$B$43)-(B2869))))*IF(AND(ArtifactsInput!$M$42,((Inputs!$B$9+((C2850=TRUE)*(F2850-Calc!F19))+B2862+(ArtifactsInput!$M$24-ArtifactsInput!$M$24)*CHOOSE(ArtifactsInput!$N$24+1,10,12,14,16,18,20)+IF(ArtifactsInput!$M$10,CHOOSE(ArtifactsInput!$N$10+1,15,18,21,24,27,30)*(IF(Inputs!$B$38="pvp",MIN(15,15)/15,IF(AND(Inputs!$B$38&lt;&gt;"pvp",Inputs!$B$43&gt;0),MIN(15,Inputs!$B$43)/(Inputs!$B$43),0))),0)))&gt;=100),CHOOSE(ArtifactsInput!$N$42+1,40,48,56,64,72,80),0))))/100)*((1+(((C2848=TRUE)*F2848*5/7)+((C2855=TRUE)*(F2855-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IF(ArtifactsInput!$M$41,FALSE,TRUE),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2841)</f>
        <v/>
      </c>
      <c r="L2841">
        <f>K2841*(MIN(Inputs!$B$22+((C2853=TRUE)*(F2853-Calc!F22)),(Inputs!$B$23+0+(IF(ArtifactsInput!$M$15,CHOOSE(ArtifactsInput!$N$15+1,25,30,35,40,45,50)/100*(Inputs!$B$11-Inputs!$B$11),0))))/100+(Inputs!$B$23+0+(IF(ArtifactsInput!$M$15,CHOOSE(ArtifactsInput!$N$15+1,25,30,35,40,45,50)/100*(Inputs!$B$11-Inputs!$B$11),0)))/100)/2</f>
        <v/>
      </c>
      <c r="M2841">
        <f>L2841*(1+(Inputs!$B$10+((C2856=TRUE)*(F2856-Calc!F25))+B2867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41">
        <f>L2841*(1-MIN((Inputs!$B$9+((C2850=TRUE)*(F2850-Calc!F19))+B2862+(ArtifactsInput!$M$24-ArtifactsInput!$M$24)*CHOOSE(ArtifactsInput!$N$24+1,10,12,14,16,18,20)+(IF(AND(Inputs!$B$38&lt;&gt;"pvp",Inputs!$B$43=0),1,IF(IF(Inputs!$B$38="pvp",15,Inputs!$B$43)-(B2869)&lt;=0,1,MAX(0,IF(Inputs!$B$38="pvp",15,Inputs!$B$43)-MAX(5,B2869))/(IF(Inputs!$B$38="pvp",15,Inputs!$B$43)-(B2869))))*IF(AND(ArtifactsInput!$M$42,((Inputs!$B$9+((C2850=TRUE)*(F2850-Calc!F19))+B2862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2841*(MIN((Inputs!$B$9+((C2850=TRUE)*(F2850-Calc!F19))+B2862+(ArtifactsInput!$M$24-ArtifactsInput!$M$24)*CHOOSE(ArtifactsInput!$N$24+1,10,12,14,16,18,20)+(IF(AND(Inputs!$B$38&lt;&gt;"pvp",Inputs!$B$43=0),1,IF(IF(Inputs!$B$38="pvp",15,Inputs!$B$43)-(B2869)&lt;=0,1,MAX(0,IF(Inputs!$B$38="pvp",15,Inputs!$B$43)-MAX(5,B2869))/(IF(Inputs!$B$38="pvp",15,Inputs!$B$43)-(B2869))))*IF(AND(ArtifactsInput!$M$42,((Inputs!$B$9+((C2850=TRUE)*(F2850-Calc!F19))+B2862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41">
        <f>(1-Summary!$B$11)*T2841+Summary!$B$11*V2841</f>
        <v/>
      </c>
      <c r="P2841">
        <f>IF(B2872=0,0,O2841/B2872)</f>
        <v/>
      </c>
      <c r="Q2841" t="n">
        <v>0</v>
      </c>
      <c r="R2841" t="n">
        <v>0</v>
      </c>
      <c r="S2841">
        <f>IFERROR(O2841/N2841,0)</f>
        <v/>
      </c>
      <c r="T2841">
        <f>IF(C2841,((H2841*B2874)/(1+Skills!H10*H2841*B2874)*N2841)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Hunt"),CHOOSE(ArtifactsInput!$N$35+1,15,18,21,24,27,30)*(1-EXP(-(0.2*B2864)*5)),0)+IF(AND(ArtifactsInput!$M$22,Inputs!$B$4&lt;&gt;"Chapter Hunt"),CHOOSE(ArtifactsInput!$N$22+1,10,12,14,16,18,20)*((0*(((0.15*B2864*5))^0/1)+1*(((0.15*B2864*5))^1/1)+2*(((0.15*B2864*5))^2/2)+3*(((0.15*B2864*5))^3/6)+4*(((0.15*B2864*5))^4/24)+5*(((0.15*B2864*5))^5/120))/((((0.15*B2864*5))^0/1)+(((0.15*B2864*5))^1/1)+(((0.15*B2864*5))^2/2)+(((0.15*B2864*5))^3/6)+(((0.15*B2864*5))^4/24)+(((0.15*B2864*5))^5/120))),0))+IF(Inputs!$B$3&gt;=54,9*(C2834=TRUE)*MIN(1,8*(1+Inputs!$B$34/100)*Q2834)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2841*(1-MIN(100,(Inputs!$B$9+((C2850=TRUE)*(F2850-Calc!F19))+B2862+(ArtifactsInput!$M$24-ArtifactsInput!$M$24)*CHOOSE(ArtifactsInput!$N$24+1,10,12,14,16,18,20)+(IF(AND(Inputs!$B$38&lt;&gt;"pvp",Inputs!$B$43=0),1,IF(IF(Inputs!$B$38="pvp",15,Inputs!$B$43)-(B2869)&lt;=0,1,MAX(0,IF(Inputs!$B$38="pvp",15,Inputs!$B$43)-MAX(5,B2869))/(IF(Inputs!$B$38="pvp",15,Inputs!$B$43)-(B2869))))*IF(AND(ArtifactsInput!$M$42,((Inputs!$B$9+((C2850=TRUE)*(F2850-Calc!F19))+B2862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2841*(MIN(100,(Inputs!$B$9+((C2850=TRUE)*(F2850-Calc!F19))+B2862+(ArtifactsInput!$M$24-ArtifactsInput!$M$24)*CHOOSE(ArtifactsInput!$N$24+1,10,12,14,16,18,20)+(IF(AND(Inputs!$B$38&lt;&gt;"pvp",Inputs!$B$43=0),1,IF(IF(Inputs!$B$38="pvp",15,Inputs!$B$43)-(B2869)&lt;=0,1,MAX(0,IF(Inputs!$B$38="pvp",15,Inputs!$B$43)-MAX(5,B2869))/(IF(Inputs!$B$38="pvp",15,Inputs!$B$43)-(B2869))))*IF(AND(ArtifactsInput!$M$42,((Inputs!$B$9+((C2850=TRUE)*(F2850-Calc!F19))+B2862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2841*(1-MIN(100,(Inputs!$B$9+((C2850=TRUE)*(F2850-Calc!F19))+B2862+(ArtifactsInput!$M$24-ArtifactsInput!$M$24)*CHOOSE(ArtifactsInput!$N$24+1,10,12,14,16,18,20)+(IF(AND(Inputs!$B$38&lt;&gt;"pvp",Inputs!$B$43=0),1,IF(IF(Inputs!$B$38="pvp",15,Inputs!$B$43)-(B2869)&lt;=0,1,MAX(0,IF(Inputs!$B$38="pvp",15,Inputs!$B$43)-MAX(5,B2869))/(IF(Inputs!$B$38="pvp",15,Inputs!$B$43)-(B2869))))*IF(AND(ArtifactsInput!$M$42,((Inputs!$B$9+((C2850=TRUE)*(F2850-Calc!F19))+B2862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2841*(MIN(100,(Inputs!$B$9+((C2850=TRUE)*(F2850-Calc!F19))+B2862+(ArtifactsInput!$M$24-ArtifactsInput!$M$24)*CHOOSE(ArtifactsInput!$N$24+1,10,12,14,16,18,20)+(IF(AND(Inputs!$B$38&lt;&gt;"pvp",Inputs!$B$43=0),1,IF(IF(Inputs!$B$38="pvp",15,Inputs!$B$43)-(B2869)&lt;=0,1,MAX(0,IF(Inputs!$B$38="pvp",15,Inputs!$B$43)-MAX(5,B2869))/(IF(Inputs!$B$38="pvp",15,Inputs!$B$43)-(B2869))))*IF(AND(ArtifactsInput!$M$42,((Inputs!$B$9+((C2850=TRUE)*(F2850-Calc!F19))+B2862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841">
        <f>IF(C2841,((H2841*B2874)/(1+Skills!H10*H2841*B2874)*N2841)*IF(Inputs!$B$38="pvp",1,(1+(Inputs!$B$21+Skills!Q10+(IF(ArtifactsInput!$M$33,CHOOSE(ArtifactsInput!$N$33+1,30,36,42,48,54,60),0))+(IF(AND(ArtifactsInput!$M$35,Inputs!$B$4&lt;&gt;"Chapter Hunt"),CHOOSE(ArtifactsInput!$N$35+1,15,18,21,24,27,30)*(1-EXP(-(0.2*B2864)*5)),0)+IF(AND(ArtifactsInput!$M$22,Inputs!$B$4&lt;&gt;"Chapter Hunt"),CHOOSE(ArtifactsInput!$N$22+1,10,12,14,16,18,20)*((0*(((0.15*B2864*5))^0/1)+1*(((0.15*B2864*5))^1/1)+2*(((0.15*B2864*5))^2/2)+3*(((0.15*B2864*5))^3/6)+4*(((0.15*B2864*5))^4/24)+5*(((0.15*B2864*5))^5/120))/((((0.15*B2864*5))^0/1)+(((0.15*B2864*5))^1/1)+(((0.15*B2864*5))^2/2)+(((0.15*B2864*5))^3/6)+(((0.15*B2864*5))^4/24)+(((0.15*B2864*5))^5/120))),0))+IF(Inputs!$B$3&gt;=54,9*(C2834=TRUE)*MIN(1,8*(1+Inputs!$B$34/100)*Q2834),0))/100)*(MIN(Skills!R10,Inputs!$B$37)))*((1+(IF(AND(IF(ArtifactsInput!$M$41,FALSE,TRUE),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42">
      <c r="A2842">
        <f>Skills!A11</f>
        <v/>
      </c>
      <c r="B2842">
        <f>Skills!B11</f>
        <v/>
      </c>
      <c r="C2842">
        <f>Inputs!$B$3&gt;=117</f>
        <v/>
      </c>
      <c r="D2842">
        <f>IF(Skills!C11=1,60+Inputs!$B$25+Inputs!$B$29,IF(Skills!C11=2,90+Inputs!$B$26+Inputs!$B$29,IF(Skills!C11=3,120+Inputs!$B$27+Inputs!$B$29,MAX(0,(Inputs!$B$3-100)*3)+Inputs!$B$28+Inputs!$B$29)))</f>
        <v/>
      </c>
      <c r="E2842">
        <f>INDEX(FactorTable!$B$2:$Y$301, MATCH(ROUND(MIN(300,MAX(1,D2842)),0), FactorTable!$A$2:$A$301,0), Skills!M11+1)</f>
        <v/>
      </c>
      <c r="F2842">
        <f>IF(Skills!N11=TRUE,(Skills!L11/10)*(E2842/1000),Skills!L11/10)+Skills!O11</f>
        <v/>
      </c>
      <c r="G2842">
        <f>Skills!G11*IF(Skills!H11&gt;0,INT(IF(Inputs!$B$38="pvp",MIN(Skills!I11,15),Skills!I11)/Skills!H11+0.000000001),1)</f>
        <v/>
      </c>
      <c r="H2842">
        <f>1-(1-Skills!J11/100)^Skills!K11</f>
        <v/>
      </c>
      <c r="I2842" t="inlineStr">
        <is>
          <t>1</t>
        </is>
      </c>
      <c r="J2842">
        <f>((Inputs!$B$6*(1+Inputs!$B$7/100))+(((Inputs!$B$12*(1+Inputs!$B$13/100))-(Inputs!$B$12*(1+Inputs!$B$13/100)))+0.25*(Inputs!$B$14-Inputs!$B$14))*(1+Inputs!$B$7/100))*(F2842/100)</f>
        <v/>
      </c>
      <c r="K2842">
        <f>J2842*(1+((Inputs!$B$12*(1+Inputs!$B$13/100))*0.01+Inputs!$B$14*0.0025)/100)*(1+Inputs!$B$15/100)*(1+Inputs!$B$16/100)*(5000/(6000+Inputs!$B$42*(1-(100*(1-(1-(Inputs!$B$19+0)/100)*(1-CHOOSE(ArtifactsInput!$N$40+1,5,6,7,8,9,10)/100)^(ArtifactsInput!$M$40-ArtifactsInput!$M$40)))/100)))*(1+(Inputs!$B$24+((C2857=TRUE)*(F2857-Calc!F26))+B2868)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IGHT_LEGS_EASTON",Inputs!$B$17+((C2854=TRUE)*(F2854-Calc!F23))+((C2858=TRUE)*(F2858-Calc!F27))+((IF(AND(Inputs!$B$38&lt;&gt;"pvp",Inputs!$B$43=0),1,IF(IF(Inputs!$B$38="pvp",15,Inputs!$B$43)-(B2869)&lt;=0,1,MAX(0,IF(Inputs!$B$38="pvp",15,Inputs!$B$43)-MAX(5,B2869))/(IF(Inputs!$B$38="pvp",15,Inputs!$B$43)-(B2869))))*(IF(AND(ArtifactsInput!$M$42,((Inputs!$B$9+((C2850=TRUE)*(F2850-Calc!F19))+B2862+(ArtifactsInput!$M$24-ArtifactsInput!$M$24)*CHOOSE(ArtifactsInput!$N$24+1,10,12,14,16,18,20)+IF(ArtifactsInput!$M$10,CHOOSE(ArtifactsInput!$N$10+1,15,18,21,24,27,30)*(IF(Inputs!$B$38="pvp",MIN(15,15)/15,IF(AND(Inputs!$B$38&lt;&gt;"pvp",Inputs!$B$43&gt;0),MIN(15,Inputs!$B$43)/(Inputs!$B$43),0))),0)))&gt;=100),MIN(100,((Inputs!$B$9+((C2850=TRUE)*(F2850-Calc!F19))+B2862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2869)&lt;=0,1,MAX(0,IF(Inputs!$B$38="pvp",15,Inputs!$B$43)-MAX(5,B2869))/(IF(Inputs!$B$38="pvp",15,Inputs!$B$43)-(B2869))))*IF(AND(ArtifactsInput!$M$42,((Inputs!$B$9+((C2850=TRUE)*(F2850-Calc!F19))+B2862+(ArtifactsInput!$M$24-ArtifactsInput!$M$24)*CHOOSE(ArtifactsInput!$N$24+1,10,12,14,16,18,20)+IF(ArtifactsInput!$M$10,CHOOSE(ArtifactsInput!$N$10+1,15,18,21,24,27,30)*(IF(Inputs!$B$38="pvp",MIN(15,15)/15,IF(AND(Inputs!$B$38&lt;&gt;"pvp",Inputs!$B$43&gt;0),MIN(15,Inputs!$B$43)/(Inputs!$B$43),0))),0)))&gt;=100),CHOOSE(ArtifactsInput!$N$42+1,40,48,56,64,72,80),0))))/100)*((1+(((C2848=TRUE)*F2848*5/7)+((C2855=TRUE)*(F2855-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IF(ArtifactsInput!$M$41,FALSE,TRUE),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2842)</f>
        <v/>
      </c>
      <c r="L2842">
        <f>K2842*(MIN(Inputs!$B$22+((C2853=TRUE)*(F2853-Calc!F22)),(Inputs!$B$23+0+(IF(ArtifactsInput!$M$15,CHOOSE(ArtifactsInput!$N$15+1,25,30,35,40,45,50)/100*(Inputs!$B$11-Inputs!$B$11),0))))/100+(Inputs!$B$23+0+(IF(ArtifactsInput!$M$15,CHOOSE(ArtifactsInput!$N$15+1,25,30,35,40,45,50)/100*(Inputs!$B$11-Inputs!$B$11),0)))/100)/2</f>
        <v/>
      </c>
      <c r="M2842">
        <f>L2842*(1+(Inputs!$B$10+((C2856=TRUE)*(F2856-Calc!F25))+B2867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42">
        <f>L2842*(1-MIN((Inputs!$B$9+((C2850=TRUE)*(F2850-Calc!F19))+B2862+(ArtifactsInput!$M$24-ArtifactsInput!$M$24)*CHOOSE(ArtifactsInput!$N$24+1,10,12,14,16,18,20)+(IF(AND(Inputs!$B$38&lt;&gt;"pvp",Inputs!$B$43=0),1,IF(IF(Inputs!$B$38="pvp",15,Inputs!$B$43)-(B2869)&lt;=0,1,MAX(0,IF(Inputs!$B$38="pvp",15,Inputs!$B$43)-MAX(5,B2869))/(IF(Inputs!$B$38="pvp",15,Inputs!$B$43)-(B2869))))*IF(AND(ArtifactsInput!$M$42,((Inputs!$B$9+((C2850=TRUE)*(F2850-Calc!F19))+B2862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2842*(MIN((Inputs!$B$9+((C2850=TRUE)*(F2850-Calc!F19))+B2862+(ArtifactsInput!$M$24-ArtifactsInput!$M$24)*CHOOSE(ArtifactsInput!$N$24+1,10,12,14,16,18,20)+(IF(AND(Inputs!$B$38&lt;&gt;"pvp",Inputs!$B$43=0),1,IF(IF(Inputs!$B$38="pvp",15,Inputs!$B$43)-(B2869)&lt;=0,1,MAX(0,IF(Inputs!$B$38="pvp",15,Inputs!$B$43)-MAX(5,B2869))/(IF(Inputs!$B$38="pvp",15,Inputs!$B$43)-(B2869))))*IF(AND(ArtifactsInput!$M$42,((Inputs!$B$9+((C2850=TRUE)*(F2850-Calc!F19))+B2862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42">
        <f>(1-Summary!$B$11)*T2842+Summary!$B$11*V2842</f>
        <v/>
      </c>
      <c r="P2842">
        <f>IF(B2872=0,0,O2842/B2872)</f>
        <v/>
      </c>
      <c r="Q2842">
        <f>IFERROR(1/((IF(Inputs!$B$38="pvp",15,MAX(0.1,Skills!D11-IF(TRUE=TRUE,Inputs!$B$32,0)))*(1-IF(AND(ArtifactsInput!$M$27,Inputs!$B$4="Chapter Hunt"),CHOOSE(ArtifactsInput!$N$27+1,20,24,28,32,36,40),0)/100))/B2873),0)</f>
        <v/>
      </c>
      <c r="R2842">
        <f>IF(AND(Inputs!$B$38&lt;&gt;"pvp",Inputs!$B$43&gt;0),IF(MAX(0,Inputs!$B$43-B2869)&lt;=0,0,(INT(MAX(0,Inputs!$B$43-B2869)/((IF(Inputs!$B$38="pvp",15,MAX(0.1,Skills!D11-IF(TRUE=TRUE,Inputs!$B$32,0)))*(1-IF(AND(ArtifactsInput!$M$27,Inputs!$B$4="Chapter Hunt"),CHOOSE(ArtifactsInput!$N$27+1,20,24,28,32,36,40),0)/100))/B2873))+1)),0)</f>
        <v/>
      </c>
      <c r="S2842">
        <f>IFERROR(O2842/N2842,0)</f>
        <v/>
      </c>
      <c r="T2842">
        <f>IF(C2842,(H2842*N2842*IF(AND(Inputs!$B$38&lt;&gt;"pvp",Inputs!$B$43&gt;0),((Skills!G11*((R2842-1)*IF(Skills!H11&gt;0,INT(Skills!I11/Skills!H11+0.000000001),1)+IF(Skills!H11&gt;0,INT(MIN(Skills!I11,MAX(0,MAX(0,Inputs!$B$43-B2869)-((R2842-1)*((IF(Inputs!$B$38="pvp",15,MAX(0.1,Skills!D11-IF(TRUE=TRUE,Inputs!$B$32,0)))*(1-IF(AND(ArtifactsInput!$M$27,Inputs!$B$4="Chapter Hunt"),CHOOSE(ArtifactsInput!$N$27+1,20,24,28,32,36,40),0)/100))/B2873))))/Skills!H11+0.000000001),1)))/Inputs!$B$43),G2842*Q2842)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Hunt"),CHOOSE(ArtifactsInput!$N$35+1,15,18,21,24,27,30)*(1-EXP(-(0.2*B2864)*5)),0)+IF(AND(ArtifactsInput!$M$22,Inputs!$B$4&lt;&gt;"Chapter Hunt"),CHOOSE(ArtifactsInput!$N$22+1,10,12,14,16,18,20)*((0*(((0.15*B2864*5))^0/1)+1*(((0.15*B2864*5))^1/1)+2*(((0.15*B2864*5))^2/2)+3*(((0.15*B2864*5))^3/6)+4*(((0.15*B2864*5))^4/24)+5*(((0.15*B2864*5))^5/120))/((((0.15*B2864*5))^0/1)+(((0.15*B2864*5))^1/1)+(((0.15*B2864*5))^2/2)+(((0.15*B2864*5))^3/6)+(((0.15*B2864*5))^4/24)+(((0.15*B2864*5))^5/120))),0))+IF(Inputs!$B$3&gt;=54,9*(C2834=TRUE)*MIN(1,8*(1+Inputs!$B$34/100)*Q2834)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2842*(1-MIN(100,(Inputs!$B$9+((C2850=TRUE)*(F2850-Calc!F19))+B2862+(ArtifactsInput!$M$24-ArtifactsInput!$M$24)*CHOOSE(ArtifactsInput!$N$24+1,10,12,14,16,18,20)+(IF(AND(Inputs!$B$38&lt;&gt;"pvp",Inputs!$B$43=0),1,IF(IF(Inputs!$B$38="pvp",15,Inputs!$B$43)-(B2869)&lt;=0,1,MAX(0,IF(Inputs!$B$38="pvp",15,Inputs!$B$43)-MAX(5,B2869))/(IF(Inputs!$B$38="pvp",15,Inputs!$B$43)-(B2869))))*IF(AND(ArtifactsInput!$M$42,((Inputs!$B$9+((C2850=TRUE)*(F2850-Calc!F19))+B2862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2842*(MIN(100,(Inputs!$B$9+((C2850=TRUE)*(F2850-Calc!F19))+B2862+(ArtifactsInput!$M$24-ArtifactsInput!$M$24)*CHOOSE(ArtifactsInput!$N$24+1,10,12,14,16,18,20)+(IF(AND(Inputs!$B$38&lt;&gt;"pvp",Inputs!$B$43=0),1,IF(IF(Inputs!$B$38="pvp",15,Inputs!$B$43)-(B2869)&lt;=0,1,MAX(0,IF(Inputs!$B$38="pvp",15,Inputs!$B$43)-MAX(5,B2869))/(IF(Inputs!$B$38="pvp",15,Inputs!$B$43)-(B2869))))*IF(AND(ArtifactsInput!$M$42,((Inputs!$B$9+((C2850=TRUE)*(F2850-Calc!F19))+B2862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2842*(1-MIN(100,(Inputs!$B$9+((C2850=TRUE)*(F2850-Calc!F19))+B2862+(ArtifactsInput!$M$24-ArtifactsInput!$M$24)*CHOOSE(ArtifactsInput!$N$24+1,10,12,14,16,18,20)+(IF(AND(Inputs!$B$38&lt;&gt;"pvp",Inputs!$B$43=0),1,IF(IF(Inputs!$B$38="pvp",15,Inputs!$B$43)-(B2869)&lt;=0,1,MAX(0,IF(Inputs!$B$38="pvp",15,Inputs!$B$43)-MAX(5,B2869))/(IF(Inputs!$B$38="pvp",15,Inputs!$B$43)-(B2869))))*IF(AND(ArtifactsInput!$M$42,((Inputs!$B$9+((C2850=TRUE)*(F2850-Calc!F19))+B2862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2842*(MIN(100,(Inputs!$B$9+((C2850=TRUE)*(F2850-Calc!F19))+B2862+(ArtifactsInput!$M$24-ArtifactsInput!$M$24)*CHOOSE(ArtifactsInput!$N$24+1,10,12,14,16,18,20)+(IF(AND(Inputs!$B$38&lt;&gt;"pvp",Inputs!$B$43=0),1,IF(IF(Inputs!$B$38="pvp",15,Inputs!$B$43)-(B2869)&lt;=0,1,MAX(0,IF(Inputs!$B$38="pvp",15,Inputs!$B$43)-MAX(5,B2869))/(IF(Inputs!$B$38="pvp",15,Inputs!$B$43)-(B2869))))*IF(AND(ArtifactsInput!$M$42,((Inputs!$B$9+((C2850=TRUE)*(F2850-Calc!F19))+B2862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842">
        <f>IF(C2842,(H2842*N2842*IF(AND(Inputs!$B$38&lt;&gt;"pvp",Inputs!$B$43&gt;0),((Skills!G11*((R2842-1)*IF(Skills!H11&gt;0,INT(Skills!I11/Skills!H11+0.000000001),1)+IF(Skills!H11&gt;0,INT(MIN(Skills!I11,MAX(0,MAX(0,Inputs!$B$43-B2869)-((R2842-1)*((IF(Inputs!$B$38="pvp",15,MAX(0.1,Skills!D11-IF(TRUE=TRUE,Inputs!$B$32,0)))*(1-IF(AND(ArtifactsInput!$M$27,Inputs!$B$4="Chapter Hunt"),CHOOSE(ArtifactsInput!$N$27+1,20,24,28,32,36,40),0)/100))/B2873))))/Skills!H11+0.000000001),1)))/Inputs!$B$43),G2842*Q2842))*IF(Inputs!$B$38="pvp",1,(1+(Inputs!$B$21+Skills!Q11+(IF(ArtifactsInput!$M$33,CHOOSE(ArtifactsInput!$N$33+1,30,36,42,48,54,60),0))+(IF(AND(ArtifactsInput!$M$35,Inputs!$B$4&lt;&gt;"Chapter Hunt"),CHOOSE(ArtifactsInput!$N$35+1,15,18,21,24,27,30)*(1-EXP(-(0.2*B2864)*5)),0)+IF(AND(ArtifactsInput!$M$22,Inputs!$B$4&lt;&gt;"Chapter Hunt"),CHOOSE(ArtifactsInput!$N$22+1,10,12,14,16,18,20)*((0*(((0.15*B2864*5))^0/1)+1*(((0.15*B2864*5))^1/1)+2*(((0.15*B2864*5))^2/2)+3*(((0.15*B2864*5))^3/6)+4*(((0.15*B2864*5))^4/24)+5*(((0.15*B2864*5))^5/120))/((((0.15*B2864*5))^0/1)+(((0.15*B2864*5))^1/1)+(((0.15*B2864*5))^2/2)+(((0.15*B2864*5))^3/6)+(((0.15*B2864*5))^4/24)+(((0.15*B2864*5))^5/120))),0))+IF(Inputs!$B$3&gt;=54,9*(C2834=TRUE)*MIN(1,8*(1+Inputs!$B$34/100)*Q2834),0))/100)*(MIN(Skills!R11,Inputs!$B$37)))*((1+(IF(AND(IF(ArtifactsInput!$M$41,FALSE,TRUE),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43">
      <c r="A2843">
        <f>Skills!A12</f>
        <v/>
      </c>
      <c r="B2843">
        <f>Skills!B12</f>
        <v/>
      </c>
      <c r="C2843">
        <f>Inputs!$B$3&gt;=110</f>
        <v/>
      </c>
      <c r="D2843">
        <f>IF(Skills!C12=1,60+Inputs!$B$25+Inputs!$B$29,IF(Skills!C12=2,90+Inputs!$B$26+Inputs!$B$29,IF(Skills!C12=3,120+Inputs!$B$27+Inputs!$B$29,MAX(0,(Inputs!$B$3-100)*3)+Inputs!$B$28+Inputs!$B$29)))</f>
        <v/>
      </c>
      <c r="E2843">
        <f>INDEX(FactorTable!$B$2:$Y$301, MATCH(ROUND(MIN(300,MAX(1,D2843)),0), FactorTable!$A$2:$A$301,0), Skills!M12+1)</f>
        <v/>
      </c>
      <c r="F2843">
        <f>IF(Skills!N12=TRUE,(Skills!L12/10)*(E2843/1000),Skills!L12/10)+Skills!O12</f>
        <v/>
      </c>
      <c r="G2843">
        <f>Skills!G12*IF(Skills!H12&gt;0,INT(IF(Inputs!$B$38="pvp",MIN(Skills!I12,15),Skills!I12)/Skills!H12+0.000000001),1)</f>
        <v/>
      </c>
      <c r="H2843">
        <f>1-(1-Skills!J12/100)^Skills!K12</f>
        <v/>
      </c>
      <c r="I2843" t="inlineStr">
        <is>
          <t>1</t>
        </is>
      </c>
      <c r="J2843">
        <f>((Inputs!$B$6*(1+Inputs!$B$7/100))+(((Inputs!$B$12*(1+Inputs!$B$13/100))-(Inputs!$B$12*(1+Inputs!$B$13/100)))+0.25*(Inputs!$B$14-Inputs!$B$14))*(1+Inputs!$B$7/100))*(F2843/100)</f>
        <v/>
      </c>
      <c r="K2843">
        <f>J2843*(1+((Inputs!$B$12*(1+Inputs!$B$13/100))*0.01+Inputs!$B$14*0.0025)/100)*(1+Inputs!$B$15/100)*(1+Inputs!$B$16/100)*(5000/(6000+Inputs!$B$42*(1-(100*(1-(1-(Inputs!$B$19+0)/100)*(1-CHOOSE(ArtifactsInput!$N$40+1,5,6,7,8,9,10)/100)^(ArtifactsInput!$M$40-ArtifactsInput!$M$40)))/100)))*(1+(Inputs!$B$24+((C2857=TRUE)*(F2857-Calc!F26))+B2868)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EIGHT_LEGS_EASTON",Inputs!$B$17+((C2854=TRUE)*(F2854-Calc!F23))+((C2858=TRUE)*(F2858-Calc!F27))+((IF(AND(Inputs!$B$38&lt;&gt;"pvp",Inputs!$B$43=0),1,IF(IF(Inputs!$B$38="pvp",15,Inputs!$B$43)-(B2869)&lt;=0,1,MAX(0,IF(Inputs!$B$38="pvp",15,Inputs!$B$43)-MAX(5,B2869))/(IF(Inputs!$B$38="pvp",15,Inputs!$B$43)-(B2869))))*(IF(AND(ArtifactsInput!$M$42,((Inputs!$B$9+((C2850=TRUE)*(F2850-Calc!F19))+B2862+(ArtifactsInput!$M$24-ArtifactsInput!$M$24)*CHOOSE(ArtifactsInput!$N$24+1,10,12,14,16,18,20)+IF(ArtifactsInput!$M$10,CHOOSE(ArtifactsInput!$N$10+1,15,18,21,24,27,30)*(IF(Inputs!$B$38="pvp",MIN(15,15)/15,IF(AND(Inputs!$B$38&lt;&gt;"pvp",Inputs!$B$43&gt;0),MIN(15,Inputs!$B$43)/(Inputs!$B$43),0))),0)))&gt;=100),MIN(100,((Inputs!$B$9+((C2850=TRUE)*(F2850-Calc!F19))+B2862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2869)&lt;=0,1,MAX(0,IF(Inputs!$B$38="pvp",15,Inputs!$B$43)-MAX(5,B2869))/(IF(Inputs!$B$38="pvp",15,Inputs!$B$43)-(B2869))))*IF(AND(ArtifactsInput!$M$42,((Inputs!$B$9+((C2850=TRUE)*(F2850-Calc!F19))+B2862+(ArtifactsInput!$M$24-ArtifactsInput!$M$24)*CHOOSE(ArtifactsInput!$N$24+1,10,12,14,16,18,20)+IF(ArtifactsInput!$M$10,CHOOSE(ArtifactsInput!$N$10+1,15,18,21,24,27,30)*(IF(Inputs!$B$38="pvp",MIN(15,15)/15,IF(AND(Inputs!$B$38&lt;&gt;"pvp",Inputs!$B$43&gt;0),MIN(15,Inputs!$B$43)/(Inputs!$B$43),0))),0)))&gt;=100),CHOOSE(ArtifactsInput!$N$42+1,40,48,56,64,72,80),0))))/100)*((1+(((C2848=TRUE)*F2848*5/7)+((C2855=TRUE)*(F2855-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IF(ArtifactsInput!$M$41,FALSE,TRUE),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2843)</f>
        <v/>
      </c>
      <c r="L2843">
        <f>K2843*(MIN(Inputs!$B$22+((C2853=TRUE)*(F2853-Calc!F22)),(Inputs!$B$23+0+(IF(ArtifactsInput!$M$15,CHOOSE(ArtifactsInput!$N$15+1,25,30,35,40,45,50)/100*(Inputs!$B$11-Inputs!$B$11),0))))/100+(Inputs!$B$23+0+(IF(ArtifactsInput!$M$15,CHOOSE(ArtifactsInput!$N$15+1,25,30,35,40,45,50)/100*(Inputs!$B$11-Inputs!$B$11),0)))/100)/2</f>
        <v/>
      </c>
      <c r="M2843">
        <f>L2843*(1+(Inputs!$B$10+((C2856=TRUE)*(F2856-Calc!F25))+B2867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43">
        <f>L2843*(1-MIN((Inputs!$B$9+((C2850=TRUE)*(F2850-Calc!F19))+B2862+(ArtifactsInput!$M$24-ArtifactsInput!$M$24)*CHOOSE(ArtifactsInput!$N$24+1,10,12,14,16,18,20)+(IF(AND(Inputs!$B$38&lt;&gt;"pvp",Inputs!$B$43=0),1,IF(IF(Inputs!$B$38="pvp",15,Inputs!$B$43)-(B2869)&lt;=0,1,MAX(0,IF(Inputs!$B$38="pvp",15,Inputs!$B$43)-MAX(5,B2869))/(IF(Inputs!$B$38="pvp",15,Inputs!$B$43)-(B2869))))*IF(AND(ArtifactsInput!$M$42,((Inputs!$B$9+((C2850=TRUE)*(F2850-Calc!F19))+B2862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2843*(MIN((Inputs!$B$9+((C2850=TRUE)*(F2850-Calc!F19))+B2862+(ArtifactsInput!$M$24-ArtifactsInput!$M$24)*CHOOSE(ArtifactsInput!$N$24+1,10,12,14,16,18,20)+(IF(AND(Inputs!$B$38&lt;&gt;"pvp",Inputs!$B$43=0),1,IF(IF(Inputs!$B$38="pvp",15,Inputs!$B$43)-(B2869)&lt;=0,1,MAX(0,IF(Inputs!$B$38="pvp",15,Inputs!$B$43)-MAX(5,B2869))/(IF(Inputs!$B$38="pvp",15,Inputs!$B$43)-(B2869))))*IF(AND(ArtifactsInput!$M$42,((Inputs!$B$9+((C2850=TRUE)*(F2850-Calc!F19))+B2862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43">
        <f>(1-Summary!$B$11)*T2843+Summary!$B$11*V2843</f>
        <v/>
      </c>
      <c r="P2843">
        <f>IF(B2872=0,0,O2843/B2872)</f>
        <v/>
      </c>
      <c r="Q2843">
        <f>IFERROR(1/(IF(Inputs!$B$38="pvp",15,MAX(0.1,Skills!D12-IF(TRUE=TRUE,Inputs!$B$32,0)))*(1-IF(AND(ArtifactsInput!$M$27,Inputs!$B$4="Chapter Hunt"),CHOOSE(ArtifactsInput!$N$27+1,20,24,28,32,36,40),0)/100)),0)</f>
        <v/>
      </c>
      <c r="R2843">
        <f>IF(AND(Inputs!$B$38&lt;&gt;"pvp",Inputs!$B$43&gt;0),IF(MAX(0,Inputs!$B$43-B2869)&lt;=0,0,(INT(MAX(0,Inputs!$B$43-B2869)/(IF(Inputs!$B$38="pvp",15,MAX(0.1,Skills!D12-IF(TRUE=TRUE,Inputs!$B$32,0)))*(1-IF(AND(ArtifactsInput!$M$27,Inputs!$B$4="Chapter Hunt"),CHOOSE(ArtifactsInput!$N$27+1,20,24,28,32,36,40),0)/100)))+1)),0)</f>
        <v/>
      </c>
      <c r="S2843">
        <f>IFERROR(O2843/N2843,0)</f>
        <v/>
      </c>
      <c r="T2843">
        <f>IF(C2843,(H2843*N2843*IF(AND(Inputs!$B$38&lt;&gt;"pvp",Inputs!$B$43&gt;0),((Skills!G12*((R2843-1)*IF(Skills!H12&gt;0,INT(Skills!I12/Skills!H12+0.000000001),1)+IF(Skills!H12&gt;0,INT(MIN(Skills!I12,MAX(0,MAX(0,Inputs!$B$43-B2869)-((R2843-1)*(IF(Inputs!$B$38="pvp",15,MAX(0.1,Skills!D12-IF(TRUE=TRUE,Inputs!$B$32,0)))*(1-IF(AND(ArtifactsInput!$M$27,Inputs!$B$4="Chapter Hunt"),CHOOSE(ArtifactsInput!$N$27+1,20,24,28,32,36,40),0)/100)))))/Skills!H12+0.000000001),1)))/Inputs!$B$43),G2843*Q2843))*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Hunt"),CHOOSE(ArtifactsInput!$N$35+1,15,18,21,24,27,30)*(1-EXP(-(0.2*B2864)*5)),0)+IF(AND(ArtifactsInput!$M$22,Inputs!$B$4&lt;&gt;"Chapter Hunt"),CHOOSE(ArtifactsInput!$N$22+1,10,12,14,16,18,20)*((0*(((0.15*B2864*5))^0/1)+1*(((0.15*B2864*5))^1/1)+2*(((0.15*B2864*5))^2/2)+3*(((0.15*B2864*5))^3/6)+4*(((0.15*B2864*5))^4/24)+5*(((0.15*B2864*5))^5/120))/((((0.15*B2864*5))^0/1)+(((0.15*B2864*5))^1/1)+(((0.15*B2864*5))^2/2)+(((0.15*B2864*5))^3/6)+(((0.15*B2864*5))^4/24)+(((0.15*B2864*5))^5/120))),0))+IF(Inputs!$B$3&gt;=54,9*(C2834=TRUE)*MIN(1,8*(1+Inputs!$B$34/100)*Q2834)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2843*(1-MIN(100,(Inputs!$B$9+((C2850=TRUE)*(F2850-Calc!F19))+B2862+(ArtifactsInput!$M$24-ArtifactsInput!$M$24)*CHOOSE(ArtifactsInput!$N$24+1,10,12,14,16,18,20)+(IF(AND(Inputs!$B$38&lt;&gt;"pvp",Inputs!$B$43=0),1,IF(IF(Inputs!$B$38="pvp",15,Inputs!$B$43)-(B2869)&lt;=0,1,MAX(0,IF(Inputs!$B$38="pvp",15,Inputs!$B$43)-MAX(5,B2869))/(IF(Inputs!$B$38="pvp",15,Inputs!$B$43)-(B2869))))*IF(AND(ArtifactsInput!$M$42,((Inputs!$B$9+((C2850=TRUE)*(F2850-Calc!F19))+B2862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2843*(MIN(100,(Inputs!$B$9+((C2850=TRUE)*(F2850-Calc!F19))+B2862+(ArtifactsInput!$M$24-ArtifactsInput!$M$24)*CHOOSE(ArtifactsInput!$N$24+1,10,12,14,16,18,20)+(IF(AND(Inputs!$B$38&lt;&gt;"pvp",Inputs!$B$43=0),1,IF(IF(Inputs!$B$38="pvp",15,Inputs!$B$43)-(B2869)&lt;=0,1,MAX(0,IF(Inputs!$B$38="pvp",15,Inputs!$B$43)-MAX(5,B2869))/(IF(Inputs!$B$38="pvp",15,Inputs!$B$43)-(B2869))))*IF(AND(ArtifactsInput!$M$42,((Inputs!$B$9+((C2850=TRUE)*(F2850-Calc!F19))+B2862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2843*(1-MIN(100,(Inputs!$B$9+((C2850=TRUE)*(F2850-Calc!F19))+B2862+(ArtifactsInput!$M$24-ArtifactsInput!$M$24)*CHOOSE(ArtifactsInput!$N$24+1,10,12,14,16,18,20)+(IF(AND(Inputs!$B$38&lt;&gt;"pvp",Inputs!$B$43=0),1,IF(IF(Inputs!$B$38="pvp",15,Inputs!$B$43)-(B2869)&lt;=0,1,MAX(0,IF(Inputs!$B$38="pvp",15,Inputs!$B$43)-MAX(5,B2869))/(IF(Inputs!$B$38="pvp",15,Inputs!$B$43)-(B2869))))*IF(AND(ArtifactsInput!$M$42,((Inputs!$B$9+((C2850=TRUE)*(F2850-Calc!F19))+B2862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2843*(MIN(100,(Inputs!$B$9+((C2850=TRUE)*(F2850-Calc!F19))+B2862+(ArtifactsInput!$M$24-ArtifactsInput!$M$24)*CHOOSE(ArtifactsInput!$N$24+1,10,12,14,16,18,20)+(IF(AND(Inputs!$B$38&lt;&gt;"pvp",Inputs!$B$43=0),1,IF(IF(Inputs!$B$38="pvp",15,Inputs!$B$43)-(B2869)&lt;=0,1,MAX(0,IF(Inputs!$B$38="pvp",15,Inputs!$B$43)-MAX(5,B2869))/(IF(Inputs!$B$38="pvp",15,Inputs!$B$43)-(B2869))))*IF(AND(ArtifactsInput!$M$42,((Inputs!$B$9+((C2850=TRUE)*(F2850-Calc!F19))+B2862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843">
        <f>IF(C2843,(H2843*N2843*IF(AND(Inputs!$B$38&lt;&gt;"pvp",Inputs!$B$43&gt;0),((Skills!G12*((R2843-1)*IF(Skills!H12&gt;0,INT(Skills!I12/Skills!H12+0.000000001),1)+IF(Skills!H12&gt;0,INT(MIN(Skills!I12,MAX(0,MAX(0,Inputs!$B$43-B2869)-((R2843-1)*(IF(Inputs!$B$38="pvp",15,MAX(0.1,Skills!D12-IF(TRUE=TRUE,Inputs!$B$32,0)))*(1-IF(AND(ArtifactsInput!$M$27,Inputs!$B$4="Chapter Hunt"),CHOOSE(ArtifactsInput!$N$27+1,20,24,28,32,36,40),0)/100)))))/Skills!H12+0.000000001),1)))/Inputs!$B$43),G2843*Q2843))*IF(Inputs!$B$38="pvp",1,(1+(Inputs!$B$21+Skills!Q12+(IF(ArtifactsInput!$M$33,CHOOSE(ArtifactsInput!$N$33+1,30,36,42,48,54,60),0))+(IF(AND(ArtifactsInput!$M$35,Inputs!$B$4&lt;&gt;"Chapter Hunt"),CHOOSE(ArtifactsInput!$N$35+1,15,18,21,24,27,30)*(1-EXP(-(0.2*B2864)*5)),0)+IF(AND(ArtifactsInput!$M$22,Inputs!$B$4&lt;&gt;"Chapter Hunt"),CHOOSE(ArtifactsInput!$N$22+1,10,12,14,16,18,20)*((0*(((0.15*B2864*5))^0/1)+1*(((0.15*B2864*5))^1/1)+2*(((0.15*B2864*5))^2/2)+3*(((0.15*B2864*5))^3/6)+4*(((0.15*B2864*5))^4/24)+5*(((0.15*B2864*5))^5/120))/((((0.15*B2864*5))^0/1)+(((0.15*B2864*5))^1/1)+(((0.15*B2864*5))^2/2)+(((0.15*B2864*5))^3/6)+(((0.15*B2864*5))^4/24)+(((0.15*B2864*5))^5/120))),0))+IF(Inputs!$B$3&gt;=54,9*(C2834=TRUE)*MIN(1,8*(1+Inputs!$B$34/100)*Q2834),0))/100)*(MIN(Skills!R12,Inputs!$B$37)))*((1+(IF(AND(IF(ArtifactsInput!$M$41,FALSE,TRUE),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44">
      <c r="A2844">
        <f>Skills!A13</f>
        <v/>
      </c>
      <c r="B2844">
        <f>Skills!B13</f>
        <v/>
      </c>
      <c r="C2844">
        <f>Inputs!$B$3&gt;=110</f>
        <v/>
      </c>
      <c r="D2844">
        <f>IF(Skills!C13=1,60+Inputs!$B$25+Inputs!$B$29,IF(Skills!C13=2,90+Inputs!$B$26+Inputs!$B$29,IF(Skills!C13=3,120+Inputs!$B$27+Inputs!$B$29,MAX(0,(Inputs!$B$3-100)*3)+Inputs!$B$28+Inputs!$B$29)))</f>
        <v/>
      </c>
      <c r="E2844">
        <f>INDEX(FactorTable!$B$2:$Y$301, MATCH(ROUND(MIN(300,MAX(1,D2844)),0), FactorTable!$A$2:$A$301,0), Skills!M13+1)</f>
        <v/>
      </c>
      <c r="F2844">
        <f>IF(Skills!N13=TRUE,(Skills!L13/10)*(E2844/1000),Skills!L13/10)+Skills!O13</f>
        <v/>
      </c>
      <c r="G2844">
        <f>Skills!G13*IF(Skills!H13&gt;0,INT(IF(Inputs!$B$38="pvp",MIN(Skills!I13,15),Skills!I13)/Skills!H13+0.000000001),1)</f>
        <v/>
      </c>
      <c r="H2844">
        <f>1-(1-Skills!J13/100)^Skills!K13</f>
        <v/>
      </c>
      <c r="I2844" t="inlineStr">
        <is>
          <t>1</t>
        </is>
      </c>
      <c r="J2844">
        <f>((Inputs!$B$6*(1+Inputs!$B$7/100))+(((Inputs!$B$12*(1+Inputs!$B$13/100))-(Inputs!$B$12*(1+Inputs!$B$13/100)))+0.25*(Inputs!$B$14-Inputs!$B$14))*(1+Inputs!$B$7/100))*(F2844/100)</f>
        <v/>
      </c>
      <c r="K2844">
        <f>J2844*(1+((Inputs!$B$12*(1+Inputs!$B$13/100))*0.01+Inputs!$B$14*0.0025)/100)*(1+Inputs!$B$15/100)*(1+Inputs!$B$16/100)*(5000/(6000+Inputs!$B$42*(1-(100*(1-(1-(Inputs!$B$19+0)/100)*(1-CHOOSE(ArtifactsInput!$N$40+1,5,6,7,8,9,10)/100)^(ArtifactsInput!$M$40-ArtifactsInput!$M$40)))/100)))*(1+(Inputs!$B$24+((C2857=TRUE)*(F2857-Calc!F26))+B2868)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EIGHT_LEGS_EASTON",Inputs!$B$17+((C2854=TRUE)*(F2854-Calc!F23))+((C2858=TRUE)*(F2858-Calc!F27))+((IF(AND(Inputs!$B$38&lt;&gt;"pvp",Inputs!$B$43=0),1,IF(IF(Inputs!$B$38="pvp",15,Inputs!$B$43)-(B2869)&lt;=0,1,MAX(0,IF(Inputs!$B$38="pvp",15,Inputs!$B$43)-MAX(5,B2869))/(IF(Inputs!$B$38="pvp",15,Inputs!$B$43)-(B2869))))*(IF(AND(ArtifactsInput!$M$42,((Inputs!$B$9+((C2850=TRUE)*(F2850-Calc!F19))+B2862+(ArtifactsInput!$M$24-ArtifactsInput!$M$24)*CHOOSE(ArtifactsInput!$N$24+1,10,12,14,16,18,20)+IF(ArtifactsInput!$M$10,CHOOSE(ArtifactsInput!$N$10+1,15,18,21,24,27,30)*(IF(Inputs!$B$38="pvp",MIN(15,15)/15,IF(AND(Inputs!$B$38&lt;&gt;"pvp",Inputs!$B$43&gt;0),MIN(15,Inputs!$B$43)/(Inputs!$B$43),0))),0)))&gt;=100),MIN(100,((Inputs!$B$9+((C2850=TRUE)*(F2850-Calc!F19))+B2862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2869)&lt;=0,1,MAX(0,IF(Inputs!$B$38="pvp",15,Inputs!$B$43)-MAX(5,B2869))/(IF(Inputs!$B$38="pvp",15,Inputs!$B$43)-(B2869))))*IF(AND(ArtifactsInput!$M$42,((Inputs!$B$9+((C2850=TRUE)*(F2850-Calc!F19))+B2862+(ArtifactsInput!$M$24-ArtifactsInput!$M$24)*CHOOSE(ArtifactsInput!$N$24+1,10,12,14,16,18,20)+IF(ArtifactsInput!$M$10,CHOOSE(ArtifactsInput!$N$10+1,15,18,21,24,27,30)*(IF(Inputs!$B$38="pvp",MIN(15,15)/15,IF(AND(Inputs!$B$38&lt;&gt;"pvp",Inputs!$B$43&gt;0),MIN(15,Inputs!$B$43)/(Inputs!$B$43),0))),0)))&gt;=100),CHOOSE(ArtifactsInput!$N$42+1,40,48,56,64,72,80),0))))/100)*((1+(((C2848=TRUE)*F2848*5/7)+((C2855=TRUE)*(F2855-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IF(ArtifactsInput!$M$41,FALSE,TRUE),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2844)</f>
        <v/>
      </c>
      <c r="L2844">
        <f>K2844*(MIN(Inputs!$B$22+((C2853=TRUE)*(F2853-Calc!F22)),(Inputs!$B$23+0+(IF(ArtifactsInput!$M$15,CHOOSE(ArtifactsInput!$N$15+1,25,30,35,40,45,50)/100*(Inputs!$B$11-Inputs!$B$11),0))))/100+(Inputs!$B$23+0+(IF(ArtifactsInput!$M$15,CHOOSE(ArtifactsInput!$N$15+1,25,30,35,40,45,50)/100*(Inputs!$B$11-Inputs!$B$11),0)))/100)/2</f>
        <v/>
      </c>
      <c r="M2844">
        <f>L2844*(1+(Inputs!$B$10+((C2856=TRUE)*(F2856-Calc!F25))+B2867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44">
        <f>L2844*(1-MIN((Inputs!$B$9+((C2850=TRUE)*(F2850-Calc!F19))+B2862+(ArtifactsInput!$M$24-ArtifactsInput!$M$24)*CHOOSE(ArtifactsInput!$N$24+1,10,12,14,16,18,20)+(IF(AND(Inputs!$B$38&lt;&gt;"pvp",Inputs!$B$43=0),1,IF(IF(Inputs!$B$38="pvp",15,Inputs!$B$43)-(B2869)&lt;=0,1,MAX(0,IF(Inputs!$B$38="pvp",15,Inputs!$B$43)-MAX(5,B2869))/(IF(Inputs!$B$38="pvp",15,Inputs!$B$43)-(B2869))))*IF(AND(ArtifactsInput!$M$42,((Inputs!$B$9+((C2850=TRUE)*(F2850-Calc!F19))+B2862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2844*(MIN((Inputs!$B$9+((C2850=TRUE)*(F2850-Calc!F19))+B2862+(ArtifactsInput!$M$24-ArtifactsInput!$M$24)*CHOOSE(ArtifactsInput!$N$24+1,10,12,14,16,18,20)+(IF(AND(Inputs!$B$38&lt;&gt;"pvp",Inputs!$B$43=0),1,IF(IF(Inputs!$B$38="pvp",15,Inputs!$B$43)-(B2869)&lt;=0,1,MAX(0,IF(Inputs!$B$38="pvp",15,Inputs!$B$43)-MAX(5,B2869))/(IF(Inputs!$B$38="pvp",15,Inputs!$B$43)-(B2869))))*IF(AND(ArtifactsInput!$M$42,((Inputs!$B$9+((C2850=TRUE)*(F2850-Calc!F19))+B2862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44">
        <f>(1-Summary!$B$11)*T2844+Summary!$B$11*V2844</f>
        <v/>
      </c>
      <c r="P2844">
        <f>IF(B2872=0,0,O2844/B2872)</f>
        <v/>
      </c>
      <c r="Q2844">
        <f>IFERROR(1/(IF(Inputs!$B$38="pvp",15,MAX(0.1,Skills!D13-IF(TRUE=TRUE,Inputs!$B$32,0)))*(1-IF(AND(ArtifactsInput!$M$27,Inputs!$B$4="Chapter Hunt"),CHOOSE(ArtifactsInput!$N$27+1,20,24,28,32,36,40),0)/100)),0)</f>
        <v/>
      </c>
      <c r="R2844">
        <f>IF(AND(Inputs!$B$38&lt;&gt;"pvp",Inputs!$B$43&gt;0),IF(MAX(0,Inputs!$B$43-B2869)&lt;=0,0,(INT(MAX(0,Inputs!$B$43-B2869)/(IF(Inputs!$B$38="pvp",15,MAX(0.1,Skills!D13-IF(TRUE=TRUE,Inputs!$B$32,0)))*(1-IF(AND(ArtifactsInput!$M$27,Inputs!$B$4="Chapter Hunt"),CHOOSE(ArtifactsInput!$N$27+1,20,24,28,32,36,40),0)/100)))+1)),0)</f>
        <v/>
      </c>
      <c r="S2844">
        <f>IFERROR(O2844/N2844,0)</f>
        <v/>
      </c>
      <c r="T2844">
        <f>IF(C2844,(H2844*N2844*IF(AND(Inputs!$B$38&lt;&gt;"pvp",Inputs!$B$43&gt;0),((Skills!G13*((R2844-1)*IF(Skills!H13&gt;0,INT(Skills!I13/Skills!H13+0.000000001),1)+IF(Skills!H13&gt;0,INT(MIN(Skills!I13,MAX(0,MAX(0,Inputs!$B$43-B2869)-((R2844-1)*(IF(Inputs!$B$38="pvp",15,MAX(0.1,Skills!D13-IF(TRUE=TRUE,Inputs!$B$32,0)))*(1-IF(AND(ArtifactsInput!$M$27,Inputs!$B$4="Chapter Hunt"),CHOOSE(ArtifactsInput!$N$27+1,20,24,28,32,36,40),0)/100)))))/Skills!H13+0.000000001),1)))/Inputs!$B$43),G2844*Q2844))*IF(Inputs!$B$38="pvp",1,1+(Inputs!$B$20+0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Hunt"),CHOOSE(ArtifactsInput!$N$35+1,15,18,21,24,27,30)*(1-EXP(-(0.2*B2864)*5)),0)+IF(AND(ArtifactsInput!$M$22,Inputs!$B$4&lt;&gt;"Chapter Hunt"),CHOOSE(ArtifactsInput!$N$22+1,10,12,14,16,18,20)*((0*(((0.15*B2864*5))^0/1)+1*(((0.15*B2864*5))^1/1)+2*(((0.15*B2864*5))^2/2)+3*(((0.15*B2864*5))^3/6)+4*(((0.15*B2864*5))^4/24)+5*(((0.15*B2864*5))^5/120))/((((0.15*B2864*5))^0/1)+(((0.15*B2864*5))^1/1)+(((0.15*B2864*5))^2/2)+(((0.15*B2864*5))^3/6)+(((0.15*B2864*5))^4/24)+(((0.15*B2864*5))^5/120))),0))+IF(Inputs!$B$3&gt;=54,9*(C2834=TRUE)*MIN(1,8*(1+Inputs!$B$34/100)*Q2834)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2844*(1-MIN(100,(Inputs!$B$9+((C2850=TRUE)*(F2850-Calc!F19))+B2862+(ArtifactsInput!$M$24-ArtifactsInput!$M$24)*CHOOSE(ArtifactsInput!$N$24+1,10,12,14,16,18,20)+(IF(AND(Inputs!$B$38&lt;&gt;"pvp",Inputs!$B$43=0),1,IF(IF(Inputs!$B$38="pvp",15,Inputs!$B$43)-(B2869)&lt;=0,1,MAX(0,IF(Inputs!$B$38="pvp",15,Inputs!$B$43)-MAX(5,B2869))/(IF(Inputs!$B$38="pvp",15,Inputs!$B$43)-(B2869))))*IF(AND(ArtifactsInput!$M$42,((Inputs!$B$9+((C2850=TRUE)*(F2850-Calc!F19))+B2862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2844*(MIN(100,(Inputs!$B$9+((C2850=TRUE)*(F2850-Calc!F19))+B2862+(ArtifactsInput!$M$24-ArtifactsInput!$M$24)*CHOOSE(ArtifactsInput!$N$24+1,10,12,14,16,18,20)+(IF(AND(Inputs!$B$38&lt;&gt;"pvp",Inputs!$B$43=0),1,IF(IF(Inputs!$B$38="pvp",15,Inputs!$B$43)-(B2869)&lt;=0,1,MAX(0,IF(Inputs!$B$38="pvp",15,Inputs!$B$43)-MAX(5,B2869))/(IF(Inputs!$B$38="pvp",15,Inputs!$B$43)-(B2869))))*IF(AND(ArtifactsInput!$M$42,((Inputs!$B$9+((C2850=TRUE)*(F2850-Calc!F19))+B2862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2844*(1-MIN(100,(Inputs!$B$9+((C2850=TRUE)*(F2850-Calc!F19))+B2862+(ArtifactsInput!$M$24-ArtifactsInput!$M$24)*CHOOSE(ArtifactsInput!$N$24+1,10,12,14,16,18,20)+(IF(AND(Inputs!$B$38&lt;&gt;"pvp",Inputs!$B$43=0),1,IF(IF(Inputs!$B$38="pvp",15,Inputs!$B$43)-(B2869)&lt;=0,1,MAX(0,IF(Inputs!$B$38="pvp",15,Inputs!$B$43)-MAX(5,B2869))/(IF(Inputs!$B$38="pvp",15,Inputs!$B$43)-(B2869))))*IF(AND(ArtifactsInput!$M$42,((Inputs!$B$9+((C2850=TRUE)*(F2850-Calc!F19))+B2862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2844*(MIN(100,(Inputs!$B$9+((C2850=TRUE)*(F2850-Calc!F19))+B2862+(ArtifactsInput!$M$24-ArtifactsInput!$M$24)*CHOOSE(ArtifactsInput!$N$24+1,10,12,14,16,18,20)+(IF(AND(Inputs!$B$38&lt;&gt;"pvp",Inputs!$B$43=0),1,IF(IF(Inputs!$B$38="pvp",15,Inputs!$B$43)-(B2869)&lt;=0,1,MAX(0,IF(Inputs!$B$38="pvp",15,Inputs!$B$43)-MAX(5,B2869))/(IF(Inputs!$B$38="pvp",15,Inputs!$B$43)-(B2869))))*IF(AND(ArtifactsInput!$M$42,((Inputs!$B$9+((C2850=TRUE)*(F2850-Calc!F19))+B2862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844">
        <f>IF(C2844,(H2844*N2844*IF(AND(Inputs!$B$38&lt;&gt;"pvp",Inputs!$B$43&gt;0),((Skills!G13*((R2844-1)*IF(Skills!H13&gt;0,INT(Skills!I13/Skills!H13+0.000000001),1)+IF(Skills!H13&gt;0,INT(MIN(Skills!I13,MAX(0,MAX(0,Inputs!$B$43-B2869)-((R2844-1)*(IF(Inputs!$B$38="pvp",15,MAX(0.1,Skills!D13-IF(TRUE=TRUE,Inputs!$B$32,0)))*(1-IF(AND(ArtifactsInput!$M$27,Inputs!$B$4="Chapter Hunt"),CHOOSE(ArtifactsInput!$N$27+1,20,24,28,32,36,40),0)/100)))))/Skills!H13+0.000000001),1)))/Inputs!$B$43),G2844*Q2844))*IF(Inputs!$B$38="pvp",1,(1+(Inputs!$B$21+Skills!Q13+(IF(ArtifactsInput!$M$33,CHOOSE(ArtifactsInput!$N$33+1,30,36,42,48,54,60),0))+(IF(AND(ArtifactsInput!$M$35,Inputs!$B$4&lt;&gt;"Chapter Hunt"),CHOOSE(ArtifactsInput!$N$35+1,15,18,21,24,27,30)*(1-EXP(-(0.2*B2864)*5)),0)+IF(AND(ArtifactsInput!$M$22,Inputs!$B$4&lt;&gt;"Chapter Hunt"),CHOOSE(ArtifactsInput!$N$22+1,10,12,14,16,18,20)*((0*(((0.15*B2864*5))^0/1)+1*(((0.15*B2864*5))^1/1)+2*(((0.15*B2864*5))^2/2)+3*(((0.15*B2864*5))^3/6)+4*(((0.15*B2864*5))^4/24)+5*(((0.15*B2864*5))^5/120))/((((0.15*B2864*5))^0/1)+(((0.15*B2864*5))^1/1)+(((0.15*B2864*5))^2/2)+(((0.15*B2864*5))^3/6)+(((0.15*B2864*5))^4/24)+(((0.15*B2864*5))^5/120))),0))+IF(Inputs!$B$3&gt;=54,9*(C2834=TRUE)*MIN(1,8*(1+Inputs!$B$34/100)*Q2834),0))/100)*(MIN(Skills!R13,Inputs!$B$37)))*((1+(IF(AND(IF(ArtifactsInput!$M$41,FALSE,TRUE),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45">
      <c r="A2845">
        <f>Skills!A14</f>
        <v/>
      </c>
      <c r="B2845">
        <f>Skills!B14</f>
        <v/>
      </c>
      <c r="C2845">
        <f>Inputs!$B$3&gt;=120</f>
        <v/>
      </c>
      <c r="D2845">
        <f>IF(Skills!C14=1,60+Inputs!$B$25+Inputs!$B$29,IF(Skills!C14=2,90+Inputs!$B$26+Inputs!$B$29,IF(Skills!C14=3,120+Inputs!$B$27+Inputs!$B$29,MAX(0,(Inputs!$B$3-100)*3)+Inputs!$B$28+Inputs!$B$29)))</f>
        <v/>
      </c>
      <c r="E2845">
        <f>INDEX(FactorTable!$B$2:$Y$301, MATCH(ROUND(MIN(300,MAX(1,D2845)),0), FactorTable!$A$2:$A$301,0), Skills!M14+1)</f>
        <v/>
      </c>
      <c r="F2845">
        <f>IF(Skills!N14=TRUE,(Skills!L14/10)*(E2845/1000),Skills!L14/10)+Skills!O14</f>
        <v/>
      </c>
      <c r="G2845">
        <f>Skills!G14*IF(Skills!H14&gt;0,INT(IF(Inputs!$B$38="pvp",MIN(Skills!I14,15),Skills!I14)/Skills!H14+0.000000001),1)</f>
        <v/>
      </c>
      <c r="H2845">
        <f>1-(1-Skills!J14/100)^Skills!K14</f>
        <v/>
      </c>
      <c r="I2845" t="inlineStr">
        <is>
          <t>1</t>
        </is>
      </c>
      <c r="J2845">
        <f>((Inputs!$B$6*(1+Inputs!$B$7/100))+(((Inputs!$B$12*(1+Inputs!$B$13/100))-(Inputs!$B$12*(1+Inputs!$B$13/100)))+0.25*(Inputs!$B$14-Inputs!$B$14))*(1+Inputs!$B$7/100))*(F2845/100)</f>
        <v/>
      </c>
      <c r="K2845">
        <f>J2845*(1+((Inputs!$B$12*(1+Inputs!$B$13/100))*0.01+Inputs!$B$14*0.0025)/100)*(1+Inputs!$B$15/100)*(1+Inputs!$B$16/100)*(5000/(6000+Inputs!$B$42*(1-(100*(1-(1-(Inputs!$B$19+0)/100)*(1-CHOOSE(ArtifactsInput!$N$40+1,5,6,7,8,9,10)/100)^(ArtifactsInput!$M$40-ArtifactsInput!$M$40)))/100)))*(1+(Inputs!$B$24+((C2857=TRUE)*(F2857-Calc!F26))+B2868)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EIGHT_LEGS_EASTON",Inputs!$B$17+((C2854=TRUE)*(F2854-Calc!F23))+((C2858=TRUE)*(F2858-Calc!F27))+((IF(AND(Inputs!$B$38&lt;&gt;"pvp",Inputs!$B$43=0),1,IF(IF(Inputs!$B$38="pvp",15,Inputs!$B$43)-(B2869)&lt;=0,1,MAX(0,IF(Inputs!$B$38="pvp",15,Inputs!$B$43)-MAX(5,B2869))/(IF(Inputs!$B$38="pvp",15,Inputs!$B$43)-(B2869))))*(IF(AND(ArtifactsInput!$M$42,((Inputs!$B$9+((C2850=TRUE)*(F2850-Calc!F19))+B2862+(ArtifactsInput!$M$24-ArtifactsInput!$M$24)*CHOOSE(ArtifactsInput!$N$24+1,10,12,14,16,18,20)+IF(ArtifactsInput!$M$10,CHOOSE(ArtifactsInput!$N$10+1,15,18,21,24,27,30)*(IF(Inputs!$B$38="pvp",MIN(15,15)/15,IF(AND(Inputs!$B$38&lt;&gt;"pvp",Inputs!$B$43&gt;0),MIN(15,Inputs!$B$43)/(Inputs!$B$43),0))),0)))&gt;=100),MIN(100,((Inputs!$B$9+((C2850=TRUE)*(F2850-Calc!F19))+B2862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2869)&lt;=0,1,MAX(0,IF(Inputs!$B$38="pvp",15,Inputs!$B$43)-MAX(5,B2869))/(IF(Inputs!$B$38="pvp",15,Inputs!$B$43)-(B2869))))*IF(AND(ArtifactsInput!$M$42,((Inputs!$B$9+((C2850=TRUE)*(F2850-Calc!F19))+B2862+(ArtifactsInput!$M$24-ArtifactsInput!$M$24)*CHOOSE(ArtifactsInput!$N$24+1,10,12,14,16,18,20)+IF(ArtifactsInput!$M$10,CHOOSE(ArtifactsInput!$N$10+1,15,18,21,24,27,30)*(IF(Inputs!$B$38="pvp",MIN(15,15)/15,IF(AND(Inputs!$B$38&lt;&gt;"pvp",Inputs!$B$43&gt;0),MIN(15,Inputs!$B$43)/(Inputs!$B$43),0))),0)))&gt;=100),CHOOSE(ArtifactsInput!$N$42+1,40,48,56,64,72,80),0))))/100)*((1+(((C2848=TRUE)*F2848*5/7)+((C2855=TRUE)*(F2855-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IF(ArtifactsInput!$M$41,FALSE,TRUE),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2845)</f>
        <v/>
      </c>
      <c r="L2845">
        <f>K2845*(MIN(Inputs!$B$22+((C2853=TRUE)*(F2853-Calc!F22)),(Inputs!$B$23+0+(IF(ArtifactsInput!$M$15,CHOOSE(ArtifactsInput!$N$15+1,25,30,35,40,45,50)/100*(Inputs!$B$11-Inputs!$B$11),0))))/100+(Inputs!$B$23+0+(IF(ArtifactsInput!$M$15,CHOOSE(ArtifactsInput!$N$15+1,25,30,35,40,45,50)/100*(Inputs!$B$11-Inputs!$B$11),0)))/100)/2</f>
        <v/>
      </c>
      <c r="M2845">
        <f>L2845*(1+(Inputs!$B$10+((C2856=TRUE)*(F2856-Calc!F25))+B2867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45">
        <f>L2845*(1-MIN((Inputs!$B$9+((C2850=TRUE)*(F2850-Calc!F19))+B2862+(ArtifactsInput!$M$24-ArtifactsInput!$M$24)*CHOOSE(ArtifactsInput!$N$24+1,10,12,14,16,18,20)+(IF(AND(Inputs!$B$38&lt;&gt;"pvp",Inputs!$B$43=0),1,IF(IF(Inputs!$B$38="pvp",15,Inputs!$B$43)-(B2869)&lt;=0,1,MAX(0,IF(Inputs!$B$38="pvp",15,Inputs!$B$43)-MAX(5,B2869))/(IF(Inputs!$B$38="pvp",15,Inputs!$B$43)-(B2869))))*IF(AND(ArtifactsInput!$M$42,((Inputs!$B$9+((C2850=TRUE)*(F2850-Calc!F19))+B2862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2845*(MIN((Inputs!$B$9+((C2850=TRUE)*(F2850-Calc!F19))+B2862+(ArtifactsInput!$M$24-ArtifactsInput!$M$24)*CHOOSE(ArtifactsInput!$N$24+1,10,12,14,16,18,20)+(IF(AND(Inputs!$B$38&lt;&gt;"pvp",Inputs!$B$43=0),1,IF(IF(Inputs!$B$38="pvp",15,Inputs!$B$43)-(B2869)&lt;=0,1,MAX(0,IF(Inputs!$B$38="pvp",15,Inputs!$B$43)-MAX(5,B2869))/(IF(Inputs!$B$38="pvp",15,Inputs!$B$43)-(B2869))))*IF(AND(ArtifactsInput!$M$42,((Inputs!$B$9+((C2850=TRUE)*(F2850-Calc!F19))+B2862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45">
        <f>(1-Summary!$B$11)*T2845+Summary!$B$11*V2845</f>
        <v/>
      </c>
      <c r="P2845">
        <f>IF(B2872=0,0,O2845/B2872)</f>
        <v/>
      </c>
      <c r="Q2845" t="n">
        <v>0</v>
      </c>
      <c r="R2845" t="n">
        <v>0</v>
      </c>
      <c r="S2845">
        <f>IFERROR(O2845/N2845,0)</f>
        <v/>
      </c>
      <c r="T2845">
        <f>IF(C2845,((H2845*(B2866+IF(AND(Inputs!$B$38&lt;&gt;"pvp",Inputs!$B$43&gt;0),((Skills!G8*((R2839-1)*IF(Skills!H8&gt;0,INT(Skills!I8/Skills!H8+0.000000001),1)+IF(Skills!H8&gt;0,INT(MIN(Skills!I8,MAX(0,MAX(0,Inputs!$B$43-B2869)-((R2839-1)*((IF(Inputs!$B$38="pvp",15,MAX(0.1,Skills!D8-IF(TRUE=TRUE,Inputs!$B$32,0)))*(1-IF(AND(ArtifactsInput!$M$27,Inputs!$B$4="Chapter Hunt"),CHOOSE(ArtifactsInput!$N$27+1,20,24,28,32,36,40),0)/100))/B2873))))/Skills!H8+0.000000001),1)))/Inputs!$B$43),G2839*Q2839)+IF(AND(Inputs!$B$38&lt;&gt;"pvp",Inputs!$B$43&gt;0),((Skills!G11*((R2842-1)*IF(Skills!H11&gt;0,INT(Skills!I11/Skills!H11+0.000000001),1)+IF(Skills!H11&gt;0,INT(MIN(Skills!I11,MAX(0,MAX(0,Inputs!$B$43-B2869)-((R2842-1)*((IF(Inputs!$B$38="pvp",15,MAX(0.1,Skills!D11-IF(TRUE=TRUE,Inputs!$B$32,0)))*(1-IF(AND(ArtifactsInput!$M$27,Inputs!$B$4="Chapter Hunt"),CHOOSE(ArtifactsInput!$N$27+1,20,24,28,32,36,40),0)/100))/B2873))))/Skills!H11+0.000000001),1)))/Inputs!$B$43),G2842*Q2842)))/(1+Skills!H14*H2845*(B2866+IF(AND(Inputs!$B$38&lt;&gt;"pvp",Inputs!$B$43&gt;0),((Skills!G8*((R2839-1)*IF(Skills!H8&gt;0,INT(Skills!I8/Skills!H8+0.000000001),1)+IF(Skills!H8&gt;0,INT(MIN(Skills!I8,MAX(0,MAX(0,Inputs!$B$43-B2869)-((R2839-1)*((IF(Inputs!$B$38="pvp",15,MAX(0.1,Skills!D8-IF(TRUE=TRUE,Inputs!$B$32,0)))*(1-IF(AND(ArtifactsInput!$M$27,Inputs!$B$4="Chapter Hunt"),CHOOSE(ArtifactsInput!$N$27+1,20,24,28,32,36,40),0)/100))/B2873))))/Skills!H8+0.000000001),1)))/Inputs!$B$43),G2839*Q2839)+IF(AND(Inputs!$B$38&lt;&gt;"pvp",Inputs!$B$43&gt;0),((Skills!G11*((R2842-1)*IF(Skills!H11&gt;0,INT(Skills!I11/Skills!H11+0.000000001),1)+IF(Skills!H11&gt;0,INT(MIN(Skills!I11,MAX(0,MAX(0,Inputs!$B$43-B2869)-((R2842-1)*((IF(Inputs!$B$38="pvp",15,MAX(0.1,Skills!D11-IF(TRUE=TRUE,Inputs!$B$32,0)))*(1-IF(AND(ArtifactsInput!$M$27,Inputs!$B$4="Chapter Hunt"),CHOOSE(ArtifactsInput!$N$27+1,20,24,28,32,36,40),0)/100))/B2873))))/Skills!H11+0.000000001),1)))/Inputs!$B$43),G2842*Q2842)))*N2845)*IF(Inputs!$B$38="pvp",1,1+(Inputs!$B$20+0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Hunt"),CHOOSE(ArtifactsInput!$N$35+1,15,18,21,24,27,30)*(1-EXP(-(0.2*B2864)*5)),0)+IF(AND(ArtifactsInput!$M$22,Inputs!$B$4&lt;&gt;"Chapter Hunt"),CHOOSE(ArtifactsInput!$N$22+1,10,12,14,16,18,20)*((0*(((0.15*B2864*5))^0/1)+1*(((0.15*B2864*5))^1/1)+2*(((0.15*B2864*5))^2/2)+3*(((0.15*B2864*5))^3/6)+4*(((0.15*B2864*5))^4/24)+5*(((0.15*B2864*5))^5/120))/((((0.15*B2864*5))^0/1)+(((0.15*B2864*5))^1/1)+(((0.15*B2864*5))^2/2)+(((0.15*B2864*5))^3/6)+(((0.15*B2864*5))^4/24)+(((0.15*B2864*5))^5/120))),0))+IF(Inputs!$B$3&gt;=54,9*(C2834=TRUE)*MIN(1,8*(1+Inputs!$B$34/100)*Q2834)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2845*(1-MIN(100,(Inputs!$B$9+((C2850=TRUE)*(F2850-Calc!F19))+B2862+(ArtifactsInput!$M$24-ArtifactsInput!$M$24)*CHOOSE(ArtifactsInput!$N$24+1,10,12,14,16,18,20)+(IF(AND(Inputs!$B$38&lt;&gt;"pvp",Inputs!$B$43=0),1,IF(IF(Inputs!$B$38="pvp",15,Inputs!$B$43)-(B2869)&lt;=0,1,MAX(0,IF(Inputs!$B$38="pvp",15,Inputs!$B$43)-MAX(5,B2869))/(IF(Inputs!$B$38="pvp",15,Inputs!$B$43)-(B2869))))*IF(AND(ArtifactsInput!$M$42,((Inputs!$B$9+((C2850=TRUE)*(F2850-Calc!F19))+B2862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2845*(MIN(100,(Inputs!$B$9+((C2850=TRUE)*(F2850-Calc!F19))+B2862+(ArtifactsInput!$M$24-ArtifactsInput!$M$24)*CHOOSE(ArtifactsInput!$N$24+1,10,12,14,16,18,20)+(IF(AND(Inputs!$B$38&lt;&gt;"pvp",Inputs!$B$43=0),1,IF(IF(Inputs!$B$38="pvp",15,Inputs!$B$43)-(B2869)&lt;=0,1,MAX(0,IF(Inputs!$B$38="pvp",15,Inputs!$B$43)-MAX(5,B2869))/(IF(Inputs!$B$38="pvp",15,Inputs!$B$43)-(B2869))))*IF(AND(ArtifactsInput!$M$42,((Inputs!$B$9+((C2850=TRUE)*(F2850-Calc!F19))+B2862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2845*(1-MIN(100,(Inputs!$B$9+((C2850=TRUE)*(F2850-Calc!F19))+B2862+(ArtifactsInput!$M$24-ArtifactsInput!$M$24)*CHOOSE(ArtifactsInput!$N$24+1,10,12,14,16,18,20)+(IF(AND(Inputs!$B$38&lt;&gt;"pvp",Inputs!$B$43=0),1,IF(IF(Inputs!$B$38="pvp",15,Inputs!$B$43)-(B2869)&lt;=0,1,MAX(0,IF(Inputs!$B$38="pvp",15,Inputs!$B$43)-MAX(5,B2869))/(IF(Inputs!$B$38="pvp",15,Inputs!$B$43)-(B2869))))*IF(AND(ArtifactsInput!$M$42,((Inputs!$B$9+((C2850=TRUE)*(F2850-Calc!F19))+B2862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2845*(MIN(100,(Inputs!$B$9+((C2850=TRUE)*(F2850-Calc!F19))+B2862+(ArtifactsInput!$M$24-ArtifactsInput!$M$24)*CHOOSE(ArtifactsInput!$N$24+1,10,12,14,16,18,20)+(IF(AND(Inputs!$B$38&lt;&gt;"pvp",Inputs!$B$43=0),1,IF(IF(Inputs!$B$38="pvp",15,Inputs!$B$43)-(B2869)&lt;=0,1,MAX(0,IF(Inputs!$B$38="pvp",15,Inputs!$B$43)-MAX(5,B2869))/(IF(Inputs!$B$38="pvp",15,Inputs!$B$43)-(B2869))))*IF(AND(ArtifactsInput!$M$42,((Inputs!$B$9+((C2850=TRUE)*(F2850-Calc!F19))+B2862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845">
        <f>IF(C2845,((H2845*(B2866+IF(AND(Inputs!$B$38&lt;&gt;"pvp",Inputs!$B$43&gt;0),((Skills!G8*((R2839-1)*IF(Skills!H8&gt;0,INT(Skills!I8/Skills!H8+0.000000001),1)+IF(Skills!H8&gt;0,INT(MIN(Skills!I8,MAX(0,MAX(0,Inputs!$B$43-B2869)-((R2839-1)*((IF(Inputs!$B$38="pvp",15,MAX(0.1,Skills!D8-IF(TRUE=TRUE,Inputs!$B$32,0)))*(1-IF(AND(ArtifactsInput!$M$27,Inputs!$B$4="Chapter Hunt"),CHOOSE(ArtifactsInput!$N$27+1,20,24,28,32,36,40),0)/100))/B2873))))/Skills!H8+0.000000001),1)))/Inputs!$B$43),G2839*Q2839)+IF(AND(Inputs!$B$38&lt;&gt;"pvp",Inputs!$B$43&gt;0),((Skills!G11*((R2842-1)*IF(Skills!H11&gt;0,INT(Skills!I11/Skills!H11+0.000000001),1)+IF(Skills!H11&gt;0,INT(MIN(Skills!I11,MAX(0,MAX(0,Inputs!$B$43-B2869)-((R2842-1)*((IF(Inputs!$B$38="pvp",15,MAX(0.1,Skills!D11-IF(TRUE=TRUE,Inputs!$B$32,0)))*(1-IF(AND(ArtifactsInput!$M$27,Inputs!$B$4="Chapter Hunt"),CHOOSE(ArtifactsInput!$N$27+1,20,24,28,32,36,40),0)/100))/B2873))))/Skills!H11+0.000000001),1)))/Inputs!$B$43),G2842*Q2842)))/(1+Skills!H14*H2845*(B2866+IF(AND(Inputs!$B$38&lt;&gt;"pvp",Inputs!$B$43&gt;0),((Skills!G8*((R2839-1)*IF(Skills!H8&gt;0,INT(Skills!I8/Skills!H8+0.000000001),1)+IF(Skills!H8&gt;0,INT(MIN(Skills!I8,MAX(0,MAX(0,Inputs!$B$43-B2869)-((R2839-1)*((IF(Inputs!$B$38="pvp",15,MAX(0.1,Skills!D8-IF(TRUE=TRUE,Inputs!$B$32,0)))*(1-IF(AND(ArtifactsInput!$M$27,Inputs!$B$4="Chapter Hunt"),CHOOSE(ArtifactsInput!$N$27+1,20,24,28,32,36,40),0)/100))/B2873))))/Skills!H8+0.000000001),1)))/Inputs!$B$43),G2839*Q2839)+IF(AND(Inputs!$B$38&lt;&gt;"pvp",Inputs!$B$43&gt;0),((Skills!G11*((R2842-1)*IF(Skills!H11&gt;0,INT(Skills!I11/Skills!H11+0.000000001),1)+IF(Skills!H11&gt;0,INT(MIN(Skills!I11,MAX(0,MAX(0,Inputs!$B$43-B2869)-((R2842-1)*((IF(Inputs!$B$38="pvp",15,MAX(0.1,Skills!D11-IF(TRUE=TRUE,Inputs!$B$32,0)))*(1-IF(AND(ArtifactsInput!$M$27,Inputs!$B$4="Chapter Hunt"),CHOOSE(ArtifactsInput!$N$27+1,20,24,28,32,36,40),0)/100))/B2873))))/Skills!H11+0.000000001),1)))/Inputs!$B$43),G2842*Q2842)))*N2845)*IF(Inputs!$B$38="pvp",1,(1+(Inputs!$B$21+Skills!Q14+(IF(ArtifactsInput!$M$33,CHOOSE(ArtifactsInput!$N$33+1,30,36,42,48,54,60),0))+(IF(AND(ArtifactsInput!$M$35,Inputs!$B$4&lt;&gt;"Chapter Hunt"),CHOOSE(ArtifactsInput!$N$35+1,15,18,21,24,27,30)*(1-EXP(-(0.2*B2864)*5)),0)+IF(AND(ArtifactsInput!$M$22,Inputs!$B$4&lt;&gt;"Chapter Hunt"),CHOOSE(ArtifactsInput!$N$22+1,10,12,14,16,18,20)*((0*(((0.15*B2864*5))^0/1)+1*(((0.15*B2864*5))^1/1)+2*(((0.15*B2864*5))^2/2)+3*(((0.15*B2864*5))^3/6)+4*(((0.15*B2864*5))^4/24)+5*(((0.15*B2864*5))^5/120))/((((0.15*B2864*5))^0/1)+(((0.15*B2864*5))^1/1)+(((0.15*B2864*5))^2/2)+(((0.15*B2864*5))^3/6)+(((0.15*B2864*5))^4/24)+(((0.15*B2864*5))^5/120))),0))+IF(Inputs!$B$3&gt;=54,9*(C2834=TRUE)*MIN(1,8*(1+Inputs!$B$34/100)*Q2834),0))/100)*(MIN(Skills!R14,Inputs!$B$37)))*((1+(IF(AND(IF(ArtifactsInput!$M$41,FALSE,TRUE),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46">
      <c r="A2846">
        <f>Skills!A15</f>
        <v/>
      </c>
      <c r="B2846">
        <f>Skills!B15</f>
        <v/>
      </c>
      <c r="C2846">
        <f>Inputs!$B$3&gt;=100</f>
        <v/>
      </c>
      <c r="D2846">
        <f>IF(Skills!C15=1,60+Inputs!$B$25+Inputs!$B$29,IF(Skills!C15=2,90+Inputs!$B$26+Inputs!$B$29,IF(Skills!C15=3,120+Inputs!$B$27+Inputs!$B$29,MAX(0,(Inputs!$B$3-100)*3)+Inputs!$B$28+Inputs!$B$29)))</f>
        <v/>
      </c>
      <c r="E2846">
        <f>INDEX(FactorTable!$B$2:$Y$301, MATCH(ROUND(MIN(300,MAX(1,D2846)),0), FactorTable!$A$2:$A$301,0), Skills!M15+1)</f>
        <v/>
      </c>
      <c r="F2846">
        <f>IF(Skills!N15=TRUE,(Skills!L15/10)*(E2846/1000),Skills!L15/10)+Skills!O15</f>
        <v/>
      </c>
      <c r="G2846" t="inlineStr"/>
      <c r="H2846" t="inlineStr"/>
      <c r="I2846" t="inlineStr">
        <is>
          <t>1</t>
        </is>
      </c>
      <c r="J2846" t="inlineStr"/>
      <c r="K2846" t="inlineStr"/>
      <c r="L2846" t="inlineStr"/>
      <c r="M2846" t="inlineStr"/>
      <c r="N2846" t="inlineStr"/>
      <c r="O2846" t="inlineStr"/>
      <c r="P2846" t="inlineStr"/>
      <c r="Q2846" t="inlineStr"/>
      <c r="R2846" t="inlineStr"/>
      <c r="S2846" t="inlineStr"/>
    </row>
    <row r="2847">
      <c r="A2847">
        <f>Skills!A16</f>
        <v/>
      </c>
      <c r="B2847">
        <f>Skills!B16</f>
        <v/>
      </c>
      <c r="C2847">
        <f>Inputs!$B$3&gt;=107</f>
        <v/>
      </c>
      <c r="D2847">
        <f>IF(Skills!C16=1,60+Inputs!$B$25+Inputs!$B$29,IF(Skills!C16=2,90+Inputs!$B$26+Inputs!$B$29,IF(Skills!C16=3,120+Inputs!$B$27+Inputs!$B$29,MAX(0,(Inputs!$B$3-100)*3)+Inputs!$B$28+Inputs!$B$29)))</f>
        <v/>
      </c>
      <c r="E2847">
        <f>INDEX(FactorTable!$B$2:$Y$301, MATCH(ROUND(MIN(300,MAX(1,D2847)),0), FactorTable!$A$2:$A$301,0), Skills!M16+1)</f>
        <v/>
      </c>
      <c r="F2847">
        <f>IF(Skills!N16=TRUE,(Skills!L16/10)*(E2847/1000),Skills!L16/10)+Skills!O16</f>
        <v/>
      </c>
      <c r="G2847" t="inlineStr"/>
      <c r="H2847" t="inlineStr"/>
      <c r="I2847" t="inlineStr">
        <is>
          <t>1</t>
        </is>
      </c>
      <c r="J2847" t="inlineStr"/>
      <c r="K2847" t="inlineStr"/>
      <c r="L2847" t="inlineStr"/>
      <c r="M2847" t="inlineStr"/>
      <c r="N2847" t="inlineStr"/>
      <c r="O2847" t="inlineStr"/>
      <c r="P2847" t="inlineStr"/>
      <c r="Q2847" t="inlineStr"/>
      <c r="R2847" t="inlineStr"/>
      <c r="S2847" t="inlineStr"/>
    </row>
    <row r="2848">
      <c r="A2848">
        <f>Skills!A17</f>
        <v/>
      </c>
      <c r="B2848">
        <f>Skills!B17</f>
        <v/>
      </c>
      <c r="C2848">
        <f>Inputs!$B$3&gt;=74</f>
        <v/>
      </c>
      <c r="D2848">
        <f>IF(Skills!C17=1,60+Inputs!$B$25+Inputs!$B$29,IF(Skills!C17=2,90+Inputs!$B$26+Inputs!$B$29,IF(Skills!C17=3,120+Inputs!$B$27+Inputs!$B$29,MAX(0,(Inputs!$B$3-100)*3)+Inputs!$B$28+Inputs!$B$29)))</f>
        <v/>
      </c>
      <c r="E2848">
        <f>INDEX(FactorTable!$B$2:$Y$301, MATCH(ROUND(MIN(300,MAX(1,D2848)),0), FactorTable!$A$2:$A$301,0), Skills!M17+1)</f>
        <v/>
      </c>
      <c r="F2848">
        <f>IF(Skills!N17=TRUE,(Skills!L17/10)*(E2848/1000),Skills!L17/10)+Skills!O17</f>
        <v/>
      </c>
      <c r="G2848">
        <f>Skills!G17*IF(Skills!H17&gt;0,INT(IF(Inputs!$B$38="pvp",MIN(Skills!I17,15),Skills!I17)/Skills!H17+0.000000001),1)</f>
        <v/>
      </c>
      <c r="H2848">
        <f>1-(1-Skills!J17/100)^Skills!K17</f>
        <v/>
      </c>
      <c r="I2848" t="inlineStr">
        <is>
          <t>1</t>
        </is>
      </c>
      <c r="J2848" t="inlineStr"/>
      <c r="K2848" t="inlineStr"/>
      <c r="L2848" t="inlineStr"/>
      <c r="M2848" t="inlineStr"/>
      <c r="N2848" t="inlineStr"/>
      <c r="O2848">
        <f>(1-Summary!$B$11)*T2848+Summary!$B$11*V2848</f>
        <v/>
      </c>
      <c r="P2848">
        <f>IF(B2872=0,0,O2848/B2872)</f>
        <v/>
      </c>
      <c r="Q2848" t="n">
        <v>0</v>
      </c>
      <c r="R2848" t="n">
        <v>0</v>
      </c>
      <c r="S2848">
        <f>IFERROR(O2848/N2848,0)</f>
        <v/>
      </c>
      <c r="T2848" t="n">
        <v>0</v>
      </c>
      <c r="V2848" t="n">
        <v>0</v>
      </c>
    </row>
    <row r="2849">
      <c r="A2849">
        <f>Skills!A18</f>
        <v/>
      </c>
      <c r="B2849">
        <f>Skills!B18</f>
        <v/>
      </c>
      <c r="C2849">
        <f>Inputs!$B$3&gt;=115</f>
        <v/>
      </c>
      <c r="D2849">
        <f>IF(Skills!C18=1,60+Inputs!$B$25+Inputs!$B$29,IF(Skills!C18=2,90+Inputs!$B$26+Inputs!$B$29,IF(Skills!C18=3,120+Inputs!$B$27+Inputs!$B$29,MAX(0,(Inputs!$B$3-100)*3)+Inputs!$B$28+Inputs!$B$29)))</f>
        <v/>
      </c>
      <c r="E2849">
        <f>INDEX(FactorTable!$B$2:$Y$301, MATCH(ROUND(MIN(300,MAX(1,D2849)),0), FactorTable!$A$2:$A$301,0), Skills!M18+1)</f>
        <v/>
      </c>
      <c r="F2849">
        <f>IF(Skills!N18=TRUE,(Skills!L18/10)*(E2849/1000),Skills!L18/10)+Skills!O18</f>
        <v/>
      </c>
      <c r="G2849">
        <f>Skills!G18*IF(Skills!H18&gt;0,INT(IF(Inputs!$B$38="pvp",MIN(Skills!I18,15),Skills!I18)/Skills!H18+0.000000001),1)</f>
        <v/>
      </c>
      <c r="H2849">
        <f>1-(1-Skills!J18/100)^Skills!K18</f>
        <v/>
      </c>
      <c r="I2849" t="inlineStr">
        <is>
          <t>1</t>
        </is>
      </c>
      <c r="J2849" t="inlineStr"/>
      <c r="K2849" t="inlineStr"/>
      <c r="L2849" t="inlineStr"/>
      <c r="M2849" t="inlineStr"/>
      <c r="N2849" t="inlineStr"/>
      <c r="O2849">
        <f>(1-Summary!$B$11)*T2849+Summary!$B$11*V2849</f>
        <v/>
      </c>
      <c r="P2849">
        <f>IF(B2872=0,0,O2849/B2872)</f>
        <v/>
      </c>
      <c r="Q2849">
        <f>IFERROR(1/(IF(Inputs!$B$38="pvp",15,MAX(0.1,Skills!D18-IF(TRUE=TRUE,Inputs!$B$32,0)))*(1-IF(AND(ArtifactsInput!$M$27,Inputs!$B$4="Chapter Hunt"),CHOOSE(ArtifactsInput!$N$27+1,20,24,28,32,36,40),0)/100)),0)</f>
        <v/>
      </c>
      <c r="R2849">
        <f>IF(AND(Inputs!$B$38&lt;&gt;"pvp",Inputs!$B$43&gt;0),IF(Inputs!$B$43&lt;=0,0,(INT(Inputs!$B$43/(IF(Inputs!$B$38="pvp",15,MAX(0.1,Skills!D18-IF(TRUE=TRUE,Inputs!$B$32,0)))*(1-IF(AND(ArtifactsInput!$M$27,Inputs!$B$4="Chapter Hunt"),CHOOSE(ArtifactsInput!$N$27+1,20,24,28,32,36,40),0)/100)))+1)),0)</f>
        <v/>
      </c>
      <c r="S2849">
        <f>IFERROR(O2849/N2849,0)</f>
        <v/>
      </c>
      <c r="T2849" t="n">
        <v>0</v>
      </c>
      <c r="V2849" t="n">
        <v>0</v>
      </c>
    </row>
    <row r="2850">
      <c r="A2850">
        <f>Skills!A19</f>
        <v/>
      </c>
      <c r="B2850">
        <f>Skills!B19</f>
        <v/>
      </c>
      <c r="C2850">
        <f>Inputs!$B$3&gt;=10</f>
        <v/>
      </c>
      <c r="D2850">
        <f>IF(Skills!C19=1,60+Inputs!$B$25+Inputs!$B$29,IF(Skills!C19=2,90+Inputs!$B$26+Inputs!$B$29,IF(Skills!C19=3,120+Inputs!$B$27+Inputs!$B$29,MAX(0,(Inputs!$B$3-100)*3)+Inputs!$B$28+Inputs!$B$29)))</f>
        <v/>
      </c>
      <c r="E2850">
        <f>INDEX(FactorTable!$B$2:$Y$301, MATCH(ROUND(MIN(300,MAX(1,D2850)),0), FactorTable!$A$2:$A$301,0), Skills!M19+1)</f>
        <v/>
      </c>
      <c r="F2850">
        <f>IF(Skills!N19=TRUE,(Skills!L19/10)*(E2850/1000),Skills!L19/10)+Skills!O19</f>
        <v/>
      </c>
      <c r="G2850">
        <f>Skills!G19*IF(Skills!H19&gt;0,INT(IF(Inputs!$B$38="pvp",MIN(Skills!I19,15),Skills!I19)/Skills!H19+0.000000001),1)</f>
        <v/>
      </c>
      <c r="H2850">
        <f>1-(1-Skills!J19/100)^Skills!K19</f>
        <v/>
      </c>
      <c r="I2850" t="inlineStr">
        <is>
          <t>1</t>
        </is>
      </c>
      <c r="J2850" t="inlineStr"/>
      <c r="K2850" t="inlineStr"/>
      <c r="L2850" t="inlineStr"/>
      <c r="M2850" t="inlineStr"/>
      <c r="N2850" t="inlineStr"/>
      <c r="O2850">
        <f>(1-Summary!$B$11)*T2850+Summary!$B$11*V2850</f>
        <v/>
      </c>
      <c r="P2850">
        <f>IF(B2872=0,0,O2850/B2872)</f>
        <v/>
      </c>
      <c r="Q2850" t="n">
        <v>0</v>
      </c>
      <c r="R2850" t="n">
        <v>0</v>
      </c>
      <c r="S2850">
        <f>IFERROR(O2850/N2850,0)</f>
        <v/>
      </c>
      <c r="T2850" t="n">
        <v>0</v>
      </c>
      <c r="V2850" t="n">
        <v>0</v>
      </c>
    </row>
    <row r="2851">
      <c r="A2851">
        <f>Skills!A20</f>
        <v/>
      </c>
      <c r="B2851">
        <f>Skills!B20</f>
        <v/>
      </c>
      <c r="C2851">
        <f>Inputs!$B$3&gt;=15</f>
        <v/>
      </c>
      <c r="D2851">
        <f>IF(Skills!C20=1,60+Inputs!$B$25+Inputs!$B$29,IF(Skills!C20=2,90+Inputs!$B$26+Inputs!$B$29,IF(Skills!C20=3,120+Inputs!$B$27+Inputs!$B$29,MAX(0,(Inputs!$B$3-100)*3)+Inputs!$B$28+Inputs!$B$29)))</f>
        <v/>
      </c>
      <c r="E2851">
        <f>INDEX(FactorTable!$B$2:$Y$301, MATCH(ROUND(MIN(300,MAX(1,D2851)),0), FactorTable!$A$2:$A$301,0), Skills!M20+1)</f>
        <v/>
      </c>
      <c r="F2851">
        <f>IF(Skills!N20=TRUE,(Skills!L20/10)*(E2851/1000),Skills!L20/10)+Skills!O20</f>
        <v/>
      </c>
      <c r="G2851">
        <f>Skills!G20*IF(Skills!H20&gt;0,INT(IF(Inputs!$B$38="pvp",MIN(Skills!I20,15),Skills!I20)/Skills!H20+0.000000001),1)</f>
        <v/>
      </c>
      <c r="H2851">
        <f>1-(1-Skills!J20/100)^Skills!K20</f>
        <v/>
      </c>
      <c r="I2851" t="inlineStr">
        <is>
          <t>1</t>
        </is>
      </c>
      <c r="J2851" t="inlineStr"/>
      <c r="K2851" t="inlineStr"/>
      <c r="L2851" t="inlineStr"/>
      <c r="M2851" t="inlineStr"/>
      <c r="N2851" t="inlineStr"/>
      <c r="O2851">
        <f>(1-Summary!$B$11)*T2851+Summary!$B$11*V2851</f>
        <v/>
      </c>
      <c r="P2851">
        <f>IF(B2872=0,0,O2851/B2872)</f>
        <v/>
      </c>
      <c r="Q2851" t="n">
        <v>0</v>
      </c>
      <c r="R2851" t="n">
        <v>0</v>
      </c>
      <c r="S2851">
        <f>IFERROR(O2851/N2851,0)</f>
        <v/>
      </c>
      <c r="T2851" t="n">
        <v>0</v>
      </c>
      <c r="V2851" t="n">
        <v>0</v>
      </c>
    </row>
    <row r="2852">
      <c r="A2852">
        <f>Skills!A21</f>
        <v/>
      </c>
      <c r="B2852">
        <f>Skills!B21</f>
        <v/>
      </c>
      <c r="C2852">
        <f>Inputs!$B$3&gt;=40</f>
        <v/>
      </c>
      <c r="D2852">
        <f>IF(Skills!C21=1,60+Inputs!$B$25+Inputs!$B$29,IF(Skills!C21=2,90+Inputs!$B$26+Inputs!$B$29,IF(Skills!C21=3,120+Inputs!$B$27+Inputs!$B$29,MAX(0,(Inputs!$B$3-100)*3)+Inputs!$B$28+Inputs!$B$29)))</f>
        <v/>
      </c>
      <c r="E2852">
        <f>INDEX(FactorTable!$B$2:$Y$301, MATCH(ROUND(MIN(300,MAX(1,D2852)),0), FactorTable!$A$2:$A$301,0), Skills!M21+1)</f>
        <v/>
      </c>
      <c r="F2852">
        <f>IF(Skills!N21=TRUE,(Skills!L21/10)*(E2852/1000),Skills!L21/10)+Skills!O21</f>
        <v/>
      </c>
      <c r="G2852">
        <f>Skills!G21*IF(Skills!H21&gt;0,INT(IF(Inputs!$B$38="pvp",MIN(Skills!I21,15),Skills!I21)/Skills!H21+0.000000001),1)</f>
        <v/>
      </c>
      <c r="H2852">
        <f>1-(1-Skills!J21/100)^Skills!K21</f>
        <v/>
      </c>
      <c r="I2852" t="inlineStr">
        <is>
          <t>1</t>
        </is>
      </c>
      <c r="J2852" t="inlineStr"/>
      <c r="K2852" t="inlineStr"/>
      <c r="L2852" t="inlineStr"/>
      <c r="M2852" t="inlineStr"/>
      <c r="N2852" t="inlineStr"/>
      <c r="O2852">
        <f>(1-Summary!$B$11)*T2852+Summary!$B$11*V2852</f>
        <v/>
      </c>
      <c r="P2852">
        <f>IF(B2872=0,0,O2852/B2872)</f>
        <v/>
      </c>
      <c r="Q2852" t="n">
        <v>0</v>
      </c>
      <c r="R2852" t="n">
        <v>0</v>
      </c>
      <c r="S2852">
        <f>IFERROR(O2852/N2852,0)</f>
        <v/>
      </c>
      <c r="T2852" t="n">
        <v>0</v>
      </c>
      <c r="V2852" t="n">
        <v>0</v>
      </c>
    </row>
    <row r="2853">
      <c r="A2853">
        <f>Skills!A22</f>
        <v/>
      </c>
      <c r="B2853">
        <f>Skills!B22</f>
        <v/>
      </c>
      <c r="C2853">
        <f>Inputs!$B$3&gt;=43</f>
        <v/>
      </c>
      <c r="D2853">
        <f>IF(Skills!C22=1,60+Inputs!$B$25+Inputs!$B$29,IF(Skills!C22=2,90+Inputs!$B$26+Inputs!$B$29,IF(Skills!C22=3,120+Inputs!$B$27+Inputs!$B$29,MAX(0,(Inputs!$B$3-100)*3)+Inputs!$B$28+Inputs!$B$29)))</f>
        <v/>
      </c>
      <c r="E2853">
        <f>INDEX(FactorTable!$B$2:$Y$301, MATCH(ROUND(MIN(300,MAX(1,D2853)),0), FactorTable!$A$2:$A$301,0), Skills!M22+1)</f>
        <v/>
      </c>
      <c r="F2853">
        <f>IF(Skills!N22=TRUE,(Skills!L22/10)*(E2853/1000),Skills!L22/10)+Skills!O22</f>
        <v/>
      </c>
      <c r="G2853">
        <f>Skills!G22*IF(Skills!H22&gt;0,INT(IF(Inputs!$B$38="pvp",MIN(Skills!I22,15),Skills!I22)/Skills!H22+0.000000001),1)</f>
        <v/>
      </c>
      <c r="H2853">
        <f>1-(1-Skills!J22/100)^Skills!K22</f>
        <v/>
      </c>
      <c r="I2853" t="inlineStr">
        <is>
          <t>1</t>
        </is>
      </c>
      <c r="J2853" t="inlineStr"/>
      <c r="K2853" t="inlineStr"/>
      <c r="L2853" t="inlineStr"/>
      <c r="M2853" t="inlineStr"/>
      <c r="N2853" t="inlineStr"/>
      <c r="O2853">
        <f>(1-Summary!$B$11)*T2853+Summary!$B$11*V2853</f>
        <v/>
      </c>
      <c r="P2853">
        <f>IF(B2872=0,0,O2853/B2872)</f>
        <v/>
      </c>
      <c r="Q2853" t="n">
        <v>0</v>
      </c>
      <c r="R2853" t="n">
        <v>0</v>
      </c>
      <c r="S2853">
        <f>IFERROR(O2853/N2853,0)</f>
        <v/>
      </c>
      <c r="T2853" t="n">
        <v>0</v>
      </c>
      <c r="V2853" t="n">
        <v>0</v>
      </c>
    </row>
    <row r="2854">
      <c r="A2854">
        <f>Skills!A23</f>
        <v/>
      </c>
      <c r="B2854">
        <f>Skills!B23</f>
        <v/>
      </c>
      <c r="C2854">
        <f>Inputs!$B$3&gt;=38</f>
        <v/>
      </c>
      <c r="D2854">
        <f>IF(Skills!C23=1,60+Inputs!$B$25+Inputs!$B$29,IF(Skills!C23=2,90+Inputs!$B$26+Inputs!$B$29,IF(Skills!C23=3,120+Inputs!$B$27+Inputs!$B$29,MAX(0,(Inputs!$B$3-100)*3)+Inputs!$B$28+Inputs!$B$29)))</f>
        <v/>
      </c>
      <c r="E2854">
        <f>INDEX(FactorTable!$B$2:$Y$301, MATCH(ROUND(MIN(300,MAX(1,D2854)),0), FactorTable!$A$2:$A$301,0), Skills!M23+1)</f>
        <v/>
      </c>
      <c r="F2854">
        <f>IF(Skills!N23=TRUE,(Skills!L23/10)*(E2854/1000),Skills!L23/10)+Skills!O23</f>
        <v/>
      </c>
      <c r="G2854">
        <f>Skills!G23*IF(Skills!H23&gt;0,INT(IF(Inputs!$B$38="pvp",MIN(Skills!I23,15),Skills!I23)/Skills!H23+0.000000001),1)</f>
        <v/>
      </c>
      <c r="H2854">
        <f>1-(1-Skills!J23/100)^Skills!K23</f>
        <v/>
      </c>
      <c r="I2854" t="inlineStr">
        <is>
          <t>1</t>
        </is>
      </c>
      <c r="J2854" t="inlineStr"/>
      <c r="K2854" t="inlineStr"/>
      <c r="L2854" t="inlineStr"/>
      <c r="M2854" t="inlineStr"/>
      <c r="N2854" t="inlineStr"/>
      <c r="O2854">
        <f>(1-Summary!$B$11)*T2854+Summary!$B$11*V2854</f>
        <v/>
      </c>
      <c r="P2854">
        <f>IF(B2872=0,0,O2854/B2872)</f>
        <v/>
      </c>
      <c r="Q2854" t="n">
        <v>0</v>
      </c>
      <c r="R2854" t="n">
        <v>0</v>
      </c>
      <c r="S2854">
        <f>IFERROR(O2854/N2854,0)</f>
        <v/>
      </c>
      <c r="T2854" t="n">
        <v>0</v>
      </c>
      <c r="V2854" t="n">
        <v>0</v>
      </c>
    </row>
    <row r="2855">
      <c r="A2855">
        <f>Skills!A24</f>
        <v/>
      </c>
      <c r="B2855">
        <f>Skills!B24</f>
        <v/>
      </c>
      <c r="C2855">
        <f>Inputs!$B$3&gt;=45</f>
        <v/>
      </c>
      <c r="D2855">
        <f>IF(Skills!C24=1,60+Inputs!$B$25+Inputs!$B$29,IF(Skills!C24=2,90+Inputs!$B$26+Inputs!$B$29,IF(Skills!C24=3,120+Inputs!$B$27+Inputs!$B$29,MAX(0,(Inputs!$B$3-100)*3)+Inputs!$B$28+Inputs!$B$29)))</f>
        <v/>
      </c>
      <c r="E2855">
        <f>INDEX(FactorTable!$B$2:$Y$301, MATCH(ROUND(MIN(300,MAX(1,D2855)),0), FactorTable!$A$2:$A$301,0), Skills!M24+1)</f>
        <v/>
      </c>
      <c r="F2855">
        <f>IF(Skills!N24=TRUE,(Skills!L24/10)*(E2855/1000),Skills!L24/10)+Skills!O24</f>
        <v/>
      </c>
      <c r="G2855">
        <f>Skills!G24*IF(Skills!H24&gt;0,INT(IF(Inputs!$B$38="pvp",MIN(Skills!I24,15),Skills!I24)/Skills!H24+0.000000001),1)</f>
        <v/>
      </c>
      <c r="H2855">
        <f>1-(1-Skills!J24/100)^Skills!K24</f>
        <v/>
      </c>
      <c r="I2855" t="inlineStr">
        <is>
          <t>1</t>
        </is>
      </c>
      <c r="J2855" t="inlineStr"/>
      <c r="K2855" t="inlineStr"/>
      <c r="L2855" t="inlineStr"/>
      <c r="M2855" t="inlineStr"/>
      <c r="N2855" t="inlineStr"/>
      <c r="O2855">
        <f>(1-Summary!$B$11)*T2855+Summary!$B$11*V2855</f>
        <v/>
      </c>
      <c r="P2855">
        <f>IF(B2872=0,0,O2855/B2872)</f>
        <v/>
      </c>
      <c r="Q2855" t="n">
        <v>0</v>
      </c>
      <c r="R2855" t="n">
        <v>0</v>
      </c>
      <c r="S2855">
        <f>IFERROR(O2855/N2855,0)</f>
        <v/>
      </c>
      <c r="T2855" t="n">
        <v>0</v>
      </c>
      <c r="V2855" t="n">
        <v>0</v>
      </c>
    </row>
    <row r="2856">
      <c r="A2856">
        <f>Skills!A25</f>
        <v/>
      </c>
      <c r="B2856">
        <f>Skills!B25</f>
        <v/>
      </c>
      <c r="C2856">
        <f>Inputs!$B$3&gt;=72</f>
        <v/>
      </c>
      <c r="D2856">
        <f>IF(Skills!C25=1,60+Inputs!$B$25+Inputs!$B$29,IF(Skills!C25=2,90+Inputs!$B$26+Inputs!$B$29,IF(Skills!C25=3,120+Inputs!$B$27+Inputs!$B$29,MAX(0,(Inputs!$B$3-100)*3)+Inputs!$B$28+Inputs!$B$29)))</f>
        <v/>
      </c>
      <c r="E2856">
        <f>INDEX(FactorTable!$B$2:$Y$301, MATCH(ROUND(MIN(300,MAX(1,D2856)),0), FactorTable!$A$2:$A$301,0), Skills!M25+1)</f>
        <v/>
      </c>
      <c r="F2856">
        <f>IF(Skills!N25=TRUE,(Skills!L25/10)*(E2856/1000),Skills!L25/10)+Skills!O25</f>
        <v/>
      </c>
      <c r="G2856">
        <f>Skills!G25*IF(Skills!H25&gt;0,INT(IF(Inputs!$B$38="pvp",MIN(Skills!I25,15),Skills!I25)/Skills!H25+0.000000001),1)</f>
        <v/>
      </c>
      <c r="H2856">
        <f>1-(1-Skills!J25/100)^Skills!K25</f>
        <v/>
      </c>
      <c r="I2856" t="inlineStr">
        <is>
          <t>1</t>
        </is>
      </c>
      <c r="J2856" t="inlineStr"/>
      <c r="K2856" t="inlineStr"/>
      <c r="L2856" t="inlineStr"/>
      <c r="M2856" t="inlineStr"/>
      <c r="N2856" t="inlineStr"/>
      <c r="O2856">
        <f>(1-Summary!$B$11)*T2856+Summary!$B$11*V2856</f>
        <v/>
      </c>
      <c r="P2856">
        <f>IF(B2872=0,0,O2856/B2872)</f>
        <v/>
      </c>
      <c r="Q2856" t="n">
        <v>0</v>
      </c>
      <c r="R2856" t="n">
        <v>0</v>
      </c>
      <c r="S2856">
        <f>IFERROR(O2856/N2856,0)</f>
        <v/>
      </c>
      <c r="T2856" t="n">
        <v>0</v>
      </c>
      <c r="V2856" t="n">
        <v>0</v>
      </c>
    </row>
    <row r="2857">
      <c r="A2857">
        <f>Skills!A26</f>
        <v/>
      </c>
      <c r="B2857">
        <f>Skills!B26</f>
        <v/>
      </c>
      <c r="C2857">
        <f>Inputs!$B$3&gt;=75</f>
        <v/>
      </c>
      <c r="D2857">
        <f>IF(Skills!C26=1,60+Inputs!$B$25+Inputs!$B$29,IF(Skills!C26=2,90+Inputs!$B$26+Inputs!$B$29,IF(Skills!C26=3,120+Inputs!$B$27+Inputs!$B$29,MAX(0,(Inputs!$B$3-100)*3)+Inputs!$B$28+Inputs!$B$29)))</f>
        <v/>
      </c>
      <c r="E2857">
        <f>INDEX(FactorTable!$B$2:$Y$301, MATCH(ROUND(MIN(300,MAX(1,D2857)),0), FactorTable!$A$2:$A$301,0), Skills!M26+1)</f>
        <v/>
      </c>
      <c r="F2857">
        <f>IF(Skills!N26=TRUE,(Skills!L26/10)*(E2857/1000),Skills!L26/10)+Skills!O26</f>
        <v/>
      </c>
      <c r="G2857">
        <f>Skills!G26*IF(Skills!H26&gt;0,INT(IF(Inputs!$B$38="pvp",MIN(Skills!I26,15),Skills!I26)/Skills!H26+0.000000001),1)</f>
        <v/>
      </c>
      <c r="H2857">
        <f>1-(1-Skills!J26/100)^Skills!K26</f>
        <v/>
      </c>
      <c r="I2857" t="inlineStr">
        <is>
          <t>1</t>
        </is>
      </c>
      <c r="J2857" t="inlineStr"/>
      <c r="K2857" t="inlineStr"/>
      <c r="L2857" t="inlineStr"/>
      <c r="M2857" t="inlineStr"/>
      <c r="N2857" t="inlineStr"/>
      <c r="O2857">
        <f>(1-Summary!$B$11)*T2857+Summary!$B$11*V2857</f>
        <v/>
      </c>
      <c r="P2857">
        <f>IF(B2872=0,0,O2857/B2872)</f>
        <v/>
      </c>
      <c r="Q2857" t="n">
        <v>0</v>
      </c>
      <c r="R2857" t="n">
        <v>0</v>
      </c>
      <c r="S2857">
        <f>IFERROR(O2857/N2857,0)</f>
        <v/>
      </c>
      <c r="T2857" t="n">
        <v>0</v>
      </c>
      <c r="V2857" t="n">
        <v>0</v>
      </c>
    </row>
    <row r="2858">
      <c r="A2858">
        <f>Skills!A27</f>
        <v/>
      </c>
      <c r="B2858">
        <f>Skills!B27</f>
        <v/>
      </c>
      <c r="C2858">
        <f>Inputs!$B$3&gt;=125</f>
        <v/>
      </c>
      <c r="D2858">
        <f>IF(Skills!C27=1,60+Inputs!$B$25+Inputs!$B$29,IF(Skills!C27=2,90+Inputs!$B$26+Inputs!$B$29,IF(Skills!C27=3,120+Inputs!$B$27+Inputs!$B$29,MAX(0,(Inputs!$B$3-100)*3)+Inputs!$B$28+Inputs!$B$29)))</f>
        <v/>
      </c>
      <c r="E2858">
        <f>INDEX(FactorTable!$B$2:$Y$301, MATCH(ROUND(MIN(300,MAX(1,D2858)),0), FactorTable!$A$2:$A$301,0), Skills!M27+1)</f>
        <v/>
      </c>
      <c r="F2858">
        <f>IF(Skills!N27=TRUE,(Skills!L27/10)*(E2858/1000),Skills!L27/10)+Skills!O27</f>
        <v/>
      </c>
      <c r="G2858">
        <f>Skills!G27*IF(Skills!H27&gt;0,INT(IF(Inputs!$B$38="pvp",MIN(Skills!I27,15),Skills!I27)/Skills!H27+0.000000001),1)</f>
        <v/>
      </c>
      <c r="H2858">
        <f>1-(1-Skills!J27/100)^Skills!K27</f>
        <v/>
      </c>
      <c r="I2858" t="inlineStr">
        <is>
          <t>1</t>
        </is>
      </c>
      <c r="J2858" t="inlineStr"/>
      <c r="K2858" t="inlineStr"/>
      <c r="L2858" t="inlineStr"/>
      <c r="M2858" t="inlineStr"/>
      <c r="N2858" t="inlineStr"/>
      <c r="O2858">
        <f>(1-Summary!$B$11)*T2858+Summary!$B$11*V2858</f>
        <v/>
      </c>
      <c r="P2858">
        <f>IF(B2872=0,0,O2858/B2872)</f>
        <v/>
      </c>
      <c r="Q2858" t="n">
        <v>0</v>
      </c>
      <c r="R2858" t="n">
        <v>0</v>
      </c>
      <c r="S2858">
        <f>IFERROR(O2858/N2858,0)</f>
        <v/>
      </c>
      <c r="T2858" t="n">
        <v>0</v>
      </c>
      <c r="V2858" t="n">
        <v>0</v>
      </c>
    </row>
    <row r="2859">
      <c r="A2859">
        <f>Skills!A28</f>
        <v/>
      </c>
      <c r="B2859">
        <f>Skills!B28</f>
        <v/>
      </c>
      <c r="C2859">
        <f>TRUE</f>
        <v/>
      </c>
      <c r="D2859">
        <f>IF(Skills!C28=1,60+Inputs!$B$25+Inputs!$B$29,IF(Skills!C28=2,90+Inputs!$B$26+Inputs!$B$29,IF(Skills!C28=3,120+Inputs!$B$27+Inputs!$B$29,MAX(0,(Inputs!$B$3-100)*3)+Inputs!$B$28+Inputs!$B$29)))</f>
        <v/>
      </c>
      <c r="E2859">
        <f>INDEX(FactorTable!$B$2:$Y$301, MATCH(ROUND(MIN(300,MAX(1,D2859)),0), FactorTable!$A$2:$A$301,0), Skills!M28+1)</f>
        <v/>
      </c>
      <c r="F2859">
        <f>IF(Skills!N28=TRUE,(Skills!L28/10)*(E2859/1000),Skills!L28/10)+Skills!O28</f>
        <v/>
      </c>
      <c r="G2859">
        <f>Skills!G28*IF(Skills!H28&gt;0,INT(IF(Inputs!$B$38="pvp",MIN(Skills!I28,15),Skills!I28)/Skills!H28+0.000000001),1)</f>
        <v/>
      </c>
      <c r="H2859">
        <f>1-(1-Skills!J28/100)^Skills!K28</f>
        <v/>
      </c>
      <c r="I2859" t="inlineStr">
        <is>
          <t>1</t>
        </is>
      </c>
      <c r="J2859" t="inlineStr"/>
      <c r="K2859" t="inlineStr"/>
      <c r="L2859" t="inlineStr"/>
      <c r="M2859" t="inlineStr"/>
      <c r="N2859" t="inlineStr"/>
      <c r="O2859">
        <f>(1-Summary!$B$11)*T2859+Summary!$B$11*V2859</f>
        <v/>
      </c>
      <c r="P2859">
        <f>IF(B2872=0,0,O2859/B2872)</f>
        <v/>
      </c>
      <c r="Q2859">
        <f>IFERROR(1/(IF(Inputs!$B$38="pvp",15,MAX(0.1,Skills!D28-IF(TRUE=TRUE,Inputs!$B$32,0)))*(1-IF(AND(ArtifactsInput!$M$27,Inputs!$B$4="Chapter Hunt"),CHOOSE(ArtifactsInput!$N$27+1,20,24,28,32,36,40),0)/100)),0)</f>
        <v/>
      </c>
      <c r="R2859">
        <f>IF(AND(Inputs!$B$38&lt;&gt;"pvp",Inputs!$B$43&gt;0),IF(Inputs!$B$43&lt;=0,0,(INT(Inputs!$B$43/(IF(Inputs!$B$38="pvp",15,MAX(0.1,Skills!D28-IF(TRUE=TRUE,Inputs!$B$32,0)))*(1-IF(AND(ArtifactsInput!$M$27,Inputs!$B$4="Chapter Hunt"),CHOOSE(ArtifactsInput!$N$27+1,20,24,28,32,36,40),0)/100)))+1)),0)</f>
        <v/>
      </c>
      <c r="S2859">
        <f>IFERROR(O2859/N2859,0)</f>
        <v/>
      </c>
      <c r="T2859" t="n">
        <v>0</v>
      </c>
      <c r="V2859" t="n">
        <v>0</v>
      </c>
    </row>
    <row r="2861">
      <c r="A2861" t="inlineStr">
        <is>
          <t>Attack% Bucket Multiplier</t>
        </is>
      </c>
      <c r="B2861">
        <f>(1+(((C2848=TRUE)*F2848*5/7)+((C2855=TRUE)*(F2855-Calc!F24))+(IF(ArtifactsInput!$M$21,CHOOSE(ArtifactsInput!$N$21+1,25,30,35,40,45,50)*(IF(OR(Inputs!$B$4="Chapter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IF(ArtifactsInput!$M$41,FALSE,TRUE),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862">
      <c r="A2862" t="inlineStr">
        <is>
          <t>Global Crit Rate Bonus %</t>
        </is>
      </c>
      <c r="B2862" t="n">
        <v>0</v>
      </c>
    </row>
    <row r="2863">
      <c r="A2863" t="inlineStr">
        <is>
          <t>Attack Speed Buff Bonus % (Nimble Feet, duty-cycle averaged)</t>
        </is>
      </c>
      <c r="B2863">
        <f>((C2859=TRUE)*F2859*IF(AND(Inputs!$B$38&lt;&gt;"pvp",Inputs!$B$43&gt;0),(((R2859-1)*MIN((Skills!T28*(1+Inputs!$B$34/100)),(1/Q2859))+MIN((Skills!T28*(1+Inputs!$B$34/100)),MAX(0,Inputs!$B$43-((R2859-1)*(1/Q2859)))))/Inputs!$B$43),IF(Inputs!$B$38="pvp",MIN((Skills!T28*(1+Inputs!$B$34/100)),15)/15,MIN(1,(Skills!T28*(1+Inputs!$B$34/100))/(1/Q2859)))))</f>
        <v/>
      </c>
    </row>
    <row r="2864">
      <c r="A2864" t="inlineStr">
        <is>
          <t>Actions Per Second</t>
        </is>
      </c>
      <c r="B2864">
        <f>1+MIN(150,150*(1-(1-(Inputs!$B$11+((C2851=TRUE)*(F2851-Calc!F20))+((C2852=TRUE)*(F2852-Calc!F21)))/150)*(1-B2863/150)))/100</f>
        <v/>
      </c>
    </row>
    <row r="2865">
      <c r="A2865" t="inlineStr">
        <is>
          <t>Skill + Buff Cast Rate</t>
        </is>
      </c>
      <c r="B2865">
        <f>IF(AND(Inputs!$B$38&lt;&gt;"pvp",Inputs!$B$43&gt;0),SUMPRODUCT((Skills!E2:E28=TRUE)*(C2833:C2859=TRUE)*R2833:R2859*Skills!F2:F28)/Inputs!$B$43,SUMPRODUCT((Skills!E2:E28=TRUE)*(C2833:C2859=TRUE)*Q2833:Q2859*Skills!F2:F28))</f>
        <v/>
      </c>
    </row>
    <row r="2866">
      <c r="A2866" t="inlineStr">
        <is>
          <t>Eight-Legs Easton Casts Per Second</t>
        </is>
      </c>
      <c r="B2866">
        <f>MAX(0,B2864-B2865)</f>
        <v/>
      </c>
    </row>
    <row r="2867">
      <c r="A2867" t="inlineStr">
        <is>
          <t>Global Critical Damage Bonus % (unused)</t>
        </is>
      </c>
      <c r="B2867" t="n">
        <v>0</v>
      </c>
    </row>
    <row r="2868">
      <c r="A2868" t="inlineStr">
        <is>
          <t>Global Final Damage Bonus % (Jolly Roger + Ahoy Mateys - Final Damage proc)</t>
        </is>
      </c>
      <c r="B2868">
        <f>((C2849=TRUE)*F2849*IF(AND(Inputs!$B$38&lt;&gt;"pvp",Inputs!$B$43&gt;0),(((R2849-1)*MIN((Skills!T18*(1+Inputs!$B$34/100)),(1/Q2849))+MIN((Skills!T18*(1+Inputs!$B$34/100)),MAX(0,Inputs!$B$43-((R2849-1)*(1/Q2849)))))/Inputs!$B$43),IF(Inputs!$B$38="pvp",MIN((Skills!T18*(1+Inputs!$B$34/100)),15)/15,MIN(1,(Skills!T18*(1+Inputs!$B$34/100))/(1/Q2849)))))+IF(Inputs!$B$3&gt;=122,20*IF(Inputs!$B$38="pvp",MIN((20*(1+Inputs!$B$34/100)),15)/15,MIN(1,(20*(1+Inputs!$B$34/100))/(1/Q2835))),0)</f>
        <v/>
      </c>
    </row>
    <row r="2869">
      <c r="A2869" t="inlineStr">
        <is>
          <t>Buff-Casting Startup Delay (s, fixed-duration only)</t>
        </is>
      </c>
      <c r="B2869">
        <f>IF(AND(Inputs!$B$38&lt;&gt;"pvp",Inputs!$B$43&gt;0),SUMPRODUCT((Skills!T2:T28&gt;0)*(Skills!E2:E28=TRUE)*(C2833:C2859=TRUE))/B2864,0)</f>
        <v/>
      </c>
    </row>
    <row r="2870">
      <c r="A2870" t="inlineStr">
        <is>
          <t>Boss-Only Total DPS (this block's swept value)</t>
        </is>
      </c>
      <c r="B2870">
        <f>SUM(T2833:T2859)</f>
        <v/>
      </c>
    </row>
    <row r="2871">
      <c r="A2871" t="inlineStr">
        <is>
          <t>Normal-Only Total DPS (this block's swept value)</t>
        </is>
      </c>
      <c r="B2871">
        <f>SUM(V2833:V2859)</f>
        <v/>
      </c>
    </row>
    <row r="2872">
      <c r="A2872" s="6" t="inlineStr">
        <is>
          <t>TOTAL DPS</t>
        </is>
      </c>
      <c r="B2872" s="6">
        <f>SUM(O2833:O2859)</f>
        <v/>
      </c>
    </row>
    <row r="2873">
      <c r="A2873" t="inlineStr">
        <is>
          <t>Quickdraw cooldown divisor (this block's own APS / Q)</t>
        </is>
      </c>
      <c r="B2873">
        <f>IF(AND(C2858=TRUE,Inputs!$B$38&lt;&gt;"pvp"),1+0.25*MAX(0,(B2864-(((C2834=TRUE)*Q2834*1)+((C2835=TRUE)*Q2835*1)+((C2837=TRUE)*Q2837*1)+((C2838=TRUE)*Q2838*1)+((C2840=TRUE)*Q2840*1)+((C2843=TRUE)*Q2843*1)+((C2849=TRUE)*Q2849*1)+((C2859=TRUE)*Q2859*1))-((C2839=TRUE)/(IF(Inputs!$B$38="pvp",15,MAX(0.1,Skills!D8-IF(TRUE=TRUE,Inputs!$B$32,0)))*(1-IF(AND(ArtifactsInput!$M$27,Inputs!$B$4="Chapter Hunt"),CHOOSE(ArtifactsInput!$N$27+1,20,24,28,32,36,40),0)/100))+(C2842=TRUE)/(IF(Inputs!$B$38="pvp",15,MAX(0.1,Skills!D11-IF(TRUE=TRUE,Inputs!$B$32,0)))*(1-IF(AND(ArtifactsInput!$M$27,Inputs!$B$4="Chapter Hunt"),CHOOSE(ArtifactsInput!$N$27+1,20,24,28,32,36,40),0)/100))))/(1+0.25*((C2839=TRUE)/(IF(Inputs!$B$38="pvp",15,MAX(0.1,Skills!D8-IF(TRUE=TRUE,Inputs!$B$32,0)))*(1-IF(AND(ArtifactsInput!$M$27,Inputs!$B$4="Chapter Hunt"),CHOOSE(ArtifactsInput!$N$27+1,20,24,28,32,36,40),0)/100))+(C2842=TRUE)/(IF(Inputs!$B$38="pvp",15,MAX(0.1,Skills!D11-IF(TRUE=TRUE,Inputs!$B$32,0)))*(1-IF(AND(ArtifactsInput!$M$27,Inputs!$B$4="Chapter Hunt"),CHOOSE(ArtifactsInput!$N$27+1,20,24,28,32,36,40),0)/100))))),1)</f>
        <v/>
      </c>
    </row>
    <row r="2874">
      <c r="A2874" t="inlineStr">
        <is>
          <t>Nautilus Strike - Final Attack trigger rate (this block's own Q/R)</t>
        </is>
      </c>
      <c r="B2874">
        <f>IF(AND(Inputs!$B$38&lt;&gt;"pvp",Inputs!$B$43&gt;0),(((C2834=TRUE)*R2834)+((C2837=TRUE)*R2837)+((C2839=TRUE)*R2839)+((C2840=TRUE)*R2840)+((C2842=TRUE)*R2842))/Inputs!$B$43,((C2834=TRUE)*Q2834)+((C2837=TRUE)*Q2837)+((C2839=TRUE)*Q2839)+((C2840=TRUE)*Q2840)+((C2842=TRUE)*Q2842))+B2866</f>
        <v/>
      </c>
    </row>
    <row r="2877">
      <c r="A2877" s="6" t="inlineStr">
        <is>
          <t>Stat: Ring of Cycles (Equip)</t>
        </is>
      </c>
    </row>
    <row r="2878">
      <c r="A2878" s="5" t="inlineStr">
        <is>
          <t>Key</t>
        </is>
      </c>
      <c r="B2878" s="5" t="inlineStr">
        <is>
          <t>Name</t>
        </is>
      </c>
      <c r="C2878" s="5" t="inlineStr">
        <is>
          <t>Unlocked</t>
        </is>
      </c>
      <c r="D2878" s="5" t="inlineStr">
        <is>
          <t>InputLevel</t>
        </is>
      </c>
      <c r="E2878" s="5" t="inlineStr">
        <is>
          <t>Factor</t>
        </is>
      </c>
      <c r="F2878" s="5" t="inlineStr">
        <is>
          <t>CoefficientPercent</t>
        </is>
      </c>
      <c r="G2878" s="5" t="inlineStr">
        <is>
          <t>EffectiveHits</t>
        </is>
      </c>
      <c r="H2878" s="5" t="inlineStr">
        <is>
          <t>ProcProbability</t>
        </is>
      </c>
      <c r="I2878" s="5" t="inlineStr">
        <is>
          <t>MapleHeroMultiplier</t>
        </is>
      </c>
      <c r="J2878" s="5" t="inlineStr">
        <is>
          <t>BaseDamage</t>
        </is>
      </c>
      <c r="K2878" s="5" t="inlineStr">
        <is>
          <t>BaseHitDamage</t>
        </is>
      </c>
      <c r="L2878" s="5" t="inlineStr">
        <is>
          <t>NonCritAvg</t>
        </is>
      </c>
      <c r="M2878" s="5" t="inlineStr">
        <is>
          <t>CritAvg</t>
        </is>
      </c>
      <c r="N2878" s="5" t="inlineStr">
        <is>
          <t>ExpectedDamage(perHit)</t>
        </is>
      </c>
      <c r="O2878" s="5" t="inlineStr">
        <is>
          <t>DPS</t>
        </is>
      </c>
      <c r="P2878" s="5" t="inlineStr">
        <is>
          <t>% of Total</t>
        </is>
      </c>
      <c r="Q2878" s="5" t="inlineStr">
        <is>
          <t>InvCooldown</t>
        </is>
      </c>
      <c r="R2878" s="5" t="inlineStr">
        <is>
          <t>CastsInFight</t>
        </is>
      </c>
      <c r="S2878" s="5" t="inlineStr">
        <is>
          <t>HitRate(perSec)</t>
        </is>
      </c>
      <c r="U2878" t="inlineStr">
        <is>
          <t>helpers</t>
        </is>
      </c>
    </row>
    <row r="2879">
      <c r="A2879">
        <f>Skills!A2</f>
        <v/>
      </c>
      <c r="B2879">
        <f>Skills!B2</f>
        <v/>
      </c>
      <c r="C2879">
        <f>Inputs!$B$3&gt;=100</f>
        <v/>
      </c>
      <c r="D2879" t="inlineStr"/>
      <c r="E2879" t="inlineStr"/>
      <c r="F2879">
        <f>U2881+Skills!O2</f>
        <v/>
      </c>
      <c r="G2879">
        <f>Skills!G2*IF(Skills!H2&gt;0,INT(IF(Inputs!$B$38="pvp",MIN(Skills!I2,15),Skills!I2)/Skills!H2+0.000000001),1)</f>
        <v/>
      </c>
      <c r="H2879">
        <f>1-(1-Skills!J2/100)^Skills!K2</f>
        <v/>
      </c>
      <c r="I2879" t="inlineStr">
        <is>
          <t>1</t>
        </is>
      </c>
      <c r="J2879">
        <f>((Inputs!$B$6*(1+Inputs!$B$7/100))+(((Inputs!$B$12*(1+Inputs!$B$13/100))-(Inputs!$B$12*(1+Inputs!$B$13/100)))+0.25*(Inputs!$B$14-Inputs!$B$14))*(1+Inputs!$B$7/100))*(F2879/100)</f>
        <v/>
      </c>
      <c r="K2879">
        <f>J2879*(1+((Inputs!$B$12*(1+Inputs!$B$13/100))*0.01+Inputs!$B$14*0.0025)/100)*(1+Inputs!$B$15/100)*(1+Inputs!$B$16/100)*(5000/(6000+Inputs!$B$42*(1-(100*(1-(1-(Inputs!$B$19+0)/100)*(1-CHOOSE(ArtifactsInput!$N$40+1,5,6,7,8,9,10)/100)^(ArtifactsInput!$M$40-ArtifactsInput!$M$40)))/100)))*(1+(Inputs!$B$24+((C2903=TRUE)*(F2903-Calc!F26))+B2914)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IGHT_LEGS_EASTON",Inputs!$B$17+((C2900=TRUE)*(F2900-Calc!F23))+((C2904=TRUE)*(F2904-Calc!F27))+((IF(AND(Inputs!$B$38&lt;&gt;"pvp",Inputs!$B$43=0),1,IF(IF(Inputs!$B$38="pvp",15,Inputs!$B$43)-(B2915)&lt;=0,1,MAX(0,IF(Inputs!$B$38="pvp",15,Inputs!$B$43)-MAX(5,B2915))/(IF(Inputs!$B$38="pvp",15,Inputs!$B$43)-(B2915))))*(IF(AND(IF(ArtifactsInput!$M$42,FALSE,TRUE),((Inputs!$B$9+((C2896=TRUE)*(F2896-Calc!F19))+B2908+(ArtifactsInput!$M$24-ArtifactsInput!$M$24)*CHOOSE(ArtifactsInput!$N$24+1,10,12,14,16,18,20)+IF(ArtifactsInput!$M$10,CHOOSE(ArtifactsInput!$N$10+1,15,18,21,24,27,30)*(IF(Inputs!$B$38="pvp",MIN(15,15)/15,IF(AND(Inputs!$B$38&lt;&gt;"pvp",Inputs!$B$43&gt;0),MIN(15,Inputs!$B$43)/(Inputs!$B$43),0))),0)))&gt;=100),MIN(100,((Inputs!$B$9+((C2896=TRUE)*(F2896-Calc!F19))+B2908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2915)&lt;=0,1,MAX(0,IF(Inputs!$B$38="pvp",15,Inputs!$B$43)-MAX(5,B2915))/(IF(Inputs!$B$38="pvp",15,Inputs!$B$43)-(B2915))))*IF(AND(IF(ArtifactsInput!$M$42,FALSE,TRUE),((Inputs!$B$9+((C2896=TRUE)*(F2896-Calc!F19))+B2908+(ArtifactsInput!$M$24-ArtifactsInput!$M$24)*CHOOSE(ArtifactsInput!$N$24+1,10,12,14,16,18,20)+IF(ArtifactsInput!$M$10,CHOOSE(ArtifactsInput!$N$10+1,15,18,21,24,27,30)*(IF(Inputs!$B$38="pvp",MIN(15,15)/15,IF(AND(Inputs!$B$38&lt;&gt;"pvp",Inputs!$B$43&gt;0),MIN(15,Inputs!$B$43)/(Inputs!$B$43),0))),0)))&gt;=100),CHOOSE(ArtifactsInput!$N$42+1,40,48,56,64,72,80),0))))/100)*((1+(((C2894=TRUE)*F2894*5/7)+((C2901=TRUE)*(F2901-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2879)</f>
        <v/>
      </c>
      <c r="L2879">
        <f>K2879*(MIN(Inputs!$B$22+((C2899=TRUE)*(F2899-Calc!F22)),(Inputs!$B$23+0+(IF(ArtifactsInput!$M$15,CHOOSE(ArtifactsInput!$N$15+1,25,30,35,40,45,50)/100*(Inputs!$B$11-Inputs!$B$11),0))))/100+(Inputs!$B$23+0+(IF(ArtifactsInput!$M$15,CHOOSE(ArtifactsInput!$N$15+1,25,30,35,40,45,50)/100*(Inputs!$B$11-Inputs!$B$11),0)))/100)/2</f>
        <v/>
      </c>
      <c r="M2879">
        <f>L2879*(1+(Inputs!$B$10+((C2902=TRUE)*(F2902-Calc!F25))+B2913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79">
        <f>L2879*(1-MIN((Inputs!$B$9+((C2896=TRUE)*(F2896-Calc!F19))+B2908+(ArtifactsInput!$M$24-ArtifactsInput!$M$24)*CHOOSE(ArtifactsInput!$N$24+1,10,12,14,16,18,20)+(IF(AND(Inputs!$B$38&lt;&gt;"pvp",Inputs!$B$43=0),1,IF(IF(Inputs!$B$38="pvp",15,Inputs!$B$43)-(B2915)&lt;=0,1,MAX(0,IF(Inputs!$B$38="pvp",15,Inputs!$B$43)-MAX(5,B2915))/(IF(Inputs!$B$38="pvp",15,Inputs!$B$43)-(B2915))))*IF(AND(IF(ArtifactsInput!$M$42,FALSE,TRUE),((Inputs!$B$9+((C2896=TRUE)*(F2896-Calc!F19))+B2908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2879*(MIN((Inputs!$B$9+((C2896=TRUE)*(F2896-Calc!F19))+B2908+(ArtifactsInput!$M$24-ArtifactsInput!$M$24)*CHOOSE(ArtifactsInput!$N$24+1,10,12,14,16,18,20)+(IF(AND(Inputs!$B$38&lt;&gt;"pvp",Inputs!$B$43=0),1,IF(IF(Inputs!$B$38="pvp",15,Inputs!$B$43)-(B2915)&lt;=0,1,MAX(0,IF(Inputs!$B$38="pvp",15,Inputs!$B$43)-MAX(5,B2915))/(IF(Inputs!$B$38="pvp",15,Inputs!$B$43)-(B2915))))*IF(AND(IF(ArtifactsInput!$M$42,FALSE,TRUE),((Inputs!$B$9+((C2896=TRUE)*(F2896-Calc!F19))+B2908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79">
        <f>(1-Summary!$B$11)*T2879+Summary!$B$11*V2879</f>
        <v/>
      </c>
      <c r="P2879">
        <f>IF(B2918=0,0,O2879/B2918)</f>
        <v/>
      </c>
      <c r="Q2879" t="n">
        <v>0</v>
      </c>
      <c r="R2879" t="n">
        <v>0</v>
      </c>
      <c r="S2879">
        <f>IFERROR(O2879/N2879,0)</f>
        <v/>
      </c>
      <c r="T2879">
        <f>IF(C2879,(Skills!G2*N2879*B2912*(1+IF(C2904=TRUE,1/3,0)))*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Hunt"),CHOOSE(ArtifactsInput!$N$35+1,15,18,21,24,27,30)*(1-EXP(-(0.2*B2910)*5)),0)+IF(AND(ArtifactsInput!$M$22,Inputs!$B$4&lt;&gt;"Chapter Hunt"),CHOOSE(ArtifactsInput!$N$22+1,10,12,14,16,18,20)*((0*(((0.15*B2910*5))^0/1)+1*(((0.15*B2910*5))^1/1)+2*(((0.15*B2910*5))^2/2)+3*(((0.15*B2910*5))^3/6)+4*(((0.15*B2910*5))^4/24)+5*(((0.15*B2910*5))^5/120))/((((0.15*B2910*5))^0/1)+(((0.15*B2910*5))^1/1)+(((0.15*B2910*5))^2/2)+(((0.15*B2910*5))^3/6)+(((0.15*B2910*5))^4/24)+(((0.15*B2910*5))^5/120))),0))+IF(Inputs!$B$3&gt;=54,9*(C2880=TRUE)*MIN(1,8*(1+Inputs!$B$34/100)*Q2880)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2879*(1-MIN(100,(Inputs!$B$9+((C2896=TRUE)*(F2896-Calc!F19))+B2908+(ArtifactsInput!$M$24-ArtifactsInput!$M$24)*CHOOSE(ArtifactsInput!$N$24+1,10,12,14,16,18,20)+(IF(AND(Inputs!$B$38&lt;&gt;"pvp",Inputs!$B$43=0),1,IF(IF(Inputs!$B$38="pvp",15,Inputs!$B$43)-(B2915)&lt;=0,1,MAX(0,IF(Inputs!$B$38="pvp",15,Inputs!$B$43)-MAX(5,B2915))/(IF(Inputs!$B$38="pvp",15,Inputs!$B$43)-(B2915))))*IF(AND(IF(ArtifactsInput!$M$42,FALSE,TRUE),((Inputs!$B$9+((C2896=TRUE)*(F2896-Calc!F19))+B2908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2879*(MIN(100,(Inputs!$B$9+((C2896=TRUE)*(F2896-Calc!F19))+B2908+(ArtifactsInput!$M$24-ArtifactsInput!$M$24)*CHOOSE(ArtifactsInput!$N$24+1,10,12,14,16,18,20)+(IF(AND(Inputs!$B$38&lt;&gt;"pvp",Inputs!$B$43=0),1,IF(IF(Inputs!$B$38="pvp",15,Inputs!$B$43)-(B2915)&lt;=0,1,MAX(0,IF(Inputs!$B$38="pvp",15,Inputs!$B$43)-MAX(5,B2915))/(IF(Inputs!$B$38="pvp",15,Inputs!$B$43)-(B2915))))*IF(AND(IF(ArtifactsInput!$M$42,FALSE,TRUE),((Inputs!$B$9+((C2896=TRUE)*(F2896-Calc!F19))+B2908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2879*(1-MIN(100,(Inputs!$B$9+((C2896=TRUE)*(F2896-Calc!F19))+B2908+(ArtifactsInput!$M$24-ArtifactsInput!$M$24)*CHOOSE(ArtifactsInput!$N$24+1,10,12,14,16,18,20)+(IF(AND(Inputs!$B$38&lt;&gt;"pvp",Inputs!$B$43=0),1,IF(IF(Inputs!$B$38="pvp",15,Inputs!$B$43)-(B2915)&lt;=0,1,MAX(0,IF(Inputs!$B$38="pvp",15,Inputs!$B$43)-MAX(5,B2915))/(IF(Inputs!$B$38="pvp",15,Inputs!$B$43)-(B2915))))*IF(AND(IF(ArtifactsInput!$M$42,FALSE,TRUE),((Inputs!$B$9+((C2896=TRUE)*(F2896-Calc!F19))+B2908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2879*(MIN(100,(Inputs!$B$9+((C2896=TRUE)*(F2896-Calc!F19))+B2908+(ArtifactsInput!$M$24-ArtifactsInput!$M$24)*CHOOSE(ArtifactsInput!$N$24+1,10,12,14,16,18,20)+(IF(AND(Inputs!$B$38&lt;&gt;"pvp",Inputs!$B$43=0),1,IF(IF(Inputs!$B$38="pvp",15,Inputs!$B$43)-(B2915)&lt;=0,1,MAX(0,IF(Inputs!$B$38="pvp",15,Inputs!$B$43)-MAX(5,B2915))/(IF(Inputs!$B$38="pvp",15,Inputs!$B$43)-(B2915))))*IF(AND(IF(ArtifactsInput!$M$42,FALSE,TRUE),((Inputs!$B$9+((C2896=TRUE)*(F2896-Calc!F19))+B2908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879">
        <f>MAX(0,(Inputs!$B$3-100)*3)+Inputs!$B$28+Inputs!$B$29</f>
        <v/>
      </c>
      <c r="V2879">
        <f>IF(C2879,(Skills!G2*N2879*B2912*(1+IF(C2904=TRUE,1/3,0)))*IF(Inputs!$B$38="pvp",1,(1+(Inputs!$B$21+Skills!Q2+(IF(ArtifactsInput!$M$33,CHOOSE(ArtifactsInput!$N$33+1,30,36,42,48,54,60),0))+(IF(AND(ArtifactsInput!$M$35,Inputs!$B$4&lt;&gt;"Chapter Hunt"),CHOOSE(ArtifactsInput!$N$35+1,15,18,21,24,27,30)*(1-EXP(-(0.2*B2910)*5)),0)+IF(AND(ArtifactsInput!$M$22,Inputs!$B$4&lt;&gt;"Chapter Hunt"),CHOOSE(ArtifactsInput!$N$22+1,10,12,14,16,18,20)*((0*(((0.15*B2910*5))^0/1)+1*(((0.15*B2910*5))^1/1)+2*(((0.15*B2910*5))^2/2)+3*(((0.15*B2910*5))^3/6)+4*(((0.15*B2910*5))^4/24)+5*(((0.15*B2910*5))^5/120))/((((0.15*B2910*5))^0/1)+(((0.15*B2910*5))^1/1)+(((0.15*B2910*5))^2/2)+(((0.15*B2910*5))^3/6)+(((0.15*B2910*5))^4/24)+(((0.15*B2910*5))^5/120))),0))+IF(Inputs!$B$3&gt;=54,9*(C2880=TRUE)*MIN(1,8*(1+Inputs!$B$34/100)*Q2880)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80">
      <c r="A2880">
        <f>Skills!A3</f>
        <v/>
      </c>
      <c r="B2880">
        <f>Skills!B3</f>
        <v/>
      </c>
      <c r="C2880">
        <f>Inputs!$B$3&gt;=33</f>
        <v/>
      </c>
      <c r="D2880">
        <f>IF(Skills!C3=1,60+Inputs!$B$25+Inputs!$B$29,IF(Skills!C3=2,90+Inputs!$B$26+Inputs!$B$29,IF(Skills!C3=3,120+Inputs!$B$27+Inputs!$B$29,MAX(0,(Inputs!$B$3-100)*3)+Inputs!$B$28+Inputs!$B$29)))</f>
        <v/>
      </c>
      <c r="E2880">
        <f>INDEX(FactorTable!$B$2:$Y$301, MATCH(ROUND(MIN(300,MAX(1,D2880)),0), FactorTable!$A$2:$A$301,0), Skills!M3+1)</f>
        <v/>
      </c>
      <c r="F2880">
        <f>IF(Skills!N3=TRUE,(Skills!L3/10)*(E2880/1000),Skills!L3/10)+Skills!O3</f>
        <v/>
      </c>
      <c r="G2880">
        <f>Skills!G3*IF(Skills!H3&gt;0,INT(IF(Inputs!$B$38="pvp",MIN(Skills!I3,15),Skills!I3)/Skills!H3+0.000000001),1)</f>
        <v/>
      </c>
      <c r="H2880">
        <f>1-(1-Skills!J3/100)^Skills!K3</f>
        <v/>
      </c>
      <c r="I2880" t="inlineStr">
        <is>
          <t>1</t>
        </is>
      </c>
      <c r="J2880">
        <f>((Inputs!$B$6*(1+Inputs!$B$7/100))+(((Inputs!$B$12*(1+Inputs!$B$13/100))-(Inputs!$B$12*(1+Inputs!$B$13/100)))+0.25*(Inputs!$B$14-Inputs!$B$14))*(1+Inputs!$B$7/100))*(F2880/100)</f>
        <v/>
      </c>
      <c r="K2880">
        <f>J2880*(1+((Inputs!$B$12*(1+Inputs!$B$13/100))*0.01+Inputs!$B$14*0.0025)/100)*(1+Inputs!$B$15/100)*(1+Inputs!$B$16/100)*(5000/(6000+Inputs!$B$42*(1-(100*(1-(1-(Inputs!$B$19+0)/100)*(1-CHOOSE(ArtifactsInput!$N$40+1,5,6,7,8,9,10)/100)^(ArtifactsInput!$M$40-ArtifactsInput!$M$40)))/100)))*(1+(Inputs!$B$24+((C2903=TRUE)*(F2903-Calc!F26))+B2914)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2892=TRUE,F2892,0)/100)*(1+(IF(Skills!A3="EIGHT_LEGS_EASTON",Inputs!$B$17+((C2900=TRUE)*(F2900-Calc!F23))+((C2904=TRUE)*(F2904-Calc!F27))+((IF(AND(Inputs!$B$38&lt;&gt;"pvp",Inputs!$B$43=0),1,IF(IF(Inputs!$B$38="pvp",15,Inputs!$B$43)-(B2915)&lt;=0,1,MAX(0,IF(Inputs!$B$38="pvp",15,Inputs!$B$43)-MAX(5,B2915))/(IF(Inputs!$B$38="pvp",15,Inputs!$B$43)-(B2915))))*(IF(AND(IF(ArtifactsInput!$M$42,FALSE,TRUE),((Inputs!$B$9+((C2896=TRUE)*(F2896-Calc!F19))+B2908+(ArtifactsInput!$M$24-ArtifactsInput!$M$24)*CHOOSE(ArtifactsInput!$N$24+1,10,12,14,16,18,20)+IF(ArtifactsInput!$M$10,CHOOSE(ArtifactsInput!$N$10+1,15,18,21,24,27,30)*(IF(Inputs!$B$38="pvp",MIN(15,15)/15,IF(AND(Inputs!$B$38&lt;&gt;"pvp",Inputs!$B$43&gt;0),MIN(15,Inputs!$B$43)/(Inputs!$B$43),0))),0)))&gt;=100),MIN(100,((Inputs!$B$9+((C2896=TRUE)*(F2896-Calc!F19))+B2908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2915)&lt;=0,1,MAX(0,IF(Inputs!$B$38="pvp",15,Inputs!$B$43)-MAX(5,B2915))/(IF(Inputs!$B$38="pvp",15,Inputs!$B$43)-(B2915))))*IF(AND(IF(ArtifactsInput!$M$42,FALSE,TRUE),((Inputs!$B$9+((C2896=TRUE)*(F2896-Calc!F19))+B2908+(ArtifactsInput!$M$24-ArtifactsInput!$M$24)*CHOOSE(ArtifactsInput!$N$24+1,10,12,14,16,18,20)+IF(ArtifactsInput!$M$10,CHOOSE(ArtifactsInput!$N$10+1,15,18,21,24,27,30)*(IF(Inputs!$B$38="pvp",MIN(15,15)/15,IF(AND(Inputs!$B$38&lt;&gt;"pvp",Inputs!$B$43&gt;0),MIN(15,Inputs!$B$43)/(Inputs!$B$43),0))),0)))&gt;=100),CHOOSE(ArtifactsInput!$N$42+1,40,48,56,64,72,80),0))))/100)*((1+(((C2894=TRUE)*F2894*5/7)+((C2901=TRUE)*(F2901-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2880)</f>
        <v/>
      </c>
      <c r="L2880">
        <f>K2880*(MIN(Inputs!$B$22+((C2899=TRUE)*(F2899-Calc!F22)),(Inputs!$B$23+0+(IF(ArtifactsInput!$M$15,CHOOSE(ArtifactsInput!$N$15+1,25,30,35,40,45,50)/100*(Inputs!$B$11-Inputs!$B$11),0))))/100+(Inputs!$B$23+0+(IF(ArtifactsInput!$M$15,CHOOSE(ArtifactsInput!$N$15+1,25,30,35,40,45,50)/100*(Inputs!$B$11-Inputs!$B$11),0)))/100)/2</f>
        <v/>
      </c>
      <c r="M2880">
        <f>L2880*(1+(Inputs!$B$10+((C2902=TRUE)*(F2902-Calc!F25))+B2913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80">
        <f>L2880*(1-MIN((Inputs!$B$9+((C2896=TRUE)*(F2896-Calc!F19))+B2908+(ArtifactsInput!$M$24-ArtifactsInput!$M$24)*CHOOSE(ArtifactsInput!$N$24+1,10,12,14,16,18,20)+(IF(AND(Inputs!$B$38&lt;&gt;"pvp",Inputs!$B$43=0),1,IF(IF(Inputs!$B$38="pvp",15,Inputs!$B$43)-(B2915)&lt;=0,1,MAX(0,IF(Inputs!$B$38="pvp",15,Inputs!$B$43)-MAX(5,B2915))/(IF(Inputs!$B$38="pvp",15,Inputs!$B$43)-(B2915))))*IF(AND(IF(ArtifactsInput!$M$42,FALSE,TRUE),((Inputs!$B$9+((C2896=TRUE)*(F2896-Calc!F19))+B2908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2880*(MIN((Inputs!$B$9+((C2896=TRUE)*(F2896-Calc!F19))+B2908+(ArtifactsInput!$M$24-ArtifactsInput!$M$24)*CHOOSE(ArtifactsInput!$N$24+1,10,12,14,16,18,20)+(IF(AND(Inputs!$B$38&lt;&gt;"pvp",Inputs!$B$43=0),1,IF(IF(Inputs!$B$38="pvp",15,Inputs!$B$43)-(B2915)&lt;=0,1,MAX(0,IF(Inputs!$B$38="pvp",15,Inputs!$B$43)-MAX(5,B2915))/(IF(Inputs!$B$38="pvp",15,Inputs!$B$43)-(B2915))))*IF(AND(IF(ArtifactsInput!$M$42,FALSE,TRUE),((Inputs!$B$9+((C2896=TRUE)*(F2896-Calc!F19))+B2908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80">
        <f>(1-Summary!$B$11)*T2880+Summary!$B$11*V2880</f>
        <v/>
      </c>
      <c r="P2880">
        <f>IF(B2918=0,0,O2880/B2918)</f>
        <v/>
      </c>
      <c r="Q2880">
        <f>IFERROR(1/(IF(Inputs!$B$38="pvp",15,MAX(0.1,Skills!D3-IF(TRUE=TRUE,Inputs!$B$32,0)))*(1-IF(AND(ArtifactsInput!$M$27,Inputs!$B$4="Chapter Hunt"),CHOOSE(ArtifactsInput!$N$27+1,20,24,28,32,36,40),0)/100)),0)</f>
        <v/>
      </c>
      <c r="R2880">
        <f>IF(AND(Inputs!$B$38&lt;&gt;"pvp",Inputs!$B$43&gt;0),IF(MAX(0,Inputs!$B$43-B2915)&lt;=0,0,(INT(MAX(0,Inputs!$B$43-B2915)/(IF(Inputs!$B$38="pvp",15,MAX(0.1,Skills!D3-IF(TRUE=TRUE,Inputs!$B$32,0)))*(1-IF(AND(ArtifactsInput!$M$27,Inputs!$B$4="Chapter Hunt"),CHOOSE(ArtifactsInput!$N$27+1,20,24,28,32,36,40),0)/100)))+1)),0)</f>
        <v/>
      </c>
      <c r="S2880">
        <f>IFERROR(O2880/N2880,0)</f>
        <v/>
      </c>
      <c r="T2880">
        <f>IF(C2880,(H2880*N2880*IF(AND(Inputs!$B$38&lt;&gt;"pvp",Inputs!$B$43&gt;0),((Skills!G3*((R2880-1)*IF(Skills!H3&gt;0,INT(Skills!I3/Skills!H3+0.000000001),1)+IF(Skills!H3&gt;0,INT(MIN(Skills!I3,MAX(0,MAX(0,Inputs!$B$43-B2915)-((R2880-1)*(IF(Inputs!$B$38="pvp",15,MAX(0.1,Skills!D3-IF(TRUE=TRUE,Inputs!$B$32,0)))*(1-IF(AND(ArtifactsInput!$M$27,Inputs!$B$4="Chapter Hunt"),CHOOSE(ArtifactsInput!$N$27+1,20,24,28,32,36,40),0)/100)))))/Skills!H3+0.000000001),1)))/Inputs!$B$43),G2880*Q2880))*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Hunt"),CHOOSE(ArtifactsInput!$N$35+1,15,18,21,24,27,30)*(1-EXP(-(0.2*B2910)*5)),0)+IF(AND(ArtifactsInput!$M$22,Inputs!$B$4&lt;&gt;"Chapter Hunt"),CHOOSE(ArtifactsInput!$N$22+1,10,12,14,16,18,20)*((0*(((0.15*B2910*5))^0/1)+1*(((0.15*B2910*5))^1/1)+2*(((0.15*B2910*5))^2/2)+3*(((0.15*B2910*5))^3/6)+4*(((0.15*B2910*5))^4/24)+5*(((0.15*B2910*5))^5/120))/((((0.15*B2910*5))^0/1)+(((0.15*B2910*5))^1/1)+(((0.15*B2910*5))^2/2)+(((0.15*B2910*5))^3/6)+(((0.15*B2910*5))^4/24)+(((0.15*B2910*5))^5/120))),0))+IF(Inputs!$B$3&gt;=54,9*(C2880=TRUE)*MIN(1,8*(1+Inputs!$B$34/100)*Q2880)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2880*(1-MIN(100,(Inputs!$B$9+((C2896=TRUE)*(F2896-Calc!F19))+B2908+(ArtifactsInput!$M$24-ArtifactsInput!$M$24)*CHOOSE(ArtifactsInput!$N$24+1,10,12,14,16,18,20)+(IF(AND(Inputs!$B$38&lt;&gt;"pvp",Inputs!$B$43=0),1,IF(IF(Inputs!$B$38="pvp",15,Inputs!$B$43)-(B2915)&lt;=0,1,MAX(0,IF(Inputs!$B$38="pvp",15,Inputs!$B$43)-MAX(5,B2915))/(IF(Inputs!$B$38="pvp",15,Inputs!$B$43)-(B2915))))*IF(AND(IF(ArtifactsInput!$M$42,FALSE,TRUE),((Inputs!$B$9+((C2896=TRUE)*(F2896-Calc!F19))+B2908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2880*(MIN(100,(Inputs!$B$9+((C2896=TRUE)*(F2896-Calc!F19))+B2908+(ArtifactsInput!$M$24-ArtifactsInput!$M$24)*CHOOSE(ArtifactsInput!$N$24+1,10,12,14,16,18,20)+(IF(AND(Inputs!$B$38&lt;&gt;"pvp",Inputs!$B$43=0),1,IF(IF(Inputs!$B$38="pvp",15,Inputs!$B$43)-(B2915)&lt;=0,1,MAX(0,IF(Inputs!$B$38="pvp",15,Inputs!$B$43)-MAX(5,B2915))/(IF(Inputs!$B$38="pvp",15,Inputs!$B$43)-(B2915))))*IF(AND(IF(ArtifactsInput!$M$42,FALSE,TRUE),((Inputs!$B$9+((C2896=TRUE)*(F2896-Calc!F19))+B2908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2880*(1-MIN(100,(Inputs!$B$9+((C2896=TRUE)*(F2896-Calc!F19))+B2908+(ArtifactsInput!$M$24-ArtifactsInput!$M$24)*CHOOSE(ArtifactsInput!$N$24+1,10,12,14,16,18,20)+(IF(AND(Inputs!$B$38&lt;&gt;"pvp",Inputs!$B$43=0),1,IF(IF(Inputs!$B$38="pvp",15,Inputs!$B$43)-(B2915)&lt;=0,1,MAX(0,IF(Inputs!$B$38="pvp",15,Inputs!$B$43)-MAX(5,B2915))/(IF(Inputs!$B$38="pvp",15,Inputs!$B$43)-(B2915))))*IF(AND(IF(ArtifactsInput!$M$42,FALSE,TRUE),((Inputs!$B$9+((C2896=TRUE)*(F2896-Calc!F19))+B2908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2880*(MIN(100,(Inputs!$B$9+((C2896=TRUE)*(F2896-Calc!F19))+B2908+(ArtifactsInput!$M$24-ArtifactsInput!$M$24)*CHOOSE(ArtifactsInput!$N$24+1,10,12,14,16,18,20)+(IF(AND(Inputs!$B$38&lt;&gt;"pvp",Inputs!$B$43=0),1,IF(IF(Inputs!$B$38="pvp",15,Inputs!$B$43)-(B2915)&lt;=0,1,MAX(0,IF(Inputs!$B$38="pvp",15,Inputs!$B$43)-MAX(5,B2915))/(IF(Inputs!$B$38="pvp",15,Inputs!$B$43)-(B2915))))*IF(AND(IF(ArtifactsInput!$M$42,FALSE,TRUE),((Inputs!$B$9+((C2896=TRUE)*(F2896-Calc!F19))+B2908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880">
        <f>INDEX(FactorTable!$B$2:$Y$301, MATCH(ROUND(MIN(300,MAX(1,U2879)),0), FactorTable!$A$2:$A$301,0), 22)</f>
        <v/>
      </c>
      <c r="V2880">
        <f>IF(C2880,(H2880*N2880*IF(AND(Inputs!$B$38&lt;&gt;"pvp",Inputs!$B$43&gt;0),((Skills!G3*((R2880-1)*IF(Skills!H3&gt;0,INT(Skills!I3/Skills!H3+0.000000001),1)+IF(Skills!H3&gt;0,INT(MIN(Skills!I3,MAX(0,MAX(0,Inputs!$B$43-B2915)-((R2880-1)*(IF(Inputs!$B$38="pvp",15,MAX(0.1,Skills!D3-IF(TRUE=TRUE,Inputs!$B$32,0)))*(1-IF(AND(ArtifactsInput!$M$27,Inputs!$B$4="Chapter Hunt"),CHOOSE(ArtifactsInput!$N$27+1,20,24,28,32,36,40),0)/100)))))/Skills!H3+0.000000001),1)))/Inputs!$B$43),G2880*Q2880))*IF(Inputs!$B$38="pvp",1,(1+(Inputs!$B$21+Skills!Q3+(IF(ArtifactsInput!$M$33,CHOOSE(ArtifactsInput!$N$33+1,30,36,42,48,54,60),0))+(IF(AND(ArtifactsInput!$M$35,Inputs!$B$4&lt;&gt;"Chapter Hunt"),CHOOSE(ArtifactsInput!$N$35+1,15,18,21,24,27,30)*(1-EXP(-(0.2*B2910)*5)),0)+IF(AND(ArtifactsInput!$M$22,Inputs!$B$4&lt;&gt;"Chapter Hunt"),CHOOSE(ArtifactsInput!$N$22+1,10,12,14,16,18,20)*((0*(((0.15*B2910*5))^0/1)+1*(((0.15*B2910*5))^1/1)+2*(((0.15*B2910*5))^2/2)+3*(((0.15*B2910*5))^3/6)+4*(((0.15*B2910*5))^4/24)+5*(((0.15*B2910*5))^5/120))/((((0.15*B2910*5))^0/1)+(((0.15*B2910*5))^1/1)+(((0.15*B2910*5))^2/2)+(((0.15*B2910*5))^3/6)+(((0.15*B2910*5))^4/24)+(((0.15*B2910*5))^5/120))),0))+IF(Inputs!$B$3&gt;=54,9*(C2880=TRUE)*MIN(1,8*(1+Inputs!$B$34/100)*Q2880)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81">
      <c r="A2881">
        <f>Skills!A4</f>
        <v/>
      </c>
      <c r="B2881">
        <f>Skills!B4</f>
        <v/>
      </c>
      <c r="C2881">
        <f>Inputs!$B$3&gt;=35</f>
        <v/>
      </c>
      <c r="D2881">
        <f>IF(Skills!C4=1,60+Inputs!$B$25+Inputs!$B$29,IF(Skills!C4=2,90+Inputs!$B$26+Inputs!$B$29,IF(Skills!C4=3,120+Inputs!$B$27+Inputs!$B$29,MAX(0,(Inputs!$B$3-100)*3)+Inputs!$B$28+Inputs!$B$29)))</f>
        <v/>
      </c>
      <c r="E2881">
        <f>INDEX(FactorTable!$B$2:$Y$301, MATCH(ROUND(MIN(300,MAX(1,D2881)),0), FactorTable!$A$2:$A$301,0), Skills!M4+1)</f>
        <v/>
      </c>
      <c r="F2881">
        <f>IF(Skills!N4=TRUE,(Skills!L4/10)*(E2881/1000),Skills!L4/10)+Skills!O4</f>
        <v/>
      </c>
      <c r="G2881">
        <f>Skills!G4*IF(Skills!H4&gt;0,INT(IF(Inputs!$B$38="pvp",MIN(IF(Inputs!$B$3&gt;=104,MIN(35,20*(1+Inputs!$B$34/100)),20),15),IF(Inputs!$B$3&gt;=104,MIN(35,20*(1+Inputs!$B$34/100)),20))/Skills!H4+0.000000001),1)</f>
        <v/>
      </c>
      <c r="H2881">
        <f>1-(1-Skills!J4/100)^Skills!K4</f>
        <v/>
      </c>
      <c r="I2881" t="inlineStr">
        <is>
          <t>1</t>
        </is>
      </c>
      <c r="J2881">
        <f>((Inputs!$B$6*(1+Inputs!$B$7/100))+(((Inputs!$B$12*(1+Inputs!$B$13/100))-(Inputs!$B$12*(1+Inputs!$B$13/100)))+0.25*(Inputs!$B$14-Inputs!$B$14))*(1+Inputs!$B$7/100))*(F2881/100)</f>
        <v/>
      </c>
      <c r="K2881">
        <f>J2881*(1+((Inputs!$B$12*(1+Inputs!$B$13/100))*0.01+Inputs!$B$14*0.0025)/100)*(1+Inputs!$B$15/100)*(1+Inputs!$B$16/100)*(5000/(6000+Inputs!$B$42*(1-(100*(1-(1-(Inputs!$B$19+0)/100)*(1-CHOOSE(ArtifactsInput!$N$40+1,5,6,7,8,9,10)/100)^(ArtifactsInput!$M$40-ArtifactsInput!$M$40)))/100)))*(1+(Inputs!$B$24+((C2903=TRUE)*(F2903-Calc!F26))+B2914)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2893=TRUE,F2893,0)/100)*(1+(IF(Skills!A4="EIGHT_LEGS_EASTON",Inputs!$B$17+((C2900=TRUE)*(F2900-Calc!F23))+((C2904=TRUE)*(F2904-Calc!F27))+((IF(AND(Inputs!$B$38&lt;&gt;"pvp",Inputs!$B$43=0),1,IF(IF(Inputs!$B$38="pvp",15,Inputs!$B$43)-(B2915)&lt;=0,1,MAX(0,IF(Inputs!$B$38="pvp",15,Inputs!$B$43)-MAX(5,B2915))/(IF(Inputs!$B$38="pvp",15,Inputs!$B$43)-(B2915))))*(IF(AND(IF(ArtifactsInput!$M$42,FALSE,TRUE),((Inputs!$B$9+((C2896=TRUE)*(F2896-Calc!F19))+B2908+(ArtifactsInput!$M$24-ArtifactsInput!$M$24)*CHOOSE(ArtifactsInput!$N$24+1,10,12,14,16,18,20)+IF(ArtifactsInput!$M$10,CHOOSE(ArtifactsInput!$N$10+1,15,18,21,24,27,30)*(IF(Inputs!$B$38="pvp",MIN(15,15)/15,IF(AND(Inputs!$B$38&lt;&gt;"pvp",Inputs!$B$43&gt;0),MIN(15,Inputs!$B$43)/(Inputs!$B$43),0))),0)))&gt;=100),MIN(100,((Inputs!$B$9+((C2896=TRUE)*(F2896-Calc!F19))+B2908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2915)&lt;=0,1,MAX(0,IF(Inputs!$B$38="pvp",15,Inputs!$B$43)-MAX(5,B2915))/(IF(Inputs!$B$38="pvp",15,Inputs!$B$43)-(B2915))))*IF(AND(IF(ArtifactsInput!$M$42,FALSE,TRUE),((Inputs!$B$9+((C2896=TRUE)*(F2896-Calc!F19))+B2908+(ArtifactsInput!$M$24-ArtifactsInput!$M$24)*CHOOSE(ArtifactsInput!$N$24+1,10,12,14,16,18,20)+IF(ArtifactsInput!$M$10,CHOOSE(ArtifactsInput!$N$10+1,15,18,21,24,27,30)*(IF(Inputs!$B$38="pvp",MIN(15,15)/15,IF(AND(Inputs!$B$38&lt;&gt;"pvp",Inputs!$B$43&gt;0),MIN(15,Inputs!$B$43)/(Inputs!$B$43),0))),0)))&gt;=100),CHOOSE(ArtifactsInput!$N$42+1,40,48,56,64,72,80),0))))/100)*((1+(((C2894=TRUE)*F2894*5/7)+((C2901=TRUE)*(F2901-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2881)</f>
        <v/>
      </c>
      <c r="L2881">
        <f>K2881*(MIN(Inputs!$B$22+((C2899=TRUE)*(F2899-Calc!F22)),(Inputs!$B$23+0+(IF(ArtifactsInput!$M$15,CHOOSE(ArtifactsInput!$N$15+1,25,30,35,40,45,50)/100*(Inputs!$B$11-Inputs!$B$11),0))))/100+(Inputs!$B$23+0+(IF(ArtifactsInput!$M$15,CHOOSE(ArtifactsInput!$N$15+1,25,30,35,40,45,50)/100*(Inputs!$B$11-Inputs!$B$11),0)))/100)/2</f>
        <v/>
      </c>
      <c r="M2881">
        <f>L2881*(1+(Inputs!$B$10+((C2902=TRUE)*(F2902-Calc!F25))+B2913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81">
        <f>L2881*(1-MIN((Inputs!$B$9+((C2896=TRUE)*(F2896-Calc!F19))+B2908+(ArtifactsInput!$M$24-ArtifactsInput!$M$24)*CHOOSE(ArtifactsInput!$N$24+1,10,12,14,16,18,20)+(IF(AND(Inputs!$B$38&lt;&gt;"pvp",Inputs!$B$43=0),1,IF(IF(Inputs!$B$38="pvp",15,Inputs!$B$43)-(B2915)&lt;=0,1,MAX(0,IF(Inputs!$B$38="pvp",15,Inputs!$B$43)-MAX(5,B2915))/(IF(Inputs!$B$38="pvp",15,Inputs!$B$43)-(B2915))))*IF(AND(IF(ArtifactsInput!$M$42,FALSE,TRUE),((Inputs!$B$9+((C2896=TRUE)*(F2896-Calc!F19))+B2908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2881*(MIN((Inputs!$B$9+((C2896=TRUE)*(F2896-Calc!F19))+B2908+(ArtifactsInput!$M$24-ArtifactsInput!$M$24)*CHOOSE(ArtifactsInput!$N$24+1,10,12,14,16,18,20)+(IF(AND(Inputs!$B$38&lt;&gt;"pvp",Inputs!$B$43=0),1,IF(IF(Inputs!$B$38="pvp",15,Inputs!$B$43)-(B2915)&lt;=0,1,MAX(0,IF(Inputs!$B$38="pvp",15,Inputs!$B$43)-MAX(5,B2915))/(IF(Inputs!$B$38="pvp",15,Inputs!$B$43)-(B2915))))*IF(AND(IF(ArtifactsInput!$M$42,FALSE,TRUE),((Inputs!$B$9+((C2896=TRUE)*(F2896-Calc!F19))+B2908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81">
        <f>(1-Summary!$B$11)*T2881+Summary!$B$11*V2881</f>
        <v/>
      </c>
      <c r="P2881">
        <f>IF(B2918=0,0,O2881/B2918)</f>
        <v/>
      </c>
      <c r="Q2881">
        <f>IFERROR(1/(IF(Inputs!$B$38="pvp",15,MAX(0.1,Skills!D4-IF(TRUE=TRUE,Inputs!$B$32,0)))*(1-IF(AND(ArtifactsInput!$M$27,Inputs!$B$4="Chapter Hunt"),CHOOSE(ArtifactsInput!$N$27+1,20,24,28,32,36,40),0)/100)),0)</f>
        <v/>
      </c>
      <c r="R2881">
        <f>IF(AND(Inputs!$B$38&lt;&gt;"pvp",Inputs!$B$43&gt;0),IF(MAX(0,Inputs!$B$43-B2915)&lt;=0,0,(INT(MAX(0,Inputs!$B$43-B2915)/(IF(Inputs!$B$38="pvp",15,MAX(0.1,Skills!D4-IF(TRUE=TRUE,Inputs!$B$32,0)))*(1-IF(AND(ArtifactsInput!$M$27,Inputs!$B$4="Chapter Hunt"),CHOOSE(ArtifactsInput!$N$27+1,20,24,28,32,36,40),0)/100)))+1)),0)</f>
        <v/>
      </c>
      <c r="S2881">
        <f>IFERROR(O2881/N2881,0)</f>
        <v/>
      </c>
      <c r="T2881">
        <f>IF(C2881,(H2881*N2881*IF(AND(Inputs!$B$38&lt;&gt;"pvp",Inputs!$B$43&gt;0),((Skills!G4*((R2881-1)*IF(Skills!H4&gt;0,INT(IF(Inputs!$B$3&gt;=104,MIN(35,20*(1+Inputs!$B$34/100)),20)/Skills!H4+0.000000001),1)+IF(Skills!H4&gt;0,INT(MIN(IF(Inputs!$B$3&gt;=104,MIN(35,20*(1+Inputs!$B$34/100)),20),MAX(0,MAX(0,Inputs!$B$43-B2915)-((R2881-1)*(IF(Inputs!$B$38="pvp",15,MAX(0.1,Skills!D4-IF(TRUE=TRUE,Inputs!$B$32,0)))*(1-IF(AND(ArtifactsInput!$M$27,Inputs!$B$4="Chapter Hunt"),CHOOSE(ArtifactsInput!$N$27+1,20,24,28,32,36,40),0)/100)))))/Skills!H4+0.000000001),1)))/Inputs!$B$43),G2881*Q2881))*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Hunt"),CHOOSE(ArtifactsInput!$N$35+1,15,18,21,24,27,30)*(1-EXP(-(0.2*B2910)*5)),0)+IF(AND(ArtifactsInput!$M$22,Inputs!$B$4&lt;&gt;"Chapter Hunt"),CHOOSE(ArtifactsInput!$N$22+1,10,12,14,16,18,20)*((0*(((0.15*B2910*5))^0/1)+1*(((0.15*B2910*5))^1/1)+2*(((0.15*B2910*5))^2/2)+3*(((0.15*B2910*5))^3/6)+4*(((0.15*B2910*5))^4/24)+5*(((0.15*B2910*5))^5/120))/((((0.15*B2910*5))^0/1)+(((0.15*B2910*5))^1/1)+(((0.15*B2910*5))^2/2)+(((0.15*B2910*5))^3/6)+(((0.15*B2910*5))^4/24)+(((0.15*B2910*5))^5/120))),0))+IF(Inputs!$B$3&gt;=54,9*(C2880=TRUE)*MIN(1,8*(1+Inputs!$B$34/100)*Q2880)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2881*(1-MIN(100,(Inputs!$B$9+((C2896=TRUE)*(F2896-Calc!F19))+B2908+(ArtifactsInput!$M$24-ArtifactsInput!$M$24)*CHOOSE(ArtifactsInput!$N$24+1,10,12,14,16,18,20)+(IF(AND(Inputs!$B$38&lt;&gt;"pvp",Inputs!$B$43=0),1,IF(IF(Inputs!$B$38="pvp",15,Inputs!$B$43)-(B2915)&lt;=0,1,MAX(0,IF(Inputs!$B$38="pvp",15,Inputs!$B$43)-MAX(5,B2915))/(IF(Inputs!$B$38="pvp",15,Inputs!$B$43)-(B2915))))*IF(AND(IF(ArtifactsInput!$M$42,FALSE,TRUE),((Inputs!$B$9+((C2896=TRUE)*(F2896-Calc!F19))+B2908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2881*(MIN(100,(Inputs!$B$9+((C2896=TRUE)*(F2896-Calc!F19))+B2908+(ArtifactsInput!$M$24-ArtifactsInput!$M$24)*CHOOSE(ArtifactsInput!$N$24+1,10,12,14,16,18,20)+(IF(AND(Inputs!$B$38&lt;&gt;"pvp",Inputs!$B$43=0),1,IF(IF(Inputs!$B$38="pvp",15,Inputs!$B$43)-(B2915)&lt;=0,1,MAX(0,IF(Inputs!$B$38="pvp",15,Inputs!$B$43)-MAX(5,B2915))/(IF(Inputs!$B$38="pvp",15,Inputs!$B$43)-(B2915))))*IF(AND(IF(ArtifactsInput!$M$42,FALSE,TRUE),((Inputs!$B$9+((C2896=TRUE)*(F2896-Calc!F19))+B2908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2881*(1-MIN(100,(Inputs!$B$9+((C2896=TRUE)*(F2896-Calc!F19))+B2908+(ArtifactsInput!$M$24-ArtifactsInput!$M$24)*CHOOSE(ArtifactsInput!$N$24+1,10,12,14,16,18,20)+(IF(AND(Inputs!$B$38&lt;&gt;"pvp",Inputs!$B$43=0),1,IF(IF(Inputs!$B$38="pvp",15,Inputs!$B$43)-(B2915)&lt;=0,1,MAX(0,IF(Inputs!$B$38="pvp",15,Inputs!$B$43)-MAX(5,B2915))/(IF(Inputs!$B$38="pvp",15,Inputs!$B$43)-(B2915))))*IF(AND(IF(ArtifactsInput!$M$42,FALSE,TRUE),((Inputs!$B$9+((C2896=TRUE)*(F2896-Calc!F19))+B2908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2881*(MIN(100,(Inputs!$B$9+((C2896=TRUE)*(F2896-Calc!F19))+B2908+(ArtifactsInput!$M$24-ArtifactsInput!$M$24)*CHOOSE(ArtifactsInput!$N$24+1,10,12,14,16,18,20)+(IF(AND(Inputs!$B$38&lt;&gt;"pvp",Inputs!$B$43=0),1,IF(IF(Inputs!$B$38="pvp",15,Inputs!$B$43)-(B2915)&lt;=0,1,MAX(0,IF(Inputs!$B$38="pvp",15,Inputs!$B$43)-MAX(5,B2915))/(IF(Inputs!$B$38="pvp",15,Inputs!$B$43)-(B2915))))*IF(AND(IF(ArtifactsInput!$M$42,FALSE,TRUE),((Inputs!$B$9+((C2896=TRUE)*(F2896-Calc!F19))+B2908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881">
        <f>290*U2880/1000</f>
        <v/>
      </c>
      <c r="V2881">
        <f>IF(C2881,(H2881*N2881*IF(AND(Inputs!$B$38&lt;&gt;"pvp",Inputs!$B$43&gt;0),((Skills!G4*((R2881-1)*IF(Skills!H4&gt;0,INT(IF(Inputs!$B$3&gt;=104,MIN(35,20*(1+Inputs!$B$34/100)),20)/Skills!H4+0.000000001),1)+IF(Skills!H4&gt;0,INT(MIN(IF(Inputs!$B$3&gt;=104,MIN(35,20*(1+Inputs!$B$34/100)),20),MAX(0,MAX(0,Inputs!$B$43-B2915)-((R2881-1)*(IF(Inputs!$B$38="pvp",15,MAX(0.1,Skills!D4-IF(TRUE=TRUE,Inputs!$B$32,0)))*(1-IF(AND(ArtifactsInput!$M$27,Inputs!$B$4="Chapter Hunt"),CHOOSE(ArtifactsInput!$N$27+1,20,24,28,32,36,40),0)/100)))))/Skills!H4+0.000000001),1)))/Inputs!$B$43),G2881*Q2881))*IF(Inputs!$B$38="pvp",1,(1+(Inputs!$B$21+Skills!Q4+(IF(ArtifactsInput!$M$33,CHOOSE(ArtifactsInput!$N$33+1,30,36,42,48,54,60),0))+(IF(AND(ArtifactsInput!$M$35,Inputs!$B$4&lt;&gt;"Chapter Hunt"),CHOOSE(ArtifactsInput!$N$35+1,15,18,21,24,27,30)*(1-EXP(-(0.2*B2910)*5)),0)+IF(AND(ArtifactsInput!$M$22,Inputs!$B$4&lt;&gt;"Chapter Hunt"),CHOOSE(ArtifactsInput!$N$22+1,10,12,14,16,18,20)*((0*(((0.15*B2910*5))^0/1)+1*(((0.15*B2910*5))^1/1)+2*(((0.15*B2910*5))^2/2)+3*(((0.15*B2910*5))^3/6)+4*(((0.15*B2910*5))^4/24)+5*(((0.15*B2910*5))^5/120))/((((0.15*B2910*5))^0/1)+(((0.15*B2910*5))^1/1)+(((0.15*B2910*5))^2/2)+(((0.15*B2910*5))^3/6)+(((0.15*B2910*5))^4/24)+(((0.15*B2910*5))^5/120))),0))+IF(Inputs!$B$3&gt;=54,9*(C2880=TRUE)*MIN(1,8*(1+Inputs!$B$34/100)*Q2880),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82">
      <c r="A2882">
        <f>Skills!A5</f>
        <v/>
      </c>
      <c r="B2882">
        <f>Skills!B5</f>
        <v/>
      </c>
      <c r="C2882">
        <f>Inputs!$B$3&gt;=69</f>
        <v/>
      </c>
      <c r="D2882">
        <f>IF(Skills!C5=1,60+Inputs!$B$25+Inputs!$B$29,IF(Skills!C5=2,90+Inputs!$B$26+Inputs!$B$29,IF(Skills!C5=3,120+Inputs!$B$27+Inputs!$B$29,MAX(0,(Inputs!$B$3-100)*3)+Inputs!$B$28+Inputs!$B$29)))</f>
        <v/>
      </c>
      <c r="E2882">
        <f>INDEX(FactorTable!$B$2:$Y$301, MATCH(ROUND(MIN(300,MAX(1,D2882)),0), FactorTable!$A$2:$A$301,0), Skills!M5+1)</f>
        <v/>
      </c>
      <c r="F2882">
        <f>IF(Skills!N5=TRUE,(Skills!L5/10)*(E2882/1000),Skills!L5/10)+Skills!O5</f>
        <v/>
      </c>
      <c r="G2882">
        <f>Skills!G5*IF(Skills!H5&gt;0,INT(IF(Inputs!$B$38="pvp",MIN(IF(Inputs!$B$3&gt;=104,MIN(35,20*(1+Inputs!$B$34/100)),20),15),IF(Inputs!$B$3&gt;=104,MIN(35,20*(1+Inputs!$B$34/100)),20))/Skills!H5+0.000000001),1)</f>
        <v/>
      </c>
      <c r="H2882">
        <f>1-(1-Skills!J5/100)^Skills!K5</f>
        <v/>
      </c>
      <c r="I2882" t="inlineStr">
        <is>
          <t>1</t>
        </is>
      </c>
      <c r="J2882">
        <f>((Inputs!$B$6*(1+Inputs!$B$7/100))+(((Inputs!$B$12*(1+Inputs!$B$13/100))-(Inputs!$B$12*(1+Inputs!$B$13/100)))+0.25*(Inputs!$B$14-Inputs!$B$14))*(1+Inputs!$B$7/100))*(F2882/100)</f>
        <v/>
      </c>
      <c r="K2882">
        <f>J2882*(1+((Inputs!$B$12*(1+Inputs!$B$13/100))*0.01+Inputs!$B$14*0.0025)/100)*(1+Inputs!$B$15/100)*(1+Inputs!$B$16/100)*(5000/(6000+Inputs!$B$42*(1-(100*(1-(1-(Inputs!$B$19+0)/100)*(1-CHOOSE(ArtifactsInput!$N$40+1,5,6,7,8,9,10)/100)^(ArtifactsInput!$M$40-ArtifactsInput!$M$40)))/100)))*(1+(Inputs!$B$24+((C2903=TRUE)*(F2903-Calc!F26))+B2914)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+0.4*IF(C2893=TRUE,F2893,0)/100)*(1+(IF(Skills!A5="EIGHT_LEGS_EASTON",Inputs!$B$17+((C2900=TRUE)*(F2900-Calc!F23))+((C2904=TRUE)*(F2904-Calc!F27))+((IF(AND(Inputs!$B$38&lt;&gt;"pvp",Inputs!$B$43=0),1,IF(IF(Inputs!$B$38="pvp",15,Inputs!$B$43)-(B2915)&lt;=0,1,MAX(0,IF(Inputs!$B$38="pvp",15,Inputs!$B$43)-MAX(5,B2915))/(IF(Inputs!$B$38="pvp",15,Inputs!$B$43)-(B2915))))*(IF(AND(IF(ArtifactsInput!$M$42,FALSE,TRUE),((Inputs!$B$9+((C2896=TRUE)*(F2896-Calc!F19))+B2908+(ArtifactsInput!$M$24-ArtifactsInput!$M$24)*CHOOSE(ArtifactsInput!$N$24+1,10,12,14,16,18,20)+IF(ArtifactsInput!$M$10,CHOOSE(ArtifactsInput!$N$10+1,15,18,21,24,27,30)*(IF(Inputs!$B$38="pvp",MIN(15,15)/15,IF(AND(Inputs!$B$38&lt;&gt;"pvp",Inputs!$B$43&gt;0),MIN(15,Inputs!$B$43)/(Inputs!$B$43),0))),0)))&gt;=100),MIN(100,((Inputs!$B$9+((C2896=TRUE)*(F2896-Calc!F19))+B2908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2915)&lt;=0,1,MAX(0,IF(Inputs!$B$38="pvp",15,Inputs!$B$43)-MAX(5,B2915))/(IF(Inputs!$B$38="pvp",15,Inputs!$B$43)-(B2915))))*IF(AND(IF(ArtifactsInput!$M$42,FALSE,TRUE),((Inputs!$B$9+((C2896=TRUE)*(F2896-Calc!F19))+B2908+(ArtifactsInput!$M$24-ArtifactsInput!$M$24)*CHOOSE(ArtifactsInput!$N$24+1,10,12,14,16,18,20)+IF(ArtifactsInput!$M$10,CHOOSE(ArtifactsInput!$N$10+1,15,18,21,24,27,30)*(IF(Inputs!$B$38="pvp",MIN(15,15)/15,IF(AND(Inputs!$B$38&lt;&gt;"pvp",Inputs!$B$43&gt;0),MIN(15,Inputs!$B$43)/(Inputs!$B$43),0))),0)))&gt;=100),CHOOSE(ArtifactsInput!$N$42+1,40,48,56,64,72,80),0))))/100)*((1+(((C2894=TRUE)*F2894*5/7)+((C2901=TRUE)*(F2901-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2882)</f>
        <v/>
      </c>
      <c r="L2882">
        <f>K2882*(MIN(Inputs!$B$22+((C2899=TRUE)*(F2899-Calc!F22)),(Inputs!$B$23+0+(IF(ArtifactsInput!$M$15,CHOOSE(ArtifactsInput!$N$15+1,25,30,35,40,45,50)/100*(Inputs!$B$11-Inputs!$B$11),0))))/100+(Inputs!$B$23+0+(IF(ArtifactsInput!$M$15,CHOOSE(ArtifactsInput!$N$15+1,25,30,35,40,45,50)/100*(Inputs!$B$11-Inputs!$B$11),0)))/100)/2</f>
        <v/>
      </c>
      <c r="M2882">
        <f>L2882*(1+(Inputs!$B$10+((C2902=TRUE)*(F2902-Calc!F25))+B2913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82">
        <f>L2882*(1-MIN((Inputs!$B$9+((C2896=TRUE)*(F2896-Calc!F19))+B2908+(ArtifactsInput!$M$24-ArtifactsInput!$M$24)*CHOOSE(ArtifactsInput!$N$24+1,10,12,14,16,18,20)+(IF(AND(Inputs!$B$38&lt;&gt;"pvp",Inputs!$B$43=0),1,IF(IF(Inputs!$B$38="pvp",15,Inputs!$B$43)-(B2915)&lt;=0,1,MAX(0,IF(Inputs!$B$38="pvp",15,Inputs!$B$43)-MAX(5,B2915))/(IF(Inputs!$B$38="pvp",15,Inputs!$B$43)-(B2915))))*IF(AND(IF(ArtifactsInput!$M$42,FALSE,TRUE),((Inputs!$B$9+((C2896=TRUE)*(F2896-Calc!F19))+B2908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2882*(MIN((Inputs!$B$9+((C2896=TRUE)*(F2896-Calc!F19))+B2908+(ArtifactsInput!$M$24-ArtifactsInput!$M$24)*CHOOSE(ArtifactsInput!$N$24+1,10,12,14,16,18,20)+(IF(AND(Inputs!$B$38&lt;&gt;"pvp",Inputs!$B$43=0),1,IF(IF(Inputs!$B$38="pvp",15,Inputs!$B$43)-(B2915)&lt;=0,1,MAX(0,IF(Inputs!$B$38="pvp",15,Inputs!$B$43)-MAX(5,B2915))/(IF(Inputs!$B$38="pvp",15,Inputs!$B$43)-(B2915))))*IF(AND(IF(ArtifactsInput!$M$42,FALSE,TRUE),((Inputs!$B$9+((C2896=TRUE)*(F2896-Calc!F19))+B2908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82">
        <f>(1-Summary!$B$11)*T2882+Summary!$B$11*V2882</f>
        <v/>
      </c>
      <c r="P2882">
        <f>IF(B2918=0,0,O2882/B2918)</f>
        <v/>
      </c>
      <c r="Q2882">
        <f>IFERROR(1/(IF(Inputs!$B$38="pvp",15,MAX(0.1,Skills!D5-IF(TRUE=TRUE,Inputs!$B$32,0)))*(1-IF(AND(ArtifactsInput!$M$27,Inputs!$B$4="Chapter Hunt"),CHOOSE(ArtifactsInput!$N$27+1,20,24,28,32,36,40),0)/100)),0)</f>
        <v/>
      </c>
      <c r="R2882">
        <f>IF(AND(Inputs!$B$38&lt;&gt;"pvp",Inputs!$B$43&gt;0),IF(MAX(0,Inputs!$B$43-B2915)&lt;=0,0,(INT(MAX(0,Inputs!$B$43-B2915)/(IF(Inputs!$B$38="pvp",15,MAX(0.1,Skills!D5-IF(TRUE=TRUE,Inputs!$B$32,0)))*(1-IF(AND(ArtifactsInput!$M$27,Inputs!$B$4="Chapter Hunt"),CHOOSE(ArtifactsInput!$N$27+1,20,24,28,32,36,40),0)/100)))+1)),0)</f>
        <v/>
      </c>
      <c r="S2882">
        <f>IFERROR(O2882/N2882,0)</f>
        <v/>
      </c>
      <c r="T2882">
        <f>IF(C2882,(H2882*N2882*IF(AND(Inputs!$B$38&lt;&gt;"pvp",Inputs!$B$43&gt;0),((Skills!G5*((R2882-1)*IF(Skills!H5&gt;0,INT(IF(Inputs!$B$3&gt;=104,MIN(35,20*(1+Inputs!$B$34/100)),20)/Skills!H5+0.000000001),1)+IF(Skills!H5&gt;0,INT(MIN(IF(Inputs!$B$3&gt;=104,MIN(35,20*(1+Inputs!$B$34/100)),20),MAX(0,MAX(0,Inputs!$B$43-B2915)-((R2882-1)*(IF(Inputs!$B$38="pvp",15,MAX(0.1,Skills!D5-IF(TRUE=TRUE,Inputs!$B$32,0)))*(1-IF(AND(ArtifactsInput!$M$27,Inputs!$B$4="Chapter Hunt"),CHOOSE(ArtifactsInput!$N$27+1,20,24,28,32,36,40),0)/100)))))/Skills!H5+0.000000001),1)))/Inputs!$B$43),G2882*Q2882))*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Hunt"),CHOOSE(ArtifactsInput!$N$35+1,15,18,21,24,27,30)*(1-EXP(-(0.2*B2910)*5)),0)+IF(AND(ArtifactsInput!$M$22,Inputs!$B$4&lt;&gt;"Chapter Hunt"),CHOOSE(ArtifactsInput!$N$22+1,10,12,14,16,18,20)*((0*(((0.15*B2910*5))^0/1)+1*(((0.15*B2910*5))^1/1)+2*(((0.15*B2910*5))^2/2)+3*(((0.15*B2910*5))^3/6)+4*(((0.15*B2910*5))^4/24)+5*(((0.15*B2910*5))^5/120))/((((0.15*B2910*5))^0/1)+(((0.15*B2910*5))^1/1)+(((0.15*B2910*5))^2/2)+(((0.15*B2910*5))^3/6)+(((0.15*B2910*5))^4/24)+(((0.15*B2910*5))^5/120))),0))+IF(Inputs!$B$3&gt;=54,9*(C2880=TRUE)*MIN(1,8*(1+Inputs!$B$34/100)*Q2880)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2882*(1-MIN(100,(Inputs!$B$9+((C2896=TRUE)*(F2896-Calc!F19))+B2908+(ArtifactsInput!$M$24-ArtifactsInput!$M$24)*CHOOSE(ArtifactsInput!$N$24+1,10,12,14,16,18,20)+(IF(AND(Inputs!$B$38&lt;&gt;"pvp",Inputs!$B$43=0),1,IF(IF(Inputs!$B$38="pvp",15,Inputs!$B$43)-(B2915)&lt;=0,1,MAX(0,IF(Inputs!$B$38="pvp",15,Inputs!$B$43)-MAX(5,B2915))/(IF(Inputs!$B$38="pvp",15,Inputs!$B$43)-(B2915))))*IF(AND(IF(ArtifactsInput!$M$42,FALSE,TRUE),((Inputs!$B$9+((C2896=TRUE)*(F2896-Calc!F19))+B2908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2882*(MIN(100,(Inputs!$B$9+((C2896=TRUE)*(F2896-Calc!F19))+B2908+(ArtifactsInput!$M$24-ArtifactsInput!$M$24)*CHOOSE(ArtifactsInput!$N$24+1,10,12,14,16,18,20)+(IF(AND(Inputs!$B$38&lt;&gt;"pvp",Inputs!$B$43=0),1,IF(IF(Inputs!$B$38="pvp",15,Inputs!$B$43)-(B2915)&lt;=0,1,MAX(0,IF(Inputs!$B$38="pvp",15,Inputs!$B$43)-MAX(5,B2915))/(IF(Inputs!$B$38="pvp",15,Inputs!$B$43)-(B2915))))*IF(AND(IF(ArtifactsInput!$M$42,FALSE,TRUE),((Inputs!$B$9+((C2896=TRUE)*(F2896-Calc!F19))+B2908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2882*(1-MIN(100,(Inputs!$B$9+((C2896=TRUE)*(F2896-Calc!F19))+B2908+(ArtifactsInput!$M$24-ArtifactsInput!$M$24)*CHOOSE(ArtifactsInput!$N$24+1,10,12,14,16,18,20)+(IF(AND(Inputs!$B$38&lt;&gt;"pvp",Inputs!$B$43=0),1,IF(IF(Inputs!$B$38="pvp",15,Inputs!$B$43)-(B2915)&lt;=0,1,MAX(0,IF(Inputs!$B$38="pvp",15,Inputs!$B$43)-MAX(5,B2915))/(IF(Inputs!$B$38="pvp",15,Inputs!$B$43)-(B2915))))*IF(AND(IF(ArtifactsInput!$M$42,FALSE,TRUE),((Inputs!$B$9+((C2896=TRUE)*(F2896-Calc!F19))+B2908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2882*(MIN(100,(Inputs!$B$9+((C2896=TRUE)*(F2896-Calc!F19))+B2908+(ArtifactsInput!$M$24-ArtifactsInput!$M$24)*CHOOSE(ArtifactsInput!$N$24+1,10,12,14,16,18,20)+(IF(AND(Inputs!$B$38&lt;&gt;"pvp",Inputs!$B$43=0),1,IF(IF(Inputs!$B$38="pvp",15,Inputs!$B$43)-(B2915)&lt;=0,1,MAX(0,IF(Inputs!$B$38="pvp",15,Inputs!$B$43)-MAX(5,B2915))/(IF(Inputs!$B$38="pvp",15,Inputs!$B$43)-(B2915))))*IF(AND(IF(ArtifactsInput!$M$42,FALSE,TRUE),((Inputs!$B$9+((C2896=TRUE)*(F2896-Calc!F19))+B2908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882">
        <f>IF(C2882,(H2882*N2882*IF(AND(Inputs!$B$38&lt;&gt;"pvp",Inputs!$B$43&gt;0),((Skills!G5*((R2882-1)*IF(Skills!H5&gt;0,INT(IF(Inputs!$B$3&gt;=104,MIN(35,20*(1+Inputs!$B$34/100)),20)/Skills!H5+0.000000001),1)+IF(Skills!H5&gt;0,INT(MIN(IF(Inputs!$B$3&gt;=104,MIN(35,20*(1+Inputs!$B$34/100)),20),MAX(0,MAX(0,Inputs!$B$43-B2915)-((R2882-1)*(IF(Inputs!$B$38="pvp",15,MAX(0.1,Skills!D5-IF(TRUE=TRUE,Inputs!$B$32,0)))*(1-IF(AND(ArtifactsInput!$M$27,Inputs!$B$4="Chapter Hunt"),CHOOSE(ArtifactsInput!$N$27+1,20,24,28,32,36,40),0)/100)))))/Skills!H5+0.000000001),1)))/Inputs!$B$43),G2882*Q2882))*IF(Inputs!$B$38="pvp",1,(1+(Inputs!$B$21+Skills!Q5+(IF(ArtifactsInput!$M$33,CHOOSE(ArtifactsInput!$N$33+1,30,36,42,48,54,60),0))+(IF(AND(ArtifactsInput!$M$35,Inputs!$B$4&lt;&gt;"Chapter Hunt"),CHOOSE(ArtifactsInput!$N$35+1,15,18,21,24,27,30)*(1-EXP(-(0.2*B2910)*5)),0)+IF(AND(ArtifactsInput!$M$22,Inputs!$B$4&lt;&gt;"Chapter Hunt"),CHOOSE(ArtifactsInput!$N$22+1,10,12,14,16,18,20)*((0*(((0.15*B2910*5))^0/1)+1*(((0.15*B2910*5))^1/1)+2*(((0.15*B2910*5))^2/2)+3*(((0.15*B2910*5))^3/6)+4*(((0.15*B2910*5))^4/24)+5*(((0.15*B2910*5))^5/120))/((((0.15*B2910*5))^0/1)+(((0.15*B2910*5))^1/1)+(((0.15*B2910*5))^2/2)+(((0.15*B2910*5))^3/6)+(((0.15*B2910*5))^4/24)+(((0.15*B2910*5))^5/120))),0))+IF(Inputs!$B$3&gt;=54,9*(C2880=TRUE)*MIN(1,8*(1+Inputs!$B$34/100)*Q2880)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83">
      <c r="A2883">
        <f>Skills!A6</f>
        <v/>
      </c>
      <c r="B2883">
        <f>Skills!B6</f>
        <v/>
      </c>
      <c r="C2883">
        <f>Inputs!$B$3&gt;=66</f>
        <v/>
      </c>
      <c r="D2883">
        <f>IF(Skills!C6=1,60+Inputs!$B$25+Inputs!$B$29,IF(Skills!C6=2,90+Inputs!$B$26+Inputs!$B$29,IF(Skills!C6=3,120+Inputs!$B$27+Inputs!$B$29,MAX(0,(Inputs!$B$3-100)*3)+Inputs!$B$28+Inputs!$B$29)))</f>
        <v/>
      </c>
      <c r="E2883">
        <f>INDEX(FactorTable!$B$2:$Y$301, MATCH(ROUND(MIN(300,MAX(1,D2883)),0), FactorTable!$A$2:$A$301,0), Skills!M6+1)</f>
        <v/>
      </c>
      <c r="F2883">
        <f>IF(Skills!N6=TRUE,(Skills!L6/10)*(E2883/1000),Skills!L6/10)+Skills!O6</f>
        <v/>
      </c>
      <c r="G2883">
        <f>Skills!G6*IF(Skills!H6&gt;0,INT(IF(Inputs!$B$38="pvp",MIN(Skills!I6,15),Skills!I6)/Skills!H6+0.000000001),1)</f>
        <v/>
      </c>
      <c r="H2883">
        <f>1-(1-Skills!J6/100)^Skills!K6</f>
        <v/>
      </c>
      <c r="I2883" t="inlineStr">
        <is>
          <t>1</t>
        </is>
      </c>
      <c r="J2883">
        <f>((Inputs!$B$6*(1+Inputs!$B$7/100))+(((Inputs!$B$12*(1+Inputs!$B$13/100))-(Inputs!$B$12*(1+Inputs!$B$13/100)))+0.25*(Inputs!$B$14-Inputs!$B$14))*(1+Inputs!$B$7/100))*(F2883/100)</f>
        <v/>
      </c>
      <c r="K2883">
        <f>J2883*(1+((Inputs!$B$12*(1+Inputs!$B$13/100))*0.01+Inputs!$B$14*0.0025)/100)*(1+Inputs!$B$15/100)*(1+Inputs!$B$16/100)*(5000/(6000+Inputs!$B$42*(1-(100*(1-(1-(Inputs!$B$19+0)/100)*(1-CHOOSE(ArtifactsInput!$N$40+1,5,6,7,8,9,10)/100)^(ArtifactsInput!$M$40-ArtifactsInput!$M$40)))/100)))*(1+(Inputs!$B$24+((C2903=TRUE)*(F2903-Calc!F26))+B2914)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+2.0*IF(C2892=TRUE,F2892,0)/100)*(1+(IF(Skills!A6="EIGHT_LEGS_EASTON",Inputs!$B$17+((C2900=TRUE)*(F2900-Calc!F23))+((C2904=TRUE)*(F2904-Calc!F27))+((IF(AND(Inputs!$B$38&lt;&gt;"pvp",Inputs!$B$43=0),1,IF(IF(Inputs!$B$38="pvp",15,Inputs!$B$43)-(B2915)&lt;=0,1,MAX(0,IF(Inputs!$B$38="pvp",15,Inputs!$B$43)-MAX(5,B2915))/(IF(Inputs!$B$38="pvp",15,Inputs!$B$43)-(B2915))))*(IF(AND(IF(ArtifactsInput!$M$42,FALSE,TRUE),((Inputs!$B$9+((C2896=TRUE)*(F2896-Calc!F19))+B2908+(ArtifactsInput!$M$24-ArtifactsInput!$M$24)*CHOOSE(ArtifactsInput!$N$24+1,10,12,14,16,18,20)+IF(ArtifactsInput!$M$10,CHOOSE(ArtifactsInput!$N$10+1,15,18,21,24,27,30)*(IF(Inputs!$B$38="pvp",MIN(15,15)/15,IF(AND(Inputs!$B$38&lt;&gt;"pvp",Inputs!$B$43&gt;0),MIN(15,Inputs!$B$43)/(Inputs!$B$43),0))),0)))&gt;=100),MIN(100,((Inputs!$B$9+((C2896=TRUE)*(F2896-Calc!F19))+B2908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2915)&lt;=0,1,MAX(0,IF(Inputs!$B$38="pvp",15,Inputs!$B$43)-MAX(5,B2915))/(IF(Inputs!$B$38="pvp",15,Inputs!$B$43)-(B2915))))*IF(AND(IF(ArtifactsInput!$M$42,FALSE,TRUE),((Inputs!$B$9+((C2896=TRUE)*(F2896-Calc!F19))+B2908+(ArtifactsInput!$M$24-ArtifactsInput!$M$24)*CHOOSE(ArtifactsInput!$N$24+1,10,12,14,16,18,20)+IF(ArtifactsInput!$M$10,CHOOSE(ArtifactsInput!$N$10+1,15,18,21,24,27,30)*(IF(Inputs!$B$38="pvp",MIN(15,15)/15,IF(AND(Inputs!$B$38&lt;&gt;"pvp",Inputs!$B$43&gt;0),MIN(15,Inputs!$B$43)/(Inputs!$B$43),0))),0)))&gt;=100),CHOOSE(ArtifactsInput!$N$42+1,40,48,56,64,72,80),0))))/100)*((1+(((C2894=TRUE)*F2894*5/7)+((C2901=TRUE)*(F2901-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2883)</f>
        <v/>
      </c>
      <c r="L2883">
        <f>K2883*(MIN(Inputs!$B$22+((C2899=TRUE)*(F2899-Calc!F22)),(Inputs!$B$23+0+(IF(ArtifactsInput!$M$15,CHOOSE(ArtifactsInput!$N$15+1,25,30,35,40,45,50)/100*(Inputs!$B$11-Inputs!$B$11),0))))/100+(Inputs!$B$23+0+(IF(ArtifactsInput!$M$15,CHOOSE(ArtifactsInput!$N$15+1,25,30,35,40,45,50)/100*(Inputs!$B$11-Inputs!$B$11),0)))/100)/2</f>
        <v/>
      </c>
      <c r="M2883">
        <f>L2883*(1+(Inputs!$B$10+((C2902=TRUE)*(F2902-Calc!F25))+B2913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83">
        <f>L2883*(1-MIN((Inputs!$B$9+((C2896=TRUE)*(F2896-Calc!F19))+B2908+(ArtifactsInput!$M$24-ArtifactsInput!$M$24)*CHOOSE(ArtifactsInput!$N$24+1,10,12,14,16,18,20)+(IF(AND(Inputs!$B$38&lt;&gt;"pvp",Inputs!$B$43=0),1,IF(IF(Inputs!$B$38="pvp",15,Inputs!$B$43)-(B2915)&lt;=0,1,MAX(0,IF(Inputs!$B$38="pvp",15,Inputs!$B$43)-MAX(5,B2915))/(IF(Inputs!$B$38="pvp",15,Inputs!$B$43)-(B2915))))*IF(AND(IF(ArtifactsInput!$M$42,FALSE,TRUE),((Inputs!$B$9+((C2896=TRUE)*(F2896-Calc!F19))+B2908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2883*(MIN((Inputs!$B$9+((C2896=TRUE)*(F2896-Calc!F19))+B2908+(ArtifactsInput!$M$24-ArtifactsInput!$M$24)*CHOOSE(ArtifactsInput!$N$24+1,10,12,14,16,18,20)+(IF(AND(Inputs!$B$38&lt;&gt;"pvp",Inputs!$B$43=0),1,IF(IF(Inputs!$B$38="pvp",15,Inputs!$B$43)-(B2915)&lt;=0,1,MAX(0,IF(Inputs!$B$38="pvp",15,Inputs!$B$43)-MAX(5,B2915))/(IF(Inputs!$B$38="pvp",15,Inputs!$B$43)-(B2915))))*IF(AND(IF(ArtifactsInput!$M$42,FALSE,TRUE),((Inputs!$B$9+((C2896=TRUE)*(F2896-Calc!F19))+B2908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83">
        <f>(1-Summary!$B$11)*T2883+Summary!$B$11*V2883</f>
        <v/>
      </c>
      <c r="P2883">
        <f>IF(B2918=0,0,O2883/B2918)</f>
        <v/>
      </c>
      <c r="Q2883">
        <f>IFERROR(1/(IF(Inputs!$B$38="pvp",15,MAX(0.1,Skills!D6-IF(TRUE=TRUE,Inputs!$B$32,0)))*(1-IF(AND(ArtifactsInput!$M$27,Inputs!$B$4="Chapter Hunt"),CHOOSE(ArtifactsInput!$N$27+1,20,24,28,32,36,40),0)/100)),0)</f>
        <v/>
      </c>
      <c r="R2883">
        <f>IF(AND(Inputs!$B$38&lt;&gt;"pvp",Inputs!$B$43&gt;0),IF(MAX(0,Inputs!$B$43-B2915)&lt;=0,0,(INT(MAX(0,Inputs!$B$43-B2915)/(IF(Inputs!$B$38="pvp",15,MAX(0.1,Skills!D6-IF(TRUE=TRUE,Inputs!$B$32,0)))*(1-IF(AND(ArtifactsInput!$M$27,Inputs!$B$4="Chapter Hunt"),CHOOSE(ArtifactsInput!$N$27+1,20,24,28,32,36,40),0)/100)))+1)),0)</f>
        <v/>
      </c>
      <c r="S2883">
        <f>IFERROR(O2883/N2883,0)</f>
        <v/>
      </c>
      <c r="T2883">
        <f>IF(C2883,(H2883*N2883*IF(AND(Inputs!$B$38&lt;&gt;"pvp",Inputs!$B$43&gt;0),((Skills!G6*((R2883-1)*IF(Skills!H6&gt;0,INT(Skills!I6/Skills!H6+0.000000001),1)+IF(Skills!H6&gt;0,INT(MIN(Skills!I6,MAX(0,MAX(0,Inputs!$B$43-B2915)-((R2883-1)*(IF(Inputs!$B$38="pvp",15,MAX(0.1,Skills!D6-IF(TRUE=TRUE,Inputs!$B$32,0)))*(1-IF(AND(ArtifactsInput!$M$27,Inputs!$B$4="Chapter Hunt"),CHOOSE(ArtifactsInput!$N$27+1,20,24,28,32,36,40),0)/100)))))/Skills!H6+0.000000001),1)))/Inputs!$B$43),G2883*Q2883))*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Hunt"),CHOOSE(ArtifactsInput!$N$35+1,15,18,21,24,27,30)*(1-EXP(-(0.2*B2910)*5)),0)+IF(AND(ArtifactsInput!$M$22,Inputs!$B$4&lt;&gt;"Chapter Hunt"),CHOOSE(ArtifactsInput!$N$22+1,10,12,14,16,18,20)*((0*(((0.15*B2910*5))^0/1)+1*(((0.15*B2910*5))^1/1)+2*(((0.15*B2910*5))^2/2)+3*(((0.15*B2910*5))^3/6)+4*(((0.15*B2910*5))^4/24)+5*(((0.15*B2910*5))^5/120))/((((0.15*B2910*5))^0/1)+(((0.15*B2910*5))^1/1)+(((0.15*B2910*5))^2/2)+(((0.15*B2910*5))^3/6)+(((0.15*B2910*5))^4/24)+(((0.15*B2910*5))^5/120))),0))+IF(Inputs!$B$3&gt;=54,9*(C2880=TRUE)*MIN(1,8*(1+Inputs!$B$34/100)*Q2880)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2883*(1-MIN(100,(Inputs!$B$9+((C2896=TRUE)*(F2896-Calc!F19))+B2908+(ArtifactsInput!$M$24-ArtifactsInput!$M$24)*CHOOSE(ArtifactsInput!$N$24+1,10,12,14,16,18,20)+(IF(AND(Inputs!$B$38&lt;&gt;"pvp",Inputs!$B$43=0),1,IF(IF(Inputs!$B$38="pvp",15,Inputs!$B$43)-(B2915)&lt;=0,1,MAX(0,IF(Inputs!$B$38="pvp",15,Inputs!$B$43)-MAX(5,B2915))/(IF(Inputs!$B$38="pvp",15,Inputs!$B$43)-(B2915))))*IF(AND(IF(ArtifactsInput!$M$42,FALSE,TRUE),((Inputs!$B$9+((C2896=TRUE)*(F2896-Calc!F19))+B2908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2883*(MIN(100,(Inputs!$B$9+((C2896=TRUE)*(F2896-Calc!F19))+B2908+(ArtifactsInput!$M$24-ArtifactsInput!$M$24)*CHOOSE(ArtifactsInput!$N$24+1,10,12,14,16,18,20)+(IF(AND(Inputs!$B$38&lt;&gt;"pvp",Inputs!$B$43=0),1,IF(IF(Inputs!$B$38="pvp",15,Inputs!$B$43)-(B2915)&lt;=0,1,MAX(0,IF(Inputs!$B$38="pvp",15,Inputs!$B$43)-MAX(5,B2915))/(IF(Inputs!$B$38="pvp",15,Inputs!$B$43)-(B2915))))*IF(AND(IF(ArtifactsInput!$M$42,FALSE,TRUE),((Inputs!$B$9+((C2896=TRUE)*(F2896-Calc!F19))+B2908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2883*(1-MIN(100,(Inputs!$B$9+((C2896=TRUE)*(F2896-Calc!F19))+B2908+(ArtifactsInput!$M$24-ArtifactsInput!$M$24)*CHOOSE(ArtifactsInput!$N$24+1,10,12,14,16,18,20)+(IF(AND(Inputs!$B$38&lt;&gt;"pvp",Inputs!$B$43=0),1,IF(IF(Inputs!$B$38="pvp",15,Inputs!$B$43)-(B2915)&lt;=0,1,MAX(0,IF(Inputs!$B$38="pvp",15,Inputs!$B$43)-MAX(5,B2915))/(IF(Inputs!$B$38="pvp",15,Inputs!$B$43)-(B2915))))*IF(AND(IF(ArtifactsInput!$M$42,FALSE,TRUE),((Inputs!$B$9+((C2896=TRUE)*(F2896-Calc!F19))+B2908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2883*(MIN(100,(Inputs!$B$9+((C2896=TRUE)*(F2896-Calc!F19))+B2908+(ArtifactsInput!$M$24-ArtifactsInput!$M$24)*CHOOSE(ArtifactsInput!$N$24+1,10,12,14,16,18,20)+(IF(AND(Inputs!$B$38&lt;&gt;"pvp",Inputs!$B$43=0),1,IF(IF(Inputs!$B$38="pvp",15,Inputs!$B$43)-(B2915)&lt;=0,1,MAX(0,IF(Inputs!$B$38="pvp",15,Inputs!$B$43)-MAX(5,B2915))/(IF(Inputs!$B$38="pvp",15,Inputs!$B$43)-(B2915))))*IF(AND(IF(ArtifactsInput!$M$42,FALSE,TRUE),((Inputs!$B$9+((C2896=TRUE)*(F2896-Calc!F19))+B2908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883">
        <f>IF(C2883,(H2883*N2883*IF(AND(Inputs!$B$38&lt;&gt;"pvp",Inputs!$B$43&gt;0),((Skills!G6*((R2883-1)*IF(Skills!H6&gt;0,INT(Skills!I6/Skills!H6+0.000000001),1)+IF(Skills!H6&gt;0,INT(MIN(Skills!I6,MAX(0,MAX(0,Inputs!$B$43-B2915)-((R2883-1)*(IF(Inputs!$B$38="pvp",15,MAX(0.1,Skills!D6-IF(TRUE=TRUE,Inputs!$B$32,0)))*(1-IF(AND(ArtifactsInput!$M$27,Inputs!$B$4="Chapter Hunt"),CHOOSE(ArtifactsInput!$N$27+1,20,24,28,32,36,40),0)/100)))))/Skills!H6+0.000000001),1)))/Inputs!$B$43),G2883*Q2883))*IF(Inputs!$B$38="pvp",1,(1+(Inputs!$B$21+Skills!Q6+(IF(ArtifactsInput!$M$33,CHOOSE(ArtifactsInput!$N$33+1,30,36,42,48,54,60),0))+(IF(AND(ArtifactsInput!$M$35,Inputs!$B$4&lt;&gt;"Chapter Hunt"),CHOOSE(ArtifactsInput!$N$35+1,15,18,21,24,27,30)*(1-EXP(-(0.2*B2910)*5)),0)+IF(AND(ArtifactsInput!$M$22,Inputs!$B$4&lt;&gt;"Chapter Hunt"),CHOOSE(ArtifactsInput!$N$22+1,10,12,14,16,18,20)*((0*(((0.15*B2910*5))^0/1)+1*(((0.15*B2910*5))^1/1)+2*(((0.15*B2910*5))^2/2)+3*(((0.15*B2910*5))^3/6)+4*(((0.15*B2910*5))^4/24)+5*(((0.15*B2910*5))^5/120))/((((0.15*B2910*5))^0/1)+(((0.15*B2910*5))^1/1)+(((0.15*B2910*5))^2/2)+(((0.15*B2910*5))^3/6)+(((0.15*B2910*5))^4/24)+(((0.15*B2910*5))^5/120))),0))+IF(Inputs!$B$3&gt;=54,9*(C2880=TRUE)*MIN(1,8*(1+Inputs!$B$34/100)*Q2880)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84">
      <c r="A2884">
        <f>Skills!A7</f>
        <v/>
      </c>
      <c r="B2884">
        <f>Skills!B7</f>
        <v/>
      </c>
      <c r="C2884">
        <f>Inputs!$B$3&gt;=63</f>
        <v/>
      </c>
      <c r="D2884">
        <f>IF(Skills!C7=1,60+Inputs!$B$25+Inputs!$B$29,IF(Skills!C7=2,90+Inputs!$B$26+Inputs!$B$29,IF(Skills!C7=3,120+Inputs!$B$27+Inputs!$B$29,MAX(0,(Inputs!$B$3-100)*3)+Inputs!$B$28+Inputs!$B$29)))</f>
        <v/>
      </c>
      <c r="E2884">
        <f>INDEX(FactorTable!$B$2:$Y$301, MATCH(ROUND(MIN(300,MAX(1,D2884)),0), FactorTable!$A$2:$A$301,0), Skills!M7+1)</f>
        <v/>
      </c>
      <c r="F2884">
        <f>IF(Skills!N7=TRUE,(Skills!L7/10)*(E2884/1000),Skills!L7/10)+Skills!O7</f>
        <v/>
      </c>
      <c r="G2884">
        <f>Skills!G7*IF(Skills!H7&gt;0,INT(IF(Inputs!$B$38="pvp",MIN(Skills!I7,15),Skills!I7)/Skills!H7+0.000000001),1)</f>
        <v/>
      </c>
      <c r="H2884">
        <f>1-(1-Skills!J7/100)^Skills!K7</f>
        <v/>
      </c>
      <c r="I2884" t="inlineStr">
        <is>
          <t>1</t>
        </is>
      </c>
      <c r="J2884">
        <f>((Inputs!$B$6*(1+Inputs!$B$7/100))+(((Inputs!$B$12*(1+Inputs!$B$13/100))-(Inputs!$B$12*(1+Inputs!$B$13/100)))+0.25*(Inputs!$B$14-Inputs!$B$14))*(1+Inputs!$B$7/100))*(F2884/100)</f>
        <v/>
      </c>
      <c r="K2884">
        <f>J2884*(1+((Inputs!$B$12*(1+Inputs!$B$13/100))*0.01+Inputs!$B$14*0.0025)/100)*(1+Inputs!$B$15/100)*(1+Inputs!$B$16/100)*(5000/(6000+Inputs!$B$42*(1-(100*(1-(1-(Inputs!$B$19+0)/100)*(1-CHOOSE(ArtifactsInput!$N$40+1,5,6,7,8,9,10)/100)^(ArtifactsInput!$M$40-ArtifactsInput!$M$40)))/100)))*(1+(Inputs!$B$24+((C2903=TRUE)*(F2903-Calc!F26))+B2914)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2892=TRUE,F2892,0)/100)*(1+(IF(Skills!A7="EIGHT_LEGS_EASTON",Inputs!$B$17+((C2900=TRUE)*(F2900-Calc!F23))+((C2904=TRUE)*(F2904-Calc!F27))+((IF(AND(Inputs!$B$38&lt;&gt;"pvp",Inputs!$B$43=0),1,IF(IF(Inputs!$B$38="pvp",15,Inputs!$B$43)-(B2915)&lt;=0,1,MAX(0,IF(Inputs!$B$38="pvp",15,Inputs!$B$43)-MAX(5,B2915))/(IF(Inputs!$B$38="pvp",15,Inputs!$B$43)-(B2915))))*(IF(AND(IF(ArtifactsInput!$M$42,FALSE,TRUE),((Inputs!$B$9+((C2896=TRUE)*(F2896-Calc!F19))+B2908+(ArtifactsInput!$M$24-ArtifactsInput!$M$24)*CHOOSE(ArtifactsInput!$N$24+1,10,12,14,16,18,20)+IF(ArtifactsInput!$M$10,CHOOSE(ArtifactsInput!$N$10+1,15,18,21,24,27,30)*(IF(Inputs!$B$38="pvp",MIN(15,15)/15,IF(AND(Inputs!$B$38&lt;&gt;"pvp",Inputs!$B$43&gt;0),MIN(15,Inputs!$B$43)/(Inputs!$B$43),0))),0)))&gt;=100),MIN(100,((Inputs!$B$9+((C2896=TRUE)*(F2896-Calc!F19))+B2908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2915)&lt;=0,1,MAX(0,IF(Inputs!$B$38="pvp",15,Inputs!$B$43)-MAX(5,B2915))/(IF(Inputs!$B$38="pvp",15,Inputs!$B$43)-(B2915))))*IF(AND(IF(ArtifactsInput!$M$42,FALSE,TRUE),((Inputs!$B$9+((C2896=TRUE)*(F2896-Calc!F19))+B2908+(ArtifactsInput!$M$24-ArtifactsInput!$M$24)*CHOOSE(ArtifactsInput!$N$24+1,10,12,14,16,18,20)+IF(ArtifactsInput!$M$10,CHOOSE(ArtifactsInput!$N$10+1,15,18,21,24,27,30)*(IF(Inputs!$B$38="pvp",MIN(15,15)/15,IF(AND(Inputs!$B$38&lt;&gt;"pvp",Inputs!$B$43&gt;0),MIN(15,Inputs!$B$43)/(Inputs!$B$43),0))),0)))&gt;=100),CHOOSE(ArtifactsInput!$N$42+1,40,48,56,64,72,80),0))))/100)*((1+(((C2894=TRUE)*F2894*5/7)+((C2901=TRUE)*(F2901-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2884)</f>
        <v/>
      </c>
      <c r="L2884">
        <f>K2884*(MIN(Inputs!$B$22+((C2899=TRUE)*(F2899-Calc!F22)),(Inputs!$B$23+0+(IF(ArtifactsInput!$M$15,CHOOSE(ArtifactsInput!$N$15+1,25,30,35,40,45,50)/100*(Inputs!$B$11-Inputs!$B$11),0))))/100+(Inputs!$B$23+0+(IF(ArtifactsInput!$M$15,CHOOSE(ArtifactsInput!$N$15+1,25,30,35,40,45,50)/100*(Inputs!$B$11-Inputs!$B$11),0)))/100)/2</f>
        <v/>
      </c>
      <c r="M2884">
        <f>L2884*(1+(Inputs!$B$10+((C2902=TRUE)*(F2902-Calc!F25))+B2913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84">
        <f>L2884*(1-MIN((Inputs!$B$9+((C2896=TRUE)*(F2896-Calc!F19))+B2908+(ArtifactsInput!$M$24-ArtifactsInput!$M$24)*CHOOSE(ArtifactsInput!$N$24+1,10,12,14,16,18,20)+(IF(AND(Inputs!$B$38&lt;&gt;"pvp",Inputs!$B$43=0),1,IF(IF(Inputs!$B$38="pvp",15,Inputs!$B$43)-(B2915)&lt;=0,1,MAX(0,IF(Inputs!$B$38="pvp",15,Inputs!$B$43)-MAX(5,B2915))/(IF(Inputs!$B$38="pvp",15,Inputs!$B$43)-(B2915))))*IF(AND(IF(ArtifactsInput!$M$42,FALSE,TRUE),((Inputs!$B$9+((C2896=TRUE)*(F2896-Calc!F19))+B2908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2884*(MIN((Inputs!$B$9+((C2896=TRUE)*(F2896-Calc!F19))+B2908+(ArtifactsInput!$M$24-ArtifactsInput!$M$24)*CHOOSE(ArtifactsInput!$N$24+1,10,12,14,16,18,20)+(IF(AND(Inputs!$B$38&lt;&gt;"pvp",Inputs!$B$43=0),1,IF(IF(Inputs!$B$38="pvp",15,Inputs!$B$43)-(B2915)&lt;=0,1,MAX(0,IF(Inputs!$B$38="pvp",15,Inputs!$B$43)-MAX(5,B2915))/(IF(Inputs!$B$38="pvp",15,Inputs!$B$43)-(B2915))))*IF(AND(IF(ArtifactsInput!$M$42,FALSE,TRUE),((Inputs!$B$9+((C2896=TRUE)*(F2896-Calc!F19))+B2908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84">
        <f>(1-Summary!$B$11)*T2884+Summary!$B$11*V2884</f>
        <v/>
      </c>
      <c r="P2884">
        <f>IF(B2918=0,0,O2884/B2918)</f>
        <v/>
      </c>
      <c r="Q2884">
        <f>IFERROR(1/(IF(Inputs!$B$38="pvp",15,MAX(0.1,Skills!D7-IF(TRUE=TRUE,Inputs!$B$32,0)))*(1-IF(AND(ArtifactsInput!$M$27,Inputs!$B$4="Chapter Hunt"),CHOOSE(ArtifactsInput!$N$27+1,20,24,28,32,36,40),0)/100)),0)</f>
        <v/>
      </c>
      <c r="R2884">
        <f>IF(AND(Inputs!$B$38&lt;&gt;"pvp",Inputs!$B$43&gt;0),IF(MAX(0,Inputs!$B$43-B2915)&lt;=0,0,(INT(MAX(0,Inputs!$B$43-B2915)/(IF(Inputs!$B$38="pvp",15,MAX(0.1,Skills!D7-IF(TRUE=TRUE,Inputs!$B$32,0)))*(1-IF(AND(ArtifactsInput!$M$27,Inputs!$B$4="Chapter Hunt"),CHOOSE(ArtifactsInput!$N$27+1,20,24,28,32,36,40),0)/100)))+1)),0)</f>
        <v/>
      </c>
      <c r="S2884">
        <f>IFERROR(O2884/N2884,0)</f>
        <v/>
      </c>
      <c r="T2884">
        <f>IF(C2884,(H2884*N2884*IF(AND(Inputs!$B$38&lt;&gt;"pvp",Inputs!$B$43&gt;0),((Skills!G7*((R2884-1)*IF(Skills!H7&gt;0,INT(Skills!I7/Skills!H7+0.000000001),1)+IF(Skills!H7&gt;0,INT(MIN(Skills!I7,MAX(0,MAX(0,Inputs!$B$43-B2915)-((R2884-1)*(IF(Inputs!$B$38="pvp",15,MAX(0.1,Skills!D7-IF(TRUE=TRUE,Inputs!$B$32,0)))*(1-IF(AND(ArtifactsInput!$M$27,Inputs!$B$4="Chapter Hunt"),CHOOSE(ArtifactsInput!$N$27+1,20,24,28,32,36,40),0)/100)))))/Skills!H7+0.000000001),1)))/Inputs!$B$43),G2884*Q2884))*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Hunt"),CHOOSE(ArtifactsInput!$N$35+1,15,18,21,24,27,30)*(1-EXP(-(0.2*B2910)*5)),0)+IF(AND(ArtifactsInput!$M$22,Inputs!$B$4&lt;&gt;"Chapter Hunt"),CHOOSE(ArtifactsInput!$N$22+1,10,12,14,16,18,20)*((0*(((0.15*B2910*5))^0/1)+1*(((0.15*B2910*5))^1/1)+2*(((0.15*B2910*5))^2/2)+3*(((0.15*B2910*5))^3/6)+4*(((0.15*B2910*5))^4/24)+5*(((0.15*B2910*5))^5/120))/((((0.15*B2910*5))^0/1)+(((0.15*B2910*5))^1/1)+(((0.15*B2910*5))^2/2)+(((0.15*B2910*5))^3/6)+(((0.15*B2910*5))^4/24)+(((0.15*B2910*5))^5/120))),0))+IF(Inputs!$B$3&gt;=54,9*(C2880=TRUE)*MIN(1,8*(1+Inputs!$B$34/100)*Q2880)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2884*(1-MIN(100,(Inputs!$B$9+((C2896=TRUE)*(F2896-Calc!F19))+B2908+(ArtifactsInput!$M$24-ArtifactsInput!$M$24)*CHOOSE(ArtifactsInput!$N$24+1,10,12,14,16,18,20)+(IF(AND(Inputs!$B$38&lt;&gt;"pvp",Inputs!$B$43=0),1,IF(IF(Inputs!$B$38="pvp",15,Inputs!$B$43)-(B2915)&lt;=0,1,MAX(0,IF(Inputs!$B$38="pvp",15,Inputs!$B$43)-MAX(5,B2915))/(IF(Inputs!$B$38="pvp",15,Inputs!$B$43)-(B2915))))*IF(AND(IF(ArtifactsInput!$M$42,FALSE,TRUE),((Inputs!$B$9+((C2896=TRUE)*(F2896-Calc!F19))+B2908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2884*(MIN(100,(Inputs!$B$9+((C2896=TRUE)*(F2896-Calc!F19))+B2908+(ArtifactsInput!$M$24-ArtifactsInput!$M$24)*CHOOSE(ArtifactsInput!$N$24+1,10,12,14,16,18,20)+(IF(AND(Inputs!$B$38&lt;&gt;"pvp",Inputs!$B$43=0),1,IF(IF(Inputs!$B$38="pvp",15,Inputs!$B$43)-(B2915)&lt;=0,1,MAX(0,IF(Inputs!$B$38="pvp",15,Inputs!$B$43)-MAX(5,B2915))/(IF(Inputs!$B$38="pvp",15,Inputs!$B$43)-(B2915))))*IF(AND(IF(ArtifactsInput!$M$42,FALSE,TRUE),((Inputs!$B$9+((C2896=TRUE)*(F2896-Calc!F19))+B2908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2884*(1-MIN(100,(Inputs!$B$9+((C2896=TRUE)*(F2896-Calc!F19))+B2908+(ArtifactsInput!$M$24-ArtifactsInput!$M$24)*CHOOSE(ArtifactsInput!$N$24+1,10,12,14,16,18,20)+(IF(AND(Inputs!$B$38&lt;&gt;"pvp",Inputs!$B$43=0),1,IF(IF(Inputs!$B$38="pvp",15,Inputs!$B$43)-(B2915)&lt;=0,1,MAX(0,IF(Inputs!$B$38="pvp",15,Inputs!$B$43)-MAX(5,B2915))/(IF(Inputs!$B$38="pvp",15,Inputs!$B$43)-(B2915))))*IF(AND(IF(ArtifactsInput!$M$42,FALSE,TRUE),((Inputs!$B$9+((C2896=TRUE)*(F2896-Calc!F19))+B2908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2884*(MIN(100,(Inputs!$B$9+((C2896=TRUE)*(F2896-Calc!F19))+B2908+(ArtifactsInput!$M$24-ArtifactsInput!$M$24)*CHOOSE(ArtifactsInput!$N$24+1,10,12,14,16,18,20)+(IF(AND(Inputs!$B$38&lt;&gt;"pvp",Inputs!$B$43=0),1,IF(IF(Inputs!$B$38="pvp",15,Inputs!$B$43)-(B2915)&lt;=0,1,MAX(0,IF(Inputs!$B$38="pvp",15,Inputs!$B$43)-MAX(5,B2915))/(IF(Inputs!$B$38="pvp",15,Inputs!$B$43)-(B2915))))*IF(AND(IF(ArtifactsInput!$M$42,FALSE,TRUE),((Inputs!$B$9+((C2896=TRUE)*(F2896-Calc!F19))+B2908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884">
        <f>IF(C2884,(H2884*N2884*IF(AND(Inputs!$B$38&lt;&gt;"pvp",Inputs!$B$43&gt;0),((Skills!G7*((R2884-1)*IF(Skills!H7&gt;0,INT(Skills!I7/Skills!H7+0.000000001),1)+IF(Skills!H7&gt;0,INT(MIN(Skills!I7,MAX(0,MAX(0,Inputs!$B$43-B2915)-((R2884-1)*(IF(Inputs!$B$38="pvp",15,MAX(0.1,Skills!D7-IF(TRUE=TRUE,Inputs!$B$32,0)))*(1-IF(AND(ArtifactsInput!$M$27,Inputs!$B$4="Chapter Hunt"),CHOOSE(ArtifactsInput!$N$27+1,20,24,28,32,36,40),0)/100)))))/Skills!H7+0.000000001),1)))/Inputs!$B$43),G2884*Q2884))*IF(Inputs!$B$38="pvp",1,(1+(Inputs!$B$21+Skills!Q7+(IF(ArtifactsInput!$M$33,CHOOSE(ArtifactsInput!$N$33+1,30,36,42,48,54,60),0))+(IF(AND(ArtifactsInput!$M$35,Inputs!$B$4&lt;&gt;"Chapter Hunt"),CHOOSE(ArtifactsInput!$N$35+1,15,18,21,24,27,30)*(1-EXP(-(0.2*B2910)*5)),0)+IF(AND(ArtifactsInput!$M$22,Inputs!$B$4&lt;&gt;"Chapter Hunt"),CHOOSE(ArtifactsInput!$N$22+1,10,12,14,16,18,20)*((0*(((0.15*B2910*5))^0/1)+1*(((0.15*B2910*5))^1/1)+2*(((0.15*B2910*5))^2/2)+3*(((0.15*B2910*5))^3/6)+4*(((0.15*B2910*5))^4/24)+5*(((0.15*B2910*5))^5/120))/((((0.15*B2910*5))^0/1)+(((0.15*B2910*5))^1/1)+(((0.15*B2910*5))^2/2)+(((0.15*B2910*5))^3/6)+(((0.15*B2910*5))^4/24)+(((0.15*B2910*5))^5/120))),0))+IF(Inputs!$B$3&gt;=54,9*(C2880=TRUE)*MIN(1,8*(1+Inputs!$B$34/100)*Q2880)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85">
      <c r="A2885">
        <f>Skills!A8</f>
        <v/>
      </c>
      <c r="B2885">
        <f>Skills!B8</f>
        <v/>
      </c>
      <c r="C2885">
        <f>Inputs!$B$3&gt;=103</f>
        <v/>
      </c>
      <c r="D2885">
        <f>IF(Skills!C8=1,60+Inputs!$B$25+Inputs!$B$29,IF(Skills!C8=2,90+Inputs!$B$26+Inputs!$B$29,IF(Skills!C8=3,120+Inputs!$B$27+Inputs!$B$29,MAX(0,(Inputs!$B$3-100)*3)+Inputs!$B$28+Inputs!$B$29)))</f>
        <v/>
      </c>
      <c r="E2885">
        <f>INDEX(FactorTable!$B$2:$Y$301, MATCH(ROUND(MIN(300,MAX(1,D2885)),0), FactorTable!$A$2:$A$301,0), Skills!M8+1)</f>
        <v/>
      </c>
      <c r="F2885">
        <f>IF(Skills!N8=TRUE,(Skills!L8/10)*(E2885/1000),Skills!L8/10)+Skills!O8</f>
        <v/>
      </c>
      <c r="G2885">
        <f>Skills!G8*IF(Skills!H8&gt;0,INT(IF(Inputs!$B$38="pvp",MIN(Skills!I8,15),Skills!I8)/Skills!H8+0.000000001),1)</f>
        <v/>
      </c>
      <c r="H2885">
        <f>1-(1-Skills!J8/100)^Skills!K8</f>
        <v/>
      </c>
      <c r="I2885" t="inlineStr">
        <is>
          <t>1</t>
        </is>
      </c>
      <c r="J2885">
        <f>((Inputs!$B$6*(1+Inputs!$B$7/100))+(((Inputs!$B$12*(1+Inputs!$B$13/100))-(Inputs!$B$12*(1+Inputs!$B$13/100)))+0.25*(Inputs!$B$14-Inputs!$B$14))*(1+Inputs!$B$7/100))*(F2885/100)</f>
        <v/>
      </c>
      <c r="K2885">
        <f>J2885*(1+((Inputs!$B$12*(1+Inputs!$B$13/100))*0.01+Inputs!$B$14*0.0025)/100)*(1+Inputs!$B$15/100)*(1+Inputs!$B$16/100)*(5000/(6000+Inputs!$B$42*(1-(100*(1-(1-(Inputs!$B$19+0)/100)*(1-CHOOSE(ArtifactsInput!$N$40+1,5,6,7,8,9,10)/100)^(ArtifactsInput!$M$40-ArtifactsInput!$M$40)))/100)))*(1+(Inputs!$B$24+((C2903=TRUE)*(F2903-Calc!F26))+B2914)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IGHT_LEGS_EASTON",Inputs!$B$17+((C2900=TRUE)*(F2900-Calc!F23))+((C2904=TRUE)*(F2904-Calc!F27))+((IF(AND(Inputs!$B$38&lt;&gt;"pvp",Inputs!$B$43=0),1,IF(IF(Inputs!$B$38="pvp",15,Inputs!$B$43)-(B2915)&lt;=0,1,MAX(0,IF(Inputs!$B$38="pvp",15,Inputs!$B$43)-MAX(5,B2915))/(IF(Inputs!$B$38="pvp",15,Inputs!$B$43)-(B2915))))*(IF(AND(IF(ArtifactsInput!$M$42,FALSE,TRUE),((Inputs!$B$9+((C2896=TRUE)*(F2896-Calc!F19))+B2908+(ArtifactsInput!$M$24-ArtifactsInput!$M$24)*CHOOSE(ArtifactsInput!$N$24+1,10,12,14,16,18,20)+IF(ArtifactsInput!$M$10,CHOOSE(ArtifactsInput!$N$10+1,15,18,21,24,27,30)*(IF(Inputs!$B$38="pvp",MIN(15,15)/15,IF(AND(Inputs!$B$38&lt;&gt;"pvp",Inputs!$B$43&gt;0),MIN(15,Inputs!$B$43)/(Inputs!$B$43),0))),0)))&gt;=100),MIN(100,((Inputs!$B$9+((C2896=TRUE)*(F2896-Calc!F19))+B2908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2915)&lt;=0,1,MAX(0,IF(Inputs!$B$38="pvp",15,Inputs!$B$43)-MAX(5,B2915))/(IF(Inputs!$B$38="pvp",15,Inputs!$B$43)-(B2915))))*IF(AND(IF(ArtifactsInput!$M$42,FALSE,TRUE),((Inputs!$B$9+((C2896=TRUE)*(F2896-Calc!F19))+B2908+(ArtifactsInput!$M$24-ArtifactsInput!$M$24)*CHOOSE(ArtifactsInput!$N$24+1,10,12,14,16,18,20)+IF(ArtifactsInput!$M$10,CHOOSE(ArtifactsInput!$N$10+1,15,18,21,24,27,30)*(IF(Inputs!$B$38="pvp",MIN(15,15)/15,IF(AND(Inputs!$B$38&lt;&gt;"pvp",Inputs!$B$43&gt;0),MIN(15,Inputs!$B$43)/(Inputs!$B$43),0))),0)))&gt;=100),CHOOSE(ArtifactsInput!$N$42+1,40,48,56,64,72,80),0))))/100)*((1+(((C2894=TRUE)*F2894*5/7)+((C2901=TRUE)*(F2901-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2885)</f>
        <v/>
      </c>
      <c r="L2885">
        <f>K2885*(MIN(Inputs!$B$22+((C2899=TRUE)*(F2899-Calc!F22)),(Inputs!$B$23+0+(IF(ArtifactsInput!$M$15,CHOOSE(ArtifactsInput!$N$15+1,25,30,35,40,45,50)/100*(Inputs!$B$11-Inputs!$B$11),0))))/100+(Inputs!$B$23+0+(IF(ArtifactsInput!$M$15,CHOOSE(ArtifactsInput!$N$15+1,25,30,35,40,45,50)/100*(Inputs!$B$11-Inputs!$B$11),0)))/100)/2</f>
        <v/>
      </c>
      <c r="M2885">
        <f>L2885*(1+(Inputs!$B$10+((C2902=TRUE)*(F2902-Calc!F25))+B2913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85">
        <f>L2885*(1-MIN((Inputs!$B$9+((C2896=TRUE)*(F2896-Calc!F19))+B2908+(ArtifactsInput!$M$24-ArtifactsInput!$M$24)*CHOOSE(ArtifactsInput!$N$24+1,10,12,14,16,18,20)+(IF(AND(Inputs!$B$38&lt;&gt;"pvp",Inputs!$B$43=0),1,IF(IF(Inputs!$B$38="pvp",15,Inputs!$B$43)-(B2915)&lt;=0,1,MAX(0,IF(Inputs!$B$38="pvp",15,Inputs!$B$43)-MAX(5,B2915))/(IF(Inputs!$B$38="pvp",15,Inputs!$B$43)-(B2915))))*IF(AND(IF(ArtifactsInput!$M$42,FALSE,TRUE),((Inputs!$B$9+((C2896=TRUE)*(F2896-Calc!F19))+B2908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2885*(MIN((Inputs!$B$9+((C2896=TRUE)*(F2896-Calc!F19))+B2908+(ArtifactsInput!$M$24-ArtifactsInput!$M$24)*CHOOSE(ArtifactsInput!$N$24+1,10,12,14,16,18,20)+(IF(AND(Inputs!$B$38&lt;&gt;"pvp",Inputs!$B$43=0),1,IF(IF(Inputs!$B$38="pvp",15,Inputs!$B$43)-(B2915)&lt;=0,1,MAX(0,IF(Inputs!$B$38="pvp",15,Inputs!$B$43)-MAX(5,B2915))/(IF(Inputs!$B$38="pvp",15,Inputs!$B$43)-(B2915))))*IF(AND(IF(ArtifactsInput!$M$42,FALSE,TRUE),((Inputs!$B$9+((C2896=TRUE)*(F2896-Calc!F19))+B2908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85">
        <f>(1-Summary!$B$11)*T2885+Summary!$B$11*V2885</f>
        <v/>
      </c>
      <c r="P2885">
        <f>IF(B2918=0,0,O2885/B2918)</f>
        <v/>
      </c>
      <c r="Q2885">
        <f>IFERROR(1/((IF(Inputs!$B$38="pvp",15,MAX(0.1,Skills!D8-IF(TRUE=TRUE,Inputs!$B$32,0)))*(1-IF(AND(ArtifactsInput!$M$27,Inputs!$B$4="Chapter Hunt"),CHOOSE(ArtifactsInput!$N$27+1,20,24,28,32,36,40),0)/100))/B2919),0)</f>
        <v/>
      </c>
      <c r="R2885">
        <f>IF(AND(Inputs!$B$38&lt;&gt;"pvp",Inputs!$B$43&gt;0),IF(MAX(0,Inputs!$B$43-B2915)&lt;=0,0,(INT(MAX(0,Inputs!$B$43-B2915)/((IF(Inputs!$B$38="pvp",15,MAX(0.1,Skills!D8-IF(TRUE=TRUE,Inputs!$B$32,0)))*(1-IF(AND(ArtifactsInput!$M$27,Inputs!$B$4="Chapter Hunt"),CHOOSE(ArtifactsInput!$N$27+1,20,24,28,32,36,40),0)/100))/B2919))+1)),0)</f>
        <v/>
      </c>
      <c r="S2885">
        <f>IFERROR(O2885/N2885,0)</f>
        <v/>
      </c>
      <c r="T2885">
        <f>IF(C2885,(H2885*N2885*IF(AND(Inputs!$B$38&lt;&gt;"pvp",Inputs!$B$43&gt;0),((Skills!G8*((R2885-1)*IF(Skills!H8&gt;0,INT(Skills!I8/Skills!H8+0.000000001),1)+IF(Skills!H8&gt;0,INT(MIN(Skills!I8,MAX(0,MAX(0,Inputs!$B$43-B2915)-((R2885-1)*((IF(Inputs!$B$38="pvp",15,MAX(0.1,Skills!D8-IF(TRUE=TRUE,Inputs!$B$32,0)))*(1-IF(AND(ArtifactsInput!$M$27,Inputs!$B$4="Chapter Hunt"),CHOOSE(ArtifactsInput!$N$27+1,20,24,28,32,36,40),0)/100))/B2919))))/Skills!H8+0.000000001),1)))/Inputs!$B$43),G2885*Q2885))*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Hunt"),CHOOSE(ArtifactsInput!$N$35+1,15,18,21,24,27,30)*(1-EXP(-(0.2*B2910)*5)),0)+IF(AND(ArtifactsInput!$M$22,Inputs!$B$4&lt;&gt;"Chapter Hunt"),CHOOSE(ArtifactsInput!$N$22+1,10,12,14,16,18,20)*((0*(((0.15*B2910*5))^0/1)+1*(((0.15*B2910*5))^1/1)+2*(((0.15*B2910*5))^2/2)+3*(((0.15*B2910*5))^3/6)+4*(((0.15*B2910*5))^4/24)+5*(((0.15*B2910*5))^5/120))/((((0.15*B2910*5))^0/1)+(((0.15*B2910*5))^1/1)+(((0.15*B2910*5))^2/2)+(((0.15*B2910*5))^3/6)+(((0.15*B2910*5))^4/24)+(((0.15*B2910*5))^5/120))),0))+IF(Inputs!$B$3&gt;=54,9*(C2880=TRUE)*MIN(1,8*(1+Inputs!$B$34/100)*Q2880)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2885*(1-MIN(100,(Inputs!$B$9+((C2896=TRUE)*(F2896-Calc!F19))+B2908+(ArtifactsInput!$M$24-ArtifactsInput!$M$24)*CHOOSE(ArtifactsInput!$N$24+1,10,12,14,16,18,20)+(IF(AND(Inputs!$B$38&lt;&gt;"pvp",Inputs!$B$43=0),1,IF(IF(Inputs!$B$38="pvp",15,Inputs!$B$43)-(B2915)&lt;=0,1,MAX(0,IF(Inputs!$B$38="pvp",15,Inputs!$B$43)-MAX(5,B2915))/(IF(Inputs!$B$38="pvp",15,Inputs!$B$43)-(B2915))))*IF(AND(IF(ArtifactsInput!$M$42,FALSE,TRUE),((Inputs!$B$9+((C2896=TRUE)*(F2896-Calc!F19))+B2908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2885*(MIN(100,(Inputs!$B$9+((C2896=TRUE)*(F2896-Calc!F19))+B2908+(ArtifactsInput!$M$24-ArtifactsInput!$M$24)*CHOOSE(ArtifactsInput!$N$24+1,10,12,14,16,18,20)+(IF(AND(Inputs!$B$38&lt;&gt;"pvp",Inputs!$B$43=0),1,IF(IF(Inputs!$B$38="pvp",15,Inputs!$B$43)-(B2915)&lt;=0,1,MAX(0,IF(Inputs!$B$38="pvp",15,Inputs!$B$43)-MAX(5,B2915))/(IF(Inputs!$B$38="pvp",15,Inputs!$B$43)-(B2915))))*IF(AND(IF(ArtifactsInput!$M$42,FALSE,TRUE),((Inputs!$B$9+((C2896=TRUE)*(F2896-Calc!F19))+B2908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2885*(1-MIN(100,(Inputs!$B$9+((C2896=TRUE)*(F2896-Calc!F19))+B2908+(ArtifactsInput!$M$24-ArtifactsInput!$M$24)*CHOOSE(ArtifactsInput!$N$24+1,10,12,14,16,18,20)+(IF(AND(Inputs!$B$38&lt;&gt;"pvp",Inputs!$B$43=0),1,IF(IF(Inputs!$B$38="pvp",15,Inputs!$B$43)-(B2915)&lt;=0,1,MAX(0,IF(Inputs!$B$38="pvp",15,Inputs!$B$43)-MAX(5,B2915))/(IF(Inputs!$B$38="pvp",15,Inputs!$B$43)-(B2915))))*IF(AND(IF(ArtifactsInput!$M$42,FALSE,TRUE),((Inputs!$B$9+((C2896=TRUE)*(F2896-Calc!F19))+B2908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2885*(MIN(100,(Inputs!$B$9+((C2896=TRUE)*(F2896-Calc!F19))+B2908+(ArtifactsInput!$M$24-ArtifactsInput!$M$24)*CHOOSE(ArtifactsInput!$N$24+1,10,12,14,16,18,20)+(IF(AND(Inputs!$B$38&lt;&gt;"pvp",Inputs!$B$43=0),1,IF(IF(Inputs!$B$38="pvp",15,Inputs!$B$43)-(B2915)&lt;=0,1,MAX(0,IF(Inputs!$B$38="pvp",15,Inputs!$B$43)-MAX(5,B2915))/(IF(Inputs!$B$38="pvp",15,Inputs!$B$43)-(B2915))))*IF(AND(IF(ArtifactsInput!$M$42,FALSE,TRUE),((Inputs!$B$9+((C2896=TRUE)*(F2896-Calc!F19))+B2908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885">
        <f>IF(C2885,(H2885*N2885*IF(AND(Inputs!$B$38&lt;&gt;"pvp",Inputs!$B$43&gt;0),((Skills!G8*((R2885-1)*IF(Skills!H8&gt;0,INT(Skills!I8/Skills!H8+0.000000001),1)+IF(Skills!H8&gt;0,INT(MIN(Skills!I8,MAX(0,MAX(0,Inputs!$B$43-B2915)-((R2885-1)*((IF(Inputs!$B$38="pvp",15,MAX(0.1,Skills!D8-IF(TRUE=TRUE,Inputs!$B$32,0)))*(1-IF(AND(ArtifactsInput!$M$27,Inputs!$B$4="Chapter Hunt"),CHOOSE(ArtifactsInput!$N$27+1,20,24,28,32,36,40),0)/100))/B2919))))/Skills!H8+0.000000001),1)))/Inputs!$B$43),G2885*Q2885))*IF(Inputs!$B$38="pvp",1,(1+(Inputs!$B$21+Skills!Q8+(IF(ArtifactsInput!$M$33,CHOOSE(ArtifactsInput!$N$33+1,30,36,42,48,54,60),0))+(IF(AND(ArtifactsInput!$M$35,Inputs!$B$4&lt;&gt;"Chapter Hunt"),CHOOSE(ArtifactsInput!$N$35+1,15,18,21,24,27,30)*(1-EXP(-(0.2*B2910)*5)),0)+IF(AND(ArtifactsInput!$M$22,Inputs!$B$4&lt;&gt;"Chapter Hunt"),CHOOSE(ArtifactsInput!$N$22+1,10,12,14,16,18,20)*((0*(((0.15*B2910*5))^0/1)+1*(((0.15*B2910*5))^1/1)+2*(((0.15*B2910*5))^2/2)+3*(((0.15*B2910*5))^3/6)+4*(((0.15*B2910*5))^4/24)+5*(((0.15*B2910*5))^5/120))/((((0.15*B2910*5))^0/1)+(((0.15*B2910*5))^1/1)+(((0.15*B2910*5))^2/2)+(((0.15*B2910*5))^3/6)+(((0.15*B2910*5))^4/24)+(((0.15*B2910*5))^5/120))),0))+IF(Inputs!$B$3&gt;=54,9*(C2880=TRUE)*MIN(1,8*(1+Inputs!$B$34/100)*Q2880)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86">
      <c r="A2886">
        <f>Skills!A9</f>
        <v/>
      </c>
      <c r="B2886">
        <f>Skills!B9</f>
        <v/>
      </c>
      <c r="C2886">
        <f>Inputs!$B$3&gt;=105</f>
        <v/>
      </c>
      <c r="D2886">
        <f>IF(Skills!C9=1,60+Inputs!$B$25+Inputs!$B$29,IF(Skills!C9=2,90+Inputs!$B$26+Inputs!$B$29,IF(Skills!C9=3,120+Inputs!$B$27+Inputs!$B$29,MAX(0,(Inputs!$B$3-100)*3)+Inputs!$B$28+Inputs!$B$29)))</f>
        <v/>
      </c>
      <c r="E2886">
        <f>INDEX(FactorTable!$B$2:$Y$301, MATCH(ROUND(MIN(300,MAX(1,D2886)),0), FactorTable!$A$2:$A$301,0), Skills!M9+1)</f>
        <v/>
      </c>
      <c r="F2886">
        <f>IF(Skills!N9=TRUE,(Skills!L9/10)*(E2886/1000),Skills!L9/10)+Skills!O9</f>
        <v/>
      </c>
      <c r="G2886">
        <f>Skills!G9*IF(Skills!H9&gt;0,INT(IF(Inputs!$B$38="pvp",MIN(Skills!I9,15),Skills!I9)/Skills!H9+0.000000001),1)</f>
        <v/>
      </c>
      <c r="H2886">
        <f>1-(1-Skills!J9/100)^Skills!K9</f>
        <v/>
      </c>
      <c r="I2886" t="inlineStr">
        <is>
          <t>1</t>
        </is>
      </c>
      <c r="J2886">
        <f>((Inputs!$B$6*(1+Inputs!$B$7/100))+(((Inputs!$B$12*(1+Inputs!$B$13/100))-(Inputs!$B$12*(1+Inputs!$B$13/100)))+0.25*(Inputs!$B$14-Inputs!$B$14))*(1+Inputs!$B$7/100))*(F2886/100)</f>
        <v/>
      </c>
      <c r="K2886">
        <f>J2886*(1+((Inputs!$B$12*(1+Inputs!$B$13/100))*0.01+Inputs!$B$14*0.0025)/100)*(1+Inputs!$B$15/100)*(1+Inputs!$B$16/100)*(5000/(6000+Inputs!$B$42*(1-(100*(1-(1-(Inputs!$B$19+0)/100)*(1-CHOOSE(ArtifactsInput!$N$40+1,5,6,7,8,9,10)/100)^(ArtifactsInput!$M$40-ArtifactsInput!$M$40)))/100)))*(1+(Inputs!$B$24+((C2903=TRUE)*(F2903-Calc!F26))+B2914)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IGHT_LEGS_EASTON",Inputs!$B$17+((C2900=TRUE)*(F2900-Calc!F23))+((C2904=TRUE)*(F2904-Calc!F27))+((IF(AND(Inputs!$B$38&lt;&gt;"pvp",Inputs!$B$43=0),1,IF(IF(Inputs!$B$38="pvp",15,Inputs!$B$43)-(B2915)&lt;=0,1,MAX(0,IF(Inputs!$B$38="pvp",15,Inputs!$B$43)-MAX(5,B2915))/(IF(Inputs!$B$38="pvp",15,Inputs!$B$43)-(B2915))))*(IF(AND(IF(ArtifactsInput!$M$42,FALSE,TRUE),((Inputs!$B$9+((C2896=TRUE)*(F2896-Calc!F19))+B2908+(ArtifactsInput!$M$24-ArtifactsInput!$M$24)*CHOOSE(ArtifactsInput!$N$24+1,10,12,14,16,18,20)+IF(ArtifactsInput!$M$10,CHOOSE(ArtifactsInput!$N$10+1,15,18,21,24,27,30)*(IF(Inputs!$B$38="pvp",MIN(15,15)/15,IF(AND(Inputs!$B$38&lt;&gt;"pvp",Inputs!$B$43&gt;0),MIN(15,Inputs!$B$43)/(Inputs!$B$43),0))),0)))&gt;=100),MIN(100,((Inputs!$B$9+((C2896=TRUE)*(F2896-Calc!F19))+B2908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2915)&lt;=0,1,MAX(0,IF(Inputs!$B$38="pvp",15,Inputs!$B$43)-MAX(5,B2915))/(IF(Inputs!$B$38="pvp",15,Inputs!$B$43)-(B2915))))*IF(AND(IF(ArtifactsInput!$M$42,FALSE,TRUE),((Inputs!$B$9+((C2896=TRUE)*(F2896-Calc!F19))+B2908+(ArtifactsInput!$M$24-ArtifactsInput!$M$24)*CHOOSE(ArtifactsInput!$N$24+1,10,12,14,16,18,20)+IF(ArtifactsInput!$M$10,CHOOSE(ArtifactsInput!$N$10+1,15,18,21,24,27,30)*(IF(Inputs!$B$38="pvp",MIN(15,15)/15,IF(AND(Inputs!$B$38&lt;&gt;"pvp",Inputs!$B$43&gt;0),MIN(15,Inputs!$B$43)/(Inputs!$B$43),0))),0)))&gt;=100),CHOOSE(ArtifactsInput!$N$42+1,40,48,56,64,72,80),0))))/100)*((1+(((C2894=TRUE)*F2894*5/7)+((C2901=TRUE)*(F2901-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2886)</f>
        <v/>
      </c>
      <c r="L2886">
        <f>K2886*(MIN(Inputs!$B$22+((C2899=TRUE)*(F2899-Calc!F22)),(Inputs!$B$23+0+(IF(ArtifactsInput!$M$15,CHOOSE(ArtifactsInput!$N$15+1,25,30,35,40,45,50)/100*(Inputs!$B$11-Inputs!$B$11),0))))/100+(Inputs!$B$23+0+(IF(ArtifactsInput!$M$15,CHOOSE(ArtifactsInput!$N$15+1,25,30,35,40,45,50)/100*(Inputs!$B$11-Inputs!$B$11),0)))/100)/2</f>
        <v/>
      </c>
      <c r="M2886">
        <f>L2886*(1+(Inputs!$B$10+((C2902=TRUE)*(F2902-Calc!F25))+B2913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86">
        <f>L2886*(1-MIN((Inputs!$B$9+((C2896=TRUE)*(F2896-Calc!F19))+B2908+(ArtifactsInput!$M$24-ArtifactsInput!$M$24)*CHOOSE(ArtifactsInput!$N$24+1,10,12,14,16,18,20)+(IF(AND(Inputs!$B$38&lt;&gt;"pvp",Inputs!$B$43=0),1,IF(IF(Inputs!$B$38="pvp",15,Inputs!$B$43)-(B2915)&lt;=0,1,MAX(0,IF(Inputs!$B$38="pvp",15,Inputs!$B$43)-MAX(5,B2915))/(IF(Inputs!$B$38="pvp",15,Inputs!$B$43)-(B2915))))*IF(AND(IF(ArtifactsInput!$M$42,FALSE,TRUE),((Inputs!$B$9+((C2896=TRUE)*(F2896-Calc!F19))+B2908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2886*(MIN((Inputs!$B$9+((C2896=TRUE)*(F2896-Calc!F19))+B2908+(ArtifactsInput!$M$24-ArtifactsInput!$M$24)*CHOOSE(ArtifactsInput!$N$24+1,10,12,14,16,18,20)+(IF(AND(Inputs!$B$38&lt;&gt;"pvp",Inputs!$B$43=0),1,IF(IF(Inputs!$B$38="pvp",15,Inputs!$B$43)-(B2915)&lt;=0,1,MAX(0,IF(Inputs!$B$38="pvp",15,Inputs!$B$43)-MAX(5,B2915))/(IF(Inputs!$B$38="pvp",15,Inputs!$B$43)-(B2915))))*IF(AND(IF(ArtifactsInput!$M$42,FALSE,TRUE),((Inputs!$B$9+((C2896=TRUE)*(F2896-Calc!F19))+B2908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86">
        <f>(1-Summary!$B$11)*T2886+Summary!$B$11*V2886</f>
        <v/>
      </c>
      <c r="P2886">
        <f>IF(B2918=0,0,O2886/B2918)</f>
        <v/>
      </c>
      <c r="Q2886">
        <f>IFERROR(1/(IF(Inputs!$B$38="pvp",15,MAX(0.1,Skills!D9-IF(TRUE=TRUE,Inputs!$B$32,0)))*(1-IF(AND(ArtifactsInput!$M$27,Inputs!$B$4="Chapter Hunt"),CHOOSE(ArtifactsInput!$N$27+1,20,24,28,32,36,40),0)/100)),0)</f>
        <v/>
      </c>
      <c r="R2886">
        <f>IF(AND(Inputs!$B$38&lt;&gt;"pvp",Inputs!$B$43&gt;0),IF(MAX(0,Inputs!$B$43-B2915)&lt;=0,0,(INT(MAX(0,Inputs!$B$43-B2915)/(IF(Inputs!$B$38="pvp",15,MAX(0.1,Skills!D9-IF(TRUE=TRUE,Inputs!$B$32,0)))*(1-IF(AND(ArtifactsInput!$M$27,Inputs!$B$4="Chapter Hunt"),CHOOSE(ArtifactsInput!$N$27+1,20,24,28,32,36,40),0)/100)))+1)),0)</f>
        <v/>
      </c>
      <c r="S2886">
        <f>IFERROR(O2886/N2886,0)</f>
        <v/>
      </c>
      <c r="T2886">
        <f>IF(C2886,(H2886*N2886*IF(AND(Inputs!$B$38&lt;&gt;"pvp",Inputs!$B$43&gt;0),((Skills!G9*((R2886-1)*IF(Skills!H9&gt;0,INT(Skills!I9/Skills!H9+0.000000001),1)+IF(Skills!H9&gt;0,INT(MIN(Skills!I9,MAX(0,MAX(0,Inputs!$B$43-B2915)-((R2886-1)*(IF(Inputs!$B$38="pvp",15,MAX(0.1,Skills!D9-IF(TRUE=TRUE,Inputs!$B$32,0)))*(1-IF(AND(ArtifactsInput!$M$27,Inputs!$B$4="Chapter Hunt"),CHOOSE(ArtifactsInput!$N$27+1,20,24,28,32,36,40),0)/100)))))/Skills!H9+0.000000001),1)))/Inputs!$B$43),G2886*Q2886))*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Hunt"),CHOOSE(ArtifactsInput!$N$35+1,15,18,21,24,27,30)*(1-EXP(-(0.2*B2910)*5)),0)+IF(AND(ArtifactsInput!$M$22,Inputs!$B$4&lt;&gt;"Chapter Hunt"),CHOOSE(ArtifactsInput!$N$22+1,10,12,14,16,18,20)*((0*(((0.15*B2910*5))^0/1)+1*(((0.15*B2910*5))^1/1)+2*(((0.15*B2910*5))^2/2)+3*(((0.15*B2910*5))^3/6)+4*(((0.15*B2910*5))^4/24)+5*(((0.15*B2910*5))^5/120))/((((0.15*B2910*5))^0/1)+(((0.15*B2910*5))^1/1)+(((0.15*B2910*5))^2/2)+(((0.15*B2910*5))^3/6)+(((0.15*B2910*5))^4/24)+(((0.15*B2910*5))^5/120))),0))+IF(Inputs!$B$3&gt;=54,9*(C2880=TRUE)*MIN(1,8*(1+Inputs!$B$34/100)*Q2880)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2886*(1-MIN(100,(Inputs!$B$9+((C2896=TRUE)*(F2896-Calc!F19))+B2908+(ArtifactsInput!$M$24-ArtifactsInput!$M$24)*CHOOSE(ArtifactsInput!$N$24+1,10,12,14,16,18,20)+(IF(AND(Inputs!$B$38&lt;&gt;"pvp",Inputs!$B$43=0),1,IF(IF(Inputs!$B$38="pvp",15,Inputs!$B$43)-(B2915)&lt;=0,1,MAX(0,IF(Inputs!$B$38="pvp",15,Inputs!$B$43)-MAX(5,B2915))/(IF(Inputs!$B$38="pvp",15,Inputs!$B$43)-(B2915))))*IF(AND(IF(ArtifactsInput!$M$42,FALSE,TRUE),((Inputs!$B$9+((C2896=TRUE)*(F2896-Calc!F19))+B2908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2886*(MIN(100,(Inputs!$B$9+((C2896=TRUE)*(F2896-Calc!F19))+B2908+(ArtifactsInput!$M$24-ArtifactsInput!$M$24)*CHOOSE(ArtifactsInput!$N$24+1,10,12,14,16,18,20)+(IF(AND(Inputs!$B$38&lt;&gt;"pvp",Inputs!$B$43=0),1,IF(IF(Inputs!$B$38="pvp",15,Inputs!$B$43)-(B2915)&lt;=0,1,MAX(0,IF(Inputs!$B$38="pvp",15,Inputs!$B$43)-MAX(5,B2915))/(IF(Inputs!$B$38="pvp",15,Inputs!$B$43)-(B2915))))*IF(AND(IF(ArtifactsInput!$M$42,FALSE,TRUE),((Inputs!$B$9+((C2896=TRUE)*(F2896-Calc!F19))+B2908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2886*(1-MIN(100,(Inputs!$B$9+((C2896=TRUE)*(F2896-Calc!F19))+B2908+(ArtifactsInput!$M$24-ArtifactsInput!$M$24)*CHOOSE(ArtifactsInput!$N$24+1,10,12,14,16,18,20)+(IF(AND(Inputs!$B$38&lt;&gt;"pvp",Inputs!$B$43=0),1,IF(IF(Inputs!$B$38="pvp",15,Inputs!$B$43)-(B2915)&lt;=0,1,MAX(0,IF(Inputs!$B$38="pvp",15,Inputs!$B$43)-MAX(5,B2915))/(IF(Inputs!$B$38="pvp",15,Inputs!$B$43)-(B2915))))*IF(AND(IF(ArtifactsInput!$M$42,FALSE,TRUE),((Inputs!$B$9+((C2896=TRUE)*(F2896-Calc!F19))+B2908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2886*(MIN(100,(Inputs!$B$9+((C2896=TRUE)*(F2896-Calc!F19))+B2908+(ArtifactsInput!$M$24-ArtifactsInput!$M$24)*CHOOSE(ArtifactsInput!$N$24+1,10,12,14,16,18,20)+(IF(AND(Inputs!$B$38&lt;&gt;"pvp",Inputs!$B$43=0),1,IF(IF(Inputs!$B$38="pvp",15,Inputs!$B$43)-(B2915)&lt;=0,1,MAX(0,IF(Inputs!$B$38="pvp",15,Inputs!$B$43)-MAX(5,B2915))/(IF(Inputs!$B$38="pvp",15,Inputs!$B$43)-(B2915))))*IF(AND(IF(ArtifactsInput!$M$42,FALSE,TRUE),((Inputs!$B$9+((C2896=TRUE)*(F2896-Calc!F19))+B2908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886">
        <f>IF(C2886,(H2886*N2886*IF(AND(Inputs!$B$38&lt;&gt;"pvp",Inputs!$B$43&gt;0),((Skills!G9*((R2886-1)*IF(Skills!H9&gt;0,INT(Skills!I9/Skills!H9+0.000000001),1)+IF(Skills!H9&gt;0,INT(MIN(Skills!I9,MAX(0,MAX(0,Inputs!$B$43-B2915)-((R2886-1)*(IF(Inputs!$B$38="pvp",15,MAX(0.1,Skills!D9-IF(TRUE=TRUE,Inputs!$B$32,0)))*(1-IF(AND(ArtifactsInput!$M$27,Inputs!$B$4="Chapter Hunt"),CHOOSE(ArtifactsInput!$N$27+1,20,24,28,32,36,40),0)/100)))))/Skills!H9+0.000000001),1)))/Inputs!$B$43),G2886*Q2886))*IF(Inputs!$B$38="pvp",1,(1+(Inputs!$B$21+Skills!Q9+(IF(ArtifactsInput!$M$33,CHOOSE(ArtifactsInput!$N$33+1,30,36,42,48,54,60),0))+(IF(AND(ArtifactsInput!$M$35,Inputs!$B$4&lt;&gt;"Chapter Hunt"),CHOOSE(ArtifactsInput!$N$35+1,15,18,21,24,27,30)*(1-EXP(-(0.2*B2910)*5)),0)+IF(AND(ArtifactsInput!$M$22,Inputs!$B$4&lt;&gt;"Chapter Hunt"),CHOOSE(ArtifactsInput!$N$22+1,10,12,14,16,18,20)*((0*(((0.15*B2910*5))^0/1)+1*(((0.15*B2910*5))^1/1)+2*(((0.15*B2910*5))^2/2)+3*(((0.15*B2910*5))^3/6)+4*(((0.15*B2910*5))^4/24)+5*(((0.15*B2910*5))^5/120))/((((0.15*B2910*5))^0/1)+(((0.15*B2910*5))^1/1)+(((0.15*B2910*5))^2/2)+(((0.15*B2910*5))^3/6)+(((0.15*B2910*5))^4/24)+(((0.15*B2910*5))^5/120))),0))+IF(Inputs!$B$3&gt;=54,9*(C2880=TRUE)*MIN(1,8*(1+Inputs!$B$34/100)*Q2880)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87">
      <c r="A2887">
        <f>Skills!A10</f>
        <v/>
      </c>
      <c r="B2887">
        <f>Skills!B10</f>
        <v/>
      </c>
      <c r="C2887">
        <f>Inputs!$B$3&gt;=113</f>
        <v/>
      </c>
      <c r="D2887">
        <f>IF(Skills!C10=1,60+Inputs!$B$25+Inputs!$B$29,IF(Skills!C10=2,90+Inputs!$B$26+Inputs!$B$29,IF(Skills!C10=3,120+Inputs!$B$27+Inputs!$B$29,MAX(0,(Inputs!$B$3-100)*3)+Inputs!$B$28+Inputs!$B$29)))</f>
        <v/>
      </c>
      <c r="E2887">
        <f>INDEX(FactorTable!$B$2:$Y$301, MATCH(ROUND(MIN(300,MAX(1,D2887)),0), FactorTable!$A$2:$A$301,0), Skills!M10+1)</f>
        <v/>
      </c>
      <c r="F2887">
        <f>IF(Skills!N10=TRUE,(Skills!L10/10)*(E2887/1000),Skills!L10/10)+Skills!O10</f>
        <v/>
      </c>
      <c r="G2887">
        <f>Skills!G10*IF(Skills!H10&gt;0,INT(IF(Inputs!$B$38="pvp",MIN(Skills!I10,15),Skills!I10)/Skills!H10+0.000000001),1)</f>
        <v/>
      </c>
      <c r="H2887">
        <f>1-(1-Skills!J10/100)^Skills!K10</f>
        <v/>
      </c>
      <c r="I2887" t="inlineStr">
        <is>
          <t>1</t>
        </is>
      </c>
      <c r="J2887">
        <f>((Inputs!$B$6*(1+Inputs!$B$7/100))+(((Inputs!$B$12*(1+Inputs!$B$13/100))-(Inputs!$B$12*(1+Inputs!$B$13/100)))+0.25*(Inputs!$B$14-Inputs!$B$14))*(1+Inputs!$B$7/100))*(F2887/100)</f>
        <v/>
      </c>
      <c r="K2887">
        <f>J2887*(1+((Inputs!$B$12*(1+Inputs!$B$13/100))*0.01+Inputs!$B$14*0.0025)/100)*(1+Inputs!$B$15/100)*(1+Inputs!$B$16/100)*(5000/(6000+Inputs!$B$42*(1-(100*(1-(1-(Inputs!$B$19+0)/100)*(1-CHOOSE(ArtifactsInput!$N$40+1,5,6,7,8,9,10)/100)^(ArtifactsInput!$M$40-ArtifactsInput!$M$40)))/100)))*(1+(Inputs!$B$24+((C2903=TRUE)*(F2903-Calc!F26))+B2914)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IGHT_LEGS_EASTON",Inputs!$B$17+((C2900=TRUE)*(F2900-Calc!F23))+((C2904=TRUE)*(F2904-Calc!F27))+((IF(AND(Inputs!$B$38&lt;&gt;"pvp",Inputs!$B$43=0),1,IF(IF(Inputs!$B$38="pvp",15,Inputs!$B$43)-(B2915)&lt;=0,1,MAX(0,IF(Inputs!$B$38="pvp",15,Inputs!$B$43)-MAX(5,B2915))/(IF(Inputs!$B$38="pvp",15,Inputs!$B$43)-(B2915))))*(IF(AND(IF(ArtifactsInput!$M$42,FALSE,TRUE),((Inputs!$B$9+((C2896=TRUE)*(F2896-Calc!F19))+B2908+(ArtifactsInput!$M$24-ArtifactsInput!$M$24)*CHOOSE(ArtifactsInput!$N$24+1,10,12,14,16,18,20)+IF(ArtifactsInput!$M$10,CHOOSE(ArtifactsInput!$N$10+1,15,18,21,24,27,30)*(IF(Inputs!$B$38="pvp",MIN(15,15)/15,IF(AND(Inputs!$B$38&lt;&gt;"pvp",Inputs!$B$43&gt;0),MIN(15,Inputs!$B$43)/(Inputs!$B$43),0))),0)))&gt;=100),MIN(100,((Inputs!$B$9+((C2896=TRUE)*(F2896-Calc!F19))+B2908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2915)&lt;=0,1,MAX(0,IF(Inputs!$B$38="pvp",15,Inputs!$B$43)-MAX(5,B2915))/(IF(Inputs!$B$38="pvp",15,Inputs!$B$43)-(B2915))))*IF(AND(IF(ArtifactsInput!$M$42,FALSE,TRUE),((Inputs!$B$9+((C2896=TRUE)*(F2896-Calc!F19))+B2908+(ArtifactsInput!$M$24-ArtifactsInput!$M$24)*CHOOSE(ArtifactsInput!$N$24+1,10,12,14,16,18,20)+IF(ArtifactsInput!$M$10,CHOOSE(ArtifactsInput!$N$10+1,15,18,21,24,27,30)*(IF(Inputs!$B$38="pvp",MIN(15,15)/15,IF(AND(Inputs!$B$38&lt;&gt;"pvp",Inputs!$B$43&gt;0),MIN(15,Inputs!$B$43)/(Inputs!$B$43),0))),0)))&gt;=100),CHOOSE(ArtifactsInput!$N$42+1,40,48,56,64,72,80),0))))/100)*((1+(((C2894=TRUE)*F2894*5/7)+((C2901=TRUE)*(F2901-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2887)</f>
        <v/>
      </c>
      <c r="L2887">
        <f>K2887*(MIN(Inputs!$B$22+((C2899=TRUE)*(F2899-Calc!F22)),(Inputs!$B$23+0+(IF(ArtifactsInput!$M$15,CHOOSE(ArtifactsInput!$N$15+1,25,30,35,40,45,50)/100*(Inputs!$B$11-Inputs!$B$11),0))))/100+(Inputs!$B$23+0+(IF(ArtifactsInput!$M$15,CHOOSE(ArtifactsInput!$N$15+1,25,30,35,40,45,50)/100*(Inputs!$B$11-Inputs!$B$11),0)))/100)/2</f>
        <v/>
      </c>
      <c r="M2887">
        <f>L2887*(1+(Inputs!$B$10+((C2902=TRUE)*(F2902-Calc!F25))+B2913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87">
        <f>L2887*(1-MIN((Inputs!$B$9+((C2896=TRUE)*(F2896-Calc!F19))+B2908+(ArtifactsInput!$M$24-ArtifactsInput!$M$24)*CHOOSE(ArtifactsInput!$N$24+1,10,12,14,16,18,20)+(IF(AND(Inputs!$B$38&lt;&gt;"pvp",Inputs!$B$43=0),1,IF(IF(Inputs!$B$38="pvp",15,Inputs!$B$43)-(B2915)&lt;=0,1,MAX(0,IF(Inputs!$B$38="pvp",15,Inputs!$B$43)-MAX(5,B2915))/(IF(Inputs!$B$38="pvp",15,Inputs!$B$43)-(B2915))))*IF(AND(IF(ArtifactsInput!$M$42,FALSE,TRUE),((Inputs!$B$9+((C2896=TRUE)*(F2896-Calc!F19))+B2908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2887*(MIN((Inputs!$B$9+((C2896=TRUE)*(F2896-Calc!F19))+B2908+(ArtifactsInput!$M$24-ArtifactsInput!$M$24)*CHOOSE(ArtifactsInput!$N$24+1,10,12,14,16,18,20)+(IF(AND(Inputs!$B$38&lt;&gt;"pvp",Inputs!$B$43=0),1,IF(IF(Inputs!$B$38="pvp",15,Inputs!$B$43)-(B2915)&lt;=0,1,MAX(0,IF(Inputs!$B$38="pvp",15,Inputs!$B$43)-MAX(5,B2915))/(IF(Inputs!$B$38="pvp",15,Inputs!$B$43)-(B2915))))*IF(AND(IF(ArtifactsInput!$M$42,FALSE,TRUE),((Inputs!$B$9+((C2896=TRUE)*(F2896-Calc!F19))+B2908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87">
        <f>(1-Summary!$B$11)*T2887+Summary!$B$11*V2887</f>
        <v/>
      </c>
      <c r="P2887">
        <f>IF(B2918=0,0,O2887/B2918)</f>
        <v/>
      </c>
      <c r="Q2887" t="n">
        <v>0</v>
      </c>
      <c r="R2887" t="n">
        <v>0</v>
      </c>
      <c r="S2887">
        <f>IFERROR(O2887/N2887,0)</f>
        <v/>
      </c>
      <c r="T2887">
        <f>IF(C2887,((H2887*B2920)/(1+Skills!H10*H2887*B2920)*N2887)*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Hunt"),CHOOSE(ArtifactsInput!$N$35+1,15,18,21,24,27,30)*(1-EXP(-(0.2*B2910)*5)),0)+IF(AND(ArtifactsInput!$M$22,Inputs!$B$4&lt;&gt;"Chapter Hunt"),CHOOSE(ArtifactsInput!$N$22+1,10,12,14,16,18,20)*((0*(((0.15*B2910*5))^0/1)+1*(((0.15*B2910*5))^1/1)+2*(((0.15*B2910*5))^2/2)+3*(((0.15*B2910*5))^3/6)+4*(((0.15*B2910*5))^4/24)+5*(((0.15*B2910*5))^5/120))/((((0.15*B2910*5))^0/1)+(((0.15*B2910*5))^1/1)+(((0.15*B2910*5))^2/2)+(((0.15*B2910*5))^3/6)+(((0.15*B2910*5))^4/24)+(((0.15*B2910*5))^5/120))),0))+IF(Inputs!$B$3&gt;=54,9*(C2880=TRUE)*MIN(1,8*(1+Inputs!$B$34/100)*Q2880)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2887*(1-MIN(100,(Inputs!$B$9+((C2896=TRUE)*(F2896-Calc!F19))+B2908+(ArtifactsInput!$M$24-ArtifactsInput!$M$24)*CHOOSE(ArtifactsInput!$N$24+1,10,12,14,16,18,20)+(IF(AND(Inputs!$B$38&lt;&gt;"pvp",Inputs!$B$43=0),1,IF(IF(Inputs!$B$38="pvp",15,Inputs!$B$43)-(B2915)&lt;=0,1,MAX(0,IF(Inputs!$B$38="pvp",15,Inputs!$B$43)-MAX(5,B2915))/(IF(Inputs!$B$38="pvp",15,Inputs!$B$43)-(B2915))))*IF(AND(IF(ArtifactsInput!$M$42,FALSE,TRUE),((Inputs!$B$9+((C2896=TRUE)*(F2896-Calc!F19))+B2908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2887*(MIN(100,(Inputs!$B$9+((C2896=TRUE)*(F2896-Calc!F19))+B2908+(ArtifactsInput!$M$24-ArtifactsInput!$M$24)*CHOOSE(ArtifactsInput!$N$24+1,10,12,14,16,18,20)+(IF(AND(Inputs!$B$38&lt;&gt;"pvp",Inputs!$B$43=0),1,IF(IF(Inputs!$B$38="pvp",15,Inputs!$B$43)-(B2915)&lt;=0,1,MAX(0,IF(Inputs!$B$38="pvp",15,Inputs!$B$43)-MAX(5,B2915))/(IF(Inputs!$B$38="pvp",15,Inputs!$B$43)-(B2915))))*IF(AND(IF(ArtifactsInput!$M$42,FALSE,TRUE),((Inputs!$B$9+((C2896=TRUE)*(F2896-Calc!F19))+B2908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2887*(1-MIN(100,(Inputs!$B$9+((C2896=TRUE)*(F2896-Calc!F19))+B2908+(ArtifactsInput!$M$24-ArtifactsInput!$M$24)*CHOOSE(ArtifactsInput!$N$24+1,10,12,14,16,18,20)+(IF(AND(Inputs!$B$38&lt;&gt;"pvp",Inputs!$B$43=0),1,IF(IF(Inputs!$B$38="pvp",15,Inputs!$B$43)-(B2915)&lt;=0,1,MAX(0,IF(Inputs!$B$38="pvp",15,Inputs!$B$43)-MAX(5,B2915))/(IF(Inputs!$B$38="pvp",15,Inputs!$B$43)-(B2915))))*IF(AND(IF(ArtifactsInput!$M$42,FALSE,TRUE),((Inputs!$B$9+((C2896=TRUE)*(F2896-Calc!F19))+B2908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2887*(MIN(100,(Inputs!$B$9+((C2896=TRUE)*(F2896-Calc!F19))+B2908+(ArtifactsInput!$M$24-ArtifactsInput!$M$24)*CHOOSE(ArtifactsInput!$N$24+1,10,12,14,16,18,20)+(IF(AND(Inputs!$B$38&lt;&gt;"pvp",Inputs!$B$43=0),1,IF(IF(Inputs!$B$38="pvp",15,Inputs!$B$43)-(B2915)&lt;=0,1,MAX(0,IF(Inputs!$B$38="pvp",15,Inputs!$B$43)-MAX(5,B2915))/(IF(Inputs!$B$38="pvp",15,Inputs!$B$43)-(B2915))))*IF(AND(IF(ArtifactsInput!$M$42,FALSE,TRUE),((Inputs!$B$9+((C2896=TRUE)*(F2896-Calc!F19))+B2908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887">
        <f>IF(C2887,((H2887*B2920)/(1+Skills!H10*H2887*B2920)*N2887)*IF(Inputs!$B$38="pvp",1,(1+(Inputs!$B$21+Skills!Q10+(IF(ArtifactsInput!$M$33,CHOOSE(ArtifactsInput!$N$33+1,30,36,42,48,54,60),0))+(IF(AND(ArtifactsInput!$M$35,Inputs!$B$4&lt;&gt;"Chapter Hunt"),CHOOSE(ArtifactsInput!$N$35+1,15,18,21,24,27,30)*(1-EXP(-(0.2*B2910)*5)),0)+IF(AND(ArtifactsInput!$M$22,Inputs!$B$4&lt;&gt;"Chapter Hunt"),CHOOSE(ArtifactsInput!$N$22+1,10,12,14,16,18,20)*((0*(((0.15*B2910*5))^0/1)+1*(((0.15*B2910*5))^1/1)+2*(((0.15*B2910*5))^2/2)+3*(((0.15*B2910*5))^3/6)+4*(((0.15*B2910*5))^4/24)+5*(((0.15*B2910*5))^5/120))/((((0.15*B2910*5))^0/1)+(((0.15*B2910*5))^1/1)+(((0.15*B2910*5))^2/2)+(((0.15*B2910*5))^3/6)+(((0.15*B2910*5))^4/24)+(((0.15*B2910*5))^5/120))),0))+IF(Inputs!$B$3&gt;=54,9*(C2880=TRUE)*MIN(1,8*(1+Inputs!$B$34/100)*Q2880)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88">
      <c r="A2888">
        <f>Skills!A11</f>
        <v/>
      </c>
      <c r="B2888">
        <f>Skills!B11</f>
        <v/>
      </c>
      <c r="C2888">
        <f>Inputs!$B$3&gt;=117</f>
        <v/>
      </c>
      <c r="D2888">
        <f>IF(Skills!C11=1,60+Inputs!$B$25+Inputs!$B$29,IF(Skills!C11=2,90+Inputs!$B$26+Inputs!$B$29,IF(Skills!C11=3,120+Inputs!$B$27+Inputs!$B$29,MAX(0,(Inputs!$B$3-100)*3)+Inputs!$B$28+Inputs!$B$29)))</f>
        <v/>
      </c>
      <c r="E2888">
        <f>INDEX(FactorTable!$B$2:$Y$301, MATCH(ROUND(MIN(300,MAX(1,D2888)),0), FactorTable!$A$2:$A$301,0), Skills!M11+1)</f>
        <v/>
      </c>
      <c r="F2888">
        <f>IF(Skills!N11=TRUE,(Skills!L11/10)*(E2888/1000),Skills!L11/10)+Skills!O11</f>
        <v/>
      </c>
      <c r="G2888">
        <f>Skills!G11*IF(Skills!H11&gt;0,INT(IF(Inputs!$B$38="pvp",MIN(Skills!I11,15),Skills!I11)/Skills!H11+0.000000001),1)</f>
        <v/>
      </c>
      <c r="H2888">
        <f>1-(1-Skills!J11/100)^Skills!K11</f>
        <v/>
      </c>
      <c r="I2888" t="inlineStr">
        <is>
          <t>1</t>
        </is>
      </c>
      <c r="J2888">
        <f>((Inputs!$B$6*(1+Inputs!$B$7/100))+(((Inputs!$B$12*(1+Inputs!$B$13/100))-(Inputs!$B$12*(1+Inputs!$B$13/100)))+0.25*(Inputs!$B$14-Inputs!$B$14))*(1+Inputs!$B$7/100))*(F2888/100)</f>
        <v/>
      </c>
      <c r="K2888">
        <f>J2888*(1+((Inputs!$B$12*(1+Inputs!$B$13/100))*0.01+Inputs!$B$14*0.0025)/100)*(1+Inputs!$B$15/100)*(1+Inputs!$B$16/100)*(5000/(6000+Inputs!$B$42*(1-(100*(1-(1-(Inputs!$B$19+0)/100)*(1-CHOOSE(ArtifactsInput!$N$40+1,5,6,7,8,9,10)/100)^(ArtifactsInput!$M$40-ArtifactsInput!$M$40)))/100)))*(1+(Inputs!$B$24+((C2903=TRUE)*(F2903-Calc!F26))+B2914)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IGHT_LEGS_EASTON",Inputs!$B$17+((C2900=TRUE)*(F2900-Calc!F23))+((C2904=TRUE)*(F2904-Calc!F27))+((IF(AND(Inputs!$B$38&lt;&gt;"pvp",Inputs!$B$43=0),1,IF(IF(Inputs!$B$38="pvp",15,Inputs!$B$43)-(B2915)&lt;=0,1,MAX(0,IF(Inputs!$B$38="pvp",15,Inputs!$B$43)-MAX(5,B2915))/(IF(Inputs!$B$38="pvp",15,Inputs!$B$43)-(B2915))))*(IF(AND(IF(ArtifactsInput!$M$42,FALSE,TRUE),((Inputs!$B$9+((C2896=TRUE)*(F2896-Calc!F19))+B2908+(ArtifactsInput!$M$24-ArtifactsInput!$M$24)*CHOOSE(ArtifactsInput!$N$24+1,10,12,14,16,18,20)+IF(ArtifactsInput!$M$10,CHOOSE(ArtifactsInput!$N$10+1,15,18,21,24,27,30)*(IF(Inputs!$B$38="pvp",MIN(15,15)/15,IF(AND(Inputs!$B$38&lt;&gt;"pvp",Inputs!$B$43&gt;0),MIN(15,Inputs!$B$43)/(Inputs!$B$43),0))),0)))&gt;=100),MIN(100,((Inputs!$B$9+((C2896=TRUE)*(F2896-Calc!F19))+B2908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2915)&lt;=0,1,MAX(0,IF(Inputs!$B$38="pvp",15,Inputs!$B$43)-MAX(5,B2915))/(IF(Inputs!$B$38="pvp",15,Inputs!$B$43)-(B2915))))*IF(AND(IF(ArtifactsInput!$M$42,FALSE,TRUE),((Inputs!$B$9+((C2896=TRUE)*(F2896-Calc!F19))+B2908+(ArtifactsInput!$M$24-ArtifactsInput!$M$24)*CHOOSE(ArtifactsInput!$N$24+1,10,12,14,16,18,20)+IF(ArtifactsInput!$M$10,CHOOSE(ArtifactsInput!$N$10+1,15,18,21,24,27,30)*(IF(Inputs!$B$38="pvp",MIN(15,15)/15,IF(AND(Inputs!$B$38&lt;&gt;"pvp",Inputs!$B$43&gt;0),MIN(15,Inputs!$B$43)/(Inputs!$B$43),0))),0)))&gt;=100),CHOOSE(ArtifactsInput!$N$42+1,40,48,56,64,72,80),0))))/100)*((1+(((C2894=TRUE)*F2894*5/7)+((C2901=TRUE)*(F2901-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2888)</f>
        <v/>
      </c>
      <c r="L2888">
        <f>K2888*(MIN(Inputs!$B$22+((C2899=TRUE)*(F2899-Calc!F22)),(Inputs!$B$23+0+(IF(ArtifactsInput!$M$15,CHOOSE(ArtifactsInput!$N$15+1,25,30,35,40,45,50)/100*(Inputs!$B$11-Inputs!$B$11),0))))/100+(Inputs!$B$23+0+(IF(ArtifactsInput!$M$15,CHOOSE(ArtifactsInput!$N$15+1,25,30,35,40,45,50)/100*(Inputs!$B$11-Inputs!$B$11),0)))/100)/2</f>
        <v/>
      </c>
      <c r="M2888">
        <f>L2888*(1+(Inputs!$B$10+((C2902=TRUE)*(F2902-Calc!F25))+B2913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88">
        <f>L2888*(1-MIN((Inputs!$B$9+((C2896=TRUE)*(F2896-Calc!F19))+B2908+(ArtifactsInput!$M$24-ArtifactsInput!$M$24)*CHOOSE(ArtifactsInput!$N$24+1,10,12,14,16,18,20)+(IF(AND(Inputs!$B$38&lt;&gt;"pvp",Inputs!$B$43=0),1,IF(IF(Inputs!$B$38="pvp",15,Inputs!$B$43)-(B2915)&lt;=0,1,MAX(0,IF(Inputs!$B$38="pvp",15,Inputs!$B$43)-MAX(5,B2915))/(IF(Inputs!$B$38="pvp",15,Inputs!$B$43)-(B2915))))*IF(AND(IF(ArtifactsInput!$M$42,FALSE,TRUE),((Inputs!$B$9+((C2896=TRUE)*(F2896-Calc!F19))+B2908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2888*(MIN((Inputs!$B$9+((C2896=TRUE)*(F2896-Calc!F19))+B2908+(ArtifactsInput!$M$24-ArtifactsInput!$M$24)*CHOOSE(ArtifactsInput!$N$24+1,10,12,14,16,18,20)+(IF(AND(Inputs!$B$38&lt;&gt;"pvp",Inputs!$B$43=0),1,IF(IF(Inputs!$B$38="pvp",15,Inputs!$B$43)-(B2915)&lt;=0,1,MAX(0,IF(Inputs!$B$38="pvp",15,Inputs!$B$43)-MAX(5,B2915))/(IF(Inputs!$B$38="pvp",15,Inputs!$B$43)-(B2915))))*IF(AND(IF(ArtifactsInput!$M$42,FALSE,TRUE),((Inputs!$B$9+((C2896=TRUE)*(F2896-Calc!F19))+B2908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88">
        <f>(1-Summary!$B$11)*T2888+Summary!$B$11*V2888</f>
        <v/>
      </c>
      <c r="P2888">
        <f>IF(B2918=0,0,O2888/B2918)</f>
        <v/>
      </c>
      <c r="Q2888">
        <f>IFERROR(1/((IF(Inputs!$B$38="pvp",15,MAX(0.1,Skills!D11-IF(TRUE=TRUE,Inputs!$B$32,0)))*(1-IF(AND(ArtifactsInput!$M$27,Inputs!$B$4="Chapter Hunt"),CHOOSE(ArtifactsInput!$N$27+1,20,24,28,32,36,40),0)/100))/B2919),0)</f>
        <v/>
      </c>
      <c r="R2888">
        <f>IF(AND(Inputs!$B$38&lt;&gt;"pvp",Inputs!$B$43&gt;0),IF(MAX(0,Inputs!$B$43-B2915)&lt;=0,0,(INT(MAX(0,Inputs!$B$43-B2915)/((IF(Inputs!$B$38="pvp",15,MAX(0.1,Skills!D11-IF(TRUE=TRUE,Inputs!$B$32,0)))*(1-IF(AND(ArtifactsInput!$M$27,Inputs!$B$4="Chapter Hunt"),CHOOSE(ArtifactsInput!$N$27+1,20,24,28,32,36,40),0)/100))/B2919))+1)),0)</f>
        <v/>
      </c>
      <c r="S2888">
        <f>IFERROR(O2888/N2888,0)</f>
        <v/>
      </c>
      <c r="T2888">
        <f>IF(C2888,(H2888*N2888*IF(AND(Inputs!$B$38&lt;&gt;"pvp",Inputs!$B$43&gt;0),((Skills!G11*((R2888-1)*IF(Skills!H11&gt;0,INT(Skills!I11/Skills!H11+0.000000001),1)+IF(Skills!H11&gt;0,INT(MIN(Skills!I11,MAX(0,MAX(0,Inputs!$B$43-B2915)-((R2888-1)*((IF(Inputs!$B$38="pvp",15,MAX(0.1,Skills!D11-IF(TRUE=TRUE,Inputs!$B$32,0)))*(1-IF(AND(ArtifactsInput!$M$27,Inputs!$B$4="Chapter Hunt"),CHOOSE(ArtifactsInput!$N$27+1,20,24,28,32,36,40),0)/100))/B2919))))/Skills!H11+0.000000001),1)))/Inputs!$B$43),G2888*Q2888))*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Hunt"),CHOOSE(ArtifactsInput!$N$35+1,15,18,21,24,27,30)*(1-EXP(-(0.2*B2910)*5)),0)+IF(AND(ArtifactsInput!$M$22,Inputs!$B$4&lt;&gt;"Chapter Hunt"),CHOOSE(ArtifactsInput!$N$22+1,10,12,14,16,18,20)*((0*(((0.15*B2910*5))^0/1)+1*(((0.15*B2910*5))^1/1)+2*(((0.15*B2910*5))^2/2)+3*(((0.15*B2910*5))^3/6)+4*(((0.15*B2910*5))^4/24)+5*(((0.15*B2910*5))^5/120))/((((0.15*B2910*5))^0/1)+(((0.15*B2910*5))^1/1)+(((0.15*B2910*5))^2/2)+(((0.15*B2910*5))^3/6)+(((0.15*B2910*5))^4/24)+(((0.15*B2910*5))^5/120))),0))+IF(Inputs!$B$3&gt;=54,9*(C2880=TRUE)*MIN(1,8*(1+Inputs!$B$34/100)*Q2880)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2888*(1-MIN(100,(Inputs!$B$9+((C2896=TRUE)*(F2896-Calc!F19))+B2908+(ArtifactsInput!$M$24-ArtifactsInput!$M$24)*CHOOSE(ArtifactsInput!$N$24+1,10,12,14,16,18,20)+(IF(AND(Inputs!$B$38&lt;&gt;"pvp",Inputs!$B$43=0),1,IF(IF(Inputs!$B$38="pvp",15,Inputs!$B$43)-(B2915)&lt;=0,1,MAX(0,IF(Inputs!$B$38="pvp",15,Inputs!$B$43)-MAX(5,B2915))/(IF(Inputs!$B$38="pvp",15,Inputs!$B$43)-(B2915))))*IF(AND(IF(ArtifactsInput!$M$42,FALSE,TRUE),((Inputs!$B$9+((C2896=TRUE)*(F2896-Calc!F19))+B2908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2888*(MIN(100,(Inputs!$B$9+((C2896=TRUE)*(F2896-Calc!F19))+B2908+(ArtifactsInput!$M$24-ArtifactsInput!$M$24)*CHOOSE(ArtifactsInput!$N$24+1,10,12,14,16,18,20)+(IF(AND(Inputs!$B$38&lt;&gt;"pvp",Inputs!$B$43=0),1,IF(IF(Inputs!$B$38="pvp",15,Inputs!$B$43)-(B2915)&lt;=0,1,MAX(0,IF(Inputs!$B$38="pvp",15,Inputs!$B$43)-MAX(5,B2915))/(IF(Inputs!$B$38="pvp",15,Inputs!$B$43)-(B2915))))*IF(AND(IF(ArtifactsInput!$M$42,FALSE,TRUE),((Inputs!$B$9+((C2896=TRUE)*(F2896-Calc!F19))+B2908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2888*(1-MIN(100,(Inputs!$B$9+((C2896=TRUE)*(F2896-Calc!F19))+B2908+(ArtifactsInput!$M$24-ArtifactsInput!$M$24)*CHOOSE(ArtifactsInput!$N$24+1,10,12,14,16,18,20)+(IF(AND(Inputs!$B$38&lt;&gt;"pvp",Inputs!$B$43=0),1,IF(IF(Inputs!$B$38="pvp",15,Inputs!$B$43)-(B2915)&lt;=0,1,MAX(0,IF(Inputs!$B$38="pvp",15,Inputs!$B$43)-MAX(5,B2915))/(IF(Inputs!$B$38="pvp",15,Inputs!$B$43)-(B2915))))*IF(AND(IF(ArtifactsInput!$M$42,FALSE,TRUE),((Inputs!$B$9+((C2896=TRUE)*(F2896-Calc!F19))+B2908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2888*(MIN(100,(Inputs!$B$9+((C2896=TRUE)*(F2896-Calc!F19))+B2908+(ArtifactsInput!$M$24-ArtifactsInput!$M$24)*CHOOSE(ArtifactsInput!$N$24+1,10,12,14,16,18,20)+(IF(AND(Inputs!$B$38&lt;&gt;"pvp",Inputs!$B$43=0),1,IF(IF(Inputs!$B$38="pvp",15,Inputs!$B$43)-(B2915)&lt;=0,1,MAX(0,IF(Inputs!$B$38="pvp",15,Inputs!$B$43)-MAX(5,B2915))/(IF(Inputs!$B$38="pvp",15,Inputs!$B$43)-(B2915))))*IF(AND(IF(ArtifactsInput!$M$42,FALSE,TRUE),((Inputs!$B$9+((C2896=TRUE)*(F2896-Calc!F19))+B2908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888">
        <f>IF(C2888,(H2888*N2888*IF(AND(Inputs!$B$38&lt;&gt;"pvp",Inputs!$B$43&gt;0),((Skills!G11*((R2888-1)*IF(Skills!H11&gt;0,INT(Skills!I11/Skills!H11+0.000000001),1)+IF(Skills!H11&gt;0,INT(MIN(Skills!I11,MAX(0,MAX(0,Inputs!$B$43-B2915)-((R2888-1)*((IF(Inputs!$B$38="pvp",15,MAX(0.1,Skills!D11-IF(TRUE=TRUE,Inputs!$B$32,0)))*(1-IF(AND(ArtifactsInput!$M$27,Inputs!$B$4="Chapter Hunt"),CHOOSE(ArtifactsInput!$N$27+1,20,24,28,32,36,40),0)/100))/B2919))))/Skills!H11+0.000000001),1)))/Inputs!$B$43),G2888*Q2888))*IF(Inputs!$B$38="pvp",1,(1+(Inputs!$B$21+Skills!Q11+(IF(ArtifactsInput!$M$33,CHOOSE(ArtifactsInput!$N$33+1,30,36,42,48,54,60),0))+(IF(AND(ArtifactsInput!$M$35,Inputs!$B$4&lt;&gt;"Chapter Hunt"),CHOOSE(ArtifactsInput!$N$35+1,15,18,21,24,27,30)*(1-EXP(-(0.2*B2910)*5)),0)+IF(AND(ArtifactsInput!$M$22,Inputs!$B$4&lt;&gt;"Chapter Hunt"),CHOOSE(ArtifactsInput!$N$22+1,10,12,14,16,18,20)*((0*(((0.15*B2910*5))^0/1)+1*(((0.15*B2910*5))^1/1)+2*(((0.15*B2910*5))^2/2)+3*(((0.15*B2910*5))^3/6)+4*(((0.15*B2910*5))^4/24)+5*(((0.15*B2910*5))^5/120))/((((0.15*B2910*5))^0/1)+(((0.15*B2910*5))^1/1)+(((0.15*B2910*5))^2/2)+(((0.15*B2910*5))^3/6)+(((0.15*B2910*5))^4/24)+(((0.15*B2910*5))^5/120))),0))+IF(Inputs!$B$3&gt;=54,9*(C2880=TRUE)*MIN(1,8*(1+Inputs!$B$34/100)*Q2880)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89">
      <c r="A2889">
        <f>Skills!A12</f>
        <v/>
      </c>
      <c r="B2889">
        <f>Skills!B12</f>
        <v/>
      </c>
      <c r="C2889">
        <f>Inputs!$B$3&gt;=110</f>
        <v/>
      </c>
      <c r="D2889">
        <f>IF(Skills!C12=1,60+Inputs!$B$25+Inputs!$B$29,IF(Skills!C12=2,90+Inputs!$B$26+Inputs!$B$29,IF(Skills!C12=3,120+Inputs!$B$27+Inputs!$B$29,MAX(0,(Inputs!$B$3-100)*3)+Inputs!$B$28+Inputs!$B$29)))</f>
        <v/>
      </c>
      <c r="E2889">
        <f>INDEX(FactorTable!$B$2:$Y$301, MATCH(ROUND(MIN(300,MAX(1,D2889)),0), FactorTable!$A$2:$A$301,0), Skills!M12+1)</f>
        <v/>
      </c>
      <c r="F2889">
        <f>IF(Skills!N12=TRUE,(Skills!L12/10)*(E2889/1000),Skills!L12/10)+Skills!O12</f>
        <v/>
      </c>
      <c r="G2889">
        <f>Skills!G12*IF(Skills!H12&gt;0,INT(IF(Inputs!$B$38="pvp",MIN(Skills!I12,15),Skills!I12)/Skills!H12+0.000000001),1)</f>
        <v/>
      </c>
      <c r="H2889">
        <f>1-(1-Skills!J12/100)^Skills!K12</f>
        <v/>
      </c>
      <c r="I2889" t="inlineStr">
        <is>
          <t>1</t>
        </is>
      </c>
      <c r="J2889">
        <f>((Inputs!$B$6*(1+Inputs!$B$7/100))+(((Inputs!$B$12*(1+Inputs!$B$13/100))-(Inputs!$B$12*(1+Inputs!$B$13/100)))+0.25*(Inputs!$B$14-Inputs!$B$14))*(1+Inputs!$B$7/100))*(F2889/100)</f>
        <v/>
      </c>
      <c r="K2889">
        <f>J2889*(1+((Inputs!$B$12*(1+Inputs!$B$13/100))*0.01+Inputs!$B$14*0.0025)/100)*(1+Inputs!$B$15/100)*(1+Inputs!$B$16/100)*(5000/(6000+Inputs!$B$42*(1-(100*(1-(1-(Inputs!$B$19+0)/100)*(1-CHOOSE(ArtifactsInput!$N$40+1,5,6,7,8,9,10)/100)^(ArtifactsInput!$M$40-ArtifactsInput!$M$40)))/100)))*(1+(Inputs!$B$24+((C2903=TRUE)*(F2903-Calc!F26))+B2914)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EIGHT_LEGS_EASTON",Inputs!$B$17+((C2900=TRUE)*(F2900-Calc!F23))+((C2904=TRUE)*(F2904-Calc!F27))+((IF(AND(Inputs!$B$38&lt;&gt;"pvp",Inputs!$B$43=0),1,IF(IF(Inputs!$B$38="pvp",15,Inputs!$B$43)-(B2915)&lt;=0,1,MAX(0,IF(Inputs!$B$38="pvp",15,Inputs!$B$43)-MAX(5,B2915))/(IF(Inputs!$B$38="pvp",15,Inputs!$B$43)-(B2915))))*(IF(AND(IF(ArtifactsInput!$M$42,FALSE,TRUE),((Inputs!$B$9+((C2896=TRUE)*(F2896-Calc!F19))+B2908+(ArtifactsInput!$M$24-ArtifactsInput!$M$24)*CHOOSE(ArtifactsInput!$N$24+1,10,12,14,16,18,20)+IF(ArtifactsInput!$M$10,CHOOSE(ArtifactsInput!$N$10+1,15,18,21,24,27,30)*(IF(Inputs!$B$38="pvp",MIN(15,15)/15,IF(AND(Inputs!$B$38&lt;&gt;"pvp",Inputs!$B$43&gt;0),MIN(15,Inputs!$B$43)/(Inputs!$B$43),0))),0)))&gt;=100),MIN(100,((Inputs!$B$9+((C2896=TRUE)*(F2896-Calc!F19))+B2908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2915)&lt;=0,1,MAX(0,IF(Inputs!$B$38="pvp",15,Inputs!$B$43)-MAX(5,B2915))/(IF(Inputs!$B$38="pvp",15,Inputs!$B$43)-(B2915))))*IF(AND(IF(ArtifactsInput!$M$42,FALSE,TRUE),((Inputs!$B$9+((C2896=TRUE)*(F2896-Calc!F19))+B2908+(ArtifactsInput!$M$24-ArtifactsInput!$M$24)*CHOOSE(ArtifactsInput!$N$24+1,10,12,14,16,18,20)+IF(ArtifactsInput!$M$10,CHOOSE(ArtifactsInput!$N$10+1,15,18,21,24,27,30)*(IF(Inputs!$B$38="pvp",MIN(15,15)/15,IF(AND(Inputs!$B$38&lt;&gt;"pvp",Inputs!$B$43&gt;0),MIN(15,Inputs!$B$43)/(Inputs!$B$43),0))),0)))&gt;=100),CHOOSE(ArtifactsInput!$N$42+1,40,48,56,64,72,80),0))))/100)*((1+(((C2894=TRUE)*F2894*5/7)+((C2901=TRUE)*(F2901-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2889)</f>
        <v/>
      </c>
      <c r="L2889">
        <f>K2889*(MIN(Inputs!$B$22+((C2899=TRUE)*(F2899-Calc!F22)),(Inputs!$B$23+0+(IF(ArtifactsInput!$M$15,CHOOSE(ArtifactsInput!$N$15+1,25,30,35,40,45,50)/100*(Inputs!$B$11-Inputs!$B$11),0))))/100+(Inputs!$B$23+0+(IF(ArtifactsInput!$M$15,CHOOSE(ArtifactsInput!$N$15+1,25,30,35,40,45,50)/100*(Inputs!$B$11-Inputs!$B$11),0)))/100)/2</f>
        <v/>
      </c>
      <c r="M2889">
        <f>L2889*(1+(Inputs!$B$10+((C2902=TRUE)*(F2902-Calc!F25))+B2913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89">
        <f>L2889*(1-MIN((Inputs!$B$9+((C2896=TRUE)*(F2896-Calc!F19))+B2908+(ArtifactsInput!$M$24-ArtifactsInput!$M$24)*CHOOSE(ArtifactsInput!$N$24+1,10,12,14,16,18,20)+(IF(AND(Inputs!$B$38&lt;&gt;"pvp",Inputs!$B$43=0),1,IF(IF(Inputs!$B$38="pvp",15,Inputs!$B$43)-(B2915)&lt;=0,1,MAX(0,IF(Inputs!$B$38="pvp",15,Inputs!$B$43)-MAX(5,B2915))/(IF(Inputs!$B$38="pvp",15,Inputs!$B$43)-(B2915))))*IF(AND(IF(ArtifactsInput!$M$42,FALSE,TRUE),((Inputs!$B$9+((C2896=TRUE)*(F2896-Calc!F19))+B2908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2889*(MIN((Inputs!$B$9+((C2896=TRUE)*(F2896-Calc!F19))+B2908+(ArtifactsInput!$M$24-ArtifactsInput!$M$24)*CHOOSE(ArtifactsInput!$N$24+1,10,12,14,16,18,20)+(IF(AND(Inputs!$B$38&lt;&gt;"pvp",Inputs!$B$43=0),1,IF(IF(Inputs!$B$38="pvp",15,Inputs!$B$43)-(B2915)&lt;=0,1,MAX(0,IF(Inputs!$B$38="pvp",15,Inputs!$B$43)-MAX(5,B2915))/(IF(Inputs!$B$38="pvp",15,Inputs!$B$43)-(B2915))))*IF(AND(IF(ArtifactsInput!$M$42,FALSE,TRUE),((Inputs!$B$9+((C2896=TRUE)*(F2896-Calc!F19))+B2908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89">
        <f>(1-Summary!$B$11)*T2889+Summary!$B$11*V2889</f>
        <v/>
      </c>
      <c r="P2889">
        <f>IF(B2918=0,0,O2889/B2918)</f>
        <v/>
      </c>
      <c r="Q2889">
        <f>IFERROR(1/(IF(Inputs!$B$38="pvp",15,MAX(0.1,Skills!D12-IF(TRUE=TRUE,Inputs!$B$32,0)))*(1-IF(AND(ArtifactsInput!$M$27,Inputs!$B$4="Chapter Hunt"),CHOOSE(ArtifactsInput!$N$27+1,20,24,28,32,36,40),0)/100)),0)</f>
        <v/>
      </c>
      <c r="R2889">
        <f>IF(AND(Inputs!$B$38&lt;&gt;"pvp",Inputs!$B$43&gt;0),IF(MAX(0,Inputs!$B$43-B2915)&lt;=0,0,(INT(MAX(0,Inputs!$B$43-B2915)/(IF(Inputs!$B$38="pvp",15,MAX(0.1,Skills!D12-IF(TRUE=TRUE,Inputs!$B$32,0)))*(1-IF(AND(ArtifactsInput!$M$27,Inputs!$B$4="Chapter Hunt"),CHOOSE(ArtifactsInput!$N$27+1,20,24,28,32,36,40),0)/100)))+1)),0)</f>
        <v/>
      </c>
      <c r="S2889">
        <f>IFERROR(O2889/N2889,0)</f>
        <v/>
      </c>
      <c r="T2889">
        <f>IF(C2889,(H2889*N2889*IF(AND(Inputs!$B$38&lt;&gt;"pvp",Inputs!$B$43&gt;0),((Skills!G12*((R2889-1)*IF(Skills!H12&gt;0,INT(Skills!I12/Skills!H12+0.000000001),1)+IF(Skills!H12&gt;0,INT(MIN(Skills!I12,MAX(0,MAX(0,Inputs!$B$43-B2915)-((R2889-1)*(IF(Inputs!$B$38="pvp",15,MAX(0.1,Skills!D12-IF(TRUE=TRUE,Inputs!$B$32,0)))*(1-IF(AND(ArtifactsInput!$M$27,Inputs!$B$4="Chapter Hunt"),CHOOSE(ArtifactsInput!$N$27+1,20,24,28,32,36,40),0)/100)))))/Skills!H12+0.000000001),1)))/Inputs!$B$43),G2889*Q2889))*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Hunt"),CHOOSE(ArtifactsInput!$N$35+1,15,18,21,24,27,30)*(1-EXP(-(0.2*B2910)*5)),0)+IF(AND(ArtifactsInput!$M$22,Inputs!$B$4&lt;&gt;"Chapter Hunt"),CHOOSE(ArtifactsInput!$N$22+1,10,12,14,16,18,20)*((0*(((0.15*B2910*5))^0/1)+1*(((0.15*B2910*5))^1/1)+2*(((0.15*B2910*5))^2/2)+3*(((0.15*B2910*5))^3/6)+4*(((0.15*B2910*5))^4/24)+5*(((0.15*B2910*5))^5/120))/((((0.15*B2910*5))^0/1)+(((0.15*B2910*5))^1/1)+(((0.15*B2910*5))^2/2)+(((0.15*B2910*5))^3/6)+(((0.15*B2910*5))^4/24)+(((0.15*B2910*5))^5/120))),0))+IF(Inputs!$B$3&gt;=54,9*(C2880=TRUE)*MIN(1,8*(1+Inputs!$B$34/100)*Q2880)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2889*(1-MIN(100,(Inputs!$B$9+((C2896=TRUE)*(F2896-Calc!F19))+B2908+(ArtifactsInput!$M$24-ArtifactsInput!$M$24)*CHOOSE(ArtifactsInput!$N$24+1,10,12,14,16,18,20)+(IF(AND(Inputs!$B$38&lt;&gt;"pvp",Inputs!$B$43=0),1,IF(IF(Inputs!$B$38="pvp",15,Inputs!$B$43)-(B2915)&lt;=0,1,MAX(0,IF(Inputs!$B$38="pvp",15,Inputs!$B$43)-MAX(5,B2915))/(IF(Inputs!$B$38="pvp",15,Inputs!$B$43)-(B2915))))*IF(AND(IF(ArtifactsInput!$M$42,FALSE,TRUE),((Inputs!$B$9+((C2896=TRUE)*(F2896-Calc!F19))+B2908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2889*(MIN(100,(Inputs!$B$9+((C2896=TRUE)*(F2896-Calc!F19))+B2908+(ArtifactsInput!$M$24-ArtifactsInput!$M$24)*CHOOSE(ArtifactsInput!$N$24+1,10,12,14,16,18,20)+(IF(AND(Inputs!$B$38&lt;&gt;"pvp",Inputs!$B$43=0),1,IF(IF(Inputs!$B$38="pvp",15,Inputs!$B$43)-(B2915)&lt;=0,1,MAX(0,IF(Inputs!$B$38="pvp",15,Inputs!$B$43)-MAX(5,B2915))/(IF(Inputs!$B$38="pvp",15,Inputs!$B$43)-(B2915))))*IF(AND(IF(ArtifactsInput!$M$42,FALSE,TRUE),((Inputs!$B$9+((C2896=TRUE)*(F2896-Calc!F19))+B2908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2889*(1-MIN(100,(Inputs!$B$9+((C2896=TRUE)*(F2896-Calc!F19))+B2908+(ArtifactsInput!$M$24-ArtifactsInput!$M$24)*CHOOSE(ArtifactsInput!$N$24+1,10,12,14,16,18,20)+(IF(AND(Inputs!$B$38&lt;&gt;"pvp",Inputs!$B$43=0),1,IF(IF(Inputs!$B$38="pvp",15,Inputs!$B$43)-(B2915)&lt;=0,1,MAX(0,IF(Inputs!$B$38="pvp",15,Inputs!$B$43)-MAX(5,B2915))/(IF(Inputs!$B$38="pvp",15,Inputs!$B$43)-(B2915))))*IF(AND(IF(ArtifactsInput!$M$42,FALSE,TRUE),((Inputs!$B$9+((C2896=TRUE)*(F2896-Calc!F19))+B2908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2889*(MIN(100,(Inputs!$B$9+((C2896=TRUE)*(F2896-Calc!F19))+B2908+(ArtifactsInput!$M$24-ArtifactsInput!$M$24)*CHOOSE(ArtifactsInput!$N$24+1,10,12,14,16,18,20)+(IF(AND(Inputs!$B$38&lt;&gt;"pvp",Inputs!$B$43=0),1,IF(IF(Inputs!$B$38="pvp",15,Inputs!$B$43)-(B2915)&lt;=0,1,MAX(0,IF(Inputs!$B$38="pvp",15,Inputs!$B$43)-MAX(5,B2915))/(IF(Inputs!$B$38="pvp",15,Inputs!$B$43)-(B2915))))*IF(AND(IF(ArtifactsInput!$M$42,FALSE,TRUE),((Inputs!$B$9+((C2896=TRUE)*(F2896-Calc!F19))+B2908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889">
        <f>IF(C2889,(H2889*N2889*IF(AND(Inputs!$B$38&lt;&gt;"pvp",Inputs!$B$43&gt;0),((Skills!G12*((R2889-1)*IF(Skills!H12&gt;0,INT(Skills!I12/Skills!H12+0.000000001),1)+IF(Skills!H12&gt;0,INT(MIN(Skills!I12,MAX(0,MAX(0,Inputs!$B$43-B2915)-((R2889-1)*(IF(Inputs!$B$38="pvp",15,MAX(0.1,Skills!D12-IF(TRUE=TRUE,Inputs!$B$32,0)))*(1-IF(AND(ArtifactsInput!$M$27,Inputs!$B$4="Chapter Hunt"),CHOOSE(ArtifactsInput!$N$27+1,20,24,28,32,36,40),0)/100)))))/Skills!H12+0.000000001),1)))/Inputs!$B$43),G2889*Q2889))*IF(Inputs!$B$38="pvp",1,(1+(Inputs!$B$21+Skills!Q12+(IF(ArtifactsInput!$M$33,CHOOSE(ArtifactsInput!$N$33+1,30,36,42,48,54,60),0))+(IF(AND(ArtifactsInput!$M$35,Inputs!$B$4&lt;&gt;"Chapter Hunt"),CHOOSE(ArtifactsInput!$N$35+1,15,18,21,24,27,30)*(1-EXP(-(0.2*B2910)*5)),0)+IF(AND(ArtifactsInput!$M$22,Inputs!$B$4&lt;&gt;"Chapter Hunt"),CHOOSE(ArtifactsInput!$N$22+1,10,12,14,16,18,20)*((0*(((0.15*B2910*5))^0/1)+1*(((0.15*B2910*5))^1/1)+2*(((0.15*B2910*5))^2/2)+3*(((0.15*B2910*5))^3/6)+4*(((0.15*B2910*5))^4/24)+5*(((0.15*B2910*5))^5/120))/((((0.15*B2910*5))^0/1)+(((0.15*B2910*5))^1/1)+(((0.15*B2910*5))^2/2)+(((0.15*B2910*5))^3/6)+(((0.15*B2910*5))^4/24)+(((0.15*B2910*5))^5/120))),0))+IF(Inputs!$B$3&gt;=54,9*(C2880=TRUE)*MIN(1,8*(1+Inputs!$B$34/100)*Q2880),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90">
      <c r="A2890">
        <f>Skills!A13</f>
        <v/>
      </c>
      <c r="B2890">
        <f>Skills!B13</f>
        <v/>
      </c>
      <c r="C2890">
        <f>Inputs!$B$3&gt;=110</f>
        <v/>
      </c>
      <c r="D2890">
        <f>IF(Skills!C13=1,60+Inputs!$B$25+Inputs!$B$29,IF(Skills!C13=2,90+Inputs!$B$26+Inputs!$B$29,IF(Skills!C13=3,120+Inputs!$B$27+Inputs!$B$29,MAX(0,(Inputs!$B$3-100)*3)+Inputs!$B$28+Inputs!$B$29)))</f>
        <v/>
      </c>
      <c r="E2890">
        <f>INDEX(FactorTable!$B$2:$Y$301, MATCH(ROUND(MIN(300,MAX(1,D2890)),0), FactorTable!$A$2:$A$301,0), Skills!M13+1)</f>
        <v/>
      </c>
      <c r="F2890">
        <f>IF(Skills!N13=TRUE,(Skills!L13/10)*(E2890/1000),Skills!L13/10)+Skills!O13</f>
        <v/>
      </c>
      <c r="G2890">
        <f>Skills!G13*IF(Skills!H13&gt;0,INT(IF(Inputs!$B$38="pvp",MIN(Skills!I13,15),Skills!I13)/Skills!H13+0.000000001),1)</f>
        <v/>
      </c>
      <c r="H2890">
        <f>1-(1-Skills!J13/100)^Skills!K13</f>
        <v/>
      </c>
      <c r="I2890" t="inlineStr">
        <is>
          <t>1</t>
        </is>
      </c>
      <c r="J2890">
        <f>((Inputs!$B$6*(1+Inputs!$B$7/100))+(((Inputs!$B$12*(1+Inputs!$B$13/100))-(Inputs!$B$12*(1+Inputs!$B$13/100)))+0.25*(Inputs!$B$14-Inputs!$B$14))*(1+Inputs!$B$7/100))*(F2890/100)</f>
        <v/>
      </c>
      <c r="K2890">
        <f>J2890*(1+((Inputs!$B$12*(1+Inputs!$B$13/100))*0.01+Inputs!$B$14*0.0025)/100)*(1+Inputs!$B$15/100)*(1+Inputs!$B$16/100)*(5000/(6000+Inputs!$B$42*(1-(100*(1-(1-(Inputs!$B$19+0)/100)*(1-CHOOSE(ArtifactsInput!$N$40+1,5,6,7,8,9,10)/100)^(ArtifactsInput!$M$40-ArtifactsInput!$M$40)))/100)))*(1+(Inputs!$B$24+((C2903=TRUE)*(F2903-Calc!F26))+B2914)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EIGHT_LEGS_EASTON",Inputs!$B$17+((C2900=TRUE)*(F2900-Calc!F23))+((C2904=TRUE)*(F2904-Calc!F27))+((IF(AND(Inputs!$B$38&lt;&gt;"pvp",Inputs!$B$43=0),1,IF(IF(Inputs!$B$38="pvp",15,Inputs!$B$43)-(B2915)&lt;=0,1,MAX(0,IF(Inputs!$B$38="pvp",15,Inputs!$B$43)-MAX(5,B2915))/(IF(Inputs!$B$38="pvp",15,Inputs!$B$43)-(B2915))))*(IF(AND(IF(ArtifactsInput!$M$42,FALSE,TRUE),((Inputs!$B$9+((C2896=TRUE)*(F2896-Calc!F19))+B2908+(ArtifactsInput!$M$24-ArtifactsInput!$M$24)*CHOOSE(ArtifactsInput!$N$24+1,10,12,14,16,18,20)+IF(ArtifactsInput!$M$10,CHOOSE(ArtifactsInput!$N$10+1,15,18,21,24,27,30)*(IF(Inputs!$B$38="pvp",MIN(15,15)/15,IF(AND(Inputs!$B$38&lt;&gt;"pvp",Inputs!$B$43&gt;0),MIN(15,Inputs!$B$43)/(Inputs!$B$43),0))),0)))&gt;=100),MIN(100,((Inputs!$B$9+((C2896=TRUE)*(F2896-Calc!F19))+B2908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2915)&lt;=0,1,MAX(0,IF(Inputs!$B$38="pvp",15,Inputs!$B$43)-MAX(5,B2915))/(IF(Inputs!$B$38="pvp",15,Inputs!$B$43)-(B2915))))*IF(AND(IF(ArtifactsInput!$M$42,FALSE,TRUE),((Inputs!$B$9+((C2896=TRUE)*(F2896-Calc!F19))+B2908+(ArtifactsInput!$M$24-ArtifactsInput!$M$24)*CHOOSE(ArtifactsInput!$N$24+1,10,12,14,16,18,20)+IF(ArtifactsInput!$M$10,CHOOSE(ArtifactsInput!$N$10+1,15,18,21,24,27,30)*(IF(Inputs!$B$38="pvp",MIN(15,15)/15,IF(AND(Inputs!$B$38&lt;&gt;"pvp",Inputs!$B$43&gt;0),MIN(15,Inputs!$B$43)/(Inputs!$B$43),0))),0)))&gt;=100),CHOOSE(ArtifactsInput!$N$42+1,40,48,56,64,72,80),0))))/100)*((1+(((C2894=TRUE)*F2894*5/7)+((C2901=TRUE)*(F2901-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2890)</f>
        <v/>
      </c>
      <c r="L2890">
        <f>K2890*(MIN(Inputs!$B$22+((C2899=TRUE)*(F2899-Calc!F22)),(Inputs!$B$23+0+(IF(ArtifactsInput!$M$15,CHOOSE(ArtifactsInput!$N$15+1,25,30,35,40,45,50)/100*(Inputs!$B$11-Inputs!$B$11),0))))/100+(Inputs!$B$23+0+(IF(ArtifactsInput!$M$15,CHOOSE(ArtifactsInput!$N$15+1,25,30,35,40,45,50)/100*(Inputs!$B$11-Inputs!$B$11),0)))/100)/2</f>
        <v/>
      </c>
      <c r="M2890">
        <f>L2890*(1+(Inputs!$B$10+((C2902=TRUE)*(F2902-Calc!F25))+B2913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90">
        <f>L2890*(1-MIN((Inputs!$B$9+((C2896=TRUE)*(F2896-Calc!F19))+B2908+(ArtifactsInput!$M$24-ArtifactsInput!$M$24)*CHOOSE(ArtifactsInput!$N$24+1,10,12,14,16,18,20)+(IF(AND(Inputs!$B$38&lt;&gt;"pvp",Inputs!$B$43=0),1,IF(IF(Inputs!$B$38="pvp",15,Inputs!$B$43)-(B2915)&lt;=0,1,MAX(0,IF(Inputs!$B$38="pvp",15,Inputs!$B$43)-MAX(5,B2915))/(IF(Inputs!$B$38="pvp",15,Inputs!$B$43)-(B2915))))*IF(AND(IF(ArtifactsInput!$M$42,FALSE,TRUE),((Inputs!$B$9+((C2896=TRUE)*(F2896-Calc!F19))+B2908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2890*(MIN((Inputs!$B$9+((C2896=TRUE)*(F2896-Calc!F19))+B2908+(ArtifactsInput!$M$24-ArtifactsInput!$M$24)*CHOOSE(ArtifactsInput!$N$24+1,10,12,14,16,18,20)+(IF(AND(Inputs!$B$38&lt;&gt;"pvp",Inputs!$B$43=0),1,IF(IF(Inputs!$B$38="pvp",15,Inputs!$B$43)-(B2915)&lt;=0,1,MAX(0,IF(Inputs!$B$38="pvp",15,Inputs!$B$43)-MAX(5,B2915))/(IF(Inputs!$B$38="pvp",15,Inputs!$B$43)-(B2915))))*IF(AND(IF(ArtifactsInput!$M$42,FALSE,TRUE),((Inputs!$B$9+((C2896=TRUE)*(F2896-Calc!F19))+B2908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90">
        <f>(1-Summary!$B$11)*T2890+Summary!$B$11*V2890</f>
        <v/>
      </c>
      <c r="P2890">
        <f>IF(B2918=0,0,O2890/B2918)</f>
        <v/>
      </c>
      <c r="Q2890">
        <f>IFERROR(1/(IF(Inputs!$B$38="pvp",15,MAX(0.1,Skills!D13-IF(TRUE=TRUE,Inputs!$B$32,0)))*(1-IF(AND(ArtifactsInput!$M$27,Inputs!$B$4="Chapter Hunt"),CHOOSE(ArtifactsInput!$N$27+1,20,24,28,32,36,40),0)/100)),0)</f>
        <v/>
      </c>
      <c r="R2890">
        <f>IF(AND(Inputs!$B$38&lt;&gt;"pvp",Inputs!$B$43&gt;0),IF(MAX(0,Inputs!$B$43-B2915)&lt;=0,0,(INT(MAX(0,Inputs!$B$43-B2915)/(IF(Inputs!$B$38="pvp",15,MAX(0.1,Skills!D13-IF(TRUE=TRUE,Inputs!$B$32,0)))*(1-IF(AND(ArtifactsInput!$M$27,Inputs!$B$4="Chapter Hunt"),CHOOSE(ArtifactsInput!$N$27+1,20,24,28,32,36,40),0)/100)))+1)),0)</f>
        <v/>
      </c>
      <c r="S2890">
        <f>IFERROR(O2890/N2890,0)</f>
        <v/>
      </c>
      <c r="T2890">
        <f>IF(C2890,(H2890*N2890*IF(AND(Inputs!$B$38&lt;&gt;"pvp",Inputs!$B$43&gt;0),((Skills!G13*((R2890-1)*IF(Skills!H13&gt;0,INT(Skills!I13/Skills!H13+0.000000001),1)+IF(Skills!H13&gt;0,INT(MIN(Skills!I13,MAX(0,MAX(0,Inputs!$B$43-B2915)-((R2890-1)*(IF(Inputs!$B$38="pvp",15,MAX(0.1,Skills!D13-IF(TRUE=TRUE,Inputs!$B$32,0)))*(1-IF(AND(ArtifactsInput!$M$27,Inputs!$B$4="Chapter Hunt"),CHOOSE(ArtifactsInput!$N$27+1,20,24,28,32,36,40),0)/100)))))/Skills!H13+0.000000001),1)))/Inputs!$B$43),G2890*Q2890))*IF(Inputs!$B$38="pvp",1,1+(Inputs!$B$20+0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Hunt"),CHOOSE(ArtifactsInput!$N$35+1,15,18,21,24,27,30)*(1-EXP(-(0.2*B2910)*5)),0)+IF(AND(ArtifactsInput!$M$22,Inputs!$B$4&lt;&gt;"Chapter Hunt"),CHOOSE(ArtifactsInput!$N$22+1,10,12,14,16,18,20)*((0*(((0.15*B2910*5))^0/1)+1*(((0.15*B2910*5))^1/1)+2*(((0.15*B2910*5))^2/2)+3*(((0.15*B2910*5))^3/6)+4*(((0.15*B2910*5))^4/24)+5*(((0.15*B2910*5))^5/120))/((((0.15*B2910*5))^0/1)+(((0.15*B2910*5))^1/1)+(((0.15*B2910*5))^2/2)+(((0.15*B2910*5))^3/6)+(((0.15*B2910*5))^4/24)+(((0.15*B2910*5))^5/120))),0))+IF(Inputs!$B$3&gt;=54,9*(C2880=TRUE)*MIN(1,8*(1+Inputs!$B$34/100)*Q2880)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2890*(1-MIN(100,(Inputs!$B$9+((C2896=TRUE)*(F2896-Calc!F19))+B2908+(ArtifactsInput!$M$24-ArtifactsInput!$M$24)*CHOOSE(ArtifactsInput!$N$24+1,10,12,14,16,18,20)+(IF(AND(Inputs!$B$38&lt;&gt;"pvp",Inputs!$B$43=0),1,IF(IF(Inputs!$B$38="pvp",15,Inputs!$B$43)-(B2915)&lt;=0,1,MAX(0,IF(Inputs!$B$38="pvp",15,Inputs!$B$43)-MAX(5,B2915))/(IF(Inputs!$B$38="pvp",15,Inputs!$B$43)-(B2915))))*IF(AND(IF(ArtifactsInput!$M$42,FALSE,TRUE),((Inputs!$B$9+((C2896=TRUE)*(F2896-Calc!F19))+B2908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2890*(MIN(100,(Inputs!$B$9+((C2896=TRUE)*(F2896-Calc!F19))+B2908+(ArtifactsInput!$M$24-ArtifactsInput!$M$24)*CHOOSE(ArtifactsInput!$N$24+1,10,12,14,16,18,20)+(IF(AND(Inputs!$B$38&lt;&gt;"pvp",Inputs!$B$43=0),1,IF(IF(Inputs!$B$38="pvp",15,Inputs!$B$43)-(B2915)&lt;=0,1,MAX(0,IF(Inputs!$B$38="pvp",15,Inputs!$B$43)-MAX(5,B2915))/(IF(Inputs!$B$38="pvp",15,Inputs!$B$43)-(B2915))))*IF(AND(IF(ArtifactsInput!$M$42,FALSE,TRUE),((Inputs!$B$9+((C2896=TRUE)*(F2896-Calc!F19))+B2908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2890*(1-MIN(100,(Inputs!$B$9+((C2896=TRUE)*(F2896-Calc!F19))+B2908+(ArtifactsInput!$M$24-ArtifactsInput!$M$24)*CHOOSE(ArtifactsInput!$N$24+1,10,12,14,16,18,20)+(IF(AND(Inputs!$B$38&lt;&gt;"pvp",Inputs!$B$43=0),1,IF(IF(Inputs!$B$38="pvp",15,Inputs!$B$43)-(B2915)&lt;=0,1,MAX(0,IF(Inputs!$B$38="pvp",15,Inputs!$B$43)-MAX(5,B2915))/(IF(Inputs!$B$38="pvp",15,Inputs!$B$43)-(B2915))))*IF(AND(IF(ArtifactsInput!$M$42,FALSE,TRUE),((Inputs!$B$9+((C2896=TRUE)*(F2896-Calc!F19))+B2908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2890*(MIN(100,(Inputs!$B$9+((C2896=TRUE)*(F2896-Calc!F19))+B2908+(ArtifactsInput!$M$24-ArtifactsInput!$M$24)*CHOOSE(ArtifactsInput!$N$24+1,10,12,14,16,18,20)+(IF(AND(Inputs!$B$38&lt;&gt;"pvp",Inputs!$B$43=0),1,IF(IF(Inputs!$B$38="pvp",15,Inputs!$B$43)-(B2915)&lt;=0,1,MAX(0,IF(Inputs!$B$38="pvp",15,Inputs!$B$43)-MAX(5,B2915))/(IF(Inputs!$B$38="pvp",15,Inputs!$B$43)-(B2915))))*IF(AND(IF(ArtifactsInput!$M$42,FALSE,TRUE),((Inputs!$B$9+((C2896=TRUE)*(F2896-Calc!F19))+B2908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890">
        <f>IF(C2890,(H2890*N2890*IF(AND(Inputs!$B$38&lt;&gt;"pvp",Inputs!$B$43&gt;0),((Skills!G13*((R2890-1)*IF(Skills!H13&gt;0,INT(Skills!I13/Skills!H13+0.000000001),1)+IF(Skills!H13&gt;0,INT(MIN(Skills!I13,MAX(0,MAX(0,Inputs!$B$43-B2915)-((R2890-1)*(IF(Inputs!$B$38="pvp",15,MAX(0.1,Skills!D13-IF(TRUE=TRUE,Inputs!$B$32,0)))*(1-IF(AND(ArtifactsInput!$M$27,Inputs!$B$4="Chapter Hunt"),CHOOSE(ArtifactsInput!$N$27+1,20,24,28,32,36,40),0)/100)))))/Skills!H13+0.000000001),1)))/Inputs!$B$43),G2890*Q2890))*IF(Inputs!$B$38="pvp",1,(1+(Inputs!$B$21+Skills!Q13+(IF(ArtifactsInput!$M$33,CHOOSE(ArtifactsInput!$N$33+1,30,36,42,48,54,60),0))+(IF(AND(ArtifactsInput!$M$35,Inputs!$B$4&lt;&gt;"Chapter Hunt"),CHOOSE(ArtifactsInput!$N$35+1,15,18,21,24,27,30)*(1-EXP(-(0.2*B2910)*5)),0)+IF(AND(ArtifactsInput!$M$22,Inputs!$B$4&lt;&gt;"Chapter Hunt"),CHOOSE(ArtifactsInput!$N$22+1,10,12,14,16,18,20)*((0*(((0.15*B2910*5))^0/1)+1*(((0.15*B2910*5))^1/1)+2*(((0.15*B2910*5))^2/2)+3*(((0.15*B2910*5))^3/6)+4*(((0.15*B2910*5))^4/24)+5*(((0.15*B2910*5))^5/120))/((((0.15*B2910*5))^0/1)+(((0.15*B2910*5))^1/1)+(((0.15*B2910*5))^2/2)+(((0.15*B2910*5))^3/6)+(((0.15*B2910*5))^4/24)+(((0.15*B2910*5))^5/120))),0))+IF(Inputs!$B$3&gt;=54,9*(C2880=TRUE)*MIN(1,8*(1+Inputs!$B$34/100)*Q2880),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91">
      <c r="A2891">
        <f>Skills!A14</f>
        <v/>
      </c>
      <c r="B2891">
        <f>Skills!B14</f>
        <v/>
      </c>
      <c r="C2891">
        <f>Inputs!$B$3&gt;=120</f>
        <v/>
      </c>
      <c r="D2891">
        <f>IF(Skills!C14=1,60+Inputs!$B$25+Inputs!$B$29,IF(Skills!C14=2,90+Inputs!$B$26+Inputs!$B$29,IF(Skills!C14=3,120+Inputs!$B$27+Inputs!$B$29,MAX(0,(Inputs!$B$3-100)*3)+Inputs!$B$28+Inputs!$B$29)))</f>
        <v/>
      </c>
      <c r="E2891">
        <f>INDEX(FactorTable!$B$2:$Y$301, MATCH(ROUND(MIN(300,MAX(1,D2891)),0), FactorTable!$A$2:$A$301,0), Skills!M14+1)</f>
        <v/>
      </c>
      <c r="F2891">
        <f>IF(Skills!N14=TRUE,(Skills!L14/10)*(E2891/1000),Skills!L14/10)+Skills!O14</f>
        <v/>
      </c>
      <c r="G2891">
        <f>Skills!G14*IF(Skills!H14&gt;0,INT(IF(Inputs!$B$38="pvp",MIN(Skills!I14,15),Skills!I14)/Skills!H14+0.000000001),1)</f>
        <v/>
      </c>
      <c r="H2891">
        <f>1-(1-Skills!J14/100)^Skills!K14</f>
        <v/>
      </c>
      <c r="I2891" t="inlineStr">
        <is>
          <t>1</t>
        </is>
      </c>
      <c r="J2891">
        <f>((Inputs!$B$6*(1+Inputs!$B$7/100))+(((Inputs!$B$12*(1+Inputs!$B$13/100))-(Inputs!$B$12*(1+Inputs!$B$13/100)))+0.25*(Inputs!$B$14-Inputs!$B$14))*(1+Inputs!$B$7/100))*(F2891/100)</f>
        <v/>
      </c>
      <c r="K2891">
        <f>J2891*(1+((Inputs!$B$12*(1+Inputs!$B$13/100))*0.01+Inputs!$B$14*0.0025)/100)*(1+Inputs!$B$15/100)*(1+Inputs!$B$16/100)*(5000/(6000+Inputs!$B$42*(1-(100*(1-(1-(Inputs!$B$19+0)/100)*(1-CHOOSE(ArtifactsInput!$N$40+1,5,6,7,8,9,10)/100)^(ArtifactsInput!$M$40-ArtifactsInput!$M$40)))/100)))*(1+(Inputs!$B$24+((C2903=TRUE)*(F2903-Calc!F26))+B2914)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EIGHT_LEGS_EASTON",Inputs!$B$17+((C2900=TRUE)*(F2900-Calc!F23))+((C2904=TRUE)*(F2904-Calc!F27))+((IF(AND(Inputs!$B$38&lt;&gt;"pvp",Inputs!$B$43=0),1,IF(IF(Inputs!$B$38="pvp",15,Inputs!$B$43)-(B2915)&lt;=0,1,MAX(0,IF(Inputs!$B$38="pvp",15,Inputs!$B$43)-MAX(5,B2915))/(IF(Inputs!$B$38="pvp",15,Inputs!$B$43)-(B2915))))*(IF(AND(IF(ArtifactsInput!$M$42,FALSE,TRUE),((Inputs!$B$9+((C2896=TRUE)*(F2896-Calc!F19))+B2908+(ArtifactsInput!$M$24-ArtifactsInput!$M$24)*CHOOSE(ArtifactsInput!$N$24+1,10,12,14,16,18,20)+IF(ArtifactsInput!$M$10,CHOOSE(ArtifactsInput!$N$10+1,15,18,21,24,27,30)*(IF(Inputs!$B$38="pvp",MIN(15,15)/15,IF(AND(Inputs!$B$38&lt;&gt;"pvp",Inputs!$B$43&gt;0),MIN(15,Inputs!$B$43)/(Inputs!$B$43),0))),0)))&gt;=100),MIN(100,((Inputs!$B$9+((C2896=TRUE)*(F2896-Calc!F19))+B2908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2915)&lt;=0,1,MAX(0,IF(Inputs!$B$38="pvp",15,Inputs!$B$43)-MAX(5,B2915))/(IF(Inputs!$B$38="pvp",15,Inputs!$B$43)-(B2915))))*IF(AND(IF(ArtifactsInput!$M$42,FALSE,TRUE),((Inputs!$B$9+((C2896=TRUE)*(F2896-Calc!F19))+B2908+(ArtifactsInput!$M$24-ArtifactsInput!$M$24)*CHOOSE(ArtifactsInput!$N$24+1,10,12,14,16,18,20)+IF(ArtifactsInput!$M$10,CHOOSE(ArtifactsInput!$N$10+1,15,18,21,24,27,30)*(IF(Inputs!$B$38="pvp",MIN(15,15)/15,IF(AND(Inputs!$B$38&lt;&gt;"pvp",Inputs!$B$43&gt;0),MIN(15,Inputs!$B$43)/(Inputs!$B$43),0))),0)))&gt;=100),CHOOSE(ArtifactsInput!$N$42+1,40,48,56,64,72,80),0))))/100)*((1+(((C2894=TRUE)*F2894*5/7)+((C2901=TRUE)*(F2901-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2891)</f>
        <v/>
      </c>
      <c r="L2891">
        <f>K2891*(MIN(Inputs!$B$22+((C2899=TRUE)*(F2899-Calc!F22)),(Inputs!$B$23+0+(IF(ArtifactsInput!$M$15,CHOOSE(ArtifactsInput!$N$15+1,25,30,35,40,45,50)/100*(Inputs!$B$11-Inputs!$B$11),0))))/100+(Inputs!$B$23+0+(IF(ArtifactsInput!$M$15,CHOOSE(ArtifactsInput!$N$15+1,25,30,35,40,45,50)/100*(Inputs!$B$11-Inputs!$B$11),0)))/100)/2</f>
        <v/>
      </c>
      <c r="M2891">
        <f>L2891*(1+(Inputs!$B$10+((C2902=TRUE)*(F2902-Calc!F25))+B2913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91">
        <f>L2891*(1-MIN((Inputs!$B$9+((C2896=TRUE)*(F2896-Calc!F19))+B2908+(ArtifactsInput!$M$24-ArtifactsInput!$M$24)*CHOOSE(ArtifactsInput!$N$24+1,10,12,14,16,18,20)+(IF(AND(Inputs!$B$38&lt;&gt;"pvp",Inputs!$B$43=0),1,IF(IF(Inputs!$B$38="pvp",15,Inputs!$B$43)-(B2915)&lt;=0,1,MAX(0,IF(Inputs!$B$38="pvp",15,Inputs!$B$43)-MAX(5,B2915))/(IF(Inputs!$B$38="pvp",15,Inputs!$B$43)-(B2915))))*IF(AND(IF(ArtifactsInput!$M$42,FALSE,TRUE),((Inputs!$B$9+((C2896=TRUE)*(F2896-Calc!F19))+B2908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2891*(MIN((Inputs!$B$9+((C2896=TRUE)*(F2896-Calc!F19))+B2908+(ArtifactsInput!$M$24-ArtifactsInput!$M$24)*CHOOSE(ArtifactsInput!$N$24+1,10,12,14,16,18,20)+(IF(AND(Inputs!$B$38&lt;&gt;"pvp",Inputs!$B$43=0),1,IF(IF(Inputs!$B$38="pvp",15,Inputs!$B$43)-(B2915)&lt;=0,1,MAX(0,IF(Inputs!$B$38="pvp",15,Inputs!$B$43)-MAX(5,B2915))/(IF(Inputs!$B$38="pvp",15,Inputs!$B$43)-(B2915))))*IF(AND(IF(ArtifactsInput!$M$42,FALSE,TRUE),((Inputs!$B$9+((C2896=TRUE)*(F2896-Calc!F19))+B2908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91">
        <f>(1-Summary!$B$11)*T2891+Summary!$B$11*V2891</f>
        <v/>
      </c>
      <c r="P2891">
        <f>IF(B2918=0,0,O2891/B2918)</f>
        <v/>
      </c>
      <c r="Q2891" t="n">
        <v>0</v>
      </c>
      <c r="R2891" t="n">
        <v>0</v>
      </c>
      <c r="S2891">
        <f>IFERROR(O2891/N2891,0)</f>
        <v/>
      </c>
      <c r="T2891">
        <f>IF(C2891,((H2891*(B2912+IF(AND(Inputs!$B$38&lt;&gt;"pvp",Inputs!$B$43&gt;0),((Skills!G8*((R2885-1)*IF(Skills!H8&gt;0,INT(Skills!I8/Skills!H8+0.000000001),1)+IF(Skills!H8&gt;0,INT(MIN(Skills!I8,MAX(0,MAX(0,Inputs!$B$43-B2915)-((R2885-1)*((IF(Inputs!$B$38="pvp",15,MAX(0.1,Skills!D8-IF(TRUE=TRUE,Inputs!$B$32,0)))*(1-IF(AND(ArtifactsInput!$M$27,Inputs!$B$4="Chapter Hunt"),CHOOSE(ArtifactsInput!$N$27+1,20,24,28,32,36,40),0)/100))/B2919))))/Skills!H8+0.000000001),1)))/Inputs!$B$43),G2885*Q2885)+IF(AND(Inputs!$B$38&lt;&gt;"pvp",Inputs!$B$43&gt;0),((Skills!G11*((R2888-1)*IF(Skills!H11&gt;0,INT(Skills!I11/Skills!H11+0.000000001),1)+IF(Skills!H11&gt;0,INT(MIN(Skills!I11,MAX(0,MAX(0,Inputs!$B$43-B2915)-((R2888-1)*((IF(Inputs!$B$38="pvp",15,MAX(0.1,Skills!D11-IF(TRUE=TRUE,Inputs!$B$32,0)))*(1-IF(AND(ArtifactsInput!$M$27,Inputs!$B$4="Chapter Hunt"),CHOOSE(ArtifactsInput!$N$27+1,20,24,28,32,36,40),0)/100))/B2919))))/Skills!H11+0.000000001),1)))/Inputs!$B$43),G2888*Q2888)))/(1+Skills!H14*H2891*(B2912+IF(AND(Inputs!$B$38&lt;&gt;"pvp",Inputs!$B$43&gt;0),((Skills!G8*((R2885-1)*IF(Skills!H8&gt;0,INT(Skills!I8/Skills!H8+0.000000001),1)+IF(Skills!H8&gt;0,INT(MIN(Skills!I8,MAX(0,MAX(0,Inputs!$B$43-B2915)-((R2885-1)*((IF(Inputs!$B$38="pvp",15,MAX(0.1,Skills!D8-IF(TRUE=TRUE,Inputs!$B$32,0)))*(1-IF(AND(ArtifactsInput!$M$27,Inputs!$B$4="Chapter Hunt"),CHOOSE(ArtifactsInput!$N$27+1,20,24,28,32,36,40),0)/100))/B2919))))/Skills!H8+0.000000001),1)))/Inputs!$B$43),G2885*Q2885)+IF(AND(Inputs!$B$38&lt;&gt;"pvp",Inputs!$B$43&gt;0),((Skills!G11*((R2888-1)*IF(Skills!H11&gt;0,INT(Skills!I11/Skills!H11+0.000000001),1)+IF(Skills!H11&gt;0,INT(MIN(Skills!I11,MAX(0,MAX(0,Inputs!$B$43-B2915)-((R2888-1)*((IF(Inputs!$B$38="pvp",15,MAX(0.1,Skills!D11-IF(TRUE=TRUE,Inputs!$B$32,0)))*(1-IF(AND(ArtifactsInput!$M$27,Inputs!$B$4="Chapter Hunt"),CHOOSE(ArtifactsInput!$N$27+1,20,24,28,32,36,40),0)/100))/B2919))))/Skills!H11+0.000000001),1)))/Inputs!$B$43),G2888*Q2888)))*N2891)*IF(Inputs!$B$38="pvp",1,1+(Inputs!$B$20+0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Hunt"),CHOOSE(ArtifactsInput!$N$35+1,15,18,21,24,27,30)*(1-EXP(-(0.2*B2910)*5)),0)+IF(AND(ArtifactsInput!$M$22,Inputs!$B$4&lt;&gt;"Chapter Hunt"),CHOOSE(ArtifactsInput!$N$22+1,10,12,14,16,18,20)*((0*(((0.15*B2910*5))^0/1)+1*(((0.15*B2910*5))^1/1)+2*(((0.15*B2910*5))^2/2)+3*(((0.15*B2910*5))^3/6)+4*(((0.15*B2910*5))^4/24)+5*(((0.15*B2910*5))^5/120))/((((0.15*B2910*5))^0/1)+(((0.15*B2910*5))^1/1)+(((0.15*B2910*5))^2/2)+(((0.15*B2910*5))^3/6)+(((0.15*B2910*5))^4/24)+(((0.15*B2910*5))^5/120))),0))+IF(Inputs!$B$3&gt;=54,9*(C2880=TRUE)*MIN(1,8*(1+Inputs!$B$34/100)*Q2880)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2891*(1-MIN(100,(Inputs!$B$9+((C2896=TRUE)*(F2896-Calc!F19))+B2908+(ArtifactsInput!$M$24-ArtifactsInput!$M$24)*CHOOSE(ArtifactsInput!$N$24+1,10,12,14,16,18,20)+(IF(AND(Inputs!$B$38&lt;&gt;"pvp",Inputs!$B$43=0),1,IF(IF(Inputs!$B$38="pvp",15,Inputs!$B$43)-(B2915)&lt;=0,1,MAX(0,IF(Inputs!$B$38="pvp",15,Inputs!$B$43)-MAX(5,B2915))/(IF(Inputs!$B$38="pvp",15,Inputs!$B$43)-(B2915))))*IF(AND(IF(ArtifactsInput!$M$42,FALSE,TRUE),((Inputs!$B$9+((C2896=TRUE)*(F2896-Calc!F19))+B2908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2891*(MIN(100,(Inputs!$B$9+((C2896=TRUE)*(F2896-Calc!F19))+B2908+(ArtifactsInput!$M$24-ArtifactsInput!$M$24)*CHOOSE(ArtifactsInput!$N$24+1,10,12,14,16,18,20)+(IF(AND(Inputs!$B$38&lt;&gt;"pvp",Inputs!$B$43=0),1,IF(IF(Inputs!$B$38="pvp",15,Inputs!$B$43)-(B2915)&lt;=0,1,MAX(0,IF(Inputs!$B$38="pvp",15,Inputs!$B$43)-MAX(5,B2915))/(IF(Inputs!$B$38="pvp",15,Inputs!$B$43)-(B2915))))*IF(AND(IF(ArtifactsInput!$M$42,FALSE,TRUE),((Inputs!$B$9+((C2896=TRUE)*(F2896-Calc!F19))+B2908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2891*(1-MIN(100,(Inputs!$B$9+((C2896=TRUE)*(F2896-Calc!F19))+B2908+(ArtifactsInput!$M$24-ArtifactsInput!$M$24)*CHOOSE(ArtifactsInput!$N$24+1,10,12,14,16,18,20)+(IF(AND(Inputs!$B$38&lt;&gt;"pvp",Inputs!$B$43=0),1,IF(IF(Inputs!$B$38="pvp",15,Inputs!$B$43)-(B2915)&lt;=0,1,MAX(0,IF(Inputs!$B$38="pvp",15,Inputs!$B$43)-MAX(5,B2915))/(IF(Inputs!$B$38="pvp",15,Inputs!$B$43)-(B2915))))*IF(AND(IF(ArtifactsInput!$M$42,FALSE,TRUE),((Inputs!$B$9+((C2896=TRUE)*(F2896-Calc!F19))+B2908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2891*(MIN(100,(Inputs!$B$9+((C2896=TRUE)*(F2896-Calc!F19))+B2908+(ArtifactsInput!$M$24-ArtifactsInput!$M$24)*CHOOSE(ArtifactsInput!$N$24+1,10,12,14,16,18,20)+(IF(AND(Inputs!$B$38&lt;&gt;"pvp",Inputs!$B$43=0),1,IF(IF(Inputs!$B$38="pvp",15,Inputs!$B$43)-(B2915)&lt;=0,1,MAX(0,IF(Inputs!$B$38="pvp",15,Inputs!$B$43)-MAX(5,B2915))/(IF(Inputs!$B$38="pvp",15,Inputs!$B$43)-(B2915))))*IF(AND(IF(ArtifactsInput!$M$42,FALSE,TRUE),((Inputs!$B$9+((C2896=TRUE)*(F2896-Calc!F19))+B2908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891">
        <f>IF(C2891,((H2891*(B2912+IF(AND(Inputs!$B$38&lt;&gt;"pvp",Inputs!$B$43&gt;0),((Skills!G8*((R2885-1)*IF(Skills!H8&gt;0,INT(Skills!I8/Skills!H8+0.000000001),1)+IF(Skills!H8&gt;0,INT(MIN(Skills!I8,MAX(0,MAX(0,Inputs!$B$43-B2915)-((R2885-1)*((IF(Inputs!$B$38="pvp",15,MAX(0.1,Skills!D8-IF(TRUE=TRUE,Inputs!$B$32,0)))*(1-IF(AND(ArtifactsInput!$M$27,Inputs!$B$4="Chapter Hunt"),CHOOSE(ArtifactsInput!$N$27+1,20,24,28,32,36,40),0)/100))/B2919))))/Skills!H8+0.000000001),1)))/Inputs!$B$43),G2885*Q2885)+IF(AND(Inputs!$B$38&lt;&gt;"pvp",Inputs!$B$43&gt;0),((Skills!G11*((R2888-1)*IF(Skills!H11&gt;0,INT(Skills!I11/Skills!H11+0.000000001),1)+IF(Skills!H11&gt;0,INT(MIN(Skills!I11,MAX(0,MAX(0,Inputs!$B$43-B2915)-((R2888-1)*((IF(Inputs!$B$38="pvp",15,MAX(0.1,Skills!D11-IF(TRUE=TRUE,Inputs!$B$32,0)))*(1-IF(AND(ArtifactsInput!$M$27,Inputs!$B$4="Chapter Hunt"),CHOOSE(ArtifactsInput!$N$27+1,20,24,28,32,36,40),0)/100))/B2919))))/Skills!H11+0.000000001),1)))/Inputs!$B$43),G2888*Q2888)))/(1+Skills!H14*H2891*(B2912+IF(AND(Inputs!$B$38&lt;&gt;"pvp",Inputs!$B$43&gt;0),((Skills!G8*((R2885-1)*IF(Skills!H8&gt;0,INT(Skills!I8/Skills!H8+0.000000001),1)+IF(Skills!H8&gt;0,INT(MIN(Skills!I8,MAX(0,MAX(0,Inputs!$B$43-B2915)-((R2885-1)*((IF(Inputs!$B$38="pvp",15,MAX(0.1,Skills!D8-IF(TRUE=TRUE,Inputs!$B$32,0)))*(1-IF(AND(ArtifactsInput!$M$27,Inputs!$B$4="Chapter Hunt"),CHOOSE(ArtifactsInput!$N$27+1,20,24,28,32,36,40),0)/100))/B2919))))/Skills!H8+0.000000001),1)))/Inputs!$B$43),G2885*Q2885)+IF(AND(Inputs!$B$38&lt;&gt;"pvp",Inputs!$B$43&gt;0),((Skills!G11*((R2888-1)*IF(Skills!H11&gt;0,INT(Skills!I11/Skills!H11+0.000000001),1)+IF(Skills!H11&gt;0,INT(MIN(Skills!I11,MAX(0,MAX(0,Inputs!$B$43-B2915)-((R2888-1)*((IF(Inputs!$B$38="pvp",15,MAX(0.1,Skills!D11-IF(TRUE=TRUE,Inputs!$B$32,0)))*(1-IF(AND(ArtifactsInput!$M$27,Inputs!$B$4="Chapter Hunt"),CHOOSE(ArtifactsInput!$N$27+1,20,24,28,32,36,40),0)/100))/B2919))))/Skills!H11+0.000000001),1)))/Inputs!$B$43),G2888*Q2888)))*N2891)*IF(Inputs!$B$38="pvp",1,(1+(Inputs!$B$21+Skills!Q14+(IF(ArtifactsInput!$M$33,CHOOSE(ArtifactsInput!$N$33+1,30,36,42,48,54,60),0))+(IF(AND(ArtifactsInput!$M$35,Inputs!$B$4&lt;&gt;"Chapter Hunt"),CHOOSE(ArtifactsInput!$N$35+1,15,18,21,24,27,30)*(1-EXP(-(0.2*B2910)*5)),0)+IF(AND(ArtifactsInput!$M$22,Inputs!$B$4&lt;&gt;"Chapter Hunt"),CHOOSE(ArtifactsInput!$N$22+1,10,12,14,16,18,20)*((0*(((0.15*B2910*5))^0/1)+1*(((0.15*B2910*5))^1/1)+2*(((0.15*B2910*5))^2/2)+3*(((0.15*B2910*5))^3/6)+4*(((0.15*B2910*5))^4/24)+5*(((0.15*B2910*5))^5/120))/((((0.15*B2910*5))^0/1)+(((0.15*B2910*5))^1/1)+(((0.15*B2910*5))^2/2)+(((0.15*B2910*5))^3/6)+(((0.15*B2910*5))^4/24)+(((0.15*B2910*5))^5/120))),0))+IF(Inputs!$B$3&gt;=54,9*(C2880=TRUE)*MIN(1,8*(1+Inputs!$B$34/100)*Q2880),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92">
      <c r="A2892">
        <f>Skills!A15</f>
        <v/>
      </c>
      <c r="B2892">
        <f>Skills!B15</f>
        <v/>
      </c>
      <c r="C2892">
        <f>Inputs!$B$3&gt;=100</f>
        <v/>
      </c>
      <c r="D2892">
        <f>IF(Skills!C15=1,60+Inputs!$B$25+Inputs!$B$29,IF(Skills!C15=2,90+Inputs!$B$26+Inputs!$B$29,IF(Skills!C15=3,120+Inputs!$B$27+Inputs!$B$29,MAX(0,(Inputs!$B$3-100)*3)+Inputs!$B$28+Inputs!$B$29)))</f>
        <v/>
      </c>
      <c r="E2892">
        <f>INDEX(FactorTable!$B$2:$Y$301, MATCH(ROUND(MIN(300,MAX(1,D2892)),0), FactorTable!$A$2:$A$301,0), Skills!M15+1)</f>
        <v/>
      </c>
      <c r="F2892">
        <f>IF(Skills!N15=TRUE,(Skills!L15/10)*(E2892/1000),Skills!L15/10)+Skills!O15</f>
        <v/>
      </c>
      <c r="G2892" t="inlineStr"/>
      <c r="H2892" t="inlineStr"/>
      <c r="I2892" t="inlineStr">
        <is>
          <t>1</t>
        </is>
      </c>
      <c r="J2892" t="inlineStr"/>
      <c r="K2892" t="inlineStr"/>
      <c r="L2892" t="inlineStr"/>
      <c r="M2892" t="inlineStr"/>
      <c r="N2892" t="inlineStr"/>
      <c r="O2892" t="inlineStr"/>
      <c r="P2892" t="inlineStr"/>
      <c r="Q2892" t="inlineStr"/>
      <c r="R2892" t="inlineStr"/>
      <c r="S2892" t="inlineStr"/>
    </row>
    <row r="2893">
      <c r="A2893">
        <f>Skills!A16</f>
        <v/>
      </c>
      <c r="B2893">
        <f>Skills!B16</f>
        <v/>
      </c>
      <c r="C2893">
        <f>Inputs!$B$3&gt;=107</f>
        <v/>
      </c>
      <c r="D2893">
        <f>IF(Skills!C16=1,60+Inputs!$B$25+Inputs!$B$29,IF(Skills!C16=2,90+Inputs!$B$26+Inputs!$B$29,IF(Skills!C16=3,120+Inputs!$B$27+Inputs!$B$29,MAX(0,(Inputs!$B$3-100)*3)+Inputs!$B$28+Inputs!$B$29)))</f>
        <v/>
      </c>
      <c r="E2893">
        <f>INDEX(FactorTable!$B$2:$Y$301, MATCH(ROUND(MIN(300,MAX(1,D2893)),0), FactorTable!$A$2:$A$301,0), Skills!M16+1)</f>
        <v/>
      </c>
      <c r="F2893">
        <f>IF(Skills!N16=TRUE,(Skills!L16/10)*(E2893/1000),Skills!L16/10)+Skills!O16</f>
        <v/>
      </c>
      <c r="G2893" t="inlineStr"/>
      <c r="H2893" t="inlineStr"/>
      <c r="I2893" t="inlineStr">
        <is>
          <t>1</t>
        </is>
      </c>
      <c r="J2893" t="inlineStr"/>
      <c r="K2893" t="inlineStr"/>
      <c r="L2893" t="inlineStr"/>
      <c r="M2893" t="inlineStr"/>
      <c r="N2893" t="inlineStr"/>
      <c r="O2893" t="inlineStr"/>
      <c r="P2893" t="inlineStr"/>
      <c r="Q2893" t="inlineStr"/>
      <c r="R2893" t="inlineStr"/>
      <c r="S2893" t="inlineStr"/>
    </row>
    <row r="2894">
      <c r="A2894">
        <f>Skills!A17</f>
        <v/>
      </c>
      <c r="B2894">
        <f>Skills!B17</f>
        <v/>
      </c>
      <c r="C2894">
        <f>Inputs!$B$3&gt;=74</f>
        <v/>
      </c>
      <c r="D2894">
        <f>IF(Skills!C17=1,60+Inputs!$B$25+Inputs!$B$29,IF(Skills!C17=2,90+Inputs!$B$26+Inputs!$B$29,IF(Skills!C17=3,120+Inputs!$B$27+Inputs!$B$29,MAX(0,(Inputs!$B$3-100)*3)+Inputs!$B$28+Inputs!$B$29)))</f>
        <v/>
      </c>
      <c r="E2894">
        <f>INDEX(FactorTable!$B$2:$Y$301, MATCH(ROUND(MIN(300,MAX(1,D2894)),0), FactorTable!$A$2:$A$301,0), Skills!M17+1)</f>
        <v/>
      </c>
      <c r="F2894">
        <f>IF(Skills!N17=TRUE,(Skills!L17/10)*(E2894/1000),Skills!L17/10)+Skills!O17</f>
        <v/>
      </c>
      <c r="G2894">
        <f>Skills!G17*IF(Skills!H17&gt;0,INT(IF(Inputs!$B$38="pvp",MIN(Skills!I17,15),Skills!I17)/Skills!H17+0.000000001),1)</f>
        <v/>
      </c>
      <c r="H2894">
        <f>1-(1-Skills!J17/100)^Skills!K17</f>
        <v/>
      </c>
      <c r="I2894" t="inlineStr">
        <is>
          <t>1</t>
        </is>
      </c>
      <c r="J2894" t="inlineStr"/>
      <c r="K2894" t="inlineStr"/>
      <c r="L2894" t="inlineStr"/>
      <c r="M2894" t="inlineStr"/>
      <c r="N2894" t="inlineStr"/>
      <c r="O2894">
        <f>(1-Summary!$B$11)*T2894+Summary!$B$11*V2894</f>
        <v/>
      </c>
      <c r="P2894">
        <f>IF(B2918=0,0,O2894/B2918)</f>
        <v/>
      </c>
      <c r="Q2894" t="n">
        <v>0</v>
      </c>
      <c r="R2894" t="n">
        <v>0</v>
      </c>
      <c r="S2894">
        <f>IFERROR(O2894/N2894,0)</f>
        <v/>
      </c>
      <c r="T2894" t="n">
        <v>0</v>
      </c>
      <c r="V2894" t="n">
        <v>0</v>
      </c>
    </row>
    <row r="2895">
      <c r="A2895">
        <f>Skills!A18</f>
        <v/>
      </c>
      <c r="B2895">
        <f>Skills!B18</f>
        <v/>
      </c>
      <c r="C2895">
        <f>Inputs!$B$3&gt;=115</f>
        <v/>
      </c>
      <c r="D2895">
        <f>IF(Skills!C18=1,60+Inputs!$B$25+Inputs!$B$29,IF(Skills!C18=2,90+Inputs!$B$26+Inputs!$B$29,IF(Skills!C18=3,120+Inputs!$B$27+Inputs!$B$29,MAX(0,(Inputs!$B$3-100)*3)+Inputs!$B$28+Inputs!$B$29)))</f>
        <v/>
      </c>
      <c r="E2895">
        <f>INDEX(FactorTable!$B$2:$Y$301, MATCH(ROUND(MIN(300,MAX(1,D2895)),0), FactorTable!$A$2:$A$301,0), Skills!M18+1)</f>
        <v/>
      </c>
      <c r="F2895">
        <f>IF(Skills!N18=TRUE,(Skills!L18/10)*(E2895/1000),Skills!L18/10)+Skills!O18</f>
        <v/>
      </c>
      <c r="G2895">
        <f>Skills!G18*IF(Skills!H18&gt;0,INT(IF(Inputs!$B$38="pvp",MIN(Skills!I18,15),Skills!I18)/Skills!H18+0.000000001),1)</f>
        <v/>
      </c>
      <c r="H2895">
        <f>1-(1-Skills!J18/100)^Skills!K18</f>
        <v/>
      </c>
      <c r="I2895" t="inlineStr">
        <is>
          <t>1</t>
        </is>
      </c>
      <c r="J2895" t="inlineStr"/>
      <c r="K2895" t="inlineStr"/>
      <c r="L2895" t="inlineStr"/>
      <c r="M2895" t="inlineStr"/>
      <c r="N2895" t="inlineStr"/>
      <c r="O2895">
        <f>(1-Summary!$B$11)*T2895+Summary!$B$11*V2895</f>
        <v/>
      </c>
      <c r="P2895">
        <f>IF(B2918=0,0,O2895/B2918)</f>
        <v/>
      </c>
      <c r="Q2895">
        <f>IFERROR(1/(IF(Inputs!$B$38="pvp",15,MAX(0.1,Skills!D18-IF(TRUE=TRUE,Inputs!$B$32,0)))*(1-IF(AND(ArtifactsInput!$M$27,Inputs!$B$4="Chapter Hunt"),CHOOSE(ArtifactsInput!$N$27+1,20,24,28,32,36,40),0)/100)),0)</f>
        <v/>
      </c>
      <c r="R2895">
        <f>IF(AND(Inputs!$B$38&lt;&gt;"pvp",Inputs!$B$43&gt;0),IF(Inputs!$B$43&lt;=0,0,(INT(Inputs!$B$43/(IF(Inputs!$B$38="pvp",15,MAX(0.1,Skills!D18-IF(TRUE=TRUE,Inputs!$B$32,0)))*(1-IF(AND(ArtifactsInput!$M$27,Inputs!$B$4="Chapter Hunt"),CHOOSE(ArtifactsInput!$N$27+1,20,24,28,32,36,40),0)/100)))+1)),0)</f>
        <v/>
      </c>
      <c r="S2895">
        <f>IFERROR(O2895/N2895,0)</f>
        <v/>
      </c>
      <c r="T2895" t="n">
        <v>0</v>
      </c>
      <c r="V2895" t="n">
        <v>0</v>
      </c>
    </row>
    <row r="2896">
      <c r="A2896">
        <f>Skills!A19</f>
        <v/>
      </c>
      <c r="B2896">
        <f>Skills!B19</f>
        <v/>
      </c>
      <c r="C2896">
        <f>Inputs!$B$3&gt;=10</f>
        <v/>
      </c>
      <c r="D2896">
        <f>IF(Skills!C19=1,60+Inputs!$B$25+Inputs!$B$29,IF(Skills!C19=2,90+Inputs!$B$26+Inputs!$B$29,IF(Skills!C19=3,120+Inputs!$B$27+Inputs!$B$29,MAX(0,(Inputs!$B$3-100)*3)+Inputs!$B$28+Inputs!$B$29)))</f>
        <v/>
      </c>
      <c r="E2896">
        <f>INDEX(FactorTable!$B$2:$Y$301, MATCH(ROUND(MIN(300,MAX(1,D2896)),0), FactorTable!$A$2:$A$301,0), Skills!M19+1)</f>
        <v/>
      </c>
      <c r="F2896">
        <f>IF(Skills!N19=TRUE,(Skills!L19/10)*(E2896/1000),Skills!L19/10)+Skills!O19</f>
        <v/>
      </c>
      <c r="G2896">
        <f>Skills!G19*IF(Skills!H19&gt;0,INT(IF(Inputs!$B$38="pvp",MIN(Skills!I19,15),Skills!I19)/Skills!H19+0.000000001),1)</f>
        <v/>
      </c>
      <c r="H2896">
        <f>1-(1-Skills!J19/100)^Skills!K19</f>
        <v/>
      </c>
      <c r="I2896" t="inlineStr">
        <is>
          <t>1</t>
        </is>
      </c>
      <c r="J2896" t="inlineStr"/>
      <c r="K2896" t="inlineStr"/>
      <c r="L2896" t="inlineStr"/>
      <c r="M2896" t="inlineStr"/>
      <c r="N2896" t="inlineStr"/>
      <c r="O2896">
        <f>(1-Summary!$B$11)*T2896+Summary!$B$11*V2896</f>
        <v/>
      </c>
      <c r="P2896">
        <f>IF(B2918=0,0,O2896/B2918)</f>
        <v/>
      </c>
      <c r="Q2896" t="n">
        <v>0</v>
      </c>
      <c r="R2896" t="n">
        <v>0</v>
      </c>
      <c r="S2896">
        <f>IFERROR(O2896/N2896,0)</f>
        <v/>
      </c>
      <c r="T2896" t="n">
        <v>0</v>
      </c>
      <c r="V2896" t="n">
        <v>0</v>
      </c>
    </row>
    <row r="2897">
      <c r="A2897">
        <f>Skills!A20</f>
        <v/>
      </c>
      <c r="B2897">
        <f>Skills!B20</f>
        <v/>
      </c>
      <c r="C2897">
        <f>Inputs!$B$3&gt;=15</f>
        <v/>
      </c>
      <c r="D2897">
        <f>IF(Skills!C20=1,60+Inputs!$B$25+Inputs!$B$29,IF(Skills!C20=2,90+Inputs!$B$26+Inputs!$B$29,IF(Skills!C20=3,120+Inputs!$B$27+Inputs!$B$29,MAX(0,(Inputs!$B$3-100)*3)+Inputs!$B$28+Inputs!$B$29)))</f>
        <v/>
      </c>
      <c r="E2897">
        <f>INDEX(FactorTable!$B$2:$Y$301, MATCH(ROUND(MIN(300,MAX(1,D2897)),0), FactorTable!$A$2:$A$301,0), Skills!M20+1)</f>
        <v/>
      </c>
      <c r="F2897">
        <f>IF(Skills!N20=TRUE,(Skills!L20/10)*(E2897/1000),Skills!L20/10)+Skills!O20</f>
        <v/>
      </c>
      <c r="G2897">
        <f>Skills!G20*IF(Skills!H20&gt;0,INT(IF(Inputs!$B$38="pvp",MIN(Skills!I20,15),Skills!I20)/Skills!H20+0.000000001),1)</f>
        <v/>
      </c>
      <c r="H2897">
        <f>1-(1-Skills!J20/100)^Skills!K20</f>
        <v/>
      </c>
      <c r="I2897" t="inlineStr">
        <is>
          <t>1</t>
        </is>
      </c>
      <c r="J2897" t="inlineStr"/>
      <c r="K2897" t="inlineStr"/>
      <c r="L2897" t="inlineStr"/>
      <c r="M2897" t="inlineStr"/>
      <c r="N2897" t="inlineStr"/>
      <c r="O2897">
        <f>(1-Summary!$B$11)*T2897+Summary!$B$11*V2897</f>
        <v/>
      </c>
      <c r="P2897">
        <f>IF(B2918=0,0,O2897/B2918)</f>
        <v/>
      </c>
      <c r="Q2897" t="n">
        <v>0</v>
      </c>
      <c r="R2897" t="n">
        <v>0</v>
      </c>
      <c r="S2897">
        <f>IFERROR(O2897/N2897,0)</f>
        <v/>
      </c>
      <c r="T2897" t="n">
        <v>0</v>
      </c>
      <c r="V2897" t="n">
        <v>0</v>
      </c>
    </row>
    <row r="2898">
      <c r="A2898">
        <f>Skills!A21</f>
        <v/>
      </c>
      <c r="B2898">
        <f>Skills!B21</f>
        <v/>
      </c>
      <c r="C2898">
        <f>Inputs!$B$3&gt;=40</f>
        <v/>
      </c>
      <c r="D2898">
        <f>IF(Skills!C21=1,60+Inputs!$B$25+Inputs!$B$29,IF(Skills!C21=2,90+Inputs!$B$26+Inputs!$B$29,IF(Skills!C21=3,120+Inputs!$B$27+Inputs!$B$29,MAX(0,(Inputs!$B$3-100)*3)+Inputs!$B$28+Inputs!$B$29)))</f>
        <v/>
      </c>
      <c r="E2898">
        <f>INDEX(FactorTable!$B$2:$Y$301, MATCH(ROUND(MIN(300,MAX(1,D2898)),0), FactorTable!$A$2:$A$301,0), Skills!M21+1)</f>
        <v/>
      </c>
      <c r="F2898">
        <f>IF(Skills!N21=TRUE,(Skills!L21/10)*(E2898/1000),Skills!L21/10)+Skills!O21</f>
        <v/>
      </c>
      <c r="G2898">
        <f>Skills!G21*IF(Skills!H21&gt;0,INT(IF(Inputs!$B$38="pvp",MIN(Skills!I21,15),Skills!I21)/Skills!H21+0.000000001),1)</f>
        <v/>
      </c>
      <c r="H2898">
        <f>1-(1-Skills!J21/100)^Skills!K21</f>
        <v/>
      </c>
      <c r="I2898" t="inlineStr">
        <is>
          <t>1</t>
        </is>
      </c>
      <c r="J2898" t="inlineStr"/>
      <c r="K2898" t="inlineStr"/>
      <c r="L2898" t="inlineStr"/>
      <c r="M2898" t="inlineStr"/>
      <c r="N2898" t="inlineStr"/>
      <c r="O2898">
        <f>(1-Summary!$B$11)*T2898+Summary!$B$11*V2898</f>
        <v/>
      </c>
      <c r="P2898">
        <f>IF(B2918=0,0,O2898/B2918)</f>
        <v/>
      </c>
      <c r="Q2898" t="n">
        <v>0</v>
      </c>
      <c r="R2898" t="n">
        <v>0</v>
      </c>
      <c r="S2898">
        <f>IFERROR(O2898/N2898,0)</f>
        <v/>
      </c>
      <c r="T2898" t="n">
        <v>0</v>
      </c>
      <c r="V2898" t="n">
        <v>0</v>
      </c>
    </row>
    <row r="2899">
      <c r="A2899">
        <f>Skills!A22</f>
        <v/>
      </c>
      <c r="B2899">
        <f>Skills!B22</f>
        <v/>
      </c>
      <c r="C2899">
        <f>Inputs!$B$3&gt;=43</f>
        <v/>
      </c>
      <c r="D2899">
        <f>IF(Skills!C22=1,60+Inputs!$B$25+Inputs!$B$29,IF(Skills!C22=2,90+Inputs!$B$26+Inputs!$B$29,IF(Skills!C22=3,120+Inputs!$B$27+Inputs!$B$29,MAX(0,(Inputs!$B$3-100)*3)+Inputs!$B$28+Inputs!$B$29)))</f>
        <v/>
      </c>
      <c r="E2899">
        <f>INDEX(FactorTable!$B$2:$Y$301, MATCH(ROUND(MIN(300,MAX(1,D2899)),0), FactorTable!$A$2:$A$301,0), Skills!M22+1)</f>
        <v/>
      </c>
      <c r="F2899">
        <f>IF(Skills!N22=TRUE,(Skills!L22/10)*(E2899/1000),Skills!L22/10)+Skills!O22</f>
        <v/>
      </c>
      <c r="G2899">
        <f>Skills!G22*IF(Skills!H22&gt;0,INT(IF(Inputs!$B$38="pvp",MIN(Skills!I22,15),Skills!I22)/Skills!H22+0.000000001),1)</f>
        <v/>
      </c>
      <c r="H2899">
        <f>1-(1-Skills!J22/100)^Skills!K22</f>
        <v/>
      </c>
      <c r="I2899" t="inlineStr">
        <is>
          <t>1</t>
        </is>
      </c>
      <c r="J2899" t="inlineStr"/>
      <c r="K2899" t="inlineStr"/>
      <c r="L2899" t="inlineStr"/>
      <c r="M2899" t="inlineStr"/>
      <c r="N2899" t="inlineStr"/>
      <c r="O2899">
        <f>(1-Summary!$B$11)*T2899+Summary!$B$11*V2899</f>
        <v/>
      </c>
      <c r="P2899">
        <f>IF(B2918=0,0,O2899/B2918)</f>
        <v/>
      </c>
      <c r="Q2899" t="n">
        <v>0</v>
      </c>
      <c r="R2899" t="n">
        <v>0</v>
      </c>
      <c r="S2899">
        <f>IFERROR(O2899/N2899,0)</f>
        <v/>
      </c>
      <c r="T2899" t="n">
        <v>0</v>
      </c>
      <c r="V2899" t="n">
        <v>0</v>
      </c>
    </row>
    <row r="2900">
      <c r="A2900">
        <f>Skills!A23</f>
        <v/>
      </c>
      <c r="B2900">
        <f>Skills!B23</f>
        <v/>
      </c>
      <c r="C2900">
        <f>Inputs!$B$3&gt;=38</f>
        <v/>
      </c>
      <c r="D2900">
        <f>IF(Skills!C23=1,60+Inputs!$B$25+Inputs!$B$29,IF(Skills!C23=2,90+Inputs!$B$26+Inputs!$B$29,IF(Skills!C23=3,120+Inputs!$B$27+Inputs!$B$29,MAX(0,(Inputs!$B$3-100)*3)+Inputs!$B$28+Inputs!$B$29)))</f>
        <v/>
      </c>
      <c r="E2900">
        <f>INDEX(FactorTable!$B$2:$Y$301, MATCH(ROUND(MIN(300,MAX(1,D2900)),0), FactorTable!$A$2:$A$301,0), Skills!M23+1)</f>
        <v/>
      </c>
      <c r="F2900">
        <f>IF(Skills!N23=TRUE,(Skills!L23/10)*(E2900/1000),Skills!L23/10)+Skills!O23</f>
        <v/>
      </c>
      <c r="G2900">
        <f>Skills!G23*IF(Skills!H23&gt;0,INT(IF(Inputs!$B$38="pvp",MIN(Skills!I23,15),Skills!I23)/Skills!H23+0.000000001),1)</f>
        <v/>
      </c>
      <c r="H2900">
        <f>1-(1-Skills!J23/100)^Skills!K23</f>
        <v/>
      </c>
      <c r="I2900" t="inlineStr">
        <is>
          <t>1</t>
        </is>
      </c>
      <c r="J2900" t="inlineStr"/>
      <c r="K2900" t="inlineStr"/>
      <c r="L2900" t="inlineStr"/>
      <c r="M2900" t="inlineStr"/>
      <c r="N2900" t="inlineStr"/>
      <c r="O2900">
        <f>(1-Summary!$B$11)*T2900+Summary!$B$11*V2900</f>
        <v/>
      </c>
      <c r="P2900">
        <f>IF(B2918=0,0,O2900/B2918)</f>
        <v/>
      </c>
      <c r="Q2900" t="n">
        <v>0</v>
      </c>
      <c r="R2900" t="n">
        <v>0</v>
      </c>
      <c r="S2900">
        <f>IFERROR(O2900/N2900,0)</f>
        <v/>
      </c>
      <c r="T2900" t="n">
        <v>0</v>
      </c>
      <c r="V2900" t="n">
        <v>0</v>
      </c>
    </row>
    <row r="2901">
      <c r="A2901">
        <f>Skills!A24</f>
        <v/>
      </c>
      <c r="B2901">
        <f>Skills!B24</f>
        <v/>
      </c>
      <c r="C2901">
        <f>Inputs!$B$3&gt;=45</f>
        <v/>
      </c>
      <c r="D2901">
        <f>IF(Skills!C24=1,60+Inputs!$B$25+Inputs!$B$29,IF(Skills!C24=2,90+Inputs!$B$26+Inputs!$B$29,IF(Skills!C24=3,120+Inputs!$B$27+Inputs!$B$29,MAX(0,(Inputs!$B$3-100)*3)+Inputs!$B$28+Inputs!$B$29)))</f>
        <v/>
      </c>
      <c r="E2901">
        <f>INDEX(FactorTable!$B$2:$Y$301, MATCH(ROUND(MIN(300,MAX(1,D2901)),0), FactorTable!$A$2:$A$301,0), Skills!M24+1)</f>
        <v/>
      </c>
      <c r="F2901">
        <f>IF(Skills!N24=TRUE,(Skills!L24/10)*(E2901/1000),Skills!L24/10)+Skills!O24</f>
        <v/>
      </c>
      <c r="G2901">
        <f>Skills!G24*IF(Skills!H24&gt;0,INT(IF(Inputs!$B$38="pvp",MIN(Skills!I24,15),Skills!I24)/Skills!H24+0.000000001),1)</f>
        <v/>
      </c>
      <c r="H2901">
        <f>1-(1-Skills!J24/100)^Skills!K24</f>
        <v/>
      </c>
      <c r="I2901" t="inlineStr">
        <is>
          <t>1</t>
        </is>
      </c>
      <c r="J2901" t="inlineStr"/>
      <c r="K2901" t="inlineStr"/>
      <c r="L2901" t="inlineStr"/>
      <c r="M2901" t="inlineStr"/>
      <c r="N2901" t="inlineStr"/>
      <c r="O2901">
        <f>(1-Summary!$B$11)*T2901+Summary!$B$11*V2901</f>
        <v/>
      </c>
      <c r="P2901">
        <f>IF(B2918=0,0,O2901/B2918)</f>
        <v/>
      </c>
      <c r="Q2901" t="n">
        <v>0</v>
      </c>
      <c r="R2901" t="n">
        <v>0</v>
      </c>
      <c r="S2901">
        <f>IFERROR(O2901/N2901,0)</f>
        <v/>
      </c>
      <c r="T2901" t="n">
        <v>0</v>
      </c>
      <c r="V2901" t="n">
        <v>0</v>
      </c>
    </row>
    <row r="2902">
      <c r="A2902">
        <f>Skills!A25</f>
        <v/>
      </c>
      <c r="B2902">
        <f>Skills!B25</f>
        <v/>
      </c>
      <c r="C2902">
        <f>Inputs!$B$3&gt;=72</f>
        <v/>
      </c>
      <c r="D2902">
        <f>IF(Skills!C25=1,60+Inputs!$B$25+Inputs!$B$29,IF(Skills!C25=2,90+Inputs!$B$26+Inputs!$B$29,IF(Skills!C25=3,120+Inputs!$B$27+Inputs!$B$29,MAX(0,(Inputs!$B$3-100)*3)+Inputs!$B$28+Inputs!$B$29)))</f>
        <v/>
      </c>
      <c r="E2902">
        <f>INDEX(FactorTable!$B$2:$Y$301, MATCH(ROUND(MIN(300,MAX(1,D2902)),0), FactorTable!$A$2:$A$301,0), Skills!M25+1)</f>
        <v/>
      </c>
      <c r="F2902">
        <f>IF(Skills!N25=TRUE,(Skills!L25/10)*(E2902/1000),Skills!L25/10)+Skills!O25</f>
        <v/>
      </c>
      <c r="G2902">
        <f>Skills!G25*IF(Skills!H25&gt;0,INT(IF(Inputs!$B$38="pvp",MIN(Skills!I25,15),Skills!I25)/Skills!H25+0.000000001),1)</f>
        <v/>
      </c>
      <c r="H2902">
        <f>1-(1-Skills!J25/100)^Skills!K25</f>
        <v/>
      </c>
      <c r="I2902" t="inlineStr">
        <is>
          <t>1</t>
        </is>
      </c>
      <c r="J2902" t="inlineStr"/>
      <c r="K2902" t="inlineStr"/>
      <c r="L2902" t="inlineStr"/>
      <c r="M2902" t="inlineStr"/>
      <c r="N2902" t="inlineStr"/>
      <c r="O2902">
        <f>(1-Summary!$B$11)*T2902+Summary!$B$11*V2902</f>
        <v/>
      </c>
      <c r="P2902">
        <f>IF(B2918=0,0,O2902/B2918)</f>
        <v/>
      </c>
      <c r="Q2902" t="n">
        <v>0</v>
      </c>
      <c r="R2902" t="n">
        <v>0</v>
      </c>
      <c r="S2902">
        <f>IFERROR(O2902/N2902,0)</f>
        <v/>
      </c>
      <c r="T2902" t="n">
        <v>0</v>
      </c>
      <c r="V2902" t="n">
        <v>0</v>
      </c>
    </row>
    <row r="2903">
      <c r="A2903">
        <f>Skills!A26</f>
        <v/>
      </c>
      <c r="B2903">
        <f>Skills!B26</f>
        <v/>
      </c>
      <c r="C2903">
        <f>Inputs!$B$3&gt;=75</f>
        <v/>
      </c>
      <c r="D2903">
        <f>IF(Skills!C26=1,60+Inputs!$B$25+Inputs!$B$29,IF(Skills!C26=2,90+Inputs!$B$26+Inputs!$B$29,IF(Skills!C26=3,120+Inputs!$B$27+Inputs!$B$29,MAX(0,(Inputs!$B$3-100)*3)+Inputs!$B$28+Inputs!$B$29)))</f>
        <v/>
      </c>
      <c r="E2903">
        <f>INDEX(FactorTable!$B$2:$Y$301, MATCH(ROUND(MIN(300,MAX(1,D2903)),0), FactorTable!$A$2:$A$301,0), Skills!M26+1)</f>
        <v/>
      </c>
      <c r="F2903">
        <f>IF(Skills!N26=TRUE,(Skills!L26/10)*(E2903/1000),Skills!L26/10)+Skills!O26</f>
        <v/>
      </c>
      <c r="G2903">
        <f>Skills!G26*IF(Skills!H26&gt;0,INT(IF(Inputs!$B$38="pvp",MIN(Skills!I26,15),Skills!I26)/Skills!H26+0.000000001),1)</f>
        <v/>
      </c>
      <c r="H2903">
        <f>1-(1-Skills!J26/100)^Skills!K26</f>
        <v/>
      </c>
      <c r="I2903" t="inlineStr">
        <is>
          <t>1</t>
        </is>
      </c>
      <c r="J2903" t="inlineStr"/>
      <c r="K2903" t="inlineStr"/>
      <c r="L2903" t="inlineStr"/>
      <c r="M2903" t="inlineStr"/>
      <c r="N2903" t="inlineStr"/>
      <c r="O2903">
        <f>(1-Summary!$B$11)*T2903+Summary!$B$11*V2903</f>
        <v/>
      </c>
      <c r="P2903">
        <f>IF(B2918=0,0,O2903/B2918)</f>
        <v/>
      </c>
      <c r="Q2903" t="n">
        <v>0</v>
      </c>
      <c r="R2903" t="n">
        <v>0</v>
      </c>
      <c r="S2903">
        <f>IFERROR(O2903/N2903,0)</f>
        <v/>
      </c>
      <c r="T2903" t="n">
        <v>0</v>
      </c>
      <c r="V2903" t="n">
        <v>0</v>
      </c>
    </row>
    <row r="2904">
      <c r="A2904">
        <f>Skills!A27</f>
        <v/>
      </c>
      <c r="B2904">
        <f>Skills!B27</f>
        <v/>
      </c>
      <c r="C2904">
        <f>Inputs!$B$3&gt;=125</f>
        <v/>
      </c>
      <c r="D2904">
        <f>IF(Skills!C27=1,60+Inputs!$B$25+Inputs!$B$29,IF(Skills!C27=2,90+Inputs!$B$26+Inputs!$B$29,IF(Skills!C27=3,120+Inputs!$B$27+Inputs!$B$29,MAX(0,(Inputs!$B$3-100)*3)+Inputs!$B$28+Inputs!$B$29)))</f>
        <v/>
      </c>
      <c r="E2904">
        <f>INDEX(FactorTable!$B$2:$Y$301, MATCH(ROUND(MIN(300,MAX(1,D2904)),0), FactorTable!$A$2:$A$301,0), Skills!M27+1)</f>
        <v/>
      </c>
      <c r="F2904">
        <f>IF(Skills!N27=TRUE,(Skills!L27/10)*(E2904/1000),Skills!L27/10)+Skills!O27</f>
        <v/>
      </c>
      <c r="G2904">
        <f>Skills!G27*IF(Skills!H27&gt;0,INT(IF(Inputs!$B$38="pvp",MIN(Skills!I27,15),Skills!I27)/Skills!H27+0.000000001),1)</f>
        <v/>
      </c>
      <c r="H2904">
        <f>1-(1-Skills!J27/100)^Skills!K27</f>
        <v/>
      </c>
      <c r="I2904" t="inlineStr">
        <is>
          <t>1</t>
        </is>
      </c>
      <c r="J2904" t="inlineStr"/>
      <c r="K2904" t="inlineStr"/>
      <c r="L2904" t="inlineStr"/>
      <c r="M2904" t="inlineStr"/>
      <c r="N2904" t="inlineStr"/>
      <c r="O2904">
        <f>(1-Summary!$B$11)*T2904+Summary!$B$11*V2904</f>
        <v/>
      </c>
      <c r="P2904">
        <f>IF(B2918=0,0,O2904/B2918)</f>
        <v/>
      </c>
      <c r="Q2904" t="n">
        <v>0</v>
      </c>
      <c r="R2904" t="n">
        <v>0</v>
      </c>
      <c r="S2904">
        <f>IFERROR(O2904/N2904,0)</f>
        <v/>
      </c>
      <c r="T2904" t="n">
        <v>0</v>
      </c>
      <c r="V2904" t="n">
        <v>0</v>
      </c>
    </row>
    <row r="2905">
      <c r="A2905">
        <f>Skills!A28</f>
        <v/>
      </c>
      <c r="B2905">
        <f>Skills!B28</f>
        <v/>
      </c>
      <c r="C2905">
        <f>TRUE</f>
        <v/>
      </c>
      <c r="D2905">
        <f>IF(Skills!C28=1,60+Inputs!$B$25+Inputs!$B$29,IF(Skills!C28=2,90+Inputs!$B$26+Inputs!$B$29,IF(Skills!C28=3,120+Inputs!$B$27+Inputs!$B$29,MAX(0,(Inputs!$B$3-100)*3)+Inputs!$B$28+Inputs!$B$29)))</f>
        <v/>
      </c>
      <c r="E2905">
        <f>INDEX(FactorTable!$B$2:$Y$301, MATCH(ROUND(MIN(300,MAX(1,D2905)),0), FactorTable!$A$2:$A$301,0), Skills!M28+1)</f>
        <v/>
      </c>
      <c r="F2905">
        <f>IF(Skills!N28=TRUE,(Skills!L28/10)*(E2905/1000),Skills!L28/10)+Skills!O28</f>
        <v/>
      </c>
      <c r="G2905">
        <f>Skills!G28*IF(Skills!H28&gt;0,INT(IF(Inputs!$B$38="pvp",MIN(Skills!I28,15),Skills!I28)/Skills!H28+0.000000001),1)</f>
        <v/>
      </c>
      <c r="H2905">
        <f>1-(1-Skills!J28/100)^Skills!K28</f>
        <v/>
      </c>
      <c r="I2905" t="inlineStr">
        <is>
          <t>1</t>
        </is>
      </c>
      <c r="J2905" t="inlineStr"/>
      <c r="K2905" t="inlineStr"/>
      <c r="L2905" t="inlineStr"/>
      <c r="M2905" t="inlineStr"/>
      <c r="N2905" t="inlineStr"/>
      <c r="O2905">
        <f>(1-Summary!$B$11)*T2905+Summary!$B$11*V2905</f>
        <v/>
      </c>
      <c r="P2905">
        <f>IF(B2918=0,0,O2905/B2918)</f>
        <v/>
      </c>
      <c r="Q2905">
        <f>IFERROR(1/(IF(Inputs!$B$38="pvp",15,MAX(0.1,Skills!D28-IF(TRUE=TRUE,Inputs!$B$32,0)))*(1-IF(AND(ArtifactsInput!$M$27,Inputs!$B$4="Chapter Hunt"),CHOOSE(ArtifactsInput!$N$27+1,20,24,28,32,36,40),0)/100)),0)</f>
        <v/>
      </c>
      <c r="R2905">
        <f>IF(AND(Inputs!$B$38&lt;&gt;"pvp",Inputs!$B$43&gt;0),IF(Inputs!$B$43&lt;=0,0,(INT(Inputs!$B$43/(IF(Inputs!$B$38="pvp",15,MAX(0.1,Skills!D28-IF(TRUE=TRUE,Inputs!$B$32,0)))*(1-IF(AND(ArtifactsInput!$M$27,Inputs!$B$4="Chapter Hunt"),CHOOSE(ArtifactsInput!$N$27+1,20,24,28,32,36,40),0)/100)))+1)),0)</f>
        <v/>
      </c>
      <c r="S2905">
        <f>IFERROR(O2905/N2905,0)</f>
        <v/>
      </c>
      <c r="T2905" t="n">
        <v>0</v>
      </c>
      <c r="V2905" t="n">
        <v>0</v>
      </c>
    </row>
    <row r="2907">
      <c r="A2907" t="inlineStr">
        <is>
          <t>Attack% Bucket Multiplier</t>
        </is>
      </c>
      <c r="B2907">
        <f>(1+(((C2894=TRUE)*F2894*5/7)+((C2901=TRUE)*(F2901-Calc!F24))+(IF(ArtifactsInput!$M$21,CHOOSE(ArtifactsInput!$N$21+1,25,30,35,40,45,50)*(IF(OR(Inputs!$B$4="Chapter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908">
      <c r="A2908" t="inlineStr">
        <is>
          <t>Global Crit Rate Bonus %</t>
        </is>
      </c>
      <c r="B2908" t="n">
        <v>0</v>
      </c>
    </row>
    <row r="2909">
      <c r="A2909" t="inlineStr">
        <is>
          <t>Attack Speed Buff Bonus % (Nimble Feet, duty-cycle averaged)</t>
        </is>
      </c>
      <c r="B2909">
        <f>((C2905=TRUE)*F2905*IF(AND(Inputs!$B$38&lt;&gt;"pvp",Inputs!$B$43&gt;0),(((R2905-1)*MIN((Skills!T28*(1+Inputs!$B$34/100)),(1/Q2905))+MIN((Skills!T28*(1+Inputs!$B$34/100)),MAX(0,Inputs!$B$43-((R2905-1)*(1/Q2905)))))/Inputs!$B$43),IF(Inputs!$B$38="pvp",MIN((Skills!T28*(1+Inputs!$B$34/100)),15)/15,MIN(1,(Skills!T28*(1+Inputs!$B$34/100))/(1/Q2905)))))</f>
        <v/>
      </c>
    </row>
    <row r="2910">
      <c r="A2910" t="inlineStr">
        <is>
          <t>Actions Per Second</t>
        </is>
      </c>
      <c r="B2910">
        <f>1+MIN(150,150*(1-(1-(Inputs!$B$11+((C2897=TRUE)*(F2897-Calc!F20))+((C2898=TRUE)*(F2898-Calc!F21)))/150)*(1-B2909/150)))/100</f>
        <v/>
      </c>
    </row>
    <row r="2911">
      <c r="A2911" t="inlineStr">
        <is>
          <t>Skill + Buff Cast Rate</t>
        </is>
      </c>
      <c r="B2911">
        <f>IF(AND(Inputs!$B$38&lt;&gt;"pvp",Inputs!$B$43&gt;0),SUMPRODUCT((Skills!E2:E28=TRUE)*(C2879:C2905=TRUE)*R2879:R2905*Skills!F2:F28)/Inputs!$B$43,SUMPRODUCT((Skills!E2:E28=TRUE)*(C2879:C2905=TRUE)*Q2879:Q2905*Skills!F2:F28))</f>
        <v/>
      </c>
    </row>
    <row r="2912">
      <c r="A2912" t="inlineStr">
        <is>
          <t>Eight-Legs Easton Casts Per Second</t>
        </is>
      </c>
      <c r="B2912">
        <f>MAX(0,B2910-B2911)</f>
        <v/>
      </c>
    </row>
    <row r="2913">
      <c r="A2913" t="inlineStr">
        <is>
          <t>Global Critical Damage Bonus % (unused)</t>
        </is>
      </c>
      <c r="B2913" t="n">
        <v>0</v>
      </c>
    </row>
    <row r="2914">
      <c r="A2914" t="inlineStr">
        <is>
          <t>Global Final Damage Bonus % (Jolly Roger + Ahoy Mateys - Final Damage proc)</t>
        </is>
      </c>
      <c r="B2914">
        <f>((C2895=TRUE)*F2895*IF(AND(Inputs!$B$38&lt;&gt;"pvp",Inputs!$B$43&gt;0),(((R2895-1)*MIN((Skills!T18*(1+Inputs!$B$34/100)),(1/Q2895))+MIN((Skills!T18*(1+Inputs!$B$34/100)),MAX(0,Inputs!$B$43-((R2895-1)*(1/Q2895)))))/Inputs!$B$43),IF(Inputs!$B$38="pvp",MIN((Skills!T18*(1+Inputs!$B$34/100)),15)/15,MIN(1,(Skills!T18*(1+Inputs!$B$34/100))/(1/Q2895)))))+IF(Inputs!$B$3&gt;=122,20*IF(Inputs!$B$38="pvp",MIN((20*(1+Inputs!$B$34/100)),15)/15,MIN(1,(20*(1+Inputs!$B$34/100))/(1/Q2881))),0)</f>
        <v/>
      </c>
    </row>
    <row r="2915">
      <c r="A2915" t="inlineStr">
        <is>
          <t>Buff-Casting Startup Delay (s, fixed-duration only)</t>
        </is>
      </c>
      <c r="B2915">
        <f>IF(AND(Inputs!$B$38&lt;&gt;"pvp",Inputs!$B$43&gt;0),SUMPRODUCT((Skills!T2:T28&gt;0)*(Skills!E2:E28=TRUE)*(C2879:C2905=TRUE))/B2910,0)</f>
        <v/>
      </c>
    </row>
    <row r="2916">
      <c r="A2916" t="inlineStr">
        <is>
          <t>Boss-Only Total DPS (this block's swept value)</t>
        </is>
      </c>
      <c r="B2916">
        <f>SUM(T2879:T2905)</f>
        <v/>
      </c>
    </row>
    <row r="2917">
      <c r="A2917" t="inlineStr">
        <is>
          <t>Normal-Only Total DPS (this block's swept value)</t>
        </is>
      </c>
      <c r="B2917">
        <f>SUM(V2879:V2905)</f>
        <v/>
      </c>
    </row>
    <row r="2918">
      <c r="A2918" s="6" t="inlineStr">
        <is>
          <t>TOTAL DPS</t>
        </is>
      </c>
      <c r="B2918" s="6">
        <f>SUM(O2879:O2905)</f>
        <v/>
      </c>
    </row>
    <row r="2919">
      <c r="A2919" t="inlineStr">
        <is>
          <t>Quickdraw cooldown divisor (this block's own APS / Q)</t>
        </is>
      </c>
      <c r="B2919">
        <f>IF(AND(C2904=TRUE,Inputs!$B$38&lt;&gt;"pvp"),1+0.25*MAX(0,(B2910-(((C2880=TRUE)*Q2880*1)+((C2881=TRUE)*Q2881*1)+((C2883=TRUE)*Q2883*1)+((C2884=TRUE)*Q2884*1)+((C2886=TRUE)*Q2886*1)+((C2889=TRUE)*Q2889*1)+((C2895=TRUE)*Q2895*1)+((C2905=TRUE)*Q2905*1))-((C2885=TRUE)/(IF(Inputs!$B$38="pvp",15,MAX(0.1,Skills!D8-IF(TRUE=TRUE,Inputs!$B$32,0)))*(1-IF(AND(ArtifactsInput!$M$27,Inputs!$B$4="Chapter Hunt"),CHOOSE(ArtifactsInput!$N$27+1,20,24,28,32,36,40),0)/100))+(C2888=TRUE)/(IF(Inputs!$B$38="pvp",15,MAX(0.1,Skills!D11-IF(TRUE=TRUE,Inputs!$B$32,0)))*(1-IF(AND(ArtifactsInput!$M$27,Inputs!$B$4="Chapter Hunt"),CHOOSE(ArtifactsInput!$N$27+1,20,24,28,32,36,40),0)/100))))/(1+0.25*((C2885=TRUE)/(IF(Inputs!$B$38="pvp",15,MAX(0.1,Skills!D8-IF(TRUE=TRUE,Inputs!$B$32,0)))*(1-IF(AND(ArtifactsInput!$M$27,Inputs!$B$4="Chapter Hunt"),CHOOSE(ArtifactsInput!$N$27+1,20,24,28,32,36,40),0)/100))+(C2888=TRUE)/(IF(Inputs!$B$38="pvp",15,MAX(0.1,Skills!D11-IF(TRUE=TRUE,Inputs!$B$32,0)))*(1-IF(AND(ArtifactsInput!$M$27,Inputs!$B$4="Chapter Hunt"),CHOOSE(ArtifactsInput!$N$27+1,20,24,28,32,36,40),0)/100))))),1)</f>
        <v/>
      </c>
    </row>
    <row r="2920">
      <c r="A2920" t="inlineStr">
        <is>
          <t>Nautilus Strike - Final Attack trigger rate (this block's own Q/R)</t>
        </is>
      </c>
      <c r="B2920">
        <f>IF(AND(Inputs!$B$38&lt;&gt;"pvp",Inputs!$B$43&gt;0),(((C2880=TRUE)*R2880)+((C2883=TRUE)*R2883)+((C2885=TRUE)*R2885)+((C2886=TRUE)*R2886)+((C2888=TRUE)*R2888))/Inputs!$B$43,((C2880=TRUE)*Q2880)+((C2883=TRUE)*Q2883)+((C2885=TRUE)*Q2885)+((C2886=TRUE)*Q2886)+((C2888=TRUE)*Q2888))+B2912</f>
        <v/>
      </c>
    </row>
    <row r="2923">
      <c r="A2923" s="9" t="inlineStr">
        <is>
          <t>Cooldown Reduction Milestone Sweep (absolute CDR seconds, fixed-duration content only)</t>
        </is>
      </c>
    </row>
    <row r="2924">
      <c r="A2924" s="5" t="inlineStr">
        <is>
          <t>CDR (s)</t>
        </is>
      </c>
      <c r="B2924" s="5" t="inlineStr">
        <is>
          <t>Total DPS</t>
        </is>
      </c>
      <c r="C2924" s="5" t="inlineStr">
        <is>
          <t>DPS Gain (vs prior step)</t>
        </is>
      </c>
      <c r="D2924" s="5" t="inlineStr">
        <is>
          <t>% Gain (vs current CDR)</t>
        </is>
      </c>
    </row>
    <row r="2925">
      <c r="A2925" t="n">
        <v>0.5</v>
      </c>
      <c r="B2925">
        <f>B2978</f>
        <v/>
      </c>
      <c r="C2925" t="n">
        <v>0</v>
      </c>
      <c r="D2925">
        <f>IF(Summary!$B$3=0,0,(B2925-Summary!$B$3)/Summary!$B$3*100)</f>
        <v/>
      </c>
    </row>
    <row r="2926">
      <c r="A2926" t="n">
        <v>1</v>
      </c>
      <c r="B2926">
        <f>B3024</f>
        <v/>
      </c>
      <c r="C2926">
        <f>B2926-B2925</f>
        <v/>
      </c>
      <c r="D2926">
        <f>IF(Summary!$B$3=0,0,(B2926-Summary!$B$3)/Summary!$B$3*100)</f>
        <v/>
      </c>
    </row>
    <row r="2927">
      <c r="A2927" t="n">
        <v>1.5</v>
      </c>
      <c r="B2927">
        <f>B3070</f>
        <v/>
      </c>
      <c r="C2927">
        <f>B2927-B2926</f>
        <v/>
      </c>
      <c r="D2927">
        <f>IF(Summary!$B$3=0,0,(B2927-Summary!$B$3)/Summary!$B$3*100)</f>
        <v/>
      </c>
    </row>
    <row r="2928">
      <c r="A2928" t="n">
        <v>2</v>
      </c>
      <c r="B2928">
        <f>B3116</f>
        <v/>
      </c>
      <c r="C2928">
        <f>B2928-B2927</f>
        <v/>
      </c>
      <c r="D2928">
        <f>IF(Summary!$B$3=0,0,(B2928-Summary!$B$3)/Summary!$B$3*100)</f>
        <v/>
      </c>
    </row>
    <row r="2929">
      <c r="A2929" t="n">
        <v>2.5</v>
      </c>
      <c r="B2929">
        <f>B3162</f>
        <v/>
      </c>
      <c r="C2929">
        <f>B2929-B2928</f>
        <v/>
      </c>
      <c r="D2929">
        <f>IF(Summary!$B$3=0,0,(B2929-Summary!$B$3)/Summary!$B$3*100)</f>
        <v/>
      </c>
    </row>
    <row r="2930">
      <c r="A2930" t="n">
        <v>3</v>
      </c>
      <c r="B2930">
        <f>B3208</f>
        <v/>
      </c>
      <c r="C2930">
        <f>B2930-B2929</f>
        <v/>
      </c>
      <c r="D2930">
        <f>IF(Summary!$B$3=0,0,(B2930-Summary!$B$3)/Summary!$B$3*100)</f>
        <v/>
      </c>
    </row>
    <row r="2931">
      <c r="A2931" t="n">
        <v>3.5</v>
      </c>
      <c r="B2931">
        <f>B3254</f>
        <v/>
      </c>
      <c r="C2931">
        <f>B2931-B2930</f>
        <v/>
      </c>
      <c r="D2931">
        <f>IF(Summary!$B$3=0,0,(B2931-Summary!$B$3)/Summary!$B$3*100)</f>
        <v/>
      </c>
    </row>
    <row r="2932">
      <c r="A2932" t="n">
        <v>4</v>
      </c>
      <c r="B2932">
        <f>B3300</f>
        <v/>
      </c>
      <c r="C2932">
        <f>B2932-B2931</f>
        <v/>
      </c>
      <c r="D2932">
        <f>IF(Summary!$B$3=0,0,(B2932-Summary!$B$3)/Summary!$B$3*100)</f>
        <v/>
      </c>
    </row>
    <row r="2933">
      <c r="A2933" t="n">
        <v>4.5</v>
      </c>
      <c r="B2933">
        <f>B3346</f>
        <v/>
      </c>
      <c r="C2933">
        <f>B2933-B2932</f>
        <v/>
      </c>
      <c r="D2933">
        <f>IF(Summary!$B$3=0,0,(B2933-Summary!$B$3)/Summary!$B$3*100)</f>
        <v/>
      </c>
    </row>
    <row r="2934">
      <c r="A2934" t="n">
        <v>5</v>
      </c>
      <c r="B2934">
        <f>B3392</f>
        <v/>
      </c>
      <c r="C2934">
        <f>B2934-B2933</f>
        <v/>
      </c>
      <c r="D2934">
        <f>IF(Summary!$B$3=0,0,(B2934-Summary!$B$3)/Summary!$B$3*100)</f>
        <v/>
      </c>
    </row>
    <row r="2937">
      <c r="A2937" s="6" t="inlineStr">
        <is>
          <t>Stat: CDR = 0.5s</t>
        </is>
      </c>
    </row>
    <row r="2938">
      <c r="A2938" s="5" t="inlineStr">
        <is>
          <t>Key</t>
        </is>
      </c>
      <c r="B2938" s="5" t="inlineStr">
        <is>
          <t>Name</t>
        </is>
      </c>
      <c r="C2938" s="5" t="inlineStr">
        <is>
          <t>Unlocked</t>
        </is>
      </c>
      <c r="D2938" s="5" t="inlineStr">
        <is>
          <t>InputLevel</t>
        </is>
      </c>
      <c r="E2938" s="5" t="inlineStr">
        <is>
          <t>Factor</t>
        </is>
      </c>
      <c r="F2938" s="5" t="inlineStr">
        <is>
          <t>CoefficientPercent</t>
        </is>
      </c>
      <c r="G2938" s="5" t="inlineStr">
        <is>
          <t>EffectiveHits</t>
        </is>
      </c>
      <c r="H2938" s="5" t="inlineStr">
        <is>
          <t>ProcProbability</t>
        </is>
      </c>
      <c r="I2938" s="5" t="inlineStr">
        <is>
          <t>MapleHeroMultiplier</t>
        </is>
      </c>
      <c r="J2938" s="5" t="inlineStr">
        <is>
          <t>BaseDamage</t>
        </is>
      </c>
      <c r="K2938" s="5" t="inlineStr">
        <is>
          <t>BaseHitDamage</t>
        </is>
      </c>
      <c r="L2938" s="5" t="inlineStr">
        <is>
          <t>NonCritAvg</t>
        </is>
      </c>
      <c r="M2938" s="5" t="inlineStr">
        <is>
          <t>CritAvg</t>
        </is>
      </c>
      <c r="N2938" s="5" t="inlineStr">
        <is>
          <t>ExpectedDamage(perHit)</t>
        </is>
      </c>
      <c r="O2938" s="5" t="inlineStr">
        <is>
          <t>DPS</t>
        </is>
      </c>
      <c r="P2938" s="5" t="inlineStr">
        <is>
          <t>% of Total</t>
        </is>
      </c>
      <c r="Q2938" s="5" t="inlineStr">
        <is>
          <t>InvCooldown</t>
        </is>
      </c>
      <c r="R2938" s="5" t="inlineStr">
        <is>
          <t>CastsInFight</t>
        </is>
      </c>
      <c r="S2938" s="5" t="inlineStr">
        <is>
          <t>HitRate(perSec)</t>
        </is>
      </c>
      <c r="U2938" t="inlineStr">
        <is>
          <t>helpers</t>
        </is>
      </c>
    </row>
    <row r="2939">
      <c r="A2939">
        <f>Skills!A2</f>
        <v/>
      </c>
      <c r="B2939">
        <f>Skills!B2</f>
        <v/>
      </c>
      <c r="C2939">
        <f>Inputs!$B$3&gt;=100</f>
        <v/>
      </c>
      <c r="D2939" t="inlineStr"/>
      <c r="E2939" t="inlineStr"/>
      <c r="F2939">
        <f>U2941+Skills!O2</f>
        <v/>
      </c>
      <c r="G2939">
        <f>Skills!G2*IF(Skills!H2&gt;0,INT(IF(Inputs!$B$38="pvp",MIN(Skills!I2,15),Skills!I2)/Skills!H2+0.000000001),1)</f>
        <v/>
      </c>
      <c r="H2939">
        <f>1-(1-Skills!J2/100)^Skills!K2</f>
        <v/>
      </c>
      <c r="I2939" t="inlineStr">
        <is>
          <t>1</t>
        </is>
      </c>
      <c r="J2939">
        <f>((Inputs!$B$6*(1+Inputs!$B$7/100))+(((Inputs!$B$12*(1+Inputs!$B$13/100))-(Inputs!$B$12*(1+Inputs!$B$13/100)))+0.25*(Inputs!$B$14-Inputs!$B$14))*(1+Inputs!$B$7/100))*(F2939/100)</f>
        <v/>
      </c>
      <c r="K2939">
        <f>J2939*(1+((Inputs!$B$12*(1+Inputs!$B$13/100))*0.01+Inputs!$B$14*0.0025)/100)*(1+Inputs!$B$15/100)*(1+Inputs!$B$16/100)*(5000/(6000+Inputs!$B$42*(1-(100*(1-(1-(Inputs!$B$19+0)/100)*(1-CHOOSE(ArtifactsInput!$N$40+1,5,6,7,8,9,10)/100)^(ArtifactsInput!$M$40-ArtifactsInput!$M$40)))/100)))*(1+(Inputs!$B$24+((C2963=TRUE)*(F2963-Calc!F26))+B2974)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IGHT_LEGS_EASTON",Inputs!$B$17+((C2960=TRUE)*(F2960-Calc!F23))+((C2964=TRUE)*(F2964-Calc!F27))+((IF(AND(Inputs!$B$38&lt;&gt;"pvp",Inputs!$B$43=0),1,IF(IF(Inputs!$B$38="pvp",15,Inputs!$B$43)-(B2975)&lt;=0,1,MAX(0,IF(Inputs!$B$38="pvp",15,Inputs!$B$43)-MAX(5,B2975))/(IF(Inputs!$B$38="pvp",15,Inputs!$B$43)-(B2975))))*(IF(AND(ArtifactsInput!$M$42,((Inputs!$B$9+((C2956=TRUE)*(F2956-Calc!F19))+B2968+(ArtifactsInput!$M$24-ArtifactsInput!$M$24)*CHOOSE(ArtifactsInput!$N$24+1,10,12,14,16,18,20)+IF(ArtifactsInput!$M$10,CHOOSE(ArtifactsInput!$N$10+1,15,18,21,24,27,30)*(IF(Inputs!$B$38="pvp",MIN(15,15)/15,IF(AND(Inputs!$B$38&lt;&gt;"pvp",Inputs!$B$43&gt;0),MIN(15,Inputs!$B$43)/(Inputs!$B$43),0))),0)))&gt;=100),MIN(100,((Inputs!$B$9+((C2956=TRUE)*(F2956-Calc!F19))+B2968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2975)&lt;=0,1,MAX(0,IF(Inputs!$B$38="pvp",15,Inputs!$B$43)-MAX(5,B2975))/(IF(Inputs!$B$38="pvp",15,Inputs!$B$43)-(B2975))))*IF(AND(ArtifactsInput!$M$42,((Inputs!$B$9+((C2956=TRUE)*(F2956-Calc!F19))+B2968+(ArtifactsInput!$M$24-ArtifactsInput!$M$24)*CHOOSE(ArtifactsInput!$N$24+1,10,12,14,16,18,20)+IF(ArtifactsInput!$M$10,CHOOSE(ArtifactsInput!$N$10+1,15,18,21,24,27,30)*(IF(Inputs!$B$38="pvp",MIN(15,15)/15,IF(AND(Inputs!$B$38&lt;&gt;"pvp",Inputs!$B$43&gt;0),MIN(15,Inputs!$B$43)/(Inputs!$B$43),0))),0)))&gt;=100),CHOOSE(ArtifactsInput!$N$42+1,40,48,56,64,72,80),0))))/100)*((1+(((C2954=TRUE)*F2954*5/7)+((C2961=TRUE)*(F2961-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2939)</f>
        <v/>
      </c>
      <c r="L2939">
        <f>K2939*(MIN(Inputs!$B$22+((C2959=TRUE)*(F2959-Calc!F22)),(Inputs!$B$23+0+(IF(ArtifactsInput!$M$15,CHOOSE(ArtifactsInput!$N$15+1,25,30,35,40,45,50)/100*(Inputs!$B$11-Inputs!$B$11),0))))/100+(Inputs!$B$23+0+(IF(ArtifactsInput!$M$15,CHOOSE(ArtifactsInput!$N$15+1,25,30,35,40,45,50)/100*(Inputs!$B$11-Inputs!$B$11),0)))/100)/2</f>
        <v/>
      </c>
      <c r="M2939">
        <f>L2939*(1+(Inputs!$B$10+((C2962=TRUE)*(F2962-Calc!F25))+B2973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39">
        <f>L2939*(1-MIN((Inputs!$B$9+((C2956=TRUE)*(F2956-Calc!F19))+B2968+(ArtifactsInput!$M$24-ArtifactsInput!$M$24)*CHOOSE(ArtifactsInput!$N$24+1,10,12,14,16,18,20)+(IF(AND(Inputs!$B$38&lt;&gt;"pvp",Inputs!$B$43=0),1,IF(IF(Inputs!$B$38="pvp",15,Inputs!$B$43)-(B2975)&lt;=0,1,MAX(0,IF(Inputs!$B$38="pvp",15,Inputs!$B$43)-MAX(5,B2975))/(IF(Inputs!$B$38="pvp",15,Inputs!$B$43)-(B2975))))*IF(AND(ArtifactsInput!$M$42,((Inputs!$B$9+((C2956=TRUE)*(F2956-Calc!F19))+B2968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2939*(MIN((Inputs!$B$9+((C2956=TRUE)*(F2956-Calc!F19))+B2968+(ArtifactsInput!$M$24-ArtifactsInput!$M$24)*CHOOSE(ArtifactsInput!$N$24+1,10,12,14,16,18,20)+(IF(AND(Inputs!$B$38&lt;&gt;"pvp",Inputs!$B$43=0),1,IF(IF(Inputs!$B$38="pvp",15,Inputs!$B$43)-(B2975)&lt;=0,1,MAX(0,IF(Inputs!$B$38="pvp",15,Inputs!$B$43)-MAX(5,B2975))/(IF(Inputs!$B$38="pvp",15,Inputs!$B$43)-(B2975))))*IF(AND(ArtifactsInput!$M$42,((Inputs!$B$9+((C2956=TRUE)*(F2956-Calc!F19))+B2968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39">
        <f>(1-Summary!$B$11)*T2939+Summary!$B$11*V2939</f>
        <v/>
      </c>
      <c r="P2939">
        <f>IF(B2978=0,0,O2939/B2978)</f>
        <v/>
      </c>
      <c r="Q2939" t="n">
        <v>0</v>
      </c>
      <c r="R2939" t="n">
        <v>0</v>
      </c>
      <c r="S2939">
        <f>IFERROR(O2939/N2939,0)</f>
        <v/>
      </c>
      <c r="T2939">
        <f>IF(C2939,(Skills!G2*N2939*B2972*(1+IF(C2964=TRUE,1/3,0)))*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Hunt"),CHOOSE(ArtifactsInput!$N$35+1,15,18,21,24,27,30)*(1-EXP(-(0.2*B2970)*5)),0)+IF(AND(ArtifactsInput!$M$22,Inputs!$B$4&lt;&gt;"Chapter Hunt"),CHOOSE(ArtifactsInput!$N$22+1,10,12,14,16,18,20)*((0*(((0.15*B2970*5))^0/1)+1*(((0.15*B2970*5))^1/1)+2*(((0.15*B2970*5))^2/2)+3*(((0.15*B2970*5))^3/6)+4*(((0.15*B2970*5))^4/24)+5*(((0.15*B2970*5))^5/120))/((((0.15*B2970*5))^0/1)+(((0.15*B2970*5))^1/1)+(((0.15*B2970*5))^2/2)+(((0.15*B2970*5))^3/6)+(((0.15*B2970*5))^4/24)+(((0.15*B2970*5))^5/120))),0))+IF(Inputs!$B$3&gt;=54,9*(C2940=TRUE)*MIN(1,8*(1+Inputs!$B$34/100)*Q2940)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2939*(1-MIN(100,(Inputs!$B$9+((C2956=TRUE)*(F2956-Calc!F19))+B2968+(ArtifactsInput!$M$24-ArtifactsInput!$M$24)*CHOOSE(ArtifactsInput!$N$24+1,10,12,14,16,18,20)+(IF(AND(Inputs!$B$38&lt;&gt;"pvp",Inputs!$B$43=0),1,IF(IF(Inputs!$B$38="pvp",15,Inputs!$B$43)-(B2975)&lt;=0,1,MAX(0,IF(Inputs!$B$38="pvp",15,Inputs!$B$43)-MAX(5,B2975))/(IF(Inputs!$B$38="pvp",15,Inputs!$B$43)-(B2975))))*IF(AND(ArtifactsInput!$M$42,((Inputs!$B$9+((C2956=TRUE)*(F2956-Calc!F19))+B2968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2939*(MIN(100,(Inputs!$B$9+((C2956=TRUE)*(F2956-Calc!F19))+B2968+(ArtifactsInput!$M$24-ArtifactsInput!$M$24)*CHOOSE(ArtifactsInput!$N$24+1,10,12,14,16,18,20)+(IF(AND(Inputs!$B$38&lt;&gt;"pvp",Inputs!$B$43=0),1,IF(IF(Inputs!$B$38="pvp",15,Inputs!$B$43)-(B2975)&lt;=0,1,MAX(0,IF(Inputs!$B$38="pvp",15,Inputs!$B$43)-MAX(5,B2975))/(IF(Inputs!$B$38="pvp",15,Inputs!$B$43)-(B2975))))*IF(AND(ArtifactsInput!$M$42,((Inputs!$B$9+((C2956=TRUE)*(F2956-Calc!F19))+B2968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2939*(1-MIN(100,(Inputs!$B$9+((C2956=TRUE)*(F2956-Calc!F19))+B2968+(ArtifactsInput!$M$24-ArtifactsInput!$M$24)*CHOOSE(ArtifactsInput!$N$24+1,10,12,14,16,18,20)+(IF(AND(Inputs!$B$38&lt;&gt;"pvp",Inputs!$B$43=0),1,IF(IF(Inputs!$B$38="pvp",15,Inputs!$B$43)-(B2975)&lt;=0,1,MAX(0,IF(Inputs!$B$38="pvp",15,Inputs!$B$43)-MAX(5,B2975))/(IF(Inputs!$B$38="pvp",15,Inputs!$B$43)-(B2975))))*IF(AND(ArtifactsInput!$M$42,((Inputs!$B$9+((C2956=TRUE)*(F2956-Calc!F19))+B2968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2939*(MIN(100,(Inputs!$B$9+((C2956=TRUE)*(F2956-Calc!F19))+B2968+(ArtifactsInput!$M$24-ArtifactsInput!$M$24)*CHOOSE(ArtifactsInput!$N$24+1,10,12,14,16,18,20)+(IF(AND(Inputs!$B$38&lt;&gt;"pvp",Inputs!$B$43=0),1,IF(IF(Inputs!$B$38="pvp",15,Inputs!$B$43)-(B2975)&lt;=0,1,MAX(0,IF(Inputs!$B$38="pvp",15,Inputs!$B$43)-MAX(5,B2975))/(IF(Inputs!$B$38="pvp",15,Inputs!$B$43)-(B2975))))*IF(AND(ArtifactsInput!$M$42,((Inputs!$B$9+((C2956=TRUE)*(F2956-Calc!F19))+B2968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939">
        <f>MAX(0,(Inputs!$B$3-100)*3)+Inputs!$B$28+Inputs!$B$29</f>
        <v/>
      </c>
      <c r="V2939">
        <f>IF(C2939,(Skills!G2*N2939*B2972*(1+IF(C2964=TRUE,1/3,0)))*IF(Inputs!$B$38="pvp",1,(1+(Inputs!$B$21+Skills!Q2+(IF(ArtifactsInput!$M$33,CHOOSE(ArtifactsInput!$N$33+1,30,36,42,48,54,60),0))+(IF(AND(ArtifactsInput!$M$35,Inputs!$B$4&lt;&gt;"Chapter Hunt"),CHOOSE(ArtifactsInput!$N$35+1,15,18,21,24,27,30)*(1-EXP(-(0.2*B2970)*5)),0)+IF(AND(ArtifactsInput!$M$22,Inputs!$B$4&lt;&gt;"Chapter Hunt"),CHOOSE(ArtifactsInput!$N$22+1,10,12,14,16,18,20)*((0*(((0.15*B2970*5))^0/1)+1*(((0.15*B2970*5))^1/1)+2*(((0.15*B2970*5))^2/2)+3*(((0.15*B2970*5))^3/6)+4*(((0.15*B2970*5))^4/24)+5*(((0.15*B2970*5))^5/120))/((((0.15*B2970*5))^0/1)+(((0.15*B2970*5))^1/1)+(((0.15*B2970*5))^2/2)+(((0.15*B2970*5))^3/6)+(((0.15*B2970*5))^4/24)+(((0.15*B2970*5))^5/120))),0))+IF(Inputs!$B$3&gt;=54,9*(C2940=TRUE)*MIN(1,8*(1+Inputs!$B$34/100)*Q2940)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40">
      <c r="A2940">
        <f>Skills!A3</f>
        <v/>
      </c>
      <c r="B2940">
        <f>Skills!B3</f>
        <v/>
      </c>
      <c r="C2940">
        <f>Inputs!$B$3&gt;=33</f>
        <v/>
      </c>
      <c r="D2940">
        <f>IF(Skills!C3=1,60+Inputs!$B$25+Inputs!$B$29,IF(Skills!C3=2,90+Inputs!$B$26+Inputs!$B$29,IF(Skills!C3=3,120+Inputs!$B$27+Inputs!$B$29,MAX(0,(Inputs!$B$3-100)*3)+Inputs!$B$28+Inputs!$B$29)))</f>
        <v/>
      </c>
      <c r="E2940">
        <f>INDEX(FactorTable!$B$2:$Y$301, MATCH(ROUND(MIN(300,MAX(1,D2940)),0), FactorTable!$A$2:$A$301,0), Skills!M3+1)</f>
        <v/>
      </c>
      <c r="F2940">
        <f>IF(Skills!N3=TRUE,(Skills!L3/10)*(E2940/1000),Skills!L3/10)+Skills!O3</f>
        <v/>
      </c>
      <c r="G2940">
        <f>Skills!G3*IF(Skills!H3&gt;0,INT(IF(Inputs!$B$38="pvp",MIN(Skills!I3,15),Skills!I3)/Skills!H3+0.000000001),1)</f>
        <v/>
      </c>
      <c r="H2940">
        <f>1-(1-Skills!J3/100)^Skills!K3</f>
        <v/>
      </c>
      <c r="I2940" t="inlineStr">
        <is>
          <t>1</t>
        </is>
      </c>
      <c r="J2940">
        <f>((Inputs!$B$6*(1+Inputs!$B$7/100))+(((Inputs!$B$12*(1+Inputs!$B$13/100))-(Inputs!$B$12*(1+Inputs!$B$13/100)))+0.25*(Inputs!$B$14-Inputs!$B$14))*(1+Inputs!$B$7/100))*(F2940/100)</f>
        <v/>
      </c>
      <c r="K2940">
        <f>J2940*(1+((Inputs!$B$12*(1+Inputs!$B$13/100))*0.01+Inputs!$B$14*0.0025)/100)*(1+Inputs!$B$15/100)*(1+Inputs!$B$16/100)*(5000/(6000+Inputs!$B$42*(1-(100*(1-(1-(Inputs!$B$19+0)/100)*(1-CHOOSE(ArtifactsInput!$N$40+1,5,6,7,8,9,10)/100)^(ArtifactsInput!$M$40-ArtifactsInput!$M$40)))/100)))*(1+(Inputs!$B$24+((C2963=TRUE)*(F2963-Calc!F26))+B2974)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2952=TRUE,F2952,0)/100)*(1+(IF(Skills!A3="EIGHT_LEGS_EASTON",Inputs!$B$17+((C2960=TRUE)*(F2960-Calc!F23))+((C2964=TRUE)*(F2964-Calc!F27))+((IF(AND(Inputs!$B$38&lt;&gt;"pvp",Inputs!$B$43=0),1,IF(IF(Inputs!$B$38="pvp",15,Inputs!$B$43)-(B2975)&lt;=0,1,MAX(0,IF(Inputs!$B$38="pvp",15,Inputs!$B$43)-MAX(5,B2975))/(IF(Inputs!$B$38="pvp",15,Inputs!$B$43)-(B2975))))*(IF(AND(ArtifactsInput!$M$42,((Inputs!$B$9+((C2956=TRUE)*(F2956-Calc!F19))+B2968+(ArtifactsInput!$M$24-ArtifactsInput!$M$24)*CHOOSE(ArtifactsInput!$N$24+1,10,12,14,16,18,20)+IF(ArtifactsInput!$M$10,CHOOSE(ArtifactsInput!$N$10+1,15,18,21,24,27,30)*(IF(Inputs!$B$38="pvp",MIN(15,15)/15,IF(AND(Inputs!$B$38&lt;&gt;"pvp",Inputs!$B$43&gt;0),MIN(15,Inputs!$B$43)/(Inputs!$B$43),0))),0)))&gt;=100),MIN(100,((Inputs!$B$9+((C2956=TRUE)*(F2956-Calc!F19))+B2968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2975)&lt;=0,1,MAX(0,IF(Inputs!$B$38="pvp",15,Inputs!$B$43)-MAX(5,B2975))/(IF(Inputs!$B$38="pvp",15,Inputs!$B$43)-(B2975))))*IF(AND(ArtifactsInput!$M$42,((Inputs!$B$9+((C2956=TRUE)*(F2956-Calc!F19))+B2968+(ArtifactsInput!$M$24-ArtifactsInput!$M$24)*CHOOSE(ArtifactsInput!$N$24+1,10,12,14,16,18,20)+IF(ArtifactsInput!$M$10,CHOOSE(ArtifactsInput!$N$10+1,15,18,21,24,27,30)*(IF(Inputs!$B$38="pvp",MIN(15,15)/15,IF(AND(Inputs!$B$38&lt;&gt;"pvp",Inputs!$B$43&gt;0),MIN(15,Inputs!$B$43)/(Inputs!$B$43),0))),0)))&gt;=100),CHOOSE(ArtifactsInput!$N$42+1,40,48,56,64,72,80),0))))/100)*((1+(((C2954=TRUE)*F2954*5/7)+((C2961=TRUE)*(F2961-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2940)</f>
        <v/>
      </c>
      <c r="L2940">
        <f>K2940*(MIN(Inputs!$B$22+((C2959=TRUE)*(F2959-Calc!F22)),(Inputs!$B$23+0+(IF(ArtifactsInput!$M$15,CHOOSE(ArtifactsInput!$N$15+1,25,30,35,40,45,50)/100*(Inputs!$B$11-Inputs!$B$11),0))))/100+(Inputs!$B$23+0+(IF(ArtifactsInput!$M$15,CHOOSE(ArtifactsInput!$N$15+1,25,30,35,40,45,50)/100*(Inputs!$B$11-Inputs!$B$11),0)))/100)/2</f>
        <v/>
      </c>
      <c r="M2940">
        <f>L2940*(1+(Inputs!$B$10+((C2962=TRUE)*(F2962-Calc!F25))+B2973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40">
        <f>L2940*(1-MIN((Inputs!$B$9+((C2956=TRUE)*(F2956-Calc!F19))+B2968+(ArtifactsInput!$M$24-ArtifactsInput!$M$24)*CHOOSE(ArtifactsInput!$N$24+1,10,12,14,16,18,20)+(IF(AND(Inputs!$B$38&lt;&gt;"pvp",Inputs!$B$43=0),1,IF(IF(Inputs!$B$38="pvp",15,Inputs!$B$43)-(B2975)&lt;=0,1,MAX(0,IF(Inputs!$B$38="pvp",15,Inputs!$B$43)-MAX(5,B2975))/(IF(Inputs!$B$38="pvp",15,Inputs!$B$43)-(B2975))))*IF(AND(ArtifactsInput!$M$42,((Inputs!$B$9+((C2956=TRUE)*(F2956-Calc!F19))+B2968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2940*(MIN((Inputs!$B$9+((C2956=TRUE)*(F2956-Calc!F19))+B2968+(ArtifactsInput!$M$24-ArtifactsInput!$M$24)*CHOOSE(ArtifactsInput!$N$24+1,10,12,14,16,18,20)+(IF(AND(Inputs!$B$38&lt;&gt;"pvp",Inputs!$B$43=0),1,IF(IF(Inputs!$B$38="pvp",15,Inputs!$B$43)-(B2975)&lt;=0,1,MAX(0,IF(Inputs!$B$38="pvp",15,Inputs!$B$43)-MAX(5,B2975))/(IF(Inputs!$B$38="pvp",15,Inputs!$B$43)-(B2975))))*IF(AND(ArtifactsInput!$M$42,((Inputs!$B$9+((C2956=TRUE)*(F2956-Calc!F19))+B2968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40">
        <f>(1-Summary!$B$11)*T2940+Summary!$B$11*V2940</f>
        <v/>
      </c>
      <c r="P2940">
        <f>IF(B2978=0,0,O2940/B2978)</f>
        <v/>
      </c>
      <c r="Q2940">
        <f>IFERROR(1/(IF(Inputs!$B$38="pvp",15,MAX(0.1,Skills!D3-IF(TRUE=TRUE,0.5,0)))*(1-IF(AND(ArtifactsInput!$M$27,Inputs!$B$4="Chapter Hunt"),CHOOSE(ArtifactsInput!$N$27+1,20,24,28,32,36,40),0)/100)),0)</f>
        <v/>
      </c>
      <c r="R2940">
        <f>IF(AND(Inputs!$B$38&lt;&gt;"pvp",Inputs!$B$43&gt;0),IF(MAX(0,Inputs!$B$43-B2975)&lt;=0,0,(INT(MAX(0,Inputs!$B$43-B2975)/(IF(Inputs!$B$38="pvp",15,MAX(0.1,Skills!D3-IF(TRUE=TRUE,0.5,0)))*(1-IF(AND(ArtifactsInput!$M$27,Inputs!$B$4="Chapter Hunt"),CHOOSE(ArtifactsInput!$N$27+1,20,24,28,32,36,40),0)/100)))+1)),0)</f>
        <v/>
      </c>
      <c r="S2940">
        <f>IFERROR(O2940/N2940,0)</f>
        <v/>
      </c>
      <c r="T2940">
        <f>IF(C2940,(H2940*N2940*IF(AND(Inputs!$B$38&lt;&gt;"pvp",Inputs!$B$43&gt;0),((Skills!G3*((R2940-1)*IF(Skills!H3&gt;0,INT(Skills!I3/Skills!H3+0.000000001),1)+IF(Skills!H3&gt;0,INT(MIN(Skills!I3,MAX(0,MAX(0,Inputs!$B$43-B2975)-((R2940-1)*(IF(Inputs!$B$38="pvp",15,MAX(0.1,Skills!D3-IF(TRUE=TRUE,0.5,0)))*(1-IF(AND(ArtifactsInput!$M$27,Inputs!$B$4="Chapter Hunt"),CHOOSE(ArtifactsInput!$N$27+1,20,24,28,32,36,40),0)/100)))))/Skills!H3+0.000000001),1)))/Inputs!$B$43),G2940*Q2940))*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Hunt"),CHOOSE(ArtifactsInput!$N$35+1,15,18,21,24,27,30)*(1-EXP(-(0.2*B2970)*5)),0)+IF(AND(ArtifactsInput!$M$22,Inputs!$B$4&lt;&gt;"Chapter Hunt"),CHOOSE(ArtifactsInput!$N$22+1,10,12,14,16,18,20)*((0*(((0.15*B2970*5))^0/1)+1*(((0.15*B2970*5))^1/1)+2*(((0.15*B2970*5))^2/2)+3*(((0.15*B2970*5))^3/6)+4*(((0.15*B2970*5))^4/24)+5*(((0.15*B2970*5))^5/120))/((((0.15*B2970*5))^0/1)+(((0.15*B2970*5))^1/1)+(((0.15*B2970*5))^2/2)+(((0.15*B2970*5))^3/6)+(((0.15*B2970*5))^4/24)+(((0.15*B2970*5))^5/120))),0))+IF(Inputs!$B$3&gt;=54,9*(C2940=TRUE)*MIN(1,8*(1+Inputs!$B$34/100)*Q2940)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2940*(1-MIN(100,(Inputs!$B$9+((C2956=TRUE)*(F2956-Calc!F19))+B2968+(ArtifactsInput!$M$24-ArtifactsInput!$M$24)*CHOOSE(ArtifactsInput!$N$24+1,10,12,14,16,18,20)+(IF(AND(Inputs!$B$38&lt;&gt;"pvp",Inputs!$B$43=0),1,IF(IF(Inputs!$B$38="pvp",15,Inputs!$B$43)-(B2975)&lt;=0,1,MAX(0,IF(Inputs!$B$38="pvp",15,Inputs!$B$43)-MAX(5,B2975))/(IF(Inputs!$B$38="pvp",15,Inputs!$B$43)-(B2975))))*IF(AND(ArtifactsInput!$M$42,((Inputs!$B$9+((C2956=TRUE)*(F2956-Calc!F19))+B2968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2940*(MIN(100,(Inputs!$B$9+((C2956=TRUE)*(F2956-Calc!F19))+B2968+(ArtifactsInput!$M$24-ArtifactsInput!$M$24)*CHOOSE(ArtifactsInput!$N$24+1,10,12,14,16,18,20)+(IF(AND(Inputs!$B$38&lt;&gt;"pvp",Inputs!$B$43=0),1,IF(IF(Inputs!$B$38="pvp",15,Inputs!$B$43)-(B2975)&lt;=0,1,MAX(0,IF(Inputs!$B$38="pvp",15,Inputs!$B$43)-MAX(5,B2975))/(IF(Inputs!$B$38="pvp",15,Inputs!$B$43)-(B2975))))*IF(AND(ArtifactsInput!$M$42,((Inputs!$B$9+((C2956=TRUE)*(F2956-Calc!F19))+B2968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2940*(1-MIN(100,(Inputs!$B$9+((C2956=TRUE)*(F2956-Calc!F19))+B2968+(ArtifactsInput!$M$24-ArtifactsInput!$M$24)*CHOOSE(ArtifactsInput!$N$24+1,10,12,14,16,18,20)+(IF(AND(Inputs!$B$38&lt;&gt;"pvp",Inputs!$B$43=0),1,IF(IF(Inputs!$B$38="pvp",15,Inputs!$B$43)-(B2975)&lt;=0,1,MAX(0,IF(Inputs!$B$38="pvp",15,Inputs!$B$43)-MAX(5,B2975))/(IF(Inputs!$B$38="pvp",15,Inputs!$B$43)-(B2975))))*IF(AND(ArtifactsInput!$M$42,((Inputs!$B$9+((C2956=TRUE)*(F2956-Calc!F19))+B2968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2940*(MIN(100,(Inputs!$B$9+((C2956=TRUE)*(F2956-Calc!F19))+B2968+(ArtifactsInput!$M$24-ArtifactsInput!$M$24)*CHOOSE(ArtifactsInput!$N$24+1,10,12,14,16,18,20)+(IF(AND(Inputs!$B$38&lt;&gt;"pvp",Inputs!$B$43=0),1,IF(IF(Inputs!$B$38="pvp",15,Inputs!$B$43)-(B2975)&lt;=0,1,MAX(0,IF(Inputs!$B$38="pvp",15,Inputs!$B$43)-MAX(5,B2975))/(IF(Inputs!$B$38="pvp",15,Inputs!$B$43)-(B2975))))*IF(AND(ArtifactsInput!$M$42,((Inputs!$B$9+((C2956=TRUE)*(F2956-Calc!F19))+B2968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940">
        <f>INDEX(FactorTable!$B$2:$Y$301, MATCH(ROUND(MIN(300,MAX(1,U2939)),0), FactorTable!$A$2:$A$301,0), 22)</f>
        <v/>
      </c>
      <c r="V2940">
        <f>IF(C2940,(H2940*N2940*IF(AND(Inputs!$B$38&lt;&gt;"pvp",Inputs!$B$43&gt;0),((Skills!G3*((R2940-1)*IF(Skills!H3&gt;0,INT(Skills!I3/Skills!H3+0.000000001),1)+IF(Skills!H3&gt;0,INT(MIN(Skills!I3,MAX(0,MAX(0,Inputs!$B$43-B2975)-((R2940-1)*(IF(Inputs!$B$38="pvp",15,MAX(0.1,Skills!D3-IF(TRUE=TRUE,0.5,0)))*(1-IF(AND(ArtifactsInput!$M$27,Inputs!$B$4="Chapter Hunt"),CHOOSE(ArtifactsInput!$N$27+1,20,24,28,32,36,40),0)/100)))))/Skills!H3+0.000000001),1)))/Inputs!$B$43),G2940*Q2940))*IF(Inputs!$B$38="pvp",1,(1+(Inputs!$B$21+Skills!Q3+(IF(ArtifactsInput!$M$33,CHOOSE(ArtifactsInput!$N$33+1,30,36,42,48,54,60),0))+(IF(AND(ArtifactsInput!$M$35,Inputs!$B$4&lt;&gt;"Chapter Hunt"),CHOOSE(ArtifactsInput!$N$35+1,15,18,21,24,27,30)*(1-EXP(-(0.2*B2970)*5)),0)+IF(AND(ArtifactsInput!$M$22,Inputs!$B$4&lt;&gt;"Chapter Hunt"),CHOOSE(ArtifactsInput!$N$22+1,10,12,14,16,18,20)*((0*(((0.15*B2970*5))^0/1)+1*(((0.15*B2970*5))^1/1)+2*(((0.15*B2970*5))^2/2)+3*(((0.15*B2970*5))^3/6)+4*(((0.15*B2970*5))^4/24)+5*(((0.15*B2970*5))^5/120))/((((0.15*B2970*5))^0/1)+(((0.15*B2970*5))^1/1)+(((0.15*B2970*5))^2/2)+(((0.15*B2970*5))^3/6)+(((0.15*B2970*5))^4/24)+(((0.15*B2970*5))^5/120))),0))+IF(Inputs!$B$3&gt;=54,9*(C2940=TRUE)*MIN(1,8*(1+Inputs!$B$34/100)*Q2940)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41">
      <c r="A2941">
        <f>Skills!A4</f>
        <v/>
      </c>
      <c r="B2941">
        <f>Skills!B4</f>
        <v/>
      </c>
      <c r="C2941">
        <f>Inputs!$B$3&gt;=35</f>
        <v/>
      </c>
      <c r="D2941">
        <f>IF(Skills!C4=1,60+Inputs!$B$25+Inputs!$B$29,IF(Skills!C4=2,90+Inputs!$B$26+Inputs!$B$29,IF(Skills!C4=3,120+Inputs!$B$27+Inputs!$B$29,MAX(0,(Inputs!$B$3-100)*3)+Inputs!$B$28+Inputs!$B$29)))</f>
        <v/>
      </c>
      <c r="E2941">
        <f>INDEX(FactorTable!$B$2:$Y$301, MATCH(ROUND(MIN(300,MAX(1,D2941)),0), FactorTable!$A$2:$A$301,0), Skills!M4+1)</f>
        <v/>
      </c>
      <c r="F2941">
        <f>IF(Skills!N4=TRUE,(Skills!L4/10)*(E2941/1000),Skills!L4/10)+Skills!O4</f>
        <v/>
      </c>
      <c r="G2941">
        <f>Skills!G4*IF(Skills!H4&gt;0,INT(IF(Inputs!$B$38="pvp",MIN(IF(Inputs!$B$3&gt;=104,MIN(35,20*(1+Inputs!$B$34/100)),20),15),IF(Inputs!$B$3&gt;=104,MIN(35,20*(1+Inputs!$B$34/100)),20))/Skills!H4+0.000000001),1)</f>
        <v/>
      </c>
      <c r="H2941">
        <f>1-(1-Skills!J4/100)^Skills!K4</f>
        <v/>
      </c>
      <c r="I2941" t="inlineStr">
        <is>
          <t>1</t>
        </is>
      </c>
      <c r="J2941">
        <f>((Inputs!$B$6*(1+Inputs!$B$7/100))+(((Inputs!$B$12*(1+Inputs!$B$13/100))-(Inputs!$B$12*(1+Inputs!$B$13/100)))+0.25*(Inputs!$B$14-Inputs!$B$14))*(1+Inputs!$B$7/100))*(F2941/100)</f>
        <v/>
      </c>
      <c r="K2941">
        <f>J2941*(1+((Inputs!$B$12*(1+Inputs!$B$13/100))*0.01+Inputs!$B$14*0.0025)/100)*(1+Inputs!$B$15/100)*(1+Inputs!$B$16/100)*(5000/(6000+Inputs!$B$42*(1-(100*(1-(1-(Inputs!$B$19+0)/100)*(1-CHOOSE(ArtifactsInput!$N$40+1,5,6,7,8,9,10)/100)^(ArtifactsInput!$M$40-ArtifactsInput!$M$40)))/100)))*(1+(Inputs!$B$24+((C2963=TRUE)*(F2963-Calc!F26))+B2974)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2953=TRUE,F2953,0)/100)*(1+(IF(Skills!A4="EIGHT_LEGS_EASTON",Inputs!$B$17+((C2960=TRUE)*(F2960-Calc!F23))+((C2964=TRUE)*(F2964-Calc!F27))+((IF(AND(Inputs!$B$38&lt;&gt;"pvp",Inputs!$B$43=0),1,IF(IF(Inputs!$B$38="pvp",15,Inputs!$B$43)-(B2975)&lt;=0,1,MAX(0,IF(Inputs!$B$38="pvp",15,Inputs!$B$43)-MAX(5,B2975))/(IF(Inputs!$B$38="pvp",15,Inputs!$B$43)-(B2975))))*(IF(AND(ArtifactsInput!$M$42,((Inputs!$B$9+((C2956=TRUE)*(F2956-Calc!F19))+B2968+(ArtifactsInput!$M$24-ArtifactsInput!$M$24)*CHOOSE(ArtifactsInput!$N$24+1,10,12,14,16,18,20)+IF(ArtifactsInput!$M$10,CHOOSE(ArtifactsInput!$N$10+1,15,18,21,24,27,30)*(IF(Inputs!$B$38="pvp",MIN(15,15)/15,IF(AND(Inputs!$B$38&lt;&gt;"pvp",Inputs!$B$43&gt;0),MIN(15,Inputs!$B$43)/(Inputs!$B$43),0))),0)))&gt;=100),MIN(100,((Inputs!$B$9+((C2956=TRUE)*(F2956-Calc!F19))+B2968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2975)&lt;=0,1,MAX(0,IF(Inputs!$B$38="pvp",15,Inputs!$B$43)-MAX(5,B2975))/(IF(Inputs!$B$38="pvp",15,Inputs!$B$43)-(B2975))))*IF(AND(ArtifactsInput!$M$42,((Inputs!$B$9+((C2956=TRUE)*(F2956-Calc!F19))+B2968+(ArtifactsInput!$M$24-ArtifactsInput!$M$24)*CHOOSE(ArtifactsInput!$N$24+1,10,12,14,16,18,20)+IF(ArtifactsInput!$M$10,CHOOSE(ArtifactsInput!$N$10+1,15,18,21,24,27,30)*(IF(Inputs!$B$38="pvp",MIN(15,15)/15,IF(AND(Inputs!$B$38&lt;&gt;"pvp",Inputs!$B$43&gt;0),MIN(15,Inputs!$B$43)/(Inputs!$B$43),0))),0)))&gt;=100),CHOOSE(ArtifactsInput!$N$42+1,40,48,56,64,72,80),0))))/100)*((1+(((C2954=TRUE)*F2954*5/7)+((C2961=TRUE)*(F2961-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2941)</f>
        <v/>
      </c>
      <c r="L2941">
        <f>K2941*(MIN(Inputs!$B$22+((C2959=TRUE)*(F2959-Calc!F22)),(Inputs!$B$23+0+(IF(ArtifactsInput!$M$15,CHOOSE(ArtifactsInput!$N$15+1,25,30,35,40,45,50)/100*(Inputs!$B$11-Inputs!$B$11),0))))/100+(Inputs!$B$23+0+(IF(ArtifactsInput!$M$15,CHOOSE(ArtifactsInput!$N$15+1,25,30,35,40,45,50)/100*(Inputs!$B$11-Inputs!$B$11),0)))/100)/2</f>
        <v/>
      </c>
      <c r="M2941">
        <f>L2941*(1+(Inputs!$B$10+((C2962=TRUE)*(F2962-Calc!F25))+B2973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41">
        <f>L2941*(1-MIN((Inputs!$B$9+((C2956=TRUE)*(F2956-Calc!F19))+B2968+(ArtifactsInput!$M$24-ArtifactsInput!$M$24)*CHOOSE(ArtifactsInput!$N$24+1,10,12,14,16,18,20)+(IF(AND(Inputs!$B$38&lt;&gt;"pvp",Inputs!$B$43=0),1,IF(IF(Inputs!$B$38="pvp",15,Inputs!$B$43)-(B2975)&lt;=0,1,MAX(0,IF(Inputs!$B$38="pvp",15,Inputs!$B$43)-MAX(5,B2975))/(IF(Inputs!$B$38="pvp",15,Inputs!$B$43)-(B2975))))*IF(AND(ArtifactsInput!$M$42,((Inputs!$B$9+((C2956=TRUE)*(F2956-Calc!F19))+B2968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2941*(MIN((Inputs!$B$9+((C2956=TRUE)*(F2956-Calc!F19))+B2968+(ArtifactsInput!$M$24-ArtifactsInput!$M$24)*CHOOSE(ArtifactsInput!$N$24+1,10,12,14,16,18,20)+(IF(AND(Inputs!$B$38&lt;&gt;"pvp",Inputs!$B$43=0),1,IF(IF(Inputs!$B$38="pvp",15,Inputs!$B$43)-(B2975)&lt;=0,1,MAX(0,IF(Inputs!$B$38="pvp",15,Inputs!$B$43)-MAX(5,B2975))/(IF(Inputs!$B$38="pvp",15,Inputs!$B$43)-(B2975))))*IF(AND(ArtifactsInput!$M$42,((Inputs!$B$9+((C2956=TRUE)*(F2956-Calc!F19))+B2968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41">
        <f>(1-Summary!$B$11)*T2941+Summary!$B$11*V2941</f>
        <v/>
      </c>
      <c r="P2941">
        <f>IF(B2978=0,0,O2941/B2978)</f>
        <v/>
      </c>
      <c r="Q2941">
        <f>IFERROR(1/(IF(Inputs!$B$38="pvp",15,MAX(0.1,Skills!D4-IF(TRUE=TRUE,0.5,0)))*(1-IF(AND(ArtifactsInput!$M$27,Inputs!$B$4="Chapter Hunt"),CHOOSE(ArtifactsInput!$N$27+1,20,24,28,32,36,40),0)/100)),0)</f>
        <v/>
      </c>
      <c r="R2941">
        <f>IF(AND(Inputs!$B$38&lt;&gt;"pvp",Inputs!$B$43&gt;0),IF(MAX(0,Inputs!$B$43-B2975)&lt;=0,0,(INT(MAX(0,Inputs!$B$43-B2975)/(IF(Inputs!$B$38="pvp",15,MAX(0.1,Skills!D4-IF(TRUE=TRUE,0.5,0)))*(1-IF(AND(ArtifactsInput!$M$27,Inputs!$B$4="Chapter Hunt"),CHOOSE(ArtifactsInput!$N$27+1,20,24,28,32,36,40),0)/100)))+1)),0)</f>
        <v/>
      </c>
      <c r="S2941">
        <f>IFERROR(O2941/N2941,0)</f>
        <v/>
      </c>
      <c r="T2941">
        <f>IF(C2941,(H2941*N2941*IF(AND(Inputs!$B$38&lt;&gt;"pvp",Inputs!$B$43&gt;0),((Skills!G4*((R2941-1)*IF(Skills!H4&gt;0,INT(IF(Inputs!$B$3&gt;=104,MIN(35,20*(1+Inputs!$B$34/100)),20)/Skills!H4+0.000000001),1)+IF(Skills!H4&gt;0,INT(MIN(IF(Inputs!$B$3&gt;=104,MIN(35,20*(1+Inputs!$B$34/100)),20),MAX(0,MAX(0,Inputs!$B$43-B2975)-((R2941-1)*(IF(Inputs!$B$38="pvp",15,MAX(0.1,Skills!D4-IF(TRUE=TRUE,0.5,0)))*(1-IF(AND(ArtifactsInput!$M$27,Inputs!$B$4="Chapter Hunt"),CHOOSE(ArtifactsInput!$N$27+1,20,24,28,32,36,40),0)/100)))))/Skills!H4+0.000000001),1)))/Inputs!$B$43),G2941*Q2941))*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Hunt"),CHOOSE(ArtifactsInput!$N$35+1,15,18,21,24,27,30)*(1-EXP(-(0.2*B2970)*5)),0)+IF(AND(ArtifactsInput!$M$22,Inputs!$B$4&lt;&gt;"Chapter Hunt"),CHOOSE(ArtifactsInput!$N$22+1,10,12,14,16,18,20)*((0*(((0.15*B2970*5))^0/1)+1*(((0.15*B2970*5))^1/1)+2*(((0.15*B2970*5))^2/2)+3*(((0.15*B2970*5))^3/6)+4*(((0.15*B2970*5))^4/24)+5*(((0.15*B2970*5))^5/120))/((((0.15*B2970*5))^0/1)+(((0.15*B2970*5))^1/1)+(((0.15*B2970*5))^2/2)+(((0.15*B2970*5))^3/6)+(((0.15*B2970*5))^4/24)+(((0.15*B2970*5))^5/120))),0))+IF(Inputs!$B$3&gt;=54,9*(C2940=TRUE)*MIN(1,8*(1+Inputs!$B$34/100)*Q2940)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2941*(1-MIN(100,(Inputs!$B$9+((C2956=TRUE)*(F2956-Calc!F19))+B2968+(ArtifactsInput!$M$24-ArtifactsInput!$M$24)*CHOOSE(ArtifactsInput!$N$24+1,10,12,14,16,18,20)+(IF(AND(Inputs!$B$38&lt;&gt;"pvp",Inputs!$B$43=0),1,IF(IF(Inputs!$B$38="pvp",15,Inputs!$B$43)-(B2975)&lt;=0,1,MAX(0,IF(Inputs!$B$38="pvp",15,Inputs!$B$43)-MAX(5,B2975))/(IF(Inputs!$B$38="pvp",15,Inputs!$B$43)-(B2975))))*IF(AND(ArtifactsInput!$M$42,((Inputs!$B$9+((C2956=TRUE)*(F2956-Calc!F19))+B2968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2941*(MIN(100,(Inputs!$B$9+((C2956=TRUE)*(F2956-Calc!F19))+B2968+(ArtifactsInput!$M$24-ArtifactsInput!$M$24)*CHOOSE(ArtifactsInput!$N$24+1,10,12,14,16,18,20)+(IF(AND(Inputs!$B$38&lt;&gt;"pvp",Inputs!$B$43=0),1,IF(IF(Inputs!$B$38="pvp",15,Inputs!$B$43)-(B2975)&lt;=0,1,MAX(0,IF(Inputs!$B$38="pvp",15,Inputs!$B$43)-MAX(5,B2975))/(IF(Inputs!$B$38="pvp",15,Inputs!$B$43)-(B2975))))*IF(AND(ArtifactsInput!$M$42,((Inputs!$B$9+((C2956=TRUE)*(F2956-Calc!F19))+B2968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2941*(1-MIN(100,(Inputs!$B$9+((C2956=TRUE)*(F2956-Calc!F19))+B2968+(ArtifactsInput!$M$24-ArtifactsInput!$M$24)*CHOOSE(ArtifactsInput!$N$24+1,10,12,14,16,18,20)+(IF(AND(Inputs!$B$38&lt;&gt;"pvp",Inputs!$B$43=0),1,IF(IF(Inputs!$B$38="pvp",15,Inputs!$B$43)-(B2975)&lt;=0,1,MAX(0,IF(Inputs!$B$38="pvp",15,Inputs!$B$43)-MAX(5,B2975))/(IF(Inputs!$B$38="pvp",15,Inputs!$B$43)-(B2975))))*IF(AND(ArtifactsInput!$M$42,((Inputs!$B$9+((C2956=TRUE)*(F2956-Calc!F19))+B2968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2941*(MIN(100,(Inputs!$B$9+((C2956=TRUE)*(F2956-Calc!F19))+B2968+(ArtifactsInput!$M$24-ArtifactsInput!$M$24)*CHOOSE(ArtifactsInput!$N$24+1,10,12,14,16,18,20)+(IF(AND(Inputs!$B$38&lt;&gt;"pvp",Inputs!$B$43=0),1,IF(IF(Inputs!$B$38="pvp",15,Inputs!$B$43)-(B2975)&lt;=0,1,MAX(0,IF(Inputs!$B$38="pvp",15,Inputs!$B$43)-MAX(5,B2975))/(IF(Inputs!$B$38="pvp",15,Inputs!$B$43)-(B2975))))*IF(AND(ArtifactsInput!$M$42,((Inputs!$B$9+((C2956=TRUE)*(F2956-Calc!F19))+B2968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941">
        <f>290*U2940/1000</f>
        <v/>
      </c>
      <c r="V2941">
        <f>IF(C2941,(H2941*N2941*IF(AND(Inputs!$B$38&lt;&gt;"pvp",Inputs!$B$43&gt;0),((Skills!G4*((R2941-1)*IF(Skills!H4&gt;0,INT(IF(Inputs!$B$3&gt;=104,MIN(35,20*(1+Inputs!$B$34/100)),20)/Skills!H4+0.000000001),1)+IF(Skills!H4&gt;0,INT(MIN(IF(Inputs!$B$3&gt;=104,MIN(35,20*(1+Inputs!$B$34/100)),20),MAX(0,MAX(0,Inputs!$B$43-B2975)-((R2941-1)*(IF(Inputs!$B$38="pvp",15,MAX(0.1,Skills!D4-IF(TRUE=TRUE,0.5,0)))*(1-IF(AND(ArtifactsInput!$M$27,Inputs!$B$4="Chapter Hunt"),CHOOSE(ArtifactsInput!$N$27+1,20,24,28,32,36,40),0)/100)))))/Skills!H4+0.000000001),1)))/Inputs!$B$43),G2941*Q2941))*IF(Inputs!$B$38="pvp",1,(1+(Inputs!$B$21+Skills!Q4+(IF(ArtifactsInput!$M$33,CHOOSE(ArtifactsInput!$N$33+1,30,36,42,48,54,60),0))+(IF(AND(ArtifactsInput!$M$35,Inputs!$B$4&lt;&gt;"Chapter Hunt"),CHOOSE(ArtifactsInput!$N$35+1,15,18,21,24,27,30)*(1-EXP(-(0.2*B2970)*5)),0)+IF(AND(ArtifactsInput!$M$22,Inputs!$B$4&lt;&gt;"Chapter Hunt"),CHOOSE(ArtifactsInput!$N$22+1,10,12,14,16,18,20)*((0*(((0.15*B2970*5))^0/1)+1*(((0.15*B2970*5))^1/1)+2*(((0.15*B2970*5))^2/2)+3*(((0.15*B2970*5))^3/6)+4*(((0.15*B2970*5))^4/24)+5*(((0.15*B2970*5))^5/120))/((((0.15*B2970*5))^0/1)+(((0.15*B2970*5))^1/1)+(((0.15*B2970*5))^2/2)+(((0.15*B2970*5))^3/6)+(((0.15*B2970*5))^4/24)+(((0.15*B2970*5))^5/120))),0))+IF(Inputs!$B$3&gt;=54,9*(C2940=TRUE)*MIN(1,8*(1+Inputs!$B$34/100)*Q2940),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42">
      <c r="A2942">
        <f>Skills!A5</f>
        <v/>
      </c>
      <c r="B2942">
        <f>Skills!B5</f>
        <v/>
      </c>
      <c r="C2942">
        <f>Inputs!$B$3&gt;=69</f>
        <v/>
      </c>
      <c r="D2942">
        <f>IF(Skills!C5=1,60+Inputs!$B$25+Inputs!$B$29,IF(Skills!C5=2,90+Inputs!$B$26+Inputs!$B$29,IF(Skills!C5=3,120+Inputs!$B$27+Inputs!$B$29,MAX(0,(Inputs!$B$3-100)*3)+Inputs!$B$28+Inputs!$B$29)))</f>
        <v/>
      </c>
      <c r="E2942">
        <f>INDEX(FactorTable!$B$2:$Y$301, MATCH(ROUND(MIN(300,MAX(1,D2942)),0), FactorTable!$A$2:$A$301,0), Skills!M5+1)</f>
        <v/>
      </c>
      <c r="F2942">
        <f>IF(Skills!N5=TRUE,(Skills!L5/10)*(E2942/1000),Skills!L5/10)+Skills!O5</f>
        <v/>
      </c>
      <c r="G2942">
        <f>Skills!G5*IF(Skills!H5&gt;0,INT(IF(Inputs!$B$38="pvp",MIN(IF(Inputs!$B$3&gt;=104,MIN(35,20*(1+Inputs!$B$34/100)),20),15),IF(Inputs!$B$3&gt;=104,MIN(35,20*(1+Inputs!$B$34/100)),20))/Skills!H5+0.000000001),1)</f>
        <v/>
      </c>
      <c r="H2942">
        <f>1-(1-Skills!J5/100)^Skills!K5</f>
        <v/>
      </c>
      <c r="I2942" t="inlineStr">
        <is>
          <t>1</t>
        </is>
      </c>
      <c r="J2942">
        <f>((Inputs!$B$6*(1+Inputs!$B$7/100))+(((Inputs!$B$12*(1+Inputs!$B$13/100))-(Inputs!$B$12*(1+Inputs!$B$13/100)))+0.25*(Inputs!$B$14-Inputs!$B$14))*(1+Inputs!$B$7/100))*(F2942/100)</f>
        <v/>
      </c>
      <c r="K2942">
        <f>J2942*(1+((Inputs!$B$12*(1+Inputs!$B$13/100))*0.01+Inputs!$B$14*0.0025)/100)*(1+Inputs!$B$15/100)*(1+Inputs!$B$16/100)*(5000/(6000+Inputs!$B$42*(1-(100*(1-(1-(Inputs!$B$19+0)/100)*(1-CHOOSE(ArtifactsInput!$N$40+1,5,6,7,8,9,10)/100)^(ArtifactsInput!$M$40-ArtifactsInput!$M$40)))/100)))*(1+(Inputs!$B$24+((C2963=TRUE)*(F2963-Calc!F26))+B2974)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+0.4*IF(C2953=TRUE,F2953,0)/100)*(1+(IF(Skills!A5="EIGHT_LEGS_EASTON",Inputs!$B$17+((C2960=TRUE)*(F2960-Calc!F23))+((C2964=TRUE)*(F2964-Calc!F27))+((IF(AND(Inputs!$B$38&lt;&gt;"pvp",Inputs!$B$43=0),1,IF(IF(Inputs!$B$38="pvp",15,Inputs!$B$43)-(B2975)&lt;=0,1,MAX(0,IF(Inputs!$B$38="pvp",15,Inputs!$B$43)-MAX(5,B2975))/(IF(Inputs!$B$38="pvp",15,Inputs!$B$43)-(B2975))))*(IF(AND(ArtifactsInput!$M$42,((Inputs!$B$9+((C2956=TRUE)*(F2956-Calc!F19))+B2968+(ArtifactsInput!$M$24-ArtifactsInput!$M$24)*CHOOSE(ArtifactsInput!$N$24+1,10,12,14,16,18,20)+IF(ArtifactsInput!$M$10,CHOOSE(ArtifactsInput!$N$10+1,15,18,21,24,27,30)*(IF(Inputs!$B$38="pvp",MIN(15,15)/15,IF(AND(Inputs!$B$38&lt;&gt;"pvp",Inputs!$B$43&gt;0),MIN(15,Inputs!$B$43)/(Inputs!$B$43),0))),0)))&gt;=100),MIN(100,((Inputs!$B$9+((C2956=TRUE)*(F2956-Calc!F19))+B2968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2975)&lt;=0,1,MAX(0,IF(Inputs!$B$38="pvp",15,Inputs!$B$43)-MAX(5,B2975))/(IF(Inputs!$B$38="pvp",15,Inputs!$B$43)-(B2975))))*IF(AND(ArtifactsInput!$M$42,((Inputs!$B$9+((C2956=TRUE)*(F2956-Calc!F19))+B2968+(ArtifactsInput!$M$24-ArtifactsInput!$M$24)*CHOOSE(ArtifactsInput!$N$24+1,10,12,14,16,18,20)+IF(ArtifactsInput!$M$10,CHOOSE(ArtifactsInput!$N$10+1,15,18,21,24,27,30)*(IF(Inputs!$B$38="pvp",MIN(15,15)/15,IF(AND(Inputs!$B$38&lt;&gt;"pvp",Inputs!$B$43&gt;0),MIN(15,Inputs!$B$43)/(Inputs!$B$43),0))),0)))&gt;=100),CHOOSE(ArtifactsInput!$N$42+1,40,48,56,64,72,80),0))))/100)*((1+(((C2954=TRUE)*F2954*5/7)+((C2961=TRUE)*(F2961-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2942)</f>
        <v/>
      </c>
      <c r="L2942">
        <f>K2942*(MIN(Inputs!$B$22+((C2959=TRUE)*(F2959-Calc!F22)),(Inputs!$B$23+0+(IF(ArtifactsInput!$M$15,CHOOSE(ArtifactsInput!$N$15+1,25,30,35,40,45,50)/100*(Inputs!$B$11-Inputs!$B$11),0))))/100+(Inputs!$B$23+0+(IF(ArtifactsInput!$M$15,CHOOSE(ArtifactsInput!$N$15+1,25,30,35,40,45,50)/100*(Inputs!$B$11-Inputs!$B$11),0)))/100)/2</f>
        <v/>
      </c>
      <c r="M2942">
        <f>L2942*(1+(Inputs!$B$10+((C2962=TRUE)*(F2962-Calc!F25))+B2973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42">
        <f>L2942*(1-MIN((Inputs!$B$9+((C2956=TRUE)*(F2956-Calc!F19))+B2968+(ArtifactsInput!$M$24-ArtifactsInput!$M$24)*CHOOSE(ArtifactsInput!$N$24+1,10,12,14,16,18,20)+(IF(AND(Inputs!$B$38&lt;&gt;"pvp",Inputs!$B$43=0),1,IF(IF(Inputs!$B$38="pvp",15,Inputs!$B$43)-(B2975)&lt;=0,1,MAX(0,IF(Inputs!$B$38="pvp",15,Inputs!$B$43)-MAX(5,B2975))/(IF(Inputs!$B$38="pvp",15,Inputs!$B$43)-(B2975))))*IF(AND(ArtifactsInput!$M$42,((Inputs!$B$9+((C2956=TRUE)*(F2956-Calc!F19))+B2968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2942*(MIN((Inputs!$B$9+((C2956=TRUE)*(F2956-Calc!F19))+B2968+(ArtifactsInput!$M$24-ArtifactsInput!$M$24)*CHOOSE(ArtifactsInput!$N$24+1,10,12,14,16,18,20)+(IF(AND(Inputs!$B$38&lt;&gt;"pvp",Inputs!$B$43=0),1,IF(IF(Inputs!$B$38="pvp",15,Inputs!$B$43)-(B2975)&lt;=0,1,MAX(0,IF(Inputs!$B$38="pvp",15,Inputs!$B$43)-MAX(5,B2975))/(IF(Inputs!$B$38="pvp",15,Inputs!$B$43)-(B2975))))*IF(AND(ArtifactsInput!$M$42,((Inputs!$B$9+((C2956=TRUE)*(F2956-Calc!F19))+B2968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42">
        <f>(1-Summary!$B$11)*T2942+Summary!$B$11*V2942</f>
        <v/>
      </c>
      <c r="P2942">
        <f>IF(B2978=0,0,O2942/B2978)</f>
        <v/>
      </c>
      <c r="Q2942">
        <f>IFERROR(1/(IF(Inputs!$B$38="pvp",15,MAX(0.1,Skills!D5-IF(TRUE=TRUE,0.5,0)))*(1-IF(AND(ArtifactsInput!$M$27,Inputs!$B$4="Chapter Hunt"),CHOOSE(ArtifactsInput!$N$27+1,20,24,28,32,36,40),0)/100)),0)</f>
        <v/>
      </c>
      <c r="R2942">
        <f>IF(AND(Inputs!$B$38&lt;&gt;"pvp",Inputs!$B$43&gt;0),IF(MAX(0,Inputs!$B$43-B2975)&lt;=0,0,(INT(MAX(0,Inputs!$B$43-B2975)/(IF(Inputs!$B$38="pvp",15,MAX(0.1,Skills!D5-IF(TRUE=TRUE,0.5,0)))*(1-IF(AND(ArtifactsInput!$M$27,Inputs!$B$4="Chapter Hunt"),CHOOSE(ArtifactsInput!$N$27+1,20,24,28,32,36,40),0)/100)))+1)),0)</f>
        <v/>
      </c>
      <c r="S2942">
        <f>IFERROR(O2942/N2942,0)</f>
        <v/>
      </c>
      <c r="T2942">
        <f>IF(C2942,(H2942*N2942*IF(AND(Inputs!$B$38&lt;&gt;"pvp",Inputs!$B$43&gt;0),((Skills!G5*((R2942-1)*IF(Skills!H5&gt;0,INT(IF(Inputs!$B$3&gt;=104,MIN(35,20*(1+Inputs!$B$34/100)),20)/Skills!H5+0.000000001),1)+IF(Skills!H5&gt;0,INT(MIN(IF(Inputs!$B$3&gt;=104,MIN(35,20*(1+Inputs!$B$34/100)),20),MAX(0,MAX(0,Inputs!$B$43-B2975)-((R2942-1)*(IF(Inputs!$B$38="pvp",15,MAX(0.1,Skills!D5-IF(TRUE=TRUE,0.5,0)))*(1-IF(AND(ArtifactsInput!$M$27,Inputs!$B$4="Chapter Hunt"),CHOOSE(ArtifactsInput!$N$27+1,20,24,28,32,36,40),0)/100)))))/Skills!H5+0.000000001),1)))/Inputs!$B$43),G2942*Q2942))*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Hunt"),CHOOSE(ArtifactsInput!$N$35+1,15,18,21,24,27,30)*(1-EXP(-(0.2*B2970)*5)),0)+IF(AND(ArtifactsInput!$M$22,Inputs!$B$4&lt;&gt;"Chapter Hunt"),CHOOSE(ArtifactsInput!$N$22+1,10,12,14,16,18,20)*((0*(((0.15*B2970*5))^0/1)+1*(((0.15*B2970*5))^1/1)+2*(((0.15*B2970*5))^2/2)+3*(((0.15*B2970*5))^3/6)+4*(((0.15*B2970*5))^4/24)+5*(((0.15*B2970*5))^5/120))/((((0.15*B2970*5))^0/1)+(((0.15*B2970*5))^1/1)+(((0.15*B2970*5))^2/2)+(((0.15*B2970*5))^3/6)+(((0.15*B2970*5))^4/24)+(((0.15*B2970*5))^5/120))),0))+IF(Inputs!$B$3&gt;=54,9*(C2940=TRUE)*MIN(1,8*(1+Inputs!$B$34/100)*Q2940)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2942*(1-MIN(100,(Inputs!$B$9+((C2956=TRUE)*(F2956-Calc!F19))+B2968+(ArtifactsInput!$M$24-ArtifactsInput!$M$24)*CHOOSE(ArtifactsInput!$N$24+1,10,12,14,16,18,20)+(IF(AND(Inputs!$B$38&lt;&gt;"pvp",Inputs!$B$43=0),1,IF(IF(Inputs!$B$38="pvp",15,Inputs!$B$43)-(B2975)&lt;=0,1,MAX(0,IF(Inputs!$B$38="pvp",15,Inputs!$B$43)-MAX(5,B2975))/(IF(Inputs!$B$38="pvp",15,Inputs!$B$43)-(B2975))))*IF(AND(ArtifactsInput!$M$42,((Inputs!$B$9+((C2956=TRUE)*(F2956-Calc!F19))+B2968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2942*(MIN(100,(Inputs!$B$9+((C2956=TRUE)*(F2956-Calc!F19))+B2968+(ArtifactsInput!$M$24-ArtifactsInput!$M$24)*CHOOSE(ArtifactsInput!$N$24+1,10,12,14,16,18,20)+(IF(AND(Inputs!$B$38&lt;&gt;"pvp",Inputs!$B$43=0),1,IF(IF(Inputs!$B$38="pvp",15,Inputs!$B$43)-(B2975)&lt;=0,1,MAX(0,IF(Inputs!$B$38="pvp",15,Inputs!$B$43)-MAX(5,B2975))/(IF(Inputs!$B$38="pvp",15,Inputs!$B$43)-(B2975))))*IF(AND(ArtifactsInput!$M$42,((Inputs!$B$9+((C2956=TRUE)*(F2956-Calc!F19))+B2968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2942*(1-MIN(100,(Inputs!$B$9+((C2956=TRUE)*(F2956-Calc!F19))+B2968+(ArtifactsInput!$M$24-ArtifactsInput!$M$24)*CHOOSE(ArtifactsInput!$N$24+1,10,12,14,16,18,20)+(IF(AND(Inputs!$B$38&lt;&gt;"pvp",Inputs!$B$43=0),1,IF(IF(Inputs!$B$38="pvp",15,Inputs!$B$43)-(B2975)&lt;=0,1,MAX(0,IF(Inputs!$B$38="pvp",15,Inputs!$B$43)-MAX(5,B2975))/(IF(Inputs!$B$38="pvp",15,Inputs!$B$43)-(B2975))))*IF(AND(ArtifactsInput!$M$42,((Inputs!$B$9+((C2956=TRUE)*(F2956-Calc!F19))+B2968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2942*(MIN(100,(Inputs!$B$9+((C2956=TRUE)*(F2956-Calc!F19))+B2968+(ArtifactsInput!$M$24-ArtifactsInput!$M$24)*CHOOSE(ArtifactsInput!$N$24+1,10,12,14,16,18,20)+(IF(AND(Inputs!$B$38&lt;&gt;"pvp",Inputs!$B$43=0),1,IF(IF(Inputs!$B$38="pvp",15,Inputs!$B$43)-(B2975)&lt;=0,1,MAX(0,IF(Inputs!$B$38="pvp",15,Inputs!$B$43)-MAX(5,B2975))/(IF(Inputs!$B$38="pvp",15,Inputs!$B$43)-(B2975))))*IF(AND(ArtifactsInput!$M$42,((Inputs!$B$9+((C2956=TRUE)*(F2956-Calc!F19))+B2968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942">
        <f>IF(C2942,(H2942*N2942*IF(AND(Inputs!$B$38&lt;&gt;"pvp",Inputs!$B$43&gt;0),((Skills!G5*((R2942-1)*IF(Skills!H5&gt;0,INT(IF(Inputs!$B$3&gt;=104,MIN(35,20*(1+Inputs!$B$34/100)),20)/Skills!H5+0.000000001),1)+IF(Skills!H5&gt;0,INT(MIN(IF(Inputs!$B$3&gt;=104,MIN(35,20*(1+Inputs!$B$34/100)),20),MAX(0,MAX(0,Inputs!$B$43-B2975)-((R2942-1)*(IF(Inputs!$B$38="pvp",15,MAX(0.1,Skills!D5-IF(TRUE=TRUE,0.5,0)))*(1-IF(AND(ArtifactsInput!$M$27,Inputs!$B$4="Chapter Hunt"),CHOOSE(ArtifactsInput!$N$27+1,20,24,28,32,36,40),0)/100)))))/Skills!H5+0.000000001),1)))/Inputs!$B$43),G2942*Q2942))*IF(Inputs!$B$38="pvp",1,(1+(Inputs!$B$21+Skills!Q5+(IF(ArtifactsInput!$M$33,CHOOSE(ArtifactsInput!$N$33+1,30,36,42,48,54,60),0))+(IF(AND(ArtifactsInput!$M$35,Inputs!$B$4&lt;&gt;"Chapter Hunt"),CHOOSE(ArtifactsInput!$N$35+1,15,18,21,24,27,30)*(1-EXP(-(0.2*B2970)*5)),0)+IF(AND(ArtifactsInput!$M$22,Inputs!$B$4&lt;&gt;"Chapter Hunt"),CHOOSE(ArtifactsInput!$N$22+1,10,12,14,16,18,20)*((0*(((0.15*B2970*5))^0/1)+1*(((0.15*B2970*5))^1/1)+2*(((0.15*B2970*5))^2/2)+3*(((0.15*B2970*5))^3/6)+4*(((0.15*B2970*5))^4/24)+5*(((0.15*B2970*5))^5/120))/((((0.15*B2970*5))^0/1)+(((0.15*B2970*5))^1/1)+(((0.15*B2970*5))^2/2)+(((0.15*B2970*5))^3/6)+(((0.15*B2970*5))^4/24)+(((0.15*B2970*5))^5/120))),0))+IF(Inputs!$B$3&gt;=54,9*(C2940=TRUE)*MIN(1,8*(1+Inputs!$B$34/100)*Q2940)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43">
      <c r="A2943">
        <f>Skills!A6</f>
        <v/>
      </c>
      <c r="B2943">
        <f>Skills!B6</f>
        <v/>
      </c>
      <c r="C2943">
        <f>Inputs!$B$3&gt;=66</f>
        <v/>
      </c>
      <c r="D2943">
        <f>IF(Skills!C6=1,60+Inputs!$B$25+Inputs!$B$29,IF(Skills!C6=2,90+Inputs!$B$26+Inputs!$B$29,IF(Skills!C6=3,120+Inputs!$B$27+Inputs!$B$29,MAX(0,(Inputs!$B$3-100)*3)+Inputs!$B$28+Inputs!$B$29)))</f>
        <v/>
      </c>
      <c r="E2943">
        <f>INDEX(FactorTable!$B$2:$Y$301, MATCH(ROUND(MIN(300,MAX(1,D2943)),0), FactorTable!$A$2:$A$301,0), Skills!M6+1)</f>
        <v/>
      </c>
      <c r="F2943">
        <f>IF(Skills!N6=TRUE,(Skills!L6/10)*(E2943/1000),Skills!L6/10)+Skills!O6</f>
        <v/>
      </c>
      <c r="G2943">
        <f>Skills!G6*IF(Skills!H6&gt;0,INT(IF(Inputs!$B$38="pvp",MIN(Skills!I6,15),Skills!I6)/Skills!H6+0.000000001),1)</f>
        <v/>
      </c>
      <c r="H2943">
        <f>1-(1-Skills!J6/100)^Skills!K6</f>
        <v/>
      </c>
      <c r="I2943" t="inlineStr">
        <is>
          <t>1</t>
        </is>
      </c>
      <c r="J2943">
        <f>((Inputs!$B$6*(1+Inputs!$B$7/100))+(((Inputs!$B$12*(1+Inputs!$B$13/100))-(Inputs!$B$12*(1+Inputs!$B$13/100)))+0.25*(Inputs!$B$14-Inputs!$B$14))*(1+Inputs!$B$7/100))*(F2943/100)</f>
        <v/>
      </c>
      <c r="K2943">
        <f>J2943*(1+((Inputs!$B$12*(1+Inputs!$B$13/100))*0.01+Inputs!$B$14*0.0025)/100)*(1+Inputs!$B$15/100)*(1+Inputs!$B$16/100)*(5000/(6000+Inputs!$B$42*(1-(100*(1-(1-(Inputs!$B$19+0)/100)*(1-CHOOSE(ArtifactsInput!$N$40+1,5,6,7,8,9,10)/100)^(ArtifactsInput!$M$40-ArtifactsInput!$M$40)))/100)))*(1+(Inputs!$B$24+((C2963=TRUE)*(F2963-Calc!F26))+B2974)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+2.0*IF(C2952=TRUE,F2952,0)/100)*(1+(IF(Skills!A6="EIGHT_LEGS_EASTON",Inputs!$B$17+((C2960=TRUE)*(F2960-Calc!F23))+((C2964=TRUE)*(F2964-Calc!F27))+((IF(AND(Inputs!$B$38&lt;&gt;"pvp",Inputs!$B$43=0),1,IF(IF(Inputs!$B$38="pvp",15,Inputs!$B$43)-(B2975)&lt;=0,1,MAX(0,IF(Inputs!$B$38="pvp",15,Inputs!$B$43)-MAX(5,B2975))/(IF(Inputs!$B$38="pvp",15,Inputs!$B$43)-(B2975))))*(IF(AND(ArtifactsInput!$M$42,((Inputs!$B$9+((C2956=TRUE)*(F2956-Calc!F19))+B2968+(ArtifactsInput!$M$24-ArtifactsInput!$M$24)*CHOOSE(ArtifactsInput!$N$24+1,10,12,14,16,18,20)+IF(ArtifactsInput!$M$10,CHOOSE(ArtifactsInput!$N$10+1,15,18,21,24,27,30)*(IF(Inputs!$B$38="pvp",MIN(15,15)/15,IF(AND(Inputs!$B$38&lt;&gt;"pvp",Inputs!$B$43&gt;0),MIN(15,Inputs!$B$43)/(Inputs!$B$43),0))),0)))&gt;=100),MIN(100,((Inputs!$B$9+((C2956=TRUE)*(F2956-Calc!F19))+B2968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2975)&lt;=0,1,MAX(0,IF(Inputs!$B$38="pvp",15,Inputs!$B$43)-MAX(5,B2975))/(IF(Inputs!$B$38="pvp",15,Inputs!$B$43)-(B2975))))*IF(AND(ArtifactsInput!$M$42,((Inputs!$B$9+((C2956=TRUE)*(F2956-Calc!F19))+B2968+(ArtifactsInput!$M$24-ArtifactsInput!$M$24)*CHOOSE(ArtifactsInput!$N$24+1,10,12,14,16,18,20)+IF(ArtifactsInput!$M$10,CHOOSE(ArtifactsInput!$N$10+1,15,18,21,24,27,30)*(IF(Inputs!$B$38="pvp",MIN(15,15)/15,IF(AND(Inputs!$B$38&lt;&gt;"pvp",Inputs!$B$43&gt;0),MIN(15,Inputs!$B$43)/(Inputs!$B$43),0))),0)))&gt;=100),CHOOSE(ArtifactsInput!$N$42+1,40,48,56,64,72,80),0))))/100)*((1+(((C2954=TRUE)*F2954*5/7)+((C2961=TRUE)*(F2961-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2943)</f>
        <v/>
      </c>
      <c r="L2943">
        <f>K2943*(MIN(Inputs!$B$22+((C2959=TRUE)*(F2959-Calc!F22)),(Inputs!$B$23+0+(IF(ArtifactsInput!$M$15,CHOOSE(ArtifactsInput!$N$15+1,25,30,35,40,45,50)/100*(Inputs!$B$11-Inputs!$B$11),0))))/100+(Inputs!$B$23+0+(IF(ArtifactsInput!$M$15,CHOOSE(ArtifactsInput!$N$15+1,25,30,35,40,45,50)/100*(Inputs!$B$11-Inputs!$B$11),0)))/100)/2</f>
        <v/>
      </c>
      <c r="M2943">
        <f>L2943*(1+(Inputs!$B$10+((C2962=TRUE)*(F2962-Calc!F25))+B2973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43">
        <f>L2943*(1-MIN((Inputs!$B$9+((C2956=TRUE)*(F2956-Calc!F19))+B2968+(ArtifactsInput!$M$24-ArtifactsInput!$M$24)*CHOOSE(ArtifactsInput!$N$24+1,10,12,14,16,18,20)+(IF(AND(Inputs!$B$38&lt;&gt;"pvp",Inputs!$B$43=0),1,IF(IF(Inputs!$B$38="pvp",15,Inputs!$B$43)-(B2975)&lt;=0,1,MAX(0,IF(Inputs!$B$38="pvp",15,Inputs!$B$43)-MAX(5,B2975))/(IF(Inputs!$B$38="pvp",15,Inputs!$B$43)-(B2975))))*IF(AND(ArtifactsInput!$M$42,((Inputs!$B$9+((C2956=TRUE)*(F2956-Calc!F19))+B2968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2943*(MIN((Inputs!$B$9+((C2956=TRUE)*(F2956-Calc!F19))+B2968+(ArtifactsInput!$M$24-ArtifactsInput!$M$24)*CHOOSE(ArtifactsInput!$N$24+1,10,12,14,16,18,20)+(IF(AND(Inputs!$B$38&lt;&gt;"pvp",Inputs!$B$43=0),1,IF(IF(Inputs!$B$38="pvp",15,Inputs!$B$43)-(B2975)&lt;=0,1,MAX(0,IF(Inputs!$B$38="pvp",15,Inputs!$B$43)-MAX(5,B2975))/(IF(Inputs!$B$38="pvp",15,Inputs!$B$43)-(B2975))))*IF(AND(ArtifactsInput!$M$42,((Inputs!$B$9+((C2956=TRUE)*(F2956-Calc!F19))+B2968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43">
        <f>(1-Summary!$B$11)*T2943+Summary!$B$11*V2943</f>
        <v/>
      </c>
      <c r="P2943">
        <f>IF(B2978=0,0,O2943/B2978)</f>
        <v/>
      </c>
      <c r="Q2943">
        <f>IFERROR(1/(IF(Inputs!$B$38="pvp",15,MAX(0.1,Skills!D6-IF(TRUE=TRUE,0.5,0)))*(1-IF(AND(ArtifactsInput!$M$27,Inputs!$B$4="Chapter Hunt"),CHOOSE(ArtifactsInput!$N$27+1,20,24,28,32,36,40),0)/100)),0)</f>
        <v/>
      </c>
      <c r="R2943">
        <f>IF(AND(Inputs!$B$38&lt;&gt;"pvp",Inputs!$B$43&gt;0),IF(MAX(0,Inputs!$B$43-B2975)&lt;=0,0,(INT(MAX(0,Inputs!$B$43-B2975)/(IF(Inputs!$B$38="pvp",15,MAX(0.1,Skills!D6-IF(TRUE=TRUE,0.5,0)))*(1-IF(AND(ArtifactsInput!$M$27,Inputs!$B$4="Chapter Hunt"),CHOOSE(ArtifactsInput!$N$27+1,20,24,28,32,36,40),0)/100)))+1)),0)</f>
        <v/>
      </c>
      <c r="S2943">
        <f>IFERROR(O2943/N2943,0)</f>
        <v/>
      </c>
      <c r="T2943">
        <f>IF(C2943,(H2943*N2943*IF(AND(Inputs!$B$38&lt;&gt;"pvp",Inputs!$B$43&gt;0),((Skills!G6*((R2943-1)*IF(Skills!H6&gt;0,INT(Skills!I6/Skills!H6+0.000000001),1)+IF(Skills!H6&gt;0,INT(MIN(Skills!I6,MAX(0,MAX(0,Inputs!$B$43-B2975)-((R2943-1)*(IF(Inputs!$B$38="pvp",15,MAX(0.1,Skills!D6-IF(TRUE=TRUE,0.5,0)))*(1-IF(AND(ArtifactsInput!$M$27,Inputs!$B$4="Chapter Hunt"),CHOOSE(ArtifactsInput!$N$27+1,20,24,28,32,36,40),0)/100)))))/Skills!H6+0.000000001),1)))/Inputs!$B$43),G2943*Q2943))*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Hunt"),CHOOSE(ArtifactsInput!$N$35+1,15,18,21,24,27,30)*(1-EXP(-(0.2*B2970)*5)),0)+IF(AND(ArtifactsInput!$M$22,Inputs!$B$4&lt;&gt;"Chapter Hunt"),CHOOSE(ArtifactsInput!$N$22+1,10,12,14,16,18,20)*((0*(((0.15*B2970*5))^0/1)+1*(((0.15*B2970*5))^1/1)+2*(((0.15*B2970*5))^2/2)+3*(((0.15*B2970*5))^3/6)+4*(((0.15*B2970*5))^4/24)+5*(((0.15*B2970*5))^5/120))/((((0.15*B2970*5))^0/1)+(((0.15*B2970*5))^1/1)+(((0.15*B2970*5))^2/2)+(((0.15*B2970*5))^3/6)+(((0.15*B2970*5))^4/24)+(((0.15*B2970*5))^5/120))),0))+IF(Inputs!$B$3&gt;=54,9*(C2940=TRUE)*MIN(1,8*(1+Inputs!$B$34/100)*Q2940)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2943*(1-MIN(100,(Inputs!$B$9+((C2956=TRUE)*(F2956-Calc!F19))+B2968+(ArtifactsInput!$M$24-ArtifactsInput!$M$24)*CHOOSE(ArtifactsInput!$N$24+1,10,12,14,16,18,20)+(IF(AND(Inputs!$B$38&lt;&gt;"pvp",Inputs!$B$43=0),1,IF(IF(Inputs!$B$38="pvp",15,Inputs!$B$43)-(B2975)&lt;=0,1,MAX(0,IF(Inputs!$B$38="pvp",15,Inputs!$B$43)-MAX(5,B2975))/(IF(Inputs!$B$38="pvp",15,Inputs!$B$43)-(B2975))))*IF(AND(ArtifactsInput!$M$42,((Inputs!$B$9+((C2956=TRUE)*(F2956-Calc!F19))+B2968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2943*(MIN(100,(Inputs!$B$9+((C2956=TRUE)*(F2956-Calc!F19))+B2968+(ArtifactsInput!$M$24-ArtifactsInput!$M$24)*CHOOSE(ArtifactsInput!$N$24+1,10,12,14,16,18,20)+(IF(AND(Inputs!$B$38&lt;&gt;"pvp",Inputs!$B$43=0),1,IF(IF(Inputs!$B$38="pvp",15,Inputs!$B$43)-(B2975)&lt;=0,1,MAX(0,IF(Inputs!$B$38="pvp",15,Inputs!$B$43)-MAX(5,B2975))/(IF(Inputs!$B$38="pvp",15,Inputs!$B$43)-(B2975))))*IF(AND(ArtifactsInput!$M$42,((Inputs!$B$9+((C2956=TRUE)*(F2956-Calc!F19))+B2968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2943*(1-MIN(100,(Inputs!$B$9+((C2956=TRUE)*(F2956-Calc!F19))+B2968+(ArtifactsInput!$M$24-ArtifactsInput!$M$24)*CHOOSE(ArtifactsInput!$N$24+1,10,12,14,16,18,20)+(IF(AND(Inputs!$B$38&lt;&gt;"pvp",Inputs!$B$43=0),1,IF(IF(Inputs!$B$38="pvp",15,Inputs!$B$43)-(B2975)&lt;=0,1,MAX(0,IF(Inputs!$B$38="pvp",15,Inputs!$B$43)-MAX(5,B2975))/(IF(Inputs!$B$38="pvp",15,Inputs!$B$43)-(B2975))))*IF(AND(ArtifactsInput!$M$42,((Inputs!$B$9+((C2956=TRUE)*(F2956-Calc!F19))+B2968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2943*(MIN(100,(Inputs!$B$9+((C2956=TRUE)*(F2956-Calc!F19))+B2968+(ArtifactsInput!$M$24-ArtifactsInput!$M$24)*CHOOSE(ArtifactsInput!$N$24+1,10,12,14,16,18,20)+(IF(AND(Inputs!$B$38&lt;&gt;"pvp",Inputs!$B$43=0),1,IF(IF(Inputs!$B$38="pvp",15,Inputs!$B$43)-(B2975)&lt;=0,1,MAX(0,IF(Inputs!$B$38="pvp",15,Inputs!$B$43)-MAX(5,B2975))/(IF(Inputs!$B$38="pvp",15,Inputs!$B$43)-(B2975))))*IF(AND(ArtifactsInput!$M$42,((Inputs!$B$9+((C2956=TRUE)*(F2956-Calc!F19))+B2968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943">
        <f>IF(C2943,(H2943*N2943*IF(AND(Inputs!$B$38&lt;&gt;"pvp",Inputs!$B$43&gt;0),((Skills!G6*((R2943-1)*IF(Skills!H6&gt;0,INT(Skills!I6/Skills!H6+0.000000001),1)+IF(Skills!H6&gt;0,INT(MIN(Skills!I6,MAX(0,MAX(0,Inputs!$B$43-B2975)-((R2943-1)*(IF(Inputs!$B$38="pvp",15,MAX(0.1,Skills!D6-IF(TRUE=TRUE,0.5,0)))*(1-IF(AND(ArtifactsInput!$M$27,Inputs!$B$4="Chapter Hunt"),CHOOSE(ArtifactsInput!$N$27+1,20,24,28,32,36,40),0)/100)))))/Skills!H6+0.000000001),1)))/Inputs!$B$43),G2943*Q2943))*IF(Inputs!$B$38="pvp",1,(1+(Inputs!$B$21+Skills!Q6+(IF(ArtifactsInput!$M$33,CHOOSE(ArtifactsInput!$N$33+1,30,36,42,48,54,60),0))+(IF(AND(ArtifactsInput!$M$35,Inputs!$B$4&lt;&gt;"Chapter Hunt"),CHOOSE(ArtifactsInput!$N$35+1,15,18,21,24,27,30)*(1-EXP(-(0.2*B2970)*5)),0)+IF(AND(ArtifactsInput!$M$22,Inputs!$B$4&lt;&gt;"Chapter Hunt"),CHOOSE(ArtifactsInput!$N$22+1,10,12,14,16,18,20)*((0*(((0.15*B2970*5))^0/1)+1*(((0.15*B2970*5))^1/1)+2*(((0.15*B2970*5))^2/2)+3*(((0.15*B2970*5))^3/6)+4*(((0.15*B2970*5))^4/24)+5*(((0.15*B2970*5))^5/120))/((((0.15*B2970*5))^0/1)+(((0.15*B2970*5))^1/1)+(((0.15*B2970*5))^2/2)+(((0.15*B2970*5))^3/6)+(((0.15*B2970*5))^4/24)+(((0.15*B2970*5))^5/120))),0))+IF(Inputs!$B$3&gt;=54,9*(C2940=TRUE)*MIN(1,8*(1+Inputs!$B$34/100)*Q2940)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44">
      <c r="A2944">
        <f>Skills!A7</f>
        <v/>
      </c>
      <c r="B2944">
        <f>Skills!B7</f>
        <v/>
      </c>
      <c r="C2944">
        <f>Inputs!$B$3&gt;=63</f>
        <v/>
      </c>
      <c r="D2944">
        <f>IF(Skills!C7=1,60+Inputs!$B$25+Inputs!$B$29,IF(Skills!C7=2,90+Inputs!$B$26+Inputs!$B$29,IF(Skills!C7=3,120+Inputs!$B$27+Inputs!$B$29,MAX(0,(Inputs!$B$3-100)*3)+Inputs!$B$28+Inputs!$B$29)))</f>
        <v/>
      </c>
      <c r="E2944">
        <f>INDEX(FactorTable!$B$2:$Y$301, MATCH(ROUND(MIN(300,MAX(1,D2944)),0), FactorTable!$A$2:$A$301,0), Skills!M7+1)</f>
        <v/>
      </c>
      <c r="F2944">
        <f>IF(Skills!N7=TRUE,(Skills!L7/10)*(E2944/1000),Skills!L7/10)+Skills!O7</f>
        <v/>
      </c>
      <c r="G2944">
        <f>Skills!G7*IF(Skills!H7&gt;0,INT(IF(Inputs!$B$38="pvp",MIN(Skills!I7,15),Skills!I7)/Skills!H7+0.000000001),1)</f>
        <v/>
      </c>
      <c r="H2944">
        <f>1-(1-Skills!J7/100)^Skills!K7</f>
        <v/>
      </c>
      <c r="I2944" t="inlineStr">
        <is>
          <t>1</t>
        </is>
      </c>
      <c r="J2944">
        <f>((Inputs!$B$6*(1+Inputs!$B$7/100))+(((Inputs!$B$12*(1+Inputs!$B$13/100))-(Inputs!$B$12*(1+Inputs!$B$13/100)))+0.25*(Inputs!$B$14-Inputs!$B$14))*(1+Inputs!$B$7/100))*(F2944/100)</f>
        <v/>
      </c>
      <c r="K2944">
        <f>J2944*(1+((Inputs!$B$12*(1+Inputs!$B$13/100))*0.01+Inputs!$B$14*0.0025)/100)*(1+Inputs!$B$15/100)*(1+Inputs!$B$16/100)*(5000/(6000+Inputs!$B$42*(1-(100*(1-(1-(Inputs!$B$19+0)/100)*(1-CHOOSE(ArtifactsInput!$N$40+1,5,6,7,8,9,10)/100)^(ArtifactsInput!$M$40-ArtifactsInput!$M$40)))/100)))*(1+(Inputs!$B$24+((C2963=TRUE)*(F2963-Calc!F26))+B2974)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2952=TRUE,F2952,0)/100)*(1+(IF(Skills!A7="EIGHT_LEGS_EASTON",Inputs!$B$17+((C2960=TRUE)*(F2960-Calc!F23))+((C2964=TRUE)*(F2964-Calc!F27))+((IF(AND(Inputs!$B$38&lt;&gt;"pvp",Inputs!$B$43=0),1,IF(IF(Inputs!$B$38="pvp",15,Inputs!$B$43)-(B2975)&lt;=0,1,MAX(0,IF(Inputs!$B$38="pvp",15,Inputs!$B$43)-MAX(5,B2975))/(IF(Inputs!$B$38="pvp",15,Inputs!$B$43)-(B2975))))*(IF(AND(ArtifactsInput!$M$42,((Inputs!$B$9+((C2956=TRUE)*(F2956-Calc!F19))+B2968+(ArtifactsInput!$M$24-ArtifactsInput!$M$24)*CHOOSE(ArtifactsInput!$N$24+1,10,12,14,16,18,20)+IF(ArtifactsInput!$M$10,CHOOSE(ArtifactsInput!$N$10+1,15,18,21,24,27,30)*(IF(Inputs!$B$38="pvp",MIN(15,15)/15,IF(AND(Inputs!$B$38&lt;&gt;"pvp",Inputs!$B$43&gt;0),MIN(15,Inputs!$B$43)/(Inputs!$B$43),0))),0)))&gt;=100),MIN(100,((Inputs!$B$9+((C2956=TRUE)*(F2956-Calc!F19))+B2968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2975)&lt;=0,1,MAX(0,IF(Inputs!$B$38="pvp",15,Inputs!$B$43)-MAX(5,B2975))/(IF(Inputs!$B$38="pvp",15,Inputs!$B$43)-(B2975))))*IF(AND(ArtifactsInput!$M$42,((Inputs!$B$9+((C2956=TRUE)*(F2956-Calc!F19))+B2968+(ArtifactsInput!$M$24-ArtifactsInput!$M$24)*CHOOSE(ArtifactsInput!$N$24+1,10,12,14,16,18,20)+IF(ArtifactsInput!$M$10,CHOOSE(ArtifactsInput!$N$10+1,15,18,21,24,27,30)*(IF(Inputs!$B$38="pvp",MIN(15,15)/15,IF(AND(Inputs!$B$38&lt;&gt;"pvp",Inputs!$B$43&gt;0),MIN(15,Inputs!$B$43)/(Inputs!$B$43),0))),0)))&gt;=100),CHOOSE(ArtifactsInput!$N$42+1,40,48,56,64,72,80),0))))/100)*((1+(((C2954=TRUE)*F2954*5/7)+((C2961=TRUE)*(F2961-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2944)</f>
        <v/>
      </c>
      <c r="L2944">
        <f>K2944*(MIN(Inputs!$B$22+((C2959=TRUE)*(F2959-Calc!F22)),(Inputs!$B$23+0+(IF(ArtifactsInput!$M$15,CHOOSE(ArtifactsInput!$N$15+1,25,30,35,40,45,50)/100*(Inputs!$B$11-Inputs!$B$11),0))))/100+(Inputs!$B$23+0+(IF(ArtifactsInput!$M$15,CHOOSE(ArtifactsInput!$N$15+1,25,30,35,40,45,50)/100*(Inputs!$B$11-Inputs!$B$11),0)))/100)/2</f>
        <v/>
      </c>
      <c r="M2944">
        <f>L2944*(1+(Inputs!$B$10+((C2962=TRUE)*(F2962-Calc!F25))+B2973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44">
        <f>L2944*(1-MIN((Inputs!$B$9+((C2956=TRUE)*(F2956-Calc!F19))+B2968+(ArtifactsInput!$M$24-ArtifactsInput!$M$24)*CHOOSE(ArtifactsInput!$N$24+1,10,12,14,16,18,20)+(IF(AND(Inputs!$B$38&lt;&gt;"pvp",Inputs!$B$43=0),1,IF(IF(Inputs!$B$38="pvp",15,Inputs!$B$43)-(B2975)&lt;=0,1,MAX(0,IF(Inputs!$B$38="pvp",15,Inputs!$B$43)-MAX(5,B2975))/(IF(Inputs!$B$38="pvp",15,Inputs!$B$43)-(B2975))))*IF(AND(ArtifactsInput!$M$42,((Inputs!$B$9+((C2956=TRUE)*(F2956-Calc!F19))+B2968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2944*(MIN((Inputs!$B$9+((C2956=TRUE)*(F2956-Calc!F19))+B2968+(ArtifactsInput!$M$24-ArtifactsInput!$M$24)*CHOOSE(ArtifactsInput!$N$24+1,10,12,14,16,18,20)+(IF(AND(Inputs!$B$38&lt;&gt;"pvp",Inputs!$B$43=0),1,IF(IF(Inputs!$B$38="pvp",15,Inputs!$B$43)-(B2975)&lt;=0,1,MAX(0,IF(Inputs!$B$38="pvp",15,Inputs!$B$43)-MAX(5,B2975))/(IF(Inputs!$B$38="pvp",15,Inputs!$B$43)-(B2975))))*IF(AND(ArtifactsInput!$M$42,((Inputs!$B$9+((C2956=TRUE)*(F2956-Calc!F19))+B2968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44">
        <f>(1-Summary!$B$11)*T2944+Summary!$B$11*V2944</f>
        <v/>
      </c>
      <c r="P2944">
        <f>IF(B2978=0,0,O2944/B2978)</f>
        <v/>
      </c>
      <c r="Q2944">
        <f>IFERROR(1/(IF(Inputs!$B$38="pvp",15,MAX(0.1,Skills!D7-IF(TRUE=TRUE,0.5,0)))*(1-IF(AND(ArtifactsInput!$M$27,Inputs!$B$4="Chapter Hunt"),CHOOSE(ArtifactsInput!$N$27+1,20,24,28,32,36,40),0)/100)),0)</f>
        <v/>
      </c>
      <c r="R2944">
        <f>IF(AND(Inputs!$B$38&lt;&gt;"pvp",Inputs!$B$43&gt;0),IF(MAX(0,Inputs!$B$43-B2975)&lt;=0,0,(INT(MAX(0,Inputs!$B$43-B2975)/(IF(Inputs!$B$38="pvp",15,MAX(0.1,Skills!D7-IF(TRUE=TRUE,0.5,0)))*(1-IF(AND(ArtifactsInput!$M$27,Inputs!$B$4="Chapter Hunt"),CHOOSE(ArtifactsInput!$N$27+1,20,24,28,32,36,40),0)/100)))+1)),0)</f>
        <v/>
      </c>
      <c r="S2944">
        <f>IFERROR(O2944/N2944,0)</f>
        <v/>
      </c>
      <c r="T2944">
        <f>IF(C2944,(H2944*N2944*IF(AND(Inputs!$B$38&lt;&gt;"pvp",Inputs!$B$43&gt;0),((Skills!G7*((R2944-1)*IF(Skills!H7&gt;0,INT(Skills!I7/Skills!H7+0.000000001),1)+IF(Skills!H7&gt;0,INT(MIN(Skills!I7,MAX(0,MAX(0,Inputs!$B$43-B2975)-((R2944-1)*(IF(Inputs!$B$38="pvp",15,MAX(0.1,Skills!D7-IF(TRUE=TRUE,0.5,0)))*(1-IF(AND(ArtifactsInput!$M$27,Inputs!$B$4="Chapter Hunt"),CHOOSE(ArtifactsInput!$N$27+1,20,24,28,32,36,40),0)/100)))))/Skills!H7+0.000000001),1)))/Inputs!$B$43),G2944*Q2944))*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Hunt"),CHOOSE(ArtifactsInput!$N$35+1,15,18,21,24,27,30)*(1-EXP(-(0.2*B2970)*5)),0)+IF(AND(ArtifactsInput!$M$22,Inputs!$B$4&lt;&gt;"Chapter Hunt"),CHOOSE(ArtifactsInput!$N$22+1,10,12,14,16,18,20)*((0*(((0.15*B2970*5))^0/1)+1*(((0.15*B2970*5))^1/1)+2*(((0.15*B2970*5))^2/2)+3*(((0.15*B2970*5))^3/6)+4*(((0.15*B2970*5))^4/24)+5*(((0.15*B2970*5))^5/120))/((((0.15*B2970*5))^0/1)+(((0.15*B2970*5))^1/1)+(((0.15*B2970*5))^2/2)+(((0.15*B2970*5))^3/6)+(((0.15*B2970*5))^4/24)+(((0.15*B2970*5))^5/120))),0))+IF(Inputs!$B$3&gt;=54,9*(C2940=TRUE)*MIN(1,8*(1+Inputs!$B$34/100)*Q2940)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2944*(1-MIN(100,(Inputs!$B$9+((C2956=TRUE)*(F2956-Calc!F19))+B2968+(ArtifactsInput!$M$24-ArtifactsInput!$M$24)*CHOOSE(ArtifactsInput!$N$24+1,10,12,14,16,18,20)+(IF(AND(Inputs!$B$38&lt;&gt;"pvp",Inputs!$B$43=0),1,IF(IF(Inputs!$B$38="pvp",15,Inputs!$B$43)-(B2975)&lt;=0,1,MAX(0,IF(Inputs!$B$38="pvp",15,Inputs!$B$43)-MAX(5,B2975))/(IF(Inputs!$B$38="pvp",15,Inputs!$B$43)-(B2975))))*IF(AND(ArtifactsInput!$M$42,((Inputs!$B$9+((C2956=TRUE)*(F2956-Calc!F19))+B2968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2944*(MIN(100,(Inputs!$B$9+((C2956=TRUE)*(F2956-Calc!F19))+B2968+(ArtifactsInput!$M$24-ArtifactsInput!$M$24)*CHOOSE(ArtifactsInput!$N$24+1,10,12,14,16,18,20)+(IF(AND(Inputs!$B$38&lt;&gt;"pvp",Inputs!$B$43=0),1,IF(IF(Inputs!$B$38="pvp",15,Inputs!$B$43)-(B2975)&lt;=0,1,MAX(0,IF(Inputs!$B$38="pvp",15,Inputs!$B$43)-MAX(5,B2975))/(IF(Inputs!$B$38="pvp",15,Inputs!$B$43)-(B2975))))*IF(AND(ArtifactsInput!$M$42,((Inputs!$B$9+((C2956=TRUE)*(F2956-Calc!F19))+B2968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2944*(1-MIN(100,(Inputs!$B$9+((C2956=TRUE)*(F2956-Calc!F19))+B2968+(ArtifactsInput!$M$24-ArtifactsInput!$M$24)*CHOOSE(ArtifactsInput!$N$24+1,10,12,14,16,18,20)+(IF(AND(Inputs!$B$38&lt;&gt;"pvp",Inputs!$B$43=0),1,IF(IF(Inputs!$B$38="pvp",15,Inputs!$B$43)-(B2975)&lt;=0,1,MAX(0,IF(Inputs!$B$38="pvp",15,Inputs!$B$43)-MAX(5,B2975))/(IF(Inputs!$B$38="pvp",15,Inputs!$B$43)-(B2975))))*IF(AND(ArtifactsInput!$M$42,((Inputs!$B$9+((C2956=TRUE)*(F2956-Calc!F19))+B2968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2944*(MIN(100,(Inputs!$B$9+((C2956=TRUE)*(F2956-Calc!F19))+B2968+(ArtifactsInput!$M$24-ArtifactsInput!$M$24)*CHOOSE(ArtifactsInput!$N$24+1,10,12,14,16,18,20)+(IF(AND(Inputs!$B$38&lt;&gt;"pvp",Inputs!$B$43=0),1,IF(IF(Inputs!$B$38="pvp",15,Inputs!$B$43)-(B2975)&lt;=0,1,MAX(0,IF(Inputs!$B$38="pvp",15,Inputs!$B$43)-MAX(5,B2975))/(IF(Inputs!$B$38="pvp",15,Inputs!$B$43)-(B2975))))*IF(AND(ArtifactsInput!$M$42,((Inputs!$B$9+((C2956=TRUE)*(F2956-Calc!F19))+B2968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944">
        <f>IF(C2944,(H2944*N2944*IF(AND(Inputs!$B$38&lt;&gt;"pvp",Inputs!$B$43&gt;0),((Skills!G7*((R2944-1)*IF(Skills!H7&gt;0,INT(Skills!I7/Skills!H7+0.000000001),1)+IF(Skills!H7&gt;0,INT(MIN(Skills!I7,MAX(0,MAX(0,Inputs!$B$43-B2975)-((R2944-1)*(IF(Inputs!$B$38="pvp",15,MAX(0.1,Skills!D7-IF(TRUE=TRUE,0.5,0)))*(1-IF(AND(ArtifactsInput!$M$27,Inputs!$B$4="Chapter Hunt"),CHOOSE(ArtifactsInput!$N$27+1,20,24,28,32,36,40),0)/100)))))/Skills!H7+0.000000001),1)))/Inputs!$B$43),G2944*Q2944))*IF(Inputs!$B$38="pvp",1,(1+(Inputs!$B$21+Skills!Q7+(IF(ArtifactsInput!$M$33,CHOOSE(ArtifactsInput!$N$33+1,30,36,42,48,54,60),0))+(IF(AND(ArtifactsInput!$M$35,Inputs!$B$4&lt;&gt;"Chapter Hunt"),CHOOSE(ArtifactsInput!$N$35+1,15,18,21,24,27,30)*(1-EXP(-(0.2*B2970)*5)),0)+IF(AND(ArtifactsInput!$M$22,Inputs!$B$4&lt;&gt;"Chapter Hunt"),CHOOSE(ArtifactsInput!$N$22+1,10,12,14,16,18,20)*((0*(((0.15*B2970*5))^0/1)+1*(((0.15*B2970*5))^1/1)+2*(((0.15*B2970*5))^2/2)+3*(((0.15*B2970*5))^3/6)+4*(((0.15*B2970*5))^4/24)+5*(((0.15*B2970*5))^5/120))/((((0.15*B2970*5))^0/1)+(((0.15*B2970*5))^1/1)+(((0.15*B2970*5))^2/2)+(((0.15*B2970*5))^3/6)+(((0.15*B2970*5))^4/24)+(((0.15*B2970*5))^5/120))),0))+IF(Inputs!$B$3&gt;=54,9*(C2940=TRUE)*MIN(1,8*(1+Inputs!$B$34/100)*Q2940)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45">
      <c r="A2945">
        <f>Skills!A8</f>
        <v/>
      </c>
      <c r="B2945">
        <f>Skills!B8</f>
        <v/>
      </c>
      <c r="C2945">
        <f>Inputs!$B$3&gt;=103</f>
        <v/>
      </c>
      <c r="D2945">
        <f>IF(Skills!C8=1,60+Inputs!$B$25+Inputs!$B$29,IF(Skills!C8=2,90+Inputs!$B$26+Inputs!$B$29,IF(Skills!C8=3,120+Inputs!$B$27+Inputs!$B$29,MAX(0,(Inputs!$B$3-100)*3)+Inputs!$B$28+Inputs!$B$29)))</f>
        <v/>
      </c>
      <c r="E2945">
        <f>INDEX(FactorTable!$B$2:$Y$301, MATCH(ROUND(MIN(300,MAX(1,D2945)),0), FactorTable!$A$2:$A$301,0), Skills!M8+1)</f>
        <v/>
      </c>
      <c r="F2945">
        <f>IF(Skills!N8=TRUE,(Skills!L8/10)*(E2945/1000),Skills!L8/10)+Skills!O8</f>
        <v/>
      </c>
      <c r="G2945">
        <f>Skills!G8*IF(Skills!H8&gt;0,INT(IF(Inputs!$B$38="pvp",MIN(Skills!I8,15),Skills!I8)/Skills!H8+0.000000001),1)</f>
        <v/>
      </c>
      <c r="H2945">
        <f>1-(1-Skills!J8/100)^Skills!K8</f>
        <v/>
      </c>
      <c r="I2945" t="inlineStr">
        <is>
          <t>1</t>
        </is>
      </c>
      <c r="J2945">
        <f>((Inputs!$B$6*(1+Inputs!$B$7/100))+(((Inputs!$B$12*(1+Inputs!$B$13/100))-(Inputs!$B$12*(1+Inputs!$B$13/100)))+0.25*(Inputs!$B$14-Inputs!$B$14))*(1+Inputs!$B$7/100))*(F2945/100)</f>
        <v/>
      </c>
      <c r="K2945">
        <f>J2945*(1+((Inputs!$B$12*(1+Inputs!$B$13/100))*0.01+Inputs!$B$14*0.0025)/100)*(1+Inputs!$B$15/100)*(1+Inputs!$B$16/100)*(5000/(6000+Inputs!$B$42*(1-(100*(1-(1-(Inputs!$B$19+0)/100)*(1-CHOOSE(ArtifactsInput!$N$40+1,5,6,7,8,9,10)/100)^(ArtifactsInput!$M$40-ArtifactsInput!$M$40)))/100)))*(1+(Inputs!$B$24+((C2963=TRUE)*(F2963-Calc!F26))+B2974)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IGHT_LEGS_EASTON",Inputs!$B$17+((C2960=TRUE)*(F2960-Calc!F23))+((C2964=TRUE)*(F2964-Calc!F27))+((IF(AND(Inputs!$B$38&lt;&gt;"pvp",Inputs!$B$43=0),1,IF(IF(Inputs!$B$38="pvp",15,Inputs!$B$43)-(B2975)&lt;=0,1,MAX(0,IF(Inputs!$B$38="pvp",15,Inputs!$B$43)-MAX(5,B2975))/(IF(Inputs!$B$38="pvp",15,Inputs!$B$43)-(B2975))))*(IF(AND(ArtifactsInput!$M$42,((Inputs!$B$9+((C2956=TRUE)*(F2956-Calc!F19))+B2968+(ArtifactsInput!$M$24-ArtifactsInput!$M$24)*CHOOSE(ArtifactsInput!$N$24+1,10,12,14,16,18,20)+IF(ArtifactsInput!$M$10,CHOOSE(ArtifactsInput!$N$10+1,15,18,21,24,27,30)*(IF(Inputs!$B$38="pvp",MIN(15,15)/15,IF(AND(Inputs!$B$38&lt;&gt;"pvp",Inputs!$B$43&gt;0),MIN(15,Inputs!$B$43)/(Inputs!$B$43),0))),0)))&gt;=100),MIN(100,((Inputs!$B$9+((C2956=TRUE)*(F2956-Calc!F19))+B2968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2975)&lt;=0,1,MAX(0,IF(Inputs!$B$38="pvp",15,Inputs!$B$43)-MAX(5,B2975))/(IF(Inputs!$B$38="pvp",15,Inputs!$B$43)-(B2975))))*IF(AND(ArtifactsInput!$M$42,((Inputs!$B$9+((C2956=TRUE)*(F2956-Calc!F19))+B2968+(ArtifactsInput!$M$24-ArtifactsInput!$M$24)*CHOOSE(ArtifactsInput!$N$24+1,10,12,14,16,18,20)+IF(ArtifactsInput!$M$10,CHOOSE(ArtifactsInput!$N$10+1,15,18,21,24,27,30)*(IF(Inputs!$B$38="pvp",MIN(15,15)/15,IF(AND(Inputs!$B$38&lt;&gt;"pvp",Inputs!$B$43&gt;0),MIN(15,Inputs!$B$43)/(Inputs!$B$43),0))),0)))&gt;=100),CHOOSE(ArtifactsInput!$N$42+1,40,48,56,64,72,80),0))))/100)*((1+(((C2954=TRUE)*F2954*5/7)+((C2961=TRUE)*(F2961-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2945)</f>
        <v/>
      </c>
      <c r="L2945">
        <f>K2945*(MIN(Inputs!$B$22+((C2959=TRUE)*(F2959-Calc!F22)),(Inputs!$B$23+0+(IF(ArtifactsInput!$M$15,CHOOSE(ArtifactsInput!$N$15+1,25,30,35,40,45,50)/100*(Inputs!$B$11-Inputs!$B$11),0))))/100+(Inputs!$B$23+0+(IF(ArtifactsInput!$M$15,CHOOSE(ArtifactsInput!$N$15+1,25,30,35,40,45,50)/100*(Inputs!$B$11-Inputs!$B$11),0)))/100)/2</f>
        <v/>
      </c>
      <c r="M2945">
        <f>L2945*(1+(Inputs!$B$10+((C2962=TRUE)*(F2962-Calc!F25))+B2973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45">
        <f>L2945*(1-MIN((Inputs!$B$9+((C2956=TRUE)*(F2956-Calc!F19))+B2968+(ArtifactsInput!$M$24-ArtifactsInput!$M$24)*CHOOSE(ArtifactsInput!$N$24+1,10,12,14,16,18,20)+(IF(AND(Inputs!$B$38&lt;&gt;"pvp",Inputs!$B$43=0),1,IF(IF(Inputs!$B$38="pvp",15,Inputs!$B$43)-(B2975)&lt;=0,1,MAX(0,IF(Inputs!$B$38="pvp",15,Inputs!$B$43)-MAX(5,B2975))/(IF(Inputs!$B$38="pvp",15,Inputs!$B$43)-(B2975))))*IF(AND(ArtifactsInput!$M$42,((Inputs!$B$9+((C2956=TRUE)*(F2956-Calc!F19))+B2968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2945*(MIN((Inputs!$B$9+((C2956=TRUE)*(F2956-Calc!F19))+B2968+(ArtifactsInput!$M$24-ArtifactsInput!$M$24)*CHOOSE(ArtifactsInput!$N$24+1,10,12,14,16,18,20)+(IF(AND(Inputs!$B$38&lt;&gt;"pvp",Inputs!$B$43=0),1,IF(IF(Inputs!$B$38="pvp",15,Inputs!$B$43)-(B2975)&lt;=0,1,MAX(0,IF(Inputs!$B$38="pvp",15,Inputs!$B$43)-MAX(5,B2975))/(IF(Inputs!$B$38="pvp",15,Inputs!$B$43)-(B2975))))*IF(AND(ArtifactsInput!$M$42,((Inputs!$B$9+((C2956=TRUE)*(F2956-Calc!F19))+B2968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45">
        <f>(1-Summary!$B$11)*T2945+Summary!$B$11*V2945</f>
        <v/>
      </c>
      <c r="P2945">
        <f>IF(B2978=0,0,O2945/B2978)</f>
        <v/>
      </c>
      <c r="Q2945">
        <f>IFERROR(1/((IF(Inputs!$B$38="pvp",15,MAX(0.1,Skills!D8-IF(TRUE=TRUE,0.5,0)))*(1-IF(AND(ArtifactsInput!$M$27,Inputs!$B$4="Chapter Hunt"),CHOOSE(ArtifactsInput!$N$27+1,20,24,28,32,36,40),0)/100))/B2979),0)</f>
        <v/>
      </c>
      <c r="R2945">
        <f>IF(AND(Inputs!$B$38&lt;&gt;"pvp",Inputs!$B$43&gt;0),IF(MAX(0,Inputs!$B$43-B2975)&lt;=0,0,(INT(MAX(0,Inputs!$B$43-B2975)/((IF(Inputs!$B$38="pvp",15,MAX(0.1,Skills!D8-IF(TRUE=TRUE,0.5,0)))*(1-IF(AND(ArtifactsInput!$M$27,Inputs!$B$4="Chapter Hunt"),CHOOSE(ArtifactsInput!$N$27+1,20,24,28,32,36,40),0)/100))/B2979))+1)),0)</f>
        <v/>
      </c>
      <c r="S2945">
        <f>IFERROR(O2945/N2945,0)</f>
        <v/>
      </c>
      <c r="T2945">
        <f>IF(C2945,(H2945*N2945*IF(AND(Inputs!$B$38&lt;&gt;"pvp",Inputs!$B$43&gt;0),((Skills!G8*((R2945-1)*IF(Skills!H8&gt;0,INT(Skills!I8/Skills!H8+0.000000001),1)+IF(Skills!H8&gt;0,INT(MIN(Skills!I8,MAX(0,MAX(0,Inputs!$B$43-B2975)-((R2945-1)*((IF(Inputs!$B$38="pvp",15,MAX(0.1,Skills!D8-IF(TRUE=TRUE,0.5,0)))*(1-IF(AND(ArtifactsInput!$M$27,Inputs!$B$4="Chapter Hunt"),CHOOSE(ArtifactsInput!$N$27+1,20,24,28,32,36,40),0)/100))/B2979))))/Skills!H8+0.000000001),1)))/Inputs!$B$43),G2945*Q2945))*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Hunt"),CHOOSE(ArtifactsInput!$N$35+1,15,18,21,24,27,30)*(1-EXP(-(0.2*B2970)*5)),0)+IF(AND(ArtifactsInput!$M$22,Inputs!$B$4&lt;&gt;"Chapter Hunt"),CHOOSE(ArtifactsInput!$N$22+1,10,12,14,16,18,20)*((0*(((0.15*B2970*5))^0/1)+1*(((0.15*B2970*5))^1/1)+2*(((0.15*B2970*5))^2/2)+3*(((0.15*B2970*5))^3/6)+4*(((0.15*B2970*5))^4/24)+5*(((0.15*B2970*5))^5/120))/((((0.15*B2970*5))^0/1)+(((0.15*B2970*5))^1/1)+(((0.15*B2970*5))^2/2)+(((0.15*B2970*5))^3/6)+(((0.15*B2970*5))^4/24)+(((0.15*B2970*5))^5/120))),0))+IF(Inputs!$B$3&gt;=54,9*(C2940=TRUE)*MIN(1,8*(1+Inputs!$B$34/100)*Q2940)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2945*(1-MIN(100,(Inputs!$B$9+((C2956=TRUE)*(F2956-Calc!F19))+B2968+(ArtifactsInput!$M$24-ArtifactsInput!$M$24)*CHOOSE(ArtifactsInput!$N$24+1,10,12,14,16,18,20)+(IF(AND(Inputs!$B$38&lt;&gt;"pvp",Inputs!$B$43=0),1,IF(IF(Inputs!$B$38="pvp",15,Inputs!$B$43)-(B2975)&lt;=0,1,MAX(0,IF(Inputs!$B$38="pvp",15,Inputs!$B$43)-MAX(5,B2975))/(IF(Inputs!$B$38="pvp",15,Inputs!$B$43)-(B2975))))*IF(AND(ArtifactsInput!$M$42,((Inputs!$B$9+((C2956=TRUE)*(F2956-Calc!F19))+B2968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2945*(MIN(100,(Inputs!$B$9+((C2956=TRUE)*(F2956-Calc!F19))+B2968+(ArtifactsInput!$M$24-ArtifactsInput!$M$24)*CHOOSE(ArtifactsInput!$N$24+1,10,12,14,16,18,20)+(IF(AND(Inputs!$B$38&lt;&gt;"pvp",Inputs!$B$43=0),1,IF(IF(Inputs!$B$38="pvp",15,Inputs!$B$43)-(B2975)&lt;=0,1,MAX(0,IF(Inputs!$B$38="pvp",15,Inputs!$B$43)-MAX(5,B2975))/(IF(Inputs!$B$38="pvp",15,Inputs!$B$43)-(B2975))))*IF(AND(ArtifactsInput!$M$42,((Inputs!$B$9+((C2956=TRUE)*(F2956-Calc!F19))+B2968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2945*(1-MIN(100,(Inputs!$B$9+((C2956=TRUE)*(F2956-Calc!F19))+B2968+(ArtifactsInput!$M$24-ArtifactsInput!$M$24)*CHOOSE(ArtifactsInput!$N$24+1,10,12,14,16,18,20)+(IF(AND(Inputs!$B$38&lt;&gt;"pvp",Inputs!$B$43=0),1,IF(IF(Inputs!$B$38="pvp",15,Inputs!$B$43)-(B2975)&lt;=0,1,MAX(0,IF(Inputs!$B$38="pvp",15,Inputs!$B$43)-MAX(5,B2975))/(IF(Inputs!$B$38="pvp",15,Inputs!$B$43)-(B2975))))*IF(AND(ArtifactsInput!$M$42,((Inputs!$B$9+((C2956=TRUE)*(F2956-Calc!F19))+B2968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2945*(MIN(100,(Inputs!$B$9+((C2956=TRUE)*(F2956-Calc!F19))+B2968+(ArtifactsInput!$M$24-ArtifactsInput!$M$24)*CHOOSE(ArtifactsInput!$N$24+1,10,12,14,16,18,20)+(IF(AND(Inputs!$B$38&lt;&gt;"pvp",Inputs!$B$43=0),1,IF(IF(Inputs!$B$38="pvp",15,Inputs!$B$43)-(B2975)&lt;=0,1,MAX(0,IF(Inputs!$B$38="pvp",15,Inputs!$B$43)-MAX(5,B2975))/(IF(Inputs!$B$38="pvp",15,Inputs!$B$43)-(B2975))))*IF(AND(ArtifactsInput!$M$42,((Inputs!$B$9+((C2956=TRUE)*(F2956-Calc!F19))+B2968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945">
        <f>IF(C2945,(H2945*N2945*IF(AND(Inputs!$B$38&lt;&gt;"pvp",Inputs!$B$43&gt;0),((Skills!G8*((R2945-1)*IF(Skills!H8&gt;0,INT(Skills!I8/Skills!H8+0.000000001),1)+IF(Skills!H8&gt;0,INT(MIN(Skills!I8,MAX(0,MAX(0,Inputs!$B$43-B2975)-((R2945-1)*((IF(Inputs!$B$38="pvp",15,MAX(0.1,Skills!D8-IF(TRUE=TRUE,0.5,0)))*(1-IF(AND(ArtifactsInput!$M$27,Inputs!$B$4="Chapter Hunt"),CHOOSE(ArtifactsInput!$N$27+1,20,24,28,32,36,40),0)/100))/B2979))))/Skills!H8+0.000000001),1)))/Inputs!$B$43),G2945*Q2945))*IF(Inputs!$B$38="pvp",1,(1+(Inputs!$B$21+Skills!Q8+(IF(ArtifactsInput!$M$33,CHOOSE(ArtifactsInput!$N$33+1,30,36,42,48,54,60),0))+(IF(AND(ArtifactsInput!$M$35,Inputs!$B$4&lt;&gt;"Chapter Hunt"),CHOOSE(ArtifactsInput!$N$35+1,15,18,21,24,27,30)*(1-EXP(-(0.2*B2970)*5)),0)+IF(AND(ArtifactsInput!$M$22,Inputs!$B$4&lt;&gt;"Chapter Hunt"),CHOOSE(ArtifactsInput!$N$22+1,10,12,14,16,18,20)*((0*(((0.15*B2970*5))^0/1)+1*(((0.15*B2970*5))^1/1)+2*(((0.15*B2970*5))^2/2)+3*(((0.15*B2970*5))^3/6)+4*(((0.15*B2970*5))^4/24)+5*(((0.15*B2970*5))^5/120))/((((0.15*B2970*5))^0/1)+(((0.15*B2970*5))^1/1)+(((0.15*B2970*5))^2/2)+(((0.15*B2970*5))^3/6)+(((0.15*B2970*5))^4/24)+(((0.15*B2970*5))^5/120))),0))+IF(Inputs!$B$3&gt;=54,9*(C2940=TRUE)*MIN(1,8*(1+Inputs!$B$34/100)*Q2940)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46">
      <c r="A2946">
        <f>Skills!A9</f>
        <v/>
      </c>
      <c r="B2946">
        <f>Skills!B9</f>
        <v/>
      </c>
      <c r="C2946">
        <f>Inputs!$B$3&gt;=105</f>
        <v/>
      </c>
      <c r="D2946">
        <f>IF(Skills!C9=1,60+Inputs!$B$25+Inputs!$B$29,IF(Skills!C9=2,90+Inputs!$B$26+Inputs!$B$29,IF(Skills!C9=3,120+Inputs!$B$27+Inputs!$B$29,MAX(0,(Inputs!$B$3-100)*3)+Inputs!$B$28+Inputs!$B$29)))</f>
        <v/>
      </c>
      <c r="E2946">
        <f>INDEX(FactorTable!$B$2:$Y$301, MATCH(ROUND(MIN(300,MAX(1,D2946)),0), FactorTable!$A$2:$A$301,0), Skills!M9+1)</f>
        <v/>
      </c>
      <c r="F2946">
        <f>IF(Skills!N9=TRUE,(Skills!L9/10)*(E2946/1000),Skills!L9/10)+Skills!O9</f>
        <v/>
      </c>
      <c r="G2946">
        <f>Skills!G9*IF(Skills!H9&gt;0,INT(IF(Inputs!$B$38="pvp",MIN(Skills!I9,15),Skills!I9)/Skills!H9+0.000000001),1)</f>
        <v/>
      </c>
      <c r="H2946">
        <f>1-(1-Skills!J9/100)^Skills!K9</f>
        <v/>
      </c>
      <c r="I2946" t="inlineStr">
        <is>
          <t>1</t>
        </is>
      </c>
      <c r="J2946">
        <f>((Inputs!$B$6*(1+Inputs!$B$7/100))+(((Inputs!$B$12*(1+Inputs!$B$13/100))-(Inputs!$B$12*(1+Inputs!$B$13/100)))+0.25*(Inputs!$B$14-Inputs!$B$14))*(1+Inputs!$B$7/100))*(F2946/100)</f>
        <v/>
      </c>
      <c r="K2946">
        <f>J2946*(1+((Inputs!$B$12*(1+Inputs!$B$13/100))*0.01+Inputs!$B$14*0.0025)/100)*(1+Inputs!$B$15/100)*(1+Inputs!$B$16/100)*(5000/(6000+Inputs!$B$42*(1-(100*(1-(1-(Inputs!$B$19+0)/100)*(1-CHOOSE(ArtifactsInput!$N$40+1,5,6,7,8,9,10)/100)^(ArtifactsInput!$M$40-ArtifactsInput!$M$40)))/100)))*(1+(Inputs!$B$24+((C2963=TRUE)*(F2963-Calc!F26))+B2974)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IGHT_LEGS_EASTON",Inputs!$B$17+((C2960=TRUE)*(F2960-Calc!F23))+((C2964=TRUE)*(F2964-Calc!F27))+((IF(AND(Inputs!$B$38&lt;&gt;"pvp",Inputs!$B$43=0),1,IF(IF(Inputs!$B$38="pvp",15,Inputs!$B$43)-(B2975)&lt;=0,1,MAX(0,IF(Inputs!$B$38="pvp",15,Inputs!$B$43)-MAX(5,B2975))/(IF(Inputs!$B$38="pvp",15,Inputs!$B$43)-(B2975))))*(IF(AND(ArtifactsInput!$M$42,((Inputs!$B$9+((C2956=TRUE)*(F2956-Calc!F19))+B2968+(ArtifactsInput!$M$24-ArtifactsInput!$M$24)*CHOOSE(ArtifactsInput!$N$24+1,10,12,14,16,18,20)+IF(ArtifactsInput!$M$10,CHOOSE(ArtifactsInput!$N$10+1,15,18,21,24,27,30)*(IF(Inputs!$B$38="pvp",MIN(15,15)/15,IF(AND(Inputs!$B$38&lt;&gt;"pvp",Inputs!$B$43&gt;0),MIN(15,Inputs!$B$43)/(Inputs!$B$43),0))),0)))&gt;=100),MIN(100,((Inputs!$B$9+((C2956=TRUE)*(F2956-Calc!F19))+B2968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2975)&lt;=0,1,MAX(0,IF(Inputs!$B$38="pvp",15,Inputs!$B$43)-MAX(5,B2975))/(IF(Inputs!$B$38="pvp",15,Inputs!$B$43)-(B2975))))*IF(AND(ArtifactsInput!$M$42,((Inputs!$B$9+((C2956=TRUE)*(F2956-Calc!F19))+B2968+(ArtifactsInput!$M$24-ArtifactsInput!$M$24)*CHOOSE(ArtifactsInput!$N$24+1,10,12,14,16,18,20)+IF(ArtifactsInput!$M$10,CHOOSE(ArtifactsInput!$N$10+1,15,18,21,24,27,30)*(IF(Inputs!$B$38="pvp",MIN(15,15)/15,IF(AND(Inputs!$B$38&lt;&gt;"pvp",Inputs!$B$43&gt;0),MIN(15,Inputs!$B$43)/(Inputs!$B$43),0))),0)))&gt;=100),CHOOSE(ArtifactsInput!$N$42+1,40,48,56,64,72,80),0))))/100)*((1+(((C2954=TRUE)*F2954*5/7)+((C2961=TRUE)*(F2961-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2946)</f>
        <v/>
      </c>
      <c r="L2946">
        <f>K2946*(MIN(Inputs!$B$22+((C2959=TRUE)*(F2959-Calc!F22)),(Inputs!$B$23+0+(IF(ArtifactsInput!$M$15,CHOOSE(ArtifactsInput!$N$15+1,25,30,35,40,45,50)/100*(Inputs!$B$11-Inputs!$B$11),0))))/100+(Inputs!$B$23+0+(IF(ArtifactsInput!$M$15,CHOOSE(ArtifactsInput!$N$15+1,25,30,35,40,45,50)/100*(Inputs!$B$11-Inputs!$B$11),0)))/100)/2</f>
        <v/>
      </c>
      <c r="M2946">
        <f>L2946*(1+(Inputs!$B$10+((C2962=TRUE)*(F2962-Calc!F25))+B2973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46">
        <f>L2946*(1-MIN((Inputs!$B$9+((C2956=TRUE)*(F2956-Calc!F19))+B2968+(ArtifactsInput!$M$24-ArtifactsInput!$M$24)*CHOOSE(ArtifactsInput!$N$24+1,10,12,14,16,18,20)+(IF(AND(Inputs!$B$38&lt;&gt;"pvp",Inputs!$B$43=0),1,IF(IF(Inputs!$B$38="pvp",15,Inputs!$B$43)-(B2975)&lt;=0,1,MAX(0,IF(Inputs!$B$38="pvp",15,Inputs!$B$43)-MAX(5,B2975))/(IF(Inputs!$B$38="pvp",15,Inputs!$B$43)-(B2975))))*IF(AND(ArtifactsInput!$M$42,((Inputs!$B$9+((C2956=TRUE)*(F2956-Calc!F19))+B2968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2946*(MIN((Inputs!$B$9+((C2956=TRUE)*(F2956-Calc!F19))+B2968+(ArtifactsInput!$M$24-ArtifactsInput!$M$24)*CHOOSE(ArtifactsInput!$N$24+1,10,12,14,16,18,20)+(IF(AND(Inputs!$B$38&lt;&gt;"pvp",Inputs!$B$43=0),1,IF(IF(Inputs!$B$38="pvp",15,Inputs!$B$43)-(B2975)&lt;=0,1,MAX(0,IF(Inputs!$B$38="pvp",15,Inputs!$B$43)-MAX(5,B2975))/(IF(Inputs!$B$38="pvp",15,Inputs!$B$43)-(B2975))))*IF(AND(ArtifactsInput!$M$42,((Inputs!$B$9+((C2956=TRUE)*(F2956-Calc!F19))+B2968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46">
        <f>(1-Summary!$B$11)*T2946+Summary!$B$11*V2946</f>
        <v/>
      </c>
      <c r="P2946">
        <f>IF(B2978=0,0,O2946/B2978)</f>
        <v/>
      </c>
      <c r="Q2946">
        <f>IFERROR(1/(IF(Inputs!$B$38="pvp",15,MAX(0.1,Skills!D9-IF(TRUE=TRUE,0.5,0)))*(1-IF(AND(ArtifactsInput!$M$27,Inputs!$B$4="Chapter Hunt"),CHOOSE(ArtifactsInput!$N$27+1,20,24,28,32,36,40),0)/100)),0)</f>
        <v/>
      </c>
      <c r="R2946">
        <f>IF(AND(Inputs!$B$38&lt;&gt;"pvp",Inputs!$B$43&gt;0),IF(MAX(0,Inputs!$B$43-B2975)&lt;=0,0,(INT(MAX(0,Inputs!$B$43-B2975)/(IF(Inputs!$B$38="pvp",15,MAX(0.1,Skills!D9-IF(TRUE=TRUE,0.5,0)))*(1-IF(AND(ArtifactsInput!$M$27,Inputs!$B$4="Chapter Hunt"),CHOOSE(ArtifactsInput!$N$27+1,20,24,28,32,36,40),0)/100)))+1)),0)</f>
        <v/>
      </c>
      <c r="S2946">
        <f>IFERROR(O2946/N2946,0)</f>
        <v/>
      </c>
      <c r="T2946">
        <f>IF(C2946,(H2946*N2946*IF(AND(Inputs!$B$38&lt;&gt;"pvp",Inputs!$B$43&gt;0),((Skills!G9*((R2946-1)*IF(Skills!H9&gt;0,INT(Skills!I9/Skills!H9+0.000000001),1)+IF(Skills!H9&gt;0,INT(MIN(Skills!I9,MAX(0,MAX(0,Inputs!$B$43-B2975)-((R2946-1)*(IF(Inputs!$B$38="pvp",15,MAX(0.1,Skills!D9-IF(TRUE=TRUE,0.5,0)))*(1-IF(AND(ArtifactsInput!$M$27,Inputs!$B$4="Chapter Hunt"),CHOOSE(ArtifactsInput!$N$27+1,20,24,28,32,36,40),0)/100)))))/Skills!H9+0.000000001),1)))/Inputs!$B$43),G2946*Q2946))*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Hunt"),CHOOSE(ArtifactsInput!$N$35+1,15,18,21,24,27,30)*(1-EXP(-(0.2*B2970)*5)),0)+IF(AND(ArtifactsInput!$M$22,Inputs!$B$4&lt;&gt;"Chapter Hunt"),CHOOSE(ArtifactsInput!$N$22+1,10,12,14,16,18,20)*((0*(((0.15*B2970*5))^0/1)+1*(((0.15*B2970*5))^1/1)+2*(((0.15*B2970*5))^2/2)+3*(((0.15*B2970*5))^3/6)+4*(((0.15*B2970*5))^4/24)+5*(((0.15*B2970*5))^5/120))/((((0.15*B2970*5))^0/1)+(((0.15*B2970*5))^1/1)+(((0.15*B2970*5))^2/2)+(((0.15*B2970*5))^3/6)+(((0.15*B2970*5))^4/24)+(((0.15*B2970*5))^5/120))),0))+IF(Inputs!$B$3&gt;=54,9*(C2940=TRUE)*MIN(1,8*(1+Inputs!$B$34/100)*Q2940)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2946*(1-MIN(100,(Inputs!$B$9+((C2956=TRUE)*(F2956-Calc!F19))+B2968+(ArtifactsInput!$M$24-ArtifactsInput!$M$24)*CHOOSE(ArtifactsInput!$N$24+1,10,12,14,16,18,20)+(IF(AND(Inputs!$B$38&lt;&gt;"pvp",Inputs!$B$43=0),1,IF(IF(Inputs!$B$38="pvp",15,Inputs!$B$43)-(B2975)&lt;=0,1,MAX(0,IF(Inputs!$B$38="pvp",15,Inputs!$B$43)-MAX(5,B2975))/(IF(Inputs!$B$38="pvp",15,Inputs!$B$43)-(B2975))))*IF(AND(ArtifactsInput!$M$42,((Inputs!$B$9+((C2956=TRUE)*(F2956-Calc!F19))+B2968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2946*(MIN(100,(Inputs!$B$9+((C2956=TRUE)*(F2956-Calc!F19))+B2968+(ArtifactsInput!$M$24-ArtifactsInput!$M$24)*CHOOSE(ArtifactsInput!$N$24+1,10,12,14,16,18,20)+(IF(AND(Inputs!$B$38&lt;&gt;"pvp",Inputs!$B$43=0),1,IF(IF(Inputs!$B$38="pvp",15,Inputs!$B$43)-(B2975)&lt;=0,1,MAX(0,IF(Inputs!$B$38="pvp",15,Inputs!$B$43)-MAX(5,B2975))/(IF(Inputs!$B$38="pvp",15,Inputs!$B$43)-(B2975))))*IF(AND(ArtifactsInput!$M$42,((Inputs!$B$9+((C2956=TRUE)*(F2956-Calc!F19))+B2968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2946*(1-MIN(100,(Inputs!$B$9+((C2956=TRUE)*(F2956-Calc!F19))+B2968+(ArtifactsInput!$M$24-ArtifactsInput!$M$24)*CHOOSE(ArtifactsInput!$N$24+1,10,12,14,16,18,20)+(IF(AND(Inputs!$B$38&lt;&gt;"pvp",Inputs!$B$43=0),1,IF(IF(Inputs!$B$38="pvp",15,Inputs!$B$43)-(B2975)&lt;=0,1,MAX(0,IF(Inputs!$B$38="pvp",15,Inputs!$B$43)-MAX(5,B2975))/(IF(Inputs!$B$38="pvp",15,Inputs!$B$43)-(B2975))))*IF(AND(ArtifactsInput!$M$42,((Inputs!$B$9+((C2956=TRUE)*(F2956-Calc!F19))+B2968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2946*(MIN(100,(Inputs!$B$9+((C2956=TRUE)*(F2956-Calc!F19))+B2968+(ArtifactsInput!$M$24-ArtifactsInput!$M$24)*CHOOSE(ArtifactsInput!$N$24+1,10,12,14,16,18,20)+(IF(AND(Inputs!$B$38&lt;&gt;"pvp",Inputs!$B$43=0),1,IF(IF(Inputs!$B$38="pvp",15,Inputs!$B$43)-(B2975)&lt;=0,1,MAX(0,IF(Inputs!$B$38="pvp",15,Inputs!$B$43)-MAX(5,B2975))/(IF(Inputs!$B$38="pvp",15,Inputs!$B$43)-(B2975))))*IF(AND(ArtifactsInput!$M$42,((Inputs!$B$9+((C2956=TRUE)*(F2956-Calc!F19))+B2968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946">
        <f>IF(C2946,(H2946*N2946*IF(AND(Inputs!$B$38&lt;&gt;"pvp",Inputs!$B$43&gt;0),((Skills!G9*((R2946-1)*IF(Skills!H9&gt;0,INT(Skills!I9/Skills!H9+0.000000001),1)+IF(Skills!H9&gt;0,INT(MIN(Skills!I9,MAX(0,MAX(0,Inputs!$B$43-B2975)-((R2946-1)*(IF(Inputs!$B$38="pvp",15,MAX(0.1,Skills!D9-IF(TRUE=TRUE,0.5,0)))*(1-IF(AND(ArtifactsInput!$M$27,Inputs!$B$4="Chapter Hunt"),CHOOSE(ArtifactsInput!$N$27+1,20,24,28,32,36,40),0)/100)))))/Skills!H9+0.000000001),1)))/Inputs!$B$43),G2946*Q2946))*IF(Inputs!$B$38="pvp",1,(1+(Inputs!$B$21+Skills!Q9+(IF(ArtifactsInput!$M$33,CHOOSE(ArtifactsInput!$N$33+1,30,36,42,48,54,60),0))+(IF(AND(ArtifactsInput!$M$35,Inputs!$B$4&lt;&gt;"Chapter Hunt"),CHOOSE(ArtifactsInput!$N$35+1,15,18,21,24,27,30)*(1-EXP(-(0.2*B2970)*5)),0)+IF(AND(ArtifactsInput!$M$22,Inputs!$B$4&lt;&gt;"Chapter Hunt"),CHOOSE(ArtifactsInput!$N$22+1,10,12,14,16,18,20)*((0*(((0.15*B2970*5))^0/1)+1*(((0.15*B2970*5))^1/1)+2*(((0.15*B2970*5))^2/2)+3*(((0.15*B2970*5))^3/6)+4*(((0.15*B2970*5))^4/24)+5*(((0.15*B2970*5))^5/120))/((((0.15*B2970*5))^0/1)+(((0.15*B2970*5))^1/1)+(((0.15*B2970*5))^2/2)+(((0.15*B2970*5))^3/6)+(((0.15*B2970*5))^4/24)+(((0.15*B2970*5))^5/120))),0))+IF(Inputs!$B$3&gt;=54,9*(C2940=TRUE)*MIN(1,8*(1+Inputs!$B$34/100)*Q2940)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47">
      <c r="A2947">
        <f>Skills!A10</f>
        <v/>
      </c>
      <c r="B2947">
        <f>Skills!B10</f>
        <v/>
      </c>
      <c r="C2947">
        <f>Inputs!$B$3&gt;=113</f>
        <v/>
      </c>
      <c r="D2947">
        <f>IF(Skills!C10=1,60+Inputs!$B$25+Inputs!$B$29,IF(Skills!C10=2,90+Inputs!$B$26+Inputs!$B$29,IF(Skills!C10=3,120+Inputs!$B$27+Inputs!$B$29,MAX(0,(Inputs!$B$3-100)*3)+Inputs!$B$28+Inputs!$B$29)))</f>
        <v/>
      </c>
      <c r="E2947">
        <f>INDEX(FactorTable!$B$2:$Y$301, MATCH(ROUND(MIN(300,MAX(1,D2947)),0), FactorTable!$A$2:$A$301,0), Skills!M10+1)</f>
        <v/>
      </c>
      <c r="F2947">
        <f>IF(Skills!N10=TRUE,(Skills!L10/10)*(E2947/1000),Skills!L10/10)+Skills!O10</f>
        <v/>
      </c>
      <c r="G2947">
        <f>Skills!G10*IF(Skills!H10&gt;0,INT(IF(Inputs!$B$38="pvp",MIN(Skills!I10,15),Skills!I10)/Skills!H10+0.000000001),1)</f>
        <v/>
      </c>
      <c r="H2947">
        <f>1-(1-Skills!J10/100)^Skills!K10</f>
        <v/>
      </c>
      <c r="I2947" t="inlineStr">
        <is>
          <t>1</t>
        </is>
      </c>
      <c r="J2947">
        <f>((Inputs!$B$6*(1+Inputs!$B$7/100))+(((Inputs!$B$12*(1+Inputs!$B$13/100))-(Inputs!$B$12*(1+Inputs!$B$13/100)))+0.25*(Inputs!$B$14-Inputs!$B$14))*(1+Inputs!$B$7/100))*(F2947/100)</f>
        <v/>
      </c>
      <c r="K2947">
        <f>J2947*(1+((Inputs!$B$12*(1+Inputs!$B$13/100))*0.01+Inputs!$B$14*0.0025)/100)*(1+Inputs!$B$15/100)*(1+Inputs!$B$16/100)*(5000/(6000+Inputs!$B$42*(1-(100*(1-(1-(Inputs!$B$19+0)/100)*(1-CHOOSE(ArtifactsInput!$N$40+1,5,6,7,8,9,10)/100)^(ArtifactsInput!$M$40-ArtifactsInput!$M$40)))/100)))*(1+(Inputs!$B$24+((C2963=TRUE)*(F2963-Calc!F26))+B2974)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IGHT_LEGS_EASTON",Inputs!$B$17+((C2960=TRUE)*(F2960-Calc!F23))+((C2964=TRUE)*(F2964-Calc!F27))+((IF(AND(Inputs!$B$38&lt;&gt;"pvp",Inputs!$B$43=0),1,IF(IF(Inputs!$B$38="pvp",15,Inputs!$B$43)-(B2975)&lt;=0,1,MAX(0,IF(Inputs!$B$38="pvp",15,Inputs!$B$43)-MAX(5,B2975))/(IF(Inputs!$B$38="pvp",15,Inputs!$B$43)-(B2975))))*(IF(AND(ArtifactsInput!$M$42,((Inputs!$B$9+((C2956=TRUE)*(F2956-Calc!F19))+B2968+(ArtifactsInput!$M$24-ArtifactsInput!$M$24)*CHOOSE(ArtifactsInput!$N$24+1,10,12,14,16,18,20)+IF(ArtifactsInput!$M$10,CHOOSE(ArtifactsInput!$N$10+1,15,18,21,24,27,30)*(IF(Inputs!$B$38="pvp",MIN(15,15)/15,IF(AND(Inputs!$B$38&lt;&gt;"pvp",Inputs!$B$43&gt;0),MIN(15,Inputs!$B$43)/(Inputs!$B$43),0))),0)))&gt;=100),MIN(100,((Inputs!$B$9+((C2956=TRUE)*(F2956-Calc!F19))+B2968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2975)&lt;=0,1,MAX(0,IF(Inputs!$B$38="pvp",15,Inputs!$B$43)-MAX(5,B2975))/(IF(Inputs!$B$38="pvp",15,Inputs!$B$43)-(B2975))))*IF(AND(ArtifactsInput!$M$42,((Inputs!$B$9+((C2956=TRUE)*(F2956-Calc!F19))+B2968+(ArtifactsInput!$M$24-ArtifactsInput!$M$24)*CHOOSE(ArtifactsInput!$N$24+1,10,12,14,16,18,20)+IF(ArtifactsInput!$M$10,CHOOSE(ArtifactsInput!$N$10+1,15,18,21,24,27,30)*(IF(Inputs!$B$38="pvp",MIN(15,15)/15,IF(AND(Inputs!$B$38&lt;&gt;"pvp",Inputs!$B$43&gt;0),MIN(15,Inputs!$B$43)/(Inputs!$B$43),0))),0)))&gt;=100),CHOOSE(ArtifactsInput!$N$42+1,40,48,56,64,72,80),0))))/100)*((1+(((C2954=TRUE)*F2954*5/7)+((C2961=TRUE)*(F2961-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2947)</f>
        <v/>
      </c>
      <c r="L2947">
        <f>K2947*(MIN(Inputs!$B$22+((C2959=TRUE)*(F2959-Calc!F22)),(Inputs!$B$23+0+(IF(ArtifactsInput!$M$15,CHOOSE(ArtifactsInput!$N$15+1,25,30,35,40,45,50)/100*(Inputs!$B$11-Inputs!$B$11),0))))/100+(Inputs!$B$23+0+(IF(ArtifactsInput!$M$15,CHOOSE(ArtifactsInput!$N$15+1,25,30,35,40,45,50)/100*(Inputs!$B$11-Inputs!$B$11),0)))/100)/2</f>
        <v/>
      </c>
      <c r="M2947">
        <f>L2947*(1+(Inputs!$B$10+((C2962=TRUE)*(F2962-Calc!F25))+B2973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47">
        <f>L2947*(1-MIN((Inputs!$B$9+((C2956=TRUE)*(F2956-Calc!F19))+B2968+(ArtifactsInput!$M$24-ArtifactsInput!$M$24)*CHOOSE(ArtifactsInput!$N$24+1,10,12,14,16,18,20)+(IF(AND(Inputs!$B$38&lt;&gt;"pvp",Inputs!$B$43=0),1,IF(IF(Inputs!$B$38="pvp",15,Inputs!$B$43)-(B2975)&lt;=0,1,MAX(0,IF(Inputs!$B$38="pvp",15,Inputs!$B$43)-MAX(5,B2975))/(IF(Inputs!$B$38="pvp",15,Inputs!$B$43)-(B2975))))*IF(AND(ArtifactsInput!$M$42,((Inputs!$B$9+((C2956=TRUE)*(F2956-Calc!F19))+B2968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2947*(MIN((Inputs!$B$9+((C2956=TRUE)*(F2956-Calc!F19))+B2968+(ArtifactsInput!$M$24-ArtifactsInput!$M$24)*CHOOSE(ArtifactsInput!$N$24+1,10,12,14,16,18,20)+(IF(AND(Inputs!$B$38&lt;&gt;"pvp",Inputs!$B$43=0),1,IF(IF(Inputs!$B$38="pvp",15,Inputs!$B$43)-(B2975)&lt;=0,1,MAX(0,IF(Inputs!$B$38="pvp",15,Inputs!$B$43)-MAX(5,B2975))/(IF(Inputs!$B$38="pvp",15,Inputs!$B$43)-(B2975))))*IF(AND(ArtifactsInput!$M$42,((Inputs!$B$9+((C2956=TRUE)*(F2956-Calc!F19))+B2968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47">
        <f>(1-Summary!$B$11)*T2947+Summary!$B$11*V2947</f>
        <v/>
      </c>
      <c r="P2947">
        <f>IF(B2978=0,0,O2947/B2978)</f>
        <v/>
      </c>
      <c r="Q2947" t="n">
        <v>0</v>
      </c>
      <c r="R2947" t="n">
        <v>0</v>
      </c>
      <c r="S2947">
        <f>IFERROR(O2947/N2947,0)</f>
        <v/>
      </c>
      <c r="T2947">
        <f>IF(C2947,((H2947*B2980)/(1+Skills!H10*H2947*B2980)*N2947)*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Hunt"),CHOOSE(ArtifactsInput!$N$35+1,15,18,21,24,27,30)*(1-EXP(-(0.2*B2970)*5)),0)+IF(AND(ArtifactsInput!$M$22,Inputs!$B$4&lt;&gt;"Chapter Hunt"),CHOOSE(ArtifactsInput!$N$22+1,10,12,14,16,18,20)*((0*(((0.15*B2970*5))^0/1)+1*(((0.15*B2970*5))^1/1)+2*(((0.15*B2970*5))^2/2)+3*(((0.15*B2970*5))^3/6)+4*(((0.15*B2970*5))^4/24)+5*(((0.15*B2970*5))^5/120))/((((0.15*B2970*5))^0/1)+(((0.15*B2970*5))^1/1)+(((0.15*B2970*5))^2/2)+(((0.15*B2970*5))^3/6)+(((0.15*B2970*5))^4/24)+(((0.15*B2970*5))^5/120))),0))+IF(Inputs!$B$3&gt;=54,9*(C2940=TRUE)*MIN(1,8*(1+Inputs!$B$34/100)*Q2940)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2947*(1-MIN(100,(Inputs!$B$9+((C2956=TRUE)*(F2956-Calc!F19))+B2968+(ArtifactsInput!$M$24-ArtifactsInput!$M$24)*CHOOSE(ArtifactsInput!$N$24+1,10,12,14,16,18,20)+(IF(AND(Inputs!$B$38&lt;&gt;"pvp",Inputs!$B$43=0),1,IF(IF(Inputs!$B$38="pvp",15,Inputs!$B$43)-(B2975)&lt;=0,1,MAX(0,IF(Inputs!$B$38="pvp",15,Inputs!$B$43)-MAX(5,B2975))/(IF(Inputs!$B$38="pvp",15,Inputs!$B$43)-(B2975))))*IF(AND(ArtifactsInput!$M$42,((Inputs!$B$9+((C2956=TRUE)*(F2956-Calc!F19))+B2968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2947*(MIN(100,(Inputs!$B$9+((C2956=TRUE)*(F2956-Calc!F19))+B2968+(ArtifactsInput!$M$24-ArtifactsInput!$M$24)*CHOOSE(ArtifactsInput!$N$24+1,10,12,14,16,18,20)+(IF(AND(Inputs!$B$38&lt;&gt;"pvp",Inputs!$B$43=0),1,IF(IF(Inputs!$B$38="pvp",15,Inputs!$B$43)-(B2975)&lt;=0,1,MAX(0,IF(Inputs!$B$38="pvp",15,Inputs!$B$43)-MAX(5,B2975))/(IF(Inputs!$B$38="pvp",15,Inputs!$B$43)-(B2975))))*IF(AND(ArtifactsInput!$M$42,((Inputs!$B$9+((C2956=TRUE)*(F2956-Calc!F19))+B2968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2947*(1-MIN(100,(Inputs!$B$9+((C2956=TRUE)*(F2956-Calc!F19))+B2968+(ArtifactsInput!$M$24-ArtifactsInput!$M$24)*CHOOSE(ArtifactsInput!$N$24+1,10,12,14,16,18,20)+(IF(AND(Inputs!$B$38&lt;&gt;"pvp",Inputs!$B$43=0),1,IF(IF(Inputs!$B$38="pvp",15,Inputs!$B$43)-(B2975)&lt;=0,1,MAX(0,IF(Inputs!$B$38="pvp",15,Inputs!$B$43)-MAX(5,B2975))/(IF(Inputs!$B$38="pvp",15,Inputs!$B$43)-(B2975))))*IF(AND(ArtifactsInput!$M$42,((Inputs!$B$9+((C2956=TRUE)*(F2956-Calc!F19))+B2968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2947*(MIN(100,(Inputs!$B$9+((C2956=TRUE)*(F2956-Calc!F19))+B2968+(ArtifactsInput!$M$24-ArtifactsInput!$M$24)*CHOOSE(ArtifactsInput!$N$24+1,10,12,14,16,18,20)+(IF(AND(Inputs!$B$38&lt;&gt;"pvp",Inputs!$B$43=0),1,IF(IF(Inputs!$B$38="pvp",15,Inputs!$B$43)-(B2975)&lt;=0,1,MAX(0,IF(Inputs!$B$38="pvp",15,Inputs!$B$43)-MAX(5,B2975))/(IF(Inputs!$B$38="pvp",15,Inputs!$B$43)-(B2975))))*IF(AND(ArtifactsInput!$M$42,((Inputs!$B$9+((C2956=TRUE)*(F2956-Calc!F19))+B2968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947">
        <f>IF(C2947,((H2947*B2980)/(1+Skills!H10*H2947*B2980)*N2947)*IF(Inputs!$B$38="pvp",1,(1+(Inputs!$B$21+Skills!Q10+(IF(ArtifactsInput!$M$33,CHOOSE(ArtifactsInput!$N$33+1,30,36,42,48,54,60),0))+(IF(AND(ArtifactsInput!$M$35,Inputs!$B$4&lt;&gt;"Chapter Hunt"),CHOOSE(ArtifactsInput!$N$35+1,15,18,21,24,27,30)*(1-EXP(-(0.2*B2970)*5)),0)+IF(AND(ArtifactsInput!$M$22,Inputs!$B$4&lt;&gt;"Chapter Hunt"),CHOOSE(ArtifactsInput!$N$22+1,10,12,14,16,18,20)*((0*(((0.15*B2970*5))^0/1)+1*(((0.15*B2970*5))^1/1)+2*(((0.15*B2970*5))^2/2)+3*(((0.15*B2970*5))^3/6)+4*(((0.15*B2970*5))^4/24)+5*(((0.15*B2970*5))^5/120))/((((0.15*B2970*5))^0/1)+(((0.15*B2970*5))^1/1)+(((0.15*B2970*5))^2/2)+(((0.15*B2970*5))^3/6)+(((0.15*B2970*5))^4/24)+(((0.15*B2970*5))^5/120))),0))+IF(Inputs!$B$3&gt;=54,9*(C2940=TRUE)*MIN(1,8*(1+Inputs!$B$34/100)*Q2940)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48">
      <c r="A2948">
        <f>Skills!A11</f>
        <v/>
      </c>
      <c r="B2948">
        <f>Skills!B11</f>
        <v/>
      </c>
      <c r="C2948">
        <f>Inputs!$B$3&gt;=117</f>
        <v/>
      </c>
      <c r="D2948">
        <f>IF(Skills!C11=1,60+Inputs!$B$25+Inputs!$B$29,IF(Skills!C11=2,90+Inputs!$B$26+Inputs!$B$29,IF(Skills!C11=3,120+Inputs!$B$27+Inputs!$B$29,MAX(0,(Inputs!$B$3-100)*3)+Inputs!$B$28+Inputs!$B$29)))</f>
        <v/>
      </c>
      <c r="E2948">
        <f>INDEX(FactorTable!$B$2:$Y$301, MATCH(ROUND(MIN(300,MAX(1,D2948)),0), FactorTable!$A$2:$A$301,0), Skills!M11+1)</f>
        <v/>
      </c>
      <c r="F2948">
        <f>IF(Skills!N11=TRUE,(Skills!L11/10)*(E2948/1000),Skills!L11/10)+Skills!O11</f>
        <v/>
      </c>
      <c r="G2948">
        <f>Skills!G11*IF(Skills!H11&gt;0,INT(IF(Inputs!$B$38="pvp",MIN(Skills!I11,15),Skills!I11)/Skills!H11+0.000000001),1)</f>
        <v/>
      </c>
      <c r="H2948">
        <f>1-(1-Skills!J11/100)^Skills!K11</f>
        <v/>
      </c>
      <c r="I2948" t="inlineStr">
        <is>
          <t>1</t>
        </is>
      </c>
      <c r="J2948">
        <f>((Inputs!$B$6*(1+Inputs!$B$7/100))+(((Inputs!$B$12*(1+Inputs!$B$13/100))-(Inputs!$B$12*(1+Inputs!$B$13/100)))+0.25*(Inputs!$B$14-Inputs!$B$14))*(1+Inputs!$B$7/100))*(F2948/100)</f>
        <v/>
      </c>
      <c r="K2948">
        <f>J2948*(1+((Inputs!$B$12*(1+Inputs!$B$13/100))*0.01+Inputs!$B$14*0.0025)/100)*(1+Inputs!$B$15/100)*(1+Inputs!$B$16/100)*(5000/(6000+Inputs!$B$42*(1-(100*(1-(1-(Inputs!$B$19+0)/100)*(1-CHOOSE(ArtifactsInput!$N$40+1,5,6,7,8,9,10)/100)^(ArtifactsInput!$M$40-ArtifactsInput!$M$40)))/100)))*(1+(Inputs!$B$24+((C2963=TRUE)*(F2963-Calc!F26))+B2974)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IGHT_LEGS_EASTON",Inputs!$B$17+((C2960=TRUE)*(F2960-Calc!F23))+((C2964=TRUE)*(F2964-Calc!F27))+((IF(AND(Inputs!$B$38&lt;&gt;"pvp",Inputs!$B$43=0),1,IF(IF(Inputs!$B$38="pvp",15,Inputs!$B$43)-(B2975)&lt;=0,1,MAX(0,IF(Inputs!$B$38="pvp",15,Inputs!$B$43)-MAX(5,B2975))/(IF(Inputs!$B$38="pvp",15,Inputs!$B$43)-(B2975))))*(IF(AND(ArtifactsInput!$M$42,((Inputs!$B$9+((C2956=TRUE)*(F2956-Calc!F19))+B2968+(ArtifactsInput!$M$24-ArtifactsInput!$M$24)*CHOOSE(ArtifactsInput!$N$24+1,10,12,14,16,18,20)+IF(ArtifactsInput!$M$10,CHOOSE(ArtifactsInput!$N$10+1,15,18,21,24,27,30)*(IF(Inputs!$B$38="pvp",MIN(15,15)/15,IF(AND(Inputs!$B$38&lt;&gt;"pvp",Inputs!$B$43&gt;0),MIN(15,Inputs!$B$43)/(Inputs!$B$43),0))),0)))&gt;=100),MIN(100,((Inputs!$B$9+((C2956=TRUE)*(F2956-Calc!F19))+B2968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2975)&lt;=0,1,MAX(0,IF(Inputs!$B$38="pvp",15,Inputs!$B$43)-MAX(5,B2975))/(IF(Inputs!$B$38="pvp",15,Inputs!$B$43)-(B2975))))*IF(AND(ArtifactsInput!$M$42,((Inputs!$B$9+((C2956=TRUE)*(F2956-Calc!F19))+B2968+(ArtifactsInput!$M$24-ArtifactsInput!$M$24)*CHOOSE(ArtifactsInput!$N$24+1,10,12,14,16,18,20)+IF(ArtifactsInput!$M$10,CHOOSE(ArtifactsInput!$N$10+1,15,18,21,24,27,30)*(IF(Inputs!$B$38="pvp",MIN(15,15)/15,IF(AND(Inputs!$B$38&lt;&gt;"pvp",Inputs!$B$43&gt;0),MIN(15,Inputs!$B$43)/(Inputs!$B$43),0))),0)))&gt;=100),CHOOSE(ArtifactsInput!$N$42+1,40,48,56,64,72,80),0))))/100)*((1+(((C2954=TRUE)*F2954*5/7)+((C2961=TRUE)*(F2961-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2948)</f>
        <v/>
      </c>
      <c r="L2948">
        <f>K2948*(MIN(Inputs!$B$22+((C2959=TRUE)*(F2959-Calc!F22)),(Inputs!$B$23+0+(IF(ArtifactsInput!$M$15,CHOOSE(ArtifactsInput!$N$15+1,25,30,35,40,45,50)/100*(Inputs!$B$11-Inputs!$B$11),0))))/100+(Inputs!$B$23+0+(IF(ArtifactsInput!$M$15,CHOOSE(ArtifactsInput!$N$15+1,25,30,35,40,45,50)/100*(Inputs!$B$11-Inputs!$B$11),0)))/100)/2</f>
        <v/>
      </c>
      <c r="M2948">
        <f>L2948*(1+(Inputs!$B$10+((C2962=TRUE)*(F2962-Calc!F25))+B2973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48">
        <f>L2948*(1-MIN((Inputs!$B$9+((C2956=TRUE)*(F2956-Calc!F19))+B2968+(ArtifactsInput!$M$24-ArtifactsInput!$M$24)*CHOOSE(ArtifactsInput!$N$24+1,10,12,14,16,18,20)+(IF(AND(Inputs!$B$38&lt;&gt;"pvp",Inputs!$B$43=0),1,IF(IF(Inputs!$B$38="pvp",15,Inputs!$B$43)-(B2975)&lt;=0,1,MAX(0,IF(Inputs!$B$38="pvp",15,Inputs!$B$43)-MAX(5,B2975))/(IF(Inputs!$B$38="pvp",15,Inputs!$B$43)-(B2975))))*IF(AND(ArtifactsInput!$M$42,((Inputs!$B$9+((C2956=TRUE)*(F2956-Calc!F19))+B2968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2948*(MIN((Inputs!$B$9+((C2956=TRUE)*(F2956-Calc!F19))+B2968+(ArtifactsInput!$M$24-ArtifactsInput!$M$24)*CHOOSE(ArtifactsInput!$N$24+1,10,12,14,16,18,20)+(IF(AND(Inputs!$B$38&lt;&gt;"pvp",Inputs!$B$43=0),1,IF(IF(Inputs!$B$38="pvp",15,Inputs!$B$43)-(B2975)&lt;=0,1,MAX(0,IF(Inputs!$B$38="pvp",15,Inputs!$B$43)-MAX(5,B2975))/(IF(Inputs!$B$38="pvp",15,Inputs!$B$43)-(B2975))))*IF(AND(ArtifactsInput!$M$42,((Inputs!$B$9+((C2956=TRUE)*(F2956-Calc!F19))+B2968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48">
        <f>(1-Summary!$B$11)*T2948+Summary!$B$11*V2948</f>
        <v/>
      </c>
      <c r="P2948">
        <f>IF(B2978=0,0,O2948/B2978)</f>
        <v/>
      </c>
      <c r="Q2948">
        <f>IFERROR(1/((IF(Inputs!$B$38="pvp",15,MAX(0.1,Skills!D11-IF(TRUE=TRUE,0.5,0)))*(1-IF(AND(ArtifactsInput!$M$27,Inputs!$B$4="Chapter Hunt"),CHOOSE(ArtifactsInput!$N$27+1,20,24,28,32,36,40),0)/100))/B2979),0)</f>
        <v/>
      </c>
      <c r="R2948">
        <f>IF(AND(Inputs!$B$38&lt;&gt;"pvp",Inputs!$B$43&gt;0),IF(MAX(0,Inputs!$B$43-B2975)&lt;=0,0,(INT(MAX(0,Inputs!$B$43-B2975)/((IF(Inputs!$B$38="pvp",15,MAX(0.1,Skills!D11-IF(TRUE=TRUE,0.5,0)))*(1-IF(AND(ArtifactsInput!$M$27,Inputs!$B$4="Chapter Hunt"),CHOOSE(ArtifactsInput!$N$27+1,20,24,28,32,36,40),0)/100))/B2979))+1)),0)</f>
        <v/>
      </c>
      <c r="S2948">
        <f>IFERROR(O2948/N2948,0)</f>
        <v/>
      </c>
      <c r="T2948">
        <f>IF(C2948,(H2948*N2948*IF(AND(Inputs!$B$38&lt;&gt;"pvp",Inputs!$B$43&gt;0),((Skills!G11*((R2948-1)*IF(Skills!H11&gt;0,INT(Skills!I11/Skills!H11+0.000000001),1)+IF(Skills!H11&gt;0,INT(MIN(Skills!I11,MAX(0,MAX(0,Inputs!$B$43-B2975)-((R2948-1)*((IF(Inputs!$B$38="pvp",15,MAX(0.1,Skills!D11-IF(TRUE=TRUE,0.5,0)))*(1-IF(AND(ArtifactsInput!$M$27,Inputs!$B$4="Chapter Hunt"),CHOOSE(ArtifactsInput!$N$27+1,20,24,28,32,36,40),0)/100))/B2979))))/Skills!H11+0.000000001),1)))/Inputs!$B$43),G2948*Q2948))*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Hunt"),CHOOSE(ArtifactsInput!$N$35+1,15,18,21,24,27,30)*(1-EXP(-(0.2*B2970)*5)),0)+IF(AND(ArtifactsInput!$M$22,Inputs!$B$4&lt;&gt;"Chapter Hunt"),CHOOSE(ArtifactsInput!$N$22+1,10,12,14,16,18,20)*((0*(((0.15*B2970*5))^0/1)+1*(((0.15*B2970*5))^1/1)+2*(((0.15*B2970*5))^2/2)+3*(((0.15*B2970*5))^3/6)+4*(((0.15*B2970*5))^4/24)+5*(((0.15*B2970*5))^5/120))/((((0.15*B2970*5))^0/1)+(((0.15*B2970*5))^1/1)+(((0.15*B2970*5))^2/2)+(((0.15*B2970*5))^3/6)+(((0.15*B2970*5))^4/24)+(((0.15*B2970*5))^5/120))),0))+IF(Inputs!$B$3&gt;=54,9*(C2940=TRUE)*MIN(1,8*(1+Inputs!$B$34/100)*Q2940)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2948*(1-MIN(100,(Inputs!$B$9+((C2956=TRUE)*(F2956-Calc!F19))+B2968+(ArtifactsInput!$M$24-ArtifactsInput!$M$24)*CHOOSE(ArtifactsInput!$N$24+1,10,12,14,16,18,20)+(IF(AND(Inputs!$B$38&lt;&gt;"pvp",Inputs!$B$43=0),1,IF(IF(Inputs!$B$38="pvp",15,Inputs!$B$43)-(B2975)&lt;=0,1,MAX(0,IF(Inputs!$B$38="pvp",15,Inputs!$B$43)-MAX(5,B2975))/(IF(Inputs!$B$38="pvp",15,Inputs!$B$43)-(B2975))))*IF(AND(ArtifactsInput!$M$42,((Inputs!$B$9+((C2956=TRUE)*(F2956-Calc!F19))+B2968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2948*(MIN(100,(Inputs!$B$9+((C2956=TRUE)*(F2956-Calc!F19))+B2968+(ArtifactsInput!$M$24-ArtifactsInput!$M$24)*CHOOSE(ArtifactsInput!$N$24+1,10,12,14,16,18,20)+(IF(AND(Inputs!$B$38&lt;&gt;"pvp",Inputs!$B$43=0),1,IF(IF(Inputs!$B$38="pvp",15,Inputs!$B$43)-(B2975)&lt;=0,1,MAX(0,IF(Inputs!$B$38="pvp",15,Inputs!$B$43)-MAX(5,B2975))/(IF(Inputs!$B$38="pvp",15,Inputs!$B$43)-(B2975))))*IF(AND(ArtifactsInput!$M$42,((Inputs!$B$9+((C2956=TRUE)*(F2956-Calc!F19))+B2968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2948*(1-MIN(100,(Inputs!$B$9+((C2956=TRUE)*(F2956-Calc!F19))+B2968+(ArtifactsInput!$M$24-ArtifactsInput!$M$24)*CHOOSE(ArtifactsInput!$N$24+1,10,12,14,16,18,20)+(IF(AND(Inputs!$B$38&lt;&gt;"pvp",Inputs!$B$43=0),1,IF(IF(Inputs!$B$38="pvp",15,Inputs!$B$43)-(B2975)&lt;=0,1,MAX(0,IF(Inputs!$B$38="pvp",15,Inputs!$B$43)-MAX(5,B2975))/(IF(Inputs!$B$38="pvp",15,Inputs!$B$43)-(B2975))))*IF(AND(ArtifactsInput!$M$42,((Inputs!$B$9+((C2956=TRUE)*(F2956-Calc!F19))+B2968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2948*(MIN(100,(Inputs!$B$9+((C2956=TRUE)*(F2956-Calc!F19))+B2968+(ArtifactsInput!$M$24-ArtifactsInput!$M$24)*CHOOSE(ArtifactsInput!$N$24+1,10,12,14,16,18,20)+(IF(AND(Inputs!$B$38&lt;&gt;"pvp",Inputs!$B$43=0),1,IF(IF(Inputs!$B$38="pvp",15,Inputs!$B$43)-(B2975)&lt;=0,1,MAX(0,IF(Inputs!$B$38="pvp",15,Inputs!$B$43)-MAX(5,B2975))/(IF(Inputs!$B$38="pvp",15,Inputs!$B$43)-(B2975))))*IF(AND(ArtifactsInput!$M$42,((Inputs!$B$9+((C2956=TRUE)*(F2956-Calc!F19))+B2968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948">
        <f>IF(C2948,(H2948*N2948*IF(AND(Inputs!$B$38&lt;&gt;"pvp",Inputs!$B$43&gt;0),((Skills!G11*((R2948-1)*IF(Skills!H11&gt;0,INT(Skills!I11/Skills!H11+0.000000001),1)+IF(Skills!H11&gt;0,INT(MIN(Skills!I11,MAX(0,MAX(0,Inputs!$B$43-B2975)-((R2948-1)*((IF(Inputs!$B$38="pvp",15,MAX(0.1,Skills!D11-IF(TRUE=TRUE,0.5,0)))*(1-IF(AND(ArtifactsInput!$M$27,Inputs!$B$4="Chapter Hunt"),CHOOSE(ArtifactsInput!$N$27+1,20,24,28,32,36,40),0)/100))/B2979))))/Skills!H11+0.000000001),1)))/Inputs!$B$43),G2948*Q2948))*IF(Inputs!$B$38="pvp",1,(1+(Inputs!$B$21+Skills!Q11+(IF(ArtifactsInput!$M$33,CHOOSE(ArtifactsInput!$N$33+1,30,36,42,48,54,60),0))+(IF(AND(ArtifactsInput!$M$35,Inputs!$B$4&lt;&gt;"Chapter Hunt"),CHOOSE(ArtifactsInput!$N$35+1,15,18,21,24,27,30)*(1-EXP(-(0.2*B2970)*5)),0)+IF(AND(ArtifactsInput!$M$22,Inputs!$B$4&lt;&gt;"Chapter Hunt"),CHOOSE(ArtifactsInput!$N$22+1,10,12,14,16,18,20)*((0*(((0.15*B2970*5))^0/1)+1*(((0.15*B2970*5))^1/1)+2*(((0.15*B2970*5))^2/2)+3*(((0.15*B2970*5))^3/6)+4*(((0.15*B2970*5))^4/24)+5*(((0.15*B2970*5))^5/120))/((((0.15*B2970*5))^0/1)+(((0.15*B2970*5))^1/1)+(((0.15*B2970*5))^2/2)+(((0.15*B2970*5))^3/6)+(((0.15*B2970*5))^4/24)+(((0.15*B2970*5))^5/120))),0))+IF(Inputs!$B$3&gt;=54,9*(C2940=TRUE)*MIN(1,8*(1+Inputs!$B$34/100)*Q2940)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49">
      <c r="A2949">
        <f>Skills!A12</f>
        <v/>
      </c>
      <c r="B2949">
        <f>Skills!B12</f>
        <v/>
      </c>
      <c r="C2949">
        <f>Inputs!$B$3&gt;=110</f>
        <v/>
      </c>
      <c r="D2949">
        <f>IF(Skills!C12=1,60+Inputs!$B$25+Inputs!$B$29,IF(Skills!C12=2,90+Inputs!$B$26+Inputs!$B$29,IF(Skills!C12=3,120+Inputs!$B$27+Inputs!$B$29,MAX(0,(Inputs!$B$3-100)*3)+Inputs!$B$28+Inputs!$B$29)))</f>
        <v/>
      </c>
      <c r="E2949">
        <f>INDEX(FactorTable!$B$2:$Y$301, MATCH(ROUND(MIN(300,MAX(1,D2949)),0), FactorTable!$A$2:$A$301,0), Skills!M12+1)</f>
        <v/>
      </c>
      <c r="F2949">
        <f>IF(Skills!N12=TRUE,(Skills!L12/10)*(E2949/1000),Skills!L12/10)+Skills!O12</f>
        <v/>
      </c>
      <c r="G2949">
        <f>Skills!G12*IF(Skills!H12&gt;0,INT(IF(Inputs!$B$38="pvp",MIN(Skills!I12,15),Skills!I12)/Skills!H12+0.000000001),1)</f>
        <v/>
      </c>
      <c r="H2949">
        <f>1-(1-Skills!J12/100)^Skills!K12</f>
        <v/>
      </c>
      <c r="I2949" t="inlineStr">
        <is>
          <t>1</t>
        </is>
      </c>
      <c r="J2949">
        <f>((Inputs!$B$6*(1+Inputs!$B$7/100))+(((Inputs!$B$12*(1+Inputs!$B$13/100))-(Inputs!$B$12*(1+Inputs!$B$13/100)))+0.25*(Inputs!$B$14-Inputs!$B$14))*(1+Inputs!$B$7/100))*(F2949/100)</f>
        <v/>
      </c>
      <c r="K2949">
        <f>J2949*(1+((Inputs!$B$12*(1+Inputs!$B$13/100))*0.01+Inputs!$B$14*0.0025)/100)*(1+Inputs!$B$15/100)*(1+Inputs!$B$16/100)*(5000/(6000+Inputs!$B$42*(1-(100*(1-(1-(Inputs!$B$19+0)/100)*(1-CHOOSE(ArtifactsInput!$N$40+1,5,6,7,8,9,10)/100)^(ArtifactsInput!$M$40-ArtifactsInput!$M$40)))/100)))*(1+(Inputs!$B$24+((C2963=TRUE)*(F2963-Calc!F26))+B2974)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EIGHT_LEGS_EASTON",Inputs!$B$17+((C2960=TRUE)*(F2960-Calc!F23))+((C2964=TRUE)*(F2964-Calc!F27))+((IF(AND(Inputs!$B$38&lt;&gt;"pvp",Inputs!$B$43=0),1,IF(IF(Inputs!$B$38="pvp",15,Inputs!$B$43)-(B2975)&lt;=0,1,MAX(0,IF(Inputs!$B$38="pvp",15,Inputs!$B$43)-MAX(5,B2975))/(IF(Inputs!$B$38="pvp",15,Inputs!$B$43)-(B2975))))*(IF(AND(ArtifactsInput!$M$42,((Inputs!$B$9+((C2956=TRUE)*(F2956-Calc!F19))+B2968+(ArtifactsInput!$M$24-ArtifactsInput!$M$24)*CHOOSE(ArtifactsInput!$N$24+1,10,12,14,16,18,20)+IF(ArtifactsInput!$M$10,CHOOSE(ArtifactsInput!$N$10+1,15,18,21,24,27,30)*(IF(Inputs!$B$38="pvp",MIN(15,15)/15,IF(AND(Inputs!$B$38&lt;&gt;"pvp",Inputs!$B$43&gt;0),MIN(15,Inputs!$B$43)/(Inputs!$B$43),0))),0)))&gt;=100),MIN(100,((Inputs!$B$9+((C2956=TRUE)*(F2956-Calc!F19))+B2968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2975)&lt;=0,1,MAX(0,IF(Inputs!$B$38="pvp",15,Inputs!$B$43)-MAX(5,B2975))/(IF(Inputs!$B$38="pvp",15,Inputs!$B$43)-(B2975))))*IF(AND(ArtifactsInput!$M$42,((Inputs!$B$9+((C2956=TRUE)*(F2956-Calc!F19))+B2968+(ArtifactsInput!$M$24-ArtifactsInput!$M$24)*CHOOSE(ArtifactsInput!$N$24+1,10,12,14,16,18,20)+IF(ArtifactsInput!$M$10,CHOOSE(ArtifactsInput!$N$10+1,15,18,21,24,27,30)*(IF(Inputs!$B$38="pvp",MIN(15,15)/15,IF(AND(Inputs!$B$38&lt;&gt;"pvp",Inputs!$B$43&gt;0),MIN(15,Inputs!$B$43)/(Inputs!$B$43),0))),0)))&gt;=100),CHOOSE(ArtifactsInput!$N$42+1,40,48,56,64,72,80),0))))/100)*((1+(((C2954=TRUE)*F2954*5/7)+((C2961=TRUE)*(F2961-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2949)</f>
        <v/>
      </c>
      <c r="L2949">
        <f>K2949*(MIN(Inputs!$B$22+((C2959=TRUE)*(F2959-Calc!F22)),(Inputs!$B$23+0+(IF(ArtifactsInput!$M$15,CHOOSE(ArtifactsInput!$N$15+1,25,30,35,40,45,50)/100*(Inputs!$B$11-Inputs!$B$11),0))))/100+(Inputs!$B$23+0+(IF(ArtifactsInput!$M$15,CHOOSE(ArtifactsInput!$N$15+1,25,30,35,40,45,50)/100*(Inputs!$B$11-Inputs!$B$11),0)))/100)/2</f>
        <v/>
      </c>
      <c r="M2949">
        <f>L2949*(1+(Inputs!$B$10+((C2962=TRUE)*(F2962-Calc!F25))+B2973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49">
        <f>L2949*(1-MIN((Inputs!$B$9+((C2956=TRUE)*(F2956-Calc!F19))+B2968+(ArtifactsInput!$M$24-ArtifactsInput!$M$24)*CHOOSE(ArtifactsInput!$N$24+1,10,12,14,16,18,20)+(IF(AND(Inputs!$B$38&lt;&gt;"pvp",Inputs!$B$43=0),1,IF(IF(Inputs!$B$38="pvp",15,Inputs!$B$43)-(B2975)&lt;=0,1,MAX(0,IF(Inputs!$B$38="pvp",15,Inputs!$B$43)-MAX(5,B2975))/(IF(Inputs!$B$38="pvp",15,Inputs!$B$43)-(B2975))))*IF(AND(ArtifactsInput!$M$42,((Inputs!$B$9+((C2956=TRUE)*(F2956-Calc!F19))+B2968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2949*(MIN((Inputs!$B$9+((C2956=TRUE)*(F2956-Calc!F19))+B2968+(ArtifactsInput!$M$24-ArtifactsInput!$M$24)*CHOOSE(ArtifactsInput!$N$24+1,10,12,14,16,18,20)+(IF(AND(Inputs!$B$38&lt;&gt;"pvp",Inputs!$B$43=0),1,IF(IF(Inputs!$B$38="pvp",15,Inputs!$B$43)-(B2975)&lt;=0,1,MAX(0,IF(Inputs!$B$38="pvp",15,Inputs!$B$43)-MAX(5,B2975))/(IF(Inputs!$B$38="pvp",15,Inputs!$B$43)-(B2975))))*IF(AND(ArtifactsInput!$M$42,((Inputs!$B$9+((C2956=TRUE)*(F2956-Calc!F19))+B2968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49">
        <f>(1-Summary!$B$11)*T2949+Summary!$B$11*V2949</f>
        <v/>
      </c>
      <c r="P2949">
        <f>IF(B2978=0,0,O2949/B2978)</f>
        <v/>
      </c>
      <c r="Q2949">
        <f>IFERROR(1/(IF(Inputs!$B$38="pvp",15,MAX(0.1,Skills!D12-IF(TRUE=TRUE,0.5,0)))*(1-IF(AND(ArtifactsInput!$M$27,Inputs!$B$4="Chapter Hunt"),CHOOSE(ArtifactsInput!$N$27+1,20,24,28,32,36,40),0)/100)),0)</f>
        <v/>
      </c>
      <c r="R2949">
        <f>IF(AND(Inputs!$B$38&lt;&gt;"pvp",Inputs!$B$43&gt;0),IF(MAX(0,Inputs!$B$43-B2975)&lt;=0,0,(INT(MAX(0,Inputs!$B$43-B2975)/(IF(Inputs!$B$38="pvp",15,MAX(0.1,Skills!D12-IF(TRUE=TRUE,0.5,0)))*(1-IF(AND(ArtifactsInput!$M$27,Inputs!$B$4="Chapter Hunt"),CHOOSE(ArtifactsInput!$N$27+1,20,24,28,32,36,40),0)/100)))+1)),0)</f>
        <v/>
      </c>
      <c r="S2949">
        <f>IFERROR(O2949/N2949,0)</f>
        <v/>
      </c>
      <c r="T2949">
        <f>IF(C2949,(H2949*N2949*IF(AND(Inputs!$B$38&lt;&gt;"pvp",Inputs!$B$43&gt;0),((Skills!G12*((R2949-1)*IF(Skills!H12&gt;0,INT(Skills!I12/Skills!H12+0.000000001),1)+IF(Skills!H12&gt;0,INT(MIN(Skills!I12,MAX(0,MAX(0,Inputs!$B$43-B2975)-((R2949-1)*(IF(Inputs!$B$38="pvp",15,MAX(0.1,Skills!D12-IF(TRUE=TRUE,0.5,0)))*(1-IF(AND(ArtifactsInput!$M$27,Inputs!$B$4="Chapter Hunt"),CHOOSE(ArtifactsInput!$N$27+1,20,24,28,32,36,40),0)/100)))))/Skills!H12+0.000000001),1)))/Inputs!$B$43),G2949*Q2949))*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Hunt"),CHOOSE(ArtifactsInput!$N$35+1,15,18,21,24,27,30)*(1-EXP(-(0.2*B2970)*5)),0)+IF(AND(ArtifactsInput!$M$22,Inputs!$B$4&lt;&gt;"Chapter Hunt"),CHOOSE(ArtifactsInput!$N$22+1,10,12,14,16,18,20)*((0*(((0.15*B2970*5))^0/1)+1*(((0.15*B2970*5))^1/1)+2*(((0.15*B2970*5))^2/2)+3*(((0.15*B2970*5))^3/6)+4*(((0.15*B2970*5))^4/24)+5*(((0.15*B2970*5))^5/120))/((((0.15*B2970*5))^0/1)+(((0.15*B2970*5))^1/1)+(((0.15*B2970*5))^2/2)+(((0.15*B2970*5))^3/6)+(((0.15*B2970*5))^4/24)+(((0.15*B2970*5))^5/120))),0))+IF(Inputs!$B$3&gt;=54,9*(C2940=TRUE)*MIN(1,8*(1+Inputs!$B$34/100)*Q2940)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2949*(1-MIN(100,(Inputs!$B$9+((C2956=TRUE)*(F2956-Calc!F19))+B2968+(ArtifactsInput!$M$24-ArtifactsInput!$M$24)*CHOOSE(ArtifactsInput!$N$24+1,10,12,14,16,18,20)+(IF(AND(Inputs!$B$38&lt;&gt;"pvp",Inputs!$B$43=0),1,IF(IF(Inputs!$B$38="pvp",15,Inputs!$B$43)-(B2975)&lt;=0,1,MAX(0,IF(Inputs!$B$38="pvp",15,Inputs!$B$43)-MAX(5,B2975))/(IF(Inputs!$B$38="pvp",15,Inputs!$B$43)-(B2975))))*IF(AND(ArtifactsInput!$M$42,((Inputs!$B$9+((C2956=TRUE)*(F2956-Calc!F19))+B2968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2949*(MIN(100,(Inputs!$B$9+((C2956=TRUE)*(F2956-Calc!F19))+B2968+(ArtifactsInput!$M$24-ArtifactsInput!$M$24)*CHOOSE(ArtifactsInput!$N$24+1,10,12,14,16,18,20)+(IF(AND(Inputs!$B$38&lt;&gt;"pvp",Inputs!$B$43=0),1,IF(IF(Inputs!$B$38="pvp",15,Inputs!$B$43)-(B2975)&lt;=0,1,MAX(0,IF(Inputs!$B$38="pvp",15,Inputs!$B$43)-MAX(5,B2975))/(IF(Inputs!$B$38="pvp",15,Inputs!$B$43)-(B2975))))*IF(AND(ArtifactsInput!$M$42,((Inputs!$B$9+((C2956=TRUE)*(F2956-Calc!F19))+B2968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2949*(1-MIN(100,(Inputs!$B$9+((C2956=TRUE)*(F2956-Calc!F19))+B2968+(ArtifactsInput!$M$24-ArtifactsInput!$M$24)*CHOOSE(ArtifactsInput!$N$24+1,10,12,14,16,18,20)+(IF(AND(Inputs!$B$38&lt;&gt;"pvp",Inputs!$B$43=0),1,IF(IF(Inputs!$B$38="pvp",15,Inputs!$B$43)-(B2975)&lt;=0,1,MAX(0,IF(Inputs!$B$38="pvp",15,Inputs!$B$43)-MAX(5,B2975))/(IF(Inputs!$B$38="pvp",15,Inputs!$B$43)-(B2975))))*IF(AND(ArtifactsInput!$M$42,((Inputs!$B$9+((C2956=TRUE)*(F2956-Calc!F19))+B2968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2949*(MIN(100,(Inputs!$B$9+((C2956=TRUE)*(F2956-Calc!F19))+B2968+(ArtifactsInput!$M$24-ArtifactsInput!$M$24)*CHOOSE(ArtifactsInput!$N$24+1,10,12,14,16,18,20)+(IF(AND(Inputs!$B$38&lt;&gt;"pvp",Inputs!$B$43=0),1,IF(IF(Inputs!$B$38="pvp",15,Inputs!$B$43)-(B2975)&lt;=0,1,MAX(0,IF(Inputs!$B$38="pvp",15,Inputs!$B$43)-MAX(5,B2975))/(IF(Inputs!$B$38="pvp",15,Inputs!$B$43)-(B2975))))*IF(AND(ArtifactsInput!$M$42,((Inputs!$B$9+((C2956=TRUE)*(F2956-Calc!F19))+B2968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949">
        <f>IF(C2949,(H2949*N2949*IF(AND(Inputs!$B$38&lt;&gt;"pvp",Inputs!$B$43&gt;0),((Skills!G12*((R2949-1)*IF(Skills!H12&gt;0,INT(Skills!I12/Skills!H12+0.000000001),1)+IF(Skills!H12&gt;0,INT(MIN(Skills!I12,MAX(0,MAX(0,Inputs!$B$43-B2975)-((R2949-1)*(IF(Inputs!$B$38="pvp",15,MAX(0.1,Skills!D12-IF(TRUE=TRUE,0.5,0)))*(1-IF(AND(ArtifactsInput!$M$27,Inputs!$B$4="Chapter Hunt"),CHOOSE(ArtifactsInput!$N$27+1,20,24,28,32,36,40),0)/100)))))/Skills!H12+0.000000001),1)))/Inputs!$B$43),G2949*Q2949))*IF(Inputs!$B$38="pvp",1,(1+(Inputs!$B$21+Skills!Q12+(IF(ArtifactsInput!$M$33,CHOOSE(ArtifactsInput!$N$33+1,30,36,42,48,54,60),0))+(IF(AND(ArtifactsInput!$M$35,Inputs!$B$4&lt;&gt;"Chapter Hunt"),CHOOSE(ArtifactsInput!$N$35+1,15,18,21,24,27,30)*(1-EXP(-(0.2*B2970)*5)),0)+IF(AND(ArtifactsInput!$M$22,Inputs!$B$4&lt;&gt;"Chapter Hunt"),CHOOSE(ArtifactsInput!$N$22+1,10,12,14,16,18,20)*((0*(((0.15*B2970*5))^0/1)+1*(((0.15*B2970*5))^1/1)+2*(((0.15*B2970*5))^2/2)+3*(((0.15*B2970*5))^3/6)+4*(((0.15*B2970*5))^4/24)+5*(((0.15*B2970*5))^5/120))/((((0.15*B2970*5))^0/1)+(((0.15*B2970*5))^1/1)+(((0.15*B2970*5))^2/2)+(((0.15*B2970*5))^3/6)+(((0.15*B2970*5))^4/24)+(((0.15*B2970*5))^5/120))),0))+IF(Inputs!$B$3&gt;=54,9*(C2940=TRUE)*MIN(1,8*(1+Inputs!$B$34/100)*Q2940),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50">
      <c r="A2950">
        <f>Skills!A13</f>
        <v/>
      </c>
      <c r="B2950">
        <f>Skills!B13</f>
        <v/>
      </c>
      <c r="C2950">
        <f>Inputs!$B$3&gt;=110</f>
        <v/>
      </c>
      <c r="D2950">
        <f>IF(Skills!C13=1,60+Inputs!$B$25+Inputs!$B$29,IF(Skills!C13=2,90+Inputs!$B$26+Inputs!$B$29,IF(Skills!C13=3,120+Inputs!$B$27+Inputs!$B$29,MAX(0,(Inputs!$B$3-100)*3)+Inputs!$B$28+Inputs!$B$29)))</f>
        <v/>
      </c>
      <c r="E2950">
        <f>INDEX(FactorTable!$B$2:$Y$301, MATCH(ROUND(MIN(300,MAX(1,D2950)),0), FactorTable!$A$2:$A$301,0), Skills!M13+1)</f>
        <v/>
      </c>
      <c r="F2950">
        <f>IF(Skills!N13=TRUE,(Skills!L13/10)*(E2950/1000),Skills!L13/10)+Skills!O13</f>
        <v/>
      </c>
      <c r="G2950">
        <f>Skills!G13*IF(Skills!H13&gt;0,INT(IF(Inputs!$B$38="pvp",MIN(Skills!I13,15),Skills!I13)/Skills!H13+0.000000001),1)</f>
        <v/>
      </c>
      <c r="H2950">
        <f>1-(1-Skills!J13/100)^Skills!K13</f>
        <v/>
      </c>
      <c r="I2950" t="inlineStr">
        <is>
          <t>1</t>
        </is>
      </c>
      <c r="J2950">
        <f>((Inputs!$B$6*(1+Inputs!$B$7/100))+(((Inputs!$B$12*(1+Inputs!$B$13/100))-(Inputs!$B$12*(1+Inputs!$B$13/100)))+0.25*(Inputs!$B$14-Inputs!$B$14))*(1+Inputs!$B$7/100))*(F2950/100)</f>
        <v/>
      </c>
      <c r="K2950">
        <f>J2950*(1+((Inputs!$B$12*(1+Inputs!$B$13/100))*0.01+Inputs!$B$14*0.0025)/100)*(1+Inputs!$B$15/100)*(1+Inputs!$B$16/100)*(5000/(6000+Inputs!$B$42*(1-(100*(1-(1-(Inputs!$B$19+0)/100)*(1-CHOOSE(ArtifactsInput!$N$40+1,5,6,7,8,9,10)/100)^(ArtifactsInput!$M$40-ArtifactsInput!$M$40)))/100)))*(1+(Inputs!$B$24+((C2963=TRUE)*(F2963-Calc!F26))+B2974)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EIGHT_LEGS_EASTON",Inputs!$B$17+((C2960=TRUE)*(F2960-Calc!F23))+((C2964=TRUE)*(F2964-Calc!F27))+((IF(AND(Inputs!$B$38&lt;&gt;"pvp",Inputs!$B$43=0),1,IF(IF(Inputs!$B$38="pvp",15,Inputs!$B$43)-(B2975)&lt;=0,1,MAX(0,IF(Inputs!$B$38="pvp",15,Inputs!$B$43)-MAX(5,B2975))/(IF(Inputs!$B$38="pvp",15,Inputs!$B$43)-(B2975))))*(IF(AND(ArtifactsInput!$M$42,((Inputs!$B$9+((C2956=TRUE)*(F2956-Calc!F19))+B2968+(ArtifactsInput!$M$24-ArtifactsInput!$M$24)*CHOOSE(ArtifactsInput!$N$24+1,10,12,14,16,18,20)+IF(ArtifactsInput!$M$10,CHOOSE(ArtifactsInput!$N$10+1,15,18,21,24,27,30)*(IF(Inputs!$B$38="pvp",MIN(15,15)/15,IF(AND(Inputs!$B$38&lt;&gt;"pvp",Inputs!$B$43&gt;0),MIN(15,Inputs!$B$43)/(Inputs!$B$43),0))),0)))&gt;=100),MIN(100,((Inputs!$B$9+((C2956=TRUE)*(F2956-Calc!F19))+B2968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2975)&lt;=0,1,MAX(0,IF(Inputs!$B$38="pvp",15,Inputs!$B$43)-MAX(5,B2975))/(IF(Inputs!$B$38="pvp",15,Inputs!$B$43)-(B2975))))*IF(AND(ArtifactsInput!$M$42,((Inputs!$B$9+((C2956=TRUE)*(F2956-Calc!F19))+B2968+(ArtifactsInput!$M$24-ArtifactsInput!$M$24)*CHOOSE(ArtifactsInput!$N$24+1,10,12,14,16,18,20)+IF(ArtifactsInput!$M$10,CHOOSE(ArtifactsInput!$N$10+1,15,18,21,24,27,30)*(IF(Inputs!$B$38="pvp",MIN(15,15)/15,IF(AND(Inputs!$B$38&lt;&gt;"pvp",Inputs!$B$43&gt;0),MIN(15,Inputs!$B$43)/(Inputs!$B$43),0))),0)))&gt;=100),CHOOSE(ArtifactsInput!$N$42+1,40,48,56,64,72,80),0))))/100)*((1+(((C2954=TRUE)*F2954*5/7)+((C2961=TRUE)*(F2961-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2950)</f>
        <v/>
      </c>
      <c r="L2950">
        <f>K2950*(MIN(Inputs!$B$22+((C2959=TRUE)*(F2959-Calc!F22)),(Inputs!$B$23+0+(IF(ArtifactsInput!$M$15,CHOOSE(ArtifactsInput!$N$15+1,25,30,35,40,45,50)/100*(Inputs!$B$11-Inputs!$B$11),0))))/100+(Inputs!$B$23+0+(IF(ArtifactsInput!$M$15,CHOOSE(ArtifactsInput!$N$15+1,25,30,35,40,45,50)/100*(Inputs!$B$11-Inputs!$B$11),0)))/100)/2</f>
        <v/>
      </c>
      <c r="M2950">
        <f>L2950*(1+(Inputs!$B$10+((C2962=TRUE)*(F2962-Calc!F25))+B2973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50">
        <f>L2950*(1-MIN((Inputs!$B$9+((C2956=TRUE)*(F2956-Calc!F19))+B2968+(ArtifactsInput!$M$24-ArtifactsInput!$M$24)*CHOOSE(ArtifactsInput!$N$24+1,10,12,14,16,18,20)+(IF(AND(Inputs!$B$38&lt;&gt;"pvp",Inputs!$B$43=0),1,IF(IF(Inputs!$B$38="pvp",15,Inputs!$B$43)-(B2975)&lt;=0,1,MAX(0,IF(Inputs!$B$38="pvp",15,Inputs!$B$43)-MAX(5,B2975))/(IF(Inputs!$B$38="pvp",15,Inputs!$B$43)-(B2975))))*IF(AND(ArtifactsInput!$M$42,((Inputs!$B$9+((C2956=TRUE)*(F2956-Calc!F19))+B2968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2950*(MIN((Inputs!$B$9+((C2956=TRUE)*(F2956-Calc!F19))+B2968+(ArtifactsInput!$M$24-ArtifactsInput!$M$24)*CHOOSE(ArtifactsInput!$N$24+1,10,12,14,16,18,20)+(IF(AND(Inputs!$B$38&lt;&gt;"pvp",Inputs!$B$43=0),1,IF(IF(Inputs!$B$38="pvp",15,Inputs!$B$43)-(B2975)&lt;=0,1,MAX(0,IF(Inputs!$B$38="pvp",15,Inputs!$B$43)-MAX(5,B2975))/(IF(Inputs!$B$38="pvp",15,Inputs!$B$43)-(B2975))))*IF(AND(ArtifactsInput!$M$42,((Inputs!$B$9+((C2956=TRUE)*(F2956-Calc!F19))+B2968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50">
        <f>(1-Summary!$B$11)*T2950+Summary!$B$11*V2950</f>
        <v/>
      </c>
      <c r="P2950">
        <f>IF(B2978=0,0,O2950/B2978)</f>
        <v/>
      </c>
      <c r="Q2950">
        <f>IFERROR(1/(IF(Inputs!$B$38="pvp",15,MAX(0.1,Skills!D13-IF(TRUE=TRUE,0.5,0)))*(1-IF(AND(ArtifactsInput!$M$27,Inputs!$B$4="Chapter Hunt"),CHOOSE(ArtifactsInput!$N$27+1,20,24,28,32,36,40),0)/100)),0)</f>
        <v/>
      </c>
      <c r="R2950">
        <f>IF(AND(Inputs!$B$38&lt;&gt;"pvp",Inputs!$B$43&gt;0),IF(MAX(0,Inputs!$B$43-B2975)&lt;=0,0,(INT(MAX(0,Inputs!$B$43-B2975)/(IF(Inputs!$B$38="pvp",15,MAX(0.1,Skills!D13-IF(TRUE=TRUE,0.5,0)))*(1-IF(AND(ArtifactsInput!$M$27,Inputs!$B$4="Chapter Hunt"),CHOOSE(ArtifactsInput!$N$27+1,20,24,28,32,36,40),0)/100)))+1)),0)</f>
        <v/>
      </c>
      <c r="S2950">
        <f>IFERROR(O2950/N2950,0)</f>
        <v/>
      </c>
      <c r="T2950">
        <f>IF(C2950,(H2950*N2950*IF(AND(Inputs!$B$38&lt;&gt;"pvp",Inputs!$B$43&gt;0),((Skills!G13*((R2950-1)*IF(Skills!H13&gt;0,INT(Skills!I13/Skills!H13+0.000000001),1)+IF(Skills!H13&gt;0,INT(MIN(Skills!I13,MAX(0,MAX(0,Inputs!$B$43-B2975)-((R2950-1)*(IF(Inputs!$B$38="pvp",15,MAX(0.1,Skills!D13-IF(TRUE=TRUE,0.5,0)))*(1-IF(AND(ArtifactsInput!$M$27,Inputs!$B$4="Chapter Hunt"),CHOOSE(ArtifactsInput!$N$27+1,20,24,28,32,36,40),0)/100)))))/Skills!H13+0.000000001),1)))/Inputs!$B$43),G2950*Q2950))*IF(Inputs!$B$38="pvp",1,1+(Inputs!$B$20+0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Hunt"),CHOOSE(ArtifactsInput!$N$35+1,15,18,21,24,27,30)*(1-EXP(-(0.2*B2970)*5)),0)+IF(AND(ArtifactsInput!$M$22,Inputs!$B$4&lt;&gt;"Chapter Hunt"),CHOOSE(ArtifactsInput!$N$22+1,10,12,14,16,18,20)*((0*(((0.15*B2970*5))^0/1)+1*(((0.15*B2970*5))^1/1)+2*(((0.15*B2970*5))^2/2)+3*(((0.15*B2970*5))^3/6)+4*(((0.15*B2970*5))^4/24)+5*(((0.15*B2970*5))^5/120))/((((0.15*B2970*5))^0/1)+(((0.15*B2970*5))^1/1)+(((0.15*B2970*5))^2/2)+(((0.15*B2970*5))^3/6)+(((0.15*B2970*5))^4/24)+(((0.15*B2970*5))^5/120))),0))+IF(Inputs!$B$3&gt;=54,9*(C2940=TRUE)*MIN(1,8*(1+Inputs!$B$34/100)*Q2940)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2950*(1-MIN(100,(Inputs!$B$9+((C2956=TRUE)*(F2956-Calc!F19))+B2968+(ArtifactsInput!$M$24-ArtifactsInput!$M$24)*CHOOSE(ArtifactsInput!$N$24+1,10,12,14,16,18,20)+(IF(AND(Inputs!$B$38&lt;&gt;"pvp",Inputs!$B$43=0),1,IF(IF(Inputs!$B$38="pvp",15,Inputs!$B$43)-(B2975)&lt;=0,1,MAX(0,IF(Inputs!$B$38="pvp",15,Inputs!$B$43)-MAX(5,B2975))/(IF(Inputs!$B$38="pvp",15,Inputs!$B$43)-(B2975))))*IF(AND(ArtifactsInput!$M$42,((Inputs!$B$9+((C2956=TRUE)*(F2956-Calc!F19))+B2968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2950*(MIN(100,(Inputs!$B$9+((C2956=TRUE)*(F2956-Calc!F19))+B2968+(ArtifactsInput!$M$24-ArtifactsInput!$M$24)*CHOOSE(ArtifactsInput!$N$24+1,10,12,14,16,18,20)+(IF(AND(Inputs!$B$38&lt;&gt;"pvp",Inputs!$B$43=0),1,IF(IF(Inputs!$B$38="pvp",15,Inputs!$B$43)-(B2975)&lt;=0,1,MAX(0,IF(Inputs!$B$38="pvp",15,Inputs!$B$43)-MAX(5,B2975))/(IF(Inputs!$B$38="pvp",15,Inputs!$B$43)-(B2975))))*IF(AND(ArtifactsInput!$M$42,((Inputs!$B$9+((C2956=TRUE)*(F2956-Calc!F19))+B2968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2950*(1-MIN(100,(Inputs!$B$9+((C2956=TRUE)*(F2956-Calc!F19))+B2968+(ArtifactsInput!$M$24-ArtifactsInput!$M$24)*CHOOSE(ArtifactsInput!$N$24+1,10,12,14,16,18,20)+(IF(AND(Inputs!$B$38&lt;&gt;"pvp",Inputs!$B$43=0),1,IF(IF(Inputs!$B$38="pvp",15,Inputs!$B$43)-(B2975)&lt;=0,1,MAX(0,IF(Inputs!$B$38="pvp",15,Inputs!$B$43)-MAX(5,B2975))/(IF(Inputs!$B$38="pvp",15,Inputs!$B$43)-(B2975))))*IF(AND(ArtifactsInput!$M$42,((Inputs!$B$9+((C2956=TRUE)*(F2956-Calc!F19))+B2968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2950*(MIN(100,(Inputs!$B$9+((C2956=TRUE)*(F2956-Calc!F19))+B2968+(ArtifactsInput!$M$24-ArtifactsInput!$M$24)*CHOOSE(ArtifactsInput!$N$24+1,10,12,14,16,18,20)+(IF(AND(Inputs!$B$38&lt;&gt;"pvp",Inputs!$B$43=0),1,IF(IF(Inputs!$B$38="pvp",15,Inputs!$B$43)-(B2975)&lt;=0,1,MAX(0,IF(Inputs!$B$38="pvp",15,Inputs!$B$43)-MAX(5,B2975))/(IF(Inputs!$B$38="pvp",15,Inputs!$B$43)-(B2975))))*IF(AND(ArtifactsInput!$M$42,((Inputs!$B$9+((C2956=TRUE)*(F2956-Calc!F19))+B2968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950">
        <f>IF(C2950,(H2950*N2950*IF(AND(Inputs!$B$38&lt;&gt;"pvp",Inputs!$B$43&gt;0),((Skills!G13*((R2950-1)*IF(Skills!H13&gt;0,INT(Skills!I13/Skills!H13+0.000000001),1)+IF(Skills!H13&gt;0,INT(MIN(Skills!I13,MAX(0,MAX(0,Inputs!$B$43-B2975)-((R2950-1)*(IF(Inputs!$B$38="pvp",15,MAX(0.1,Skills!D13-IF(TRUE=TRUE,0.5,0)))*(1-IF(AND(ArtifactsInput!$M$27,Inputs!$B$4="Chapter Hunt"),CHOOSE(ArtifactsInput!$N$27+1,20,24,28,32,36,40),0)/100)))))/Skills!H13+0.000000001),1)))/Inputs!$B$43),G2950*Q2950))*IF(Inputs!$B$38="pvp",1,(1+(Inputs!$B$21+Skills!Q13+(IF(ArtifactsInput!$M$33,CHOOSE(ArtifactsInput!$N$33+1,30,36,42,48,54,60),0))+(IF(AND(ArtifactsInput!$M$35,Inputs!$B$4&lt;&gt;"Chapter Hunt"),CHOOSE(ArtifactsInput!$N$35+1,15,18,21,24,27,30)*(1-EXP(-(0.2*B2970)*5)),0)+IF(AND(ArtifactsInput!$M$22,Inputs!$B$4&lt;&gt;"Chapter Hunt"),CHOOSE(ArtifactsInput!$N$22+1,10,12,14,16,18,20)*((0*(((0.15*B2970*5))^0/1)+1*(((0.15*B2970*5))^1/1)+2*(((0.15*B2970*5))^2/2)+3*(((0.15*B2970*5))^3/6)+4*(((0.15*B2970*5))^4/24)+5*(((0.15*B2970*5))^5/120))/((((0.15*B2970*5))^0/1)+(((0.15*B2970*5))^1/1)+(((0.15*B2970*5))^2/2)+(((0.15*B2970*5))^3/6)+(((0.15*B2970*5))^4/24)+(((0.15*B2970*5))^5/120))),0))+IF(Inputs!$B$3&gt;=54,9*(C2940=TRUE)*MIN(1,8*(1+Inputs!$B$34/100)*Q2940),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51">
      <c r="A2951">
        <f>Skills!A14</f>
        <v/>
      </c>
      <c r="B2951">
        <f>Skills!B14</f>
        <v/>
      </c>
      <c r="C2951">
        <f>Inputs!$B$3&gt;=120</f>
        <v/>
      </c>
      <c r="D2951">
        <f>IF(Skills!C14=1,60+Inputs!$B$25+Inputs!$B$29,IF(Skills!C14=2,90+Inputs!$B$26+Inputs!$B$29,IF(Skills!C14=3,120+Inputs!$B$27+Inputs!$B$29,MAX(0,(Inputs!$B$3-100)*3)+Inputs!$B$28+Inputs!$B$29)))</f>
        <v/>
      </c>
      <c r="E2951">
        <f>INDEX(FactorTable!$B$2:$Y$301, MATCH(ROUND(MIN(300,MAX(1,D2951)),0), FactorTable!$A$2:$A$301,0), Skills!M14+1)</f>
        <v/>
      </c>
      <c r="F2951">
        <f>IF(Skills!N14=TRUE,(Skills!L14/10)*(E2951/1000),Skills!L14/10)+Skills!O14</f>
        <v/>
      </c>
      <c r="G2951">
        <f>Skills!G14*IF(Skills!H14&gt;0,INT(IF(Inputs!$B$38="pvp",MIN(Skills!I14,15),Skills!I14)/Skills!H14+0.000000001),1)</f>
        <v/>
      </c>
      <c r="H2951">
        <f>1-(1-Skills!J14/100)^Skills!K14</f>
        <v/>
      </c>
      <c r="I2951" t="inlineStr">
        <is>
          <t>1</t>
        </is>
      </c>
      <c r="J2951">
        <f>((Inputs!$B$6*(1+Inputs!$B$7/100))+(((Inputs!$B$12*(1+Inputs!$B$13/100))-(Inputs!$B$12*(1+Inputs!$B$13/100)))+0.25*(Inputs!$B$14-Inputs!$B$14))*(1+Inputs!$B$7/100))*(F2951/100)</f>
        <v/>
      </c>
      <c r="K2951">
        <f>J2951*(1+((Inputs!$B$12*(1+Inputs!$B$13/100))*0.01+Inputs!$B$14*0.0025)/100)*(1+Inputs!$B$15/100)*(1+Inputs!$B$16/100)*(5000/(6000+Inputs!$B$42*(1-(100*(1-(1-(Inputs!$B$19+0)/100)*(1-CHOOSE(ArtifactsInput!$N$40+1,5,6,7,8,9,10)/100)^(ArtifactsInput!$M$40-ArtifactsInput!$M$40)))/100)))*(1+(Inputs!$B$24+((C2963=TRUE)*(F2963-Calc!F26))+B2974)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EIGHT_LEGS_EASTON",Inputs!$B$17+((C2960=TRUE)*(F2960-Calc!F23))+((C2964=TRUE)*(F2964-Calc!F27))+((IF(AND(Inputs!$B$38&lt;&gt;"pvp",Inputs!$B$43=0),1,IF(IF(Inputs!$B$38="pvp",15,Inputs!$B$43)-(B2975)&lt;=0,1,MAX(0,IF(Inputs!$B$38="pvp",15,Inputs!$B$43)-MAX(5,B2975))/(IF(Inputs!$B$38="pvp",15,Inputs!$B$43)-(B2975))))*(IF(AND(ArtifactsInput!$M$42,((Inputs!$B$9+((C2956=TRUE)*(F2956-Calc!F19))+B2968+(ArtifactsInput!$M$24-ArtifactsInput!$M$24)*CHOOSE(ArtifactsInput!$N$24+1,10,12,14,16,18,20)+IF(ArtifactsInput!$M$10,CHOOSE(ArtifactsInput!$N$10+1,15,18,21,24,27,30)*(IF(Inputs!$B$38="pvp",MIN(15,15)/15,IF(AND(Inputs!$B$38&lt;&gt;"pvp",Inputs!$B$43&gt;0),MIN(15,Inputs!$B$43)/(Inputs!$B$43),0))),0)))&gt;=100),MIN(100,((Inputs!$B$9+((C2956=TRUE)*(F2956-Calc!F19))+B2968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2975)&lt;=0,1,MAX(0,IF(Inputs!$B$38="pvp",15,Inputs!$B$43)-MAX(5,B2975))/(IF(Inputs!$B$38="pvp",15,Inputs!$B$43)-(B2975))))*IF(AND(ArtifactsInput!$M$42,((Inputs!$B$9+((C2956=TRUE)*(F2956-Calc!F19))+B2968+(ArtifactsInput!$M$24-ArtifactsInput!$M$24)*CHOOSE(ArtifactsInput!$N$24+1,10,12,14,16,18,20)+IF(ArtifactsInput!$M$10,CHOOSE(ArtifactsInput!$N$10+1,15,18,21,24,27,30)*(IF(Inputs!$B$38="pvp",MIN(15,15)/15,IF(AND(Inputs!$B$38&lt;&gt;"pvp",Inputs!$B$43&gt;0),MIN(15,Inputs!$B$43)/(Inputs!$B$43),0))),0)))&gt;=100),CHOOSE(ArtifactsInput!$N$42+1,40,48,56,64,72,80),0))))/100)*((1+(((C2954=TRUE)*F2954*5/7)+((C2961=TRUE)*(F2961-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2951)</f>
        <v/>
      </c>
      <c r="L2951">
        <f>K2951*(MIN(Inputs!$B$22+((C2959=TRUE)*(F2959-Calc!F22)),(Inputs!$B$23+0+(IF(ArtifactsInput!$M$15,CHOOSE(ArtifactsInput!$N$15+1,25,30,35,40,45,50)/100*(Inputs!$B$11-Inputs!$B$11),0))))/100+(Inputs!$B$23+0+(IF(ArtifactsInput!$M$15,CHOOSE(ArtifactsInput!$N$15+1,25,30,35,40,45,50)/100*(Inputs!$B$11-Inputs!$B$11),0)))/100)/2</f>
        <v/>
      </c>
      <c r="M2951">
        <f>L2951*(1+(Inputs!$B$10+((C2962=TRUE)*(F2962-Calc!F25))+B2973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51">
        <f>L2951*(1-MIN((Inputs!$B$9+((C2956=TRUE)*(F2956-Calc!F19))+B2968+(ArtifactsInput!$M$24-ArtifactsInput!$M$24)*CHOOSE(ArtifactsInput!$N$24+1,10,12,14,16,18,20)+(IF(AND(Inputs!$B$38&lt;&gt;"pvp",Inputs!$B$43=0),1,IF(IF(Inputs!$B$38="pvp",15,Inputs!$B$43)-(B2975)&lt;=0,1,MAX(0,IF(Inputs!$B$38="pvp",15,Inputs!$B$43)-MAX(5,B2975))/(IF(Inputs!$B$38="pvp",15,Inputs!$B$43)-(B2975))))*IF(AND(ArtifactsInput!$M$42,((Inputs!$B$9+((C2956=TRUE)*(F2956-Calc!F19))+B2968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2951*(MIN((Inputs!$B$9+((C2956=TRUE)*(F2956-Calc!F19))+B2968+(ArtifactsInput!$M$24-ArtifactsInput!$M$24)*CHOOSE(ArtifactsInput!$N$24+1,10,12,14,16,18,20)+(IF(AND(Inputs!$B$38&lt;&gt;"pvp",Inputs!$B$43=0),1,IF(IF(Inputs!$B$38="pvp",15,Inputs!$B$43)-(B2975)&lt;=0,1,MAX(0,IF(Inputs!$B$38="pvp",15,Inputs!$B$43)-MAX(5,B2975))/(IF(Inputs!$B$38="pvp",15,Inputs!$B$43)-(B2975))))*IF(AND(ArtifactsInput!$M$42,((Inputs!$B$9+((C2956=TRUE)*(F2956-Calc!F19))+B2968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51">
        <f>(1-Summary!$B$11)*T2951+Summary!$B$11*V2951</f>
        <v/>
      </c>
      <c r="P2951">
        <f>IF(B2978=0,0,O2951/B2978)</f>
        <v/>
      </c>
      <c r="Q2951" t="n">
        <v>0</v>
      </c>
      <c r="R2951" t="n">
        <v>0</v>
      </c>
      <c r="S2951">
        <f>IFERROR(O2951/N2951,0)</f>
        <v/>
      </c>
      <c r="T2951">
        <f>IF(C2951,((H2951*(B2972+IF(AND(Inputs!$B$38&lt;&gt;"pvp",Inputs!$B$43&gt;0),((Skills!G8*((R2945-1)*IF(Skills!H8&gt;0,INT(Skills!I8/Skills!H8+0.000000001),1)+IF(Skills!H8&gt;0,INT(MIN(Skills!I8,MAX(0,MAX(0,Inputs!$B$43-B2975)-((R2945-1)*((IF(Inputs!$B$38="pvp",15,MAX(0.1,Skills!D8-IF(TRUE=TRUE,0.5,0)))*(1-IF(AND(ArtifactsInput!$M$27,Inputs!$B$4="Chapter Hunt"),CHOOSE(ArtifactsInput!$N$27+1,20,24,28,32,36,40),0)/100))/B2979))))/Skills!H8+0.000000001),1)))/Inputs!$B$43),G2945*Q2945)+IF(AND(Inputs!$B$38&lt;&gt;"pvp",Inputs!$B$43&gt;0),((Skills!G11*((R2948-1)*IF(Skills!H11&gt;0,INT(Skills!I11/Skills!H11+0.000000001),1)+IF(Skills!H11&gt;0,INT(MIN(Skills!I11,MAX(0,MAX(0,Inputs!$B$43-B2975)-((R2948-1)*((IF(Inputs!$B$38="pvp",15,MAX(0.1,Skills!D11-IF(TRUE=TRUE,0.5,0)))*(1-IF(AND(ArtifactsInput!$M$27,Inputs!$B$4="Chapter Hunt"),CHOOSE(ArtifactsInput!$N$27+1,20,24,28,32,36,40),0)/100))/B2979))))/Skills!H11+0.000000001),1)))/Inputs!$B$43),G2948*Q2948)))/(1+Skills!H14*H2951*(B2972+IF(AND(Inputs!$B$38&lt;&gt;"pvp",Inputs!$B$43&gt;0),((Skills!G8*((R2945-1)*IF(Skills!H8&gt;0,INT(Skills!I8/Skills!H8+0.000000001),1)+IF(Skills!H8&gt;0,INT(MIN(Skills!I8,MAX(0,MAX(0,Inputs!$B$43-B2975)-((R2945-1)*((IF(Inputs!$B$38="pvp",15,MAX(0.1,Skills!D8-IF(TRUE=TRUE,0.5,0)))*(1-IF(AND(ArtifactsInput!$M$27,Inputs!$B$4="Chapter Hunt"),CHOOSE(ArtifactsInput!$N$27+1,20,24,28,32,36,40),0)/100))/B2979))))/Skills!H8+0.000000001),1)))/Inputs!$B$43),G2945*Q2945)+IF(AND(Inputs!$B$38&lt;&gt;"pvp",Inputs!$B$43&gt;0),((Skills!G11*((R2948-1)*IF(Skills!H11&gt;0,INT(Skills!I11/Skills!H11+0.000000001),1)+IF(Skills!H11&gt;0,INT(MIN(Skills!I11,MAX(0,MAX(0,Inputs!$B$43-B2975)-((R2948-1)*((IF(Inputs!$B$38="pvp",15,MAX(0.1,Skills!D11-IF(TRUE=TRUE,0.5,0)))*(1-IF(AND(ArtifactsInput!$M$27,Inputs!$B$4="Chapter Hunt"),CHOOSE(ArtifactsInput!$N$27+1,20,24,28,32,36,40),0)/100))/B2979))))/Skills!H11+0.000000001),1)))/Inputs!$B$43),G2948*Q2948)))*N2951)*IF(Inputs!$B$38="pvp",1,1+(Inputs!$B$20+0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Hunt"),CHOOSE(ArtifactsInput!$N$35+1,15,18,21,24,27,30)*(1-EXP(-(0.2*B2970)*5)),0)+IF(AND(ArtifactsInput!$M$22,Inputs!$B$4&lt;&gt;"Chapter Hunt"),CHOOSE(ArtifactsInput!$N$22+1,10,12,14,16,18,20)*((0*(((0.15*B2970*5))^0/1)+1*(((0.15*B2970*5))^1/1)+2*(((0.15*B2970*5))^2/2)+3*(((0.15*B2970*5))^3/6)+4*(((0.15*B2970*5))^4/24)+5*(((0.15*B2970*5))^5/120))/((((0.15*B2970*5))^0/1)+(((0.15*B2970*5))^1/1)+(((0.15*B2970*5))^2/2)+(((0.15*B2970*5))^3/6)+(((0.15*B2970*5))^4/24)+(((0.15*B2970*5))^5/120))),0))+IF(Inputs!$B$3&gt;=54,9*(C2940=TRUE)*MIN(1,8*(1+Inputs!$B$34/100)*Q2940)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2951*(1-MIN(100,(Inputs!$B$9+((C2956=TRUE)*(F2956-Calc!F19))+B2968+(ArtifactsInput!$M$24-ArtifactsInput!$M$24)*CHOOSE(ArtifactsInput!$N$24+1,10,12,14,16,18,20)+(IF(AND(Inputs!$B$38&lt;&gt;"pvp",Inputs!$B$43=0),1,IF(IF(Inputs!$B$38="pvp",15,Inputs!$B$43)-(B2975)&lt;=0,1,MAX(0,IF(Inputs!$B$38="pvp",15,Inputs!$B$43)-MAX(5,B2975))/(IF(Inputs!$B$38="pvp",15,Inputs!$B$43)-(B2975))))*IF(AND(ArtifactsInput!$M$42,((Inputs!$B$9+((C2956=TRUE)*(F2956-Calc!F19))+B2968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2951*(MIN(100,(Inputs!$B$9+((C2956=TRUE)*(F2956-Calc!F19))+B2968+(ArtifactsInput!$M$24-ArtifactsInput!$M$24)*CHOOSE(ArtifactsInput!$N$24+1,10,12,14,16,18,20)+(IF(AND(Inputs!$B$38&lt;&gt;"pvp",Inputs!$B$43=0),1,IF(IF(Inputs!$B$38="pvp",15,Inputs!$B$43)-(B2975)&lt;=0,1,MAX(0,IF(Inputs!$B$38="pvp",15,Inputs!$B$43)-MAX(5,B2975))/(IF(Inputs!$B$38="pvp",15,Inputs!$B$43)-(B2975))))*IF(AND(ArtifactsInput!$M$42,((Inputs!$B$9+((C2956=TRUE)*(F2956-Calc!F19))+B2968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2951*(1-MIN(100,(Inputs!$B$9+((C2956=TRUE)*(F2956-Calc!F19))+B2968+(ArtifactsInput!$M$24-ArtifactsInput!$M$24)*CHOOSE(ArtifactsInput!$N$24+1,10,12,14,16,18,20)+(IF(AND(Inputs!$B$38&lt;&gt;"pvp",Inputs!$B$43=0),1,IF(IF(Inputs!$B$38="pvp",15,Inputs!$B$43)-(B2975)&lt;=0,1,MAX(0,IF(Inputs!$B$38="pvp",15,Inputs!$B$43)-MAX(5,B2975))/(IF(Inputs!$B$38="pvp",15,Inputs!$B$43)-(B2975))))*IF(AND(ArtifactsInput!$M$42,((Inputs!$B$9+((C2956=TRUE)*(F2956-Calc!F19))+B2968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2951*(MIN(100,(Inputs!$B$9+((C2956=TRUE)*(F2956-Calc!F19))+B2968+(ArtifactsInput!$M$24-ArtifactsInput!$M$24)*CHOOSE(ArtifactsInput!$N$24+1,10,12,14,16,18,20)+(IF(AND(Inputs!$B$38&lt;&gt;"pvp",Inputs!$B$43=0),1,IF(IF(Inputs!$B$38="pvp",15,Inputs!$B$43)-(B2975)&lt;=0,1,MAX(0,IF(Inputs!$B$38="pvp",15,Inputs!$B$43)-MAX(5,B2975))/(IF(Inputs!$B$38="pvp",15,Inputs!$B$43)-(B2975))))*IF(AND(ArtifactsInput!$M$42,((Inputs!$B$9+((C2956=TRUE)*(F2956-Calc!F19))+B2968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951">
        <f>IF(C2951,((H2951*(B2972+IF(AND(Inputs!$B$38&lt;&gt;"pvp",Inputs!$B$43&gt;0),((Skills!G8*((R2945-1)*IF(Skills!H8&gt;0,INT(Skills!I8/Skills!H8+0.000000001),1)+IF(Skills!H8&gt;0,INT(MIN(Skills!I8,MAX(0,MAX(0,Inputs!$B$43-B2975)-((R2945-1)*((IF(Inputs!$B$38="pvp",15,MAX(0.1,Skills!D8-IF(TRUE=TRUE,0.5,0)))*(1-IF(AND(ArtifactsInput!$M$27,Inputs!$B$4="Chapter Hunt"),CHOOSE(ArtifactsInput!$N$27+1,20,24,28,32,36,40),0)/100))/B2979))))/Skills!H8+0.000000001),1)))/Inputs!$B$43),G2945*Q2945)+IF(AND(Inputs!$B$38&lt;&gt;"pvp",Inputs!$B$43&gt;0),((Skills!G11*((R2948-1)*IF(Skills!H11&gt;0,INT(Skills!I11/Skills!H11+0.000000001),1)+IF(Skills!H11&gt;0,INT(MIN(Skills!I11,MAX(0,MAX(0,Inputs!$B$43-B2975)-((R2948-1)*((IF(Inputs!$B$38="pvp",15,MAX(0.1,Skills!D11-IF(TRUE=TRUE,0.5,0)))*(1-IF(AND(ArtifactsInput!$M$27,Inputs!$B$4="Chapter Hunt"),CHOOSE(ArtifactsInput!$N$27+1,20,24,28,32,36,40),0)/100))/B2979))))/Skills!H11+0.000000001),1)))/Inputs!$B$43),G2948*Q2948)))/(1+Skills!H14*H2951*(B2972+IF(AND(Inputs!$B$38&lt;&gt;"pvp",Inputs!$B$43&gt;0),((Skills!G8*((R2945-1)*IF(Skills!H8&gt;0,INT(Skills!I8/Skills!H8+0.000000001),1)+IF(Skills!H8&gt;0,INT(MIN(Skills!I8,MAX(0,MAX(0,Inputs!$B$43-B2975)-((R2945-1)*((IF(Inputs!$B$38="pvp",15,MAX(0.1,Skills!D8-IF(TRUE=TRUE,0.5,0)))*(1-IF(AND(ArtifactsInput!$M$27,Inputs!$B$4="Chapter Hunt"),CHOOSE(ArtifactsInput!$N$27+1,20,24,28,32,36,40),0)/100))/B2979))))/Skills!H8+0.000000001),1)))/Inputs!$B$43),G2945*Q2945)+IF(AND(Inputs!$B$38&lt;&gt;"pvp",Inputs!$B$43&gt;0),((Skills!G11*((R2948-1)*IF(Skills!H11&gt;0,INT(Skills!I11/Skills!H11+0.000000001),1)+IF(Skills!H11&gt;0,INT(MIN(Skills!I11,MAX(0,MAX(0,Inputs!$B$43-B2975)-((R2948-1)*((IF(Inputs!$B$38="pvp",15,MAX(0.1,Skills!D11-IF(TRUE=TRUE,0.5,0)))*(1-IF(AND(ArtifactsInput!$M$27,Inputs!$B$4="Chapter Hunt"),CHOOSE(ArtifactsInput!$N$27+1,20,24,28,32,36,40),0)/100))/B2979))))/Skills!H11+0.000000001),1)))/Inputs!$B$43),G2948*Q2948)))*N2951)*IF(Inputs!$B$38="pvp",1,(1+(Inputs!$B$21+Skills!Q14+(IF(ArtifactsInput!$M$33,CHOOSE(ArtifactsInput!$N$33+1,30,36,42,48,54,60),0))+(IF(AND(ArtifactsInput!$M$35,Inputs!$B$4&lt;&gt;"Chapter Hunt"),CHOOSE(ArtifactsInput!$N$35+1,15,18,21,24,27,30)*(1-EXP(-(0.2*B2970)*5)),0)+IF(AND(ArtifactsInput!$M$22,Inputs!$B$4&lt;&gt;"Chapter Hunt"),CHOOSE(ArtifactsInput!$N$22+1,10,12,14,16,18,20)*((0*(((0.15*B2970*5))^0/1)+1*(((0.15*B2970*5))^1/1)+2*(((0.15*B2970*5))^2/2)+3*(((0.15*B2970*5))^3/6)+4*(((0.15*B2970*5))^4/24)+5*(((0.15*B2970*5))^5/120))/((((0.15*B2970*5))^0/1)+(((0.15*B2970*5))^1/1)+(((0.15*B2970*5))^2/2)+(((0.15*B2970*5))^3/6)+(((0.15*B2970*5))^4/24)+(((0.15*B2970*5))^5/120))),0))+IF(Inputs!$B$3&gt;=54,9*(C2940=TRUE)*MIN(1,8*(1+Inputs!$B$34/100)*Q2940),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52">
      <c r="A2952">
        <f>Skills!A15</f>
        <v/>
      </c>
      <c r="B2952">
        <f>Skills!B15</f>
        <v/>
      </c>
      <c r="C2952">
        <f>Inputs!$B$3&gt;=100</f>
        <v/>
      </c>
      <c r="D2952">
        <f>IF(Skills!C15=1,60+Inputs!$B$25+Inputs!$B$29,IF(Skills!C15=2,90+Inputs!$B$26+Inputs!$B$29,IF(Skills!C15=3,120+Inputs!$B$27+Inputs!$B$29,MAX(0,(Inputs!$B$3-100)*3)+Inputs!$B$28+Inputs!$B$29)))</f>
        <v/>
      </c>
      <c r="E2952">
        <f>INDEX(FactorTable!$B$2:$Y$301, MATCH(ROUND(MIN(300,MAX(1,D2952)),0), FactorTable!$A$2:$A$301,0), Skills!M15+1)</f>
        <v/>
      </c>
      <c r="F2952">
        <f>IF(Skills!N15=TRUE,(Skills!L15/10)*(E2952/1000),Skills!L15/10)+Skills!O15</f>
        <v/>
      </c>
      <c r="G2952" t="inlineStr"/>
      <c r="H2952" t="inlineStr"/>
      <c r="I2952" t="inlineStr">
        <is>
          <t>1</t>
        </is>
      </c>
      <c r="J2952" t="inlineStr"/>
      <c r="K2952" t="inlineStr"/>
      <c r="L2952" t="inlineStr"/>
      <c r="M2952" t="inlineStr"/>
      <c r="N2952" t="inlineStr"/>
      <c r="O2952" t="inlineStr"/>
      <c r="P2952" t="inlineStr"/>
      <c r="Q2952" t="inlineStr"/>
      <c r="R2952" t="inlineStr"/>
      <c r="S2952" t="inlineStr"/>
    </row>
    <row r="2953">
      <c r="A2953">
        <f>Skills!A16</f>
        <v/>
      </c>
      <c r="B2953">
        <f>Skills!B16</f>
        <v/>
      </c>
      <c r="C2953">
        <f>Inputs!$B$3&gt;=107</f>
        <v/>
      </c>
      <c r="D2953">
        <f>IF(Skills!C16=1,60+Inputs!$B$25+Inputs!$B$29,IF(Skills!C16=2,90+Inputs!$B$26+Inputs!$B$29,IF(Skills!C16=3,120+Inputs!$B$27+Inputs!$B$29,MAX(0,(Inputs!$B$3-100)*3)+Inputs!$B$28+Inputs!$B$29)))</f>
        <v/>
      </c>
      <c r="E2953">
        <f>INDEX(FactorTable!$B$2:$Y$301, MATCH(ROUND(MIN(300,MAX(1,D2953)),0), FactorTable!$A$2:$A$301,0), Skills!M16+1)</f>
        <v/>
      </c>
      <c r="F2953">
        <f>IF(Skills!N16=TRUE,(Skills!L16/10)*(E2953/1000),Skills!L16/10)+Skills!O16</f>
        <v/>
      </c>
      <c r="G2953" t="inlineStr"/>
      <c r="H2953" t="inlineStr"/>
      <c r="I2953" t="inlineStr">
        <is>
          <t>1</t>
        </is>
      </c>
      <c r="J2953" t="inlineStr"/>
      <c r="K2953" t="inlineStr"/>
      <c r="L2953" t="inlineStr"/>
      <c r="M2953" t="inlineStr"/>
      <c r="N2953" t="inlineStr"/>
      <c r="O2953" t="inlineStr"/>
      <c r="P2953" t="inlineStr"/>
      <c r="Q2953" t="inlineStr"/>
      <c r="R2953" t="inlineStr"/>
      <c r="S2953" t="inlineStr"/>
    </row>
    <row r="2954">
      <c r="A2954">
        <f>Skills!A17</f>
        <v/>
      </c>
      <c r="B2954">
        <f>Skills!B17</f>
        <v/>
      </c>
      <c r="C2954">
        <f>Inputs!$B$3&gt;=74</f>
        <v/>
      </c>
      <c r="D2954">
        <f>IF(Skills!C17=1,60+Inputs!$B$25+Inputs!$B$29,IF(Skills!C17=2,90+Inputs!$B$26+Inputs!$B$29,IF(Skills!C17=3,120+Inputs!$B$27+Inputs!$B$29,MAX(0,(Inputs!$B$3-100)*3)+Inputs!$B$28+Inputs!$B$29)))</f>
        <v/>
      </c>
      <c r="E2954">
        <f>INDEX(FactorTable!$B$2:$Y$301, MATCH(ROUND(MIN(300,MAX(1,D2954)),0), FactorTable!$A$2:$A$301,0), Skills!M17+1)</f>
        <v/>
      </c>
      <c r="F2954">
        <f>IF(Skills!N17=TRUE,(Skills!L17/10)*(E2954/1000),Skills!L17/10)+Skills!O17</f>
        <v/>
      </c>
      <c r="G2954">
        <f>Skills!G17*IF(Skills!H17&gt;0,INT(IF(Inputs!$B$38="pvp",MIN(Skills!I17,15),Skills!I17)/Skills!H17+0.000000001),1)</f>
        <v/>
      </c>
      <c r="H2954">
        <f>1-(1-Skills!J17/100)^Skills!K17</f>
        <v/>
      </c>
      <c r="I2954" t="inlineStr">
        <is>
          <t>1</t>
        </is>
      </c>
      <c r="J2954" t="inlineStr"/>
      <c r="K2954" t="inlineStr"/>
      <c r="L2954" t="inlineStr"/>
      <c r="M2954" t="inlineStr"/>
      <c r="N2954" t="inlineStr"/>
      <c r="O2954">
        <f>(1-Summary!$B$11)*T2954+Summary!$B$11*V2954</f>
        <v/>
      </c>
      <c r="P2954">
        <f>IF(B2978=0,0,O2954/B2978)</f>
        <v/>
      </c>
      <c r="Q2954" t="n">
        <v>0</v>
      </c>
      <c r="R2954" t="n">
        <v>0</v>
      </c>
      <c r="S2954">
        <f>IFERROR(O2954/N2954,0)</f>
        <v/>
      </c>
      <c r="T2954" t="n">
        <v>0</v>
      </c>
      <c r="V2954" t="n">
        <v>0</v>
      </c>
    </row>
    <row r="2955">
      <c r="A2955">
        <f>Skills!A18</f>
        <v/>
      </c>
      <c r="B2955">
        <f>Skills!B18</f>
        <v/>
      </c>
      <c r="C2955">
        <f>Inputs!$B$3&gt;=115</f>
        <v/>
      </c>
      <c r="D2955">
        <f>IF(Skills!C18=1,60+Inputs!$B$25+Inputs!$B$29,IF(Skills!C18=2,90+Inputs!$B$26+Inputs!$B$29,IF(Skills!C18=3,120+Inputs!$B$27+Inputs!$B$29,MAX(0,(Inputs!$B$3-100)*3)+Inputs!$B$28+Inputs!$B$29)))</f>
        <v/>
      </c>
      <c r="E2955">
        <f>INDEX(FactorTable!$B$2:$Y$301, MATCH(ROUND(MIN(300,MAX(1,D2955)),0), FactorTable!$A$2:$A$301,0), Skills!M18+1)</f>
        <v/>
      </c>
      <c r="F2955">
        <f>IF(Skills!N18=TRUE,(Skills!L18/10)*(E2955/1000),Skills!L18/10)+Skills!O18</f>
        <v/>
      </c>
      <c r="G2955">
        <f>Skills!G18*IF(Skills!H18&gt;0,INT(IF(Inputs!$B$38="pvp",MIN(Skills!I18,15),Skills!I18)/Skills!H18+0.000000001),1)</f>
        <v/>
      </c>
      <c r="H2955">
        <f>1-(1-Skills!J18/100)^Skills!K18</f>
        <v/>
      </c>
      <c r="I2955" t="inlineStr">
        <is>
          <t>1</t>
        </is>
      </c>
      <c r="J2955" t="inlineStr"/>
      <c r="K2955" t="inlineStr"/>
      <c r="L2955" t="inlineStr"/>
      <c r="M2955" t="inlineStr"/>
      <c r="N2955" t="inlineStr"/>
      <c r="O2955">
        <f>(1-Summary!$B$11)*T2955+Summary!$B$11*V2955</f>
        <v/>
      </c>
      <c r="P2955">
        <f>IF(B2978=0,0,O2955/B2978)</f>
        <v/>
      </c>
      <c r="Q2955">
        <f>IFERROR(1/(IF(Inputs!$B$38="pvp",15,MAX(0.1,Skills!D18-IF(TRUE=TRUE,0.5,0)))*(1-IF(AND(ArtifactsInput!$M$27,Inputs!$B$4="Chapter Hunt"),CHOOSE(ArtifactsInput!$N$27+1,20,24,28,32,36,40),0)/100)),0)</f>
        <v/>
      </c>
      <c r="R2955">
        <f>IF(AND(Inputs!$B$38&lt;&gt;"pvp",Inputs!$B$43&gt;0),IF(Inputs!$B$43&lt;=0,0,(INT(Inputs!$B$43/(IF(Inputs!$B$38="pvp",15,MAX(0.1,Skills!D18-IF(TRUE=TRUE,0.5,0)))*(1-IF(AND(ArtifactsInput!$M$27,Inputs!$B$4="Chapter Hunt"),CHOOSE(ArtifactsInput!$N$27+1,20,24,28,32,36,40),0)/100)))+1)),0)</f>
        <v/>
      </c>
      <c r="S2955">
        <f>IFERROR(O2955/N2955,0)</f>
        <v/>
      </c>
      <c r="T2955" t="n">
        <v>0</v>
      </c>
      <c r="V2955" t="n">
        <v>0</v>
      </c>
    </row>
    <row r="2956">
      <c r="A2956">
        <f>Skills!A19</f>
        <v/>
      </c>
      <c r="B2956">
        <f>Skills!B19</f>
        <v/>
      </c>
      <c r="C2956">
        <f>Inputs!$B$3&gt;=10</f>
        <v/>
      </c>
      <c r="D2956">
        <f>IF(Skills!C19=1,60+Inputs!$B$25+Inputs!$B$29,IF(Skills!C19=2,90+Inputs!$B$26+Inputs!$B$29,IF(Skills!C19=3,120+Inputs!$B$27+Inputs!$B$29,MAX(0,(Inputs!$B$3-100)*3)+Inputs!$B$28+Inputs!$B$29)))</f>
        <v/>
      </c>
      <c r="E2956">
        <f>INDEX(FactorTable!$B$2:$Y$301, MATCH(ROUND(MIN(300,MAX(1,D2956)),0), FactorTable!$A$2:$A$301,0), Skills!M19+1)</f>
        <v/>
      </c>
      <c r="F2956">
        <f>IF(Skills!N19=TRUE,(Skills!L19/10)*(E2956/1000),Skills!L19/10)+Skills!O19</f>
        <v/>
      </c>
      <c r="G2956">
        <f>Skills!G19*IF(Skills!H19&gt;0,INT(IF(Inputs!$B$38="pvp",MIN(Skills!I19,15),Skills!I19)/Skills!H19+0.000000001),1)</f>
        <v/>
      </c>
      <c r="H2956">
        <f>1-(1-Skills!J19/100)^Skills!K19</f>
        <v/>
      </c>
      <c r="I2956" t="inlineStr">
        <is>
          <t>1</t>
        </is>
      </c>
      <c r="J2956" t="inlineStr"/>
      <c r="K2956" t="inlineStr"/>
      <c r="L2956" t="inlineStr"/>
      <c r="M2956" t="inlineStr"/>
      <c r="N2956" t="inlineStr"/>
      <c r="O2956">
        <f>(1-Summary!$B$11)*T2956+Summary!$B$11*V2956</f>
        <v/>
      </c>
      <c r="P2956">
        <f>IF(B2978=0,0,O2956/B2978)</f>
        <v/>
      </c>
      <c r="Q2956" t="n">
        <v>0</v>
      </c>
      <c r="R2956" t="n">
        <v>0</v>
      </c>
      <c r="S2956">
        <f>IFERROR(O2956/N2956,0)</f>
        <v/>
      </c>
      <c r="T2956" t="n">
        <v>0</v>
      </c>
      <c r="V2956" t="n">
        <v>0</v>
      </c>
    </row>
    <row r="2957">
      <c r="A2957">
        <f>Skills!A20</f>
        <v/>
      </c>
      <c r="B2957">
        <f>Skills!B20</f>
        <v/>
      </c>
      <c r="C2957">
        <f>Inputs!$B$3&gt;=15</f>
        <v/>
      </c>
      <c r="D2957">
        <f>IF(Skills!C20=1,60+Inputs!$B$25+Inputs!$B$29,IF(Skills!C20=2,90+Inputs!$B$26+Inputs!$B$29,IF(Skills!C20=3,120+Inputs!$B$27+Inputs!$B$29,MAX(0,(Inputs!$B$3-100)*3)+Inputs!$B$28+Inputs!$B$29)))</f>
        <v/>
      </c>
      <c r="E2957">
        <f>INDEX(FactorTable!$B$2:$Y$301, MATCH(ROUND(MIN(300,MAX(1,D2957)),0), FactorTable!$A$2:$A$301,0), Skills!M20+1)</f>
        <v/>
      </c>
      <c r="F2957">
        <f>IF(Skills!N20=TRUE,(Skills!L20/10)*(E2957/1000),Skills!L20/10)+Skills!O20</f>
        <v/>
      </c>
      <c r="G2957">
        <f>Skills!G20*IF(Skills!H20&gt;0,INT(IF(Inputs!$B$38="pvp",MIN(Skills!I20,15),Skills!I20)/Skills!H20+0.000000001),1)</f>
        <v/>
      </c>
      <c r="H2957">
        <f>1-(1-Skills!J20/100)^Skills!K20</f>
        <v/>
      </c>
      <c r="I2957" t="inlineStr">
        <is>
          <t>1</t>
        </is>
      </c>
      <c r="J2957" t="inlineStr"/>
      <c r="K2957" t="inlineStr"/>
      <c r="L2957" t="inlineStr"/>
      <c r="M2957" t="inlineStr"/>
      <c r="N2957" t="inlineStr"/>
      <c r="O2957">
        <f>(1-Summary!$B$11)*T2957+Summary!$B$11*V2957</f>
        <v/>
      </c>
      <c r="P2957">
        <f>IF(B2978=0,0,O2957/B2978)</f>
        <v/>
      </c>
      <c r="Q2957" t="n">
        <v>0</v>
      </c>
      <c r="R2957" t="n">
        <v>0</v>
      </c>
      <c r="S2957">
        <f>IFERROR(O2957/N2957,0)</f>
        <v/>
      </c>
      <c r="T2957" t="n">
        <v>0</v>
      </c>
      <c r="V2957" t="n">
        <v>0</v>
      </c>
    </row>
    <row r="2958">
      <c r="A2958">
        <f>Skills!A21</f>
        <v/>
      </c>
      <c r="B2958">
        <f>Skills!B21</f>
        <v/>
      </c>
      <c r="C2958">
        <f>Inputs!$B$3&gt;=40</f>
        <v/>
      </c>
      <c r="D2958">
        <f>IF(Skills!C21=1,60+Inputs!$B$25+Inputs!$B$29,IF(Skills!C21=2,90+Inputs!$B$26+Inputs!$B$29,IF(Skills!C21=3,120+Inputs!$B$27+Inputs!$B$29,MAX(0,(Inputs!$B$3-100)*3)+Inputs!$B$28+Inputs!$B$29)))</f>
        <v/>
      </c>
      <c r="E2958">
        <f>INDEX(FactorTable!$B$2:$Y$301, MATCH(ROUND(MIN(300,MAX(1,D2958)),0), FactorTable!$A$2:$A$301,0), Skills!M21+1)</f>
        <v/>
      </c>
      <c r="F2958">
        <f>IF(Skills!N21=TRUE,(Skills!L21/10)*(E2958/1000),Skills!L21/10)+Skills!O21</f>
        <v/>
      </c>
      <c r="G2958">
        <f>Skills!G21*IF(Skills!H21&gt;0,INT(IF(Inputs!$B$38="pvp",MIN(Skills!I21,15),Skills!I21)/Skills!H21+0.000000001),1)</f>
        <v/>
      </c>
      <c r="H2958">
        <f>1-(1-Skills!J21/100)^Skills!K21</f>
        <v/>
      </c>
      <c r="I2958" t="inlineStr">
        <is>
          <t>1</t>
        </is>
      </c>
      <c r="J2958" t="inlineStr"/>
      <c r="K2958" t="inlineStr"/>
      <c r="L2958" t="inlineStr"/>
      <c r="M2958" t="inlineStr"/>
      <c r="N2958" t="inlineStr"/>
      <c r="O2958">
        <f>(1-Summary!$B$11)*T2958+Summary!$B$11*V2958</f>
        <v/>
      </c>
      <c r="P2958">
        <f>IF(B2978=0,0,O2958/B2978)</f>
        <v/>
      </c>
      <c r="Q2958" t="n">
        <v>0</v>
      </c>
      <c r="R2958" t="n">
        <v>0</v>
      </c>
      <c r="S2958">
        <f>IFERROR(O2958/N2958,0)</f>
        <v/>
      </c>
      <c r="T2958" t="n">
        <v>0</v>
      </c>
      <c r="V2958" t="n">
        <v>0</v>
      </c>
    </row>
    <row r="2959">
      <c r="A2959">
        <f>Skills!A22</f>
        <v/>
      </c>
      <c r="B2959">
        <f>Skills!B22</f>
        <v/>
      </c>
      <c r="C2959">
        <f>Inputs!$B$3&gt;=43</f>
        <v/>
      </c>
      <c r="D2959">
        <f>IF(Skills!C22=1,60+Inputs!$B$25+Inputs!$B$29,IF(Skills!C22=2,90+Inputs!$B$26+Inputs!$B$29,IF(Skills!C22=3,120+Inputs!$B$27+Inputs!$B$29,MAX(0,(Inputs!$B$3-100)*3)+Inputs!$B$28+Inputs!$B$29)))</f>
        <v/>
      </c>
      <c r="E2959">
        <f>INDEX(FactorTable!$B$2:$Y$301, MATCH(ROUND(MIN(300,MAX(1,D2959)),0), FactorTable!$A$2:$A$301,0), Skills!M22+1)</f>
        <v/>
      </c>
      <c r="F2959">
        <f>IF(Skills!N22=TRUE,(Skills!L22/10)*(E2959/1000),Skills!L22/10)+Skills!O22</f>
        <v/>
      </c>
      <c r="G2959">
        <f>Skills!G22*IF(Skills!H22&gt;0,INT(IF(Inputs!$B$38="pvp",MIN(Skills!I22,15),Skills!I22)/Skills!H22+0.000000001),1)</f>
        <v/>
      </c>
      <c r="H2959">
        <f>1-(1-Skills!J22/100)^Skills!K22</f>
        <v/>
      </c>
      <c r="I2959" t="inlineStr">
        <is>
          <t>1</t>
        </is>
      </c>
      <c r="J2959" t="inlineStr"/>
      <c r="K2959" t="inlineStr"/>
      <c r="L2959" t="inlineStr"/>
      <c r="M2959" t="inlineStr"/>
      <c r="N2959" t="inlineStr"/>
      <c r="O2959">
        <f>(1-Summary!$B$11)*T2959+Summary!$B$11*V2959</f>
        <v/>
      </c>
      <c r="P2959">
        <f>IF(B2978=0,0,O2959/B2978)</f>
        <v/>
      </c>
      <c r="Q2959" t="n">
        <v>0</v>
      </c>
      <c r="R2959" t="n">
        <v>0</v>
      </c>
      <c r="S2959">
        <f>IFERROR(O2959/N2959,0)</f>
        <v/>
      </c>
      <c r="T2959" t="n">
        <v>0</v>
      </c>
      <c r="V2959" t="n">
        <v>0</v>
      </c>
    </row>
    <row r="2960">
      <c r="A2960">
        <f>Skills!A23</f>
        <v/>
      </c>
      <c r="B2960">
        <f>Skills!B23</f>
        <v/>
      </c>
      <c r="C2960">
        <f>Inputs!$B$3&gt;=38</f>
        <v/>
      </c>
      <c r="D2960">
        <f>IF(Skills!C23=1,60+Inputs!$B$25+Inputs!$B$29,IF(Skills!C23=2,90+Inputs!$B$26+Inputs!$B$29,IF(Skills!C23=3,120+Inputs!$B$27+Inputs!$B$29,MAX(0,(Inputs!$B$3-100)*3)+Inputs!$B$28+Inputs!$B$29)))</f>
        <v/>
      </c>
      <c r="E2960">
        <f>INDEX(FactorTable!$B$2:$Y$301, MATCH(ROUND(MIN(300,MAX(1,D2960)),0), FactorTable!$A$2:$A$301,0), Skills!M23+1)</f>
        <v/>
      </c>
      <c r="F2960">
        <f>IF(Skills!N23=TRUE,(Skills!L23/10)*(E2960/1000),Skills!L23/10)+Skills!O23</f>
        <v/>
      </c>
      <c r="G2960">
        <f>Skills!G23*IF(Skills!H23&gt;0,INT(IF(Inputs!$B$38="pvp",MIN(Skills!I23,15),Skills!I23)/Skills!H23+0.000000001),1)</f>
        <v/>
      </c>
      <c r="H2960">
        <f>1-(1-Skills!J23/100)^Skills!K23</f>
        <v/>
      </c>
      <c r="I2960" t="inlineStr">
        <is>
          <t>1</t>
        </is>
      </c>
      <c r="J2960" t="inlineStr"/>
      <c r="K2960" t="inlineStr"/>
      <c r="L2960" t="inlineStr"/>
      <c r="M2960" t="inlineStr"/>
      <c r="N2960" t="inlineStr"/>
      <c r="O2960">
        <f>(1-Summary!$B$11)*T2960+Summary!$B$11*V2960</f>
        <v/>
      </c>
      <c r="P2960">
        <f>IF(B2978=0,0,O2960/B2978)</f>
        <v/>
      </c>
      <c r="Q2960" t="n">
        <v>0</v>
      </c>
      <c r="R2960" t="n">
        <v>0</v>
      </c>
      <c r="S2960">
        <f>IFERROR(O2960/N2960,0)</f>
        <v/>
      </c>
      <c r="T2960" t="n">
        <v>0</v>
      </c>
      <c r="V2960" t="n">
        <v>0</v>
      </c>
    </row>
    <row r="2961">
      <c r="A2961">
        <f>Skills!A24</f>
        <v/>
      </c>
      <c r="B2961">
        <f>Skills!B24</f>
        <v/>
      </c>
      <c r="C2961">
        <f>Inputs!$B$3&gt;=45</f>
        <v/>
      </c>
      <c r="D2961">
        <f>IF(Skills!C24=1,60+Inputs!$B$25+Inputs!$B$29,IF(Skills!C24=2,90+Inputs!$B$26+Inputs!$B$29,IF(Skills!C24=3,120+Inputs!$B$27+Inputs!$B$29,MAX(0,(Inputs!$B$3-100)*3)+Inputs!$B$28+Inputs!$B$29)))</f>
        <v/>
      </c>
      <c r="E2961">
        <f>INDEX(FactorTable!$B$2:$Y$301, MATCH(ROUND(MIN(300,MAX(1,D2961)),0), FactorTable!$A$2:$A$301,0), Skills!M24+1)</f>
        <v/>
      </c>
      <c r="F2961">
        <f>IF(Skills!N24=TRUE,(Skills!L24/10)*(E2961/1000),Skills!L24/10)+Skills!O24</f>
        <v/>
      </c>
      <c r="G2961">
        <f>Skills!G24*IF(Skills!H24&gt;0,INT(IF(Inputs!$B$38="pvp",MIN(Skills!I24,15),Skills!I24)/Skills!H24+0.000000001),1)</f>
        <v/>
      </c>
      <c r="H2961">
        <f>1-(1-Skills!J24/100)^Skills!K24</f>
        <v/>
      </c>
      <c r="I2961" t="inlineStr">
        <is>
          <t>1</t>
        </is>
      </c>
      <c r="J2961" t="inlineStr"/>
      <c r="K2961" t="inlineStr"/>
      <c r="L2961" t="inlineStr"/>
      <c r="M2961" t="inlineStr"/>
      <c r="N2961" t="inlineStr"/>
      <c r="O2961">
        <f>(1-Summary!$B$11)*T2961+Summary!$B$11*V2961</f>
        <v/>
      </c>
      <c r="P2961">
        <f>IF(B2978=0,0,O2961/B2978)</f>
        <v/>
      </c>
      <c r="Q2961" t="n">
        <v>0</v>
      </c>
      <c r="R2961" t="n">
        <v>0</v>
      </c>
      <c r="S2961">
        <f>IFERROR(O2961/N2961,0)</f>
        <v/>
      </c>
      <c r="T2961" t="n">
        <v>0</v>
      </c>
      <c r="V2961" t="n">
        <v>0</v>
      </c>
    </row>
    <row r="2962">
      <c r="A2962">
        <f>Skills!A25</f>
        <v/>
      </c>
      <c r="B2962">
        <f>Skills!B25</f>
        <v/>
      </c>
      <c r="C2962">
        <f>Inputs!$B$3&gt;=72</f>
        <v/>
      </c>
      <c r="D2962">
        <f>IF(Skills!C25=1,60+Inputs!$B$25+Inputs!$B$29,IF(Skills!C25=2,90+Inputs!$B$26+Inputs!$B$29,IF(Skills!C25=3,120+Inputs!$B$27+Inputs!$B$29,MAX(0,(Inputs!$B$3-100)*3)+Inputs!$B$28+Inputs!$B$29)))</f>
        <v/>
      </c>
      <c r="E2962">
        <f>INDEX(FactorTable!$B$2:$Y$301, MATCH(ROUND(MIN(300,MAX(1,D2962)),0), FactorTable!$A$2:$A$301,0), Skills!M25+1)</f>
        <v/>
      </c>
      <c r="F2962">
        <f>IF(Skills!N25=TRUE,(Skills!L25/10)*(E2962/1000),Skills!L25/10)+Skills!O25</f>
        <v/>
      </c>
      <c r="G2962">
        <f>Skills!G25*IF(Skills!H25&gt;0,INT(IF(Inputs!$B$38="pvp",MIN(Skills!I25,15),Skills!I25)/Skills!H25+0.000000001),1)</f>
        <v/>
      </c>
      <c r="H2962">
        <f>1-(1-Skills!J25/100)^Skills!K25</f>
        <v/>
      </c>
      <c r="I2962" t="inlineStr">
        <is>
          <t>1</t>
        </is>
      </c>
      <c r="J2962" t="inlineStr"/>
      <c r="K2962" t="inlineStr"/>
      <c r="L2962" t="inlineStr"/>
      <c r="M2962" t="inlineStr"/>
      <c r="N2962" t="inlineStr"/>
      <c r="O2962">
        <f>(1-Summary!$B$11)*T2962+Summary!$B$11*V2962</f>
        <v/>
      </c>
      <c r="P2962">
        <f>IF(B2978=0,0,O2962/B2978)</f>
        <v/>
      </c>
      <c r="Q2962" t="n">
        <v>0</v>
      </c>
      <c r="R2962" t="n">
        <v>0</v>
      </c>
      <c r="S2962">
        <f>IFERROR(O2962/N2962,0)</f>
        <v/>
      </c>
      <c r="T2962" t="n">
        <v>0</v>
      </c>
      <c r="V2962" t="n">
        <v>0</v>
      </c>
    </row>
    <row r="2963">
      <c r="A2963">
        <f>Skills!A26</f>
        <v/>
      </c>
      <c r="B2963">
        <f>Skills!B26</f>
        <v/>
      </c>
      <c r="C2963">
        <f>Inputs!$B$3&gt;=75</f>
        <v/>
      </c>
      <c r="D2963">
        <f>IF(Skills!C26=1,60+Inputs!$B$25+Inputs!$B$29,IF(Skills!C26=2,90+Inputs!$B$26+Inputs!$B$29,IF(Skills!C26=3,120+Inputs!$B$27+Inputs!$B$29,MAX(0,(Inputs!$B$3-100)*3)+Inputs!$B$28+Inputs!$B$29)))</f>
        <v/>
      </c>
      <c r="E2963">
        <f>INDEX(FactorTable!$B$2:$Y$301, MATCH(ROUND(MIN(300,MAX(1,D2963)),0), FactorTable!$A$2:$A$301,0), Skills!M26+1)</f>
        <v/>
      </c>
      <c r="F2963">
        <f>IF(Skills!N26=TRUE,(Skills!L26/10)*(E2963/1000),Skills!L26/10)+Skills!O26</f>
        <v/>
      </c>
      <c r="G2963">
        <f>Skills!G26*IF(Skills!H26&gt;0,INT(IF(Inputs!$B$38="pvp",MIN(Skills!I26,15),Skills!I26)/Skills!H26+0.000000001),1)</f>
        <v/>
      </c>
      <c r="H2963">
        <f>1-(1-Skills!J26/100)^Skills!K26</f>
        <v/>
      </c>
      <c r="I2963" t="inlineStr">
        <is>
          <t>1</t>
        </is>
      </c>
      <c r="J2963" t="inlineStr"/>
      <c r="K2963" t="inlineStr"/>
      <c r="L2963" t="inlineStr"/>
      <c r="M2963" t="inlineStr"/>
      <c r="N2963" t="inlineStr"/>
      <c r="O2963">
        <f>(1-Summary!$B$11)*T2963+Summary!$B$11*V2963</f>
        <v/>
      </c>
      <c r="P2963">
        <f>IF(B2978=0,0,O2963/B2978)</f>
        <v/>
      </c>
      <c r="Q2963" t="n">
        <v>0</v>
      </c>
      <c r="R2963" t="n">
        <v>0</v>
      </c>
      <c r="S2963">
        <f>IFERROR(O2963/N2963,0)</f>
        <v/>
      </c>
      <c r="T2963" t="n">
        <v>0</v>
      </c>
      <c r="V2963" t="n">
        <v>0</v>
      </c>
    </row>
    <row r="2964">
      <c r="A2964">
        <f>Skills!A27</f>
        <v/>
      </c>
      <c r="B2964">
        <f>Skills!B27</f>
        <v/>
      </c>
      <c r="C2964">
        <f>Inputs!$B$3&gt;=125</f>
        <v/>
      </c>
      <c r="D2964">
        <f>IF(Skills!C27=1,60+Inputs!$B$25+Inputs!$B$29,IF(Skills!C27=2,90+Inputs!$B$26+Inputs!$B$29,IF(Skills!C27=3,120+Inputs!$B$27+Inputs!$B$29,MAX(0,(Inputs!$B$3-100)*3)+Inputs!$B$28+Inputs!$B$29)))</f>
        <v/>
      </c>
      <c r="E2964">
        <f>INDEX(FactorTable!$B$2:$Y$301, MATCH(ROUND(MIN(300,MAX(1,D2964)),0), FactorTable!$A$2:$A$301,0), Skills!M27+1)</f>
        <v/>
      </c>
      <c r="F2964">
        <f>IF(Skills!N27=TRUE,(Skills!L27/10)*(E2964/1000),Skills!L27/10)+Skills!O27</f>
        <v/>
      </c>
      <c r="G2964">
        <f>Skills!G27*IF(Skills!H27&gt;0,INT(IF(Inputs!$B$38="pvp",MIN(Skills!I27,15),Skills!I27)/Skills!H27+0.000000001),1)</f>
        <v/>
      </c>
      <c r="H2964">
        <f>1-(1-Skills!J27/100)^Skills!K27</f>
        <v/>
      </c>
      <c r="I2964" t="inlineStr">
        <is>
          <t>1</t>
        </is>
      </c>
      <c r="J2964" t="inlineStr"/>
      <c r="K2964" t="inlineStr"/>
      <c r="L2964" t="inlineStr"/>
      <c r="M2964" t="inlineStr"/>
      <c r="N2964" t="inlineStr"/>
      <c r="O2964">
        <f>(1-Summary!$B$11)*T2964+Summary!$B$11*V2964</f>
        <v/>
      </c>
      <c r="P2964">
        <f>IF(B2978=0,0,O2964/B2978)</f>
        <v/>
      </c>
      <c r="Q2964" t="n">
        <v>0</v>
      </c>
      <c r="R2964" t="n">
        <v>0</v>
      </c>
      <c r="S2964">
        <f>IFERROR(O2964/N2964,0)</f>
        <v/>
      </c>
      <c r="T2964" t="n">
        <v>0</v>
      </c>
      <c r="V2964" t="n">
        <v>0</v>
      </c>
    </row>
    <row r="2965">
      <c r="A2965">
        <f>Skills!A28</f>
        <v/>
      </c>
      <c r="B2965">
        <f>Skills!B28</f>
        <v/>
      </c>
      <c r="C2965">
        <f>TRUE</f>
        <v/>
      </c>
      <c r="D2965">
        <f>IF(Skills!C28=1,60+Inputs!$B$25+Inputs!$B$29,IF(Skills!C28=2,90+Inputs!$B$26+Inputs!$B$29,IF(Skills!C28=3,120+Inputs!$B$27+Inputs!$B$29,MAX(0,(Inputs!$B$3-100)*3)+Inputs!$B$28+Inputs!$B$29)))</f>
        <v/>
      </c>
      <c r="E2965">
        <f>INDEX(FactorTable!$B$2:$Y$301, MATCH(ROUND(MIN(300,MAX(1,D2965)),0), FactorTable!$A$2:$A$301,0), Skills!M28+1)</f>
        <v/>
      </c>
      <c r="F2965">
        <f>IF(Skills!N28=TRUE,(Skills!L28/10)*(E2965/1000),Skills!L28/10)+Skills!O28</f>
        <v/>
      </c>
      <c r="G2965">
        <f>Skills!G28*IF(Skills!H28&gt;0,INT(IF(Inputs!$B$38="pvp",MIN(Skills!I28,15),Skills!I28)/Skills!H28+0.000000001),1)</f>
        <v/>
      </c>
      <c r="H2965">
        <f>1-(1-Skills!J28/100)^Skills!K28</f>
        <v/>
      </c>
      <c r="I2965" t="inlineStr">
        <is>
          <t>1</t>
        </is>
      </c>
      <c r="J2965" t="inlineStr"/>
      <c r="K2965" t="inlineStr"/>
      <c r="L2965" t="inlineStr"/>
      <c r="M2965" t="inlineStr"/>
      <c r="N2965" t="inlineStr"/>
      <c r="O2965">
        <f>(1-Summary!$B$11)*T2965+Summary!$B$11*V2965</f>
        <v/>
      </c>
      <c r="P2965">
        <f>IF(B2978=0,0,O2965/B2978)</f>
        <v/>
      </c>
      <c r="Q2965">
        <f>IFERROR(1/(IF(Inputs!$B$38="pvp",15,MAX(0.1,Skills!D28-IF(TRUE=TRUE,0.5,0)))*(1-IF(AND(ArtifactsInput!$M$27,Inputs!$B$4="Chapter Hunt"),CHOOSE(ArtifactsInput!$N$27+1,20,24,28,32,36,40),0)/100)),0)</f>
        <v/>
      </c>
      <c r="R2965">
        <f>IF(AND(Inputs!$B$38&lt;&gt;"pvp",Inputs!$B$43&gt;0),IF(Inputs!$B$43&lt;=0,0,(INT(Inputs!$B$43/(IF(Inputs!$B$38="pvp",15,MAX(0.1,Skills!D28-IF(TRUE=TRUE,0.5,0)))*(1-IF(AND(ArtifactsInput!$M$27,Inputs!$B$4="Chapter Hunt"),CHOOSE(ArtifactsInput!$N$27+1,20,24,28,32,36,40),0)/100)))+1)),0)</f>
        <v/>
      </c>
      <c r="S2965">
        <f>IFERROR(O2965/N2965,0)</f>
        <v/>
      </c>
      <c r="T2965" t="n">
        <v>0</v>
      </c>
      <c r="V2965" t="n">
        <v>0</v>
      </c>
    </row>
    <row r="2967">
      <c r="A2967" t="inlineStr">
        <is>
          <t>Attack% Bucket Multiplier</t>
        </is>
      </c>
      <c r="B2967">
        <f>(1+(((C2954=TRUE)*F2954*5/7)+((C2961=TRUE)*(F2961-Calc!F24))+(IF(ArtifactsInput!$M$21,CHOOSE(ArtifactsInput!$N$21+1,25,30,35,40,45,50)*(IF(OR(Inputs!$B$4="Chapter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968">
      <c r="A2968" t="inlineStr">
        <is>
          <t>Global Crit Rate Bonus %</t>
        </is>
      </c>
      <c r="B2968" t="n">
        <v>0</v>
      </c>
    </row>
    <row r="2969">
      <c r="A2969" t="inlineStr">
        <is>
          <t>Attack Speed Buff Bonus % (Nimble Feet, duty-cycle averaged)</t>
        </is>
      </c>
      <c r="B2969">
        <f>((C2965=TRUE)*F2965*IF(AND(Inputs!$B$38&lt;&gt;"pvp",Inputs!$B$43&gt;0),(((R2965-1)*MIN((Skills!T28*(1+Inputs!$B$34/100)),(1/Q2965))+MIN((Skills!T28*(1+Inputs!$B$34/100)),MAX(0,Inputs!$B$43-((R2965-1)*(1/Q2965)))))/Inputs!$B$43),IF(Inputs!$B$38="pvp",MIN((Skills!T28*(1+Inputs!$B$34/100)),15)/15,MIN(1,(Skills!T28*(1+Inputs!$B$34/100))/(1/Q2965)))))</f>
        <v/>
      </c>
    </row>
    <row r="2970">
      <c r="A2970" t="inlineStr">
        <is>
          <t>Actions Per Second</t>
        </is>
      </c>
      <c r="B2970">
        <f>1+MIN(150,150*(1-(1-(Inputs!$B$11+((C2957=TRUE)*(F2957-Calc!F20))+((C2958=TRUE)*(F2958-Calc!F21)))/150)*(1-B2969/150)))/100</f>
        <v/>
      </c>
    </row>
    <row r="2971">
      <c r="A2971" t="inlineStr">
        <is>
          <t>Skill + Buff Cast Rate</t>
        </is>
      </c>
      <c r="B2971">
        <f>IF(AND(Inputs!$B$38&lt;&gt;"pvp",Inputs!$B$43&gt;0),SUMPRODUCT((Skills!E2:E28=TRUE)*(C2939:C2965=TRUE)*R2939:R2965*Skills!F2:F28)/Inputs!$B$43,SUMPRODUCT((Skills!E2:E28=TRUE)*(C2939:C2965=TRUE)*Q2939:Q2965*Skills!F2:F28))</f>
        <v/>
      </c>
    </row>
    <row r="2972">
      <c r="A2972" t="inlineStr">
        <is>
          <t>Eight-Legs Easton Casts Per Second</t>
        </is>
      </c>
      <c r="B2972">
        <f>MAX(0,B2970-B2971)</f>
        <v/>
      </c>
    </row>
    <row r="2973">
      <c r="A2973" t="inlineStr">
        <is>
          <t>Global Critical Damage Bonus % (unused)</t>
        </is>
      </c>
      <c r="B2973" t="n">
        <v>0</v>
      </c>
    </row>
    <row r="2974">
      <c r="A2974" t="inlineStr">
        <is>
          <t>Global Final Damage Bonus % (Jolly Roger + Ahoy Mateys - Final Damage proc)</t>
        </is>
      </c>
      <c r="B2974">
        <f>((C2955=TRUE)*F2955*IF(AND(Inputs!$B$38&lt;&gt;"pvp",Inputs!$B$43&gt;0),(((R2955-1)*MIN((Skills!T18*(1+Inputs!$B$34/100)),(1/Q2955))+MIN((Skills!T18*(1+Inputs!$B$34/100)),MAX(0,Inputs!$B$43-((R2955-1)*(1/Q2955)))))/Inputs!$B$43),IF(Inputs!$B$38="pvp",MIN((Skills!T18*(1+Inputs!$B$34/100)),15)/15,MIN(1,(Skills!T18*(1+Inputs!$B$34/100))/(1/Q2955)))))+IF(Inputs!$B$3&gt;=122,20*IF(Inputs!$B$38="pvp",MIN((20*(1+Inputs!$B$34/100)),15)/15,MIN(1,(20*(1+Inputs!$B$34/100))/(1/Q2941))),0)</f>
        <v/>
      </c>
    </row>
    <row r="2975">
      <c r="A2975" t="inlineStr">
        <is>
          <t>Buff-Casting Startup Delay (s, fixed-duration only)</t>
        </is>
      </c>
      <c r="B2975">
        <f>IF(AND(Inputs!$B$38&lt;&gt;"pvp",Inputs!$B$43&gt;0),SUMPRODUCT((Skills!T2:T28&gt;0)*(Skills!E2:E28=TRUE)*(C2939:C2965=TRUE))/B2970,0)</f>
        <v/>
      </c>
    </row>
    <row r="2976">
      <c r="A2976" t="inlineStr">
        <is>
          <t>Boss-Only Total DPS (this block's swept value)</t>
        </is>
      </c>
      <c r="B2976">
        <f>SUM(T2939:T2965)</f>
        <v/>
      </c>
    </row>
    <row r="2977">
      <c r="A2977" t="inlineStr">
        <is>
          <t>Normal-Only Total DPS (this block's swept value)</t>
        </is>
      </c>
      <c r="B2977">
        <f>SUM(V2939:V2965)</f>
        <v/>
      </c>
    </row>
    <row r="2978">
      <c r="A2978" s="6" t="inlineStr">
        <is>
          <t>TOTAL DPS</t>
        </is>
      </c>
      <c r="B2978" s="6">
        <f>SUM(O2939:O2965)</f>
        <v/>
      </c>
    </row>
    <row r="2979">
      <c r="A2979" t="inlineStr">
        <is>
          <t>Quickdraw cooldown divisor (this block's own APS / Q)</t>
        </is>
      </c>
      <c r="B2979">
        <f>IF(AND(C2964=TRUE,Inputs!$B$38&lt;&gt;"pvp"),1+0.25*MAX(0,(B2970-(((C2940=TRUE)*Q2940*1)+((C2941=TRUE)*Q2941*1)+((C2943=TRUE)*Q2943*1)+((C2944=TRUE)*Q2944*1)+((C2946=TRUE)*Q2946*1)+((C2949=TRUE)*Q2949*1)+((C2955=TRUE)*Q2955*1)+((C2965=TRUE)*Q2965*1))-((C2945=TRUE)/(IF(Inputs!$B$38="pvp",15,MAX(0.1,Skills!D8-IF(TRUE=TRUE,0.5,0)))*(1-IF(AND(ArtifactsInput!$M$27,Inputs!$B$4="Chapter Hunt"),CHOOSE(ArtifactsInput!$N$27+1,20,24,28,32,36,40),0)/100))+(C2948=TRUE)/(IF(Inputs!$B$38="pvp",15,MAX(0.1,Skills!D11-IF(TRUE=TRUE,0.5,0)))*(1-IF(AND(ArtifactsInput!$M$27,Inputs!$B$4="Chapter Hunt"),CHOOSE(ArtifactsInput!$N$27+1,20,24,28,32,36,40),0)/100))))/(1+0.25*((C2945=TRUE)/(IF(Inputs!$B$38="pvp",15,MAX(0.1,Skills!D8-IF(TRUE=TRUE,0.5,0)))*(1-IF(AND(ArtifactsInput!$M$27,Inputs!$B$4="Chapter Hunt"),CHOOSE(ArtifactsInput!$N$27+1,20,24,28,32,36,40),0)/100))+(C2948=TRUE)/(IF(Inputs!$B$38="pvp",15,MAX(0.1,Skills!D11-IF(TRUE=TRUE,0.5,0)))*(1-IF(AND(ArtifactsInput!$M$27,Inputs!$B$4="Chapter Hunt"),CHOOSE(ArtifactsInput!$N$27+1,20,24,28,32,36,40),0)/100))))),1)</f>
        <v/>
      </c>
    </row>
    <row r="2980">
      <c r="A2980" t="inlineStr">
        <is>
          <t>Nautilus Strike - Final Attack trigger rate (this block's own Q/R)</t>
        </is>
      </c>
      <c r="B2980">
        <f>IF(AND(Inputs!$B$38&lt;&gt;"pvp",Inputs!$B$43&gt;0),(((C2940=TRUE)*R2940)+((C2943=TRUE)*R2943)+((C2945=TRUE)*R2945)+((C2946=TRUE)*R2946)+((C2948=TRUE)*R2948))/Inputs!$B$43,((C2940=TRUE)*Q2940)+((C2943=TRUE)*Q2943)+((C2945=TRUE)*Q2945)+((C2946=TRUE)*Q2946)+((C2948=TRUE)*Q2948))+B2972</f>
        <v/>
      </c>
    </row>
    <row r="2983">
      <c r="A2983" s="6" t="inlineStr">
        <is>
          <t>Stat: CDR = 1.0s</t>
        </is>
      </c>
    </row>
    <row r="2984">
      <c r="A2984" s="5" t="inlineStr">
        <is>
          <t>Key</t>
        </is>
      </c>
      <c r="B2984" s="5" t="inlineStr">
        <is>
          <t>Name</t>
        </is>
      </c>
      <c r="C2984" s="5" t="inlineStr">
        <is>
          <t>Unlocked</t>
        </is>
      </c>
      <c r="D2984" s="5" t="inlineStr">
        <is>
          <t>InputLevel</t>
        </is>
      </c>
      <c r="E2984" s="5" t="inlineStr">
        <is>
          <t>Factor</t>
        </is>
      </c>
      <c r="F2984" s="5" t="inlineStr">
        <is>
          <t>CoefficientPercent</t>
        </is>
      </c>
      <c r="G2984" s="5" t="inlineStr">
        <is>
          <t>EffectiveHits</t>
        </is>
      </c>
      <c r="H2984" s="5" t="inlineStr">
        <is>
          <t>ProcProbability</t>
        </is>
      </c>
      <c r="I2984" s="5" t="inlineStr">
        <is>
          <t>MapleHeroMultiplier</t>
        </is>
      </c>
      <c r="J2984" s="5" t="inlineStr">
        <is>
          <t>BaseDamage</t>
        </is>
      </c>
      <c r="K2984" s="5" t="inlineStr">
        <is>
          <t>BaseHitDamage</t>
        </is>
      </c>
      <c r="L2984" s="5" t="inlineStr">
        <is>
          <t>NonCritAvg</t>
        </is>
      </c>
      <c r="M2984" s="5" t="inlineStr">
        <is>
          <t>CritAvg</t>
        </is>
      </c>
      <c r="N2984" s="5" t="inlineStr">
        <is>
          <t>ExpectedDamage(perHit)</t>
        </is>
      </c>
      <c r="O2984" s="5" t="inlineStr">
        <is>
          <t>DPS</t>
        </is>
      </c>
      <c r="P2984" s="5" t="inlineStr">
        <is>
          <t>% of Total</t>
        </is>
      </c>
      <c r="Q2984" s="5" t="inlineStr">
        <is>
          <t>InvCooldown</t>
        </is>
      </c>
      <c r="R2984" s="5" t="inlineStr">
        <is>
          <t>CastsInFight</t>
        </is>
      </c>
      <c r="S2984" s="5" t="inlineStr">
        <is>
          <t>HitRate(perSec)</t>
        </is>
      </c>
      <c r="U2984" t="inlineStr">
        <is>
          <t>helpers</t>
        </is>
      </c>
    </row>
    <row r="2985">
      <c r="A2985">
        <f>Skills!A2</f>
        <v/>
      </c>
      <c r="B2985">
        <f>Skills!B2</f>
        <v/>
      </c>
      <c r="C2985">
        <f>Inputs!$B$3&gt;=100</f>
        <v/>
      </c>
      <c r="D2985" t="inlineStr"/>
      <c r="E2985" t="inlineStr"/>
      <c r="F2985">
        <f>U2987+Skills!O2</f>
        <v/>
      </c>
      <c r="G2985">
        <f>Skills!G2*IF(Skills!H2&gt;0,INT(IF(Inputs!$B$38="pvp",MIN(Skills!I2,15),Skills!I2)/Skills!H2+0.000000001),1)</f>
        <v/>
      </c>
      <c r="H2985">
        <f>1-(1-Skills!J2/100)^Skills!K2</f>
        <v/>
      </c>
      <c r="I2985" t="inlineStr">
        <is>
          <t>1</t>
        </is>
      </c>
      <c r="J2985">
        <f>((Inputs!$B$6*(1+Inputs!$B$7/100))+(((Inputs!$B$12*(1+Inputs!$B$13/100))-(Inputs!$B$12*(1+Inputs!$B$13/100)))+0.25*(Inputs!$B$14-Inputs!$B$14))*(1+Inputs!$B$7/100))*(F2985/100)</f>
        <v/>
      </c>
      <c r="K2985">
        <f>J2985*(1+((Inputs!$B$12*(1+Inputs!$B$13/100))*0.01+Inputs!$B$14*0.0025)/100)*(1+Inputs!$B$15/100)*(1+Inputs!$B$16/100)*(5000/(6000+Inputs!$B$42*(1-(100*(1-(1-(Inputs!$B$19+0)/100)*(1-CHOOSE(ArtifactsInput!$N$40+1,5,6,7,8,9,10)/100)^(ArtifactsInput!$M$40-ArtifactsInput!$M$40)))/100)))*(1+(Inputs!$B$24+((C3009=TRUE)*(F3009-Calc!F26))+B3020)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IGHT_LEGS_EASTON",Inputs!$B$17+((C3006=TRUE)*(F3006-Calc!F23))+((C3010=TRUE)*(F3010-Calc!F27))+((IF(AND(Inputs!$B$38&lt;&gt;"pvp",Inputs!$B$43=0),1,IF(IF(Inputs!$B$38="pvp",15,Inputs!$B$43)-(B3021)&lt;=0,1,MAX(0,IF(Inputs!$B$38="pvp",15,Inputs!$B$43)-MAX(5,B3021))/(IF(Inputs!$B$38="pvp",15,Inputs!$B$43)-(B3021))))*(IF(AND(ArtifactsInput!$M$42,((Inputs!$B$9+((C3002=TRUE)*(F3002-Calc!F19))+B3014+(ArtifactsInput!$M$24-ArtifactsInput!$M$24)*CHOOSE(ArtifactsInput!$N$24+1,10,12,14,16,18,20)+IF(ArtifactsInput!$M$10,CHOOSE(ArtifactsInput!$N$10+1,15,18,21,24,27,30)*(IF(Inputs!$B$38="pvp",MIN(15,15)/15,IF(AND(Inputs!$B$38&lt;&gt;"pvp",Inputs!$B$43&gt;0),MIN(15,Inputs!$B$43)/(Inputs!$B$43),0))),0)))&gt;=100),MIN(100,((Inputs!$B$9+((C3002=TRUE)*(F3002-Calc!F19))+B3014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3021)&lt;=0,1,MAX(0,IF(Inputs!$B$38="pvp",15,Inputs!$B$43)-MAX(5,B3021))/(IF(Inputs!$B$38="pvp",15,Inputs!$B$43)-(B3021))))*IF(AND(ArtifactsInput!$M$42,((Inputs!$B$9+((C3002=TRUE)*(F3002-Calc!F19))+B3014+(ArtifactsInput!$M$24-ArtifactsInput!$M$24)*CHOOSE(ArtifactsInput!$N$24+1,10,12,14,16,18,20)+IF(ArtifactsInput!$M$10,CHOOSE(ArtifactsInput!$N$10+1,15,18,21,24,27,30)*(IF(Inputs!$B$38="pvp",MIN(15,15)/15,IF(AND(Inputs!$B$38&lt;&gt;"pvp",Inputs!$B$43&gt;0),MIN(15,Inputs!$B$43)/(Inputs!$B$43),0))),0)))&gt;=100),CHOOSE(ArtifactsInput!$N$42+1,40,48,56,64,72,80),0))))/100)*((1+(((C3000=TRUE)*F3000*5/7)+((C3007=TRUE)*(F3007-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2985)</f>
        <v/>
      </c>
      <c r="L2985">
        <f>K2985*(MIN(Inputs!$B$22+((C3005=TRUE)*(F3005-Calc!F22)),(Inputs!$B$23+0+(IF(ArtifactsInput!$M$15,CHOOSE(ArtifactsInput!$N$15+1,25,30,35,40,45,50)/100*(Inputs!$B$11-Inputs!$B$11),0))))/100+(Inputs!$B$23+0+(IF(ArtifactsInput!$M$15,CHOOSE(ArtifactsInput!$N$15+1,25,30,35,40,45,50)/100*(Inputs!$B$11-Inputs!$B$11),0)))/100)/2</f>
        <v/>
      </c>
      <c r="M2985">
        <f>L2985*(1+(Inputs!$B$10+((C3008=TRUE)*(F3008-Calc!F25))+B3019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85">
        <f>L2985*(1-MIN((Inputs!$B$9+((C3002=TRUE)*(F3002-Calc!F19))+B3014+(ArtifactsInput!$M$24-ArtifactsInput!$M$24)*CHOOSE(ArtifactsInput!$N$24+1,10,12,14,16,18,20)+(IF(AND(Inputs!$B$38&lt;&gt;"pvp",Inputs!$B$43=0),1,IF(IF(Inputs!$B$38="pvp",15,Inputs!$B$43)-(B3021)&lt;=0,1,MAX(0,IF(Inputs!$B$38="pvp",15,Inputs!$B$43)-MAX(5,B3021))/(IF(Inputs!$B$38="pvp",15,Inputs!$B$43)-(B3021))))*IF(AND(ArtifactsInput!$M$42,((Inputs!$B$9+((C3002=TRUE)*(F3002-Calc!F19))+B3014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2985*(MIN((Inputs!$B$9+((C3002=TRUE)*(F3002-Calc!F19))+B3014+(ArtifactsInput!$M$24-ArtifactsInput!$M$24)*CHOOSE(ArtifactsInput!$N$24+1,10,12,14,16,18,20)+(IF(AND(Inputs!$B$38&lt;&gt;"pvp",Inputs!$B$43=0),1,IF(IF(Inputs!$B$38="pvp",15,Inputs!$B$43)-(B3021)&lt;=0,1,MAX(0,IF(Inputs!$B$38="pvp",15,Inputs!$B$43)-MAX(5,B3021))/(IF(Inputs!$B$38="pvp",15,Inputs!$B$43)-(B3021))))*IF(AND(ArtifactsInput!$M$42,((Inputs!$B$9+((C3002=TRUE)*(F3002-Calc!F19))+B3014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85">
        <f>(1-Summary!$B$11)*T2985+Summary!$B$11*V2985</f>
        <v/>
      </c>
      <c r="P2985">
        <f>IF(B3024=0,0,O2985/B3024)</f>
        <v/>
      </c>
      <c r="Q2985" t="n">
        <v>0</v>
      </c>
      <c r="R2985" t="n">
        <v>0</v>
      </c>
      <c r="S2985">
        <f>IFERROR(O2985/N2985,0)</f>
        <v/>
      </c>
      <c r="T2985">
        <f>IF(C2985,(Skills!G2*N2985*B3018*(1+IF(C3010=TRUE,1/3,0)))*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Hunt"),CHOOSE(ArtifactsInput!$N$35+1,15,18,21,24,27,30)*(1-EXP(-(0.2*B3016)*5)),0)+IF(AND(ArtifactsInput!$M$22,Inputs!$B$4&lt;&gt;"Chapter Hunt"),CHOOSE(ArtifactsInput!$N$22+1,10,12,14,16,18,20)*((0*(((0.15*B3016*5))^0/1)+1*(((0.15*B3016*5))^1/1)+2*(((0.15*B3016*5))^2/2)+3*(((0.15*B3016*5))^3/6)+4*(((0.15*B3016*5))^4/24)+5*(((0.15*B3016*5))^5/120))/((((0.15*B3016*5))^0/1)+(((0.15*B3016*5))^1/1)+(((0.15*B3016*5))^2/2)+(((0.15*B3016*5))^3/6)+(((0.15*B3016*5))^4/24)+(((0.15*B3016*5))^5/120))),0))+IF(Inputs!$B$3&gt;=54,9*(C2986=TRUE)*MIN(1,8*(1+Inputs!$B$34/100)*Q2986)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2985*(1-MIN(100,(Inputs!$B$9+((C3002=TRUE)*(F3002-Calc!F19))+B3014+(ArtifactsInput!$M$24-ArtifactsInput!$M$24)*CHOOSE(ArtifactsInput!$N$24+1,10,12,14,16,18,20)+(IF(AND(Inputs!$B$38&lt;&gt;"pvp",Inputs!$B$43=0),1,IF(IF(Inputs!$B$38="pvp",15,Inputs!$B$43)-(B3021)&lt;=0,1,MAX(0,IF(Inputs!$B$38="pvp",15,Inputs!$B$43)-MAX(5,B3021))/(IF(Inputs!$B$38="pvp",15,Inputs!$B$43)-(B3021))))*IF(AND(ArtifactsInput!$M$42,((Inputs!$B$9+((C3002=TRUE)*(F3002-Calc!F19))+B3014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2985*(MIN(100,(Inputs!$B$9+((C3002=TRUE)*(F3002-Calc!F19))+B3014+(ArtifactsInput!$M$24-ArtifactsInput!$M$24)*CHOOSE(ArtifactsInput!$N$24+1,10,12,14,16,18,20)+(IF(AND(Inputs!$B$38&lt;&gt;"pvp",Inputs!$B$43=0),1,IF(IF(Inputs!$B$38="pvp",15,Inputs!$B$43)-(B3021)&lt;=0,1,MAX(0,IF(Inputs!$B$38="pvp",15,Inputs!$B$43)-MAX(5,B3021))/(IF(Inputs!$B$38="pvp",15,Inputs!$B$43)-(B3021))))*IF(AND(ArtifactsInput!$M$42,((Inputs!$B$9+((C3002=TRUE)*(F3002-Calc!F19))+B3014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2985*(1-MIN(100,(Inputs!$B$9+((C3002=TRUE)*(F3002-Calc!F19))+B3014+(ArtifactsInput!$M$24-ArtifactsInput!$M$24)*CHOOSE(ArtifactsInput!$N$24+1,10,12,14,16,18,20)+(IF(AND(Inputs!$B$38&lt;&gt;"pvp",Inputs!$B$43=0),1,IF(IF(Inputs!$B$38="pvp",15,Inputs!$B$43)-(B3021)&lt;=0,1,MAX(0,IF(Inputs!$B$38="pvp",15,Inputs!$B$43)-MAX(5,B3021))/(IF(Inputs!$B$38="pvp",15,Inputs!$B$43)-(B3021))))*IF(AND(ArtifactsInput!$M$42,((Inputs!$B$9+((C3002=TRUE)*(F3002-Calc!F19))+B3014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2985*(MIN(100,(Inputs!$B$9+((C3002=TRUE)*(F3002-Calc!F19))+B3014+(ArtifactsInput!$M$24-ArtifactsInput!$M$24)*CHOOSE(ArtifactsInput!$N$24+1,10,12,14,16,18,20)+(IF(AND(Inputs!$B$38&lt;&gt;"pvp",Inputs!$B$43=0),1,IF(IF(Inputs!$B$38="pvp",15,Inputs!$B$43)-(B3021)&lt;=0,1,MAX(0,IF(Inputs!$B$38="pvp",15,Inputs!$B$43)-MAX(5,B3021))/(IF(Inputs!$B$38="pvp",15,Inputs!$B$43)-(B3021))))*IF(AND(ArtifactsInput!$M$42,((Inputs!$B$9+((C3002=TRUE)*(F3002-Calc!F19))+B3014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985">
        <f>MAX(0,(Inputs!$B$3-100)*3)+Inputs!$B$28+Inputs!$B$29</f>
        <v/>
      </c>
      <c r="V2985">
        <f>IF(C2985,(Skills!G2*N2985*B3018*(1+IF(C3010=TRUE,1/3,0)))*IF(Inputs!$B$38="pvp",1,(1+(Inputs!$B$21+Skills!Q2+(IF(ArtifactsInput!$M$33,CHOOSE(ArtifactsInput!$N$33+1,30,36,42,48,54,60),0))+(IF(AND(ArtifactsInput!$M$35,Inputs!$B$4&lt;&gt;"Chapter Hunt"),CHOOSE(ArtifactsInput!$N$35+1,15,18,21,24,27,30)*(1-EXP(-(0.2*B3016)*5)),0)+IF(AND(ArtifactsInput!$M$22,Inputs!$B$4&lt;&gt;"Chapter Hunt"),CHOOSE(ArtifactsInput!$N$22+1,10,12,14,16,18,20)*((0*(((0.15*B3016*5))^0/1)+1*(((0.15*B3016*5))^1/1)+2*(((0.15*B3016*5))^2/2)+3*(((0.15*B3016*5))^3/6)+4*(((0.15*B3016*5))^4/24)+5*(((0.15*B3016*5))^5/120))/((((0.15*B3016*5))^0/1)+(((0.15*B3016*5))^1/1)+(((0.15*B3016*5))^2/2)+(((0.15*B3016*5))^3/6)+(((0.15*B3016*5))^4/24)+(((0.15*B3016*5))^5/120))),0))+IF(Inputs!$B$3&gt;=54,9*(C2986=TRUE)*MIN(1,8*(1+Inputs!$B$34/100)*Q2986),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86">
      <c r="A2986">
        <f>Skills!A3</f>
        <v/>
      </c>
      <c r="B2986">
        <f>Skills!B3</f>
        <v/>
      </c>
      <c r="C2986">
        <f>Inputs!$B$3&gt;=33</f>
        <v/>
      </c>
      <c r="D2986">
        <f>IF(Skills!C3=1,60+Inputs!$B$25+Inputs!$B$29,IF(Skills!C3=2,90+Inputs!$B$26+Inputs!$B$29,IF(Skills!C3=3,120+Inputs!$B$27+Inputs!$B$29,MAX(0,(Inputs!$B$3-100)*3)+Inputs!$B$28+Inputs!$B$29)))</f>
        <v/>
      </c>
      <c r="E2986">
        <f>INDEX(FactorTable!$B$2:$Y$301, MATCH(ROUND(MIN(300,MAX(1,D2986)),0), FactorTable!$A$2:$A$301,0), Skills!M3+1)</f>
        <v/>
      </c>
      <c r="F2986">
        <f>IF(Skills!N3=TRUE,(Skills!L3/10)*(E2986/1000),Skills!L3/10)+Skills!O3</f>
        <v/>
      </c>
      <c r="G2986">
        <f>Skills!G3*IF(Skills!H3&gt;0,INT(IF(Inputs!$B$38="pvp",MIN(Skills!I3,15),Skills!I3)/Skills!H3+0.000000001),1)</f>
        <v/>
      </c>
      <c r="H2986">
        <f>1-(1-Skills!J3/100)^Skills!K3</f>
        <v/>
      </c>
      <c r="I2986" t="inlineStr">
        <is>
          <t>1</t>
        </is>
      </c>
      <c r="J2986">
        <f>((Inputs!$B$6*(1+Inputs!$B$7/100))+(((Inputs!$B$12*(1+Inputs!$B$13/100))-(Inputs!$B$12*(1+Inputs!$B$13/100)))+0.25*(Inputs!$B$14-Inputs!$B$14))*(1+Inputs!$B$7/100))*(F2986/100)</f>
        <v/>
      </c>
      <c r="K2986">
        <f>J2986*(1+((Inputs!$B$12*(1+Inputs!$B$13/100))*0.01+Inputs!$B$14*0.0025)/100)*(1+Inputs!$B$15/100)*(1+Inputs!$B$16/100)*(5000/(6000+Inputs!$B$42*(1-(100*(1-(1-(Inputs!$B$19+0)/100)*(1-CHOOSE(ArtifactsInput!$N$40+1,5,6,7,8,9,10)/100)^(ArtifactsInput!$M$40-ArtifactsInput!$M$40)))/100)))*(1+(Inputs!$B$24+((C3009=TRUE)*(F3009-Calc!F26))+B3020)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2998=TRUE,F2998,0)/100)*(1+(IF(Skills!A3="EIGHT_LEGS_EASTON",Inputs!$B$17+((C3006=TRUE)*(F3006-Calc!F23))+((C3010=TRUE)*(F3010-Calc!F27))+((IF(AND(Inputs!$B$38&lt;&gt;"pvp",Inputs!$B$43=0),1,IF(IF(Inputs!$B$38="pvp",15,Inputs!$B$43)-(B3021)&lt;=0,1,MAX(0,IF(Inputs!$B$38="pvp",15,Inputs!$B$43)-MAX(5,B3021))/(IF(Inputs!$B$38="pvp",15,Inputs!$B$43)-(B3021))))*(IF(AND(ArtifactsInput!$M$42,((Inputs!$B$9+((C3002=TRUE)*(F3002-Calc!F19))+B3014+(ArtifactsInput!$M$24-ArtifactsInput!$M$24)*CHOOSE(ArtifactsInput!$N$24+1,10,12,14,16,18,20)+IF(ArtifactsInput!$M$10,CHOOSE(ArtifactsInput!$N$10+1,15,18,21,24,27,30)*(IF(Inputs!$B$38="pvp",MIN(15,15)/15,IF(AND(Inputs!$B$38&lt;&gt;"pvp",Inputs!$B$43&gt;0),MIN(15,Inputs!$B$43)/(Inputs!$B$43),0))),0)))&gt;=100),MIN(100,((Inputs!$B$9+((C3002=TRUE)*(F3002-Calc!F19))+B3014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3021)&lt;=0,1,MAX(0,IF(Inputs!$B$38="pvp",15,Inputs!$B$43)-MAX(5,B3021))/(IF(Inputs!$B$38="pvp",15,Inputs!$B$43)-(B3021))))*IF(AND(ArtifactsInput!$M$42,((Inputs!$B$9+((C3002=TRUE)*(F3002-Calc!F19))+B3014+(ArtifactsInput!$M$24-ArtifactsInput!$M$24)*CHOOSE(ArtifactsInput!$N$24+1,10,12,14,16,18,20)+IF(ArtifactsInput!$M$10,CHOOSE(ArtifactsInput!$N$10+1,15,18,21,24,27,30)*(IF(Inputs!$B$38="pvp",MIN(15,15)/15,IF(AND(Inputs!$B$38&lt;&gt;"pvp",Inputs!$B$43&gt;0),MIN(15,Inputs!$B$43)/(Inputs!$B$43),0))),0)))&gt;=100),CHOOSE(ArtifactsInput!$N$42+1,40,48,56,64,72,80),0))))/100)*((1+(((C3000=TRUE)*F3000*5/7)+((C3007=TRUE)*(F3007-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2986)</f>
        <v/>
      </c>
      <c r="L2986">
        <f>K2986*(MIN(Inputs!$B$22+((C3005=TRUE)*(F3005-Calc!F22)),(Inputs!$B$23+0+(IF(ArtifactsInput!$M$15,CHOOSE(ArtifactsInput!$N$15+1,25,30,35,40,45,50)/100*(Inputs!$B$11-Inputs!$B$11),0))))/100+(Inputs!$B$23+0+(IF(ArtifactsInput!$M$15,CHOOSE(ArtifactsInput!$N$15+1,25,30,35,40,45,50)/100*(Inputs!$B$11-Inputs!$B$11),0)))/100)/2</f>
        <v/>
      </c>
      <c r="M2986">
        <f>L2986*(1+(Inputs!$B$10+((C3008=TRUE)*(F3008-Calc!F25))+B3019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86">
        <f>L2986*(1-MIN((Inputs!$B$9+((C3002=TRUE)*(F3002-Calc!F19))+B3014+(ArtifactsInput!$M$24-ArtifactsInput!$M$24)*CHOOSE(ArtifactsInput!$N$24+1,10,12,14,16,18,20)+(IF(AND(Inputs!$B$38&lt;&gt;"pvp",Inputs!$B$43=0),1,IF(IF(Inputs!$B$38="pvp",15,Inputs!$B$43)-(B3021)&lt;=0,1,MAX(0,IF(Inputs!$B$38="pvp",15,Inputs!$B$43)-MAX(5,B3021))/(IF(Inputs!$B$38="pvp",15,Inputs!$B$43)-(B3021))))*IF(AND(ArtifactsInput!$M$42,((Inputs!$B$9+((C3002=TRUE)*(F3002-Calc!F19))+B3014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2986*(MIN((Inputs!$B$9+((C3002=TRUE)*(F3002-Calc!F19))+B3014+(ArtifactsInput!$M$24-ArtifactsInput!$M$24)*CHOOSE(ArtifactsInput!$N$24+1,10,12,14,16,18,20)+(IF(AND(Inputs!$B$38&lt;&gt;"pvp",Inputs!$B$43=0),1,IF(IF(Inputs!$B$38="pvp",15,Inputs!$B$43)-(B3021)&lt;=0,1,MAX(0,IF(Inputs!$B$38="pvp",15,Inputs!$B$43)-MAX(5,B3021))/(IF(Inputs!$B$38="pvp",15,Inputs!$B$43)-(B3021))))*IF(AND(ArtifactsInput!$M$42,((Inputs!$B$9+((C3002=TRUE)*(F3002-Calc!F19))+B3014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86">
        <f>(1-Summary!$B$11)*T2986+Summary!$B$11*V2986</f>
        <v/>
      </c>
      <c r="P2986">
        <f>IF(B3024=0,0,O2986/B3024)</f>
        <v/>
      </c>
      <c r="Q2986">
        <f>IFERROR(1/(IF(Inputs!$B$38="pvp",15,MAX(0.1,Skills!D3-IF(TRUE=TRUE,1.0,0)))*(1-IF(AND(ArtifactsInput!$M$27,Inputs!$B$4="Chapter Hunt"),CHOOSE(ArtifactsInput!$N$27+1,20,24,28,32,36,40),0)/100)),0)</f>
        <v/>
      </c>
      <c r="R2986">
        <f>IF(AND(Inputs!$B$38&lt;&gt;"pvp",Inputs!$B$43&gt;0),IF(MAX(0,Inputs!$B$43-B3021)&lt;=0,0,(INT(MAX(0,Inputs!$B$43-B3021)/(IF(Inputs!$B$38="pvp",15,MAX(0.1,Skills!D3-IF(TRUE=TRUE,1.0,0)))*(1-IF(AND(ArtifactsInput!$M$27,Inputs!$B$4="Chapter Hunt"),CHOOSE(ArtifactsInput!$N$27+1,20,24,28,32,36,40),0)/100)))+1)),0)</f>
        <v/>
      </c>
      <c r="S2986">
        <f>IFERROR(O2986/N2986,0)</f>
        <v/>
      </c>
      <c r="T2986">
        <f>IF(C2986,(H2986*N2986*IF(AND(Inputs!$B$38&lt;&gt;"pvp",Inputs!$B$43&gt;0),((Skills!G3*((R2986-1)*IF(Skills!H3&gt;0,INT(Skills!I3/Skills!H3+0.000000001),1)+IF(Skills!H3&gt;0,INT(MIN(Skills!I3,MAX(0,MAX(0,Inputs!$B$43-B3021)-((R2986-1)*(IF(Inputs!$B$38="pvp",15,MAX(0.1,Skills!D3-IF(TRUE=TRUE,1.0,0)))*(1-IF(AND(ArtifactsInput!$M$27,Inputs!$B$4="Chapter Hunt"),CHOOSE(ArtifactsInput!$N$27+1,20,24,28,32,36,40),0)/100)))))/Skills!H3+0.000000001),1)))/Inputs!$B$43),G2986*Q2986))*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Hunt"),CHOOSE(ArtifactsInput!$N$35+1,15,18,21,24,27,30)*(1-EXP(-(0.2*B3016)*5)),0)+IF(AND(ArtifactsInput!$M$22,Inputs!$B$4&lt;&gt;"Chapter Hunt"),CHOOSE(ArtifactsInput!$N$22+1,10,12,14,16,18,20)*((0*(((0.15*B3016*5))^0/1)+1*(((0.15*B3016*5))^1/1)+2*(((0.15*B3016*5))^2/2)+3*(((0.15*B3016*5))^3/6)+4*(((0.15*B3016*5))^4/24)+5*(((0.15*B3016*5))^5/120))/((((0.15*B3016*5))^0/1)+(((0.15*B3016*5))^1/1)+(((0.15*B3016*5))^2/2)+(((0.15*B3016*5))^3/6)+(((0.15*B3016*5))^4/24)+(((0.15*B3016*5))^5/120))),0))+IF(Inputs!$B$3&gt;=54,9*(C2986=TRUE)*MIN(1,8*(1+Inputs!$B$34/100)*Q2986)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2986*(1-MIN(100,(Inputs!$B$9+((C3002=TRUE)*(F3002-Calc!F19))+B3014+(ArtifactsInput!$M$24-ArtifactsInput!$M$24)*CHOOSE(ArtifactsInput!$N$24+1,10,12,14,16,18,20)+(IF(AND(Inputs!$B$38&lt;&gt;"pvp",Inputs!$B$43=0),1,IF(IF(Inputs!$B$38="pvp",15,Inputs!$B$43)-(B3021)&lt;=0,1,MAX(0,IF(Inputs!$B$38="pvp",15,Inputs!$B$43)-MAX(5,B3021))/(IF(Inputs!$B$38="pvp",15,Inputs!$B$43)-(B3021))))*IF(AND(ArtifactsInput!$M$42,((Inputs!$B$9+((C3002=TRUE)*(F3002-Calc!F19))+B3014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2986*(MIN(100,(Inputs!$B$9+((C3002=TRUE)*(F3002-Calc!F19))+B3014+(ArtifactsInput!$M$24-ArtifactsInput!$M$24)*CHOOSE(ArtifactsInput!$N$24+1,10,12,14,16,18,20)+(IF(AND(Inputs!$B$38&lt;&gt;"pvp",Inputs!$B$43=0),1,IF(IF(Inputs!$B$38="pvp",15,Inputs!$B$43)-(B3021)&lt;=0,1,MAX(0,IF(Inputs!$B$38="pvp",15,Inputs!$B$43)-MAX(5,B3021))/(IF(Inputs!$B$38="pvp",15,Inputs!$B$43)-(B3021))))*IF(AND(ArtifactsInput!$M$42,((Inputs!$B$9+((C3002=TRUE)*(F3002-Calc!F19))+B3014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2986*(1-MIN(100,(Inputs!$B$9+((C3002=TRUE)*(F3002-Calc!F19))+B3014+(ArtifactsInput!$M$24-ArtifactsInput!$M$24)*CHOOSE(ArtifactsInput!$N$24+1,10,12,14,16,18,20)+(IF(AND(Inputs!$B$38&lt;&gt;"pvp",Inputs!$B$43=0),1,IF(IF(Inputs!$B$38="pvp",15,Inputs!$B$43)-(B3021)&lt;=0,1,MAX(0,IF(Inputs!$B$38="pvp",15,Inputs!$B$43)-MAX(5,B3021))/(IF(Inputs!$B$38="pvp",15,Inputs!$B$43)-(B3021))))*IF(AND(ArtifactsInput!$M$42,((Inputs!$B$9+((C3002=TRUE)*(F3002-Calc!F19))+B3014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2986*(MIN(100,(Inputs!$B$9+((C3002=TRUE)*(F3002-Calc!F19))+B3014+(ArtifactsInput!$M$24-ArtifactsInput!$M$24)*CHOOSE(ArtifactsInput!$N$24+1,10,12,14,16,18,20)+(IF(AND(Inputs!$B$38&lt;&gt;"pvp",Inputs!$B$43=0),1,IF(IF(Inputs!$B$38="pvp",15,Inputs!$B$43)-(B3021)&lt;=0,1,MAX(0,IF(Inputs!$B$38="pvp",15,Inputs!$B$43)-MAX(5,B3021))/(IF(Inputs!$B$38="pvp",15,Inputs!$B$43)-(B3021))))*IF(AND(ArtifactsInput!$M$42,((Inputs!$B$9+((C3002=TRUE)*(F3002-Calc!F19))+B3014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986">
        <f>INDEX(FactorTable!$B$2:$Y$301, MATCH(ROUND(MIN(300,MAX(1,U2985)),0), FactorTable!$A$2:$A$301,0), 22)</f>
        <v/>
      </c>
      <c r="V2986">
        <f>IF(C2986,(H2986*N2986*IF(AND(Inputs!$B$38&lt;&gt;"pvp",Inputs!$B$43&gt;0),((Skills!G3*((R2986-1)*IF(Skills!H3&gt;0,INT(Skills!I3/Skills!H3+0.000000001),1)+IF(Skills!H3&gt;0,INT(MIN(Skills!I3,MAX(0,MAX(0,Inputs!$B$43-B3021)-((R2986-1)*(IF(Inputs!$B$38="pvp",15,MAX(0.1,Skills!D3-IF(TRUE=TRUE,1.0,0)))*(1-IF(AND(ArtifactsInput!$M$27,Inputs!$B$4="Chapter Hunt"),CHOOSE(ArtifactsInput!$N$27+1,20,24,28,32,36,40),0)/100)))))/Skills!H3+0.000000001),1)))/Inputs!$B$43),G2986*Q2986))*IF(Inputs!$B$38="pvp",1,(1+(Inputs!$B$21+Skills!Q3+(IF(ArtifactsInput!$M$33,CHOOSE(ArtifactsInput!$N$33+1,30,36,42,48,54,60),0))+(IF(AND(ArtifactsInput!$M$35,Inputs!$B$4&lt;&gt;"Chapter Hunt"),CHOOSE(ArtifactsInput!$N$35+1,15,18,21,24,27,30)*(1-EXP(-(0.2*B3016)*5)),0)+IF(AND(ArtifactsInput!$M$22,Inputs!$B$4&lt;&gt;"Chapter Hunt"),CHOOSE(ArtifactsInput!$N$22+1,10,12,14,16,18,20)*((0*(((0.15*B3016*5))^0/1)+1*(((0.15*B3016*5))^1/1)+2*(((0.15*B3016*5))^2/2)+3*(((0.15*B3016*5))^3/6)+4*(((0.15*B3016*5))^4/24)+5*(((0.15*B3016*5))^5/120))/((((0.15*B3016*5))^0/1)+(((0.15*B3016*5))^1/1)+(((0.15*B3016*5))^2/2)+(((0.15*B3016*5))^3/6)+(((0.15*B3016*5))^4/24)+(((0.15*B3016*5))^5/120))),0))+IF(Inputs!$B$3&gt;=54,9*(C2986=TRUE)*MIN(1,8*(1+Inputs!$B$34/100)*Q2986),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87">
      <c r="A2987">
        <f>Skills!A4</f>
        <v/>
      </c>
      <c r="B2987">
        <f>Skills!B4</f>
        <v/>
      </c>
      <c r="C2987">
        <f>Inputs!$B$3&gt;=35</f>
        <v/>
      </c>
      <c r="D2987">
        <f>IF(Skills!C4=1,60+Inputs!$B$25+Inputs!$B$29,IF(Skills!C4=2,90+Inputs!$B$26+Inputs!$B$29,IF(Skills!C4=3,120+Inputs!$B$27+Inputs!$B$29,MAX(0,(Inputs!$B$3-100)*3)+Inputs!$B$28+Inputs!$B$29)))</f>
        <v/>
      </c>
      <c r="E2987">
        <f>INDEX(FactorTable!$B$2:$Y$301, MATCH(ROUND(MIN(300,MAX(1,D2987)),0), FactorTable!$A$2:$A$301,0), Skills!M4+1)</f>
        <v/>
      </c>
      <c r="F2987">
        <f>IF(Skills!N4=TRUE,(Skills!L4/10)*(E2987/1000),Skills!L4/10)+Skills!O4</f>
        <v/>
      </c>
      <c r="G2987">
        <f>Skills!G4*IF(Skills!H4&gt;0,INT(IF(Inputs!$B$38="pvp",MIN(IF(Inputs!$B$3&gt;=104,MIN(35,20*(1+Inputs!$B$34/100)),20),15),IF(Inputs!$B$3&gt;=104,MIN(35,20*(1+Inputs!$B$34/100)),20))/Skills!H4+0.000000001),1)</f>
        <v/>
      </c>
      <c r="H2987">
        <f>1-(1-Skills!J4/100)^Skills!K4</f>
        <v/>
      </c>
      <c r="I2987" t="inlineStr">
        <is>
          <t>1</t>
        </is>
      </c>
      <c r="J2987">
        <f>((Inputs!$B$6*(1+Inputs!$B$7/100))+(((Inputs!$B$12*(1+Inputs!$B$13/100))-(Inputs!$B$12*(1+Inputs!$B$13/100)))+0.25*(Inputs!$B$14-Inputs!$B$14))*(1+Inputs!$B$7/100))*(F2987/100)</f>
        <v/>
      </c>
      <c r="K2987">
        <f>J2987*(1+((Inputs!$B$12*(1+Inputs!$B$13/100))*0.01+Inputs!$B$14*0.0025)/100)*(1+Inputs!$B$15/100)*(1+Inputs!$B$16/100)*(5000/(6000+Inputs!$B$42*(1-(100*(1-(1-(Inputs!$B$19+0)/100)*(1-CHOOSE(ArtifactsInput!$N$40+1,5,6,7,8,9,10)/100)^(ArtifactsInput!$M$40-ArtifactsInput!$M$40)))/100)))*(1+(Inputs!$B$24+((C3009=TRUE)*(F3009-Calc!F26))+B3020)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2999=TRUE,F2999,0)/100)*(1+(IF(Skills!A4="EIGHT_LEGS_EASTON",Inputs!$B$17+((C3006=TRUE)*(F3006-Calc!F23))+((C3010=TRUE)*(F3010-Calc!F27))+((IF(AND(Inputs!$B$38&lt;&gt;"pvp",Inputs!$B$43=0),1,IF(IF(Inputs!$B$38="pvp",15,Inputs!$B$43)-(B3021)&lt;=0,1,MAX(0,IF(Inputs!$B$38="pvp",15,Inputs!$B$43)-MAX(5,B3021))/(IF(Inputs!$B$38="pvp",15,Inputs!$B$43)-(B3021))))*(IF(AND(ArtifactsInput!$M$42,((Inputs!$B$9+((C3002=TRUE)*(F3002-Calc!F19))+B3014+(ArtifactsInput!$M$24-ArtifactsInput!$M$24)*CHOOSE(ArtifactsInput!$N$24+1,10,12,14,16,18,20)+IF(ArtifactsInput!$M$10,CHOOSE(ArtifactsInput!$N$10+1,15,18,21,24,27,30)*(IF(Inputs!$B$38="pvp",MIN(15,15)/15,IF(AND(Inputs!$B$38&lt;&gt;"pvp",Inputs!$B$43&gt;0),MIN(15,Inputs!$B$43)/(Inputs!$B$43),0))),0)))&gt;=100),MIN(100,((Inputs!$B$9+((C3002=TRUE)*(F3002-Calc!F19))+B3014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3021)&lt;=0,1,MAX(0,IF(Inputs!$B$38="pvp",15,Inputs!$B$43)-MAX(5,B3021))/(IF(Inputs!$B$38="pvp",15,Inputs!$B$43)-(B3021))))*IF(AND(ArtifactsInput!$M$42,((Inputs!$B$9+((C3002=TRUE)*(F3002-Calc!F19))+B3014+(ArtifactsInput!$M$24-ArtifactsInput!$M$24)*CHOOSE(ArtifactsInput!$N$24+1,10,12,14,16,18,20)+IF(ArtifactsInput!$M$10,CHOOSE(ArtifactsInput!$N$10+1,15,18,21,24,27,30)*(IF(Inputs!$B$38="pvp",MIN(15,15)/15,IF(AND(Inputs!$B$38&lt;&gt;"pvp",Inputs!$B$43&gt;0),MIN(15,Inputs!$B$43)/(Inputs!$B$43),0))),0)))&gt;=100),CHOOSE(ArtifactsInput!$N$42+1,40,48,56,64,72,80),0))))/100)*((1+(((C3000=TRUE)*F3000*5/7)+((C3007=TRUE)*(F3007-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2987)</f>
        <v/>
      </c>
      <c r="L2987">
        <f>K2987*(MIN(Inputs!$B$22+((C3005=TRUE)*(F3005-Calc!F22)),(Inputs!$B$23+0+(IF(ArtifactsInput!$M$15,CHOOSE(ArtifactsInput!$N$15+1,25,30,35,40,45,50)/100*(Inputs!$B$11-Inputs!$B$11),0))))/100+(Inputs!$B$23+0+(IF(ArtifactsInput!$M$15,CHOOSE(ArtifactsInput!$N$15+1,25,30,35,40,45,50)/100*(Inputs!$B$11-Inputs!$B$11),0)))/100)/2</f>
        <v/>
      </c>
      <c r="M2987">
        <f>L2987*(1+(Inputs!$B$10+((C3008=TRUE)*(F3008-Calc!F25))+B3019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87">
        <f>L2987*(1-MIN((Inputs!$B$9+((C3002=TRUE)*(F3002-Calc!F19))+B3014+(ArtifactsInput!$M$24-ArtifactsInput!$M$24)*CHOOSE(ArtifactsInput!$N$24+1,10,12,14,16,18,20)+(IF(AND(Inputs!$B$38&lt;&gt;"pvp",Inputs!$B$43=0),1,IF(IF(Inputs!$B$38="pvp",15,Inputs!$B$43)-(B3021)&lt;=0,1,MAX(0,IF(Inputs!$B$38="pvp",15,Inputs!$B$43)-MAX(5,B3021))/(IF(Inputs!$B$38="pvp",15,Inputs!$B$43)-(B3021))))*IF(AND(ArtifactsInput!$M$42,((Inputs!$B$9+((C3002=TRUE)*(F3002-Calc!F19))+B3014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2987*(MIN((Inputs!$B$9+((C3002=TRUE)*(F3002-Calc!F19))+B3014+(ArtifactsInput!$M$24-ArtifactsInput!$M$24)*CHOOSE(ArtifactsInput!$N$24+1,10,12,14,16,18,20)+(IF(AND(Inputs!$B$38&lt;&gt;"pvp",Inputs!$B$43=0),1,IF(IF(Inputs!$B$38="pvp",15,Inputs!$B$43)-(B3021)&lt;=0,1,MAX(0,IF(Inputs!$B$38="pvp",15,Inputs!$B$43)-MAX(5,B3021))/(IF(Inputs!$B$38="pvp",15,Inputs!$B$43)-(B3021))))*IF(AND(ArtifactsInput!$M$42,((Inputs!$B$9+((C3002=TRUE)*(F3002-Calc!F19))+B3014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87">
        <f>(1-Summary!$B$11)*T2987+Summary!$B$11*V2987</f>
        <v/>
      </c>
      <c r="P2987">
        <f>IF(B3024=0,0,O2987/B3024)</f>
        <v/>
      </c>
      <c r="Q2987">
        <f>IFERROR(1/(IF(Inputs!$B$38="pvp",15,MAX(0.1,Skills!D4-IF(TRUE=TRUE,1.0,0)))*(1-IF(AND(ArtifactsInput!$M$27,Inputs!$B$4="Chapter Hunt"),CHOOSE(ArtifactsInput!$N$27+1,20,24,28,32,36,40),0)/100)),0)</f>
        <v/>
      </c>
      <c r="R2987">
        <f>IF(AND(Inputs!$B$38&lt;&gt;"pvp",Inputs!$B$43&gt;0),IF(MAX(0,Inputs!$B$43-B3021)&lt;=0,0,(INT(MAX(0,Inputs!$B$43-B3021)/(IF(Inputs!$B$38="pvp",15,MAX(0.1,Skills!D4-IF(TRUE=TRUE,1.0,0)))*(1-IF(AND(ArtifactsInput!$M$27,Inputs!$B$4="Chapter Hunt"),CHOOSE(ArtifactsInput!$N$27+1,20,24,28,32,36,40),0)/100)))+1)),0)</f>
        <v/>
      </c>
      <c r="S2987">
        <f>IFERROR(O2987/N2987,0)</f>
        <v/>
      </c>
      <c r="T2987">
        <f>IF(C2987,(H2987*N2987*IF(AND(Inputs!$B$38&lt;&gt;"pvp",Inputs!$B$43&gt;0),((Skills!G4*((R2987-1)*IF(Skills!H4&gt;0,INT(IF(Inputs!$B$3&gt;=104,MIN(35,20*(1+Inputs!$B$34/100)),20)/Skills!H4+0.000000001),1)+IF(Skills!H4&gt;0,INT(MIN(IF(Inputs!$B$3&gt;=104,MIN(35,20*(1+Inputs!$B$34/100)),20),MAX(0,MAX(0,Inputs!$B$43-B3021)-((R2987-1)*(IF(Inputs!$B$38="pvp",15,MAX(0.1,Skills!D4-IF(TRUE=TRUE,1.0,0)))*(1-IF(AND(ArtifactsInput!$M$27,Inputs!$B$4="Chapter Hunt"),CHOOSE(ArtifactsInput!$N$27+1,20,24,28,32,36,40),0)/100)))))/Skills!H4+0.000000001),1)))/Inputs!$B$43),G2987*Q2987))*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Hunt"),CHOOSE(ArtifactsInput!$N$35+1,15,18,21,24,27,30)*(1-EXP(-(0.2*B3016)*5)),0)+IF(AND(ArtifactsInput!$M$22,Inputs!$B$4&lt;&gt;"Chapter Hunt"),CHOOSE(ArtifactsInput!$N$22+1,10,12,14,16,18,20)*((0*(((0.15*B3016*5))^0/1)+1*(((0.15*B3016*5))^1/1)+2*(((0.15*B3016*5))^2/2)+3*(((0.15*B3016*5))^3/6)+4*(((0.15*B3016*5))^4/24)+5*(((0.15*B3016*5))^5/120))/((((0.15*B3016*5))^0/1)+(((0.15*B3016*5))^1/1)+(((0.15*B3016*5))^2/2)+(((0.15*B3016*5))^3/6)+(((0.15*B3016*5))^4/24)+(((0.15*B3016*5))^5/120))),0))+IF(Inputs!$B$3&gt;=54,9*(C2986=TRUE)*MIN(1,8*(1+Inputs!$B$34/100)*Q2986)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2987*(1-MIN(100,(Inputs!$B$9+((C3002=TRUE)*(F3002-Calc!F19))+B3014+(ArtifactsInput!$M$24-ArtifactsInput!$M$24)*CHOOSE(ArtifactsInput!$N$24+1,10,12,14,16,18,20)+(IF(AND(Inputs!$B$38&lt;&gt;"pvp",Inputs!$B$43=0),1,IF(IF(Inputs!$B$38="pvp",15,Inputs!$B$43)-(B3021)&lt;=0,1,MAX(0,IF(Inputs!$B$38="pvp",15,Inputs!$B$43)-MAX(5,B3021))/(IF(Inputs!$B$38="pvp",15,Inputs!$B$43)-(B3021))))*IF(AND(ArtifactsInput!$M$42,((Inputs!$B$9+((C3002=TRUE)*(F3002-Calc!F19))+B3014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2987*(MIN(100,(Inputs!$B$9+((C3002=TRUE)*(F3002-Calc!F19))+B3014+(ArtifactsInput!$M$24-ArtifactsInput!$M$24)*CHOOSE(ArtifactsInput!$N$24+1,10,12,14,16,18,20)+(IF(AND(Inputs!$B$38&lt;&gt;"pvp",Inputs!$B$43=0),1,IF(IF(Inputs!$B$38="pvp",15,Inputs!$B$43)-(B3021)&lt;=0,1,MAX(0,IF(Inputs!$B$38="pvp",15,Inputs!$B$43)-MAX(5,B3021))/(IF(Inputs!$B$38="pvp",15,Inputs!$B$43)-(B3021))))*IF(AND(ArtifactsInput!$M$42,((Inputs!$B$9+((C3002=TRUE)*(F3002-Calc!F19))+B3014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2987*(1-MIN(100,(Inputs!$B$9+((C3002=TRUE)*(F3002-Calc!F19))+B3014+(ArtifactsInput!$M$24-ArtifactsInput!$M$24)*CHOOSE(ArtifactsInput!$N$24+1,10,12,14,16,18,20)+(IF(AND(Inputs!$B$38&lt;&gt;"pvp",Inputs!$B$43=0),1,IF(IF(Inputs!$B$38="pvp",15,Inputs!$B$43)-(B3021)&lt;=0,1,MAX(0,IF(Inputs!$B$38="pvp",15,Inputs!$B$43)-MAX(5,B3021))/(IF(Inputs!$B$38="pvp",15,Inputs!$B$43)-(B3021))))*IF(AND(ArtifactsInput!$M$42,((Inputs!$B$9+((C3002=TRUE)*(F3002-Calc!F19))+B3014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2987*(MIN(100,(Inputs!$B$9+((C3002=TRUE)*(F3002-Calc!F19))+B3014+(ArtifactsInput!$M$24-ArtifactsInput!$M$24)*CHOOSE(ArtifactsInput!$N$24+1,10,12,14,16,18,20)+(IF(AND(Inputs!$B$38&lt;&gt;"pvp",Inputs!$B$43=0),1,IF(IF(Inputs!$B$38="pvp",15,Inputs!$B$43)-(B3021)&lt;=0,1,MAX(0,IF(Inputs!$B$38="pvp",15,Inputs!$B$43)-MAX(5,B3021))/(IF(Inputs!$B$38="pvp",15,Inputs!$B$43)-(B3021))))*IF(AND(ArtifactsInput!$M$42,((Inputs!$B$9+((C3002=TRUE)*(F3002-Calc!F19))+B3014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987">
        <f>290*U2986/1000</f>
        <v/>
      </c>
      <c r="V2987">
        <f>IF(C2987,(H2987*N2987*IF(AND(Inputs!$B$38&lt;&gt;"pvp",Inputs!$B$43&gt;0),((Skills!G4*((R2987-1)*IF(Skills!H4&gt;0,INT(IF(Inputs!$B$3&gt;=104,MIN(35,20*(1+Inputs!$B$34/100)),20)/Skills!H4+0.000000001),1)+IF(Skills!H4&gt;0,INT(MIN(IF(Inputs!$B$3&gt;=104,MIN(35,20*(1+Inputs!$B$34/100)),20),MAX(0,MAX(0,Inputs!$B$43-B3021)-((R2987-1)*(IF(Inputs!$B$38="pvp",15,MAX(0.1,Skills!D4-IF(TRUE=TRUE,1.0,0)))*(1-IF(AND(ArtifactsInput!$M$27,Inputs!$B$4="Chapter Hunt"),CHOOSE(ArtifactsInput!$N$27+1,20,24,28,32,36,40),0)/100)))))/Skills!H4+0.000000001),1)))/Inputs!$B$43),G2987*Q2987))*IF(Inputs!$B$38="pvp",1,(1+(Inputs!$B$21+Skills!Q4+(IF(ArtifactsInput!$M$33,CHOOSE(ArtifactsInput!$N$33+1,30,36,42,48,54,60),0))+(IF(AND(ArtifactsInput!$M$35,Inputs!$B$4&lt;&gt;"Chapter Hunt"),CHOOSE(ArtifactsInput!$N$35+1,15,18,21,24,27,30)*(1-EXP(-(0.2*B3016)*5)),0)+IF(AND(ArtifactsInput!$M$22,Inputs!$B$4&lt;&gt;"Chapter Hunt"),CHOOSE(ArtifactsInput!$N$22+1,10,12,14,16,18,20)*((0*(((0.15*B3016*5))^0/1)+1*(((0.15*B3016*5))^1/1)+2*(((0.15*B3016*5))^2/2)+3*(((0.15*B3016*5))^3/6)+4*(((0.15*B3016*5))^4/24)+5*(((0.15*B3016*5))^5/120))/((((0.15*B3016*5))^0/1)+(((0.15*B3016*5))^1/1)+(((0.15*B3016*5))^2/2)+(((0.15*B3016*5))^3/6)+(((0.15*B3016*5))^4/24)+(((0.15*B3016*5))^5/120))),0))+IF(Inputs!$B$3&gt;=54,9*(C2986=TRUE)*MIN(1,8*(1+Inputs!$B$34/100)*Q2986),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88">
      <c r="A2988">
        <f>Skills!A5</f>
        <v/>
      </c>
      <c r="B2988">
        <f>Skills!B5</f>
        <v/>
      </c>
      <c r="C2988">
        <f>Inputs!$B$3&gt;=69</f>
        <v/>
      </c>
      <c r="D2988">
        <f>IF(Skills!C5=1,60+Inputs!$B$25+Inputs!$B$29,IF(Skills!C5=2,90+Inputs!$B$26+Inputs!$B$29,IF(Skills!C5=3,120+Inputs!$B$27+Inputs!$B$29,MAX(0,(Inputs!$B$3-100)*3)+Inputs!$B$28+Inputs!$B$29)))</f>
        <v/>
      </c>
      <c r="E2988">
        <f>INDEX(FactorTable!$B$2:$Y$301, MATCH(ROUND(MIN(300,MAX(1,D2988)),0), FactorTable!$A$2:$A$301,0), Skills!M5+1)</f>
        <v/>
      </c>
      <c r="F2988">
        <f>IF(Skills!N5=TRUE,(Skills!L5/10)*(E2988/1000),Skills!L5/10)+Skills!O5</f>
        <v/>
      </c>
      <c r="G2988">
        <f>Skills!G5*IF(Skills!H5&gt;0,INT(IF(Inputs!$B$38="pvp",MIN(IF(Inputs!$B$3&gt;=104,MIN(35,20*(1+Inputs!$B$34/100)),20),15),IF(Inputs!$B$3&gt;=104,MIN(35,20*(1+Inputs!$B$34/100)),20))/Skills!H5+0.000000001),1)</f>
        <v/>
      </c>
      <c r="H2988">
        <f>1-(1-Skills!J5/100)^Skills!K5</f>
        <v/>
      </c>
      <c r="I2988" t="inlineStr">
        <is>
          <t>1</t>
        </is>
      </c>
      <c r="J2988">
        <f>((Inputs!$B$6*(1+Inputs!$B$7/100))+(((Inputs!$B$12*(1+Inputs!$B$13/100))-(Inputs!$B$12*(1+Inputs!$B$13/100)))+0.25*(Inputs!$B$14-Inputs!$B$14))*(1+Inputs!$B$7/100))*(F2988/100)</f>
        <v/>
      </c>
      <c r="K2988">
        <f>J2988*(1+((Inputs!$B$12*(1+Inputs!$B$13/100))*0.01+Inputs!$B$14*0.0025)/100)*(1+Inputs!$B$15/100)*(1+Inputs!$B$16/100)*(5000/(6000+Inputs!$B$42*(1-(100*(1-(1-(Inputs!$B$19+0)/100)*(1-CHOOSE(ArtifactsInput!$N$40+1,5,6,7,8,9,10)/100)^(ArtifactsInput!$M$40-ArtifactsInput!$M$40)))/100)))*(1+(Inputs!$B$24+((C3009=TRUE)*(F3009-Calc!F26))+B3020)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+0.4*IF(C2999=TRUE,F2999,0)/100)*(1+(IF(Skills!A5="EIGHT_LEGS_EASTON",Inputs!$B$17+((C3006=TRUE)*(F3006-Calc!F23))+((C3010=TRUE)*(F3010-Calc!F27))+((IF(AND(Inputs!$B$38&lt;&gt;"pvp",Inputs!$B$43=0),1,IF(IF(Inputs!$B$38="pvp",15,Inputs!$B$43)-(B3021)&lt;=0,1,MAX(0,IF(Inputs!$B$38="pvp",15,Inputs!$B$43)-MAX(5,B3021))/(IF(Inputs!$B$38="pvp",15,Inputs!$B$43)-(B3021))))*(IF(AND(ArtifactsInput!$M$42,((Inputs!$B$9+((C3002=TRUE)*(F3002-Calc!F19))+B3014+(ArtifactsInput!$M$24-ArtifactsInput!$M$24)*CHOOSE(ArtifactsInput!$N$24+1,10,12,14,16,18,20)+IF(ArtifactsInput!$M$10,CHOOSE(ArtifactsInput!$N$10+1,15,18,21,24,27,30)*(IF(Inputs!$B$38="pvp",MIN(15,15)/15,IF(AND(Inputs!$B$38&lt;&gt;"pvp",Inputs!$B$43&gt;0),MIN(15,Inputs!$B$43)/(Inputs!$B$43),0))),0)))&gt;=100),MIN(100,((Inputs!$B$9+((C3002=TRUE)*(F3002-Calc!F19))+B3014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3021)&lt;=0,1,MAX(0,IF(Inputs!$B$38="pvp",15,Inputs!$B$43)-MAX(5,B3021))/(IF(Inputs!$B$38="pvp",15,Inputs!$B$43)-(B3021))))*IF(AND(ArtifactsInput!$M$42,((Inputs!$B$9+((C3002=TRUE)*(F3002-Calc!F19))+B3014+(ArtifactsInput!$M$24-ArtifactsInput!$M$24)*CHOOSE(ArtifactsInput!$N$24+1,10,12,14,16,18,20)+IF(ArtifactsInput!$M$10,CHOOSE(ArtifactsInput!$N$10+1,15,18,21,24,27,30)*(IF(Inputs!$B$38="pvp",MIN(15,15)/15,IF(AND(Inputs!$B$38&lt;&gt;"pvp",Inputs!$B$43&gt;0),MIN(15,Inputs!$B$43)/(Inputs!$B$43),0))),0)))&gt;=100),CHOOSE(ArtifactsInput!$N$42+1,40,48,56,64,72,80),0))))/100)*((1+(((C3000=TRUE)*F3000*5/7)+((C3007=TRUE)*(F3007-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2988)</f>
        <v/>
      </c>
      <c r="L2988">
        <f>K2988*(MIN(Inputs!$B$22+((C3005=TRUE)*(F3005-Calc!F22)),(Inputs!$B$23+0+(IF(ArtifactsInput!$M$15,CHOOSE(ArtifactsInput!$N$15+1,25,30,35,40,45,50)/100*(Inputs!$B$11-Inputs!$B$11),0))))/100+(Inputs!$B$23+0+(IF(ArtifactsInput!$M$15,CHOOSE(ArtifactsInput!$N$15+1,25,30,35,40,45,50)/100*(Inputs!$B$11-Inputs!$B$11),0)))/100)/2</f>
        <v/>
      </c>
      <c r="M2988">
        <f>L2988*(1+(Inputs!$B$10+((C3008=TRUE)*(F3008-Calc!F25))+B3019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88">
        <f>L2988*(1-MIN((Inputs!$B$9+((C3002=TRUE)*(F3002-Calc!F19))+B3014+(ArtifactsInput!$M$24-ArtifactsInput!$M$24)*CHOOSE(ArtifactsInput!$N$24+1,10,12,14,16,18,20)+(IF(AND(Inputs!$B$38&lt;&gt;"pvp",Inputs!$B$43=0),1,IF(IF(Inputs!$B$38="pvp",15,Inputs!$B$43)-(B3021)&lt;=0,1,MAX(0,IF(Inputs!$B$38="pvp",15,Inputs!$B$43)-MAX(5,B3021))/(IF(Inputs!$B$38="pvp",15,Inputs!$B$43)-(B3021))))*IF(AND(ArtifactsInput!$M$42,((Inputs!$B$9+((C3002=TRUE)*(F3002-Calc!F19))+B3014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2988*(MIN((Inputs!$B$9+((C3002=TRUE)*(F3002-Calc!F19))+B3014+(ArtifactsInput!$M$24-ArtifactsInput!$M$24)*CHOOSE(ArtifactsInput!$N$24+1,10,12,14,16,18,20)+(IF(AND(Inputs!$B$38&lt;&gt;"pvp",Inputs!$B$43=0),1,IF(IF(Inputs!$B$38="pvp",15,Inputs!$B$43)-(B3021)&lt;=0,1,MAX(0,IF(Inputs!$B$38="pvp",15,Inputs!$B$43)-MAX(5,B3021))/(IF(Inputs!$B$38="pvp",15,Inputs!$B$43)-(B3021))))*IF(AND(ArtifactsInput!$M$42,((Inputs!$B$9+((C3002=TRUE)*(F3002-Calc!F19))+B3014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88">
        <f>(1-Summary!$B$11)*T2988+Summary!$B$11*V2988</f>
        <v/>
      </c>
      <c r="P2988">
        <f>IF(B3024=0,0,O2988/B3024)</f>
        <v/>
      </c>
      <c r="Q2988">
        <f>IFERROR(1/(IF(Inputs!$B$38="pvp",15,MAX(0.1,Skills!D5-IF(TRUE=TRUE,1.0,0)))*(1-IF(AND(ArtifactsInput!$M$27,Inputs!$B$4="Chapter Hunt"),CHOOSE(ArtifactsInput!$N$27+1,20,24,28,32,36,40),0)/100)),0)</f>
        <v/>
      </c>
      <c r="R2988">
        <f>IF(AND(Inputs!$B$38&lt;&gt;"pvp",Inputs!$B$43&gt;0),IF(MAX(0,Inputs!$B$43-B3021)&lt;=0,0,(INT(MAX(0,Inputs!$B$43-B3021)/(IF(Inputs!$B$38="pvp",15,MAX(0.1,Skills!D5-IF(TRUE=TRUE,1.0,0)))*(1-IF(AND(ArtifactsInput!$M$27,Inputs!$B$4="Chapter Hunt"),CHOOSE(ArtifactsInput!$N$27+1,20,24,28,32,36,40),0)/100)))+1)),0)</f>
        <v/>
      </c>
      <c r="S2988">
        <f>IFERROR(O2988/N2988,0)</f>
        <v/>
      </c>
      <c r="T2988">
        <f>IF(C2988,(H2988*N2988*IF(AND(Inputs!$B$38&lt;&gt;"pvp",Inputs!$B$43&gt;0),((Skills!G5*((R2988-1)*IF(Skills!H5&gt;0,INT(IF(Inputs!$B$3&gt;=104,MIN(35,20*(1+Inputs!$B$34/100)),20)/Skills!H5+0.000000001),1)+IF(Skills!H5&gt;0,INT(MIN(IF(Inputs!$B$3&gt;=104,MIN(35,20*(1+Inputs!$B$34/100)),20),MAX(0,MAX(0,Inputs!$B$43-B3021)-((R2988-1)*(IF(Inputs!$B$38="pvp",15,MAX(0.1,Skills!D5-IF(TRUE=TRUE,1.0,0)))*(1-IF(AND(ArtifactsInput!$M$27,Inputs!$B$4="Chapter Hunt"),CHOOSE(ArtifactsInput!$N$27+1,20,24,28,32,36,40),0)/100)))))/Skills!H5+0.000000001),1)))/Inputs!$B$43),G2988*Q2988))*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Hunt"),CHOOSE(ArtifactsInput!$N$35+1,15,18,21,24,27,30)*(1-EXP(-(0.2*B3016)*5)),0)+IF(AND(ArtifactsInput!$M$22,Inputs!$B$4&lt;&gt;"Chapter Hunt"),CHOOSE(ArtifactsInput!$N$22+1,10,12,14,16,18,20)*((0*(((0.15*B3016*5))^0/1)+1*(((0.15*B3016*5))^1/1)+2*(((0.15*B3016*5))^2/2)+3*(((0.15*B3016*5))^3/6)+4*(((0.15*B3016*5))^4/24)+5*(((0.15*B3016*5))^5/120))/((((0.15*B3016*5))^0/1)+(((0.15*B3016*5))^1/1)+(((0.15*B3016*5))^2/2)+(((0.15*B3016*5))^3/6)+(((0.15*B3016*5))^4/24)+(((0.15*B3016*5))^5/120))),0))+IF(Inputs!$B$3&gt;=54,9*(C2986=TRUE)*MIN(1,8*(1+Inputs!$B$34/100)*Q2986)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2988*(1-MIN(100,(Inputs!$B$9+((C3002=TRUE)*(F3002-Calc!F19))+B3014+(ArtifactsInput!$M$24-ArtifactsInput!$M$24)*CHOOSE(ArtifactsInput!$N$24+1,10,12,14,16,18,20)+(IF(AND(Inputs!$B$38&lt;&gt;"pvp",Inputs!$B$43=0),1,IF(IF(Inputs!$B$38="pvp",15,Inputs!$B$43)-(B3021)&lt;=0,1,MAX(0,IF(Inputs!$B$38="pvp",15,Inputs!$B$43)-MAX(5,B3021))/(IF(Inputs!$B$38="pvp",15,Inputs!$B$43)-(B3021))))*IF(AND(ArtifactsInput!$M$42,((Inputs!$B$9+((C3002=TRUE)*(F3002-Calc!F19))+B3014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2988*(MIN(100,(Inputs!$B$9+((C3002=TRUE)*(F3002-Calc!F19))+B3014+(ArtifactsInput!$M$24-ArtifactsInput!$M$24)*CHOOSE(ArtifactsInput!$N$24+1,10,12,14,16,18,20)+(IF(AND(Inputs!$B$38&lt;&gt;"pvp",Inputs!$B$43=0),1,IF(IF(Inputs!$B$38="pvp",15,Inputs!$B$43)-(B3021)&lt;=0,1,MAX(0,IF(Inputs!$B$38="pvp",15,Inputs!$B$43)-MAX(5,B3021))/(IF(Inputs!$B$38="pvp",15,Inputs!$B$43)-(B3021))))*IF(AND(ArtifactsInput!$M$42,((Inputs!$B$9+((C3002=TRUE)*(F3002-Calc!F19))+B3014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2988*(1-MIN(100,(Inputs!$B$9+((C3002=TRUE)*(F3002-Calc!F19))+B3014+(ArtifactsInput!$M$24-ArtifactsInput!$M$24)*CHOOSE(ArtifactsInput!$N$24+1,10,12,14,16,18,20)+(IF(AND(Inputs!$B$38&lt;&gt;"pvp",Inputs!$B$43=0),1,IF(IF(Inputs!$B$38="pvp",15,Inputs!$B$43)-(B3021)&lt;=0,1,MAX(0,IF(Inputs!$B$38="pvp",15,Inputs!$B$43)-MAX(5,B3021))/(IF(Inputs!$B$38="pvp",15,Inputs!$B$43)-(B3021))))*IF(AND(ArtifactsInput!$M$42,((Inputs!$B$9+((C3002=TRUE)*(F3002-Calc!F19))+B3014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2988*(MIN(100,(Inputs!$B$9+((C3002=TRUE)*(F3002-Calc!F19))+B3014+(ArtifactsInput!$M$24-ArtifactsInput!$M$24)*CHOOSE(ArtifactsInput!$N$24+1,10,12,14,16,18,20)+(IF(AND(Inputs!$B$38&lt;&gt;"pvp",Inputs!$B$43=0),1,IF(IF(Inputs!$B$38="pvp",15,Inputs!$B$43)-(B3021)&lt;=0,1,MAX(0,IF(Inputs!$B$38="pvp",15,Inputs!$B$43)-MAX(5,B3021))/(IF(Inputs!$B$38="pvp",15,Inputs!$B$43)-(B3021))))*IF(AND(ArtifactsInput!$M$42,((Inputs!$B$9+((C3002=TRUE)*(F3002-Calc!F19))+B3014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988">
        <f>IF(C2988,(H2988*N2988*IF(AND(Inputs!$B$38&lt;&gt;"pvp",Inputs!$B$43&gt;0),((Skills!G5*((R2988-1)*IF(Skills!H5&gt;0,INT(IF(Inputs!$B$3&gt;=104,MIN(35,20*(1+Inputs!$B$34/100)),20)/Skills!H5+0.000000001),1)+IF(Skills!H5&gt;0,INT(MIN(IF(Inputs!$B$3&gt;=104,MIN(35,20*(1+Inputs!$B$34/100)),20),MAX(0,MAX(0,Inputs!$B$43-B3021)-((R2988-1)*(IF(Inputs!$B$38="pvp",15,MAX(0.1,Skills!D5-IF(TRUE=TRUE,1.0,0)))*(1-IF(AND(ArtifactsInput!$M$27,Inputs!$B$4="Chapter Hunt"),CHOOSE(ArtifactsInput!$N$27+1,20,24,28,32,36,40),0)/100)))))/Skills!H5+0.000000001),1)))/Inputs!$B$43),G2988*Q2988))*IF(Inputs!$B$38="pvp",1,(1+(Inputs!$B$21+Skills!Q5+(IF(ArtifactsInput!$M$33,CHOOSE(ArtifactsInput!$N$33+1,30,36,42,48,54,60),0))+(IF(AND(ArtifactsInput!$M$35,Inputs!$B$4&lt;&gt;"Chapter Hunt"),CHOOSE(ArtifactsInput!$N$35+1,15,18,21,24,27,30)*(1-EXP(-(0.2*B3016)*5)),0)+IF(AND(ArtifactsInput!$M$22,Inputs!$B$4&lt;&gt;"Chapter Hunt"),CHOOSE(ArtifactsInput!$N$22+1,10,12,14,16,18,20)*((0*(((0.15*B3016*5))^0/1)+1*(((0.15*B3016*5))^1/1)+2*(((0.15*B3016*5))^2/2)+3*(((0.15*B3016*5))^3/6)+4*(((0.15*B3016*5))^4/24)+5*(((0.15*B3016*5))^5/120))/((((0.15*B3016*5))^0/1)+(((0.15*B3016*5))^1/1)+(((0.15*B3016*5))^2/2)+(((0.15*B3016*5))^3/6)+(((0.15*B3016*5))^4/24)+(((0.15*B3016*5))^5/120))),0))+IF(Inputs!$B$3&gt;=54,9*(C2986=TRUE)*MIN(1,8*(1+Inputs!$B$34/100)*Q2986),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89">
      <c r="A2989">
        <f>Skills!A6</f>
        <v/>
      </c>
      <c r="B2989">
        <f>Skills!B6</f>
        <v/>
      </c>
      <c r="C2989">
        <f>Inputs!$B$3&gt;=66</f>
        <v/>
      </c>
      <c r="D2989">
        <f>IF(Skills!C6=1,60+Inputs!$B$25+Inputs!$B$29,IF(Skills!C6=2,90+Inputs!$B$26+Inputs!$B$29,IF(Skills!C6=3,120+Inputs!$B$27+Inputs!$B$29,MAX(0,(Inputs!$B$3-100)*3)+Inputs!$B$28+Inputs!$B$29)))</f>
        <v/>
      </c>
      <c r="E2989">
        <f>INDEX(FactorTable!$B$2:$Y$301, MATCH(ROUND(MIN(300,MAX(1,D2989)),0), FactorTable!$A$2:$A$301,0), Skills!M6+1)</f>
        <v/>
      </c>
      <c r="F2989">
        <f>IF(Skills!N6=TRUE,(Skills!L6/10)*(E2989/1000),Skills!L6/10)+Skills!O6</f>
        <v/>
      </c>
      <c r="G2989">
        <f>Skills!G6*IF(Skills!H6&gt;0,INT(IF(Inputs!$B$38="pvp",MIN(Skills!I6,15),Skills!I6)/Skills!H6+0.000000001),1)</f>
        <v/>
      </c>
      <c r="H2989">
        <f>1-(1-Skills!J6/100)^Skills!K6</f>
        <v/>
      </c>
      <c r="I2989" t="inlineStr">
        <is>
          <t>1</t>
        </is>
      </c>
      <c r="J2989">
        <f>((Inputs!$B$6*(1+Inputs!$B$7/100))+(((Inputs!$B$12*(1+Inputs!$B$13/100))-(Inputs!$B$12*(1+Inputs!$B$13/100)))+0.25*(Inputs!$B$14-Inputs!$B$14))*(1+Inputs!$B$7/100))*(F2989/100)</f>
        <v/>
      </c>
      <c r="K2989">
        <f>J2989*(1+((Inputs!$B$12*(1+Inputs!$B$13/100))*0.01+Inputs!$B$14*0.0025)/100)*(1+Inputs!$B$15/100)*(1+Inputs!$B$16/100)*(5000/(6000+Inputs!$B$42*(1-(100*(1-(1-(Inputs!$B$19+0)/100)*(1-CHOOSE(ArtifactsInput!$N$40+1,5,6,7,8,9,10)/100)^(ArtifactsInput!$M$40-ArtifactsInput!$M$40)))/100)))*(1+(Inputs!$B$24+((C3009=TRUE)*(F3009-Calc!F26))+B3020)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+2.0*IF(C2998=TRUE,F2998,0)/100)*(1+(IF(Skills!A6="EIGHT_LEGS_EASTON",Inputs!$B$17+((C3006=TRUE)*(F3006-Calc!F23))+((C3010=TRUE)*(F3010-Calc!F27))+((IF(AND(Inputs!$B$38&lt;&gt;"pvp",Inputs!$B$43=0),1,IF(IF(Inputs!$B$38="pvp",15,Inputs!$B$43)-(B3021)&lt;=0,1,MAX(0,IF(Inputs!$B$38="pvp",15,Inputs!$B$43)-MAX(5,B3021))/(IF(Inputs!$B$38="pvp",15,Inputs!$B$43)-(B3021))))*(IF(AND(ArtifactsInput!$M$42,((Inputs!$B$9+((C3002=TRUE)*(F3002-Calc!F19))+B3014+(ArtifactsInput!$M$24-ArtifactsInput!$M$24)*CHOOSE(ArtifactsInput!$N$24+1,10,12,14,16,18,20)+IF(ArtifactsInput!$M$10,CHOOSE(ArtifactsInput!$N$10+1,15,18,21,24,27,30)*(IF(Inputs!$B$38="pvp",MIN(15,15)/15,IF(AND(Inputs!$B$38&lt;&gt;"pvp",Inputs!$B$43&gt;0),MIN(15,Inputs!$B$43)/(Inputs!$B$43),0))),0)))&gt;=100),MIN(100,((Inputs!$B$9+((C3002=TRUE)*(F3002-Calc!F19))+B3014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3021)&lt;=0,1,MAX(0,IF(Inputs!$B$38="pvp",15,Inputs!$B$43)-MAX(5,B3021))/(IF(Inputs!$B$38="pvp",15,Inputs!$B$43)-(B3021))))*IF(AND(ArtifactsInput!$M$42,((Inputs!$B$9+((C3002=TRUE)*(F3002-Calc!F19))+B3014+(ArtifactsInput!$M$24-ArtifactsInput!$M$24)*CHOOSE(ArtifactsInput!$N$24+1,10,12,14,16,18,20)+IF(ArtifactsInput!$M$10,CHOOSE(ArtifactsInput!$N$10+1,15,18,21,24,27,30)*(IF(Inputs!$B$38="pvp",MIN(15,15)/15,IF(AND(Inputs!$B$38&lt;&gt;"pvp",Inputs!$B$43&gt;0),MIN(15,Inputs!$B$43)/(Inputs!$B$43),0))),0)))&gt;=100),CHOOSE(ArtifactsInput!$N$42+1,40,48,56,64,72,80),0))))/100)*((1+(((C3000=TRUE)*F3000*5/7)+((C3007=TRUE)*(F3007-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2989)</f>
        <v/>
      </c>
      <c r="L2989">
        <f>K2989*(MIN(Inputs!$B$22+((C3005=TRUE)*(F3005-Calc!F22)),(Inputs!$B$23+0+(IF(ArtifactsInput!$M$15,CHOOSE(ArtifactsInput!$N$15+1,25,30,35,40,45,50)/100*(Inputs!$B$11-Inputs!$B$11),0))))/100+(Inputs!$B$23+0+(IF(ArtifactsInput!$M$15,CHOOSE(ArtifactsInput!$N$15+1,25,30,35,40,45,50)/100*(Inputs!$B$11-Inputs!$B$11),0)))/100)/2</f>
        <v/>
      </c>
      <c r="M2989">
        <f>L2989*(1+(Inputs!$B$10+((C3008=TRUE)*(F3008-Calc!F25))+B3019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89">
        <f>L2989*(1-MIN((Inputs!$B$9+((C3002=TRUE)*(F3002-Calc!F19))+B3014+(ArtifactsInput!$M$24-ArtifactsInput!$M$24)*CHOOSE(ArtifactsInput!$N$24+1,10,12,14,16,18,20)+(IF(AND(Inputs!$B$38&lt;&gt;"pvp",Inputs!$B$43=0),1,IF(IF(Inputs!$B$38="pvp",15,Inputs!$B$43)-(B3021)&lt;=0,1,MAX(0,IF(Inputs!$B$38="pvp",15,Inputs!$B$43)-MAX(5,B3021))/(IF(Inputs!$B$38="pvp",15,Inputs!$B$43)-(B3021))))*IF(AND(ArtifactsInput!$M$42,((Inputs!$B$9+((C3002=TRUE)*(F3002-Calc!F19))+B3014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2989*(MIN((Inputs!$B$9+((C3002=TRUE)*(F3002-Calc!F19))+B3014+(ArtifactsInput!$M$24-ArtifactsInput!$M$24)*CHOOSE(ArtifactsInput!$N$24+1,10,12,14,16,18,20)+(IF(AND(Inputs!$B$38&lt;&gt;"pvp",Inputs!$B$43=0),1,IF(IF(Inputs!$B$38="pvp",15,Inputs!$B$43)-(B3021)&lt;=0,1,MAX(0,IF(Inputs!$B$38="pvp",15,Inputs!$B$43)-MAX(5,B3021))/(IF(Inputs!$B$38="pvp",15,Inputs!$B$43)-(B3021))))*IF(AND(ArtifactsInput!$M$42,((Inputs!$B$9+((C3002=TRUE)*(F3002-Calc!F19))+B3014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89">
        <f>(1-Summary!$B$11)*T2989+Summary!$B$11*V2989</f>
        <v/>
      </c>
      <c r="P2989">
        <f>IF(B3024=0,0,O2989/B3024)</f>
        <v/>
      </c>
      <c r="Q2989">
        <f>IFERROR(1/(IF(Inputs!$B$38="pvp",15,MAX(0.1,Skills!D6-IF(TRUE=TRUE,1.0,0)))*(1-IF(AND(ArtifactsInput!$M$27,Inputs!$B$4="Chapter Hunt"),CHOOSE(ArtifactsInput!$N$27+1,20,24,28,32,36,40),0)/100)),0)</f>
        <v/>
      </c>
      <c r="R2989">
        <f>IF(AND(Inputs!$B$38&lt;&gt;"pvp",Inputs!$B$43&gt;0),IF(MAX(0,Inputs!$B$43-B3021)&lt;=0,0,(INT(MAX(0,Inputs!$B$43-B3021)/(IF(Inputs!$B$38="pvp",15,MAX(0.1,Skills!D6-IF(TRUE=TRUE,1.0,0)))*(1-IF(AND(ArtifactsInput!$M$27,Inputs!$B$4="Chapter Hunt"),CHOOSE(ArtifactsInput!$N$27+1,20,24,28,32,36,40),0)/100)))+1)),0)</f>
        <v/>
      </c>
      <c r="S2989">
        <f>IFERROR(O2989/N2989,0)</f>
        <v/>
      </c>
      <c r="T2989">
        <f>IF(C2989,(H2989*N2989*IF(AND(Inputs!$B$38&lt;&gt;"pvp",Inputs!$B$43&gt;0),((Skills!G6*((R2989-1)*IF(Skills!H6&gt;0,INT(Skills!I6/Skills!H6+0.000000001),1)+IF(Skills!H6&gt;0,INT(MIN(Skills!I6,MAX(0,MAX(0,Inputs!$B$43-B3021)-((R2989-1)*(IF(Inputs!$B$38="pvp",15,MAX(0.1,Skills!D6-IF(TRUE=TRUE,1.0,0)))*(1-IF(AND(ArtifactsInput!$M$27,Inputs!$B$4="Chapter Hunt"),CHOOSE(ArtifactsInput!$N$27+1,20,24,28,32,36,40),0)/100)))))/Skills!H6+0.000000001),1)))/Inputs!$B$43),G2989*Q2989))*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Hunt"),CHOOSE(ArtifactsInput!$N$35+1,15,18,21,24,27,30)*(1-EXP(-(0.2*B3016)*5)),0)+IF(AND(ArtifactsInput!$M$22,Inputs!$B$4&lt;&gt;"Chapter Hunt"),CHOOSE(ArtifactsInput!$N$22+1,10,12,14,16,18,20)*((0*(((0.15*B3016*5))^0/1)+1*(((0.15*B3016*5))^1/1)+2*(((0.15*B3016*5))^2/2)+3*(((0.15*B3016*5))^3/6)+4*(((0.15*B3016*5))^4/24)+5*(((0.15*B3016*5))^5/120))/((((0.15*B3016*5))^0/1)+(((0.15*B3016*5))^1/1)+(((0.15*B3016*5))^2/2)+(((0.15*B3016*5))^3/6)+(((0.15*B3016*5))^4/24)+(((0.15*B3016*5))^5/120))),0))+IF(Inputs!$B$3&gt;=54,9*(C2986=TRUE)*MIN(1,8*(1+Inputs!$B$34/100)*Q2986)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2989*(1-MIN(100,(Inputs!$B$9+((C3002=TRUE)*(F3002-Calc!F19))+B3014+(ArtifactsInput!$M$24-ArtifactsInput!$M$24)*CHOOSE(ArtifactsInput!$N$24+1,10,12,14,16,18,20)+(IF(AND(Inputs!$B$38&lt;&gt;"pvp",Inputs!$B$43=0),1,IF(IF(Inputs!$B$38="pvp",15,Inputs!$B$43)-(B3021)&lt;=0,1,MAX(0,IF(Inputs!$B$38="pvp",15,Inputs!$B$43)-MAX(5,B3021))/(IF(Inputs!$B$38="pvp",15,Inputs!$B$43)-(B3021))))*IF(AND(ArtifactsInput!$M$42,((Inputs!$B$9+((C3002=TRUE)*(F3002-Calc!F19))+B3014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2989*(MIN(100,(Inputs!$B$9+((C3002=TRUE)*(F3002-Calc!F19))+B3014+(ArtifactsInput!$M$24-ArtifactsInput!$M$24)*CHOOSE(ArtifactsInput!$N$24+1,10,12,14,16,18,20)+(IF(AND(Inputs!$B$38&lt;&gt;"pvp",Inputs!$B$43=0),1,IF(IF(Inputs!$B$38="pvp",15,Inputs!$B$43)-(B3021)&lt;=0,1,MAX(0,IF(Inputs!$B$38="pvp",15,Inputs!$B$43)-MAX(5,B3021))/(IF(Inputs!$B$38="pvp",15,Inputs!$B$43)-(B3021))))*IF(AND(ArtifactsInput!$M$42,((Inputs!$B$9+((C3002=TRUE)*(F3002-Calc!F19))+B3014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2989*(1-MIN(100,(Inputs!$B$9+((C3002=TRUE)*(F3002-Calc!F19))+B3014+(ArtifactsInput!$M$24-ArtifactsInput!$M$24)*CHOOSE(ArtifactsInput!$N$24+1,10,12,14,16,18,20)+(IF(AND(Inputs!$B$38&lt;&gt;"pvp",Inputs!$B$43=0),1,IF(IF(Inputs!$B$38="pvp",15,Inputs!$B$43)-(B3021)&lt;=0,1,MAX(0,IF(Inputs!$B$38="pvp",15,Inputs!$B$43)-MAX(5,B3021))/(IF(Inputs!$B$38="pvp",15,Inputs!$B$43)-(B3021))))*IF(AND(ArtifactsInput!$M$42,((Inputs!$B$9+((C3002=TRUE)*(F3002-Calc!F19))+B3014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2989*(MIN(100,(Inputs!$B$9+((C3002=TRUE)*(F3002-Calc!F19))+B3014+(ArtifactsInput!$M$24-ArtifactsInput!$M$24)*CHOOSE(ArtifactsInput!$N$24+1,10,12,14,16,18,20)+(IF(AND(Inputs!$B$38&lt;&gt;"pvp",Inputs!$B$43=0),1,IF(IF(Inputs!$B$38="pvp",15,Inputs!$B$43)-(B3021)&lt;=0,1,MAX(0,IF(Inputs!$B$38="pvp",15,Inputs!$B$43)-MAX(5,B3021))/(IF(Inputs!$B$38="pvp",15,Inputs!$B$43)-(B3021))))*IF(AND(ArtifactsInput!$M$42,((Inputs!$B$9+((C3002=TRUE)*(F3002-Calc!F19))+B3014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989">
        <f>IF(C2989,(H2989*N2989*IF(AND(Inputs!$B$38&lt;&gt;"pvp",Inputs!$B$43&gt;0),((Skills!G6*((R2989-1)*IF(Skills!H6&gt;0,INT(Skills!I6/Skills!H6+0.000000001),1)+IF(Skills!H6&gt;0,INT(MIN(Skills!I6,MAX(0,MAX(0,Inputs!$B$43-B3021)-((R2989-1)*(IF(Inputs!$B$38="pvp",15,MAX(0.1,Skills!D6-IF(TRUE=TRUE,1.0,0)))*(1-IF(AND(ArtifactsInput!$M$27,Inputs!$B$4="Chapter Hunt"),CHOOSE(ArtifactsInput!$N$27+1,20,24,28,32,36,40),0)/100)))))/Skills!H6+0.000000001),1)))/Inputs!$B$43),G2989*Q2989))*IF(Inputs!$B$38="pvp",1,(1+(Inputs!$B$21+Skills!Q6+(IF(ArtifactsInput!$M$33,CHOOSE(ArtifactsInput!$N$33+1,30,36,42,48,54,60),0))+(IF(AND(ArtifactsInput!$M$35,Inputs!$B$4&lt;&gt;"Chapter Hunt"),CHOOSE(ArtifactsInput!$N$35+1,15,18,21,24,27,30)*(1-EXP(-(0.2*B3016)*5)),0)+IF(AND(ArtifactsInput!$M$22,Inputs!$B$4&lt;&gt;"Chapter Hunt"),CHOOSE(ArtifactsInput!$N$22+1,10,12,14,16,18,20)*((0*(((0.15*B3016*5))^0/1)+1*(((0.15*B3016*5))^1/1)+2*(((0.15*B3016*5))^2/2)+3*(((0.15*B3016*5))^3/6)+4*(((0.15*B3016*5))^4/24)+5*(((0.15*B3016*5))^5/120))/((((0.15*B3016*5))^0/1)+(((0.15*B3016*5))^1/1)+(((0.15*B3016*5))^2/2)+(((0.15*B3016*5))^3/6)+(((0.15*B3016*5))^4/24)+(((0.15*B3016*5))^5/120))),0))+IF(Inputs!$B$3&gt;=54,9*(C2986=TRUE)*MIN(1,8*(1+Inputs!$B$34/100)*Q2986),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90">
      <c r="A2990">
        <f>Skills!A7</f>
        <v/>
      </c>
      <c r="B2990">
        <f>Skills!B7</f>
        <v/>
      </c>
      <c r="C2990">
        <f>Inputs!$B$3&gt;=63</f>
        <v/>
      </c>
      <c r="D2990">
        <f>IF(Skills!C7=1,60+Inputs!$B$25+Inputs!$B$29,IF(Skills!C7=2,90+Inputs!$B$26+Inputs!$B$29,IF(Skills!C7=3,120+Inputs!$B$27+Inputs!$B$29,MAX(0,(Inputs!$B$3-100)*3)+Inputs!$B$28+Inputs!$B$29)))</f>
        <v/>
      </c>
      <c r="E2990">
        <f>INDEX(FactorTable!$B$2:$Y$301, MATCH(ROUND(MIN(300,MAX(1,D2990)),0), FactorTable!$A$2:$A$301,0), Skills!M7+1)</f>
        <v/>
      </c>
      <c r="F2990">
        <f>IF(Skills!N7=TRUE,(Skills!L7/10)*(E2990/1000),Skills!L7/10)+Skills!O7</f>
        <v/>
      </c>
      <c r="G2990">
        <f>Skills!G7*IF(Skills!H7&gt;0,INT(IF(Inputs!$B$38="pvp",MIN(Skills!I7,15),Skills!I7)/Skills!H7+0.000000001),1)</f>
        <v/>
      </c>
      <c r="H2990">
        <f>1-(1-Skills!J7/100)^Skills!K7</f>
        <v/>
      </c>
      <c r="I2990" t="inlineStr">
        <is>
          <t>1</t>
        </is>
      </c>
      <c r="J2990">
        <f>((Inputs!$B$6*(1+Inputs!$B$7/100))+(((Inputs!$B$12*(1+Inputs!$B$13/100))-(Inputs!$B$12*(1+Inputs!$B$13/100)))+0.25*(Inputs!$B$14-Inputs!$B$14))*(1+Inputs!$B$7/100))*(F2990/100)</f>
        <v/>
      </c>
      <c r="K2990">
        <f>J2990*(1+((Inputs!$B$12*(1+Inputs!$B$13/100))*0.01+Inputs!$B$14*0.0025)/100)*(1+Inputs!$B$15/100)*(1+Inputs!$B$16/100)*(5000/(6000+Inputs!$B$42*(1-(100*(1-(1-(Inputs!$B$19+0)/100)*(1-CHOOSE(ArtifactsInput!$N$40+1,5,6,7,8,9,10)/100)^(ArtifactsInput!$M$40-ArtifactsInput!$M$40)))/100)))*(1+(Inputs!$B$24+((C3009=TRUE)*(F3009-Calc!F26))+B3020)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2998=TRUE,F2998,0)/100)*(1+(IF(Skills!A7="EIGHT_LEGS_EASTON",Inputs!$B$17+((C3006=TRUE)*(F3006-Calc!F23))+((C3010=TRUE)*(F3010-Calc!F27))+((IF(AND(Inputs!$B$38&lt;&gt;"pvp",Inputs!$B$43=0),1,IF(IF(Inputs!$B$38="pvp",15,Inputs!$B$43)-(B3021)&lt;=0,1,MAX(0,IF(Inputs!$B$38="pvp",15,Inputs!$B$43)-MAX(5,B3021))/(IF(Inputs!$B$38="pvp",15,Inputs!$B$43)-(B3021))))*(IF(AND(ArtifactsInput!$M$42,((Inputs!$B$9+((C3002=TRUE)*(F3002-Calc!F19))+B3014+(ArtifactsInput!$M$24-ArtifactsInput!$M$24)*CHOOSE(ArtifactsInput!$N$24+1,10,12,14,16,18,20)+IF(ArtifactsInput!$M$10,CHOOSE(ArtifactsInput!$N$10+1,15,18,21,24,27,30)*(IF(Inputs!$B$38="pvp",MIN(15,15)/15,IF(AND(Inputs!$B$38&lt;&gt;"pvp",Inputs!$B$43&gt;0),MIN(15,Inputs!$B$43)/(Inputs!$B$43),0))),0)))&gt;=100),MIN(100,((Inputs!$B$9+((C3002=TRUE)*(F3002-Calc!F19))+B3014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3021)&lt;=0,1,MAX(0,IF(Inputs!$B$38="pvp",15,Inputs!$B$43)-MAX(5,B3021))/(IF(Inputs!$B$38="pvp",15,Inputs!$B$43)-(B3021))))*IF(AND(ArtifactsInput!$M$42,((Inputs!$B$9+((C3002=TRUE)*(F3002-Calc!F19))+B3014+(ArtifactsInput!$M$24-ArtifactsInput!$M$24)*CHOOSE(ArtifactsInput!$N$24+1,10,12,14,16,18,20)+IF(ArtifactsInput!$M$10,CHOOSE(ArtifactsInput!$N$10+1,15,18,21,24,27,30)*(IF(Inputs!$B$38="pvp",MIN(15,15)/15,IF(AND(Inputs!$B$38&lt;&gt;"pvp",Inputs!$B$43&gt;0),MIN(15,Inputs!$B$43)/(Inputs!$B$43),0))),0)))&gt;=100),CHOOSE(ArtifactsInput!$N$42+1,40,48,56,64,72,80),0))))/100)*((1+(((C3000=TRUE)*F3000*5/7)+((C3007=TRUE)*(F3007-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2990)</f>
        <v/>
      </c>
      <c r="L2990">
        <f>K2990*(MIN(Inputs!$B$22+((C3005=TRUE)*(F3005-Calc!F22)),(Inputs!$B$23+0+(IF(ArtifactsInput!$M$15,CHOOSE(ArtifactsInput!$N$15+1,25,30,35,40,45,50)/100*(Inputs!$B$11-Inputs!$B$11),0))))/100+(Inputs!$B$23+0+(IF(ArtifactsInput!$M$15,CHOOSE(ArtifactsInput!$N$15+1,25,30,35,40,45,50)/100*(Inputs!$B$11-Inputs!$B$11),0)))/100)/2</f>
        <v/>
      </c>
      <c r="M2990">
        <f>L2990*(1+(Inputs!$B$10+((C3008=TRUE)*(F3008-Calc!F25))+B3019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90">
        <f>L2990*(1-MIN((Inputs!$B$9+((C3002=TRUE)*(F3002-Calc!F19))+B3014+(ArtifactsInput!$M$24-ArtifactsInput!$M$24)*CHOOSE(ArtifactsInput!$N$24+1,10,12,14,16,18,20)+(IF(AND(Inputs!$B$38&lt;&gt;"pvp",Inputs!$B$43=0),1,IF(IF(Inputs!$B$38="pvp",15,Inputs!$B$43)-(B3021)&lt;=0,1,MAX(0,IF(Inputs!$B$38="pvp",15,Inputs!$B$43)-MAX(5,B3021))/(IF(Inputs!$B$38="pvp",15,Inputs!$B$43)-(B3021))))*IF(AND(ArtifactsInput!$M$42,((Inputs!$B$9+((C3002=TRUE)*(F3002-Calc!F19))+B3014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2990*(MIN((Inputs!$B$9+((C3002=TRUE)*(F3002-Calc!F19))+B3014+(ArtifactsInput!$M$24-ArtifactsInput!$M$24)*CHOOSE(ArtifactsInput!$N$24+1,10,12,14,16,18,20)+(IF(AND(Inputs!$B$38&lt;&gt;"pvp",Inputs!$B$43=0),1,IF(IF(Inputs!$B$38="pvp",15,Inputs!$B$43)-(B3021)&lt;=0,1,MAX(0,IF(Inputs!$B$38="pvp",15,Inputs!$B$43)-MAX(5,B3021))/(IF(Inputs!$B$38="pvp",15,Inputs!$B$43)-(B3021))))*IF(AND(ArtifactsInput!$M$42,((Inputs!$B$9+((C3002=TRUE)*(F3002-Calc!F19))+B3014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90">
        <f>(1-Summary!$B$11)*T2990+Summary!$B$11*V2990</f>
        <v/>
      </c>
      <c r="P2990">
        <f>IF(B3024=0,0,O2990/B3024)</f>
        <v/>
      </c>
      <c r="Q2990">
        <f>IFERROR(1/(IF(Inputs!$B$38="pvp",15,MAX(0.1,Skills!D7-IF(TRUE=TRUE,1.0,0)))*(1-IF(AND(ArtifactsInput!$M$27,Inputs!$B$4="Chapter Hunt"),CHOOSE(ArtifactsInput!$N$27+1,20,24,28,32,36,40),0)/100)),0)</f>
        <v/>
      </c>
      <c r="R2990">
        <f>IF(AND(Inputs!$B$38&lt;&gt;"pvp",Inputs!$B$43&gt;0),IF(MAX(0,Inputs!$B$43-B3021)&lt;=0,0,(INT(MAX(0,Inputs!$B$43-B3021)/(IF(Inputs!$B$38="pvp",15,MAX(0.1,Skills!D7-IF(TRUE=TRUE,1.0,0)))*(1-IF(AND(ArtifactsInput!$M$27,Inputs!$B$4="Chapter Hunt"),CHOOSE(ArtifactsInput!$N$27+1,20,24,28,32,36,40),0)/100)))+1)),0)</f>
        <v/>
      </c>
      <c r="S2990">
        <f>IFERROR(O2990/N2990,0)</f>
        <v/>
      </c>
      <c r="T2990">
        <f>IF(C2990,(H2990*N2990*IF(AND(Inputs!$B$38&lt;&gt;"pvp",Inputs!$B$43&gt;0),((Skills!G7*((R2990-1)*IF(Skills!H7&gt;0,INT(Skills!I7/Skills!H7+0.000000001),1)+IF(Skills!H7&gt;0,INT(MIN(Skills!I7,MAX(0,MAX(0,Inputs!$B$43-B3021)-((R2990-1)*(IF(Inputs!$B$38="pvp",15,MAX(0.1,Skills!D7-IF(TRUE=TRUE,1.0,0)))*(1-IF(AND(ArtifactsInput!$M$27,Inputs!$B$4="Chapter Hunt"),CHOOSE(ArtifactsInput!$N$27+1,20,24,28,32,36,40),0)/100)))))/Skills!H7+0.000000001),1)))/Inputs!$B$43),G2990*Q2990))*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Hunt"),CHOOSE(ArtifactsInput!$N$35+1,15,18,21,24,27,30)*(1-EXP(-(0.2*B3016)*5)),0)+IF(AND(ArtifactsInput!$M$22,Inputs!$B$4&lt;&gt;"Chapter Hunt"),CHOOSE(ArtifactsInput!$N$22+1,10,12,14,16,18,20)*((0*(((0.15*B3016*5))^0/1)+1*(((0.15*B3016*5))^1/1)+2*(((0.15*B3016*5))^2/2)+3*(((0.15*B3016*5))^3/6)+4*(((0.15*B3016*5))^4/24)+5*(((0.15*B3016*5))^5/120))/((((0.15*B3016*5))^0/1)+(((0.15*B3016*5))^1/1)+(((0.15*B3016*5))^2/2)+(((0.15*B3016*5))^3/6)+(((0.15*B3016*5))^4/24)+(((0.15*B3016*5))^5/120))),0))+IF(Inputs!$B$3&gt;=54,9*(C2986=TRUE)*MIN(1,8*(1+Inputs!$B$34/100)*Q2986)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2990*(1-MIN(100,(Inputs!$B$9+((C3002=TRUE)*(F3002-Calc!F19))+B3014+(ArtifactsInput!$M$24-ArtifactsInput!$M$24)*CHOOSE(ArtifactsInput!$N$24+1,10,12,14,16,18,20)+(IF(AND(Inputs!$B$38&lt;&gt;"pvp",Inputs!$B$43=0),1,IF(IF(Inputs!$B$38="pvp",15,Inputs!$B$43)-(B3021)&lt;=0,1,MAX(0,IF(Inputs!$B$38="pvp",15,Inputs!$B$43)-MAX(5,B3021))/(IF(Inputs!$B$38="pvp",15,Inputs!$B$43)-(B3021))))*IF(AND(ArtifactsInput!$M$42,((Inputs!$B$9+((C3002=TRUE)*(F3002-Calc!F19))+B3014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2990*(MIN(100,(Inputs!$B$9+((C3002=TRUE)*(F3002-Calc!F19))+B3014+(ArtifactsInput!$M$24-ArtifactsInput!$M$24)*CHOOSE(ArtifactsInput!$N$24+1,10,12,14,16,18,20)+(IF(AND(Inputs!$B$38&lt;&gt;"pvp",Inputs!$B$43=0),1,IF(IF(Inputs!$B$38="pvp",15,Inputs!$B$43)-(B3021)&lt;=0,1,MAX(0,IF(Inputs!$B$38="pvp",15,Inputs!$B$43)-MAX(5,B3021))/(IF(Inputs!$B$38="pvp",15,Inputs!$B$43)-(B3021))))*IF(AND(ArtifactsInput!$M$42,((Inputs!$B$9+((C3002=TRUE)*(F3002-Calc!F19))+B3014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2990*(1-MIN(100,(Inputs!$B$9+((C3002=TRUE)*(F3002-Calc!F19))+B3014+(ArtifactsInput!$M$24-ArtifactsInput!$M$24)*CHOOSE(ArtifactsInput!$N$24+1,10,12,14,16,18,20)+(IF(AND(Inputs!$B$38&lt;&gt;"pvp",Inputs!$B$43=0),1,IF(IF(Inputs!$B$38="pvp",15,Inputs!$B$43)-(B3021)&lt;=0,1,MAX(0,IF(Inputs!$B$38="pvp",15,Inputs!$B$43)-MAX(5,B3021))/(IF(Inputs!$B$38="pvp",15,Inputs!$B$43)-(B3021))))*IF(AND(ArtifactsInput!$M$42,((Inputs!$B$9+((C3002=TRUE)*(F3002-Calc!F19))+B3014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2990*(MIN(100,(Inputs!$B$9+((C3002=TRUE)*(F3002-Calc!F19))+B3014+(ArtifactsInput!$M$24-ArtifactsInput!$M$24)*CHOOSE(ArtifactsInput!$N$24+1,10,12,14,16,18,20)+(IF(AND(Inputs!$B$38&lt;&gt;"pvp",Inputs!$B$43=0),1,IF(IF(Inputs!$B$38="pvp",15,Inputs!$B$43)-(B3021)&lt;=0,1,MAX(0,IF(Inputs!$B$38="pvp",15,Inputs!$B$43)-MAX(5,B3021))/(IF(Inputs!$B$38="pvp",15,Inputs!$B$43)-(B3021))))*IF(AND(ArtifactsInput!$M$42,((Inputs!$B$9+((C3002=TRUE)*(F3002-Calc!F19))+B3014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990">
        <f>IF(C2990,(H2990*N2990*IF(AND(Inputs!$B$38&lt;&gt;"pvp",Inputs!$B$43&gt;0),((Skills!G7*((R2990-1)*IF(Skills!H7&gt;0,INT(Skills!I7/Skills!H7+0.000000001),1)+IF(Skills!H7&gt;0,INT(MIN(Skills!I7,MAX(0,MAX(0,Inputs!$B$43-B3021)-((R2990-1)*(IF(Inputs!$B$38="pvp",15,MAX(0.1,Skills!D7-IF(TRUE=TRUE,1.0,0)))*(1-IF(AND(ArtifactsInput!$M$27,Inputs!$B$4="Chapter Hunt"),CHOOSE(ArtifactsInput!$N$27+1,20,24,28,32,36,40),0)/100)))))/Skills!H7+0.000000001),1)))/Inputs!$B$43),G2990*Q2990))*IF(Inputs!$B$38="pvp",1,(1+(Inputs!$B$21+Skills!Q7+(IF(ArtifactsInput!$M$33,CHOOSE(ArtifactsInput!$N$33+1,30,36,42,48,54,60),0))+(IF(AND(ArtifactsInput!$M$35,Inputs!$B$4&lt;&gt;"Chapter Hunt"),CHOOSE(ArtifactsInput!$N$35+1,15,18,21,24,27,30)*(1-EXP(-(0.2*B3016)*5)),0)+IF(AND(ArtifactsInput!$M$22,Inputs!$B$4&lt;&gt;"Chapter Hunt"),CHOOSE(ArtifactsInput!$N$22+1,10,12,14,16,18,20)*((0*(((0.15*B3016*5))^0/1)+1*(((0.15*B3016*5))^1/1)+2*(((0.15*B3016*5))^2/2)+3*(((0.15*B3016*5))^3/6)+4*(((0.15*B3016*5))^4/24)+5*(((0.15*B3016*5))^5/120))/((((0.15*B3016*5))^0/1)+(((0.15*B3016*5))^1/1)+(((0.15*B3016*5))^2/2)+(((0.15*B3016*5))^3/6)+(((0.15*B3016*5))^4/24)+(((0.15*B3016*5))^5/120))),0))+IF(Inputs!$B$3&gt;=54,9*(C2986=TRUE)*MIN(1,8*(1+Inputs!$B$34/100)*Q2986),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91">
      <c r="A2991">
        <f>Skills!A8</f>
        <v/>
      </c>
      <c r="B2991">
        <f>Skills!B8</f>
        <v/>
      </c>
      <c r="C2991">
        <f>Inputs!$B$3&gt;=103</f>
        <v/>
      </c>
      <c r="D2991">
        <f>IF(Skills!C8=1,60+Inputs!$B$25+Inputs!$B$29,IF(Skills!C8=2,90+Inputs!$B$26+Inputs!$B$29,IF(Skills!C8=3,120+Inputs!$B$27+Inputs!$B$29,MAX(0,(Inputs!$B$3-100)*3)+Inputs!$B$28+Inputs!$B$29)))</f>
        <v/>
      </c>
      <c r="E2991">
        <f>INDEX(FactorTable!$B$2:$Y$301, MATCH(ROUND(MIN(300,MAX(1,D2991)),0), FactorTable!$A$2:$A$301,0), Skills!M8+1)</f>
        <v/>
      </c>
      <c r="F2991">
        <f>IF(Skills!N8=TRUE,(Skills!L8/10)*(E2991/1000),Skills!L8/10)+Skills!O8</f>
        <v/>
      </c>
      <c r="G2991">
        <f>Skills!G8*IF(Skills!H8&gt;0,INT(IF(Inputs!$B$38="pvp",MIN(Skills!I8,15),Skills!I8)/Skills!H8+0.000000001),1)</f>
        <v/>
      </c>
      <c r="H2991">
        <f>1-(1-Skills!J8/100)^Skills!K8</f>
        <v/>
      </c>
      <c r="I2991" t="inlineStr">
        <is>
          <t>1</t>
        </is>
      </c>
      <c r="J2991">
        <f>((Inputs!$B$6*(1+Inputs!$B$7/100))+(((Inputs!$B$12*(1+Inputs!$B$13/100))-(Inputs!$B$12*(1+Inputs!$B$13/100)))+0.25*(Inputs!$B$14-Inputs!$B$14))*(1+Inputs!$B$7/100))*(F2991/100)</f>
        <v/>
      </c>
      <c r="K2991">
        <f>J2991*(1+((Inputs!$B$12*(1+Inputs!$B$13/100))*0.01+Inputs!$B$14*0.0025)/100)*(1+Inputs!$B$15/100)*(1+Inputs!$B$16/100)*(5000/(6000+Inputs!$B$42*(1-(100*(1-(1-(Inputs!$B$19+0)/100)*(1-CHOOSE(ArtifactsInput!$N$40+1,5,6,7,8,9,10)/100)^(ArtifactsInput!$M$40-ArtifactsInput!$M$40)))/100)))*(1+(Inputs!$B$24+((C3009=TRUE)*(F3009-Calc!F26))+B3020)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IGHT_LEGS_EASTON",Inputs!$B$17+((C3006=TRUE)*(F3006-Calc!F23))+((C3010=TRUE)*(F3010-Calc!F27))+((IF(AND(Inputs!$B$38&lt;&gt;"pvp",Inputs!$B$43=0),1,IF(IF(Inputs!$B$38="pvp",15,Inputs!$B$43)-(B3021)&lt;=0,1,MAX(0,IF(Inputs!$B$38="pvp",15,Inputs!$B$43)-MAX(5,B3021))/(IF(Inputs!$B$38="pvp",15,Inputs!$B$43)-(B3021))))*(IF(AND(ArtifactsInput!$M$42,((Inputs!$B$9+((C3002=TRUE)*(F3002-Calc!F19))+B3014+(ArtifactsInput!$M$24-ArtifactsInput!$M$24)*CHOOSE(ArtifactsInput!$N$24+1,10,12,14,16,18,20)+IF(ArtifactsInput!$M$10,CHOOSE(ArtifactsInput!$N$10+1,15,18,21,24,27,30)*(IF(Inputs!$B$38="pvp",MIN(15,15)/15,IF(AND(Inputs!$B$38&lt;&gt;"pvp",Inputs!$B$43&gt;0),MIN(15,Inputs!$B$43)/(Inputs!$B$43),0))),0)))&gt;=100),MIN(100,((Inputs!$B$9+((C3002=TRUE)*(F3002-Calc!F19))+B3014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3021)&lt;=0,1,MAX(0,IF(Inputs!$B$38="pvp",15,Inputs!$B$43)-MAX(5,B3021))/(IF(Inputs!$B$38="pvp",15,Inputs!$B$43)-(B3021))))*IF(AND(ArtifactsInput!$M$42,((Inputs!$B$9+((C3002=TRUE)*(F3002-Calc!F19))+B3014+(ArtifactsInput!$M$24-ArtifactsInput!$M$24)*CHOOSE(ArtifactsInput!$N$24+1,10,12,14,16,18,20)+IF(ArtifactsInput!$M$10,CHOOSE(ArtifactsInput!$N$10+1,15,18,21,24,27,30)*(IF(Inputs!$B$38="pvp",MIN(15,15)/15,IF(AND(Inputs!$B$38&lt;&gt;"pvp",Inputs!$B$43&gt;0),MIN(15,Inputs!$B$43)/(Inputs!$B$43),0))),0)))&gt;=100),CHOOSE(ArtifactsInput!$N$42+1,40,48,56,64,72,80),0))))/100)*((1+(((C3000=TRUE)*F3000*5/7)+((C3007=TRUE)*(F3007-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2991)</f>
        <v/>
      </c>
      <c r="L2991">
        <f>K2991*(MIN(Inputs!$B$22+((C3005=TRUE)*(F3005-Calc!F22)),(Inputs!$B$23+0+(IF(ArtifactsInput!$M$15,CHOOSE(ArtifactsInput!$N$15+1,25,30,35,40,45,50)/100*(Inputs!$B$11-Inputs!$B$11),0))))/100+(Inputs!$B$23+0+(IF(ArtifactsInput!$M$15,CHOOSE(ArtifactsInput!$N$15+1,25,30,35,40,45,50)/100*(Inputs!$B$11-Inputs!$B$11),0)))/100)/2</f>
        <v/>
      </c>
      <c r="M2991">
        <f>L2991*(1+(Inputs!$B$10+((C3008=TRUE)*(F3008-Calc!F25))+B3019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91">
        <f>L2991*(1-MIN((Inputs!$B$9+((C3002=TRUE)*(F3002-Calc!F19))+B3014+(ArtifactsInput!$M$24-ArtifactsInput!$M$24)*CHOOSE(ArtifactsInput!$N$24+1,10,12,14,16,18,20)+(IF(AND(Inputs!$B$38&lt;&gt;"pvp",Inputs!$B$43=0),1,IF(IF(Inputs!$B$38="pvp",15,Inputs!$B$43)-(B3021)&lt;=0,1,MAX(0,IF(Inputs!$B$38="pvp",15,Inputs!$B$43)-MAX(5,B3021))/(IF(Inputs!$B$38="pvp",15,Inputs!$B$43)-(B3021))))*IF(AND(ArtifactsInput!$M$42,((Inputs!$B$9+((C3002=TRUE)*(F3002-Calc!F19))+B3014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2991*(MIN((Inputs!$B$9+((C3002=TRUE)*(F3002-Calc!F19))+B3014+(ArtifactsInput!$M$24-ArtifactsInput!$M$24)*CHOOSE(ArtifactsInput!$N$24+1,10,12,14,16,18,20)+(IF(AND(Inputs!$B$38&lt;&gt;"pvp",Inputs!$B$43=0),1,IF(IF(Inputs!$B$38="pvp",15,Inputs!$B$43)-(B3021)&lt;=0,1,MAX(0,IF(Inputs!$B$38="pvp",15,Inputs!$B$43)-MAX(5,B3021))/(IF(Inputs!$B$38="pvp",15,Inputs!$B$43)-(B3021))))*IF(AND(ArtifactsInput!$M$42,((Inputs!$B$9+((C3002=TRUE)*(F3002-Calc!F19))+B3014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91">
        <f>(1-Summary!$B$11)*T2991+Summary!$B$11*V2991</f>
        <v/>
      </c>
      <c r="P2991">
        <f>IF(B3024=0,0,O2991/B3024)</f>
        <v/>
      </c>
      <c r="Q2991">
        <f>IFERROR(1/((IF(Inputs!$B$38="pvp",15,MAX(0.1,Skills!D8-IF(TRUE=TRUE,1.0,0)))*(1-IF(AND(ArtifactsInput!$M$27,Inputs!$B$4="Chapter Hunt"),CHOOSE(ArtifactsInput!$N$27+1,20,24,28,32,36,40),0)/100))/B3025),0)</f>
        <v/>
      </c>
      <c r="R2991">
        <f>IF(AND(Inputs!$B$38&lt;&gt;"pvp",Inputs!$B$43&gt;0),IF(MAX(0,Inputs!$B$43-B3021)&lt;=0,0,(INT(MAX(0,Inputs!$B$43-B3021)/((IF(Inputs!$B$38="pvp",15,MAX(0.1,Skills!D8-IF(TRUE=TRUE,1.0,0)))*(1-IF(AND(ArtifactsInput!$M$27,Inputs!$B$4="Chapter Hunt"),CHOOSE(ArtifactsInput!$N$27+1,20,24,28,32,36,40),0)/100))/B3025))+1)),0)</f>
        <v/>
      </c>
      <c r="S2991">
        <f>IFERROR(O2991/N2991,0)</f>
        <v/>
      </c>
      <c r="T2991">
        <f>IF(C2991,(H2991*N2991*IF(AND(Inputs!$B$38&lt;&gt;"pvp",Inputs!$B$43&gt;0),((Skills!G8*((R2991-1)*IF(Skills!H8&gt;0,INT(Skills!I8/Skills!H8+0.000000001),1)+IF(Skills!H8&gt;0,INT(MIN(Skills!I8,MAX(0,MAX(0,Inputs!$B$43-B3021)-((R2991-1)*((IF(Inputs!$B$38="pvp",15,MAX(0.1,Skills!D8-IF(TRUE=TRUE,1.0,0)))*(1-IF(AND(ArtifactsInput!$M$27,Inputs!$B$4="Chapter Hunt"),CHOOSE(ArtifactsInput!$N$27+1,20,24,28,32,36,40),0)/100))/B3025))))/Skills!H8+0.000000001),1)))/Inputs!$B$43),G2991*Q2991))*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Hunt"),CHOOSE(ArtifactsInput!$N$35+1,15,18,21,24,27,30)*(1-EXP(-(0.2*B3016)*5)),0)+IF(AND(ArtifactsInput!$M$22,Inputs!$B$4&lt;&gt;"Chapter Hunt"),CHOOSE(ArtifactsInput!$N$22+1,10,12,14,16,18,20)*((0*(((0.15*B3016*5))^0/1)+1*(((0.15*B3016*5))^1/1)+2*(((0.15*B3016*5))^2/2)+3*(((0.15*B3016*5))^3/6)+4*(((0.15*B3016*5))^4/24)+5*(((0.15*B3016*5))^5/120))/((((0.15*B3016*5))^0/1)+(((0.15*B3016*5))^1/1)+(((0.15*B3016*5))^2/2)+(((0.15*B3016*5))^3/6)+(((0.15*B3016*5))^4/24)+(((0.15*B3016*5))^5/120))),0))+IF(Inputs!$B$3&gt;=54,9*(C2986=TRUE)*MIN(1,8*(1+Inputs!$B$34/100)*Q2986)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2991*(1-MIN(100,(Inputs!$B$9+((C3002=TRUE)*(F3002-Calc!F19))+B3014+(ArtifactsInput!$M$24-ArtifactsInput!$M$24)*CHOOSE(ArtifactsInput!$N$24+1,10,12,14,16,18,20)+(IF(AND(Inputs!$B$38&lt;&gt;"pvp",Inputs!$B$43=0),1,IF(IF(Inputs!$B$38="pvp",15,Inputs!$B$43)-(B3021)&lt;=0,1,MAX(0,IF(Inputs!$B$38="pvp",15,Inputs!$B$43)-MAX(5,B3021))/(IF(Inputs!$B$38="pvp",15,Inputs!$B$43)-(B3021))))*IF(AND(ArtifactsInput!$M$42,((Inputs!$B$9+((C3002=TRUE)*(F3002-Calc!F19))+B3014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2991*(MIN(100,(Inputs!$B$9+((C3002=TRUE)*(F3002-Calc!F19))+B3014+(ArtifactsInput!$M$24-ArtifactsInput!$M$24)*CHOOSE(ArtifactsInput!$N$24+1,10,12,14,16,18,20)+(IF(AND(Inputs!$B$38&lt;&gt;"pvp",Inputs!$B$43=0),1,IF(IF(Inputs!$B$38="pvp",15,Inputs!$B$43)-(B3021)&lt;=0,1,MAX(0,IF(Inputs!$B$38="pvp",15,Inputs!$B$43)-MAX(5,B3021))/(IF(Inputs!$B$38="pvp",15,Inputs!$B$43)-(B3021))))*IF(AND(ArtifactsInput!$M$42,((Inputs!$B$9+((C3002=TRUE)*(F3002-Calc!F19))+B3014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2991*(1-MIN(100,(Inputs!$B$9+((C3002=TRUE)*(F3002-Calc!F19))+B3014+(ArtifactsInput!$M$24-ArtifactsInput!$M$24)*CHOOSE(ArtifactsInput!$N$24+1,10,12,14,16,18,20)+(IF(AND(Inputs!$B$38&lt;&gt;"pvp",Inputs!$B$43=0),1,IF(IF(Inputs!$B$38="pvp",15,Inputs!$B$43)-(B3021)&lt;=0,1,MAX(0,IF(Inputs!$B$38="pvp",15,Inputs!$B$43)-MAX(5,B3021))/(IF(Inputs!$B$38="pvp",15,Inputs!$B$43)-(B3021))))*IF(AND(ArtifactsInput!$M$42,((Inputs!$B$9+((C3002=TRUE)*(F3002-Calc!F19))+B3014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2991*(MIN(100,(Inputs!$B$9+((C3002=TRUE)*(F3002-Calc!F19))+B3014+(ArtifactsInput!$M$24-ArtifactsInput!$M$24)*CHOOSE(ArtifactsInput!$N$24+1,10,12,14,16,18,20)+(IF(AND(Inputs!$B$38&lt;&gt;"pvp",Inputs!$B$43=0),1,IF(IF(Inputs!$B$38="pvp",15,Inputs!$B$43)-(B3021)&lt;=0,1,MAX(0,IF(Inputs!$B$38="pvp",15,Inputs!$B$43)-MAX(5,B3021))/(IF(Inputs!$B$38="pvp",15,Inputs!$B$43)-(B3021))))*IF(AND(ArtifactsInput!$M$42,((Inputs!$B$9+((C3002=TRUE)*(F3002-Calc!F19))+B3014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991">
        <f>IF(C2991,(H2991*N2991*IF(AND(Inputs!$B$38&lt;&gt;"pvp",Inputs!$B$43&gt;0),((Skills!G8*((R2991-1)*IF(Skills!H8&gt;0,INT(Skills!I8/Skills!H8+0.000000001),1)+IF(Skills!H8&gt;0,INT(MIN(Skills!I8,MAX(0,MAX(0,Inputs!$B$43-B3021)-((R2991-1)*((IF(Inputs!$B$38="pvp",15,MAX(0.1,Skills!D8-IF(TRUE=TRUE,1.0,0)))*(1-IF(AND(ArtifactsInput!$M$27,Inputs!$B$4="Chapter Hunt"),CHOOSE(ArtifactsInput!$N$27+1,20,24,28,32,36,40),0)/100))/B3025))))/Skills!H8+0.000000001),1)))/Inputs!$B$43),G2991*Q2991))*IF(Inputs!$B$38="pvp",1,(1+(Inputs!$B$21+Skills!Q8+(IF(ArtifactsInput!$M$33,CHOOSE(ArtifactsInput!$N$33+1,30,36,42,48,54,60),0))+(IF(AND(ArtifactsInput!$M$35,Inputs!$B$4&lt;&gt;"Chapter Hunt"),CHOOSE(ArtifactsInput!$N$35+1,15,18,21,24,27,30)*(1-EXP(-(0.2*B3016)*5)),0)+IF(AND(ArtifactsInput!$M$22,Inputs!$B$4&lt;&gt;"Chapter Hunt"),CHOOSE(ArtifactsInput!$N$22+1,10,12,14,16,18,20)*((0*(((0.15*B3016*5))^0/1)+1*(((0.15*B3016*5))^1/1)+2*(((0.15*B3016*5))^2/2)+3*(((0.15*B3016*5))^3/6)+4*(((0.15*B3016*5))^4/24)+5*(((0.15*B3016*5))^5/120))/((((0.15*B3016*5))^0/1)+(((0.15*B3016*5))^1/1)+(((0.15*B3016*5))^2/2)+(((0.15*B3016*5))^3/6)+(((0.15*B3016*5))^4/24)+(((0.15*B3016*5))^5/120))),0))+IF(Inputs!$B$3&gt;=54,9*(C2986=TRUE)*MIN(1,8*(1+Inputs!$B$34/100)*Q2986),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92">
      <c r="A2992">
        <f>Skills!A9</f>
        <v/>
      </c>
      <c r="B2992">
        <f>Skills!B9</f>
        <v/>
      </c>
      <c r="C2992">
        <f>Inputs!$B$3&gt;=105</f>
        <v/>
      </c>
      <c r="D2992">
        <f>IF(Skills!C9=1,60+Inputs!$B$25+Inputs!$B$29,IF(Skills!C9=2,90+Inputs!$B$26+Inputs!$B$29,IF(Skills!C9=3,120+Inputs!$B$27+Inputs!$B$29,MAX(0,(Inputs!$B$3-100)*3)+Inputs!$B$28+Inputs!$B$29)))</f>
        <v/>
      </c>
      <c r="E2992">
        <f>INDEX(FactorTable!$B$2:$Y$301, MATCH(ROUND(MIN(300,MAX(1,D2992)),0), FactorTable!$A$2:$A$301,0), Skills!M9+1)</f>
        <v/>
      </c>
      <c r="F2992">
        <f>IF(Skills!N9=TRUE,(Skills!L9/10)*(E2992/1000),Skills!L9/10)+Skills!O9</f>
        <v/>
      </c>
      <c r="G2992">
        <f>Skills!G9*IF(Skills!H9&gt;0,INT(IF(Inputs!$B$38="pvp",MIN(Skills!I9,15),Skills!I9)/Skills!H9+0.000000001),1)</f>
        <v/>
      </c>
      <c r="H2992">
        <f>1-(1-Skills!J9/100)^Skills!K9</f>
        <v/>
      </c>
      <c r="I2992" t="inlineStr">
        <is>
          <t>1</t>
        </is>
      </c>
      <c r="J2992">
        <f>((Inputs!$B$6*(1+Inputs!$B$7/100))+(((Inputs!$B$12*(1+Inputs!$B$13/100))-(Inputs!$B$12*(1+Inputs!$B$13/100)))+0.25*(Inputs!$B$14-Inputs!$B$14))*(1+Inputs!$B$7/100))*(F2992/100)</f>
        <v/>
      </c>
      <c r="K2992">
        <f>J2992*(1+((Inputs!$B$12*(1+Inputs!$B$13/100))*0.01+Inputs!$B$14*0.0025)/100)*(1+Inputs!$B$15/100)*(1+Inputs!$B$16/100)*(5000/(6000+Inputs!$B$42*(1-(100*(1-(1-(Inputs!$B$19+0)/100)*(1-CHOOSE(ArtifactsInput!$N$40+1,5,6,7,8,9,10)/100)^(ArtifactsInput!$M$40-ArtifactsInput!$M$40)))/100)))*(1+(Inputs!$B$24+((C3009=TRUE)*(F3009-Calc!F26))+B3020)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IGHT_LEGS_EASTON",Inputs!$B$17+((C3006=TRUE)*(F3006-Calc!F23))+((C3010=TRUE)*(F3010-Calc!F27))+((IF(AND(Inputs!$B$38&lt;&gt;"pvp",Inputs!$B$43=0),1,IF(IF(Inputs!$B$38="pvp",15,Inputs!$B$43)-(B3021)&lt;=0,1,MAX(0,IF(Inputs!$B$38="pvp",15,Inputs!$B$43)-MAX(5,B3021))/(IF(Inputs!$B$38="pvp",15,Inputs!$B$43)-(B3021))))*(IF(AND(ArtifactsInput!$M$42,((Inputs!$B$9+((C3002=TRUE)*(F3002-Calc!F19))+B3014+(ArtifactsInput!$M$24-ArtifactsInput!$M$24)*CHOOSE(ArtifactsInput!$N$24+1,10,12,14,16,18,20)+IF(ArtifactsInput!$M$10,CHOOSE(ArtifactsInput!$N$10+1,15,18,21,24,27,30)*(IF(Inputs!$B$38="pvp",MIN(15,15)/15,IF(AND(Inputs!$B$38&lt;&gt;"pvp",Inputs!$B$43&gt;0),MIN(15,Inputs!$B$43)/(Inputs!$B$43),0))),0)))&gt;=100),MIN(100,((Inputs!$B$9+((C3002=TRUE)*(F3002-Calc!F19))+B3014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3021)&lt;=0,1,MAX(0,IF(Inputs!$B$38="pvp",15,Inputs!$B$43)-MAX(5,B3021))/(IF(Inputs!$B$38="pvp",15,Inputs!$B$43)-(B3021))))*IF(AND(ArtifactsInput!$M$42,((Inputs!$B$9+((C3002=TRUE)*(F3002-Calc!F19))+B3014+(ArtifactsInput!$M$24-ArtifactsInput!$M$24)*CHOOSE(ArtifactsInput!$N$24+1,10,12,14,16,18,20)+IF(ArtifactsInput!$M$10,CHOOSE(ArtifactsInput!$N$10+1,15,18,21,24,27,30)*(IF(Inputs!$B$38="pvp",MIN(15,15)/15,IF(AND(Inputs!$B$38&lt;&gt;"pvp",Inputs!$B$43&gt;0),MIN(15,Inputs!$B$43)/(Inputs!$B$43),0))),0)))&gt;=100),CHOOSE(ArtifactsInput!$N$42+1,40,48,56,64,72,80),0))))/100)*((1+(((C3000=TRUE)*F3000*5/7)+((C3007=TRUE)*(F3007-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2992)</f>
        <v/>
      </c>
      <c r="L2992">
        <f>K2992*(MIN(Inputs!$B$22+((C3005=TRUE)*(F3005-Calc!F22)),(Inputs!$B$23+0+(IF(ArtifactsInput!$M$15,CHOOSE(ArtifactsInput!$N$15+1,25,30,35,40,45,50)/100*(Inputs!$B$11-Inputs!$B$11),0))))/100+(Inputs!$B$23+0+(IF(ArtifactsInput!$M$15,CHOOSE(ArtifactsInput!$N$15+1,25,30,35,40,45,50)/100*(Inputs!$B$11-Inputs!$B$11),0)))/100)/2</f>
        <v/>
      </c>
      <c r="M2992">
        <f>L2992*(1+(Inputs!$B$10+((C3008=TRUE)*(F3008-Calc!F25))+B3019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92">
        <f>L2992*(1-MIN((Inputs!$B$9+((C3002=TRUE)*(F3002-Calc!F19))+B3014+(ArtifactsInput!$M$24-ArtifactsInput!$M$24)*CHOOSE(ArtifactsInput!$N$24+1,10,12,14,16,18,20)+(IF(AND(Inputs!$B$38&lt;&gt;"pvp",Inputs!$B$43=0),1,IF(IF(Inputs!$B$38="pvp",15,Inputs!$B$43)-(B3021)&lt;=0,1,MAX(0,IF(Inputs!$B$38="pvp",15,Inputs!$B$43)-MAX(5,B3021))/(IF(Inputs!$B$38="pvp",15,Inputs!$B$43)-(B3021))))*IF(AND(ArtifactsInput!$M$42,((Inputs!$B$9+((C3002=TRUE)*(F3002-Calc!F19))+B3014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2992*(MIN((Inputs!$B$9+((C3002=TRUE)*(F3002-Calc!F19))+B3014+(ArtifactsInput!$M$24-ArtifactsInput!$M$24)*CHOOSE(ArtifactsInput!$N$24+1,10,12,14,16,18,20)+(IF(AND(Inputs!$B$38&lt;&gt;"pvp",Inputs!$B$43=0),1,IF(IF(Inputs!$B$38="pvp",15,Inputs!$B$43)-(B3021)&lt;=0,1,MAX(0,IF(Inputs!$B$38="pvp",15,Inputs!$B$43)-MAX(5,B3021))/(IF(Inputs!$B$38="pvp",15,Inputs!$B$43)-(B3021))))*IF(AND(ArtifactsInput!$M$42,((Inputs!$B$9+((C3002=TRUE)*(F3002-Calc!F19))+B3014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92">
        <f>(1-Summary!$B$11)*T2992+Summary!$B$11*V2992</f>
        <v/>
      </c>
      <c r="P2992">
        <f>IF(B3024=0,0,O2992/B3024)</f>
        <v/>
      </c>
      <c r="Q2992">
        <f>IFERROR(1/(IF(Inputs!$B$38="pvp",15,MAX(0.1,Skills!D9-IF(TRUE=TRUE,1.0,0)))*(1-IF(AND(ArtifactsInput!$M$27,Inputs!$B$4="Chapter Hunt"),CHOOSE(ArtifactsInput!$N$27+1,20,24,28,32,36,40),0)/100)),0)</f>
        <v/>
      </c>
      <c r="R2992">
        <f>IF(AND(Inputs!$B$38&lt;&gt;"pvp",Inputs!$B$43&gt;0),IF(MAX(0,Inputs!$B$43-B3021)&lt;=0,0,(INT(MAX(0,Inputs!$B$43-B3021)/(IF(Inputs!$B$38="pvp",15,MAX(0.1,Skills!D9-IF(TRUE=TRUE,1.0,0)))*(1-IF(AND(ArtifactsInput!$M$27,Inputs!$B$4="Chapter Hunt"),CHOOSE(ArtifactsInput!$N$27+1,20,24,28,32,36,40),0)/100)))+1)),0)</f>
        <v/>
      </c>
      <c r="S2992">
        <f>IFERROR(O2992/N2992,0)</f>
        <v/>
      </c>
      <c r="T2992">
        <f>IF(C2992,(H2992*N2992*IF(AND(Inputs!$B$38&lt;&gt;"pvp",Inputs!$B$43&gt;0),((Skills!G9*((R2992-1)*IF(Skills!H9&gt;0,INT(Skills!I9/Skills!H9+0.000000001),1)+IF(Skills!H9&gt;0,INT(MIN(Skills!I9,MAX(0,MAX(0,Inputs!$B$43-B3021)-((R2992-1)*(IF(Inputs!$B$38="pvp",15,MAX(0.1,Skills!D9-IF(TRUE=TRUE,1.0,0)))*(1-IF(AND(ArtifactsInput!$M$27,Inputs!$B$4="Chapter Hunt"),CHOOSE(ArtifactsInput!$N$27+1,20,24,28,32,36,40),0)/100)))))/Skills!H9+0.000000001),1)))/Inputs!$B$43),G2992*Q2992))*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Hunt"),CHOOSE(ArtifactsInput!$N$35+1,15,18,21,24,27,30)*(1-EXP(-(0.2*B3016)*5)),0)+IF(AND(ArtifactsInput!$M$22,Inputs!$B$4&lt;&gt;"Chapter Hunt"),CHOOSE(ArtifactsInput!$N$22+1,10,12,14,16,18,20)*((0*(((0.15*B3016*5))^0/1)+1*(((0.15*B3016*5))^1/1)+2*(((0.15*B3016*5))^2/2)+3*(((0.15*B3016*5))^3/6)+4*(((0.15*B3016*5))^4/24)+5*(((0.15*B3016*5))^5/120))/((((0.15*B3016*5))^0/1)+(((0.15*B3016*5))^1/1)+(((0.15*B3016*5))^2/2)+(((0.15*B3016*5))^3/6)+(((0.15*B3016*5))^4/24)+(((0.15*B3016*5))^5/120))),0))+IF(Inputs!$B$3&gt;=54,9*(C2986=TRUE)*MIN(1,8*(1+Inputs!$B$34/100)*Q2986)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2992*(1-MIN(100,(Inputs!$B$9+((C3002=TRUE)*(F3002-Calc!F19))+B3014+(ArtifactsInput!$M$24-ArtifactsInput!$M$24)*CHOOSE(ArtifactsInput!$N$24+1,10,12,14,16,18,20)+(IF(AND(Inputs!$B$38&lt;&gt;"pvp",Inputs!$B$43=0),1,IF(IF(Inputs!$B$38="pvp",15,Inputs!$B$43)-(B3021)&lt;=0,1,MAX(0,IF(Inputs!$B$38="pvp",15,Inputs!$B$43)-MAX(5,B3021))/(IF(Inputs!$B$38="pvp",15,Inputs!$B$43)-(B3021))))*IF(AND(ArtifactsInput!$M$42,((Inputs!$B$9+((C3002=TRUE)*(F3002-Calc!F19))+B3014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2992*(MIN(100,(Inputs!$B$9+((C3002=TRUE)*(F3002-Calc!F19))+B3014+(ArtifactsInput!$M$24-ArtifactsInput!$M$24)*CHOOSE(ArtifactsInput!$N$24+1,10,12,14,16,18,20)+(IF(AND(Inputs!$B$38&lt;&gt;"pvp",Inputs!$B$43=0),1,IF(IF(Inputs!$B$38="pvp",15,Inputs!$B$43)-(B3021)&lt;=0,1,MAX(0,IF(Inputs!$B$38="pvp",15,Inputs!$B$43)-MAX(5,B3021))/(IF(Inputs!$B$38="pvp",15,Inputs!$B$43)-(B3021))))*IF(AND(ArtifactsInput!$M$42,((Inputs!$B$9+((C3002=TRUE)*(F3002-Calc!F19))+B3014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2992*(1-MIN(100,(Inputs!$B$9+((C3002=TRUE)*(F3002-Calc!F19))+B3014+(ArtifactsInput!$M$24-ArtifactsInput!$M$24)*CHOOSE(ArtifactsInput!$N$24+1,10,12,14,16,18,20)+(IF(AND(Inputs!$B$38&lt;&gt;"pvp",Inputs!$B$43=0),1,IF(IF(Inputs!$B$38="pvp",15,Inputs!$B$43)-(B3021)&lt;=0,1,MAX(0,IF(Inputs!$B$38="pvp",15,Inputs!$B$43)-MAX(5,B3021))/(IF(Inputs!$B$38="pvp",15,Inputs!$B$43)-(B3021))))*IF(AND(ArtifactsInput!$M$42,((Inputs!$B$9+((C3002=TRUE)*(F3002-Calc!F19))+B3014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2992*(MIN(100,(Inputs!$B$9+((C3002=TRUE)*(F3002-Calc!F19))+B3014+(ArtifactsInput!$M$24-ArtifactsInput!$M$24)*CHOOSE(ArtifactsInput!$N$24+1,10,12,14,16,18,20)+(IF(AND(Inputs!$B$38&lt;&gt;"pvp",Inputs!$B$43=0),1,IF(IF(Inputs!$B$38="pvp",15,Inputs!$B$43)-(B3021)&lt;=0,1,MAX(0,IF(Inputs!$B$38="pvp",15,Inputs!$B$43)-MAX(5,B3021))/(IF(Inputs!$B$38="pvp",15,Inputs!$B$43)-(B3021))))*IF(AND(ArtifactsInput!$M$42,((Inputs!$B$9+((C3002=TRUE)*(F3002-Calc!F19))+B3014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992">
        <f>IF(C2992,(H2992*N2992*IF(AND(Inputs!$B$38&lt;&gt;"pvp",Inputs!$B$43&gt;0),((Skills!G9*((R2992-1)*IF(Skills!H9&gt;0,INT(Skills!I9/Skills!H9+0.000000001),1)+IF(Skills!H9&gt;0,INT(MIN(Skills!I9,MAX(0,MAX(0,Inputs!$B$43-B3021)-((R2992-1)*(IF(Inputs!$B$38="pvp",15,MAX(0.1,Skills!D9-IF(TRUE=TRUE,1.0,0)))*(1-IF(AND(ArtifactsInput!$M$27,Inputs!$B$4="Chapter Hunt"),CHOOSE(ArtifactsInput!$N$27+1,20,24,28,32,36,40),0)/100)))))/Skills!H9+0.000000001),1)))/Inputs!$B$43),G2992*Q2992))*IF(Inputs!$B$38="pvp",1,(1+(Inputs!$B$21+Skills!Q9+(IF(ArtifactsInput!$M$33,CHOOSE(ArtifactsInput!$N$33+1,30,36,42,48,54,60),0))+(IF(AND(ArtifactsInput!$M$35,Inputs!$B$4&lt;&gt;"Chapter Hunt"),CHOOSE(ArtifactsInput!$N$35+1,15,18,21,24,27,30)*(1-EXP(-(0.2*B3016)*5)),0)+IF(AND(ArtifactsInput!$M$22,Inputs!$B$4&lt;&gt;"Chapter Hunt"),CHOOSE(ArtifactsInput!$N$22+1,10,12,14,16,18,20)*((0*(((0.15*B3016*5))^0/1)+1*(((0.15*B3016*5))^1/1)+2*(((0.15*B3016*5))^2/2)+3*(((0.15*B3016*5))^3/6)+4*(((0.15*B3016*5))^4/24)+5*(((0.15*B3016*5))^5/120))/((((0.15*B3016*5))^0/1)+(((0.15*B3016*5))^1/1)+(((0.15*B3016*5))^2/2)+(((0.15*B3016*5))^3/6)+(((0.15*B3016*5))^4/24)+(((0.15*B3016*5))^5/120))),0))+IF(Inputs!$B$3&gt;=54,9*(C2986=TRUE)*MIN(1,8*(1+Inputs!$B$34/100)*Q2986),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93">
      <c r="A2993">
        <f>Skills!A10</f>
        <v/>
      </c>
      <c r="B2993">
        <f>Skills!B10</f>
        <v/>
      </c>
      <c r="C2993">
        <f>Inputs!$B$3&gt;=113</f>
        <v/>
      </c>
      <c r="D2993">
        <f>IF(Skills!C10=1,60+Inputs!$B$25+Inputs!$B$29,IF(Skills!C10=2,90+Inputs!$B$26+Inputs!$B$29,IF(Skills!C10=3,120+Inputs!$B$27+Inputs!$B$29,MAX(0,(Inputs!$B$3-100)*3)+Inputs!$B$28+Inputs!$B$29)))</f>
        <v/>
      </c>
      <c r="E2993">
        <f>INDEX(FactorTable!$B$2:$Y$301, MATCH(ROUND(MIN(300,MAX(1,D2993)),0), FactorTable!$A$2:$A$301,0), Skills!M10+1)</f>
        <v/>
      </c>
      <c r="F2993">
        <f>IF(Skills!N10=TRUE,(Skills!L10/10)*(E2993/1000),Skills!L10/10)+Skills!O10</f>
        <v/>
      </c>
      <c r="G2993">
        <f>Skills!G10*IF(Skills!H10&gt;0,INT(IF(Inputs!$B$38="pvp",MIN(Skills!I10,15),Skills!I10)/Skills!H10+0.000000001),1)</f>
        <v/>
      </c>
      <c r="H2993">
        <f>1-(1-Skills!J10/100)^Skills!K10</f>
        <v/>
      </c>
      <c r="I2993" t="inlineStr">
        <is>
          <t>1</t>
        </is>
      </c>
      <c r="J2993">
        <f>((Inputs!$B$6*(1+Inputs!$B$7/100))+(((Inputs!$B$12*(1+Inputs!$B$13/100))-(Inputs!$B$12*(1+Inputs!$B$13/100)))+0.25*(Inputs!$B$14-Inputs!$B$14))*(1+Inputs!$B$7/100))*(F2993/100)</f>
        <v/>
      </c>
      <c r="K2993">
        <f>J2993*(1+((Inputs!$B$12*(1+Inputs!$B$13/100))*0.01+Inputs!$B$14*0.0025)/100)*(1+Inputs!$B$15/100)*(1+Inputs!$B$16/100)*(5000/(6000+Inputs!$B$42*(1-(100*(1-(1-(Inputs!$B$19+0)/100)*(1-CHOOSE(ArtifactsInput!$N$40+1,5,6,7,8,9,10)/100)^(ArtifactsInput!$M$40-ArtifactsInput!$M$40)))/100)))*(1+(Inputs!$B$24+((C3009=TRUE)*(F3009-Calc!F26))+B3020)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IGHT_LEGS_EASTON",Inputs!$B$17+((C3006=TRUE)*(F3006-Calc!F23))+((C3010=TRUE)*(F3010-Calc!F27))+((IF(AND(Inputs!$B$38&lt;&gt;"pvp",Inputs!$B$43=0),1,IF(IF(Inputs!$B$38="pvp",15,Inputs!$B$43)-(B3021)&lt;=0,1,MAX(0,IF(Inputs!$B$38="pvp",15,Inputs!$B$43)-MAX(5,B3021))/(IF(Inputs!$B$38="pvp",15,Inputs!$B$43)-(B3021))))*(IF(AND(ArtifactsInput!$M$42,((Inputs!$B$9+((C3002=TRUE)*(F3002-Calc!F19))+B3014+(ArtifactsInput!$M$24-ArtifactsInput!$M$24)*CHOOSE(ArtifactsInput!$N$24+1,10,12,14,16,18,20)+IF(ArtifactsInput!$M$10,CHOOSE(ArtifactsInput!$N$10+1,15,18,21,24,27,30)*(IF(Inputs!$B$38="pvp",MIN(15,15)/15,IF(AND(Inputs!$B$38&lt;&gt;"pvp",Inputs!$B$43&gt;0),MIN(15,Inputs!$B$43)/(Inputs!$B$43),0))),0)))&gt;=100),MIN(100,((Inputs!$B$9+((C3002=TRUE)*(F3002-Calc!F19))+B3014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3021)&lt;=0,1,MAX(0,IF(Inputs!$B$38="pvp",15,Inputs!$B$43)-MAX(5,B3021))/(IF(Inputs!$B$38="pvp",15,Inputs!$B$43)-(B3021))))*IF(AND(ArtifactsInput!$M$42,((Inputs!$B$9+((C3002=TRUE)*(F3002-Calc!F19))+B3014+(ArtifactsInput!$M$24-ArtifactsInput!$M$24)*CHOOSE(ArtifactsInput!$N$24+1,10,12,14,16,18,20)+IF(ArtifactsInput!$M$10,CHOOSE(ArtifactsInput!$N$10+1,15,18,21,24,27,30)*(IF(Inputs!$B$38="pvp",MIN(15,15)/15,IF(AND(Inputs!$B$38&lt;&gt;"pvp",Inputs!$B$43&gt;0),MIN(15,Inputs!$B$43)/(Inputs!$B$43),0))),0)))&gt;=100),CHOOSE(ArtifactsInput!$N$42+1,40,48,56,64,72,80),0))))/100)*((1+(((C3000=TRUE)*F3000*5/7)+((C3007=TRUE)*(F3007-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2993)</f>
        <v/>
      </c>
      <c r="L2993">
        <f>K2993*(MIN(Inputs!$B$22+((C3005=TRUE)*(F3005-Calc!F22)),(Inputs!$B$23+0+(IF(ArtifactsInput!$M$15,CHOOSE(ArtifactsInput!$N$15+1,25,30,35,40,45,50)/100*(Inputs!$B$11-Inputs!$B$11),0))))/100+(Inputs!$B$23+0+(IF(ArtifactsInput!$M$15,CHOOSE(ArtifactsInput!$N$15+1,25,30,35,40,45,50)/100*(Inputs!$B$11-Inputs!$B$11),0)))/100)/2</f>
        <v/>
      </c>
      <c r="M2993">
        <f>L2993*(1+(Inputs!$B$10+((C3008=TRUE)*(F3008-Calc!F25))+B3019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93">
        <f>L2993*(1-MIN((Inputs!$B$9+((C3002=TRUE)*(F3002-Calc!F19))+B3014+(ArtifactsInput!$M$24-ArtifactsInput!$M$24)*CHOOSE(ArtifactsInput!$N$24+1,10,12,14,16,18,20)+(IF(AND(Inputs!$B$38&lt;&gt;"pvp",Inputs!$B$43=0),1,IF(IF(Inputs!$B$38="pvp",15,Inputs!$B$43)-(B3021)&lt;=0,1,MAX(0,IF(Inputs!$B$38="pvp",15,Inputs!$B$43)-MAX(5,B3021))/(IF(Inputs!$B$38="pvp",15,Inputs!$B$43)-(B3021))))*IF(AND(ArtifactsInput!$M$42,((Inputs!$B$9+((C3002=TRUE)*(F3002-Calc!F19))+B3014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2993*(MIN((Inputs!$B$9+((C3002=TRUE)*(F3002-Calc!F19))+B3014+(ArtifactsInput!$M$24-ArtifactsInput!$M$24)*CHOOSE(ArtifactsInput!$N$24+1,10,12,14,16,18,20)+(IF(AND(Inputs!$B$38&lt;&gt;"pvp",Inputs!$B$43=0),1,IF(IF(Inputs!$B$38="pvp",15,Inputs!$B$43)-(B3021)&lt;=0,1,MAX(0,IF(Inputs!$B$38="pvp",15,Inputs!$B$43)-MAX(5,B3021))/(IF(Inputs!$B$38="pvp",15,Inputs!$B$43)-(B3021))))*IF(AND(ArtifactsInput!$M$42,((Inputs!$B$9+((C3002=TRUE)*(F3002-Calc!F19))+B3014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93">
        <f>(1-Summary!$B$11)*T2993+Summary!$B$11*V2993</f>
        <v/>
      </c>
      <c r="P2993">
        <f>IF(B3024=0,0,O2993/B3024)</f>
        <v/>
      </c>
      <c r="Q2993" t="n">
        <v>0</v>
      </c>
      <c r="R2993" t="n">
        <v>0</v>
      </c>
      <c r="S2993">
        <f>IFERROR(O2993/N2993,0)</f>
        <v/>
      </c>
      <c r="T2993">
        <f>IF(C2993,((H2993*B3026)/(1+Skills!H10*H2993*B3026)*N2993)*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Hunt"),CHOOSE(ArtifactsInput!$N$35+1,15,18,21,24,27,30)*(1-EXP(-(0.2*B3016)*5)),0)+IF(AND(ArtifactsInput!$M$22,Inputs!$B$4&lt;&gt;"Chapter Hunt"),CHOOSE(ArtifactsInput!$N$22+1,10,12,14,16,18,20)*((0*(((0.15*B3016*5))^0/1)+1*(((0.15*B3016*5))^1/1)+2*(((0.15*B3016*5))^2/2)+3*(((0.15*B3016*5))^3/6)+4*(((0.15*B3016*5))^4/24)+5*(((0.15*B3016*5))^5/120))/((((0.15*B3016*5))^0/1)+(((0.15*B3016*5))^1/1)+(((0.15*B3016*5))^2/2)+(((0.15*B3016*5))^3/6)+(((0.15*B3016*5))^4/24)+(((0.15*B3016*5))^5/120))),0))+IF(Inputs!$B$3&gt;=54,9*(C2986=TRUE)*MIN(1,8*(1+Inputs!$B$34/100)*Q2986)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2993*(1-MIN(100,(Inputs!$B$9+((C3002=TRUE)*(F3002-Calc!F19))+B3014+(ArtifactsInput!$M$24-ArtifactsInput!$M$24)*CHOOSE(ArtifactsInput!$N$24+1,10,12,14,16,18,20)+(IF(AND(Inputs!$B$38&lt;&gt;"pvp",Inputs!$B$43=0),1,IF(IF(Inputs!$B$38="pvp",15,Inputs!$B$43)-(B3021)&lt;=0,1,MAX(0,IF(Inputs!$B$38="pvp",15,Inputs!$B$43)-MAX(5,B3021))/(IF(Inputs!$B$38="pvp",15,Inputs!$B$43)-(B3021))))*IF(AND(ArtifactsInput!$M$42,((Inputs!$B$9+((C3002=TRUE)*(F3002-Calc!F19))+B3014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2993*(MIN(100,(Inputs!$B$9+((C3002=TRUE)*(F3002-Calc!F19))+B3014+(ArtifactsInput!$M$24-ArtifactsInput!$M$24)*CHOOSE(ArtifactsInput!$N$24+1,10,12,14,16,18,20)+(IF(AND(Inputs!$B$38&lt;&gt;"pvp",Inputs!$B$43=0),1,IF(IF(Inputs!$B$38="pvp",15,Inputs!$B$43)-(B3021)&lt;=0,1,MAX(0,IF(Inputs!$B$38="pvp",15,Inputs!$B$43)-MAX(5,B3021))/(IF(Inputs!$B$38="pvp",15,Inputs!$B$43)-(B3021))))*IF(AND(ArtifactsInput!$M$42,((Inputs!$B$9+((C3002=TRUE)*(F3002-Calc!F19))+B3014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2993*(1-MIN(100,(Inputs!$B$9+((C3002=TRUE)*(F3002-Calc!F19))+B3014+(ArtifactsInput!$M$24-ArtifactsInput!$M$24)*CHOOSE(ArtifactsInput!$N$24+1,10,12,14,16,18,20)+(IF(AND(Inputs!$B$38&lt;&gt;"pvp",Inputs!$B$43=0),1,IF(IF(Inputs!$B$38="pvp",15,Inputs!$B$43)-(B3021)&lt;=0,1,MAX(0,IF(Inputs!$B$38="pvp",15,Inputs!$B$43)-MAX(5,B3021))/(IF(Inputs!$B$38="pvp",15,Inputs!$B$43)-(B3021))))*IF(AND(ArtifactsInput!$M$42,((Inputs!$B$9+((C3002=TRUE)*(F3002-Calc!F19))+B3014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2993*(MIN(100,(Inputs!$B$9+((C3002=TRUE)*(F3002-Calc!F19))+B3014+(ArtifactsInput!$M$24-ArtifactsInput!$M$24)*CHOOSE(ArtifactsInput!$N$24+1,10,12,14,16,18,20)+(IF(AND(Inputs!$B$38&lt;&gt;"pvp",Inputs!$B$43=0),1,IF(IF(Inputs!$B$38="pvp",15,Inputs!$B$43)-(B3021)&lt;=0,1,MAX(0,IF(Inputs!$B$38="pvp",15,Inputs!$B$43)-MAX(5,B3021))/(IF(Inputs!$B$38="pvp",15,Inputs!$B$43)-(B3021))))*IF(AND(ArtifactsInput!$M$42,((Inputs!$B$9+((C3002=TRUE)*(F3002-Calc!F19))+B3014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993">
        <f>IF(C2993,((H2993*B3026)/(1+Skills!H10*H2993*B3026)*N2993)*IF(Inputs!$B$38="pvp",1,(1+(Inputs!$B$21+Skills!Q10+(IF(ArtifactsInput!$M$33,CHOOSE(ArtifactsInput!$N$33+1,30,36,42,48,54,60),0))+(IF(AND(ArtifactsInput!$M$35,Inputs!$B$4&lt;&gt;"Chapter Hunt"),CHOOSE(ArtifactsInput!$N$35+1,15,18,21,24,27,30)*(1-EXP(-(0.2*B3016)*5)),0)+IF(AND(ArtifactsInput!$M$22,Inputs!$B$4&lt;&gt;"Chapter Hunt"),CHOOSE(ArtifactsInput!$N$22+1,10,12,14,16,18,20)*((0*(((0.15*B3016*5))^0/1)+1*(((0.15*B3016*5))^1/1)+2*(((0.15*B3016*5))^2/2)+3*(((0.15*B3016*5))^3/6)+4*(((0.15*B3016*5))^4/24)+5*(((0.15*B3016*5))^5/120))/((((0.15*B3016*5))^0/1)+(((0.15*B3016*5))^1/1)+(((0.15*B3016*5))^2/2)+(((0.15*B3016*5))^3/6)+(((0.15*B3016*5))^4/24)+(((0.15*B3016*5))^5/120))),0))+IF(Inputs!$B$3&gt;=54,9*(C2986=TRUE)*MIN(1,8*(1+Inputs!$B$34/100)*Q2986),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94">
      <c r="A2994">
        <f>Skills!A11</f>
        <v/>
      </c>
      <c r="B2994">
        <f>Skills!B11</f>
        <v/>
      </c>
      <c r="C2994">
        <f>Inputs!$B$3&gt;=117</f>
        <v/>
      </c>
      <c r="D2994">
        <f>IF(Skills!C11=1,60+Inputs!$B$25+Inputs!$B$29,IF(Skills!C11=2,90+Inputs!$B$26+Inputs!$B$29,IF(Skills!C11=3,120+Inputs!$B$27+Inputs!$B$29,MAX(0,(Inputs!$B$3-100)*3)+Inputs!$B$28+Inputs!$B$29)))</f>
        <v/>
      </c>
      <c r="E2994">
        <f>INDEX(FactorTable!$B$2:$Y$301, MATCH(ROUND(MIN(300,MAX(1,D2994)),0), FactorTable!$A$2:$A$301,0), Skills!M11+1)</f>
        <v/>
      </c>
      <c r="F2994">
        <f>IF(Skills!N11=TRUE,(Skills!L11/10)*(E2994/1000),Skills!L11/10)+Skills!O11</f>
        <v/>
      </c>
      <c r="G2994">
        <f>Skills!G11*IF(Skills!H11&gt;0,INT(IF(Inputs!$B$38="pvp",MIN(Skills!I11,15),Skills!I11)/Skills!H11+0.000000001),1)</f>
        <v/>
      </c>
      <c r="H2994">
        <f>1-(1-Skills!J11/100)^Skills!K11</f>
        <v/>
      </c>
      <c r="I2994" t="inlineStr">
        <is>
          <t>1</t>
        </is>
      </c>
      <c r="J2994">
        <f>((Inputs!$B$6*(1+Inputs!$B$7/100))+(((Inputs!$B$12*(1+Inputs!$B$13/100))-(Inputs!$B$12*(1+Inputs!$B$13/100)))+0.25*(Inputs!$B$14-Inputs!$B$14))*(1+Inputs!$B$7/100))*(F2994/100)</f>
        <v/>
      </c>
      <c r="K2994">
        <f>J2994*(1+((Inputs!$B$12*(1+Inputs!$B$13/100))*0.01+Inputs!$B$14*0.0025)/100)*(1+Inputs!$B$15/100)*(1+Inputs!$B$16/100)*(5000/(6000+Inputs!$B$42*(1-(100*(1-(1-(Inputs!$B$19+0)/100)*(1-CHOOSE(ArtifactsInput!$N$40+1,5,6,7,8,9,10)/100)^(ArtifactsInput!$M$40-ArtifactsInput!$M$40)))/100)))*(1+(Inputs!$B$24+((C3009=TRUE)*(F3009-Calc!F26))+B3020)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IGHT_LEGS_EASTON",Inputs!$B$17+((C3006=TRUE)*(F3006-Calc!F23))+((C3010=TRUE)*(F3010-Calc!F27))+((IF(AND(Inputs!$B$38&lt;&gt;"pvp",Inputs!$B$43=0),1,IF(IF(Inputs!$B$38="pvp",15,Inputs!$B$43)-(B3021)&lt;=0,1,MAX(0,IF(Inputs!$B$38="pvp",15,Inputs!$B$43)-MAX(5,B3021))/(IF(Inputs!$B$38="pvp",15,Inputs!$B$43)-(B3021))))*(IF(AND(ArtifactsInput!$M$42,((Inputs!$B$9+((C3002=TRUE)*(F3002-Calc!F19))+B3014+(ArtifactsInput!$M$24-ArtifactsInput!$M$24)*CHOOSE(ArtifactsInput!$N$24+1,10,12,14,16,18,20)+IF(ArtifactsInput!$M$10,CHOOSE(ArtifactsInput!$N$10+1,15,18,21,24,27,30)*(IF(Inputs!$B$38="pvp",MIN(15,15)/15,IF(AND(Inputs!$B$38&lt;&gt;"pvp",Inputs!$B$43&gt;0),MIN(15,Inputs!$B$43)/(Inputs!$B$43),0))),0)))&gt;=100),MIN(100,((Inputs!$B$9+((C3002=TRUE)*(F3002-Calc!F19))+B3014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3021)&lt;=0,1,MAX(0,IF(Inputs!$B$38="pvp",15,Inputs!$B$43)-MAX(5,B3021))/(IF(Inputs!$B$38="pvp",15,Inputs!$B$43)-(B3021))))*IF(AND(ArtifactsInput!$M$42,((Inputs!$B$9+((C3002=TRUE)*(F3002-Calc!F19))+B3014+(ArtifactsInput!$M$24-ArtifactsInput!$M$24)*CHOOSE(ArtifactsInput!$N$24+1,10,12,14,16,18,20)+IF(ArtifactsInput!$M$10,CHOOSE(ArtifactsInput!$N$10+1,15,18,21,24,27,30)*(IF(Inputs!$B$38="pvp",MIN(15,15)/15,IF(AND(Inputs!$B$38&lt;&gt;"pvp",Inputs!$B$43&gt;0),MIN(15,Inputs!$B$43)/(Inputs!$B$43),0))),0)))&gt;=100),CHOOSE(ArtifactsInput!$N$42+1,40,48,56,64,72,80),0))))/100)*((1+(((C3000=TRUE)*F3000*5/7)+((C3007=TRUE)*(F3007-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2994)</f>
        <v/>
      </c>
      <c r="L2994">
        <f>K2994*(MIN(Inputs!$B$22+((C3005=TRUE)*(F3005-Calc!F22)),(Inputs!$B$23+0+(IF(ArtifactsInput!$M$15,CHOOSE(ArtifactsInput!$N$15+1,25,30,35,40,45,50)/100*(Inputs!$B$11-Inputs!$B$11),0))))/100+(Inputs!$B$23+0+(IF(ArtifactsInput!$M$15,CHOOSE(ArtifactsInput!$N$15+1,25,30,35,40,45,50)/100*(Inputs!$B$11-Inputs!$B$11),0)))/100)/2</f>
        <v/>
      </c>
      <c r="M2994">
        <f>L2994*(1+(Inputs!$B$10+((C3008=TRUE)*(F3008-Calc!F25))+B3019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94">
        <f>L2994*(1-MIN((Inputs!$B$9+((C3002=TRUE)*(F3002-Calc!F19))+B3014+(ArtifactsInput!$M$24-ArtifactsInput!$M$24)*CHOOSE(ArtifactsInput!$N$24+1,10,12,14,16,18,20)+(IF(AND(Inputs!$B$38&lt;&gt;"pvp",Inputs!$B$43=0),1,IF(IF(Inputs!$B$38="pvp",15,Inputs!$B$43)-(B3021)&lt;=0,1,MAX(0,IF(Inputs!$B$38="pvp",15,Inputs!$B$43)-MAX(5,B3021))/(IF(Inputs!$B$38="pvp",15,Inputs!$B$43)-(B3021))))*IF(AND(ArtifactsInput!$M$42,((Inputs!$B$9+((C3002=TRUE)*(F3002-Calc!F19))+B3014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2994*(MIN((Inputs!$B$9+((C3002=TRUE)*(F3002-Calc!F19))+B3014+(ArtifactsInput!$M$24-ArtifactsInput!$M$24)*CHOOSE(ArtifactsInput!$N$24+1,10,12,14,16,18,20)+(IF(AND(Inputs!$B$38&lt;&gt;"pvp",Inputs!$B$43=0),1,IF(IF(Inputs!$B$38="pvp",15,Inputs!$B$43)-(B3021)&lt;=0,1,MAX(0,IF(Inputs!$B$38="pvp",15,Inputs!$B$43)-MAX(5,B3021))/(IF(Inputs!$B$38="pvp",15,Inputs!$B$43)-(B3021))))*IF(AND(ArtifactsInput!$M$42,((Inputs!$B$9+((C3002=TRUE)*(F3002-Calc!F19))+B3014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94">
        <f>(1-Summary!$B$11)*T2994+Summary!$B$11*V2994</f>
        <v/>
      </c>
      <c r="P2994">
        <f>IF(B3024=0,0,O2994/B3024)</f>
        <v/>
      </c>
      <c r="Q2994">
        <f>IFERROR(1/((IF(Inputs!$B$38="pvp",15,MAX(0.1,Skills!D11-IF(TRUE=TRUE,1.0,0)))*(1-IF(AND(ArtifactsInput!$M$27,Inputs!$B$4="Chapter Hunt"),CHOOSE(ArtifactsInput!$N$27+1,20,24,28,32,36,40),0)/100))/B3025),0)</f>
        <v/>
      </c>
      <c r="R2994">
        <f>IF(AND(Inputs!$B$38&lt;&gt;"pvp",Inputs!$B$43&gt;0),IF(MAX(0,Inputs!$B$43-B3021)&lt;=0,0,(INT(MAX(0,Inputs!$B$43-B3021)/((IF(Inputs!$B$38="pvp",15,MAX(0.1,Skills!D11-IF(TRUE=TRUE,1.0,0)))*(1-IF(AND(ArtifactsInput!$M$27,Inputs!$B$4="Chapter Hunt"),CHOOSE(ArtifactsInput!$N$27+1,20,24,28,32,36,40),0)/100))/B3025))+1)),0)</f>
        <v/>
      </c>
      <c r="S2994">
        <f>IFERROR(O2994/N2994,0)</f>
        <v/>
      </c>
      <c r="T2994">
        <f>IF(C2994,(H2994*N2994*IF(AND(Inputs!$B$38&lt;&gt;"pvp",Inputs!$B$43&gt;0),((Skills!G11*((R2994-1)*IF(Skills!H11&gt;0,INT(Skills!I11/Skills!H11+0.000000001),1)+IF(Skills!H11&gt;0,INT(MIN(Skills!I11,MAX(0,MAX(0,Inputs!$B$43-B3021)-((R2994-1)*((IF(Inputs!$B$38="pvp",15,MAX(0.1,Skills!D11-IF(TRUE=TRUE,1.0,0)))*(1-IF(AND(ArtifactsInput!$M$27,Inputs!$B$4="Chapter Hunt"),CHOOSE(ArtifactsInput!$N$27+1,20,24,28,32,36,40),0)/100))/B3025))))/Skills!H11+0.000000001),1)))/Inputs!$B$43),G2994*Q2994))*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Hunt"),CHOOSE(ArtifactsInput!$N$35+1,15,18,21,24,27,30)*(1-EXP(-(0.2*B3016)*5)),0)+IF(AND(ArtifactsInput!$M$22,Inputs!$B$4&lt;&gt;"Chapter Hunt"),CHOOSE(ArtifactsInput!$N$22+1,10,12,14,16,18,20)*((0*(((0.15*B3016*5))^0/1)+1*(((0.15*B3016*5))^1/1)+2*(((0.15*B3016*5))^2/2)+3*(((0.15*B3016*5))^3/6)+4*(((0.15*B3016*5))^4/24)+5*(((0.15*B3016*5))^5/120))/((((0.15*B3016*5))^0/1)+(((0.15*B3016*5))^1/1)+(((0.15*B3016*5))^2/2)+(((0.15*B3016*5))^3/6)+(((0.15*B3016*5))^4/24)+(((0.15*B3016*5))^5/120))),0))+IF(Inputs!$B$3&gt;=54,9*(C2986=TRUE)*MIN(1,8*(1+Inputs!$B$34/100)*Q2986)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2994*(1-MIN(100,(Inputs!$B$9+((C3002=TRUE)*(F3002-Calc!F19))+B3014+(ArtifactsInput!$M$24-ArtifactsInput!$M$24)*CHOOSE(ArtifactsInput!$N$24+1,10,12,14,16,18,20)+(IF(AND(Inputs!$B$38&lt;&gt;"pvp",Inputs!$B$43=0),1,IF(IF(Inputs!$B$38="pvp",15,Inputs!$B$43)-(B3021)&lt;=0,1,MAX(0,IF(Inputs!$B$38="pvp",15,Inputs!$B$43)-MAX(5,B3021))/(IF(Inputs!$B$38="pvp",15,Inputs!$B$43)-(B3021))))*IF(AND(ArtifactsInput!$M$42,((Inputs!$B$9+((C3002=TRUE)*(F3002-Calc!F19))+B3014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2994*(MIN(100,(Inputs!$B$9+((C3002=TRUE)*(F3002-Calc!F19))+B3014+(ArtifactsInput!$M$24-ArtifactsInput!$M$24)*CHOOSE(ArtifactsInput!$N$24+1,10,12,14,16,18,20)+(IF(AND(Inputs!$B$38&lt;&gt;"pvp",Inputs!$B$43=0),1,IF(IF(Inputs!$B$38="pvp",15,Inputs!$B$43)-(B3021)&lt;=0,1,MAX(0,IF(Inputs!$B$38="pvp",15,Inputs!$B$43)-MAX(5,B3021))/(IF(Inputs!$B$38="pvp",15,Inputs!$B$43)-(B3021))))*IF(AND(ArtifactsInput!$M$42,((Inputs!$B$9+((C3002=TRUE)*(F3002-Calc!F19))+B3014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2994*(1-MIN(100,(Inputs!$B$9+((C3002=TRUE)*(F3002-Calc!F19))+B3014+(ArtifactsInput!$M$24-ArtifactsInput!$M$24)*CHOOSE(ArtifactsInput!$N$24+1,10,12,14,16,18,20)+(IF(AND(Inputs!$B$38&lt;&gt;"pvp",Inputs!$B$43=0),1,IF(IF(Inputs!$B$38="pvp",15,Inputs!$B$43)-(B3021)&lt;=0,1,MAX(0,IF(Inputs!$B$38="pvp",15,Inputs!$B$43)-MAX(5,B3021))/(IF(Inputs!$B$38="pvp",15,Inputs!$B$43)-(B3021))))*IF(AND(ArtifactsInput!$M$42,((Inputs!$B$9+((C3002=TRUE)*(F3002-Calc!F19))+B3014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2994*(MIN(100,(Inputs!$B$9+((C3002=TRUE)*(F3002-Calc!F19))+B3014+(ArtifactsInput!$M$24-ArtifactsInput!$M$24)*CHOOSE(ArtifactsInput!$N$24+1,10,12,14,16,18,20)+(IF(AND(Inputs!$B$38&lt;&gt;"pvp",Inputs!$B$43=0),1,IF(IF(Inputs!$B$38="pvp",15,Inputs!$B$43)-(B3021)&lt;=0,1,MAX(0,IF(Inputs!$B$38="pvp",15,Inputs!$B$43)-MAX(5,B3021))/(IF(Inputs!$B$38="pvp",15,Inputs!$B$43)-(B3021))))*IF(AND(ArtifactsInput!$M$42,((Inputs!$B$9+((C3002=TRUE)*(F3002-Calc!F19))+B3014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994">
        <f>IF(C2994,(H2994*N2994*IF(AND(Inputs!$B$38&lt;&gt;"pvp",Inputs!$B$43&gt;0),((Skills!G11*((R2994-1)*IF(Skills!H11&gt;0,INT(Skills!I11/Skills!H11+0.000000001),1)+IF(Skills!H11&gt;0,INT(MIN(Skills!I11,MAX(0,MAX(0,Inputs!$B$43-B3021)-((R2994-1)*((IF(Inputs!$B$38="pvp",15,MAX(0.1,Skills!D11-IF(TRUE=TRUE,1.0,0)))*(1-IF(AND(ArtifactsInput!$M$27,Inputs!$B$4="Chapter Hunt"),CHOOSE(ArtifactsInput!$N$27+1,20,24,28,32,36,40),0)/100))/B3025))))/Skills!H11+0.000000001),1)))/Inputs!$B$43),G2994*Q2994))*IF(Inputs!$B$38="pvp",1,(1+(Inputs!$B$21+Skills!Q11+(IF(ArtifactsInput!$M$33,CHOOSE(ArtifactsInput!$N$33+1,30,36,42,48,54,60),0))+(IF(AND(ArtifactsInput!$M$35,Inputs!$B$4&lt;&gt;"Chapter Hunt"),CHOOSE(ArtifactsInput!$N$35+1,15,18,21,24,27,30)*(1-EXP(-(0.2*B3016)*5)),0)+IF(AND(ArtifactsInput!$M$22,Inputs!$B$4&lt;&gt;"Chapter Hunt"),CHOOSE(ArtifactsInput!$N$22+1,10,12,14,16,18,20)*((0*(((0.15*B3016*5))^0/1)+1*(((0.15*B3016*5))^1/1)+2*(((0.15*B3016*5))^2/2)+3*(((0.15*B3016*5))^3/6)+4*(((0.15*B3016*5))^4/24)+5*(((0.15*B3016*5))^5/120))/((((0.15*B3016*5))^0/1)+(((0.15*B3016*5))^1/1)+(((0.15*B3016*5))^2/2)+(((0.15*B3016*5))^3/6)+(((0.15*B3016*5))^4/24)+(((0.15*B3016*5))^5/120))),0))+IF(Inputs!$B$3&gt;=54,9*(C2986=TRUE)*MIN(1,8*(1+Inputs!$B$34/100)*Q2986),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95">
      <c r="A2995">
        <f>Skills!A12</f>
        <v/>
      </c>
      <c r="B2995">
        <f>Skills!B12</f>
        <v/>
      </c>
      <c r="C2995">
        <f>Inputs!$B$3&gt;=110</f>
        <v/>
      </c>
      <c r="D2995">
        <f>IF(Skills!C12=1,60+Inputs!$B$25+Inputs!$B$29,IF(Skills!C12=2,90+Inputs!$B$26+Inputs!$B$29,IF(Skills!C12=3,120+Inputs!$B$27+Inputs!$B$29,MAX(0,(Inputs!$B$3-100)*3)+Inputs!$B$28+Inputs!$B$29)))</f>
        <v/>
      </c>
      <c r="E2995">
        <f>INDEX(FactorTable!$B$2:$Y$301, MATCH(ROUND(MIN(300,MAX(1,D2995)),0), FactorTable!$A$2:$A$301,0), Skills!M12+1)</f>
        <v/>
      </c>
      <c r="F2995">
        <f>IF(Skills!N12=TRUE,(Skills!L12/10)*(E2995/1000),Skills!L12/10)+Skills!O12</f>
        <v/>
      </c>
      <c r="G2995">
        <f>Skills!G12*IF(Skills!H12&gt;0,INT(IF(Inputs!$B$38="pvp",MIN(Skills!I12,15),Skills!I12)/Skills!H12+0.000000001),1)</f>
        <v/>
      </c>
      <c r="H2995">
        <f>1-(1-Skills!J12/100)^Skills!K12</f>
        <v/>
      </c>
      <c r="I2995" t="inlineStr">
        <is>
          <t>1</t>
        </is>
      </c>
      <c r="J2995">
        <f>((Inputs!$B$6*(1+Inputs!$B$7/100))+(((Inputs!$B$12*(1+Inputs!$B$13/100))-(Inputs!$B$12*(1+Inputs!$B$13/100)))+0.25*(Inputs!$B$14-Inputs!$B$14))*(1+Inputs!$B$7/100))*(F2995/100)</f>
        <v/>
      </c>
      <c r="K2995">
        <f>J2995*(1+((Inputs!$B$12*(1+Inputs!$B$13/100))*0.01+Inputs!$B$14*0.0025)/100)*(1+Inputs!$B$15/100)*(1+Inputs!$B$16/100)*(5000/(6000+Inputs!$B$42*(1-(100*(1-(1-(Inputs!$B$19+0)/100)*(1-CHOOSE(ArtifactsInput!$N$40+1,5,6,7,8,9,10)/100)^(ArtifactsInput!$M$40-ArtifactsInput!$M$40)))/100)))*(1+(Inputs!$B$24+((C3009=TRUE)*(F3009-Calc!F26))+B3020)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EIGHT_LEGS_EASTON",Inputs!$B$17+((C3006=TRUE)*(F3006-Calc!F23))+((C3010=TRUE)*(F3010-Calc!F27))+((IF(AND(Inputs!$B$38&lt;&gt;"pvp",Inputs!$B$43=0),1,IF(IF(Inputs!$B$38="pvp",15,Inputs!$B$43)-(B3021)&lt;=0,1,MAX(0,IF(Inputs!$B$38="pvp",15,Inputs!$B$43)-MAX(5,B3021))/(IF(Inputs!$B$38="pvp",15,Inputs!$B$43)-(B3021))))*(IF(AND(ArtifactsInput!$M$42,((Inputs!$B$9+((C3002=TRUE)*(F3002-Calc!F19))+B3014+(ArtifactsInput!$M$24-ArtifactsInput!$M$24)*CHOOSE(ArtifactsInput!$N$24+1,10,12,14,16,18,20)+IF(ArtifactsInput!$M$10,CHOOSE(ArtifactsInput!$N$10+1,15,18,21,24,27,30)*(IF(Inputs!$B$38="pvp",MIN(15,15)/15,IF(AND(Inputs!$B$38&lt;&gt;"pvp",Inputs!$B$43&gt;0),MIN(15,Inputs!$B$43)/(Inputs!$B$43),0))),0)))&gt;=100),MIN(100,((Inputs!$B$9+((C3002=TRUE)*(F3002-Calc!F19))+B3014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3021)&lt;=0,1,MAX(0,IF(Inputs!$B$38="pvp",15,Inputs!$B$43)-MAX(5,B3021))/(IF(Inputs!$B$38="pvp",15,Inputs!$B$43)-(B3021))))*IF(AND(ArtifactsInput!$M$42,((Inputs!$B$9+((C3002=TRUE)*(F3002-Calc!F19))+B3014+(ArtifactsInput!$M$24-ArtifactsInput!$M$24)*CHOOSE(ArtifactsInput!$N$24+1,10,12,14,16,18,20)+IF(ArtifactsInput!$M$10,CHOOSE(ArtifactsInput!$N$10+1,15,18,21,24,27,30)*(IF(Inputs!$B$38="pvp",MIN(15,15)/15,IF(AND(Inputs!$B$38&lt;&gt;"pvp",Inputs!$B$43&gt;0),MIN(15,Inputs!$B$43)/(Inputs!$B$43),0))),0)))&gt;=100),CHOOSE(ArtifactsInput!$N$42+1,40,48,56,64,72,80),0))))/100)*((1+(((C3000=TRUE)*F3000*5/7)+((C3007=TRUE)*(F3007-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2995)</f>
        <v/>
      </c>
      <c r="L2995">
        <f>K2995*(MIN(Inputs!$B$22+((C3005=TRUE)*(F3005-Calc!F22)),(Inputs!$B$23+0+(IF(ArtifactsInput!$M$15,CHOOSE(ArtifactsInput!$N$15+1,25,30,35,40,45,50)/100*(Inputs!$B$11-Inputs!$B$11),0))))/100+(Inputs!$B$23+0+(IF(ArtifactsInput!$M$15,CHOOSE(ArtifactsInput!$N$15+1,25,30,35,40,45,50)/100*(Inputs!$B$11-Inputs!$B$11),0)))/100)/2</f>
        <v/>
      </c>
      <c r="M2995">
        <f>L2995*(1+(Inputs!$B$10+((C3008=TRUE)*(F3008-Calc!F25))+B3019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95">
        <f>L2995*(1-MIN((Inputs!$B$9+((C3002=TRUE)*(F3002-Calc!F19))+B3014+(ArtifactsInput!$M$24-ArtifactsInput!$M$24)*CHOOSE(ArtifactsInput!$N$24+1,10,12,14,16,18,20)+(IF(AND(Inputs!$B$38&lt;&gt;"pvp",Inputs!$B$43=0),1,IF(IF(Inputs!$B$38="pvp",15,Inputs!$B$43)-(B3021)&lt;=0,1,MAX(0,IF(Inputs!$B$38="pvp",15,Inputs!$B$43)-MAX(5,B3021))/(IF(Inputs!$B$38="pvp",15,Inputs!$B$43)-(B3021))))*IF(AND(ArtifactsInput!$M$42,((Inputs!$B$9+((C3002=TRUE)*(F3002-Calc!F19))+B3014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2995*(MIN((Inputs!$B$9+((C3002=TRUE)*(F3002-Calc!F19))+B3014+(ArtifactsInput!$M$24-ArtifactsInput!$M$24)*CHOOSE(ArtifactsInput!$N$24+1,10,12,14,16,18,20)+(IF(AND(Inputs!$B$38&lt;&gt;"pvp",Inputs!$B$43=0),1,IF(IF(Inputs!$B$38="pvp",15,Inputs!$B$43)-(B3021)&lt;=0,1,MAX(0,IF(Inputs!$B$38="pvp",15,Inputs!$B$43)-MAX(5,B3021))/(IF(Inputs!$B$38="pvp",15,Inputs!$B$43)-(B3021))))*IF(AND(ArtifactsInput!$M$42,((Inputs!$B$9+((C3002=TRUE)*(F3002-Calc!F19))+B3014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95">
        <f>(1-Summary!$B$11)*T2995+Summary!$B$11*V2995</f>
        <v/>
      </c>
      <c r="P2995">
        <f>IF(B3024=0,0,O2995/B3024)</f>
        <v/>
      </c>
      <c r="Q2995">
        <f>IFERROR(1/(IF(Inputs!$B$38="pvp",15,MAX(0.1,Skills!D12-IF(TRUE=TRUE,1.0,0)))*(1-IF(AND(ArtifactsInput!$M$27,Inputs!$B$4="Chapter Hunt"),CHOOSE(ArtifactsInput!$N$27+1,20,24,28,32,36,40),0)/100)),0)</f>
        <v/>
      </c>
      <c r="R2995">
        <f>IF(AND(Inputs!$B$38&lt;&gt;"pvp",Inputs!$B$43&gt;0),IF(MAX(0,Inputs!$B$43-B3021)&lt;=0,0,(INT(MAX(0,Inputs!$B$43-B3021)/(IF(Inputs!$B$38="pvp",15,MAX(0.1,Skills!D12-IF(TRUE=TRUE,1.0,0)))*(1-IF(AND(ArtifactsInput!$M$27,Inputs!$B$4="Chapter Hunt"),CHOOSE(ArtifactsInput!$N$27+1,20,24,28,32,36,40),0)/100)))+1)),0)</f>
        <v/>
      </c>
      <c r="S2995">
        <f>IFERROR(O2995/N2995,0)</f>
        <v/>
      </c>
      <c r="T2995">
        <f>IF(C2995,(H2995*N2995*IF(AND(Inputs!$B$38&lt;&gt;"pvp",Inputs!$B$43&gt;0),((Skills!G12*((R2995-1)*IF(Skills!H12&gt;0,INT(Skills!I12/Skills!H12+0.000000001),1)+IF(Skills!H12&gt;0,INT(MIN(Skills!I12,MAX(0,MAX(0,Inputs!$B$43-B3021)-((R2995-1)*(IF(Inputs!$B$38="pvp",15,MAX(0.1,Skills!D12-IF(TRUE=TRUE,1.0,0)))*(1-IF(AND(ArtifactsInput!$M$27,Inputs!$B$4="Chapter Hunt"),CHOOSE(ArtifactsInput!$N$27+1,20,24,28,32,36,40),0)/100)))))/Skills!H12+0.000000001),1)))/Inputs!$B$43),G2995*Q2995))*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Hunt"),CHOOSE(ArtifactsInput!$N$35+1,15,18,21,24,27,30)*(1-EXP(-(0.2*B3016)*5)),0)+IF(AND(ArtifactsInput!$M$22,Inputs!$B$4&lt;&gt;"Chapter Hunt"),CHOOSE(ArtifactsInput!$N$22+1,10,12,14,16,18,20)*((0*(((0.15*B3016*5))^0/1)+1*(((0.15*B3016*5))^1/1)+2*(((0.15*B3016*5))^2/2)+3*(((0.15*B3016*5))^3/6)+4*(((0.15*B3016*5))^4/24)+5*(((0.15*B3016*5))^5/120))/((((0.15*B3016*5))^0/1)+(((0.15*B3016*5))^1/1)+(((0.15*B3016*5))^2/2)+(((0.15*B3016*5))^3/6)+(((0.15*B3016*5))^4/24)+(((0.15*B3016*5))^5/120))),0))+IF(Inputs!$B$3&gt;=54,9*(C2986=TRUE)*MIN(1,8*(1+Inputs!$B$34/100)*Q2986)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2995*(1-MIN(100,(Inputs!$B$9+((C3002=TRUE)*(F3002-Calc!F19))+B3014+(ArtifactsInput!$M$24-ArtifactsInput!$M$24)*CHOOSE(ArtifactsInput!$N$24+1,10,12,14,16,18,20)+(IF(AND(Inputs!$B$38&lt;&gt;"pvp",Inputs!$B$43=0),1,IF(IF(Inputs!$B$38="pvp",15,Inputs!$B$43)-(B3021)&lt;=0,1,MAX(0,IF(Inputs!$B$38="pvp",15,Inputs!$B$43)-MAX(5,B3021))/(IF(Inputs!$B$38="pvp",15,Inputs!$B$43)-(B3021))))*IF(AND(ArtifactsInput!$M$42,((Inputs!$B$9+((C3002=TRUE)*(F3002-Calc!F19))+B3014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2995*(MIN(100,(Inputs!$B$9+((C3002=TRUE)*(F3002-Calc!F19))+B3014+(ArtifactsInput!$M$24-ArtifactsInput!$M$24)*CHOOSE(ArtifactsInput!$N$24+1,10,12,14,16,18,20)+(IF(AND(Inputs!$B$38&lt;&gt;"pvp",Inputs!$B$43=0),1,IF(IF(Inputs!$B$38="pvp",15,Inputs!$B$43)-(B3021)&lt;=0,1,MAX(0,IF(Inputs!$B$38="pvp",15,Inputs!$B$43)-MAX(5,B3021))/(IF(Inputs!$B$38="pvp",15,Inputs!$B$43)-(B3021))))*IF(AND(ArtifactsInput!$M$42,((Inputs!$B$9+((C3002=TRUE)*(F3002-Calc!F19))+B3014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2995*(1-MIN(100,(Inputs!$B$9+((C3002=TRUE)*(F3002-Calc!F19))+B3014+(ArtifactsInput!$M$24-ArtifactsInput!$M$24)*CHOOSE(ArtifactsInput!$N$24+1,10,12,14,16,18,20)+(IF(AND(Inputs!$B$38&lt;&gt;"pvp",Inputs!$B$43=0),1,IF(IF(Inputs!$B$38="pvp",15,Inputs!$B$43)-(B3021)&lt;=0,1,MAX(0,IF(Inputs!$B$38="pvp",15,Inputs!$B$43)-MAX(5,B3021))/(IF(Inputs!$B$38="pvp",15,Inputs!$B$43)-(B3021))))*IF(AND(ArtifactsInput!$M$42,((Inputs!$B$9+((C3002=TRUE)*(F3002-Calc!F19))+B3014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2995*(MIN(100,(Inputs!$B$9+((C3002=TRUE)*(F3002-Calc!F19))+B3014+(ArtifactsInput!$M$24-ArtifactsInput!$M$24)*CHOOSE(ArtifactsInput!$N$24+1,10,12,14,16,18,20)+(IF(AND(Inputs!$B$38&lt;&gt;"pvp",Inputs!$B$43=0),1,IF(IF(Inputs!$B$38="pvp",15,Inputs!$B$43)-(B3021)&lt;=0,1,MAX(0,IF(Inputs!$B$38="pvp",15,Inputs!$B$43)-MAX(5,B3021))/(IF(Inputs!$B$38="pvp",15,Inputs!$B$43)-(B3021))))*IF(AND(ArtifactsInput!$M$42,((Inputs!$B$9+((C3002=TRUE)*(F3002-Calc!F19))+B3014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995">
        <f>IF(C2995,(H2995*N2995*IF(AND(Inputs!$B$38&lt;&gt;"pvp",Inputs!$B$43&gt;0),((Skills!G12*((R2995-1)*IF(Skills!H12&gt;0,INT(Skills!I12/Skills!H12+0.000000001),1)+IF(Skills!H12&gt;0,INT(MIN(Skills!I12,MAX(0,MAX(0,Inputs!$B$43-B3021)-((R2995-1)*(IF(Inputs!$B$38="pvp",15,MAX(0.1,Skills!D12-IF(TRUE=TRUE,1.0,0)))*(1-IF(AND(ArtifactsInput!$M$27,Inputs!$B$4="Chapter Hunt"),CHOOSE(ArtifactsInput!$N$27+1,20,24,28,32,36,40),0)/100)))))/Skills!H12+0.000000001),1)))/Inputs!$B$43),G2995*Q2995))*IF(Inputs!$B$38="pvp",1,(1+(Inputs!$B$21+Skills!Q12+(IF(ArtifactsInput!$M$33,CHOOSE(ArtifactsInput!$N$33+1,30,36,42,48,54,60),0))+(IF(AND(ArtifactsInput!$M$35,Inputs!$B$4&lt;&gt;"Chapter Hunt"),CHOOSE(ArtifactsInput!$N$35+1,15,18,21,24,27,30)*(1-EXP(-(0.2*B3016)*5)),0)+IF(AND(ArtifactsInput!$M$22,Inputs!$B$4&lt;&gt;"Chapter Hunt"),CHOOSE(ArtifactsInput!$N$22+1,10,12,14,16,18,20)*((0*(((0.15*B3016*5))^0/1)+1*(((0.15*B3016*5))^1/1)+2*(((0.15*B3016*5))^2/2)+3*(((0.15*B3016*5))^3/6)+4*(((0.15*B3016*5))^4/24)+5*(((0.15*B3016*5))^5/120))/((((0.15*B3016*5))^0/1)+(((0.15*B3016*5))^1/1)+(((0.15*B3016*5))^2/2)+(((0.15*B3016*5))^3/6)+(((0.15*B3016*5))^4/24)+(((0.15*B3016*5))^5/120))),0))+IF(Inputs!$B$3&gt;=54,9*(C2986=TRUE)*MIN(1,8*(1+Inputs!$B$34/100)*Q2986),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96">
      <c r="A2996">
        <f>Skills!A13</f>
        <v/>
      </c>
      <c r="B2996">
        <f>Skills!B13</f>
        <v/>
      </c>
      <c r="C2996">
        <f>Inputs!$B$3&gt;=110</f>
        <v/>
      </c>
      <c r="D2996">
        <f>IF(Skills!C13=1,60+Inputs!$B$25+Inputs!$B$29,IF(Skills!C13=2,90+Inputs!$B$26+Inputs!$B$29,IF(Skills!C13=3,120+Inputs!$B$27+Inputs!$B$29,MAX(0,(Inputs!$B$3-100)*3)+Inputs!$B$28+Inputs!$B$29)))</f>
        <v/>
      </c>
      <c r="E2996">
        <f>INDEX(FactorTable!$B$2:$Y$301, MATCH(ROUND(MIN(300,MAX(1,D2996)),0), FactorTable!$A$2:$A$301,0), Skills!M13+1)</f>
        <v/>
      </c>
      <c r="F2996">
        <f>IF(Skills!N13=TRUE,(Skills!L13/10)*(E2996/1000),Skills!L13/10)+Skills!O13</f>
        <v/>
      </c>
      <c r="G2996">
        <f>Skills!G13*IF(Skills!H13&gt;0,INT(IF(Inputs!$B$38="pvp",MIN(Skills!I13,15),Skills!I13)/Skills!H13+0.000000001),1)</f>
        <v/>
      </c>
      <c r="H2996">
        <f>1-(1-Skills!J13/100)^Skills!K13</f>
        <v/>
      </c>
      <c r="I2996" t="inlineStr">
        <is>
          <t>1</t>
        </is>
      </c>
      <c r="J2996">
        <f>((Inputs!$B$6*(1+Inputs!$B$7/100))+(((Inputs!$B$12*(1+Inputs!$B$13/100))-(Inputs!$B$12*(1+Inputs!$B$13/100)))+0.25*(Inputs!$B$14-Inputs!$B$14))*(1+Inputs!$B$7/100))*(F2996/100)</f>
        <v/>
      </c>
      <c r="K2996">
        <f>J2996*(1+((Inputs!$B$12*(1+Inputs!$B$13/100))*0.01+Inputs!$B$14*0.0025)/100)*(1+Inputs!$B$15/100)*(1+Inputs!$B$16/100)*(5000/(6000+Inputs!$B$42*(1-(100*(1-(1-(Inputs!$B$19+0)/100)*(1-CHOOSE(ArtifactsInput!$N$40+1,5,6,7,8,9,10)/100)^(ArtifactsInput!$M$40-ArtifactsInput!$M$40)))/100)))*(1+(Inputs!$B$24+((C3009=TRUE)*(F3009-Calc!F26))+B3020)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EIGHT_LEGS_EASTON",Inputs!$B$17+((C3006=TRUE)*(F3006-Calc!F23))+((C3010=TRUE)*(F3010-Calc!F27))+((IF(AND(Inputs!$B$38&lt;&gt;"pvp",Inputs!$B$43=0),1,IF(IF(Inputs!$B$38="pvp",15,Inputs!$B$43)-(B3021)&lt;=0,1,MAX(0,IF(Inputs!$B$38="pvp",15,Inputs!$B$43)-MAX(5,B3021))/(IF(Inputs!$B$38="pvp",15,Inputs!$B$43)-(B3021))))*(IF(AND(ArtifactsInput!$M$42,((Inputs!$B$9+((C3002=TRUE)*(F3002-Calc!F19))+B3014+(ArtifactsInput!$M$24-ArtifactsInput!$M$24)*CHOOSE(ArtifactsInput!$N$24+1,10,12,14,16,18,20)+IF(ArtifactsInput!$M$10,CHOOSE(ArtifactsInput!$N$10+1,15,18,21,24,27,30)*(IF(Inputs!$B$38="pvp",MIN(15,15)/15,IF(AND(Inputs!$B$38&lt;&gt;"pvp",Inputs!$B$43&gt;0),MIN(15,Inputs!$B$43)/(Inputs!$B$43),0))),0)))&gt;=100),MIN(100,((Inputs!$B$9+((C3002=TRUE)*(F3002-Calc!F19))+B3014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3021)&lt;=0,1,MAX(0,IF(Inputs!$B$38="pvp",15,Inputs!$B$43)-MAX(5,B3021))/(IF(Inputs!$B$38="pvp",15,Inputs!$B$43)-(B3021))))*IF(AND(ArtifactsInput!$M$42,((Inputs!$B$9+((C3002=TRUE)*(F3002-Calc!F19))+B3014+(ArtifactsInput!$M$24-ArtifactsInput!$M$24)*CHOOSE(ArtifactsInput!$N$24+1,10,12,14,16,18,20)+IF(ArtifactsInput!$M$10,CHOOSE(ArtifactsInput!$N$10+1,15,18,21,24,27,30)*(IF(Inputs!$B$38="pvp",MIN(15,15)/15,IF(AND(Inputs!$B$38&lt;&gt;"pvp",Inputs!$B$43&gt;0),MIN(15,Inputs!$B$43)/(Inputs!$B$43),0))),0)))&gt;=100),CHOOSE(ArtifactsInput!$N$42+1,40,48,56,64,72,80),0))))/100)*((1+(((C3000=TRUE)*F3000*5/7)+((C3007=TRUE)*(F3007-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2996)</f>
        <v/>
      </c>
      <c r="L2996">
        <f>K2996*(MIN(Inputs!$B$22+((C3005=TRUE)*(F3005-Calc!F22)),(Inputs!$B$23+0+(IF(ArtifactsInput!$M$15,CHOOSE(ArtifactsInput!$N$15+1,25,30,35,40,45,50)/100*(Inputs!$B$11-Inputs!$B$11),0))))/100+(Inputs!$B$23+0+(IF(ArtifactsInput!$M$15,CHOOSE(ArtifactsInput!$N$15+1,25,30,35,40,45,50)/100*(Inputs!$B$11-Inputs!$B$11),0)))/100)/2</f>
        <v/>
      </c>
      <c r="M2996">
        <f>L2996*(1+(Inputs!$B$10+((C3008=TRUE)*(F3008-Calc!F25))+B3019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96">
        <f>L2996*(1-MIN((Inputs!$B$9+((C3002=TRUE)*(F3002-Calc!F19))+B3014+(ArtifactsInput!$M$24-ArtifactsInput!$M$24)*CHOOSE(ArtifactsInput!$N$24+1,10,12,14,16,18,20)+(IF(AND(Inputs!$B$38&lt;&gt;"pvp",Inputs!$B$43=0),1,IF(IF(Inputs!$B$38="pvp",15,Inputs!$B$43)-(B3021)&lt;=0,1,MAX(0,IF(Inputs!$B$38="pvp",15,Inputs!$B$43)-MAX(5,B3021))/(IF(Inputs!$B$38="pvp",15,Inputs!$B$43)-(B3021))))*IF(AND(ArtifactsInput!$M$42,((Inputs!$B$9+((C3002=TRUE)*(F3002-Calc!F19))+B3014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2996*(MIN((Inputs!$B$9+((C3002=TRUE)*(F3002-Calc!F19))+B3014+(ArtifactsInput!$M$24-ArtifactsInput!$M$24)*CHOOSE(ArtifactsInput!$N$24+1,10,12,14,16,18,20)+(IF(AND(Inputs!$B$38&lt;&gt;"pvp",Inputs!$B$43=0),1,IF(IF(Inputs!$B$38="pvp",15,Inputs!$B$43)-(B3021)&lt;=0,1,MAX(0,IF(Inputs!$B$38="pvp",15,Inputs!$B$43)-MAX(5,B3021))/(IF(Inputs!$B$38="pvp",15,Inputs!$B$43)-(B3021))))*IF(AND(ArtifactsInput!$M$42,((Inputs!$B$9+((C3002=TRUE)*(F3002-Calc!F19))+B3014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96">
        <f>(1-Summary!$B$11)*T2996+Summary!$B$11*V2996</f>
        <v/>
      </c>
      <c r="P2996">
        <f>IF(B3024=0,0,O2996/B3024)</f>
        <v/>
      </c>
      <c r="Q2996">
        <f>IFERROR(1/(IF(Inputs!$B$38="pvp",15,MAX(0.1,Skills!D13-IF(TRUE=TRUE,1.0,0)))*(1-IF(AND(ArtifactsInput!$M$27,Inputs!$B$4="Chapter Hunt"),CHOOSE(ArtifactsInput!$N$27+1,20,24,28,32,36,40),0)/100)),0)</f>
        <v/>
      </c>
      <c r="R2996">
        <f>IF(AND(Inputs!$B$38&lt;&gt;"pvp",Inputs!$B$43&gt;0),IF(MAX(0,Inputs!$B$43-B3021)&lt;=0,0,(INT(MAX(0,Inputs!$B$43-B3021)/(IF(Inputs!$B$38="pvp",15,MAX(0.1,Skills!D13-IF(TRUE=TRUE,1.0,0)))*(1-IF(AND(ArtifactsInput!$M$27,Inputs!$B$4="Chapter Hunt"),CHOOSE(ArtifactsInput!$N$27+1,20,24,28,32,36,40),0)/100)))+1)),0)</f>
        <v/>
      </c>
      <c r="S2996">
        <f>IFERROR(O2996/N2996,0)</f>
        <v/>
      </c>
      <c r="T2996">
        <f>IF(C2996,(H2996*N2996*IF(AND(Inputs!$B$38&lt;&gt;"pvp",Inputs!$B$43&gt;0),((Skills!G13*((R2996-1)*IF(Skills!H13&gt;0,INT(Skills!I13/Skills!H13+0.000000001),1)+IF(Skills!H13&gt;0,INT(MIN(Skills!I13,MAX(0,MAX(0,Inputs!$B$43-B3021)-((R2996-1)*(IF(Inputs!$B$38="pvp",15,MAX(0.1,Skills!D13-IF(TRUE=TRUE,1.0,0)))*(1-IF(AND(ArtifactsInput!$M$27,Inputs!$B$4="Chapter Hunt"),CHOOSE(ArtifactsInput!$N$27+1,20,24,28,32,36,40),0)/100)))))/Skills!H13+0.000000001),1)))/Inputs!$B$43),G2996*Q2996))*IF(Inputs!$B$38="pvp",1,1+(Inputs!$B$20+0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Hunt"),CHOOSE(ArtifactsInput!$N$35+1,15,18,21,24,27,30)*(1-EXP(-(0.2*B3016)*5)),0)+IF(AND(ArtifactsInput!$M$22,Inputs!$B$4&lt;&gt;"Chapter Hunt"),CHOOSE(ArtifactsInput!$N$22+1,10,12,14,16,18,20)*((0*(((0.15*B3016*5))^0/1)+1*(((0.15*B3016*5))^1/1)+2*(((0.15*B3016*5))^2/2)+3*(((0.15*B3016*5))^3/6)+4*(((0.15*B3016*5))^4/24)+5*(((0.15*B3016*5))^5/120))/((((0.15*B3016*5))^0/1)+(((0.15*B3016*5))^1/1)+(((0.15*B3016*5))^2/2)+(((0.15*B3016*5))^3/6)+(((0.15*B3016*5))^4/24)+(((0.15*B3016*5))^5/120))),0))+IF(Inputs!$B$3&gt;=54,9*(C2986=TRUE)*MIN(1,8*(1+Inputs!$B$34/100)*Q2986)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2996*(1-MIN(100,(Inputs!$B$9+((C3002=TRUE)*(F3002-Calc!F19))+B3014+(ArtifactsInput!$M$24-ArtifactsInput!$M$24)*CHOOSE(ArtifactsInput!$N$24+1,10,12,14,16,18,20)+(IF(AND(Inputs!$B$38&lt;&gt;"pvp",Inputs!$B$43=0),1,IF(IF(Inputs!$B$38="pvp",15,Inputs!$B$43)-(B3021)&lt;=0,1,MAX(0,IF(Inputs!$B$38="pvp",15,Inputs!$B$43)-MAX(5,B3021))/(IF(Inputs!$B$38="pvp",15,Inputs!$B$43)-(B3021))))*IF(AND(ArtifactsInput!$M$42,((Inputs!$B$9+((C3002=TRUE)*(F3002-Calc!F19))+B3014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2996*(MIN(100,(Inputs!$B$9+((C3002=TRUE)*(F3002-Calc!F19))+B3014+(ArtifactsInput!$M$24-ArtifactsInput!$M$24)*CHOOSE(ArtifactsInput!$N$24+1,10,12,14,16,18,20)+(IF(AND(Inputs!$B$38&lt;&gt;"pvp",Inputs!$B$43=0),1,IF(IF(Inputs!$B$38="pvp",15,Inputs!$B$43)-(B3021)&lt;=0,1,MAX(0,IF(Inputs!$B$38="pvp",15,Inputs!$B$43)-MAX(5,B3021))/(IF(Inputs!$B$38="pvp",15,Inputs!$B$43)-(B3021))))*IF(AND(ArtifactsInput!$M$42,((Inputs!$B$9+((C3002=TRUE)*(F3002-Calc!F19))+B3014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2996*(1-MIN(100,(Inputs!$B$9+((C3002=TRUE)*(F3002-Calc!F19))+B3014+(ArtifactsInput!$M$24-ArtifactsInput!$M$24)*CHOOSE(ArtifactsInput!$N$24+1,10,12,14,16,18,20)+(IF(AND(Inputs!$B$38&lt;&gt;"pvp",Inputs!$B$43=0),1,IF(IF(Inputs!$B$38="pvp",15,Inputs!$B$43)-(B3021)&lt;=0,1,MAX(0,IF(Inputs!$B$38="pvp",15,Inputs!$B$43)-MAX(5,B3021))/(IF(Inputs!$B$38="pvp",15,Inputs!$B$43)-(B3021))))*IF(AND(ArtifactsInput!$M$42,((Inputs!$B$9+((C3002=TRUE)*(F3002-Calc!F19))+B3014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2996*(MIN(100,(Inputs!$B$9+((C3002=TRUE)*(F3002-Calc!F19))+B3014+(ArtifactsInput!$M$24-ArtifactsInput!$M$24)*CHOOSE(ArtifactsInput!$N$24+1,10,12,14,16,18,20)+(IF(AND(Inputs!$B$38&lt;&gt;"pvp",Inputs!$B$43=0),1,IF(IF(Inputs!$B$38="pvp",15,Inputs!$B$43)-(B3021)&lt;=0,1,MAX(0,IF(Inputs!$B$38="pvp",15,Inputs!$B$43)-MAX(5,B3021))/(IF(Inputs!$B$38="pvp",15,Inputs!$B$43)-(B3021))))*IF(AND(ArtifactsInput!$M$42,((Inputs!$B$9+((C3002=TRUE)*(F3002-Calc!F19))+B3014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996">
        <f>IF(C2996,(H2996*N2996*IF(AND(Inputs!$B$38&lt;&gt;"pvp",Inputs!$B$43&gt;0),((Skills!G13*((R2996-1)*IF(Skills!H13&gt;0,INT(Skills!I13/Skills!H13+0.000000001),1)+IF(Skills!H13&gt;0,INT(MIN(Skills!I13,MAX(0,MAX(0,Inputs!$B$43-B3021)-((R2996-1)*(IF(Inputs!$B$38="pvp",15,MAX(0.1,Skills!D13-IF(TRUE=TRUE,1.0,0)))*(1-IF(AND(ArtifactsInput!$M$27,Inputs!$B$4="Chapter Hunt"),CHOOSE(ArtifactsInput!$N$27+1,20,24,28,32,36,40),0)/100)))))/Skills!H13+0.000000001),1)))/Inputs!$B$43),G2996*Q2996))*IF(Inputs!$B$38="pvp",1,(1+(Inputs!$B$21+Skills!Q13+(IF(ArtifactsInput!$M$33,CHOOSE(ArtifactsInput!$N$33+1,30,36,42,48,54,60),0))+(IF(AND(ArtifactsInput!$M$35,Inputs!$B$4&lt;&gt;"Chapter Hunt"),CHOOSE(ArtifactsInput!$N$35+1,15,18,21,24,27,30)*(1-EXP(-(0.2*B3016)*5)),0)+IF(AND(ArtifactsInput!$M$22,Inputs!$B$4&lt;&gt;"Chapter Hunt"),CHOOSE(ArtifactsInput!$N$22+1,10,12,14,16,18,20)*((0*(((0.15*B3016*5))^0/1)+1*(((0.15*B3016*5))^1/1)+2*(((0.15*B3016*5))^2/2)+3*(((0.15*B3016*5))^3/6)+4*(((0.15*B3016*5))^4/24)+5*(((0.15*B3016*5))^5/120))/((((0.15*B3016*5))^0/1)+(((0.15*B3016*5))^1/1)+(((0.15*B3016*5))^2/2)+(((0.15*B3016*5))^3/6)+(((0.15*B3016*5))^4/24)+(((0.15*B3016*5))^5/120))),0))+IF(Inputs!$B$3&gt;=54,9*(C2986=TRUE)*MIN(1,8*(1+Inputs!$B$34/100)*Q2986),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97">
      <c r="A2997">
        <f>Skills!A14</f>
        <v/>
      </c>
      <c r="B2997">
        <f>Skills!B14</f>
        <v/>
      </c>
      <c r="C2997">
        <f>Inputs!$B$3&gt;=120</f>
        <v/>
      </c>
      <c r="D2997">
        <f>IF(Skills!C14=1,60+Inputs!$B$25+Inputs!$B$29,IF(Skills!C14=2,90+Inputs!$B$26+Inputs!$B$29,IF(Skills!C14=3,120+Inputs!$B$27+Inputs!$B$29,MAX(0,(Inputs!$B$3-100)*3)+Inputs!$B$28+Inputs!$B$29)))</f>
        <v/>
      </c>
      <c r="E2997">
        <f>INDEX(FactorTable!$B$2:$Y$301, MATCH(ROUND(MIN(300,MAX(1,D2997)),0), FactorTable!$A$2:$A$301,0), Skills!M14+1)</f>
        <v/>
      </c>
      <c r="F2997">
        <f>IF(Skills!N14=TRUE,(Skills!L14/10)*(E2997/1000),Skills!L14/10)+Skills!O14</f>
        <v/>
      </c>
      <c r="G2997">
        <f>Skills!G14*IF(Skills!H14&gt;0,INT(IF(Inputs!$B$38="pvp",MIN(Skills!I14,15),Skills!I14)/Skills!H14+0.000000001),1)</f>
        <v/>
      </c>
      <c r="H2997">
        <f>1-(1-Skills!J14/100)^Skills!K14</f>
        <v/>
      </c>
      <c r="I2997" t="inlineStr">
        <is>
          <t>1</t>
        </is>
      </c>
      <c r="J2997">
        <f>((Inputs!$B$6*(1+Inputs!$B$7/100))+(((Inputs!$B$12*(1+Inputs!$B$13/100))-(Inputs!$B$12*(1+Inputs!$B$13/100)))+0.25*(Inputs!$B$14-Inputs!$B$14))*(1+Inputs!$B$7/100))*(F2997/100)</f>
        <v/>
      </c>
      <c r="K2997">
        <f>J2997*(1+((Inputs!$B$12*(1+Inputs!$B$13/100))*0.01+Inputs!$B$14*0.0025)/100)*(1+Inputs!$B$15/100)*(1+Inputs!$B$16/100)*(5000/(6000+Inputs!$B$42*(1-(100*(1-(1-(Inputs!$B$19+0)/100)*(1-CHOOSE(ArtifactsInput!$N$40+1,5,6,7,8,9,10)/100)^(ArtifactsInput!$M$40-ArtifactsInput!$M$40)))/100)))*(1+(Inputs!$B$24+((C3009=TRUE)*(F3009-Calc!F26))+B3020)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EIGHT_LEGS_EASTON",Inputs!$B$17+((C3006=TRUE)*(F3006-Calc!F23))+((C3010=TRUE)*(F3010-Calc!F27))+((IF(AND(Inputs!$B$38&lt;&gt;"pvp",Inputs!$B$43=0),1,IF(IF(Inputs!$B$38="pvp",15,Inputs!$B$43)-(B3021)&lt;=0,1,MAX(0,IF(Inputs!$B$38="pvp",15,Inputs!$B$43)-MAX(5,B3021))/(IF(Inputs!$B$38="pvp",15,Inputs!$B$43)-(B3021))))*(IF(AND(ArtifactsInput!$M$42,((Inputs!$B$9+((C3002=TRUE)*(F3002-Calc!F19))+B3014+(ArtifactsInput!$M$24-ArtifactsInput!$M$24)*CHOOSE(ArtifactsInput!$N$24+1,10,12,14,16,18,20)+IF(ArtifactsInput!$M$10,CHOOSE(ArtifactsInput!$N$10+1,15,18,21,24,27,30)*(IF(Inputs!$B$38="pvp",MIN(15,15)/15,IF(AND(Inputs!$B$38&lt;&gt;"pvp",Inputs!$B$43&gt;0),MIN(15,Inputs!$B$43)/(Inputs!$B$43),0))),0)))&gt;=100),MIN(100,((Inputs!$B$9+((C3002=TRUE)*(F3002-Calc!F19))+B3014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3021)&lt;=0,1,MAX(0,IF(Inputs!$B$38="pvp",15,Inputs!$B$43)-MAX(5,B3021))/(IF(Inputs!$B$38="pvp",15,Inputs!$B$43)-(B3021))))*IF(AND(ArtifactsInput!$M$42,((Inputs!$B$9+((C3002=TRUE)*(F3002-Calc!F19))+B3014+(ArtifactsInput!$M$24-ArtifactsInput!$M$24)*CHOOSE(ArtifactsInput!$N$24+1,10,12,14,16,18,20)+IF(ArtifactsInput!$M$10,CHOOSE(ArtifactsInput!$N$10+1,15,18,21,24,27,30)*(IF(Inputs!$B$38="pvp",MIN(15,15)/15,IF(AND(Inputs!$B$38&lt;&gt;"pvp",Inputs!$B$43&gt;0),MIN(15,Inputs!$B$43)/(Inputs!$B$43),0))),0)))&gt;=100),CHOOSE(ArtifactsInput!$N$42+1,40,48,56,64,72,80),0))))/100)*((1+(((C3000=TRUE)*F3000*5/7)+((C3007=TRUE)*(F3007-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2997)</f>
        <v/>
      </c>
      <c r="L2997">
        <f>K2997*(MIN(Inputs!$B$22+((C3005=TRUE)*(F3005-Calc!F22)),(Inputs!$B$23+0+(IF(ArtifactsInput!$M$15,CHOOSE(ArtifactsInput!$N$15+1,25,30,35,40,45,50)/100*(Inputs!$B$11-Inputs!$B$11),0))))/100+(Inputs!$B$23+0+(IF(ArtifactsInput!$M$15,CHOOSE(ArtifactsInput!$N$15+1,25,30,35,40,45,50)/100*(Inputs!$B$11-Inputs!$B$11),0)))/100)/2</f>
        <v/>
      </c>
      <c r="M2997">
        <f>L2997*(1+(Inputs!$B$10+((C3008=TRUE)*(F3008-Calc!F25))+B3019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97">
        <f>L2997*(1-MIN((Inputs!$B$9+((C3002=TRUE)*(F3002-Calc!F19))+B3014+(ArtifactsInput!$M$24-ArtifactsInput!$M$24)*CHOOSE(ArtifactsInput!$N$24+1,10,12,14,16,18,20)+(IF(AND(Inputs!$B$38&lt;&gt;"pvp",Inputs!$B$43=0),1,IF(IF(Inputs!$B$38="pvp",15,Inputs!$B$43)-(B3021)&lt;=0,1,MAX(0,IF(Inputs!$B$38="pvp",15,Inputs!$B$43)-MAX(5,B3021))/(IF(Inputs!$B$38="pvp",15,Inputs!$B$43)-(B3021))))*IF(AND(ArtifactsInput!$M$42,((Inputs!$B$9+((C3002=TRUE)*(F3002-Calc!F19))+B3014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2997*(MIN((Inputs!$B$9+((C3002=TRUE)*(F3002-Calc!F19))+B3014+(ArtifactsInput!$M$24-ArtifactsInput!$M$24)*CHOOSE(ArtifactsInput!$N$24+1,10,12,14,16,18,20)+(IF(AND(Inputs!$B$38&lt;&gt;"pvp",Inputs!$B$43=0),1,IF(IF(Inputs!$B$38="pvp",15,Inputs!$B$43)-(B3021)&lt;=0,1,MAX(0,IF(Inputs!$B$38="pvp",15,Inputs!$B$43)-MAX(5,B3021))/(IF(Inputs!$B$38="pvp",15,Inputs!$B$43)-(B3021))))*IF(AND(ArtifactsInput!$M$42,((Inputs!$B$9+((C3002=TRUE)*(F3002-Calc!F19))+B3014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97">
        <f>(1-Summary!$B$11)*T2997+Summary!$B$11*V2997</f>
        <v/>
      </c>
      <c r="P2997">
        <f>IF(B3024=0,0,O2997/B3024)</f>
        <v/>
      </c>
      <c r="Q2997" t="n">
        <v>0</v>
      </c>
      <c r="R2997" t="n">
        <v>0</v>
      </c>
      <c r="S2997">
        <f>IFERROR(O2997/N2997,0)</f>
        <v/>
      </c>
      <c r="T2997">
        <f>IF(C2997,((H2997*(B3018+IF(AND(Inputs!$B$38&lt;&gt;"pvp",Inputs!$B$43&gt;0),((Skills!G8*((R2991-1)*IF(Skills!H8&gt;0,INT(Skills!I8/Skills!H8+0.000000001),1)+IF(Skills!H8&gt;0,INT(MIN(Skills!I8,MAX(0,MAX(0,Inputs!$B$43-B3021)-((R2991-1)*((IF(Inputs!$B$38="pvp",15,MAX(0.1,Skills!D8-IF(TRUE=TRUE,1.0,0)))*(1-IF(AND(ArtifactsInput!$M$27,Inputs!$B$4="Chapter Hunt"),CHOOSE(ArtifactsInput!$N$27+1,20,24,28,32,36,40),0)/100))/B3025))))/Skills!H8+0.000000001),1)))/Inputs!$B$43),G2991*Q2991)+IF(AND(Inputs!$B$38&lt;&gt;"pvp",Inputs!$B$43&gt;0),((Skills!G11*((R2994-1)*IF(Skills!H11&gt;0,INT(Skills!I11/Skills!H11+0.000000001),1)+IF(Skills!H11&gt;0,INT(MIN(Skills!I11,MAX(0,MAX(0,Inputs!$B$43-B3021)-((R2994-1)*((IF(Inputs!$B$38="pvp",15,MAX(0.1,Skills!D11-IF(TRUE=TRUE,1.0,0)))*(1-IF(AND(ArtifactsInput!$M$27,Inputs!$B$4="Chapter Hunt"),CHOOSE(ArtifactsInput!$N$27+1,20,24,28,32,36,40),0)/100))/B3025))))/Skills!H11+0.000000001),1)))/Inputs!$B$43),G2994*Q2994)))/(1+Skills!H14*H2997*(B3018+IF(AND(Inputs!$B$38&lt;&gt;"pvp",Inputs!$B$43&gt;0),((Skills!G8*((R2991-1)*IF(Skills!H8&gt;0,INT(Skills!I8/Skills!H8+0.000000001),1)+IF(Skills!H8&gt;0,INT(MIN(Skills!I8,MAX(0,MAX(0,Inputs!$B$43-B3021)-((R2991-1)*((IF(Inputs!$B$38="pvp",15,MAX(0.1,Skills!D8-IF(TRUE=TRUE,1.0,0)))*(1-IF(AND(ArtifactsInput!$M$27,Inputs!$B$4="Chapter Hunt"),CHOOSE(ArtifactsInput!$N$27+1,20,24,28,32,36,40),0)/100))/B3025))))/Skills!H8+0.000000001),1)))/Inputs!$B$43),G2991*Q2991)+IF(AND(Inputs!$B$38&lt;&gt;"pvp",Inputs!$B$43&gt;0),((Skills!G11*((R2994-1)*IF(Skills!H11&gt;0,INT(Skills!I11/Skills!H11+0.000000001),1)+IF(Skills!H11&gt;0,INT(MIN(Skills!I11,MAX(0,MAX(0,Inputs!$B$43-B3021)-((R2994-1)*((IF(Inputs!$B$38="pvp",15,MAX(0.1,Skills!D11-IF(TRUE=TRUE,1.0,0)))*(1-IF(AND(ArtifactsInput!$M$27,Inputs!$B$4="Chapter Hunt"),CHOOSE(ArtifactsInput!$N$27+1,20,24,28,32,36,40),0)/100))/B3025))))/Skills!H11+0.000000001),1)))/Inputs!$B$43),G2994*Q2994)))*N2997)*IF(Inputs!$B$38="pvp",1,1+(Inputs!$B$20+0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Hunt"),CHOOSE(ArtifactsInput!$N$35+1,15,18,21,24,27,30)*(1-EXP(-(0.2*B3016)*5)),0)+IF(AND(ArtifactsInput!$M$22,Inputs!$B$4&lt;&gt;"Chapter Hunt"),CHOOSE(ArtifactsInput!$N$22+1,10,12,14,16,18,20)*((0*(((0.15*B3016*5))^0/1)+1*(((0.15*B3016*5))^1/1)+2*(((0.15*B3016*5))^2/2)+3*(((0.15*B3016*5))^3/6)+4*(((0.15*B3016*5))^4/24)+5*(((0.15*B3016*5))^5/120))/((((0.15*B3016*5))^0/1)+(((0.15*B3016*5))^1/1)+(((0.15*B3016*5))^2/2)+(((0.15*B3016*5))^3/6)+(((0.15*B3016*5))^4/24)+(((0.15*B3016*5))^5/120))),0))+IF(Inputs!$B$3&gt;=54,9*(C2986=TRUE)*MIN(1,8*(1+Inputs!$B$34/100)*Q2986)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2997*(1-MIN(100,(Inputs!$B$9+((C3002=TRUE)*(F3002-Calc!F19))+B3014+(ArtifactsInput!$M$24-ArtifactsInput!$M$24)*CHOOSE(ArtifactsInput!$N$24+1,10,12,14,16,18,20)+(IF(AND(Inputs!$B$38&lt;&gt;"pvp",Inputs!$B$43=0),1,IF(IF(Inputs!$B$38="pvp",15,Inputs!$B$43)-(B3021)&lt;=0,1,MAX(0,IF(Inputs!$B$38="pvp",15,Inputs!$B$43)-MAX(5,B3021))/(IF(Inputs!$B$38="pvp",15,Inputs!$B$43)-(B3021))))*IF(AND(ArtifactsInput!$M$42,((Inputs!$B$9+((C3002=TRUE)*(F3002-Calc!F19))+B3014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2997*(MIN(100,(Inputs!$B$9+((C3002=TRUE)*(F3002-Calc!F19))+B3014+(ArtifactsInput!$M$24-ArtifactsInput!$M$24)*CHOOSE(ArtifactsInput!$N$24+1,10,12,14,16,18,20)+(IF(AND(Inputs!$B$38&lt;&gt;"pvp",Inputs!$B$43=0),1,IF(IF(Inputs!$B$38="pvp",15,Inputs!$B$43)-(B3021)&lt;=0,1,MAX(0,IF(Inputs!$B$38="pvp",15,Inputs!$B$43)-MAX(5,B3021))/(IF(Inputs!$B$38="pvp",15,Inputs!$B$43)-(B3021))))*IF(AND(ArtifactsInput!$M$42,((Inputs!$B$9+((C3002=TRUE)*(F3002-Calc!F19))+B3014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2997*(1-MIN(100,(Inputs!$B$9+((C3002=TRUE)*(F3002-Calc!F19))+B3014+(ArtifactsInput!$M$24-ArtifactsInput!$M$24)*CHOOSE(ArtifactsInput!$N$24+1,10,12,14,16,18,20)+(IF(AND(Inputs!$B$38&lt;&gt;"pvp",Inputs!$B$43=0),1,IF(IF(Inputs!$B$38="pvp",15,Inputs!$B$43)-(B3021)&lt;=0,1,MAX(0,IF(Inputs!$B$38="pvp",15,Inputs!$B$43)-MAX(5,B3021))/(IF(Inputs!$B$38="pvp",15,Inputs!$B$43)-(B3021))))*IF(AND(ArtifactsInput!$M$42,((Inputs!$B$9+((C3002=TRUE)*(F3002-Calc!F19))+B3014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2997*(MIN(100,(Inputs!$B$9+((C3002=TRUE)*(F3002-Calc!F19))+B3014+(ArtifactsInput!$M$24-ArtifactsInput!$M$24)*CHOOSE(ArtifactsInput!$N$24+1,10,12,14,16,18,20)+(IF(AND(Inputs!$B$38&lt;&gt;"pvp",Inputs!$B$43=0),1,IF(IF(Inputs!$B$38="pvp",15,Inputs!$B$43)-(B3021)&lt;=0,1,MAX(0,IF(Inputs!$B$38="pvp",15,Inputs!$B$43)-MAX(5,B3021))/(IF(Inputs!$B$38="pvp",15,Inputs!$B$43)-(B3021))))*IF(AND(ArtifactsInput!$M$42,((Inputs!$B$9+((C3002=TRUE)*(F3002-Calc!F19))+B3014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997">
        <f>IF(C2997,((H2997*(B3018+IF(AND(Inputs!$B$38&lt;&gt;"pvp",Inputs!$B$43&gt;0),((Skills!G8*((R2991-1)*IF(Skills!H8&gt;0,INT(Skills!I8/Skills!H8+0.000000001),1)+IF(Skills!H8&gt;0,INT(MIN(Skills!I8,MAX(0,MAX(0,Inputs!$B$43-B3021)-((R2991-1)*((IF(Inputs!$B$38="pvp",15,MAX(0.1,Skills!D8-IF(TRUE=TRUE,1.0,0)))*(1-IF(AND(ArtifactsInput!$M$27,Inputs!$B$4="Chapter Hunt"),CHOOSE(ArtifactsInput!$N$27+1,20,24,28,32,36,40),0)/100))/B3025))))/Skills!H8+0.000000001),1)))/Inputs!$B$43),G2991*Q2991)+IF(AND(Inputs!$B$38&lt;&gt;"pvp",Inputs!$B$43&gt;0),((Skills!G11*((R2994-1)*IF(Skills!H11&gt;0,INT(Skills!I11/Skills!H11+0.000000001),1)+IF(Skills!H11&gt;0,INT(MIN(Skills!I11,MAX(0,MAX(0,Inputs!$B$43-B3021)-((R2994-1)*((IF(Inputs!$B$38="pvp",15,MAX(0.1,Skills!D11-IF(TRUE=TRUE,1.0,0)))*(1-IF(AND(ArtifactsInput!$M$27,Inputs!$B$4="Chapter Hunt"),CHOOSE(ArtifactsInput!$N$27+1,20,24,28,32,36,40),0)/100))/B3025))))/Skills!H11+0.000000001),1)))/Inputs!$B$43),G2994*Q2994)))/(1+Skills!H14*H2997*(B3018+IF(AND(Inputs!$B$38&lt;&gt;"pvp",Inputs!$B$43&gt;0),((Skills!G8*((R2991-1)*IF(Skills!H8&gt;0,INT(Skills!I8/Skills!H8+0.000000001),1)+IF(Skills!H8&gt;0,INT(MIN(Skills!I8,MAX(0,MAX(0,Inputs!$B$43-B3021)-((R2991-1)*((IF(Inputs!$B$38="pvp",15,MAX(0.1,Skills!D8-IF(TRUE=TRUE,1.0,0)))*(1-IF(AND(ArtifactsInput!$M$27,Inputs!$B$4="Chapter Hunt"),CHOOSE(ArtifactsInput!$N$27+1,20,24,28,32,36,40),0)/100))/B3025))))/Skills!H8+0.000000001),1)))/Inputs!$B$43),G2991*Q2991)+IF(AND(Inputs!$B$38&lt;&gt;"pvp",Inputs!$B$43&gt;0),((Skills!G11*((R2994-1)*IF(Skills!H11&gt;0,INT(Skills!I11/Skills!H11+0.000000001),1)+IF(Skills!H11&gt;0,INT(MIN(Skills!I11,MAX(0,MAX(0,Inputs!$B$43-B3021)-((R2994-1)*((IF(Inputs!$B$38="pvp",15,MAX(0.1,Skills!D11-IF(TRUE=TRUE,1.0,0)))*(1-IF(AND(ArtifactsInput!$M$27,Inputs!$B$4="Chapter Hunt"),CHOOSE(ArtifactsInput!$N$27+1,20,24,28,32,36,40),0)/100))/B3025))))/Skills!H11+0.000000001),1)))/Inputs!$B$43),G2994*Q2994)))*N2997)*IF(Inputs!$B$38="pvp",1,(1+(Inputs!$B$21+Skills!Q14+(IF(ArtifactsInput!$M$33,CHOOSE(ArtifactsInput!$N$33+1,30,36,42,48,54,60),0))+(IF(AND(ArtifactsInput!$M$35,Inputs!$B$4&lt;&gt;"Chapter Hunt"),CHOOSE(ArtifactsInput!$N$35+1,15,18,21,24,27,30)*(1-EXP(-(0.2*B3016)*5)),0)+IF(AND(ArtifactsInput!$M$22,Inputs!$B$4&lt;&gt;"Chapter Hunt"),CHOOSE(ArtifactsInput!$N$22+1,10,12,14,16,18,20)*((0*(((0.15*B3016*5))^0/1)+1*(((0.15*B3016*5))^1/1)+2*(((0.15*B3016*5))^2/2)+3*(((0.15*B3016*5))^3/6)+4*(((0.15*B3016*5))^4/24)+5*(((0.15*B3016*5))^5/120))/((((0.15*B3016*5))^0/1)+(((0.15*B3016*5))^1/1)+(((0.15*B3016*5))^2/2)+(((0.15*B3016*5))^3/6)+(((0.15*B3016*5))^4/24)+(((0.15*B3016*5))^5/120))),0))+IF(Inputs!$B$3&gt;=54,9*(C2986=TRUE)*MIN(1,8*(1+Inputs!$B$34/100)*Q2986),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98">
      <c r="A2998">
        <f>Skills!A15</f>
        <v/>
      </c>
      <c r="B2998">
        <f>Skills!B15</f>
        <v/>
      </c>
      <c r="C2998">
        <f>Inputs!$B$3&gt;=100</f>
        <v/>
      </c>
      <c r="D2998">
        <f>IF(Skills!C15=1,60+Inputs!$B$25+Inputs!$B$29,IF(Skills!C15=2,90+Inputs!$B$26+Inputs!$B$29,IF(Skills!C15=3,120+Inputs!$B$27+Inputs!$B$29,MAX(0,(Inputs!$B$3-100)*3)+Inputs!$B$28+Inputs!$B$29)))</f>
        <v/>
      </c>
      <c r="E2998">
        <f>INDEX(FactorTable!$B$2:$Y$301, MATCH(ROUND(MIN(300,MAX(1,D2998)),0), FactorTable!$A$2:$A$301,0), Skills!M15+1)</f>
        <v/>
      </c>
      <c r="F2998">
        <f>IF(Skills!N15=TRUE,(Skills!L15/10)*(E2998/1000),Skills!L15/10)+Skills!O15</f>
        <v/>
      </c>
      <c r="G2998" t="inlineStr"/>
      <c r="H2998" t="inlineStr"/>
      <c r="I2998" t="inlineStr">
        <is>
          <t>1</t>
        </is>
      </c>
      <c r="J2998" t="inlineStr"/>
      <c r="K2998" t="inlineStr"/>
      <c r="L2998" t="inlineStr"/>
      <c r="M2998" t="inlineStr"/>
      <c r="N2998" t="inlineStr"/>
      <c r="O2998" t="inlineStr"/>
      <c r="P2998" t="inlineStr"/>
      <c r="Q2998" t="inlineStr"/>
      <c r="R2998" t="inlineStr"/>
      <c r="S2998" t="inlineStr"/>
    </row>
    <row r="2999">
      <c r="A2999">
        <f>Skills!A16</f>
        <v/>
      </c>
      <c r="B2999">
        <f>Skills!B16</f>
        <v/>
      </c>
      <c r="C2999">
        <f>Inputs!$B$3&gt;=107</f>
        <v/>
      </c>
      <c r="D2999">
        <f>IF(Skills!C16=1,60+Inputs!$B$25+Inputs!$B$29,IF(Skills!C16=2,90+Inputs!$B$26+Inputs!$B$29,IF(Skills!C16=3,120+Inputs!$B$27+Inputs!$B$29,MAX(0,(Inputs!$B$3-100)*3)+Inputs!$B$28+Inputs!$B$29)))</f>
        <v/>
      </c>
      <c r="E2999">
        <f>INDEX(FactorTable!$B$2:$Y$301, MATCH(ROUND(MIN(300,MAX(1,D2999)),0), FactorTable!$A$2:$A$301,0), Skills!M16+1)</f>
        <v/>
      </c>
      <c r="F2999">
        <f>IF(Skills!N16=TRUE,(Skills!L16/10)*(E2999/1000),Skills!L16/10)+Skills!O16</f>
        <v/>
      </c>
      <c r="G2999" t="inlineStr"/>
      <c r="H2999" t="inlineStr"/>
      <c r="I2999" t="inlineStr">
        <is>
          <t>1</t>
        </is>
      </c>
      <c r="J2999" t="inlineStr"/>
      <c r="K2999" t="inlineStr"/>
      <c r="L2999" t="inlineStr"/>
      <c r="M2999" t="inlineStr"/>
      <c r="N2999" t="inlineStr"/>
      <c r="O2999" t="inlineStr"/>
      <c r="P2999" t="inlineStr"/>
      <c r="Q2999" t="inlineStr"/>
      <c r="R2999" t="inlineStr"/>
      <c r="S2999" t="inlineStr"/>
    </row>
    <row r="3000">
      <c r="A3000">
        <f>Skills!A17</f>
        <v/>
      </c>
      <c r="B3000">
        <f>Skills!B17</f>
        <v/>
      </c>
      <c r="C3000">
        <f>Inputs!$B$3&gt;=74</f>
        <v/>
      </c>
      <c r="D3000">
        <f>IF(Skills!C17=1,60+Inputs!$B$25+Inputs!$B$29,IF(Skills!C17=2,90+Inputs!$B$26+Inputs!$B$29,IF(Skills!C17=3,120+Inputs!$B$27+Inputs!$B$29,MAX(0,(Inputs!$B$3-100)*3)+Inputs!$B$28+Inputs!$B$29)))</f>
        <v/>
      </c>
      <c r="E3000">
        <f>INDEX(FactorTable!$B$2:$Y$301, MATCH(ROUND(MIN(300,MAX(1,D3000)),0), FactorTable!$A$2:$A$301,0), Skills!M17+1)</f>
        <v/>
      </c>
      <c r="F3000">
        <f>IF(Skills!N17=TRUE,(Skills!L17/10)*(E3000/1000),Skills!L17/10)+Skills!O17</f>
        <v/>
      </c>
      <c r="G3000">
        <f>Skills!G17*IF(Skills!H17&gt;0,INT(IF(Inputs!$B$38="pvp",MIN(Skills!I17,15),Skills!I17)/Skills!H17+0.000000001),1)</f>
        <v/>
      </c>
      <c r="H3000">
        <f>1-(1-Skills!J17/100)^Skills!K17</f>
        <v/>
      </c>
      <c r="I3000" t="inlineStr">
        <is>
          <t>1</t>
        </is>
      </c>
      <c r="J3000" t="inlineStr"/>
      <c r="K3000" t="inlineStr"/>
      <c r="L3000" t="inlineStr"/>
      <c r="M3000" t="inlineStr"/>
      <c r="N3000" t="inlineStr"/>
      <c r="O3000">
        <f>(1-Summary!$B$11)*T3000+Summary!$B$11*V3000</f>
        <v/>
      </c>
      <c r="P3000">
        <f>IF(B3024=0,0,O3000/B3024)</f>
        <v/>
      </c>
      <c r="Q3000" t="n">
        <v>0</v>
      </c>
      <c r="R3000" t="n">
        <v>0</v>
      </c>
      <c r="S3000">
        <f>IFERROR(O3000/N3000,0)</f>
        <v/>
      </c>
      <c r="T3000" t="n">
        <v>0</v>
      </c>
      <c r="V3000" t="n">
        <v>0</v>
      </c>
    </row>
    <row r="3001">
      <c r="A3001">
        <f>Skills!A18</f>
        <v/>
      </c>
      <c r="B3001">
        <f>Skills!B18</f>
        <v/>
      </c>
      <c r="C3001">
        <f>Inputs!$B$3&gt;=115</f>
        <v/>
      </c>
      <c r="D3001">
        <f>IF(Skills!C18=1,60+Inputs!$B$25+Inputs!$B$29,IF(Skills!C18=2,90+Inputs!$B$26+Inputs!$B$29,IF(Skills!C18=3,120+Inputs!$B$27+Inputs!$B$29,MAX(0,(Inputs!$B$3-100)*3)+Inputs!$B$28+Inputs!$B$29)))</f>
        <v/>
      </c>
      <c r="E3001">
        <f>INDEX(FactorTable!$B$2:$Y$301, MATCH(ROUND(MIN(300,MAX(1,D3001)),0), FactorTable!$A$2:$A$301,0), Skills!M18+1)</f>
        <v/>
      </c>
      <c r="F3001">
        <f>IF(Skills!N18=TRUE,(Skills!L18/10)*(E3001/1000),Skills!L18/10)+Skills!O18</f>
        <v/>
      </c>
      <c r="G3001">
        <f>Skills!G18*IF(Skills!H18&gt;0,INT(IF(Inputs!$B$38="pvp",MIN(Skills!I18,15),Skills!I18)/Skills!H18+0.000000001),1)</f>
        <v/>
      </c>
      <c r="H3001">
        <f>1-(1-Skills!J18/100)^Skills!K18</f>
        <v/>
      </c>
      <c r="I3001" t="inlineStr">
        <is>
          <t>1</t>
        </is>
      </c>
      <c r="J3001" t="inlineStr"/>
      <c r="K3001" t="inlineStr"/>
      <c r="L3001" t="inlineStr"/>
      <c r="M3001" t="inlineStr"/>
      <c r="N3001" t="inlineStr"/>
      <c r="O3001">
        <f>(1-Summary!$B$11)*T3001+Summary!$B$11*V3001</f>
        <v/>
      </c>
      <c r="P3001">
        <f>IF(B3024=0,0,O3001/B3024)</f>
        <v/>
      </c>
      <c r="Q3001">
        <f>IFERROR(1/(IF(Inputs!$B$38="pvp",15,MAX(0.1,Skills!D18-IF(TRUE=TRUE,1.0,0)))*(1-IF(AND(ArtifactsInput!$M$27,Inputs!$B$4="Chapter Hunt"),CHOOSE(ArtifactsInput!$N$27+1,20,24,28,32,36,40),0)/100)),0)</f>
        <v/>
      </c>
      <c r="R3001">
        <f>IF(AND(Inputs!$B$38&lt;&gt;"pvp",Inputs!$B$43&gt;0),IF(Inputs!$B$43&lt;=0,0,(INT(Inputs!$B$43/(IF(Inputs!$B$38="pvp",15,MAX(0.1,Skills!D18-IF(TRUE=TRUE,1.0,0)))*(1-IF(AND(ArtifactsInput!$M$27,Inputs!$B$4="Chapter Hunt"),CHOOSE(ArtifactsInput!$N$27+1,20,24,28,32,36,40),0)/100)))+1)),0)</f>
        <v/>
      </c>
      <c r="S3001">
        <f>IFERROR(O3001/N3001,0)</f>
        <v/>
      </c>
      <c r="T3001" t="n">
        <v>0</v>
      </c>
      <c r="V3001" t="n">
        <v>0</v>
      </c>
    </row>
    <row r="3002">
      <c r="A3002">
        <f>Skills!A19</f>
        <v/>
      </c>
      <c r="B3002">
        <f>Skills!B19</f>
        <v/>
      </c>
      <c r="C3002">
        <f>Inputs!$B$3&gt;=10</f>
        <v/>
      </c>
      <c r="D3002">
        <f>IF(Skills!C19=1,60+Inputs!$B$25+Inputs!$B$29,IF(Skills!C19=2,90+Inputs!$B$26+Inputs!$B$29,IF(Skills!C19=3,120+Inputs!$B$27+Inputs!$B$29,MAX(0,(Inputs!$B$3-100)*3)+Inputs!$B$28+Inputs!$B$29)))</f>
        <v/>
      </c>
      <c r="E3002">
        <f>INDEX(FactorTable!$B$2:$Y$301, MATCH(ROUND(MIN(300,MAX(1,D3002)),0), FactorTable!$A$2:$A$301,0), Skills!M19+1)</f>
        <v/>
      </c>
      <c r="F3002">
        <f>IF(Skills!N19=TRUE,(Skills!L19/10)*(E3002/1000),Skills!L19/10)+Skills!O19</f>
        <v/>
      </c>
      <c r="G3002">
        <f>Skills!G19*IF(Skills!H19&gt;0,INT(IF(Inputs!$B$38="pvp",MIN(Skills!I19,15),Skills!I19)/Skills!H19+0.000000001),1)</f>
        <v/>
      </c>
      <c r="H3002">
        <f>1-(1-Skills!J19/100)^Skills!K19</f>
        <v/>
      </c>
      <c r="I3002" t="inlineStr">
        <is>
          <t>1</t>
        </is>
      </c>
      <c r="J3002" t="inlineStr"/>
      <c r="K3002" t="inlineStr"/>
      <c r="L3002" t="inlineStr"/>
      <c r="M3002" t="inlineStr"/>
      <c r="N3002" t="inlineStr"/>
      <c r="O3002">
        <f>(1-Summary!$B$11)*T3002+Summary!$B$11*V3002</f>
        <v/>
      </c>
      <c r="P3002">
        <f>IF(B3024=0,0,O3002/B3024)</f>
        <v/>
      </c>
      <c r="Q3002" t="n">
        <v>0</v>
      </c>
      <c r="R3002" t="n">
        <v>0</v>
      </c>
      <c r="S3002">
        <f>IFERROR(O3002/N3002,0)</f>
        <v/>
      </c>
      <c r="T3002" t="n">
        <v>0</v>
      </c>
      <c r="V3002" t="n">
        <v>0</v>
      </c>
    </row>
    <row r="3003">
      <c r="A3003">
        <f>Skills!A20</f>
        <v/>
      </c>
      <c r="B3003">
        <f>Skills!B20</f>
        <v/>
      </c>
      <c r="C3003">
        <f>Inputs!$B$3&gt;=15</f>
        <v/>
      </c>
      <c r="D3003">
        <f>IF(Skills!C20=1,60+Inputs!$B$25+Inputs!$B$29,IF(Skills!C20=2,90+Inputs!$B$26+Inputs!$B$29,IF(Skills!C20=3,120+Inputs!$B$27+Inputs!$B$29,MAX(0,(Inputs!$B$3-100)*3)+Inputs!$B$28+Inputs!$B$29)))</f>
        <v/>
      </c>
      <c r="E3003">
        <f>INDEX(FactorTable!$B$2:$Y$301, MATCH(ROUND(MIN(300,MAX(1,D3003)),0), FactorTable!$A$2:$A$301,0), Skills!M20+1)</f>
        <v/>
      </c>
      <c r="F3003">
        <f>IF(Skills!N20=TRUE,(Skills!L20/10)*(E3003/1000),Skills!L20/10)+Skills!O20</f>
        <v/>
      </c>
      <c r="G3003">
        <f>Skills!G20*IF(Skills!H20&gt;0,INT(IF(Inputs!$B$38="pvp",MIN(Skills!I20,15),Skills!I20)/Skills!H20+0.000000001),1)</f>
        <v/>
      </c>
      <c r="H3003">
        <f>1-(1-Skills!J20/100)^Skills!K20</f>
        <v/>
      </c>
      <c r="I3003" t="inlineStr">
        <is>
          <t>1</t>
        </is>
      </c>
      <c r="J3003" t="inlineStr"/>
      <c r="K3003" t="inlineStr"/>
      <c r="L3003" t="inlineStr"/>
      <c r="M3003" t="inlineStr"/>
      <c r="N3003" t="inlineStr"/>
      <c r="O3003">
        <f>(1-Summary!$B$11)*T3003+Summary!$B$11*V3003</f>
        <v/>
      </c>
      <c r="P3003">
        <f>IF(B3024=0,0,O3003/B3024)</f>
        <v/>
      </c>
      <c r="Q3003" t="n">
        <v>0</v>
      </c>
      <c r="R3003" t="n">
        <v>0</v>
      </c>
      <c r="S3003">
        <f>IFERROR(O3003/N3003,0)</f>
        <v/>
      </c>
      <c r="T3003" t="n">
        <v>0</v>
      </c>
      <c r="V3003" t="n">
        <v>0</v>
      </c>
    </row>
    <row r="3004">
      <c r="A3004">
        <f>Skills!A21</f>
        <v/>
      </c>
      <c r="B3004">
        <f>Skills!B21</f>
        <v/>
      </c>
      <c r="C3004">
        <f>Inputs!$B$3&gt;=40</f>
        <v/>
      </c>
      <c r="D3004">
        <f>IF(Skills!C21=1,60+Inputs!$B$25+Inputs!$B$29,IF(Skills!C21=2,90+Inputs!$B$26+Inputs!$B$29,IF(Skills!C21=3,120+Inputs!$B$27+Inputs!$B$29,MAX(0,(Inputs!$B$3-100)*3)+Inputs!$B$28+Inputs!$B$29)))</f>
        <v/>
      </c>
      <c r="E3004">
        <f>INDEX(FactorTable!$B$2:$Y$301, MATCH(ROUND(MIN(300,MAX(1,D3004)),0), FactorTable!$A$2:$A$301,0), Skills!M21+1)</f>
        <v/>
      </c>
      <c r="F3004">
        <f>IF(Skills!N21=TRUE,(Skills!L21/10)*(E3004/1000),Skills!L21/10)+Skills!O21</f>
        <v/>
      </c>
      <c r="G3004">
        <f>Skills!G21*IF(Skills!H21&gt;0,INT(IF(Inputs!$B$38="pvp",MIN(Skills!I21,15),Skills!I21)/Skills!H21+0.000000001),1)</f>
        <v/>
      </c>
      <c r="H3004">
        <f>1-(1-Skills!J21/100)^Skills!K21</f>
        <v/>
      </c>
      <c r="I3004" t="inlineStr">
        <is>
          <t>1</t>
        </is>
      </c>
      <c r="J3004" t="inlineStr"/>
      <c r="K3004" t="inlineStr"/>
      <c r="L3004" t="inlineStr"/>
      <c r="M3004" t="inlineStr"/>
      <c r="N3004" t="inlineStr"/>
      <c r="O3004">
        <f>(1-Summary!$B$11)*T3004+Summary!$B$11*V3004</f>
        <v/>
      </c>
      <c r="P3004">
        <f>IF(B3024=0,0,O3004/B3024)</f>
        <v/>
      </c>
      <c r="Q3004" t="n">
        <v>0</v>
      </c>
      <c r="R3004" t="n">
        <v>0</v>
      </c>
      <c r="S3004">
        <f>IFERROR(O3004/N3004,0)</f>
        <v/>
      </c>
      <c r="T3004" t="n">
        <v>0</v>
      </c>
      <c r="V3004" t="n">
        <v>0</v>
      </c>
    </row>
    <row r="3005">
      <c r="A3005">
        <f>Skills!A22</f>
        <v/>
      </c>
      <c r="B3005">
        <f>Skills!B22</f>
        <v/>
      </c>
      <c r="C3005">
        <f>Inputs!$B$3&gt;=43</f>
        <v/>
      </c>
      <c r="D3005">
        <f>IF(Skills!C22=1,60+Inputs!$B$25+Inputs!$B$29,IF(Skills!C22=2,90+Inputs!$B$26+Inputs!$B$29,IF(Skills!C22=3,120+Inputs!$B$27+Inputs!$B$29,MAX(0,(Inputs!$B$3-100)*3)+Inputs!$B$28+Inputs!$B$29)))</f>
        <v/>
      </c>
      <c r="E3005">
        <f>INDEX(FactorTable!$B$2:$Y$301, MATCH(ROUND(MIN(300,MAX(1,D3005)),0), FactorTable!$A$2:$A$301,0), Skills!M22+1)</f>
        <v/>
      </c>
      <c r="F3005">
        <f>IF(Skills!N22=TRUE,(Skills!L22/10)*(E3005/1000),Skills!L22/10)+Skills!O22</f>
        <v/>
      </c>
      <c r="G3005">
        <f>Skills!G22*IF(Skills!H22&gt;0,INT(IF(Inputs!$B$38="pvp",MIN(Skills!I22,15),Skills!I22)/Skills!H22+0.000000001),1)</f>
        <v/>
      </c>
      <c r="H3005">
        <f>1-(1-Skills!J22/100)^Skills!K22</f>
        <v/>
      </c>
      <c r="I3005" t="inlineStr">
        <is>
          <t>1</t>
        </is>
      </c>
      <c r="J3005" t="inlineStr"/>
      <c r="K3005" t="inlineStr"/>
      <c r="L3005" t="inlineStr"/>
      <c r="M3005" t="inlineStr"/>
      <c r="N3005" t="inlineStr"/>
      <c r="O3005">
        <f>(1-Summary!$B$11)*T3005+Summary!$B$11*V3005</f>
        <v/>
      </c>
      <c r="P3005">
        <f>IF(B3024=0,0,O3005/B3024)</f>
        <v/>
      </c>
      <c r="Q3005" t="n">
        <v>0</v>
      </c>
      <c r="R3005" t="n">
        <v>0</v>
      </c>
      <c r="S3005">
        <f>IFERROR(O3005/N3005,0)</f>
        <v/>
      </c>
      <c r="T3005" t="n">
        <v>0</v>
      </c>
      <c r="V3005" t="n">
        <v>0</v>
      </c>
    </row>
    <row r="3006">
      <c r="A3006">
        <f>Skills!A23</f>
        <v/>
      </c>
      <c r="B3006">
        <f>Skills!B23</f>
        <v/>
      </c>
      <c r="C3006">
        <f>Inputs!$B$3&gt;=38</f>
        <v/>
      </c>
      <c r="D3006">
        <f>IF(Skills!C23=1,60+Inputs!$B$25+Inputs!$B$29,IF(Skills!C23=2,90+Inputs!$B$26+Inputs!$B$29,IF(Skills!C23=3,120+Inputs!$B$27+Inputs!$B$29,MAX(0,(Inputs!$B$3-100)*3)+Inputs!$B$28+Inputs!$B$29)))</f>
        <v/>
      </c>
      <c r="E3006">
        <f>INDEX(FactorTable!$B$2:$Y$301, MATCH(ROUND(MIN(300,MAX(1,D3006)),0), FactorTable!$A$2:$A$301,0), Skills!M23+1)</f>
        <v/>
      </c>
      <c r="F3006">
        <f>IF(Skills!N23=TRUE,(Skills!L23/10)*(E3006/1000),Skills!L23/10)+Skills!O23</f>
        <v/>
      </c>
      <c r="G3006">
        <f>Skills!G23*IF(Skills!H23&gt;0,INT(IF(Inputs!$B$38="pvp",MIN(Skills!I23,15),Skills!I23)/Skills!H23+0.000000001),1)</f>
        <v/>
      </c>
      <c r="H3006">
        <f>1-(1-Skills!J23/100)^Skills!K23</f>
        <v/>
      </c>
      <c r="I3006" t="inlineStr">
        <is>
          <t>1</t>
        </is>
      </c>
      <c r="J3006" t="inlineStr"/>
      <c r="K3006" t="inlineStr"/>
      <c r="L3006" t="inlineStr"/>
      <c r="M3006" t="inlineStr"/>
      <c r="N3006" t="inlineStr"/>
      <c r="O3006">
        <f>(1-Summary!$B$11)*T3006+Summary!$B$11*V3006</f>
        <v/>
      </c>
      <c r="P3006">
        <f>IF(B3024=0,0,O3006/B3024)</f>
        <v/>
      </c>
      <c r="Q3006" t="n">
        <v>0</v>
      </c>
      <c r="R3006" t="n">
        <v>0</v>
      </c>
      <c r="S3006">
        <f>IFERROR(O3006/N3006,0)</f>
        <v/>
      </c>
      <c r="T3006" t="n">
        <v>0</v>
      </c>
      <c r="V3006" t="n">
        <v>0</v>
      </c>
    </row>
    <row r="3007">
      <c r="A3007">
        <f>Skills!A24</f>
        <v/>
      </c>
      <c r="B3007">
        <f>Skills!B24</f>
        <v/>
      </c>
      <c r="C3007">
        <f>Inputs!$B$3&gt;=45</f>
        <v/>
      </c>
      <c r="D3007">
        <f>IF(Skills!C24=1,60+Inputs!$B$25+Inputs!$B$29,IF(Skills!C24=2,90+Inputs!$B$26+Inputs!$B$29,IF(Skills!C24=3,120+Inputs!$B$27+Inputs!$B$29,MAX(0,(Inputs!$B$3-100)*3)+Inputs!$B$28+Inputs!$B$29)))</f>
        <v/>
      </c>
      <c r="E3007">
        <f>INDEX(FactorTable!$B$2:$Y$301, MATCH(ROUND(MIN(300,MAX(1,D3007)),0), FactorTable!$A$2:$A$301,0), Skills!M24+1)</f>
        <v/>
      </c>
      <c r="F3007">
        <f>IF(Skills!N24=TRUE,(Skills!L24/10)*(E3007/1000),Skills!L24/10)+Skills!O24</f>
        <v/>
      </c>
      <c r="G3007">
        <f>Skills!G24*IF(Skills!H24&gt;0,INT(IF(Inputs!$B$38="pvp",MIN(Skills!I24,15),Skills!I24)/Skills!H24+0.000000001),1)</f>
        <v/>
      </c>
      <c r="H3007">
        <f>1-(1-Skills!J24/100)^Skills!K24</f>
        <v/>
      </c>
      <c r="I3007" t="inlineStr">
        <is>
          <t>1</t>
        </is>
      </c>
      <c r="J3007" t="inlineStr"/>
      <c r="K3007" t="inlineStr"/>
      <c r="L3007" t="inlineStr"/>
      <c r="M3007" t="inlineStr"/>
      <c r="N3007" t="inlineStr"/>
      <c r="O3007">
        <f>(1-Summary!$B$11)*T3007+Summary!$B$11*V3007</f>
        <v/>
      </c>
      <c r="P3007">
        <f>IF(B3024=0,0,O3007/B3024)</f>
        <v/>
      </c>
      <c r="Q3007" t="n">
        <v>0</v>
      </c>
      <c r="R3007" t="n">
        <v>0</v>
      </c>
      <c r="S3007">
        <f>IFERROR(O3007/N3007,0)</f>
        <v/>
      </c>
      <c r="T3007" t="n">
        <v>0</v>
      </c>
      <c r="V3007" t="n">
        <v>0</v>
      </c>
    </row>
    <row r="3008">
      <c r="A3008">
        <f>Skills!A25</f>
        <v/>
      </c>
      <c r="B3008">
        <f>Skills!B25</f>
        <v/>
      </c>
      <c r="C3008">
        <f>Inputs!$B$3&gt;=72</f>
        <v/>
      </c>
      <c r="D3008">
        <f>IF(Skills!C25=1,60+Inputs!$B$25+Inputs!$B$29,IF(Skills!C25=2,90+Inputs!$B$26+Inputs!$B$29,IF(Skills!C25=3,120+Inputs!$B$27+Inputs!$B$29,MAX(0,(Inputs!$B$3-100)*3)+Inputs!$B$28+Inputs!$B$29)))</f>
        <v/>
      </c>
      <c r="E3008">
        <f>INDEX(FactorTable!$B$2:$Y$301, MATCH(ROUND(MIN(300,MAX(1,D3008)),0), FactorTable!$A$2:$A$301,0), Skills!M25+1)</f>
        <v/>
      </c>
      <c r="F3008">
        <f>IF(Skills!N25=TRUE,(Skills!L25/10)*(E3008/1000),Skills!L25/10)+Skills!O25</f>
        <v/>
      </c>
      <c r="G3008">
        <f>Skills!G25*IF(Skills!H25&gt;0,INT(IF(Inputs!$B$38="pvp",MIN(Skills!I25,15),Skills!I25)/Skills!H25+0.000000001),1)</f>
        <v/>
      </c>
      <c r="H3008">
        <f>1-(1-Skills!J25/100)^Skills!K25</f>
        <v/>
      </c>
      <c r="I3008" t="inlineStr">
        <is>
          <t>1</t>
        </is>
      </c>
      <c r="J3008" t="inlineStr"/>
      <c r="K3008" t="inlineStr"/>
      <c r="L3008" t="inlineStr"/>
      <c r="M3008" t="inlineStr"/>
      <c r="N3008" t="inlineStr"/>
      <c r="O3008">
        <f>(1-Summary!$B$11)*T3008+Summary!$B$11*V3008</f>
        <v/>
      </c>
      <c r="P3008">
        <f>IF(B3024=0,0,O3008/B3024)</f>
        <v/>
      </c>
      <c r="Q3008" t="n">
        <v>0</v>
      </c>
      <c r="R3008" t="n">
        <v>0</v>
      </c>
      <c r="S3008">
        <f>IFERROR(O3008/N3008,0)</f>
        <v/>
      </c>
      <c r="T3008" t="n">
        <v>0</v>
      </c>
      <c r="V3008" t="n">
        <v>0</v>
      </c>
    </row>
    <row r="3009">
      <c r="A3009">
        <f>Skills!A26</f>
        <v/>
      </c>
      <c r="B3009">
        <f>Skills!B26</f>
        <v/>
      </c>
      <c r="C3009">
        <f>Inputs!$B$3&gt;=75</f>
        <v/>
      </c>
      <c r="D3009">
        <f>IF(Skills!C26=1,60+Inputs!$B$25+Inputs!$B$29,IF(Skills!C26=2,90+Inputs!$B$26+Inputs!$B$29,IF(Skills!C26=3,120+Inputs!$B$27+Inputs!$B$29,MAX(0,(Inputs!$B$3-100)*3)+Inputs!$B$28+Inputs!$B$29)))</f>
        <v/>
      </c>
      <c r="E3009">
        <f>INDEX(FactorTable!$B$2:$Y$301, MATCH(ROUND(MIN(300,MAX(1,D3009)),0), FactorTable!$A$2:$A$301,0), Skills!M26+1)</f>
        <v/>
      </c>
      <c r="F3009">
        <f>IF(Skills!N26=TRUE,(Skills!L26/10)*(E3009/1000),Skills!L26/10)+Skills!O26</f>
        <v/>
      </c>
      <c r="G3009">
        <f>Skills!G26*IF(Skills!H26&gt;0,INT(IF(Inputs!$B$38="pvp",MIN(Skills!I26,15),Skills!I26)/Skills!H26+0.000000001),1)</f>
        <v/>
      </c>
      <c r="H3009">
        <f>1-(1-Skills!J26/100)^Skills!K26</f>
        <v/>
      </c>
      <c r="I3009" t="inlineStr">
        <is>
          <t>1</t>
        </is>
      </c>
      <c r="J3009" t="inlineStr"/>
      <c r="K3009" t="inlineStr"/>
      <c r="L3009" t="inlineStr"/>
      <c r="M3009" t="inlineStr"/>
      <c r="N3009" t="inlineStr"/>
      <c r="O3009">
        <f>(1-Summary!$B$11)*T3009+Summary!$B$11*V3009</f>
        <v/>
      </c>
      <c r="P3009">
        <f>IF(B3024=0,0,O3009/B3024)</f>
        <v/>
      </c>
      <c r="Q3009" t="n">
        <v>0</v>
      </c>
      <c r="R3009" t="n">
        <v>0</v>
      </c>
      <c r="S3009">
        <f>IFERROR(O3009/N3009,0)</f>
        <v/>
      </c>
      <c r="T3009" t="n">
        <v>0</v>
      </c>
      <c r="V3009" t="n">
        <v>0</v>
      </c>
    </row>
    <row r="3010">
      <c r="A3010">
        <f>Skills!A27</f>
        <v/>
      </c>
      <c r="B3010">
        <f>Skills!B27</f>
        <v/>
      </c>
      <c r="C3010">
        <f>Inputs!$B$3&gt;=125</f>
        <v/>
      </c>
      <c r="D3010">
        <f>IF(Skills!C27=1,60+Inputs!$B$25+Inputs!$B$29,IF(Skills!C27=2,90+Inputs!$B$26+Inputs!$B$29,IF(Skills!C27=3,120+Inputs!$B$27+Inputs!$B$29,MAX(0,(Inputs!$B$3-100)*3)+Inputs!$B$28+Inputs!$B$29)))</f>
        <v/>
      </c>
      <c r="E3010">
        <f>INDEX(FactorTable!$B$2:$Y$301, MATCH(ROUND(MIN(300,MAX(1,D3010)),0), FactorTable!$A$2:$A$301,0), Skills!M27+1)</f>
        <v/>
      </c>
      <c r="F3010">
        <f>IF(Skills!N27=TRUE,(Skills!L27/10)*(E3010/1000),Skills!L27/10)+Skills!O27</f>
        <v/>
      </c>
      <c r="G3010">
        <f>Skills!G27*IF(Skills!H27&gt;0,INT(IF(Inputs!$B$38="pvp",MIN(Skills!I27,15),Skills!I27)/Skills!H27+0.000000001),1)</f>
        <v/>
      </c>
      <c r="H3010">
        <f>1-(1-Skills!J27/100)^Skills!K27</f>
        <v/>
      </c>
      <c r="I3010" t="inlineStr">
        <is>
          <t>1</t>
        </is>
      </c>
      <c r="J3010" t="inlineStr"/>
      <c r="K3010" t="inlineStr"/>
      <c r="L3010" t="inlineStr"/>
      <c r="M3010" t="inlineStr"/>
      <c r="N3010" t="inlineStr"/>
      <c r="O3010">
        <f>(1-Summary!$B$11)*T3010+Summary!$B$11*V3010</f>
        <v/>
      </c>
      <c r="P3010">
        <f>IF(B3024=0,0,O3010/B3024)</f>
        <v/>
      </c>
      <c r="Q3010" t="n">
        <v>0</v>
      </c>
      <c r="R3010" t="n">
        <v>0</v>
      </c>
      <c r="S3010">
        <f>IFERROR(O3010/N3010,0)</f>
        <v/>
      </c>
      <c r="T3010" t="n">
        <v>0</v>
      </c>
      <c r="V3010" t="n">
        <v>0</v>
      </c>
    </row>
    <row r="3011">
      <c r="A3011">
        <f>Skills!A28</f>
        <v/>
      </c>
      <c r="B3011">
        <f>Skills!B28</f>
        <v/>
      </c>
      <c r="C3011">
        <f>TRUE</f>
        <v/>
      </c>
      <c r="D3011">
        <f>IF(Skills!C28=1,60+Inputs!$B$25+Inputs!$B$29,IF(Skills!C28=2,90+Inputs!$B$26+Inputs!$B$29,IF(Skills!C28=3,120+Inputs!$B$27+Inputs!$B$29,MAX(0,(Inputs!$B$3-100)*3)+Inputs!$B$28+Inputs!$B$29)))</f>
        <v/>
      </c>
      <c r="E3011">
        <f>INDEX(FactorTable!$B$2:$Y$301, MATCH(ROUND(MIN(300,MAX(1,D3011)),0), FactorTable!$A$2:$A$301,0), Skills!M28+1)</f>
        <v/>
      </c>
      <c r="F3011">
        <f>IF(Skills!N28=TRUE,(Skills!L28/10)*(E3011/1000),Skills!L28/10)+Skills!O28</f>
        <v/>
      </c>
      <c r="G3011">
        <f>Skills!G28*IF(Skills!H28&gt;0,INT(IF(Inputs!$B$38="pvp",MIN(Skills!I28,15),Skills!I28)/Skills!H28+0.000000001),1)</f>
        <v/>
      </c>
      <c r="H3011">
        <f>1-(1-Skills!J28/100)^Skills!K28</f>
        <v/>
      </c>
      <c r="I3011" t="inlineStr">
        <is>
          <t>1</t>
        </is>
      </c>
      <c r="J3011" t="inlineStr"/>
      <c r="K3011" t="inlineStr"/>
      <c r="L3011" t="inlineStr"/>
      <c r="M3011" t="inlineStr"/>
      <c r="N3011" t="inlineStr"/>
      <c r="O3011">
        <f>(1-Summary!$B$11)*T3011+Summary!$B$11*V3011</f>
        <v/>
      </c>
      <c r="P3011">
        <f>IF(B3024=0,0,O3011/B3024)</f>
        <v/>
      </c>
      <c r="Q3011">
        <f>IFERROR(1/(IF(Inputs!$B$38="pvp",15,MAX(0.1,Skills!D28-IF(TRUE=TRUE,1.0,0)))*(1-IF(AND(ArtifactsInput!$M$27,Inputs!$B$4="Chapter Hunt"),CHOOSE(ArtifactsInput!$N$27+1,20,24,28,32,36,40),0)/100)),0)</f>
        <v/>
      </c>
      <c r="R3011">
        <f>IF(AND(Inputs!$B$38&lt;&gt;"pvp",Inputs!$B$43&gt;0),IF(Inputs!$B$43&lt;=0,0,(INT(Inputs!$B$43/(IF(Inputs!$B$38="pvp",15,MAX(0.1,Skills!D28-IF(TRUE=TRUE,1.0,0)))*(1-IF(AND(ArtifactsInput!$M$27,Inputs!$B$4="Chapter Hunt"),CHOOSE(ArtifactsInput!$N$27+1,20,24,28,32,36,40),0)/100)))+1)),0)</f>
        <v/>
      </c>
      <c r="S3011">
        <f>IFERROR(O3011/N3011,0)</f>
        <v/>
      </c>
      <c r="T3011" t="n">
        <v>0</v>
      </c>
      <c r="V3011" t="n">
        <v>0</v>
      </c>
    </row>
    <row r="3013">
      <c r="A3013" t="inlineStr">
        <is>
          <t>Attack% Bucket Multiplier</t>
        </is>
      </c>
      <c r="B3013">
        <f>(1+(((C3000=TRUE)*F3000*5/7)+((C3007=TRUE)*(F3007-Calc!F24))+(IF(ArtifactsInput!$M$21,CHOOSE(ArtifactsInput!$N$21+1,25,30,35,40,45,50)*(IF(OR(Inputs!$B$4="Chapter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3014">
      <c r="A3014" t="inlineStr">
        <is>
          <t>Global Crit Rate Bonus %</t>
        </is>
      </c>
      <c r="B3014" t="n">
        <v>0</v>
      </c>
    </row>
    <row r="3015">
      <c r="A3015" t="inlineStr">
        <is>
          <t>Attack Speed Buff Bonus % (Nimble Feet, duty-cycle averaged)</t>
        </is>
      </c>
      <c r="B3015">
        <f>((C3011=TRUE)*F3011*IF(AND(Inputs!$B$38&lt;&gt;"pvp",Inputs!$B$43&gt;0),(((R3011-1)*MIN((Skills!T28*(1+Inputs!$B$34/100)),(1/Q3011))+MIN((Skills!T28*(1+Inputs!$B$34/100)),MAX(0,Inputs!$B$43-((R3011-1)*(1/Q3011)))))/Inputs!$B$43),IF(Inputs!$B$38="pvp",MIN((Skills!T28*(1+Inputs!$B$34/100)),15)/15,MIN(1,(Skills!T28*(1+Inputs!$B$34/100))/(1/Q3011)))))</f>
        <v/>
      </c>
    </row>
    <row r="3016">
      <c r="A3016" t="inlineStr">
        <is>
          <t>Actions Per Second</t>
        </is>
      </c>
      <c r="B3016">
        <f>1+MIN(150,150*(1-(1-(Inputs!$B$11+((C3003=TRUE)*(F3003-Calc!F20))+((C3004=TRUE)*(F3004-Calc!F21)))/150)*(1-B3015/150)))/100</f>
        <v/>
      </c>
    </row>
    <row r="3017">
      <c r="A3017" t="inlineStr">
        <is>
          <t>Skill + Buff Cast Rate</t>
        </is>
      </c>
      <c r="B3017">
        <f>IF(AND(Inputs!$B$38&lt;&gt;"pvp",Inputs!$B$43&gt;0),SUMPRODUCT((Skills!E2:E28=TRUE)*(C2985:C3011=TRUE)*R2985:R3011*Skills!F2:F28)/Inputs!$B$43,SUMPRODUCT((Skills!E2:E28=TRUE)*(C2985:C3011=TRUE)*Q2985:Q3011*Skills!F2:F28))</f>
        <v/>
      </c>
    </row>
    <row r="3018">
      <c r="A3018" t="inlineStr">
        <is>
          <t>Eight-Legs Easton Casts Per Second</t>
        </is>
      </c>
      <c r="B3018">
        <f>MAX(0,B3016-B3017)</f>
        <v/>
      </c>
    </row>
    <row r="3019">
      <c r="A3019" t="inlineStr">
        <is>
          <t>Global Critical Damage Bonus % (unused)</t>
        </is>
      </c>
      <c r="B3019" t="n">
        <v>0</v>
      </c>
    </row>
    <row r="3020">
      <c r="A3020" t="inlineStr">
        <is>
          <t>Global Final Damage Bonus % (Jolly Roger + Ahoy Mateys - Final Damage proc)</t>
        </is>
      </c>
      <c r="B3020">
        <f>((C3001=TRUE)*F3001*IF(AND(Inputs!$B$38&lt;&gt;"pvp",Inputs!$B$43&gt;0),(((R3001-1)*MIN((Skills!T18*(1+Inputs!$B$34/100)),(1/Q3001))+MIN((Skills!T18*(1+Inputs!$B$34/100)),MAX(0,Inputs!$B$43-((R3001-1)*(1/Q3001)))))/Inputs!$B$43),IF(Inputs!$B$38="pvp",MIN((Skills!T18*(1+Inputs!$B$34/100)),15)/15,MIN(1,(Skills!T18*(1+Inputs!$B$34/100))/(1/Q3001)))))+IF(Inputs!$B$3&gt;=122,20*IF(Inputs!$B$38="pvp",MIN((20*(1+Inputs!$B$34/100)),15)/15,MIN(1,(20*(1+Inputs!$B$34/100))/(1/Q2987))),0)</f>
        <v/>
      </c>
    </row>
    <row r="3021">
      <c r="A3021" t="inlineStr">
        <is>
          <t>Buff-Casting Startup Delay (s, fixed-duration only)</t>
        </is>
      </c>
      <c r="B3021">
        <f>IF(AND(Inputs!$B$38&lt;&gt;"pvp",Inputs!$B$43&gt;0),SUMPRODUCT((Skills!T2:T28&gt;0)*(Skills!E2:E28=TRUE)*(C2985:C3011=TRUE))/B3016,0)</f>
        <v/>
      </c>
    </row>
    <row r="3022">
      <c r="A3022" t="inlineStr">
        <is>
          <t>Boss-Only Total DPS (this block's swept value)</t>
        </is>
      </c>
      <c r="B3022">
        <f>SUM(T2985:T3011)</f>
        <v/>
      </c>
    </row>
    <row r="3023">
      <c r="A3023" t="inlineStr">
        <is>
          <t>Normal-Only Total DPS (this block's swept value)</t>
        </is>
      </c>
      <c r="B3023">
        <f>SUM(V2985:V3011)</f>
        <v/>
      </c>
    </row>
    <row r="3024">
      <c r="A3024" s="6" t="inlineStr">
        <is>
          <t>TOTAL DPS</t>
        </is>
      </c>
      <c r="B3024" s="6">
        <f>SUM(O2985:O3011)</f>
        <v/>
      </c>
    </row>
    <row r="3025">
      <c r="A3025" t="inlineStr">
        <is>
          <t>Quickdraw cooldown divisor (this block's own APS / Q)</t>
        </is>
      </c>
      <c r="B3025">
        <f>IF(AND(C3010=TRUE,Inputs!$B$38&lt;&gt;"pvp"),1+0.25*MAX(0,(B3016-(((C2986=TRUE)*Q2986*1)+((C2987=TRUE)*Q2987*1)+((C2989=TRUE)*Q2989*1)+((C2990=TRUE)*Q2990*1)+((C2992=TRUE)*Q2992*1)+((C2995=TRUE)*Q2995*1)+((C3001=TRUE)*Q3001*1)+((C3011=TRUE)*Q3011*1))-((C2991=TRUE)/(IF(Inputs!$B$38="pvp",15,MAX(0.1,Skills!D8-IF(TRUE=TRUE,1.0,0)))*(1-IF(AND(ArtifactsInput!$M$27,Inputs!$B$4="Chapter Hunt"),CHOOSE(ArtifactsInput!$N$27+1,20,24,28,32,36,40),0)/100))+(C2994=TRUE)/(IF(Inputs!$B$38="pvp",15,MAX(0.1,Skills!D11-IF(TRUE=TRUE,1.0,0)))*(1-IF(AND(ArtifactsInput!$M$27,Inputs!$B$4="Chapter Hunt"),CHOOSE(ArtifactsInput!$N$27+1,20,24,28,32,36,40),0)/100))))/(1+0.25*((C2991=TRUE)/(IF(Inputs!$B$38="pvp",15,MAX(0.1,Skills!D8-IF(TRUE=TRUE,1.0,0)))*(1-IF(AND(ArtifactsInput!$M$27,Inputs!$B$4="Chapter Hunt"),CHOOSE(ArtifactsInput!$N$27+1,20,24,28,32,36,40),0)/100))+(C2994=TRUE)/(IF(Inputs!$B$38="pvp",15,MAX(0.1,Skills!D11-IF(TRUE=TRUE,1.0,0)))*(1-IF(AND(ArtifactsInput!$M$27,Inputs!$B$4="Chapter Hunt"),CHOOSE(ArtifactsInput!$N$27+1,20,24,28,32,36,40),0)/100))))),1)</f>
        <v/>
      </c>
    </row>
    <row r="3026">
      <c r="A3026" t="inlineStr">
        <is>
          <t>Nautilus Strike - Final Attack trigger rate (this block's own Q/R)</t>
        </is>
      </c>
      <c r="B3026">
        <f>IF(AND(Inputs!$B$38&lt;&gt;"pvp",Inputs!$B$43&gt;0),(((C2986=TRUE)*R2986)+((C2989=TRUE)*R2989)+((C2991=TRUE)*R2991)+((C2992=TRUE)*R2992)+((C2994=TRUE)*R2994))/Inputs!$B$43,((C2986=TRUE)*Q2986)+((C2989=TRUE)*Q2989)+((C2991=TRUE)*Q2991)+((C2992=TRUE)*Q2992)+((C2994=TRUE)*Q2994))+B3018</f>
        <v/>
      </c>
    </row>
    <row r="3029">
      <c r="A3029" s="6" t="inlineStr">
        <is>
          <t>Stat: CDR = 1.5s</t>
        </is>
      </c>
    </row>
    <row r="3030">
      <c r="A3030" s="5" t="inlineStr">
        <is>
          <t>Key</t>
        </is>
      </c>
      <c r="B3030" s="5" t="inlineStr">
        <is>
          <t>Name</t>
        </is>
      </c>
      <c r="C3030" s="5" t="inlineStr">
        <is>
          <t>Unlocked</t>
        </is>
      </c>
      <c r="D3030" s="5" t="inlineStr">
        <is>
          <t>InputLevel</t>
        </is>
      </c>
      <c r="E3030" s="5" t="inlineStr">
        <is>
          <t>Factor</t>
        </is>
      </c>
      <c r="F3030" s="5" t="inlineStr">
        <is>
          <t>CoefficientPercent</t>
        </is>
      </c>
      <c r="G3030" s="5" t="inlineStr">
        <is>
          <t>EffectiveHits</t>
        </is>
      </c>
      <c r="H3030" s="5" t="inlineStr">
        <is>
          <t>ProcProbability</t>
        </is>
      </c>
      <c r="I3030" s="5" t="inlineStr">
        <is>
          <t>MapleHeroMultiplier</t>
        </is>
      </c>
      <c r="J3030" s="5" t="inlineStr">
        <is>
          <t>BaseDamage</t>
        </is>
      </c>
      <c r="K3030" s="5" t="inlineStr">
        <is>
          <t>BaseHitDamage</t>
        </is>
      </c>
      <c r="L3030" s="5" t="inlineStr">
        <is>
          <t>NonCritAvg</t>
        </is>
      </c>
      <c r="M3030" s="5" t="inlineStr">
        <is>
          <t>CritAvg</t>
        </is>
      </c>
      <c r="N3030" s="5" t="inlineStr">
        <is>
          <t>ExpectedDamage(perHit)</t>
        </is>
      </c>
      <c r="O3030" s="5" t="inlineStr">
        <is>
          <t>DPS</t>
        </is>
      </c>
      <c r="P3030" s="5" t="inlineStr">
        <is>
          <t>% of Total</t>
        </is>
      </c>
      <c r="Q3030" s="5" t="inlineStr">
        <is>
          <t>InvCooldown</t>
        </is>
      </c>
      <c r="R3030" s="5" t="inlineStr">
        <is>
          <t>CastsInFight</t>
        </is>
      </c>
      <c r="S3030" s="5" t="inlineStr">
        <is>
          <t>HitRate(perSec)</t>
        </is>
      </c>
      <c r="U3030" t="inlineStr">
        <is>
          <t>helpers</t>
        </is>
      </c>
    </row>
    <row r="3031">
      <c r="A3031">
        <f>Skills!A2</f>
        <v/>
      </c>
      <c r="B3031">
        <f>Skills!B2</f>
        <v/>
      </c>
      <c r="C3031">
        <f>Inputs!$B$3&gt;=100</f>
        <v/>
      </c>
      <c r="D3031" t="inlineStr"/>
      <c r="E3031" t="inlineStr"/>
      <c r="F3031">
        <f>U3033+Skills!O2</f>
        <v/>
      </c>
      <c r="G3031">
        <f>Skills!G2*IF(Skills!H2&gt;0,INT(IF(Inputs!$B$38="pvp",MIN(Skills!I2,15),Skills!I2)/Skills!H2+0.000000001),1)</f>
        <v/>
      </c>
      <c r="H3031">
        <f>1-(1-Skills!J2/100)^Skills!K2</f>
        <v/>
      </c>
      <c r="I3031" t="inlineStr">
        <is>
          <t>1</t>
        </is>
      </c>
      <c r="J3031">
        <f>((Inputs!$B$6*(1+Inputs!$B$7/100))+(((Inputs!$B$12*(1+Inputs!$B$13/100))-(Inputs!$B$12*(1+Inputs!$B$13/100)))+0.25*(Inputs!$B$14-Inputs!$B$14))*(1+Inputs!$B$7/100))*(F3031/100)</f>
        <v/>
      </c>
      <c r="K3031">
        <f>J3031*(1+((Inputs!$B$12*(1+Inputs!$B$13/100))*0.01+Inputs!$B$14*0.0025)/100)*(1+Inputs!$B$15/100)*(1+Inputs!$B$16/100)*(5000/(6000+Inputs!$B$42*(1-(100*(1-(1-(Inputs!$B$19+0)/100)*(1-CHOOSE(ArtifactsInput!$N$40+1,5,6,7,8,9,10)/100)^(ArtifactsInput!$M$40-ArtifactsInput!$M$40)))/100)))*(1+(Inputs!$B$24+((C3055=TRUE)*(F3055-Calc!F26))+B3066)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IGHT_LEGS_EASTON",Inputs!$B$17+((C3052=TRUE)*(F3052-Calc!F23))+((C3056=TRUE)*(F3056-Calc!F27))+((IF(AND(Inputs!$B$38&lt;&gt;"pvp",Inputs!$B$43=0),1,IF(IF(Inputs!$B$38="pvp",15,Inputs!$B$43)-(B3067)&lt;=0,1,MAX(0,IF(Inputs!$B$38="pvp",15,Inputs!$B$43)-MAX(5,B3067))/(IF(Inputs!$B$38="pvp",15,Inputs!$B$43)-(B3067))))*(IF(AND(ArtifactsInput!$M$42,((Inputs!$B$9+((C3048=TRUE)*(F3048-Calc!F19))+B3060+(ArtifactsInput!$M$24-ArtifactsInput!$M$24)*CHOOSE(ArtifactsInput!$N$24+1,10,12,14,16,18,20)+IF(ArtifactsInput!$M$10,CHOOSE(ArtifactsInput!$N$10+1,15,18,21,24,27,30)*(IF(Inputs!$B$38="pvp",MIN(15,15)/15,IF(AND(Inputs!$B$38&lt;&gt;"pvp",Inputs!$B$43&gt;0),MIN(15,Inputs!$B$43)/(Inputs!$B$43),0))),0)))&gt;=100),MIN(100,((Inputs!$B$9+((C3048=TRUE)*(F3048-Calc!F19))+B3060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3067)&lt;=0,1,MAX(0,IF(Inputs!$B$38="pvp",15,Inputs!$B$43)-MAX(5,B3067))/(IF(Inputs!$B$38="pvp",15,Inputs!$B$43)-(B3067))))*IF(AND(ArtifactsInput!$M$42,((Inputs!$B$9+((C3048=TRUE)*(F3048-Calc!F19))+B3060+(ArtifactsInput!$M$24-ArtifactsInput!$M$24)*CHOOSE(ArtifactsInput!$N$24+1,10,12,14,16,18,20)+IF(ArtifactsInput!$M$10,CHOOSE(ArtifactsInput!$N$10+1,15,18,21,24,27,30)*(IF(Inputs!$B$38="pvp",MIN(15,15)/15,IF(AND(Inputs!$B$38&lt;&gt;"pvp",Inputs!$B$43&gt;0),MIN(15,Inputs!$B$43)/(Inputs!$B$43),0))),0)))&gt;=100),CHOOSE(ArtifactsInput!$N$42+1,40,48,56,64,72,80),0))))/100)*((1+(((C3046=TRUE)*F3046*5/7)+((C3053=TRUE)*(F3053-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3031)</f>
        <v/>
      </c>
      <c r="L3031">
        <f>K3031*(MIN(Inputs!$B$22+((C3051=TRUE)*(F3051-Calc!F22)),(Inputs!$B$23+0+(IF(ArtifactsInput!$M$15,CHOOSE(ArtifactsInput!$N$15+1,25,30,35,40,45,50)/100*(Inputs!$B$11-Inputs!$B$11),0))))/100+(Inputs!$B$23+0+(IF(ArtifactsInput!$M$15,CHOOSE(ArtifactsInput!$N$15+1,25,30,35,40,45,50)/100*(Inputs!$B$11-Inputs!$B$11),0)))/100)/2</f>
        <v/>
      </c>
      <c r="M3031">
        <f>L3031*(1+(Inputs!$B$10+((C3054=TRUE)*(F3054-Calc!F25))+B3065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31">
        <f>L3031*(1-MIN((Inputs!$B$9+((C3048=TRUE)*(F3048-Calc!F19))+B3060+(ArtifactsInput!$M$24-ArtifactsInput!$M$24)*CHOOSE(ArtifactsInput!$N$24+1,10,12,14,16,18,20)+(IF(AND(Inputs!$B$38&lt;&gt;"pvp",Inputs!$B$43=0),1,IF(IF(Inputs!$B$38="pvp",15,Inputs!$B$43)-(B3067)&lt;=0,1,MAX(0,IF(Inputs!$B$38="pvp",15,Inputs!$B$43)-MAX(5,B3067))/(IF(Inputs!$B$38="pvp",15,Inputs!$B$43)-(B3067))))*IF(AND(ArtifactsInput!$M$42,((Inputs!$B$9+((C3048=TRUE)*(F3048-Calc!F19))+B3060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3031*(MIN((Inputs!$B$9+((C3048=TRUE)*(F3048-Calc!F19))+B3060+(ArtifactsInput!$M$24-ArtifactsInput!$M$24)*CHOOSE(ArtifactsInput!$N$24+1,10,12,14,16,18,20)+(IF(AND(Inputs!$B$38&lt;&gt;"pvp",Inputs!$B$43=0),1,IF(IF(Inputs!$B$38="pvp",15,Inputs!$B$43)-(B3067)&lt;=0,1,MAX(0,IF(Inputs!$B$38="pvp",15,Inputs!$B$43)-MAX(5,B3067))/(IF(Inputs!$B$38="pvp",15,Inputs!$B$43)-(B3067))))*IF(AND(ArtifactsInput!$M$42,((Inputs!$B$9+((C3048=TRUE)*(F3048-Calc!F19))+B3060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31">
        <f>(1-Summary!$B$11)*T3031+Summary!$B$11*V3031</f>
        <v/>
      </c>
      <c r="P3031">
        <f>IF(B3070=0,0,O3031/B3070)</f>
        <v/>
      </c>
      <c r="Q3031" t="n">
        <v>0</v>
      </c>
      <c r="R3031" t="n">
        <v>0</v>
      </c>
      <c r="S3031">
        <f>IFERROR(O3031/N3031,0)</f>
        <v/>
      </c>
      <c r="T3031">
        <f>IF(C3031,(Skills!G2*N3031*B3064*(1+IF(C3056=TRUE,1/3,0)))*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Hunt"),CHOOSE(ArtifactsInput!$N$35+1,15,18,21,24,27,30)*(1-EXP(-(0.2*B3062)*5)),0)+IF(AND(ArtifactsInput!$M$22,Inputs!$B$4&lt;&gt;"Chapter Hunt"),CHOOSE(ArtifactsInput!$N$22+1,10,12,14,16,18,20)*((0*(((0.15*B3062*5))^0/1)+1*(((0.15*B3062*5))^1/1)+2*(((0.15*B3062*5))^2/2)+3*(((0.15*B3062*5))^3/6)+4*(((0.15*B3062*5))^4/24)+5*(((0.15*B3062*5))^5/120))/((((0.15*B3062*5))^0/1)+(((0.15*B3062*5))^1/1)+(((0.15*B3062*5))^2/2)+(((0.15*B3062*5))^3/6)+(((0.15*B3062*5))^4/24)+(((0.15*B3062*5))^5/120))),0))+IF(Inputs!$B$3&gt;=54,9*(C3032=TRUE)*MIN(1,8*(1+Inputs!$B$34/100)*Q3032)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3031*(1-MIN(100,(Inputs!$B$9+((C3048=TRUE)*(F3048-Calc!F19))+B3060+(ArtifactsInput!$M$24-ArtifactsInput!$M$24)*CHOOSE(ArtifactsInput!$N$24+1,10,12,14,16,18,20)+(IF(AND(Inputs!$B$38&lt;&gt;"pvp",Inputs!$B$43=0),1,IF(IF(Inputs!$B$38="pvp",15,Inputs!$B$43)-(B3067)&lt;=0,1,MAX(0,IF(Inputs!$B$38="pvp",15,Inputs!$B$43)-MAX(5,B3067))/(IF(Inputs!$B$38="pvp",15,Inputs!$B$43)-(B3067))))*IF(AND(ArtifactsInput!$M$42,((Inputs!$B$9+((C3048=TRUE)*(F3048-Calc!F19))+B3060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3031*(MIN(100,(Inputs!$B$9+((C3048=TRUE)*(F3048-Calc!F19))+B3060+(ArtifactsInput!$M$24-ArtifactsInput!$M$24)*CHOOSE(ArtifactsInput!$N$24+1,10,12,14,16,18,20)+(IF(AND(Inputs!$B$38&lt;&gt;"pvp",Inputs!$B$43=0),1,IF(IF(Inputs!$B$38="pvp",15,Inputs!$B$43)-(B3067)&lt;=0,1,MAX(0,IF(Inputs!$B$38="pvp",15,Inputs!$B$43)-MAX(5,B3067))/(IF(Inputs!$B$38="pvp",15,Inputs!$B$43)-(B3067))))*IF(AND(ArtifactsInput!$M$42,((Inputs!$B$9+((C3048=TRUE)*(F3048-Calc!F19))+B3060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3031*(1-MIN(100,(Inputs!$B$9+((C3048=TRUE)*(F3048-Calc!F19))+B3060+(ArtifactsInput!$M$24-ArtifactsInput!$M$24)*CHOOSE(ArtifactsInput!$N$24+1,10,12,14,16,18,20)+(IF(AND(Inputs!$B$38&lt;&gt;"pvp",Inputs!$B$43=0),1,IF(IF(Inputs!$B$38="pvp",15,Inputs!$B$43)-(B3067)&lt;=0,1,MAX(0,IF(Inputs!$B$38="pvp",15,Inputs!$B$43)-MAX(5,B3067))/(IF(Inputs!$B$38="pvp",15,Inputs!$B$43)-(B3067))))*IF(AND(ArtifactsInput!$M$42,((Inputs!$B$9+((C3048=TRUE)*(F3048-Calc!F19))+B3060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3031*(MIN(100,(Inputs!$B$9+((C3048=TRUE)*(F3048-Calc!F19))+B3060+(ArtifactsInput!$M$24-ArtifactsInput!$M$24)*CHOOSE(ArtifactsInput!$N$24+1,10,12,14,16,18,20)+(IF(AND(Inputs!$B$38&lt;&gt;"pvp",Inputs!$B$43=0),1,IF(IF(Inputs!$B$38="pvp",15,Inputs!$B$43)-(B3067)&lt;=0,1,MAX(0,IF(Inputs!$B$38="pvp",15,Inputs!$B$43)-MAX(5,B3067))/(IF(Inputs!$B$38="pvp",15,Inputs!$B$43)-(B3067))))*IF(AND(ArtifactsInput!$M$42,((Inputs!$B$9+((C3048=TRUE)*(F3048-Calc!F19))+B3060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031">
        <f>MAX(0,(Inputs!$B$3-100)*3)+Inputs!$B$28+Inputs!$B$29</f>
        <v/>
      </c>
      <c r="V3031">
        <f>IF(C3031,(Skills!G2*N3031*B3064*(1+IF(C3056=TRUE,1/3,0)))*IF(Inputs!$B$38="pvp",1,(1+(Inputs!$B$21+Skills!Q2+(IF(ArtifactsInput!$M$33,CHOOSE(ArtifactsInput!$N$33+1,30,36,42,48,54,60),0))+(IF(AND(ArtifactsInput!$M$35,Inputs!$B$4&lt;&gt;"Chapter Hunt"),CHOOSE(ArtifactsInput!$N$35+1,15,18,21,24,27,30)*(1-EXP(-(0.2*B3062)*5)),0)+IF(AND(ArtifactsInput!$M$22,Inputs!$B$4&lt;&gt;"Chapter Hunt"),CHOOSE(ArtifactsInput!$N$22+1,10,12,14,16,18,20)*((0*(((0.15*B3062*5))^0/1)+1*(((0.15*B3062*5))^1/1)+2*(((0.15*B3062*5))^2/2)+3*(((0.15*B3062*5))^3/6)+4*(((0.15*B3062*5))^4/24)+5*(((0.15*B3062*5))^5/120))/((((0.15*B3062*5))^0/1)+(((0.15*B3062*5))^1/1)+(((0.15*B3062*5))^2/2)+(((0.15*B3062*5))^3/6)+(((0.15*B3062*5))^4/24)+(((0.15*B3062*5))^5/120))),0))+IF(Inputs!$B$3&gt;=54,9*(C3032=TRUE)*MIN(1,8*(1+Inputs!$B$34/100)*Q3032),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32">
      <c r="A3032">
        <f>Skills!A3</f>
        <v/>
      </c>
      <c r="B3032">
        <f>Skills!B3</f>
        <v/>
      </c>
      <c r="C3032">
        <f>Inputs!$B$3&gt;=33</f>
        <v/>
      </c>
      <c r="D3032">
        <f>IF(Skills!C3=1,60+Inputs!$B$25+Inputs!$B$29,IF(Skills!C3=2,90+Inputs!$B$26+Inputs!$B$29,IF(Skills!C3=3,120+Inputs!$B$27+Inputs!$B$29,MAX(0,(Inputs!$B$3-100)*3)+Inputs!$B$28+Inputs!$B$29)))</f>
        <v/>
      </c>
      <c r="E3032">
        <f>INDEX(FactorTable!$B$2:$Y$301, MATCH(ROUND(MIN(300,MAX(1,D3032)),0), FactorTable!$A$2:$A$301,0), Skills!M3+1)</f>
        <v/>
      </c>
      <c r="F3032">
        <f>IF(Skills!N3=TRUE,(Skills!L3/10)*(E3032/1000),Skills!L3/10)+Skills!O3</f>
        <v/>
      </c>
      <c r="G3032">
        <f>Skills!G3*IF(Skills!H3&gt;0,INT(IF(Inputs!$B$38="pvp",MIN(Skills!I3,15),Skills!I3)/Skills!H3+0.000000001),1)</f>
        <v/>
      </c>
      <c r="H3032">
        <f>1-(1-Skills!J3/100)^Skills!K3</f>
        <v/>
      </c>
      <c r="I3032" t="inlineStr">
        <is>
          <t>1</t>
        </is>
      </c>
      <c r="J3032">
        <f>((Inputs!$B$6*(1+Inputs!$B$7/100))+(((Inputs!$B$12*(1+Inputs!$B$13/100))-(Inputs!$B$12*(1+Inputs!$B$13/100)))+0.25*(Inputs!$B$14-Inputs!$B$14))*(1+Inputs!$B$7/100))*(F3032/100)</f>
        <v/>
      </c>
      <c r="K3032">
        <f>J3032*(1+((Inputs!$B$12*(1+Inputs!$B$13/100))*0.01+Inputs!$B$14*0.0025)/100)*(1+Inputs!$B$15/100)*(1+Inputs!$B$16/100)*(5000/(6000+Inputs!$B$42*(1-(100*(1-(1-(Inputs!$B$19+0)/100)*(1-CHOOSE(ArtifactsInput!$N$40+1,5,6,7,8,9,10)/100)^(ArtifactsInput!$M$40-ArtifactsInput!$M$40)))/100)))*(1+(Inputs!$B$24+((C3055=TRUE)*(F3055-Calc!F26))+B3066)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3044=TRUE,F3044,0)/100)*(1+(IF(Skills!A3="EIGHT_LEGS_EASTON",Inputs!$B$17+((C3052=TRUE)*(F3052-Calc!F23))+((C3056=TRUE)*(F3056-Calc!F27))+((IF(AND(Inputs!$B$38&lt;&gt;"pvp",Inputs!$B$43=0),1,IF(IF(Inputs!$B$38="pvp",15,Inputs!$B$43)-(B3067)&lt;=0,1,MAX(0,IF(Inputs!$B$38="pvp",15,Inputs!$B$43)-MAX(5,B3067))/(IF(Inputs!$B$38="pvp",15,Inputs!$B$43)-(B3067))))*(IF(AND(ArtifactsInput!$M$42,((Inputs!$B$9+((C3048=TRUE)*(F3048-Calc!F19))+B3060+(ArtifactsInput!$M$24-ArtifactsInput!$M$24)*CHOOSE(ArtifactsInput!$N$24+1,10,12,14,16,18,20)+IF(ArtifactsInput!$M$10,CHOOSE(ArtifactsInput!$N$10+1,15,18,21,24,27,30)*(IF(Inputs!$B$38="pvp",MIN(15,15)/15,IF(AND(Inputs!$B$38&lt;&gt;"pvp",Inputs!$B$43&gt;0),MIN(15,Inputs!$B$43)/(Inputs!$B$43),0))),0)))&gt;=100),MIN(100,((Inputs!$B$9+((C3048=TRUE)*(F3048-Calc!F19))+B3060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3067)&lt;=0,1,MAX(0,IF(Inputs!$B$38="pvp",15,Inputs!$B$43)-MAX(5,B3067))/(IF(Inputs!$B$38="pvp",15,Inputs!$B$43)-(B3067))))*IF(AND(ArtifactsInput!$M$42,((Inputs!$B$9+((C3048=TRUE)*(F3048-Calc!F19))+B3060+(ArtifactsInput!$M$24-ArtifactsInput!$M$24)*CHOOSE(ArtifactsInput!$N$24+1,10,12,14,16,18,20)+IF(ArtifactsInput!$M$10,CHOOSE(ArtifactsInput!$N$10+1,15,18,21,24,27,30)*(IF(Inputs!$B$38="pvp",MIN(15,15)/15,IF(AND(Inputs!$B$38&lt;&gt;"pvp",Inputs!$B$43&gt;0),MIN(15,Inputs!$B$43)/(Inputs!$B$43),0))),0)))&gt;=100),CHOOSE(ArtifactsInput!$N$42+1,40,48,56,64,72,80),0))))/100)*((1+(((C3046=TRUE)*F3046*5/7)+((C3053=TRUE)*(F3053-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3032)</f>
        <v/>
      </c>
      <c r="L3032">
        <f>K3032*(MIN(Inputs!$B$22+((C3051=TRUE)*(F3051-Calc!F22)),(Inputs!$B$23+0+(IF(ArtifactsInput!$M$15,CHOOSE(ArtifactsInput!$N$15+1,25,30,35,40,45,50)/100*(Inputs!$B$11-Inputs!$B$11),0))))/100+(Inputs!$B$23+0+(IF(ArtifactsInput!$M$15,CHOOSE(ArtifactsInput!$N$15+1,25,30,35,40,45,50)/100*(Inputs!$B$11-Inputs!$B$11),0)))/100)/2</f>
        <v/>
      </c>
      <c r="M3032">
        <f>L3032*(1+(Inputs!$B$10+((C3054=TRUE)*(F3054-Calc!F25))+B3065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32">
        <f>L3032*(1-MIN((Inputs!$B$9+((C3048=TRUE)*(F3048-Calc!F19))+B3060+(ArtifactsInput!$M$24-ArtifactsInput!$M$24)*CHOOSE(ArtifactsInput!$N$24+1,10,12,14,16,18,20)+(IF(AND(Inputs!$B$38&lt;&gt;"pvp",Inputs!$B$43=0),1,IF(IF(Inputs!$B$38="pvp",15,Inputs!$B$43)-(B3067)&lt;=0,1,MAX(0,IF(Inputs!$B$38="pvp",15,Inputs!$B$43)-MAX(5,B3067))/(IF(Inputs!$B$38="pvp",15,Inputs!$B$43)-(B3067))))*IF(AND(ArtifactsInput!$M$42,((Inputs!$B$9+((C3048=TRUE)*(F3048-Calc!F19))+B3060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3032*(MIN((Inputs!$B$9+((C3048=TRUE)*(F3048-Calc!F19))+B3060+(ArtifactsInput!$M$24-ArtifactsInput!$M$24)*CHOOSE(ArtifactsInput!$N$24+1,10,12,14,16,18,20)+(IF(AND(Inputs!$B$38&lt;&gt;"pvp",Inputs!$B$43=0),1,IF(IF(Inputs!$B$38="pvp",15,Inputs!$B$43)-(B3067)&lt;=0,1,MAX(0,IF(Inputs!$B$38="pvp",15,Inputs!$B$43)-MAX(5,B3067))/(IF(Inputs!$B$38="pvp",15,Inputs!$B$43)-(B3067))))*IF(AND(ArtifactsInput!$M$42,((Inputs!$B$9+((C3048=TRUE)*(F3048-Calc!F19))+B3060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32">
        <f>(1-Summary!$B$11)*T3032+Summary!$B$11*V3032</f>
        <v/>
      </c>
      <c r="P3032">
        <f>IF(B3070=0,0,O3032/B3070)</f>
        <v/>
      </c>
      <c r="Q3032">
        <f>IFERROR(1/(IF(Inputs!$B$38="pvp",15,MAX(0.1,Skills!D3-IF(TRUE=TRUE,1.5,0)))*(1-IF(AND(ArtifactsInput!$M$27,Inputs!$B$4="Chapter Hunt"),CHOOSE(ArtifactsInput!$N$27+1,20,24,28,32,36,40),0)/100)),0)</f>
        <v/>
      </c>
      <c r="R3032">
        <f>IF(AND(Inputs!$B$38&lt;&gt;"pvp",Inputs!$B$43&gt;0),IF(MAX(0,Inputs!$B$43-B3067)&lt;=0,0,(INT(MAX(0,Inputs!$B$43-B3067)/(IF(Inputs!$B$38="pvp",15,MAX(0.1,Skills!D3-IF(TRUE=TRUE,1.5,0)))*(1-IF(AND(ArtifactsInput!$M$27,Inputs!$B$4="Chapter Hunt"),CHOOSE(ArtifactsInput!$N$27+1,20,24,28,32,36,40),0)/100)))+1)),0)</f>
        <v/>
      </c>
      <c r="S3032">
        <f>IFERROR(O3032/N3032,0)</f>
        <v/>
      </c>
      <c r="T3032">
        <f>IF(C3032,(H3032*N3032*IF(AND(Inputs!$B$38&lt;&gt;"pvp",Inputs!$B$43&gt;0),((Skills!G3*((R3032-1)*IF(Skills!H3&gt;0,INT(Skills!I3/Skills!H3+0.000000001),1)+IF(Skills!H3&gt;0,INT(MIN(Skills!I3,MAX(0,MAX(0,Inputs!$B$43-B3067)-((R3032-1)*(IF(Inputs!$B$38="pvp",15,MAX(0.1,Skills!D3-IF(TRUE=TRUE,1.5,0)))*(1-IF(AND(ArtifactsInput!$M$27,Inputs!$B$4="Chapter Hunt"),CHOOSE(ArtifactsInput!$N$27+1,20,24,28,32,36,40),0)/100)))))/Skills!H3+0.000000001),1)))/Inputs!$B$43),G3032*Q3032))*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Hunt"),CHOOSE(ArtifactsInput!$N$35+1,15,18,21,24,27,30)*(1-EXP(-(0.2*B3062)*5)),0)+IF(AND(ArtifactsInput!$M$22,Inputs!$B$4&lt;&gt;"Chapter Hunt"),CHOOSE(ArtifactsInput!$N$22+1,10,12,14,16,18,20)*((0*(((0.15*B3062*5))^0/1)+1*(((0.15*B3062*5))^1/1)+2*(((0.15*B3062*5))^2/2)+3*(((0.15*B3062*5))^3/6)+4*(((0.15*B3062*5))^4/24)+5*(((0.15*B3062*5))^5/120))/((((0.15*B3062*5))^0/1)+(((0.15*B3062*5))^1/1)+(((0.15*B3062*5))^2/2)+(((0.15*B3062*5))^3/6)+(((0.15*B3062*5))^4/24)+(((0.15*B3062*5))^5/120))),0))+IF(Inputs!$B$3&gt;=54,9*(C3032=TRUE)*MIN(1,8*(1+Inputs!$B$34/100)*Q3032)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3032*(1-MIN(100,(Inputs!$B$9+((C3048=TRUE)*(F3048-Calc!F19))+B3060+(ArtifactsInput!$M$24-ArtifactsInput!$M$24)*CHOOSE(ArtifactsInput!$N$24+1,10,12,14,16,18,20)+(IF(AND(Inputs!$B$38&lt;&gt;"pvp",Inputs!$B$43=0),1,IF(IF(Inputs!$B$38="pvp",15,Inputs!$B$43)-(B3067)&lt;=0,1,MAX(0,IF(Inputs!$B$38="pvp",15,Inputs!$B$43)-MAX(5,B3067))/(IF(Inputs!$B$38="pvp",15,Inputs!$B$43)-(B3067))))*IF(AND(ArtifactsInput!$M$42,((Inputs!$B$9+((C3048=TRUE)*(F3048-Calc!F19))+B3060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3032*(MIN(100,(Inputs!$B$9+((C3048=TRUE)*(F3048-Calc!F19))+B3060+(ArtifactsInput!$M$24-ArtifactsInput!$M$24)*CHOOSE(ArtifactsInput!$N$24+1,10,12,14,16,18,20)+(IF(AND(Inputs!$B$38&lt;&gt;"pvp",Inputs!$B$43=0),1,IF(IF(Inputs!$B$38="pvp",15,Inputs!$B$43)-(B3067)&lt;=0,1,MAX(0,IF(Inputs!$B$38="pvp",15,Inputs!$B$43)-MAX(5,B3067))/(IF(Inputs!$B$38="pvp",15,Inputs!$B$43)-(B3067))))*IF(AND(ArtifactsInput!$M$42,((Inputs!$B$9+((C3048=TRUE)*(F3048-Calc!F19))+B3060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3032*(1-MIN(100,(Inputs!$B$9+((C3048=TRUE)*(F3048-Calc!F19))+B3060+(ArtifactsInput!$M$24-ArtifactsInput!$M$24)*CHOOSE(ArtifactsInput!$N$24+1,10,12,14,16,18,20)+(IF(AND(Inputs!$B$38&lt;&gt;"pvp",Inputs!$B$43=0),1,IF(IF(Inputs!$B$38="pvp",15,Inputs!$B$43)-(B3067)&lt;=0,1,MAX(0,IF(Inputs!$B$38="pvp",15,Inputs!$B$43)-MAX(5,B3067))/(IF(Inputs!$B$38="pvp",15,Inputs!$B$43)-(B3067))))*IF(AND(ArtifactsInput!$M$42,((Inputs!$B$9+((C3048=TRUE)*(F3048-Calc!F19))+B3060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3032*(MIN(100,(Inputs!$B$9+((C3048=TRUE)*(F3048-Calc!F19))+B3060+(ArtifactsInput!$M$24-ArtifactsInput!$M$24)*CHOOSE(ArtifactsInput!$N$24+1,10,12,14,16,18,20)+(IF(AND(Inputs!$B$38&lt;&gt;"pvp",Inputs!$B$43=0),1,IF(IF(Inputs!$B$38="pvp",15,Inputs!$B$43)-(B3067)&lt;=0,1,MAX(0,IF(Inputs!$B$38="pvp",15,Inputs!$B$43)-MAX(5,B3067))/(IF(Inputs!$B$38="pvp",15,Inputs!$B$43)-(B3067))))*IF(AND(ArtifactsInput!$M$42,((Inputs!$B$9+((C3048=TRUE)*(F3048-Calc!F19))+B3060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032">
        <f>INDEX(FactorTable!$B$2:$Y$301, MATCH(ROUND(MIN(300,MAX(1,U3031)),0), FactorTable!$A$2:$A$301,0), 22)</f>
        <v/>
      </c>
      <c r="V3032">
        <f>IF(C3032,(H3032*N3032*IF(AND(Inputs!$B$38&lt;&gt;"pvp",Inputs!$B$43&gt;0),((Skills!G3*((R3032-1)*IF(Skills!H3&gt;0,INT(Skills!I3/Skills!H3+0.000000001),1)+IF(Skills!H3&gt;0,INT(MIN(Skills!I3,MAX(0,MAX(0,Inputs!$B$43-B3067)-((R3032-1)*(IF(Inputs!$B$38="pvp",15,MAX(0.1,Skills!D3-IF(TRUE=TRUE,1.5,0)))*(1-IF(AND(ArtifactsInput!$M$27,Inputs!$B$4="Chapter Hunt"),CHOOSE(ArtifactsInput!$N$27+1,20,24,28,32,36,40),0)/100)))))/Skills!H3+0.000000001),1)))/Inputs!$B$43),G3032*Q3032))*IF(Inputs!$B$38="pvp",1,(1+(Inputs!$B$21+Skills!Q3+(IF(ArtifactsInput!$M$33,CHOOSE(ArtifactsInput!$N$33+1,30,36,42,48,54,60),0))+(IF(AND(ArtifactsInput!$M$35,Inputs!$B$4&lt;&gt;"Chapter Hunt"),CHOOSE(ArtifactsInput!$N$35+1,15,18,21,24,27,30)*(1-EXP(-(0.2*B3062)*5)),0)+IF(AND(ArtifactsInput!$M$22,Inputs!$B$4&lt;&gt;"Chapter Hunt"),CHOOSE(ArtifactsInput!$N$22+1,10,12,14,16,18,20)*((0*(((0.15*B3062*5))^0/1)+1*(((0.15*B3062*5))^1/1)+2*(((0.15*B3062*5))^2/2)+3*(((0.15*B3062*5))^3/6)+4*(((0.15*B3062*5))^4/24)+5*(((0.15*B3062*5))^5/120))/((((0.15*B3062*5))^0/1)+(((0.15*B3062*5))^1/1)+(((0.15*B3062*5))^2/2)+(((0.15*B3062*5))^3/6)+(((0.15*B3062*5))^4/24)+(((0.15*B3062*5))^5/120))),0))+IF(Inputs!$B$3&gt;=54,9*(C3032=TRUE)*MIN(1,8*(1+Inputs!$B$34/100)*Q3032),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33">
      <c r="A3033">
        <f>Skills!A4</f>
        <v/>
      </c>
      <c r="B3033">
        <f>Skills!B4</f>
        <v/>
      </c>
      <c r="C3033">
        <f>Inputs!$B$3&gt;=35</f>
        <v/>
      </c>
      <c r="D3033">
        <f>IF(Skills!C4=1,60+Inputs!$B$25+Inputs!$B$29,IF(Skills!C4=2,90+Inputs!$B$26+Inputs!$B$29,IF(Skills!C4=3,120+Inputs!$B$27+Inputs!$B$29,MAX(0,(Inputs!$B$3-100)*3)+Inputs!$B$28+Inputs!$B$29)))</f>
        <v/>
      </c>
      <c r="E3033">
        <f>INDEX(FactorTable!$B$2:$Y$301, MATCH(ROUND(MIN(300,MAX(1,D3033)),0), FactorTable!$A$2:$A$301,0), Skills!M4+1)</f>
        <v/>
      </c>
      <c r="F3033">
        <f>IF(Skills!N4=TRUE,(Skills!L4/10)*(E3033/1000),Skills!L4/10)+Skills!O4</f>
        <v/>
      </c>
      <c r="G3033">
        <f>Skills!G4*IF(Skills!H4&gt;0,INT(IF(Inputs!$B$38="pvp",MIN(IF(Inputs!$B$3&gt;=104,MIN(35,20*(1+Inputs!$B$34/100)),20),15),IF(Inputs!$B$3&gt;=104,MIN(35,20*(1+Inputs!$B$34/100)),20))/Skills!H4+0.000000001),1)</f>
        <v/>
      </c>
      <c r="H3033">
        <f>1-(1-Skills!J4/100)^Skills!K4</f>
        <v/>
      </c>
      <c r="I3033" t="inlineStr">
        <is>
          <t>1</t>
        </is>
      </c>
      <c r="J3033">
        <f>((Inputs!$B$6*(1+Inputs!$B$7/100))+(((Inputs!$B$12*(1+Inputs!$B$13/100))-(Inputs!$B$12*(1+Inputs!$B$13/100)))+0.25*(Inputs!$B$14-Inputs!$B$14))*(1+Inputs!$B$7/100))*(F3033/100)</f>
        <v/>
      </c>
      <c r="K3033">
        <f>J3033*(1+((Inputs!$B$12*(1+Inputs!$B$13/100))*0.01+Inputs!$B$14*0.0025)/100)*(1+Inputs!$B$15/100)*(1+Inputs!$B$16/100)*(5000/(6000+Inputs!$B$42*(1-(100*(1-(1-(Inputs!$B$19+0)/100)*(1-CHOOSE(ArtifactsInput!$N$40+1,5,6,7,8,9,10)/100)^(ArtifactsInput!$M$40-ArtifactsInput!$M$40)))/100)))*(1+(Inputs!$B$24+((C3055=TRUE)*(F3055-Calc!F26))+B3066)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3045=TRUE,F3045,0)/100)*(1+(IF(Skills!A4="EIGHT_LEGS_EASTON",Inputs!$B$17+((C3052=TRUE)*(F3052-Calc!F23))+((C3056=TRUE)*(F3056-Calc!F27))+((IF(AND(Inputs!$B$38&lt;&gt;"pvp",Inputs!$B$43=0),1,IF(IF(Inputs!$B$38="pvp",15,Inputs!$B$43)-(B3067)&lt;=0,1,MAX(0,IF(Inputs!$B$38="pvp",15,Inputs!$B$43)-MAX(5,B3067))/(IF(Inputs!$B$38="pvp",15,Inputs!$B$43)-(B3067))))*(IF(AND(ArtifactsInput!$M$42,((Inputs!$B$9+((C3048=TRUE)*(F3048-Calc!F19))+B3060+(ArtifactsInput!$M$24-ArtifactsInput!$M$24)*CHOOSE(ArtifactsInput!$N$24+1,10,12,14,16,18,20)+IF(ArtifactsInput!$M$10,CHOOSE(ArtifactsInput!$N$10+1,15,18,21,24,27,30)*(IF(Inputs!$B$38="pvp",MIN(15,15)/15,IF(AND(Inputs!$B$38&lt;&gt;"pvp",Inputs!$B$43&gt;0),MIN(15,Inputs!$B$43)/(Inputs!$B$43),0))),0)))&gt;=100),MIN(100,((Inputs!$B$9+((C3048=TRUE)*(F3048-Calc!F19))+B3060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3067)&lt;=0,1,MAX(0,IF(Inputs!$B$38="pvp",15,Inputs!$B$43)-MAX(5,B3067))/(IF(Inputs!$B$38="pvp",15,Inputs!$B$43)-(B3067))))*IF(AND(ArtifactsInput!$M$42,((Inputs!$B$9+((C3048=TRUE)*(F3048-Calc!F19))+B3060+(ArtifactsInput!$M$24-ArtifactsInput!$M$24)*CHOOSE(ArtifactsInput!$N$24+1,10,12,14,16,18,20)+IF(ArtifactsInput!$M$10,CHOOSE(ArtifactsInput!$N$10+1,15,18,21,24,27,30)*(IF(Inputs!$B$38="pvp",MIN(15,15)/15,IF(AND(Inputs!$B$38&lt;&gt;"pvp",Inputs!$B$43&gt;0),MIN(15,Inputs!$B$43)/(Inputs!$B$43),0))),0)))&gt;=100),CHOOSE(ArtifactsInput!$N$42+1,40,48,56,64,72,80),0))))/100)*((1+(((C3046=TRUE)*F3046*5/7)+((C3053=TRUE)*(F3053-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3033)</f>
        <v/>
      </c>
      <c r="L3033">
        <f>K3033*(MIN(Inputs!$B$22+((C3051=TRUE)*(F3051-Calc!F22)),(Inputs!$B$23+0+(IF(ArtifactsInput!$M$15,CHOOSE(ArtifactsInput!$N$15+1,25,30,35,40,45,50)/100*(Inputs!$B$11-Inputs!$B$11),0))))/100+(Inputs!$B$23+0+(IF(ArtifactsInput!$M$15,CHOOSE(ArtifactsInput!$N$15+1,25,30,35,40,45,50)/100*(Inputs!$B$11-Inputs!$B$11),0)))/100)/2</f>
        <v/>
      </c>
      <c r="M3033">
        <f>L3033*(1+(Inputs!$B$10+((C3054=TRUE)*(F3054-Calc!F25))+B3065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33">
        <f>L3033*(1-MIN((Inputs!$B$9+((C3048=TRUE)*(F3048-Calc!F19))+B3060+(ArtifactsInput!$M$24-ArtifactsInput!$M$24)*CHOOSE(ArtifactsInput!$N$24+1,10,12,14,16,18,20)+(IF(AND(Inputs!$B$38&lt;&gt;"pvp",Inputs!$B$43=0),1,IF(IF(Inputs!$B$38="pvp",15,Inputs!$B$43)-(B3067)&lt;=0,1,MAX(0,IF(Inputs!$B$38="pvp",15,Inputs!$B$43)-MAX(5,B3067))/(IF(Inputs!$B$38="pvp",15,Inputs!$B$43)-(B3067))))*IF(AND(ArtifactsInput!$M$42,((Inputs!$B$9+((C3048=TRUE)*(F3048-Calc!F19))+B3060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3033*(MIN((Inputs!$B$9+((C3048=TRUE)*(F3048-Calc!F19))+B3060+(ArtifactsInput!$M$24-ArtifactsInput!$M$24)*CHOOSE(ArtifactsInput!$N$24+1,10,12,14,16,18,20)+(IF(AND(Inputs!$B$38&lt;&gt;"pvp",Inputs!$B$43=0),1,IF(IF(Inputs!$B$38="pvp",15,Inputs!$B$43)-(B3067)&lt;=0,1,MAX(0,IF(Inputs!$B$38="pvp",15,Inputs!$B$43)-MAX(5,B3067))/(IF(Inputs!$B$38="pvp",15,Inputs!$B$43)-(B3067))))*IF(AND(ArtifactsInput!$M$42,((Inputs!$B$9+((C3048=TRUE)*(F3048-Calc!F19))+B3060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33">
        <f>(1-Summary!$B$11)*T3033+Summary!$B$11*V3033</f>
        <v/>
      </c>
      <c r="P3033">
        <f>IF(B3070=0,0,O3033/B3070)</f>
        <v/>
      </c>
      <c r="Q3033">
        <f>IFERROR(1/(IF(Inputs!$B$38="pvp",15,MAX(0.1,Skills!D4-IF(TRUE=TRUE,1.5,0)))*(1-IF(AND(ArtifactsInput!$M$27,Inputs!$B$4="Chapter Hunt"),CHOOSE(ArtifactsInput!$N$27+1,20,24,28,32,36,40),0)/100)),0)</f>
        <v/>
      </c>
      <c r="R3033">
        <f>IF(AND(Inputs!$B$38&lt;&gt;"pvp",Inputs!$B$43&gt;0),IF(MAX(0,Inputs!$B$43-B3067)&lt;=0,0,(INT(MAX(0,Inputs!$B$43-B3067)/(IF(Inputs!$B$38="pvp",15,MAX(0.1,Skills!D4-IF(TRUE=TRUE,1.5,0)))*(1-IF(AND(ArtifactsInput!$M$27,Inputs!$B$4="Chapter Hunt"),CHOOSE(ArtifactsInput!$N$27+1,20,24,28,32,36,40),0)/100)))+1)),0)</f>
        <v/>
      </c>
      <c r="S3033">
        <f>IFERROR(O3033/N3033,0)</f>
        <v/>
      </c>
      <c r="T3033">
        <f>IF(C3033,(H3033*N3033*IF(AND(Inputs!$B$38&lt;&gt;"pvp",Inputs!$B$43&gt;0),((Skills!G4*((R3033-1)*IF(Skills!H4&gt;0,INT(IF(Inputs!$B$3&gt;=104,MIN(35,20*(1+Inputs!$B$34/100)),20)/Skills!H4+0.000000001),1)+IF(Skills!H4&gt;0,INT(MIN(IF(Inputs!$B$3&gt;=104,MIN(35,20*(1+Inputs!$B$34/100)),20),MAX(0,MAX(0,Inputs!$B$43-B3067)-((R3033-1)*(IF(Inputs!$B$38="pvp",15,MAX(0.1,Skills!D4-IF(TRUE=TRUE,1.5,0)))*(1-IF(AND(ArtifactsInput!$M$27,Inputs!$B$4="Chapter Hunt"),CHOOSE(ArtifactsInput!$N$27+1,20,24,28,32,36,40),0)/100)))))/Skills!H4+0.000000001),1)))/Inputs!$B$43),G3033*Q3033))*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Hunt"),CHOOSE(ArtifactsInput!$N$35+1,15,18,21,24,27,30)*(1-EXP(-(0.2*B3062)*5)),0)+IF(AND(ArtifactsInput!$M$22,Inputs!$B$4&lt;&gt;"Chapter Hunt"),CHOOSE(ArtifactsInput!$N$22+1,10,12,14,16,18,20)*((0*(((0.15*B3062*5))^0/1)+1*(((0.15*B3062*5))^1/1)+2*(((0.15*B3062*5))^2/2)+3*(((0.15*B3062*5))^3/6)+4*(((0.15*B3062*5))^4/24)+5*(((0.15*B3062*5))^5/120))/((((0.15*B3062*5))^0/1)+(((0.15*B3062*5))^1/1)+(((0.15*B3062*5))^2/2)+(((0.15*B3062*5))^3/6)+(((0.15*B3062*5))^4/24)+(((0.15*B3062*5))^5/120))),0))+IF(Inputs!$B$3&gt;=54,9*(C3032=TRUE)*MIN(1,8*(1+Inputs!$B$34/100)*Q3032)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3033*(1-MIN(100,(Inputs!$B$9+((C3048=TRUE)*(F3048-Calc!F19))+B3060+(ArtifactsInput!$M$24-ArtifactsInput!$M$24)*CHOOSE(ArtifactsInput!$N$24+1,10,12,14,16,18,20)+(IF(AND(Inputs!$B$38&lt;&gt;"pvp",Inputs!$B$43=0),1,IF(IF(Inputs!$B$38="pvp",15,Inputs!$B$43)-(B3067)&lt;=0,1,MAX(0,IF(Inputs!$B$38="pvp",15,Inputs!$B$43)-MAX(5,B3067))/(IF(Inputs!$B$38="pvp",15,Inputs!$B$43)-(B3067))))*IF(AND(ArtifactsInput!$M$42,((Inputs!$B$9+((C3048=TRUE)*(F3048-Calc!F19))+B3060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3033*(MIN(100,(Inputs!$B$9+((C3048=TRUE)*(F3048-Calc!F19))+B3060+(ArtifactsInput!$M$24-ArtifactsInput!$M$24)*CHOOSE(ArtifactsInput!$N$24+1,10,12,14,16,18,20)+(IF(AND(Inputs!$B$38&lt;&gt;"pvp",Inputs!$B$43=0),1,IF(IF(Inputs!$B$38="pvp",15,Inputs!$B$43)-(B3067)&lt;=0,1,MAX(0,IF(Inputs!$B$38="pvp",15,Inputs!$B$43)-MAX(5,B3067))/(IF(Inputs!$B$38="pvp",15,Inputs!$B$43)-(B3067))))*IF(AND(ArtifactsInput!$M$42,((Inputs!$B$9+((C3048=TRUE)*(F3048-Calc!F19))+B3060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3033*(1-MIN(100,(Inputs!$B$9+((C3048=TRUE)*(F3048-Calc!F19))+B3060+(ArtifactsInput!$M$24-ArtifactsInput!$M$24)*CHOOSE(ArtifactsInput!$N$24+1,10,12,14,16,18,20)+(IF(AND(Inputs!$B$38&lt;&gt;"pvp",Inputs!$B$43=0),1,IF(IF(Inputs!$B$38="pvp",15,Inputs!$B$43)-(B3067)&lt;=0,1,MAX(0,IF(Inputs!$B$38="pvp",15,Inputs!$B$43)-MAX(5,B3067))/(IF(Inputs!$B$38="pvp",15,Inputs!$B$43)-(B3067))))*IF(AND(ArtifactsInput!$M$42,((Inputs!$B$9+((C3048=TRUE)*(F3048-Calc!F19))+B3060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3033*(MIN(100,(Inputs!$B$9+((C3048=TRUE)*(F3048-Calc!F19))+B3060+(ArtifactsInput!$M$24-ArtifactsInput!$M$24)*CHOOSE(ArtifactsInput!$N$24+1,10,12,14,16,18,20)+(IF(AND(Inputs!$B$38&lt;&gt;"pvp",Inputs!$B$43=0),1,IF(IF(Inputs!$B$38="pvp",15,Inputs!$B$43)-(B3067)&lt;=0,1,MAX(0,IF(Inputs!$B$38="pvp",15,Inputs!$B$43)-MAX(5,B3067))/(IF(Inputs!$B$38="pvp",15,Inputs!$B$43)-(B3067))))*IF(AND(ArtifactsInput!$M$42,((Inputs!$B$9+((C3048=TRUE)*(F3048-Calc!F19))+B3060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033">
        <f>290*U3032/1000</f>
        <v/>
      </c>
      <c r="V3033">
        <f>IF(C3033,(H3033*N3033*IF(AND(Inputs!$B$38&lt;&gt;"pvp",Inputs!$B$43&gt;0),((Skills!G4*((R3033-1)*IF(Skills!H4&gt;0,INT(IF(Inputs!$B$3&gt;=104,MIN(35,20*(1+Inputs!$B$34/100)),20)/Skills!H4+0.000000001),1)+IF(Skills!H4&gt;0,INT(MIN(IF(Inputs!$B$3&gt;=104,MIN(35,20*(1+Inputs!$B$34/100)),20),MAX(0,MAX(0,Inputs!$B$43-B3067)-((R3033-1)*(IF(Inputs!$B$38="pvp",15,MAX(0.1,Skills!D4-IF(TRUE=TRUE,1.5,0)))*(1-IF(AND(ArtifactsInput!$M$27,Inputs!$B$4="Chapter Hunt"),CHOOSE(ArtifactsInput!$N$27+1,20,24,28,32,36,40),0)/100)))))/Skills!H4+0.000000001),1)))/Inputs!$B$43),G3033*Q3033))*IF(Inputs!$B$38="pvp",1,(1+(Inputs!$B$21+Skills!Q4+(IF(ArtifactsInput!$M$33,CHOOSE(ArtifactsInput!$N$33+1,30,36,42,48,54,60),0))+(IF(AND(ArtifactsInput!$M$35,Inputs!$B$4&lt;&gt;"Chapter Hunt"),CHOOSE(ArtifactsInput!$N$35+1,15,18,21,24,27,30)*(1-EXP(-(0.2*B3062)*5)),0)+IF(AND(ArtifactsInput!$M$22,Inputs!$B$4&lt;&gt;"Chapter Hunt"),CHOOSE(ArtifactsInput!$N$22+1,10,12,14,16,18,20)*((0*(((0.15*B3062*5))^0/1)+1*(((0.15*B3062*5))^1/1)+2*(((0.15*B3062*5))^2/2)+3*(((0.15*B3062*5))^3/6)+4*(((0.15*B3062*5))^4/24)+5*(((0.15*B3062*5))^5/120))/((((0.15*B3062*5))^0/1)+(((0.15*B3062*5))^1/1)+(((0.15*B3062*5))^2/2)+(((0.15*B3062*5))^3/6)+(((0.15*B3062*5))^4/24)+(((0.15*B3062*5))^5/120))),0))+IF(Inputs!$B$3&gt;=54,9*(C3032=TRUE)*MIN(1,8*(1+Inputs!$B$34/100)*Q3032),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34">
      <c r="A3034">
        <f>Skills!A5</f>
        <v/>
      </c>
      <c r="B3034">
        <f>Skills!B5</f>
        <v/>
      </c>
      <c r="C3034">
        <f>Inputs!$B$3&gt;=69</f>
        <v/>
      </c>
      <c r="D3034">
        <f>IF(Skills!C5=1,60+Inputs!$B$25+Inputs!$B$29,IF(Skills!C5=2,90+Inputs!$B$26+Inputs!$B$29,IF(Skills!C5=3,120+Inputs!$B$27+Inputs!$B$29,MAX(0,(Inputs!$B$3-100)*3)+Inputs!$B$28+Inputs!$B$29)))</f>
        <v/>
      </c>
      <c r="E3034">
        <f>INDEX(FactorTable!$B$2:$Y$301, MATCH(ROUND(MIN(300,MAX(1,D3034)),0), FactorTable!$A$2:$A$301,0), Skills!M5+1)</f>
        <v/>
      </c>
      <c r="F3034">
        <f>IF(Skills!N5=TRUE,(Skills!L5/10)*(E3034/1000),Skills!L5/10)+Skills!O5</f>
        <v/>
      </c>
      <c r="G3034">
        <f>Skills!G5*IF(Skills!H5&gt;0,INT(IF(Inputs!$B$38="pvp",MIN(IF(Inputs!$B$3&gt;=104,MIN(35,20*(1+Inputs!$B$34/100)),20),15),IF(Inputs!$B$3&gt;=104,MIN(35,20*(1+Inputs!$B$34/100)),20))/Skills!H5+0.000000001),1)</f>
        <v/>
      </c>
      <c r="H3034">
        <f>1-(1-Skills!J5/100)^Skills!K5</f>
        <v/>
      </c>
      <c r="I3034" t="inlineStr">
        <is>
          <t>1</t>
        </is>
      </c>
      <c r="J3034">
        <f>((Inputs!$B$6*(1+Inputs!$B$7/100))+(((Inputs!$B$12*(1+Inputs!$B$13/100))-(Inputs!$B$12*(1+Inputs!$B$13/100)))+0.25*(Inputs!$B$14-Inputs!$B$14))*(1+Inputs!$B$7/100))*(F3034/100)</f>
        <v/>
      </c>
      <c r="K3034">
        <f>J3034*(1+((Inputs!$B$12*(1+Inputs!$B$13/100))*0.01+Inputs!$B$14*0.0025)/100)*(1+Inputs!$B$15/100)*(1+Inputs!$B$16/100)*(5000/(6000+Inputs!$B$42*(1-(100*(1-(1-(Inputs!$B$19+0)/100)*(1-CHOOSE(ArtifactsInput!$N$40+1,5,6,7,8,9,10)/100)^(ArtifactsInput!$M$40-ArtifactsInput!$M$40)))/100)))*(1+(Inputs!$B$24+((C3055=TRUE)*(F3055-Calc!F26))+B3066)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+0.4*IF(C3045=TRUE,F3045,0)/100)*(1+(IF(Skills!A5="EIGHT_LEGS_EASTON",Inputs!$B$17+((C3052=TRUE)*(F3052-Calc!F23))+((C3056=TRUE)*(F3056-Calc!F27))+((IF(AND(Inputs!$B$38&lt;&gt;"pvp",Inputs!$B$43=0),1,IF(IF(Inputs!$B$38="pvp",15,Inputs!$B$43)-(B3067)&lt;=0,1,MAX(0,IF(Inputs!$B$38="pvp",15,Inputs!$B$43)-MAX(5,B3067))/(IF(Inputs!$B$38="pvp",15,Inputs!$B$43)-(B3067))))*(IF(AND(ArtifactsInput!$M$42,((Inputs!$B$9+((C3048=TRUE)*(F3048-Calc!F19))+B3060+(ArtifactsInput!$M$24-ArtifactsInput!$M$24)*CHOOSE(ArtifactsInput!$N$24+1,10,12,14,16,18,20)+IF(ArtifactsInput!$M$10,CHOOSE(ArtifactsInput!$N$10+1,15,18,21,24,27,30)*(IF(Inputs!$B$38="pvp",MIN(15,15)/15,IF(AND(Inputs!$B$38&lt;&gt;"pvp",Inputs!$B$43&gt;0),MIN(15,Inputs!$B$43)/(Inputs!$B$43),0))),0)))&gt;=100),MIN(100,((Inputs!$B$9+((C3048=TRUE)*(F3048-Calc!F19))+B3060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3067)&lt;=0,1,MAX(0,IF(Inputs!$B$38="pvp",15,Inputs!$B$43)-MAX(5,B3067))/(IF(Inputs!$B$38="pvp",15,Inputs!$B$43)-(B3067))))*IF(AND(ArtifactsInput!$M$42,((Inputs!$B$9+((C3048=TRUE)*(F3048-Calc!F19))+B3060+(ArtifactsInput!$M$24-ArtifactsInput!$M$24)*CHOOSE(ArtifactsInput!$N$24+1,10,12,14,16,18,20)+IF(ArtifactsInput!$M$10,CHOOSE(ArtifactsInput!$N$10+1,15,18,21,24,27,30)*(IF(Inputs!$B$38="pvp",MIN(15,15)/15,IF(AND(Inputs!$B$38&lt;&gt;"pvp",Inputs!$B$43&gt;0),MIN(15,Inputs!$B$43)/(Inputs!$B$43),0))),0)))&gt;=100),CHOOSE(ArtifactsInput!$N$42+1,40,48,56,64,72,80),0))))/100)*((1+(((C3046=TRUE)*F3046*5/7)+((C3053=TRUE)*(F3053-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3034)</f>
        <v/>
      </c>
      <c r="L3034">
        <f>K3034*(MIN(Inputs!$B$22+((C3051=TRUE)*(F3051-Calc!F22)),(Inputs!$B$23+0+(IF(ArtifactsInput!$M$15,CHOOSE(ArtifactsInput!$N$15+1,25,30,35,40,45,50)/100*(Inputs!$B$11-Inputs!$B$11),0))))/100+(Inputs!$B$23+0+(IF(ArtifactsInput!$M$15,CHOOSE(ArtifactsInput!$N$15+1,25,30,35,40,45,50)/100*(Inputs!$B$11-Inputs!$B$11),0)))/100)/2</f>
        <v/>
      </c>
      <c r="M3034">
        <f>L3034*(1+(Inputs!$B$10+((C3054=TRUE)*(F3054-Calc!F25))+B3065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34">
        <f>L3034*(1-MIN((Inputs!$B$9+((C3048=TRUE)*(F3048-Calc!F19))+B3060+(ArtifactsInput!$M$24-ArtifactsInput!$M$24)*CHOOSE(ArtifactsInput!$N$24+1,10,12,14,16,18,20)+(IF(AND(Inputs!$B$38&lt;&gt;"pvp",Inputs!$B$43=0),1,IF(IF(Inputs!$B$38="pvp",15,Inputs!$B$43)-(B3067)&lt;=0,1,MAX(0,IF(Inputs!$B$38="pvp",15,Inputs!$B$43)-MAX(5,B3067))/(IF(Inputs!$B$38="pvp",15,Inputs!$B$43)-(B3067))))*IF(AND(ArtifactsInput!$M$42,((Inputs!$B$9+((C3048=TRUE)*(F3048-Calc!F19))+B3060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3034*(MIN((Inputs!$B$9+((C3048=TRUE)*(F3048-Calc!F19))+B3060+(ArtifactsInput!$M$24-ArtifactsInput!$M$24)*CHOOSE(ArtifactsInput!$N$24+1,10,12,14,16,18,20)+(IF(AND(Inputs!$B$38&lt;&gt;"pvp",Inputs!$B$43=0),1,IF(IF(Inputs!$B$38="pvp",15,Inputs!$B$43)-(B3067)&lt;=0,1,MAX(0,IF(Inputs!$B$38="pvp",15,Inputs!$B$43)-MAX(5,B3067))/(IF(Inputs!$B$38="pvp",15,Inputs!$B$43)-(B3067))))*IF(AND(ArtifactsInput!$M$42,((Inputs!$B$9+((C3048=TRUE)*(F3048-Calc!F19))+B3060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34">
        <f>(1-Summary!$B$11)*T3034+Summary!$B$11*V3034</f>
        <v/>
      </c>
      <c r="P3034">
        <f>IF(B3070=0,0,O3034/B3070)</f>
        <v/>
      </c>
      <c r="Q3034">
        <f>IFERROR(1/(IF(Inputs!$B$38="pvp",15,MAX(0.1,Skills!D5-IF(TRUE=TRUE,1.5,0)))*(1-IF(AND(ArtifactsInput!$M$27,Inputs!$B$4="Chapter Hunt"),CHOOSE(ArtifactsInput!$N$27+1,20,24,28,32,36,40),0)/100)),0)</f>
        <v/>
      </c>
      <c r="R3034">
        <f>IF(AND(Inputs!$B$38&lt;&gt;"pvp",Inputs!$B$43&gt;0),IF(MAX(0,Inputs!$B$43-B3067)&lt;=0,0,(INT(MAX(0,Inputs!$B$43-B3067)/(IF(Inputs!$B$38="pvp",15,MAX(0.1,Skills!D5-IF(TRUE=TRUE,1.5,0)))*(1-IF(AND(ArtifactsInput!$M$27,Inputs!$B$4="Chapter Hunt"),CHOOSE(ArtifactsInput!$N$27+1,20,24,28,32,36,40),0)/100)))+1)),0)</f>
        <v/>
      </c>
      <c r="S3034">
        <f>IFERROR(O3034/N3034,0)</f>
        <v/>
      </c>
      <c r="T3034">
        <f>IF(C3034,(H3034*N3034*IF(AND(Inputs!$B$38&lt;&gt;"pvp",Inputs!$B$43&gt;0),((Skills!G5*((R3034-1)*IF(Skills!H5&gt;0,INT(IF(Inputs!$B$3&gt;=104,MIN(35,20*(1+Inputs!$B$34/100)),20)/Skills!H5+0.000000001),1)+IF(Skills!H5&gt;0,INT(MIN(IF(Inputs!$B$3&gt;=104,MIN(35,20*(1+Inputs!$B$34/100)),20),MAX(0,MAX(0,Inputs!$B$43-B3067)-((R3034-1)*(IF(Inputs!$B$38="pvp",15,MAX(0.1,Skills!D5-IF(TRUE=TRUE,1.5,0)))*(1-IF(AND(ArtifactsInput!$M$27,Inputs!$B$4="Chapter Hunt"),CHOOSE(ArtifactsInput!$N$27+1,20,24,28,32,36,40),0)/100)))))/Skills!H5+0.000000001),1)))/Inputs!$B$43),G3034*Q3034))*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Hunt"),CHOOSE(ArtifactsInput!$N$35+1,15,18,21,24,27,30)*(1-EXP(-(0.2*B3062)*5)),0)+IF(AND(ArtifactsInput!$M$22,Inputs!$B$4&lt;&gt;"Chapter Hunt"),CHOOSE(ArtifactsInput!$N$22+1,10,12,14,16,18,20)*((0*(((0.15*B3062*5))^0/1)+1*(((0.15*B3062*5))^1/1)+2*(((0.15*B3062*5))^2/2)+3*(((0.15*B3062*5))^3/6)+4*(((0.15*B3062*5))^4/24)+5*(((0.15*B3062*5))^5/120))/((((0.15*B3062*5))^0/1)+(((0.15*B3062*5))^1/1)+(((0.15*B3062*5))^2/2)+(((0.15*B3062*5))^3/6)+(((0.15*B3062*5))^4/24)+(((0.15*B3062*5))^5/120))),0))+IF(Inputs!$B$3&gt;=54,9*(C3032=TRUE)*MIN(1,8*(1+Inputs!$B$34/100)*Q3032)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3034*(1-MIN(100,(Inputs!$B$9+((C3048=TRUE)*(F3048-Calc!F19))+B3060+(ArtifactsInput!$M$24-ArtifactsInput!$M$24)*CHOOSE(ArtifactsInput!$N$24+1,10,12,14,16,18,20)+(IF(AND(Inputs!$B$38&lt;&gt;"pvp",Inputs!$B$43=0),1,IF(IF(Inputs!$B$38="pvp",15,Inputs!$B$43)-(B3067)&lt;=0,1,MAX(0,IF(Inputs!$B$38="pvp",15,Inputs!$B$43)-MAX(5,B3067))/(IF(Inputs!$B$38="pvp",15,Inputs!$B$43)-(B3067))))*IF(AND(ArtifactsInput!$M$42,((Inputs!$B$9+((C3048=TRUE)*(F3048-Calc!F19))+B3060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3034*(MIN(100,(Inputs!$B$9+((C3048=TRUE)*(F3048-Calc!F19))+B3060+(ArtifactsInput!$M$24-ArtifactsInput!$M$24)*CHOOSE(ArtifactsInput!$N$24+1,10,12,14,16,18,20)+(IF(AND(Inputs!$B$38&lt;&gt;"pvp",Inputs!$B$43=0),1,IF(IF(Inputs!$B$38="pvp",15,Inputs!$B$43)-(B3067)&lt;=0,1,MAX(0,IF(Inputs!$B$38="pvp",15,Inputs!$B$43)-MAX(5,B3067))/(IF(Inputs!$B$38="pvp",15,Inputs!$B$43)-(B3067))))*IF(AND(ArtifactsInput!$M$42,((Inputs!$B$9+((C3048=TRUE)*(F3048-Calc!F19))+B3060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3034*(1-MIN(100,(Inputs!$B$9+((C3048=TRUE)*(F3048-Calc!F19))+B3060+(ArtifactsInput!$M$24-ArtifactsInput!$M$24)*CHOOSE(ArtifactsInput!$N$24+1,10,12,14,16,18,20)+(IF(AND(Inputs!$B$38&lt;&gt;"pvp",Inputs!$B$43=0),1,IF(IF(Inputs!$B$38="pvp",15,Inputs!$B$43)-(B3067)&lt;=0,1,MAX(0,IF(Inputs!$B$38="pvp",15,Inputs!$B$43)-MAX(5,B3067))/(IF(Inputs!$B$38="pvp",15,Inputs!$B$43)-(B3067))))*IF(AND(ArtifactsInput!$M$42,((Inputs!$B$9+((C3048=TRUE)*(F3048-Calc!F19))+B3060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3034*(MIN(100,(Inputs!$B$9+((C3048=TRUE)*(F3048-Calc!F19))+B3060+(ArtifactsInput!$M$24-ArtifactsInput!$M$24)*CHOOSE(ArtifactsInput!$N$24+1,10,12,14,16,18,20)+(IF(AND(Inputs!$B$38&lt;&gt;"pvp",Inputs!$B$43=0),1,IF(IF(Inputs!$B$38="pvp",15,Inputs!$B$43)-(B3067)&lt;=0,1,MAX(0,IF(Inputs!$B$38="pvp",15,Inputs!$B$43)-MAX(5,B3067))/(IF(Inputs!$B$38="pvp",15,Inputs!$B$43)-(B3067))))*IF(AND(ArtifactsInput!$M$42,((Inputs!$B$9+((C3048=TRUE)*(F3048-Calc!F19))+B3060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034">
        <f>IF(C3034,(H3034*N3034*IF(AND(Inputs!$B$38&lt;&gt;"pvp",Inputs!$B$43&gt;0),((Skills!G5*((R3034-1)*IF(Skills!H5&gt;0,INT(IF(Inputs!$B$3&gt;=104,MIN(35,20*(1+Inputs!$B$34/100)),20)/Skills!H5+0.000000001),1)+IF(Skills!H5&gt;0,INT(MIN(IF(Inputs!$B$3&gt;=104,MIN(35,20*(1+Inputs!$B$34/100)),20),MAX(0,MAX(0,Inputs!$B$43-B3067)-((R3034-1)*(IF(Inputs!$B$38="pvp",15,MAX(0.1,Skills!D5-IF(TRUE=TRUE,1.5,0)))*(1-IF(AND(ArtifactsInput!$M$27,Inputs!$B$4="Chapter Hunt"),CHOOSE(ArtifactsInput!$N$27+1,20,24,28,32,36,40),0)/100)))))/Skills!H5+0.000000001),1)))/Inputs!$B$43),G3034*Q3034))*IF(Inputs!$B$38="pvp",1,(1+(Inputs!$B$21+Skills!Q5+(IF(ArtifactsInput!$M$33,CHOOSE(ArtifactsInput!$N$33+1,30,36,42,48,54,60),0))+(IF(AND(ArtifactsInput!$M$35,Inputs!$B$4&lt;&gt;"Chapter Hunt"),CHOOSE(ArtifactsInput!$N$35+1,15,18,21,24,27,30)*(1-EXP(-(0.2*B3062)*5)),0)+IF(AND(ArtifactsInput!$M$22,Inputs!$B$4&lt;&gt;"Chapter Hunt"),CHOOSE(ArtifactsInput!$N$22+1,10,12,14,16,18,20)*((0*(((0.15*B3062*5))^0/1)+1*(((0.15*B3062*5))^1/1)+2*(((0.15*B3062*5))^2/2)+3*(((0.15*B3062*5))^3/6)+4*(((0.15*B3062*5))^4/24)+5*(((0.15*B3062*5))^5/120))/((((0.15*B3062*5))^0/1)+(((0.15*B3062*5))^1/1)+(((0.15*B3062*5))^2/2)+(((0.15*B3062*5))^3/6)+(((0.15*B3062*5))^4/24)+(((0.15*B3062*5))^5/120))),0))+IF(Inputs!$B$3&gt;=54,9*(C3032=TRUE)*MIN(1,8*(1+Inputs!$B$34/100)*Q3032),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35">
      <c r="A3035">
        <f>Skills!A6</f>
        <v/>
      </c>
      <c r="B3035">
        <f>Skills!B6</f>
        <v/>
      </c>
      <c r="C3035">
        <f>Inputs!$B$3&gt;=66</f>
        <v/>
      </c>
      <c r="D3035">
        <f>IF(Skills!C6=1,60+Inputs!$B$25+Inputs!$B$29,IF(Skills!C6=2,90+Inputs!$B$26+Inputs!$B$29,IF(Skills!C6=3,120+Inputs!$B$27+Inputs!$B$29,MAX(0,(Inputs!$B$3-100)*3)+Inputs!$B$28+Inputs!$B$29)))</f>
        <v/>
      </c>
      <c r="E3035">
        <f>INDEX(FactorTable!$B$2:$Y$301, MATCH(ROUND(MIN(300,MAX(1,D3035)),0), FactorTable!$A$2:$A$301,0), Skills!M6+1)</f>
        <v/>
      </c>
      <c r="F3035">
        <f>IF(Skills!N6=TRUE,(Skills!L6/10)*(E3035/1000),Skills!L6/10)+Skills!O6</f>
        <v/>
      </c>
      <c r="G3035">
        <f>Skills!G6*IF(Skills!H6&gt;0,INT(IF(Inputs!$B$38="pvp",MIN(Skills!I6,15),Skills!I6)/Skills!H6+0.000000001),1)</f>
        <v/>
      </c>
      <c r="H3035">
        <f>1-(1-Skills!J6/100)^Skills!K6</f>
        <v/>
      </c>
      <c r="I3035" t="inlineStr">
        <is>
          <t>1</t>
        </is>
      </c>
      <c r="J3035">
        <f>((Inputs!$B$6*(1+Inputs!$B$7/100))+(((Inputs!$B$12*(1+Inputs!$B$13/100))-(Inputs!$B$12*(1+Inputs!$B$13/100)))+0.25*(Inputs!$B$14-Inputs!$B$14))*(1+Inputs!$B$7/100))*(F3035/100)</f>
        <v/>
      </c>
      <c r="K3035">
        <f>J3035*(1+((Inputs!$B$12*(1+Inputs!$B$13/100))*0.01+Inputs!$B$14*0.0025)/100)*(1+Inputs!$B$15/100)*(1+Inputs!$B$16/100)*(5000/(6000+Inputs!$B$42*(1-(100*(1-(1-(Inputs!$B$19+0)/100)*(1-CHOOSE(ArtifactsInput!$N$40+1,5,6,7,8,9,10)/100)^(ArtifactsInput!$M$40-ArtifactsInput!$M$40)))/100)))*(1+(Inputs!$B$24+((C3055=TRUE)*(F3055-Calc!F26))+B3066)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+2.0*IF(C3044=TRUE,F3044,0)/100)*(1+(IF(Skills!A6="EIGHT_LEGS_EASTON",Inputs!$B$17+((C3052=TRUE)*(F3052-Calc!F23))+((C3056=TRUE)*(F3056-Calc!F27))+((IF(AND(Inputs!$B$38&lt;&gt;"pvp",Inputs!$B$43=0),1,IF(IF(Inputs!$B$38="pvp",15,Inputs!$B$43)-(B3067)&lt;=0,1,MAX(0,IF(Inputs!$B$38="pvp",15,Inputs!$B$43)-MAX(5,B3067))/(IF(Inputs!$B$38="pvp",15,Inputs!$B$43)-(B3067))))*(IF(AND(ArtifactsInput!$M$42,((Inputs!$B$9+((C3048=TRUE)*(F3048-Calc!F19))+B3060+(ArtifactsInput!$M$24-ArtifactsInput!$M$24)*CHOOSE(ArtifactsInput!$N$24+1,10,12,14,16,18,20)+IF(ArtifactsInput!$M$10,CHOOSE(ArtifactsInput!$N$10+1,15,18,21,24,27,30)*(IF(Inputs!$B$38="pvp",MIN(15,15)/15,IF(AND(Inputs!$B$38&lt;&gt;"pvp",Inputs!$B$43&gt;0),MIN(15,Inputs!$B$43)/(Inputs!$B$43),0))),0)))&gt;=100),MIN(100,((Inputs!$B$9+((C3048=TRUE)*(F3048-Calc!F19))+B3060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3067)&lt;=0,1,MAX(0,IF(Inputs!$B$38="pvp",15,Inputs!$B$43)-MAX(5,B3067))/(IF(Inputs!$B$38="pvp",15,Inputs!$B$43)-(B3067))))*IF(AND(ArtifactsInput!$M$42,((Inputs!$B$9+((C3048=TRUE)*(F3048-Calc!F19))+B3060+(ArtifactsInput!$M$24-ArtifactsInput!$M$24)*CHOOSE(ArtifactsInput!$N$24+1,10,12,14,16,18,20)+IF(ArtifactsInput!$M$10,CHOOSE(ArtifactsInput!$N$10+1,15,18,21,24,27,30)*(IF(Inputs!$B$38="pvp",MIN(15,15)/15,IF(AND(Inputs!$B$38&lt;&gt;"pvp",Inputs!$B$43&gt;0),MIN(15,Inputs!$B$43)/(Inputs!$B$43),0))),0)))&gt;=100),CHOOSE(ArtifactsInput!$N$42+1,40,48,56,64,72,80),0))))/100)*((1+(((C3046=TRUE)*F3046*5/7)+((C3053=TRUE)*(F3053-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3035)</f>
        <v/>
      </c>
      <c r="L3035">
        <f>K3035*(MIN(Inputs!$B$22+((C3051=TRUE)*(F3051-Calc!F22)),(Inputs!$B$23+0+(IF(ArtifactsInput!$M$15,CHOOSE(ArtifactsInput!$N$15+1,25,30,35,40,45,50)/100*(Inputs!$B$11-Inputs!$B$11),0))))/100+(Inputs!$B$23+0+(IF(ArtifactsInput!$M$15,CHOOSE(ArtifactsInput!$N$15+1,25,30,35,40,45,50)/100*(Inputs!$B$11-Inputs!$B$11),0)))/100)/2</f>
        <v/>
      </c>
      <c r="M3035">
        <f>L3035*(1+(Inputs!$B$10+((C3054=TRUE)*(F3054-Calc!F25))+B3065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35">
        <f>L3035*(1-MIN((Inputs!$B$9+((C3048=TRUE)*(F3048-Calc!F19))+B3060+(ArtifactsInput!$M$24-ArtifactsInput!$M$24)*CHOOSE(ArtifactsInput!$N$24+1,10,12,14,16,18,20)+(IF(AND(Inputs!$B$38&lt;&gt;"pvp",Inputs!$B$43=0),1,IF(IF(Inputs!$B$38="pvp",15,Inputs!$B$43)-(B3067)&lt;=0,1,MAX(0,IF(Inputs!$B$38="pvp",15,Inputs!$B$43)-MAX(5,B3067))/(IF(Inputs!$B$38="pvp",15,Inputs!$B$43)-(B3067))))*IF(AND(ArtifactsInput!$M$42,((Inputs!$B$9+((C3048=TRUE)*(F3048-Calc!F19))+B3060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3035*(MIN((Inputs!$B$9+((C3048=TRUE)*(F3048-Calc!F19))+B3060+(ArtifactsInput!$M$24-ArtifactsInput!$M$24)*CHOOSE(ArtifactsInput!$N$24+1,10,12,14,16,18,20)+(IF(AND(Inputs!$B$38&lt;&gt;"pvp",Inputs!$B$43=0),1,IF(IF(Inputs!$B$38="pvp",15,Inputs!$B$43)-(B3067)&lt;=0,1,MAX(0,IF(Inputs!$B$38="pvp",15,Inputs!$B$43)-MAX(5,B3067))/(IF(Inputs!$B$38="pvp",15,Inputs!$B$43)-(B3067))))*IF(AND(ArtifactsInput!$M$42,((Inputs!$B$9+((C3048=TRUE)*(F3048-Calc!F19))+B3060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35">
        <f>(1-Summary!$B$11)*T3035+Summary!$B$11*V3035</f>
        <v/>
      </c>
      <c r="P3035">
        <f>IF(B3070=0,0,O3035/B3070)</f>
        <v/>
      </c>
      <c r="Q3035">
        <f>IFERROR(1/(IF(Inputs!$B$38="pvp",15,MAX(0.1,Skills!D6-IF(TRUE=TRUE,1.5,0)))*(1-IF(AND(ArtifactsInput!$M$27,Inputs!$B$4="Chapter Hunt"),CHOOSE(ArtifactsInput!$N$27+1,20,24,28,32,36,40),0)/100)),0)</f>
        <v/>
      </c>
      <c r="R3035">
        <f>IF(AND(Inputs!$B$38&lt;&gt;"pvp",Inputs!$B$43&gt;0),IF(MAX(0,Inputs!$B$43-B3067)&lt;=0,0,(INT(MAX(0,Inputs!$B$43-B3067)/(IF(Inputs!$B$38="pvp",15,MAX(0.1,Skills!D6-IF(TRUE=TRUE,1.5,0)))*(1-IF(AND(ArtifactsInput!$M$27,Inputs!$B$4="Chapter Hunt"),CHOOSE(ArtifactsInput!$N$27+1,20,24,28,32,36,40),0)/100)))+1)),0)</f>
        <v/>
      </c>
      <c r="S3035">
        <f>IFERROR(O3035/N3035,0)</f>
        <v/>
      </c>
      <c r="T3035">
        <f>IF(C3035,(H3035*N3035*IF(AND(Inputs!$B$38&lt;&gt;"pvp",Inputs!$B$43&gt;0),((Skills!G6*((R3035-1)*IF(Skills!H6&gt;0,INT(Skills!I6/Skills!H6+0.000000001),1)+IF(Skills!H6&gt;0,INT(MIN(Skills!I6,MAX(0,MAX(0,Inputs!$B$43-B3067)-((R3035-1)*(IF(Inputs!$B$38="pvp",15,MAX(0.1,Skills!D6-IF(TRUE=TRUE,1.5,0)))*(1-IF(AND(ArtifactsInput!$M$27,Inputs!$B$4="Chapter Hunt"),CHOOSE(ArtifactsInput!$N$27+1,20,24,28,32,36,40),0)/100)))))/Skills!H6+0.000000001),1)))/Inputs!$B$43),G3035*Q3035))*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Hunt"),CHOOSE(ArtifactsInput!$N$35+1,15,18,21,24,27,30)*(1-EXP(-(0.2*B3062)*5)),0)+IF(AND(ArtifactsInput!$M$22,Inputs!$B$4&lt;&gt;"Chapter Hunt"),CHOOSE(ArtifactsInput!$N$22+1,10,12,14,16,18,20)*((0*(((0.15*B3062*5))^0/1)+1*(((0.15*B3062*5))^1/1)+2*(((0.15*B3062*5))^2/2)+3*(((0.15*B3062*5))^3/6)+4*(((0.15*B3062*5))^4/24)+5*(((0.15*B3062*5))^5/120))/((((0.15*B3062*5))^0/1)+(((0.15*B3062*5))^1/1)+(((0.15*B3062*5))^2/2)+(((0.15*B3062*5))^3/6)+(((0.15*B3062*5))^4/24)+(((0.15*B3062*5))^5/120))),0))+IF(Inputs!$B$3&gt;=54,9*(C3032=TRUE)*MIN(1,8*(1+Inputs!$B$34/100)*Q3032)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3035*(1-MIN(100,(Inputs!$B$9+((C3048=TRUE)*(F3048-Calc!F19))+B3060+(ArtifactsInput!$M$24-ArtifactsInput!$M$24)*CHOOSE(ArtifactsInput!$N$24+1,10,12,14,16,18,20)+(IF(AND(Inputs!$B$38&lt;&gt;"pvp",Inputs!$B$43=0),1,IF(IF(Inputs!$B$38="pvp",15,Inputs!$B$43)-(B3067)&lt;=0,1,MAX(0,IF(Inputs!$B$38="pvp",15,Inputs!$B$43)-MAX(5,B3067))/(IF(Inputs!$B$38="pvp",15,Inputs!$B$43)-(B3067))))*IF(AND(ArtifactsInput!$M$42,((Inputs!$B$9+((C3048=TRUE)*(F3048-Calc!F19))+B3060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3035*(MIN(100,(Inputs!$B$9+((C3048=TRUE)*(F3048-Calc!F19))+B3060+(ArtifactsInput!$M$24-ArtifactsInput!$M$24)*CHOOSE(ArtifactsInput!$N$24+1,10,12,14,16,18,20)+(IF(AND(Inputs!$B$38&lt;&gt;"pvp",Inputs!$B$43=0),1,IF(IF(Inputs!$B$38="pvp",15,Inputs!$B$43)-(B3067)&lt;=0,1,MAX(0,IF(Inputs!$B$38="pvp",15,Inputs!$B$43)-MAX(5,B3067))/(IF(Inputs!$B$38="pvp",15,Inputs!$B$43)-(B3067))))*IF(AND(ArtifactsInput!$M$42,((Inputs!$B$9+((C3048=TRUE)*(F3048-Calc!F19))+B3060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3035*(1-MIN(100,(Inputs!$B$9+((C3048=TRUE)*(F3048-Calc!F19))+B3060+(ArtifactsInput!$M$24-ArtifactsInput!$M$24)*CHOOSE(ArtifactsInput!$N$24+1,10,12,14,16,18,20)+(IF(AND(Inputs!$B$38&lt;&gt;"pvp",Inputs!$B$43=0),1,IF(IF(Inputs!$B$38="pvp",15,Inputs!$B$43)-(B3067)&lt;=0,1,MAX(0,IF(Inputs!$B$38="pvp",15,Inputs!$B$43)-MAX(5,B3067))/(IF(Inputs!$B$38="pvp",15,Inputs!$B$43)-(B3067))))*IF(AND(ArtifactsInput!$M$42,((Inputs!$B$9+((C3048=TRUE)*(F3048-Calc!F19))+B3060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3035*(MIN(100,(Inputs!$B$9+((C3048=TRUE)*(F3048-Calc!F19))+B3060+(ArtifactsInput!$M$24-ArtifactsInput!$M$24)*CHOOSE(ArtifactsInput!$N$24+1,10,12,14,16,18,20)+(IF(AND(Inputs!$B$38&lt;&gt;"pvp",Inputs!$B$43=0),1,IF(IF(Inputs!$B$38="pvp",15,Inputs!$B$43)-(B3067)&lt;=0,1,MAX(0,IF(Inputs!$B$38="pvp",15,Inputs!$B$43)-MAX(5,B3067))/(IF(Inputs!$B$38="pvp",15,Inputs!$B$43)-(B3067))))*IF(AND(ArtifactsInput!$M$42,((Inputs!$B$9+((C3048=TRUE)*(F3048-Calc!F19))+B3060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035">
        <f>IF(C3035,(H3035*N3035*IF(AND(Inputs!$B$38&lt;&gt;"pvp",Inputs!$B$43&gt;0),((Skills!G6*((R3035-1)*IF(Skills!H6&gt;0,INT(Skills!I6/Skills!H6+0.000000001),1)+IF(Skills!H6&gt;0,INT(MIN(Skills!I6,MAX(0,MAX(0,Inputs!$B$43-B3067)-((R3035-1)*(IF(Inputs!$B$38="pvp",15,MAX(0.1,Skills!D6-IF(TRUE=TRUE,1.5,0)))*(1-IF(AND(ArtifactsInput!$M$27,Inputs!$B$4="Chapter Hunt"),CHOOSE(ArtifactsInput!$N$27+1,20,24,28,32,36,40),0)/100)))))/Skills!H6+0.000000001),1)))/Inputs!$B$43),G3035*Q3035))*IF(Inputs!$B$38="pvp",1,(1+(Inputs!$B$21+Skills!Q6+(IF(ArtifactsInput!$M$33,CHOOSE(ArtifactsInput!$N$33+1,30,36,42,48,54,60),0))+(IF(AND(ArtifactsInput!$M$35,Inputs!$B$4&lt;&gt;"Chapter Hunt"),CHOOSE(ArtifactsInput!$N$35+1,15,18,21,24,27,30)*(1-EXP(-(0.2*B3062)*5)),0)+IF(AND(ArtifactsInput!$M$22,Inputs!$B$4&lt;&gt;"Chapter Hunt"),CHOOSE(ArtifactsInput!$N$22+1,10,12,14,16,18,20)*((0*(((0.15*B3062*5))^0/1)+1*(((0.15*B3062*5))^1/1)+2*(((0.15*B3062*5))^2/2)+3*(((0.15*B3062*5))^3/6)+4*(((0.15*B3062*5))^4/24)+5*(((0.15*B3062*5))^5/120))/((((0.15*B3062*5))^0/1)+(((0.15*B3062*5))^1/1)+(((0.15*B3062*5))^2/2)+(((0.15*B3062*5))^3/6)+(((0.15*B3062*5))^4/24)+(((0.15*B3062*5))^5/120))),0))+IF(Inputs!$B$3&gt;=54,9*(C3032=TRUE)*MIN(1,8*(1+Inputs!$B$34/100)*Q3032),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36">
      <c r="A3036">
        <f>Skills!A7</f>
        <v/>
      </c>
      <c r="B3036">
        <f>Skills!B7</f>
        <v/>
      </c>
      <c r="C3036">
        <f>Inputs!$B$3&gt;=63</f>
        <v/>
      </c>
      <c r="D3036">
        <f>IF(Skills!C7=1,60+Inputs!$B$25+Inputs!$B$29,IF(Skills!C7=2,90+Inputs!$B$26+Inputs!$B$29,IF(Skills!C7=3,120+Inputs!$B$27+Inputs!$B$29,MAX(0,(Inputs!$B$3-100)*3)+Inputs!$B$28+Inputs!$B$29)))</f>
        <v/>
      </c>
      <c r="E3036">
        <f>INDEX(FactorTable!$B$2:$Y$301, MATCH(ROUND(MIN(300,MAX(1,D3036)),0), FactorTable!$A$2:$A$301,0), Skills!M7+1)</f>
        <v/>
      </c>
      <c r="F3036">
        <f>IF(Skills!N7=TRUE,(Skills!L7/10)*(E3036/1000),Skills!L7/10)+Skills!O7</f>
        <v/>
      </c>
      <c r="G3036">
        <f>Skills!G7*IF(Skills!H7&gt;0,INT(IF(Inputs!$B$38="pvp",MIN(Skills!I7,15),Skills!I7)/Skills!H7+0.000000001),1)</f>
        <v/>
      </c>
      <c r="H3036">
        <f>1-(1-Skills!J7/100)^Skills!K7</f>
        <v/>
      </c>
      <c r="I3036" t="inlineStr">
        <is>
          <t>1</t>
        </is>
      </c>
      <c r="J3036">
        <f>((Inputs!$B$6*(1+Inputs!$B$7/100))+(((Inputs!$B$12*(1+Inputs!$B$13/100))-(Inputs!$B$12*(1+Inputs!$B$13/100)))+0.25*(Inputs!$B$14-Inputs!$B$14))*(1+Inputs!$B$7/100))*(F3036/100)</f>
        <v/>
      </c>
      <c r="K3036">
        <f>J3036*(1+((Inputs!$B$12*(1+Inputs!$B$13/100))*0.01+Inputs!$B$14*0.0025)/100)*(1+Inputs!$B$15/100)*(1+Inputs!$B$16/100)*(5000/(6000+Inputs!$B$42*(1-(100*(1-(1-(Inputs!$B$19+0)/100)*(1-CHOOSE(ArtifactsInput!$N$40+1,5,6,7,8,9,10)/100)^(ArtifactsInput!$M$40-ArtifactsInput!$M$40)))/100)))*(1+(Inputs!$B$24+((C3055=TRUE)*(F3055-Calc!F26))+B3066)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3044=TRUE,F3044,0)/100)*(1+(IF(Skills!A7="EIGHT_LEGS_EASTON",Inputs!$B$17+((C3052=TRUE)*(F3052-Calc!F23))+((C3056=TRUE)*(F3056-Calc!F27))+((IF(AND(Inputs!$B$38&lt;&gt;"pvp",Inputs!$B$43=0),1,IF(IF(Inputs!$B$38="pvp",15,Inputs!$B$43)-(B3067)&lt;=0,1,MAX(0,IF(Inputs!$B$38="pvp",15,Inputs!$B$43)-MAX(5,B3067))/(IF(Inputs!$B$38="pvp",15,Inputs!$B$43)-(B3067))))*(IF(AND(ArtifactsInput!$M$42,((Inputs!$B$9+((C3048=TRUE)*(F3048-Calc!F19))+B3060+(ArtifactsInput!$M$24-ArtifactsInput!$M$24)*CHOOSE(ArtifactsInput!$N$24+1,10,12,14,16,18,20)+IF(ArtifactsInput!$M$10,CHOOSE(ArtifactsInput!$N$10+1,15,18,21,24,27,30)*(IF(Inputs!$B$38="pvp",MIN(15,15)/15,IF(AND(Inputs!$B$38&lt;&gt;"pvp",Inputs!$B$43&gt;0),MIN(15,Inputs!$B$43)/(Inputs!$B$43),0))),0)))&gt;=100),MIN(100,((Inputs!$B$9+((C3048=TRUE)*(F3048-Calc!F19))+B3060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3067)&lt;=0,1,MAX(0,IF(Inputs!$B$38="pvp",15,Inputs!$B$43)-MAX(5,B3067))/(IF(Inputs!$B$38="pvp",15,Inputs!$B$43)-(B3067))))*IF(AND(ArtifactsInput!$M$42,((Inputs!$B$9+((C3048=TRUE)*(F3048-Calc!F19))+B3060+(ArtifactsInput!$M$24-ArtifactsInput!$M$24)*CHOOSE(ArtifactsInput!$N$24+1,10,12,14,16,18,20)+IF(ArtifactsInput!$M$10,CHOOSE(ArtifactsInput!$N$10+1,15,18,21,24,27,30)*(IF(Inputs!$B$38="pvp",MIN(15,15)/15,IF(AND(Inputs!$B$38&lt;&gt;"pvp",Inputs!$B$43&gt;0),MIN(15,Inputs!$B$43)/(Inputs!$B$43),0))),0)))&gt;=100),CHOOSE(ArtifactsInput!$N$42+1,40,48,56,64,72,80),0))))/100)*((1+(((C3046=TRUE)*F3046*5/7)+((C3053=TRUE)*(F3053-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3036)</f>
        <v/>
      </c>
      <c r="L3036">
        <f>K3036*(MIN(Inputs!$B$22+((C3051=TRUE)*(F3051-Calc!F22)),(Inputs!$B$23+0+(IF(ArtifactsInput!$M$15,CHOOSE(ArtifactsInput!$N$15+1,25,30,35,40,45,50)/100*(Inputs!$B$11-Inputs!$B$11),0))))/100+(Inputs!$B$23+0+(IF(ArtifactsInput!$M$15,CHOOSE(ArtifactsInput!$N$15+1,25,30,35,40,45,50)/100*(Inputs!$B$11-Inputs!$B$11),0)))/100)/2</f>
        <v/>
      </c>
      <c r="M3036">
        <f>L3036*(1+(Inputs!$B$10+((C3054=TRUE)*(F3054-Calc!F25))+B3065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36">
        <f>L3036*(1-MIN((Inputs!$B$9+((C3048=TRUE)*(F3048-Calc!F19))+B3060+(ArtifactsInput!$M$24-ArtifactsInput!$M$24)*CHOOSE(ArtifactsInput!$N$24+1,10,12,14,16,18,20)+(IF(AND(Inputs!$B$38&lt;&gt;"pvp",Inputs!$B$43=0),1,IF(IF(Inputs!$B$38="pvp",15,Inputs!$B$43)-(B3067)&lt;=0,1,MAX(0,IF(Inputs!$B$38="pvp",15,Inputs!$B$43)-MAX(5,B3067))/(IF(Inputs!$B$38="pvp",15,Inputs!$B$43)-(B3067))))*IF(AND(ArtifactsInput!$M$42,((Inputs!$B$9+((C3048=TRUE)*(F3048-Calc!F19))+B3060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3036*(MIN((Inputs!$B$9+((C3048=TRUE)*(F3048-Calc!F19))+B3060+(ArtifactsInput!$M$24-ArtifactsInput!$M$24)*CHOOSE(ArtifactsInput!$N$24+1,10,12,14,16,18,20)+(IF(AND(Inputs!$B$38&lt;&gt;"pvp",Inputs!$B$43=0),1,IF(IF(Inputs!$B$38="pvp",15,Inputs!$B$43)-(B3067)&lt;=0,1,MAX(0,IF(Inputs!$B$38="pvp",15,Inputs!$B$43)-MAX(5,B3067))/(IF(Inputs!$B$38="pvp",15,Inputs!$B$43)-(B3067))))*IF(AND(ArtifactsInput!$M$42,((Inputs!$B$9+((C3048=TRUE)*(F3048-Calc!F19))+B3060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36">
        <f>(1-Summary!$B$11)*T3036+Summary!$B$11*V3036</f>
        <v/>
      </c>
      <c r="P3036">
        <f>IF(B3070=0,0,O3036/B3070)</f>
        <v/>
      </c>
      <c r="Q3036">
        <f>IFERROR(1/(IF(Inputs!$B$38="pvp",15,MAX(0.1,Skills!D7-IF(TRUE=TRUE,1.5,0)))*(1-IF(AND(ArtifactsInput!$M$27,Inputs!$B$4="Chapter Hunt"),CHOOSE(ArtifactsInput!$N$27+1,20,24,28,32,36,40),0)/100)),0)</f>
        <v/>
      </c>
      <c r="R3036">
        <f>IF(AND(Inputs!$B$38&lt;&gt;"pvp",Inputs!$B$43&gt;0),IF(MAX(0,Inputs!$B$43-B3067)&lt;=0,0,(INT(MAX(0,Inputs!$B$43-B3067)/(IF(Inputs!$B$38="pvp",15,MAX(0.1,Skills!D7-IF(TRUE=TRUE,1.5,0)))*(1-IF(AND(ArtifactsInput!$M$27,Inputs!$B$4="Chapter Hunt"),CHOOSE(ArtifactsInput!$N$27+1,20,24,28,32,36,40),0)/100)))+1)),0)</f>
        <v/>
      </c>
      <c r="S3036">
        <f>IFERROR(O3036/N3036,0)</f>
        <v/>
      </c>
      <c r="T3036">
        <f>IF(C3036,(H3036*N3036*IF(AND(Inputs!$B$38&lt;&gt;"pvp",Inputs!$B$43&gt;0),((Skills!G7*((R3036-1)*IF(Skills!H7&gt;0,INT(Skills!I7/Skills!H7+0.000000001),1)+IF(Skills!H7&gt;0,INT(MIN(Skills!I7,MAX(0,MAX(0,Inputs!$B$43-B3067)-((R3036-1)*(IF(Inputs!$B$38="pvp",15,MAX(0.1,Skills!D7-IF(TRUE=TRUE,1.5,0)))*(1-IF(AND(ArtifactsInput!$M$27,Inputs!$B$4="Chapter Hunt"),CHOOSE(ArtifactsInput!$N$27+1,20,24,28,32,36,40),0)/100)))))/Skills!H7+0.000000001),1)))/Inputs!$B$43),G3036*Q3036))*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Hunt"),CHOOSE(ArtifactsInput!$N$35+1,15,18,21,24,27,30)*(1-EXP(-(0.2*B3062)*5)),0)+IF(AND(ArtifactsInput!$M$22,Inputs!$B$4&lt;&gt;"Chapter Hunt"),CHOOSE(ArtifactsInput!$N$22+1,10,12,14,16,18,20)*((0*(((0.15*B3062*5))^0/1)+1*(((0.15*B3062*5))^1/1)+2*(((0.15*B3062*5))^2/2)+3*(((0.15*B3062*5))^3/6)+4*(((0.15*B3062*5))^4/24)+5*(((0.15*B3062*5))^5/120))/((((0.15*B3062*5))^0/1)+(((0.15*B3062*5))^1/1)+(((0.15*B3062*5))^2/2)+(((0.15*B3062*5))^3/6)+(((0.15*B3062*5))^4/24)+(((0.15*B3062*5))^5/120))),0))+IF(Inputs!$B$3&gt;=54,9*(C3032=TRUE)*MIN(1,8*(1+Inputs!$B$34/100)*Q3032)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3036*(1-MIN(100,(Inputs!$B$9+((C3048=TRUE)*(F3048-Calc!F19))+B3060+(ArtifactsInput!$M$24-ArtifactsInput!$M$24)*CHOOSE(ArtifactsInput!$N$24+1,10,12,14,16,18,20)+(IF(AND(Inputs!$B$38&lt;&gt;"pvp",Inputs!$B$43=0),1,IF(IF(Inputs!$B$38="pvp",15,Inputs!$B$43)-(B3067)&lt;=0,1,MAX(0,IF(Inputs!$B$38="pvp",15,Inputs!$B$43)-MAX(5,B3067))/(IF(Inputs!$B$38="pvp",15,Inputs!$B$43)-(B3067))))*IF(AND(ArtifactsInput!$M$42,((Inputs!$B$9+((C3048=TRUE)*(F3048-Calc!F19))+B3060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3036*(MIN(100,(Inputs!$B$9+((C3048=TRUE)*(F3048-Calc!F19))+B3060+(ArtifactsInput!$M$24-ArtifactsInput!$M$24)*CHOOSE(ArtifactsInput!$N$24+1,10,12,14,16,18,20)+(IF(AND(Inputs!$B$38&lt;&gt;"pvp",Inputs!$B$43=0),1,IF(IF(Inputs!$B$38="pvp",15,Inputs!$B$43)-(B3067)&lt;=0,1,MAX(0,IF(Inputs!$B$38="pvp",15,Inputs!$B$43)-MAX(5,B3067))/(IF(Inputs!$B$38="pvp",15,Inputs!$B$43)-(B3067))))*IF(AND(ArtifactsInput!$M$42,((Inputs!$B$9+((C3048=TRUE)*(F3048-Calc!F19))+B3060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3036*(1-MIN(100,(Inputs!$B$9+((C3048=TRUE)*(F3048-Calc!F19))+B3060+(ArtifactsInput!$M$24-ArtifactsInput!$M$24)*CHOOSE(ArtifactsInput!$N$24+1,10,12,14,16,18,20)+(IF(AND(Inputs!$B$38&lt;&gt;"pvp",Inputs!$B$43=0),1,IF(IF(Inputs!$B$38="pvp",15,Inputs!$B$43)-(B3067)&lt;=0,1,MAX(0,IF(Inputs!$B$38="pvp",15,Inputs!$B$43)-MAX(5,B3067))/(IF(Inputs!$B$38="pvp",15,Inputs!$B$43)-(B3067))))*IF(AND(ArtifactsInput!$M$42,((Inputs!$B$9+((C3048=TRUE)*(F3048-Calc!F19))+B3060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3036*(MIN(100,(Inputs!$B$9+((C3048=TRUE)*(F3048-Calc!F19))+B3060+(ArtifactsInput!$M$24-ArtifactsInput!$M$24)*CHOOSE(ArtifactsInput!$N$24+1,10,12,14,16,18,20)+(IF(AND(Inputs!$B$38&lt;&gt;"pvp",Inputs!$B$43=0),1,IF(IF(Inputs!$B$38="pvp",15,Inputs!$B$43)-(B3067)&lt;=0,1,MAX(0,IF(Inputs!$B$38="pvp",15,Inputs!$B$43)-MAX(5,B3067))/(IF(Inputs!$B$38="pvp",15,Inputs!$B$43)-(B3067))))*IF(AND(ArtifactsInput!$M$42,((Inputs!$B$9+((C3048=TRUE)*(F3048-Calc!F19))+B3060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036">
        <f>IF(C3036,(H3036*N3036*IF(AND(Inputs!$B$38&lt;&gt;"pvp",Inputs!$B$43&gt;0),((Skills!G7*((R3036-1)*IF(Skills!H7&gt;0,INT(Skills!I7/Skills!H7+0.000000001),1)+IF(Skills!H7&gt;0,INT(MIN(Skills!I7,MAX(0,MAX(0,Inputs!$B$43-B3067)-((R3036-1)*(IF(Inputs!$B$38="pvp",15,MAX(0.1,Skills!D7-IF(TRUE=TRUE,1.5,0)))*(1-IF(AND(ArtifactsInput!$M$27,Inputs!$B$4="Chapter Hunt"),CHOOSE(ArtifactsInput!$N$27+1,20,24,28,32,36,40),0)/100)))))/Skills!H7+0.000000001),1)))/Inputs!$B$43),G3036*Q3036))*IF(Inputs!$B$38="pvp",1,(1+(Inputs!$B$21+Skills!Q7+(IF(ArtifactsInput!$M$33,CHOOSE(ArtifactsInput!$N$33+1,30,36,42,48,54,60),0))+(IF(AND(ArtifactsInput!$M$35,Inputs!$B$4&lt;&gt;"Chapter Hunt"),CHOOSE(ArtifactsInput!$N$35+1,15,18,21,24,27,30)*(1-EXP(-(0.2*B3062)*5)),0)+IF(AND(ArtifactsInput!$M$22,Inputs!$B$4&lt;&gt;"Chapter Hunt"),CHOOSE(ArtifactsInput!$N$22+1,10,12,14,16,18,20)*((0*(((0.15*B3062*5))^0/1)+1*(((0.15*B3062*5))^1/1)+2*(((0.15*B3062*5))^2/2)+3*(((0.15*B3062*5))^3/6)+4*(((0.15*B3062*5))^4/24)+5*(((0.15*B3062*5))^5/120))/((((0.15*B3062*5))^0/1)+(((0.15*B3062*5))^1/1)+(((0.15*B3062*5))^2/2)+(((0.15*B3062*5))^3/6)+(((0.15*B3062*5))^4/24)+(((0.15*B3062*5))^5/120))),0))+IF(Inputs!$B$3&gt;=54,9*(C3032=TRUE)*MIN(1,8*(1+Inputs!$B$34/100)*Q3032),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37">
      <c r="A3037">
        <f>Skills!A8</f>
        <v/>
      </c>
      <c r="B3037">
        <f>Skills!B8</f>
        <v/>
      </c>
      <c r="C3037">
        <f>Inputs!$B$3&gt;=103</f>
        <v/>
      </c>
      <c r="D3037">
        <f>IF(Skills!C8=1,60+Inputs!$B$25+Inputs!$B$29,IF(Skills!C8=2,90+Inputs!$B$26+Inputs!$B$29,IF(Skills!C8=3,120+Inputs!$B$27+Inputs!$B$29,MAX(0,(Inputs!$B$3-100)*3)+Inputs!$B$28+Inputs!$B$29)))</f>
        <v/>
      </c>
      <c r="E3037">
        <f>INDEX(FactorTable!$B$2:$Y$301, MATCH(ROUND(MIN(300,MAX(1,D3037)),0), FactorTable!$A$2:$A$301,0), Skills!M8+1)</f>
        <v/>
      </c>
      <c r="F3037">
        <f>IF(Skills!N8=TRUE,(Skills!L8/10)*(E3037/1000),Skills!L8/10)+Skills!O8</f>
        <v/>
      </c>
      <c r="G3037">
        <f>Skills!G8*IF(Skills!H8&gt;0,INT(IF(Inputs!$B$38="pvp",MIN(Skills!I8,15),Skills!I8)/Skills!H8+0.000000001),1)</f>
        <v/>
      </c>
      <c r="H3037">
        <f>1-(1-Skills!J8/100)^Skills!K8</f>
        <v/>
      </c>
      <c r="I3037" t="inlineStr">
        <is>
          <t>1</t>
        </is>
      </c>
      <c r="J3037">
        <f>((Inputs!$B$6*(1+Inputs!$B$7/100))+(((Inputs!$B$12*(1+Inputs!$B$13/100))-(Inputs!$B$12*(1+Inputs!$B$13/100)))+0.25*(Inputs!$B$14-Inputs!$B$14))*(1+Inputs!$B$7/100))*(F3037/100)</f>
        <v/>
      </c>
      <c r="K3037">
        <f>J3037*(1+((Inputs!$B$12*(1+Inputs!$B$13/100))*0.01+Inputs!$B$14*0.0025)/100)*(1+Inputs!$B$15/100)*(1+Inputs!$B$16/100)*(5000/(6000+Inputs!$B$42*(1-(100*(1-(1-(Inputs!$B$19+0)/100)*(1-CHOOSE(ArtifactsInput!$N$40+1,5,6,7,8,9,10)/100)^(ArtifactsInput!$M$40-ArtifactsInput!$M$40)))/100)))*(1+(Inputs!$B$24+((C3055=TRUE)*(F3055-Calc!F26))+B3066)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IGHT_LEGS_EASTON",Inputs!$B$17+((C3052=TRUE)*(F3052-Calc!F23))+((C3056=TRUE)*(F3056-Calc!F27))+((IF(AND(Inputs!$B$38&lt;&gt;"pvp",Inputs!$B$43=0),1,IF(IF(Inputs!$B$38="pvp",15,Inputs!$B$43)-(B3067)&lt;=0,1,MAX(0,IF(Inputs!$B$38="pvp",15,Inputs!$B$43)-MAX(5,B3067))/(IF(Inputs!$B$38="pvp",15,Inputs!$B$43)-(B3067))))*(IF(AND(ArtifactsInput!$M$42,((Inputs!$B$9+((C3048=TRUE)*(F3048-Calc!F19))+B3060+(ArtifactsInput!$M$24-ArtifactsInput!$M$24)*CHOOSE(ArtifactsInput!$N$24+1,10,12,14,16,18,20)+IF(ArtifactsInput!$M$10,CHOOSE(ArtifactsInput!$N$10+1,15,18,21,24,27,30)*(IF(Inputs!$B$38="pvp",MIN(15,15)/15,IF(AND(Inputs!$B$38&lt;&gt;"pvp",Inputs!$B$43&gt;0),MIN(15,Inputs!$B$43)/(Inputs!$B$43),0))),0)))&gt;=100),MIN(100,((Inputs!$B$9+((C3048=TRUE)*(F3048-Calc!F19))+B3060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3067)&lt;=0,1,MAX(0,IF(Inputs!$B$38="pvp",15,Inputs!$B$43)-MAX(5,B3067))/(IF(Inputs!$B$38="pvp",15,Inputs!$B$43)-(B3067))))*IF(AND(ArtifactsInput!$M$42,((Inputs!$B$9+((C3048=TRUE)*(F3048-Calc!F19))+B3060+(ArtifactsInput!$M$24-ArtifactsInput!$M$24)*CHOOSE(ArtifactsInput!$N$24+1,10,12,14,16,18,20)+IF(ArtifactsInput!$M$10,CHOOSE(ArtifactsInput!$N$10+1,15,18,21,24,27,30)*(IF(Inputs!$B$38="pvp",MIN(15,15)/15,IF(AND(Inputs!$B$38&lt;&gt;"pvp",Inputs!$B$43&gt;0),MIN(15,Inputs!$B$43)/(Inputs!$B$43),0))),0)))&gt;=100),CHOOSE(ArtifactsInput!$N$42+1,40,48,56,64,72,80),0))))/100)*((1+(((C3046=TRUE)*F3046*5/7)+((C3053=TRUE)*(F3053-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3037)</f>
        <v/>
      </c>
      <c r="L3037">
        <f>K3037*(MIN(Inputs!$B$22+((C3051=TRUE)*(F3051-Calc!F22)),(Inputs!$B$23+0+(IF(ArtifactsInput!$M$15,CHOOSE(ArtifactsInput!$N$15+1,25,30,35,40,45,50)/100*(Inputs!$B$11-Inputs!$B$11),0))))/100+(Inputs!$B$23+0+(IF(ArtifactsInput!$M$15,CHOOSE(ArtifactsInput!$N$15+1,25,30,35,40,45,50)/100*(Inputs!$B$11-Inputs!$B$11),0)))/100)/2</f>
        <v/>
      </c>
      <c r="M3037">
        <f>L3037*(1+(Inputs!$B$10+((C3054=TRUE)*(F3054-Calc!F25))+B3065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37">
        <f>L3037*(1-MIN((Inputs!$B$9+((C3048=TRUE)*(F3048-Calc!F19))+B3060+(ArtifactsInput!$M$24-ArtifactsInput!$M$24)*CHOOSE(ArtifactsInput!$N$24+1,10,12,14,16,18,20)+(IF(AND(Inputs!$B$38&lt;&gt;"pvp",Inputs!$B$43=0),1,IF(IF(Inputs!$B$38="pvp",15,Inputs!$B$43)-(B3067)&lt;=0,1,MAX(0,IF(Inputs!$B$38="pvp",15,Inputs!$B$43)-MAX(5,B3067))/(IF(Inputs!$B$38="pvp",15,Inputs!$B$43)-(B3067))))*IF(AND(ArtifactsInput!$M$42,((Inputs!$B$9+((C3048=TRUE)*(F3048-Calc!F19))+B3060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3037*(MIN((Inputs!$B$9+((C3048=TRUE)*(F3048-Calc!F19))+B3060+(ArtifactsInput!$M$24-ArtifactsInput!$M$24)*CHOOSE(ArtifactsInput!$N$24+1,10,12,14,16,18,20)+(IF(AND(Inputs!$B$38&lt;&gt;"pvp",Inputs!$B$43=0),1,IF(IF(Inputs!$B$38="pvp",15,Inputs!$B$43)-(B3067)&lt;=0,1,MAX(0,IF(Inputs!$B$38="pvp",15,Inputs!$B$43)-MAX(5,B3067))/(IF(Inputs!$B$38="pvp",15,Inputs!$B$43)-(B3067))))*IF(AND(ArtifactsInput!$M$42,((Inputs!$B$9+((C3048=TRUE)*(F3048-Calc!F19))+B3060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37">
        <f>(1-Summary!$B$11)*T3037+Summary!$B$11*V3037</f>
        <v/>
      </c>
      <c r="P3037">
        <f>IF(B3070=0,0,O3037/B3070)</f>
        <v/>
      </c>
      <c r="Q3037">
        <f>IFERROR(1/((IF(Inputs!$B$38="pvp",15,MAX(0.1,Skills!D8-IF(TRUE=TRUE,1.5,0)))*(1-IF(AND(ArtifactsInput!$M$27,Inputs!$B$4="Chapter Hunt"),CHOOSE(ArtifactsInput!$N$27+1,20,24,28,32,36,40),0)/100))/B3071),0)</f>
        <v/>
      </c>
      <c r="R3037">
        <f>IF(AND(Inputs!$B$38&lt;&gt;"pvp",Inputs!$B$43&gt;0),IF(MAX(0,Inputs!$B$43-B3067)&lt;=0,0,(INT(MAX(0,Inputs!$B$43-B3067)/((IF(Inputs!$B$38="pvp",15,MAX(0.1,Skills!D8-IF(TRUE=TRUE,1.5,0)))*(1-IF(AND(ArtifactsInput!$M$27,Inputs!$B$4="Chapter Hunt"),CHOOSE(ArtifactsInput!$N$27+1,20,24,28,32,36,40),0)/100))/B3071))+1)),0)</f>
        <v/>
      </c>
      <c r="S3037">
        <f>IFERROR(O3037/N3037,0)</f>
        <v/>
      </c>
      <c r="T3037">
        <f>IF(C3037,(H3037*N3037*IF(AND(Inputs!$B$38&lt;&gt;"pvp",Inputs!$B$43&gt;0),((Skills!G8*((R3037-1)*IF(Skills!H8&gt;0,INT(Skills!I8/Skills!H8+0.000000001),1)+IF(Skills!H8&gt;0,INT(MIN(Skills!I8,MAX(0,MAX(0,Inputs!$B$43-B3067)-((R3037-1)*((IF(Inputs!$B$38="pvp",15,MAX(0.1,Skills!D8-IF(TRUE=TRUE,1.5,0)))*(1-IF(AND(ArtifactsInput!$M$27,Inputs!$B$4="Chapter Hunt"),CHOOSE(ArtifactsInput!$N$27+1,20,24,28,32,36,40),0)/100))/B3071))))/Skills!H8+0.000000001),1)))/Inputs!$B$43),G3037*Q3037))*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Hunt"),CHOOSE(ArtifactsInput!$N$35+1,15,18,21,24,27,30)*(1-EXP(-(0.2*B3062)*5)),0)+IF(AND(ArtifactsInput!$M$22,Inputs!$B$4&lt;&gt;"Chapter Hunt"),CHOOSE(ArtifactsInput!$N$22+1,10,12,14,16,18,20)*((0*(((0.15*B3062*5))^0/1)+1*(((0.15*B3062*5))^1/1)+2*(((0.15*B3062*5))^2/2)+3*(((0.15*B3062*5))^3/6)+4*(((0.15*B3062*5))^4/24)+5*(((0.15*B3062*5))^5/120))/((((0.15*B3062*5))^0/1)+(((0.15*B3062*5))^1/1)+(((0.15*B3062*5))^2/2)+(((0.15*B3062*5))^3/6)+(((0.15*B3062*5))^4/24)+(((0.15*B3062*5))^5/120))),0))+IF(Inputs!$B$3&gt;=54,9*(C3032=TRUE)*MIN(1,8*(1+Inputs!$B$34/100)*Q3032)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3037*(1-MIN(100,(Inputs!$B$9+((C3048=TRUE)*(F3048-Calc!F19))+B3060+(ArtifactsInput!$M$24-ArtifactsInput!$M$24)*CHOOSE(ArtifactsInput!$N$24+1,10,12,14,16,18,20)+(IF(AND(Inputs!$B$38&lt;&gt;"pvp",Inputs!$B$43=0),1,IF(IF(Inputs!$B$38="pvp",15,Inputs!$B$43)-(B3067)&lt;=0,1,MAX(0,IF(Inputs!$B$38="pvp",15,Inputs!$B$43)-MAX(5,B3067))/(IF(Inputs!$B$38="pvp",15,Inputs!$B$43)-(B3067))))*IF(AND(ArtifactsInput!$M$42,((Inputs!$B$9+((C3048=TRUE)*(F3048-Calc!F19))+B3060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3037*(MIN(100,(Inputs!$B$9+((C3048=TRUE)*(F3048-Calc!F19))+B3060+(ArtifactsInput!$M$24-ArtifactsInput!$M$24)*CHOOSE(ArtifactsInput!$N$24+1,10,12,14,16,18,20)+(IF(AND(Inputs!$B$38&lt;&gt;"pvp",Inputs!$B$43=0),1,IF(IF(Inputs!$B$38="pvp",15,Inputs!$B$43)-(B3067)&lt;=0,1,MAX(0,IF(Inputs!$B$38="pvp",15,Inputs!$B$43)-MAX(5,B3067))/(IF(Inputs!$B$38="pvp",15,Inputs!$B$43)-(B3067))))*IF(AND(ArtifactsInput!$M$42,((Inputs!$B$9+((C3048=TRUE)*(F3048-Calc!F19))+B3060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3037*(1-MIN(100,(Inputs!$B$9+((C3048=TRUE)*(F3048-Calc!F19))+B3060+(ArtifactsInput!$M$24-ArtifactsInput!$M$24)*CHOOSE(ArtifactsInput!$N$24+1,10,12,14,16,18,20)+(IF(AND(Inputs!$B$38&lt;&gt;"pvp",Inputs!$B$43=0),1,IF(IF(Inputs!$B$38="pvp",15,Inputs!$B$43)-(B3067)&lt;=0,1,MAX(0,IF(Inputs!$B$38="pvp",15,Inputs!$B$43)-MAX(5,B3067))/(IF(Inputs!$B$38="pvp",15,Inputs!$B$43)-(B3067))))*IF(AND(ArtifactsInput!$M$42,((Inputs!$B$9+((C3048=TRUE)*(F3048-Calc!F19))+B3060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3037*(MIN(100,(Inputs!$B$9+((C3048=TRUE)*(F3048-Calc!F19))+B3060+(ArtifactsInput!$M$24-ArtifactsInput!$M$24)*CHOOSE(ArtifactsInput!$N$24+1,10,12,14,16,18,20)+(IF(AND(Inputs!$B$38&lt;&gt;"pvp",Inputs!$B$43=0),1,IF(IF(Inputs!$B$38="pvp",15,Inputs!$B$43)-(B3067)&lt;=0,1,MAX(0,IF(Inputs!$B$38="pvp",15,Inputs!$B$43)-MAX(5,B3067))/(IF(Inputs!$B$38="pvp",15,Inputs!$B$43)-(B3067))))*IF(AND(ArtifactsInput!$M$42,((Inputs!$B$9+((C3048=TRUE)*(F3048-Calc!F19))+B3060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037">
        <f>IF(C3037,(H3037*N3037*IF(AND(Inputs!$B$38&lt;&gt;"pvp",Inputs!$B$43&gt;0),((Skills!G8*((R3037-1)*IF(Skills!H8&gt;0,INT(Skills!I8/Skills!H8+0.000000001),1)+IF(Skills!H8&gt;0,INT(MIN(Skills!I8,MAX(0,MAX(0,Inputs!$B$43-B3067)-((R3037-1)*((IF(Inputs!$B$38="pvp",15,MAX(0.1,Skills!D8-IF(TRUE=TRUE,1.5,0)))*(1-IF(AND(ArtifactsInput!$M$27,Inputs!$B$4="Chapter Hunt"),CHOOSE(ArtifactsInput!$N$27+1,20,24,28,32,36,40),0)/100))/B3071))))/Skills!H8+0.000000001),1)))/Inputs!$B$43),G3037*Q3037))*IF(Inputs!$B$38="pvp",1,(1+(Inputs!$B$21+Skills!Q8+(IF(ArtifactsInput!$M$33,CHOOSE(ArtifactsInput!$N$33+1,30,36,42,48,54,60),0))+(IF(AND(ArtifactsInput!$M$35,Inputs!$B$4&lt;&gt;"Chapter Hunt"),CHOOSE(ArtifactsInput!$N$35+1,15,18,21,24,27,30)*(1-EXP(-(0.2*B3062)*5)),0)+IF(AND(ArtifactsInput!$M$22,Inputs!$B$4&lt;&gt;"Chapter Hunt"),CHOOSE(ArtifactsInput!$N$22+1,10,12,14,16,18,20)*((0*(((0.15*B3062*5))^0/1)+1*(((0.15*B3062*5))^1/1)+2*(((0.15*B3062*5))^2/2)+3*(((0.15*B3062*5))^3/6)+4*(((0.15*B3062*5))^4/24)+5*(((0.15*B3062*5))^5/120))/((((0.15*B3062*5))^0/1)+(((0.15*B3062*5))^1/1)+(((0.15*B3062*5))^2/2)+(((0.15*B3062*5))^3/6)+(((0.15*B3062*5))^4/24)+(((0.15*B3062*5))^5/120))),0))+IF(Inputs!$B$3&gt;=54,9*(C3032=TRUE)*MIN(1,8*(1+Inputs!$B$34/100)*Q3032),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38">
      <c r="A3038">
        <f>Skills!A9</f>
        <v/>
      </c>
      <c r="B3038">
        <f>Skills!B9</f>
        <v/>
      </c>
      <c r="C3038">
        <f>Inputs!$B$3&gt;=105</f>
        <v/>
      </c>
      <c r="D3038">
        <f>IF(Skills!C9=1,60+Inputs!$B$25+Inputs!$B$29,IF(Skills!C9=2,90+Inputs!$B$26+Inputs!$B$29,IF(Skills!C9=3,120+Inputs!$B$27+Inputs!$B$29,MAX(0,(Inputs!$B$3-100)*3)+Inputs!$B$28+Inputs!$B$29)))</f>
        <v/>
      </c>
      <c r="E3038">
        <f>INDEX(FactorTable!$B$2:$Y$301, MATCH(ROUND(MIN(300,MAX(1,D3038)),0), FactorTable!$A$2:$A$301,0), Skills!M9+1)</f>
        <v/>
      </c>
      <c r="F3038">
        <f>IF(Skills!N9=TRUE,(Skills!L9/10)*(E3038/1000),Skills!L9/10)+Skills!O9</f>
        <v/>
      </c>
      <c r="G3038">
        <f>Skills!G9*IF(Skills!H9&gt;0,INT(IF(Inputs!$B$38="pvp",MIN(Skills!I9,15),Skills!I9)/Skills!H9+0.000000001),1)</f>
        <v/>
      </c>
      <c r="H3038">
        <f>1-(1-Skills!J9/100)^Skills!K9</f>
        <v/>
      </c>
      <c r="I3038" t="inlineStr">
        <is>
          <t>1</t>
        </is>
      </c>
      <c r="J3038">
        <f>((Inputs!$B$6*(1+Inputs!$B$7/100))+(((Inputs!$B$12*(1+Inputs!$B$13/100))-(Inputs!$B$12*(1+Inputs!$B$13/100)))+0.25*(Inputs!$B$14-Inputs!$B$14))*(1+Inputs!$B$7/100))*(F3038/100)</f>
        <v/>
      </c>
      <c r="K3038">
        <f>J3038*(1+((Inputs!$B$12*(1+Inputs!$B$13/100))*0.01+Inputs!$B$14*0.0025)/100)*(1+Inputs!$B$15/100)*(1+Inputs!$B$16/100)*(5000/(6000+Inputs!$B$42*(1-(100*(1-(1-(Inputs!$B$19+0)/100)*(1-CHOOSE(ArtifactsInput!$N$40+1,5,6,7,8,9,10)/100)^(ArtifactsInput!$M$40-ArtifactsInput!$M$40)))/100)))*(1+(Inputs!$B$24+((C3055=TRUE)*(F3055-Calc!F26))+B3066)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IGHT_LEGS_EASTON",Inputs!$B$17+((C3052=TRUE)*(F3052-Calc!F23))+((C3056=TRUE)*(F3056-Calc!F27))+((IF(AND(Inputs!$B$38&lt;&gt;"pvp",Inputs!$B$43=0),1,IF(IF(Inputs!$B$38="pvp",15,Inputs!$B$43)-(B3067)&lt;=0,1,MAX(0,IF(Inputs!$B$38="pvp",15,Inputs!$B$43)-MAX(5,B3067))/(IF(Inputs!$B$38="pvp",15,Inputs!$B$43)-(B3067))))*(IF(AND(ArtifactsInput!$M$42,((Inputs!$B$9+((C3048=TRUE)*(F3048-Calc!F19))+B3060+(ArtifactsInput!$M$24-ArtifactsInput!$M$24)*CHOOSE(ArtifactsInput!$N$24+1,10,12,14,16,18,20)+IF(ArtifactsInput!$M$10,CHOOSE(ArtifactsInput!$N$10+1,15,18,21,24,27,30)*(IF(Inputs!$B$38="pvp",MIN(15,15)/15,IF(AND(Inputs!$B$38&lt;&gt;"pvp",Inputs!$B$43&gt;0),MIN(15,Inputs!$B$43)/(Inputs!$B$43),0))),0)))&gt;=100),MIN(100,((Inputs!$B$9+((C3048=TRUE)*(F3048-Calc!F19))+B3060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3067)&lt;=0,1,MAX(0,IF(Inputs!$B$38="pvp",15,Inputs!$B$43)-MAX(5,B3067))/(IF(Inputs!$B$38="pvp",15,Inputs!$B$43)-(B3067))))*IF(AND(ArtifactsInput!$M$42,((Inputs!$B$9+((C3048=TRUE)*(F3048-Calc!F19))+B3060+(ArtifactsInput!$M$24-ArtifactsInput!$M$24)*CHOOSE(ArtifactsInput!$N$24+1,10,12,14,16,18,20)+IF(ArtifactsInput!$M$10,CHOOSE(ArtifactsInput!$N$10+1,15,18,21,24,27,30)*(IF(Inputs!$B$38="pvp",MIN(15,15)/15,IF(AND(Inputs!$B$38&lt;&gt;"pvp",Inputs!$B$43&gt;0),MIN(15,Inputs!$B$43)/(Inputs!$B$43),0))),0)))&gt;=100),CHOOSE(ArtifactsInput!$N$42+1,40,48,56,64,72,80),0))))/100)*((1+(((C3046=TRUE)*F3046*5/7)+((C3053=TRUE)*(F3053-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3038)</f>
        <v/>
      </c>
      <c r="L3038">
        <f>K3038*(MIN(Inputs!$B$22+((C3051=TRUE)*(F3051-Calc!F22)),(Inputs!$B$23+0+(IF(ArtifactsInput!$M$15,CHOOSE(ArtifactsInput!$N$15+1,25,30,35,40,45,50)/100*(Inputs!$B$11-Inputs!$B$11),0))))/100+(Inputs!$B$23+0+(IF(ArtifactsInput!$M$15,CHOOSE(ArtifactsInput!$N$15+1,25,30,35,40,45,50)/100*(Inputs!$B$11-Inputs!$B$11),0)))/100)/2</f>
        <v/>
      </c>
      <c r="M3038">
        <f>L3038*(1+(Inputs!$B$10+((C3054=TRUE)*(F3054-Calc!F25))+B3065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38">
        <f>L3038*(1-MIN((Inputs!$B$9+((C3048=TRUE)*(F3048-Calc!F19))+B3060+(ArtifactsInput!$M$24-ArtifactsInput!$M$24)*CHOOSE(ArtifactsInput!$N$24+1,10,12,14,16,18,20)+(IF(AND(Inputs!$B$38&lt;&gt;"pvp",Inputs!$B$43=0),1,IF(IF(Inputs!$B$38="pvp",15,Inputs!$B$43)-(B3067)&lt;=0,1,MAX(0,IF(Inputs!$B$38="pvp",15,Inputs!$B$43)-MAX(5,B3067))/(IF(Inputs!$B$38="pvp",15,Inputs!$B$43)-(B3067))))*IF(AND(ArtifactsInput!$M$42,((Inputs!$B$9+((C3048=TRUE)*(F3048-Calc!F19))+B3060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3038*(MIN((Inputs!$B$9+((C3048=TRUE)*(F3048-Calc!F19))+B3060+(ArtifactsInput!$M$24-ArtifactsInput!$M$24)*CHOOSE(ArtifactsInput!$N$24+1,10,12,14,16,18,20)+(IF(AND(Inputs!$B$38&lt;&gt;"pvp",Inputs!$B$43=0),1,IF(IF(Inputs!$B$38="pvp",15,Inputs!$B$43)-(B3067)&lt;=0,1,MAX(0,IF(Inputs!$B$38="pvp",15,Inputs!$B$43)-MAX(5,B3067))/(IF(Inputs!$B$38="pvp",15,Inputs!$B$43)-(B3067))))*IF(AND(ArtifactsInput!$M$42,((Inputs!$B$9+((C3048=TRUE)*(F3048-Calc!F19))+B3060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38">
        <f>(1-Summary!$B$11)*T3038+Summary!$B$11*V3038</f>
        <v/>
      </c>
      <c r="P3038">
        <f>IF(B3070=0,0,O3038/B3070)</f>
        <v/>
      </c>
      <c r="Q3038">
        <f>IFERROR(1/(IF(Inputs!$B$38="pvp",15,MAX(0.1,Skills!D9-IF(TRUE=TRUE,1.5,0)))*(1-IF(AND(ArtifactsInput!$M$27,Inputs!$B$4="Chapter Hunt"),CHOOSE(ArtifactsInput!$N$27+1,20,24,28,32,36,40),0)/100)),0)</f>
        <v/>
      </c>
      <c r="R3038">
        <f>IF(AND(Inputs!$B$38&lt;&gt;"pvp",Inputs!$B$43&gt;0),IF(MAX(0,Inputs!$B$43-B3067)&lt;=0,0,(INT(MAX(0,Inputs!$B$43-B3067)/(IF(Inputs!$B$38="pvp",15,MAX(0.1,Skills!D9-IF(TRUE=TRUE,1.5,0)))*(1-IF(AND(ArtifactsInput!$M$27,Inputs!$B$4="Chapter Hunt"),CHOOSE(ArtifactsInput!$N$27+1,20,24,28,32,36,40),0)/100)))+1)),0)</f>
        <v/>
      </c>
      <c r="S3038">
        <f>IFERROR(O3038/N3038,0)</f>
        <v/>
      </c>
      <c r="T3038">
        <f>IF(C3038,(H3038*N3038*IF(AND(Inputs!$B$38&lt;&gt;"pvp",Inputs!$B$43&gt;0),((Skills!G9*((R3038-1)*IF(Skills!H9&gt;0,INT(Skills!I9/Skills!H9+0.000000001),1)+IF(Skills!H9&gt;0,INT(MIN(Skills!I9,MAX(0,MAX(0,Inputs!$B$43-B3067)-((R3038-1)*(IF(Inputs!$B$38="pvp",15,MAX(0.1,Skills!D9-IF(TRUE=TRUE,1.5,0)))*(1-IF(AND(ArtifactsInput!$M$27,Inputs!$B$4="Chapter Hunt"),CHOOSE(ArtifactsInput!$N$27+1,20,24,28,32,36,40),0)/100)))))/Skills!H9+0.000000001),1)))/Inputs!$B$43),G3038*Q3038))*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Hunt"),CHOOSE(ArtifactsInput!$N$35+1,15,18,21,24,27,30)*(1-EXP(-(0.2*B3062)*5)),0)+IF(AND(ArtifactsInput!$M$22,Inputs!$B$4&lt;&gt;"Chapter Hunt"),CHOOSE(ArtifactsInput!$N$22+1,10,12,14,16,18,20)*((0*(((0.15*B3062*5))^0/1)+1*(((0.15*B3062*5))^1/1)+2*(((0.15*B3062*5))^2/2)+3*(((0.15*B3062*5))^3/6)+4*(((0.15*B3062*5))^4/24)+5*(((0.15*B3062*5))^5/120))/((((0.15*B3062*5))^0/1)+(((0.15*B3062*5))^1/1)+(((0.15*B3062*5))^2/2)+(((0.15*B3062*5))^3/6)+(((0.15*B3062*5))^4/24)+(((0.15*B3062*5))^5/120))),0))+IF(Inputs!$B$3&gt;=54,9*(C3032=TRUE)*MIN(1,8*(1+Inputs!$B$34/100)*Q3032)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3038*(1-MIN(100,(Inputs!$B$9+((C3048=TRUE)*(F3048-Calc!F19))+B3060+(ArtifactsInput!$M$24-ArtifactsInput!$M$24)*CHOOSE(ArtifactsInput!$N$24+1,10,12,14,16,18,20)+(IF(AND(Inputs!$B$38&lt;&gt;"pvp",Inputs!$B$43=0),1,IF(IF(Inputs!$B$38="pvp",15,Inputs!$B$43)-(B3067)&lt;=0,1,MAX(0,IF(Inputs!$B$38="pvp",15,Inputs!$B$43)-MAX(5,B3067))/(IF(Inputs!$B$38="pvp",15,Inputs!$B$43)-(B3067))))*IF(AND(ArtifactsInput!$M$42,((Inputs!$B$9+((C3048=TRUE)*(F3048-Calc!F19))+B3060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3038*(MIN(100,(Inputs!$B$9+((C3048=TRUE)*(F3048-Calc!F19))+B3060+(ArtifactsInput!$M$24-ArtifactsInput!$M$24)*CHOOSE(ArtifactsInput!$N$24+1,10,12,14,16,18,20)+(IF(AND(Inputs!$B$38&lt;&gt;"pvp",Inputs!$B$43=0),1,IF(IF(Inputs!$B$38="pvp",15,Inputs!$B$43)-(B3067)&lt;=0,1,MAX(0,IF(Inputs!$B$38="pvp",15,Inputs!$B$43)-MAX(5,B3067))/(IF(Inputs!$B$38="pvp",15,Inputs!$B$43)-(B3067))))*IF(AND(ArtifactsInput!$M$42,((Inputs!$B$9+((C3048=TRUE)*(F3048-Calc!F19))+B3060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3038*(1-MIN(100,(Inputs!$B$9+((C3048=TRUE)*(F3048-Calc!F19))+B3060+(ArtifactsInput!$M$24-ArtifactsInput!$M$24)*CHOOSE(ArtifactsInput!$N$24+1,10,12,14,16,18,20)+(IF(AND(Inputs!$B$38&lt;&gt;"pvp",Inputs!$B$43=0),1,IF(IF(Inputs!$B$38="pvp",15,Inputs!$B$43)-(B3067)&lt;=0,1,MAX(0,IF(Inputs!$B$38="pvp",15,Inputs!$B$43)-MAX(5,B3067))/(IF(Inputs!$B$38="pvp",15,Inputs!$B$43)-(B3067))))*IF(AND(ArtifactsInput!$M$42,((Inputs!$B$9+((C3048=TRUE)*(F3048-Calc!F19))+B3060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3038*(MIN(100,(Inputs!$B$9+((C3048=TRUE)*(F3048-Calc!F19))+B3060+(ArtifactsInput!$M$24-ArtifactsInput!$M$24)*CHOOSE(ArtifactsInput!$N$24+1,10,12,14,16,18,20)+(IF(AND(Inputs!$B$38&lt;&gt;"pvp",Inputs!$B$43=0),1,IF(IF(Inputs!$B$38="pvp",15,Inputs!$B$43)-(B3067)&lt;=0,1,MAX(0,IF(Inputs!$B$38="pvp",15,Inputs!$B$43)-MAX(5,B3067))/(IF(Inputs!$B$38="pvp",15,Inputs!$B$43)-(B3067))))*IF(AND(ArtifactsInput!$M$42,((Inputs!$B$9+((C3048=TRUE)*(F3048-Calc!F19))+B3060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038">
        <f>IF(C3038,(H3038*N3038*IF(AND(Inputs!$B$38&lt;&gt;"pvp",Inputs!$B$43&gt;0),((Skills!G9*((R3038-1)*IF(Skills!H9&gt;0,INT(Skills!I9/Skills!H9+0.000000001),1)+IF(Skills!H9&gt;0,INT(MIN(Skills!I9,MAX(0,MAX(0,Inputs!$B$43-B3067)-((R3038-1)*(IF(Inputs!$B$38="pvp",15,MAX(0.1,Skills!D9-IF(TRUE=TRUE,1.5,0)))*(1-IF(AND(ArtifactsInput!$M$27,Inputs!$B$4="Chapter Hunt"),CHOOSE(ArtifactsInput!$N$27+1,20,24,28,32,36,40),0)/100)))))/Skills!H9+0.000000001),1)))/Inputs!$B$43),G3038*Q3038))*IF(Inputs!$B$38="pvp",1,(1+(Inputs!$B$21+Skills!Q9+(IF(ArtifactsInput!$M$33,CHOOSE(ArtifactsInput!$N$33+1,30,36,42,48,54,60),0))+(IF(AND(ArtifactsInput!$M$35,Inputs!$B$4&lt;&gt;"Chapter Hunt"),CHOOSE(ArtifactsInput!$N$35+1,15,18,21,24,27,30)*(1-EXP(-(0.2*B3062)*5)),0)+IF(AND(ArtifactsInput!$M$22,Inputs!$B$4&lt;&gt;"Chapter Hunt"),CHOOSE(ArtifactsInput!$N$22+1,10,12,14,16,18,20)*((0*(((0.15*B3062*5))^0/1)+1*(((0.15*B3062*5))^1/1)+2*(((0.15*B3062*5))^2/2)+3*(((0.15*B3062*5))^3/6)+4*(((0.15*B3062*5))^4/24)+5*(((0.15*B3062*5))^5/120))/((((0.15*B3062*5))^0/1)+(((0.15*B3062*5))^1/1)+(((0.15*B3062*5))^2/2)+(((0.15*B3062*5))^3/6)+(((0.15*B3062*5))^4/24)+(((0.15*B3062*5))^5/120))),0))+IF(Inputs!$B$3&gt;=54,9*(C3032=TRUE)*MIN(1,8*(1+Inputs!$B$34/100)*Q3032),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39">
      <c r="A3039">
        <f>Skills!A10</f>
        <v/>
      </c>
      <c r="B3039">
        <f>Skills!B10</f>
        <v/>
      </c>
      <c r="C3039">
        <f>Inputs!$B$3&gt;=113</f>
        <v/>
      </c>
      <c r="D3039">
        <f>IF(Skills!C10=1,60+Inputs!$B$25+Inputs!$B$29,IF(Skills!C10=2,90+Inputs!$B$26+Inputs!$B$29,IF(Skills!C10=3,120+Inputs!$B$27+Inputs!$B$29,MAX(0,(Inputs!$B$3-100)*3)+Inputs!$B$28+Inputs!$B$29)))</f>
        <v/>
      </c>
      <c r="E3039">
        <f>INDEX(FactorTable!$B$2:$Y$301, MATCH(ROUND(MIN(300,MAX(1,D3039)),0), FactorTable!$A$2:$A$301,0), Skills!M10+1)</f>
        <v/>
      </c>
      <c r="F3039">
        <f>IF(Skills!N10=TRUE,(Skills!L10/10)*(E3039/1000),Skills!L10/10)+Skills!O10</f>
        <v/>
      </c>
      <c r="G3039">
        <f>Skills!G10*IF(Skills!H10&gt;0,INT(IF(Inputs!$B$38="pvp",MIN(Skills!I10,15),Skills!I10)/Skills!H10+0.000000001),1)</f>
        <v/>
      </c>
      <c r="H3039">
        <f>1-(1-Skills!J10/100)^Skills!K10</f>
        <v/>
      </c>
      <c r="I3039" t="inlineStr">
        <is>
          <t>1</t>
        </is>
      </c>
      <c r="J3039">
        <f>((Inputs!$B$6*(1+Inputs!$B$7/100))+(((Inputs!$B$12*(1+Inputs!$B$13/100))-(Inputs!$B$12*(1+Inputs!$B$13/100)))+0.25*(Inputs!$B$14-Inputs!$B$14))*(1+Inputs!$B$7/100))*(F3039/100)</f>
        <v/>
      </c>
      <c r="K3039">
        <f>J3039*(1+((Inputs!$B$12*(1+Inputs!$B$13/100))*0.01+Inputs!$B$14*0.0025)/100)*(1+Inputs!$B$15/100)*(1+Inputs!$B$16/100)*(5000/(6000+Inputs!$B$42*(1-(100*(1-(1-(Inputs!$B$19+0)/100)*(1-CHOOSE(ArtifactsInput!$N$40+1,5,6,7,8,9,10)/100)^(ArtifactsInput!$M$40-ArtifactsInput!$M$40)))/100)))*(1+(Inputs!$B$24+((C3055=TRUE)*(F3055-Calc!F26))+B3066)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IGHT_LEGS_EASTON",Inputs!$B$17+((C3052=TRUE)*(F3052-Calc!F23))+((C3056=TRUE)*(F3056-Calc!F27))+((IF(AND(Inputs!$B$38&lt;&gt;"pvp",Inputs!$B$43=0),1,IF(IF(Inputs!$B$38="pvp",15,Inputs!$B$43)-(B3067)&lt;=0,1,MAX(0,IF(Inputs!$B$38="pvp",15,Inputs!$B$43)-MAX(5,B3067))/(IF(Inputs!$B$38="pvp",15,Inputs!$B$43)-(B3067))))*(IF(AND(ArtifactsInput!$M$42,((Inputs!$B$9+((C3048=TRUE)*(F3048-Calc!F19))+B3060+(ArtifactsInput!$M$24-ArtifactsInput!$M$24)*CHOOSE(ArtifactsInput!$N$24+1,10,12,14,16,18,20)+IF(ArtifactsInput!$M$10,CHOOSE(ArtifactsInput!$N$10+1,15,18,21,24,27,30)*(IF(Inputs!$B$38="pvp",MIN(15,15)/15,IF(AND(Inputs!$B$38&lt;&gt;"pvp",Inputs!$B$43&gt;0),MIN(15,Inputs!$B$43)/(Inputs!$B$43),0))),0)))&gt;=100),MIN(100,((Inputs!$B$9+((C3048=TRUE)*(F3048-Calc!F19))+B3060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3067)&lt;=0,1,MAX(0,IF(Inputs!$B$38="pvp",15,Inputs!$B$43)-MAX(5,B3067))/(IF(Inputs!$B$38="pvp",15,Inputs!$B$43)-(B3067))))*IF(AND(ArtifactsInput!$M$42,((Inputs!$B$9+((C3048=TRUE)*(F3048-Calc!F19))+B3060+(ArtifactsInput!$M$24-ArtifactsInput!$M$24)*CHOOSE(ArtifactsInput!$N$24+1,10,12,14,16,18,20)+IF(ArtifactsInput!$M$10,CHOOSE(ArtifactsInput!$N$10+1,15,18,21,24,27,30)*(IF(Inputs!$B$38="pvp",MIN(15,15)/15,IF(AND(Inputs!$B$38&lt;&gt;"pvp",Inputs!$B$43&gt;0),MIN(15,Inputs!$B$43)/(Inputs!$B$43),0))),0)))&gt;=100),CHOOSE(ArtifactsInput!$N$42+1,40,48,56,64,72,80),0))))/100)*((1+(((C3046=TRUE)*F3046*5/7)+((C3053=TRUE)*(F3053-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3039)</f>
        <v/>
      </c>
      <c r="L3039">
        <f>K3039*(MIN(Inputs!$B$22+((C3051=TRUE)*(F3051-Calc!F22)),(Inputs!$B$23+0+(IF(ArtifactsInput!$M$15,CHOOSE(ArtifactsInput!$N$15+1,25,30,35,40,45,50)/100*(Inputs!$B$11-Inputs!$B$11),0))))/100+(Inputs!$B$23+0+(IF(ArtifactsInput!$M$15,CHOOSE(ArtifactsInput!$N$15+1,25,30,35,40,45,50)/100*(Inputs!$B$11-Inputs!$B$11),0)))/100)/2</f>
        <v/>
      </c>
      <c r="M3039">
        <f>L3039*(1+(Inputs!$B$10+((C3054=TRUE)*(F3054-Calc!F25))+B3065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39">
        <f>L3039*(1-MIN((Inputs!$B$9+((C3048=TRUE)*(F3048-Calc!F19))+B3060+(ArtifactsInput!$M$24-ArtifactsInput!$M$24)*CHOOSE(ArtifactsInput!$N$24+1,10,12,14,16,18,20)+(IF(AND(Inputs!$B$38&lt;&gt;"pvp",Inputs!$B$43=0),1,IF(IF(Inputs!$B$38="pvp",15,Inputs!$B$43)-(B3067)&lt;=0,1,MAX(0,IF(Inputs!$B$38="pvp",15,Inputs!$B$43)-MAX(5,B3067))/(IF(Inputs!$B$38="pvp",15,Inputs!$B$43)-(B3067))))*IF(AND(ArtifactsInput!$M$42,((Inputs!$B$9+((C3048=TRUE)*(F3048-Calc!F19))+B3060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3039*(MIN((Inputs!$B$9+((C3048=TRUE)*(F3048-Calc!F19))+B3060+(ArtifactsInput!$M$24-ArtifactsInput!$M$24)*CHOOSE(ArtifactsInput!$N$24+1,10,12,14,16,18,20)+(IF(AND(Inputs!$B$38&lt;&gt;"pvp",Inputs!$B$43=0),1,IF(IF(Inputs!$B$38="pvp",15,Inputs!$B$43)-(B3067)&lt;=0,1,MAX(0,IF(Inputs!$B$38="pvp",15,Inputs!$B$43)-MAX(5,B3067))/(IF(Inputs!$B$38="pvp",15,Inputs!$B$43)-(B3067))))*IF(AND(ArtifactsInput!$M$42,((Inputs!$B$9+((C3048=TRUE)*(F3048-Calc!F19))+B3060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39">
        <f>(1-Summary!$B$11)*T3039+Summary!$B$11*V3039</f>
        <v/>
      </c>
      <c r="P3039">
        <f>IF(B3070=0,0,O3039/B3070)</f>
        <v/>
      </c>
      <c r="Q3039" t="n">
        <v>0</v>
      </c>
      <c r="R3039" t="n">
        <v>0</v>
      </c>
      <c r="S3039">
        <f>IFERROR(O3039/N3039,0)</f>
        <v/>
      </c>
      <c r="T3039">
        <f>IF(C3039,((H3039*B3072)/(1+Skills!H10*H3039*B3072)*N3039)*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Hunt"),CHOOSE(ArtifactsInput!$N$35+1,15,18,21,24,27,30)*(1-EXP(-(0.2*B3062)*5)),0)+IF(AND(ArtifactsInput!$M$22,Inputs!$B$4&lt;&gt;"Chapter Hunt"),CHOOSE(ArtifactsInput!$N$22+1,10,12,14,16,18,20)*((0*(((0.15*B3062*5))^0/1)+1*(((0.15*B3062*5))^1/1)+2*(((0.15*B3062*5))^2/2)+3*(((0.15*B3062*5))^3/6)+4*(((0.15*B3062*5))^4/24)+5*(((0.15*B3062*5))^5/120))/((((0.15*B3062*5))^0/1)+(((0.15*B3062*5))^1/1)+(((0.15*B3062*5))^2/2)+(((0.15*B3062*5))^3/6)+(((0.15*B3062*5))^4/24)+(((0.15*B3062*5))^5/120))),0))+IF(Inputs!$B$3&gt;=54,9*(C3032=TRUE)*MIN(1,8*(1+Inputs!$B$34/100)*Q3032)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3039*(1-MIN(100,(Inputs!$B$9+((C3048=TRUE)*(F3048-Calc!F19))+B3060+(ArtifactsInput!$M$24-ArtifactsInput!$M$24)*CHOOSE(ArtifactsInput!$N$24+1,10,12,14,16,18,20)+(IF(AND(Inputs!$B$38&lt;&gt;"pvp",Inputs!$B$43=0),1,IF(IF(Inputs!$B$38="pvp",15,Inputs!$B$43)-(B3067)&lt;=0,1,MAX(0,IF(Inputs!$B$38="pvp",15,Inputs!$B$43)-MAX(5,B3067))/(IF(Inputs!$B$38="pvp",15,Inputs!$B$43)-(B3067))))*IF(AND(ArtifactsInput!$M$42,((Inputs!$B$9+((C3048=TRUE)*(F3048-Calc!F19))+B3060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3039*(MIN(100,(Inputs!$B$9+((C3048=TRUE)*(F3048-Calc!F19))+B3060+(ArtifactsInput!$M$24-ArtifactsInput!$M$24)*CHOOSE(ArtifactsInput!$N$24+1,10,12,14,16,18,20)+(IF(AND(Inputs!$B$38&lt;&gt;"pvp",Inputs!$B$43=0),1,IF(IF(Inputs!$B$38="pvp",15,Inputs!$B$43)-(B3067)&lt;=0,1,MAX(0,IF(Inputs!$B$38="pvp",15,Inputs!$B$43)-MAX(5,B3067))/(IF(Inputs!$B$38="pvp",15,Inputs!$B$43)-(B3067))))*IF(AND(ArtifactsInput!$M$42,((Inputs!$B$9+((C3048=TRUE)*(F3048-Calc!F19))+B3060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3039*(1-MIN(100,(Inputs!$B$9+((C3048=TRUE)*(F3048-Calc!F19))+B3060+(ArtifactsInput!$M$24-ArtifactsInput!$M$24)*CHOOSE(ArtifactsInput!$N$24+1,10,12,14,16,18,20)+(IF(AND(Inputs!$B$38&lt;&gt;"pvp",Inputs!$B$43=0),1,IF(IF(Inputs!$B$38="pvp",15,Inputs!$B$43)-(B3067)&lt;=0,1,MAX(0,IF(Inputs!$B$38="pvp",15,Inputs!$B$43)-MAX(5,B3067))/(IF(Inputs!$B$38="pvp",15,Inputs!$B$43)-(B3067))))*IF(AND(ArtifactsInput!$M$42,((Inputs!$B$9+((C3048=TRUE)*(F3048-Calc!F19))+B3060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3039*(MIN(100,(Inputs!$B$9+((C3048=TRUE)*(F3048-Calc!F19))+B3060+(ArtifactsInput!$M$24-ArtifactsInput!$M$24)*CHOOSE(ArtifactsInput!$N$24+1,10,12,14,16,18,20)+(IF(AND(Inputs!$B$38&lt;&gt;"pvp",Inputs!$B$43=0),1,IF(IF(Inputs!$B$38="pvp",15,Inputs!$B$43)-(B3067)&lt;=0,1,MAX(0,IF(Inputs!$B$38="pvp",15,Inputs!$B$43)-MAX(5,B3067))/(IF(Inputs!$B$38="pvp",15,Inputs!$B$43)-(B3067))))*IF(AND(ArtifactsInput!$M$42,((Inputs!$B$9+((C3048=TRUE)*(F3048-Calc!F19))+B3060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039">
        <f>IF(C3039,((H3039*B3072)/(1+Skills!H10*H3039*B3072)*N3039)*IF(Inputs!$B$38="pvp",1,(1+(Inputs!$B$21+Skills!Q10+(IF(ArtifactsInput!$M$33,CHOOSE(ArtifactsInput!$N$33+1,30,36,42,48,54,60),0))+(IF(AND(ArtifactsInput!$M$35,Inputs!$B$4&lt;&gt;"Chapter Hunt"),CHOOSE(ArtifactsInput!$N$35+1,15,18,21,24,27,30)*(1-EXP(-(0.2*B3062)*5)),0)+IF(AND(ArtifactsInput!$M$22,Inputs!$B$4&lt;&gt;"Chapter Hunt"),CHOOSE(ArtifactsInput!$N$22+1,10,12,14,16,18,20)*((0*(((0.15*B3062*5))^0/1)+1*(((0.15*B3062*5))^1/1)+2*(((0.15*B3062*5))^2/2)+3*(((0.15*B3062*5))^3/6)+4*(((0.15*B3062*5))^4/24)+5*(((0.15*B3062*5))^5/120))/((((0.15*B3062*5))^0/1)+(((0.15*B3062*5))^1/1)+(((0.15*B3062*5))^2/2)+(((0.15*B3062*5))^3/6)+(((0.15*B3062*5))^4/24)+(((0.15*B3062*5))^5/120))),0))+IF(Inputs!$B$3&gt;=54,9*(C3032=TRUE)*MIN(1,8*(1+Inputs!$B$34/100)*Q3032),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40">
      <c r="A3040">
        <f>Skills!A11</f>
        <v/>
      </c>
      <c r="B3040">
        <f>Skills!B11</f>
        <v/>
      </c>
      <c r="C3040">
        <f>Inputs!$B$3&gt;=117</f>
        <v/>
      </c>
      <c r="D3040">
        <f>IF(Skills!C11=1,60+Inputs!$B$25+Inputs!$B$29,IF(Skills!C11=2,90+Inputs!$B$26+Inputs!$B$29,IF(Skills!C11=3,120+Inputs!$B$27+Inputs!$B$29,MAX(0,(Inputs!$B$3-100)*3)+Inputs!$B$28+Inputs!$B$29)))</f>
        <v/>
      </c>
      <c r="E3040">
        <f>INDEX(FactorTable!$B$2:$Y$301, MATCH(ROUND(MIN(300,MAX(1,D3040)),0), FactorTable!$A$2:$A$301,0), Skills!M11+1)</f>
        <v/>
      </c>
      <c r="F3040">
        <f>IF(Skills!N11=TRUE,(Skills!L11/10)*(E3040/1000),Skills!L11/10)+Skills!O11</f>
        <v/>
      </c>
      <c r="G3040">
        <f>Skills!G11*IF(Skills!H11&gt;0,INT(IF(Inputs!$B$38="pvp",MIN(Skills!I11,15),Skills!I11)/Skills!H11+0.000000001),1)</f>
        <v/>
      </c>
      <c r="H3040">
        <f>1-(1-Skills!J11/100)^Skills!K11</f>
        <v/>
      </c>
      <c r="I3040" t="inlineStr">
        <is>
          <t>1</t>
        </is>
      </c>
      <c r="J3040">
        <f>((Inputs!$B$6*(1+Inputs!$B$7/100))+(((Inputs!$B$12*(1+Inputs!$B$13/100))-(Inputs!$B$12*(1+Inputs!$B$13/100)))+0.25*(Inputs!$B$14-Inputs!$B$14))*(1+Inputs!$B$7/100))*(F3040/100)</f>
        <v/>
      </c>
      <c r="K3040">
        <f>J3040*(1+((Inputs!$B$12*(1+Inputs!$B$13/100))*0.01+Inputs!$B$14*0.0025)/100)*(1+Inputs!$B$15/100)*(1+Inputs!$B$16/100)*(5000/(6000+Inputs!$B$42*(1-(100*(1-(1-(Inputs!$B$19+0)/100)*(1-CHOOSE(ArtifactsInput!$N$40+1,5,6,7,8,9,10)/100)^(ArtifactsInput!$M$40-ArtifactsInput!$M$40)))/100)))*(1+(Inputs!$B$24+((C3055=TRUE)*(F3055-Calc!F26))+B3066)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IGHT_LEGS_EASTON",Inputs!$B$17+((C3052=TRUE)*(F3052-Calc!F23))+((C3056=TRUE)*(F3056-Calc!F27))+((IF(AND(Inputs!$B$38&lt;&gt;"pvp",Inputs!$B$43=0),1,IF(IF(Inputs!$B$38="pvp",15,Inputs!$B$43)-(B3067)&lt;=0,1,MAX(0,IF(Inputs!$B$38="pvp",15,Inputs!$B$43)-MAX(5,B3067))/(IF(Inputs!$B$38="pvp",15,Inputs!$B$43)-(B3067))))*(IF(AND(ArtifactsInput!$M$42,((Inputs!$B$9+((C3048=TRUE)*(F3048-Calc!F19))+B3060+(ArtifactsInput!$M$24-ArtifactsInput!$M$24)*CHOOSE(ArtifactsInput!$N$24+1,10,12,14,16,18,20)+IF(ArtifactsInput!$M$10,CHOOSE(ArtifactsInput!$N$10+1,15,18,21,24,27,30)*(IF(Inputs!$B$38="pvp",MIN(15,15)/15,IF(AND(Inputs!$B$38&lt;&gt;"pvp",Inputs!$B$43&gt;0),MIN(15,Inputs!$B$43)/(Inputs!$B$43),0))),0)))&gt;=100),MIN(100,((Inputs!$B$9+((C3048=TRUE)*(F3048-Calc!F19))+B3060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3067)&lt;=0,1,MAX(0,IF(Inputs!$B$38="pvp",15,Inputs!$B$43)-MAX(5,B3067))/(IF(Inputs!$B$38="pvp",15,Inputs!$B$43)-(B3067))))*IF(AND(ArtifactsInput!$M$42,((Inputs!$B$9+((C3048=TRUE)*(F3048-Calc!F19))+B3060+(ArtifactsInput!$M$24-ArtifactsInput!$M$24)*CHOOSE(ArtifactsInput!$N$24+1,10,12,14,16,18,20)+IF(ArtifactsInput!$M$10,CHOOSE(ArtifactsInput!$N$10+1,15,18,21,24,27,30)*(IF(Inputs!$B$38="pvp",MIN(15,15)/15,IF(AND(Inputs!$B$38&lt;&gt;"pvp",Inputs!$B$43&gt;0),MIN(15,Inputs!$B$43)/(Inputs!$B$43),0))),0)))&gt;=100),CHOOSE(ArtifactsInput!$N$42+1,40,48,56,64,72,80),0))))/100)*((1+(((C3046=TRUE)*F3046*5/7)+((C3053=TRUE)*(F3053-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3040)</f>
        <v/>
      </c>
      <c r="L3040">
        <f>K3040*(MIN(Inputs!$B$22+((C3051=TRUE)*(F3051-Calc!F22)),(Inputs!$B$23+0+(IF(ArtifactsInput!$M$15,CHOOSE(ArtifactsInput!$N$15+1,25,30,35,40,45,50)/100*(Inputs!$B$11-Inputs!$B$11),0))))/100+(Inputs!$B$23+0+(IF(ArtifactsInput!$M$15,CHOOSE(ArtifactsInput!$N$15+1,25,30,35,40,45,50)/100*(Inputs!$B$11-Inputs!$B$11),0)))/100)/2</f>
        <v/>
      </c>
      <c r="M3040">
        <f>L3040*(1+(Inputs!$B$10+((C3054=TRUE)*(F3054-Calc!F25))+B3065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40">
        <f>L3040*(1-MIN((Inputs!$B$9+((C3048=TRUE)*(F3048-Calc!F19))+B3060+(ArtifactsInput!$M$24-ArtifactsInput!$M$24)*CHOOSE(ArtifactsInput!$N$24+1,10,12,14,16,18,20)+(IF(AND(Inputs!$B$38&lt;&gt;"pvp",Inputs!$B$43=0),1,IF(IF(Inputs!$B$38="pvp",15,Inputs!$B$43)-(B3067)&lt;=0,1,MAX(0,IF(Inputs!$B$38="pvp",15,Inputs!$B$43)-MAX(5,B3067))/(IF(Inputs!$B$38="pvp",15,Inputs!$B$43)-(B3067))))*IF(AND(ArtifactsInput!$M$42,((Inputs!$B$9+((C3048=TRUE)*(F3048-Calc!F19))+B3060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3040*(MIN((Inputs!$B$9+((C3048=TRUE)*(F3048-Calc!F19))+B3060+(ArtifactsInput!$M$24-ArtifactsInput!$M$24)*CHOOSE(ArtifactsInput!$N$24+1,10,12,14,16,18,20)+(IF(AND(Inputs!$B$38&lt;&gt;"pvp",Inputs!$B$43=0),1,IF(IF(Inputs!$B$38="pvp",15,Inputs!$B$43)-(B3067)&lt;=0,1,MAX(0,IF(Inputs!$B$38="pvp",15,Inputs!$B$43)-MAX(5,B3067))/(IF(Inputs!$B$38="pvp",15,Inputs!$B$43)-(B3067))))*IF(AND(ArtifactsInput!$M$42,((Inputs!$B$9+((C3048=TRUE)*(F3048-Calc!F19))+B3060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40">
        <f>(1-Summary!$B$11)*T3040+Summary!$B$11*V3040</f>
        <v/>
      </c>
      <c r="P3040">
        <f>IF(B3070=0,0,O3040/B3070)</f>
        <v/>
      </c>
      <c r="Q3040">
        <f>IFERROR(1/((IF(Inputs!$B$38="pvp",15,MAX(0.1,Skills!D11-IF(TRUE=TRUE,1.5,0)))*(1-IF(AND(ArtifactsInput!$M$27,Inputs!$B$4="Chapter Hunt"),CHOOSE(ArtifactsInput!$N$27+1,20,24,28,32,36,40),0)/100))/B3071),0)</f>
        <v/>
      </c>
      <c r="R3040">
        <f>IF(AND(Inputs!$B$38&lt;&gt;"pvp",Inputs!$B$43&gt;0),IF(MAX(0,Inputs!$B$43-B3067)&lt;=0,0,(INT(MAX(0,Inputs!$B$43-B3067)/((IF(Inputs!$B$38="pvp",15,MAX(0.1,Skills!D11-IF(TRUE=TRUE,1.5,0)))*(1-IF(AND(ArtifactsInput!$M$27,Inputs!$B$4="Chapter Hunt"),CHOOSE(ArtifactsInput!$N$27+1,20,24,28,32,36,40),0)/100))/B3071))+1)),0)</f>
        <v/>
      </c>
      <c r="S3040">
        <f>IFERROR(O3040/N3040,0)</f>
        <v/>
      </c>
      <c r="T3040">
        <f>IF(C3040,(H3040*N3040*IF(AND(Inputs!$B$38&lt;&gt;"pvp",Inputs!$B$43&gt;0),((Skills!G11*((R3040-1)*IF(Skills!H11&gt;0,INT(Skills!I11/Skills!H11+0.000000001),1)+IF(Skills!H11&gt;0,INT(MIN(Skills!I11,MAX(0,MAX(0,Inputs!$B$43-B3067)-((R3040-1)*((IF(Inputs!$B$38="pvp",15,MAX(0.1,Skills!D11-IF(TRUE=TRUE,1.5,0)))*(1-IF(AND(ArtifactsInput!$M$27,Inputs!$B$4="Chapter Hunt"),CHOOSE(ArtifactsInput!$N$27+1,20,24,28,32,36,40),0)/100))/B3071))))/Skills!H11+0.000000001),1)))/Inputs!$B$43),G3040*Q3040))*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Hunt"),CHOOSE(ArtifactsInput!$N$35+1,15,18,21,24,27,30)*(1-EXP(-(0.2*B3062)*5)),0)+IF(AND(ArtifactsInput!$M$22,Inputs!$B$4&lt;&gt;"Chapter Hunt"),CHOOSE(ArtifactsInput!$N$22+1,10,12,14,16,18,20)*((0*(((0.15*B3062*5))^0/1)+1*(((0.15*B3062*5))^1/1)+2*(((0.15*B3062*5))^2/2)+3*(((0.15*B3062*5))^3/6)+4*(((0.15*B3062*5))^4/24)+5*(((0.15*B3062*5))^5/120))/((((0.15*B3062*5))^0/1)+(((0.15*B3062*5))^1/1)+(((0.15*B3062*5))^2/2)+(((0.15*B3062*5))^3/6)+(((0.15*B3062*5))^4/24)+(((0.15*B3062*5))^5/120))),0))+IF(Inputs!$B$3&gt;=54,9*(C3032=TRUE)*MIN(1,8*(1+Inputs!$B$34/100)*Q3032)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3040*(1-MIN(100,(Inputs!$B$9+((C3048=TRUE)*(F3048-Calc!F19))+B3060+(ArtifactsInput!$M$24-ArtifactsInput!$M$24)*CHOOSE(ArtifactsInput!$N$24+1,10,12,14,16,18,20)+(IF(AND(Inputs!$B$38&lt;&gt;"pvp",Inputs!$B$43=0),1,IF(IF(Inputs!$B$38="pvp",15,Inputs!$B$43)-(B3067)&lt;=0,1,MAX(0,IF(Inputs!$B$38="pvp",15,Inputs!$B$43)-MAX(5,B3067))/(IF(Inputs!$B$38="pvp",15,Inputs!$B$43)-(B3067))))*IF(AND(ArtifactsInput!$M$42,((Inputs!$B$9+((C3048=TRUE)*(F3048-Calc!F19))+B3060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3040*(MIN(100,(Inputs!$B$9+((C3048=TRUE)*(F3048-Calc!F19))+B3060+(ArtifactsInput!$M$24-ArtifactsInput!$M$24)*CHOOSE(ArtifactsInput!$N$24+1,10,12,14,16,18,20)+(IF(AND(Inputs!$B$38&lt;&gt;"pvp",Inputs!$B$43=0),1,IF(IF(Inputs!$B$38="pvp",15,Inputs!$B$43)-(B3067)&lt;=0,1,MAX(0,IF(Inputs!$B$38="pvp",15,Inputs!$B$43)-MAX(5,B3067))/(IF(Inputs!$B$38="pvp",15,Inputs!$B$43)-(B3067))))*IF(AND(ArtifactsInput!$M$42,((Inputs!$B$9+((C3048=TRUE)*(F3048-Calc!F19))+B3060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3040*(1-MIN(100,(Inputs!$B$9+((C3048=TRUE)*(F3048-Calc!F19))+B3060+(ArtifactsInput!$M$24-ArtifactsInput!$M$24)*CHOOSE(ArtifactsInput!$N$24+1,10,12,14,16,18,20)+(IF(AND(Inputs!$B$38&lt;&gt;"pvp",Inputs!$B$43=0),1,IF(IF(Inputs!$B$38="pvp",15,Inputs!$B$43)-(B3067)&lt;=0,1,MAX(0,IF(Inputs!$B$38="pvp",15,Inputs!$B$43)-MAX(5,B3067))/(IF(Inputs!$B$38="pvp",15,Inputs!$B$43)-(B3067))))*IF(AND(ArtifactsInput!$M$42,((Inputs!$B$9+((C3048=TRUE)*(F3048-Calc!F19))+B3060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3040*(MIN(100,(Inputs!$B$9+((C3048=TRUE)*(F3048-Calc!F19))+B3060+(ArtifactsInput!$M$24-ArtifactsInput!$M$24)*CHOOSE(ArtifactsInput!$N$24+1,10,12,14,16,18,20)+(IF(AND(Inputs!$B$38&lt;&gt;"pvp",Inputs!$B$43=0),1,IF(IF(Inputs!$B$38="pvp",15,Inputs!$B$43)-(B3067)&lt;=0,1,MAX(0,IF(Inputs!$B$38="pvp",15,Inputs!$B$43)-MAX(5,B3067))/(IF(Inputs!$B$38="pvp",15,Inputs!$B$43)-(B3067))))*IF(AND(ArtifactsInput!$M$42,((Inputs!$B$9+((C3048=TRUE)*(F3048-Calc!F19))+B3060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040">
        <f>IF(C3040,(H3040*N3040*IF(AND(Inputs!$B$38&lt;&gt;"pvp",Inputs!$B$43&gt;0),((Skills!G11*((R3040-1)*IF(Skills!H11&gt;0,INT(Skills!I11/Skills!H11+0.000000001),1)+IF(Skills!H11&gt;0,INT(MIN(Skills!I11,MAX(0,MAX(0,Inputs!$B$43-B3067)-((R3040-1)*((IF(Inputs!$B$38="pvp",15,MAX(0.1,Skills!D11-IF(TRUE=TRUE,1.5,0)))*(1-IF(AND(ArtifactsInput!$M$27,Inputs!$B$4="Chapter Hunt"),CHOOSE(ArtifactsInput!$N$27+1,20,24,28,32,36,40),0)/100))/B3071))))/Skills!H11+0.000000001),1)))/Inputs!$B$43),G3040*Q3040))*IF(Inputs!$B$38="pvp",1,(1+(Inputs!$B$21+Skills!Q11+(IF(ArtifactsInput!$M$33,CHOOSE(ArtifactsInput!$N$33+1,30,36,42,48,54,60),0))+(IF(AND(ArtifactsInput!$M$35,Inputs!$B$4&lt;&gt;"Chapter Hunt"),CHOOSE(ArtifactsInput!$N$35+1,15,18,21,24,27,30)*(1-EXP(-(0.2*B3062)*5)),0)+IF(AND(ArtifactsInput!$M$22,Inputs!$B$4&lt;&gt;"Chapter Hunt"),CHOOSE(ArtifactsInput!$N$22+1,10,12,14,16,18,20)*((0*(((0.15*B3062*5))^0/1)+1*(((0.15*B3062*5))^1/1)+2*(((0.15*B3062*5))^2/2)+3*(((0.15*B3062*5))^3/6)+4*(((0.15*B3062*5))^4/24)+5*(((0.15*B3062*5))^5/120))/((((0.15*B3062*5))^0/1)+(((0.15*B3062*5))^1/1)+(((0.15*B3062*5))^2/2)+(((0.15*B3062*5))^3/6)+(((0.15*B3062*5))^4/24)+(((0.15*B3062*5))^5/120))),0))+IF(Inputs!$B$3&gt;=54,9*(C3032=TRUE)*MIN(1,8*(1+Inputs!$B$34/100)*Q3032),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41">
      <c r="A3041">
        <f>Skills!A12</f>
        <v/>
      </c>
      <c r="B3041">
        <f>Skills!B12</f>
        <v/>
      </c>
      <c r="C3041">
        <f>Inputs!$B$3&gt;=110</f>
        <v/>
      </c>
      <c r="D3041">
        <f>IF(Skills!C12=1,60+Inputs!$B$25+Inputs!$B$29,IF(Skills!C12=2,90+Inputs!$B$26+Inputs!$B$29,IF(Skills!C12=3,120+Inputs!$B$27+Inputs!$B$29,MAX(0,(Inputs!$B$3-100)*3)+Inputs!$B$28+Inputs!$B$29)))</f>
        <v/>
      </c>
      <c r="E3041">
        <f>INDEX(FactorTable!$B$2:$Y$301, MATCH(ROUND(MIN(300,MAX(1,D3041)),0), FactorTable!$A$2:$A$301,0), Skills!M12+1)</f>
        <v/>
      </c>
      <c r="F3041">
        <f>IF(Skills!N12=TRUE,(Skills!L12/10)*(E3041/1000),Skills!L12/10)+Skills!O12</f>
        <v/>
      </c>
      <c r="G3041">
        <f>Skills!G12*IF(Skills!H12&gt;0,INT(IF(Inputs!$B$38="pvp",MIN(Skills!I12,15),Skills!I12)/Skills!H12+0.000000001),1)</f>
        <v/>
      </c>
      <c r="H3041">
        <f>1-(1-Skills!J12/100)^Skills!K12</f>
        <v/>
      </c>
      <c r="I3041" t="inlineStr">
        <is>
          <t>1</t>
        </is>
      </c>
      <c r="J3041">
        <f>((Inputs!$B$6*(1+Inputs!$B$7/100))+(((Inputs!$B$12*(1+Inputs!$B$13/100))-(Inputs!$B$12*(1+Inputs!$B$13/100)))+0.25*(Inputs!$B$14-Inputs!$B$14))*(1+Inputs!$B$7/100))*(F3041/100)</f>
        <v/>
      </c>
      <c r="K3041">
        <f>J3041*(1+((Inputs!$B$12*(1+Inputs!$B$13/100))*0.01+Inputs!$B$14*0.0025)/100)*(1+Inputs!$B$15/100)*(1+Inputs!$B$16/100)*(5000/(6000+Inputs!$B$42*(1-(100*(1-(1-(Inputs!$B$19+0)/100)*(1-CHOOSE(ArtifactsInput!$N$40+1,5,6,7,8,9,10)/100)^(ArtifactsInput!$M$40-ArtifactsInput!$M$40)))/100)))*(1+(Inputs!$B$24+((C3055=TRUE)*(F3055-Calc!F26))+B3066)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EIGHT_LEGS_EASTON",Inputs!$B$17+((C3052=TRUE)*(F3052-Calc!F23))+((C3056=TRUE)*(F3056-Calc!F27))+((IF(AND(Inputs!$B$38&lt;&gt;"pvp",Inputs!$B$43=0),1,IF(IF(Inputs!$B$38="pvp",15,Inputs!$B$43)-(B3067)&lt;=0,1,MAX(0,IF(Inputs!$B$38="pvp",15,Inputs!$B$43)-MAX(5,B3067))/(IF(Inputs!$B$38="pvp",15,Inputs!$B$43)-(B3067))))*(IF(AND(ArtifactsInput!$M$42,((Inputs!$B$9+((C3048=TRUE)*(F3048-Calc!F19))+B3060+(ArtifactsInput!$M$24-ArtifactsInput!$M$24)*CHOOSE(ArtifactsInput!$N$24+1,10,12,14,16,18,20)+IF(ArtifactsInput!$M$10,CHOOSE(ArtifactsInput!$N$10+1,15,18,21,24,27,30)*(IF(Inputs!$B$38="pvp",MIN(15,15)/15,IF(AND(Inputs!$B$38&lt;&gt;"pvp",Inputs!$B$43&gt;0),MIN(15,Inputs!$B$43)/(Inputs!$B$43),0))),0)))&gt;=100),MIN(100,((Inputs!$B$9+((C3048=TRUE)*(F3048-Calc!F19))+B3060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3067)&lt;=0,1,MAX(0,IF(Inputs!$B$38="pvp",15,Inputs!$B$43)-MAX(5,B3067))/(IF(Inputs!$B$38="pvp",15,Inputs!$B$43)-(B3067))))*IF(AND(ArtifactsInput!$M$42,((Inputs!$B$9+((C3048=TRUE)*(F3048-Calc!F19))+B3060+(ArtifactsInput!$M$24-ArtifactsInput!$M$24)*CHOOSE(ArtifactsInput!$N$24+1,10,12,14,16,18,20)+IF(ArtifactsInput!$M$10,CHOOSE(ArtifactsInput!$N$10+1,15,18,21,24,27,30)*(IF(Inputs!$B$38="pvp",MIN(15,15)/15,IF(AND(Inputs!$B$38&lt;&gt;"pvp",Inputs!$B$43&gt;0),MIN(15,Inputs!$B$43)/(Inputs!$B$43),0))),0)))&gt;=100),CHOOSE(ArtifactsInput!$N$42+1,40,48,56,64,72,80),0))))/100)*((1+(((C3046=TRUE)*F3046*5/7)+((C3053=TRUE)*(F3053-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3041)</f>
        <v/>
      </c>
      <c r="L3041">
        <f>K3041*(MIN(Inputs!$B$22+((C3051=TRUE)*(F3051-Calc!F22)),(Inputs!$B$23+0+(IF(ArtifactsInput!$M$15,CHOOSE(ArtifactsInput!$N$15+1,25,30,35,40,45,50)/100*(Inputs!$B$11-Inputs!$B$11),0))))/100+(Inputs!$B$23+0+(IF(ArtifactsInput!$M$15,CHOOSE(ArtifactsInput!$N$15+1,25,30,35,40,45,50)/100*(Inputs!$B$11-Inputs!$B$11),0)))/100)/2</f>
        <v/>
      </c>
      <c r="M3041">
        <f>L3041*(1+(Inputs!$B$10+((C3054=TRUE)*(F3054-Calc!F25))+B3065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41">
        <f>L3041*(1-MIN((Inputs!$B$9+((C3048=TRUE)*(F3048-Calc!F19))+B3060+(ArtifactsInput!$M$24-ArtifactsInput!$M$24)*CHOOSE(ArtifactsInput!$N$24+1,10,12,14,16,18,20)+(IF(AND(Inputs!$B$38&lt;&gt;"pvp",Inputs!$B$43=0),1,IF(IF(Inputs!$B$38="pvp",15,Inputs!$B$43)-(B3067)&lt;=0,1,MAX(0,IF(Inputs!$B$38="pvp",15,Inputs!$B$43)-MAX(5,B3067))/(IF(Inputs!$B$38="pvp",15,Inputs!$B$43)-(B3067))))*IF(AND(ArtifactsInput!$M$42,((Inputs!$B$9+((C3048=TRUE)*(F3048-Calc!F19))+B3060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3041*(MIN((Inputs!$B$9+((C3048=TRUE)*(F3048-Calc!F19))+B3060+(ArtifactsInput!$M$24-ArtifactsInput!$M$24)*CHOOSE(ArtifactsInput!$N$24+1,10,12,14,16,18,20)+(IF(AND(Inputs!$B$38&lt;&gt;"pvp",Inputs!$B$43=0),1,IF(IF(Inputs!$B$38="pvp",15,Inputs!$B$43)-(B3067)&lt;=0,1,MAX(0,IF(Inputs!$B$38="pvp",15,Inputs!$B$43)-MAX(5,B3067))/(IF(Inputs!$B$38="pvp",15,Inputs!$B$43)-(B3067))))*IF(AND(ArtifactsInput!$M$42,((Inputs!$B$9+((C3048=TRUE)*(F3048-Calc!F19))+B3060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41">
        <f>(1-Summary!$B$11)*T3041+Summary!$B$11*V3041</f>
        <v/>
      </c>
      <c r="P3041">
        <f>IF(B3070=0,0,O3041/B3070)</f>
        <v/>
      </c>
      <c r="Q3041">
        <f>IFERROR(1/(IF(Inputs!$B$38="pvp",15,MAX(0.1,Skills!D12-IF(TRUE=TRUE,1.5,0)))*(1-IF(AND(ArtifactsInput!$M$27,Inputs!$B$4="Chapter Hunt"),CHOOSE(ArtifactsInput!$N$27+1,20,24,28,32,36,40),0)/100)),0)</f>
        <v/>
      </c>
      <c r="R3041">
        <f>IF(AND(Inputs!$B$38&lt;&gt;"pvp",Inputs!$B$43&gt;0),IF(MAX(0,Inputs!$B$43-B3067)&lt;=0,0,(INT(MAX(0,Inputs!$B$43-B3067)/(IF(Inputs!$B$38="pvp",15,MAX(0.1,Skills!D12-IF(TRUE=TRUE,1.5,0)))*(1-IF(AND(ArtifactsInput!$M$27,Inputs!$B$4="Chapter Hunt"),CHOOSE(ArtifactsInput!$N$27+1,20,24,28,32,36,40),0)/100)))+1)),0)</f>
        <v/>
      </c>
      <c r="S3041">
        <f>IFERROR(O3041/N3041,0)</f>
        <v/>
      </c>
      <c r="T3041">
        <f>IF(C3041,(H3041*N3041*IF(AND(Inputs!$B$38&lt;&gt;"pvp",Inputs!$B$43&gt;0),((Skills!G12*((R3041-1)*IF(Skills!H12&gt;0,INT(Skills!I12/Skills!H12+0.000000001),1)+IF(Skills!H12&gt;0,INT(MIN(Skills!I12,MAX(0,MAX(0,Inputs!$B$43-B3067)-((R3041-1)*(IF(Inputs!$B$38="pvp",15,MAX(0.1,Skills!D12-IF(TRUE=TRUE,1.5,0)))*(1-IF(AND(ArtifactsInput!$M$27,Inputs!$B$4="Chapter Hunt"),CHOOSE(ArtifactsInput!$N$27+1,20,24,28,32,36,40),0)/100)))))/Skills!H12+0.000000001),1)))/Inputs!$B$43),G3041*Q3041))*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Hunt"),CHOOSE(ArtifactsInput!$N$35+1,15,18,21,24,27,30)*(1-EXP(-(0.2*B3062)*5)),0)+IF(AND(ArtifactsInput!$M$22,Inputs!$B$4&lt;&gt;"Chapter Hunt"),CHOOSE(ArtifactsInput!$N$22+1,10,12,14,16,18,20)*((0*(((0.15*B3062*5))^0/1)+1*(((0.15*B3062*5))^1/1)+2*(((0.15*B3062*5))^2/2)+3*(((0.15*B3062*5))^3/6)+4*(((0.15*B3062*5))^4/24)+5*(((0.15*B3062*5))^5/120))/((((0.15*B3062*5))^0/1)+(((0.15*B3062*5))^1/1)+(((0.15*B3062*5))^2/2)+(((0.15*B3062*5))^3/6)+(((0.15*B3062*5))^4/24)+(((0.15*B3062*5))^5/120))),0))+IF(Inputs!$B$3&gt;=54,9*(C3032=TRUE)*MIN(1,8*(1+Inputs!$B$34/100)*Q3032)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3041*(1-MIN(100,(Inputs!$B$9+((C3048=TRUE)*(F3048-Calc!F19))+B3060+(ArtifactsInput!$M$24-ArtifactsInput!$M$24)*CHOOSE(ArtifactsInput!$N$24+1,10,12,14,16,18,20)+(IF(AND(Inputs!$B$38&lt;&gt;"pvp",Inputs!$B$43=0),1,IF(IF(Inputs!$B$38="pvp",15,Inputs!$B$43)-(B3067)&lt;=0,1,MAX(0,IF(Inputs!$B$38="pvp",15,Inputs!$B$43)-MAX(5,B3067))/(IF(Inputs!$B$38="pvp",15,Inputs!$B$43)-(B3067))))*IF(AND(ArtifactsInput!$M$42,((Inputs!$B$9+((C3048=TRUE)*(F3048-Calc!F19))+B3060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3041*(MIN(100,(Inputs!$B$9+((C3048=TRUE)*(F3048-Calc!F19))+B3060+(ArtifactsInput!$M$24-ArtifactsInput!$M$24)*CHOOSE(ArtifactsInput!$N$24+1,10,12,14,16,18,20)+(IF(AND(Inputs!$B$38&lt;&gt;"pvp",Inputs!$B$43=0),1,IF(IF(Inputs!$B$38="pvp",15,Inputs!$B$43)-(B3067)&lt;=0,1,MAX(0,IF(Inputs!$B$38="pvp",15,Inputs!$B$43)-MAX(5,B3067))/(IF(Inputs!$B$38="pvp",15,Inputs!$B$43)-(B3067))))*IF(AND(ArtifactsInput!$M$42,((Inputs!$B$9+((C3048=TRUE)*(F3048-Calc!F19))+B3060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3041*(1-MIN(100,(Inputs!$B$9+((C3048=TRUE)*(F3048-Calc!F19))+B3060+(ArtifactsInput!$M$24-ArtifactsInput!$M$24)*CHOOSE(ArtifactsInput!$N$24+1,10,12,14,16,18,20)+(IF(AND(Inputs!$B$38&lt;&gt;"pvp",Inputs!$B$43=0),1,IF(IF(Inputs!$B$38="pvp",15,Inputs!$B$43)-(B3067)&lt;=0,1,MAX(0,IF(Inputs!$B$38="pvp",15,Inputs!$B$43)-MAX(5,B3067))/(IF(Inputs!$B$38="pvp",15,Inputs!$B$43)-(B3067))))*IF(AND(ArtifactsInput!$M$42,((Inputs!$B$9+((C3048=TRUE)*(F3048-Calc!F19))+B3060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3041*(MIN(100,(Inputs!$B$9+((C3048=TRUE)*(F3048-Calc!F19))+B3060+(ArtifactsInput!$M$24-ArtifactsInput!$M$24)*CHOOSE(ArtifactsInput!$N$24+1,10,12,14,16,18,20)+(IF(AND(Inputs!$B$38&lt;&gt;"pvp",Inputs!$B$43=0),1,IF(IF(Inputs!$B$38="pvp",15,Inputs!$B$43)-(B3067)&lt;=0,1,MAX(0,IF(Inputs!$B$38="pvp",15,Inputs!$B$43)-MAX(5,B3067))/(IF(Inputs!$B$38="pvp",15,Inputs!$B$43)-(B3067))))*IF(AND(ArtifactsInput!$M$42,((Inputs!$B$9+((C3048=TRUE)*(F3048-Calc!F19))+B3060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041">
        <f>IF(C3041,(H3041*N3041*IF(AND(Inputs!$B$38&lt;&gt;"pvp",Inputs!$B$43&gt;0),((Skills!G12*((R3041-1)*IF(Skills!H12&gt;0,INT(Skills!I12/Skills!H12+0.000000001),1)+IF(Skills!H12&gt;0,INT(MIN(Skills!I12,MAX(0,MAX(0,Inputs!$B$43-B3067)-((R3041-1)*(IF(Inputs!$B$38="pvp",15,MAX(0.1,Skills!D12-IF(TRUE=TRUE,1.5,0)))*(1-IF(AND(ArtifactsInput!$M$27,Inputs!$B$4="Chapter Hunt"),CHOOSE(ArtifactsInput!$N$27+1,20,24,28,32,36,40),0)/100)))))/Skills!H12+0.000000001),1)))/Inputs!$B$43),G3041*Q3041))*IF(Inputs!$B$38="pvp",1,(1+(Inputs!$B$21+Skills!Q12+(IF(ArtifactsInput!$M$33,CHOOSE(ArtifactsInput!$N$33+1,30,36,42,48,54,60),0))+(IF(AND(ArtifactsInput!$M$35,Inputs!$B$4&lt;&gt;"Chapter Hunt"),CHOOSE(ArtifactsInput!$N$35+1,15,18,21,24,27,30)*(1-EXP(-(0.2*B3062)*5)),0)+IF(AND(ArtifactsInput!$M$22,Inputs!$B$4&lt;&gt;"Chapter Hunt"),CHOOSE(ArtifactsInput!$N$22+1,10,12,14,16,18,20)*((0*(((0.15*B3062*5))^0/1)+1*(((0.15*B3062*5))^1/1)+2*(((0.15*B3062*5))^2/2)+3*(((0.15*B3062*5))^3/6)+4*(((0.15*B3062*5))^4/24)+5*(((0.15*B3062*5))^5/120))/((((0.15*B3062*5))^0/1)+(((0.15*B3062*5))^1/1)+(((0.15*B3062*5))^2/2)+(((0.15*B3062*5))^3/6)+(((0.15*B3062*5))^4/24)+(((0.15*B3062*5))^5/120))),0))+IF(Inputs!$B$3&gt;=54,9*(C3032=TRUE)*MIN(1,8*(1+Inputs!$B$34/100)*Q3032),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42">
      <c r="A3042">
        <f>Skills!A13</f>
        <v/>
      </c>
      <c r="B3042">
        <f>Skills!B13</f>
        <v/>
      </c>
      <c r="C3042">
        <f>Inputs!$B$3&gt;=110</f>
        <v/>
      </c>
      <c r="D3042">
        <f>IF(Skills!C13=1,60+Inputs!$B$25+Inputs!$B$29,IF(Skills!C13=2,90+Inputs!$B$26+Inputs!$B$29,IF(Skills!C13=3,120+Inputs!$B$27+Inputs!$B$29,MAX(0,(Inputs!$B$3-100)*3)+Inputs!$B$28+Inputs!$B$29)))</f>
        <v/>
      </c>
      <c r="E3042">
        <f>INDEX(FactorTable!$B$2:$Y$301, MATCH(ROUND(MIN(300,MAX(1,D3042)),0), FactorTable!$A$2:$A$301,0), Skills!M13+1)</f>
        <v/>
      </c>
      <c r="F3042">
        <f>IF(Skills!N13=TRUE,(Skills!L13/10)*(E3042/1000),Skills!L13/10)+Skills!O13</f>
        <v/>
      </c>
      <c r="G3042">
        <f>Skills!G13*IF(Skills!H13&gt;0,INT(IF(Inputs!$B$38="pvp",MIN(Skills!I13,15),Skills!I13)/Skills!H13+0.000000001),1)</f>
        <v/>
      </c>
      <c r="H3042">
        <f>1-(1-Skills!J13/100)^Skills!K13</f>
        <v/>
      </c>
      <c r="I3042" t="inlineStr">
        <is>
          <t>1</t>
        </is>
      </c>
      <c r="J3042">
        <f>((Inputs!$B$6*(1+Inputs!$B$7/100))+(((Inputs!$B$12*(1+Inputs!$B$13/100))-(Inputs!$B$12*(1+Inputs!$B$13/100)))+0.25*(Inputs!$B$14-Inputs!$B$14))*(1+Inputs!$B$7/100))*(F3042/100)</f>
        <v/>
      </c>
      <c r="K3042">
        <f>J3042*(1+((Inputs!$B$12*(1+Inputs!$B$13/100))*0.01+Inputs!$B$14*0.0025)/100)*(1+Inputs!$B$15/100)*(1+Inputs!$B$16/100)*(5000/(6000+Inputs!$B$42*(1-(100*(1-(1-(Inputs!$B$19+0)/100)*(1-CHOOSE(ArtifactsInput!$N$40+1,5,6,7,8,9,10)/100)^(ArtifactsInput!$M$40-ArtifactsInput!$M$40)))/100)))*(1+(Inputs!$B$24+((C3055=TRUE)*(F3055-Calc!F26))+B3066)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EIGHT_LEGS_EASTON",Inputs!$B$17+((C3052=TRUE)*(F3052-Calc!F23))+((C3056=TRUE)*(F3056-Calc!F27))+((IF(AND(Inputs!$B$38&lt;&gt;"pvp",Inputs!$B$43=0),1,IF(IF(Inputs!$B$38="pvp",15,Inputs!$B$43)-(B3067)&lt;=0,1,MAX(0,IF(Inputs!$B$38="pvp",15,Inputs!$B$43)-MAX(5,B3067))/(IF(Inputs!$B$38="pvp",15,Inputs!$B$43)-(B3067))))*(IF(AND(ArtifactsInput!$M$42,((Inputs!$B$9+((C3048=TRUE)*(F3048-Calc!F19))+B3060+(ArtifactsInput!$M$24-ArtifactsInput!$M$24)*CHOOSE(ArtifactsInput!$N$24+1,10,12,14,16,18,20)+IF(ArtifactsInput!$M$10,CHOOSE(ArtifactsInput!$N$10+1,15,18,21,24,27,30)*(IF(Inputs!$B$38="pvp",MIN(15,15)/15,IF(AND(Inputs!$B$38&lt;&gt;"pvp",Inputs!$B$43&gt;0),MIN(15,Inputs!$B$43)/(Inputs!$B$43),0))),0)))&gt;=100),MIN(100,((Inputs!$B$9+((C3048=TRUE)*(F3048-Calc!F19))+B3060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3067)&lt;=0,1,MAX(0,IF(Inputs!$B$38="pvp",15,Inputs!$B$43)-MAX(5,B3067))/(IF(Inputs!$B$38="pvp",15,Inputs!$B$43)-(B3067))))*IF(AND(ArtifactsInput!$M$42,((Inputs!$B$9+((C3048=TRUE)*(F3048-Calc!F19))+B3060+(ArtifactsInput!$M$24-ArtifactsInput!$M$24)*CHOOSE(ArtifactsInput!$N$24+1,10,12,14,16,18,20)+IF(ArtifactsInput!$M$10,CHOOSE(ArtifactsInput!$N$10+1,15,18,21,24,27,30)*(IF(Inputs!$B$38="pvp",MIN(15,15)/15,IF(AND(Inputs!$B$38&lt;&gt;"pvp",Inputs!$B$43&gt;0),MIN(15,Inputs!$B$43)/(Inputs!$B$43),0))),0)))&gt;=100),CHOOSE(ArtifactsInput!$N$42+1,40,48,56,64,72,80),0))))/100)*((1+(((C3046=TRUE)*F3046*5/7)+((C3053=TRUE)*(F3053-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3042)</f>
        <v/>
      </c>
      <c r="L3042">
        <f>K3042*(MIN(Inputs!$B$22+((C3051=TRUE)*(F3051-Calc!F22)),(Inputs!$B$23+0+(IF(ArtifactsInput!$M$15,CHOOSE(ArtifactsInput!$N$15+1,25,30,35,40,45,50)/100*(Inputs!$B$11-Inputs!$B$11),0))))/100+(Inputs!$B$23+0+(IF(ArtifactsInput!$M$15,CHOOSE(ArtifactsInput!$N$15+1,25,30,35,40,45,50)/100*(Inputs!$B$11-Inputs!$B$11),0)))/100)/2</f>
        <v/>
      </c>
      <c r="M3042">
        <f>L3042*(1+(Inputs!$B$10+((C3054=TRUE)*(F3054-Calc!F25))+B3065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42">
        <f>L3042*(1-MIN((Inputs!$B$9+((C3048=TRUE)*(F3048-Calc!F19))+B3060+(ArtifactsInput!$M$24-ArtifactsInput!$M$24)*CHOOSE(ArtifactsInput!$N$24+1,10,12,14,16,18,20)+(IF(AND(Inputs!$B$38&lt;&gt;"pvp",Inputs!$B$43=0),1,IF(IF(Inputs!$B$38="pvp",15,Inputs!$B$43)-(B3067)&lt;=0,1,MAX(0,IF(Inputs!$B$38="pvp",15,Inputs!$B$43)-MAX(5,B3067))/(IF(Inputs!$B$38="pvp",15,Inputs!$B$43)-(B3067))))*IF(AND(ArtifactsInput!$M$42,((Inputs!$B$9+((C3048=TRUE)*(F3048-Calc!F19))+B3060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3042*(MIN((Inputs!$B$9+((C3048=TRUE)*(F3048-Calc!F19))+B3060+(ArtifactsInput!$M$24-ArtifactsInput!$M$24)*CHOOSE(ArtifactsInput!$N$24+1,10,12,14,16,18,20)+(IF(AND(Inputs!$B$38&lt;&gt;"pvp",Inputs!$B$43=0),1,IF(IF(Inputs!$B$38="pvp",15,Inputs!$B$43)-(B3067)&lt;=0,1,MAX(0,IF(Inputs!$B$38="pvp",15,Inputs!$B$43)-MAX(5,B3067))/(IF(Inputs!$B$38="pvp",15,Inputs!$B$43)-(B3067))))*IF(AND(ArtifactsInput!$M$42,((Inputs!$B$9+((C3048=TRUE)*(F3048-Calc!F19))+B3060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42">
        <f>(1-Summary!$B$11)*T3042+Summary!$B$11*V3042</f>
        <v/>
      </c>
      <c r="P3042">
        <f>IF(B3070=0,0,O3042/B3070)</f>
        <v/>
      </c>
      <c r="Q3042">
        <f>IFERROR(1/(IF(Inputs!$B$38="pvp",15,MAX(0.1,Skills!D13-IF(TRUE=TRUE,1.5,0)))*(1-IF(AND(ArtifactsInput!$M$27,Inputs!$B$4="Chapter Hunt"),CHOOSE(ArtifactsInput!$N$27+1,20,24,28,32,36,40),0)/100)),0)</f>
        <v/>
      </c>
      <c r="R3042">
        <f>IF(AND(Inputs!$B$38&lt;&gt;"pvp",Inputs!$B$43&gt;0),IF(MAX(0,Inputs!$B$43-B3067)&lt;=0,0,(INT(MAX(0,Inputs!$B$43-B3067)/(IF(Inputs!$B$38="pvp",15,MAX(0.1,Skills!D13-IF(TRUE=TRUE,1.5,0)))*(1-IF(AND(ArtifactsInput!$M$27,Inputs!$B$4="Chapter Hunt"),CHOOSE(ArtifactsInput!$N$27+1,20,24,28,32,36,40),0)/100)))+1)),0)</f>
        <v/>
      </c>
      <c r="S3042">
        <f>IFERROR(O3042/N3042,0)</f>
        <v/>
      </c>
      <c r="T3042">
        <f>IF(C3042,(H3042*N3042*IF(AND(Inputs!$B$38&lt;&gt;"pvp",Inputs!$B$43&gt;0),((Skills!G13*((R3042-1)*IF(Skills!H13&gt;0,INT(Skills!I13/Skills!H13+0.000000001),1)+IF(Skills!H13&gt;0,INT(MIN(Skills!I13,MAX(0,MAX(0,Inputs!$B$43-B3067)-((R3042-1)*(IF(Inputs!$B$38="pvp",15,MAX(0.1,Skills!D13-IF(TRUE=TRUE,1.5,0)))*(1-IF(AND(ArtifactsInput!$M$27,Inputs!$B$4="Chapter Hunt"),CHOOSE(ArtifactsInput!$N$27+1,20,24,28,32,36,40),0)/100)))))/Skills!H13+0.000000001),1)))/Inputs!$B$43),G3042*Q3042))*IF(Inputs!$B$38="pvp",1,1+(Inputs!$B$20+0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Hunt"),CHOOSE(ArtifactsInput!$N$35+1,15,18,21,24,27,30)*(1-EXP(-(0.2*B3062)*5)),0)+IF(AND(ArtifactsInput!$M$22,Inputs!$B$4&lt;&gt;"Chapter Hunt"),CHOOSE(ArtifactsInput!$N$22+1,10,12,14,16,18,20)*((0*(((0.15*B3062*5))^0/1)+1*(((0.15*B3062*5))^1/1)+2*(((0.15*B3062*5))^2/2)+3*(((0.15*B3062*5))^3/6)+4*(((0.15*B3062*5))^4/24)+5*(((0.15*B3062*5))^5/120))/((((0.15*B3062*5))^0/1)+(((0.15*B3062*5))^1/1)+(((0.15*B3062*5))^2/2)+(((0.15*B3062*5))^3/6)+(((0.15*B3062*5))^4/24)+(((0.15*B3062*5))^5/120))),0))+IF(Inputs!$B$3&gt;=54,9*(C3032=TRUE)*MIN(1,8*(1+Inputs!$B$34/100)*Q3032)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3042*(1-MIN(100,(Inputs!$B$9+((C3048=TRUE)*(F3048-Calc!F19))+B3060+(ArtifactsInput!$M$24-ArtifactsInput!$M$24)*CHOOSE(ArtifactsInput!$N$24+1,10,12,14,16,18,20)+(IF(AND(Inputs!$B$38&lt;&gt;"pvp",Inputs!$B$43=0),1,IF(IF(Inputs!$B$38="pvp",15,Inputs!$B$43)-(B3067)&lt;=0,1,MAX(0,IF(Inputs!$B$38="pvp",15,Inputs!$B$43)-MAX(5,B3067))/(IF(Inputs!$B$38="pvp",15,Inputs!$B$43)-(B3067))))*IF(AND(ArtifactsInput!$M$42,((Inputs!$B$9+((C3048=TRUE)*(F3048-Calc!F19))+B3060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3042*(MIN(100,(Inputs!$B$9+((C3048=TRUE)*(F3048-Calc!F19))+B3060+(ArtifactsInput!$M$24-ArtifactsInput!$M$24)*CHOOSE(ArtifactsInput!$N$24+1,10,12,14,16,18,20)+(IF(AND(Inputs!$B$38&lt;&gt;"pvp",Inputs!$B$43=0),1,IF(IF(Inputs!$B$38="pvp",15,Inputs!$B$43)-(B3067)&lt;=0,1,MAX(0,IF(Inputs!$B$38="pvp",15,Inputs!$B$43)-MAX(5,B3067))/(IF(Inputs!$B$38="pvp",15,Inputs!$B$43)-(B3067))))*IF(AND(ArtifactsInput!$M$42,((Inputs!$B$9+((C3048=TRUE)*(F3048-Calc!F19))+B3060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3042*(1-MIN(100,(Inputs!$B$9+((C3048=TRUE)*(F3048-Calc!F19))+B3060+(ArtifactsInput!$M$24-ArtifactsInput!$M$24)*CHOOSE(ArtifactsInput!$N$24+1,10,12,14,16,18,20)+(IF(AND(Inputs!$B$38&lt;&gt;"pvp",Inputs!$B$43=0),1,IF(IF(Inputs!$B$38="pvp",15,Inputs!$B$43)-(B3067)&lt;=0,1,MAX(0,IF(Inputs!$B$38="pvp",15,Inputs!$B$43)-MAX(5,B3067))/(IF(Inputs!$B$38="pvp",15,Inputs!$B$43)-(B3067))))*IF(AND(ArtifactsInput!$M$42,((Inputs!$B$9+((C3048=TRUE)*(F3048-Calc!F19))+B3060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3042*(MIN(100,(Inputs!$B$9+((C3048=TRUE)*(F3048-Calc!F19))+B3060+(ArtifactsInput!$M$24-ArtifactsInput!$M$24)*CHOOSE(ArtifactsInput!$N$24+1,10,12,14,16,18,20)+(IF(AND(Inputs!$B$38&lt;&gt;"pvp",Inputs!$B$43=0),1,IF(IF(Inputs!$B$38="pvp",15,Inputs!$B$43)-(B3067)&lt;=0,1,MAX(0,IF(Inputs!$B$38="pvp",15,Inputs!$B$43)-MAX(5,B3067))/(IF(Inputs!$B$38="pvp",15,Inputs!$B$43)-(B3067))))*IF(AND(ArtifactsInput!$M$42,((Inputs!$B$9+((C3048=TRUE)*(F3048-Calc!F19))+B3060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042">
        <f>IF(C3042,(H3042*N3042*IF(AND(Inputs!$B$38&lt;&gt;"pvp",Inputs!$B$43&gt;0),((Skills!G13*((R3042-1)*IF(Skills!H13&gt;0,INT(Skills!I13/Skills!H13+0.000000001),1)+IF(Skills!H13&gt;0,INT(MIN(Skills!I13,MAX(0,MAX(0,Inputs!$B$43-B3067)-((R3042-1)*(IF(Inputs!$B$38="pvp",15,MAX(0.1,Skills!D13-IF(TRUE=TRUE,1.5,0)))*(1-IF(AND(ArtifactsInput!$M$27,Inputs!$B$4="Chapter Hunt"),CHOOSE(ArtifactsInput!$N$27+1,20,24,28,32,36,40),0)/100)))))/Skills!H13+0.000000001),1)))/Inputs!$B$43),G3042*Q3042))*IF(Inputs!$B$38="pvp",1,(1+(Inputs!$B$21+Skills!Q13+(IF(ArtifactsInput!$M$33,CHOOSE(ArtifactsInput!$N$33+1,30,36,42,48,54,60),0))+(IF(AND(ArtifactsInput!$M$35,Inputs!$B$4&lt;&gt;"Chapter Hunt"),CHOOSE(ArtifactsInput!$N$35+1,15,18,21,24,27,30)*(1-EXP(-(0.2*B3062)*5)),0)+IF(AND(ArtifactsInput!$M$22,Inputs!$B$4&lt;&gt;"Chapter Hunt"),CHOOSE(ArtifactsInput!$N$22+1,10,12,14,16,18,20)*((0*(((0.15*B3062*5))^0/1)+1*(((0.15*B3062*5))^1/1)+2*(((0.15*B3062*5))^2/2)+3*(((0.15*B3062*5))^3/6)+4*(((0.15*B3062*5))^4/24)+5*(((0.15*B3062*5))^5/120))/((((0.15*B3062*5))^0/1)+(((0.15*B3062*5))^1/1)+(((0.15*B3062*5))^2/2)+(((0.15*B3062*5))^3/6)+(((0.15*B3062*5))^4/24)+(((0.15*B3062*5))^5/120))),0))+IF(Inputs!$B$3&gt;=54,9*(C3032=TRUE)*MIN(1,8*(1+Inputs!$B$34/100)*Q3032),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43">
      <c r="A3043">
        <f>Skills!A14</f>
        <v/>
      </c>
      <c r="B3043">
        <f>Skills!B14</f>
        <v/>
      </c>
      <c r="C3043">
        <f>Inputs!$B$3&gt;=120</f>
        <v/>
      </c>
      <c r="D3043">
        <f>IF(Skills!C14=1,60+Inputs!$B$25+Inputs!$B$29,IF(Skills!C14=2,90+Inputs!$B$26+Inputs!$B$29,IF(Skills!C14=3,120+Inputs!$B$27+Inputs!$B$29,MAX(0,(Inputs!$B$3-100)*3)+Inputs!$B$28+Inputs!$B$29)))</f>
        <v/>
      </c>
      <c r="E3043">
        <f>INDEX(FactorTable!$B$2:$Y$301, MATCH(ROUND(MIN(300,MAX(1,D3043)),0), FactorTable!$A$2:$A$301,0), Skills!M14+1)</f>
        <v/>
      </c>
      <c r="F3043">
        <f>IF(Skills!N14=TRUE,(Skills!L14/10)*(E3043/1000),Skills!L14/10)+Skills!O14</f>
        <v/>
      </c>
      <c r="G3043">
        <f>Skills!G14*IF(Skills!H14&gt;0,INT(IF(Inputs!$B$38="pvp",MIN(Skills!I14,15),Skills!I14)/Skills!H14+0.000000001),1)</f>
        <v/>
      </c>
      <c r="H3043">
        <f>1-(1-Skills!J14/100)^Skills!K14</f>
        <v/>
      </c>
      <c r="I3043" t="inlineStr">
        <is>
          <t>1</t>
        </is>
      </c>
      <c r="J3043">
        <f>((Inputs!$B$6*(1+Inputs!$B$7/100))+(((Inputs!$B$12*(1+Inputs!$B$13/100))-(Inputs!$B$12*(1+Inputs!$B$13/100)))+0.25*(Inputs!$B$14-Inputs!$B$14))*(1+Inputs!$B$7/100))*(F3043/100)</f>
        <v/>
      </c>
      <c r="K3043">
        <f>J3043*(1+((Inputs!$B$12*(1+Inputs!$B$13/100))*0.01+Inputs!$B$14*0.0025)/100)*(1+Inputs!$B$15/100)*(1+Inputs!$B$16/100)*(5000/(6000+Inputs!$B$42*(1-(100*(1-(1-(Inputs!$B$19+0)/100)*(1-CHOOSE(ArtifactsInput!$N$40+1,5,6,7,8,9,10)/100)^(ArtifactsInput!$M$40-ArtifactsInput!$M$40)))/100)))*(1+(Inputs!$B$24+((C3055=TRUE)*(F3055-Calc!F26))+B3066)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EIGHT_LEGS_EASTON",Inputs!$B$17+((C3052=TRUE)*(F3052-Calc!F23))+((C3056=TRUE)*(F3056-Calc!F27))+((IF(AND(Inputs!$B$38&lt;&gt;"pvp",Inputs!$B$43=0),1,IF(IF(Inputs!$B$38="pvp",15,Inputs!$B$43)-(B3067)&lt;=0,1,MAX(0,IF(Inputs!$B$38="pvp",15,Inputs!$B$43)-MAX(5,B3067))/(IF(Inputs!$B$38="pvp",15,Inputs!$B$43)-(B3067))))*(IF(AND(ArtifactsInput!$M$42,((Inputs!$B$9+((C3048=TRUE)*(F3048-Calc!F19))+B3060+(ArtifactsInput!$M$24-ArtifactsInput!$M$24)*CHOOSE(ArtifactsInput!$N$24+1,10,12,14,16,18,20)+IF(ArtifactsInput!$M$10,CHOOSE(ArtifactsInput!$N$10+1,15,18,21,24,27,30)*(IF(Inputs!$B$38="pvp",MIN(15,15)/15,IF(AND(Inputs!$B$38&lt;&gt;"pvp",Inputs!$B$43&gt;0),MIN(15,Inputs!$B$43)/(Inputs!$B$43),0))),0)))&gt;=100),MIN(100,((Inputs!$B$9+((C3048=TRUE)*(F3048-Calc!F19))+B3060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3067)&lt;=0,1,MAX(0,IF(Inputs!$B$38="pvp",15,Inputs!$B$43)-MAX(5,B3067))/(IF(Inputs!$B$38="pvp",15,Inputs!$B$43)-(B3067))))*IF(AND(ArtifactsInput!$M$42,((Inputs!$B$9+((C3048=TRUE)*(F3048-Calc!F19))+B3060+(ArtifactsInput!$M$24-ArtifactsInput!$M$24)*CHOOSE(ArtifactsInput!$N$24+1,10,12,14,16,18,20)+IF(ArtifactsInput!$M$10,CHOOSE(ArtifactsInput!$N$10+1,15,18,21,24,27,30)*(IF(Inputs!$B$38="pvp",MIN(15,15)/15,IF(AND(Inputs!$B$38&lt;&gt;"pvp",Inputs!$B$43&gt;0),MIN(15,Inputs!$B$43)/(Inputs!$B$43),0))),0)))&gt;=100),CHOOSE(ArtifactsInput!$N$42+1,40,48,56,64,72,80),0))))/100)*((1+(((C3046=TRUE)*F3046*5/7)+((C3053=TRUE)*(F3053-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3043)</f>
        <v/>
      </c>
      <c r="L3043">
        <f>K3043*(MIN(Inputs!$B$22+((C3051=TRUE)*(F3051-Calc!F22)),(Inputs!$B$23+0+(IF(ArtifactsInput!$M$15,CHOOSE(ArtifactsInput!$N$15+1,25,30,35,40,45,50)/100*(Inputs!$B$11-Inputs!$B$11),0))))/100+(Inputs!$B$23+0+(IF(ArtifactsInput!$M$15,CHOOSE(ArtifactsInput!$N$15+1,25,30,35,40,45,50)/100*(Inputs!$B$11-Inputs!$B$11),0)))/100)/2</f>
        <v/>
      </c>
      <c r="M3043">
        <f>L3043*(1+(Inputs!$B$10+((C3054=TRUE)*(F3054-Calc!F25))+B3065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43">
        <f>L3043*(1-MIN((Inputs!$B$9+((C3048=TRUE)*(F3048-Calc!F19))+B3060+(ArtifactsInput!$M$24-ArtifactsInput!$M$24)*CHOOSE(ArtifactsInput!$N$24+1,10,12,14,16,18,20)+(IF(AND(Inputs!$B$38&lt;&gt;"pvp",Inputs!$B$43=0),1,IF(IF(Inputs!$B$38="pvp",15,Inputs!$B$43)-(B3067)&lt;=0,1,MAX(0,IF(Inputs!$B$38="pvp",15,Inputs!$B$43)-MAX(5,B3067))/(IF(Inputs!$B$38="pvp",15,Inputs!$B$43)-(B3067))))*IF(AND(ArtifactsInput!$M$42,((Inputs!$B$9+((C3048=TRUE)*(F3048-Calc!F19))+B3060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3043*(MIN((Inputs!$B$9+((C3048=TRUE)*(F3048-Calc!F19))+B3060+(ArtifactsInput!$M$24-ArtifactsInput!$M$24)*CHOOSE(ArtifactsInput!$N$24+1,10,12,14,16,18,20)+(IF(AND(Inputs!$B$38&lt;&gt;"pvp",Inputs!$B$43=0),1,IF(IF(Inputs!$B$38="pvp",15,Inputs!$B$43)-(B3067)&lt;=0,1,MAX(0,IF(Inputs!$B$38="pvp",15,Inputs!$B$43)-MAX(5,B3067))/(IF(Inputs!$B$38="pvp",15,Inputs!$B$43)-(B3067))))*IF(AND(ArtifactsInput!$M$42,((Inputs!$B$9+((C3048=TRUE)*(F3048-Calc!F19))+B3060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43">
        <f>(1-Summary!$B$11)*T3043+Summary!$B$11*V3043</f>
        <v/>
      </c>
      <c r="P3043">
        <f>IF(B3070=0,0,O3043/B3070)</f>
        <v/>
      </c>
      <c r="Q3043" t="n">
        <v>0</v>
      </c>
      <c r="R3043" t="n">
        <v>0</v>
      </c>
      <c r="S3043">
        <f>IFERROR(O3043/N3043,0)</f>
        <v/>
      </c>
      <c r="T3043">
        <f>IF(C3043,((H3043*(B3064+IF(AND(Inputs!$B$38&lt;&gt;"pvp",Inputs!$B$43&gt;0),((Skills!G8*((R3037-1)*IF(Skills!H8&gt;0,INT(Skills!I8/Skills!H8+0.000000001),1)+IF(Skills!H8&gt;0,INT(MIN(Skills!I8,MAX(0,MAX(0,Inputs!$B$43-B3067)-((R3037-1)*((IF(Inputs!$B$38="pvp",15,MAX(0.1,Skills!D8-IF(TRUE=TRUE,1.5,0)))*(1-IF(AND(ArtifactsInput!$M$27,Inputs!$B$4="Chapter Hunt"),CHOOSE(ArtifactsInput!$N$27+1,20,24,28,32,36,40),0)/100))/B3071))))/Skills!H8+0.000000001),1)))/Inputs!$B$43),G3037*Q3037)+IF(AND(Inputs!$B$38&lt;&gt;"pvp",Inputs!$B$43&gt;0),((Skills!G11*((R3040-1)*IF(Skills!H11&gt;0,INT(Skills!I11/Skills!H11+0.000000001),1)+IF(Skills!H11&gt;0,INT(MIN(Skills!I11,MAX(0,MAX(0,Inputs!$B$43-B3067)-((R3040-1)*((IF(Inputs!$B$38="pvp",15,MAX(0.1,Skills!D11-IF(TRUE=TRUE,1.5,0)))*(1-IF(AND(ArtifactsInput!$M$27,Inputs!$B$4="Chapter Hunt"),CHOOSE(ArtifactsInput!$N$27+1,20,24,28,32,36,40),0)/100))/B3071))))/Skills!H11+0.000000001),1)))/Inputs!$B$43),G3040*Q3040)))/(1+Skills!H14*H3043*(B3064+IF(AND(Inputs!$B$38&lt;&gt;"pvp",Inputs!$B$43&gt;0),((Skills!G8*((R3037-1)*IF(Skills!H8&gt;0,INT(Skills!I8/Skills!H8+0.000000001),1)+IF(Skills!H8&gt;0,INT(MIN(Skills!I8,MAX(0,MAX(0,Inputs!$B$43-B3067)-((R3037-1)*((IF(Inputs!$B$38="pvp",15,MAX(0.1,Skills!D8-IF(TRUE=TRUE,1.5,0)))*(1-IF(AND(ArtifactsInput!$M$27,Inputs!$B$4="Chapter Hunt"),CHOOSE(ArtifactsInput!$N$27+1,20,24,28,32,36,40),0)/100))/B3071))))/Skills!H8+0.000000001),1)))/Inputs!$B$43),G3037*Q3037)+IF(AND(Inputs!$B$38&lt;&gt;"pvp",Inputs!$B$43&gt;0),((Skills!G11*((R3040-1)*IF(Skills!H11&gt;0,INT(Skills!I11/Skills!H11+0.000000001),1)+IF(Skills!H11&gt;0,INT(MIN(Skills!I11,MAX(0,MAX(0,Inputs!$B$43-B3067)-((R3040-1)*((IF(Inputs!$B$38="pvp",15,MAX(0.1,Skills!D11-IF(TRUE=TRUE,1.5,0)))*(1-IF(AND(ArtifactsInput!$M$27,Inputs!$B$4="Chapter Hunt"),CHOOSE(ArtifactsInput!$N$27+1,20,24,28,32,36,40),0)/100))/B3071))))/Skills!H11+0.000000001),1)))/Inputs!$B$43),G3040*Q3040)))*N3043)*IF(Inputs!$B$38="pvp",1,1+(Inputs!$B$20+0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Hunt"),CHOOSE(ArtifactsInput!$N$35+1,15,18,21,24,27,30)*(1-EXP(-(0.2*B3062)*5)),0)+IF(AND(ArtifactsInput!$M$22,Inputs!$B$4&lt;&gt;"Chapter Hunt"),CHOOSE(ArtifactsInput!$N$22+1,10,12,14,16,18,20)*((0*(((0.15*B3062*5))^0/1)+1*(((0.15*B3062*5))^1/1)+2*(((0.15*B3062*5))^2/2)+3*(((0.15*B3062*5))^3/6)+4*(((0.15*B3062*5))^4/24)+5*(((0.15*B3062*5))^5/120))/((((0.15*B3062*5))^0/1)+(((0.15*B3062*5))^1/1)+(((0.15*B3062*5))^2/2)+(((0.15*B3062*5))^3/6)+(((0.15*B3062*5))^4/24)+(((0.15*B3062*5))^5/120))),0))+IF(Inputs!$B$3&gt;=54,9*(C3032=TRUE)*MIN(1,8*(1+Inputs!$B$34/100)*Q3032)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3043*(1-MIN(100,(Inputs!$B$9+((C3048=TRUE)*(F3048-Calc!F19))+B3060+(ArtifactsInput!$M$24-ArtifactsInput!$M$24)*CHOOSE(ArtifactsInput!$N$24+1,10,12,14,16,18,20)+(IF(AND(Inputs!$B$38&lt;&gt;"pvp",Inputs!$B$43=0),1,IF(IF(Inputs!$B$38="pvp",15,Inputs!$B$43)-(B3067)&lt;=0,1,MAX(0,IF(Inputs!$B$38="pvp",15,Inputs!$B$43)-MAX(5,B3067))/(IF(Inputs!$B$38="pvp",15,Inputs!$B$43)-(B3067))))*IF(AND(ArtifactsInput!$M$42,((Inputs!$B$9+((C3048=TRUE)*(F3048-Calc!F19))+B3060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3043*(MIN(100,(Inputs!$B$9+((C3048=TRUE)*(F3048-Calc!F19))+B3060+(ArtifactsInput!$M$24-ArtifactsInput!$M$24)*CHOOSE(ArtifactsInput!$N$24+1,10,12,14,16,18,20)+(IF(AND(Inputs!$B$38&lt;&gt;"pvp",Inputs!$B$43=0),1,IF(IF(Inputs!$B$38="pvp",15,Inputs!$B$43)-(B3067)&lt;=0,1,MAX(0,IF(Inputs!$B$38="pvp",15,Inputs!$B$43)-MAX(5,B3067))/(IF(Inputs!$B$38="pvp",15,Inputs!$B$43)-(B3067))))*IF(AND(ArtifactsInput!$M$42,((Inputs!$B$9+((C3048=TRUE)*(F3048-Calc!F19))+B3060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3043*(1-MIN(100,(Inputs!$B$9+((C3048=TRUE)*(F3048-Calc!F19))+B3060+(ArtifactsInput!$M$24-ArtifactsInput!$M$24)*CHOOSE(ArtifactsInput!$N$24+1,10,12,14,16,18,20)+(IF(AND(Inputs!$B$38&lt;&gt;"pvp",Inputs!$B$43=0),1,IF(IF(Inputs!$B$38="pvp",15,Inputs!$B$43)-(B3067)&lt;=0,1,MAX(0,IF(Inputs!$B$38="pvp",15,Inputs!$B$43)-MAX(5,B3067))/(IF(Inputs!$B$38="pvp",15,Inputs!$B$43)-(B3067))))*IF(AND(ArtifactsInput!$M$42,((Inputs!$B$9+((C3048=TRUE)*(F3048-Calc!F19))+B3060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3043*(MIN(100,(Inputs!$B$9+((C3048=TRUE)*(F3048-Calc!F19))+B3060+(ArtifactsInput!$M$24-ArtifactsInput!$M$24)*CHOOSE(ArtifactsInput!$N$24+1,10,12,14,16,18,20)+(IF(AND(Inputs!$B$38&lt;&gt;"pvp",Inputs!$B$43=0),1,IF(IF(Inputs!$B$38="pvp",15,Inputs!$B$43)-(B3067)&lt;=0,1,MAX(0,IF(Inputs!$B$38="pvp",15,Inputs!$B$43)-MAX(5,B3067))/(IF(Inputs!$B$38="pvp",15,Inputs!$B$43)-(B3067))))*IF(AND(ArtifactsInput!$M$42,((Inputs!$B$9+((C3048=TRUE)*(F3048-Calc!F19))+B3060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043">
        <f>IF(C3043,((H3043*(B3064+IF(AND(Inputs!$B$38&lt;&gt;"pvp",Inputs!$B$43&gt;0),((Skills!G8*((R3037-1)*IF(Skills!H8&gt;0,INT(Skills!I8/Skills!H8+0.000000001),1)+IF(Skills!H8&gt;0,INT(MIN(Skills!I8,MAX(0,MAX(0,Inputs!$B$43-B3067)-((R3037-1)*((IF(Inputs!$B$38="pvp",15,MAX(0.1,Skills!D8-IF(TRUE=TRUE,1.5,0)))*(1-IF(AND(ArtifactsInput!$M$27,Inputs!$B$4="Chapter Hunt"),CHOOSE(ArtifactsInput!$N$27+1,20,24,28,32,36,40),0)/100))/B3071))))/Skills!H8+0.000000001),1)))/Inputs!$B$43),G3037*Q3037)+IF(AND(Inputs!$B$38&lt;&gt;"pvp",Inputs!$B$43&gt;0),((Skills!G11*((R3040-1)*IF(Skills!H11&gt;0,INT(Skills!I11/Skills!H11+0.000000001),1)+IF(Skills!H11&gt;0,INT(MIN(Skills!I11,MAX(0,MAX(0,Inputs!$B$43-B3067)-((R3040-1)*((IF(Inputs!$B$38="pvp",15,MAX(0.1,Skills!D11-IF(TRUE=TRUE,1.5,0)))*(1-IF(AND(ArtifactsInput!$M$27,Inputs!$B$4="Chapter Hunt"),CHOOSE(ArtifactsInput!$N$27+1,20,24,28,32,36,40),0)/100))/B3071))))/Skills!H11+0.000000001),1)))/Inputs!$B$43),G3040*Q3040)))/(1+Skills!H14*H3043*(B3064+IF(AND(Inputs!$B$38&lt;&gt;"pvp",Inputs!$B$43&gt;0),((Skills!G8*((R3037-1)*IF(Skills!H8&gt;0,INT(Skills!I8/Skills!H8+0.000000001),1)+IF(Skills!H8&gt;0,INT(MIN(Skills!I8,MAX(0,MAX(0,Inputs!$B$43-B3067)-((R3037-1)*((IF(Inputs!$B$38="pvp",15,MAX(0.1,Skills!D8-IF(TRUE=TRUE,1.5,0)))*(1-IF(AND(ArtifactsInput!$M$27,Inputs!$B$4="Chapter Hunt"),CHOOSE(ArtifactsInput!$N$27+1,20,24,28,32,36,40),0)/100))/B3071))))/Skills!H8+0.000000001),1)))/Inputs!$B$43),G3037*Q3037)+IF(AND(Inputs!$B$38&lt;&gt;"pvp",Inputs!$B$43&gt;0),((Skills!G11*((R3040-1)*IF(Skills!H11&gt;0,INT(Skills!I11/Skills!H11+0.000000001),1)+IF(Skills!H11&gt;0,INT(MIN(Skills!I11,MAX(0,MAX(0,Inputs!$B$43-B3067)-((R3040-1)*((IF(Inputs!$B$38="pvp",15,MAX(0.1,Skills!D11-IF(TRUE=TRUE,1.5,0)))*(1-IF(AND(ArtifactsInput!$M$27,Inputs!$B$4="Chapter Hunt"),CHOOSE(ArtifactsInput!$N$27+1,20,24,28,32,36,40),0)/100))/B3071))))/Skills!H11+0.000000001),1)))/Inputs!$B$43),G3040*Q3040)))*N3043)*IF(Inputs!$B$38="pvp",1,(1+(Inputs!$B$21+Skills!Q14+(IF(ArtifactsInput!$M$33,CHOOSE(ArtifactsInput!$N$33+1,30,36,42,48,54,60),0))+(IF(AND(ArtifactsInput!$M$35,Inputs!$B$4&lt;&gt;"Chapter Hunt"),CHOOSE(ArtifactsInput!$N$35+1,15,18,21,24,27,30)*(1-EXP(-(0.2*B3062)*5)),0)+IF(AND(ArtifactsInput!$M$22,Inputs!$B$4&lt;&gt;"Chapter Hunt"),CHOOSE(ArtifactsInput!$N$22+1,10,12,14,16,18,20)*((0*(((0.15*B3062*5))^0/1)+1*(((0.15*B3062*5))^1/1)+2*(((0.15*B3062*5))^2/2)+3*(((0.15*B3062*5))^3/6)+4*(((0.15*B3062*5))^4/24)+5*(((0.15*B3062*5))^5/120))/((((0.15*B3062*5))^0/1)+(((0.15*B3062*5))^1/1)+(((0.15*B3062*5))^2/2)+(((0.15*B3062*5))^3/6)+(((0.15*B3062*5))^4/24)+(((0.15*B3062*5))^5/120))),0))+IF(Inputs!$B$3&gt;=54,9*(C3032=TRUE)*MIN(1,8*(1+Inputs!$B$34/100)*Q3032),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44">
      <c r="A3044">
        <f>Skills!A15</f>
        <v/>
      </c>
      <c r="B3044">
        <f>Skills!B15</f>
        <v/>
      </c>
      <c r="C3044">
        <f>Inputs!$B$3&gt;=100</f>
        <v/>
      </c>
      <c r="D3044">
        <f>IF(Skills!C15=1,60+Inputs!$B$25+Inputs!$B$29,IF(Skills!C15=2,90+Inputs!$B$26+Inputs!$B$29,IF(Skills!C15=3,120+Inputs!$B$27+Inputs!$B$29,MAX(0,(Inputs!$B$3-100)*3)+Inputs!$B$28+Inputs!$B$29)))</f>
        <v/>
      </c>
      <c r="E3044">
        <f>INDEX(FactorTable!$B$2:$Y$301, MATCH(ROUND(MIN(300,MAX(1,D3044)),0), FactorTable!$A$2:$A$301,0), Skills!M15+1)</f>
        <v/>
      </c>
      <c r="F3044">
        <f>IF(Skills!N15=TRUE,(Skills!L15/10)*(E3044/1000),Skills!L15/10)+Skills!O15</f>
        <v/>
      </c>
      <c r="G3044" t="inlineStr"/>
      <c r="H3044" t="inlineStr"/>
      <c r="I3044" t="inlineStr">
        <is>
          <t>1</t>
        </is>
      </c>
      <c r="J3044" t="inlineStr"/>
      <c r="K3044" t="inlineStr"/>
      <c r="L3044" t="inlineStr"/>
      <c r="M3044" t="inlineStr"/>
      <c r="N3044" t="inlineStr"/>
      <c r="O3044" t="inlineStr"/>
      <c r="P3044" t="inlineStr"/>
      <c r="Q3044" t="inlineStr"/>
      <c r="R3044" t="inlineStr"/>
      <c r="S3044" t="inlineStr"/>
    </row>
    <row r="3045">
      <c r="A3045">
        <f>Skills!A16</f>
        <v/>
      </c>
      <c r="B3045">
        <f>Skills!B16</f>
        <v/>
      </c>
      <c r="C3045">
        <f>Inputs!$B$3&gt;=107</f>
        <v/>
      </c>
      <c r="D3045">
        <f>IF(Skills!C16=1,60+Inputs!$B$25+Inputs!$B$29,IF(Skills!C16=2,90+Inputs!$B$26+Inputs!$B$29,IF(Skills!C16=3,120+Inputs!$B$27+Inputs!$B$29,MAX(0,(Inputs!$B$3-100)*3)+Inputs!$B$28+Inputs!$B$29)))</f>
        <v/>
      </c>
      <c r="E3045">
        <f>INDEX(FactorTable!$B$2:$Y$301, MATCH(ROUND(MIN(300,MAX(1,D3045)),0), FactorTable!$A$2:$A$301,0), Skills!M16+1)</f>
        <v/>
      </c>
      <c r="F3045">
        <f>IF(Skills!N16=TRUE,(Skills!L16/10)*(E3045/1000),Skills!L16/10)+Skills!O16</f>
        <v/>
      </c>
      <c r="G3045" t="inlineStr"/>
      <c r="H3045" t="inlineStr"/>
      <c r="I3045" t="inlineStr">
        <is>
          <t>1</t>
        </is>
      </c>
      <c r="J3045" t="inlineStr"/>
      <c r="K3045" t="inlineStr"/>
      <c r="L3045" t="inlineStr"/>
      <c r="M3045" t="inlineStr"/>
      <c r="N3045" t="inlineStr"/>
      <c r="O3045" t="inlineStr"/>
      <c r="P3045" t="inlineStr"/>
      <c r="Q3045" t="inlineStr"/>
      <c r="R3045" t="inlineStr"/>
      <c r="S3045" t="inlineStr"/>
    </row>
    <row r="3046">
      <c r="A3046">
        <f>Skills!A17</f>
        <v/>
      </c>
      <c r="B3046">
        <f>Skills!B17</f>
        <v/>
      </c>
      <c r="C3046">
        <f>Inputs!$B$3&gt;=74</f>
        <v/>
      </c>
      <c r="D3046">
        <f>IF(Skills!C17=1,60+Inputs!$B$25+Inputs!$B$29,IF(Skills!C17=2,90+Inputs!$B$26+Inputs!$B$29,IF(Skills!C17=3,120+Inputs!$B$27+Inputs!$B$29,MAX(0,(Inputs!$B$3-100)*3)+Inputs!$B$28+Inputs!$B$29)))</f>
        <v/>
      </c>
      <c r="E3046">
        <f>INDEX(FactorTable!$B$2:$Y$301, MATCH(ROUND(MIN(300,MAX(1,D3046)),0), FactorTable!$A$2:$A$301,0), Skills!M17+1)</f>
        <v/>
      </c>
      <c r="F3046">
        <f>IF(Skills!N17=TRUE,(Skills!L17/10)*(E3046/1000),Skills!L17/10)+Skills!O17</f>
        <v/>
      </c>
      <c r="G3046">
        <f>Skills!G17*IF(Skills!H17&gt;0,INT(IF(Inputs!$B$38="pvp",MIN(Skills!I17,15),Skills!I17)/Skills!H17+0.000000001),1)</f>
        <v/>
      </c>
      <c r="H3046">
        <f>1-(1-Skills!J17/100)^Skills!K17</f>
        <v/>
      </c>
      <c r="I3046" t="inlineStr">
        <is>
          <t>1</t>
        </is>
      </c>
      <c r="J3046" t="inlineStr"/>
      <c r="K3046" t="inlineStr"/>
      <c r="L3046" t="inlineStr"/>
      <c r="M3046" t="inlineStr"/>
      <c r="N3046" t="inlineStr"/>
      <c r="O3046">
        <f>(1-Summary!$B$11)*T3046+Summary!$B$11*V3046</f>
        <v/>
      </c>
      <c r="P3046">
        <f>IF(B3070=0,0,O3046/B3070)</f>
        <v/>
      </c>
      <c r="Q3046" t="n">
        <v>0</v>
      </c>
      <c r="R3046" t="n">
        <v>0</v>
      </c>
      <c r="S3046">
        <f>IFERROR(O3046/N3046,0)</f>
        <v/>
      </c>
      <c r="T3046" t="n">
        <v>0</v>
      </c>
      <c r="V3046" t="n">
        <v>0</v>
      </c>
    </row>
    <row r="3047">
      <c r="A3047">
        <f>Skills!A18</f>
        <v/>
      </c>
      <c r="B3047">
        <f>Skills!B18</f>
        <v/>
      </c>
      <c r="C3047">
        <f>Inputs!$B$3&gt;=115</f>
        <v/>
      </c>
      <c r="D3047">
        <f>IF(Skills!C18=1,60+Inputs!$B$25+Inputs!$B$29,IF(Skills!C18=2,90+Inputs!$B$26+Inputs!$B$29,IF(Skills!C18=3,120+Inputs!$B$27+Inputs!$B$29,MAX(0,(Inputs!$B$3-100)*3)+Inputs!$B$28+Inputs!$B$29)))</f>
        <v/>
      </c>
      <c r="E3047">
        <f>INDEX(FactorTable!$B$2:$Y$301, MATCH(ROUND(MIN(300,MAX(1,D3047)),0), FactorTable!$A$2:$A$301,0), Skills!M18+1)</f>
        <v/>
      </c>
      <c r="F3047">
        <f>IF(Skills!N18=TRUE,(Skills!L18/10)*(E3047/1000),Skills!L18/10)+Skills!O18</f>
        <v/>
      </c>
      <c r="G3047">
        <f>Skills!G18*IF(Skills!H18&gt;0,INT(IF(Inputs!$B$38="pvp",MIN(Skills!I18,15),Skills!I18)/Skills!H18+0.000000001),1)</f>
        <v/>
      </c>
      <c r="H3047">
        <f>1-(1-Skills!J18/100)^Skills!K18</f>
        <v/>
      </c>
      <c r="I3047" t="inlineStr">
        <is>
          <t>1</t>
        </is>
      </c>
      <c r="J3047" t="inlineStr"/>
      <c r="K3047" t="inlineStr"/>
      <c r="L3047" t="inlineStr"/>
      <c r="M3047" t="inlineStr"/>
      <c r="N3047" t="inlineStr"/>
      <c r="O3047">
        <f>(1-Summary!$B$11)*T3047+Summary!$B$11*V3047</f>
        <v/>
      </c>
      <c r="P3047">
        <f>IF(B3070=0,0,O3047/B3070)</f>
        <v/>
      </c>
      <c r="Q3047">
        <f>IFERROR(1/(IF(Inputs!$B$38="pvp",15,MAX(0.1,Skills!D18-IF(TRUE=TRUE,1.5,0)))*(1-IF(AND(ArtifactsInput!$M$27,Inputs!$B$4="Chapter Hunt"),CHOOSE(ArtifactsInput!$N$27+1,20,24,28,32,36,40),0)/100)),0)</f>
        <v/>
      </c>
      <c r="R3047">
        <f>IF(AND(Inputs!$B$38&lt;&gt;"pvp",Inputs!$B$43&gt;0),IF(Inputs!$B$43&lt;=0,0,(INT(Inputs!$B$43/(IF(Inputs!$B$38="pvp",15,MAX(0.1,Skills!D18-IF(TRUE=TRUE,1.5,0)))*(1-IF(AND(ArtifactsInput!$M$27,Inputs!$B$4="Chapter Hunt"),CHOOSE(ArtifactsInput!$N$27+1,20,24,28,32,36,40),0)/100)))+1)),0)</f>
        <v/>
      </c>
      <c r="S3047">
        <f>IFERROR(O3047/N3047,0)</f>
        <v/>
      </c>
      <c r="T3047" t="n">
        <v>0</v>
      </c>
      <c r="V3047" t="n">
        <v>0</v>
      </c>
    </row>
    <row r="3048">
      <c r="A3048">
        <f>Skills!A19</f>
        <v/>
      </c>
      <c r="B3048">
        <f>Skills!B19</f>
        <v/>
      </c>
      <c r="C3048">
        <f>Inputs!$B$3&gt;=10</f>
        <v/>
      </c>
      <c r="D3048">
        <f>IF(Skills!C19=1,60+Inputs!$B$25+Inputs!$B$29,IF(Skills!C19=2,90+Inputs!$B$26+Inputs!$B$29,IF(Skills!C19=3,120+Inputs!$B$27+Inputs!$B$29,MAX(0,(Inputs!$B$3-100)*3)+Inputs!$B$28+Inputs!$B$29)))</f>
        <v/>
      </c>
      <c r="E3048">
        <f>INDEX(FactorTable!$B$2:$Y$301, MATCH(ROUND(MIN(300,MAX(1,D3048)),0), FactorTable!$A$2:$A$301,0), Skills!M19+1)</f>
        <v/>
      </c>
      <c r="F3048">
        <f>IF(Skills!N19=TRUE,(Skills!L19/10)*(E3048/1000),Skills!L19/10)+Skills!O19</f>
        <v/>
      </c>
      <c r="G3048">
        <f>Skills!G19*IF(Skills!H19&gt;0,INT(IF(Inputs!$B$38="pvp",MIN(Skills!I19,15),Skills!I19)/Skills!H19+0.000000001),1)</f>
        <v/>
      </c>
      <c r="H3048">
        <f>1-(1-Skills!J19/100)^Skills!K19</f>
        <v/>
      </c>
      <c r="I3048" t="inlineStr">
        <is>
          <t>1</t>
        </is>
      </c>
      <c r="J3048" t="inlineStr"/>
      <c r="K3048" t="inlineStr"/>
      <c r="L3048" t="inlineStr"/>
      <c r="M3048" t="inlineStr"/>
      <c r="N3048" t="inlineStr"/>
      <c r="O3048">
        <f>(1-Summary!$B$11)*T3048+Summary!$B$11*V3048</f>
        <v/>
      </c>
      <c r="P3048">
        <f>IF(B3070=0,0,O3048/B3070)</f>
        <v/>
      </c>
      <c r="Q3048" t="n">
        <v>0</v>
      </c>
      <c r="R3048" t="n">
        <v>0</v>
      </c>
      <c r="S3048">
        <f>IFERROR(O3048/N3048,0)</f>
        <v/>
      </c>
      <c r="T3048" t="n">
        <v>0</v>
      </c>
      <c r="V3048" t="n">
        <v>0</v>
      </c>
    </row>
    <row r="3049">
      <c r="A3049">
        <f>Skills!A20</f>
        <v/>
      </c>
      <c r="B3049">
        <f>Skills!B20</f>
        <v/>
      </c>
      <c r="C3049">
        <f>Inputs!$B$3&gt;=15</f>
        <v/>
      </c>
      <c r="D3049">
        <f>IF(Skills!C20=1,60+Inputs!$B$25+Inputs!$B$29,IF(Skills!C20=2,90+Inputs!$B$26+Inputs!$B$29,IF(Skills!C20=3,120+Inputs!$B$27+Inputs!$B$29,MAX(0,(Inputs!$B$3-100)*3)+Inputs!$B$28+Inputs!$B$29)))</f>
        <v/>
      </c>
      <c r="E3049">
        <f>INDEX(FactorTable!$B$2:$Y$301, MATCH(ROUND(MIN(300,MAX(1,D3049)),0), FactorTable!$A$2:$A$301,0), Skills!M20+1)</f>
        <v/>
      </c>
      <c r="F3049">
        <f>IF(Skills!N20=TRUE,(Skills!L20/10)*(E3049/1000),Skills!L20/10)+Skills!O20</f>
        <v/>
      </c>
      <c r="G3049">
        <f>Skills!G20*IF(Skills!H20&gt;0,INT(IF(Inputs!$B$38="pvp",MIN(Skills!I20,15),Skills!I20)/Skills!H20+0.000000001),1)</f>
        <v/>
      </c>
      <c r="H3049">
        <f>1-(1-Skills!J20/100)^Skills!K20</f>
        <v/>
      </c>
      <c r="I3049" t="inlineStr">
        <is>
          <t>1</t>
        </is>
      </c>
      <c r="J3049" t="inlineStr"/>
      <c r="K3049" t="inlineStr"/>
      <c r="L3049" t="inlineStr"/>
      <c r="M3049" t="inlineStr"/>
      <c r="N3049" t="inlineStr"/>
      <c r="O3049">
        <f>(1-Summary!$B$11)*T3049+Summary!$B$11*V3049</f>
        <v/>
      </c>
      <c r="P3049">
        <f>IF(B3070=0,0,O3049/B3070)</f>
        <v/>
      </c>
      <c r="Q3049" t="n">
        <v>0</v>
      </c>
      <c r="R3049" t="n">
        <v>0</v>
      </c>
      <c r="S3049">
        <f>IFERROR(O3049/N3049,0)</f>
        <v/>
      </c>
      <c r="T3049" t="n">
        <v>0</v>
      </c>
      <c r="V3049" t="n">
        <v>0</v>
      </c>
    </row>
    <row r="3050">
      <c r="A3050">
        <f>Skills!A21</f>
        <v/>
      </c>
      <c r="B3050">
        <f>Skills!B21</f>
        <v/>
      </c>
      <c r="C3050">
        <f>Inputs!$B$3&gt;=40</f>
        <v/>
      </c>
      <c r="D3050">
        <f>IF(Skills!C21=1,60+Inputs!$B$25+Inputs!$B$29,IF(Skills!C21=2,90+Inputs!$B$26+Inputs!$B$29,IF(Skills!C21=3,120+Inputs!$B$27+Inputs!$B$29,MAX(0,(Inputs!$B$3-100)*3)+Inputs!$B$28+Inputs!$B$29)))</f>
        <v/>
      </c>
      <c r="E3050">
        <f>INDEX(FactorTable!$B$2:$Y$301, MATCH(ROUND(MIN(300,MAX(1,D3050)),0), FactorTable!$A$2:$A$301,0), Skills!M21+1)</f>
        <v/>
      </c>
      <c r="F3050">
        <f>IF(Skills!N21=TRUE,(Skills!L21/10)*(E3050/1000),Skills!L21/10)+Skills!O21</f>
        <v/>
      </c>
      <c r="G3050">
        <f>Skills!G21*IF(Skills!H21&gt;0,INT(IF(Inputs!$B$38="pvp",MIN(Skills!I21,15),Skills!I21)/Skills!H21+0.000000001),1)</f>
        <v/>
      </c>
      <c r="H3050">
        <f>1-(1-Skills!J21/100)^Skills!K21</f>
        <v/>
      </c>
      <c r="I3050" t="inlineStr">
        <is>
          <t>1</t>
        </is>
      </c>
      <c r="J3050" t="inlineStr"/>
      <c r="K3050" t="inlineStr"/>
      <c r="L3050" t="inlineStr"/>
      <c r="M3050" t="inlineStr"/>
      <c r="N3050" t="inlineStr"/>
      <c r="O3050">
        <f>(1-Summary!$B$11)*T3050+Summary!$B$11*V3050</f>
        <v/>
      </c>
      <c r="P3050">
        <f>IF(B3070=0,0,O3050/B3070)</f>
        <v/>
      </c>
      <c r="Q3050" t="n">
        <v>0</v>
      </c>
      <c r="R3050" t="n">
        <v>0</v>
      </c>
      <c r="S3050">
        <f>IFERROR(O3050/N3050,0)</f>
        <v/>
      </c>
      <c r="T3050" t="n">
        <v>0</v>
      </c>
      <c r="V3050" t="n">
        <v>0</v>
      </c>
    </row>
    <row r="3051">
      <c r="A3051">
        <f>Skills!A22</f>
        <v/>
      </c>
      <c r="B3051">
        <f>Skills!B22</f>
        <v/>
      </c>
      <c r="C3051">
        <f>Inputs!$B$3&gt;=43</f>
        <v/>
      </c>
      <c r="D3051">
        <f>IF(Skills!C22=1,60+Inputs!$B$25+Inputs!$B$29,IF(Skills!C22=2,90+Inputs!$B$26+Inputs!$B$29,IF(Skills!C22=3,120+Inputs!$B$27+Inputs!$B$29,MAX(0,(Inputs!$B$3-100)*3)+Inputs!$B$28+Inputs!$B$29)))</f>
        <v/>
      </c>
      <c r="E3051">
        <f>INDEX(FactorTable!$B$2:$Y$301, MATCH(ROUND(MIN(300,MAX(1,D3051)),0), FactorTable!$A$2:$A$301,0), Skills!M22+1)</f>
        <v/>
      </c>
      <c r="F3051">
        <f>IF(Skills!N22=TRUE,(Skills!L22/10)*(E3051/1000),Skills!L22/10)+Skills!O22</f>
        <v/>
      </c>
      <c r="G3051">
        <f>Skills!G22*IF(Skills!H22&gt;0,INT(IF(Inputs!$B$38="pvp",MIN(Skills!I22,15),Skills!I22)/Skills!H22+0.000000001),1)</f>
        <v/>
      </c>
      <c r="H3051">
        <f>1-(1-Skills!J22/100)^Skills!K22</f>
        <v/>
      </c>
      <c r="I3051" t="inlineStr">
        <is>
          <t>1</t>
        </is>
      </c>
      <c r="J3051" t="inlineStr"/>
      <c r="K3051" t="inlineStr"/>
      <c r="L3051" t="inlineStr"/>
      <c r="M3051" t="inlineStr"/>
      <c r="N3051" t="inlineStr"/>
      <c r="O3051">
        <f>(1-Summary!$B$11)*T3051+Summary!$B$11*V3051</f>
        <v/>
      </c>
      <c r="P3051">
        <f>IF(B3070=0,0,O3051/B3070)</f>
        <v/>
      </c>
      <c r="Q3051" t="n">
        <v>0</v>
      </c>
      <c r="R3051" t="n">
        <v>0</v>
      </c>
      <c r="S3051">
        <f>IFERROR(O3051/N3051,0)</f>
        <v/>
      </c>
      <c r="T3051" t="n">
        <v>0</v>
      </c>
      <c r="V3051" t="n">
        <v>0</v>
      </c>
    </row>
    <row r="3052">
      <c r="A3052">
        <f>Skills!A23</f>
        <v/>
      </c>
      <c r="B3052">
        <f>Skills!B23</f>
        <v/>
      </c>
      <c r="C3052">
        <f>Inputs!$B$3&gt;=38</f>
        <v/>
      </c>
      <c r="D3052">
        <f>IF(Skills!C23=1,60+Inputs!$B$25+Inputs!$B$29,IF(Skills!C23=2,90+Inputs!$B$26+Inputs!$B$29,IF(Skills!C23=3,120+Inputs!$B$27+Inputs!$B$29,MAX(0,(Inputs!$B$3-100)*3)+Inputs!$B$28+Inputs!$B$29)))</f>
        <v/>
      </c>
      <c r="E3052">
        <f>INDEX(FactorTable!$B$2:$Y$301, MATCH(ROUND(MIN(300,MAX(1,D3052)),0), FactorTable!$A$2:$A$301,0), Skills!M23+1)</f>
        <v/>
      </c>
      <c r="F3052">
        <f>IF(Skills!N23=TRUE,(Skills!L23/10)*(E3052/1000),Skills!L23/10)+Skills!O23</f>
        <v/>
      </c>
      <c r="G3052">
        <f>Skills!G23*IF(Skills!H23&gt;0,INT(IF(Inputs!$B$38="pvp",MIN(Skills!I23,15),Skills!I23)/Skills!H23+0.000000001),1)</f>
        <v/>
      </c>
      <c r="H3052">
        <f>1-(1-Skills!J23/100)^Skills!K23</f>
        <v/>
      </c>
      <c r="I3052" t="inlineStr">
        <is>
          <t>1</t>
        </is>
      </c>
      <c r="J3052" t="inlineStr"/>
      <c r="K3052" t="inlineStr"/>
      <c r="L3052" t="inlineStr"/>
      <c r="M3052" t="inlineStr"/>
      <c r="N3052" t="inlineStr"/>
      <c r="O3052">
        <f>(1-Summary!$B$11)*T3052+Summary!$B$11*V3052</f>
        <v/>
      </c>
      <c r="P3052">
        <f>IF(B3070=0,0,O3052/B3070)</f>
        <v/>
      </c>
      <c r="Q3052" t="n">
        <v>0</v>
      </c>
      <c r="R3052" t="n">
        <v>0</v>
      </c>
      <c r="S3052">
        <f>IFERROR(O3052/N3052,0)</f>
        <v/>
      </c>
      <c r="T3052" t="n">
        <v>0</v>
      </c>
      <c r="V3052" t="n">
        <v>0</v>
      </c>
    </row>
    <row r="3053">
      <c r="A3053">
        <f>Skills!A24</f>
        <v/>
      </c>
      <c r="B3053">
        <f>Skills!B24</f>
        <v/>
      </c>
      <c r="C3053">
        <f>Inputs!$B$3&gt;=45</f>
        <v/>
      </c>
      <c r="D3053">
        <f>IF(Skills!C24=1,60+Inputs!$B$25+Inputs!$B$29,IF(Skills!C24=2,90+Inputs!$B$26+Inputs!$B$29,IF(Skills!C24=3,120+Inputs!$B$27+Inputs!$B$29,MAX(0,(Inputs!$B$3-100)*3)+Inputs!$B$28+Inputs!$B$29)))</f>
        <v/>
      </c>
      <c r="E3053">
        <f>INDEX(FactorTable!$B$2:$Y$301, MATCH(ROUND(MIN(300,MAX(1,D3053)),0), FactorTable!$A$2:$A$301,0), Skills!M24+1)</f>
        <v/>
      </c>
      <c r="F3053">
        <f>IF(Skills!N24=TRUE,(Skills!L24/10)*(E3053/1000),Skills!L24/10)+Skills!O24</f>
        <v/>
      </c>
      <c r="G3053">
        <f>Skills!G24*IF(Skills!H24&gt;0,INT(IF(Inputs!$B$38="pvp",MIN(Skills!I24,15),Skills!I24)/Skills!H24+0.000000001),1)</f>
        <v/>
      </c>
      <c r="H3053">
        <f>1-(1-Skills!J24/100)^Skills!K24</f>
        <v/>
      </c>
      <c r="I3053" t="inlineStr">
        <is>
          <t>1</t>
        </is>
      </c>
      <c r="J3053" t="inlineStr"/>
      <c r="K3053" t="inlineStr"/>
      <c r="L3053" t="inlineStr"/>
      <c r="M3053" t="inlineStr"/>
      <c r="N3053" t="inlineStr"/>
      <c r="O3053">
        <f>(1-Summary!$B$11)*T3053+Summary!$B$11*V3053</f>
        <v/>
      </c>
      <c r="P3053">
        <f>IF(B3070=0,0,O3053/B3070)</f>
        <v/>
      </c>
      <c r="Q3053" t="n">
        <v>0</v>
      </c>
      <c r="R3053" t="n">
        <v>0</v>
      </c>
      <c r="S3053">
        <f>IFERROR(O3053/N3053,0)</f>
        <v/>
      </c>
      <c r="T3053" t="n">
        <v>0</v>
      </c>
      <c r="V3053" t="n">
        <v>0</v>
      </c>
    </row>
    <row r="3054">
      <c r="A3054">
        <f>Skills!A25</f>
        <v/>
      </c>
      <c r="B3054">
        <f>Skills!B25</f>
        <v/>
      </c>
      <c r="C3054">
        <f>Inputs!$B$3&gt;=72</f>
        <v/>
      </c>
      <c r="D3054">
        <f>IF(Skills!C25=1,60+Inputs!$B$25+Inputs!$B$29,IF(Skills!C25=2,90+Inputs!$B$26+Inputs!$B$29,IF(Skills!C25=3,120+Inputs!$B$27+Inputs!$B$29,MAX(0,(Inputs!$B$3-100)*3)+Inputs!$B$28+Inputs!$B$29)))</f>
        <v/>
      </c>
      <c r="E3054">
        <f>INDEX(FactorTable!$B$2:$Y$301, MATCH(ROUND(MIN(300,MAX(1,D3054)),0), FactorTable!$A$2:$A$301,0), Skills!M25+1)</f>
        <v/>
      </c>
      <c r="F3054">
        <f>IF(Skills!N25=TRUE,(Skills!L25/10)*(E3054/1000),Skills!L25/10)+Skills!O25</f>
        <v/>
      </c>
      <c r="G3054">
        <f>Skills!G25*IF(Skills!H25&gt;0,INT(IF(Inputs!$B$38="pvp",MIN(Skills!I25,15),Skills!I25)/Skills!H25+0.000000001),1)</f>
        <v/>
      </c>
      <c r="H3054">
        <f>1-(1-Skills!J25/100)^Skills!K25</f>
        <v/>
      </c>
      <c r="I3054" t="inlineStr">
        <is>
          <t>1</t>
        </is>
      </c>
      <c r="J3054" t="inlineStr"/>
      <c r="K3054" t="inlineStr"/>
      <c r="L3054" t="inlineStr"/>
      <c r="M3054" t="inlineStr"/>
      <c r="N3054" t="inlineStr"/>
      <c r="O3054">
        <f>(1-Summary!$B$11)*T3054+Summary!$B$11*V3054</f>
        <v/>
      </c>
      <c r="P3054">
        <f>IF(B3070=0,0,O3054/B3070)</f>
        <v/>
      </c>
      <c r="Q3054" t="n">
        <v>0</v>
      </c>
      <c r="R3054" t="n">
        <v>0</v>
      </c>
      <c r="S3054">
        <f>IFERROR(O3054/N3054,0)</f>
        <v/>
      </c>
      <c r="T3054" t="n">
        <v>0</v>
      </c>
      <c r="V3054" t="n">
        <v>0</v>
      </c>
    </row>
    <row r="3055">
      <c r="A3055">
        <f>Skills!A26</f>
        <v/>
      </c>
      <c r="B3055">
        <f>Skills!B26</f>
        <v/>
      </c>
      <c r="C3055">
        <f>Inputs!$B$3&gt;=75</f>
        <v/>
      </c>
      <c r="D3055">
        <f>IF(Skills!C26=1,60+Inputs!$B$25+Inputs!$B$29,IF(Skills!C26=2,90+Inputs!$B$26+Inputs!$B$29,IF(Skills!C26=3,120+Inputs!$B$27+Inputs!$B$29,MAX(0,(Inputs!$B$3-100)*3)+Inputs!$B$28+Inputs!$B$29)))</f>
        <v/>
      </c>
      <c r="E3055">
        <f>INDEX(FactorTable!$B$2:$Y$301, MATCH(ROUND(MIN(300,MAX(1,D3055)),0), FactorTable!$A$2:$A$301,0), Skills!M26+1)</f>
        <v/>
      </c>
      <c r="F3055">
        <f>IF(Skills!N26=TRUE,(Skills!L26/10)*(E3055/1000),Skills!L26/10)+Skills!O26</f>
        <v/>
      </c>
      <c r="G3055">
        <f>Skills!G26*IF(Skills!H26&gt;0,INT(IF(Inputs!$B$38="pvp",MIN(Skills!I26,15),Skills!I26)/Skills!H26+0.000000001),1)</f>
        <v/>
      </c>
      <c r="H3055">
        <f>1-(1-Skills!J26/100)^Skills!K26</f>
        <v/>
      </c>
      <c r="I3055" t="inlineStr">
        <is>
          <t>1</t>
        </is>
      </c>
      <c r="J3055" t="inlineStr"/>
      <c r="K3055" t="inlineStr"/>
      <c r="L3055" t="inlineStr"/>
      <c r="M3055" t="inlineStr"/>
      <c r="N3055" t="inlineStr"/>
      <c r="O3055">
        <f>(1-Summary!$B$11)*T3055+Summary!$B$11*V3055</f>
        <v/>
      </c>
      <c r="P3055">
        <f>IF(B3070=0,0,O3055/B3070)</f>
        <v/>
      </c>
      <c r="Q3055" t="n">
        <v>0</v>
      </c>
      <c r="R3055" t="n">
        <v>0</v>
      </c>
      <c r="S3055">
        <f>IFERROR(O3055/N3055,0)</f>
        <v/>
      </c>
      <c r="T3055" t="n">
        <v>0</v>
      </c>
      <c r="V3055" t="n">
        <v>0</v>
      </c>
    </row>
    <row r="3056">
      <c r="A3056">
        <f>Skills!A27</f>
        <v/>
      </c>
      <c r="B3056">
        <f>Skills!B27</f>
        <v/>
      </c>
      <c r="C3056">
        <f>Inputs!$B$3&gt;=125</f>
        <v/>
      </c>
      <c r="D3056">
        <f>IF(Skills!C27=1,60+Inputs!$B$25+Inputs!$B$29,IF(Skills!C27=2,90+Inputs!$B$26+Inputs!$B$29,IF(Skills!C27=3,120+Inputs!$B$27+Inputs!$B$29,MAX(0,(Inputs!$B$3-100)*3)+Inputs!$B$28+Inputs!$B$29)))</f>
        <v/>
      </c>
      <c r="E3056">
        <f>INDEX(FactorTable!$B$2:$Y$301, MATCH(ROUND(MIN(300,MAX(1,D3056)),0), FactorTable!$A$2:$A$301,0), Skills!M27+1)</f>
        <v/>
      </c>
      <c r="F3056">
        <f>IF(Skills!N27=TRUE,(Skills!L27/10)*(E3056/1000),Skills!L27/10)+Skills!O27</f>
        <v/>
      </c>
      <c r="G3056">
        <f>Skills!G27*IF(Skills!H27&gt;0,INT(IF(Inputs!$B$38="pvp",MIN(Skills!I27,15),Skills!I27)/Skills!H27+0.000000001),1)</f>
        <v/>
      </c>
      <c r="H3056">
        <f>1-(1-Skills!J27/100)^Skills!K27</f>
        <v/>
      </c>
      <c r="I3056" t="inlineStr">
        <is>
          <t>1</t>
        </is>
      </c>
      <c r="J3056" t="inlineStr"/>
      <c r="K3056" t="inlineStr"/>
      <c r="L3056" t="inlineStr"/>
      <c r="M3056" t="inlineStr"/>
      <c r="N3056" t="inlineStr"/>
      <c r="O3056">
        <f>(1-Summary!$B$11)*T3056+Summary!$B$11*V3056</f>
        <v/>
      </c>
      <c r="P3056">
        <f>IF(B3070=0,0,O3056/B3070)</f>
        <v/>
      </c>
      <c r="Q3056" t="n">
        <v>0</v>
      </c>
      <c r="R3056" t="n">
        <v>0</v>
      </c>
      <c r="S3056">
        <f>IFERROR(O3056/N3056,0)</f>
        <v/>
      </c>
      <c r="T3056" t="n">
        <v>0</v>
      </c>
      <c r="V3056" t="n">
        <v>0</v>
      </c>
    </row>
    <row r="3057">
      <c r="A3057">
        <f>Skills!A28</f>
        <v/>
      </c>
      <c r="B3057">
        <f>Skills!B28</f>
        <v/>
      </c>
      <c r="C3057">
        <f>TRUE</f>
        <v/>
      </c>
      <c r="D3057">
        <f>IF(Skills!C28=1,60+Inputs!$B$25+Inputs!$B$29,IF(Skills!C28=2,90+Inputs!$B$26+Inputs!$B$29,IF(Skills!C28=3,120+Inputs!$B$27+Inputs!$B$29,MAX(0,(Inputs!$B$3-100)*3)+Inputs!$B$28+Inputs!$B$29)))</f>
        <v/>
      </c>
      <c r="E3057">
        <f>INDEX(FactorTable!$B$2:$Y$301, MATCH(ROUND(MIN(300,MAX(1,D3057)),0), FactorTable!$A$2:$A$301,0), Skills!M28+1)</f>
        <v/>
      </c>
      <c r="F3057">
        <f>IF(Skills!N28=TRUE,(Skills!L28/10)*(E3057/1000),Skills!L28/10)+Skills!O28</f>
        <v/>
      </c>
      <c r="G3057">
        <f>Skills!G28*IF(Skills!H28&gt;0,INT(IF(Inputs!$B$38="pvp",MIN(Skills!I28,15),Skills!I28)/Skills!H28+0.000000001),1)</f>
        <v/>
      </c>
      <c r="H3057">
        <f>1-(1-Skills!J28/100)^Skills!K28</f>
        <v/>
      </c>
      <c r="I3057" t="inlineStr">
        <is>
          <t>1</t>
        </is>
      </c>
      <c r="J3057" t="inlineStr"/>
      <c r="K3057" t="inlineStr"/>
      <c r="L3057" t="inlineStr"/>
      <c r="M3057" t="inlineStr"/>
      <c r="N3057" t="inlineStr"/>
      <c r="O3057">
        <f>(1-Summary!$B$11)*T3057+Summary!$B$11*V3057</f>
        <v/>
      </c>
      <c r="P3057">
        <f>IF(B3070=0,0,O3057/B3070)</f>
        <v/>
      </c>
      <c r="Q3057">
        <f>IFERROR(1/(IF(Inputs!$B$38="pvp",15,MAX(0.1,Skills!D28-IF(TRUE=TRUE,1.5,0)))*(1-IF(AND(ArtifactsInput!$M$27,Inputs!$B$4="Chapter Hunt"),CHOOSE(ArtifactsInput!$N$27+1,20,24,28,32,36,40),0)/100)),0)</f>
        <v/>
      </c>
      <c r="R3057">
        <f>IF(AND(Inputs!$B$38&lt;&gt;"pvp",Inputs!$B$43&gt;0),IF(Inputs!$B$43&lt;=0,0,(INT(Inputs!$B$43/(IF(Inputs!$B$38="pvp",15,MAX(0.1,Skills!D28-IF(TRUE=TRUE,1.5,0)))*(1-IF(AND(ArtifactsInput!$M$27,Inputs!$B$4="Chapter Hunt"),CHOOSE(ArtifactsInput!$N$27+1,20,24,28,32,36,40),0)/100)))+1)),0)</f>
        <v/>
      </c>
      <c r="S3057">
        <f>IFERROR(O3057/N3057,0)</f>
        <v/>
      </c>
      <c r="T3057" t="n">
        <v>0</v>
      </c>
      <c r="V3057" t="n">
        <v>0</v>
      </c>
    </row>
    <row r="3059">
      <c r="A3059" t="inlineStr">
        <is>
          <t>Attack% Bucket Multiplier</t>
        </is>
      </c>
      <c r="B3059">
        <f>(1+(((C3046=TRUE)*F3046*5/7)+((C3053=TRUE)*(F3053-Calc!F24))+(IF(ArtifactsInput!$M$21,CHOOSE(ArtifactsInput!$N$21+1,25,30,35,40,45,50)*(IF(OR(Inputs!$B$4="Chapter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3060">
      <c r="A3060" t="inlineStr">
        <is>
          <t>Global Crit Rate Bonus %</t>
        </is>
      </c>
      <c r="B3060" t="n">
        <v>0</v>
      </c>
    </row>
    <row r="3061">
      <c r="A3061" t="inlineStr">
        <is>
          <t>Attack Speed Buff Bonus % (Nimble Feet, duty-cycle averaged)</t>
        </is>
      </c>
      <c r="B3061">
        <f>((C3057=TRUE)*F3057*IF(AND(Inputs!$B$38&lt;&gt;"pvp",Inputs!$B$43&gt;0),(((R3057-1)*MIN((Skills!T28*(1+Inputs!$B$34/100)),(1/Q3057))+MIN((Skills!T28*(1+Inputs!$B$34/100)),MAX(0,Inputs!$B$43-((R3057-1)*(1/Q3057)))))/Inputs!$B$43),IF(Inputs!$B$38="pvp",MIN((Skills!T28*(1+Inputs!$B$34/100)),15)/15,MIN(1,(Skills!T28*(1+Inputs!$B$34/100))/(1/Q3057)))))</f>
        <v/>
      </c>
    </row>
    <row r="3062">
      <c r="A3062" t="inlineStr">
        <is>
          <t>Actions Per Second</t>
        </is>
      </c>
      <c r="B3062">
        <f>1+MIN(150,150*(1-(1-(Inputs!$B$11+((C3049=TRUE)*(F3049-Calc!F20))+((C3050=TRUE)*(F3050-Calc!F21)))/150)*(1-B3061/150)))/100</f>
        <v/>
      </c>
    </row>
    <row r="3063">
      <c r="A3063" t="inlineStr">
        <is>
          <t>Skill + Buff Cast Rate</t>
        </is>
      </c>
      <c r="B3063">
        <f>IF(AND(Inputs!$B$38&lt;&gt;"pvp",Inputs!$B$43&gt;0),SUMPRODUCT((Skills!E2:E28=TRUE)*(C3031:C3057=TRUE)*R3031:R3057*Skills!F2:F28)/Inputs!$B$43,SUMPRODUCT((Skills!E2:E28=TRUE)*(C3031:C3057=TRUE)*Q3031:Q3057*Skills!F2:F28))</f>
        <v/>
      </c>
    </row>
    <row r="3064">
      <c r="A3064" t="inlineStr">
        <is>
          <t>Eight-Legs Easton Casts Per Second</t>
        </is>
      </c>
      <c r="B3064">
        <f>MAX(0,B3062-B3063)</f>
        <v/>
      </c>
    </row>
    <row r="3065">
      <c r="A3065" t="inlineStr">
        <is>
          <t>Global Critical Damage Bonus % (unused)</t>
        </is>
      </c>
      <c r="B3065" t="n">
        <v>0</v>
      </c>
    </row>
    <row r="3066">
      <c r="A3066" t="inlineStr">
        <is>
          <t>Global Final Damage Bonus % (Jolly Roger + Ahoy Mateys - Final Damage proc)</t>
        </is>
      </c>
      <c r="B3066">
        <f>((C3047=TRUE)*F3047*IF(AND(Inputs!$B$38&lt;&gt;"pvp",Inputs!$B$43&gt;0),(((R3047-1)*MIN((Skills!T18*(1+Inputs!$B$34/100)),(1/Q3047))+MIN((Skills!T18*(1+Inputs!$B$34/100)),MAX(0,Inputs!$B$43-((R3047-1)*(1/Q3047)))))/Inputs!$B$43),IF(Inputs!$B$38="pvp",MIN((Skills!T18*(1+Inputs!$B$34/100)),15)/15,MIN(1,(Skills!T18*(1+Inputs!$B$34/100))/(1/Q3047)))))+IF(Inputs!$B$3&gt;=122,20*IF(Inputs!$B$38="pvp",MIN((20*(1+Inputs!$B$34/100)),15)/15,MIN(1,(20*(1+Inputs!$B$34/100))/(1/Q3033))),0)</f>
        <v/>
      </c>
    </row>
    <row r="3067">
      <c r="A3067" t="inlineStr">
        <is>
          <t>Buff-Casting Startup Delay (s, fixed-duration only)</t>
        </is>
      </c>
      <c r="B3067">
        <f>IF(AND(Inputs!$B$38&lt;&gt;"pvp",Inputs!$B$43&gt;0),SUMPRODUCT((Skills!T2:T28&gt;0)*(Skills!E2:E28=TRUE)*(C3031:C3057=TRUE))/B3062,0)</f>
        <v/>
      </c>
    </row>
    <row r="3068">
      <c r="A3068" t="inlineStr">
        <is>
          <t>Boss-Only Total DPS (this block's swept value)</t>
        </is>
      </c>
      <c r="B3068">
        <f>SUM(T3031:T3057)</f>
        <v/>
      </c>
    </row>
    <row r="3069">
      <c r="A3069" t="inlineStr">
        <is>
          <t>Normal-Only Total DPS (this block's swept value)</t>
        </is>
      </c>
      <c r="B3069">
        <f>SUM(V3031:V3057)</f>
        <v/>
      </c>
    </row>
    <row r="3070">
      <c r="A3070" s="6" t="inlineStr">
        <is>
          <t>TOTAL DPS</t>
        </is>
      </c>
      <c r="B3070" s="6">
        <f>SUM(O3031:O3057)</f>
        <v/>
      </c>
    </row>
    <row r="3071">
      <c r="A3071" t="inlineStr">
        <is>
          <t>Quickdraw cooldown divisor (this block's own APS / Q)</t>
        </is>
      </c>
      <c r="B3071">
        <f>IF(AND(C3056=TRUE,Inputs!$B$38&lt;&gt;"pvp"),1+0.25*MAX(0,(B3062-(((C3032=TRUE)*Q3032*1)+((C3033=TRUE)*Q3033*1)+((C3035=TRUE)*Q3035*1)+((C3036=TRUE)*Q3036*1)+((C3038=TRUE)*Q3038*1)+((C3041=TRUE)*Q3041*1)+((C3047=TRUE)*Q3047*1)+((C3057=TRUE)*Q3057*1))-((C3037=TRUE)/(IF(Inputs!$B$38="pvp",15,MAX(0.1,Skills!D8-IF(TRUE=TRUE,1.5,0)))*(1-IF(AND(ArtifactsInput!$M$27,Inputs!$B$4="Chapter Hunt"),CHOOSE(ArtifactsInput!$N$27+1,20,24,28,32,36,40),0)/100))+(C3040=TRUE)/(IF(Inputs!$B$38="pvp",15,MAX(0.1,Skills!D11-IF(TRUE=TRUE,1.5,0)))*(1-IF(AND(ArtifactsInput!$M$27,Inputs!$B$4="Chapter Hunt"),CHOOSE(ArtifactsInput!$N$27+1,20,24,28,32,36,40),0)/100))))/(1+0.25*((C3037=TRUE)/(IF(Inputs!$B$38="pvp",15,MAX(0.1,Skills!D8-IF(TRUE=TRUE,1.5,0)))*(1-IF(AND(ArtifactsInput!$M$27,Inputs!$B$4="Chapter Hunt"),CHOOSE(ArtifactsInput!$N$27+1,20,24,28,32,36,40),0)/100))+(C3040=TRUE)/(IF(Inputs!$B$38="pvp",15,MAX(0.1,Skills!D11-IF(TRUE=TRUE,1.5,0)))*(1-IF(AND(ArtifactsInput!$M$27,Inputs!$B$4="Chapter Hunt"),CHOOSE(ArtifactsInput!$N$27+1,20,24,28,32,36,40),0)/100))))),1)</f>
        <v/>
      </c>
    </row>
    <row r="3072">
      <c r="A3072" t="inlineStr">
        <is>
          <t>Nautilus Strike - Final Attack trigger rate (this block's own Q/R)</t>
        </is>
      </c>
      <c r="B3072">
        <f>IF(AND(Inputs!$B$38&lt;&gt;"pvp",Inputs!$B$43&gt;0),(((C3032=TRUE)*R3032)+((C3035=TRUE)*R3035)+((C3037=TRUE)*R3037)+((C3038=TRUE)*R3038)+((C3040=TRUE)*R3040))/Inputs!$B$43,((C3032=TRUE)*Q3032)+((C3035=TRUE)*Q3035)+((C3037=TRUE)*Q3037)+((C3038=TRUE)*Q3038)+((C3040=TRUE)*Q3040))+B3064</f>
        <v/>
      </c>
    </row>
    <row r="3075">
      <c r="A3075" s="6" t="inlineStr">
        <is>
          <t>Stat: CDR = 2.0s</t>
        </is>
      </c>
    </row>
    <row r="3076">
      <c r="A3076" s="5" t="inlineStr">
        <is>
          <t>Key</t>
        </is>
      </c>
      <c r="B3076" s="5" t="inlineStr">
        <is>
          <t>Name</t>
        </is>
      </c>
      <c r="C3076" s="5" t="inlineStr">
        <is>
          <t>Unlocked</t>
        </is>
      </c>
      <c r="D3076" s="5" t="inlineStr">
        <is>
          <t>InputLevel</t>
        </is>
      </c>
      <c r="E3076" s="5" t="inlineStr">
        <is>
          <t>Factor</t>
        </is>
      </c>
      <c r="F3076" s="5" t="inlineStr">
        <is>
          <t>CoefficientPercent</t>
        </is>
      </c>
      <c r="G3076" s="5" t="inlineStr">
        <is>
          <t>EffectiveHits</t>
        </is>
      </c>
      <c r="H3076" s="5" t="inlineStr">
        <is>
          <t>ProcProbability</t>
        </is>
      </c>
      <c r="I3076" s="5" t="inlineStr">
        <is>
          <t>MapleHeroMultiplier</t>
        </is>
      </c>
      <c r="J3076" s="5" t="inlineStr">
        <is>
          <t>BaseDamage</t>
        </is>
      </c>
      <c r="K3076" s="5" t="inlineStr">
        <is>
          <t>BaseHitDamage</t>
        </is>
      </c>
      <c r="L3076" s="5" t="inlineStr">
        <is>
          <t>NonCritAvg</t>
        </is>
      </c>
      <c r="M3076" s="5" t="inlineStr">
        <is>
          <t>CritAvg</t>
        </is>
      </c>
      <c r="N3076" s="5" t="inlineStr">
        <is>
          <t>ExpectedDamage(perHit)</t>
        </is>
      </c>
      <c r="O3076" s="5" t="inlineStr">
        <is>
          <t>DPS</t>
        </is>
      </c>
      <c r="P3076" s="5" t="inlineStr">
        <is>
          <t>% of Total</t>
        </is>
      </c>
      <c r="Q3076" s="5" t="inlineStr">
        <is>
          <t>InvCooldown</t>
        </is>
      </c>
      <c r="R3076" s="5" t="inlineStr">
        <is>
          <t>CastsInFight</t>
        </is>
      </c>
      <c r="S3076" s="5" t="inlineStr">
        <is>
          <t>HitRate(perSec)</t>
        </is>
      </c>
      <c r="U3076" t="inlineStr">
        <is>
          <t>helpers</t>
        </is>
      </c>
    </row>
    <row r="3077">
      <c r="A3077">
        <f>Skills!A2</f>
        <v/>
      </c>
      <c r="B3077">
        <f>Skills!B2</f>
        <v/>
      </c>
      <c r="C3077">
        <f>Inputs!$B$3&gt;=100</f>
        <v/>
      </c>
      <c r="D3077" t="inlineStr"/>
      <c r="E3077" t="inlineStr"/>
      <c r="F3077">
        <f>U3079+Skills!O2</f>
        <v/>
      </c>
      <c r="G3077">
        <f>Skills!G2*IF(Skills!H2&gt;0,INT(IF(Inputs!$B$38="pvp",MIN(Skills!I2,15),Skills!I2)/Skills!H2+0.000000001),1)</f>
        <v/>
      </c>
      <c r="H3077">
        <f>1-(1-Skills!J2/100)^Skills!K2</f>
        <v/>
      </c>
      <c r="I3077" t="inlineStr">
        <is>
          <t>1</t>
        </is>
      </c>
      <c r="J3077">
        <f>((Inputs!$B$6*(1+Inputs!$B$7/100))+(((Inputs!$B$12*(1+Inputs!$B$13/100))-(Inputs!$B$12*(1+Inputs!$B$13/100)))+0.25*(Inputs!$B$14-Inputs!$B$14))*(1+Inputs!$B$7/100))*(F3077/100)</f>
        <v/>
      </c>
      <c r="K3077">
        <f>J3077*(1+((Inputs!$B$12*(1+Inputs!$B$13/100))*0.01+Inputs!$B$14*0.0025)/100)*(1+Inputs!$B$15/100)*(1+Inputs!$B$16/100)*(5000/(6000+Inputs!$B$42*(1-(100*(1-(1-(Inputs!$B$19+0)/100)*(1-CHOOSE(ArtifactsInput!$N$40+1,5,6,7,8,9,10)/100)^(ArtifactsInput!$M$40-ArtifactsInput!$M$40)))/100)))*(1+(Inputs!$B$24+((C3101=TRUE)*(F3101-Calc!F26))+B3112)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IGHT_LEGS_EASTON",Inputs!$B$17+((C3098=TRUE)*(F3098-Calc!F23))+((C3102=TRUE)*(F3102-Calc!F27))+((IF(AND(Inputs!$B$38&lt;&gt;"pvp",Inputs!$B$43=0),1,IF(IF(Inputs!$B$38="pvp",15,Inputs!$B$43)-(B3113)&lt;=0,1,MAX(0,IF(Inputs!$B$38="pvp",15,Inputs!$B$43)-MAX(5,B3113))/(IF(Inputs!$B$38="pvp",15,Inputs!$B$43)-(B3113))))*(IF(AND(ArtifactsInput!$M$42,((Inputs!$B$9+((C3094=TRUE)*(F3094-Calc!F19))+B3106+(ArtifactsInput!$M$24-ArtifactsInput!$M$24)*CHOOSE(ArtifactsInput!$N$24+1,10,12,14,16,18,20)+IF(ArtifactsInput!$M$10,CHOOSE(ArtifactsInput!$N$10+1,15,18,21,24,27,30)*(IF(Inputs!$B$38="pvp",MIN(15,15)/15,IF(AND(Inputs!$B$38&lt;&gt;"pvp",Inputs!$B$43&gt;0),MIN(15,Inputs!$B$43)/(Inputs!$B$43),0))),0)))&gt;=100),MIN(100,((Inputs!$B$9+((C3094=TRUE)*(F3094-Calc!F19))+B3106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3113)&lt;=0,1,MAX(0,IF(Inputs!$B$38="pvp",15,Inputs!$B$43)-MAX(5,B3113))/(IF(Inputs!$B$38="pvp",15,Inputs!$B$43)-(B3113))))*IF(AND(ArtifactsInput!$M$42,((Inputs!$B$9+((C3094=TRUE)*(F3094-Calc!F19))+B3106+(ArtifactsInput!$M$24-ArtifactsInput!$M$24)*CHOOSE(ArtifactsInput!$N$24+1,10,12,14,16,18,20)+IF(ArtifactsInput!$M$10,CHOOSE(ArtifactsInput!$N$10+1,15,18,21,24,27,30)*(IF(Inputs!$B$38="pvp",MIN(15,15)/15,IF(AND(Inputs!$B$38&lt;&gt;"pvp",Inputs!$B$43&gt;0),MIN(15,Inputs!$B$43)/(Inputs!$B$43),0))),0)))&gt;=100),CHOOSE(ArtifactsInput!$N$42+1,40,48,56,64,72,80),0))))/100)*((1+(((C3092=TRUE)*F3092*5/7)+((C3099=TRUE)*(F3099-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3077)</f>
        <v/>
      </c>
      <c r="L3077">
        <f>K3077*(MIN(Inputs!$B$22+((C3097=TRUE)*(F3097-Calc!F22)),(Inputs!$B$23+0+(IF(ArtifactsInput!$M$15,CHOOSE(ArtifactsInput!$N$15+1,25,30,35,40,45,50)/100*(Inputs!$B$11-Inputs!$B$11),0))))/100+(Inputs!$B$23+0+(IF(ArtifactsInput!$M$15,CHOOSE(ArtifactsInput!$N$15+1,25,30,35,40,45,50)/100*(Inputs!$B$11-Inputs!$B$11),0)))/100)/2</f>
        <v/>
      </c>
      <c r="M3077">
        <f>L3077*(1+(Inputs!$B$10+((C3100=TRUE)*(F3100-Calc!F25))+B3111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77">
        <f>L3077*(1-MIN((Inputs!$B$9+((C3094=TRUE)*(F3094-Calc!F19))+B3106+(ArtifactsInput!$M$24-ArtifactsInput!$M$24)*CHOOSE(ArtifactsInput!$N$24+1,10,12,14,16,18,20)+(IF(AND(Inputs!$B$38&lt;&gt;"pvp",Inputs!$B$43=0),1,IF(IF(Inputs!$B$38="pvp",15,Inputs!$B$43)-(B3113)&lt;=0,1,MAX(0,IF(Inputs!$B$38="pvp",15,Inputs!$B$43)-MAX(5,B3113))/(IF(Inputs!$B$38="pvp",15,Inputs!$B$43)-(B3113))))*IF(AND(ArtifactsInput!$M$42,((Inputs!$B$9+((C3094=TRUE)*(F3094-Calc!F19))+B3106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3077*(MIN((Inputs!$B$9+((C3094=TRUE)*(F3094-Calc!F19))+B3106+(ArtifactsInput!$M$24-ArtifactsInput!$M$24)*CHOOSE(ArtifactsInput!$N$24+1,10,12,14,16,18,20)+(IF(AND(Inputs!$B$38&lt;&gt;"pvp",Inputs!$B$43=0),1,IF(IF(Inputs!$B$38="pvp",15,Inputs!$B$43)-(B3113)&lt;=0,1,MAX(0,IF(Inputs!$B$38="pvp",15,Inputs!$B$43)-MAX(5,B3113))/(IF(Inputs!$B$38="pvp",15,Inputs!$B$43)-(B3113))))*IF(AND(ArtifactsInput!$M$42,((Inputs!$B$9+((C3094=TRUE)*(F3094-Calc!F19))+B3106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77">
        <f>(1-Summary!$B$11)*T3077+Summary!$B$11*V3077</f>
        <v/>
      </c>
      <c r="P3077">
        <f>IF(B3116=0,0,O3077/B3116)</f>
        <v/>
      </c>
      <c r="Q3077" t="n">
        <v>0</v>
      </c>
      <c r="R3077" t="n">
        <v>0</v>
      </c>
      <c r="S3077">
        <f>IFERROR(O3077/N3077,0)</f>
        <v/>
      </c>
      <c r="T3077">
        <f>IF(C3077,(Skills!G2*N3077*B3110*(1+IF(C3102=TRUE,1/3,0)))*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Hunt"),CHOOSE(ArtifactsInput!$N$35+1,15,18,21,24,27,30)*(1-EXP(-(0.2*B3108)*5)),0)+IF(AND(ArtifactsInput!$M$22,Inputs!$B$4&lt;&gt;"Chapter Hunt"),CHOOSE(ArtifactsInput!$N$22+1,10,12,14,16,18,20)*((0*(((0.15*B3108*5))^0/1)+1*(((0.15*B3108*5))^1/1)+2*(((0.15*B3108*5))^2/2)+3*(((0.15*B3108*5))^3/6)+4*(((0.15*B3108*5))^4/24)+5*(((0.15*B3108*5))^5/120))/((((0.15*B3108*5))^0/1)+(((0.15*B3108*5))^1/1)+(((0.15*B3108*5))^2/2)+(((0.15*B3108*5))^3/6)+(((0.15*B3108*5))^4/24)+(((0.15*B3108*5))^5/120))),0))+IF(Inputs!$B$3&gt;=54,9*(C3078=TRUE)*MIN(1,8*(1+Inputs!$B$34/100)*Q3078)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3077*(1-MIN(100,(Inputs!$B$9+((C3094=TRUE)*(F3094-Calc!F19))+B3106+(ArtifactsInput!$M$24-ArtifactsInput!$M$24)*CHOOSE(ArtifactsInput!$N$24+1,10,12,14,16,18,20)+(IF(AND(Inputs!$B$38&lt;&gt;"pvp",Inputs!$B$43=0),1,IF(IF(Inputs!$B$38="pvp",15,Inputs!$B$43)-(B3113)&lt;=0,1,MAX(0,IF(Inputs!$B$38="pvp",15,Inputs!$B$43)-MAX(5,B3113))/(IF(Inputs!$B$38="pvp",15,Inputs!$B$43)-(B3113))))*IF(AND(ArtifactsInput!$M$42,((Inputs!$B$9+((C3094=TRUE)*(F3094-Calc!F19))+B3106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3077*(MIN(100,(Inputs!$B$9+((C3094=TRUE)*(F3094-Calc!F19))+B3106+(ArtifactsInput!$M$24-ArtifactsInput!$M$24)*CHOOSE(ArtifactsInput!$N$24+1,10,12,14,16,18,20)+(IF(AND(Inputs!$B$38&lt;&gt;"pvp",Inputs!$B$43=0),1,IF(IF(Inputs!$B$38="pvp",15,Inputs!$B$43)-(B3113)&lt;=0,1,MAX(0,IF(Inputs!$B$38="pvp",15,Inputs!$B$43)-MAX(5,B3113))/(IF(Inputs!$B$38="pvp",15,Inputs!$B$43)-(B3113))))*IF(AND(ArtifactsInput!$M$42,((Inputs!$B$9+((C3094=TRUE)*(F3094-Calc!F19))+B3106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3077*(1-MIN(100,(Inputs!$B$9+((C3094=TRUE)*(F3094-Calc!F19))+B3106+(ArtifactsInput!$M$24-ArtifactsInput!$M$24)*CHOOSE(ArtifactsInput!$N$24+1,10,12,14,16,18,20)+(IF(AND(Inputs!$B$38&lt;&gt;"pvp",Inputs!$B$43=0),1,IF(IF(Inputs!$B$38="pvp",15,Inputs!$B$43)-(B3113)&lt;=0,1,MAX(0,IF(Inputs!$B$38="pvp",15,Inputs!$B$43)-MAX(5,B3113))/(IF(Inputs!$B$38="pvp",15,Inputs!$B$43)-(B3113))))*IF(AND(ArtifactsInput!$M$42,((Inputs!$B$9+((C3094=TRUE)*(F3094-Calc!F19))+B3106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3077*(MIN(100,(Inputs!$B$9+((C3094=TRUE)*(F3094-Calc!F19))+B3106+(ArtifactsInput!$M$24-ArtifactsInput!$M$24)*CHOOSE(ArtifactsInput!$N$24+1,10,12,14,16,18,20)+(IF(AND(Inputs!$B$38&lt;&gt;"pvp",Inputs!$B$43=0),1,IF(IF(Inputs!$B$38="pvp",15,Inputs!$B$43)-(B3113)&lt;=0,1,MAX(0,IF(Inputs!$B$38="pvp",15,Inputs!$B$43)-MAX(5,B3113))/(IF(Inputs!$B$38="pvp",15,Inputs!$B$43)-(B3113))))*IF(AND(ArtifactsInput!$M$42,((Inputs!$B$9+((C3094=TRUE)*(F3094-Calc!F19))+B3106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077">
        <f>MAX(0,(Inputs!$B$3-100)*3)+Inputs!$B$28+Inputs!$B$29</f>
        <v/>
      </c>
      <c r="V3077">
        <f>IF(C3077,(Skills!G2*N3077*B3110*(1+IF(C3102=TRUE,1/3,0)))*IF(Inputs!$B$38="pvp",1,(1+(Inputs!$B$21+Skills!Q2+(IF(ArtifactsInput!$M$33,CHOOSE(ArtifactsInput!$N$33+1,30,36,42,48,54,60),0))+(IF(AND(ArtifactsInput!$M$35,Inputs!$B$4&lt;&gt;"Chapter Hunt"),CHOOSE(ArtifactsInput!$N$35+1,15,18,21,24,27,30)*(1-EXP(-(0.2*B3108)*5)),0)+IF(AND(ArtifactsInput!$M$22,Inputs!$B$4&lt;&gt;"Chapter Hunt"),CHOOSE(ArtifactsInput!$N$22+1,10,12,14,16,18,20)*((0*(((0.15*B3108*5))^0/1)+1*(((0.15*B3108*5))^1/1)+2*(((0.15*B3108*5))^2/2)+3*(((0.15*B3108*5))^3/6)+4*(((0.15*B3108*5))^4/24)+5*(((0.15*B3108*5))^5/120))/((((0.15*B3108*5))^0/1)+(((0.15*B3108*5))^1/1)+(((0.15*B3108*5))^2/2)+(((0.15*B3108*5))^3/6)+(((0.15*B3108*5))^4/24)+(((0.15*B3108*5))^5/120))),0))+IF(Inputs!$B$3&gt;=54,9*(C3078=TRUE)*MIN(1,8*(1+Inputs!$B$34/100)*Q3078),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78">
      <c r="A3078">
        <f>Skills!A3</f>
        <v/>
      </c>
      <c r="B3078">
        <f>Skills!B3</f>
        <v/>
      </c>
      <c r="C3078">
        <f>Inputs!$B$3&gt;=33</f>
        <v/>
      </c>
      <c r="D3078">
        <f>IF(Skills!C3=1,60+Inputs!$B$25+Inputs!$B$29,IF(Skills!C3=2,90+Inputs!$B$26+Inputs!$B$29,IF(Skills!C3=3,120+Inputs!$B$27+Inputs!$B$29,MAX(0,(Inputs!$B$3-100)*3)+Inputs!$B$28+Inputs!$B$29)))</f>
        <v/>
      </c>
      <c r="E3078">
        <f>INDEX(FactorTable!$B$2:$Y$301, MATCH(ROUND(MIN(300,MAX(1,D3078)),0), FactorTable!$A$2:$A$301,0), Skills!M3+1)</f>
        <v/>
      </c>
      <c r="F3078">
        <f>IF(Skills!N3=TRUE,(Skills!L3/10)*(E3078/1000),Skills!L3/10)+Skills!O3</f>
        <v/>
      </c>
      <c r="G3078">
        <f>Skills!G3*IF(Skills!H3&gt;0,INT(IF(Inputs!$B$38="pvp",MIN(Skills!I3,15),Skills!I3)/Skills!H3+0.000000001),1)</f>
        <v/>
      </c>
      <c r="H3078">
        <f>1-(1-Skills!J3/100)^Skills!K3</f>
        <v/>
      </c>
      <c r="I3078" t="inlineStr">
        <is>
          <t>1</t>
        </is>
      </c>
      <c r="J3078">
        <f>((Inputs!$B$6*(1+Inputs!$B$7/100))+(((Inputs!$B$12*(1+Inputs!$B$13/100))-(Inputs!$B$12*(1+Inputs!$B$13/100)))+0.25*(Inputs!$B$14-Inputs!$B$14))*(1+Inputs!$B$7/100))*(F3078/100)</f>
        <v/>
      </c>
      <c r="K3078">
        <f>J3078*(1+((Inputs!$B$12*(1+Inputs!$B$13/100))*0.01+Inputs!$B$14*0.0025)/100)*(1+Inputs!$B$15/100)*(1+Inputs!$B$16/100)*(5000/(6000+Inputs!$B$42*(1-(100*(1-(1-(Inputs!$B$19+0)/100)*(1-CHOOSE(ArtifactsInput!$N$40+1,5,6,7,8,9,10)/100)^(ArtifactsInput!$M$40-ArtifactsInput!$M$40)))/100)))*(1+(Inputs!$B$24+((C3101=TRUE)*(F3101-Calc!F26))+B3112)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3090=TRUE,F3090,0)/100)*(1+(IF(Skills!A3="EIGHT_LEGS_EASTON",Inputs!$B$17+((C3098=TRUE)*(F3098-Calc!F23))+((C3102=TRUE)*(F3102-Calc!F27))+((IF(AND(Inputs!$B$38&lt;&gt;"pvp",Inputs!$B$43=0),1,IF(IF(Inputs!$B$38="pvp",15,Inputs!$B$43)-(B3113)&lt;=0,1,MAX(0,IF(Inputs!$B$38="pvp",15,Inputs!$B$43)-MAX(5,B3113))/(IF(Inputs!$B$38="pvp",15,Inputs!$B$43)-(B3113))))*(IF(AND(ArtifactsInput!$M$42,((Inputs!$B$9+((C3094=TRUE)*(F3094-Calc!F19))+B3106+(ArtifactsInput!$M$24-ArtifactsInput!$M$24)*CHOOSE(ArtifactsInput!$N$24+1,10,12,14,16,18,20)+IF(ArtifactsInput!$M$10,CHOOSE(ArtifactsInput!$N$10+1,15,18,21,24,27,30)*(IF(Inputs!$B$38="pvp",MIN(15,15)/15,IF(AND(Inputs!$B$38&lt;&gt;"pvp",Inputs!$B$43&gt;0),MIN(15,Inputs!$B$43)/(Inputs!$B$43),0))),0)))&gt;=100),MIN(100,((Inputs!$B$9+((C3094=TRUE)*(F3094-Calc!F19))+B3106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3113)&lt;=0,1,MAX(0,IF(Inputs!$B$38="pvp",15,Inputs!$B$43)-MAX(5,B3113))/(IF(Inputs!$B$38="pvp",15,Inputs!$B$43)-(B3113))))*IF(AND(ArtifactsInput!$M$42,((Inputs!$B$9+((C3094=TRUE)*(F3094-Calc!F19))+B3106+(ArtifactsInput!$M$24-ArtifactsInput!$M$24)*CHOOSE(ArtifactsInput!$N$24+1,10,12,14,16,18,20)+IF(ArtifactsInput!$M$10,CHOOSE(ArtifactsInput!$N$10+1,15,18,21,24,27,30)*(IF(Inputs!$B$38="pvp",MIN(15,15)/15,IF(AND(Inputs!$B$38&lt;&gt;"pvp",Inputs!$B$43&gt;0),MIN(15,Inputs!$B$43)/(Inputs!$B$43),0))),0)))&gt;=100),CHOOSE(ArtifactsInput!$N$42+1,40,48,56,64,72,80),0))))/100)*((1+(((C3092=TRUE)*F3092*5/7)+((C3099=TRUE)*(F3099-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3078)</f>
        <v/>
      </c>
      <c r="L3078">
        <f>K3078*(MIN(Inputs!$B$22+((C3097=TRUE)*(F3097-Calc!F22)),(Inputs!$B$23+0+(IF(ArtifactsInput!$M$15,CHOOSE(ArtifactsInput!$N$15+1,25,30,35,40,45,50)/100*(Inputs!$B$11-Inputs!$B$11),0))))/100+(Inputs!$B$23+0+(IF(ArtifactsInput!$M$15,CHOOSE(ArtifactsInput!$N$15+1,25,30,35,40,45,50)/100*(Inputs!$B$11-Inputs!$B$11),0)))/100)/2</f>
        <v/>
      </c>
      <c r="M3078">
        <f>L3078*(1+(Inputs!$B$10+((C3100=TRUE)*(F3100-Calc!F25))+B3111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78">
        <f>L3078*(1-MIN((Inputs!$B$9+((C3094=TRUE)*(F3094-Calc!F19))+B3106+(ArtifactsInput!$M$24-ArtifactsInput!$M$24)*CHOOSE(ArtifactsInput!$N$24+1,10,12,14,16,18,20)+(IF(AND(Inputs!$B$38&lt;&gt;"pvp",Inputs!$B$43=0),1,IF(IF(Inputs!$B$38="pvp",15,Inputs!$B$43)-(B3113)&lt;=0,1,MAX(0,IF(Inputs!$B$38="pvp",15,Inputs!$B$43)-MAX(5,B3113))/(IF(Inputs!$B$38="pvp",15,Inputs!$B$43)-(B3113))))*IF(AND(ArtifactsInput!$M$42,((Inputs!$B$9+((C3094=TRUE)*(F3094-Calc!F19))+B3106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3078*(MIN((Inputs!$B$9+((C3094=TRUE)*(F3094-Calc!F19))+B3106+(ArtifactsInput!$M$24-ArtifactsInput!$M$24)*CHOOSE(ArtifactsInput!$N$24+1,10,12,14,16,18,20)+(IF(AND(Inputs!$B$38&lt;&gt;"pvp",Inputs!$B$43=0),1,IF(IF(Inputs!$B$38="pvp",15,Inputs!$B$43)-(B3113)&lt;=0,1,MAX(0,IF(Inputs!$B$38="pvp",15,Inputs!$B$43)-MAX(5,B3113))/(IF(Inputs!$B$38="pvp",15,Inputs!$B$43)-(B3113))))*IF(AND(ArtifactsInput!$M$42,((Inputs!$B$9+((C3094=TRUE)*(F3094-Calc!F19))+B3106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78">
        <f>(1-Summary!$B$11)*T3078+Summary!$B$11*V3078</f>
        <v/>
      </c>
      <c r="P3078">
        <f>IF(B3116=0,0,O3078/B3116)</f>
        <v/>
      </c>
      <c r="Q3078">
        <f>IFERROR(1/(IF(Inputs!$B$38="pvp",15,MAX(0.1,Skills!D3-IF(TRUE=TRUE,2.0,0)))*(1-IF(AND(ArtifactsInput!$M$27,Inputs!$B$4="Chapter Hunt"),CHOOSE(ArtifactsInput!$N$27+1,20,24,28,32,36,40),0)/100)),0)</f>
        <v/>
      </c>
      <c r="R3078">
        <f>IF(AND(Inputs!$B$38&lt;&gt;"pvp",Inputs!$B$43&gt;0),IF(MAX(0,Inputs!$B$43-B3113)&lt;=0,0,(INT(MAX(0,Inputs!$B$43-B3113)/(IF(Inputs!$B$38="pvp",15,MAX(0.1,Skills!D3-IF(TRUE=TRUE,2.0,0)))*(1-IF(AND(ArtifactsInput!$M$27,Inputs!$B$4="Chapter Hunt"),CHOOSE(ArtifactsInput!$N$27+1,20,24,28,32,36,40),0)/100)))+1)),0)</f>
        <v/>
      </c>
      <c r="S3078">
        <f>IFERROR(O3078/N3078,0)</f>
        <v/>
      </c>
      <c r="T3078">
        <f>IF(C3078,(H3078*N3078*IF(AND(Inputs!$B$38&lt;&gt;"pvp",Inputs!$B$43&gt;0),((Skills!G3*((R3078-1)*IF(Skills!H3&gt;0,INT(Skills!I3/Skills!H3+0.000000001),1)+IF(Skills!H3&gt;0,INT(MIN(Skills!I3,MAX(0,MAX(0,Inputs!$B$43-B3113)-((R3078-1)*(IF(Inputs!$B$38="pvp",15,MAX(0.1,Skills!D3-IF(TRUE=TRUE,2.0,0)))*(1-IF(AND(ArtifactsInput!$M$27,Inputs!$B$4="Chapter Hunt"),CHOOSE(ArtifactsInput!$N$27+1,20,24,28,32,36,40),0)/100)))))/Skills!H3+0.000000001),1)))/Inputs!$B$43),G3078*Q3078))*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Hunt"),CHOOSE(ArtifactsInput!$N$35+1,15,18,21,24,27,30)*(1-EXP(-(0.2*B3108)*5)),0)+IF(AND(ArtifactsInput!$M$22,Inputs!$B$4&lt;&gt;"Chapter Hunt"),CHOOSE(ArtifactsInput!$N$22+1,10,12,14,16,18,20)*((0*(((0.15*B3108*5))^0/1)+1*(((0.15*B3108*5))^1/1)+2*(((0.15*B3108*5))^2/2)+3*(((0.15*B3108*5))^3/6)+4*(((0.15*B3108*5))^4/24)+5*(((0.15*B3108*5))^5/120))/((((0.15*B3108*5))^0/1)+(((0.15*B3108*5))^1/1)+(((0.15*B3108*5))^2/2)+(((0.15*B3108*5))^3/6)+(((0.15*B3108*5))^4/24)+(((0.15*B3108*5))^5/120))),0))+IF(Inputs!$B$3&gt;=54,9*(C3078=TRUE)*MIN(1,8*(1+Inputs!$B$34/100)*Q3078)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3078*(1-MIN(100,(Inputs!$B$9+((C3094=TRUE)*(F3094-Calc!F19))+B3106+(ArtifactsInput!$M$24-ArtifactsInput!$M$24)*CHOOSE(ArtifactsInput!$N$24+1,10,12,14,16,18,20)+(IF(AND(Inputs!$B$38&lt;&gt;"pvp",Inputs!$B$43=0),1,IF(IF(Inputs!$B$38="pvp",15,Inputs!$B$43)-(B3113)&lt;=0,1,MAX(0,IF(Inputs!$B$38="pvp",15,Inputs!$B$43)-MAX(5,B3113))/(IF(Inputs!$B$38="pvp",15,Inputs!$B$43)-(B3113))))*IF(AND(ArtifactsInput!$M$42,((Inputs!$B$9+((C3094=TRUE)*(F3094-Calc!F19))+B3106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3078*(MIN(100,(Inputs!$B$9+((C3094=TRUE)*(F3094-Calc!F19))+B3106+(ArtifactsInput!$M$24-ArtifactsInput!$M$24)*CHOOSE(ArtifactsInput!$N$24+1,10,12,14,16,18,20)+(IF(AND(Inputs!$B$38&lt;&gt;"pvp",Inputs!$B$43=0),1,IF(IF(Inputs!$B$38="pvp",15,Inputs!$B$43)-(B3113)&lt;=0,1,MAX(0,IF(Inputs!$B$38="pvp",15,Inputs!$B$43)-MAX(5,B3113))/(IF(Inputs!$B$38="pvp",15,Inputs!$B$43)-(B3113))))*IF(AND(ArtifactsInput!$M$42,((Inputs!$B$9+((C3094=TRUE)*(F3094-Calc!F19))+B3106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3078*(1-MIN(100,(Inputs!$B$9+((C3094=TRUE)*(F3094-Calc!F19))+B3106+(ArtifactsInput!$M$24-ArtifactsInput!$M$24)*CHOOSE(ArtifactsInput!$N$24+1,10,12,14,16,18,20)+(IF(AND(Inputs!$B$38&lt;&gt;"pvp",Inputs!$B$43=0),1,IF(IF(Inputs!$B$38="pvp",15,Inputs!$B$43)-(B3113)&lt;=0,1,MAX(0,IF(Inputs!$B$38="pvp",15,Inputs!$B$43)-MAX(5,B3113))/(IF(Inputs!$B$38="pvp",15,Inputs!$B$43)-(B3113))))*IF(AND(ArtifactsInput!$M$42,((Inputs!$B$9+((C3094=TRUE)*(F3094-Calc!F19))+B3106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3078*(MIN(100,(Inputs!$B$9+((C3094=TRUE)*(F3094-Calc!F19))+B3106+(ArtifactsInput!$M$24-ArtifactsInput!$M$24)*CHOOSE(ArtifactsInput!$N$24+1,10,12,14,16,18,20)+(IF(AND(Inputs!$B$38&lt;&gt;"pvp",Inputs!$B$43=0),1,IF(IF(Inputs!$B$38="pvp",15,Inputs!$B$43)-(B3113)&lt;=0,1,MAX(0,IF(Inputs!$B$38="pvp",15,Inputs!$B$43)-MAX(5,B3113))/(IF(Inputs!$B$38="pvp",15,Inputs!$B$43)-(B3113))))*IF(AND(ArtifactsInput!$M$42,((Inputs!$B$9+((C3094=TRUE)*(F3094-Calc!F19))+B3106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078">
        <f>INDEX(FactorTable!$B$2:$Y$301, MATCH(ROUND(MIN(300,MAX(1,U3077)),0), FactorTable!$A$2:$A$301,0), 22)</f>
        <v/>
      </c>
      <c r="V3078">
        <f>IF(C3078,(H3078*N3078*IF(AND(Inputs!$B$38&lt;&gt;"pvp",Inputs!$B$43&gt;0),((Skills!G3*((R3078-1)*IF(Skills!H3&gt;0,INT(Skills!I3/Skills!H3+0.000000001),1)+IF(Skills!H3&gt;0,INT(MIN(Skills!I3,MAX(0,MAX(0,Inputs!$B$43-B3113)-((R3078-1)*(IF(Inputs!$B$38="pvp",15,MAX(0.1,Skills!D3-IF(TRUE=TRUE,2.0,0)))*(1-IF(AND(ArtifactsInput!$M$27,Inputs!$B$4="Chapter Hunt"),CHOOSE(ArtifactsInput!$N$27+1,20,24,28,32,36,40),0)/100)))))/Skills!H3+0.000000001),1)))/Inputs!$B$43),G3078*Q3078))*IF(Inputs!$B$38="pvp",1,(1+(Inputs!$B$21+Skills!Q3+(IF(ArtifactsInput!$M$33,CHOOSE(ArtifactsInput!$N$33+1,30,36,42,48,54,60),0))+(IF(AND(ArtifactsInput!$M$35,Inputs!$B$4&lt;&gt;"Chapter Hunt"),CHOOSE(ArtifactsInput!$N$35+1,15,18,21,24,27,30)*(1-EXP(-(0.2*B3108)*5)),0)+IF(AND(ArtifactsInput!$M$22,Inputs!$B$4&lt;&gt;"Chapter Hunt"),CHOOSE(ArtifactsInput!$N$22+1,10,12,14,16,18,20)*((0*(((0.15*B3108*5))^0/1)+1*(((0.15*B3108*5))^1/1)+2*(((0.15*B3108*5))^2/2)+3*(((0.15*B3108*5))^3/6)+4*(((0.15*B3108*5))^4/24)+5*(((0.15*B3108*5))^5/120))/((((0.15*B3108*5))^0/1)+(((0.15*B3108*5))^1/1)+(((0.15*B3108*5))^2/2)+(((0.15*B3108*5))^3/6)+(((0.15*B3108*5))^4/24)+(((0.15*B3108*5))^5/120))),0))+IF(Inputs!$B$3&gt;=54,9*(C3078=TRUE)*MIN(1,8*(1+Inputs!$B$34/100)*Q3078),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79">
      <c r="A3079">
        <f>Skills!A4</f>
        <v/>
      </c>
      <c r="B3079">
        <f>Skills!B4</f>
        <v/>
      </c>
      <c r="C3079">
        <f>Inputs!$B$3&gt;=35</f>
        <v/>
      </c>
      <c r="D3079">
        <f>IF(Skills!C4=1,60+Inputs!$B$25+Inputs!$B$29,IF(Skills!C4=2,90+Inputs!$B$26+Inputs!$B$29,IF(Skills!C4=3,120+Inputs!$B$27+Inputs!$B$29,MAX(0,(Inputs!$B$3-100)*3)+Inputs!$B$28+Inputs!$B$29)))</f>
        <v/>
      </c>
      <c r="E3079">
        <f>INDEX(FactorTable!$B$2:$Y$301, MATCH(ROUND(MIN(300,MAX(1,D3079)),0), FactorTable!$A$2:$A$301,0), Skills!M4+1)</f>
        <v/>
      </c>
      <c r="F3079">
        <f>IF(Skills!N4=TRUE,(Skills!L4/10)*(E3079/1000),Skills!L4/10)+Skills!O4</f>
        <v/>
      </c>
      <c r="G3079">
        <f>Skills!G4*IF(Skills!H4&gt;0,INT(IF(Inputs!$B$38="pvp",MIN(IF(Inputs!$B$3&gt;=104,MIN(35,20*(1+Inputs!$B$34/100)),20),15),IF(Inputs!$B$3&gt;=104,MIN(35,20*(1+Inputs!$B$34/100)),20))/Skills!H4+0.000000001),1)</f>
        <v/>
      </c>
      <c r="H3079">
        <f>1-(1-Skills!J4/100)^Skills!K4</f>
        <v/>
      </c>
      <c r="I3079" t="inlineStr">
        <is>
          <t>1</t>
        </is>
      </c>
      <c r="J3079">
        <f>((Inputs!$B$6*(1+Inputs!$B$7/100))+(((Inputs!$B$12*(1+Inputs!$B$13/100))-(Inputs!$B$12*(1+Inputs!$B$13/100)))+0.25*(Inputs!$B$14-Inputs!$B$14))*(1+Inputs!$B$7/100))*(F3079/100)</f>
        <v/>
      </c>
      <c r="K3079">
        <f>J3079*(1+((Inputs!$B$12*(1+Inputs!$B$13/100))*0.01+Inputs!$B$14*0.0025)/100)*(1+Inputs!$B$15/100)*(1+Inputs!$B$16/100)*(5000/(6000+Inputs!$B$42*(1-(100*(1-(1-(Inputs!$B$19+0)/100)*(1-CHOOSE(ArtifactsInput!$N$40+1,5,6,7,8,9,10)/100)^(ArtifactsInput!$M$40-ArtifactsInput!$M$40)))/100)))*(1+(Inputs!$B$24+((C3101=TRUE)*(F3101-Calc!F26))+B3112)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3091=TRUE,F3091,0)/100)*(1+(IF(Skills!A4="EIGHT_LEGS_EASTON",Inputs!$B$17+((C3098=TRUE)*(F3098-Calc!F23))+((C3102=TRUE)*(F3102-Calc!F27))+((IF(AND(Inputs!$B$38&lt;&gt;"pvp",Inputs!$B$43=0),1,IF(IF(Inputs!$B$38="pvp",15,Inputs!$B$43)-(B3113)&lt;=0,1,MAX(0,IF(Inputs!$B$38="pvp",15,Inputs!$B$43)-MAX(5,B3113))/(IF(Inputs!$B$38="pvp",15,Inputs!$B$43)-(B3113))))*(IF(AND(ArtifactsInput!$M$42,((Inputs!$B$9+((C3094=TRUE)*(F3094-Calc!F19))+B3106+(ArtifactsInput!$M$24-ArtifactsInput!$M$24)*CHOOSE(ArtifactsInput!$N$24+1,10,12,14,16,18,20)+IF(ArtifactsInput!$M$10,CHOOSE(ArtifactsInput!$N$10+1,15,18,21,24,27,30)*(IF(Inputs!$B$38="pvp",MIN(15,15)/15,IF(AND(Inputs!$B$38&lt;&gt;"pvp",Inputs!$B$43&gt;0),MIN(15,Inputs!$B$43)/(Inputs!$B$43),0))),0)))&gt;=100),MIN(100,((Inputs!$B$9+((C3094=TRUE)*(F3094-Calc!F19))+B3106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3113)&lt;=0,1,MAX(0,IF(Inputs!$B$38="pvp",15,Inputs!$B$43)-MAX(5,B3113))/(IF(Inputs!$B$38="pvp",15,Inputs!$B$43)-(B3113))))*IF(AND(ArtifactsInput!$M$42,((Inputs!$B$9+((C3094=TRUE)*(F3094-Calc!F19))+B3106+(ArtifactsInput!$M$24-ArtifactsInput!$M$24)*CHOOSE(ArtifactsInput!$N$24+1,10,12,14,16,18,20)+IF(ArtifactsInput!$M$10,CHOOSE(ArtifactsInput!$N$10+1,15,18,21,24,27,30)*(IF(Inputs!$B$38="pvp",MIN(15,15)/15,IF(AND(Inputs!$B$38&lt;&gt;"pvp",Inputs!$B$43&gt;0),MIN(15,Inputs!$B$43)/(Inputs!$B$43),0))),0)))&gt;=100),CHOOSE(ArtifactsInput!$N$42+1,40,48,56,64,72,80),0))))/100)*((1+(((C3092=TRUE)*F3092*5/7)+((C3099=TRUE)*(F3099-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3079)</f>
        <v/>
      </c>
      <c r="L3079">
        <f>K3079*(MIN(Inputs!$B$22+((C3097=TRUE)*(F3097-Calc!F22)),(Inputs!$B$23+0+(IF(ArtifactsInput!$M$15,CHOOSE(ArtifactsInput!$N$15+1,25,30,35,40,45,50)/100*(Inputs!$B$11-Inputs!$B$11),0))))/100+(Inputs!$B$23+0+(IF(ArtifactsInput!$M$15,CHOOSE(ArtifactsInput!$N$15+1,25,30,35,40,45,50)/100*(Inputs!$B$11-Inputs!$B$11),0)))/100)/2</f>
        <v/>
      </c>
      <c r="M3079">
        <f>L3079*(1+(Inputs!$B$10+((C3100=TRUE)*(F3100-Calc!F25))+B3111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79">
        <f>L3079*(1-MIN((Inputs!$B$9+((C3094=TRUE)*(F3094-Calc!F19))+B3106+(ArtifactsInput!$M$24-ArtifactsInput!$M$24)*CHOOSE(ArtifactsInput!$N$24+1,10,12,14,16,18,20)+(IF(AND(Inputs!$B$38&lt;&gt;"pvp",Inputs!$B$43=0),1,IF(IF(Inputs!$B$38="pvp",15,Inputs!$B$43)-(B3113)&lt;=0,1,MAX(0,IF(Inputs!$B$38="pvp",15,Inputs!$B$43)-MAX(5,B3113))/(IF(Inputs!$B$38="pvp",15,Inputs!$B$43)-(B3113))))*IF(AND(ArtifactsInput!$M$42,((Inputs!$B$9+((C3094=TRUE)*(F3094-Calc!F19))+B3106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3079*(MIN((Inputs!$B$9+((C3094=TRUE)*(F3094-Calc!F19))+B3106+(ArtifactsInput!$M$24-ArtifactsInput!$M$24)*CHOOSE(ArtifactsInput!$N$24+1,10,12,14,16,18,20)+(IF(AND(Inputs!$B$38&lt;&gt;"pvp",Inputs!$B$43=0),1,IF(IF(Inputs!$B$38="pvp",15,Inputs!$B$43)-(B3113)&lt;=0,1,MAX(0,IF(Inputs!$B$38="pvp",15,Inputs!$B$43)-MAX(5,B3113))/(IF(Inputs!$B$38="pvp",15,Inputs!$B$43)-(B3113))))*IF(AND(ArtifactsInput!$M$42,((Inputs!$B$9+((C3094=TRUE)*(F3094-Calc!F19))+B3106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79">
        <f>(1-Summary!$B$11)*T3079+Summary!$B$11*V3079</f>
        <v/>
      </c>
      <c r="P3079">
        <f>IF(B3116=0,0,O3079/B3116)</f>
        <v/>
      </c>
      <c r="Q3079">
        <f>IFERROR(1/(IF(Inputs!$B$38="pvp",15,MAX(0.1,Skills!D4-IF(TRUE=TRUE,2.0,0)))*(1-IF(AND(ArtifactsInput!$M$27,Inputs!$B$4="Chapter Hunt"),CHOOSE(ArtifactsInput!$N$27+1,20,24,28,32,36,40),0)/100)),0)</f>
        <v/>
      </c>
      <c r="R3079">
        <f>IF(AND(Inputs!$B$38&lt;&gt;"pvp",Inputs!$B$43&gt;0),IF(MAX(0,Inputs!$B$43-B3113)&lt;=0,0,(INT(MAX(0,Inputs!$B$43-B3113)/(IF(Inputs!$B$38="pvp",15,MAX(0.1,Skills!D4-IF(TRUE=TRUE,2.0,0)))*(1-IF(AND(ArtifactsInput!$M$27,Inputs!$B$4="Chapter Hunt"),CHOOSE(ArtifactsInput!$N$27+1,20,24,28,32,36,40),0)/100)))+1)),0)</f>
        <v/>
      </c>
      <c r="S3079">
        <f>IFERROR(O3079/N3079,0)</f>
        <v/>
      </c>
      <c r="T3079">
        <f>IF(C3079,(H3079*N3079*IF(AND(Inputs!$B$38&lt;&gt;"pvp",Inputs!$B$43&gt;0),((Skills!G4*((R3079-1)*IF(Skills!H4&gt;0,INT(IF(Inputs!$B$3&gt;=104,MIN(35,20*(1+Inputs!$B$34/100)),20)/Skills!H4+0.000000001),1)+IF(Skills!H4&gt;0,INT(MIN(IF(Inputs!$B$3&gt;=104,MIN(35,20*(1+Inputs!$B$34/100)),20),MAX(0,MAX(0,Inputs!$B$43-B3113)-((R3079-1)*(IF(Inputs!$B$38="pvp",15,MAX(0.1,Skills!D4-IF(TRUE=TRUE,2.0,0)))*(1-IF(AND(ArtifactsInput!$M$27,Inputs!$B$4="Chapter Hunt"),CHOOSE(ArtifactsInput!$N$27+1,20,24,28,32,36,40),0)/100)))))/Skills!H4+0.000000001),1)))/Inputs!$B$43),G3079*Q3079))*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Hunt"),CHOOSE(ArtifactsInput!$N$35+1,15,18,21,24,27,30)*(1-EXP(-(0.2*B3108)*5)),0)+IF(AND(ArtifactsInput!$M$22,Inputs!$B$4&lt;&gt;"Chapter Hunt"),CHOOSE(ArtifactsInput!$N$22+1,10,12,14,16,18,20)*((0*(((0.15*B3108*5))^0/1)+1*(((0.15*B3108*5))^1/1)+2*(((0.15*B3108*5))^2/2)+3*(((0.15*B3108*5))^3/6)+4*(((0.15*B3108*5))^4/24)+5*(((0.15*B3108*5))^5/120))/((((0.15*B3108*5))^0/1)+(((0.15*B3108*5))^1/1)+(((0.15*B3108*5))^2/2)+(((0.15*B3108*5))^3/6)+(((0.15*B3108*5))^4/24)+(((0.15*B3108*5))^5/120))),0))+IF(Inputs!$B$3&gt;=54,9*(C3078=TRUE)*MIN(1,8*(1+Inputs!$B$34/100)*Q3078)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3079*(1-MIN(100,(Inputs!$B$9+((C3094=TRUE)*(F3094-Calc!F19))+B3106+(ArtifactsInput!$M$24-ArtifactsInput!$M$24)*CHOOSE(ArtifactsInput!$N$24+1,10,12,14,16,18,20)+(IF(AND(Inputs!$B$38&lt;&gt;"pvp",Inputs!$B$43=0),1,IF(IF(Inputs!$B$38="pvp",15,Inputs!$B$43)-(B3113)&lt;=0,1,MAX(0,IF(Inputs!$B$38="pvp",15,Inputs!$B$43)-MAX(5,B3113))/(IF(Inputs!$B$38="pvp",15,Inputs!$B$43)-(B3113))))*IF(AND(ArtifactsInput!$M$42,((Inputs!$B$9+((C3094=TRUE)*(F3094-Calc!F19))+B3106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3079*(MIN(100,(Inputs!$B$9+((C3094=TRUE)*(F3094-Calc!F19))+B3106+(ArtifactsInput!$M$24-ArtifactsInput!$M$24)*CHOOSE(ArtifactsInput!$N$24+1,10,12,14,16,18,20)+(IF(AND(Inputs!$B$38&lt;&gt;"pvp",Inputs!$B$43=0),1,IF(IF(Inputs!$B$38="pvp",15,Inputs!$B$43)-(B3113)&lt;=0,1,MAX(0,IF(Inputs!$B$38="pvp",15,Inputs!$B$43)-MAX(5,B3113))/(IF(Inputs!$B$38="pvp",15,Inputs!$B$43)-(B3113))))*IF(AND(ArtifactsInput!$M$42,((Inputs!$B$9+((C3094=TRUE)*(F3094-Calc!F19))+B3106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3079*(1-MIN(100,(Inputs!$B$9+((C3094=TRUE)*(F3094-Calc!F19))+B3106+(ArtifactsInput!$M$24-ArtifactsInput!$M$24)*CHOOSE(ArtifactsInput!$N$24+1,10,12,14,16,18,20)+(IF(AND(Inputs!$B$38&lt;&gt;"pvp",Inputs!$B$43=0),1,IF(IF(Inputs!$B$38="pvp",15,Inputs!$B$43)-(B3113)&lt;=0,1,MAX(0,IF(Inputs!$B$38="pvp",15,Inputs!$B$43)-MAX(5,B3113))/(IF(Inputs!$B$38="pvp",15,Inputs!$B$43)-(B3113))))*IF(AND(ArtifactsInput!$M$42,((Inputs!$B$9+((C3094=TRUE)*(F3094-Calc!F19))+B3106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3079*(MIN(100,(Inputs!$B$9+((C3094=TRUE)*(F3094-Calc!F19))+B3106+(ArtifactsInput!$M$24-ArtifactsInput!$M$24)*CHOOSE(ArtifactsInput!$N$24+1,10,12,14,16,18,20)+(IF(AND(Inputs!$B$38&lt;&gt;"pvp",Inputs!$B$43=0),1,IF(IF(Inputs!$B$38="pvp",15,Inputs!$B$43)-(B3113)&lt;=0,1,MAX(0,IF(Inputs!$B$38="pvp",15,Inputs!$B$43)-MAX(5,B3113))/(IF(Inputs!$B$38="pvp",15,Inputs!$B$43)-(B3113))))*IF(AND(ArtifactsInput!$M$42,((Inputs!$B$9+((C3094=TRUE)*(F3094-Calc!F19))+B3106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079">
        <f>290*U3078/1000</f>
        <v/>
      </c>
      <c r="V3079">
        <f>IF(C3079,(H3079*N3079*IF(AND(Inputs!$B$38&lt;&gt;"pvp",Inputs!$B$43&gt;0),((Skills!G4*((R3079-1)*IF(Skills!H4&gt;0,INT(IF(Inputs!$B$3&gt;=104,MIN(35,20*(1+Inputs!$B$34/100)),20)/Skills!H4+0.000000001),1)+IF(Skills!H4&gt;0,INT(MIN(IF(Inputs!$B$3&gt;=104,MIN(35,20*(1+Inputs!$B$34/100)),20),MAX(0,MAX(0,Inputs!$B$43-B3113)-((R3079-1)*(IF(Inputs!$B$38="pvp",15,MAX(0.1,Skills!D4-IF(TRUE=TRUE,2.0,0)))*(1-IF(AND(ArtifactsInput!$M$27,Inputs!$B$4="Chapter Hunt"),CHOOSE(ArtifactsInput!$N$27+1,20,24,28,32,36,40),0)/100)))))/Skills!H4+0.000000001),1)))/Inputs!$B$43),G3079*Q3079))*IF(Inputs!$B$38="pvp",1,(1+(Inputs!$B$21+Skills!Q4+(IF(ArtifactsInput!$M$33,CHOOSE(ArtifactsInput!$N$33+1,30,36,42,48,54,60),0))+(IF(AND(ArtifactsInput!$M$35,Inputs!$B$4&lt;&gt;"Chapter Hunt"),CHOOSE(ArtifactsInput!$N$35+1,15,18,21,24,27,30)*(1-EXP(-(0.2*B3108)*5)),0)+IF(AND(ArtifactsInput!$M$22,Inputs!$B$4&lt;&gt;"Chapter Hunt"),CHOOSE(ArtifactsInput!$N$22+1,10,12,14,16,18,20)*((0*(((0.15*B3108*5))^0/1)+1*(((0.15*B3108*5))^1/1)+2*(((0.15*B3108*5))^2/2)+3*(((0.15*B3108*5))^3/6)+4*(((0.15*B3108*5))^4/24)+5*(((0.15*B3108*5))^5/120))/((((0.15*B3108*5))^0/1)+(((0.15*B3108*5))^1/1)+(((0.15*B3108*5))^2/2)+(((0.15*B3108*5))^3/6)+(((0.15*B3108*5))^4/24)+(((0.15*B3108*5))^5/120))),0))+IF(Inputs!$B$3&gt;=54,9*(C3078=TRUE)*MIN(1,8*(1+Inputs!$B$34/100)*Q3078),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80">
      <c r="A3080">
        <f>Skills!A5</f>
        <v/>
      </c>
      <c r="B3080">
        <f>Skills!B5</f>
        <v/>
      </c>
      <c r="C3080">
        <f>Inputs!$B$3&gt;=69</f>
        <v/>
      </c>
      <c r="D3080">
        <f>IF(Skills!C5=1,60+Inputs!$B$25+Inputs!$B$29,IF(Skills!C5=2,90+Inputs!$B$26+Inputs!$B$29,IF(Skills!C5=3,120+Inputs!$B$27+Inputs!$B$29,MAX(0,(Inputs!$B$3-100)*3)+Inputs!$B$28+Inputs!$B$29)))</f>
        <v/>
      </c>
      <c r="E3080">
        <f>INDEX(FactorTable!$B$2:$Y$301, MATCH(ROUND(MIN(300,MAX(1,D3080)),0), FactorTable!$A$2:$A$301,0), Skills!M5+1)</f>
        <v/>
      </c>
      <c r="F3080">
        <f>IF(Skills!N5=TRUE,(Skills!L5/10)*(E3080/1000),Skills!L5/10)+Skills!O5</f>
        <v/>
      </c>
      <c r="G3080">
        <f>Skills!G5*IF(Skills!H5&gt;0,INT(IF(Inputs!$B$38="pvp",MIN(IF(Inputs!$B$3&gt;=104,MIN(35,20*(1+Inputs!$B$34/100)),20),15),IF(Inputs!$B$3&gt;=104,MIN(35,20*(1+Inputs!$B$34/100)),20))/Skills!H5+0.000000001),1)</f>
        <v/>
      </c>
      <c r="H3080">
        <f>1-(1-Skills!J5/100)^Skills!K5</f>
        <v/>
      </c>
      <c r="I3080" t="inlineStr">
        <is>
          <t>1</t>
        </is>
      </c>
      <c r="J3080">
        <f>((Inputs!$B$6*(1+Inputs!$B$7/100))+(((Inputs!$B$12*(1+Inputs!$B$13/100))-(Inputs!$B$12*(1+Inputs!$B$13/100)))+0.25*(Inputs!$B$14-Inputs!$B$14))*(1+Inputs!$B$7/100))*(F3080/100)</f>
        <v/>
      </c>
      <c r="K3080">
        <f>J3080*(1+((Inputs!$B$12*(1+Inputs!$B$13/100))*0.01+Inputs!$B$14*0.0025)/100)*(1+Inputs!$B$15/100)*(1+Inputs!$B$16/100)*(5000/(6000+Inputs!$B$42*(1-(100*(1-(1-(Inputs!$B$19+0)/100)*(1-CHOOSE(ArtifactsInput!$N$40+1,5,6,7,8,9,10)/100)^(ArtifactsInput!$M$40-ArtifactsInput!$M$40)))/100)))*(1+(Inputs!$B$24+((C3101=TRUE)*(F3101-Calc!F26))+B3112)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+0.4*IF(C3091=TRUE,F3091,0)/100)*(1+(IF(Skills!A5="EIGHT_LEGS_EASTON",Inputs!$B$17+((C3098=TRUE)*(F3098-Calc!F23))+((C3102=TRUE)*(F3102-Calc!F27))+((IF(AND(Inputs!$B$38&lt;&gt;"pvp",Inputs!$B$43=0),1,IF(IF(Inputs!$B$38="pvp",15,Inputs!$B$43)-(B3113)&lt;=0,1,MAX(0,IF(Inputs!$B$38="pvp",15,Inputs!$B$43)-MAX(5,B3113))/(IF(Inputs!$B$38="pvp",15,Inputs!$B$43)-(B3113))))*(IF(AND(ArtifactsInput!$M$42,((Inputs!$B$9+((C3094=TRUE)*(F3094-Calc!F19))+B3106+(ArtifactsInput!$M$24-ArtifactsInput!$M$24)*CHOOSE(ArtifactsInput!$N$24+1,10,12,14,16,18,20)+IF(ArtifactsInput!$M$10,CHOOSE(ArtifactsInput!$N$10+1,15,18,21,24,27,30)*(IF(Inputs!$B$38="pvp",MIN(15,15)/15,IF(AND(Inputs!$B$38&lt;&gt;"pvp",Inputs!$B$43&gt;0),MIN(15,Inputs!$B$43)/(Inputs!$B$43),0))),0)))&gt;=100),MIN(100,((Inputs!$B$9+((C3094=TRUE)*(F3094-Calc!F19))+B3106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3113)&lt;=0,1,MAX(0,IF(Inputs!$B$38="pvp",15,Inputs!$B$43)-MAX(5,B3113))/(IF(Inputs!$B$38="pvp",15,Inputs!$B$43)-(B3113))))*IF(AND(ArtifactsInput!$M$42,((Inputs!$B$9+((C3094=TRUE)*(F3094-Calc!F19))+B3106+(ArtifactsInput!$M$24-ArtifactsInput!$M$24)*CHOOSE(ArtifactsInput!$N$24+1,10,12,14,16,18,20)+IF(ArtifactsInput!$M$10,CHOOSE(ArtifactsInput!$N$10+1,15,18,21,24,27,30)*(IF(Inputs!$B$38="pvp",MIN(15,15)/15,IF(AND(Inputs!$B$38&lt;&gt;"pvp",Inputs!$B$43&gt;0),MIN(15,Inputs!$B$43)/(Inputs!$B$43),0))),0)))&gt;=100),CHOOSE(ArtifactsInput!$N$42+1,40,48,56,64,72,80),0))))/100)*((1+(((C3092=TRUE)*F3092*5/7)+((C3099=TRUE)*(F3099-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3080)</f>
        <v/>
      </c>
      <c r="L3080">
        <f>K3080*(MIN(Inputs!$B$22+((C3097=TRUE)*(F3097-Calc!F22)),(Inputs!$B$23+0+(IF(ArtifactsInput!$M$15,CHOOSE(ArtifactsInput!$N$15+1,25,30,35,40,45,50)/100*(Inputs!$B$11-Inputs!$B$11),0))))/100+(Inputs!$B$23+0+(IF(ArtifactsInput!$M$15,CHOOSE(ArtifactsInput!$N$15+1,25,30,35,40,45,50)/100*(Inputs!$B$11-Inputs!$B$11),0)))/100)/2</f>
        <v/>
      </c>
      <c r="M3080">
        <f>L3080*(1+(Inputs!$B$10+((C3100=TRUE)*(F3100-Calc!F25))+B3111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80">
        <f>L3080*(1-MIN((Inputs!$B$9+((C3094=TRUE)*(F3094-Calc!F19))+B3106+(ArtifactsInput!$M$24-ArtifactsInput!$M$24)*CHOOSE(ArtifactsInput!$N$24+1,10,12,14,16,18,20)+(IF(AND(Inputs!$B$38&lt;&gt;"pvp",Inputs!$B$43=0),1,IF(IF(Inputs!$B$38="pvp",15,Inputs!$B$43)-(B3113)&lt;=0,1,MAX(0,IF(Inputs!$B$38="pvp",15,Inputs!$B$43)-MAX(5,B3113))/(IF(Inputs!$B$38="pvp",15,Inputs!$B$43)-(B3113))))*IF(AND(ArtifactsInput!$M$42,((Inputs!$B$9+((C3094=TRUE)*(F3094-Calc!F19))+B3106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3080*(MIN((Inputs!$B$9+((C3094=TRUE)*(F3094-Calc!F19))+B3106+(ArtifactsInput!$M$24-ArtifactsInput!$M$24)*CHOOSE(ArtifactsInput!$N$24+1,10,12,14,16,18,20)+(IF(AND(Inputs!$B$38&lt;&gt;"pvp",Inputs!$B$43=0),1,IF(IF(Inputs!$B$38="pvp",15,Inputs!$B$43)-(B3113)&lt;=0,1,MAX(0,IF(Inputs!$B$38="pvp",15,Inputs!$B$43)-MAX(5,B3113))/(IF(Inputs!$B$38="pvp",15,Inputs!$B$43)-(B3113))))*IF(AND(ArtifactsInput!$M$42,((Inputs!$B$9+((C3094=TRUE)*(F3094-Calc!F19))+B3106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80">
        <f>(1-Summary!$B$11)*T3080+Summary!$B$11*V3080</f>
        <v/>
      </c>
      <c r="P3080">
        <f>IF(B3116=0,0,O3080/B3116)</f>
        <v/>
      </c>
      <c r="Q3080">
        <f>IFERROR(1/(IF(Inputs!$B$38="pvp",15,MAX(0.1,Skills!D5-IF(TRUE=TRUE,2.0,0)))*(1-IF(AND(ArtifactsInput!$M$27,Inputs!$B$4="Chapter Hunt"),CHOOSE(ArtifactsInput!$N$27+1,20,24,28,32,36,40),0)/100)),0)</f>
        <v/>
      </c>
      <c r="R3080">
        <f>IF(AND(Inputs!$B$38&lt;&gt;"pvp",Inputs!$B$43&gt;0),IF(MAX(0,Inputs!$B$43-B3113)&lt;=0,0,(INT(MAX(0,Inputs!$B$43-B3113)/(IF(Inputs!$B$38="pvp",15,MAX(0.1,Skills!D5-IF(TRUE=TRUE,2.0,0)))*(1-IF(AND(ArtifactsInput!$M$27,Inputs!$B$4="Chapter Hunt"),CHOOSE(ArtifactsInput!$N$27+1,20,24,28,32,36,40),0)/100)))+1)),0)</f>
        <v/>
      </c>
      <c r="S3080">
        <f>IFERROR(O3080/N3080,0)</f>
        <v/>
      </c>
      <c r="T3080">
        <f>IF(C3080,(H3080*N3080*IF(AND(Inputs!$B$38&lt;&gt;"pvp",Inputs!$B$43&gt;0),((Skills!G5*((R3080-1)*IF(Skills!H5&gt;0,INT(IF(Inputs!$B$3&gt;=104,MIN(35,20*(1+Inputs!$B$34/100)),20)/Skills!H5+0.000000001),1)+IF(Skills!H5&gt;0,INT(MIN(IF(Inputs!$B$3&gt;=104,MIN(35,20*(1+Inputs!$B$34/100)),20),MAX(0,MAX(0,Inputs!$B$43-B3113)-((R3080-1)*(IF(Inputs!$B$38="pvp",15,MAX(0.1,Skills!D5-IF(TRUE=TRUE,2.0,0)))*(1-IF(AND(ArtifactsInput!$M$27,Inputs!$B$4="Chapter Hunt"),CHOOSE(ArtifactsInput!$N$27+1,20,24,28,32,36,40),0)/100)))))/Skills!H5+0.000000001),1)))/Inputs!$B$43),G3080*Q3080))*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Hunt"),CHOOSE(ArtifactsInput!$N$35+1,15,18,21,24,27,30)*(1-EXP(-(0.2*B3108)*5)),0)+IF(AND(ArtifactsInput!$M$22,Inputs!$B$4&lt;&gt;"Chapter Hunt"),CHOOSE(ArtifactsInput!$N$22+1,10,12,14,16,18,20)*((0*(((0.15*B3108*5))^0/1)+1*(((0.15*B3108*5))^1/1)+2*(((0.15*B3108*5))^2/2)+3*(((0.15*B3108*5))^3/6)+4*(((0.15*B3108*5))^4/24)+5*(((0.15*B3108*5))^5/120))/((((0.15*B3108*5))^0/1)+(((0.15*B3108*5))^1/1)+(((0.15*B3108*5))^2/2)+(((0.15*B3108*5))^3/6)+(((0.15*B3108*5))^4/24)+(((0.15*B3108*5))^5/120))),0))+IF(Inputs!$B$3&gt;=54,9*(C3078=TRUE)*MIN(1,8*(1+Inputs!$B$34/100)*Q3078)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3080*(1-MIN(100,(Inputs!$B$9+((C3094=TRUE)*(F3094-Calc!F19))+B3106+(ArtifactsInput!$M$24-ArtifactsInput!$M$24)*CHOOSE(ArtifactsInput!$N$24+1,10,12,14,16,18,20)+(IF(AND(Inputs!$B$38&lt;&gt;"pvp",Inputs!$B$43=0),1,IF(IF(Inputs!$B$38="pvp",15,Inputs!$B$43)-(B3113)&lt;=0,1,MAX(0,IF(Inputs!$B$38="pvp",15,Inputs!$B$43)-MAX(5,B3113))/(IF(Inputs!$B$38="pvp",15,Inputs!$B$43)-(B3113))))*IF(AND(ArtifactsInput!$M$42,((Inputs!$B$9+((C3094=TRUE)*(F3094-Calc!F19))+B3106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3080*(MIN(100,(Inputs!$B$9+((C3094=TRUE)*(F3094-Calc!F19))+B3106+(ArtifactsInput!$M$24-ArtifactsInput!$M$24)*CHOOSE(ArtifactsInput!$N$24+1,10,12,14,16,18,20)+(IF(AND(Inputs!$B$38&lt;&gt;"pvp",Inputs!$B$43=0),1,IF(IF(Inputs!$B$38="pvp",15,Inputs!$B$43)-(B3113)&lt;=0,1,MAX(0,IF(Inputs!$B$38="pvp",15,Inputs!$B$43)-MAX(5,B3113))/(IF(Inputs!$B$38="pvp",15,Inputs!$B$43)-(B3113))))*IF(AND(ArtifactsInput!$M$42,((Inputs!$B$9+((C3094=TRUE)*(F3094-Calc!F19))+B3106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3080*(1-MIN(100,(Inputs!$B$9+((C3094=TRUE)*(F3094-Calc!F19))+B3106+(ArtifactsInput!$M$24-ArtifactsInput!$M$24)*CHOOSE(ArtifactsInput!$N$24+1,10,12,14,16,18,20)+(IF(AND(Inputs!$B$38&lt;&gt;"pvp",Inputs!$B$43=0),1,IF(IF(Inputs!$B$38="pvp",15,Inputs!$B$43)-(B3113)&lt;=0,1,MAX(0,IF(Inputs!$B$38="pvp",15,Inputs!$B$43)-MAX(5,B3113))/(IF(Inputs!$B$38="pvp",15,Inputs!$B$43)-(B3113))))*IF(AND(ArtifactsInput!$M$42,((Inputs!$B$9+((C3094=TRUE)*(F3094-Calc!F19))+B3106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3080*(MIN(100,(Inputs!$B$9+((C3094=TRUE)*(F3094-Calc!F19))+B3106+(ArtifactsInput!$M$24-ArtifactsInput!$M$24)*CHOOSE(ArtifactsInput!$N$24+1,10,12,14,16,18,20)+(IF(AND(Inputs!$B$38&lt;&gt;"pvp",Inputs!$B$43=0),1,IF(IF(Inputs!$B$38="pvp",15,Inputs!$B$43)-(B3113)&lt;=0,1,MAX(0,IF(Inputs!$B$38="pvp",15,Inputs!$B$43)-MAX(5,B3113))/(IF(Inputs!$B$38="pvp",15,Inputs!$B$43)-(B3113))))*IF(AND(ArtifactsInput!$M$42,((Inputs!$B$9+((C3094=TRUE)*(F3094-Calc!F19))+B3106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080">
        <f>IF(C3080,(H3080*N3080*IF(AND(Inputs!$B$38&lt;&gt;"pvp",Inputs!$B$43&gt;0),((Skills!G5*((R3080-1)*IF(Skills!H5&gt;0,INT(IF(Inputs!$B$3&gt;=104,MIN(35,20*(1+Inputs!$B$34/100)),20)/Skills!H5+0.000000001),1)+IF(Skills!H5&gt;0,INT(MIN(IF(Inputs!$B$3&gt;=104,MIN(35,20*(1+Inputs!$B$34/100)),20),MAX(0,MAX(0,Inputs!$B$43-B3113)-((R3080-1)*(IF(Inputs!$B$38="pvp",15,MAX(0.1,Skills!D5-IF(TRUE=TRUE,2.0,0)))*(1-IF(AND(ArtifactsInput!$M$27,Inputs!$B$4="Chapter Hunt"),CHOOSE(ArtifactsInput!$N$27+1,20,24,28,32,36,40),0)/100)))))/Skills!H5+0.000000001),1)))/Inputs!$B$43),G3080*Q3080))*IF(Inputs!$B$38="pvp",1,(1+(Inputs!$B$21+Skills!Q5+(IF(ArtifactsInput!$M$33,CHOOSE(ArtifactsInput!$N$33+1,30,36,42,48,54,60),0))+(IF(AND(ArtifactsInput!$M$35,Inputs!$B$4&lt;&gt;"Chapter Hunt"),CHOOSE(ArtifactsInput!$N$35+1,15,18,21,24,27,30)*(1-EXP(-(0.2*B3108)*5)),0)+IF(AND(ArtifactsInput!$M$22,Inputs!$B$4&lt;&gt;"Chapter Hunt"),CHOOSE(ArtifactsInput!$N$22+1,10,12,14,16,18,20)*((0*(((0.15*B3108*5))^0/1)+1*(((0.15*B3108*5))^1/1)+2*(((0.15*B3108*5))^2/2)+3*(((0.15*B3108*5))^3/6)+4*(((0.15*B3108*5))^4/24)+5*(((0.15*B3108*5))^5/120))/((((0.15*B3108*5))^0/1)+(((0.15*B3108*5))^1/1)+(((0.15*B3108*5))^2/2)+(((0.15*B3108*5))^3/6)+(((0.15*B3108*5))^4/24)+(((0.15*B3108*5))^5/120))),0))+IF(Inputs!$B$3&gt;=54,9*(C3078=TRUE)*MIN(1,8*(1+Inputs!$B$34/100)*Q3078),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81">
      <c r="A3081">
        <f>Skills!A6</f>
        <v/>
      </c>
      <c r="B3081">
        <f>Skills!B6</f>
        <v/>
      </c>
      <c r="C3081">
        <f>Inputs!$B$3&gt;=66</f>
        <v/>
      </c>
      <c r="D3081">
        <f>IF(Skills!C6=1,60+Inputs!$B$25+Inputs!$B$29,IF(Skills!C6=2,90+Inputs!$B$26+Inputs!$B$29,IF(Skills!C6=3,120+Inputs!$B$27+Inputs!$B$29,MAX(0,(Inputs!$B$3-100)*3)+Inputs!$B$28+Inputs!$B$29)))</f>
        <v/>
      </c>
      <c r="E3081">
        <f>INDEX(FactorTable!$B$2:$Y$301, MATCH(ROUND(MIN(300,MAX(1,D3081)),0), FactorTable!$A$2:$A$301,0), Skills!M6+1)</f>
        <v/>
      </c>
      <c r="F3081">
        <f>IF(Skills!N6=TRUE,(Skills!L6/10)*(E3081/1000),Skills!L6/10)+Skills!O6</f>
        <v/>
      </c>
      <c r="G3081">
        <f>Skills!G6*IF(Skills!H6&gt;0,INT(IF(Inputs!$B$38="pvp",MIN(Skills!I6,15),Skills!I6)/Skills!H6+0.000000001),1)</f>
        <v/>
      </c>
      <c r="H3081">
        <f>1-(1-Skills!J6/100)^Skills!K6</f>
        <v/>
      </c>
      <c r="I3081" t="inlineStr">
        <is>
          <t>1</t>
        </is>
      </c>
      <c r="J3081">
        <f>((Inputs!$B$6*(1+Inputs!$B$7/100))+(((Inputs!$B$12*(1+Inputs!$B$13/100))-(Inputs!$B$12*(1+Inputs!$B$13/100)))+0.25*(Inputs!$B$14-Inputs!$B$14))*(1+Inputs!$B$7/100))*(F3081/100)</f>
        <v/>
      </c>
      <c r="K3081">
        <f>J3081*(1+((Inputs!$B$12*(1+Inputs!$B$13/100))*0.01+Inputs!$B$14*0.0025)/100)*(1+Inputs!$B$15/100)*(1+Inputs!$B$16/100)*(5000/(6000+Inputs!$B$42*(1-(100*(1-(1-(Inputs!$B$19+0)/100)*(1-CHOOSE(ArtifactsInput!$N$40+1,5,6,7,8,9,10)/100)^(ArtifactsInput!$M$40-ArtifactsInput!$M$40)))/100)))*(1+(Inputs!$B$24+((C3101=TRUE)*(F3101-Calc!F26))+B3112)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+2.0*IF(C3090=TRUE,F3090,0)/100)*(1+(IF(Skills!A6="EIGHT_LEGS_EASTON",Inputs!$B$17+((C3098=TRUE)*(F3098-Calc!F23))+((C3102=TRUE)*(F3102-Calc!F27))+((IF(AND(Inputs!$B$38&lt;&gt;"pvp",Inputs!$B$43=0),1,IF(IF(Inputs!$B$38="pvp",15,Inputs!$B$43)-(B3113)&lt;=0,1,MAX(0,IF(Inputs!$B$38="pvp",15,Inputs!$B$43)-MAX(5,B3113))/(IF(Inputs!$B$38="pvp",15,Inputs!$B$43)-(B3113))))*(IF(AND(ArtifactsInput!$M$42,((Inputs!$B$9+((C3094=TRUE)*(F3094-Calc!F19))+B3106+(ArtifactsInput!$M$24-ArtifactsInput!$M$24)*CHOOSE(ArtifactsInput!$N$24+1,10,12,14,16,18,20)+IF(ArtifactsInput!$M$10,CHOOSE(ArtifactsInput!$N$10+1,15,18,21,24,27,30)*(IF(Inputs!$B$38="pvp",MIN(15,15)/15,IF(AND(Inputs!$B$38&lt;&gt;"pvp",Inputs!$B$43&gt;0),MIN(15,Inputs!$B$43)/(Inputs!$B$43),0))),0)))&gt;=100),MIN(100,((Inputs!$B$9+((C3094=TRUE)*(F3094-Calc!F19))+B3106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3113)&lt;=0,1,MAX(0,IF(Inputs!$B$38="pvp",15,Inputs!$B$43)-MAX(5,B3113))/(IF(Inputs!$B$38="pvp",15,Inputs!$B$43)-(B3113))))*IF(AND(ArtifactsInput!$M$42,((Inputs!$B$9+((C3094=TRUE)*(F3094-Calc!F19))+B3106+(ArtifactsInput!$M$24-ArtifactsInput!$M$24)*CHOOSE(ArtifactsInput!$N$24+1,10,12,14,16,18,20)+IF(ArtifactsInput!$M$10,CHOOSE(ArtifactsInput!$N$10+1,15,18,21,24,27,30)*(IF(Inputs!$B$38="pvp",MIN(15,15)/15,IF(AND(Inputs!$B$38&lt;&gt;"pvp",Inputs!$B$43&gt;0),MIN(15,Inputs!$B$43)/(Inputs!$B$43),0))),0)))&gt;=100),CHOOSE(ArtifactsInput!$N$42+1,40,48,56,64,72,80),0))))/100)*((1+(((C3092=TRUE)*F3092*5/7)+((C3099=TRUE)*(F3099-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3081)</f>
        <v/>
      </c>
      <c r="L3081">
        <f>K3081*(MIN(Inputs!$B$22+((C3097=TRUE)*(F3097-Calc!F22)),(Inputs!$B$23+0+(IF(ArtifactsInput!$M$15,CHOOSE(ArtifactsInput!$N$15+1,25,30,35,40,45,50)/100*(Inputs!$B$11-Inputs!$B$11),0))))/100+(Inputs!$B$23+0+(IF(ArtifactsInput!$M$15,CHOOSE(ArtifactsInput!$N$15+1,25,30,35,40,45,50)/100*(Inputs!$B$11-Inputs!$B$11),0)))/100)/2</f>
        <v/>
      </c>
      <c r="M3081">
        <f>L3081*(1+(Inputs!$B$10+((C3100=TRUE)*(F3100-Calc!F25))+B3111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81">
        <f>L3081*(1-MIN((Inputs!$B$9+((C3094=TRUE)*(F3094-Calc!F19))+B3106+(ArtifactsInput!$M$24-ArtifactsInput!$M$24)*CHOOSE(ArtifactsInput!$N$24+1,10,12,14,16,18,20)+(IF(AND(Inputs!$B$38&lt;&gt;"pvp",Inputs!$B$43=0),1,IF(IF(Inputs!$B$38="pvp",15,Inputs!$B$43)-(B3113)&lt;=0,1,MAX(0,IF(Inputs!$B$38="pvp",15,Inputs!$B$43)-MAX(5,B3113))/(IF(Inputs!$B$38="pvp",15,Inputs!$B$43)-(B3113))))*IF(AND(ArtifactsInput!$M$42,((Inputs!$B$9+((C3094=TRUE)*(F3094-Calc!F19))+B3106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3081*(MIN((Inputs!$B$9+((C3094=TRUE)*(F3094-Calc!F19))+B3106+(ArtifactsInput!$M$24-ArtifactsInput!$M$24)*CHOOSE(ArtifactsInput!$N$24+1,10,12,14,16,18,20)+(IF(AND(Inputs!$B$38&lt;&gt;"pvp",Inputs!$B$43=0),1,IF(IF(Inputs!$B$38="pvp",15,Inputs!$B$43)-(B3113)&lt;=0,1,MAX(0,IF(Inputs!$B$38="pvp",15,Inputs!$B$43)-MAX(5,B3113))/(IF(Inputs!$B$38="pvp",15,Inputs!$B$43)-(B3113))))*IF(AND(ArtifactsInput!$M$42,((Inputs!$B$9+((C3094=TRUE)*(F3094-Calc!F19))+B3106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81">
        <f>(1-Summary!$B$11)*T3081+Summary!$B$11*V3081</f>
        <v/>
      </c>
      <c r="P3081">
        <f>IF(B3116=0,0,O3081/B3116)</f>
        <v/>
      </c>
      <c r="Q3081">
        <f>IFERROR(1/(IF(Inputs!$B$38="pvp",15,MAX(0.1,Skills!D6-IF(TRUE=TRUE,2.0,0)))*(1-IF(AND(ArtifactsInput!$M$27,Inputs!$B$4="Chapter Hunt"),CHOOSE(ArtifactsInput!$N$27+1,20,24,28,32,36,40),0)/100)),0)</f>
        <v/>
      </c>
      <c r="R3081">
        <f>IF(AND(Inputs!$B$38&lt;&gt;"pvp",Inputs!$B$43&gt;0),IF(MAX(0,Inputs!$B$43-B3113)&lt;=0,0,(INT(MAX(0,Inputs!$B$43-B3113)/(IF(Inputs!$B$38="pvp",15,MAX(0.1,Skills!D6-IF(TRUE=TRUE,2.0,0)))*(1-IF(AND(ArtifactsInput!$M$27,Inputs!$B$4="Chapter Hunt"),CHOOSE(ArtifactsInput!$N$27+1,20,24,28,32,36,40),0)/100)))+1)),0)</f>
        <v/>
      </c>
      <c r="S3081">
        <f>IFERROR(O3081/N3081,0)</f>
        <v/>
      </c>
      <c r="T3081">
        <f>IF(C3081,(H3081*N3081*IF(AND(Inputs!$B$38&lt;&gt;"pvp",Inputs!$B$43&gt;0),((Skills!G6*((R3081-1)*IF(Skills!H6&gt;0,INT(Skills!I6/Skills!H6+0.000000001),1)+IF(Skills!H6&gt;0,INT(MIN(Skills!I6,MAX(0,MAX(0,Inputs!$B$43-B3113)-((R3081-1)*(IF(Inputs!$B$38="pvp",15,MAX(0.1,Skills!D6-IF(TRUE=TRUE,2.0,0)))*(1-IF(AND(ArtifactsInput!$M$27,Inputs!$B$4="Chapter Hunt"),CHOOSE(ArtifactsInput!$N$27+1,20,24,28,32,36,40),0)/100)))))/Skills!H6+0.000000001),1)))/Inputs!$B$43),G3081*Q3081))*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Hunt"),CHOOSE(ArtifactsInput!$N$35+1,15,18,21,24,27,30)*(1-EXP(-(0.2*B3108)*5)),0)+IF(AND(ArtifactsInput!$M$22,Inputs!$B$4&lt;&gt;"Chapter Hunt"),CHOOSE(ArtifactsInput!$N$22+1,10,12,14,16,18,20)*((0*(((0.15*B3108*5))^0/1)+1*(((0.15*B3108*5))^1/1)+2*(((0.15*B3108*5))^2/2)+3*(((0.15*B3108*5))^3/6)+4*(((0.15*B3108*5))^4/24)+5*(((0.15*B3108*5))^5/120))/((((0.15*B3108*5))^0/1)+(((0.15*B3108*5))^1/1)+(((0.15*B3108*5))^2/2)+(((0.15*B3108*5))^3/6)+(((0.15*B3108*5))^4/24)+(((0.15*B3108*5))^5/120))),0))+IF(Inputs!$B$3&gt;=54,9*(C3078=TRUE)*MIN(1,8*(1+Inputs!$B$34/100)*Q3078)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3081*(1-MIN(100,(Inputs!$B$9+((C3094=TRUE)*(F3094-Calc!F19))+B3106+(ArtifactsInput!$M$24-ArtifactsInput!$M$24)*CHOOSE(ArtifactsInput!$N$24+1,10,12,14,16,18,20)+(IF(AND(Inputs!$B$38&lt;&gt;"pvp",Inputs!$B$43=0),1,IF(IF(Inputs!$B$38="pvp",15,Inputs!$B$43)-(B3113)&lt;=0,1,MAX(0,IF(Inputs!$B$38="pvp",15,Inputs!$B$43)-MAX(5,B3113))/(IF(Inputs!$B$38="pvp",15,Inputs!$B$43)-(B3113))))*IF(AND(ArtifactsInput!$M$42,((Inputs!$B$9+((C3094=TRUE)*(F3094-Calc!F19))+B3106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3081*(MIN(100,(Inputs!$B$9+((C3094=TRUE)*(F3094-Calc!F19))+B3106+(ArtifactsInput!$M$24-ArtifactsInput!$M$24)*CHOOSE(ArtifactsInput!$N$24+1,10,12,14,16,18,20)+(IF(AND(Inputs!$B$38&lt;&gt;"pvp",Inputs!$B$43=0),1,IF(IF(Inputs!$B$38="pvp",15,Inputs!$B$43)-(B3113)&lt;=0,1,MAX(0,IF(Inputs!$B$38="pvp",15,Inputs!$B$43)-MAX(5,B3113))/(IF(Inputs!$B$38="pvp",15,Inputs!$B$43)-(B3113))))*IF(AND(ArtifactsInput!$M$42,((Inputs!$B$9+((C3094=TRUE)*(F3094-Calc!F19))+B3106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3081*(1-MIN(100,(Inputs!$B$9+((C3094=TRUE)*(F3094-Calc!F19))+B3106+(ArtifactsInput!$M$24-ArtifactsInput!$M$24)*CHOOSE(ArtifactsInput!$N$24+1,10,12,14,16,18,20)+(IF(AND(Inputs!$B$38&lt;&gt;"pvp",Inputs!$B$43=0),1,IF(IF(Inputs!$B$38="pvp",15,Inputs!$B$43)-(B3113)&lt;=0,1,MAX(0,IF(Inputs!$B$38="pvp",15,Inputs!$B$43)-MAX(5,B3113))/(IF(Inputs!$B$38="pvp",15,Inputs!$B$43)-(B3113))))*IF(AND(ArtifactsInput!$M$42,((Inputs!$B$9+((C3094=TRUE)*(F3094-Calc!F19))+B3106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3081*(MIN(100,(Inputs!$B$9+((C3094=TRUE)*(F3094-Calc!F19))+B3106+(ArtifactsInput!$M$24-ArtifactsInput!$M$24)*CHOOSE(ArtifactsInput!$N$24+1,10,12,14,16,18,20)+(IF(AND(Inputs!$B$38&lt;&gt;"pvp",Inputs!$B$43=0),1,IF(IF(Inputs!$B$38="pvp",15,Inputs!$B$43)-(B3113)&lt;=0,1,MAX(0,IF(Inputs!$B$38="pvp",15,Inputs!$B$43)-MAX(5,B3113))/(IF(Inputs!$B$38="pvp",15,Inputs!$B$43)-(B3113))))*IF(AND(ArtifactsInput!$M$42,((Inputs!$B$9+((C3094=TRUE)*(F3094-Calc!F19))+B3106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081">
        <f>IF(C3081,(H3081*N3081*IF(AND(Inputs!$B$38&lt;&gt;"pvp",Inputs!$B$43&gt;0),((Skills!G6*((R3081-1)*IF(Skills!H6&gt;0,INT(Skills!I6/Skills!H6+0.000000001),1)+IF(Skills!H6&gt;0,INT(MIN(Skills!I6,MAX(0,MAX(0,Inputs!$B$43-B3113)-((R3081-1)*(IF(Inputs!$B$38="pvp",15,MAX(0.1,Skills!D6-IF(TRUE=TRUE,2.0,0)))*(1-IF(AND(ArtifactsInput!$M$27,Inputs!$B$4="Chapter Hunt"),CHOOSE(ArtifactsInput!$N$27+1,20,24,28,32,36,40),0)/100)))))/Skills!H6+0.000000001),1)))/Inputs!$B$43),G3081*Q3081))*IF(Inputs!$B$38="pvp",1,(1+(Inputs!$B$21+Skills!Q6+(IF(ArtifactsInput!$M$33,CHOOSE(ArtifactsInput!$N$33+1,30,36,42,48,54,60),0))+(IF(AND(ArtifactsInput!$M$35,Inputs!$B$4&lt;&gt;"Chapter Hunt"),CHOOSE(ArtifactsInput!$N$35+1,15,18,21,24,27,30)*(1-EXP(-(0.2*B3108)*5)),0)+IF(AND(ArtifactsInput!$M$22,Inputs!$B$4&lt;&gt;"Chapter Hunt"),CHOOSE(ArtifactsInput!$N$22+1,10,12,14,16,18,20)*((0*(((0.15*B3108*5))^0/1)+1*(((0.15*B3108*5))^1/1)+2*(((0.15*B3108*5))^2/2)+3*(((0.15*B3108*5))^3/6)+4*(((0.15*B3108*5))^4/24)+5*(((0.15*B3108*5))^5/120))/((((0.15*B3108*5))^0/1)+(((0.15*B3108*5))^1/1)+(((0.15*B3108*5))^2/2)+(((0.15*B3108*5))^3/6)+(((0.15*B3108*5))^4/24)+(((0.15*B3108*5))^5/120))),0))+IF(Inputs!$B$3&gt;=54,9*(C3078=TRUE)*MIN(1,8*(1+Inputs!$B$34/100)*Q3078),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82">
      <c r="A3082">
        <f>Skills!A7</f>
        <v/>
      </c>
      <c r="B3082">
        <f>Skills!B7</f>
        <v/>
      </c>
      <c r="C3082">
        <f>Inputs!$B$3&gt;=63</f>
        <v/>
      </c>
      <c r="D3082">
        <f>IF(Skills!C7=1,60+Inputs!$B$25+Inputs!$B$29,IF(Skills!C7=2,90+Inputs!$B$26+Inputs!$B$29,IF(Skills!C7=3,120+Inputs!$B$27+Inputs!$B$29,MAX(0,(Inputs!$B$3-100)*3)+Inputs!$B$28+Inputs!$B$29)))</f>
        <v/>
      </c>
      <c r="E3082">
        <f>INDEX(FactorTable!$B$2:$Y$301, MATCH(ROUND(MIN(300,MAX(1,D3082)),0), FactorTable!$A$2:$A$301,0), Skills!M7+1)</f>
        <v/>
      </c>
      <c r="F3082">
        <f>IF(Skills!N7=TRUE,(Skills!L7/10)*(E3082/1000),Skills!L7/10)+Skills!O7</f>
        <v/>
      </c>
      <c r="G3082">
        <f>Skills!G7*IF(Skills!H7&gt;0,INT(IF(Inputs!$B$38="pvp",MIN(Skills!I7,15),Skills!I7)/Skills!H7+0.000000001),1)</f>
        <v/>
      </c>
      <c r="H3082">
        <f>1-(1-Skills!J7/100)^Skills!K7</f>
        <v/>
      </c>
      <c r="I3082" t="inlineStr">
        <is>
          <t>1</t>
        </is>
      </c>
      <c r="J3082">
        <f>((Inputs!$B$6*(1+Inputs!$B$7/100))+(((Inputs!$B$12*(1+Inputs!$B$13/100))-(Inputs!$B$12*(1+Inputs!$B$13/100)))+0.25*(Inputs!$B$14-Inputs!$B$14))*(1+Inputs!$B$7/100))*(F3082/100)</f>
        <v/>
      </c>
      <c r="K3082">
        <f>J3082*(1+((Inputs!$B$12*(1+Inputs!$B$13/100))*0.01+Inputs!$B$14*0.0025)/100)*(1+Inputs!$B$15/100)*(1+Inputs!$B$16/100)*(5000/(6000+Inputs!$B$42*(1-(100*(1-(1-(Inputs!$B$19+0)/100)*(1-CHOOSE(ArtifactsInput!$N$40+1,5,6,7,8,9,10)/100)^(ArtifactsInput!$M$40-ArtifactsInput!$M$40)))/100)))*(1+(Inputs!$B$24+((C3101=TRUE)*(F3101-Calc!F26))+B3112)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3090=TRUE,F3090,0)/100)*(1+(IF(Skills!A7="EIGHT_LEGS_EASTON",Inputs!$B$17+((C3098=TRUE)*(F3098-Calc!F23))+((C3102=TRUE)*(F3102-Calc!F27))+((IF(AND(Inputs!$B$38&lt;&gt;"pvp",Inputs!$B$43=0),1,IF(IF(Inputs!$B$38="pvp",15,Inputs!$B$43)-(B3113)&lt;=0,1,MAX(0,IF(Inputs!$B$38="pvp",15,Inputs!$B$43)-MAX(5,B3113))/(IF(Inputs!$B$38="pvp",15,Inputs!$B$43)-(B3113))))*(IF(AND(ArtifactsInput!$M$42,((Inputs!$B$9+((C3094=TRUE)*(F3094-Calc!F19))+B3106+(ArtifactsInput!$M$24-ArtifactsInput!$M$24)*CHOOSE(ArtifactsInput!$N$24+1,10,12,14,16,18,20)+IF(ArtifactsInput!$M$10,CHOOSE(ArtifactsInput!$N$10+1,15,18,21,24,27,30)*(IF(Inputs!$B$38="pvp",MIN(15,15)/15,IF(AND(Inputs!$B$38&lt;&gt;"pvp",Inputs!$B$43&gt;0),MIN(15,Inputs!$B$43)/(Inputs!$B$43),0))),0)))&gt;=100),MIN(100,((Inputs!$B$9+((C3094=TRUE)*(F3094-Calc!F19))+B3106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3113)&lt;=0,1,MAX(0,IF(Inputs!$B$38="pvp",15,Inputs!$B$43)-MAX(5,B3113))/(IF(Inputs!$B$38="pvp",15,Inputs!$B$43)-(B3113))))*IF(AND(ArtifactsInput!$M$42,((Inputs!$B$9+((C3094=TRUE)*(F3094-Calc!F19))+B3106+(ArtifactsInput!$M$24-ArtifactsInput!$M$24)*CHOOSE(ArtifactsInput!$N$24+1,10,12,14,16,18,20)+IF(ArtifactsInput!$M$10,CHOOSE(ArtifactsInput!$N$10+1,15,18,21,24,27,30)*(IF(Inputs!$B$38="pvp",MIN(15,15)/15,IF(AND(Inputs!$B$38&lt;&gt;"pvp",Inputs!$B$43&gt;0),MIN(15,Inputs!$B$43)/(Inputs!$B$43),0))),0)))&gt;=100),CHOOSE(ArtifactsInput!$N$42+1,40,48,56,64,72,80),0))))/100)*((1+(((C3092=TRUE)*F3092*5/7)+((C3099=TRUE)*(F3099-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3082)</f>
        <v/>
      </c>
      <c r="L3082">
        <f>K3082*(MIN(Inputs!$B$22+((C3097=TRUE)*(F3097-Calc!F22)),(Inputs!$B$23+0+(IF(ArtifactsInput!$M$15,CHOOSE(ArtifactsInput!$N$15+1,25,30,35,40,45,50)/100*(Inputs!$B$11-Inputs!$B$11),0))))/100+(Inputs!$B$23+0+(IF(ArtifactsInput!$M$15,CHOOSE(ArtifactsInput!$N$15+1,25,30,35,40,45,50)/100*(Inputs!$B$11-Inputs!$B$11),0)))/100)/2</f>
        <v/>
      </c>
      <c r="M3082">
        <f>L3082*(1+(Inputs!$B$10+((C3100=TRUE)*(F3100-Calc!F25))+B3111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82">
        <f>L3082*(1-MIN((Inputs!$B$9+((C3094=TRUE)*(F3094-Calc!F19))+B3106+(ArtifactsInput!$M$24-ArtifactsInput!$M$24)*CHOOSE(ArtifactsInput!$N$24+1,10,12,14,16,18,20)+(IF(AND(Inputs!$B$38&lt;&gt;"pvp",Inputs!$B$43=0),1,IF(IF(Inputs!$B$38="pvp",15,Inputs!$B$43)-(B3113)&lt;=0,1,MAX(0,IF(Inputs!$B$38="pvp",15,Inputs!$B$43)-MAX(5,B3113))/(IF(Inputs!$B$38="pvp",15,Inputs!$B$43)-(B3113))))*IF(AND(ArtifactsInput!$M$42,((Inputs!$B$9+((C3094=TRUE)*(F3094-Calc!F19))+B3106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3082*(MIN((Inputs!$B$9+((C3094=TRUE)*(F3094-Calc!F19))+B3106+(ArtifactsInput!$M$24-ArtifactsInput!$M$24)*CHOOSE(ArtifactsInput!$N$24+1,10,12,14,16,18,20)+(IF(AND(Inputs!$B$38&lt;&gt;"pvp",Inputs!$B$43=0),1,IF(IF(Inputs!$B$38="pvp",15,Inputs!$B$43)-(B3113)&lt;=0,1,MAX(0,IF(Inputs!$B$38="pvp",15,Inputs!$B$43)-MAX(5,B3113))/(IF(Inputs!$B$38="pvp",15,Inputs!$B$43)-(B3113))))*IF(AND(ArtifactsInput!$M$42,((Inputs!$B$9+((C3094=TRUE)*(F3094-Calc!F19))+B3106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82">
        <f>(1-Summary!$B$11)*T3082+Summary!$B$11*V3082</f>
        <v/>
      </c>
      <c r="P3082">
        <f>IF(B3116=0,0,O3082/B3116)</f>
        <v/>
      </c>
      <c r="Q3082">
        <f>IFERROR(1/(IF(Inputs!$B$38="pvp",15,MAX(0.1,Skills!D7-IF(TRUE=TRUE,2.0,0)))*(1-IF(AND(ArtifactsInput!$M$27,Inputs!$B$4="Chapter Hunt"),CHOOSE(ArtifactsInput!$N$27+1,20,24,28,32,36,40),0)/100)),0)</f>
        <v/>
      </c>
      <c r="R3082">
        <f>IF(AND(Inputs!$B$38&lt;&gt;"pvp",Inputs!$B$43&gt;0),IF(MAX(0,Inputs!$B$43-B3113)&lt;=0,0,(INT(MAX(0,Inputs!$B$43-B3113)/(IF(Inputs!$B$38="pvp",15,MAX(0.1,Skills!D7-IF(TRUE=TRUE,2.0,0)))*(1-IF(AND(ArtifactsInput!$M$27,Inputs!$B$4="Chapter Hunt"),CHOOSE(ArtifactsInput!$N$27+1,20,24,28,32,36,40),0)/100)))+1)),0)</f>
        <v/>
      </c>
      <c r="S3082">
        <f>IFERROR(O3082/N3082,0)</f>
        <v/>
      </c>
      <c r="T3082">
        <f>IF(C3082,(H3082*N3082*IF(AND(Inputs!$B$38&lt;&gt;"pvp",Inputs!$B$43&gt;0),((Skills!G7*((R3082-1)*IF(Skills!H7&gt;0,INT(Skills!I7/Skills!H7+0.000000001),1)+IF(Skills!H7&gt;0,INT(MIN(Skills!I7,MAX(0,MAX(0,Inputs!$B$43-B3113)-((R3082-1)*(IF(Inputs!$B$38="pvp",15,MAX(0.1,Skills!D7-IF(TRUE=TRUE,2.0,0)))*(1-IF(AND(ArtifactsInput!$M$27,Inputs!$B$4="Chapter Hunt"),CHOOSE(ArtifactsInput!$N$27+1,20,24,28,32,36,40),0)/100)))))/Skills!H7+0.000000001),1)))/Inputs!$B$43),G3082*Q3082))*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Hunt"),CHOOSE(ArtifactsInput!$N$35+1,15,18,21,24,27,30)*(1-EXP(-(0.2*B3108)*5)),0)+IF(AND(ArtifactsInput!$M$22,Inputs!$B$4&lt;&gt;"Chapter Hunt"),CHOOSE(ArtifactsInput!$N$22+1,10,12,14,16,18,20)*((0*(((0.15*B3108*5))^0/1)+1*(((0.15*B3108*5))^1/1)+2*(((0.15*B3108*5))^2/2)+3*(((0.15*B3108*5))^3/6)+4*(((0.15*B3108*5))^4/24)+5*(((0.15*B3108*5))^5/120))/((((0.15*B3108*5))^0/1)+(((0.15*B3108*5))^1/1)+(((0.15*B3108*5))^2/2)+(((0.15*B3108*5))^3/6)+(((0.15*B3108*5))^4/24)+(((0.15*B3108*5))^5/120))),0))+IF(Inputs!$B$3&gt;=54,9*(C3078=TRUE)*MIN(1,8*(1+Inputs!$B$34/100)*Q3078)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3082*(1-MIN(100,(Inputs!$B$9+((C3094=TRUE)*(F3094-Calc!F19))+B3106+(ArtifactsInput!$M$24-ArtifactsInput!$M$24)*CHOOSE(ArtifactsInput!$N$24+1,10,12,14,16,18,20)+(IF(AND(Inputs!$B$38&lt;&gt;"pvp",Inputs!$B$43=0),1,IF(IF(Inputs!$B$38="pvp",15,Inputs!$B$43)-(B3113)&lt;=0,1,MAX(0,IF(Inputs!$B$38="pvp",15,Inputs!$B$43)-MAX(5,B3113))/(IF(Inputs!$B$38="pvp",15,Inputs!$B$43)-(B3113))))*IF(AND(ArtifactsInput!$M$42,((Inputs!$B$9+((C3094=TRUE)*(F3094-Calc!F19))+B3106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3082*(MIN(100,(Inputs!$B$9+((C3094=TRUE)*(F3094-Calc!F19))+B3106+(ArtifactsInput!$M$24-ArtifactsInput!$M$24)*CHOOSE(ArtifactsInput!$N$24+1,10,12,14,16,18,20)+(IF(AND(Inputs!$B$38&lt;&gt;"pvp",Inputs!$B$43=0),1,IF(IF(Inputs!$B$38="pvp",15,Inputs!$B$43)-(B3113)&lt;=0,1,MAX(0,IF(Inputs!$B$38="pvp",15,Inputs!$B$43)-MAX(5,B3113))/(IF(Inputs!$B$38="pvp",15,Inputs!$B$43)-(B3113))))*IF(AND(ArtifactsInput!$M$42,((Inputs!$B$9+((C3094=TRUE)*(F3094-Calc!F19))+B3106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3082*(1-MIN(100,(Inputs!$B$9+((C3094=TRUE)*(F3094-Calc!F19))+B3106+(ArtifactsInput!$M$24-ArtifactsInput!$M$24)*CHOOSE(ArtifactsInput!$N$24+1,10,12,14,16,18,20)+(IF(AND(Inputs!$B$38&lt;&gt;"pvp",Inputs!$B$43=0),1,IF(IF(Inputs!$B$38="pvp",15,Inputs!$B$43)-(B3113)&lt;=0,1,MAX(0,IF(Inputs!$B$38="pvp",15,Inputs!$B$43)-MAX(5,B3113))/(IF(Inputs!$B$38="pvp",15,Inputs!$B$43)-(B3113))))*IF(AND(ArtifactsInput!$M$42,((Inputs!$B$9+((C3094=TRUE)*(F3094-Calc!F19))+B3106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3082*(MIN(100,(Inputs!$B$9+((C3094=TRUE)*(F3094-Calc!F19))+B3106+(ArtifactsInput!$M$24-ArtifactsInput!$M$24)*CHOOSE(ArtifactsInput!$N$24+1,10,12,14,16,18,20)+(IF(AND(Inputs!$B$38&lt;&gt;"pvp",Inputs!$B$43=0),1,IF(IF(Inputs!$B$38="pvp",15,Inputs!$B$43)-(B3113)&lt;=0,1,MAX(0,IF(Inputs!$B$38="pvp",15,Inputs!$B$43)-MAX(5,B3113))/(IF(Inputs!$B$38="pvp",15,Inputs!$B$43)-(B3113))))*IF(AND(ArtifactsInput!$M$42,((Inputs!$B$9+((C3094=TRUE)*(F3094-Calc!F19))+B3106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082">
        <f>IF(C3082,(H3082*N3082*IF(AND(Inputs!$B$38&lt;&gt;"pvp",Inputs!$B$43&gt;0),((Skills!G7*((R3082-1)*IF(Skills!H7&gt;0,INT(Skills!I7/Skills!H7+0.000000001),1)+IF(Skills!H7&gt;0,INT(MIN(Skills!I7,MAX(0,MAX(0,Inputs!$B$43-B3113)-((R3082-1)*(IF(Inputs!$B$38="pvp",15,MAX(0.1,Skills!D7-IF(TRUE=TRUE,2.0,0)))*(1-IF(AND(ArtifactsInput!$M$27,Inputs!$B$4="Chapter Hunt"),CHOOSE(ArtifactsInput!$N$27+1,20,24,28,32,36,40),0)/100)))))/Skills!H7+0.000000001),1)))/Inputs!$B$43),G3082*Q3082))*IF(Inputs!$B$38="pvp",1,(1+(Inputs!$B$21+Skills!Q7+(IF(ArtifactsInput!$M$33,CHOOSE(ArtifactsInput!$N$33+1,30,36,42,48,54,60),0))+(IF(AND(ArtifactsInput!$M$35,Inputs!$B$4&lt;&gt;"Chapter Hunt"),CHOOSE(ArtifactsInput!$N$35+1,15,18,21,24,27,30)*(1-EXP(-(0.2*B3108)*5)),0)+IF(AND(ArtifactsInput!$M$22,Inputs!$B$4&lt;&gt;"Chapter Hunt"),CHOOSE(ArtifactsInput!$N$22+1,10,12,14,16,18,20)*((0*(((0.15*B3108*5))^0/1)+1*(((0.15*B3108*5))^1/1)+2*(((0.15*B3108*5))^2/2)+3*(((0.15*B3108*5))^3/6)+4*(((0.15*B3108*5))^4/24)+5*(((0.15*B3108*5))^5/120))/((((0.15*B3108*5))^0/1)+(((0.15*B3108*5))^1/1)+(((0.15*B3108*5))^2/2)+(((0.15*B3108*5))^3/6)+(((0.15*B3108*5))^4/24)+(((0.15*B3108*5))^5/120))),0))+IF(Inputs!$B$3&gt;=54,9*(C3078=TRUE)*MIN(1,8*(1+Inputs!$B$34/100)*Q3078),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83">
      <c r="A3083">
        <f>Skills!A8</f>
        <v/>
      </c>
      <c r="B3083">
        <f>Skills!B8</f>
        <v/>
      </c>
      <c r="C3083">
        <f>Inputs!$B$3&gt;=103</f>
        <v/>
      </c>
      <c r="D3083">
        <f>IF(Skills!C8=1,60+Inputs!$B$25+Inputs!$B$29,IF(Skills!C8=2,90+Inputs!$B$26+Inputs!$B$29,IF(Skills!C8=3,120+Inputs!$B$27+Inputs!$B$29,MAX(0,(Inputs!$B$3-100)*3)+Inputs!$B$28+Inputs!$B$29)))</f>
        <v/>
      </c>
      <c r="E3083">
        <f>INDEX(FactorTable!$B$2:$Y$301, MATCH(ROUND(MIN(300,MAX(1,D3083)),0), FactorTable!$A$2:$A$301,0), Skills!M8+1)</f>
        <v/>
      </c>
      <c r="F3083">
        <f>IF(Skills!N8=TRUE,(Skills!L8/10)*(E3083/1000),Skills!L8/10)+Skills!O8</f>
        <v/>
      </c>
      <c r="G3083">
        <f>Skills!G8*IF(Skills!H8&gt;0,INT(IF(Inputs!$B$38="pvp",MIN(Skills!I8,15),Skills!I8)/Skills!H8+0.000000001),1)</f>
        <v/>
      </c>
      <c r="H3083">
        <f>1-(1-Skills!J8/100)^Skills!K8</f>
        <v/>
      </c>
      <c r="I3083" t="inlineStr">
        <is>
          <t>1</t>
        </is>
      </c>
      <c r="J3083">
        <f>((Inputs!$B$6*(1+Inputs!$B$7/100))+(((Inputs!$B$12*(1+Inputs!$B$13/100))-(Inputs!$B$12*(1+Inputs!$B$13/100)))+0.25*(Inputs!$B$14-Inputs!$B$14))*(1+Inputs!$B$7/100))*(F3083/100)</f>
        <v/>
      </c>
      <c r="K3083">
        <f>J3083*(1+((Inputs!$B$12*(1+Inputs!$B$13/100))*0.01+Inputs!$B$14*0.0025)/100)*(1+Inputs!$B$15/100)*(1+Inputs!$B$16/100)*(5000/(6000+Inputs!$B$42*(1-(100*(1-(1-(Inputs!$B$19+0)/100)*(1-CHOOSE(ArtifactsInput!$N$40+1,5,6,7,8,9,10)/100)^(ArtifactsInput!$M$40-ArtifactsInput!$M$40)))/100)))*(1+(Inputs!$B$24+((C3101=TRUE)*(F3101-Calc!F26))+B3112)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IGHT_LEGS_EASTON",Inputs!$B$17+((C3098=TRUE)*(F3098-Calc!F23))+((C3102=TRUE)*(F3102-Calc!F27))+((IF(AND(Inputs!$B$38&lt;&gt;"pvp",Inputs!$B$43=0),1,IF(IF(Inputs!$B$38="pvp",15,Inputs!$B$43)-(B3113)&lt;=0,1,MAX(0,IF(Inputs!$B$38="pvp",15,Inputs!$B$43)-MAX(5,B3113))/(IF(Inputs!$B$38="pvp",15,Inputs!$B$43)-(B3113))))*(IF(AND(ArtifactsInput!$M$42,((Inputs!$B$9+((C3094=TRUE)*(F3094-Calc!F19))+B3106+(ArtifactsInput!$M$24-ArtifactsInput!$M$24)*CHOOSE(ArtifactsInput!$N$24+1,10,12,14,16,18,20)+IF(ArtifactsInput!$M$10,CHOOSE(ArtifactsInput!$N$10+1,15,18,21,24,27,30)*(IF(Inputs!$B$38="pvp",MIN(15,15)/15,IF(AND(Inputs!$B$38&lt;&gt;"pvp",Inputs!$B$43&gt;0),MIN(15,Inputs!$B$43)/(Inputs!$B$43),0))),0)))&gt;=100),MIN(100,((Inputs!$B$9+((C3094=TRUE)*(F3094-Calc!F19))+B3106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3113)&lt;=0,1,MAX(0,IF(Inputs!$B$38="pvp",15,Inputs!$B$43)-MAX(5,B3113))/(IF(Inputs!$B$38="pvp",15,Inputs!$B$43)-(B3113))))*IF(AND(ArtifactsInput!$M$42,((Inputs!$B$9+((C3094=TRUE)*(F3094-Calc!F19))+B3106+(ArtifactsInput!$M$24-ArtifactsInput!$M$24)*CHOOSE(ArtifactsInput!$N$24+1,10,12,14,16,18,20)+IF(ArtifactsInput!$M$10,CHOOSE(ArtifactsInput!$N$10+1,15,18,21,24,27,30)*(IF(Inputs!$B$38="pvp",MIN(15,15)/15,IF(AND(Inputs!$B$38&lt;&gt;"pvp",Inputs!$B$43&gt;0),MIN(15,Inputs!$B$43)/(Inputs!$B$43),0))),0)))&gt;=100),CHOOSE(ArtifactsInput!$N$42+1,40,48,56,64,72,80),0))))/100)*((1+(((C3092=TRUE)*F3092*5/7)+((C3099=TRUE)*(F3099-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3083)</f>
        <v/>
      </c>
      <c r="L3083">
        <f>K3083*(MIN(Inputs!$B$22+((C3097=TRUE)*(F3097-Calc!F22)),(Inputs!$B$23+0+(IF(ArtifactsInput!$M$15,CHOOSE(ArtifactsInput!$N$15+1,25,30,35,40,45,50)/100*(Inputs!$B$11-Inputs!$B$11),0))))/100+(Inputs!$B$23+0+(IF(ArtifactsInput!$M$15,CHOOSE(ArtifactsInput!$N$15+1,25,30,35,40,45,50)/100*(Inputs!$B$11-Inputs!$B$11),0)))/100)/2</f>
        <v/>
      </c>
      <c r="M3083">
        <f>L3083*(1+(Inputs!$B$10+((C3100=TRUE)*(F3100-Calc!F25))+B3111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83">
        <f>L3083*(1-MIN((Inputs!$B$9+((C3094=TRUE)*(F3094-Calc!F19))+B3106+(ArtifactsInput!$M$24-ArtifactsInput!$M$24)*CHOOSE(ArtifactsInput!$N$24+1,10,12,14,16,18,20)+(IF(AND(Inputs!$B$38&lt;&gt;"pvp",Inputs!$B$43=0),1,IF(IF(Inputs!$B$38="pvp",15,Inputs!$B$43)-(B3113)&lt;=0,1,MAX(0,IF(Inputs!$B$38="pvp",15,Inputs!$B$43)-MAX(5,B3113))/(IF(Inputs!$B$38="pvp",15,Inputs!$B$43)-(B3113))))*IF(AND(ArtifactsInput!$M$42,((Inputs!$B$9+((C3094=TRUE)*(F3094-Calc!F19))+B3106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3083*(MIN((Inputs!$B$9+((C3094=TRUE)*(F3094-Calc!F19))+B3106+(ArtifactsInput!$M$24-ArtifactsInput!$M$24)*CHOOSE(ArtifactsInput!$N$24+1,10,12,14,16,18,20)+(IF(AND(Inputs!$B$38&lt;&gt;"pvp",Inputs!$B$43=0),1,IF(IF(Inputs!$B$38="pvp",15,Inputs!$B$43)-(B3113)&lt;=0,1,MAX(0,IF(Inputs!$B$38="pvp",15,Inputs!$B$43)-MAX(5,B3113))/(IF(Inputs!$B$38="pvp",15,Inputs!$B$43)-(B3113))))*IF(AND(ArtifactsInput!$M$42,((Inputs!$B$9+((C3094=TRUE)*(F3094-Calc!F19))+B3106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83">
        <f>(1-Summary!$B$11)*T3083+Summary!$B$11*V3083</f>
        <v/>
      </c>
      <c r="P3083">
        <f>IF(B3116=0,0,O3083/B3116)</f>
        <v/>
      </c>
      <c r="Q3083">
        <f>IFERROR(1/((IF(Inputs!$B$38="pvp",15,MAX(0.1,Skills!D8-IF(TRUE=TRUE,2.0,0)))*(1-IF(AND(ArtifactsInput!$M$27,Inputs!$B$4="Chapter Hunt"),CHOOSE(ArtifactsInput!$N$27+1,20,24,28,32,36,40),0)/100))/B3117),0)</f>
        <v/>
      </c>
      <c r="R3083">
        <f>IF(AND(Inputs!$B$38&lt;&gt;"pvp",Inputs!$B$43&gt;0),IF(MAX(0,Inputs!$B$43-B3113)&lt;=0,0,(INT(MAX(0,Inputs!$B$43-B3113)/((IF(Inputs!$B$38="pvp",15,MAX(0.1,Skills!D8-IF(TRUE=TRUE,2.0,0)))*(1-IF(AND(ArtifactsInput!$M$27,Inputs!$B$4="Chapter Hunt"),CHOOSE(ArtifactsInput!$N$27+1,20,24,28,32,36,40),0)/100))/B3117))+1)),0)</f>
        <v/>
      </c>
      <c r="S3083">
        <f>IFERROR(O3083/N3083,0)</f>
        <v/>
      </c>
      <c r="T3083">
        <f>IF(C3083,(H3083*N3083*IF(AND(Inputs!$B$38&lt;&gt;"pvp",Inputs!$B$43&gt;0),((Skills!G8*((R3083-1)*IF(Skills!H8&gt;0,INT(Skills!I8/Skills!H8+0.000000001),1)+IF(Skills!H8&gt;0,INT(MIN(Skills!I8,MAX(0,MAX(0,Inputs!$B$43-B3113)-((R3083-1)*((IF(Inputs!$B$38="pvp",15,MAX(0.1,Skills!D8-IF(TRUE=TRUE,2.0,0)))*(1-IF(AND(ArtifactsInput!$M$27,Inputs!$B$4="Chapter Hunt"),CHOOSE(ArtifactsInput!$N$27+1,20,24,28,32,36,40),0)/100))/B3117))))/Skills!H8+0.000000001),1)))/Inputs!$B$43),G3083*Q3083))*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Hunt"),CHOOSE(ArtifactsInput!$N$35+1,15,18,21,24,27,30)*(1-EXP(-(0.2*B3108)*5)),0)+IF(AND(ArtifactsInput!$M$22,Inputs!$B$4&lt;&gt;"Chapter Hunt"),CHOOSE(ArtifactsInput!$N$22+1,10,12,14,16,18,20)*((0*(((0.15*B3108*5))^0/1)+1*(((0.15*B3108*5))^1/1)+2*(((0.15*B3108*5))^2/2)+3*(((0.15*B3108*5))^3/6)+4*(((0.15*B3108*5))^4/24)+5*(((0.15*B3108*5))^5/120))/((((0.15*B3108*5))^0/1)+(((0.15*B3108*5))^1/1)+(((0.15*B3108*5))^2/2)+(((0.15*B3108*5))^3/6)+(((0.15*B3108*5))^4/24)+(((0.15*B3108*5))^5/120))),0))+IF(Inputs!$B$3&gt;=54,9*(C3078=TRUE)*MIN(1,8*(1+Inputs!$B$34/100)*Q3078)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3083*(1-MIN(100,(Inputs!$B$9+((C3094=TRUE)*(F3094-Calc!F19))+B3106+(ArtifactsInput!$M$24-ArtifactsInput!$M$24)*CHOOSE(ArtifactsInput!$N$24+1,10,12,14,16,18,20)+(IF(AND(Inputs!$B$38&lt;&gt;"pvp",Inputs!$B$43=0),1,IF(IF(Inputs!$B$38="pvp",15,Inputs!$B$43)-(B3113)&lt;=0,1,MAX(0,IF(Inputs!$B$38="pvp",15,Inputs!$B$43)-MAX(5,B3113))/(IF(Inputs!$B$38="pvp",15,Inputs!$B$43)-(B3113))))*IF(AND(ArtifactsInput!$M$42,((Inputs!$B$9+((C3094=TRUE)*(F3094-Calc!F19))+B3106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3083*(MIN(100,(Inputs!$B$9+((C3094=TRUE)*(F3094-Calc!F19))+B3106+(ArtifactsInput!$M$24-ArtifactsInput!$M$24)*CHOOSE(ArtifactsInput!$N$24+1,10,12,14,16,18,20)+(IF(AND(Inputs!$B$38&lt;&gt;"pvp",Inputs!$B$43=0),1,IF(IF(Inputs!$B$38="pvp",15,Inputs!$B$43)-(B3113)&lt;=0,1,MAX(0,IF(Inputs!$B$38="pvp",15,Inputs!$B$43)-MAX(5,B3113))/(IF(Inputs!$B$38="pvp",15,Inputs!$B$43)-(B3113))))*IF(AND(ArtifactsInput!$M$42,((Inputs!$B$9+((C3094=TRUE)*(F3094-Calc!F19))+B3106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3083*(1-MIN(100,(Inputs!$B$9+((C3094=TRUE)*(F3094-Calc!F19))+B3106+(ArtifactsInput!$M$24-ArtifactsInput!$M$24)*CHOOSE(ArtifactsInput!$N$24+1,10,12,14,16,18,20)+(IF(AND(Inputs!$B$38&lt;&gt;"pvp",Inputs!$B$43=0),1,IF(IF(Inputs!$B$38="pvp",15,Inputs!$B$43)-(B3113)&lt;=0,1,MAX(0,IF(Inputs!$B$38="pvp",15,Inputs!$B$43)-MAX(5,B3113))/(IF(Inputs!$B$38="pvp",15,Inputs!$B$43)-(B3113))))*IF(AND(ArtifactsInput!$M$42,((Inputs!$B$9+((C3094=TRUE)*(F3094-Calc!F19))+B3106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3083*(MIN(100,(Inputs!$B$9+((C3094=TRUE)*(F3094-Calc!F19))+B3106+(ArtifactsInput!$M$24-ArtifactsInput!$M$24)*CHOOSE(ArtifactsInput!$N$24+1,10,12,14,16,18,20)+(IF(AND(Inputs!$B$38&lt;&gt;"pvp",Inputs!$B$43=0),1,IF(IF(Inputs!$B$38="pvp",15,Inputs!$B$43)-(B3113)&lt;=0,1,MAX(0,IF(Inputs!$B$38="pvp",15,Inputs!$B$43)-MAX(5,B3113))/(IF(Inputs!$B$38="pvp",15,Inputs!$B$43)-(B3113))))*IF(AND(ArtifactsInput!$M$42,((Inputs!$B$9+((C3094=TRUE)*(F3094-Calc!F19))+B3106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083">
        <f>IF(C3083,(H3083*N3083*IF(AND(Inputs!$B$38&lt;&gt;"pvp",Inputs!$B$43&gt;0),((Skills!G8*((R3083-1)*IF(Skills!H8&gt;0,INT(Skills!I8/Skills!H8+0.000000001),1)+IF(Skills!H8&gt;0,INT(MIN(Skills!I8,MAX(0,MAX(0,Inputs!$B$43-B3113)-((R3083-1)*((IF(Inputs!$B$38="pvp",15,MAX(0.1,Skills!D8-IF(TRUE=TRUE,2.0,0)))*(1-IF(AND(ArtifactsInput!$M$27,Inputs!$B$4="Chapter Hunt"),CHOOSE(ArtifactsInput!$N$27+1,20,24,28,32,36,40),0)/100))/B3117))))/Skills!H8+0.000000001),1)))/Inputs!$B$43),G3083*Q3083))*IF(Inputs!$B$38="pvp",1,(1+(Inputs!$B$21+Skills!Q8+(IF(ArtifactsInput!$M$33,CHOOSE(ArtifactsInput!$N$33+1,30,36,42,48,54,60),0))+(IF(AND(ArtifactsInput!$M$35,Inputs!$B$4&lt;&gt;"Chapter Hunt"),CHOOSE(ArtifactsInput!$N$35+1,15,18,21,24,27,30)*(1-EXP(-(0.2*B3108)*5)),0)+IF(AND(ArtifactsInput!$M$22,Inputs!$B$4&lt;&gt;"Chapter Hunt"),CHOOSE(ArtifactsInput!$N$22+1,10,12,14,16,18,20)*((0*(((0.15*B3108*5))^0/1)+1*(((0.15*B3108*5))^1/1)+2*(((0.15*B3108*5))^2/2)+3*(((0.15*B3108*5))^3/6)+4*(((0.15*B3108*5))^4/24)+5*(((0.15*B3108*5))^5/120))/((((0.15*B3108*5))^0/1)+(((0.15*B3108*5))^1/1)+(((0.15*B3108*5))^2/2)+(((0.15*B3108*5))^3/6)+(((0.15*B3108*5))^4/24)+(((0.15*B3108*5))^5/120))),0))+IF(Inputs!$B$3&gt;=54,9*(C3078=TRUE)*MIN(1,8*(1+Inputs!$B$34/100)*Q3078),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84">
      <c r="A3084">
        <f>Skills!A9</f>
        <v/>
      </c>
      <c r="B3084">
        <f>Skills!B9</f>
        <v/>
      </c>
      <c r="C3084">
        <f>Inputs!$B$3&gt;=105</f>
        <v/>
      </c>
      <c r="D3084">
        <f>IF(Skills!C9=1,60+Inputs!$B$25+Inputs!$B$29,IF(Skills!C9=2,90+Inputs!$B$26+Inputs!$B$29,IF(Skills!C9=3,120+Inputs!$B$27+Inputs!$B$29,MAX(0,(Inputs!$B$3-100)*3)+Inputs!$B$28+Inputs!$B$29)))</f>
        <v/>
      </c>
      <c r="E3084">
        <f>INDEX(FactorTable!$B$2:$Y$301, MATCH(ROUND(MIN(300,MAX(1,D3084)),0), FactorTable!$A$2:$A$301,0), Skills!M9+1)</f>
        <v/>
      </c>
      <c r="F3084">
        <f>IF(Skills!N9=TRUE,(Skills!L9/10)*(E3084/1000),Skills!L9/10)+Skills!O9</f>
        <v/>
      </c>
      <c r="G3084">
        <f>Skills!G9*IF(Skills!H9&gt;0,INT(IF(Inputs!$B$38="pvp",MIN(Skills!I9,15),Skills!I9)/Skills!H9+0.000000001),1)</f>
        <v/>
      </c>
      <c r="H3084">
        <f>1-(1-Skills!J9/100)^Skills!K9</f>
        <v/>
      </c>
      <c r="I3084" t="inlineStr">
        <is>
          <t>1</t>
        </is>
      </c>
      <c r="J3084">
        <f>((Inputs!$B$6*(1+Inputs!$B$7/100))+(((Inputs!$B$12*(1+Inputs!$B$13/100))-(Inputs!$B$12*(1+Inputs!$B$13/100)))+0.25*(Inputs!$B$14-Inputs!$B$14))*(1+Inputs!$B$7/100))*(F3084/100)</f>
        <v/>
      </c>
      <c r="K3084">
        <f>J3084*(1+((Inputs!$B$12*(1+Inputs!$B$13/100))*0.01+Inputs!$B$14*0.0025)/100)*(1+Inputs!$B$15/100)*(1+Inputs!$B$16/100)*(5000/(6000+Inputs!$B$42*(1-(100*(1-(1-(Inputs!$B$19+0)/100)*(1-CHOOSE(ArtifactsInput!$N$40+1,5,6,7,8,9,10)/100)^(ArtifactsInput!$M$40-ArtifactsInput!$M$40)))/100)))*(1+(Inputs!$B$24+((C3101=TRUE)*(F3101-Calc!F26))+B3112)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IGHT_LEGS_EASTON",Inputs!$B$17+((C3098=TRUE)*(F3098-Calc!F23))+((C3102=TRUE)*(F3102-Calc!F27))+((IF(AND(Inputs!$B$38&lt;&gt;"pvp",Inputs!$B$43=0),1,IF(IF(Inputs!$B$38="pvp",15,Inputs!$B$43)-(B3113)&lt;=0,1,MAX(0,IF(Inputs!$B$38="pvp",15,Inputs!$B$43)-MAX(5,B3113))/(IF(Inputs!$B$38="pvp",15,Inputs!$B$43)-(B3113))))*(IF(AND(ArtifactsInput!$M$42,((Inputs!$B$9+((C3094=TRUE)*(F3094-Calc!F19))+B3106+(ArtifactsInput!$M$24-ArtifactsInput!$M$24)*CHOOSE(ArtifactsInput!$N$24+1,10,12,14,16,18,20)+IF(ArtifactsInput!$M$10,CHOOSE(ArtifactsInput!$N$10+1,15,18,21,24,27,30)*(IF(Inputs!$B$38="pvp",MIN(15,15)/15,IF(AND(Inputs!$B$38&lt;&gt;"pvp",Inputs!$B$43&gt;0),MIN(15,Inputs!$B$43)/(Inputs!$B$43),0))),0)))&gt;=100),MIN(100,((Inputs!$B$9+((C3094=TRUE)*(F3094-Calc!F19))+B3106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3113)&lt;=0,1,MAX(0,IF(Inputs!$B$38="pvp",15,Inputs!$B$43)-MAX(5,B3113))/(IF(Inputs!$B$38="pvp",15,Inputs!$B$43)-(B3113))))*IF(AND(ArtifactsInput!$M$42,((Inputs!$B$9+((C3094=TRUE)*(F3094-Calc!F19))+B3106+(ArtifactsInput!$M$24-ArtifactsInput!$M$24)*CHOOSE(ArtifactsInput!$N$24+1,10,12,14,16,18,20)+IF(ArtifactsInput!$M$10,CHOOSE(ArtifactsInput!$N$10+1,15,18,21,24,27,30)*(IF(Inputs!$B$38="pvp",MIN(15,15)/15,IF(AND(Inputs!$B$38&lt;&gt;"pvp",Inputs!$B$43&gt;0),MIN(15,Inputs!$B$43)/(Inputs!$B$43),0))),0)))&gt;=100),CHOOSE(ArtifactsInput!$N$42+1,40,48,56,64,72,80),0))))/100)*((1+(((C3092=TRUE)*F3092*5/7)+((C3099=TRUE)*(F3099-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3084)</f>
        <v/>
      </c>
      <c r="L3084">
        <f>K3084*(MIN(Inputs!$B$22+((C3097=TRUE)*(F3097-Calc!F22)),(Inputs!$B$23+0+(IF(ArtifactsInput!$M$15,CHOOSE(ArtifactsInput!$N$15+1,25,30,35,40,45,50)/100*(Inputs!$B$11-Inputs!$B$11),0))))/100+(Inputs!$B$23+0+(IF(ArtifactsInput!$M$15,CHOOSE(ArtifactsInput!$N$15+1,25,30,35,40,45,50)/100*(Inputs!$B$11-Inputs!$B$11),0)))/100)/2</f>
        <v/>
      </c>
      <c r="M3084">
        <f>L3084*(1+(Inputs!$B$10+((C3100=TRUE)*(F3100-Calc!F25))+B3111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84">
        <f>L3084*(1-MIN((Inputs!$B$9+((C3094=TRUE)*(F3094-Calc!F19))+B3106+(ArtifactsInput!$M$24-ArtifactsInput!$M$24)*CHOOSE(ArtifactsInput!$N$24+1,10,12,14,16,18,20)+(IF(AND(Inputs!$B$38&lt;&gt;"pvp",Inputs!$B$43=0),1,IF(IF(Inputs!$B$38="pvp",15,Inputs!$B$43)-(B3113)&lt;=0,1,MAX(0,IF(Inputs!$B$38="pvp",15,Inputs!$B$43)-MAX(5,B3113))/(IF(Inputs!$B$38="pvp",15,Inputs!$B$43)-(B3113))))*IF(AND(ArtifactsInput!$M$42,((Inputs!$B$9+((C3094=TRUE)*(F3094-Calc!F19))+B3106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3084*(MIN((Inputs!$B$9+((C3094=TRUE)*(F3094-Calc!F19))+B3106+(ArtifactsInput!$M$24-ArtifactsInput!$M$24)*CHOOSE(ArtifactsInput!$N$24+1,10,12,14,16,18,20)+(IF(AND(Inputs!$B$38&lt;&gt;"pvp",Inputs!$B$43=0),1,IF(IF(Inputs!$B$38="pvp",15,Inputs!$B$43)-(B3113)&lt;=0,1,MAX(0,IF(Inputs!$B$38="pvp",15,Inputs!$B$43)-MAX(5,B3113))/(IF(Inputs!$B$38="pvp",15,Inputs!$B$43)-(B3113))))*IF(AND(ArtifactsInput!$M$42,((Inputs!$B$9+((C3094=TRUE)*(F3094-Calc!F19))+B3106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84">
        <f>(1-Summary!$B$11)*T3084+Summary!$B$11*V3084</f>
        <v/>
      </c>
      <c r="P3084">
        <f>IF(B3116=0,0,O3084/B3116)</f>
        <v/>
      </c>
      <c r="Q3084">
        <f>IFERROR(1/(IF(Inputs!$B$38="pvp",15,MAX(0.1,Skills!D9-IF(TRUE=TRUE,2.0,0)))*(1-IF(AND(ArtifactsInput!$M$27,Inputs!$B$4="Chapter Hunt"),CHOOSE(ArtifactsInput!$N$27+1,20,24,28,32,36,40),0)/100)),0)</f>
        <v/>
      </c>
      <c r="R3084">
        <f>IF(AND(Inputs!$B$38&lt;&gt;"pvp",Inputs!$B$43&gt;0),IF(MAX(0,Inputs!$B$43-B3113)&lt;=0,0,(INT(MAX(0,Inputs!$B$43-B3113)/(IF(Inputs!$B$38="pvp",15,MAX(0.1,Skills!D9-IF(TRUE=TRUE,2.0,0)))*(1-IF(AND(ArtifactsInput!$M$27,Inputs!$B$4="Chapter Hunt"),CHOOSE(ArtifactsInput!$N$27+1,20,24,28,32,36,40),0)/100)))+1)),0)</f>
        <v/>
      </c>
      <c r="S3084">
        <f>IFERROR(O3084/N3084,0)</f>
        <v/>
      </c>
      <c r="T3084">
        <f>IF(C3084,(H3084*N3084*IF(AND(Inputs!$B$38&lt;&gt;"pvp",Inputs!$B$43&gt;0),((Skills!G9*((R3084-1)*IF(Skills!H9&gt;0,INT(Skills!I9/Skills!H9+0.000000001),1)+IF(Skills!H9&gt;0,INT(MIN(Skills!I9,MAX(0,MAX(0,Inputs!$B$43-B3113)-((R3084-1)*(IF(Inputs!$B$38="pvp",15,MAX(0.1,Skills!D9-IF(TRUE=TRUE,2.0,0)))*(1-IF(AND(ArtifactsInput!$M$27,Inputs!$B$4="Chapter Hunt"),CHOOSE(ArtifactsInput!$N$27+1,20,24,28,32,36,40),0)/100)))))/Skills!H9+0.000000001),1)))/Inputs!$B$43),G3084*Q3084))*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Hunt"),CHOOSE(ArtifactsInput!$N$35+1,15,18,21,24,27,30)*(1-EXP(-(0.2*B3108)*5)),0)+IF(AND(ArtifactsInput!$M$22,Inputs!$B$4&lt;&gt;"Chapter Hunt"),CHOOSE(ArtifactsInput!$N$22+1,10,12,14,16,18,20)*((0*(((0.15*B3108*5))^0/1)+1*(((0.15*B3108*5))^1/1)+2*(((0.15*B3108*5))^2/2)+3*(((0.15*B3108*5))^3/6)+4*(((0.15*B3108*5))^4/24)+5*(((0.15*B3108*5))^5/120))/((((0.15*B3108*5))^0/1)+(((0.15*B3108*5))^1/1)+(((0.15*B3108*5))^2/2)+(((0.15*B3108*5))^3/6)+(((0.15*B3108*5))^4/24)+(((0.15*B3108*5))^5/120))),0))+IF(Inputs!$B$3&gt;=54,9*(C3078=TRUE)*MIN(1,8*(1+Inputs!$B$34/100)*Q3078)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3084*(1-MIN(100,(Inputs!$B$9+((C3094=TRUE)*(F3094-Calc!F19))+B3106+(ArtifactsInput!$M$24-ArtifactsInput!$M$24)*CHOOSE(ArtifactsInput!$N$24+1,10,12,14,16,18,20)+(IF(AND(Inputs!$B$38&lt;&gt;"pvp",Inputs!$B$43=0),1,IF(IF(Inputs!$B$38="pvp",15,Inputs!$B$43)-(B3113)&lt;=0,1,MAX(0,IF(Inputs!$B$38="pvp",15,Inputs!$B$43)-MAX(5,B3113))/(IF(Inputs!$B$38="pvp",15,Inputs!$B$43)-(B3113))))*IF(AND(ArtifactsInput!$M$42,((Inputs!$B$9+((C3094=TRUE)*(F3094-Calc!F19))+B3106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3084*(MIN(100,(Inputs!$B$9+((C3094=TRUE)*(F3094-Calc!F19))+B3106+(ArtifactsInput!$M$24-ArtifactsInput!$M$24)*CHOOSE(ArtifactsInput!$N$24+1,10,12,14,16,18,20)+(IF(AND(Inputs!$B$38&lt;&gt;"pvp",Inputs!$B$43=0),1,IF(IF(Inputs!$B$38="pvp",15,Inputs!$B$43)-(B3113)&lt;=0,1,MAX(0,IF(Inputs!$B$38="pvp",15,Inputs!$B$43)-MAX(5,B3113))/(IF(Inputs!$B$38="pvp",15,Inputs!$B$43)-(B3113))))*IF(AND(ArtifactsInput!$M$42,((Inputs!$B$9+((C3094=TRUE)*(F3094-Calc!F19))+B3106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3084*(1-MIN(100,(Inputs!$B$9+((C3094=TRUE)*(F3094-Calc!F19))+B3106+(ArtifactsInput!$M$24-ArtifactsInput!$M$24)*CHOOSE(ArtifactsInput!$N$24+1,10,12,14,16,18,20)+(IF(AND(Inputs!$B$38&lt;&gt;"pvp",Inputs!$B$43=0),1,IF(IF(Inputs!$B$38="pvp",15,Inputs!$B$43)-(B3113)&lt;=0,1,MAX(0,IF(Inputs!$B$38="pvp",15,Inputs!$B$43)-MAX(5,B3113))/(IF(Inputs!$B$38="pvp",15,Inputs!$B$43)-(B3113))))*IF(AND(ArtifactsInput!$M$42,((Inputs!$B$9+((C3094=TRUE)*(F3094-Calc!F19))+B3106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3084*(MIN(100,(Inputs!$B$9+((C3094=TRUE)*(F3094-Calc!F19))+B3106+(ArtifactsInput!$M$24-ArtifactsInput!$M$24)*CHOOSE(ArtifactsInput!$N$24+1,10,12,14,16,18,20)+(IF(AND(Inputs!$B$38&lt;&gt;"pvp",Inputs!$B$43=0),1,IF(IF(Inputs!$B$38="pvp",15,Inputs!$B$43)-(B3113)&lt;=0,1,MAX(0,IF(Inputs!$B$38="pvp",15,Inputs!$B$43)-MAX(5,B3113))/(IF(Inputs!$B$38="pvp",15,Inputs!$B$43)-(B3113))))*IF(AND(ArtifactsInput!$M$42,((Inputs!$B$9+((C3094=TRUE)*(F3094-Calc!F19))+B3106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084">
        <f>IF(C3084,(H3084*N3084*IF(AND(Inputs!$B$38&lt;&gt;"pvp",Inputs!$B$43&gt;0),((Skills!G9*((R3084-1)*IF(Skills!H9&gt;0,INT(Skills!I9/Skills!H9+0.000000001),1)+IF(Skills!H9&gt;0,INT(MIN(Skills!I9,MAX(0,MAX(0,Inputs!$B$43-B3113)-((R3084-1)*(IF(Inputs!$B$38="pvp",15,MAX(0.1,Skills!D9-IF(TRUE=TRUE,2.0,0)))*(1-IF(AND(ArtifactsInput!$M$27,Inputs!$B$4="Chapter Hunt"),CHOOSE(ArtifactsInput!$N$27+1,20,24,28,32,36,40),0)/100)))))/Skills!H9+0.000000001),1)))/Inputs!$B$43),G3084*Q3084))*IF(Inputs!$B$38="pvp",1,(1+(Inputs!$B$21+Skills!Q9+(IF(ArtifactsInput!$M$33,CHOOSE(ArtifactsInput!$N$33+1,30,36,42,48,54,60),0))+(IF(AND(ArtifactsInput!$M$35,Inputs!$B$4&lt;&gt;"Chapter Hunt"),CHOOSE(ArtifactsInput!$N$35+1,15,18,21,24,27,30)*(1-EXP(-(0.2*B3108)*5)),0)+IF(AND(ArtifactsInput!$M$22,Inputs!$B$4&lt;&gt;"Chapter Hunt"),CHOOSE(ArtifactsInput!$N$22+1,10,12,14,16,18,20)*((0*(((0.15*B3108*5))^0/1)+1*(((0.15*B3108*5))^1/1)+2*(((0.15*B3108*5))^2/2)+3*(((0.15*B3108*5))^3/6)+4*(((0.15*B3108*5))^4/24)+5*(((0.15*B3108*5))^5/120))/((((0.15*B3108*5))^0/1)+(((0.15*B3108*5))^1/1)+(((0.15*B3108*5))^2/2)+(((0.15*B3108*5))^3/6)+(((0.15*B3108*5))^4/24)+(((0.15*B3108*5))^5/120))),0))+IF(Inputs!$B$3&gt;=54,9*(C3078=TRUE)*MIN(1,8*(1+Inputs!$B$34/100)*Q3078),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85">
      <c r="A3085">
        <f>Skills!A10</f>
        <v/>
      </c>
      <c r="B3085">
        <f>Skills!B10</f>
        <v/>
      </c>
      <c r="C3085">
        <f>Inputs!$B$3&gt;=113</f>
        <v/>
      </c>
      <c r="D3085">
        <f>IF(Skills!C10=1,60+Inputs!$B$25+Inputs!$B$29,IF(Skills!C10=2,90+Inputs!$B$26+Inputs!$B$29,IF(Skills!C10=3,120+Inputs!$B$27+Inputs!$B$29,MAX(0,(Inputs!$B$3-100)*3)+Inputs!$B$28+Inputs!$B$29)))</f>
        <v/>
      </c>
      <c r="E3085">
        <f>INDEX(FactorTable!$B$2:$Y$301, MATCH(ROUND(MIN(300,MAX(1,D3085)),0), FactorTable!$A$2:$A$301,0), Skills!M10+1)</f>
        <v/>
      </c>
      <c r="F3085">
        <f>IF(Skills!N10=TRUE,(Skills!L10/10)*(E3085/1000),Skills!L10/10)+Skills!O10</f>
        <v/>
      </c>
      <c r="G3085">
        <f>Skills!G10*IF(Skills!H10&gt;0,INT(IF(Inputs!$B$38="pvp",MIN(Skills!I10,15),Skills!I10)/Skills!H10+0.000000001),1)</f>
        <v/>
      </c>
      <c r="H3085">
        <f>1-(1-Skills!J10/100)^Skills!K10</f>
        <v/>
      </c>
      <c r="I3085" t="inlineStr">
        <is>
          <t>1</t>
        </is>
      </c>
      <c r="J3085">
        <f>((Inputs!$B$6*(1+Inputs!$B$7/100))+(((Inputs!$B$12*(1+Inputs!$B$13/100))-(Inputs!$B$12*(1+Inputs!$B$13/100)))+0.25*(Inputs!$B$14-Inputs!$B$14))*(1+Inputs!$B$7/100))*(F3085/100)</f>
        <v/>
      </c>
      <c r="K3085">
        <f>J3085*(1+((Inputs!$B$12*(1+Inputs!$B$13/100))*0.01+Inputs!$B$14*0.0025)/100)*(1+Inputs!$B$15/100)*(1+Inputs!$B$16/100)*(5000/(6000+Inputs!$B$42*(1-(100*(1-(1-(Inputs!$B$19+0)/100)*(1-CHOOSE(ArtifactsInput!$N$40+1,5,6,7,8,9,10)/100)^(ArtifactsInput!$M$40-ArtifactsInput!$M$40)))/100)))*(1+(Inputs!$B$24+((C3101=TRUE)*(F3101-Calc!F26))+B3112)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IGHT_LEGS_EASTON",Inputs!$B$17+((C3098=TRUE)*(F3098-Calc!F23))+((C3102=TRUE)*(F3102-Calc!F27))+((IF(AND(Inputs!$B$38&lt;&gt;"pvp",Inputs!$B$43=0),1,IF(IF(Inputs!$B$38="pvp",15,Inputs!$B$43)-(B3113)&lt;=0,1,MAX(0,IF(Inputs!$B$38="pvp",15,Inputs!$B$43)-MAX(5,B3113))/(IF(Inputs!$B$38="pvp",15,Inputs!$B$43)-(B3113))))*(IF(AND(ArtifactsInput!$M$42,((Inputs!$B$9+((C3094=TRUE)*(F3094-Calc!F19))+B3106+(ArtifactsInput!$M$24-ArtifactsInput!$M$24)*CHOOSE(ArtifactsInput!$N$24+1,10,12,14,16,18,20)+IF(ArtifactsInput!$M$10,CHOOSE(ArtifactsInput!$N$10+1,15,18,21,24,27,30)*(IF(Inputs!$B$38="pvp",MIN(15,15)/15,IF(AND(Inputs!$B$38&lt;&gt;"pvp",Inputs!$B$43&gt;0),MIN(15,Inputs!$B$43)/(Inputs!$B$43),0))),0)))&gt;=100),MIN(100,((Inputs!$B$9+((C3094=TRUE)*(F3094-Calc!F19))+B3106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3113)&lt;=0,1,MAX(0,IF(Inputs!$B$38="pvp",15,Inputs!$B$43)-MAX(5,B3113))/(IF(Inputs!$B$38="pvp",15,Inputs!$B$43)-(B3113))))*IF(AND(ArtifactsInput!$M$42,((Inputs!$B$9+((C3094=TRUE)*(F3094-Calc!F19))+B3106+(ArtifactsInput!$M$24-ArtifactsInput!$M$24)*CHOOSE(ArtifactsInput!$N$24+1,10,12,14,16,18,20)+IF(ArtifactsInput!$M$10,CHOOSE(ArtifactsInput!$N$10+1,15,18,21,24,27,30)*(IF(Inputs!$B$38="pvp",MIN(15,15)/15,IF(AND(Inputs!$B$38&lt;&gt;"pvp",Inputs!$B$43&gt;0),MIN(15,Inputs!$B$43)/(Inputs!$B$43),0))),0)))&gt;=100),CHOOSE(ArtifactsInput!$N$42+1,40,48,56,64,72,80),0))))/100)*((1+(((C3092=TRUE)*F3092*5/7)+((C3099=TRUE)*(F3099-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3085)</f>
        <v/>
      </c>
      <c r="L3085">
        <f>K3085*(MIN(Inputs!$B$22+((C3097=TRUE)*(F3097-Calc!F22)),(Inputs!$B$23+0+(IF(ArtifactsInput!$M$15,CHOOSE(ArtifactsInput!$N$15+1,25,30,35,40,45,50)/100*(Inputs!$B$11-Inputs!$B$11),0))))/100+(Inputs!$B$23+0+(IF(ArtifactsInput!$M$15,CHOOSE(ArtifactsInput!$N$15+1,25,30,35,40,45,50)/100*(Inputs!$B$11-Inputs!$B$11),0)))/100)/2</f>
        <v/>
      </c>
      <c r="M3085">
        <f>L3085*(1+(Inputs!$B$10+((C3100=TRUE)*(F3100-Calc!F25))+B3111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85">
        <f>L3085*(1-MIN((Inputs!$B$9+((C3094=TRUE)*(F3094-Calc!F19))+B3106+(ArtifactsInput!$M$24-ArtifactsInput!$M$24)*CHOOSE(ArtifactsInput!$N$24+1,10,12,14,16,18,20)+(IF(AND(Inputs!$B$38&lt;&gt;"pvp",Inputs!$B$43=0),1,IF(IF(Inputs!$B$38="pvp",15,Inputs!$B$43)-(B3113)&lt;=0,1,MAX(0,IF(Inputs!$B$38="pvp",15,Inputs!$B$43)-MAX(5,B3113))/(IF(Inputs!$B$38="pvp",15,Inputs!$B$43)-(B3113))))*IF(AND(ArtifactsInput!$M$42,((Inputs!$B$9+((C3094=TRUE)*(F3094-Calc!F19))+B3106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3085*(MIN((Inputs!$B$9+((C3094=TRUE)*(F3094-Calc!F19))+B3106+(ArtifactsInput!$M$24-ArtifactsInput!$M$24)*CHOOSE(ArtifactsInput!$N$24+1,10,12,14,16,18,20)+(IF(AND(Inputs!$B$38&lt;&gt;"pvp",Inputs!$B$43=0),1,IF(IF(Inputs!$B$38="pvp",15,Inputs!$B$43)-(B3113)&lt;=0,1,MAX(0,IF(Inputs!$B$38="pvp",15,Inputs!$B$43)-MAX(5,B3113))/(IF(Inputs!$B$38="pvp",15,Inputs!$B$43)-(B3113))))*IF(AND(ArtifactsInput!$M$42,((Inputs!$B$9+((C3094=TRUE)*(F3094-Calc!F19))+B3106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85">
        <f>(1-Summary!$B$11)*T3085+Summary!$B$11*V3085</f>
        <v/>
      </c>
      <c r="P3085">
        <f>IF(B3116=0,0,O3085/B3116)</f>
        <v/>
      </c>
      <c r="Q3085" t="n">
        <v>0</v>
      </c>
      <c r="R3085" t="n">
        <v>0</v>
      </c>
      <c r="S3085">
        <f>IFERROR(O3085/N3085,0)</f>
        <v/>
      </c>
      <c r="T3085">
        <f>IF(C3085,((H3085*B3118)/(1+Skills!H10*H3085*B3118)*N3085)*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Hunt"),CHOOSE(ArtifactsInput!$N$35+1,15,18,21,24,27,30)*(1-EXP(-(0.2*B3108)*5)),0)+IF(AND(ArtifactsInput!$M$22,Inputs!$B$4&lt;&gt;"Chapter Hunt"),CHOOSE(ArtifactsInput!$N$22+1,10,12,14,16,18,20)*((0*(((0.15*B3108*5))^0/1)+1*(((0.15*B3108*5))^1/1)+2*(((0.15*B3108*5))^2/2)+3*(((0.15*B3108*5))^3/6)+4*(((0.15*B3108*5))^4/24)+5*(((0.15*B3108*5))^5/120))/((((0.15*B3108*5))^0/1)+(((0.15*B3108*5))^1/1)+(((0.15*B3108*5))^2/2)+(((0.15*B3108*5))^3/6)+(((0.15*B3108*5))^4/24)+(((0.15*B3108*5))^5/120))),0))+IF(Inputs!$B$3&gt;=54,9*(C3078=TRUE)*MIN(1,8*(1+Inputs!$B$34/100)*Q3078)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3085*(1-MIN(100,(Inputs!$B$9+((C3094=TRUE)*(F3094-Calc!F19))+B3106+(ArtifactsInput!$M$24-ArtifactsInput!$M$24)*CHOOSE(ArtifactsInput!$N$24+1,10,12,14,16,18,20)+(IF(AND(Inputs!$B$38&lt;&gt;"pvp",Inputs!$B$43=0),1,IF(IF(Inputs!$B$38="pvp",15,Inputs!$B$43)-(B3113)&lt;=0,1,MAX(0,IF(Inputs!$B$38="pvp",15,Inputs!$B$43)-MAX(5,B3113))/(IF(Inputs!$B$38="pvp",15,Inputs!$B$43)-(B3113))))*IF(AND(ArtifactsInput!$M$42,((Inputs!$B$9+((C3094=TRUE)*(F3094-Calc!F19))+B3106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3085*(MIN(100,(Inputs!$B$9+((C3094=TRUE)*(F3094-Calc!F19))+B3106+(ArtifactsInput!$M$24-ArtifactsInput!$M$24)*CHOOSE(ArtifactsInput!$N$24+1,10,12,14,16,18,20)+(IF(AND(Inputs!$B$38&lt;&gt;"pvp",Inputs!$B$43=0),1,IF(IF(Inputs!$B$38="pvp",15,Inputs!$B$43)-(B3113)&lt;=0,1,MAX(0,IF(Inputs!$B$38="pvp",15,Inputs!$B$43)-MAX(5,B3113))/(IF(Inputs!$B$38="pvp",15,Inputs!$B$43)-(B3113))))*IF(AND(ArtifactsInput!$M$42,((Inputs!$B$9+((C3094=TRUE)*(F3094-Calc!F19))+B3106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3085*(1-MIN(100,(Inputs!$B$9+((C3094=TRUE)*(F3094-Calc!F19))+B3106+(ArtifactsInput!$M$24-ArtifactsInput!$M$24)*CHOOSE(ArtifactsInput!$N$24+1,10,12,14,16,18,20)+(IF(AND(Inputs!$B$38&lt;&gt;"pvp",Inputs!$B$43=0),1,IF(IF(Inputs!$B$38="pvp",15,Inputs!$B$43)-(B3113)&lt;=0,1,MAX(0,IF(Inputs!$B$38="pvp",15,Inputs!$B$43)-MAX(5,B3113))/(IF(Inputs!$B$38="pvp",15,Inputs!$B$43)-(B3113))))*IF(AND(ArtifactsInput!$M$42,((Inputs!$B$9+((C3094=TRUE)*(F3094-Calc!F19))+B3106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3085*(MIN(100,(Inputs!$B$9+((C3094=TRUE)*(F3094-Calc!F19))+B3106+(ArtifactsInput!$M$24-ArtifactsInput!$M$24)*CHOOSE(ArtifactsInput!$N$24+1,10,12,14,16,18,20)+(IF(AND(Inputs!$B$38&lt;&gt;"pvp",Inputs!$B$43=0),1,IF(IF(Inputs!$B$38="pvp",15,Inputs!$B$43)-(B3113)&lt;=0,1,MAX(0,IF(Inputs!$B$38="pvp",15,Inputs!$B$43)-MAX(5,B3113))/(IF(Inputs!$B$38="pvp",15,Inputs!$B$43)-(B3113))))*IF(AND(ArtifactsInput!$M$42,((Inputs!$B$9+((C3094=TRUE)*(F3094-Calc!F19))+B3106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085">
        <f>IF(C3085,((H3085*B3118)/(1+Skills!H10*H3085*B3118)*N3085)*IF(Inputs!$B$38="pvp",1,(1+(Inputs!$B$21+Skills!Q10+(IF(ArtifactsInput!$M$33,CHOOSE(ArtifactsInput!$N$33+1,30,36,42,48,54,60),0))+(IF(AND(ArtifactsInput!$M$35,Inputs!$B$4&lt;&gt;"Chapter Hunt"),CHOOSE(ArtifactsInput!$N$35+1,15,18,21,24,27,30)*(1-EXP(-(0.2*B3108)*5)),0)+IF(AND(ArtifactsInput!$M$22,Inputs!$B$4&lt;&gt;"Chapter Hunt"),CHOOSE(ArtifactsInput!$N$22+1,10,12,14,16,18,20)*((0*(((0.15*B3108*5))^0/1)+1*(((0.15*B3108*5))^1/1)+2*(((0.15*B3108*5))^2/2)+3*(((0.15*B3108*5))^3/6)+4*(((0.15*B3108*5))^4/24)+5*(((0.15*B3108*5))^5/120))/((((0.15*B3108*5))^0/1)+(((0.15*B3108*5))^1/1)+(((0.15*B3108*5))^2/2)+(((0.15*B3108*5))^3/6)+(((0.15*B3108*5))^4/24)+(((0.15*B3108*5))^5/120))),0))+IF(Inputs!$B$3&gt;=54,9*(C3078=TRUE)*MIN(1,8*(1+Inputs!$B$34/100)*Q3078),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86">
      <c r="A3086">
        <f>Skills!A11</f>
        <v/>
      </c>
      <c r="B3086">
        <f>Skills!B11</f>
        <v/>
      </c>
      <c r="C3086">
        <f>Inputs!$B$3&gt;=117</f>
        <v/>
      </c>
      <c r="D3086">
        <f>IF(Skills!C11=1,60+Inputs!$B$25+Inputs!$B$29,IF(Skills!C11=2,90+Inputs!$B$26+Inputs!$B$29,IF(Skills!C11=3,120+Inputs!$B$27+Inputs!$B$29,MAX(0,(Inputs!$B$3-100)*3)+Inputs!$B$28+Inputs!$B$29)))</f>
        <v/>
      </c>
      <c r="E3086">
        <f>INDEX(FactorTable!$B$2:$Y$301, MATCH(ROUND(MIN(300,MAX(1,D3086)),0), FactorTable!$A$2:$A$301,0), Skills!M11+1)</f>
        <v/>
      </c>
      <c r="F3086">
        <f>IF(Skills!N11=TRUE,(Skills!L11/10)*(E3086/1000),Skills!L11/10)+Skills!O11</f>
        <v/>
      </c>
      <c r="G3086">
        <f>Skills!G11*IF(Skills!H11&gt;0,INT(IF(Inputs!$B$38="pvp",MIN(Skills!I11,15),Skills!I11)/Skills!H11+0.000000001),1)</f>
        <v/>
      </c>
      <c r="H3086">
        <f>1-(1-Skills!J11/100)^Skills!K11</f>
        <v/>
      </c>
      <c r="I3086" t="inlineStr">
        <is>
          <t>1</t>
        </is>
      </c>
      <c r="J3086">
        <f>((Inputs!$B$6*(1+Inputs!$B$7/100))+(((Inputs!$B$12*(1+Inputs!$B$13/100))-(Inputs!$B$12*(1+Inputs!$B$13/100)))+0.25*(Inputs!$B$14-Inputs!$B$14))*(1+Inputs!$B$7/100))*(F3086/100)</f>
        <v/>
      </c>
      <c r="K3086">
        <f>J3086*(1+((Inputs!$B$12*(1+Inputs!$B$13/100))*0.01+Inputs!$B$14*0.0025)/100)*(1+Inputs!$B$15/100)*(1+Inputs!$B$16/100)*(5000/(6000+Inputs!$B$42*(1-(100*(1-(1-(Inputs!$B$19+0)/100)*(1-CHOOSE(ArtifactsInput!$N$40+1,5,6,7,8,9,10)/100)^(ArtifactsInput!$M$40-ArtifactsInput!$M$40)))/100)))*(1+(Inputs!$B$24+((C3101=TRUE)*(F3101-Calc!F26))+B3112)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IGHT_LEGS_EASTON",Inputs!$B$17+((C3098=TRUE)*(F3098-Calc!F23))+((C3102=TRUE)*(F3102-Calc!F27))+((IF(AND(Inputs!$B$38&lt;&gt;"pvp",Inputs!$B$43=0),1,IF(IF(Inputs!$B$38="pvp",15,Inputs!$B$43)-(B3113)&lt;=0,1,MAX(0,IF(Inputs!$B$38="pvp",15,Inputs!$B$43)-MAX(5,B3113))/(IF(Inputs!$B$38="pvp",15,Inputs!$B$43)-(B3113))))*(IF(AND(ArtifactsInput!$M$42,((Inputs!$B$9+((C3094=TRUE)*(F3094-Calc!F19))+B3106+(ArtifactsInput!$M$24-ArtifactsInput!$M$24)*CHOOSE(ArtifactsInput!$N$24+1,10,12,14,16,18,20)+IF(ArtifactsInput!$M$10,CHOOSE(ArtifactsInput!$N$10+1,15,18,21,24,27,30)*(IF(Inputs!$B$38="pvp",MIN(15,15)/15,IF(AND(Inputs!$B$38&lt;&gt;"pvp",Inputs!$B$43&gt;0),MIN(15,Inputs!$B$43)/(Inputs!$B$43),0))),0)))&gt;=100),MIN(100,((Inputs!$B$9+((C3094=TRUE)*(F3094-Calc!F19))+B3106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3113)&lt;=0,1,MAX(0,IF(Inputs!$B$38="pvp",15,Inputs!$B$43)-MAX(5,B3113))/(IF(Inputs!$B$38="pvp",15,Inputs!$B$43)-(B3113))))*IF(AND(ArtifactsInput!$M$42,((Inputs!$B$9+((C3094=TRUE)*(F3094-Calc!F19))+B3106+(ArtifactsInput!$M$24-ArtifactsInput!$M$24)*CHOOSE(ArtifactsInput!$N$24+1,10,12,14,16,18,20)+IF(ArtifactsInput!$M$10,CHOOSE(ArtifactsInput!$N$10+1,15,18,21,24,27,30)*(IF(Inputs!$B$38="pvp",MIN(15,15)/15,IF(AND(Inputs!$B$38&lt;&gt;"pvp",Inputs!$B$43&gt;0),MIN(15,Inputs!$B$43)/(Inputs!$B$43),0))),0)))&gt;=100),CHOOSE(ArtifactsInput!$N$42+1,40,48,56,64,72,80),0))))/100)*((1+(((C3092=TRUE)*F3092*5/7)+((C3099=TRUE)*(F3099-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3086)</f>
        <v/>
      </c>
      <c r="L3086">
        <f>K3086*(MIN(Inputs!$B$22+((C3097=TRUE)*(F3097-Calc!F22)),(Inputs!$B$23+0+(IF(ArtifactsInput!$M$15,CHOOSE(ArtifactsInput!$N$15+1,25,30,35,40,45,50)/100*(Inputs!$B$11-Inputs!$B$11),0))))/100+(Inputs!$B$23+0+(IF(ArtifactsInput!$M$15,CHOOSE(ArtifactsInput!$N$15+1,25,30,35,40,45,50)/100*(Inputs!$B$11-Inputs!$B$11),0)))/100)/2</f>
        <v/>
      </c>
      <c r="M3086">
        <f>L3086*(1+(Inputs!$B$10+((C3100=TRUE)*(F3100-Calc!F25))+B3111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86">
        <f>L3086*(1-MIN((Inputs!$B$9+((C3094=TRUE)*(F3094-Calc!F19))+B3106+(ArtifactsInput!$M$24-ArtifactsInput!$M$24)*CHOOSE(ArtifactsInput!$N$24+1,10,12,14,16,18,20)+(IF(AND(Inputs!$B$38&lt;&gt;"pvp",Inputs!$B$43=0),1,IF(IF(Inputs!$B$38="pvp",15,Inputs!$B$43)-(B3113)&lt;=0,1,MAX(0,IF(Inputs!$B$38="pvp",15,Inputs!$B$43)-MAX(5,B3113))/(IF(Inputs!$B$38="pvp",15,Inputs!$B$43)-(B3113))))*IF(AND(ArtifactsInput!$M$42,((Inputs!$B$9+((C3094=TRUE)*(F3094-Calc!F19))+B3106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3086*(MIN((Inputs!$B$9+((C3094=TRUE)*(F3094-Calc!F19))+B3106+(ArtifactsInput!$M$24-ArtifactsInput!$M$24)*CHOOSE(ArtifactsInput!$N$24+1,10,12,14,16,18,20)+(IF(AND(Inputs!$B$38&lt;&gt;"pvp",Inputs!$B$43=0),1,IF(IF(Inputs!$B$38="pvp",15,Inputs!$B$43)-(B3113)&lt;=0,1,MAX(0,IF(Inputs!$B$38="pvp",15,Inputs!$B$43)-MAX(5,B3113))/(IF(Inputs!$B$38="pvp",15,Inputs!$B$43)-(B3113))))*IF(AND(ArtifactsInput!$M$42,((Inputs!$B$9+((C3094=TRUE)*(F3094-Calc!F19))+B3106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86">
        <f>(1-Summary!$B$11)*T3086+Summary!$B$11*V3086</f>
        <v/>
      </c>
      <c r="P3086">
        <f>IF(B3116=0,0,O3086/B3116)</f>
        <v/>
      </c>
      <c r="Q3086">
        <f>IFERROR(1/((IF(Inputs!$B$38="pvp",15,MAX(0.1,Skills!D11-IF(TRUE=TRUE,2.0,0)))*(1-IF(AND(ArtifactsInput!$M$27,Inputs!$B$4="Chapter Hunt"),CHOOSE(ArtifactsInput!$N$27+1,20,24,28,32,36,40),0)/100))/B3117),0)</f>
        <v/>
      </c>
      <c r="R3086">
        <f>IF(AND(Inputs!$B$38&lt;&gt;"pvp",Inputs!$B$43&gt;0),IF(MAX(0,Inputs!$B$43-B3113)&lt;=0,0,(INT(MAX(0,Inputs!$B$43-B3113)/((IF(Inputs!$B$38="pvp",15,MAX(0.1,Skills!D11-IF(TRUE=TRUE,2.0,0)))*(1-IF(AND(ArtifactsInput!$M$27,Inputs!$B$4="Chapter Hunt"),CHOOSE(ArtifactsInput!$N$27+1,20,24,28,32,36,40),0)/100))/B3117))+1)),0)</f>
        <v/>
      </c>
      <c r="S3086">
        <f>IFERROR(O3086/N3086,0)</f>
        <v/>
      </c>
      <c r="T3086">
        <f>IF(C3086,(H3086*N3086*IF(AND(Inputs!$B$38&lt;&gt;"pvp",Inputs!$B$43&gt;0),((Skills!G11*((R3086-1)*IF(Skills!H11&gt;0,INT(Skills!I11/Skills!H11+0.000000001),1)+IF(Skills!H11&gt;0,INT(MIN(Skills!I11,MAX(0,MAX(0,Inputs!$B$43-B3113)-((R3086-1)*((IF(Inputs!$B$38="pvp",15,MAX(0.1,Skills!D11-IF(TRUE=TRUE,2.0,0)))*(1-IF(AND(ArtifactsInput!$M$27,Inputs!$B$4="Chapter Hunt"),CHOOSE(ArtifactsInput!$N$27+1,20,24,28,32,36,40),0)/100))/B3117))))/Skills!H11+0.000000001),1)))/Inputs!$B$43),G3086*Q3086))*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Hunt"),CHOOSE(ArtifactsInput!$N$35+1,15,18,21,24,27,30)*(1-EXP(-(0.2*B3108)*5)),0)+IF(AND(ArtifactsInput!$M$22,Inputs!$B$4&lt;&gt;"Chapter Hunt"),CHOOSE(ArtifactsInput!$N$22+1,10,12,14,16,18,20)*((0*(((0.15*B3108*5))^0/1)+1*(((0.15*B3108*5))^1/1)+2*(((0.15*B3108*5))^2/2)+3*(((0.15*B3108*5))^3/6)+4*(((0.15*B3108*5))^4/24)+5*(((0.15*B3108*5))^5/120))/((((0.15*B3108*5))^0/1)+(((0.15*B3108*5))^1/1)+(((0.15*B3108*5))^2/2)+(((0.15*B3108*5))^3/6)+(((0.15*B3108*5))^4/24)+(((0.15*B3108*5))^5/120))),0))+IF(Inputs!$B$3&gt;=54,9*(C3078=TRUE)*MIN(1,8*(1+Inputs!$B$34/100)*Q3078)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3086*(1-MIN(100,(Inputs!$B$9+((C3094=TRUE)*(F3094-Calc!F19))+B3106+(ArtifactsInput!$M$24-ArtifactsInput!$M$24)*CHOOSE(ArtifactsInput!$N$24+1,10,12,14,16,18,20)+(IF(AND(Inputs!$B$38&lt;&gt;"pvp",Inputs!$B$43=0),1,IF(IF(Inputs!$B$38="pvp",15,Inputs!$B$43)-(B3113)&lt;=0,1,MAX(0,IF(Inputs!$B$38="pvp",15,Inputs!$B$43)-MAX(5,B3113))/(IF(Inputs!$B$38="pvp",15,Inputs!$B$43)-(B3113))))*IF(AND(ArtifactsInput!$M$42,((Inputs!$B$9+((C3094=TRUE)*(F3094-Calc!F19))+B3106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3086*(MIN(100,(Inputs!$B$9+((C3094=TRUE)*(F3094-Calc!F19))+B3106+(ArtifactsInput!$M$24-ArtifactsInput!$M$24)*CHOOSE(ArtifactsInput!$N$24+1,10,12,14,16,18,20)+(IF(AND(Inputs!$B$38&lt;&gt;"pvp",Inputs!$B$43=0),1,IF(IF(Inputs!$B$38="pvp",15,Inputs!$B$43)-(B3113)&lt;=0,1,MAX(0,IF(Inputs!$B$38="pvp",15,Inputs!$B$43)-MAX(5,B3113))/(IF(Inputs!$B$38="pvp",15,Inputs!$B$43)-(B3113))))*IF(AND(ArtifactsInput!$M$42,((Inputs!$B$9+((C3094=TRUE)*(F3094-Calc!F19))+B3106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3086*(1-MIN(100,(Inputs!$B$9+((C3094=TRUE)*(F3094-Calc!F19))+B3106+(ArtifactsInput!$M$24-ArtifactsInput!$M$24)*CHOOSE(ArtifactsInput!$N$24+1,10,12,14,16,18,20)+(IF(AND(Inputs!$B$38&lt;&gt;"pvp",Inputs!$B$43=0),1,IF(IF(Inputs!$B$38="pvp",15,Inputs!$B$43)-(B3113)&lt;=0,1,MAX(0,IF(Inputs!$B$38="pvp",15,Inputs!$B$43)-MAX(5,B3113))/(IF(Inputs!$B$38="pvp",15,Inputs!$B$43)-(B3113))))*IF(AND(ArtifactsInput!$M$42,((Inputs!$B$9+((C3094=TRUE)*(F3094-Calc!F19))+B3106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3086*(MIN(100,(Inputs!$B$9+((C3094=TRUE)*(F3094-Calc!F19))+B3106+(ArtifactsInput!$M$24-ArtifactsInput!$M$24)*CHOOSE(ArtifactsInput!$N$24+1,10,12,14,16,18,20)+(IF(AND(Inputs!$B$38&lt;&gt;"pvp",Inputs!$B$43=0),1,IF(IF(Inputs!$B$38="pvp",15,Inputs!$B$43)-(B3113)&lt;=0,1,MAX(0,IF(Inputs!$B$38="pvp",15,Inputs!$B$43)-MAX(5,B3113))/(IF(Inputs!$B$38="pvp",15,Inputs!$B$43)-(B3113))))*IF(AND(ArtifactsInput!$M$42,((Inputs!$B$9+((C3094=TRUE)*(F3094-Calc!F19))+B3106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086">
        <f>IF(C3086,(H3086*N3086*IF(AND(Inputs!$B$38&lt;&gt;"pvp",Inputs!$B$43&gt;0),((Skills!G11*((R3086-1)*IF(Skills!H11&gt;0,INT(Skills!I11/Skills!H11+0.000000001),1)+IF(Skills!H11&gt;0,INT(MIN(Skills!I11,MAX(0,MAX(0,Inputs!$B$43-B3113)-((R3086-1)*((IF(Inputs!$B$38="pvp",15,MAX(0.1,Skills!D11-IF(TRUE=TRUE,2.0,0)))*(1-IF(AND(ArtifactsInput!$M$27,Inputs!$B$4="Chapter Hunt"),CHOOSE(ArtifactsInput!$N$27+1,20,24,28,32,36,40),0)/100))/B3117))))/Skills!H11+0.000000001),1)))/Inputs!$B$43),G3086*Q3086))*IF(Inputs!$B$38="pvp",1,(1+(Inputs!$B$21+Skills!Q11+(IF(ArtifactsInput!$M$33,CHOOSE(ArtifactsInput!$N$33+1,30,36,42,48,54,60),0))+(IF(AND(ArtifactsInput!$M$35,Inputs!$B$4&lt;&gt;"Chapter Hunt"),CHOOSE(ArtifactsInput!$N$35+1,15,18,21,24,27,30)*(1-EXP(-(0.2*B3108)*5)),0)+IF(AND(ArtifactsInput!$M$22,Inputs!$B$4&lt;&gt;"Chapter Hunt"),CHOOSE(ArtifactsInput!$N$22+1,10,12,14,16,18,20)*((0*(((0.15*B3108*5))^0/1)+1*(((0.15*B3108*5))^1/1)+2*(((0.15*B3108*5))^2/2)+3*(((0.15*B3108*5))^3/6)+4*(((0.15*B3108*5))^4/24)+5*(((0.15*B3108*5))^5/120))/((((0.15*B3108*5))^0/1)+(((0.15*B3108*5))^1/1)+(((0.15*B3108*5))^2/2)+(((0.15*B3108*5))^3/6)+(((0.15*B3108*5))^4/24)+(((0.15*B3108*5))^5/120))),0))+IF(Inputs!$B$3&gt;=54,9*(C3078=TRUE)*MIN(1,8*(1+Inputs!$B$34/100)*Q3078),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87">
      <c r="A3087">
        <f>Skills!A12</f>
        <v/>
      </c>
      <c r="B3087">
        <f>Skills!B12</f>
        <v/>
      </c>
      <c r="C3087">
        <f>Inputs!$B$3&gt;=110</f>
        <v/>
      </c>
      <c r="D3087">
        <f>IF(Skills!C12=1,60+Inputs!$B$25+Inputs!$B$29,IF(Skills!C12=2,90+Inputs!$B$26+Inputs!$B$29,IF(Skills!C12=3,120+Inputs!$B$27+Inputs!$B$29,MAX(0,(Inputs!$B$3-100)*3)+Inputs!$B$28+Inputs!$B$29)))</f>
        <v/>
      </c>
      <c r="E3087">
        <f>INDEX(FactorTable!$B$2:$Y$301, MATCH(ROUND(MIN(300,MAX(1,D3087)),0), FactorTable!$A$2:$A$301,0), Skills!M12+1)</f>
        <v/>
      </c>
      <c r="F3087">
        <f>IF(Skills!N12=TRUE,(Skills!L12/10)*(E3087/1000),Skills!L12/10)+Skills!O12</f>
        <v/>
      </c>
      <c r="G3087">
        <f>Skills!G12*IF(Skills!H12&gt;0,INT(IF(Inputs!$B$38="pvp",MIN(Skills!I12,15),Skills!I12)/Skills!H12+0.000000001),1)</f>
        <v/>
      </c>
      <c r="H3087">
        <f>1-(1-Skills!J12/100)^Skills!K12</f>
        <v/>
      </c>
      <c r="I3087" t="inlineStr">
        <is>
          <t>1</t>
        </is>
      </c>
      <c r="J3087">
        <f>((Inputs!$B$6*(1+Inputs!$B$7/100))+(((Inputs!$B$12*(1+Inputs!$B$13/100))-(Inputs!$B$12*(1+Inputs!$B$13/100)))+0.25*(Inputs!$B$14-Inputs!$B$14))*(1+Inputs!$B$7/100))*(F3087/100)</f>
        <v/>
      </c>
      <c r="K3087">
        <f>J3087*(1+((Inputs!$B$12*(1+Inputs!$B$13/100))*0.01+Inputs!$B$14*0.0025)/100)*(1+Inputs!$B$15/100)*(1+Inputs!$B$16/100)*(5000/(6000+Inputs!$B$42*(1-(100*(1-(1-(Inputs!$B$19+0)/100)*(1-CHOOSE(ArtifactsInput!$N$40+1,5,6,7,8,9,10)/100)^(ArtifactsInput!$M$40-ArtifactsInput!$M$40)))/100)))*(1+(Inputs!$B$24+((C3101=TRUE)*(F3101-Calc!F26))+B3112)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EIGHT_LEGS_EASTON",Inputs!$B$17+((C3098=TRUE)*(F3098-Calc!F23))+((C3102=TRUE)*(F3102-Calc!F27))+((IF(AND(Inputs!$B$38&lt;&gt;"pvp",Inputs!$B$43=0),1,IF(IF(Inputs!$B$38="pvp",15,Inputs!$B$43)-(B3113)&lt;=0,1,MAX(0,IF(Inputs!$B$38="pvp",15,Inputs!$B$43)-MAX(5,B3113))/(IF(Inputs!$B$38="pvp",15,Inputs!$B$43)-(B3113))))*(IF(AND(ArtifactsInput!$M$42,((Inputs!$B$9+((C3094=TRUE)*(F3094-Calc!F19))+B3106+(ArtifactsInput!$M$24-ArtifactsInput!$M$24)*CHOOSE(ArtifactsInput!$N$24+1,10,12,14,16,18,20)+IF(ArtifactsInput!$M$10,CHOOSE(ArtifactsInput!$N$10+1,15,18,21,24,27,30)*(IF(Inputs!$B$38="pvp",MIN(15,15)/15,IF(AND(Inputs!$B$38&lt;&gt;"pvp",Inputs!$B$43&gt;0),MIN(15,Inputs!$B$43)/(Inputs!$B$43),0))),0)))&gt;=100),MIN(100,((Inputs!$B$9+((C3094=TRUE)*(F3094-Calc!F19))+B3106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3113)&lt;=0,1,MAX(0,IF(Inputs!$B$38="pvp",15,Inputs!$B$43)-MAX(5,B3113))/(IF(Inputs!$B$38="pvp",15,Inputs!$B$43)-(B3113))))*IF(AND(ArtifactsInput!$M$42,((Inputs!$B$9+((C3094=TRUE)*(F3094-Calc!F19))+B3106+(ArtifactsInput!$M$24-ArtifactsInput!$M$24)*CHOOSE(ArtifactsInput!$N$24+1,10,12,14,16,18,20)+IF(ArtifactsInput!$M$10,CHOOSE(ArtifactsInput!$N$10+1,15,18,21,24,27,30)*(IF(Inputs!$B$38="pvp",MIN(15,15)/15,IF(AND(Inputs!$B$38&lt;&gt;"pvp",Inputs!$B$43&gt;0),MIN(15,Inputs!$B$43)/(Inputs!$B$43),0))),0)))&gt;=100),CHOOSE(ArtifactsInput!$N$42+1,40,48,56,64,72,80),0))))/100)*((1+(((C3092=TRUE)*F3092*5/7)+((C3099=TRUE)*(F3099-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3087)</f>
        <v/>
      </c>
      <c r="L3087">
        <f>K3087*(MIN(Inputs!$B$22+((C3097=TRUE)*(F3097-Calc!F22)),(Inputs!$B$23+0+(IF(ArtifactsInput!$M$15,CHOOSE(ArtifactsInput!$N$15+1,25,30,35,40,45,50)/100*(Inputs!$B$11-Inputs!$B$11),0))))/100+(Inputs!$B$23+0+(IF(ArtifactsInput!$M$15,CHOOSE(ArtifactsInput!$N$15+1,25,30,35,40,45,50)/100*(Inputs!$B$11-Inputs!$B$11),0)))/100)/2</f>
        <v/>
      </c>
      <c r="M3087">
        <f>L3087*(1+(Inputs!$B$10+((C3100=TRUE)*(F3100-Calc!F25))+B3111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87">
        <f>L3087*(1-MIN((Inputs!$B$9+((C3094=TRUE)*(F3094-Calc!F19))+B3106+(ArtifactsInput!$M$24-ArtifactsInput!$M$24)*CHOOSE(ArtifactsInput!$N$24+1,10,12,14,16,18,20)+(IF(AND(Inputs!$B$38&lt;&gt;"pvp",Inputs!$B$43=0),1,IF(IF(Inputs!$B$38="pvp",15,Inputs!$B$43)-(B3113)&lt;=0,1,MAX(0,IF(Inputs!$B$38="pvp",15,Inputs!$B$43)-MAX(5,B3113))/(IF(Inputs!$B$38="pvp",15,Inputs!$B$43)-(B3113))))*IF(AND(ArtifactsInput!$M$42,((Inputs!$B$9+((C3094=TRUE)*(F3094-Calc!F19))+B3106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3087*(MIN((Inputs!$B$9+((C3094=TRUE)*(F3094-Calc!F19))+B3106+(ArtifactsInput!$M$24-ArtifactsInput!$M$24)*CHOOSE(ArtifactsInput!$N$24+1,10,12,14,16,18,20)+(IF(AND(Inputs!$B$38&lt;&gt;"pvp",Inputs!$B$43=0),1,IF(IF(Inputs!$B$38="pvp",15,Inputs!$B$43)-(B3113)&lt;=0,1,MAX(0,IF(Inputs!$B$38="pvp",15,Inputs!$B$43)-MAX(5,B3113))/(IF(Inputs!$B$38="pvp",15,Inputs!$B$43)-(B3113))))*IF(AND(ArtifactsInput!$M$42,((Inputs!$B$9+((C3094=TRUE)*(F3094-Calc!F19))+B3106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87">
        <f>(1-Summary!$B$11)*T3087+Summary!$B$11*V3087</f>
        <v/>
      </c>
      <c r="P3087">
        <f>IF(B3116=0,0,O3087/B3116)</f>
        <v/>
      </c>
      <c r="Q3087">
        <f>IFERROR(1/(IF(Inputs!$B$38="pvp",15,MAX(0.1,Skills!D12-IF(TRUE=TRUE,2.0,0)))*(1-IF(AND(ArtifactsInput!$M$27,Inputs!$B$4="Chapter Hunt"),CHOOSE(ArtifactsInput!$N$27+1,20,24,28,32,36,40),0)/100)),0)</f>
        <v/>
      </c>
      <c r="R3087">
        <f>IF(AND(Inputs!$B$38&lt;&gt;"pvp",Inputs!$B$43&gt;0),IF(MAX(0,Inputs!$B$43-B3113)&lt;=0,0,(INT(MAX(0,Inputs!$B$43-B3113)/(IF(Inputs!$B$38="pvp",15,MAX(0.1,Skills!D12-IF(TRUE=TRUE,2.0,0)))*(1-IF(AND(ArtifactsInput!$M$27,Inputs!$B$4="Chapter Hunt"),CHOOSE(ArtifactsInput!$N$27+1,20,24,28,32,36,40),0)/100)))+1)),0)</f>
        <v/>
      </c>
      <c r="S3087">
        <f>IFERROR(O3087/N3087,0)</f>
        <v/>
      </c>
      <c r="T3087">
        <f>IF(C3087,(H3087*N3087*IF(AND(Inputs!$B$38&lt;&gt;"pvp",Inputs!$B$43&gt;0),((Skills!G12*((R3087-1)*IF(Skills!H12&gt;0,INT(Skills!I12/Skills!H12+0.000000001),1)+IF(Skills!H12&gt;0,INT(MIN(Skills!I12,MAX(0,MAX(0,Inputs!$B$43-B3113)-((R3087-1)*(IF(Inputs!$B$38="pvp",15,MAX(0.1,Skills!D12-IF(TRUE=TRUE,2.0,0)))*(1-IF(AND(ArtifactsInput!$M$27,Inputs!$B$4="Chapter Hunt"),CHOOSE(ArtifactsInput!$N$27+1,20,24,28,32,36,40),0)/100)))))/Skills!H12+0.000000001),1)))/Inputs!$B$43),G3087*Q3087))*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Hunt"),CHOOSE(ArtifactsInput!$N$35+1,15,18,21,24,27,30)*(1-EXP(-(0.2*B3108)*5)),0)+IF(AND(ArtifactsInput!$M$22,Inputs!$B$4&lt;&gt;"Chapter Hunt"),CHOOSE(ArtifactsInput!$N$22+1,10,12,14,16,18,20)*((0*(((0.15*B3108*5))^0/1)+1*(((0.15*B3108*5))^1/1)+2*(((0.15*B3108*5))^2/2)+3*(((0.15*B3108*5))^3/6)+4*(((0.15*B3108*5))^4/24)+5*(((0.15*B3108*5))^5/120))/((((0.15*B3108*5))^0/1)+(((0.15*B3108*5))^1/1)+(((0.15*B3108*5))^2/2)+(((0.15*B3108*5))^3/6)+(((0.15*B3108*5))^4/24)+(((0.15*B3108*5))^5/120))),0))+IF(Inputs!$B$3&gt;=54,9*(C3078=TRUE)*MIN(1,8*(1+Inputs!$B$34/100)*Q3078)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3087*(1-MIN(100,(Inputs!$B$9+((C3094=TRUE)*(F3094-Calc!F19))+B3106+(ArtifactsInput!$M$24-ArtifactsInput!$M$24)*CHOOSE(ArtifactsInput!$N$24+1,10,12,14,16,18,20)+(IF(AND(Inputs!$B$38&lt;&gt;"pvp",Inputs!$B$43=0),1,IF(IF(Inputs!$B$38="pvp",15,Inputs!$B$43)-(B3113)&lt;=0,1,MAX(0,IF(Inputs!$B$38="pvp",15,Inputs!$B$43)-MAX(5,B3113))/(IF(Inputs!$B$38="pvp",15,Inputs!$B$43)-(B3113))))*IF(AND(ArtifactsInput!$M$42,((Inputs!$B$9+((C3094=TRUE)*(F3094-Calc!F19))+B3106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3087*(MIN(100,(Inputs!$B$9+((C3094=TRUE)*(F3094-Calc!F19))+B3106+(ArtifactsInput!$M$24-ArtifactsInput!$M$24)*CHOOSE(ArtifactsInput!$N$24+1,10,12,14,16,18,20)+(IF(AND(Inputs!$B$38&lt;&gt;"pvp",Inputs!$B$43=0),1,IF(IF(Inputs!$B$38="pvp",15,Inputs!$B$43)-(B3113)&lt;=0,1,MAX(0,IF(Inputs!$B$38="pvp",15,Inputs!$B$43)-MAX(5,B3113))/(IF(Inputs!$B$38="pvp",15,Inputs!$B$43)-(B3113))))*IF(AND(ArtifactsInput!$M$42,((Inputs!$B$9+((C3094=TRUE)*(F3094-Calc!F19))+B3106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3087*(1-MIN(100,(Inputs!$B$9+((C3094=TRUE)*(F3094-Calc!F19))+B3106+(ArtifactsInput!$M$24-ArtifactsInput!$M$24)*CHOOSE(ArtifactsInput!$N$24+1,10,12,14,16,18,20)+(IF(AND(Inputs!$B$38&lt;&gt;"pvp",Inputs!$B$43=0),1,IF(IF(Inputs!$B$38="pvp",15,Inputs!$B$43)-(B3113)&lt;=0,1,MAX(0,IF(Inputs!$B$38="pvp",15,Inputs!$B$43)-MAX(5,B3113))/(IF(Inputs!$B$38="pvp",15,Inputs!$B$43)-(B3113))))*IF(AND(ArtifactsInput!$M$42,((Inputs!$B$9+((C3094=TRUE)*(F3094-Calc!F19))+B3106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3087*(MIN(100,(Inputs!$B$9+((C3094=TRUE)*(F3094-Calc!F19))+B3106+(ArtifactsInput!$M$24-ArtifactsInput!$M$24)*CHOOSE(ArtifactsInput!$N$24+1,10,12,14,16,18,20)+(IF(AND(Inputs!$B$38&lt;&gt;"pvp",Inputs!$B$43=0),1,IF(IF(Inputs!$B$38="pvp",15,Inputs!$B$43)-(B3113)&lt;=0,1,MAX(0,IF(Inputs!$B$38="pvp",15,Inputs!$B$43)-MAX(5,B3113))/(IF(Inputs!$B$38="pvp",15,Inputs!$B$43)-(B3113))))*IF(AND(ArtifactsInput!$M$42,((Inputs!$B$9+((C3094=TRUE)*(F3094-Calc!F19))+B3106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087">
        <f>IF(C3087,(H3087*N3087*IF(AND(Inputs!$B$38&lt;&gt;"pvp",Inputs!$B$43&gt;0),((Skills!G12*((R3087-1)*IF(Skills!H12&gt;0,INT(Skills!I12/Skills!H12+0.000000001),1)+IF(Skills!H12&gt;0,INT(MIN(Skills!I12,MAX(0,MAX(0,Inputs!$B$43-B3113)-((R3087-1)*(IF(Inputs!$B$38="pvp",15,MAX(0.1,Skills!D12-IF(TRUE=TRUE,2.0,0)))*(1-IF(AND(ArtifactsInput!$M$27,Inputs!$B$4="Chapter Hunt"),CHOOSE(ArtifactsInput!$N$27+1,20,24,28,32,36,40),0)/100)))))/Skills!H12+0.000000001),1)))/Inputs!$B$43),G3087*Q3087))*IF(Inputs!$B$38="pvp",1,(1+(Inputs!$B$21+Skills!Q12+(IF(ArtifactsInput!$M$33,CHOOSE(ArtifactsInput!$N$33+1,30,36,42,48,54,60),0))+(IF(AND(ArtifactsInput!$M$35,Inputs!$B$4&lt;&gt;"Chapter Hunt"),CHOOSE(ArtifactsInput!$N$35+1,15,18,21,24,27,30)*(1-EXP(-(0.2*B3108)*5)),0)+IF(AND(ArtifactsInput!$M$22,Inputs!$B$4&lt;&gt;"Chapter Hunt"),CHOOSE(ArtifactsInput!$N$22+1,10,12,14,16,18,20)*((0*(((0.15*B3108*5))^0/1)+1*(((0.15*B3108*5))^1/1)+2*(((0.15*B3108*5))^2/2)+3*(((0.15*B3108*5))^3/6)+4*(((0.15*B3108*5))^4/24)+5*(((0.15*B3108*5))^5/120))/((((0.15*B3108*5))^0/1)+(((0.15*B3108*5))^1/1)+(((0.15*B3108*5))^2/2)+(((0.15*B3108*5))^3/6)+(((0.15*B3108*5))^4/24)+(((0.15*B3108*5))^5/120))),0))+IF(Inputs!$B$3&gt;=54,9*(C3078=TRUE)*MIN(1,8*(1+Inputs!$B$34/100)*Q3078),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88">
      <c r="A3088">
        <f>Skills!A13</f>
        <v/>
      </c>
      <c r="B3088">
        <f>Skills!B13</f>
        <v/>
      </c>
      <c r="C3088">
        <f>Inputs!$B$3&gt;=110</f>
        <v/>
      </c>
      <c r="D3088">
        <f>IF(Skills!C13=1,60+Inputs!$B$25+Inputs!$B$29,IF(Skills!C13=2,90+Inputs!$B$26+Inputs!$B$29,IF(Skills!C13=3,120+Inputs!$B$27+Inputs!$B$29,MAX(0,(Inputs!$B$3-100)*3)+Inputs!$B$28+Inputs!$B$29)))</f>
        <v/>
      </c>
      <c r="E3088">
        <f>INDEX(FactorTable!$B$2:$Y$301, MATCH(ROUND(MIN(300,MAX(1,D3088)),0), FactorTable!$A$2:$A$301,0), Skills!M13+1)</f>
        <v/>
      </c>
      <c r="F3088">
        <f>IF(Skills!N13=TRUE,(Skills!L13/10)*(E3088/1000),Skills!L13/10)+Skills!O13</f>
        <v/>
      </c>
      <c r="G3088">
        <f>Skills!G13*IF(Skills!H13&gt;0,INT(IF(Inputs!$B$38="pvp",MIN(Skills!I13,15),Skills!I13)/Skills!H13+0.000000001),1)</f>
        <v/>
      </c>
      <c r="H3088">
        <f>1-(1-Skills!J13/100)^Skills!K13</f>
        <v/>
      </c>
      <c r="I3088" t="inlineStr">
        <is>
          <t>1</t>
        </is>
      </c>
      <c r="J3088">
        <f>((Inputs!$B$6*(1+Inputs!$B$7/100))+(((Inputs!$B$12*(1+Inputs!$B$13/100))-(Inputs!$B$12*(1+Inputs!$B$13/100)))+0.25*(Inputs!$B$14-Inputs!$B$14))*(1+Inputs!$B$7/100))*(F3088/100)</f>
        <v/>
      </c>
      <c r="K3088">
        <f>J3088*(1+((Inputs!$B$12*(1+Inputs!$B$13/100))*0.01+Inputs!$B$14*0.0025)/100)*(1+Inputs!$B$15/100)*(1+Inputs!$B$16/100)*(5000/(6000+Inputs!$B$42*(1-(100*(1-(1-(Inputs!$B$19+0)/100)*(1-CHOOSE(ArtifactsInput!$N$40+1,5,6,7,8,9,10)/100)^(ArtifactsInput!$M$40-ArtifactsInput!$M$40)))/100)))*(1+(Inputs!$B$24+((C3101=TRUE)*(F3101-Calc!F26))+B3112)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EIGHT_LEGS_EASTON",Inputs!$B$17+((C3098=TRUE)*(F3098-Calc!F23))+((C3102=TRUE)*(F3102-Calc!F27))+((IF(AND(Inputs!$B$38&lt;&gt;"pvp",Inputs!$B$43=0),1,IF(IF(Inputs!$B$38="pvp",15,Inputs!$B$43)-(B3113)&lt;=0,1,MAX(0,IF(Inputs!$B$38="pvp",15,Inputs!$B$43)-MAX(5,B3113))/(IF(Inputs!$B$38="pvp",15,Inputs!$B$43)-(B3113))))*(IF(AND(ArtifactsInput!$M$42,((Inputs!$B$9+((C3094=TRUE)*(F3094-Calc!F19))+B3106+(ArtifactsInput!$M$24-ArtifactsInput!$M$24)*CHOOSE(ArtifactsInput!$N$24+1,10,12,14,16,18,20)+IF(ArtifactsInput!$M$10,CHOOSE(ArtifactsInput!$N$10+1,15,18,21,24,27,30)*(IF(Inputs!$B$38="pvp",MIN(15,15)/15,IF(AND(Inputs!$B$38&lt;&gt;"pvp",Inputs!$B$43&gt;0),MIN(15,Inputs!$B$43)/(Inputs!$B$43),0))),0)))&gt;=100),MIN(100,((Inputs!$B$9+((C3094=TRUE)*(F3094-Calc!F19))+B3106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3113)&lt;=0,1,MAX(0,IF(Inputs!$B$38="pvp",15,Inputs!$B$43)-MAX(5,B3113))/(IF(Inputs!$B$38="pvp",15,Inputs!$B$43)-(B3113))))*IF(AND(ArtifactsInput!$M$42,((Inputs!$B$9+((C3094=TRUE)*(F3094-Calc!F19))+B3106+(ArtifactsInput!$M$24-ArtifactsInput!$M$24)*CHOOSE(ArtifactsInput!$N$24+1,10,12,14,16,18,20)+IF(ArtifactsInput!$M$10,CHOOSE(ArtifactsInput!$N$10+1,15,18,21,24,27,30)*(IF(Inputs!$B$38="pvp",MIN(15,15)/15,IF(AND(Inputs!$B$38&lt;&gt;"pvp",Inputs!$B$43&gt;0),MIN(15,Inputs!$B$43)/(Inputs!$B$43),0))),0)))&gt;=100),CHOOSE(ArtifactsInput!$N$42+1,40,48,56,64,72,80),0))))/100)*((1+(((C3092=TRUE)*F3092*5/7)+((C3099=TRUE)*(F3099-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3088)</f>
        <v/>
      </c>
      <c r="L3088">
        <f>K3088*(MIN(Inputs!$B$22+((C3097=TRUE)*(F3097-Calc!F22)),(Inputs!$B$23+0+(IF(ArtifactsInput!$M$15,CHOOSE(ArtifactsInput!$N$15+1,25,30,35,40,45,50)/100*(Inputs!$B$11-Inputs!$B$11),0))))/100+(Inputs!$B$23+0+(IF(ArtifactsInput!$M$15,CHOOSE(ArtifactsInput!$N$15+1,25,30,35,40,45,50)/100*(Inputs!$B$11-Inputs!$B$11),0)))/100)/2</f>
        <v/>
      </c>
      <c r="M3088">
        <f>L3088*(1+(Inputs!$B$10+((C3100=TRUE)*(F3100-Calc!F25))+B3111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88">
        <f>L3088*(1-MIN((Inputs!$B$9+((C3094=TRUE)*(F3094-Calc!F19))+B3106+(ArtifactsInput!$M$24-ArtifactsInput!$M$24)*CHOOSE(ArtifactsInput!$N$24+1,10,12,14,16,18,20)+(IF(AND(Inputs!$B$38&lt;&gt;"pvp",Inputs!$B$43=0),1,IF(IF(Inputs!$B$38="pvp",15,Inputs!$B$43)-(B3113)&lt;=0,1,MAX(0,IF(Inputs!$B$38="pvp",15,Inputs!$B$43)-MAX(5,B3113))/(IF(Inputs!$B$38="pvp",15,Inputs!$B$43)-(B3113))))*IF(AND(ArtifactsInput!$M$42,((Inputs!$B$9+((C3094=TRUE)*(F3094-Calc!F19))+B3106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3088*(MIN((Inputs!$B$9+((C3094=TRUE)*(F3094-Calc!F19))+B3106+(ArtifactsInput!$M$24-ArtifactsInput!$M$24)*CHOOSE(ArtifactsInput!$N$24+1,10,12,14,16,18,20)+(IF(AND(Inputs!$B$38&lt;&gt;"pvp",Inputs!$B$43=0),1,IF(IF(Inputs!$B$38="pvp",15,Inputs!$B$43)-(B3113)&lt;=0,1,MAX(0,IF(Inputs!$B$38="pvp",15,Inputs!$B$43)-MAX(5,B3113))/(IF(Inputs!$B$38="pvp",15,Inputs!$B$43)-(B3113))))*IF(AND(ArtifactsInput!$M$42,((Inputs!$B$9+((C3094=TRUE)*(F3094-Calc!F19))+B3106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88">
        <f>(1-Summary!$B$11)*T3088+Summary!$B$11*V3088</f>
        <v/>
      </c>
      <c r="P3088">
        <f>IF(B3116=0,0,O3088/B3116)</f>
        <v/>
      </c>
      <c r="Q3088">
        <f>IFERROR(1/(IF(Inputs!$B$38="pvp",15,MAX(0.1,Skills!D13-IF(TRUE=TRUE,2.0,0)))*(1-IF(AND(ArtifactsInput!$M$27,Inputs!$B$4="Chapter Hunt"),CHOOSE(ArtifactsInput!$N$27+1,20,24,28,32,36,40),0)/100)),0)</f>
        <v/>
      </c>
      <c r="R3088">
        <f>IF(AND(Inputs!$B$38&lt;&gt;"pvp",Inputs!$B$43&gt;0),IF(MAX(0,Inputs!$B$43-B3113)&lt;=0,0,(INT(MAX(0,Inputs!$B$43-B3113)/(IF(Inputs!$B$38="pvp",15,MAX(0.1,Skills!D13-IF(TRUE=TRUE,2.0,0)))*(1-IF(AND(ArtifactsInput!$M$27,Inputs!$B$4="Chapter Hunt"),CHOOSE(ArtifactsInput!$N$27+1,20,24,28,32,36,40),0)/100)))+1)),0)</f>
        <v/>
      </c>
      <c r="S3088">
        <f>IFERROR(O3088/N3088,0)</f>
        <v/>
      </c>
      <c r="T3088">
        <f>IF(C3088,(H3088*N3088*IF(AND(Inputs!$B$38&lt;&gt;"pvp",Inputs!$B$43&gt;0),((Skills!G13*((R3088-1)*IF(Skills!H13&gt;0,INT(Skills!I13/Skills!H13+0.000000001),1)+IF(Skills!H13&gt;0,INT(MIN(Skills!I13,MAX(0,MAX(0,Inputs!$B$43-B3113)-((R3088-1)*(IF(Inputs!$B$38="pvp",15,MAX(0.1,Skills!D13-IF(TRUE=TRUE,2.0,0)))*(1-IF(AND(ArtifactsInput!$M$27,Inputs!$B$4="Chapter Hunt"),CHOOSE(ArtifactsInput!$N$27+1,20,24,28,32,36,40),0)/100)))))/Skills!H13+0.000000001),1)))/Inputs!$B$43),G3088*Q3088))*IF(Inputs!$B$38="pvp",1,1+(Inputs!$B$20+0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Hunt"),CHOOSE(ArtifactsInput!$N$35+1,15,18,21,24,27,30)*(1-EXP(-(0.2*B3108)*5)),0)+IF(AND(ArtifactsInput!$M$22,Inputs!$B$4&lt;&gt;"Chapter Hunt"),CHOOSE(ArtifactsInput!$N$22+1,10,12,14,16,18,20)*((0*(((0.15*B3108*5))^0/1)+1*(((0.15*B3108*5))^1/1)+2*(((0.15*B3108*5))^2/2)+3*(((0.15*B3108*5))^3/6)+4*(((0.15*B3108*5))^4/24)+5*(((0.15*B3108*5))^5/120))/((((0.15*B3108*5))^0/1)+(((0.15*B3108*5))^1/1)+(((0.15*B3108*5))^2/2)+(((0.15*B3108*5))^3/6)+(((0.15*B3108*5))^4/24)+(((0.15*B3108*5))^5/120))),0))+IF(Inputs!$B$3&gt;=54,9*(C3078=TRUE)*MIN(1,8*(1+Inputs!$B$34/100)*Q3078)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3088*(1-MIN(100,(Inputs!$B$9+((C3094=TRUE)*(F3094-Calc!F19))+B3106+(ArtifactsInput!$M$24-ArtifactsInput!$M$24)*CHOOSE(ArtifactsInput!$N$24+1,10,12,14,16,18,20)+(IF(AND(Inputs!$B$38&lt;&gt;"pvp",Inputs!$B$43=0),1,IF(IF(Inputs!$B$38="pvp",15,Inputs!$B$43)-(B3113)&lt;=0,1,MAX(0,IF(Inputs!$B$38="pvp",15,Inputs!$B$43)-MAX(5,B3113))/(IF(Inputs!$B$38="pvp",15,Inputs!$B$43)-(B3113))))*IF(AND(ArtifactsInput!$M$42,((Inputs!$B$9+((C3094=TRUE)*(F3094-Calc!F19))+B3106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3088*(MIN(100,(Inputs!$B$9+((C3094=TRUE)*(F3094-Calc!F19))+B3106+(ArtifactsInput!$M$24-ArtifactsInput!$M$24)*CHOOSE(ArtifactsInput!$N$24+1,10,12,14,16,18,20)+(IF(AND(Inputs!$B$38&lt;&gt;"pvp",Inputs!$B$43=0),1,IF(IF(Inputs!$B$38="pvp",15,Inputs!$B$43)-(B3113)&lt;=0,1,MAX(0,IF(Inputs!$B$38="pvp",15,Inputs!$B$43)-MAX(5,B3113))/(IF(Inputs!$B$38="pvp",15,Inputs!$B$43)-(B3113))))*IF(AND(ArtifactsInput!$M$42,((Inputs!$B$9+((C3094=TRUE)*(F3094-Calc!F19))+B3106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3088*(1-MIN(100,(Inputs!$B$9+((C3094=TRUE)*(F3094-Calc!F19))+B3106+(ArtifactsInput!$M$24-ArtifactsInput!$M$24)*CHOOSE(ArtifactsInput!$N$24+1,10,12,14,16,18,20)+(IF(AND(Inputs!$B$38&lt;&gt;"pvp",Inputs!$B$43=0),1,IF(IF(Inputs!$B$38="pvp",15,Inputs!$B$43)-(B3113)&lt;=0,1,MAX(0,IF(Inputs!$B$38="pvp",15,Inputs!$B$43)-MAX(5,B3113))/(IF(Inputs!$B$38="pvp",15,Inputs!$B$43)-(B3113))))*IF(AND(ArtifactsInput!$M$42,((Inputs!$B$9+((C3094=TRUE)*(F3094-Calc!F19))+B3106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3088*(MIN(100,(Inputs!$B$9+((C3094=TRUE)*(F3094-Calc!F19))+B3106+(ArtifactsInput!$M$24-ArtifactsInput!$M$24)*CHOOSE(ArtifactsInput!$N$24+1,10,12,14,16,18,20)+(IF(AND(Inputs!$B$38&lt;&gt;"pvp",Inputs!$B$43=0),1,IF(IF(Inputs!$B$38="pvp",15,Inputs!$B$43)-(B3113)&lt;=0,1,MAX(0,IF(Inputs!$B$38="pvp",15,Inputs!$B$43)-MAX(5,B3113))/(IF(Inputs!$B$38="pvp",15,Inputs!$B$43)-(B3113))))*IF(AND(ArtifactsInput!$M$42,((Inputs!$B$9+((C3094=TRUE)*(F3094-Calc!F19))+B3106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088">
        <f>IF(C3088,(H3088*N3088*IF(AND(Inputs!$B$38&lt;&gt;"pvp",Inputs!$B$43&gt;0),((Skills!G13*((R3088-1)*IF(Skills!H13&gt;0,INT(Skills!I13/Skills!H13+0.000000001),1)+IF(Skills!H13&gt;0,INT(MIN(Skills!I13,MAX(0,MAX(0,Inputs!$B$43-B3113)-((R3088-1)*(IF(Inputs!$B$38="pvp",15,MAX(0.1,Skills!D13-IF(TRUE=TRUE,2.0,0)))*(1-IF(AND(ArtifactsInput!$M$27,Inputs!$B$4="Chapter Hunt"),CHOOSE(ArtifactsInput!$N$27+1,20,24,28,32,36,40),0)/100)))))/Skills!H13+0.000000001),1)))/Inputs!$B$43),G3088*Q3088))*IF(Inputs!$B$38="pvp",1,(1+(Inputs!$B$21+Skills!Q13+(IF(ArtifactsInput!$M$33,CHOOSE(ArtifactsInput!$N$33+1,30,36,42,48,54,60),0))+(IF(AND(ArtifactsInput!$M$35,Inputs!$B$4&lt;&gt;"Chapter Hunt"),CHOOSE(ArtifactsInput!$N$35+1,15,18,21,24,27,30)*(1-EXP(-(0.2*B3108)*5)),0)+IF(AND(ArtifactsInput!$M$22,Inputs!$B$4&lt;&gt;"Chapter Hunt"),CHOOSE(ArtifactsInput!$N$22+1,10,12,14,16,18,20)*((0*(((0.15*B3108*5))^0/1)+1*(((0.15*B3108*5))^1/1)+2*(((0.15*B3108*5))^2/2)+3*(((0.15*B3108*5))^3/6)+4*(((0.15*B3108*5))^4/24)+5*(((0.15*B3108*5))^5/120))/((((0.15*B3108*5))^0/1)+(((0.15*B3108*5))^1/1)+(((0.15*B3108*5))^2/2)+(((0.15*B3108*5))^3/6)+(((0.15*B3108*5))^4/24)+(((0.15*B3108*5))^5/120))),0))+IF(Inputs!$B$3&gt;=54,9*(C3078=TRUE)*MIN(1,8*(1+Inputs!$B$34/100)*Q3078),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89">
      <c r="A3089">
        <f>Skills!A14</f>
        <v/>
      </c>
      <c r="B3089">
        <f>Skills!B14</f>
        <v/>
      </c>
      <c r="C3089">
        <f>Inputs!$B$3&gt;=120</f>
        <v/>
      </c>
      <c r="D3089">
        <f>IF(Skills!C14=1,60+Inputs!$B$25+Inputs!$B$29,IF(Skills!C14=2,90+Inputs!$B$26+Inputs!$B$29,IF(Skills!C14=3,120+Inputs!$B$27+Inputs!$B$29,MAX(0,(Inputs!$B$3-100)*3)+Inputs!$B$28+Inputs!$B$29)))</f>
        <v/>
      </c>
      <c r="E3089">
        <f>INDEX(FactorTable!$B$2:$Y$301, MATCH(ROUND(MIN(300,MAX(1,D3089)),0), FactorTable!$A$2:$A$301,0), Skills!M14+1)</f>
        <v/>
      </c>
      <c r="F3089">
        <f>IF(Skills!N14=TRUE,(Skills!L14/10)*(E3089/1000),Skills!L14/10)+Skills!O14</f>
        <v/>
      </c>
      <c r="G3089">
        <f>Skills!G14*IF(Skills!H14&gt;0,INT(IF(Inputs!$B$38="pvp",MIN(Skills!I14,15),Skills!I14)/Skills!H14+0.000000001),1)</f>
        <v/>
      </c>
      <c r="H3089">
        <f>1-(1-Skills!J14/100)^Skills!K14</f>
        <v/>
      </c>
      <c r="I3089" t="inlineStr">
        <is>
          <t>1</t>
        </is>
      </c>
      <c r="J3089">
        <f>((Inputs!$B$6*(1+Inputs!$B$7/100))+(((Inputs!$B$12*(1+Inputs!$B$13/100))-(Inputs!$B$12*(1+Inputs!$B$13/100)))+0.25*(Inputs!$B$14-Inputs!$B$14))*(1+Inputs!$B$7/100))*(F3089/100)</f>
        <v/>
      </c>
      <c r="K3089">
        <f>J3089*(1+((Inputs!$B$12*(1+Inputs!$B$13/100))*0.01+Inputs!$B$14*0.0025)/100)*(1+Inputs!$B$15/100)*(1+Inputs!$B$16/100)*(5000/(6000+Inputs!$B$42*(1-(100*(1-(1-(Inputs!$B$19+0)/100)*(1-CHOOSE(ArtifactsInput!$N$40+1,5,6,7,8,9,10)/100)^(ArtifactsInput!$M$40-ArtifactsInput!$M$40)))/100)))*(1+(Inputs!$B$24+((C3101=TRUE)*(F3101-Calc!F26))+B3112)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EIGHT_LEGS_EASTON",Inputs!$B$17+((C3098=TRUE)*(F3098-Calc!F23))+((C3102=TRUE)*(F3102-Calc!F27))+((IF(AND(Inputs!$B$38&lt;&gt;"pvp",Inputs!$B$43=0),1,IF(IF(Inputs!$B$38="pvp",15,Inputs!$B$43)-(B3113)&lt;=0,1,MAX(0,IF(Inputs!$B$38="pvp",15,Inputs!$B$43)-MAX(5,B3113))/(IF(Inputs!$B$38="pvp",15,Inputs!$B$43)-(B3113))))*(IF(AND(ArtifactsInput!$M$42,((Inputs!$B$9+((C3094=TRUE)*(F3094-Calc!F19))+B3106+(ArtifactsInput!$M$24-ArtifactsInput!$M$24)*CHOOSE(ArtifactsInput!$N$24+1,10,12,14,16,18,20)+IF(ArtifactsInput!$M$10,CHOOSE(ArtifactsInput!$N$10+1,15,18,21,24,27,30)*(IF(Inputs!$B$38="pvp",MIN(15,15)/15,IF(AND(Inputs!$B$38&lt;&gt;"pvp",Inputs!$B$43&gt;0),MIN(15,Inputs!$B$43)/(Inputs!$B$43),0))),0)))&gt;=100),MIN(100,((Inputs!$B$9+((C3094=TRUE)*(F3094-Calc!F19))+B3106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3113)&lt;=0,1,MAX(0,IF(Inputs!$B$38="pvp",15,Inputs!$B$43)-MAX(5,B3113))/(IF(Inputs!$B$38="pvp",15,Inputs!$B$43)-(B3113))))*IF(AND(ArtifactsInput!$M$42,((Inputs!$B$9+((C3094=TRUE)*(F3094-Calc!F19))+B3106+(ArtifactsInput!$M$24-ArtifactsInput!$M$24)*CHOOSE(ArtifactsInput!$N$24+1,10,12,14,16,18,20)+IF(ArtifactsInput!$M$10,CHOOSE(ArtifactsInput!$N$10+1,15,18,21,24,27,30)*(IF(Inputs!$B$38="pvp",MIN(15,15)/15,IF(AND(Inputs!$B$38&lt;&gt;"pvp",Inputs!$B$43&gt;0),MIN(15,Inputs!$B$43)/(Inputs!$B$43),0))),0)))&gt;=100),CHOOSE(ArtifactsInput!$N$42+1,40,48,56,64,72,80),0))))/100)*((1+(((C3092=TRUE)*F3092*5/7)+((C3099=TRUE)*(F3099-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3089)</f>
        <v/>
      </c>
      <c r="L3089">
        <f>K3089*(MIN(Inputs!$B$22+((C3097=TRUE)*(F3097-Calc!F22)),(Inputs!$B$23+0+(IF(ArtifactsInput!$M$15,CHOOSE(ArtifactsInput!$N$15+1,25,30,35,40,45,50)/100*(Inputs!$B$11-Inputs!$B$11),0))))/100+(Inputs!$B$23+0+(IF(ArtifactsInput!$M$15,CHOOSE(ArtifactsInput!$N$15+1,25,30,35,40,45,50)/100*(Inputs!$B$11-Inputs!$B$11),0)))/100)/2</f>
        <v/>
      </c>
      <c r="M3089">
        <f>L3089*(1+(Inputs!$B$10+((C3100=TRUE)*(F3100-Calc!F25))+B3111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89">
        <f>L3089*(1-MIN((Inputs!$B$9+((C3094=TRUE)*(F3094-Calc!F19))+B3106+(ArtifactsInput!$M$24-ArtifactsInput!$M$24)*CHOOSE(ArtifactsInput!$N$24+1,10,12,14,16,18,20)+(IF(AND(Inputs!$B$38&lt;&gt;"pvp",Inputs!$B$43=0),1,IF(IF(Inputs!$B$38="pvp",15,Inputs!$B$43)-(B3113)&lt;=0,1,MAX(0,IF(Inputs!$B$38="pvp",15,Inputs!$B$43)-MAX(5,B3113))/(IF(Inputs!$B$38="pvp",15,Inputs!$B$43)-(B3113))))*IF(AND(ArtifactsInput!$M$42,((Inputs!$B$9+((C3094=TRUE)*(F3094-Calc!F19))+B3106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3089*(MIN((Inputs!$B$9+((C3094=TRUE)*(F3094-Calc!F19))+B3106+(ArtifactsInput!$M$24-ArtifactsInput!$M$24)*CHOOSE(ArtifactsInput!$N$24+1,10,12,14,16,18,20)+(IF(AND(Inputs!$B$38&lt;&gt;"pvp",Inputs!$B$43=0),1,IF(IF(Inputs!$B$38="pvp",15,Inputs!$B$43)-(B3113)&lt;=0,1,MAX(0,IF(Inputs!$B$38="pvp",15,Inputs!$B$43)-MAX(5,B3113))/(IF(Inputs!$B$38="pvp",15,Inputs!$B$43)-(B3113))))*IF(AND(ArtifactsInput!$M$42,((Inputs!$B$9+((C3094=TRUE)*(F3094-Calc!F19))+B3106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89">
        <f>(1-Summary!$B$11)*T3089+Summary!$B$11*V3089</f>
        <v/>
      </c>
      <c r="P3089">
        <f>IF(B3116=0,0,O3089/B3116)</f>
        <v/>
      </c>
      <c r="Q3089" t="n">
        <v>0</v>
      </c>
      <c r="R3089" t="n">
        <v>0</v>
      </c>
      <c r="S3089">
        <f>IFERROR(O3089/N3089,0)</f>
        <v/>
      </c>
      <c r="T3089">
        <f>IF(C3089,((H3089*(B3110+IF(AND(Inputs!$B$38&lt;&gt;"pvp",Inputs!$B$43&gt;0),((Skills!G8*((R3083-1)*IF(Skills!H8&gt;0,INT(Skills!I8/Skills!H8+0.000000001),1)+IF(Skills!H8&gt;0,INT(MIN(Skills!I8,MAX(0,MAX(0,Inputs!$B$43-B3113)-((R3083-1)*((IF(Inputs!$B$38="pvp",15,MAX(0.1,Skills!D8-IF(TRUE=TRUE,2.0,0)))*(1-IF(AND(ArtifactsInput!$M$27,Inputs!$B$4="Chapter Hunt"),CHOOSE(ArtifactsInput!$N$27+1,20,24,28,32,36,40),0)/100))/B3117))))/Skills!H8+0.000000001),1)))/Inputs!$B$43),G3083*Q3083)+IF(AND(Inputs!$B$38&lt;&gt;"pvp",Inputs!$B$43&gt;0),((Skills!G11*((R3086-1)*IF(Skills!H11&gt;0,INT(Skills!I11/Skills!H11+0.000000001),1)+IF(Skills!H11&gt;0,INT(MIN(Skills!I11,MAX(0,MAX(0,Inputs!$B$43-B3113)-((R3086-1)*((IF(Inputs!$B$38="pvp",15,MAX(0.1,Skills!D11-IF(TRUE=TRUE,2.0,0)))*(1-IF(AND(ArtifactsInput!$M$27,Inputs!$B$4="Chapter Hunt"),CHOOSE(ArtifactsInput!$N$27+1,20,24,28,32,36,40),0)/100))/B3117))))/Skills!H11+0.000000001),1)))/Inputs!$B$43),G3086*Q3086)))/(1+Skills!H14*H3089*(B3110+IF(AND(Inputs!$B$38&lt;&gt;"pvp",Inputs!$B$43&gt;0),((Skills!G8*((R3083-1)*IF(Skills!H8&gt;0,INT(Skills!I8/Skills!H8+0.000000001),1)+IF(Skills!H8&gt;0,INT(MIN(Skills!I8,MAX(0,MAX(0,Inputs!$B$43-B3113)-((R3083-1)*((IF(Inputs!$B$38="pvp",15,MAX(0.1,Skills!D8-IF(TRUE=TRUE,2.0,0)))*(1-IF(AND(ArtifactsInput!$M$27,Inputs!$B$4="Chapter Hunt"),CHOOSE(ArtifactsInput!$N$27+1,20,24,28,32,36,40),0)/100))/B3117))))/Skills!H8+0.000000001),1)))/Inputs!$B$43),G3083*Q3083)+IF(AND(Inputs!$B$38&lt;&gt;"pvp",Inputs!$B$43&gt;0),((Skills!G11*((R3086-1)*IF(Skills!H11&gt;0,INT(Skills!I11/Skills!H11+0.000000001),1)+IF(Skills!H11&gt;0,INT(MIN(Skills!I11,MAX(0,MAX(0,Inputs!$B$43-B3113)-((R3086-1)*((IF(Inputs!$B$38="pvp",15,MAX(0.1,Skills!D11-IF(TRUE=TRUE,2.0,0)))*(1-IF(AND(ArtifactsInput!$M$27,Inputs!$B$4="Chapter Hunt"),CHOOSE(ArtifactsInput!$N$27+1,20,24,28,32,36,40),0)/100))/B3117))))/Skills!H11+0.000000001),1)))/Inputs!$B$43),G3086*Q3086)))*N3089)*IF(Inputs!$B$38="pvp",1,1+(Inputs!$B$20+0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Hunt"),CHOOSE(ArtifactsInput!$N$35+1,15,18,21,24,27,30)*(1-EXP(-(0.2*B3108)*5)),0)+IF(AND(ArtifactsInput!$M$22,Inputs!$B$4&lt;&gt;"Chapter Hunt"),CHOOSE(ArtifactsInput!$N$22+1,10,12,14,16,18,20)*((0*(((0.15*B3108*5))^0/1)+1*(((0.15*B3108*5))^1/1)+2*(((0.15*B3108*5))^2/2)+3*(((0.15*B3108*5))^3/6)+4*(((0.15*B3108*5))^4/24)+5*(((0.15*B3108*5))^5/120))/((((0.15*B3108*5))^0/1)+(((0.15*B3108*5))^1/1)+(((0.15*B3108*5))^2/2)+(((0.15*B3108*5))^3/6)+(((0.15*B3108*5))^4/24)+(((0.15*B3108*5))^5/120))),0))+IF(Inputs!$B$3&gt;=54,9*(C3078=TRUE)*MIN(1,8*(1+Inputs!$B$34/100)*Q3078)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3089*(1-MIN(100,(Inputs!$B$9+((C3094=TRUE)*(F3094-Calc!F19))+B3106+(ArtifactsInput!$M$24-ArtifactsInput!$M$24)*CHOOSE(ArtifactsInput!$N$24+1,10,12,14,16,18,20)+(IF(AND(Inputs!$B$38&lt;&gt;"pvp",Inputs!$B$43=0),1,IF(IF(Inputs!$B$38="pvp",15,Inputs!$B$43)-(B3113)&lt;=0,1,MAX(0,IF(Inputs!$B$38="pvp",15,Inputs!$B$43)-MAX(5,B3113))/(IF(Inputs!$B$38="pvp",15,Inputs!$B$43)-(B3113))))*IF(AND(ArtifactsInput!$M$42,((Inputs!$B$9+((C3094=TRUE)*(F3094-Calc!F19))+B3106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3089*(MIN(100,(Inputs!$B$9+((C3094=TRUE)*(F3094-Calc!F19))+B3106+(ArtifactsInput!$M$24-ArtifactsInput!$M$24)*CHOOSE(ArtifactsInput!$N$24+1,10,12,14,16,18,20)+(IF(AND(Inputs!$B$38&lt;&gt;"pvp",Inputs!$B$43=0),1,IF(IF(Inputs!$B$38="pvp",15,Inputs!$B$43)-(B3113)&lt;=0,1,MAX(0,IF(Inputs!$B$38="pvp",15,Inputs!$B$43)-MAX(5,B3113))/(IF(Inputs!$B$38="pvp",15,Inputs!$B$43)-(B3113))))*IF(AND(ArtifactsInput!$M$42,((Inputs!$B$9+((C3094=TRUE)*(F3094-Calc!F19))+B3106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3089*(1-MIN(100,(Inputs!$B$9+((C3094=TRUE)*(F3094-Calc!F19))+B3106+(ArtifactsInput!$M$24-ArtifactsInput!$M$24)*CHOOSE(ArtifactsInput!$N$24+1,10,12,14,16,18,20)+(IF(AND(Inputs!$B$38&lt;&gt;"pvp",Inputs!$B$43=0),1,IF(IF(Inputs!$B$38="pvp",15,Inputs!$B$43)-(B3113)&lt;=0,1,MAX(0,IF(Inputs!$B$38="pvp",15,Inputs!$B$43)-MAX(5,B3113))/(IF(Inputs!$B$38="pvp",15,Inputs!$B$43)-(B3113))))*IF(AND(ArtifactsInput!$M$42,((Inputs!$B$9+((C3094=TRUE)*(F3094-Calc!F19))+B3106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3089*(MIN(100,(Inputs!$B$9+((C3094=TRUE)*(F3094-Calc!F19))+B3106+(ArtifactsInput!$M$24-ArtifactsInput!$M$24)*CHOOSE(ArtifactsInput!$N$24+1,10,12,14,16,18,20)+(IF(AND(Inputs!$B$38&lt;&gt;"pvp",Inputs!$B$43=0),1,IF(IF(Inputs!$B$38="pvp",15,Inputs!$B$43)-(B3113)&lt;=0,1,MAX(0,IF(Inputs!$B$38="pvp",15,Inputs!$B$43)-MAX(5,B3113))/(IF(Inputs!$B$38="pvp",15,Inputs!$B$43)-(B3113))))*IF(AND(ArtifactsInput!$M$42,((Inputs!$B$9+((C3094=TRUE)*(F3094-Calc!F19))+B3106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089">
        <f>IF(C3089,((H3089*(B3110+IF(AND(Inputs!$B$38&lt;&gt;"pvp",Inputs!$B$43&gt;0),((Skills!G8*((R3083-1)*IF(Skills!H8&gt;0,INT(Skills!I8/Skills!H8+0.000000001),1)+IF(Skills!H8&gt;0,INT(MIN(Skills!I8,MAX(0,MAX(0,Inputs!$B$43-B3113)-((R3083-1)*((IF(Inputs!$B$38="pvp",15,MAX(0.1,Skills!D8-IF(TRUE=TRUE,2.0,0)))*(1-IF(AND(ArtifactsInput!$M$27,Inputs!$B$4="Chapter Hunt"),CHOOSE(ArtifactsInput!$N$27+1,20,24,28,32,36,40),0)/100))/B3117))))/Skills!H8+0.000000001),1)))/Inputs!$B$43),G3083*Q3083)+IF(AND(Inputs!$B$38&lt;&gt;"pvp",Inputs!$B$43&gt;0),((Skills!G11*((R3086-1)*IF(Skills!H11&gt;0,INT(Skills!I11/Skills!H11+0.000000001),1)+IF(Skills!H11&gt;0,INT(MIN(Skills!I11,MAX(0,MAX(0,Inputs!$B$43-B3113)-((R3086-1)*((IF(Inputs!$B$38="pvp",15,MAX(0.1,Skills!D11-IF(TRUE=TRUE,2.0,0)))*(1-IF(AND(ArtifactsInput!$M$27,Inputs!$B$4="Chapter Hunt"),CHOOSE(ArtifactsInput!$N$27+1,20,24,28,32,36,40),0)/100))/B3117))))/Skills!H11+0.000000001),1)))/Inputs!$B$43),G3086*Q3086)))/(1+Skills!H14*H3089*(B3110+IF(AND(Inputs!$B$38&lt;&gt;"pvp",Inputs!$B$43&gt;0),((Skills!G8*((R3083-1)*IF(Skills!H8&gt;0,INT(Skills!I8/Skills!H8+0.000000001),1)+IF(Skills!H8&gt;0,INT(MIN(Skills!I8,MAX(0,MAX(0,Inputs!$B$43-B3113)-((R3083-1)*((IF(Inputs!$B$38="pvp",15,MAX(0.1,Skills!D8-IF(TRUE=TRUE,2.0,0)))*(1-IF(AND(ArtifactsInput!$M$27,Inputs!$B$4="Chapter Hunt"),CHOOSE(ArtifactsInput!$N$27+1,20,24,28,32,36,40),0)/100))/B3117))))/Skills!H8+0.000000001),1)))/Inputs!$B$43),G3083*Q3083)+IF(AND(Inputs!$B$38&lt;&gt;"pvp",Inputs!$B$43&gt;0),((Skills!G11*((R3086-1)*IF(Skills!H11&gt;0,INT(Skills!I11/Skills!H11+0.000000001),1)+IF(Skills!H11&gt;0,INT(MIN(Skills!I11,MAX(0,MAX(0,Inputs!$B$43-B3113)-((R3086-1)*((IF(Inputs!$B$38="pvp",15,MAX(0.1,Skills!D11-IF(TRUE=TRUE,2.0,0)))*(1-IF(AND(ArtifactsInput!$M$27,Inputs!$B$4="Chapter Hunt"),CHOOSE(ArtifactsInput!$N$27+1,20,24,28,32,36,40),0)/100))/B3117))))/Skills!H11+0.000000001),1)))/Inputs!$B$43),G3086*Q3086)))*N3089)*IF(Inputs!$B$38="pvp",1,(1+(Inputs!$B$21+Skills!Q14+(IF(ArtifactsInput!$M$33,CHOOSE(ArtifactsInput!$N$33+1,30,36,42,48,54,60),0))+(IF(AND(ArtifactsInput!$M$35,Inputs!$B$4&lt;&gt;"Chapter Hunt"),CHOOSE(ArtifactsInput!$N$35+1,15,18,21,24,27,30)*(1-EXP(-(0.2*B3108)*5)),0)+IF(AND(ArtifactsInput!$M$22,Inputs!$B$4&lt;&gt;"Chapter Hunt"),CHOOSE(ArtifactsInput!$N$22+1,10,12,14,16,18,20)*((0*(((0.15*B3108*5))^0/1)+1*(((0.15*B3108*5))^1/1)+2*(((0.15*B3108*5))^2/2)+3*(((0.15*B3108*5))^3/6)+4*(((0.15*B3108*5))^4/24)+5*(((0.15*B3108*5))^5/120))/((((0.15*B3108*5))^0/1)+(((0.15*B3108*5))^1/1)+(((0.15*B3108*5))^2/2)+(((0.15*B3108*5))^3/6)+(((0.15*B3108*5))^4/24)+(((0.15*B3108*5))^5/120))),0))+IF(Inputs!$B$3&gt;=54,9*(C3078=TRUE)*MIN(1,8*(1+Inputs!$B$34/100)*Q3078),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90">
      <c r="A3090">
        <f>Skills!A15</f>
        <v/>
      </c>
      <c r="B3090">
        <f>Skills!B15</f>
        <v/>
      </c>
      <c r="C3090">
        <f>Inputs!$B$3&gt;=100</f>
        <v/>
      </c>
      <c r="D3090">
        <f>IF(Skills!C15=1,60+Inputs!$B$25+Inputs!$B$29,IF(Skills!C15=2,90+Inputs!$B$26+Inputs!$B$29,IF(Skills!C15=3,120+Inputs!$B$27+Inputs!$B$29,MAX(0,(Inputs!$B$3-100)*3)+Inputs!$B$28+Inputs!$B$29)))</f>
        <v/>
      </c>
      <c r="E3090">
        <f>INDEX(FactorTable!$B$2:$Y$301, MATCH(ROUND(MIN(300,MAX(1,D3090)),0), FactorTable!$A$2:$A$301,0), Skills!M15+1)</f>
        <v/>
      </c>
      <c r="F3090">
        <f>IF(Skills!N15=TRUE,(Skills!L15/10)*(E3090/1000),Skills!L15/10)+Skills!O15</f>
        <v/>
      </c>
      <c r="G3090" t="inlineStr"/>
      <c r="H3090" t="inlineStr"/>
      <c r="I3090" t="inlineStr">
        <is>
          <t>1</t>
        </is>
      </c>
      <c r="J3090" t="inlineStr"/>
      <c r="K3090" t="inlineStr"/>
      <c r="L3090" t="inlineStr"/>
      <c r="M3090" t="inlineStr"/>
      <c r="N3090" t="inlineStr"/>
      <c r="O3090" t="inlineStr"/>
      <c r="P3090" t="inlineStr"/>
      <c r="Q3090" t="inlineStr"/>
      <c r="R3090" t="inlineStr"/>
      <c r="S3090" t="inlineStr"/>
    </row>
    <row r="3091">
      <c r="A3091">
        <f>Skills!A16</f>
        <v/>
      </c>
      <c r="B3091">
        <f>Skills!B16</f>
        <v/>
      </c>
      <c r="C3091">
        <f>Inputs!$B$3&gt;=107</f>
        <v/>
      </c>
      <c r="D3091">
        <f>IF(Skills!C16=1,60+Inputs!$B$25+Inputs!$B$29,IF(Skills!C16=2,90+Inputs!$B$26+Inputs!$B$29,IF(Skills!C16=3,120+Inputs!$B$27+Inputs!$B$29,MAX(0,(Inputs!$B$3-100)*3)+Inputs!$B$28+Inputs!$B$29)))</f>
        <v/>
      </c>
      <c r="E3091">
        <f>INDEX(FactorTable!$B$2:$Y$301, MATCH(ROUND(MIN(300,MAX(1,D3091)),0), FactorTable!$A$2:$A$301,0), Skills!M16+1)</f>
        <v/>
      </c>
      <c r="F3091">
        <f>IF(Skills!N16=TRUE,(Skills!L16/10)*(E3091/1000),Skills!L16/10)+Skills!O16</f>
        <v/>
      </c>
      <c r="G3091" t="inlineStr"/>
      <c r="H3091" t="inlineStr"/>
      <c r="I3091" t="inlineStr">
        <is>
          <t>1</t>
        </is>
      </c>
      <c r="J3091" t="inlineStr"/>
      <c r="K3091" t="inlineStr"/>
      <c r="L3091" t="inlineStr"/>
      <c r="M3091" t="inlineStr"/>
      <c r="N3091" t="inlineStr"/>
      <c r="O3091" t="inlineStr"/>
      <c r="P3091" t="inlineStr"/>
      <c r="Q3091" t="inlineStr"/>
      <c r="R3091" t="inlineStr"/>
      <c r="S3091" t="inlineStr"/>
    </row>
    <row r="3092">
      <c r="A3092">
        <f>Skills!A17</f>
        <v/>
      </c>
      <c r="B3092">
        <f>Skills!B17</f>
        <v/>
      </c>
      <c r="C3092">
        <f>Inputs!$B$3&gt;=74</f>
        <v/>
      </c>
      <c r="D3092">
        <f>IF(Skills!C17=1,60+Inputs!$B$25+Inputs!$B$29,IF(Skills!C17=2,90+Inputs!$B$26+Inputs!$B$29,IF(Skills!C17=3,120+Inputs!$B$27+Inputs!$B$29,MAX(0,(Inputs!$B$3-100)*3)+Inputs!$B$28+Inputs!$B$29)))</f>
        <v/>
      </c>
      <c r="E3092">
        <f>INDEX(FactorTable!$B$2:$Y$301, MATCH(ROUND(MIN(300,MAX(1,D3092)),0), FactorTable!$A$2:$A$301,0), Skills!M17+1)</f>
        <v/>
      </c>
      <c r="F3092">
        <f>IF(Skills!N17=TRUE,(Skills!L17/10)*(E3092/1000),Skills!L17/10)+Skills!O17</f>
        <v/>
      </c>
      <c r="G3092">
        <f>Skills!G17*IF(Skills!H17&gt;0,INT(IF(Inputs!$B$38="pvp",MIN(Skills!I17,15),Skills!I17)/Skills!H17+0.000000001),1)</f>
        <v/>
      </c>
      <c r="H3092">
        <f>1-(1-Skills!J17/100)^Skills!K17</f>
        <v/>
      </c>
      <c r="I3092" t="inlineStr">
        <is>
          <t>1</t>
        </is>
      </c>
      <c r="J3092" t="inlineStr"/>
      <c r="K3092" t="inlineStr"/>
      <c r="L3092" t="inlineStr"/>
      <c r="M3092" t="inlineStr"/>
      <c r="N3092" t="inlineStr"/>
      <c r="O3092">
        <f>(1-Summary!$B$11)*T3092+Summary!$B$11*V3092</f>
        <v/>
      </c>
      <c r="P3092">
        <f>IF(B3116=0,0,O3092/B3116)</f>
        <v/>
      </c>
      <c r="Q3092" t="n">
        <v>0</v>
      </c>
      <c r="R3092" t="n">
        <v>0</v>
      </c>
      <c r="S3092">
        <f>IFERROR(O3092/N3092,0)</f>
        <v/>
      </c>
      <c r="T3092" t="n">
        <v>0</v>
      </c>
      <c r="V3092" t="n">
        <v>0</v>
      </c>
    </row>
    <row r="3093">
      <c r="A3093">
        <f>Skills!A18</f>
        <v/>
      </c>
      <c r="B3093">
        <f>Skills!B18</f>
        <v/>
      </c>
      <c r="C3093">
        <f>Inputs!$B$3&gt;=115</f>
        <v/>
      </c>
      <c r="D3093">
        <f>IF(Skills!C18=1,60+Inputs!$B$25+Inputs!$B$29,IF(Skills!C18=2,90+Inputs!$B$26+Inputs!$B$29,IF(Skills!C18=3,120+Inputs!$B$27+Inputs!$B$29,MAX(0,(Inputs!$B$3-100)*3)+Inputs!$B$28+Inputs!$B$29)))</f>
        <v/>
      </c>
      <c r="E3093">
        <f>INDEX(FactorTable!$B$2:$Y$301, MATCH(ROUND(MIN(300,MAX(1,D3093)),0), FactorTable!$A$2:$A$301,0), Skills!M18+1)</f>
        <v/>
      </c>
      <c r="F3093">
        <f>IF(Skills!N18=TRUE,(Skills!L18/10)*(E3093/1000),Skills!L18/10)+Skills!O18</f>
        <v/>
      </c>
      <c r="G3093">
        <f>Skills!G18*IF(Skills!H18&gt;0,INT(IF(Inputs!$B$38="pvp",MIN(Skills!I18,15),Skills!I18)/Skills!H18+0.000000001),1)</f>
        <v/>
      </c>
      <c r="H3093">
        <f>1-(1-Skills!J18/100)^Skills!K18</f>
        <v/>
      </c>
      <c r="I3093" t="inlineStr">
        <is>
          <t>1</t>
        </is>
      </c>
      <c r="J3093" t="inlineStr"/>
      <c r="K3093" t="inlineStr"/>
      <c r="L3093" t="inlineStr"/>
      <c r="M3093" t="inlineStr"/>
      <c r="N3093" t="inlineStr"/>
      <c r="O3093">
        <f>(1-Summary!$B$11)*T3093+Summary!$B$11*V3093</f>
        <v/>
      </c>
      <c r="P3093">
        <f>IF(B3116=0,0,O3093/B3116)</f>
        <v/>
      </c>
      <c r="Q3093">
        <f>IFERROR(1/(IF(Inputs!$B$38="pvp",15,MAX(0.1,Skills!D18-IF(TRUE=TRUE,2.0,0)))*(1-IF(AND(ArtifactsInput!$M$27,Inputs!$B$4="Chapter Hunt"),CHOOSE(ArtifactsInput!$N$27+1,20,24,28,32,36,40),0)/100)),0)</f>
        <v/>
      </c>
      <c r="R3093">
        <f>IF(AND(Inputs!$B$38&lt;&gt;"pvp",Inputs!$B$43&gt;0),IF(Inputs!$B$43&lt;=0,0,(INT(Inputs!$B$43/(IF(Inputs!$B$38="pvp",15,MAX(0.1,Skills!D18-IF(TRUE=TRUE,2.0,0)))*(1-IF(AND(ArtifactsInput!$M$27,Inputs!$B$4="Chapter Hunt"),CHOOSE(ArtifactsInput!$N$27+1,20,24,28,32,36,40),0)/100)))+1)),0)</f>
        <v/>
      </c>
      <c r="S3093">
        <f>IFERROR(O3093/N3093,0)</f>
        <v/>
      </c>
      <c r="T3093" t="n">
        <v>0</v>
      </c>
      <c r="V3093" t="n">
        <v>0</v>
      </c>
    </row>
    <row r="3094">
      <c r="A3094">
        <f>Skills!A19</f>
        <v/>
      </c>
      <c r="B3094">
        <f>Skills!B19</f>
        <v/>
      </c>
      <c r="C3094">
        <f>Inputs!$B$3&gt;=10</f>
        <v/>
      </c>
      <c r="D3094">
        <f>IF(Skills!C19=1,60+Inputs!$B$25+Inputs!$B$29,IF(Skills!C19=2,90+Inputs!$B$26+Inputs!$B$29,IF(Skills!C19=3,120+Inputs!$B$27+Inputs!$B$29,MAX(0,(Inputs!$B$3-100)*3)+Inputs!$B$28+Inputs!$B$29)))</f>
        <v/>
      </c>
      <c r="E3094">
        <f>INDEX(FactorTable!$B$2:$Y$301, MATCH(ROUND(MIN(300,MAX(1,D3094)),0), FactorTable!$A$2:$A$301,0), Skills!M19+1)</f>
        <v/>
      </c>
      <c r="F3094">
        <f>IF(Skills!N19=TRUE,(Skills!L19/10)*(E3094/1000),Skills!L19/10)+Skills!O19</f>
        <v/>
      </c>
      <c r="G3094">
        <f>Skills!G19*IF(Skills!H19&gt;0,INT(IF(Inputs!$B$38="pvp",MIN(Skills!I19,15),Skills!I19)/Skills!H19+0.000000001),1)</f>
        <v/>
      </c>
      <c r="H3094">
        <f>1-(1-Skills!J19/100)^Skills!K19</f>
        <v/>
      </c>
      <c r="I3094" t="inlineStr">
        <is>
          <t>1</t>
        </is>
      </c>
      <c r="J3094" t="inlineStr"/>
      <c r="K3094" t="inlineStr"/>
      <c r="L3094" t="inlineStr"/>
      <c r="M3094" t="inlineStr"/>
      <c r="N3094" t="inlineStr"/>
      <c r="O3094">
        <f>(1-Summary!$B$11)*T3094+Summary!$B$11*V3094</f>
        <v/>
      </c>
      <c r="P3094">
        <f>IF(B3116=0,0,O3094/B3116)</f>
        <v/>
      </c>
      <c r="Q3094" t="n">
        <v>0</v>
      </c>
      <c r="R3094" t="n">
        <v>0</v>
      </c>
      <c r="S3094">
        <f>IFERROR(O3094/N3094,0)</f>
        <v/>
      </c>
      <c r="T3094" t="n">
        <v>0</v>
      </c>
      <c r="V3094" t="n">
        <v>0</v>
      </c>
    </row>
    <row r="3095">
      <c r="A3095">
        <f>Skills!A20</f>
        <v/>
      </c>
      <c r="B3095">
        <f>Skills!B20</f>
        <v/>
      </c>
      <c r="C3095">
        <f>Inputs!$B$3&gt;=15</f>
        <v/>
      </c>
      <c r="D3095">
        <f>IF(Skills!C20=1,60+Inputs!$B$25+Inputs!$B$29,IF(Skills!C20=2,90+Inputs!$B$26+Inputs!$B$29,IF(Skills!C20=3,120+Inputs!$B$27+Inputs!$B$29,MAX(0,(Inputs!$B$3-100)*3)+Inputs!$B$28+Inputs!$B$29)))</f>
        <v/>
      </c>
      <c r="E3095">
        <f>INDEX(FactorTable!$B$2:$Y$301, MATCH(ROUND(MIN(300,MAX(1,D3095)),0), FactorTable!$A$2:$A$301,0), Skills!M20+1)</f>
        <v/>
      </c>
      <c r="F3095">
        <f>IF(Skills!N20=TRUE,(Skills!L20/10)*(E3095/1000),Skills!L20/10)+Skills!O20</f>
        <v/>
      </c>
      <c r="G3095">
        <f>Skills!G20*IF(Skills!H20&gt;0,INT(IF(Inputs!$B$38="pvp",MIN(Skills!I20,15),Skills!I20)/Skills!H20+0.000000001),1)</f>
        <v/>
      </c>
      <c r="H3095">
        <f>1-(1-Skills!J20/100)^Skills!K20</f>
        <v/>
      </c>
      <c r="I3095" t="inlineStr">
        <is>
          <t>1</t>
        </is>
      </c>
      <c r="J3095" t="inlineStr"/>
      <c r="K3095" t="inlineStr"/>
      <c r="L3095" t="inlineStr"/>
      <c r="M3095" t="inlineStr"/>
      <c r="N3095" t="inlineStr"/>
      <c r="O3095">
        <f>(1-Summary!$B$11)*T3095+Summary!$B$11*V3095</f>
        <v/>
      </c>
      <c r="P3095">
        <f>IF(B3116=0,0,O3095/B3116)</f>
        <v/>
      </c>
      <c r="Q3095" t="n">
        <v>0</v>
      </c>
      <c r="R3095" t="n">
        <v>0</v>
      </c>
      <c r="S3095">
        <f>IFERROR(O3095/N3095,0)</f>
        <v/>
      </c>
      <c r="T3095" t="n">
        <v>0</v>
      </c>
      <c r="V3095" t="n">
        <v>0</v>
      </c>
    </row>
    <row r="3096">
      <c r="A3096">
        <f>Skills!A21</f>
        <v/>
      </c>
      <c r="B3096">
        <f>Skills!B21</f>
        <v/>
      </c>
      <c r="C3096">
        <f>Inputs!$B$3&gt;=40</f>
        <v/>
      </c>
      <c r="D3096">
        <f>IF(Skills!C21=1,60+Inputs!$B$25+Inputs!$B$29,IF(Skills!C21=2,90+Inputs!$B$26+Inputs!$B$29,IF(Skills!C21=3,120+Inputs!$B$27+Inputs!$B$29,MAX(0,(Inputs!$B$3-100)*3)+Inputs!$B$28+Inputs!$B$29)))</f>
        <v/>
      </c>
      <c r="E3096">
        <f>INDEX(FactorTable!$B$2:$Y$301, MATCH(ROUND(MIN(300,MAX(1,D3096)),0), FactorTable!$A$2:$A$301,0), Skills!M21+1)</f>
        <v/>
      </c>
      <c r="F3096">
        <f>IF(Skills!N21=TRUE,(Skills!L21/10)*(E3096/1000),Skills!L21/10)+Skills!O21</f>
        <v/>
      </c>
      <c r="G3096">
        <f>Skills!G21*IF(Skills!H21&gt;0,INT(IF(Inputs!$B$38="pvp",MIN(Skills!I21,15),Skills!I21)/Skills!H21+0.000000001),1)</f>
        <v/>
      </c>
      <c r="H3096">
        <f>1-(1-Skills!J21/100)^Skills!K21</f>
        <v/>
      </c>
      <c r="I3096" t="inlineStr">
        <is>
          <t>1</t>
        </is>
      </c>
      <c r="J3096" t="inlineStr"/>
      <c r="K3096" t="inlineStr"/>
      <c r="L3096" t="inlineStr"/>
      <c r="M3096" t="inlineStr"/>
      <c r="N3096" t="inlineStr"/>
      <c r="O3096">
        <f>(1-Summary!$B$11)*T3096+Summary!$B$11*V3096</f>
        <v/>
      </c>
      <c r="P3096">
        <f>IF(B3116=0,0,O3096/B3116)</f>
        <v/>
      </c>
      <c r="Q3096" t="n">
        <v>0</v>
      </c>
      <c r="R3096" t="n">
        <v>0</v>
      </c>
      <c r="S3096">
        <f>IFERROR(O3096/N3096,0)</f>
        <v/>
      </c>
      <c r="T3096" t="n">
        <v>0</v>
      </c>
      <c r="V3096" t="n">
        <v>0</v>
      </c>
    </row>
    <row r="3097">
      <c r="A3097">
        <f>Skills!A22</f>
        <v/>
      </c>
      <c r="B3097">
        <f>Skills!B22</f>
        <v/>
      </c>
      <c r="C3097">
        <f>Inputs!$B$3&gt;=43</f>
        <v/>
      </c>
      <c r="D3097">
        <f>IF(Skills!C22=1,60+Inputs!$B$25+Inputs!$B$29,IF(Skills!C22=2,90+Inputs!$B$26+Inputs!$B$29,IF(Skills!C22=3,120+Inputs!$B$27+Inputs!$B$29,MAX(0,(Inputs!$B$3-100)*3)+Inputs!$B$28+Inputs!$B$29)))</f>
        <v/>
      </c>
      <c r="E3097">
        <f>INDEX(FactorTable!$B$2:$Y$301, MATCH(ROUND(MIN(300,MAX(1,D3097)),0), FactorTable!$A$2:$A$301,0), Skills!M22+1)</f>
        <v/>
      </c>
      <c r="F3097">
        <f>IF(Skills!N22=TRUE,(Skills!L22/10)*(E3097/1000),Skills!L22/10)+Skills!O22</f>
        <v/>
      </c>
      <c r="G3097">
        <f>Skills!G22*IF(Skills!H22&gt;0,INT(IF(Inputs!$B$38="pvp",MIN(Skills!I22,15),Skills!I22)/Skills!H22+0.000000001),1)</f>
        <v/>
      </c>
      <c r="H3097">
        <f>1-(1-Skills!J22/100)^Skills!K22</f>
        <v/>
      </c>
      <c r="I3097" t="inlineStr">
        <is>
          <t>1</t>
        </is>
      </c>
      <c r="J3097" t="inlineStr"/>
      <c r="K3097" t="inlineStr"/>
      <c r="L3097" t="inlineStr"/>
      <c r="M3097" t="inlineStr"/>
      <c r="N3097" t="inlineStr"/>
      <c r="O3097">
        <f>(1-Summary!$B$11)*T3097+Summary!$B$11*V3097</f>
        <v/>
      </c>
      <c r="P3097">
        <f>IF(B3116=0,0,O3097/B3116)</f>
        <v/>
      </c>
      <c r="Q3097" t="n">
        <v>0</v>
      </c>
      <c r="R3097" t="n">
        <v>0</v>
      </c>
      <c r="S3097">
        <f>IFERROR(O3097/N3097,0)</f>
        <v/>
      </c>
      <c r="T3097" t="n">
        <v>0</v>
      </c>
      <c r="V3097" t="n">
        <v>0</v>
      </c>
    </row>
    <row r="3098">
      <c r="A3098">
        <f>Skills!A23</f>
        <v/>
      </c>
      <c r="B3098">
        <f>Skills!B23</f>
        <v/>
      </c>
      <c r="C3098">
        <f>Inputs!$B$3&gt;=38</f>
        <v/>
      </c>
      <c r="D3098">
        <f>IF(Skills!C23=1,60+Inputs!$B$25+Inputs!$B$29,IF(Skills!C23=2,90+Inputs!$B$26+Inputs!$B$29,IF(Skills!C23=3,120+Inputs!$B$27+Inputs!$B$29,MAX(0,(Inputs!$B$3-100)*3)+Inputs!$B$28+Inputs!$B$29)))</f>
        <v/>
      </c>
      <c r="E3098">
        <f>INDEX(FactorTable!$B$2:$Y$301, MATCH(ROUND(MIN(300,MAX(1,D3098)),0), FactorTable!$A$2:$A$301,0), Skills!M23+1)</f>
        <v/>
      </c>
      <c r="F3098">
        <f>IF(Skills!N23=TRUE,(Skills!L23/10)*(E3098/1000),Skills!L23/10)+Skills!O23</f>
        <v/>
      </c>
      <c r="G3098">
        <f>Skills!G23*IF(Skills!H23&gt;0,INT(IF(Inputs!$B$38="pvp",MIN(Skills!I23,15),Skills!I23)/Skills!H23+0.000000001),1)</f>
        <v/>
      </c>
      <c r="H3098">
        <f>1-(1-Skills!J23/100)^Skills!K23</f>
        <v/>
      </c>
      <c r="I3098" t="inlineStr">
        <is>
          <t>1</t>
        </is>
      </c>
      <c r="J3098" t="inlineStr"/>
      <c r="K3098" t="inlineStr"/>
      <c r="L3098" t="inlineStr"/>
      <c r="M3098" t="inlineStr"/>
      <c r="N3098" t="inlineStr"/>
      <c r="O3098">
        <f>(1-Summary!$B$11)*T3098+Summary!$B$11*V3098</f>
        <v/>
      </c>
      <c r="P3098">
        <f>IF(B3116=0,0,O3098/B3116)</f>
        <v/>
      </c>
      <c r="Q3098" t="n">
        <v>0</v>
      </c>
      <c r="R3098" t="n">
        <v>0</v>
      </c>
      <c r="S3098">
        <f>IFERROR(O3098/N3098,0)</f>
        <v/>
      </c>
      <c r="T3098" t="n">
        <v>0</v>
      </c>
      <c r="V3098" t="n">
        <v>0</v>
      </c>
    </row>
    <row r="3099">
      <c r="A3099">
        <f>Skills!A24</f>
        <v/>
      </c>
      <c r="B3099">
        <f>Skills!B24</f>
        <v/>
      </c>
      <c r="C3099">
        <f>Inputs!$B$3&gt;=45</f>
        <v/>
      </c>
      <c r="D3099">
        <f>IF(Skills!C24=1,60+Inputs!$B$25+Inputs!$B$29,IF(Skills!C24=2,90+Inputs!$B$26+Inputs!$B$29,IF(Skills!C24=3,120+Inputs!$B$27+Inputs!$B$29,MAX(0,(Inputs!$B$3-100)*3)+Inputs!$B$28+Inputs!$B$29)))</f>
        <v/>
      </c>
      <c r="E3099">
        <f>INDEX(FactorTable!$B$2:$Y$301, MATCH(ROUND(MIN(300,MAX(1,D3099)),0), FactorTable!$A$2:$A$301,0), Skills!M24+1)</f>
        <v/>
      </c>
      <c r="F3099">
        <f>IF(Skills!N24=TRUE,(Skills!L24/10)*(E3099/1000),Skills!L24/10)+Skills!O24</f>
        <v/>
      </c>
      <c r="G3099">
        <f>Skills!G24*IF(Skills!H24&gt;0,INT(IF(Inputs!$B$38="pvp",MIN(Skills!I24,15),Skills!I24)/Skills!H24+0.000000001),1)</f>
        <v/>
      </c>
      <c r="H3099">
        <f>1-(1-Skills!J24/100)^Skills!K24</f>
        <v/>
      </c>
      <c r="I3099" t="inlineStr">
        <is>
          <t>1</t>
        </is>
      </c>
      <c r="J3099" t="inlineStr"/>
      <c r="K3099" t="inlineStr"/>
      <c r="L3099" t="inlineStr"/>
      <c r="M3099" t="inlineStr"/>
      <c r="N3099" t="inlineStr"/>
      <c r="O3099">
        <f>(1-Summary!$B$11)*T3099+Summary!$B$11*V3099</f>
        <v/>
      </c>
      <c r="P3099">
        <f>IF(B3116=0,0,O3099/B3116)</f>
        <v/>
      </c>
      <c r="Q3099" t="n">
        <v>0</v>
      </c>
      <c r="R3099" t="n">
        <v>0</v>
      </c>
      <c r="S3099">
        <f>IFERROR(O3099/N3099,0)</f>
        <v/>
      </c>
      <c r="T3099" t="n">
        <v>0</v>
      </c>
      <c r="V3099" t="n">
        <v>0</v>
      </c>
    </row>
    <row r="3100">
      <c r="A3100">
        <f>Skills!A25</f>
        <v/>
      </c>
      <c r="B3100">
        <f>Skills!B25</f>
        <v/>
      </c>
      <c r="C3100">
        <f>Inputs!$B$3&gt;=72</f>
        <v/>
      </c>
      <c r="D3100">
        <f>IF(Skills!C25=1,60+Inputs!$B$25+Inputs!$B$29,IF(Skills!C25=2,90+Inputs!$B$26+Inputs!$B$29,IF(Skills!C25=3,120+Inputs!$B$27+Inputs!$B$29,MAX(0,(Inputs!$B$3-100)*3)+Inputs!$B$28+Inputs!$B$29)))</f>
        <v/>
      </c>
      <c r="E3100">
        <f>INDEX(FactorTable!$B$2:$Y$301, MATCH(ROUND(MIN(300,MAX(1,D3100)),0), FactorTable!$A$2:$A$301,0), Skills!M25+1)</f>
        <v/>
      </c>
      <c r="F3100">
        <f>IF(Skills!N25=TRUE,(Skills!L25/10)*(E3100/1000),Skills!L25/10)+Skills!O25</f>
        <v/>
      </c>
      <c r="G3100">
        <f>Skills!G25*IF(Skills!H25&gt;0,INT(IF(Inputs!$B$38="pvp",MIN(Skills!I25,15),Skills!I25)/Skills!H25+0.000000001),1)</f>
        <v/>
      </c>
      <c r="H3100">
        <f>1-(1-Skills!J25/100)^Skills!K25</f>
        <v/>
      </c>
      <c r="I3100" t="inlineStr">
        <is>
          <t>1</t>
        </is>
      </c>
      <c r="J3100" t="inlineStr"/>
      <c r="K3100" t="inlineStr"/>
      <c r="L3100" t="inlineStr"/>
      <c r="M3100" t="inlineStr"/>
      <c r="N3100" t="inlineStr"/>
      <c r="O3100">
        <f>(1-Summary!$B$11)*T3100+Summary!$B$11*V3100</f>
        <v/>
      </c>
      <c r="P3100">
        <f>IF(B3116=0,0,O3100/B3116)</f>
        <v/>
      </c>
      <c r="Q3100" t="n">
        <v>0</v>
      </c>
      <c r="R3100" t="n">
        <v>0</v>
      </c>
      <c r="S3100">
        <f>IFERROR(O3100/N3100,0)</f>
        <v/>
      </c>
      <c r="T3100" t="n">
        <v>0</v>
      </c>
      <c r="V3100" t="n">
        <v>0</v>
      </c>
    </row>
    <row r="3101">
      <c r="A3101">
        <f>Skills!A26</f>
        <v/>
      </c>
      <c r="B3101">
        <f>Skills!B26</f>
        <v/>
      </c>
      <c r="C3101">
        <f>Inputs!$B$3&gt;=75</f>
        <v/>
      </c>
      <c r="D3101">
        <f>IF(Skills!C26=1,60+Inputs!$B$25+Inputs!$B$29,IF(Skills!C26=2,90+Inputs!$B$26+Inputs!$B$29,IF(Skills!C26=3,120+Inputs!$B$27+Inputs!$B$29,MAX(0,(Inputs!$B$3-100)*3)+Inputs!$B$28+Inputs!$B$29)))</f>
        <v/>
      </c>
      <c r="E3101">
        <f>INDEX(FactorTable!$B$2:$Y$301, MATCH(ROUND(MIN(300,MAX(1,D3101)),0), FactorTable!$A$2:$A$301,0), Skills!M26+1)</f>
        <v/>
      </c>
      <c r="F3101">
        <f>IF(Skills!N26=TRUE,(Skills!L26/10)*(E3101/1000),Skills!L26/10)+Skills!O26</f>
        <v/>
      </c>
      <c r="G3101">
        <f>Skills!G26*IF(Skills!H26&gt;0,INT(IF(Inputs!$B$38="pvp",MIN(Skills!I26,15),Skills!I26)/Skills!H26+0.000000001),1)</f>
        <v/>
      </c>
      <c r="H3101">
        <f>1-(1-Skills!J26/100)^Skills!K26</f>
        <v/>
      </c>
      <c r="I3101" t="inlineStr">
        <is>
          <t>1</t>
        </is>
      </c>
      <c r="J3101" t="inlineStr"/>
      <c r="K3101" t="inlineStr"/>
      <c r="L3101" t="inlineStr"/>
      <c r="M3101" t="inlineStr"/>
      <c r="N3101" t="inlineStr"/>
      <c r="O3101">
        <f>(1-Summary!$B$11)*T3101+Summary!$B$11*V3101</f>
        <v/>
      </c>
      <c r="P3101">
        <f>IF(B3116=0,0,O3101/B3116)</f>
        <v/>
      </c>
      <c r="Q3101" t="n">
        <v>0</v>
      </c>
      <c r="R3101" t="n">
        <v>0</v>
      </c>
      <c r="S3101">
        <f>IFERROR(O3101/N3101,0)</f>
        <v/>
      </c>
      <c r="T3101" t="n">
        <v>0</v>
      </c>
      <c r="V3101" t="n">
        <v>0</v>
      </c>
    </row>
    <row r="3102">
      <c r="A3102">
        <f>Skills!A27</f>
        <v/>
      </c>
      <c r="B3102">
        <f>Skills!B27</f>
        <v/>
      </c>
      <c r="C3102">
        <f>Inputs!$B$3&gt;=125</f>
        <v/>
      </c>
      <c r="D3102">
        <f>IF(Skills!C27=1,60+Inputs!$B$25+Inputs!$B$29,IF(Skills!C27=2,90+Inputs!$B$26+Inputs!$B$29,IF(Skills!C27=3,120+Inputs!$B$27+Inputs!$B$29,MAX(0,(Inputs!$B$3-100)*3)+Inputs!$B$28+Inputs!$B$29)))</f>
        <v/>
      </c>
      <c r="E3102">
        <f>INDEX(FactorTable!$B$2:$Y$301, MATCH(ROUND(MIN(300,MAX(1,D3102)),0), FactorTable!$A$2:$A$301,0), Skills!M27+1)</f>
        <v/>
      </c>
      <c r="F3102">
        <f>IF(Skills!N27=TRUE,(Skills!L27/10)*(E3102/1000),Skills!L27/10)+Skills!O27</f>
        <v/>
      </c>
      <c r="G3102">
        <f>Skills!G27*IF(Skills!H27&gt;0,INT(IF(Inputs!$B$38="pvp",MIN(Skills!I27,15),Skills!I27)/Skills!H27+0.000000001),1)</f>
        <v/>
      </c>
      <c r="H3102">
        <f>1-(1-Skills!J27/100)^Skills!K27</f>
        <v/>
      </c>
      <c r="I3102" t="inlineStr">
        <is>
          <t>1</t>
        </is>
      </c>
      <c r="J3102" t="inlineStr"/>
      <c r="K3102" t="inlineStr"/>
      <c r="L3102" t="inlineStr"/>
      <c r="M3102" t="inlineStr"/>
      <c r="N3102" t="inlineStr"/>
      <c r="O3102">
        <f>(1-Summary!$B$11)*T3102+Summary!$B$11*V3102</f>
        <v/>
      </c>
      <c r="P3102">
        <f>IF(B3116=0,0,O3102/B3116)</f>
        <v/>
      </c>
      <c r="Q3102" t="n">
        <v>0</v>
      </c>
      <c r="R3102" t="n">
        <v>0</v>
      </c>
      <c r="S3102">
        <f>IFERROR(O3102/N3102,0)</f>
        <v/>
      </c>
      <c r="T3102" t="n">
        <v>0</v>
      </c>
      <c r="V3102" t="n">
        <v>0</v>
      </c>
    </row>
    <row r="3103">
      <c r="A3103">
        <f>Skills!A28</f>
        <v/>
      </c>
      <c r="B3103">
        <f>Skills!B28</f>
        <v/>
      </c>
      <c r="C3103">
        <f>TRUE</f>
        <v/>
      </c>
      <c r="D3103">
        <f>IF(Skills!C28=1,60+Inputs!$B$25+Inputs!$B$29,IF(Skills!C28=2,90+Inputs!$B$26+Inputs!$B$29,IF(Skills!C28=3,120+Inputs!$B$27+Inputs!$B$29,MAX(0,(Inputs!$B$3-100)*3)+Inputs!$B$28+Inputs!$B$29)))</f>
        <v/>
      </c>
      <c r="E3103">
        <f>INDEX(FactorTable!$B$2:$Y$301, MATCH(ROUND(MIN(300,MAX(1,D3103)),0), FactorTable!$A$2:$A$301,0), Skills!M28+1)</f>
        <v/>
      </c>
      <c r="F3103">
        <f>IF(Skills!N28=TRUE,(Skills!L28/10)*(E3103/1000),Skills!L28/10)+Skills!O28</f>
        <v/>
      </c>
      <c r="G3103">
        <f>Skills!G28*IF(Skills!H28&gt;0,INT(IF(Inputs!$B$38="pvp",MIN(Skills!I28,15),Skills!I28)/Skills!H28+0.000000001),1)</f>
        <v/>
      </c>
      <c r="H3103">
        <f>1-(1-Skills!J28/100)^Skills!K28</f>
        <v/>
      </c>
      <c r="I3103" t="inlineStr">
        <is>
          <t>1</t>
        </is>
      </c>
      <c r="J3103" t="inlineStr"/>
      <c r="K3103" t="inlineStr"/>
      <c r="L3103" t="inlineStr"/>
      <c r="M3103" t="inlineStr"/>
      <c r="N3103" t="inlineStr"/>
      <c r="O3103">
        <f>(1-Summary!$B$11)*T3103+Summary!$B$11*V3103</f>
        <v/>
      </c>
      <c r="P3103">
        <f>IF(B3116=0,0,O3103/B3116)</f>
        <v/>
      </c>
      <c r="Q3103">
        <f>IFERROR(1/(IF(Inputs!$B$38="pvp",15,MAX(0.1,Skills!D28-IF(TRUE=TRUE,2.0,0)))*(1-IF(AND(ArtifactsInput!$M$27,Inputs!$B$4="Chapter Hunt"),CHOOSE(ArtifactsInput!$N$27+1,20,24,28,32,36,40),0)/100)),0)</f>
        <v/>
      </c>
      <c r="R3103">
        <f>IF(AND(Inputs!$B$38&lt;&gt;"pvp",Inputs!$B$43&gt;0),IF(Inputs!$B$43&lt;=0,0,(INT(Inputs!$B$43/(IF(Inputs!$B$38="pvp",15,MAX(0.1,Skills!D28-IF(TRUE=TRUE,2.0,0)))*(1-IF(AND(ArtifactsInput!$M$27,Inputs!$B$4="Chapter Hunt"),CHOOSE(ArtifactsInput!$N$27+1,20,24,28,32,36,40),0)/100)))+1)),0)</f>
        <v/>
      </c>
      <c r="S3103">
        <f>IFERROR(O3103/N3103,0)</f>
        <v/>
      </c>
      <c r="T3103" t="n">
        <v>0</v>
      </c>
      <c r="V3103" t="n">
        <v>0</v>
      </c>
    </row>
    <row r="3105">
      <c r="A3105" t="inlineStr">
        <is>
          <t>Attack% Bucket Multiplier</t>
        </is>
      </c>
      <c r="B3105">
        <f>(1+(((C3092=TRUE)*F3092*5/7)+((C3099=TRUE)*(F3099-Calc!F24))+(IF(ArtifactsInput!$M$21,CHOOSE(ArtifactsInput!$N$21+1,25,30,35,40,45,50)*(IF(OR(Inputs!$B$4="Chapter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3106">
      <c r="A3106" t="inlineStr">
        <is>
          <t>Global Crit Rate Bonus %</t>
        </is>
      </c>
      <c r="B3106" t="n">
        <v>0</v>
      </c>
    </row>
    <row r="3107">
      <c r="A3107" t="inlineStr">
        <is>
          <t>Attack Speed Buff Bonus % (Nimble Feet, duty-cycle averaged)</t>
        </is>
      </c>
      <c r="B3107">
        <f>((C3103=TRUE)*F3103*IF(AND(Inputs!$B$38&lt;&gt;"pvp",Inputs!$B$43&gt;0),(((R3103-1)*MIN((Skills!T28*(1+Inputs!$B$34/100)),(1/Q3103))+MIN((Skills!T28*(1+Inputs!$B$34/100)),MAX(0,Inputs!$B$43-((R3103-1)*(1/Q3103)))))/Inputs!$B$43),IF(Inputs!$B$38="pvp",MIN((Skills!T28*(1+Inputs!$B$34/100)),15)/15,MIN(1,(Skills!T28*(1+Inputs!$B$34/100))/(1/Q3103)))))</f>
        <v/>
      </c>
    </row>
    <row r="3108">
      <c r="A3108" t="inlineStr">
        <is>
          <t>Actions Per Second</t>
        </is>
      </c>
      <c r="B3108">
        <f>1+MIN(150,150*(1-(1-(Inputs!$B$11+((C3095=TRUE)*(F3095-Calc!F20))+((C3096=TRUE)*(F3096-Calc!F21)))/150)*(1-B3107/150)))/100</f>
        <v/>
      </c>
    </row>
    <row r="3109">
      <c r="A3109" t="inlineStr">
        <is>
          <t>Skill + Buff Cast Rate</t>
        </is>
      </c>
      <c r="B3109">
        <f>IF(AND(Inputs!$B$38&lt;&gt;"pvp",Inputs!$B$43&gt;0),SUMPRODUCT((Skills!E2:E28=TRUE)*(C3077:C3103=TRUE)*R3077:R3103*Skills!F2:F28)/Inputs!$B$43,SUMPRODUCT((Skills!E2:E28=TRUE)*(C3077:C3103=TRUE)*Q3077:Q3103*Skills!F2:F28))</f>
        <v/>
      </c>
    </row>
    <row r="3110">
      <c r="A3110" t="inlineStr">
        <is>
          <t>Eight-Legs Easton Casts Per Second</t>
        </is>
      </c>
      <c r="B3110">
        <f>MAX(0,B3108-B3109)</f>
        <v/>
      </c>
    </row>
    <row r="3111">
      <c r="A3111" t="inlineStr">
        <is>
          <t>Global Critical Damage Bonus % (unused)</t>
        </is>
      </c>
      <c r="B3111" t="n">
        <v>0</v>
      </c>
    </row>
    <row r="3112">
      <c r="A3112" t="inlineStr">
        <is>
          <t>Global Final Damage Bonus % (Jolly Roger + Ahoy Mateys - Final Damage proc)</t>
        </is>
      </c>
      <c r="B3112">
        <f>((C3093=TRUE)*F3093*IF(AND(Inputs!$B$38&lt;&gt;"pvp",Inputs!$B$43&gt;0),(((R3093-1)*MIN((Skills!T18*(1+Inputs!$B$34/100)),(1/Q3093))+MIN((Skills!T18*(1+Inputs!$B$34/100)),MAX(0,Inputs!$B$43-((R3093-1)*(1/Q3093)))))/Inputs!$B$43),IF(Inputs!$B$38="pvp",MIN((Skills!T18*(1+Inputs!$B$34/100)),15)/15,MIN(1,(Skills!T18*(1+Inputs!$B$34/100))/(1/Q3093)))))+IF(Inputs!$B$3&gt;=122,20*IF(Inputs!$B$38="pvp",MIN((20*(1+Inputs!$B$34/100)),15)/15,MIN(1,(20*(1+Inputs!$B$34/100))/(1/Q3079))),0)</f>
        <v/>
      </c>
    </row>
    <row r="3113">
      <c r="A3113" t="inlineStr">
        <is>
          <t>Buff-Casting Startup Delay (s, fixed-duration only)</t>
        </is>
      </c>
      <c r="B3113">
        <f>IF(AND(Inputs!$B$38&lt;&gt;"pvp",Inputs!$B$43&gt;0),SUMPRODUCT((Skills!T2:T28&gt;0)*(Skills!E2:E28=TRUE)*(C3077:C3103=TRUE))/B3108,0)</f>
        <v/>
      </c>
    </row>
    <row r="3114">
      <c r="A3114" t="inlineStr">
        <is>
          <t>Boss-Only Total DPS (this block's swept value)</t>
        </is>
      </c>
      <c r="B3114">
        <f>SUM(T3077:T3103)</f>
        <v/>
      </c>
    </row>
    <row r="3115">
      <c r="A3115" t="inlineStr">
        <is>
          <t>Normal-Only Total DPS (this block's swept value)</t>
        </is>
      </c>
      <c r="B3115">
        <f>SUM(V3077:V3103)</f>
        <v/>
      </c>
    </row>
    <row r="3116">
      <c r="A3116" s="6" t="inlineStr">
        <is>
          <t>TOTAL DPS</t>
        </is>
      </c>
      <c r="B3116" s="6">
        <f>SUM(O3077:O3103)</f>
        <v/>
      </c>
    </row>
    <row r="3117">
      <c r="A3117" t="inlineStr">
        <is>
          <t>Quickdraw cooldown divisor (this block's own APS / Q)</t>
        </is>
      </c>
      <c r="B3117">
        <f>IF(AND(C3102=TRUE,Inputs!$B$38&lt;&gt;"pvp"),1+0.25*MAX(0,(B3108-(((C3078=TRUE)*Q3078*1)+((C3079=TRUE)*Q3079*1)+((C3081=TRUE)*Q3081*1)+((C3082=TRUE)*Q3082*1)+((C3084=TRUE)*Q3084*1)+((C3087=TRUE)*Q3087*1)+((C3093=TRUE)*Q3093*1)+((C3103=TRUE)*Q3103*1))-((C3083=TRUE)/(IF(Inputs!$B$38="pvp",15,MAX(0.1,Skills!D8-IF(TRUE=TRUE,2.0,0)))*(1-IF(AND(ArtifactsInput!$M$27,Inputs!$B$4="Chapter Hunt"),CHOOSE(ArtifactsInput!$N$27+1,20,24,28,32,36,40),0)/100))+(C3086=TRUE)/(IF(Inputs!$B$38="pvp",15,MAX(0.1,Skills!D11-IF(TRUE=TRUE,2.0,0)))*(1-IF(AND(ArtifactsInput!$M$27,Inputs!$B$4="Chapter Hunt"),CHOOSE(ArtifactsInput!$N$27+1,20,24,28,32,36,40),0)/100))))/(1+0.25*((C3083=TRUE)/(IF(Inputs!$B$38="pvp",15,MAX(0.1,Skills!D8-IF(TRUE=TRUE,2.0,0)))*(1-IF(AND(ArtifactsInput!$M$27,Inputs!$B$4="Chapter Hunt"),CHOOSE(ArtifactsInput!$N$27+1,20,24,28,32,36,40),0)/100))+(C3086=TRUE)/(IF(Inputs!$B$38="pvp",15,MAX(0.1,Skills!D11-IF(TRUE=TRUE,2.0,0)))*(1-IF(AND(ArtifactsInput!$M$27,Inputs!$B$4="Chapter Hunt"),CHOOSE(ArtifactsInput!$N$27+1,20,24,28,32,36,40),0)/100))))),1)</f>
        <v/>
      </c>
    </row>
    <row r="3118">
      <c r="A3118" t="inlineStr">
        <is>
          <t>Nautilus Strike - Final Attack trigger rate (this block's own Q/R)</t>
        </is>
      </c>
      <c r="B3118">
        <f>IF(AND(Inputs!$B$38&lt;&gt;"pvp",Inputs!$B$43&gt;0),(((C3078=TRUE)*R3078)+((C3081=TRUE)*R3081)+((C3083=TRUE)*R3083)+((C3084=TRUE)*R3084)+((C3086=TRUE)*R3086))/Inputs!$B$43,((C3078=TRUE)*Q3078)+((C3081=TRUE)*Q3081)+((C3083=TRUE)*Q3083)+((C3084=TRUE)*Q3084)+((C3086=TRUE)*Q3086))+B3110</f>
        <v/>
      </c>
    </row>
    <row r="3121">
      <c r="A3121" s="6" t="inlineStr">
        <is>
          <t>Stat: CDR = 2.5s</t>
        </is>
      </c>
    </row>
    <row r="3122">
      <c r="A3122" s="5" t="inlineStr">
        <is>
          <t>Key</t>
        </is>
      </c>
      <c r="B3122" s="5" t="inlineStr">
        <is>
          <t>Name</t>
        </is>
      </c>
      <c r="C3122" s="5" t="inlineStr">
        <is>
          <t>Unlocked</t>
        </is>
      </c>
      <c r="D3122" s="5" t="inlineStr">
        <is>
          <t>InputLevel</t>
        </is>
      </c>
      <c r="E3122" s="5" t="inlineStr">
        <is>
          <t>Factor</t>
        </is>
      </c>
      <c r="F3122" s="5" t="inlineStr">
        <is>
          <t>CoefficientPercent</t>
        </is>
      </c>
      <c r="G3122" s="5" t="inlineStr">
        <is>
          <t>EffectiveHits</t>
        </is>
      </c>
      <c r="H3122" s="5" t="inlineStr">
        <is>
          <t>ProcProbability</t>
        </is>
      </c>
      <c r="I3122" s="5" t="inlineStr">
        <is>
          <t>MapleHeroMultiplier</t>
        </is>
      </c>
      <c r="J3122" s="5" t="inlineStr">
        <is>
          <t>BaseDamage</t>
        </is>
      </c>
      <c r="K3122" s="5" t="inlineStr">
        <is>
          <t>BaseHitDamage</t>
        </is>
      </c>
      <c r="L3122" s="5" t="inlineStr">
        <is>
          <t>NonCritAvg</t>
        </is>
      </c>
      <c r="M3122" s="5" t="inlineStr">
        <is>
          <t>CritAvg</t>
        </is>
      </c>
      <c r="N3122" s="5" t="inlineStr">
        <is>
          <t>ExpectedDamage(perHit)</t>
        </is>
      </c>
      <c r="O3122" s="5" t="inlineStr">
        <is>
          <t>DPS</t>
        </is>
      </c>
      <c r="P3122" s="5" t="inlineStr">
        <is>
          <t>% of Total</t>
        </is>
      </c>
      <c r="Q3122" s="5" t="inlineStr">
        <is>
          <t>InvCooldown</t>
        </is>
      </c>
      <c r="R3122" s="5" t="inlineStr">
        <is>
          <t>CastsInFight</t>
        </is>
      </c>
      <c r="S3122" s="5" t="inlineStr">
        <is>
          <t>HitRate(perSec)</t>
        </is>
      </c>
      <c r="U3122" t="inlineStr">
        <is>
          <t>helpers</t>
        </is>
      </c>
    </row>
    <row r="3123">
      <c r="A3123">
        <f>Skills!A2</f>
        <v/>
      </c>
      <c r="B3123">
        <f>Skills!B2</f>
        <v/>
      </c>
      <c r="C3123">
        <f>Inputs!$B$3&gt;=100</f>
        <v/>
      </c>
      <c r="D3123" t="inlineStr"/>
      <c r="E3123" t="inlineStr"/>
      <c r="F3123">
        <f>U3125+Skills!O2</f>
        <v/>
      </c>
      <c r="G3123">
        <f>Skills!G2*IF(Skills!H2&gt;0,INT(IF(Inputs!$B$38="pvp",MIN(Skills!I2,15),Skills!I2)/Skills!H2+0.000000001),1)</f>
        <v/>
      </c>
      <c r="H3123">
        <f>1-(1-Skills!J2/100)^Skills!K2</f>
        <v/>
      </c>
      <c r="I3123" t="inlineStr">
        <is>
          <t>1</t>
        </is>
      </c>
      <c r="J3123">
        <f>((Inputs!$B$6*(1+Inputs!$B$7/100))+(((Inputs!$B$12*(1+Inputs!$B$13/100))-(Inputs!$B$12*(1+Inputs!$B$13/100)))+0.25*(Inputs!$B$14-Inputs!$B$14))*(1+Inputs!$B$7/100))*(F3123/100)</f>
        <v/>
      </c>
      <c r="K3123">
        <f>J3123*(1+((Inputs!$B$12*(1+Inputs!$B$13/100))*0.01+Inputs!$B$14*0.0025)/100)*(1+Inputs!$B$15/100)*(1+Inputs!$B$16/100)*(5000/(6000+Inputs!$B$42*(1-(100*(1-(1-(Inputs!$B$19+0)/100)*(1-CHOOSE(ArtifactsInput!$N$40+1,5,6,7,8,9,10)/100)^(ArtifactsInput!$M$40-ArtifactsInput!$M$40)))/100)))*(1+(Inputs!$B$24+((C3147=TRUE)*(F3147-Calc!F26))+B3158)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IGHT_LEGS_EASTON",Inputs!$B$17+((C3144=TRUE)*(F3144-Calc!F23))+((C3148=TRUE)*(F3148-Calc!F27))+((IF(AND(Inputs!$B$38&lt;&gt;"pvp",Inputs!$B$43=0),1,IF(IF(Inputs!$B$38="pvp",15,Inputs!$B$43)-(B3159)&lt;=0,1,MAX(0,IF(Inputs!$B$38="pvp",15,Inputs!$B$43)-MAX(5,B3159))/(IF(Inputs!$B$38="pvp",15,Inputs!$B$43)-(B3159))))*(IF(AND(ArtifactsInput!$M$42,((Inputs!$B$9+((C3140=TRUE)*(F3140-Calc!F19))+B3152+(ArtifactsInput!$M$24-ArtifactsInput!$M$24)*CHOOSE(ArtifactsInput!$N$24+1,10,12,14,16,18,20)+IF(ArtifactsInput!$M$10,CHOOSE(ArtifactsInput!$N$10+1,15,18,21,24,27,30)*(IF(Inputs!$B$38="pvp",MIN(15,15)/15,IF(AND(Inputs!$B$38&lt;&gt;"pvp",Inputs!$B$43&gt;0),MIN(15,Inputs!$B$43)/(Inputs!$B$43),0))),0)))&gt;=100),MIN(100,((Inputs!$B$9+((C3140=TRUE)*(F3140-Calc!F19))+B3152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3159)&lt;=0,1,MAX(0,IF(Inputs!$B$38="pvp",15,Inputs!$B$43)-MAX(5,B3159))/(IF(Inputs!$B$38="pvp",15,Inputs!$B$43)-(B3159))))*IF(AND(ArtifactsInput!$M$42,((Inputs!$B$9+((C3140=TRUE)*(F3140-Calc!F19))+B3152+(ArtifactsInput!$M$24-ArtifactsInput!$M$24)*CHOOSE(ArtifactsInput!$N$24+1,10,12,14,16,18,20)+IF(ArtifactsInput!$M$10,CHOOSE(ArtifactsInput!$N$10+1,15,18,21,24,27,30)*(IF(Inputs!$B$38="pvp",MIN(15,15)/15,IF(AND(Inputs!$B$38&lt;&gt;"pvp",Inputs!$B$43&gt;0),MIN(15,Inputs!$B$43)/(Inputs!$B$43),0))),0)))&gt;=100),CHOOSE(ArtifactsInput!$N$42+1,40,48,56,64,72,80),0))))/100)*((1+(((C3138=TRUE)*F3138*5/7)+((C3145=TRUE)*(F3145-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3123)</f>
        <v/>
      </c>
      <c r="L3123">
        <f>K3123*(MIN(Inputs!$B$22+((C3143=TRUE)*(F3143-Calc!F22)),(Inputs!$B$23+0+(IF(ArtifactsInput!$M$15,CHOOSE(ArtifactsInput!$N$15+1,25,30,35,40,45,50)/100*(Inputs!$B$11-Inputs!$B$11),0))))/100+(Inputs!$B$23+0+(IF(ArtifactsInput!$M$15,CHOOSE(ArtifactsInput!$N$15+1,25,30,35,40,45,50)/100*(Inputs!$B$11-Inputs!$B$11),0)))/100)/2</f>
        <v/>
      </c>
      <c r="M3123">
        <f>L3123*(1+(Inputs!$B$10+((C3146=TRUE)*(F3146-Calc!F25))+B3157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23">
        <f>L3123*(1-MIN((Inputs!$B$9+((C3140=TRUE)*(F3140-Calc!F19))+B3152+(ArtifactsInput!$M$24-ArtifactsInput!$M$24)*CHOOSE(ArtifactsInput!$N$24+1,10,12,14,16,18,20)+(IF(AND(Inputs!$B$38&lt;&gt;"pvp",Inputs!$B$43=0),1,IF(IF(Inputs!$B$38="pvp",15,Inputs!$B$43)-(B3159)&lt;=0,1,MAX(0,IF(Inputs!$B$38="pvp",15,Inputs!$B$43)-MAX(5,B3159))/(IF(Inputs!$B$38="pvp",15,Inputs!$B$43)-(B3159))))*IF(AND(ArtifactsInput!$M$42,((Inputs!$B$9+((C3140=TRUE)*(F3140-Calc!F19))+B3152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3123*(MIN((Inputs!$B$9+((C3140=TRUE)*(F3140-Calc!F19))+B3152+(ArtifactsInput!$M$24-ArtifactsInput!$M$24)*CHOOSE(ArtifactsInput!$N$24+1,10,12,14,16,18,20)+(IF(AND(Inputs!$B$38&lt;&gt;"pvp",Inputs!$B$43=0),1,IF(IF(Inputs!$B$38="pvp",15,Inputs!$B$43)-(B3159)&lt;=0,1,MAX(0,IF(Inputs!$B$38="pvp",15,Inputs!$B$43)-MAX(5,B3159))/(IF(Inputs!$B$38="pvp",15,Inputs!$B$43)-(B3159))))*IF(AND(ArtifactsInput!$M$42,((Inputs!$B$9+((C3140=TRUE)*(F3140-Calc!F19))+B3152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23">
        <f>(1-Summary!$B$11)*T3123+Summary!$B$11*V3123</f>
        <v/>
      </c>
      <c r="P3123">
        <f>IF(B3162=0,0,O3123/B3162)</f>
        <v/>
      </c>
      <c r="Q3123" t="n">
        <v>0</v>
      </c>
      <c r="R3123" t="n">
        <v>0</v>
      </c>
      <c r="S3123">
        <f>IFERROR(O3123/N3123,0)</f>
        <v/>
      </c>
      <c r="T3123">
        <f>IF(C3123,(Skills!G2*N3123*B3156*(1+IF(C3148=TRUE,1/3,0)))*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Hunt"),CHOOSE(ArtifactsInput!$N$35+1,15,18,21,24,27,30)*(1-EXP(-(0.2*B3154)*5)),0)+IF(AND(ArtifactsInput!$M$22,Inputs!$B$4&lt;&gt;"Chapter Hunt"),CHOOSE(ArtifactsInput!$N$22+1,10,12,14,16,18,20)*((0*(((0.15*B3154*5))^0/1)+1*(((0.15*B3154*5))^1/1)+2*(((0.15*B3154*5))^2/2)+3*(((0.15*B3154*5))^3/6)+4*(((0.15*B3154*5))^4/24)+5*(((0.15*B3154*5))^5/120))/((((0.15*B3154*5))^0/1)+(((0.15*B3154*5))^1/1)+(((0.15*B3154*5))^2/2)+(((0.15*B3154*5))^3/6)+(((0.15*B3154*5))^4/24)+(((0.15*B3154*5))^5/120))),0))+IF(Inputs!$B$3&gt;=54,9*(C3124=TRUE)*MIN(1,8*(1+Inputs!$B$34/100)*Q3124)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3123*(1-MIN(100,(Inputs!$B$9+((C3140=TRUE)*(F3140-Calc!F19))+B3152+(ArtifactsInput!$M$24-ArtifactsInput!$M$24)*CHOOSE(ArtifactsInput!$N$24+1,10,12,14,16,18,20)+(IF(AND(Inputs!$B$38&lt;&gt;"pvp",Inputs!$B$43=0),1,IF(IF(Inputs!$B$38="pvp",15,Inputs!$B$43)-(B3159)&lt;=0,1,MAX(0,IF(Inputs!$B$38="pvp",15,Inputs!$B$43)-MAX(5,B3159))/(IF(Inputs!$B$38="pvp",15,Inputs!$B$43)-(B3159))))*IF(AND(ArtifactsInput!$M$42,((Inputs!$B$9+((C3140=TRUE)*(F3140-Calc!F19))+B3152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3123*(MIN(100,(Inputs!$B$9+((C3140=TRUE)*(F3140-Calc!F19))+B3152+(ArtifactsInput!$M$24-ArtifactsInput!$M$24)*CHOOSE(ArtifactsInput!$N$24+1,10,12,14,16,18,20)+(IF(AND(Inputs!$B$38&lt;&gt;"pvp",Inputs!$B$43=0),1,IF(IF(Inputs!$B$38="pvp",15,Inputs!$B$43)-(B3159)&lt;=0,1,MAX(0,IF(Inputs!$B$38="pvp",15,Inputs!$B$43)-MAX(5,B3159))/(IF(Inputs!$B$38="pvp",15,Inputs!$B$43)-(B3159))))*IF(AND(ArtifactsInput!$M$42,((Inputs!$B$9+((C3140=TRUE)*(F3140-Calc!F19))+B3152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3123*(1-MIN(100,(Inputs!$B$9+((C3140=TRUE)*(F3140-Calc!F19))+B3152+(ArtifactsInput!$M$24-ArtifactsInput!$M$24)*CHOOSE(ArtifactsInput!$N$24+1,10,12,14,16,18,20)+(IF(AND(Inputs!$B$38&lt;&gt;"pvp",Inputs!$B$43=0),1,IF(IF(Inputs!$B$38="pvp",15,Inputs!$B$43)-(B3159)&lt;=0,1,MAX(0,IF(Inputs!$B$38="pvp",15,Inputs!$B$43)-MAX(5,B3159))/(IF(Inputs!$B$38="pvp",15,Inputs!$B$43)-(B3159))))*IF(AND(ArtifactsInput!$M$42,((Inputs!$B$9+((C3140=TRUE)*(F3140-Calc!F19))+B3152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3123*(MIN(100,(Inputs!$B$9+((C3140=TRUE)*(F3140-Calc!F19))+B3152+(ArtifactsInput!$M$24-ArtifactsInput!$M$24)*CHOOSE(ArtifactsInput!$N$24+1,10,12,14,16,18,20)+(IF(AND(Inputs!$B$38&lt;&gt;"pvp",Inputs!$B$43=0),1,IF(IF(Inputs!$B$38="pvp",15,Inputs!$B$43)-(B3159)&lt;=0,1,MAX(0,IF(Inputs!$B$38="pvp",15,Inputs!$B$43)-MAX(5,B3159))/(IF(Inputs!$B$38="pvp",15,Inputs!$B$43)-(B3159))))*IF(AND(ArtifactsInput!$M$42,((Inputs!$B$9+((C3140=TRUE)*(F3140-Calc!F19))+B3152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123">
        <f>MAX(0,(Inputs!$B$3-100)*3)+Inputs!$B$28+Inputs!$B$29</f>
        <v/>
      </c>
      <c r="V3123">
        <f>IF(C3123,(Skills!G2*N3123*B3156*(1+IF(C3148=TRUE,1/3,0)))*IF(Inputs!$B$38="pvp",1,(1+(Inputs!$B$21+Skills!Q2+(IF(ArtifactsInput!$M$33,CHOOSE(ArtifactsInput!$N$33+1,30,36,42,48,54,60),0))+(IF(AND(ArtifactsInput!$M$35,Inputs!$B$4&lt;&gt;"Chapter Hunt"),CHOOSE(ArtifactsInput!$N$35+1,15,18,21,24,27,30)*(1-EXP(-(0.2*B3154)*5)),0)+IF(AND(ArtifactsInput!$M$22,Inputs!$B$4&lt;&gt;"Chapter Hunt"),CHOOSE(ArtifactsInput!$N$22+1,10,12,14,16,18,20)*((0*(((0.15*B3154*5))^0/1)+1*(((0.15*B3154*5))^1/1)+2*(((0.15*B3154*5))^2/2)+3*(((0.15*B3154*5))^3/6)+4*(((0.15*B3154*5))^4/24)+5*(((0.15*B3154*5))^5/120))/((((0.15*B3154*5))^0/1)+(((0.15*B3154*5))^1/1)+(((0.15*B3154*5))^2/2)+(((0.15*B3154*5))^3/6)+(((0.15*B3154*5))^4/24)+(((0.15*B3154*5))^5/120))),0))+IF(Inputs!$B$3&gt;=54,9*(C3124=TRUE)*MIN(1,8*(1+Inputs!$B$34/100)*Q3124),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24">
      <c r="A3124">
        <f>Skills!A3</f>
        <v/>
      </c>
      <c r="B3124">
        <f>Skills!B3</f>
        <v/>
      </c>
      <c r="C3124">
        <f>Inputs!$B$3&gt;=33</f>
        <v/>
      </c>
      <c r="D3124">
        <f>IF(Skills!C3=1,60+Inputs!$B$25+Inputs!$B$29,IF(Skills!C3=2,90+Inputs!$B$26+Inputs!$B$29,IF(Skills!C3=3,120+Inputs!$B$27+Inputs!$B$29,MAX(0,(Inputs!$B$3-100)*3)+Inputs!$B$28+Inputs!$B$29)))</f>
        <v/>
      </c>
      <c r="E3124">
        <f>INDEX(FactorTable!$B$2:$Y$301, MATCH(ROUND(MIN(300,MAX(1,D3124)),0), FactorTable!$A$2:$A$301,0), Skills!M3+1)</f>
        <v/>
      </c>
      <c r="F3124">
        <f>IF(Skills!N3=TRUE,(Skills!L3/10)*(E3124/1000),Skills!L3/10)+Skills!O3</f>
        <v/>
      </c>
      <c r="G3124">
        <f>Skills!G3*IF(Skills!H3&gt;0,INT(IF(Inputs!$B$38="pvp",MIN(Skills!I3,15),Skills!I3)/Skills!H3+0.000000001),1)</f>
        <v/>
      </c>
      <c r="H3124">
        <f>1-(1-Skills!J3/100)^Skills!K3</f>
        <v/>
      </c>
      <c r="I3124" t="inlineStr">
        <is>
          <t>1</t>
        </is>
      </c>
      <c r="J3124">
        <f>((Inputs!$B$6*(1+Inputs!$B$7/100))+(((Inputs!$B$12*(1+Inputs!$B$13/100))-(Inputs!$B$12*(1+Inputs!$B$13/100)))+0.25*(Inputs!$B$14-Inputs!$B$14))*(1+Inputs!$B$7/100))*(F3124/100)</f>
        <v/>
      </c>
      <c r="K3124">
        <f>J3124*(1+((Inputs!$B$12*(1+Inputs!$B$13/100))*0.01+Inputs!$B$14*0.0025)/100)*(1+Inputs!$B$15/100)*(1+Inputs!$B$16/100)*(5000/(6000+Inputs!$B$42*(1-(100*(1-(1-(Inputs!$B$19+0)/100)*(1-CHOOSE(ArtifactsInput!$N$40+1,5,6,7,8,9,10)/100)^(ArtifactsInput!$M$40-ArtifactsInput!$M$40)))/100)))*(1+(Inputs!$B$24+((C3147=TRUE)*(F3147-Calc!F26))+B3158)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3136=TRUE,F3136,0)/100)*(1+(IF(Skills!A3="EIGHT_LEGS_EASTON",Inputs!$B$17+((C3144=TRUE)*(F3144-Calc!F23))+((C3148=TRUE)*(F3148-Calc!F27))+((IF(AND(Inputs!$B$38&lt;&gt;"pvp",Inputs!$B$43=0),1,IF(IF(Inputs!$B$38="pvp",15,Inputs!$B$43)-(B3159)&lt;=0,1,MAX(0,IF(Inputs!$B$38="pvp",15,Inputs!$B$43)-MAX(5,B3159))/(IF(Inputs!$B$38="pvp",15,Inputs!$B$43)-(B3159))))*(IF(AND(ArtifactsInput!$M$42,((Inputs!$B$9+((C3140=TRUE)*(F3140-Calc!F19))+B3152+(ArtifactsInput!$M$24-ArtifactsInput!$M$24)*CHOOSE(ArtifactsInput!$N$24+1,10,12,14,16,18,20)+IF(ArtifactsInput!$M$10,CHOOSE(ArtifactsInput!$N$10+1,15,18,21,24,27,30)*(IF(Inputs!$B$38="pvp",MIN(15,15)/15,IF(AND(Inputs!$B$38&lt;&gt;"pvp",Inputs!$B$43&gt;0),MIN(15,Inputs!$B$43)/(Inputs!$B$43),0))),0)))&gt;=100),MIN(100,((Inputs!$B$9+((C3140=TRUE)*(F3140-Calc!F19))+B3152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3159)&lt;=0,1,MAX(0,IF(Inputs!$B$38="pvp",15,Inputs!$B$43)-MAX(5,B3159))/(IF(Inputs!$B$38="pvp",15,Inputs!$B$43)-(B3159))))*IF(AND(ArtifactsInput!$M$42,((Inputs!$B$9+((C3140=TRUE)*(F3140-Calc!F19))+B3152+(ArtifactsInput!$M$24-ArtifactsInput!$M$24)*CHOOSE(ArtifactsInput!$N$24+1,10,12,14,16,18,20)+IF(ArtifactsInput!$M$10,CHOOSE(ArtifactsInput!$N$10+1,15,18,21,24,27,30)*(IF(Inputs!$B$38="pvp",MIN(15,15)/15,IF(AND(Inputs!$B$38&lt;&gt;"pvp",Inputs!$B$43&gt;0),MIN(15,Inputs!$B$43)/(Inputs!$B$43),0))),0)))&gt;=100),CHOOSE(ArtifactsInput!$N$42+1,40,48,56,64,72,80),0))))/100)*((1+(((C3138=TRUE)*F3138*5/7)+((C3145=TRUE)*(F3145-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3124)</f>
        <v/>
      </c>
      <c r="L3124">
        <f>K3124*(MIN(Inputs!$B$22+((C3143=TRUE)*(F3143-Calc!F22)),(Inputs!$B$23+0+(IF(ArtifactsInput!$M$15,CHOOSE(ArtifactsInput!$N$15+1,25,30,35,40,45,50)/100*(Inputs!$B$11-Inputs!$B$11),0))))/100+(Inputs!$B$23+0+(IF(ArtifactsInput!$M$15,CHOOSE(ArtifactsInput!$N$15+1,25,30,35,40,45,50)/100*(Inputs!$B$11-Inputs!$B$11),0)))/100)/2</f>
        <v/>
      </c>
      <c r="M3124">
        <f>L3124*(1+(Inputs!$B$10+((C3146=TRUE)*(F3146-Calc!F25))+B3157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24">
        <f>L3124*(1-MIN((Inputs!$B$9+((C3140=TRUE)*(F3140-Calc!F19))+B3152+(ArtifactsInput!$M$24-ArtifactsInput!$M$24)*CHOOSE(ArtifactsInput!$N$24+1,10,12,14,16,18,20)+(IF(AND(Inputs!$B$38&lt;&gt;"pvp",Inputs!$B$43=0),1,IF(IF(Inputs!$B$38="pvp",15,Inputs!$B$43)-(B3159)&lt;=0,1,MAX(0,IF(Inputs!$B$38="pvp",15,Inputs!$B$43)-MAX(5,B3159))/(IF(Inputs!$B$38="pvp",15,Inputs!$B$43)-(B3159))))*IF(AND(ArtifactsInput!$M$42,((Inputs!$B$9+((C3140=TRUE)*(F3140-Calc!F19))+B3152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3124*(MIN((Inputs!$B$9+((C3140=TRUE)*(F3140-Calc!F19))+B3152+(ArtifactsInput!$M$24-ArtifactsInput!$M$24)*CHOOSE(ArtifactsInput!$N$24+1,10,12,14,16,18,20)+(IF(AND(Inputs!$B$38&lt;&gt;"pvp",Inputs!$B$43=0),1,IF(IF(Inputs!$B$38="pvp",15,Inputs!$B$43)-(B3159)&lt;=0,1,MAX(0,IF(Inputs!$B$38="pvp",15,Inputs!$B$43)-MAX(5,B3159))/(IF(Inputs!$B$38="pvp",15,Inputs!$B$43)-(B3159))))*IF(AND(ArtifactsInput!$M$42,((Inputs!$B$9+((C3140=TRUE)*(F3140-Calc!F19))+B3152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24">
        <f>(1-Summary!$B$11)*T3124+Summary!$B$11*V3124</f>
        <v/>
      </c>
      <c r="P3124">
        <f>IF(B3162=0,0,O3124/B3162)</f>
        <v/>
      </c>
      <c r="Q3124">
        <f>IFERROR(1/(IF(Inputs!$B$38="pvp",15,MAX(0.1,Skills!D3-IF(TRUE=TRUE,2.5,0)))*(1-IF(AND(ArtifactsInput!$M$27,Inputs!$B$4="Chapter Hunt"),CHOOSE(ArtifactsInput!$N$27+1,20,24,28,32,36,40),0)/100)),0)</f>
        <v/>
      </c>
      <c r="R3124">
        <f>IF(AND(Inputs!$B$38&lt;&gt;"pvp",Inputs!$B$43&gt;0),IF(MAX(0,Inputs!$B$43-B3159)&lt;=0,0,(INT(MAX(0,Inputs!$B$43-B3159)/(IF(Inputs!$B$38="pvp",15,MAX(0.1,Skills!D3-IF(TRUE=TRUE,2.5,0)))*(1-IF(AND(ArtifactsInput!$M$27,Inputs!$B$4="Chapter Hunt"),CHOOSE(ArtifactsInput!$N$27+1,20,24,28,32,36,40),0)/100)))+1)),0)</f>
        <v/>
      </c>
      <c r="S3124">
        <f>IFERROR(O3124/N3124,0)</f>
        <v/>
      </c>
      <c r="T3124">
        <f>IF(C3124,(H3124*N3124*IF(AND(Inputs!$B$38&lt;&gt;"pvp",Inputs!$B$43&gt;0),((Skills!G3*((R3124-1)*IF(Skills!H3&gt;0,INT(Skills!I3/Skills!H3+0.000000001),1)+IF(Skills!H3&gt;0,INT(MIN(Skills!I3,MAX(0,MAX(0,Inputs!$B$43-B3159)-((R3124-1)*(IF(Inputs!$B$38="pvp",15,MAX(0.1,Skills!D3-IF(TRUE=TRUE,2.5,0)))*(1-IF(AND(ArtifactsInput!$M$27,Inputs!$B$4="Chapter Hunt"),CHOOSE(ArtifactsInput!$N$27+1,20,24,28,32,36,40),0)/100)))))/Skills!H3+0.000000001),1)))/Inputs!$B$43),G3124*Q3124))*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Hunt"),CHOOSE(ArtifactsInput!$N$35+1,15,18,21,24,27,30)*(1-EXP(-(0.2*B3154)*5)),0)+IF(AND(ArtifactsInput!$M$22,Inputs!$B$4&lt;&gt;"Chapter Hunt"),CHOOSE(ArtifactsInput!$N$22+1,10,12,14,16,18,20)*((0*(((0.15*B3154*5))^0/1)+1*(((0.15*B3154*5))^1/1)+2*(((0.15*B3154*5))^2/2)+3*(((0.15*B3154*5))^3/6)+4*(((0.15*B3154*5))^4/24)+5*(((0.15*B3154*5))^5/120))/((((0.15*B3154*5))^0/1)+(((0.15*B3154*5))^1/1)+(((0.15*B3154*5))^2/2)+(((0.15*B3154*5))^3/6)+(((0.15*B3154*5))^4/24)+(((0.15*B3154*5))^5/120))),0))+IF(Inputs!$B$3&gt;=54,9*(C3124=TRUE)*MIN(1,8*(1+Inputs!$B$34/100)*Q3124)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3124*(1-MIN(100,(Inputs!$B$9+((C3140=TRUE)*(F3140-Calc!F19))+B3152+(ArtifactsInput!$M$24-ArtifactsInput!$M$24)*CHOOSE(ArtifactsInput!$N$24+1,10,12,14,16,18,20)+(IF(AND(Inputs!$B$38&lt;&gt;"pvp",Inputs!$B$43=0),1,IF(IF(Inputs!$B$38="pvp",15,Inputs!$B$43)-(B3159)&lt;=0,1,MAX(0,IF(Inputs!$B$38="pvp",15,Inputs!$B$43)-MAX(5,B3159))/(IF(Inputs!$B$38="pvp",15,Inputs!$B$43)-(B3159))))*IF(AND(ArtifactsInput!$M$42,((Inputs!$B$9+((C3140=TRUE)*(F3140-Calc!F19))+B3152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3124*(MIN(100,(Inputs!$B$9+((C3140=TRUE)*(F3140-Calc!F19))+B3152+(ArtifactsInput!$M$24-ArtifactsInput!$M$24)*CHOOSE(ArtifactsInput!$N$24+1,10,12,14,16,18,20)+(IF(AND(Inputs!$B$38&lt;&gt;"pvp",Inputs!$B$43=0),1,IF(IF(Inputs!$B$38="pvp",15,Inputs!$B$43)-(B3159)&lt;=0,1,MAX(0,IF(Inputs!$B$38="pvp",15,Inputs!$B$43)-MAX(5,B3159))/(IF(Inputs!$B$38="pvp",15,Inputs!$B$43)-(B3159))))*IF(AND(ArtifactsInput!$M$42,((Inputs!$B$9+((C3140=TRUE)*(F3140-Calc!F19))+B3152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3124*(1-MIN(100,(Inputs!$B$9+((C3140=TRUE)*(F3140-Calc!F19))+B3152+(ArtifactsInput!$M$24-ArtifactsInput!$M$24)*CHOOSE(ArtifactsInput!$N$24+1,10,12,14,16,18,20)+(IF(AND(Inputs!$B$38&lt;&gt;"pvp",Inputs!$B$43=0),1,IF(IF(Inputs!$B$38="pvp",15,Inputs!$B$43)-(B3159)&lt;=0,1,MAX(0,IF(Inputs!$B$38="pvp",15,Inputs!$B$43)-MAX(5,B3159))/(IF(Inputs!$B$38="pvp",15,Inputs!$B$43)-(B3159))))*IF(AND(ArtifactsInput!$M$42,((Inputs!$B$9+((C3140=TRUE)*(F3140-Calc!F19))+B3152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3124*(MIN(100,(Inputs!$B$9+((C3140=TRUE)*(F3140-Calc!F19))+B3152+(ArtifactsInput!$M$24-ArtifactsInput!$M$24)*CHOOSE(ArtifactsInput!$N$24+1,10,12,14,16,18,20)+(IF(AND(Inputs!$B$38&lt;&gt;"pvp",Inputs!$B$43=0),1,IF(IF(Inputs!$B$38="pvp",15,Inputs!$B$43)-(B3159)&lt;=0,1,MAX(0,IF(Inputs!$B$38="pvp",15,Inputs!$B$43)-MAX(5,B3159))/(IF(Inputs!$B$38="pvp",15,Inputs!$B$43)-(B3159))))*IF(AND(ArtifactsInput!$M$42,((Inputs!$B$9+((C3140=TRUE)*(F3140-Calc!F19))+B3152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124">
        <f>INDEX(FactorTable!$B$2:$Y$301, MATCH(ROUND(MIN(300,MAX(1,U3123)),0), FactorTable!$A$2:$A$301,0), 22)</f>
        <v/>
      </c>
      <c r="V3124">
        <f>IF(C3124,(H3124*N3124*IF(AND(Inputs!$B$38&lt;&gt;"pvp",Inputs!$B$43&gt;0),((Skills!G3*((R3124-1)*IF(Skills!H3&gt;0,INT(Skills!I3/Skills!H3+0.000000001),1)+IF(Skills!H3&gt;0,INT(MIN(Skills!I3,MAX(0,MAX(0,Inputs!$B$43-B3159)-((R3124-1)*(IF(Inputs!$B$38="pvp",15,MAX(0.1,Skills!D3-IF(TRUE=TRUE,2.5,0)))*(1-IF(AND(ArtifactsInput!$M$27,Inputs!$B$4="Chapter Hunt"),CHOOSE(ArtifactsInput!$N$27+1,20,24,28,32,36,40),0)/100)))))/Skills!H3+0.000000001),1)))/Inputs!$B$43),G3124*Q3124))*IF(Inputs!$B$38="pvp",1,(1+(Inputs!$B$21+Skills!Q3+(IF(ArtifactsInput!$M$33,CHOOSE(ArtifactsInput!$N$33+1,30,36,42,48,54,60),0))+(IF(AND(ArtifactsInput!$M$35,Inputs!$B$4&lt;&gt;"Chapter Hunt"),CHOOSE(ArtifactsInput!$N$35+1,15,18,21,24,27,30)*(1-EXP(-(0.2*B3154)*5)),0)+IF(AND(ArtifactsInput!$M$22,Inputs!$B$4&lt;&gt;"Chapter Hunt"),CHOOSE(ArtifactsInput!$N$22+1,10,12,14,16,18,20)*((0*(((0.15*B3154*5))^0/1)+1*(((0.15*B3154*5))^1/1)+2*(((0.15*B3154*5))^2/2)+3*(((0.15*B3154*5))^3/6)+4*(((0.15*B3154*5))^4/24)+5*(((0.15*B3154*5))^5/120))/((((0.15*B3154*5))^0/1)+(((0.15*B3154*5))^1/1)+(((0.15*B3154*5))^2/2)+(((0.15*B3154*5))^3/6)+(((0.15*B3154*5))^4/24)+(((0.15*B3154*5))^5/120))),0))+IF(Inputs!$B$3&gt;=54,9*(C3124=TRUE)*MIN(1,8*(1+Inputs!$B$34/100)*Q3124),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25">
      <c r="A3125">
        <f>Skills!A4</f>
        <v/>
      </c>
      <c r="B3125">
        <f>Skills!B4</f>
        <v/>
      </c>
      <c r="C3125">
        <f>Inputs!$B$3&gt;=35</f>
        <v/>
      </c>
      <c r="D3125">
        <f>IF(Skills!C4=1,60+Inputs!$B$25+Inputs!$B$29,IF(Skills!C4=2,90+Inputs!$B$26+Inputs!$B$29,IF(Skills!C4=3,120+Inputs!$B$27+Inputs!$B$29,MAX(0,(Inputs!$B$3-100)*3)+Inputs!$B$28+Inputs!$B$29)))</f>
        <v/>
      </c>
      <c r="E3125">
        <f>INDEX(FactorTable!$B$2:$Y$301, MATCH(ROUND(MIN(300,MAX(1,D3125)),0), FactorTable!$A$2:$A$301,0), Skills!M4+1)</f>
        <v/>
      </c>
      <c r="F3125">
        <f>IF(Skills!N4=TRUE,(Skills!L4/10)*(E3125/1000),Skills!L4/10)+Skills!O4</f>
        <v/>
      </c>
      <c r="G3125">
        <f>Skills!G4*IF(Skills!H4&gt;0,INT(IF(Inputs!$B$38="pvp",MIN(IF(Inputs!$B$3&gt;=104,MIN(35,20*(1+Inputs!$B$34/100)),20),15),IF(Inputs!$B$3&gt;=104,MIN(35,20*(1+Inputs!$B$34/100)),20))/Skills!H4+0.000000001),1)</f>
        <v/>
      </c>
      <c r="H3125">
        <f>1-(1-Skills!J4/100)^Skills!K4</f>
        <v/>
      </c>
      <c r="I3125" t="inlineStr">
        <is>
          <t>1</t>
        </is>
      </c>
      <c r="J3125">
        <f>((Inputs!$B$6*(1+Inputs!$B$7/100))+(((Inputs!$B$12*(1+Inputs!$B$13/100))-(Inputs!$B$12*(1+Inputs!$B$13/100)))+0.25*(Inputs!$B$14-Inputs!$B$14))*(1+Inputs!$B$7/100))*(F3125/100)</f>
        <v/>
      </c>
      <c r="K3125">
        <f>J3125*(1+((Inputs!$B$12*(1+Inputs!$B$13/100))*0.01+Inputs!$B$14*0.0025)/100)*(1+Inputs!$B$15/100)*(1+Inputs!$B$16/100)*(5000/(6000+Inputs!$B$42*(1-(100*(1-(1-(Inputs!$B$19+0)/100)*(1-CHOOSE(ArtifactsInput!$N$40+1,5,6,7,8,9,10)/100)^(ArtifactsInput!$M$40-ArtifactsInput!$M$40)))/100)))*(1+(Inputs!$B$24+((C3147=TRUE)*(F3147-Calc!F26))+B3158)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3137=TRUE,F3137,0)/100)*(1+(IF(Skills!A4="EIGHT_LEGS_EASTON",Inputs!$B$17+((C3144=TRUE)*(F3144-Calc!F23))+((C3148=TRUE)*(F3148-Calc!F27))+((IF(AND(Inputs!$B$38&lt;&gt;"pvp",Inputs!$B$43=0),1,IF(IF(Inputs!$B$38="pvp",15,Inputs!$B$43)-(B3159)&lt;=0,1,MAX(0,IF(Inputs!$B$38="pvp",15,Inputs!$B$43)-MAX(5,B3159))/(IF(Inputs!$B$38="pvp",15,Inputs!$B$43)-(B3159))))*(IF(AND(ArtifactsInput!$M$42,((Inputs!$B$9+((C3140=TRUE)*(F3140-Calc!F19))+B3152+(ArtifactsInput!$M$24-ArtifactsInput!$M$24)*CHOOSE(ArtifactsInput!$N$24+1,10,12,14,16,18,20)+IF(ArtifactsInput!$M$10,CHOOSE(ArtifactsInput!$N$10+1,15,18,21,24,27,30)*(IF(Inputs!$B$38="pvp",MIN(15,15)/15,IF(AND(Inputs!$B$38&lt;&gt;"pvp",Inputs!$B$43&gt;0),MIN(15,Inputs!$B$43)/(Inputs!$B$43),0))),0)))&gt;=100),MIN(100,((Inputs!$B$9+((C3140=TRUE)*(F3140-Calc!F19))+B3152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3159)&lt;=0,1,MAX(0,IF(Inputs!$B$38="pvp",15,Inputs!$B$43)-MAX(5,B3159))/(IF(Inputs!$B$38="pvp",15,Inputs!$B$43)-(B3159))))*IF(AND(ArtifactsInput!$M$42,((Inputs!$B$9+((C3140=TRUE)*(F3140-Calc!F19))+B3152+(ArtifactsInput!$M$24-ArtifactsInput!$M$24)*CHOOSE(ArtifactsInput!$N$24+1,10,12,14,16,18,20)+IF(ArtifactsInput!$M$10,CHOOSE(ArtifactsInput!$N$10+1,15,18,21,24,27,30)*(IF(Inputs!$B$38="pvp",MIN(15,15)/15,IF(AND(Inputs!$B$38&lt;&gt;"pvp",Inputs!$B$43&gt;0),MIN(15,Inputs!$B$43)/(Inputs!$B$43),0))),0)))&gt;=100),CHOOSE(ArtifactsInput!$N$42+1,40,48,56,64,72,80),0))))/100)*((1+(((C3138=TRUE)*F3138*5/7)+((C3145=TRUE)*(F3145-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3125)</f>
        <v/>
      </c>
      <c r="L3125">
        <f>K3125*(MIN(Inputs!$B$22+((C3143=TRUE)*(F3143-Calc!F22)),(Inputs!$B$23+0+(IF(ArtifactsInput!$M$15,CHOOSE(ArtifactsInput!$N$15+1,25,30,35,40,45,50)/100*(Inputs!$B$11-Inputs!$B$11),0))))/100+(Inputs!$B$23+0+(IF(ArtifactsInput!$M$15,CHOOSE(ArtifactsInput!$N$15+1,25,30,35,40,45,50)/100*(Inputs!$B$11-Inputs!$B$11),0)))/100)/2</f>
        <v/>
      </c>
      <c r="M3125">
        <f>L3125*(1+(Inputs!$B$10+((C3146=TRUE)*(F3146-Calc!F25))+B3157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25">
        <f>L3125*(1-MIN((Inputs!$B$9+((C3140=TRUE)*(F3140-Calc!F19))+B3152+(ArtifactsInput!$M$24-ArtifactsInput!$M$24)*CHOOSE(ArtifactsInput!$N$24+1,10,12,14,16,18,20)+(IF(AND(Inputs!$B$38&lt;&gt;"pvp",Inputs!$B$43=0),1,IF(IF(Inputs!$B$38="pvp",15,Inputs!$B$43)-(B3159)&lt;=0,1,MAX(0,IF(Inputs!$B$38="pvp",15,Inputs!$B$43)-MAX(5,B3159))/(IF(Inputs!$B$38="pvp",15,Inputs!$B$43)-(B3159))))*IF(AND(ArtifactsInput!$M$42,((Inputs!$B$9+((C3140=TRUE)*(F3140-Calc!F19))+B3152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3125*(MIN((Inputs!$B$9+((C3140=TRUE)*(F3140-Calc!F19))+B3152+(ArtifactsInput!$M$24-ArtifactsInput!$M$24)*CHOOSE(ArtifactsInput!$N$24+1,10,12,14,16,18,20)+(IF(AND(Inputs!$B$38&lt;&gt;"pvp",Inputs!$B$43=0),1,IF(IF(Inputs!$B$38="pvp",15,Inputs!$B$43)-(B3159)&lt;=0,1,MAX(0,IF(Inputs!$B$38="pvp",15,Inputs!$B$43)-MAX(5,B3159))/(IF(Inputs!$B$38="pvp",15,Inputs!$B$43)-(B3159))))*IF(AND(ArtifactsInput!$M$42,((Inputs!$B$9+((C3140=TRUE)*(F3140-Calc!F19))+B3152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25">
        <f>(1-Summary!$B$11)*T3125+Summary!$B$11*V3125</f>
        <v/>
      </c>
      <c r="P3125">
        <f>IF(B3162=0,0,O3125/B3162)</f>
        <v/>
      </c>
      <c r="Q3125">
        <f>IFERROR(1/(IF(Inputs!$B$38="pvp",15,MAX(0.1,Skills!D4-IF(TRUE=TRUE,2.5,0)))*(1-IF(AND(ArtifactsInput!$M$27,Inputs!$B$4="Chapter Hunt"),CHOOSE(ArtifactsInput!$N$27+1,20,24,28,32,36,40),0)/100)),0)</f>
        <v/>
      </c>
      <c r="R3125">
        <f>IF(AND(Inputs!$B$38&lt;&gt;"pvp",Inputs!$B$43&gt;0),IF(MAX(0,Inputs!$B$43-B3159)&lt;=0,0,(INT(MAX(0,Inputs!$B$43-B3159)/(IF(Inputs!$B$38="pvp",15,MAX(0.1,Skills!D4-IF(TRUE=TRUE,2.5,0)))*(1-IF(AND(ArtifactsInput!$M$27,Inputs!$B$4="Chapter Hunt"),CHOOSE(ArtifactsInput!$N$27+1,20,24,28,32,36,40),0)/100)))+1)),0)</f>
        <v/>
      </c>
      <c r="S3125">
        <f>IFERROR(O3125/N3125,0)</f>
        <v/>
      </c>
      <c r="T3125">
        <f>IF(C3125,(H3125*N3125*IF(AND(Inputs!$B$38&lt;&gt;"pvp",Inputs!$B$43&gt;0),((Skills!G4*((R3125-1)*IF(Skills!H4&gt;0,INT(IF(Inputs!$B$3&gt;=104,MIN(35,20*(1+Inputs!$B$34/100)),20)/Skills!H4+0.000000001),1)+IF(Skills!H4&gt;0,INT(MIN(IF(Inputs!$B$3&gt;=104,MIN(35,20*(1+Inputs!$B$34/100)),20),MAX(0,MAX(0,Inputs!$B$43-B3159)-((R3125-1)*(IF(Inputs!$B$38="pvp",15,MAX(0.1,Skills!D4-IF(TRUE=TRUE,2.5,0)))*(1-IF(AND(ArtifactsInput!$M$27,Inputs!$B$4="Chapter Hunt"),CHOOSE(ArtifactsInput!$N$27+1,20,24,28,32,36,40),0)/100)))))/Skills!H4+0.000000001),1)))/Inputs!$B$43),G3125*Q3125))*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Hunt"),CHOOSE(ArtifactsInput!$N$35+1,15,18,21,24,27,30)*(1-EXP(-(0.2*B3154)*5)),0)+IF(AND(ArtifactsInput!$M$22,Inputs!$B$4&lt;&gt;"Chapter Hunt"),CHOOSE(ArtifactsInput!$N$22+1,10,12,14,16,18,20)*((0*(((0.15*B3154*5))^0/1)+1*(((0.15*B3154*5))^1/1)+2*(((0.15*B3154*5))^2/2)+3*(((0.15*B3154*5))^3/6)+4*(((0.15*B3154*5))^4/24)+5*(((0.15*B3154*5))^5/120))/((((0.15*B3154*5))^0/1)+(((0.15*B3154*5))^1/1)+(((0.15*B3154*5))^2/2)+(((0.15*B3154*5))^3/6)+(((0.15*B3154*5))^4/24)+(((0.15*B3154*5))^5/120))),0))+IF(Inputs!$B$3&gt;=54,9*(C3124=TRUE)*MIN(1,8*(1+Inputs!$B$34/100)*Q3124)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3125*(1-MIN(100,(Inputs!$B$9+((C3140=TRUE)*(F3140-Calc!F19))+B3152+(ArtifactsInput!$M$24-ArtifactsInput!$M$24)*CHOOSE(ArtifactsInput!$N$24+1,10,12,14,16,18,20)+(IF(AND(Inputs!$B$38&lt;&gt;"pvp",Inputs!$B$43=0),1,IF(IF(Inputs!$B$38="pvp",15,Inputs!$B$43)-(B3159)&lt;=0,1,MAX(0,IF(Inputs!$B$38="pvp",15,Inputs!$B$43)-MAX(5,B3159))/(IF(Inputs!$B$38="pvp",15,Inputs!$B$43)-(B3159))))*IF(AND(ArtifactsInput!$M$42,((Inputs!$B$9+((C3140=TRUE)*(F3140-Calc!F19))+B3152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3125*(MIN(100,(Inputs!$B$9+((C3140=TRUE)*(F3140-Calc!F19))+B3152+(ArtifactsInput!$M$24-ArtifactsInput!$M$24)*CHOOSE(ArtifactsInput!$N$24+1,10,12,14,16,18,20)+(IF(AND(Inputs!$B$38&lt;&gt;"pvp",Inputs!$B$43=0),1,IF(IF(Inputs!$B$38="pvp",15,Inputs!$B$43)-(B3159)&lt;=0,1,MAX(0,IF(Inputs!$B$38="pvp",15,Inputs!$B$43)-MAX(5,B3159))/(IF(Inputs!$B$38="pvp",15,Inputs!$B$43)-(B3159))))*IF(AND(ArtifactsInput!$M$42,((Inputs!$B$9+((C3140=TRUE)*(F3140-Calc!F19))+B3152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3125*(1-MIN(100,(Inputs!$B$9+((C3140=TRUE)*(F3140-Calc!F19))+B3152+(ArtifactsInput!$M$24-ArtifactsInput!$M$24)*CHOOSE(ArtifactsInput!$N$24+1,10,12,14,16,18,20)+(IF(AND(Inputs!$B$38&lt;&gt;"pvp",Inputs!$B$43=0),1,IF(IF(Inputs!$B$38="pvp",15,Inputs!$B$43)-(B3159)&lt;=0,1,MAX(0,IF(Inputs!$B$38="pvp",15,Inputs!$B$43)-MAX(5,B3159))/(IF(Inputs!$B$38="pvp",15,Inputs!$B$43)-(B3159))))*IF(AND(ArtifactsInput!$M$42,((Inputs!$B$9+((C3140=TRUE)*(F3140-Calc!F19))+B3152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3125*(MIN(100,(Inputs!$B$9+((C3140=TRUE)*(F3140-Calc!F19))+B3152+(ArtifactsInput!$M$24-ArtifactsInput!$M$24)*CHOOSE(ArtifactsInput!$N$24+1,10,12,14,16,18,20)+(IF(AND(Inputs!$B$38&lt;&gt;"pvp",Inputs!$B$43=0),1,IF(IF(Inputs!$B$38="pvp",15,Inputs!$B$43)-(B3159)&lt;=0,1,MAX(0,IF(Inputs!$B$38="pvp",15,Inputs!$B$43)-MAX(5,B3159))/(IF(Inputs!$B$38="pvp",15,Inputs!$B$43)-(B3159))))*IF(AND(ArtifactsInput!$M$42,((Inputs!$B$9+((C3140=TRUE)*(F3140-Calc!F19))+B3152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125">
        <f>290*U3124/1000</f>
        <v/>
      </c>
      <c r="V3125">
        <f>IF(C3125,(H3125*N3125*IF(AND(Inputs!$B$38&lt;&gt;"pvp",Inputs!$B$43&gt;0),((Skills!G4*((R3125-1)*IF(Skills!H4&gt;0,INT(IF(Inputs!$B$3&gt;=104,MIN(35,20*(1+Inputs!$B$34/100)),20)/Skills!H4+0.000000001),1)+IF(Skills!H4&gt;0,INT(MIN(IF(Inputs!$B$3&gt;=104,MIN(35,20*(1+Inputs!$B$34/100)),20),MAX(0,MAX(0,Inputs!$B$43-B3159)-((R3125-1)*(IF(Inputs!$B$38="pvp",15,MAX(0.1,Skills!D4-IF(TRUE=TRUE,2.5,0)))*(1-IF(AND(ArtifactsInput!$M$27,Inputs!$B$4="Chapter Hunt"),CHOOSE(ArtifactsInput!$N$27+1,20,24,28,32,36,40),0)/100)))))/Skills!H4+0.000000001),1)))/Inputs!$B$43),G3125*Q3125))*IF(Inputs!$B$38="pvp",1,(1+(Inputs!$B$21+Skills!Q4+(IF(ArtifactsInput!$M$33,CHOOSE(ArtifactsInput!$N$33+1,30,36,42,48,54,60),0))+(IF(AND(ArtifactsInput!$M$35,Inputs!$B$4&lt;&gt;"Chapter Hunt"),CHOOSE(ArtifactsInput!$N$35+1,15,18,21,24,27,30)*(1-EXP(-(0.2*B3154)*5)),0)+IF(AND(ArtifactsInput!$M$22,Inputs!$B$4&lt;&gt;"Chapter Hunt"),CHOOSE(ArtifactsInput!$N$22+1,10,12,14,16,18,20)*((0*(((0.15*B3154*5))^0/1)+1*(((0.15*B3154*5))^1/1)+2*(((0.15*B3154*5))^2/2)+3*(((0.15*B3154*5))^3/6)+4*(((0.15*B3154*5))^4/24)+5*(((0.15*B3154*5))^5/120))/((((0.15*B3154*5))^0/1)+(((0.15*B3154*5))^1/1)+(((0.15*B3154*5))^2/2)+(((0.15*B3154*5))^3/6)+(((0.15*B3154*5))^4/24)+(((0.15*B3154*5))^5/120))),0))+IF(Inputs!$B$3&gt;=54,9*(C3124=TRUE)*MIN(1,8*(1+Inputs!$B$34/100)*Q3124),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26">
      <c r="A3126">
        <f>Skills!A5</f>
        <v/>
      </c>
      <c r="B3126">
        <f>Skills!B5</f>
        <v/>
      </c>
      <c r="C3126">
        <f>Inputs!$B$3&gt;=69</f>
        <v/>
      </c>
      <c r="D3126">
        <f>IF(Skills!C5=1,60+Inputs!$B$25+Inputs!$B$29,IF(Skills!C5=2,90+Inputs!$B$26+Inputs!$B$29,IF(Skills!C5=3,120+Inputs!$B$27+Inputs!$B$29,MAX(0,(Inputs!$B$3-100)*3)+Inputs!$B$28+Inputs!$B$29)))</f>
        <v/>
      </c>
      <c r="E3126">
        <f>INDEX(FactorTable!$B$2:$Y$301, MATCH(ROUND(MIN(300,MAX(1,D3126)),0), FactorTable!$A$2:$A$301,0), Skills!M5+1)</f>
        <v/>
      </c>
      <c r="F3126">
        <f>IF(Skills!N5=TRUE,(Skills!L5/10)*(E3126/1000),Skills!L5/10)+Skills!O5</f>
        <v/>
      </c>
      <c r="G3126">
        <f>Skills!G5*IF(Skills!H5&gt;0,INT(IF(Inputs!$B$38="pvp",MIN(IF(Inputs!$B$3&gt;=104,MIN(35,20*(1+Inputs!$B$34/100)),20),15),IF(Inputs!$B$3&gt;=104,MIN(35,20*(1+Inputs!$B$34/100)),20))/Skills!H5+0.000000001),1)</f>
        <v/>
      </c>
      <c r="H3126">
        <f>1-(1-Skills!J5/100)^Skills!K5</f>
        <v/>
      </c>
      <c r="I3126" t="inlineStr">
        <is>
          <t>1</t>
        </is>
      </c>
      <c r="J3126">
        <f>((Inputs!$B$6*(1+Inputs!$B$7/100))+(((Inputs!$B$12*(1+Inputs!$B$13/100))-(Inputs!$B$12*(1+Inputs!$B$13/100)))+0.25*(Inputs!$B$14-Inputs!$B$14))*(1+Inputs!$B$7/100))*(F3126/100)</f>
        <v/>
      </c>
      <c r="K3126">
        <f>J3126*(1+((Inputs!$B$12*(1+Inputs!$B$13/100))*0.01+Inputs!$B$14*0.0025)/100)*(1+Inputs!$B$15/100)*(1+Inputs!$B$16/100)*(5000/(6000+Inputs!$B$42*(1-(100*(1-(1-(Inputs!$B$19+0)/100)*(1-CHOOSE(ArtifactsInput!$N$40+1,5,6,7,8,9,10)/100)^(ArtifactsInput!$M$40-ArtifactsInput!$M$40)))/100)))*(1+(Inputs!$B$24+((C3147=TRUE)*(F3147-Calc!F26))+B3158)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+0.4*IF(C3137=TRUE,F3137,0)/100)*(1+(IF(Skills!A5="EIGHT_LEGS_EASTON",Inputs!$B$17+((C3144=TRUE)*(F3144-Calc!F23))+((C3148=TRUE)*(F3148-Calc!F27))+((IF(AND(Inputs!$B$38&lt;&gt;"pvp",Inputs!$B$43=0),1,IF(IF(Inputs!$B$38="pvp",15,Inputs!$B$43)-(B3159)&lt;=0,1,MAX(0,IF(Inputs!$B$38="pvp",15,Inputs!$B$43)-MAX(5,B3159))/(IF(Inputs!$B$38="pvp",15,Inputs!$B$43)-(B3159))))*(IF(AND(ArtifactsInput!$M$42,((Inputs!$B$9+((C3140=TRUE)*(F3140-Calc!F19))+B3152+(ArtifactsInput!$M$24-ArtifactsInput!$M$24)*CHOOSE(ArtifactsInput!$N$24+1,10,12,14,16,18,20)+IF(ArtifactsInput!$M$10,CHOOSE(ArtifactsInput!$N$10+1,15,18,21,24,27,30)*(IF(Inputs!$B$38="pvp",MIN(15,15)/15,IF(AND(Inputs!$B$38&lt;&gt;"pvp",Inputs!$B$43&gt;0),MIN(15,Inputs!$B$43)/(Inputs!$B$43),0))),0)))&gt;=100),MIN(100,((Inputs!$B$9+((C3140=TRUE)*(F3140-Calc!F19))+B3152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3159)&lt;=0,1,MAX(0,IF(Inputs!$B$38="pvp",15,Inputs!$B$43)-MAX(5,B3159))/(IF(Inputs!$B$38="pvp",15,Inputs!$B$43)-(B3159))))*IF(AND(ArtifactsInput!$M$42,((Inputs!$B$9+((C3140=TRUE)*(F3140-Calc!F19))+B3152+(ArtifactsInput!$M$24-ArtifactsInput!$M$24)*CHOOSE(ArtifactsInput!$N$24+1,10,12,14,16,18,20)+IF(ArtifactsInput!$M$10,CHOOSE(ArtifactsInput!$N$10+1,15,18,21,24,27,30)*(IF(Inputs!$B$38="pvp",MIN(15,15)/15,IF(AND(Inputs!$B$38&lt;&gt;"pvp",Inputs!$B$43&gt;0),MIN(15,Inputs!$B$43)/(Inputs!$B$43),0))),0)))&gt;=100),CHOOSE(ArtifactsInput!$N$42+1,40,48,56,64,72,80),0))))/100)*((1+(((C3138=TRUE)*F3138*5/7)+((C3145=TRUE)*(F3145-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3126)</f>
        <v/>
      </c>
      <c r="L3126">
        <f>K3126*(MIN(Inputs!$B$22+((C3143=TRUE)*(F3143-Calc!F22)),(Inputs!$B$23+0+(IF(ArtifactsInput!$M$15,CHOOSE(ArtifactsInput!$N$15+1,25,30,35,40,45,50)/100*(Inputs!$B$11-Inputs!$B$11),0))))/100+(Inputs!$B$23+0+(IF(ArtifactsInput!$M$15,CHOOSE(ArtifactsInput!$N$15+1,25,30,35,40,45,50)/100*(Inputs!$B$11-Inputs!$B$11),0)))/100)/2</f>
        <v/>
      </c>
      <c r="M3126">
        <f>L3126*(1+(Inputs!$B$10+((C3146=TRUE)*(F3146-Calc!F25))+B3157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26">
        <f>L3126*(1-MIN((Inputs!$B$9+((C3140=TRUE)*(F3140-Calc!F19))+B3152+(ArtifactsInput!$M$24-ArtifactsInput!$M$24)*CHOOSE(ArtifactsInput!$N$24+1,10,12,14,16,18,20)+(IF(AND(Inputs!$B$38&lt;&gt;"pvp",Inputs!$B$43=0),1,IF(IF(Inputs!$B$38="pvp",15,Inputs!$B$43)-(B3159)&lt;=0,1,MAX(0,IF(Inputs!$B$38="pvp",15,Inputs!$B$43)-MAX(5,B3159))/(IF(Inputs!$B$38="pvp",15,Inputs!$B$43)-(B3159))))*IF(AND(ArtifactsInput!$M$42,((Inputs!$B$9+((C3140=TRUE)*(F3140-Calc!F19))+B3152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3126*(MIN((Inputs!$B$9+((C3140=TRUE)*(F3140-Calc!F19))+B3152+(ArtifactsInput!$M$24-ArtifactsInput!$M$24)*CHOOSE(ArtifactsInput!$N$24+1,10,12,14,16,18,20)+(IF(AND(Inputs!$B$38&lt;&gt;"pvp",Inputs!$B$43=0),1,IF(IF(Inputs!$B$38="pvp",15,Inputs!$B$43)-(B3159)&lt;=0,1,MAX(0,IF(Inputs!$B$38="pvp",15,Inputs!$B$43)-MAX(5,B3159))/(IF(Inputs!$B$38="pvp",15,Inputs!$B$43)-(B3159))))*IF(AND(ArtifactsInput!$M$42,((Inputs!$B$9+((C3140=TRUE)*(F3140-Calc!F19))+B3152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26">
        <f>(1-Summary!$B$11)*T3126+Summary!$B$11*V3126</f>
        <v/>
      </c>
      <c r="P3126">
        <f>IF(B3162=0,0,O3126/B3162)</f>
        <v/>
      </c>
      <c r="Q3126">
        <f>IFERROR(1/(IF(Inputs!$B$38="pvp",15,MAX(0.1,Skills!D5-IF(TRUE=TRUE,2.5,0)))*(1-IF(AND(ArtifactsInput!$M$27,Inputs!$B$4="Chapter Hunt"),CHOOSE(ArtifactsInput!$N$27+1,20,24,28,32,36,40),0)/100)),0)</f>
        <v/>
      </c>
      <c r="R3126">
        <f>IF(AND(Inputs!$B$38&lt;&gt;"pvp",Inputs!$B$43&gt;0),IF(MAX(0,Inputs!$B$43-B3159)&lt;=0,0,(INT(MAX(0,Inputs!$B$43-B3159)/(IF(Inputs!$B$38="pvp",15,MAX(0.1,Skills!D5-IF(TRUE=TRUE,2.5,0)))*(1-IF(AND(ArtifactsInput!$M$27,Inputs!$B$4="Chapter Hunt"),CHOOSE(ArtifactsInput!$N$27+1,20,24,28,32,36,40),0)/100)))+1)),0)</f>
        <v/>
      </c>
      <c r="S3126">
        <f>IFERROR(O3126/N3126,0)</f>
        <v/>
      </c>
      <c r="T3126">
        <f>IF(C3126,(H3126*N3126*IF(AND(Inputs!$B$38&lt;&gt;"pvp",Inputs!$B$43&gt;0),((Skills!G5*((R3126-1)*IF(Skills!H5&gt;0,INT(IF(Inputs!$B$3&gt;=104,MIN(35,20*(1+Inputs!$B$34/100)),20)/Skills!H5+0.000000001),1)+IF(Skills!H5&gt;0,INT(MIN(IF(Inputs!$B$3&gt;=104,MIN(35,20*(1+Inputs!$B$34/100)),20),MAX(0,MAX(0,Inputs!$B$43-B3159)-((R3126-1)*(IF(Inputs!$B$38="pvp",15,MAX(0.1,Skills!D5-IF(TRUE=TRUE,2.5,0)))*(1-IF(AND(ArtifactsInput!$M$27,Inputs!$B$4="Chapter Hunt"),CHOOSE(ArtifactsInput!$N$27+1,20,24,28,32,36,40),0)/100)))))/Skills!H5+0.000000001),1)))/Inputs!$B$43),G3126*Q3126))*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Hunt"),CHOOSE(ArtifactsInput!$N$35+1,15,18,21,24,27,30)*(1-EXP(-(0.2*B3154)*5)),0)+IF(AND(ArtifactsInput!$M$22,Inputs!$B$4&lt;&gt;"Chapter Hunt"),CHOOSE(ArtifactsInput!$N$22+1,10,12,14,16,18,20)*((0*(((0.15*B3154*5))^0/1)+1*(((0.15*B3154*5))^1/1)+2*(((0.15*B3154*5))^2/2)+3*(((0.15*B3154*5))^3/6)+4*(((0.15*B3154*5))^4/24)+5*(((0.15*B3154*5))^5/120))/((((0.15*B3154*5))^0/1)+(((0.15*B3154*5))^1/1)+(((0.15*B3154*5))^2/2)+(((0.15*B3154*5))^3/6)+(((0.15*B3154*5))^4/24)+(((0.15*B3154*5))^5/120))),0))+IF(Inputs!$B$3&gt;=54,9*(C3124=TRUE)*MIN(1,8*(1+Inputs!$B$34/100)*Q3124)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3126*(1-MIN(100,(Inputs!$B$9+((C3140=TRUE)*(F3140-Calc!F19))+B3152+(ArtifactsInput!$M$24-ArtifactsInput!$M$24)*CHOOSE(ArtifactsInput!$N$24+1,10,12,14,16,18,20)+(IF(AND(Inputs!$B$38&lt;&gt;"pvp",Inputs!$B$43=0),1,IF(IF(Inputs!$B$38="pvp",15,Inputs!$B$43)-(B3159)&lt;=0,1,MAX(0,IF(Inputs!$B$38="pvp",15,Inputs!$B$43)-MAX(5,B3159))/(IF(Inputs!$B$38="pvp",15,Inputs!$B$43)-(B3159))))*IF(AND(ArtifactsInput!$M$42,((Inputs!$B$9+((C3140=TRUE)*(F3140-Calc!F19))+B3152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3126*(MIN(100,(Inputs!$B$9+((C3140=TRUE)*(F3140-Calc!F19))+B3152+(ArtifactsInput!$M$24-ArtifactsInput!$M$24)*CHOOSE(ArtifactsInput!$N$24+1,10,12,14,16,18,20)+(IF(AND(Inputs!$B$38&lt;&gt;"pvp",Inputs!$B$43=0),1,IF(IF(Inputs!$B$38="pvp",15,Inputs!$B$43)-(B3159)&lt;=0,1,MAX(0,IF(Inputs!$B$38="pvp",15,Inputs!$B$43)-MAX(5,B3159))/(IF(Inputs!$B$38="pvp",15,Inputs!$B$43)-(B3159))))*IF(AND(ArtifactsInput!$M$42,((Inputs!$B$9+((C3140=TRUE)*(F3140-Calc!F19))+B3152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3126*(1-MIN(100,(Inputs!$B$9+((C3140=TRUE)*(F3140-Calc!F19))+B3152+(ArtifactsInput!$M$24-ArtifactsInput!$M$24)*CHOOSE(ArtifactsInput!$N$24+1,10,12,14,16,18,20)+(IF(AND(Inputs!$B$38&lt;&gt;"pvp",Inputs!$B$43=0),1,IF(IF(Inputs!$B$38="pvp",15,Inputs!$B$43)-(B3159)&lt;=0,1,MAX(0,IF(Inputs!$B$38="pvp",15,Inputs!$B$43)-MAX(5,B3159))/(IF(Inputs!$B$38="pvp",15,Inputs!$B$43)-(B3159))))*IF(AND(ArtifactsInput!$M$42,((Inputs!$B$9+((C3140=TRUE)*(F3140-Calc!F19))+B3152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3126*(MIN(100,(Inputs!$B$9+((C3140=TRUE)*(F3140-Calc!F19))+B3152+(ArtifactsInput!$M$24-ArtifactsInput!$M$24)*CHOOSE(ArtifactsInput!$N$24+1,10,12,14,16,18,20)+(IF(AND(Inputs!$B$38&lt;&gt;"pvp",Inputs!$B$43=0),1,IF(IF(Inputs!$B$38="pvp",15,Inputs!$B$43)-(B3159)&lt;=0,1,MAX(0,IF(Inputs!$B$38="pvp",15,Inputs!$B$43)-MAX(5,B3159))/(IF(Inputs!$B$38="pvp",15,Inputs!$B$43)-(B3159))))*IF(AND(ArtifactsInput!$M$42,((Inputs!$B$9+((C3140=TRUE)*(F3140-Calc!F19))+B3152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126">
        <f>IF(C3126,(H3126*N3126*IF(AND(Inputs!$B$38&lt;&gt;"pvp",Inputs!$B$43&gt;0),((Skills!G5*((R3126-1)*IF(Skills!H5&gt;0,INT(IF(Inputs!$B$3&gt;=104,MIN(35,20*(1+Inputs!$B$34/100)),20)/Skills!H5+0.000000001),1)+IF(Skills!H5&gt;0,INT(MIN(IF(Inputs!$B$3&gt;=104,MIN(35,20*(1+Inputs!$B$34/100)),20),MAX(0,MAX(0,Inputs!$B$43-B3159)-((R3126-1)*(IF(Inputs!$B$38="pvp",15,MAX(0.1,Skills!D5-IF(TRUE=TRUE,2.5,0)))*(1-IF(AND(ArtifactsInput!$M$27,Inputs!$B$4="Chapter Hunt"),CHOOSE(ArtifactsInput!$N$27+1,20,24,28,32,36,40),0)/100)))))/Skills!H5+0.000000001),1)))/Inputs!$B$43),G3126*Q3126))*IF(Inputs!$B$38="pvp",1,(1+(Inputs!$B$21+Skills!Q5+(IF(ArtifactsInput!$M$33,CHOOSE(ArtifactsInput!$N$33+1,30,36,42,48,54,60),0))+(IF(AND(ArtifactsInput!$M$35,Inputs!$B$4&lt;&gt;"Chapter Hunt"),CHOOSE(ArtifactsInput!$N$35+1,15,18,21,24,27,30)*(1-EXP(-(0.2*B3154)*5)),0)+IF(AND(ArtifactsInput!$M$22,Inputs!$B$4&lt;&gt;"Chapter Hunt"),CHOOSE(ArtifactsInput!$N$22+1,10,12,14,16,18,20)*((0*(((0.15*B3154*5))^0/1)+1*(((0.15*B3154*5))^1/1)+2*(((0.15*B3154*5))^2/2)+3*(((0.15*B3154*5))^3/6)+4*(((0.15*B3154*5))^4/24)+5*(((0.15*B3154*5))^5/120))/((((0.15*B3154*5))^0/1)+(((0.15*B3154*5))^1/1)+(((0.15*B3154*5))^2/2)+(((0.15*B3154*5))^3/6)+(((0.15*B3154*5))^4/24)+(((0.15*B3154*5))^5/120))),0))+IF(Inputs!$B$3&gt;=54,9*(C3124=TRUE)*MIN(1,8*(1+Inputs!$B$34/100)*Q3124),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27">
      <c r="A3127">
        <f>Skills!A6</f>
        <v/>
      </c>
      <c r="B3127">
        <f>Skills!B6</f>
        <v/>
      </c>
      <c r="C3127">
        <f>Inputs!$B$3&gt;=66</f>
        <v/>
      </c>
      <c r="D3127">
        <f>IF(Skills!C6=1,60+Inputs!$B$25+Inputs!$B$29,IF(Skills!C6=2,90+Inputs!$B$26+Inputs!$B$29,IF(Skills!C6=3,120+Inputs!$B$27+Inputs!$B$29,MAX(0,(Inputs!$B$3-100)*3)+Inputs!$B$28+Inputs!$B$29)))</f>
        <v/>
      </c>
      <c r="E3127">
        <f>INDEX(FactorTable!$B$2:$Y$301, MATCH(ROUND(MIN(300,MAX(1,D3127)),0), FactorTable!$A$2:$A$301,0), Skills!M6+1)</f>
        <v/>
      </c>
      <c r="F3127">
        <f>IF(Skills!N6=TRUE,(Skills!L6/10)*(E3127/1000),Skills!L6/10)+Skills!O6</f>
        <v/>
      </c>
      <c r="G3127">
        <f>Skills!G6*IF(Skills!H6&gt;0,INT(IF(Inputs!$B$38="pvp",MIN(Skills!I6,15),Skills!I6)/Skills!H6+0.000000001),1)</f>
        <v/>
      </c>
      <c r="H3127">
        <f>1-(1-Skills!J6/100)^Skills!K6</f>
        <v/>
      </c>
      <c r="I3127" t="inlineStr">
        <is>
          <t>1</t>
        </is>
      </c>
      <c r="J3127">
        <f>((Inputs!$B$6*(1+Inputs!$B$7/100))+(((Inputs!$B$12*(1+Inputs!$B$13/100))-(Inputs!$B$12*(1+Inputs!$B$13/100)))+0.25*(Inputs!$B$14-Inputs!$B$14))*(1+Inputs!$B$7/100))*(F3127/100)</f>
        <v/>
      </c>
      <c r="K3127">
        <f>J3127*(1+((Inputs!$B$12*(1+Inputs!$B$13/100))*0.01+Inputs!$B$14*0.0025)/100)*(1+Inputs!$B$15/100)*(1+Inputs!$B$16/100)*(5000/(6000+Inputs!$B$42*(1-(100*(1-(1-(Inputs!$B$19+0)/100)*(1-CHOOSE(ArtifactsInput!$N$40+1,5,6,7,8,9,10)/100)^(ArtifactsInput!$M$40-ArtifactsInput!$M$40)))/100)))*(1+(Inputs!$B$24+((C3147=TRUE)*(F3147-Calc!F26))+B3158)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+2.0*IF(C3136=TRUE,F3136,0)/100)*(1+(IF(Skills!A6="EIGHT_LEGS_EASTON",Inputs!$B$17+((C3144=TRUE)*(F3144-Calc!F23))+((C3148=TRUE)*(F3148-Calc!F27))+((IF(AND(Inputs!$B$38&lt;&gt;"pvp",Inputs!$B$43=0),1,IF(IF(Inputs!$B$38="pvp",15,Inputs!$B$43)-(B3159)&lt;=0,1,MAX(0,IF(Inputs!$B$38="pvp",15,Inputs!$B$43)-MAX(5,B3159))/(IF(Inputs!$B$38="pvp",15,Inputs!$B$43)-(B3159))))*(IF(AND(ArtifactsInput!$M$42,((Inputs!$B$9+((C3140=TRUE)*(F3140-Calc!F19))+B3152+(ArtifactsInput!$M$24-ArtifactsInput!$M$24)*CHOOSE(ArtifactsInput!$N$24+1,10,12,14,16,18,20)+IF(ArtifactsInput!$M$10,CHOOSE(ArtifactsInput!$N$10+1,15,18,21,24,27,30)*(IF(Inputs!$B$38="pvp",MIN(15,15)/15,IF(AND(Inputs!$B$38&lt;&gt;"pvp",Inputs!$B$43&gt;0),MIN(15,Inputs!$B$43)/(Inputs!$B$43),0))),0)))&gt;=100),MIN(100,((Inputs!$B$9+((C3140=TRUE)*(F3140-Calc!F19))+B3152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3159)&lt;=0,1,MAX(0,IF(Inputs!$B$38="pvp",15,Inputs!$B$43)-MAX(5,B3159))/(IF(Inputs!$B$38="pvp",15,Inputs!$B$43)-(B3159))))*IF(AND(ArtifactsInput!$M$42,((Inputs!$B$9+((C3140=TRUE)*(F3140-Calc!F19))+B3152+(ArtifactsInput!$M$24-ArtifactsInput!$M$24)*CHOOSE(ArtifactsInput!$N$24+1,10,12,14,16,18,20)+IF(ArtifactsInput!$M$10,CHOOSE(ArtifactsInput!$N$10+1,15,18,21,24,27,30)*(IF(Inputs!$B$38="pvp",MIN(15,15)/15,IF(AND(Inputs!$B$38&lt;&gt;"pvp",Inputs!$B$43&gt;0),MIN(15,Inputs!$B$43)/(Inputs!$B$43),0))),0)))&gt;=100),CHOOSE(ArtifactsInput!$N$42+1,40,48,56,64,72,80),0))))/100)*((1+(((C3138=TRUE)*F3138*5/7)+((C3145=TRUE)*(F3145-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3127)</f>
        <v/>
      </c>
      <c r="L3127">
        <f>K3127*(MIN(Inputs!$B$22+((C3143=TRUE)*(F3143-Calc!F22)),(Inputs!$B$23+0+(IF(ArtifactsInput!$M$15,CHOOSE(ArtifactsInput!$N$15+1,25,30,35,40,45,50)/100*(Inputs!$B$11-Inputs!$B$11),0))))/100+(Inputs!$B$23+0+(IF(ArtifactsInput!$M$15,CHOOSE(ArtifactsInput!$N$15+1,25,30,35,40,45,50)/100*(Inputs!$B$11-Inputs!$B$11),0)))/100)/2</f>
        <v/>
      </c>
      <c r="M3127">
        <f>L3127*(1+(Inputs!$B$10+((C3146=TRUE)*(F3146-Calc!F25))+B3157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27">
        <f>L3127*(1-MIN((Inputs!$B$9+((C3140=TRUE)*(F3140-Calc!F19))+B3152+(ArtifactsInput!$M$24-ArtifactsInput!$M$24)*CHOOSE(ArtifactsInput!$N$24+1,10,12,14,16,18,20)+(IF(AND(Inputs!$B$38&lt;&gt;"pvp",Inputs!$B$43=0),1,IF(IF(Inputs!$B$38="pvp",15,Inputs!$B$43)-(B3159)&lt;=0,1,MAX(0,IF(Inputs!$B$38="pvp",15,Inputs!$B$43)-MAX(5,B3159))/(IF(Inputs!$B$38="pvp",15,Inputs!$B$43)-(B3159))))*IF(AND(ArtifactsInput!$M$42,((Inputs!$B$9+((C3140=TRUE)*(F3140-Calc!F19))+B3152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3127*(MIN((Inputs!$B$9+((C3140=TRUE)*(F3140-Calc!F19))+B3152+(ArtifactsInput!$M$24-ArtifactsInput!$M$24)*CHOOSE(ArtifactsInput!$N$24+1,10,12,14,16,18,20)+(IF(AND(Inputs!$B$38&lt;&gt;"pvp",Inputs!$B$43=0),1,IF(IF(Inputs!$B$38="pvp",15,Inputs!$B$43)-(B3159)&lt;=0,1,MAX(0,IF(Inputs!$B$38="pvp",15,Inputs!$B$43)-MAX(5,B3159))/(IF(Inputs!$B$38="pvp",15,Inputs!$B$43)-(B3159))))*IF(AND(ArtifactsInput!$M$42,((Inputs!$B$9+((C3140=TRUE)*(F3140-Calc!F19))+B3152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27">
        <f>(1-Summary!$B$11)*T3127+Summary!$B$11*V3127</f>
        <v/>
      </c>
      <c r="P3127">
        <f>IF(B3162=0,0,O3127/B3162)</f>
        <v/>
      </c>
      <c r="Q3127">
        <f>IFERROR(1/(IF(Inputs!$B$38="pvp",15,MAX(0.1,Skills!D6-IF(TRUE=TRUE,2.5,0)))*(1-IF(AND(ArtifactsInput!$M$27,Inputs!$B$4="Chapter Hunt"),CHOOSE(ArtifactsInput!$N$27+1,20,24,28,32,36,40),0)/100)),0)</f>
        <v/>
      </c>
      <c r="R3127">
        <f>IF(AND(Inputs!$B$38&lt;&gt;"pvp",Inputs!$B$43&gt;0),IF(MAX(0,Inputs!$B$43-B3159)&lt;=0,0,(INT(MAX(0,Inputs!$B$43-B3159)/(IF(Inputs!$B$38="pvp",15,MAX(0.1,Skills!D6-IF(TRUE=TRUE,2.5,0)))*(1-IF(AND(ArtifactsInput!$M$27,Inputs!$B$4="Chapter Hunt"),CHOOSE(ArtifactsInput!$N$27+1,20,24,28,32,36,40),0)/100)))+1)),0)</f>
        <v/>
      </c>
      <c r="S3127">
        <f>IFERROR(O3127/N3127,0)</f>
        <v/>
      </c>
      <c r="T3127">
        <f>IF(C3127,(H3127*N3127*IF(AND(Inputs!$B$38&lt;&gt;"pvp",Inputs!$B$43&gt;0),((Skills!G6*((R3127-1)*IF(Skills!H6&gt;0,INT(Skills!I6/Skills!H6+0.000000001),1)+IF(Skills!H6&gt;0,INT(MIN(Skills!I6,MAX(0,MAX(0,Inputs!$B$43-B3159)-((R3127-1)*(IF(Inputs!$B$38="pvp",15,MAX(0.1,Skills!D6-IF(TRUE=TRUE,2.5,0)))*(1-IF(AND(ArtifactsInput!$M$27,Inputs!$B$4="Chapter Hunt"),CHOOSE(ArtifactsInput!$N$27+1,20,24,28,32,36,40),0)/100)))))/Skills!H6+0.000000001),1)))/Inputs!$B$43),G3127*Q3127)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Hunt"),CHOOSE(ArtifactsInput!$N$35+1,15,18,21,24,27,30)*(1-EXP(-(0.2*B3154)*5)),0)+IF(AND(ArtifactsInput!$M$22,Inputs!$B$4&lt;&gt;"Chapter Hunt"),CHOOSE(ArtifactsInput!$N$22+1,10,12,14,16,18,20)*((0*(((0.15*B3154*5))^0/1)+1*(((0.15*B3154*5))^1/1)+2*(((0.15*B3154*5))^2/2)+3*(((0.15*B3154*5))^3/6)+4*(((0.15*B3154*5))^4/24)+5*(((0.15*B3154*5))^5/120))/((((0.15*B3154*5))^0/1)+(((0.15*B3154*5))^1/1)+(((0.15*B3154*5))^2/2)+(((0.15*B3154*5))^3/6)+(((0.15*B3154*5))^4/24)+(((0.15*B3154*5))^5/120))),0))+IF(Inputs!$B$3&gt;=54,9*(C3124=TRUE)*MIN(1,8*(1+Inputs!$B$34/100)*Q3124)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3127*(1-MIN(100,(Inputs!$B$9+((C3140=TRUE)*(F3140-Calc!F19))+B3152+(ArtifactsInput!$M$24-ArtifactsInput!$M$24)*CHOOSE(ArtifactsInput!$N$24+1,10,12,14,16,18,20)+(IF(AND(Inputs!$B$38&lt;&gt;"pvp",Inputs!$B$43=0),1,IF(IF(Inputs!$B$38="pvp",15,Inputs!$B$43)-(B3159)&lt;=0,1,MAX(0,IF(Inputs!$B$38="pvp",15,Inputs!$B$43)-MAX(5,B3159))/(IF(Inputs!$B$38="pvp",15,Inputs!$B$43)-(B3159))))*IF(AND(ArtifactsInput!$M$42,((Inputs!$B$9+((C3140=TRUE)*(F3140-Calc!F19))+B3152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3127*(MIN(100,(Inputs!$B$9+((C3140=TRUE)*(F3140-Calc!F19))+B3152+(ArtifactsInput!$M$24-ArtifactsInput!$M$24)*CHOOSE(ArtifactsInput!$N$24+1,10,12,14,16,18,20)+(IF(AND(Inputs!$B$38&lt;&gt;"pvp",Inputs!$B$43=0),1,IF(IF(Inputs!$B$38="pvp",15,Inputs!$B$43)-(B3159)&lt;=0,1,MAX(0,IF(Inputs!$B$38="pvp",15,Inputs!$B$43)-MAX(5,B3159))/(IF(Inputs!$B$38="pvp",15,Inputs!$B$43)-(B3159))))*IF(AND(ArtifactsInput!$M$42,((Inputs!$B$9+((C3140=TRUE)*(F3140-Calc!F19))+B3152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3127*(1-MIN(100,(Inputs!$B$9+((C3140=TRUE)*(F3140-Calc!F19))+B3152+(ArtifactsInput!$M$24-ArtifactsInput!$M$24)*CHOOSE(ArtifactsInput!$N$24+1,10,12,14,16,18,20)+(IF(AND(Inputs!$B$38&lt;&gt;"pvp",Inputs!$B$43=0),1,IF(IF(Inputs!$B$38="pvp",15,Inputs!$B$43)-(B3159)&lt;=0,1,MAX(0,IF(Inputs!$B$38="pvp",15,Inputs!$B$43)-MAX(5,B3159))/(IF(Inputs!$B$38="pvp",15,Inputs!$B$43)-(B3159))))*IF(AND(ArtifactsInput!$M$42,((Inputs!$B$9+((C3140=TRUE)*(F3140-Calc!F19))+B3152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3127*(MIN(100,(Inputs!$B$9+((C3140=TRUE)*(F3140-Calc!F19))+B3152+(ArtifactsInput!$M$24-ArtifactsInput!$M$24)*CHOOSE(ArtifactsInput!$N$24+1,10,12,14,16,18,20)+(IF(AND(Inputs!$B$38&lt;&gt;"pvp",Inputs!$B$43=0),1,IF(IF(Inputs!$B$38="pvp",15,Inputs!$B$43)-(B3159)&lt;=0,1,MAX(0,IF(Inputs!$B$38="pvp",15,Inputs!$B$43)-MAX(5,B3159))/(IF(Inputs!$B$38="pvp",15,Inputs!$B$43)-(B3159))))*IF(AND(ArtifactsInput!$M$42,((Inputs!$B$9+((C3140=TRUE)*(F3140-Calc!F19))+B3152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127">
        <f>IF(C3127,(H3127*N3127*IF(AND(Inputs!$B$38&lt;&gt;"pvp",Inputs!$B$43&gt;0),((Skills!G6*((R3127-1)*IF(Skills!H6&gt;0,INT(Skills!I6/Skills!H6+0.000000001),1)+IF(Skills!H6&gt;0,INT(MIN(Skills!I6,MAX(0,MAX(0,Inputs!$B$43-B3159)-((R3127-1)*(IF(Inputs!$B$38="pvp",15,MAX(0.1,Skills!D6-IF(TRUE=TRUE,2.5,0)))*(1-IF(AND(ArtifactsInput!$M$27,Inputs!$B$4="Chapter Hunt"),CHOOSE(ArtifactsInput!$N$27+1,20,24,28,32,36,40),0)/100)))))/Skills!H6+0.000000001),1)))/Inputs!$B$43),G3127*Q3127))*IF(Inputs!$B$38="pvp",1,(1+(Inputs!$B$21+Skills!Q6+(IF(ArtifactsInput!$M$33,CHOOSE(ArtifactsInput!$N$33+1,30,36,42,48,54,60),0))+(IF(AND(ArtifactsInput!$M$35,Inputs!$B$4&lt;&gt;"Chapter Hunt"),CHOOSE(ArtifactsInput!$N$35+1,15,18,21,24,27,30)*(1-EXP(-(0.2*B3154)*5)),0)+IF(AND(ArtifactsInput!$M$22,Inputs!$B$4&lt;&gt;"Chapter Hunt"),CHOOSE(ArtifactsInput!$N$22+1,10,12,14,16,18,20)*((0*(((0.15*B3154*5))^0/1)+1*(((0.15*B3154*5))^1/1)+2*(((0.15*B3154*5))^2/2)+3*(((0.15*B3154*5))^3/6)+4*(((0.15*B3154*5))^4/24)+5*(((0.15*B3154*5))^5/120))/((((0.15*B3154*5))^0/1)+(((0.15*B3154*5))^1/1)+(((0.15*B3154*5))^2/2)+(((0.15*B3154*5))^3/6)+(((0.15*B3154*5))^4/24)+(((0.15*B3154*5))^5/120))),0))+IF(Inputs!$B$3&gt;=54,9*(C3124=TRUE)*MIN(1,8*(1+Inputs!$B$34/100)*Q3124),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28">
      <c r="A3128">
        <f>Skills!A7</f>
        <v/>
      </c>
      <c r="B3128">
        <f>Skills!B7</f>
        <v/>
      </c>
      <c r="C3128">
        <f>Inputs!$B$3&gt;=63</f>
        <v/>
      </c>
      <c r="D3128">
        <f>IF(Skills!C7=1,60+Inputs!$B$25+Inputs!$B$29,IF(Skills!C7=2,90+Inputs!$B$26+Inputs!$B$29,IF(Skills!C7=3,120+Inputs!$B$27+Inputs!$B$29,MAX(0,(Inputs!$B$3-100)*3)+Inputs!$B$28+Inputs!$B$29)))</f>
        <v/>
      </c>
      <c r="E3128">
        <f>INDEX(FactorTable!$B$2:$Y$301, MATCH(ROUND(MIN(300,MAX(1,D3128)),0), FactorTable!$A$2:$A$301,0), Skills!M7+1)</f>
        <v/>
      </c>
      <c r="F3128">
        <f>IF(Skills!N7=TRUE,(Skills!L7/10)*(E3128/1000),Skills!L7/10)+Skills!O7</f>
        <v/>
      </c>
      <c r="G3128">
        <f>Skills!G7*IF(Skills!H7&gt;0,INT(IF(Inputs!$B$38="pvp",MIN(Skills!I7,15),Skills!I7)/Skills!H7+0.000000001),1)</f>
        <v/>
      </c>
      <c r="H3128">
        <f>1-(1-Skills!J7/100)^Skills!K7</f>
        <v/>
      </c>
      <c r="I3128" t="inlineStr">
        <is>
          <t>1</t>
        </is>
      </c>
      <c r="J3128">
        <f>((Inputs!$B$6*(1+Inputs!$B$7/100))+(((Inputs!$B$12*(1+Inputs!$B$13/100))-(Inputs!$B$12*(1+Inputs!$B$13/100)))+0.25*(Inputs!$B$14-Inputs!$B$14))*(1+Inputs!$B$7/100))*(F3128/100)</f>
        <v/>
      </c>
      <c r="K3128">
        <f>J3128*(1+((Inputs!$B$12*(1+Inputs!$B$13/100))*0.01+Inputs!$B$14*0.0025)/100)*(1+Inputs!$B$15/100)*(1+Inputs!$B$16/100)*(5000/(6000+Inputs!$B$42*(1-(100*(1-(1-(Inputs!$B$19+0)/100)*(1-CHOOSE(ArtifactsInput!$N$40+1,5,6,7,8,9,10)/100)^(ArtifactsInput!$M$40-ArtifactsInput!$M$40)))/100)))*(1+(Inputs!$B$24+((C3147=TRUE)*(F3147-Calc!F26))+B3158)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3136=TRUE,F3136,0)/100)*(1+(IF(Skills!A7="EIGHT_LEGS_EASTON",Inputs!$B$17+((C3144=TRUE)*(F3144-Calc!F23))+((C3148=TRUE)*(F3148-Calc!F27))+((IF(AND(Inputs!$B$38&lt;&gt;"pvp",Inputs!$B$43=0),1,IF(IF(Inputs!$B$38="pvp",15,Inputs!$B$43)-(B3159)&lt;=0,1,MAX(0,IF(Inputs!$B$38="pvp",15,Inputs!$B$43)-MAX(5,B3159))/(IF(Inputs!$B$38="pvp",15,Inputs!$B$43)-(B3159))))*(IF(AND(ArtifactsInput!$M$42,((Inputs!$B$9+((C3140=TRUE)*(F3140-Calc!F19))+B3152+(ArtifactsInput!$M$24-ArtifactsInput!$M$24)*CHOOSE(ArtifactsInput!$N$24+1,10,12,14,16,18,20)+IF(ArtifactsInput!$M$10,CHOOSE(ArtifactsInput!$N$10+1,15,18,21,24,27,30)*(IF(Inputs!$B$38="pvp",MIN(15,15)/15,IF(AND(Inputs!$B$38&lt;&gt;"pvp",Inputs!$B$43&gt;0),MIN(15,Inputs!$B$43)/(Inputs!$B$43),0))),0)))&gt;=100),MIN(100,((Inputs!$B$9+((C3140=TRUE)*(F3140-Calc!F19))+B3152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3159)&lt;=0,1,MAX(0,IF(Inputs!$B$38="pvp",15,Inputs!$B$43)-MAX(5,B3159))/(IF(Inputs!$B$38="pvp",15,Inputs!$B$43)-(B3159))))*IF(AND(ArtifactsInput!$M$42,((Inputs!$B$9+((C3140=TRUE)*(F3140-Calc!F19))+B3152+(ArtifactsInput!$M$24-ArtifactsInput!$M$24)*CHOOSE(ArtifactsInput!$N$24+1,10,12,14,16,18,20)+IF(ArtifactsInput!$M$10,CHOOSE(ArtifactsInput!$N$10+1,15,18,21,24,27,30)*(IF(Inputs!$B$38="pvp",MIN(15,15)/15,IF(AND(Inputs!$B$38&lt;&gt;"pvp",Inputs!$B$43&gt;0),MIN(15,Inputs!$B$43)/(Inputs!$B$43),0))),0)))&gt;=100),CHOOSE(ArtifactsInput!$N$42+1,40,48,56,64,72,80),0))))/100)*((1+(((C3138=TRUE)*F3138*5/7)+((C3145=TRUE)*(F3145-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3128)</f>
        <v/>
      </c>
      <c r="L3128">
        <f>K3128*(MIN(Inputs!$B$22+((C3143=TRUE)*(F3143-Calc!F22)),(Inputs!$B$23+0+(IF(ArtifactsInput!$M$15,CHOOSE(ArtifactsInput!$N$15+1,25,30,35,40,45,50)/100*(Inputs!$B$11-Inputs!$B$11),0))))/100+(Inputs!$B$23+0+(IF(ArtifactsInput!$M$15,CHOOSE(ArtifactsInput!$N$15+1,25,30,35,40,45,50)/100*(Inputs!$B$11-Inputs!$B$11),0)))/100)/2</f>
        <v/>
      </c>
      <c r="M3128">
        <f>L3128*(1+(Inputs!$B$10+((C3146=TRUE)*(F3146-Calc!F25))+B3157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28">
        <f>L3128*(1-MIN((Inputs!$B$9+((C3140=TRUE)*(F3140-Calc!F19))+B3152+(ArtifactsInput!$M$24-ArtifactsInput!$M$24)*CHOOSE(ArtifactsInput!$N$24+1,10,12,14,16,18,20)+(IF(AND(Inputs!$B$38&lt;&gt;"pvp",Inputs!$B$43=0),1,IF(IF(Inputs!$B$38="pvp",15,Inputs!$B$43)-(B3159)&lt;=0,1,MAX(0,IF(Inputs!$B$38="pvp",15,Inputs!$B$43)-MAX(5,B3159))/(IF(Inputs!$B$38="pvp",15,Inputs!$B$43)-(B3159))))*IF(AND(ArtifactsInput!$M$42,((Inputs!$B$9+((C3140=TRUE)*(F3140-Calc!F19))+B3152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3128*(MIN((Inputs!$B$9+((C3140=TRUE)*(F3140-Calc!F19))+B3152+(ArtifactsInput!$M$24-ArtifactsInput!$M$24)*CHOOSE(ArtifactsInput!$N$24+1,10,12,14,16,18,20)+(IF(AND(Inputs!$B$38&lt;&gt;"pvp",Inputs!$B$43=0),1,IF(IF(Inputs!$B$38="pvp",15,Inputs!$B$43)-(B3159)&lt;=0,1,MAX(0,IF(Inputs!$B$38="pvp",15,Inputs!$B$43)-MAX(5,B3159))/(IF(Inputs!$B$38="pvp",15,Inputs!$B$43)-(B3159))))*IF(AND(ArtifactsInput!$M$42,((Inputs!$B$9+((C3140=TRUE)*(F3140-Calc!F19))+B3152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28">
        <f>(1-Summary!$B$11)*T3128+Summary!$B$11*V3128</f>
        <v/>
      </c>
      <c r="P3128">
        <f>IF(B3162=0,0,O3128/B3162)</f>
        <v/>
      </c>
      <c r="Q3128">
        <f>IFERROR(1/(IF(Inputs!$B$38="pvp",15,MAX(0.1,Skills!D7-IF(TRUE=TRUE,2.5,0)))*(1-IF(AND(ArtifactsInput!$M$27,Inputs!$B$4="Chapter Hunt"),CHOOSE(ArtifactsInput!$N$27+1,20,24,28,32,36,40),0)/100)),0)</f>
        <v/>
      </c>
      <c r="R3128">
        <f>IF(AND(Inputs!$B$38&lt;&gt;"pvp",Inputs!$B$43&gt;0),IF(MAX(0,Inputs!$B$43-B3159)&lt;=0,0,(INT(MAX(0,Inputs!$B$43-B3159)/(IF(Inputs!$B$38="pvp",15,MAX(0.1,Skills!D7-IF(TRUE=TRUE,2.5,0)))*(1-IF(AND(ArtifactsInput!$M$27,Inputs!$B$4="Chapter Hunt"),CHOOSE(ArtifactsInput!$N$27+1,20,24,28,32,36,40),0)/100)))+1)),0)</f>
        <v/>
      </c>
      <c r="S3128">
        <f>IFERROR(O3128/N3128,0)</f>
        <v/>
      </c>
      <c r="T3128">
        <f>IF(C3128,(H3128*N3128*IF(AND(Inputs!$B$38&lt;&gt;"pvp",Inputs!$B$43&gt;0),((Skills!G7*((R3128-1)*IF(Skills!H7&gt;0,INT(Skills!I7/Skills!H7+0.000000001),1)+IF(Skills!H7&gt;0,INT(MIN(Skills!I7,MAX(0,MAX(0,Inputs!$B$43-B3159)-((R3128-1)*(IF(Inputs!$B$38="pvp",15,MAX(0.1,Skills!D7-IF(TRUE=TRUE,2.5,0)))*(1-IF(AND(ArtifactsInput!$M$27,Inputs!$B$4="Chapter Hunt"),CHOOSE(ArtifactsInput!$N$27+1,20,24,28,32,36,40),0)/100)))))/Skills!H7+0.000000001),1)))/Inputs!$B$43),G3128*Q3128)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Hunt"),CHOOSE(ArtifactsInput!$N$35+1,15,18,21,24,27,30)*(1-EXP(-(0.2*B3154)*5)),0)+IF(AND(ArtifactsInput!$M$22,Inputs!$B$4&lt;&gt;"Chapter Hunt"),CHOOSE(ArtifactsInput!$N$22+1,10,12,14,16,18,20)*((0*(((0.15*B3154*5))^0/1)+1*(((0.15*B3154*5))^1/1)+2*(((0.15*B3154*5))^2/2)+3*(((0.15*B3154*5))^3/6)+4*(((0.15*B3154*5))^4/24)+5*(((0.15*B3154*5))^5/120))/((((0.15*B3154*5))^0/1)+(((0.15*B3154*5))^1/1)+(((0.15*B3154*5))^2/2)+(((0.15*B3154*5))^3/6)+(((0.15*B3154*5))^4/24)+(((0.15*B3154*5))^5/120))),0))+IF(Inputs!$B$3&gt;=54,9*(C3124=TRUE)*MIN(1,8*(1+Inputs!$B$34/100)*Q3124)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3128*(1-MIN(100,(Inputs!$B$9+((C3140=TRUE)*(F3140-Calc!F19))+B3152+(ArtifactsInput!$M$24-ArtifactsInput!$M$24)*CHOOSE(ArtifactsInput!$N$24+1,10,12,14,16,18,20)+(IF(AND(Inputs!$B$38&lt;&gt;"pvp",Inputs!$B$43=0),1,IF(IF(Inputs!$B$38="pvp",15,Inputs!$B$43)-(B3159)&lt;=0,1,MAX(0,IF(Inputs!$B$38="pvp",15,Inputs!$B$43)-MAX(5,B3159))/(IF(Inputs!$B$38="pvp",15,Inputs!$B$43)-(B3159))))*IF(AND(ArtifactsInput!$M$42,((Inputs!$B$9+((C3140=TRUE)*(F3140-Calc!F19))+B3152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3128*(MIN(100,(Inputs!$B$9+((C3140=TRUE)*(F3140-Calc!F19))+B3152+(ArtifactsInput!$M$24-ArtifactsInput!$M$24)*CHOOSE(ArtifactsInput!$N$24+1,10,12,14,16,18,20)+(IF(AND(Inputs!$B$38&lt;&gt;"pvp",Inputs!$B$43=0),1,IF(IF(Inputs!$B$38="pvp",15,Inputs!$B$43)-(B3159)&lt;=0,1,MAX(0,IF(Inputs!$B$38="pvp",15,Inputs!$B$43)-MAX(5,B3159))/(IF(Inputs!$B$38="pvp",15,Inputs!$B$43)-(B3159))))*IF(AND(ArtifactsInput!$M$42,((Inputs!$B$9+((C3140=TRUE)*(F3140-Calc!F19))+B3152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3128*(1-MIN(100,(Inputs!$B$9+((C3140=TRUE)*(F3140-Calc!F19))+B3152+(ArtifactsInput!$M$24-ArtifactsInput!$M$24)*CHOOSE(ArtifactsInput!$N$24+1,10,12,14,16,18,20)+(IF(AND(Inputs!$B$38&lt;&gt;"pvp",Inputs!$B$43=0),1,IF(IF(Inputs!$B$38="pvp",15,Inputs!$B$43)-(B3159)&lt;=0,1,MAX(0,IF(Inputs!$B$38="pvp",15,Inputs!$B$43)-MAX(5,B3159))/(IF(Inputs!$B$38="pvp",15,Inputs!$B$43)-(B3159))))*IF(AND(ArtifactsInput!$M$42,((Inputs!$B$9+((C3140=TRUE)*(F3140-Calc!F19))+B3152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3128*(MIN(100,(Inputs!$B$9+((C3140=TRUE)*(F3140-Calc!F19))+B3152+(ArtifactsInput!$M$24-ArtifactsInput!$M$24)*CHOOSE(ArtifactsInput!$N$24+1,10,12,14,16,18,20)+(IF(AND(Inputs!$B$38&lt;&gt;"pvp",Inputs!$B$43=0),1,IF(IF(Inputs!$B$38="pvp",15,Inputs!$B$43)-(B3159)&lt;=0,1,MAX(0,IF(Inputs!$B$38="pvp",15,Inputs!$B$43)-MAX(5,B3159))/(IF(Inputs!$B$38="pvp",15,Inputs!$B$43)-(B3159))))*IF(AND(ArtifactsInput!$M$42,((Inputs!$B$9+((C3140=TRUE)*(F3140-Calc!F19))+B3152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128">
        <f>IF(C3128,(H3128*N3128*IF(AND(Inputs!$B$38&lt;&gt;"pvp",Inputs!$B$43&gt;0),((Skills!G7*((R3128-1)*IF(Skills!H7&gt;0,INT(Skills!I7/Skills!H7+0.000000001),1)+IF(Skills!H7&gt;0,INT(MIN(Skills!I7,MAX(0,MAX(0,Inputs!$B$43-B3159)-((R3128-1)*(IF(Inputs!$B$38="pvp",15,MAX(0.1,Skills!D7-IF(TRUE=TRUE,2.5,0)))*(1-IF(AND(ArtifactsInput!$M$27,Inputs!$B$4="Chapter Hunt"),CHOOSE(ArtifactsInput!$N$27+1,20,24,28,32,36,40),0)/100)))))/Skills!H7+0.000000001),1)))/Inputs!$B$43),G3128*Q3128))*IF(Inputs!$B$38="pvp",1,(1+(Inputs!$B$21+Skills!Q7+(IF(ArtifactsInput!$M$33,CHOOSE(ArtifactsInput!$N$33+1,30,36,42,48,54,60),0))+(IF(AND(ArtifactsInput!$M$35,Inputs!$B$4&lt;&gt;"Chapter Hunt"),CHOOSE(ArtifactsInput!$N$35+1,15,18,21,24,27,30)*(1-EXP(-(0.2*B3154)*5)),0)+IF(AND(ArtifactsInput!$M$22,Inputs!$B$4&lt;&gt;"Chapter Hunt"),CHOOSE(ArtifactsInput!$N$22+1,10,12,14,16,18,20)*((0*(((0.15*B3154*5))^0/1)+1*(((0.15*B3154*5))^1/1)+2*(((0.15*B3154*5))^2/2)+3*(((0.15*B3154*5))^3/6)+4*(((0.15*B3154*5))^4/24)+5*(((0.15*B3154*5))^5/120))/((((0.15*B3154*5))^0/1)+(((0.15*B3154*5))^1/1)+(((0.15*B3154*5))^2/2)+(((0.15*B3154*5))^3/6)+(((0.15*B3154*5))^4/24)+(((0.15*B3154*5))^5/120))),0))+IF(Inputs!$B$3&gt;=54,9*(C3124=TRUE)*MIN(1,8*(1+Inputs!$B$34/100)*Q3124),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29">
      <c r="A3129">
        <f>Skills!A8</f>
        <v/>
      </c>
      <c r="B3129">
        <f>Skills!B8</f>
        <v/>
      </c>
      <c r="C3129">
        <f>Inputs!$B$3&gt;=103</f>
        <v/>
      </c>
      <c r="D3129">
        <f>IF(Skills!C8=1,60+Inputs!$B$25+Inputs!$B$29,IF(Skills!C8=2,90+Inputs!$B$26+Inputs!$B$29,IF(Skills!C8=3,120+Inputs!$B$27+Inputs!$B$29,MAX(0,(Inputs!$B$3-100)*3)+Inputs!$B$28+Inputs!$B$29)))</f>
        <v/>
      </c>
      <c r="E3129">
        <f>INDEX(FactorTable!$B$2:$Y$301, MATCH(ROUND(MIN(300,MAX(1,D3129)),0), FactorTable!$A$2:$A$301,0), Skills!M8+1)</f>
        <v/>
      </c>
      <c r="F3129">
        <f>IF(Skills!N8=TRUE,(Skills!L8/10)*(E3129/1000),Skills!L8/10)+Skills!O8</f>
        <v/>
      </c>
      <c r="G3129">
        <f>Skills!G8*IF(Skills!H8&gt;0,INT(IF(Inputs!$B$38="pvp",MIN(Skills!I8,15),Skills!I8)/Skills!H8+0.000000001),1)</f>
        <v/>
      </c>
      <c r="H3129">
        <f>1-(1-Skills!J8/100)^Skills!K8</f>
        <v/>
      </c>
      <c r="I3129" t="inlineStr">
        <is>
          <t>1</t>
        </is>
      </c>
      <c r="J3129">
        <f>((Inputs!$B$6*(1+Inputs!$B$7/100))+(((Inputs!$B$12*(1+Inputs!$B$13/100))-(Inputs!$B$12*(1+Inputs!$B$13/100)))+0.25*(Inputs!$B$14-Inputs!$B$14))*(1+Inputs!$B$7/100))*(F3129/100)</f>
        <v/>
      </c>
      <c r="K3129">
        <f>J3129*(1+((Inputs!$B$12*(1+Inputs!$B$13/100))*0.01+Inputs!$B$14*0.0025)/100)*(1+Inputs!$B$15/100)*(1+Inputs!$B$16/100)*(5000/(6000+Inputs!$B$42*(1-(100*(1-(1-(Inputs!$B$19+0)/100)*(1-CHOOSE(ArtifactsInput!$N$40+1,5,6,7,8,9,10)/100)^(ArtifactsInput!$M$40-ArtifactsInput!$M$40)))/100)))*(1+(Inputs!$B$24+((C3147=TRUE)*(F3147-Calc!F26))+B3158)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IGHT_LEGS_EASTON",Inputs!$B$17+((C3144=TRUE)*(F3144-Calc!F23))+((C3148=TRUE)*(F3148-Calc!F27))+((IF(AND(Inputs!$B$38&lt;&gt;"pvp",Inputs!$B$43=0),1,IF(IF(Inputs!$B$38="pvp",15,Inputs!$B$43)-(B3159)&lt;=0,1,MAX(0,IF(Inputs!$B$38="pvp",15,Inputs!$B$43)-MAX(5,B3159))/(IF(Inputs!$B$38="pvp",15,Inputs!$B$43)-(B3159))))*(IF(AND(ArtifactsInput!$M$42,((Inputs!$B$9+((C3140=TRUE)*(F3140-Calc!F19))+B3152+(ArtifactsInput!$M$24-ArtifactsInput!$M$24)*CHOOSE(ArtifactsInput!$N$24+1,10,12,14,16,18,20)+IF(ArtifactsInput!$M$10,CHOOSE(ArtifactsInput!$N$10+1,15,18,21,24,27,30)*(IF(Inputs!$B$38="pvp",MIN(15,15)/15,IF(AND(Inputs!$B$38&lt;&gt;"pvp",Inputs!$B$43&gt;0),MIN(15,Inputs!$B$43)/(Inputs!$B$43),0))),0)))&gt;=100),MIN(100,((Inputs!$B$9+((C3140=TRUE)*(F3140-Calc!F19))+B3152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3159)&lt;=0,1,MAX(0,IF(Inputs!$B$38="pvp",15,Inputs!$B$43)-MAX(5,B3159))/(IF(Inputs!$B$38="pvp",15,Inputs!$B$43)-(B3159))))*IF(AND(ArtifactsInput!$M$42,((Inputs!$B$9+((C3140=TRUE)*(F3140-Calc!F19))+B3152+(ArtifactsInput!$M$24-ArtifactsInput!$M$24)*CHOOSE(ArtifactsInput!$N$24+1,10,12,14,16,18,20)+IF(ArtifactsInput!$M$10,CHOOSE(ArtifactsInput!$N$10+1,15,18,21,24,27,30)*(IF(Inputs!$B$38="pvp",MIN(15,15)/15,IF(AND(Inputs!$B$38&lt;&gt;"pvp",Inputs!$B$43&gt;0),MIN(15,Inputs!$B$43)/(Inputs!$B$43),0))),0)))&gt;=100),CHOOSE(ArtifactsInput!$N$42+1,40,48,56,64,72,80),0))))/100)*((1+(((C3138=TRUE)*F3138*5/7)+((C3145=TRUE)*(F3145-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3129)</f>
        <v/>
      </c>
      <c r="L3129">
        <f>K3129*(MIN(Inputs!$B$22+((C3143=TRUE)*(F3143-Calc!F22)),(Inputs!$B$23+0+(IF(ArtifactsInput!$M$15,CHOOSE(ArtifactsInput!$N$15+1,25,30,35,40,45,50)/100*(Inputs!$B$11-Inputs!$B$11),0))))/100+(Inputs!$B$23+0+(IF(ArtifactsInput!$M$15,CHOOSE(ArtifactsInput!$N$15+1,25,30,35,40,45,50)/100*(Inputs!$B$11-Inputs!$B$11),0)))/100)/2</f>
        <v/>
      </c>
      <c r="M3129">
        <f>L3129*(1+(Inputs!$B$10+((C3146=TRUE)*(F3146-Calc!F25))+B3157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29">
        <f>L3129*(1-MIN((Inputs!$B$9+((C3140=TRUE)*(F3140-Calc!F19))+B3152+(ArtifactsInput!$M$24-ArtifactsInput!$M$24)*CHOOSE(ArtifactsInput!$N$24+1,10,12,14,16,18,20)+(IF(AND(Inputs!$B$38&lt;&gt;"pvp",Inputs!$B$43=0),1,IF(IF(Inputs!$B$38="pvp",15,Inputs!$B$43)-(B3159)&lt;=0,1,MAX(0,IF(Inputs!$B$38="pvp",15,Inputs!$B$43)-MAX(5,B3159))/(IF(Inputs!$B$38="pvp",15,Inputs!$B$43)-(B3159))))*IF(AND(ArtifactsInput!$M$42,((Inputs!$B$9+((C3140=TRUE)*(F3140-Calc!F19))+B3152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3129*(MIN((Inputs!$B$9+((C3140=TRUE)*(F3140-Calc!F19))+B3152+(ArtifactsInput!$M$24-ArtifactsInput!$M$24)*CHOOSE(ArtifactsInput!$N$24+1,10,12,14,16,18,20)+(IF(AND(Inputs!$B$38&lt;&gt;"pvp",Inputs!$B$43=0),1,IF(IF(Inputs!$B$38="pvp",15,Inputs!$B$43)-(B3159)&lt;=0,1,MAX(0,IF(Inputs!$B$38="pvp",15,Inputs!$B$43)-MAX(5,B3159))/(IF(Inputs!$B$38="pvp",15,Inputs!$B$43)-(B3159))))*IF(AND(ArtifactsInput!$M$42,((Inputs!$B$9+((C3140=TRUE)*(F3140-Calc!F19))+B3152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29">
        <f>(1-Summary!$B$11)*T3129+Summary!$B$11*V3129</f>
        <v/>
      </c>
      <c r="P3129">
        <f>IF(B3162=0,0,O3129/B3162)</f>
        <v/>
      </c>
      <c r="Q3129">
        <f>IFERROR(1/((IF(Inputs!$B$38="pvp",15,MAX(0.1,Skills!D8-IF(TRUE=TRUE,2.5,0)))*(1-IF(AND(ArtifactsInput!$M$27,Inputs!$B$4="Chapter Hunt"),CHOOSE(ArtifactsInput!$N$27+1,20,24,28,32,36,40),0)/100))/B3163),0)</f>
        <v/>
      </c>
      <c r="R3129">
        <f>IF(AND(Inputs!$B$38&lt;&gt;"pvp",Inputs!$B$43&gt;0),IF(MAX(0,Inputs!$B$43-B3159)&lt;=0,0,(INT(MAX(0,Inputs!$B$43-B3159)/((IF(Inputs!$B$38="pvp",15,MAX(0.1,Skills!D8-IF(TRUE=TRUE,2.5,0)))*(1-IF(AND(ArtifactsInput!$M$27,Inputs!$B$4="Chapter Hunt"),CHOOSE(ArtifactsInput!$N$27+1,20,24,28,32,36,40),0)/100))/B3163))+1)),0)</f>
        <v/>
      </c>
      <c r="S3129">
        <f>IFERROR(O3129/N3129,0)</f>
        <v/>
      </c>
      <c r="T3129">
        <f>IF(C3129,(H3129*N3129*IF(AND(Inputs!$B$38&lt;&gt;"pvp",Inputs!$B$43&gt;0),((Skills!G8*((R3129-1)*IF(Skills!H8&gt;0,INT(Skills!I8/Skills!H8+0.000000001),1)+IF(Skills!H8&gt;0,INT(MIN(Skills!I8,MAX(0,MAX(0,Inputs!$B$43-B3159)-((R3129-1)*((IF(Inputs!$B$38="pvp",15,MAX(0.1,Skills!D8-IF(TRUE=TRUE,2.5,0)))*(1-IF(AND(ArtifactsInput!$M$27,Inputs!$B$4="Chapter Hunt"),CHOOSE(ArtifactsInput!$N$27+1,20,24,28,32,36,40),0)/100))/B3163))))/Skills!H8+0.000000001),1)))/Inputs!$B$43),G3129*Q3129))*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Hunt"),CHOOSE(ArtifactsInput!$N$35+1,15,18,21,24,27,30)*(1-EXP(-(0.2*B3154)*5)),0)+IF(AND(ArtifactsInput!$M$22,Inputs!$B$4&lt;&gt;"Chapter Hunt"),CHOOSE(ArtifactsInput!$N$22+1,10,12,14,16,18,20)*((0*(((0.15*B3154*5))^0/1)+1*(((0.15*B3154*5))^1/1)+2*(((0.15*B3154*5))^2/2)+3*(((0.15*B3154*5))^3/6)+4*(((0.15*B3154*5))^4/24)+5*(((0.15*B3154*5))^5/120))/((((0.15*B3154*5))^0/1)+(((0.15*B3154*5))^1/1)+(((0.15*B3154*5))^2/2)+(((0.15*B3154*5))^3/6)+(((0.15*B3154*5))^4/24)+(((0.15*B3154*5))^5/120))),0))+IF(Inputs!$B$3&gt;=54,9*(C3124=TRUE)*MIN(1,8*(1+Inputs!$B$34/100)*Q3124)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3129*(1-MIN(100,(Inputs!$B$9+((C3140=TRUE)*(F3140-Calc!F19))+B3152+(ArtifactsInput!$M$24-ArtifactsInput!$M$24)*CHOOSE(ArtifactsInput!$N$24+1,10,12,14,16,18,20)+(IF(AND(Inputs!$B$38&lt;&gt;"pvp",Inputs!$B$43=0),1,IF(IF(Inputs!$B$38="pvp",15,Inputs!$B$43)-(B3159)&lt;=0,1,MAX(0,IF(Inputs!$B$38="pvp",15,Inputs!$B$43)-MAX(5,B3159))/(IF(Inputs!$B$38="pvp",15,Inputs!$B$43)-(B3159))))*IF(AND(ArtifactsInput!$M$42,((Inputs!$B$9+((C3140=TRUE)*(F3140-Calc!F19))+B3152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3129*(MIN(100,(Inputs!$B$9+((C3140=TRUE)*(F3140-Calc!F19))+B3152+(ArtifactsInput!$M$24-ArtifactsInput!$M$24)*CHOOSE(ArtifactsInput!$N$24+1,10,12,14,16,18,20)+(IF(AND(Inputs!$B$38&lt;&gt;"pvp",Inputs!$B$43=0),1,IF(IF(Inputs!$B$38="pvp",15,Inputs!$B$43)-(B3159)&lt;=0,1,MAX(0,IF(Inputs!$B$38="pvp",15,Inputs!$B$43)-MAX(5,B3159))/(IF(Inputs!$B$38="pvp",15,Inputs!$B$43)-(B3159))))*IF(AND(ArtifactsInput!$M$42,((Inputs!$B$9+((C3140=TRUE)*(F3140-Calc!F19))+B3152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3129*(1-MIN(100,(Inputs!$B$9+((C3140=TRUE)*(F3140-Calc!F19))+B3152+(ArtifactsInput!$M$24-ArtifactsInput!$M$24)*CHOOSE(ArtifactsInput!$N$24+1,10,12,14,16,18,20)+(IF(AND(Inputs!$B$38&lt;&gt;"pvp",Inputs!$B$43=0),1,IF(IF(Inputs!$B$38="pvp",15,Inputs!$B$43)-(B3159)&lt;=0,1,MAX(0,IF(Inputs!$B$38="pvp",15,Inputs!$B$43)-MAX(5,B3159))/(IF(Inputs!$B$38="pvp",15,Inputs!$B$43)-(B3159))))*IF(AND(ArtifactsInput!$M$42,((Inputs!$B$9+((C3140=TRUE)*(F3140-Calc!F19))+B3152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3129*(MIN(100,(Inputs!$B$9+((C3140=TRUE)*(F3140-Calc!F19))+B3152+(ArtifactsInput!$M$24-ArtifactsInput!$M$24)*CHOOSE(ArtifactsInput!$N$24+1,10,12,14,16,18,20)+(IF(AND(Inputs!$B$38&lt;&gt;"pvp",Inputs!$B$43=0),1,IF(IF(Inputs!$B$38="pvp",15,Inputs!$B$43)-(B3159)&lt;=0,1,MAX(0,IF(Inputs!$B$38="pvp",15,Inputs!$B$43)-MAX(5,B3159))/(IF(Inputs!$B$38="pvp",15,Inputs!$B$43)-(B3159))))*IF(AND(ArtifactsInput!$M$42,((Inputs!$B$9+((C3140=TRUE)*(F3140-Calc!F19))+B3152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129">
        <f>IF(C3129,(H3129*N3129*IF(AND(Inputs!$B$38&lt;&gt;"pvp",Inputs!$B$43&gt;0),((Skills!G8*((R3129-1)*IF(Skills!H8&gt;0,INT(Skills!I8/Skills!H8+0.000000001),1)+IF(Skills!H8&gt;0,INT(MIN(Skills!I8,MAX(0,MAX(0,Inputs!$B$43-B3159)-((R3129-1)*((IF(Inputs!$B$38="pvp",15,MAX(0.1,Skills!D8-IF(TRUE=TRUE,2.5,0)))*(1-IF(AND(ArtifactsInput!$M$27,Inputs!$B$4="Chapter Hunt"),CHOOSE(ArtifactsInput!$N$27+1,20,24,28,32,36,40),0)/100))/B3163))))/Skills!H8+0.000000001),1)))/Inputs!$B$43),G3129*Q3129))*IF(Inputs!$B$38="pvp",1,(1+(Inputs!$B$21+Skills!Q8+(IF(ArtifactsInput!$M$33,CHOOSE(ArtifactsInput!$N$33+1,30,36,42,48,54,60),0))+(IF(AND(ArtifactsInput!$M$35,Inputs!$B$4&lt;&gt;"Chapter Hunt"),CHOOSE(ArtifactsInput!$N$35+1,15,18,21,24,27,30)*(1-EXP(-(0.2*B3154)*5)),0)+IF(AND(ArtifactsInput!$M$22,Inputs!$B$4&lt;&gt;"Chapter Hunt"),CHOOSE(ArtifactsInput!$N$22+1,10,12,14,16,18,20)*((0*(((0.15*B3154*5))^0/1)+1*(((0.15*B3154*5))^1/1)+2*(((0.15*B3154*5))^2/2)+3*(((0.15*B3154*5))^3/6)+4*(((0.15*B3154*5))^4/24)+5*(((0.15*B3154*5))^5/120))/((((0.15*B3154*5))^0/1)+(((0.15*B3154*5))^1/1)+(((0.15*B3154*5))^2/2)+(((0.15*B3154*5))^3/6)+(((0.15*B3154*5))^4/24)+(((0.15*B3154*5))^5/120))),0))+IF(Inputs!$B$3&gt;=54,9*(C3124=TRUE)*MIN(1,8*(1+Inputs!$B$34/100)*Q3124),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30">
      <c r="A3130">
        <f>Skills!A9</f>
        <v/>
      </c>
      <c r="B3130">
        <f>Skills!B9</f>
        <v/>
      </c>
      <c r="C3130">
        <f>Inputs!$B$3&gt;=105</f>
        <v/>
      </c>
      <c r="D3130">
        <f>IF(Skills!C9=1,60+Inputs!$B$25+Inputs!$B$29,IF(Skills!C9=2,90+Inputs!$B$26+Inputs!$B$29,IF(Skills!C9=3,120+Inputs!$B$27+Inputs!$B$29,MAX(0,(Inputs!$B$3-100)*3)+Inputs!$B$28+Inputs!$B$29)))</f>
        <v/>
      </c>
      <c r="E3130">
        <f>INDEX(FactorTable!$B$2:$Y$301, MATCH(ROUND(MIN(300,MAX(1,D3130)),0), FactorTable!$A$2:$A$301,0), Skills!M9+1)</f>
        <v/>
      </c>
      <c r="F3130">
        <f>IF(Skills!N9=TRUE,(Skills!L9/10)*(E3130/1000),Skills!L9/10)+Skills!O9</f>
        <v/>
      </c>
      <c r="G3130">
        <f>Skills!G9*IF(Skills!H9&gt;0,INT(IF(Inputs!$B$38="pvp",MIN(Skills!I9,15),Skills!I9)/Skills!H9+0.000000001),1)</f>
        <v/>
      </c>
      <c r="H3130">
        <f>1-(1-Skills!J9/100)^Skills!K9</f>
        <v/>
      </c>
      <c r="I3130" t="inlineStr">
        <is>
          <t>1</t>
        </is>
      </c>
      <c r="J3130">
        <f>((Inputs!$B$6*(1+Inputs!$B$7/100))+(((Inputs!$B$12*(1+Inputs!$B$13/100))-(Inputs!$B$12*(1+Inputs!$B$13/100)))+0.25*(Inputs!$B$14-Inputs!$B$14))*(1+Inputs!$B$7/100))*(F3130/100)</f>
        <v/>
      </c>
      <c r="K3130">
        <f>J3130*(1+((Inputs!$B$12*(1+Inputs!$B$13/100))*0.01+Inputs!$B$14*0.0025)/100)*(1+Inputs!$B$15/100)*(1+Inputs!$B$16/100)*(5000/(6000+Inputs!$B$42*(1-(100*(1-(1-(Inputs!$B$19+0)/100)*(1-CHOOSE(ArtifactsInput!$N$40+1,5,6,7,8,9,10)/100)^(ArtifactsInput!$M$40-ArtifactsInput!$M$40)))/100)))*(1+(Inputs!$B$24+((C3147=TRUE)*(F3147-Calc!F26))+B3158)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IGHT_LEGS_EASTON",Inputs!$B$17+((C3144=TRUE)*(F3144-Calc!F23))+((C3148=TRUE)*(F3148-Calc!F27))+((IF(AND(Inputs!$B$38&lt;&gt;"pvp",Inputs!$B$43=0),1,IF(IF(Inputs!$B$38="pvp",15,Inputs!$B$43)-(B3159)&lt;=0,1,MAX(0,IF(Inputs!$B$38="pvp",15,Inputs!$B$43)-MAX(5,B3159))/(IF(Inputs!$B$38="pvp",15,Inputs!$B$43)-(B3159))))*(IF(AND(ArtifactsInput!$M$42,((Inputs!$B$9+((C3140=TRUE)*(F3140-Calc!F19))+B3152+(ArtifactsInput!$M$24-ArtifactsInput!$M$24)*CHOOSE(ArtifactsInput!$N$24+1,10,12,14,16,18,20)+IF(ArtifactsInput!$M$10,CHOOSE(ArtifactsInput!$N$10+1,15,18,21,24,27,30)*(IF(Inputs!$B$38="pvp",MIN(15,15)/15,IF(AND(Inputs!$B$38&lt;&gt;"pvp",Inputs!$B$43&gt;0),MIN(15,Inputs!$B$43)/(Inputs!$B$43),0))),0)))&gt;=100),MIN(100,((Inputs!$B$9+((C3140=TRUE)*(F3140-Calc!F19))+B3152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3159)&lt;=0,1,MAX(0,IF(Inputs!$B$38="pvp",15,Inputs!$B$43)-MAX(5,B3159))/(IF(Inputs!$B$38="pvp",15,Inputs!$B$43)-(B3159))))*IF(AND(ArtifactsInput!$M$42,((Inputs!$B$9+((C3140=TRUE)*(F3140-Calc!F19))+B3152+(ArtifactsInput!$M$24-ArtifactsInput!$M$24)*CHOOSE(ArtifactsInput!$N$24+1,10,12,14,16,18,20)+IF(ArtifactsInput!$M$10,CHOOSE(ArtifactsInput!$N$10+1,15,18,21,24,27,30)*(IF(Inputs!$B$38="pvp",MIN(15,15)/15,IF(AND(Inputs!$B$38&lt;&gt;"pvp",Inputs!$B$43&gt;0),MIN(15,Inputs!$B$43)/(Inputs!$B$43),0))),0)))&gt;=100),CHOOSE(ArtifactsInput!$N$42+1,40,48,56,64,72,80),0))))/100)*((1+(((C3138=TRUE)*F3138*5/7)+((C3145=TRUE)*(F3145-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3130)</f>
        <v/>
      </c>
      <c r="L3130">
        <f>K3130*(MIN(Inputs!$B$22+((C3143=TRUE)*(F3143-Calc!F22)),(Inputs!$B$23+0+(IF(ArtifactsInput!$M$15,CHOOSE(ArtifactsInput!$N$15+1,25,30,35,40,45,50)/100*(Inputs!$B$11-Inputs!$B$11),0))))/100+(Inputs!$B$23+0+(IF(ArtifactsInput!$M$15,CHOOSE(ArtifactsInput!$N$15+1,25,30,35,40,45,50)/100*(Inputs!$B$11-Inputs!$B$11),0)))/100)/2</f>
        <v/>
      </c>
      <c r="M3130">
        <f>L3130*(1+(Inputs!$B$10+((C3146=TRUE)*(F3146-Calc!F25))+B3157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30">
        <f>L3130*(1-MIN((Inputs!$B$9+((C3140=TRUE)*(F3140-Calc!F19))+B3152+(ArtifactsInput!$M$24-ArtifactsInput!$M$24)*CHOOSE(ArtifactsInput!$N$24+1,10,12,14,16,18,20)+(IF(AND(Inputs!$B$38&lt;&gt;"pvp",Inputs!$B$43=0),1,IF(IF(Inputs!$B$38="pvp",15,Inputs!$B$43)-(B3159)&lt;=0,1,MAX(0,IF(Inputs!$B$38="pvp",15,Inputs!$B$43)-MAX(5,B3159))/(IF(Inputs!$B$38="pvp",15,Inputs!$B$43)-(B3159))))*IF(AND(ArtifactsInput!$M$42,((Inputs!$B$9+((C3140=TRUE)*(F3140-Calc!F19))+B3152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3130*(MIN((Inputs!$B$9+((C3140=TRUE)*(F3140-Calc!F19))+B3152+(ArtifactsInput!$M$24-ArtifactsInput!$M$24)*CHOOSE(ArtifactsInput!$N$24+1,10,12,14,16,18,20)+(IF(AND(Inputs!$B$38&lt;&gt;"pvp",Inputs!$B$43=0),1,IF(IF(Inputs!$B$38="pvp",15,Inputs!$B$43)-(B3159)&lt;=0,1,MAX(0,IF(Inputs!$B$38="pvp",15,Inputs!$B$43)-MAX(5,B3159))/(IF(Inputs!$B$38="pvp",15,Inputs!$B$43)-(B3159))))*IF(AND(ArtifactsInput!$M$42,((Inputs!$B$9+((C3140=TRUE)*(F3140-Calc!F19))+B3152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30">
        <f>(1-Summary!$B$11)*T3130+Summary!$B$11*V3130</f>
        <v/>
      </c>
      <c r="P3130">
        <f>IF(B3162=0,0,O3130/B3162)</f>
        <v/>
      </c>
      <c r="Q3130">
        <f>IFERROR(1/(IF(Inputs!$B$38="pvp",15,MAX(0.1,Skills!D9-IF(TRUE=TRUE,2.5,0)))*(1-IF(AND(ArtifactsInput!$M$27,Inputs!$B$4="Chapter Hunt"),CHOOSE(ArtifactsInput!$N$27+1,20,24,28,32,36,40),0)/100)),0)</f>
        <v/>
      </c>
      <c r="R3130">
        <f>IF(AND(Inputs!$B$38&lt;&gt;"pvp",Inputs!$B$43&gt;0),IF(MAX(0,Inputs!$B$43-B3159)&lt;=0,0,(INT(MAX(0,Inputs!$B$43-B3159)/(IF(Inputs!$B$38="pvp",15,MAX(0.1,Skills!D9-IF(TRUE=TRUE,2.5,0)))*(1-IF(AND(ArtifactsInput!$M$27,Inputs!$B$4="Chapter Hunt"),CHOOSE(ArtifactsInput!$N$27+1,20,24,28,32,36,40),0)/100)))+1)),0)</f>
        <v/>
      </c>
      <c r="S3130">
        <f>IFERROR(O3130/N3130,0)</f>
        <v/>
      </c>
      <c r="T3130">
        <f>IF(C3130,(H3130*N3130*IF(AND(Inputs!$B$38&lt;&gt;"pvp",Inputs!$B$43&gt;0),((Skills!G9*((R3130-1)*IF(Skills!H9&gt;0,INT(Skills!I9/Skills!H9+0.000000001),1)+IF(Skills!H9&gt;0,INT(MIN(Skills!I9,MAX(0,MAX(0,Inputs!$B$43-B3159)-((R3130-1)*(IF(Inputs!$B$38="pvp",15,MAX(0.1,Skills!D9-IF(TRUE=TRUE,2.5,0)))*(1-IF(AND(ArtifactsInput!$M$27,Inputs!$B$4="Chapter Hunt"),CHOOSE(ArtifactsInput!$N$27+1,20,24,28,32,36,40),0)/100)))))/Skills!H9+0.000000001),1)))/Inputs!$B$43),G3130*Q3130)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Hunt"),CHOOSE(ArtifactsInput!$N$35+1,15,18,21,24,27,30)*(1-EXP(-(0.2*B3154)*5)),0)+IF(AND(ArtifactsInput!$M$22,Inputs!$B$4&lt;&gt;"Chapter Hunt"),CHOOSE(ArtifactsInput!$N$22+1,10,12,14,16,18,20)*((0*(((0.15*B3154*5))^0/1)+1*(((0.15*B3154*5))^1/1)+2*(((0.15*B3154*5))^2/2)+3*(((0.15*B3154*5))^3/6)+4*(((0.15*B3154*5))^4/24)+5*(((0.15*B3154*5))^5/120))/((((0.15*B3154*5))^0/1)+(((0.15*B3154*5))^1/1)+(((0.15*B3154*5))^2/2)+(((0.15*B3154*5))^3/6)+(((0.15*B3154*5))^4/24)+(((0.15*B3154*5))^5/120))),0))+IF(Inputs!$B$3&gt;=54,9*(C3124=TRUE)*MIN(1,8*(1+Inputs!$B$34/100)*Q3124)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3130*(1-MIN(100,(Inputs!$B$9+((C3140=TRUE)*(F3140-Calc!F19))+B3152+(ArtifactsInput!$M$24-ArtifactsInput!$M$24)*CHOOSE(ArtifactsInput!$N$24+1,10,12,14,16,18,20)+(IF(AND(Inputs!$B$38&lt;&gt;"pvp",Inputs!$B$43=0),1,IF(IF(Inputs!$B$38="pvp",15,Inputs!$B$43)-(B3159)&lt;=0,1,MAX(0,IF(Inputs!$B$38="pvp",15,Inputs!$B$43)-MAX(5,B3159))/(IF(Inputs!$B$38="pvp",15,Inputs!$B$43)-(B3159))))*IF(AND(ArtifactsInput!$M$42,((Inputs!$B$9+((C3140=TRUE)*(F3140-Calc!F19))+B3152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3130*(MIN(100,(Inputs!$B$9+((C3140=TRUE)*(F3140-Calc!F19))+B3152+(ArtifactsInput!$M$24-ArtifactsInput!$M$24)*CHOOSE(ArtifactsInput!$N$24+1,10,12,14,16,18,20)+(IF(AND(Inputs!$B$38&lt;&gt;"pvp",Inputs!$B$43=0),1,IF(IF(Inputs!$B$38="pvp",15,Inputs!$B$43)-(B3159)&lt;=0,1,MAX(0,IF(Inputs!$B$38="pvp",15,Inputs!$B$43)-MAX(5,B3159))/(IF(Inputs!$B$38="pvp",15,Inputs!$B$43)-(B3159))))*IF(AND(ArtifactsInput!$M$42,((Inputs!$B$9+((C3140=TRUE)*(F3140-Calc!F19))+B3152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3130*(1-MIN(100,(Inputs!$B$9+((C3140=TRUE)*(F3140-Calc!F19))+B3152+(ArtifactsInput!$M$24-ArtifactsInput!$M$24)*CHOOSE(ArtifactsInput!$N$24+1,10,12,14,16,18,20)+(IF(AND(Inputs!$B$38&lt;&gt;"pvp",Inputs!$B$43=0),1,IF(IF(Inputs!$B$38="pvp",15,Inputs!$B$43)-(B3159)&lt;=0,1,MAX(0,IF(Inputs!$B$38="pvp",15,Inputs!$B$43)-MAX(5,B3159))/(IF(Inputs!$B$38="pvp",15,Inputs!$B$43)-(B3159))))*IF(AND(ArtifactsInput!$M$42,((Inputs!$B$9+((C3140=TRUE)*(F3140-Calc!F19))+B3152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3130*(MIN(100,(Inputs!$B$9+((C3140=TRUE)*(F3140-Calc!F19))+B3152+(ArtifactsInput!$M$24-ArtifactsInput!$M$24)*CHOOSE(ArtifactsInput!$N$24+1,10,12,14,16,18,20)+(IF(AND(Inputs!$B$38&lt;&gt;"pvp",Inputs!$B$43=0),1,IF(IF(Inputs!$B$38="pvp",15,Inputs!$B$43)-(B3159)&lt;=0,1,MAX(0,IF(Inputs!$B$38="pvp",15,Inputs!$B$43)-MAX(5,B3159))/(IF(Inputs!$B$38="pvp",15,Inputs!$B$43)-(B3159))))*IF(AND(ArtifactsInput!$M$42,((Inputs!$B$9+((C3140=TRUE)*(F3140-Calc!F19))+B3152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130">
        <f>IF(C3130,(H3130*N3130*IF(AND(Inputs!$B$38&lt;&gt;"pvp",Inputs!$B$43&gt;0),((Skills!G9*((R3130-1)*IF(Skills!H9&gt;0,INT(Skills!I9/Skills!H9+0.000000001),1)+IF(Skills!H9&gt;0,INT(MIN(Skills!I9,MAX(0,MAX(0,Inputs!$B$43-B3159)-((R3130-1)*(IF(Inputs!$B$38="pvp",15,MAX(0.1,Skills!D9-IF(TRUE=TRUE,2.5,0)))*(1-IF(AND(ArtifactsInput!$M$27,Inputs!$B$4="Chapter Hunt"),CHOOSE(ArtifactsInput!$N$27+1,20,24,28,32,36,40),0)/100)))))/Skills!H9+0.000000001),1)))/Inputs!$B$43),G3130*Q3130))*IF(Inputs!$B$38="pvp",1,(1+(Inputs!$B$21+Skills!Q9+(IF(ArtifactsInput!$M$33,CHOOSE(ArtifactsInput!$N$33+1,30,36,42,48,54,60),0))+(IF(AND(ArtifactsInput!$M$35,Inputs!$B$4&lt;&gt;"Chapter Hunt"),CHOOSE(ArtifactsInput!$N$35+1,15,18,21,24,27,30)*(1-EXP(-(0.2*B3154)*5)),0)+IF(AND(ArtifactsInput!$M$22,Inputs!$B$4&lt;&gt;"Chapter Hunt"),CHOOSE(ArtifactsInput!$N$22+1,10,12,14,16,18,20)*((0*(((0.15*B3154*5))^0/1)+1*(((0.15*B3154*5))^1/1)+2*(((0.15*B3154*5))^2/2)+3*(((0.15*B3154*5))^3/6)+4*(((0.15*B3154*5))^4/24)+5*(((0.15*B3154*5))^5/120))/((((0.15*B3154*5))^0/1)+(((0.15*B3154*5))^1/1)+(((0.15*B3154*5))^2/2)+(((0.15*B3154*5))^3/6)+(((0.15*B3154*5))^4/24)+(((0.15*B3154*5))^5/120))),0))+IF(Inputs!$B$3&gt;=54,9*(C3124=TRUE)*MIN(1,8*(1+Inputs!$B$34/100)*Q3124),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31">
      <c r="A3131">
        <f>Skills!A10</f>
        <v/>
      </c>
      <c r="B3131">
        <f>Skills!B10</f>
        <v/>
      </c>
      <c r="C3131">
        <f>Inputs!$B$3&gt;=113</f>
        <v/>
      </c>
      <c r="D3131">
        <f>IF(Skills!C10=1,60+Inputs!$B$25+Inputs!$B$29,IF(Skills!C10=2,90+Inputs!$B$26+Inputs!$B$29,IF(Skills!C10=3,120+Inputs!$B$27+Inputs!$B$29,MAX(0,(Inputs!$B$3-100)*3)+Inputs!$B$28+Inputs!$B$29)))</f>
        <v/>
      </c>
      <c r="E3131">
        <f>INDEX(FactorTable!$B$2:$Y$301, MATCH(ROUND(MIN(300,MAX(1,D3131)),0), FactorTable!$A$2:$A$301,0), Skills!M10+1)</f>
        <v/>
      </c>
      <c r="F3131">
        <f>IF(Skills!N10=TRUE,(Skills!L10/10)*(E3131/1000),Skills!L10/10)+Skills!O10</f>
        <v/>
      </c>
      <c r="G3131">
        <f>Skills!G10*IF(Skills!H10&gt;0,INT(IF(Inputs!$B$38="pvp",MIN(Skills!I10,15),Skills!I10)/Skills!H10+0.000000001),1)</f>
        <v/>
      </c>
      <c r="H3131">
        <f>1-(1-Skills!J10/100)^Skills!K10</f>
        <v/>
      </c>
      <c r="I3131" t="inlineStr">
        <is>
          <t>1</t>
        </is>
      </c>
      <c r="J3131">
        <f>((Inputs!$B$6*(1+Inputs!$B$7/100))+(((Inputs!$B$12*(1+Inputs!$B$13/100))-(Inputs!$B$12*(1+Inputs!$B$13/100)))+0.25*(Inputs!$B$14-Inputs!$B$14))*(1+Inputs!$B$7/100))*(F3131/100)</f>
        <v/>
      </c>
      <c r="K3131">
        <f>J3131*(1+((Inputs!$B$12*(1+Inputs!$B$13/100))*0.01+Inputs!$B$14*0.0025)/100)*(1+Inputs!$B$15/100)*(1+Inputs!$B$16/100)*(5000/(6000+Inputs!$B$42*(1-(100*(1-(1-(Inputs!$B$19+0)/100)*(1-CHOOSE(ArtifactsInput!$N$40+1,5,6,7,8,9,10)/100)^(ArtifactsInput!$M$40-ArtifactsInput!$M$40)))/100)))*(1+(Inputs!$B$24+((C3147=TRUE)*(F3147-Calc!F26))+B3158)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IGHT_LEGS_EASTON",Inputs!$B$17+((C3144=TRUE)*(F3144-Calc!F23))+((C3148=TRUE)*(F3148-Calc!F27))+((IF(AND(Inputs!$B$38&lt;&gt;"pvp",Inputs!$B$43=0),1,IF(IF(Inputs!$B$38="pvp",15,Inputs!$B$43)-(B3159)&lt;=0,1,MAX(0,IF(Inputs!$B$38="pvp",15,Inputs!$B$43)-MAX(5,B3159))/(IF(Inputs!$B$38="pvp",15,Inputs!$B$43)-(B3159))))*(IF(AND(ArtifactsInput!$M$42,((Inputs!$B$9+((C3140=TRUE)*(F3140-Calc!F19))+B3152+(ArtifactsInput!$M$24-ArtifactsInput!$M$24)*CHOOSE(ArtifactsInput!$N$24+1,10,12,14,16,18,20)+IF(ArtifactsInput!$M$10,CHOOSE(ArtifactsInput!$N$10+1,15,18,21,24,27,30)*(IF(Inputs!$B$38="pvp",MIN(15,15)/15,IF(AND(Inputs!$B$38&lt;&gt;"pvp",Inputs!$B$43&gt;0),MIN(15,Inputs!$B$43)/(Inputs!$B$43),0))),0)))&gt;=100),MIN(100,((Inputs!$B$9+((C3140=TRUE)*(F3140-Calc!F19))+B3152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3159)&lt;=0,1,MAX(0,IF(Inputs!$B$38="pvp",15,Inputs!$B$43)-MAX(5,B3159))/(IF(Inputs!$B$38="pvp",15,Inputs!$B$43)-(B3159))))*IF(AND(ArtifactsInput!$M$42,((Inputs!$B$9+((C3140=TRUE)*(F3140-Calc!F19))+B3152+(ArtifactsInput!$M$24-ArtifactsInput!$M$24)*CHOOSE(ArtifactsInput!$N$24+1,10,12,14,16,18,20)+IF(ArtifactsInput!$M$10,CHOOSE(ArtifactsInput!$N$10+1,15,18,21,24,27,30)*(IF(Inputs!$B$38="pvp",MIN(15,15)/15,IF(AND(Inputs!$B$38&lt;&gt;"pvp",Inputs!$B$43&gt;0),MIN(15,Inputs!$B$43)/(Inputs!$B$43),0))),0)))&gt;=100),CHOOSE(ArtifactsInput!$N$42+1,40,48,56,64,72,80),0))))/100)*((1+(((C3138=TRUE)*F3138*5/7)+((C3145=TRUE)*(F3145-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3131)</f>
        <v/>
      </c>
      <c r="L3131">
        <f>K3131*(MIN(Inputs!$B$22+((C3143=TRUE)*(F3143-Calc!F22)),(Inputs!$B$23+0+(IF(ArtifactsInput!$M$15,CHOOSE(ArtifactsInput!$N$15+1,25,30,35,40,45,50)/100*(Inputs!$B$11-Inputs!$B$11),0))))/100+(Inputs!$B$23+0+(IF(ArtifactsInput!$M$15,CHOOSE(ArtifactsInput!$N$15+1,25,30,35,40,45,50)/100*(Inputs!$B$11-Inputs!$B$11),0)))/100)/2</f>
        <v/>
      </c>
      <c r="M3131">
        <f>L3131*(1+(Inputs!$B$10+((C3146=TRUE)*(F3146-Calc!F25))+B3157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31">
        <f>L3131*(1-MIN((Inputs!$B$9+((C3140=TRUE)*(F3140-Calc!F19))+B3152+(ArtifactsInput!$M$24-ArtifactsInput!$M$24)*CHOOSE(ArtifactsInput!$N$24+1,10,12,14,16,18,20)+(IF(AND(Inputs!$B$38&lt;&gt;"pvp",Inputs!$B$43=0),1,IF(IF(Inputs!$B$38="pvp",15,Inputs!$B$43)-(B3159)&lt;=0,1,MAX(0,IF(Inputs!$B$38="pvp",15,Inputs!$B$43)-MAX(5,B3159))/(IF(Inputs!$B$38="pvp",15,Inputs!$B$43)-(B3159))))*IF(AND(ArtifactsInput!$M$42,((Inputs!$B$9+((C3140=TRUE)*(F3140-Calc!F19))+B3152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3131*(MIN((Inputs!$B$9+((C3140=TRUE)*(F3140-Calc!F19))+B3152+(ArtifactsInput!$M$24-ArtifactsInput!$M$24)*CHOOSE(ArtifactsInput!$N$24+1,10,12,14,16,18,20)+(IF(AND(Inputs!$B$38&lt;&gt;"pvp",Inputs!$B$43=0),1,IF(IF(Inputs!$B$38="pvp",15,Inputs!$B$43)-(B3159)&lt;=0,1,MAX(0,IF(Inputs!$B$38="pvp",15,Inputs!$B$43)-MAX(5,B3159))/(IF(Inputs!$B$38="pvp",15,Inputs!$B$43)-(B3159))))*IF(AND(ArtifactsInput!$M$42,((Inputs!$B$9+((C3140=TRUE)*(F3140-Calc!F19))+B3152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31">
        <f>(1-Summary!$B$11)*T3131+Summary!$B$11*V3131</f>
        <v/>
      </c>
      <c r="P3131">
        <f>IF(B3162=0,0,O3131/B3162)</f>
        <v/>
      </c>
      <c r="Q3131" t="n">
        <v>0</v>
      </c>
      <c r="R3131" t="n">
        <v>0</v>
      </c>
      <c r="S3131">
        <f>IFERROR(O3131/N3131,0)</f>
        <v/>
      </c>
      <c r="T3131">
        <f>IF(C3131,((H3131*B3164)/(1+Skills!H10*H3131*B3164)*N3131)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Hunt"),CHOOSE(ArtifactsInput!$N$35+1,15,18,21,24,27,30)*(1-EXP(-(0.2*B3154)*5)),0)+IF(AND(ArtifactsInput!$M$22,Inputs!$B$4&lt;&gt;"Chapter Hunt"),CHOOSE(ArtifactsInput!$N$22+1,10,12,14,16,18,20)*((0*(((0.15*B3154*5))^0/1)+1*(((0.15*B3154*5))^1/1)+2*(((0.15*B3154*5))^2/2)+3*(((0.15*B3154*5))^3/6)+4*(((0.15*B3154*5))^4/24)+5*(((0.15*B3154*5))^5/120))/((((0.15*B3154*5))^0/1)+(((0.15*B3154*5))^1/1)+(((0.15*B3154*5))^2/2)+(((0.15*B3154*5))^3/6)+(((0.15*B3154*5))^4/24)+(((0.15*B3154*5))^5/120))),0))+IF(Inputs!$B$3&gt;=54,9*(C3124=TRUE)*MIN(1,8*(1+Inputs!$B$34/100)*Q3124)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3131*(1-MIN(100,(Inputs!$B$9+((C3140=TRUE)*(F3140-Calc!F19))+B3152+(ArtifactsInput!$M$24-ArtifactsInput!$M$24)*CHOOSE(ArtifactsInput!$N$24+1,10,12,14,16,18,20)+(IF(AND(Inputs!$B$38&lt;&gt;"pvp",Inputs!$B$43=0),1,IF(IF(Inputs!$B$38="pvp",15,Inputs!$B$43)-(B3159)&lt;=0,1,MAX(0,IF(Inputs!$B$38="pvp",15,Inputs!$B$43)-MAX(5,B3159))/(IF(Inputs!$B$38="pvp",15,Inputs!$B$43)-(B3159))))*IF(AND(ArtifactsInput!$M$42,((Inputs!$B$9+((C3140=TRUE)*(F3140-Calc!F19))+B3152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3131*(MIN(100,(Inputs!$B$9+((C3140=TRUE)*(F3140-Calc!F19))+B3152+(ArtifactsInput!$M$24-ArtifactsInput!$M$24)*CHOOSE(ArtifactsInput!$N$24+1,10,12,14,16,18,20)+(IF(AND(Inputs!$B$38&lt;&gt;"pvp",Inputs!$B$43=0),1,IF(IF(Inputs!$B$38="pvp",15,Inputs!$B$43)-(B3159)&lt;=0,1,MAX(0,IF(Inputs!$B$38="pvp",15,Inputs!$B$43)-MAX(5,B3159))/(IF(Inputs!$B$38="pvp",15,Inputs!$B$43)-(B3159))))*IF(AND(ArtifactsInput!$M$42,((Inputs!$B$9+((C3140=TRUE)*(F3140-Calc!F19))+B3152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3131*(1-MIN(100,(Inputs!$B$9+((C3140=TRUE)*(F3140-Calc!F19))+B3152+(ArtifactsInput!$M$24-ArtifactsInput!$M$24)*CHOOSE(ArtifactsInput!$N$24+1,10,12,14,16,18,20)+(IF(AND(Inputs!$B$38&lt;&gt;"pvp",Inputs!$B$43=0),1,IF(IF(Inputs!$B$38="pvp",15,Inputs!$B$43)-(B3159)&lt;=0,1,MAX(0,IF(Inputs!$B$38="pvp",15,Inputs!$B$43)-MAX(5,B3159))/(IF(Inputs!$B$38="pvp",15,Inputs!$B$43)-(B3159))))*IF(AND(ArtifactsInput!$M$42,((Inputs!$B$9+((C3140=TRUE)*(F3140-Calc!F19))+B3152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3131*(MIN(100,(Inputs!$B$9+((C3140=TRUE)*(F3140-Calc!F19))+B3152+(ArtifactsInput!$M$24-ArtifactsInput!$M$24)*CHOOSE(ArtifactsInput!$N$24+1,10,12,14,16,18,20)+(IF(AND(Inputs!$B$38&lt;&gt;"pvp",Inputs!$B$43=0),1,IF(IF(Inputs!$B$38="pvp",15,Inputs!$B$43)-(B3159)&lt;=0,1,MAX(0,IF(Inputs!$B$38="pvp",15,Inputs!$B$43)-MAX(5,B3159))/(IF(Inputs!$B$38="pvp",15,Inputs!$B$43)-(B3159))))*IF(AND(ArtifactsInput!$M$42,((Inputs!$B$9+((C3140=TRUE)*(F3140-Calc!F19))+B3152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131">
        <f>IF(C3131,((H3131*B3164)/(1+Skills!H10*H3131*B3164)*N3131)*IF(Inputs!$B$38="pvp",1,(1+(Inputs!$B$21+Skills!Q10+(IF(ArtifactsInput!$M$33,CHOOSE(ArtifactsInput!$N$33+1,30,36,42,48,54,60),0))+(IF(AND(ArtifactsInput!$M$35,Inputs!$B$4&lt;&gt;"Chapter Hunt"),CHOOSE(ArtifactsInput!$N$35+1,15,18,21,24,27,30)*(1-EXP(-(0.2*B3154)*5)),0)+IF(AND(ArtifactsInput!$M$22,Inputs!$B$4&lt;&gt;"Chapter Hunt"),CHOOSE(ArtifactsInput!$N$22+1,10,12,14,16,18,20)*((0*(((0.15*B3154*5))^0/1)+1*(((0.15*B3154*5))^1/1)+2*(((0.15*B3154*5))^2/2)+3*(((0.15*B3154*5))^3/6)+4*(((0.15*B3154*5))^4/24)+5*(((0.15*B3154*5))^5/120))/((((0.15*B3154*5))^0/1)+(((0.15*B3154*5))^1/1)+(((0.15*B3154*5))^2/2)+(((0.15*B3154*5))^3/6)+(((0.15*B3154*5))^4/24)+(((0.15*B3154*5))^5/120))),0))+IF(Inputs!$B$3&gt;=54,9*(C3124=TRUE)*MIN(1,8*(1+Inputs!$B$34/100)*Q3124),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32">
      <c r="A3132">
        <f>Skills!A11</f>
        <v/>
      </c>
      <c r="B3132">
        <f>Skills!B11</f>
        <v/>
      </c>
      <c r="C3132">
        <f>Inputs!$B$3&gt;=117</f>
        <v/>
      </c>
      <c r="D3132">
        <f>IF(Skills!C11=1,60+Inputs!$B$25+Inputs!$B$29,IF(Skills!C11=2,90+Inputs!$B$26+Inputs!$B$29,IF(Skills!C11=3,120+Inputs!$B$27+Inputs!$B$29,MAX(0,(Inputs!$B$3-100)*3)+Inputs!$B$28+Inputs!$B$29)))</f>
        <v/>
      </c>
      <c r="E3132">
        <f>INDEX(FactorTable!$B$2:$Y$301, MATCH(ROUND(MIN(300,MAX(1,D3132)),0), FactorTable!$A$2:$A$301,0), Skills!M11+1)</f>
        <v/>
      </c>
      <c r="F3132">
        <f>IF(Skills!N11=TRUE,(Skills!L11/10)*(E3132/1000),Skills!L11/10)+Skills!O11</f>
        <v/>
      </c>
      <c r="G3132">
        <f>Skills!G11*IF(Skills!H11&gt;0,INT(IF(Inputs!$B$38="pvp",MIN(Skills!I11,15),Skills!I11)/Skills!H11+0.000000001),1)</f>
        <v/>
      </c>
      <c r="H3132">
        <f>1-(1-Skills!J11/100)^Skills!K11</f>
        <v/>
      </c>
      <c r="I3132" t="inlineStr">
        <is>
          <t>1</t>
        </is>
      </c>
      <c r="J3132">
        <f>((Inputs!$B$6*(1+Inputs!$B$7/100))+(((Inputs!$B$12*(1+Inputs!$B$13/100))-(Inputs!$B$12*(1+Inputs!$B$13/100)))+0.25*(Inputs!$B$14-Inputs!$B$14))*(1+Inputs!$B$7/100))*(F3132/100)</f>
        <v/>
      </c>
      <c r="K3132">
        <f>J3132*(1+((Inputs!$B$12*(1+Inputs!$B$13/100))*0.01+Inputs!$B$14*0.0025)/100)*(1+Inputs!$B$15/100)*(1+Inputs!$B$16/100)*(5000/(6000+Inputs!$B$42*(1-(100*(1-(1-(Inputs!$B$19+0)/100)*(1-CHOOSE(ArtifactsInput!$N$40+1,5,6,7,8,9,10)/100)^(ArtifactsInput!$M$40-ArtifactsInput!$M$40)))/100)))*(1+(Inputs!$B$24+((C3147=TRUE)*(F3147-Calc!F26))+B3158)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IGHT_LEGS_EASTON",Inputs!$B$17+((C3144=TRUE)*(F3144-Calc!F23))+((C3148=TRUE)*(F3148-Calc!F27))+((IF(AND(Inputs!$B$38&lt;&gt;"pvp",Inputs!$B$43=0),1,IF(IF(Inputs!$B$38="pvp",15,Inputs!$B$43)-(B3159)&lt;=0,1,MAX(0,IF(Inputs!$B$38="pvp",15,Inputs!$B$43)-MAX(5,B3159))/(IF(Inputs!$B$38="pvp",15,Inputs!$B$43)-(B3159))))*(IF(AND(ArtifactsInput!$M$42,((Inputs!$B$9+((C3140=TRUE)*(F3140-Calc!F19))+B3152+(ArtifactsInput!$M$24-ArtifactsInput!$M$24)*CHOOSE(ArtifactsInput!$N$24+1,10,12,14,16,18,20)+IF(ArtifactsInput!$M$10,CHOOSE(ArtifactsInput!$N$10+1,15,18,21,24,27,30)*(IF(Inputs!$B$38="pvp",MIN(15,15)/15,IF(AND(Inputs!$B$38&lt;&gt;"pvp",Inputs!$B$43&gt;0),MIN(15,Inputs!$B$43)/(Inputs!$B$43),0))),0)))&gt;=100),MIN(100,((Inputs!$B$9+((C3140=TRUE)*(F3140-Calc!F19))+B3152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3159)&lt;=0,1,MAX(0,IF(Inputs!$B$38="pvp",15,Inputs!$B$43)-MAX(5,B3159))/(IF(Inputs!$B$38="pvp",15,Inputs!$B$43)-(B3159))))*IF(AND(ArtifactsInput!$M$42,((Inputs!$B$9+((C3140=TRUE)*(F3140-Calc!F19))+B3152+(ArtifactsInput!$M$24-ArtifactsInput!$M$24)*CHOOSE(ArtifactsInput!$N$24+1,10,12,14,16,18,20)+IF(ArtifactsInput!$M$10,CHOOSE(ArtifactsInput!$N$10+1,15,18,21,24,27,30)*(IF(Inputs!$B$38="pvp",MIN(15,15)/15,IF(AND(Inputs!$B$38&lt;&gt;"pvp",Inputs!$B$43&gt;0),MIN(15,Inputs!$B$43)/(Inputs!$B$43),0))),0)))&gt;=100),CHOOSE(ArtifactsInput!$N$42+1,40,48,56,64,72,80),0))))/100)*((1+(((C3138=TRUE)*F3138*5/7)+((C3145=TRUE)*(F3145-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3132)</f>
        <v/>
      </c>
      <c r="L3132">
        <f>K3132*(MIN(Inputs!$B$22+((C3143=TRUE)*(F3143-Calc!F22)),(Inputs!$B$23+0+(IF(ArtifactsInput!$M$15,CHOOSE(ArtifactsInput!$N$15+1,25,30,35,40,45,50)/100*(Inputs!$B$11-Inputs!$B$11),0))))/100+(Inputs!$B$23+0+(IF(ArtifactsInput!$M$15,CHOOSE(ArtifactsInput!$N$15+1,25,30,35,40,45,50)/100*(Inputs!$B$11-Inputs!$B$11),0)))/100)/2</f>
        <v/>
      </c>
      <c r="M3132">
        <f>L3132*(1+(Inputs!$B$10+((C3146=TRUE)*(F3146-Calc!F25))+B3157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32">
        <f>L3132*(1-MIN((Inputs!$B$9+((C3140=TRUE)*(F3140-Calc!F19))+B3152+(ArtifactsInput!$M$24-ArtifactsInput!$M$24)*CHOOSE(ArtifactsInput!$N$24+1,10,12,14,16,18,20)+(IF(AND(Inputs!$B$38&lt;&gt;"pvp",Inputs!$B$43=0),1,IF(IF(Inputs!$B$38="pvp",15,Inputs!$B$43)-(B3159)&lt;=0,1,MAX(0,IF(Inputs!$B$38="pvp",15,Inputs!$B$43)-MAX(5,B3159))/(IF(Inputs!$B$38="pvp",15,Inputs!$B$43)-(B3159))))*IF(AND(ArtifactsInput!$M$42,((Inputs!$B$9+((C3140=TRUE)*(F3140-Calc!F19))+B3152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3132*(MIN((Inputs!$B$9+((C3140=TRUE)*(F3140-Calc!F19))+B3152+(ArtifactsInput!$M$24-ArtifactsInput!$M$24)*CHOOSE(ArtifactsInput!$N$24+1,10,12,14,16,18,20)+(IF(AND(Inputs!$B$38&lt;&gt;"pvp",Inputs!$B$43=0),1,IF(IF(Inputs!$B$38="pvp",15,Inputs!$B$43)-(B3159)&lt;=0,1,MAX(0,IF(Inputs!$B$38="pvp",15,Inputs!$B$43)-MAX(5,B3159))/(IF(Inputs!$B$38="pvp",15,Inputs!$B$43)-(B3159))))*IF(AND(ArtifactsInput!$M$42,((Inputs!$B$9+((C3140=TRUE)*(F3140-Calc!F19))+B3152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32">
        <f>(1-Summary!$B$11)*T3132+Summary!$B$11*V3132</f>
        <v/>
      </c>
      <c r="P3132">
        <f>IF(B3162=0,0,O3132/B3162)</f>
        <v/>
      </c>
      <c r="Q3132">
        <f>IFERROR(1/((IF(Inputs!$B$38="pvp",15,MAX(0.1,Skills!D11-IF(TRUE=TRUE,2.5,0)))*(1-IF(AND(ArtifactsInput!$M$27,Inputs!$B$4="Chapter Hunt"),CHOOSE(ArtifactsInput!$N$27+1,20,24,28,32,36,40),0)/100))/B3163),0)</f>
        <v/>
      </c>
      <c r="R3132">
        <f>IF(AND(Inputs!$B$38&lt;&gt;"pvp",Inputs!$B$43&gt;0),IF(MAX(0,Inputs!$B$43-B3159)&lt;=0,0,(INT(MAX(0,Inputs!$B$43-B3159)/((IF(Inputs!$B$38="pvp",15,MAX(0.1,Skills!D11-IF(TRUE=TRUE,2.5,0)))*(1-IF(AND(ArtifactsInput!$M$27,Inputs!$B$4="Chapter Hunt"),CHOOSE(ArtifactsInput!$N$27+1,20,24,28,32,36,40),0)/100))/B3163))+1)),0)</f>
        <v/>
      </c>
      <c r="S3132">
        <f>IFERROR(O3132/N3132,0)</f>
        <v/>
      </c>
      <c r="T3132">
        <f>IF(C3132,(H3132*N3132*IF(AND(Inputs!$B$38&lt;&gt;"pvp",Inputs!$B$43&gt;0),((Skills!G11*((R3132-1)*IF(Skills!H11&gt;0,INT(Skills!I11/Skills!H11+0.000000001),1)+IF(Skills!H11&gt;0,INT(MIN(Skills!I11,MAX(0,MAX(0,Inputs!$B$43-B3159)-((R3132-1)*((IF(Inputs!$B$38="pvp",15,MAX(0.1,Skills!D11-IF(TRUE=TRUE,2.5,0)))*(1-IF(AND(ArtifactsInput!$M$27,Inputs!$B$4="Chapter Hunt"),CHOOSE(ArtifactsInput!$N$27+1,20,24,28,32,36,40),0)/100))/B3163))))/Skills!H11+0.000000001),1)))/Inputs!$B$43),G3132*Q3132)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Hunt"),CHOOSE(ArtifactsInput!$N$35+1,15,18,21,24,27,30)*(1-EXP(-(0.2*B3154)*5)),0)+IF(AND(ArtifactsInput!$M$22,Inputs!$B$4&lt;&gt;"Chapter Hunt"),CHOOSE(ArtifactsInput!$N$22+1,10,12,14,16,18,20)*((0*(((0.15*B3154*5))^0/1)+1*(((0.15*B3154*5))^1/1)+2*(((0.15*B3154*5))^2/2)+3*(((0.15*B3154*5))^3/6)+4*(((0.15*B3154*5))^4/24)+5*(((0.15*B3154*5))^5/120))/((((0.15*B3154*5))^0/1)+(((0.15*B3154*5))^1/1)+(((0.15*B3154*5))^2/2)+(((0.15*B3154*5))^3/6)+(((0.15*B3154*5))^4/24)+(((0.15*B3154*5))^5/120))),0))+IF(Inputs!$B$3&gt;=54,9*(C3124=TRUE)*MIN(1,8*(1+Inputs!$B$34/100)*Q3124)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3132*(1-MIN(100,(Inputs!$B$9+((C3140=TRUE)*(F3140-Calc!F19))+B3152+(ArtifactsInput!$M$24-ArtifactsInput!$M$24)*CHOOSE(ArtifactsInput!$N$24+1,10,12,14,16,18,20)+(IF(AND(Inputs!$B$38&lt;&gt;"pvp",Inputs!$B$43=0),1,IF(IF(Inputs!$B$38="pvp",15,Inputs!$B$43)-(B3159)&lt;=0,1,MAX(0,IF(Inputs!$B$38="pvp",15,Inputs!$B$43)-MAX(5,B3159))/(IF(Inputs!$B$38="pvp",15,Inputs!$B$43)-(B3159))))*IF(AND(ArtifactsInput!$M$42,((Inputs!$B$9+((C3140=TRUE)*(F3140-Calc!F19))+B3152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3132*(MIN(100,(Inputs!$B$9+((C3140=TRUE)*(F3140-Calc!F19))+B3152+(ArtifactsInput!$M$24-ArtifactsInput!$M$24)*CHOOSE(ArtifactsInput!$N$24+1,10,12,14,16,18,20)+(IF(AND(Inputs!$B$38&lt;&gt;"pvp",Inputs!$B$43=0),1,IF(IF(Inputs!$B$38="pvp",15,Inputs!$B$43)-(B3159)&lt;=0,1,MAX(0,IF(Inputs!$B$38="pvp",15,Inputs!$B$43)-MAX(5,B3159))/(IF(Inputs!$B$38="pvp",15,Inputs!$B$43)-(B3159))))*IF(AND(ArtifactsInput!$M$42,((Inputs!$B$9+((C3140=TRUE)*(F3140-Calc!F19))+B3152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3132*(1-MIN(100,(Inputs!$B$9+((C3140=TRUE)*(F3140-Calc!F19))+B3152+(ArtifactsInput!$M$24-ArtifactsInput!$M$24)*CHOOSE(ArtifactsInput!$N$24+1,10,12,14,16,18,20)+(IF(AND(Inputs!$B$38&lt;&gt;"pvp",Inputs!$B$43=0),1,IF(IF(Inputs!$B$38="pvp",15,Inputs!$B$43)-(B3159)&lt;=0,1,MAX(0,IF(Inputs!$B$38="pvp",15,Inputs!$B$43)-MAX(5,B3159))/(IF(Inputs!$B$38="pvp",15,Inputs!$B$43)-(B3159))))*IF(AND(ArtifactsInput!$M$42,((Inputs!$B$9+((C3140=TRUE)*(F3140-Calc!F19))+B3152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3132*(MIN(100,(Inputs!$B$9+((C3140=TRUE)*(F3140-Calc!F19))+B3152+(ArtifactsInput!$M$24-ArtifactsInput!$M$24)*CHOOSE(ArtifactsInput!$N$24+1,10,12,14,16,18,20)+(IF(AND(Inputs!$B$38&lt;&gt;"pvp",Inputs!$B$43=0),1,IF(IF(Inputs!$B$38="pvp",15,Inputs!$B$43)-(B3159)&lt;=0,1,MAX(0,IF(Inputs!$B$38="pvp",15,Inputs!$B$43)-MAX(5,B3159))/(IF(Inputs!$B$38="pvp",15,Inputs!$B$43)-(B3159))))*IF(AND(ArtifactsInput!$M$42,((Inputs!$B$9+((C3140=TRUE)*(F3140-Calc!F19))+B3152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132">
        <f>IF(C3132,(H3132*N3132*IF(AND(Inputs!$B$38&lt;&gt;"pvp",Inputs!$B$43&gt;0),((Skills!G11*((R3132-1)*IF(Skills!H11&gt;0,INT(Skills!I11/Skills!H11+0.000000001),1)+IF(Skills!H11&gt;0,INT(MIN(Skills!I11,MAX(0,MAX(0,Inputs!$B$43-B3159)-((R3132-1)*((IF(Inputs!$B$38="pvp",15,MAX(0.1,Skills!D11-IF(TRUE=TRUE,2.5,0)))*(1-IF(AND(ArtifactsInput!$M$27,Inputs!$B$4="Chapter Hunt"),CHOOSE(ArtifactsInput!$N$27+1,20,24,28,32,36,40),0)/100))/B3163))))/Skills!H11+0.000000001),1)))/Inputs!$B$43),G3132*Q3132))*IF(Inputs!$B$38="pvp",1,(1+(Inputs!$B$21+Skills!Q11+(IF(ArtifactsInput!$M$33,CHOOSE(ArtifactsInput!$N$33+1,30,36,42,48,54,60),0))+(IF(AND(ArtifactsInput!$M$35,Inputs!$B$4&lt;&gt;"Chapter Hunt"),CHOOSE(ArtifactsInput!$N$35+1,15,18,21,24,27,30)*(1-EXP(-(0.2*B3154)*5)),0)+IF(AND(ArtifactsInput!$M$22,Inputs!$B$4&lt;&gt;"Chapter Hunt"),CHOOSE(ArtifactsInput!$N$22+1,10,12,14,16,18,20)*((0*(((0.15*B3154*5))^0/1)+1*(((0.15*B3154*5))^1/1)+2*(((0.15*B3154*5))^2/2)+3*(((0.15*B3154*5))^3/6)+4*(((0.15*B3154*5))^4/24)+5*(((0.15*B3154*5))^5/120))/((((0.15*B3154*5))^0/1)+(((0.15*B3154*5))^1/1)+(((0.15*B3154*5))^2/2)+(((0.15*B3154*5))^3/6)+(((0.15*B3154*5))^4/24)+(((0.15*B3154*5))^5/120))),0))+IF(Inputs!$B$3&gt;=54,9*(C3124=TRUE)*MIN(1,8*(1+Inputs!$B$34/100)*Q3124),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33">
      <c r="A3133">
        <f>Skills!A12</f>
        <v/>
      </c>
      <c r="B3133">
        <f>Skills!B12</f>
        <v/>
      </c>
      <c r="C3133">
        <f>Inputs!$B$3&gt;=110</f>
        <v/>
      </c>
      <c r="D3133">
        <f>IF(Skills!C12=1,60+Inputs!$B$25+Inputs!$B$29,IF(Skills!C12=2,90+Inputs!$B$26+Inputs!$B$29,IF(Skills!C12=3,120+Inputs!$B$27+Inputs!$B$29,MAX(0,(Inputs!$B$3-100)*3)+Inputs!$B$28+Inputs!$B$29)))</f>
        <v/>
      </c>
      <c r="E3133">
        <f>INDEX(FactorTable!$B$2:$Y$301, MATCH(ROUND(MIN(300,MAX(1,D3133)),0), FactorTable!$A$2:$A$301,0), Skills!M12+1)</f>
        <v/>
      </c>
      <c r="F3133">
        <f>IF(Skills!N12=TRUE,(Skills!L12/10)*(E3133/1000),Skills!L12/10)+Skills!O12</f>
        <v/>
      </c>
      <c r="G3133">
        <f>Skills!G12*IF(Skills!H12&gt;0,INT(IF(Inputs!$B$38="pvp",MIN(Skills!I12,15),Skills!I12)/Skills!H12+0.000000001),1)</f>
        <v/>
      </c>
      <c r="H3133">
        <f>1-(1-Skills!J12/100)^Skills!K12</f>
        <v/>
      </c>
      <c r="I3133" t="inlineStr">
        <is>
          <t>1</t>
        </is>
      </c>
      <c r="J3133">
        <f>((Inputs!$B$6*(1+Inputs!$B$7/100))+(((Inputs!$B$12*(1+Inputs!$B$13/100))-(Inputs!$B$12*(1+Inputs!$B$13/100)))+0.25*(Inputs!$B$14-Inputs!$B$14))*(1+Inputs!$B$7/100))*(F3133/100)</f>
        <v/>
      </c>
      <c r="K3133">
        <f>J3133*(1+((Inputs!$B$12*(1+Inputs!$B$13/100))*0.01+Inputs!$B$14*0.0025)/100)*(1+Inputs!$B$15/100)*(1+Inputs!$B$16/100)*(5000/(6000+Inputs!$B$42*(1-(100*(1-(1-(Inputs!$B$19+0)/100)*(1-CHOOSE(ArtifactsInput!$N$40+1,5,6,7,8,9,10)/100)^(ArtifactsInput!$M$40-ArtifactsInput!$M$40)))/100)))*(1+(Inputs!$B$24+((C3147=TRUE)*(F3147-Calc!F26))+B3158)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EIGHT_LEGS_EASTON",Inputs!$B$17+((C3144=TRUE)*(F3144-Calc!F23))+((C3148=TRUE)*(F3148-Calc!F27))+((IF(AND(Inputs!$B$38&lt;&gt;"pvp",Inputs!$B$43=0),1,IF(IF(Inputs!$B$38="pvp",15,Inputs!$B$43)-(B3159)&lt;=0,1,MAX(0,IF(Inputs!$B$38="pvp",15,Inputs!$B$43)-MAX(5,B3159))/(IF(Inputs!$B$38="pvp",15,Inputs!$B$43)-(B3159))))*(IF(AND(ArtifactsInput!$M$42,((Inputs!$B$9+((C3140=TRUE)*(F3140-Calc!F19))+B3152+(ArtifactsInput!$M$24-ArtifactsInput!$M$24)*CHOOSE(ArtifactsInput!$N$24+1,10,12,14,16,18,20)+IF(ArtifactsInput!$M$10,CHOOSE(ArtifactsInput!$N$10+1,15,18,21,24,27,30)*(IF(Inputs!$B$38="pvp",MIN(15,15)/15,IF(AND(Inputs!$B$38&lt;&gt;"pvp",Inputs!$B$43&gt;0),MIN(15,Inputs!$B$43)/(Inputs!$B$43),0))),0)))&gt;=100),MIN(100,((Inputs!$B$9+((C3140=TRUE)*(F3140-Calc!F19))+B3152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3159)&lt;=0,1,MAX(0,IF(Inputs!$B$38="pvp",15,Inputs!$B$43)-MAX(5,B3159))/(IF(Inputs!$B$38="pvp",15,Inputs!$B$43)-(B3159))))*IF(AND(ArtifactsInput!$M$42,((Inputs!$B$9+((C3140=TRUE)*(F3140-Calc!F19))+B3152+(ArtifactsInput!$M$24-ArtifactsInput!$M$24)*CHOOSE(ArtifactsInput!$N$24+1,10,12,14,16,18,20)+IF(ArtifactsInput!$M$10,CHOOSE(ArtifactsInput!$N$10+1,15,18,21,24,27,30)*(IF(Inputs!$B$38="pvp",MIN(15,15)/15,IF(AND(Inputs!$B$38&lt;&gt;"pvp",Inputs!$B$43&gt;0),MIN(15,Inputs!$B$43)/(Inputs!$B$43),0))),0)))&gt;=100),CHOOSE(ArtifactsInput!$N$42+1,40,48,56,64,72,80),0))))/100)*((1+(((C3138=TRUE)*F3138*5/7)+((C3145=TRUE)*(F3145-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3133)</f>
        <v/>
      </c>
      <c r="L3133">
        <f>K3133*(MIN(Inputs!$B$22+((C3143=TRUE)*(F3143-Calc!F22)),(Inputs!$B$23+0+(IF(ArtifactsInput!$M$15,CHOOSE(ArtifactsInput!$N$15+1,25,30,35,40,45,50)/100*(Inputs!$B$11-Inputs!$B$11),0))))/100+(Inputs!$B$23+0+(IF(ArtifactsInput!$M$15,CHOOSE(ArtifactsInput!$N$15+1,25,30,35,40,45,50)/100*(Inputs!$B$11-Inputs!$B$11),0)))/100)/2</f>
        <v/>
      </c>
      <c r="M3133">
        <f>L3133*(1+(Inputs!$B$10+((C3146=TRUE)*(F3146-Calc!F25))+B3157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33">
        <f>L3133*(1-MIN((Inputs!$B$9+((C3140=TRUE)*(F3140-Calc!F19))+B3152+(ArtifactsInput!$M$24-ArtifactsInput!$M$24)*CHOOSE(ArtifactsInput!$N$24+1,10,12,14,16,18,20)+(IF(AND(Inputs!$B$38&lt;&gt;"pvp",Inputs!$B$43=0),1,IF(IF(Inputs!$B$38="pvp",15,Inputs!$B$43)-(B3159)&lt;=0,1,MAX(0,IF(Inputs!$B$38="pvp",15,Inputs!$B$43)-MAX(5,B3159))/(IF(Inputs!$B$38="pvp",15,Inputs!$B$43)-(B3159))))*IF(AND(ArtifactsInput!$M$42,((Inputs!$B$9+((C3140=TRUE)*(F3140-Calc!F19))+B3152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3133*(MIN((Inputs!$B$9+((C3140=TRUE)*(F3140-Calc!F19))+B3152+(ArtifactsInput!$M$24-ArtifactsInput!$M$24)*CHOOSE(ArtifactsInput!$N$24+1,10,12,14,16,18,20)+(IF(AND(Inputs!$B$38&lt;&gt;"pvp",Inputs!$B$43=0),1,IF(IF(Inputs!$B$38="pvp",15,Inputs!$B$43)-(B3159)&lt;=0,1,MAX(0,IF(Inputs!$B$38="pvp",15,Inputs!$B$43)-MAX(5,B3159))/(IF(Inputs!$B$38="pvp",15,Inputs!$B$43)-(B3159))))*IF(AND(ArtifactsInput!$M$42,((Inputs!$B$9+((C3140=TRUE)*(F3140-Calc!F19))+B3152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33">
        <f>(1-Summary!$B$11)*T3133+Summary!$B$11*V3133</f>
        <v/>
      </c>
      <c r="P3133">
        <f>IF(B3162=0,0,O3133/B3162)</f>
        <v/>
      </c>
      <c r="Q3133">
        <f>IFERROR(1/(IF(Inputs!$B$38="pvp",15,MAX(0.1,Skills!D12-IF(TRUE=TRUE,2.5,0)))*(1-IF(AND(ArtifactsInput!$M$27,Inputs!$B$4="Chapter Hunt"),CHOOSE(ArtifactsInput!$N$27+1,20,24,28,32,36,40),0)/100)),0)</f>
        <v/>
      </c>
      <c r="R3133">
        <f>IF(AND(Inputs!$B$38&lt;&gt;"pvp",Inputs!$B$43&gt;0),IF(MAX(0,Inputs!$B$43-B3159)&lt;=0,0,(INT(MAX(0,Inputs!$B$43-B3159)/(IF(Inputs!$B$38="pvp",15,MAX(0.1,Skills!D12-IF(TRUE=TRUE,2.5,0)))*(1-IF(AND(ArtifactsInput!$M$27,Inputs!$B$4="Chapter Hunt"),CHOOSE(ArtifactsInput!$N$27+1,20,24,28,32,36,40),0)/100)))+1)),0)</f>
        <v/>
      </c>
      <c r="S3133">
        <f>IFERROR(O3133/N3133,0)</f>
        <v/>
      </c>
      <c r="T3133">
        <f>IF(C3133,(H3133*N3133*IF(AND(Inputs!$B$38&lt;&gt;"pvp",Inputs!$B$43&gt;0),((Skills!G12*((R3133-1)*IF(Skills!H12&gt;0,INT(Skills!I12/Skills!H12+0.000000001),1)+IF(Skills!H12&gt;0,INT(MIN(Skills!I12,MAX(0,MAX(0,Inputs!$B$43-B3159)-((R3133-1)*(IF(Inputs!$B$38="pvp",15,MAX(0.1,Skills!D12-IF(TRUE=TRUE,2.5,0)))*(1-IF(AND(ArtifactsInput!$M$27,Inputs!$B$4="Chapter Hunt"),CHOOSE(ArtifactsInput!$N$27+1,20,24,28,32,36,40),0)/100)))))/Skills!H12+0.000000001),1)))/Inputs!$B$43),G3133*Q3133))*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Hunt"),CHOOSE(ArtifactsInput!$N$35+1,15,18,21,24,27,30)*(1-EXP(-(0.2*B3154)*5)),0)+IF(AND(ArtifactsInput!$M$22,Inputs!$B$4&lt;&gt;"Chapter Hunt"),CHOOSE(ArtifactsInput!$N$22+1,10,12,14,16,18,20)*((0*(((0.15*B3154*5))^0/1)+1*(((0.15*B3154*5))^1/1)+2*(((0.15*B3154*5))^2/2)+3*(((0.15*B3154*5))^3/6)+4*(((0.15*B3154*5))^4/24)+5*(((0.15*B3154*5))^5/120))/((((0.15*B3154*5))^0/1)+(((0.15*B3154*5))^1/1)+(((0.15*B3154*5))^2/2)+(((0.15*B3154*5))^3/6)+(((0.15*B3154*5))^4/24)+(((0.15*B3154*5))^5/120))),0))+IF(Inputs!$B$3&gt;=54,9*(C3124=TRUE)*MIN(1,8*(1+Inputs!$B$34/100)*Q3124)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3133*(1-MIN(100,(Inputs!$B$9+((C3140=TRUE)*(F3140-Calc!F19))+B3152+(ArtifactsInput!$M$24-ArtifactsInput!$M$24)*CHOOSE(ArtifactsInput!$N$24+1,10,12,14,16,18,20)+(IF(AND(Inputs!$B$38&lt;&gt;"pvp",Inputs!$B$43=0),1,IF(IF(Inputs!$B$38="pvp",15,Inputs!$B$43)-(B3159)&lt;=0,1,MAX(0,IF(Inputs!$B$38="pvp",15,Inputs!$B$43)-MAX(5,B3159))/(IF(Inputs!$B$38="pvp",15,Inputs!$B$43)-(B3159))))*IF(AND(ArtifactsInput!$M$42,((Inputs!$B$9+((C3140=TRUE)*(F3140-Calc!F19))+B3152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3133*(MIN(100,(Inputs!$B$9+((C3140=TRUE)*(F3140-Calc!F19))+B3152+(ArtifactsInput!$M$24-ArtifactsInput!$M$24)*CHOOSE(ArtifactsInput!$N$24+1,10,12,14,16,18,20)+(IF(AND(Inputs!$B$38&lt;&gt;"pvp",Inputs!$B$43=0),1,IF(IF(Inputs!$B$38="pvp",15,Inputs!$B$43)-(B3159)&lt;=0,1,MAX(0,IF(Inputs!$B$38="pvp",15,Inputs!$B$43)-MAX(5,B3159))/(IF(Inputs!$B$38="pvp",15,Inputs!$B$43)-(B3159))))*IF(AND(ArtifactsInput!$M$42,((Inputs!$B$9+((C3140=TRUE)*(F3140-Calc!F19))+B3152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3133*(1-MIN(100,(Inputs!$B$9+((C3140=TRUE)*(F3140-Calc!F19))+B3152+(ArtifactsInput!$M$24-ArtifactsInput!$M$24)*CHOOSE(ArtifactsInput!$N$24+1,10,12,14,16,18,20)+(IF(AND(Inputs!$B$38&lt;&gt;"pvp",Inputs!$B$43=0),1,IF(IF(Inputs!$B$38="pvp",15,Inputs!$B$43)-(B3159)&lt;=0,1,MAX(0,IF(Inputs!$B$38="pvp",15,Inputs!$B$43)-MAX(5,B3159))/(IF(Inputs!$B$38="pvp",15,Inputs!$B$43)-(B3159))))*IF(AND(ArtifactsInput!$M$42,((Inputs!$B$9+((C3140=TRUE)*(F3140-Calc!F19))+B3152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3133*(MIN(100,(Inputs!$B$9+((C3140=TRUE)*(F3140-Calc!F19))+B3152+(ArtifactsInput!$M$24-ArtifactsInput!$M$24)*CHOOSE(ArtifactsInput!$N$24+1,10,12,14,16,18,20)+(IF(AND(Inputs!$B$38&lt;&gt;"pvp",Inputs!$B$43=0),1,IF(IF(Inputs!$B$38="pvp",15,Inputs!$B$43)-(B3159)&lt;=0,1,MAX(0,IF(Inputs!$B$38="pvp",15,Inputs!$B$43)-MAX(5,B3159))/(IF(Inputs!$B$38="pvp",15,Inputs!$B$43)-(B3159))))*IF(AND(ArtifactsInput!$M$42,((Inputs!$B$9+((C3140=TRUE)*(F3140-Calc!F19))+B3152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133">
        <f>IF(C3133,(H3133*N3133*IF(AND(Inputs!$B$38&lt;&gt;"pvp",Inputs!$B$43&gt;0),((Skills!G12*((R3133-1)*IF(Skills!H12&gt;0,INT(Skills!I12/Skills!H12+0.000000001),1)+IF(Skills!H12&gt;0,INT(MIN(Skills!I12,MAX(0,MAX(0,Inputs!$B$43-B3159)-((R3133-1)*(IF(Inputs!$B$38="pvp",15,MAX(0.1,Skills!D12-IF(TRUE=TRUE,2.5,0)))*(1-IF(AND(ArtifactsInput!$M$27,Inputs!$B$4="Chapter Hunt"),CHOOSE(ArtifactsInput!$N$27+1,20,24,28,32,36,40),0)/100)))))/Skills!H12+0.000000001),1)))/Inputs!$B$43),G3133*Q3133))*IF(Inputs!$B$38="pvp",1,(1+(Inputs!$B$21+Skills!Q12+(IF(ArtifactsInput!$M$33,CHOOSE(ArtifactsInput!$N$33+1,30,36,42,48,54,60),0))+(IF(AND(ArtifactsInput!$M$35,Inputs!$B$4&lt;&gt;"Chapter Hunt"),CHOOSE(ArtifactsInput!$N$35+1,15,18,21,24,27,30)*(1-EXP(-(0.2*B3154)*5)),0)+IF(AND(ArtifactsInput!$M$22,Inputs!$B$4&lt;&gt;"Chapter Hunt"),CHOOSE(ArtifactsInput!$N$22+1,10,12,14,16,18,20)*((0*(((0.15*B3154*5))^0/1)+1*(((0.15*B3154*5))^1/1)+2*(((0.15*B3154*5))^2/2)+3*(((0.15*B3154*5))^3/6)+4*(((0.15*B3154*5))^4/24)+5*(((0.15*B3154*5))^5/120))/((((0.15*B3154*5))^0/1)+(((0.15*B3154*5))^1/1)+(((0.15*B3154*5))^2/2)+(((0.15*B3154*5))^3/6)+(((0.15*B3154*5))^4/24)+(((0.15*B3154*5))^5/120))),0))+IF(Inputs!$B$3&gt;=54,9*(C3124=TRUE)*MIN(1,8*(1+Inputs!$B$34/100)*Q3124),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34">
      <c r="A3134">
        <f>Skills!A13</f>
        <v/>
      </c>
      <c r="B3134">
        <f>Skills!B13</f>
        <v/>
      </c>
      <c r="C3134">
        <f>Inputs!$B$3&gt;=110</f>
        <v/>
      </c>
      <c r="D3134">
        <f>IF(Skills!C13=1,60+Inputs!$B$25+Inputs!$B$29,IF(Skills!C13=2,90+Inputs!$B$26+Inputs!$B$29,IF(Skills!C13=3,120+Inputs!$B$27+Inputs!$B$29,MAX(0,(Inputs!$B$3-100)*3)+Inputs!$B$28+Inputs!$B$29)))</f>
        <v/>
      </c>
      <c r="E3134">
        <f>INDEX(FactorTable!$B$2:$Y$301, MATCH(ROUND(MIN(300,MAX(1,D3134)),0), FactorTable!$A$2:$A$301,0), Skills!M13+1)</f>
        <v/>
      </c>
      <c r="F3134">
        <f>IF(Skills!N13=TRUE,(Skills!L13/10)*(E3134/1000),Skills!L13/10)+Skills!O13</f>
        <v/>
      </c>
      <c r="G3134">
        <f>Skills!G13*IF(Skills!H13&gt;0,INT(IF(Inputs!$B$38="pvp",MIN(Skills!I13,15),Skills!I13)/Skills!H13+0.000000001),1)</f>
        <v/>
      </c>
      <c r="H3134">
        <f>1-(1-Skills!J13/100)^Skills!K13</f>
        <v/>
      </c>
      <c r="I3134" t="inlineStr">
        <is>
          <t>1</t>
        </is>
      </c>
      <c r="J3134">
        <f>((Inputs!$B$6*(1+Inputs!$B$7/100))+(((Inputs!$B$12*(1+Inputs!$B$13/100))-(Inputs!$B$12*(1+Inputs!$B$13/100)))+0.25*(Inputs!$B$14-Inputs!$B$14))*(1+Inputs!$B$7/100))*(F3134/100)</f>
        <v/>
      </c>
      <c r="K3134">
        <f>J3134*(1+((Inputs!$B$12*(1+Inputs!$B$13/100))*0.01+Inputs!$B$14*0.0025)/100)*(1+Inputs!$B$15/100)*(1+Inputs!$B$16/100)*(5000/(6000+Inputs!$B$42*(1-(100*(1-(1-(Inputs!$B$19+0)/100)*(1-CHOOSE(ArtifactsInput!$N$40+1,5,6,7,8,9,10)/100)^(ArtifactsInput!$M$40-ArtifactsInput!$M$40)))/100)))*(1+(Inputs!$B$24+((C3147=TRUE)*(F3147-Calc!F26))+B3158)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EIGHT_LEGS_EASTON",Inputs!$B$17+((C3144=TRUE)*(F3144-Calc!F23))+((C3148=TRUE)*(F3148-Calc!F27))+((IF(AND(Inputs!$B$38&lt;&gt;"pvp",Inputs!$B$43=0),1,IF(IF(Inputs!$B$38="pvp",15,Inputs!$B$43)-(B3159)&lt;=0,1,MAX(0,IF(Inputs!$B$38="pvp",15,Inputs!$B$43)-MAX(5,B3159))/(IF(Inputs!$B$38="pvp",15,Inputs!$B$43)-(B3159))))*(IF(AND(ArtifactsInput!$M$42,((Inputs!$B$9+((C3140=TRUE)*(F3140-Calc!F19))+B3152+(ArtifactsInput!$M$24-ArtifactsInput!$M$24)*CHOOSE(ArtifactsInput!$N$24+1,10,12,14,16,18,20)+IF(ArtifactsInput!$M$10,CHOOSE(ArtifactsInput!$N$10+1,15,18,21,24,27,30)*(IF(Inputs!$B$38="pvp",MIN(15,15)/15,IF(AND(Inputs!$B$38&lt;&gt;"pvp",Inputs!$B$43&gt;0),MIN(15,Inputs!$B$43)/(Inputs!$B$43),0))),0)))&gt;=100),MIN(100,((Inputs!$B$9+((C3140=TRUE)*(F3140-Calc!F19))+B3152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3159)&lt;=0,1,MAX(0,IF(Inputs!$B$38="pvp",15,Inputs!$B$43)-MAX(5,B3159))/(IF(Inputs!$B$38="pvp",15,Inputs!$B$43)-(B3159))))*IF(AND(ArtifactsInput!$M$42,((Inputs!$B$9+((C3140=TRUE)*(F3140-Calc!F19))+B3152+(ArtifactsInput!$M$24-ArtifactsInput!$M$24)*CHOOSE(ArtifactsInput!$N$24+1,10,12,14,16,18,20)+IF(ArtifactsInput!$M$10,CHOOSE(ArtifactsInput!$N$10+1,15,18,21,24,27,30)*(IF(Inputs!$B$38="pvp",MIN(15,15)/15,IF(AND(Inputs!$B$38&lt;&gt;"pvp",Inputs!$B$43&gt;0),MIN(15,Inputs!$B$43)/(Inputs!$B$43),0))),0)))&gt;=100),CHOOSE(ArtifactsInput!$N$42+1,40,48,56,64,72,80),0))))/100)*((1+(((C3138=TRUE)*F3138*5/7)+((C3145=TRUE)*(F3145-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3134)</f>
        <v/>
      </c>
      <c r="L3134">
        <f>K3134*(MIN(Inputs!$B$22+((C3143=TRUE)*(F3143-Calc!F22)),(Inputs!$B$23+0+(IF(ArtifactsInput!$M$15,CHOOSE(ArtifactsInput!$N$15+1,25,30,35,40,45,50)/100*(Inputs!$B$11-Inputs!$B$11),0))))/100+(Inputs!$B$23+0+(IF(ArtifactsInput!$M$15,CHOOSE(ArtifactsInput!$N$15+1,25,30,35,40,45,50)/100*(Inputs!$B$11-Inputs!$B$11),0)))/100)/2</f>
        <v/>
      </c>
      <c r="M3134">
        <f>L3134*(1+(Inputs!$B$10+((C3146=TRUE)*(F3146-Calc!F25))+B3157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34">
        <f>L3134*(1-MIN((Inputs!$B$9+((C3140=TRUE)*(F3140-Calc!F19))+B3152+(ArtifactsInput!$M$24-ArtifactsInput!$M$24)*CHOOSE(ArtifactsInput!$N$24+1,10,12,14,16,18,20)+(IF(AND(Inputs!$B$38&lt;&gt;"pvp",Inputs!$B$43=0),1,IF(IF(Inputs!$B$38="pvp",15,Inputs!$B$43)-(B3159)&lt;=0,1,MAX(0,IF(Inputs!$B$38="pvp",15,Inputs!$B$43)-MAX(5,B3159))/(IF(Inputs!$B$38="pvp",15,Inputs!$B$43)-(B3159))))*IF(AND(ArtifactsInput!$M$42,((Inputs!$B$9+((C3140=TRUE)*(F3140-Calc!F19))+B3152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3134*(MIN((Inputs!$B$9+((C3140=TRUE)*(F3140-Calc!F19))+B3152+(ArtifactsInput!$M$24-ArtifactsInput!$M$24)*CHOOSE(ArtifactsInput!$N$24+1,10,12,14,16,18,20)+(IF(AND(Inputs!$B$38&lt;&gt;"pvp",Inputs!$B$43=0),1,IF(IF(Inputs!$B$38="pvp",15,Inputs!$B$43)-(B3159)&lt;=0,1,MAX(0,IF(Inputs!$B$38="pvp",15,Inputs!$B$43)-MAX(5,B3159))/(IF(Inputs!$B$38="pvp",15,Inputs!$B$43)-(B3159))))*IF(AND(ArtifactsInput!$M$42,((Inputs!$B$9+((C3140=TRUE)*(F3140-Calc!F19))+B3152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34">
        <f>(1-Summary!$B$11)*T3134+Summary!$B$11*V3134</f>
        <v/>
      </c>
      <c r="P3134">
        <f>IF(B3162=0,0,O3134/B3162)</f>
        <v/>
      </c>
      <c r="Q3134">
        <f>IFERROR(1/(IF(Inputs!$B$38="pvp",15,MAX(0.1,Skills!D13-IF(TRUE=TRUE,2.5,0)))*(1-IF(AND(ArtifactsInput!$M$27,Inputs!$B$4="Chapter Hunt"),CHOOSE(ArtifactsInput!$N$27+1,20,24,28,32,36,40),0)/100)),0)</f>
        <v/>
      </c>
      <c r="R3134">
        <f>IF(AND(Inputs!$B$38&lt;&gt;"pvp",Inputs!$B$43&gt;0),IF(MAX(0,Inputs!$B$43-B3159)&lt;=0,0,(INT(MAX(0,Inputs!$B$43-B3159)/(IF(Inputs!$B$38="pvp",15,MAX(0.1,Skills!D13-IF(TRUE=TRUE,2.5,0)))*(1-IF(AND(ArtifactsInput!$M$27,Inputs!$B$4="Chapter Hunt"),CHOOSE(ArtifactsInput!$N$27+1,20,24,28,32,36,40),0)/100)))+1)),0)</f>
        <v/>
      </c>
      <c r="S3134">
        <f>IFERROR(O3134/N3134,0)</f>
        <v/>
      </c>
      <c r="T3134">
        <f>IF(C3134,(H3134*N3134*IF(AND(Inputs!$B$38&lt;&gt;"pvp",Inputs!$B$43&gt;0),((Skills!G13*((R3134-1)*IF(Skills!H13&gt;0,INT(Skills!I13/Skills!H13+0.000000001),1)+IF(Skills!H13&gt;0,INT(MIN(Skills!I13,MAX(0,MAX(0,Inputs!$B$43-B3159)-((R3134-1)*(IF(Inputs!$B$38="pvp",15,MAX(0.1,Skills!D13-IF(TRUE=TRUE,2.5,0)))*(1-IF(AND(ArtifactsInput!$M$27,Inputs!$B$4="Chapter Hunt"),CHOOSE(ArtifactsInput!$N$27+1,20,24,28,32,36,40),0)/100)))))/Skills!H13+0.000000001),1)))/Inputs!$B$43),G3134*Q3134))*IF(Inputs!$B$38="pvp",1,1+(Inputs!$B$20+0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Hunt"),CHOOSE(ArtifactsInput!$N$35+1,15,18,21,24,27,30)*(1-EXP(-(0.2*B3154)*5)),0)+IF(AND(ArtifactsInput!$M$22,Inputs!$B$4&lt;&gt;"Chapter Hunt"),CHOOSE(ArtifactsInput!$N$22+1,10,12,14,16,18,20)*((0*(((0.15*B3154*5))^0/1)+1*(((0.15*B3154*5))^1/1)+2*(((0.15*B3154*5))^2/2)+3*(((0.15*B3154*5))^3/6)+4*(((0.15*B3154*5))^4/24)+5*(((0.15*B3154*5))^5/120))/((((0.15*B3154*5))^0/1)+(((0.15*B3154*5))^1/1)+(((0.15*B3154*5))^2/2)+(((0.15*B3154*5))^3/6)+(((0.15*B3154*5))^4/24)+(((0.15*B3154*5))^5/120))),0))+IF(Inputs!$B$3&gt;=54,9*(C3124=TRUE)*MIN(1,8*(1+Inputs!$B$34/100)*Q3124)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3134*(1-MIN(100,(Inputs!$B$9+((C3140=TRUE)*(F3140-Calc!F19))+B3152+(ArtifactsInput!$M$24-ArtifactsInput!$M$24)*CHOOSE(ArtifactsInput!$N$24+1,10,12,14,16,18,20)+(IF(AND(Inputs!$B$38&lt;&gt;"pvp",Inputs!$B$43=0),1,IF(IF(Inputs!$B$38="pvp",15,Inputs!$B$43)-(B3159)&lt;=0,1,MAX(0,IF(Inputs!$B$38="pvp",15,Inputs!$B$43)-MAX(5,B3159))/(IF(Inputs!$B$38="pvp",15,Inputs!$B$43)-(B3159))))*IF(AND(ArtifactsInput!$M$42,((Inputs!$B$9+((C3140=TRUE)*(F3140-Calc!F19))+B3152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3134*(MIN(100,(Inputs!$B$9+((C3140=TRUE)*(F3140-Calc!F19))+B3152+(ArtifactsInput!$M$24-ArtifactsInput!$M$24)*CHOOSE(ArtifactsInput!$N$24+1,10,12,14,16,18,20)+(IF(AND(Inputs!$B$38&lt;&gt;"pvp",Inputs!$B$43=0),1,IF(IF(Inputs!$B$38="pvp",15,Inputs!$B$43)-(B3159)&lt;=0,1,MAX(0,IF(Inputs!$B$38="pvp",15,Inputs!$B$43)-MAX(5,B3159))/(IF(Inputs!$B$38="pvp",15,Inputs!$B$43)-(B3159))))*IF(AND(ArtifactsInput!$M$42,((Inputs!$B$9+((C3140=TRUE)*(F3140-Calc!F19))+B3152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3134*(1-MIN(100,(Inputs!$B$9+((C3140=TRUE)*(F3140-Calc!F19))+B3152+(ArtifactsInput!$M$24-ArtifactsInput!$M$24)*CHOOSE(ArtifactsInput!$N$24+1,10,12,14,16,18,20)+(IF(AND(Inputs!$B$38&lt;&gt;"pvp",Inputs!$B$43=0),1,IF(IF(Inputs!$B$38="pvp",15,Inputs!$B$43)-(B3159)&lt;=0,1,MAX(0,IF(Inputs!$B$38="pvp",15,Inputs!$B$43)-MAX(5,B3159))/(IF(Inputs!$B$38="pvp",15,Inputs!$B$43)-(B3159))))*IF(AND(ArtifactsInput!$M$42,((Inputs!$B$9+((C3140=TRUE)*(F3140-Calc!F19))+B3152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3134*(MIN(100,(Inputs!$B$9+((C3140=TRUE)*(F3140-Calc!F19))+B3152+(ArtifactsInput!$M$24-ArtifactsInput!$M$24)*CHOOSE(ArtifactsInput!$N$24+1,10,12,14,16,18,20)+(IF(AND(Inputs!$B$38&lt;&gt;"pvp",Inputs!$B$43=0),1,IF(IF(Inputs!$B$38="pvp",15,Inputs!$B$43)-(B3159)&lt;=0,1,MAX(0,IF(Inputs!$B$38="pvp",15,Inputs!$B$43)-MAX(5,B3159))/(IF(Inputs!$B$38="pvp",15,Inputs!$B$43)-(B3159))))*IF(AND(ArtifactsInput!$M$42,((Inputs!$B$9+((C3140=TRUE)*(F3140-Calc!F19))+B3152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134">
        <f>IF(C3134,(H3134*N3134*IF(AND(Inputs!$B$38&lt;&gt;"pvp",Inputs!$B$43&gt;0),((Skills!G13*((R3134-1)*IF(Skills!H13&gt;0,INT(Skills!I13/Skills!H13+0.000000001),1)+IF(Skills!H13&gt;0,INT(MIN(Skills!I13,MAX(0,MAX(0,Inputs!$B$43-B3159)-((R3134-1)*(IF(Inputs!$B$38="pvp",15,MAX(0.1,Skills!D13-IF(TRUE=TRUE,2.5,0)))*(1-IF(AND(ArtifactsInput!$M$27,Inputs!$B$4="Chapter Hunt"),CHOOSE(ArtifactsInput!$N$27+1,20,24,28,32,36,40),0)/100)))))/Skills!H13+0.000000001),1)))/Inputs!$B$43),G3134*Q3134))*IF(Inputs!$B$38="pvp",1,(1+(Inputs!$B$21+Skills!Q13+(IF(ArtifactsInput!$M$33,CHOOSE(ArtifactsInput!$N$33+1,30,36,42,48,54,60),0))+(IF(AND(ArtifactsInput!$M$35,Inputs!$B$4&lt;&gt;"Chapter Hunt"),CHOOSE(ArtifactsInput!$N$35+1,15,18,21,24,27,30)*(1-EXP(-(0.2*B3154)*5)),0)+IF(AND(ArtifactsInput!$M$22,Inputs!$B$4&lt;&gt;"Chapter Hunt"),CHOOSE(ArtifactsInput!$N$22+1,10,12,14,16,18,20)*((0*(((0.15*B3154*5))^0/1)+1*(((0.15*B3154*5))^1/1)+2*(((0.15*B3154*5))^2/2)+3*(((0.15*B3154*5))^3/6)+4*(((0.15*B3154*5))^4/24)+5*(((0.15*B3154*5))^5/120))/((((0.15*B3154*5))^0/1)+(((0.15*B3154*5))^1/1)+(((0.15*B3154*5))^2/2)+(((0.15*B3154*5))^3/6)+(((0.15*B3154*5))^4/24)+(((0.15*B3154*5))^5/120))),0))+IF(Inputs!$B$3&gt;=54,9*(C3124=TRUE)*MIN(1,8*(1+Inputs!$B$34/100)*Q3124),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35">
      <c r="A3135">
        <f>Skills!A14</f>
        <v/>
      </c>
      <c r="B3135">
        <f>Skills!B14</f>
        <v/>
      </c>
      <c r="C3135">
        <f>Inputs!$B$3&gt;=120</f>
        <v/>
      </c>
      <c r="D3135">
        <f>IF(Skills!C14=1,60+Inputs!$B$25+Inputs!$B$29,IF(Skills!C14=2,90+Inputs!$B$26+Inputs!$B$29,IF(Skills!C14=3,120+Inputs!$B$27+Inputs!$B$29,MAX(0,(Inputs!$B$3-100)*3)+Inputs!$B$28+Inputs!$B$29)))</f>
        <v/>
      </c>
      <c r="E3135">
        <f>INDEX(FactorTable!$B$2:$Y$301, MATCH(ROUND(MIN(300,MAX(1,D3135)),0), FactorTable!$A$2:$A$301,0), Skills!M14+1)</f>
        <v/>
      </c>
      <c r="F3135">
        <f>IF(Skills!N14=TRUE,(Skills!L14/10)*(E3135/1000),Skills!L14/10)+Skills!O14</f>
        <v/>
      </c>
      <c r="G3135">
        <f>Skills!G14*IF(Skills!H14&gt;0,INT(IF(Inputs!$B$38="pvp",MIN(Skills!I14,15),Skills!I14)/Skills!H14+0.000000001),1)</f>
        <v/>
      </c>
      <c r="H3135">
        <f>1-(1-Skills!J14/100)^Skills!K14</f>
        <v/>
      </c>
      <c r="I3135" t="inlineStr">
        <is>
          <t>1</t>
        </is>
      </c>
      <c r="J3135">
        <f>((Inputs!$B$6*(1+Inputs!$B$7/100))+(((Inputs!$B$12*(1+Inputs!$B$13/100))-(Inputs!$B$12*(1+Inputs!$B$13/100)))+0.25*(Inputs!$B$14-Inputs!$B$14))*(1+Inputs!$B$7/100))*(F3135/100)</f>
        <v/>
      </c>
      <c r="K3135">
        <f>J3135*(1+((Inputs!$B$12*(1+Inputs!$B$13/100))*0.01+Inputs!$B$14*0.0025)/100)*(1+Inputs!$B$15/100)*(1+Inputs!$B$16/100)*(5000/(6000+Inputs!$B$42*(1-(100*(1-(1-(Inputs!$B$19+0)/100)*(1-CHOOSE(ArtifactsInput!$N$40+1,5,6,7,8,9,10)/100)^(ArtifactsInput!$M$40-ArtifactsInput!$M$40)))/100)))*(1+(Inputs!$B$24+((C3147=TRUE)*(F3147-Calc!F26))+B3158)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EIGHT_LEGS_EASTON",Inputs!$B$17+((C3144=TRUE)*(F3144-Calc!F23))+((C3148=TRUE)*(F3148-Calc!F27))+((IF(AND(Inputs!$B$38&lt;&gt;"pvp",Inputs!$B$43=0),1,IF(IF(Inputs!$B$38="pvp",15,Inputs!$B$43)-(B3159)&lt;=0,1,MAX(0,IF(Inputs!$B$38="pvp",15,Inputs!$B$43)-MAX(5,B3159))/(IF(Inputs!$B$38="pvp",15,Inputs!$B$43)-(B3159))))*(IF(AND(ArtifactsInput!$M$42,((Inputs!$B$9+((C3140=TRUE)*(F3140-Calc!F19))+B3152+(ArtifactsInput!$M$24-ArtifactsInput!$M$24)*CHOOSE(ArtifactsInput!$N$24+1,10,12,14,16,18,20)+IF(ArtifactsInput!$M$10,CHOOSE(ArtifactsInput!$N$10+1,15,18,21,24,27,30)*(IF(Inputs!$B$38="pvp",MIN(15,15)/15,IF(AND(Inputs!$B$38&lt;&gt;"pvp",Inputs!$B$43&gt;0),MIN(15,Inputs!$B$43)/(Inputs!$B$43),0))),0)))&gt;=100),MIN(100,((Inputs!$B$9+((C3140=TRUE)*(F3140-Calc!F19))+B3152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3159)&lt;=0,1,MAX(0,IF(Inputs!$B$38="pvp",15,Inputs!$B$43)-MAX(5,B3159))/(IF(Inputs!$B$38="pvp",15,Inputs!$B$43)-(B3159))))*IF(AND(ArtifactsInput!$M$42,((Inputs!$B$9+((C3140=TRUE)*(F3140-Calc!F19))+B3152+(ArtifactsInput!$M$24-ArtifactsInput!$M$24)*CHOOSE(ArtifactsInput!$N$24+1,10,12,14,16,18,20)+IF(ArtifactsInput!$M$10,CHOOSE(ArtifactsInput!$N$10+1,15,18,21,24,27,30)*(IF(Inputs!$B$38="pvp",MIN(15,15)/15,IF(AND(Inputs!$B$38&lt;&gt;"pvp",Inputs!$B$43&gt;0),MIN(15,Inputs!$B$43)/(Inputs!$B$43),0))),0)))&gt;=100),CHOOSE(ArtifactsInput!$N$42+1,40,48,56,64,72,80),0))))/100)*((1+(((C3138=TRUE)*F3138*5/7)+((C3145=TRUE)*(F3145-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3135)</f>
        <v/>
      </c>
      <c r="L3135">
        <f>K3135*(MIN(Inputs!$B$22+((C3143=TRUE)*(F3143-Calc!F22)),(Inputs!$B$23+0+(IF(ArtifactsInput!$M$15,CHOOSE(ArtifactsInput!$N$15+1,25,30,35,40,45,50)/100*(Inputs!$B$11-Inputs!$B$11),0))))/100+(Inputs!$B$23+0+(IF(ArtifactsInput!$M$15,CHOOSE(ArtifactsInput!$N$15+1,25,30,35,40,45,50)/100*(Inputs!$B$11-Inputs!$B$11),0)))/100)/2</f>
        <v/>
      </c>
      <c r="M3135">
        <f>L3135*(1+(Inputs!$B$10+((C3146=TRUE)*(F3146-Calc!F25))+B3157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35">
        <f>L3135*(1-MIN((Inputs!$B$9+((C3140=TRUE)*(F3140-Calc!F19))+B3152+(ArtifactsInput!$M$24-ArtifactsInput!$M$24)*CHOOSE(ArtifactsInput!$N$24+1,10,12,14,16,18,20)+(IF(AND(Inputs!$B$38&lt;&gt;"pvp",Inputs!$B$43=0),1,IF(IF(Inputs!$B$38="pvp",15,Inputs!$B$43)-(B3159)&lt;=0,1,MAX(0,IF(Inputs!$B$38="pvp",15,Inputs!$B$43)-MAX(5,B3159))/(IF(Inputs!$B$38="pvp",15,Inputs!$B$43)-(B3159))))*IF(AND(ArtifactsInput!$M$42,((Inputs!$B$9+((C3140=TRUE)*(F3140-Calc!F19))+B3152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3135*(MIN((Inputs!$B$9+((C3140=TRUE)*(F3140-Calc!F19))+B3152+(ArtifactsInput!$M$24-ArtifactsInput!$M$24)*CHOOSE(ArtifactsInput!$N$24+1,10,12,14,16,18,20)+(IF(AND(Inputs!$B$38&lt;&gt;"pvp",Inputs!$B$43=0),1,IF(IF(Inputs!$B$38="pvp",15,Inputs!$B$43)-(B3159)&lt;=0,1,MAX(0,IF(Inputs!$B$38="pvp",15,Inputs!$B$43)-MAX(5,B3159))/(IF(Inputs!$B$38="pvp",15,Inputs!$B$43)-(B3159))))*IF(AND(ArtifactsInput!$M$42,((Inputs!$B$9+((C3140=TRUE)*(F3140-Calc!F19))+B3152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35">
        <f>(1-Summary!$B$11)*T3135+Summary!$B$11*V3135</f>
        <v/>
      </c>
      <c r="P3135">
        <f>IF(B3162=0,0,O3135/B3162)</f>
        <v/>
      </c>
      <c r="Q3135" t="n">
        <v>0</v>
      </c>
      <c r="R3135" t="n">
        <v>0</v>
      </c>
      <c r="S3135">
        <f>IFERROR(O3135/N3135,0)</f>
        <v/>
      </c>
      <c r="T3135">
        <f>IF(C3135,((H3135*(B3156+IF(AND(Inputs!$B$38&lt;&gt;"pvp",Inputs!$B$43&gt;0),((Skills!G8*((R3129-1)*IF(Skills!H8&gt;0,INT(Skills!I8/Skills!H8+0.000000001),1)+IF(Skills!H8&gt;0,INT(MIN(Skills!I8,MAX(0,MAX(0,Inputs!$B$43-B3159)-((R3129-1)*((IF(Inputs!$B$38="pvp",15,MAX(0.1,Skills!D8-IF(TRUE=TRUE,2.5,0)))*(1-IF(AND(ArtifactsInput!$M$27,Inputs!$B$4="Chapter Hunt"),CHOOSE(ArtifactsInput!$N$27+1,20,24,28,32,36,40),0)/100))/B3163))))/Skills!H8+0.000000001),1)))/Inputs!$B$43),G3129*Q3129)+IF(AND(Inputs!$B$38&lt;&gt;"pvp",Inputs!$B$43&gt;0),((Skills!G11*((R3132-1)*IF(Skills!H11&gt;0,INT(Skills!I11/Skills!H11+0.000000001),1)+IF(Skills!H11&gt;0,INT(MIN(Skills!I11,MAX(0,MAX(0,Inputs!$B$43-B3159)-((R3132-1)*((IF(Inputs!$B$38="pvp",15,MAX(0.1,Skills!D11-IF(TRUE=TRUE,2.5,0)))*(1-IF(AND(ArtifactsInput!$M$27,Inputs!$B$4="Chapter Hunt"),CHOOSE(ArtifactsInput!$N$27+1,20,24,28,32,36,40),0)/100))/B3163))))/Skills!H11+0.000000001),1)))/Inputs!$B$43),G3132*Q3132)))/(1+Skills!H14*H3135*(B3156+IF(AND(Inputs!$B$38&lt;&gt;"pvp",Inputs!$B$43&gt;0),((Skills!G8*((R3129-1)*IF(Skills!H8&gt;0,INT(Skills!I8/Skills!H8+0.000000001),1)+IF(Skills!H8&gt;0,INT(MIN(Skills!I8,MAX(0,MAX(0,Inputs!$B$43-B3159)-((R3129-1)*((IF(Inputs!$B$38="pvp",15,MAX(0.1,Skills!D8-IF(TRUE=TRUE,2.5,0)))*(1-IF(AND(ArtifactsInput!$M$27,Inputs!$B$4="Chapter Hunt"),CHOOSE(ArtifactsInput!$N$27+1,20,24,28,32,36,40),0)/100))/B3163))))/Skills!H8+0.000000001),1)))/Inputs!$B$43),G3129*Q3129)+IF(AND(Inputs!$B$38&lt;&gt;"pvp",Inputs!$B$43&gt;0),((Skills!G11*((R3132-1)*IF(Skills!H11&gt;0,INT(Skills!I11/Skills!H11+0.000000001),1)+IF(Skills!H11&gt;0,INT(MIN(Skills!I11,MAX(0,MAX(0,Inputs!$B$43-B3159)-((R3132-1)*((IF(Inputs!$B$38="pvp",15,MAX(0.1,Skills!D11-IF(TRUE=TRUE,2.5,0)))*(1-IF(AND(ArtifactsInput!$M$27,Inputs!$B$4="Chapter Hunt"),CHOOSE(ArtifactsInput!$N$27+1,20,24,28,32,36,40),0)/100))/B3163))))/Skills!H11+0.000000001),1)))/Inputs!$B$43),G3132*Q3132)))*N3135)*IF(Inputs!$B$38="pvp",1,1+(Inputs!$B$20+0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Hunt"),CHOOSE(ArtifactsInput!$N$35+1,15,18,21,24,27,30)*(1-EXP(-(0.2*B3154)*5)),0)+IF(AND(ArtifactsInput!$M$22,Inputs!$B$4&lt;&gt;"Chapter Hunt"),CHOOSE(ArtifactsInput!$N$22+1,10,12,14,16,18,20)*((0*(((0.15*B3154*5))^0/1)+1*(((0.15*B3154*5))^1/1)+2*(((0.15*B3154*5))^2/2)+3*(((0.15*B3154*5))^3/6)+4*(((0.15*B3154*5))^4/24)+5*(((0.15*B3154*5))^5/120))/((((0.15*B3154*5))^0/1)+(((0.15*B3154*5))^1/1)+(((0.15*B3154*5))^2/2)+(((0.15*B3154*5))^3/6)+(((0.15*B3154*5))^4/24)+(((0.15*B3154*5))^5/120))),0))+IF(Inputs!$B$3&gt;=54,9*(C3124=TRUE)*MIN(1,8*(1+Inputs!$B$34/100)*Q3124)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3135*(1-MIN(100,(Inputs!$B$9+((C3140=TRUE)*(F3140-Calc!F19))+B3152+(ArtifactsInput!$M$24-ArtifactsInput!$M$24)*CHOOSE(ArtifactsInput!$N$24+1,10,12,14,16,18,20)+(IF(AND(Inputs!$B$38&lt;&gt;"pvp",Inputs!$B$43=0),1,IF(IF(Inputs!$B$38="pvp",15,Inputs!$B$43)-(B3159)&lt;=0,1,MAX(0,IF(Inputs!$B$38="pvp",15,Inputs!$B$43)-MAX(5,B3159))/(IF(Inputs!$B$38="pvp",15,Inputs!$B$43)-(B3159))))*IF(AND(ArtifactsInput!$M$42,((Inputs!$B$9+((C3140=TRUE)*(F3140-Calc!F19))+B3152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3135*(MIN(100,(Inputs!$B$9+((C3140=TRUE)*(F3140-Calc!F19))+B3152+(ArtifactsInput!$M$24-ArtifactsInput!$M$24)*CHOOSE(ArtifactsInput!$N$24+1,10,12,14,16,18,20)+(IF(AND(Inputs!$B$38&lt;&gt;"pvp",Inputs!$B$43=0),1,IF(IF(Inputs!$B$38="pvp",15,Inputs!$B$43)-(B3159)&lt;=0,1,MAX(0,IF(Inputs!$B$38="pvp",15,Inputs!$B$43)-MAX(5,B3159))/(IF(Inputs!$B$38="pvp",15,Inputs!$B$43)-(B3159))))*IF(AND(ArtifactsInput!$M$42,((Inputs!$B$9+((C3140=TRUE)*(F3140-Calc!F19))+B3152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3135*(1-MIN(100,(Inputs!$B$9+((C3140=TRUE)*(F3140-Calc!F19))+B3152+(ArtifactsInput!$M$24-ArtifactsInput!$M$24)*CHOOSE(ArtifactsInput!$N$24+1,10,12,14,16,18,20)+(IF(AND(Inputs!$B$38&lt;&gt;"pvp",Inputs!$B$43=0),1,IF(IF(Inputs!$B$38="pvp",15,Inputs!$B$43)-(B3159)&lt;=0,1,MAX(0,IF(Inputs!$B$38="pvp",15,Inputs!$B$43)-MAX(5,B3159))/(IF(Inputs!$B$38="pvp",15,Inputs!$B$43)-(B3159))))*IF(AND(ArtifactsInput!$M$42,((Inputs!$B$9+((C3140=TRUE)*(F3140-Calc!F19))+B3152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3135*(MIN(100,(Inputs!$B$9+((C3140=TRUE)*(F3140-Calc!F19))+B3152+(ArtifactsInput!$M$24-ArtifactsInput!$M$24)*CHOOSE(ArtifactsInput!$N$24+1,10,12,14,16,18,20)+(IF(AND(Inputs!$B$38&lt;&gt;"pvp",Inputs!$B$43=0),1,IF(IF(Inputs!$B$38="pvp",15,Inputs!$B$43)-(B3159)&lt;=0,1,MAX(0,IF(Inputs!$B$38="pvp",15,Inputs!$B$43)-MAX(5,B3159))/(IF(Inputs!$B$38="pvp",15,Inputs!$B$43)-(B3159))))*IF(AND(ArtifactsInput!$M$42,((Inputs!$B$9+((C3140=TRUE)*(F3140-Calc!F19))+B3152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135">
        <f>IF(C3135,((H3135*(B3156+IF(AND(Inputs!$B$38&lt;&gt;"pvp",Inputs!$B$43&gt;0),((Skills!G8*((R3129-1)*IF(Skills!H8&gt;0,INT(Skills!I8/Skills!H8+0.000000001),1)+IF(Skills!H8&gt;0,INT(MIN(Skills!I8,MAX(0,MAX(0,Inputs!$B$43-B3159)-((R3129-1)*((IF(Inputs!$B$38="pvp",15,MAX(0.1,Skills!D8-IF(TRUE=TRUE,2.5,0)))*(1-IF(AND(ArtifactsInput!$M$27,Inputs!$B$4="Chapter Hunt"),CHOOSE(ArtifactsInput!$N$27+1,20,24,28,32,36,40),0)/100))/B3163))))/Skills!H8+0.000000001),1)))/Inputs!$B$43),G3129*Q3129)+IF(AND(Inputs!$B$38&lt;&gt;"pvp",Inputs!$B$43&gt;0),((Skills!G11*((R3132-1)*IF(Skills!H11&gt;0,INT(Skills!I11/Skills!H11+0.000000001),1)+IF(Skills!H11&gt;0,INT(MIN(Skills!I11,MAX(0,MAX(0,Inputs!$B$43-B3159)-((R3132-1)*((IF(Inputs!$B$38="pvp",15,MAX(0.1,Skills!D11-IF(TRUE=TRUE,2.5,0)))*(1-IF(AND(ArtifactsInput!$M$27,Inputs!$B$4="Chapter Hunt"),CHOOSE(ArtifactsInput!$N$27+1,20,24,28,32,36,40),0)/100))/B3163))))/Skills!H11+0.000000001),1)))/Inputs!$B$43),G3132*Q3132)))/(1+Skills!H14*H3135*(B3156+IF(AND(Inputs!$B$38&lt;&gt;"pvp",Inputs!$B$43&gt;0),((Skills!G8*((R3129-1)*IF(Skills!H8&gt;0,INT(Skills!I8/Skills!H8+0.000000001),1)+IF(Skills!H8&gt;0,INT(MIN(Skills!I8,MAX(0,MAX(0,Inputs!$B$43-B3159)-((R3129-1)*((IF(Inputs!$B$38="pvp",15,MAX(0.1,Skills!D8-IF(TRUE=TRUE,2.5,0)))*(1-IF(AND(ArtifactsInput!$M$27,Inputs!$B$4="Chapter Hunt"),CHOOSE(ArtifactsInput!$N$27+1,20,24,28,32,36,40),0)/100))/B3163))))/Skills!H8+0.000000001),1)))/Inputs!$B$43),G3129*Q3129)+IF(AND(Inputs!$B$38&lt;&gt;"pvp",Inputs!$B$43&gt;0),((Skills!G11*((R3132-1)*IF(Skills!H11&gt;0,INT(Skills!I11/Skills!H11+0.000000001),1)+IF(Skills!H11&gt;0,INT(MIN(Skills!I11,MAX(0,MAX(0,Inputs!$B$43-B3159)-((R3132-1)*((IF(Inputs!$B$38="pvp",15,MAX(0.1,Skills!D11-IF(TRUE=TRUE,2.5,0)))*(1-IF(AND(ArtifactsInput!$M$27,Inputs!$B$4="Chapter Hunt"),CHOOSE(ArtifactsInput!$N$27+1,20,24,28,32,36,40),0)/100))/B3163))))/Skills!H11+0.000000001),1)))/Inputs!$B$43),G3132*Q3132)))*N3135)*IF(Inputs!$B$38="pvp",1,(1+(Inputs!$B$21+Skills!Q14+(IF(ArtifactsInput!$M$33,CHOOSE(ArtifactsInput!$N$33+1,30,36,42,48,54,60),0))+(IF(AND(ArtifactsInput!$M$35,Inputs!$B$4&lt;&gt;"Chapter Hunt"),CHOOSE(ArtifactsInput!$N$35+1,15,18,21,24,27,30)*(1-EXP(-(0.2*B3154)*5)),0)+IF(AND(ArtifactsInput!$M$22,Inputs!$B$4&lt;&gt;"Chapter Hunt"),CHOOSE(ArtifactsInput!$N$22+1,10,12,14,16,18,20)*((0*(((0.15*B3154*5))^0/1)+1*(((0.15*B3154*5))^1/1)+2*(((0.15*B3154*5))^2/2)+3*(((0.15*B3154*5))^3/6)+4*(((0.15*B3154*5))^4/24)+5*(((0.15*B3154*5))^5/120))/((((0.15*B3154*5))^0/1)+(((0.15*B3154*5))^1/1)+(((0.15*B3154*5))^2/2)+(((0.15*B3154*5))^3/6)+(((0.15*B3154*5))^4/24)+(((0.15*B3154*5))^5/120))),0))+IF(Inputs!$B$3&gt;=54,9*(C3124=TRUE)*MIN(1,8*(1+Inputs!$B$34/100)*Q3124),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36">
      <c r="A3136">
        <f>Skills!A15</f>
        <v/>
      </c>
      <c r="B3136">
        <f>Skills!B15</f>
        <v/>
      </c>
      <c r="C3136">
        <f>Inputs!$B$3&gt;=100</f>
        <v/>
      </c>
      <c r="D3136">
        <f>IF(Skills!C15=1,60+Inputs!$B$25+Inputs!$B$29,IF(Skills!C15=2,90+Inputs!$B$26+Inputs!$B$29,IF(Skills!C15=3,120+Inputs!$B$27+Inputs!$B$29,MAX(0,(Inputs!$B$3-100)*3)+Inputs!$B$28+Inputs!$B$29)))</f>
        <v/>
      </c>
      <c r="E3136">
        <f>INDEX(FactorTable!$B$2:$Y$301, MATCH(ROUND(MIN(300,MAX(1,D3136)),0), FactorTable!$A$2:$A$301,0), Skills!M15+1)</f>
        <v/>
      </c>
      <c r="F3136">
        <f>IF(Skills!N15=TRUE,(Skills!L15/10)*(E3136/1000),Skills!L15/10)+Skills!O15</f>
        <v/>
      </c>
      <c r="G3136" t="inlineStr"/>
      <c r="H3136" t="inlineStr"/>
      <c r="I3136" t="inlineStr">
        <is>
          <t>1</t>
        </is>
      </c>
      <c r="J3136" t="inlineStr"/>
      <c r="K3136" t="inlineStr"/>
      <c r="L3136" t="inlineStr"/>
      <c r="M3136" t="inlineStr"/>
      <c r="N3136" t="inlineStr"/>
      <c r="O3136" t="inlineStr"/>
      <c r="P3136" t="inlineStr"/>
      <c r="Q3136" t="inlineStr"/>
      <c r="R3136" t="inlineStr"/>
      <c r="S3136" t="inlineStr"/>
    </row>
    <row r="3137">
      <c r="A3137">
        <f>Skills!A16</f>
        <v/>
      </c>
      <c r="B3137">
        <f>Skills!B16</f>
        <v/>
      </c>
      <c r="C3137">
        <f>Inputs!$B$3&gt;=107</f>
        <v/>
      </c>
      <c r="D3137">
        <f>IF(Skills!C16=1,60+Inputs!$B$25+Inputs!$B$29,IF(Skills!C16=2,90+Inputs!$B$26+Inputs!$B$29,IF(Skills!C16=3,120+Inputs!$B$27+Inputs!$B$29,MAX(0,(Inputs!$B$3-100)*3)+Inputs!$B$28+Inputs!$B$29)))</f>
        <v/>
      </c>
      <c r="E3137">
        <f>INDEX(FactorTable!$B$2:$Y$301, MATCH(ROUND(MIN(300,MAX(1,D3137)),0), FactorTable!$A$2:$A$301,0), Skills!M16+1)</f>
        <v/>
      </c>
      <c r="F3137">
        <f>IF(Skills!N16=TRUE,(Skills!L16/10)*(E3137/1000),Skills!L16/10)+Skills!O16</f>
        <v/>
      </c>
      <c r="G3137" t="inlineStr"/>
      <c r="H3137" t="inlineStr"/>
      <c r="I3137" t="inlineStr">
        <is>
          <t>1</t>
        </is>
      </c>
      <c r="J3137" t="inlineStr"/>
      <c r="K3137" t="inlineStr"/>
      <c r="L3137" t="inlineStr"/>
      <c r="M3137" t="inlineStr"/>
      <c r="N3137" t="inlineStr"/>
      <c r="O3137" t="inlineStr"/>
      <c r="P3137" t="inlineStr"/>
      <c r="Q3137" t="inlineStr"/>
      <c r="R3137" t="inlineStr"/>
      <c r="S3137" t="inlineStr"/>
    </row>
    <row r="3138">
      <c r="A3138">
        <f>Skills!A17</f>
        <v/>
      </c>
      <c r="B3138">
        <f>Skills!B17</f>
        <v/>
      </c>
      <c r="C3138">
        <f>Inputs!$B$3&gt;=74</f>
        <v/>
      </c>
      <c r="D3138">
        <f>IF(Skills!C17=1,60+Inputs!$B$25+Inputs!$B$29,IF(Skills!C17=2,90+Inputs!$B$26+Inputs!$B$29,IF(Skills!C17=3,120+Inputs!$B$27+Inputs!$B$29,MAX(0,(Inputs!$B$3-100)*3)+Inputs!$B$28+Inputs!$B$29)))</f>
        <v/>
      </c>
      <c r="E3138">
        <f>INDEX(FactorTable!$B$2:$Y$301, MATCH(ROUND(MIN(300,MAX(1,D3138)),0), FactorTable!$A$2:$A$301,0), Skills!M17+1)</f>
        <v/>
      </c>
      <c r="F3138">
        <f>IF(Skills!N17=TRUE,(Skills!L17/10)*(E3138/1000),Skills!L17/10)+Skills!O17</f>
        <v/>
      </c>
      <c r="G3138">
        <f>Skills!G17*IF(Skills!H17&gt;0,INT(IF(Inputs!$B$38="pvp",MIN(Skills!I17,15),Skills!I17)/Skills!H17+0.000000001),1)</f>
        <v/>
      </c>
      <c r="H3138">
        <f>1-(1-Skills!J17/100)^Skills!K17</f>
        <v/>
      </c>
      <c r="I3138" t="inlineStr">
        <is>
          <t>1</t>
        </is>
      </c>
      <c r="J3138" t="inlineStr"/>
      <c r="K3138" t="inlineStr"/>
      <c r="L3138" t="inlineStr"/>
      <c r="M3138" t="inlineStr"/>
      <c r="N3138" t="inlineStr"/>
      <c r="O3138">
        <f>(1-Summary!$B$11)*T3138+Summary!$B$11*V3138</f>
        <v/>
      </c>
      <c r="P3138">
        <f>IF(B3162=0,0,O3138/B3162)</f>
        <v/>
      </c>
      <c r="Q3138" t="n">
        <v>0</v>
      </c>
      <c r="R3138" t="n">
        <v>0</v>
      </c>
      <c r="S3138">
        <f>IFERROR(O3138/N3138,0)</f>
        <v/>
      </c>
      <c r="T3138" t="n">
        <v>0</v>
      </c>
      <c r="V3138" t="n">
        <v>0</v>
      </c>
    </row>
    <row r="3139">
      <c r="A3139">
        <f>Skills!A18</f>
        <v/>
      </c>
      <c r="B3139">
        <f>Skills!B18</f>
        <v/>
      </c>
      <c r="C3139">
        <f>Inputs!$B$3&gt;=115</f>
        <v/>
      </c>
      <c r="D3139">
        <f>IF(Skills!C18=1,60+Inputs!$B$25+Inputs!$B$29,IF(Skills!C18=2,90+Inputs!$B$26+Inputs!$B$29,IF(Skills!C18=3,120+Inputs!$B$27+Inputs!$B$29,MAX(0,(Inputs!$B$3-100)*3)+Inputs!$B$28+Inputs!$B$29)))</f>
        <v/>
      </c>
      <c r="E3139">
        <f>INDEX(FactorTable!$B$2:$Y$301, MATCH(ROUND(MIN(300,MAX(1,D3139)),0), FactorTable!$A$2:$A$301,0), Skills!M18+1)</f>
        <v/>
      </c>
      <c r="F3139">
        <f>IF(Skills!N18=TRUE,(Skills!L18/10)*(E3139/1000),Skills!L18/10)+Skills!O18</f>
        <v/>
      </c>
      <c r="G3139">
        <f>Skills!G18*IF(Skills!H18&gt;0,INT(IF(Inputs!$B$38="pvp",MIN(Skills!I18,15),Skills!I18)/Skills!H18+0.000000001),1)</f>
        <v/>
      </c>
      <c r="H3139">
        <f>1-(1-Skills!J18/100)^Skills!K18</f>
        <v/>
      </c>
      <c r="I3139" t="inlineStr">
        <is>
          <t>1</t>
        </is>
      </c>
      <c r="J3139" t="inlineStr"/>
      <c r="K3139" t="inlineStr"/>
      <c r="L3139" t="inlineStr"/>
      <c r="M3139" t="inlineStr"/>
      <c r="N3139" t="inlineStr"/>
      <c r="O3139">
        <f>(1-Summary!$B$11)*T3139+Summary!$B$11*V3139</f>
        <v/>
      </c>
      <c r="P3139">
        <f>IF(B3162=0,0,O3139/B3162)</f>
        <v/>
      </c>
      <c r="Q3139">
        <f>IFERROR(1/(IF(Inputs!$B$38="pvp",15,MAX(0.1,Skills!D18-IF(TRUE=TRUE,2.5,0)))*(1-IF(AND(ArtifactsInput!$M$27,Inputs!$B$4="Chapter Hunt"),CHOOSE(ArtifactsInput!$N$27+1,20,24,28,32,36,40),0)/100)),0)</f>
        <v/>
      </c>
      <c r="R3139">
        <f>IF(AND(Inputs!$B$38&lt;&gt;"pvp",Inputs!$B$43&gt;0),IF(Inputs!$B$43&lt;=0,0,(INT(Inputs!$B$43/(IF(Inputs!$B$38="pvp",15,MAX(0.1,Skills!D18-IF(TRUE=TRUE,2.5,0)))*(1-IF(AND(ArtifactsInput!$M$27,Inputs!$B$4="Chapter Hunt"),CHOOSE(ArtifactsInput!$N$27+1,20,24,28,32,36,40),0)/100)))+1)),0)</f>
        <v/>
      </c>
      <c r="S3139">
        <f>IFERROR(O3139/N3139,0)</f>
        <v/>
      </c>
      <c r="T3139" t="n">
        <v>0</v>
      </c>
      <c r="V3139" t="n">
        <v>0</v>
      </c>
    </row>
    <row r="3140">
      <c r="A3140">
        <f>Skills!A19</f>
        <v/>
      </c>
      <c r="B3140">
        <f>Skills!B19</f>
        <v/>
      </c>
      <c r="C3140">
        <f>Inputs!$B$3&gt;=10</f>
        <v/>
      </c>
      <c r="D3140">
        <f>IF(Skills!C19=1,60+Inputs!$B$25+Inputs!$B$29,IF(Skills!C19=2,90+Inputs!$B$26+Inputs!$B$29,IF(Skills!C19=3,120+Inputs!$B$27+Inputs!$B$29,MAX(0,(Inputs!$B$3-100)*3)+Inputs!$B$28+Inputs!$B$29)))</f>
        <v/>
      </c>
      <c r="E3140">
        <f>INDEX(FactorTable!$B$2:$Y$301, MATCH(ROUND(MIN(300,MAX(1,D3140)),0), FactorTable!$A$2:$A$301,0), Skills!M19+1)</f>
        <v/>
      </c>
      <c r="F3140">
        <f>IF(Skills!N19=TRUE,(Skills!L19/10)*(E3140/1000),Skills!L19/10)+Skills!O19</f>
        <v/>
      </c>
      <c r="G3140">
        <f>Skills!G19*IF(Skills!H19&gt;0,INT(IF(Inputs!$B$38="pvp",MIN(Skills!I19,15),Skills!I19)/Skills!H19+0.000000001),1)</f>
        <v/>
      </c>
      <c r="H3140">
        <f>1-(1-Skills!J19/100)^Skills!K19</f>
        <v/>
      </c>
      <c r="I3140" t="inlineStr">
        <is>
          <t>1</t>
        </is>
      </c>
      <c r="J3140" t="inlineStr"/>
      <c r="K3140" t="inlineStr"/>
      <c r="L3140" t="inlineStr"/>
      <c r="M3140" t="inlineStr"/>
      <c r="N3140" t="inlineStr"/>
      <c r="O3140">
        <f>(1-Summary!$B$11)*T3140+Summary!$B$11*V3140</f>
        <v/>
      </c>
      <c r="P3140">
        <f>IF(B3162=0,0,O3140/B3162)</f>
        <v/>
      </c>
      <c r="Q3140" t="n">
        <v>0</v>
      </c>
      <c r="R3140" t="n">
        <v>0</v>
      </c>
      <c r="S3140">
        <f>IFERROR(O3140/N3140,0)</f>
        <v/>
      </c>
      <c r="T3140" t="n">
        <v>0</v>
      </c>
      <c r="V3140" t="n">
        <v>0</v>
      </c>
    </row>
    <row r="3141">
      <c r="A3141">
        <f>Skills!A20</f>
        <v/>
      </c>
      <c r="B3141">
        <f>Skills!B20</f>
        <v/>
      </c>
      <c r="C3141">
        <f>Inputs!$B$3&gt;=15</f>
        <v/>
      </c>
      <c r="D3141">
        <f>IF(Skills!C20=1,60+Inputs!$B$25+Inputs!$B$29,IF(Skills!C20=2,90+Inputs!$B$26+Inputs!$B$29,IF(Skills!C20=3,120+Inputs!$B$27+Inputs!$B$29,MAX(0,(Inputs!$B$3-100)*3)+Inputs!$B$28+Inputs!$B$29)))</f>
        <v/>
      </c>
      <c r="E3141">
        <f>INDEX(FactorTable!$B$2:$Y$301, MATCH(ROUND(MIN(300,MAX(1,D3141)),0), FactorTable!$A$2:$A$301,0), Skills!M20+1)</f>
        <v/>
      </c>
      <c r="F3141">
        <f>IF(Skills!N20=TRUE,(Skills!L20/10)*(E3141/1000),Skills!L20/10)+Skills!O20</f>
        <v/>
      </c>
      <c r="G3141">
        <f>Skills!G20*IF(Skills!H20&gt;0,INT(IF(Inputs!$B$38="pvp",MIN(Skills!I20,15),Skills!I20)/Skills!H20+0.000000001),1)</f>
        <v/>
      </c>
      <c r="H3141">
        <f>1-(1-Skills!J20/100)^Skills!K20</f>
        <v/>
      </c>
      <c r="I3141" t="inlineStr">
        <is>
          <t>1</t>
        </is>
      </c>
      <c r="J3141" t="inlineStr"/>
      <c r="K3141" t="inlineStr"/>
      <c r="L3141" t="inlineStr"/>
      <c r="M3141" t="inlineStr"/>
      <c r="N3141" t="inlineStr"/>
      <c r="O3141">
        <f>(1-Summary!$B$11)*T3141+Summary!$B$11*V3141</f>
        <v/>
      </c>
      <c r="P3141">
        <f>IF(B3162=0,0,O3141/B3162)</f>
        <v/>
      </c>
      <c r="Q3141" t="n">
        <v>0</v>
      </c>
      <c r="R3141" t="n">
        <v>0</v>
      </c>
      <c r="S3141">
        <f>IFERROR(O3141/N3141,0)</f>
        <v/>
      </c>
      <c r="T3141" t="n">
        <v>0</v>
      </c>
      <c r="V3141" t="n">
        <v>0</v>
      </c>
    </row>
    <row r="3142">
      <c r="A3142">
        <f>Skills!A21</f>
        <v/>
      </c>
      <c r="B3142">
        <f>Skills!B21</f>
        <v/>
      </c>
      <c r="C3142">
        <f>Inputs!$B$3&gt;=40</f>
        <v/>
      </c>
      <c r="D3142">
        <f>IF(Skills!C21=1,60+Inputs!$B$25+Inputs!$B$29,IF(Skills!C21=2,90+Inputs!$B$26+Inputs!$B$29,IF(Skills!C21=3,120+Inputs!$B$27+Inputs!$B$29,MAX(0,(Inputs!$B$3-100)*3)+Inputs!$B$28+Inputs!$B$29)))</f>
        <v/>
      </c>
      <c r="E3142">
        <f>INDEX(FactorTable!$B$2:$Y$301, MATCH(ROUND(MIN(300,MAX(1,D3142)),0), FactorTable!$A$2:$A$301,0), Skills!M21+1)</f>
        <v/>
      </c>
      <c r="F3142">
        <f>IF(Skills!N21=TRUE,(Skills!L21/10)*(E3142/1000),Skills!L21/10)+Skills!O21</f>
        <v/>
      </c>
      <c r="G3142">
        <f>Skills!G21*IF(Skills!H21&gt;0,INT(IF(Inputs!$B$38="pvp",MIN(Skills!I21,15),Skills!I21)/Skills!H21+0.000000001),1)</f>
        <v/>
      </c>
      <c r="H3142">
        <f>1-(1-Skills!J21/100)^Skills!K21</f>
        <v/>
      </c>
      <c r="I3142" t="inlineStr">
        <is>
          <t>1</t>
        </is>
      </c>
      <c r="J3142" t="inlineStr"/>
      <c r="K3142" t="inlineStr"/>
      <c r="L3142" t="inlineStr"/>
      <c r="M3142" t="inlineStr"/>
      <c r="N3142" t="inlineStr"/>
      <c r="O3142">
        <f>(1-Summary!$B$11)*T3142+Summary!$B$11*V3142</f>
        <v/>
      </c>
      <c r="P3142">
        <f>IF(B3162=0,0,O3142/B3162)</f>
        <v/>
      </c>
      <c r="Q3142" t="n">
        <v>0</v>
      </c>
      <c r="R3142" t="n">
        <v>0</v>
      </c>
      <c r="S3142">
        <f>IFERROR(O3142/N3142,0)</f>
        <v/>
      </c>
      <c r="T3142" t="n">
        <v>0</v>
      </c>
      <c r="V3142" t="n">
        <v>0</v>
      </c>
    </row>
    <row r="3143">
      <c r="A3143">
        <f>Skills!A22</f>
        <v/>
      </c>
      <c r="B3143">
        <f>Skills!B22</f>
        <v/>
      </c>
      <c r="C3143">
        <f>Inputs!$B$3&gt;=43</f>
        <v/>
      </c>
      <c r="D3143">
        <f>IF(Skills!C22=1,60+Inputs!$B$25+Inputs!$B$29,IF(Skills!C22=2,90+Inputs!$B$26+Inputs!$B$29,IF(Skills!C22=3,120+Inputs!$B$27+Inputs!$B$29,MAX(0,(Inputs!$B$3-100)*3)+Inputs!$B$28+Inputs!$B$29)))</f>
        <v/>
      </c>
      <c r="E3143">
        <f>INDEX(FactorTable!$B$2:$Y$301, MATCH(ROUND(MIN(300,MAX(1,D3143)),0), FactorTable!$A$2:$A$301,0), Skills!M22+1)</f>
        <v/>
      </c>
      <c r="F3143">
        <f>IF(Skills!N22=TRUE,(Skills!L22/10)*(E3143/1000),Skills!L22/10)+Skills!O22</f>
        <v/>
      </c>
      <c r="G3143">
        <f>Skills!G22*IF(Skills!H22&gt;0,INT(IF(Inputs!$B$38="pvp",MIN(Skills!I22,15),Skills!I22)/Skills!H22+0.000000001),1)</f>
        <v/>
      </c>
      <c r="H3143">
        <f>1-(1-Skills!J22/100)^Skills!K22</f>
        <v/>
      </c>
      <c r="I3143" t="inlineStr">
        <is>
          <t>1</t>
        </is>
      </c>
      <c r="J3143" t="inlineStr"/>
      <c r="K3143" t="inlineStr"/>
      <c r="L3143" t="inlineStr"/>
      <c r="M3143" t="inlineStr"/>
      <c r="N3143" t="inlineStr"/>
      <c r="O3143">
        <f>(1-Summary!$B$11)*T3143+Summary!$B$11*V3143</f>
        <v/>
      </c>
      <c r="P3143">
        <f>IF(B3162=0,0,O3143/B3162)</f>
        <v/>
      </c>
      <c r="Q3143" t="n">
        <v>0</v>
      </c>
      <c r="R3143" t="n">
        <v>0</v>
      </c>
      <c r="S3143">
        <f>IFERROR(O3143/N3143,0)</f>
        <v/>
      </c>
      <c r="T3143" t="n">
        <v>0</v>
      </c>
      <c r="V3143" t="n">
        <v>0</v>
      </c>
    </row>
    <row r="3144">
      <c r="A3144">
        <f>Skills!A23</f>
        <v/>
      </c>
      <c r="B3144">
        <f>Skills!B23</f>
        <v/>
      </c>
      <c r="C3144">
        <f>Inputs!$B$3&gt;=38</f>
        <v/>
      </c>
      <c r="D3144">
        <f>IF(Skills!C23=1,60+Inputs!$B$25+Inputs!$B$29,IF(Skills!C23=2,90+Inputs!$B$26+Inputs!$B$29,IF(Skills!C23=3,120+Inputs!$B$27+Inputs!$B$29,MAX(0,(Inputs!$B$3-100)*3)+Inputs!$B$28+Inputs!$B$29)))</f>
        <v/>
      </c>
      <c r="E3144">
        <f>INDEX(FactorTable!$B$2:$Y$301, MATCH(ROUND(MIN(300,MAX(1,D3144)),0), FactorTable!$A$2:$A$301,0), Skills!M23+1)</f>
        <v/>
      </c>
      <c r="F3144">
        <f>IF(Skills!N23=TRUE,(Skills!L23/10)*(E3144/1000),Skills!L23/10)+Skills!O23</f>
        <v/>
      </c>
      <c r="G3144">
        <f>Skills!G23*IF(Skills!H23&gt;0,INT(IF(Inputs!$B$38="pvp",MIN(Skills!I23,15),Skills!I23)/Skills!H23+0.000000001),1)</f>
        <v/>
      </c>
      <c r="H3144">
        <f>1-(1-Skills!J23/100)^Skills!K23</f>
        <v/>
      </c>
      <c r="I3144" t="inlineStr">
        <is>
          <t>1</t>
        </is>
      </c>
      <c r="J3144" t="inlineStr"/>
      <c r="K3144" t="inlineStr"/>
      <c r="L3144" t="inlineStr"/>
      <c r="M3144" t="inlineStr"/>
      <c r="N3144" t="inlineStr"/>
      <c r="O3144">
        <f>(1-Summary!$B$11)*T3144+Summary!$B$11*V3144</f>
        <v/>
      </c>
      <c r="P3144">
        <f>IF(B3162=0,0,O3144/B3162)</f>
        <v/>
      </c>
      <c r="Q3144" t="n">
        <v>0</v>
      </c>
      <c r="R3144" t="n">
        <v>0</v>
      </c>
      <c r="S3144">
        <f>IFERROR(O3144/N3144,0)</f>
        <v/>
      </c>
      <c r="T3144" t="n">
        <v>0</v>
      </c>
      <c r="V3144" t="n">
        <v>0</v>
      </c>
    </row>
    <row r="3145">
      <c r="A3145">
        <f>Skills!A24</f>
        <v/>
      </c>
      <c r="B3145">
        <f>Skills!B24</f>
        <v/>
      </c>
      <c r="C3145">
        <f>Inputs!$B$3&gt;=45</f>
        <v/>
      </c>
      <c r="D3145">
        <f>IF(Skills!C24=1,60+Inputs!$B$25+Inputs!$B$29,IF(Skills!C24=2,90+Inputs!$B$26+Inputs!$B$29,IF(Skills!C24=3,120+Inputs!$B$27+Inputs!$B$29,MAX(0,(Inputs!$B$3-100)*3)+Inputs!$B$28+Inputs!$B$29)))</f>
        <v/>
      </c>
      <c r="E3145">
        <f>INDEX(FactorTable!$B$2:$Y$301, MATCH(ROUND(MIN(300,MAX(1,D3145)),0), FactorTable!$A$2:$A$301,0), Skills!M24+1)</f>
        <v/>
      </c>
      <c r="F3145">
        <f>IF(Skills!N24=TRUE,(Skills!L24/10)*(E3145/1000),Skills!L24/10)+Skills!O24</f>
        <v/>
      </c>
      <c r="G3145">
        <f>Skills!G24*IF(Skills!H24&gt;0,INT(IF(Inputs!$B$38="pvp",MIN(Skills!I24,15),Skills!I24)/Skills!H24+0.000000001),1)</f>
        <v/>
      </c>
      <c r="H3145">
        <f>1-(1-Skills!J24/100)^Skills!K24</f>
        <v/>
      </c>
      <c r="I3145" t="inlineStr">
        <is>
          <t>1</t>
        </is>
      </c>
      <c r="J3145" t="inlineStr"/>
      <c r="K3145" t="inlineStr"/>
      <c r="L3145" t="inlineStr"/>
      <c r="M3145" t="inlineStr"/>
      <c r="N3145" t="inlineStr"/>
      <c r="O3145">
        <f>(1-Summary!$B$11)*T3145+Summary!$B$11*V3145</f>
        <v/>
      </c>
      <c r="P3145">
        <f>IF(B3162=0,0,O3145/B3162)</f>
        <v/>
      </c>
      <c r="Q3145" t="n">
        <v>0</v>
      </c>
      <c r="R3145" t="n">
        <v>0</v>
      </c>
      <c r="S3145">
        <f>IFERROR(O3145/N3145,0)</f>
        <v/>
      </c>
      <c r="T3145" t="n">
        <v>0</v>
      </c>
      <c r="V3145" t="n">
        <v>0</v>
      </c>
    </row>
    <row r="3146">
      <c r="A3146">
        <f>Skills!A25</f>
        <v/>
      </c>
      <c r="B3146">
        <f>Skills!B25</f>
        <v/>
      </c>
      <c r="C3146">
        <f>Inputs!$B$3&gt;=72</f>
        <v/>
      </c>
      <c r="D3146">
        <f>IF(Skills!C25=1,60+Inputs!$B$25+Inputs!$B$29,IF(Skills!C25=2,90+Inputs!$B$26+Inputs!$B$29,IF(Skills!C25=3,120+Inputs!$B$27+Inputs!$B$29,MAX(0,(Inputs!$B$3-100)*3)+Inputs!$B$28+Inputs!$B$29)))</f>
        <v/>
      </c>
      <c r="E3146">
        <f>INDEX(FactorTable!$B$2:$Y$301, MATCH(ROUND(MIN(300,MAX(1,D3146)),0), FactorTable!$A$2:$A$301,0), Skills!M25+1)</f>
        <v/>
      </c>
      <c r="F3146">
        <f>IF(Skills!N25=TRUE,(Skills!L25/10)*(E3146/1000),Skills!L25/10)+Skills!O25</f>
        <v/>
      </c>
      <c r="G3146">
        <f>Skills!G25*IF(Skills!H25&gt;0,INT(IF(Inputs!$B$38="pvp",MIN(Skills!I25,15),Skills!I25)/Skills!H25+0.000000001),1)</f>
        <v/>
      </c>
      <c r="H3146">
        <f>1-(1-Skills!J25/100)^Skills!K25</f>
        <v/>
      </c>
      <c r="I3146" t="inlineStr">
        <is>
          <t>1</t>
        </is>
      </c>
      <c r="J3146" t="inlineStr"/>
      <c r="K3146" t="inlineStr"/>
      <c r="L3146" t="inlineStr"/>
      <c r="M3146" t="inlineStr"/>
      <c r="N3146" t="inlineStr"/>
      <c r="O3146">
        <f>(1-Summary!$B$11)*T3146+Summary!$B$11*V3146</f>
        <v/>
      </c>
      <c r="P3146">
        <f>IF(B3162=0,0,O3146/B3162)</f>
        <v/>
      </c>
      <c r="Q3146" t="n">
        <v>0</v>
      </c>
      <c r="R3146" t="n">
        <v>0</v>
      </c>
      <c r="S3146">
        <f>IFERROR(O3146/N3146,0)</f>
        <v/>
      </c>
      <c r="T3146" t="n">
        <v>0</v>
      </c>
      <c r="V3146" t="n">
        <v>0</v>
      </c>
    </row>
    <row r="3147">
      <c r="A3147">
        <f>Skills!A26</f>
        <v/>
      </c>
      <c r="B3147">
        <f>Skills!B26</f>
        <v/>
      </c>
      <c r="C3147">
        <f>Inputs!$B$3&gt;=75</f>
        <v/>
      </c>
      <c r="D3147">
        <f>IF(Skills!C26=1,60+Inputs!$B$25+Inputs!$B$29,IF(Skills!C26=2,90+Inputs!$B$26+Inputs!$B$29,IF(Skills!C26=3,120+Inputs!$B$27+Inputs!$B$29,MAX(0,(Inputs!$B$3-100)*3)+Inputs!$B$28+Inputs!$B$29)))</f>
        <v/>
      </c>
      <c r="E3147">
        <f>INDEX(FactorTable!$B$2:$Y$301, MATCH(ROUND(MIN(300,MAX(1,D3147)),0), FactorTable!$A$2:$A$301,0), Skills!M26+1)</f>
        <v/>
      </c>
      <c r="F3147">
        <f>IF(Skills!N26=TRUE,(Skills!L26/10)*(E3147/1000),Skills!L26/10)+Skills!O26</f>
        <v/>
      </c>
      <c r="G3147">
        <f>Skills!G26*IF(Skills!H26&gt;0,INT(IF(Inputs!$B$38="pvp",MIN(Skills!I26,15),Skills!I26)/Skills!H26+0.000000001),1)</f>
        <v/>
      </c>
      <c r="H3147">
        <f>1-(1-Skills!J26/100)^Skills!K26</f>
        <v/>
      </c>
      <c r="I3147" t="inlineStr">
        <is>
          <t>1</t>
        </is>
      </c>
      <c r="J3147" t="inlineStr"/>
      <c r="K3147" t="inlineStr"/>
      <c r="L3147" t="inlineStr"/>
      <c r="M3147" t="inlineStr"/>
      <c r="N3147" t="inlineStr"/>
      <c r="O3147">
        <f>(1-Summary!$B$11)*T3147+Summary!$B$11*V3147</f>
        <v/>
      </c>
      <c r="P3147">
        <f>IF(B3162=0,0,O3147/B3162)</f>
        <v/>
      </c>
      <c r="Q3147" t="n">
        <v>0</v>
      </c>
      <c r="R3147" t="n">
        <v>0</v>
      </c>
      <c r="S3147">
        <f>IFERROR(O3147/N3147,0)</f>
        <v/>
      </c>
      <c r="T3147" t="n">
        <v>0</v>
      </c>
      <c r="V3147" t="n">
        <v>0</v>
      </c>
    </row>
    <row r="3148">
      <c r="A3148">
        <f>Skills!A27</f>
        <v/>
      </c>
      <c r="B3148">
        <f>Skills!B27</f>
        <v/>
      </c>
      <c r="C3148">
        <f>Inputs!$B$3&gt;=125</f>
        <v/>
      </c>
      <c r="D3148">
        <f>IF(Skills!C27=1,60+Inputs!$B$25+Inputs!$B$29,IF(Skills!C27=2,90+Inputs!$B$26+Inputs!$B$29,IF(Skills!C27=3,120+Inputs!$B$27+Inputs!$B$29,MAX(0,(Inputs!$B$3-100)*3)+Inputs!$B$28+Inputs!$B$29)))</f>
        <v/>
      </c>
      <c r="E3148">
        <f>INDEX(FactorTable!$B$2:$Y$301, MATCH(ROUND(MIN(300,MAX(1,D3148)),0), FactorTable!$A$2:$A$301,0), Skills!M27+1)</f>
        <v/>
      </c>
      <c r="F3148">
        <f>IF(Skills!N27=TRUE,(Skills!L27/10)*(E3148/1000),Skills!L27/10)+Skills!O27</f>
        <v/>
      </c>
      <c r="G3148">
        <f>Skills!G27*IF(Skills!H27&gt;0,INT(IF(Inputs!$B$38="pvp",MIN(Skills!I27,15),Skills!I27)/Skills!H27+0.000000001),1)</f>
        <v/>
      </c>
      <c r="H3148">
        <f>1-(1-Skills!J27/100)^Skills!K27</f>
        <v/>
      </c>
      <c r="I3148" t="inlineStr">
        <is>
          <t>1</t>
        </is>
      </c>
      <c r="J3148" t="inlineStr"/>
      <c r="K3148" t="inlineStr"/>
      <c r="L3148" t="inlineStr"/>
      <c r="M3148" t="inlineStr"/>
      <c r="N3148" t="inlineStr"/>
      <c r="O3148">
        <f>(1-Summary!$B$11)*T3148+Summary!$B$11*V3148</f>
        <v/>
      </c>
      <c r="P3148">
        <f>IF(B3162=0,0,O3148/B3162)</f>
        <v/>
      </c>
      <c r="Q3148" t="n">
        <v>0</v>
      </c>
      <c r="R3148" t="n">
        <v>0</v>
      </c>
      <c r="S3148">
        <f>IFERROR(O3148/N3148,0)</f>
        <v/>
      </c>
      <c r="T3148" t="n">
        <v>0</v>
      </c>
      <c r="V3148" t="n">
        <v>0</v>
      </c>
    </row>
    <row r="3149">
      <c r="A3149">
        <f>Skills!A28</f>
        <v/>
      </c>
      <c r="B3149">
        <f>Skills!B28</f>
        <v/>
      </c>
      <c r="C3149">
        <f>TRUE</f>
        <v/>
      </c>
      <c r="D3149">
        <f>IF(Skills!C28=1,60+Inputs!$B$25+Inputs!$B$29,IF(Skills!C28=2,90+Inputs!$B$26+Inputs!$B$29,IF(Skills!C28=3,120+Inputs!$B$27+Inputs!$B$29,MAX(0,(Inputs!$B$3-100)*3)+Inputs!$B$28+Inputs!$B$29)))</f>
        <v/>
      </c>
      <c r="E3149">
        <f>INDEX(FactorTable!$B$2:$Y$301, MATCH(ROUND(MIN(300,MAX(1,D3149)),0), FactorTable!$A$2:$A$301,0), Skills!M28+1)</f>
        <v/>
      </c>
      <c r="F3149">
        <f>IF(Skills!N28=TRUE,(Skills!L28/10)*(E3149/1000),Skills!L28/10)+Skills!O28</f>
        <v/>
      </c>
      <c r="G3149">
        <f>Skills!G28*IF(Skills!H28&gt;0,INT(IF(Inputs!$B$38="pvp",MIN(Skills!I28,15),Skills!I28)/Skills!H28+0.000000001),1)</f>
        <v/>
      </c>
      <c r="H3149">
        <f>1-(1-Skills!J28/100)^Skills!K28</f>
        <v/>
      </c>
      <c r="I3149" t="inlineStr">
        <is>
          <t>1</t>
        </is>
      </c>
      <c r="J3149" t="inlineStr"/>
      <c r="K3149" t="inlineStr"/>
      <c r="L3149" t="inlineStr"/>
      <c r="M3149" t="inlineStr"/>
      <c r="N3149" t="inlineStr"/>
      <c r="O3149">
        <f>(1-Summary!$B$11)*T3149+Summary!$B$11*V3149</f>
        <v/>
      </c>
      <c r="P3149">
        <f>IF(B3162=0,0,O3149/B3162)</f>
        <v/>
      </c>
      <c r="Q3149">
        <f>IFERROR(1/(IF(Inputs!$B$38="pvp",15,MAX(0.1,Skills!D28-IF(TRUE=TRUE,2.5,0)))*(1-IF(AND(ArtifactsInput!$M$27,Inputs!$B$4="Chapter Hunt"),CHOOSE(ArtifactsInput!$N$27+1,20,24,28,32,36,40),0)/100)),0)</f>
        <v/>
      </c>
      <c r="R3149">
        <f>IF(AND(Inputs!$B$38&lt;&gt;"pvp",Inputs!$B$43&gt;0),IF(Inputs!$B$43&lt;=0,0,(INT(Inputs!$B$43/(IF(Inputs!$B$38="pvp",15,MAX(0.1,Skills!D28-IF(TRUE=TRUE,2.5,0)))*(1-IF(AND(ArtifactsInput!$M$27,Inputs!$B$4="Chapter Hunt"),CHOOSE(ArtifactsInput!$N$27+1,20,24,28,32,36,40),0)/100)))+1)),0)</f>
        <v/>
      </c>
      <c r="S3149">
        <f>IFERROR(O3149/N3149,0)</f>
        <v/>
      </c>
      <c r="T3149" t="n">
        <v>0</v>
      </c>
      <c r="V3149" t="n">
        <v>0</v>
      </c>
    </row>
    <row r="3151">
      <c r="A3151" t="inlineStr">
        <is>
          <t>Attack% Bucket Multiplier</t>
        </is>
      </c>
      <c r="B3151">
        <f>(1+(((C3138=TRUE)*F3138*5/7)+((C3145=TRUE)*(F3145-Calc!F24))+(IF(ArtifactsInput!$M$21,CHOOSE(ArtifactsInput!$N$21+1,25,30,35,40,45,50)*(IF(OR(Inputs!$B$4="Chapter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3152">
      <c r="A3152" t="inlineStr">
        <is>
          <t>Global Crit Rate Bonus %</t>
        </is>
      </c>
      <c r="B3152" t="n">
        <v>0</v>
      </c>
    </row>
    <row r="3153">
      <c r="A3153" t="inlineStr">
        <is>
          <t>Attack Speed Buff Bonus % (Nimble Feet, duty-cycle averaged)</t>
        </is>
      </c>
      <c r="B3153">
        <f>((C3149=TRUE)*F3149*IF(AND(Inputs!$B$38&lt;&gt;"pvp",Inputs!$B$43&gt;0),(((R3149-1)*MIN((Skills!T28*(1+Inputs!$B$34/100)),(1/Q3149))+MIN((Skills!T28*(1+Inputs!$B$34/100)),MAX(0,Inputs!$B$43-((R3149-1)*(1/Q3149)))))/Inputs!$B$43),IF(Inputs!$B$38="pvp",MIN((Skills!T28*(1+Inputs!$B$34/100)),15)/15,MIN(1,(Skills!T28*(1+Inputs!$B$34/100))/(1/Q3149)))))</f>
        <v/>
      </c>
    </row>
    <row r="3154">
      <c r="A3154" t="inlineStr">
        <is>
          <t>Actions Per Second</t>
        </is>
      </c>
      <c r="B3154">
        <f>1+MIN(150,150*(1-(1-(Inputs!$B$11+((C3141=TRUE)*(F3141-Calc!F20))+((C3142=TRUE)*(F3142-Calc!F21)))/150)*(1-B3153/150)))/100</f>
        <v/>
      </c>
    </row>
    <row r="3155">
      <c r="A3155" t="inlineStr">
        <is>
          <t>Skill + Buff Cast Rate</t>
        </is>
      </c>
      <c r="B3155">
        <f>IF(AND(Inputs!$B$38&lt;&gt;"pvp",Inputs!$B$43&gt;0),SUMPRODUCT((Skills!E2:E28=TRUE)*(C3123:C3149=TRUE)*R3123:R3149*Skills!F2:F28)/Inputs!$B$43,SUMPRODUCT((Skills!E2:E28=TRUE)*(C3123:C3149=TRUE)*Q3123:Q3149*Skills!F2:F28))</f>
        <v/>
      </c>
    </row>
    <row r="3156">
      <c r="A3156" t="inlineStr">
        <is>
          <t>Eight-Legs Easton Casts Per Second</t>
        </is>
      </c>
      <c r="B3156">
        <f>MAX(0,B3154-B3155)</f>
        <v/>
      </c>
    </row>
    <row r="3157">
      <c r="A3157" t="inlineStr">
        <is>
          <t>Global Critical Damage Bonus % (unused)</t>
        </is>
      </c>
      <c r="B3157" t="n">
        <v>0</v>
      </c>
    </row>
    <row r="3158">
      <c r="A3158" t="inlineStr">
        <is>
          <t>Global Final Damage Bonus % (Jolly Roger + Ahoy Mateys - Final Damage proc)</t>
        </is>
      </c>
      <c r="B3158">
        <f>((C3139=TRUE)*F3139*IF(AND(Inputs!$B$38&lt;&gt;"pvp",Inputs!$B$43&gt;0),(((R3139-1)*MIN((Skills!T18*(1+Inputs!$B$34/100)),(1/Q3139))+MIN((Skills!T18*(1+Inputs!$B$34/100)),MAX(0,Inputs!$B$43-((R3139-1)*(1/Q3139)))))/Inputs!$B$43),IF(Inputs!$B$38="pvp",MIN((Skills!T18*(1+Inputs!$B$34/100)),15)/15,MIN(1,(Skills!T18*(1+Inputs!$B$34/100))/(1/Q3139)))))+IF(Inputs!$B$3&gt;=122,20*IF(Inputs!$B$38="pvp",MIN((20*(1+Inputs!$B$34/100)),15)/15,MIN(1,(20*(1+Inputs!$B$34/100))/(1/Q3125))),0)</f>
        <v/>
      </c>
    </row>
    <row r="3159">
      <c r="A3159" t="inlineStr">
        <is>
          <t>Buff-Casting Startup Delay (s, fixed-duration only)</t>
        </is>
      </c>
      <c r="B3159">
        <f>IF(AND(Inputs!$B$38&lt;&gt;"pvp",Inputs!$B$43&gt;0),SUMPRODUCT((Skills!T2:T28&gt;0)*(Skills!E2:E28=TRUE)*(C3123:C3149=TRUE))/B3154,0)</f>
        <v/>
      </c>
    </row>
    <row r="3160">
      <c r="A3160" t="inlineStr">
        <is>
          <t>Boss-Only Total DPS (this block's swept value)</t>
        </is>
      </c>
      <c r="B3160">
        <f>SUM(T3123:T3149)</f>
        <v/>
      </c>
    </row>
    <row r="3161">
      <c r="A3161" t="inlineStr">
        <is>
          <t>Normal-Only Total DPS (this block's swept value)</t>
        </is>
      </c>
      <c r="B3161">
        <f>SUM(V3123:V3149)</f>
        <v/>
      </c>
    </row>
    <row r="3162">
      <c r="A3162" s="6" t="inlineStr">
        <is>
          <t>TOTAL DPS</t>
        </is>
      </c>
      <c r="B3162" s="6">
        <f>SUM(O3123:O3149)</f>
        <v/>
      </c>
    </row>
    <row r="3163">
      <c r="A3163" t="inlineStr">
        <is>
          <t>Quickdraw cooldown divisor (this block's own APS / Q)</t>
        </is>
      </c>
      <c r="B3163">
        <f>IF(AND(C3148=TRUE,Inputs!$B$38&lt;&gt;"pvp"),1+0.25*MAX(0,(B3154-(((C3124=TRUE)*Q3124*1)+((C3125=TRUE)*Q3125*1)+((C3127=TRUE)*Q3127*1)+((C3128=TRUE)*Q3128*1)+((C3130=TRUE)*Q3130*1)+((C3133=TRUE)*Q3133*1)+((C3139=TRUE)*Q3139*1)+((C3149=TRUE)*Q3149*1))-((C3129=TRUE)/(IF(Inputs!$B$38="pvp",15,MAX(0.1,Skills!D8-IF(TRUE=TRUE,2.5,0)))*(1-IF(AND(ArtifactsInput!$M$27,Inputs!$B$4="Chapter Hunt"),CHOOSE(ArtifactsInput!$N$27+1,20,24,28,32,36,40),0)/100))+(C3132=TRUE)/(IF(Inputs!$B$38="pvp",15,MAX(0.1,Skills!D11-IF(TRUE=TRUE,2.5,0)))*(1-IF(AND(ArtifactsInput!$M$27,Inputs!$B$4="Chapter Hunt"),CHOOSE(ArtifactsInput!$N$27+1,20,24,28,32,36,40),0)/100))))/(1+0.25*((C3129=TRUE)/(IF(Inputs!$B$38="pvp",15,MAX(0.1,Skills!D8-IF(TRUE=TRUE,2.5,0)))*(1-IF(AND(ArtifactsInput!$M$27,Inputs!$B$4="Chapter Hunt"),CHOOSE(ArtifactsInput!$N$27+1,20,24,28,32,36,40),0)/100))+(C3132=TRUE)/(IF(Inputs!$B$38="pvp",15,MAX(0.1,Skills!D11-IF(TRUE=TRUE,2.5,0)))*(1-IF(AND(ArtifactsInput!$M$27,Inputs!$B$4="Chapter Hunt"),CHOOSE(ArtifactsInput!$N$27+1,20,24,28,32,36,40),0)/100))))),1)</f>
        <v/>
      </c>
    </row>
    <row r="3164">
      <c r="A3164" t="inlineStr">
        <is>
          <t>Nautilus Strike - Final Attack trigger rate (this block's own Q/R)</t>
        </is>
      </c>
      <c r="B3164">
        <f>IF(AND(Inputs!$B$38&lt;&gt;"pvp",Inputs!$B$43&gt;0),(((C3124=TRUE)*R3124)+((C3127=TRUE)*R3127)+((C3129=TRUE)*R3129)+((C3130=TRUE)*R3130)+((C3132=TRUE)*R3132))/Inputs!$B$43,((C3124=TRUE)*Q3124)+((C3127=TRUE)*Q3127)+((C3129=TRUE)*Q3129)+((C3130=TRUE)*Q3130)+((C3132=TRUE)*Q3132))+B3156</f>
        <v/>
      </c>
    </row>
    <row r="3167">
      <c r="A3167" s="6" t="inlineStr">
        <is>
          <t>Stat: CDR = 3.0s</t>
        </is>
      </c>
    </row>
    <row r="3168">
      <c r="A3168" s="5" t="inlineStr">
        <is>
          <t>Key</t>
        </is>
      </c>
      <c r="B3168" s="5" t="inlineStr">
        <is>
          <t>Name</t>
        </is>
      </c>
      <c r="C3168" s="5" t="inlineStr">
        <is>
          <t>Unlocked</t>
        </is>
      </c>
      <c r="D3168" s="5" t="inlineStr">
        <is>
          <t>InputLevel</t>
        </is>
      </c>
      <c r="E3168" s="5" t="inlineStr">
        <is>
          <t>Factor</t>
        </is>
      </c>
      <c r="F3168" s="5" t="inlineStr">
        <is>
          <t>CoefficientPercent</t>
        </is>
      </c>
      <c r="G3168" s="5" t="inlineStr">
        <is>
          <t>EffectiveHits</t>
        </is>
      </c>
      <c r="H3168" s="5" t="inlineStr">
        <is>
          <t>ProcProbability</t>
        </is>
      </c>
      <c r="I3168" s="5" t="inlineStr">
        <is>
          <t>MapleHeroMultiplier</t>
        </is>
      </c>
      <c r="J3168" s="5" t="inlineStr">
        <is>
          <t>BaseDamage</t>
        </is>
      </c>
      <c r="K3168" s="5" t="inlineStr">
        <is>
          <t>BaseHitDamage</t>
        </is>
      </c>
      <c r="L3168" s="5" t="inlineStr">
        <is>
          <t>NonCritAvg</t>
        </is>
      </c>
      <c r="M3168" s="5" t="inlineStr">
        <is>
          <t>CritAvg</t>
        </is>
      </c>
      <c r="N3168" s="5" t="inlineStr">
        <is>
          <t>ExpectedDamage(perHit)</t>
        </is>
      </c>
      <c r="O3168" s="5" t="inlineStr">
        <is>
          <t>DPS</t>
        </is>
      </c>
      <c r="P3168" s="5" t="inlineStr">
        <is>
          <t>% of Total</t>
        </is>
      </c>
      <c r="Q3168" s="5" t="inlineStr">
        <is>
          <t>InvCooldown</t>
        </is>
      </c>
      <c r="R3168" s="5" t="inlineStr">
        <is>
          <t>CastsInFight</t>
        </is>
      </c>
      <c r="S3168" s="5" t="inlineStr">
        <is>
          <t>HitRate(perSec)</t>
        </is>
      </c>
      <c r="U3168" t="inlineStr">
        <is>
          <t>helpers</t>
        </is>
      </c>
    </row>
    <row r="3169">
      <c r="A3169">
        <f>Skills!A2</f>
        <v/>
      </c>
      <c r="B3169">
        <f>Skills!B2</f>
        <v/>
      </c>
      <c r="C3169">
        <f>Inputs!$B$3&gt;=100</f>
        <v/>
      </c>
      <c r="D3169" t="inlineStr"/>
      <c r="E3169" t="inlineStr"/>
      <c r="F3169">
        <f>U3171+Skills!O2</f>
        <v/>
      </c>
      <c r="G3169">
        <f>Skills!G2*IF(Skills!H2&gt;0,INT(IF(Inputs!$B$38="pvp",MIN(Skills!I2,15),Skills!I2)/Skills!H2+0.000000001),1)</f>
        <v/>
      </c>
      <c r="H3169">
        <f>1-(1-Skills!J2/100)^Skills!K2</f>
        <v/>
      </c>
      <c r="I3169" t="inlineStr">
        <is>
          <t>1</t>
        </is>
      </c>
      <c r="J3169">
        <f>((Inputs!$B$6*(1+Inputs!$B$7/100))+(((Inputs!$B$12*(1+Inputs!$B$13/100))-(Inputs!$B$12*(1+Inputs!$B$13/100)))+0.25*(Inputs!$B$14-Inputs!$B$14))*(1+Inputs!$B$7/100))*(F3169/100)</f>
        <v/>
      </c>
      <c r="K3169">
        <f>J3169*(1+((Inputs!$B$12*(1+Inputs!$B$13/100))*0.01+Inputs!$B$14*0.0025)/100)*(1+Inputs!$B$15/100)*(1+Inputs!$B$16/100)*(5000/(6000+Inputs!$B$42*(1-(100*(1-(1-(Inputs!$B$19+0)/100)*(1-CHOOSE(ArtifactsInput!$N$40+1,5,6,7,8,9,10)/100)^(ArtifactsInput!$M$40-ArtifactsInput!$M$40)))/100)))*(1+(Inputs!$B$24+((C3193=TRUE)*(F3193-Calc!F26))+B3204)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IGHT_LEGS_EASTON",Inputs!$B$17+((C3190=TRUE)*(F3190-Calc!F23))+((C3194=TRUE)*(F3194-Calc!F27))+((IF(AND(Inputs!$B$38&lt;&gt;"pvp",Inputs!$B$43=0),1,IF(IF(Inputs!$B$38="pvp",15,Inputs!$B$43)-(B3205)&lt;=0,1,MAX(0,IF(Inputs!$B$38="pvp",15,Inputs!$B$43)-MAX(5,B3205))/(IF(Inputs!$B$38="pvp",15,Inputs!$B$43)-(B3205))))*(IF(AND(ArtifactsInput!$M$42,((Inputs!$B$9+((C3186=TRUE)*(F3186-Calc!F19))+B3198+(ArtifactsInput!$M$24-ArtifactsInput!$M$24)*CHOOSE(ArtifactsInput!$N$24+1,10,12,14,16,18,20)+IF(ArtifactsInput!$M$10,CHOOSE(ArtifactsInput!$N$10+1,15,18,21,24,27,30)*(IF(Inputs!$B$38="pvp",MIN(15,15)/15,IF(AND(Inputs!$B$38&lt;&gt;"pvp",Inputs!$B$43&gt;0),MIN(15,Inputs!$B$43)/(Inputs!$B$43),0))),0)))&gt;=100),MIN(100,((Inputs!$B$9+((C3186=TRUE)*(F3186-Calc!F19))+B3198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3205)&lt;=0,1,MAX(0,IF(Inputs!$B$38="pvp",15,Inputs!$B$43)-MAX(5,B3205))/(IF(Inputs!$B$38="pvp",15,Inputs!$B$43)-(B3205))))*IF(AND(ArtifactsInput!$M$42,((Inputs!$B$9+((C3186=TRUE)*(F3186-Calc!F19))+B3198+(ArtifactsInput!$M$24-ArtifactsInput!$M$24)*CHOOSE(ArtifactsInput!$N$24+1,10,12,14,16,18,20)+IF(ArtifactsInput!$M$10,CHOOSE(ArtifactsInput!$N$10+1,15,18,21,24,27,30)*(IF(Inputs!$B$38="pvp",MIN(15,15)/15,IF(AND(Inputs!$B$38&lt;&gt;"pvp",Inputs!$B$43&gt;0),MIN(15,Inputs!$B$43)/(Inputs!$B$43),0))),0)))&gt;=100),CHOOSE(ArtifactsInput!$N$42+1,40,48,56,64,72,80),0))))/100)*((1+(((C3184=TRUE)*F3184*5/7)+((C3191=TRUE)*(F3191-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3169)</f>
        <v/>
      </c>
      <c r="L3169">
        <f>K3169*(MIN(Inputs!$B$22+((C3189=TRUE)*(F3189-Calc!F22)),(Inputs!$B$23+0+(IF(ArtifactsInput!$M$15,CHOOSE(ArtifactsInput!$N$15+1,25,30,35,40,45,50)/100*(Inputs!$B$11-Inputs!$B$11),0))))/100+(Inputs!$B$23+0+(IF(ArtifactsInput!$M$15,CHOOSE(ArtifactsInput!$N$15+1,25,30,35,40,45,50)/100*(Inputs!$B$11-Inputs!$B$11),0)))/100)/2</f>
        <v/>
      </c>
      <c r="M3169">
        <f>L3169*(1+(Inputs!$B$10+((C3192=TRUE)*(F3192-Calc!F25))+B3203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69">
        <f>L3169*(1-MIN((Inputs!$B$9+((C3186=TRUE)*(F3186-Calc!F19))+B3198+(ArtifactsInput!$M$24-ArtifactsInput!$M$24)*CHOOSE(ArtifactsInput!$N$24+1,10,12,14,16,18,20)+(IF(AND(Inputs!$B$38&lt;&gt;"pvp",Inputs!$B$43=0),1,IF(IF(Inputs!$B$38="pvp",15,Inputs!$B$43)-(B3205)&lt;=0,1,MAX(0,IF(Inputs!$B$38="pvp",15,Inputs!$B$43)-MAX(5,B3205))/(IF(Inputs!$B$38="pvp",15,Inputs!$B$43)-(B3205))))*IF(AND(ArtifactsInput!$M$42,((Inputs!$B$9+((C3186=TRUE)*(F3186-Calc!F19))+B3198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3169*(MIN((Inputs!$B$9+((C3186=TRUE)*(F3186-Calc!F19))+B3198+(ArtifactsInput!$M$24-ArtifactsInput!$M$24)*CHOOSE(ArtifactsInput!$N$24+1,10,12,14,16,18,20)+(IF(AND(Inputs!$B$38&lt;&gt;"pvp",Inputs!$B$43=0),1,IF(IF(Inputs!$B$38="pvp",15,Inputs!$B$43)-(B3205)&lt;=0,1,MAX(0,IF(Inputs!$B$38="pvp",15,Inputs!$B$43)-MAX(5,B3205))/(IF(Inputs!$B$38="pvp",15,Inputs!$B$43)-(B3205))))*IF(AND(ArtifactsInput!$M$42,((Inputs!$B$9+((C3186=TRUE)*(F3186-Calc!F19))+B3198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69">
        <f>(1-Summary!$B$11)*T3169+Summary!$B$11*V3169</f>
        <v/>
      </c>
      <c r="P3169">
        <f>IF(B3208=0,0,O3169/B3208)</f>
        <v/>
      </c>
      <c r="Q3169" t="n">
        <v>0</v>
      </c>
      <c r="R3169" t="n">
        <v>0</v>
      </c>
      <c r="S3169">
        <f>IFERROR(O3169/N3169,0)</f>
        <v/>
      </c>
      <c r="T3169">
        <f>IF(C3169,(Skills!G2*N3169*B3202*(1+IF(C3194=TRUE,1/3,0)))*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Hunt"),CHOOSE(ArtifactsInput!$N$35+1,15,18,21,24,27,30)*(1-EXP(-(0.2*B3200)*5)),0)+IF(AND(ArtifactsInput!$M$22,Inputs!$B$4&lt;&gt;"Chapter Hunt"),CHOOSE(ArtifactsInput!$N$22+1,10,12,14,16,18,20)*((0*(((0.15*B3200*5))^0/1)+1*(((0.15*B3200*5))^1/1)+2*(((0.15*B3200*5))^2/2)+3*(((0.15*B3200*5))^3/6)+4*(((0.15*B3200*5))^4/24)+5*(((0.15*B3200*5))^5/120))/((((0.15*B3200*5))^0/1)+(((0.15*B3200*5))^1/1)+(((0.15*B3200*5))^2/2)+(((0.15*B3200*5))^3/6)+(((0.15*B3200*5))^4/24)+(((0.15*B3200*5))^5/120))),0))+IF(Inputs!$B$3&gt;=54,9*(C3170=TRUE)*MIN(1,8*(1+Inputs!$B$34/100)*Q3170)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3169*(1-MIN(100,(Inputs!$B$9+((C3186=TRUE)*(F3186-Calc!F19))+B3198+(ArtifactsInput!$M$24-ArtifactsInput!$M$24)*CHOOSE(ArtifactsInput!$N$24+1,10,12,14,16,18,20)+(IF(AND(Inputs!$B$38&lt;&gt;"pvp",Inputs!$B$43=0),1,IF(IF(Inputs!$B$38="pvp",15,Inputs!$B$43)-(B3205)&lt;=0,1,MAX(0,IF(Inputs!$B$38="pvp",15,Inputs!$B$43)-MAX(5,B3205))/(IF(Inputs!$B$38="pvp",15,Inputs!$B$43)-(B3205))))*IF(AND(ArtifactsInput!$M$42,((Inputs!$B$9+((C3186=TRUE)*(F3186-Calc!F19))+B3198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3169*(MIN(100,(Inputs!$B$9+((C3186=TRUE)*(F3186-Calc!F19))+B3198+(ArtifactsInput!$M$24-ArtifactsInput!$M$24)*CHOOSE(ArtifactsInput!$N$24+1,10,12,14,16,18,20)+(IF(AND(Inputs!$B$38&lt;&gt;"pvp",Inputs!$B$43=0),1,IF(IF(Inputs!$B$38="pvp",15,Inputs!$B$43)-(B3205)&lt;=0,1,MAX(0,IF(Inputs!$B$38="pvp",15,Inputs!$B$43)-MAX(5,B3205))/(IF(Inputs!$B$38="pvp",15,Inputs!$B$43)-(B3205))))*IF(AND(ArtifactsInput!$M$42,((Inputs!$B$9+((C3186=TRUE)*(F3186-Calc!F19))+B3198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3169*(1-MIN(100,(Inputs!$B$9+((C3186=TRUE)*(F3186-Calc!F19))+B3198+(ArtifactsInput!$M$24-ArtifactsInput!$M$24)*CHOOSE(ArtifactsInput!$N$24+1,10,12,14,16,18,20)+(IF(AND(Inputs!$B$38&lt;&gt;"pvp",Inputs!$B$43=0),1,IF(IF(Inputs!$B$38="pvp",15,Inputs!$B$43)-(B3205)&lt;=0,1,MAX(0,IF(Inputs!$B$38="pvp",15,Inputs!$B$43)-MAX(5,B3205))/(IF(Inputs!$B$38="pvp",15,Inputs!$B$43)-(B3205))))*IF(AND(ArtifactsInput!$M$42,((Inputs!$B$9+((C3186=TRUE)*(F3186-Calc!F19))+B3198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3169*(MIN(100,(Inputs!$B$9+((C3186=TRUE)*(F3186-Calc!F19))+B3198+(ArtifactsInput!$M$24-ArtifactsInput!$M$24)*CHOOSE(ArtifactsInput!$N$24+1,10,12,14,16,18,20)+(IF(AND(Inputs!$B$38&lt;&gt;"pvp",Inputs!$B$43=0),1,IF(IF(Inputs!$B$38="pvp",15,Inputs!$B$43)-(B3205)&lt;=0,1,MAX(0,IF(Inputs!$B$38="pvp",15,Inputs!$B$43)-MAX(5,B3205))/(IF(Inputs!$B$38="pvp",15,Inputs!$B$43)-(B3205))))*IF(AND(ArtifactsInput!$M$42,((Inputs!$B$9+((C3186=TRUE)*(F3186-Calc!F19))+B3198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169">
        <f>MAX(0,(Inputs!$B$3-100)*3)+Inputs!$B$28+Inputs!$B$29</f>
        <v/>
      </c>
      <c r="V3169">
        <f>IF(C3169,(Skills!G2*N3169*B3202*(1+IF(C3194=TRUE,1/3,0)))*IF(Inputs!$B$38="pvp",1,(1+(Inputs!$B$21+Skills!Q2+(IF(ArtifactsInput!$M$33,CHOOSE(ArtifactsInput!$N$33+1,30,36,42,48,54,60),0))+(IF(AND(ArtifactsInput!$M$35,Inputs!$B$4&lt;&gt;"Chapter Hunt"),CHOOSE(ArtifactsInput!$N$35+1,15,18,21,24,27,30)*(1-EXP(-(0.2*B3200)*5)),0)+IF(AND(ArtifactsInput!$M$22,Inputs!$B$4&lt;&gt;"Chapter Hunt"),CHOOSE(ArtifactsInput!$N$22+1,10,12,14,16,18,20)*((0*(((0.15*B3200*5))^0/1)+1*(((0.15*B3200*5))^1/1)+2*(((0.15*B3200*5))^2/2)+3*(((0.15*B3200*5))^3/6)+4*(((0.15*B3200*5))^4/24)+5*(((0.15*B3200*5))^5/120))/((((0.15*B3200*5))^0/1)+(((0.15*B3200*5))^1/1)+(((0.15*B3200*5))^2/2)+(((0.15*B3200*5))^3/6)+(((0.15*B3200*5))^4/24)+(((0.15*B3200*5))^5/120))),0))+IF(Inputs!$B$3&gt;=54,9*(C3170=TRUE)*MIN(1,8*(1+Inputs!$B$34/100)*Q3170)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70">
      <c r="A3170">
        <f>Skills!A3</f>
        <v/>
      </c>
      <c r="B3170">
        <f>Skills!B3</f>
        <v/>
      </c>
      <c r="C3170">
        <f>Inputs!$B$3&gt;=33</f>
        <v/>
      </c>
      <c r="D3170">
        <f>IF(Skills!C3=1,60+Inputs!$B$25+Inputs!$B$29,IF(Skills!C3=2,90+Inputs!$B$26+Inputs!$B$29,IF(Skills!C3=3,120+Inputs!$B$27+Inputs!$B$29,MAX(0,(Inputs!$B$3-100)*3)+Inputs!$B$28+Inputs!$B$29)))</f>
        <v/>
      </c>
      <c r="E3170">
        <f>INDEX(FactorTable!$B$2:$Y$301, MATCH(ROUND(MIN(300,MAX(1,D3170)),0), FactorTable!$A$2:$A$301,0), Skills!M3+1)</f>
        <v/>
      </c>
      <c r="F3170">
        <f>IF(Skills!N3=TRUE,(Skills!L3/10)*(E3170/1000),Skills!L3/10)+Skills!O3</f>
        <v/>
      </c>
      <c r="G3170">
        <f>Skills!G3*IF(Skills!H3&gt;0,INT(IF(Inputs!$B$38="pvp",MIN(Skills!I3,15),Skills!I3)/Skills!H3+0.000000001),1)</f>
        <v/>
      </c>
      <c r="H3170">
        <f>1-(1-Skills!J3/100)^Skills!K3</f>
        <v/>
      </c>
      <c r="I3170" t="inlineStr">
        <is>
          <t>1</t>
        </is>
      </c>
      <c r="J3170">
        <f>((Inputs!$B$6*(1+Inputs!$B$7/100))+(((Inputs!$B$12*(1+Inputs!$B$13/100))-(Inputs!$B$12*(1+Inputs!$B$13/100)))+0.25*(Inputs!$B$14-Inputs!$B$14))*(1+Inputs!$B$7/100))*(F3170/100)</f>
        <v/>
      </c>
      <c r="K3170">
        <f>J3170*(1+((Inputs!$B$12*(1+Inputs!$B$13/100))*0.01+Inputs!$B$14*0.0025)/100)*(1+Inputs!$B$15/100)*(1+Inputs!$B$16/100)*(5000/(6000+Inputs!$B$42*(1-(100*(1-(1-(Inputs!$B$19+0)/100)*(1-CHOOSE(ArtifactsInput!$N$40+1,5,6,7,8,9,10)/100)^(ArtifactsInput!$M$40-ArtifactsInput!$M$40)))/100)))*(1+(Inputs!$B$24+((C3193=TRUE)*(F3193-Calc!F26))+B3204)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3182=TRUE,F3182,0)/100)*(1+(IF(Skills!A3="EIGHT_LEGS_EASTON",Inputs!$B$17+((C3190=TRUE)*(F3190-Calc!F23))+((C3194=TRUE)*(F3194-Calc!F27))+((IF(AND(Inputs!$B$38&lt;&gt;"pvp",Inputs!$B$43=0),1,IF(IF(Inputs!$B$38="pvp",15,Inputs!$B$43)-(B3205)&lt;=0,1,MAX(0,IF(Inputs!$B$38="pvp",15,Inputs!$B$43)-MAX(5,B3205))/(IF(Inputs!$B$38="pvp",15,Inputs!$B$43)-(B3205))))*(IF(AND(ArtifactsInput!$M$42,((Inputs!$B$9+((C3186=TRUE)*(F3186-Calc!F19))+B3198+(ArtifactsInput!$M$24-ArtifactsInput!$M$24)*CHOOSE(ArtifactsInput!$N$24+1,10,12,14,16,18,20)+IF(ArtifactsInput!$M$10,CHOOSE(ArtifactsInput!$N$10+1,15,18,21,24,27,30)*(IF(Inputs!$B$38="pvp",MIN(15,15)/15,IF(AND(Inputs!$B$38&lt;&gt;"pvp",Inputs!$B$43&gt;0),MIN(15,Inputs!$B$43)/(Inputs!$B$43),0))),0)))&gt;=100),MIN(100,((Inputs!$B$9+((C3186=TRUE)*(F3186-Calc!F19))+B3198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3205)&lt;=0,1,MAX(0,IF(Inputs!$B$38="pvp",15,Inputs!$B$43)-MAX(5,B3205))/(IF(Inputs!$B$38="pvp",15,Inputs!$B$43)-(B3205))))*IF(AND(ArtifactsInput!$M$42,((Inputs!$B$9+((C3186=TRUE)*(F3186-Calc!F19))+B3198+(ArtifactsInput!$M$24-ArtifactsInput!$M$24)*CHOOSE(ArtifactsInput!$N$24+1,10,12,14,16,18,20)+IF(ArtifactsInput!$M$10,CHOOSE(ArtifactsInput!$N$10+1,15,18,21,24,27,30)*(IF(Inputs!$B$38="pvp",MIN(15,15)/15,IF(AND(Inputs!$B$38&lt;&gt;"pvp",Inputs!$B$43&gt;0),MIN(15,Inputs!$B$43)/(Inputs!$B$43),0))),0)))&gt;=100),CHOOSE(ArtifactsInput!$N$42+1,40,48,56,64,72,80),0))))/100)*((1+(((C3184=TRUE)*F3184*5/7)+((C3191=TRUE)*(F3191-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3170)</f>
        <v/>
      </c>
      <c r="L3170">
        <f>K3170*(MIN(Inputs!$B$22+((C3189=TRUE)*(F3189-Calc!F22)),(Inputs!$B$23+0+(IF(ArtifactsInput!$M$15,CHOOSE(ArtifactsInput!$N$15+1,25,30,35,40,45,50)/100*(Inputs!$B$11-Inputs!$B$11),0))))/100+(Inputs!$B$23+0+(IF(ArtifactsInput!$M$15,CHOOSE(ArtifactsInput!$N$15+1,25,30,35,40,45,50)/100*(Inputs!$B$11-Inputs!$B$11),0)))/100)/2</f>
        <v/>
      </c>
      <c r="M3170">
        <f>L3170*(1+(Inputs!$B$10+((C3192=TRUE)*(F3192-Calc!F25))+B3203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70">
        <f>L3170*(1-MIN((Inputs!$B$9+((C3186=TRUE)*(F3186-Calc!F19))+B3198+(ArtifactsInput!$M$24-ArtifactsInput!$M$24)*CHOOSE(ArtifactsInput!$N$24+1,10,12,14,16,18,20)+(IF(AND(Inputs!$B$38&lt;&gt;"pvp",Inputs!$B$43=0),1,IF(IF(Inputs!$B$38="pvp",15,Inputs!$B$43)-(B3205)&lt;=0,1,MAX(0,IF(Inputs!$B$38="pvp",15,Inputs!$B$43)-MAX(5,B3205))/(IF(Inputs!$B$38="pvp",15,Inputs!$B$43)-(B3205))))*IF(AND(ArtifactsInput!$M$42,((Inputs!$B$9+((C3186=TRUE)*(F3186-Calc!F19))+B3198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3170*(MIN((Inputs!$B$9+((C3186=TRUE)*(F3186-Calc!F19))+B3198+(ArtifactsInput!$M$24-ArtifactsInput!$M$24)*CHOOSE(ArtifactsInput!$N$24+1,10,12,14,16,18,20)+(IF(AND(Inputs!$B$38&lt;&gt;"pvp",Inputs!$B$43=0),1,IF(IF(Inputs!$B$38="pvp",15,Inputs!$B$43)-(B3205)&lt;=0,1,MAX(0,IF(Inputs!$B$38="pvp",15,Inputs!$B$43)-MAX(5,B3205))/(IF(Inputs!$B$38="pvp",15,Inputs!$B$43)-(B3205))))*IF(AND(ArtifactsInput!$M$42,((Inputs!$B$9+((C3186=TRUE)*(F3186-Calc!F19))+B3198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70">
        <f>(1-Summary!$B$11)*T3170+Summary!$B$11*V3170</f>
        <v/>
      </c>
      <c r="P3170">
        <f>IF(B3208=0,0,O3170/B3208)</f>
        <v/>
      </c>
      <c r="Q3170">
        <f>IFERROR(1/(IF(Inputs!$B$38="pvp",15,MAX(0.1,Skills!D3-IF(TRUE=TRUE,3.0,0)))*(1-IF(AND(ArtifactsInput!$M$27,Inputs!$B$4="Chapter Hunt"),CHOOSE(ArtifactsInput!$N$27+1,20,24,28,32,36,40),0)/100)),0)</f>
        <v/>
      </c>
      <c r="R3170">
        <f>IF(AND(Inputs!$B$38&lt;&gt;"pvp",Inputs!$B$43&gt;0),IF(MAX(0,Inputs!$B$43-B3205)&lt;=0,0,(INT(MAX(0,Inputs!$B$43-B3205)/(IF(Inputs!$B$38="pvp",15,MAX(0.1,Skills!D3-IF(TRUE=TRUE,3.0,0)))*(1-IF(AND(ArtifactsInput!$M$27,Inputs!$B$4="Chapter Hunt"),CHOOSE(ArtifactsInput!$N$27+1,20,24,28,32,36,40),0)/100)))+1)),0)</f>
        <v/>
      </c>
      <c r="S3170">
        <f>IFERROR(O3170/N3170,0)</f>
        <v/>
      </c>
      <c r="T3170">
        <f>IF(C3170,(H3170*N3170*IF(AND(Inputs!$B$38&lt;&gt;"pvp",Inputs!$B$43&gt;0),((Skills!G3*((R3170-1)*IF(Skills!H3&gt;0,INT(Skills!I3/Skills!H3+0.000000001),1)+IF(Skills!H3&gt;0,INT(MIN(Skills!I3,MAX(0,MAX(0,Inputs!$B$43-B3205)-((R3170-1)*(IF(Inputs!$B$38="pvp",15,MAX(0.1,Skills!D3-IF(TRUE=TRUE,3.0,0)))*(1-IF(AND(ArtifactsInput!$M$27,Inputs!$B$4="Chapter Hunt"),CHOOSE(ArtifactsInput!$N$27+1,20,24,28,32,36,40),0)/100)))))/Skills!H3+0.000000001),1)))/Inputs!$B$43),G3170*Q3170))*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Hunt"),CHOOSE(ArtifactsInput!$N$35+1,15,18,21,24,27,30)*(1-EXP(-(0.2*B3200)*5)),0)+IF(AND(ArtifactsInput!$M$22,Inputs!$B$4&lt;&gt;"Chapter Hunt"),CHOOSE(ArtifactsInput!$N$22+1,10,12,14,16,18,20)*((0*(((0.15*B3200*5))^0/1)+1*(((0.15*B3200*5))^1/1)+2*(((0.15*B3200*5))^2/2)+3*(((0.15*B3200*5))^3/6)+4*(((0.15*B3200*5))^4/24)+5*(((0.15*B3200*5))^5/120))/((((0.15*B3200*5))^0/1)+(((0.15*B3200*5))^1/1)+(((0.15*B3200*5))^2/2)+(((0.15*B3200*5))^3/6)+(((0.15*B3200*5))^4/24)+(((0.15*B3200*5))^5/120))),0))+IF(Inputs!$B$3&gt;=54,9*(C3170=TRUE)*MIN(1,8*(1+Inputs!$B$34/100)*Q3170)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3170*(1-MIN(100,(Inputs!$B$9+((C3186=TRUE)*(F3186-Calc!F19))+B3198+(ArtifactsInput!$M$24-ArtifactsInput!$M$24)*CHOOSE(ArtifactsInput!$N$24+1,10,12,14,16,18,20)+(IF(AND(Inputs!$B$38&lt;&gt;"pvp",Inputs!$B$43=0),1,IF(IF(Inputs!$B$38="pvp",15,Inputs!$B$43)-(B3205)&lt;=0,1,MAX(0,IF(Inputs!$B$38="pvp",15,Inputs!$B$43)-MAX(5,B3205))/(IF(Inputs!$B$38="pvp",15,Inputs!$B$43)-(B3205))))*IF(AND(ArtifactsInput!$M$42,((Inputs!$B$9+((C3186=TRUE)*(F3186-Calc!F19))+B3198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3170*(MIN(100,(Inputs!$B$9+((C3186=TRUE)*(F3186-Calc!F19))+B3198+(ArtifactsInput!$M$24-ArtifactsInput!$M$24)*CHOOSE(ArtifactsInput!$N$24+1,10,12,14,16,18,20)+(IF(AND(Inputs!$B$38&lt;&gt;"pvp",Inputs!$B$43=0),1,IF(IF(Inputs!$B$38="pvp",15,Inputs!$B$43)-(B3205)&lt;=0,1,MAX(0,IF(Inputs!$B$38="pvp",15,Inputs!$B$43)-MAX(5,B3205))/(IF(Inputs!$B$38="pvp",15,Inputs!$B$43)-(B3205))))*IF(AND(ArtifactsInput!$M$42,((Inputs!$B$9+((C3186=TRUE)*(F3186-Calc!F19))+B3198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3170*(1-MIN(100,(Inputs!$B$9+((C3186=TRUE)*(F3186-Calc!F19))+B3198+(ArtifactsInput!$M$24-ArtifactsInput!$M$24)*CHOOSE(ArtifactsInput!$N$24+1,10,12,14,16,18,20)+(IF(AND(Inputs!$B$38&lt;&gt;"pvp",Inputs!$B$43=0),1,IF(IF(Inputs!$B$38="pvp",15,Inputs!$B$43)-(B3205)&lt;=0,1,MAX(0,IF(Inputs!$B$38="pvp",15,Inputs!$B$43)-MAX(5,B3205))/(IF(Inputs!$B$38="pvp",15,Inputs!$B$43)-(B3205))))*IF(AND(ArtifactsInput!$M$42,((Inputs!$B$9+((C3186=TRUE)*(F3186-Calc!F19))+B3198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3170*(MIN(100,(Inputs!$B$9+((C3186=TRUE)*(F3186-Calc!F19))+B3198+(ArtifactsInput!$M$24-ArtifactsInput!$M$24)*CHOOSE(ArtifactsInput!$N$24+1,10,12,14,16,18,20)+(IF(AND(Inputs!$B$38&lt;&gt;"pvp",Inputs!$B$43=0),1,IF(IF(Inputs!$B$38="pvp",15,Inputs!$B$43)-(B3205)&lt;=0,1,MAX(0,IF(Inputs!$B$38="pvp",15,Inputs!$B$43)-MAX(5,B3205))/(IF(Inputs!$B$38="pvp",15,Inputs!$B$43)-(B3205))))*IF(AND(ArtifactsInput!$M$42,((Inputs!$B$9+((C3186=TRUE)*(F3186-Calc!F19))+B3198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170">
        <f>INDEX(FactorTable!$B$2:$Y$301, MATCH(ROUND(MIN(300,MAX(1,U3169)),0), FactorTable!$A$2:$A$301,0), 22)</f>
        <v/>
      </c>
      <c r="V3170">
        <f>IF(C3170,(H3170*N3170*IF(AND(Inputs!$B$38&lt;&gt;"pvp",Inputs!$B$43&gt;0),((Skills!G3*((R3170-1)*IF(Skills!H3&gt;0,INT(Skills!I3/Skills!H3+0.000000001),1)+IF(Skills!H3&gt;0,INT(MIN(Skills!I3,MAX(0,MAX(0,Inputs!$B$43-B3205)-((R3170-1)*(IF(Inputs!$B$38="pvp",15,MAX(0.1,Skills!D3-IF(TRUE=TRUE,3.0,0)))*(1-IF(AND(ArtifactsInput!$M$27,Inputs!$B$4="Chapter Hunt"),CHOOSE(ArtifactsInput!$N$27+1,20,24,28,32,36,40),0)/100)))))/Skills!H3+0.000000001),1)))/Inputs!$B$43),G3170*Q3170))*IF(Inputs!$B$38="pvp",1,(1+(Inputs!$B$21+Skills!Q3+(IF(ArtifactsInput!$M$33,CHOOSE(ArtifactsInput!$N$33+1,30,36,42,48,54,60),0))+(IF(AND(ArtifactsInput!$M$35,Inputs!$B$4&lt;&gt;"Chapter Hunt"),CHOOSE(ArtifactsInput!$N$35+1,15,18,21,24,27,30)*(1-EXP(-(0.2*B3200)*5)),0)+IF(AND(ArtifactsInput!$M$22,Inputs!$B$4&lt;&gt;"Chapter Hunt"),CHOOSE(ArtifactsInput!$N$22+1,10,12,14,16,18,20)*((0*(((0.15*B3200*5))^0/1)+1*(((0.15*B3200*5))^1/1)+2*(((0.15*B3200*5))^2/2)+3*(((0.15*B3200*5))^3/6)+4*(((0.15*B3200*5))^4/24)+5*(((0.15*B3200*5))^5/120))/((((0.15*B3200*5))^0/1)+(((0.15*B3200*5))^1/1)+(((0.15*B3200*5))^2/2)+(((0.15*B3200*5))^3/6)+(((0.15*B3200*5))^4/24)+(((0.15*B3200*5))^5/120))),0))+IF(Inputs!$B$3&gt;=54,9*(C3170=TRUE)*MIN(1,8*(1+Inputs!$B$34/100)*Q3170)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71">
      <c r="A3171">
        <f>Skills!A4</f>
        <v/>
      </c>
      <c r="B3171">
        <f>Skills!B4</f>
        <v/>
      </c>
      <c r="C3171">
        <f>Inputs!$B$3&gt;=35</f>
        <v/>
      </c>
      <c r="D3171">
        <f>IF(Skills!C4=1,60+Inputs!$B$25+Inputs!$B$29,IF(Skills!C4=2,90+Inputs!$B$26+Inputs!$B$29,IF(Skills!C4=3,120+Inputs!$B$27+Inputs!$B$29,MAX(0,(Inputs!$B$3-100)*3)+Inputs!$B$28+Inputs!$B$29)))</f>
        <v/>
      </c>
      <c r="E3171">
        <f>INDEX(FactorTable!$B$2:$Y$301, MATCH(ROUND(MIN(300,MAX(1,D3171)),0), FactorTable!$A$2:$A$301,0), Skills!M4+1)</f>
        <v/>
      </c>
      <c r="F3171">
        <f>IF(Skills!N4=TRUE,(Skills!L4/10)*(E3171/1000),Skills!L4/10)+Skills!O4</f>
        <v/>
      </c>
      <c r="G3171">
        <f>Skills!G4*IF(Skills!H4&gt;0,INT(IF(Inputs!$B$38="pvp",MIN(IF(Inputs!$B$3&gt;=104,MIN(35,20*(1+Inputs!$B$34/100)),20),15),IF(Inputs!$B$3&gt;=104,MIN(35,20*(1+Inputs!$B$34/100)),20))/Skills!H4+0.000000001),1)</f>
        <v/>
      </c>
      <c r="H3171">
        <f>1-(1-Skills!J4/100)^Skills!K4</f>
        <v/>
      </c>
      <c r="I3171" t="inlineStr">
        <is>
          <t>1</t>
        </is>
      </c>
      <c r="J3171">
        <f>((Inputs!$B$6*(1+Inputs!$B$7/100))+(((Inputs!$B$12*(1+Inputs!$B$13/100))-(Inputs!$B$12*(1+Inputs!$B$13/100)))+0.25*(Inputs!$B$14-Inputs!$B$14))*(1+Inputs!$B$7/100))*(F3171/100)</f>
        <v/>
      </c>
      <c r="K3171">
        <f>J3171*(1+((Inputs!$B$12*(1+Inputs!$B$13/100))*0.01+Inputs!$B$14*0.0025)/100)*(1+Inputs!$B$15/100)*(1+Inputs!$B$16/100)*(5000/(6000+Inputs!$B$42*(1-(100*(1-(1-(Inputs!$B$19+0)/100)*(1-CHOOSE(ArtifactsInput!$N$40+1,5,6,7,8,9,10)/100)^(ArtifactsInput!$M$40-ArtifactsInput!$M$40)))/100)))*(1+(Inputs!$B$24+((C3193=TRUE)*(F3193-Calc!F26))+B3204)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3183=TRUE,F3183,0)/100)*(1+(IF(Skills!A4="EIGHT_LEGS_EASTON",Inputs!$B$17+((C3190=TRUE)*(F3190-Calc!F23))+((C3194=TRUE)*(F3194-Calc!F27))+((IF(AND(Inputs!$B$38&lt;&gt;"pvp",Inputs!$B$43=0),1,IF(IF(Inputs!$B$38="pvp",15,Inputs!$B$43)-(B3205)&lt;=0,1,MAX(0,IF(Inputs!$B$38="pvp",15,Inputs!$B$43)-MAX(5,B3205))/(IF(Inputs!$B$38="pvp",15,Inputs!$B$43)-(B3205))))*(IF(AND(ArtifactsInput!$M$42,((Inputs!$B$9+((C3186=TRUE)*(F3186-Calc!F19))+B3198+(ArtifactsInput!$M$24-ArtifactsInput!$M$24)*CHOOSE(ArtifactsInput!$N$24+1,10,12,14,16,18,20)+IF(ArtifactsInput!$M$10,CHOOSE(ArtifactsInput!$N$10+1,15,18,21,24,27,30)*(IF(Inputs!$B$38="pvp",MIN(15,15)/15,IF(AND(Inputs!$B$38&lt;&gt;"pvp",Inputs!$B$43&gt;0),MIN(15,Inputs!$B$43)/(Inputs!$B$43),0))),0)))&gt;=100),MIN(100,((Inputs!$B$9+((C3186=TRUE)*(F3186-Calc!F19))+B3198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3205)&lt;=0,1,MAX(0,IF(Inputs!$B$38="pvp",15,Inputs!$B$43)-MAX(5,B3205))/(IF(Inputs!$B$38="pvp",15,Inputs!$B$43)-(B3205))))*IF(AND(ArtifactsInput!$M$42,((Inputs!$B$9+((C3186=TRUE)*(F3186-Calc!F19))+B3198+(ArtifactsInput!$M$24-ArtifactsInput!$M$24)*CHOOSE(ArtifactsInput!$N$24+1,10,12,14,16,18,20)+IF(ArtifactsInput!$M$10,CHOOSE(ArtifactsInput!$N$10+1,15,18,21,24,27,30)*(IF(Inputs!$B$38="pvp",MIN(15,15)/15,IF(AND(Inputs!$B$38&lt;&gt;"pvp",Inputs!$B$43&gt;0),MIN(15,Inputs!$B$43)/(Inputs!$B$43),0))),0)))&gt;=100),CHOOSE(ArtifactsInput!$N$42+1,40,48,56,64,72,80),0))))/100)*((1+(((C3184=TRUE)*F3184*5/7)+((C3191=TRUE)*(F3191-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3171)</f>
        <v/>
      </c>
      <c r="L3171">
        <f>K3171*(MIN(Inputs!$B$22+((C3189=TRUE)*(F3189-Calc!F22)),(Inputs!$B$23+0+(IF(ArtifactsInput!$M$15,CHOOSE(ArtifactsInput!$N$15+1,25,30,35,40,45,50)/100*(Inputs!$B$11-Inputs!$B$11),0))))/100+(Inputs!$B$23+0+(IF(ArtifactsInput!$M$15,CHOOSE(ArtifactsInput!$N$15+1,25,30,35,40,45,50)/100*(Inputs!$B$11-Inputs!$B$11),0)))/100)/2</f>
        <v/>
      </c>
      <c r="M3171">
        <f>L3171*(1+(Inputs!$B$10+((C3192=TRUE)*(F3192-Calc!F25))+B3203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71">
        <f>L3171*(1-MIN((Inputs!$B$9+((C3186=TRUE)*(F3186-Calc!F19))+B3198+(ArtifactsInput!$M$24-ArtifactsInput!$M$24)*CHOOSE(ArtifactsInput!$N$24+1,10,12,14,16,18,20)+(IF(AND(Inputs!$B$38&lt;&gt;"pvp",Inputs!$B$43=0),1,IF(IF(Inputs!$B$38="pvp",15,Inputs!$B$43)-(B3205)&lt;=0,1,MAX(0,IF(Inputs!$B$38="pvp",15,Inputs!$B$43)-MAX(5,B3205))/(IF(Inputs!$B$38="pvp",15,Inputs!$B$43)-(B3205))))*IF(AND(ArtifactsInput!$M$42,((Inputs!$B$9+((C3186=TRUE)*(F3186-Calc!F19))+B3198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3171*(MIN((Inputs!$B$9+((C3186=TRUE)*(F3186-Calc!F19))+B3198+(ArtifactsInput!$M$24-ArtifactsInput!$M$24)*CHOOSE(ArtifactsInput!$N$24+1,10,12,14,16,18,20)+(IF(AND(Inputs!$B$38&lt;&gt;"pvp",Inputs!$B$43=0),1,IF(IF(Inputs!$B$38="pvp",15,Inputs!$B$43)-(B3205)&lt;=0,1,MAX(0,IF(Inputs!$B$38="pvp",15,Inputs!$B$43)-MAX(5,B3205))/(IF(Inputs!$B$38="pvp",15,Inputs!$B$43)-(B3205))))*IF(AND(ArtifactsInput!$M$42,((Inputs!$B$9+((C3186=TRUE)*(F3186-Calc!F19))+B3198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71">
        <f>(1-Summary!$B$11)*T3171+Summary!$B$11*V3171</f>
        <v/>
      </c>
      <c r="P3171">
        <f>IF(B3208=0,0,O3171/B3208)</f>
        <v/>
      </c>
      <c r="Q3171">
        <f>IFERROR(1/(IF(Inputs!$B$38="pvp",15,MAX(0.1,Skills!D4-IF(TRUE=TRUE,3.0,0)))*(1-IF(AND(ArtifactsInput!$M$27,Inputs!$B$4="Chapter Hunt"),CHOOSE(ArtifactsInput!$N$27+1,20,24,28,32,36,40),0)/100)),0)</f>
        <v/>
      </c>
      <c r="R3171">
        <f>IF(AND(Inputs!$B$38&lt;&gt;"pvp",Inputs!$B$43&gt;0),IF(MAX(0,Inputs!$B$43-B3205)&lt;=0,0,(INT(MAX(0,Inputs!$B$43-B3205)/(IF(Inputs!$B$38="pvp",15,MAX(0.1,Skills!D4-IF(TRUE=TRUE,3.0,0)))*(1-IF(AND(ArtifactsInput!$M$27,Inputs!$B$4="Chapter Hunt"),CHOOSE(ArtifactsInput!$N$27+1,20,24,28,32,36,40),0)/100)))+1)),0)</f>
        <v/>
      </c>
      <c r="S3171">
        <f>IFERROR(O3171/N3171,0)</f>
        <v/>
      </c>
      <c r="T3171">
        <f>IF(C3171,(H3171*N3171*IF(AND(Inputs!$B$38&lt;&gt;"pvp",Inputs!$B$43&gt;0),((Skills!G4*((R3171-1)*IF(Skills!H4&gt;0,INT(IF(Inputs!$B$3&gt;=104,MIN(35,20*(1+Inputs!$B$34/100)),20)/Skills!H4+0.000000001),1)+IF(Skills!H4&gt;0,INT(MIN(IF(Inputs!$B$3&gt;=104,MIN(35,20*(1+Inputs!$B$34/100)),20),MAX(0,MAX(0,Inputs!$B$43-B3205)-((R3171-1)*(IF(Inputs!$B$38="pvp",15,MAX(0.1,Skills!D4-IF(TRUE=TRUE,3.0,0)))*(1-IF(AND(ArtifactsInput!$M$27,Inputs!$B$4="Chapter Hunt"),CHOOSE(ArtifactsInput!$N$27+1,20,24,28,32,36,40),0)/100)))))/Skills!H4+0.000000001),1)))/Inputs!$B$43),G3171*Q3171))*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Hunt"),CHOOSE(ArtifactsInput!$N$35+1,15,18,21,24,27,30)*(1-EXP(-(0.2*B3200)*5)),0)+IF(AND(ArtifactsInput!$M$22,Inputs!$B$4&lt;&gt;"Chapter Hunt"),CHOOSE(ArtifactsInput!$N$22+1,10,12,14,16,18,20)*((0*(((0.15*B3200*5))^0/1)+1*(((0.15*B3200*5))^1/1)+2*(((0.15*B3200*5))^2/2)+3*(((0.15*B3200*5))^3/6)+4*(((0.15*B3200*5))^4/24)+5*(((0.15*B3200*5))^5/120))/((((0.15*B3200*5))^0/1)+(((0.15*B3200*5))^1/1)+(((0.15*B3200*5))^2/2)+(((0.15*B3200*5))^3/6)+(((0.15*B3200*5))^4/24)+(((0.15*B3200*5))^5/120))),0))+IF(Inputs!$B$3&gt;=54,9*(C3170=TRUE)*MIN(1,8*(1+Inputs!$B$34/100)*Q3170)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3171*(1-MIN(100,(Inputs!$B$9+((C3186=TRUE)*(F3186-Calc!F19))+B3198+(ArtifactsInput!$M$24-ArtifactsInput!$M$24)*CHOOSE(ArtifactsInput!$N$24+1,10,12,14,16,18,20)+(IF(AND(Inputs!$B$38&lt;&gt;"pvp",Inputs!$B$43=0),1,IF(IF(Inputs!$B$38="pvp",15,Inputs!$B$43)-(B3205)&lt;=0,1,MAX(0,IF(Inputs!$B$38="pvp",15,Inputs!$B$43)-MAX(5,B3205))/(IF(Inputs!$B$38="pvp",15,Inputs!$B$43)-(B3205))))*IF(AND(ArtifactsInput!$M$42,((Inputs!$B$9+((C3186=TRUE)*(F3186-Calc!F19))+B3198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3171*(MIN(100,(Inputs!$B$9+((C3186=TRUE)*(F3186-Calc!F19))+B3198+(ArtifactsInput!$M$24-ArtifactsInput!$M$24)*CHOOSE(ArtifactsInput!$N$24+1,10,12,14,16,18,20)+(IF(AND(Inputs!$B$38&lt;&gt;"pvp",Inputs!$B$43=0),1,IF(IF(Inputs!$B$38="pvp",15,Inputs!$B$43)-(B3205)&lt;=0,1,MAX(0,IF(Inputs!$B$38="pvp",15,Inputs!$B$43)-MAX(5,B3205))/(IF(Inputs!$B$38="pvp",15,Inputs!$B$43)-(B3205))))*IF(AND(ArtifactsInput!$M$42,((Inputs!$B$9+((C3186=TRUE)*(F3186-Calc!F19))+B3198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3171*(1-MIN(100,(Inputs!$B$9+((C3186=TRUE)*(F3186-Calc!F19))+B3198+(ArtifactsInput!$M$24-ArtifactsInput!$M$24)*CHOOSE(ArtifactsInput!$N$24+1,10,12,14,16,18,20)+(IF(AND(Inputs!$B$38&lt;&gt;"pvp",Inputs!$B$43=0),1,IF(IF(Inputs!$B$38="pvp",15,Inputs!$B$43)-(B3205)&lt;=0,1,MAX(0,IF(Inputs!$B$38="pvp",15,Inputs!$B$43)-MAX(5,B3205))/(IF(Inputs!$B$38="pvp",15,Inputs!$B$43)-(B3205))))*IF(AND(ArtifactsInput!$M$42,((Inputs!$B$9+((C3186=TRUE)*(F3186-Calc!F19))+B3198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3171*(MIN(100,(Inputs!$B$9+((C3186=TRUE)*(F3186-Calc!F19))+B3198+(ArtifactsInput!$M$24-ArtifactsInput!$M$24)*CHOOSE(ArtifactsInput!$N$24+1,10,12,14,16,18,20)+(IF(AND(Inputs!$B$38&lt;&gt;"pvp",Inputs!$B$43=0),1,IF(IF(Inputs!$B$38="pvp",15,Inputs!$B$43)-(B3205)&lt;=0,1,MAX(0,IF(Inputs!$B$38="pvp",15,Inputs!$B$43)-MAX(5,B3205))/(IF(Inputs!$B$38="pvp",15,Inputs!$B$43)-(B3205))))*IF(AND(ArtifactsInput!$M$42,((Inputs!$B$9+((C3186=TRUE)*(F3186-Calc!F19))+B3198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171">
        <f>290*U3170/1000</f>
        <v/>
      </c>
      <c r="V3171">
        <f>IF(C3171,(H3171*N3171*IF(AND(Inputs!$B$38&lt;&gt;"pvp",Inputs!$B$43&gt;0),((Skills!G4*((R3171-1)*IF(Skills!H4&gt;0,INT(IF(Inputs!$B$3&gt;=104,MIN(35,20*(1+Inputs!$B$34/100)),20)/Skills!H4+0.000000001),1)+IF(Skills!H4&gt;0,INT(MIN(IF(Inputs!$B$3&gt;=104,MIN(35,20*(1+Inputs!$B$34/100)),20),MAX(0,MAX(0,Inputs!$B$43-B3205)-((R3171-1)*(IF(Inputs!$B$38="pvp",15,MAX(0.1,Skills!D4-IF(TRUE=TRUE,3.0,0)))*(1-IF(AND(ArtifactsInput!$M$27,Inputs!$B$4="Chapter Hunt"),CHOOSE(ArtifactsInput!$N$27+1,20,24,28,32,36,40),0)/100)))))/Skills!H4+0.000000001),1)))/Inputs!$B$43),G3171*Q3171))*IF(Inputs!$B$38="pvp",1,(1+(Inputs!$B$21+Skills!Q4+(IF(ArtifactsInput!$M$33,CHOOSE(ArtifactsInput!$N$33+1,30,36,42,48,54,60),0))+(IF(AND(ArtifactsInput!$M$35,Inputs!$B$4&lt;&gt;"Chapter Hunt"),CHOOSE(ArtifactsInput!$N$35+1,15,18,21,24,27,30)*(1-EXP(-(0.2*B3200)*5)),0)+IF(AND(ArtifactsInput!$M$22,Inputs!$B$4&lt;&gt;"Chapter Hunt"),CHOOSE(ArtifactsInput!$N$22+1,10,12,14,16,18,20)*((0*(((0.15*B3200*5))^0/1)+1*(((0.15*B3200*5))^1/1)+2*(((0.15*B3200*5))^2/2)+3*(((0.15*B3200*5))^3/6)+4*(((0.15*B3200*5))^4/24)+5*(((0.15*B3200*5))^5/120))/((((0.15*B3200*5))^0/1)+(((0.15*B3200*5))^1/1)+(((0.15*B3200*5))^2/2)+(((0.15*B3200*5))^3/6)+(((0.15*B3200*5))^4/24)+(((0.15*B3200*5))^5/120))),0))+IF(Inputs!$B$3&gt;=54,9*(C3170=TRUE)*MIN(1,8*(1+Inputs!$B$34/100)*Q3170),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72">
      <c r="A3172">
        <f>Skills!A5</f>
        <v/>
      </c>
      <c r="B3172">
        <f>Skills!B5</f>
        <v/>
      </c>
      <c r="C3172">
        <f>Inputs!$B$3&gt;=69</f>
        <v/>
      </c>
      <c r="D3172">
        <f>IF(Skills!C5=1,60+Inputs!$B$25+Inputs!$B$29,IF(Skills!C5=2,90+Inputs!$B$26+Inputs!$B$29,IF(Skills!C5=3,120+Inputs!$B$27+Inputs!$B$29,MAX(0,(Inputs!$B$3-100)*3)+Inputs!$B$28+Inputs!$B$29)))</f>
        <v/>
      </c>
      <c r="E3172">
        <f>INDEX(FactorTable!$B$2:$Y$301, MATCH(ROUND(MIN(300,MAX(1,D3172)),0), FactorTable!$A$2:$A$301,0), Skills!M5+1)</f>
        <v/>
      </c>
      <c r="F3172">
        <f>IF(Skills!N5=TRUE,(Skills!L5/10)*(E3172/1000),Skills!L5/10)+Skills!O5</f>
        <v/>
      </c>
      <c r="G3172">
        <f>Skills!G5*IF(Skills!H5&gt;0,INT(IF(Inputs!$B$38="pvp",MIN(IF(Inputs!$B$3&gt;=104,MIN(35,20*(1+Inputs!$B$34/100)),20),15),IF(Inputs!$B$3&gt;=104,MIN(35,20*(1+Inputs!$B$34/100)),20))/Skills!H5+0.000000001),1)</f>
        <v/>
      </c>
      <c r="H3172">
        <f>1-(1-Skills!J5/100)^Skills!K5</f>
        <v/>
      </c>
      <c r="I3172" t="inlineStr">
        <is>
          <t>1</t>
        </is>
      </c>
      <c r="J3172">
        <f>((Inputs!$B$6*(1+Inputs!$B$7/100))+(((Inputs!$B$12*(1+Inputs!$B$13/100))-(Inputs!$B$12*(1+Inputs!$B$13/100)))+0.25*(Inputs!$B$14-Inputs!$B$14))*(1+Inputs!$B$7/100))*(F3172/100)</f>
        <v/>
      </c>
      <c r="K3172">
        <f>J3172*(1+((Inputs!$B$12*(1+Inputs!$B$13/100))*0.01+Inputs!$B$14*0.0025)/100)*(1+Inputs!$B$15/100)*(1+Inputs!$B$16/100)*(5000/(6000+Inputs!$B$42*(1-(100*(1-(1-(Inputs!$B$19+0)/100)*(1-CHOOSE(ArtifactsInput!$N$40+1,5,6,7,8,9,10)/100)^(ArtifactsInput!$M$40-ArtifactsInput!$M$40)))/100)))*(1+(Inputs!$B$24+((C3193=TRUE)*(F3193-Calc!F26))+B3204)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+0.4*IF(C3183=TRUE,F3183,0)/100)*(1+(IF(Skills!A5="EIGHT_LEGS_EASTON",Inputs!$B$17+((C3190=TRUE)*(F3190-Calc!F23))+((C3194=TRUE)*(F3194-Calc!F27))+((IF(AND(Inputs!$B$38&lt;&gt;"pvp",Inputs!$B$43=0),1,IF(IF(Inputs!$B$38="pvp",15,Inputs!$B$43)-(B3205)&lt;=0,1,MAX(0,IF(Inputs!$B$38="pvp",15,Inputs!$B$43)-MAX(5,B3205))/(IF(Inputs!$B$38="pvp",15,Inputs!$B$43)-(B3205))))*(IF(AND(ArtifactsInput!$M$42,((Inputs!$B$9+((C3186=TRUE)*(F3186-Calc!F19))+B3198+(ArtifactsInput!$M$24-ArtifactsInput!$M$24)*CHOOSE(ArtifactsInput!$N$24+1,10,12,14,16,18,20)+IF(ArtifactsInput!$M$10,CHOOSE(ArtifactsInput!$N$10+1,15,18,21,24,27,30)*(IF(Inputs!$B$38="pvp",MIN(15,15)/15,IF(AND(Inputs!$B$38&lt;&gt;"pvp",Inputs!$B$43&gt;0),MIN(15,Inputs!$B$43)/(Inputs!$B$43),0))),0)))&gt;=100),MIN(100,((Inputs!$B$9+((C3186=TRUE)*(F3186-Calc!F19))+B3198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3205)&lt;=0,1,MAX(0,IF(Inputs!$B$38="pvp",15,Inputs!$B$43)-MAX(5,B3205))/(IF(Inputs!$B$38="pvp",15,Inputs!$B$43)-(B3205))))*IF(AND(ArtifactsInput!$M$42,((Inputs!$B$9+((C3186=TRUE)*(F3186-Calc!F19))+B3198+(ArtifactsInput!$M$24-ArtifactsInput!$M$24)*CHOOSE(ArtifactsInput!$N$24+1,10,12,14,16,18,20)+IF(ArtifactsInput!$M$10,CHOOSE(ArtifactsInput!$N$10+1,15,18,21,24,27,30)*(IF(Inputs!$B$38="pvp",MIN(15,15)/15,IF(AND(Inputs!$B$38&lt;&gt;"pvp",Inputs!$B$43&gt;0),MIN(15,Inputs!$B$43)/(Inputs!$B$43),0))),0)))&gt;=100),CHOOSE(ArtifactsInput!$N$42+1,40,48,56,64,72,80),0))))/100)*((1+(((C3184=TRUE)*F3184*5/7)+((C3191=TRUE)*(F3191-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3172)</f>
        <v/>
      </c>
      <c r="L3172">
        <f>K3172*(MIN(Inputs!$B$22+((C3189=TRUE)*(F3189-Calc!F22)),(Inputs!$B$23+0+(IF(ArtifactsInput!$M$15,CHOOSE(ArtifactsInput!$N$15+1,25,30,35,40,45,50)/100*(Inputs!$B$11-Inputs!$B$11),0))))/100+(Inputs!$B$23+0+(IF(ArtifactsInput!$M$15,CHOOSE(ArtifactsInput!$N$15+1,25,30,35,40,45,50)/100*(Inputs!$B$11-Inputs!$B$11),0)))/100)/2</f>
        <v/>
      </c>
      <c r="M3172">
        <f>L3172*(1+(Inputs!$B$10+((C3192=TRUE)*(F3192-Calc!F25))+B3203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72">
        <f>L3172*(1-MIN((Inputs!$B$9+((C3186=TRUE)*(F3186-Calc!F19))+B3198+(ArtifactsInput!$M$24-ArtifactsInput!$M$24)*CHOOSE(ArtifactsInput!$N$24+1,10,12,14,16,18,20)+(IF(AND(Inputs!$B$38&lt;&gt;"pvp",Inputs!$B$43=0),1,IF(IF(Inputs!$B$38="pvp",15,Inputs!$B$43)-(B3205)&lt;=0,1,MAX(0,IF(Inputs!$B$38="pvp",15,Inputs!$B$43)-MAX(5,B3205))/(IF(Inputs!$B$38="pvp",15,Inputs!$B$43)-(B3205))))*IF(AND(ArtifactsInput!$M$42,((Inputs!$B$9+((C3186=TRUE)*(F3186-Calc!F19))+B3198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3172*(MIN((Inputs!$B$9+((C3186=TRUE)*(F3186-Calc!F19))+B3198+(ArtifactsInput!$M$24-ArtifactsInput!$M$24)*CHOOSE(ArtifactsInput!$N$24+1,10,12,14,16,18,20)+(IF(AND(Inputs!$B$38&lt;&gt;"pvp",Inputs!$B$43=0),1,IF(IF(Inputs!$B$38="pvp",15,Inputs!$B$43)-(B3205)&lt;=0,1,MAX(0,IF(Inputs!$B$38="pvp",15,Inputs!$B$43)-MAX(5,B3205))/(IF(Inputs!$B$38="pvp",15,Inputs!$B$43)-(B3205))))*IF(AND(ArtifactsInput!$M$42,((Inputs!$B$9+((C3186=TRUE)*(F3186-Calc!F19))+B3198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72">
        <f>(1-Summary!$B$11)*T3172+Summary!$B$11*V3172</f>
        <v/>
      </c>
      <c r="P3172">
        <f>IF(B3208=0,0,O3172/B3208)</f>
        <v/>
      </c>
      <c r="Q3172">
        <f>IFERROR(1/(IF(Inputs!$B$38="pvp",15,MAX(0.1,Skills!D5-IF(TRUE=TRUE,3.0,0)))*(1-IF(AND(ArtifactsInput!$M$27,Inputs!$B$4="Chapter Hunt"),CHOOSE(ArtifactsInput!$N$27+1,20,24,28,32,36,40),0)/100)),0)</f>
        <v/>
      </c>
      <c r="R3172">
        <f>IF(AND(Inputs!$B$38&lt;&gt;"pvp",Inputs!$B$43&gt;0),IF(MAX(0,Inputs!$B$43-B3205)&lt;=0,0,(INT(MAX(0,Inputs!$B$43-B3205)/(IF(Inputs!$B$38="pvp",15,MAX(0.1,Skills!D5-IF(TRUE=TRUE,3.0,0)))*(1-IF(AND(ArtifactsInput!$M$27,Inputs!$B$4="Chapter Hunt"),CHOOSE(ArtifactsInput!$N$27+1,20,24,28,32,36,40),0)/100)))+1)),0)</f>
        <v/>
      </c>
      <c r="S3172">
        <f>IFERROR(O3172/N3172,0)</f>
        <v/>
      </c>
      <c r="T3172">
        <f>IF(C3172,(H3172*N3172*IF(AND(Inputs!$B$38&lt;&gt;"pvp",Inputs!$B$43&gt;0),((Skills!G5*((R3172-1)*IF(Skills!H5&gt;0,INT(IF(Inputs!$B$3&gt;=104,MIN(35,20*(1+Inputs!$B$34/100)),20)/Skills!H5+0.000000001),1)+IF(Skills!H5&gt;0,INT(MIN(IF(Inputs!$B$3&gt;=104,MIN(35,20*(1+Inputs!$B$34/100)),20),MAX(0,MAX(0,Inputs!$B$43-B3205)-((R3172-1)*(IF(Inputs!$B$38="pvp",15,MAX(0.1,Skills!D5-IF(TRUE=TRUE,3.0,0)))*(1-IF(AND(ArtifactsInput!$M$27,Inputs!$B$4="Chapter Hunt"),CHOOSE(ArtifactsInput!$N$27+1,20,24,28,32,36,40),0)/100)))))/Skills!H5+0.000000001),1)))/Inputs!$B$43),G3172*Q3172))*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Hunt"),CHOOSE(ArtifactsInput!$N$35+1,15,18,21,24,27,30)*(1-EXP(-(0.2*B3200)*5)),0)+IF(AND(ArtifactsInput!$M$22,Inputs!$B$4&lt;&gt;"Chapter Hunt"),CHOOSE(ArtifactsInput!$N$22+1,10,12,14,16,18,20)*((0*(((0.15*B3200*5))^0/1)+1*(((0.15*B3200*5))^1/1)+2*(((0.15*B3200*5))^2/2)+3*(((0.15*B3200*5))^3/6)+4*(((0.15*B3200*5))^4/24)+5*(((0.15*B3200*5))^5/120))/((((0.15*B3200*5))^0/1)+(((0.15*B3200*5))^1/1)+(((0.15*B3200*5))^2/2)+(((0.15*B3200*5))^3/6)+(((0.15*B3200*5))^4/24)+(((0.15*B3200*5))^5/120))),0))+IF(Inputs!$B$3&gt;=54,9*(C3170=TRUE)*MIN(1,8*(1+Inputs!$B$34/100)*Q3170)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3172*(1-MIN(100,(Inputs!$B$9+((C3186=TRUE)*(F3186-Calc!F19))+B3198+(ArtifactsInput!$M$24-ArtifactsInput!$M$24)*CHOOSE(ArtifactsInput!$N$24+1,10,12,14,16,18,20)+(IF(AND(Inputs!$B$38&lt;&gt;"pvp",Inputs!$B$43=0),1,IF(IF(Inputs!$B$38="pvp",15,Inputs!$B$43)-(B3205)&lt;=0,1,MAX(0,IF(Inputs!$B$38="pvp",15,Inputs!$B$43)-MAX(5,B3205))/(IF(Inputs!$B$38="pvp",15,Inputs!$B$43)-(B3205))))*IF(AND(ArtifactsInput!$M$42,((Inputs!$B$9+((C3186=TRUE)*(F3186-Calc!F19))+B3198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3172*(MIN(100,(Inputs!$B$9+((C3186=TRUE)*(F3186-Calc!F19))+B3198+(ArtifactsInput!$M$24-ArtifactsInput!$M$24)*CHOOSE(ArtifactsInput!$N$24+1,10,12,14,16,18,20)+(IF(AND(Inputs!$B$38&lt;&gt;"pvp",Inputs!$B$43=0),1,IF(IF(Inputs!$B$38="pvp",15,Inputs!$B$43)-(B3205)&lt;=0,1,MAX(0,IF(Inputs!$B$38="pvp",15,Inputs!$B$43)-MAX(5,B3205))/(IF(Inputs!$B$38="pvp",15,Inputs!$B$43)-(B3205))))*IF(AND(ArtifactsInput!$M$42,((Inputs!$B$9+((C3186=TRUE)*(F3186-Calc!F19))+B3198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3172*(1-MIN(100,(Inputs!$B$9+((C3186=TRUE)*(F3186-Calc!F19))+B3198+(ArtifactsInput!$M$24-ArtifactsInput!$M$24)*CHOOSE(ArtifactsInput!$N$24+1,10,12,14,16,18,20)+(IF(AND(Inputs!$B$38&lt;&gt;"pvp",Inputs!$B$43=0),1,IF(IF(Inputs!$B$38="pvp",15,Inputs!$B$43)-(B3205)&lt;=0,1,MAX(0,IF(Inputs!$B$38="pvp",15,Inputs!$B$43)-MAX(5,B3205))/(IF(Inputs!$B$38="pvp",15,Inputs!$B$43)-(B3205))))*IF(AND(ArtifactsInput!$M$42,((Inputs!$B$9+((C3186=TRUE)*(F3186-Calc!F19))+B3198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3172*(MIN(100,(Inputs!$B$9+((C3186=TRUE)*(F3186-Calc!F19))+B3198+(ArtifactsInput!$M$24-ArtifactsInput!$M$24)*CHOOSE(ArtifactsInput!$N$24+1,10,12,14,16,18,20)+(IF(AND(Inputs!$B$38&lt;&gt;"pvp",Inputs!$B$43=0),1,IF(IF(Inputs!$B$38="pvp",15,Inputs!$B$43)-(B3205)&lt;=0,1,MAX(0,IF(Inputs!$B$38="pvp",15,Inputs!$B$43)-MAX(5,B3205))/(IF(Inputs!$B$38="pvp",15,Inputs!$B$43)-(B3205))))*IF(AND(ArtifactsInput!$M$42,((Inputs!$B$9+((C3186=TRUE)*(F3186-Calc!F19))+B3198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172">
        <f>IF(C3172,(H3172*N3172*IF(AND(Inputs!$B$38&lt;&gt;"pvp",Inputs!$B$43&gt;0),((Skills!G5*((R3172-1)*IF(Skills!H5&gt;0,INT(IF(Inputs!$B$3&gt;=104,MIN(35,20*(1+Inputs!$B$34/100)),20)/Skills!H5+0.000000001),1)+IF(Skills!H5&gt;0,INT(MIN(IF(Inputs!$B$3&gt;=104,MIN(35,20*(1+Inputs!$B$34/100)),20),MAX(0,MAX(0,Inputs!$B$43-B3205)-((R3172-1)*(IF(Inputs!$B$38="pvp",15,MAX(0.1,Skills!D5-IF(TRUE=TRUE,3.0,0)))*(1-IF(AND(ArtifactsInput!$M$27,Inputs!$B$4="Chapter Hunt"),CHOOSE(ArtifactsInput!$N$27+1,20,24,28,32,36,40),0)/100)))))/Skills!H5+0.000000001),1)))/Inputs!$B$43),G3172*Q3172))*IF(Inputs!$B$38="pvp",1,(1+(Inputs!$B$21+Skills!Q5+(IF(ArtifactsInput!$M$33,CHOOSE(ArtifactsInput!$N$33+1,30,36,42,48,54,60),0))+(IF(AND(ArtifactsInput!$M$35,Inputs!$B$4&lt;&gt;"Chapter Hunt"),CHOOSE(ArtifactsInput!$N$35+1,15,18,21,24,27,30)*(1-EXP(-(0.2*B3200)*5)),0)+IF(AND(ArtifactsInput!$M$22,Inputs!$B$4&lt;&gt;"Chapter Hunt"),CHOOSE(ArtifactsInput!$N$22+1,10,12,14,16,18,20)*((0*(((0.15*B3200*5))^0/1)+1*(((0.15*B3200*5))^1/1)+2*(((0.15*B3200*5))^2/2)+3*(((0.15*B3200*5))^3/6)+4*(((0.15*B3200*5))^4/24)+5*(((0.15*B3200*5))^5/120))/((((0.15*B3200*5))^0/1)+(((0.15*B3200*5))^1/1)+(((0.15*B3200*5))^2/2)+(((0.15*B3200*5))^3/6)+(((0.15*B3200*5))^4/24)+(((0.15*B3200*5))^5/120))),0))+IF(Inputs!$B$3&gt;=54,9*(C3170=TRUE)*MIN(1,8*(1+Inputs!$B$34/100)*Q3170)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73">
      <c r="A3173">
        <f>Skills!A6</f>
        <v/>
      </c>
      <c r="B3173">
        <f>Skills!B6</f>
        <v/>
      </c>
      <c r="C3173">
        <f>Inputs!$B$3&gt;=66</f>
        <v/>
      </c>
      <c r="D3173">
        <f>IF(Skills!C6=1,60+Inputs!$B$25+Inputs!$B$29,IF(Skills!C6=2,90+Inputs!$B$26+Inputs!$B$29,IF(Skills!C6=3,120+Inputs!$B$27+Inputs!$B$29,MAX(0,(Inputs!$B$3-100)*3)+Inputs!$B$28+Inputs!$B$29)))</f>
        <v/>
      </c>
      <c r="E3173">
        <f>INDEX(FactorTable!$B$2:$Y$301, MATCH(ROUND(MIN(300,MAX(1,D3173)),0), FactorTable!$A$2:$A$301,0), Skills!M6+1)</f>
        <v/>
      </c>
      <c r="F3173">
        <f>IF(Skills!N6=TRUE,(Skills!L6/10)*(E3173/1000),Skills!L6/10)+Skills!O6</f>
        <v/>
      </c>
      <c r="G3173">
        <f>Skills!G6*IF(Skills!H6&gt;0,INT(IF(Inputs!$B$38="pvp",MIN(Skills!I6,15),Skills!I6)/Skills!H6+0.000000001),1)</f>
        <v/>
      </c>
      <c r="H3173">
        <f>1-(1-Skills!J6/100)^Skills!K6</f>
        <v/>
      </c>
      <c r="I3173" t="inlineStr">
        <is>
          <t>1</t>
        </is>
      </c>
      <c r="J3173">
        <f>((Inputs!$B$6*(1+Inputs!$B$7/100))+(((Inputs!$B$12*(1+Inputs!$B$13/100))-(Inputs!$B$12*(1+Inputs!$B$13/100)))+0.25*(Inputs!$B$14-Inputs!$B$14))*(1+Inputs!$B$7/100))*(F3173/100)</f>
        <v/>
      </c>
      <c r="K3173">
        <f>J3173*(1+((Inputs!$B$12*(1+Inputs!$B$13/100))*0.01+Inputs!$B$14*0.0025)/100)*(1+Inputs!$B$15/100)*(1+Inputs!$B$16/100)*(5000/(6000+Inputs!$B$42*(1-(100*(1-(1-(Inputs!$B$19+0)/100)*(1-CHOOSE(ArtifactsInput!$N$40+1,5,6,7,8,9,10)/100)^(ArtifactsInput!$M$40-ArtifactsInput!$M$40)))/100)))*(1+(Inputs!$B$24+((C3193=TRUE)*(F3193-Calc!F26))+B3204)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+2.0*IF(C3182=TRUE,F3182,0)/100)*(1+(IF(Skills!A6="EIGHT_LEGS_EASTON",Inputs!$B$17+((C3190=TRUE)*(F3190-Calc!F23))+((C3194=TRUE)*(F3194-Calc!F27))+((IF(AND(Inputs!$B$38&lt;&gt;"pvp",Inputs!$B$43=0),1,IF(IF(Inputs!$B$38="pvp",15,Inputs!$B$43)-(B3205)&lt;=0,1,MAX(0,IF(Inputs!$B$38="pvp",15,Inputs!$B$43)-MAX(5,B3205))/(IF(Inputs!$B$38="pvp",15,Inputs!$B$43)-(B3205))))*(IF(AND(ArtifactsInput!$M$42,((Inputs!$B$9+((C3186=TRUE)*(F3186-Calc!F19))+B3198+(ArtifactsInput!$M$24-ArtifactsInput!$M$24)*CHOOSE(ArtifactsInput!$N$24+1,10,12,14,16,18,20)+IF(ArtifactsInput!$M$10,CHOOSE(ArtifactsInput!$N$10+1,15,18,21,24,27,30)*(IF(Inputs!$B$38="pvp",MIN(15,15)/15,IF(AND(Inputs!$B$38&lt;&gt;"pvp",Inputs!$B$43&gt;0),MIN(15,Inputs!$B$43)/(Inputs!$B$43),0))),0)))&gt;=100),MIN(100,((Inputs!$B$9+((C3186=TRUE)*(F3186-Calc!F19))+B3198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3205)&lt;=0,1,MAX(0,IF(Inputs!$B$38="pvp",15,Inputs!$B$43)-MAX(5,B3205))/(IF(Inputs!$B$38="pvp",15,Inputs!$B$43)-(B3205))))*IF(AND(ArtifactsInput!$M$42,((Inputs!$B$9+((C3186=TRUE)*(F3186-Calc!F19))+B3198+(ArtifactsInput!$M$24-ArtifactsInput!$M$24)*CHOOSE(ArtifactsInput!$N$24+1,10,12,14,16,18,20)+IF(ArtifactsInput!$M$10,CHOOSE(ArtifactsInput!$N$10+1,15,18,21,24,27,30)*(IF(Inputs!$B$38="pvp",MIN(15,15)/15,IF(AND(Inputs!$B$38&lt;&gt;"pvp",Inputs!$B$43&gt;0),MIN(15,Inputs!$B$43)/(Inputs!$B$43),0))),0)))&gt;=100),CHOOSE(ArtifactsInput!$N$42+1,40,48,56,64,72,80),0))))/100)*((1+(((C3184=TRUE)*F3184*5/7)+((C3191=TRUE)*(F3191-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3173)</f>
        <v/>
      </c>
      <c r="L3173">
        <f>K3173*(MIN(Inputs!$B$22+((C3189=TRUE)*(F3189-Calc!F22)),(Inputs!$B$23+0+(IF(ArtifactsInput!$M$15,CHOOSE(ArtifactsInput!$N$15+1,25,30,35,40,45,50)/100*(Inputs!$B$11-Inputs!$B$11),0))))/100+(Inputs!$B$23+0+(IF(ArtifactsInput!$M$15,CHOOSE(ArtifactsInput!$N$15+1,25,30,35,40,45,50)/100*(Inputs!$B$11-Inputs!$B$11),0)))/100)/2</f>
        <v/>
      </c>
      <c r="M3173">
        <f>L3173*(1+(Inputs!$B$10+((C3192=TRUE)*(F3192-Calc!F25))+B3203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73">
        <f>L3173*(1-MIN((Inputs!$B$9+((C3186=TRUE)*(F3186-Calc!F19))+B3198+(ArtifactsInput!$M$24-ArtifactsInput!$M$24)*CHOOSE(ArtifactsInput!$N$24+1,10,12,14,16,18,20)+(IF(AND(Inputs!$B$38&lt;&gt;"pvp",Inputs!$B$43=0),1,IF(IF(Inputs!$B$38="pvp",15,Inputs!$B$43)-(B3205)&lt;=0,1,MAX(0,IF(Inputs!$B$38="pvp",15,Inputs!$B$43)-MAX(5,B3205))/(IF(Inputs!$B$38="pvp",15,Inputs!$B$43)-(B3205))))*IF(AND(ArtifactsInput!$M$42,((Inputs!$B$9+((C3186=TRUE)*(F3186-Calc!F19))+B3198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3173*(MIN((Inputs!$B$9+((C3186=TRUE)*(F3186-Calc!F19))+B3198+(ArtifactsInput!$M$24-ArtifactsInput!$M$24)*CHOOSE(ArtifactsInput!$N$24+1,10,12,14,16,18,20)+(IF(AND(Inputs!$B$38&lt;&gt;"pvp",Inputs!$B$43=0),1,IF(IF(Inputs!$B$38="pvp",15,Inputs!$B$43)-(B3205)&lt;=0,1,MAX(0,IF(Inputs!$B$38="pvp",15,Inputs!$B$43)-MAX(5,B3205))/(IF(Inputs!$B$38="pvp",15,Inputs!$B$43)-(B3205))))*IF(AND(ArtifactsInput!$M$42,((Inputs!$B$9+((C3186=TRUE)*(F3186-Calc!F19))+B3198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73">
        <f>(1-Summary!$B$11)*T3173+Summary!$B$11*V3173</f>
        <v/>
      </c>
      <c r="P3173">
        <f>IF(B3208=0,0,O3173/B3208)</f>
        <v/>
      </c>
      <c r="Q3173">
        <f>IFERROR(1/(IF(Inputs!$B$38="pvp",15,MAX(0.1,Skills!D6-IF(TRUE=TRUE,3.0,0)))*(1-IF(AND(ArtifactsInput!$M$27,Inputs!$B$4="Chapter Hunt"),CHOOSE(ArtifactsInput!$N$27+1,20,24,28,32,36,40),0)/100)),0)</f>
        <v/>
      </c>
      <c r="R3173">
        <f>IF(AND(Inputs!$B$38&lt;&gt;"pvp",Inputs!$B$43&gt;0),IF(MAX(0,Inputs!$B$43-B3205)&lt;=0,0,(INT(MAX(0,Inputs!$B$43-B3205)/(IF(Inputs!$B$38="pvp",15,MAX(0.1,Skills!D6-IF(TRUE=TRUE,3.0,0)))*(1-IF(AND(ArtifactsInput!$M$27,Inputs!$B$4="Chapter Hunt"),CHOOSE(ArtifactsInput!$N$27+1,20,24,28,32,36,40),0)/100)))+1)),0)</f>
        <v/>
      </c>
      <c r="S3173">
        <f>IFERROR(O3173/N3173,0)</f>
        <v/>
      </c>
      <c r="T3173">
        <f>IF(C3173,(H3173*N3173*IF(AND(Inputs!$B$38&lt;&gt;"pvp",Inputs!$B$43&gt;0),((Skills!G6*((R3173-1)*IF(Skills!H6&gt;0,INT(Skills!I6/Skills!H6+0.000000001),1)+IF(Skills!H6&gt;0,INT(MIN(Skills!I6,MAX(0,MAX(0,Inputs!$B$43-B3205)-((R3173-1)*(IF(Inputs!$B$38="pvp",15,MAX(0.1,Skills!D6-IF(TRUE=TRUE,3.0,0)))*(1-IF(AND(ArtifactsInput!$M$27,Inputs!$B$4="Chapter Hunt"),CHOOSE(ArtifactsInput!$N$27+1,20,24,28,32,36,40),0)/100)))))/Skills!H6+0.000000001),1)))/Inputs!$B$43),G3173*Q3173))*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Hunt"),CHOOSE(ArtifactsInput!$N$35+1,15,18,21,24,27,30)*(1-EXP(-(0.2*B3200)*5)),0)+IF(AND(ArtifactsInput!$M$22,Inputs!$B$4&lt;&gt;"Chapter Hunt"),CHOOSE(ArtifactsInput!$N$22+1,10,12,14,16,18,20)*((0*(((0.15*B3200*5))^0/1)+1*(((0.15*B3200*5))^1/1)+2*(((0.15*B3200*5))^2/2)+3*(((0.15*B3200*5))^3/6)+4*(((0.15*B3200*5))^4/24)+5*(((0.15*B3200*5))^5/120))/((((0.15*B3200*5))^0/1)+(((0.15*B3200*5))^1/1)+(((0.15*B3200*5))^2/2)+(((0.15*B3200*5))^3/6)+(((0.15*B3200*5))^4/24)+(((0.15*B3200*5))^5/120))),0))+IF(Inputs!$B$3&gt;=54,9*(C3170=TRUE)*MIN(1,8*(1+Inputs!$B$34/100)*Q3170)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3173*(1-MIN(100,(Inputs!$B$9+((C3186=TRUE)*(F3186-Calc!F19))+B3198+(ArtifactsInput!$M$24-ArtifactsInput!$M$24)*CHOOSE(ArtifactsInput!$N$24+1,10,12,14,16,18,20)+(IF(AND(Inputs!$B$38&lt;&gt;"pvp",Inputs!$B$43=0),1,IF(IF(Inputs!$B$38="pvp",15,Inputs!$B$43)-(B3205)&lt;=0,1,MAX(0,IF(Inputs!$B$38="pvp",15,Inputs!$B$43)-MAX(5,B3205))/(IF(Inputs!$B$38="pvp",15,Inputs!$B$43)-(B3205))))*IF(AND(ArtifactsInput!$M$42,((Inputs!$B$9+((C3186=TRUE)*(F3186-Calc!F19))+B3198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3173*(MIN(100,(Inputs!$B$9+((C3186=TRUE)*(F3186-Calc!F19))+B3198+(ArtifactsInput!$M$24-ArtifactsInput!$M$24)*CHOOSE(ArtifactsInput!$N$24+1,10,12,14,16,18,20)+(IF(AND(Inputs!$B$38&lt;&gt;"pvp",Inputs!$B$43=0),1,IF(IF(Inputs!$B$38="pvp",15,Inputs!$B$43)-(B3205)&lt;=0,1,MAX(0,IF(Inputs!$B$38="pvp",15,Inputs!$B$43)-MAX(5,B3205))/(IF(Inputs!$B$38="pvp",15,Inputs!$B$43)-(B3205))))*IF(AND(ArtifactsInput!$M$42,((Inputs!$B$9+((C3186=TRUE)*(F3186-Calc!F19))+B3198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3173*(1-MIN(100,(Inputs!$B$9+((C3186=TRUE)*(F3186-Calc!F19))+B3198+(ArtifactsInput!$M$24-ArtifactsInput!$M$24)*CHOOSE(ArtifactsInput!$N$24+1,10,12,14,16,18,20)+(IF(AND(Inputs!$B$38&lt;&gt;"pvp",Inputs!$B$43=0),1,IF(IF(Inputs!$B$38="pvp",15,Inputs!$B$43)-(B3205)&lt;=0,1,MAX(0,IF(Inputs!$B$38="pvp",15,Inputs!$B$43)-MAX(5,B3205))/(IF(Inputs!$B$38="pvp",15,Inputs!$B$43)-(B3205))))*IF(AND(ArtifactsInput!$M$42,((Inputs!$B$9+((C3186=TRUE)*(F3186-Calc!F19))+B3198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3173*(MIN(100,(Inputs!$B$9+((C3186=TRUE)*(F3186-Calc!F19))+B3198+(ArtifactsInput!$M$24-ArtifactsInput!$M$24)*CHOOSE(ArtifactsInput!$N$24+1,10,12,14,16,18,20)+(IF(AND(Inputs!$B$38&lt;&gt;"pvp",Inputs!$B$43=0),1,IF(IF(Inputs!$B$38="pvp",15,Inputs!$B$43)-(B3205)&lt;=0,1,MAX(0,IF(Inputs!$B$38="pvp",15,Inputs!$B$43)-MAX(5,B3205))/(IF(Inputs!$B$38="pvp",15,Inputs!$B$43)-(B3205))))*IF(AND(ArtifactsInput!$M$42,((Inputs!$B$9+((C3186=TRUE)*(F3186-Calc!F19))+B3198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173">
        <f>IF(C3173,(H3173*N3173*IF(AND(Inputs!$B$38&lt;&gt;"pvp",Inputs!$B$43&gt;0),((Skills!G6*((R3173-1)*IF(Skills!H6&gt;0,INT(Skills!I6/Skills!H6+0.000000001),1)+IF(Skills!H6&gt;0,INT(MIN(Skills!I6,MAX(0,MAX(0,Inputs!$B$43-B3205)-((R3173-1)*(IF(Inputs!$B$38="pvp",15,MAX(0.1,Skills!D6-IF(TRUE=TRUE,3.0,0)))*(1-IF(AND(ArtifactsInput!$M$27,Inputs!$B$4="Chapter Hunt"),CHOOSE(ArtifactsInput!$N$27+1,20,24,28,32,36,40),0)/100)))))/Skills!H6+0.000000001),1)))/Inputs!$B$43),G3173*Q3173))*IF(Inputs!$B$38="pvp",1,(1+(Inputs!$B$21+Skills!Q6+(IF(ArtifactsInput!$M$33,CHOOSE(ArtifactsInput!$N$33+1,30,36,42,48,54,60),0))+(IF(AND(ArtifactsInput!$M$35,Inputs!$B$4&lt;&gt;"Chapter Hunt"),CHOOSE(ArtifactsInput!$N$35+1,15,18,21,24,27,30)*(1-EXP(-(0.2*B3200)*5)),0)+IF(AND(ArtifactsInput!$M$22,Inputs!$B$4&lt;&gt;"Chapter Hunt"),CHOOSE(ArtifactsInput!$N$22+1,10,12,14,16,18,20)*((0*(((0.15*B3200*5))^0/1)+1*(((0.15*B3200*5))^1/1)+2*(((0.15*B3200*5))^2/2)+3*(((0.15*B3200*5))^3/6)+4*(((0.15*B3200*5))^4/24)+5*(((0.15*B3200*5))^5/120))/((((0.15*B3200*5))^0/1)+(((0.15*B3200*5))^1/1)+(((0.15*B3200*5))^2/2)+(((0.15*B3200*5))^3/6)+(((0.15*B3200*5))^4/24)+(((0.15*B3200*5))^5/120))),0))+IF(Inputs!$B$3&gt;=54,9*(C3170=TRUE)*MIN(1,8*(1+Inputs!$B$34/100)*Q3170)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74">
      <c r="A3174">
        <f>Skills!A7</f>
        <v/>
      </c>
      <c r="B3174">
        <f>Skills!B7</f>
        <v/>
      </c>
      <c r="C3174">
        <f>Inputs!$B$3&gt;=63</f>
        <v/>
      </c>
      <c r="D3174">
        <f>IF(Skills!C7=1,60+Inputs!$B$25+Inputs!$B$29,IF(Skills!C7=2,90+Inputs!$B$26+Inputs!$B$29,IF(Skills!C7=3,120+Inputs!$B$27+Inputs!$B$29,MAX(0,(Inputs!$B$3-100)*3)+Inputs!$B$28+Inputs!$B$29)))</f>
        <v/>
      </c>
      <c r="E3174">
        <f>INDEX(FactorTable!$B$2:$Y$301, MATCH(ROUND(MIN(300,MAX(1,D3174)),0), FactorTable!$A$2:$A$301,0), Skills!M7+1)</f>
        <v/>
      </c>
      <c r="F3174">
        <f>IF(Skills!N7=TRUE,(Skills!L7/10)*(E3174/1000),Skills!L7/10)+Skills!O7</f>
        <v/>
      </c>
      <c r="G3174">
        <f>Skills!G7*IF(Skills!H7&gt;0,INT(IF(Inputs!$B$38="pvp",MIN(Skills!I7,15),Skills!I7)/Skills!H7+0.000000001),1)</f>
        <v/>
      </c>
      <c r="H3174">
        <f>1-(1-Skills!J7/100)^Skills!K7</f>
        <v/>
      </c>
      <c r="I3174" t="inlineStr">
        <is>
          <t>1</t>
        </is>
      </c>
      <c r="J3174">
        <f>((Inputs!$B$6*(1+Inputs!$B$7/100))+(((Inputs!$B$12*(1+Inputs!$B$13/100))-(Inputs!$B$12*(1+Inputs!$B$13/100)))+0.25*(Inputs!$B$14-Inputs!$B$14))*(1+Inputs!$B$7/100))*(F3174/100)</f>
        <v/>
      </c>
      <c r="K3174">
        <f>J3174*(1+((Inputs!$B$12*(1+Inputs!$B$13/100))*0.01+Inputs!$B$14*0.0025)/100)*(1+Inputs!$B$15/100)*(1+Inputs!$B$16/100)*(5000/(6000+Inputs!$B$42*(1-(100*(1-(1-(Inputs!$B$19+0)/100)*(1-CHOOSE(ArtifactsInput!$N$40+1,5,6,7,8,9,10)/100)^(ArtifactsInput!$M$40-ArtifactsInput!$M$40)))/100)))*(1+(Inputs!$B$24+((C3193=TRUE)*(F3193-Calc!F26))+B3204)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3182=TRUE,F3182,0)/100)*(1+(IF(Skills!A7="EIGHT_LEGS_EASTON",Inputs!$B$17+((C3190=TRUE)*(F3190-Calc!F23))+((C3194=TRUE)*(F3194-Calc!F27))+((IF(AND(Inputs!$B$38&lt;&gt;"pvp",Inputs!$B$43=0),1,IF(IF(Inputs!$B$38="pvp",15,Inputs!$B$43)-(B3205)&lt;=0,1,MAX(0,IF(Inputs!$B$38="pvp",15,Inputs!$B$43)-MAX(5,B3205))/(IF(Inputs!$B$38="pvp",15,Inputs!$B$43)-(B3205))))*(IF(AND(ArtifactsInput!$M$42,((Inputs!$B$9+((C3186=TRUE)*(F3186-Calc!F19))+B3198+(ArtifactsInput!$M$24-ArtifactsInput!$M$24)*CHOOSE(ArtifactsInput!$N$24+1,10,12,14,16,18,20)+IF(ArtifactsInput!$M$10,CHOOSE(ArtifactsInput!$N$10+1,15,18,21,24,27,30)*(IF(Inputs!$B$38="pvp",MIN(15,15)/15,IF(AND(Inputs!$B$38&lt;&gt;"pvp",Inputs!$B$43&gt;0),MIN(15,Inputs!$B$43)/(Inputs!$B$43),0))),0)))&gt;=100),MIN(100,((Inputs!$B$9+((C3186=TRUE)*(F3186-Calc!F19))+B3198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3205)&lt;=0,1,MAX(0,IF(Inputs!$B$38="pvp",15,Inputs!$B$43)-MAX(5,B3205))/(IF(Inputs!$B$38="pvp",15,Inputs!$B$43)-(B3205))))*IF(AND(ArtifactsInput!$M$42,((Inputs!$B$9+((C3186=TRUE)*(F3186-Calc!F19))+B3198+(ArtifactsInput!$M$24-ArtifactsInput!$M$24)*CHOOSE(ArtifactsInput!$N$24+1,10,12,14,16,18,20)+IF(ArtifactsInput!$M$10,CHOOSE(ArtifactsInput!$N$10+1,15,18,21,24,27,30)*(IF(Inputs!$B$38="pvp",MIN(15,15)/15,IF(AND(Inputs!$B$38&lt;&gt;"pvp",Inputs!$B$43&gt;0),MIN(15,Inputs!$B$43)/(Inputs!$B$43),0))),0)))&gt;=100),CHOOSE(ArtifactsInput!$N$42+1,40,48,56,64,72,80),0))))/100)*((1+(((C3184=TRUE)*F3184*5/7)+((C3191=TRUE)*(F3191-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3174)</f>
        <v/>
      </c>
      <c r="L3174">
        <f>K3174*(MIN(Inputs!$B$22+((C3189=TRUE)*(F3189-Calc!F22)),(Inputs!$B$23+0+(IF(ArtifactsInput!$M$15,CHOOSE(ArtifactsInput!$N$15+1,25,30,35,40,45,50)/100*(Inputs!$B$11-Inputs!$B$11),0))))/100+(Inputs!$B$23+0+(IF(ArtifactsInput!$M$15,CHOOSE(ArtifactsInput!$N$15+1,25,30,35,40,45,50)/100*(Inputs!$B$11-Inputs!$B$11),0)))/100)/2</f>
        <v/>
      </c>
      <c r="M3174">
        <f>L3174*(1+(Inputs!$B$10+((C3192=TRUE)*(F3192-Calc!F25))+B3203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74">
        <f>L3174*(1-MIN((Inputs!$B$9+((C3186=TRUE)*(F3186-Calc!F19))+B3198+(ArtifactsInput!$M$24-ArtifactsInput!$M$24)*CHOOSE(ArtifactsInput!$N$24+1,10,12,14,16,18,20)+(IF(AND(Inputs!$B$38&lt;&gt;"pvp",Inputs!$B$43=0),1,IF(IF(Inputs!$B$38="pvp",15,Inputs!$B$43)-(B3205)&lt;=0,1,MAX(0,IF(Inputs!$B$38="pvp",15,Inputs!$B$43)-MAX(5,B3205))/(IF(Inputs!$B$38="pvp",15,Inputs!$B$43)-(B3205))))*IF(AND(ArtifactsInput!$M$42,((Inputs!$B$9+((C3186=TRUE)*(F3186-Calc!F19))+B3198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3174*(MIN((Inputs!$B$9+((C3186=TRUE)*(F3186-Calc!F19))+B3198+(ArtifactsInput!$M$24-ArtifactsInput!$M$24)*CHOOSE(ArtifactsInput!$N$24+1,10,12,14,16,18,20)+(IF(AND(Inputs!$B$38&lt;&gt;"pvp",Inputs!$B$43=0),1,IF(IF(Inputs!$B$38="pvp",15,Inputs!$B$43)-(B3205)&lt;=0,1,MAX(0,IF(Inputs!$B$38="pvp",15,Inputs!$B$43)-MAX(5,B3205))/(IF(Inputs!$B$38="pvp",15,Inputs!$B$43)-(B3205))))*IF(AND(ArtifactsInput!$M$42,((Inputs!$B$9+((C3186=TRUE)*(F3186-Calc!F19))+B3198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74">
        <f>(1-Summary!$B$11)*T3174+Summary!$B$11*V3174</f>
        <v/>
      </c>
      <c r="P3174">
        <f>IF(B3208=0,0,O3174/B3208)</f>
        <v/>
      </c>
      <c r="Q3174">
        <f>IFERROR(1/(IF(Inputs!$B$38="pvp",15,MAX(0.1,Skills!D7-IF(TRUE=TRUE,3.0,0)))*(1-IF(AND(ArtifactsInput!$M$27,Inputs!$B$4="Chapter Hunt"),CHOOSE(ArtifactsInput!$N$27+1,20,24,28,32,36,40),0)/100)),0)</f>
        <v/>
      </c>
      <c r="R3174">
        <f>IF(AND(Inputs!$B$38&lt;&gt;"pvp",Inputs!$B$43&gt;0),IF(MAX(0,Inputs!$B$43-B3205)&lt;=0,0,(INT(MAX(0,Inputs!$B$43-B3205)/(IF(Inputs!$B$38="pvp",15,MAX(0.1,Skills!D7-IF(TRUE=TRUE,3.0,0)))*(1-IF(AND(ArtifactsInput!$M$27,Inputs!$B$4="Chapter Hunt"),CHOOSE(ArtifactsInput!$N$27+1,20,24,28,32,36,40),0)/100)))+1)),0)</f>
        <v/>
      </c>
      <c r="S3174">
        <f>IFERROR(O3174/N3174,0)</f>
        <v/>
      </c>
      <c r="T3174">
        <f>IF(C3174,(H3174*N3174*IF(AND(Inputs!$B$38&lt;&gt;"pvp",Inputs!$B$43&gt;0),((Skills!G7*((R3174-1)*IF(Skills!H7&gt;0,INT(Skills!I7/Skills!H7+0.000000001),1)+IF(Skills!H7&gt;0,INT(MIN(Skills!I7,MAX(0,MAX(0,Inputs!$B$43-B3205)-((R3174-1)*(IF(Inputs!$B$38="pvp",15,MAX(0.1,Skills!D7-IF(TRUE=TRUE,3.0,0)))*(1-IF(AND(ArtifactsInput!$M$27,Inputs!$B$4="Chapter Hunt"),CHOOSE(ArtifactsInput!$N$27+1,20,24,28,32,36,40),0)/100)))))/Skills!H7+0.000000001),1)))/Inputs!$B$43),G3174*Q3174))*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Hunt"),CHOOSE(ArtifactsInput!$N$35+1,15,18,21,24,27,30)*(1-EXP(-(0.2*B3200)*5)),0)+IF(AND(ArtifactsInput!$M$22,Inputs!$B$4&lt;&gt;"Chapter Hunt"),CHOOSE(ArtifactsInput!$N$22+1,10,12,14,16,18,20)*((0*(((0.15*B3200*5))^0/1)+1*(((0.15*B3200*5))^1/1)+2*(((0.15*B3200*5))^2/2)+3*(((0.15*B3200*5))^3/6)+4*(((0.15*B3200*5))^4/24)+5*(((0.15*B3200*5))^5/120))/((((0.15*B3200*5))^0/1)+(((0.15*B3200*5))^1/1)+(((0.15*B3200*5))^2/2)+(((0.15*B3200*5))^3/6)+(((0.15*B3200*5))^4/24)+(((0.15*B3200*5))^5/120))),0))+IF(Inputs!$B$3&gt;=54,9*(C3170=TRUE)*MIN(1,8*(1+Inputs!$B$34/100)*Q3170)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3174*(1-MIN(100,(Inputs!$B$9+((C3186=TRUE)*(F3186-Calc!F19))+B3198+(ArtifactsInput!$M$24-ArtifactsInput!$M$24)*CHOOSE(ArtifactsInput!$N$24+1,10,12,14,16,18,20)+(IF(AND(Inputs!$B$38&lt;&gt;"pvp",Inputs!$B$43=0),1,IF(IF(Inputs!$B$38="pvp",15,Inputs!$B$43)-(B3205)&lt;=0,1,MAX(0,IF(Inputs!$B$38="pvp",15,Inputs!$B$43)-MAX(5,B3205))/(IF(Inputs!$B$38="pvp",15,Inputs!$B$43)-(B3205))))*IF(AND(ArtifactsInput!$M$42,((Inputs!$B$9+((C3186=TRUE)*(F3186-Calc!F19))+B3198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3174*(MIN(100,(Inputs!$B$9+((C3186=TRUE)*(F3186-Calc!F19))+B3198+(ArtifactsInput!$M$24-ArtifactsInput!$M$24)*CHOOSE(ArtifactsInput!$N$24+1,10,12,14,16,18,20)+(IF(AND(Inputs!$B$38&lt;&gt;"pvp",Inputs!$B$43=0),1,IF(IF(Inputs!$B$38="pvp",15,Inputs!$B$43)-(B3205)&lt;=0,1,MAX(0,IF(Inputs!$B$38="pvp",15,Inputs!$B$43)-MAX(5,B3205))/(IF(Inputs!$B$38="pvp",15,Inputs!$B$43)-(B3205))))*IF(AND(ArtifactsInput!$M$42,((Inputs!$B$9+((C3186=TRUE)*(F3186-Calc!F19))+B3198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3174*(1-MIN(100,(Inputs!$B$9+((C3186=TRUE)*(F3186-Calc!F19))+B3198+(ArtifactsInput!$M$24-ArtifactsInput!$M$24)*CHOOSE(ArtifactsInput!$N$24+1,10,12,14,16,18,20)+(IF(AND(Inputs!$B$38&lt;&gt;"pvp",Inputs!$B$43=0),1,IF(IF(Inputs!$B$38="pvp",15,Inputs!$B$43)-(B3205)&lt;=0,1,MAX(0,IF(Inputs!$B$38="pvp",15,Inputs!$B$43)-MAX(5,B3205))/(IF(Inputs!$B$38="pvp",15,Inputs!$B$43)-(B3205))))*IF(AND(ArtifactsInput!$M$42,((Inputs!$B$9+((C3186=TRUE)*(F3186-Calc!F19))+B3198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3174*(MIN(100,(Inputs!$B$9+((C3186=TRUE)*(F3186-Calc!F19))+B3198+(ArtifactsInput!$M$24-ArtifactsInput!$M$24)*CHOOSE(ArtifactsInput!$N$24+1,10,12,14,16,18,20)+(IF(AND(Inputs!$B$38&lt;&gt;"pvp",Inputs!$B$43=0),1,IF(IF(Inputs!$B$38="pvp",15,Inputs!$B$43)-(B3205)&lt;=0,1,MAX(0,IF(Inputs!$B$38="pvp",15,Inputs!$B$43)-MAX(5,B3205))/(IF(Inputs!$B$38="pvp",15,Inputs!$B$43)-(B3205))))*IF(AND(ArtifactsInput!$M$42,((Inputs!$B$9+((C3186=TRUE)*(F3186-Calc!F19))+B3198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174">
        <f>IF(C3174,(H3174*N3174*IF(AND(Inputs!$B$38&lt;&gt;"pvp",Inputs!$B$43&gt;0),((Skills!G7*((R3174-1)*IF(Skills!H7&gt;0,INT(Skills!I7/Skills!H7+0.000000001),1)+IF(Skills!H7&gt;0,INT(MIN(Skills!I7,MAX(0,MAX(0,Inputs!$B$43-B3205)-((R3174-1)*(IF(Inputs!$B$38="pvp",15,MAX(0.1,Skills!D7-IF(TRUE=TRUE,3.0,0)))*(1-IF(AND(ArtifactsInput!$M$27,Inputs!$B$4="Chapter Hunt"),CHOOSE(ArtifactsInput!$N$27+1,20,24,28,32,36,40),0)/100)))))/Skills!H7+0.000000001),1)))/Inputs!$B$43),G3174*Q3174))*IF(Inputs!$B$38="pvp",1,(1+(Inputs!$B$21+Skills!Q7+(IF(ArtifactsInput!$M$33,CHOOSE(ArtifactsInput!$N$33+1,30,36,42,48,54,60),0))+(IF(AND(ArtifactsInput!$M$35,Inputs!$B$4&lt;&gt;"Chapter Hunt"),CHOOSE(ArtifactsInput!$N$35+1,15,18,21,24,27,30)*(1-EXP(-(0.2*B3200)*5)),0)+IF(AND(ArtifactsInput!$M$22,Inputs!$B$4&lt;&gt;"Chapter Hunt"),CHOOSE(ArtifactsInput!$N$22+1,10,12,14,16,18,20)*((0*(((0.15*B3200*5))^0/1)+1*(((0.15*B3200*5))^1/1)+2*(((0.15*B3200*5))^2/2)+3*(((0.15*B3200*5))^3/6)+4*(((0.15*B3200*5))^4/24)+5*(((0.15*B3200*5))^5/120))/((((0.15*B3200*5))^0/1)+(((0.15*B3200*5))^1/1)+(((0.15*B3200*5))^2/2)+(((0.15*B3200*5))^3/6)+(((0.15*B3200*5))^4/24)+(((0.15*B3200*5))^5/120))),0))+IF(Inputs!$B$3&gt;=54,9*(C3170=TRUE)*MIN(1,8*(1+Inputs!$B$34/100)*Q3170)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75">
      <c r="A3175">
        <f>Skills!A8</f>
        <v/>
      </c>
      <c r="B3175">
        <f>Skills!B8</f>
        <v/>
      </c>
      <c r="C3175">
        <f>Inputs!$B$3&gt;=103</f>
        <v/>
      </c>
      <c r="D3175">
        <f>IF(Skills!C8=1,60+Inputs!$B$25+Inputs!$B$29,IF(Skills!C8=2,90+Inputs!$B$26+Inputs!$B$29,IF(Skills!C8=3,120+Inputs!$B$27+Inputs!$B$29,MAX(0,(Inputs!$B$3-100)*3)+Inputs!$B$28+Inputs!$B$29)))</f>
        <v/>
      </c>
      <c r="E3175">
        <f>INDEX(FactorTable!$B$2:$Y$301, MATCH(ROUND(MIN(300,MAX(1,D3175)),0), FactorTable!$A$2:$A$301,0), Skills!M8+1)</f>
        <v/>
      </c>
      <c r="F3175">
        <f>IF(Skills!N8=TRUE,(Skills!L8/10)*(E3175/1000),Skills!L8/10)+Skills!O8</f>
        <v/>
      </c>
      <c r="G3175">
        <f>Skills!G8*IF(Skills!H8&gt;0,INT(IF(Inputs!$B$38="pvp",MIN(Skills!I8,15),Skills!I8)/Skills!H8+0.000000001),1)</f>
        <v/>
      </c>
      <c r="H3175">
        <f>1-(1-Skills!J8/100)^Skills!K8</f>
        <v/>
      </c>
      <c r="I3175" t="inlineStr">
        <is>
          <t>1</t>
        </is>
      </c>
      <c r="J3175">
        <f>((Inputs!$B$6*(1+Inputs!$B$7/100))+(((Inputs!$B$12*(1+Inputs!$B$13/100))-(Inputs!$B$12*(1+Inputs!$B$13/100)))+0.25*(Inputs!$B$14-Inputs!$B$14))*(1+Inputs!$B$7/100))*(F3175/100)</f>
        <v/>
      </c>
      <c r="K3175">
        <f>J3175*(1+((Inputs!$B$12*(1+Inputs!$B$13/100))*0.01+Inputs!$B$14*0.0025)/100)*(1+Inputs!$B$15/100)*(1+Inputs!$B$16/100)*(5000/(6000+Inputs!$B$42*(1-(100*(1-(1-(Inputs!$B$19+0)/100)*(1-CHOOSE(ArtifactsInput!$N$40+1,5,6,7,8,9,10)/100)^(ArtifactsInput!$M$40-ArtifactsInput!$M$40)))/100)))*(1+(Inputs!$B$24+((C3193=TRUE)*(F3193-Calc!F26))+B3204)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IGHT_LEGS_EASTON",Inputs!$B$17+((C3190=TRUE)*(F3190-Calc!F23))+((C3194=TRUE)*(F3194-Calc!F27))+((IF(AND(Inputs!$B$38&lt;&gt;"pvp",Inputs!$B$43=0),1,IF(IF(Inputs!$B$38="pvp",15,Inputs!$B$43)-(B3205)&lt;=0,1,MAX(0,IF(Inputs!$B$38="pvp",15,Inputs!$B$43)-MAX(5,B3205))/(IF(Inputs!$B$38="pvp",15,Inputs!$B$43)-(B3205))))*(IF(AND(ArtifactsInput!$M$42,((Inputs!$B$9+((C3186=TRUE)*(F3186-Calc!F19))+B3198+(ArtifactsInput!$M$24-ArtifactsInput!$M$24)*CHOOSE(ArtifactsInput!$N$24+1,10,12,14,16,18,20)+IF(ArtifactsInput!$M$10,CHOOSE(ArtifactsInput!$N$10+1,15,18,21,24,27,30)*(IF(Inputs!$B$38="pvp",MIN(15,15)/15,IF(AND(Inputs!$B$38&lt;&gt;"pvp",Inputs!$B$43&gt;0),MIN(15,Inputs!$B$43)/(Inputs!$B$43),0))),0)))&gt;=100),MIN(100,((Inputs!$B$9+((C3186=TRUE)*(F3186-Calc!F19))+B3198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3205)&lt;=0,1,MAX(0,IF(Inputs!$B$38="pvp",15,Inputs!$B$43)-MAX(5,B3205))/(IF(Inputs!$B$38="pvp",15,Inputs!$B$43)-(B3205))))*IF(AND(ArtifactsInput!$M$42,((Inputs!$B$9+((C3186=TRUE)*(F3186-Calc!F19))+B3198+(ArtifactsInput!$M$24-ArtifactsInput!$M$24)*CHOOSE(ArtifactsInput!$N$24+1,10,12,14,16,18,20)+IF(ArtifactsInput!$M$10,CHOOSE(ArtifactsInput!$N$10+1,15,18,21,24,27,30)*(IF(Inputs!$B$38="pvp",MIN(15,15)/15,IF(AND(Inputs!$B$38&lt;&gt;"pvp",Inputs!$B$43&gt;0),MIN(15,Inputs!$B$43)/(Inputs!$B$43),0))),0)))&gt;=100),CHOOSE(ArtifactsInput!$N$42+1,40,48,56,64,72,80),0))))/100)*((1+(((C3184=TRUE)*F3184*5/7)+((C3191=TRUE)*(F3191-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3175)</f>
        <v/>
      </c>
      <c r="L3175">
        <f>K3175*(MIN(Inputs!$B$22+((C3189=TRUE)*(F3189-Calc!F22)),(Inputs!$B$23+0+(IF(ArtifactsInput!$M$15,CHOOSE(ArtifactsInput!$N$15+1,25,30,35,40,45,50)/100*(Inputs!$B$11-Inputs!$B$11),0))))/100+(Inputs!$B$23+0+(IF(ArtifactsInput!$M$15,CHOOSE(ArtifactsInput!$N$15+1,25,30,35,40,45,50)/100*(Inputs!$B$11-Inputs!$B$11),0)))/100)/2</f>
        <v/>
      </c>
      <c r="M3175">
        <f>L3175*(1+(Inputs!$B$10+((C3192=TRUE)*(F3192-Calc!F25))+B3203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75">
        <f>L3175*(1-MIN((Inputs!$B$9+((C3186=TRUE)*(F3186-Calc!F19))+B3198+(ArtifactsInput!$M$24-ArtifactsInput!$M$24)*CHOOSE(ArtifactsInput!$N$24+1,10,12,14,16,18,20)+(IF(AND(Inputs!$B$38&lt;&gt;"pvp",Inputs!$B$43=0),1,IF(IF(Inputs!$B$38="pvp",15,Inputs!$B$43)-(B3205)&lt;=0,1,MAX(0,IF(Inputs!$B$38="pvp",15,Inputs!$B$43)-MAX(5,B3205))/(IF(Inputs!$B$38="pvp",15,Inputs!$B$43)-(B3205))))*IF(AND(ArtifactsInput!$M$42,((Inputs!$B$9+((C3186=TRUE)*(F3186-Calc!F19))+B3198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3175*(MIN((Inputs!$B$9+((C3186=TRUE)*(F3186-Calc!F19))+B3198+(ArtifactsInput!$M$24-ArtifactsInput!$M$24)*CHOOSE(ArtifactsInput!$N$24+1,10,12,14,16,18,20)+(IF(AND(Inputs!$B$38&lt;&gt;"pvp",Inputs!$B$43=0),1,IF(IF(Inputs!$B$38="pvp",15,Inputs!$B$43)-(B3205)&lt;=0,1,MAX(0,IF(Inputs!$B$38="pvp",15,Inputs!$B$43)-MAX(5,B3205))/(IF(Inputs!$B$38="pvp",15,Inputs!$B$43)-(B3205))))*IF(AND(ArtifactsInput!$M$42,((Inputs!$B$9+((C3186=TRUE)*(F3186-Calc!F19))+B3198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75">
        <f>(1-Summary!$B$11)*T3175+Summary!$B$11*V3175</f>
        <v/>
      </c>
      <c r="P3175">
        <f>IF(B3208=0,0,O3175/B3208)</f>
        <v/>
      </c>
      <c r="Q3175">
        <f>IFERROR(1/((IF(Inputs!$B$38="pvp",15,MAX(0.1,Skills!D8-IF(TRUE=TRUE,3.0,0)))*(1-IF(AND(ArtifactsInput!$M$27,Inputs!$B$4="Chapter Hunt"),CHOOSE(ArtifactsInput!$N$27+1,20,24,28,32,36,40),0)/100))/B3209),0)</f>
        <v/>
      </c>
      <c r="R3175">
        <f>IF(AND(Inputs!$B$38&lt;&gt;"pvp",Inputs!$B$43&gt;0),IF(MAX(0,Inputs!$B$43-B3205)&lt;=0,0,(INT(MAX(0,Inputs!$B$43-B3205)/((IF(Inputs!$B$38="pvp",15,MAX(0.1,Skills!D8-IF(TRUE=TRUE,3.0,0)))*(1-IF(AND(ArtifactsInput!$M$27,Inputs!$B$4="Chapter Hunt"),CHOOSE(ArtifactsInput!$N$27+1,20,24,28,32,36,40),0)/100))/B3209))+1)),0)</f>
        <v/>
      </c>
      <c r="S3175">
        <f>IFERROR(O3175/N3175,0)</f>
        <v/>
      </c>
      <c r="T3175">
        <f>IF(C3175,(H3175*N3175*IF(AND(Inputs!$B$38&lt;&gt;"pvp",Inputs!$B$43&gt;0),((Skills!G8*((R3175-1)*IF(Skills!H8&gt;0,INT(Skills!I8/Skills!H8+0.000000001),1)+IF(Skills!H8&gt;0,INT(MIN(Skills!I8,MAX(0,MAX(0,Inputs!$B$43-B3205)-((R3175-1)*((IF(Inputs!$B$38="pvp",15,MAX(0.1,Skills!D8-IF(TRUE=TRUE,3.0,0)))*(1-IF(AND(ArtifactsInput!$M$27,Inputs!$B$4="Chapter Hunt"),CHOOSE(ArtifactsInput!$N$27+1,20,24,28,32,36,40),0)/100))/B3209))))/Skills!H8+0.000000001),1)))/Inputs!$B$43),G3175*Q3175))*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Hunt"),CHOOSE(ArtifactsInput!$N$35+1,15,18,21,24,27,30)*(1-EXP(-(0.2*B3200)*5)),0)+IF(AND(ArtifactsInput!$M$22,Inputs!$B$4&lt;&gt;"Chapter Hunt"),CHOOSE(ArtifactsInput!$N$22+1,10,12,14,16,18,20)*((0*(((0.15*B3200*5))^0/1)+1*(((0.15*B3200*5))^1/1)+2*(((0.15*B3200*5))^2/2)+3*(((0.15*B3200*5))^3/6)+4*(((0.15*B3200*5))^4/24)+5*(((0.15*B3200*5))^5/120))/((((0.15*B3200*5))^0/1)+(((0.15*B3200*5))^1/1)+(((0.15*B3200*5))^2/2)+(((0.15*B3200*5))^3/6)+(((0.15*B3200*5))^4/24)+(((0.15*B3200*5))^5/120))),0))+IF(Inputs!$B$3&gt;=54,9*(C3170=TRUE)*MIN(1,8*(1+Inputs!$B$34/100)*Q3170)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3175*(1-MIN(100,(Inputs!$B$9+((C3186=TRUE)*(F3186-Calc!F19))+B3198+(ArtifactsInput!$M$24-ArtifactsInput!$M$24)*CHOOSE(ArtifactsInput!$N$24+1,10,12,14,16,18,20)+(IF(AND(Inputs!$B$38&lt;&gt;"pvp",Inputs!$B$43=0),1,IF(IF(Inputs!$B$38="pvp",15,Inputs!$B$43)-(B3205)&lt;=0,1,MAX(0,IF(Inputs!$B$38="pvp",15,Inputs!$B$43)-MAX(5,B3205))/(IF(Inputs!$B$38="pvp",15,Inputs!$B$43)-(B3205))))*IF(AND(ArtifactsInput!$M$42,((Inputs!$B$9+((C3186=TRUE)*(F3186-Calc!F19))+B3198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3175*(MIN(100,(Inputs!$B$9+((C3186=TRUE)*(F3186-Calc!F19))+B3198+(ArtifactsInput!$M$24-ArtifactsInput!$M$24)*CHOOSE(ArtifactsInput!$N$24+1,10,12,14,16,18,20)+(IF(AND(Inputs!$B$38&lt;&gt;"pvp",Inputs!$B$43=0),1,IF(IF(Inputs!$B$38="pvp",15,Inputs!$B$43)-(B3205)&lt;=0,1,MAX(0,IF(Inputs!$B$38="pvp",15,Inputs!$B$43)-MAX(5,B3205))/(IF(Inputs!$B$38="pvp",15,Inputs!$B$43)-(B3205))))*IF(AND(ArtifactsInput!$M$42,((Inputs!$B$9+((C3186=TRUE)*(F3186-Calc!F19))+B3198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3175*(1-MIN(100,(Inputs!$B$9+((C3186=TRUE)*(F3186-Calc!F19))+B3198+(ArtifactsInput!$M$24-ArtifactsInput!$M$24)*CHOOSE(ArtifactsInput!$N$24+1,10,12,14,16,18,20)+(IF(AND(Inputs!$B$38&lt;&gt;"pvp",Inputs!$B$43=0),1,IF(IF(Inputs!$B$38="pvp",15,Inputs!$B$43)-(B3205)&lt;=0,1,MAX(0,IF(Inputs!$B$38="pvp",15,Inputs!$B$43)-MAX(5,B3205))/(IF(Inputs!$B$38="pvp",15,Inputs!$B$43)-(B3205))))*IF(AND(ArtifactsInput!$M$42,((Inputs!$B$9+((C3186=TRUE)*(F3186-Calc!F19))+B3198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3175*(MIN(100,(Inputs!$B$9+((C3186=TRUE)*(F3186-Calc!F19))+B3198+(ArtifactsInput!$M$24-ArtifactsInput!$M$24)*CHOOSE(ArtifactsInput!$N$24+1,10,12,14,16,18,20)+(IF(AND(Inputs!$B$38&lt;&gt;"pvp",Inputs!$B$43=0),1,IF(IF(Inputs!$B$38="pvp",15,Inputs!$B$43)-(B3205)&lt;=0,1,MAX(0,IF(Inputs!$B$38="pvp",15,Inputs!$B$43)-MAX(5,B3205))/(IF(Inputs!$B$38="pvp",15,Inputs!$B$43)-(B3205))))*IF(AND(ArtifactsInput!$M$42,((Inputs!$B$9+((C3186=TRUE)*(F3186-Calc!F19))+B3198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175">
        <f>IF(C3175,(H3175*N3175*IF(AND(Inputs!$B$38&lt;&gt;"pvp",Inputs!$B$43&gt;0),((Skills!G8*((R3175-1)*IF(Skills!H8&gt;0,INT(Skills!I8/Skills!H8+0.000000001),1)+IF(Skills!H8&gt;0,INT(MIN(Skills!I8,MAX(0,MAX(0,Inputs!$B$43-B3205)-((R3175-1)*((IF(Inputs!$B$38="pvp",15,MAX(0.1,Skills!D8-IF(TRUE=TRUE,3.0,0)))*(1-IF(AND(ArtifactsInput!$M$27,Inputs!$B$4="Chapter Hunt"),CHOOSE(ArtifactsInput!$N$27+1,20,24,28,32,36,40),0)/100))/B3209))))/Skills!H8+0.000000001),1)))/Inputs!$B$43),G3175*Q3175))*IF(Inputs!$B$38="pvp",1,(1+(Inputs!$B$21+Skills!Q8+(IF(ArtifactsInput!$M$33,CHOOSE(ArtifactsInput!$N$33+1,30,36,42,48,54,60),0))+(IF(AND(ArtifactsInput!$M$35,Inputs!$B$4&lt;&gt;"Chapter Hunt"),CHOOSE(ArtifactsInput!$N$35+1,15,18,21,24,27,30)*(1-EXP(-(0.2*B3200)*5)),0)+IF(AND(ArtifactsInput!$M$22,Inputs!$B$4&lt;&gt;"Chapter Hunt"),CHOOSE(ArtifactsInput!$N$22+1,10,12,14,16,18,20)*((0*(((0.15*B3200*5))^0/1)+1*(((0.15*B3200*5))^1/1)+2*(((0.15*B3200*5))^2/2)+3*(((0.15*B3200*5))^3/6)+4*(((0.15*B3200*5))^4/24)+5*(((0.15*B3200*5))^5/120))/((((0.15*B3200*5))^0/1)+(((0.15*B3200*5))^1/1)+(((0.15*B3200*5))^2/2)+(((0.15*B3200*5))^3/6)+(((0.15*B3200*5))^4/24)+(((0.15*B3200*5))^5/120))),0))+IF(Inputs!$B$3&gt;=54,9*(C3170=TRUE)*MIN(1,8*(1+Inputs!$B$34/100)*Q3170)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76">
      <c r="A3176">
        <f>Skills!A9</f>
        <v/>
      </c>
      <c r="B3176">
        <f>Skills!B9</f>
        <v/>
      </c>
      <c r="C3176">
        <f>Inputs!$B$3&gt;=105</f>
        <v/>
      </c>
      <c r="D3176">
        <f>IF(Skills!C9=1,60+Inputs!$B$25+Inputs!$B$29,IF(Skills!C9=2,90+Inputs!$B$26+Inputs!$B$29,IF(Skills!C9=3,120+Inputs!$B$27+Inputs!$B$29,MAX(0,(Inputs!$B$3-100)*3)+Inputs!$B$28+Inputs!$B$29)))</f>
        <v/>
      </c>
      <c r="E3176">
        <f>INDEX(FactorTable!$B$2:$Y$301, MATCH(ROUND(MIN(300,MAX(1,D3176)),0), FactorTable!$A$2:$A$301,0), Skills!M9+1)</f>
        <v/>
      </c>
      <c r="F3176">
        <f>IF(Skills!N9=TRUE,(Skills!L9/10)*(E3176/1000),Skills!L9/10)+Skills!O9</f>
        <v/>
      </c>
      <c r="G3176">
        <f>Skills!G9*IF(Skills!H9&gt;0,INT(IF(Inputs!$B$38="pvp",MIN(Skills!I9,15),Skills!I9)/Skills!H9+0.000000001),1)</f>
        <v/>
      </c>
      <c r="H3176">
        <f>1-(1-Skills!J9/100)^Skills!K9</f>
        <v/>
      </c>
      <c r="I3176" t="inlineStr">
        <is>
          <t>1</t>
        </is>
      </c>
      <c r="J3176">
        <f>((Inputs!$B$6*(1+Inputs!$B$7/100))+(((Inputs!$B$12*(1+Inputs!$B$13/100))-(Inputs!$B$12*(1+Inputs!$B$13/100)))+0.25*(Inputs!$B$14-Inputs!$B$14))*(1+Inputs!$B$7/100))*(F3176/100)</f>
        <v/>
      </c>
      <c r="K3176">
        <f>J3176*(1+((Inputs!$B$12*(1+Inputs!$B$13/100))*0.01+Inputs!$B$14*0.0025)/100)*(1+Inputs!$B$15/100)*(1+Inputs!$B$16/100)*(5000/(6000+Inputs!$B$42*(1-(100*(1-(1-(Inputs!$B$19+0)/100)*(1-CHOOSE(ArtifactsInput!$N$40+1,5,6,7,8,9,10)/100)^(ArtifactsInput!$M$40-ArtifactsInput!$M$40)))/100)))*(1+(Inputs!$B$24+((C3193=TRUE)*(F3193-Calc!F26))+B3204)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IGHT_LEGS_EASTON",Inputs!$B$17+((C3190=TRUE)*(F3190-Calc!F23))+((C3194=TRUE)*(F3194-Calc!F27))+((IF(AND(Inputs!$B$38&lt;&gt;"pvp",Inputs!$B$43=0),1,IF(IF(Inputs!$B$38="pvp",15,Inputs!$B$43)-(B3205)&lt;=0,1,MAX(0,IF(Inputs!$B$38="pvp",15,Inputs!$B$43)-MAX(5,B3205))/(IF(Inputs!$B$38="pvp",15,Inputs!$B$43)-(B3205))))*(IF(AND(ArtifactsInput!$M$42,((Inputs!$B$9+((C3186=TRUE)*(F3186-Calc!F19))+B3198+(ArtifactsInput!$M$24-ArtifactsInput!$M$24)*CHOOSE(ArtifactsInput!$N$24+1,10,12,14,16,18,20)+IF(ArtifactsInput!$M$10,CHOOSE(ArtifactsInput!$N$10+1,15,18,21,24,27,30)*(IF(Inputs!$B$38="pvp",MIN(15,15)/15,IF(AND(Inputs!$B$38&lt;&gt;"pvp",Inputs!$B$43&gt;0),MIN(15,Inputs!$B$43)/(Inputs!$B$43),0))),0)))&gt;=100),MIN(100,((Inputs!$B$9+((C3186=TRUE)*(F3186-Calc!F19))+B3198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3205)&lt;=0,1,MAX(0,IF(Inputs!$B$38="pvp",15,Inputs!$B$43)-MAX(5,B3205))/(IF(Inputs!$B$38="pvp",15,Inputs!$B$43)-(B3205))))*IF(AND(ArtifactsInput!$M$42,((Inputs!$B$9+((C3186=TRUE)*(F3186-Calc!F19))+B3198+(ArtifactsInput!$M$24-ArtifactsInput!$M$24)*CHOOSE(ArtifactsInput!$N$24+1,10,12,14,16,18,20)+IF(ArtifactsInput!$M$10,CHOOSE(ArtifactsInput!$N$10+1,15,18,21,24,27,30)*(IF(Inputs!$B$38="pvp",MIN(15,15)/15,IF(AND(Inputs!$B$38&lt;&gt;"pvp",Inputs!$B$43&gt;0),MIN(15,Inputs!$B$43)/(Inputs!$B$43),0))),0)))&gt;=100),CHOOSE(ArtifactsInput!$N$42+1,40,48,56,64,72,80),0))))/100)*((1+(((C3184=TRUE)*F3184*5/7)+((C3191=TRUE)*(F3191-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3176)</f>
        <v/>
      </c>
      <c r="L3176">
        <f>K3176*(MIN(Inputs!$B$22+((C3189=TRUE)*(F3189-Calc!F22)),(Inputs!$B$23+0+(IF(ArtifactsInput!$M$15,CHOOSE(ArtifactsInput!$N$15+1,25,30,35,40,45,50)/100*(Inputs!$B$11-Inputs!$B$11),0))))/100+(Inputs!$B$23+0+(IF(ArtifactsInput!$M$15,CHOOSE(ArtifactsInput!$N$15+1,25,30,35,40,45,50)/100*(Inputs!$B$11-Inputs!$B$11),0)))/100)/2</f>
        <v/>
      </c>
      <c r="M3176">
        <f>L3176*(1+(Inputs!$B$10+((C3192=TRUE)*(F3192-Calc!F25))+B3203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76">
        <f>L3176*(1-MIN((Inputs!$B$9+((C3186=TRUE)*(F3186-Calc!F19))+B3198+(ArtifactsInput!$M$24-ArtifactsInput!$M$24)*CHOOSE(ArtifactsInput!$N$24+1,10,12,14,16,18,20)+(IF(AND(Inputs!$B$38&lt;&gt;"pvp",Inputs!$B$43=0),1,IF(IF(Inputs!$B$38="pvp",15,Inputs!$B$43)-(B3205)&lt;=0,1,MAX(0,IF(Inputs!$B$38="pvp",15,Inputs!$B$43)-MAX(5,B3205))/(IF(Inputs!$B$38="pvp",15,Inputs!$B$43)-(B3205))))*IF(AND(ArtifactsInput!$M$42,((Inputs!$B$9+((C3186=TRUE)*(F3186-Calc!F19))+B3198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3176*(MIN((Inputs!$B$9+((C3186=TRUE)*(F3186-Calc!F19))+B3198+(ArtifactsInput!$M$24-ArtifactsInput!$M$24)*CHOOSE(ArtifactsInput!$N$24+1,10,12,14,16,18,20)+(IF(AND(Inputs!$B$38&lt;&gt;"pvp",Inputs!$B$43=0),1,IF(IF(Inputs!$B$38="pvp",15,Inputs!$B$43)-(B3205)&lt;=0,1,MAX(0,IF(Inputs!$B$38="pvp",15,Inputs!$B$43)-MAX(5,B3205))/(IF(Inputs!$B$38="pvp",15,Inputs!$B$43)-(B3205))))*IF(AND(ArtifactsInput!$M$42,((Inputs!$B$9+((C3186=TRUE)*(F3186-Calc!F19))+B3198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76">
        <f>(1-Summary!$B$11)*T3176+Summary!$B$11*V3176</f>
        <v/>
      </c>
      <c r="P3176">
        <f>IF(B3208=0,0,O3176/B3208)</f>
        <v/>
      </c>
      <c r="Q3176">
        <f>IFERROR(1/(IF(Inputs!$B$38="pvp",15,MAX(0.1,Skills!D9-IF(TRUE=TRUE,3.0,0)))*(1-IF(AND(ArtifactsInput!$M$27,Inputs!$B$4="Chapter Hunt"),CHOOSE(ArtifactsInput!$N$27+1,20,24,28,32,36,40),0)/100)),0)</f>
        <v/>
      </c>
      <c r="R3176">
        <f>IF(AND(Inputs!$B$38&lt;&gt;"pvp",Inputs!$B$43&gt;0),IF(MAX(0,Inputs!$B$43-B3205)&lt;=0,0,(INT(MAX(0,Inputs!$B$43-B3205)/(IF(Inputs!$B$38="pvp",15,MAX(0.1,Skills!D9-IF(TRUE=TRUE,3.0,0)))*(1-IF(AND(ArtifactsInput!$M$27,Inputs!$B$4="Chapter Hunt"),CHOOSE(ArtifactsInput!$N$27+1,20,24,28,32,36,40),0)/100)))+1)),0)</f>
        <v/>
      </c>
      <c r="S3176">
        <f>IFERROR(O3176/N3176,0)</f>
        <v/>
      </c>
      <c r="T3176">
        <f>IF(C3176,(H3176*N3176*IF(AND(Inputs!$B$38&lt;&gt;"pvp",Inputs!$B$43&gt;0),((Skills!G9*((R3176-1)*IF(Skills!H9&gt;0,INT(Skills!I9/Skills!H9+0.000000001),1)+IF(Skills!H9&gt;0,INT(MIN(Skills!I9,MAX(0,MAX(0,Inputs!$B$43-B3205)-((R3176-1)*(IF(Inputs!$B$38="pvp",15,MAX(0.1,Skills!D9-IF(TRUE=TRUE,3.0,0)))*(1-IF(AND(ArtifactsInput!$M$27,Inputs!$B$4="Chapter Hunt"),CHOOSE(ArtifactsInput!$N$27+1,20,24,28,32,36,40),0)/100)))))/Skills!H9+0.000000001),1)))/Inputs!$B$43),G3176*Q3176))*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Hunt"),CHOOSE(ArtifactsInput!$N$35+1,15,18,21,24,27,30)*(1-EXP(-(0.2*B3200)*5)),0)+IF(AND(ArtifactsInput!$M$22,Inputs!$B$4&lt;&gt;"Chapter Hunt"),CHOOSE(ArtifactsInput!$N$22+1,10,12,14,16,18,20)*((0*(((0.15*B3200*5))^0/1)+1*(((0.15*B3200*5))^1/1)+2*(((0.15*B3200*5))^2/2)+3*(((0.15*B3200*5))^3/6)+4*(((0.15*B3200*5))^4/24)+5*(((0.15*B3200*5))^5/120))/((((0.15*B3200*5))^0/1)+(((0.15*B3200*5))^1/1)+(((0.15*B3200*5))^2/2)+(((0.15*B3200*5))^3/6)+(((0.15*B3200*5))^4/24)+(((0.15*B3200*5))^5/120))),0))+IF(Inputs!$B$3&gt;=54,9*(C3170=TRUE)*MIN(1,8*(1+Inputs!$B$34/100)*Q3170)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3176*(1-MIN(100,(Inputs!$B$9+((C3186=TRUE)*(F3186-Calc!F19))+B3198+(ArtifactsInput!$M$24-ArtifactsInput!$M$24)*CHOOSE(ArtifactsInput!$N$24+1,10,12,14,16,18,20)+(IF(AND(Inputs!$B$38&lt;&gt;"pvp",Inputs!$B$43=0),1,IF(IF(Inputs!$B$38="pvp",15,Inputs!$B$43)-(B3205)&lt;=0,1,MAX(0,IF(Inputs!$B$38="pvp",15,Inputs!$B$43)-MAX(5,B3205))/(IF(Inputs!$B$38="pvp",15,Inputs!$B$43)-(B3205))))*IF(AND(ArtifactsInput!$M$42,((Inputs!$B$9+((C3186=TRUE)*(F3186-Calc!F19))+B3198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3176*(MIN(100,(Inputs!$B$9+((C3186=TRUE)*(F3186-Calc!F19))+B3198+(ArtifactsInput!$M$24-ArtifactsInput!$M$24)*CHOOSE(ArtifactsInput!$N$24+1,10,12,14,16,18,20)+(IF(AND(Inputs!$B$38&lt;&gt;"pvp",Inputs!$B$43=0),1,IF(IF(Inputs!$B$38="pvp",15,Inputs!$B$43)-(B3205)&lt;=0,1,MAX(0,IF(Inputs!$B$38="pvp",15,Inputs!$B$43)-MAX(5,B3205))/(IF(Inputs!$B$38="pvp",15,Inputs!$B$43)-(B3205))))*IF(AND(ArtifactsInput!$M$42,((Inputs!$B$9+((C3186=TRUE)*(F3186-Calc!F19))+B3198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3176*(1-MIN(100,(Inputs!$B$9+((C3186=TRUE)*(F3186-Calc!F19))+B3198+(ArtifactsInput!$M$24-ArtifactsInput!$M$24)*CHOOSE(ArtifactsInput!$N$24+1,10,12,14,16,18,20)+(IF(AND(Inputs!$B$38&lt;&gt;"pvp",Inputs!$B$43=0),1,IF(IF(Inputs!$B$38="pvp",15,Inputs!$B$43)-(B3205)&lt;=0,1,MAX(0,IF(Inputs!$B$38="pvp",15,Inputs!$B$43)-MAX(5,B3205))/(IF(Inputs!$B$38="pvp",15,Inputs!$B$43)-(B3205))))*IF(AND(ArtifactsInput!$M$42,((Inputs!$B$9+((C3186=TRUE)*(F3186-Calc!F19))+B3198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3176*(MIN(100,(Inputs!$B$9+((C3186=TRUE)*(F3186-Calc!F19))+B3198+(ArtifactsInput!$M$24-ArtifactsInput!$M$24)*CHOOSE(ArtifactsInput!$N$24+1,10,12,14,16,18,20)+(IF(AND(Inputs!$B$38&lt;&gt;"pvp",Inputs!$B$43=0),1,IF(IF(Inputs!$B$38="pvp",15,Inputs!$B$43)-(B3205)&lt;=0,1,MAX(0,IF(Inputs!$B$38="pvp",15,Inputs!$B$43)-MAX(5,B3205))/(IF(Inputs!$B$38="pvp",15,Inputs!$B$43)-(B3205))))*IF(AND(ArtifactsInput!$M$42,((Inputs!$B$9+((C3186=TRUE)*(F3186-Calc!F19))+B3198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176">
        <f>IF(C3176,(H3176*N3176*IF(AND(Inputs!$B$38&lt;&gt;"pvp",Inputs!$B$43&gt;0),((Skills!G9*((R3176-1)*IF(Skills!H9&gt;0,INT(Skills!I9/Skills!H9+0.000000001),1)+IF(Skills!H9&gt;0,INT(MIN(Skills!I9,MAX(0,MAX(0,Inputs!$B$43-B3205)-((R3176-1)*(IF(Inputs!$B$38="pvp",15,MAX(0.1,Skills!D9-IF(TRUE=TRUE,3.0,0)))*(1-IF(AND(ArtifactsInput!$M$27,Inputs!$B$4="Chapter Hunt"),CHOOSE(ArtifactsInput!$N$27+1,20,24,28,32,36,40),0)/100)))))/Skills!H9+0.000000001),1)))/Inputs!$B$43),G3176*Q3176))*IF(Inputs!$B$38="pvp",1,(1+(Inputs!$B$21+Skills!Q9+(IF(ArtifactsInput!$M$33,CHOOSE(ArtifactsInput!$N$33+1,30,36,42,48,54,60),0))+(IF(AND(ArtifactsInput!$M$35,Inputs!$B$4&lt;&gt;"Chapter Hunt"),CHOOSE(ArtifactsInput!$N$35+1,15,18,21,24,27,30)*(1-EXP(-(0.2*B3200)*5)),0)+IF(AND(ArtifactsInput!$M$22,Inputs!$B$4&lt;&gt;"Chapter Hunt"),CHOOSE(ArtifactsInput!$N$22+1,10,12,14,16,18,20)*((0*(((0.15*B3200*5))^0/1)+1*(((0.15*B3200*5))^1/1)+2*(((0.15*B3200*5))^2/2)+3*(((0.15*B3200*5))^3/6)+4*(((0.15*B3200*5))^4/24)+5*(((0.15*B3200*5))^5/120))/((((0.15*B3200*5))^0/1)+(((0.15*B3200*5))^1/1)+(((0.15*B3200*5))^2/2)+(((0.15*B3200*5))^3/6)+(((0.15*B3200*5))^4/24)+(((0.15*B3200*5))^5/120))),0))+IF(Inputs!$B$3&gt;=54,9*(C3170=TRUE)*MIN(1,8*(1+Inputs!$B$34/100)*Q3170)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77">
      <c r="A3177">
        <f>Skills!A10</f>
        <v/>
      </c>
      <c r="B3177">
        <f>Skills!B10</f>
        <v/>
      </c>
      <c r="C3177">
        <f>Inputs!$B$3&gt;=113</f>
        <v/>
      </c>
      <c r="D3177">
        <f>IF(Skills!C10=1,60+Inputs!$B$25+Inputs!$B$29,IF(Skills!C10=2,90+Inputs!$B$26+Inputs!$B$29,IF(Skills!C10=3,120+Inputs!$B$27+Inputs!$B$29,MAX(0,(Inputs!$B$3-100)*3)+Inputs!$B$28+Inputs!$B$29)))</f>
        <v/>
      </c>
      <c r="E3177">
        <f>INDEX(FactorTable!$B$2:$Y$301, MATCH(ROUND(MIN(300,MAX(1,D3177)),0), FactorTable!$A$2:$A$301,0), Skills!M10+1)</f>
        <v/>
      </c>
      <c r="F3177">
        <f>IF(Skills!N10=TRUE,(Skills!L10/10)*(E3177/1000),Skills!L10/10)+Skills!O10</f>
        <v/>
      </c>
      <c r="G3177">
        <f>Skills!G10*IF(Skills!H10&gt;0,INT(IF(Inputs!$B$38="pvp",MIN(Skills!I10,15),Skills!I10)/Skills!H10+0.000000001),1)</f>
        <v/>
      </c>
      <c r="H3177">
        <f>1-(1-Skills!J10/100)^Skills!K10</f>
        <v/>
      </c>
      <c r="I3177" t="inlineStr">
        <is>
          <t>1</t>
        </is>
      </c>
      <c r="J3177">
        <f>((Inputs!$B$6*(1+Inputs!$B$7/100))+(((Inputs!$B$12*(1+Inputs!$B$13/100))-(Inputs!$B$12*(1+Inputs!$B$13/100)))+0.25*(Inputs!$B$14-Inputs!$B$14))*(1+Inputs!$B$7/100))*(F3177/100)</f>
        <v/>
      </c>
      <c r="K3177">
        <f>J3177*(1+((Inputs!$B$12*(1+Inputs!$B$13/100))*0.01+Inputs!$B$14*0.0025)/100)*(1+Inputs!$B$15/100)*(1+Inputs!$B$16/100)*(5000/(6000+Inputs!$B$42*(1-(100*(1-(1-(Inputs!$B$19+0)/100)*(1-CHOOSE(ArtifactsInput!$N$40+1,5,6,7,8,9,10)/100)^(ArtifactsInput!$M$40-ArtifactsInput!$M$40)))/100)))*(1+(Inputs!$B$24+((C3193=TRUE)*(F3193-Calc!F26))+B3204)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IGHT_LEGS_EASTON",Inputs!$B$17+((C3190=TRUE)*(F3190-Calc!F23))+((C3194=TRUE)*(F3194-Calc!F27))+((IF(AND(Inputs!$B$38&lt;&gt;"pvp",Inputs!$B$43=0),1,IF(IF(Inputs!$B$38="pvp",15,Inputs!$B$43)-(B3205)&lt;=0,1,MAX(0,IF(Inputs!$B$38="pvp",15,Inputs!$B$43)-MAX(5,B3205))/(IF(Inputs!$B$38="pvp",15,Inputs!$B$43)-(B3205))))*(IF(AND(ArtifactsInput!$M$42,((Inputs!$B$9+((C3186=TRUE)*(F3186-Calc!F19))+B3198+(ArtifactsInput!$M$24-ArtifactsInput!$M$24)*CHOOSE(ArtifactsInput!$N$24+1,10,12,14,16,18,20)+IF(ArtifactsInput!$M$10,CHOOSE(ArtifactsInput!$N$10+1,15,18,21,24,27,30)*(IF(Inputs!$B$38="pvp",MIN(15,15)/15,IF(AND(Inputs!$B$38&lt;&gt;"pvp",Inputs!$B$43&gt;0),MIN(15,Inputs!$B$43)/(Inputs!$B$43),0))),0)))&gt;=100),MIN(100,((Inputs!$B$9+((C3186=TRUE)*(F3186-Calc!F19))+B3198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3205)&lt;=0,1,MAX(0,IF(Inputs!$B$38="pvp",15,Inputs!$B$43)-MAX(5,B3205))/(IF(Inputs!$B$38="pvp",15,Inputs!$B$43)-(B3205))))*IF(AND(ArtifactsInput!$M$42,((Inputs!$B$9+((C3186=TRUE)*(F3186-Calc!F19))+B3198+(ArtifactsInput!$M$24-ArtifactsInput!$M$24)*CHOOSE(ArtifactsInput!$N$24+1,10,12,14,16,18,20)+IF(ArtifactsInput!$M$10,CHOOSE(ArtifactsInput!$N$10+1,15,18,21,24,27,30)*(IF(Inputs!$B$38="pvp",MIN(15,15)/15,IF(AND(Inputs!$B$38&lt;&gt;"pvp",Inputs!$B$43&gt;0),MIN(15,Inputs!$B$43)/(Inputs!$B$43),0))),0)))&gt;=100),CHOOSE(ArtifactsInput!$N$42+1,40,48,56,64,72,80),0))))/100)*((1+(((C3184=TRUE)*F3184*5/7)+((C3191=TRUE)*(F3191-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3177)</f>
        <v/>
      </c>
      <c r="L3177">
        <f>K3177*(MIN(Inputs!$B$22+((C3189=TRUE)*(F3189-Calc!F22)),(Inputs!$B$23+0+(IF(ArtifactsInput!$M$15,CHOOSE(ArtifactsInput!$N$15+1,25,30,35,40,45,50)/100*(Inputs!$B$11-Inputs!$B$11),0))))/100+(Inputs!$B$23+0+(IF(ArtifactsInput!$M$15,CHOOSE(ArtifactsInput!$N$15+1,25,30,35,40,45,50)/100*(Inputs!$B$11-Inputs!$B$11),0)))/100)/2</f>
        <v/>
      </c>
      <c r="M3177">
        <f>L3177*(1+(Inputs!$B$10+((C3192=TRUE)*(F3192-Calc!F25))+B3203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77">
        <f>L3177*(1-MIN((Inputs!$B$9+((C3186=TRUE)*(F3186-Calc!F19))+B3198+(ArtifactsInput!$M$24-ArtifactsInput!$M$24)*CHOOSE(ArtifactsInput!$N$24+1,10,12,14,16,18,20)+(IF(AND(Inputs!$B$38&lt;&gt;"pvp",Inputs!$B$43=0),1,IF(IF(Inputs!$B$38="pvp",15,Inputs!$B$43)-(B3205)&lt;=0,1,MAX(0,IF(Inputs!$B$38="pvp",15,Inputs!$B$43)-MAX(5,B3205))/(IF(Inputs!$B$38="pvp",15,Inputs!$B$43)-(B3205))))*IF(AND(ArtifactsInput!$M$42,((Inputs!$B$9+((C3186=TRUE)*(F3186-Calc!F19))+B3198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3177*(MIN((Inputs!$B$9+((C3186=TRUE)*(F3186-Calc!F19))+B3198+(ArtifactsInput!$M$24-ArtifactsInput!$M$24)*CHOOSE(ArtifactsInput!$N$24+1,10,12,14,16,18,20)+(IF(AND(Inputs!$B$38&lt;&gt;"pvp",Inputs!$B$43=0),1,IF(IF(Inputs!$B$38="pvp",15,Inputs!$B$43)-(B3205)&lt;=0,1,MAX(0,IF(Inputs!$B$38="pvp",15,Inputs!$B$43)-MAX(5,B3205))/(IF(Inputs!$B$38="pvp",15,Inputs!$B$43)-(B3205))))*IF(AND(ArtifactsInput!$M$42,((Inputs!$B$9+((C3186=TRUE)*(F3186-Calc!F19))+B3198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77">
        <f>(1-Summary!$B$11)*T3177+Summary!$B$11*V3177</f>
        <v/>
      </c>
      <c r="P3177">
        <f>IF(B3208=0,0,O3177/B3208)</f>
        <v/>
      </c>
      <c r="Q3177" t="n">
        <v>0</v>
      </c>
      <c r="R3177" t="n">
        <v>0</v>
      </c>
      <c r="S3177">
        <f>IFERROR(O3177/N3177,0)</f>
        <v/>
      </c>
      <c r="T3177">
        <f>IF(C3177,((H3177*B3210)/(1+Skills!H10*H3177*B3210)*N3177)*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Hunt"),CHOOSE(ArtifactsInput!$N$35+1,15,18,21,24,27,30)*(1-EXP(-(0.2*B3200)*5)),0)+IF(AND(ArtifactsInput!$M$22,Inputs!$B$4&lt;&gt;"Chapter Hunt"),CHOOSE(ArtifactsInput!$N$22+1,10,12,14,16,18,20)*((0*(((0.15*B3200*5))^0/1)+1*(((0.15*B3200*5))^1/1)+2*(((0.15*B3200*5))^2/2)+3*(((0.15*B3200*5))^3/6)+4*(((0.15*B3200*5))^4/24)+5*(((0.15*B3200*5))^5/120))/((((0.15*B3200*5))^0/1)+(((0.15*B3200*5))^1/1)+(((0.15*B3200*5))^2/2)+(((0.15*B3200*5))^3/6)+(((0.15*B3200*5))^4/24)+(((0.15*B3200*5))^5/120))),0))+IF(Inputs!$B$3&gt;=54,9*(C3170=TRUE)*MIN(1,8*(1+Inputs!$B$34/100)*Q3170)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3177*(1-MIN(100,(Inputs!$B$9+((C3186=TRUE)*(F3186-Calc!F19))+B3198+(ArtifactsInput!$M$24-ArtifactsInput!$M$24)*CHOOSE(ArtifactsInput!$N$24+1,10,12,14,16,18,20)+(IF(AND(Inputs!$B$38&lt;&gt;"pvp",Inputs!$B$43=0),1,IF(IF(Inputs!$B$38="pvp",15,Inputs!$B$43)-(B3205)&lt;=0,1,MAX(0,IF(Inputs!$B$38="pvp",15,Inputs!$B$43)-MAX(5,B3205))/(IF(Inputs!$B$38="pvp",15,Inputs!$B$43)-(B3205))))*IF(AND(ArtifactsInput!$M$42,((Inputs!$B$9+((C3186=TRUE)*(F3186-Calc!F19))+B3198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3177*(MIN(100,(Inputs!$B$9+((C3186=TRUE)*(F3186-Calc!F19))+B3198+(ArtifactsInput!$M$24-ArtifactsInput!$M$24)*CHOOSE(ArtifactsInput!$N$24+1,10,12,14,16,18,20)+(IF(AND(Inputs!$B$38&lt;&gt;"pvp",Inputs!$B$43=0),1,IF(IF(Inputs!$B$38="pvp",15,Inputs!$B$43)-(B3205)&lt;=0,1,MAX(0,IF(Inputs!$B$38="pvp",15,Inputs!$B$43)-MAX(5,B3205))/(IF(Inputs!$B$38="pvp",15,Inputs!$B$43)-(B3205))))*IF(AND(ArtifactsInput!$M$42,((Inputs!$B$9+((C3186=TRUE)*(F3186-Calc!F19))+B3198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3177*(1-MIN(100,(Inputs!$B$9+((C3186=TRUE)*(F3186-Calc!F19))+B3198+(ArtifactsInput!$M$24-ArtifactsInput!$M$24)*CHOOSE(ArtifactsInput!$N$24+1,10,12,14,16,18,20)+(IF(AND(Inputs!$B$38&lt;&gt;"pvp",Inputs!$B$43=0),1,IF(IF(Inputs!$B$38="pvp",15,Inputs!$B$43)-(B3205)&lt;=0,1,MAX(0,IF(Inputs!$B$38="pvp",15,Inputs!$B$43)-MAX(5,B3205))/(IF(Inputs!$B$38="pvp",15,Inputs!$B$43)-(B3205))))*IF(AND(ArtifactsInput!$M$42,((Inputs!$B$9+((C3186=TRUE)*(F3186-Calc!F19))+B3198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3177*(MIN(100,(Inputs!$B$9+((C3186=TRUE)*(F3186-Calc!F19))+B3198+(ArtifactsInput!$M$24-ArtifactsInput!$M$24)*CHOOSE(ArtifactsInput!$N$24+1,10,12,14,16,18,20)+(IF(AND(Inputs!$B$38&lt;&gt;"pvp",Inputs!$B$43=0),1,IF(IF(Inputs!$B$38="pvp",15,Inputs!$B$43)-(B3205)&lt;=0,1,MAX(0,IF(Inputs!$B$38="pvp",15,Inputs!$B$43)-MAX(5,B3205))/(IF(Inputs!$B$38="pvp",15,Inputs!$B$43)-(B3205))))*IF(AND(ArtifactsInput!$M$42,((Inputs!$B$9+((C3186=TRUE)*(F3186-Calc!F19))+B3198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177">
        <f>IF(C3177,((H3177*B3210)/(1+Skills!H10*H3177*B3210)*N3177)*IF(Inputs!$B$38="pvp",1,(1+(Inputs!$B$21+Skills!Q10+(IF(ArtifactsInput!$M$33,CHOOSE(ArtifactsInput!$N$33+1,30,36,42,48,54,60),0))+(IF(AND(ArtifactsInput!$M$35,Inputs!$B$4&lt;&gt;"Chapter Hunt"),CHOOSE(ArtifactsInput!$N$35+1,15,18,21,24,27,30)*(1-EXP(-(0.2*B3200)*5)),0)+IF(AND(ArtifactsInput!$M$22,Inputs!$B$4&lt;&gt;"Chapter Hunt"),CHOOSE(ArtifactsInput!$N$22+1,10,12,14,16,18,20)*((0*(((0.15*B3200*5))^0/1)+1*(((0.15*B3200*5))^1/1)+2*(((0.15*B3200*5))^2/2)+3*(((0.15*B3200*5))^3/6)+4*(((0.15*B3200*5))^4/24)+5*(((0.15*B3200*5))^5/120))/((((0.15*B3200*5))^0/1)+(((0.15*B3200*5))^1/1)+(((0.15*B3200*5))^2/2)+(((0.15*B3200*5))^3/6)+(((0.15*B3200*5))^4/24)+(((0.15*B3200*5))^5/120))),0))+IF(Inputs!$B$3&gt;=54,9*(C3170=TRUE)*MIN(1,8*(1+Inputs!$B$34/100)*Q3170)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78">
      <c r="A3178">
        <f>Skills!A11</f>
        <v/>
      </c>
      <c r="B3178">
        <f>Skills!B11</f>
        <v/>
      </c>
      <c r="C3178">
        <f>Inputs!$B$3&gt;=117</f>
        <v/>
      </c>
      <c r="D3178">
        <f>IF(Skills!C11=1,60+Inputs!$B$25+Inputs!$B$29,IF(Skills!C11=2,90+Inputs!$B$26+Inputs!$B$29,IF(Skills!C11=3,120+Inputs!$B$27+Inputs!$B$29,MAX(0,(Inputs!$B$3-100)*3)+Inputs!$B$28+Inputs!$B$29)))</f>
        <v/>
      </c>
      <c r="E3178">
        <f>INDEX(FactorTable!$B$2:$Y$301, MATCH(ROUND(MIN(300,MAX(1,D3178)),0), FactorTable!$A$2:$A$301,0), Skills!M11+1)</f>
        <v/>
      </c>
      <c r="F3178">
        <f>IF(Skills!N11=TRUE,(Skills!L11/10)*(E3178/1000),Skills!L11/10)+Skills!O11</f>
        <v/>
      </c>
      <c r="G3178">
        <f>Skills!G11*IF(Skills!H11&gt;0,INT(IF(Inputs!$B$38="pvp",MIN(Skills!I11,15),Skills!I11)/Skills!H11+0.000000001),1)</f>
        <v/>
      </c>
      <c r="H3178">
        <f>1-(1-Skills!J11/100)^Skills!K11</f>
        <v/>
      </c>
      <c r="I3178" t="inlineStr">
        <is>
          <t>1</t>
        </is>
      </c>
      <c r="J3178">
        <f>((Inputs!$B$6*(1+Inputs!$B$7/100))+(((Inputs!$B$12*(1+Inputs!$B$13/100))-(Inputs!$B$12*(1+Inputs!$B$13/100)))+0.25*(Inputs!$B$14-Inputs!$B$14))*(1+Inputs!$B$7/100))*(F3178/100)</f>
        <v/>
      </c>
      <c r="K3178">
        <f>J3178*(1+((Inputs!$B$12*(1+Inputs!$B$13/100))*0.01+Inputs!$B$14*0.0025)/100)*(1+Inputs!$B$15/100)*(1+Inputs!$B$16/100)*(5000/(6000+Inputs!$B$42*(1-(100*(1-(1-(Inputs!$B$19+0)/100)*(1-CHOOSE(ArtifactsInput!$N$40+1,5,6,7,8,9,10)/100)^(ArtifactsInput!$M$40-ArtifactsInput!$M$40)))/100)))*(1+(Inputs!$B$24+((C3193=TRUE)*(F3193-Calc!F26))+B3204)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IGHT_LEGS_EASTON",Inputs!$B$17+((C3190=TRUE)*(F3190-Calc!F23))+((C3194=TRUE)*(F3194-Calc!F27))+((IF(AND(Inputs!$B$38&lt;&gt;"pvp",Inputs!$B$43=0),1,IF(IF(Inputs!$B$38="pvp",15,Inputs!$B$43)-(B3205)&lt;=0,1,MAX(0,IF(Inputs!$B$38="pvp",15,Inputs!$B$43)-MAX(5,B3205))/(IF(Inputs!$B$38="pvp",15,Inputs!$B$43)-(B3205))))*(IF(AND(ArtifactsInput!$M$42,((Inputs!$B$9+((C3186=TRUE)*(F3186-Calc!F19))+B3198+(ArtifactsInput!$M$24-ArtifactsInput!$M$24)*CHOOSE(ArtifactsInput!$N$24+1,10,12,14,16,18,20)+IF(ArtifactsInput!$M$10,CHOOSE(ArtifactsInput!$N$10+1,15,18,21,24,27,30)*(IF(Inputs!$B$38="pvp",MIN(15,15)/15,IF(AND(Inputs!$B$38&lt;&gt;"pvp",Inputs!$B$43&gt;0),MIN(15,Inputs!$B$43)/(Inputs!$B$43),0))),0)))&gt;=100),MIN(100,((Inputs!$B$9+((C3186=TRUE)*(F3186-Calc!F19))+B3198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3205)&lt;=0,1,MAX(0,IF(Inputs!$B$38="pvp",15,Inputs!$B$43)-MAX(5,B3205))/(IF(Inputs!$B$38="pvp",15,Inputs!$B$43)-(B3205))))*IF(AND(ArtifactsInput!$M$42,((Inputs!$B$9+((C3186=TRUE)*(F3186-Calc!F19))+B3198+(ArtifactsInput!$M$24-ArtifactsInput!$M$24)*CHOOSE(ArtifactsInput!$N$24+1,10,12,14,16,18,20)+IF(ArtifactsInput!$M$10,CHOOSE(ArtifactsInput!$N$10+1,15,18,21,24,27,30)*(IF(Inputs!$B$38="pvp",MIN(15,15)/15,IF(AND(Inputs!$B$38&lt;&gt;"pvp",Inputs!$B$43&gt;0),MIN(15,Inputs!$B$43)/(Inputs!$B$43),0))),0)))&gt;=100),CHOOSE(ArtifactsInput!$N$42+1,40,48,56,64,72,80),0))))/100)*((1+(((C3184=TRUE)*F3184*5/7)+((C3191=TRUE)*(F3191-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3178)</f>
        <v/>
      </c>
      <c r="L3178">
        <f>K3178*(MIN(Inputs!$B$22+((C3189=TRUE)*(F3189-Calc!F22)),(Inputs!$B$23+0+(IF(ArtifactsInput!$M$15,CHOOSE(ArtifactsInput!$N$15+1,25,30,35,40,45,50)/100*(Inputs!$B$11-Inputs!$B$11),0))))/100+(Inputs!$B$23+0+(IF(ArtifactsInput!$M$15,CHOOSE(ArtifactsInput!$N$15+1,25,30,35,40,45,50)/100*(Inputs!$B$11-Inputs!$B$11),0)))/100)/2</f>
        <v/>
      </c>
      <c r="M3178">
        <f>L3178*(1+(Inputs!$B$10+((C3192=TRUE)*(F3192-Calc!F25))+B3203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78">
        <f>L3178*(1-MIN((Inputs!$B$9+((C3186=TRUE)*(F3186-Calc!F19))+B3198+(ArtifactsInput!$M$24-ArtifactsInput!$M$24)*CHOOSE(ArtifactsInput!$N$24+1,10,12,14,16,18,20)+(IF(AND(Inputs!$B$38&lt;&gt;"pvp",Inputs!$B$43=0),1,IF(IF(Inputs!$B$38="pvp",15,Inputs!$B$43)-(B3205)&lt;=0,1,MAX(0,IF(Inputs!$B$38="pvp",15,Inputs!$B$43)-MAX(5,B3205))/(IF(Inputs!$B$38="pvp",15,Inputs!$B$43)-(B3205))))*IF(AND(ArtifactsInput!$M$42,((Inputs!$B$9+((C3186=TRUE)*(F3186-Calc!F19))+B3198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3178*(MIN((Inputs!$B$9+((C3186=TRUE)*(F3186-Calc!F19))+B3198+(ArtifactsInput!$M$24-ArtifactsInput!$M$24)*CHOOSE(ArtifactsInput!$N$24+1,10,12,14,16,18,20)+(IF(AND(Inputs!$B$38&lt;&gt;"pvp",Inputs!$B$43=0),1,IF(IF(Inputs!$B$38="pvp",15,Inputs!$B$43)-(B3205)&lt;=0,1,MAX(0,IF(Inputs!$B$38="pvp",15,Inputs!$B$43)-MAX(5,B3205))/(IF(Inputs!$B$38="pvp",15,Inputs!$B$43)-(B3205))))*IF(AND(ArtifactsInput!$M$42,((Inputs!$B$9+((C3186=TRUE)*(F3186-Calc!F19))+B3198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78">
        <f>(1-Summary!$B$11)*T3178+Summary!$B$11*V3178</f>
        <v/>
      </c>
      <c r="P3178">
        <f>IF(B3208=0,0,O3178/B3208)</f>
        <v/>
      </c>
      <c r="Q3178">
        <f>IFERROR(1/((IF(Inputs!$B$38="pvp",15,MAX(0.1,Skills!D11-IF(TRUE=TRUE,3.0,0)))*(1-IF(AND(ArtifactsInput!$M$27,Inputs!$B$4="Chapter Hunt"),CHOOSE(ArtifactsInput!$N$27+1,20,24,28,32,36,40),0)/100))/B3209),0)</f>
        <v/>
      </c>
      <c r="R3178">
        <f>IF(AND(Inputs!$B$38&lt;&gt;"pvp",Inputs!$B$43&gt;0),IF(MAX(0,Inputs!$B$43-B3205)&lt;=0,0,(INT(MAX(0,Inputs!$B$43-B3205)/((IF(Inputs!$B$38="pvp",15,MAX(0.1,Skills!D11-IF(TRUE=TRUE,3.0,0)))*(1-IF(AND(ArtifactsInput!$M$27,Inputs!$B$4="Chapter Hunt"),CHOOSE(ArtifactsInput!$N$27+1,20,24,28,32,36,40),0)/100))/B3209))+1)),0)</f>
        <v/>
      </c>
      <c r="S3178">
        <f>IFERROR(O3178/N3178,0)</f>
        <v/>
      </c>
      <c r="T3178">
        <f>IF(C3178,(H3178*N3178*IF(AND(Inputs!$B$38&lt;&gt;"pvp",Inputs!$B$43&gt;0),((Skills!G11*((R3178-1)*IF(Skills!H11&gt;0,INT(Skills!I11/Skills!H11+0.000000001),1)+IF(Skills!H11&gt;0,INT(MIN(Skills!I11,MAX(0,MAX(0,Inputs!$B$43-B3205)-((R3178-1)*((IF(Inputs!$B$38="pvp",15,MAX(0.1,Skills!D11-IF(TRUE=TRUE,3.0,0)))*(1-IF(AND(ArtifactsInput!$M$27,Inputs!$B$4="Chapter Hunt"),CHOOSE(ArtifactsInput!$N$27+1,20,24,28,32,36,40),0)/100))/B3209))))/Skills!H11+0.000000001),1)))/Inputs!$B$43),G3178*Q3178))*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Hunt"),CHOOSE(ArtifactsInput!$N$35+1,15,18,21,24,27,30)*(1-EXP(-(0.2*B3200)*5)),0)+IF(AND(ArtifactsInput!$M$22,Inputs!$B$4&lt;&gt;"Chapter Hunt"),CHOOSE(ArtifactsInput!$N$22+1,10,12,14,16,18,20)*((0*(((0.15*B3200*5))^0/1)+1*(((0.15*B3200*5))^1/1)+2*(((0.15*B3200*5))^2/2)+3*(((0.15*B3200*5))^3/6)+4*(((0.15*B3200*5))^4/24)+5*(((0.15*B3200*5))^5/120))/((((0.15*B3200*5))^0/1)+(((0.15*B3200*5))^1/1)+(((0.15*B3200*5))^2/2)+(((0.15*B3200*5))^3/6)+(((0.15*B3200*5))^4/24)+(((0.15*B3200*5))^5/120))),0))+IF(Inputs!$B$3&gt;=54,9*(C3170=TRUE)*MIN(1,8*(1+Inputs!$B$34/100)*Q3170)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3178*(1-MIN(100,(Inputs!$B$9+((C3186=TRUE)*(F3186-Calc!F19))+B3198+(ArtifactsInput!$M$24-ArtifactsInput!$M$24)*CHOOSE(ArtifactsInput!$N$24+1,10,12,14,16,18,20)+(IF(AND(Inputs!$B$38&lt;&gt;"pvp",Inputs!$B$43=0),1,IF(IF(Inputs!$B$38="pvp",15,Inputs!$B$43)-(B3205)&lt;=0,1,MAX(0,IF(Inputs!$B$38="pvp",15,Inputs!$B$43)-MAX(5,B3205))/(IF(Inputs!$B$38="pvp",15,Inputs!$B$43)-(B3205))))*IF(AND(ArtifactsInput!$M$42,((Inputs!$B$9+((C3186=TRUE)*(F3186-Calc!F19))+B3198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3178*(MIN(100,(Inputs!$B$9+((C3186=TRUE)*(F3186-Calc!F19))+B3198+(ArtifactsInput!$M$24-ArtifactsInput!$M$24)*CHOOSE(ArtifactsInput!$N$24+1,10,12,14,16,18,20)+(IF(AND(Inputs!$B$38&lt;&gt;"pvp",Inputs!$B$43=0),1,IF(IF(Inputs!$B$38="pvp",15,Inputs!$B$43)-(B3205)&lt;=0,1,MAX(0,IF(Inputs!$B$38="pvp",15,Inputs!$B$43)-MAX(5,B3205))/(IF(Inputs!$B$38="pvp",15,Inputs!$B$43)-(B3205))))*IF(AND(ArtifactsInput!$M$42,((Inputs!$B$9+((C3186=TRUE)*(F3186-Calc!F19))+B3198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3178*(1-MIN(100,(Inputs!$B$9+((C3186=TRUE)*(F3186-Calc!F19))+B3198+(ArtifactsInput!$M$24-ArtifactsInput!$M$24)*CHOOSE(ArtifactsInput!$N$24+1,10,12,14,16,18,20)+(IF(AND(Inputs!$B$38&lt;&gt;"pvp",Inputs!$B$43=0),1,IF(IF(Inputs!$B$38="pvp",15,Inputs!$B$43)-(B3205)&lt;=0,1,MAX(0,IF(Inputs!$B$38="pvp",15,Inputs!$B$43)-MAX(5,B3205))/(IF(Inputs!$B$38="pvp",15,Inputs!$B$43)-(B3205))))*IF(AND(ArtifactsInput!$M$42,((Inputs!$B$9+((C3186=TRUE)*(F3186-Calc!F19))+B3198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3178*(MIN(100,(Inputs!$B$9+((C3186=TRUE)*(F3186-Calc!F19))+B3198+(ArtifactsInput!$M$24-ArtifactsInput!$M$24)*CHOOSE(ArtifactsInput!$N$24+1,10,12,14,16,18,20)+(IF(AND(Inputs!$B$38&lt;&gt;"pvp",Inputs!$B$43=0),1,IF(IF(Inputs!$B$38="pvp",15,Inputs!$B$43)-(B3205)&lt;=0,1,MAX(0,IF(Inputs!$B$38="pvp",15,Inputs!$B$43)-MAX(5,B3205))/(IF(Inputs!$B$38="pvp",15,Inputs!$B$43)-(B3205))))*IF(AND(ArtifactsInput!$M$42,((Inputs!$B$9+((C3186=TRUE)*(F3186-Calc!F19))+B3198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178">
        <f>IF(C3178,(H3178*N3178*IF(AND(Inputs!$B$38&lt;&gt;"pvp",Inputs!$B$43&gt;0),((Skills!G11*((R3178-1)*IF(Skills!H11&gt;0,INT(Skills!I11/Skills!H11+0.000000001),1)+IF(Skills!H11&gt;0,INT(MIN(Skills!I11,MAX(0,MAX(0,Inputs!$B$43-B3205)-((R3178-1)*((IF(Inputs!$B$38="pvp",15,MAX(0.1,Skills!D11-IF(TRUE=TRUE,3.0,0)))*(1-IF(AND(ArtifactsInput!$M$27,Inputs!$B$4="Chapter Hunt"),CHOOSE(ArtifactsInput!$N$27+1,20,24,28,32,36,40),0)/100))/B3209))))/Skills!H11+0.000000001),1)))/Inputs!$B$43),G3178*Q3178))*IF(Inputs!$B$38="pvp",1,(1+(Inputs!$B$21+Skills!Q11+(IF(ArtifactsInput!$M$33,CHOOSE(ArtifactsInput!$N$33+1,30,36,42,48,54,60),0))+(IF(AND(ArtifactsInput!$M$35,Inputs!$B$4&lt;&gt;"Chapter Hunt"),CHOOSE(ArtifactsInput!$N$35+1,15,18,21,24,27,30)*(1-EXP(-(0.2*B3200)*5)),0)+IF(AND(ArtifactsInput!$M$22,Inputs!$B$4&lt;&gt;"Chapter Hunt"),CHOOSE(ArtifactsInput!$N$22+1,10,12,14,16,18,20)*((0*(((0.15*B3200*5))^0/1)+1*(((0.15*B3200*5))^1/1)+2*(((0.15*B3200*5))^2/2)+3*(((0.15*B3200*5))^3/6)+4*(((0.15*B3200*5))^4/24)+5*(((0.15*B3200*5))^5/120))/((((0.15*B3200*5))^0/1)+(((0.15*B3200*5))^1/1)+(((0.15*B3200*5))^2/2)+(((0.15*B3200*5))^3/6)+(((0.15*B3200*5))^4/24)+(((0.15*B3200*5))^5/120))),0))+IF(Inputs!$B$3&gt;=54,9*(C3170=TRUE)*MIN(1,8*(1+Inputs!$B$34/100)*Q3170)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79">
      <c r="A3179">
        <f>Skills!A12</f>
        <v/>
      </c>
      <c r="B3179">
        <f>Skills!B12</f>
        <v/>
      </c>
      <c r="C3179">
        <f>Inputs!$B$3&gt;=110</f>
        <v/>
      </c>
      <c r="D3179">
        <f>IF(Skills!C12=1,60+Inputs!$B$25+Inputs!$B$29,IF(Skills!C12=2,90+Inputs!$B$26+Inputs!$B$29,IF(Skills!C12=3,120+Inputs!$B$27+Inputs!$B$29,MAX(0,(Inputs!$B$3-100)*3)+Inputs!$B$28+Inputs!$B$29)))</f>
        <v/>
      </c>
      <c r="E3179">
        <f>INDEX(FactorTable!$B$2:$Y$301, MATCH(ROUND(MIN(300,MAX(1,D3179)),0), FactorTable!$A$2:$A$301,0), Skills!M12+1)</f>
        <v/>
      </c>
      <c r="F3179">
        <f>IF(Skills!N12=TRUE,(Skills!L12/10)*(E3179/1000),Skills!L12/10)+Skills!O12</f>
        <v/>
      </c>
      <c r="G3179">
        <f>Skills!G12*IF(Skills!H12&gt;0,INT(IF(Inputs!$B$38="pvp",MIN(Skills!I12,15),Skills!I12)/Skills!H12+0.000000001),1)</f>
        <v/>
      </c>
      <c r="H3179">
        <f>1-(1-Skills!J12/100)^Skills!K12</f>
        <v/>
      </c>
      <c r="I3179" t="inlineStr">
        <is>
          <t>1</t>
        </is>
      </c>
      <c r="J3179">
        <f>((Inputs!$B$6*(1+Inputs!$B$7/100))+(((Inputs!$B$12*(1+Inputs!$B$13/100))-(Inputs!$B$12*(1+Inputs!$B$13/100)))+0.25*(Inputs!$B$14-Inputs!$B$14))*(1+Inputs!$B$7/100))*(F3179/100)</f>
        <v/>
      </c>
      <c r="K3179">
        <f>J3179*(1+((Inputs!$B$12*(1+Inputs!$B$13/100))*0.01+Inputs!$B$14*0.0025)/100)*(1+Inputs!$B$15/100)*(1+Inputs!$B$16/100)*(5000/(6000+Inputs!$B$42*(1-(100*(1-(1-(Inputs!$B$19+0)/100)*(1-CHOOSE(ArtifactsInput!$N$40+1,5,6,7,8,9,10)/100)^(ArtifactsInput!$M$40-ArtifactsInput!$M$40)))/100)))*(1+(Inputs!$B$24+((C3193=TRUE)*(F3193-Calc!F26))+B3204)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EIGHT_LEGS_EASTON",Inputs!$B$17+((C3190=TRUE)*(F3190-Calc!F23))+((C3194=TRUE)*(F3194-Calc!F27))+((IF(AND(Inputs!$B$38&lt;&gt;"pvp",Inputs!$B$43=0),1,IF(IF(Inputs!$B$38="pvp",15,Inputs!$B$43)-(B3205)&lt;=0,1,MAX(0,IF(Inputs!$B$38="pvp",15,Inputs!$B$43)-MAX(5,B3205))/(IF(Inputs!$B$38="pvp",15,Inputs!$B$43)-(B3205))))*(IF(AND(ArtifactsInput!$M$42,((Inputs!$B$9+((C3186=TRUE)*(F3186-Calc!F19))+B3198+(ArtifactsInput!$M$24-ArtifactsInput!$M$24)*CHOOSE(ArtifactsInput!$N$24+1,10,12,14,16,18,20)+IF(ArtifactsInput!$M$10,CHOOSE(ArtifactsInput!$N$10+1,15,18,21,24,27,30)*(IF(Inputs!$B$38="pvp",MIN(15,15)/15,IF(AND(Inputs!$B$38&lt;&gt;"pvp",Inputs!$B$43&gt;0),MIN(15,Inputs!$B$43)/(Inputs!$B$43),0))),0)))&gt;=100),MIN(100,((Inputs!$B$9+((C3186=TRUE)*(F3186-Calc!F19))+B3198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3205)&lt;=0,1,MAX(0,IF(Inputs!$B$38="pvp",15,Inputs!$B$43)-MAX(5,B3205))/(IF(Inputs!$B$38="pvp",15,Inputs!$B$43)-(B3205))))*IF(AND(ArtifactsInput!$M$42,((Inputs!$B$9+((C3186=TRUE)*(F3186-Calc!F19))+B3198+(ArtifactsInput!$M$24-ArtifactsInput!$M$24)*CHOOSE(ArtifactsInput!$N$24+1,10,12,14,16,18,20)+IF(ArtifactsInput!$M$10,CHOOSE(ArtifactsInput!$N$10+1,15,18,21,24,27,30)*(IF(Inputs!$B$38="pvp",MIN(15,15)/15,IF(AND(Inputs!$B$38&lt;&gt;"pvp",Inputs!$B$43&gt;0),MIN(15,Inputs!$B$43)/(Inputs!$B$43),0))),0)))&gt;=100),CHOOSE(ArtifactsInput!$N$42+1,40,48,56,64,72,80),0))))/100)*((1+(((C3184=TRUE)*F3184*5/7)+((C3191=TRUE)*(F3191-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3179)</f>
        <v/>
      </c>
      <c r="L3179">
        <f>K3179*(MIN(Inputs!$B$22+((C3189=TRUE)*(F3189-Calc!F22)),(Inputs!$B$23+0+(IF(ArtifactsInput!$M$15,CHOOSE(ArtifactsInput!$N$15+1,25,30,35,40,45,50)/100*(Inputs!$B$11-Inputs!$B$11),0))))/100+(Inputs!$B$23+0+(IF(ArtifactsInput!$M$15,CHOOSE(ArtifactsInput!$N$15+1,25,30,35,40,45,50)/100*(Inputs!$B$11-Inputs!$B$11),0)))/100)/2</f>
        <v/>
      </c>
      <c r="M3179">
        <f>L3179*(1+(Inputs!$B$10+((C3192=TRUE)*(F3192-Calc!F25))+B3203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79">
        <f>L3179*(1-MIN((Inputs!$B$9+((C3186=TRUE)*(F3186-Calc!F19))+B3198+(ArtifactsInput!$M$24-ArtifactsInput!$M$24)*CHOOSE(ArtifactsInput!$N$24+1,10,12,14,16,18,20)+(IF(AND(Inputs!$B$38&lt;&gt;"pvp",Inputs!$B$43=0),1,IF(IF(Inputs!$B$38="pvp",15,Inputs!$B$43)-(B3205)&lt;=0,1,MAX(0,IF(Inputs!$B$38="pvp",15,Inputs!$B$43)-MAX(5,B3205))/(IF(Inputs!$B$38="pvp",15,Inputs!$B$43)-(B3205))))*IF(AND(ArtifactsInput!$M$42,((Inputs!$B$9+((C3186=TRUE)*(F3186-Calc!F19))+B3198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3179*(MIN((Inputs!$B$9+((C3186=TRUE)*(F3186-Calc!F19))+B3198+(ArtifactsInput!$M$24-ArtifactsInput!$M$24)*CHOOSE(ArtifactsInput!$N$24+1,10,12,14,16,18,20)+(IF(AND(Inputs!$B$38&lt;&gt;"pvp",Inputs!$B$43=0),1,IF(IF(Inputs!$B$38="pvp",15,Inputs!$B$43)-(B3205)&lt;=0,1,MAX(0,IF(Inputs!$B$38="pvp",15,Inputs!$B$43)-MAX(5,B3205))/(IF(Inputs!$B$38="pvp",15,Inputs!$B$43)-(B3205))))*IF(AND(ArtifactsInput!$M$42,((Inputs!$B$9+((C3186=TRUE)*(F3186-Calc!F19))+B3198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79">
        <f>(1-Summary!$B$11)*T3179+Summary!$B$11*V3179</f>
        <v/>
      </c>
      <c r="P3179">
        <f>IF(B3208=0,0,O3179/B3208)</f>
        <v/>
      </c>
      <c r="Q3179">
        <f>IFERROR(1/(IF(Inputs!$B$38="pvp",15,MAX(0.1,Skills!D12-IF(TRUE=TRUE,3.0,0)))*(1-IF(AND(ArtifactsInput!$M$27,Inputs!$B$4="Chapter Hunt"),CHOOSE(ArtifactsInput!$N$27+1,20,24,28,32,36,40),0)/100)),0)</f>
        <v/>
      </c>
      <c r="R3179">
        <f>IF(AND(Inputs!$B$38&lt;&gt;"pvp",Inputs!$B$43&gt;0),IF(MAX(0,Inputs!$B$43-B3205)&lt;=0,0,(INT(MAX(0,Inputs!$B$43-B3205)/(IF(Inputs!$B$38="pvp",15,MAX(0.1,Skills!D12-IF(TRUE=TRUE,3.0,0)))*(1-IF(AND(ArtifactsInput!$M$27,Inputs!$B$4="Chapter Hunt"),CHOOSE(ArtifactsInput!$N$27+1,20,24,28,32,36,40),0)/100)))+1)),0)</f>
        <v/>
      </c>
      <c r="S3179">
        <f>IFERROR(O3179/N3179,0)</f>
        <v/>
      </c>
      <c r="T3179">
        <f>IF(C3179,(H3179*N3179*IF(AND(Inputs!$B$38&lt;&gt;"pvp",Inputs!$B$43&gt;0),((Skills!G12*((R3179-1)*IF(Skills!H12&gt;0,INT(Skills!I12/Skills!H12+0.000000001),1)+IF(Skills!H12&gt;0,INT(MIN(Skills!I12,MAX(0,MAX(0,Inputs!$B$43-B3205)-((R3179-1)*(IF(Inputs!$B$38="pvp",15,MAX(0.1,Skills!D12-IF(TRUE=TRUE,3.0,0)))*(1-IF(AND(ArtifactsInput!$M$27,Inputs!$B$4="Chapter Hunt"),CHOOSE(ArtifactsInput!$N$27+1,20,24,28,32,36,40),0)/100)))))/Skills!H12+0.000000001),1)))/Inputs!$B$43),G3179*Q3179))*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Hunt"),CHOOSE(ArtifactsInput!$N$35+1,15,18,21,24,27,30)*(1-EXP(-(0.2*B3200)*5)),0)+IF(AND(ArtifactsInput!$M$22,Inputs!$B$4&lt;&gt;"Chapter Hunt"),CHOOSE(ArtifactsInput!$N$22+1,10,12,14,16,18,20)*((0*(((0.15*B3200*5))^0/1)+1*(((0.15*B3200*5))^1/1)+2*(((0.15*B3200*5))^2/2)+3*(((0.15*B3200*5))^3/6)+4*(((0.15*B3200*5))^4/24)+5*(((0.15*B3200*5))^5/120))/((((0.15*B3200*5))^0/1)+(((0.15*B3200*5))^1/1)+(((0.15*B3200*5))^2/2)+(((0.15*B3200*5))^3/6)+(((0.15*B3200*5))^4/24)+(((0.15*B3200*5))^5/120))),0))+IF(Inputs!$B$3&gt;=54,9*(C3170=TRUE)*MIN(1,8*(1+Inputs!$B$34/100)*Q3170)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3179*(1-MIN(100,(Inputs!$B$9+((C3186=TRUE)*(F3186-Calc!F19))+B3198+(ArtifactsInput!$M$24-ArtifactsInput!$M$24)*CHOOSE(ArtifactsInput!$N$24+1,10,12,14,16,18,20)+(IF(AND(Inputs!$B$38&lt;&gt;"pvp",Inputs!$B$43=0),1,IF(IF(Inputs!$B$38="pvp",15,Inputs!$B$43)-(B3205)&lt;=0,1,MAX(0,IF(Inputs!$B$38="pvp",15,Inputs!$B$43)-MAX(5,B3205))/(IF(Inputs!$B$38="pvp",15,Inputs!$B$43)-(B3205))))*IF(AND(ArtifactsInput!$M$42,((Inputs!$B$9+((C3186=TRUE)*(F3186-Calc!F19))+B3198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3179*(MIN(100,(Inputs!$B$9+((C3186=TRUE)*(F3186-Calc!F19))+B3198+(ArtifactsInput!$M$24-ArtifactsInput!$M$24)*CHOOSE(ArtifactsInput!$N$24+1,10,12,14,16,18,20)+(IF(AND(Inputs!$B$38&lt;&gt;"pvp",Inputs!$B$43=0),1,IF(IF(Inputs!$B$38="pvp",15,Inputs!$B$43)-(B3205)&lt;=0,1,MAX(0,IF(Inputs!$B$38="pvp",15,Inputs!$B$43)-MAX(5,B3205))/(IF(Inputs!$B$38="pvp",15,Inputs!$B$43)-(B3205))))*IF(AND(ArtifactsInput!$M$42,((Inputs!$B$9+((C3186=TRUE)*(F3186-Calc!F19))+B3198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3179*(1-MIN(100,(Inputs!$B$9+((C3186=TRUE)*(F3186-Calc!F19))+B3198+(ArtifactsInput!$M$24-ArtifactsInput!$M$24)*CHOOSE(ArtifactsInput!$N$24+1,10,12,14,16,18,20)+(IF(AND(Inputs!$B$38&lt;&gt;"pvp",Inputs!$B$43=0),1,IF(IF(Inputs!$B$38="pvp",15,Inputs!$B$43)-(B3205)&lt;=0,1,MAX(0,IF(Inputs!$B$38="pvp",15,Inputs!$B$43)-MAX(5,B3205))/(IF(Inputs!$B$38="pvp",15,Inputs!$B$43)-(B3205))))*IF(AND(ArtifactsInput!$M$42,((Inputs!$B$9+((C3186=TRUE)*(F3186-Calc!F19))+B3198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3179*(MIN(100,(Inputs!$B$9+((C3186=TRUE)*(F3186-Calc!F19))+B3198+(ArtifactsInput!$M$24-ArtifactsInput!$M$24)*CHOOSE(ArtifactsInput!$N$24+1,10,12,14,16,18,20)+(IF(AND(Inputs!$B$38&lt;&gt;"pvp",Inputs!$B$43=0),1,IF(IF(Inputs!$B$38="pvp",15,Inputs!$B$43)-(B3205)&lt;=0,1,MAX(0,IF(Inputs!$B$38="pvp",15,Inputs!$B$43)-MAX(5,B3205))/(IF(Inputs!$B$38="pvp",15,Inputs!$B$43)-(B3205))))*IF(AND(ArtifactsInput!$M$42,((Inputs!$B$9+((C3186=TRUE)*(F3186-Calc!F19))+B3198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179">
        <f>IF(C3179,(H3179*N3179*IF(AND(Inputs!$B$38&lt;&gt;"pvp",Inputs!$B$43&gt;0),((Skills!G12*((R3179-1)*IF(Skills!H12&gt;0,INT(Skills!I12/Skills!H12+0.000000001),1)+IF(Skills!H12&gt;0,INT(MIN(Skills!I12,MAX(0,MAX(0,Inputs!$B$43-B3205)-((R3179-1)*(IF(Inputs!$B$38="pvp",15,MAX(0.1,Skills!D12-IF(TRUE=TRUE,3.0,0)))*(1-IF(AND(ArtifactsInput!$M$27,Inputs!$B$4="Chapter Hunt"),CHOOSE(ArtifactsInput!$N$27+1,20,24,28,32,36,40),0)/100)))))/Skills!H12+0.000000001),1)))/Inputs!$B$43),G3179*Q3179))*IF(Inputs!$B$38="pvp",1,(1+(Inputs!$B$21+Skills!Q12+(IF(ArtifactsInput!$M$33,CHOOSE(ArtifactsInput!$N$33+1,30,36,42,48,54,60),0))+(IF(AND(ArtifactsInput!$M$35,Inputs!$B$4&lt;&gt;"Chapter Hunt"),CHOOSE(ArtifactsInput!$N$35+1,15,18,21,24,27,30)*(1-EXP(-(0.2*B3200)*5)),0)+IF(AND(ArtifactsInput!$M$22,Inputs!$B$4&lt;&gt;"Chapter Hunt"),CHOOSE(ArtifactsInput!$N$22+1,10,12,14,16,18,20)*((0*(((0.15*B3200*5))^0/1)+1*(((0.15*B3200*5))^1/1)+2*(((0.15*B3200*5))^2/2)+3*(((0.15*B3200*5))^3/6)+4*(((0.15*B3200*5))^4/24)+5*(((0.15*B3200*5))^5/120))/((((0.15*B3200*5))^0/1)+(((0.15*B3200*5))^1/1)+(((0.15*B3200*5))^2/2)+(((0.15*B3200*5))^3/6)+(((0.15*B3200*5))^4/24)+(((0.15*B3200*5))^5/120))),0))+IF(Inputs!$B$3&gt;=54,9*(C3170=TRUE)*MIN(1,8*(1+Inputs!$B$34/100)*Q3170),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80">
      <c r="A3180">
        <f>Skills!A13</f>
        <v/>
      </c>
      <c r="B3180">
        <f>Skills!B13</f>
        <v/>
      </c>
      <c r="C3180">
        <f>Inputs!$B$3&gt;=110</f>
        <v/>
      </c>
      <c r="D3180">
        <f>IF(Skills!C13=1,60+Inputs!$B$25+Inputs!$B$29,IF(Skills!C13=2,90+Inputs!$B$26+Inputs!$B$29,IF(Skills!C13=3,120+Inputs!$B$27+Inputs!$B$29,MAX(0,(Inputs!$B$3-100)*3)+Inputs!$B$28+Inputs!$B$29)))</f>
        <v/>
      </c>
      <c r="E3180">
        <f>INDEX(FactorTable!$B$2:$Y$301, MATCH(ROUND(MIN(300,MAX(1,D3180)),0), FactorTable!$A$2:$A$301,0), Skills!M13+1)</f>
        <v/>
      </c>
      <c r="F3180">
        <f>IF(Skills!N13=TRUE,(Skills!L13/10)*(E3180/1000),Skills!L13/10)+Skills!O13</f>
        <v/>
      </c>
      <c r="G3180">
        <f>Skills!G13*IF(Skills!H13&gt;0,INT(IF(Inputs!$B$38="pvp",MIN(Skills!I13,15),Skills!I13)/Skills!H13+0.000000001),1)</f>
        <v/>
      </c>
      <c r="H3180">
        <f>1-(1-Skills!J13/100)^Skills!K13</f>
        <v/>
      </c>
      <c r="I3180" t="inlineStr">
        <is>
          <t>1</t>
        </is>
      </c>
      <c r="J3180">
        <f>((Inputs!$B$6*(1+Inputs!$B$7/100))+(((Inputs!$B$12*(1+Inputs!$B$13/100))-(Inputs!$B$12*(1+Inputs!$B$13/100)))+0.25*(Inputs!$B$14-Inputs!$B$14))*(1+Inputs!$B$7/100))*(F3180/100)</f>
        <v/>
      </c>
      <c r="K3180">
        <f>J3180*(1+((Inputs!$B$12*(1+Inputs!$B$13/100))*0.01+Inputs!$B$14*0.0025)/100)*(1+Inputs!$B$15/100)*(1+Inputs!$B$16/100)*(5000/(6000+Inputs!$B$42*(1-(100*(1-(1-(Inputs!$B$19+0)/100)*(1-CHOOSE(ArtifactsInput!$N$40+1,5,6,7,8,9,10)/100)^(ArtifactsInput!$M$40-ArtifactsInput!$M$40)))/100)))*(1+(Inputs!$B$24+((C3193=TRUE)*(F3193-Calc!F26))+B3204)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EIGHT_LEGS_EASTON",Inputs!$B$17+((C3190=TRUE)*(F3190-Calc!F23))+((C3194=TRUE)*(F3194-Calc!F27))+((IF(AND(Inputs!$B$38&lt;&gt;"pvp",Inputs!$B$43=0),1,IF(IF(Inputs!$B$38="pvp",15,Inputs!$B$43)-(B3205)&lt;=0,1,MAX(0,IF(Inputs!$B$38="pvp",15,Inputs!$B$43)-MAX(5,B3205))/(IF(Inputs!$B$38="pvp",15,Inputs!$B$43)-(B3205))))*(IF(AND(ArtifactsInput!$M$42,((Inputs!$B$9+((C3186=TRUE)*(F3186-Calc!F19))+B3198+(ArtifactsInput!$M$24-ArtifactsInput!$M$24)*CHOOSE(ArtifactsInput!$N$24+1,10,12,14,16,18,20)+IF(ArtifactsInput!$M$10,CHOOSE(ArtifactsInput!$N$10+1,15,18,21,24,27,30)*(IF(Inputs!$B$38="pvp",MIN(15,15)/15,IF(AND(Inputs!$B$38&lt;&gt;"pvp",Inputs!$B$43&gt;0),MIN(15,Inputs!$B$43)/(Inputs!$B$43),0))),0)))&gt;=100),MIN(100,((Inputs!$B$9+((C3186=TRUE)*(F3186-Calc!F19))+B3198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3205)&lt;=0,1,MAX(0,IF(Inputs!$B$38="pvp",15,Inputs!$B$43)-MAX(5,B3205))/(IF(Inputs!$B$38="pvp",15,Inputs!$B$43)-(B3205))))*IF(AND(ArtifactsInput!$M$42,((Inputs!$B$9+((C3186=TRUE)*(F3186-Calc!F19))+B3198+(ArtifactsInput!$M$24-ArtifactsInput!$M$24)*CHOOSE(ArtifactsInput!$N$24+1,10,12,14,16,18,20)+IF(ArtifactsInput!$M$10,CHOOSE(ArtifactsInput!$N$10+1,15,18,21,24,27,30)*(IF(Inputs!$B$38="pvp",MIN(15,15)/15,IF(AND(Inputs!$B$38&lt;&gt;"pvp",Inputs!$B$43&gt;0),MIN(15,Inputs!$B$43)/(Inputs!$B$43),0))),0)))&gt;=100),CHOOSE(ArtifactsInput!$N$42+1,40,48,56,64,72,80),0))))/100)*((1+(((C3184=TRUE)*F3184*5/7)+((C3191=TRUE)*(F3191-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3180)</f>
        <v/>
      </c>
      <c r="L3180">
        <f>K3180*(MIN(Inputs!$B$22+((C3189=TRUE)*(F3189-Calc!F22)),(Inputs!$B$23+0+(IF(ArtifactsInput!$M$15,CHOOSE(ArtifactsInput!$N$15+1,25,30,35,40,45,50)/100*(Inputs!$B$11-Inputs!$B$11),0))))/100+(Inputs!$B$23+0+(IF(ArtifactsInput!$M$15,CHOOSE(ArtifactsInput!$N$15+1,25,30,35,40,45,50)/100*(Inputs!$B$11-Inputs!$B$11),0)))/100)/2</f>
        <v/>
      </c>
      <c r="M3180">
        <f>L3180*(1+(Inputs!$B$10+((C3192=TRUE)*(F3192-Calc!F25))+B3203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80">
        <f>L3180*(1-MIN((Inputs!$B$9+((C3186=TRUE)*(F3186-Calc!F19))+B3198+(ArtifactsInput!$M$24-ArtifactsInput!$M$24)*CHOOSE(ArtifactsInput!$N$24+1,10,12,14,16,18,20)+(IF(AND(Inputs!$B$38&lt;&gt;"pvp",Inputs!$B$43=0),1,IF(IF(Inputs!$B$38="pvp",15,Inputs!$B$43)-(B3205)&lt;=0,1,MAX(0,IF(Inputs!$B$38="pvp",15,Inputs!$B$43)-MAX(5,B3205))/(IF(Inputs!$B$38="pvp",15,Inputs!$B$43)-(B3205))))*IF(AND(ArtifactsInput!$M$42,((Inputs!$B$9+((C3186=TRUE)*(F3186-Calc!F19))+B3198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3180*(MIN((Inputs!$B$9+((C3186=TRUE)*(F3186-Calc!F19))+B3198+(ArtifactsInput!$M$24-ArtifactsInput!$M$24)*CHOOSE(ArtifactsInput!$N$24+1,10,12,14,16,18,20)+(IF(AND(Inputs!$B$38&lt;&gt;"pvp",Inputs!$B$43=0),1,IF(IF(Inputs!$B$38="pvp",15,Inputs!$B$43)-(B3205)&lt;=0,1,MAX(0,IF(Inputs!$B$38="pvp",15,Inputs!$B$43)-MAX(5,B3205))/(IF(Inputs!$B$38="pvp",15,Inputs!$B$43)-(B3205))))*IF(AND(ArtifactsInput!$M$42,((Inputs!$B$9+((C3186=TRUE)*(F3186-Calc!F19))+B3198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80">
        <f>(1-Summary!$B$11)*T3180+Summary!$B$11*V3180</f>
        <v/>
      </c>
      <c r="P3180">
        <f>IF(B3208=0,0,O3180/B3208)</f>
        <v/>
      </c>
      <c r="Q3180">
        <f>IFERROR(1/(IF(Inputs!$B$38="pvp",15,MAX(0.1,Skills!D13-IF(TRUE=TRUE,3.0,0)))*(1-IF(AND(ArtifactsInput!$M$27,Inputs!$B$4="Chapter Hunt"),CHOOSE(ArtifactsInput!$N$27+1,20,24,28,32,36,40),0)/100)),0)</f>
        <v/>
      </c>
      <c r="R3180">
        <f>IF(AND(Inputs!$B$38&lt;&gt;"pvp",Inputs!$B$43&gt;0),IF(MAX(0,Inputs!$B$43-B3205)&lt;=0,0,(INT(MAX(0,Inputs!$B$43-B3205)/(IF(Inputs!$B$38="pvp",15,MAX(0.1,Skills!D13-IF(TRUE=TRUE,3.0,0)))*(1-IF(AND(ArtifactsInput!$M$27,Inputs!$B$4="Chapter Hunt"),CHOOSE(ArtifactsInput!$N$27+1,20,24,28,32,36,40),0)/100)))+1)),0)</f>
        <v/>
      </c>
      <c r="S3180">
        <f>IFERROR(O3180/N3180,0)</f>
        <v/>
      </c>
      <c r="T3180">
        <f>IF(C3180,(H3180*N3180*IF(AND(Inputs!$B$38&lt;&gt;"pvp",Inputs!$B$43&gt;0),((Skills!G13*((R3180-1)*IF(Skills!H13&gt;0,INT(Skills!I13/Skills!H13+0.000000001),1)+IF(Skills!H13&gt;0,INT(MIN(Skills!I13,MAX(0,MAX(0,Inputs!$B$43-B3205)-((R3180-1)*(IF(Inputs!$B$38="pvp",15,MAX(0.1,Skills!D13-IF(TRUE=TRUE,3.0,0)))*(1-IF(AND(ArtifactsInput!$M$27,Inputs!$B$4="Chapter Hunt"),CHOOSE(ArtifactsInput!$N$27+1,20,24,28,32,36,40),0)/100)))))/Skills!H13+0.000000001),1)))/Inputs!$B$43),G3180*Q3180))*IF(Inputs!$B$38="pvp",1,1+(Inputs!$B$20+0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Hunt"),CHOOSE(ArtifactsInput!$N$35+1,15,18,21,24,27,30)*(1-EXP(-(0.2*B3200)*5)),0)+IF(AND(ArtifactsInput!$M$22,Inputs!$B$4&lt;&gt;"Chapter Hunt"),CHOOSE(ArtifactsInput!$N$22+1,10,12,14,16,18,20)*((0*(((0.15*B3200*5))^0/1)+1*(((0.15*B3200*5))^1/1)+2*(((0.15*B3200*5))^2/2)+3*(((0.15*B3200*5))^3/6)+4*(((0.15*B3200*5))^4/24)+5*(((0.15*B3200*5))^5/120))/((((0.15*B3200*5))^0/1)+(((0.15*B3200*5))^1/1)+(((0.15*B3200*5))^2/2)+(((0.15*B3200*5))^3/6)+(((0.15*B3200*5))^4/24)+(((0.15*B3200*5))^5/120))),0))+IF(Inputs!$B$3&gt;=54,9*(C3170=TRUE)*MIN(1,8*(1+Inputs!$B$34/100)*Q3170)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3180*(1-MIN(100,(Inputs!$B$9+((C3186=TRUE)*(F3186-Calc!F19))+B3198+(ArtifactsInput!$M$24-ArtifactsInput!$M$24)*CHOOSE(ArtifactsInput!$N$24+1,10,12,14,16,18,20)+(IF(AND(Inputs!$B$38&lt;&gt;"pvp",Inputs!$B$43=0),1,IF(IF(Inputs!$B$38="pvp",15,Inputs!$B$43)-(B3205)&lt;=0,1,MAX(0,IF(Inputs!$B$38="pvp",15,Inputs!$B$43)-MAX(5,B3205))/(IF(Inputs!$B$38="pvp",15,Inputs!$B$43)-(B3205))))*IF(AND(ArtifactsInput!$M$42,((Inputs!$B$9+((C3186=TRUE)*(F3186-Calc!F19))+B3198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3180*(MIN(100,(Inputs!$B$9+((C3186=TRUE)*(F3186-Calc!F19))+B3198+(ArtifactsInput!$M$24-ArtifactsInput!$M$24)*CHOOSE(ArtifactsInput!$N$24+1,10,12,14,16,18,20)+(IF(AND(Inputs!$B$38&lt;&gt;"pvp",Inputs!$B$43=0),1,IF(IF(Inputs!$B$38="pvp",15,Inputs!$B$43)-(B3205)&lt;=0,1,MAX(0,IF(Inputs!$B$38="pvp",15,Inputs!$B$43)-MAX(5,B3205))/(IF(Inputs!$B$38="pvp",15,Inputs!$B$43)-(B3205))))*IF(AND(ArtifactsInput!$M$42,((Inputs!$B$9+((C3186=TRUE)*(F3186-Calc!F19))+B3198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3180*(1-MIN(100,(Inputs!$B$9+((C3186=TRUE)*(F3186-Calc!F19))+B3198+(ArtifactsInput!$M$24-ArtifactsInput!$M$24)*CHOOSE(ArtifactsInput!$N$24+1,10,12,14,16,18,20)+(IF(AND(Inputs!$B$38&lt;&gt;"pvp",Inputs!$B$43=0),1,IF(IF(Inputs!$B$38="pvp",15,Inputs!$B$43)-(B3205)&lt;=0,1,MAX(0,IF(Inputs!$B$38="pvp",15,Inputs!$B$43)-MAX(5,B3205))/(IF(Inputs!$B$38="pvp",15,Inputs!$B$43)-(B3205))))*IF(AND(ArtifactsInput!$M$42,((Inputs!$B$9+((C3186=TRUE)*(F3186-Calc!F19))+B3198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3180*(MIN(100,(Inputs!$B$9+((C3186=TRUE)*(F3186-Calc!F19))+B3198+(ArtifactsInput!$M$24-ArtifactsInput!$M$24)*CHOOSE(ArtifactsInput!$N$24+1,10,12,14,16,18,20)+(IF(AND(Inputs!$B$38&lt;&gt;"pvp",Inputs!$B$43=0),1,IF(IF(Inputs!$B$38="pvp",15,Inputs!$B$43)-(B3205)&lt;=0,1,MAX(0,IF(Inputs!$B$38="pvp",15,Inputs!$B$43)-MAX(5,B3205))/(IF(Inputs!$B$38="pvp",15,Inputs!$B$43)-(B3205))))*IF(AND(ArtifactsInput!$M$42,((Inputs!$B$9+((C3186=TRUE)*(F3186-Calc!F19))+B3198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180">
        <f>IF(C3180,(H3180*N3180*IF(AND(Inputs!$B$38&lt;&gt;"pvp",Inputs!$B$43&gt;0),((Skills!G13*((R3180-1)*IF(Skills!H13&gt;0,INT(Skills!I13/Skills!H13+0.000000001),1)+IF(Skills!H13&gt;0,INT(MIN(Skills!I13,MAX(0,MAX(0,Inputs!$B$43-B3205)-((R3180-1)*(IF(Inputs!$B$38="pvp",15,MAX(0.1,Skills!D13-IF(TRUE=TRUE,3.0,0)))*(1-IF(AND(ArtifactsInput!$M$27,Inputs!$B$4="Chapter Hunt"),CHOOSE(ArtifactsInput!$N$27+1,20,24,28,32,36,40),0)/100)))))/Skills!H13+0.000000001),1)))/Inputs!$B$43),G3180*Q3180))*IF(Inputs!$B$38="pvp",1,(1+(Inputs!$B$21+Skills!Q13+(IF(ArtifactsInput!$M$33,CHOOSE(ArtifactsInput!$N$33+1,30,36,42,48,54,60),0))+(IF(AND(ArtifactsInput!$M$35,Inputs!$B$4&lt;&gt;"Chapter Hunt"),CHOOSE(ArtifactsInput!$N$35+1,15,18,21,24,27,30)*(1-EXP(-(0.2*B3200)*5)),0)+IF(AND(ArtifactsInput!$M$22,Inputs!$B$4&lt;&gt;"Chapter Hunt"),CHOOSE(ArtifactsInput!$N$22+1,10,12,14,16,18,20)*((0*(((0.15*B3200*5))^0/1)+1*(((0.15*B3200*5))^1/1)+2*(((0.15*B3200*5))^2/2)+3*(((0.15*B3200*5))^3/6)+4*(((0.15*B3200*5))^4/24)+5*(((0.15*B3200*5))^5/120))/((((0.15*B3200*5))^0/1)+(((0.15*B3200*5))^1/1)+(((0.15*B3200*5))^2/2)+(((0.15*B3200*5))^3/6)+(((0.15*B3200*5))^4/24)+(((0.15*B3200*5))^5/120))),0))+IF(Inputs!$B$3&gt;=54,9*(C3170=TRUE)*MIN(1,8*(1+Inputs!$B$34/100)*Q3170),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81">
      <c r="A3181">
        <f>Skills!A14</f>
        <v/>
      </c>
      <c r="B3181">
        <f>Skills!B14</f>
        <v/>
      </c>
      <c r="C3181">
        <f>Inputs!$B$3&gt;=120</f>
        <v/>
      </c>
      <c r="D3181">
        <f>IF(Skills!C14=1,60+Inputs!$B$25+Inputs!$B$29,IF(Skills!C14=2,90+Inputs!$B$26+Inputs!$B$29,IF(Skills!C14=3,120+Inputs!$B$27+Inputs!$B$29,MAX(0,(Inputs!$B$3-100)*3)+Inputs!$B$28+Inputs!$B$29)))</f>
        <v/>
      </c>
      <c r="E3181">
        <f>INDEX(FactorTable!$B$2:$Y$301, MATCH(ROUND(MIN(300,MAX(1,D3181)),0), FactorTable!$A$2:$A$301,0), Skills!M14+1)</f>
        <v/>
      </c>
      <c r="F3181">
        <f>IF(Skills!N14=TRUE,(Skills!L14/10)*(E3181/1000),Skills!L14/10)+Skills!O14</f>
        <v/>
      </c>
      <c r="G3181">
        <f>Skills!G14*IF(Skills!H14&gt;0,INT(IF(Inputs!$B$38="pvp",MIN(Skills!I14,15),Skills!I14)/Skills!H14+0.000000001),1)</f>
        <v/>
      </c>
      <c r="H3181">
        <f>1-(1-Skills!J14/100)^Skills!K14</f>
        <v/>
      </c>
      <c r="I3181" t="inlineStr">
        <is>
          <t>1</t>
        </is>
      </c>
      <c r="J3181">
        <f>((Inputs!$B$6*(1+Inputs!$B$7/100))+(((Inputs!$B$12*(1+Inputs!$B$13/100))-(Inputs!$B$12*(1+Inputs!$B$13/100)))+0.25*(Inputs!$B$14-Inputs!$B$14))*(1+Inputs!$B$7/100))*(F3181/100)</f>
        <v/>
      </c>
      <c r="K3181">
        <f>J3181*(1+((Inputs!$B$12*(1+Inputs!$B$13/100))*0.01+Inputs!$B$14*0.0025)/100)*(1+Inputs!$B$15/100)*(1+Inputs!$B$16/100)*(5000/(6000+Inputs!$B$42*(1-(100*(1-(1-(Inputs!$B$19+0)/100)*(1-CHOOSE(ArtifactsInput!$N$40+1,5,6,7,8,9,10)/100)^(ArtifactsInput!$M$40-ArtifactsInput!$M$40)))/100)))*(1+(Inputs!$B$24+((C3193=TRUE)*(F3193-Calc!F26))+B3204)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EIGHT_LEGS_EASTON",Inputs!$B$17+((C3190=TRUE)*(F3190-Calc!F23))+((C3194=TRUE)*(F3194-Calc!F27))+((IF(AND(Inputs!$B$38&lt;&gt;"pvp",Inputs!$B$43=0),1,IF(IF(Inputs!$B$38="pvp",15,Inputs!$B$43)-(B3205)&lt;=0,1,MAX(0,IF(Inputs!$B$38="pvp",15,Inputs!$B$43)-MAX(5,B3205))/(IF(Inputs!$B$38="pvp",15,Inputs!$B$43)-(B3205))))*(IF(AND(ArtifactsInput!$M$42,((Inputs!$B$9+((C3186=TRUE)*(F3186-Calc!F19))+B3198+(ArtifactsInput!$M$24-ArtifactsInput!$M$24)*CHOOSE(ArtifactsInput!$N$24+1,10,12,14,16,18,20)+IF(ArtifactsInput!$M$10,CHOOSE(ArtifactsInput!$N$10+1,15,18,21,24,27,30)*(IF(Inputs!$B$38="pvp",MIN(15,15)/15,IF(AND(Inputs!$B$38&lt;&gt;"pvp",Inputs!$B$43&gt;0),MIN(15,Inputs!$B$43)/(Inputs!$B$43),0))),0)))&gt;=100),MIN(100,((Inputs!$B$9+((C3186=TRUE)*(F3186-Calc!F19))+B3198+(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3205)&lt;=0,1,MAX(0,IF(Inputs!$B$38="pvp",15,Inputs!$B$43)-MAX(5,B3205))/(IF(Inputs!$B$38="pvp",15,Inputs!$B$43)-(B3205))))*IF(AND(ArtifactsInput!$M$42,((Inputs!$B$9+((C3186=TRUE)*(F3186-Calc!F19))+B3198+(ArtifactsInput!$M$24-ArtifactsInput!$M$24)*CHOOSE(ArtifactsInput!$N$24+1,10,12,14,16,18,20)+IF(ArtifactsInput!$M$10,CHOOSE(ArtifactsInput!$N$10+1,15,18,21,24,27,30)*(IF(Inputs!$B$38="pvp",MIN(15,15)/15,IF(AND(Inputs!$B$38&lt;&gt;"pvp",Inputs!$B$43&gt;0),MIN(15,Inputs!$B$43)/(Inputs!$B$43),0))),0)))&gt;=100),CHOOSE(ArtifactsInput!$N$42+1,40,48,56,64,72,80),0))))/100)*((1+(((C3184=TRUE)*F3184*5/7)+((C3191=TRUE)*(F3191-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3181)</f>
        <v/>
      </c>
      <c r="L3181">
        <f>K3181*(MIN(Inputs!$B$22+((C3189=TRUE)*(F3189-Calc!F22)),(Inputs!$B$23+0+(IF(ArtifactsInput!$M$15,CHOOSE(ArtifactsInput!$N$15+1,25,30,35,40,45,50)/100*(Inputs!$B$11-Inputs!$B$11),0))))/100+(Inputs!$B$23+0+(IF(ArtifactsInput!$M$15,CHOOSE(ArtifactsInput!$N$15+1,25,30,35,40,45,50)/100*(Inputs!$B$11-Inputs!$B$11),0)))/100)/2</f>
        <v/>
      </c>
      <c r="M3181">
        <f>L3181*(1+(Inputs!$B$10+((C3192=TRUE)*(F3192-Calc!F25))+B3203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81">
        <f>L3181*(1-MIN((Inputs!$B$9+((C3186=TRUE)*(F3186-Calc!F19))+B3198+(ArtifactsInput!$M$24-ArtifactsInput!$M$24)*CHOOSE(ArtifactsInput!$N$24+1,10,12,14,16,18,20)+(IF(AND(Inputs!$B$38&lt;&gt;"pvp",Inputs!$B$43=0),1,IF(IF(Inputs!$B$38="pvp",15,Inputs!$B$43)-(B3205)&lt;=0,1,MAX(0,IF(Inputs!$B$38="pvp",15,Inputs!$B$43)-MAX(5,B3205))/(IF(Inputs!$B$38="pvp",15,Inputs!$B$43)-(B3205))))*IF(AND(ArtifactsInput!$M$42,((Inputs!$B$9+((C3186=TRUE)*(F3186-Calc!F19))+B3198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3181*(MIN((Inputs!$B$9+((C3186=TRUE)*(F3186-Calc!F19))+B3198+(ArtifactsInput!$M$24-ArtifactsInput!$M$24)*CHOOSE(ArtifactsInput!$N$24+1,10,12,14,16,18,20)+(IF(AND(Inputs!$B$38&lt;&gt;"pvp",Inputs!$B$43=0),1,IF(IF(Inputs!$B$38="pvp",15,Inputs!$B$43)-(B3205)&lt;=0,1,MAX(0,IF(Inputs!$B$38="pvp",15,Inputs!$B$43)-MAX(5,B3205))/(IF(Inputs!$B$38="pvp",15,Inputs!$B$43)-(B3205))))*IF(AND(ArtifactsInput!$M$42,((Inputs!$B$9+((C3186=TRUE)*(F3186-Calc!F19))+B3198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81">
        <f>(1-Summary!$B$11)*T3181+Summary!$B$11*V3181</f>
        <v/>
      </c>
      <c r="P3181">
        <f>IF(B3208=0,0,O3181/B3208)</f>
        <v/>
      </c>
      <c r="Q3181" t="n">
        <v>0</v>
      </c>
      <c r="R3181" t="n">
        <v>0</v>
      </c>
      <c r="S3181">
        <f>IFERROR(O3181/N3181,0)</f>
        <v/>
      </c>
      <c r="T3181">
        <f>IF(C3181,((H3181*(B3202+IF(AND(Inputs!$B$38&lt;&gt;"pvp",Inputs!$B$43&gt;0),((Skills!G8*((R3175-1)*IF(Skills!H8&gt;0,INT(Skills!I8/Skills!H8+0.000000001),1)+IF(Skills!H8&gt;0,INT(MIN(Skills!I8,MAX(0,MAX(0,Inputs!$B$43-B3205)-((R3175-1)*((IF(Inputs!$B$38="pvp",15,MAX(0.1,Skills!D8-IF(TRUE=TRUE,3.0,0)))*(1-IF(AND(ArtifactsInput!$M$27,Inputs!$B$4="Chapter Hunt"),CHOOSE(ArtifactsInput!$N$27+1,20,24,28,32,36,40),0)/100))/B3209))))/Skills!H8+0.000000001),1)))/Inputs!$B$43),G3175*Q3175)+IF(AND(Inputs!$B$38&lt;&gt;"pvp",Inputs!$B$43&gt;0),((Skills!G11*((R3178-1)*IF(Skills!H11&gt;0,INT(Skills!I11/Skills!H11+0.000000001),1)+IF(Skills!H11&gt;0,INT(MIN(Skills!I11,MAX(0,MAX(0,Inputs!$B$43-B3205)-((R3178-1)*((IF(Inputs!$B$38="pvp",15,MAX(0.1,Skills!D11-IF(TRUE=TRUE,3.0,0)))*(1-IF(AND(ArtifactsInput!$M$27,Inputs!$B$4="Chapter Hunt"),CHOOSE(ArtifactsInput!$N$27+1,20,24,28,32,36,40),0)/100))/B3209))))/Skills!H11+0.000000001),1)))/Inputs!$B$43),G3178*Q3178)))/(1+Skills!H14*H3181*(B3202+IF(AND(Inputs!$B$38&lt;&gt;"pvp",Inputs!$B$43&gt;0),((Skills!G8*((R3175-1)*IF(Skills!H8&gt;0,INT(Skills!I8/Skills!H8+0.000000001),1)+IF(Skills!H8&gt;0,INT(MIN(Skills!I8,MAX(0,MAX(0,Inputs!$B$43-B3205)-((R3175-1)*((IF(Inputs!$B$38="pvp",15,MAX(0.1,Skills!D8-IF(TRUE=TRUE,3.0,0)))*(1-IF(AND(ArtifactsInput!$M$27,Inputs!$B$4="Chapter Hunt"),CHOOSE(ArtifactsInput!$N$27+1,20,24,28,32,36,40),0)/100))/B3209))))/Skills!H8+0.000000001),1)))/Inputs!$B$43),G3175*Q3175)+IF(AND(Inputs!$B$38&lt;&gt;"pvp",Inputs!$B$43&gt;0),((Skills!G11*((R3178-1)*IF(Skills!H11&gt;0,INT(Skills!I11/Skills!H11+0.000000001),1)+IF(Skills!H11&gt;0,INT(MIN(Skills!I11,MAX(0,MAX(0,Inputs!$B$43-B3205)-((R3178-1)*((IF(Inputs!$B$38="pvp",15,MAX(0.1,Skills!D11-IF(TRUE=TRUE,3.0,0)))*(1-IF(AND(ArtifactsInput!$M$27,Inputs!$B$4="Chapter Hunt"),CHOOSE(ArtifactsInput!$N$27+1,20,24,28,32,36,40),0)/100))/B3209))))/Skills!H11+0.000000001),1)))/Inputs!$B$43),G3178*Q3178)))*N3181)*IF(Inputs!$B$38="pvp",1,1+(Inputs!$B$20+0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Hunt"),CHOOSE(ArtifactsInput!$N$35+1,15,18,21,24,27,30)*(1-EXP(-(0.2*B3200)*5)),0)+IF(AND(ArtifactsInput!$M$22,Inputs!$B$4&lt;&gt;"Chapter Hunt"),CHOOSE(ArtifactsInput!$N$22+1,10,12,14,16,18,20)*((0*(((0.15*B3200*5))^0/1)+1*(((0.15*B3200*5))^1/1)+2*(((0.15*B3200*5))^2/2)+3*(((0.15*B3200*5))^3/6)+4*(((0.15*B3200*5))^4/24)+5*(((0.15*B3200*5))^5/120))/((((0.15*B3200*5))^0/1)+(((0.15*B3200*5))^1/1)+(((0.15*B3200*5))^2/2)+(((0.15*B3200*5))^3/6)+(((0.15*B3200*5))^4/24)+(((0.15*B3200*5))^5/120))),0))+IF(Inputs!$B$3&gt;=54,9*(C3170=TRUE)*MIN(1,8*(1+Inputs!$B$34/100)*Q3170)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3181*(1-MIN(100,(Inputs!$B$9+((C3186=TRUE)*(F3186-Calc!F19))+B3198+(ArtifactsInput!$M$24-ArtifactsInput!$M$24)*CHOOSE(ArtifactsInput!$N$24+1,10,12,14,16,18,20)+(IF(AND(Inputs!$B$38&lt;&gt;"pvp",Inputs!$B$43=0),1,IF(IF(Inputs!$B$38="pvp",15,Inputs!$B$43)-(B3205)&lt;=0,1,MAX(0,IF(Inputs!$B$38="pvp",15,Inputs!$B$43)-MAX(5,B3205))/(IF(Inputs!$B$38="pvp",15,Inputs!$B$43)-(B3205))))*IF(AND(ArtifactsInput!$M$42,((Inputs!$B$9+((C3186=TRUE)*(F3186-Calc!F19))+B3198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3181*(MIN(100,(Inputs!$B$9+((C3186=TRUE)*(F3186-Calc!F19))+B3198+(ArtifactsInput!$M$24-ArtifactsInput!$M$24)*CHOOSE(ArtifactsInput!$N$24+1,10,12,14,16,18,20)+(IF(AND(Inputs!$B$38&lt;&gt;"pvp",Inputs!$B$43=0),1,IF(IF(Inputs!$B$38="pvp",15,Inputs!$B$43)-(B3205)&lt;=0,1,MAX(0,IF(Inputs!$B$38="pvp",15,Inputs!$B$43)-MAX(5,B3205))/(IF(Inputs!$B$38="pvp",15,Inputs!$B$43)-(B3205))))*IF(AND(ArtifactsInput!$M$42,((Inputs!$B$9+((C3186=TRUE)*(F3186-Calc!F19))+B3198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3181*(1-MIN(100,(Inputs!$B$9+((C3186=TRUE)*(F3186-Calc!F19))+B3198+(ArtifactsInput!$M$24-ArtifactsInput!$M$24)*CHOOSE(ArtifactsInput!$N$24+1,10,12,14,16,18,20)+(IF(AND(Inputs!$B$38&lt;&gt;"pvp",Inputs!$B$43=0),1,IF(IF(Inputs!$B$38="pvp",15,Inputs!$B$43)-(B3205)&lt;=0,1,MAX(0,IF(Inputs!$B$38="pvp",15,Inputs!$B$43)-MAX(5,B3205))/(IF(Inputs!$B$38="pvp",15,Inputs!$B$43)-(B3205))))*IF(AND(ArtifactsInput!$M$42,((Inputs!$B$9+((C3186=TRUE)*(F3186-Calc!F19))+B3198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3181*(MIN(100,(Inputs!$B$9+((C3186=TRUE)*(F3186-Calc!F19))+B3198+(ArtifactsInput!$M$24-ArtifactsInput!$M$24)*CHOOSE(ArtifactsInput!$N$24+1,10,12,14,16,18,20)+(IF(AND(Inputs!$B$38&lt;&gt;"pvp",Inputs!$B$43=0),1,IF(IF(Inputs!$B$38="pvp",15,Inputs!$B$43)-(B3205)&lt;=0,1,MAX(0,IF(Inputs!$B$38="pvp",15,Inputs!$B$43)-MAX(5,B3205))/(IF(Inputs!$B$38="pvp",15,Inputs!$B$43)-(B3205))))*IF(AND(ArtifactsInput!$M$42,((Inputs!$B$9+((C3186=TRUE)*(F3186-Calc!F19))+B3198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181">
        <f>IF(C3181,((H3181*(B3202+IF(AND(Inputs!$B$38&lt;&gt;"pvp",Inputs!$B$43&gt;0),((Skills!G8*((R3175-1)*IF(Skills!H8&gt;0,INT(Skills!I8/Skills!H8+0.000000001),1)+IF(Skills!H8&gt;0,INT(MIN(Skills!I8,MAX(0,MAX(0,Inputs!$B$43-B3205)-((R3175-1)*((IF(Inputs!$B$38="pvp",15,MAX(0.1,Skills!D8-IF(TRUE=TRUE,3.0,0)))*(1-IF(AND(ArtifactsInput!$M$27,Inputs!$B$4="Chapter Hunt"),CHOOSE(ArtifactsInput!$N$27+1,20,24,28,32,36,40),0)/100))/B3209))))/Skills!H8+0.000000001),1)))/Inputs!$B$43),G3175*Q3175)+IF(AND(Inputs!$B$38&lt;&gt;"pvp",Inputs!$B$43&gt;0),((Skills!G11*((R3178-1)*IF(Skills!H11&gt;0,INT(Skills!I11/Skills!H11+0.000000001),1)+IF(Skills!H11&gt;0,INT(MIN(Skills!I11,MAX(0,MAX(0,Inputs!$B$43-B3205)-((R3178-1)*((IF(Inputs!$B$38="pvp",15,MAX(0.1,Skills!D11-IF(TRUE=TRUE,3.0,0)))*(1-IF(AND(ArtifactsInput!$M$27,Inputs!$B$4="Chapter Hunt"),CHOOSE(ArtifactsInput!$N$27+1,20,24,28,32,36,40),0)/100))/B3209))))/Skills!H11+0.000000001),1)))/Inputs!$B$43),G3178*Q3178)))/(1+Skills!H14*H3181*(B3202+IF(AND(Inputs!$B$38&lt;&gt;"pvp",Inputs!$B$43&gt;0),((Skills!G8*((R3175-1)*IF(Skills!H8&gt;0,INT(Skills!I8/Skills!H8+0.000000001),1)+IF(Skills!H8&gt;0,INT(MIN(Skills!I8,MAX(0,MAX(0,Inputs!$B$43-B3205)-((R3175-1)*((IF(Inputs!$B$38="pvp",15,MAX(0.1,Skills!D8-IF(TRUE=TRUE,3.0,0)))*(1-IF(AND(ArtifactsInput!$M$27,Inputs!$B$4="Chapter Hunt"),CHOOSE(ArtifactsInput!$N$27+1,20,24,28,32,36,40),0)/100))/B3209))))/Skills!H8+0.000000001),1)))/Inputs!$B$43),G3175*Q3175)+IF(AND(Inputs!$B$38&lt;&gt;"pvp",Inputs!$B$43&gt;0),((Skills!G11*((R3178-1)*IF(Skills!H11&gt;0,INT(Skills!I11/Skills!H11+0.000000001),1)+IF(Skills!H11&gt;0,INT(MIN(Skills!I11,MAX(0,MAX(0,Inputs!$B$43-B3205)-((R3178-1)*((IF(Inputs!$B$38="pvp",15,MAX(0.1,Skills!D11-IF(TRUE=TRUE,3.0,0)))*(1-IF(AND(ArtifactsInput!$M$27,Inputs!$B$4="Chapter Hunt"),CHOOSE(ArtifactsInput!$N$27+1,20,24,28,32,36,40),0)/100))/B3209))))/Skills!H11+0.000000001),1)))/Inputs!$B$43),G3178*Q3178)))*N3181)*IF(Inputs!$B$38="pvp",1,(1+(Inputs!$B$21+Skills!Q14+(IF(ArtifactsInput!$M$33,CHOOSE(ArtifactsInput!$N$33+1,30,36,42,48,54,60),0))+(IF(AND(ArtifactsInput!$M$35,Inputs!$B$4&lt;&gt;"Chapter Hunt"),CHOOSE(ArtifactsInput!$N$35+1,15,18,21,24,27,30)*(1-EXP(-(0.2*B3200)*5)),0)+IF(AND(ArtifactsInput!$M$22,Inputs!$B$4&lt;&gt;"Chapter Hunt"),CHOOSE(ArtifactsInput!$N$22+1,10,12,14,16,18,20)*((0*(((0.15*B3200*5))^0/1)+1*(((0.15*B3200*5))^1/1)+2*(((0.15*B3200*5))^2/2)+3*(((0.15*B3200*5))^3/6)+4*(((0.15*B3200*5))^4/24)+5*(((0.15*B3200*5))^5/120))/((((0.15*B3200*5))^0/1)+(((0.15*B3200*5))^1/1)+(((0.15*B3200*5))^2/2)+(((0.15*B3200*5))^3/6)+(((0.15*B3200*5))^4/24)+(((0.15*B3200*5))^5/120))),0))+IF(Inputs!$B$3&gt;=54,9*(C3170=TRUE)*MIN(1,8*(1+Inputs!$B$34/100)*Q3170),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82">
      <c r="A3182">
        <f>Skills!A15</f>
        <v/>
      </c>
      <c r="B3182">
        <f>Skills!B15</f>
        <v/>
      </c>
      <c r="C3182">
        <f>Inputs!$B$3&gt;=100</f>
        <v/>
      </c>
      <c r="D3182">
        <f>IF(Skills!C15=1,60+Inputs!$B$25+Inputs!$B$29,IF(Skills!C15=2,90+Inputs!$B$26+Inputs!$B$29,IF(Skills!C15=3,120+Inputs!$B$27+Inputs!$B$29,MAX(0,(Inputs!$B$3-100)*3)+Inputs!$B$28+Inputs!$B$29)))</f>
        <v/>
      </c>
      <c r="E3182">
        <f>INDEX(FactorTable!$B$2:$Y$301, MATCH(ROUND(MIN(300,MAX(1,D3182)),0), FactorTable!$A$2:$A$301,0), Skills!M15+1)</f>
        <v/>
      </c>
      <c r="F3182">
        <f>IF(Skills!N15=TRUE,(Skills!L15/10)*(E3182/1000),Skills!L15/10)+Skills!O15</f>
        <v/>
      </c>
      <c r="G3182" t="inlineStr"/>
      <c r="H3182" t="inlineStr"/>
      <c r="I3182" t="inlineStr">
        <is>
          <t>1</t>
        </is>
      </c>
      <c r="J3182" t="inlineStr"/>
      <c r="K3182" t="inlineStr"/>
      <c r="L3182" t="inlineStr"/>
      <c r="M3182" t="inlineStr"/>
      <c r="N3182" t="inlineStr"/>
      <c r="O3182" t="inlineStr"/>
      <c r="P3182" t="inlineStr"/>
      <c r="Q3182" t="inlineStr"/>
      <c r="R3182" t="inlineStr"/>
      <c r="S3182" t="inlineStr"/>
    </row>
    <row r="3183">
      <c r="A3183">
        <f>Skills!A16</f>
        <v/>
      </c>
      <c r="B3183">
        <f>Skills!B16</f>
        <v/>
      </c>
      <c r="C3183">
        <f>Inputs!$B$3&gt;=107</f>
        <v/>
      </c>
      <c r="D3183">
        <f>IF(Skills!C16=1,60+Inputs!$B$25+Inputs!$B$29,IF(Skills!C16=2,90+Inputs!$B$26+Inputs!$B$29,IF(Skills!C16=3,120+Inputs!$B$27+Inputs!$B$29,MAX(0,(Inputs!$B$3-100)*3)+Inputs!$B$28+Inputs!$B$29)))</f>
        <v/>
      </c>
      <c r="E3183">
        <f>INDEX(FactorTable!$B$2:$Y$301, MATCH(ROUND(MIN(300,MAX(1,D3183)),0), FactorTable!$A$2:$A$301,0), Skills!M16+1)</f>
        <v/>
      </c>
      <c r="F3183">
        <f>IF(Skills!N16=TRUE,(Skills!L16/10)*(E3183/1000),Skills!L16/10)+Skills!O16</f>
        <v/>
      </c>
      <c r="G3183" t="inlineStr"/>
      <c r="H3183" t="inlineStr"/>
      <c r="I3183" t="inlineStr">
        <is>
          <t>1</t>
        </is>
      </c>
      <c r="J3183" t="inlineStr"/>
      <c r="K3183" t="inlineStr"/>
      <c r="L3183" t="inlineStr"/>
      <c r="M3183" t="inlineStr"/>
      <c r="N3183" t="inlineStr"/>
      <c r="O3183" t="inlineStr"/>
      <c r="P3183" t="inlineStr"/>
      <c r="Q3183" t="inlineStr"/>
      <c r="R3183" t="inlineStr"/>
      <c r="S3183" t="inlineStr"/>
    </row>
    <row r="3184">
      <c r="A3184">
        <f>Skills!A17</f>
        <v/>
      </c>
      <c r="B3184">
        <f>Skills!B17</f>
        <v/>
      </c>
      <c r="C3184">
        <f>Inputs!$B$3&gt;=74</f>
        <v/>
      </c>
      <c r="D3184">
        <f>IF(Skills!C17=1,60+Inputs!$B$25+Inputs!$B$29,IF(Skills!C17=2,90+Inputs!$B$26+Inputs!$B$29,IF(Skills!C17=3,120+Inputs!$B$27+Inputs!$B$29,MAX(0,(Inputs!$B$3-100)*3)+Inputs!$B$28+Inputs!$B$29)))</f>
        <v/>
      </c>
      <c r="E3184">
        <f>INDEX(FactorTable!$B$2:$Y$301, MATCH(ROUND(MIN(300,MAX(1,D3184)),0), FactorTable!$A$2:$A$301,0), Skills!M17+1)</f>
        <v/>
      </c>
      <c r="F3184">
        <f>IF(Skills!N17=TRUE,(Skills!L17/10)*(E3184/1000),Skills!L17/10)+Skills!O17</f>
        <v/>
      </c>
      <c r="G3184">
        <f>Skills!G17*IF(Skills!H17&gt;0,INT(IF(Inputs!$B$38="pvp",MIN(Skills!I17,15),Skills!I17)/Skills!H17+0.000000001),1)</f>
        <v/>
      </c>
      <c r="H3184">
        <f>1-(1-Skills!J17/100)^Skills!K17</f>
        <v/>
      </c>
      <c r="I3184" t="inlineStr">
        <is>
          <t>1</t>
        </is>
      </c>
      <c r="J3184" t="inlineStr"/>
      <c r="K3184" t="inlineStr"/>
      <c r="L3184" t="inlineStr"/>
      <c r="M3184" t="inlineStr"/>
      <c r="N3184" t="inlineStr"/>
      <c r="O3184">
        <f>(1-Summary!$B$11)*T3184+Summary!$B$11*V3184</f>
        <v/>
      </c>
      <c r="P3184">
        <f>IF(B3208=0,0,O3184/B3208)</f>
        <v/>
      </c>
      <c r="Q3184" t="n">
        <v>0</v>
      </c>
      <c r="R3184" t="n">
        <v>0</v>
      </c>
      <c r="S3184">
        <f>IFERROR(O3184/N3184,0)</f>
        <v/>
      </c>
      <c r="T3184" t="n">
        <v>0</v>
      </c>
      <c r="V3184" t="n">
        <v>0</v>
      </c>
    </row>
    <row r="3185">
      <c r="A3185">
        <f>Skills!A18</f>
        <v/>
      </c>
      <c r="B3185">
        <f>Skills!B18</f>
        <v/>
      </c>
      <c r="C3185">
        <f>Inputs!$B$3&gt;=115</f>
        <v/>
      </c>
      <c r="D3185">
        <f>IF(Skills!C18=1,60+Inputs!$B$25+Inputs!$B$29,IF(Skills!C18=2,90+Inputs!$B$26+Inputs!$B$29,IF(Skills!C18=3,120+Inputs!$B$27+Inputs!$B$29,MAX(0,(Inputs!$B$3-100)*3)+Inputs!$B$28+Inputs!$B$29)))</f>
        <v/>
      </c>
      <c r="E3185">
        <f>INDEX(FactorTable!$B$2:$Y$301, MATCH(ROUND(MIN(300,MAX(1,D3185)),0), FactorTable!$A$2:$A$301,0), Skills!M18+1)</f>
        <v/>
      </c>
      <c r="F3185">
        <f>IF(Skills!N18=TRUE,(Skills!L18/10)*(E3185/1000),Skills!L18/10)+Skills!O18</f>
        <v/>
      </c>
      <c r="G3185">
        <f>Skills!G18*IF(Skills!H18&gt;0,INT(IF(Inputs!$B$38="pvp",MIN(Skills!I18,15),Skills!I18)/Skills!H18+0.000000001),1)</f>
        <v/>
      </c>
      <c r="H3185">
        <f>1-(1-Skills!J18/100)^Skills!K18</f>
        <v/>
      </c>
      <c r="I3185" t="inlineStr">
        <is>
          <t>1</t>
        </is>
      </c>
      <c r="J3185" t="inlineStr"/>
      <c r="K3185" t="inlineStr"/>
      <c r="L3185" t="inlineStr"/>
      <c r="M3185" t="inlineStr"/>
      <c r="N3185" t="inlineStr"/>
      <c r="O3185">
        <f>(1-Summary!$B$11)*T3185+Summary!$B$11*V3185</f>
        <v/>
      </c>
      <c r="P3185">
        <f>IF(B3208=0,0,O3185/B3208)</f>
        <v/>
      </c>
      <c r="Q3185">
        <f>IFERROR(1/(IF(Inputs!$B$38="pvp",15,MAX(0.1,Skills!D18-IF(TRUE=TRUE,3.0,0)))*(1-IF(AND(ArtifactsInput!$M$27,Inputs!$B$4="Chapter Hunt"),CHOOSE(ArtifactsInput!$N$27+1,20,24,28,32,36,40),0)/100)),0)</f>
        <v/>
      </c>
      <c r="R3185">
        <f>IF(AND(Inputs!$B$38&lt;&gt;"pvp",Inputs!$B$43&gt;0),IF(Inputs!$B$43&lt;=0,0,(INT(Inputs!$B$43/(IF(Inputs!$B$38="pvp",15,MAX(0.1,Skills!D18-IF(TRUE=TRUE,3.0,0)))*(1-IF(AND(ArtifactsInput!$M$27,Inputs!$B$4="Chapter Hunt"),CHOOSE(ArtifactsInput!$N$27+1,20,24,28,32,36,40),0)/100)))+1)),0)</f>
        <v/>
      </c>
      <c r="S3185">
        <f>IFERROR(O3185/N3185,0)</f>
        <v/>
      </c>
      <c r="T3185" t="n">
        <v>0</v>
      </c>
      <c r="V3185" t="n">
        <v>0</v>
      </c>
    </row>
    <row r="3186">
      <c r="A3186">
        <f>Skills!A19</f>
        <v/>
      </c>
      <c r="B3186">
        <f>Skills!B19</f>
        <v/>
      </c>
      <c r="C3186">
        <f>Inputs!$B$3&gt;=10</f>
        <v/>
      </c>
      <c r="D3186">
        <f>IF(Skills!C19=1,60+Inputs!$B$25+Inputs!$B$29,IF(Skills!C19=2,90+Inputs!$B$26+Inputs!$B$29,IF(Skills!C19=3,120+Inputs!$B$27+Inputs!$B$29,MAX(0,(Inputs!$B$3-100)*3)+Inputs!$B$28+Inputs!$B$29)))</f>
        <v/>
      </c>
      <c r="E3186">
        <f>INDEX(FactorTable!$B$2:$Y$301, MATCH(ROUND(MIN(300,MAX(1,D3186)),0), FactorTable!$A$2:$A$301,0), Skills!M19+1)</f>
        <v/>
      </c>
      <c r="F3186">
        <f>IF(Skills!N19=TRUE,(Skills!L19/10)*(E3186/1000),Skills!L19/10)+Skills!O19</f>
        <v/>
      </c>
      <c r="G3186">
        <f>Skills!G19*IF(Skills!H19&gt;0,INT(IF(Inputs!$B$38="pvp",MIN(Skills!I19,15),Skills!I19)/Skills!H19+0.000000001),1)</f>
        <v/>
      </c>
      <c r="H3186">
        <f>1-(1-Skills!J19/100)^Skills!K19</f>
        <v/>
      </c>
      <c r="I3186" t="inlineStr">
        <is>
          <t>1</t>
        </is>
      </c>
      <c r="J3186" t="inlineStr"/>
      <c r="K3186" t="inlineStr"/>
      <c r="L3186" t="inlineStr"/>
      <c r="M3186" t="inlineStr"/>
      <c r="N3186" t="inlineStr"/>
      <c r="O3186">
        <f>(1-Summary!$B$11)*T3186+Summary!$B$11*V3186</f>
        <v/>
      </c>
      <c r="P3186">
        <f>IF(B3208=0,0,O3186/B3208)</f>
        <v/>
      </c>
      <c r="Q3186" t="n">
        <v>0</v>
      </c>
      <c r="R3186" t="n">
        <v>0</v>
      </c>
      <c r="S3186">
        <f>IFERROR(O3186/N3186,0)</f>
        <v/>
      </c>
      <c r="T3186" t="n">
        <v>0</v>
      </c>
      <c r="V3186" t="n">
        <v>0</v>
      </c>
    </row>
    <row r="3187">
      <c r="A3187">
        <f>Skills!A20</f>
        <v/>
      </c>
      <c r="B3187">
        <f>Skills!B20</f>
        <v/>
      </c>
      <c r="C3187">
        <f>Inputs!$B$3&gt;=15</f>
        <v/>
      </c>
      <c r="D3187">
        <f>IF(Skills!C20=1,60+Inputs!$B$25+Inputs!$B$29,IF(Skills!C20=2,90+Inputs!$B$26+Inputs!$B$29,IF(Skills!C20=3,120+Inputs!$B$27+Inputs!$B$29,MAX(0,(Inputs!$B$3-100)*3)+Inputs!$B$28+Inputs!$B$29)))</f>
        <v/>
      </c>
      <c r="E3187">
        <f>INDEX(FactorTable!$B$2:$Y$301, MATCH(ROUND(MIN(300,MAX(1,D3187)),0), FactorTable!$A$2:$A$301,0), Skills!M20+1)</f>
        <v/>
      </c>
      <c r="F3187">
        <f>IF(Skills!N20=TRUE,(Skills!L20/10)*(E3187/1000),Skills!L20/10)+Skills!O20</f>
        <v/>
      </c>
      <c r="G3187">
        <f>Skills!G20*IF(Skills!H20&gt;0,INT(IF(Inputs!$B$38="pvp",MIN(Skills!I20,15),Skills!I20)/Skills!H20+0.000000001),1)</f>
        <v/>
      </c>
      <c r="H3187">
        <f>1-(1-Skills!J20/100)^Skills!K20</f>
        <v/>
      </c>
      <c r="I3187" t="inlineStr">
        <is>
          <t>1</t>
        </is>
      </c>
      <c r="J3187" t="inlineStr"/>
      <c r="K3187" t="inlineStr"/>
      <c r="L3187" t="inlineStr"/>
      <c r="M3187" t="inlineStr"/>
      <c r="N3187" t="inlineStr"/>
      <c r="O3187">
        <f>(1-Summary!$B$11)*T3187+Summary!$B$11*V3187</f>
        <v/>
      </c>
      <c r="P3187">
        <f>IF(B3208=0,0,O3187/B3208)</f>
        <v/>
      </c>
      <c r="Q3187" t="n">
        <v>0</v>
      </c>
      <c r="R3187" t="n">
        <v>0</v>
      </c>
      <c r="S3187">
        <f>IFERROR(O3187/N3187,0)</f>
        <v/>
      </c>
      <c r="T3187" t="n">
        <v>0</v>
      </c>
      <c r="V3187" t="n">
        <v>0</v>
      </c>
    </row>
    <row r="3188">
      <c r="A3188">
        <f>Skills!A21</f>
        <v/>
      </c>
      <c r="B3188">
        <f>Skills!B21</f>
        <v/>
      </c>
      <c r="C3188">
        <f>Inputs!$B$3&gt;=40</f>
        <v/>
      </c>
      <c r="D3188">
        <f>IF(Skills!C21=1,60+Inputs!$B$25+Inputs!$B$29,IF(Skills!C21=2,90+Inputs!$B$26+Inputs!$B$29,IF(Skills!C21=3,120+Inputs!$B$27+Inputs!$B$29,MAX(0,(Inputs!$B$3-100)*3)+Inputs!$B$28+Inputs!$B$29)))</f>
        <v/>
      </c>
      <c r="E3188">
        <f>INDEX(FactorTable!$B$2:$Y$301, MATCH(ROUND(MIN(300,MAX(1,D3188)),0), FactorTable!$A$2:$A$301,0), Skills!M21+1)</f>
        <v/>
      </c>
      <c r="F3188">
        <f>IF(Skills!N21=TRUE,(Skills!L21/10)*(E3188/1000),Skills!L21/10)+Skills!O21</f>
        <v/>
      </c>
      <c r="G3188">
        <f>Skills!G21*IF(Skills!H21&gt;0,INT(IF(Inputs!$B$38="pvp",MIN(Skills!I21,15),Skills!I21)/Skills!H21+0.000000001),1)</f>
        <v/>
      </c>
      <c r="H3188">
        <f>1-(1-Skills!J21/100)^Skills!K21</f>
        <v/>
      </c>
      <c r="I3188" t="inlineStr">
        <is>
          <t>1</t>
        </is>
      </c>
      <c r="J3188" t="inlineStr"/>
      <c r="K3188" t="inlineStr"/>
      <c r="L3188" t="inlineStr"/>
      <c r="M3188" t="inlineStr"/>
      <c r="N3188" t="inlineStr"/>
      <c r="O3188">
        <f>(1-Summary!$B$11)*T3188+Summary!$B$11*V3188</f>
        <v/>
      </c>
      <c r="P3188">
        <f>IF(B3208=0,0,O3188/B3208)</f>
        <v/>
      </c>
      <c r="Q3188" t="n">
        <v>0</v>
      </c>
      <c r="R3188" t="n">
        <v>0</v>
      </c>
      <c r="S3188">
        <f>IFERROR(O3188/N3188,0)</f>
        <v/>
      </c>
      <c r="T3188" t="n">
        <v>0</v>
      </c>
      <c r="V3188" t="n">
        <v>0</v>
      </c>
    </row>
    <row r="3189">
      <c r="A3189">
        <f>Skills!A22</f>
        <v/>
      </c>
      <c r="B3189">
        <f>Skills!B22</f>
        <v/>
      </c>
      <c r="C3189">
        <f>Inputs!$B$3&gt;=43</f>
        <v/>
      </c>
      <c r="D3189">
        <f>IF(Skills!C22=1,60+Inputs!$B$25+Inputs!$B$29,IF(Skills!C22=2,90+Inputs!$B$26+Inputs!$B$29,IF(Skills!C22=3,120+Inputs!$B$27+Inputs!$B$29,MAX(0,(Inputs!$B$3-100)*3)+Inputs!$B$28+Inputs!$B$29)))</f>
        <v/>
      </c>
      <c r="E3189">
        <f>INDEX(FactorTable!$B$2:$Y$301, MATCH(ROUND(MIN(300,MAX(1,D3189)),0), FactorTable!$A$2:$A$301,0), Skills!M22+1)</f>
        <v/>
      </c>
      <c r="F3189">
        <f>IF(Skills!N22=TRUE,(Skills!L22/10)*(E3189/1000),Skills!L22/10)+Skills!O22</f>
        <v/>
      </c>
      <c r="G3189">
        <f>Skills!G22*IF(Skills!H22&gt;0,INT(IF(Inputs!$B$38="pvp",MIN(Skills!I22,15),Skills!I22)/Skills!H22+0.000000001),1)</f>
        <v/>
      </c>
      <c r="H3189">
        <f>1-(1-Skills!J22/100)^Skills!K22</f>
        <v/>
      </c>
      <c r="I3189" t="inlineStr">
        <is>
          <t>1</t>
        </is>
      </c>
      <c r="J3189" t="inlineStr"/>
      <c r="K3189" t="inlineStr"/>
      <c r="L3189" t="inlineStr"/>
      <c r="M3189" t="inlineStr"/>
      <c r="N3189" t="inlineStr"/>
      <c r="O3189">
        <f>(1-Summary!$B$11)*T3189+Summary!$B$11*V3189</f>
        <v/>
      </c>
      <c r="P3189">
        <f>IF(B3208=0,0,O3189/B3208)</f>
        <v/>
      </c>
      <c r="Q3189" t="n">
        <v>0</v>
      </c>
      <c r="R3189" t="n">
        <v>0</v>
      </c>
      <c r="S3189">
        <f>IFERROR(O3189/N3189,0)</f>
        <v/>
      </c>
      <c r="T3189" t="n">
        <v>0</v>
      </c>
      <c r="V3189" t="n">
        <v>0</v>
      </c>
    </row>
    <row r="3190">
      <c r="A3190">
        <f>Skills!A23</f>
        <v/>
      </c>
      <c r="B3190">
        <f>Skills!B23</f>
        <v/>
      </c>
      <c r="C3190">
        <f>Inputs!$B$3&gt;=38</f>
        <v/>
      </c>
      <c r="D3190">
        <f>IF(Skills!C23=1,60+Inputs!$B$25+Inputs!$B$29,IF(Skills!C23=2,90+Inputs!$B$26+Inputs!$B$29,IF(Skills!C23=3,120+Inputs!$B$27+Inputs!$B$29,MAX(0,(Inputs!$B$3-100)*3)+Inputs!$B$28+Inputs!$B$29)))</f>
        <v/>
      </c>
      <c r="E3190">
        <f>INDEX(FactorTable!$B$2:$Y$301, MATCH(ROUND(MIN(300,MAX(1,D3190)),0), FactorTable!$A$2:$A$301,0), Skills!M23+1)</f>
        <v/>
      </c>
      <c r="F3190">
        <f>IF(Skills!N23=TRUE,(Skills!L23/10)*(E3190/1000),Skills!L23/10)+Skills!O23</f>
        <v/>
      </c>
      <c r="G3190">
        <f>Skills!G23*IF(Skills!H23&gt;0,INT(IF(Inputs!$B$38="pvp",MIN(Skills!I23,15),Skills!I23)/Skills!H23+0.000000001),1)</f>
        <v/>
      </c>
      <c r="H3190">
        <f>1-(1-Skills!J23/100)^Skills!K23</f>
        <v/>
      </c>
      <c r="I3190" t="inlineStr">
        <is>
          <t>1</t>
        </is>
      </c>
      <c r="J3190" t="inlineStr"/>
      <c r="K3190" t="inlineStr"/>
      <c r="L3190" t="inlineStr"/>
      <c r="M3190" t="inlineStr"/>
      <c r="N3190" t="inlineStr"/>
      <c r="O3190">
        <f>(1-Summary!$B$11)*T3190+Summary!$B$11*V3190</f>
        <v/>
      </c>
      <c r="P3190">
        <f>IF(B3208=0,0,O3190/B3208)</f>
        <v/>
      </c>
      <c r="Q3190" t="n">
        <v>0</v>
      </c>
      <c r="R3190" t="n">
        <v>0</v>
      </c>
      <c r="S3190">
        <f>IFERROR(O3190/N3190,0)</f>
        <v/>
      </c>
      <c r="T3190" t="n">
        <v>0</v>
      </c>
      <c r="V3190" t="n">
        <v>0</v>
      </c>
    </row>
    <row r="3191">
      <c r="A3191">
        <f>Skills!A24</f>
        <v/>
      </c>
      <c r="B3191">
        <f>Skills!B24</f>
        <v/>
      </c>
      <c r="C3191">
        <f>Inputs!$B$3&gt;=45</f>
        <v/>
      </c>
      <c r="D3191">
        <f>IF(Skills!C24=1,60+Inputs!$B$25+Inputs!$B$29,IF(Skills!C24=2,90+Inputs!$B$26+Inputs!$B$29,IF(Skills!C24=3,120+Inputs!$B$27+Inputs!$B$29,MAX(0,(Inputs!$B$3-100)*3)+Inputs!$B$28+Inputs!$B$29)))</f>
        <v/>
      </c>
      <c r="E3191">
        <f>INDEX(FactorTable!$B$2:$Y$301, MATCH(ROUND(MIN(300,MAX(1,D3191)),0), FactorTable!$A$2:$A$301,0), Skills!M24+1)</f>
        <v/>
      </c>
      <c r="F3191">
        <f>IF(Skills!N24=TRUE,(Skills!L24/10)*(E3191/1000),Skills!L24/10)+Skills!O24</f>
        <v/>
      </c>
      <c r="G3191">
        <f>Skills!G24*IF(Skills!H24&gt;0,INT(IF(Inputs!$B$38="pvp",MIN(Skills!I24,15),Skills!I24)/Skills!H24+0.000000001),1)</f>
        <v/>
      </c>
      <c r="H3191">
        <f>1-(1-Skills!J24/100)^Skills!K24</f>
        <v/>
      </c>
      <c r="I3191" t="inlineStr">
        <is>
          <t>1</t>
        </is>
      </c>
      <c r="J3191" t="inlineStr"/>
      <c r="K3191" t="inlineStr"/>
      <c r="L3191" t="inlineStr"/>
      <c r="M3191" t="inlineStr"/>
      <c r="N3191" t="inlineStr"/>
      <c r="O3191">
        <f>(1-Summary!$B$11)*T3191+Summary!$B$11*V3191</f>
        <v/>
      </c>
      <c r="P3191">
        <f>IF(B3208=0,0,O3191/B3208)</f>
        <v/>
      </c>
      <c r="Q3191" t="n">
        <v>0</v>
      </c>
      <c r="R3191" t="n">
        <v>0</v>
      </c>
      <c r="S3191">
        <f>IFERROR(O3191/N3191,0)</f>
        <v/>
      </c>
      <c r="T3191" t="n">
        <v>0</v>
      </c>
      <c r="V3191" t="n">
        <v>0</v>
      </c>
    </row>
    <row r="3192">
      <c r="A3192">
        <f>Skills!A25</f>
        <v/>
      </c>
      <c r="B3192">
        <f>Skills!B25</f>
        <v/>
      </c>
      <c r="C3192">
        <f>Inputs!$B$3&gt;=72</f>
        <v/>
      </c>
      <c r="D3192">
        <f>IF(Skills!C25=1,60+Inputs!$B$25+Inputs!$B$29,IF(Skills!C25=2,90+Inputs!$B$26+Inputs!$B$29,IF(Skills!C25=3,120+Inputs!$B$27+Inputs!$B$29,MAX(0,(Inputs!$B$3-100)*3)+Inputs!$B$28+Inputs!$B$29)))</f>
        <v/>
      </c>
      <c r="E3192">
        <f>INDEX(FactorTable!$B$2:$Y$301, MATCH(ROUND(MIN(300,MAX(1,D3192)),0), FactorTable!$A$2:$A$301,0), Skills!M25+1)</f>
        <v/>
      </c>
      <c r="F3192">
        <f>IF(Skills!N25=TRUE,(Skills!L25/10)*(E3192/1000),Skills!L25/10)+Skills!O25</f>
        <v/>
      </c>
      <c r="G3192">
        <f>Skills!G25*IF(Skills!H25&gt;0,INT(IF(Inputs!$B$38="pvp",MIN(Skills!I25,15),Skills!I25)/Skills!H25+0.000000001),1)</f>
        <v/>
      </c>
      <c r="H3192">
        <f>1-(1-Skills!J25/100)^Skills!K25</f>
        <v/>
      </c>
      <c r="I3192" t="inlineStr">
        <is>
          <t>1</t>
        </is>
      </c>
      <c r="J3192" t="inlineStr"/>
      <c r="K3192" t="inlineStr"/>
      <c r="L3192" t="inlineStr"/>
      <c r="M3192" t="inlineStr"/>
      <c r="N3192" t="inlineStr"/>
      <c r="O3192">
        <f>(1-Summary!$B$11)*T3192+Summary!$B$11*V3192</f>
        <v/>
      </c>
      <c r="P3192">
        <f>IF(B3208=0,0,O3192/B3208)</f>
        <v/>
      </c>
      <c r="Q3192" t="n">
        <v>0</v>
      </c>
      <c r="R3192" t="n">
        <v>0</v>
      </c>
      <c r="S3192">
        <f>IFERROR(O3192/N3192,0)</f>
        <v/>
      </c>
      <c r="T3192" t="n">
        <v>0</v>
      </c>
      <c r="V3192" t="n">
        <v>0</v>
      </c>
    </row>
    <row r="3193">
      <c r="A3193">
        <f>Skills!A26</f>
        <v/>
      </c>
      <c r="B3193">
        <f>Skills!B26</f>
        <v/>
      </c>
      <c r="C3193">
        <f>Inputs!$B$3&gt;=75</f>
        <v/>
      </c>
      <c r="D3193">
        <f>IF(Skills!C26=1,60+Inputs!$B$25+Inputs!$B$29,IF(Skills!C26=2,90+Inputs!$B$26+Inputs!$B$29,IF(Skills!C26=3,120+Inputs!$B$27+Inputs!$B$29,MAX(0,(Inputs!$B$3-100)*3)+Inputs!$B$28+Inputs!$B$29)))</f>
        <v/>
      </c>
      <c r="E3193">
        <f>INDEX(FactorTable!$B$2:$Y$301, MATCH(ROUND(MIN(300,MAX(1,D3193)),0), FactorTable!$A$2:$A$301,0), Skills!M26+1)</f>
        <v/>
      </c>
      <c r="F3193">
        <f>IF(Skills!N26=TRUE,(Skills!L26/10)*(E3193/1000),Skills!L26/10)+Skills!O26</f>
        <v/>
      </c>
      <c r="G3193">
        <f>Skills!G26*IF(Skills!H26&gt;0,INT(IF(Inputs!$B$38="pvp",MIN(Skills!I26,15),Skills!I26)/Skills!H26+0.000000001),1)</f>
        <v/>
      </c>
      <c r="H3193">
        <f>1-(1-Skills!J26/100)^Skills!K26</f>
        <v/>
      </c>
      <c r="I3193" t="inlineStr">
        <is>
          <t>1</t>
        </is>
      </c>
      <c r="J3193" t="inlineStr"/>
      <c r="K3193" t="inlineStr"/>
      <c r="L3193" t="inlineStr"/>
      <c r="M3193" t="inlineStr"/>
      <c r="N3193" t="inlineStr"/>
      <c r="O3193">
        <f>(1-Summary!$B$11)*T3193+Summary!$B$11*V3193</f>
        <v/>
      </c>
      <c r="P3193">
        <f>IF(B3208=0,0,O3193/B3208)</f>
        <v/>
      </c>
      <c r="Q3193" t="n">
        <v>0</v>
      </c>
      <c r="R3193" t="n">
        <v>0</v>
      </c>
      <c r="S3193">
        <f>IFERROR(O3193/N3193,0)</f>
        <v/>
      </c>
      <c r="T3193" t="n">
        <v>0</v>
      </c>
      <c r="V3193" t="n">
        <v>0</v>
      </c>
    </row>
    <row r="3194">
      <c r="A3194">
        <f>Skills!A27</f>
        <v/>
      </c>
      <c r="B3194">
        <f>Skills!B27</f>
        <v/>
      </c>
      <c r="C3194">
        <f>Inputs!$B$3&gt;=125</f>
        <v/>
      </c>
      <c r="D3194">
        <f>IF(Skills!C27=1,60+Inputs!$B$25+Inputs!$B$29,IF(Skills!C27=2,90+Inputs!$B$26+Inputs!$B$29,IF(Skills!C27=3,120+Inputs!$B$27+Inputs!$B$29,MAX(0,(Inputs!$B$3-100)*3)+Inputs!$B$28+Inputs!$B$29)))</f>
        <v/>
      </c>
      <c r="E3194">
        <f>INDEX(FactorTable!$B$2:$Y$301, MATCH(ROUND(MIN(300,MAX(1,D3194)),0), FactorTable!$A$2:$A$301,0), Skills!M27+1)</f>
        <v/>
      </c>
      <c r="F3194">
        <f>IF(Skills!N27=TRUE,(Skills!L27/10)*(E3194/1000),Skills!L27/10)+Skills!O27</f>
        <v/>
      </c>
      <c r="G3194">
        <f>Skills!G27*IF(Skills!H27&gt;0,INT(IF(Inputs!$B$38="pvp",MIN(Skills!I27,15),Skills!I27)/Skills!H27+0.000000001),1)</f>
        <v/>
      </c>
      <c r="H3194">
        <f>1-(1-Skills!J27/100)^Skills!K27</f>
        <v/>
      </c>
      <c r="I3194" t="inlineStr">
        <is>
          <t>1</t>
        </is>
      </c>
      <c r="J3194" t="inlineStr"/>
      <c r="K3194" t="inlineStr"/>
      <c r="L3194" t="inlineStr"/>
      <c r="M3194" t="inlineStr"/>
      <c r="N3194" t="inlineStr"/>
      <c r="O3194">
        <f>(1-Summary!$B$11)*T3194+Summary!$B$11*V3194</f>
        <v/>
      </c>
      <c r="P3194">
        <f>IF(B3208=0,0,O3194/B3208)</f>
        <v/>
      </c>
      <c r="Q3194" t="n">
        <v>0</v>
      </c>
      <c r="R3194" t="n">
        <v>0</v>
      </c>
      <c r="S3194">
        <f>IFERROR(O3194/N3194,0)</f>
        <v/>
      </c>
      <c r="T3194" t="n">
        <v>0</v>
      </c>
      <c r="V3194" t="n">
        <v>0</v>
      </c>
    </row>
    <row r="3195">
      <c r="A3195">
        <f>Skills!A28</f>
        <v/>
      </c>
      <c r="B3195">
        <f>Skills!B28</f>
        <v/>
      </c>
      <c r="C3195">
        <f>TRUE</f>
        <v/>
      </c>
      <c r="D3195">
        <f>IF(Skills!C28=1,60+Inputs!$B$25+Inputs!$B$29,IF(Skills!C28=2,90+Inputs!$B$26+Inputs!$B$29,IF(Skills!C28=3,120+Inputs!$B$27+Inputs!$B$29,MAX(0,(Inputs!$B$3-100)*3)+Inputs!$B$28+Inputs!$B$29)))</f>
        <v/>
      </c>
      <c r="E3195">
        <f>INDEX(FactorTable!$B$2:$Y$301, MATCH(ROUND(MIN(300,MAX(1,D3195)),0), FactorTable!$A$2:$A$301,0), Skills!M28+1)</f>
        <v/>
      </c>
      <c r="F3195">
        <f>IF(Skills!N28=TRUE,(Skills!L28/10)*(E3195/1000),Skills!L28/10)+Skills!O28</f>
        <v/>
      </c>
      <c r="G3195">
        <f>Skills!G28*IF(Skills!H28&gt;0,INT(IF(Inputs!$B$38="pvp",MIN(Skills!I28,15),Skills!I28)/Skills!H28+0.000000001),1)</f>
        <v/>
      </c>
      <c r="H3195">
        <f>1-(1-Skills!J28/100)^Skills!K28</f>
        <v/>
      </c>
      <c r="I3195" t="inlineStr">
        <is>
          <t>1</t>
        </is>
      </c>
      <c r="J3195" t="inlineStr"/>
      <c r="K3195" t="inlineStr"/>
      <c r="L3195" t="inlineStr"/>
      <c r="M3195" t="inlineStr"/>
      <c r="N3195" t="inlineStr"/>
      <c r="O3195">
        <f>(1-Summary!$B$11)*T3195+Summary!$B$11*V3195</f>
        <v/>
      </c>
      <c r="P3195">
        <f>IF(B3208=0,0,O3195/B3208)</f>
        <v/>
      </c>
      <c r="Q3195">
        <f>IFERROR(1/(IF(Inputs!$B$38="pvp",15,MAX(0.1,Skills!D28-IF(TRUE=TRUE,3.0,0)))*(1-IF(AND(ArtifactsInput!$M$27,Inputs!$B$4="Chapter Hunt"),CHOOSE(ArtifactsInput!$N$27+1,20,24,28,32,36,40),0)/100)),0)</f>
        <v/>
      </c>
      <c r="R3195">
        <f>IF(AND(Inputs!$B$38&lt;&gt;"pvp",Inputs!$B$43&gt;0),IF(Inputs!$B$43&lt;=0,0,(INT(Inputs!$B$43/(IF(Inputs!$B$38="pvp",15,MAX(0.1,Skills!D28-IF(TRUE=TRUE,3.0,0)))*(1-IF(AND(ArtifactsInput!$M$27,Inputs!$B$4="Chapter Hunt"),CHOOSE(ArtifactsInput!$N$27+1,20,24,28,32,36,40),0)/100)))+1)),0)</f>
        <v/>
      </c>
      <c r="S3195">
        <f>IFERROR(O3195/N3195,0)</f>
        <v/>
      </c>
      <c r="T3195" t="n">
        <v>0</v>
      </c>
      <c r="V3195" t="n">
        <v>0</v>
      </c>
    </row>
    <row r="3197">
      <c r="A3197" t="inlineStr">
        <is>
          <t>Attack% Bucket Multiplier</t>
        </is>
      </c>
      <c r="B3197">
        <f>(1+(((C3184=TRUE)*F3184*5/7)+((C3191=TRUE)*(F3191-Calc!F24))+(IF(ArtifactsInput!$M$21,CHOOSE(ArtifactsInput!$N$21+1,25,30,35,40,45,50)*(IF(OR(Inputs!$B$4="Chapter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3198">
      <c r="A3198" t="inlineStr">
        <is>
          <t>Global Crit Rate Bonus %</t>
        </is>
      </c>
      <c r="B3198" t="n">
        <v>0</v>
      </c>
    </row>
    <row r="3199">
      <c r="A3199" t="inlineStr">
        <is>
          <t>Attack Speed Buff Bonus % (Nimble Feet, duty-cycle averaged)</t>
        </is>
      </c>
      <c r="B3199">
        <f>((C3195=TRUE)*F3195*IF(AND(Inputs!$B$38&lt;&gt;"pvp",Inputs!$B$43&gt;0),(((R3195-1)*MIN((Skills!T28*(1+Inputs!$B$34/100)),(1/Q3195))+MIN((Skills!T28*(1+Inputs!$B$34/100)),MAX(0,Inputs!$B$43-((R3195-1)*(1/Q3195)))))/Inputs!$B$43),IF(Inputs!$B$38="pvp",MIN((Skills!T28*(1+Inputs!$B$34/100)),15)/15,MIN(1,(Skills!T28*(1+Inputs!$B$34/100))/(1/Q3195)))))</f>
        <v/>
      </c>
    </row>
    <row r="3200">
      <c r="A3200" t="inlineStr">
        <is>
          <t>Actions Per Second</t>
        </is>
      </c>
      <c r="B3200">
        <f>1+MIN(150,150*(1-(1-(Inputs!$B$11+((C3187=TRUE)*(F3187-Calc!F20))+((C3188=TRUE)*(F3188-Calc!F21)))/150)*(1-B3199/150)))/100</f>
        <v/>
      </c>
    </row>
    <row r="3201">
      <c r="A3201" t="inlineStr">
        <is>
          <t>Skill + Buff Cast Rate</t>
        </is>
      </c>
      <c r="B3201">
        <f>IF(AND(Inputs!$B$38&lt;&gt;"pvp",Inputs!$B$43&gt;0),SUMPRODUCT((Skills!E2:E28=TRUE)*(C3169:C3195=TRUE)*R3169:R3195*Skills!F2:F28)/Inputs!$B$43,SUMPRODUCT((Skills!E2:E28=TRUE)*(C3169:C3195=TRUE)*Q3169:Q3195*Skills!F2:F28))</f>
        <v/>
      </c>
    </row>
    <row r="3202">
      <c r="A3202" t="inlineStr">
        <is>
          <t>Eight-Legs Easton Casts Per Second</t>
        </is>
      </c>
      <c r="B3202">
        <f>MAX(0,B3200-B3201)</f>
        <v/>
      </c>
    </row>
    <row r="3203">
      <c r="A3203" t="inlineStr">
        <is>
          <t>Global Critical Damage Bonus % (unused)</t>
        </is>
      </c>
      <c r="B3203" t="n">
        <v>0</v>
      </c>
    </row>
    <row r="3204">
      <c r="A3204" t="inlineStr">
        <is>
          <t>Global Final Damage Bonus % (Jolly Roger + Ahoy Mateys - Final Damage proc)</t>
        </is>
      </c>
      <c r="B3204">
        <f>((C3185=TRUE)*F3185*IF(AND(Inputs!$B$38&lt;&gt;"pvp",Inputs!$B$43&gt;0),(((R3185-1)*MIN((Skills!T18*(1+Inputs!$B$34/100)),(1/Q3185))+MIN((Skills!T18*(1+Inputs!$B$34/100)),MAX(0,Inputs!$B$43-((R3185-1)*(1/Q3185)))))/Inputs!$B$43),IF(Inputs!$B$38="pvp",MIN((Skills!T18*(1+Inputs!$B$34/100)),15)/15,MIN(1,(Skills!T18*(1+Inputs!$B$34/100))/(1/Q3185)))))+IF(Inputs!$B$3&gt;=122,20*IF(Inputs!$B$38="pvp",MIN((20*(1+Inputs!$B$34/100)),15)/15,MIN(1,(20*(1+Inputs!$B$34/100))/(1/Q3171))),0)</f>
        <v/>
      </c>
    </row>
    <row r="3205">
      <c r="A3205" t="inlineStr">
        <is>
          <t>Buff-Casting Startup Delay (s, fixed-duration only)</t>
        </is>
      </c>
      <c r="B3205">
        <f>IF(AND(Inputs!$B$38&lt;&gt;"pvp",Inputs!$B$43&gt;0),SUMPRODUCT((Skills!T2:T28&gt;0)*(Skills!E2:E28=TRUE)*(C3169:C3195=TRUE))/B3200,0)</f>
        <v/>
      </c>
    </row>
    <row r="3206">
      <c r="A3206" t="inlineStr">
        <is>
          <t>Boss-Only Total DPS (this block's swept value)</t>
        </is>
      </c>
      <c r="B3206">
        <f>SUM(T3169:T3195)</f>
        <v/>
      </c>
    </row>
    <row r="3207">
      <c r="A3207" t="inlineStr">
        <is>
          <t>Normal-Only Total DPS (this block's swept value)</t>
        </is>
      </c>
      <c r="B3207">
        <f>SUM(V3169:V3195)</f>
        <v/>
      </c>
    </row>
    <row r="3208">
      <c r="A3208" s="6" t="inlineStr">
        <is>
          <t>TOTAL DPS</t>
        </is>
      </c>
      <c r="B3208" s="6">
        <f>SUM(O3169:O3195)</f>
        <v/>
      </c>
    </row>
    <row r="3209">
      <c r="A3209" t="inlineStr">
        <is>
          <t>Quickdraw cooldown divisor (this block's own APS / Q)</t>
        </is>
      </c>
      <c r="B3209">
        <f>IF(AND(C3194=TRUE,Inputs!$B$38&lt;&gt;"pvp"),1+0.25*MAX(0,(B3200-(((C3170=TRUE)*Q3170*1)+((C3171=TRUE)*Q3171*1)+((C3173=TRUE)*Q3173*1)+((C3174=TRUE)*Q3174*1)+((C3176=TRUE)*Q3176*1)+((C3179=TRUE)*Q3179*1)+((C3185=TRUE)*Q3185*1)+((C3195=TRUE)*Q3195*1))-((C3175=TRUE)/(IF(Inputs!$B$38="pvp",15,MAX(0.1,Skills!D8-IF(TRUE=TRUE,3.0,0)))*(1-IF(AND(ArtifactsInput!$M$27,Inputs!$B$4="Chapter Hunt"),CHOOSE(ArtifactsInput!$N$27+1,20,24,28,32,36,40),0)/100))+(C3178=TRUE)/(IF(Inputs!$B$38="pvp",15,MAX(0.1,Skills!D11-IF(TRUE=TRUE,3.0,0)))*(1-IF(AND(ArtifactsInput!$M$27,Inputs!$B$4="Chapter Hunt"),CHOOSE(ArtifactsInput!$N$27+1,20,24,28,32,36,40),0)/100))))/(1+0.25*((C3175=TRUE)/(IF(Inputs!$B$38="pvp",15,MAX(0.1,Skills!D8-IF(TRUE=TRUE,3.0,0)))*(1-IF(AND(ArtifactsInput!$M$27,Inputs!$B$4="Chapter Hunt"),CHOOSE(ArtifactsInput!$N$27+1,20,24,28,32,36,40),0)/100))+(C3178=TRUE)/(IF(Inputs!$B$38="pvp",15,MAX(0.1,Skills!D11-IF(TRUE=TRUE,3.0,0)))*(1-IF(AND(ArtifactsInput!$M$27,Inputs!$B$4="Chapter Hunt"),CHOOSE(ArtifactsInput!$N$27+1,20,24,28,32,36,40),0)/100))))),1)</f>
        <v/>
      </c>
    </row>
    <row r="3210">
      <c r="A3210" t="inlineStr">
        <is>
          <t>Nautilus Strike - Final Attack trigger rate (this block's own Q/R)</t>
        </is>
      </c>
      <c r="B3210">
        <f>IF(AND(Inputs!$B$38&lt;&gt;"pvp",Inputs!$B$43&gt;0),(((C3170=TRUE)*R3170)+((C3173=TRUE)*R3173)+((C3175=TRUE)*R3175)+((C3176=TRUE)*R3176)+((C3178=TRUE)*R3178))/Inputs!$B$43,((C3170=TRUE)*Q3170)+((C3173=TRUE)*Q3173)+((C3175=TRUE)*Q3175)+((C3176=TRUE)*Q3176)+((C3178=TRUE)*Q3178))+B3202</f>
        <v/>
      </c>
    </row>
    <row r="3213">
      <c r="A3213" s="6" t="inlineStr">
        <is>
          <t>Stat: CDR = 3.5s</t>
        </is>
      </c>
    </row>
    <row r="3214">
      <c r="A3214" s="5" t="inlineStr">
        <is>
          <t>Key</t>
        </is>
      </c>
      <c r="B3214" s="5" t="inlineStr">
        <is>
          <t>Name</t>
        </is>
      </c>
      <c r="C3214" s="5" t="inlineStr">
        <is>
          <t>Unlocked</t>
        </is>
      </c>
      <c r="D3214" s="5" t="inlineStr">
        <is>
          <t>InputLevel</t>
        </is>
      </c>
      <c r="E3214" s="5" t="inlineStr">
        <is>
          <t>Factor</t>
        </is>
      </c>
      <c r="F3214" s="5" t="inlineStr">
        <is>
          <t>CoefficientPercent</t>
        </is>
      </c>
      <c r="G3214" s="5" t="inlineStr">
        <is>
          <t>EffectiveHits</t>
        </is>
      </c>
      <c r="H3214" s="5" t="inlineStr">
        <is>
          <t>ProcProbability</t>
        </is>
      </c>
      <c r="I3214" s="5" t="inlineStr">
        <is>
          <t>MapleHeroMultiplier</t>
        </is>
      </c>
      <c r="J3214" s="5" t="inlineStr">
        <is>
          <t>BaseDamage</t>
        </is>
      </c>
      <c r="K3214" s="5" t="inlineStr">
        <is>
          <t>BaseHitDamage</t>
        </is>
      </c>
      <c r="L3214" s="5" t="inlineStr">
        <is>
          <t>NonCritAvg</t>
        </is>
      </c>
      <c r="M3214" s="5" t="inlineStr">
        <is>
          <t>CritAvg</t>
        </is>
      </c>
      <c r="N3214" s="5" t="inlineStr">
        <is>
          <t>ExpectedDamage(perHit)</t>
        </is>
      </c>
      <c r="O3214" s="5" t="inlineStr">
        <is>
          <t>DPS</t>
        </is>
      </c>
      <c r="P3214" s="5" t="inlineStr">
        <is>
          <t>% of Total</t>
        </is>
      </c>
      <c r="Q3214" s="5" t="inlineStr">
        <is>
          <t>InvCooldown</t>
        </is>
      </c>
      <c r="R3214" s="5" t="inlineStr">
        <is>
          <t>CastsInFight</t>
        </is>
      </c>
      <c r="S3214" s="5" t="inlineStr">
        <is>
          <t>HitRate(perSec)</t>
        </is>
      </c>
      <c r="U3214" t="inlineStr">
        <is>
          <t>helpers</t>
        </is>
      </c>
    </row>
    <row r="3215">
      <c r="A3215">
        <f>Skills!A2</f>
        <v/>
      </c>
      <c r="B3215">
        <f>Skills!B2</f>
        <v/>
      </c>
      <c r="C3215">
        <f>Inputs!$B$3&gt;=100</f>
        <v/>
      </c>
      <c r="D3215" t="inlineStr"/>
      <c r="E3215" t="inlineStr"/>
      <c r="F3215">
        <f>U3217+Skills!O2</f>
        <v/>
      </c>
      <c r="G3215">
        <f>Skills!G2*IF(Skills!H2&gt;0,INT(IF(Inputs!$B$38="pvp",MIN(Skills!I2,15),Skills!I2)/Skills!H2+0.000000001),1)</f>
        <v/>
      </c>
      <c r="H3215">
        <f>1-(1-Skills!J2/100)^Skills!K2</f>
        <v/>
      </c>
      <c r="I3215" t="inlineStr">
        <is>
          <t>1</t>
        </is>
      </c>
      <c r="J3215">
        <f>((Inputs!$B$6*(1+Inputs!$B$7/100))+(((Inputs!$B$12*(1+Inputs!$B$13/100))-(Inputs!$B$12*(1+Inputs!$B$13/100)))+0.25*(Inputs!$B$14-Inputs!$B$14))*(1+Inputs!$B$7/100))*(F3215/100)</f>
        <v/>
      </c>
      <c r="K3215">
        <f>J3215*(1+((Inputs!$B$12*(1+Inputs!$B$13/100))*0.01+Inputs!$B$14*0.0025)/100)*(1+Inputs!$B$15/100)*(1+Inputs!$B$16/100)*(5000/(6000+Inputs!$B$42*(1-(100*(1-(1-(Inputs!$B$19+0)/100)*(1-CHOOSE(ArtifactsInput!$N$40+1,5,6,7,8,9,10)/100)^(ArtifactsInput!$M$40-ArtifactsInput!$M$40)))/100)))*(1+(Inputs!$B$24+((C3239=TRUE)*(F3239-Calc!F26))+B3250)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IGHT_LEGS_EASTON",Inputs!$B$17+((C3236=TRUE)*(F3236-Calc!F23))+((C3240=TRUE)*(F3240-Calc!F27))+((IF(AND(Inputs!$B$38&lt;&gt;"pvp",Inputs!$B$43=0),1,IF(IF(Inputs!$B$38="pvp",15,Inputs!$B$43)-(B3251)&lt;=0,1,MAX(0,IF(Inputs!$B$38="pvp",15,Inputs!$B$43)-MAX(5,B3251))/(IF(Inputs!$B$38="pvp",15,Inputs!$B$43)-(B3251))))*(IF(AND(ArtifactsInput!$M$42,((Inputs!$B$9+((C3232=TRUE)*(F3232-Calc!F19))+B3244+(ArtifactsInput!$M$24-ArtifactsInput!$M$24)*CHOOSE(ArtifactsInput!$N$24+1,10,12,14,16,18,20)+IF(ArtifactsInput!$M$10,CHOOSE(ArtifactsInput!$N$10+1,15,18,21,24,27,30)*(IF(Inputs!$B$38="pvp",MIN(15,15)/15,IF(AND(Inputs!$B$38&lt;&gt;"pvp",Inputs!$B$43&gt;0),MIN(15,Inputs!$B$43)/(Inputs!$B$43),0))),0)))&gt;=100),MIN(100,((Inputs!$B$9+((C3232=TRUE)*(F3232-Calc!F19))+B3244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3251)&lt;=0,1,MAX(0,IF(Inputs!$B$38="pvp",15,Inputs!$B$43)-MAX(5,B3251))/(IF(Inputs!$B$38="pvp",15,Inputs!$B$43)-(B3251))))*IF(AND(ArtifactsInput!$M$42,((Inputs!$B$9+((C3232=TRUE)*(F3232-Calc!F19))+B3244+(ArtifactsInput!$M$24-ArtifactsInput!$M$24)*CHOOSE(ArtifactsInput!$N$24+1,10,12,14,16,18,20)+IF(ArtifactsInput!$M$10,CHOOSE(ArtifactsInput!$N$10+1,15,18,21,24,27,30)*(IF(Inputs!$B$38="pvp",MIN(15,15)/15,IF(AND(Inputs!$B$38&lt;&gt;"pvp",Inputs!$B$43&gt;0),MIN(15,Inputs!$B$43)/(Inputs!$B$43),0))),0)))&gt;=100),CHOOSE(ArtifactsInput!$N$42+1,40,48,56,64,72,80),0))))/100)*((1+(((C3230=TRUE)*F3230*5/7)+((C3237=TRUE)*(F3237-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3215)</f>
        <v/>
      </c>
      <c r="L3215">
        <f>K3215*(MIN(Inputs!$B$22+((C3235=TRUE)*(F3235-Calc!F22)),(Inputs!$B$23+0+(IF(ArtifactsInput!$M$15,CHOOSE(ArtifactsInput!$N$15+1,25,30,35,40,45,50)/100*(Inputs!$B$11-Inputs!$B$11),0))))/100+(Inputs!$B$23+0+(IF(ArtifactsInput!$M$15,CHOOSE(ArtifactsInput!$N$15+1,25,30,35,40,45,50)/100*(Inputs!$B$11-Inputs!$B$11),0)))/100)/2</f>
        <v/>
      </c>
      <c r="M3215">
        <f>L3215*(1+(Inputs!$B$10+((C3238=TRUE)*(F3238-Calc!F25))+B3249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215">
        <f>L3215*(1-MIN((Inputs!$B$9+((C3232=TRUE)*(F3232-Calc!F19))+B3244+(ArtifactsInput!$M$24-ArtifactsInput!$M$24)*CHOOSE(ArtifactsInput!$N$24+1,10,12,14,16,18,20)+(IF(AND(Inputs!$B$38&lt;&gt;"pvp",Inputs!$B$43=0),1,IF(IF(Inputs!$B$38="pvp",15,Inputs!$B$43)-(B3251)&lt;=0,1,MAX(0,IF(Inputs!$B$38="pvp",15,Inputs!$B$43)-MAX(5,B3251))/(IF(Inputs!$B$38="pvp",15,Inputs!$B$43)-(B3251))))*IF(AND(ArtifactsInput!$M$42,((Inputs!$B$9+((C3232=TRUE)*(F3232-Calc!F19))+B3244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3215*(MIN((Inputs!$B$9+((C3232=TRUE)*(F3232-Calc!F19))+B3244+(ArtifactsInput!$M$24-ArtifactsInput!$M$24)*CHOOSE(ArtifactsInput!$N$24+1,10,12,14,16,18,20)+(IF(AND(Inputs!$B$38&lt;&gt;"pvp",Inputs!$B$43=0),1,IF(IF(Inputs!$B$38="pvp",15,Inputs!$B$43)-(B3251)&lt;=0,1,MAX(0,IF(Inputs!$B$38="pvp",15,Inputs!$B$43)-MAX(5,B3251))/(IF(Inputs!$B$38="pvp",15,Inputs!$B$43)-(B3251))))*IF(AND(ArtifactsInput!$M$42,((Inputs!$B$9+((C3232=TRUE)*(F3232-Calc!F19))+B3244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215">
        <f>(1-Summary!$B$11)*T3215+Summary!$B$11*V3215</f>
        <v/>
      </c>
      <c r="P3215">
        <f>IF(B3254=0,0,O3215/B3254)</f>
        <v/>
      </c>
      <c r="Q3215" t="n">
        <v>0</v>
      </c>
      <c r="R3215" t="n">
        <v>0</v>
      </c>
      <c r="S3215">
        <f>IFERROR(O3215/N3215,0)</f>
        <v/>
      </c>
      <c r="T3215">
        <f>IF(C3215,(Skills!G2*N3215*B3248*(1+IF(C3240=TRUE,1/3,0)))*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Hunt"),CHOOSE(ArtifactsInput!$N$35+1,15,18,21,24,27,30)*(1-EXP(-(0.2*B3246)*5)),0)+IF(AND(ArtifactsInput!$M$22,Inputs!$B$4&lt;&gt;"Chapter Hunt"),CHOOSE(ArtifactsInput!$N$22+1,10,12,14,16,18,20)*((0*(((0.15*B3246*5))^0/1)+1*(((0.15*B3246*5))^1/1)+2*(((0.15*B3246*5))^2/2)+3*(((0.15*B3246*5))^3/6)+4*(((0.15*B3246*5))^4/24)+5*(((0.15*B3246*5))^5/120))/((((0.15*B3246*5))^0/1)+(((0.15*B3246*5))^1/1)+(((0.15*B3246*5))^2/2)+(((0.15*B3246*5))^3/6)+(((0.15*B3246*5))^4/24)+(((0.15*B3246*5))^5/120))),0))+IF(Inputs!$B$3&gt;=54,9*(C3216=TRUE)*MIN(1,8*(1+Inputs!$B$34/100)*Q3216)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3215*(1-MIN(100,(Inputs!$B$9+((C3232=TRUE)*(F3232-Calc!F19))+B3244+(ArtifactsInput!$M$24-ArtifactsInput!$M$24)*CHOOSE(ArtifactsInput!$N$24+1,10,12,14,16,18,20)+(IF(AND(Inputs!$B$38&lt;&gt;"pvp",Inputs!$B$43=0),1,IF(IF(Inputs!$B$38="pvp",15,Inputs!$B$43)-(B3251)&lt;=0,1,MAX(0,IF(Inputs!$B$38="pvp",15,Inputs!$B$43)-MAX(5,B3251))/(IF(Inputs!$B$38="pvp",15,Inputs!$B$43)-(B3251))))*IF(AND(ArtifactsInput!$M$42,((Inputs!$B$9+((C3232=TRUE)*(F3232-Calc!F19))+B3244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3215*(MIN(100,(Inputs!$B$9+((C3232=TRUE)*(F3232-Calc!F19))+B3244+(ArtifactsInput!$M$24-ArtifactsInput!$M$24)*CHOOSE(ArtifactsInput!$N$24+1,10,12,14,16,18,20)+(IF(AND(Inputs!$B$38&lt;&gt;"pvp",Inputs!$B$43=0),1,IF(IF(Inputs!$B$38="pvp",15,Inputs!$B$43)-(B3251)&lt;=0,1,MAX(0,IF(Inputs!$B$38="pvp",15,Inputs!$B$43)-MAX(5,B3251))/(IF(Inputs!$B$38="pvp",15,Inputs!$B$43)-(B3251))))*IF(AND(ArtifactsInput!$M$42,((Inputs!$B$9+((C3232=TRUE)*(F3232-Calc!F19))+B3244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3215*(1-MIN(100,(Inputs!$B$9+((C3232=TRUE)*(F3232-Calc!F19))+B3244+(ArtifactsInput!$M$24-ArtifactsInput!$M$24)*CHOOSE(ArtifactsInput!$N$24+1,10,12,14,16,18,20)+(IF(AND(Inputs!$B$38&lt;&gt;"pvp",Inputs!$B$43=0),1,IF(IF(Inputs!$B$38="pvp",15,Inputs!$B$43)-(B3251)&lt;=0,1,MAX(0,IF(Inputs!$B$38="pvp",15,Inputs!$B$43)-MAX(5,B3251))/(IF(Inputs!$B$38="pvp",15,Inputs!$B$43)-(B3251))))*IF(AND(ArtifactsInput!$M$42,((Inputs!$B$9+((C3232=TRUE)*(F3232-Calc!F19))+B3244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3215*(MIN(100,(Inputs!$B$9+((C3232=TRUE)*(F3232-Calc!F19))+B3244+(ArtifactsInput!$M$24-ArtifactsInput!$M$24)*CHOOSE(ArtifactsInput!$N$24+1,10,12,14,16,18,20)+(IF(AND(Inputs!$B$38&lt;&gt;"pvp",Inputs!$B$43=0),1,IF(IF(Inputs!$B$38="pvp",15,Inputs!$B$43)-(B3251)&lt;=0,1,MAX(0,IF(Inputs!$B$38="pvp",15,Inputs!$B$43)-MAX(5,B3251))/(IF(Inputs!$B$38="pvp",15,Inputs!$B$43)-(B3251))))*IF(AND(ArtifactsInput!$M$42,((Inputs!$B$9+((C3232=TRUE)*(F3232-Calc!F19))+B3244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215">
        <f>MAX(0,(Inputs!$B$3-100)*3)+Inputs!$B$28+Inputs!$B$29</f>
        <v/>
      </c>
      <c r="V3215">
        <f>IF(C3215,(Skills!G2*N3215*B3248*(1+IF(C3240=TRUE,1/3,0)))*IF(Inputs!$B$38="pvp",1,(1+(Inputs!$B$21+Skills!Q2+(IF(ArtifactsInput!$M$33,CHOOSE(ArtifactsInput!$N$33+1,30,36,42,48,54,60),0))+(IF(AND(ArtifactsInput!$M$35,Inputs!$B$4&lt;&gt;"Chapter Hunt"),CHOOSE(ArtifactsInput!$N$35+1,15,18,21,24,27,30)*(1-EXP(-(0.2*B3246)*5)),0)+IF(AND(ArtifactsInput!$M$22,Inputs!$B$4&lt;&gt;"Chapter Hunt"),CHOOSE(ArtifactsInput!$N$22+1,10,12,14,16,18,20)*((0*(((0.15*B3246*5))^0/1)+1*(((0.15*B3246*5))^1/1)+2*(((0.15*B3246*5))^2/2)+3*(((0.15*B3246*5))^3/6)+4*(((0.15*B3246*5))^4/24)+5*(((0.15*B3246*5))^5/120))/((((0.15*B3246*5))^0/1)+(((0.15*B3246*5))^1/1)+(((0.15*B3246*5))^2/2)+(((0.15*B3246*5))^3/6)+(((0.15*B3246*5))^4/24)+(((0.15*B3246*5))^5/120))),0))+IF(Inputs!$B$3&gt;=54,9*(C3216=TRUE)*MIN(1,8*(1+Inputs!$B$34/100)*Q3216),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216">
      <c r="A3216">
        <f>Skills!A3</f>
        <v/>
      </c>
      <c r="B3216">
        <f>Skills!B3</f>
        <v/>
      </c>
      <c r="C3216">
        <f>Inputs!$B$3&gt;=33</f>
        <v/>
      </c>
      <c r="D3216">
        <f>IF(Skills!C3=1,60+Inputs!$B$25+Inputs!$B$29,IF(Skills!C3=2,90+Inputs!$B$26+Inputs!$B$29,IF(Skills!C3=3,120+Inputs!$B$27+Inputs!$B$29,MAX(0,(Inputs!$B$3-100)*3)+Inputs!$B$28+Inputs!$B$29)))</f>
        <v/>
      </c>
      <c r="E3216">
        <f>INDEX(FactorTable!$B$2:$Y$301, MATCH(ROUND(MIN(300,MAX(1,D3216)),0), FactorTable!$A$2:$A$301,0), Skills!M3+1)</f>
        <v/>
      </c>
      <c r="F3216">
        <f>IF(Skills!N3=TRUE,(Skills!L3/10)*(E3216/1000),Skills!L3/10)+Skills!O3</f>
        <v/>
      </c>
      <c r="G3216">
        <f>Skills!G3*IF(Skills!H3&gt;0,INT(IF(Inputs!$B$38="pvp",MIN(Skills!I3,15),Skills!I3)/Skills!H3+0.000000001),1)</f>
        <v/>
      </c>
      <c r="H3216">
        <f>1-(1-Skills!J3/100)^Skills!K3</f>
        <v/>
      </c>
      <c r="I3216" t="inlineStr">
        <is>
          <t>1</t>
        </is>
      </c>
      <c r="J3216">
        <f>((Inputs!$B$6*(1+Inputs!$B$7/100))+(((Inputs!$B$12*(1+Inputs!$B$13/100))-(Inputs!$B$12*(1+Inputs!$B$13/100)))+0.25*(Inputs!$B$14-Inputs!$B$14))*(1+Inputs!$B$7/100))*(F3216/100)</f>
        <v/>
      </c>
      <c r="K3216">
        <f>J3216*(1+((Inputs!$B$12*(1+Inputs!$B$13/100))*0.01+Inputs!$B$14*0.0025)/100)*(1+Inputs!$B$15/100)*(1+Inputs!$B$16/100)*(5000/(6000+Inputs!$B$42*(1-(100*(1-(1-(Inputs!$B$19+0)/100)*(1-CHOOSE(ArtifactsInput!$N$40+1,5,6,7,8,9,10)/100)^(ArtifactsInput!$M$40-ArtifactsInput!$M$40)))/100)))*(1+(Inputs!$B$24+((C3239=TRUE)*(F3239-Calc!F26))+B3250)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3228=TRUE,F3228,0)/100)*(1+(IF(Skills!A3="EIGHT_LEGS_EASTON",Inputs!$B$17+((C3236=TRUE)*(F3236-Calc!F23))+((C3240=TRUE)*(F3240-Calc!F27))+((IF(AND(Inputs!$B$38&lt;&gt;"pvp",Inputs!$B$43=0),1,IF(IF(Inputs!$B$38="pvp",15,Inputs!$B$43)-(B3251)&lt;=0,1,MAX(0,IF(Inputs!$B$38="pvp",15,Inputs!$B$43)-MAX(5,B3251))/(IF(Inputs!$B$38="pvp",15,Inputs!$B$43)-(B3251))))*(IF(AND(ArtifactsInput!$M$42,((Inputs!$B$9+((C3232=TRUE)*(F3232-Calc!F19))+B3244+(ArtifactsInput!$M$24-ArtifactsInput!$M$24)*CHOOSE(ArtifactsInput!$N$24+1,10,12,14,16,18,20)+IF(ArtifactsInput!$M$10,CHOOSE(ArtifactsInput!$N$10+1,15,18,21,24,27,30)*(IF(Inputs!$B$38="pvp",MIN(15,15)/15,IF(AND(Inputs!$B$38&lt;&gt;"pvp",Inputs!$B$43&gt;0),MIN(15,Inputs!$B$43)/(Inputs!$B$43),0))),0)))&gt;=100),MIN(100,((Inputs!$B$9+((C3232=TRUE)*(F3232-Calc!F19))+B3244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3251)&lt;=0,1,MAX(0,IF(Inputs!$B$38="pvp",15,Inputs!$B$43)-MAX(5,B3251))/(IF(Inputs!$B$38="pvp",15,Inputs!$B$43)-(B3251))))*IF(AND(ArtifactsInput!$M$42,((Inputs!$B$9+((C3232=TRUE)*(F3232-Calc!F19))+B3244+(ArtifactsInput!$M$24-ArtifactsInput!$M$24)*CHOOSE(ArtifactsInput!$N$24+1,10,12,14,16,18,20)+IF(ArtifactsInput!$M$10,CHOOSE(ArtifactsInput!$N$10+1,15,18,21,24,27,30)*(IF(Inputs!$B$38="pvp",MIN(15,15)/15,IF(AND(Inputs!$B$38&lt;&gt;"pvp",Inputs!$B$43&gt;0),MIN(15,Inputs!$B$43)/(Inputs!$B$43),0))),0)))&gt;=100),CHOOSE(ArtifactsInput!$N$42+1,40,48,56,64,72,80),0))))/100)*((1+(((C3230=TRUE)*F3230*5/7)+((C3237=TRUE)*(F3237-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3216)</f>
        <v/>
      </c>
      <c r="L3216">
        <f>K3216*(MIN(Inputs!$B$22+((C3235=TRUE)*(F3235-Calc!F22)),(Inputs!$B$23+0+(IF(ArtifactsInput!$M$15,CHOOSE(ArtifactsInput!$N$15+1,25,30,35,40,45,50)/100*(Inputs!$B$11-Inputs!$B$11),0))))/100+(Inputs!$B$23+0+(IF(ArtifactsInput!$M$15,CHOOSE(ArtifactsInput!$N$15+1,25,30,35,40,45,50)/100*(Inputs!$B$11-Inputs!$B$11),0)))/100)/2</f>
        <v/>
      </c>
      <c r="M3216">
        <f>L3216*(1+(Inputs!$B$10+((C3238=TRUE)*(F3238-Calc!F25))+B3249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216">
        <f>L3216*(1-MIN((Inputs!$B$9+((C3232=TRUE)*(F3232-Calc!F19))+B3244+(ArtifactsInput!$M$24-ArtifactsInput!$M$24)*CHOOSE(ArtifactsInput!$N$24+1,10,12,14,16,18,20)+(IF(AND(Inputs!$B$38&lt;&gt;"pvp",Inputs!$B$43=0),1,IF(IF(Inputs!$B$38="pvp",15,Inputs!$B$43)-(B3251)&lt;=0,1,MAX(0,IF(Inputs!$B$38="pvp",15,Inputs!$B$43)-MAX(5,B3251))/(IF(Inputs!$B$38="pvp",15,Inputs!$B$43)-(B3251))))*IF(AND(ArtifactsInput!$M$42,((Inputs!$B$9+((C3232=TRUE)*(F3232-Calc!F19))+B3244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3216*(MIN((Inputs!$B$9+((C3232=TRUE)*(F3232-Calc!F19))+B3244+(ArtifactsInput!$M$24-ArtifactsInput!$M$24)*CHOOSE(ArtifactsInput!$N$24+1,10,12,14,16,18,20)+(IF(AND(Inputs!$B$38&lt;&gt;"pvp",Inputs!$B$43=0),1,IF(IF(Inputs!$B$38="pvp",15,Inputs!$B$43)-(B3251)&lt;=0,1,MAX(0,IF(Inputs!$B$38="pvp",15,Inputs!$B$43)-MAX(5,B3251))/(IF(Inputs!$B$38="pvp",15,Inputs!$B$43)-(B3251))))*IF(AND(ArtifactsInput!$M$42,((Inputs!$B$9+((C3232=TRUE)*(F3232-Calc!F19))+B3244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216">
        <f>(1-Summary!$B$11)*T3216+Summary!$B$11*V3216</f>
        <v/>
      </c>
      <c r="P3216">
        <f>IF(B3254=0,0,O3216/B3254)</f>
        <v/>
      </c>
      <c r="Q3216">
        <f>IFERROR(1/(IF(Inputs!$B$38="pvp",15,MAX(0.1,Skills!D3-IF(TRUE=TRUE,3.5,0)))*(1-IF(AND(ArtifactsInput!$M$27,Inputs!$B$4="Chapter Hunt"),CHOOSE(ArtifactsInput!$N$27+1,20,24,28,32,36,40),0)/100)),0)</f>
        <v/>
      </c>
      <c r="R3216">
        <f>IF(AND(Inputs!$B$38&lt;&gt;"pvp",Inputs!$B$43&gt;0),IF(MAX(0,Inputs!$B$43-B3251)&lt;=0,0,(INT(MAX(0,Inputs!$B$43-B3251)/(IF(Inputs!$B$38="pvp",15,MAX(0.1,Skills!D3-IF(TRUE=TRUE,3.5,0)))*(1-IF(AND(ArtifactsInput!$M$27,Inputs!$B$4="Chapter Hunt"),CHOOSE(ArtifactsInput!$N$27+1,20,24,28,32,36,40),0)/100)))+1)),0)</f>
        <v/>
      </c>
      <c r="S3216">
        <f>IFERROR(O3216/N3216,0)</f>
        <v/>
      </c>
      <c r="T3216">
        <f>IF(C3216,(H3216*N3216*IF(AND(Inputs!$B$38&lt;&gt;"pvp",Inputs!$B$43&gt;0),((Skills!G3*((R3216-1)*IF(Skills!H3&gt;0,INT(Skills!I3/Skills!H3+0.000000001),1)+IF(Skills!H3&gt;0,INT(MIN(Skills!I3,MAX(0,MAX(0,Inputs!$B$43-B3251)-((R3216-1)*(IF(Inputs!$B$38="pvp",15,MAX(0.1,Skills!D3-IF(TRUE=TRUE,3.5,0)))*(1-IF(AND(ArtifactsInput!$M$27,Inputs!$B$4="Chapter Hunt"),CHOOSE(ArtifactsInput!$N$27+1,20,24,28,32,36,40),0)/100)))))/Skills!H3+0.000000001),1)))/Inputs!$B$43),G3216*Q3216))*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Hunt"),CHOOSE(ArtifactsInput!$N$35+1,15,18,21,24,27,30)*(1-EXP(-(0.2*B3246)*5)),0)+IF(AND(ArtifactsInput!$M$22,Inputs!$B$4&lt;&gt;"Chapter Hunt"),CHOOSE(ArtifactsInput!$N$22+1,10,12,14,16,18,20)*((0*(((0.15*B3246*5))^0/1)+1*(((0.15*B3246*5))^1/1)+2*(((0.15*B3246*5))^2/2)+3*(((0.15*B3246*5))^3/6)+4*(((0.15*B3246*5))^4/24)+5*(((0.15*B3246*5))^5/120))/((((0.15*B3246*5))^0/1)+(((0.15*B3246*5))^1/1)+(((0.15*B3246*5))^2/2)+(((0.15*B3246*5))^3/6)+(((0.15*B3246*5))^4/24)+(((0.15*B3246*5))^5/120))),0))+IF(Inputs!$B$3&gt;=54,9*(C3216=TRUE)*MIN(1,8*(1+Inputs!$B$34/100)*Q3216)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3216*(1-MIN(100,(Inputs!$B$9+((C3232=TRUE)*(F3232-Calc!F19))+B3244+(ArtifactsInput!$M$24-ArtifactsInput!$M$24)*CHOOSE(ArtifactsInput!$N$24+1,10,12,14,16,18,20)+(IF(AND(Inputs!$B$38&lt;&gt;"pvp",Inputs!$B$43=0),1,IF(IF(Inputs!$B$38="pvp",15,Inputs!$B$43)-(B3251)&lt;=0,1,MAX(0,IF(Inputs!$B$38="pvp",15,Inputs!$B$43)-MAX(5,B3251))/(IF(Inputs!$B$38="pvp",15,Inputs!$B$43)-(B3251))))*IF(AND(ArtifactsInput!$M$42,((Inputs!$B$9+((C3232=TRUE)*(F3232-Calc!F19))+B3244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3216*(MIN(100,(Inputs!$B$9+((C3232=TRUE)*(F3232-Calc!F19))+B3244+(ArtifactsInput!$M$24-ArtifactsInput!$M$24)*CHOOSE(ArtifactsInput!$N$24+1,10,12,14,16,18,20)+(IF(AND(Inputs!$B$38&lt;&gt;"pvp",Inputs!$B$43=0),1,IF(IF(Inputs!$B$38="pvp",15,Inputs!$B$43)-(B3251)&lt;=0,1,MAX(0,IF(Inputs!$B$38="pvp",15,Inputs!$B$43)-MAX(5,B3251))/(IF(Inputs!$B$38="pvp",15,Inputs!$B$43)-(B3251))))*IF(AND(ArtifactsInput!$M$42,((Inputs!$B$9+((C3232=TRUE)*(F3232-Calc!F19))+B3244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3216*(1-MIN(100,(Inputs!$B$9+((C3232=TRUE)*(F3232-Calc!F19))+B3244+(ArtifactsInput!$M$24-ArtifactsInput!$M$24)*CHOOSE(ArtifactsInput!$N$24+1,10,12,14,16,18,20)+(IF(AND(Inputs!$B$38&lt;&gt;"pvp",Inputs!$B$43=0),1,IF(IF(Inputs!$B$38="pvp",15,Inputs!$B$43)-(B3251)&lt;=0,1,MAX(0,IF(Inputs!$B$38="pvp",15,Inputs!$B$43)-MAX(5,B3251))/(IF(Inputs!$B$38="pvp",15,Inputs!$B$43)-(B3251))))*IF(AND(ArtifactsInput!$M$42,((Inputs!$B$9+((C3232=TRUE)*(F3232-Calc!F19))+B3244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3216*(MIN(100,(Inputs!$B$9+((C3232=TRUE)*(F3232-Calc!F19))+B3244+(ArtifactsInput!$M$24-ArtifactsInput!$M$24)*CHOOSE(ArtifactsInput!$N$24+1,10,12,14,16,18,20)+(IF(AND(Inputs!$B$38&lt;&gt;"pvp",Inputs!$B$43=0),1,IF(IF(Inputs!$B$38="pvp",15,Inputs!$B$43)-(B3251)&lt;=0,1,MAX(0,IF(Inputs!$B$38="pvp",15,Inputs!$B$43)-MAX(5,B3251))/(IF(Inputs!$B$38="pvp",15,Inputs!$B$43)-(B3251))))*IF(AND(ArtifactsInput!$M$42,((Inputs!$B$9+((C3232=TRUE)*(F3232-Calc!F19))+B3244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216">
        <f>INDEX(FactorTable!$B$2:$Y$301, MATCH(ROUND(MIN(300,MAX(1,U3215)),0), FactorTable!$A$2:$A$301,0), 22)</f>
        <v/>
      </c>
      <c r="V3216">
        <f>IF(C3216,(H3216*N3216*IF(AND(Inputs!$B$38&lt;&gt;"pvp",Inputs!$B$43&gt;0),((Skills!G3*((R3216-1)*IF(Skills!H3&gt;0,INT(Skills!I3/Skills!H3+0.000000001),1)+IF(Skills!H3&gt;0,INT(MIN(Skills!I3,MAX(0,MAX(0,Inputs!$B$43-B3251)-((R3216-1)*(IF(Inputs!$B$38="pvp",15,MAX(0.1,Skills!D3-IF(TRUE=TRUE,3.5,0)))*(1-IF(AND(ArtifactsInput!$M$27,Inputs!$B$4="Chapter Hunt"),CHOOSE(ArtifactsInput!$N$27+1,20,24,28,32,36,40),0)/100)))))/Skills!H3+0.000000001),1)))/Inputs!$B$43),G3216*Q3216))*IF(Inputs!$B$38="pvp",1,(1+(Inputs!$B$21+Skills!Q3+(IF(ArtifactsInput!$M$33,CHOOSE(ArtifactsInput!$N$33+1,30,36,42,48,54,60),0))+(IF(AND(ArtifactsInput!$M$35,Inputs!$B$4&lt;&gt;"Chapter Hunt"),CHOOSE(ArtifactsInput!$N$35+1,15,18,21,24,27,30)*(1-EXP(-(0.2*B3246)*5)),0)+IF(AND(ArtifactsInput!$M$22,Inputs!$B$4&lt;&gt;"Chapter Hunt"),CHOOSE(ArtifactsInput!$N$22+1,10,12,14,16,18,20)*((0*(((0.15*B3246*5))^0/1)+1*(((0.15*B3246*5))^1/1)+2*(((0.15*B3246*5))^2/2)+3*(((0.15*B3246*5))^3/6)+4*(((0.15*B3246*5))^4/24)+5*(((0.15*B3246*5))^5/120))/((((0.15*B3246*5))^0/1)+(((0.15*B3246*5))^1/1)+(((0.15*B3246*5))^2/2)+(((0.15*B3246*5))^3/6)+(((0.15*B3246*5))^4/24)+(((0.15*B3246*5))^5/120))),0))+IF(Inputs!$B$3&gt;=54,9*(C3216=TRUE)*MIN(1,8*(1+Inputs!$B$34/100)*Q3216),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217">
      <c r="A3217">
        <f>Skills!A4</f>
        <v/>
      </c>
      <c r="B3217">
        <f>Skills!B4</f>
        <v/>
      </c>
      <c r="C3217">
        <f>Inputs!$B$3&gt;=35</f>
        <v/>
      </c>
      <c r="D3217">
        <f>IF(Skills!C4=1,60+Inputs!$B$25+Inputs!$B$29,IF(Skills!C4=2,90+Inputs!$B$26+Inputs!$B$29,IF(Skills!C4=3,120+Inputs!$B$27+Inputs!$B$29,MAX(0,(Inputs!$B$3-100)*3)+Inputs!$B$28+Inputs!$B$29)))</f>
        <v/>
      </c>
      <c r="E3217">
        <f>INDEX(FactorTable!$B$2:$Y$301, MATCH(ROUND(MIN(300,MAX(1,D3217)),0), FactorTable!$A$2:$A$301,0), Skills!M4+1)</f>
        <v/>
      </c>
      <c r="F3217">
        <f>IF(Skills!N4=TRUE,(Skills!L4/10)*(E3217/1000),Skills!L4/10)+Skills!O4</f>
        <v/>
      </c>
      <c r="G3217">
        <f>Skills!G4*IF(Skills!H4&gt;0,INT(IF(Inputs!$B$38="pvp",MIN(IF(Inputs!$B$3&gt;=104,MIN(35,20*(1+Inputs!$B$34/100)),20),15),IF(Inputs!$B$3&gt;=104,MIN(35,20*(1+Inputs!$B$34/100)),20))/Skills!H4+0.000000001),1)</f>
        <v/>
      </c>
      <c r="H3217">
        <f>1-(1-Skills!J4/100)^Skills!K4</f>
        <v/>
      </c>
      <c r="I3217" t="inlineStr">
        <is>
          <t>1</t>
        </is>
      </c>
      <c r="J3217">
        <f>((Inputs!$B$6*(1+Inputs!$B$7/100))+(((Inputs!$B$12*(1+Inputs!$B$13/100))-(Inputs!$B$12*(1+Inputs!$B$13/100)))+0.25*(Inputs!$B$14-Inputs!$B$14))*(1+Inputs!$B$7/100))*(F3217/100)</f>
        <v/>
      </c>
      <c r="K3217">
        <f>J3217*(1+((Inputs!$B$12*(1+Inputs!$B$13/100))*0.01+Inputs!$B$14*0.0025)/100)*(1+Inputs!$B$15/100)*(1+Inputs!$B$16/100)*(5000/(6000+Inputs!$B$42*(1-(100*(1-(1-(Inputs!$B$19+0)/100)*(1-CHOOSE(ArtifactsInput!$N$40+1,5,6,7,8,9,10)/100)^(ArtifactsInput!$M$40-ArtifactsInput!$M$40)))/100)))*(1+(Inputs!$B$24+((C3239=TRUE)*(F3239-Calc!F26))+B3250)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3229=TRUE,F3229,0)/100)*(1+(IF(Skills!A4="EIGHT_LEGS_EASTON",Inputs!$B$17+((C3236=TRUE)*(F3236-Calc!F23))+((C3240=TRUE)*(F3240-Calc!F27))+((IF(AND(Inputs!$B$38&lt;&gt;"pvp",Inputs!$B$43=0),1,IF(IF(Inputs!$B$38="pvp",15,Inputs!$B$43)-(B3251)&lt;=0,1,MAX(0,IF(Inputs!$B$38="pvp",15,Inputs!$B$43)-MAX(5,B3251))/(IF(Inputs!$B$38="pvp",15,Inputs!$B$43)-(B3251))))*(IF(AND(ArtifactsInput!$M$42,((Inputs!$B$9+((C3232=TRUE)*(F3232-Calc!F19))+B3244+(ArtifactsInput!$M$24-ArtifactsInput!$M$24)*CHOOSE(ArtifactsInput!$N$24+1,10,12,14,16,18,20)+IF(ArtifactsInput!$M$10,CHOOSE(ArtifactsInput!$N$10+1,15,18,21,24,27,30)*(IF(Inputs!$B$38="pvp",MIN(15,15)/15,IF(AND(Inputs!$B$38&lt;&gt;"pvp",Inputs!$B$43&gt;0),MIN(15,Inputs!$B$43)/(Inputs!$B$43),0))),0)))&gt;=100),MIN(100,((Inputs!$B$9+((C3232=TRUE)*(F3232-Calc!F19))+B3244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3251)&lt;=0,1,MAX(0,IF(Inputs!$B$38="pvp",15,Inputs!$B$43)-MAX(5,B3251))/(IF(Inputs!$B$38="pvp",15,Inputs!$B$43)-(B3251))))*IF(AND(ArtifactsInput!$M$42,((Inputs!$B$9+((C3232=TRUE)*(F3232-Calc!F19))+B3244+(ArtifactsInput!$M$24-ArtifactsInput!$M$24)*CHOOSE(ArtifactsInput!$N$24+1,10,12,14,16,18,20)+IF(ArtifactsInput!$M$10,CHOOSE(ArtifactsInput!$N$10+1,15,18,21,24,27,30)*(IF(Inputs!$B$38="pvp",MIN(15,15)/15,IF(AND(Inputs!$B$38&lt;&gt;"pvp",Inputs!$B$43&gt;0),MIN(15,Inputs!$B$43)/(Inputs!$B$43),0))),0)))&gt;=100),CHOOSE(ArtifactsInput!$N$42+1,40,48,56,64,72,80),0))))/100)*((1+(((C3230=TRUE)*F3230*5/7)+((C3237=TRUE)*(F3237-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3217)</f>
        <v/>
      </c>
      <c r="L3217">
        <f>K3217*(MIN(Inputs!$B$22+((C3235=TRUE)*(F3235-Calc!F22)),(Inputs!$B$23+0+(IF(ArtifactsInput!$M$15,CHOOSE(ArtifactsInput!$N$15+1,25,30,35,40,45,50)/100*(Inputs!$B$11-Inputs!$B$11),0))))/100+(Inputs!$B$23+0+(IF(ArtifactsInput!$M$15,CHOOSE(ArtifactsInput!$N$15+1,25,30,35,40,45,50)/100*(Inputs!$B$11-Inputs!$B$11),0)))/100)/2</f>
        <v/>
      </c>
      <c r="M3217">
        <f>L3217*(1+(Inputs!$B$10+((C3238=TRUE)*(F3238-Calc!F25))+B3249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217">
        <f>L3217*(1-MIN((Inputs!$B$9+((C3232=TRUE)*(F3232-Calc!F19))+B3244+(ArtifactsInput!$M$24-ArtifactsInput!$M$24)*CHOOSE(ArtifactsInput!$N$24+1,10,12,14,16,18,20)+(IF(AND(Inputs!$B$38&lt;&gt;"pvp",Inputs!$B$43=0),1,IF(IF(Inputs!$B$38="pvp",15,Inputs!$B$43)-(B3251)&lt;=0,1,MAX(0,IF(Inputs!$B$38="pvp",15,Inputs!$B$43)-MAX(5,B3251))/(IF(Inputs!$B$38="pvp",15,Inputs!$B$43)-(B3251))))*IF(AND(ArtifactsInput!$M$42,((Inputs!$B$9+((C3232=TRUE)*(F3232-Calc!F19))+B3244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3217*(MIN((Inputs!$B$9+((C3232=TRUE)*(F3232-Calc!F19))+B3244+(ArtifactsInput!$M$24-ArtifactsInput!$M$24)*CHOOSE(ArtifactsInput!$N$24+1,10,12,14,16,18,20)+(IF(AND(Inputs!$B$38&lt;&gt;"pvp",Inputs!$B$43=0),1,IF(IF(Inputs!$B$38="pvp",15,Inputs!$B$43)-(B3251)&lt;=0,1,MAX(0,IF(Inputs!$B$38="pvp",15,Inputs!$B$43)-MAX(5,B3251))/(IF(Inputs!$B$38="pvp",15,Inputs!$B$43)-(B3251))))*IF(AND(ArtifactsInput!$M$42,((Inputs!$B$9+((C3232=TRUE)*(F3232-Calc!F19))+B3244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217">
        <f>(1-Summary!$B$11)*T3217+Summary!$B$11*V3217</f>
        <v/>
      </c>
      <c r="P3217">
        <f>IF(B3254=0,0,O3217/B3254)</f>
        <v/>
      </c>
      <c r="Q3217">
        <f>IFERROR(1/(IF(Inputs!$B$38="pvp",15,MAX(0.1,Skills!D4-IF(TRUE=TRUE,3.5,0)))*(1-IF(AND(ArtifactsInput!$M$27,Inputs!$B$4="Chapter Hunt"),CHOOSE(ArtifactsInput!$N$27+1,20,24,28,32,36,40),0)/100)),0)</f>
        <v/>
      </c>
      <c r="R3217">
        <f>IF(AND(Inputs!$B$38&lt;&gt;"pvp",Inputs!$B$43&gt;0),IF(MAX(0,Inputs!$B$43-B3251)&lt;=0,0,(INT(MAX(0,Inputs!$B$43-B3251)/(IF(Inputs!$B$38="pvp",15,MAX(0.1,Skills!D4-IF(TRUE=TRUE,3.5,0)))*(1-IF(AND(ArtifactsInput!$M$27,Inputs!$B$4="Chapter Hunt"),CHOOSE(ArtifactsInput!$N$27+1,20,24,28,32,36,40),0)/100)))+1)),0)</f>
        <v/>
      </c>
      <c r="S3217">
        <f>IFERROR(O3217/N3217,0)</f>
        <v/>
      </c>
      <c r="T3217">
        <f>IF(C3217,(H3217*N3217*IF(AND(Inputs!$B$38&lt;&gt;"pvp",Inputs!$B$43&gt;0),((Skills!G4*((R3217-1)*IF(Skills!H4&gt;0,INT(IF(Inputs!$B$3&gt;=104,MIN(35,20*(1+Inputs!$B$34/100)),20)/Skills!H4+0.000000001),1)+IF(Skills!H4&gt;0,INT(MIN(IF(Inputs!$B$3&gt;=104,MIN(35,20*(1+Inputs!$B$34/100)),20),MAX(0,MAX(0,Inputs!$B$43-B3251)-((R3217-1)*(IF(Inputs!$B$38="pvp",15,MAX(0.1,Skills!D4-IF(TRUE=TRUE,3.5,0)))*(1-IF(AND(ArtifactsInput!$M$27,Inputs!$B$4="Chapter Hunt"),CHOOSE(ArtifactsInput!$N$27+1,20,24,28,32,36,40),0)/100)))))/Skills!H4+0.000000001),1)))/Inputs!$B$43),G3217*Q3217))*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Hunt"),CHOOSE(ArtifactsInput!$N$35+1,15,18,21,24,27,30)*(1-EXP(-(0.2*B3246)*5)),0)+IF(AND(ArtifactsInput!$M$22,Inputs!$B$4&lt;&gt;"Chapter Hunt"),CHOOSE(ArtifactsInput!$N$22+1,10,12,14,16,18,20)*((0*(((0.15*B3246*5))^0/1)+1*(((0.15*B3246*5))^1/1)+2*(((0.15*B3246*5))^2/2)+3*(((0.15*B3246*5))^3/6)+4*(((0.15*B3246*5))^4/24)+5*(((0.15*B3246*5))^5/120))/((((0.15*B3246*5))^0/1)+(((0.15*B3246*5))^1/1)+(((0.15*B3246*5))^2/2)+(((0.15*B3246*5))^3/6)+(((0.15*B3246*5))^4/24)+(((0.15*B3246*5))^5/120))),0))+IF(Inputs!$B$3&gt;=54,9*(C3216=TRUE)*MIN(1,8*(1+Inputs!$B$34/100)*Q3216)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3217*(1-MIN(100,(Inputs!$B$9+((C3232=TRUE)*(F3232-Calc!F19))+B3244+(ArtifactsInput!$M$24-ArtifactsInput!$M$24)*CHOOSE(ArtifactsInput!$N$24+1,10,12,14,16,18,20)+(IF(AND(Inputs!$B$38&lt;&gt;"pvp",Inputs!$B$43=0),1,IF(IF(Inputs!$B$38="pvp",15,Inputs!$B$43)-(B3251)&lt;=0,1,MAX(0,IF(Inputs!$B$38="pvp",15,Inputs!$B$43)-MAX(5,B3251))/(IF(Inputs!$B$38="pvp",15,Inputs!$B$43)-(B3251))))*IF(AND(ArtifactsInput!$M$42,((Inputs!$B$9+((C3232=TRUE)*(F3232-Calc!F19))+B3244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3217*(MIN(100,(Inputs!$B$9+((C3232=TRUE)*(F3232-Calc!F19))+B3244+(ArtifactsInput!$M$24-ArtifactsInput!$M$24)*CHOOSE(ArtifactsInput!$N$24+1,10,12,14,16,18,20)+(IF(AND(Inputs!$B$38&lt;&gt;"pvp",Inputs!$B$43=0),1,IF(IF(Inputs!$B$38="pvp",15,Inputs!$B$43)-(B3251)&lt;=0,1,MAX(0,IF(Inputs!$B$38="pvp",15,Inputs!$B$43)-MAX(5,B3251))/(IF(Inputs!$B$38="pvp",15,Inputs!$B$43)-(B3251))))*IF(AND(ArtifactsInput!$M$42,((Inputs!$B$9+((C3232=TRUE)*(F3232-Calc!F19))+B3244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3217*(1-MIN(100,(Inputs!$B$9+((C3232=TRUE)*(F3232-Calc!F19))+B3244+(ArtifactsInput!$M$24-ArtifactsInput!$M$24)*CHOOSE(ArtifactsInput!$N$24+1,10,12,14,16,18,20)+(IF(AND(Inputs!$B$38&lt;&gt;"pvp",Inputs!$B$43=0),1,IF(IF(Inputs!$B$38="pvp",15,Inputs!$B$43)-(B3251)&lt;=0,1,MAX(0,IF(Inputs!$B$38="pvp",15,Inputs!$B$43)-MAX(5,B3251))/(IF(Inputs!$B$38="pvp",15,Inputs!$B$43)-(B3251))))*IF(AND(ArtifactsInput!$M$42,((Inputs!$B$9+((C3232=TRUE)*(F3232-Calc!F19))+B3244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3217*(MIN(100,(Inputs!$B$9+((C3232=TRUE)*(F3232-Calc!F19))+B3244+(ArtifactsInput!$M$24-ArtifactsInput!$M$24)*CHOOSE(ArtifactsInput!$N$24+1,10,12,14,16,18,20)+(IF(AND(Inputs!$B$38&lt;&gt;"pvp",Inputs!$B$43=0),1,IF(IF(Inputs!$B$38="pvp",15,Inputs!$B$43)-(B3251)&lt;=0,1,MAX(0,IF(Inputs!$B$38="pvp",15,Inputs!$B$43)-MAX(5,B3251))/(IF(Inputs!$B$38="pvp",15,Inputs!$B$43)-(B3251))))*IF(AND(ArtifactsInput!$M$42,((Inputs!$B$9+((C3232=TRUE)*(F3232-Calc!F19))+B3244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217">
        <f>290*U3216/1000</f>
        <v/>
      </c>
      <c r="V3217">
        <f>IF(C3217,(H3217*N3217*IF(AND(Inputs!$B$38&lt;&gt;"pvp",Inputs!$B$43&gt;0),((Skills!G4*((R3217-1)*IF(Skills!H4&gt;0,INT(IF(Inputs!$B$3&gt;=104,MIN(35,20*(1+Inputs!$B$34/100)),20)/Skills!H4+0.000000001),1)+IF(Skills!H4&gt;0,INT(MIN(IF(Inputs!$B$3&gt;=104,MIN(35,20*(1+Inputs!$B$34/100)),20),MAX(0,MAX(0,Inputs!$B$43-B3251)-((R3217-1)*(IF(Inputs!$B$38="pvp",15,MAX(0.1,Skills!D4-IF(TRUE=TRUE,3.5,0)))*(1-IF(AND(ArtifactsInput!$M$27,Inputs!$B$4="Chapter Hunt"),CHOOSE(ArtifactsInput!$N$27+1,20,24,28,32,36,40),0)/100)))))/Skills!H4+0.000000001),1)))/Inputs!$B$43),G3217*Q3217))*IF(Inputs!$B$38="pvp",1,(1+(Inputs!$B$21+Skills!Q4+(IF(ArtifactsInput!$M$33,CHOOSE(ArtifactsInput!$N$33+1,30,36,42,48,54,60),0))+(IF(AND(ArtifactsInput!$M$35,Inputs!$B$4&lt;&gt;"Chapter Hunt"),CHOOSE(ArtifactsInput!$N$35+1,15,18,21,24,27,30)*(1-EXP(-(0.2*B3246)*5)),0)+IF(AND(ArtifactsInput!$M$22,Inputs!$B$4&lt;&gt;"Chapter Hunt"),CHOOSE(ArtifactsInput!$N$22+1,10,12,14,16,18,20)*((0*(((0.15*B3246*5))^0/1)+1*(((0.15*B3246*5))^1/1)+2*(((0.15*B3246*5))^2/2)+3*(((0.15*B3246*5))^3/6)+4*(((0.15*B3246*5))^4/24)+5*(((0.15*B3246*5))^5/120))/((((0.15*B3246*5))^0/1)+(((0.15*B3246*5))^1/1)+(((0.15*B3246*5))^2/2)+(((0.15*B3246*5))^3/6)+(((0.15*B3246*5))^4/24)+(((0.15*B3246*5))^5/120))),0))+IF(Inputs!$B$3&gt;=54,9*(C3216=TRUE)*MIN(1,8*(1+Inputs!$B$34/100)*Q3216),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218">
      <c r="A3218">
        <f>Skills!A5</f>
        <v/>
      </c>
      <c r="B3218">
        <f>Skills!B5</f>
        <v/>
      </c>
      <c r="C3218">
        <f>Inputs!$B$3&gt;=69</f>
        <v/>
      </c>
      <c r="D3218">
        <f>IF(Skills!C5=1,60+Inputs!$B$25+Inputs!$B$29,IF(Skills!C5=2,90+Inputs!$B$26+Inputs!$B$29,IF(Skills!C5=3,120+Inputs!$B$27+Inputs!$B$29,MAX(0,(Inputs!$B$3-100)*3)+Inputs!$B$28+Inputs!$B$29)))</f>
        <v/>
      </c>
      <c r="E3218">
        <f>INDEX(FactorTable!$B$2:$Y$301, MATCH(ROUND(MIN(300,MAX(1,D3218)),0), FactorTable!$A$2:$A$301,0), Skills!M5+1)</f>
        <v/>
      </c>
      <c r="F3218">
        <f>IF(Skills!N5=TRUE,(Skills!L5/10)*(E3218/1000),Skills!L5/10)+Skills!O5</f>
        <v/>
      </c>
      <c r="G3218">
        <f>Skills!G5*IF(Skills!H5&gt;0,INT(IF(Inputs!$B$38="pvp",MIN(IF(Inputs!$B$3&gt;=104,MIN(35,20*(1+Inputs!$B$34/100)),20),15),IF(Inputs!$B$3&gt;=104,MIN(35,20*(1+Inputs!$B$34/100)),20))/Skills!H5+0.000000001),1)</f>
        <v/>
      </c>
      <c r="H3218">
        <f>1-(1-Skills!J5/100)^Skills!K5</f>
        <v/>
      </c>
      <c r="I3218" t="inlineStr">
        <is>
          <t>1</t>
        </is>
      </c>
      <c r="J3218">
        <f>((Inputs!$B$6*(1+Inputs!$B$7/100))+(((Inputs!$B$12*(1+Inputs!$B$13/100))-(Inputs!$B$12*(1+Inputs!$B$13/100)))+0.25*(Inputs!$B$14-Inputs!$B$14))*(1+Inputs!$B$7/100))*(F3218/100)</f>
        <v/>
      </c>
      <c r="K3218">
        <f>J3218*(1+((Inputs!$B$12*(1+Inputs!$B$13/100))*0.01+Inputs!$B$14*0.0025)/100)*(1+Inputs!$B$15/100)*(1+Inputs!$B$16/100)*(5000/(6000+Inputs!$B$42*(1-(100*(1-(1-(Inputs!$B$19+0)/100)*(1-CHOOSE(ArtifactsInput!$N$40+1,5,6,7,8,9,10)/100)^(ArtifactsInput!$M$40-ArtifactsInput!$M$40)))/100)))*(1+(Inputs!$B$24+((C3239=TRUE)*(F3239-Calc!F26))+B3250)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+0.4*IF(C3229=TRUE,F3229,0)/100)*(1+(IF(Skills!A5="EIGHT_LEGS_EASTON",Inputs!$B$17+((C3236=TRUE)*(F3236-Calc!F23))+((C3240=TRUE)*(F3240-Calc!F27))+((IF(AND(Inputs!$B$38&lt;&gt;"pvp",Inputs!$B$43=0),1,IF(IF(Inputs!$B$38="pvp",15,Inputs!$B$43)-(B3251)&lt;=0,1,MAX(0,IF(Inputs!$B$38="pvp",15,Inputs!$B$43)-MAX(5,B3251))/(IF(Inputs!$B$38="pvp",15,Inputs!$B$43)-(B3251))))*(IF(AND(ArtifactsInput!$M$42,((Inputs!$B$9+((C3232=TRUE)*(F3232-Calc!F19))+B3244+(ArtifactsInput!$M$24-ArtifactsInput!$M$24)*CHOOSE(ArtifactsInput!$N$24+1,10,12,14,16,18,20)+IF(ArtifactsInput!$M$10,CHOOSE(ArtifactsInput!$N$10+1,15,18,21,24,27,30)*(IF(Inputs!$B$38="pvp",MIN(15,15)/15,IF(AND(Inputs!$B$38&lt;&gt;"pvp",Inputs!$B$43&gt;0),MIN(15,Inputs!$B$43)/(Inputs!$B$43),0))),0)))&gt;=100),MIN(100,((Inputs!$B$9+((C3232=TRUE)*(F3232-Calc!F19))+B3244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3251)&lt;=0,1,MAX(0,IF(Inputs!$B$38="pvp",15,Inputs!$B$43)-MAX(5,B3251))/(IF(Inputs!$B$38="pvp",15,Inputs!$B$43)-(B3251))))*IF(AND(ArtifactsInput!$M$42,((Inputs!$B$9+((C3232=TRUE)*(F3232-Calc!F19))+B3244+(ArtifactsInput!$M$24-ArtifactsInput!$M$24)*CHOOSE(ArtifactsInput!$N$24+1,10,12,14,16,18,20)+IF(ArtifactsInput!$M$10,CHOOSE(ArtifactsInput!$N$10+1,15,18,21,24,27,30)*(IF(Inputs!$B$38="pvp",MIN(15,15)/15,IF(AND(Inputs!$B$38&lt;&gt;"pvp",Inputs!$B$43&gt;0),MIN(15,Inputs!$B$43)/(Inputs!$B$43),0))),0)))&gt;=100),CHOOSE(ArtifactsInput!$N$42+1,40,48,56,64,72,80),0))))/100)*((1+(((C3230=TRUE)*F3230*5/7)+((C3237=TRUE)*(F3237-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3218)</f>
        <v/>
      </c>
      <c r="L3218">
        <f>K3218*(MIN(Inputs!$B$22+((C3235=TRUE)*(F3235-Calc!F22)),(Inputs!$B$23+0+(IF(ArtifactsInput!$M$15,CHOOSE(ArtifactsInput!$N$15+1,25,30,35,40,45,50)/100*(Inputs!$B$11-Inputs!$B$11),0))))/100+(Inputs!$B$23+0+(IF(ArtifactsInput!$M$15,CHOOSE(ArtifactsInput!$N$15+1,25,30,35,40,45,50)/100*(Inputs!$B$11-Inputs!$B$11),0)))/100)/2</f>
        <v/>
      </c>
      <c r="M3218">
        <f>L3218*(1+(Inputs!$B$10+((C3238=TRUE)*(F3238-Calc!F25))+B3249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218">
        <f>L3218*(1-MIN((Inputs!$B$9+((C3232=TRUE)*(F3232-Calc!F19))+B3244+(ArtifactsInput!$M$24-ArtifactsInput!$M$24)*CHOOSE(ArtifactsInput!$N$24+1,10,12,14,16,18,20)+(IF(AND(Inputs!$B$38&lt;&gt;"pvp",Inputs!$B$43=0),1,IF(IF(Inputs!$B$38="pvp",15,Inputs!$B$43)-(B3251)&lt;=0,1,MAX(0,IF(Inputs!$B$38="pvp",15,Inputs!$B$43)-MAX(5,B3251))/(IF(Inputs!$B$38="pvp",15,Inputs!$B$43)-(B3251))))*IF(AND(ArtifactsInput!$M$42,((Inputs!$B$9+((C3232=TRUE)*(F3232-Calc!F19))+B3244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3218*(MIN((Inputs!$B$9+((C3232=TRUE)*(F3232-Calc!F19))+B3244+(ArtifactsInput!$M$24-ArtifactsInput!$M$24)*CHOOSE(ArtifactsInput!$N$24+1,10,12,14,16,18,20)+(IF(AND(Inputs!$B$38&lt;&gt;"pvp",Inputs!$B$43=0),1,IF(IF(Inputs!$B$38="pvp",15,Inputs!$B$43)-(B3251)&lt;=0,1,MAX(0,IF(Inputs!$B$38="pvp",15,Inputs!$B$43)-MAX(5,B3251))/(IF(Inputs!$B$38="pvp",15,Inputs!$B$43)-(B3251))))*IF(AND(ArtifactsInput!$M$42,((Inputs!$B$9+((C3232=TRUE)*(F3232-Calc!F19))+B3244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218">
        <f>(1-Summary!$B$11)*T3218+Summary!$B$11*V3218</f>
        <v/>
      </c>
      <c r="P3218">
        <f>IF(B3254=0,0,O3218/B3254)</f>
        <v/>
      </c>
      <c r="Q3218">
        <f>IFERROR(1/(IF(Inputs!$B$38="pvp",15,MAX(0.1,Skills!D5-IF(TRUE=TRUE,3.5,0)))*(1-IF(AND(ArtifactsInput!$M$27,Inputs!$B$4="Chapter Hunt"),CHOOSE(ArtifactsInput!$N$27+1,20,24,28,32,36,40),0)/100)),0)</f>
        <v/>
      </c>
      <c r="R3218">
        <f>IF(AND(Inputs!$B$38&lt;&gt;"pvp",Inputs!$B$43&gt;0),IF(MAX(0,Inputs!$B$43-B3251)&lt;=0,0,(INT(MAX(0,Inputs!$B$43-B3251)/(IF(Inputs!$B$38="pvp",15,MAX(0.1,Skills!D5-IF(TRUE=TRUE,3.5,0)))*(1-IF(AND(ArtifactsInput!$M$27,Inputs!$B$4="Chapter Hunt"),CHOOSE(ArtifactsInput!$N$27+1,20,24,28,32,36,40),0)/100)))+1)),0)</f>
        <v/>
      </c>
      <c r="S3218">
        <f>IFERROR(O3218/N3218,0)</f>
        <v/>
      </c>
      <c r="T3218">
        <f>IF(C3218,(H3218*N3218*IF(AND(Inputs!$B$38&lt;&gt;"pvp",Inputs!$B$43&gt;0),((Skills!G5*((R3218-1)*IF(Skills!H5&gt;0,INT(IF(Inputs!$B$3&gt;=104,MIN(35,20*(1+Inputs!$B$34/100)),20)/Skills!H5+0.000000001),1)+IF(Skills!H5&gt;0,INT(MIN(IF(Inputs!$B$3&gt;=104,MIN(35,20*(1+Inputs!$B$34/100)),20),MAX(0,MAX(0,Inputs!$B$43-B3251)-((R3218-1)*(IF(Inputs!$B$38="pvp",15,MAX(0.1,Skills!D5-IF(TRUE=TRUE,3.5,0)))*(1-IF(AND(ArtifactsInput!$M$27,Inputs!$B$4="Chapter Hunt"),CHOOSE(ArtifactsInput!$N$27+1,20,24,28,32,36,40),0)/100)))))/Skills!H5+0.000000001),1)))/Inputs!$B$43),G3218*Q3218))*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Hunt"),CHOOSE(ArtifactsInput!$N$35+1,15,18,21,24,27,30)*(1-EXP(-(0.2*B3246)*5)),0)+IF(AND(ArtifactsInput!$M$22,Inputs!$B$4&lt;&gt;"Chapter Hunt"),CHOOSE(ArtifactsInput!$N$22+1,10,12,14,16,18,20)*((0*(((0.15*B3246*5))^0/1)+1*(((0.15*B3246*5))^1/1)+2*(((0.15*B3246*5))^2/2)+3*(((0.15*B3246*5))^3/6)+4*(((0.15*B3246*5))^4/24)+5*(((0.15*B3246*5))^5/120))/((((0.15*B3246*5))^0/1)+(((0.15*B3246*5))^1/1)+(((0.15*B3246*5))^2/2)+(((0.15*B3246*5))^3/6)+(((0.15*B3246*5))^4/24)+(((0.15*B3246*5))^5/120))),0))+IF(Inputs!$B$3&gt;=54,9*(C3216=TRUE)*MIN(1,8*(1+Inputs!$B$34/100)*Q3216)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3218*(1-MIN(100,(Inputs!$B$9+((C3232=TRUE)*(F3232-Calc!F19))+B3244+(ArtifactsInput!$M$24-ArtifactsInput!$M$24)*CHOOSE(ArtifactsInput!$N$24+1,10,12,14,16,18,20)+(IF(AND(Inputs!$B$38&lt;&gt;"pvp",Inputs!$B$43=0),1,IF(IF(Inputs!$B$38="pvp",15,Inputs!$B$43)-(B3251)&lt;=0,1,MAX(0,IF(Inputs!$B$38="pvp",15,Inputs!$B$43)-MAX(5,B3251))/(IF(Inputs!$B$38="pvp",15,Inputs!$B$43)-(B3251))))*IF(AND(ArtifactsInput!$M$42,((Inputs!$B$9+((C3232=TRUE)*(F3232-Calc!F19))+B3244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3218*(MIN(100,(Inputs!$B$9+((C3232=TRUE)*(F3232-Calc!F19))+B3244+(ArtifactsInput!$M$24-ArtifactsInput!$M$24)*CHOOSE(ArtifactsInput!$N$24+1,10,12,14,16,18,20)+(IF(AND(Inputs!$B$38&lt;&gt;"pvp",Inputs!$B$43=0),1,IF(IF(Inputs!$B$38="pvp",15,Inputs!$B$43)-(B3251)&lt;=0,1,MAX(0,IF(Inputs!$B$38="pvp",15,Inputs!$B$43)-MAX(5,B3251))/(IF(Inputs!$B$38="pvp",15,Inputs!$B$43)-(B3251))))*IF(AND(ArtifactsInput!$M$42,((Inputs!$B$9+((C3232=TRUE)*(F3232-Calc!F19))+B3244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3218*(1-MIN(100,(Inputs!$B$9+((C3232=TRUE)*(F3232-Calc!F19))+B3244+(ArtifactsInput!$M$24-ArtifactsInput!$M$24)*CHOOSE(ArtifactsInput!$N$24+1,10,12,14,16,18,20)+(IF(AND(Inputs!$B$38&lt;&gt;"pvp",Inputs!$B$43=0),1,IF(IF(Inputs!$B$38="pvp",15,Inputs!$B$43)-(B3251)&lt;=0,1,MAX(0,IF(Inputs!$B$38="pvp",15,Inputs!$B$43)-MAX(5,B3251))/(IF(Inputs!$B$38="pvp",15,Inputs!$B$43)-(B3251))))*IF(AND(ArtifactsInput!$M$42,((Inputs!$B$9+((C3232=TRUE)*(F3232-Calc!F19))+B3244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3218*(MIN(100,(Inputs!$B$9+((C3232=TRUE)*(F3232-Calc!F19))+B3244+(ArtifactsInput!$M$24-ArtifactsInput!$M$24)*CHOOSE(ArtifactsInput!$N$24+1,10,12,14,16,18,20)+(IF(AND(Inputs!$B$38&lt;&gt;"pvp",Inputs!$B$43=0),1,IF(IF(Inputs!$B$38="pvp",15,Inputs!$B$43)-(B3251)&lt;=0,1,MAX(0,IF(Inputs!$B$38="pvp",15,Inputs!$B$43)-MAX(5,B3251))/(IF(Inputs!$B$38="pvp",15,Inputs!$B$43)-(B3251))))*IF(AND(ArtifactsInput!$M$42,((Inputs!$B$9+((C3232=TRUE)*(F3232-Calc!F19))+B3244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218">
        <f>IF(C3218,(H3218*N3218*IF(AND(Inputs!$B$38&lt;&gt;"pvp",Inputs!$B$43&gt;0),((Skills!G5*((R3218-1)*IF(Skills!H5&gt;0,INT(IF(Inputs!$B$3&gt;=104,MIN(35,20*(1+Inputs!$B$34/100)),20)/Skills!H5+0.000000001),1)+IF(Skills!H5&gt;0,INT(MIN(IF(Inputs!$B$3&gt;=104,MIN(35,20*(1+Inputs!$B$34/100)),20),MAX(0,MAX(0,Inputs!$B$43-B3251)-((R3218-1)*(IF(Inputs!$B$38="pvp",15,MAX(0.1,Skills!D5-IF(TRUE=TRUE,3.5,0)))*(1-IF(AND(ArtifactsInput!$M$27,Inputs!$B$4="Chapter Hunt"),CHOOSE(ArtifactsInput!$N$27+1,20,24,28,32,36,40),0)/100)))))/Skills!H5+0.000000001),1)))/Inputs!$B$43),G3218*Q3218))*IF(Inputs!$B$38="pvp",1,(1+(Inputs!$B$21+Skills!Q5+(IF(ArtifactsInput!$M$33,CHOOSE(ArtifactsInput!$N$33+1,30,36,42,48,54,60),0))+(IF(AND(ArtifactsInput!$M$35,Inputs!$B$4&lt;&gt;"Chapter Hunt"),CHOOSE(ArtifactsInput!$N$35+1,15,18,21,24,27,30)*(1-EXP(-(0.2*B3246)*5)),0)+IF(AND(ArtifactsInput!$M$22,Inputs!$B$4&lt;&gt;"Chapter Hunt"),CHOOSE(ArtifactsInput!$N$22+1,10,12,14,16,18,20)*((0*(((0.15*B3246*5))^0/1)+1*(((0.15*B3246*5))^1/1)+2*(((0.15*B3246*5))^2/2)+3*(((0.15*B3246*5))^3/6)+4*(((0.15*B3246*5))^4/24)+5*(((0.15*B3246*5))^5/120))/((((0.15*B3246*5))^0/1)+(((0.15*B3246*5))^1/1)+(((0.15*B3246*5))^2/2)+(((0.15*B3246*5))^3/6)+(((0.15*B3246*5))^4/24)+(((0.15*B3246*5))^5/120))),0))+IF(Inputs!$B$3&gt;=54,9*(C3216=TRUE)*MIN(1,8*(1+Inputs!$B$34/100)*Q3216),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219">
      <c r="A3219">
        <f>Skills!A6</f>
        <v/>
      </c>
      <c r="B3219">
        <f>Skills!B6</f>
        <v/>
      </c>
      <c r="C3219">
        <f>Inputs!$B$3&gt;=66</f>
        <v/>
      </c>
      <c r="D3219">
        <f>IF(Skills!C6=1,60+Inputs!$B$25+Inputs!$B$29,IF(Skills!C6=2,90+Inputs!$B$26+Inputs!$B$29,IF(Skills!C6=3,120+Inputs!$B$27+Inputs!$B$29,MAX(0,(Inputs!$B$3-100)*3)+Inputs!$B$28+Inputs!$B$29)))</f>
        <v/>
      </c>
      <c r="E3219">
        <f>INDEX(FactorTable!$B$2:$Y$301, MATCH(ROUND(MIN(300,MAX(1,D3219)),0), FactorTable!$A$2:$A$301,0), Skills!M6+1)</f>
        <v/>
      </c>
      <c r="F3219">
        <f>IF(Skills!N6=TRUE,(Skills!L6/10)*(E3219/1000),Skills!L6/10)+Skills!O6</f>
        <v/>
      </c>
      <c r="G3219">
        <f>Skills!G6*IF(Skills!H6&gt;0,INT(IF(Inputs!$B$38="pvp",MIN(Skills!I6,15),Skills!I6)/Skills!H6+0.000000001),1)</f>
        <v/>
      </c>
      <c r="H3219">
        <f>1-(1-Skills!J6/100)^Skills!K6</f>
        <v/>
      </c>
      <c r="I3219" t="inlineStr">
        <is>
          <t>1</t>
        </is>
      </c>
      <c r="J3219">
        <f>((Inputs!$B$6*(1+Inputs!$B$7/100))+(((Inputs!$B$12*(1+Inputs!$B$13/100))-(Inputs!$B$12*(1+Inputs!$B$13/100)))+0.25*(Inputs!$B$14-Inputs!$B$14))*(1+Inputs!$B$7/100))*(F3219/100)</f>
        <v/>
      </c>
      <c r="K3219">
        <f>J3219*(1+((Inputs!$B$12*(1+Inputs!$B$13/100))*0.01+Inputs!$B$14*0.0025)/100)*(1+Inputs!$B$15/100)*(1+Inputs!$B$16/100)*(5000/(6000+Inputs!$B$42*(1-(100*(1-(1-(Inputs!$B$19+0)/100)*(1-CHOOSE(ArtifactsInput!$N$40+1,5,6,7,8,9,10)/100)^(ArtifactsInput!$M$40-ArtifactsInput!$M$40)))/100)))*(1+(Inputs!$B$24+((C3239=TRUE)*(F3239-Calc!F26))+B3250)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+2.0*IF(C3228=TRUE,F3228,0)/100)*(1+(IF(Skills!A6="EIGHT_LEGS_EASTON",Inputs!$B$17+((C3236=TRUE)*(F3236-Calc!F23))+((C3240=TRUE)*(F3240-Calc!F27))+((IF(AND(Inputs!$B$38&lt;&gt;"pvp",Inputs!$B$43=0),1,IF(IF(Inputs!$B$38="pvp",15,Inputs!$B$43)-(B3251)&lt;=0,1,MAX(0,IF(Inputs!$B$38="pvp",15,Inputs!$B$43)-MAX(5,B3251))/(IF(Inputs!$B$38="pvp",15,Inputs!$B$43)-(B3251))))*(IF(AND(ArtifactsInput!$M$42,((Inputs!$B$9+((C3232=TRUE)*(F3232-Calc!F19))+B3244+(ArtifactsInput!$M$24-ArtifactsInput!$M$24)*CHOOSE(ArtifactsInput!$N$24+1,10,12,14,16,18,20)+IF(ArtifactsInput!$M$10,CHOOSE(ArtifactsInput!$N$10+1,15,18,21,24,27,30)*(IF(Inputs!$B$38="pvp",MIN(15,15)/15,IF(AND(Inputs!$B$38&lt;&gt;"pvp",Inputs!$B$43&gt;0),MIN(15,Inputs!$B$43)/(Inputs!$B$43),0))),0)))&gt;=100),MIN(100,((Inputs!$B$9+((C3232=TRUE)*(F3232-Calc!F19))+B3244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3251)&lt;=0,1,MAX(0,IF(Inputs!$B$38="pvp",15,Inputs!$B$43)-MAX(5,B3251))/(IF(Inputs!$B$38="pvp",15,Inputs!$B$43)-(B3251))))*IF(AND(ArtifactsInput!$M$42,((Inputs!$B$9+((C3232=TRUE)*(F3232-Calc!F19))+B3244+(ArtifactsInput!$M$24-ArtifactsInput!$M$24)*CHOOSE(ArtifactsInput!$N$24+1,10,12,14,16,18,20)+IF(ArtifactsInput!$M$10,CHOOSE(ArtifactsInput!$N$10+1,15,18,21,24,27,30)*(IF(Inputs!$B$38="pvp",MIN(15,15)/15,IF(AND(Inputs!$B$38&lt;&gt;"pvp",Inputs!$B$43&gt;0),MIN(15,Inputs!$B$43)/(Inputs!$B$43),0))),0)))&gt;=100),CHOOSE(ArtifactsInput!$N$42+1,40,48,56,64,72,80),0))))/100)*((1+(((C3230=TRUE)*F3230*5/7)+((C3237=TRUE)*(F3237-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3219)</f>
        <v/>
      </c>
      <c r="L3219">
        <f>K3219*(MIN(Inputs!$B$22+((C3235=TRUE)*(F3235-Calc!F22)),(Inputs!$B$23+0+(IF(ArtifactsInput!$M$15,CHOOSE(ArtifactsInput!$N$15+1,25,30,35,40,45,50)/100*(Inputs!$B$11-Inputs!$B$11),0))))/100+(Inputs!$B$23+0+(IF(ArtifactsInput!$M$15,CHOOSE(ArtifactsInput!$N$15+1,25,30,35,40,45,50)/100*(Inputs!$B$11-Inputs!$B$11),0)))/100)/2</f>
        <v/>
      </c>
      <c r="M3219">
        <f>L3219*(1+(Inputs!$B$10+((C3238=TRUE)*(F3238-Calc!F25))+B3249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219">
        <f>L3219*(1-MIN((Inputs!$B$9+((C3232=TRUE)*(F3232-Calc!F19))+B3244+(ArtifactsInput!$M$24-ArtifactsInput!$M$24)*CHOOSE(ArtifactsInput!$N$24+1,10,12,14,16,18,20)+(IF(AND(Inputs!$B$38&lt;&gt;"pvp",Inputs!$B$43=0),1,IF(IF(Inputs!$B$38="pvp",15,Inputs!$B$43)-(B3251)&lt;=0,1,MAX(0,IF(Inputs!$B$38="pvp",15,Inputs!$B$43)-MAX(5,B3251))/(IF(Inputs!$B$38="pvp",15,Inputs!$B$43)-(B3251))))*IF(AND(ArtifactsInput!$M$42,((Inputs!$B$9+((C3232=TRUE)*(F3232-Calc!F19))+B3244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3219*(MIN((Inputs!$B$9+((C3232=TRUE)*(F3232-Calc!F19))+B3244+(ArtifactsInput!$M$24-ArtifactsInput!$M$24)*CHOOSE(ArtifactsInput!$N$24+1,10,12,14,16,18,20)+(IF(AND(Inputs!$B$38&lt;&gt;"pvp",Inputs!$B$43=0),1,IF(IF(Inputs!$B$38="pvp",15,Inputs!$B$43)-(B3251)&lt;=0,1,MAX(0,IF(Inputs!$B$38="pvp",15,Inputs!$B$43)-MAX(5,B3251))/(IF(Inputs!$B$38="pvp",15,Inputs!$B$43)-(B3251))))*IF(AND(ArtifactsInput!$M$42,((Inputs!$B$9+((C3232=TRUE)*(F3232-Calc!F19))+B3244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219">
        <f>(1-Summary!$B$11)*T3219+Summary!$B$11*V3219</f>
        <v/>
      </c>
      <c r="P3219">
        <f>IF(B3254=0,0,O3219/B3254)</f>
        <v/>
      </c>
      <c r="Q3219">
        <f>IFERROR(1/(IF(Inputs!$B$38="pvp",15,MAX(0.1,Skills!D6-IF(TRUE=TRUE,3.5,0)))*(1-IF(AND(ArtifactsInput!$M$27,Inputs!$B$4="Chapter Hunt"),CHOOSE(ArtifactsInput!$N$27+1,20,24,28,32,36,40),0)/100)),0)</f>
        <v/>
      </c>
      <c r="R3219">
        <f>IF(AND(Inputs!$B$38&lt;&gt;"pvp",Inputs!$B$43&gt;0),IF(MAX(0,Inputs!$B$43-B3251)&lt;=0,0,(INT(MAX(0,Inputs!$B$43-B3251)/(IF(Inputs!$B$38="pvp",15,MAX(0.1,Skills!D6-IF(TRUE=TRUE,3.5,0)))*(1-IF(AND(ArtifactsInput!$M$27,Inputs!$B$4="Chapter Hunt"),CHOOSE(ArtifactsInput!$N$27+1,20,24,28,32,36,40),0)/100)))+1)),0)</f>
        <v/>
      </c>
      <c r="S3219">
        <f>IFERROR(O3219/N3219,0)</f>
        <v/>
      </c>
      <c r="T3219">
        <f>IF(C3219,(H3219*N3219*IF(AND(Inputs!$B$38&lt;&gt;"pvp",Inputs!$B$43&gt;0),((Skills!G6*((R3219-1)*IF(Skills!H6&gt;0,INT(Skills!I6/Skills!H6+0.000000001),1)+IF(Skills!H6&gt;0,INT(MIN(Skills!I6,MAX(0,MAX(0,Inputs!$B$43-B3251)-((R3219-1)*(IF(Inputs!$B$38="pvp",15,MAX(0.1,Skills!D6-IF(TRUE=TRUE,3.5,0)))*(1-IF(AND(ArtifactsInput!$M$27,Inputs!$B$4="Chapter Hunt"),CHOOSE(ArtifactsInput!$N$27+1,20,24,28,32,36,40),0)/100)))))/Skills!H6+0.000000001),1)))/Inputs!$B$43),G3219*Q3219))*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Hunt"),CHOOSE(ArtifactsInput!$N$35+1,15,18,21,24,27,30)*(1-EXP(-(0.2*B3246)*5)),0)+IF(AND(ArtifactsInput!$M$22,Inputs!$B$4&lt;&gt;"Chapter Hunt"),CHOOSE(ArtifactsInput!$N$22+1,10,12,14,16,18,20)*((0*(((0.15*B3246*5))^0/1)+1*(((0.15*B3246*5))^1/1)+2*(((0.15*B3246*5))^2/2)+3*(((0.15*B3246*5))^3/6)+4*(((0.15*B3246*5))^4/24)+5*(((0.15*B3246*5))^5/120))/((((0.15*B3246*5))^0/1)+(((0.15*B3246*5))^1/1)+(((0.15*B3246*5))^2/2)+(((0.15*B3246*5))^3/6)+(((0.15*B3246*5))^4/24)+(((0.15*B3246*5))^5/120))),0))+IF(Inputs!$B$3&gt;=54,9*(C3216=TRUE)*MIN(1,8*(1+Inputs!$B$34/100)*Q3216)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3219*(1-MIN(100,(Inputs!$B$9+((C3232=TRUE)*(F3232-Calc!F19))+B3244+(ArtifactsInput!$M$24-ArtifactsInput!$M$24)*CHOOSE(ArtifactsInput!$N$24+1,10,12,14,16,18,20)+(IF(AND(Inputs!$B$38&lt;&gt;"pvp",Inputs!$B$43=0),1,IF(IF(Inputs!$B$38="pvp",15,Inputs!$B$43)-(B3251)&lt;=0,1,MAX(0,IF(Inputs!$B$38="pvp",15,Inputs!$B$43)-MAX(5,B3251))/(IF(Inputs!$B$38="pvp",15,Inputs!$B$43)-(B3251))))*IF(AND(ArtifactsInput!$M$42,((Inputs!$B$9+((C3232=TRUE)*(F3232-Calc!F19))+B3244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3219*(MIN(100,(Inputs!$B$9+((C3232=TRUE)*(F3232-Calc!F19))+B3244+(ArtifactsInput!$M$24-ArtifactsInput!$M$24)*CHOOSE(ArtifactsInput!$N$24+1,10,12,14,16,18,20)+(IF(AND(Inputs!$B$38&lt;&gt;"pvp",Inputs!$B$43=0),1,IF(IF(Inputs!$B$38="pvp",15,Inputs!$B$43)-(B3251)&lt;=0,1,MAX(0,IF(Inputs!$B$38="pvp",15,Inputs!$B$43)-MAX(5,B3251))/(IF(Inputs!$B$38="pvp",15,Inputs!$B$43)-(B3251))))*IF(AND(ArtifactsInput!$M$42,((Inputs!$B$9+((C3232=TRUE)*(F3232-Calc!F19))+B3244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3219*(1-MIN(100,(Inputs!$B$9+((C3232=TRUE)*(F3232-Calc!F19))+B3244+(ArtifactsInput!$M$24-ArtifactsInput!$M$24)*CHOOSE(ArtifactsInput!$N$24+1,10,12,14,16,18,20)+(IF(AND(Inputs!$B$38&lt;&gt;"pvp",Inputs!$B$43=0),1,IF(IF(Inputs!$B$38="pvp",15,Inputs!$B$43)-(B3251)&lt;=0,1,MAX(0,IF(Inputs!$B$38="pvp",15,Inputs!$B$43)-MAX(5,B3251))/(IF(Inputs!$B$38="pvp",15,Inputs!$B$43)-(B3251))))*IF(AND(ArtifactsInput!$M$42,((Inputs!$B$9+((C3232=TRUE)*(F3232-Calc!F19))+B3244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3219*(MIN(100,(Inputs!$B$9+((C3232=TRUE)*(F3232-Calc!F19))+B3244+(ArtifactsInput!$M$24-ArtifactsInput!$M$24)*CHOOSE(ArtifactsInput!$N$24+1,10,12,14,16,18,20)+(IF(AND(Inputs!$B$38&lt;&gt;"pvp",Inputs!$B$43=0),1,IF(IF(Inputs!$B$38="pvp",15,Inputs!$B$43)-(B3251)&lt;=0,1,MAX(0,IF(Inputs!$B$38="pvp",15,Inputs!$B$43)-MAX(5,B3251))/(IF(Inputs!$B$38="pvp",15,Inputs!$B$43)-(B3251))))*IF(AND(ArtifactsInput!$M$42,((Inputs!$B$9+((C3232=TRUE)*(F3232-Calc!F19))+B3244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219">
        <f>IF(C3219,(H3219*N3219*IF(AND(Inputs!$B$38&lt;&gt;"pvp",Inputs!$B$43&gt;0),((Skills!G6*((R3219-1)*IF(Skills!H6&gt;0,INT(Skills!I6/Skills!H6+0.000000001),1)+IF(Skills!H6&gt;0,INT(MIN(Skills!I6,MAX(0,MAX(0,Inputs!$B$43-B3251)-((R3219-1)*(IF(Inputs!$B$38="pvp",15,MAX(0.1,Skills!D6-IF(TRUE=TRUE,3.5,0)))*(1-IF(AND(ArtifactsInput!$M$27,Inputs!$B$4="Chapter Hunt"),CHOOSE(ArtifactsInput!$N$27+1,20,24,28,32,36,40),0)/100)))))/Skills!H6+0.000000001),1)))/Inputs!$B$43),G3219*Q3219))*IF(Inputs!$B$38="pvp",1,(1+(Inputs!$B$21+Skills!Q6+(IF(ArtifactsInput!$M$33,CHOOSE(ArtifactsInput!$N$33+1,30,36,42,48,54,60),0))+(IF(AND(ArtifactsInput!$M$35,Inputs!$B$4&lt;&gt;"Chapter Hunt"),CHOOSE(ArtifactsInput!$N$35+1,15,18,21,24,27,30)*(1-EXP(-(0.2*B3246)*5)),0)+IF(AND(ArtifactsInput!$M$22,Inputs!$B$4&lt;&gt;"Chapter Hunt"),CHOOSE(ArtifactsInput!$N$22+1,10,12,14,16,18,20)*((0*(((0.15*B3246*5))^0/1)+1*(((0.15*B3246*5))^1/1)+2*(((0.15*B3246*5))^2/2)+3*(((0.15*B3246*5))^3/6)+4*(((0.15*B3246*5))^4/24)+5*(((0.15*B3246*5))^5/120))/((((0.15*B3246*5))^0/1)+(((0.15*B3246*5))^1/1)+(((0.15*B3246*5))^2/2)+(((0.15*B3246*5))^3/6)+(((0.15*B3246*5))^4/24)+(((0.15*B3246*5))^5/120))),0))+IF(Inputs!$B$3&gt;=54,9*(C3216=TRUE)*MIN(1,8*(1+Inputs!$B$34/100)*Q3216),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220">
      <c r="A3220">
        <f>Skills!A7</f>
        <v/>
      </c>
      <c r="B3220">
        <f>Skills!B7</f>
        <v/>
      </c>
      <c r="C3220">
        <f>Inputs!$B$3&gt;=63</f>
        <v/>
      </c>
      <c r="D3220">
        <f>IF(Skills!C7=1,60+Inputs!$B$25+Inputs!$B$29,IF(Skills!C7=2,90+Inputs!$B$26+Inputs!$B$29,IF(Skills!C7=3,120+Inputs!$B$27+Inputs!$B$29,MAX(0,(Inputs!$B$3-100)*3)+Inputs!$B$28+Inputs!$B$29)))</f>
        <v/>
      </c>
      <c r="E3220">
        <f>INDEX(FactorTable!$B$2:$Y$301, MATCH(ROUND(MIN(300,MAX(1,D3220)),0), FactorTable!$A$2:$A$301,0), Skills!M7+1)</f>
        <v/>
      </c>
      <c r="F3220">
        <f>IF(Skills!N7=TRUE,(Skills!L7/10)*(E3220/1000),Skills!L7/10)+Skills!O7</f>
        <v/>
      </c>
      <c r="G3220">
        <f>Skills!G7*IF(Skills!H7&gt;0,INT(IF(Inputs!$B$38="pvp",MIN(Skills!I7,15),Skills!I7)/Skills!H7+0.000000001),1)</f>
        <v/>
      </c>
      <c r="H3220">
        <f>1-(1-Skills!J7/100)^Skills!K7</f>
        <v/>
      </c>
      <c r="I3220" t="inlineStr">
        <is>
          <t>1</t>
        </is>
      </c>
      <c r="J3220">
        <f>((Inputs!$B$6*(1+Inputs!$B$7/100))+(((Inputs!$B$12*(1+Inputs!$B$13/100))-(Inputs!$B$12*(1+Inputs!$B$13/100)))+0.25*(Inputs!$B$14-Inputs!$B$14))*(1+Inputs!$B$7/100))*(F3220/100)</f>
        <v/>
      </c>
      <c r="K3220">
        <f>J3220*(1+((Inputs!$B$12*(1+Inputs!$B$13/100))*0.01+Inputs!$B$14*0.0025)/100)*(1+Inputs!$B$15/100)*(1+Inputs!$B$16/100)*(5000/(6000+Inputs!$B$42*(1-(100*(1-(1-(Inputs!$B$19+0)/100)*(1-CHOOSE(ArtifactsInput!$N$40+1,5,6,7,8,9,10)/100)^(ArtifactsInput!$M$40-ArtifactsInput!$M$40)))/100)))*(1+(Inputs!$B$24+((C3239=TRUE)*(F3239-Calc!F26))+B3250)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3228=TRUE,F3228,0)/100)*(1+(IF(Skills!A7="EIGHT_LEGS_EASTON",Inputs!$B$17+((C3236=TRUE)*(F3236-Calc!F23))+((C3240=TRUE)*(F3240-Calc!F27))+((IF(AND(Inputs!$B$38&lt;&gt;"pvp",Inputs!$B$43=0),1,IF(IF(Inputs!$B$38="pvp",15,Inputs!$B$43)-(B3251)&lt;=0,1,MAX(0,IF(Inputs!$B$38="pvp",15,Inputs!$B$43)-MAX(5,B3251))/(IF(Inputs!$B$38="pvp",15,Inputs!$B$43)-(B3251))))*(IF(AND(ArtifactsInput!$M$42,((Inputs!$B$9+((C3232=TRUE)*(F3232-Calc!F19))+B3244+(ArtifactsInput!$M$24-ArtifactsInput!$M$24)*CHOOSE(ArtifactsInput!$N$24+1,10,12,14,16,18,20)+IF(ArtifactsInput!$M$10,CHOOSE(ArtifactsInput!$N$10+1,15,18,21,24,27,30)*(IF(Inputs!$B$38="pvp",MIN(15,15)/15,IF(AND(Inputs!$B$38&lt;&gt;"pvp",Inputs!$B$43&gt;0),MIN(15,Inputs!$B$43)/(Inputs!$B$43),0))),0)))&gt;=100),MIN(100,((Inputs!$B$9+((C3232=TRUE)*(F3232-Calc!F19))+B3244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3251)&lt;=0,1,MAX(0,IF(Inputs!$B$38="pvp",15,Inputs!$B$43)-MAX(5,B3251))/(IF(Inputs!$B$38="pvp",15,Inputs!$B$43)-(B3251))))*IF(AND(ArtifactsInput!$M$42,((Inputs!$B$9+((C3232=TRUE)*(F3232-Calc!F19))+B3244+(ArtifactsInput!$M$24-ArtifactsInput!$M$24)*CHOOSE(ArtifactsInput!$N$24+1,10,12,14,16,18,20)+IF(ArtifactsInput!$M$10,CHOOSE(ArtifactsInput!$N$10+1,15,18,21,24,27,30)*(IF(Inputs!$B$38="pvp",MIN(15,15)/15,IF(AND(Inputs!$B$38&lt;&gt;"pvp",Inputs!$B$43&gt;0),MIN(15,Inputs!$B$43)/(Inputs!$B$43),0))),0)))&gt;=100),CHOOSE(ArtifactsInput!$N$42+1,40,48,56,64,72,80),0))))/100)*((1+(((C3230=TRUE)*F3230*5/7)+((C3237=TRUE)*(F3237-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3220)</f>
        <v/>
      </c>
      <c r="L3220">
        <f>K3220*(MIN(Inputs!$B$22+((C3235=TRUE)*(F3235-Calc!F22)),(Inputs!$B$23+0+(IF(ArtifactsInput!$M$15,CHOOSE(ArtifactsInput!$N$15+1,25,30,35,40,45,50)/100*(Inputs!$B$11-Inputs!$B$11),0))))/100+(Inputs!$B$23+0+(IF(ArtifactsInput!$M$15,CHOOSE(ArtifactsInput!$N$15+1,25,30,35,40,45,50)/100*(Inputs!$B$11-Inputs!$B$11),0)))/100)/2</f>
        <v/>
      </c>
      <c r="M3220">
        <f>L3220*(1+(Inputs!$B$10+((C3238=TRUE)*(F3238-Calc!F25))+B3249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220">
        <f>L3220*(1-MIN((Inputs!$B$9+((C3232=TRUE)*(F3232-Calc!F19))+B3244+(ArtifactsInput!$M$24-ArtifactsInput!$M$24)*CHOOSE(ArtifactsInput!$N$24+1,10,12,14,16,18,20)+(IF(AND(Inputs!$B$38&lt;&gt;"pvp",Inputs!$B$43=0),1,IF(IF(Inputs!$B$38="pvp",15,Inputs!$B$43)-(B3251)&lt;=0,1,MAX(0,IF(Inputs!$B$38="pvp",15,Inputs!$B$43)-MAX(5,B3251))/(IF(Inputs!$B$38="pvp",15,Inputs!$B$43)-(B3251))))*IF(AND(ArtifactsInput!$M$42,((Inputs!$B$9+((C3232=TRUE)*(F3232-Calc!F19))+B3244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3220*(MIN((Inputs!$B$9+((C3232=TRUE)*(F3232-Calc!F19))+B3244+(ArtifactsInput!$M$24-ArtifactsInput!$M$24)*CHOOSE(ArtifactsInput!$N$24+1,10,12,14,16,18,20)+(IF(AND(Inputs!$B$38&lt;&gt;"pvp",Inputs!$B$43=0),1,IF(IF(Inputs!$B$38="pvp",15,Inputs!$B$43)-(B3251)&lt;=0,1,MAX(0,IF(Inputs!$B$38="pvp",15,Inputs!$B$43)-MAX(5,B3251))/(IF(Inputs!$B$38="pvp",15,Inputs!$B$43)-(B3251))))*IF(AND(ArtifactsInput!$M$42,((Inputs!$B$9+((C3232=TRUE)*(F3232-Calc!F19))+B3244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220">
        <f>(1-Summary!$B$11)*T3220+Summary!$B$11*V3220</f>
        <v/>
      </c>
      <c r="P3220">
        <f>IF(B3254=0,0,O3220/B3254)</f>
        <v/>
      </c>
      <c r="Q3220">
        <f>IFERROR(1/(IF(Inputs!$B$38="pvp",15,MAX(0.1,Skills!D7-IF(TRUE=TRUE,3.5,0)))*(1-IF(AND(ArtifactsInput!$M$27,Inputs!$B$4="Chapter Hunt"),CHOOSE(ArtifactsInput!$N$27+1,20,24,28,32,36,40),0)/100)),0)</f>
        <v/>
      </c>
      <c r="R3220">
        <f>IF(AND(Inputs!$B$38&lt;&gt;"pvp",Inputs!$B$43&gt;0),IF(MAX(0,Inputs!$B$43-B3251)&lt;=0,0,(INT(MAX(0,Inputs!$B$43-B3251)/(IF(Inputs!$B$38="pvp",15,MAX(0.1,Skills!D7-IF(TRUE=TRUE,3.5,0)))*(1-IF(AND(ArtifactsInput!$M$27,Inputs!$B$4="Chapter Hunt"),CHOOSE(ArtifactsInput!$N$27+1,20,24,28,32,36,40),0)/100)))+1)),0)</f>
        <v/>
      </c>
      <c r="S3220">
        <f>IFERROR(O3220/N3220,0)</f>
        <v/>
      </c>
      <c r="T3220">
        <f>IF(C3220,(H3220*N3220*IF(AND(Inputs!$B$38&lt;&gt;"pvp",Inputs!$B$43&gt;0),((Skills!G7*((R3220-1)*IF(Skills!H7&gt;0,INT(Skills!I7/Skills!H7+0.000000001),1)+IF(Skills!H7&gt;0,INT(MIN(Skills!I7,MAX(0,MAX(0,Inputs!$B$43-B3251)-((R3220-1)*(IF(Inputs!$B$38="pvp",15,MAX(0.1,Skills!D7-IF(TRUE=TRUE,3.5,0)))*(1-IF(AND(ArtifactsInput!$M$27,Inputs!$B$4="Chapter Hunt"),CHOOSE(ArtifactsInput!$N$27+1,20,24,28,32,36,40),0)/100)))))/Skills!H7+0.000000001),1)))/Inputs!$B$43),G3220*Q3220))*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Hunt"),CHOOSE(ArtifactsInput!$N$35+1,15,18,21,24,27,30)*(1-EXP(-(0.2*B3246)*5)),0)+IF(AND(ArtifactsInput!$M$22,Inputs!$B$4&lt;&gt;"Chapter Hunt"),CHOOSE(ArtifactsInput!$N$22+1,10,12,14,16,18,20)*((0*(((0.15*B3246*5))^0/1)+1*(((0.15*B3246*5))^1/1)+2*(((0.15*B3246*5))^2/2)+3*(((0.15*B3246*5))^3/6)+4*(((0.15*B3246*5))^4/24)+5*(((0.15*B3246*5))^5/120))/((((0.15*B3246*5))^0/1)+(((0.15*B3246*5))^1/1)+(((0.15*B3246*5))^2/2)+(((0.15*B3246*5))^3/6)+(((0.15*B3246*5))^4/24)+(((0.15*B3246*5))^5/120))),0))+IF(Inputs!$B$3&gt;=54,9*(C3216=TRUE)*MIN(1,8*(1+Inputs!$B$34/100)*Q3216)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3220*(1-MIN(100,(Inputs!$B$9+((C3232=TRUE)*(F3232-Calc!F19))+B3244+(ArtifactsInput!$M$24-ArtifactsInput!$M$24)*CHOOSE(ArtifactsInput!$N$24+1,10,12,14,16,18,20)+(IF(AND(Inputs!$B$38&lt;&gt;"pvp",Inputs!$B$43=0),1,IF(IF(Inputs!$B$38="pvp",15,Inputs!$B$43)-(B3251)&lt;=0,1,MAX(0,IF(Inputs!$B$38="pvp",15,Inputs!$B$43)-MAX(5,B3251))/(IF(Inputs!$B$38="pvp",15,Inputs!$B$43)-(B3251))))*IF(AND(ArtifactsInput!$M$42,((Inputs!$B$9+((C3232=TRUE)*(F3232-Calc!F19))+B3244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3220*(MIN(100,(Inputs!$B$9+((C3232=TRUE)*(F3232-Calc!F19))+B3244+(ArtifactsInput!$M$24-ArtifactsInput!$M$24)*CHOOSE(ArtifactsInput!$N$24+1,10,12,14,16,18,20)+(IF(AND(Inputs!$B$38&lt;&gt;"pvp",Inputs!$B$43=0),1,IF(IF(Inputs!$B$38="pvp",15,Inputs!$B$43)-(B3251)&lt;=0,1,MAX(0,IF(Inputs!$B$38="pvp",15,Inputs!$B$43)-MAX(5,B3251))/(IF(Inputs!$B$38="pvp",15,Inputs!$B$43)-(B3251))))*IF(AND(ArtifactsInput!$M$42,((Inputs!$B$9+((C3232=TRUE)*(F3232-Calc!F19))+B3244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3220*(1-MIN(100,(Inputs!$B$9+((C3232=TRUE)*(F3232-Calc!F19))+B3244+(ArtifactsInput!$M$24-ArtifactsInput!$M$24)*CHOOSE(ArtifactsInput!$N$24+1,10,12,14,16,18,20)+(IF(AND(Inputs!$B$38&lt;&gt;"pvp",Inputs!$B$43=0),1,IF(IF(Inputs!$B$38="pvp",15,Inputs!$B$43)-(B3251)&lt;=0,1,MAX(0,IF(Inputs!$B$38="pvp",15,Inputs!$B$43)-MAX(5,B3251))/(IF(Inputs!$B$38="pvp",15,Inputs!$B$43)-(B3251))))*IF(AND(ArtifactsInput!$M$42,((Inputs!$B$9+((C3232=TRUE)*(F3232-Calc!F19))+B3244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3220*(MIN(100,(Inputs!$B$9+((C3232=TRUE)*(F3232-Calc!F19))+B3244+(ArtifactsInput!$M$24-ArtifactsInput!$M$24)*CHOOSE(ArtifactsInput!$N$24+1,10,12,14,16,18,20)+(IF(AND(Inputs!$B$38&lt;&gt;"pvp",Inputs!$B$43=0),1,IF(IF(Inputs!$B$38="pvp",15,Inputs!$B$43)-(B3251)&lt;=0,1,MAX(0,IF(Inputs!$B$38="pvp",15,Inputs!$B$43)-MAX(5,B3251))/(IF(Inputs!$B$38="pvp",15,Inputs!$B$43)-(B3251))))*IF(AND(ArtifactsInput!$M$42,((Inputs!$B$9+((C3232=TRUE)*(F3232-Calc!F19))+B3244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220">
        <f>IF(C3220,(H3220*N3220*IF(AND(Inputs!$B$38&lt;&gt;"pvp",Inputs!$B$43&gt;0),((Skills!G7*((R3220-1)*IF(Skills!H7&gt;0,INT(Skills!I7/Skills!H7+0.000000001),1)+IF(Skills!H7&gt;0,INT(MIN(Skills!I7,MAX(0,MAX(0,Inputs!$B$43-B3251)-((R3220-1)*(IF(Inputs!$B$38="pvp",15,MAX(0.1,Skills!D7-IF(TRUE=TRUE,3.5,0)))*(1-IF(AND(ArtifactsInput!$M$27,Inputs!$B$4="Chapter Hunt"),CHOOSE(ArtifactsInput!$N$27+1,20,24,28,32,36,40),0)/100)))))/Skills!H7+0.000000001),1)))/Inputs!$B$43),G3220*Q3220))*IF(Inputs!$B$38="pvp",1,(1+(Inputs!$B$21+Skills!Q7+(IF(ArtifactsInput!$M$33,CHOOSE(ArtifactsInput!$N$33+1,30,36,42,48,54,60),0))+(IF(AND(ArtifactsInput!$M$35,Inputs!$B$4&lt;&gt;"Chapter Hunt"),CHOOSE(ArtifactsInput!$N$35+1,15,18,21,24,27,30)*(1-EXP(-(0.2*B3246)*5)),0)+IF(AND(ArtifactsInput!$M$22,Inputs!$B$4&lt;&gt;"Chapter Hunt"),CHOOSE(ArtifactsInput!$N$22+1,10,12,14,16,18,20)*((0*(((0.15*B3246*5))^0/1)+1*(((0.15*B3246*5))^1/1)+2*(((0.15*B3246*5))^2/2)+3*(((0.15*B3246*5))^3/6)+4*(((0.15*B3246*5))^4/24)+5*(((0.15*B3246*5))^5/120))/((((0.15*B3246*5))^0/1)+(((0.15*B3246*5))^1/1)+(((0.15*B3246*5))^2/2)+(((0.15*B3246*5))^3/6)+(((0.15*B3246*5))^4/24)+(((0.15*B3246*5))^5/120))),0))+IF(Inputs!$B$3&gt;=54,9*(C3216=TRUE)*MIN(1,8*(1+Inputs!$B$34/100)*Q3216),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221">
      <c r="A3221">
        <f>Skills!A8</f>
        <v/>
      </c>
      <c r="B3221">
        <f>Skills!B8</f>
        <v/>
      </c>
      <c r="C3221">
        <f>Inputs!$B$3&gt;=103</f>
        <v/>
      </c>
      <c r="D3221">
        <f>IF(Skills!C8=1,60+Inputs!$B$25+Inputs!$B$29,IF(Skills!C8=2,90+Inputs!$B$26+Inputs!$B$29,IF(Skills!C8=3,120+Inputs!$B$27+Inputs!$B$29,MAX(0,(Inputs!$B$3-100)*3)+Inputs!$B$28+Inputs!$B$29)))</f>
        <v/>
      </c>
      <c r="E3221">
        <f>INDEX(FactorTable!$B$2:$Y$301, MATCH(ROUND(MIN(300,MAX(1,D3221)),0), FactorTable!$A$2:$A$301,0), Skills!M8+1)</f>
        <v/>
      </c>
      <c r="F3221">
        <f>IF(Skills!N8=TRUE,(Skills!L8/10)*(E3221/1000),Skills!L8/10)+Skills!O8</f>
        <v/>
      </c>
      <c r="G3221">
        <f>Skills!G8*IF(Skills!H8&gt;0,INT(IF(Inputs!$B$38="pvp",MIN(Skills!I8,15),Skills!I8)/Skills!H8+0.000000001),1)</f>
        <v/>
      </c>
      <c r="H3221">
        <f>1-(1-Skills!J8/100)^Skills!K8</f>
        <v/>
      </c>
      <c r="I3221" t="inlineStr">
        <is>
          <t>1</t>
        </is>
      </c>
      <c r="J3221">
        <f>((Inputs!$B$6*(1+Inputs!$B$7/100))+(((Inputs!$B$12*(1+Inputs!$B$13/100))-(Inputs!$B$12*(1+Inputs!$B$13/100)))+0.25*(Inputs!$B$14-Inputs!$B$14))*(1+Inputs!$B$7/100))*(F3221/100)</f>
        <v/>
      </c>
      <c r="K3221">
        <f>J3221*(1+((Inputs!$B$12*(1+Inputs!$B$13/100))*0.01+Inputs!$B$14*0.0025)/100)*(1+Inputs!$B$15/100)*(1+Inputs!$B$16/100)*(5000/(6000+Inputs!$B$42*(1-(100*(1-(1-(Inputs!$B$19+0)/100)*(1-CHOOSE(ArtifactsInput!$N$40+1,5,6,7,8,9,10)/100)^(ArtifactsInput!$M$40-ArtifactsInput!$M$40)))/100)))*(1+(Inputs!$B$24+((C3239=TRUE)*(F3239-Calc!F26))+B3250)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IGHT_LEGS_EASTON",Inputs!$B$17+((C3236=TRUE)*(F3236-Calc!F23))+((C3240=TRUE)*(F3240-Calc!F27))+((IF(AND(Inputs!$B$38&lt;&gt;"pvp",Inputs!$B$43=0),1,IF(IF(Inputs!$B$38="pvp",15,Inputs!$B$43)-(B3251)&lt;=0,1,MAX(0,IF(Inputs!$B$38="pvp",15,Inputs!$B$43)-MAX(5,B3251))/(IF(Inputs!$B$38="pvp",15,Inputs!$B$43)-(B3251))))*(IF(AND(ArtifactsInput!$M$42,((Inputs!$B$9+((C3232=TRUE)*(F3232-Calc!F19))+B3244+(ArtifactsInput!$M$24-ArtifactsInput!$M$24)*CHOOSE(ArtifactsInput!$N$24+1,10,12,14,16,18,20)+IF(ArtifactsInput!$M$10,CHOOSE(ArtifactsInput!$N$10+1,15,18,21,24,27,30)*(IF(Inputs!$B$38="pvp",MIN(15,15)/15,IF(AND(Inputs!$B$38&lt;&gt;"pvp",Inputs!$B$43&gt;0),MIN(15,Inputs!$B$43)/(Inputs!$B$43),0))),0)))&gt;=100),MIN(100,((Inputs!$B$9+((C3232=TRUE)*(F3232-Calc!F19))+B3244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3251)&lt;=0,1,MAX(0,IF(Inputs!$B$38="pvp",15,Inputs!$B$43)-MAX(5,B3251))/(IF(Inputs!$B$38="pvp",15,Inputs!$B$43)-(B3251))))*IF(AND(ArtifactsInput!$M$42,((Inputs!$B$9+((C3232=TRUE)*(F3232-Calc!F19))+B3244+(ArtifactsInput!$M$24-ArtifactsInput!$M$24)*CHOOSE(ArtifactsInput!$N$24+1,10,12,14,16,18,20)+IF(ArtifactsInput!$M$10,CHOOSE(ArtifactsInput!$N$10+1,15,18,21,24,27,30)*(IF(Inputs!$B$38="pvp",MIN(15,15)/15,IF(AND(Inputs!$B$38&lt;&gt;"pvp",Inputs!$B$43&gt;0),MIN(15,Inputs!$B$43)/(Inputs!$B$43),0))),0)))&gt;=100),CHOOSE(ArtifactsInput!$N$42+1,40,48,56,64,72,80),0))))/100)*((1+(((C3230=TRUE)*F3230*5/7)+((C3237=TRUE)*(F3237-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3221)</f>
        <v/>
      </c>
      <c r="L3221">
        <f>K3221*(MIN(Inputs!$B$22+((C3235=TRUE)*(F3235-Calc!F22)),(Inputs!$B$23+0+(IF(ArtifactsInput!$M$15,CHOOSE(ArtifactsInput!$N$15+1,25,30,35,40,45,50)/100*(Inputs!$B$11-Inputs!$B$11),0))))/100+(Inputs!$B$23+0+(IF(ArtifactsInput!$M$15,CHOOSE(ArtifactsInput!$N$15+1,25,30,35,40,45,50)/100*(Inputs!$B$11-Inputs!$B$11),0)))/100)/2</f>
        <v/>
      </c>
      <c r="M3221">
        <f>L3221*(1+(Inputs!$B$10+((C3238=TRUE)*(F3238-Calc!F25))+B3249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221">
        <f>L3221*(1-MIN((Inputs!$B$9+((C3232=TRUE)*(F3232-Calc!F19))+B3244+(ArtifactsInput!$M$24-ArtifactsInput!$M$24)*CHOOSE(ArtifactsInput!$N$24+1,10,12,14,16,18,20)+(IF(AND(Inputs!$B$38&lt;&gt;"pvp",Inputs!$B$43=0),1,IF(IF(Inputs!$B$38="pvp",15,Inputs!$B$43)-(B3251)&lt;=0,1,MAX(0,IF(Inputs!$B$38="pvp",15,Inputs!$B$43)-MAX(5,B3251))/(IF(Inputs!$B$38="pvp",15,Inputs!$B$43)-(B3251))))*IF(AND(ArtifactsInput!$M$42,((Inputs!$B$9+((C3232=TRUE)*(F3232-Calc!F19))+B3244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3221*(MIN((Inputs!$B$9+((C3232=TRUE)*(F3232-Calc!F19))+B3244+(ArtifactsInput!$M$24-ArtifactsInput!$M$24)*CHOOSE(ArtifactsInput!$N$24+1,10,12,14,16,18,20)+(IF(AND(Inputs!$B$38&lt;&gt;"pvp",Inputs!$B$43=0),1,IF(IF(Inputs!$B$38="pvp",15,Inputs!$B$43)-(B3251)&lt;=0,1,MAX(0,IF(Inputs!$B$38="pvp",15,Inputs!$B$43)-MAX(5,B3251))/(IF(Inputs!$B$38="pvp",15,Inputs!$B$43)-(B3251))))*IF(AND(ArtifactsInput!$M$42,((Inputs!$B$9+((C3232=TRUE)*(F3232-Calc!F19))+B3244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221">
        <f>(1-Summary!$B$11)*T3221+Summary!$B$11*V3221</f>
        <v/>
      </c>
      <c r="P3221">
        <f>IF(B3254=0,0,O3221/B3254)</f>
        <v/>
      </c>
      <c r="Q3221">
        <f>IFERROR(1/((IF(Inputs!$B$38="pvp",15,MAX(0.1,Skills!D8-IF(TRUE=TRUE,3.5,0)))*(1-IF(AND(ArtifactsInput!$M$27,Inputs!$B$4="Chapter Hunt"),CHOOSE(ArtifactsInput!$N$27+1,20,24,28,32,36,40),0)/100))/B3255),0)</f>
        <v/>
      </c>
      <c r="R3221">
        <f>IF(AND(Inputs!$B$38&lt;&gt;"pvp",Inputs!$B$43&gt;0),IF(MAX(0,Inputs!$B$43-B3251)&lt;=0,0,(INT(MAX(0,Inputs!$B$43-B3251)/((IF(Inputs!$B$38="pvp",15,MAX(0.1,Skills!D8-IF(TRUE=TRUE,3.5,0)))*(1-IF(AND(ArtifactsInput!$M$27,Inputs!$B$4="Chapter Hunt"),CHOOSE(ArtifactsInput!$N$27+1,20,24,28,32,36,40),0)/100))/B3255))+1)),0)</f>
        <v/>
      </c>
      <c r="S3221">
        <f>IFERROR(O3221/N3221,0)</f>
        <v/>
      </c>
      <c r="T3221">
        <f>IF(C3221,(H3221*N3221*IF(AND(Inputs!$B$38&lt;&gt;"pvp",Inputs!$B$43&gt;0),((Skills!G8*((R3221-1)*IF(Skills!H8&gt;0,INT(Skills!I8/Skills!H8+0.000000001),1)+IF(Skills!H8&gt;0,INT(MIN(Skills!I8,MAX(0,MAX(0,Inputs!$B$43-B3251)-((R3221-1)*((IF(Inputs!$B$38="pvp",15,MAX(0.1,Skills!D8-IF(TRUE=TRUE,3.5,0)))*(1-IF(AND(ArtifactsInput!$M$27,Inputs!$B$4="Chapter Hunt"),CHOOSE(ArtifactsInput!$N$27+1,20,24,28,32,36,40),0)/100))/B3255))))/Skills!H8+0.000000001),1)))/Inputs!$B$43),G3221*Q3221))*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Hunt"),CHOOSE(ArtifactsInput!$N$35+1,15,18,21,24,27,30)*(1-EXP(-(0.2*B3246)*5)),0)+IF(AND(ArtifactsInput!$M$22,Inputs!$B$4&lt;&gt;"Chapter Hunt"),CHOOSE(ArtifactsInput!$N$22+1,10,12,14,16,18,20)*((0*(((0.15*B3246*5))^0/1)+1*(((0.15*B3246*5))^1/1)+2*(((0.15*B3246*5))^2/2)+3*(((0.15*B3246*5))^3/6)+4*(((0.15*B3246*5))^4/24)+5*(((0.15*B3246*5))^5/120))/((((0.15*B3246*5))^0/1)+(((0.15*B3246*5))^1/1)+(((0.15*B3246*5))^2/2)+(((0.15*B3246*5))^3/6)+(((0.15*B3246*5))^4/24)+(((0.15*B3246*5))^5/120))),0))+IF(Inputs!$B$3&gt;=54,9*(C3216=TRUE)*MIN(1,8*(1+Inputs!$B$34/100)*Q3216)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3221*(1-MIN(100,(Inputs!$B$9+((C3232=TRUE)*(F3232-Calc!F19))+B3244+(ArtifactsInput!$M$24-ArtifactsInput!$M$24)*CHOOSE(ArtifactsInput!$N$24+1,10,12,14,16,18,20)+(IF(AND(Inputs!$B$38&lt;&gt;"pvp",Inputs!$B$43=0),1,IF(IF(Inputs!$B$38="pvp",15,Inputs!$B$43)-(B3251)&lt;=0,1,MAX(0,IF(Inputs!$B$38="pvp",15,Inputs!$B$43)-MAX(5,B3251))/(IF(Inputs!$B$38="pvp",15,Inputs!$B$43)-(B3251))))*IF(AND(ArtifactsInput!$M$42,((Inputs!$B$9+((C3232=TRUE)*(F3232-Calc!F19))+B3244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3221*(MIN(100,(Inputs!$B$9+((C3232=TRUE)*(F3232-Calc!F19))+B3244+(ArtifactsInput!$M$24-ArtifactsInput!$M$24)*CHOOSE(ArtifactsInput!$N$24+1,10,12,14,16,18,20)+(IF(AND(Inputs!$B$38&lt;&gt;"pvp",Inputs!$B$43=0),1,IF(IF(Inputs!$B$38="pvp",15,Inputs!$B$43)-(B3251)&lt;=0,1,MAX(0,IF(Inputs!$B$38="pvp",15,Inputs!$B$43)-MAX(5,B3251))/(IF(Inputs!$B$38="pvp",15,Inputs!$B$43)-(B3251))))*IF(AND(ArtifactsInput!$M$42,((Inputs!$B$9+((C3232=TRUE)*(F3232-Calc!F19))+B3244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3221*(1-MIN(100,(Inputs!$B$9+((C3232=TRUE)*(F3232-Calc!F19))+B3244+(ArtifactsInput!$M$24-ArtifactsInput!$M$24)*CHOOSE(ArtifactsInput!$N$24+1,10,12,14,16,18,20)+(IF(AND(Inputs!$B$38&lt;&gt;"pvp",Inputs!$B$43=0),1,IF(IF(Inputs!$B$38="pvp",15,Inputs!$B$43)-(B3251)&lt;=0,1,MAX(0,IF(Inputs!$B$38="pvp",15,Inputs!$B$43)-MAX(5,B3251))/(IF(Inputs!$B$38="pvp",15,Inputs!$B$43)-(B3251))))*IF(AND(ArtifactsInput!$M$42,((Inputs!$B$9+((C3232=TRUE)*(F3232-Calc!F19))+B3244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3221*(MIN(100,(Inputs!$B$9+((C3232=TRUE)*(F3232-Calc!F19))+B3244+(ArtifactsInput!$M$24-ArtifactsInput!$M$24)*CHOOSE(ArtifactsInput!$N$24+1,10,12,14,16,18,20)+(IF(AND(Inputs!$B$38&lt;&gt;"pvp",Inputs!$B$43=0),1,IF(IF(Inputs!$B$38="pvp",15,Inputs!$B$43)-(B3251)&lt;=0,1,MAX(0,IF(Inputs!$B$38="pvp",15,Inputs!$B$43)-MAX(5,B3251))/(IF(Inputs!$B$38="pvp",15,Inputs!$B$43)-(B3251))))*IF(AND(ArtifactsInput!$M$42,((Inputs!$B$9+((C3232=TRUE)*(F3232-Calc!F19))+B3244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221">
        <f>IF(C3221,(H3221*N3221*IF(AND(Inputs!$B$38&lt;&gt;"pvp",Inputs!$B$43&gt;0),((Skills!G8*((R3221-1)*IF(Skills!H8&gt;0,INT(Skills!I8/Skills!H8+0.000000001),1)+IF(Skills!H8&gt;0,INT(MIN(Skills!I8,MAX(0,MAX(0,Inputs!$B$43-B3251)-((R3221-1)*((IF(Inputs!$B$38="pvp",15,MAX(0.1,Skills!D8-IF(TRUE=TRUE,3.5,0)))*(1-IF(AND(ArtifactsInput!$M$27,Inputs!$B$4="Chapter Hunt"),CHOOSE(ArtifactsInput!$N$27+1,20,24,28,32,36,40),0)/100))/B3255))))/Skills!H8+0.000000001),1)))/Inputs!$B$43),G3221*Q3221))*IF(Inputs!$B$38="pvp",1,(1+(Inputs!$B$21+Skills!Q8+(IF(ArtifactsInput!$M$33,CHOOSE(ArtifactsInput!$N$33+1,30,36,42,48,54,60),0))+(IF(AND(ArtifactsInput!$M$35,Inputs!$B$4&lt;&gt;"Chapter Hunt"),CHOOSE(ArtifactsInput!$N$35+1,15,18,21,24,27,30)*(1-EXP(-(0.2*B3246)*5)),0)+IF(AND(ArtifactsInput!$M$22,Inputs!$B$4&lt;&gt;"Chapter Hunt"),CHOOSE(ArtifactsInput!$N$22+1,10,12,14,16,18,20)*((0*(((0.15*B3246*5))^0/1)+1*(((0.15*B3246*5))^1/1)+2*(((0.15*B3246*5))^2/2)+3*(((0.15*B3246*5))^3/6)+4*(((0.15*B3246*5))^4/24)+5*(((0.15*B3246*5))^5/120))/((((0.15*B3246*5))^0/1)+(((0.15*B3246*5))^1/1)+(((0.15*B3246*5))^2/2)+(((0.15*B3246*5))^3/6)+(((0.15*B3246*5))^4/24)+(((0.15*B3246*5))^5/120))),0))+IF(Inputs!$B$3&gt;=54,9*(C3216=TRUE)*MIN(1,8*(1+Inputs!$B$34/100)*Q3216),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222">
      <c r="A3222">
        <f>Skills!A9</f>
        <v/>
      </c>
      <c r="B3222">
        <f>Skills!B9</f>
        <v/>
      </c>
      <c r="C3222">
        <f>Inputs!$B$3&gt;=105</f>
        <v/>
      </c>
      <c r="D3222">
        <f>IF(Skills!C9=1,60+Inputs!$B$25+Inputs!$B$29,IF(Skills!C9=2,90+Inputs!$B$26+Inputs!$B$29,IF(Skills!C9=3,120+Inputs!$B$27+Inputs!$B$29,MAX(0,(Inputs!$B$3-100)*3)+Inputs!$B$28+Inputs!$B$29)))</f>
        <v/>
      </c>
      <c r="E3222">
        <f>INDEX(FactorTable!$B$2:$Y$301, MATCH(ROUND(MIN(300,MAX(1,D3222)),0), FactorTable!$A$2:$A$301,0), Skills!M9+1)</f>
        <v/>
      </c>
      <c r="F3222">
        <f>IF(Skills!N9=TRUE,(Skills!L9/10)*(E3222/1000),Skills!L9/10)+Skills!O9</f>
        <v/>
      </c>
      <c r="G3222">
        <f>Skills!G9*IF(Skills!H9&gt;0,INT(IF(Inputs!$B$38="pvp",MIN(Skills!I9,15),Skills!I9)/Skills!H9+0.000000001),1)</f>
        <v/>
      </c>
      <c r="H3222">
        <f>1-(1-Skills!J9/100)^Skills!K9</f>
        <v/>
      </c>
      <c r="I3222" t="inlineStr">
        <is>
          <t>1</t>
        </is>
      </c>
      <c r="J3222">
        <f>((Inputs!$B$6*(1+Inputs!$B$7/100))+(((Inputs!$B$12*(1+Inputs!$B$13/100))-(Inputs!$B$12*(1+Inputs!$B$13/100)))+0.25*(Inputs!$B$14-Inputs!$B$14))*(1+Inputs!$B$7/100))*(F3222/100)</f>
        <v/>
      </c>
      <c r="K3222">
        <f>J3222*(1+((Inputs!$B$12*(1+Inputs!$B$13/100))*0.01+Inputs!$B$14*0.0025)/100)*(1+Inputs!$B$15/100)*(1+Inputs!$B$16/100)*(5000/(6000+Inputs!$B$42*(1-(100*(1-(1-(Inputs!$B$19+0)/100)*(1-CHOOSE(ArtifactsInput!$N$40+1,5,6,7,8,9,10)/100)^(ArtifactsInput!$M$40-ArtifactsInput!$M$40)))/100)))*(1+(Inputs!$B$24+((C3239=TRUE)*(F3239-Calc!F26))+B3250)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IGHT_LEGS_EASTON",Inputs!$B$17+((C3236=TRUE)*(F3236-Calc!F23))+((C3240=TRUE)*(F3240-Calc!F27))+((IF(AND(Inputs!$B$38&lt;&gt;"pvp",Inputs!$B$43=0),1,IF(IF(Inputs!$B$38="pvp",15,Inputs!$B$43)-(B3251)&lt;=0,1,MAX(0,IF(Inputs!$B$38="pvp",15,Inputs!$B$43)-MAX(5,B3251))/(IF(Inputs!$B$38="pvp",15,Inputs!$B$43)-(B3251))))*(IF(AND(ArtifactsInput!$M$42,((Inputs!$B$9+((C3232=TRUE)*(F3232-Calc!F19))+B3244+(ArtifactsInput!$M$24-ArtifactsInput!$M$24)*CHOOSE(ArtifactsInput!$N$24+1,10,12,14,16,18,20)+IF(ArtifactsInput!$M$10,CHOOSE(ArtifactsInput!$N$10+1,15,18,21,24,27,30)*(IF(Inputs!$B$38="pvp",MIN(15,15)/15,IF(AND(Inputs!$B$38&lt;&gt;"pvp",Inputs!$B$43&gt;0),MIN(15,Inputs!$B$43)/(Inputs!$B$43),0))),0)))&gt;=100),MIN(100,((Inputs!$B$9+((C3232=TRUE)*(F3232-Calc!F19))+B3244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3251)&lt;=0,1,MAX(0,IF(Inputs!$B$38="pvp",15,Inputs!$B$43)-MAX(5,B3251))/(IF(Inputs!$B$38="pvp",15,Inputs!$B$43)-(B3251))))*IF(AND(ArtifactsInput!$M$42,((Inputs!$B$9+((C3232=TRUE)*(F3232-Calc!F19))+B3244+(ArtifactsInput!$M$24-ArtifactsInput!$M$24)*CHOOSE(ArtifactsInput!$N$24+1,10,12,14,16,18,20)+IF(ArtifactsInput!$M$10,CHOOSE(ArtifactsInput!$N$10+1,15,18,21,24,27,30)*(IF(Inputs!$B$38="pvp",MIN(15,15)/15,IF(AND(Inputs!$B$38&lt;&gt;"pvp",Inputs!$B$43&gt;0),MIN(15,Inputs!$B$43)/(Inputs!$B$43),0))),0)))&gt;=100),CHOOSE(ArtifactsInput!$N$42+1,40,48,56,64,72,80),0))))/100)*((1+(((C3230=TRUE)*F3230*5/7)+((C3237=TRUE)*(F3237-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3222)</f>
        <v/>
      </c>
      <c r="L3222">
        <f>K3222*(MIN(Inputs!$B$22+((C3235=TRUE)*(F3235-Calc!F22)),(Inputs!$B$23+0+(IF(ArtifactsInput!$M$15,CHOOSE(ArtifactsInput!$N$15+1,25,30,35,40,45,50)/100*(Inputs!$B$11-Inputs!$B$11),0))))/100+(Inputs!$B$23+0+(IF(ArtifactsInput!$M$15,CHOOSE(ArtifactsInput!$N$15+1,25,30,35,40,45,50)/100*(Inputs!$B$11-Inputs!$B$11),0)))/100)/2</f>
        <v/>
      </c>
      <c r="M3222">
        <f>L3222*(1+(Inputs!$B$10+((C3238=TRUE)*(F3238-Calc!F25))+B3249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222">
        <f>L3222*(1-MIN((Inputs!$B$9+((C3232=TRUE)*(F3232-Calc!F19))+B3244+(ArtifactsInput!$M$24-ArtifactsInput!$M$24)*CHOOSE(ArtifactsInput!$N$24+1,10,12,14,16,18,20)+(IF(AND(Inputs!$B$38&lt;&gt;"pvp",Inputs!$B$43=0),1,IF(IF(Inputs!$B$38="pvp",15,Inputs!$B$43)-(B3251)&lt;=0,1,MAX(0,IF(Inputs!$B$38="pvp",15,Inputs!$B$43)-MAX(5,B3251))/(IF(Inputs!$B$38="pvp",15,Inputs!$B$43)-(B3251))))*IF(AND(ArtifactsInput!$M$42,((Inputs!$B$9+((C3232=TRUE)*(F3232-Calc!F19))+B3244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3222*(MIN((Inputs!$B$9+((C3232=TRUE)*(F3232-Calc!F19))+B3244+(ArtifactsInput!$M$24-ArtifactsInput!$M$24)*CHOOSE(ArtifactsInput!$N$24+1,10,12,14,16,18,20)+(IF(AND(Inputs!$B$38&lt;&gt;"pvp",Inputs!$B$43=0),1,IF(IF(Inputs!$B$38="pvp",15,Inputs!$B$43)-(B3251)&lt;=0,1,MAX(0,IF(Inputs!$B$38="pvp",15,Inputs!$B$43)-MAX(5,B3251))/(IF(Inputs!$B$38="pvp",15,Inputs!$B$43)-(B3251))))*IF(AND(ArtifactsInput!$M$42,((Inputs!$B$9+((C3232=TRUE)*(F3232-Calc!F19))+B3244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222">
        <f>(1-Summary!$B$11)*T3222+Summary!$B$11*V3222</f>
        <v/>
      </c>
      <c r="P3222">
        <f>IF(B3254=0,0,O3222/B3254)</f>
        <v/>
      </c>
      <c r="Q3222">
        <f>IFERROR(1/(IF(Inputs!$B$38="pvp",15,MAX(0.1,Skills!D9-IF(TRUE=TRUE,3.5,0)))*(1-IF(AND(ArtifactsInput!$M$27,Inputs!$B$4="Chapter Hunt"),CHOOSE(ArtifactsInput!$N$27+1,20,24,28,32,36,40),0)/100)),0)</f>
        <v/>
      </c>
      <c r="R3222">
        <f>IF(AND(Inputs!$B$38&lt;&gt;"pvp",Inputs!$B$43&gt;0),IF(MAX(0,Inputs!$B$43-B3251)&lt;=0,0,(INT(MAX(0,Inputs!$B$43-B3251)/(IF(Inputs!$B$38="pvp",15,MAX(0.1,Skills!D9-IF(TRUE=TRUE,3.5,0)))*(1-IF(AND(ArtifactsInput!$M$27,Inputs!$B$4="Chapter Hunt"),CHOOSE(ArtifactsInput!$N$27+1,20,24,28,32,36,40),0)/100)))+1)),0)</f>
        <v/>
      </c>
      <c r="S3222">
        <f>IFERROR(O3222/N3222,0)</f>
        <v/>
      </c>
      <c r="T3222">
        <f>IF(C3222,(H3222*N3222*IF(AND(Inputs!$B$38&lt;&gt;"pvp",Inputs!$B$43&gt;0),((Skills!G9*((R3222-1)*IF(Skills!H9&gt;0,INT(Skills!I9/Skills!H9+0.000000001),1)+IF(Skills!H9&gt;0,INT(MIN(Skills!I9,MAX(0,MAX(0,Inputs!$B$43-B3251)-((R3222-1)*(IF(Inputs!$B$38="pvp",15,MAX(0.1,Skills!D9-IF(TRUE=TRUE,3.5,0)))*(1-IF(AND(ArtifactsInput!$M$27,Inputs!$B$4="Chapter Hunt"),CHOOSE(ArtifactsInput!$N$27+1,20,24,28,32,36,40),0)/100)))))/Skills!H9+0.000000001),1)))/Inputs!$B$43),G3222*Q3222))*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Hunt"),CHOOSE(ArtifactsInput!$N$35+1,15,18,21,24,27,30)*(1-EXP(-(0.2*B3246)*5)),0)+IF(AND(ArtifactsInput!$M$22,Inputs!$B$4&lt;&gt;"Chapter Hunt"),CHOOSE(ArtifactsInput!$N$22+1,10,12,14,16,18,20)*((0*(((0.15*B3246*5))^0/1)+1*(((0.15*B3246*5))^1/1)+2*(((0.15*B3246*5))^2/2)+3*(((0.15*B3246*5))^3/6)+4*(((0.15*B3246*5))^4/24)+5*(((0.15*B3246*5))^5/120))/((((0.15*B3246*5))^0/1)+(((0.15*B3246*5))^1/1)+(((0.15*B3246*5))^2/2)+(((0.15*B3246*5))^3/6)+(((0.15*B3246*5))^4/24)+(((0.15*B3246*5))^5/120))),0))+IF(Inputs!$B$3&gt;=54,9*(C3216=TRUE)*MIN(1,8*(1+Inputs!$B$34/100)*Q3216)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3222*(1-MIN(100,(Inputs!$B$9+((C3232=TRUE)*(F3232-Calc!F19))+B3244+(ArtifactsInput!$M$24-ArtifactsInput!$M$24)*CHOOSE(ArtifactsInput!$N$24+1,10,12,14,16,18,20)+(IF(AND(Inputs!$B$38&lt;&gt;"pvp",Inputs!$B$43=0),1,IF(IF(Inputs!$B$38="pvp",15,Inputs!$B$43)-(B3251)&lt;=0,1,MAX(0,IF(Inputs!$B$38="pvp",15,Inputs!$B$43)-MAX(5,B3251))/(IF(Inputs!$B$38="pvp",15,Inputs!$B$43)-(B3251))))*IF(AND(ArtifactsInput!$M$42,((Inputs!$B$9+((C3232=TRUE)*(F3232-Calc!F19))+B3244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3222*(MIN(100,(Inputs!$B$9+((C3232=TRUE)*(F3232-Calc!F19))+B3244+(ArtifactsInput!$M$24-ArtifactsInput!$M$24)*CHOOSE(ArtifactsInput!$N$24+1,10,12,14,16,18,20)+(IF(AND(Inputs!$B$38&lt;&gt;"pvp",Inputs!$B$43=0),1,IF(IF(Inputs!$B$38="pvp",15,Inputs!$B$43)-(B3251)&lt;=0,1,MAX(0,IF(Inputs!$B$38="pvp",15,Inputs!$B$43)-MAX(5,B3251))/(IF(Inputs!$B$38="pvp",15,Inputs!$B$43)-(B3251))))*IF(AND(ArtifactsInput!$M$42,((Inputs!$B$9+((C3232=TRUE)*(F3232-Calc!F19))+B3244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3222*(1-MIN(100,(Inputs!$B$9+((C3232=TRUE)*(F3232-Calc!F19))+B3244+(ArtifactsInput!$M$24-ArtifactsInput!$M$24)*CHOOSE(ArtifactsInput!$N$24+1,10,12,14,16,18,20)+(IF(AND(Inputs!$B$38&lt;&gt;"pvp",Inputs!$B$43=0),1,IF(IF(Inputs!$B$38="pvp",15,Inputs!$B$43)-(B3251)&lt;=0,1,MAX(0,IF(Inputs!$B$38="pvp",15,Inputs!$B$43)-MAX(5,B3251))/(IF(Inputs!$B$38="pvp",15,Inputs!$B$43)-(B3251))))*IF(AND(ArtifactsInput!$M$42,((Inputs!$B$9+((C3232=TRUE)*(F3232-Calc!F19))+B3244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3222*(MIN(100,(Inputs!$B$9+((C3232=TRUE)*(F3232-Calc!F19))+B3244+(ArtifactsInput!$M$24-ArtifactsInput!$M$24)*CHOOSE(ArtifactsInput!$N$24+1,10,12,14,16,18,20)+(IF(AND(Inputs!$B$38&lt;&gt;"pvp",Inputs!$B$43=0),1,IF(IF(Inputs!$B$38="pvp",15,Inputs!$B$43)-(B3251)&lt;=0,1,MAX(0,IF(Inputs!$B$38="pvp",15,Inputs!$B$43)-MAX(5,B3251))/(IF(Inputs!$B$38="pvp",15,Inputs!$B$43)-(B3251))))*IF(AND(ArtifactsInput!$M$42,((Inputs!$B$9+((C3232=TRUE)*(F3232-Calc!F19))+B3244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222">
        <f>IF(C3222,(H3222*N3222*IF(AND(Inputs!$B$38&lt;&gt;"pvp",Inputs!$B$43&gt;0),((Skills!G9*((R3222-1)*IF(Skills!H9&gt;0,INT(Skills!I9/Skills!H9+0.000000001),1)+IF(Skills!H9&gt;0,INT(MIN(Skills!I9,MAX(0,MAX(0,Inputs!$B$43-B3251)-((R3222-1)*(IF(Inputs!$B$38="pvp",15,MAX(0.1,Skills!D9-IF(TRUE=TRUE,3.5,0)))*(1-IF(AND(ArtifactsInput!$M$27,Inputs!$B$4="Chapter Hunt"),CHOOSE(ArtifactsInput!$N$27+1,20,24,28,32,36,40),0)/100)))))/Skills!H9+0.000000001),1)))/Inputs!$B$43),G3222*Q3222))*IF(Inputs!$B$38="pvp",1,(1+(Inputs!$B$21+Skills!Q9+(IF(ArtifactsInput!$M$33,CHOOSE(ArtifactsInput!$N$33+1,30,36,42,48,54,60),0))+(IF(AND(ArtifactsInput!$M$35,Inputs!$B$4&lt;&gt;"Chapter Hunt"),CHOOSE(ArtifactsInput!$N$35+1,15,18,21,24,27,30)*(1-EXP(-(0.2*B3246)*5)),0)+IF(AND(ArtifactsInput!$M$22,Inputs!$B$4&lt;&gt;"Chapter Hunt"),CHOOSE(ArtifactsInput!$N$22+1,10,12,14,16,18,20)*((0*(((0.15*B3246*5))^0/1)+1*(((0.15*B3246*5))^1/1)+2*(((0.15*B3246*5))^2/2)+3*(((0.15*B3246*5))^3/6)+4*(((0.15*B3246*5))^4/24)+5*(((0.15*B3246*5))^5/120))/((((0.15*B3246*5))^0/1)+(((0.15*B3246*5))^1/1)+(((0.15*B3246*5))^2/2)+(((0.15*B3246*5))^3/6)+(((0.15*B3246*5))^4/24)+(((0.15*B3246*5))^5/120))),0))+IF(Inputs!$B$3&gt;=54,9*(C3216=TRUE)*MIN(1,8*(1+Inputs!$B$34/100)*Q3216),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223">
      <c r="A3223">
        <f>Skills!A10</f>
        <v/>
      </c>
      <c r="B3223">
        <f>Skills!B10</f>
        <v/>
      </c>
      <c r="C3223">
        <f>Inputs!$B$3&gt;=113</f>
        <v/>
      </c>
      <c r="D3223">
        <f>IF(Skills!C10=1,60+Inputs!$B$25+Inputs!$B$29,IF(Skills!C10=2,90+Inputs!$B$26+Inputs!$B$29,IF(Skills!C10=3,120+Inputs!$B$27+Inputs!$B$29,MAX(0,(Inputs!$B$3-100)*3)+Inputs!$B$28+Inputs!$B$29)))</f>
        <v/>
      </c>
      <c r="E3223">
        <f>INDEX(FactorTable!$B$2:$Y$301, MATCH(ROUND(MIN(300,MAX(1,D3223)),0), FactorTable!$A$2:$A$301,0), Skills!M10+1)</f>
        <v/>
      </c>
      <c r="F3223">
        <f>IF(Skills!N10=TRUE,(Skills!L10/10)*(E3223/1000),Skills!L10/10)+Skills!O10</f>
        <v/>
      </c>
      <c r="G3223">
        <f>Skills!G10*IF(Skills!H10&gt;0,INT(IF(Inputs!$B$38="pvp",MIN(Skills!I10,15),Skills!I10)/Skills!H10+0.000000001),1)</f>
        <v/>
      </c>
      <c r="H3223">
        <f>1-(1-Skills!J10/100)^Skills!K10</f>
        <v/>
      </c>
      <c r="I3223" t="inlineStr">
        <is>
          <t>1</t>
        </is>
      </c>
      <c r="J3223">
        <f>((Inputs!$B$6*(1+Inputs!$B$7/100))+(((Inputs!$B$12*(1+Inputs!$B$13/100))-(Inputs!$B$12*(1+Inputs!$B$13/100)))+0.25*(Inputs!$B$14-Inputs!$B$14))*(1+Inputs!$B$7/100))*(F3223/100)</f>
        <v/>
      </c>
      <c r="K3223">
        <f>J3223*(1+((Inputs!$B$12*(1+Inputs!$B$13/100))*0.01+Inputs!$B$14*0.0025)/100)*(1+Inputs!$B$15/100)*(1+Inputs!$B$16/100)*(5000/(6000+Inputs!$B$42*(1-(100*(1-(1-(Inputs!$B$19+0)/100)*(1-CHOOSE(ArtifactsInput!$N$40+1,5,6,7,8,9,10)/100)^(ArtifactsInput!$M$40-ArtifactsInput!$M$40)))/100)))*(1+(Inputs!$B$24+((C3239=TRUE)*(F3239-Calc!F26))+B3250)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IGHT_LEGS_EASTON",Inputs!$B$17+((C3236=TRUE)*(F3236-Calc!F23))+((C3240=TRUE)*(F3240-Calc!F27))+((IF(AND(Inputs!$B$38&lt;&gt;"pvp",Inputs!$B$43=0),1,IF(IF(Inputs!$B$38="pvp",15,Inputs!$B$43)-(B3251)&lt;=0,1,MAX(0,IF(Inputs!$B$38="pvp",15,Inputs!$B$43)-MAX(5,B3251))/(IF(Inputs!$B$38="pvp",15,Inputs!$B$43)-(B3251))))*(IF(AND(ArtifactsInput!$M$42,((Inputs!$B$9+((C3232=TRUE)*(F3232-Calc!F19))+B3244+(ArtifactsInput!$M$24-ArtifactsInput!$M$24)*CHOOSE(ArtifactsInput!$N$24+1,10,12,14,16,18,20)+IF(ArtifactsInput!$M$10,CHOOSE(ArtifactsInput!$N$10+1,15,18,21,24,27,30)*(IF(Inputs!$B$38="pvp",MIN(15,15)/15,IF(AND(Inputs!$B$38&lt;&gt;"pvp",Inputs!$B$43&gt;0),MIN(15,Inputs!$B$43)/(Inputs!$B$43),0))),0)))&gt;=100),MIN(100,((Inputs!$B$9+((C3232=TRUE)*(F3232-Calc!F19))+B3244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3251)&lt;=0,1,MAX(0,IF(Inputs!$B$38="pvp",15,Inputs!$B$43)-MAX(5,B3251))/(IF(Inputs!$B$38="pvp",15,Inputs!$B$43)-(B3251))))*IF(AND(ArtifactsInput!$M$42,((Inputs!$B$9+((C3232=TRUE)*(F3232-Calc!F19))+B3244+(ArtifactsInput!$M$24-ArtifactsInput!$M$24)*CHOOSE(ArtifactsInput!$N$24+1,10,12,14,16,18,20)+IF(ArtifactsInput!$M$10,CHOOSE(ArtifactsInput!$N$10+1,15,18,21,24,27,30)*(IF(Inputs!$B$38="pvp",MIN(15,15)/15,IF(AND(Inputs!$B$38&lt;&gt;"pvp",Inputs!$B$43&gt;0),MIN(15,Inputs!$B$43)/(Inputs!$B$43),0))),0)))&gt;=100),CHOOSE(ArtifactsInput!$N$42+1,40,48,56,64,72,80),0))))/100)*((1+(((C3230=TRUE)*F3230*5/7)+((C3237=TRUE)*(F3237-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3223)</f>
        <v/>
      </c>
      <c r="L3223">
        <f>K3223*(MIN(Inputs!$B$22+((C3235=TRUE)*(F3235-Calc!F22)),(Inputs!$B$23+0+(IF(ArtifactsInput!$M$15,CHOOSE(ArtifactsInput!$N$15+1,25,30,35,40,45,50)/100*(Inputs!$B$11-Inputs!$B$11),0))))/100+(Inputs!$B$23+0+(IF(ArtifactsInput!$M$15,CHOOSE(ArtifactsInput!$N$15+1,25,30,35,40,45,50)/100*(Inputs!$B$11-Inputs!$B$11),0)))/100)/2</f>
        <v/>
      </c>
      <c r="M3223">
        <f>L3223*(1+(Inputs!$B$10+((C3238=TRUE)*(F3238-Calc!F25))+B3249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223">
        <f>L3223*(1-MIN((Inputs!$B$9+((C3232=TRUE)*(F3232-Calc!F19))+B3244+(ArtifactsInput!$M$24-ArtifactsInput!$M$24)*CHOOSE(ArtifactsInput!$N$24+1,10,12,14,16,18,20)+(IF(AND(Inputs!$B$38&lt;&gt;"pvp",Inputs!$B$43=0),1,IF(IF(Inputs!$B$38="pvp",15,Inputs!$B$43)-(B3251)&lt;=0,1,MAX(0,IF(Inputs!$B$38="pvp",15,Inputs!$B$43)-MAX(5,B3251))/(IF(Inputs!$B$38="pvp",15,Inputs!$B$43)-(B3251))))*IF(AND(ArtifactsInput!$M$42,((Inputs!$B$9+((C3232=TRUE)*(F3232-Calc!F19))+B3244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3223*(MIN((Inputs!$B$9+((C3232=TRUE)*(F3232-Calc!F19))+B3244+(ArtifactsInput!$M$24-ArtifactsInput!$M$24)*CHOOSE(ArtifactsInput!$N$24+1,10,12,14,16,18,20)+(IF(AND(Inputs!$B$38&lt;&gt;"pvp",Inputs!$B$43=0),1,IF(IF(Inputs!$B$38="pvp",15,Inputs!$B$43)-(B3251)&lt;=0,1,MAX(0,IF(Inputs!$B$38="pvp",15,Inputs!$B$43)-MAX(5,B3251))/(IF(Inputs!$B$38="pvp",15,Inputs!$B$43)-(B3251))))*IF(AND(ArtifactsInput!$M$42,((Inputs!$B$9+((C3232=TRUE)*(F3232-Calc!F19))+B3244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223">
        <f>(1-Summary!$B$11)*T3223+Summary!$B$11*V3223</f>
        <v/>
      </c>
      <c r="P3223">
        <f>IF(B3254=0,0,O3223/B3254)</f>
        <v/>
      </c>
      <c r="Q3223" t="n">
        <v>0</v>
      </c>
      <c r="R3223" t="n">
        <v>0</v>
      </c>
      <c r="S3223">
        <f>IFERROR(O3223/N3223,0)</f>
        <v/>
      </c>
      <c r="T3223">
        <f>IF(C3223,((H3223*B3256)/(1+Skills!H10*H3223*B3256)*N3223)*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Hunt"),CHOOSE(ArtifactsInput!$N$35+1,15,18,21,24,27,30)*(1-EXP(-(0.2*B3246)*5)),0)+IF(AND(ArtifactsInput!$M$22,Inputs!$B$4&lt;&gt;"Chapter Hunt"),CHOOSE(ArtifactsInput!$N$22+1,10,12,14,16,18,20)*((0*(((0.15*B3246*5))^0/1)+1*(((0.15*B3246*5))^1/1)+2*(((0.15*B3246*5))^2/2)+3*(((0.15*B3246*5))^3/6)+4*(((0.15*B3246*5))^4/24)+5*(((0.15*B3246*5))^5/120))/((((0.15*B3246*5))^0/1)+(((0.15*B3246*5))^1/1)+(((0.15*B3246*5))^2/2)+(((0.15*B3246*5))^3/6)+(((0.15*B3246*5))^4/24)+(((0.15*B3246*5))^5/120))),0))+IF(Inputs!$B$3&gt;=54,9*(C3216=TRUE)*MIN(1,8*(1+Inputs!$B$34/100)*Q3216)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3223*(1-MIN(100,(Inputs!$B$9+((C3232=TRUE)*(F3232-Calc!F19))+B3244+(ArtifactsInput!$M$24-ArtifactsInput!$M$24)*CHOOSE(ArtifactsInput!$N$24+1,10,12,14,16,18,20)+(IF(AND(Inputs!$B$38&lt;&gt;"pvp",Inputs!$B$43=0),1,IF(IF(Inputs!$B$38="pvp",15,Inputs!$B$43)-(B3251)&lt;=0,1,MAX(0,IF(Inputs!$B$38="pvp",15,Inputs!$B$43)-MAX(5,B3251))/(IF(Inputs!$B$38="pvp",15,Inputs!$B$43)-(B3251))))*IF(AND(ArtifactsInput!$M$42,((Inputs!$B$9+((C3232=TRUE)*(F3232-Calc!F19))+B3244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3223*(MIN(100,(Inputs!$B$9+((C3232=TRUE)*(F3232-Calc!F19))+B3244+(ArtifactsInput!$M$24-ArtifactsInput!$M$24)*CHOOSE(ArtifactsInput!$N$24+1,10,12,14,16,18,20)+(IF(AND(Inputs!$B$38&lt;&gt;"pvp",Inputs!$B$43=0),1,IF(IF(Inputs!$B$38="pvp",15,Inputs!$B$43)-(B3251)&lt;=0,1,MAX(0,IF(Inputs!$B$38="pvp",15,Inputs!$B$43)-MAX(5,B3251))/(IF(Inputs!$B$38="pvp",15,Inputs!$B$43)-(B3251))))*IF(AND(ArtifactsInput!$M$42,((Inputs!$B$9+((C3232=TRUE)*(F3232-Calc!F19))+B3244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3223*(1-MIN(100,(Inputs!$B$9+((C3232=TRUE)*(F3232-Calc!F19))+B3244+(ArtifactsInput!$M$24-ArtifactsInput!$M$24)*CHOOSE(ArtifactsInput!$N$24+1,10,12,14,16,18,20)+(IF(AND(Inputs!$B$38&lt;&gt;"pvp",Inputs!$B$43=0),1,IF(IF(Inputs!$B$38="pvp",15,Inputs!$B$43)-(B3251)&lt;=0,1,MAX(0,IF(Inputs!$B$38="pvp",15,Inputs!$B$43)-MAX(5,B3251))/(IF(Inputs!$B$38="pvp",15,Inputs!$B$43)-(B3251))))*IF(AND(ArtifactsInput!$M$42,((Inputs!$B$9+((C3232=TRUE)*(F3232-Calc!F19))+B3244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3223*(MIN(100,(Inputs!$B$9+((C3232=TRUE)*(F3232-Calc!F19))+B3244+(ArtifactsInput!$M$24-ArtifactsInput!$M$24)*CHOOSE(ArtifactsInput!$N$24+1,10,12,14,16,18,20)+(IF(AND(Inputs!$B$38&lt;&gt;"pvp",Inputs!$B$43=0),1,IF(IF(Inputs!$B$38="pvp",15,Inputs!$B$43)-(B3251)&lt;=0,1,MAX(0,IF(Inputs!$B$38="pvp",15,Inputs!$B$43)-MAX(5,B3251))/(IF(Inputs!$B$38="pvp",15,Inputs!$B$43)-(B3251))))*IF(AND(ArtifactsInput!$M$42,((Inputs!$B$9+((C3232=TRUE)*(F3232-Calc!F19))+B3244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223">
        <f>IF(C3223,((H3223*B3256)/(1+Skills!H10*H3223*B3256)*N3223)*IF(Inputs!$B$38="pvp",1,(1+(Inputs!$B$21+Skills!Q10+(IF(ArtifactsInput!$M$33,CHOOSE(ArtifactsInput!$N$33+1,30,36,42,48,54,60),0))+(IF(AND(ArtifactsInput!$M$35,Inputs!$B$4&lt;&gt;"Chapter Hunt"),CHOOSE(ArtifactsInput!$N$35+1,15,18,21,24,27,30)*(1-EXP(-(0.2*B3246)*5)),0)+IF(AND(ArtifactsInput!$M$22,Inputs!$B$4&lt;&gt;"Chapter Hunt"),CHOOSE(ArtifactsInput!$N$22+1,10,12,14,16,18,20)*((0*(((0.15*B3246*5))^0/1)+1*(((0.15*B3246*5))^1/1)+2*(((0.15*B3246*5))^2/2)+3*(((0.15*B3246*5))^3/6)+4*(((0.15*B3246*5))^4/24)+5*(((0.15*B3246*5))^5/120))/((((0.15*B3246*5))^0/1)+(((0.15*B3246*5))^1/1)+(((0.15*B3246*5))^2/2)+(((0.15*B3246*5))^3/6)+(((0.15*B3246*5))^4/24)+(((0.15*B3246*5))^5/120))),0))+IF(Inputs!$B$3&gt;=54,9*(C3216=TRUE)*MIN(1,8*(1+Inputs!$B$34/100)*Q3216),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224">
      <c r="A3224">
        <f>Skills!A11</f>
        <v/>
      </c>
      <c r="B3224">
        <f>Skills!B11</f>
        <v/>
      </c>
      <c r="C3224">
        <f>Inputs!$B$3&gt;=117</f>
        <v/>
      </c>
      <c r="D3224">
        <f>IF(Skills!C11=1,60+Inputs!$B$25+Inputs!$B$29,IF(Skills!C11=2,90+Inputs!$B$26+Inputs!$B$29,IF(Skills!C11=3,120+Inputs!$B$27+Inputs!$B$29,MAX(0,(Inputs!$B$3-100)*3)+Inputs!$B$28+Inputs!$B$29)))</f>
        <v/>
      </c>
      <c r="E3224">
        <f>INDEX(FactorTable!$B$2:$Y$301, MATCH(ROUND(MIN(300,MAX(1,D3224)),0), FactorTable!$A$2:$A$301,0), Skills!M11+1)</f>
        <v/>
      </c>
      <c r="F3224">
        <f>IF(Skills!N11=TRUE,(Skills!L11/10)*(E3224/1000),Skills!L11/10)+Skills!O11</f>
        <v/>
      </c>
      <c r="G3224">
        <f>Skills!G11*IF(Skills!H11&gt;0,INT(IF(Inputs!$B$38="pvp",MIN(Skills!I11,15),Skills!I11)/Skills!H11+0.000000001),1)</f>
        <v/>
      </c>
      <c r="H3224">
        <f>1-(1-Skills!J11/100)^Skills!K11</f>
        <v/>
      </c>
      <c r="I3224" t="inlineStr">
        <is>
          <t>1</t>
        </is>
      </c>
      <c r="J3224">
        <f>((Inputs!$B$6*(1+Inputs!$B$7/100))+(((Inputs!$B$12*(1+Inputs!$B$13/100))-(Inputs!$B$12*(1+Inputs!$B$13/100)))+0.25*(Inputs!$B$14-Inputs!$B$14))*(1+Inputs!$B$7/100))*(F3224/100)</f>
        <v/>
      </c>
      <c r="K3224">
        <f>J3224*(1+((Inputs!$B$12*(1+Inputs!$B$13/100))*0.01+Inputs!$B$14*0.0025)/100)*(1+Inputs!$B$15/100)*(1+Inputs!$B$16/100)*(5000/(6000+Inputs!$B$42*(1-(100*(1-(1-(Inputs!$B$19+0)/100)*(1-CHOOSE(ArtifactsInput!$N$40+1,5,6,7,8,9,10)/100)^(ArtifactsInput!$M$40-ArtifactsInput!$M$40)))/100)))*(1+(Inputs!$B$24+((C3239=TRUE)*(F3239-Calc!F26))+B3250)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IGHT_LEGS_EASTON",Inputs!$B$17+((C3236=TRUE)*(F3236-Calc!F23))+((C3240=TRUE)*(F3240-Calc!F27))+((IF(AND(Inputs!$B$38&lt;&gt;"pvp",Inputs!$B$43=0),1,IF(IF(Inputs!$B$38="pvp",15,Inputs!$B$43)-(B3251)&lt;=0,1,MAX(0,IF(Inputs!$B$38="pvp",15,Inputs!$B$43)-MAX(5,B3251))/(IF(Inputs!$B$38="pvp",15,Inputs!$B$43)-(B3251))))*(IF(AND(ArtifactsInput!$M$42,((Inputs!$B$9+((C3232=TRUE)*(F3232-Calc!F19))+B3244+(ArtifactsInput!$M$24-ArtifactsInput!$M$24)*CHOOSE(ArtifactsInput!$N$24+1,10,12,14,16,18,20)+IF(ArtifactsInput!$M$10,CHOOSE(ArtifactsInput!$N$10+1,15,18,21,24,27,30)*(IF(Inputs!$B$38="pvp",MIN(15,15)/15,IF(AND(Inputs!$B$38&lt;&gt;"pvp",Inputs!$B$43&gt;0),MIN(15,Inputs!$B$43)/(Inputs!$B$43),0))),0)))&gt;=100),MIN(100,((Inputs!$B$9+((C3232=TRUE)*(F3232-Calc!F19))+B3244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3251)&lt;=0,1,MAX(0,IF(Inputs!$B$38="pvp",15,Inputs!$B$43)-MAX(5,B3251))/(IF(Inputs!$B$38="pvp",15,Inputs!$B$43)-(B3251))))*IF(AND(ArtifactsInput!$M$42,((Inputs!$B$9+((C3232=TRUE)*(F3232-Calc!F19))+B3244+(ArtifactsInput!$M$24-ArtifactsInput!$M$24)*CHOOSE(ArtifactsInput!$N$24+1,10,12,14,16,18,20)+IF(ArtifactsInput!$M$10,CHOOSE(ArtifactsInput!$N$10+1,15,18,21,24,27,30)*(IF(Inputs!$B$38="pvp",MIN(15,15)/15,IF(AND(Inputs!$B$38&lt;&gt;"pvp",Inputs!$B$43&gt;0),MIN(15,Inputs!$B$43)/(Inputs!$B$43),0))),0)))&gt;=100),CHOOSE(ArtifactsInput!$N$42+1,40,48,56,64,72,80),0))))/100)*((1+(((C3230=TRUE)*F3230*5/7)+((C3237=TRUE)*(F3237-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3224)</f>
        <v/>
      </c>
      <c r="L3224">
        <f>K3224*(MIN(Inputs!$B$22+((C3235=TRUE)*(F3235-Calc!F22)),(Inputs!$B$23+0+(IF(ArtifactsInput!$M$15,CHOOSE(ArtifactsInput!$N$15+1,25,30,35,40,45,50)/100*(Inputs!$B$11-Inputs!$B$11),0))))/100+(Inputs!$B$23+0+(IF(ArtifactsInput!$M$15,CHOOSE(ArtifactsInput!$N$15+1,25,30,35,40,45,50)/100*(Inputs!$B$11-Inputs!$B$11),0)))/100)/2</f>
        <v/>
      </c>
      <c r="M3224">
        <f>L3224*(1+(Inputs!$B$10+((C3238=TRUE)*(F3238-Calc!F25))+B3249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224">
        <f>L3224*(1-MIN((Inputs!$B$9+((C3232=TRUE)*(F3232-Calc!F19))+B3244+(ArtifactsInput!$M$24-ArtifactsInput!$M$24)*CHOOSE(ArtifactsInput!$N$24+1,10,12,14,16,18,20)+(IF(AND(Inputs!$B$38&lt;&gt;"pvp",Inputs!$B$43=0),1,IF(IF(Inputs!$B$38="pvp",15,Inputs!$B$43)-(B3251)&lt;=0,1,MAX(0,IF(Inputs!$B$38="pvp",15,Inputs!$B$43)-MAX(5,B3251))/(IF(Inputs!$B$38="pvp",15,Inputs!$B$43)-(B3251))))*IF(AND(ArtifactsInput!$M$42,((Inputs!$B$9+((C3232=TRUE)*(F3232-Calc!F19))+B3244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3224*(MIN((Inputs!$B$9+((C3232=TRUE)*(F3232-Calc!F19))+B3244+(ArtifactsInput!$M$24-ArtifactsInput!$M$24)*CHOOSE(ArtifactsInput!$N$24+1,10,12,14,16,18,20)+(IF(AND(Inputs!$B$38&lt;&gt;"pvp",Inputs!$B$43=0),1,IF(IF(Inputs!$B$38="pvp",15,Inputs!$B$43)-(B3251)&lt;=0,1,MAX(0,IF(Inputs!$B$38="pvp",15,Inputs!$B$43)-MAX(5,B3251))/(IF(Inputs!$B$38="pvp",15,Inputs!$B$43)-(B3251))))*IF(AND(ArtifactsInput!$M$42,((Inputs!$B$9+((C3232=TRUE)*(F3232-Calc!F19))+B3244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224">
        <f>(1-Summary!$B$11)*T3224+Summary!$B$11*V3224</f>
        <v/>
      </c>
      <c r="P3224">
        <f>IF(B3254=0,0,O3224/B3254)</f>
        <v/>
      </c>
      <c r="Q3224">
        <f>IFERROR(1/((IF(Inputs!$B$38="pvp",15,MAX(0.1,Skills!D11-IF(TRUE=TRUE,3.5,0)))*(1-IF(AND(ArtifactsInput!$M$27,Inputs!$B$4="Chapter Hunt"),CHOOSE(ArtifactsInput!$N$27+1,20,24,28,32,36,40),0)/100))/B3255),0)</f>
        <v/>
      </c>
      <c r="R3224">
        <f>IF(AND(Inputs!$B$38&lt;&gt;"pvp",Inputs!$B$43&gt;0),IF(MAX(0,Inputs!$B$43-B3251)&lt;=0,0,(INT(MAX(0,Inputs!$B$43-B3251)/((IF(Inputs!$B$38="pvp",15,MAX(0.1,Skills!D11-IF(TRUE=TRUE,3.5,0)))*(1-IF(AND(ArtifactsInput!$M$27,Inputs!$B$4="Chapter Hunt"),CHOOSE(ArtifactsInput!$N$27+1,20,24,28,32,36,40),0)/100))/B3255))+1)),0)</f>
        <v/>
      </c>
      <c r="S3224">
        <f>IFERROR(O3224/N3224,0)</f>
        <v/>
      </c>
      <c r="T3224">
        <f>IF(C3224,(H3224*N3224*IF(AND(Inputs!$B$38&lt;&gt;"pvp",Inputs!$B$43&gt;0),((Skills!G11*((R3224-1)*IF(Skills!H11&gt;0,INT(Skills!I11/Skills!H11+0.000000001),1)+IF(Skills!H11&gt;0,INT(MIN(Skills!I11,MAX(0,MAX(0,Inputs!$B$43-B3251)-((R3224-1)*((IF(Inputs!$B$38="pvp",15,MAX(0.1,Skills!D11-IF(TRUE=TRUE,3.5,0)))*(1-IF(AND(ArtifactsInput!$M$27,Inputs!$B$4="Chapter Hunt"),CHOOSE(ArtifactsInput!$N$27+1,20,24,28,32,36,40),0)/100))/B3255))))/Skills!H11+0.000000001),1)))/Inputs!$B$43),G3224*Q3224))*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Hunt"),CHOOSE(ArtifactsInput!$N$35+1,15,18,21,24,27,30)*(1-EXP(-(0.2*B3246)*5)),0)+IF(AND(ArtifactsInput!$M$22,Inputs!$B$4&lt;&gt;"Chapter Hunt"),CHOOSE(ArtifactsInput!$N$22+1,10,12,14,16,18,20)*((0*(((0.15*B3246*5))^0/1)+1*(((0.15*B3246*5))^1/1)+2*(((0.15*B3246*5))^2/2)+3*(((0.15*B3246*5))^3/6)+4*(((0.15*B3246*5))^4/24)+5*(((0.15*B3246*5))^5/120))/((((0.15*B3246*5))^0/1)+(((0.15*B3246*5))^1/1)+(((0.15*B3246*5))^2/2)+(((0.15*B3246*5))^3/6)+(((0.15*B3246*5))^4/24)+(((0.15*B3246*5))^5/120))),0))+IF(Inputs!$B$3&gt;=54,9*(C3216=TRUE)*MIN(1,8*(1+Inputs!$B$34/100)*Q3216)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3224*(1-MIN(100,(Inputs!$B$9+((C3232=TRUE)*(F3232-Calc!F19))+B3244+(ArtifactsInput!$M$24-ArtifactsInput!$M$24)*CHOOSE(ArtifactsInput!$N$24+1,10,12,14,16,18,20)+(IF(AND(Inputs!$B$38&lt;&gt;"pvp",Inputs!$B$43=0),1,IF(IF(Inputs!$B$38="pvp",15,Inputs!$B$43)-(B3251)&lt;=0,1,MAX(0,IF(Inputs!$B$38="pvp",15,Inputs!$B$43)-MAX(5,B3251))/(IF(Inputs!$B$38="pvp",15,Inputs!$B$43)-(B3251))))*IF(AND(ArtifactsInput!$M$42,((Inputs!$B$9+((C3232=TRUE)*(F3232-Calc!F19))+B3244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3224*(MIN(100,(Inputs!$B$9+((C3232=TRUE)*(F3232-Calc!F19))+B3244+(ArtifactsInput!$M$24-ArtifactsInput!$M$24)*CHOOSE(ArtifactsInput!$N$24+1,10,12,14,16,18,20)+(IF(AND(Inputs!$B$38&lt;&gt;"pvp",Inputs!$B$43=0),1,IF(IF(Inputs!$B$38="pvp",15,Inputs!$B$43)-(B3251)&lt;=0,1,MAX(0,IF(Inputs!$B$38="pvp",15,Inputs!$B$43)-MAX(5,B3251))/(IF(Inputs!$B$38="pvp",15,Inputs!$B$43)-(B3251))))*IF(AND(ArtifactsInput!$M$42,((Inputs!$B$9+((C3232=TRUE)*(F3232-Calc!F19))+B3244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3224*(1-MIN(100,(Inputs!$B$9+((C3232=TRUE)*(F3232-Calc!F19))+B3244+(ArtifactsInput!$M$24-ArtifactsInput!$M$24)*CHOOSE(ArtifactsInput!$N$24+1,10,12,14,16,18,20)+(IF(AND(Inputs!$B$38&lt;&gt;"pvp",Inputs!$B$43=0),1,IF(IF(Inputs!$B$38="pvp",15,Inputs!$B$43)-(B3251)&lt;=0,1,MAX(0,IF(Inputs!$B$38="pvp",15,Inputs!$B$43)-MAX(5,B3251))/(IF(Inputs!$B$38="pvp",15,Inputs!$B$43)-(B3251))))*IF(AND(ArtifactsInput!$M$42,((Inputs!$B$9+((C3232=TRUE)*(F3232-Calc!F19))+B3244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3224*(MIN(100,(Inputs!$B$9+((C3232=TRUE)*(F3232-Calc!F19))+B3244+(ArtifactsInput!$M$24-ArtifactsInput!$M$24)*CHOOSE(ArtifactsInput!$N$24+1,10,12,14,16,18,20)+(IF(AND(Inputs!$B$38&lt;&gt;"pvp",Inputs!$B$43=0),1,IF(IF(Inputs!$B$38="pvp",15,Inputs!$B$43)-(B3251)&lt;=0,1,MAX(0,IF(Inputs!$B$38="pvp",15,Inputs!$B$43)-MAX(5,B3251))/(IF(Inputs!$B$38="pvp",15,Inputs!$B$43)-(B3251))))*IF(AND(ArtifactsInput!$M$42,((Inputs!$B$9+((C3232=TRUE)*(F3232-Calc!F19))+B3244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224">
        <f>IF(C3224,(H3224*N3224*IF(AND(Inputs!$B$38&lt;&gt;"pvp",Inputs!$B$43&gt;0),((Skills!G11*((R3224-1)*IF(Skills!H11&gt;0,INT(Skills!I11/Skills!H11+0.000000001),1)+IF(Skills!H11&gt;0,INT(MIN(Skills!I11,MAX(0,MAX(0,Inputs!$B$43-B3251)-((R3224-1)*((IF(Inputs!$B$38="pvp",15,MAX(0.1,Skills!D11-IF(TRUE=TRUE,3.5,0)))*(1-IF(AND(ArtifactsInput!$M$27,Inputs!$B$4="Chapter Hunt"),CHOOSE(ArtifactsInput!$N$27+1,20,24,28,32,36,40),0)/100))/B3255))))/Skills!H11+0.000000001),1)))/Inputs!$B$43),G3224*Q3224))*IF(Inputs!$B$38="pvp",1,(1+(Inputs!$B$21+Skills!Q11+(IF(ArtifactsInput!$M$33,CHOOSE(ArtifactsInput!$N$33+1,30,36,42,48,54,60),0))+(IF(AND(ArtifactsInput!$M$35,Inputs!$B$4&lt;&gt;"Chapter Hunt"),CHOOSE(ArtifactsInput!$N$35+1,15,18,21,24,27,30)*(1-EXP(-(0.2*B3246)*5)),0)+IF(AND(ArtifactsInput!$M$22,Inputs!$B$4&lt;&gt;"Chapter Hunt"),CHOOSE(ArtifactsInput!$N$22+1,10,12,14,16,18,20)*((0*(((0.15*B3246*5))^0/1)+1*(((0.15*B3246*5))^1/1)+2*(((0.15*B3246*5))^2/2)+3*(((0.15*B3246*5))^3/6)+4*(((0.15*B3246*5))^4/24)+5*(((0.15*B3246*5))^5/120))/((((0.15*B3246*5))^0/1)+(((0.15*B3246*5))^1/1)+(((0.15*B3246*5))^2/2)+(((0.15*B3246*5))^3/6)+(((0.15*B3246*5))^4/24)+(((0.15*B3246*5))^5/120))),0))+IF(Inputs!$B$3&gt;=54,9*(C3216=TRUE)*MIN(1,8*(1+Inputs!$B$34/100)*Q3216),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225">
      <c r="A3225">
        <f>Skills!A12</f>
        <v/>
      </c>
      <c r="B3225">
        <f>Skills!B12</f>
        <v/>
      </c>
      <c r="C3225">
        <f>Inputs!$B$3&gt;=110</f>
        <v/>
      </c>
      <c r="D3225">
        <f>IF(Skills!C12=1,60+Inputs!$B$25+Inputs!$B$29,IF(Skills!C12=2,90+Inputs!$B$26+Inputs!$B$29,IF(Skills!C12=3,120+Inputs!$B$27+Inputs!$B$29,MAX(0,(Inputs!$B$3-100)*3)+Inputs!$B$28+Inputs!$B$29)))</f>
        <v/>
      </c>
      <c r="E3225">
        <f>INDEX(FactorTable!$B$2:$Y$301, MATCH(ROUND(MIN(300,MAX(1,D3225)),0), FactorTable!$A$2:$A$301,0), Skills!M12+1)</f>
        <v/>
      </c>
      <c r="F3225">
        <f>IF(Skills!N12=TRUE,(Skills!L12/10)*(E3225/1000),Skills!L12/10)+Skills!O12</f>
        <v/>
      </c>
      <c r="G3225">
        <f>Skills!G12*IF(Skills!H12&gt;0,INT(IF(Inputs!$B$38="pvp",MIN(Skills!I12,15),Skills!I12)/Skills!H12+0.000000001),1)</f>
        <v/>
      </c>
      <c r="H3225">
        <f>1-(1-Skills!J12/100)^Skills!K12</f>
        <v/>
      </c>
      <c r="I3225" t="inlineStr">
        <is>
          <t>1</t>
        </is>
      </c>
      <c r="J3225">
        <f>((Inputs!$B$6*(1+Inputs!$B$7/100))+(((Inputs!$B$12*(1+Inputs!$B$13/100))-(Inputs!$B$12*(1+Inputs!$B$13/100)))+0.25*(Inputs!$B$14-Inputs!$B$14))*(1+Inputs!$B$7/100))*(F3225/100)</f>
        <v/>
      </c>
      <c r="K3225">
        <f>J3225*(1+((Inputs!$B$12*(1+Inputs!$B$13/100))*0.01+Inputs!$B$14*0.0025)/100)*(1+Inputs!$B$15/100)*(1+Inputs!$B$16/100)*(5000/(6000+Inputs!$B$42*(1-(100*(1-(1-(Inputs!$B$19+0)/100)*(1-CHOOSE(ArtifactsInput!$N$40+1,5,6,7,8,9,10)/100)^(ArtifactsInput!$M$40-ArtifactsInput!$M$40)))/100)))*(1+(Inputs!$B$24+((C3239=TRUE)*(F3239-Calc!F26))+B3250)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EIGHT_LEGS_EASTON",Inputs!$B$17+((C3236=TRUE)*(F3236-Calc!F23))+((C3240=TRUE)*(F3240-Calc!F27))+((IF(AND(Inputs!$B$38&lt;&gt;"pvp",Inputs!$B$43=0),1,IF(IF(Inputs!$B$38="pvp",15,Inputs!$B$43)-(B3251)&lt;=0,1,MAX(0,IF(Inputs!$B$38="pvp",15,Inputs!$B$43)-MAX(5,B3251))/(IF(Inputs!$B$38="pvp",15,Inputs!$B$43)-(B3251))))*(IF(AND(ArtifactsInput!$M$42,((Inputs!$B$9+((C3232=TRUE)*(F3232-Calc!F19))+B3244+(ArtifactsInput!$M$24-ArtifactsInput!$M$24)*CHOOSE(ArtifactsInput!$N$24+1,10,12,14,16,18,20)+IF(ArtifactsInput!$M$10,CHOOSE(ArtifactsInput!$N$10+1,15,18,21,24,27,30)*(IF(Inputs!$B$38="pvp",MIN(15,15)/15,IF(AND(Inputs!$B$38&lt;&gt;"pvp",Inputs!$B$43&gt;0),MIN(15,Inputs!$B$43)/(Inputs!$B$43),0))),0)))&gt;=100),MIN(100,((Inputs!$B$9+((C3232=TRUE)*(F3232-Calc!F19))+B3244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3251)&lt;=0,1,MAX(0,IF(Inputs!$B$38="pvp",15,Inputs!$B$43)-MAX(5,B3251))/(IF(Inputs!$B$38="pvp",15,Inputs!$B$43)-(B3251))))*IF(AND(ArtifactsInput!$M$42,((Inputs!$B$9+((C3232=TRUE)*(F3232-Calc!F19))+B3244+(ArtifactsInput!$M$24-ArtifactsInput!$M$24)*CHOOSE(ArtifactsInput!$N$24+1,10,12,14,16,18,20)+IF(ArtifactsInput!$M$10,CHOOSE(ArtifactsInput!$N$10+1,15,18,21,24,27,30)*(IF(Inputs!$B$38="pvp",MIN(15,15)/15,IF(AND(Inputs!$B$38&lt;&gt;"pvp",Inputs!$B$43&gt;0),MIN(15,Inputs!$B$43)/(Inputs!$B$43),0))),0)))&gt;=100),CHOOSE(ArtifactsInput!$N$42+1,40,48,56,64,72,80),0))))/100)*((1+(((C3230=TRUE)*F3230*5/7)+((C3237=TRUE)*(F3237-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3225)</f>
        <v/>
      </c>
      <c r="L3225">
        <f>K3225*(MIN(Inputs!$B$22+((C3235=TRUE)*(F3235-Calc!F22)),(Inputs!$B$23+0+(IF(ArtifactsInput!$M$15,CHOOSE(ArtifactsInput!$N$15+1,25,30,35,40,45,50)/100*(Inputs!$B$11-Inputs!$B$11),0))))/100+(Inputs!$B$23+0+(IF(ArtifactsInput!$M$15,CHOOSE(ArtifactsInput!$N$15+1,25,30,35,40,45,50)/100*(Inputs!$B$11-Inputs!$B$11),0)))/100)/2</f>
        <v/>
      </c>
      <c r="M3225">
        <f>L3225*(1+(Inputs!$B$10+((C3238=TRUE)*(F3238-Calc!F25))+B3249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225">
        <f>L3225*(1-MIN((Inputs!$B$9+((C3232=TRUE)*(F3232-Calc!F19))+B3244+(ArtifactsInput!$M$24-ArtifactsInput!$M$24)*CHOOSE(ArtifactsInput!$N$24+1,10,12,14,16,18,20)+(IF(AND(Inputs!$B$38&lt;&gt;"pvp",Inputs!$B$43=0),1,IF(IF(Inputs!$B$38="pvp",15,Inputs!$B$43)-(B3251)&lt;=0,1,MAX(0,IF(Inputs!$B$38="pvp",15,Inputs!$B$43)-MAX(5,B3251))/(IF(Inputs!$B$38="pvp",15,Inputs!$B$43)-(B3251))))*IF(AND(ArtifactsInput!$M$42,((Inputs!$B$9+((C3232=TRUE)*(F3232-Calc!F19))+B3244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3225*(MIN((Inputs!$B$9+((C3232=TRUE)*(F3232-Calc!F19))+B3244+(ArtifactsInput!$M$24-ArtifactsInput!$M$24)*CHOOSE(ArtifactsInput!$N$24+1,10,12,14,16,18,20)+(IF(AND(Inputs!$B$38&lt;&gt;"pvp",Inputs!$B$43=0),1,IF(IF(Inputs!$B$38="pvp",15,Inputs!$B$43)-(B3251)&lt;=0,1,MAX(0,IF(Inputs!$B$38="pvp",15,Inputs!$B$43)-MAX(5,B3251))/(IF(Inputs!$B$38="pvp",15,Inputs!$B$43)-(B3251))))*IF(AND(ArtifactsInput!$M$42,((Inputs!$B$9+((C3232=TRUE)*(F3232-Calc!F19))+B3244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225">
        <f>(1-Summary!$B$11)*T3225+Summary!$B$11*V3225</f>
        <v/>
      </c>
      <c r="P3225">
        <f>IF(B3254=0,0,O3225/B3254)</f>
        <v/>
      </c>
      <c r="Q3225">
        <f>IFERROR(1/(IF(Inputs!$B$38="pvp",15,MAX(0.1,Skills!D12-IF(TRUE=TRUE,3.5,0)))*(1-IF(AND(ArtifactsInput!$M$27,Inputs!$B$4="Chapter Hunt"),CHOOSE(ArtifactsInput!$N$27+1,20,24,28,32,36,40),0)/100)),0)</f>
        <v/>
      </c>
      <c r="R3225">
        <f>IF(AND(Inputs!$B$38&lt;&gt;"pvp",Inputs!$B$43&gt;0),IF(MAX(0,Inputs!$B$43-B3251)&lt;=0,0,(INT(MAX(0,Inputs!$B$43-B3251)/(IF(Inputs!$B$38="pvp",15,MAX(0.1,Skills!D12-IF(TRUE=TRUE,3.5,0)))*(1-IF(AND(ArtifactsInput!$M$27,Inputs!$B$4="Chapter Hunt"),CHOOSE(ArtifactsInput!$N$27+1,20,24,28,32,36,40),0)/100)))+1)),0)</f>
        <v/>
      </c>
      <c r="S3225">
        <f>IFERROR(O3225/N3225,0)</f>
        <v/>
      </c>
      <c r="T3225">
        <f>IF(C3225,(H3225*N3225*IF(AND(Inputs!$B$38&lt;&gt;"pvp",Inputs!$B$43&gt;0),((Skills!G12*((R3225-1)*IF(Skills!H12&gt;0,INT(Skills!I12/Skills!H12+0.000000001),1)+IF(Skills!H12&gt;0,INT(MIN(Skills!I12,MAX(0,MAX(0,Inputs!$B$43-B3251)-((R3225-1)*(IF(Inputs!$B$38="pvp",15,MAX(0.1,Skills!D12-IF(TRUE=TRUE,3.5,0)))*(1-IF(AND(ArtifactsInput!$M$27,Inputs!$B$4="Chapter Hunt"),CHOOSE(ArtifactsInput!$N$27+1,20,24,28,32,36,40),0)/100)))))/Skills!H12+0.000000001),1)))/Inputs!$B$43),G3225*Q3225))*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Hunt"),CHOOSE(ArtifactsInput!$N$35+1,15,18,21,24,27,30)*(1-EXP(-(0.2*B3246)*5)),0)+IF(AND(ArtifactsInput!$M$22,Inputs!$B$4&lt;&gt;"Chapter Hunt"),CHOOSE(ArtifactsInput!$N$22+1,10,12,14,16,18,20)*((0*(((0.15*B3246*5))^0/1)+1*(((0.15*B3246*5))^1/1)+2*(((0.15*B3246*5))^2/2)+3*(((0.15*B3246*5))^3/6)+4*(((0.15*B3246*5))^4/24)+5*(((0.15*B3246*5))^5/120))/((((0.15*B3246*5))^0/1)+(((0.15*B3246*5))^1/1)+(((0.15*B3246*5))^2/2)+(((0.15*B3246*5))^3/6)+(((0.15*B3246*5))^4/24)+(((0.15*B3246*5))^5/120))),0))+IF(Inputs!$B$3&gt;=54,9*(C3216=TRUE)*MIN(1,8*(1+Inputs!$B$34/100)*Q3216)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3225*(1-MIN(100,(Inputs!$B$9+((C3232=TRUE)*(F3232-Calc!F19))+B3244+(ArtifactsInput!$M$24-ArtifactsInput!$M$24)*CHOOSE(ArtifactsInput!$N$24+1,10,12,14,16,18,20)+(IF(AND(Inputs!$B$38&lt;&gt;"pvp",Inputs!$B$43=0),1,IF(IF(Inputs!$B$38="pvp",15,Inputs!$B$43)-(B3251)&lt;=0,1,MAX(0,IF(Inputs!$B$38="pvp",15,Inputs!$B$43)-MAX(5,B3251))/(IF(Inputs!$B$38="pvp",15,Inputs!$B$43)-(B3251))))*IF(AND(ArtifactsInput!$M$42,((Inputs!$B$9+((C3232=TRUE)*(F3232-Calc!F19))+B3244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3225*(MIN(100,(Inputs!$B$9+((C3232=TRUE)*(F3232-Calc!F19))+B3244+(ArtifactsInput!$M$24-ArtifactsInput!$M$24)*CHOOSE(ArtifactsInput!$N$24+1,10,12,14,16,18,20)+(IF(AND(Inputs!$B$38&lt;&gt;"pvp",Inputs!$B$43=0),1,IF(IF(Inputs!$B$38="pvp",15,Inputs!$B$43)-(B3251)&lt;=0,1,MAX(0,IF(Inputs!$B$38="pvp",15,Inputs!$B$43)-MAX(5,B3251))/(IF(Inputs!$B$38="pvp",15,Inputs!$B$43)-(B3251))))*IF(AND(ArtifactsInput!$M$42,((Inputs!$B$9+((C3232=TRUE)*(F3232-Calc!F19))+B3244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3225*(1-MIN(100,(Inputs!$B$9+((C3232=TRUE)*(F3232-Calc!F19))+B3244+(ArtifactsInput!$M$24-ArtifactsInput!$M$24)*CHOOSE(ArtifactsInput!$N$24+1,10,12,14,16,18,20)+(IF(AND(Inputs!$B$38&lt;&gt;"pvp",Inputs!$B$43=0),1,IF(IF(Inputs!$B$38="pvp",15,Inputs!$B$43)-(B3251)&lt;=0,1,MAX(0,IF(Inputs!$B$38="pvp",15,Inputs!$B$43)-MAX(5,B3251))/(IF(Inputs!$B$38="pvp",15,Inputs!$B$43)-(B3251))))*IF(AND(ArtifactsInput!$M$42,((Inputs!$B$9+((C3232=TRUE)*(F3232-Calc!F19))+B3244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3225*(MIN(100,(Inputs!$B$9+((C3232=TRUE)*(F3232-Calc!F19))+B3244+(ArtifactsInput!$M$24-ArtifactsInput!$M$24)*CHOOSE(ArtifactsInput!$N$24+1,10,12,14,16,18,20)+(IF(AND(Inputs!$B$38&lt;&gt;"pvp",Inputs!$B$43=0),1,IF(IF(Inputs!$B$38="pvp",15,Inputs!$B$43)-(B3251)&lt;=0,1,MAX(0,IF(Inputs!$B$38="pvp",15,Inputs!$B$43)-MAX(5,B3251))/(IF(Inputs!$B$38="pvp",15,Inputs!$B$43)-(B3251))))*IF(AND(ArtifactsInput!$M$42,((Inputs!$B$9+((C3232=TRUE)*(F3232-Calc!F19))+B3244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225">
        <f>IF(C3225,(H3225*N3225*IF(AND(Inputs!$B$38&lt;&gt;"pvp",Inputs!$B$43&gt;0),((Skills!G12*((R3225-1)*IF(Skills!H12&gt;0,INT(Skills!I12/Skills!H12+0.000000001),1)+IF(Skills!H12&gt;0,INT(MIN(Skills!I12,MAX(0,MAX(0,Inputs!$B$43-B3251)-((R3225-1)*(IF(Inputs!$B$38="pvp",15,MAX(0.1,Skills!D12-IF(TRUE=TRUE,3.5,0)))*(1-IF(AND(ArtifactsInput!$M$27,Inputs!$B$4="Chapter Hunt"),CHOOSE(ArtifactsInput!$N$27+1,20,24,28,32,36,40),0)/100)))))/Skills!H12+0.000000001),1)))/Inputs!$B$43),G3225*Q3225))*IF(Inputs!$B$38="pvp",1,(1+(Inputs!$B$21+Skills!Q12+(IF(ArtifactsInput!$M$33,CHOOSE(ArtifactsInput!$N$33+1,30,36,42,48,54,60),0))+(IF(AND(ArtifactsInput!$M$35,Inputs!$B$4&lt;&gt;"Chapter Hunt"),CHOOSE(ArtifactsInput!$N$35+1,15,18,21,24,27,30)*(1-EXP(-(0.2*B3246)*5)),0)+IF(AND(ArtifactsInput!$M$22,Inputs!$B$4&lt;&gt;"Chapter Hunt"),CHOOSE(ArtifactsInput!$N$22+1,10,12,14,16,18,20)*((0*(((0.15*B3246*5))^0/1)+1*(((0.15*B3246*5))^1/1)+2*(((0.15*B3246*5))^2/2)+3*(((0.15*B3246*5))^3/6)+4*(((0.15*B3246*5))^4/24)+5*(((0.15*B3246*5))^5/120))/((((0.15*B3246*5))^0/1)+(((0.15*B3246*5))^1/1)+(((0.15*B3246*5))^2/2)+(((0.15*B3246*5))^3/6)+(((0.15*B3246*5))^4/24)+(((0.15*B3246*5))^5/120))),0))+IF(Inputs!$B$3&gt;=54,9*(C3216=TRUE)*MIN(1,8*(1+Inputs!$B$34/100)*Q3216),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226">
      <c r="A3226">
        <f>Skills!A13</f>
        <v/>
      </c>
      <c r="B3226">
        <f>Skills!B13</f>
        <v/>
      </c>
      <c r="C3226">
        <f>Inputs!$B$3&gt;=110</f>
        <v/>
      </c>
      <c r="D3226">
        <f>IF(Skills!C13=1,60+Inputs!$B$25+Inputs!$B$29,IF(Skills!C13=2,90+Inputs!$B$26+Inputs!$B$29,IF(Skills!C13=3,120+Inputs!$B$27+Inputs!$B$29,MAX(0,(Inputs!$B$3-100)*3)+Inputs!$B$28+Inputs!$B$29)))</f>
        <v/>
      </c>
      <c r="E3226">
        <f>INDEX(FactorTable!$B$2:$Y$301, MATCH(ROUND(MIN(300,MAX(1,D3226)),0), FactorTable!$A$2:$A$301,0), Skills!M13+1)</f>
        <v/>
      </c>
      <c r="F3226">
        <f>IF(Skills!N13=TRUE,(Skills!L13/10)*(E3226/1000),Skills!L13/10)+Skills!O13</f>
        <v/>
      </c>
      <c r="G3226">
        <f>Skills!G13*IF(Skills!H13&gt;0,INT(IF(Inputs!$B$38="pvp",MIN(Skills!I13,15),Skills!I13)/Skills!H13+0.000000001),1)</f>
        <v/>
      </c>
      <c r="H3226">
        <f>1-(1-Skills!J13/100)^Skills!K13</f>
        <v/>
      </c>
      <c r="I3226" t="inlineStr">
        <is>
          <t>1</t>
        </is>
      </c>
      <c r="J3226">
        <f>((Inputs!$B$6*(1+Inputs!$B$7/100))+(((Inputs!$B$12*(1+Inputs!$B$13/100))-(Inputs!$B$12*(1+Inputs!$B$13/100)))+0.25*(Inputs!$B$14-Inputs!$B$14))*(1+Inputs!$B$7/100))*(F3226/100)</f>
        <v/>
      </c>
      <c r="K3226">
        <f>J3226*(1+((Inputs!$B$12*(1+Inputs!$B$13/100))*0.01+Inputs!$B$14*0.0025)/100)*(1+Inputs!$B$15/100)*(1+Inputs!$B$16/100)*(5000/(6000+Inputs!$B$42*(1-(100*(1-(1-(Inputs!$B$19+0)/100)*(1-CHOOSE(ArtifactsInput!$N$40+1,5,6,7,8,9,10)/100)^(ArtifactsInput!$M$40-ArtifactsInput!$M$40)))/100)))*(1+(Inputs!$B$24+((C3239=TRUE)*(F3239-Calc!F26))+B3250)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EIGHT_LEGS_EASTON",Inputs!$B$17+((C3236=TRUE)*(F3236-Calc!F23))+((C3240=TRUE)*(F3240-Calc!F27))+((IF(AND(Inputs!$B$38&lt;&gt;"pvp",Inputs!$B$43=0),1,IF(IF(Inputs!$B$38="pvp",15,Inputs!$B$43)-(B3251)&lt;=0,1,MAX(0,IF(Inputs!$B$38="pvp",15,Inputs!$B$43)-MAX(5,B3251))/(IF(Inputs!$B$38="pvp",15,Inputs!$B$43)-(B3251))))*(IF(AND(ArtifactsInput!$M$42,((Inputs!$B$9+((C3232=TRUE)*(F3232-Calc!F19))+B3244+(ArtifactsInput!$M$24-ArtifactsInput!$M$24)*CHOOSE(ArtifactsInput!$N$24+1,10,12,14,16,18,20)+IF(ArtifactsInput!$M$10,CHOOSE(ArtifactsInput!$N$10+1,15,18,21,24,27,30)*(IF(Inputs!$B$38="pvp",MIN(15,15)/15,IF(AND(Inputs!$B$38&lt;&gt;"pvp",Inputs!$B$43&gt;0),MIN(15,Inputs!$B$43)/(Inputs!$B$43),0))),0)))&gt;=100),MIN(100,((Inputs!$B$9+((C3232=TRUE)*(F3232-Calc!F19))+B3244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3251)&lt;=0,1,MAX(0,IF(Inputs!$B$38="pvp",15,Inputs!$B$43)-MAX(5,B3251))/(IF(Inputs!$B$38="pvp",15,Inputs!$B$43)-(B3251))))*IF(AND(ArtifactsInput!$M$42,((Inputs!$B$9+((C3232=TRUE)*(F3232-Calc!F19))+B3244+(ArtifactsInput!$M$24-ArtifactsInput!$M$24)*CHOOSE(ArtifactsInput!$N$24+1,10,12,14,16,18,20)+IF(ArtifactsInput!$M$10,CHOOSE(ArtifactsInput!$N$10+1,15,18,21,24,27,30)*(IF(Inputs!$B$38="pvp",MIN(15,15)/15,IF(AND(Inputs!$B$38&lt;&gt;"pvp",Inputs!$B$43&gt;0),MIN(15,Inputs!$B$43)/(Inputs!$B$43),0))),0)))&gt;=100),CHOOSE(ArtifactsInput!$N$42+1,40,48,56,64,72,80),0))))/100)*((1+(((C3230=TRUE)*F3230*5/7)+((C3237=TRUE)*(F3237-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3226)</f>
        <v/>
      </c>
      <c r="L3226">
        <f>K3226*(MIN(Inputs!$B$22+((C3235=TRUE)*(F3235-Calc!F22)),(Inputs!$B$23+0+(IF(ArtifactsInput!$M$15,CHOOSE(ArtifactsInput!$N$15+1,25,30,35,40,45,50)/100*(Inputs!$B$11-Inputs!$B$11),0))))/100+(Inputs!$B$23+0+(IF(ArtifactsInput!$M$15,CHOOSE(ArtifactsInput!$N$15+1,25,30,35,40,45,50)/100*(Inputs!$B$11-Inputs!$B$11),0)))/100)/2</f>
        <v/>
      </c>
      <c r="M3226">
        <f>L3226*(1+(Inputs!$B$10+((C3238=TRUE)*(F3238-Calc!F25))+B3249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226">
        <f>L3226*(1-MIN((Inputs!$B$9+((C3232=TRUE)*(F3232-Calc!F19))+B3244+(ArtifactsInput!$M$24-ArtifactsInput!$M$24)*CHOOSE(ArtifactsInput!$N$24+1,10,12,14,16,18,20)+(IF(AND(Inputs!$B$38&lt;&gt;"pvp",Inputs!$B$43=0),1,IF(IF(Inputs!$B$38="pvp",15,Inputs!$B$43)-(B3251)&lt;=0,1,MAX(0,IF(Inputs!$B$38="pvp",15,Inputs!$B$43)-MAX(5,B3251))/(IF(Inputs!$B$38="pvp",15,Inputs!$B$43)-(B3251))))*IF(AND(ArtifactsInput!$M$42,((Inputs!$B$9+((C3232=TRUE)*(F3232-Calc!F19))+B3244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3226*(MIN((Inputs!$B$9+((C3232=TRUE)*(F3232-Calc!F19))+B3244+(ArtifactsInput!$M$24-ArtifactsInput!$M$24)*CHOOSE(ArtifactsInput!$N$24+1,10,12,14,16,18,20)+(IF(AND(Inputs!$B$38&lt;&gt;"pvp",Inputs!$B$43=0),1,IF(IF(Inputs!$B$38="pvp",15,Inputs!$B$43)-(B3251)&lt;=0,1,MAX(0,IF(Inputs!$B$38="pvp",15,Inputs!$B$43)-MAX(5,B3251))/(IF(Inputs!$B$38="pvp",15,Inputs!$B$43)-(B3251))))*IF(AND(ArtifactsInput!$M$42,((Inputs!$B$9+((C3232=TRUE)*(F3232-Calc!F19))+B3244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226">
        <f>(1-Summary!$B$11)*T3226+Summary!$B$11*V3226</f>
        <v/>
      </c>
      <c r="P3226">
        <f>IF(B3254=0,0,O3226/B3254)</f>
        <v/>
      </c>
      <c r="Q3226">
        <f>IFERROR(1/(IF(Inputs!$B$38="pvp",15,MAX(0.1,Skills!D13-IF(TRUE=TRUE,3.5,0)))*(1-IF(AND(ArtifactsInput!$M$27,Inputs!$B$4="Chapter Hunt"),CHOOSE(ArtifactsInput!$N$27+1,20,24,28,32,36,40),0)/100)),0)</f>
        <v/>
      </c>
      <c r="R3226">
        <f>IF(AND(Inputs!$B$38&lt;&gt;"pvp",Inputs!$B$43&gt;0),IF(MAX(0,Inputs!$B$43-B3251)&lt;=0,0,(INT(MAX(0,Inputs!$B$43-B3251)/(IF(Inputs!$B$38="pvp",15,MAX(0.1,Skills!D13-IF(TRUE=TRUE,3.5,0)))*(1-IF(AND(ArtifactsInput!$M$27,Inputs!$B$4="Chapter Hunt"),CHOOSE(ArtifactsInput!$N$27+1,20,24,28,32,36,40),0)/100)))+1)),0)</f>
        <v/>
      </c>
      <c r="S3226">
        <f>IFERROR(O3226/N3226,0)</f>
        <v/>
      </c>
      <c r="T3226">
        <f>IF(C3226,(H3226*N3226*IF(AND(Inputs!$B$38&lt;&gt;"pvp",Inputs!$B$43&gt;0),((Skills!G13*((R3226-1)*IF(Skills!H13&gt;0,INT(Skills!I13/Skills!H13+0.000000001),1)+IF(Skills!H13&gt;0,INT(MIN(Skills!I13,MAX(0,MAX(0,Inputs!$B$43-B3251)-((R3226-1)*(IF(Inputs!$B$38="pvp",15,MAX(0.1,Skills!D13-IF(TRUE=TRUE,3.5,0)))*(1-IF(AND(ArtifactsInput!$M$27,Inputs!$B$4="Chapter Hunt"),CHOOSE(ArtifactsInput!$N$27+1,20,24,28,32,36,40),0)/100)))))/Skills!H13+0.000000001),1)))/Inputs!$B$43),G3226*Q3226))*IF(Inputs!$B$38="pvp",1,1+(Inputs!$B$20+0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Hunt"),CHOOSE(ArtifactsInput!$N$35+1,15,18,21,24,27,30)*(1-EXP(-(0.2*B3246)*5)),0)+IF(AND(ArtifactsInput!$M$22,Inputs!$B$4&lt;&gt;"Chapter Hunt"),CHOOSE(ArtifactsInput!$N$22+1,10,12,14,16,18,20)*((0*(((0.15*B3246*5))^0/1)+1*(((0.15*B3246*5))^1/1)+2*(((0.15*B3246*5))^2/2)+3*(((0.15*B3246*5))^3/6)+4*(((0.15*B3246*5))^4/24)+5*(((0.15*B3246*5))^5/120))/((((0.15*B3246*5))^0/1)+(((0.15*B3246*5))^1/1)+(((0.15*B3246*5))^2/2)+(((0.15*B3246*5))^3/6)+(((0.15*B3246*5))^4/24)+(((0.15*B3246*5))^5/120))),0))+IF(Inputs!$B$3&gt;=54,9*(C3216=TRUE)*MIN(1,8*(1+Inputs!$B$34/100)*Q3216)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3226*(1-MIN(100,(Inputs!$B$9+((C3232=TRUE)*(F3232-Calc!F19))+B3244+(ArtifactsInput!$M$24-ArtifactsInput!$M$24)*CHOOSE(ArtifactsInput!$N$24+1,10,12,14,16,18,20)+(IF(AND(Inputs!$B$38&lt;&gt;"pvp",Inputs!$B$43=0),1,IF(IF(Inputs!$B$38="pvp",15,Inputs!$B$43)-(B3251)&lt;=0,1,MAX(0,IF(Inputs!$B$38="pvp",15,Inputs!$B$43)-MAX(5,B3251))/(IF(Inputs!$B$38="pvp",15,Inputs!$B$43)-(B3251))))*IF(AND(ArtifactsInput!$M$42,((Inputs!$B$9+((C3232=TRUE)*(F3232-Calc!F19))+B3244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3226*(MIN(100,(Inputs!$B$9+((C3232=TRUE)*(F3232-Calc!F19))+B3244+(ArtifactsInput!$M$24-ArtifactsInput!$M$24)*CHOOSE(ArtifactsInput!$N$24+1,10,12,14,16,18,20)+(IF(AND(Inputs!$B$38&lt;&gt;"pvp",Inputs!$B$43=0),1,IF(IF(Inputs!$B$38="pvp",15,Inputs!$B$43)-(B3251)&lt;=0,1,MAX(0,IF(Inputs!$B$38="pvp",15,Inputs!$B$43)-MAX(5,B3251))/(IF(Inputs!$B$38="pvp",15,Inputs!$B$43)-(B3251))))*IF(AND(ArtifactsInput!$M$42,((Inputs!$B$9+((C3232=TRUE)*(F3232-Calc!F19))+B3244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3226*(1-MIN(100,(Inputs!$B$9+((C3232=TRUE)*(F3232-Calc!F19))+B3244+(ArtifactsInput!$M$24-ArtifactsInput!$M$24)*CHOOSE(ArtifactsInput!$N$24+1,10,12,14,16,18,20)+(IF(AND(Inputs!$B$38&lt;&gt;"pvp",Inputs!$B$43=0),1,IF(IF(Inputs!$B$38="pvp",15,Inputs!$B$43)-(B3251)&lt;=0,1,MAX(0,IF(Inputs!$B$38="pvp",15,Inputs!$B$43)-MAX(5,B3251))/(IF(Inputs!$B$38="pvp",15,Inputs!$B$43)-(B3251))))*IF(AND(ArtifactsInput!$M$42,((Inputs!$B$9+((C3232=TRUE)*(F3232-Calc!F19))+B3244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3226*(MIN(100,(Inputs!$B$9+((C3232=TRUE)*(F3232-Calc!F19))+B3244+(ArtifactsInput!$M$24-ArtifactsInput!$M$24)*CHOOSE(ArtifactsInput!$N$24+1,10,12,14,16,18,20)+(IF(AND(Inputs!$B$38&lt;&gt;"pvp",Inputs!$B$43=0),1,IF(IF(Inputs!$B$38="pvp",15,Inputs!$B$43)-(B3251)&lt;=0,1,MAX(0,IF(Inputs!$B$38="pvp",15,Inputs!$B$43)-MAX(5,B3251))/(IF(Inputs!$B$38="pvp",15,Inputs!$B$43)-(B3251))))*IF(AND(ArtifactsInput!$M$42,((Inputs!$B$9+((C3232=TRUE)*(F3232-Calc!F19))+B3244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226">
        <f>IF(C3226,(H3226*N3226*IF(AND(Inputs!$B$38&lt;&gt;"pvp",Inputs!$B$43&gt;0),((Skills!G13*((R3226-1)*IF(Skills!H13&gt;0,INT(Skills!I13/Skills!H13+0.000000001),1)+IF(Skills!H13&gt;0,INT(MIN(Skills!I13,MAX(0,MAX(0,Inputs!$B$43-B3251)-((R3226-1)*(IF(Inputs!$B$38="pvp",15,MAX(0.1,Skills!D13-IF(TRUE=TRUE,3.5,0)))*(1-IF(AND(ArtifactsInput!$M$27,Inputs!$B$4="Chapter Hunt"),CHOOSE(ArtifactsInput!$N$27+1,20,24,28,32,36,40),0)/100)))))/Skills!H13+0.000000001),1)))/Inputs!$B$43),G3226*Q3226))*IF(Inputs!$B$38="pvp",1,(1+(Inputs!$B$21+Skills!Q13+(IF(ArtifactsInput!$M$33,CHOOSE(ArtifactsInput!$N$33+1,30,36,42,48,54,60),0))+(IF(AND(ArtifactsInput!$M$35,Inputs!$B$4&lt;&gt;"Chapter Hunt"),CHOOSE(ArtifactsInput!$N$35+1,15,18,21,24,27,30)*(1-EXP(-(0.2*B3246)*5)),0)+IF(AND(ArtifactsInput!$M$22,Inputs!$B$4&lt;&gt;"Chapter Hunt"),CHOOSE(ArtifactsInput!$N$22+1,10,12,14,16,18,20)*((0*(((0.15*B3246*5))^0/1)+1*(((0.15*B3246*5))^1/1)+2*(((0.15*B3246*5))^2/2)+3*(((0.15*B3246*5))^3/6)+4*(((0.15*B3246*5))^4/24)+5*(((0.15*B3246*5))^5/120))/((((0.15*B3246*5))^0/1)+(((0.15*B3246*5))^1/1)+(((0.15*B3246*5))^2/2)+(((0.15*B3246*5))^3/6)+(((0.15*B3246*5))^4/24)+(((0.15*B3246*5))^5/120))),0))+IF(Inputs!$B$3&gt;=54,9*(C3216=TRUE)*MIN(1,8*(1+Inputs!$B$34/100)*Q3216),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227">
      <c r="A3227">
        <f>Skills!A14</f>
        <v/>
      </c>
      <c r="B3227">
        <f>Skills!B14</f>
        <v/>
      </c>
      <c r="C3227">
        <f>Inputs!$B$3&gt;=120</f>
        <v/>
      </c>
      <c r="D3227">
        <f>IF(Skills!C14=1,60+Inputs!$B$25+Inputs!$B$29,IF(Skills!C14=2,90+Inputs!$B$26+Inputs!$B$29,IF(Skills!C14=3,120+Inputs!$B$27+Inputs!$B$29,MAX(0,(Inputs!$B$3-100)*3)+Inputs!$B$28+Inputs!$B$29)))</f>
        <v/>
      </c>
      <c r="E3227">
        <f>INDEX(FactorTable!$B$2:$Y$301, MATCH(ROUND(MIN(300,MAX(1,D3227)),0), FactorTable!$A$2:$A$301,0), Skills!M14+1)</f>
        <v/>
      </c>
      <c r="F3227">
        <f>IF(Skills!N14=TRUE,(Skills!L14/10)*(E3227/1000),Skills!L14/10)+Skills!O14</f>
        <v/>
      </c>
      <c r="G3227">
        <f>Skills!G14*IF(Skills!H14&gt;0,INT(IF(Inputs!$B$38="pvp",MIN(Skills!I14,15),Skills!I14)/Skills!H14+0.000000001),1)</f>
        <v/>
      </c>
      <c r="H3227">
        <f>1-(1-Skills!J14/100)^Skills!K14</f>
        <v/>
      </c>
      <c r="I3227" t="inlineStr">
        <is>
          <t>1</t>
        </is>
      </c>
      <c r="J3227">
        <f>((Inputs!$B$6*(1+Inputs!$B$7/100))+(((Inputs!$B$12*(1+Inputs!$B$13/100))-(Inputs!$B$12*(1+Inputs!$B$13/100)))+0.25*(Inputs!$B$14-Inputs!$B$14))*(1+Inputs!$B$7/100))*(F3227/100)</f>
        <v/>
      </c>
      <c r="K3227">
        <f>J3227*(1+((Inputs!$B$12*(1+Inputs!$B$13/100))*0.01+Inputs!$B$14*0.0025)/100)*(1+Inputs!$B$15/100)*(1+Inputs!$B$16/100)*(5000/(6000+Inputs!$B$42*(1-(100*(1-(1-(Inputs!$B$19+0)/100)*(1-CHOOSE(ArtifactsInput!$N$40+1,5,6,7,8,9,10)/100)^(ArtifactsInput!$M$40-ArtifactsInput!$M$40)))/100)))*(1+(Inputs!$B$24+((C3239=TRUE)*(F3239-Calc!F26))+B3250)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EIGHT_LEGS_EASTON",Inputs!$B$17+((C3236=TRUE)*(F3236-Calc!F23))+((C3240=TRUE)*(F3240-Calc!F27))+((IF(AND(Inputs!$B$38&lt;&gt;"pvp",Inputs!$B$43=0),1,IF(IF(Inputs!$B$38="pvp",15,Inputs!$B$43)-(B3251)&lt;=0,1,MAX(0,IF(Inputs!$B$38="pvp",15,Inputs!$B$43)-MAX(5,B3251))/(IF(Inputs!$B$38="pvp",15,Inputs!$B$43)-(B3251))))*(IF(AND(ArtifactsInput!$M$42,((Inputs!$B$9+((C3232=TRUE)*(F3232-Calc!F19))+B3244+(ArtifactsInput!$M$24-ArtifactsInput!$M$24)*CHOOSE(ArtifactsInput!$N$24+1,10,12,14,16,18,20)+IF(ArtifactsInput!$M$10,CHOOSE(ArtifactsInput!$N$10+1,15,18,21,24,27,30)*(IF(Inputs!$B$38="pvp",MIN(15,15)/15,IF(AND(Inputs!$B$38&lt;&gt;"pvp",Inputs!$B$43&gt;0),MIN(15,Inputs!$B$43)/(Inputs!$B$43),0))),0)))&gt;=100),MIN(100,((Inputs!$B$9+((C3232=TRUE)*(F3232-Calc!F19))+B3244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3251)&lt;=0,1,MAX(0,IF(Inputs!$B$38="pvp",15,Inputs!$B$43)-MAX(5,B3251))/(IF(Inputs!$B$38="pvp",15,Inputs!$B$43)-(B3251))))*IF(AND(ArtifactsInput!$M$42,((Inputs!$B$9+((C3232=TRUE)*(F3232-Calc!F19))+B3244+(ArtifactsInput!$M$24-ArtifactsInput!$M$24)*CHOOSE(ArtifactsInput!$N$24+1,10,12,14,16,18,20)+IF(ArtifactsInput!$M$10,CHOOSE(ArtifactsInput!$N$10+1,15,18,21,24,27,30)*(IF(Inputs!$B$38="pvp",MIN(15,15)/15,IF(AND(Inputs!$B$38&lt;&gt;"pvp",Inputs!$B$43&gt;0),MIN(15,Inputs!$B$43)/(Inputs!$B$43),0))),0)))&gt;=100),CHOOSE(ArtifactsInput!$N$42+1,40,48,56,64,72,80),0))))/100)*((1+(((C3230=TRUE)*F3230*5/7)+((C3237=TRUE)*(F3237-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3227)</f>
        <v/>
      </c>
      <c r="L3227">
        <f>K3227*(MIN(Inputs!$B$22+((C3235=TRUE)*(F3235-Calc!F22)),(Inputs!$B$23+0+(IF(ArtifactsInput!$M$15,CHOOSE(ArtifactsInput!$N$15+1,25,30,35,40,45,50)/100*(Inputs!$B$11-Inputs!$B$11),0))))/100+(Inputs!$B$23+0+(IF(ArtifactsInput!$M$15,CHOOSE(ArtifactsInput!$N$15+1,25,30,35,40,45,50)/100*(Inputs!$B$11-Inputs!$B$11),0)))/100)/2</f>
        <v/>
      </c>
      <c r="M3227">
        <f>L3227*(1+(Inputs!$B$10+((C3238=TRUE)*(F3238-Calc!F25))+B3249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227">
        <f>L3227*(1-MIN((Inputs!$B$9+((C3232=TRUE)*(F3232-Calc!F19))+B3244+(ArtifactsInput!$M$24-ArtifactsInput!$M$24)*CHOOSE(ArtifactsInput!$N$24+1,10,12,14,16,18,20)+(IF(AND(Inputs!$B$38&lt;&gt;"pvp",Inputs!$B$43=0),1,IF(IF(Inputs!$B$38="pvp",15,Inputs!$B$43)-(B3251)&lt;=0,1,MAX(0,IF(Inputs!$B$38="pvp",15,Inputs!$B$43)-MAX(5,B3251))/(IF(Inputs!$B$38="pvp",15,Inputs!$B$43)-(B3251))))*IF(AND(ArtifactsInput!$M$42,((Inputs!$B$9+((C3232=TRUE)*(F3232-Calc!F19))+B3244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3227*(MIN((Inputs!$B$9+((C3232=TRUE)*(F3232-Calc!F19))+B3244+(ArtifactsInput!$M$24-ArtifactsInput!$M$24)*CHOOSE(ArtifactsInput!$N$24+1,10,12,14,16,18,20)+(IF(AND(Inputs!$B$38&lt;&gt;"pvp",Inputs!$B$43=0),1,IF(IF(Inputs!$B$38="pvp",15,Inputs!$B$43)-(B3251)&lt;=0,1,MAX(0,IF(Inputs!$B$38="pvp",15,Inputs!$B$43)-MAX(5,B3251))/(IF(Inputs!$B$38="pvp",15,Inputs!$B$43)-(B3251))))*IF(AND(ArtifactsInput!$M$42,((Inputs!$B$9+((C3232=TRUE)*(F3232-Calc!F19))+B3244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227">
        <f>(1-Summary!$B$11)*T3227+Summary!$B$11*V3227</f>
        <v/>
      </c>
      <c r="P3227">
        <f>IF(B3254=0,0,O3227/B3254)</f>
        <v/>
      </c>
      <c r="Q3227" t="n">
        <v>0</v>
      </c>
      <c r="R3227" t="n">
        <v>0</v>
      </c>
      <c r="S3227">
        <f>IFERROR(O3227/N3227,0)</f>
        <v/>
      </c>
      <c r="T3227">
        <f>IF(C3227,((H3227*(B3248+IF(AND(Inputs!$B$38&lt;&gt;"pvp",Inputs!$B$43&gt;0),((Skills!G8*((R3221-1)*IF(Skills!H8&gt;0,INT(Skills!I8/Skills!H8+0.000000001),1)+IF(Skills!H8&gt;0,INT(MIN(Skills!I8,MAX(0,MAX(0,Inputs!$B$43-B3251)-((R3221-1)*((IF(Inputs!$B$38="pvp",15,MAX(0.1,Skills!D8-IF(TRUE=TRUE,3.5,0)))*(1-IF(AND(ArtifactsInput!$M$27,Inputs!$B$4="Chapter Hunt"),CHOOSE(ArtifactsInput!$N$27+1,20,24,28,32,36,40),0)/100))/B3255))))/Skills!H8+0.000000001),1)))/Inputs!$B$43),G3221*Q3221)+IF(AND(Inputs!$B$38&lt;&gt;"pvp",Inputs!$B$43&gt;0),((Skills!G11*((R3224-1)*IF(Skills!H11&gt;0,INT(Skills!I11/Skills!H11+0.000000001),1)+IF(Skills!H11&gt;0,INT(MIN(Skills!I11,MAX(0,MAX(0,Inputs!$B$43-B3251)-((R3224-1)*((IF(Inputs!$B$38="pvp",15,MAX(0.1,Skills!D11-IF(TRUE=TRUE,3.5,0)))*(1-IF(AND(ArtifactsInput!$M$27,Inputs!$B$4="Chapter Hunt"),CHOOSE(ArtifactsInput!$N$27+1,20,24,28,32,36,40),0)/100))/B3255))))/Skills!H11+0.000000001),1)))/Inputs!$B$43),G3224*Q3224)))/(1+Skills!H14*H3227*(B3248+IF(AND(Inputs!$B$38&lt;&gt;"pvp",Inputs!$B$43&gt;0),((Skills!G8*((R3221-1)*IF(Skills!H8&gt;0,INT(Skills!I8/Skills!H8+0.000000001),1)+IF(Skills!H8&gt;0,INT(MIN(Skills!I8,MAX(0,MAX(0,Inputs!$B$43-B3251)-((R3221-1)*((IF(Inputs!$B$38="pvp",15,MAX(0.1,Skills!D8-IF(TRUE=TRUE,3.5,0)))*(1-IF(AND(ArtifactsInput!$M$27,Inputs!$B$4="Chapter Hunt"),CHOOSE(ArtifactsInput!$N$27+1,20,24,28,32,36,40),0)/100))/B3255))))/Skills!H8+0.000000001),1)))/Inputs!$B$43),G3221*Q3221)+IF(AND(Inputs!$B$38&lt;&gt;"pvp",Inputs!$B$43&gt;0),((Skills!G11*((R3224-1)*IF(Skills!H11&gt;0,INT(Skills!I11/Skills!H11+0.000000001),1)+IF(Skills!H11&gt;0,INT(MIN(Skills!I11,MAX(0,MAX(0,Inputs!$B$43-B3251)-((R3224-1)*((IF(Inputs!$B$38="pvp",15,MAX(0.1,Skills!D11-IF(TRUE=TRUE,3.5,0)))*(1-IF(AND(ArtifactsInput!$M$27,Inputs!$B$4="Chapter Hunt"),CHOOSE(ArtifactsInput!$N$27+1,20,24,28,32,36,40),0)/100))/B3255))))/Skills!H11+0.000000001),1)))/Inputs!$B$43),G3224*Q3224)))*N3227)*IF(Inputs!$B$38="pvp",1,1+(Inputs!$B$20+0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Hunt"),CHOOSE(ArtifactsInput!$N$35+1,15,18,21,24,27,30)*(1-EXP(-(0.2*B3246)*5)),0)+IF(AND(ArtifactsInput!$M$22,Inputs!$B$4&lt;&gt;"Chapter Hunt"),CHOOSE(ArtifactsInput!$N$22+1,10,12,14,16,18,20)*((0*(((0.15*B3246*5))^0/1)+1*(((0.15*B3246*5))^1/1)+2*(((0.15*B3246*5))^2/2)+3*(((0.15*B3246*5))^3/6)+4*(((0.15*B3246*5))^4/24)+5*(((0.15*B3246*5))^5/120))/((((0.15*B3246*5))^0/1)+(((0.15*B3246*5))^1/1)+(((0.15*B3246*5))^2/2)+(((0.15*B3246*5))^3/6)+(((0.15*B3246*5))^4/24)+(((0.15*B3246*5))^5/120))),0))+IF(Inputs!$B$3&gt;=54,9*(C3216=TRUE)*MIN(1,8*(1+Inputs!$B$34/100)*Q3216),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3227*(1-MIN(100,(Inputs!$B$9+((C3232=TRUE)*(F3232-Calc!F19))+B3244+(ArtifactsInput!$M$24-ArtifactsInput!$M$24)*CHOOSE(ArtifactsInput!$N$24+1,10,12,14,16,18,20)+(IF(AND(Inputs!$B$38&lt;&gt;"pvp",Inputs!$B$43=0),1,IF(IF(Inputs!$B$38="pvp",15,Inputs!$B$43)-(B3251)&lt;=0,1,MAX(0,IF(Inputs!$B$38="pvp",15,Inputs!$B$43)-MAX(5,B3251))/(IF(Inputs!$B$38="pvp",15,Inputs!$B$43)-(B3251))))*IF(AND(ArtifactsInput!$M$42,((Inputs!$B$9+((C3232=TRUE)*(F3232-Calc!F19))+B3244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3227*(MIN(100,(Inputs!$B$9+((C3232=TRUE)*(F3232-Calc!F19))+B3244+(ArtifactsInput!$M$24-ArtifactsInput!$M$24)*CHOOSE(ArtifactsInput!$N$24+1,10,12,14,16,18,20)+(IF(AND(Inputs!$B$38&lt;&gt;"pvp",Inputs!$B$43=0),1,IF(IF(Inputs!$B$38="pvp",15,Inputs!$B$43)-(B3251)&lt;=0,1,MAX(0,IF(Inputs!$B$38="pvp",15,Inputs!$B$43)-MAX(5,B3251))/(IF(Inputs!$B$38="pvp",15,Inputs!$B$43)-(B3251))))*IF(AND(ArtifactsInput!$M$42,((Inputs!$B$9+((C3232=TRUE)*(F3232-Calc!F19))+B3244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3227*(1-MIN(100,(Inputs!$B$9+((C3232=TRUE)*(F3232-Calc!F19))+B3244+(ArtifactsInput!$M$24-ArtifactsInput!$M$24)*CHOOSE(ArtifactsInput!$N$24+1,10,12,14,16,18,20)+(IF(AND(Inputs!$B$38&lt;&gt;"pvp",Inputs!$B$43=0),1,IF(IF(Inputs!$B$38="pvp",15,Inputs!$B$43)-(B3251)&lt;=0,1,MAX(0,IF(Inputs!$B$38="pvp",15,Inputs!$B$43)-MAX(5,B3251))/(IF(Inputs!$B$38="pvp",15,Inputs!$B$43)-(B3251))))*IF(AND(ArtifactsInput!$M$42,((Inputs!$B$9+((C3232=TRUE)*(F3232-Calc!F19))+B3244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3227*(MIN(100,(Inputs!$B$9+((C3232=TRUE)*(F3232-Calc!F19))+B3244+(ArtifactsInput!$M$24-ArtifactsInput!$M$24)*CHOOSE(ArtifactsInput!$N$24+1,10,12,14,16,18,20)+(IF(AND(Inputs!$B$38&lt;&gt;"pvp",Inputs!$B$43=0),1,IF(IF(Inputs!$B$38="pvp",15,Inputs!$B$43)-(B3251)&lt;=0,1,MAX(0,IF(Inputs!$B$38="pvp",15,Inputs!$B$43)-MAX(5,B3251))/(IF(Inputs!$B$38="pvp",15,Inputs!$B$43)-(B3251))))*IF(AND(ArtifactsInput!$M$42,((Inputs!$B$9+((C3232=TRUE)*(F3232-Calc!F19))+B3244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227">
        <f>IF(C3227,((H3227*(B3248+IF(AND(Inputs!$B$38&lt;&gt;"pvp",Inputs!$B$43&gt;0),((Skills!G8*((R3221-1)*IF(Skills!H8&gt;0,INT(Skills!I8/Skills!H8+0.000000001),1)+IF(Skills!H8&gt;0,INT(MIN(Skills!I8,MAX(0,MAX(0,Inputs!$B$43-B3251)-((R3221-1)*((IF(Inputs!$B$38="pvp",15,MAX(0.1,Skills!D8-IF(TRUE=TRUE,3.5,0)))*(1-IF(AND(ArtifactsInput!$M$27,Inputs!$B$4="Chapter Hunt"),CHOOSE(ArtifactsInput!$N$27+1,20,24,28,32,36,40),0)/100))/B3255))))/Skills!H8+0.000000001),1)))/Inputs!$B$43),G3221*Q3221)+IF(AND(Inputs!$B$38&lt;&gt;"pvp",Inputs!$B$43&gt;0),((Skills!G11*((R3224-1)*IF(Skills!H11&gt;0,INT(Skills!I11/Skills!H11+0.000000001),1)+IF(Skills!H11&gt;0,INT(MIN(Skills!I11,MAX(0,MAX(0,Inputs!$B$43-B3251)-((R3224-1)*((IF(Inputs!$B$38="pvp",15,MAX(0.1,Skills!D11-IF(TRUE=TRUE,3.5,0)))*(1-IF(AND(ArtifactsInput!$M$27,Inputs!$B$4="Chapter Hunt"),CHOOSE(ArtifactsInput!$N$27+1,20,24,28,32,36,40),0)/100))/B3255))))/Skills!H11+0.000000001),1)))/Inputs!$B$43),G3224*Q3224)))/(1+Skills!H14*H3227*(B3248+IF(AND(Inputs!$B$38&lt;&gt;"pvp",Inputs!$B$43&gt;0),((Skills!G8*((R3221-1)*IF(Skills!H8&gt;0,INT(Skills!I8/Skills!H8+0.000000001),1)+IF(Skills!H8&gt;0,INT(MIN(Skills!I8,MAX(0,MAX(0,Inputs!$B$43-B3251)-((R3221-1)*((IF(Inputs!$B$38="pvp",15,MAX(0.1,Skills!D8-IF(TRUE=TRUE,3.5,0)))*(1-IF(AND(ArtifactsInput!$M$27,Inputs!$B$4="Chapter Hunt"),CHOOSE(ArtifactsInput!$N$27+1,20,24,28,32,36,40),0)/100))/B3255))))/Skills!H8+0.000000001),1)))/Inputs!$B$43),G3221*Q3221)+IF(AND(Inputs!$B$38&lt;&gt;"pvp",Inputs!$B$43&gt;0),((Skills!G11*((R3224-1)*IF(Skills!H11&gt;0,INT(Skills!I11/Skills!H11+0.000000001),1)+IF(Skills!H11&gt;0,INT(MIN(Skills!I11,MAX(0,MAX(0,Inputs!$B$43-B3251)-((R3224-1)*((IF(Inputs!$B$38="pvp",15,MAX(0.1,Skills!D11-IF(TRUE=TRUE,3.5,0)))*(1-IF(AND(ArtifactsInput!$M$27,Inputs!$B$4="Chapter Hunt"),CHOOSE(ArtifactsInput!$N$27+1,20,24,28,32,36,40),0)/100))/B3255))))/Skills!H11+0.000000001),1)))/Inputs!$B$43),G3224*Q3224)))*N3227)*IF(Inputs!$B$38="pvp",1,(1+(Inputs!$B$21+Skills!Q14+(IF(ArtifactsInput!$M$33,CHOOSE(ArtifactsInput!$N$33+1,30,36,42,48,54,60),0))+(IF(AND(ArtifactsInput!$M$35,Inputs!$B$4&lt;&gt;"Chapter Hunt"),CHOOSE(ArtifactsInput!$N$35+1,15,18,21,24,27,30)*(1-EXP(-(0.2*B3246)*5)),0)+IF(AND(ArtifactsInput!$M$22,Inputs!$B$4&lt;&gt;"Chapter Hunt"),CHOOSE(ArtifactsInput!$N$22+1,10,12,14,16,18,20)*((0*(((0.15*B3246*5))^0/1)+1*(((0.15*B3246*5))^1/1)+2*(((0.15*B3246*5))^2/2)+3*(((0.15*B3246*5))^3/6)+4*(((0.15*B3246*5))^4/24)+5*(((0.15*B3246*5))^5/120))/((((0.15*B3246*5))^0/1)+(((0.15*B3246*5))^1/1)+(((0.15*B3246*5))^2/2)+(((0.15*B3246*5))^3/6)+(((0.15*B3246*5))^4/24)+(((0.15*B3246*5))^5/120))),0))+IF(Inputs!$B$3&gt;=54,9*(C3216=TRUE)*MIN(1,8*(1+Inputs!$B$34/100)*Q3216),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228">
      <c r="A3228">
        <f>Skills!A15</f>
        <v/>
      </c>
      <c r="B3228">
        <f>Skills!B15</f>
        <v/>
      </c>
      <c r="C3228">
        <f>Inputs!$B$3&gt;=100</f>
        <v/>
      </c>
      <c r="D3228">
        <f>IF(Skills!C15=1,60+Inputs!$B$25+Inputs!$B$29,IF(Skills!C15=2,90+Inputs!$B$26+Inputs!$B$29,IF(Skills!C15=3,120+Inputs!$B$27+Inputs!$B$29,MAX(0,(Inputs!$B$3-100)*3)+Inputs!$B$28+Inputs!$B$29)))</f>
        <v/>
      </c>
      <c r="E3228">
        <f>INDEX(FactorTable!$B$2:$Y$301, MATCH(ROUND(MIN(300,MAX(1,D3228)),0), FactorTable!$A$2:$A$301,0), Skills!M15+1)</f>
        <v/>
      </c>
      <c r="F3228">
        <f>IF(Skills!N15=TRUE,(Skills!L15/10)*(E3228/1000),Skills!L15/10)+Skills!O15</f>
        <v/>
      </c>
      <c r="G3228" t="inlineStr"/>
      <c r="H3228" t="inlineStr"/>
      <c r="I3228" t="inlineStr">
        <is>
          <t>1</t>
        </is>
      </c>
      <c r="J3228" t="inlineStr"/>
      <c r="K3228" t="inlineStr"/>
      <c r="L3228" t="inlineStr"/>
      <c r="M3228" t="inlineStr"/>
      <c r="N3228" t="inlineStr"/>
      <c r="O3228" t="inlineStr"/>
      <c r="P3228" t="inlineStr"/>
      <c r="Q3228" t="inlineStr"/>
      <c r="R3228" t="inlineStr"/>
      <c r="S3228" t="inlineStr"/>
    </row>
    <row r="3229">
      <c r="A3229">
        <f>Skills!A16</f>
        <v/>
      </c>
      <c r="B3229">
        <f>Skills!B16</f>
        <v/>
      </c>
      <c r="C3229">
        <f>Inputs!$B$3&gt;=107</f>
        <v/>
      </c>
      <c r="D3229">
        <f>IF(Skills!C16=1,60+Inputs!$B$25+Inputs!$B$29,IF(Skills!C16=2,90+Inputs!$B$26+Inputs!$B$29,IF(Skills!C16=3,120+Inputs!$B$27+Inputs!$B$29,MAX(0,(Inputs!$B$3-100)*3)+Inputs!$B$28+Inputs!$B$29)))</f>
        <v/>
      </c>
      <c r="E3229">
        <f>INDEX(FactorTable!$B$2:$Y$301, MATCH(ROUND(MIN(300,MAX(1,D3229)),0), FactorTable!$A$2:$A$301,0), Skills!M16+1)</f>
        <v/>
      </c>
      <c r="F3229">
        <f>IF(Skills!N16=TRUE,(Skills!L16/10)*(E3229/1000),Skills!L16/10)+Skills!O16</f>
        <v/>
      </c>
      <c r="G3229" t="inlineStr"/>
      <c r="H3229" t="inlineStr"/>
      <c r="I3229" t="inlineStr">
        <is>
          <t>1</t>
        </is>
      </c>
      <c r="J3229" t="inlineStr"/>
      <c r="K3229" t="inlineStr"/>
      <c r="L3229" t="inlineStr"/>
      <c r="M3229" t="inlineStr"/>
      <c r="N3229" t="inlineStr"/>
      <c r="O3229" t="inlineStr"/>
      <c r="P3229" t="inlineStr"/>
      <c r="Q3229" t="inlineStr"/>
      <c r="R3229" t="inlineStr"/>
      <c r="S3229" t="inlineStr"/>
    </row>
    <row r="3230">
      <c r="A3230">
        <f>Skills!A17</f>
        <v/>
      </c>
      <c r="B3230">
        <f>Skills!B17</f>
        <v/>
      </c>
      <c r="C3230">
        <f>Inputs!$B$3&gt;=74</f>
        <v/>
      </c>
      <c r="D3230">
        <f>IF(Skills!C17=1,60+Inputs!$B$25+Inputs!$B$29,IF(Skills!C17=2,90+Inputs!$B$26+Inputs!$B$29,IF(Skills!C17=3,120+Inputs!$B$27+Inputs!$B$29,MAX(0,(Inputs!$B$3-100)*3)+Inputs!$B$28+Inputs!$B$29)))</f>
        <v/>
      </c>
      <c r="E3230">
        <f>INDEX(FactorTable!$B$2:$Y$301, MATCH(ROUND(MIN(300,MAX(1,D3230)),0), FactorTable!$A$2:$A$301,0), Skills!M17+1)</f>
        <v/>
      </c>
      <c r="F3230">
        <f>IF(Skills!N17=TRUE,(Skills!L17/10)*(E3230/1000),Skills!L17/10)+Skills!O17</f>
        <v/>
      </c>
      <c r="G3230">
        <f>Skills!G17*IF(Skills!H17&gt;0,INT(IF(Inputs!$B$38="pvp",MIN(Skills!I17,15),Skills!I17)/Skills!H17+0.000000001),1)</f>
        <v/>
      </c>
      <c r="H3230">
        <f>1-(1-Skills!J17/100)^Skills!K17</f>
        <v/>
      </c>
      <c r="I3230" t="inlineStr">
        <is>
          <t>1</t>
        </is>
      </c>
      <c r="J3230" t="inlineStr"/>
      <c r="K3230" t="inlineStr"/>
      <c r="L3230" t="inlineStr"/>
      <c r="M3230" t="inlineStr"/>
      <c r="N3230" t="inlineStr"/>
      <c r="O3230">
        <f>(1-Summary!$B$11)*T3230+Summary!$B$11*V3230</f>
        <v/>
      </c>
      <c r="P3230">
        <f>IF(B3254=0,0,O3230/B3254)</f>
        <v/>
      </c>
      <c r="Q3230" t="n">
        <v>0</v>
      </c>
      <c r="R3230" t="n">
        <v>0</v>
      </c>
      <c r="S3230">
        <f>IFERROR(O3230/N3230,0)</f>
        <v/>
      </c>
      <c r="T3230" t="n">
        <v>0</v>
      </c>
      <c r="V3230" t="n">
        <v>0</v>
      </c>
    </row>
    <row r="3231">
      <c r="A3231">
        <f>Skills!A18</f>
        <v/>
      </c>
      <c r="B3231">
        <f>Skills!B18</f>
        <v/>
      </c>
      <c r="C3231">
        <f>Inputs!$B$3&gt;=115</f>
        <v/>
      </c>
      <c r="D3231">
        <f>IF(Skills!C18=1,60+Inputs!$B$25+Inputs!$B$29,IF(Skills!C18=2,90+Inputs!$B$26+Inputs!$B$29,IF(Skills!C18=3,120+Inputs!$B$27+Inputs!$B$29,MAX(0,(Inputs!$B$3-100)*3)+Inputs!$B$28+Inputs!$B$29)))</f>
        <v/>
      </c>
      <c r="E3231">
        <f>INDEX(FactorTable!$B$2:$Y$301, MATCH(ROUND(MIN(300,MAX(1,D3231)),0), FactorTable!$A$2:$A$301,0), Skills!M18+1)</f>
        <v/>
      </c>
      <c r="F3231">
        <f>IF(Skills!N18=TRUE,(Skills!L18/10)*(E3231/1000),Skills!L18/10)+Skills!O18</f>
        <v/>
      </c>
      <c r="G3231">
        <f>Skills!G18*IF(Skills!H18&gt;0,INT(IF(Inputs!$B$38="pvp",MIN(Skills!I18,15),Skills!I18)/Skills!H18+0.000000001),1)</f>
        <v/>
      </c>
      <c r="H3231">
        <f>1-(1-Skills!J18/100)^Skills!K18</f>
        <v/>
      </c>
      <c r="I3231" t="inlineStr">
        <is>
          <t>1</t>
        </is>
      </c>
      <c r="J3231" t="inlineStr"/>
      <c r="K3231" t="inlineStr"/>
      <c r="L3231" t="inlineStr"/>
      <c r="M3231" t="inlineStr"/>
      <c r="N3231" t="inlineStr"/>
      <c r="O3231">
        <f>(1-Summary!$B$11)*T3231+Summary!$B$11*V3231</f>
        <v/>
      </c>
      <c r="P3231">
        <f>IF(B3254=0,0,O3231/B3254)</f>
        <v/>
      </c>
      <c r="Q3231">
        <f>IFERROR(1/(IF(Inputs!$B$38="pvp",15,MAX(0.1,Skills!D18-IF(TRUE=TRUE,3.5,0)))*(1-IF(AND(ArtifactsInput!$M$27,Inputs!$B$4="Chapter Hunt"),CHOOSE(ArtifactsInput!$N$27+1,20,24,28,32,36,40),0)/100)),0)</f>
        <v/>
      </c>
      <c r="R3231">
        <f>IF(AND(Inputs!$B$38&lt;&gt;"pvp",Inputs!$B$43&gt;0),IF(Inputs!$B$43&lt;=0,0,(INT(Inputs!$B$43/(IF(Inputs!$B$38="pvp",15,MAX(0.1,Skills!D18-IF(TRUE=TRUE,3.5,0)))*(1-IF(AND(ArtifactsInput!$M$27,Inputs!$B$4="Chapter Hunt"),CHOOSE(ArtifactsInput!$N$27+1,20,24,28,32,36,40),0)/100)))+1)),0)</f>
        <v/>
      </c>
      <c r="S3231">
        <f>IFERROR(O3231/N3231,0)</f>
        <v/>
      </c>
      <c r="T3231" t="n">
        <v>0</v>
      </c>
      <c r="V3231" t="n">
        <v>0</v>
      </c>
    </row>
    <row r="3232">
      <c r="A3232">
        <f>Skills!A19</f>
        <v/>
      </c>
      <c r="B3232">
        <f>Skills!B19</f>
        <v/>
      </c>
      <c r="C3232">
        <f>Inputs!$B$3&gt;=10</f>
        <v/>
      </c>
      <c r="D3232">
        <f>IF(Skills!C19=1,60+Inputs!$B$25+Inputs!$B$29,IF(Skills!C19=2,90+Inputs!$B$26+Inputs!$B$29,IF(Skills!C19=3,120+Inputs!$B$27+Inputs!$B$29,MAX(0,(Inputs!$B$3-100)*3)+Inputs!$B$28+Inputs!$B$29)))</f>
        <v/>
      </c>
      <c r="E3232">
        <f>INDEX(FactorTable!$B$2:$Y$301, MATCH(ROUND(MIN(300,MAX(1,D3232)),0), FactorTable!$A$2:$A$301,0), Skills!M19+1)</f>
        <v/>
      </c>
      <c r="F3232">
        <f>IF(Skills!N19=TRUE,(Skills!L19/10)*(E3232/1000),Skills!L19/10)+Skills!O19</f>
        <v/>
      </c>
      <c r="G3232">
        <f>Skills!G19*IF(Skills!H19&gt;0,INT(IF(Inputs!$B$38="pvp",MIN(Skills!I19,15),Skills!I19)/Skills!H19+0.000000001),1)</f>
        <v/>
      </c>
      <c r="H3232">
        <f>1-(1-Skills!J19/100)^Skills!K19</f>
        <v/>
      </c>
      <c r="I3232" t="inlineStr">
        <is>
          <t>1</t>
        </is>
      </c>
      <c r="J3232" t="inlineStr"/>
      <c r="K3232" t="inlineStr"/>
      <c r="L3232" t="inlineStr"/>
      <c r="M3232" t="inlineStr"/>
      <c r="N3232" t="inlineStr"/>
      <c r="O3232">
        <f>(1-Summary!$B$11)*T3232+Summary!$B$11*V3232</f>
        <v/>
      </c>
      <c r="P3232">
        <f>IF(B3254=0,0,O3232/B3254)</f>
        <v/>
      </c>
      <c r="Q3232" t="n">
        <v>0</v>
      </c>
      <c r="R3232" t="n">
        <v>0</v>
      </c>
      <c r="S3232">
        <f>IFERROR(O3232/N3232,0)</f>
        <v/>
      </c>
      <c r="T3232" t="n">
        <v>0</v>
      </c>
      <c r="V3232" t="n">
        <v>0</v>
      </c>
    </row>
    <row r="3233">
      <c r="A3233">
        <f>Skills!A20</f>
        <v/>
      </c>
      <c r="B3233">
        <f>Skills!B20</f>
        <v/>
      </c>
      <c r="C3233">
        <f>Inputs!$B$3&gt;=15</f>
        <v/>
      </c>
      <c r="D3233">
        <f>IF(Skills!C20=1,60+Inputs!$B$25+Inputs!$B$29,IF(Skills!C20=2,90+Inputs!$B$26+Inputs!$B$29,IF(Skills!C20=3,120+Inputs!$B$27+Inputs!$B$29,MAX(0,(Inputs!$B$3-100)*3)+Inputs!$B$28+Inputs!$B$29)))</f>
        <v/>
      </c>
      <c r="E3233">
        <f>INDEX(FactorTable!$B$2:$Y$301, MATCH(ROUND(MIN(300,MAX(1,D3233)),0), FactorTable!$A$2:$A$301,0), Skills!M20+1)</f>
        <v/>
      </c>
      <c r="F3233">
        <f>IF(Skills!N20=TRUE,(Skills!L20/10)*(E3233/1000),Skills!L20/10)+Skills!O20</f>
        <v/>
      </c>
      <c r="G3233">
        <f>Skills!G20*IF(Skills!H20&gt;0,INT(IF(Inputs!$B$38="pvp",MIN(Skills!I20,15),Skills!I20)/Skills!H20+0.000000001),1)</f>
        <v/>
      </c>
      <c r="H3233">
        <f>1-(1-Skills!J20/100)^Skills!K20</f>
        <v/>
      </c>
      <c r="I3233" t="inlineStr">
        <is>
          <t>1</t>
        </is>
      </c>
      <c r="J3233" t="inlineStr"/>
      <c r="K3233" t="inlineStr"/>
      <c r="L3233" t="inlineStr"/>
      <c r="M3233" t="inlineStr"/>
      <c r="N3233" t="inlineStr"/>
      <c r="O3233">
        <f>(1-Summary!$B$11)*T3233+Summary!$B$11*V3233</f>
        <v/>
      </c>
      <c r="P3233">
        <f>IF(B3254=0,0,O3233/B3254)</f>
        <v/>
      </c>
      <c r="Q3233" t="n">
        <v>0</v>
      </c>
      <c r="R3233" t="n">
        <v>0</v>
      </c>
      <c r="S3233">
        <f>IFERROR(O3233/N3233,0)</f>
        <v/>
      </c>
      <c r="T3233" t="n">
        <v>0</v>
      </c>
      <c r="V3233" t="n">
        <v>0</v>
      </c>
    </row>
    <row r="3234">
      <c r="A3234">
        <f>Skills!A21</f>
        <v/>
      </c>
      <c r="B3234">
        <f>Skills!B21</f>
        <v/>
      </c>
      <c r="C3234">
        <f>Inputs!$B$3&gt;=40</f>
        <v/>
      </c>
      <c r="D3234">
        <f>IF(Skills!C21=1,60+Inputs!$B$25+Inputs!$B$29,IF(Skills!C21=2,90+Inputs!$B$26+Inputs!$B$29,IF(Skills!C21=3,120+Inputs!$B$27+Inputs!$B$29,MAX(0,(Inputs!$B$3-100)*3)+Inputs!$B$28+Inputs!$B$29)))</f>
        <v/>
      </c>
      <c r="E3234">
        <f>INDEX(FactorTable!$B$2:$Y$301, MATCH(ROUND(MIN(300,MAX(1,D3234)),0), FactorTable!$A$2:$A$301,0), Skills!M21+1)</f>
        <v/>
      </c>
      <c r="F3234">
        <f>IF(Skills!N21=TRUE,(Skills!L21/10)*(E3234/1000),Skills!L21/10)+Skills!O21</f>
        <v/>
      </c>
      <c r="G3234">
        <f>Skills!G21*IF(Skills!H21&gt;0,INT(IF(Inputs!$B$38="pvp",MIN(Skills!I21,15),Skills!I21)/Skills!H21+0.000000001),1)</f>
        <v/>
      </c>
      <c r="H3234">
        <f>1-(1-Skills!J21/100)^Skills!K21</f>
        <v/>
      </c>
      <c r="I3234" t="inlineStr">
        <is>
          <t>1</t>
        </is>
      </c>
      <c r="J3234" t="inlineStr"/>
      <c r="K3234" t="inlineStr"/>
      <c r="L3234" t="inlineStr"/>
      <c r="M3234" t="inlineStr"/>
      <c r="N3234" t="inlineStr"/>
      <c r="O3234">
        <f>(1-Summary!$B$11)*T3234+Summary!$B$11*V3234</f>
        <v/>
      </c>
      <c r="P3234">
        <f>IF(B3254=0,0,O3234/B3254)</f>
        <v/>
      </c>
      <c r="Q3234" t="n">
        <v>0</v>
      </c>
      <c r="R3234" t="n">
        <v>0</v>
      </c>
      <c r="S3234">
        <f>IFERROR(O3234/N3234,0)</f>
        <v/>
      </c>
      <c r="T3234" t="n">
        <v>0</v>
      </c>
      <c r="V3234" t="n">
        <v>0</v>
      </c>
    </row>
    <row r="3235">
      <c r="A3235">
        <f>Skills!A22</f>
        <v/>
      </c>
      <c r="B3235">
        <f>Skills!B22</f>
        <v/>
      </c>
      <c r="C3235">
        <f>Inputs!$B$3&gt;=43</f>
        <v/>
      </c>
      <c r="D3235">
        <f>IF(Skills!C22=1,60+Inputs!$B$25+Inputs!$B$29,IF(Skills!C22=2,90+Inputs!$B$26+Inputs!$B$29,IF(Skills!C22=3,120+Inputs!$B$27+Inputs!$B$29,MAX(0,(Inputs!$B$3-100)*3)+Inputs!$B$28+Inputs!$B$29)))</f>
        <v/>
      </c>
      <c r="E3235">
        <f>INDEX(FactorTable!$B$2:$Y$301, MATCH(ROUND(MIN(300,MAX(1,D3235)),0), FactorTable!$A$2:$A$301,0), Skills!M22+1)</f>
        <v/>
      </c>
      <c r="F3235">
        <f>IF(Skills!N22=TRUE,(Skills!L22/10)*(E3235/1000),Skills!L22/10)+Skills!O22</f>
        <v/>
      </c>
      <c r="G3235">
        <f>Skills!G22*IF(Skills!H22&gt;0,INT(IF(Inputs!$B$38="pvp",MIN(Skills!I22,15),Skills!I22)/Skills!H22+0.000000001),1)</f>
        <v/>
      </c>
      <c r="H3235">
        <f>1-(1-Skills!J22/100)^Skills!K22</f>
        <v/>
      </c>
      <c r="I3235" t="inlineStr">
        <is>
          <t>1</t>
        </is>
      </c>
      <c r="J3235" t="inlineStr"/>
      <c r="K3235" t="inlineStr"/>
      <c r="L3235" t="inlineStr"/>
      <c r="M3235" t="inlineStr"/>
      <c r="N3235" t="inlineStr"/>
      <c r="O3235">
        <f>(1-Summary!$B$11)*T3235+Summary!$B$11*V3235</f>
        <v/>
      </c>
      <c r="P3235">
        <f>IF(B3254=0,0,O3235/B3254)</f>
        <v/>
      </c>
      <c r="Q3235" t="n">
        <v>0</v>
      </c>
      <c r="R3235" t="n">
        <v>0</v>
      </c>
      <c r="S3235">
        <f>IFERROR(O3235/N3235,0)</f>
        <v/>
      </c>
      <c r="T3235" t="n">
        <v>0</v>
      </c>
      <c r="V3235" t="n">
        <v>0</v>
      </c>
    </row>
    <row r="3236">
      <c r="A3236">
        <f>Skills!A23</f>
        <v/>
      </c>
      <c r="B3236">
        <f>Skills!B23</f>
        <v/>
      </c>
      <c r="C3236">
        <f>Inputs!$B$3&gt;=38</f>
        <v/>
      </c>
      <c r="D3236">
        <f>IF(Skills!C23=1,60+Inputs!$B$25+Inputs!$B$29,IF(Skills!C23=2,90+Inputs!$B$26+Inputs!$B$29,IF(Skills!C23=3,120+Inputs!$B$27+Inputs!$B$29,MAX(0,(Inputs!$B$3-100)*3)+Inputs!$B$28+Inputs!$B$29)))</f>
        <v/>
      </c>
      <c r="E3236">
        <f>INDEX(FactorTable!$B$2:$Y$301, MATCH(ROUND(MIN(300,MAX(1,D3236)),0), FactorTable!$A$2:$A$301,0), Skills!M23+1)</f>
        <v/>
      </c>
      <c r="F3236">
        <f>IF(Skills!N23=TRUE,(Skills!L23/10)*(E3236/1000),Skills!L23/10)+Skills!O23</f>
        <v/>
      </c>
      <c r="G3236">
        <f>Skills!G23*IF(Skills!H23&gt;0,INT(IF(Inputs!$B$38="pvp",MIN(Skills!I23,15),Skills!I23)/Skills!H23+0.000000001),1)</f>
        <v/>
      </c>
      <c r="H3236">
        <f>1-(1-Skills!J23/100)^Skills!K23</f>
        <v/>
      </c>
      <c r="I3236" t="inlineStr">
        <is>
          <t>1</t>
        </is>
      </c>
      <c r="J3236" t="inlineStr"/>
      <c r="K3236" t="inlineStr"/>
      <c r="L3236" t="inlineStr"/>
      <c r="M3236" t="inlineStr"/>
      <c r="N3236" t="inlineStr"/>
      <c r="O3236">
        <f>(1-Summary!$B$11)*T3236+Summary!$B$11*V3236</f>
        <v/>
      </c>
      <c r="P3236">
        <f>IF(B3254=0,0,O3236/B3254)</f>
        <v/>
      </c>
      <c r="Q3236" t="n">
        <v>0</v>
      </c>
      <c r="R3236" t="n">
        <v>0</v>
      </c>
      <c r="S3236">
        <f>IFERROR(O3236/N3236,0)</f>
        <v/>
      </c>
      <c r="T3236" t="n">
        <v>0</v>
      </c>
      <c r="V3236" t="n">
        <v>0</v>
      </c>
    </row>
    <row r="3237">
      <c r="A3237">
        <f>Skills!A24</f>
        <v/>
      </c>
      <c r="B3237">
        <f>Skills!B24</f>
        <v/>
      </c>
      <c r="C3237">
        <f>Inputs!$B$3&gt;=45</f>
        <v/>
      </c>
      <c r="D3237">
        <f>IF(Skills!C24=1,60+Inputs!$B$25+Inputs!$B$29,IF(Skills!C24=2,90+Inputs!$B$26+Inputs!$B$29,IF(Skills!C24=3,120+Inputs!$B$27+Inputs!$B$29,MAX(0,(Inputs!$B$3-100)*3)+Inputs!$B$28+Inputs!$B$29)))</f>
        <v/>
      </c>
      <c r="E3237">
        <f>INDEX(FactorTable!$B$2:$Y$301, MATCH(ROUND(MIN(300,MAX(1,D3237)),0), FactorTable!$A$2:$A$301,0), Skills!M24+1)</f>
        <v/>
      </c>
      <c r="F3237">
        <f>IF(Skills!N24=TRUE,(Skills!L24/10)*(E3237/1000),Skills!L24/10)+Skills!O24</f>
        <v/>
      </c>
      <c r="G3237">
        <f>Skills!G24*IF(Skills!H24&gt;0,INT(IF(Inputs!$B$38="pvp",MIN(Skills!I24,15),Skills!I24)/Skills!H24+0.000000001),1)</f>
        <v/>
      </c>
      <c r="H3237">
        <f>1-(1-Skills!J24/100)^Skills!K24</f>
        <v/>
      </c>
      <c r="I3237" t="inlineStr">
        <is>
          <t>1</t>
        </is>
      </c>
      <c r="J3237" t="inlineStr"/>
      <c r="K3237" t="inlineStr"/>
      <c r="L3237" t="inlineStr"/>
      <c r="M3237" t="inlineStr"/>
      <c r="N3237" t="inlineStr"/>
      <c r="O3237">
        <f>(1-Summary!$B$11)*T3237+Summary!$B$11*V3237</f>
        <v/>
      </c>
      <c r="P3237">
        <f>IF(B3254=0,0,O3237/B3254)</f>
        <v/>
      </c>
      <c r="Q3237" t="n">
        <v>0</v>
      </c>
      <c r="R3237" t="n">
        <v>0</v>
      </c>
      <c r="S3237">
        <f>IFERROR(O3237/N3237,0)</f>
        <v/>
      </c>
      <c r="T3237" t="n">
        <v>0</v>
      </c>
      <c r="V3237" t="n">
        <v>0</v>
      </c>
    </row>
    <row r="3238">
      <c r="A3238">
        <f>Skills!A25</f>
        <v/>
      </c>
      <c r="B3238">
        <f>Skills!B25</f>
        <v/>
      </c>
      <c r="C3238">
        <f>Inputs!$B$3&gt;=72</f>
        <v/>
      </c>
      <c r="D3238">
        <f>IF(Skills!C25=1,60+Inputs!$B$25+Inputs!$B$29,IF(Skills!C25=2,90+Inputs!$B$26+Inputs!$B$29,IF(Skills!C25=3,120+Inputs!$B$27+Inputs!$B$29,MAX(0,(Inputs!$B$3-100)*3)+Inputs!$B$28+Inputs!$B$29)))</f>
        <v/>
      </c>
      <c r="E3238">
        <f>INDEX(FactorTable!$B$2:$Y$301, MATCH(ROUND(MIN(300,MAX(1,D3238)),0), FactorTable!$A$2:$A$301,0), Skills!M25+1)</f>
        <v/>
      </c>
      <c r="F3238">
        <f>IF(Skills!N25=TRUE,(Skills!L25/10)*(E3238/1000),Skills!L25/10)+Skills!O25</f>
        <v/>
      </c>
      <c r="G3238">
        <f>Skills!G25*IF(Skills!H25&gt;0,INT(IF(Inputs!$B$38="pvp",MIN(Skills!I25,15),Skills!I25)/Skills!H25+0.000000001),1)</f>
        <v/>
      </c>
      <c r="H3238">
        <f>1-(1-Skills!J25/100)^Skills!K25</f>
        <v/>
      </c>
      <c r="I3238" t="inlineStr">
        <is>
          <t>1</t>
        </is>
      </c>
      <c r="J3238" t="inlineStr"/>
      <c r="K3238" t="inlineStr"/>
      <c r="L3238" t="inlineStr"/>
      <c r="M3238" t="inlineStr"/>
      <c r="N3238" t="inlineStr"/>
      <c r="O3238">
        <f>(1-Summary!$B$11)*T3238+Summary!$B$11*V3238</f>
        <v/>
      </c>
      <c r="P3238">
        <f>IF(B3254=0,0,O3238/B3254)</f>
        <v/>
      </c>
      <c r="Q3238" t="n">
        <v>0</v>
      </c>
      <c r="R3238" t="n">
        <v>0</v>
      </c>
      <c r="S3238">
        <f>IFERROR(O3238/N3238,0)</f>
        <v/>
      </c>
      <c r="T3238" t="n">
        <v>0</v>
      </c>
      <c r="V3238" t="n">
        <v>0</v>
      </c>
    </row>
    <row r="3239">
      <c r="A3239">
        <f>Skills!A26</f>
        <v/>
      </c>
      <c r="B3239">
        <f>Skills!B26</f>
        <v/>
      </c>
      <c r="C3239">
        <f>Inputs!$B$3&gt;=75</f>
        <v/>
      </c>
      <c r="D3239">
        <f>IF(Skills!C26=1,60+Inputs!$B$25+Inputs!$B$29,IF(Skills!C26=2,90+Inputs!$B$26+Inputs!$B$29,IF(Skills!C26=3,120+Inputs!$B$27+Inputs!$B$29,MAX(0,(Inputs!$B$3-100)*3)+Inputs!$B$28+Inputs!$B$29)))</f>
        <v/>
      </c>
      <c r="E3239">
        <f>INDEX(FactorTable!$B$2:$Y$301, MATCH(ROUND(MIN(300,MAX(1,D3239)),0), FactorTable!$A$2:$A$301,0), Skills!M26+1)</f>
        <v/>
      </c>
      <c r="F3239">
        <f>IF(Skills!N26=TRUE,(Skills!L26/10)*(E3239/1000),Skills!L26/10)+Skills!O26</f>
        <v/>
      </c>
      <c r="G3239">
        <f>Skills!G26*IF(Skills!H26&gt;0,INT(IF(Inputs!$B$38="pvp",MIN(Skills!I26,15),Skills!I26)/Skills!H26+0.000000001),1)</f>
        <v/>
      </c>
      <c r="H3239">
        <f>1-(1-Skills!J26/100)^Skills!K26</f>
        <v/>
      </c>
      <c r="I3239" t="inlineStr">
        <is>
          <t>1</t>
        </is>
      </c>
      <c r="J3239" t="inlineStr"/>
      <c r="K3239" t="inlineStr"/>
      <c r="L3239" t="inlineStr"/>
      <c r="M3239" t="inlineStr"/>
      <c r="N3239" t="inlineStr"/>
      <c r="O3239">
        <f>(1-Summary!$B$11)*T3239+Summary!$B$11*V3239</f>
        <v/>
      </c>
      <c r="P3239">
        <f>IF(B3254=0,0,O3239/B3254)</f>
        <v/>
      </c>
      <c r="Q3239" t="n">
        <v>0</v>
      </c>
      <c r="R3239" t="n">
        <v>0</v>
      </c>
      <c r="S3239">
        <f>IFERROR(O3239/N3239,0)</f>
        <v/>
      </c>
      <c r="T3239" t="n">
        <v>0</v>
      </c>
      <c r="V3239" t="n">
        <v>0</v>
      </c>
    </row>
    <row r="3240">
      <c r="A3240">
        <f>Skills!A27</f>
        <v/>
      </c>
      <c r="B3240">
        <f>Skills!B27</f>
        <v/>
      </c>
      <c r="C3240">
        <f>Inputs!$B$3&gt;=125</f>
        <v/>
      </c>
      <c r="D3240">
        <f>IF(Skills!C27=1,60+Inputs!$B$25+Inputs!$B$29,IF(Skills!C27=2,90+Inputs!$B$26+Inputs!$B$29,IF(Skills!C27=3,120+Inputs!$B$27+Inputs!$B$29,MAX(0,(Inputs!$B$3-100)*3)+Inputs!$B$28+Inputs!$B$29)))</f>
        <v/>
      </c>
      <c r="E3240">
        <f>INDEX(FactorTable!$B$2:$Y$301, MATCH(ROUND(MIN(300,MAX(1,D3240)),0), FactorTable!$A$2:$A$301,0), Skills!M27+1)</f>
        <v/>
      </c>
      <c r="F3240">
        <f>IF(Skills!N27=TRUE,(Skills!L27/10)*(E3240/1000),Skills!L27/10)+Skills!O27</f>
        <v/>
      </c>
      <c r="G3240">
        <f>Skills!G27*IF(Skills!H27&gt;0,INT(IF(Inputs!$B$38="pvp",MIN(Skills!I27,15),Skills!I27)/Skills!H27+0.000000001),1)</f>
        <v/>
      </c>
      <c r="H3240">
        <f>1-(1-Skills!J27/100)^Skills!K27</f>
        <v/>
      </c>
      <c r="I3240" t="inlineStr">
        <is>
          <t>1</t>
        </is>
      </c>
      <c r="J3240" t="inlineStr"/>
      <c r="K3240" t="inlineStr"/>
      <c r="L3240" t="inlineStr"/>
      <c r="M3240" t="inlineStr"/>
      <c r="N3240" t="inlineStr"/>
      <c r="O3240">
        <f>(1-Summary!$B$11)*T3240+Summary!$B$11*V3240</f>
        <v/>
      </c>
      <c r="P3240">
        <f>IF(B3254=0,0,O3240/B3254)</f>
        <v/>
      </c>
      <c r="Q3240" t="n">
        <v>0</v>
      </c>
      <c r="R3240" t="n">
        <v>0</v>
      </c>
      <c r="S3240">
        <f>IFERROR(O3240/N3240,0)</f>
        <v/>
      </c>
      <c r="T3240" t="n">
        <v>0</v>
      </c>
      <c r="V3240" t="n">
        <v>0</v>
      </c>
    </row>
    <row r="3241">
      <c r="A3241">
        <f>Skills!A28</f>
        <v/>
      </c>
      <c r="B3241">
        <f>Skills!B28</f>
        <v/>
      </c>
      <c r="C3241">
        <f>TRUE</f>
        <v/>
      </c>
      <c r="D3241">
        <f>IF(Skills!C28=1,60+Inputs!$B$25+Inputs!$B$29,IF(Skills!C28=2,90+Inputs!$B$26+Inputs!$B$29,IF(Skills!C28=3,120+Inputs!$B$27+Inputs!$B$29,MAX(0,(Inputs!$B$3-100)*3)+Inputs!$B$28+Inputs!$B$29)))</f>
        <v/>
      </c>
      <c r="E3241">
        <f>INDEX(FactorTable!$B$2:$Y$301, MATCH(ROUND(MIN(300,MAX(1,D3241)),0), FactorTable!$A$2:$A$301,0), Skills!M28+1)</f>
        <v/>
      </c>
      <c r="F3241">
        <f>IF(Skills!N28=TRUE,(Skills!L28/10)*(E3241/1000),Skills!L28/10)+Skills!O28</f>
        <v/>
      </c>
      <c r="G3241">
        <f>Skills!G28*IF(Skills!H28&gt;0,INT(IF(Inputs!$B$38="pvp",MIN(Skills!I28,15),Skills!I28)/Skills!H28+0.000000001),1)</f>
        <v/>
      </c>
      <c r="H3241">
        <f>1-(1-Skills!J28/100)^Skills!K28</f>
        <v/>
      </c>
      <c r="I3241" t="inlineStr">
        <is>
          <t>1</t>
        </is>
      </c>
      <c r="J3241" t="inlineStr"/>
      <c r="K3241" t="inlineStr"/>
      <c r="L3241" t="inlineStr"/>
      <c r="M3241" t="inlineStr"/>
      <c r="N3241" t="inlineStr"/>
      <c r="O3241">
        <f>(1-Summary!$B$11)*T3241+Summary!$B$11*V3241</f>
        <v/>
      </c>
      <c r="P3241">
        <f>IF(B3254=0,0,O3241/B3254)</f>
        <v/>
      </c>
      <c r="Q3241">
        <f>IFERROR(1/(IF(Inputs!$B$38="pvp",15,MAX(0.1,Skills!D28-IF(TRUE=TRUE,3.5,0)))*(1-IF(AND(ArtifactsInput!$M$27,Inputs!$B$4="Chapter Hunt"),CHOOSE(ArtifactsInput!$N$27+1,20,24,28,32,36,40),0)/100)),0)</f>
        <v/>
      </c>
      <c r="R3241">
        <f>IF(AND(Inputs!$B$38&lt;&gt;"pvp",Inputs!$B$43&gt;0),IF(Inputs!$B$43&lt;=0,0,(INT(Inputs!$B$43/(IF(Inputs!$B$38="pvp",15,MAX(0.1,Skills!D28-IF(TRUE=TRUE,3.5,0)))*(1-IF(AND(ArtifactsInput!$M$27,Inputs!$B$4="Chapter Hunt"),CHOOSE(ArtifactsInput!$N$27+1,20,24,28,32,36,40),0)/100)))+1)),0)</f>
        <v/>
      </c>
      <c r="S3241">
        <f>IFERROR(O3241/N3241,0)</f>
        <v/>
      </c>
      <c r="T3241" t="n">
        <v>0</v>
      </c>
      <c r="V3241" t="n">
        <v>0</v>
      </c>
    </row>
    <row r="3243">
      <c r="A3243" t="inlineStr">
        <is>
          <t>Attack% Bucket Multiplier</t>
        </is>
      </c>
      <c r="B3243">
        <f>(1+(((C3230=TRUE)*F3230*5/7)+((C3237=TRUE)*(F3237-Calc!F24))+(IF(ArtifactsInput!$M$21,CHOOSE(ArtifactsInput!$N$21+1,25,30,35,40,45,50)*(IF(OR(Inputs!$B$4="Chapter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3244">
      <c r="A3244" t="inlineStr">
        <is>
          <t>Global Crit Rate Bonus %</t>
        </is>
      </c>
      <c r="B3244" t="n">
        <v>0</v>
      </c>
    </row>
    <row r="3245">
      <c r="A3245" t="inlineStr">
        <is>
          <t>Attack Speed Buff Bonus % (Nimble Feet, duty-cycle averaged)</t>
        </is>
      </c>
      <c r="B3245">
        <f>((C3241=TRUE)*F3241*IF(AND(Inputs!$B$38&lt;&gt;"pvp",Inputs!$B$43&gt;0),(((R3241-1)*MIN((Skills!T28*(1+Inputs!$B$34/100)),(1/Q3241))+MIN((Skills!T28*(1+Inputs!$B$34/100)),MAX(0,Inputs!$B$43-((R3241-1)*(1/Q3241)))))/Inputs!$B$43),IF(Inputs!$B$38="pvp",MIN((Skills!T28*(1+Inputs!$B$34/100)),15)/15,MIN(1,(Skills!T28*(1+Inputs!$B$34/100))/(1/Q3241)))))</f>
        <v/>
      </c>
    </row>
    <row r="3246">
      <c r="A3246" t="inlineStr">
        <is>
          <t>Actions Per Second</t>
        </is>
      </c>
      <c r="B3246">
        <f>1+MIN(150,150*(1-(1-(Inputs!$B$11+((C3233=TRUE)*(F3233-Calc!F20))+((C3234=TRUE)*(F3234-Calc!F21)))/150)*(1-B3245/150)))/100</f>
        <v/>
      </c>
    </row>
    <row r="3247">
      <c r="A3247" t="inlineStr">
        <is>
          <t>Skill + Buff Cast Rate</t>
        </is>
      </c>
      <c r="B3247">
        <f>IF(AND(Inputs!$B$38&lt;&gt;"pvp",Inputs!$B$43&gt;0),SUMPRODUCT((Skills!E2:E28=TRUE)*(C3215:C3241=TRUE)*R3215:R3241*Skills!F2:F28)/Inputs!$B$43,SUMPRODUCT((Skills!E2:E28=TRUE)*(C3215:C3241=TRUE)*Q3215:Q3241*Skills!F2:F28))</f>
        <v/>
      </c>
    </row>
    <row r="3248">
      <c r="A3248" t="inlineStr">
        <is>
          <t>Eight-Legs Easton Casts Per Second</t>
        </is>
      </c>
      <c r="B3248">
        <f>MAX(0,B3246-B3247)</f>
        <v/>
      </c>
    </row>
    <row r="3249">
      <c r="A3249" t="inlineStr">
        <is>
          <t>Global Critical Damage Bonus % (unused)</t>
        </is>
      </c>
      <c r="B3249" t="n">
        <v>0</v>
      </c>
    </row>
    <row r="3250">
      <c r="A3250" t="inlineStr">
        <is>
          <t>Global Final Damage Bonus % (Jolly Roger + Ahoy Mateys - Final Damage proc)</t>
        </is>
      </c>
      <c r="B3250">
        <f>((C3231=TRUE)*F3231*IF(AND(Inputs!$B$38&lt;&gt;"pvp",Inputs!$B$43&gt;0),(((R3231-1)*MIN((Skills!T18*(1+Inputs!$B$34/100)),(1/Q3231))+MIN((Skills!T18*(1+Inputs!$B$34/100)),MAX(0,Inputs!$B$43-((R3231-1)*(1/Q3231)))))/Inputs!$B$43),IF(Inputs!$B$38="pvp",MIN((Skills!T18*(1+Inputs!$B$34/100)),15)/15,MIN(1,(Skills!T18*(1+Inputs!$B$34/100))/(1/Q3231)))))+IF(Inputs!$B$3&gt;=122,20*IF(Inputs!$B$38="pvp",MIN((20*(1+Inputs!$B$34/100)),15)/15,MIN(1,(20*(1+Inputs!$B$34/100))/(1/Q3217))),0)</f>
        <v/>
      </c>
    </row>
    <row r="3251">
      <c r="A3251" t="inlineStr">
        <is>
          <t>Buff-Casting Startup Delay (s, fixed-duration only)</t>
        </is>
      </c>
      <c r="B3251">
        <f>IF(AND(Inputs!$B$38&lt;&gt;"pvp",Inputs!$B$43&gt;0),SUMPRODUCT((Skills!T2:T28&gt;0)*(Skills!E2:E28=TRUE)*(C3215:C3241=TRUE))/B3246,0)</f>
        <v/>
      </c>
    </row>
    <row r="3252">
      <c r="A3252" t="inlineStr">
        <is>
          <t>Boss-Only Total DPS (this block's swept value)</t>
        </is>
      </c>
      <c r="B3252">
        <f>SUM(T3215:T3241)</f>
        <v/>
      </c>
    </row>
    <row r="3253">
      <c r="A3253" t="inlineStr">
        <is>
          <t>Normal-Only Total DPS (this block's swept value)</t>
        </is>
      </c>
      <c r="B3253">
        <f>SUM(V3215:V3241)</f>
        <v/>
      </c>
    </row>
    <row r="3254">
      <c r="A3254" s="6" t="inlineStr">
        <is>
          <t>TOTAL DPS</t>
        </is>
      </c>
      <c r="B3254" s="6">
        <f>SUM(O3215:O3241)</f>
        <v/>
      </c>
    </row>
    <row r="3255">
      <c r="A3255" t="inlineStr">
        <is>
          <t>Quickdraw cooldown divisor (this block's own APS / Q)</t>
        </is>
      </c>
      <c r="B3255">
        <f>IF(AND(C3240=TRUE,Inputs!$B$38&lt;&gt;"pvp"),1+0.25*MAX(0,(B3246-(((C3216=TRUE)*Q3216*1)+((C3217=TRUE)*Q3217*1)+((C3219=TRUE)*Q3219*1)+((C3220=TRUE)*Q3220*1)+((C3222=TRUE)*Q3222*1)+((C3225=TRUE)*Q3225*1)+((C3231=TRUE)*Q3231*1)+((C3241=TRUE)*Q3241*1))-((C3221=TRUE)/(IF(Inputs!$B$38="pvp",15,MAX(0.1,Skills!D8-IF(TRUE=TRUE,3.5,0)))*(1-IF(AND(ArtifactsInput!$M$27,Inputs!$B$4="Chapter Hunt"),CHOOSE(ArtifactsInput!$N$27+1,20,24,28,32,36,40),0)/100))+(C3224=TRUE)/(IF(Inputs!$B$38="pvp",15,MAX(0.1,Skills!D11-IF(TRUE=TRUE,3.5,0)))*(1-IF(AND(ArtifactsInput!$M$27,Inputs!$B$4="Chapter Hunt"),CHOOSE(ArtifactsInput!$N$27+1,20,24,28,32,36,40),0)/100))))/(1+0.25*((C3221=TRUE)/(IF(Inputs!$B$38="pvp",15,MAX(0.1,Skills!D8-IF(TRUE=TRUE,3.5,0)))*(1-IF(AND(ArtifactsInput!$M$27,Inputs!$B$4="Chapter Hunt"),CHOOSE(ArtifactsInput!$N$27+1,20,24,28,32,36,40),0)/100))+(C3224=TRUE)/(IF(Inputs!$B$38="pvp",15,MAX(0.1,Skills!D11-IF(TRUE=TRUE,3.5,0)))*(1-IF(AND(ArtifactsInput!$M$27,Inputs!$B$4="Chapter Hunt"),CHOOSE(ArtifactsInput!$N$27+1,20,24,28,32,36,40),0)/100))))),1)</f>
        <v/>
      </c>
    </row>
    <row r="3256">
      <c r="A3256" t="inlineStr">
        <is>
          <t>Nautilus Strike - Final Attack trigger rate (this block's own Q/R)</t>
        </is>
      </c>
      <c r="B3256">
        <f>IF(AND(Inputs!$B$38&lt;&gt;"pvp",Inputs!$B$43&gt;0),(((C3216=TRUE)*R3216)+((C3219=TRUE)*R3219)+((C3221=TRUE)*R3221)+((C3222=TRUE)*R3222)+((C3224=TRUE)*R3224))/Inputs!$B$43,((C3216=TRUE)*Q3216)+((C3219=TRUE)*Q3219)+((C3221=TRUE)*Q3221)+((C3222=TRUE)*Q3222)+((C3224=TRUE)*Q3224))+B3248</f>
        <v/>
      </c>
    </row>
    <row r="3259">
      <c r="A3259" s="6" t="inlineStr">
        <is>
          <t>Stat: CDR = 4.0s</t>
        </is>
      </c>
    </row>
    <row r="3260">
      <c r="A3260" s="5" t="inlineStr">
        <is>
          <t>Key</t>
        </is>
      </c>
      <c r="B3260" s="5" t="inlineStr">
        <is>
          <t>Name</t>
        </is>
      </c>
      <c r="C3260" s="5" t="inlineStr">
        <is>
          <t>Unlocked</t>
        </is>
      </c>
      <c r="D3260" s="5" t="inlineStr">
        <is>
          <t>InputLevel</t>
        </is>
      </c>
      <c r="E3260" s="5" t="inlineStr">
        <is>
          <t>Factor</t>
        </is>
      </c>
      <c r="F3260" s="5" t="inlineStr">
        <is>
          <t>CoefficientPercent</t>
        </is>
      </c>
      <c r="G3260" s="5" t="inlineStr">
        <is>
          <t>EffectiveHits</t>
        </is>
      </c>
      <c r="H3260" s="5" t="inlineStr">
        <is>
          <t>ProcProbability</t>
        </is>
      </c>
      <c r="I3260" s="5" t="inlineStr">
        <is>
          <t>MapleHeroMultiplier</t>
        </is>
      </c>
      <c r="J3260" s="5" t="inlineStr">
        <is>
          <t>BaseDamage</t>
        </is>
      </c>
      <c r="K3260" s="5" t="inlineStr">
        <is>
          <t>BaseHitDamage</t>
        </is>
      </c>
      <c r="L3260" s="5" t="inlineStr">
        <is>
          <t>NonCritAvg</t>
        </is>
      </c>
      <c r="M3260" s="5" t="inlineStr">
        <is>
          <t>CritAvg</t>
        </is>
      </c>
      <c r="N3260" s="5" t="inlineStr">
        <is>
          <t>ExpectedDamage(perHit)</t>
        </is>
      </c>
      <c r="O3260" s="5" t="inlineStr">
        <is>
          <t>DPS</t>
        </is>
      </c>
      <c r="P3260" s="5" t="inlineStr">
        <is>
          <t>% of Total</t>
        </is>
      </c>
      <c r="Q3260" s="5" t="inlineStr">
        <is>
          <t>InvCooldown</t>
        </is>
      </c>
      <c r="R3260" s="5" t="inlineStr">
        <is>
          <t>CastsInFight</t>
        </is>
      </c>
      <c r="S3260" s="5" t="inlineStr">
        <is>
          <t>HitRate(perSec)</t>
        </is>
      </c>
      <c r="U3260" t="inlineStr">
        <is>
          <t>helpers</t>
        </is>
      </c>
    </row>
    <row r="3261">
      <c r="A3261">
        <f>Skills!A2</f>
        <v/>
      </c>
      <c r="B3261">
        <f>Skills!B2</f>
        <v/>
      </c>
      <c r="C3261">
        <f>Inputs!$B$3&gt;=100</f>
        <v/>
      </c>
      <c r="D3261" t="inlineStr"/>
      <c r="E3261" t="inlineStr"/>
      <c r="F3261">
        <f>U3263+Skills!O2</f>
        <v/>
      </c>
      <c r="G3261">
        <f>Skills!G2*IF(Skills!H2&gt;0,INT(IF(Inputs!$B$38="pvp",MIN(Skills!I2,15),Skills!I2)/Skills!H2+0.000000001),1)</f>
        <v/>
      </c>
      <c r="H3261">
        <f>1-(1-Skills!J2/100)^Skills!K2</f>
        <v/>
      </c>
      <c r="I3261" t="inlineStr">
        <is>
          <t>1</t>
        </is>
      </c>
      <c r="J3261">
        <f>((Inputs!$B$6*(1+Inputs!$B$7/100))+(((Inputs!$B$12*(1+Inputs!$B$13/100))-(Inputs!$B$12*(1+Inputs!$B$13/100)))+0.25*(Inputs!$B$14-Inputs!$B$14))*(1+Inputs!$B$7/100))*(F3261/100)</f>
        <v/>
      </c>
      <c r="K3261">
        <f>J3261*(1+((Inputs!$B$12*(1+Inputs!$B$13/100))*0.01+Inputs!$B$14*0.0025)/100)*(1+Inputs!$B$15/100)*(1+Inputs!$B$16/100)*(5000/(6000+Inputs!$B$42*(1-(100*(1-(1-(Inputs!$B$19+0)/100)*(1-CHOOSE(ArtifactsInput!$N$40+1,5,6,7,8,9,10)/100)^(ArtifactsInput!$M$40-ArtifactsInput!$M$40)))/100)))*(1+(Inputs!$B$24+((C3285=TRUE)*(F3285-Calc!F26))+B3296)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IGHT_LEGS_EASTON",Inputs!$B$17+((C3282=TRUE)*(F3282-Calc!F23))+((C3286=TRUE)*(F3286-Calc!F27))+((IF(AND(Inputs!$B$38&lt;&gt;"pvp",Inputs!$B$43=0),1,IF(IF(Inputs!$B$38="pvp",15,Inputs!$B$43)-(B3297)&lt;=0,1,MAX(0,IF(Inputs!$B$38="pvp",15,Inputs!$B$43)-MAX(5,B3297))/(IF(Inputs!$B$38="pvp",15,Inputs!$B$43)-(B3297))))*(IF(AND(ArtifactsInput!$M$42,((Inputs!$B$9+((C3278=TRUE)*(F3278-Calc!F19))+B3290+(ArtifactsInput!$M$24-ArtifactsInput!$M$24)*CHOOSE(ArtifactsInput!$N$24+1,10,12,14,16,18,20)+IF(ArtifactsInput!$M$10,CHOOSE(ArtifactsInput!$N$10+1,15,18,21,24,27,30)*(IF(Inputs!$B$38="pvp",MIN(15,15)/15,IF(AND(Inputs!$B$38&lt;&gt;"pvp",Inputs!$B$43&gt;0),MIN(15,Inputs!$B$43)/(Inputs!$B$43),0))),0)))&gt;=100),MIN(100,((Inputs!$B$9+((C3278=TRUE)*(F3278-Calc!F19))+B3290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3297)&lt;=0,1,MAX(0,IF(Inputs!$B$38="pvp",15,Inputs!$B$43)-MAX(5,B3297))/(IF(Inputs!$B$38="pvp",15,Inputs!$B$43)-(B3297))))*IF(AND(ArtifactsInput!$M$42,((Inputs!$B$9+((C3278=TRUE)*(F3278-Calc!F19))+B3290+(ArtifactsInput!$M$24-ArtifactsInput!$M$24)*CHOOSE(ArtifactsInput!$N$24+1,10,12,14,16,18,20)+IF(ArtifactsInput!$M$10,CHOOSE(ArtifactsInput!$N$10+1,15,18,21,24,27,30)*(IF(Inputs!$B$38="pvp",MIN(15,15)/15,IF(AND(Inputs!$B$38&lt;&gt;"pvp",Inputs!$B$43&gt;0),MIN(15,Inputs!$B$43)/(Inputs!$B$43),0))),0)))&gt;=100),CHOOSE(ArtifactsInput!$N$42+1,40,48,56,64,72,80),0))))/100)*((1+(((C3276=TRUE)*F3276*5/7)+((C3283=TRUE)*(F3283-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3261)</f>
        <v/>
      </c>
      <c r="L3261">
        <f>K3261*(MIN(Inputs!$B$22+((C3281=TRUE)*(F3281-Calc!F22)),(Inputs!$B$23+0+(IF(ArtifactsInput!$M$15,CHOOSE(ArtifactsInput!$N$15+1,25,30,35,40,45,50)/100*(Inputs!$B$11-Inputs!$B$11),0))))/100+(Inputs!$B$23+0+(IF(ArtifactsInput!$M$15,CHOOSE(ArtifactsInput!$N$15+1,25,30,35,40,45,50)/100*(Inputs!$B$11-Inputs!$B$11),0)))/100)/2</f>
        <v/>
      </c>
      <c r="M3261">
        <f>L3261*(1+(Inputs!$B$10+((C3284=TRUE)*(F3284-Calc!F25))+B3295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261">
        <f>L3261*(1-MIN((Inputs!$B$9+((C3278=TRUE)*(F3278-Calc!F19))+B3290+(ArtifactsInput!$M$24-ArtifactsInput!$M$24)*CHOOSE(ArtifactsInput!$N$24+1,10,12,14,16,18,20)+(IF(AND(Inputs!$B$38&lt;&gt;"pvp",Inputs!$B$43=0),1,IF(IF(Inputs!$B$38="pvp",15,Inputs!$B$43)-(B3297)&lt;=0,1,MAX(0,IF(Inputs!$B$38="pvp",15,Inputs!$B$43)-MAX(5,B3297))/(IF(Inputs!$B$38="pvp",15,Inputs!$B$43)-(B3297))))*IF(AND(ArtifactsInput!$M$42,((Inputs!$B$9+((C3278=TRUE)*(F3278-Calc!F19))+B3290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3261*(MIN((Inputs!$B$9+((C3278=TRUE)*(F3278-Calc!F19))+B3290+(ArtifactsInput!$M$24-ArtifactsInput!$M$24)*CHOOSE(ArtifactsInput!$N$24+1,10,12,14,16,18,20)+(IF(AND(Inputs!$B$38&lt;&gt;"pvp",Inputs!$B$43=0),1,IF(IF(Inputs!$B$38="pvp",15,Inputs!$B$43)-(B3297)&lt;=0,1,MAX(0,IF(Inputs!$B$38="pvp",15,Inputs!$B$43)-MAX(5,B3297))/(IF(Inputs!$B$38="pvp",15,Inputs!$B$43)-(B3297))))*IF(AND(ArtifactsInput!$M$42,((Inputs!$B$9+((C3278=TRUE)*(F3278-Calc!F19))+B3290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261">
        <f>(1-Summary!$B$11)*T3261+Summary!$B$11*V3261</f>
        <v/>
      </c>
      <c r="P3261">
        <f>IF(B3300=0,0,O3261/B3300)</f>
        <v/>
      </c>
      <c r="Q3261" t="n">
        <v>0</v>
      </c>
      <c r="R3261" t="n">
        <v>0</v>
      </c>
      <c r="S3261">
        <f>IFERROR(O3261/N3261,0)</f>
        <v/>
      </c>
      <c r="T3261">
        <f>IF(C3261,(Skills!G2*N3261*B3294*(1+IF(C3286=TRUE,1/3,0)))*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Hunt"),CHOOSE(ArtifactsInput!$N$35+1,15,18,21,24,27,30)*(1-EXP(-(0.2*B3292)*5)),0)+IF(AND(ArtifactsInput!$M$22,Inputs!$B$4&lt;&gt;"Chapter Hunt"),CHOOSE(ArtifactsInput!$N$22+1,10,12,14,16,18,20)*((0*(((0.15*B3292*5))^0/1)+1*(((0.15*B3292*5))^1/1)+2*(((0.15*B3292*5))^2/2)+3*(((0.15*B3292*5))^3/6)+4*(((0.15*B3292*5))^4/24)+5*(((0.15*B3292*5))^5/120))/((((0.15*B3292*5))^0/1)+(((0.15*B3292*5))^1/1)+(((0.15*B3292*5))^2/2)+(((0.15*B3292*5))^3/6)+(((0.15*B3292*5))^4/24)+(((0.15*B3292*5))^5/120))),0))+IF(Inputs!$B$3&gt;=54,9*(C3262=TRUE)*MIN(1,8*(1+Inputs!$B$34/100)*Q3262)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3261*(1-MIN(100,(Inputs!$B$9+((C3278=TRUE)*(F3278-Calc!F19))+B3290+(ArtifactsInput!$M$24-ArtifactsInput!$M$24)*CHOOSE(ArtifactsInput!$N$24+1,10,12,14,16,18,20)+(IF(AND(Inputs!$B$38&lt;&gt;"pvp",Inputs!$B$43=0),1,IF(IF(Inputs!$B$38="pvp",15,Inputs!$B$43)-(B3297)&lt;=0,1,MAX(0,IF(Inputs!$B$38="pvp",15,Inputs!$B$43)-MAX(5,B3297))/(IF(Inputs!$B$38="pvp",15,Inputs!$B$43)-(B3297))))*IF(AND(ArtifactsInput!$M$42,((Inputs!$B$9+((C3278=TRUE)*(F3278-Calc!F19))+B3290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3261*(MIN(100,(Inputs!$B$9+((C3278=TRUE)*(F3278-Calc!F19))+B3290+(ArtifactsInput!$M$24-ArtifactsInput!$M$24)*CHOOSE(ArtifactsInput!$N$24+1,10,12,14,16,18,20)+(IF(AND(Inputs!$B$38&lt;&gt;"pvp",Inputs!$B$43=0),1,IF(IF(Inputs!$B$38="pvp",15,Inputs!$B$43)-(B3297)&lt;=0,1,MAX(0,IF(Inputs!$B$38="pvp",15,Inputs!$B$43)-MAX(5,B3297))/(IF(Inputs!$B$38="pvp",15,Inputs!$B$43)-(B3297))))*IF(AND(ArtifactsInput!$M$42,((Inputs!$B$9+((C3278=TRUE)*(F3278-Calc!F19))+B3290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3261*(1-MIN(100,(Inputs!$B$9+((C3278=TRUE)*(F3278-Calc!F19))+B3290+(ArtifactsInput!$M$24-ArtifactsInput!$M$24)*CHOOSE(ArtifactsInput!$N$24+1,10,12,14,16,18,20)+(IF(AND(Inputs!$B$38&lt;&gt;"pvp",Inputs!$B$43=0),1,IF(IF(Inputs!$B$38="pvp",15,Inputs!$B$43)-(B3297)&lt;=0,1,MAX(0,IF(Inputs!$B$38="pvp",15,Inputs!$B$43)-MAX(5,B3297))/(IF(Inputs!$B$38="pvp",15,Inputs!$B$43)-(B3297))))*IF(AND(ArtifactsInput!$M$42,((Inputs!$B$9+((C3278=TRUE)*(F3278-Calc!F19))+B3290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3261*(MIN(100,(Inputs!$B$9+((C3278=TRUE)*(F3278-Calc!F19))+B3290+(ArtifactsInput!$M$24-ArtifactsInput!$M$24)*CHOOSE(ArtifactsInput!$N$24+1,10,12,14,16,18,20)+(IF(AND(Inputs!$B$38&lt;&gt;"pvp",Inputs!$B$43=0),1,IF(IF(Inputs!$B$38="pvp",15,Inputs!$B$43)-(B3297)&lt;=0,1,MAX(0,IF(Inputs!$B$38="pvp",15,Inputs!$B$43)-MAX(5,B3297))/(IF(Inputs!$B$38="pvp",15,Inputs!$B$43)-(B3297))))*IF(AND(ArtifactsInput!$M$42,((Inputs!$B$9+((C3278=TRUE)*(F3278-Calc!F19))+B3290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261">
        <f>MAX(0,(Inputs!$B$3-100)*3)+Inputs!$B$28+Inputs!$B$29</f>
        <v/>
      </c>
      <c r="V3261">
        <f>IF(C3261,(Skills!G2*N3261*B3294*(1+IF(C3286=TRUE,1/3,0)))*IF(Inputs!$B$38="pvp",1,(1+(Inputs!$B$21+Skills!Q2+(IF(ArtifactsInput!$M$33,CHOOSE(ArtifactsInput!$N$33+1,30,36,42,48,54,60),0))+(IF(AND(ArtifactsInput!$M$35,Inputs!$B$4&lt;&gt;"Chapter Hunt"),CHOOSE(ArtifactsInput!$N$35+1,15,18,21,24,27,30)*(1-EXP(-(0.2*B3292)*5)),0)+IF(AND(ArtifactsInput!$M$22,Inputs!$B$4&lt;&gt;"Chapter Hunt"),CHOOSE(ArtifactsInput!$N$22+1,10,12,14,16,18,20)*((0*(((0.15*B3292*5))^0/1)+1*(((0.15*B3292*5))^1/1)+2*(((0.15*B3292*5))^2/2)+3*(((0.15*B3292*5))^3/6)+4*(((0.15*B3292*5))^4/24)+5*(((0.15*B3292*5))^5/120))/((((0.15*B3292*5))^0/1)+(((0.15*B3292*5))^1/1)+(((0.15*B3292*5))^2/2)+(((0.15*B3292*5))^3/6)+(((0.15*B3292*5))^4/24)+(((0.15*B3292*5))^5/120))),0))+IF(Inputs!$B$3&gt;=54,9*(C3262=TRUE)*MIN(1,8*(1+Inputs!$B$34/100)*Q3262),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262">
      <c r="A3262">
        <f>Skills!A3</f>
        <v/>
      </c>
      <c r="B3262">
        <f>Skills!B3</f>
        <v/>
      </c>
      <c r="C3262">
        <f>Inputs!$B$3&gt;=33</f>
        <v/>
      </c>
      <c r="D3262">
        <f>IF(Skills!C3=1,60+Inputs!$B$25+Inputs!$B$29,IF(Skills!C3=2,90+Inputs!$B$26+Inputs!$B$29,IF(Skills!C3=3,120+Inputs!$B$27+Inputs!$B$29,MAX(0,(Inputs!$B$3-100)*3)+Inputs!$B$28+Inputs!$B$29)))</f>
        <v/>
      </c>
      <c r="E3262">
        <f>INDEX(FactorTable!$B$2:$Y$301, MATCH(ROUND(MIN(300,MAX(1,D3262)),0), FactorTable!$A$2:$A$301,0), Skills!M3+1)</f>
        <v/>
      </c>
      <c r="F3262">
        <f>IF(Skills!N3=TRUE,(Skills!L3/10)*(E3262/1000),Skills!L3/10)+Skills!O3</f>
        <v/>
      </c>
      <c r="G3262">
        <f>Skills!G3*IF(Skills!H3&gt;0,INT(IF(Inputs!$B$38="pvp",MIN(Skills!I3,15),Skills!I3)/Skills!H3+0.000000001),1)</f>
        <v/>
      </c>
      <c r="H3262">
        <f>1-(1-Skills!J3/100)^Skills!K3</f>
        <v/>
      </c>
      <c r="I3262" t="inlineStr">
        <is>
          <t>1</t>
        </is>
      </c>
      <c r="J3262">
        <f>((Inputs!$B$6*(1+Inputs!$B$7/100))+(((Inputs!$B$12*(1+Inputs!$B$13/100))-(Inputs!$B$12*(1+Inputs!$B$13/100)))+0.25*(Inputs!$B$14-Inputs!$B$14))*(1+Inputs!$B$7/100))*(F3262/100)</f>
        <v/>
      </c>
      <c r="K3262">
        <f>J3262*(1+((Inputs!$B$12*(1+Inputs!$B$13/100))*0.01+Inputs!$B$14*0.0025)/100)*(1+Inputs!$B$15/100)*(1+Inputs!$B$16/100)*(5000/(6000+Inputs!$B$42*(1-(100*(1-(1-(Inputs!$B$19+0)/100)*(1-CHOOSE(ArtifactsInput!$N$40+1,5,6,7,8,9,10)/100)^(ArtifactsInput!$M$40-ArtifactsInput!$M$40)))/100)))*(1+(Inputs!$B$24+((C3285=TRUE)*(F3285-Calc!F26))+B3296)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3274=TRUE,F3274,0)/100)*(1+(IF(Skills!A3="EIGHT_LEGS_EASTON",Inputs!$B$17+((C3282=TRUE)*(F3282-Calc!F23))+((C3286=TRUE)*(F3286-Calc!F27))+((IF(AND(Inputs!$B$38&lt;&gt;"pvp",Inputs!$B$43=0),1,IF(IF(Inputs!$B$38="pvp",15,Inputs!$B$43)-(B3297)&lt;=0,1,MAX(0,IF(Inputs!$B$38="pvp",15,Inputs!$B$43)-MAX(5,B3297))/(IF(Inputs!$B$38="pvp",15,Inputs!$B$43)-(B3297))))*(IF(AND(ArtifactsInput!$M$42,((Inputs!$B$9+((C3278=TRUE)*(F3278-Calc!F19))+B3290+(ArtifactsInput!$M$24-ArtifactsInput!$M$24)*CHOOSE(ArtifactsInput!$N$24+1,10,12,14,16,18,20)+IF(ArtifactsInput!$M$10,CHOOSE(ArtifactsInput!$N$10+1,15,18,21,24,27,30)*(IF(Inputs!$B$38="pvp",MIN(15,15)/15,IF(AND(Inputs!$B$38&lt;&gt;"pvp",Inputs!$B$43&gt;0),MIN(15,Inputs!$B$43)/(Inputs!$B$43),0))),0)))&gt;=100),MIN(100,((Inputs!$B$9+((C3278=TRUE)*(F3278-Calc!F19))+B3290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3297)&lt;=0,1,MAX(0,IF(Inputs!$B$38="pvp",15,Inputs!$B$43)-MAX(5,B3297))/(IF(Inputs!$B$38="pvp",15,Inputs!$B$43)-(B3297))))*IF(AND(ArtifactsInput!$M$42,((Inputs!$B$9+((C3278=TRUE)*(F3278-Calc!F19))+B3290+(ArtifactsInput!$M$24-ArtifactsInput!$M$24)*CHOOSE(ArtifactsInput!$N$24+1,10,12,14,16,18,20)+IF(ArtifactsInput!$M$10,CHOOSE(ArtifactsInput!$N$10+1,15,18,21,24,27,30)*(IF(Inputs!$B$38="pvp",MIN(15,15)/15,IF(AND(Inputs!$B$38&lt;&gt;"pvp",Inputs!$B$43&gt;0),MIN(15,Inputs!$B$43)/(Inputs!$B$43),0))),0)))&gt;=100),CHOOSE(ArtifactsInput!$N$42+1,40,48,56,64,72,80),0))))/100)*((1+(((C3276=TRUE)*F3276*5/7)+((C3283=TRUE)*(F3283-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3262)</f>
        <v/>
      </c>
      <c r="L3262">
        <f>K3262*(MIN(Inputs!$B$22+((C3281=TRUE)*(F3281-Calc!F22)),(Inputs!$B$23+0+(IF(ArtifactsInput!$M$15,CHOOSE(ArtifactsInput!$N$15+1,25,30,35,40,45,50)/100*(Inputs!$B$11-Inputs!$B$11),0))))/100+(Inputs!$B$23+0+(IF(ArtifactsInput!$M$15,CHOOSE(ArtifactsInput!$N$15+1,25,30,35,40,45,50)/100*(Inputs!$B$11-Inputs!$B$11),0)))/100)/2</f>
        <v/>
      </c>
      <c r="M3262">
        <f>L3262*(1+(Inputs!$B$10+((C3284=TRUE)*(F3284-Calc!F25))+B3295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262">
        <f>L3262*(1-MIN((Inputs!$B$9+((C3278=TRUE)*(F3278-Calc!F19))+B3290+(ArtifactsInput!$M$24-ArtifactsInput!$M$24)*CHOOSE(ArtifactsInput!$N$24+1,10,12,14,16,18,20)+(IF(AND(Inputs!$B$38&lt;&gt;"pvp",Inputs!$B$43=0),1,IF(IF(Inputs!$B$38="pvp",15,Inputs!$B$43)-(B3297)&lt;=0,1,MAX(0,IF(Inputs!$B$38="pvp",15,Inputs!$B$43)-MAX(5,B3297))/(IF(Inputs!$B$38="pvp",15,Inputs!$B$43)-(B3297))))*IF(AND(ArtifactsInput!$M$42,((Inputs!$B$9+((C3278=TRUE)*(F3278-Calc!F19))+B3290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3262*(MIN((Inputs!$B$9+((C3278=TRUE)*(F3278-Calc!F19))+B3290+(ArtifactsInput!$M$24-ArtifactsInput!$M$24)*CHOOSE(ArtifactsInput!$N$24+1,10,12,14,16,18,20)+(IF(AND(Inputs!$B$38&lt;&gt;"pvp",Inputs!$B$43=0),1,IF(IF(Inputs!$B$38="pvp",15,Inputs!$B$43)-(B3297)&lt;=0,1,MAX(0,IF(Inputs!$B$38="pvp",15,Inputs!$B$43)-MAX(5,B3297))/(IF(Inputs!$B$38="pvp",15,Inputs!$B$43)-(B3297))))*IF(AND(ArtifactsInput!$M$42,((Inputs!$B$9+((C3278=TRUE)*(F3278-Calc!F19))+B3290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262">
        <f>(1-Summary!$B$11)*T3262+Summary!$B$11*V3262</f>
        <v/>
      </c>
      <c r="P3262">
        <f>IF(B3300=0,0,O3262/B3300)</f>
        <v/>
      </c>
      <c r="Q3262">
        <f>IFERROR(1/(IF(Inputs!$B$38="pvp",15,MAX(0.1,Skills!D3-IF(TRUE=TRUE,4.0,0)))*(1-IF(AND(ArtifactsInput!$M$27,Inputs!$B$4="Chapter Hunt"),CHOOSE(ArtifactsInput!$N$27+1,20,24,28,32,36,40),0)/100)),0)</f>
        <v/>
      </c>
      <c r="R3262">
        <f>IF(AND(Inputs!$B$38&lt;&gt;"pvp",Inputs!$B$43&gt;0),IF(MAX(0,Inputs!$B$43-B3297)&lt;=0,0,(INT(MAX(0,Inputs!$B$43-B3297)/(IF(Inputs!$B$38="pvp",15,MAX(0.1,Skills!D3-IF(TRUE=TRUE,4.0,0)))*(1-IF(AND(ArtifactsInput!$M$27,Inputs!$B$4="Chapter Hunt"),CHOOSE(ArtifactsInput!$N$27+1,20,24,28,32,36,40),0)/100)))+1)),0)</f>
        <v/>
      </c>
      <c r="S3262">
        <f>IFERROR(O3262/N3262,0)</f>
        <v/>
      </c>
      <c r="T3262">
        <f>IF(C3262,(H3262*N3262*IF(AND(Inputs!$B$38&lt;&gt;"pvp",Inputs!$B$43&gt;0),((Skills!G3*((R3262-1)*IF(Skills!H3&gt;0,INT(Skills!I3/Skills!H3+0.000000001),1)+IF(Skills!H3&gt;0,INT(MIN(Skills!I3,MAX(0,MAX(0,Inputs!$B$43-B3297)-((R3262-1)*(IF(Inputs!$B$38="pvp",15,MAX(0.1,Skills!D3-IF(TRUE=TRUE,4.0,0)))*(1-IF(AND(ArtifactsInput!$M$27,Inputs!$B$4="Chapter Hunt"),CHOOSE(ArtifactsInput!$N$27+1,20,24,28,32,36,40),0)/100)))))/Skills!H3+0.000000001),1)))/Inputs!$B$43),G3262*Q3262))*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Hunt"),CHOOSE(ArtifactsInput!$N$35+1,15,18,21,24,27,30)*(1-EXP(-(0.2*B3292)*5)),0)+IF(AND(ArtifactsInput!$M$22,Inputs!$B$4&lt;&gt;"Chapter Hunt"),CHOOSE(ArtifactsInput!$N$22+1,10,12,14,16,18,20)*((0*(((0.15*B3292*5))^0/1)+1*(((0.15*B3292*5))^1/1)+2*(((0.15*B3292*5))^2/2)+3*(((0.15*B3292*5))^3/6)+4*(((0.15*B3292*5))^4/24)+5*(((0.15*B3292*5))^5/120))/((((0.15*B3292*5))^0/1)+(((0.15*B3292*5))^1/1)+(((0.15*B3292*5))^2/2)+(((0.15*B3292*5))^3/6)+(((0.15*B3292*5))^4/24)+(((0.15*B3292*5))^5/120))),0))+IF(Inputs!$B$3&gt;=54,9*(C3262=TRUE)*MIN(1,8*(1+Inputs!$B$34/100)*Q3262)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3262*(1-MIN(100,(Inputs!$B$9+((C3278=TRUE)*(F3278-Calc!F19))+B3290+(ArtifactsInput!$M$24-ArtifactsInput!$M$24)*CHOOSE(ArtifactsInput!$N$24+1,10,12,14,16,18,20)+(IF(AND(Inputs!$B$38&lt;&gt;"pvp",Inputs!$B$43=0),1,IF(IF(Inputs!$B$38="pvp",15,Inputs!$B$43)-(B3297)&lt;=0,1,MAX(0,IF(Inputs!$B$38="pvp",15,Inputs!$B$43)-MAX(5,B3297))/(IF(Inputs!$B$38="pvp",15,Inputs!$B$43)-(B3297))))*IF(AND(ArtifactsInput!$M$42,((Inputs!$B$9+((C3278=TRUE)*(F3278-Calc!F19))+B3290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3262*(MIN(100,(Inputs!$B$9+((C3278=TRUE)*(F3278-Calc!F19))+B3290+(ArtifactsInput!$M$24-ArtifactsInput!$M$24)*CHOOSE(ArtifactsInput!$N$24+1,10,12,14,16,18,20)+(IF(AND(Inputs!$B$38&lt;&gt;"pvp",Inputs!$B$43=0),1,IF(IF(Inputs!$B$38="pvp",15,Inputs!$B$43)-(B3297)&lt;=0,1,MAX(0,IF(Inputs!$B$38="pvp",15,Inputs!$B$43)-MAX(5,B3297))/(IF(Inputs!$B$38="pvp",15,Inputs!$B$43)-(B3297))))*IF(AND(ArtifactsInput!$M$42,((Inputs!$B$9+((C3278=TRUE)*(F3278-Calc!F19))+B3290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3262*(1-MIN(100,(Inputs!$B$9+((C3278=TRUE)*(F3278-Calc!F19))+B3290+(ArtifactsInput!$M$24-ArtifactsInput!$M$24)*CHOOSE(ArtifactsInput!$N$24+1,10,12,14,16,18,20)+(IF(AND(Inputs!$B$38&lt;&gt;"pvp",Inputs!$B$43=0),1,IF(IF(Inputs!$B$38="pvp",15,Inputs!$B$43)-(B3297)&lt;=0,1,MAX(0,IF(Inputs!$B$38="pvp",15,Inputs!$B$43)-MAX(5,B3297))/(IF(Inputs!$B$38="pvp",15,Inputs!$B$43)-(B3297))))*IF(AND(ArtifactsInput!$M$42,((Inputs!$B$9+((C3278=TRUE)*(F3278-Calc!F19))+B3290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3262*(MIN(100,(Inputs!$B$9+((C3278=TRUE)*(F3278-Calc!F19))+B3290+(ArtifactsInput!$M$24-ArtifactsInput!$M$24)*CHOOSE(ArtifactsInput!$N$24+1,10,12,14,16,18,20)+(IF(AND(Inputs!$B$38&lt;&gt;"pvp",Inputs!$B$43=0),1,IF(IF(Inputs!$B$38="pvp",15,Inputs!$B$43)-(B3297)&lt;=0,1,MAX(0,IF(Inputs!$B$38="pvp",15,Inputs!$B$43)-MAX(5,B3297))/(IF(Inputs!$B$38="pvp",15,Inputs!$B$43)-(B3297))))*IF(AND(ArtifactsInput!$M$42,((Inputs!$B$9+((C3278=TRUE)*(F3278-Calc!F19))+B3290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262">
        <f>INDEX(FactorTable!$B$2:$Y$301, MATCH(ROUND(MIN(300,MAX(1,U3261)),0), FactorTable!$A$2:$A$301,0), 22)</f>
        <v/>
      </c>
      <c r="V3262">
        <f>IF(C3262,(H3262*N3262*IF(AND(Inputs!$B$38&lt;&gt;"pvp",Inputs!$B$43&gt;0),((Skills!G3*((R3262-1)*IF(Skills!H3&gt;0,INT(Skills!I3/Skills!H3+0.000000001),1)+IF(Skills!H3&gt;0,INT(MIN(Skills!I3,MAX(0,MAX(0,Inputs!$B$43-B3297)-((R3262-1)*(IF(Inputs!$B$38="pvp",15,MAX(0.1,Skills!D3-IF(TRUE=TRUE,4.0,0)))*(1-IF(AND(ArtifactsInput!$M$27,Inputs!$B$4="Chapter Hunt"),CHOOSE(ArtifactsInput!$N$27+1,20,24,28,32,36,40),0)/100)))))/Skills!H3+0.000000001),1)))/Inputs!$B$43),G3262*Q3262))*IF(Inputs!$B$38="pvp",1,(1+(Inputs!$B$21+Skills!Q3+(IF(ArtifactsInput!$M$33,CHOOSE(ArtifactsInput!$N$33+1,30,36,42,48,54,60),0))+(IF(AND(ArtifactsInput!$M$35,Inputs!$B$4&lt;&gt;"Chapter Hunt"),CHOOSE(ArtifactsInput!$N$35+1,15,18,21,24,27,30)*(1-EXP(-(0.2*B3292)*5)),0)+IF(AND(ArtifactsInput!$M$22,Inputs!$B$4&lt;&gt;"Chapter Hunt"),CHOOSE(ArtifactsInput!$N$22+1,10,12,14,16,18,20)*((0*(((0.15*B3292*5))^0/1)+1*(((0.15*B3292*5))^1/1)+2*(((0.15*B3292*5))^2/2)+3*(((0.15*B3292*5))^3/6)+4*(((0.15*B3292*5))^4/24)+5*(((0.15*B3292*5))^5/120))/((((0.15*B3292*5))^0/1)+(((0.15*B3292*5))^1/1)+(((0.15*B3292*5))^2/2)+(((0.15*B3292*5))^3/6)+(((0.15*B3292*5))^4/24)+(((0.15*B3292*5))^5/120))),0))+IF(Inputs!$B$3&gt;=54,9*(C3262=TRUE)*MIN(1,8*(1+Inputs!$B$34/100)*Q3262),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263">
      <c r="A3263">
        <f>Skills!A4</f>
        <v/>
      </c>
      <c r="B3263">
        <f>Skills!B4</f>
        <v/>
      </c>
      <c r="C3263">
        <f>Inputs!$B$3&gt;=35</f>
        <v/>
      </c>
      <c r="D3263">
        <f>IF(Skills!C4=1,60+Inputs!$B$25+Inputs!$B$29,IF(Skills!C4=2,90+Inputs!$B$26+Inputs!$B$29,IF(Skills!C4=3,120+Inputs!$B$27+Inputs!$B$29,MAX(0,(Inputs!$B$3-100)*3)+Inputs!$B$28+Inputs!$B$29)))</f>
        <v/>
      </c>
      <c r="E3263">
        <f>INDEX(FactorTable!$B$2:$Y$301, MATCH(ROUND(MIN(300,MAX(1,D3263)),0), FactorTable!$A$2:$A$301,0), Skills!M4+1)</f>
        <v/>
      </c>
      <c r="F3263">
        <f>IF(Skills!N4=TRUE,(Skills!L4/10)*(E3263/1000),Skills!L4/10)+Skills!O4</f>
        <v/>
      </c>
      <c r="G3263">
        <f>Skills!G4*IF(Skills!H4&gt;0,INT(IF(Inputs!$B$38="pvp",MIN(IF(Inputs!$B$3&gt;=104,MIN(35,20*(1+Inputs!$B$34/100)),20),15),IF(Inputs!$B$3&gt;=104,MIN(35,20*(1+Inputs!$B$34/100)),20))/Skills!H4+0.000000001),1)</f>
        <v/>
      </c>
      <c r="H3263">
        <f>1-(1-Skills!J4/100)^Skills!K4</f>
        <v/>
      </c>
      <c r="I3263" t="inlineStr">
        <is>
          <t>1</t>
        </is>
      </c>
      <c r="J3263">
        <f>((Inputs!$B$6*(1+Inputs!$B$7/100))+(((Inputs!$B$12*(1+Inputs!$B$13/100))-(Inputs!$B$12*(1+Inputs!$B$13/100)))+0.25*(Inputs!$B$14-Inputs!$B$14))*(1+Inputs!$B$7/100))*(F3263/100)</f>
        <v/>
      </c>
      <c r="K3263">
        <f>J3263*(1+((Inputs!$B$12*(1+Inputs!$B$13/100))*0.01+Inputs!$B$14*0.0025)/100)*(1+Inputs!$B$15/100)*(1+Inputs!$B$16/100)*(5000/(6000+Inputs!$B$42*(1-(100*(1-(1-(Inputs!$B$19+0)/100)*(1-CHOOSE(ArtifactsInput!$N$40+1,5,6,7,8,9,10)/100)^(ArtifactsInput!$M$40-ArtifactsInput!$M$40)))/100)))*(1+(Inputs!$B$24+((C3285=TRUE)*(F3285-Calc!F26))+B3296)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3275=TRUE,F3275,0)/100)*(1+(IF(Skills!A4="EIGHT_LEGS_EASTON",Inputs!$B$17+((C3282=TRUE)*(F3282-Calc!F23))+((C3286=TRUE)*(F3286-Calc!F27))+((IF(AND(Inputs!$B$38&lt;&gt;"pvp",Inputs!$B$43=0),1,IF(IF(Inputs!$B$38="pvp",15,Inputs!$B$43)-(B3297)&lt;=0,1,MAX(0,IF(Inputs!$B$38="pvp",15,Inputs!$B$43)-MAX(5,B3297))/(IF(Inputs!$B$38="pvp",15,Inputs!$B$43)-(B3297))))*(IF(AND(ArtifactsInput!$M$42,((Inputs!$B$9+((C3278=TRUE)*(F3278-Calc!F19))+B3290+(ArtifactsInput!$M$24-ArtifactsInput!$M$24)*CHOOSE(ArtifactsInput!$N$24+1,10,12,14,16,18,20)+IF(ArtifactsInput!$M$10,CHOOSE(ArtifactsInput!$N$10+1,15,18,21,24,27,30)*(IF(Inputs!$B$38="pvp",MIN(15,15)/15,IF(AND(Inputs!$B$38&lt;&gt;"pvp",Inputs!$B$43&gt;0),MIN(15,Inputs!$B$43)/(Inputs!$B$43),0))),0)))&gt;=100),MIN(100,((Inputs!$B$9+((C3278=TRUE)*(F3278-Calc!F19))+B3290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3297)&lt;=0,1,MAX(0,IF(Inputs!$B$38="pvp",15,Inputs!$B$43)-MAX(5,B3297))/(IF(Inputs!$B$38="pvp",15,Inputs!$B$43)-(B3297))))*IF(AND(ArtifactsInput!$M$42,((Inputs!$B$9+((C3278=TRUE)*(F3278-Calc!F19))+B3290+(ArtifactsInput!$M$24-ArtifactsInput!$M$24)*CHOOSE(ArtifactsInput!$N$24+1,10,12,14,16,18,20)+IF(ArtifactsInput!$M$10,CHOOSE(ArtifactsInput!$N$10+1,15,18,21,24,27,30)*(IF(Inputs!$B$38="pvp",MIN(15,15)/15,IF(AND(Inputs!$B$38&lt;&gt;"pvp",Inputs!$B$43&gt;0),MIN(15,Inputs!$B$43)/(Inputs!$B$43),0))),0)))&gt;=100),CHOOSE(ArtifactsInput!$N$42+1,40,48,56,64,72,80),0))))/100)*((1+(((C3276=TRUE)*F3276*5/7)+((C3283=TRUE)*(F3283-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3263)</f>
        <v/>
      </c>
      <c r="L3263">
        <f>K3263*(MIN(Inputs!$B$22+((C3281=TRUE)*(F3281-Calc!F22)),(Inputs!$B$23+0+(IF(ArtifactsInput!$M$15,CHOOSE(ArtifactsInput!$N$15+1,25,30,35,40,45,50)/100*(Inputs!$B$11-Inputs!$B$11),0))))/100+(Inputs!$B$23+0+(IF(ArtifactsInput!$M$15,CHOOSE(ArtifactsInput!$N$15+1,25,30,35,40,45,50)/100*(Inputs!$B$11-Inputs!$B$11),0)))/100)/2</f>
        <v/>
      </c>
      <c r="M3263">
        <f>L3263*(1+(Inputs!$B$10+((C3284=TRUE)*(F3284-Calc!F25))+B3295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263">
        <f>L3263*(1-MIN((Inputs!$B$9+((C3278=TRUE)*(F3278-Calc!F19))+B3290+(ArtifactsInput!$M$24-ArtifactsInput!$M$24)*CHOOSE(ArtifactsInput!$N$24+1,10,12,14,16,18,20)+(IF(AND(Inputs!$B$38&lt;&gt;"pvp",Inputs!$B$43=0),1,IF(IF(Inputs!$B$38="pvp",15,Inputs!$B$43)-(B3297)&lt;=0,1,MAX(0,IF(Inputs!$B$38="pvp",15,Inputs!$B$43)-MAX(5,B3297))/(IF(Inputs!$B$38="pvp",15,Inputs!$B$43)-(B3297))))*IF(AND(ArtifactsInput!$M$42,((Inputs!$B$9+((C3278=TRUE)*(F3278-Calc!F19))+B3290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3263*(MIN((Inputs!$B$9+((C3278=TRUE)*(F3278-Calc!F19))+B3290+(ArtifactsInput!$M$24-ArtifactsInput!$M$24)*CHOOSE(ArtifactsInput!$N$24+1,10,12,14,16,18,20)+(IF(AND(Inputs!$B$38&lt;&gt;"pvp",Inputs!$B$43=0),1,IF(IF(Inputs!$B$38="pvp",15,Inputs!$B$43)-(B3297)&lt;=0,1,MAX(0,IF(Inputs!$B$38="pvp",15,Inputs!$B$43)-MAX(5,B3297))/(IF(Inputs!$B$38="pvp",15,Inputs!$B$43)-(B3297))))*IF(AND(ArtifactsInput!$M$42,((Inputs!$B$9+((C3278=TRUE)*(F3278-Calc!F19))+B3290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263">
        <f>(1-Summary!$B$11)*T3263+Summary!$B$11*V3263</f>
        <v/>
      </c>
      <c r="P3263">
        <f>IF(B3300=0,0,O3263/B3300)</f>
        <v/>
      </c>
      <c r="Q3263">
        <f>IFERROR(1/(IF(Inputs!$B$38="pvp",15,MAX(0.1,Skills!D4-IF(TRUE=TRUE,4.0,0)))*(1-IF(AND(ArtifactsInput!$M$27,Inputs!$B$4="Chapter Hunt"),CHOOSE(ArtifactsInput!$N$27+1,20,24,28,32,36,40),0)/100)),0)</f>
        <v/>
      </c>
      <c r="R3263">
        <f>IF(AND(Inputs!$B$38&lt;&gt;"pvp",Inputs!$B$43&gt;0),IF(MAX(0,Inputs!$B$43-B3297)&lt;=0,0,(INT(MAX(0,Inputs!$B$43-B3297)/(IF(Inputs!$B$38="pvp",15,MAX(0.1,Skills!D4-IF(TRUE=TRUE,4.0,0)))*(1-IF(AND(ArtifactsInput!$M$27,Inputs!$B$4="Chapter Hunt"),CHOOSE(ArtifactsInput!$N$27+1,20,24,28,32,36,40),0)/100)))+1)),0)</f>
        <v/>
      </c>
      <c r="S3263">
        <f>IFERROR(O3263/N3263,0)</f>
        <v/>
      </c>
      <c r="T3263">
        <f>IF(C3263,(H3263*N3263*IF(AND(Inputs!$B$38&lt;&gt;"pvp",Inputs!$B$43&gt;0),((Skills!G4*((R3263-1)*IF(Skills!H4&gt;0,INT(IF(Inputs!$B$3&gt;=104,MIN(35,20*(1+Inputs!$B$34/100)),20)/Skills!H4+0.000000001),1)+IF(Skills!H4&gt;0,INT(MIN(IF(Inputs!$B$3&gt;=104,MIN(35,20*(1+Inputs!$B$34/100)),20),MAX(0,MAX(0,Inputs!$B$43-B3297)-((R3263-1)*(IF(Inputs!$B$38="pvp",15,MAX(0.1,Skills!D4-IF(TRUE=TRUE,4.0,0)))*(1-IF(AND(ArtifactsInput!$M$27,Inputs!$B$4="Chapter Hunt"),CHOOSE(ArtifactsInput!$N$27+1,20,24,28,32,36,40),0)/100)))))/Skills!H4+0.000000001),1)))/Inputs!$B$43),G3263*Q3263))*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Hunt"),CHOOSE(ArtifactsInput!$N$35+1,15,18,21,24,27,30)*(1-EXP(-(0.2*B3292)*5)),0)+IF(AND(ArtifactsInput!$M$22,Inputs!$B$4&lt;&gt;"Chapter Hunt"),CHOOSE(ArtifactsInput!$N$22+1,10,12,14,16,18,20)*((0*(((0.15*B3292*5))^0/1)+1*(((0.15*B3292*5))^1/1)+2*(((0.15*B3292*5))^2/2)+3*(((0.15*B3292*5))^3/6)+4*(((0.15*B3292*5))^4/24)+5*(((0.15*B3292*5))^5/120))/((((0.15*B3292*5))^0/1)+(((0.15*B3292*5))^1/1)+(((0.15*B3292*5))^2/2)+(((0.15*B3292*5))^3/6)+(((0.15*B3292*5))^4/24)+(((0.15*B3292*5))^5/120))),0))+IF(Inputs!$B$3&gt;=54,9*(C3262=TRUE)*MIN(1,8*(1+Inputs!$B$34/100)*Q3262)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3263*(1-MIN(100,(Inputs!$B$9+((C3278=TRUE)*(F3278-Calc!F19))+B3290+(ArtifactsInput!$M$24-ArtifactsInput!$M$24)*CHOOSE(ArtifactsInput!$N$24+1,10,12,14,16,18,20)+(IF(AND(Inputs!$B$38&lt;&gt;"pvp",Inputs!$B$43=0),1,IF(IF(Inputs!$B$38="pvp",15,Inputs!$B$43)-(B3297)&lt;=0,1,MAX(0,IF(Inputs!$B$38="pvp",15,Inputs!$B$43)-MAX(5,B3297))/(IF(Inputs!$B$38="pvp",15,Inputs!$B$43)-(B3297))))*IF(AND(ArtifactsInput!$M$42,((Inputs!$B$9+((C3278=TRUE)*(F3278-Calc!F19))+B3290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3263*(MIN(100,(Inputs!$B$9+((C3278=TRUE)*(F3278-Calc!F19))+B3290+(ArtifactsInput!$M$24-ArtifactsInput!$M$24)*CHOOSE(ArtifactsInput!$N$24+1,10,12,14,16,18,20)+(IF(AND(Inputs!$B$38&lt;&gt;"pvp",Inputs!$B$43=0),1,IF(IF(Inputs!$B$38="pvp",15,Inputs!$B$43)-(B3297)&lt;=0,1,MAX(0,IF(Inputs!$B$38="pvp",15,Inputs!$B$43)-MAX(5,B3297))/(IF(Inputs!$B$38="pvp",15,Inputs!$B$43)-(B3297))))*IF(AND(ArtifactsInput!$M$42,((Inputs!$B$9+((C3278=TRUE)*(F3278-Calc!F19))+B3290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3263*(1-MIN(100,(Inputs!$B$9+((C3278=TRUE)*(F3278-Calc!F19))+B3290+(ArtifactsInput!$M$24-ArtifactsInput!$M$24)*CHOOSE(ArtifactsInput!$N$24+1,10,12,14,16,18,20)+(IF(AND(Inputs!$B$38&lt;&gt;"pvp",Inputs!$B$43=0),1,IF(IF(Inputs!$B$38="pvp",15,Inputs!$B$43)-(B3297)&lt;=0,1,MAX(0,IF(Inputs!$B$38="pvp",15,Inputs!$B$43)-MAX(5,B3297))/(IF(Inputs!$B$38="pvp",15,Inputs!$B$43)-(B3297))))*IF(AND(ArtifactsInput!$M$42,((Inputs!$B$9+((C3278=TRUE)*(F3278-Calc!F19))+B3290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3263*(MIN(100,(Inputs!$B$9+((C3278=TRUE)*(F3278-Calc!F19))+B3290+(ArtifactsInput!$M$24-ArtifactsInput!$M$24)*CHOOSE(ArtifactsInput!$N$24+1,10,12,14,16,18,20)+(IF(AND(Inputs!$B$38&lt;&gt;"pvp",Inputs!$B$43=0),1,IF(IF(Inputs!$B$38="pvp",15,Inputs!$B$43)-(B3297)&lt;=0,1,MAX(0,IF(Inputs!$B$38="pvp",15,Inputs!$B$43)-MAX(5,B3297))/(IF(Inputs!$B$38="pvp",15,Inputs!$B$43)-(B3297))))*IF(AND(ArtifactsInput!$M$42,((Inputs!$B$9+((C3278=TRUE)*(F3278-Calc!F19))+B3290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263">
        <f>290*U3262/1000</f>
        <v/>
      </c>
      <c r="V3263">
        <f>IF(C3263,(H3263*N3263*IF(AND(Inputs!$B$38&lt;&gt;"pvp",Inputs!$B$43&gt;0),((Skills!G4*((R3263-1)*IF(Skills!H4&gt;0,INT(IF(Inputs!$B$3&gt;=104,MIN(35,20*(1+Inputs!$B$34/100)),20)/Skills!H4+0.000000001),1)+IF(Skills!H4&gt;0,INT(MIN(IF(Inputs!$B$3&gt;=104,MIN(35,20*(1+Inputs!$B$34/100)),20),MAX(0,MAX(0,Inputs!$B$43-B3297)-((R3263-1)*(IF(Inputs!$B$38="pvp",15,MAX(0.1,Skills!D4-IF(TRUE=TRUE,4.0,0)))*(1-IF(AND(ArtifactsInput!$M$27,Inputs!$B$4="Chapter Hunt"),CHOOSE(ArtifactsInput!$N$27+1,20,24,28,32,36,40),0)/100)))))/Skills!H4+0.000000001),1)))/Inputs!$B$43),G3263*Q3263))*IF(Inputs!$B$38="pvp",1,(1+(Inputs!$B$21+Skills!Q4+(IF(ArtifactsInput!$M$33,CHOOSE(ArtifactsInput!$N$33+1,30,36,42,48,54,60),0))+(IF(AND(ArtifactsInput!$M$35,Inputs!$B$4&lt;&gt;"Chapter Hunt"),CHOOSE(ArtifactsInput!$N$35+1,15,18,21,24,27,30)*(1-EXP(-(0.2*B3292)*5)),0)+IF(AND(ArtifactsInput!$M$22,Inputs!$B$4&lt;&gt;"Chapter Hunt"),CHOOSE(ArtifactsInput!$N$22+1,10,12,14,16,18,20)*((0*(((0.15*B3292*5))^0/1)+1*(((0.15*B3292*5))^1/1)+2*(((0.15*B3292*5))^2/2)+3*(((0.15*B3292*5))^3/6)+4*(((0.15*B3292*5))^4/24)+5*(((0.15*B3292*5))^5/120))/((((0.15*B3292*5))^0/1)+(((0.15*B3292*5))^1/1)+(((0.15*B3292*5))^2/2)+(((0.15*B3292*5))^3/6)+(((0.15*B3292*5))^4/24)+(((0.15*B3292*5))^5/120))),0))+IF(Inputs!$B$3&gt;=54,9*(C3262=TRUE)*MIN(1,8*(1+Inputs!$B$34/100)*Q3262),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264">
      <c r="A3264">
        <f>Skills!A5</f>
        <v/>
      </c>
      <c r="B3264">
        <f>Skills!B5</f>
        <v/>
      </c>
      <c r="C3264">
        <f>Inputs!$B$3&gt;=69</f>
        <v/>
      </c>
      <c r="D3264">
        <f>IF(Skills!C5=1,60+Inputs!$B$25+Inputs!$B$29,IF(Skills!C5=2,90+Inputs!$B$26+Inputs!$B$29,IF(Skills!C5=3,120+Inputs!$B$27+Inputs!$B$29,MAX(0,(Inputs!$B$3-100)*3)+Inputs!$B$28+Inputs!$B$29)))</f>
        <v/>
      </c>
      <c r="E3264">
        <f>INDEX(FactorTable!$B$2:$Y$301, MATCH(ROUND(MIN(300,MAX(1,D3264)),0), FactorTable!$A$2:$A$301,0), Skills!M5+1)</f>
        <v/>
      </c>
      <c r="F3264">
        <f>IF(Skills!N5=TRUE,(Skills!L5/10)*(E3264/1000),Skills!L5/10)+Skills!O5</f>
        <v/>
      </c>
      <c r="G3264">
        <f>Skills!G5*IF(Skills!H5&gt;0,INT(IF(Inputs!$B$38="pvp",MIN(IF(Inputs!$B$3&gt;=104,MIN(35,20*(1+Inputs!$B$34/100)),20),15),IF(Inputs!$B$3&gt;=104,MIN(35,20*(1+Inputs!$B$34/100)),20))/Skills!H5+0.000000001),1)</f>
        <v/>
      </c>
      <c r="H3264">
        <f>1-(1-Skills!J5/100)^Skills!K5</f>
        <v/>
      </c>
      <c r="I3264" t="inlineStr">
        <is>
          <t>1</t>
        </is>
      </c>
      <c r="J3264">
        <f>((Inputs!$B$6*(1+Inputs!$B$7/100))+(((Inputs!$B$12*(1+Inputs!$B$13/100))-(Inputs!$B$12*(1+Inputs!$B$13/100)))+0.25*(Inputs!$B$14-Inputs!$B$14))*(1+Inputs!$B$7/100))*(F3264/100)</f>
        <v/>
      </c>
      <c r="K3264">
        <f>J3264*(1+((Inputs!$B$12*(1+Inputs!$B$13/100))*0.01+Inputs!$B$14*0.0025)/100)*(1+Inputs!$B$15/100)*(1+Inputs!$B$16/100)*(5000/(6000+Inputs!$B$42*(1-(100*(1-(1-(Inputs!$B$19+0)/100)*(1-CHOOSE(ArtifactsInput!$N$40+1,5,6,7,8,9,10)/100)^(ArtifactsInput!$M$40-ArtifactsInput!$M$40)))/100)))*(1+(Inputs!$B$24+((C3285=TRUE)*(F3285-Calc!F26))+B3296)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+0.4*IF(C3275=TRUE,F3275,0)/100)*(1+(IF(Skills!A5="EIGHT_LEGS_EASTON",Inputs!$B$17+((C3282=TRUE)*(F3282-Calc!F23))+((C3286=TRUE)*(F3286-Calc!F27))+((IF(AND(Inputs!$B$38&lt;&gt;"pvp",Inputs!$B$43=0),1,IF(IF(Inputs!$B$38="pvp",15,Inputs!$B$43)-(B3297)&lt;=0,1,MAX(0,IF(Inputs!$B$38="pvp",15,Inputs!$B$43)-MAX(5,B3297))/(IF(Inputs!$B$38="pvp",15,Inputs!$B$43)-(B3297))))*(IF(AND(ArtifactsInput!$M$42,((Inputs!$B$9+((C3278=TRUE)*(F3278-Calc!F19))+B3290+(ArtifactsInput!$M$24-ArtifactsInput!$M$24)*CHOOSE(ArtifactsInput!$N$24+1,10,12,14,16,18,20)+IF(ArtifactsInput!$M$10,CHOOSE(ArtifactsInput!$N$10+1,15,18,21,24,27,30)*(IF(Inputs!$B$38="pvp",MIN(15,15)/15,IF(AND(Inputs!$B$38&lt;&gt;"pvp",Inputs!$B$43&gt;0),MIN(15,Inputs!$B$43)/(Inputs!$B$43),0))),0)))&gt;=100),MIN(100,((Inputs!$B$9+((C3278=TRUE)*(F3278-Calc!F19))+B3290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3297)&lt;=0,1,MAX(0,IF(Inputs!$B$38="pvp",15,Inputs!$B$43)-MAX(5,B3297))/(IF(Inputs!$B$38="pvp",15,Inputs!$B$43)-(B3297))))*IF(AND(ArtifactsInput!$M$42,((Inputs!$B$9+((C3278=TRUE)*(F3278-Calc!F19))+B3290+(ArtifactsInput!$M$24-ArtifactsInput!$M$24)*CHOOSE(ArtifactsInput!$N$24+1,10,12,14,16,18,20)+IF(ArtifactsInput!$M$10,CHOOSE(ArtifactsInput!$N$10+1,15,18,21,24,27,30)*(IF(Inputs!$B$38="pvp",MIN(15,15)/15,IF(AND(Inputs!$B$38&lt;&gt;"pvp",Inputs!$B$43&gt;0),MIN(15,Inputs!$B$43)/(Inputs!$B$43),0))),0)))&gt;=100),CHOOSE(ArtifactsInput!$N$42+1,40,48,56,64,72,80),0))))/100)*((1+(((C3276=TRUE)*F3276*5/7)+((C3283=TRUE)*(F3283-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3264)</f>
        <v/>
      </c>
      <c r="L3264">
        <f>K3264*(MIN(Inputs!$B$22+((C3281=TRUE)*(F3281-Calc!F22)),(Inputs!$B$23+0+(IF(ArtifactsInput!$M$15,CHOOSE(ArtifactsInput!$N$15+1,25,30,35,40,45,50)/100*(Inputs!$B$11-Inputs!$B$11),0))))/100+(Inputs!$B$23+0+(IF(ArtifactsInput!$M$15,CHOOSE(ArtifactsInput!$N$15+1,25,30,35,40,45,50)/100*(Inputs!$B$11-Inputs!$B$11),0)))/100)/2</f>
        <v/>
      </c>
      <c r="M3264">
        <f>L3264*(1+(Inputs!$B$10+((C3284=TRUE)*(F3284-Calc!F25))+B3295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264">
        <f>L3264*(1-MIN((Inputs!$B$9+((C3278=TRUE)*(F3278-Calc!F19))+B3290+(ArtifactsInput!$M$24-ArtifactsInput!$M$24)*CHOOSE(ArtifactsInput!$N$24+1,10,12,14,16,18,20)+(IF(AND(Inputs!$B$38&lt;&gt;"pvp",Inputs!$B$43=0),1,IF(IF(Inputs!$B$38="pvp",15,Inputs!$B$43)-(B3297)&lt;=0,1,MAX(0,IF(Inputs!$B$38="pvp",15,Inputs!$B$43)-MAX(5,B3297))/(IF(Inputs!$B$38="pvp",15,Inputs!$B$43)-(B3297))))*IF(AND(ArtifactsInput!$M$42,((Inputs!$B$9+((C3278=TRUE)*(F3278-Calc!F19))+B3290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3264*(MIN((Inputs!$B$9+((C3278=TRUE)*(F3278-Calc!F19))+B3290+(ArtifactsInput!$M$24-ArtifactsInput!$M$24)*CHOOSE(ArtifactsInput!$N$24+1,10,12,14,16,18,20)+(IF(AND(Inputs!$B$38&lt;&gt;"pvp",Inputs!$B$43=0),1,IF(IF(Inputs!$B$38="pvp",15,Inputs!$B$43)-(B3297)&lt;=0,1,MAX(0,IF(Inputs!$B$38="pvp",15,Inputs!$B$43)-MAX(5,B3297))/(IF(Inputs!$B$38="pvp",15,Inputs!$B$43)-(B3297))))*IF(AND(ArtifactsInput!$M$42,((Inputs!$B$9+((C3278=TRUE)*(F3278-Calc!F19))+B3290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264">
        <f>(1-Summary!$B$11)*T3264+Summary!$B$11*V3264</f>
        <v/>
      </c>
      <c r="P3264">
        <f>IF(B3300=0,0,O3264/B3300)</f>
        <v/>
      </c>
      <c r="Q3264">
        <f>IFERROR(1/(IF(Inputs!$B$38="pvp",15,MAX(0.1,Skills!D5-IF(TRUE=TRUE,4.0,0)))*(1-IF(AND(ArtifactsInput!$M$27,Inputs!$B$4="Chapter Hunt"),CHOOSE(ArtifactsInput!$N$27+1,20,24,28,32,36,40),0)/100)),0)</f>
        <v/>
      </c>
      <c r="R3264">
        <f>IF(AND(Inputs!$B$38&lt;&gt;"pvp",Inputs!$B$43&gt;0),IF(MAX(0,Inputs!$B$43-B3297)&lt;=0,0,(INT(MAX(0,Inputs!$B$43-B3297)/(IF(Inputs!$B$38="pvp",15,MAX(0.1,Skills!D5-IF(TRUE=TRUE,4.0,0)))*(1-IF(AND(ArtifactsInput!$M$27,Inputs!$B$4="Chapter Hunt"),CHOOSE(ArtifactsInput!$N$27+1,20,24,28,32,36,40),0)/100)))+1)),0)</f>
        <v/>
      </c>
      <c r="S3264">
        <f>IFERROR(O3264/N3264,0)</f>
        <v/>
      </c>
      <c r="T3264">
        <f>IF(C3264,(H3264*N3264*IF(AND(Inputs!$B$38&lt;&gt;"pvp",Inputs!$B$43&gt;0),((Skills!G5*((R3264-1)*IF(Skills!H5&gt;0,INT(IF(Inputs!$B$3&gt;=104,MIN(35,20*(1+Inputs!$B$34/100)),20)/Skills!H5+0.000000001),1)+IF(Skills!H5&gt;0,INT(MIN(IF(Inputs!$B$3&gt;=104,MIN(35,20*(1+Inputs!$B$34/100)),20),MAX(0,MAX(0,Inputs!$B$43-B3297)-((R3264-1)*(IF(Inputs!$B$38="pvp",15,MAX(0.1,Skills!D5-IF(TRUE=TRUE,4.0,0)))*(1-IF(AND(ArtifactsInput!$M$27,Inputs!$B$4="Chapter Hunt"),CHOOSE(ArtifactsInput!$N$27+1,20,24,28,32,36,40),0)/100)))))/Skills!H5+0.000000001),1)))/Inputs!$B$43),G3264*Q3264))*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Hunt"),CHOOSE(ArtifactsInput!$N$35+1,15,18,21,24,27,30)*(1-EXP(-(0.2*B3292)*5)),0)+IF(AND(ArtifactsInput!$M$22,Inputs!$B$4&lt;&gt;"Chapter Hunt"),CHOOSE(ArtifactsInput!$N$22+1,10,12,14,16,18,20)*((0*(((0.15*B3292*5))^0/1)+1*(((0.15*B3292*5))^1/1)+2*(((0.15*B3292*5))^2/2)+3*(((0.15*B3292*5))^3/6)+4*(((0.15*B3292*5))^4/24)+5*(((0.15*B3292*5))^5/120))/((((0.15*B3292*5))^0/1)+(((0.15*B3292*5))^1/1)+(((0.15*B3292*5))^2/2)+(((0.15*B3292*5))^3/6)+(((0.15*B3292*5))^4/24)+(((0.15*B3292*5))^5/120))),0))+IF(Inputs!$B$3&gt;=54,9*(C3262=TRUE)*MIN(1,8*(1+Inputs!$B$34/100)*Q3262)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3264*(1-MIN(100,(Inputs!$B$9+((C3278=TRUE)*(F3278-Calc!F19))+B3290+(ArtifactsInput!$M$24-ArtifactsInput!$M$24)*CHOOSE(ArtifactsInput!$N$24+1,10,12,14,16,18,20)+(IF(AND(Inputs!$B$38&lt;&gt;"pvp",Inputs!$B$43=0),1,IF(IF(Inputs!$B$38="pvp",15,Inputs!$B$43)-(B3297)&lt;=0,1,MAX(0,IF(Inputs!$B$38="pvp",15,Inputs!$B$43)-MAX(5,B3297))/(IF(Inputs!$B$38="pvp",15,Inputs!$B$43)-(B3297))))*IF(AND(ArtifactsInput!$M$42,((Inputs!$B$9+((C3278=TRUE)*(F3278-Calc!F19))+B3290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3264*(MIN(100,(Inputs!$B$9+((C3278=TRUE)*(F3278-Calc!F19))+B3290+(ArtifactsInput!$M$24-ArtifactsInput!$M$24)*CHOOSE(ArtifactsInput!$N$24+1,10,12,14,16,18,20)+(IF(AND(Inputs!$B$38&lt;&gt;"pvp",Inputs!$B$43=0),1,IF(IF(Inputs!$B$38="pvp",15,Inputs!$B$43)-(B3297)&lt;=0,1,MAX(0,IF(Inputs!$B$38="pvp",15,Inputs!$B$43)-MAX(5,B3297))/(IF(Inputs!$B$38="pvp",15,Inputs!$B$43)-(B3297))))*IF(AND(ArtifactsInput!$M$42,((Inputs!$B$9+((C3278=TRUE)*(F3278-Calc!F19))+B3290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3264*(1-MIN(100,(Inputs!$B$9+((C3278=TRUE)*(F3278-Calc!F19))+B3290+(ArtifactsInput!$M$24-ArtifactsInput!$M$24)*CHOOSE(ArtifactsInput!$N$24+1,10,12,14,16,18,20)+(IF(AND(Inputs!$B$38&lt;&gt;"pvp",Inputs!$B$43=0),1,IF(IF(Inputs!$B$38="pvp",15,Inputs!$B$43)-(B3297)&lt;=0,1,MAX(0,IF(Inputs!$B$38="pvp",15,Inputs!$B$43)-MAX(5,B3297))/(IF(Inputs!$B$38="pvp",15,Inputs!$B$43)-(B3297))))*IF(AND(ArtifactsInput!$M$42,((Inputs!$B$9+((C3278=TRUE)*(F3278-Calc!F19))+B3290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3264*(MIN(100,(Inputs!$B$9+((C3278=TRUE)*(F3278-Calc!F19))+B3290+(ArtifactsInput!$M$24-ArtifactsInput!$M$24)*CHOOSE(ArtifactsInput!$N$24+1,10,12,14,16,18,20)+(IF(AND(Inputs!$B$38&lt;&gt;"pvp",Inputs!$B$43=0),1,IF(IF(Inputs!$B$38="pvp",15,Inputs!$B$43)-(B3297)&lt;=0,1,MAX(0,IF(Inputs!$B$38="pvp",15,Inputs!$B$43)-MAX(5,B3297))/(IF(Inputs!$B$38="pvp",15,Inputs!$B$43)-(B3297))))*IF(AND(ArtifactsInput!$M$42,((Inputs!$B$9+((C3278=TRUE)*(F3278-Calc!F19))+B3290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264">
        <f>IF(C3264,(H3264*N3264*IF(AND(Inputs!$B$38&lt;&gt;"pvp",Inputs!$B$43&gt;0),((Skills!G5*((R3264-1)*IF(Skills!H5&gt;0,INT(IF(Inputs!$B$3&gt;=104,MIN(35,20*(1+Inputs!$B$34/100)),20)/Skills!H5+0.000000001),1)+IF(Skills!H5&gt;0,INT(MIN(IF(Inputs!$B$3&gt;=104,MIN(35,20*(1+Inputs!$B$34/100)),20),MAX(0,MAX(0,Inputs!$B$43-B3297)-((R3264-1)*(IF(Inputs!$B$38="pvp",15,MAX(0.1,Skills!D5-IF(TRUE=TRUE,4.0,0)))*(1-IF(AND(ArtifactsInput!$M$27,Inputs!$B$4="Chapter Hunt"),CHOOSE(ArtifactsInput!$N$27+1,20,24,28,32,36,40),0)/100)))))/Skills!H5+0.000000001),1)))/Inputs!$B$43),G3264*Q3264))*IF(Inputs!$B$38="pvp",1,(1+(Inputs!$B$21+Skills!Q5+(IF(ArtifactsInput!$M$33,CHOOSE(ArtifactsInput!$N$33+1,30,36,42,48,54,60),0))+(IF(AND(ArtifactsInput!$M$35,Inputs!$B$4&lt;&gt;"Chapter Hunt"),CHOOSE(ArtifactsInput!$N$35+1,15,18,21,24,27,30)*(1-EXP(-(0.2*B3292)*5)),0)+IF(AND(ArtifactsInput!$M$22,Inputs!$B$4&lt;&gt;"Chapter Hunt"),CHOOSE(ArtifactsInput!$N$22+1,10,12,14,16,18,20)*((0*(((0.15*B3292*5))^0/1)+1*(((0.15*B3292*5))^1/1)+2*(((0.15*B3292*5))^2/2)+3*(((0.15*B3292*5))^3/6)+4*(((0.15*B3292*5))^4/24)+5*(((0.15*B3292*5))^5/120))/((((0.15*B3292*5))^0/1)+(((0.15*B3292*5))^1/1)+(((0.15*B3292*5))^2/2)+(((0.15*B3292*5))^3/6)+(((0.15*B3292*5))^4/24)+(((0.15*B3292*5))^5/120))),0))+IF(Inputs!$B$3&gt;=54,9*(C3262=TRUE)*MIN(1,8*(1+Inputs!$B$34/100)*Q3262),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265">
      <c r="A3265">
        <f>Skills!A6</f>
        <v/>
      </c>
      <c r="B3265">
        <f>Skills!B6</f>
        <v/>
      </c>
      <c r="C3265">
        <f>Inputs!$B$3&gt;=66</f>
        <v/>
      </c>
      <c r="D3265">
        <f>IF(Skills!C6=1,60+Inputs!$B$25+Inputs!$B$29,IF(Skills!C6=2,90+Inputs!$B$26+Inputs!$B$29,IF(Skills!C6=3,120+Inputs!$B$27+Inputs!$B$29,MAX(0,(Inputs!$B$3-100)*3)+Inputs!$B$28+Inputs!$B$29)))</f>
        <v/>
      </c>
      <c r="E3265">
        <f>INDEX(FactorTable!$B$2:$Y$301, MATCH(ROUND(MIN(300,MAX(1,D3265)),0), FactorTable!$A$2:$A$301,0), Skills!M6+1)</f>
        <v/>
      </c>
      <c r="F3265">
        <f>IF(Skills!N6=TRUE,(Skills!L6/10)*(E3265/1000),Skills!L6/10)+Skills!O6</f>
        <v/>
      </c>
      <c r="G3265">
        <f>Skills!G6*IF(Skills!H6&gt;0,INT(IF(Inputs!$B$38="pvp",MIN(Skills!I6,15),Skills!I6)/Skills!H6+0.000000001),1)</f>
        <v/>
      </c>
      <c r="H3265">
        <f>1-(1-Skills!J6/100)^Skills!K6</f>
        <v/>
      </c>
      <c r="I3265" t="inlineStr">
        <is>
          <t>1</t>
        </is>
      </c>
      <c r="J3265">
        <f>((Inputs!$B$6*(1+Inputs!$B$7/100))+(((Inputs!$B$12*(1+Inputs!$B$13/100))-(Inputs!$B$12*(1+Inputs!$B$13/100)))+0.25*(Inputs!$B$14-Inputs!$B$14))*(1+Inputs!$B$7/100))*(F3265/100)</f>
        <v/>
      </c>
      <c r="K3265">
        <f>J3265*(1+((Inputs!$B$12*(1+Inputs!$B$13/100))*0.01+Inputs!$B$14*0.0025)/100)*(1+Inputs!$B$15/100)*(1+Inputs!$B$16/100)*(5000/(6000+Inputs!$B$42*(1-(100*(1-(1-(Inputs!$B$19+0)/100)*(1-CHOOSE(ArtifactsInput!$N$40+1,5,6,7,8,9,10)/100)^(ArtifactsInput!$M$40-ArtifactsInput!$M$40)))/100)))*(1+(Inputs!$B$24+((C3285=TRUE)*(F3285-Calc!F26))+B3296)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+2.0*IF(C3274=TRUE,F3274,0)/100)*(1+(IF(Skills!A6="EIGHT_LEGS_EASTON",Inputs!$B$17+((C3282=TRUE)*(F3282-Calc!F23))+((C3286=TRUE)*(F3286-Calc!F27))+((IF(AND(Inputs!$B$38&lt;&gt;"pvp",Inputs!$B$43=0),1,IF(IF(Inputs!$B$38="pvp",15,Inputs!$B$43)-(B3297)&lt;=0,1,MAX(0,IF(Inputs!$B$38="pvp",15,Inputs!$B$43)-MAX(5,B3297))/(IF(Inputs!$B$38="pvp",15,Inputs!$B$43)-(B3297))))*(IF(AND(ArtifactsInput!$M$42,((Inputs!$B$9+((C3278=TRUE)*(F3278-Calc!F19))+B3290+(ArtifactsInput!$M$24-ArtifactsInput!$M$24)*CHOOSE(ArtifactsInput!$N$24+1,10,12,14,16,18,20)+IF(ArtifactsInput!$M$10,CHOOSE(ArtifactsInput!$N$10+1,15,18,21,24,27,30)*(IF(Inputs!$B$38="pvp",MIN(15,15)/15,IF(AND(Inputs!$B$38&lt;&gt;"pvp",Inputs!$B$43&gt;0),MIN(15,Inputs!$B$43)/(Inputs!$B$43),0))),0)))&gt;=100),MIN(100,((Inputs!$B$9+((C3278=TRUE)*(F3278-Calc!F19))+B3290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3297)&lt;=0,1,MAX(0,IF(Inputs!$B$38="pvp",15,Inputs!$B$43)-MAX(5,B3297))/(IF(Inputs!$B$38="pvp",15,Inputs!$B$43)-(B3297))))*IF(AND(ArtifactsInput!$M$42,((Inputs!$B$9+((C3278=TRUE)*(F3278-Calc!F19))+B3290+(ArtifactsInput!$M$24-ArtifactsInput!$M$24)*CHOOSE(ArtifactsInput!$N$24+1,10,12,14,16,18,20)+IF(ArtifactsInput!$M$10,CHOOSE(ArtifactsInput!$N$10+1,15,18,21,24,27,30)*(IF(Inputs!$B$38="pvp",MIN(15,15)/15,IF(AND(Inputs!$B$38&lt;&gt;"pvp",Inputs!$B$43&gt;0),MIN(15,Inputs!$B$43)/(Inputs!$B$43),0))),0)))&gt;=100),CHOOSE(ArtifactsInput!$N$42+1,40,48,56,64,72,80),0))))/100)*((1+(((C3276=TRUE)*F3276*5/7)+((C3283=TRUE)*(F3283-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3265)</f>
        <v/>
      </c>
      <c r="L3265">
        <f>K3265*(MIN(Inputs!$B$22+((C3281=TRUE)*(F3281-Calc!F22)),(Inputs!$B$23+0+(IF(ArtifactsInput!$M$15,CHOOSE(ArtifactsInput!$N$15+1,25,30,35,40,45,50)/100*(Inputs!$B$11-Inputs!$B$11),0))))/100+(Inputs!$B$23+0+(IF(ArtifactsInput!$M$15,CHOOSE(ArtifactsInput!$N$15+1,25,30,35,40,45,50)/100*(Inputs!$B$11-Inputs!$B$11),0)))/100)/2</f>
        <v/>
      </c>
      <c r="M3265">
        <f>L3265*(1+(Inputs!$B$10+((C3284=TRUE)*(F3284-Calc!F25))+B3295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265">
        <f>L3265*(1-MIN((Inputs!$B$9+((C3278=TRUE)*(F3278-Calc!F19))+B3290+(ArtifactsInput!$M$24-ArtifactsInput!$M$24)*CHOOSE(ArtifactsInput!$N$24+1,10,12,14,16,18,20)+(IF(AND(Inputs!$B$38&lt;&gt;"pvp",Inputs!$B$43=0),1,IF(IF(Inputs!$B$38="pvp",15,Inputs!$B$43)-(B3297)&lt;=0,1,MAX(0,IF(Inputs!$B$38="pvp",15,Inputs!$B$43)-MAX(5,B3297))/(IF(Inputs!$B$38="pvp",15,Inputs!$B$43)-(B3297))))*IF(AND(ArtifactsInput!$M$42,((Inputs!$B$9+((C3278=TRUE)*(F3278-Calc!F19))+B3290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3265*(MIN((Inputs!$B$9+((C3278=TRUE)*(F3278-Calc!F19))+B3290+(ArtifactsInput!$M$24-ArtifactsInput!$M$24)*CHOOSE(ArtifactsInput!$N$24+1,10,12,14,16,18,20)+(IF(AND(Inputs!$B$38&lt;&gt;"pvp",Inputs!$B$43=0),1,IF(IF(Inputs!$B$38="pvp",15,Inputs!$B$43)-(B3297)&lt;=0,1,MAX(0,IF(Inputs!$B$38="pvp",15,Inputs!$B$43)-MAX(5,B3297))/(IF(Inputs!$B$38="pvp",15,Inputs!$B$43)-(B3297))))*IF(AND(ArtifactsInput!$M$42,((Inputs!$B$9+((C3278=TRUE)*(F3278-Calc!F19))+B3290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265">
        <f>(1-Summary!$B$11)*T3265+Summary!$B$11*V3265</f>
        <v/>
      </c>
      <c r="P3265">
        <f>IF(B3300=0,0,O3265/B3300)</f>
        <v/>
      </c>
      <c r="Q3265">
        <f>IFERROR(1/(IF(Inputs!$B$38="pvp",15,MAX(0.1,Skills!D6-IF(TRUE=TRUE,4.0,0)))*(1-IF(AND(ArtifactsInput!$M$27,Inputs!$B$4="Chapter Hunt"),CHOOSE(ArtifactsInput!$N$27+1,20,24,28,32,36,40),0)/100)),0)</f>
        <v/>
      </c>
      <c r="R3265">
        <f>IF(AND(Inputs!$B$38&lt;&gt;"pvp",Inputs!$B$43&gt;0),IF(MAX(0,Inputs!$B$43-B3297)&lt;=0,0,(INT(MAX(0,Inputs!$B$43-B3297)/(IF(Inputs!$B$38="pvp",15,MAX(0.1,Skills!D6-IF(TRUE=TRUE,4.0,0)))*(1-IF(AND(ArtifactsInput!$M$27,Inputs!$B$4="Chapter Hunt"),CHOOSE(ArtifactsInput!$N$27+1,20,24,28,32,36,40),0)/100)))+1)),0)</f>
        <v/>
      </c>
      <c r="S3265">
        <f>IFERROR(O3265/N3265,0)</f>
        <v/>
      </c>
      <c r="T3265">
        <f>IF(C3265,(H3265*N3265*IF(AND(Inputs!$B$38&lt;&gt;"pvp",Inputs!$B$43&gt;0),((Skills!G6*((R3265-1)*IF(Skills!H6&gt;0,INT(Skills!I6/Skills!H6+0.000000001),1)+IF(Skills!H6&gt;0,INT(MIN(Skills!I6,MAX(0,MAX(0,Inputs!$B$43-B3297)-((R3265-1)*(IF(Inputs!$B$38="pvp",15,MAX(0.1,Skills!D6-IF(TRUE=TRUE,4.0,0)))*(1-IF(AND(ArtifactsInput!$M$27,Inputs!$B$4="Chapter Hunt"),CHOOSE(ArtifactsInput!$N$27+1,20,24,28,32,36,40),0)/100)))))/Skills!H6+0.000000001),1)))/Inputs!$B$43),G3265*Q3265))*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Hunt"),CHOOSE(ArtifactsInput!$N$35+1,15,18,21,24,27,30)*(1-EXP(-(0.2*B3292)*5)),0)+IF(AND(ArtifactsInput!$M$22,Inputs!$B$4&lt;&gt;"Chapter Hunt"),CHOOSE(ArtifactsInput!$N$22+1,10,12,14,16,18,20)*((0*(((0.15*B3292*5))^0/1)+1*(((0.15*B3292*5))^1/1)+2*(((0.15*B3292*5))^2/2)+3*(((0.15*B3292*5))^3/6)+4*(((0.15*B3292*5))^4/24)+5*(((0.15*B3292*5))^5/120))/((((0.15*B3292*5))^0/1)+(((0.15*B3292*5))^1/1)+(((0.15*B3292*5))^2/2)+(((0.15*B3292*5))^3/6)+(((0.15*B3292*5))^4/24)+(((0.15*B3292*5))^5/120))),0))+IF(Inputs!$B$3&gt;=54,9*(C3262=TRUE)*MIN(1,8*(1+Inputs!$B$34/100)*Q3262)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3265*(1-MIN(100,(Inputs!$B$9+((C3278=TRUE)*(F3278-Calc!F19))+B3290+(ArtifactsInput!$M$24-ArtifactsInput!$M$24)*CHOOSE(ArtifactsInput!$N$24+1,10,12,14,16,18,20)+(IF(AND(Inputs!$B$38&lt;&gt;"pvp",Inputs!$B$43=0),1,IF(IF(Inputs!$B$38="pvp",15,Inputs!$B$43)-(B3297)&lt;=0,1,MAX(0,IF(Inputs!$B$38="pvp",15,Inputs!$B$43)-MAX(5,B3297))/(IF(Inputs!$B$38="pvp",15,Inputs!$B$43)-(B3297))))*IF(AND(ArtifactsInput!$M$42,((Inputs!$B$9+((C3278=TRUE)*(F3278-Calc!F19))+B3290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3265*(MIN(100,(Inputs!$B$9+((C3278=TRUE)*(F3278-Calc!F19))+B3290+(ArtifactsInput!$M$24-ArtifactsInput!$M$24)*CHOOSE(ArtifactsInput!$N$24+1,10,12,14,16,18,20)+(IF(AND(Inputs!$B$38&lt;&gt;"pvp",Inputs!$B$43=0),1,IF(IF(Inputs!$B$38="pvp",15,Inputs!$B$43)-(B3297)&lt;=0,1,MAX(0,IF(Inputs!$B$38="pvp",15,Inputs!$B$43)-MAX(5,B3297))/(IF(Inputs!$B$38="pvp",15,Inputs!$B$43)-(B3297))))*IF(AND(ArtifactsInput!$M$42,((Inputs!$B$9+((C3278=TRUE)*(F3278-Calc!F19))+B3290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3265*(1-MIN(100,(Inputs!$B$9+((C3278=TRUE)*(F3278-Calc!F19))+B3290+(ArtifactsInput!$M$24-ArtifactsInput!$M$24)*CHOOSE(ArtifactsInput!$N$24+1,10,12,14,16,18,20)+(IF(AND(Inputs!$B$38&lt;&gt;"pvp",Inputs!$B$43=0),1,IF(IF(Inputs!$B$38="pvp",15,Inputs!$B$43)-(B3297)&lt;=0,1,MAX(0,IF(Inputs!$B$38="pvp",15,Inputs!$B$43)-MAX(5,B3297))/(IF(Inputs!$B$38="pvp",15,Inputs!$B$43)-(B3297))))*IF(AND(ArtifactsInput!$M$42,((Inputs!$B$9+((C3278=TRUE)*(F3278-Calc!F19))+B3290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3265*(MIN(100,(Inputs!$B$9+((C3278=TRUE)*(F3278-Calc!F19))+B3290+(ArtifactsInput!$M$24-ArtifactsInput!$M$24)*CHOOSE(ArtifactsInput!$N$24+1,10,12,14,16,18,20)+(IF(AND(Inputs!$B$38&lt;&gt;"pvp",Inputs!$B$43=0),1,IF(IF(Inputs!$B$38="pvp",15,Inputs!$B$43)-(B3297)&lt;=0,1,MAX(0,IF(Inputs!$B$38="pvp",15,Inputs!$B$43)-MAX(5,B3297))/(IF(Inputs!$B$38="pvp",15,Inputs!$B$43)-(B3297))))*IF(AND(ArtifactsInput!$M$42,((Inputs!$B$9+((C3278=TRUE)*(F3278-Calc!F19))+B3290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265">
        <f>IF(C3265,(H3265*N3265*IF(AND(Inputs!$B$38&lt;&gt;"pvp",Inputs!$B$43&gt;0),((Skills!G6*((R3265-1)*IF(Skills!H6&gt;0,INT(Skills!I6/Skills!H6+0.000000001),1)+IF(Skills!H6&gt;0,INT(MIN(Skills!I6,MAX(0,MAX(0,Inputs!$B$43-B3297)-((R3265-1)*(IF(Inputs!$B$38="pvp",15,MAX(0.1,Skills!D6-IF(TRUE=TRUE,4.0,0)))*(1-IF(AND(ArtifactsInput!$M$27,Inputs!$B$4="Chapter Hunt"),CHOOSE(ArtifactsInput!$N$27+1,20,24,28,32,36,40),0)/100)))))/Skills!H6+0.000000001),1)))/Inputs!$B$43),G3265*Q3265))*IF(Inputs!$B$38="pvp",1,(1+(Inputs!$B$21+Skills!Q6+(IF(ArtifactsInput!$M$33,CHOOSE(ArtifactsInput!$N$33+1,30,36,42,48,54,60),0))+(IF(AND(ArtifactsInput!$M$35,Inputs!$B$4&lt;&gt;"Chapter Hunt"),CHOOSE(ArtifactsInput!$N$35+1,15,18,21,24,27,30)*(1-EXP(-(0.2*B3292)*5)),0)+IF(AND(ArtifactsInput!$M$22,Inputs!$B$4&lt;&gt;"Chapter Hunt"),CHOOSE(ArtifactsInput!$N$22+1,10,12,14,16,18,20)*((0*(((0.15*B3292*5))^0/1)+1*(((0.15*B3292*5))^1/1)+2*(((0.15*B3292*5))^2/2)+3*(((0.15*B3292*5))^3/6)+4*(((0.15*B3292*5))^4/24)+5*(((0.15*B3292*5))^5/120))/((((0.15*B3292*5))^0/1)+(((0.15*B3292*5))^1/1)+(((0.15*B3292*5))^2/2)+(((0.15*B3292*5))^3/6)+(((0.15*B3292*5))^4/24)+(((0.15*B3292*5))^5/120))),0))+IF(Inputs!$B$3&gt;=54,9*(C3262=TRUE)*MIN(1,8*(1+Inputs!$B$34/100)*Q3262),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266">
      <c r="A3266">
        <f>Skills!A7</f>
        <v/>
      </c>
      <c r="B3266">
        <f>Skills!B7</f>
        <v/>
      </c>
      <c r="C3266">
        <f>Inputs!$B$3&gt;=63</f>
        <v/>
      </c>
      <c r="D3266">
        <f>IF(Skills!C7=1,60+Inputs!$B$25+Inputs!$B$29,IF(Skills!C7=2,90+Inputs!$B$26+Inputs!$B$29,IF(Skills!C7=3,120+Inputs!$B$27+Inputs!$B$29,MAX(0,(Inputs!$B$3-100)*3)+Inputs!$B$28+Inputs!$B$29)))</f>
        <v/>
      </c>
      <c r="E3266">
        <f>INDEX(FactorTable!$B$2:$Y$301, MATCH(ROUND(MIN(300,MAX(1,D3266)),0), FactorTable!$A$2:$A$301,0), Skills!M7+1)</f>
        <v/>
      </c>
      <c r="F3266">
        <f>IF(Skills!N7=TRUE,(Skills!L7/10)*(E3266/1000),Skills!L7/10)+Skills!O7</f>
        <v/>
      </c>
      <c r="G3266">
        <f>Skills!G7*IF(Skills!H7&gt;0,INT(IF(Inputs!$B$38="pvp",MIN(Skills!I7,15),Skills!I7)/Skills!H7+0.000000001),1)</f>
        <v/>
      </c>
      <c r="H3266">
        <f>1-(1-Skills!J7/100)^Skills!K7</f>
        <v/>
      </c>
      <c r="I3266" t="inlineStr">
        <is>
          <t>1</t>
        </is>
      </c>
      <c r="J3266">
        <f>((Inputs!$B$6*(1+Inputs!$B$7/100))+(((Inputs!$B$12*(1+Inputs!$B$13/100))-(Inputs!$B$12*(1+Inputs!$B$13/100)))+0.25*(Inputs!$B$14-Inputs!$B$14))*(1+Inputs!$B$7/100))*(F3266/100)</f>
        <v/>
      </c>
      <c r="K3266">
        <f>J3266*(1+((Inputs!$B$12*(1+Inputs!$B$13/100))*0.01+Inputs!$B$14*0.0025)/100)*(1+Inputs!$B$15/100)*(1+Inputs!$B$16/100)*(5000/(6000+Inputs!$B$42*(1-(100*(1-(1-(Inputs!$B$19+0)/100)*(1-CHOOSE(ArtifactsInput!$N$40+1,5,6,7,8,9,10)/100)^(ArtifactsInput!$M$40-ArtifactsInput!$M$40)))/100)))*(1+(Inputs!$B$24+((C3285=TRUE)*(F3285-Calc!F26))+B3296)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3274=TRUE,F3274,0)/100)*(1+(IF(Skills!A7="EIGHT_LEGS_EASTON",Inputs!$B$17+((C3282=TRUE)*(F3282-Calc!F23))+((C3286=TRUE)*(F3286-Calc!F27))+((IF(AND(Inputs!$B$38&lt;&gt;"pvp",Inputs!$B$43=0),1,IF(IF(Inputs!$B$38="pvp",15,Inputs!$B$43)-(B3297)&lt;=0,1,MAX(0,IF(Inputs!$B$38="pvp",15,Inputs!$B$43)-MAX(5,B3297))/(IF(Inputs!$B$38="pvp",15,Inputs!$B$43)-(B3297))))*(IF(AND(ArtifactsInput!$M$42,((Inputs!$B$9+((C3278=TRUE)*(F3278-Calc!F19))+B3290+(ArtifactsInput!$M$24-ArtifactsInput!$M$24)*CHOOSE(ArtifactsInput!$N$24+1,10,12,14,16,18,20)+IF(ArtifactsInput!$M$10,CHOOSE(ArtifactsInput!$N$10+1,15,18,21,24,27,30)*(IF(Inputs!$B$38="pvp",MIN(15,15)/15,IF(AND(Inputs!$B$38&lt;&gt;"pvp",Inputs!$B$43&gt;0),MIN(15,Inputs!$B$43)/(Inputs!$B$43),0))),0)))&gt;=100),MIN(100,((Inputs!$B$9+((C3278=TRUE)*(F3278-Calc!F19))+B3290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3297)&lt;=0,1,MAX(0,IF(Inputs!$B$38="pvp",15,Inputs!$B$43)-MAX(5,B3297))/(IF(Inputs!$B$38="pvp",15,Inputs!$B$43)-(B3297))))*IF(AND(ArtifactsInput!$M$42,((Inputs!$B$9+((C3278=TRUE)*(F3278-Calc!F19))+B3290+(ArtifactsInput!$M$24-ArtifactsInput!$M$24)*CHOOSE(ArtifactsInput!$N$24+1,10,12,14,16,18,20)+IF(ArtifactsInput!$M$10,CHOOSE(ArtifactsInput!$N$10+1,15,18,21,24,27,30)*(IF(Inputs!$B$38="pvp",MIN(15,15)/15,IF(AND(Inputs!$B$38&lt;&gt;"pvp",Inputs!$B$43&gt;0),MIN(15,Inputs!$B$43)/(Inputs!$B$43),0))),0)))&gt;=100),CHOOSE(ArtifactsInput!$N$42+1,40,48,56,64,72,80),0))))/100)*((1+(((C3276=TRUE)*F3276*5/7)+((C3283=TRUE)*(F3283-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3266)</f>
        <v/>
      </c>
      <c r="L3266">
        <f>K3266*(MIN(Inputs!$B$22+((C3281=TRUE)*(F3281-Calc!F22)),(Inputs!$B$23+0+(IF(ArtifactsInput!$M$15,CHOOSE(ArtifactsInput!$N$15+1,25,30,35,40,45,50)/100*(Inputs!$B$11-Inputs!$B$11),0))))/100+(Inputs!$B$23+0+(IF(ArtifactsInput!$M$15,CHOOSE(ArtifactsInput!$N$15+1,25,30,35,40,45,50)/100*(Inputs!$B$11-Inputs!$B$11),0)))/100)/2</f>
        <v/>
      </c>
      <c r="M3266">
        <f>L3266*(1+(Inputs!$B$10+((C3284=TRUE)*(F3284-Calc!F25))+B3295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266">
        <f>L3266*(1-MIN((Inputs!$B$9+((C3278=TRUE)*(F3278-Calc!F19))+B3290+(ArtifactsInput!$M$24-ArtifactsInput!$M$24)*CHOOSE(ArtifactsInput!$N$24+1,10,12,14,16,18,20)+(IF(AND(Inputs!$B$38&lt;&gt;"pvp",Inputs!$B$43=0),1,IF(IF(Inputs!$B$38="pvp",15,Inputs!$B$43)-(B3297)&lt;=0,1,MAX(0,IF(Inputs!$B$38="pvp",15,Inputs!$B$43)-MAX(5,B3297))/(IF(Inputs!$B$38="pvp",15,Inputs!$B$43)-(B3297))))*IF(AND(ArtifactsInput!$M$42,((Inputs!$B$9+((C3278=TRUE)*(F3278-Calc!F19))+B3290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3266*(MIN((Inputs!$B$9+((C3278=TRUE)*(F3278-Calc!F19))+B3290+(ArtifactsInput!$M$24-ArtifactsInput!$M$24)*CHOOSE(ArtifactsInput!$N$24+1,10,12,14,16,18,20)+(IF(AND(Inputs!$B$38&lt;&gt;"pvp",Inputs!$B$43=0),1,IF(IF(Inputs!$B$38="pvp",15,Inputs!$B$43)-(B3297)&lt;=0,1,MAX(0,IF(Inputs!$B$38="pvp",15,Inputs!$B$43)-MAX(5,B3297))/(IF(Inputs!$B$38="pvp",15,Inputs!$B$43)-(B3297))))*IF(AND(ArtifactsInput!$M$42,((Inputs!$B$9+((C3278=TRUE)*(F3278-Calc!F19))+B3290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266">
        <f>(1-Summary!$B$11)*T3266+Summary!$B$11*V3266</f>
        <v/>
      </c>
      <c r="P3266">
        <f>IF(B3300=0,0,O3266/B3300)</f>
        <v/>
      </c>
      <c r="Q3266">
        <f>IFERROR(1/(IF(Inputs!$B$38="pvp",15,MAX(0.1,Skills!D7-IF(TRUE=TRUE,4.0,0)))*(1-IF(AND(ArtifactsInput!$M$27,Inputs!$B$4="Chapter Hunt"),CHOOSE(ArtifactsInput!$N$27+1,20,24,28,32,36,40),0)/100)),0)</f>
        <v/>
      </c>
      <c r="R3266">
        <f>IF(AND(Inputs!$B$38&lt;&gt;"pvp",Inputs!$B$43&gt;0),IF(MAX(0,Inputs!$B$43-B3297)&lt;=0,0,(INT(MAX(0,Inputs!$B$43-B3297)/(IF(Inputs!$B$38="pvp",15,MAX(0.1,Skills!D7-IF(TRUE=TRUE,4.0,0)))*(1-IF(AND(ArtifactsInput!$M$27,Inputs!$B$4="Chapter Hunt"),CHOOSE(ArtifactsInput!$N$27+1,20,24,28,32,36,40),0)/100)))+1)),0)</f>
        <v/>
      </c>
      <c r="S3266">
        <f>IFERROR(O3266/N3266,0)</f>
        <v/>
      </c>
      <c r="T3266">
        <f>IF(C3266,(H3266*N3266*IF(AND(Inputs!$B$38&lt;&gt;"pvp",Inputs!$B$43&gt;0),((Skills!G7*((R3266-1)*IF(Skills!H7&gt;0,INT(Skills!I7/Skills!H7+0.000000001),1)+IF(Skills!H7&gt;0,INT(MIN(Skills!I7,MAX(0,MAX(0,Inputs!$B$43-B3297)-((R3266-1)*(IF(Inputs!$B$38="pvp",15,MAX(0.1,Skills!D7-IF(TRUE=TRUE,4.0,0)))*(1-IF(AND(ArtifactsInput!$M$27,Inputs!$B$4="Chapter Hunt"),CHOOSE(ArtifactsInput!$N$27+1,20,24,28,32,36,40),0)/100)))))/Skills!H7+0.000000001),1)))/Inputs!$B$43),G3266*Q3266))*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Hunt"),CHOOSE(ArtifactsInput!$N$35+1,15,18,21,24,27,30)*(1-EXP(-(0.2*B3292)*5)),0)+IF(AND(ArtifactsInput!$M$22,Inputs!$B$4&lt;&gt;"Chapter Hunt"),CHOOSE(ArtifactsInput!$N$22+1,10,12,14,16,18,20)*((0*(((0.15*B3292*5))^0/1)+1*(((0.15*B3292*5))^1/1)+2*(((0.15*B3292*5))^2/2)+3*(((0.15*B3292*5))^3/6)+4*(((0.15*B3292*5))^4/24)+5*(((0.15*B3292*5))^5/120))/((((0.15*B3292*5))^0/1)+(((0.15*B3292*5))^1/1)+(((0.15*B3292*5))^2/2)+(((0.15*B3292*5))^3/6)+(((0.15*B3292*5))^4/24)+(((0.15*B3292*5))^5/120))),0))+IF(Inputs!$B$3&gt;=54,9*(C3262=TRUE)*MIN(1,8*(1+Inputs!$B$34/100)*Q3262)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3266*(1-MIN(100,(Inputs!$B$9+((C3278=TRUE)*(F3278-Calc!F19))+B3290+(ArtifactsInput!$M$24-ArtifactsInput!$M$24)*CHOOSE(ArtifactsInput!$N$24+1,10,12,14,16,18,20)+(IF(AND(Inputs!$B$38&lt;&gt;"pvp",Inputs!$B$43=0),1,IF(IF(Inputs!$B$38="pvp",15,Inputs!$B$43)-(B3297)&lt;=0,1,MAX(0,IF(Inputs!$B$38="pvp",15,Inputs!$B$43)-MAX(5,B3297))/(IF(Inputs!$B$38="pvp",15,Inputs!$B$43)-(B3297))))*IF(AND(ArtifactsInput!$M$42,((Inputs!$B$9+((C3278=TRUE)*(F3278-Calc!F19))+B3290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3266*(MIN(100,(Inputs!$B$9+((C3278=TRUE)*(F3278-Calc!F19))+B3290+(ArtifactsInput!$M$24-ArtifactsInput!$M$24)*CHOOSE(ArtifactsInput!$N$24+1,10,12,14,16,18,20)+(IF(AND(Inputs!$B$38&lt;&gt;"pvp",Inputs!$B$43=0),1,IF(IF(Inputs!$B$38="pvp",15,Inputs!$B$43)-(B3297)&lt;=0,1,MAX(0,IF(Inputs!$B$38="pvp",15,Inputs!$B$43)-MAX(5,B3297))/(IF(Inputs!$B$38="pvp",15,Inputs!$B$43)-(B3297))))*IF(AND(ArtifactsInput!$M$42,((Inputs!$B$9+((C3278=TRUE)*(F3278-Calc!F19))+B3290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3266*(1-MIN(100,(Inputs!$B$9+((C3278=TRUE)*(F3278-Calc!F19))+B3290+(ArtifactsInput!$M$24-ArtifactsInput!$M$24)*CHOOSE(ArtifactsInput!$N$24+1,10,12,14,16,18,20)+(IF(AND(Inputs!$B$38&lt;&gt;"pvp",Inputs!$B$43=0),1,IF(IF(Inputs!$B$38="pvp",15,Inputs!$B$43)-(B3297)&lt;=0,1,MAX(0,IF(Inputs!$B$38="pvp",15,Inputs!$B$43)-MAX(5,B3297))/(IF(Inputs!$B$38="pvp",15,Inputs!$B$43)-(B3297))))*IF(AND(ArtifactsInput!$M$42,((Inputs!$B$9+((C3278=TRUE)*(F3278-Calc!F19))+B3290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3266*(MIN(100,(Inputs!$B$9+((C3278=TRUE)*(F3278-Calc!F19))+B3290+(ArtifactsInput!$M$24-ArtifactsInput!$M$24)*CHOOSE(ArtifactsInput!$N$24+1,10,12,14,16,18,20)+(IF(AND(Inputs!$B$38&lt;&gt;"pvp",Inputs!$B$43=0),1,IF(IF(Inputs!$B$38="pvp",15,Inputs!$B$43)-(B3297)&lt;=0,1,MAX(0,IF(Inputs!$B$38="pvp",15,Inputs!$B$43)-MAX(5,B3297))/(IF(Inputs!$B$38="pvp",15,Inputs!$B$43)-(B3297))))*IF(AND(ArtifactsInput!$M$42,((Inputs!$B$9+((C3278=TRUE)*(F3278-Calc!F19))+B3290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266">
        <f>IF(C3266,(H3266*N3266*IF(AND(Inputs!$B$38&lt;&gt;"pvp",Inputs!$B$43&gt;0),((Skills!G7*((R3266-1)*IF(Skills!H7&gt;0,INT(Skills!I7/Skills!H7+0.000000001),1)+IF(Skills!H7&gt;0,INT(MIN(Skills!I7,MAX(0,MAX(0,Inputs!$B$43-B3297)-((R3266-1)*(IF(Inputs!$B$38="pvp",15,MAX(0.1,Skills!D7-IF(TRUE=TRUE,4.0,0)))*(1-IF(AND(ArtifactsInput!$M$27,Inputs!$B$4="Chapter Hunt"),CHOOSE(ArtifactsInput!$N$27+1,20,24,28,32,36,40),0)/100)))))/Skills!H7+0.000000001),1)))/Inputs!$B$43),G3266*Q3266))*IF(Inputs!$B$38="pvp",1,(1+(Inputs!$B$21+Skills!Q7+(IF(ArtifactsInput!$M$33,CHOOSE(ArtifactsInput!$N$33+1,30,36,42,48,54,60),0))+(IF(AND(ArtifactsInput!$M$35,Inputs!$B$4&lt;&gt;"Chapter Hunt"),CHOOSE(ArtifactsInput!$N$35+1,15,18,21,24,27,30)*(1-EXP(-(0.2*B3292)*5)),0)+IF(AND(ArtifactsInput!$M$22,Inputs!$B$4&lt;&gt;"Chapter Hunt"),CHOOSE(ArtifactsInput!$N$22+1,10,12,14,16,18,20)*((0*(((0.15*B3292*5))^0/1)+1*(((0.15*B3292*5))^1/1)+2*(((0.15*B3292*5))^2/2)+3*(((0.15*B3292*5))^3/6)+4*(((0.15*B3292*5))^4/24)+5*(((0.15*B3292*5))^5/120))/((((0.15*B3292*5))^0/1)+(((0.15*B3292*5))^1/1)+(((0.15*B3292*5))^2/2)+(((0.15*B3292*5))^3/6)+(((0.15*B3292*5))^4/24)+(((0.15*B3292*5))^5/120))),0))+IF(Inputs!$B$3&gt;=54,9*(C3262=TRUE)*MIN(1,8*(1+Inputs!$B$34/100)*Q3262),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267">
      <c r="A3267">
        <f>Skills!A8</f>
        <v/>
      </c>
      <c r="B3267">
        <f>Skills!B8</f>
        <v/>
      </c>
      <c r="C3267">
        <f>Inputs!$B$3&gt;=103</f>
        <v/>
      </c>
      <c r="D3267">
        <f>IF(Skills!C8=1,60+Inputs!$B$25+Inputs!$B$29,IF(Skills!C8=2,90+Inputs!$B$26+Inputs!$B$29,IF(Skills!C8=3,120+Inputs!$B$27+Inputs!$B$29,MAX(0,(Inputs!$B$3-100)*3)+Inputs!$B$28+Inputs!$B$29)))</f>
        <v/>
      </c>
      <c r="E3267">
        <f>INDEX(FactorTable!$B$2:$Y$301, MATCH(ROUND(MIN(300,MAX(1,D3267)),0), FactorTable!$A$2:$A$301,0), Skills!M8+1)</f>
        <v/>
      </c>
      <c r="F3267">
        <f>IF(Skills!N8=TRUE,(Skills!L8/10)*(E3267/1000),Skills!L8/10)+Skills!O8</f>
        <v/>
      </c>
      <c r="G3267">
        <f>Skills!G8*IF(Skills!H8&gt;0,INT(IF(Inputs!$B$38="pvp",MIN(Skills!I8,15),Skills!I8)/Skills!H8+0.000000001),1)</f>
        <v/>
      </c>
      <c r="H3267">
        <f>1-(1-Skills!J8/100)^Skills!K8</f>
        <v/>
      </c>
      <c r="I3267" t="inlineStr">
        <is>
          <t>1</t>
        </is>
      </c>
      <c r="J3267">
        <f>((Inputs!$B$6*(1+Inputs!$B$7/100))+(((Inputs!$B$12*(1+Inputs!$B$13/100))-(Inputs!$B$12*(1+Inputs!$B$13/100)))+0.25*(Inputs!$B$14-Inputs!$B$14))*(1+Inputs!$B$7/100))*(F3267/100)</f>
        <v/>
      </c>
      <c r="K3267">
        <f>J3267*(1+((Inputs!$B$12*(1+Inputs!$B$13/100))*0.01+Inputs!$B$14*0.0025)/100)*(1+Inputs!$B$15/100)*(1+Inputs!$B$16/100)*(5000/(6000+Inputs!$B$42*(1-(100*(1-(1-(Inputs!$B$19+0)/100)*(1-CHOOSE(ArtifactsInput!$N$40+1,5,6,7,8,9,10)/100)^(ArtifactsInput!$M$40-ArtifactsInput!$M$40)))/100)))*(1+(Inputs!$B$24+((C3285=TRUE)*(F3285-Calc!F26))+B3296)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IGHT_LEGS_EASTON",Inputs!$B$17+((C3282=TRUE)*(F3282-Calc!F23))+((C3286=TRUE)*(F3286-Calc!F27))+((IF(AND(Inputs!$B$38&lt;&gt;"pvp",Inputs!$B$43=0),1,IF(IF(Inputs!$B$38="pvp",15,Inputs!$B$43)-(B3297)&lt;=0,1,MAX(0,IF(Inputs!$B$38="pvp",15,Inputs!$B$43)-MAX(5,B3297))/(IF(Inputs!$B$38="pvp",15,Inputs!$B$43)-(B3297))))*(IF(AND(ArtifactsInput!$M$42,((Inputs!$B$9+((C3278=TRUE)*(F3278-Calc!F19))+B3290+(ArtifactsInput!$M$24-ArtifactsInput!$M$24)*CHOOSE(ArtifactsInput!$N$24+1,10,12,14,16,18,20)+IF(ArtifactsInput!$M$10,CHOOSE(ArtifactsInput!$N$10+1,15,18,21,24,27,30)*(IF(Inputs!$B$38="pvp",MIN(15,15)/15,IF(AND(Inputs!$B$38&lt;&gt;"pvp",Inputs!$B$43&gt;0),MIN(15,Inputs!$B$43)/(Inputs!$B$43),0))),0)))&gt;=100),MIN(100,((Inputs!$B$9+((C3278=TRUE)*(F3278-Calc!F19))+B3290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3297)&lt;=0,1,MAX(0,IF(Inputs!$B$38="pvp",15,Inputs!$B$43)-MAX(5,B3297))/(IF(Inputs!$B$38="pvp",15,Inputs!$B$43)-(B3297))))*IF(AND(ArtifactsInput!$M$42,((Inputs!$B$9+((C3278=TRUE)*(F3278-Calc!F19))+B3290+(ArtifactsInput!$M$24-ArtifactsInput!$M$24)*CHOOSE(ArtifactsInput!$N$24+1,10,12,14,16,18,20)+IF(ArtifactsInput!$M$10,CHOOSE(ArtifactsInput!$N$10+1,15,18,21,24,27,30)*(IF(Inputs!$B$38="pvp",MIN(15,15)/15,IF(AND(Inputs!$B$38&lt;&gt;"pvp",Inputs!$B$43&gt;0),MIN(15,Inputs!$B$43)/(Inputs!$B$43),0))),0)))&gt;=100),CHOOSE(ArtifactsInput!$N$42+1,40,48,56,64,72,80),0))))/100)*((1+(((C3276=TRUE)*F3276*5/7)+((C3283=TRUE)*(F3283-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3267)</f>
        <v/>
      </c>
      <c r="L3267">
        <f>K3267*(MIN(Inputs!$B$22+((C3281=TRUE)*(F3281-Calc!F22)),(Inputs!$B$23+0+(IF(ArtifactsInput!$M$15,CHOOSE(ArtifactsInput!$N$15+1,25,30,35,40,45,50)/100*(Inputs!$B$11-Inputs!$B$11),0))))/100+(Inputs!$B$23+0+(IF(ArtifactsInput!$M$15,CHOOSE(ArtifactsInput!$N$15+1,25,30,35,40,45,50)/100*(Inputs!$B$11-Inputs!$B$11),0)))/100)/2</f>
        <v/>
      </c>
      <c r="M3267">
        <f>L3267*(1+(Inputs!$B$10+((C3284=TRUE)*(F3284-Calc!F25))+B3295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267">
        <f>L3267*(1-MIN((Inputs!$B$9+((C3278=TRUE)*(F3278-Calc!F19))+B3290+(ArtifactsInput!$M$24-ArtifactsInput!$M$24)*CHOOSE(ArtifactsInput!$N$24+1,10,12,14,16,18,20)+(IF(AND(Inputs!$B$38&lt;&gt;"pvp",Inputs!$B$43=0),1,IF(IF(Inputs!$B$38="pvp",15,Inputs!$B$43)-(B3297)&lt;=0,1,MAX(0,IF(Inputs!$B$38="pvp",15,Inputs!$B$43)-MAX(5,B3297))/(IF(Inputs!$B$38="pvp",15,Inputs!$B$43)-(B3297))))*IF(AND(ArtifactsInput!$M$42,((Inputs!$B$9+((C3278=TRUE)*(F3278-Calc!F19))+B3290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3267*(MIN((Inputs!$B$9+((C3278=TRUE)*(F3278-Calc!F19))+B3290+(ArtifactsInput!$M$24-ArtifactsInput!$M$24)*CHOOSE(ArtifactsInput!$N$24+1,10,12,14,16,18,20)+(IF(AND(Inputs!$B$38&lt;&gt;"pvp",Inputs!$B$43=0),1,IF(IF(Inputs!$B$38="pvp",15,Inputs!$B$43)-(B3297)&lt;=0,1,MAX(0,IF(Inputs!$B$38="pvp",15,Inputs!$B$43)-MAX(5,B3297))/(IF(Inputs!$B$38="pvp",15,Inputs!$B$43)-(B3297))))*IF(AND(ArtifactsInput!$M$42,((Inputs!$B$9+((C3278=TRUE)*(F3278-Calc!F19))+B3290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267">
        <f>(1-Summary!$B$11)*T3267+Summary!$B$11*V3267</f>
        <v/>
      </c>
      <c r="P3267">
        <f>IF(B3300=0,0,O3267/B3300)</f>
        <v/>
      </c>
      <c r="Q3267">
        <f>IFERROR(1/((IF(Inputs!$B$38="pvp",15,MAX(0.1,Skills!D8-IF(TRUE=TRUE,4.0,0)))*(1-IF(AND(ArtifactsInput!$M$27,Inputs!$B$4="Chapter Hunt"),CHOOSE(ArtifactsInput!$N$27+1,20,24,28,32,36,40),0)/100))/B3301),0)</f>
        <v/>
      </c>
      <c r="R3267">
        <f>IF(AND(Inputs!$B$38&lt;&gt;"pvp",Inputs!$B$43&gt;0),IF(MAX(0,Inputs!$B$43-B3297)&lt;=0,0,(INT(MAX(0,Inputs!$B$43-B3297)/((IF(Inputs!$B$38="pvp",15,MAX(0.1,Skills!D8-IF(TRUE=TRUE,4.0,0)))*(1-IF(AND(ArtifactsInput!$M$27,Inputs!$B$4="Chapter Hunt"),CHOOSE(ArtifactsInput!$N$27+1,20,24,28,32,36,40),0)/100))/B3301))+1)),0)</f>
        <v/>
      </c>
      <c r="S3267">
        <f>IFERROR(O3267/N3267,0)</f>
        <v/>
      </c>
      <c r="T3267">
        <f>IF(C3267,(H3267*N3267*IF(AND(Inputs!$B$38&lt;&gt;"pvp",Inputs!$B$43&gt;0),((Skills!G8*((R3267-1)*IF(Skills!H8&gt;0,INT(Skills!I8/Skills!H8+0.000000001),1)+IF(Skills!H8&gt;0,INT(MIN(Skills!I8,MAX(0,MAX(0,Inputs!$B$43-B3297)-((R3267-1)*((IF(Inputs!$B$38="pvp",15,MAX(0.1,Skills!D8-IF(TRUE=TRUE,4.0,0)))*(1-IF(AND(ArtifactsInput!$M$27,Inputs!$B$4="Chapter Hunt"),CHOOSE(ArtifactsInput!$N$27+1,20,24,28,32,36,40),0)/100))/B3301))))/Skills!H8+0.000000001),1)))/Inputs!$B$43),G3267*Q3267))*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Hunt"),CHOOSE(ArtifactsInput!$N$35+1,15,18,21,24,27,30)*(1-EXP(-(0.2*B3292)*5)),0)+IF(AND(ArtifactsInput!$M$22,Inputs!$B$4&lt;&gt;"Chapter Hunt"),CHOOSE(ArtifactsInput!$N$22+1,10,12,14,16,18,20)*((0*(((0.15*B3292*5))^0/1)+1*(((0.15*B3292*5))^1/1)+2*(((0.15*B3292*5))^2/2)+3*(((0.15*B3292*5))^3/6)+4*(((0.15*B3292*5))^4/24)+5*(((0.15*B3292*5))^5/120))/((((0.15*B3292*5))^0/1)+(((0.15*B3292*5))^1/1)+(((0.15*B3292*5))^2/2)+(((0.15*B3292*5))^3/6)+(((0.15*B3292*5))^4/24)+(((0.15*B3292*5))^5/120))),0))+IF(Inputs!$B$3&gt;=54,9*(C3262=TRUE)*MIN(1,8*(1+Inputs!$B$34/100)*Q3262)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3267*(1-MIN(100,(Inputs!$B$9+((C3278=TRUE)*(F3278-Calc!F19))+B3290+(ArtifactsInput!$M$24-ArtifactsInput!$M$24)*CHOOSE(ArtifactsInput!$N$24+1,10,12,14,16,18,20)+(IF(AND(Inputs!$B$38&lt;&gt;"pvp",Inputs!$B$43=0),1,IF(IF(Inputs!$B$38="pvp",15,Inputs!$B$43)-(B3297)&lt;=0,1,MAX(0,IF(Inputs!$B$38="pvp",15,Inputs!$B$43)-MAX(5,B3297))/(IF(Inputs!$B$38="pvp",15,Inputs!$B$43)-(B3297))))*IF(AND(ArtifactsInput!$M$42,((Inputs!$B$9+((C3278=TRUE)*(F3278-Calc!F19))+B3290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3267*(MIN(100,(Inputs!$B$9+((C3278=TRUE)*(F3278-Calc!F19))+B3290+(ArtifactsInput!$M$24-ArtifactsInput!$M$24)*CHOOSE(ArtifactsInput!$N$24+1,10,12,14,16,18,20)+(IF(AND(Inputs!$B$38&lt;&gt;"pvp",Inputs!$B$43=0),1,IF(IF(Inputs!$B$38="pvp",15,Inputs!$B$43)-(B3297)&lt;=0,1,MAX(0,IF(Inputs!$B$38="pvp",15,Inputs!$B$43)-MAX(5,B3297))/(IF(Inputs!$B$38="pvp",15,Inputs!$B$43)-(B3297))))*IF(AND(ArtifactsInput!$M$42,((Inputs!$B$9+((C3278=TRUE)*(F3278-Calc!F19))+B3290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3267*(1-MIN(100,(Inputs!$B$9+((C3278=TRUE)*(F3278-Calc!F19))+B3290+(ArtifactsInput!$M$24-ArtifactsInput!$M$24)*CHOOSE(ArtifactsInput!$N$24+1,10,12,14,16,18,20)+(IF(AND(Inputs!$B$38&lt;&gt;"pvp",Inputs!$B$43=0),1,IF(IF(Inputs!$B$38="pvp",15,Inputs!$B$43)-(B3297)&lt;=0,1,MAX(0,IF(Inputs!$B$38="pvp",15,Inputs!$B$43)-MAX(5,B3297))/(IF(Inputs!$B$38="pvp",15,Inputs!$B$43)-(B3297))))*IF(AND(ArtifactsInput!$M$42,((Inputs!$B$9+((C3278=TRUE)*(F3278-Calc!F19))+B3290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3267*(MIN(100,(Inputs!$B$9+((C3278=TRUE)*(F3278-Calc!F19))+B3290+(ArtifactsInput!$M$24-ArtifactsInput!$M$24)*CHOOSE(ArtifactsInput!$N$24+1,10,12,14,16,18,20)+(IF(AND(Inputs!$B$38&lt;&gt;"pvp",Inputs!$B$43=0),1,IF(IF(Inputs!$B$38="pvp",15,Inputs!$B$43)-(B3297)&lt;=0,1,MAX(0,IF(Inputs!$B$38="pvp",15,Inputs!$B$43)-MAX(5,B3297))/(IF(Inputs!$B$38="pvp",15,Inputs!$B$43)-(B3297))))*IF(AND(ArtifactsInput!$M$42,((Inputs!$B$9+((C3278=TRUE)*(F3278-Calc!F19))+B3290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267">
        <f>IF(C3267,(H3267*N3267*IF(AND(Inputs!$B$38&lt;&gt;"pvp",Inputs!$B$43&gt;0),((Skills!G8*((R3267-1)*IF(Skills!H8&gt;0,INT(Skills!I8/Skills!H8+0.000000001),1)+IF(Skills!H8&gt;0,INT(MIN(Skills!I8,MAX(0,MAX(0,Inputs!$B$43-B3297)-((R3267-1)*((IF(Inputs!$B$38="pvp",15,MAX(0.1,Skills!D8-IF(TRUE=TRUE,4.0,0)))*(1-IF(AND(ArtifactsInput!$M$27,Inputs!$B$4="Chapter Hunt"),CHOOSE(ArtifactsInput!$N$27+1,20,24,28,32,36,40),0)/100))/B3301))))/Skills!H8+0.000000001),1)))/Inputs!$B$43),G3267*Q3267))*IF(Inputs!$B$38="pvp",1,(1+(Inputs!$B$21+Skills!Q8+(IF(ArtifactsInput!$M$33,CHOOSE(ArtifactsInput!$N$33+1,30,36,42,48,54,60),0))+(IF(AND(ArtifactsInput!$M$35,Inputs!$B$4&lt;&gt;"Chapter Hunt"),CHOOSE(ArtifactsInput!$N$35+1,15,18,21,24,27,30)*(1-EXP(-(0.2*B3292)*5)),0)+IF(AND(ArtifactsInput!$M$22,Inputs!$B$4&lt;&gt;"Chapter Hunt"),CHOOSE(ArtifactsInput!$N$22+1,10,12,14,16,18,20)*((0*(((0.15*B3292*5))^0/1)+1*(((0.15*B3292*5))^1/1)+2*(((0.15*B3292*5))^2/2)+3*(((0.15*B3292*5))^3/6)+4*(((0.15*B3292*5))^4/24)+5*(((0.15*B3292*5))^5/120))/((((0.15*B3292*5))^0/1)+(((0.15*B3292*5))^1/1)+(((0.15*B3292*5))^2/2)+(((0.15*B3292*5))^3/6)+(((0.15*B3292*5))^4/24)+(((0.15*B3292*5))^5/120))),0))+IF(Inputs!$B$3&gt;=54,9*(C3262=TRUE)*MIN(1,8*(1+Inputs!$B$34/100)*Q3262),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268">
      <c r="A3268">
        <f>Skills!A9</f>
        <v/>
      </c>
      <c r="B3268">
        <f>Skills!B9</f>
        <v/>
      </c>
      <c r="C3268">
        <f>Inputs!$B$3&gt;=105</f>
        <v/>
      </c>
      <c r="D3268">
        <f>IF(Skills!C9=1,60+Inputs!$B$25+Inputs!$B$29,IF(Skills!C9=2,90+Inputs!$B$26+Inputs!$B$29,IF(Skills!C9=3,120+Inputs!$B$27+Inputs!$B$29,MAX(0,(Inputs!$B$3-100)*3)+Inputs!$B$28+Inputs!$B$29)))</f>
        <v/>
      </c>
      <c r="E3268">
        <f>INDEX(FactorTable!$B$2:$Y$301, MATCH(ROUND(MIN(300,MAX(1,D3268)),0), FactorTable!$A$2:$A$301,0), Skills!M9+1)</f>
        <v/>
      </c>
      <c r="F3268">
        <f>IF(Skills!N9=TRUE,(Skills!L9/10)*(E3268/1000),Skills!L9/10)+Skills!O9</f>
        <v/>
      </c>
      <c r="G3268">
        <f>Skills!G9*IF(Skills!H9&gt;0,INT(IF(Inputs!$B$38="pvp",MIN(Skills!I9,15),Skills!I9)/Skills!H9+0.000000001),1)</f>
        <v/>
      </c>
      <c r="H3268">
        <f>1-(1-Skills!J9/100)^Skills!K9</f>
        <v/>
      </c>
      <c r="I3268" t="inlineStr">
        <is>
          <t>1</t>
        </is>
      </c>
      <c r="J3268">
        <f>((Inputs!$B$6*(1+Inputs!$B$7/100))+(((Inputs!$B$12*(1+Inputs!$B$13/100))-(Inputs!$B$12*(1+Inputs!$B$13/100)))+0.25*(Inputs!$B$14-Inputs!$B$14))*(1+Inputs!$B$7/100))*(F3268/100)</f>
        <v/>
      </c>
      <c r="K3268">
        <f>J3268*(1+((Inputs!$B$12*(1+Inputs!$B$13/100))*0.01+Inputs!$B$14*0.0025)/100)*(1+Inputs!$B$15/100)*(1+Inputs!$B$16/100)*(5000/(6000+Inputs!$B$42*(1-(100*(1-(1-(Inputs!$B$19+0)/100)*(1-CHOOSE(ArtifactsInput!$N$40+1,5,6,7,8,9,10)/100)^(ArtifactsInput!$M$40-ArtifactsInput!$M$40)))/100)))*(1+(Inputs!$B$24+((C3285=TRUE)*(F3285-Calc!F26))+B3296)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IGHT_LEGS_EASTON",Inputs!$B$17+((C3282=TRUE)*(F3282-Calc!F23))+((C3286=TRUE)*(F3286-Calc!F27))+((IF(AND(Inputs!$B$38&lt;&gt;"pvp",Inputs!$B$43=0),1,IF(IF(Inputs!$B$38="pvp",15,Inputs!$B$43)-(B3297)&lt;=0,1,MAX(0,IF(Inputs!$B$38="pvp",15,Inputs!$B$43)-MAX(5,B3297))/(IF(Inputs!$B$38="pvp",15,Inputs!$B$43)-(B3297))))*(IF(AND(ArtifactsInput!$M$42,((Inputs!$B$9+((C3278=TRUE)*(F3278-Calc!F19))+B3290+(ArtifactsInput!$M$24-ArtifactsInput!$M$24)*CHOOSE(ArtifactsInput!$N$24+1,10,12,14,16,18,20)+IF(ArtifactsInput!$M$10,CHOOSE(ArtifactsInput!$N$10+1,15,18,21,24,27,30)*(IF(Inputs!$B$38="pvp",MIN(15,15)/15,IF(AND(Inputs!$B$38&lt;&gt;"pvp",Inputs!$B$43&gt;0),MIN(15,Inputs!$B$43)/(Inputs!$B$43),0))),0)))&gt;=100),MIN(100,((Inputs!$B$9+((C3278=TRUE)*(F3278-Calc!F19))+B3290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3297)&lt;=0,1,MAX(0,IF(Inputs!$B$38="pvp",15,Inputs!$B$43)-MAX(5,B3297))/(IF(Inputs!$B$38="pvp",15,Inputs!$B$43)-(B3297))))*IF(AND(ArtifactsInput!$M$42,((Inputs!$B$9+((C3278=TRUE)*(F3278-Calc!F19))+B3290+(ArtifactsInput!$M$24-ArtifactsInput!$M$24)*CHOOSE(ArtifactsInput!$N$24+1,10,12,14,16,18,20)+IF(ArtifactsInput!$M$10,CHOOSE(ArtifactsInput!$N$10+1,15,18,21,24,27,30)*(IF(Inputs!$B$38="pvp",MIN(15,15)/15,IF(AND(Inputs!$B$38&lt;&gt;"pvp",Inputs!$B$43&gt;0),MIN(15,Inputs!$B$43)/(Inputs!$B$43),0))),0)))&gt;=100),CHOOSE(ArtifactsInput!$N$42+1,40,48,56,64,72,80),0))))/100)*((1+(((C3276=TRUE)*F3276*5/7)+((C3283=TRUE)*(F3283-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3268)</f>
        <v/>
      </c>
      <c r="L3268">
        <f>K3268*(MIN(Inputs!$B$22+((C3281=TRUE)*(F3281-Calc!F22)),(Inputs!$B$23+0+(IF(ArtifactsInput!$M$15,CHOOSE(ArtifactsInput!$N$15+1,25,30,35,40,45,50)/100*(Inputs!$B$11-Inputs!$B$11),0))))/100+(Inputs!$B$23+0+(IF(ArtifactsInput!$M$15,CHOOSE(ArtifactsInput!$N$15+1,25,30,35,40,45,50)/100*(Inputs!$B$11-Inputs!$B$11),0)))/100)/2</f>
        <v/>
      </c>
      <c r="M3268">
        <f>L3268*(1+(Inputs!$B$10+((C3284=TRUE)*(F3284-Calc!F25))+B3295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268">
        <f>L3268*(1-MIN((Inputs!$B$9+((C3278=TRUE)*(F3278-Calc!F19))+B3290+(ArtifactsInput!$M$24-ArtifactsInput!$M$24)*CHOOSE(ArtifactsInput!$N$24+1,10,12,14,16,18,20)+(IF(AND(Inputs!$B$38&lt;&gt;"pvp",Inputs!$B$43=0),1,IF(IF(Inputs!$B$38="pvp",15,Inputs!$B$43)-(B3297)&lt;=0,1,MAX(0,IF(Inputs!$B$38="pvp",15,Inputs!$B$43)-MAX(5,B3297))/(IF(Inputs!$B$38="pvp",15,Inputs!$B$43)-(B3297))))*IF(AND(ArtifactsInput!$M$42,((Inputs!$B$9+((C3278=TRUE)*(F3278-Calc!F19))+B3290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3268*(MIN((Inputs!$B$9+((C3278=TRUE)*(F3278-Calc!F19))+B3290+(ArtifactsInput!$M$24-ArtifactsInput!$M$24)*CHOOSE(ArtifactsInput!$N$24+1,10,12,14,16,18,20)+(IF(AND(Inputs!$B$38&lt;&gt;"pvp",Inputs!$B$43=0),1,IF(IF(Inputs!$B$38="pvp",15,Inputs!$B$43)-(B3297)&lt;=0,1,MAX(0,IF(Inputs!$B$38="pvp",15,Inputs!$B$43)-MAX(5,B3297))/(IF(Inputs!$B$38="pvp",15,Inputs!$B$43)-(B3297))))*IF(AND(ArtifactsInput!$M$42,((Inputs!$B$9+((C3278=TRUE)*(F3278-Calc!F19))+B3290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268">
        <f>(1-Summary!$B$11)*T3268+Summary!$B$11*V3268</f>
        <v/>
      </c>
      <c r="P3268">
        <f>IF(B3300=0,0,O3268/B3300)</f>
        <v/>
      </c>
      <c r="Q3268">
        <f>IFERROR(1/(IF(Inputs!$B$38="pvp",15,MAX(0.1,Skills!D9-IF(TRUE=TRUE,4.0,0)))*(1-IF(AND(ArtifactsInput!$M$27,Inputs!$B$4="Chapter Hunt"),CHOOSE(ArtifactsInput!$N$27+1,20,24,28,32,36,40),0)/100)),0)</f>
        <v/>
      </c>
      <c r="R3268">
        <f>IF(AND(Inputs!$B$38&lt;&gt;"pvp",Inputs!$B$43&gt;0),IF(MAX(0,Inputs!$B$43-B3297)&lt;=0,0,(INT(MAX(0,Inputs!$B$43-B3297)/(IF(Inputs!$B$38="pvp",15,MAX(0.1,Skills!D9-IF(TRUE=TRUE,4.0,0)))*(1-IF(AND(ArtifactsInput!$M$27,Inputs!$B$4="Chapter Hunt"),CHOOSE(ArtifactsInput!$N$27+1,20,24,28,32,36,40),0)/100)))+1)),0)</f>
        <v/>
      </c>
      <c r="S3268">
        <f>IFERROR(O3268/N3268,0)</f>
        <v/>
      </c>
      <c r="T3268">
        <f>IF(C3268,(H3268*N3268*IF(AND(Inputs!$B$38&lt;&gt;"pvp",Inputs!$B$43&gt;0),((Skills!G9*((R3268-1)*IF(Skills!H9&gt;0,INT(Skills!I9/Skills!H9+0.000000001),1)+IF(Skills!H9&gt;0,INT(MIN(Skills!I9,MAX(0,MAX(0,Inputs!$B$43-B3297)-((R3268-1)*(IF(Inputs!$B$38="pvp",15,MAX(0.1,Skills!D9-IF(TRUE=TRUE,4.0,0)))*(1-IF(AND(ArtifactsInput!$M$27,Inputs!$B$4="Chapter Hunt"),CHOOSE(ArtifactsInput!$N$27+1,20,24,28,32,36,40),0)/100)))))/Skills!H9+0.000000001),1)))/Inputs!$B$43),G3268*Q3268))*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Hunt"),CHOOSE(ArtifactsInput!$N$35+1,15,18,21,24,27,30)*(1-EXP(-(0.2*B3292)*5)),0)+IF(AND(ArtifactsInput!$M$22,Inputs!$B$4&lt;&gt;"Chapter Hunt"),CHOOSE(ArtifactsInput!$N$22+1,10,12,14,16,18,20)*((0*(((0.15*B3292*5))^0/1)+1*(((0.15*B3292*5))^1/1)+2*(((0.15*B3292*5))^2/2)+3*(((0.15*B3292*5))^3/6)+4*(((0.15*B3292*5))^4/24)+5*(((0.15*B3292*5))^5/120))/((((0.15*B3292*5))^0/1)+(((0.15*B3292*5))^1/1)+(((0.15*B3292*5))^2/2)+(((0.15*B3292*5))^3/6)+(((0.15*B3292*5))^4/24)+(((0.15*B3292*5))^5/120))),0))+IF(Inputs!$B$3&gt;=54,9*(C3262=TRUE)*MIN(1,8*(1+Inputs!$B$34/100)*Q3262)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3268*(1-MIN(100,(Inputs!$B$9+((C3278=TRUE)*(F3278-Calc!F19))+B3290+(ArtifactsInput!$M$24-ArtifactsInput!$M$24)*CHOOSE(ArtifactsInput!$N$24+1,10,12,14,16,18,20)+(IF(AND(Inputs!$B$38&lt;&gt;"pvp",Inputs!$B$43=0),1,IF(IF(Inputs!$B$38="pvp",15,Inputs!$B$43)-(B3297)&lt;=0,1,MAX(0,IF(Inputs!$B$38="pvp",15,Inputs!$B$43)-MAX(5,B3297))/(IF(Inputs!$B$38="pvp",15,Inputs!$B$43)-(B3297))))*IF(AND(ArtifactsInput!$M$42,((Inputs!$B$9+((C3278=TRUE)*(F3278-Calc!F19))+B3290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3268*(MIN(100,(Inputs!$B$9+((C3278=TRUE)*(F3278-Calc!F19))+B3290+(ArtifactsInput!$M$24-ArtifactsInput!$M$24)*CHOOSE(ArtifactsInput!$N$24+1,10,12,14,16,18,20)+(IF(AND(Inputs!$B$38&lt;&gt;"pvp",Inputs!$B$43=0),1,IF(IF(Inputs!$B$38="pvp",15,Inputs!$B$43)-(B3297)&lt;=0,1,MAX(0,IF(Inputs!$B$38="pvp",15,Inputs!$B$43)-MAX(5,B3297))/(IF(Inputs!$B$38="pvp",15,Inputs!$B$43)-(B3297))))*IF(AND(ArtifactsInput!$M$42,((Inputs!$B$9+((C3278=TRUE)*(F3278-Calc!F19))+B3290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3268*(1-MIN(100,(Inputs!$B$9+((C3278=TRUE)*(F3278-Calc!F19))+B3290+(ArtifactsInput!$M$24-ArtifactsInput!$M$24)*CHOOSE(ArtifactsInput!$N$24+1,10,12,14,16,18,20)+(IF(AND(Inputs!$B$38&lt;&gt;"pvp",Inputs!$B$43=0),1,IF(IF(Inputs!$B$38="pvp",15,Inputs!$B$43)-(B3297)&lt;=0,1,MAX(0,IF(Inputs!$B$38="pvp",15,Inputs!$B$43)-MAX(5,B3297))/(IF(Inputs!$B$38="pvp",15,Inputs!$B$43)-(B3297))))*IF(AND(ArtifactsInput!$M$42,((Inputs!$B$9+((C3278=TRUE)*(F3278-Calc!F19))+B3290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3268*(MIN(100,(Inputs!$B$9+((C3278=TRUE)*(F3278-Calc!F19))+B3290+(ArtifactsInput!$M$24-ArtifactsInput!$M$24)*CHOOSE(ArtifactsInput!$N$24+1,10,12,14,16,18,20)+(IF(AND(Inputs!$B$38&lt;&gt;"pvp",Inputs!$B$43=0),1,IF(IF(Inputs!$B$38="pvp",15,Inputs!$B$43)-(B3297)&lt;=0,1,MAX(0,IF(Inputs!$B$38="pvp",15,Inputs!$B$43)-MAX(5,B3297))/(IF(Inputs!$B$38="pvp",15,Inputs!$B$43)-(B3297))))*IF(AND(ArtifactsInput!$M$42,((Inputs!$B$9+((C3278=TRUE)*(F3278-Calc!F19))+B3290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268">
        <f>IF(C3268,(H3268*N3268*IF(AND(Inputs!$B$38&lt;&gt;"pvp",Inputs!$B$43&gt;0),((Skills!G9*((R3268-1)*IF(Skills!H9&gt;0,INT(Skills!I9/Skills!H9+0.000000001),1)+IF(Skills!H9&gt;0,INT(MIN(Skills!I9,MAX(0,MAX(0,Inputs!$B$43-B3297)-((R3268-1)*(IF(Inputs!$B$38="pvp",15,MAX(0.1,Skills!D9-IF(TRUE=TRUE,4.0,0)))*(1-IF(AND(ArtifactsInput!$M$27,Inputs!$B$4="Chapter Hunt"),CHOOSE(ArtifactsInput!$N$27+1,20,24,28,32,36,40),0)/100)))))/Skills!H9+0.000000001),1)))/Inputs!$B$43),G3268*Q3268))*IF(Inputs!$B$38="pvp",1,(1+(Inputs!$B$21+Skills!Q9+(IF(ArtifactsInput!$M$33,CHOOSE(ArtifactsInput!$N$33+1,30,36,42,48,54,60),0))+(IF(AND(ArtifactsInput!$M$35,Inputs!$B$4&lt;&gt;"Chapter Hunt"),CHOOSE(ArtifactsInput!$N$35+1,15,18,21,24,27,30)*(1-EXP(-(0.2*B3292)*5)),0)+IF(AND(ArtifactsInput!$M$22,Inputs!$B$4&lt;&gt;"Chapter Hunt"),CHOOSE(ArtifactsInput!$N$22+1,10,12,14,16,18,20)*((0*(((0.15*B3292*5))^0/1)+1*(((0.15*B3292*5))^1/1)+2*(((0.15*B3292*5))^2/2)+3*(((0.15*B3292*5))^3/6)+4*(((0.15*B3292*5))^4/24)+5*(((0.15*B3292*5))^5/120))/((((0.15*B3292*5))^0/1)+(((0.15*B3292*5))^1/1)+(((0.15*B3292*5))^2/2)+(((0.15*B3292*5))^3/6)+(((0.15*B3292*5))^4/24)+(((0.15*B3292*5))^5/120))),0))+IF(Inputs!$B$3&gt;=54,9*(C3262=TRUE)*MIN(1,8*(1+Inputs!$B$34/100)*Q3262),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269">
      <c r="A3269">
        <f>Skills!A10</f>
        <v/>
      </c>
      <c r="B3269">
        <f>Skills!B10</f>
        <v/>
      </c>
      <c r="C3269">
        <f>Inputs!$B$3&gt;=113</f>
        <v/>
      </c>
      <c r="D3269">
        <f>IF(Skills!C10=1,60+Inputs!$B$25+Inputs!$B$29,IF(Skills!C10=2,90+Inputs!$B$26+Inputs!$B$29,IF(Skills!C10=3,120+Inputs!$B$27+Inputs!$B$29,MAX(0,(Inputs!$B$3-100)*3)+Inputs!$B$28+Inputs!$B$29)))</f>
        <v/>
      </c>
      <c r="E3269">
        <f>INDEX(FactorTable!$B$2:$Y$301, MATCH(ROUND(MIN(300,MAX(1,D3269)),0), FactorTable!$A$2:$A$301,0), Skills!M10+1)</f>
        <v/>
      </c>
      <c r="F3269">
        <f>IF(Skills!N10=TRUE,(Skills!L10/10)*(E3269/1000),Skills!L10/10)+Skills!O10</f>
        <v/>
      </c>
      <c r="G3269">
        <f>Skills!G10*IF(Skills!H10&gt;0,INT(IF(Inputs!$B$38="pvp",MIN(Skills!I10,15),Skills!I10)/Skills!H10+0.000000001),1)</f>
        <v/>
      </c>
      <c r="H3269">
        <f>1-(1-Skills!J10/100)^Skills!K10</f>
        <v/>
      </c>
      <c r="I3269" t="inlineStr">
        <is>
          <t>1</t>
        </is>
      </c>
      <c r="J3269">
        <f>((Inputs!$B$6*(1+Inputs!$B$7/100))+(((Inputs!$B$12*(1+Inputs!$B$13/100))-(Inputs!$B$12*(1+Inputs!$B$13/100)))+0.25*(Inputs!$B$14-Inputs!$B$14))*(1+Inputs!$B$7/100))*(F3269/100)</f>
        <v/>
      </c>
      <c r="K3269">
        <f>J3269*(1+((Inputs!$B$12*(1+Inputs!$B$13/100))*0.01+Inputs!$B$14*0.0025)/100)*(1+Inputs!$B$15/100)*(1+Inputs!$B$16/100)*(5000/(6000+Inputs!$B$42*(1-(100*(1-(1-(Inputs!$B$19+0)/100)*(1-CHOOSE(ArtifactsInput!$N$40+1,5,6,7,8,9,10)/100)^(ArtifactsInput!$M$40-ArtifactsInput!$M$40)))/100)))*(1+(Inputs!$B$24+((C3285=TRUE)*(F3285-Calc!F26))+B3296)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IGHT_LEGS_EASTON",Inputs!$B$17+((C3282=TRUE)*(F3282-Calc!F23))+((C3286=TRUE)*(F3286-Calc!F27))+((IF(AND(Inputs!$B$38&lt;&gt;"pvp",Inputs!$B$43=0),1,IF(IF(Inputs!$B$38="pvp",15,Inputs!$B$43)-(B3297)&lt;=0,1,MAX(0,IF(Inputs!$B$38="pvp",15,Inputs!$B$43)-MAX(5,B3297))/(IF(Inputs!$B$38="pvp",15,Inputs!$B$43)-(B3297))))*(IF(AND(ArtifactsInput!$M$42,((Inputs!$B$9+((C3278=TRUE)*(F3278-Calc!F19))+B3290+(ArtifactsInput!$M$24-ArtifactsInput!$M$24)*CHOOSE(ArtifactsInput!$N$24+1,10,12,14,16,18,20)+IF(ArtifactsInput!$M$10,CHOOSE(ArtifactsInput!$N$10+1,15,18,21,24,27,30)*(IF(Inputs!$B$38="pvp",MIN(15,15)/15,IF(AND(Inputs!$B$38&lt;&gt;"pvp",Inputs!$B$43&gt;0),MIN(15,Inputs!$B$43)/(Inputs!$B$43),0))),0)))&gt;=100),MIN(100,((Inputs!$B$9+((C3278=TRUE)*(F3278-Calc!F19))+B3290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3297)&lt;=0,1,MAX(0,IF(Inputs!$B$38="pvp",15,Inputs!$B$43)-MAX(5,B3297))/(IF(Inputs!$B$38="pvp",15,Inputs!$B$43)-(B3297))))*IF(AND(ArtifactsInput!$M$42,((Inputs!$B$9+((C3278=TRUE)*(F3278-Calc!F19))+B3290+(ArtifactsInput!$M$24-ArtifactsInput!$M$24)*CHOOSE(ArtifactsInput!$N$24+1,10,12,14,16,18,20)+IF(ArtifactsInput!$M$10,CHOOSE(ArtifactsInput!$N$10+1,15,18,21,24,27,30)*(IF(Inputs!$B$38="pvp",MIN(15,15)/15,IF(AND(Inputs!$B$38&lt;&gt;"pvp",Inputs!$B$43&gt;0),MIN(15,Inputs!$B$43)/(Inputs!$B$43),0))),0)))&gt;=100),CHOOSE(ArtifactsInput!$N$42+1,40,48,56,64,72,80),0))))/100)*((1+(((C3276=TRUE)*F3276*5/7)+((C3283=TRUE)*(F3283-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3269)</f>
        <v/>
      </c>
      <c r="L3269">
        <f>K3269*(MIN(Inputs!$B$22+((C3281=TRUE)*(F3281-Calc!F22)),(Inputs!$B$23+0+(IF(ArtifactsInput!$M$15,CHOOSE(ArtifactsInput!$N$15+1,25,30,35,40,45,50)/100*(Inputs!$B$11-Inputs!$B$11),0))))/100+(Inputs!$B$23+0+(IF(ArtifactsInput!$M$15,CHOOSE(ArtifactsInput!$N$15+1,25,30,35,40,45,50)/100*(Inputs!$B$11-Inputs!$B$11),0)))/100)/2</f>
        <v/>
      </c>
      <c r="M3269">
        <f>L3269*(1+(Inputs!$B$10+((C3284=TRUE)*(F3284-Calc!F25))+B3295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269">
        <f>L3269*(1-MIN((Inputs!$B$9+((C3278=TRUE)*(F3278-Calc!F19))+B3290+(ArtifactsInput!$M$24-ArtifactsInput!$M$24)*CHOOSE(ArtifactsInput!$N$24+1,10,12,14,16,18,20)+(IF(AND(Inputs!$B$38&lt;&gt;"pvp",Inputs!$B$43=0),1,IF(IF(Inputs!$B$38="pvp",15,Inputs!$B$43)-(B3297)&lt;=0,1,MAX(0,IF(Inputs!$B$38="pvp",15,Inputs!$B$43)-MAX(5,B3297))/(IF(Inputs!$B$38="pvp",15,Inputs!$B$43)-(B3297))))*IF(AND(ArtifactsInput!$M$42,((Inputs!$B$9+((C3278=TRUE)*(F3278-Calc!F19))+B3290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3269*(MIN((Inputs!$B$9+((C3278=TRUE)*(F3278-Calc!F19))+B3290+(ArtifactsInput!$M$24-ArtifactsInput!$M$24)*CHOOSE(ArtifactsInput!$N$24+1,10,12,14,16,18,20)+(IF(AND(Inputs!$B$38&lt;&gt;"pvp",Inputs!$B$43=0),1,IF(IF(Inputs!$B$38="pvp",15,Inputs!$B$43)-(B3297)&lt;=0,1,MAX(0,IF(Inputs!$B$38="pvp",15,Inputs!$B$43)-MAX(5,B3297))/(IF(Inputs!$B$38="pvp",15,Inputs!$B$43)-(B3297))))*IF(AND(ArtifactsInput!$M$42,((Inputs!$B$9+((C3278=TRUE)*(F3278-Calc!F19))+B3290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269">
        <f>(1-Summary!$B$11)*T3269+Summary!$B$11*V3269</f>
        <v/>
      </c>
      <c r="P3269">
        <f>IF(B3300=0,0,O3269/B3300)</f>
        <v/>
      </c>
      <c r="Q3269" t="n">
        <v>0</v>
      </c>
      <c r="R3269" t="n">
        <v>0</v>
      </c>
      <c r="S3269">
        <f>IFERROR(O3269/N3269,0)</f>
        <v/>
      </c>
      <c r="T3269">
        <f>IF(C3269,((H3269*B3302)/(1+Skills!H10*H3269*B3302)*N3269)*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Hunt"),CHOOSE(ArtifactsInput!$N$35+1,15,18,21,24,27,30)*(1-EXP(-(0.2*B3292)*5)),0)+IF(AND(ArtifactsInput!$M$22,Inputs!$B$4&lt;&gt;"Chapter Hunt"),CHOOSE(ArtifactsInput!$N$22+1,10,12,14,16,18,20)*((0*(((0.15*B3292*5))^0/1)+1*(((0.15*B3292*5))^1/1)+2*(((0.15*B3292*5))^2/2)+3*(((0.15*B3292*5))^3/6)+4*(((0.15*B3292*5))^4/24)+5*(((0.15*B3292*5))^5/120))/((((0.15*B3292*5))^0/1)+(((0.15*B3292*5))^1/1)+(((0.15*B3292*5))^2/2)+(((0.15*B3292*5))^3/6)+(((0.15*B3292*5))^4/24)+(((0.15*B3292*5))^5/120))),0))+IF(Inputs!$B$3&gt;=54,9*(C3262=TRUE)*MIN(1,8*(1+Inputs!$B$34/100)*Q3262)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3269*(1-MIN(100,(Inputs!$B$9+((C3278=TRUE)*(F3278-Calc!F19))+B3290+(ArtifactsInput!$M$24-ArtifactsInput!$M$24)*CHOOSE(ArtifactsInput!$N$24+1,10,12,14,16,18,20)+(IF(AND(Inputs!$B$38&lt;&gt;"pvp",Inputs!$B$43=0),1,IF(IF(Inputs!$B$38="pvp",15,Inputs!$B$43)-(B3297)&lt;=0,1,MAX(0,IF(Inputs!$B$38="pvp",15,Inputs!$B$43)-MAX(5,B3297))/(IF(Inputs!$B$38="pvp",15,Inputs!$B$43)-(B3297))))*IF(AND(ArtifactsInput!$M$42,((Inputs!$B$9+((C3278=TRUE)*(F3278-Calc!F19))+B3290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3269*(MIN(100,(Inputs!$B$9+((C3278=TRUE)*(F3278-Calc!F19))+B3290+(ArtifactsInput!$M$24-ArtifactsInput!$M$24)*CHOOSE(ArtifactsInput!$N$24+1,10,12,14,16,18,20)+(IF(AND(Inputs!$B$38&lt;&gt;"pvp",Inputs!$B$43=0),1,IF(IF(Inputs!$B$38="pvp",15,Inputs!$B$43)-(B3297)&lt;=0,1,MAX(0,IF(Inputs!$B$38="pvp",15,Inputs!$B$43)-MAX(5,B3297))/(IF(Inputs!$B$38="pvp",15,Inputs!$B$43)-(B3297))))*IF(AND(ArtifactsInput!$M$42,((Inputs!$B$9+((C3278=TRUE)*(F3278-Calc!F19))+B3290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3269*(1-MIN(100,(Inputs!$B$9+((C3278=TRUE)*(F3278-Calc!F19))+B3290+(ArtifactsInput!$M$24-ArtifactsInput!$M$24)*CHOOSE(ArtifactsInput!$N$24+1,10,12,14,16,18,20)+(IF(AND(Inputs!$B$38&lt;&gt;"pvp",Inputs!$B$43=0),1,IF(IF(Inputs!$B$38="pvp",15,Inputs!$B$43)-(B3297)&lt;=0,1,MAX(0,IF(Inputs!$B$38="pvp",15,Inputs!$B$43)-MAX(5,B3297))/(IF(Inputs!$B$38="pvp",15,Inputs!$B$43)-(B3297))))*IF(AND(ArtifactsInput!$M$42,((Inputs!$B$9+((C3278=TRUE)*(F3278-Calc!F19))+B3290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3269*(MIN(100,(Inputs!$B$9+((C3278=TRUE)*(F3278-Calc!F19))+B3290+(ArtifactsInput!$M$24-ArtifactsInput!$M$24)*CHOOSE(ArtifactsInput!$N$24+1,10,12,14,16,18,20)+(IF(AND(Inputs!$B$38&lt;&gt;"pvp",Inputs!$B$43=0),1,IF(IF(Inputs!$B$38="pvp",15,Inputs!$B$43)-(B3297)&lt;=0,1,MAX(0,IF(Inputs!$B$38="pvp",15,Inputs!$B$43)-MAX(5,B3297))/(IF(Inputs!$B$38="pvp",15,Inputs!$B$43)-(B3297))))*IF(AND(ArtifactsInput!$M$42,((Inputs!$B$9+((C3278=TRUE)*(F3278-Calc!F19))+B3290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269">
        <f>IF(C3269,((H3269*B3302)/(1+Skills!H10*H3269*B3302)*N3269)*IF(Inputs!$B$38="pvp",1,(1+(Inputs!$B$21+Skills!Q10+(IF(ArtifactsInput!$M$33,CHOOSE(ArtifactsInput!$N$33+1,30,36,42,48,54,60),0))+(IF(AND(ArtifactsInput!$M$35,Inputs!$B$4&lt;&gt;"Chapter Hunt"),CHOOSE(ArtifactsInput!$N$35+1,15,18,21,24,27,30)*(1-EXP(-(0.2*B3292)*5)),0)+IF(AND(ArtifactsInput!$M$22,Inputs!$B$4&lt;&gt;"Chapter Hunt"),CHOOSE(ArtifactsInput!$N$22+1,10,12,14,16,18,20)*((0*(((0.15*B3292*5))^0/1)+1*(((0.15*B3292*5))^1/1)+2*(((0.15*B3292*5))^2/2)+3*(((0.15*B3292*5))^3/6)+4*(((0.15*B3292*5))^4/24)+5*(((0.15*B3292*5))^5/120))/((((0.15*B3292*5))^0/1)+(((0.15*B3292*5))^1/1)+(((0.15*B3292*5))^2/2)+(((0.15*B3292*5))^3/6)+(((0.15*B3292*5))^4/24)+(((0.15*B3292*5))^5/120))),0))+IF(Inputs!$B$3&gt;=54,9*(C3262=TRUE)*MIN(1,8*(1+Inputs!$B$34/100)*Q3262),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270">
      <c r="A3270">
        <f>Skills!A11</f>
        <v/>
      </c>
      <c r="B3270">
        <f>Skills!B11</f>
        <v/>
      </c>
      <c r="C3270">
        <f>Inputs!$B$3&gt;=117</f>
        <v/>
      </c>
      <c r="D3270">
        <f>IF(Skills!C11=1,60+Inputs!$B$25+Inputs!$B$29,IF(Skills!C11=2,90+Inputs!$B$26+Inputs!$B$29,IF(Skills!C11=3,120+Inputs!$B$27+Inputs!$B$29,MAX(0,(Inputs!$B$3-100)*3)+Inputs!$B$28+Inputs!$B$29)))</f>
        <v/>
      </c>
      <c r="E3270">
        <f>INDEX(FactorTable!$B$2:$Y$301, MATCH(ROUND(MIN(300,MAX(1,D3270)),0), FactorTable!$A$2:$A$301,0), Skills!M11+1)</f>
        <v/>
      </c>
      <c r="F3270">
        <f>IF(Skills!N11=TRUE,(Skills!L11/10)*(E3270/1000),Skills!L11/10)+Skills!O11</f>
        <v/>
      </c>
      <c r="G3270">
        <f>Skills!G11*IF(Skills!H11&gt;0,INT(IF(Inputs!$B$38="pvp",MIN(Skills!I11,15),Skills!I11)/Skills!H11+0.000000001),1)</f>
        <v/>
      </c>
      <c r="H3270">
        <f>1-(1-Skills!J11/100)^Skills!K11</f>
        <v/>
      </c>
      <c r="I3270" t="inlineStr">
        <is>
          <t>1</t>
        </is>
      </c>
      <c r="J3270">
        <f>((Inputs!$B$6*(1+Inputs!$B$7/100))+(((Inputs!$B$12*(1+Inputs!$B$13/100))-(Inputs!$B$12*(1+Inputs!$B$13/100)))+0.25*(Inputs!$B$14-Inputs!$B$14))*(1+Inputs!$B$7/100))*(F3270/100)</f>
        <v/>
      </c>
      <c r="K3270">
        <f>J3270*(1+((Inputs!$B$12*(1+Inputs!$B$13/100))*0.01+Inputs!$B$14*0.0025)/100)*(1+Inputs!$B$15/100)*(1+Inputs!$B$16/100)*(5000/(6000+Inputs!$B$42*(1-(100*(1-(1-(Inputs!$B$19+0)/100)*(1-CHOOSE(ArtifactsInput!$N$40+1,5,6,7,8,9,10)/100)^(ArtifactsInput!$M$40-ArtifactsInput!$M$40)))/100)))*(1+(Inputs!$B$24+((C3285=TRUE)*(F3285-Calc!F26))+B3296)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IGHT_LEGS_EASTON",Inputs!$B$17+((C3282=TRUE)*(F3282-Calc!F23))+((C3286=TRUE)*(F3286-Calc!F27))+((IF(AND(Inputs!$B$38&lt;&gt;"pvp",Inputs!$B$43=0),1,IF(IF(Inputs!$B$38="pvp",15,Inputs!$B$43)-(B3297)&lt;=0,1,MAX(0,IF(Inputs!$B$38="pvp",15,Inputs!$B$43)-MAX(5,B3297))/(IF(Inputs!$B$38="pvp",15,Inputs!$B$43)-(B3297))))*(IF(AND(ArtifactsInput!$M$42,((Inputs!$B$9+((C3278=TRUE)*(F3278-Calc!F19))+B3290+(ArtifactsInput!$M$24-ArtifactsInput!$M$24)*CHOOSE(ArtifactsInput!$N$24+1,10,12,14,16,18,20)+IF(ArtifactsInput!$M$10,CHOOSE(ArtifactsInput!$N$10+1,15,18,21,24,27,30)*(IF(Inputs!$B$38="pvp",MIN(15,15)/15,IF(AND(Inputs!$B$38&lt;&gt;"pvp",Inputs!$B$43&gt;0),MIN(15,Inputs!$B$43)/(Inputs!$B$43),0))),0)))&gt;=100),MIN(100,((Inputs!$B$9+((C3278=TRUE)*(F3278-Calc!F19))+B3290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3297)&lt;=0,1,MAX(0,IF(Inputs!$B$38="pvp",15,Inputs!$B$43)-MAX(5,B3297))/(IF(Inputs!$B$38="pvp",15,Inputs!$B$43)-(B3297))))*IF(AND(ArtifactsInput!$M$42,((Inputs!$B$9+((C3278=TRUE)*(F3278-Calc!F19))+B3290+(ArtifactsInput!$M$24-ArtifactsInput!$M$24)*CHOOSE(ArtifactsInput!$N$24+1,10,12,14,16,18,20)+IF(ArtifactsInput!$M$10,CHOOSE(ArtifactsInput!$N$10+1,15,18,21,24,27,30)*(IF(Inputs!$B$38="pvp",MIN(15,15)/15,IF(AND(Inputs!$B$38&lt;&gt;"pvp",Inputs!$B$43&gt;0),MIN(15,Inputs!$B$43)/(Inputs!$B$43),0))),0)))&gt;=100),CHOOSE(ArtifactsInput!$N$42+1,40,48,56,64,72,80),0))))/100)*((1+(((C3276=TRUE)*F3276*5/7)+((C3283=TRUE)*(F3283-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3270)</f>
        <v/>
      </c>
      <c r="L3270">
        <f>K3270*(MIN(Inputs!$B$22+((C3281=TRUE)*(F3281-Calc!F22)),(Inputs!$B$23+0+(IF(ArtifactsInput!$M$15,CHOOSE(ArtifactsInput!$N$15+1,25,30,35,40,45,50)/100*(Inputs!$B$11-Inputs!$B$11),0))))/100+(Inputs!$B$23+0+(IF(ArtifactsInput!$M$15,CHOOSE(ArtifactsInput!$N$15+1,25,30,35,40,45,50)/100*(Inputs!$B$11-Inputs!$B$11),0)))/100)/2</f>
        <v/>
      </c>
      <c r="M3270">
        <f>L3270*(1+(Inputs!$B$10+((C3284=TRUE)*(F3284-Calc!F25))+B3295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270">
        <f>L3270*(1-MIN((Inputs!$B$9+((C3278=TRUE)*(F3278-Calc!F19))+B3290+(ArtifactsInput!$M$24-ArtifactsInput!$M$24)*CHOOSE(ArtifactsInput!$N$24+1,10,12,14,16,18,20)+(IF(AND(Inputs!$B$38&lt;&gt;"pvp",Inputs!$B$43=0),1,IF(IF(Inputs!$B$38="pvp",15,Inputs!$B$43)-(B3297)&lt;=0,1,MAX(0,IF(Inputs!$B$38="pvp",15,Inputs!$B$43)-MAX(5,B3297))/(IF(Inputs!$B$38="pvp",15,Inputs!$B$43)-(B3297))))*IF(AND(ArtifactsInput!$M$42,((Inputs!$B$9+((C3278=TRUE)*(F3278-Calc!F19))+B3290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3270*(MIN((Inputs!$B$9+((C3278=TRUE)*(F3278-Calc!F19))+B3290+(ArtifactsInput!$M$24-ArtifactsInput!$M$24)*CHOOSE(ArtifactsInput!$N$24+1,10,12,14,16,18,20)+(IF(AND(Inputs!$B$38&lt;&gt;"pvp",Inputs!$B$43=0),1,IF(IF(Inputs!$B$38="pvp",15,Inputs!$B$43)-(B3297)&lt;=0,1,MAX(0,IF(Inputs!$B$38="pvp",15,Inputs!$B$43)-MAX(5,B3297))/(IF(Inputs!$B$38="pvp",15,Inputs!$B$43)-(B3297))))*IF(AND(ArtifactsInput!$M$42,((Inputs!$B$9+((C3278=TRUE)*(F3278-Calc!F19))+B3290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270">
        <f>(1-Summary!$B$11)*T3270+Summary!$B$11*V3270</f>
        <v/>
      </c>
      <c r="P3270">
        <f>IF(B3300=0,0,O3270/B3300)</f>
        <v/>
      </c>
      <c r="Q3270">
        <f>IFERROR(1/((IF(Inputs!$B$38="pvp",15,MAX(0.1,Skills!D11-IF(TRUE=TRUE,4.0,0)))*(1-IF(AND(ArtifactsInput!$M$27,Inputs!$B$4="Chapter Hunt"),CHOOSE(ArtifactsInput!$N$27+1,20,24,28,32,36,40),0)/100))/B3301),0)</f>
        <v/>
      </c>
      <c r="R3270">
        <f>IF(AND(Inputs!$B$38&lt;&gt;"pvp",Inputs!$B$43&gt;0),IF(MAX(0,Inputs!$B$43-B3297)&lt;=0,0,(INT(MAX(0,Inputs!$B$43-B3297)/((IF(Inputs!$B$38="pvp",15,MAX(0.1,Skills!D11-IF(TRUE=TRUE,4.0,0)))*(1-IF(AND(ArtifactsInput!$M$27,Inputs!$B$4="Chapter Hunt"),CHOOSE(ArtifactsInput!$N$27+1,20,24,28,32,36,40),0)/100))/B3301))+1)),0)</f>
        <v/>
      </c>
      <c r="S3270">
        <f>IFERROR(O3270/N3270,0)</f>
        <v/>
      </c>
      <c r="T3270">
        <f>IF(C3270,(H3270*N3270*IF(AND(Inputs!$B$38&lt;&gt;"pvp",Inputs!$B$43&gt;0),((Skills!G11*((R3270-1)*IF(Skills!H11&gt;0,INT(Skills!I11/Skills!H11+0.000000001),1)+IF(Skills!H11&gt;0,INT(MIN(Skills!I11,MAX(0,MAX(0,Inputs!$B$43-B3297)-((R3270-1)*((IF(Inputs!$B$38="pvp",15,MAX(0.1,Skills!D11-IF(TRUE=TRUE,4.0,0)))*(1-IF(AND(ArtifactsInput!$M$27,Inputs!$B$4="Chapter Hunt"),CHOOSE(ArtifactsInput!$N$27+1,20,24,28,32,36,40),0)/100))/B3301))))/Skills!H11+0.000000001),1)))/Inputs!$B$43),G3270*Q3270))*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Hunt"),CHOOSE(ArtifactsInput!$N$35+1,15,18,21,24,27,30)*(1-EXP(-(0.2*B3292)*5)),0)+IF(AND(ArtifactsInput!$M$22,Inputs!$B$4&lt;&gt;"Chapter Hunt"),CHOOSE(ArtifactsInput!$N$22+1,10,12,14,16,18,20)*((0*(((0.15*B3292*5))^0/1)+1*(((0.15*B3292*5))^1/1)+2*(((0.15*B3292*5))^2/2)+3*(((0.15*B3292*5))^3/6)+4*(((0.15*B3292*5))^4/24)+5*(((0.15*B3292*5))^5/120))/((((0.15*B3292*5))^0/1)+(((0.15*B3292*5))^1/1)+(((0.15*B3292*5))^2/2)+(((0.15*B3292*5))^3/6)+(((0.15*B3292*5))^4/24)+(((0.15*B3292*5))^5/120))),0))+IF(Inputs!$B$3&gt;=54,9*(C3262=TRUE)*MIN(1,8*(1+Inputs!$B$34/100)*Q3262)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3270*(1-MIN(100,(Inputs!$B$9+((C3278=TRUE)*(F3278-Calc!F19))+B3290+(ArtifactsInput!$M$24-ArtifactsInput!$M$24)*CHOOSE(ArtifactsInput!$N$24+1,10,12,14,16,18,20)+(IF(AND(Inputs!$B$38&lt;&gt;"pvp",Inputs!$B$43=0),1,IF(IF(Inputs!$B$38="pvp",15,Inputs!$B$43)-(B3297)&lt;=0,1,MAX(0,IF(Inputs!$B$38="pvp",15,Inputs!$B$43)-MAX(5,B3297))/(IF(Inputs!$B$38="pvp",15,Inputs!$B$43)-(B3297))))*IF(AND(ArtifactsInput!$M$42,((Inputs!$B$9+((C3278=TRUE)*(F3278-Calc!F19))+B3290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3270*(MIN(100,(Inputs!$B$9+((C3278=TRUE)*(F3278-Calc!F19))+B3290+(ArtifactsInput!$M$24-ArtifactsInput!$M$24)*CHOOSE(ArtifactsInput!$N$24+1,10,12,14,16,18,20)+(IF(AND(Inputs!$B$38&lt;&gt;"pvp",Inputs!$B$43=0),1,IF(IF(Inputs!$B$38="pvp",15,Inputs!$B$43)-(B3297)&lt;=0,1,MAX(0,IF(Inputs!$B$38="pvp",15,Inputs!$B$43)-MAX(5,B3297))/(IF(Inputs!$B$38="pvp",15,Inputs!$B$43)-(B3297))))*IF(AND(ArtifactsInput!$M$42,((Inputs!$B$9+((C3278=TRUE)*(F3278-Calc!F19))+B3290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3270*(1-MIN(100,(Inputs!$B$9+((C3278=TRUE)*(F3278-Calc!F19))+B3290+(ArtifactsInput!$M$24-ArtifactsInput!$M$24)*CHOOSE(ArtifactsInput!$N$24+1,10,12,14,16,18,20)+(IF(AND(Inputs!$B$38&lt;&gt;"pvp",Inputs!$B$43=0),1,IF(IF(Inputs!$B$38="pvp",15,Inputs!$B$43)-(B3297)&lt;=0,1,MAX(0,IF(Inputs!$B$38="pvp",15,Inputs!$B$43)-MAX(5,B3297))/(IF(Inputs!$B$38="pvp",15,Inputs!$B$43)-(B3297))))*IF(AND(ArtifactsInput!$M$42,((Inputs!$B$9+((C3278=TRUE)*(F3278-Calc!F19))+B3290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3270*(MIN(100,(Inputs!$B$9+((C3278=TRUE)*(F3278-Calc!F19))+B3290+(ArtifactsInput!$M$24-ArtifactsInput!$M$24)*CHOOSE(ArtifactsInput!$N$24+1,10,12,14,16,18,20)+(IF(AND(Inputs!$B$38&lt;&gt;"pvp",Inputs!$B$43=0),1,IF(IF(Inputs!$B$38="pvp",15,Inputs!$B$43)-(B3297)&lt;=0,1,MAX(0,IF(Inputs!$B$38="pvp",15,Inputs!$B$43)-MAX(5,B3297))/(IF(Inputs!$B$38="pvp",15,Inputs!$B$43)-(B3297))))*IF(AND(ArtifactsInput!$M$42,((Inputs!$B$9+((C3278=TRUE)*(F3278-Calc!F19))+B3290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270">
        <f>IF(C3270,(H3270*N3270*IF(AND(Inputs!$B$38&lt;&gt;"pvp",Inputs!$B$43&gt;0),((Skills!G11*((R3270-1)*IF(Skills!H11&gt;0,INT(Skills!I11/Skills!H11+0.000000001),1)+IF(Skills!H11&gt;0,INT(MIN(Skills!I11,MAX(0,MAX(0,Inputs!$B$43-B3297)-((R3270-1)*((IF(Inputs!$B$38="pvp",15,MAX(0.1,Skills!D11-IF(TRUE=TRUE,4.0,0)))*(1-IF(AND(ArtifactsInput!$M$27,Inputs!$B$4="Chapter Hunt"),CHOOSE(ArtifactsInput!$N$27+1,20,24,28,32,36,40),0)/100))/B3301))))/Skills!H11+0.000000001),1)))/Inputs!$B$43),G3270*Q3270))*IF(Inputs!$B$38="pvp",1,(1+(Inputs!$B$21+Skills!Q11+(IF(ArtifactsInput!$M$33,CHOOSE(ArtifactsInput!$N$33+1,30,36,42,48,54,60),0))+(IF(AND(ArtifactsInput!$M$35,Inputs!$B$4&lt;&gt;"Chapter Hunt"),CHOOSE(ArtifactsInput!$N$35+1,15,18,21,24,27,30)*(1-EXP(-(0.2*B3292)*5)),0)+IF(AND(ArtifactsInput!$M$22,Inputs!$B$4&lt;&gt;"Chapter Hunt"),CHOOSE(ArtifactsInput!$N$22+1,10,12,14,16,18,20)*((0*(((0.15*B3292*5))^0/1)+1*(((0.15*B3292*5))^1/1)+2*(((0.15*B3292*5))^2/2)+3*(((0.15*B3292*5))^3/6)+4*(((0.15*B3292*5))^4/24)+5*(((0.15*B3292*5))^5/120))/((((0.15*B3292*5))^0/1)+(((0.15*B3292*5))^1/1)+(((0.15*B3292*5))^2/2)+(((0.15*B3292*5))^3/6)+(((0.15*B3292*5))^4/24)+(((0.15*B3292*5))^5/120))),0))+IF(Inputs!$B$3&gt;=54,9*(C3262=TRUE)*MIN(1,8*(1+Inputs!$B$34/100)*Q3262),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271">
      <c r="A3271">
        <f>Skills!A12</f>
        <v/>
      </c>
      <c r="B3271">
        <f>Skills!B12</f>
        <v/>
      </c>
      <c r="C3271">
        <f>Inputs!$B$3&gt;=110</f>
        <v/>
      </c>
      <c r="D3271">
        <f>IF(Skills!C12=1,60+Inputs!$B$25+Inputs!$B$29,IF(Skills!C12=2,90+Inputs!$B$26+Inputs!$B$29,IF(Skills!C12=3,120+Inputs!$B$27+Inputs!$B$29,MAX(0,(Inputs!$B$3-100)*3)+Inputs!$B$28+Inputs!$B$29)))</f>
        <v/>
      </c>
      <c r="E3271">
        <f>INDEX(FactorTable!$B$2:$Y$301, MATCH(ROUND(MIN(300,MAX(1,D3271)),0), FactorTable!$A$2:$A$301,0), Skills!M12+1)</f>
        <v/>
      </c>
      <c r="F3271">
        <f>IF(Skills!N12=TRUE,(Skills!L12/10)*(E3271/1000),Skills!L12/10)+Skills!O12</f>
        <v/>
      </c>
      <c r="G3271">
        <f>Skills!G12*IF(Skills!H12&gt;0,INT(IF(Inputs!$B$38="pvp",MIN(Skills!I12,15),Skills!I12)/Skills!H12+0.000000001),1)</f>
        <v/>
      </c>
      <c r="H3271">
        <f>1-(1-Skills!J12/100)^Skills!K12</f>
        <v/>
      </c>
      <c r="I3271" t="inlineStr">
        <is>
          <t>1</t>
        </is>
      </c>
      <c r="J3271">
        <f>((Inputs!$B$6*(1+Inputs!$B$7/100))+(((Inputs!$B$12*(1+Inputs!$B$13/100))-(Inputs!$B$12*(1+Inputs!$B$13/100)))+0.25*(Inputs!$B$14-Inputs!$B$14))*(1+Inputs!$B$7/100))*(F3271/100)</f>
        <v/>
      </c>
      <c r="K3271">
        <f>J3271*(1+((Inputs!$B$12*(1+Inputs!$B$13/100))*0.01+Inputs!$B$14*0.0025)/100)*(1+Inputs!$B$15/100)*(1+Inputs!$B$16/100)*(5000/(6000+Inputs!$B$42*(1-(100*(1-(1-(Inputs!$B$19+0)/100)*(1-CHOOSE(ArtifactsInput!$N$40+1,5,6,7,8,9,10)/100)^(ArtifactsInput!$M$40-ArtifactsInput!$M$40)))/100)))*(1+(Inputs!$B$24+((C3285=TRUE)*(F3285-Calc!F26))+B3296)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EIGHT_LEGS_EASTON",Inputs!$B$17+((C3282=TRUE)*(F3282-Calc!F23))+((C3286=TRUE)*(F3286-Calc!F27))+((IF(AND(Inputs!$B$38&lt;&gt;"pvp",Inputs!$B$43=0),1,IF(IF(Inputs!$B$38="pvp",15,Inputs!$B$43)-(B3297)&lt;=0,1,MAX(0,IF(Inputs!$B$38="pvp",15,Inputs!$B$43)-MAX(5,B3297))/(IF(Inputs!$B$38="pvp",15,Inputs!$B$43)-(B3297))))*(IF(AND(ArtifactsInput!$M$42,((Inputs!$B$9+((C3278=TRUE)*(F3278-Calc!F19))+B3290+(ArtifactsInput!$M$24-ArtifactsInput!$M$24)*CHOOSE(ArtifactsInput!$N$24+1,10,12,14,16,18,20)+IF(ArtifactsInput!$M$10,CHOOSE(ArtifactsInput!$N$10+1,15,18,21,24,27,30)*(IF(Inputs!$B$38="pvp",MIN(15,15)/15,IF(AND(Inputs!$B$38&lt;&gt;"pvp",Inputs!$B$43&gt;0),MIN(15,Inputs!$B$43)/(Inputs!$B$43),0))),0)))&gt;=100),MIN(100,((Inputs!$B$9+((C3278=TRUE)*(F3278-Calc!F19))+B3290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3297)&lt;=0,1,MAX(0,IF(Inputs!$B$38="pvp",15,Inputs!$B$43)-MAX(5,B3297))/(IF(Inputs!$B$38="pvp",15,Inputs!$B$43)-(B3297))))*IF(AND(ArtifactsInput!$M$42,((Inputs!$B$9+((C3278=TRUE)*(F3278-Calc!F19))+B3290+(ArtifactsInput!$M$24-ArtifactsInput!$M$24)*CHOOSE(ArtifactsInput!$N$24+1,10,12,14,16,18,20)+IF(ArtifactsInput!$M$10,CHOOSE(ArtifactsInput!$N$10+1,15,18,21,24,27,30)*(IF(Inputs!$B$38="pvp",MIN(15,15)/15,IF(AND(Inputs!$B$38&lt;&gt;"pvp",Inputs!$B$43&gt;0),MIN(15,Inputs!$B$43)/(Inputs!$B$43),0))),0)))&gt;=100),CHOOSE(ArtifactsInput!$N$42+1,40,48,56,64,72,80),0))))/100)*((1+(((C3276=TRUE)*F3276*5/7)+((C3283=TRUE)*(F3283-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3271)</f>
        <v/>
      </c>
      <c r="L3271">
        <f>K3271*(MIN(Inputs!$B$22+((C3281=TRUE)*(F3281-Calc!F22)),(Inputs!$B$23+0+(IF(ArtifactsInput!$M$15,CHOOSE(ArtifactsInput!$N$15+1,25,30,35,40,45,50)/100*(Inputs!$B$11-Inputs!$B$11),0))))/100+(Inputs!$B$23+0+(IF(ArtifactsInput!$M$15,CHOOSE(ArtifactsInput!$N$15+1,25,30,35,40,45,50)/100*(Inputs!$B$11-Inputs!$B$11),0)))/100)/2</f>
        <v/>
      </c>
      <c r="M3271">
        <f>L3271*(1+(Inputs!$B$10+((C3284=TRUE)*(F3284-Calc!F25))+B3295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271">
        <f>L3271*(1-MIN((Inputs!$B$9+((C3278=TRUE)*(F3278-Calc!F19))+B3290+(ArtifactsInput!$M$24-ArtifactsInput!$M$24)*CHOOSE(ArtifactsInput!$N$24+1,10,12,14,16,18,20)+(IF(AND(Inputs!$B$38&lt;&gt;"pvp",Inputs!$B$43=0),1,IF(IF(Inputs!$B$38="pvp",15,Inputs!$B$43)-(B3297)&lt;=0,1,MAX(0,IF(Inputs!$B$38="pvp",15,Inputs!$B$43)-MAX(5,B3297))/(IF(Inputs!$B$38="pvp",15,Inputs!$B$43)-(B3297))))*IF(AND(ArtifactsInput!$M$42,((Inputs!$B$9+((C3278=TRUE)*(F3278-Calc!F19))+B3290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3271*(MIN((Inputs!$B$9+((C3278=TRUE)*(F3278-Calc!F19))+B3290+(ArtifactsInput!$M$24-ArtifactsInput!$M$24)*CHOOSE(ArtifactsInput!$N$24+1,10,12,14,16,18,20)+(IF(AND(Inputs!$B$38&lt;&gt;"pvp",Inputs!$B$43=0),1,IF(IF(Inputs!$B$38="pvp",15,Inputs!$B$43)-(B3297)&lt;=0,1,MAX(0,IF(Inputs!$B$38="pvp",15,Inputs!$B$43)-MAX(5,B3297))/(IF(Inputs!$B$38="pvp",15,Inputs!$B$43)-(B3297))))*IF(AND(ArtifactsInput!$M$42,((Inputs!$B$9+((C3278=TRUE)*(F3278-Calc!F19))+B3290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271">
        <f>(1-Summary!$B$11)*T3271+Summary!$B$11*V3271</f>
        <v/>
      </c>
      <c r="P3271">
        <f>IF(B3300=0,0,O3271/B3300)</f>
        <v/>
      </c>
      <c r="Q3271">
        <f>IFERROR(1/(IF(Inputs!$B$38="pvp",15,MAX(0.1,Skills!D12-IF(TRUE=TRUE,4.0,0)))*(1-IF(AND(ArtifactsInput!$M$27,Inputs!$B$4="Chapter Hunt"),CHOOSE(ArtifactsInput!$N$27+1,20,24,28,32,36,40),0)/100)),0)</f>
        <v/>
      </c>
      <c r="R3271">
        <f>IF(AND(Inputs!$B$38&lt;&gt;"pvp",Inputs!$B$43&gt;0),IF(MAX(0,Inputs!$B$43-B3297)&lt;=0,0,(INT(MAX(0,Inputs!$B$43-B3297)/(IF(Inputs!$B$38="pvp",15,MAX(0.1,Skills!D12-IF(TRUE=TRUE,4.0,0)))*(1-IF(AND(ArtifactsInput!$M$27,Inputs!$B$4="Chapter Hunt"),CHOOSE(ArtifactsInput!$N$27+1,20,24,28,32,36,40),0)/100)))+1)),0)</f>
        <v/>
      </c>
      <c r="S3271">
        <f>IFERROR(O3271/N3271,0)</f>
        <v/>
      </c>
      <c r="T3271">
        <f>IF(C3271,(H3271*N3271*IF(AND(Inputs!$B$38&lt;&gt;"pvp",Inputs!$B$43&gt;0),((Skills!G12*((R3271-1)*IF(Skills!H12&gt;0,INT(Skills!I12/Skills!H12+0.000000001),1)+IF(Skills!H12&gt;0,INT(MIN(Skills!I12,MAX(0,MAX(0,Inputs!$B$43-B3297)-((R3271-1)*(IF(Inputs!$B$38="pvp",15,MAX(0.1,Skills!D12-IF(TRUE=TRUE,4.0,0)))*(1-IF(AND(ArtifactsInput!$M$27,Inputs!$B$4="Chapter Hunt"),CHOOSE(ArtifactsInput!$N$27+1,20,24,28,32,36,40),0)/100)))))/Skills!H12+0.000000001),1)))/Inputs!$B$43),G3271*Q3271))*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Hunt"),CHOOSE(ArtifactsInput!$N$35+1,15,18,21,24,27,30)*(1-EXP(-(0.2*B3292)*5)),0)+IF(AND(ArtifactsInput!$M$22,Inputs!$B$4&lt;&gt;"Chapter Hunt"),CHOOSE(ArtifactsInput!$N$22+1,10,12,14,16,18,20)*((0*(((0.15*B3292*5))^0/1)+1*(((0.15*B3292*5))^1/1)+2*(((0.15*B3292*5))^2/2)+3*(((0.15*B3292*5))^3/6)+4*(((0.15*B3292*5))^4/24)+5*(((0.15*B3292*5))^5/120))/((((0.15*B3292*5))^0/1)+(((0.15*B3292*5))^1/1)+(((0.15*B3292*5))^2/2)+(((0.15*B3292*5))^3/6)+(((0.15*B3292*5))^4/24)+(((0.15*B3292*5))^5/120))),0))+IF(Inputs!$B$3&gt;=54,9*(C3262=TRUE)*MIN(1,8*(1+Inputs!$B$34/100)*Q3262)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3271*(1-MIN(100,(Inputs!$B$9+((C3278=TRUE)*(F3278-Calc!F19))+B3290+(ArtifactsInput!$M$24-ArtifactsInput!$M$24)*CHOOSE(ArtifactsInput!$N$24+1,10,12,14,16,18,20)+(IF(AND(Inputs!$B$38&lt;&gt;"pvp",Inputs!$B$43=0),1,IF(IF(Inputs!$B$38="pvp",15,Inputs!$B$43)-(B3297)&lt;=0,1,MAX(0,IF(Inputs!$B$38="pvp",15,Inputs!$B$43)-MAX(5,B3297))/(IF(Inputs!$B$38="pvp",15,Inputs!$B$43)-(B3297))))*IF(AND(ArtifactsInput!$M$42,((Inputs!$B$9+((C3278=TRUE)*(F3278-Calc!F19))+B3290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3271*(MIN(100,(Inputs!$B$9+((C3278=TRUE)*(F3278-Calc!F19))+B3290+(ArtifactsInput!$M$24-ArtifactsInput!$M$24)*CHOOSE(ArtifactsInput!$N$24+1,10,12,14,16,18,20)+(IF(AND(Inputs!$B$38&lt;&gt;"pvp",Inputs!$B$43=0),1,IF(IF(Inputs!$B$38="pvp",15,Inputs!$B$43)-(B3297)&lt;=0,1,MAX(0,IF(Inputs!$B$38="pvp",15,Inputs!$B$43)-MAX(5,B3297))/(IF(Inputs!$B$38="pvp",15,Inputs!$B$43)-(B3297))))*IF(AND(ArtifactsInput!$M$42,((Inputs!$B$9+((C3278=TRUE)*(F3278-Calc!F19))+B3290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3271*(1-MIN(100,(Inputs!$B$9+((C3278=TRUE)*(F3278-Calc!F19))+B3290+(ArtifactsInput!$M$24-ArtifactsInput!$M$24)*CHOOSE(ArtifactsInput!$N$24+1,10,12,14,16,18,20)+(IF(AND(Inputs!$B$38&lt;&gt;"pvp",Inputs!$B$43=0),1,IF(IF(Inputs!$B$38="pvp",15,Inputs!$B$43)-(B3297)&lt;=0,1,MAX(0,IF(Inputs!$B$38="pvp",15,Inputs!$B$43)-MAX(5,B3297))/(IF(Inputs!$B$38="pvp",15,Inputs!$B$43)-(B3297))))*IF(AND(ArtifactsInput!$M$42,((Inputs!$B$9+((C3278=TRUE)*(F3278-Calc!F19))+B3290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3271*(MIN(100,(Inputs!$B$9+((C3278=TRUE)*(F3278-Calc!F19))+B3290+(ArtifactsInput!$M$24-ArtifactsInput!$M$24)*CHOOSE(ArtifactsInput!$N$24+1,10,12,14,16,18,20)+(IF(AND(Inputs!$B$38&lt;&gt;"pvp",Inputs!$B$43=0),1,IF(IF(Inputs!$B$38="pvp",15,Inputs!$B$43)-(B3297)&lt;=0,1,MAX(0,IF(Inputs!$B$38="pvp",15,Inputs!$B$43)-MAX(5,B3297))/(IF(Inputs!$B$38="pvp",15,Inputs!$B$43)-(B3297))))*IF(AND(ArtifactsInput!$M$42,((Inputs!$B$9+((C3278=TRUE)*(F3278-Calc!F19))+B3290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271">
        <f>IF(C3271,(H3271*N3271*IF(AND(Inputs!$B$38&lt;&gt;"pvp",Inputs!$B$43&gt;0),((Skills!G12*((R3271-1)*IF(Skills!H12&gt;0,INT(Skills!I12/Skills!H12+0.000000001),1)+IF(Skills!H12&gt;0,INT(MIN(Skills!I12,MAX(0,MAX(0,Inputs!$B$43-B3297)-((R3271-1)*(IF(Inputs!$B$38="pvp",15,MAX(0.1,Skills!D12-IF(TRUE=TRUE,4.0,0)))*(1-IF(AND(ArtifactsInput!$M$27,Inputs!$B$4="Chapter Hunt"),CHOOSE(ArtifactsInput!$N$27+1,20,24,28,32,36,40),0)/100)))))/Skills!H12+0.000000001),1)))/Inputs!$B$43),G3271*Q3271))*IF(Inputs!$B$38="pvp",1,(1+(Inputs!$B$21+Skills!Q12+(IF(ArtifactsInput!$M$33,CHOOSE(ArtifactsInput!$N$33+1,30,36,42,48,54,60),0))+(IF(AND(ArtifactsInput!$M$35,Inputs!$B$4&lt;&gt;"Chapter Hunt"),CHOOSE(ArtifactsInput!$N$35+1,15,18,21,24,27,30)*(1-EXP(-(0.2*B3292)*5)),0)+IF(AND(ArtifactsInput!$M$22,Inputs!$B$4&lt;&gt;"Chapter Hunt"),CHOOSE(ArtifactsInput!$N$22+1,10,12,14,16,18,20)*((0*(((0.15*B3292*5))^0/1)+1*(((0.15*B3292*5))^1/1)+2*(((0.15*B3292*5))^2/2)+3*(((0.15*B3292*5))^3/6)+4*(((0.15*B3292*5))^4/24)+5*(((0.15*B3292*5))^5/120))/((((0.15*B3292*5))^0/1)+(((0.15*B3292*5))^1/1)+(((0.15*B3292*5))^2/2)+(((0.15*B3292*5))^3/6)+(((0.15*B3292*5))^4/24)+(((0.15*B3292*5))^5/120))),0))+IF(Inputs!$B$3&gt;=54,9*(C3262=TRUE)*MIN(1,8*(1+Inputs!$B$34/100)*Q3262),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272">
      <c r="A3272">
        <f>Skills!A13</f>
        <v/>
      </c>
      <c r="B3272">
        <f>Skills!B13</f>
        <v/>
      </c>
      <c r="C3272">
        <f>Inputs!$B$3&gt;=110</f>
        <v/>
      </c>
      <c r="D3272">
        <f>IF(Skills!C13=1,60+Inputs!$B$25+Inputs!$B$29,IF(Skills!C13=2,90+Inputs!$B$26+Inputs!$B$29,IF(Skills!C13=3,120+Inputs!$B$27+Inputs!$B$29,MAX(0,(Inputs!$B$3-100)*3)+Inputs!$B$28+Inputs!$B$29)))</f>
        <v/>
      </c>
      <c r="E3272">
        <f>INDEX(FactorTable!$B$2:$Y$301, MATCH(ROUND(MIN(300,MAX(1,D3272)),0), FactorTable!$A$2:$A$301,0), Skills!M13+1)</f>
        <v/>
      </c>
      <c r="F3272">
        <f>IF(Skills!N13=TRUE,(Skills!L13/10)*(E3272/1000),Skills!L13/10)+Skills!O13</f>
        <v/>
      </c>
      <c r="G3272">
        <f>Skills!G13*IF(Skills!H13&gt;0,INT(IF(Inputs!$B$38="pvp",MIN(Skills!I13,15),Skills!I13)/Skills!H13+0.000000001),1)</f>
        <v/>
      </c>
      <c r="H3272">
        <f>1-(1-Skills!J13/100)^Skills!K13</f>
        <v/>
      </c>
      <c r="I3272" t="inlineStr">
        <is>
          <t>1</t>
        </is>
      </c>
      <c r="J3272">
        <f>((Inputs!$B$6*(1+Inputs!$B$7/100))+(((Inputs!$B$12*(1+Inputs!$B$13/100))-(Inputs!$B$12*(1+Inputs!$B$13/100)))+0.25*(Inputs!$B$14-Inputs!$B$14))*(1+Inputs!$B$7/100))*(F3272/100)</f>
        <v/>
      </c>
      <c r="K3272">
        <f>J3272*(1+((Inputs!$B$12*(1+Inputs!$B$13/100))*0.01+Inputs!$B$14*0.0025)/100)*(1+Inputs!$B$15/100)*(1+Inputs!$B$16/100)*(5000/(6000+Inputs!$B$42*(1-(100*(1-(1-(Inputs!$B$19+0)/100)*(1-CHOOSE(ArtifactsInput!$N$40+1,5,6,7,8,9,10)/100)^(ArtifactsInput!$M$40-ArtifactsInput!$M$40)))/100)))*(1+(Inputs!$B$24+((C3285=TRUE)*(F3285-Calc!F26))+B3296)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EIGHT_LEGS_EASTON",Inputs!$B$17+((C3282=TRUE)*(F3282-Calc!F23))+((C3286=TRUE)*(F3286-Calc!F27))+((IF(AND(Inputs!$B$38&lt;&gt;"pvp",Inputs!$B$43=0),1,IF(IF(Inputs!$B$38="pvp",15,Inputs!$B$43)-(B3297)&lt;=0,1,MAX(0,IF(Inputs!$B$38="pvp",15,Inputs!$B$43)-MAX(5,B3297))/(IF(Inputs!$B$38="pvp",15,Inputs!$B$43)-(B3297))))*(IF(AND(ArtifactsInput!$M$42,((Inputs!$B$9+((C3278=TRUE)*(F3278-Calc!F19))+B3290+(ArtifactsInput!$M$24-ArtifactsInput!$M$24)*CHOOSE(ArtifactsInput!$N$24+1,10,12,14,16,18,20)+IF(ArtifactsInput!$M$10,CHOOSE(ArtifactsInput!$N$10+1,15,18,21,24,27,30)*(IF(Inputs!$B$38="pvp",MIN(15,15)/15,IF(AND(Inputs!$B$38&lt;&gt;"pvp",Inputs!$B$43&gt;0),MIN(15,Inputs!$B$43)/(Inputs!$B$43),0))),0)))&gt;=100),MIN(100,((Inputs!$B$9+((C3278=TRUE)*(F3278-Calc!F19))+B3290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3297)&lt;=0,1,MAX(0,IF(Inputs!$B$38="pvp",15,Inputs!$B$43)-MAX(5,B3297))/(IF(Inputs!$B$38="pvp",15,Inputs!$B$43)-(B3297))))*IF(AND(ArtifactsInput!$M$42,((Inputs!$B$9+((C3278=TRUE)*(F3278-Calc!F19))+B3290+(ArtifactsInput!$M$24-ArtifactsInput!$M$24)*CHOOSE(ArtifactsInput!$N$24+1,10,12,14,16,18,20)+IF(ArtifactsInput!$M$10,CHOOSE(ArtifactsInput!$N$10+1,15,18,21,24,27,30)*(IF(Inputs!$B$38="pvp",MIN(15,15)/15,IF(AND(Inputs!$B$38&lt;&gt;"pvp",Inputs!$B$43&gt;0),MIN(15,Inputs!$B$43)/(Inputs!$B$43),0))),0)))&gt;=100),CHOOSE(ArtifactsInput!$N$42+1,40,48,56,64,72,80),0))))/100)*((1+(((C3276=TRUE)*F3276*5/7)+((C3283=TRUE)*(F3283-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3272)</f>
        <v/>
      </c>
      <c r="L3272">
        <f>K3272*(MIN(Inputs!$B$22+((C3281=TRUE)*(F3281-Calc!F22)),(Inputs!$B$23+0+(IF(ArtifactsInput!$M$15,CHOOSE(ArtifactsInput!$N$15+1,25,30,35,40,45,50)/100*(Inputs!$B$11-Inputs!$B$11),0))))/100+(Inputs!$B$23+0+(IF(ArtifactsInput!$M$15,CHOOSE(ArtifactsInput!$N$15+1,25,30,35,40,45,50)/100*(Inputs!$B$11-Inputs!$B$11),0)))/100)/2</f>
        <v/>
      </c>
      <c r="M3272">
        <f>L3272*(1+(Inputs!$B$10+((C3284=TRUE)*(F3284-Calc!F25))+B3295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272">
        <f>L3272*(1-MIN((Inputs!$B$9+((C3278=TRUE)*(F3278-Calc!F19))+B3290+(ArtifactsInput!$M$24-ArtifactsInput!$M$24)*CHOOSE(ArtifactsInput!$N$24+1,10,12,14,16,18,20)+(IF(AND(Inputs!$B$38&lt;&gt;"pvp",Inputs!$B$43=0),1,IF(IF(Inputs!$B$38="pvp",15,Inputs!$B$43)-(B3297)&lt;=0,1,MAX(0,IF(Inputs!$B$38="pvp",15,Inputs!$B$43)-MAX(5,B3297))/(IF(Inputs!$B$38="pvp",15,Inputs!$B$43)-(B3297))))*IF(AND(ArtifactsInput!$M$42,((Inputs!$B$9+((C3278=TRUE)*(F3278-Calc!F19))+B3290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3272*(MIN((Inputs!$B$9+((C3278=TRUE)*(F3278-Calc!F19))+B3290+(ArtifactsInput!$M$24-ArtifactsInput!$M$24)*CHOOSE(ArtifactsInput!$N$24+1,10,12,14,16,18,20)+(IF(AND(Inputs!$B$38&lt;&gt;"pvp",Inputs!$B$43=0),1,IF(IF(Inputs!$B$38="pvp",15,Inputs!$B$43)-(B3297)&lt;=0,1,MAX(0,IF(Inputs!$B$38="pvp",15,Inputs!$B$43)-MAX(5,B3297))/(IF(Inputs!$B$38="pvp",15,Inputs!$B$43)-(B3297))))*IF(AND(ArtifactsInput!$M$42,((Inputs!$B$9+((C3278=TRUE)*(F3278-Calc!F19))+B3290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272">
        <f>(1-Summary!$B$11)*T3272+Summary!$B$11*V3272</f>
        <v/>
      </c>
      <c r="P3272">
        <f>IF(B3300=0,0,O3272/B3300)</f>
        <v/>
      </c>
      <c r="Q3272">
        <f>IFERROR(1/(IF(Inputs!$B$38="pvp",15,MAX(0.1,Skills!D13-IF(TRUE=TRUE,4.0,0)))*(1-IF(AND(ArtifactsInput!$M$27,Inputs!$B$4="Chapter Hunt"),CHOOSE(ArtifactsInput!$N$27+1,20,24,28,32,36,40),0)/100)),0)</f>
        <v/>
      </c>
      <c r="R3272">
        <f>IF(AND(Inputs!$B$38&lt;&gt;"pvp",Inputs!$B$43&gt;0),IF(MAX(0,Inputs!$B$43-B3297)&lt;=0,0,(INT(MAX(0,Inputs!$B$43-B3297)/(IF(Inputs!$B$38="pvp",15,MAX(0.1,Skills!D13-IF(TRUE=TRUE,4.0,0)))*(1-IF(AND(ArtifactsInput!$M$27,Inputs!$B$4="Chapter Hunt"),CHOOSE(ArtifactsInput!$N$27+1,20,24,28,32,36,40),0)/100)))+1)),0)</f>
        <v/>
      </c>
      <c r="S3272">
        <f>IFERROR(O3272/N3272,0)</f>
        <v/>
      </c>
      <c r="T3272">
        <f>IF(C3272,(H3272*N3272*IF(AND(Inputs!$B$38&lt;&gt;"pvp",Inputs!$B$43&gt;0),((Skills!G13*((R3272-1)*IF(Skills!H13&gt;0,INT(Skills!I13/Skills!H13+0.000000001),1)+IF(Skills!H13&gt;0,INT(MIN(Skills!I13,MAX(0,MAX(0,Inputs!$B$43-B3297)-((R3272-1)*(IF(Inputs!$B$38="pvp",15,MAX(0.1,Skills!D13-IF(TRUE=TRUE,4.0,0)))*(1-IF(AND(ArtifactsInput!$M$27,Inputs!$B$4="Chapter Hunt"),CHOOSE(ArtifactsInput!$N$27+1,20,24,28,32,36,40),0)/100)))))/Skills!H13+0.000000001),1)))/Inputs!$B$43),G3272*Q3272))*IF(Inputs!$B$38="pvp",1,1+(Inputs!$B$20+0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Hunt"),CHOOSE(ArtifactsInput!$N$35+1,15,18,21,24,27,30)*(1-EXP(-(0.2*B3292)*5)),0)+IF(AND(ArtifactsInput!$M$22,Inputs!$B$4&lt;&gt;"Chapter Hunt"),CHOOSE(ArtifactsInput!$N$22+1,10,12,14,16,18,20)*((0*(((0.15*B3292*5))^0/1)+1*(((0.15*B3292*5))^1/1)+2*(((0.15*B3292*5))^2/2)+3*(((0.15*B3292*5))^3/6)+4*(((0.15*B3292*5))^4/24)+5*(((0.15*B3292*5))^5/120))/((((0.15*B3292*5))^0/1)+(((0.15*B3292*5))^1/1)+(((0.15*B3292*5))^2/2)+(((0.15*B3292*5))^3/6)+(((0.15*B3292*5))^4/24)+(((0.15*B3292*5))^5/120))),0))+IF(Inputs!$B$3&gt;=54,9*(C3262=TRUE)*MIN(1,8*(1+Inputs!$B$34/100)*Q3262)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3272*(1-MIN(100,(Inputs!$B$9+((C3278=TRUE)*(F3278-Calc!F19))+B3290+(ArtifactsInput!$M$24-ArtifactsInput!$M$24)*CHOOSE(ArtifactsInput!$N$24+1,10,12,14,16,18,20)+(IF(AND(Inputs!$B$38&lt;&gt;"pvp",Inputs!$B$43=0),1,IF(IF(Inputs!$B$38="pvp",15,Inputs!$B$43)-(B3297)&lt;=0,1,MAX(0,IF(Inputs!$B$38="pvp",15,Inputs!$B$43)-MAX(5,B3297))/(IF(Inputs!$B$38="pvp",15,Inputs!$B$43)-(B3297))))*IF(AND(ArtifactsInput!$M$42,((Inputs!$B$9+((C3278=TRUE)*(F3278-Calc!F19))+B3290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3272*(MIN(100,(Inputs!$B$9+((C3278=TRUE)*(F3278-Calc!F19))+B3290+(ArtifactsInput!$M$24-ArtifactsInput!$M$24)*CHOOSE(ArtifactsInput!$N$24+1,10,12,14,16,18,20)+(IF(AND(Inputs!$B$38&lt;&gt;"pvp",Inputs!$B$43=0),1,IF(IF(Inputs!$B$38="pvp",15,Inputs!$B$43)-(B3297)&lt;=0,1,MAX(0,IF(Inputs!$B$38="pvp",15,Inputs!$B$43)-MAX(5,B3297))/(IF(Inputs!$B$38="pvp",15,Inputs!$B$43)-(B3297))))*IF(AND(ArtifactsInput!$M$42,((Inputs!$B$9+((C3278=TRUE)*(F3278-Calc!F19))+B3290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3272*(1-MIN(100,(Inputs!$B$9+((C3278=TRUE)*(F3278-Calc!F19))+B3290+(ArtifactsInput!$M$24-ArtifactsInput!$M$24)*CHOOSE(ArtifactsInput!$N$24+1,10,12,14,16,18,20)+(IF(AND(Inputs!$B$38&lt;&gt;"pvp",Inputs!$B$43=0),1,IF(IF(Inputs!$B$38="pvp",15,Inputs!$B$43)-(B3297)&lt;=0,1,MAX(0,IF(Inputs!$B$38="pvp",15,Inputs!$B$43)-MAX(5,B3297))/(IF(Inputs!$B$38="pvp",15,Inputs!$B$43)-(B3297))))*IF(AND(ArtifactsInput!$M$42,((Inputs!$B$9+((C3278=TRUE)*(F3278-Calc!F19))+B3290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3272*(MIN(100,(Inputs!$B$9+((C3278=TRUE)*(F3278-Calc!F19))+B3290+(ArtifactsInput!$M$24-ArtifactsInput!$M$24)*CHOOSE(ArtifactsInput!$N$24+1,10,12,14,16,18,20)+(IF(AND(Inputs!$B$38&lt;&gt;"pvp",Inputs!$B$43=0),1,IF(IF(Inputs!$B$38="pvp",15,Inputs!$B$43)-(B3297)&lt;=0,1,MAX(0,IF(Inputs!$B$38="pvp",15,Inputs!$B$43)-MAX(5,B3297))/(IF(Inputs!$B$38="pvp",15,Inputs!$B$43)-(B3297))))*IF(AND(ArtifactsInput!$M$42,((Inputs!$B$9+((C3278=TRUE)*(F3278-Calc!F19))+B3290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272">
        <f>IF(C3272,(H3272*N3272*IF(AND(Inputs!$B$38&lt;&gt;"pvp",Inputs!$B$43&gt;0),((Skills!G13*((R3272-1)*IF(Skills!H13&gt;0,INT(Skills!I13/Skills!H13+0.000000001),1)+IF(Skills!H13&gt;0,INT(MIN(Skills!I13,MAX(0,MAX(0,Inputs!$B$43-B3297)-((R3272-1)*(IF(Inputs!$B$38="pvp",15,MAX(0.1,Skills!D13-IF(TRUE=TRUE,4.0,0)))*(1-IF(AND(ArtifactsInput!$M$27,Inputs!$B$4="Chapter Hunt"),CHOOSE(ArtifactsInput!$N$27+1,20,24,28,32,36,40),0)/100)))))/Skills!H13+0.000000001),1)))/Inputs!$B$43),G3272*Q3272))*IF(Inputs!$B$38="pvp",1,(1+(Inputs!$B$21+Skills!Q13+(IF(ArtifactsInput!$M$33,CHOOSE(ArtifactsInput!$N$33+1,30,36,42,48,54,60),0))+(IF(AND(ArtifactsInput!$M$35,Inputs!$B$4&lt;&gt;"Chapter Hunt"),CHOOSE(ArtifactsInput!$N$35+1,15,18,21,24,27,30)*(1-EXP(-(0.2*B3292)*5)),0)+IF(AND(ArtifactsInput!$M$22,Inputs!$B$4&lt;&gt;"Chapter Hunt"),CHOOSE(ArtifactsInput!$N$22+1,10,12,14,16,18,20)*((0*(((0.15*B3292*5))^0/1)+1*(((0.15*B3292*5))^1/1)+2*(((0.15*B3292*5))^2/2)+3*(((0.15*B3292*5))^3/6)+4*(((0.15*B3292*5))^4/24)+5*(((0.15*B3292*5))^5/120))/((((0.15*B3292*5))^0/1)+(((0.15*B3292*5))^1/1)+(((0.15*B3292*5))^2/2)+(((0.15*B3292*5))^3/6)+(((0.15*B3292*5))^4/24)+(((0.15*B3292*5))^5/120))),0))+IF(Inputs!$B$3&gt;=54,9*(C3262=TRUE)*MIN(1,8*(1+Inputs!$B$34/100)*Q3262),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273">
      <c r="A3273">
        <f>Skills!A14</f>
        <v/>
      </c>
      <c r="B3273">
        <f>Skills!B14</f>
        <v/>
      </c>
      <c r="C3273">
        <f>Inputs!$B$3&gt;=120</f>
        <v/>
      </c>
      <c r="D3273">
        <f>IF(Skills!C14=1,60+Inputs!$B$25+Inputs!$B$29,IF(Skills!C14=2,90+Inputs!$B$26+Inputs!$B$29,IF(Skills!C14=3,120+Inputs!$B$27+Inputs!$B$29,MAX(0,(Inputs!$B$3-100)*3)+Inputs!$B$28+Inputs!$B$29)))</f>
        <v/>
      </c>
      <c r="E3273">
        <f>INDEX(FactorTable!$B$2:$Y$301, MATCH(ROUND(MIN(300,MAX(1,D3273)),0), FactorTable!$A$2:$A$301,0), Skills!M14+1)</f>
        <v/>
      </c>
      <c r="F3273">
        <f>IF(Skills!N14=TRUE,(Skills!L14/10)*(E3273/1000),Skills!L14/10)+Skills!O14</f>
        <v/>
      </c>
      <c r="G3273">
        <f>Skills!G14*IF(Skills!H14&gt;0,INT(IF(Inputs!$B$38="pvp",MIN(Skills!I14,15),Skills!I14)/Skills!H14+0.000000001),1)</f>
        <v/>
      </c>
      <c r="H3273">
        <f>1-(1-Skills!J14/100)^Skills!K14</f>
        <v/>
      </c>
      <c r="I3273" t="inlineStr">
        <is>
          <t>1</t>
        </is>
      </c>
      <c r="J3273">
        <f>((Inputs!$B$6*(1+Inputs!$B$7/100))+(((Inputs!$B$12*(1+Inputs!$B$13/100))-(Inputs!$B$12*(1+Inputs!$B$13/100)))+0.25*(Inputs!$B$14-Inputs!$B$14))*(1+Inputs!$B$7/100))*(F3273/100)</f>
        <v/>
      </c>
      <c r="K3273">
        <f>J3273*(1+((Inputs!$B$12*(1+Inputs!$B$13/100))*0.01+Inputs!$B$14*0.0025)/100)*(1+Inputs!$B$15/100)*(1+Inputs!$B$16/100)*(5000/(6000+Inputs!$B$42*(1-(100*(1-(1-(Inputs!$B$19+0)/100)*(1-CHOOSE(ArtifactsInput!$N$40+1,5,6,7,8,9,10)/100)^(ArtifactsInput!$M$40-ArtifactsInput!$M$40)))/100)))*(1+(Inputs!$B$24+((C3285=TRUE)*(F3285-Calc!F26))+B3296)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EIGHT_LEGS_EASTON",Inputs!$B$17+((C3282=TRUE)*(F3282-Calc!F23))+((C3286=TRUE)*(F3286-Calc!F27))+((IF(AND(Inputs!$B$38&lt;&gt;"pvp",Inputs!$B$43=0),1,IF(IF(Inputs!$B$38="pvp",15,Inputs!$B$43)-(B3297)&lt;=0,1,MAX(0,IF(Inputs!$B$38="pvp",15,Inputs!$B$43)-MAX(5,B3297))/(IF(Inputs!$B$38="pvp",15,Inputs!$B$43)-(B3297))))*(IF(AND(ArtifactsInput!$M$42,((Inputs!$B$9+((C3278=TRUE)*(F3278-Calc!F19))+B3290+(ArtifactsInput!$M$24-ArtifactsInput!$M$24)*CHOOSE(ArtifactsInput!$N$24+1,10,12,14,16,18,20)+IF(ArtifactsInput!$M$10,CHOOSE(ArtifactsInput!$N$10+1,15,18,21,24,27,30)*(IF(Inputs!$B$38="pvp",MIN(15,15)/15,IF(AND(Inputs!$B$38&lt;&gt;"pvp",Inputs!$B$43&gt;0),MIN(15,Inputs!$B$43)/(Inputs!$B$43),0))),0)))&gt;=100),MIN(100,((Inputs!$B$9+((C3278=TRUE)*(F3278-Calc!F19))+B3290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3297)&lt;=0,1,MAX(0,IF(Inputs!$B$38="pvp",15,Inputs!$B$43)-MAX(5,B3297))/(IF(Inputs!$B$38="pvp",15,Inputs!$B$43)-(B3297))))*IF(AND(ArtifactsInput!$M$42,((Inputs!$B$9+((C3278=TRUE)*(F3278-Calc!F19))+B3290+(ArtifactsInput!$M$24-ArtifactsInput!$M$24)*CHOOSE(ArtifactsInput!$N$24+1,10,12,14,16,18,20)+IF(ArtifactsInput!$M$10,CHOOSE(ArtifactsInput!$N$10+1,15,18,21,24,27,30)*(IF(Inputs!$B$38="pvp",MIN(15,15)/15,IF(AND(Inputs!$B$38&lt;&gt;"pvp",Inputs!$B$43&gt;0),MIN(15,Inputs!$B$43)/(Inputs!$B$43),0))),0)))&gt;=100),CHOOSE(ArtifactsInput!$N$42+1,40,48,56,64,72,80),0))))/100)*((1+(((C3276=TRUE)*F3276*5/7)+((C3283=TRUE)*(F3283-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3273)</f>
        <v/>
      </c>
      <c r="L3273">
        <f>K3273*(MIN(Inputs!$B$22+((C3281=TRUE)*(F3281-Calc!F22)),(Inputs!$B$23+0+(IF(ArtifactsInput!$M$15,CHOOSE(ArtifactsInput!$N$15+1,25,30,35,40,45,50)/100*(Inputs!$B$11-Inputs!$B$11),0))))/100+(Inputs!$B$23+0+(IF(ArtifactsInput!$M$15,CHOOSE(ArtifactsInput!$N$15+1,25,30,35,40,45,50)/100*(Inputs!$B$11-Inputs!$B$11),0)))/100)/2</f>
        <v/>
      </c>
      <c r="M3273">
        <f>L3273*(1+(Inputs!$B$10+((C3284=TRUE)*(F3284-Calc!F25))+B3295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273">
        <f>L3273*(1-MIN((Inputs!$B$9+((C3278=TRUE)*(F3278-Calc!F19))+B3290+(ArtifactsInput!$M$24-ArtifactsInput!$M$24)*CHOOSE(ArtifactsInput!$N$24+1,10,12,14,16,18,20)+(IF(AND(Inputs!$B$38&lt;&gt;"pvp",Inputs!$B$43=0),1,IF(IF(Inputs!$B$38="pvp",15,Inputs!$B$43)-(B3297)&lt;=0,1,MAX(0,IF(Inputs!$B$38="pvp",15,Inputs!$B$43)-MAX(5,B3297))/(IF(Inputs!$B$38="pvp",15,Inputs!$B$43)-(B3297))))*IF(AND(ArtifactsInput!$M$42,((Inputs!$B$9+((C3278=TRUE)*(F3278-Calc!F19))+B3290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3273*(MIN((Inputs!$B$9+((C3278=TRUE)*(F3278-Calc!F19))+B3290+(ArtifactsInput!$M$24-ArtifactsInput!$M$24)*CHOOSE(ArtifactsInput!$N$24+1,10,12,14,16,18,20)+(IF(AND(Inputs!$B$38&lt;&gt;"pvp",Inputs!$B$43=0),1,IF(IF(Inputs!$B$38="pvp",15,Inputs!$B$43)-(B3297)&lt;=0,1,MAX(0,IF(Inputs!$B$38="pvp",15,Inputs!$B$43)-MAX(5,B3297))/(IF(Inputs!$B$38="pvp",15,Inputs!$B$43)-(B3297))))*IF(AND(ArtifactsInput!$M$42,((Inputs!$B$9+((C3278=TRUE)*(F3278-Calc!F19))+B3290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273">
        <f>(1-Summary!$B$11)*T3273+Summary!$B$11*V3273</f>
        <v/>
      </c>
      <c r="P3273">
        <f>IF(B3300=0,0,O3273/B3300)</f>
        <v/>
      </c>
      <c r="Q3273" t="n">
        <v>0</v>
      </c>
      <c r="R3273" t="n">
        <v>0</v>
      </c>
      <c r="S3273">
        <f>IFERROR(O3273/N3273,0)</f>
        <v/>
      </c>
      <c r="T3273">
        <f>IF(C3273,((H3273*(B3294+IF(AND(Inputs!$B$38&lt;&gt;"pvp",Inputs!$B$43&gt;0),((Skills!G8*((R3267-1)*IF(Skills!H8&gt;0,INT(Skills!I8/Skills!H8+0.000000001),1)+IF(Skills!H8&gt;0,INT(MIN(Skills!I8,MAX(0,MAX(0,Inputs!$B$43-B3297)-((R3267-1)*((IF(Inputs!$B$38="pvp",15,MAX(0.1,Skills!D8-IF(TRUE=TRUE,4.0,0)))*(1-IF(AND(ArtifactsInput!$M$27,Inputs!$B$4="Chapter Hunt"),CHOOSE(ArtifactsInput!$N$27+1,20,24,28,32,36,40),0)/100))/B3301))))/Skills!H8+0.000000001),1)))/Inputs!$B$43),G3267*Q3267)+IF(AND(Inputs!$B$38&lt;&gt;"pvp",Inputs!$B$43&gt;0),((Skills!G11*((R3270-1)*IF(Skills!H11&gt;0,INT(Skills!I11/Skills!H11+0.000000001),1)+IF(Skills!H11&gt;0,INT(MIN(Skills!I11,MAX(0,MAX(0,Inputs!$B$43-B3297)-((R3270-1)*((IF(Inputs!$B$38="pvp",15,MAX(0.1,Skills!D11-IF(TRUE=TRUE,4.0,0)))*(1-IF(AND(ArtifactsInput!$M$27,Inputs!$B$4="Chapter Hunt"),CHOOSE(ArtifactsInput!$N$27+1,20,24,28,32,36,40),0)/100))/B3301))))/Skills!H11+0.000000001),1)))/Inputs!$B$43),G3270*Q3270)))/(1+Skills!H14*H3273*(B3294+IF(AND(Inputs!$B$38&lt;&gt;"pvp",Inputs!$B$43&gt;0),((Skills!G8*((R3267-1)*IF(Skills!H8&gt;0,INT(Skills!I8/Skills!H8+0.000000001),1)+IF(Skills!H8&gt;0,INT(MIN(Skills!I8,MAX(0,MAX(0,Inputs!$B$43-B3297)-((R3267-1)*((IF(Inputs!$B$38="pvp",15,MAX(0.1,Skills!D8-IF(TRUE=TRUE,4.0,0)))*(1-IF(AND(ArtifactsInput!$M$27,Inputs!$B$4="Chapter Hunt"),CHOOSE(ArtifactsInput!$N$27+1,20,24,28,32,36,40),0)/100))/B3301))))/Skills!H8+0.000000001),1)))/Inputs!$B$43),G3267*Q3267)+IF(AND(Inputs!$B$38&lt;&gt;"pvp",Inputs!$B$43&gt;0),((Skills!G11*((R3270-1)*IF(Skills!H11&gt;0,INT(Skills!I11/Skills!H11+0.000000001),1)+IF(Skills!H11&gt;0,INT(MIN(Skills!I11,MAX(0,MAX(0,Inputs!$B$43-B3297)-((R3270-1)*((IF(Inputs!$B$38="pvp",15,MAX(0.1,Skills!D11-IF(TRUE=TRUE,4.0,0)))*(1-IF(AND(ArtifactsInput!$M$27,Inputs!$B$4="Chapter Hunt"),CHOOSE(ArtifactsInput!$N$27+1,20,24,28,32,36,40),0)/100))/B3301))))/Skills!H11+0.000000001),1)))/Inputs!$B$43),G3270*Q3270)))*N3273)*IF(Inputs!$B$38="pvp",1,1+(Inputs!$B$20+0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Hunt"),CHOOSE(ArtifactsInput!$N$35+1,15,18,21,24,27,30)*(1-EXP(-(0.2*B3292)*5)),0)+IF(AND(ArtifactsInput!$M$22,Inputs!$B$4&lt;&gt;"Chapter Hunt"),CHOOSE(ArtifactsInput!$N$22+1,10,12,14,16,18,20)*((0*(((0.15*B3292*5))^0/1)+1*(((0.15*B3292*5))^1/1)+2*(((0.15*B3292*5))^2/2)+3*(((0.15*B3292*5))^3/6)+4*(((0.15*B3292*5))^4/24)+5*(((0.15*B3292*5))^5/120))/((((0.15*B3292*5))^0/1)+(((0.15*B3292*5))^1/1)+(((0.15*B3292*5))^2/2)+(((0.15*B3292*5))^3/6)+(((0.15*B3292*5))^4/24)+(((0.15*B3292*5))^5/120))),0))+IF(Inputs!$B$3&gt;=54,9*(C3262=TRUE)*MIN(1,8*(1+Inputs!$B$34/100)*Q3262),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3273*(1-MIN(100,(Inputs!$B$9+((C3278=TRUE)*(F3278-Calc!F19))+B3290+(ArtifactsInput!$M$24-ArtifactsInput!$M$24)*CHOOSE(ArtifactsInput!$N$24+1,10,12,14,16,18,20)+(IF(AND(Inputs!$B$38&lt;&gt;"pvp",Inputs!$B$43=0),1,IF(IF(Inputs!$B$38="pvp",15,Inputs!$B$43)-(B3297)&lt;=0,1,MAX(0,IF(Inputs!$B$38="pvp",15,Inputs!$B$43)-MAX(5,B3297))/(IF(Inputs!$B$38="pvp",15,Inputs!$B$43)-(B3297))))*IF(AND(ArtifactsInput!$M$42,((Inputs!$B$9+((C3278=TRUE)*(F3278-Calc!F19))+B3290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3273*(MIN(100,(Inputs!$B$9+((C3278=TRUE)*(F3278-Calc!F19))+B3290+(ArtifactsInput!$M$24-ArtifactsInput!$M$24)*CHOOSE(ArtifactsInput!$N$24+1,10,12,14,16,18,20)+(IF(AND(Inputs!$B$38&lt;&gt;"pvp",Inputs!$B$43=0),1,IF(IF(Inputs!$B$38="pvp",15,Inputs!$B$43)-(B3297)&lt;=0,1,MAX(0,IF(Inputs!$B$38="pvp",15,Inputs!$B$43)-MAX(5,B3297))/(IF(Inputs!$B$38="pvp",15,Inputs!$B$43)-(B3297))))*IF(AND(ArtifactsInput!$M$42,((Inputs!$B$9+((C3278=TRUE)*(F3278-Calc!F19))+B3290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3273*(1-MIN(100,(Inputs!$B$9+((C3278=TRUE)*(F3278-Calc!F19))+B3290+(ArtifactsInput!$M$24-ArtifactsInput!$M$24)*CHOOSE(ArtifactsInput!$N$24+1,10,12,14,16,18,20)+(IF(AND(Inputs!$B$38&lt;&gt;"pvp",Inputs!$B$43=0),1,IF(IF(Inputs!$B$38="pvp",15,Inputs!$B$43)-(B3297)&lt;=0,1,MAX(0,IF(Inputs!$B$38="pvp",15,Inputs!$B$43)-MAX(5,B3297))/(IF(Inputs!$B$38="pvp",15,Inputs!$B$43)-(B3297))))*IF(AND(ArtifactsInput!$M$42,((Inputs!$B$9+((C3278=TRUE)*(F3278-Calc!F19))+B3290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3273*(MIN(100,(Inputs!$B$9+((C3278=TRUE)*(F3278-Calc!F19))+B3290+(ArtifactsInput!$M$24-ArtifactsInput!$M$24)*CHOOSE(ArtifactsInput!$N$24+1,10,12,14,16,18,20)+(IF(AND(Inputs!$B$38&lt;&gt;"pvp",Inputs!$B$43=0),1,IF(IF(Inputs!$B$38="pvp",15,Inputs!$B$43)-(B3297)&lt;=0,1,MAX(0,IF(Inputs!$B$38="pvp",15,Inputs!$B$43)-MAX(5,B3297))/(IF(Inputs!$B$38="pvp",15,Inputs!$B$43)-(B3297))))*IF(AND(ArtifactsInput!$M$42,((Inputs!$B$9+((C3278=TRUE)*(F3278-Calc!F19))+B3290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273">
        <f>IF(C3273,((H3273*(B3294+IF(AND(Inputs!$B$38&lt;&gt;"pvp",Inputs!$B$43&gt;0),((Skills!G8*((R3267-1)*IF(Skills!H8&gt;0,INT(Skills!I8/Skills!H8+0.000000001),1)+IF(Skills!H8&gt;0,INT(MIN(Skills!I8,MAX(0,MAX(0,Inputs!$B$43-B3297)-((R3267-1)*((IF(Inputs!$B$38="pvp",15,MAX(0.1,Skills!D8-IF(TRUE=TRUE,4.0,0)))*(1-IF(AND(ArtifactsInput!$M$27,Inputs!$B$4="Chapter Hunt"),CHOOSE(ArtifactsInput!$N$27+1,20,24,28,32,36,40),0)/100))/B3301))))/Skills!H8+0.000000001),1)))/Inputs!$B$43),G3267*Q3267)+IF(AND(Inputs!$B$38&lt;&gt;"pvp",Inputs!$B$43&gt;0),((Skills!G11*((R3270-1)*IF(Skills!H11&gt;0,INT(Skills!I11/Skills!H11+0.000000001),1)+IF(Skills!H11&gt;0,INT(MIN(Skills!I11,MAX(0,MAX(0,Inputs!$B$43-B3297)-((R3270-1)*((IF(Inputs!$B$38="pvp",15,MAX(0.1,Skills!D11-IF(TRUE=TRUE,4.0,0)))*(1-IF(AND(ArtifactsInput!$M$27,Inputs!$B$4="Chapter Hunt"),CHOOSE(ArtifactsInput!$N$27+1,20,24,28,32,36,40),0)/100))/B3301))))/Skills!H11+0.000000001),1)))/Inputs!$B$43),G3270*Q3270)))/(1+Skills!H14*H3273*(B3294+IF(AND(Inputs!$B$38&lt;&gt;"pvp",Inputs!$B$43&gt;0),((Skills!G8*((R3267-1)*IF(Skills!H8&gt;0,INT(Skills!I8/Skills!H8+0.000000001),1)+IF(Skills!H8&gt;0,INT(MIN(Skills!I8,MAX(0,MAX(0,Inputs!$B$43-B3297)-((R3267-1)*((IF(Inputs!$B$38="pvp",15,MAX(0.1,Skills!D8-IF(TRUE=TRUE,4.0,0)))*(1-IF(AND(ArtifactsInput!$M$27,Inputs!$B$4="Chapter Hunt"),CHOOSE(ArtifactsInput!$N$27+1,20,24,28,32,36,40),0)/100))/B3301))))/Skills!H8+0.000000001),1)))/Inputs!$B$43),G3267*Q3267)+IF(AND(Inputs!$B$38&lt;&gt;"pvp",Inputs!$B$43&gt;0),((Skills!G11*((R3270-1)*IF(Skills!H11&gt;0,INT(Skills!I11/Skills!H11+0.000000001),1)+IF(Skills!H11&gt;0,INT(MIN(Skills!I11,MAX(0,MAX(0,Inputs!$B$43-B3297)-((R3270-1)*((IF(Inputs!$B$38="pvp",15,MAX(0.1,Skills!D11-IF(TRUE=TRUE,4.0,0)))*(1-IF(AND(ArtifactsInput!$M$27,Inputs!$B$4="Chapter Hunt"),CHOOSE(ArtifactsInput!$N$27+1,20,24,28,32,36,40),0)/100))/B3301))))/Skills!H11+0.000000001),1)))/Inputs!$B$43),G3270*Q3270)))*N3273)*IF(Inputs!$B$38="pvp",1,(1+(Inputs!$B$21+Skills!Q14+(IF(ArtifactsInput!$M$33,CHOOSE(ArtifactsInput!$N$33+1,30,36,42,48,54,60),0))+(IF(AND(ArtifactsInput!$M$35,Inputs!$B$4&lt;&gt;"Chapter Hunt"),CHOOSE(ArtifactsInput!$N$35+1,15,18,21,24,27,30)*(1-EXP(-(0.2*B3292)*5)),0)+IF(AND(ArtifactsInput!$M$22,Inputs!$B$4&lt;&gt;"Chapter Hunt"),CHOOSE(ArtifactsInput!$N$22+1,10,12,14,16,18,20)*((0*(((0.15*B3292*5))^0/1)+1*(((0.15*B3292*5))^1/1)+2*(((0.15*B3292*5))^2/2)+3*(((0.15*B3292*5))^3/6)+4*(((0.15*B3292*5))^4/24)+5*(((0.15*B3292*5))^5/120))/((((0.15*B3292*5))^0/1)+(((0.15*B3292*5))^1/1)+(((0.15*B3292*5))^2/2)+(((0.15*B3292*5))^3/6)+(((0.15*B3292*5))^4/24)+(((0.15*B3292*5))^5/120))),0))+IF(Inputs!$B$3&gt;=54,9*(C3262=TRUE)*MIN(1,8*(1+Inputs!$B$34/100)*Q3262),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274">
      <c r="A3274">
        <f>Skills!A15</f>
        <v/>
      </c>
      <c r="B3274">
        <f>Skills!B15</f>
        <v/>
      </c>
      <c r="C3274">
        <f>Inputs!$B$3&gt;=100</f>
        <v/>
      </c>
      <c r="D3274">
        <f>IF(Skills!C15=1,60+Inputs!$B$25+Inputs!$B$29,IF(Skills!C15=2,90+Inputs!$B$26+Inputs!$B$29,IF(Skills!C15=3,120+Inputs!$B$27+Inputs!$B$29,MAX(0,(Inputs!$B$3-100)*3)+Inputs!$B$28+Inputs!$B$29)))</f>
        <v/>
      </c>
      <c r="E3274">
        <f>INDEX(FactorTable!$B$2:$Y$301, MATCH(ROUND(MIN(300,MAX(1,D3274)),0), FactorTable!$A$2:$A$301,0), Skills!M15+1)</f>
        <v/>
      </c>
      <c r="F3274">
        <f>IF(Skills!N15=TRUE,(Skills!L15/10)*(E3274/1000),Skills!L15/10)+Skills!O15</f>
        <v/>
      </c>
      <c r="G3274" t="inlineStr"/>
      <c r="H3274" t="inlineStr"/>
      <c r="I3274" t="inlineStr">
        <is>
          <t>1</t>
        </is>
      </c>
      <c r="J3274" t="inlineStr"/>
      <c r="K3274" t="inlineStr"/>
      <c r="L3274" t="inlineStr"/>
      <c r="M3274" t="inlineStr"/>
      <c r="N3274" t="inlineStr"/>
      <c r="O3274" t="inlineStr"/>
      <c r="P3274" t="inlineStr"/>
      <c r="Q3274" t="inlineStr"/>
      <c r="R3274" t="inlineStr"/>
      <c r="S3274" t="inlineStr"/>
    </row>
    <row r="3275">
      <c r="A3275">
        <f>Skills!A16</f>
        <v/>
      </c>
      <c r="B3275">
        <f>Skills!B16</f>
        <v/>
      </c>
      <c r="C3275">
        <f>Inputs!$B$3&gt;=107</f>
        <v/>
      </c>
      <c r="D3275">
        <f>IF(Skills!C16=1,60+Inputs!$B$25+Inputs!$B$29,IF(Skills!C16=2,90+Inputs!$B$26+Inputs!$B$29,IF(Skills!C16=3,120+Inputs!$B$27+Inputs!$B$29,MAX(0,(Inputs!$B$3-100)*3)+Inputs!$B$28+Inputs!$B$29)))</f>
        <v/>
      </c>
      <c r="E3275">
        <f>INDEX(FactorTable!$B$2:$Y$301, MATCH(ROUND(MIN(300,MAX(1,D3275)),0), FactorTable!$A$2:$A$301,0), Skills!M16+1)</f>
        <v/>
      </c>
      <c r="F3275">
        <f>IF(Skills!N16=TRUE,(Skills!L16/10)*(E3275/1000),Skills!L16/10)+Skills!O16</f>
        <v/>
      </c>
      <c r="G3275" t="inlineStr"/>
      <c r="H3275" t="inlineStr"/>
      <c r="I3275" t="inlineStr">
        <is>
          <t>1</t>
        </is>
      </c>
      <c r="J3275" t="inlineStr"/>
      <c r="K3275" t="inlineStr"/>
      <c r="L3275" t="inlineStr"/>
      <c r="M3275" t="inlineStr"/>
      <c r="N3275" t="inlineStr"/>
      <c r="O3275" t="inlineStr"/>
      <c r="P3275" t="inlineStr"/>
      <c r="Q3275" t="inlineStr"/>
      <c r="R3275" t="inlineStr"/>
      <c r="S3275" t="inlineStr"/>
    </row>
    <row r="3276">
      <c r="A3276">
        <f>Skills!A17</f>
        <v/>
      </c>
      <c r="B3276">
        <f>Skills!B17</f>
        <v/>
      </c>
      <c r="C3276">
        <f>Inputs!$B$3&gt;=74</f>
        <v/>
      </c>
      <c r="D3276">
        <f>IF(Skills!C17=1,60+Inputs!$B$25+Inputs!$B$29,IF(Skills!C17=2,90+Inputs!$B$26+Inputs!$B$29,IF(Skills!C17=3,120+Inputs!$B$27+Inputs!$B$29,MAX(0,(Inputs!$B$3-100)*3)+Inputs!$B$28+Inputs!$B$29)))</f>
        <v/>
      </c>
      <c r="E3276">
        <f>INDEX(FactorTable!$B$2:$Y$301, MATCH(ROUND(MIN(300,MAX(1,D3276)),0), FactorTable!$A$2:$A$301,0), Skills!M17+1)</f>
        <v/>
      </c>
      <c r="F3276">
        <f>IF(Skills!N17=TRUE,(Skills!L17/10)*(E3276/1000),Skills!L17/10)+Skills!O17</f>
        <v/>
      </c>
      <c r="G3276">
        <f>Skills!G17*IF(Skills!H17&gt;0,INT(IF(Inputs!$B$38="pvp",MIN(Skills!I17,15),Skills!I17)/Skills!H17+0.000000001),1)</f>
        <v/>
      </c>
      <c r="H3276">
        <f>1-(1-Skills!J17/100)^Skills!K17</f>
        <v/>
      </c>
      <c r="I3276" t="inlineStr">
        <is>
          <t>1</t>
        </is>
      </c>
      <c r="J3276" t="inlineStr"/>
      <c r="K3276" t="inlineStr"/>
      <c r="L3276" t="inlineStr"/>
      <c r="M3276" t="inlineStr"/>
      <c r="N3276" t="inlineStr"/>
      <c r="O3276">
        <f>(1-Summary!$B$11)*T3276+Summary!$B$11*V3276</f>
        <v/>
      </c>
      <c r="P3276">
        <f>IF(B3300=0,0,O3276/B3300)</f>
        <v/>
      </c>
      <c r="Q3276" t="n">
        <v>0</v>
      </c>
      <c r="R3276" t="n">
        <v>0</v>
      </c>
      <c r="S3276">
        <f>IFERROR(O3276/N3276,0)</f>
        <v/>
      </c>
      <c r="T3276" t="n">
        <v>0</v>
      </c>
      <c r="V3276" t="n">
        <v>0</v>
      </c>
    </row>
    <row r="3277">
      <c r="A3277">
        <f>Skills!A18</f>
        <v/>
      </c>
      <c r="B3277">
        <f>Skills!B18</f>
        <v/>
      </c>
      <c r="C3277">
        <f>Inputs!$B$3&gt;=115</f>
        <v/>
      </c>
      <c r="D3277">
        <f>IF(Skills!C18=1,60+Inputs!$B$25+Inputs!$B$29,IF(Skills!C18=2,90+Inputs!$B$26+Inputs!$B$29,IF(Skills!C18=3,120+Inputs!$B$27+Inputs!$B$29,MAX(0,(Inputs!$B$3-100)*3)+Inputs!$B$28+Inputs!$B$29)))</f>
        <v/>
      </c>
      <c r="E3277">
        <f>INDEX(FactorTable!$B$2:$Y$301, MATCH(ROUND(MIN(300,MAX(1,D3277)),0), FactorTable!$A$2:$A$301,0), Skills!M18+1)</f>
        <v/>
      </c>
      <c r="F3277">
        <f>IF(Skills!N18=TRUE,(Skills!L18/10)*(E3277/1000),Skills!L18/10)+Skills!O18</f>
        <v/>
      </c>
      <c r="G3277">
        <f>Skills!G18*IF(Skills!H18&gt;0,INT(IF(Inputs!$B$38="pvp",MIN(Skills!I18,15),Skills!I18)/Skills!H18+0.000000001),1)</f>
        <v/>
      </c>
      <c r="H3277">
        <f>1-(1-Skills!J18/100)^Skills!K18</f>
        <v/>
      </c>
      <c r="I3277" t="inlineStr">
        <is>
          <t>1</t>
        </is>
      </c>
      <c r="J3277" t="inlineStr"/>
      <c r="K3277" t="inlineStr"/>
      <c r="L3277" t="inlineStr"/>
      <c r="M3277" t="inlineStr"/>
      <c r="N3277" t="inlineStr"/>
      <c r="O3277">
        <f>(1-Summary!$B$11)*T3277+Summary!$B$11*V3277</f>
        <v/>
      </c>
      <c r="P3277">
        <f>IF(B3300=0,0,O3277/B3300)</f>
        <v/>
      </c>
      <c r="Q3277">
        <f>IFERROR(1/(IF(Inputs!$B$38="pvp",15,MAX(0.1,Skills!D18-IF(TRUE=TRUE,4.0,0)))*(1-IF(AND(ArtifactsInput!$M$27,Inputs!$B$4="Chapter Hunt"),CHOOSE(ArtifactsInput!$N$27+1,20,24,28,32,36,40),0)/100)),0)</f>
        <v/>
      </c>
      <c r="R3277">
        <f>IF(AND(Inputs!$B$38&lt;&gt;"pvp",Inputs!$B$43&gt;0),IF(Inputs!$B$43&lt;=0,0,(INT(Inputs!$B$43/(IF(Inputs!$B$38="pvp",15,MAX(0.1,Skills!D18-IF(TRUE=TRUE,4.0,0)))*(1-IF(AND(ArtifactsInput!$M$27,Inputs!$B$4="Chapter Hunt"),CHOOSE(ArtifactsInput!$N$27+1,20,24,28,32,36,40),0)/100)))+1)),0)</f>
        <v/>
      </c>
      <c r="S3277">
        <f>IFERROR(O3277/N3277,0)</f>
        <v/>
      </c>
      <c r="T3277" t="n">
        <v>0</v>
      </c>
      <c r="V3277" t="n">
        <v>0</v>
      </c>
    </row>
    <row r="3278">
      <c r="A3278">
        <f>Skills!A19</f>
        <v/>
      </c>
      <c r="B3278">
        <f>Skills!B19</f>
        <v/>
      </c>
      <c r="C3278">
        <f>Inputs!$B$3&gt;=10</f>
        <v/>
      </c>
      <c r="D3278">
        <f>IF(Skills!C19=1,60+Inputs!$B$25+Inputs!$B$29,IF(Skills!C19=2,90+Inputs!$B$26+Inputs!$B$29,IF(Skills!C19=3,120+Inputs!$B$27+Inputs!$B$29,MAX(0,(Inputs!$B$3-100)*3)+Inputs!$B$28+Inputs!$B$29)))</f>
        <v/>
      </c>
      <c r="E3278">
        <f>INDEX(FactorTable!$B$2:$Y$301, MATCH(ROUND(MIN(300,MAX(1,D3278)),0), FactorTable!$A$2:$A$301,0), Skills!M19+1)</f>
        <v/>
      </c>
      <c r="F3278">
        <f>IF(Skills!N19=TRUE,(Skills!L19/10)*(E3278/1000),Skills!L19/10)+Skills!O19</f>
        <v/>
      </c>
      <c r="G3278">
        <f>Skills!G19*IF(Skills!H19&gt;0,INT(IF(Inputs!$B$38="pvp",MIN(Skills!I19,15),Skills!I19)/Skills!H19+0.000000001),1)</f>
        <v/>
      </c>
      <c r="H3278">
        <f>1-(1-Skills!J19/100)^Skills!K19</f>
        <v/>
      </c>
      <c r="I3278" t="inlineStr">
        <is>
          <t>1</t>
        </is>
      </c>
      <c r="J3278" t="inlineStr"/>
      <c r="K3278" t="inlineStr"/>
      <c r="L3278" t="inlineStr"/>
      <c r="M3278" t="inlineStr"/>
      <c r="N3278" t="inlineStr"/>
      <c r="O3278">
        <f>(1-Summary!$B$11)*T3278+Summary!$B$11*V3278</f>
        <v/>
      </c>
      <c r="P3278">
        <f>IF(B3300=0,0,O3278/B3300)</f>
        <v/>
      </c>
      <c r="Q3278" t="n">
        <v>0</v>
      </c>
      <c r="R3278" t="n">
        <v>0</v>
      </c>
      <c r="S3278">
        <f>IFERROR(O3278/N3278,0)</f>
        <v/>
      </c>
      <c r="T3278" t="n">
        <v>0</v>
      </c>
      <c r="V3278" t="n">
        <v>0</v>
      </c>
    </row>
    <row r="3279">
      <c r="A3279">
        <f>Skills!A20</f>
        <v/>
      </c>
      <c r="B3279">
        <f>Skills!B20</f>
        <v/>
      </c>
      <c r="C3279">
        <f>Inputs!$B$3&gt;=15</f>
        <v/>
      </c>
      <c r="D3279">
        <f>IF(Skills!C20=1,60+Inputs!$B$25+Inputs!$B$29,IF(Skills!C20=2,90+Inputs!$B$26+Inputs!$B$29,IF(Skills!C20=3,120+Inputs!$B$27+Inputs!$B$29,MAX(0,(Inputs!$B$3-100)*3)+Inputs!$B$28+Inputs!$B$29)))</f>
        <v/>
      </c>
      <c r="E3279">
        <f>INDEX(FactorTable!$B$2:$Y$301, MATCH(ROUND(MIN(300,MAX(1,D3279)),0), FactorTable!$A$2:$A$301,0), Skills!M20+1)</f>
        <v/>
      </c>
      <c r="F3279">
        <f>IF(Skills!N20=TRUE,(Skills!L20/10)*(E3279/1000),Skills!L20/10)+Skills!O20</f>
        <v/>
      </c>
      <c r="G3279">
        <f>Skills!G20*IF(Skills!H20&gt;0,INT(IF(Inputs!$B$38="pvp",MIN(Skills!I20,15),Skills!I20)/Skills!H20+0.000000001),1)</f>
        <v/>
      </c>
      <c r="H3279">
        <f>1-(1-Skills!J20/100)^Skills!K20</f>
        <v/>
      </c>
      <c r="I3279" t="inlineStr">
        <is>
          <t>1</t>
        </is>
      </c>
      <c r="J3279" t="inlineStr"/>
      <c r="K3279" t="inlineStr"/>
      <c r="L3279" t="inlineStr"/>
      <c r="M3279" t="inlineStr"/>
      <c r="N3279" t="inlineStr"/>
      <c r="O3279">
        <f>(1-Summary!$B$11)*T3279+Summary!$B$11*V3279</f>
        <v/>
      </c>
      <c r="P3279">
        <f>IF(B3300=0,0,O3279/B3300)</f>
        <v/>
      </c>
      <c r="Q3279" t="n">
        <v>0</v>
      </c>
      <c r="R3279" t="n">
        <v>0</v>
      </c>
      <c r="S3279">
        <f>IFERROR(O3279/N3279,0)</f>
        <v/>
      </c>
      <c r="T3279" t="n">
        <v>0</v>
      </c>
      <c r="V3279" t="n">
        <v>0</v>
      </c>
    </row>
    <row r="3280">
      <c r="A3280">
        <f>Skills!A21</f>
        <v/>
      </c>
      <c r="B3280">
        <f>Skills!B21</f>
        <v/>
      </c>
      <c r="C3280">
        <f>Inputs!$B$3&gt;=40</f>
        <v/>
      </c>
      <c r="D3280">
        <f>IF(Skills!C21=1,60+Inputs!$B$25+Inputs!$B$29,IF(Skills!C21=2,90+Inputs!$B$26+Inputs!$B$29,IF(Skills!C21=3,120+Inputs!$B$27+Inputs!$B$29,MAX(0,(Inputs!$B$3-100)*3)+Inputs!$B$28+Inputs!$B$29)))</f>
        <v/>
      </c>
      <c r="E3280">
        <f>INDEX(FactorTable!$B$2:$Y$301, MATCH(ROUND(MIN(300,MAX(1,D3280)),0), FactorTable!$A$2:$A$301,0), Skills!M21+1)</f>
        <v/>
      </c>
      <c r="F3280">
        <f>IF(Skills!N21=TRUE,(Skills!L21/10)*(E3280/1000),Skills!L21/10)+Skills!O21</f>
        <v/>
      </c>
      <c r="G3280">
        <f>Skills!G21*IF(Skills!H21&gt;0,INT(IF(Inputs!$B$38="pvp",MIN(Skills!I21,15),Skills!I21)/Skills!H21+0.000000001),1)</f>
        <v/>
      </c>
      <c r="H3280">
        <f>1-(1-Skills!J21/100)^Skills!K21</f>
        <v/>
      </c>
      <c r="I3280" t="inlineStr">
        <is>
          <t>1</t>
        </is>
      </c>
      <c r="J3280" t="inlineStr"/>
      <c r="K3280" t="inlineStr"/>
      <c r="L3280" t="inlineStr"/>
      <c r="M3280" t="inlineStr"/>
      <c r="N3280" t="inlineStr"/>
      <c r="O3280">
        <f>(1-Summary!$B$11)*T3280+Summary!$B$11*V3280</f>
        <v/>
      </c>
      <c r="P3280">
        <f>IF(B3300=0,0,O3280/B3300)</f>
        <v/>
      </c>
      <c r="Q3280" t="n">
        <v>0</v>
      </c>
      <c r="R3280" t="n">
        <v>0</v>
      </c>
      <c r="S3280">
        <f>IFERROR(O3280/N3280,0)</f>
        <v/>
      </c>
      <c r="T3280" t="n">
        <v>0</v>
      </c>
      <c r="V3280" t="n">
        <v>0</v>
      </c>
    </row>
    <row r="3281">
      <c r="A3281">
        <f>Skills!A22</f>
        <v/>
      </c>
      <c r="B3281">
        <f>Skills!B22</f>
        <v/>
      </c>
      <c r="C3281">
        <f>Inputs!$B$3&gt;=43</f>
        <v/>
      </c>
      <c r="D3281">
        <f>IF(Skills!C22=1,60+Inputs!$B$25+Inputs!$B$29,IF(Skills!C22=2,90+Inputs!$B$26+Inputs!$B$29,IF(Skills!C22=3,120+Inputs!$B$27+Inputs!$B$29,MAX(0,(Inputs!$B$3-100)*3)+Inputs!$B$28+Inputs!$B$29)))</f>
        <v/>
      </c>
      <c r="E3281">
        <f>INDEX(FactorTable!$B$2:$Y$301, MATCH(ROUND(MIN(300,MAX(1,D3281)),0), FactorTable!$A$2:$A$301,0), Skills!M22+1)</f>
        <v/>
      </c>
      <c r="F3281">
        <f>IF(Skills!N22=TRUE,(Skills!L22/10)*(E3281/1000),Skills!L22/10)+Skills!O22</f>
        <v/>
      </c>
      <c r="G3281">
        <f>Skills!G22*IF(Skills!H22&gt;0,INT(IF(Inputs!$B$38="pvp",MIN(Skills!I22,15),Skills!I22)/Skills!H22+0.000000001),1)</f>
        <v/>
      </c>
      <c r="H3281">
        <f>1-(1-Skills!J22/100)^Skills!K22</f>
        <v/>
      </c>
      <c r="I3281" t="inlineStr">
        <is>
          <t>1</t>
        </is>
      </c>
      <c r="J3281" t="inlineStr"/>
      <c r="K3281" t="inlineStr"/>
      <c r="L3281" t="inlineStr"/>
      <c r="M3281" t="inlineStr"/>
      <c r="N3281" t="inlineStr"/>
      <c r="O3281">
        <f>(1-Summary!$B$11)*T3281+Summary!$B$11*V3281</f>
        <v/>
      </c>
      <c r="P3281">
        <f>IF(B3300=0,0,O3281/B3300)</f>
        <v/>
      </c>
      <c r="Q3281" t="n">
        <v>0</v>
      </c>
      <c r="R3281" t="n">
        <v>0</v>
      </c>
      <c r="S3281">
        <f>IFERROR(O3281/N3281,0)</f>
        <v/>
      </c>
      <c r="T3281" t="n">
        <v>0</v>
      </c>
      <c r="V3281" t="n">
        <v>0</v>
      </c>
    </row>
    <row r="3282">
      <c r="A3282">
        <f>Skills!A23</f>
        <v/>
      </c>
      <c r="B3282">
        <f>Skills!B23</f>
        <v/>
      </c>
      <c r="C3282">
        <f>Inputs!$B$3&gt;=38</f>
        <v/>
      </c>
      <c r="D3282">
        <f>IF(Skills!C23=1,60+Inputs!$B$25+Inputs!$B$29,IF(Skills!C23=2,90+Inputs!$B$26+Inputs!$B$29,IF(Skills!C23=3,120+Inputs!$B$27+Inputs!$B$29,MAX(0,(Inputs!$B$3-100)*3)+Inputs!$B$28+Inputs!$B$29)))</f>
        <v/>
      </c>
      <c r="E3282">
        <f>INDEX(FactorTable!$B$2:$Y$301, MATCH(ROUND(MIN(300,MAX(1,D3282)),0), FactorTable!$A$2:$A$301,0), Skills!M23+1)</f>
        <v/>
      </c>
      <c r="F3282">
        <f>IF(Skills!N23=TRUE,(Skills!L23/10)*(E3282/1000),Skills!L23/10)+Skills!O23</f>
        <v/>
      </c>
      <c r="G3282">
        <f>Skills!G23*IF(Skills!H23&gt;0,INT(IF(Inputs!$B$38="pvp",MIN(Skills!I23,15),Skills!I23)/Skills!H23+0.000000001),1)</f>
        <v/>
      </c>
      <c r="H3282">
        <f>1-(1-Skills!J23/100)^Skills!K23</f>
        <v/>
      </c>
      <c r="I3282" t="inlineStr">
        <is>
          <t>1</t>
        </is>
      </c>
      <c r="J3282" t="inlineStr"/>
      <c r="K3282" t="inlineStr"/>
      <c r="L3282" t="inlineStr"/>
      <c r="M3282" t="inlineStr"/>
      <c r="N3282" t="inlineStr"/>
      <c r="O3282">
        <f>(1-Summary!$B$11)*T3282+Summary!$B$11*V3282</f>
        <v/>
      </c>
      <c r="P3282">
        <f>IF(B3300=0,0,O3282/B3300)</f>
        <v/>
      </c>
      <c r="Q3282" t="n">
        <v>0</v>
      </c>
      <c r="R3282" t="n">
        <v>0</v>
      </c>
      <c r="S3282">
        <f>IFERROR(O3282/N3282,0)</f>
        <v/>
      </c>
      <c r="T3282" t="n">
        <v>0</v>
      </c>
      <c r="V3282" t="n">
        <v>0</v>
      </c>
    </row>
    <row r="3283">
      <c r="A3283">
        <f>Skills!A24</f>
        <v/>
      </c>
      <c r="B3283">
        <f>Skills!B24</f>
        <v/>
      </c>
      <c r="C3283">
        <f>Inputs!$B$3&gt;=45</f>
        <v/>
      </c>
      <c r="D3283">
        <f>IF(Skills!C24=1,60+Inputs!$B$25+Inputs!$B$29,IF(Skills!C24=2,90+Inputs!$B$26+Inputs!$B$29,IF(Skills!C24=3,120+Inputs!$B$27+Inputs!$B$29,MAX(0,(Inputs!$B$3-100)*3)+Inputs!$B$28+Inputs!$B$29)))</f>
        <v/>
      </c>
      <c r="E3283">
        <f>INDEX(FactorTable!$B$2:$Y$301, MATCH(ROUND(MIN(300,MAX(1,D3283)),0), FactorTable!$A$2:$A$301,0), Skills!M24+1)</f>
        <v/>
      </c>
      <c r="F3283">
        <f>IF(Skills!N24=TRUE,(Skills!L24/10)*(E3283/1000),Skills!L24/10)+Skills!O24</f>
        <v/>
      </c>
      <c r="G3283">
        <f>Skills!G24*IF(Skills!H24&gt;0,INT(IF(Inputs!$B$38="pvp",MIN(Skills!I24,15),Skills!I24)/Skills!H24+0.000000001),1)</f>
        <v/>
      </c>
      <c r="H3283">
        <f>1-(1-Skills!J24/100)^Skills!K24</f>
        <v/>
      </c>
      <c r="I3283" t="inlineStr">
        <is>
          <t>1</t>
        </is>
      </c>
      <c r="J3283" t="inlineStr"/>
      <c r="K3283" t="inlineStr"/>
      <c r="L3283" t="inlineStr"/>
      <c r="M3283" t="inlineStr"/>
      <c r="N3283" t="inlineStr"/>
      <c r="O3283">
        <f>(1-Summary!$B$11)*T3283+Summary!$B$11*V3283</f>
        <v/>
      </c>
      <c r="P3283">
        <f>IF(B3300=0,0,O3283/B3300)</f>
        <v/>
      </c>
      <c r="Q3283" t="n">
        <v>0</v>
      </c>
      <c r="R3283" t="n">
        <v>0</v>
      </c>
      <c r="S3283">
        <f>IFERROR(O3283/N3283,0)</f>
        <v/>
      </c>
      <c r="T3283" t="n">
        <v>0</v>
      </c>
      <c r="V3283" t="n">
        <v>0</v>
      </c>
    </row>
    <row r="3284">
      <c r="A3284">
        <f>Skills!A25</f>
        <v/>
      </c>
      <c r="B3284">
        <f>Skills!B25</f>
        <v/>
      </c>
      <c r="C3284">
        <f>Inputs!$B$3&gt;=72</f>
        <v/>
      </c>
      <c r="D3284">
        <f>IF(Skills!C25=1,60+Inputs!$B$25+Inputs!$B$29,IF(Skills!C25=2,90+Inputs!$B$26+Inputs!$B$29,IF(Skills!C25=3,120+Inputs!$B$27+Inputs!$B$29,MAX(0,(Inputs!$B$3-100)*3)+Inputs!$B$28+Inputs!$B$29)))</f>
        <v/>
      </c>
      <c r="E3284">
        <f>INDEX(FactorTable!$B$2:$Y$301, MATCH(ROUND(MIN(300,MAX(1,D3284)),0), FactorTable!$A$2:$A$301,0), Skills!M25+1)</f>
        <v/>
      </c>
      <c r="F3284">
        <f>IF(Skills!N25=TRUE,(Skills!L25/10)*(E3284/1000),Skills!L25/10)+Skills!O25</f>
        <v/>
      </c>
      <c r="G3284">
        <f>Skills!G25*IF(Skills!H25&gt;0,INT(IF(Inputs!$B$38="pvp",MIN(Skills!I25,15),Skills!I25)/Skills!H25+0.000000001),1)</f>
        <v/>
      </c>
      <c r="H3284">
        <f>1-(1-Skills!J25/100)^Skills!K25</f>
        <v/>
      </c>
      <c r="I3284" t="inlineStr">
        <is>
          <t>1</t>
        </is>
      </c>
      <c r="J3284" t="inlineStr"/>
      <c r="K3284" t="inlineStr"/>
      <c r="L3284" t="inlineStr"/>
      <c r="M3284" t="inlineStr"/>
      <c r="N3284" t="inlineStr"/>
      <c r="O3284">
        <f>(1-Summary!$B$11)*T3284+Summary!$B$11*V3284</f>
        <v/>
      </c>
      <c r="P3284">
        <f>IF(B3300=0,0,O3284/B3300)</f>
        <v/>
      </c>
      <c r="Q3284" t="n">
        <v>0</v>
      </c>
      <c r="R3284" t="n">
        <v>0</v>
      </c>
      <c r="S3284">
        <f>IFERROR(O3284/N3284,0)</f>
        <v/>
      </c>
      <c r="T3284" t="n">
        <v>0</v>
      </c>
      <c r="V3284" t="n">
        <v>0</v>
      </c>
    </row>
    <row r="3285">
      <c r="A3285">
        <f>Skills!A26</f>
        <v/>
      </c>
      <c r="B3285">
        <f>Skills!B26</f>
        <v/>
      </c>
      <c r="C3285">
        <f>Inputs!$B$3&gt;=75</f>
        <v/>
      </c>
      <c r="D3285">
        <f>IF(Skills!C26=1,60+Inputs!$B$25+Inputs!$B$29,IF(Skills!C26=2,90+Inputs!$B$26+Inputs!$B$29,IF(Skills!C26=3,120+Inputs!$B$27+Inputs!$B$29,MAX(0,(Inputs!$B$3-100)*3)+Inputs!$B$28+Inputs!$B$29)))</f>
        <v/>
      </c>
      <c r="E3285">
        <f>INDEX(FactorTable!$B$2:$Y$301, MATCH(ROUND(MIN(300,MAX(1,D3285)),0), FactorTable!$A$2:$A$301,0), Skills!M26+1)</f>
        <v/>
      </c>
      <c r="F3285">
        <f>IF(Skills!N26=TRUE,(Skills!L26/10)*(E3285/1000),Skills!L26/10)+Skills!O26</f>
        <v/>
      </c>
      <c r="G3285">
        <f>Skills!G26*IF(Skills!H26&gt;0,INT(IF(Inputs!$B$38="pvp",MIN(Skills!I26,15),Skills!I26)/Skills!H26+0.000000001),1)</f>
        <v/>
      </c>
      <c r="H3285">
        <f>1-(1-Skills!J26/100)^Skills!K26</f>
        <v/>
      </c>
      <c r="I3285" t="inlineStr">
        <is>
          <t>1</t>
        </is>
      </c>
      <c r="J3285" t="inlineStr"/>
      <c r="K3285" t="inlineStr"/>
      <c r="L3285" t="inlineStr"/>
      <c r="M3285" t="inlineStr"/>
      <c r="N3285" t="inlineStr"/>
      <c r="O3285">
        <f>(1-Summary!$B$11)*T3285+Summary!$B$11*V3285</f>
        <v/>
      </c>
      <c r="P3285">
        <f>IF(B3300=0,0,O3285/B3300)</f>
        <v/>
      </c>
      <c r="Q3285" t="n">
        <v>0</v>
      </c>
      <c r="R3285" t="n">
        <v>0</v>
      </c>
      <c r="S3285">
        <f>IFERROR(O3285/N3285,0)</f>
        <v/>
      </c>
      <c r="T3285" t="n">
        <v>0</v>
      </c>
      <c r="V3285" t="n">
        <v>0</v>
      </c>
    </row>
    <row r="3286">
      <c r="A3286">
        <f>Skills!A27</f>
        <v/>
      </c>
      <c r="B3286">
        <f>Skills!B27</f>
        <v/>
      </c>
      <c r="C3286">
        <f>Inputs!$B$3&gt;=125</f>
        <v/>
      </c>
      <c r="D3286">
        <f>IF(Skills!C27=1,60+Inputs!$B$25+Inputs!$B$29,IF(Skills!C27=2,90+Inputs!$B$26+Inputs!$B$29,IF(Skills!C27=3,120+Inputs!$B$27+Inputs!$B$29,MAX(0,(Inputs!$B$3-100)*3)+Inputs!$B$28+Inputs!$B$29)))</f>
        <v/>
      </c>
      <c r="E3286">
        <f>INDEX(FactorTable!$B$2:$Y$301, MATCH(ROUND(MIN(300,MAX(1,D3286)),0), FactorTable!$A$2:$A$301,0), Skills!M27+1)</f>
        <v/>
      </c>
      <c r="F3286">
        <f>IF(Skills!N27=TRUE,(Skills!L27/10)*(E3286/1000),Skills!L27/10)+Skills!O27</f>
        <v/>
      </c>
      <c r="G3286">
        <f>Skills!G27*IF(Skills!H27&gt;0,INT(IF(Inputs!$B$38="pvp",MIN(Skills!I27,15),Skills!I27)/Skills!H27+0.000000001),1)</f>
        <v/>
      </c>
      <c r="H3286">
        <f>1-(1-Skills!J27/100)^Skills!K27</f>
        <v/>
      </c>
      <c r="I3286" t="inlineStr">
        <is>
          <t>1</t>
        </is>
      </c>
      <c r="J3286" t="inlineStr"/>
      <c r="K3286" t="inlineStr"/>
      <c r="L3286" t="inlineStr"/>
      <c r="M3286" t="inlineStr"/>
      <c r="N3286" t="inlineStr"/>
      <c r="O3286">
        <f>(1-Summary!$B$11)*T3286+Summary!$B$11*V3286</f>
        <v/>
      </c>
      <c r="P3286">
        <f>IF(B3300=0,0,O3286/B3300)</f>
        <v/>
      </c>
      <c r="Q3286" t="n">
        <v>0</v>
      </c>
      <c r="R3286" t="n">
        <v>0</v>
      </c>
      <c r="S3286">
        <f>IFERROR(O3286/N3286,0)</f>
        <v/>
      </c>
      <c r="T3286" t="n">
        <v>0</v>
      </c>
      <c r="V3286" t="n">
        <v>0</v>
      </c>
    </row>
    <row r="3287">
      <c r="A3287">
        <f>Skills!A28</f>
        <v/>
      </c>
      <c r="B3287">
        <f>Skills!B28</f>
        <v/>
      </c>
      <c r="C3287">
        <f>TRUE</f>
        <v/>
      </c>
      <c r="D3287">
        <f>IF(Skills!C28=1,60+Inputs!$B$25+Inputs!$B$29,IF(Skills!C28=2,90+Inputs!$B$26+Inputs!$B$29,IF(Skills!C28=3,120+Inputs!$B$27+Inputs!$B$29,MAX(0,(Inputs!$B$3-100)*3)+Inputs!$B$28+Inputs!$B$29)))</f>
        <v/>
      </c>
      <c r="E3287">
        <f>INDEX(FactorTable!$B$2:$Y$301, MATCH(ROUND(MIN(300,MAX(1,D3287)),0), FactorTable!$A$2:$A$301,0), Skills!M28+1)</f>
        <v/>
      </c>
      <c r="F3287">
        <f>IF(Skills!N28=TRUE,(Skills!L28/10)*(E3287/1000),Skills!L28/10)+Skills!O28</f>
        <v/>
      </c>
      <c r="G3287">
        <f>Skills!G28*IF(Skills!H28&gt;0,INT(IF(Inputs!$B$38="pvp",MIN(Skills!I28,15),Skills!I28)/Skills!H28+0.000000001),1)</f>
        <v/>
      </c>
      <c r="H3287">
        <f>1-(1-Skills!J28/100)^Skills!K28</f>
        <v/>
      </c>
      <c r="I3287" t="inlineStr">
        <is>
          <t>1</t>
        </is>
      </c>
      <c r="J3287" t="inlineStr"/>
      <c r="K3287" t="inlineStr"/>
      <c r="L3287" t="inlineStr"/>
      <c r="M3287" t="inlineStr"/>
      <c r="N3287" t="inlineStr"/>
      <c r="O3287">
        <f>(1-Summary!$B$11)*T3287+Summary!$B$11*V3287</f>
        <v/>
      </c>
      <c r="P3287">
        <f>IF(B3300=0,0,O3287/B3300)</f>
        <v/>
      </c>
      <c r="Q3287">
        <f>IFERROR(1/(IF(Inputs!$B$38="pvp",15,MAX(0.1,Skills!D28-IF(TRUE=TRUE,4.0,0)))*(1-IF(AND(ArtifactsInput!$M$27,Inputs!$B$4="Chapter Hunt"),CHOOSE(ArtifactsInput!$N$27+1,20,24,28,32,36,40),0)/100)),0)</f>
        <v/>
      </c>
      <c r="R3287">
        <f>IF(AND(Inputs!$B$38&lt;&gt;"pvp",Inputs!$B$43&gt;0),IF(Inputs!$B$43&lt;=0,0,(INT(Inputs!$B$43/(IF(Inputs!$B$38="pvp",15,MAX(0.1,Skills!D28-IF(TRUE=TRUE,4.0,0)))*(1-IF(AND(ArtifactsInput!$M$27,Inputs!$B$4="Chapter Hunt"),CHOOSE(ArtifactsInput!$N$27+1,20,24,28,32,36,40),0)/100)))+1)),0)</f>
        <v/>
      </c>
      <c r="S3287">
        <f>IFERROR(O3287/N3287,0)</f>
        <v/>
      </c>
      <c r="T3287" t="n">
        <v>0</v>
      </c>
      <c r="V3287" t="n">
        <v>0</v>
      </c>
    </row>
    <row r="3289">
      <c r="A3289" t="inlineStr">
        <is>
          <t>Attack% Bucket Multiplier</t>
        </is>
      </c>
      <c r="B3289">
        <f>(1+(((C3276=TRUE)*F3276*5/7)+((C3283=TRUE)*(F3283-Calc!F24))+(IF(ArtifactsInput!$M$21,CHOOSE(ArtifactsInput!$N$21+1,25,30,35,40,45,50)*(IF(OR(Inputs!$B$4="Chapter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3290">
      <c r="A3290" t="inlineStr">
        <is>
          <t>Global Crit Rate Bonus %</t>
        </is>
      </c>
      <c r="B3290" t="n">
        <v>0</v>
      </c>
    </row>
    <row r="3291">
      <c r="A3291" t="inlineStr">
        <is>
          <t>Attack Speed Buff Bonus % (Nimble Feet, duty-cycle averaged)</t>
        </is>
      </c>
      <c r="B3291">
        <f>((C3287=TRUE)*F3287*IF(AND(Inputs!$B$38&lt;&gt;"pvp",Inputs!$B$43&gt;0),(((R3287-1)*MIN((Skills!T28*(1+Inputs!$B$34/100)),(1/Q3287))+MIN((Skills!T28*(1+Inputs!$B$34/100)),MAX(0,Inputs!$B$43-((R3287-1)*(1/Q3287)))))/Inputs!$B$43),IF(Inputs!$B$38="pvp",MIN((Skills!T28*(1+Inputs!$B$34/100)),15)/15,MIN(1,(Skills!T28*(1+Inputs!$B$34/100))/(1/Q3287)))))</f>
        <v/>
      </c>
    </row>
    <row r="3292">
      <c r="A3292" t="inlineStr">
        <is>
          <t>Actions Per Second</t>
        </is>
      </c>
      <c r="B3292">
        <f>1+MIN(150,150*(1-(1-(Inputs!$B$11+((C3279=TRUE)*(F3279-Calc!F20))+((C3280=TRUE)*(F3280-Calc!F21)))/150)*(1-B3291/150)))/100</f>
        <v/>
      </c>
    </row>
    <row r="3293">
      <c r="A3293" t="inlineStr">
        <is>
          <t>Skill + Buff Cast Rate</t>
        </is>
      </c>
      <c r="B3293">
        <f>IF(AND(Inputs!$B$38&lt;&gt;"pvp",Inputs!$B$43&gt;0),SUMPRODUCT((Skills!E2:E28=TRUE)*(C3261:C3287=TRUE)*R3261:R3287*Skills!F2:F28)/Inputs!$B$43,SUMPRODUCT((Skills!E2:E28=TRUE)*(C3261:C3287=TRUE)*Q3261:Q3287*Skills!F2:F28))</f>
        <v/>
      </c>
    </row>
    <row r="3294">
      <c r="A3294" t="inlineStr">
        <is>
          <t>Eight-Legs Easton Casts Per Second</t>
        </is>
      </c>
      <c r="B3294">
        <f>MAX(0,B3292-B3293)</f>
        <v/>
      </c>
    </row>
    <row r="3295">
      <c r="A3295" t="inlineStr">
        <is>
          <t>Global Critical Damage Bonus % (unused)</t>
        </is>
      </c>
      <c r="B3295" t="n">
        <v>0</v>
      </c>
    </row>
    <row r="3296">
      <c r="A3296" t="inlineStr">
        <is>
          <t>Global Final Damage Bonus % (Jolly Roger + Ahoy Mateys - Final Damage proc)</t>
        </is>
      </c>
      <c r="B3296">
        <f>((C3277=TRUE)*F3277*IF(AND(Inputs!$B$38&lt;&gt;"pvp",Inputs!$B$43&gt;0),(((R3277-1)*MIN((Skills!T18*(1+Inputs!$B$34/100)),(1/Q3277))+MIN((Skills!T18*(1+Inputs!$B$34/100)),MAX(0,Inputs!$B$43-((R3277-1)*(1/Q3277)))))/Inputs!$B$43),IF(Inputs!$B$38="pvp",MIN((Skills!T18*(1+Inputs!$B$34/100)),15)/15,MIN(1,(Skills!T18*(1+Inputs!$B$34/100))/(1/Q3277)))))+IF(Inputs!$B$3&gt;=122,20*IF(Inputs!$B$38="pvp",MIN((20*(1+Inputs!$B$34/100)),15)/15,MIN(1,(20*(1+Inputs!$B$34/100))/(1/Q3263))),0)</f>
        <v/>
      </c>
    </row>
    <row r="3297">
      <c r="A3297" t="inlineStr">
        <is>
          <t>Buff-Casting Startup Delay (s, fixed-duration only)</t>
        </is>
      </c>
      <c r="B3297">
        <f>IF(AND(Inputs!$B$38&lt;&gt;"pvp",Inputs!$B$43&gt;0),SUMPRODUCT((Skills!T2:T28&gt;0)*(Skills!E2:E28=TRUE)*(C3261:C3287=TRUE))/B3292,0)</f>
        <v/>
      </c>
    </row>
    <row r="3298">
      <c r="A3298" t="inlineStr">
        <is>
          <t>Boss-Only Total DPS (this block's swept value)</t>
        </is>
      </c>
      <c r="B3298">
        <f>SUM(T3261:T3287)</f>
        <v/>
      </c>
    </row>
    <row r="3299">
      <c r="A3299" t="inlineStr">
        <is>
          <t>Normal-Only Total DPS (this block's swept value)</t>
        </is>
      </c>
      <c r="B3299">
        <f>SUM(V3261:V3287)</f>
        <v/>
      </c>
    </row>
    <row r="3300">
      <c r="A3300" s="6" t="inlineStr">
        <is>
          <t>TOTAL DPS</t>
        </is>
      </c>
      <c r="B3300" s="6">
        <f>SUM(O3261:O3287)</f>
        <v/>
      </c>
    </row>
    <row r="3301">
      <c r="A3301" t="inlineStr">
        <is>
          <t>Quickdraw cooldown divisor (this block's own APS / Q)</t>
        </is>
      </c>
      <c r="B3301">
        <f>IF(AND(C3286=TRUE,Inputs!$B$38&lt;&gt;"pvp"),1+0.25*MAX(0,(B3292-(((C3262=TRUE)*Q3262*1)+((C3263=TRUE)*Q3263*1)+((C3265=TRUE)*Q3265*1)+((C3266=TRUE)*Q3266*1)+((C3268=TRUE)*Q3268*1)+((C3271=TRUE)*Q3271*1)+((C3277=TRUE)*Q3277*1)+((C3287=TRUE)*Q3287*1))-((C3267=TRUE)/(IF(Inputs!$B$38="pvp",15,MAX(0.1,Skills!D8-IF(TRUE=TRUE,4.0,0)))*(1-IF(AND(ArtifactsInput!$M$27,Inputs!$B$4="Chapter Hunt"),CHOOSE(ArtifactsInput!$N$27+1,20,24,28,32,36,40),0)/100))+(C3270=TRUE)/(IF(Inputs!$B$38="pvp",15,MAX(0.1,Skills!D11-IF(TRUE=TRUE,4.0,0)))*(1-IF(AND(ArtifactsInput!$M$27,Inputs!$B$4="Chapter Hunt"),CHOOSE(ArtifactsInput!$N$27+1,20,24,28,32,36,40),0)/100))))/(1+0.25*((C3267=TRUE)/(IF(Inputs!$B$38="pvp",15,MAX(0.1,Skills!D8-IF(TRUE=TRUE,4.0,0)))*(1-IF(AND(ArtifactsInput!$M$27,Inputs!$B$4="Chapter Hunt"),CHOOSE(ArtifactsInput!$N$27+1,20,24,28,32,36,40),0)/100))+(C3270=TRUE)/(IF(Inputs!$B$38="pvp",15,MAX(0.1,Skills!D11-IF(TRUE=TRUE,4.0,0)))*(1-IF(AND(ArtifactsInput!$M$27,Inputs!$B$4="Chapter Hunt"),CHOOSE(ArtifactsInput!$N$27+1,20,24,28,32,36,40),0)/100))))),1)</f>
        <v/>
      </c>
    </row>
    <row r="3302">
      <c r="A3302" t="inlineStr">
        <is>
          <t>Nautilus Strike - Final Attack trigger rate (this block's own Q/R)</t>
        </is>
      </c>
      <c r="B3302">
        <f>IF(AND(Inputs!$B$38&lt;&gt;"pvp",Inputs!$B$43&gt;0),(((C3262=TRUE)*R3262)+((C3265=TRUE)*R3265)+((C3267=TRUE)*R3267)+((C3268=TRUE)*R3268)+((C3270=TRUE)*R3270))/Inputs!$B$43,((C3262=TRUE)*Q3262)+((C3265=TRUE)*Q3265)+((C3267=TRUE)*Q3267)+((C3268=TRUE)*Q3268)+((C3270=TRUE)*Q3270))+B3294</f>
        <v/>
      </c>
    </row>
    <row r="3305">
      <c r="A3305" s="6" t="inlineStr">
        <is>
          <t>Stat: CDR = 4.5s</t>
        </is>
      </c>
    </row>
    <row r="3306">
      <c r="A3306" s="5" t="inlineStr">
        <is>
          <t>Key</t>
        </is>
      </c>
      <c r="B3306" s="5" t="inlineStr">
        <is>
          <t>Name</t>
        </is>
      </c>
      <c r="C3306" s="5" t="inlineStr">
        <is>
          <t>Unlocked</t>
        </is>
      </c>
      <c r="D3306" s="5" t="inlineStr">
        <is>
          <t>InputLevel</t>
        </is>
      </c>
      <c r="E3306" s="5" t="inlineStr">
        <is>
          <t>Factor</t>
        </is>
      </c>
      <c r="F3306" s="5" t="inlineStr">
        <is>
          <t>CoefficientPercent</t>
        </is>
      </c>
      <c r="G3306" s="5" t="inlineStr">
        <is>
          <t>EffectiveHits</t>
        </is>
      </c>
      <c r="H3306" s="5" t="inlineStr">
        <is>
          <t>ProcProbability</t>
        </is>
      </c>
      <c r="I3306" s="5" t="inlineStr">
        <is>
          <t>MapleHeroMultiplier</t>
        </is>
      </c>
      <c r="J3306" s="5" t="inlineStr">
        <is>
          <t>BaseDamage</t>
        </is>
      </c>
      <c r="K3306" s="5" t="inlineStr">
        <is>
          <t>BaseHitDamage</t>
        </is>
      </c>
      <c r="L3306" s="5" t="inlineStr">
        <is>
          <t>NonCritAvg</t>
        </is>
      </c>
      <c r="M3306" s="5" t="inlineStr">
        <is>
          <t>CritAvg</t>
        </is>
      </c>
      <c r="N3306" s="5" t="inlineStr">
        <is>
          <t>ExpectedDamage(perHit)</t>
        </is>
      </c>
      <c r="O3306" s="5" t="inlineStr">
        <is>
          <t>DPS</t>
        </is>
      </c>
      <c r="P3306" s="5" t="inlineStr">
        <is>
          <t>% of Total</t>
        </is>
      </c>
      <c r="Q3306" s="5" t="inlineStr">
        <is>
          <t>InvCooldown</t>
        </is>
      </c>
      <c r="R3306" s="5" t="inlineStr">
        <is>
          <t>CastsInFight</t>
        </is>
      </c>
      <c r="S3306" s="5" t="inlineStr">
        <is>
          <t>HitRate(perSec)</t>
        </is>
      </c>
      <c r="U3306" t="inlineStr">
        <is>
          <t>helpers</t>
        </is>
      </c>
    </row>
    <row r="3307">
      <c r="A3307">
        <f>Skills!A2</f>
        <v/>
      </c>
      <c r="B3307">
        <f>Skills!B2</f>
        <v/>
      </c>
      <c r="C3307">
        <f>Inputs!$B$3&gt;=100</f>
        <v/>
      </c>
      <c r="D3307" t="inlineStr"/>
      <c r="E3307" t="inlineStr"/>
      <c r="F3307">
        <f>U3309+Skills!O2</f>
        <v/>
      </c>
      <c r="G3307">
        <f>Skills!G2*IF(Skills!H2&gt;0,INT(IF(Inputs!$B$38="pvp",MIN(Skills!I2,15),Skills!I2)/Skills!H2+0.000000001),1)</f>
        <v/>
      </c>
      <c r="H3307">
        <f>1-(1-Skills!J2/100)^Skills!K2</f>
        <v/>
      </c>
      <c r="I3307" t="inlineStr">
        <is>
          <t>1</t>
        </is>
      </c>
      <c r="J3307">
        <f>((Inputs!$B$6*(1+Inputs!$B$7/100))+(((Inputs!$B$12*(1+Inputs!$B$13/100))-(Inputs!$B$12*(1+Inputs!$B$13/100)))+0.25*(Inputs!$B$14-Inputs!$B$14))*(1+Inputs!$B$7/100))*(F3307/100)</f>
        <v/>
      </c>
      <c r="K3307">
        <f>J3307*(1+((Inputs!$B$12*(1+Inputs!$B$13/100))*0.01+Inputs!$B$14*0.0025)/100)*(1+Inputs!$B$15/100)*(1+Inputs!$B$16/100)*(5000/(6000+Inputs!$B$42*(1-(100*(1-(1-(Inputs!$B$19+0)/100)*(1-CHOOSE(ArtifactsInput!$N$40+1,5,6,7,8,9,10)/100)^(ArtifactsInput!$M$40-ArtifactsInput!$M$40)))/100)))*(1+(Inputs!$B$24+((C3331=TRUE)*(F3331-Calc!F26))+B3342)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IGHT_LEGS_EASTON",Inputs!$B$17+((C3328=TRUE)*(F3328-Calc!F23))+((C3332=TRUE)*(F3332-Calc!F27))+((IF(AND(Inputs!$B$38&lt;&gt;"pvp",Inputs!$B$43=0),1,IF(IF(Inputs!$B$38="pvp",15,Inputs!$B$43)-(B3343)&lt;=0,1,MAX(0,IF(Inputs!$B$38="pvp",15,Inputs!$B$43)-MAX(5,B3343))/(IF(Inputs!$B$38="pvp",15,Inputs!$B$43)-(B3343))))*(IF(AND(ArtifactsInput!$M$42,((Inputs!$B$9+((C3324=TRUE)*(F3324-Calc!F19))+B3336+(ArtifactsInput!$M$24-ArtifactsInput!$M$24)*CHOOSE(ArtifactsInput!$N$24+1,10,12,14,16,18,20)+IF(ArtifactsInput!$M$10,CHOOSE(ArtifactsInput!$N$10+1,15,18,21,24,27,30)*(IF(Inputs!$B$38="pvp",MIN(15,15)/15,IF(AND(Inputs!$B$38&lt;&gt;"pvp",Inputs!$B$43&gt;0),MIN(15,Inputs!$B$43)/(Inputs!$B$43),0))),0)))&gt;=100),MIN(100,((Inputs!$B$9+((C3324=TRUE)*(F3324-Calc!F19))+B3336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3343)&lt;=0,1,MAX(0,IF(Inputs!$B$38="pvp",15,Inputs!$B$43)-MAX(5,B3343))/(IF(Inputs!$B$38="pvp",15,Inputs!$B$43)-(B3343))))*IF(AND(ArtifactsInput!$M$42,((Inputs!$B$9+((C3324=TRUE)*(F3324-Calc!F19))+B3336+(ArtifactsInput!$M$24-ArtifactsInput!$M$24)*CHOOSE(ArtifactsInput!$N$24+1,10,12,14,16,18,20)+IF(ArtifactsInput!$M$10,CHOOSE(ArtifactsInput!$N$10+1,15,18,21,24,27,30)*(IF(Inputs!$B$38="pvp",MIN(15,15)/15,IF(AND(Inputs!$B$38&lt;&gt;"pvp",Inputs!$B$43&gt;0),MIN(15,Inputs!$B$43)/(Inputs!$B$43),0))),0)))&gt;=100),CHOOSE(ArtifactsInput!$N$42+1,40,48,56,64,72,80),0))))/100)*((1+(((C3322=TRUE)*F3322*5/7)+((C3329=TRUE)*(F3329-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3307)</f>
        <v/>
      </c>
      <c r="L3307">
        <f>K3307*(MIN(Inputs!$B$22+((C3327=TRUE)*(F3327-Calc!F22)),(Inputs!$B$23+0+(IF(ArtifactsInput!$M$15,CHOOSE(ArtifactsInput!$N$15+1,25,30,35,40,45,50)/100*(Inputs!$B$11-Inputs!$B$11),0))))/100+(Inputs!$B$23+0+(IF(ArtifactsInput!$M$15,CHOOSE(ArtifactsInput!$N$15+1,25,30,35,40,45,50)/100*(Inputs!$B$11-Inputs!$B$11),0)))/100)/2</f>
        <v/>
      </c>
      <c r="M3307">
        <f>L3307*(1+(Inputs!$B$10+((C3330=TRUE)*(F3330-Calc!F25))+B3341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307">
        <f>L3307*(1-MIN((Inputs!$B$9+((C3324=TRUE)*(F3324-Calc!F19))+B3336+(ArtifactsInput!$M$24-ArtifactsInput!$M$24)*CHOOSE(ArtifactsInput!$N$24+1,10,12,14,16,18,20)+(IF(AND(Inputs!$B$38&lt;&gt;"pvp",Inputs!$B$43=0),1,IF(IF(Inputs!$B$38="pvp",15,Inputs!$B$43)-(B3343)&lt;=0,1,MAX(0,IF(Inputs!$B$38="pvp",15,Inputs!$B$43)-MAX(5,B3343))/(IF(Inputs!$B$38="pvp",15,Inputs!$B$43)-(B3343))))*IF(AND(ArtifactsInput!$M$42,((Inputs!$B$9+((C3324=TRUE)*(F3324-Calc!F19))+B3336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3307*(MIN((Inputs!$B$9+((C3324=TRUE)*(F3324-Calc!F19))+B3336+(ArtifactsInput!$M$24-ArtifactsInput!$M$24)*CHOOSE(ArtifactsInput!$N$24+1,10,12,14,16,18,20)+(IF(AND(Inputs!$B$38&lt;&gt;"pvp",Inputs!$B$43=0),1,IF(IF(Inputs!$B$38="pvp",15,Inputs!$B$43)-(B3343)&lt;=0,1,MAX(0,IF(Inputs!$B$38="pvp",15,Inputs!$B$43)-MAX(5,B3343))/(IF(Inputs!$B$38="pvp",15,Inputs!$B$43)-(B3343))))*IF(AND(ArtifactsInput!$M$42,((Inputs!$B$9+((C3324=TRUE)*(F3324-Calc!F19))+B3336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307">
        <f>(1-Summary!$B$11)*T3307+Summary!$B$11*V3307</f>
        <v/>
      </c>
      <c r="P3307">
        <f>IF(B3346=0,0,O3307/B3346)</f>
        <v/>
      </c>
      <c r="Q3307" t="n">
        <v>0</v>
      </c>
      <c r="R3307" t="n">
        <v>0</v>
      </c>
      <c r="S3307">
        <f>IFERROR(O3307/N3307,0)</f>
        <v/>
      </c>
      <c r="T3307">
        <f>IF(C3307,(Skills!G2*N3307*B3340*(1+IF(C3332=TRUE,1/3,0)))*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Hunt"),CHOOSE(ArtifactsInput!$N$35+1,15,18,21,24,27,30)*(1-EXP(-(0.2*B3338)*5)),0)+IF(AND(ArtifactsInput!$M$22,Inputs!$B$4&lt;&gt;"Chapter Hunt"),CHOOSE(ArtifactsInput!$N$22+1,10,12,14,16,18,20)*((0*(((0.15*B3338*5))^0/1)+1*(((0.15*B3338*5))^1/1)+2*(((0.15*B3338*5))^2/2)+3*(((0.15*B3338*5))^3/6)+4*(((0.15*B3338*5))^4/24)+5*(((0.15*B3338*5))^5/120))/((((0.15*B3338*5))^0/1)+(((0.15*B3338*5))^1/1)+(((0.15*B3338*5))^2/2)+(((0.15*B3338*5))^3/6)+(((0.15*B3338*5))^4/24)+(((0.15*B3338*5))^5/120))),0))+IF(Inputs!$B$3&gt;=54,9*(C3308=TRUE)*MIN(1,8*(1+Inputs!$B$34/100)*Q3308)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3307*(1-MIN(100,(Inputs!$B$9+((C3324=TRUE)*(F3324-Calc!F19))+B3336+(ArtifactsInput!$M$24-ArtifactsInput!$M$24)*CHOOSE(ArtifactsInput!$N$24+1,10,12,14,16,18,20)+(IF(AND(Inputs!$B$38&lt;&gt;"pvp",Inputs!$B$43=0),1,IF(IF(Inputs!$B$38="pvp",15,Inputs!$B$43)-(B3343)&lt;=0,1,MAX(0,IF(Inputs!$B$38="pvp",15,Inputs!$B$43)-MAX(5,B3343))/(IF(Inputs!$B$38="pvp",15,Inputs!$B$43)-(B3343))))*IF(AND(ArtifactsInput!$M$42,((Inputs!$B$9+((C3324=TRUE)*(F3324-Calc!F19))+B3336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3307*(MIN(100,(Inputs!$B$9+((C3324=TRUE)*(F3324-Calc!F19))+B3336+(ArtifactsInput!$M$24-ArtifactsInput!$M$24)*CHOOSE(ArtifactsInput!$N$24+1,10,12,14,16,18,20)+(IF(AND(Inputs!$B$38&lt;&gt;"pvp",Inputs!$B$43=0),1,IF(IF(Inputs!$B$38="pvp",15,Inputs!$B$43)-(B3343)&lt;=0,1,MAX(0,IF(Inputs!$B$38="pvp",15,Inputs!$B$43)-MAX(5,B3343))/(IF(Inputs!$B$38="pvp",15,Inputs!$B$43)-(B3343))))*IF(AND(ArtifactsInput!$M$42,((Inputs!$B$9+((C3324=TRUE)*(F3324-Calc!F19))+B3336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3307*(1-MIN(100,(Inputs!$B$9+((C3324=TRUE)*(F3324-Calc!F19))+B3336+(ArtifactsInput!$M$24-ArtifactsInput!$M$24)*CHOOSE(ArtifactsInput!$N$24+1,10,12,14,16,18,20)+(IF(AND(Inputs!$B$38&lt;&gt;"pvp",Inputs!$B$43=0),1,IF(IF(Inputs!$B$38="pvp",15,Inputs!$B$43)-(B3343)&lt;=0,1,MAX(0,IF(Inputs!$B$38="pvp",15,Inputs!$B$43)-MAX(5,B3343))/(IF(Inputs!$B$38="pvp",15,Inputs!$B$43)-(B3343))))*IF(AND(ArtifactsInput!$M$42,((Inputs!$B$9+((C3324=TRUE)*(F3324-Calc!F19))+B3336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3307*(MIN(100,(Inputs!$B$9+((C3324=TRUE)*(F3324-Calc!F19))+B3336+(ArtifactsInput!$M$24-ArtifactsInput!$M$24)*CHOOSE(ArtifactsInput!$N$24+1,10,12,14,16,18,20)+(IF(AND(Inputs!$B$38&lt;&gt;"pvp",Inputs!$B$43=0),1,IF(IF(Inputs!$B$38="pvp",15,Inputs!$B$43)-(B3343)&lt;=0,1,MAX(0,IF(Inputs!$B$38="pvp",15,Inputs!$B$43)-MAX(5,B3343))/(IF(Inputs!$B$38="pvp",15,Inputs!$B$43)-(B3343))))*IF(AND(ArtifactsInput!$M$42,((Inputs!$B$9+((C3324=TRUE)*(F3324-Calc!F19))+B3336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307">
        <f>MAX(0,(Inputs!$B$3-100)*3)+Inputs!$B$28+Inputs!$B$29</f>
        <v/>
      </c>
      <c r="V3307">
        <f>IF(C3307,(Skills!G2*N3307*B3340*(1+IF(C3332=TRUE,1/3,0)))*IF(Inputs!$B$38="pvp",1,(1+(Inputs!$B$21+Skills!Q2+(IF(ArtifactsInput!$M$33,CHOOSE(ArtifactsInput!$N$33+1,30,36,42,48,54,60),0))+(IF(AND(ArtifactsInput!$M$35,Inputs!$B$4&lt;&gt;"Chapter Hunt"),CHOOSE(ArtifactsInput!$N$35+1,15,18,21,24,27,30)*(1-EXP(-(0.2*B3338)*5)),0)+IF(AND(ArtifactsInput!$M$22,Inputs!$B$4&lt;&gt;"Chapter Hunt"),CHOOSE(ArtifactsInput!$N$22+1,10,12,14,16,18,20)*((0*(((0.15*B3338*5))^0/1)+1*(((0.15*B3338*5))^1/1)+2*(((0.15*B3338*5))^2/2)+3*(((0.15*B3338*5))^3/6)+4*(((0.15*B3338*5))^4/24)+5*(((0.15*B3338*5))^5/120))/((((0.15*B3338*5))^0/1)+(((0.15*B3338*5))^1/1)+(((0.15*B3338*5))^2/2)+(((0.15*B3338*5))^3/6)+(((0.15*B3338*5))^4/24)+(((0.15*B3338*5))^5/120))),0))+IF(Inputs!$B$3&gt;=54,9*(C3308=TRUE)*MIN(1,8*(1+Inputs!$B$34/100)*Q3308),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308">
      <c r="A3308">
        <f>Skills!A3</f>
        <v/>
      </c>
      <c r="B3308">
        <f>Skills!B3</f>
        <v/>
      </c>
      <c r="C3308">
        <f>Inputs!$B$3&gt;=33</f>
        <v/>
      </c>
      <c r="D3308">
        <f>IF(Skills!C3=1,60+Inputs!$B$25+Inputs!$B$29,IF(Skills!C3=2,90+Inputs!$B$26+Inputs!$B$29,IF(Skills!C3=3,120+Inputs!$B$27+Inputs!$B$29,MAX(0,(Inputs!$B$3-100)*3)+Inputs!$B$28+Inputs!$B$29)))</f>
        <v/>
      </c>
      <c r="E3308">
        <f>INDEX(FactorTable!$B$2:$Y$301, MATCH(ROUND(MIN(300,MAX(1,D3308)),0), FactorTable!$A$2:$A$301,0), Skills!M3+1)</f>
        <v/>
      </c>
      <c r="F3308">
        <f>IF(Skills!N3=TRUE,(Skills!L3/10)*(E3308/1000),Skills!L3/10)+Skills!O3</f>
        <v/>
      </c>
      <c r="G3308">
        <f>Skills!G3*IF(Skills!H3&gt;0,INT(IF(Inputs!$B$38="pvp",MIN(Skills!I3,15),Skills!I3)/Skills!H3+0.000000001),1)</f>
        <v/>
      </c>
      <c r="H3308">
        <f>1-(1-Skills!J3/100)^Skills!K3</f>
        <v/>
      </c>
      <c r="I3308" t="inlineStr">
        <is>
          <t>1</t>
        </is>
      </c>
      <c r="J3308">
        <f>((Inputs!$B$6*(1+Inputs!$B$7/100))+(((Inputs!$B$12*(1+Inputs!$B$13/100))-(Inputs!$B$12*(1+Inputs!$B$13/100)))+0.25*(Inputs!$B$14-Inputs!$B$14))*(1+Inputs!$B$7/100))*(F3308/100)</f>
        <v/>
      </c>
      <c r="K3308">
        <f>J3308*(1+((Inputs!$B$12*(1+Inputs!$B$13/100))*0.01+Inputs!$B$14*0.0025)/100)*(1+Inputs!$B$15/100)*(1+Inputs!$B$16/100)*(5000/(6000+Inputs!$B$42*(1-(100*(1-(1-(Inputs!$B$19+0)/100)*(1-CHOOSE(ArtifactsInput!$N$40+1,5,6,7,8,9,10)/100)^(ArtifactsInput!$M$40-ArtifactsInput!$M$40)))/100)))*(1+(Inputs!$B$24+((C3331=TRUE)*(F3331-Calc!F26))+B3342)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3320=TRUE,F3320,0)/100)*(1+(IF(Skills!A3="EIGHT_LEGS_EASTON",Inputs!$B$17+((C3328=TRUE)*(F3328-Calc!F23))+((C3332=TRUE)*(F3332-Calc!F27))+((IF(AND(Inputs!$B$38&lt;&gt;"pvp",Inputs!$B$43=0),1,IF(IF(Inputs!$B$38="pvp",15,Inputs!$B$43)-(B3343)&lt;=0,1,MAX(0,IF(Inputs!$B$38="pvp",15,Inputs!$B$43)-MAX(5,B3343))/(IF(Inputs!$B$38="pvp",15,Inputs!$B$43)-(B3343))))*(IF(AND(ArtifactsInput!$M$42,((Inputs!$B$9+((C3324=TRUE)*(F3324-Calc!F19))+B3336+(ArtifactsInput!$M$24-ArtifactsInput!$M$24)*CHOOSE(ArtifactsInput!$N$24+1,10,12,14,16,18,20)+IF(ArtifactsInput!$M$10,CHOOSE(ArtifactsInput!$N$10+1,15,18,21,24,27,30)*(IF(Inputs!$B$38="pvp",MIN(15,15)/15,IF(AND(Inputs!$B$38&lt;&gt;"pvp",Inputs!$B$43&gt;0),MIN(15,Inputs!$B$43)/(Inputs!$B$43),0))),0)))&gt;=100),MIN(100,((Inputs!$B$9+((C3324=TRUE)*(F3324-Calc!F19))+B3336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3343)&lt;=0,1,MAX(0,IF(Inputs!$B$38="pvp",15,Inputs!$B$43)-MAX(5,B3343))/(IF(Inputs!$B$38="pvp",15,Inputs!$B$43)-(B3343))))*IF(AND(ArtifactsInput!$M$42,((Inputs!$B$9+((C3324=TRUE)*(F3324-Calc!F19))+B3336+(ArtifactsInput!$M$24-ArtifactsInput!$M$24)*CHOOSE(ArtifactsInput!$N$24+1,10,12,14,16,18,20)+IF(ArtifactsInput!$M$10,CHOOSE(ArtifactsInput!$N$10+1,15,18,21,24,27,30)*(IF(Inputs!$B$38="pvp",MIN(15,15)/15,IF(AND(Inputs!$B$38&lt;&gt;"pvp",Inputs!$B$43&gt;0),MIN(15,Inputs!$B$43)/(Inputs!$B$43),0))),0)))&gt;=100),CHOOSE(ArtifactsInput!$N$42+1,40,48,56,64,72,80),0))))/100)*((1+(((C3322=TRUE)*F3322*5/7)+((C3329=TRUE)*(F3329-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3308)</f>
        <v/>
      </c>
      <c r="L3308">
        <f>K3308*(MIN(Inputs!$B$22+((C3327=TRUE)*(F3327-Calc!F22)),(Inputs!$B$23+0+(IF(ArtifactsInput!$M$15,CHOOSE(ArtifactsInput!$N$15+1,25,30,35,40,45,50)/100*(Inputs!$B$11-Inputs!$B$11),0))))/100+(Inputs!$B$23+0+(IF(ArtifactsInput!$M$15,CHOOSE(ArtifactsInput!$N$15+1,25,30,35,40,45,50)/100*(Inputs!$B$11-Inputs!$B$11),0)))/100)/2</f>
        <v/>
      </c>
      <c r="M3308">
        <f>L3308*(1+(Inputs!$B$10+((C3330=TRUE)*(F3330-Calc!F25))+B3341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308">
        <f>L3308*(1-MIN((Inputs!$B$9+((C3324=TRUE)*(F3324-Calc!F19))+B3336+(ArtifactsInput!$M$24-ArtifactsInput!$M$24)*CHOOSE(ArtifactsInput!$N$24+1,10,12,14,16,18,20)+(IF(AND(Inputs!$B$38&lt;&gt;"pvp",Inputs!$B$43=0),1,IF(IF(Inputs!$B$38="pvp",15,Inputs!$B$43)-(B3343)&lt;=0,1,MAX(0,IF(Inputs!$B$38="pvp",15,Inputs!$B$43)-MAX(5,B3343))/(IF(Inputs!$B$38="pvp",15,Inputs!$B$43)-(B3343))))*IF(AND(ArtifactsInput!$M$42,((Inputs!$B$9+((C3324=TRUE)*(F3324-Calc!F19))+B3336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3308*(MIN((Inputs!$B$9+((C3324=TRUE)*(F3324-Calc!F19))+B3336+(ArtifactsInput!$M$24-ArtifactsInput!$M$24)*CHOOSE(ArtifactsInput!$N$24+1,10,12,14,16,18,20)+(IF(AND(Inputs!$B$38&lt;&gt;"pvp",Inputs!$B$43=0),1,IF(IF(Inputs!$B$38="pvp",15,Inputs!$B$43)-(B3343)&lt;=0,1,MAX(0,IF(Inputs!$B$38="pvp",15,Inputs!$B$43)-MAX(5,B3343))/(IF(Inputs!$B$38="pvp",15,Inputs!$B$43)-(B3343))))*IF(AND(ArtifactsInput!$M$42,((Inputs!$B$9+((C3324=TRUE)*(F3324-Calc!F19))+B3336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308">
        <f>(1-Summary!$B$11)*T3308+Summary!$B$11*V3308</f>
        <v/>
      </c>
      <c r="P3308">
        <f>IF(B3346=0,0,O3308/B3346)</f>
        <v/>
      </c>
      <c r="Q3308">
        <f>IFERROR(1/(IF(Inputs!$B$38="pvp",15,MAX(0.1,Skills!D3-IF(TRUE=TRUE,4.5,0)))*(1-IF(AND(ArtifactsInput!$M$27,Inputs!$B$4="Chapter Hunt"),CHOOSE(ArtifactsInput!$N$27+1,20,24,28,32,36,40),0)/100)),0)</f>
        <v/>
      </c>
      <c r="R3308">
        <f>IF(AND(Inputs!$B$38&lt;&gt;"pvp",Inputs!$B$43&gt;0),IF(MAX(0,Inputs!$B$43-B3343)&lt;=0,0,(INT(MAX(0,Inputs!$B$43-B3343)/(IF(Inputs!$B$38="pvp",15,MAX(0.1,Skills!D3-IF(TRUE=TRUE,4.5,0)))*(1-IF(AND(ArtifactsInput!$M$27,Inputs!$B$4="Chapter Hunt"),CHOOSE(ArtifactsInput!$N$27+1,20,24,28,32,36,40),0)/100)))+1)),0)</f>
        <v/>
      </c>
      <c r="S3308">
        <f>IFERROR(O3308/N3308,0)</f>
        <v/>
      </c>
      <c r="T3308">
        <f>IF(C3308,(H3308*N3308*IF(AND(Inputs!$B$38&lt;&gt;"pvp",Inputs!$B$43&gt;0),((Skills!G3*((R3308-1)*IF(Skills!H3&gt;0,INT(Skills!I3/Skills!H3+0.000000001),1)+IF(Skills!H3&gt;0,INT(MIN(Skills!I3,MAX(0,MAX(0,Inputs!$B$43-B3343)-((R3308-1)*(IF(Inputs!$B$38="pvp",15,MAX(0.1,Skills!D3-IF(TRUE=TRUE,4.5,0)))*(1-IF(AND(ArtifactsInput!$M$27,Inputs!$B$4="Chapter Hunt"),CHOOSE(ArtifactsInput!$N$27+1,20,24,28,32,36,40),0)/100)))))/Skills!H3+0.000000001),1)))/Inputs!$B$43),G3308*Q3308))*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Hunt"),CHOOSE(ArtifactsInput!$N$35+1,15,18,21,24,27,30)*(1-EXP(-(0.2*B3338)*5)),0)+IF(AND(ArtifactsInput!$M$22,Inputs!$B$4&lt;&gt;"Chapter Hunt"),CHOOSE(ArtifactsInput!$N$22+1,10,12,14,16,18,20)*((0*(((0.15*B3338*5))^0/1)+1*(((0.15*B3338*5))^1/1)+2*(((0.15*B3338*5))^2/2)+3*(((0.15*B3338*5))^3/6)+4*(((0.15*B3338*5))^4/24)+5*(((0.15*B3338*5))^5/120))/((((0.15*B3338*5))^0/1)+(((0.15*B3338*5))^1/1)+(((0.15*B3338*5))^2/2)+(((0.15*B3338*5))^3/6)+(((0.15*B3338*5))^4/24)+(((0.15*B3338*5))^5/120))),0))+IF(Inputs!$B$3&gt;=54,9*(C3308=TRUE)*MIN(1,8*(1+Inputs!$B$34/100)*Q3308)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3308*(1-MIN(100,(Inputs!$B$9+((C3324=TRUE)*(F3324-Calc!F19))+B3336+(ArtifactsInput!$M$24-ArtifactsInput!$M$24)*CHOOSE(ArtifactsInput!$N$24+1,10,12,14,16,18,20)+(IF(AND(Inputs!$B$38&lt;&gt;"pvp",Inputs!$B$43=0),1,IF(IF(Inputs!$B$38="pvp",15,Inputs!$B$43)-(B3343)&lt;=0,1,MAX(0,IF(Inputs!$B$38="pvp",15,Inputs!$B$43)-MAX(5,B3343))/(IF(Inputs!$B$38="pvp",15,Inputs!$B$43)-(B3343))))*IF(AND(ArtifactsInput!$M$42,((Inputs!$B$9+((C3324=TRUE)*(F3324-Calc!F19))+B3336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3308*(MIN(100,(Inputs!$B$9+((C3324=TRUE)*(F3324-Calc!F19))+B3336+(ArtifactsInput!$M$24-ArtifactsInput!$M$24)*CHOOSE(ArtifactsInput!$N$24+1,10,12,14,16,18,20)+(IF(AND(Inputs!$B$38&lt;&gt;"pvp",Inputs!$B$43=0),1,IF(IF(Inputs!$B$38="pvp",15,Inputs!$B$43)-(B3343)&lt;=0,1,MAX(0,IF(Inputs!$B$38="pvp",15,Inputs!$B$43)-MAX(5,B3343))/(IF(Inputs!$B$38="pvp",15,Inputs!$B$43)-(B3343))))*IF(AND(ArtifactsInput!$M$42,((Inputs!$B$9+((C3324=TRUE)*(F3324-Calc!F19))+B3336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3308*(1-MIN(100,(Inputs!$B$9+((C3324=TRUE)*(F3324-Calc!F19))+B3336+(ArtifactsInput!$M$24-ArtifactsInput!$M$24)*CHOOSE(ArtifactsInput!$N$24+1,10,12,14,16,18,20)+(IF(AND(Inputs!$B$38&lt;&gt;"pvp",Inputs!$B$43=0),1,IF(IF(Inputs!$B$38="pvp",15,Inputs!$B$43)-(B3343)&lt;=0,1,MAX(0,IF(Inputs!$B$38="pvp",15,Inputs!$B$43)-MAX(5,B3343))/(IF(Inputs!$B$38="pvp",15,Inputs!$B$43)-(B3343))))*IF(AND(ArtifactsInput!$M$42,((Inputs!$B$9+((C3324=TRUE)*(F3324-Calc!F19))+B3336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3308*(MIN(100,(Inputs!$B$9+((C3324=TRUE)*(F3324-Calc!F19))+B3336+(ArtifactsInput!$M$24-ArtifactsInput!$M$24)*CHOOSE(ArtifactsInput!$N$24+1,10,12,14,16,18,20)+(IF(AND(Inputs!$B$38&lt;&gt;"pvp",Inputs!$B$43=0),1,IF(IF(Inputs!$B$38="pvp",15,Inputs!$B$43)-(B3343)&lt;=0,1,MAX(0,IF(Inputs!$B$38="pvp",15,Inputs!$B$43)-MAX(5,B3343))/(IF(Inputs!$B$38="pvp",15,Inputs!$B$43)-(B3343))))*IF(AND(ArtifactsInput!$M$42,((Inputs!$B$9+((C3324=TRUE)*(F3324-Calc!F19))+B3336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308">
        <f>INDEX(FactorTable!$B$2:$Y$301, MATCH(ROUND(MIN(300,MAX(1,U3307)),0), FactorTable!$A$2:$A$301,0), 22)</f>
        <v/>
      </c>
      <c r="V3308">
        <f>IF(C3308,(H3308*N3308*IF(AND(Inputs!$B$38&lt;&gt;"pvp",Inputs!$B$43&gt;0),((Skills!G3*((R3308-1)*IF(Skills!H3&gt;0,INT(Skills!I3/Skills!H3+0.000000001),1)+IF(Skills!H3&gt;0,INT(MIN(Skills!I3,MAX(0,MAX(0,Inputs!$B$43-B3343)-((R3308-1)*(IF(Inputs!$B$38="pvp",15,MAX(0.1,Skills!D3-IF(TRUE=TRUE,4.5,0)))*(1-IF(AND(ArtifactsInput!$M$27,Inputs!$B$4="Chapter Hunt"),CHOOSE(ArtifactsInput!$N$27+1,20,24,28,32,36,40),0)/100)))))/Skills!H3+0.000000001),1)))/Inputs!$B$43),G3308*Q3308))*IF(Inputs!$B$38="pvp",1,(1+(Inputs!$B$21+Skills!Q3+(IF(ArtifactsInput!$M$33,CHOOSE(ArtifactsInput!$N$33+1,30,36,42,48,54,60),0))+(IF(AND(ArtifactsInput!$M$35,Inputs!$B$4&lt;&gt;"Chapter Hunt"),CHOOSE(ArtifactsInput!$N$35+1,15,18,21,24,27,30)*(1-EXP(-(0.2*B3338)*5)),0)+IF(AND(ArtifactsInput!$M$22,Inputs!$B$4&lt;&gt;"Chapter Hunt"),CHOOSE(ArtifactsInput!$N$22+1,10,12,14,16,18,20)*((0*(((0.15*B3338*5))^0/1)+1*(((0.15*B3338*5))^1/1)+2*(((0.15*B3338*5))^2/2)+3*(((0.15*B3338*5))^3/6)+4*(((0.15*B3338*5))^4/24)+5*(((0.15*B3338*5))^5/120))/((((0.15*B3338*5))^0/1)+(((0.15*B3338*5))^1/1)+(((0.15*B3338*5))^2/2)+(((0.15*B3338*5))^3/6)+(((0.15*B3338*5))^4/24)+(((0.15*B3338*5))^5/120))),0))+IF(Inputs!$B$3&gt;=54,9*(C3308=TRUE)*MIN(1,8*(1+Inputs!$B$34/100)*Q3308),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309">
      <c r="A3309">
        <f>Skills!A4</f>
        <v/>
      </c>
      <c r="B3309">
        <f>Skills!B4</f>
        <v/>
      </c>
      <c r="C3309">
        <f>Inputs!$B$3&gt;=35</f>
        <v/>
      </c>
      <c r="D3309">
        <f>IF(Skills!C4=1,60+Inputs!$B$25+Inputs!$B$29,IF(Skills!C4=2,90+Inputs!$B$26+Inputs!$B$29,IF(Skills!C4=3,120+Inputs!$B$27+Inputs!$B$29,MAX(0,(Inputs!$B$3-100)*3)+Inputs!$B$28+Inputs!$B$29)))</f>
        <v/>
      </c>
      <c r="E3309">
        <f>INDEX(FactorTable!$B$2:$Y$301, MATCH(ROUND(MIN(300,MAX(1,D3309)),0), FactorTable!$A$2:$A$301,0), Skills!M4+1)</f>
        <v/>
      </c>
      <c r="F3309">
        <f>IF(Skills!N4=TRUE,(Skills!L4/10)*(E3309/1000),Skills!L4/10)+Skills!O4</f>
        <v/>
      </c>
      <c r="G3309">
        <f>Skills!G4*IF(Skills!H4&gt;0,INT(IF(Inputs!$B$38="pvp",MIN(IF(Inputs!$B$3&gt;=104,MIN(35,20*(1+Inputs!$B$34/100)),20),15),IF(Inputs!$B$3&gt;=104,MIN(35,20*(1+Inputs!$B$34/100)),20))/Skills!H4+0.000000001),1)</f>
        <v/>
      </c>
      <c r="H3309">
        <f>1-(1-Skills!J4/100)^Skills!K4</f>
        <v/>
      </c>
      <c r="I3309" t="inlineStr">
        <is>
          <t>1</t>
        </is>
      </c>
      <c r="J3309">
        <f>((Inputs!$B$6*(1+Inputs!$B$7/100))+(((Inputs!$B$12*(1+Inputs!$B$13/100))-(Inputs!$B$12*(1+Inputs!$B$13/100)))+0.25*(Inputs!$B$14-Inputs!$B$14))*(1+Inputs!$B$7/100))*(F3309/100)</f>
        <v/>
      </c>
      <c r="K3309">
        <f>J3309*(1+((Inputs!$B$12*(1+Inputs!$B$13/100))*0.01+Inputs!$B$14*0.0025)/100)*(1+Inputs!$B$15/100)*(1+Inputs!$B$16/100)*(5000/(6000+Inputs!$B$42*(1-(100*(1-(1-(Inputs!$B$19+0)/100)*(1-CHOOSE(ArtifactsInput!$N$40+1,5,6,7,8,9,10)/100)^(ArtifactsInput!$M$40-ArtifactsInput!$M$40)))/100)))*(1+(Inputs!$B$24+((C3331=TRUE)*(F3331-Calc!F26))+B3342)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3321=TRUE,F3321,0)/100)*(1+(IF(Skills!A4="EIGHT_LEGS_EASTON",Inputs!$B$17+((C3328=TRUE)*(F3328-Calc!F23))+((C3332=TRUE)*(F3332-Calc!F27))+((IF(AND(Inputs!$B$38&lt;&gt;"pvp",Inputs!$B$43=0),1,IF(IF(Inputs!$B$38="pvp",15,Inputs!$B$43)-(B3343)&lt;=0,1,MAX(0,IF(Inputs!$B$38="pvp",15,Inputs!$B$43)-MAX(5,B3343))/(IF(Inputs!$B$38="pvp",15,Inputs!$B$43)-(B3343))))*(IF(AND(ArtifactsInput!$M$42,((Inputs!$B$9+((C3324=TRUE)*(F3324-Calc!F19))+B3336+(ArtifactsInput!$M$24-ArtifactsInput!$M$24)*CHOOSE(ArtifactsInput!$N$24+1,10,12,14,16,18,20)+IF(ArtifactsInput!$M$10,CHOOSE(ArtifactsInput!$N$10+1,15,18,21,24,27,30)*(IF(Inputs!$B$38="pvp",MIN(15,15)/15,IF(AND(Inputs!$B$38&lt;&gt;"pvp",Inputs!$B$43&gt;0),MIN(15,Inputs!$B$43)/(Inputs!$B$43),0))),0)))&gt;=100),MIN(100,((Inputs!$B$9+((C3324=TRUE)*(F3324-Calc!F19))+B3336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3343)&lt;=0,1,MAX(0,IF(Inputs!$B$38="pvp",15,Inputs!$B$43)-MAX(5,B3343))/(IF(Inputs!$B$38="pvp",15,Inputs!$B$43)-(B3343))))*IF(AND(ArtifactsInput!$M$42,((Inputs!$B$9+((C3324=TRUE)*(F3324-Calc!F19))+B3336+(ArtifactsInput!$M$24-ArtifactsInput!$M$24)*CHOOSE(ArtifactsInput!$N$24+1,10,12,14,16,18,20)+IF(ArtifactsInput!$M$10,CHOOSE(ArtifactsInput!$N$10+1,15,18,21,24,27,30)*(IF(Inputs!$B$38="pvp",MIN(15,15)/15,IF(AND(Inputs!$B$38&lt;&gt;"pvp",Inputs!$B$43&gt;0),MIN(15,Inputs!$B$43)/(Inputs!$B$43),0))),0)))&gt;=100),CHOOSE(ArtifactsInput!$N$42+1,40,48,56,64,72,80),0))))/100)*((1+(((C3322=TRUE)*F3322*5/7)+((C3329=TRUE)*(F3329-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3309)</f>
        <v/>
      </c>
      <c r="L3309">
        <f>K3309*(MIN(Inputs!$B$22+((C3327=TRUE)*(F3327-Calc!F22)),(Inputs!$B$23+0+(IF(ArtifactsInput!$M$15,CHOOSE(ArtifactsInput!$N$15+1,25,30,35,40,45,50)/100*(Inputs!$B$11-Inputs!$B$11),0))))/100+(Inputs!$B$23+0+(IF(ArtifactsInput!$M$15,CHOOSE(ArtifactsInput!$N$15+1,25,30,35,40,45,50)/100*(Inputs!$B$11-Inputs!$B$11),0)))/100)/2</f>
        <v/>
      </c>
      <c r="M3309">
        <f>L3309*(1+(Inputs!$B$10+((C3330=TRUE)*(F3330-Calc!F25))+B3341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309">
        <f>L3309*(1-MIN((Inputs!$B$9+((C3324=TRUE)*(F3324-Calc!F19))+B3336+(ArtifactsInput!$M$24-ArtifactsInput!$M$24)*CHOOSE(ArtifactsInput!$N$24+1,10,12,14,16,18,20)+(IF(AND(Inputs!$B$38&lt;&gt;"pvp",Inputs!$B$43=0),1,IF(IF(Inputs!$B$38="pvp",15,Inputs!$B$43)-(B3343)&lt;=0,1,MAX(0,IF(Inputs!$B$38="pvp",15,Inputs!$B$43)-MAX(5,B3343))/(IF(Inputs!$B$38="pvp",15,Inputs!$B$43)-(B3343))))*IF(AND(ArtifactsInput!$M$42,((Inputs!$B$9+((C3324=TRUE)*(F3324-Calc!F19))+B3336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3309*(MIN((Inputs!$B$9+((C3324=TRUE)*(F3324-Calc!F19))+B3336+(ArtifactsInput!$M$24-ArtifactsInput!$M$24)*CHOOSE(ArtifactsInput!$N$24+1,10,12,14,16,18,20)+(IF(AND(Inputs!$B$38&lt;&gt;"pvp",Inputs!$B$43=0),1,IF(IF(Inputs!$B$38="pvp",15,Inputs!$B$43)-(B3343)&lt;=0,1,MAX(0,IF(Inputs!$B$38="pvp",15,Inputs!$B$43)-MAX(5,B3343))/(IF(Inputs!$B$38="pvp",15,Inputs!$B$43)-(B3343))))*IF(AND(ArtifactsInput!$M$42,((Inputs!$B$9+((C3324=TRUE)*(F3324-Calc!F19))+B3336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309">
        <f>(1-Summary!$B$11)*T3309+Summary!$B$11*V3309</f>
        <v/>
      </c>
      <c r="P3309">
        <f>IF(B3346=0,0,O3309/B3346)</f>
        <v/>
      </c>
      <c r="Q3309">
        <f>IFERROR(1/(IF(Inputs!$B$38="pvp",15,MAX(0.1,Skills!D4-IF(TRUE=TRUE,4.5,0)))*(1-IF(AND(ArtifactsInput!$M$27,Inputs!$B$4="Chapter Hunt"),CHOOSE(ArtifactsInput!$N$27+1,20,24,28,32,36,40),0)/100)),0)</f>
        <v/>
      </c>
      <c r="R3309">
        <f>IF(AND(Inputs!$B$38&lt;&gt;"pvp",Inputs!$B$43&gt;0),IF(MAX(0,Inputs!$B$43-B3343)&lt;=0,0,(INT(MAX(0,Inputs!$B$43-B3343)/(IF(Inputs!$B$38="pvp",15,MAX(0.1,Skills!D4-IF(TRUE=TRUE,4.5,0)))*(1-IF(AND(ArtifactsInput!$M$27,Inputs!$B$4="Chapter Hunt"),CHOOSE(ArtifactsInput!$N$27+1,20,24,28,32,36,40),0)/100)))+1)),0)</f>
        <v/>
      </c>
      <c r="S3309">
        <f>IFERROR(O3309/N3309,0)</f>
        <v/>
      </c>
      <c r="T3309">
        <f>IF(C3309,(H3309*N3309*IF(AND(Inputs!$B$38&lt;&gt;"pvp",Inputs!$B$43&gt;0),((Skills!G4*((R3309-1)*IF(Skills!H4&gt;0,INT(IF(Inputs!$B$3&gt;=104,MIN(35,20*(1+Inputs!$B$34/100)),20)/Skills!H4+0.000000001),1)+IF(Skills!H4&gt;0,INT(MIN(IF(Inputs!$B$3&gt;=104,MIN(35,20*(1+Inputs!$B$34/100)),20),MAX(0,MAX(0,Inputs!$B$43-B3343)-((R3309-1)*(IF(Inputs!$B$38="pvp",15,MAX(0.1,Skills!D4-IF(TRUE=TRUE,4.5,0)))*(1-IF(AND(ArtifactsInput!$M$27,Inputs!$B$4="Chapter Hunt"),CHOOSE(ArtifactsInput!$N$27+1,20,24,28,32,36,40),0)/100)))))/Skills!H4+0.000000001),1)))/Inputs!$B$43),G3309*Q3309))*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Hunt"),CHOOSE(ArtifactsInput!$N$35+1,15,18,21,24,27,30)*(1-EXP(-(0.2*B3338)*5)),0)+IF(AND(ArtifactsInput!$M$22,Inputs!$B$4&lt;&gt;"Chapter Hunt"),CHOOSE(ArtifactsInput!$N$22+1,10,12,14,16,18,20)*((0*(((0.15*B3338*5))^0/1)+1*(((0.15*B3338*5))^1/1)+2*(((0.15*B3338*5))^2/2)+3*(((0.15*B3338*5))^3/6)+4*(((0.15*B3338*5))^4/24)+5*(((0.15*B3338*5))^5/120))/((((0.15*B3338*5))^0/1)+(((0.15*B3338*5))^1/1)+(((0.15*B3338*5))^2/2)+(((0.15*B3338*5))^3/6)+(((0.15*B3338*5))^4/24)+(((0.15*B3338*5))^5/120))),0))+IF(Inputs!$B$3&gt;=54,9*(C3308=TRUE)*MIN(1,8*(1+Inputs!$B$34/100)*Q3308)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3309*(1-MIN(100,(Inputs!$B$9+((C3324=TRUE)*(F3324-Calc!F19))+B3336+(ArtifactsInput!$M$24-ArtifactsInput!$M$24)*CHOOSE(ArtifactsInput!$N$24+1,10,12,14,16,18,20)+(IF(AND(Inputs!$B$38&lt;&gt;"pvp",Inputs!$B$43=0),1,IF(IF(Inputs!$B$38="pvp",15,Inputs!$B$43)-(B3343)&lt;=0,1,MAX(0,IF(Inputs!$B$38="pvp",15,Inputs!$B$43)-MAX(5,B3343))/(IF(Inputs!$B$38="pvp",15,Inputs!$B$43)-(B3343))))*IF(AND(ArtifactsInput!$M$42,((Inputs!$B$9+((C3324=TRUE)*(F3324-Calc!F19))+B3336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3309*(MIN(100,(Inputs!$B$9+((C3324=TRUE)*(F3324-Calc!F19))+B3336+(ArtifactsInput!$M$24-ArtifactsInput!$M$24)*CHOOSE(ArtifactsInput!$N$24+1,10,12,14,16,18,20)+(IF(AND(Inputs!$B$38&lt;&gt;"pvp",Inputs!$B$43=0),1,IF(IF(Inputs!$B$38="pvp",15,Inputs!$B$43)-(B3343)&lt;=0,1,MAX(0,IF(Inputs!$B$38="pvp",15,Inputs!$B$43)-MAX(5,B3343))/(IF(Inputs!$B$38="pvp",15,Inputs!$B$43)-(B3343))))*IF(AND(ArtifactsInput!$M$42,((Inputs!$B$9+((C3324=TRUE)*(F3324-Calc!F19))+B3336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3309*(1-MIN(100,(Inputs!$B$9+((C3324=TRUE)*(F3324-Calc!F19))+B3336+(ArtifactsInput!$M$24-ArtifactsInput!$M$24)*CHOOSE(ArtifactsInput!$N$24+1,10,12,14,16,18,20)+(IF(AND(Inputs!$B$38&lt;&gt;"pvp",Inputs!$B$43=0),1,IF(IF(Inputs!$B$38="pvp",15,Inputs!$B$43)-(B3343)&lt;=0,1,MAX(0,IF(Inputs!$B$38="pvp",15,Inputs!$B$43)-MAX(5,B3343))/(IF(Inputs!$B$38="pvp",15,Inputs!$B$43)-(B3343))))*IF(AND(ArtifactsInput!$M$42,((Inputs!$B$9+((C3324=TRUE)*(F3324-Calc!F19))+B3336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3309*(MIN(100,(Inputs!$B$9+((C3324=TRUE)*(F3324-Calc!F19))+B3336+(ArtifactsInput!$M$24-ArtifactsInput!$M$24)*CHOOSE(ArtifactsInput!$N$24+1,10,12,14,16,18,20)+(IF(AND(Inputs!$B$38&lt;&gt;"pvp",Inputs!$B$43=0),1,IF(IF(Inputs!$B$38="pvp",15,Inputs!$B$43)-(B3343)&lt;=0,1,MAX(0,IF(Inputs!$B$38="pvp",15,Inputs!$B$43)-MAX(5,B3343))/(IF(Inputs!$B$38="pvp",15,Inputs!$B$43)-(B3343))))*IF(AND(ArtifactsInput!$M$42,((Inputs!$B$9+((C3324=TRUE)*(F3324-Calc!F19))+B3336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309">
        <f>290*U3308/1000</f>
        <v/>
      </c>
      <c r="V3309">
        <f>IF(C3309,(H3309*N3309*IF(AND(Inputs!$B$38&lt;&gt;"pvp",Inputs!$B$43&gt;0),((Skills!G4*((R3309-1)*IF(Skills!H4&gt;0,INT(IF(Inputs!$B$3&gt;=104,MIN(35,20*(1+Inputs!$B$34/100)),20)/Skills!H4+0.000000001),1)+IF(Skills!H4&gt;0,INT(MIN(IF(Inputs!$B$3&gt;=104,MIN(35,20*(1+Inputs!$B$34/100)),20),MAX(0,MAX(0,Inputs!$B$43-B3343)-((R3309-1)*(IF(Inputs!$B$38="pvp",15,MAX(0.1,Skills!D4-IF(TRUE=TRUE,4.5,0)))*(1-IF(AND(ArtifactsInput!$M$27,Inputs!$B$4="Chapter Hunt"),CHOOSE(ArtifactsInput!$N$27+1,20,24,28,32,36,40),0)/100)))))/Skills!H4+0.000000001),1)))/Inputs!$B$43),G3309*Q3309))*IF(Inputs!$B$38="pvp",1,(1+(Inputs!$B$21+Skills!Q4+(IF(ArtifactsInput!$M$33,CHOOSE(ArtifactsInput!$N$33+1,30,36,42,48,54,60),0))+(IF(AND(ArtifactsInput!$M$35,Inputs!$B$4&lt;&gt;"Chapter Hunt"),CHOOSE(ArtifactsInput!$N$35+1,15,18,21,24,27,30)*(1-EXP(-(0.2*B3338)*5)),0)+IF(AND(ArtifactsInput!$M$22,Inputs!$B$4&lt;&gt;"Chapter Hunt"),CHOOSE(ArtifactsInput!$N$22+1,10,12,14,16,18,20)*((0*(((0.15*B3338*5))^0/1)+1*(((0.15*B3338*5))^1/1)+2*(((0.15*B3338*5))^2/2)+3*(((0.15*B3338*5))^3/6)+4*(((0.15*B3338*5))^4/24)+5*(((0.15*B3338*5))^5/120))/((((0.15*B3338*5))^0/1)+(((0.15*B3338*5))^1/1)+(((0.15*B3338*5))^2/2)+(((0.15*B3338*5))^3/6)+(((0.15*B3338*5))^4/24)+(((0.15*B3338*5))^5/120))),0))+IF(Inputs!$B$3&gt;=54,9*(C3308=TRUE)*MIN(1,8*(1+Inputs!$B$34/100)*Q3308),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310">
      <c r="A3310">
        <f>Skills!A5</f>
        <v/>
      </c>
      <c r="B3310">
        <f>Skills!B5</f>
        <v/>
      </c>
      <c r="C3310">
        <f>Inputs!$B$3&gt;=69</f>
        <v/>
      </c>
      <c r="D3310">
        <f>IF(Skills!C5=1,60+Inputs!$B$25+Inputs!$B$29,IF(Skills!C5=2,90+Inputs!$B$26+Inputs!$B$29,IF(Skills!C5=3,120+Inputs!$B$27+Inputs!$B$29,MAX(0,(Inputs!$B$3-100)*3)+Inputs!$B$28+Inputs!$B$29)))</f>
        <v/>
      </c>
      <c r="E3310">
        <f>INDEX(FactorTable!$B$2:$Y$301, MATCH(ROUND(MIN(300,MAX(1,D3310)),0), FactorTable!$A$2:$A$301,0), Skills!M5+1)</f>
        <v/>
      </c>
      <c r="F3310">
        <f>IF(Skills!N5=TRUE,(Skills!L5/10)*(E3310/1000),Skills!L5/10)+Skills!O5</f>
        <v/>
      </c>
      <c r="G3310">
        <f>Skills!G5*IF(Skills!H5&gt;0,INT(IF(Inputs!$B$38="pvp",MIN(IF(Inputs!$B$3&gt;=104,MIN(35,20*(1+Inputs!$B$34/100)),20),15),IF(Inputs!$B$3&gt;=104,MIN(35,20*(1+Inputs!$B$34/100)),20))/Skills!H5+0.000000001),1)</f>
        <v/>
      </c>
      <c r="H3310">
        <f>1-(1-Skills!J5/100)^Skills!K5</f>
        <v/>
      </c>
      <c r="I3310" t="inlineStr">
        <is>
          <t>1</t>
        </is>
      </c>
      <c r="J3310">
        <f>((Inputs!$B$6*(1+Inputs!$B$7/100))+(((Inputs!$B$12*(1+Inputs!$B$13/100))-(Inputs!$B$12*(1+Inputs!$B$13/100)))+0.25*(Inputs!$B$14-Inputs!$B$14))*(1+Inputs!$B$7/100))*(F3310/100)</f>
        <v/>
      </c>
      <c r="K3310">
        <f>J3310*(1+((Inputs!$B$12*(1+Inputs!$B$13/100))*0.01+Inputs!$B$14*0.0025)/100)*(1+Inputs!$B$15/100)*(1+Inputs!$B$16/100)*(5000/(6000+Inputs!$B$42*(1-(100*(1-(1-(Inputs!$B$19+0)/100)*(1-CHOOSE(ArtifactsInput!$N$40+1,5,6,7,8,9,10)/100)^(ArtifactsInput!$M$40-ArtifactsInput!$M$40)))/100)))*(1+(Inputs!$B$24+((C3331=TRUE)*(F3331-Calc!F26))+B3342)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+0.4*IF(C3321=TRUE,F3321,0)/100)*(1+(IF(Skills!A5="EIGHT_LEGS_EASTON",Inputs!$B$17+((C3328=TRUE)*(F3328-Calc!F23))+((C3332=TRUE)*(F3332-Calc!F27))+((IF(AND(Inputs!$B$38&lt;&gt;"pvp",Inputs!$B$43=0),1,IF(IF(Inputs!$B$38="pvp",15,Inputs!$B$43)-(B3343)&lt;=0,1,MAX(0,IF(Inputs!$B$38="pvp",15,Inputs!$B$43)-MAX(5,B3343))/(IF(Inputs!$B$38="pvp",15,Inputs!$B$43)-(B3343))))*(IF(AND(ArtifactsInput!$M$42,((Inputs!$B$9+((C3324=TRUE)*(F3324-Calc!F19))+B3336+(ArtifactsInput!$M$24-ArtifactsInput!$M$24)*CHOOSE(ArtifactsInput!$N$24+1,10,12,14,16,18,20)+IF(ArtifactsInput!$M$10,CHOOSE(ArtifactsInput!$N$10+1,15,18,21,24,27,30)*(IF(Inputs!$B$38="pvp",MIN(15,15)/15,IF(AND(Inputs!$B$38&lt;&gt;"pvp",Inputs!$B$43&gt;0),MIN(15,Inputs!$B$43)/(Inputs!$B$43),0))),0)))&gt;=100),MIN(100,((Inputs!$B$9+((C3324=TRUE)*(F3324-Calc!F19))+B3336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3343)&lt;=0,1,MAX(0,IF(Inputs!$B$38="pvp",15,Inputs!$B$43)-MAX(5,B3343))/(IF(Inputs!$B$38="pvp",15,Inputs!$B$43)-(B3343))))*IF(AND(ArtifactsInput!$M$42,((Inputs!$B$9+((C3324=TRUE)*(F3324-Calc!F19))+B3336+(ArtifactsInput!$M$24-ArtifactsInput!$M$24)*CHOOSE(ArtifactsInput!$N$24+1,10,12,14,16,18,20)+IF(ArtifactsInput!$M$10,CHOOSE(ArtifactsInput!$N$10+1,15,18,21,24,27,30)*(IF(Inputs!$B$38="pvp",MIN(15,15)/15,IF(AND(Inputs!$B$38&lt;&gt;"pvp",Inputs!$B$43&gt;0),MIN(15,Inputs!$B$43)/(Inputs!$B$43),0))),0)))&gt;=100),CHOOSE(ArtifactsInput!$N$42+1,40,48,56,64,72,80),0))))/100)*((1+(((C3322=TRUE)*F3322*5/7)+((C3329=TRUE)*(F3329-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3310)</f>
        <v/>
      </c>
      <c r="L3310">
        <f>K3310*(MIN(Inputs!$B$22+((C3327=TRUE)*(F3327-Calc!F22)),(Inputs!$B$23+0+(IF(ArtifactsInput!$M$15,CHOOSE(ArtifactsInput!$N$15+1,25,30,35,40,45,50)/100*(Inputs!$B$11-Inputs!$B$11),0))))/100+(Inputs!$B$23+0+(IF(ArtifactsInput!$M$15,CHOOSE(ArtifactsInput!$N$15+1,25,30,35,40,45,50)/100*(Inputs!$B$11-Inputs!$B$11),0)))/100)/2</f>
        <v/>
      </c>
      <c r="M3310">
        <f>L3310*(1+(Inputs!$B$10+((C3330=TRUE)*(F3330-Calc!F25))+B3341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310">
        <f>L3310*(1-MIN((Inputs!$B$9+((C3324=TRUE)*(F3324-Calc!F19))+B3336+(ArtifactsInput!$M$24-ArtifactsInput!$M$24)*CHOOSE(ArtifactsInput!$N$24+1,10,12,14,16,18,20)+(IF(AND(Inputs!$B$38&lt;&gt;"pvp",Inputs!$B$43=0),1,IF(IF(Inputs!$B$38="pvp",15,Inputs!$B$43)-(B3343)&lt;=0,1,MAX(0,IF(Inputs!$B$38="pvp",15,Inputs!$B$43)-MAX(5,B3343))/(IF(Inputs!$B$38="pvp",15,Inputs!$B$43)-(B3343))))*IF(AND(ArtifactsInput!$M$42,((Inputs!$B$9+((C3324=TRUE)*(F3324-Calc!F19))+B3336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3310*(MIN((Inputs!$B$9+((C3324=TRUE)*(F3324-Calc!F19))+B3336+(ArtifactsInput!$M$24-ArtifactsInput!$M$24)*CHOOSE(ArtifactsInput!$N$24+1,10,12,14,16,18,20)+(IF(AND(Inputs!$B$38&lt;&gt;"pvp",Inputs!$B$43=0),1,IF(IF(Inputs!$B$38="pvp",15,Inputs!$B$43)-(B3343)&lt;=0,1,MAX(0,IF(Inputs!$B$38="pvp",15,Inputs!$B$43)-MAX(5,B3343))/(IF(Inputs!$B$38="pvp",15,Inputs!$B$43)-(B3343))))*IF(AND(ArtifactsInput!$M$42,((Inputs!$B$9+((C3324=TRUE)*(F3324-Calc!F19))+B3336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310">
        <f>(1-Summary!$B$11)*T3310+Summary!$B$11*V3310</f>
        <v/>
      </c>
      <c r="P3310">
        <f>IF(B3346=0,0,O3310/B3346)</f>
        <v/>
      </c>
      <c r="Q3310">
        <f>IFERROR(1/(IF(Inputs!$B$38="pvp",15,MAX(0.1,Skills!D5-IF(TRUE=TRUE,4.5,0)))*(1-IF(AND(ArtifactsInput!$M$27,Inputs!$B$4="Chapter Hunt"),CHOOSE(ArtifactsInput!$N$27+1,20,24,28,32,36,40),0)/100)),0)</f>
        <v/>
      </c>
      <c r="R3310">
        <f>IF(AND(Inputs!$B$38&lt;&gt;"pvp",Inputs!$B$43&gt;0),IF(MAX(0,Inputs!$B$43-B3343)&lt;=0,0,(INT(MAX(0,Inputs!$B$43-B3343)/(IF(Inputs!$B$38="pvp",15,MAX(0.1,Skills!D5-IF(TRUE=TRUE,4.5,0)))*(1-IF(AND(ArtifactsInput!$M$27,Inputs!$B$4="Chapter Hunt"),CHOOSE(ArtifactsInput!$N$27+1,20,24,28,32,36,40),0)/100)))+1)),0)</f>
        <v/>
      </c>
      <c r="S3310">
        <f>IFERROR(O3310/N3310,0)</f>
        <v/>
      </c>
      <c r="T3310">
        <f>IF(C3310,(H3310*N3310*IF(AND(Inputs!$B$38&lt;&gt;"pvp",Inputs!$B$43&gt;0),((Skills!G5*((R3310-1)*IF(Skills!H5&gt;0,INT(IF(Inputs!$B$3&gt;=104,MIN(35,20*(1+Inputs!$B$34/100)),20)/Skills!H5+0.000000001),1)+IF(Skills!H5&gt;0,INT(MIN(IF(Inputs!$B$3&gt;=104,MIN(35,20*(1+Inputs!$B$34/100)),20),MAX(0,MAX(0,Inputs!$B$43-B3343)-((R3310-1)*(IF(Inputs!$B$38="pvp",15,MAX(0.1,Skills!D5-IF(TRUE=TRUE,4.5,0)))*(1-IF(AND(ArtifactsInput!$M$27,Inputs!$B$4="Chapter Hunt"),CHOOSE(ArtifactsInput!$N$27+1,20,24,28,32,36,40),0)/100)))))/Skills!H5+0.000000001),1)))/Inputs!$B$43),G3310*Q3310))*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Hunt"),CHOOSE(ArtifactsInput!$N$35+1,15,18,21,24,27,30)*(1-EXP(-(0.2*B3338)*5)),0)+IF(AND(ArtifactsInput!$M$22,Inputs!$B$4&lt;&gt;"Chapter Hunt"),CHOOSE(ArtifactsInput!$N$22+1,10,12,14,16,18,20)*((0*(((0.15*B3338*5))^0/1)+1*(((0.15*B3338*5))^1/1)+2*(((0.15*B3338*5))^2/2)+3*(((0.15*B3338*5))^3/6)+4*(((0.15*B3338*5))^4/24)+5*(((0.15*B3338*5))^5/120))/((((0.15*B3338*5))^0/1)+(((0.15*B3338*5))^1/1)+(((0.15*B3338*5))^2/2)+(((0.15*B3338*5))^3/6)+(((0.15*B3338*5))^4/24)+(((0.15*B3338*5))^5/120))),0))+IF(Inputs!$B$3&gt;=54,9*(C3308=TRUE)*MIN(1,8*(1+Inputs!$B$34/100)*Q3308)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3310*(1-MIN(100,(Inputs!$B$9+((C3324=TRUE)*(F3324-Calc!F19))+B3336+(ArtifactsInput!$M$24-ArtifactsInput!$M$24)*CHOOSE(ArtifactsInput!$N$24+1,10,12,14,16,18,20)+(IF(AND(Inputs!$B$38&lt;&gt;"pvp",Inputs!$B$43=0),1,IF(IF(Inputs!$B$38="pvp",15,Inputs!$B$43)-(B3343)&lt;=0,1,MAX(0,IF(Inputs!$B$38="pvp",15,Inputs!$B$43)-MAX(5,B3343))/(IF(Inputs!$B$38="pvp",15,Inputs!$B$43)-(B3343))))*IF(AND(ArtifactsInput!$M$42,((Inputs!$B$9+((C3324=TRUE)*(F3324-Calc!F19))+B3336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3310*(MIN(100,(Inputs!$B$9+((C3324=TRUE)*(F3324-Calc!F19))+B3336+(ArtifactsInput!$M$24-ArtifactsInput!$M$24)*CHOOSE(ArtifactsInput!$N$24+1,10,12,14,16,18,20)+(IF(AND(Inputs!$B$38&lt;&gt;"pvp",Inputs!$B$43=0),1,IF(IF(Inputs!$B$38="pvp",15,Inputs!$B$43)-(B3343)&lt;=0,1,MAX(0,IF(Inputs!$B$38="pvp",15,Inputs!$B$43)-MAX(5,B3343))/(IF(Inputs!$B$38="pvp",15,Inputs!$B$43)-(B3343))))*IF(AND(ArtifactsInput!$M$42,((Inputs!$B$9+((C3324=TRUE)*(F3324-Calc!F19))+B3336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3310*(1-MIN(100,(Inputs!$B$9+((C3324=TRUE)*(F3324-Calc!F19))+B3336+(ArtifactsInput!$M$24-ArtifactsInput!$M$24)*CHOOSE(ArtifactsInput!$N$24+1,10,12,14,16,18,20)+(IF(AND(Inputs!$B$38&lt;&gt;"pvp",Inputs!$B$43=0),1,IF(IF(Inputs!$B$38="pvp",15,Inputs!$B$43)-(B3343)&lt;=0,1,MAX(0,IF(Inputs!$B$38="pvp",15,Inputs!$B$43)-MAX(5,B3343))/(IF(Inputs!$B$38="pvp",15,Inputs!$B$43)-(B3343))))*IF(AND(ArtifactsInput!$M$42,((Inputs!$B$9+((C3324=TRUE)*(F3324-Calc!F19))+B3336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3310*(MIN(100,(Inputs!$B$9+((C3324=TRUE)*(F3324-Calc!F19))+B3336+(ArtifactsInput!$M$24-ArtifactsInput!$M$24)*CHOOSE(ArtifactsInput!$N$24+1,10,12,14,16,18,20)+(IF(AND(Inputs!$B$38&lt;&gt;"pvp",Inputs!$B$43=0),1,IF(IF(Inputs!$B$38="pvp",15,Inputs!$B$43)-(B3343)&lt;=0,1,MAX(0,IF(Inputs!$B$38="pvp",15,Inputs!$B$43)-MAX(5,B3343))/(IF(Inputs!$B$38="pvp",15,Inputs!$B$43)-(B3343))))*IF(AND(ArtifactsInput!$M$42,((Inputs!$B$9+((C3324=TRUE)*(F3324-Calc!F19))+B3336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310">
        <f>IF(C3310,(H3310*N3310*IF(AND(Inputs!$B$38&lt;&gt;"pvp",Inputs!$B$43&gt;0),((Skills!G5*((R3310-1)*IF(Skills!H5&gt;0,INT(IF(Inputs!$B$3&gt;=104,MIN(35,20*(1+Inputs!$B$34/100)),20)/Skills!H5+0.000000001),1)+IF(Skills!H5&gt;0,INT(MIN(IF(Inputs!$B$3&gt;=104,MIN(35,20*(1+Inputs!$B$34/100)),20),MAX(0,MAX(0,Inputs!$B$43-B3343)-((R3310-1)*(IF(Inputs!$B$38="pvp",15,MAX(0.1,Skills!D5-IF(TRUE=TRUE,4.5,0)))*(1-IF(AND(ArtifactsInput!$M$27,Inputs!$B$4="Chapter Hunt"),CHOOSE(ArtifactsInput!$N$27+1,20,24,28,32,36,40),0)/100)))))/Skills!H5+0.000000001),1)))/Inputs!$B$43),G3310*Q3310))*IF(Inputs!$B$38="pvp",1,(1+(Inputs!$B$21+Skills!Q5+(IF(ArtifactsInput!$M$33,CHOOSE(ArtifactsInput!$N$33+1,30,36,42,48,54,60),0))+(IF(AND(ArtifactsInput!$M$35,Inputs!$B$4&lt;&gt;"Chapter Hunt"),CHOOSE(ArtifactsInput!$N$35+1,15,18,21,24,27,30)*(1-EXP(-(0.2*B3338)*5)),0)+IF(AND(ArtifactsInput!$M$22,Inputs!$B$4&lt;&gt;"Chapter Hunt"),CHOOSE(ArtifactsInput!$N$22+1,10,12,14,16,18,20)*((0*(((0.15*B3338*5))^0/1)+1*(((0.15*B3338*5))^1/1)+2*(((0.15*B3338*5))^2/2)+3*(((0.15*B3338*5))^3/6)+4*(((0.15*B3338*5))^4/24)+5*(((0.15*B3338*5))^5/120))/((((0.15*B3338*5))^0/1)+(((0.15*B3338*5))^1/1)+(((0.15*B3338*5))^2/2)+(((0.15*B3338*5))^3/6)+(((0.15*B3338*5))^4/24)+(((0.15*B3338*5))^5/120))),0))+IF(Inputs!$B$3&gt;=54,9*(C3308=TRUE)*MIN(1,8*(1+Inputs!$B$34/100)*Q3308),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311">
      <c r="A3311">
        <f>Skills!A6</f>
        <v/>
      </c>
      <c r="B3311">
        <f>Skills!B6</f>
        <v/>
      </c>
      <c r="C3311">
        <f>Inputs!$B$3&gt;=66</f>
        <v/>
      </c>
      <c r="D3311">
        <f>IF(Skills!C6=1,60+Inputs!$B$25+Inputs!$B$29,IF(Skills!C6=2,90+Inputs!$B$26+Inputs!$B$29,IF(Skills!C6=3,120+Inputs!$B$27+Inputs!$B$29,MAX(0,(Inputs!$B$3-100)*3)+Inputs!$B$28+Inputs!$B$29)))</f>
        <v/>
      </c>
      <c r="E3311">
        <f>INDEX(FactorTable!$B$2:$Y$301, MATCH(ROUND(MIN(300,MAX(1,D3311)),0), FactorTable!$A$2:$A$301,0), Skills!M6+1)</f>
        <v/>
      </c>
      <c r="F3311">
        <f>IF(Skills!N6=TRUE,(Skills!L6/10)*(E3311/1000),Skills!L6/10)+Skills!O6</f>
        <v/>
      </c>
      <c r="G3311">
        <f>Skills!G6*IF(Skills!H6&gt;0,INT(IF(Inputs!$B$38="pvp",MIN(Skills!I6,15),Skills!I6)/Skills!H6+0.000000001),1)</f>
        <v/>
      </c>
      <c r="H3311">
        <f>1-(1-Skills!J6/100)^Skills!K6</f>
        <v/>
      </c>
      <c r="I3311" t="inlineStr">
        <is>
          <t>1</t>
        </is>
      </c>
      <c r="J3311">
        <f>((Inputs!$B$6*(1+Inputs!$B$7/100))+(((Inputs!$B$12*(1+Inputs!$B$13/100))-(Inputs!$B$12*(1+Inputs!$B$13/100)))+0.25*(Inputs!$B$14-Inputs!$B$14))*(1+Inputs!$B$7/100))*(F3311/100)</f>
        <v/>
      </c>
      <c r="K3311">
        <f>J3311*(1+((Inputs!$B$12*(1+Inputs!$B$13/100))*0.01+Inputs!$B$14*0.0025)/100)*(1+Inputs!$B$15/100)*(1+Inputs!$B$16/100)*(5000/(6000+Inputs!$B$42*(1-(100*(1-(1-(Inputs!$B$19+0)/100)*(1-CHOOSE(ArtifactsInput!$N$40+1,5,6,7,8,9,10)/100)^(ArtifactsInput!$M$40-ArtifactsInput!$M$40)))/100)))*(1+(Inputs!$B$24+((C3331=TRUE)*(F3331-Calc!F26))+B3342)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+2.0*IF(C3320=TRUE,F3320,0)/100)*(1+(IF(Skills!A6="EIGHT_LEGS_EASTON",Inputs!$B$17+((C3328=TRUE)*(F3328-Calc!F23))+((C3332=TRUE)*(F3332-Calc!F27))+((IF(AND(Inputs!$B$38&lt;&gt;"pvp",Inputs!$B$43=0),1,IF(IF(Inputs!$B$38="pvp",15,Inputs!$B$43)-(B3343)&lt;=0,1,MAX(0,IF(Inputs!$B$38="pvp",15,Inputs!$B$43)-MAX(5,B3343))/(IF(Inputs!$B$38="pvp",15,Inputs!$B$43)-(B3343))))*(IF(AND(ArtifactsInput!$M$42,((Inputs!$B$9+((C3324=TRUE)*(F3324-Calc!F19))+B3336+(ArtifactsInput!$M$24-ArtifactsInput!$M$24)*CHOOSE(ArtifactsInput!$N$24+1,10,12,14,16,18,20)+IF(ArtifactsInput!$M$10,CHOOSE(ArtifactsInput!$N$10+1,15,18,21,24,27,30)*(IF(Inputs!$B$38="pvp",MIN(15,15)/15,IF(AND(Inputs!$B$38&lt;&gt;"pvp",Inputs!$B$43&gt;0),MIN(15,Inputs!$B$43)/(Inputs!$B$43),0))),0)))&gt;=100),MIN(100,((Inputs!$B$9+((C3324=TRUE)*(F3324-Calc!F19))+B3336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3343)&lt;=0,1,MAX(0,IF(Inputs!$B$38="pvp",15,Inputs!$B$43)-MAX(5,B3343))/(IF(Inputs!$B$38="pvp",15,Inputs!$B$43)-(B3343))))*IF(AND(ArtifactsInput!$M$42,((Inputs!$B$9+((C3324=TRUE)*(F3324-Calc!F19))+B3336+(ArtifactsInput!$M$24-ArtifactsInput!$M$24)*CHOOSE(ArtifactsInput!$N$24+1,10,12,14,16,18,20)+IF(ArtifactsInput!$M$10,CHOOSE(ArtifactsInput!$N$10+1,15,18,21,24,27,30)*(IF(Inputs!$B$38="pvp",MIN(15,15)/15,IF(AND(Inputs!$B$38&lt;&gt;"pvp",Inputs!$B$43&gt;0),MIN(15,Inputs!$B$43)/(Inputs!$B$43),0))),0)))&gt;=100),CHOOSE(ArtifactsInput!$N$42+1,40,48,56,64,72,80),0))))/100)*((1+(((C3322=TRUE)*F3322*5/7)+((C3329=TRUE)*(F3329-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3311)</f>
        <v/>
      </c>
      <c r="L3311">
        <f>K3311*(MIN(Inputs!$B$22+((C3327=TRUE)*(F3327-Calc!F22)),(Inputs!$B$23+0+(IF(ArtifactsInput!$M$15,CHOOSE(ArtifactsInput!$N$15+1,25,30,35,40,45,50)/100*(Inputs!$B$11-Inputs!$B$11),0))))/100+(Inputs!$B$23+0+(IF(ArtifactsInput!$M$15,CHOOSE(ArtifactsInput!$N$15+1,25,30,35,40,45,50)/100*(Inputs!$B$11-Inputs!$B$11),0)))/100)/2</f>
        <v/>
      </c>
      <c r="M3311">
        <f>L3311*(1+(Inputs!$B$10+((C3330=TRUE)*(F3330-Calc!F25))+B3341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311">
        <f>L3311*(1-MIN((Inputs!$B$9+((C3324=TRUE)*(F3324-Calc!F19))+B3336+(ArtifactsInput!$M$24-ArtifactsInput!$M$24)*CHOOSE(ArtifactsInput!$N$24+1,10,12,14,16,18,20)+(IF(AND(Inputs!$B$38&lt;&gt;"pvp",Inputs!$B$43=0),1,IF(IF(Inputs!$B$38="pvp",15,Inputs!$B$43)-(B3343)&lt;=0,1,MAX(0,IF(Inputs!$B$38="pvp",15,Inputs!$B$43)-MAX(5,B3343))/(IF(Inputs!$B$38="pvp",15,Inputs!$B$43)-(B3343))))*IF(AND(ArtifactsInput!$M$42,((Inputs!$B$9+((C3324=TRUE)*(F3324-Calc!F19))+B3336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3311*(MIN((Inputs!$B$9+((C3324=TRUE)*(F3324-Calc!F19))+B3336+(ArtifactsInput!$M$24-ArtifactsInput!$M$24)*CHOOSE(ArtifactsInput!$N$24+1,10,12,14,16,18,20)+(IF(AND(Inputs!$B$38&lt;&gt;"pvp",Inputs!$B$43=0),1,IF(IF(Inputs!$B$38="pvp",15,Inputs!$B$43)-(B3343)&lt;=0,1,MAX(0,IF(Inputs!$B$38="pvp",15,Inputs!$B$43)-MAX(5,B3343))/(IF(Inputs!$B$38="pvp",15,Inputs!$B$43)-(B3343))))*IF(AND(ArtifactsInput!$M$42,((Inputs!$B$9+((C3324=TRUE)*(F3324-Calc!F19))+B3336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311">
        <f>(1-Summary!$B$11)*T3311+Summary!$B$11*V3311</f>
        <v/>
      </c>
      <c r="P3311">
        <f>IF(B3346=0,0,O3311/B3346)</f>
        <v/>
      </c>
      <c r="Q3311">
        <f>IFERROR(1/(IF(Inputs!$B$38="pvp",15,MAX(0.1,Skills!D6-IF(TRUE=TRUE,4.5,0)))*(1-IF(AND(ArtifactsInput!$M$27,Inputs!$B$4="Chapter Hunt"),CHOOSE(ArtifactsInput!$N$27+1,20,24,28,32,36,40),0)/100)),0)</f>
        <v/>
      </c>
      <c r="R3311">
        <f>IF(AND(Inputs!$B$38&lt;&gt;"pvp",Inputs!$B$43&gt;0),IF(MAX(0,Inputs!$B$43-B3343)&lt;=0,0,(INT(MAX(0,Inputs!$B$43-B3343)/(IF(Inputs!$B$38="pvp",15,MAX(0.1,Skills!D6-IF(TRUE=TRUE,4.5,0)))*(1-IF(AND(ArtifactsInput!$M$27,Inputs!$B$4="Chapter Hunt"),CHOOSE(ArtifactsInput!$N$27+1,20,24,28,32,36,40),0)/100)))+1)),0)</f>
        <v/>
      </c>
      <c r="S3311">
        <f>IFERROR(O3311/N3311,0)</f>
        <v/>
      </c>
      <c r="T3311">
        <f>IF(C3311,(H3311*N3311*IF(AND(Inputs!$B$38&lt;&gt;"pvp",Inputs!$B$43&gt;0),((Skills!G6*((R3311-1)*IF(Skills!H6&gt;0,INT(Skills!I6/Skills!H6+0.000000001),1)+IF(Skills!H6&gt;0,INT(MIN(Skills!I6,MAX(0,MAX(0,Inputs!$B$43-B3343)-((R3311-1)*(IF(Inputs!$B$38="pvp",15,MAX(0.1,Skills!D6-IF(TRUE=TRUE,4.5,0)))*(1-IF(AND(ArtifactsInput!$M$27,Inputs!$B$4="Chapter Hunt"),CHOOSE(ArtifactsInput!$N$27+1,20,24,28,32,36,40),0)/100)))))/Skills!H6+0.000000001),1)))/Inputs!$B$43),G3311*Q3311))*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Hunt"),CHOOSE(ArtifactsInput!$N$35+1,15,18,21,24,27,30)*(1-EXP(-(0.2*B3338)*5)),0)+IF(AND(ArtifactsInput!$M$22,Inputs!$B$4&lt;&gt;"Chapter Hunt"),CHOOSE(ArtifactsInput!$N$22+1,10,12,14,16,18,20)*((0*(((0.15*B3338*5))^0/1)+1*(((0.15*B3338*5))^1/1)+2*(((0.15*B3338*5))^2/2)+3*(((0.15*B3338*5))^3/6)+4*(((0.15*B3338*5))^4/24)+5*(((0.15*B3338*5))^5/120))/((((0.15*B3338*5))^0/1)+(((0.15*B3338*5))^1/1)+(((0.15*B3338*5))^2/2)+(((0.15*B3338*5))^3/6)+(((0.15*B3338*5))^4/24)+(((0.15*B3338*5))^5/120))),0))+IF(Inputs!$B$3&gt;=54,9*(C3308=TRUE)*MIN(1,8*(1+Inputs!$B$34/100)*Q3308)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3311*(1-MIN(100,(Inputs!$B$9+((C3324=TRUE)*(F3324-Calc!F19))+B3336+(ArtifactsInput!$M$24-ArtifactsInput!$M$24)*CHOOSE(ArtifactsInput!$N$24+1,10,12,14,16,18,20)+(IF(AND(Inputs!$B$38&lt;&gt;"pvp",Inputs!$B$43=0),1,IF(IF(Inputs!$B$38="pvp",15,Inputs!$B$43)-(B3343)&lt;=0,1,MAX(0,IF(Inputs!$B$38="pvp",15,Inputs!$B$43)-MAX(5,B3343))/(IF(Inputs!$B$38="pvp",15,Inputs!$B$43)-(B3343))))*IF(AND(ArtifactsInput!$M$42,((Inputs!$B$9+((C3324=TRUE)*(F3324-Calc!F19))+B3336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3311*(MIN(100,(Inputs!$B$9+((C3324=TRUE)*(F3324-Calc!F19))+B3336+(ArtifactsInput!$M$24-ArtifactsInput!$M$24)*CHOOSE(ArtifactsInput!$N$24+1,10,12,14,16,18,20)+(IF(AND(Inputs!$B$38&lt;&gt;"pvp",Inputs!$B$43=0),1,IF(IF(Inputs!$B$38="pvp",15,Inputs!$B$43)-(B3343)&lt;=0,1,MAX(0,IF(Inputs!$B$38="pvp",15,Inputs!$B$43)-MAX(5,B3343))/(IF(Inputs!$B$38="pvp",15,Inputs!$B$43)-(B3343))))*IF(AND(ArtifactsInput!$M$42,((Inputs!$B$9+((C3324=TRUE)*(F3324-Calc!F19))+B3336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3311*(1-MIN(100,(Inputs!$B$9+((C3324=TRUE)*(F3324-Calc!F19))+B3336+(ArtifactsInput!$M$24-ArtifactsInput!$M$24)*CHOOSE(ArtifactsInput!$N$24+1,10,12,14,16,18,20)+(IF(AND(Inputs!$B$38&lt;&gt;"pvp",Inputs!$B$43=0),1,IF(IF(Inputs!$B$38="pvp",15,Inputs!$B$43)-(B3343)&lt;=0,1,MAX(0,IF(Inputs!$B$38="pvp",15,Inputs!$B$43)-MAX(5,B3343))/(IF(Inputs!$B$38="pvp",15,Inputs!$B$43)-(B3343))))*IF(AND(ArtifactsInput!$M$42,((Inputs!$B$9+((C3324=TRUE)*(F3324-Calc!F19))+B3336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3311*(MIN(100,(Inputs!$B$9+((C3324=TRUE)*(F3324-Calc!F19))+B3336+(ArtifactsInput!$M$24-ArtifactsInput!$M$24)*CHOOSE(ArtifactsInput!$N$24+1,10,12,14,16,18,20)+(IF(AND(Inputs!$B$38&lt;&gt;"pvp",Inputs!$B$43=0),1,IF(IF(Inputs!$B$38="pvp",15,Inputs!$B$43)-(B3343)&lt;=0,1,MAX(0,IF(Inputs!$B$38="pvp",15,Inputs!$B$43)-MAX(5,B3343))/(IF(Inputs!$B$38="pvp",15,Inputs!$B$43)-(B3343))))*IF(AND(ArtifactsInput!$M$42,((Inputs!$B$9+((C3324=TRUE)*(F3324-Calc!F19))+B3336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311">
        <f>IF(C3311,(H3311*N3311*IF(AND(Inputs!$B$38&lt;&gt;"pvp",Inputs!$B$43&gt;0),((Skills!G6*((R3311-1)*IF(Skills!H6&gt;0,INT(Skills!I6/Skills!H6+0.000000001),1)+IF(Skills!H6&gt;0,INT(MIN(Skills!I6,MAX(0,MAX(0,Inputs!$B$43-B3343)-((R3311-1)*(IF(Inputs!$B$38="pvp",15,MAX(0.1,Skills!D6-IF(TRUE=TRUE,4.5,0)))*(1-IF(AND(ArtifactsInput!$M$27,Inputs!$B$4="Chapter Hunt"),CHOOSE(ArtifactsInput!$N$27+1,20,24,28,32,36,40),0)/100)))))/Skills!H6+0.000000001),1)))/Inputs!$B$43),G3311*Q3311))*IF(Inputs!$B$38="pvp",1,(1+(Inputs!$B$21+Skills!Q6+(IF(ArtifactsInput!$M$33,CHOOSE(ArtifactsInput!$N$33+1,30,36,42,48,54,60),0))+(IF(AND(ArtifactsInput!$M$35,Inputs!$B$4&lt;&gt;"Chapter Hunt"),CHOOSE(ArtifactsInput!$N$35+1,15,18,21,24,27,30)*(1-EXP(-(0.2*B3338)*5)),0)+IF(AND(ArtifactsInput!$M$22,Inputs!$B$4&lt;&gt;"Chapter Hunt"),CHOOSE(ArtifactsInput!$N$22+1,10,12,14,16,18,20)*((0*(((0.15*B3338*5))^0/1)+1*(((0.15*B3338*5))^1/1)+2*(((0.15*B3338*5))^2/2)+3*(((0.15*B3338*5))^3/6)+4*(((0.15*B3338*5))^4/24)+5*(((0.15*B3338*5))^5/120))/((((0.15*B3338*5))^0/1)+(((0.15*B3338*5))^1/1)+(((0.15*B3338*5))^2/2)+(((0.15*B3338*5))^3/6)+(((0.15*B3338*5))^4/24)+(((0.15*B3338*5))^5/120))),0))+IF(Inputs!$B$3&gt;=54,9*(C3308=TRUE)*MIN(1,8*(1+Inputs!$B$34/100)*Q3308),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312">
      <c r="A3312">
        <f>Skills!A7</f>
        <v/>
      </c>
      <c r="B3312">
        <f>Skills!B7</f>
        <v/>
      </c>
      <c r="C3312">
        <f>Inputs!$B$3&gt;=63</f>
        <v/>
      </c>
      <c r="D3312">
        <f>IF(Skills!C7=1,60+Inputs!$B$25+Inputs!$B$29,IF(Skills!C7=2,90+Inputs!$B$26+Inputs!$B$29,IF(Skills!C7=3,120+Inputs!$B$27+Inputs!$B$29,MAX(0,(Inputs!$B$3-100)*3)+Inputs!$B$28+Inputs!$B$29)))</f>
        <v/>
      </c>
      <c r="E3312">
        <f>INDEX(FactorTable!$B$2:$Y$301, MATCH(ROUND(MIN(300,MAX(1,D3312)),0), FactorTable!$A$2:$A$301,0), Skills!M7+1)</f>
        <v/>
      </c>
      <c r="F3312">
        <f>IF(Skills!N7=TRUE,(Skills!L7/10)*(E3312/1000),Skills!L7/10)+Skills!O7</f>
        <v/>
      </c>
      <c r="G3312">
        <f>Skills!G7*IF(Skills!H7&gt;0,INT(IF(Inputs!$B$38="pvp",MIN(Skills!I7,15),Skills!I7)/Skills!H7+0.000000001),1)</f>
        <v/>
      </c>
      <c r="H3312">
        <f>1-(1-Skills!J7/100)^Skills!K7</f>
        <v/>
      </c>
      <c r="I3312" t="inlineStr">
        <is>
          <t>1</t>
        </is>
      </c>
      <c r="J3312">
        <f>((Inputs!$B$6*(1+Inputs!$B$7/100))+(((Inputs!$B$12*(1+Inputs!$B$13/100))-(Inputs!$B$12*(1+Inputs!$B$13/100)))+0.25*(Inputs!$B$14-Inputs!$B$14))*(1+Inputs!$B$7/100))*(F3312/100)</f>
        <v/>
      </c>
      <c r="K3312">
        <f>J3312*(1+((Inputs!$B$12*(1+Inputs!$B$13/100))*0.01+Inputs!$B$14*0.0025)/100)*(1+Inputs!$B$15/100)*(1+Inputs!$B$16/100)*(5000/(6000+Inputs!$B$42*(1-(100*(1-(1-(Inputs!$B$19+0)/100)*(1-CHOOSE(ArtifactsInput!$N$40+1,5,6,7,8,9,10)/100)^(ArtifactsInput!$M$40-ArtifactsInput!$M$40)))/100)))*(1+(Inputs!$B$24+((C3331=TRUE)*(F3331-Calc!F26))+B3342)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3320=TRUE,F3320,0)/100)*(1+(IF(Skills!A7="EIGHT_LEGS_EASTON",Inputs!$B$17+((C3328=TRUE)*(F3328-Calc!F23))+((C3332=TRUE)*(F3332-Calc!F27))+((IF(AND(Inputs!$B$38&lt;&gt;"pvp",Inputs!$B$43=0),1,IF(IF(Inputs!$B$38="pvp",15,Inputs!$B$43)-(B3343)&lt;=0,1,MAX(0,IF(Inputs!$B$38="pvp",15,Inputs!$B$43)-MAX(5,B3343))/(IF(Inputs!$B$38="pvp",15,Inputs!$B$43)-(B3343))))*(IF(AND(ArtifactsInput!$M$42,((Inputs!$B$9+((C3324=TRUE)*(F3324-Calc!F19))+B3336+(ArtifactsInput!$M$24-ArtifactsInput!$M$24)*CHOOSE(ArtifactsInput!$N$24+1,10,12,14,16,18,20)+IF(ArtifactsInput!$M$10,CHOOSE(ArtifactsInput!$N$10+1,15,18,21,24,27,30)*(IF(Inputs!$B$38="pvp",MIN(15,15)/15,IF(AND(Inputs!$B$38&lt;&gt;"pvp",Inputs!$B$43&gt;0),MIN(15,Inputs!$B$43)/(Inputs!$B$43),0))),0)))&gt;=100),MIN(100,((Inputs!$B$9+((C3324=TRUE)*(F3324-Calc!F19))+B3336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3343)&lt;=0,1,MAX(0,IF(Inputs!$B$38="pvp",15,Inputs!$B$43)-MAX(5,B3343))/(IF(Inputs!$B$38="pvp",15,Inputs!$B$43)-(B3343))))*IF(AND(ArtifactsInput!$M$42,((Inputs!$B$9+((C3324=TRUE)*(F3324-Calc!F19))+B3336+(ArtifactsInput!$M$24-ArtifactsInput!$M$24)*CHOOSE(ArtifactsInput!$N$24+1,10,12,14,16,18,20)+IF(ArtifactsInput!$M$10,CHOOSE(ArtifactsInput!$N$10+1,15,18,21,24,27,30)*(IF(Inputs!$B$38="pvp",MIN(15,15)/15,IF(AND(Inputs!$B$38&lt;&gt;"pvp",Inputs!$B$43&gt;0),MIN(15,Inputs!$B$43)/(Inputs!$B$43),0))),0)))&gt;=100),CHOOSE(ArtifactsInput!$N$42+1,40,48,56,64,72,80),0))))/100)*((1+(((C3322=TRUE)*F3322*5/7)+((C3329=TRUE)*(F3329-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3312)</f>
        <v/>
      </c>
      <c r="L3312">
        <f>K3312*(MIN(Inputs!$B$22+((C3327=TRUE)*(F3327-Calc!F22)),(Inputs!$B$23+0+(IF(ArtifactsInput!$M$15,CHOOSE(ArtifactsInput!$N$15+1,25,30,35,40,45,50)/100*(Inputs!$B$11-Inputs!$B$11),0))))/100+(Inputs!$B$23+0+(IF(ArtifactsInput!$M$15,CHOOSE(ArtifactsInput!$N$15+1,25,30,35,40,45,50)/100*(Inputs!$B$11-Inputs!$B$11),0)))/100)/2</f>
        <v/>
      </c>
      <c r="M3312">
        <f>L3312*(1+(Inputs!$B$10+((C3330=TRUE)*(F3330-Calc!F25))+B3341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312">
        <f>L3312*(1-MIN((Inputs!$B$9+((C3324=TRUE)*(F3324-Calc!F19))+B3336+(ArtifactsInput!$M$24-ArtifactsInput!$M$24)*CHOOSE(ArtifactsInput!$N$24+1,10,12,14,16,18,20)+(IF(AND(Inputs!$B$38&lt;&gt;"pvp",Inputs!$B$43=0),1,IF(IF(Inputs!$B$38="pvp",15,Inputs!$B$43)-(B3343)&lt;=0,1,MAX(0,IF(Inputs!$B$38="pvp",15,Inputs!$B$43)-MAX(5,B3343))/(IF(Inputs!$B$38="pvp",15,Inputs!$B$43)-(B3343))))*IF(AND(ArtifactsInput!$M$42,((Inputs!$B$9+((C3324=TRUE)*(F3324-Calc!F19))+B3336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3312*(MIN((Inputs!$B$9+((C3324=TRUE)*(F3324-Calc!F19))+B3336+(ArtifactsInput!$M$24-ArtifactsInput!$M$24)*CHOOSE(ArtifactsInput!$N$24+1,10,12,14,16,18,20)+(IF(AND(Inputs!$B$38&lt;&gt;"pvp",Inputs!$B$43=0),1,IF(IF(Inputs!$B$38="pvp",15,Inputs!$B$43)-(B3343)&lt;=0,1,MAX(0,IF(Inputs!$B$38="pvp",15,Inputs!$B$43)-MAX(5,B3343))/(IF(Inputs!$B$38="pvp",15,Inputs!$B$43)-(B3343))))*IF(AND(ArtifactsInput!$M$42,((Inputs!$B$9+((C3324=TRUE)*(F3324-Calc!F19))+B3336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312">
        <f>(1-Summary!$B$11)*T3312+Summary!$B$11*V3312</f>
        <v/>
      </c>
      <c r="P3312">
        <f>IF(B3346=0,0,O3312/B3346)</f>
        <v/>
      </c>
      <c r="Q3312">
        <f>IFERROR(1/(IF(Inputs!$B$38="pvp",15,MAX(0.1,Skills!D7-IF(TRUE=TRUE,4.5,0)))*(1-IF(AND(ArtifactsInput!$M$27,Inputs!$B$4="Chapter Hunt"),CHOOSE(ArtifactsInput!$N$27+1,20,24,28,32,36,40),0)/100)),0)</f>
        <v/>
      </c>
      <c r="R3312">
        <f>IF(AND(Inputs!$B$38&lt;&gt;"pvp",Inputs!$B$43&gt;0),IF(MAX(0,Inputs!$B$43-B3343)&lt;=0,0,(INT(MAX(0,Inputs!$B$43-B3343)/(IF(Inputs!$B$38="pvp",15,MAX(0.1,Skills!D7-IF(TRUE=TRUE,4.5,0)))*(1-IF(AND(ArtifactsInput!$M$27,Inputs!$B$4="Chapter Hunt"),CHOOSE(ArtifactsInput!$N$27+1,20,24,28,32,36,40),0)/100)))+1)),0)</f>
        <v/>
      </c>
      <c r="S3312">
        <f>IFERROR(O3312/N3312,0)</f>
        <v/>
      </c>
      <c r="T3312">
        <f>IF(C3312,(H3312*N3312*IF(AND(Inputs!$B$38&lt;&gt;"pvp",Inputs!$B$43&gt;0),((Skills!G7*((R3312-1)*IF(Skills!H7&gt;0,INT(Skills!I7/Skills!H7+0.000000001),1)+IF(Skills!H7&gt;0,INT(MIN(Skills!I7,MAX(0,MAX(0,Inputs!$B$43-B3343)-((R3312-1)*(IF(Inputs!$B$38="pvp",15,MAX(0.1,Skills!D7-IF(TRUE=TRUE,4.5,0)))*(1-IF(AND(ArtifactsInput!$M$27,Inputs!$B$4="Chapter Hunt"),CHOOSE(ArtifactsInput!$N$27+1,20,24,28,32,36,40),0)/100)))))/Skills!H7+0.000000001),1)))/Inputs!$B$43),G3312*Q3312))*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Hunt"),CHOOSE(ArtifactsInput!$N$35+1,15,18,21,24,27,30)*(1-EXP(-(0.2*B3338)*5)),0)+IF(AND(ArtifactsInput!$M$22,Inputs!$B$4&lt;&gt;"Chapter Hunt"),CHOOSE(ArtifactsInput!$N$22+1,10,12,14,16,18,20)*((0*(((0.15*B3338*5))^0/1)+1*(((0.15*B3338*5))^1/1)+2*(((0.15*B3338*5))^2/2)+3*(((0.15*B3338*5))^3/6)+4*(((0.15*B3338*5))^4/24)+5*(((0.15*B3338*5))^5/120))/((((0.15*B3338*5))^0/1)+(((0.15*B3338*5))^1/1)+(((0.15*B3338*5))^2/2)+(((0.15*B3338*5))^3/6)+(((0.15*B3338*5))^4/24)+(((0.15*B3338*5))^5/120))),0))+IF(Inputs!$B$3&gt;=54,9*(C3308=TRUE)*MIN(1,8*(1+Inputs!$B$34/100)*Q3308)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3312*(1-MIN(100,(Inputs!$B$9+((C3324=TRUE)*(F3324-Calc!F19))+B3336+(ArtifactsInput!$M$24-ArtifactsInput!$M$24)*CHOOSE(ArtifactsInput!$N$24+1,10,12,14,16,18,20)+(IF(AND(Inputs!$B$38&lt;&gt;"pvp",Inputs!$B$43=0),1,IF(IF(Inputs!$B$38="pvp",15,Inputs!$B$43)-(B3343)&lt;=0,1,MAX(0,IF(Inputs!$B$38="pvp",15,Inputs!$B$43)-MAX(5,B3343))/(IF(Inputs!$B$38="pvp",15,Inputs!$B$43)-(B3343))))*IF(AND(ArtifactsInput!$M$42,((Inputs!$B$9+((C3324=TRUE)*(F3324-Calc!F19))+B3336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3312*(MIN(100,(Inputs!$B$9+((C3324=TRUE)*(F3324-Calc!F19))+B3336+(ArtifactsInput!$M$24-ArtifactsInput!$M$24)*CHOOSE(ArtifactsInput!$N$24+1,10,12,14,16,18,20)+(IF(AND(Inputs!$B$38&lt;&gt;"pvp",Inputs!$B$43=0),1,IF(IF(Inputs!$B$38="pvp",15,Inputs!$B$43)-(B3343)&lt;=0,1,MAX(0,IF(Inputs!$B$38="pvp",15,Inputs!$B$43)-MAX(5,B3343))/(IF(Inputs!$B$38="pvp",15,Inputs!$B$43)-(B3343))))*IF(AND(ArtifactsInput!$M$42,((Inputs!$B$9+((C3324=TRUE)*(F3324-Calc!F19))+B3336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3312*(1-MIN(100,(Inputs!$B$9+((C3324=TRUE)*(F3324-Calc!F19))+B3336+(ArtifactsInput!$M$24-ArtifactsInput!$M$24)*CHOOSE(ArtifactsInput!$N$24+1,10,12,14,16,18,20)+(IF(AND(Inputs!$B$38&lt;&gt;"pvp",Inputs!$B$43=0),1,IF(IF(Inputs!$B$38="pvp",15,Inputs!$B$43)-(B3343)&lt;=0,1,MAX(0,IF(Inputs!$B$38="pvp",15,Inputs!$B$43)-MAX(5,B3343))/(IF(Inputs!$B$38="pvp",15,Inputs!$B$43)-(B3343))))*IF(AND(ArtifactsInput!$M$42,((Inputs!$B$9+((C3324=TRUE)*(F3324-Calc!F19))+B3336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3312*(MIN(100,(Inputs!$B$9+((C3324=TRUE)*(F3324-Calc!F19))+B3336+(ArtifactsInput!$M$24-ArtifactsInput!$M$24)*CHOOSE(ArtifactsInput!$N$24+1,10,12,14,16,18,20)+(IF(AND(Inputs!$B$38&lt;&gt;"pvp",Inputs!$B$43=0),1,IF(IF(Inputs!$B$38="pvp",15,Inputs!$B$43)-(B3343)&lt;=0,1,MAX(0,IF(Inputs!$B$38="pvp",15,Inputs!$B$43)-MAX(5,B3343))/(IF(Inputs!$B$38="pvp",15,Inputs!$B$43)-(B3343))))*IF(AND(ArtifactsInput!$M$42,((Inputs!$B$9+((C3324=TRUE)*(F3324-Calc!F19))+B3336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312">
        <f>IF(C3312,(H3312*N3312*IF(AND(Inputs!$B$38&lt;&gt;"pvp",Inputs!$B$43&gt;0),((Skills!G7*((R3312-1)*IF(Skills!H7&gt;0,INT(Skills!I7/Skills!H7+0.000000001),1)+IF(Skills!H7&gt;0,INT(MIN(Skills!I7,MAX(0,MAX(0,Inputs!$B$43-B3343)-((R3312-1)*(IF(Inputs!$B$38="pvp",15,MAX(0.1,Skills!D7-IF(TRUE=TRUE,4.5,0)))*(1-IF(AND(ArtifactsInput!$M$27,Inputs!$B$4="Chapter Hunt"),CHOOSE(ArtifactsInput!$N$27+1,20,24,28,32,36,40),0)/100)))))/Skills!H7+0.000000001),1)))/Inputs!$B$43),G3312*Q3312))*IF(Inputs!$B$38="pvp",1,(1+(Inputs!$B$21+Skills!Q7+(IF(ArtifactsInput!$M$33,CHOOSE(ArtifactsInput!$N$33+1,30,36,42,48,54,60),0))+(IF(AND(ArtifactsInput!$M$35,Inputs!$B$4&lt;&gt;"Chapter Hunt"),CHOOSE(ArtifactsInput!$N$35+1,15,18,21,24,27,30)*(1-EXP(-(0.2*B3338)*5)),0)+IF(AND(ArtifactsInput!$M$22,Inputs!$B$4&lt;&gt;"Chapter Hunt"),CHOOSE(ArtifactsInput!$N$22+1,10,12,14,16,18,20)*((0*(((0.15*B3338*5))^0/1)+1*(((0.15*B3338*5))^1/1)+2*(((0.15*B3338*5))^2/2)+3*(((0.15*B3338*5))^3/6)+4*(((0.15*B3338*5))^4/24)+5*(((0.15*B3338*5))^5/120))/((((0.15*B3338*5))^0/1)+(((0.15*B3338*5))^1/1)+(((0.15*B3338*5))^2/2)+(((0.15*B3338*5))^3/6)+(((0.15*B3338*5))^4/24)+(((0.15*B3338*5))^5/120))),0))+IF(Inputs!$B$3&gt;=54,9*(C3308=TRUE)*MIN(1,8*(1+Inputs!$B$34/100)*Q3308),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313">
      <c r="A3313">
        <f>Skills!A8</f>
        <v/>
      </c>
      <c r="B3313">
        <f>Skills!B8</f>
        <v/>
      </c>
      <c r="C3313">
        <f>Inputs!$B$3&gt;=103</f>
        <v/>
      </c>
      <c r="D3313">
        <f>IF(Skills!C8=1,60+Inputs!$B$25+Inputs!$B$29,IF(Skills!C8=2,90+Inputs!$B$26+Inputs!$B$29,IF(Skills!C8=3,120+Inputs!$B$27+Inputs!$B$29,MAX(0,(Inputs!$B$3-100)*3)+Inputs!$B$28+Inputs!$B$29)))</f>
        <v/>
      </c>
      <c r="E3313">
        <f>INDEX(FactorTable!$B$2:$Y$301, MATCH(ROUND(MIN(300,MAX(1,D3313)),0), FactorTable!$A$2:$A$301,0), Skills!M8+1)</f>
        <v/>
      </c>
      <c r="F3313">
        <f>IF(Skills!N8=TRUE,(Skills!L8/10)*(E3313/1000),Skills!L8/10)+Skills!O8</f>
        <v/>
      </c>
      <c r="G3313">
        <f>Skills!G8*IF(Skills!H8&gt;0,INT(IF(Inputs!$B$38="pvp",MIN(Skills!I8,15),Skills!I8)/Skills!H8+0.000000001),1)</f>
        <v/>
      </c>
      <c r="H3313">
        <f>1-(1-Skills!J8/100)^Skills!K8</f>
        <v/>
      </c>
      <c r="I3313" t="inlineStr">
        <is>
          <t>1</t>
        </is>
      </c>
      <c r="J3313">
        <f>((Inputs!$B$6*(1+Inputs!$B$7/100))+(((Inputs!$B$12*(1+Inputs!$B$13/100))-(Inputs!$B$12*(1+Inputs!$B$13/100)))+0.25*(Inputs!$B$14-Inputs!$B$14))*(1+Inputs!$B$7/100))*(F3313/100)</f>
        <v/>
      </c>
      <c r="K3313">
        <f>J3313*(1+((Inputs!$B$12*(1+Inputs!$B$13/100))*0.01+Inputs!$B$14*0.0025)/100)*(1+Inputs!$B$15/100)*(1+Inputs!$B$16/100)*(5000/(6000+Inputs!$B$42*(1-(100*(1-(1-(Inputs!$B$19+0)/100)*(1-CHOOSE(ArtifactsInput!$N$40+1,5,6,7,8,9,10)/100)^(ArtifactsInput!$M$40-ArtifactsInput!$M$40)))/100)))*(1+(Inputs!$B$24+((C3331=TRUE)*(F3331-Calc!F26))+B3342)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IGHT_LEGS_EASTON",Inputs!$B$17+((C3328=TRUE)*(F3328-Calc!F23))+((C3332=TRUE)*(F3332-Calc!F27))+((IF(AND(Inputs!$B$38&lt;&gt;"pvp",Inputs!$B$43=0),1,IF(IF(Inputs!$B$38="pvp",15,Inputs!$B$43)-(B3343)&lt;=0,1,MAX(0,IF(Inputs!$B$38="pvp",15,Inputs!$B$43)-MAX(5,B3343))/(IF(Inputs!$B$38="pvp",15,Inputs!$B$43)-(B3343))))*(IF(AND(ArtifactsInput!$M$42,((Inputs!$B$9+((C3324=TRUE)*(F3324-Calc!F19))+B3336+(ArtifactsInput!$M$24-ArtifactsInput!$M$24)*CHOOSE(ArtifactsInput!$N$24+1,10,12,14,16,18,20)+IF(ArtifactsInput!$M$10,CHOOSE(ArtifactsInput!$N$10+1,15,18,21,24,27,30)*(IF(Inputs!$B$38="pvp",MIN(15,15)/15,IF(AND(Inputs!$B$38&lt;&gt;"pvp",Inputs!$B$43&gt;0),MIN(15,Inputs!$B$43)/(Inputs!$B$43),0))),0)))&gt;=100),MIN(100,((Inputs!$B$9+((C3324=TRUE)*(F3324-Calc!F19))+B3336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3343)&lt;=0,1,MAX(0,IF(Inputs!$B$38="pvp",15,Inputs!$B$43)-MAX(5,B3343))/(IF(Inputs!$B$38="pvp",15,Inputs!$B$43)-(B3343))))*IF(AND(ArtifactsInput!$M$42,((Inputs!$B$9+((C3324=TRUE)*(F3324-Calc!F19))+B3336+(ArtifactsInput!$M$24-ArtifactsInput!$M$24)*CHOOSE(ArtifactsInput!$N$24+1,10,12,14,16,18,20)+IF(ArtifactsInput!$M$10,CHOOSE(ArtifactsInput!$N$10+1,15,18,21,24,27,30)*(IF(Inputs!$B$38="pvp",MIN(15,15)/15,IF(AND(Inputs!$B$38&lt;&gt;"pvp",Inputs!$B$43&gt;0),MIN(15,Inputs!$B$43)/(Inputs!$B$43),0))),0)))&gt;=100),CHOOSE(ArtifactsInput!$N$42+1,40,48,56,64,72,80),0))))/100)*((1+(((C3322=TRUE)*F3322*5/7)+((C3329=TRUE)*(F3329-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3313)</f>
        <v/>
      </c>
      <c r="L3313">
        <f>K3313*(MIN(Inputs!$B$22+((C3327=TRUE)*(F3327-Calc!F22)),(Inputs!$B$23+0+(IF(ArtifactsInput!$M$15,CHOOSE(ArtifactsInput!$N$15+1,25,30,35,40,45,50)/100*(Inputs!$B$11-Inputs!$B$11),0))))/100+(Inputs!$B$23+0+(IF(ArtifactsInput!$M$15,CHOOSE(ArtifactsInput!$N$15+1,25,30,35,40,45,50)/100*(Inputs!$B$11-Inputs!$B$11),0)))/100)/2</f>
        <v/>
      </c>
      <c r="M3313">
        <f>L3313*(1+(Inputs!$B$10+((C3330=TRUE)*(F3330-Calc!F25))+B3341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313">
        <f>L3313*(1-MIN((Inputs!$B$9+((C3324=TRUE)*(F3324-Calc!F19))+B3336+(ArtifactsInput!$M$24-ArtifactsInput!$M$24)*CHOOSE(ArtifactsInput!$N$24+1,10,12,14,16,18,20)+(IF(AND(Inputs!$B$38&lt;&gt;"pvp",Inputs!$B$43=0),1,IF(IF(Inputs!$B$38="pvp",15,Inputs!$B$43)-(B3343)&lt;=0,1,MAX(0,IF(Inputs!$B$38="pvp",15,Inputs!$B$43)-MAX(5,B3343))/(IF(Inputs!$B$38="pvp",15,Inputs!$B$43)-(B3343))))*IF(AND(ArtifactsInput!$M$42,((Inputs!$B$9+((C3324=TRUE)*(F3324-Calc!F19))+B3336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3313*(MIN((Inputs!$B$9+((C3324=TRUE)*(F3324-Calc!F19))+B3336+(ArtifactsInput!$M$24-ArtifactsInput!$M$24)*CHOOSE(ArtifactsInput!$N$24+1,10,12,14,16,18,20)+(IF(AND(Inputs!$B$38&lt;&gt;"pvp",Inputs!$B$43=0),1,IF(IF(Inputs!$B$38="pvp",15,Inputs!$B$43)-(B3343)&lt;=0,1,MAX(0,IF(Inputs!$B$38="pvp",15,Inputs!$B$43)-MAX(5,B3343))/(IF(Inputs!$B$38="pvp",15,Inputs!$B$43)-(B3343))))*IF(AND(ArtifactsInput!$M$42,((Inputs!$B$9+((C3324=TRUE)*(F3324-Calc!F19))+B3336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313">
        <f>(1-Summary!$B$11)*T3313+Summary!$B$11*V3313</f>
        <v/>
      </c>
      <c r="P3313">
        <f>IF(B3346=0,0,O3313/B3346)</f>
        <v/>
      </c>
      <c r="Q3313">
        <f>IFERROR(1/((IF(Inputs!$B$38="pvp",15,MAX(0.1,Skills!D8-IF(TRUE=TRUE,4.5,0)))*(1-IF(AND(ArtifactsInput!$M$27,Inputs!$B$4="Chapter Hunt"),CHOOSE(ArtifactsInput!$N$27+1,20,24,28,32,36,40),0)/100))/B3347),0)</f>
        <v/>
      </c>
      <c r="R3313">
        <f>IF(AND(Inputs!$B$38&lt;&gt;"pvp",Inputs!$B$43&gt;0),IF(MAX(0,Inputs!$B$43-B3343)&lt;=0,0,(INT(MAX(0,Inputs!$B$43-B3343)/((IF(Inputs!$B$38="pvp",15,MAX(0.1,Skills!D8-IF(TRUE=TRUE,4.5,0)))*(1-IF(AND(ArtifactsInput!$M$27,Inputs!$B$4="Chapter Hunt"),CHOOSE(ArtifactsInput!$N$27+1,20,24,28,32,36,40),0)/100))/B3347))+1)),0)</f>
        <v/>
      </c>
      <c r="S3313">
        <f>IFERROR(O3313/N3313,0)</f>
        <v/>
      </c>
      <c r="T3313">
        <f>IF(C3313,(H3313*N3313*IF(AND(Inputs!$B$38&lt;&gt;"pvp",Inputs!$B$43&gt;0),((Skills!G8*((R3313-1)*IF(Skills!H8&gt;0,INT(Skills!I8/Skills!H8+0.000000001),1)+IF(Skills!H8&gt;0,INT(MIN(Skills!I8,MAX(0,MAX(0,Inputs!$B$43-B3343)-((R3313-1)*((IF(Inputs!$B$38="pvp",15,MAX(0.1,Skills!D8-IF(TRUE=TRUE,4.5,0)))*(1-IF(AND(ArtifactsInput!$M$27,Inputs!$B$4="Chapter Hunt"),CHOOSE(ArtifactsInput!$N$27+1,20,24,28,32,36,40),0)/100))/B3347))))/Skills!H8+0.000000001),1)))/Inputs!$B$43),G3313*Q3313))*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Hunt"),CHOOSE(ArtifactsInput!$N$35+1,15,18,21,24,27,30)*(1-EXP(-(0.2*B3338)*5)),0)+IF(AND(ArtifactsInput!$M$22,Inputs!$B$4&lt;&gt;"Chapter Hunt"),CHOOSE(ArtifactsInput!$N$22+1,10,12,14,16,18,20)*((0*(((0.15*B3338*5))^0/1)+1*(((0.15*B3338*5))^1/1)+2*(((0.15*B3338*5))^2/2)+3*(((0.15*B3338*5))^3/6)+4*(((0.15*B3338*5))^4/24)+5*(((0.15*B3338*5))^5/120))/((((0.15*B3338*5))^0/1)+(((0.15*B3338*5))^1/1)+(((0.15*B3338*5))^2/2)+(((0.15*B3338*5))^3/6)+(((0.15*B3338*5))^4/24)+(((0.15*B3338*5))^5/120))),0))+IF(Inputs!$B$3&gt;=54,9*(C3308=TRUE)*MIN(1,8*(1+Inputs!$B$34/100)*Q3308)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3313*(1-MIN(100,(Inputs!$B$9+((C3324=TRUE)*(F3324-Calc!F19))+B3336+(ArtifactsInput!$M$24-ArtifactsInput!$M$24)*CHOOSE(ArtifactsInput!$N$24+1,10,12,14,16,18,20)+(IF(AND(Inputs!$B$38&lt;&gt;"pvp",Inputs!$B$43=0),1,IF(IF(Inputs!$B$38="pvp",15,Inputs!$B$43)-(B3343)&lt;=0,1,MAX(0,IF(Inputs!$B$38="pvp",15,Inputs!$B$43)-MAX(5,B3343))/(IF(Inputs!$B$38="pvp",15,Inputs!$B$43)-(B3343))))*IF(AND(ArtifactsInput!$M$42,((Inputs!$B$9+((C3324=TRUE)*(F3324-Calc!F19))+B3336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3313*(MIN(100,(Inputs!$B$9+((C3324=TRUE)*(F3324-Calc!F19))+B3336+(ArtifactsInput!$M$24-ArtifactsInput!$M$24)*CHOOSE(ArtifactsInput!$N$24+1,10,12,14,16,18,20)+(IF(AND(Inputs!$B$38&lt;&gt;"pvp",Inputs!$B$43=0),1,IF(IF(Inputs!$B$38="pvp",15,Inputs!$B$43)-(B3343)&lt;=0,1,MAX(0,IF(Inputs!$B$38="pvp",15,Inputs!$B$43)-MAX(5,B3343))/(IF(Inputs!$B$38="pvp",15,Inputs!$B$43)-(B3343))))*IF(AND(ArtifactsInput!$M$42,((Inputs!$B$9+((C3324=TRUE)*(F3324-Calc!F19))+B3336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3313*(1-MIN(100,(Inputs!$B$9+((C3324=TRUE)*(F3324-Calc!F19))+B3336+(ArtifactsInput!$M$24-ArtifactsInput!$M$24)*CHOOSE(ArtifactsInput!$N$24+1,10,12,14,16,18,20)+(IF(AND(Inputs!$B$38&lt;&gt;"pvp",Inputs!$B$43=0),1,IF(IF(Inputs!$B$38="pvp",15,Inputs!$B$43)-(B3343)&lt;=0,1,MAX(0,IF(Inputs!$B$38="pvp",15,Inputs!$B$43)-MAX(5,B3343))/(IF(Inputs!$B$38="pvp",15,Inputs!$B$43)-(B3343))))*IF(AND(ArtifactsInput!$M$42,((Inputs!$B$9+((C3324=TRUE)*(F3324-Calc!F19))+B3336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3313*(MIN(100,(Inputs!$B$9+((C3324=TRUE)*(F3324-Calc!F19))+B3336+(ArtifactsInput!$M$24-ArtifactsInput!$M$24)*CHOOSE(ArtifactsInput!$N$24+1,10,12,14,16,18,20)+(IF(AND(Inputs!$B$38&lt;&gt;"pvp",Inputs!$B$43=0),1,IF(IF(Inputs!$B$38="pvp",15,Inputs!$B$43)-(B3343)&lt;=0,1,MAX(0,IF(Inputs!$B$38="pvp",15,Inputs!$B$43)-MAX(5,B3343))/(IF(Inputs!$B$38="pvp",15,Inputs!$B$43)-(B3343))))*IF(AND(ArtifactsInput!$M$42,((Inputs!$B$9+((C3324=TRUE)*(F3324-Calc!F19))+B3336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313">
        <f>IF(C3313,(H3313*N3313*IF(AND(Inputs!$B$38&lt;&gt;"pvp",Inputs!$B$43&gt;0),((Skills!G8*((R3313-1)*IF(Skills!H8&gt;0,INT(Skills!I8/Skills!H8+0.000000001),1)+IF(Skills!H8&gt;0,INT(MIN(Skills!I8,MAX(0,MAX(0,Inputs!$B$43-B3343)-((R3313-1)*((IF(Inputs!$B$38="pvp",15,MAX(0.1,Skills!D8-IF(TRUE=TRUE,4.5,0)))*(1-IF(AND(ArtifactsInput!$M$27,Inputs!$B$4="Chapter Hunt"),CHOOSE(ArtifactsInput!$N$27+1,20,24,28,32,36,40),0)/100))/B3347))))/Skills!H8+0.000000001),1)))/Inputs!$B$43),G3313*Q3313))*IF(Inputs!$B$38="pvp",1,(1+(Inputs!$B$21+Skills!Q8+(IF(ArtifactsInput!$M$33,CHOOSE(ArtifactsInput!$N$33+1,30,36,42,48,54,60),0))+(IF(AND(ArtifactsInput!$M$35,Inputs!$B$4&lt;&gt;"Chapter Hunt"),CHOOSE(ArtifactsInput!$N$35+1,15,18,21,24,27,30)*(1-EXP(-(0.2*B3338)*5)),0)+IF(AND(ArtifactsInput!$M$22,Inputs!$B$4&lt;&gt;"Chapter Hunt"),CHOOSE(ArtifactsInput!$N$22+1,10,12,14,16,18,20)*((0*(((0.15*B3338*5))^0/1)+1*(((0.15*B3338*5))^1/1)+2*(((0.15*B3338*5))^2/2)+3*(((0.15*B3338*5))^3/6)+4*(((0.15*B3338*5))^4/24)+5*(((0.15*B3338*5))^5/120))/((((0.15*B3338*5))^0/1)+(((0.15*B3338*5))^1/1)+(((0.15*B3338*5))^2/2)+(((0.15*B3338*5))^3/6)+(((0.15*B3338*5))^4/24)+(((0.15*B3338*5))^5/120))),0))+IF(Inputs!$B$3&gt;=54,9*(C3308=TRUE)*MIN(1,8*(1+Inputs!$B$34/100)*Q3308),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314">
      <c r="A3314">
        <f>Skills!A9</f>
        <v/>
      </c>
      <c r="B3314">
        <f>Skills!B9</f>
        <v/>
      </c>
      <c r="C3314">
        <f>Inputs!$B$3&gt;=105</f>
        <v/>
      </c>
      <c r="D3314">
        <f>IF(Skills!C9=1,60+Inputs!$B$25+Inputs!$B$29,IF(Skills!C9=2,90+Inputs!$B$26+Inputs!$B$29,IF(Skills!C9=3,120+Inputs!$B$27+Inputs!$B$29,MAX(0,(Inputs!$B$3-100)*3)+Inputs!$B$28+Inputs!$B$29)))</f>
        <v/>
      </c>
      <c r="E3314">
        <f>INDEX(FactorTable!$B$2:$Y$301, MATCH(ROUND(MIN(300,MAX(1,D3314)),0), FactorTable!$A$2:$A$301,0), Skills!M9+1)</f>
        <v/>
      </c>
      <c r="F3314">
        <f>IF(Skills!N9=TRUE,(Skills!L9/10)*(E3314/1000),Skills!L9/10)+Skills!O9</f>
        <v/>
      </c>
      <c r="G3314">
        <f>Skills!G9*IF(Skills!H9&gt;0,INT(IF(Inputs!$B$38="pvp",MIN(Skills!I9,15),Skills!I9)/Skills!H9+0.000000001),1)</f>
        <v/>
      </c>
      <c r="H3314">
        <f>1-(1-Skills!J9/100)^Skills!K9</f>
        <v/>
      </c>
      <c r="I3314" t="inlineStr">
        <is>
          <t>1</t>
        </is>
      </c>
      <c r="J3314">
        <f>((Inputs!$B$6*(1+Inputs!$B$7/100))+(((Inputs!$B$12*(1+Inputs!$B$13/100))-(Inputs!$B$12*(1+Inputs!$B$13/100)))+0.25*(Inputs!$B$14-Inputs!$B$14))*(1+Inputs!$B$7/100))*(F3314/100)</f>
        <v/>
      </c>
      <c r="K3314">
        <f>J3314*(1+((Inputs!$B$12*(1+Inputs!$B$13/100))*0.01+Inputs!$B$14*0.0025)/100)*(1+Inputs!$B$15/100)*(1+Inputs!$B$16/100)*(5000/(6000+Inputs!$B$42*(1-(100*(1-(1-(Inputs!$B$19+0)/100)*(1-CHOOSE(ArtifactsInput!$N$40+1,5,6,7,8,9,10)/100)^(ArtifactsInput!$M$40-ArtifactsInput!$M$40)))/100)))*(1+(Inputs!$B$24+((C3331=TRUE)*(F3331-Calc!F26))+B3342)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IGHT_LEGS_EASTON",Inputs!$B$17+((C3328=TRUE)*(F3328-Calc!F23))+((C3332=TRUE)*(F3332-Calc!F27))+((IF(AND(Inputs!$B$38&lt;&gt;"pvp",Inputs!$B$43=0),1,IF(IF(Inputs!$B$38="pvp",15,Inputs!$B$43)-(B3343)&lt;=0,1,MAX(0,IF(Inputs!$B$38="pvp",15,Inputs!$B$43)-MAX(5,B3343))/(IF(Inputs!$B$38="pvp",15,Inputs!$B$43)-(B3343))))*(IF(AND(ArtifactsInput!$M$42,((Inputs!$B$9+((C3324=TRUE)*(F3324-Calc!F19))+B3336+(ArtifactsInput!$M$24-ArtifactsInput!$M$24)*CHOOSE(ArtifactsInput!$N$24+1,10,12,14,16,18,20)+IF(ArtifactsInput!$M$10,CHOOSE(ArtifactsInput!$N$10+1,15,18,21,24,27,30)*(IF(Inputs!$B$38="pvp",MIN(15,15)/15,IF(AND(Inputs!$B$38&lt;&gt;"pvp",Inputs!$B$43&gt;0),MIN(15,Inputs!$B$43)/(Inputs!$B$43),0))),0)))&gt;=100),MIN(100,((Inputs!$B$9+((C3324=TRUE)*(F3324-Calc!F19))+B3336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3343)&lt;=0,1,MAX(0,IF(Inputs!$B$38="pvp",15,Inputs!$B$43)-MAX(5,B3343))/(IF(Inputs!$B$38="pvp",15,Inputs!$B$43)-(B3343))))*IF(AND(ArtifactsInput!$M$42,((Inputs!$B$9+((C3324=TRUE)*(F3324-Calc!F19))+B3336+(ArtifactsInput!$M$24-ArtifactsInput!$M$24)*CHOOSE(ArtifactsInput!$N$24+1,10,12,14,16,18,20)+IF(ArtifactsInput!$M$10,CHOOSE(ArtifactsInput!$N$10+1,15,18,21,24,27,30)*(IF(Inputs!$B$38="pvp",MIN(15,15)/15,IF(AND(Inputs!$B$38&lt;&gt;"pvp",Inputs!$B$43&gt;0),MIN(15,Inputs!$B$43)/(Inputs!$B$43),0))),0)))&gt;=100),CHOOSE(ArtifactsInput!$N$42+1,40,48,56,64,72,80),0))))/100)*((1+(((C3322=TRUE)*F3322*5/7)+((C3329=TRUE)*(F3329-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3314)</f>
        <v/>
      </c>
      <c r="L3314">
        <f>K3314*(MIN(Inputs!$B$22+((C3327=TRUE)*(F3327-Calc!F22)),(Inputs!$B$23+0+(IF(ArtifactsInput!$M$15,CHOOSE(ArtifactsInput!$N$15+1,25,30,35,40,45,50)/100*(Inputs!$B$11-Inputs!$B$11),0))))/100+(Inputs!$B$23+0+(IF(ArtifactsInput!$M$15,CHOOSE(ArtifactsInput!$N$15+1,25,30,35,40,45,50)/100*(Inputs!$B$11-Inputs!$B$11),0)))/100)/2</f>
        <v/>
      </c>
      <c r="M3314">
        <f>L3314*(1+(Inputs!$B$10+((C3330=TRUE)*(F3330-Calc!F25))+B3341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314">
        <f>L3314*(1-MIN((Inputs!$B$9+((C3324=TRUE)*(F3324-Calc!F19))+B3336+(ArtifactsInput!$M$24-ArtifactsInput!$M$24)*CHOOSE(ArtifactsInput!$N$24+1,10,12,14,16,18,20)+(IF(AND(Inputs!$B$38&lt;&gt;"pvp",Inputs!$B$43=0),1,IF(IF(Inputs!$B$38="pvp",15,Inputs!$B$43)-(B3343)&lt;=0,1,MAX(0,IF(Inputs!$B$38="pvp",15,Inputs!$B$43)-MAX(5,B3343))/(IF(Inputs!$B$38="pvp",15,Inputs!$B$43)-(B3343))))*IF(AND(ArtifactsInput!$M$42,((Inputs!$B$9+((C3324=TRUE)*(F3324-Calc!F19))+B3336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3314*(MIN((Inputs!$B$9+((C3324=TRUE)*(F3324-Calc!F19))+B3336+(ArtifactsInput!$M$24-ArtifactsInput!$M$24)*CHOOSE(ArtifactsInput!$N$24+1,10,12,14,16,18,20)+(IF(AND(Inputs!$B$38&lt;&gt;"pvp",Inputs!$B$43=0),1,IF(IF(Inputs!$B$38="pvp",15,Inputs!$B$43)-(B3343)&lt;=0,1,MAX(0,IF(Inputs!$B$38="pvp",15,Inputs!$B$43)-MAX(5,B3343))/(IF(Inputs!$B$38="pvp",15,Inputs!$B$43)-(B3343))))*IF(AND(ArtifactsInput!$M$42,((Inputs!$B$9+((C3324=TRUE)*(F3324-Calc!F19))+B3336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314">
        <f>(1-Summary!$B$11)*T3314+Summary!$B$11*V3314</f>
        <v/>
      </c>
      <c r="P3314">
        <f>IF(B3346=0,0,O3314/B3346)</f>
        <v/>
      </c>
      <c r="Q3314">
        <f>IFERROR(1/(IF(Inputs!$B$38="pvp",15,MAX(0.1,Skills!D9-IF(TRUE=TRUE,4.5,0)))*(1-IF(AND(ArtifactsInput!$M$27,Inputs!$B$4="Chapter Hunt"),CHOOSE(ArtifactsInput!$N$27+1,20,24,28,32,36,40),0)/100)),0)</f>
        <v/>
      </c>
      <c r="R3314">
        <f>IF(AND(Inputs!$B$38&lt;&gt;"pvp",Inputs!$B$43&gt;0),IF(MAX(0,Inputs!$B$43-B3343)&lt;=0,0,(INT(MAX(0,Inputs!$B$43-B3343)/(IF(Inputs!$B$38="pvp",15,MAX(0.1,Skills!D9-IF(TRUE=TRUE,4.5,0)))*(1-IF(AND(ArtifactsInput!$M$27,Inputs!$B$4="Chapter Hunt"),CHOOSE(ArtifactsInput!$N$27+1,20,24,28,32,36,40),0)/100)))+1)),0)</f>
        <v/>
      </c>
      <c r="S3314">
        <f>IFERROR(O3314/N3314,0)</f>
        <v/>
      </c>
      <c r="T3314">
        <f>IF(C3314,(H3314*N3314*IF(AND(Inputs!$B$38&lt;&gt;"pvp",Inputs!$B$43&gt;0),((Skills!G9*((R3314-1)*IF(Skills!H9&gt;0,INT(Skills!I9/Skills!H9+0.000000001),1)+IF(Skills!H9&gt;0,INT(MIN(Skills!I9,MAX(0,MAX(0,Inputs!$B$43-B3343)-((R3314-1)*(IF(Inputs!$B$38="pvp",15,MAX(0.1,Skills!D9-IF(TRUE=TRUE,4.5,0)))*(1-IF(AND(ArtifactsInput!$M$27,Inputs!$B$4="Chapter Hunt"),CHOOSE(ArtifactsInput!$N$27+1,20,24,28,32,36,40),0)/100)))))/Skills!H9+0.000000001),1)))/Inputs!$B$43),G3314*Q3314))*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Hunt"),CHOOSE(ArtifactsInput!$N$35+1,15,18,21,24,27,30)*(1-EXP(-(0.2*B3338)*5)),0)+IF(AND(ArtifactsInput!$M$22,Inputs!$B$4&lt;&gt;"Chapter Hunt"),CHOOSE(ArtifactsInput!$N$22+1,10,12,14,16,18,20)*((0*(((0.15*B3338*5))^0/1)+1*(((0.15*B3338*5))^1/1)+2*(((0.15*B3338*5))^2/2)+3*(((0.15*B3338*5))^3/6)+4*(((0.15*B3338*5))^4/24)+5*(((0.15*B3338*5))^5/120))/((((0.15*B3338*5))^0/1)+(((0.15*B3338*5))^1/1)+(((0.15*B3338*5))^2/2)+(((0.15*B3338*5))^3/6)+(((0.15*B3338*5))^4/24)+(((0.15*B3338*5))^5/120))),0))+IF(Inputs!$B$3&gt;=54,9*(C3308=TRUE)*MIN(1,8*(1+Inputs!$B$34/100)*Q3308)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3314*(1-MIN(100,(Inputs!$B$9+((C3324=TRUE)*(F3324-Calc!F19))+B3336+(ArtifactsInput!$M$24-ArtifactsInput!$M$24)*CHOOSE(ArtifactsInput!$N$24+1,10,12,14,16,18,20)+(IF(AND(Inputs!$B$38&lt;&gt;"pvp",Inputs!$B$43=0),1,IF(IF(Inputs!$B$38="pvp",15,Inputs!$B$43)-(B3343)&lt;=0,1,MAX(0,IF(Inputs!$B$38="pvp",15,Inputs!$B$43)-MAX(5,B3343))/(IF(Inputs!$B$38="pvp",15,Inputs!$B$43)-(B3343))))*IF(AND(ArtifactsInput!$M$42,((Inputs!$B$9+((C3324=TRUE)*(F3324-Calc!F19))+B3336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3314*(MIN(100,(Inputs!$B$9+((C3324=TRUE)*(F3324-Calc!F19))+B3336+(ArtifactsInput!$M$24-ArtifactsInput!$M$24)*CHOOSE(ArtifactsInput!$N$24+1,10,12,14,16,18,20)+(IF(AND(Inputs!$B$38&lt;&gt;"pvp",Inputs!$B$43=0),1,IF(IF(Inputs!$B$38="pvp",15,Inputs!$B$43)-(B3343)&lt;=0,1,MAX(0,IF(Inputs!$B$38="pvp",15,Inputs!$B$43)-MAX(5,B3343))/(IF(Inputs!$B$38="pvp",15,Inputs!$B$43)-(B3343))))*IF(AND(ArtifactsInput!$M$42,((Inputs!$B$9+((C3324=TRUE)*(F3324-Calc!F19))+B3336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3314*(1-MIN(100,(Inputs!$B$9+((C3324=TRUE)*(F3324-Calc!F19))+B3336+(ArtifactsInput!$M$24-ArtifactsInput!$M$24)*CHOOSE(ArtifactsInput!$N$24+1,10,12,14,16,18,20)+(IF(AND(Inputs!$B$38&lt;&gt;"pvp",Inputs!$B$43=0),1,IF(IF(Inputs!$B$38="pvp",15,Inputs!$B$43)-(B3343)&lt;=0,1,MAX(0,IF(Inputs!$B$38="pvp",15,Inputs!$B$43)-MAX(5,B3343))/(IF(Inputs!$B$38="pvp",15,Inputs!$B$43)-(B3343))))*IF(AND(ArtifactsInput!$M$42,((Inputs!$B$9+((C3324=TRUE)*(F3324-Calc!F19))+B3336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3314*(MIN(100,(Inputs!$B$9+((C3324=TRUE)*(F3324-Calc!F19))+B3336+(ArtifactsInput!$M$24-ArtifactsInput!$M$24)*CHOOSE(ArtifactsInput!$N$24+1,10,12,14,16,18,20)+(IF(AND(Inputs!$B$38&lt;&gt;"pvp",Inputs!$B$43=0),1,IF(IF(Inputs!$B$38="pvp",15,Inputs!$B$43)-(B3343)&lt;=0,1,MAX(0,IF(Inputs!$B$38="pvp",15,Inputs!$B$43)-MAX(5,B3343))/(IF(Inputs!$B$38="pvp",15,Inputs!$B$43)-(B3343))))*IF(AND(ArtifactsInput!$M$42,((Inputs!$B$9+((C3324=TRUE)*(F3324-Calc!F19))+B3336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314">
        <f>IF(C3314,(H3314*N3314*IF(AND(Inputs!$B$38&lt;&gt;"pvp",Inputs!$B$43&gt;0),((Skills!G9*((R3314-1)*IF(Skills!H9&gt;0,INT(Skills!I9/Skills!H9+0.000000001),1)+IF(Skills!H9&gt;0,INT(MIN(Skills!I9,MAX(0,MAX(0,Inputs!$B$43-B3343)-((R3314-1)*(IF(Inputs!$B$38="pvp",15,MAX(0.1,Skills!D9-IF(TRUE=TRUE,4.5,0)))*(1-IF(AND(ArtifactsInput!$M$27,Inputs!$B$4="Chapter Hunt"),CHOOSE(ArtifactsInput!$N$27+1,20,24,28,32,36,40),0)/100)))))/Skills!H9+0.000000001),1)))/Inputs!$B$43),G3314*Q3314))*IF(Inputs!$B$38="pvp",1,(1+(Inputs!$B$21+Skills!Q9+(IF(ArtifactsInput!$M$33,CHOOSE(ArtifactsInput!$N$33+1,30,36,42,48,54,60),0))+(IF(AND(ArtifactsInput!$M$35,Inputs!$B$4&lt;&gt;"Chapter Hunt"),CHOOSE(ArtifactsInput!$N$35+1,15,18,21,24,27,30)*(1-EXP(-(0.2*B3338)*5)),0)+IF(AND(ArtifactsInput!$M$22,Inputs!$B$4&lt;&gt;"Chapter Hunt"),CHOOSE(ArtifactsInput!$N$22+1,10,12,14,16,18,20)*((0*(((0.15*B3338*5))^0/1)+1*(((0.15*B3338*5))^1/1)+2*(((0.15*B3338*5))^2/2)+3*(((0.15*B3338*5))^3/6)+4*(((0.15*B3338*5))^4/24)+5*(((0.15*B3338*5))^5/120))/((((0.15*B3338*5))^0/1)+(((0.15*B3338*5))^1/1)+(((0.15*B3338*5))^2/2)+(((0.15*B3338*5))^3/6)+(((0.15*B3338*5))^4/24)+(((0.15*B3338*5))^5/120))),0))+IF(Inputs!$B$3&gt;=54,9*(C3308=TRUE)*MIN(1,8*(1+Inputs!$B$34/100)*Q3308),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315">
      <c r="A3315">
        <f>Skills!A10</f>
        <v/>
      </c>
      <c r="B3315">
        <f>Skills!B10</f>
        <v/>
      </c>
      <c r="C3315">
        <f>Inputs!$B$3&gt;=113</f>
        <v/>
      </c>
      <c r="D3315">
        <f>IF(Skills!C10=1,60+Inputs!$B$25+Inputs!$B$29,IF(Skills!C10=2,90+Inputs!$B$26+Inputs!$B$29,IF(Skills!C10=3,120+Inputs!$B$27+Inputs!$B$29,MAX(0,(Inputs!$B$3-100)*3)+Inputs!$B$28+Inputs!$B$29)))</f>
        <v/>
      </c>
      <c r="E3315">
        <f>INDEX(FactorTable!$B$2:$Y$301, MATCH(ROUND(MIN(300,MAX(1,D3315)),0), FactorTable!$A$2:$A$301,0), Skills!M10+1)</f>
        <v/>
      </c>
      <c r="F3315">
        <f>IF(Skills!N10=TRUE,(Skills!L10/10)*(E3315/1000),Skills!L10/10)+Skills!O10</f>
        <v/>
      </c>
      <c r="G3315">
        <f>Skills!G10*IF(Skills!H10&gt;0,INT(IF(Inputs!$B$38="pvp",MIN(Skills!I10,15),Skills!I10)/Skills!H10+0.000000001),1)</f>
        <v/>
      </c>
      <c r="H3315">
        <f>1-(1-Skills!J10/100)^Skills!K10</f>
        <v/>
      </c>
      <c r="I3315" t="inlineStr">
        <is>
          <t>1</t>
        </is>
      </c>
      <c r="J3315">
        <f>((Inputs!$B$6*(1+Inputs!$B$7/100))+(((Inputs!$B$12*(1+Inputs!$B$13/100))-(Inputs!$B$12*(1+Inputs!$B$13/100)))+0.25*(Inputs!$B$14-Inputs!$B$14))*(1+Inputs!$B$7/100))*(F3315/100)</f>
        <v/>
      </c>
      <c r="K3315">
        <f>J3315*(1+((Inputs!$B$12*(1+Inputs!$B$13/100))*0.01+Inputs!$B$14*0.0025)/100)*(1+Inputs!$B$15/100)*(1+Inputs!$B$16/100)*(5000/(6000+Inputs!$B$42*(1-(100*(1-(1-(Inputs!$B$19+0)/100)*(1-CHOOSE(ArtifactsInput!$N$40+1,5,6,7,8,9,10)/100)^(ArtifactsInput!$M$40-ArtifactsInput!$M$40)))/100)))*(1+(Inputs!$B$24+((C3331=TRUE)*(F3331-Calc!F26))+B3342)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IGHT_LEGS_EASTON",Inputs!$B$17+((C3328=TRUE)*(F3328-Calc!F23))+((C3332=TRUE)*(F3332-Calc!F27))+((IF(AND(Inputs!$B$38&lt;&gt;"pvp",Inputs!$B$43=0),1,IF(IF(Inputs!$B$38="pvp",15,Inputs!$B$43)-(B3343)&lt;=0,1,MAX(0,IF(Inputs!$B$38="pvp",15,Inputs!$B$43)-MAX(5,B3343))/(IF(Inputs!$B$38="pvp",15,Inputs!$B$43)-(B3343))))*(IF(AND(ArtifactsInput!$M$42,((Inputs!$B$9+((C3324=TRUE)*(F3324-Calc!F19))+B3336+(ArtifactsInput!$M$24-ArtifactsInput!$M$24)*CHOOSE(ArtifactsInput!$N$24+1,10,12,14,16,18,20)+IF(ArtifactsInput!$M$10,CHOOSE(ArtifactsInput!$N$10+1,15,18,21,24,27,30)*(IF(Inputs!$B$38="pvp",MIN(15,15)/15,IF(AND(Inputs!$B$38&lt;&gt;"pvp",Inputs!$B$43&gt;0),MIN(15,Inputs!$B$43)/(Inputs!$B$43),0))),0)))&gt;=100),MIN(100,((Inputs!$B$9+((C3324=TRUE)*(F3324-Calc!F19))+B3336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3343)&lt;=0,1,MAX(0,IF(Inputs!$B$38="pvp",15,Inputs!$B$43)-MAX(5,B3343))/(IF(Inputs!$B$38="pvp",15,Inputs!$B$43)-(B3343))))*IF(AND(ArtifactsInput!$M$42,((Inputs!$B$9+((C3324=TRUE)*(F3324-Calc!F19))+B3336+(ArtifactsInput!$M$24-ArtifactsInput!$M$24)*CHOOSE(ArtifactsInput!$N$24+1,10,12,14,16,18,20)+IF(ArtifactsInput!$M$10,CHOOSE(ArtifactsInput!$N$10+1,15,18,21,24,27,30)*(IF(Inputs!$B$38="pvp",MIN(15,15)/15,IF(AND(Inputs!$B$38&lt;&gt;"pvp",Inputs!$B$43&gt;0),MIN(15,Inputs!$B$43)/(Inputs!$B$43),0))),0)))&gt;=100),CHOOSE(ArtifactsInput!$N$42+1,40,48,56,64,72,80),0))))/100)*((1+(((C3322=TRUE)*F3322*5/7)+((C3329=TRUE)*(F3329-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3315)</f>
        <v/>
      </c>
      <c r="L3315">
        <f>K3315*(MIN(Inputs!$B$22+((C3327=TRUE)*(F3327-Calc!F22)),(Inputs!$B$23+0+(IF(ArtifactsInput!$M$15,CHOOSE(ArtifactsInput!$N$15+1,25,30,35,40,45,50)/100*(Inputs!$B$11-Inputs!$B$11),0))))/100+(Inputs!$B$23+0+(IF(ArtifactsInput!$M$15,CHOOSE(ArtifactsInput!$N$15+1,25,30,35,40,45,50)/100*(Inputs!$B$11-Inputs!$B$11),0)))/100)/2</f>
        <v/>
      </c>
      <c r="M3315">
        <f>L3315*(1+(Inputs!$B$10+((C3330=TRUE)*(F3330-Calc!F25))+B3341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315">
        <f>L3315*(1-MIN((Inputs!$B$9+((C3324=TRUE)*(F3324-Calc!F19))+B3336+(ArtifactsInput!$M$24-ArtifactsInput!$M$24)*CHOOSE(ArtifactsInput!$N$24+1,10,12,14,16,18,20)+(IF(AND(Inputs!$B$38&lt;&gt;"pvp",Inputs!$B$43=0),1,IF(IF(Inputs!$B$38="pvp",15,Inputs!$B$43)-(B3343)&lt;=0,1,MAX(0,IF(Inputs!$B$38="pvp",15,Inputs!$B$43)-MAX(5,B3343))/(IF(Inputs!$B$38="pvp",15,Inputs!$B$43)-(B3343))))*IF(AND(ArtifactsInput!$M$42,((Inputs!$B$9+((C3324=TRUE)*(F3324-Calc!F19))+B3336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3315*(MIN((Inputs!$B$9+((C3324=TRUE)*(F3324-Calc!F19))+B3336+(ArtifactsInput!$M$24-ArtifactsInput!$M$24)*CHOOSE(ArtifactsInput!$N$24+1,10,12,14,16,18,20)+(IF(AND(Inputs!$B$38&lt;&gt;"pvp",Inputs!$B$43=0),1,IF(IF(Inputs!$B$38="pvp",15,Inputs!$B$43)-(B3343)&lt;=0,1,MAX(0,IF(Inputs!$B$38="pvp",15,Inputs!$B$43)-MAX(5,B3343))/(IF(Inputs!$B$38="pvp",15,Inputs!$B$43)-(B3343))))*IF(AND(ArtifactsInput!$M$42,((Inputs!$B$9+((C3324=TRUE)*(F3324-Calc!F19))+B3336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315">
        <f>(1-Summary!$B$11)*T3315+Summary!$B$11*V3315</f>
        <v/>
      </c>
      <c r="P3315">
        <f>IF(B3346=0,0,O3315/B3346)</f>
        <v/>
      </c>
      <c r="Q3315" t="n">
        <v>0</v>
      </c>
      <c r="R3315" t="n">
        <v>0</v>
      </c>
      <c r="S3315">
        <f>IFERROR(O3315/N3315,0)</f>
        <v/>
      </c>
      <c r="T3315">
        <f>IF(C3315,((H3315*B3348)/(1+Skills!H10*H3315*B3348)*N3315)*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Hunt"),CHOOSE(ArtifactsInput!$N$35+1,15,18,21,24,27,30)*(1-EXP(-(0.2*B3338)*5)),0)+IF(AND(ArtifactsInput!$M$22,Inputs!$B$4&lt;&gt;"Chapter Hunt"),CHOOSE(ArtifactsInput!$N$22+1,10,12,14,16,18,20)*((0*(((0.15*B3338*5))^0/1)+1*(((0.15*B3338*5))^1/1)+2*(((0.15*B3338*5))^2/2)+3*(((0.15*B3338*5))^3/6)+4*(((0.15*B3338*5))^4/24)+5*(((0.15*B3338*5))^5/120))/((((0.15*B3338*5))^0/1)+(((0.15*B3338*5))^1/1)+(((0.15*B3338*5))^2/2)+(((0.15*B3338*5))^3/6)+(((0.15*B3338*5))^4/24)+(((0.15*B3338*5))^5/120))),0))+IF(Inputs!$B$3&gt;=54,9*(C3308=TRUE)*MIN(1,8*(1+Inputs!$B$34/100)*Q3308)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3315*(1-MIN(100,(Inputs!$B$9+((C3324=TRUE)*(F3324-Calc!F19))+B3336+(ArtifactsInput!$M$24-ArtifactsInput!$M$24)*CHOOSE(ArtifactsInput!$N$24+1,10,12,14,16,18,20)+(IF(AND(Inputs!$B$38&lt;&gt;"pvp",Inputs!$B$43=0),1,IF(IF(Inputs!$B$38="pvp",15,Inputs!$B$43)-(B3343)&lt;=0,1,MAX(0,IF(Inputs!$B$38="pvp",15,Inputs!$B$43)-MAX(5,B3343))/(IF(Inputs!$B$38="pvp",15,Inputs!$B$43)-(B3343))))*IF(AND(ArtifactsInput!$M$42,((Inputs!$B$9+((C3324=TRUE)*(F3324-Calc!F19))+B3336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3315*(MIN(100,(Inputs!$B$9+((C3324=TRUE)*(F3324-Calc!F19))+B3336+(ArtifactsInput!$M$24-ArtifactsInput!$M$24)*CHOOSE(ArtifactsInput!$N$24+1,10,12,14,16,18,20)+(IF(AND(Inputs!$B$38&lt;&gt;"pvp",Inputs!$B$43=0),1,IF(IF(Inputs!$B$38="pvp",15,Inputs!$B$43)-(B3343)&lt;=0,1,MAX(0,IF(Inputs!$B$38="pvp",15,Inputs!$B$43)-MAX(5,B3343))/(IF(Inputs!$B$38="pvp",15,Inputs!$B$43)-(B3343))))*IF(AND(ArtifactsInput!$M$42,((Inputs!$B$9+((C3324=TRUE)*(F3324-Calc!F19))+B3336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3315*(1-MIN(100,(Inputs!$B$9+((C3324=TRUE)*(F3324-Calc!F19))+B3336+(ArtifactsInput!$M$24-ArtifactsInput!$M$24)*CHOOSE(ArtifactsInput!$N$24+1,10,12,14,16,18,20)+(IF(AND(Inputs!$B$38&lt;&gt;"pvp",Inputs!$B$43=0),1,IF(IF(Inputs!$B$38="pvp",15,Inputs!$B$43)-(B3343)&lt;=0,1,MAX(0,IF(Inputs!$B$38="pvp",15,Inputs!$B$43)-MAX(5,B3343))/(IF(Inputs!$B$38="pvp",15,Inputs!$B$43)-(B3343))))*IF(AND(ArtifactsInput!$M$42,((Inputs!$B$9+((C3324=TRUE)*(F3324-Calc!F19))+B3336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3315*(MIN(100,(Inputs!$B$9+((C3324=TRUE)*(F3324-Calc!F19))+B3336+(ArtifactsInput!$M$24-ArtifactsInput!$M$24)*CHOOSE(ArtifactsInput!$N$24+1,10,12,14,16,18,20)+(IF(AND(Inputs!$B$38&lt;&gt;"pvp",Inputs!$B$43=0),1,IF(IF(Inputs!$B$38="pvp",15,Inputs!$B$43)-(B3343)&lt;=0,1,MAX(0,IF(Inputs!$B$38="pvp",15,Inputs!$B$43)-MAX(5,B3343))/(IF(Inputs!$B$38="pvp",15,Inputs!$B$43)-(B3343))))*IF(AND(ArtifactsInput!$M$42,((Inputs!$B$9+((C3324=TRUE)*(F3324-Calc!F19))+B3336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315">
        <f>IF(C3315,((H3315*B3348)/(1+Skills!H10*H3315*B3348)*N3315)*IF(Inputs!$B$38="pvp",1,(1+(Inputs!$B$21+Skills!Q10+(IF(ArtifactsInput!$M$33,CHOOSE(ArtifactsInput!$N$33+1,30,36,42,48,54,60),0))+(IF(AND(ArtifactsInput!$M$35,Inputs!$B$4&lt;&gt;"Chapter Hunt"),CHOOSE(ArtifactsInput!$N$35+1,15,18,21,24,27,30)*(1-EXP(-(0.2*B3338)*5)),0)+IF(AND(ArtifactsInput!$M$22,Inputs!$B$4&lt;&gt;"Chapter Hunt"),CHOOSE(ArtifactsInput!$N$22+1,10,12,14,16,18,20)*((0*(((0.15*B3338*5))^0/1)+1*(((0.15*B3338*5))^1/1)+2*(((0.15*B3338*5))^2/2)+3*(((0.15*B3338*5))^3/6)+4*(((0.15*B3338*5))^4/24)+5*(((0.15*B3338*5))^5/120))/((((0.15*B3338*5))^0/1)+(((0.15*B3338*5))^1/1)+(((0.15*B3338*5))^2/2)+(((0.15*B3338*5))^3/6)+(((0.15*B3338*5))^4/24)+(((0.15*B3338*5))^5/120))),0))+IF(Inputs!$B$3&gt;=54,9*(C3308=TRUE)*MIN(1,8*(1+Inputs!$B$34/100)*Q3308),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316">
      <c r="A3316">
        <f>Skills!A11</f>
        <v/>
      </c>
      <c r="B3316">
        <f>Skills!B11</f>
        <v/>
      </c>
      <c r="C3316">
        <f>Inputs!$B$3&gt;=117</f>
        <v/>
      </c>
      <c r="D3316">
        <f>IF(Skills!C11=1,60+Inputs!$B$25+Inputs!$B$29,IF(Skills!C11=2,90+Inputs!$B$26+Inputs!$B$29,IF(Skills!C11=3,120+Inputs!$B$27+Inputs!$B$29,MAX(0,(Inputs!$B$3-100)*3)+Inputs!$B$28+Inputs!$B$29)))</f>
        <v/>
      </c>
      <c r="E3316">
        <f>INDEX(FactorTable!$B$2:$Y$301, MATCH(ROUND(MIN(300,MAX(1,D3316)),0), FactorTable!$A$2:$A$301,0), Skills!M11+1)</f>
        <v/>
      </c>
      <c r="F3316">
        <f>IF(Skills!N11=TRUE,(Skills!L11/10)*(E3316/1000),Skills!L11/10)+Skills!O11</f>
        <v/>
      </c>
      <c r="G3316">
        <f>Skills!G11*IF(Skills!H11&gt;0,INT(IF(Inputs!$B$38="pvp",MIN(Skills!I11,15),Skills!I11)/Skills!H11+0.000000001),1)</f>
        <v/>
      </c>
      <c r="H3316">
        <f>1-(1-Skills!J11/100)^Skills!K11</f>
        <v/>
      </c>
      <c r="I3316" t="inlineStr">
        <is>
          <t>1</t>
        </is>
      </c>
      <c r="J3316">
        <f>((Inputs!$B$6*(1+Inputs!$B$7/100))+(((Inputs!$B$12*(1+Inputs!$B$13/100))-(Inputs!$B$12*(1+Inputs!$B$13/100)))+0.25*(Inputs!$B$14-Inputs!$B$14))*(1+Inputs!$B$7/100))*(F3316/100)</f>
        <v/>
      </c>
      <c r="K3316">
        <f>J3316*(1+((Inputs!$B$12*(1+Inputs!$B$13/100))*0.01+Inputs!$B$14*0.0025)/100)*(1+Inputs!$B$15/100)*(1+Inputs!$B$16/100)*(5000/(6000+Inputs!$B$42*(1-(100*(1-(1-(Inputs!$B$19+0)/100)*(1-CHOOSE(ArtifactsInput!$N$40+1,5,6,7,8,9,10)/100)^(ArtifactsInput!$M$40-ArtifactsInput!$M$40)))/100)))*(1+(Inputs!$B$24+((C3331=TRUE)*(F3331-Calc!F26))+B3342)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IGHT_LEGS_EASTON",Inputs!$B$17+((C3328=TRUE)*(F3328-Calc!F23))+((C3332=TRUE)*(F3332-Calc!F27))+((IF(AND(Inputs!$B$38&lt;&gt;"pvp",Inputs!$B$43=0),1,IF(IF(Inputs!$B$38="pvp",15,Inputs!$B$43)-(B3343)&lt;=0,1,MAX(0,IF(Inputs!$B$38="pvp",15,Inputs!$B$43)-MAX(5,B3343))/(IF(Inputs!$B$38="pvp",15,Inputs!$B$43)-(B3343))))*(IF(AND(ArtifactsInput!$M$42,((Inputs!$B$9+((C3324=TRUE)*(F3324-Calc!F19))+B3336+(ArtifactsInput!$M$24-ArtifactsInput!$M$24)*CHOOSE(ArtifactsInput!$N$24+1,10,12,14,16,18,20)+IF(ArtifactsInput!$M$10,CHOOSE(ArtifactsInput!$N$10+1,15,18,21,24,27,30)*(IF(Inputs!$B$38="pvp",MIN(15,15)/15,IF(AND(Inputs!$B$38&lt;&gt;"pvp",Inputs!$B$43&gt;0),MIN(15,Inputs!$B$43)/(Inputs!$B$43),0))),0)))&gt;=100),MIN(100,((Inputs!$B$9+((C3324=TRUE)*(F3324-Calc!F19))+B3336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3343)&lt;=0,1,MAX(0,IF(Inputs!$B$38="pvp",15,Inputs!$B$43)-MAX(5,B3343))/(IF(Inputs!$B$38="pvp",15,Inputs!$B$43)-(B3343))))*IF(AND(ArtifactsInput!$M$42,((Inputs!$B$9+((C3324=TRUE)*(F3324-Calc!F19))+B3336+(ArtifactsInput!$M$24-ArtifactsInput!$M$24)*CHOOSE(ArtifactsInput!$N$24+1,10,12,14,16,18,20)+IF(ArtifactsInput!$M$10,CHOOSE(ArtifactsInput!$N$10+1,15,18,21,24,27,30)*(IF(Inputs!$B$38="pvp",MIN(15,15)/15,IF(AND(Inputs!$B$38&lt;&gt;"pvp",Inputs!$B$43&gt;0),MIN(15,Inputs!$B$43)/(Inputs!$B$43),0))),0)))&gt;=100),CHOOSE(ArtifactsInput!$N$42+1,40,48,56,64,72,80),0))))/100)*((1+(((C3322=TRUE)*F3322*5/7)+((C3329=TRUE)*(F3329-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3316)</f>
        <v/>
      </c>
      <c r="L3316">
        <f>K3316*(MIN(Inputs!$B$22+((C3327=TRUE)*(F3327-Calc!F22)),(Inputs!$B$23+0+(IF(ArtifactsInput!$M$15,CHOOSE(ArtifactsInput!$N$15+1,25,30,35,40,45,50)/100*(Inputs!$B$11-Inputs!$B$11),0))))/100+(Inputs!$B$23+0+(IF(ArtifactsInput!$M$15,CHOOSE(ArtifactsInput!$N$15+1,25,30,35,40,45,50)/100*(Inputs!$B$11-Inputs!$B$11),0)))/100)/2</f>
        <v/>
      </c>
      <c r="M3316">
        <f>L3316*(1+(Inputs!$B$10+((C3330=TRUE)*(F3330-Calc!F25))+B3341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316">
        <f>L3316*(1-MIN((Inputs!$B$9+((C3324=TRUE)*(F3324-Calc!F19))+B3336+(ArtifactsInput!$M$24-ArtifactsInput!$M$24)*CHOOSE(ArtifactsInput!$N$24+1,10,12,14,16,18,20)+(IF(AND(Inputs!$B$38&lt;&gt;"pvp",Inputs!$B$43=0),1,IF(IF(Inputs!$B$38="pvp",15,Inputs!$B$43)-(B3343)&lt;=0,1,MAX(0,IF(Inputs!$B$38="pvp",15,Inputs!$B$43)-MAX(5,B3343))/(IF(Inputs!$B$38="pvp",15,Inputs!$B$43)-(B3343))))*IF(AND(ArtifactsInput!$M$42,((Inputs!$B$9+((C3324=TRUE)*(F3324-Calc!F19))+B3336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3316*(MIN((Inputs!$B$9+((C3324=TRUE)*(F3324-Calc!F19))+B3336+(ArtifactsInput!$M$24-ArtifactsInput!$M$24)*CHOOSE(ArtifactsInput!$N$24+1,10,12,14,16,18,20)+(IF(AND(Inputs!$B$38&lt;&gt;"pvp",Inputs!$B$43=0),1,IF(IF(Inputs!$B$38="pvp",15,Inputs!$B$43)-(B3343)&lt;=0,1,MAX(0,IF(Inputs!$B$38="pvp",15,Inputs!$B$43)-MAX(5,B3343))/(IF(Inputs!$B$38="pvp",15,Inputs!$B$43)-(B3343))))*IF(AND(ArtifactsInput!$M$42,((Inputs!$B$9+((C3324=TRUE)*(F3324-Calc!F19))+B3336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316">
        <f>(1-Summary!$B$11)*T3316+Summary!$B$11*V3316</f>
        <v/>
      </c>
      <c r="P3316">
        <f>IF(B3346=0,0,O3316/B3346)</f>
        <v/>
      </c>
      <c r="Q3316">
        <f>IFERROR(1/((IF(Inputs!$B$38="pvp",15,MAX(0.1,Skills!D11-IF(TRUE=TRUE,4.5,0)))*(1-IF(AND(ArtifactsInput!$M$27,Inputs!$B$4="Chapter Hunt"),CHOOSE(ArtifactsInput!$N$27+1,20,24,28,32,36,40),0)/100))/B3347),0)</f>
        <v/>
      </c>
      <c r="R3316">
        <f>IF(AND(Inputs!$B$38&lt;&gt;"pvp",Inputs!$B$43&gt;0),IF(MAX(0,Inputs!$B$43-B3343)&lt;=0,0,(INT(MAX(0,Inputs!$B$43-B3343)/((IF(Inputs!$B$38="pvp",15,MAX(0.1,Skills!D11-IF(TRUE=TRUE,4.5,0)))*(1-IF(AND(ArtifactsInput!$M$27,Inputs!$B$4="Chapter Hunt"),CHOOSE(ArtifactsInput!$N$27+1,20,24,28,32,36,40),0)/100))/B3347))+1)),0)</f>
        <v/>
      </c>
      <c r="S3316">
        <f>IFERROR(O3316/N3316,0)</f>
        <v/>
      </c>
      <c r="T3316">
        <f>IF(C3316,(H3316*N3316*IF(AND(Inputs!$B$38&lt;&gt;"pvp",Inputs!$B$43&gt;0),((Skills!G11*((R3316-1)*IF(Skills!H11&gt;0,INT(Skills!I11/Skills!H11+0.000000001),1)+IF(Skills!H11&gt;0,INT(MIN(Skills!I11,MAX(0,MAX(0,Inputs!$B$43-B3343)-((R3316-1)*((IF(Inputs!$B$38="pvp",15,MAX(0.1,Skills!D11-IF(TRUE=TRUE,4.5,0)))*(1-IF(AND(ArtifactsInput!$M$27,Inputs!$B$4="Chapter Hunt"),CHOOSE(ArtifactsInput!$N$27+1,20,24,28,32,36,40),0)/100))/B3347))))/Skills!H11+0.000000001),1)))/Inputs!$B$43),G3316*Q3316))*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Hunt"),CHOOSE(ArtifactsInput!$N$35+1,15,18,21,24,27,30)*(1-EXP(-(0.2*B3338)*5)),0)+IF(AND(ArtifactsInput!$M$22,Inputs!$B$4&lt;&gt;"Chapter Hunt"),CHOOSE(ArtifactsInput!$N$22+1,10,12,14,16,18,20)*((0*(((0.15*B3338*5))^0/1)+1*(((0.15*B3338*5))^1/1)+2*(((0.15*B3338*5))^2/2)+3*(((0.15*B3338*5))^3/6)+4*(((0.15*B3338*5))^4/24)+5*(((0.15*B3338*5))^5/120))/((((0.15*B3338*5))^0/1)+(((0.15*B3338*5))^1/1)+(((0.15*B3338*5))^2/2)+(((0.15*B3338*5))^3/6)+(((0.15*B3338*5))^4/24)+(((0.15*B3338*5))^5/120))),0))+IF(Inputs!$B$3&gt;=54,9*(C3308=TRUE)*MIN(1,8*(1+Inputs!$B$34/100)*Q3308)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3316*(1-MIN(100,(Inputs!$B$9+((C3324=TRUE)*(F3324-Calc!F19))+B3336+(ArtifactsInput!$M$24-ArtifactsInput!$M$24)*CHOOSE(ArtifactsInput!$N$24+1,10,12,14,16,18,20)+(IF(AND(Inputs!$B$38&lt;&gt;"pvp",Inputs!$B$43=0),1,IF(IF(Inputs!$B$38="pvp",15,Inputs!$B$43)-(B3343)&lt;=0,1,MAX(0,IF(Inputs!$B$38="pvp",15,Inputs!$B$43)-MAX(5,B3343))/(IF(Inputs!$B$38="pvp",15,Inputs!$B$43)-(B3343))))*IF(AND(ArtifactsInput!$M$42,((Inputs!$B$9+((C3324=TRUE)*(F3324-Calc!F19))+B3336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3316*(MIN(100,(Inputs!$B$9+((C3324=TRUE)*(F3324-Calc!F19))+B3336+(ArtifactsInput!$M$24-ArtifactsInput!$M$24)*CHOOSE(ArtifactsInput!$N$24+1,10,12,14,16,18,20)+(IF(AND(Inputs!$B$38&lt;&gt;"pvp",Inputs!$B$43=0),1,IF(IF(Inputs!$B$38="pvp",15,Inputs!$B$43)-(B3343)&lt;=0,1,MAX(0,IF(Inputs!$B$38="pvp",15,Inputs!$B$43)-MAX(5,B3343))/(IF(Inputs!$B$38="pvp",15,Inputs!$B$43)-(B3343))))*IF(AND(ArtifactsInput!$M$42,((Inputs!$B$9+((C3324=TRUE)*(F3324-Calc!F19))+B3336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3316*(1-MIN(100,(Inputs!$B$9+((C3324=TRUE)*(F3324-Calc!F19))+B3336+(ArtifactsInput!$M$24-ArtifactsInput!$M$24)*CHOOSE(ArtifactsInput!$N$24+1,10,12,14,16,18,20)+(IF(AND(Inputs!$B$38&lt;&gt;"pvp",Inputs!$B$43=0),1,IF(IF(Inputs!$B$38="pvp",15,Inputs!$B$43)-(B3343)&lt;=0,1,MAX(0,IF(Inputs!$B$38="pvp",15,Inputs!$B$43)-MAX(5,B3343))/(IF(Inputs!$B$38="pvp",15,Inputs!$B$43)-(B3343))))*IF(AND(ArtifactsInput!$M$42,((Inputs!$B$9+((C3324=TRUE)*(F3324-Calc!F19))+B3336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3316*(MIN(100,(Inputs!$B$9+((C3324=TRUE)*(F3324-Calc!F19))+B3336+(ArtifactsInput!$M$24-ArtifactsInput!$M$24)*CHOOSE(ArtifactsInput!$N$24+1,10,12,14,16,18,20)+(IF(AND(Inputs!$B$38&lt;&gt;"pvp",Inputs!$B$43=0),1,IF(IF(Inputs!$B$38="pvp",15,Inputs!$B$43)-(B3343)&lt;=0,1,MAX(0,IF(Inputs!$B$38="pvp",15,Inputs!$B$43)-MAX(5,B3343))/(IF(Inputs!$B$38="pvp",15,Inputs!$B$43)-(B3343))))*IF(AND(ArtifactsInput!$M$42,((Inputs!$B$9+((C3324=TRUE)*(F3324-Calc!F19))+B3336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316">
        <f>IF(C3316,(H3316*N3316*IF(AND(Inputs!$B$38&lt;&gt;"pvp",Inputs!$B$43&gt;0),((Skills!G11*((R3316-1)*IF(Skills!H11&gt;0,INT(Skills!I11/Skills!H11+0.000000001),1)+IF(Skills!H11&gt;0,INT(MIN(Skills!I11,MAX(0,MAX(0,Inputs!$B$43-B3343)-((R3316-1)*((IF(Inputs!$B$38="pvp",15,MAX(0.1,Skills!D11-IF(TRUE=TRUE,4.5,0)))*(1-IF(AND(ArtifactsInput!$M$27,Inputs!$B$4="Chapter Hunt"),CHOOSE(ArtifactsInput!$N$27+1,20,24,28,32,36,40),0)/100))/B3347))))/Skills!H11+0.000000001),1)))/Inputs!$B$43),G3316*Q3316))*IF(Inputs!$B$38="pvp",1,(1+(Inputs!$B$21+Skills!Q11+(IF(ArtifactsInput!$M$33,CHOOSE(ArtifactsInput!$N$33+1,30,36,42,48,54,60),0))+(IF(AND(ArtifactsInput!$M$35,Inputs!$B$4&lt;&gt;"Chapter Hunt"),CHOOSE(ArtifactsInput!$N$35+1,15,18,21,24,27,30)*(1-EXP(-(0.2*B3338)*5)),0)+IF(AND(ArtifactsInput!$M$22,Inputs!$B$4&lt;&gt;"Chapter Hunt"),CHOOSE(ArtifactsInput!$N$22+1,10,12,14,16,18,20)*((0*(((0.15*B3338*5))^0/1)+1*(((0.15*B3338*5))^1/1)+2*(((0.15*B3338*5))^2/2)+3*(((0.15*B3338*5))^3/6)+4*(((0.15*B3338*5))^4/24)+5*(((0.15*B3338*5))^5/120))/((((0.15*B3338*5))^0/1)+(((0.15*B3338*5))^1/1)+(((0.15*B3338*5))^2/2)+(((0.15*B3338*5))^3/6)+(((0.15*B3338*5))^4/24)+(((0.15*B3338*5))^5/120))),0))+IF(Inputs!$B$3&gt;=54,9*(C3308=TRUE)*MIN(1,8*(1+Inputs!$B$34/100)*Q3308),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317">
      <c r="A3317">
        <f>Skills!A12</f>
        <v/>
      </c>
      <c r="B3317">
        <f>Skills!B12</f>
        <v/>
      </c>
      <c r="C3317">
        <f>Inputs!$B$3&gt;=110</f>
        <v/>
      </c>
      <c r="D3317">
        <f>IF(Skills!C12=1,60+Inputs!$B$25+Inputs!$B$29,IF(Skills!C12=2,90+Inputs!$B$26+Inputs!$B$29,IF(Skills!C12=3,120+Inputs!$B$27+Inputs!$B$29,MAX(0,(Inputs!$B$3-100)*3)+Inputs!$B$28+Inputs!$B$29)))</f>
        <v/>
      </c>
      <c r="E3317">
        <f>INDEX(FactorTable!$B$2:$Y$301, MATCH(ROUND(MIN(300,MAX(1,D3317)),0), FactorTable!$A$2:$A$301,0), Skills!M12+1)</f>
        <v/>
      </c>
      <c r="F3317">
        <f>IF(Skills!N12=TRUE,(Skills!L12/10)*(E3317/1000),Skills!L12/10)+Skills!O12</f>
        <v/>
      </c>
      <c r="G3317">
        <f>Skills!G12*IF(Skills!H12&gt;0,INT(IF(Inputs!$B$38="pvp",MIN(Skills!I12,15),Skills!I12)/Skills!H12+0.000000001),1)</f>
        <v/>
      </c>
      <c r="H3317">
        <f>1-(1-Skills!J12/100)^Skills!K12</f>
        <v/>
      </c>
      <c r="I3317" t="inlineStr">
        <is>
          <t>1</t>
        </is>
      </c>
      <c r="J3317">
        <f>((Inputs!$B$6*(1+Inputs!$B$7/100))+(((Inputs!$B$12*(1+Inputs!$B$13/100))-(Inputs!$B$12*(1+Inputs!$B$13/100)))+0.25*(Inputs!$B$14-Inputs!$B$14))*(1+Inputs!$B$7/100))*(F3317/100)</f>
        <v/>
      </c>
      <c r="K3317">
        <f>J3317*(1+((Inputs!$B$12*(1+Inputs!$B$13/100))*0.01+Inputs!$B$14*0.0025)/100)*(1+Inputs!$B$15/100)*(1+Inputs!$B$16/100)*(5000/(6000+Inputs!$B$42*(1-(100*(1-(1-(Inputs!$B$19+0)/100)*(1-CHOOSE(ArtifactsInput!$N$40+1,5,6,7,8,9,10)/100)^(ArtifactsInput!$M$40-ArtifactsInput!$M$40)))/100)))*(1+(Inputs!$B$24+((C3331=TRUE)*(F3331-Calc!F26))+B3342)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EIGHT_LEGS_EASTON",Inputs!$B$17+((C3328=TRUE)*(F3328-Calc!F23))+((C3332=TRUE)*(F3332-Calc!F27))+((IF(AND(Inputs!$B$38&lt;&gt;"pvp",Inputs!$B$43=0),1,IF(IF(Inputs!$B$38="pvp",15,Inputs!$B$43)-(B3343)&lt;=0,1,MAX(0,IF(Inputs!$B$38="pvp",15,Inputs!$B$43)-MAX(5,B3343))/(IF(Inputs!$B$38="pvp",15,Inputs!$B$43)-(B3343))))*(IF(AND(ArtifactsInput!$M$42,((Inputs!$B$9+((C3324=TRUE)*(F3324-Calc!F19))+B3336+(ArtifactsInput!$M$24-ArtifactsInput!$M$24)*CHOOSE(ArtifactsInput!$N$24+1,10,12,14,16,18,20)+IF(ArtifactsInput!$M$10,CHOOSE(ArtifactsInput!$N$10+1,15,18,21,24,27,30)*(IF(Inputs!$B$38="pvp",MIN(15,15)/15,IF(AND(Inputs!$B$38&lt;&gt;"pvp",Inputs!$B$43&gt;0),MIN(15,Inputs!$B$43)/(Inputs!$B$43),0))),0)))&gt;=100),MIN(100,((Inputs!$B$9+((C3324=TRUE)*(F3324-Calc!F19))+B3336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3343)&lt;=0,1,MAX(0,IF(Inputs!$B$38="pvp",15,Inputs!$B$43)-MAX(5,B3343))/(IF(Inputs!$B$38="pvp",15,Inputs!$B$43)-(B3343))))*IF(AND(ArtifactsInput!$M$42,((Inputs!$B$9+((C3324=TRUE)*(F3324-Calc!F19))+B3336+(ArtifactsInput!$M$24-ArtifactsInput!$M$24)*CHOOSE(ArtifactsInput!$N$24+1,10,12,14,16,18,20)+IF(ArtifactsInput!$M$10,CHOOSE(ArtifactsInput!$N$10+1,15,18,21,24,27,30)*(IF(Inputs!$B$38="pvp",MIN(15,15)/15,IF(AND(Inputs!$B$38&lt;&gt;"pvp",Inputs!$B$43&gt;0),MIN(15,Inputs!$B$43)/(Inputs!$B$43),0))),0)))&gt;=100),CHOOSE(ArtifactsInput!$N$42+1,40,48,56,64,72,80),0))))/100)*((1+(((C3322=TRUE)*F3322*5/7)+((C3329=TRUE)*(F3329-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3317)</f>
        <v/>
      </c>
      <c r="L3317">
        <f>K3317*(MIN(Inputs!$B$22+((C3327=TRUE)*(F3327-Calc!F22)),(Inputs!$B$23+0+(IF(ArtifactsInput!$M$15,CHOOSE(ArtifactsInput!$N$15+1,25,30,35,40,45,50)/100*(Inputs!$B$11-Inputs!$B$11),0))))/100+(Inputs!$B$23+0+(IF(ArtifactsInput!$M$15,CHOOSE(ArtifactsInput!$N$15+1,25,30,35,40,45,50)/100*(Inputs!$B$11-Inputs!$B$11),0)))/100)/2</f>
        <v/>
      </c>
      <c r="M3317">
        <f>L3317*(1+(Inputs!$B$10+((C3330=TRUE)*(F3330-Calc!F25))+B3341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317">
        <f>L3317*(1-MIN((Inputs!$B$9+((C3324=TRUE)*(F3324-Calc!F19))+B3336+(ArtifactsInput!$M$24-ArtifactsInput!$M$24)*CHOOSE(ArtifactsInput!$N$24+1,10,12,14,16,18,20)+(IF(AND(Inputs!$B$38&lt;&gt;"pvp",Inputs!$B$43=0),1,IF(IF(Inputs!$B$38="pvp",15,Inputs!$B$43)-(B3343)&lt;=0,1,MAX(0,IF(Inputs!$B$38="pvp",15,Inputs!$B$43)-MAX(5,B3343))/(IF(Inputs!$B$38="pvp",15,Inputs!$B$43)-(B3343))))*IF(AND(ArtifactsInput!$M$42,((Inputs!$B$9+((C3324=TRUE)*(F3324-Calc!F19))+B3336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3317*(MIN((Inputs!$B$9+((C3324=TRUE)*(F3324-Calc!F19))+B3336+(ArtifactsInput!$M$24-ArtifactsInput!$M$24)*CHOOSE(ArtifactsInput!$N$24+1,10,12,14,16,18,20)+(IF(AND(Inputs!$B$38&lt;&gt;"pvp",Inputs!$B$43=0),1,IF(IF(Inputs!$B$38="pvp",15,Inputs!$B$43)-(B3343)&lt;=0,1,MAX(0,IF(Inputs!$B$38="pvp",15,Inputs!$B$43)-MAX(5,B3343))/(IF(Inputs!$B$38="pvp",15,Inputs!$B$43)-(B3343))))*IF(AND(ArtifactsInput!$M$42,((Inputs!$B$9+((C3324=TRUE)*(F3324-Calc!F19))+B3336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317">
        <f>(1-Summary!$B$11)*T3317+Summary!$B$11*V3317</f>
        <v/>
      </c>
      <c r="P3317">
        <f>IF(B3346=0,0,O3317/B3346)</f>
        <v/>
      </c>
      <c r="Q3317">
        <f>IFERROR(1/(IF(Inputs!$B$38="pvp",15,MAX(0.1,Skills!D12-IF(TRUE=TRUE,4.5,0)))*(1-IF(AND(ArtifactsInput!$M$27,Inputs!$B$4="Chapter Hunt"),CHOOSE(ArtifactsInput!$N$27+1,20,24,28,32,36,40),0)/100)),0)</f>
        <v/>
      </c>
      <c r="R3317">
        <f>IF(AND(Inputs!$B$38&lt;&gt;"pvp",Inputs!$B$43&gt;0),IF(MAX(0,Inputs!$B$43-B3343)&lt;=0,0,(INT(MAX(0,Inputs!$B$43-B3343)/(IF(Inputs!$B$38="pvp",15,MAX(0.1,Skills!D12-IF(TRUE=TRUE,4.5,0)))*(1-IF(AND(ArtifactsInput!$M$27,Inputs!$B$4="Chapter Hunt"),CHOOSE(ArtifactsInput!$N$27+1,20,24,28,32,36,40),0)/100)))+1)),0)</f>
        <v/>
      </c>
      <c r="S3317">
        <f>IFERROR(O3317/N3317,0)</f>
        <v/>
      </c>
      <c r="T3317">
        <f>IF(C3317,(H3317*N3317*IF(AND(Inputs!$B$38&lt;&gt;"pvp",Inputs!$B$43&gt;0),((Skills!G12*((R3317-1)*IF(Skills!H12&gt;0,INT(Skills!I12/Skills!H12+0.000000001),1)+IF(Skills!H12&gt;0,INT(MIN(Skills!I12,MAX(0,MAX(0,Inputs!$B$43-B3343)-((R3317-1)*(IF(Inputs!$B$38="pvp",15,MAX(0.1,Skills!D12-IF(TRUE=TRUE,4.5,0)))*(1-IF(AND(ArtifactsInput!$M$27,Inputs!$B$4="Chapter Hunt"),CHOOSE(ArtifactsInput!$N$27+1,20,24,28,32,36,40),0)/100)))))/Skills!H12+0.000000001),1)))/Inputs!$B$43),G3317*Q3317))*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Hunt"),CHOOSE(ArtifactsInput!$N$35+1,15,18,21,24,27,30)*(1-EXP(-(0.2*B3338)*5)),0)+IF(AND(ArtifactsInput!$M$22,Inputs!$B$4&lt;&gt;"Chapter Hunt"),CHOOSE(ArtifactsInput!$N$22+1,10,12,14,16,18,20)*((0*(((0.15*B3338*5))^0/1)+1*(((0.15*B3338*5))^1/1)+2*(((0.15*B3338*5))^2/2)+3*(((0.15*B3338*5))^3/6)+4*(((0.15*B3338*5))^4/24)+5*(((0.15*B3338*5))^5/120))/((((0.15*B3338*5))^0/1)+(((0.15*B3338*5))^1/1)+(((0.15*B3338*5))^2/2)+(((0.15*B3338*5))^3/6)+(((0.15*B3338*5))^4/24)+(((0.15*B3338*5))^5/120))),0))+IF(Inputs!$B$3&gt;=54,9*(C3308=TRUE)*MIN(1,8*(1+Inputs!$B$34/100)*Q3308)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3317*(1-MIN(100,(Inputs!$B$9+((C3324=TRUE)*(F3324-Calc!F19))+B3336+(ArtifactsInput!$M$24-ArtifactsInput!$M$24)*CHOOSE(ArtifactsInput!$N$24+1,10,12,14,16,18,20)+(IF(AND(Inputs!$B$38&lt;&gt;"pvp",Inputs!$B$43=0),1,IF(IF(Inputs!$B$38="pvp",15,Inputs!$B$43)-(B3343)&lt;=0,1,MAX(0,IF(Inputs!$B$38="pvp",15,Inputs!$B$43)-MAX(5,B3343))/(IF(Inputs!$B$38="pvp",15,Inputs!$B$43)-(B3343))))*IF(AND(ArtifactsInput!$M$42,((Inputs!$B$9+((C3324=TRUE)*(F3324-Calc!F19))+B3336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3317*(MIN(100,(Inputs!$B$9+((C3324=TRUE)*(F3324-Calc!F19))+B3336+(ArtifactsInput!$M$24-ArtifactsInput!$M$24)*CHOOSE(ArtifactsInput!$N$24+1,10,12,14,16,18,20)+(IF(AND(Inputs!$B$38&lt;&gt;"pvp",Inputs!$B$43=0),1,IF(IF(Inputs!$B$38="pvp",15,Inputs!$B$43)-(B3343)&lt;=0,1,MAX(0,IF(Inputs!$B$38="pvp",15,Inputs!$B$43)-MAX(5,B3343))/(IF(Inputs!$B$38="pvp",15,Inputs!$B$43)-(B3343))))*IF(AND(ArtifactsInput!$M$42,((Inputs!$B$9+((C3324=TRUE)*(F3324-Calc!F19))+B3336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3317*(1-MIN(100,(Inputs!$B$9+((C3324=TRUE)*(F3324-Calc!F19))+B3336+(ArtifactsInput!$M$24-ArtifactsInput!$M$24)*CHOOSE(ArtifactsInput!$N$24+1,10,12,14,16,18,20)+(IF(AND(Inputs!$B$38&lt;&gt;"pvp",Inputs!$B$43=0),1,IF(IF(Inputs!$B$38="pvp",15,Inputs!$B$43)-(B3343)&lt;=0,1,MAX(0,IF(Inputs!$B$38="pvp",15,Inputs!$B$43)-MAX(5,B3343))/(IF(Inputs!$B$38="pvp",15,Inputs!$B$43)-(B3343))))*IF(AND(ArtifactsInput!$M$42,((Inputs!$B$9+((C3324=TRUE)*(F3324-Calc!F19))+B3336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3317*(MIN(100,(Inputs!$B$9+((C3324=TRUE)*(F3324-Calc!F19))+B3336+(ArtifactsInput!$M$24-ArtifactsInput!$M$24)*CHOOSE(ArtifactsInput!$N$24+1,10,12,14,16,18,20)+(IF(AND(Inputs!$B$38&lt;&gt;"pvp",Inputs!$B$43=0),1,IF(IF(Inputs!$B$38="pvp",15,Inputs!$B$43)-(B3343)&lt;=0,1,MAX(0,IF(Inputs!$B$38="pvp",15,Inputs!$B$43)-MAX(5,B3343))/(IF(Inputs!$B$38="pvp",15,Inputs!$B$43)-(B3343))))*IF(AND(ArtifactsInput!$M$42,((Inputs!$B$9+((C3324=TRUE)*(F3324-Calc!F19))+B3336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317">
        <f>IF(C3317,(H3317*N3317*IF(AND(Inputs!$B$38&lt;&gt;"pvp",Inputs!$B$43&gt;0),((Skills!G12*((R3317-1)*IF(Skills!H12&gt;0,INT(Skills!I12/Skills!H12+0.000000001),1)+IF(Skills!H12&gt;0,INT(MIN(Skills!I12,MAX(0,MAX(0,Inputs!$B$43-B3343)-((R3317-1)*(IF(Inputs!$B$38="pvp",15,MAX(0.1,Skills!D12-IF(TRUE=TRUE,4.5,0)))*(1-IF(AND(ArtifactsInput!$M$27,Inputs!$B$4="Chapter Hunt"),CHOOSE(ArtifactsInput!$N$27+1,20,24,28,32,36,40),0)/100)))))/Skills!H12+0.000000001),1)))/Inputs!$B$43),G3317*Q3317))*IF(Inputs!$B$38="pvp",1,(1+(Inputs!$B$21+Skills!Q12+(IF(ArtifactsInput!$M$33,CHOOSE(ArtifactsInput!$N$33+1,30,36,42,48,54,60),0))+(IF(AND(ArtifactsInput!$M$35,Inputs!$B$4&lt;&gt;"Chapter Hunt"),CHOOSE(ArtifactsInput!$N$35+1,15,18,21,24,27,30)*(1-EXP(-(0.2*B3338)*5)),0)+IF(AND(ArtifactsInput!$M$22,Inputs!$B$4&lt;&gt;"Chapter Hunt"),CHOOSE(ArtifactsInput!$N$22+1,10,12,14,16,18,20)*((0*(((0.15*B3338*5))^0/1)+1*(((0.15*B3338*5))^1/1)+2*(((0.15*B3338*5))^2/2)+3*(((0.15*B3338*5))^3/6)+4*(((0.15*B3338*5))^4/24)+5*(((0.15*B3338*5))^5/120))/((((0.15*B3338*5))^0/1)+(((0.15*B3338*5))^1/1)+(((0.15*B3338*5))^2/2)+(((0.15*B3338*5))^3/6)+(((0.15*B3338*5))^4/24)+(((0.15*B3338*5))^5/120))),0))+IF(Inputs!$B$3&gt;=54,9*(C3308=TRUE)*MIN(1,8*(1+Inputs!$B$34/100)*Q3308),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318">
      <c r="A3318">
        <f>Skills!A13</f>
        <v/>
      </c>
      <c r="B3318">
        <f>Skills!B13</f>
        <v/>
      </c>
      <c r="C3318">
        <f>Inputs!$B$3&gt;=110</f>
        <v/>
      </c>
      <c r="D3318">
        <f>IF(Skills!C13=1,60+Inputs!$B$25+Inputs!$B$29,IF(Skills!C13=2,90+Inputs!$B$26+Inputs!$B$29,IF(Skills!C13=3,120+Inputs!$B$27+Inputs!$B$29,MAX(0,(Inputs!$B$3-100)*3)+Inputs!$B$28+Inputs!$B$29)))</f>
        <v/>
      </c>
      <c r="E3318">
        <f>INDEX(FactorTable!$B$2:$Y$301, MATCH(ROUND(MIN(300,MAX(1,D3318)),0), FactorTable!$A$2:$A$301,0), Skills!M13+1)</f>
        <v/>
      </c>
      <c r="F3318">
        <f>IF(Skills!N13=TRUE,(Skills!L13/10)*(E3318/1000),Skills!L13/10)+Skills!O13</f>
        <v/>
      </c>
      <c r="G3318">
        <f>Skills!G13*IF(Skills!H13&gt;0,INT(IF(Inputs!$B$38="pvp",MIN(Skills!I13,15),Skills!I13)/Skills!H13+0.000000001),1)</f>
        <v/>
      </c>
      <c r="H3318">
        <f>1-(1-Skills!J13/100)^Skills!K13</f>
        <v/>
      </c>
      <c r="I3318" t="inlineStr">
        <is>
          <t>1</t>
        </is>
      </c>
      <c r="J3318">
        <f>((Inputs!$B$6*(1+Inputs!$B$7/100))+(((Inputs!$B$12*(1+Inputs!$B$13/100))-(Inputs!$B$12*(1+Inputs!$B$13/100)))+0.25*(Inputs!$B$14-Inputs!$B$14))*(1+Inputs!$B$7/100))*(F3318/100)</f>
        <v/>
      </c>
      <c r="K3318">
        <f>J3318*(1+((Inputs!$B$12*(1+Inputs!$B$13/100))*0.01+Inputs!$B$14*0.0025)/100)*(1+Inputs!$B$15/100)*(1+Inputs!$B$16/100)*(5000/(6000+Inputs!$B$42*(1-(100*(1-(1-(Inputs!$B$19+0)/100)*(1-CHOOSE(ArtifactsInput!$N$40+1,5,6,7,8,9,10)/100)^(ArtifactsInput!$M$40-ArtifactsInput!$M$40)))/100)))*(1+(Inputs!$B$24+((C3331=TRUE)*(F3331-Calc!F26))+B3342)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EIGHT_LEGS_EASTON",Inputs!$B$17+((C3328=TRUE)*(F3328-Calc!F23))+((C3332=TRUE)*(F3332-Calc!F27))+((IF(AND(Inputs!$B$38&lt;&gt;"pvp",Inputs!$B$43=0),1,IF(IF(Inputs!$B$38="pvp",15,Inputs!$B$43)-(B3343)&lt;=0,1,MAX(0,IF(Inputs!$B$38="pvp",15,Inputs!$B$43)-MAX(5,B3343))/(IF(Inputs!$B$38="pvp",15,Inputs!$B$43)-(B3343))))*(IF(AND(ArtifactsInput!$M$42,((Inputs!$B$9+((C3324=TRUE)*(F3324-Calc!F19))+B3336+(ArtifactsInput!$M$24-ArtifactsInput!$M$24)*CHOOSE(ArtifactsInput!$N$24+1,10,12,14,16,18,20)+IF(ArtifactsInput!$M$10,CHOOSE(ArtifactsInput!$N$10+1,15,18,21,24,27,30)*(IF(Inputs!$B$38="pvp",MIN(15,15)/15,IF(AND(Inputs!$B$38&lt;&gt;"pvp",Inputs!$B$43&gt;0),MIN(15,Inputs!$B$43)/(Inputs!$B$43),0))),0)))&gt;=100),MIN(100,((Inputs!$B$9+((C3324=TRUE)*(F3324-Calc!F19))+B3336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3343)&lt;=0,1,MAX(0,IF(Inputs!$B$38="pvp",15,Inputs!$B$43)-MAX(5,B3343))/(IF(Inputs!$B$38="pvp",15,Inputs!$B$43)-(B3343))))*IF(AND(ArtifactsInput!$M$42,((Inputs!$B$9+((C3324=TRUE)*(F3324-Calc!F19))+B3336+(ArtifactsInput!$M$24-ArtifactsInput!$M$24)*CHOOSE(ArtifactsInput!$N$24+1,10,12,14,16,18,20)+IF(ArtifactsInput!$M$10,CHOOSE(ArtifactsInput!$N$10+1,15,18,21,24,27,30)*(IF(Inputs!$B$38="pvp",MIN(15,15)/15,IF(AND(Inputs!$B$38&lt;&gt;"pvp",Inputs!$B$43&gt;0),MIN(15,Inputs!$B$43)/(Inputs!$B$43),0))),0)))&gt;=100),CHOOSE(ArtifactsInput!$N$42+1,40,48,56,64,72,80),0))))/100)*((1+(((C3322=TRUE)*F3322*5/7)+((C3329=TRUE)*(F3329-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3318)</f>
        <v/>
      </c>
      <c r="L3318">
        <f>K3318*(MIN(Inputs!$B$22+((C3327=TRUE)*(F3327-Calc!F22)),(Inputs!$B$23+0+(IF(ArtifactsInput!$M$15,CHOOSE(ArtifactsInput!$N$15+1,25,30,35,40,45,50)/100*(Inputs!$B$11-Inputs!$B$11),0))))/100+(Inputs!$B$23+0+(IF(ArtifactsInput!$M$15,CHOOSE(ArtifactsInput!$N$15+1,25,30,35,40,45,50)/100*(Inputs!$B$11-Inputs!$B$11),0)))/100)/2</f>
        <v/>
      </c>
      <c r="M3318">
        <f>L3318*(1+(Inputs!$B$10+((C3330=TRUE)*(F3330-Calc!F25))+B3341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318">
        <f>L3318*(1-MIN((Inputs!$B$9+((C3324=TRUE)*(F3324-Calc!F19))+B3336+(ArtifactsInput!$M$24-ArtifactsInput!$M$24)*CHOOSE(ArtifactsInput!$N$24+1,10,12,14,16,18,20)+(IF(AND(Inputs!$B$38&lt;&gt;"pvp",Inputs!$B$43=0),1,IF(IF(Inputs!$B$38="pvp",15,Inputs!$B$43)-(B3343)&lt;=0,1,MAX(0,IF(Inputs!$B$38="pvp",15,Inputs!$B$43)-MAX(5,B3343))/(IF(Inputs!$B$38="pvp",15,Inputs!$B$43)-(B3343))))*IF(AND(ArtifactsInput!$M$42,((Inputs!$B$9+((C3324=TRUE)*(F3324-Calc!F19))+B3336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3318*(MIN((Inputs!$B$9+((C3324=TRUE)*(F3324-Calc!F19))+B3336+(ArtifactsInput!$M$24-ArtifactsInput!$M$24)*CHOOSE(ArtifactsInput!$N$24+1,10,12,14,16,18,20)+(IF(AND(Inputs!$B$38&lt;&gt;"pvp",Inputs!$B$43=0),1,IF(IF(Inputs!$B$38="pvp",15,Inputs!$B$43)-(B3343)&lt;=0,1,MAX(0,IF(Inputs!$B$38="pvp",15,Inputs!$B$43)-MAX(5,B3343))/(IF(Inputs!$B$38="pvp",15,Inputs!$B$43)-(B3343))))*IF(AND(ArtifactsInput!$M$42,((Inputs!$B$9+((C3324=TRUE)*(F3324-Calc!F19))+B3336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318">
        <f>(1-Summary!$B$11)*T3318+Summary!$B$11*V3318</f>
        <v/>
      </c>
      <c r="P3318">
        <f>IF(B3346=0,0,O3318/B3346)</f>
        <v/>
      </c>
      <c r="Q3318">
        <f>IFERROR(1/(IF(Inputs!$B$38="pvp",15,MAX(0.1,Skills!D13-IF(TRUE=TRUE,4.5,0)))*(1-IF(AND(ArtifactsInput!$M$27,Inputs!$B$4="Chapter Hunt"),CHOOSE(ArtifactsInput!$N$27+1,20,24,28,32,36,40),0)/100)),0)</f>
        <v/>
      </c>
      <c r="R3318">
        <f>IF(AND(Inputs!$B$38&lt;&gt;"pvp",Inputs!$B$43&gt;0),IF(MAX(0,Inputs!$B$43-B3343)&lt;=0,0,(INT(MAX(0,Inputs!$B$43-B3343)/(IF(Inputs!$B$38="pvp",15,MAX(0.1,Skills!D13-IF(TRUE=TRUE,4.5,0)))*(1-IF(AND(ArtifactsInput!$M$27,Inputs!$B$4="Chapter Hunt"),CHOOSE(ArtifactsInput!$N$27+1,20,24,28,32,36,40),0)/100)))+1)),0)</f>
        <v/>
      </c>
      <c r="S3318">
        <f>IFERROR(O3318/N3318,0)</f>
        <v/>
      </c>
      <c r="T3318">
        <f>IF(C3318,(H3318*N3318*IF(AND(Inputs!$B$38&lt;&gt;"pvp",Inputs!$B$43&gt;0),((Skills!G13*((R3318-1)*IF(Skills!H13&gt;0,INT(Skills!I13/Skills!H13+0.000000001),1)+IF(Skills!H13&gt;0,INT(MIN(Skills!I13,MAX(0,MAX(0,Inputs!$B$43-B3343)-((R3318-1)*(IF(Inputs!$B$38="pvp",15,MAX(0.1,Skills!D13-IF(TRUE=TRUE,4.5,0)))*(1-IF(AND(ArtifactsInput!$M$27,Inputs!$B$4="Chapter Hunt"),CHOOSE(ArtifactsInput!$N$27+1,20,24,28,32,36,40),0)/100)))))/Skills!H13+0.000000001),1)))/Inputs!$B$43),G3318*Q3318))*IF(Inputs!$B$38="pvp",1,1+(Inputs!$B$20+0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Hunt"),CHOOSE(ArtifactsInput!$N$35+1,15,18,21,24,27,30)*(1-EXP(-(0.2*B3338)*5)),0)+IF(AND(ArtifactsInput!$M$22,Inputs!$B$4&lt;&gt;"Chapter Hunt"),CHOOSE(ArtifactsInput!$N$22+1,10,12,14,16,18,20)*((0*(((0.15*B3338*5))^0/1)+1*(((0.15*B3338*5))^1/1)+2*(((0.15*B3338*5))^2/2)+3*(((0.15*B3338*5))^3/6)+4*(((0.15*B3338*5))^4/24)+5*(((0.15*B3338*5))^5/120))/((((0.15*B3338*5))^0/1)+(((0.15*B3338*5))^1/1)+(((0.15*B3338*5))^2/2)+(((0.15*B3338*5))^3/6)+(((0.15*B3338*5))^4/24)+(((0.15*B3338*5))^5/120))),0))+IF(Inputs!$B$3&gt;=54,9*(C3308=TRUE)*MIN(1,8*(1+Inputs!$B$34/100)*Q3308)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3318*(1-MIN(100,(Inputs!$B$9+((C3324=TRUE)*(F3324-Calc!F19))+B3336+(ArtifactsInput!$M$24-ArtifactsInput!$M$24)*CHOOSE(ArtifactsInput!$N$24+1,10,12,14,16,18,20)+(IF(AND(Inputs!$B$38&lt;&gt;"pvp",Inputs!$B$43=0),1,IF(IF(Inputs!$B$38="pvp",15,Inputs!$B$43)-(B3343)&lt;=0,1,MAX(0,IF(Inputs!$B$38="pvp",15,Inputs!$B$43)-MAX(5,B3343))/(IF(Inputs!$B$38="pvp",15,Inputs!$B$43)-(B3343))))*IF(AND(ArtifactsInput!$M$42,((Inputs!$B$9+((C3324=TRUE)*(F3324-Calc!F19))+B3336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3318*(MIN(100,(Inputs!$B$9+((C3324=TRUE)*(F3324-Calc!F19))+B3336+(ArtifactsInput!$M$24-ArtifactsInput!$M$24)*CHOOSE(ArtifactsInput!$N$24+1,10,12,14,16,18,20)+(IF(AND(Inputs!$B$38&lt;&gt;"pvp",Inputs!$B$43=0),1,IF(IF(Inputs!$B$38="pvp",15,Inputs!$B$43)-(B3343)&lt;=0,1,MAX(0,IF(Inputs!$B$38="pvp",15,Inputs!$B$43)-MAX(5,B3343))/(IF(Inputs!$B$38="pvp",15,Inputs!$B$43)-(B3343))))*IF(AND(ArtifactsInput!$M$42,((Inputs!$B$9+((C3324=TRUE)*(F3324-Calc!F19))+B3336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3318*(1-MIN(100,(Inputs!$B$9+((C3324=TRUE)*(F3324-Calc!F19))+B3336+(ArtifactsInput!$M$24-ArtifactsInput!$M$24)*CHOOSE(ArtifactsInput!$N$24+1,10,12,14,16,18,20)+(IF(AND(Inputs!$B$38&lt;&gt;"pvp",Inputs!$B$43=0),1,IF(IF(Inputs!$B$38="pvp",15,Inputs!$B$43)-(B3343)&lt;=0,1,MAX(0,IF(Inputs!$B$38="pvp",15,Inputs!$B$43)-MAX(5,B3343))/(IF(Inputs!$B$38="pvp",15,Inputs!$B$43)-(B3343))))*IF(AND(ArtifactsInput!$M$42,((Inputs!$B$9+((C3324=TRUE)*(F3324-Calc!F19))+B3336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3318*(MIN(100,(Inputs!$B$9+((C3324=TRUE)*(F3324-Calc!F19))+B3336+(ArtifactsInput!$M$24-ArtifactsInput!$M$24)*CHOOSE(ArtifactsInput!$N$24+1,10,12,14,16,18,20)+(IF(AND(Inputs!$B$38&lt;&gt;"pvp",Inputs!$B$43=0),1,IF(IF(Inputs!$B$38="pvp",15,Inputs!$B$43)-(B3343)&lt;=0,1,MAX(0,IF(Inputs!$B$38="pvp",15,Inputs!$B$43)-MAX(5,B3343))/(IF(Inputs!$B$38="pvp",15,Inputs!$B$43)-(B3343))))*IF(AND(ArtifactsInput!$M$42,((Inputs!$B$9+((C3324=TRUE)*(F3324-Calc!F19))+B3336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318">
        <f>IF(C3318,(H3318*N3318*IF(AND(Inputs!$B$38&lt;&gt;"pvp",Inputs!$B$43&gt;0),((Skills!G13*((R3318-1)*IF(Skills!H13&gt;0,INT(Skills!I13/Skills!H13+0.000000001),1)+IF(Skills!H13&gt;0,INT(MIN(Skills!I13,MAX(0,MAX(0,Inputs!$B$43-B3343)-((R3318-1)*(IF(Inputs!$B$38="pvp",15,MAX(0.1,Skills!D13-IF(TRUE=TRUE,4.5,0)))*(1-IF(AND(ArtifactsInput!$M$27,Inputs!$B$4="Chapter Hunt"),CHOOSE(ArtifactsInput!$N$27+1,20,24,28,32,36,40),0)/100)))))/Skills!H13+0.000000001),1)))/Inputs!$B$43),G3318*Q3318))*IF(Inputs!$B$38="pvp",1,(1+(Inputs!$B$21+Skills!Q13+(IF(ArtifactsInput!$M$33,CHOOSE(ArtifactsInput!$N$33+1,30,36,42,48,54,60),0))+(IF(AND(ArtifactsInput!$M$35,Inputs!$B$4&lt;&gt;"Chapter Hunt"),CHOOSE(ArtifactsInput!$N$35+1,15,18,21,24,27,30)*(1-EXP(-(0.2*B3338)*5)),0)+IF(AND(ArtifactsInput!$M$22,Inputs!$B$4&lt;&gt;"Chapter Hunt"),CHOOSE(ArtifactsInput!$N$22+1,10,12,14,16,18,20)*((0*(((0.15*B3338*5))^0/1)+1*(((0.15*B3338*5))^1/1)+2*(((0.15*B3338*5))^2/2)+3*(((0.15*B3338*5))^3/6)+4*(((0.15*B3338*5))^4/24)+5*(((0.15*B3338*5))^5/120))/((((0.15*B3338*5))^0/1)+(((0.15*B3338*5))^1/1)+(((0.15*B3338*5))^2/2)+(((0.15*B3338*5))^3/6)+(((0.15*B3338*5))^4/24)+(((0.15*B3338*5))^5/120))),0))+IF(Inputs!$B$3&gt;=54,9*(C3308=TRUE)*MIN(1,8*(1+Inputs!$B$34/100)*Q3308),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319">
      <c r="A3319">
        <f>Skills!A14</f>
        <v/>
      </c>
      <c r="B3319">
        <f>Skills!B14</f>
        <v/>
      </c>
      <c r="C3319">
        <f>Inputs!$B$3&gt;=120</f>
        <v/>
      </c>
      <c r="D3319">
        <f>IF(Skills!C14=1,60+Inputs!$B$25+Inputs!$B$29,IF(Skills!C14=2,90+Inputs!$B$26+Inputs!$B$29,IF(Skills!C14=3,120+Inputs!$B$27+Inputs!$B$29,MAX(0,(Inputs!$B$3-100)*3)+Inputs!$B$28+Inputs!$B$29)))</f>
        <v/>
      </c>
      <c r="E3319">
        <f>INDEX(FactorTable!$B$2:$Y$301, MATCH(ROUND(MIN(300,MAX(1,D3319)),0), FactorTable!$A$2:$A$301,0), Skills!M14+1)</f>
        <v/>
      </c>
      <c r="F3319">
        <f>IF(Skills!N14=TRUE,(Skills!L14/10)*(E3319/1000),Skills!L14/10)+Skills!O14</f>
        <v/>
      </c>
      <c r="G3319">
        <f>Skills!G14*IF(Skills!H14&gt;0,INT(IF(Inputs!$B$38="pvp",MIN(Skills!I14,15),Skills!I14)/Skills!H14+0.000000001),1)</f>
        <v/>
      </c>
      <c r="H3319">
        <f>1-(1-Skills!J14/100)^Skills!K14</f>
        <v/>
      </c>
      <c r="I3319" t="inlineStr">
        <is>
          <t>1</t>
        </is>
      </c>
      <c r="J3319">
        <f>((Inputs!$B$6*(1+Inputs!$B$7/100))+(((Inputs!$B$12*(1+Inputs!$B$13/100))-(Inputs!$B$12*(1+Inputs!$B$13/100)))+0.25*(Inputs!$B$14-Inputs!$B$14))*(1+Inputs!$B$7/100))*(F3319/100)</f>
        <v/>
      </c>
      <c r="K3319">
        <f>J3319*(1+((Inputs!$B$12*(1+Inputs!$B$13/100))*0.01+Inputs!$B$14*0.0025)/100)*(1+Inputs!$B$15/100)*(1+Inputs!$B$16/100)*(5000/(6000+Inputs!$B$42*(1-(100*(1-(1-(Inputs!$B$19+0)/100)*(1-CHOOSE(ArtifactsInput!$N$40+1,5,6,7,8,9,10)/100)^(ArtifactsInput!$M$40-ArtifactsInput!$M$40)))/100)))*(1+(Inputs!$B$24+((C3331=TRUE)*(F3331-Calc!F26))+B3342)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EIGHT_LEGS_EASTON",Inputs!$B$17+((C3328=TRUE)*(F3328-Calc!F23))+((C3332=TRUE)*(F3332-Calc!F27))+((IF(AND(Inputs!$B$38&lt;&gt;"pvp",Inputs!$B$43=0),1,IF(IF(Inputs!$B$38="pvp",15,Inputs!$B$43)-(B3343)&lt;=0,1,MAX(0,IF(Inputs!$B$38="pvp",15,Inputs!$B$43)-MAX(5,B3343))/(IF(Inputs!$B$38="pvp",15,Inputs!$B$43)-(B3343))))*(IF(AND(ArtifactsInput!$M$42,((Inputs!$B$9+((C3324=TRUE)*(F3324-Calc!F19))+B3336+(ArtifactsInput!$M$24-ArtifactsInput!$M$24)*CHOOSE(ArtifactsInput!$N$24+1,10,12,14,16,18,20)+IF(ArtifactsInput!$M$10,CHOOSE(ArtifactsInput!$N$10+1,15,18,21,24,27,30)*(IF(Inputs!$B$38="pvp",MIN(15,15)/15,IF(AND(Inputs!$B$38&lt;&gt;"pvp",Inputs!$B$43&gt;0),MIN(15,Inputs!$B$43)/(Inputs!$B$43),0))),0)))&gt;=100),MIN(100,((Inputs!$B$9+((C3324=TRUE)*(F3324-Calc!F19))+B3336+(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3343)&lt;=0,1,MAX(0,IF(Inputs!$B$38="pvp",15,Inputs!$B$43)-MAX(5,B3343))/(IF(Inputs!$B$38="pvp",15,Inputs!$B$43)-(B3343))))*IF(AND(ArtifactsInput!$M$42,((Inputs!$B$9+((C3324=TRUE)*(F3324-Calc!F19))+B3336+(ArtifactsInput!$M$24-ArtifactsInput!$M$24)*CHOOSE(ArtifactsInput!$N$24+1,10,12,14,16,18,20)+IF(ArtifactsInput!$M$10,CHOOSE(ArtifactsInput!$N$10+1,15,18,21,24,27,30)*(IF(Inputs!$B$38="pvp",MIN(15,15)/15,IF(AND(Inputs!$B$38&lt;&gt;"pvp",Inputs!$B$43&gt;0),MIN(15,Inputs!$B$43)/(Inputs!$B$43),0))),0)))&gt;=100),CHOOSE(ArtifactsInput!$N$42+1,40,48,56,64,72,80),0))))/100)*((1+(((C3322=TRUE)*F3322*5/7)+((C3329=TRUE)*(F3329-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3319)</f>
        <v/>
      </c>
      <c r="L3319">
        <f>K3319*(MIN(Inputs!$B$22+((C3327=TRUE)*(F3327-Calc!F22)),(Inputs!$B$23+0+(IF(ArtifactsInput!$M$15,CHOOSE(ArtifactsInput!$N$15+1,25,30,35,40,45,50)/100*(Inputs!$B$11-Inputs!$B$11),0))))/100+(Inputs!$B$23+0+(IF(ArtifactsInput!$M$15,CHOOSE(ArtifactsInput!$N$15+1,25,30,35,40,45,50)/100*(Inputs!$B$11-Inputs!$B$11),0)))/100)/2</f>
        <v/>
      </c>
      <c r="M3319">
        <f>L3319*(1+(Inputs!$B$10+((C3330=TRUE)*(F3330-Calc!F25))+B3341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319">
        <f>L3319*(1-MIN((Inputs!$B$9+((C3324=TRUE)*(F3324-Calc!F19))+B3336+(ArtifactsInput!$M$24-ArtifactsInput!$M$24)*CHOOSE(ArtifactsInput!$N$24+1,10,12,14,16,18,20)+(IF(AND(Inputs!$B$38&lt;&gt;"pvp",Inputs!$B$43=0),1,IF(IF(Inputs!$B$38="pvp",15,Inputs!$B$43)-(B3343)&lt;=0,1,MAX(0,IF(Inputs!$B$38="pvp",15,Inputs!$B$43)-MAX(5,B3343))/(IF(Inputs!$B$38="pvp",15,Inputs!$B$43)-(B3343))))*IF(AND(ArtifactsInput!$M$42,((Inputs!$B$9+((C3324=TRUE)*(F3324-Calc!F19))+B3336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3319*(MIN((Inputs!$B$9+((C3324=TRUE)*(F3324-Calc!F19))+B3336+(ArtifactsInput!$M$24-ArtifactsInput!$M$24)*CHOOSE(ArtifactsInput!$N$24+1,10,12,14,16,18,20)+(IF(AND(Inputs!$B$38&lt;&gt;"pvp",Inputs!$B$43=0),1,IF(IF(Inputs!$B$38="pvp",15,Inputs!$B$43)-(B3343)&lt;=0,1,MAX(0,IF(Inputs!$B$38="pvp",15,Inputs!$B$43)-MAX(5,B3343))/(IF(Inputs!$B$38="pvp",15,Inputs!$B$43)-(B3343))))*IF(AND(ArtifactsInput!$M$42,((Inputs!$B$9+((C3324=TRUE)*(F3324-Calc!F19))+B3336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319">
        <f>(1-Summary!$B$11)*T3319+Summary!$B$11*V3319</f>
        <v/>
      </c>
      <c r="P3319">
        <f>IF(B3346=0,0,O3319/B3346)</f>
        <v/>
      </c>
      <c r="Q3319" t="n">
        <v>0</v>
      </c>
      <c r="R3319" t="n">
        <v>0</v>
      </c>
      <c r="S3319">
        <f>IFERROR(O3319/N3319,0)</f>
        <v/>
      </c>
      <c r="T3319">
        <f>IF(C3319,((H3319*(B3340+IF(AND(Inputs!$B$38&lt;&gt;"pvp",Inputs!$B$43&gt;0),((Skills!G8*((R3313-1)*IF(Skills!H8&gt;0,INT(Skills!I8/Skills!H8+0.000000001),1)+IF(Skills!H8&gt;0,INT(MIN(Skills!I8,MAX(0,MAX(0,Inputs!$B$43-B3343)-((R3313-1)*((IF(Inputs!$B$38="pvp",15,MAX(0.1,Skills!D8-IF(TRUE=TRUE,4.5,0)))*(1-IF(AND(ArtifactsInput!$M$27,Inputs!$B$4="Chapter Hunt"),CHOOSE(ArtifactsInput!$N$27+1,20,24,28,32,36,40),0)/100))/B3347))))/Skills!H8+0.000000001),1)))/Inputs!$B$43),G3313*Q3313)+IF(AND(Inputs!$B$38&lt;&gt;"pvp",Inputs!$B$43&gt;0),((Skills!G11*((R3316-1)*IF(Skills!H11&gt;0,INT(Skills!I11/Skills!H11+0.000000001),1)+IF(Skills!H11&gt;0,INT(MIN(Skills!I11,MAX(0,MAX(0,Inputs!$B$43-B3343)-((R3316-1)*((IF(Inputs!$B$38="pvp",15,MAX(0.1,Skills!D11-IF(TRUE=TRUE,4.5,0)))*(1-IF(AND(ArtifactsInput!$M$27,Inputs!$B$4="Chapter Hunt"),CHOOSE(ArtifactsInput!$N$27+1,20,24,28,32,36,40),0)/100))/B3347))))/Skills!H11+0.000000001),1)))/Inputs!$B$43),G3316*Q3316)))/(1+Skills!H14*H3319*(B3340+IF(AND(Inputs!$B$38&lt;&gt;"pvp",Inputs!$B$43&gt;0),((Skills!G8*((R3313-1)*IF(Skills!H8&gt;0,INT(Skills!I8/Skills!H8+0.000000001),1)+IF(Skills!H8&gt;0,INT(MIN(Skills!I8,MAX(0,MAX(0,Inputs!$B$43-B3343)-((R3313-1)*((IF(Inputs!$B$38="pvp",15,MAX(0.1,Skills!D8-IF(TRUE=TRUE,4.5,0)))*(1-IF(AND(ArtifactsInput!$M$27,Inputs!$B$4="Chapter Hunt"),CHOOSE(ArtifactsInput!$N$27+1,20,24,28,32,36,40),0)/100))/B3347))))/Skills!H8+0.000000001),1)))/Inputs!$B$43),G3313*Q3313)+IF(AND(Inputs!$B$38&lt;&gt;"pvp",Inputs!$B$43&gt;0),((Skills!G11*((R3316-1)*IF(Skills!H11&gt;0,INT(Skills!I11/Skills!H11+0.000000001),1)+IF(Skills!H11&gt;0,INT(MIN(Skills!I11,MAX(0,MAX(0,Inputs!$B$43-B3343)-((R3316-1)*((IF(Inputs!$B$38="pvp",15,MAX(0.1,Skills!D11-IF(TRUE=TRUE,4.5,0)))*(1-IF(AND(ArtifactsInput!$M$27,Inputs!$B$4="Chapter Hunt"),CHOOSE(ArtifactsInput!$N$27+1,20,24,28,32,36,40),0)/100))/B3347))))/Skills!H11+0.000000001),1)))/Inputs!$B$43),G3316*Q3316)))*N3319)*IF(Inputs!$B$38="pvp",1,1+(Inputs!$B$20+0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Hunt"),CHOOSE(ArtifactsInput!$N$35+1,15,18,21,24,27,30)*(1-EXP(-(0.2*B3338)*5)),0)+IF(AND(ArtifactsInput!$M$22,Inputs!$B$4&lt;&gt;"Chapter Hunt"),CHOOSE(ArtifactsInput!$N$22+1,10,12,14,16,18,20)*((0*(((0.15*B3338*5))^0/1)+1*(((0.15*B3338*5))^1/1)+2*(((0.15*B3338*5))^2/2)+3*(((0.15*B3338*5))^3/6)+4*(((0.15*B3338*5))^4/24)+5*(((0.15*B3338*5))^5/120))/((((0.15*B3338*5))^0/1)+(((0.15*B3338*5))^1/1)+(((0.15*B3338*5))^2/2)+(((0.15*B3338*5))^3/6)+(((0.15*B3338*5))^4/24)+(((0.15*B3338*5))^5/120))),0))+IF(Inputs!$B$3&gt;=54,9*(C3308=TRUE)*MIN(1,8*(1+Inputs!$B$34/100)*Q3308),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3319*(1-MIN(100,(Inputs!$B$9+((C3324=TRUE)*(F3324-Calc!F19))+B3336+(ArtifactsInput!$M$24-ArtifactsInput!$M$24)*CHOOSE(ArtifactsInput!$N$24+1,10,12,14,16,18,20)+(IF(AND(Inputs!$B$38&lt;&gt;"pvp",Inputs!$B$43=0),1,IF(IF(Inputs!$B$38="pvp",15,Inputs!$B$43)-(B3343)&lt;=0,1,MAX(0,IF(Inputs!$B$38="pvp",15,Inputs!$B$43)-MAX(5,B3343))/(IF(Inputs!$B$38="pvp",15,Inputs!$B$43)-(B3343))))*IF(AND(ArtifactsInput!$M$42,((Inputs!$B$9+((C3324=TRUE)*(F3324-Calc!F19))+B3336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3319*(MIN(100,(Inputs!$B$9+((C3324=TRUE)*(F3324-Calc!F19))+B3336+(ArtifactsInput!$M$24-ArtifactsInput!$M$24)*CHOOSE(ArtifactsInput!$N$24+1,10,12,14,16,18,20)+(IF(AND(Inputs!$B$38&lt;&gt;"pvp",Inputs!$B$43=0),1,IF(IF(Inputs!$B$38="pvp",15,Inputs!$B$43)-(B3343)&lt;=0,1,MAX(0,IF(Inputs!$B$38="pvp",15,Inputs!$B$43)-MAX(5,B3343))/(IF(Inputs!$B$38="pvp",15,Inputs!$B$43)-(B3343))))*IF(AND(ArtifactsInput!$M$42,((Inputs!$B$9+((C3324=TRUE)*(F3324-Calc!F19))+B3336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3319*(1-MIN(100,(Inputs!$B$9+((C3324=TRUE)*(F3324-Calc!F19))+B3336+(ArtifactsInput!$M$24-ArtifactsInput!$M$24)*CHOOSE(ArtifactsInput!$N$24+1,10,12,14,16,18,20)+(IF(AND(Inputs!$B$38&lt;&gt;"pvp",Inputs!$B$43=0),1,IF(IF(Inputs!$B$38="pvp",15,Inputs!$B$43)-(B3343)&lt;=0,1,MAX(0,IF(Inputs!$B$38="pvp",15,Inputs!$B$43)-MAX(5,B3343))/(IF(Inputs!$B$38="pvp",15,Inputs!$B$43)-(B3343))))*IF(AND(ArtifactsInput!$M$42,((Inputs!$B$9+((C3324=TRUE)*(F3324-Calc!F19))+B3336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3319*(MIN(100,(Inputs!$B$9+((C3324=TRUE)*(F3324-Calc!F19))+B3336+(ArtifactsInput!$M$24-ArtifactsInput!$M$24)*CHOOSE(ArtifactsInput!$N$24+1,10,12,14,16,18,20)+(IF(AND(Inputs!$B$38&lt;&gt;"pvp",Inputs!$B$43=0),1,IF(IF(Inputs!$B$38="pvp",15,Inputs!$B$43)-(B3343)&lt;=0,1,MAX(0,IF(Inputs!$B$38="pvp",15,Inputs!$B$43)-MAX(5,B3343))/(IF(Inputs!$B$38="pvp",15,Inputs!$B$43)-(B3343))))*IF(AND(ArtifactsInput!$M$42,((Inputs!$B$9+((C3324=TRUE)*(F3324-Calc!F19))+B3336+(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319">
        <f>IF(C3319,((H3319*(B3340+IF(AND(Inputs!$B$38&lt;&gt;"pvp",Inputs!$B$43&gt;0),((Skills!G8*((R3313-1)*IF(Skills!H8&gt;0,INT(Skills!I8/Skills!H8+0.000000001),1)+IF(Skills!H8&gt;0,INT(MIN(Skills!I8,MAX(0,MAX(0,Inputs!$B$43-B3343)-((R3313-1)*((IF(Inputs!$B$38="pvp",15,MAX(0.1,Skills!D8-IF(TRUE=TRUE,4.5,0)))*(1-IF(AND(ArtifactsInput!$M$27,Inputs!$B$4="Chapter Hunt"),CHOOSE(ArtifactsInput!$N$27+1,20,24,28,32,36,40),0)/100))/B3347))))/Skills!H8+0.000000001),1)))/Inputs!$B$43),G3313*Q3313)+IF(AND(Inputs!$B$38&lt;&gt;"pvp",Inputs!$B$43&gt;0),((Skills!G11*((R3316-1)*IF(Skills!H11&gt;0,INT(Skills!I11/Skills!H11+0.000000001),1)+IF(Skills!H11&gt;0,INT(MIN(Skills!I11,MAX(0,MAX(0,Inputs!$B$43-B3343)-((R3316-1)*((IF(Inputs!$B$38="pvp",15,MAX(0.1,Skills!D11-IF(TRUE=TRUE,4.5,0)))*(1-IF(AND(ArtifactsInput!$M$27,Inputs!$B$4="Chapter Hunt"),CHOOSE(ArtifactsInput!$N$27+1,20,24,28,32,36,40),0)/100))/B3347))))/Skills!H11+0.000000001),1)))/Inputs!$B$43),G3316*Q3316)))/(1+Skills!H14*H3319*(B3340+IF(AND(Inputs!$B$38&lt;&gt;"pvp",Inputs!$B$43&gt;0),((Skills!G8*((R3313-1)*IF(Skills!H8&gt;0,INT(Skills!I8/Skills!H8+0.000000001),1)+IF(Skills!H8&gt;0,INT(MIN(Skills!I8,MAX(0,MAX(0,Inputs!$B$43-B3343)-((R3313-1)*((IF(Inputs!$B$38="pvp",15,MAX(0.1,Skills!D8-IF(TRUE=TRUE,4.5,0)))*(1-IF(AND(ArtifactsInput!$M$27,Inputs!$B$4="Chapter Hunt"),CHOOSE(ArtifactsInput!$N$27+1,20,24,28,32,36,40),0)/100))/B3347))))/Skills!H8+0.000000001),1)))/Inputs!$B$43),G3313*Q3313)+IF(AND(Inputs!$B$38&lt;&gt;"pvp",Inputs!$B$43&gt;0),((Skills!G11*((R3316-1)*IF(Skills!H11&gt;0,INT(Skills!I11/Skills!H11+0.000000001),1)+IF(Skills!H11&gt;0,INT(MIN(Skills!I11,MAX(0,MAX(0,Inputs!$B$43-B3343)-((R3316-1)*((IF(Inputs!$B$38="pvp",15,MAX(0.1,Skills!D11-IF(TRUE=TRUE,4.5,0)))*(1-IF(AND(ArtifactsInput!$M$27,Inputs!$B$4="Chapter Hunt"),CHOOSE(ArtifactsInput!$N$27+1,20,24,28,32,36,40),0)/100))/B3347))))/Skills!H11+0.000000001),1)))/Inputs!$B$43),G3316*Q3316)))*N3319)*IF(Inputs!$B$38="pvp",1,(1+(Inputs!$B$21+Skills!Q14+(IF(ArtifactsInput!$M$33,CHOOSE(ArtifactsInput!$N$33+1,30,36,42,48,54,60),0))+(IF(AND(ArtifactsInput!$M$35,Inputs!$B$4&lt;&gt;"Chapter Hunt"),CHOOSE(ArtifactsInput!$N$35+1,15,18,21,24,27,30)*(1-EXP(-(0.2*B3338)*5)),0)+IF(AND(ArtifactsInput!$M$22,Inputs!$B$4&lt;&gt;"Chapter Hunt"),CHOOSE(ArtifactsInput!$N$22+1,10,12,14,16,18,20)*((0*(((0.15*B3338*5))^0/1)+1*(((0.15*B3338*5))^1/1)+2*(((0.15*B3338*5))^2/2)+3*(((0.15*B3338*5))^3/6)+4*(((0.15*B3338*5))^4/24)+5*(((0.15*B3338*5))^5/120))/((((0.15*B3338*5))^0/1)+(((0.15*B3338*5))^1/1)+(((0.15*B3338*5))^2/2)+(((0.15*B3338*5))^3/6)+(((0.15*B3338*5))^4/24)+(((0.15*B3338*5))^5/120))),0))+IF(Inputs!$B$3&gt;=54,9*(C3308=TRUE)*MIN(1,8*(1+Inputs!$B$34/100)*Q3308),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320">
      <c r="A3320">
        <f>Skills!A15</f>
        <v/>
      </c>
      <c r="B3320">
        <f>Skills!B15</f>
        <v/>
      </c>
      <c r="C3320">
        <f>Inputs!$B$3&gt;=100</f>
        <v/>
      </c>
      <c r="D3320">
        <f>IF(Skills!C15=1,60+Inputs!$B$25+Inputs!$B$29,IF(Skills!C15=2,90+Inputs!$B$26+Inputs!$B$29,IF(Skills!C15=3,120+Inputs!$B$27+Inputs!$B$29,MAX(0,(Inputs!$B$3-100)*3)+Inputs!$B$28+Inputs!$B$29)))</f>
        <v/>
      </c>
      <c r="E3320">
        <f>INDEX(FactorTable!$B$2:$Y$301, MATCH(ROUND(MIN(300,MAX(1,D3320)),0), FactorTable!$A$2:$A$301,0), Skills!M15+1)</f>
        <v/>
      </c>
      <c r="F3320">
        <f>IF(Skills!N15=TRUE,(Skills!L15/10)*(E3320/1000),Skills!L15/10)+Skills!O15</f>
        <v/>
      </c>
      <c r="G3320" t="inlineStr"/>
      <c r="H3320" t="inlineStr"/>
      <c r="I3320" t="inlineStr">
        <is>
          <t>1</t>
        </is>
      </c>
      <c r="J3320" t="inlineStr"/>
      <c r="K3320" t="inlineStr"/>
      <c r="L3320" t="inlineStr"/>
      <c r="M3320" t="inlineStr"/>
      <c r="N3320" t="inlineStr"/>
      <c r="O3320" t="inlineStr"/>
      <c r="P3320" t="inlineStr"/>
      <c r="Q3320" t="inlineStr"/>
      <c r="R3320" t="inlineStr"/>
      <c r="S3320" t="inlineStr"/>
    </row>
    <row r="3321">
      <c r="A3321">
        <f>Skills!A16</f>
        <v/>
      </c>
      <c r="B3321">
        <f>Skills!B16</f>
        <v/>
      </c>
      <c r="C3321">
        <f>Inputs!$B$3&gt;=107</f>
        <v/>
      </c>
      <c r="D3321">
        <f>IF(Skills!C16=1,60+Inputs!$B$25+Inputs!$B$29,IF(Skills!C16=2,90+Inputs!$B$26+Inputs!$B$29,IF(Skills!C16=3,120+Inputs!$B$27+Inputs!$B$29,MAX(0,(Inputs!$B$3-100)*3)+Inputs!$B$28+Inputs!$B$29)))</f>
        <v/>
      </c>
      <c r="E3321">
        <f>INDEX(FactorTable!$B$2:$Y$301, MATCH(ROUND(MIN(300,MAX(1,D3321)),0), FactorTable!$A$2:$A$301,0), Skills!M16+1)</f>
        <v/>
      </c>
      <c r="F3321">
        <f>IF(Skills!N16=TRUE,(Skills!L16/10)*(E3321/1000),Skills!L16/10)+Skills!O16</f>
        <v/>
      </c>
      <c r="G3321" t="inlineStr"/>
      <c r="H3321" t="inlineStr"/>
      <c r="I3321" t="inlineStr">
        <is>
          <t>1</t>
        </is>
      </c>
      <c r="J3321" t="inlineStr"/>
      <c r="K3321" t="inlineStr"/>
      <c r="L3321" t="inlineStr"/>
      <c r="M3321" t="inlineStr"/>
      <c r="N3321" t="inlineStr"/>
      <c r="O3321" t="inlineStr"/>
      <c r="P3321" t="inlineStr"/>
      <c r="Q3321" t="inlineStr"/>
      <c r="R3321" t="inlineStr"/>
      <c r="S3321" t="inlineStr"/>
    </row>
    <row r="3322">
      <c r="A3322">
        <f>Skills!A17</f>
        <v/>
      </c>
      <c r="B3322">
        <f>Skills!B17</f>
        <v/>
      </c>
      <c r="C3322">
        <f>Inputs!$B$3&gt;=74</f>
        <v/>
      </c>
      <c r="D3322">
        <f>IF(Skills!C17=1,60+Inputs!$B$25+Inputs!$B$29,IF(Skills!C17=2,90+Inputs!$B$26+Inputs!$B$29,IF(Skills!C17=3,120+Inputs!$B$27+Inputs!$B$29,MAX(0,(Inputs!$B$3-100)*3)+Inputs!$B$28+Inputs!$B$29)))</f>
        <v/>
      </c>
      <c r="E3322">
        <f>INDEX(FactorTable!$B$2:$Y$301, MATCH(ROUND(MIN(300,MAX(1,D3322)),0), FactorTable!$A$2:$A$301,0), Skills!M17+1)</f>
        <v/>
      </c>
      <c r="F3322">
        <f>IF(Skills!N17=TRUE,(Skills!L17/10)*(E3322/1000),Skills!L17/10)+Skills!O17</f>
        <v/>
      </c>
      <c r="G3322">
        <f>Skills!G17*IF(Skills!H17&gt;0,INT(IF(Inputs!$B$38="pvp",MIN(Skills!I17,15),Skills!I17)/Skills!H17+0.000000001),1)</f>
        <v/>
      </c>
      <c r="H3322">
        <f>1-(1-Skills!J17/100)^Skills!K17</f>
        <v/>
      </c>
      <c r="I3322" t="inlineStr">
        <is>
          <t>1</t>
        </is>
      </c>
      <c r="J3322" t="inlineStr"/>
      <c r="K3322" t="inlineStr"/>
      <c r="L3322" t="inlineStr"/>
      <c r="M3322" t="inlineStr"/>
      <c r="N3322" t="inlineStr"/>
      <c r="O3322">
        <f>(1-Summary!$B$11)*T3322+Summary!$B$11*V3322</f>
        <v/>
      </c>
      <c r="P3322">
        <f>IF(B3346=0,0,O3322/B3346)</f>
        <v/>
      </c>
      <c r="Q3322" t="n">
        <v>0</v>
      </c>
      <c r="R3322" t="n">
        <v>0</v>
      </c>
      <c r="S3322">
        <f>IFERROR(O3322/N3322,0)</f>
        <v/>
      </c>
      <c r="T3322" t="n">
        <v>0</v>
      </c>
      <c r="V3322" t="n">
        <v>0</v>
      </c>
    </row>
    <row r="3323">
      <c r="A3323">
        <f>Skills!A18</f>
        <v/>
      </c>
      <c r="B3323">
        <f>Skills!B18</f>
        <v/>
      </c>
      <c r="C3323">
        <f>Inputs!$B$3&gt;=115</f>
        <v/>
      </c>
      <c r="D3323">
        <f>IF(Skills!C18=1,60+Inputs!$B$25+Inputs!$B$29,IF(Skills!C18=2,90+Inputs!$B$26+Inputs!$B$29,IF(Skills!C18=3,120+Inputs!$B$27+Inputs!$B$29,MAX(0,(Inputs!$B$3-100)*3)+Inputs!$B$28+Inputs!$B$29)))</f>
        <v/>
      </c>
      <c r="E3323">
        <f>INDEX(FactorTable!$B$2:$Y$301, MATCH(ROUND(MIN(300,MAX(1,D3323)),0), FactorTable!$A$2:$A$301,0), Skills!M18+1)</f>
        <v/>
      </c>
      <c r="F3323">
        <f>IF(Skills!N18=TRUE,(Skills!L18/10)*(E3323/1000),Skills!L18/10)+Skills!O18</f>
        <v/>
      </c>
      <c r="G3323">
        <f>Skills!G18*IF(Skills!H18&gt;0,INT(IF(Inputs!$B$38="pvp",MIN(Skills!I18,15),Skills!I18)/Skills!H18+0.000000001),1)</f>
        <v/>
      </c>
      <c r="H3323">
        <f>1-(1-Skills!J18/100)^Skills!K18</f>
        <v/>
      </c>
      <c r="I3323" t="inlineStr">
        <is>
          <t>1</t>
        </is>
      </c>
      <c r="J3323" t="inlineStr"/>
      <c r="K3323" t="inlineStr"/>
      <c r="L3323" t="inlineStr"/>
      <c r="M3323" t="inlineStr"/>
      <c r="N3323" t="inlineStr"/>
      <c r="O3323">
        <f>(1-Summary!$B$11)*T3323+Summary!$B$11*V3323</f>
        <v/>
      </c>
      <c r="P3323">
        <f>IF(B3346=0,0,O3323/B3346)</f>
        <v/>
      </c>
      <c r="Q3323">
        <f>IFERROR(1/(IF(Inputs!$B$38="pvp",15,MAX(0.1,Skills!D18-IF(TRUE=TRUE,4.5,0)))*(1-IF(AND(ArtifactsInput!$M$27,Inputs!$B$4="Chapter Hunt"),CHOOSE(ArtifactsInput!$N$27+1,20,24,28,32,36,40),0)/100)),0)</f>
        <v/>
      </c>
      <c r="R3323">
        <f>IF(AND(Inputs!$B$38&lt;&gt;"pvp",Inputs!$B$43&gt;0),IF(Inputs!$B$43&lt;=0,0,(INT(Inputs!$B$43/(IF(Inputs!$B$38="pvp",15,MAX(0.1,Skills!D18-IF(TRUE=TRUE,4.5,0)))*(1-IF(AND(ArtifactsInput!$M$27,Inputs!$B$4="Chapter Hunt"),CHOOSE(ArtifactsInput!$N$27+1,20,24,28,32,36,40),0)/100)))+1)),0)</f>
        <v/>
      </c>
      <c r="S3323">
        <f>IFERROR(O3323/N3323,0)</f>
        <v/>
      </c>
      <c r="T3323" t="n">
        <v>0</v>
      </c>
      <c r="V3323" t="n">
        <v>0</v>
      </c>
    </row>
    <row r="3324">
      <c r="A3324">
        <f>Skills!A19</f>
        <v/>
      </c>
      <c r="B3324">
        <f>Skills!B19</f>
        <v/>
      </c>
      <c r="C3324">
        <f>Inputs!$B$3&gt;=10</f>
        <v/>
      </c>
      <c r="D3324">
        <f>IF(Skills!C19=1,60+Inputs!$B$25+Inputs!$B$29,IF(Skills!C19=2,90+Inputs!$B$26+Inputs!$B$29,IF(Skills!C19=3,120+Inputs!$B$27+Inputs!$B$29,MAX(0,(Inputs!$B$3-100)*3)+Inputs!$B$28+Inputs!$B$29)))</f>
        <v/>
      </c>
      <c r="E3324">
        <f>INDEX(FactorTable!$B$2:$Y$301, MATCH(ROUND(MIN(300,MAX(1,D3324)),0), FactorTable!$A$2:$A$301,0), Skills!M19+1)</f>
        <v/>
      </c>
      <c r="F3324">
        <f>IF(Skills!N19=TRUE,(Skills!L19/10)*(E3324/1000),Skills!L19/10)+Skills!O19</f>
        <v/>
      </c>
      <c r="G3324">
        <f>Skills!G19*IF(Skills!H19&gt;0,INT(IF(Inputs!$B$38="pvp",MIN(Skills!I19,15),Skills!I19)/Skills!H19+0.000000001),1)</f>
        <v/>
      </c>
      <c r="H3324">
        <f>1-(1-Skills!J19/100)^Skills!K19</f>
        <v/>
      </c>
      <c r="I3324" t="inlineStr">
        <is>
          <t>1</t>
        </is>
      </c>
      <c r="J3324" t="inlineStr"/>
      <c r="K3324" t="inlineStr"/>
      <c r="L3324" t="inlineStr"/>
      <c r="M3324" t="inlineStr"/>
      <c r="N3324" t="inlineStr"/>
      <c r="O3324">
        <f>(1-Summary!$B$11)*T3324+Summary!$B$11*V3324</f>
        <v/>
      </c>
      <c r="P3324">
        <f>IF(B3346=0,0,O3324/B3346)</f>
        <v/>
      </c>
      <c r="Q3324" t="n">
        <v>0</v>
      </c>
      <c r="R3324" t="n">
        <v>0</v>
      </c>
      <c r="S3324">
        <f>IFERROR(O3324/N3324,0)</f>
        <v/>
      </c>
      <c r="T3324" t="n">
        <v>0</v>
      </c>
      <c r="V3324" t="n">
        <v>0</v>
      </c>
    </row>
    <row r="3325">
      <c r="A3325">
        <f>Skills!A20</f>
        <v/>
      </c>
      <c r="B3325">
        <f>Skills!B20</f>
        <v/>
      </c>
      <c r="C3325">
        <f>Inputs!$B$3&gt;=15</f>
        <v/>
      </c>
      <c r="D3325">
        <f>IF(Skills!C20=1,60+Inputs!$B$25+Inputs!$B$29,IF(Skills!C20=2,90+Inputs!$B$26+Inputs!$B$29,IF(Skills!C20=3,120+Inputs!$B$27+Inputs!$B$29,MAX(0,(Inputs!$B$3-100)*3)+Inputs!$B$28+Inputs!$B$29)))</f>
        <v/>
      </c>
      <c r="E3325">
        <f>INDEX(FactorTable!$B$2:$Y$301, MATCH(ROUND(MIN(300,MAX(1,D3325)),0), FactorTable!$A$2:$A$301,0), Skills!M20+1)</f>
        <v/>
      </c>
      <c r="F3325">
        <f>IF(Skills!N20=TRUE,(Skills!L20/10)*(E3325/1000),Skills!L20/10)+Skills!O20</f>
        <v/>
      </c>
      <c r="G3325">
        <f>Skills!G20*IF(Skills!H20&gt;0,INT(IF(Inputs!$B$38="pvp",MIN(Skills!I20,15),Skills!I20)/Skills!H20+0.000000001),1)</f>
        <v/>
      </c>
      <c r="H3325">
        <f>1-(1-Skills!J20/100)^Skills!K20</f>
        <v/>
      </c>
      <c r="I3325" t="inlineStr">
        <is>
          <t>1</t>
        </is>
      </c>
      <c r="J3325" t="inlineStr"/>
      <c r="K3325" t="inlineStr"/>
      <c r="L3325" t="inlineStr"/>
      <c r="M3325" t="inlineStr"/>
      <c r="N3325" t="inlineStr"/>
      <c r="O3325">
        <f>(1-Summary!$B$11)*T3325+Summary!$B$11*V3325</f>
        <v/>
      </c>
      <c r="P3325">
        <f>IF(B3346=0,0,O3325/B3346)</f>
        <v/>
      </c>
      <c r="Q3325" t="n">
        <v>0</v>
      </c>
      <c r="R3325" t="n">
        <v>0</v>
      </c>
      <c r="S3325">
        <f>IFERROR(O3325/N3325,0)</f>
        <v/>
      </c>
      <c r="T3325" t="n">
        <v>0</v>
      </c>
      <c r="V3325" t="n">
        <v>0</v>
      </c>
    </row>
    <row r="3326">
      <c r="A3326">
        <f>Skills!A21</f>
        <v/>
      </c>
      <c r="B3326">
        <f>Skills!B21</f>
        <v/>
      </c>
      <c r="C3326">
        <f>Inputs!$B$3&gt;=40</f>
        <v/>
      </c>
      <c r="D3326">
        <f>IF(Skills!C21=1,60+Inputs!$B$25+Inputs!$B$29,IF(Skills!C21=2,90+Inputs!$B$26+Inputs!$B$29,IF(Skills!C21=3,120+Inputs!$B$27+Inputs!$B$29,MAX(0,(Inputs!$B$3-100)*3)+Inputs!$B$28+Inputs!$B$29)))</f>
        <v/>
      </c>
      <c r="E3326">
        <f>INDEX(FactorTable!$B$2:$Y$301, MATCH(ROUND(MIN(300,MAX(1,D3326)),0), FactorTable!$A$2:$A$301,0), Skills!M21+1)</f>
        <v/>
      </c>
      <c r="F3326">
        <f>IF(Skills!N21=TRUE,(Skills!L21/10)*(E3326/1000),Skills!L21/10)+Skills!O21</f>
        <v/>
      </c>
      <c r="G3326">
        <f>Skills!G21*IF(Skills!H21&gt;0,INT(IF(Inputs!$B$38="pvp",MIN(Skills!I21,15),Skills!I21)/Skills!H21+0.000000001),1)</f>
        <v/>
      </c>
      <c r="H3326">
        <f>1-(1-Skills!J21/100)^Skills!K21</f>
        <v/>
      </c>
      <c r="I3326" t="inlineStr">
        <is>
          <t>1</t>
        </is>
      </c>
      <c r="J3326" t="inlineStr"/>
      <c r="K3326" t="inlineStr"/>
      <c r="L3326" t="inlineStr"/>
      <c r="M3326" t="inlineStr"/>
      <c r="N3326" t="inlineStr"/>
      <c r="O3326">
        <f>(1-Summary!$B$11)*T3326+Summary!$B$11*V3326</f>
        <v/>
      </c>
      <c r="P3326">
        <f>IF(B3346=0,0,O3326/B3346)</f>
        <v/>
      </c>
      <c r="Q3326" t="n">
        <v>0</v>
      </c>
      <c r="R3326" t="n">
        <v>0</v>
      </c>
      <c r="S3326">
        <f>IFERROR(O3326/N3326,0)</f>
        <v/>
      </c>
      <c r="T3326" t="n">
        <v>0</v>
      </c>
      <c r="V3326" t="n">
        <v>0</v>
      </c>
    </row>
    <row r="3327">
      <c r="A3327">
        <f>Skills!A22</f>
        <v/>
      </c>
      <c r="B3327">
        <f>Skills!B22</f>
        <v/>
      </c>
      <c r="C3327">
        <f>Inputs!$B$3&gt;=43</f>
        <v/>
      </c>
      <c r="D3327">
        <f>IF(Skills!C22=1,60+Inputs!$B$25+Inputs!$B$29,IF(Skills!C22=2,90+Inputs!$B$26+Inputs!$B$29,IF(Skills!C22=3,120+Inputs!$B$27+Inputs!$B$29,MAX(0,(Inputs!$B$3-100)*3)+Inputs!$B$28+Inputs!$B$29)))</f>
        <v/>
      </c>
      <c r="E3327">
        <f>INDEX(FactorTable!$B$2:$Y$301, MATCH(ROUND(MIN(300,MAX(1,D3327)),0), FactorTable!$A$2:$A$301,0), Skills!M22+1)</f>
        <v/>
      </c>
      <c r="F3327">
        <f>IF(Skills!N22=TRUE,(Skills!L22/10)*(E3327/1000),Skills!L22/10)+Skills!O22</f>
        <v/>
      </c>
      <c r="G3327">
        <f>Skills!G22*IF(Skills!H22&gt;0,INT(IF(Inputs!$B$38="pvp",MIN(Skills!I22,15),Skills!I22)/Skills!H22+0.000000001),1)</f>
        <v/>
      </c>
      <c r="H3327">
        <f>1-(1-Skills!J22/100)^Skills!K22</f>
        <v/>
      </c>
      <c r="I3327" t="inlineStr">
        <is>
          <t>1</t>
        </is>
      </c>
      <c r="J3327" t="inlineStr"/>
      <c r="K3327" t="inlineStr"/>
      <c r="L3327" t="inlineStr"/>
      <c r="M3327" t="inlineStr"/>
      <c r="N3327" t="inlineStr"/>
      <c r="O3327">
        <f>(1-Summary!$B$11)*T3327+Summary!$B$11*V3327</f>
        <v/>
      </c>
      <c r="P3327">
        <f>IF(B3346=0,0,O3327/B3346)</f>
        <v/>
      </c>
      <c r="Q3327" t="n">
        <v>0</v>
      </c>
      <c r="R3327" t="n">
        <v>0</v>
      </c>
      <c r="S3327">
        <f>IFERROR(O3327/N3327,0)</f>
        <v/>
      </c>
      <c r="T3327" t="n">
        <v>0</v>
      </c>
      <c r="V3327" t="n">
        <v>0</v>
      </c>
    </row>
    <row r="3328">
      <c r="A3328">
        <f>Skills!A23</f>
        <v/>
      </c>
      <c r="B3328">
        <f>Skills!B23</f>
        <v/>
      </c>
      <c r="C3328">
        <f>Inputs!$B$3&gt;=38</f>
        <v/>
      </c>
      <c r="D3328">
        <f>IF(Skills!C23=1,60+Inputs!$B$25+Inputs!$B$29,IF(Skills!C23=2,90+Inputs!$B$26+Inputs!$B$29,IF(Skills!C23=3,120+Inputs!$B$27+Inputs!$B$29,MAX(0,(Inputs!$B$3-100)*3)+Inputs!$B$28+Inputs!$B$29)))</f>
        <v/>
      </c>
      <c r="E3328">
        <f>INDEX(FactorTable!$B$2:$Y$301, MATCH(ROUND(MIN(300,MAX(1,D3328)),0), FactorTable!$A$2:$A$301,0), Skills!M23+1)</f>
        <v/>
      </c>
      <c r="F3328">
        <f>IF(Skills!N23=TRUE,(Skills!L23/10)*(E3328/1000),Skills!L23/10)+Skills!O23</f>
        <v/>
      </c>
      <c r="G3328">
        <f>Skills!G23*IF(Skills!H23&gt;0,INT(IF(Inputs!$B$38="pvp",MIN(Skills!I23,15),Skills!I23)/Skills!H23+0.000000001),1)</f>
        <v/>
      </c>
      <c r="H3328">
        <f>1-(1-Skills!J23/100)^Skills!K23</f>
        <v/>
      </c>
      <c r="I3328" t="inlineStr">
        <is>
          <t>1</t>
        </is>
      </c>
      <c r="J3328" t="inlineStr"/>
      <c r="K3328" t="inlineStr"/>
      <c r="L3328" t="inlineStr"/>
      <c r="M3328" t="inlineStr"/>
      <c r="N3328" t="inlineStr"/>
      <c r="O3328">
        <f>(1-Summary!$B$11)*T3328+Summary!$B$11*V3328</f>
        <v/>
      </c>
      <c r="P3328">
        <f>IF(B3346=0,0,O3328/B3346)</f>
        <v/>
      </c>
      <c r="Q3328" t="n">
        <v>0</v>
      </c>
      <c r="R3328" t="n">
        <v>0</v>
      </c>
      <c r="S3328">
        <f>IFERROR(O3328/N3328,0)</f>
        <v/>
      </c>
      <c r="T3328" t="n">
        <v>0</v>
      </c>
      <c r="V3328" t="n">
        <v>0</v>
      </c>
    </row>
    <row r="3329">
      <c r="A3329">
        <f>Skills!A24</f>
        <v/>
      </c>
      <c r="B3329">
        <f>Skills!B24</f>
        <v/>
      </c>
      <c r="C3329">
        <f>Inputs!$B$3&gt;=45</f>
        <v/>
      </c>
      <c r="D3329">
        <f>IF(Skills!C24=1,60+Inputs!$B$25+Inputs!$B$29,IF(Skills!C24=2,90+Inputs!$B$26+Inputs!$B$29,IF(Skills!C24=3,120+Inputs!$B$27+Inputs!$B$29,MAX(0,(Inputs!$B$3-100)*3)+Inputs!$B$28+Inputs!$B$29)))</f>
        <v/>
      </c>
      <c r="E3329">
        <f>INDEX(FactorTable!$B$2:$Y$301, MATCH(ROUND(MIN(300,MAX(1,D3329)),0), FactorTable!$A$2:$A$301,0), Skills!M24+1)</f>
        <v/>
      </c>
      <c r="F3329">
        <f>IF(Skills!N24=TRUE,(Skills!L24/10)*(E3329/1000),Skills!L24/10)+Skills!O24</f>
        <v/>
      </c>
      <c r="G3329">
        <f>Skills!G24*IF(Skills!H24&gt;0,INT(IF(Inputs!$B$38="pvp",MIN(Skills!I24,15),Skills!I24)/Skills!H24+0.000000001),1)</f>
        <v/>
      </c>
      <c r="H3329">
        <f>1-(1-Skills!J24/100)^Skills!K24</f>
        <v/>
      </c>
      <c r="I3329" t="inlineStr">
        <is>
          <t>1</t>
        </is>
      </c>
      <c r="J3329" t="inlineStr"/>
      <c r="K3329" t="inlineStr"/>
      <c r="L3329" t="inlineStr"/>
      <c r="M3329" t="inlineStr"/>
      <c r="N3329" t="inlineStr"/>
      <c r="O3329">
        <f>(1-Summary!$B$11)*T3329+Summary!$B$11*V3329</f>
        <v/>
      </c>
      <c r="P3329">
        <f>IF(B3346=0,0,O3329/B3346)</f>
        <v/>
      </c>
      <c r="Q3329" t="n">
        <v>0</v>
      </c>
      <c r="R3329" t="n">
        <v>0</v>
      </c>
      <c r="S3329">
        <f>IFERROR(O3329/N3329,0)</f>
        <v/>
      </c>
      <c r="T3329" t="n">
        <v>0</v>
      </c>
      <c r="V3329" t="n">
        <v>0</v>
      </c>
    </row>
    <row r="3330">
      <c r="A3330">
        <f>Skills!A25</f>
        <v/>
      </c>
      <c r="B3330">
        <f>Skills!B25</f>
        <v/>
      </c>
      <c r="C3330">
        <f>Inputs!$B$3&gt;=72</f>
        <v/>
      </c>
      <c r="D3330">
        <f>IF(Skills!C25=1,60+Inputs!$B$25+Inputs!$B$29,IF(Skills!C25=2,90+Inputs!$B$26+Inputs!$B$29,IF(Skills!C25=3,120+Inputs!$B$27+Inputs!$B$29,MAX(0,(Inputs!$B$3-100)*3)+Inputs!$B$28+Inputs!$B$29)))</f>
        <v/>
      </c>
      <c r="E3330">
        <f>INDEX(FactorTable!$B$2:$Y$301, MATCH(ROUND(MIN(300,MAX(1,D3330)),0), FactorTable!$A$2:$A$301,0), Skills!M25+1)</f>
        <v/>
      </c>
      <c r="F3330">
        <f>IF(Skills!N25=TRUE,(Skills!L25/10)*(E3330/1000),Skills!L25/10)+Skills!O25</f>
        <v/>
      </c>
      <c r="G3330">
        <f>Skills!G25*IF(Skills!H25&gt;0,INT(IF(Inputs!$B$38="pvp",MIN(Skills!I25,15),Skills!I25)/Skills!H25+0.000000001),1)</f>
        <v/>
      </c>
      <c r="H3330">
        <f>1-(1-Skills!J25/100)^Skills!K25</f>
        <v/>
      </c>
      <c r="I3330" t="inlineStr">
        <is>
          <t>1</t>
        </is>
      </c>
      <c r="J3330" t="inlineStr"/>
      <c r="K3330" t="inlineStr"/>
      <c r="L3330" t="inlineStr"/>
      <c r="M3330" t="inlineStr"/>
      <c r="N3330" t="inlineStr"/>
      <c r="O3330">
        <f>(1-Summary!$B$11)*T3330+Summary!$B$11*V3330</f>
        <v/>
      </c>
      <c r="P3330">
        <f>IF(B3346=0,0,O3330/B3346)</f>
        <v/>
      </c>
      <c r="Q3330" t="n">
        <v>0</v>
      </c>
      <c r="R3330" t="n">
        <v>0</v>
      </c>
      <c r="S3330">
        <f>IFERROR(O3330/N3330,0)</f>
        <v/>
      </c>
      <c r="T3330" t="n">
        <v>0</v>
      </c>
      <c r="V3330" t="n">
        <v>0</v>
      </c>
    </row>
    <row r="3331">
      <c r="A3331">
        <f>Skills!A26</f>
        <v/>
      </c>
      <c r="B3331">
        <f>Skills!B26</f>
        <v/>
      </c>
      <c r="C3331">
        <f>Inputs!$B$3&gt;=75</f>
        <v/>
      </c>
      <c r="D3331">
        <f>IF(Skills!C26=1,60+Inputs!$B$25+Inputs!$B$29,IF(Skills!C26=2,90+Inputs!$B$26+Inputs!$B$29,IF(Skills!C26=3,120+Inputs!$B$27+Inputs!$B$29,MAX(0,(Inputs!$B$3-100)*3)+Inputs!$B$28+Inputs!$B$29)))</f>
        <v/>
      </c>
      <c r="E3331">
        <f>INDEX(FactorTable!$B$2:$Y$301, MATCH(ROUND(MIN(300,MAX(1,D3331)),0), FactorTable!$A$2:$A$301,0), Skills!M26+1)</f>
        <v/>
      </c>
      <c r="F3331">
        <f>IF(Skills!N26=TRUE,(Skills!L26/10)*(E3331/1000),Skills!L26/10)+Skills!O26</f>
        <v/>
      </c>
      <c r="G3331">
        <f>Skills!G26*IF(Skills!H26&gt;0,INT(IF(Inputs!$B$38="pvp",MIN(Skills!I26,15),Skills!I26)/Skills!H26+0.000000001),1)</f>
        <v/>
      </c>
      <c r="H3331">
        <f>1-(1-Skills!J26/100)^Skills!K26</f>
        <v/>
      </c>
      <c r="I3331" t="inlineStr">
        <is>
          <t>1</t>
        </is>
      </c>
      <c r="J3331" t="inlineStr"/>
      <c r="K3331" t="inlineStr"/>
      <c r="L3331" t="inlineStr"/>
      <c r="M3331" t="inlineStr"/>
      <c r="N3331" t="inlineStr"/>
      <c r="O3331">
        <f>(1-Summary!$B$11)*T3331+Summary!$B$11*V3331</f>
        <v/>
      </c>
      <c r="P3331">
        <f>IF(B3346=0,0,O3331/B3346)</f>
        <v/>
      </c>
      <c r="Q3331" t="n">
        <v>0</v>
      </c>
      <c r="R3331" t="n">
        <v>0</v>
      </c>
      <c r="S3331">
        <f>IFERROR(O3331/N3331,0)</f>
        <v/>
      </c>
      <c r="T3331" t="n">
        <v>0</v>
      </c>
      <c r="V3331" t="n">
        <v>0</v>
      </c>
    </row>
    <row r="3332">
      <c r="A3332">
        <f>Skills!A27</f>
        <v/>
      </c>
      <c r="B3332">
        <f>Skills!B27</f>
        <v/>
      </c>
      <c r="C3332">
        <f>Inputs!$B$3&gt;=125</f>
        <v/>
      </c>
      <c r="D3332">
        <f>IF(Skills!C27=1,60+Inputs!$B$25+Inputs!$B$29,IF(Skills!C27=2,90+Inputs!$B$26+Inputs!$B$29,IF(Skills!C27=3,120+Inputs!$B$27+Inputs!$B$29,MAX(0,(Inputs!$B$3-100)*3)+Inputs!$B$28+Inputs!$B$29)))</f>
        <v/>
      </c>
      <c r="E3332">
        <f>INDEX(FactorTable!$B$2:$Y$301, MATCH(ROUND(MIN(300,MAX(1,D3332)),0), FactorTable!$A$2:$A$301,0), Skills!M27+1)</f>
        <v/>
      </c>
      <c r="F3332">
        <f>IF(Skills!N27=TRUE,(Skills!L27/10)*(E3332/1000),Skills!L27/10)+Skills!O27</f>
        <v/>
      </c>
      <c r="G3332">
        <f>Skills!G27*IF(Skills!H27&gt;0,INT(IF(Inputs!$B$38="pvp",MIN(Skills!I27,15),Skills!I27)/Skills!H27+0.000000001),1)</f>
        <v/>
      </c>
      <c r="H3332">
        <f>1-(1-Skills!J27/100)^Skills!K27</f>
        <v/>
      </c>
      <c r="I3332" t="inlineStr">
        <is>
          <t>1</t>
        </is>
      </c>
      <c r="J3332" t="inlineStr"/>
      <c r="K3332" t="inlineStr"/>
      <c r="L3332" t="inlineStr"/>
      <c r="M3332" t="inlineStr"/>
      <c r="N3332" t="inlineStr"/>
      <c r="O3332">
        <f>(1-Summary!$B$11)*T3332+Summary!$B$11*V3332</f>
        <v/>
      </c>
      <c r="P3332">
        <f>IF(B3346=0,0,O3332/B3346)</f>
        <v/>
      </c>
      <c r="Q3332" t="n">
        <v>0</v>
      </c>
      <c r="R3332" t="n">
        <v>0</v>
      </c>
      <c r="S3332">
        <f>IFERROR(O3332/N3332,0)</f>
        <v/>
      </c>
      <c r="T3332" t="n">
        <v>0</v>
      </c>
      <c r="V3332" t="n">
        <v>0</v>
      </c>
    </row>
    <row r="3333">
      <c r="A3333">
        <f>Skills!A28</f>
        <v/>
      </c>
      <c r="B3333">
        <f>Skills!B28</f>
        <v/>
      </c>
      <c r="C3333">
        <f>TRUE</f>
        <v/>
      </c>
      <c r="D3333">
        <f>IF(Skills!C28=1,60+Inputs!$B$25+Inputs!$B$29,IF(Skills!C28=2,90+Inputs!$B$26+Inputs!$B$29,IF(Skills!C28=3,120+Inputs!$B$27+Inputs!$B$29,MAX(0,(Inputs!$B$3-100)*3)+Inputs!$B$28+Inputs!$B$29)))</f>
        <v/>
      </c>
      <c r="E3333">
        <f>INDEX(FactorTable!$B$2:$Y$301, MATCH(ROUND(MIN(300,MAX(1,D3333)),0), FactorTable!$A$2:$A$301,0), Skills!M28+1)</f>
        <v/>
      </c>
      <c r="F3333">
        <f>IF(Skills!N28=TRUE,(Skills!L28/10)*(E3333/1000),Skills!L28/10)+Skills!O28</f>
        <v/>
      </c>
      <c r="G3333">
        <f>Skills!G28*IF(Skills!H28&gt;0,INT(IF(Inputs!$B$38="pvp",MIN(Skills!I28,15),Skills!I28)/Skills!H28+0.000000001),1)</f>
        <v/>
      </c>
      <c r="H3333">
        <f>1-(1-Skills!J28/100)^Skills!K28</f>
        <v/>
      </c>
      <c r="I3333" t="inlineStr">
        <is>
          <t>1</t>
        </is>
      </c>
      <c r="J3333" t="inlineStr"/>
      <c r="K3333" t="inlineStr"/>
      <c r="L3333" t="inlineStr"/>
      <c r="M3333" t="inlineStr"/>
      <c r="N3333" t="inlineStr"/>
      <c r="O3333">
        <f>(1-Summary!$B$11)*T3333+Summary!$B$11*V3333</f>
        <v/>
      </c>
      <c r="P3333">
        <f>IF(B3346=0,0,O3333/B3346)</f>
        <v/>
      </c>
      <c r="Q3333">
        <f>IFERROR(1/(IF(Inputs!$B$38="pvp",15,MAX(0.1,Skills!D28-IF(TRUE=TRUE,4.5,0)))*(1-IF(AND(ArtifactsInput!$M$27,Inputs!$B$4="Chapter Hunt"),CHOOSE(ArtifactsInput!$N$27+1,20,24,28,32,36,40),0)/100)),0)</f>
        <v/>
      </c>
      <c r="R3333">
        <f>IF(AND(Inputs!$B$38&lt;&gt;"pvp",Inputs!$B$43&gt;0),IF(Inputs!$B$43&lt;=0,0,(INT(Inputs!$B$43/(IF(Inputs!$B$38="pvp",15,MAX(0.1,Skills!D28-IF(TRUE=TRUE,4.5,0)))*(1-IF(AND(ArtifactsInput!$M$27,Inputs!$B$4="Chapter Hunt"),CHOOSE(ArtifactsInput!$N$27+1,20,24,28,32,36,40),0)/100)))+1)),0)</f>
        <v/>
      </c>
      <c r="S3333">
        <f>IFERROR(O3333/N3333,0)</f>
        <v/>
      </c>
      <c r="T3333" t="n">
        <v>0</v>
      </c>
      <c r="V3333" t="n">
        <v>0</v>
      </c>
    </row>
    <row r="3335">
      <c r="A3335" t="inlineStr">
        <is>
          <t>Attack% Bucket Multiplier</t>
        </is>
      </c>
      <c r="B3335">
        <f>(1+(((C3322=TRUE)*F3322*5/7)+((C3329=TRUE)*(F3329-Calc!F24))+(IF(ArtifactsInput!$M$21,CHOOSE(ArtifactsInput!$N$21+1,25,30,35,40,45,50)*(IF(OR(Inputs!$B$4="Chapter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3336">
      <c r="A3336" t="inlineStr">
        <is>
          <t>Global Crit Rate Bonus %</t>
        </is>
      </c>
      <c r="B3336" t="n">
        <v>0</v>
      </c>
    </row>
    <row r="3337">
      <c r="A3337" t="inlineStr">
        <is>
          <t>Attack Speed Buff Bonus % (Nimble Feet, duty-cycle averaged)</t>
        </is>
      </c>
      <c r="B3337">
        <f>((C3333=TRUE)*F3333*IF(AND(Inputs!$B$38&lt;&gt;"pvp",Inputs!$B$43&gt;0),(((R3333-1)*MIN((Skills!T28*(1+Inputs!$B$34/100)),(1/Q3333))+MIN((Skills!T28*(1+Inputs!$B$34/100)),MAX(0,Inputs!$B$43-((R3333-1)*(1/Q3333)))))/Inputs!$B$43),IF(Inputs!$B$38="pvp",MIN((Skills!T28*(1+Inputs!$B$34/100)),15)/15,MIN(1,(Skills!T28*(1+Inputs!$B$34/100))/(1/Q3333)))))</f>
        <v/>
      </c>
    </row>
    <row r="3338">
      <c r="A3338" t="inlineStr">
        <is>
          <t>Actions Per Second</t>
        </is>
      </c>
      <c r="B3338">
        <f>1+MIN(150,150*(1-(1-(Inputs!$B$11+((C3325=TRUE)*(F3325-Calc!F20))+((C3326=TRUE)*(F3326-Calc!F21)))/150)*(1-B3337/150)))/100</f>
        <v/>
      </c>
    </row>
    <row r="3339">
      <c r="A3339" t="inlineStr">
        <is>
          <t>Skill + Buff Cast Rate</t>
        </is>
      </c>
      <c r="B3339">
        <f>IF(AND(Inputs!$B$38&lt;&gt;"pvp",Inputs!$B$43&gt;0),SUMPRODUCT((Skills!E2:E28=TRUE)*(C3307:C3333=TRUE)*R3307:R3333*Skills!F2:F28)/Inputs!$B$43,SUMPRODUCT((Skills!E2:E28=TRUE)*(C3307:C3333=TRUE)*Q3307:Q3333*Skills!F2:F28))</f>
        <v/>
      </c>
    </row>
    <row r="3340">
      <c r="A3340" t="inlineStr">
        <is>
          <t>Eight-Legs Easton Casts Per Second</t>
        </is>
      </c>
      <c r="B3340">
        <f>MAX(0,B3338-B3339)</f>
        <v/>
      </c>
    </row>
    <row r="3341">
      <c r="A3341" t="inlineStr">
        <is>
          <t>Global Critical Damage Bonus % (unused)</t>
        </is>
      </c>
      <c r="B3341" t="n">
        <v>0</v>
      </c>
    </row>
    <row r="3342">
      <c r="A3342" t="inlineStr">
        <is>
          <t>Global Final Damage Bonus % (Jolly Roger + Ahoy Mateys - Final Damage proc)</t>
        </is>
      </c>
      <c r="B3342">
        <f>((C3323=TRUE)*F3323*IF(AND(Inputs!$B$38&lt;&gt;"pvp",Inputs!$B$43&gt;0),(((R3323-1)*MIN((Skills!T18*(1+Inputs!$B$34/100)),(1/Q3323))+MIN((Skills!T18*(1+Inputs!$B$34/100)),MAX(0,Inputs!$B$43-((R3323-1)*(1/Q3323)))))/Inputs!$B$43),IF(Inputs!$B$38="pvp",MIN((Skills!T18*(1+Inputs!$B$34/100)),15)/15,MIN(1,(Skills!T18*(1+Inputs!$B$34/100))/(1/Q3323)))))+IF(Inputs!$B$3&gt;=122,20*IF(Inputs!$B$38="pvp",MIN((20*(1+Inputs!$B$34/100)),15)/15,MIN(1,(20*(1+Inputs!$B$34/100))/(1/Q3309))),0)</f>
        <v/>
      </c>
    </row>
    <row r="3343">
      <c r="A3343" t="inlineStr">
        <is>
          <t>Buff-Casting Startup Delay (s, fixed-duration only)</t>
        </is>
      </c>
      <c r="B3343">
        <f>IF(AND(Inputs!$B$38&lt;&gt;"pvp",Inputs!$B$43&gt;0),SUMPRODUCT((Skills!T2:T28&gt;0)*(Skills!E2:E28=TRUE)*(C3307:C3333=TRUE))/B3338,0)</f>
        <v/>
      </c>
    </row>
    <row r="3344">
      <c r="A3344" t="inlineStr">
        <is>
          <t>Boss-Only Total DPS (this block's swept value)</t>
        </is>
      </c>
      <c r="B3344">
        <f>SUM(T3307:T3333)</f>
        <v/>
      </c>
    </row>
    <row r="3345">
      <c r="A3345" t="inlineStr">
        <is>
          <t>Normal-Only Total DPS (this block's swept value)</t>
        </is>
      </c>
      <c r="B3345">
        <f>SUM(V3307:V3333)</f>
        <v/>
      </c>
    </row>
    <row r="3346">
      <c r="A3346" s="6" t="inlineStr">
        <is>
          <t>TOTAL DPS</t>
        </is>
      </c>
      <c r="B3346" s="6">
        <f>SUM(O3307:O3333)</f>
        <v/>
      </c>
    </row>
    <row r="3347">
      <c r="A3347" t="inlineStr">
        <is>
          <t>Quickdraw cooldown divisor (this block's own APS / Q)</t>
        </is>
      </c>
      <c r="B3347">
        <f>IF(AND(C3332=TRUE,Inputs!$B$38&lt;&gt;"pvp"),1+0.25*MAX(0,(B3338-(((C3308=TRUE)*Q3308*1)+((C3309=TRUE)*Q3309*1)+((C3311=TRUE)*Q3311*1)+((C3312=TRUE)*Q3312*1)+((C3314=TRUE)*Q3314*1)+((C3317=TRUE)*Q3317*1)+((C3323=TRUE)*Q3323*1)+((C3333=TRUE)*Q3333*1))-((C3313=TRUE)/(IF(Inputs!$B$38="pvp",15,MAX(0.1,Skills!D8-IF(TRUE=TRUE,4.5,0)))*(1-IF(AND(ArtifactsInput!$M$27,Inputs!$B$4="Chapter Hunt"),CHOOSE(ArtifactsInput!$N$27+1,20,24,28,32,36,40),0)/100))+(C3316=TRUE)/(IF(Inputs!$B$38="pvp",15,MAX(0.1,Skills!D11-IF(TRUE=TRUE,4.5,0)))*(1-IF(AND(ArtifactsInput!$M$27,Inputs!$B$4="Chapter Hunt"),CHOOSE(ArtifactsInput!$N$27+1,20,24,28,32,36,40),0)/100))))/(1+0.25*((C3313=TRUE)/(IF(Inputs!$B$38="pvp",15,MAX(0.1,Skills!D8-IF(TRUE=TRUE,4.5,0)))*(1-IF(AND(ArtifactsInput!$M$27,Inputs!$B$4="Chapter Hunt"),CHOOSE(ArtifactsInput!$N$27+1,20,24,28,32,36,40),0)/100))+(C3316=TRUE)/(IF(Inputs!$B$38="pvp",15,MAX(0.1,Skills!D11-IF(TRUE=TRUE,4.5,0)))*(1-IF(AND(ArtifactsInput!$M$27,Inputs!$B$4="Chapter Hunt"),CHOOSE(ArtifactsInput!$N$27+1,20,24,28,32,36,40),0)/100))))),1)</f>
        <v/>
      </c>
    </row>
    <row r="3348">
      <c r="A3348" t="inlineStr">
        <is>
          <t>Nautilus Strike - Final Attack trigger rate (this block's own Q/R)</t>
        </is>
      </c>
      <c r="B3348">
        <f>IF(AND(Inputs!$B$38&lt;&gt;"pvp",Inputs!$B$43&gt;0),(((C3308=TRUE)*R3308)+((C3311=TRUE)*R3311)+((C3313=TRUE)*R3313)+((C3314=TRUE)*R3314)+((C3316=TRUE)*R3316))/Inputs!$B$43,((C3308=TRUE)*Q3308)+((C3311=TRUE)*Q3311)+((C3313=TRUE)*Q3313)+((C3314=TRUE)*Q3314)+((C3316=TRUE)*Q3316))+B3340</f>
        <v/>
      </c>
    </row>
    <row r="3351">
      <c r="A3351" s="6" t="inlineStr">
        <is>
          <t>Stat: CDR = 5.0s</t>
        </is>
      </c>
    </row>
    <row r="3352">
      <c r="A3352" s="5" t="inlineStr">
        <is>
          <t>Key</t>
        </is>
      </c>
      <c r="B3352" s="5" t="inlineStr">
        <is>
          <t>Name</t>
        </is>
      </c>
      <c r="C3352" s="5" t="inlineStr">
        <is>
          <t>Unlocked</t>
        </is>
      </c>
      <c r="D3352" s="5" t="inlineStr">
        <is>
          <t>InputLevel</t>
        </is>
      </c>
      <c r="E3352" s="5" t="inlineStr">
        <is>
          <t>Factor</t>
        </is>
      </c>
      <c r="F3352" s="5" t="inlineStr">
        <is>
          <t>CoefficientPercent</t>
        </is>
      </c>
      <c r="G3352" s="5" t="inlineStr">
        <is>
          <t>EffectiveHits</t>
        </is>
      </c>
      <c r="H3352" s="5" t="inlineStr">
        <is>
          <t>ProcProbability</t>
        </is>
      </c>
      <c r="I3352" s="5" t="inlineStr">
        <is>
          <t>MapleHeroMultiplier</t>
        </is>
      </c>
      <c r="J3352" s="5" t="inlineStr">
        <is>
          <t>BaseDamage</t>
        </is>
      </c>
      <c r="K3352" s="5" t="inlineStr">
        <is>
          <t>BaseHitDamage</t>
        </is>
      </c>
      <c r="L3352" s="5" t="inlineStr">
        <is>
          <t>NonCritAvg</t>
        </is>
      </c>
      <c r="M3352" s="5" t="inlineStr">
        <is>
          <t>CritAvg</t>
        </is>
      </c>
      <c r="N3352" s="5" t="inlineStr">
        <is>
          <t>ExpectedDamage(perHit)</t>
        </is>
      </c>
      <c r="O3352" s="5" t="inlineStr">
        <is>
          <t>DPS</t>
        </is>
      </c>
      <c r="P3352" s="5" t="inlineStr">
        <is>
          <t>% of Total</t>
        </is>
      </c>
      <c r="Q3352" s="5" t="inlineStr">
        <is>
          <t>InvCooldown</t>
        </is>
      </c>
      <c r="R3352" s="5" t="inlineStr">
        <is>
          <t>CastsInFight</t>
        </is>
      </c>
      <c r="S3352" s="5" t="inlineStr">
        <is>
          <t>HitRate(perSec)</t>
        </is>
      </c>
      <c r="U3352" t="inlineStr">
        <is>
          <t>helpers</t>
        </is>
      </c>
    </row>
    <row r="3353">
      <c r="A3353">
        <f>Skills!A2</f>
        <v/>
      </c>
      <c r="B3353">
        <f>Skills!B2</f>
        <v/>
      </c>
      <c r="C3353">
        <f>Inputs!$B$3&gt;=100</f>
        <v/>
      </c>
      <c r="D3353" t="inlineStr"/>
      <c r="E3353" t="inlineStr"/>
      <c r="F3353">
        <f>U3355+Skills!O2</f>
        <v/>
      </c>
      <c r="G3353">
        <f>Skills!G2*IF(Skills!H2&gt;0,INT(IF(Inputs!$B$38="pvp",MIN(Skills!I2,15),Skills!I2)/Skills!H2+0.000000001),1)</f>
        <v/>
      </c>
      <c r="H3353">
        <f>1-(1-Skills!J2/100)^Skills!K2</f>
        <v/>
      </c>
      <c r="I3353" t="inlineStr">
        <is>
          <t>1</t>
        </is>
      </c>
      <c r="J3353">
        <f>((Inputs!$B$6*(1+Inputs!$B$7/100))+(((Inputs!$B$12*(1+Inputs!$B$13/100))-(Inputs!$B$12*(1+Inputs!$B$13/100)))+0.25*(Inputs!$B$14-Inputs!$B$14))*(1+Inputs!$B$7/100))*(F3353/100)</f>
        <v/>
      </c>
      <c r="K3353">
        <f>J3353*(1+((Inputs!$B$12*(1+Inputs!$B$13/100))*0.01+Inputs!$B$14*0.0025)/100)*(1+Inputs!$B$15/100)*(1+Inputs!$B$16/100)*(5000/(6000+Inputs!$B$42*(1-(100*(1-(1-(Inputs!$B$19+0)/100)*(1-CHOOSE(ArtifactsInput!$N$40+1,5,6,7,8,9,10)/100)^(ArtifactsInput!$M$40-ArtifactsInput!$M$40)))/100)))*(1+(Inputs!$B$24+((C3377=TRUE)*(F3377-Calc!F26))+B3388)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IGHT_LEGS_EASTON",Inputs!$B$17+((C3374=TRUE)*(F3374-Calc!F23))+((C3378=TRUE)*(F3378-Calc!F27))+((IF(AND(Inputs!$B$38&lt;&gt;"pvp",Inputs!$B$43=0),1,IF(IF(Inputs!$B$38="pvp",15,Inputs!$B$43)-(B3389)&lt;=0,1,MAX(0,IF(Inputs!$B$38="pvp",15,Inputs!$B$43)-MAX(5,B3389))/(IF(Inputs!$B$38="pvp",15,Inputs!$B$43)-(B3389))))*(IF(AND(ArtifactsInput!$M$42,((Inputs!$B$9+((C3370=TRUE)*(F3370-Calc!F19))+B3382+(ArtifactsInput!$M$24-ArtifactsInput!$M$24)*CHOOSE(ArtifactsInput!$N$24+1,10,12,14,16,18,20)+IF(ArtifactsInput!$M$10,CHOOSE(ArtifactsInput!$N$10+1,15,18,21,24,27,30)*(IF(Inputs!$B$38="pvp",MIN(15,15)/15,IF(AND(Inputs!$B$38&lt;&gt;"pvp",Inputs!$B$43&gt;0),MIN(15,Inputs!$B$43)/(Inputs!$B$43),0))),0)))&gt;=100),MIN(100,((Inputs!$B$9+((C3370=TRUE)*(F3370-Calc!F19))+B3382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3389)&lt;=0,1,MAX(0,IF(Inputs!$B$38="pvp",15,Inputs!$B$43)-MAX(5,B3389))/(IF(Inputs!$B$38="pvp",15,Inputs!$B$43)-(B3389))))*IF(AND(ArtifactsInput!$M$42,((Inputs!$B$9+((C3370=TRUE)*(F3370-Calc!F19))+B3382+(ArtifactsInput!$M$24-ArtifactsInput!$M$24)*CHOOSE(ArtifactsInput!$N$24+1,10,12,14,16,18,20)+IF(ArtifactsInput!$M$10,CHOOSE(ArtifactsInput!$N$10+1,15,18,21,24,27,30)*(IF(Inputs!$B$38="pvp",MIN(15,15)/15,IF(AND(Inputs!$B$38&lt;&gt;"pvp",Inputs!$B$43&gt;0),MIN(15,Inputs!$B$43)/(Inputs!$B$43),0))),0)))&gt;=100),CHOOSE(ArtifactsInput!$N$42+1,40,48,56,64,72,80),0))))/100)*((1+(((C3368=TRUE)*F3368*5/7)+((C3375=TRUE)*(F3375-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3353)</f>
        <v/>
      </c>
      <c r="L3353">
        <f>K3353*(MIN(Inputs!$B$22+((C3373=TRUE)*(F3373-Calc!F22)),(Inputs!$B$23+0+(IF(ArtifactsInput!$M$15,CHOOSE(ArtifactsInput!$N$15+1,25,30,35,40,45,50)/100*(Inputs!$B$11-Inputs!$B$11),0))))/100+(Inputs!$B$23+0+(IF(ArtifactsInput!$M$15,CHOOSE(ArtifactsInput!$N$15+1,25,30,35,40,45,50)/100*(Inputs!$B$11-Inputs!$B$11),0)))/100)/2</f>
        <v/>
      </c>
      <c r="M3353">
        <f>L3353*(1+(Inputs!$B$10+((C3376=TRUE)*(F3376-Calc!F25))+B3387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353">
        <f>L3353*(1-MIN((Inputs!$B$9+((C3370=TRUE)*(F3370-Calc!F19))+B3382+(ArtifactsInput!$M$24-ArtifactsInput!$M$24)*CHOOSE(ArtifactsInput!$N$24+1,10,12,14,16,18,20)+(IF(AND(Inputs!$B$38&lt;&gt;"pvp",Inputs!$B$43=0),1,IF(IF(Inputs!$B$38="pvp",15,Inputs!$B$43)-(B3389)&lt;=0,1,MAX(0,IF(Inputs!$B$38="pvp",15,Inputs!$B$43)-MAX(5,B3389))/(IF(Inputs!$B$38="pvp",15,Inputs!$B$43)-(B3389))))*IF(AND(ArtifactsInput!$M$42,((Inputs!$B$9+((C3370=TRUE)*(F3370-Calc!F19))+B3382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3353*(MIN((Inputs!$B$9+((C3370=TRUE)*(F3370-Calc!F19))+B3382+(ArtifactsInput!$M$24-ArtifactsInput!$M$24)*CHOOSE(ArtifactsInput!$N$24+1,10,12,14,16,18,20)+(IF(AND(Inputs!$B$38&lt;&gt;"pvp",Inputs!$B$43=0),1,IF(IF(Inputs!$B$38="pvp",15,Inputs!$B$43)-(B3389)&lt;=0,1,MAX(0,IF(Inputs!$B$38="pvp",15,Inputs!$B$43)-MAX(5,B3389))/(IF(Inputs!$B$38="pvp",15,Inputs!$B$43)-(B3389))))*IF(AND(ArtifactsInput!$M$42,((Inputs!$B$9+((C3370=TRUE)*(F3370-Calc!F19))+B3382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353">
        <f>(1-Summary!$B$11)*T3353+Summary!$B$11*V3353</f>
        <v/>
      </c>
      <c r="P3353">
        <f>IF(B3392=0,0,O3353/B3392)</f>
        <v/>
      </c>
      <c r="Q3353" t="n">
        <v>0</v>
      </c>
      <c r="R3353" t="n">
        <v>0</v>
      </c>
      <c r="S3353">
        <f>IFERROR(O3353/N3353,0)</f>
        <v/>
      </c>
      <c r="T3353">
        <f>IF(C3353,(Skills!G2*N3353*B3386*(1+IF(C3378=TRUE,1/3,0)))*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Hunt"),CHOOSE(ArtifactsInput!$N$35+1,15,18,21,24,27,30)*(1-EXP(-(0.2*B3384)*5)),0)+IF(AND(ArtifactsInput!$M$22,Inputs!$B$4&lt;&gt;"Chapter Hunt"),CHOOSE(ArtifactsInput!$N$22+1,10,12,14,16,18,20)*((0*(((0.15*B3384*5))^0/1)+1*(((0.15*B3384*5))^1/1)+2*(((0.15*B3384*5))^2/2)+3*(((0.15*B3384*5))^3/6)+4*(((0.15*B3384*5))^4/24)+5*(((0.15*B3384*5))^5/120))/((((0.15*B3384*5))^0/1)+(((0.15*B3384*5))^1/1)+(((0.15*B3384*5))^2/2)+(((0.15*B3384*5))^3/6)+(((0.15*B3384*5))^4/24)+(((0.15*B3384*5))^5/120))),0))+IF(Inputs!$B$3&gt;=54,9*(C3354=TRUE)*MIN(1,8*(1+Inputs!$B$34/100)*Q3354)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3353*(1-MIN(100,(Inputs!$B$9+((C3370=TRUE)*(F3370-Calc!F19))+B3382+(ArtifactsInput!$M$24-ArtifactsInput!$M$24)*CHOOSE(ArtifactsInput!$N$24+1,10,12,14,16,18,20)+(IF(AND(Inputs!$B$38&lt;&gt;"pvp",Inputs!$B$43=0),1,IF(IF(Inputs!$B$38="pvp",15,Inputs!$B$43)-(B3389)&lt;=0,1,MAX(0,IF(Inputs!$B$38="pvp",15,Inputs!$B$43)-MAX(5,B3389))/(IF(Inputs!$B$38="pvp",15,Inputs!$B$43)-(B3389))))*IF(AND(ArtifactsInput!$M$42,((Inputs!$B$9+((C3370=TRUE)*(F3370-Calc!F19))+B3382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3353*(MIN(100,(Inputs!$B$9+((C3370=TRUE)*(F3370-Calc!F19))+B3382+(ArtifactsInput!$M$24-ArtifactsInput!$M$24)*CHOOSE(ArtifactsInput!$N$24+1,10,12,14,16,18,20)+(IF(AND(Inputs!$B$38&lt;&gt;"pvp",Inputs!$B$43=0),1,IF(IF(Inputs!$B$38="pvp",15,Inputs!$B$43)-(B3389)&lt;=0,1,MAX(0,IF(Inputs!$B$38="pvp",15,Inputs!$B$43)-MAX(5,B3389))/(IF(Inputs!$B$38="pvp",15,Inputs!$B$43)-(B3389))))*IF(AND(ArtifactsInput!$M$42,((Inputs!$B$9+((C3370=TRUE)*(F3370-Calc!F19))+B3382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3353*(1-MIN(100,(Inputs!$B$9+((C3370=TRUE)*(F3370-Calc!F19))+B3382+(ArtifactsInput!$M$24-ArtifactsInput!$M$24)*CHOOSE(ArtifactsInput!$N$24+1,10,12,14,16,18,20)+(IF(AND(Inputs!$B$38&lt;&gt;"pvp",Inputs!$B$43=0),1,IF(IF(Inputs!$B$38="pvp",15,Inputs!$B$43)-(B3389)&lt;=0,1,MAX(0,IF(Inputs!$B$38="pvp",15,Inputs!$B$43)-MAX(5,B3389))/(IF(Inputs!$B$38="pvp",15,Inputs!$B$43)-(B3389))))*IF(AND(ArtifactsInput!$M$42,((Inputs!$B$9+((C3370=TRUE)*(F3370-Calc!F19))+B3382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3353*(MIN(100,(Inputs!$B$9+((C3370=TRUE)*(F3370-Calc!F19))+B3382+(ArtifactsInput!$M$24-ArtifactsInput!$M$24)*CHOOSE(ArtifactsInput!$N$24+1,10,12,14,16,18,20)+(IF(AND(Inputs!$B$38&lt;&gt;"pvp",Inputs!$B$43=0),1,IF(IF(Inputs!$B$38="pvp",15,Inputs!$B$43)-(B3389)&lt;=0,1,MAX(0,IF(Inputs!$B$38="pvp",15,Inputs!$B$43)-MAX(5,B3389))/(IF(Inputs!$B$38="pvp",15,Inputs!$B$43)-(B3389))))*IF(AND(ArtifactsInput!$M$42,((Inputs!$B$9+((C3370=TRUE)*(F3370-Calc!F19))+B3382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353">
        <f>MAX(0,(Inputs!$B$3-100)*3)+Inputs!$B$28+Inputs!$B$29</f>
        <v/>
      </c>
      <c r="V3353">
        <f>IF(C3353,(Skills!G2*N3353*B3386*(1+IF(C3378=TRUE,1/3,0)))*IF(Inputs!$B$38="pvp",1,(1+(Inputs!$B$21+Skills!Q2+(IF(ArtifactsInput!$M$33,CHOOSE(ArtifactsInput!$N$33+1,30,36,42,48,54,60),0))+(IF(AND(ArtifactsInput!$M$35,Inputs!$B$4&lt;&gt;"Chapter Hunt"),CHOOSE(ArtifactsInput!$N$35+1,15,18,21,24,27,30)*(1-EXP(-(0.2*B3384)*5)),0)+IF(AND(ArtifactsInput!$M$22,Inputs!$B$4&lt;&gt;"Chapter Hunt"),CHOOSE(ArtifactsInput!$N$22+1,10,12,14,16,18,20)*((0*(((0.15*B3384*5))^0/1)+1*(((0.15*B3384*5))^1/1)+2*(((0.15*B3384*5))^2/2)+3*(((0.15*B3384*5))^3/6)+4*(((0.15*B3384*5))^4/24)+5*(((0.15*B3384*5))^5/120))/((((0.15*B3384*5))^0/1)+(((0.15*B3384*5))^1/1)+(((0.15*B3384*5))^2/2)+(((0.15*B3384*5))^3/6)+(((0.15*B3384*5))^4/24)+(((0.15*B3384*5))^5/120))),0))+IF(Inputs!$B$3&gt;=54,9*(C3354=TRUE)*MIN(1,8*(1+Inputs!$B$34/100)*Q3354),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354">
      <c r="A3354">
        <f>Skills!A3</f>
        <v/>
      </c>
      <c r="B3354">
        <f>Skills!B3</f>
        <v/>
      </c>
      <c r="C3354">
        <f>Inputs!$B$3&gt;=33</f>
        <v/>
      </c>
      <c r="D3354">
        <f>IF(Skills!C3=1,60+Inputs!$B$25+Inputs!$B$29,IF(Skills!C3=2,90+Inputs!$B$26+Inputs!$B$29,IF(Skills!C3=3,120+Inputs!$B$27+Inputs!$B$29,MAX(0,(Inputs!$B$3-100)*3)+Inputs!$B$28+Inputs!$B$29)))</f>
        <v/>
      </c>
      <c r="E3354">
        <f>INDEX(FactorTable!$B$2:$Y$301, MATCH(ROUND(MIN(300,MAX(1,D3354)),0), FactorTable!$A$2:$A$301,0), Skills!M3+1)</f>
        <v/>
      </c>
      <c r="F3354">
        <f>IF(Skills!N3=TRUE,(Skills!L3/10)*(E3354/1000),Skills!L3/10)+Skills!O3</f>
        <v/>
      </c>
      <c r="G3354">
        <f>Skills!G3*IF(Skills!H3&gt;0,INT(IF(Inputs!$B$38="pvp",MIN(Skills!I3,15),Skills!I3)/Skills!H3+0.000000001),1)</f>
        <v/>
      </c>
      <c r="H3354">
        <f>1-(1-Skills!J3/100)^Skills!K3</f>
        <v/>
      </c>
      <c r="I3354" t="inlineStr">
        <is>
          <t>1</t>
        </is>
      </c>
      <c r="J3354">
        <f>((Inputs!$B$6*(1+Inputs!$B$7/100))+(((Inputs!$B$12*(1+Inputs!$B$13/100))-(Inputs!$B$12*(1+Inputs!$B$13/100)))+0.25*(Inputs!$B$14-Inputs!$B$14))*(1+Inputs!$B$7/100))*(F3354/100)</f>
        <v/>
      </c>
      <c r="K3354">
        <f>J3354*(1+((Inputs!$B$12*(1+Inputs!$B$13/100))*0.01+Inputs!$B$14*0.0025)/100)*(1+Inputs!$B$15/100)*(1+Inputs!$B$16/100)*(5000/(6000+Inputs!$B$42*(1-(100*(1-(1-(Inputs!$B$19+0)/100)*(1-CHOOSE(ArtifactsInput!$N$40+1,5,6,7,8,9,10)/100)^(ArtifactsInput!$M$40-ArtifactsInput!$M$40)))/100)))*(1+(Inputs!$B$24+((C3377=TRUE)*(F3377-Calc!F26))+B3388)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3366=TRUE,F3366,0)/100)*(1+(IF(Skills!A3="EIGHT_LEGS_EASTON",Inputs!$B$17+((C3374=TRUE)*(F3374-Calc!F23))+((C3378=TRUE)*(F3378-Calc!F27))+((IF(AND(Inputs!$B$38&lt;&gt;"pvp",Inputs!$B$43=0),1,IF(IF(Inputs!$B$38="pvp",15,Inputs!$B$43)-(B3389)&lt;=0,1,MAX(0,IF(Inputs!$B$38="pvp",15,Inputs!$B$43)-MAX(5,B3389))/(IF(Inputs!$B$38="pvp",15,Inputs!$B$43)-(B3389))))*(IF(AND(ArtifactsInput!$M$42,((Inputs!$B$9+((C3370=TRUE)*(F3370-Calc!F19))+B3382+(ArtifactsInput!$M$24-ArtifactsInput!$M$24)*CHOOSE(ArtifactsInput!$N$24+1,10,12,14,16,18,20)+IF(ArtifactsInput!$M$10,CHOOSE(ArtifactsInput!$N$10+1,15,18,21,24,27,30)*(IF(Inputs!$B$38="pvp",MIN(15,15)/15,IF(AND(Inputs!$B$38&lt;&gt;"pvp",Inputs!$B$43&gt;0),MIN(15,Inputs!$B$43)/(Inputs!$B$43),0))),0)))&gt;=100),MIN(100,((Inputs!$B$9+((C3370=TRUE)*(F3370-Calc!F19))+B3382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3389)&lt;=0,1,MAX(0,IF(Inputs!$B$38="pvp",15,Inputs!$B$43)-MAX(5,B3389))/(IF(Inputs!$B$38="pvp",15,Inputs!$B$43)-(B3389))))*IF(AND(ArtifactsInput!$M$42,((Inputs!$B$9+((C3370=TRUE)*(F3370-Calc!F19))+B3382+(ArtifactsInput!$M$24-ArtifactsInput!$M$24)*CHOOSE(ArtifactsInput!$N$24+1,10,12,14,16,18,20)+IF(ArtifactsInput!$M$10,CHOOSE(ArtifactsInput!$N$10+1,15,18,21,24,27,30)*(IF(Inputs!$B$38="pvp",MIN(15,15)/15,IF(AND(Inputs!$B$38&lt;&gt;"pvp",Inputs!$B$43&gt;0),MIN(15,Inputs!$B$43)/(Inputs!$B$43),0))),0)))&gt;=100),CHOOSE(ArtifactsInput!$N$42+1,40,48,56,64,72,80),0))))/100)*((1+(((C3368=TRUE)*F3368*5/7)+((C3375=TRUE)*(F3375-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3354)</f>
        <v/>
      </c>
      <c r="L3354">
        <f>K3354*(MIN(Inputs!$B$22+((C3373=TRUE)*(F3373-Calc!F22)),(Inputs!$B$23+0+(IF(ArtifactsInput!$M$15,CHOOSE(ArtifactsInput!$N$15+1,25,30,35,40,45,50)/100*(Inputs!$B$11-Inputs!$B$11),0))))/100+(Inputs!$B$23+0+(IF(ArtifactsInput!$M$15,CHOOSE(ArtifactsInput!$N$15+1,25,30,35,40,45,50)/100*(Inputs!$B$11-Inputs!$B$11),0)))/100)/2</f>
        <v/>
      </c>
      <c r="M3354">
        <f>L3354*(1+(Inputs!$B$10+((C3376=TRUE)*(F3376-Calc!F25))+B3387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354">
        <f>L3354*(1-MIN((Inputs!$B$9+((C3370=TRUE)*(F3370-Calc!F19))+B3382+(ArtifactsInput!$M$24-ArtifactsInput!$M$24)*CHOOSE(ArtifactsInput!$N$24+1,10,12,14,16,18,20)+(IF(AND(Inputs!$B$38&lt;&gt;"pvp",Inputs!$B$43=0),1,IF(IF(Inputs!$B$38="pvp",15,Inputs!$B$43)-(B3389)&lt;=0,1,MAX(0,IF(Inputs!$B$38="pvp",15,Inputs!$B$43)-MAX(5,B3389))/(IF(Inputs!$B$38="pvp",15,Inputs!$B$43)-(B3389))))*IF(AND(ArtifactsInput!$M$42,((Inputs!$B$9+((C3370=TRUE)*(F3370-Calc!F19))+B3382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3354*(MIN((Inputs!$B$9+((C3370=TRUE)*(F3370-Calc!F19))+B3382+(ArtifactsInput!$M$24-ArtifactsInput!$M$24)*CHOOSE(ArtifactsInput!$N$24+1,10,12,14,16,18,20)+(IF(AND(Inputs!$B$38&lt;&gt;"pvp",Inputs!$B$43=0),1,IF(IF(Inputs!$B$38="pvp",15,Inputs!$B$43)-(B3389)&lt;=0,1,MAX(0,IF(Inputs!$B$38="pvp",15,Inputs!$B$43)-MAX(5,B3389))/(IF(Inputs!$B$38="pvp",15,Inputs!$B$43)-(B3389))))*IF(AND(ArtifactsInput!$M$42,((Inputs!$B$9+((C3370=TRUE)*(F3370-Calc!F19))+B3382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354">
        <f>(1-Summary!$B$11)*T3354+Summary!$B$11*V3354</f>
        <v/>
      </c>
      <c r="P3354">
        <f>IF(B3392=0,0,O3354/B3392)</f>
        <v/>
      </c>
      <c r="Q3354">
        <f>IFERROR(1/(IF(Inputs!$B$38="pvp",15,MAX(0.1,Skills!D3-IF(TRUE=TRUE,5.0,0)))*(1-IF(AND(ArtifactsInput!$M$27,Inputs!$B$4="Chapter Hunt"),CHOOSE(ArtifactsInput!$N$27+1,20,24,28,32,36,40),0)/100)),0)</f>
        <v/>
      </c>
      <c r="R3354">
        <f>IF(AND(Inputs!$B$38&lt;&gt;"pvp",Inputs!$B$43&gt;0),IF(MAX(0,Inputs!$B$43-B3389)&lt;=0,0,(INT(MAX(0,Inputs!$B$43-B3389)/(IF(Inputs!$B$38="pvp",15,MAX(0.1,Skills!D3-IF(TRUE=TRUE,5.0,0)))*(1-IF(AND(ArtifactsInput!$M$27,Inputs!$B$4="Chapter Hunt"),CHOOSE(ArtifactsInput!$N$27+1,20,24,28,32,36,40),0)/100)))+1)),0)</f>
        <v/>
      </c>
      <c r="S3354">
        <f>IFERROR(O3354/N3354,0)</f>
        <v/>
      </c>
      <c r="T3354">
        <f>IF(C3354,(H3354*N3354*IF(AND(Inputs!$B$38&lt;&gt;"pvp",Inputs!$B$43&gt;0),((Skills!G3*((R3354-1)*IF(Skills!H3&gt;0,INT(Skills!I3/Skills!H3+0.000000001),1)+IF(Skills!H3&gt;0,INT(MIN(Skills!I3,MAX(0,MAX(0,Inputs!$B$43-B3389)-((R3354-1)*(IF(Inputs!$B$38="pvp",15,MAX(0.1,Skills!D3-IF(TRUE=TRUE,5.0,0)))*(1-IF(AND(ArtifactsInput!$M$27,Inputs!$B$4="Chapter Hunt"),CHOOSE(ArtifactsInput!$N$27+1,20,24,28,32,36,40),0)/100)))))/Skills!H3+0.000000001),1)))/Inputs!$B$43),G3354*Q3354))*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Hunt"),CHOOSE(ArtifactsInput!$N$35+1,15,18,21,24,27,30)*(1-EXP(-(0.2*B3384)*5)),0)+IF(AND(ArtifactsInput!$M$22,Inputs!$B$4&lt;&gt;"Chapter Hunt"),CHOOSE(ArtifactsInput!$N$22+1,10,12,14,16,18,20)*((0*(((0.15*B3384*5))^0/1)+1*(((0.15*B3384*5))^1/1)+2*(((0.15*B3384*5))^2/2)+3*(((0.15*B3384*5))^3/6)+4*(((0.15*B3384*5))^4/24)+5*(((0.15*B3384*5))^5/120))/((((0.15*B3384*5))^0/1)+(((0.15*B3384*5))^1/1)+(((0.15*B3384*5))^2/2)+(((0.15*B3384*5))^3/6)+(((0.15*B3384*5))^4/24)+(((0.15*B3384*5))^5/120))),0))+IF(Inputs!$B$3&gt;=54,9*(C3354=TRUE)*MIN(1,8*(1+Inputs!$B$34/100)*Q3354)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3354*(1-MIN(100,(Inputs!$B$9+((C3370=TRUE)*(F3370-Calc!F19))+B3382+(ArtifactsInput!$M$24-ArtifactsInput!$M$24)*CHOOSE(ArtifactsInput!$N$24+1,10,12,14,16,18,20)+(IF(AND(Inputs!$B$38&lt;&gt;"pvp",Inputs!$B$43=0),1,IF(IF(Inputs!$B$38="pvp",15,Inputs!$B$43)-(B3389)&lt;=0,1,MAX(0,IF(Inputs!$B$38="pvp",15,Inputs!$B$43)-MAX(5,B3389))/(IF(Inputs!$B$38="pvp",15,Inputs!$B$43)-(B3389))))*IF(AND(ArtifactsInput!$M$42,((Inputs!$B$9+((C3370=TRUE)*(F3370-Calc!F19))+B3382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3354*(MIN(100,(Inputs!$B$9+((C3370=TRUE)*(F3370-Calc!F19))+B3382+(ArtifactsInput!$M$24-ArtifactsInput!$M$24)*CHOOSE(ArtifactsInput!$N$24+1,10,12,14,16,18,20)+(IF(AND(Inputs!$B$38&lt;&gt;"pvp",Inputs!$B$43=0),1,IF(IF(Inputs!$B$38="pvp",15,Inputs!$B$43)-(B3389)&lt;=0,1,MAX(0,IF(Inputs!$B$38="pvp",15,Inputs!$B$43)-MAX(5,B3389))/(IF(Inputs!$B$38="pvp",15,Inputs!$B$43)-(B3389))))*IF(AND(ArtifactsInput!$M$42,((Inputs!$B$9+((C3370=TRUE)*(F3370-Calc!F19))+B3382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3354*(1-MIN(100,(Inputs!$B$9+((C3370=TRUE)*(F3370-Calc!F19))+B3382+(ArtifactsInput!$M$24-ArtifactsInput!$M$24)*CHOOSE(ArtifactsInput!$N$24+1,10,12,14,16,18,20)+(IF(AND(Inputs!$B$38&lt;&gt;"pvp",Inputs!$B$43=0),1,IF(IF(Inputs!$B$38="pvp",15,Inputs!$B$43)-(B3389)&lt;=0,1,MAX(0,IF(Inputs!$B$38="pvp",15,Inputs!$B$43)-MAX(5,B3389))/(IF(Inputs!$B$38="pvp",15,Inputs!$B$43)-(B3389))))*IF(AND(ArtifactsInput!$M$42,((Inputs!$B$9+((C3370=TRUE)*(F3370-Calc!F19))+B3382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3354*(MIN(100,(Inputs!$B$9+((C3370=TRUE)*(F3370-Calc!F19))+B3382+(ArtifactsInput!$M$24-ArtifactsInput!$M$24)*CHOOSE(ArtifactsInput!$N$24+1,10,12,14,16,18,20)+(IF(AND(Inputs!$B$38&lt;&gt;"pvp",Inputs!$B$43=0),1,IF(IF(Inputs!$B$38="pvp",15,Inputs!$B$43)-(B3389)&lt;=0,1,MAX(0,IF(Inputs!$B$38="pvp",15,Inputs!$B$43)-MAX(5,B3389))/(IF(Inputs!$B$38="pvp",15,Inputs!$B$43)-(B3389))))*IF(AND(ArtifactsInput!$M$42,((Inputs!$B$9+((C3370=TRUE)*(F3370-Calc!F19))+B3382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354">
        <f>INDEX(FactorTable!$B$2:$Y$301, MATCH(ROUND(MIN(300,MAX(1,U3353)),0), FactorTable!$A$2:$A$301,0), 22)</f>
        <v/>
      </c>
      <c r="V3354">
        <f>IF(C3354,(H3354*N3354*IF(AND(Inputs!$B$38&lt;&gt;"pvp",Inputs!$B$43&gt;0),((Skills!G3*((R3354-1)*IF(Skills!H3&gt;0,INT(Skills!I3/Skills!H3+0.000000001),1)+IF(Skills!H3&gt;0,INT(MIN(Skills!I3,MAX(0,MAX(0,Inputs!$B$43-B3389)-((R3354-1)*(IF(Inputs!$B$38="pvp",15,MAX(0.1,Skills!D3-IF(TRUE=TRUE,5.0,0)))*(1-IF(AND(ArtifactsInput!$M$27,Inputs!$B$4="Chapter Hunt"),CHOOSE(ArtifactsInput!$N$27+1,20,24,28,32,36,40),0)/100)))))/Skills!H3+0.000000001),1)))/Inputs!$B$43),G3354*Q3354))*IF(Inputs!$B$38="pvp",1,(1+(Inputs!$B$21+Skills!Q3+(IF(ArtifactsInput!$M$33,CHOOSE(ArtifactsInput!$N$33+1,30,36,42,48,54,60),0))+(IF(AND(ArtifactsInput!$M$35,Inputs!$B$4&lt;&gt;"Chapter Hunt"),CHOOSE(ArtifactsInput!$N$35+1,15,18,21,24,27,30)*(1-EXP(-(0.2*B3384)*5)),0)+IF(AND(ArtifactsInput!$M$22,Inputs!$B$4&lt;&gt;"Chapter Hunt"),CHOOSE(ArtifactsInput!$N$22+1,10,12,14,16,18,20)*((0*(((0.15*B3384*5))^0/1)+1*(((0.15*B3384*5))^1/1)+2*(((0.15*B3384*5))^2/2)+3*(((0.15*B3384*5))^3/6)+4*(((0.15*B3384*5))^4/24)+5*(((0.15*B3384*5))^5/120))/((((0.15*B3384*5))^0/1)+(((0.15*B3384*5))^1/1)+(((0.15*B3384*5))^2/2)+(((0.15*B3384*5))^3/6)+(((0.15*B3384*5))^4/24)+(((0.15*B3384*5))^5/120))),0))+IF(Inputs!$B$3&gt;=54,9*(C3354=TRUE)*MIN(1,8*(1+Inputs!$B$34/100)*Q3354),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355">
      <c r="A3355">
        <f>Skills!A4</f>
        <v/>
      </c>
      <c r="B3355">
        <f>Skills!B4</f>
        <v/>
      </c>
      <c r="C3355">
        <f>Inputs!$B$3&gt;=35</f>
        <v/>
      </c>
      <c r="D3355">
        <f>IF(Skills!C4=1,60+Inputs!$B$25+Inputs!$B$29,IF(Skills!C4=2,90+Inputs!$B$26+Inputs!$B$29,IF(Skills!C4=3,120+Inputs!$B$27+Inputs!$B$29,MAX(0,(Inputs!$B$3-100)*3)+Inputs!$B$28+Inputs!$B$29)))</f>
        <v/>
      </c>
      <c r="E3355">
        <f>INDEX(FactorTable!$B$2:$Y$301, MATCH(ROUND(MIN(300,MAX(1,D3355)),0), FactorTable!$A$2:$A$301,0), Skills!M4+1)</f>
        <v/>
      </c>
      <c r="F3355">
        <f>IF(Skills!N4=TRUE,(Skills!L4/10)*(E3355/1000),Skills!L4/10)+Skills!O4</f>
        <v/>
      </c>
      <c r="G3355">
        <f>Skills!G4*IF(Skills!H4&gt;0,INT(IF(Inputs!$B$38="pvp",MIN(IF(Inputs!$B$3&gt;=104,MIN(35,20*(1+Inputs!$B$34/100)),20),15),IF(Inputs!$B$3&gt;=104,MIN(35,20*(1+Inputs!$B$34/100)),20))/Skills!H4+0.000000001),1)</f>
        <v/>
      </c>
      <c r="H3355">
        <f>1-(1-Skills!J4/100)^Skills!K4</f>
        <v/>
      </c>
      <c r="I3355" t="inlineStr">
        <is>
          <t>1</t>
        </is>
      </c>
      <c r="J3355">
        <f>((Inputs!$B$6*(1+Inputs!$B$7/100))+(((Inputs!$B$12*(1+Inputs!$B$13/100))-(Inputs!$B$12*(1+Inputs!$B$13/100)))+0.25*(Inputs!$B$14-Inputs!$B$14))*(1+Inputs!$B$7/100))*(F3355/100)</f>
        <v/>
      </c>
      <c r="K3355">
        <f>J3355*(1+((Inputs!$B$12*(1+Inputs!$B$13/100))*0.01+Inputs!$B$14*0.0025)/100)*(1+Inputs!$B$15/100)*(1+Inputs!$B$16/100)*(5000/(6000+Inputs!$B$42*(1-(100*(1-(1-(Inputs!$B$19+0)/100)*(1-CHOOSE(ArtifactsInput!$N$40+1,5,6,7,8,9,10)/100)^(ArtifactsInput!$M$40-ArtifactsInput!$M$40)))/100)))*(1+(Inputs!$B$24+((C3377=TRUE)*(F3377-Calc!F26))+B3388)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3367=TRUE,F3367,0)/100)*(1+(IF(Skills!A4="EIGHT_LEGS_EASTON",Inputs!$B$17+((C3374=TRUE)*(F3374-Calc!F23))+((C3378=TRUE)*(F3378-Calc!F27))+((IF(AND(Inputs!$B$38&lt;&gt;"pvp",Inputs!$B$43=0),1,IF(IF(Inputs!$B$38="pvp",15,Inputs!$B$43)-(B3389)&lt;=0,1,MAX(0,IF(Inputs!$B$38="pvp",15,Inputs!$B$43)-MAX(5,B3389))/(IF(Inputs!$B$38="pvp",15,Inputs!$B$43)-(B3389))))*(IF(AND(ArtifactsInput!$M$42,((Inputs!$B$9+((C3370=TRUE)*(F3370-Calc!F19))+B3382+(ArtifactsInput!$M$24-ArtifactsInput!$M$24)*CHOOSE(ArtifactsInput!$N$24+1,10,12,14,16,18,20)+IF(ArtifactsInput!$M$10,CHOOSE(ArtifactsInput!$N$10+1,15,18,21,24,27,30)*(IF(Inputs!$B$38="pvp",MIN(15,15)/15,IF(AND(Inputs!$B$38&lt;&gt;"pvp",Inputs!$B$43&gt;0),MIN(15,Inputs!$B$43)/(Inputs!$B$43),0))),0)))&gt;=100),MIN(100,((Inputs!$B$9+((C3370=TRUE)*(F3370-Calc!F19))+B3382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3389)&lt;=0,1,MAX(0,IF(Inputs!$B$38="pvp",15,Inputs!$B$43)-MAX(5,B3389))/(IF(Inputs!$B$38="pvp",15,Inputs!$B$43)-(B3389))))*IF(AND(ArtifactsInput!$M$42,((Inputs!$B$9+((C3370=TRUE)*(F3370-Calc!F19))+B3382+(ArtifactsInput!$M$24-ArtifactsInput!$M$24)*CHOOSE(ArtifactsInput!$N$24+1,10,12,14,16,18,20)+IF(ArtifactsInput!$M$10,CHOOSE(ArtifactsInput!$N$10+1,15,18,21,24,27,30)*(IF(Inputs!$B$38="pvp",MIN(15,15)/15,IF(AND(Inputs!$B$38&lt;&gt;"pvp",Inputs!$B$43&gt;0),MIN(15,Inputs!$B$43)/(Inputs!$B$43),0))),0)))&gt;=100),CHOOSE(ArtifactsInput!$N$42+1,40,48,56,64,72,80),0))))/100)*((1+(((C3368=TRUE)*F3368*5/7)+((C3375=TRUE)*(F3375-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3355)</f>
        <v/>
      </c>
      <c r="L3355">
        <f>K3355*(MIN(Inputs!$B$22+((C3373=TRUE)*(F3373-Calc!F22)),(Inputs!$B$23+0+(IF(ArtifactsInput!$M$15,CHOOSE(ArtifactsInput!$N$15+1,25,30,35,40,45,50)/100*(Inputs!$B$11-Inputs!$B$11),0))))/100+(Inputs!$B$23+0+(IF(ArtifactsInput!$M$15,CHOOSE(ArtifactsInput!$N$15+1,25,30,35,40,45,50)/100*(Inputs!$B$11-Inputs!$B$11),0)))/100)/2</f>
        <v/>
      </c>
      <c r="M3355">
        <f>L3355*(1+(Inputs!$B$10+((C3376=TRUE)*(F3376-Calc!F25))+B3387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355">
        <f>L3355*(1-MIN((Inputs!$B$9+((C3370=TRUE)*(F3370-Calc!F19))+B3382+(ArtifactsInput!$M$24-ArtifactsInput!$M$24)*CHOOSE(ArtifactsInput!$N$24+1,10,12,14,16,18,20)+(IF(AND(Inputs!$B$38&lt;&gt;"pvp",Inputs!$B$43=0),1,IF(IF(Inputs!$B$38="pvp",15,Inputs!$B$43)-(B3389)&lt;=0,1,MAX(0,IF(Inputs!$B$38="pvp",15,Inputs!$B$43)-MAX(5,B3389))/(IF(Inputs!$B$38="pvp",15,Inputs!$B$43)-(B3389))))*IF(AND(ArtifactsInput!$M$42,((Inputs!$B$9+((C3370=TRUE)*(F3370-Calc!F19))+B3382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3355*(MIN((Inputs!$B$9+((C3370=TRUE)*(F3370-Calc!F19))+B3382+(ArtifactsInput!$M$24-ArtifactsInput!$M$24)*CHOOSE(ArtifactsInput!$N$24+1,10,12,14,16,18,20)+(IF(AND(Inputs!$B$38&lt;&gt;"pvp",Inputs!$B$43=0),1,IF(IF(Inputs!$B$38="pvp",15,Inputs!$B$43)-(B3389)&lt;=0,1,MAX(0,IF(Inputs!$B$38="pvp",15,Inputs!$B$43)-MAX(5,B3389))/(IF(Inputs!$B$38="pvp",15,Inputs!$B$43)-(B3389))))*IF(AND(ArtifactsInput!$M$42,((Inputs!$B$9+((C3370=TRUE)*(F3370-Calc!F19))+B3382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355">
        <f>(1-Summary!$B$11)*T3355+Summary!$B$11*V3355</f>
        <v/>
      </c>
      <c r="P3355">
        <f>IF(B3392=0,0,O3355/B3392)</f>
        <v/>
      </c>
      <c r="Q3355">
        <f>IFERROR(1/(IF(Inputs!$B$38="pvp",15,MAX(0.1,Skills!D4-IF(TRUE=TRUE,5.0,0)))*(1-IF(AND(ArtifactsInput!$M$27,Inputs!$B$4="Chapter Hunt"),CHOOSE(ArtifactsInput!$N$27+1,20,24,28,32,36,40),0)/100)),0)</f>
        <v/>
      </c>
      <c r="R3355">
        <f>IF(AND(Inputs!$B$38&lt;&gt;"pvp",Inputs!$B$43&gt;0),IF(MAX(0,Inputs!$B$43-B3389)&lt;=0,0,(INT(MAX(0,Inputs!$B$43-B3389)/(IF(Inputs!$B$38="pvp",15,MAX(0.1,Skills!D4-IF(TRUE=TRUE,5.0,0)))*(1-IF(AND(ArtifactsInput!$M$27,Inputs!$B$4="Chapter Hunt"),CHOOSE(ArtifactsInput!$N$27+1,20,24,28,32,36,40),0)/100)))+1)),0)</f>
        <v/>
      </c>
      <c r="S3355">
        <f>IFERROR(O3355/N3355,0)</f>
        <v/>
      </c>
      <c r="T3355">
        <f>IF(C3355,(H3355*N3355*IF(AND(Inputs!$B$38&lt;&gt;"pvp",Inputs!$B$43&gt;0),((Skills!G4*((R3355-1)*IF(Skills!H4&gt;0,INT(IF(Inputs!$B$3&gt;=104,MIN(35,20*(1+Inputs!$B$34/100)),20)/Skills!H4+0.000000001),1)+IF(Skills!H4&gt;0,INT(MIN(IF(Inputs!$B$3&gt;=104,MIN(35,20*(1+Inputs!$B$34/100)),20),MAX(0,MAX(0,Inputs!$B$43-B3389)-((R3355-1)*(IF(Inputs!$B$38="pvp",15,MAX(0.1,Skills!D4-IF(TRUE=TRUE,5.0,0)))*(1-IF(AND(ArtifactsInput!$M$27,Inputs!$B$4="Chapter Hunt"),CHOOSE(ArtifactsInput!$N$27+1,20,24,28,32,36,40),0)/100)))))/Skills!H4+0.000000001),1)))/Inputs!$B$43),G3355*Q3355))*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Hunt"),CHOOSE(ArtifactsInput!$N$35+1,15,18,21,24,27,30)*(1-EXP(-(0.2*B3384)*5)),0)+IF(AND(ArtifactsInput!$M$22,Inputs!$B$4&lt;&gt;"Chapter Hunt"),CHOOSE(ArtifactsInput!$N$22+1,10,12,14,16,18,20)*((0*(((0.15*B3384*5))^0/1)+1*(((0.15*B3384*5))^1/1)+2*(((0.15*B3384*5))^2/2)+3*(((0.15*B3384*5))^3/6)+4*(((0.15*B3384*5))^4/24)+5*(((0.15*B3384*5))^5/120))/((((0.15*B3384*5))^0/1)+(((0.15*B3384*5))^1/1)+(((0.15*B3384*5))^2/2)+(((0.15*B3384*5))^3/6)+(((0.15*B3384*5))^4/24)+(((0.15*B3384*5))^5/120))),0))+IF(Inputs!$B$3&gt;=54,9*(C3354=TRUE)*MIN(1,8*(1+Inputs!$B$34/100)*Q3354)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3355*(1-MIN(100,(Inputs!$B$9+((C3370=TRUE)*(F3370-Calc!F19))+B3382+(ArtifactsInput!$M$24-ArtifactsInput!$M$24)*CHOOSE(ArtifactsInput!$N$24+1,10,12,14,16,18,20)+(IF(AND(Inputs!$B$38&lt;&gt;"pvp",Inputs!$B$43=0),1,IF(IF(Inputs!$B$38="pvp",15,Inputs!$B$43)-(B3389)&lt;=0,1,MAX(0,IF(Inputs!$B$38="pvp",15,Inputs!$B$43)-MAX(5,B3389))/(IF(Inputs!$B$38="pvp",15,Inputs!$B$43)-(B3389))))*IF(AND(ArtifactsInput!$M$42,((Inputs!$B$9+((C3370=TRUE)*(F3370-Calc!F19))+B3382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3355*(MIN(100,(Inputs!$B$9+((C3370=TRUE)*(F3370-Calc!F19))+B3382+(ArtifactsInput!$M$24-ArtifactsInput!$M$24)*CHOOSE(ArtifactsInput!$N$24+1,10,12,14,16,18,20)+(IF(AND(Inputs!$B$38&lt;&gt;"pvp",Inputs!$B$43=0),1,IF(IF(Inputs!$B$38="pvp",15,Inputs!$B$43)-(B3389)&lt;=0,1,MAX(0,IF(Inputs!$B$38="pvp",15,Inputs!$B$43)-MAX(5,B3389))/(IF(Inputs!$B$38="pvp",15,Inputs!$B$43)-(B3389))))*IF(AND(ArtifactsInput!$M$42,((Inputs!$B$9+((C3370=TRUE)*(F3370-Calc!F19))+B3382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3355*(1-MIN(100,(Inputs!$B$9+((C3370=TRUE)*(F3370-Calc!F19))+B3382+(ArtifactsInput!$M$24-ArtifactsInput!$M$24)*CHOOSE(ArtifactsInput!$N$24+1,10,12,14,16,18,20)+(IF(AND(Inputs!$B$38&lt;&gt;"pvp",Inputs!$B$43=0),1,IF(IF(Inputs!$B$38="pvp",15,Inputs!$B$43)-(B3389)&lt;=0,1,MAX(0,IF(Inputs!$B$38="pvp",15,Inputs!$B$43)-MAX(5,B3389))/(IF(Inputs!$B$38="pvp",15,Inputs!$B$43)-(B3389))))*IF(AND(ArtifactsInput!$M$42,((Inputs!$B$9+((C3370=TRUE)*(F3370-Calc!F19))+B3382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3355*(MIN(100,(Inputs!$B$9+((C3370=TRUE)*(F3370-Calc!F19))+B3382+(ArtifactsInput!$M$24-ArtifactsInput!$M$24)*CHOOSE(ArtifactsInput!$N$24+1,10,12,14,16,18,20)+(IF(AND(Inputs!$B$38&lt;&gt;"pvp",Inputs!$B$43=0),1,IF(IF(Inputs!$B$38="pvp",15,Inputs!$B$43)-(B3389)&lt;=0,1,MAX(0,IF(Inputs!$B$38="pvp",15,Inputs!$B$43)-MAX(5,B3389))/(IF(Inputs!$B$38="pvp",15,Inputs!$B$43)-(B3389))))*IF(AND(ArtifactsInput!$M$42,((Inputs!$B$9+((C3370=TRUE)*(F3370-Calc!F19))+B3382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355">
        <f>290*U3354/1000</f>
        <v/>
      </c>
      <c r="V3355">
        <f>IF(C3355,(H3355*N3355*IF(AND(Inputs!$B$38&lt;&gt;"pvp",Inputs!$B$43&gt;0),((Skills!G4*((R3355-1)*IF(Skills!H4&gt;0,INT(IF(Inputs!$B$3&gt;=104,MIN(35,20*(1+Inputs!$B$34/100)),20)/Skills!H4+0.000000001),1)+IF(Skills!H4&gt;0,INT(MIN(IF(Inputs!$B$3&gt;=104,MIN(35,20*(1+Inputs!$B$34/100)),20),MAX(0,MAX(0,Inputs!$B$43-B3389)-((R3355-1)*(IF(Inputs!$B$38="pvp",15,MAX(0.1,Skills!D4-IF(TRUE=TRUE,5.0,0)))*(1-IF(AND(ArtifactsInput!$M$27,Inputs!$B$4="Chapter Hunt"),CHOOSE(ArtifactsInput!$N$27+1,20,24,28,32,36,40),0)/100)))))/Skills!H4+0.000000001),1)))/Inputs!$B$43),G3355*Q3355))*IF(Inputs!$B$38="pvp",1,(1+(Inputs!$B$21+Skills!Q4+(IF(ArtifactsInput!$M$33,CHOOSE(ArtifactsInput!$N$33+1,30,36,42,48,54,60),0))+(IF(AND(ArtifactsInput!$M$35,Inputs!$B$4&lt;&gt;"Chapter Hunt"),CHOOSE(ArtifactsInput!$N$35+1,15,18,21,24,27,30)*(1-EXP(-(0.2*B3384)*5)),0)+IF(AND(ArtifactsInput!$M$22,Inputs!$B$4&lt;&gt;"Chapter Hunt"),CHOOSE(ArtifactsInput!$N$22+1,10,12,14,16,18,20)*((0*(((0.15*B3384*5))^0/1)+1*(((0.15*B3384*5))^1/1)+2*(((0.15*B3384*5))^2/2)+3*(((0.15*B3384*5))^3/6)+4*(((0.15*B3384*5))^4/24)+5*(((0.15*B3384*5))^5/120))/((((0.15*B3384*5))^0/1)+(((0.15*B3384*5))^1/1)+(((0.15*B3384*5))^2/2)+(((0.15*B3384*5))^3/6)+(((0.15*B3384*5))^4/24)+(((0.15*B3384*5))^5/120))),0))+IF(Inputs!$B$3&gt;=54,9*(C3354=TRUE)*MIN(1,8*(1+Inputs!$B$34/100)*Q3354),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356">
      <c r="A3356">
        <f>Skills!A5</f>
        <v/>
      </c>
      <c r="B3356">
        <f>Skills!B5</f>
        <v/>
      </c>
      <c r="C3356">
        <f>Inputs!$B$3&gt;=69</f>
        <v/>
      </c>
      <c r="D3356">
        <f>IF(Skills!C5=1,60+Inputs!$B$25+Inputs!$B$29,IF(Skills!C5=2,90+Inputs!$B$26+Inputs!$B$29,IF(Skills!C5=3,120+Inputs!$B$27+Inputs!$B$29,MAX(0,(Inputs!$B$3-100)*3)+Inputs!$B$28+Inputs!$B$29)))</f>
        <v/>
      </c>
      <c r="E3356">
        <f>INDEX(FactorTable!$B$2:$Y$301, MATCH(ROUND(MIN(300,MAX(1,D3356)),0), FactorTable!$A$2:$A$301,0), Skills!M5+1)</f>
        <v/>
      </c>
      <c r="F3356">
        <f>IF(Skills!N5=TRUE,(Skills!L5/10)*(E3356/1000),Skills!L5/10)+Skills!O5</f>
        <v/>
      </c>
      <c r="G3356">
        <f>Skills!G5*IF(Skills!H5&gt;0,INT(IF(Inputs!$B$38="pvp",MIN(IF(Inputs!$B$3&gt;=104,MIN(35,20*(1+Inputs!$B$34/100)),20),15),IF(Inputs!$B$3&gt;=104,MIN(35,20*(1+Inputs!$B$34/100)),20))/Skills!H5+0.000000001),1)</f>
        <v/>
      </c>
      <c r="H3356">
        <f>1-(1-Skills!J5/100)^Skills!K5</f>
        <v/>
      </c>
      <c r="I3356" t="inlineStr">
        <is>
          <t>1</t>
        </is>
      </c>
      <c r="J3356">
        <f>((Inputs!$B$6*(1+Inputs!$B$7/100))+(((Inputs!$B$12*(1+Inputs!$B$13/100))-(Inputs!$B$12*(1+Inputs!$B$13/100)))+0.25*(Inputs!$B$14-Inputs!$B$14))*(1+Inputs!$B$7/100))*(F3356/100)</f>
        <v/>
      </c>
      <c r="K3356">
        <f>J3356*(1+((Inputs!$B$12*(1+Inputs!$B$13/100))*0.01+Inputs!$B$14*0.0025)/100)*(1+Inputs!$B$15/100)*(1+Inputs!$B$16/100)*(5000/(6000+Inputs!$B$42*(1-(100*(1-(1-(Inputs!$B$19+0)/100)*(1-CHOOSE(ArtifactsInput!$N$40+1,5,6,7,8,9,10)/100)^(ArtifactsInput!$M$40-ArtifactsInput!$M$40)))/100)))*(1+(Inputs!$B$24+((C3377=TRUE)*(F3377-Calc!F26))+B3388)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+0.4*IF(C3367=TRUE,F3367,0)/100)*(1+(IF(Skills!A5="EIGHT_LEGS_EASTON",Inputs!$B$17+((C3374=TRUE)*(F3374-Calc!F23))+((C3378=TRUE)*(F3378-Calc!F27))+((IF(AND(Inputs!$B$38&lt;&gt;"pvp",Inputs!$B$43=0),1,IF(IF(Inputs!$B$38="pvp",15,Inputs!$B$43)-(B3389)&lt;=0,1,MAX(0,IF(Inputs!$B$38="pvp",15,Inputs!$B$43)-MAX(5,B3389))/(IF(Inputs!$B$38="pvp",15,Inputs!$B$43)-(B3389))))*(IF(AND(ArtifactsInput!$M$42,((Inputs!$B$9+((C3370=TRUE)*(F3370-Calc!F19))+B3382+(ArtifactsInput!$M$24-ArtifactsInput!$M$24)*CHOOSE(ArtifactsInput!$N$24+1,10,12,14,16,18,20)+IF(ArtifactsInput!$M$10,CHOOSE(ArtifactsInput!$N$10+1,15,18,21,24,27,30)*(IF(Inputs!$B$38="pvp",MIN(15,15)/15,IF(AND(Inputs!$B$38&lt;&gt;"pvp",Inputs!$B$43&gt;0),MIN(15,Inputs!$B$43)/(Inputs!$B$43),0))),0)))&gt;=100),MIN(100,((Inputs!$B$9+((C3370=TRUE)*(F3370-Calc!F19))+B3382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3389)&lt;=0,1,MAX(0,IF(Inputs!$B$38="pvp",15,Inputs!$B$43)-MAX(5,B3389))/(IF(Inputs!$B$38="pvp",15,Inputs!$B$43)-(B3389))))*IF(AND(ArtifactsInput!$M$42,((Inputs!$B$9+((C3370=TRUE)*(F3370-Calc!F19))+B3382+(ArtifactsInput!$M$24-ArtifactsInput!$M$24)*CHOOSE(ArtifactsInput!$N$24+1,10,12,14,16,18,20)+IF(ArtifactsInput!$M$10,CHOOSE(ArtifactsInput!$N$10+1,15,18,21,24,27,30)*(IF(Inputs!$B$38="pvp",MIN(15,15)/15,IF(AND(Inputs!$B$38&lt;&gt;"pvp",Inputs!$B$43&gt;0),MIN(15,Inputs!$B$43)/(Inputs!$B$43),0))),0)))&gt;=100),CHOOSE(ArtifactsInput!$N$42+1,40,48,56,64,72,80),0))))/100)*((1+(((C3368=TRUE)*F3368*5/7)+((C3375=TRUE)*(F3375-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3356)</f>
        <v/>
      </c>
      <c r="L3356">
        <f>K3356*(MIN(Inputs!$B$22+((C3373=TRUE)*(F3373-Calc!F22)),(Inputs!$B$23+0+(IF(ArtifactsInput!$M$15,CHOOSE(ArtifactsInput!$N$15+1,25,30,35,40,45,50)/100*(Inputs!$B$11-Inputs!$B$11),0))))/100+(Inputs!$B$23+0+(IF(ArtifactsInput!$M$15,CHOOSE(ArtifactsInput!$N$15+1,25,30,35,40,45,50)/100*(Inputs!$B$11-Inputs!$B$11),0)))/100)/2</f>
        <v/>
      </c>
      <c r="M3356">
        <f>L3356*(1+(Inputs!$B$10+((C3376=TRUE)*(F3376-Calc!F25))+B3387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356">
        <f>L3356*(1-MIN((Inputs!$B$9+((C3370=TRUE)*(F3370-Calc!F19))+B3382+(ArtifactsInput!$M$24-ArtifactsInput!$M$24)*CHOOSE(ArtifactsInput!$N$24+1,10,12,14,16,18,20)+(IF(AND(Inputs!$B$38&lt;&gt;"pvp",Inputs!$B$43=0),1,IF(IF(Inputs!$B$38="pvp",15,Inputs!$B$43)-(B3389)&lt;=0,1,MAX(0,IF(Inputs!$B$38="pvp",15,Inputs!$B$43)-MAX(5,B3389))/(IF(Inputs!$B$38="pvp",15,Inputs!$B$43)-(B3389))))*IF(AND(ArtifactsInput!$M$42,((Inputs!$B$9+((C3370=TRUE)*(F3370-Calc!F19))+B3382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3356*(MIN((Inputs!$B$9+((C3370=TRUE)*(F3370-Calc!F19))+B3382+(ArtifactsInput!$M$24-ArtifactsInput!$M$24)*CHOOSE(ArtifactsInput!$N$24+1,10,12,14,16,18,20)+(IF(AND(Inputs!$B$38&lt;&gt;"pvp",Inputs!$B$43=0),1,IF(IF(Inputs!$B$38="pvp",15,Inputs!$B$43)-(B3389)&lt;=0,1,MAX(0,IF(Inputs!$B$38="pvp",15,Inputs!$B$43)-MAX(5,B3389))/(IF(Inputs!$B$38="pvp",15,Inputs!$B$43)-(B3389))))*IF(AND(ArtifactsInput!$M$42,((Inputs!$B$9+((C3370=TRUE)*(F3370-Calc!F19))+B3382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356">
        <f>(1-Summary!$B$11)*T3356+Summary!$B$11*V3356</f>
        <v/>
      </c>
      <c r="P3356">
        <f>IF(B3392=0,0,O3356/B3392)</f>
        <v/>
      </c>
      <c r="Q3356">
        <f>IFERROR(1/(IF(Inputs!$B$38="pvp",15,MAX(0.1,Skills!D5-IF(TRUE=TRUE,5.0,0)))*(1-IF(AND(ArtifactsInput!$M$27,Inputs!$B$4="Chapter Hunt"),CHOOSE(ArtifactsInput!$N$27+1,20,24,28,32,36,40),0)/100)),0)</f>
        <v/>
      </c>
      <c r="R3356">
        <f>IF(AND(Inputs!$B$38&lt;&gt;"pvp",Inputs!$B$43&gt;0),IF(MAX(0,Inputs!$B$43-B3389)&lt;=0,0,(INT(MAX(0,Inputs!$B$43-B3389)/(IF(Inputs!$B$38="pvp",15,MAX(0.1,Skills!D5-IF(TRUE=TRUE,5.0,0)))*(1-IF(AND(ArtifactsInput!$M$27,Inputs!$B$4="Chapter Hunt"),CHOOSE(ArtifactsInput!$N$27+1,20,24,28,32,36,40),0)/100)))+1)),0)</f>
        <v/>
      </c>
      <c r="S3356">
        <f>IFERROR(O3356/N3356,0)</f>
        <v/>
      </c>
      <c r="T3356">
        <f>IF(C3356,(H3356*N3356*IF(AND(Inputs!$B$38&lt;&gt;"pvp",Inputs!$B$43&gt;0),((Skills!G5*((R3356-1)*IF(Skills!H5&gt;0,INT(IF(Inputs!$B$3&gt;=104,MIN(35,20*(1+Inputs!$B$34/100)),20)/Skills!H5+0.000000001),1)+IF(Skills!H5&gt;0,INT(MIN(IF(Inputs!$B$3&gt;=104,MIN(35,20*(1+Inputs!$B$34/100)),20),MAX(0,MAX(0,Inputs!$B$43-B3389)-((R3356-1)*(IF(Inputs!$B$38="pvp",15,MAX(0.1,Skills!D5-IF(TRUE=TRUE,5.0,0)))*(1-IF(AND(ArtifactsInput!$M$27,Inputs!$B$4="Chapter Hunt"),CHOOSE(ArtifactsInput!$N$27+1,20,24,28,32,36,40),0)/100)))))/Skills!H5+0.000000001),1)))/Inputs!$B$43),G3356*Q3356))*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Hunt"),CHOOSE(ArtifactsInput!$N$35+1,15,18,21,24,27,30)*(1-EXP(-(0.2*B3384)*5)),0)+IF(AND(ArtifactsInput!$M$22,Inputs!$B$4&lt;&gt;"Chapter Hunt"),CHOOSE(ArtifactsInput!$N$22+1,10,12,14,16,18,20)*((0*(((0.15*B3384*5))^0/1)+1*(((0.15*B3384*5))^1/1)+2*(((0.15*B3384*5))^2/2)+3*(((0.15*B3384*5))^3/6)+4*(((0.15*B3384*5))^4/24)+5*(((0.15*B3384*5))^5/120))/((((0.15*B3384*5))^0/1)+(((0.15*B3384*5))^1/1)+(((0.15*B3384*5))^2/2)+(((0.15*B3384*5))^3/6)+(((0.15*B3384*5))^4/24)+(((0.15*B3384*5))^5/120))),0))+IF(Inputs!$B$3&gt;=54,9*(C3354=TRUE)*MIN(1,8*(1+Inputs!$B$34/100)*Q3354)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3356*(1-MIN(100,(Inputs!$B$9+((C3370=TRUE)*(F3370-Calc!F19))+B3382+(ArtifactsInput!$M$24-ArtifactsInput!$M$24)*CHOOSE(ArtifactsInput!$N$24+1,10,12,14,16,18,20)+(IF(AND(Inputs!$B$38&lt;&gt;"pvp",Inputs!$B$43=0),1,IF(IF(Inputs!$B$38="pvp",15,Inputs!$B$43)-(B3389)&lt;=0,1,MAX(0,IF(Inputs!$B$38="pvp",15,Inputs!$B$43)-MAX(5,B3389))/(IF(Inputs!$B$38="pvp",15,Inputs!$B$43)-(B3389))))*IF(AND(ArtifactsInput!$M$42,((Inputs!$B$9+((C3370=TRUE)*(F3370-Calc!F19))+B3382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3356*(MIN(100,(Inputs!$B$9+((C3370=TRUE)*(F3370-Calc!F19))+B3382+(ArtifactsInput!$M$24-ArtifactsInput!$M$24)*CHOOSE(ArtifactsInput!$N$24+1,10,12,14,16,18,20)+(IF(AND(Inputs!$B$38&lt;&gt;"pvp",Inputs!$B$43=0),1,IF(IF(Inputs!$B$38="pvp",15,Inputs!$B$43)-(B3389)&lt;=0,1,MAX(0,IF(Inputs!$B$38="pvp",15,Inputs!$B$43)-MAX(5,B3389))/(IF(Inputs!$B$38="pvp",15,Inputs!$B$43)-(B3389))))*IF(AND(ArtifactsInput!$M$42,((Inputs!$B$9+((C3370=TRUE)*(F3370-Calc!F19))+B3382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3356*(1-MIN(100,(Inputs!$B$9+((C3370=TRUE)*(F3370-Calc!F19))+B3382+(ArtifactsInput!$M$24-ArtifactsInput!$M$24)*CHOOSE(ArtifactsInput!$N$24+1,10,12,14,16,18,20)+(IF(AND(Inputs!$B$38&lt;&gt;"pvp",Inputs!$B$43=0),1,IF(IF(Inputs!$B$38="pvp",15,Inputs!$B$43)-(B3389)&lt;=0,1,MAX(0,IF(Inputs!$B$38="pvp",15,Inputs!$B$43)-MAX(5,B3389))/(IF(Inputs!$B$38="pvp",15,Inputs!$B$43)-(B3389))))*IF(AND(ArtifactsInput!$M$42,((Inputs!$B$9+((C3370=TRUE)*(F3370-Calc!F19))+B3382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3356*(MIN(100,(Inputs!$B$9+((C3370=TRUE)*(F3370-Calc!F19))+B3382+(ArtifactsInput!$M$24-ArtifactsInput!$M$24)*CHOOSE(ArtifactsInput!$N$24+1,10,12,14,16,18,20)+(IF(AND(Inputs!$B$38&lt;&gt;"pvp",Inputs!$B$43=0),1,IF(IF(Inputs!$B$38="pvp",15,Inputs!$B$43)-(B3389)&lt;=0,1,MAX(0,IF(Inputs!$B$38="pvp",15,Inputs!$B$43)-MAX(5,B3389))/(IF(Inputs!$B$38="pvp",15,Inputs!$B$43)-(B3389))))*IF(AND(ArtifactsInput!$M$42,((Inputs!$B$9+((C3370=TRUE)*(F3370-Calc!F19))+B3382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356">
        <f>IF(C3356,(H3356*N3356*IF(AND(Inputs!$B$38&lt;&gt;"pvp",Inputs!$B$43&gt;0),((Skills!G5*((R3356-1)*IF(Skills!H5&gt;0,INT(IF(Inputs!$B$3&gt;=104,MIN(35,20*(1+Inputs!$B$34/100)),20)/Skills!H5+0.000000001),1)+IF(Skills!H5&gt;0,INT(MIN(IF(Inputs!$B$3&gt;=104,MIN(35,20*(1+Inputs!$B$34/100)),20),MAX(0,MAX(0,Inputs!$B$43-B3389)-((R3356-1)*(IF(Inputs!$B$38="pvp",15,MAX(0.1,Skills!D5-IF(TRUE=TRUE,5.0,0)))*(1-IF(AND(ArtifactsInput!$M$27,Inputs!$B$4="Chapter Hunt"),CHOOSE(ArtifactsInput!$N$27+1,20,24,28,32,36,40),0)/100)))))/Skills!H5+0.000000001),1)))/Inputs!$B$43),G3356*Q3356))*IF(Inputs!$B$38="pvp",1,(1+(Inputs!$B$21+Skills!Q5+(IF(ArtifactsInput!$M$33,CHOOSE(ArtifactsInput!$N$33+1,30,36,42,48,54,60),0))+(IF(AND(ArtifactsInput!$M$35,Inputs!$B$4&lt;&gt;"Chapter Hunt"),CHOOSE(ArtifactsInput!$N$35+1,15,18,21,24,27,30)*(1-EXP(-(0.2*B3384)*5)),0)+IF(AND(ArtifactsInput!$M$22,Inputs!$B$4&lt;&gt;"Chapter Hunt"),CHOOSE(ArtifactsInput!$N$22+1,10,12,14,16,18,20)*((0*(((0.15*B3384*5))^0/1)+1*(((0.15*B3384*5))^1/1)+2*(((0.15*B3384*5))^2/2)+3*(((0.15*B3384*5))^3/6)+4*(((0.15*B3384*5))^4/24)+5*(((0.15*B3384*5))^5/120))/((((0.15*B3384*5))^0/1)+(((0.15*B3384*5))^1/1)+(((0.15*B3384*5))^2/2)+(((0.15*B3384*5))^3/6)+(((0.15*B3384*5))^4/24)+(((0.15*B3384*5))^5/120))),0))+IF(Inputs!$B$3&gt;=54,9*(C3354=TRUE)*MIN(1,8*(1+Inputs!$B$34/100)*Q3354),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357">
      <c r="A3357">
        <f>Skills!A6</f>
        <v/>
      </c>
      <c r="B3357">
        <f>Skills!B6</f>
        <v/>
      </c>
      <c r="C3357">
        <f>Inputs!$B$3&gt;=66</f>
        <v/>
      </c>
      <c r="D3357">
        <f>IF(Skills!C6=1,60+Inputs!$B$25+Inputs!$B$29,IF(Skills!C6=2,90+Inputs!$B$26+Inputs!$B$29,IF(Skills!C6=3,120+Inputs!$B$27+Inputs!$B$29,MAX(0,(Inputs!$B$3-100)*3)+Inputs!$B$28+Inputs!$B$29)))</f>
        <v/>
      </c>
      <c r="E3357">
        <f>INDEX(FactorTable!$B$2:$Y$301, MATCH(ROUND(MIN(300,MAX(1,D3357)),0), FactorTable!$A$2:$A$301,0), Skills!M6+1)</f>
        <v/>
      </c>
      <c r="F3357">
        <f>IF(Skills!N6=TRUE,(Skills!L6/10)*(E3357/1000),Skills!L6/10)+Skills!O6</f>
        <v/>
      </c>
      <c r="G3357">
        <f>Skills!G6*IF(Skills!H6&gt;0,INT(IF(Inputs!$B$38="pvp",MIN(Skills!I6,15),Skills!I6)/Skills!H6+0.000000001),1)</f>
        <v/>
      </c>
      <c r="H3357">
        <f>1-(1-Skills!J6/100)^Skills!K6</f>
        <v/>
      </c>
      <c r="I3357" t="inlineStr">
        <is>
          <t>1</t>
        </is>
      </c>
      <c r="J3357">
        <f>((Inputs!$B$6*(1+Inputs!$B$7/100))+(((Inputs!$B$12*(1+Inputs!$B$13/100))-(Inputs!$B$12*(1+Inputs!$B$13/100)))+0.25*(Inputs!$B$14-Inputs!$B$14))*(1+Inputs!$B$7/100))*(F3357/100)</f>
        <v/>
      </c>
      <c r="K3357">
        <f>J3357*(1+((Inputs!$B$12*(1+Inputs!$B$13/100))*0.01+Inputs!$B$14*0.0025)/100)*(1+Inputs!$B$15/100)*(1+Inputs!$B$16/100)*(5000/(6000+Inputs!$B$42*(1-(100*(1-(1-(Inputs!$B$19+0)/100)*(1-CHOOSE(ArtifactsInput!$N$40+1,5,6,7,8,9,10)/100)^(ArtifactsInput!$M$40-ArtifactsInput!$M$40)))/100)))*(1+(Inputs!$B$24+((C3377=TRUE)*(F3377-Calc!F26))+B3388)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+2.0*IF(C3366=TRUE,F3366,0)/100)*(1+(IF(Skills!A6="EIGHT_LEGS_EASTON",Inputs!$B$17+((C3374=TRUE)*(F3374-Calc!F23))+((C3378=TRUE)*(F3378-Calc!F27))+((IF(AND(Inputs!$B$38&lt;&gt;"pvp",Inputs!$B$43=0),1,IF(IF(Inputs!$B$38="pvp",15,Inputs!$B$43)-(B3389)&lt;=0,1,MAX(0,IF(Inputs!$B$38="pvp",15,Inputs!$B$43)-MAX(5,B3389))/(IF(Inputs!$B$38="pvp",15,Inputs!$B$43)-(B3389))))*(IF(AND(ArtifactsInput!$M$42,((Inputs!$B$9+((C3370=TRUE)*(F3370-Calc!F19))+B3382+(ArtifactsInput!$M$24-ArtifactsInput!$M$24)*CHOOSE(ArtifactsInput!$N$24+1,10,12,14,16,18,20)+IF(ArtifactsInput!$M$10,CHOOSE(ArtifactsInput!$N$10+1,15,18,21,24,27,30)*(IF(Inputs!$B$38="pvp",MIN(15,15)/15,IF(AND(Inputs!$B$38&lt;&gt;"pvp",Inputs!$B$43&gt;0),MIN(15,Inputs!$B$43)/(Inputs!$B$43),0))),0)))&gt;=100),MIN(100,((Inputs!$B$9+((C3370=TRUE)*(F3370-Calc!F19))+B3382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3389)&lt;=0,1,MAX(0,IF(Inputs!$B$38="pvp",15,Inputs!$B$43)-MAX(5,B3389))/(IF(Inputs!$B$38="pvp",15,Inputs!$B$43)-(B3389))))*IF(AND(ArtifactsInput!$M$42,((Inputs!$B$9+((C3370=TRUE)*(F3370-Calc!F19))+B3382+(ArtifactsInput!$M$24-ArtifactsInput!$M$24)*CHOOSE(ArtifactsInput!$N$24+1,10,12,14,16,18,20)+IF(ArtifactsInput!$M$10,CHOOSE(ArtifactsInput!$N$10+1,15,18,21,24,27,30)*(IF(Inputs!$B$38="pvp",MIN(15,15)/15,IF(AND(Inputs!$B$38&lt;&gt;"pvp",Inputs!$B$43&gt;0),MIN(15,Inputs!$B$43)/(Inputs!$B$43),0))),0)))&gt;=100),CHOOSE(ArtifactsInput!$N$42+1,40,48,56,64,72,80),0))))/100)*((1+(((C3368=TRUE)*F3368*5/7)+((C3375=TRUE)*(F3375-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3357)</f>
        <v/>
      </c>
      <c r="L3357">
        <f>K3357*(MIN(Inputs!$B$22+((C3373=TRUE)*(F3373-Calc!F22)),(Inputs!$B$23+0+(IF(ArtifactsInput!$M$15,CHOOSE(ArtifactsInput!$N$15+1,25,30,35,40,45,50)/100*(Inputs!$B$11-Inputs!$B$11),0))))/100+(Inputs!$B$23+0+(IF(ArtifactsInput!$M$15,CHOOSE(ArtifactsInput!$N$15+1,25,30,35,40,45,50)/100*(Inputs!$B$11-Inputs!$B$11),0)))/100)/2</f>
        <v/>
      </c>
      <c r="M3357">
        <f>L3357*(1+(Inputs!$B$10+((C3376=TRUE)*(F3376-Calc!F25))+B3387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357">
        <f>L3357*(1-MIN((Inputs!$B$9+((C3370=TRUE)*(F3370-Calc!F19))+B3382+(ArtifactsInput!$M$24-ArtifactsInput!$M$24)*CHOOSE(ArtifactsInput!$N$24+1,10,12,14,16,18,20)+(IF(AND(Inputs!$B$38&lt;&gt;"pvp",Inputs!$B$43=0),1,IF(IF(Inputs!$B$38="pvp",15,Inputs!$B$43)-(B3389)&lt;=0,1,MAX(0,IF(Inputs!$B$38="pvp",15,Inputs!$B$43)-MAX(5,B3389))/(IF(Inputs!$B$38="pvp",15,Inputs!$B$43)-(B3389))))*IF(AND(ArtifactsInput!$M$42,((Inputs!$B$9+((C3370=TRUE)*(F3370-Calc!F19))+B3382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3357*(MIN((Inputs!$B$9+((C3370=TRUE)*(F3370-Calc!F19))+B3382+(ArtifactsInput!$M$24-ArtifactsInput!$M$24)*CHOOSE(ArtifactsInput!$N$24+1,10,12,14,16,18,20)+(IF(AND(Inputs!$B$38&lt;&gt;"pvp",Inputs!$B$43=0),1,IF(IF(Inputs!$B$38="pvp",15,Inputs!$B$43)-(B3389)&lt;=0,1,MAX(0,IF(Inputs!$B$38="pvp",15,Inputs!$B$43)-MAX(5,B3389))/(IF(Inputs!$B$38="pvp",15,Inputs!$B$43)-(B3389))))*IF(AND(ArtifactsInput!$M$42,((Inputs!$B$9+((C3370=TRUE)*(F3370-Calc!F19))+B3382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357">
        <f>(1-Summary!$B$11)*T3357+Summary!$B$11*V3357</f>
        <v/>
      </c>
      <c r="P3357">
        <f>IF(B3392=0,0,O3357/B3392)</f>
        <v/>
      </c>
      <c r="Q3357">
        <f>IFERROR(1/(IF(Inputs!$B$38="pvp",15,MAX(0.1,Skills!D6-IF(TRUE=TRUE,5.0,0)))*(1-IF(AND(ArtifactsInput!$M$27,Inputs!$B$4="Chapter Hunt"),CHOOSE(ArtifactsInput!$N$27+1,20,24,28,32,36,40),0)/100)),0)</f>
        <v/>
      </c>
      <c r="R3357">
        <f>IF(AND(Inputs!$B$38&lt;&gt;"pvp",Inputs!$B$43&gt;0),IF(MAX(0,Inputs!$B$43-B3389)&lt;=0,0,(INT(MAX(0,Inputs!$B$43-B3389)/(IF(Inputs!$B$38="pvp",15,MAX(0.1,Skills!D6-IF(TRUE=TRUE,5.0,0)))*(1-IF(AND(ArtifactsInput!$M$27,Inputs!$B$4="Chapter Hunt"),CHOOSE(ArtifactsInput!$N$27+1,20,24,28,32,36,40),0)/100)))+1)),0)</f>
        <v/>
      </c>
      <c r="S3357">
        <f>IFERROR(O3357/N3357,0)</f>
        <v/>
      </c>
      <c r="T3357">
        <f>IF(C3357,(H3357*N3357*IF(AND(Inputs!$B$38&lt;&gt;"pvp",Inputs!$B$43&gt;0),((Skills!G6*((R3357-1)*IF(Skills!H6&gt;0,INT(Skills!I6/Skills!H6+0.000000001),1)+IF(Skills!H6&gt;0,INT(MIN(Skills!I6,MAX(0,MAX(0,Inputs!$B$43-B3389)-((R3357-1)*(IF(Inputs!$B$38="pvp",15,MAX(0.1,Skills!D6-IF(TRUE=TRUE,5.0,0)))*(1-IF(AND(ArtifactsInput!$M$27,Inputs!$B$4="Chapter Hunt"),CHOOSE(ArtifactsInput!$N$27+1,20,24,28,32,36,40),0)/100)))))/Skills!H6+0.000000001),1)))/Inputs!$B$43),G3357*Q3357)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Hunt"),CHOOSE(ArtifactsInput!$N$35+1,15,18,21,24,27,30)*(1-EXP(-(0.2*B3384)*5)),0)+IF(AND(ArtifactsInput!$M$22,Inputs!$B$4&lt;&gt;"Chapter Hunt"),CHOOSE(ArtifactsInput!$N$22+1,10,12,14,16,18,20)*((0*(((0.15*B3384*5))^0/1)+1*(((0.15*B3384*5))^1/1)+2*(((0.15*B3384*5))^2/2)+3*(((0.15*B3384*5))^3/6)+4*(((0.15*B3384*5))^4/24)+5*(((0.15*B3384*5))^5/120))/((((0.15*B3384*5))^0/1)+(((0.15*B3384*5))^1/1)+(((0.15*B3384*5))^2/2)+(((0.15*B3384*5))^3/6)+(((0.15*B3384*5))^4/24)+(((0.15*B3384*5))^5/120))),0))+IF(Inputs!$B$3&gt;=54,9*(C3354=TRUE)*MIN(1,8*(1+Inputs!$B$34/100)*Q3354)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3357*(1-MIN(100,(Inputs!$B$9+((C3370=TRUE)*(F3370-Calc!F19))+B3382+(ArtifactsInput!$M$24-ArtifactsInput!$M$24)*CHOOSE(ArtifactsInput!$N$24+1,10,12,14,16,18,20)+(IF(AND(Inputs!$B$38&lt;&gt;"pvp",Inputs!$B$43=0),1,IF(IF(Inputs!$B$38="pvp",15,Inputs!$B$43)-(B3389)&lt;=0,1,MAX(0,IF(Inputs!$B$38="pvp",15,Inputs!$B$43)-MAX(5,B3389))/(IF(Inputs!$B$38="pvp",15,Inputs!$B$43)-(B3389))))*IF(AND(ArtifactsInput!$M$42,((Inputs!$B$9+((C3370=TRUE)*(F3370-Calc!F19))+B3382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3357*(MIN(100,(Inputs!$B$9+((C3370=TRUE)*(F3370-Calc!F19))+B3382+(ArtifactsInput!$M$24-ArtifactsInput!$M$24)*CHOOSE(ArtifactsInput!$N$24+1,10,12,14,16,18,20)+(IF(AND(Inputs!$B$38&lt;&gt;"pvp",Inputs!$B$43=0),1,IF(IF(Inputs!$B$38="pvp",15,Inputs!$B$43)-(B3389)&lt;=0,1,MAX(0,IF(Inputs!$B$38="pvp",15,Inputs!$B$43)-MAX(5,B3389))/(IF(Inputs!$B$38="pvp",15,Inputs!$B$43)-(B3389))))*IF(AND(ArtifactsInput!$M$42,((Inputs!$B$9+((C3370=TRUE)*(F3370-Calc!F19))+B3382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3357*(1-MIN(100,(Inputs!$B$9+((C3370=TRUE)*(F3370-Calc!F19))+B3382+(ArtifactsInput!$M$24-ArtifactsInput!$M$24)*CHOOSE(ArtifactsInput!$N$24+1,10,12,14,16,18,20)+(IF(AND(Inputs!$B$38&lt;&gt;"pvp",Inputs!$B$43=0),1,IF(IF(Inputs!$B$38="pvp",15,Inputs!$B$43)-(B3389)&lt;=0,1,MAX(0,IF(Inputs!$B$38="pvp",15,Inputs!$B$43)-MAX(5,B3389))/(IF(Inputs!$B$38="pvp",15,Inputs!$B$43)-(B3389))))*IF(AND(ArtifactsInput!$M$42,((Inputs!$B$9+((C3370=TRUE)*(F3370-Calc!F19))+B3382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3357*(MIN(100,(Inputs!$B$9+((C3370=TRUE)*(F3370-Calc!F19))+B3382+(ArtifactsInput!$M$24-ArtifactsInput!$M$24)*CHOOSE(ArtifactsInput!$N$24+1,10,12,14,16,18,20)+(IF(AND(Inputs!$B$38&lt;&gt;"pvp",Inputs!$B$43=0),1,IF(IF(Inputs!$B$38="pvp",15,Inputs!$B$43)-(B3389)&lt;=0,1,MAX(0,IF(Inputs!$B$38="pvp",15,Inputs!$B$43)-MAX(5,B3389))/(IF(Inputs!$B$38="pvp",15,Inputs!$B$43)-(B3389))))*IF(AND(ArtifactsInput!$M$42,((Inputs!$B$9+((C3370=TRUE)*(F3370-Calc!F19))+B3382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357">
        <f>IF(C3357,(H3357*N3357*IF(AND(Inputs!$B$38&lt;&gt;"pvp",Inputs!$B$43&gt;0),((Skills!G6*((R3357-1)*IF(Skills!H6&gt;0,INT(Skills!I6/Skills!H6+0.000000001),1)+IF(Skills!H6&gt;0,INT(MIN(Skills!I6,MAX(0,MAX(0,Inputs!$B$43-B3389)-((R3357-1)*(IF(Inputs!$B$38="pvp",15,MAX(0.1,Skills!D6-IF(TRUE=TRUE,5.0,0)))*(1-IF(AND(ArtifactsInput!$M$27,Inputs!$B$4="Chapter Hunt"),CHOOSE(ArtifactsInput!$N$27+1,20,24,28,32,36,40),0)/100)))))/Skills!H6+0.000000001),1)))/Inputs!$B$43),G3357*Q3357))*IF(Inputs!$B$38="pvp",1,(1+(Inputs!$B$21+Skills!Q6+(IF(ArtifactsInput!$M$33,CHOOSE(ArtifactsInput!$N$33+1,30,36,42,48,54,60),0))+(IF(AND(ArtifactsInput!$M$35,Inputs!$B$4&lt;&gt;"Chapter Hunt"),CHOOSE(ArtifactsInput!$N$35+1,15,18,21,24,27,30)*(1-EXP(-(0.2*B3384)*5)),0)+IF(AND(ArtifactsInput!$M$22,Inputs!$B$4&lt;&gt;"Chapter Hunt"),CHOOSE(ArtifactsInput!$N$22+1,10,12,14,16,18,20)*((0*(((0.15*B3384*5))^0/1)+1*(((0.15*B3384*5))^1/1)+2*(((0.15*B3384*5))^2/2)+3*(((0.15*B3384*5))^3/6)+4*(((0.15*B3384*5))^4/24)+5*(((0.15*B3384*5))^5/120))/((((0.15*B3384*5))^0/1)+(((0.15*B3384*5))^1/1)+(((0.15*B3384*5))^2/2)+(((0.15*B3384*5))^3/6)+(((0.15*B3384*5))^4/24)+(((0.15*B3384*5))^5/120))),0))+IF(Inputs!$B$3&gt;=54,9*(C3354=TRUE)*MIN(1,8*(1+Inputs!$B$34/100)*Q3354),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358">
      <c r="A3358">
        <f>Skills!A7</f>
        <v/>
      </c>
      <c r="B3358">
        <f>Skills!B7</f>
        <v/>
      </c>
      <c r="C3358">
        <f>Inputs!$B$3&gt;=63</f>
        <v/>
      </c>
      <c r="D3358">
        <f>IF(Skills!C7=1,60+Inputs!$B$25+Inputs!$B$29,IF(Skills!C7=2,90+Inputs!$B$26+Inputs!$B$29,IF(Skills!C7=3,120+Inputs!$B$27+Inputs!$B$29,MAX(0,(Inputs!$B$3-100)*3)+Inputs!$B$28+Inputs!$B$29)))</f>
        <v/>
      </c>
      <c r="E3358">
        <f>INDEX(FactorTable!$B$2:$Y$301, MATCH(ROUND(MIN(300,MAX(1,D3358)),0), FactorTable!$A$2:$A$301,0), Skills!M7+1)</f>
        <v/>
      </c>
      <c r="F3358">
        <f>IF(Skills!N7=TRUE,(Skills!L7/10)*(E3358/1000),Skills!L7/10)+Skills!O7</f>
        <v/>
      </c>
      <c r="G3358">
        <f>Skills!G7*IF(Skills!H7&gt;0,INT(IF(Inputs!$B$38="pvp",MIN(Skills!I7,15),Skills!I7)/Skills!H7+0.000000001),1)</f>
        <v/>
      </c>
      <c r="H3358">
        <f>1-(1-Skills!J7/100)^Skills!K7</f>
        <v/>
      </c>
      <c r="I3358" t="inlineStr">
        <is>
          <t>1</t>
        </is>
      </c>
      <c r="J3358">
        <f>((Inputs!$B$6*(1+Inputs!$B$7/100))+(((Inputs!$B$12*(1+Inputs!$B$13/100))-(Inputs!$B$12*(1+Inputs!$B$13/100)))+0.25*(Inputs!$B$14-Inputs!$B$14))*(1+Inputs!$B$7/100))*(F3358/100)</f>
        <v/>
      </c>
      <c r="K3358">
        <f>J3358*(1+((Inputs!$B$12*(1+Inputs!$B$13/100))*0.01+Inputs!$B$14*0.0025)/100)*(1+Inputs!$B$15/100)*(1+Inputs!$B$16/100)*(5000/(6000+Inputs!$B$42*(1-(100*(1-(1-(Inputs!$B$19+0)/100)*(1-CHOOSE(ArtifactsInput!$N$40+1,5,6,7,8,9,10)/100)^(ArtifactsInput!$M$40-ArtifactsInput!$M$40)))/100)))*(1+(Inputs!$B$24+((C3377=TRUE)*(F3377-Calc!F26))+B3388)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3366=TRUE,F3366,0)/100)*(1+(IF(Skills!A7="EIGHT_LEGS_EASTON",Inputs!$B$17+((C3374=TRUE)*(F3374-Calc!F23))+((C3378=TRUE)*(F3378-Calc!F27))+((IF(AND(Inputs!$B$38&lt;&gt;"pvp",Inputs!$B$43=0),1,IF(IF(Inputs!$B$38="pvp",15,Inputs!$B$43)-(B3389)&lt;=0,1,MAX(0,IF(Inputs!$B$38="pvp",15,Inputs!$B$43)-MAX(5,B3389))/(IF(Inputs!$B$38="pvp",15,Inputs!$B$43)-(B3389))))*(IF(AND(ArtifactsInput!$M$42,((Inputs!$B$9+((C3370=TRUE)*(F3370-Calc!F19))+B3382+(ArtifactsInput!$M$24-ArtifactsInput!$M$24)*CHOOSE(ArtifactsInput!$N$24+1,10,12,14,16,18,20)+IF(ArtifactsInput!$M$10,CHOOSE(ArtifactsInput!$N$10+1,15,18,21,24,27,30)*(IF(Inputs!$B$38="pvp",MIN(15,15)/15,IF(AND(Inputs!$B$38&lt;&gt;"pvp",Inputs!$B$43&gt;0),MIN(15,Inputs!$B$43)/(Inputs!$B$43),0))),0)))&gt;=100),MIN(100,((Inputs!$B$9+((C3370=TRUE)*(F3370-Calc!F19))+B3382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3389)&lt;=0,1,MAX(0,IF(Inputs!$B$38="pvp",15,Inputs!$B$43)-MAX(5,B3389))/(IF(Inputs!$B$38="pvp",15,Inputs!$B$43)-(B3389))))*IF(AND(ArtifactsInput!$M$42,((Inputs!$B$9+((C3370=TRUE)*(F3370-Calc!F19))+B3382+(ArtifactsInput!$M$24-ArtifactsInput!$M$24)*CHOOSE(ArtifactsInput!$N$24+1,10,12,14,16,18,20)+IF(ArtifactsInput!$M$10,CHOOSE(ArtifactsInput!$N$10+1,15,18,21,24,27,30)*(IF(Inputs!$B$38="pvp",MIN(15,15)/15,IF(AND(Inputs!$B$38&lt;&gt;"pvp",Inputs!$B$43&gt;0),MIN(15,Inputs!$B$43)/(Inputs!$B$43),0))),0)))&gt;=100),CHOOSE(ArtifactsInput!$N$42+1,40,48,56,64,72,80),0))))/100)*((1+(((C3368=TRUE)*F3368*5/7)+((C3375=TRUE)*(F3375-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3358)</f>
        <v/>
      </c>
      <c r="L3358">
        <f>K3358*(MIN(Inputs!$B$22+((C3373=TRUE)*(F3373-Calc!F22)),(Inputs!$B$23+0+(IF(ArtifactsInput!$M$15,CHOOSE(ArtifactsInput!$N$15+1,25,30,35,40,45,50)/100*(Inputs!$B$11-Inputs!$B$11),0))))/100+(Inputs!$B$23+0+(IF(ArtifactsInput!$M$15,CHOOSE(ArtifactsInput!$N$15+1,25,30,35,40,45,50)/100*(Inputs!$B$11-Inputs!$B$11),0)))/100)/2</f>
        <v/>
      </c>
      <c r="M3358">
        <f>L3358*(1+(Inputs!$B$10+((C3376=TRUE)*(F3376-Calc!F25))+B3387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358">
        <f>L3358*(1-MIN((Inputs!$B$9+((C3370=TRUE)*(F3370-Calc!F19))+B3382+(ArtifactsInput!$M$24-ArtifactsInput!$M$24)*CHOOSE(ArtifactsInput!$N$24+1,10,12,14,16,18,20)+(IF(AND(Inputs!$B$38&lt;&gt;"pvp",Inputs!$B$43=0),1,IF(IF(Inputs!$B$38="pvp",15,Inputs!$B$43)-(B3389)&lt;=0,1,MAX(0,IF(Inputs!$B$38="pvp",15,Inputs!$B$43)-MAX(5,B3389))/(IF(Inputs!$B$38="pvp",15,Inputs!$B$43)-(B3389))))*IF(AND(ArtifactsInput!$M$42,((Inputs!$B$9+((C3370=TRUE)*(F3370-Calc!F19))+B3382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3358*(MIN((Inputs!$B$9+((C3370=TRUE)*(F3370-Calc!F19))+B3382+(ArtifactsInput!$M$24-ArtifactsInput!$M$24)*CHOOSE(ArtifactsInput!$N$24+1,10,12,14,16,18,20)+(IF(AND(Inputs!$B$38&lt;&gt;"pvp",Inputs!$B$43=0),1,IF(IF(Inputs!$B$38="pvp",15,Inputs!$B$43)-(B3389)&lt;=0,1,MAX(0,IF(Inputs!$B$38="pvp",15,Inputs!$B$43)-MAX(5,B3389))/(IF(Inputs!$B$38="pvp",15,Inputs!$B$43)-(B3389))))*IF(AND(ArtifactsInput!$M$42,((Inputs!$B$9+((C3370=TRUE)*(F3370-Calc!F19))+B3382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358">
        <f>(1-Summary!$B$11)*T3358+Summary!$B$11*V3358</f>
        <v/>
      </c>
      <c r="P3358">
        <f>IF(B3392=0,0,O3358/B3392)</f>
        <v/>
      </c>
      <c r="Q3358">
        <f>IFERROR(1/(IF(Inputs!$B$38="pvp",15,MAX(0.1,Skills!D7-IF(TRUE=TRUE,5.0,0)))*(1-IF(AND(ArtifactsInput!$M$27,Inputs!$B$4="Chapter Hunt"),CHOOSE(ArtifactsInput!$N$27+1,20,24,28,32,36,40),0)/100)),0)</f>
        <v/>
      </c>
      <c r="R3358">
        <f>IF(AND(Inputs!$B$38&lt;&gt;"pvp",Inputs!$B$43&gt;0),IF(MAX(0,Inputs!$B$43-B3389)&lt;=0,0,(INT(MAX(0,Inputs!$B$43-B3389)/(IF(Inputs!$B$38="pvp",15,MAX(0.1,Skills!D7-IF(TRUE=TRUE,5.0,0)))*(1-IF(AND(ArtifactsInput!$M$27,Inputs!$B$4="Chapter Hunt"),CHOOSE(ArtifactsInput!$N$27+1,20,24,28,32,36,40),0)/100)))+1)),0)</f>
        <v/>
      </c>
      <c r="S3358">
        <f>IFERROR(O3358/N3358,0)</f>
        <v/>
      </c>
      <c r="T3358">
        <f>IF(C3358,(H3358*N3358*IF(AND(Inputs!$B$38&lt;&gt;"pvp",Inputs!$B$43&gt;0),((Skills!G7*((R3358-1)*IF(Skills!H7&gt;0,INT(Skills!I7/Skills!H7+0.000000001),1)+IF(Skills!H7&gt;0,INT(MIN(Skills!I7,MAX(0,MAX(0,Inputs!$B$43-B3389)-((R3358-1)*(IF(Inputs!$B$38="pvp",15,MAX(0.1,Skills!D7-IF(TRUE=TRUE,5.0,0)))*(1-IF(AND(ArtifactsInput!$M$27,Inputs!$B$4="Chapter Hunt"),CHOOSE(ArtifactsInput!$N$27+1,20,24,28,32,36,40),0)/100)))))/Skills!H7+0.000000001),1)))/Inputs!$B$43),G3358*Q3358)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Hunt"),CHOOSE(ArtifactsInput!$N$35+1,15,18,21,24,27,30)*(1-EXP(-(0.2*B3384)*5)),0)+IF(AND(ArtifactsInput!$M$22,Inputs!$B$4&lt;&gt;"Chapter Hunt"),CHOOSE(ArtifactsInput!$N$22+1,10,12,14,16,18,20)*((0*(((0.15*B3384*5))^0/1)+1*(((0.15*B3384*5))^1/1)+2*(((0.15*B3384*5))^2/2)+3*(((0.15*B3384*5))^3/6)+4*(((0.15*B3384*5))^4/24)+5*(((0.15*B3384*5))^5/120))/((((0.15*B3384*5))^0/1)+(((0.15*B3384*5))^1/1)+(((0.15*B3384*5))^2/2)+(((0.15*B3384*5))^3/6)+(((0.15*B3384*5))^4/24)+(((0.15*B3384*5))^5/120))),0))+IF(Inputs!$B$3&gt;=54,9*(C3354=TRUE)*MIN(1,8*(1+Inputs!$B$34/100)*Q3354)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3358*(1-MIN(100,(Inputs!$B$9+((C3370=TRUE)*(F3370-Calc!F19))+B3382+(ArtifactsInput!$M$24-ArtifactsInput!$M$24)*CHOOSE(ArtifactsInput!$N$24+1,10,12,14,16,18,20)+(IF(AND(Inputs!$B$38&lt;&gt;"pvp",Inputs!$B$43=0),1,IF(IF(Inputs!$B$38="pvp",15,Inputs!$B$43)-(B3389)&lt;=0,1,MAX(0,IF(Inputs!$B$38="pvp",15,Inputs!$B$43)-MAX(5,B3389))/(IF(Inputs!$B$38="pvp",15,Inputs!$B$43)-(B3389))))*IF(AND(ArtifactsInput!$M$42,((Inputs!$B$9+((C3370=TRUE)*(F3370-Calc!F19))+B3382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3358*(MIN(100,(Inputs!$B$9+((C3370=TRUE)*(F3370-Calc!F19))+B3382+(ArtifactsInput!$M$24-ArtifactsInput!$M$24)*CHOOSE(ArtifactsInput!$N$24+1,10,12,14,16,18,20)+(IF(AND(Inputs!$B$38&lt;&gt;"pvp",Inputs!$B$43=0),1,IF(IF(Inputs!$B$38="pvp",15,Inputs!$B$43)-(B3389)&lt;=0,1,MAX(0,IF(Inputs!$B$38="pvp",15,Inputs!$B$43)-MAX(5,B3389))/(IF(Inputs!$B$38="pvp",15,Inputs!$B$43)-(B3389))))*IF(AND(ArtifactsInput!$M$42,((Inputs!$B$9+((C3370=TRUE)*(F3370-Calc!F19))+B3382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3358*(1-MIN(100,(Inputs!$B$9+((C3370=TRUE)*(F3370-Calc!F19))+B3382+(ArtifactsInput!$M$24-ArtifactsInput!$M$24)*CHOOSE(ArtifactsInput!$N$24+1,10,12,14,16,18,20)+(IF(AND(Inputs!$B$38&lt;&gt;"pvp",Inputs!$B$43=0),1,IF(IF(Inputs!$B$38="pvp",15,Inputs!$B$43)-(B3389)&lt;=0,1,MAX(0,IF(Inputs!$B$38="pvp",15,Inputs!$B$43)-MAX(5,B3389))/(IF(Inputs!$B$38="pvp",15,Inputs!$B$43)-(B3389))))*IF(AND(ArtifactsInput!$M$42,((Inputs!$B$9+((C3370=TRUE)*(F3370-Calc!F19))+B3382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3358*(MIN(100,(Inputs!$B$9+((C3370=TRUE)*(F3370-Calc!F19))+B3382+(ArtifactsInput!$M$24-ArtifactsInput!$M$24)*CHOOSE(ArtifactsInput!$N$24+1,10,12,14,16,18,20)+(IF(AND(Inputs!$B$38&lt;&gt;"pvp",Inputs!$B$43=0),1,IF(IF(Inputs!$B$38="pvp",15,Inputs!$B$43)-(B3389)&lt;=0,1,MAX(0,IF(Inputs!$B$38="pvp",15,Inputs!$B$43)-MAX(5,B3389))/(IF(Inputs!$B$38="pvp",15,Inputs!$B$43)-(B3389))))*IF(AND(ArtifactsInput!$M$42,((Inputs!$B$9+((C3370=TRUE)*(F3370-Calc!F19))+B3382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358">
        <f>IF(C3358,(H3358*N3358*IF(AND(Inputs!$B$38&lt;&gt;"pvp",Inputs!$B$43&gt;0),((Skills!G7*((R3358-1)*IF(Skills!H7&gt;0,INT(Skills!I7/Skills!H7+0.000000001),1)+IF(Skills!H7&gt;0,INT(MIN(Skills!I7,MAX(0,MAX(0,Inputs!$B$43-B3389)-((R3358-1)*(IF(Inputs!$B$38="pvp",15,MAX(0.1,Skills!D7-IF(TRUE=TRUE,5.0,0)))*(1-IF(AND(ArtifactsInput!$M$27,Inputs!$B$4="Chapter Hunt"),CHOOSE(ArtifactsInput!$N$27+1,20,24,28,32,36,40),0)/100)))))/Skills!H7+0.000000001),1)))/Inputs!$B$43),G3358*Q3358))*IF(Inputs!$B$38="pvp",1,(1+(Inputs!$B$21+Skills!Q7+(IF(ArtifactsInput!$M$33,CHOOSE(ArtifactsInput!$N$33+1,30,36,42,48,54,60),0))+(IF(AND(ArtifactsInput!$M$35,Inputs!$B$4&lt;&gt;"Chapter Hunt"),CHOOSE(ArtifactsInput!$N$35+1,15,18,21,24,27,30)*(1-EXP(-(0.2*B3384)*5)),0)+IF(AND(ArtifactsInput!$M$22,Inputs!$B$4&lt;&gt;"Chapter Hunt"),CHOOSE(ArtifactsInput!$N$22+1,10,12,14,16,18,20)*((0*(((0.15*B3384*5))^0/1)+1*(((0.15*B3384*5))^1/1)+2*(((0.15*B3384*5))^2/2)+3*(((0.15*B3384*5))^3/6)+4*(((0.15*B3384*5))^4/24)+5*(((0.15*B3384*5))^5/120))/((((0.15*B3384*5))^0/1)+(((0.15*B3384*5))^1/1)+(((0.15*B3384*5))^2/2)+(((0.15*B3384*5))^3/6)+(((0.15*B3384*5))^4/24)+(((0.15*B3384*5))^5/120))),0))+IF(Inputs!$B$3&gt;=54,9*(C3354=TRUE)*MIN(1,8*(1+Inputs!$B$34/100)*Q3354),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359">
      <c r="A3359">
        <f>Skills!A8</f>
        <v/>
      </c>
      <c r="B3359">
        <f>Skills!B8</f>
        <v/>
      </c>
      <c r="C3359">
        <f>Inputs!$B$3&gt;=103</f>
        <v/>
      </c>
      <c r="D3359">
        <f>IF(Skills!C8=1,60+Inputs!$B$25+Inputs!$B$29,IF(Skills!C8=2,90+Inputs!$B$26+Inputs!$B$29,IF(Skills!C8=3,120+Inputs!$B$27+Inputs!$B$29,MAX(0,(Inputs!$B$3-100)*3)+Inputs!$B$28+Inputs!$B$29)))</f>
        <v/>
      </c>
      <c r="E3359">
        <f>INDEX(FactorTable!$B$2:$Y$301, MATCH(ROUND(MIN(300,MAX(1,D3359)),0), FactorTable!$A$2:$A$301,0), Skills!M8+1)</f>
        <v/>
      </c>
      <c r="F3359">
        <f>IF(Skills!N8=TRUE,(Skills!L8/10)*(E3359/1000),Skills!L8/10)+Skills!O8</f>
        <v/>
      </c>
      <c r="G3359">
        <f>Skills!G8*IF(Skills!H8&gt;0,INT(IF(Inputs!$B$38="pvp",MIN(Skills!I8,15),Skills!I8)/Skills!H8+0.000000001),1)</f>
        <v/>
      </c>
      <c r="H3359">
        <f>1-(1-Skills!J8/100)^Skills!K8</f>
        <v/>
      </c>
      <c r="I3359" t="inlineStr">
        <is>
          <t>1</t>
        </is>
      </c>
      <c r="J3359">
        <f>((Inputs!$B$6*(1+Inputs!$B$7/100))+(((Inputs!$B$12*(1+Inputs!$B$13/100))-(Inputs!$B$12*(1+Inputs!$B$13/100)))+0.25*(Inputs!$B$14-Inputs!$B$14))*(1+Inputs!$B$7/100))*(F3359/100)</f>
        <v/>
      </c>
      <c r="K3359">
        <f>J3359*(1+((Inputs!$B$12*(1+Inputs!$B$13/100))*0.01+Inputs!$B$14*0.0025)/100)*(1+Inputs!$B$15/100)*(1+Inputs!$B$16/100)*(5000/(6000+Inputs!$B$42*(1-(100*(1-(1-(Inputs!$B$19+0)/100)*(1-CHOOSE(ArtifactsInput!$N$40+1,5,6,7,8,9,10)/100)^(ArtifactsInput!$M$40-ArtifactsInput!$M$40)))/100)))*(1+(Inputs!$B$24+((C3377=TRUE)*(F3377-Calc!F26))+B3388)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IGHT_LEGS_EASTON",Inputs!$B$17+((C3374=TRUE)*(F3374-Calc!F23))+((C3378=TRUE)*(F3378-Calc!F27))+((IF(AND(Inputs!$B$38&lt;&gt;"pvp",Inputs!$B$43=0),1,IF(IF(Inputs!$B$38="pvp",15,Inputs!$B$43)-(B3389)&lt;=0,1,MAX(0,IF(Inputs!$B$38="pvp",15,Inputs!$B$43)-MAX(5,B3389))/(IF(Inputs!$B$38="pvp",15,Inputs!$B$43)-(B3389))))*(IF(AND(ArtifactsInput!$M$42,((Inputs!$B$9+((C3370=TRUE)*(F3370-Calc!F19))+B3382+(ArtifactsInput!$M$24-ArtifactsInput!$M$24)*CHOOSE(ArtifactsInput!$N$24+1,10,12,14,16,18,20)+IF(ArtifactsInput!$M$10,CHOOSE(ArtifactsInput!$N$10+1,15,18,21,24,27,30)*(IF(Inputs!$B$38="pvp",MIN(15,15)/15,IF(AND(Inputs!$B$38&lt;&gt;"pvp",Inputs!$B$43&gt;0),MIN(15,Inputs!$B$43)/(Inputs!$B$43),0))),0)))&gt;=100),MIN(100,((Inputs!$B$9+((C3370=TRUE)*(F3370-Calc!F19))+B3382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3389)&lt;=0,1,MAX(0,IF(Inputs!$B$38="pvp",15,Inputs!$B$43)-MAX(5,B3389))/(IF(Inputs!$B$38="pvp",15,Inputs!$B$43)-(B3389))))*IF(AND(ArtifactsInput!$M$42,((Inputs!$B$9+((C3370=TRUE)*(F3370-Calc!F19))+B3382+(ArtifactsInput!$M$24-ArtifactsInput!$M$24)*CHOOSE(ArtifactsInput!$N$24+1,10,12,14,16,18,20)+IF(ArtifactsInput!$M$10,CHOOSE(ArtifactsInput!$N$10+1,15,18,21,24,27,30)*(IF(Inputs!$B$38="pvp",MIN(15,15)/15,IF(AND(Inputs!$B$38&lt;&gt;"pvp",Inputs!$B$43&gt;0),MIN(15,Inputs!$B$43)/(Inputs!$B$43),0))),0)))&gt;=100),CHOOSE(ArtifactsInput!$N$42+1,40,48,56,64,72,80),0))))/100)*((1+(((C3368=TRUE)*F3368*5/7)+((C3375=TRUE)*(F3375-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3359)</f>
        <v/>
      </c>
      <c r="L3359">
        <f>K3359*(MIN(Inputs!$B$22+((C3373=TRUE)*(F3373-Calc!F22)),(Inputs!$B$23+0+(IF(ArtifactsInput!$M$15,CHOOSE(ArtifactsInput!$N$15+1,25,30,35,40,45,50)/100*(Inputs!$B$11-Inputs!$B$11),0))))/100+(Inputs!$B$23+0+(IF(ArtifactsInput!$M$15,CHOOSE(ArtifactsInput!$N$15+1,25,30,35,40,45,50)/100*(Inputs!$B$11-Inputs!$B$11),0)))/100)/2</f>
        <v/>
      </c>
      <c r="M3359">
        <f>L3359*(1+(Inputs!$B$10+((C3376=TRUE)*(F3376-Calc!F25))+B3387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359">
        <f>L3359*(1-MIN((Inputs!$B$9+((C3370=TRUE)*(F3370-Calc!F19))+B3382+(ArtifactsInput!$M$24-ArtifactsInput!$M$24)*CHOOSE(ArtifactsInput!$N$24+1,10,12,14,16,18,20)+(IF(AND(Inputs!$B$38&lt;&gt;"pvp",Inputs!$B$43=0),1,IF(IF(Inputs!$B$38="pvp",15,Inputs!$B$43)-(B3389)&lt;=0,1,MAX(0,IF(Inputs!$B$38="pvp",15,Inputs!$B$43)-MAX(5,B3389))/(IF(Inputs!$B$38="pvp",15,Inputs!$B$43)-(B3389))))*IF(AND(ArtifactsInput!$M$42,((Inputs!$B$9+((C3370=TRUE)*(F3370-Calc!F19))+B3382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3359*(MIN((Inputs!$B$9+((C3370=TRUE)*(F3370-Calc!F19))+B3382+(ArtifactsInput!$M$24-ArtifactsInput!$M$24)*CHOOSE(ArtifactsInput!$N$24+1,10,12,14,16,18,20)+(IF(AND(Inputs!$B$38&lt;&gt;"pvp",Inputs!$B$43=0),1,IF(IF(Inputs!$B$38="pvp",15,Inputs!$B$43)-(B3389)&lt;=0,1,MAX(0,IF(Inputs!$B$38="pvp",15,Inputs!$B$43)-MAX(5,B3389))/(IF(Inputs!$B$38="pvp",15,Inputs!$B$43)-(B3389))))*IF(AND(ArtifactsInput!$M$42,((Inputs!$B$9+((C3370=TRUE)*(F3370-Calc!F19))+B3382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359">
        <f>(1-Summary!$B$11)*T3359+Summary!$B$11*V3359</f>
        <v/>
      </c>
      <c r="P3359">
        <f>IF(B3392=0,0,O3359/B3392)</f>
        <v/>
      </c>
      <c r="Q3359">
        <f>IFERROR(1/((IF(Inputs!$B$38="pvp",15,MAX(0.1,Skills!D8-IF(TRUE=TRUE,5.0,0)))*(1-IF(AND(ArtifactsInput!$M$27,Inputs!$B$4="Chapter Hunt"),CHOOSE(ArtifactsInput!$N$27+1,20,24,28,32,36,40),0)/100))/B3393),0)</f>
        <v/>
      </c>
      <c r="R3359">
        <f>IF(AND(Inputs!$B$38&lt;&gt;"pvp",Inputs!$B$43&gt;0),IF(MAX(0,Inputs!$B$43-B3389)&lt;=0,0,(INT(MAX(0,Inputs!$B$43-B3389)/((IF(Inputs!$B$38="pvp",15,MAX(0.1,Skills!D8-IF(TRUE=TRUE,5.0,0)))*(1-IF(AND(ArtifactsInput!$M$27,Inputs!$B$4="Chapter Hunt"),CHOOSE(ArtifactsInput!$N$27+1,20,24,28,32,36,40),0)/100))/B3393))+1)),0)</f>
        <v/>
      </c>
      <c r="S3359">
        <f>IFERROR(O3359/N3359,0)</f>
        <v/>
      </c>
      <c r="T3359">
        <f>IF(C3359,(H3359*N3359*IF(AND(Inputs!$B$38&lt;&gt;"pvp",Inputs!$B$43&gt;0),((Skills!G8*((R3359-1)*IF(Skills!H8&gt;0,INT(Skills!I8/Skills!H8+0.000000001),1)+IF(Skills!H8&gt;0,INT(MIN(Skills!I8,MAX(0,MAX(0,Inputs!$B$43-B3389)-((R3359-1)*((IF(Inputs!$B$38="pvp",15,MAX(0.1,Skills!D8-IF(TRUE=TRUE,5.0,0)))*(1-IF(AND(ArtifactsInput!$M$27,Inputs!$B$4="Chapter Hunt"),CHOOSE(ArtifactsInput!$N$27+1,20,24,28,32,36,40),0)/100))/B3393))))/Skills!H8+0.000000001),1)))/Inputs!$B$43),G3359*Q3359))*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Hunt"),CHOOSE(ArtifactsInput!$N$35+1,15,18,21,24,27,30)*(1-EXP(-(0.2*B3384)*5)),0)+IF(AND(ArtifactsInput!$M$22,Inputs!$B$4&lt;&gt;"Chapter Hunt"),CHOOSE(ArtifactsInput!$N$22+1,10,12,14,16,18,20)*((0*(((0.15*B3384*5))^0/1)+1*(((0.15*B3384*5))^1/1)+2*(((0.15*B3384*5))^2/2)+3*(((0.15*B3384*5))^3/6)+4*(((0.15*B3384*5))^4/24)+5*(((0.15*B3384*5))^5/120))/((((0.15*B3384*5))^0/1)+(((0.15*B3384*5))^1/1)+(((0.15*B3384*5))^2/2)+(((0.15*B3384*5))^3/6)+(((0.15*B3384*5))^4/24)+(((0.15*B3384*5))^5/120))),0))+IF(Inputs!$B$3&gt;=54,9*(C3354=TRUE)*MIN(1,8*(1+Inputs!$B$34/100)*Q3354)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3359*(1-MIN(100,(Inputs!$B$9+((C3370=TRUE)*(F3370-Calc!F19))+B3382+(ArtifactsInput!$M$24-ArtifactsInput!$M$24)*CHOOSE(ArtifactsInput!$N$24+1,10,12,14,16,18,20)+(IF(AND(Inputs!$B$38&lt;&gt;"pvp",Inputs!$B$43=0),1,IF(IF(Inputs!$B$38="pvp",15,Inputs!$B$43)-(B3389)&lt;=0,1,MAX(0,IF(Inputs!$B$38="pvp",15,Inputs!$B$43)-MAX(5,B3389))/(IF(Inputs!$B$38="pvp",15,Inputs!$B$43)-(B3389))))*IF(AND(ArtifactsInput!$M$42,((Inputs!$B$9+((C3370=TRUE)*(F3370-Calc!F19))+B3382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3359*(MIN(100,(Inputs!$B$9+((C3370=TRUE)*(F3370-Calc!F19))+B3382+(ArtifactsInput!$M$24-ArtifactsInput!$M$24)*CHOOSE(ArtifactsInput!$N$24+1,10,12,14,16,18,20)+(IF(AND(Inputs!$B$38&lt;&gt;"pvp",Inputs!$B$43=0),1,IF(IF(Inputs!$B$38="pvp",15,Inputs!$B$43)-(B3389)&lt;=0,1,MAX(0,IF(Inputs!$B$38="pvp",15,Inputs!$B$43)-MAX(5,B3389))/(IF(Inputs!$B$38="pvp",15,Inputs!$B$43)-(B3389))))*IF(AND(ArtifactsInput!$M$42,((Inputs!$B$9+((C3370=TRUE)*(F3370-Calc!F19))+B3382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3359*(1-MIN(100,(Inputs!$B$9+((C3370=TRUE)*(F3370-Calc!F19))+B3382+(ArtifactsInput!$M$24-ArtifactsInput!$M$24)*CHOOSE(ArtifactsInput!$N$24+1,10,12,14,16,18,20)+(IF(AND(Inputs!$B$38&lt;&gt;"pvp",Inputs!$B$43=0),1,IF(IF(Inputs!$B$38="pvp",15,Inputs!$B$43)-(B3389)&lt;=0,1,MAX(0,IF(Inputs!$B$38="pvp",15,Inputs!$B$43)-MAX(5,B3389))/(IF(Inputs!$B$38="pvp",15,Inputs!$B$43)-(B3389))))*IF(AND(ArtifactsInput!$M$42,((Inputs!$B$9+((C3370=TRUE)*(F3370-Calc!F19))+B3382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3359*(MIN(100,(Inputs!$B$9+((C3370=TRUE)*(F3370-Calc!F19))+B3382+(ArtifactsInput!$M$24-ArtifactsInput!$M$24)*CHOOSE(ArtifactsInput!$N$24+1,10,12,14,16,18,20)+(IF(AND(Inputs!$B$38&lt;&gt;"pvp",Inputs!$B$43=0),1,IF(IF(Inputs!$B$38="pvp",15,Inputs!$B$43)-(B3389)&lt;=0,1,MAX(0,IF(Inputs!$B$38="pvp",15,Inputs!$B$43)-MAX(5,B3389))/(IF(Inputs!$B$38="pvp",15,Inputs!$B$43)-(B3389))))*IF(AND(ArtifactsInput!$M$42,((Inputs!$B$9+((C3370=TRUE)*(F3370-Calc!F19))+B3382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359">
        <f>IF(C3359,(H3359*N3359*IF(AND(Inputs!$B$38&lt;&gt;"pvp",Inputs!$B$43&gt;0),((Skills!G8*((R3359-1)*IF(Skills!H8&gt;0,INT(Skills!I8/Skills!H8+0.000000001),1)+IF(Skills!H8&gt;0,INT(MIN(Skills!I8,MAX(0,MAX(0,Inputs!$B$43-B3389)-((R3359-1)*((IF(Inputs!$B$38="pvp",15,MAX(0.1,Skills!D8-IF(TRUE=TRUE,5.0,0)))*(1-IF(AND(ArtifactsInput!$M$27,Inputs!$B$4="Chapter Hunt"),CHOOSE(ArtifactsInput!$N$27+1,20,24,28,32,36,40),0)/100))/B3393))))/Skills!H8+0.000000001),1)))/Inputs!$B$43),G3359*Q3359))*IF(Inputs!$B$38="pvp",1,(1+(Inputs!$B$21+Skills!Q8+(IF(ArtifactsInput!$M$33,CHOOSE(ArtifactsInput!$N$33+1,30,36,42,48,54,60),0))+(IF(AND(ArtifactsInput!$M$35,Inputs!$B$4&lt;&gt;"Chapter Hunt"),CHOOSE(ArtifactsInput!$N$35+1,15,18,21,24,27,30)*(1-EXP(-(0.2*B3384)*5)),0)+IF(AND(ArtifactsInput!$M$22,Inputs!$B$4&lt;&gt;"Chapter Hunt"),CHOOSE(ArtifactsInput!$N$22+1,10,12,14,16,18,20)*((0*(((0.15*B3384*5))^0/1)+1*(((0.15*B3384*5))^1/1)+2*(((0.15*B3384*5))^2/2)+3*(((0.15*B3384*5))^3/6)+4*(((0.15*B3384*5))^4/24)+5*(((0.15*B3384*5))^5/120))/((((0.15*B3384*5))^0/1)+(((0.15*B3384*5))^1/1)+(((0.15*B3384*5))^2/2)+(((0.15*B3384*5))^3/6)+(((0.15*B3384*5))^4/24)+(((0.15*B3384*5))^5/120))),0))+IF(Inputs!$B$3&gt;=54,9*(C3354=TRUE)*MIN(1,8*(1+Inputs!$B$34/100)*Q3354),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360">
      <c r="A3360">
        <f>Skills!A9</f>
        <v/>
      </c>
      <c r="B3360">
        <f>Skills!B9</f>
        <v/>
      </c>
      <c r="C3360">
        <f>Inputs!$B$3&gt;=105</f>
        <v/>
      </c>
      <c r="D3360">
        <f>IF(Skills!C9=1,60+Inputs!$B$25+Inputs!$B$29,IF(Skills!C9=2,90+Inputs!$B$26+Inputs!$B$29,IF(Skills!C9=3,120+Inputs!$B$27+Inputs!$B$29,MAX(0,(Inputs!$B$3-100)*3)+Inputs!$B$28+Inputs!$B$29)))</f>
        <v/>
      </c>
      <c r="E3360">
        <f>INDEX(FactorTable!$B$2:$Y$301, MATCH(ROUND(MIN(300,MAX(1,D3360)),0), FactorTable!$A$2:$A$301,0), Skills!M9+1)</f>
        <v/>
      </c>
      <c r="F3360">
        <f>IF(Skills!N9=TRUE,(Skills!L9/10)*(E3360/1000),Skills!L9/10)+Skills!O9</f>
        <v/>
      </c>
      <c r="G3360">
        <f>Skills!G9*IF(Skills!H9&gt;0,INT(IF(Inputs!$B$38="pvp",MIN(Skills!I9,15),Skills!I9)/Skills!H9+0.000000001),1)</f>
        <v/>
      </c>
      <c r="H3360">
        <f>1-(1-Skills!J9/100)^Skills!K9</f>
        <v/>
      </c>
      <c r="I3360" t="inlineStr">
        <is>
          <t>1</t>
        </is>
      </c>
      <c r="J3360">
        <f>((Inputs!$B$6*(1+Inputs!$B$7/100))+(((Inputs!$B$12*(1+Inputs!$B$13/100))-(Inputs!$B$12*(1+Inputs!$B$13/100)))+0.25*(Inputs!$B$14-Inputs!$B$14))*(1+Inputs!$B$7/100))*(F3360/100)</f>
        <v/>
      </c>
      <c r="K3360">
        <f>J3360*(1+((Inputs!$B$12*(1+Inputs!$B$13/100))*0.01+Inputs!$B$14*0.0025)/100)*(1+Inputs!$B$15/100)*(1+Inputs!$B$16/100)*(5000/(6000+Inputs!$B$42*(1-(100*(1-(1-(Inputs!$B$19+0)/100)*(1-CHOOSE(ArtifactsInput!$N$40+1,5,6,7,8,9,10)/100)^(ArtifactsInput!$M$40-ArtifactsInput!$M$40)))/100)))*(1+(Inputs!$B$24+((C3377=TRUE)*(F3377-Calc!F26))+B3388)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IGHT_LEGS_EASTON",Inputs!$B$17+((C3374=TRUE)*(F3374-Calc!F23))+((C3378=TRUE)*(F3378-Calc!F27))+((IF(AND(Inputs!$B$38&lt;&gt;"pvp",Inputs!$B$43=0),1,IF(IF(Inputs!$B$38="pvp",15,Inputs!$B$43)-(B3389)&lt;=0,1,MAX(0,IF(Inputs!$B$38="pvp",15,Inputs!$B$43)-MAX(5,B3389))/(IF(Inputs!$B$38="pvp",15,Inputs!$B$43)-(B3389))))*(IF(AND(ArtifactsInput!$M$42,((Inputs!$B$9+((C3370=TRUE)*(F3370-Calc!F19))+B3382+(ArtifactsInput!$M$24-ArtifactsInput!$M$24)*CHOOSE(ArtifactsInput!$N$24+1,10,12,14,16,18,20)+IF(ArtifactsInput!$M$10,CHOOSE(ArtifactsInput!$N$10+1,15,18,21,24,27,30)*(IF(Inputs!$B$38="pvp",MIN(15,15)/15,IF(AND(Inputs!$B$38&lt;&gt;"pvp",Inputs!$B$43&gt;0),MIN(15,Inputs!$B$43)/(Inputs!$B$43),0))),0)))&gt;=100),MIN(100,((Inputs!$B$9+((C3370=TRUE)*(F3370-Calc!F19))+B3382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3389)&lt;=0,1,MAX(0,IF(Inputs!$B$38="pvp",15,Inputs!$B$43)-MAX(5,B3389))/(IF(Inputs!$B$38="pvp",15,Inputs!$B$43)-(B3389))))*IF(AND(ArtifactsInput!$M$42,((Inputs!$B$9+((C3370=TRUE)*(F3370-Calc!F19))+B3382+(ArtifactsInput!$M$24-ArtifactsInput!$M$24)*CHOOSE(ArtifactsInput!$N$24+1,10,12,14,16,18,20)+IF(ArtifactsInput!$M$10,CHOOSE(ArtifactsInput!$N$10+1,15,18,21,24,27,30)*(IF(Inputs!$B$38="pvp",MIN(15,15)/15,IF(AND(Inputs!$B$38&lt;&gt;"pvp",Inputs!$B$43&gt;0),MIN(15,Inputs!$B$43)/(Inputs!$B$43),0))),0)))&gt;=100),CHOOSE(ArtifactsInput!$N$42+1,40,48,56,64,72,80),0))))/100)*((1+(((C3368=TRUE)*F3368*5/7)+((C3375=TRUE)*(F3375-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3360)</f>
        <v/>
      </c>
      <c r="L3360">
        <f>K3360*(MIN(Inputs!$B$22+((C3373=TRUE)*(F3373-Calc!F22)),(Inputs!$B$23+0+(IF(ArtifactsInput!$M$15,CHOOSE(ArtifactsInput!$N$15+1,25,30,35,40,45,50)/100*(Inputs!$B$11-Inputs!$B$11),0))))/100+(Inputs!$B$23+0+(IF(ArtifactsInput!$M$15,CHOOSE(ArtifactsInput!$N$15+1,25,30,35,40,45,50)/100*(Inputs!$B$11-Inputs!$B$11),0)))/100)/2</f>
        <v/>
      </c>
      <c r="M3360">
        <f>L3360*(1+(Inputs!$B$10+((C3376=TRUE)*(F3376-Calc!F25))+B3387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360">
        <f>L3360*(1-MIN((Inputs!$B$9+((C3370=TRUE)*(F3370-Calc!F19))+B3382+(ArtifactsInput!$M$24-ArtifactsInput!$M$24)*CHOOSE(ArtifactsInput!$N$24+1,10,12,14,16,18,20)+(IF(AND(Inputs!$B$38&lt;&gt;"pvp",Inputs!$B$43=0),1,IF(IF(Inputs!$B$38="pvp",15,Inputs!$B$43)-(B3389)&lt;=0,1,MAX(0,IF(Inputs!$B$38="pvp",15,Inputs!$B$43)-MAX(5,B3389))/(IF(Inputs!$B$38="pvp",15,Inputs!$B$43)-(B3389))))*IF(AND(ArtifactsInput!$M$42,((Inputs!$B$9+((C3370=TRUE)*(F3370-Calc!F19))+B3382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3360*(MIN((Inputs!$B$9+((C3370=TRUE)*(F3370-Calc!F19))+B3382+(ArtifactsInput!$M$24-ArtifactsInput!$M$24)*CHOOSE(ArtifactsInput!$N$24+1,10,12,14,16,18,20)+(IF(AND(Inputs!$B$38&lt;&gt;"pvp",Inputs!$B$43=0),1,IF(IF(Inputs!$B$38="pvp",15,Inputs!$B$43)-(B3389)&lt;=0,1,MAX(0,IF(Inputs!$B$38="pvp",15,Inputs!$B$43)-MAX(5,B3389))/(IF(Inputs!$B$38="pvp",15,Inputs!$B$43)-(B3389))))*IF(AND(ArtifactsInput!$M$42,((Inputs!$B$9+((C3370=TRUE)*(F3370-Calc!F19))+B3382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360">
        <f>(1-Summary!$B$11)*T3360+Summary!$B$11*V3360</f>
        <v/>
      </c>
      <c r="P3360">
        <f>IF(B3392=0,0,O3360/B3392)</f>
        <v/>
      </c>
      <c r="Q3360">
        <f>IFERROR(1/(IF(Inputs!$B$38="pvp",15,MAX(0.1,Skills!D9-IF(TRUE=TRUE,5.0,0)))*(1-IF(AND(ArtifactsInput!$M$27,Inputs!$B$4="Chapter Hunt"),CHOOSE(ArtifactsInput!$N$27+1,20,24,28,32,36,40),0)/100)),0)</f>
        <v/>
      </c>
      <c r="R3360">
        <f>IF(AND(Inputs!$B$38&lt;&gt;"pvp",Inputs!$B$43&gt;0),IF(MAX(0,Inputs!$B$43-B3389)&lt;=0,0,(INT(MAX(0,Inputs!$B$43-B3389)/(IF(Inputs!$B$38="pvp",15,MAX(0.1,Skills!D9-IF(TRUE=TRUE,5.0,0)))*(1-IF(AND(ArtifactsInput!$M$27,Inputs!$B$4="Chapter Hunt"),CHOOSE(ArtifactsInput!$N$27+1,20,24,28,32,36,40),0)/100)))+1)),0)</f>
        <v/>
      </c>
      <c r="S3360">
        <f>IFERROR(O3360/N3360,0)</f>
        <v/>
      </c>
      <c r="T3360">
        <f>IF(C3360,(H3360*N3360*IF(AND(Inputs!$B$38&lt;&gt;"pvp",Inputs!$B$43&gt;0),((Skills!G9*((R3360-1)*IF(Skills!H9&gt;0,INT(Skills!I9/Skills!H9+0.000000001),1)+IF(Skills!H9&gt;0,INT(MIN(Skills!I9,MAX(0,MAX(0,Inputs!$B$43-B3389)-((R3360-1)*(IF(Inputs!$B$38="pvp",15,MAX(0.1,Skills!D9-IF(TRUE=TRUE,5.0,0)))*(1-IF(AND(ArtifactsInput!$M$27,Inputs!$B$4="Chapter Hunt"),CHOOSE(ArtifactsInput!$N$27+1,20,24,28,32,36,40),0)/100)))))/Skills!H9+0.000000001),1)))/Inputs!$B$43),G3360*Q3360)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Hunt"),CHOOSE(ArtifactsInput!$N$35+1,15,18,21,24,27,30)*(1-EXP(-(0.2*B3384)*5)),0)+IF(AND(ArtifactsInput!$M$22,Inputs!$B$4&lt;&gt;"Chapter Hunt"),CHOOSE(ArtifactsInput!$N$22+1,10,12,14,16,18,20)*((0*(((0.15*B3384*5))^0/1)+1*(((0.15*B3384*5))^1/1)+2*(((0.15*B3384*5))^2/2)+3*(((0.15*B3384*5))^3/6)+4*(((0.15*B3384*5))^4/24)+5*(((0.15*B3384*5))^5/120))/((((0.15*B3384*5))^0/1)+(((0.15*B3384*5))^1/1)+(((0.15*B3384*5))^2/2)+(((0.15*B3384*5))^3/6)+(((0.15*B3384*5))^4/24)+(((0.15*B3384*5))^5/120))),0))+IF(Inputs!$B$3&gt;=54,9*(C3354=TRUE)*MIN(1,8*(1+Inputs!$B$34/100)*Q3354)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3360*(1-MIN(100,(Inputs!$B$9+((C3370=TRUE)*(F3370-Calc!F19))+B3382+(ArtifactsInput!$M$24-ArtifactsInput!$M$24)*CHOOSE(ArtifactsInput!$N$24+1,10,12,14,16,18,20)+(IF(AND(Inputs!$B$38&lt;&gt;"pvp",Inputs!$B$43=0),1,IF(IF(Inputs!$B$38="pvp",15,Inputs!$B$43)-(B3389)&lt;=0,1,MAX(0,IF(Inputs!$B$38="pvp",15,Inputs!$B$43)-MAX(5,B3389))/(IF(Inputs!$B$38="pvp",15,Inputs!$B$43)-(B3389))))*IF(AND(ArtifactsInput!$M$42,((Inputs!$B$9+((C3370=TRUE)*(F3370-Calc!F19))+B3382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3360*(MIN(100,(Inputs!$B$9+((C3370=TRUE)*(F3370-Calc!F19))+B3382+(ArtifactsInput!$M$24-ArtifactsInput!$M$24)*CHOOSE(ArtifactsInput!$N$24+1,10,12,14,16,18,20)+(IF(AND(Inputs!$B$38&lt;&gt;"pvp",Inputs!$B$43=0),1,IF(IF(Inputs!$B$38="pvp",15,Inputs!$B$43)-(B3389)&lt;=0,1,MAX(0,IF(Inputs!$B$38="pvp",15,Inputs!$B$43)-MAX(5,B3389))/(IF(Inputs!$B$38="pvp",15,Inputs!$B$43)-(B3389))))*IF(AND(ArtifactsInput!$M$42,((Inputs!$B$9+((C3370=TRUE)*(F3370-Calc!F19))+B3382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3360*(1-MIN(100,(Inputs!$B$9+((C3370=TRUE)*(F3370-Calc!F19))+B3382+(ArtifactsInput!$M$24-ArtifactsInput!$M$24)*CHOOSE(ArtifactsInput!$N$24+1,10,12,14,16,18,20)+(IF(AND(Inputs!$B$38&lt;&gt;"pvp",Inputs!$B$43=0),1,IF(IF(Inputs!$B$38="pvp",15,Inputs!$B$43)-(B3389)&lt;=0,1,MAX(0,IF(Inputs!$B$38="pvp",15,Inputs!$B$43)-MAX(5,B3389))/(IF(Inputs!$B$38="pvp",15,Inputs!$B$43)-(B3389))))*IF(AND(ArtifactsInput!$M$42,((Inputs!$B$9+((C3370=TRUE)*(F3370-Calc!F19))+B3382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3360*(MIN(100,(Inputs!$B$9+((C3370=TRUE)*(F3370-Calc!F19))+B3382+(ArtifactsInput!$M$24-ArtifactsInput!$M$24)*CHOOSE(ArtifactsInput!$N$24+1,10,12,14,16,18,20)+(IF(AND(Inputs!$B$38&lt;&gt;"pvp",Inputs!$B$43=0),1,IF(IF(Inputs!$B$38="pvp",15,Inputs!$B$43)-(B3389)&lt;=0,1,MAX(0,IF(Inputs!$B$38="pvp",15,Inputs!$B$43)-MAX(5,B3389))/(IF(Inputs!$B$38="pvp",15,Inputs!$B$43)-(B3389))))*IF(AND(ArtifactsInput!$M$42,((Inputs!$B$9+((C3370=TRUE)*(F3370-Calc!F19))+B3382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360">
        <f>IF(C3360,(H3360*N3360*IF(AND(Inputs!$B$38&lt;&gt;"pvp",Inputs!$B$43&gt;0),((Skills!G9*((R3360-1)*IF(Skills!H9&gt;0,INT(Skills!I9/Skills!H9+0.000000001),1)+IF(Skills!H9&gt;0,INT(MIN(Skills!I9,MAX(0,MAX(0,Inputs!$B$43-B3389)-((R3360-1)*(IF(Inputs!$B$38="pvp",15,MAX(0.1,Skills!D9-IF(TRUE=TRUE,5.0,0)))*(1-IF(AND(ArtifactsInput!$M$27,Inputs!$B$4="Chapter Hunt"),CHOOSE(ArtifactsInput!$N$27+1,20,24,28,32,36,40),0)/100)))))/Skills!H9+0.000000001),1)))/Inputs!$B$43),G3360*Q3360))*IF(Inputs!$B$38="pvp",1,(1+(Inputs!$B$21+Skills!Q9+(IF(ArtifactsInput!$M$33,CHOOSE(ArtifactsInput!$N$33+1,30,36,42,48,54,60),0))+(IF(AND(ArtifactsInput!$M$35,Inputs!$B$4&lt;&gt;"Chapter Hunt"),CHOOSE(ArtifactsInput!$N$35+1,15,18,21,24,27,30)*(1-EXP(-(0.2*B3384)*5)),0)+IF(AND(ArtifactsInput!$M$22,Inputs!$B$4&lt;&gt;"Chapter Hunt"),CHOOSE(ArtifactsInput!$N$22+1,10,12,14,16,18,20)*((0*(((0.15*B3384*5))^0/1)+1*(((0.15*B3384*5))^1/1)+2*(((0.15*B3384*5))^2/2)+3*(((0.15*B3384*5))^3/6)+4*(((0.15*B3384*5))^4/24)+5*(((0.15*B3384*5))^5/120))/((((0.15*B3384*5))^0/1)+(((0.15*B3384*5))^1/1)+(((0.15*B3384*5))^2/2)+(((0.15*B3384*5))^3/6)+(((0.15*B3384*5))^4/24)+(((0.15*B3384*5))^5/120))),0))+IF(Inputs!$B$3&gt;=54,9*(C3354=TRUE)*MIN(1,8*(1+Inputs!$B$34/100)*Q3354),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361">
      <c r="A3361">
        <f>Skills!A10</f>
        <v/>
      </c>
      <c r="B3361">
        <f>Skills!B10</f>
        <v/>
      </c>
      <c r="C3361">
        <f>Inputs!$B$3&gt;=113</f>
        <v/>
      </c>
      <c r="D3361">
        <f>IF(Skills!C10=1,60+Inputs!$B$25+Inputs!$B$29,IF(Skills!C10=2,90+Inputs!$B$26+Inputs!$B$29,IF(Skills!C10=3,120+Inputs!$B$27+Inputs!$B$29,MAX(0,(Inputs!$B$3-100)*3)+Inputs!$B$28+Inputs!$B$29)))</f>
        <v/>
      </c>
      <c r="E3361">
        <f>INDEX(FactorTable!$B$2:$Y$301, MATCH(ROUND(MIN(300,MAX(1,D3361)),0), FactorTable!$A$2:$A$301,0), Skills!M10+1)</f>
        <v/>
      </c>
      <c r="F3361">
        <f>IF(Skills!N10=TRUE,(Skills!L10/10)*(E3361/1000),Skills!L10/10)+Skills!O10</f>
        <v/>
      </c>
      <c r="G3361">
        <f>Skills!G10*IF(Skills!H10&gt;0,INT(IF(Inputs!$B$38="pvp",MIN(Skills!I10,15),Skills!I10)/Skills!H10+0.000000001),1)</f>
        <v/>
      </c>
      <c r="H3361">
        <f>1-(1-Skills!J10/100)^Skills!K10</f>
        <v/>
      </c>
      <c r="I3361" t="inlineStr">
        <is>
          <t>1</t>
        </is>
      </c>
      <c r="J3361">
        <f>((Inputs!$B$6*(1+Inputs!$B$7/100))+(((Inputs!$B$12*(1+Inputs!$B$13/100))-(Inputs!$B$12*(1+Inputs!$B$13/100)))+0.25*(Inputs!$B$14-Inputs!$B$14))*(1+Inputs!$B$7/100))*(F3361/100)</f>
        <v/>
      </c>
      <c r="K3361">
        <f>J3361*(1+((Inputs!$B$12*(1+Inputs!$B$13/100))*0.01+Inputs!$B$14*0.0025)/100)*(1+Inputs!$B$15/100)*(1+Inputs!$B$16/100)*(5000/(6000+Inputs!$B$42*(1-(100*(1-(1-(Inputs!$B$19+0)/100)*(1-CHOOSE(ArtifactsInput!$N$40+1,5,6,7,8,9,10)/100)^(ArtifactsInput!$M$40-ArtifactsInput!$M$40)))/100)))*(1+(Inputs!$B$24+((C3377=TRUE)*(F3377-Calc!F26))+B3388)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IGHT_LEGS_EASTON",Inputs!$B$17+((C3374=TRUE)*(F3374-Calc!F23))+((C3378=TRUE)*(F3378-Calc!F27))+((IF(AND(Inputs!$B$38&lt;&gt;"pvp",Inputs!$B$43=0),1,IF(IF(Inputs!$B$38="pvp",15,Inputs!$B$43)-(B3389)&lt;=0,1,MAX(0,IF(Inputs!$B$38="pvp",15,Inputs!$B$43)-MAX(5,B3389))/(IF(Inputs!$B$38="pvp",15,Inputs!$B$43)-(B3389))))*(IF(AND(ArtifactsInput!$M$42,((Inputs!$B$9+((C3370=TRUE)*(F3370-Calc!F19))+B3382+(ArtifactsInput!$M$24-ArtifactsInput!$M$24)*CHOOSE(ArtifactsInput!$N$24+1,10,12,14,16,18,20)+IF(ArtifactsInput!$M$10,CHOOSE(ArtifactsInput!$N$10+1,15,18,21,24,27,30)*(IF(Inputs!$B$38="pvp",MIN(15,15)/15,IF(AND(Inputs!$B$38&lt;&gt;"pvp",Inputs!$B$43&gt;0),MIN(15,Inputs!$B$43)/(Inputs!$B$43),0))),0)))&gt;=100),MIN(100,((Inputs!$B$9+((C3370=TRUE)*(F3370-Calc!F19))+B3382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3389)&lt;=0,1,MAX(0,IF(Inputs!$B$38="pvp",15,Inputs!$B$43)-MAX(5,B3389))/(IF(Inputs!$B$38="pvp",15,Inputs!$B$43)-(B3389))))*IF(AND(ArtifactsInput!$M$42,((Inputs!$B$9+((C3370=TRUE)*(F3370-Calc!F19))+B3382+(ArtifactsInput!$M$24-ArtifactsInput!$M$24)*CHOOSE(ArtifactsInput!$N$24+1,10,12,14,16,18,20)+IF(ArtifactsInput!$M$10,CHOOSE(ArtifactsInput!$N$10+1,15,18,21,24,27,30)*(IF(Inputs!$B$38="pvp",MIN(15,15)/15,IF(AND(Inputs!$B$38&lt;&gt;"pvp",Inputs!$B$43&gt;0),MIN(15,Inputs!$B$43)/(Inputs!$B$43),0))),0)))&gt;=100),CHOOSE(ArtifactsInput!$N$42+1,40,48,56,64,72,80),0))))/100)*((1+(((C3368=TRUE)*F3368*5/7)+((C3375=TRUE)*(F3375-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3361)</f>
        <v/>
      </c>
      <c r="L3361">
        <f>K3361*(MIN(Inputs!$B$22+((C3373=TRUE)*(F3373-Calc!F22)),(Inputs!$B$23+0+(IF(ArtifactsInput!$M$15,CHOOSE(ArtifactsInput!$N$15+1,25,30,35,40,45,50)/100*(Inputs!$B$11-Inputs!$B$11),0))))/100+(Inputs!$B$23+0+(IF(ArtifactsInput!$M$15,CHOOSE(ArtifactsInput!$N$15+1,25,30,35,40,45,50)/100*(Inputs!$B$11-Inputs!$B$11),0)))/100)/2</f>
        <v/>
      </c>
      <c r="M3361">
        <f>L3361*(1+(Inputs!$B$10+((C3376=TRUE)*(F3376-Calc!F25))+B3387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361">
        <f>L3361*(1-MIN((Inputs!$B$9+((C3370=TRUE)*(F3370-Calc!F19))+B3382+(ArtifactsInput!$M$24-ArtifactsInput!$M$24)*CHOOSE(ArtifactsInput!$N$24+1,10,12,14,16,18,20)+(IF(AND(Inputs!$B$38&lt;&gt;"pvp",Inputs!$B$43=0),1,IF(IF(Inputs!$B$38="pvp",15,Inputs!$B$43)-(B3389)&lt;=0,1,MAX(0,IF(Inputs!$B$38="pvp",15,Inputs!$B$43)-MAX(5,B3389))/(IF(Inputs!$B$38="pvp",15,Inputs!$B$43)-(B3389))))*IF(AND(ArtifactsInput!$M$42,((Inputs!$B$9+((C3370=TRUE)*(F3370-Calc!F19))+B3382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3361*(MIN((Inputs!$B$9+((C3370=TRUE)*(F3370-Calc!F19))+B3382+(ArtifactsInput!$M$24-ArtifactsInput!$M$24)*CHOOSE(ArtifactsInput!$N$24+1,10,12,14,16,18,20)+(IF(AND(Inputs!$B$38&lt;&gt;"pvp",Inputs!$B$43=0),1,IF(IF(Inputs!$B$38="pvp",15,Inputs!$B$43)-(B3389)&lt;=0,1,MAX(0,IF(Inputs!$B$38="pvp",15,Inputs!$B$43)-MAX(5,B3389))/(IF(Inputs!$B$38="pvp",15,Inputs!$B$43)-(B3389))))*IF(AND(ArtifactsInput!$M$42,((Inputs!$B$9+((C3370=TRUE)*(F3370-Calc!F19))+B3382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361">
        <f>(1-Summary!$B$11)*T3361+Summary!$B$11*V3361</f>
        <v/>
      </c>
      <c r="P3361">
        <f>IF(B3392=0,0,O3361/B3392)</f>
        <v/>
      </c>
      <c r="Q3361" t="n">
        <v>0</v>
      </c>
      <c r="R3361" t="n">
        <v>0</v>
      </c>
      <c r="S3361">
        <f>IFERROR(O3361/N3361,0)</f>
        <v/>
      </c>
      <c r="T3361">
        <f>IF(C3361,((H3361*B3394)/(1+Skills!H10*H3361*B3394)*N3361)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Hunt"),CHOOSE(ArtifactsInput!$N$35+1,15,18,21,24,27,30)*(1-EXP(-(0.2*B3384)*5)),0)+IF(AND(ArtifactsInput!$M$22,Inputs!$B$4&lt;&gt;"Chapter Hunt"),CHOOSE(ArtifactsInput!$N$22+1,10,12,14,16,18,20)*((0*(((0.15*B3384*5))^0/1)+1*(((0.15*B3384*5))^1/1)+2*(((0.15*B3384*5))^2/2)+3*(((0.15*B3384*5))^3/6)+4*(((0.15*B3384*5))^4/24)+5*(((0.15*B3384*5))^5/120))/((((0.15*B3384*5))^0/1)+(((0.15*B3384*5))^1/1)+(((0.15*B3384*5))^2/2)+(((0.15*B3384*5))^3/6)+(((0.15*B3384*5))^4/24)+(((0.15*B3384*5))^5/120))),0))+IF(Inputs!$B$3&gt;=54,9*(C3354=TRUE)*MIN(1,8*(1+Inputs!$B$34/100)*Q3354)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3361*(1-MIN(100,(Inputs!$B$9+((C3370=TRUE)*(F3370-Calc!F19))+B3382+(ArtifactsInput!$M$24-ArtifactsInput!$M$24)*CHOOSE(ArtifactsInput!$N$24+1,10,12,14,16,18,20)+(IF(AND(Inputs!$B$38&lt;&gt;"pvp",Inputs!$B$43=0),1,IF(IF(Inputs!$B$38="pvp",15,Inputs!$B$43)-(B3389)&lt;=0,1,MAX(0,IF(Inputs!$B$38="pvp",15,Inputs!$B$43)-MAX(5,B3389))/(IF(Inputs!$B$38="pvp",15,Inputs!$B$43)-(B3389))))*IF(AND(ArtifactsInput!$M$42,((Inputs!$B$9+((C3370=TRUE)*(F3370-Calc!F19))+B3382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3361*(MIN(100,(Inputs!$B$9+((C3370=TRUE)*(F3370-Calc!F19))+B3382+(ArtifactsInput!$M$24-ArtifactsInput!$M$24)*CHOOSE(ArtifactsInput!$N$24+1,10,12,14,16,18,20)+(IF(AND(Inputs!$B$38&lt;&gt;"pvp",Inputs!$B$43=0),1,IF(IF(Inputs!$B$38="pvp",15,Inputs!$B$43)-(B3389)&lt;=0,1,MAX(0,IF(Inputs!$B$38="pvp",15,Inputs!$B$43)-MAX(5,B3389))/(IF(Inputs!$B$38="pvp",15,Inputs!$B$43)-(B3389))))*IF(AND(ArtifactsInput!$M$42,((Inputs!$B$9+((C3370=TRUE)*(F3370-Calc!F19))+B3382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3361*(1-MIN(100,(Inputs!$B$9+((C3370=TRUE)*(F3370-Calc!F19))+B3382+(ArtifactsInput!$M$24-ArtifactsInput!$M$24)*CHOOSE(ArtifactsInput!$N$24+1,10,12,14,16,18,20)+(IF(AND(Inputs!$B$38&lt;&gt;"pvp",Inputs!$B$43=0),1,IF(IF(Inputs!$B$38="pvp",15,Inputs!$B$43)-(B3389)&lt;=0,1,MAX(0,IF(Inputs!$B$38="pvp",15,Inputs!$B$43)-MAX(5,B3389))/(IF(Inputs!$B$38="pvp",15,Inputs!$B$43)-(B3389))))*IF(AND(ArtifactsInput!$M$42,((Inputs!$B$9+((C3370=TRUE)*(F3370-Calc!F19))+B3382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3361*(MIN(100,(Inputs!$B$9+((C3370=TRUE)*(F3370-Calc!F19))+B3382+(ArtifactsInput!$M$24-ArtifactsInput!$M$24)*CHOOSE(ArtifactsInput!$N$24+1,10,12,14,16,18,20)+(IF(AND(Inputs!$B$38&lt;&gt;"pvp",Inputs!$B$43=0),1,IF(IF(Inputs!$B$38="pvp",15,Inputs!$B$43)-(B3389)&lt;=0,1,MAX(0,IF(Inputs!$B$38="pvp",15,Inputs!$B$43)-MAX(5,B3389))/(IF(Inputs!$B$38="pvp",15,Inputs!$B$43)-(B3389))))*IF(AND(ArtifactsInput!$M$42,((Inputs!$B$9+((C3370=TRUE)*(F3370-Calc!F19))+B3382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361">
        <f>IF(C3361,((H3361*B3394)/(1+Skills!H10*H3361*B3394)*N3361)*IF(Inputs!$B$38="pvp",1,(1+(Inputs!$B$21+Skills!Q10+(IF(ArtifactsInput!$M$33,CHOOSE(ArtifactsInput!$N$33+1,30,36,42,48,54,60),0))+(IF(AND(ArtifactsInput!$M$35,Inputs!$B$4&lt;&gt;"Chapter Hunt"),CHOOSE(ArtifactsInput!$N$35+1,15,18,21,24,27,30)*(1-EXP(-(0.2*B3384)*5)),0)+IF(AND(ArtifactsInput!$M$22,Inputs!$B$4&lt;&gt;"Chapter Hunt"),CHOOSE(ArtifactsInput!$N$22+1,10,12,14,16,18,20)*((0*(((0.15*B3384*5))^0/1)+1*(((0.15*B3384*5))^1/1)+2*(((0.15*B3384*5))^2/2)+3*(((0.15*B3384*5))^3/6)+4*(((0.15*B3384*5))^4/24)+5*(((0.15*B3384*5))^5/120))/((((0.15*B3384*5))^0/1)+(((0.15*B3384*5))^1/1)+(((0.15*B3384*5))^2/2)+(((0.15*B3384*5))^3/6)+(((0.15*B3384*5))^4/24)+(((0.15*B3384*5))^5/120))),0))+IF(Inputs!$B$3&gt;=54,9*(C3354=TRUE)*MIN(1,8*(1+Inputs!$B$34/100)*Q3354),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362">
      <c r="A3362">
        <f>Skills!A11</f>
        <v/>
      </c>
      <c r="B3362">
        <f>Skills!B11</f>
        <v/>
      </c>
      <c r="C3362">
        <f>Inputs!$B$3&gt;=117</f>
        <v/>
      </c>
      <c r="D3362">
        <f>IF(Skills!C11=1,60+Inputs!$B$25+Inputs!$B$29,IF(Skills!C11=2,90+Inputs!$B$26+Inputs!$B$29,IF(Skills!C11=3,120+Inputs!$B$27+Inputs!$B$29,MAX(0,(Inputs!$B$3-100)*3)+Inputs!$B$28+Inputs!$B$29)))</f>
        <v/>
      </c>
      <c r="E3362">
        <f>INDEX(FactorTable!$B$2:$Y$301, MATCH(ROUND(MIN(300,MAX(1,D3362)),0), FactorTable!$A$2:$A$301,0), Skills!M11+1)</f>
        <v/>
      </c>
      <c r="F3362">
        <f>IF(Skills!N11=TRUE,(Skills!L11/10)*(E3362/1000),Skills!L11/10)+Skills!O11</f>
        <v/>
      </c>
      <c r="G3362">
        <f>Skills!G11*IF(Skills!H11&gt;0,INT(IF(Inputs!$B$38="pvp",MIN(Skills!I11,15),Skills!I11)/Skills!H11+0.000000001),1)</f>
        <v/>
      </c>
      <c r="H3362">
        <f>1-(1-Skills!J11/100)^Skills!K11</f>
        <v/>
      </c>
      <c r="I3362" t="inlineStr">
        <is>
          <t>1</t>
        </is>
      </c>
      <c r="J3362">
        <f>((Inputs!$B$6*(1+Inputs!$B$7/100))+(((Inputs!$B$12*(1+Inputs!$B$13/100))-(Inputs!$B$12*(1+Inputs!$B$13/100)))+0.25*(Inputs!$B$14-Inputs!$B$14))*(1+Inputs!$B$7/100))*(F3362/100)</f>
        <v/>
      </c>
      <c r="K3362">
        <f>J3362*(1+((Inputs!$B$12*(1+Inputs!$B$13/100))*0.01+Inputs!$B$14*0.0025)/100)*(1+Inputs!$B$15/100)*(1+Inputs!$B$16/100)*(5000/(6000+Inputs!$B$42*(1-(100*(1-(1-(Inputs!$B$19+0)/100)*(1-CHOOSE(ArtifactsInput!$N$40+1,5,6,7,8,9,10)/100)^(ArtifactsInput!$M$40-ArtifactsInput!$M$40)))/100)))*(1+(Inputs!$B$24+((C3377=TRUE)*(F3377-Calc!F26))+B3388)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IGHT_LEGS_EASTON",Inputs!$B$17+((C3374=TRUE)*(F3374-Calc!F23))+((C3378=TRUE)*(F3378-Calc!F27))+((IF(AND(Inputs!$B$38&lt;&gt;"pvp",Inputs!$B$43=0),1,IF(IF(Inputs!$B$38="pvp",15,Inputs!$B$43)-(B3389)&lt;=0,1,MAX(0,IF(Inputs!$B$38="pvp",15,Inputs!$B$43)-MAX(5,B3389))/(IF(Inputs!$B$38="pvp",15,Inputs!$B$43)-(B3389))))*(IF(AND(ArtifactsInput!$M$42,((Inputs!$B$9+((C3370=TRUE)*(F3370-Calc!F19))+B3382+(ArtifactsInput!$M$24-ArtifactsInput!$M$24)*CHOOSE(ArtifactsInput!$N$24+1,10,12,14,16,18,20)+IF(ArtifactsInput!$M$10,CHOOSE(ArtifactsInput!$N$10+1,15,18,21,24,27,30)*(IF(Inputs!$B$38="pvp",MIN(15,15)/15,IF(AND(Inputs!$B$38&lt;&gt;"pvp",Inputs!$B$43&gt;0),MIN(15,Inputs!$B$43)/(Inputs!$B$43),0))),0)))&gt;=100),MIN(100,((Inputs!$B$9+((C3370=TRUE)*(F3370-Calc!F19))+B3382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3389)&lt;=0,1,MAX(0,IF(Inputs!$B$38="pvp",15,Inputs!$B$43)-MAX(5,B3389))/(IF(Inputs!$B$38="pvp",15,Inputs!$B$43)-(B3389))))*IF(AND(ArtifactsInput!$M$42,((Inputs!$B$9+((C3370=TRUE)*(F3370-Calc!F19))+B3382+(ArtifactsInput!$M$24-ArtifactsInput!$M$24)*CHOOSE(ArtifactsInput!$N$24+1,10,12,14,16,18,20)+IF(ArtifactsInput!$M$10,CHOOSE(ArtifactsInput!$N$10+1,15,18,21,24,27,30)*(IF(Inputs!$B$38="pvp",MIN(15,15)/15,IF(AND(Inputs!$B$38&lt;&gt;"pvp",Inputs!$B$43&gt;0),MIN(15,Inputs!$B$43)/(Inputs!$B$43),0))),0)))&gt;=100),CHOOSE(ArtifactsInput!$N$42+1,40,48,56,64,72,80),0))))/100)*((1+(((C3368=TRUE)*F3368*5/7)+((C3375=TRUE)*(F3375-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3362)</f>
        <v/>
      </c>
      <c r="L3362">
        <f>K3362*(MIN(Inputs!$B$22+((C3373=TRUE)*(F3373-Calc!F22)),(Inputs!$B$23+0+(IF(ArtifactsInput!$M$15,CHOOSE(ArtifactsInput!$N$15+1,25,30,35,40,45,50)/100*(Inputs!$B$11-Inputs!$B$11),0))))/100+(Inputs!$B$23+0+(IF(ArtifactsInput!$M$15,CHOOSE(ArtifactsInput!$N$15+1,25,30,35,40,45,50)/100*(Inputs!$B$11-Inputs!$B$11),0)))/100)/2</f>
        <v/>
      </c>
      <c r="M3362">
        <f>L3362*(1+(Inputs!$B$10+((C3376=TRUE)*(F3376-Calc!F25))+B3387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362">
        <f>L3362*(1-MIN((Inputs!$B$9+((C3370=TRUE)*(F3370-Calc!F19))+B3382+(ArtifactsInput!$M$24-ArtifactsInput!$M$24)*CHOOSE(ArtifactsInput!$N$24+1,10,12,14,16,18,20)+(IF(AND(Inputs!$B$38&lt;&gt;"pvp",Inputs!$B$43=0),1,IF(IF(Inputs!$B$38="pvp",15,Inputs!$B$43)-(B3389)&lt;=0,1,MAX(0,IF(Inputs!$B$38="pvp",15,Inputs!$B$43)-MAX(5,B3389))/(IF(Inputs!$B$38="pvp",15,Inputs!$B$43)-(B3389))))*IF(AND(ArtifactsInput!$M$42,((Inputs!$B$9+((C3370=TRUE)*(F3370-Calc!F19))+B3382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3362*(MIN((Inputs!$B$9+((C3370=TRUE)*(F3370-Calc!F19))+B3382+(ArtifactsInput!$M$24-ArtifactsInput!$M$24)*CHOOSE(ArtifactsInput!$N$24+1,10,12,14,16,18,20)+(IF(AND(Inputs!$B$38&lt;&gt;"pvp",Inputs!$B$43=0),1,IF(IF(Inputs!$B$38="pvp",15,Inputs!$B$43)-(B3389)&lt;=0,1,MAX(0,IF(Inputs!$B$38="pvp",15,Inputs!$B$43)-MAX(5,B3389))/(IF(Inputs!$B$38="pvp",15,Inputs!$B$43)-(B3389))))*IF(AND(ArtifactsInput!$M$42,((Inputs!$B$9+((C3370=TRUE)*(F3370-Calc!F19))+B3382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362">
        <f>(1-Summary!$B$11)*T3362+Summary!$B$11*V3362</f>
        <v/>
      </c>
      <c r="P3362">
        <f>IF(B3392=0,0,O3362/B3392)</f>
        <v/>
      </c>
      <c r="Q3362">
        <f>IFERROR(1/((IF(Inputs!$B$38="pvp",15,MAX(0.1,Skills!D11-IF(TRUE=TRUE,5.0,0)))*(1-IF(AND(ArtifactsInput!$M$27,Inputs!$B$4="Chapter Hunt"),CHOOSE(ArtifactsInput!$N$27+1,20,24,28,32,36,40),0)/100))/B3393),0)</f>
        <v/>
      </c>
      <c r="R3362">
        <f>IF(AND(Inputs!$B$38&lt;&gt;"pvp",Inputs!$B$43&gt;0),IF(MAX(0,Inputs!$B$43-B3389)&lt;=0,0,(INT(MAX(0,Inputs!$B$43-B3389)/((IF(Inputs!$B$38="pvp",15,MAX(0.1,Skills!D11-IF(TRUE=TRUE,5.0,0)))*(1-IF(AND(ArtifactsInput!$M$27,Inputs!$B$4="Chapter Hunt"),CHOOSE(ArtifactsInput!$N$27+1,20,24,28,32,36,40),0)/100))/B3393))+1)),0)</f>
        <v/>
      </c>
      <c r="S3362">
        <f>IFERROR(O3362/N3362,0)</f>
        <v/>
      </c>
      <c r="T3362">
        <f>IF(C3362,(H3362*N3362*IF(AND(Inputs!$B$38&lt;&gt;"pvp",Inputs!$B$43&gt;0),((Skills!G11*((R3362-1)*IF(Skills!H11&gt;0,INT(Skills!I11/Skills!H11+0.000000001),1)+IF(Skills!H11&gt;0,INT(MIN(Skills!I11,MAX(0,MAX(0,Inputs!$B$43-B3389)-((R3362-1)*((IF(Inputs!$B$38="pvp",15,MAX(0.1,Skills!D11-IF(TRUE=TRUE,5.0,0)))*(1-IF(AND(ArtifactsInput!$M$27,Inputs!$B$4="Chapter Hunt"),CHOOSE(ArtifactsInput!$N$27+1,20,24,28,32,36,40),0)/100))/B3393))))/Skills!H11+0.000000001),1)))/Inputs!$B$43),G3362*Q3362)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Hunt"),CHOOSE(ArtifactsInput!$N$35+1,15,18,21,24,27,30)*(1-EXP(-(0.2*B3384)*5)),0)+IF(AND(ArtifactsInput!$M$22,Inputs!$B$4&lt;&gt;"Chapter Hunt"),CHOOSE(ArtifactsInput!$N$22+1,10,12,14,16,18,20)*((0*(((0.15*B3384*5))^0/1)+1*(((0.15*B3384*5))^1/1)+2*(((0.15*B3384*5))^2/2)+3*(((0.15*B3384*5))^3/6)+4*(((0.15*B3384*5))^4/24)+5*(((0.15*B3384*5))^5/120))/((((0.15*B3384*5))^0/1)+(((0.15*B3384*5))^1/1)+(((0.15*B3384*5))^2/2)+(((0.15*B3384*5))^3/6)+(((0.15*B3384*5))^4/24)+(((0.15*B3384*5))^5/120))),0))+IF(Inputs!$B$3&gt;=54,9*(C3354=TRUE)*MIN(1,8*(1+Inputs!$B$34/100)*Q3354)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3362*(1-MIN(100,(Inputs!$B$9+((C3370=TRUE)*(F3370-Calc!F19))+B3382+(ArtifactsInput!$M$24-ArtifactsInput!$M$24)*CHOOSE(ArtifactsInput!$N$24+1,10,12,14,16,18,20)+(IF(AND(Inputs!$B$38&lt;&gt;"pvp",Inputs!$B$43=0),1,IF(IF(Inputs!$B$38="pvp",15,Inputs!$B$43)-(B3389)&lt;=0,1,MAX(0,IF(Inputs!$B$38="pvp",15,Inputs!$B$43)-MAX(5,B3389))/(IF(Inputs!$B$38="pvp",15,Inputs!$B$43)-(B3389))))*IF(AND(ArtifactsInput!$M$42,((Inputs!$B$9+((C3370=TRUE)*(F3370-Calc!F19))+B3382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3362*(MIN(100,(Inputs!$B$9+((C3370=TRUE)*(F3370-Calc!F19))+B3382+(ArtifactsInput!$M$24-ArtifactsInput!$M$24)*CHOOSE(ArtifactsInput!$N$24+1,10,12,14,16,18,20)+(IF(AND(Inputs!$B$38&lt;&gt;"pvp",Inputs!$B$43=0),1,IF(IF(Inputs!$B$38="pvp",15,Inputs!$B$43)-(B3389)&lt;=0,1,MAX(0,IF(Inputs!$B$38="pvp",15,Inputs!$B$43)-MAX(5,B3389))/(IF(Inputs!$B$38="pvp",15,Inputs!$B$43)-(B3389))))*IF(AND(ArtifactsInput!$M$42,((Inputs!$B$9+((C3370=TRUE)*(F3370-Calc!F19))+B3382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3362*(1-MIN(100,(Inputs!$B$9+((C3370=TRUE)*(F3370-Calc!F19))+B3382+(ArtifactsInput!$M$24-ArtifactsInput!$M$24)*CHOOSE(ArtifactsInput!$N$24+1,10,12,14,16,18,20)+(IF(AND(Inputs!$B$38&lt;&gt;"pvp",Inputs!$B$43=0),1,IF(IF(Inputs!$B$38="pvp",15,Inputs!$B$43)-(B3389)&lt;=0,1,MAX(0,IF(Inputs!$B$38="pvp",15,Inputs!$B$43)-MAX(5,B3389))/(IF(Inputs!$B$38="pvp",15,Inputs!$B$43)-(B3389))))*IF(AND(ArtifactsInput!$M$42,((Inputs!$B$9+((C3370=TRUE)*(F3370-Calc!F19))+B3382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3362*(MIN(100,(Inputs!$B$9+((C3370=TRUE)*(F3370-Calc!F19))+B3382+(ArtifactsInput!$M$24-ArtifactsInput!$M$24)*CHOOSE(ArtifactsInput!$N$24+1,10,12,14,16,18,20)+(IF(AND(Inputs!$B$38&lt;&gt;"pvp",Inputs!$B$43=0),1,IF(IF(Inputs!$B$38="pvp",15,Inputs!$B$43)-(B3389)&lt;=0,1,MAX(0,IF(Inputs!$B$38="pvp",15,Inputs!$B$43)-MAX(5,B3389))/(IF(Inputs!$B$38="pvp",15,Inputs!$B$43)-(B3389))))*IF(AND(ArtifactsInput!$M$42,((Inputs!$B$9+((C3370=TRUE)*(F3370-Calc!F19))+B3382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362">
        <f>IF(C3362,(H3362*N3362*IF(AND(Inputs!$B$38&lt;&gt;"pvp",Inputs!$B$43&gt;0),((Skills!G11*((R3362-1)*IF(Skills!H11&gt;0,INT(Skills!I11/Skills!H11+0.000000001),1)+IF(Skills!H11&gt;0,INT(MIN(Skills!I11,MAX(0,MAX(0,Inputs!$B$43-B3389)-((R3362-1)*((IF(Inputs!$B$38="pvp",15,MAX(0.1,Skills!D11-IF(TRUE=TRUE,5.0,0)))*(1-IF(AND(ArtifactsInput!$M$27,Inputs!$B$4="Chapter Hunt"),CHOOSE(ArtifactsInput!$N$27+1,20,24,28,32,36,40),0)/100))/B3393))))/Skills!H11+0.000000001),1)))/Inputs!$B$43),G3362*Q3362))*IF(Inputs!$B$38="pvp",1,(1+(Inputs!$B$21+Skills!Q11+(IF(ArtifactsInput!$M$33,CHOOSE(ArtifactsInput!$N$33+1,30,36,42,48,54,60),0))+(IF(AND(ArtifactsInput!$M$35,Inputs!$B$4&lt;&gt;"Chapter Hunt"),CHOOSE(ArtifactsInput!$N$35+1,15,18,21,24,27,30)*(1-EXP(-(0.2*B3384)*5)),0)+IF(AND(ArtifactsInput!$M$22,Inputs!$B$4&lt;&gt;"Chapter Hunt"),CHOOSE(ArtifactsInput!$N$22+1,10,12,14,16,18,20)*((0*(((0.15*B3384*5))^0/1)+1*(((0.15*B3384*5))^1/1)+2*(((0.15*B3384*5))^2/2)+3*(((0.15*B3384*5))^3/6)+4*(((0.15*B3384*5))^4/24)+5*(((0.15*B3384*5))^5/120))/((((0.15*B3384*5))^0/1)+(((0.15*B3384*5))^1/1)+(((0.15*B3384*5))^2/2)+(((0.15*B3384*5))^3/6)+(((0.15*B3384*5))^4/24)+(((0.15*B3384*5))^5/120))),0))+IF(Inputs!$B$3&gt;=54,9*(C3354=TRUE)*MIN(1,8*(1+Inputs!$B$34/100)*Q3354),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363">
      <c r="A3363">
        <f>Skills!A12</f>
        <v/>
      </c>
      <c r="B3363">
        <f>Skills!B12</f>
        <v/>
      </c>
      <c r="C3363">
        <f>Inputs!$B$3&gt;=110</f>
        <v/>
      </c>
      <c r="D3363">
        <f>IF(Skills!C12=1,60+Inputs!$B$25+Inputs!$B$29,IF(Skills!C12=2,90+Inputs!$B$26+Inputs!$B$29,IF(Skills!C12=3,120+Inputs!$B$27+Inputs!$B$29,MAX(0,(Inputs!$B$3-100)*3)+Inputs!$B$28+Inputs!$B$29)))</f>
        <v/>
      </c>
      <c r="E3363">
        <f>INDEX(FactorTable!$B$2:$Y$301, MATCH(ROUND(MIN(300,MAX(1,D3363)),0), FactorTable!$A$2:$A$301,0), Skills!M12+1)</f>
        <v/>
      </c>
      <c r="F3363">
        <f>IF(Skills!N12=TRUE,(Skills!L12/10)*(E3363/1000),Skills!L12/10)+Skills!O12</f>
        <v/>
      </c>
      <c r="G3363">
        <f>Skills!G12*IF(Skills!H12&gt;0,INT(IF(Inputs!$B$38="pvp",MIN(Skills!I12,15),Skills!I12)/Skills!H12+0.000000001),1)</f>
        <v/>
      </c>
      <c r="H3363">
        <f>1-(1-Skills!J12/100)^Skills!K12</f>
        <v/>
      </c>
      <c r="I3363" t="inlineStr">
        <is>
          <t>1</t>
        </is>
      </c>
      <c r="J3363">
        <f>((Inputs!$B$6*(1+Inputs!$B$7/100))+(((Inputs!$B$12*(1+Inputs!$B$13/100))-(Inputs!$B$12*(1+Inputs!$B$13/100)))+0.25*(Inputs!$B$14-Inputs!$B$14))*(1+Inputs!$B$7/100))*(F3363/100)</f>
        <v/>
      </c>
      <c r="K3363">
        <f>J3363*(1+((Inputs!$B$12*(1+Inputs!$B$13/100))*0.01+Inputs!$B$14*0.0025)/100)*(1+Inputs!$B$15/100)*(1+Inputs!$B$16/100)*(5000/(6000+Inputs!$B$42*(1-(100*(1-(1-(Inputs!$B$19+0)/100)*(1-CHOOSE(ArtifactsInput!$N$40+1,5,6,7,8,9,10)/100)^(ArtifactsInput!$M$40-ArtifactsInput!$M$40)))/100)))*(1+(Inputs!$B$24+((C3377=TRUE)*(F3377-Calc!F26))+B3388)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EIGHT_LEGS_EASTON",Inputs!$B$17+((C3374=TRUE)*(F3374-Calc!F23))+((C3378=TRUE)*(F3378-Calc!F27))+((IF(AND(Inputs!$B$38&lt;&gt;"pvp",Inputs!$B$43=0),1,IF(IF(Inputs!$B$38="pvp",15,Inputs!$B$43)-(B3389)&lt;=0,1,MAX(0,IF(Inputs!$B$38="pvp",15,Inputs!$B$43)-MAX(5,B3389))/(IF(Inputs!$B$38="pvp",15,Inputs!$B$43)-(B3389))))*(IF(AND(ArtifactsInput!$M$42,((Inputs!$B$9+((C3370=TRUE)*(F3370-Calc!F19))+B3382+(ArtifactsInput!$M$24-ArtifactsInput!$M$24)*CHOOSE(ArtifactsInput!$N$24+1,10,12,14,16,18,20)+IF(ArtifactsInput!$M$10,CHOOSE(ArtifactsInput!$N$10+1,15,18,21,24,27,30)*(IF(Inputs!$B$38="pvp",MIN(15,15)/15,IF(AND(Inputs!$B$38&lt;&gt;"pvp",Inputs!$B$43&gt;0),MIN(15,Inputs!$B$43)/(Inputs!$B$43),0))),0)))&gt;=100),MIN(100,((Inputs!$B$9+((C3370=TRUE)*(F3370-Calc!F19))+B3382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3389)&lt;=0,1,MAX(0,IF(Inputs!$B$38="pvp",15,Inputs!$B$43)-MAX(5,B3389))/(IF(Inputs!$B$38="pvp",15,Inputs!$B$43)-(B3389))))*IF(AND(ArtifactsInput!$M$42,((Inputs!$B$9+((C3370=TRUE)*(F3370-Calc!F19))+B3382+(ArtifactsInput!$M$24-ArtifactsInput!$M$24)*CHOOSE(ArtifactsInput!$N$24+1,10,12,14,16,18,20)+IF(ArtifactsInput!$M$10,CHOOSE(ArtifactsInput!$N$10+1,15,18,21,24,27,30)*(IF(Inputs!$B$38="pvp",MIN(15,15)/15,IF(AND(Inputs!$B$38&lt;&gt;"pvp",Inputs!$B$43&gt;0),MIN(15,Inputs!$B$43)/(Inputs!$B$43),0))),0)))&gt;=100),CHOOSE(ArtifactsInput!$N$42+1,40,48,56,64,72,80),0))))/100)*((1+(((C3368=TRUE)*F3368*5/7)+((C3375=TRUE)*(F3375-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3363)</f>
        <v/>
      </c>
      <c r="L3363">
        <f>K3363*(MIN(Inputs!$B$22+((C3373=TRUE)*(F3373-Calc!F22)),(Inputs!$B$23+0+(IF(ArtifactsInput!$M$15,CHOOSE(ArtifactsInput!$N$15+1,25,30,35,40,45,50)/100*(Inputs!$B$11-Inputs!$B$11),0))))/100+(Inputs!$B$23+0+(IF(ArtifactsInput!$M$15,CHOOSE(ArtifactsInput!$N$15+1,25,30,35,40,45,50)/100*(Inputs!$B$11-Inputs!$B$11),0)))/100)/2</f>
        <v/>
      </c>
      <c r="M3363">
        <f>L3363*(1+(Inputs!$B$10+((C3376=TRUE)*(F3376-Calc!F25))+B3387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363">
        <f>L3363*(1-MIN((Inputs!$B$9+((C3370=TRUE)*(F3370-Calc!F19))+B3382+(ArtifactsInput!$M$24-ArtifactsInput!$M$24)*CHOOSE(ArtifactsInput!$N$24+1,10,12,14,16,18,20)+(IF(AND(Inputs!$B$38&lt;&gt;"pvp",Inputs!$B$43=0),1,IF(IF(Inputs!$B$38="pvp",15,Inputs!$B$43)-(B3389)&lt;=0,1,MAX(0,IF(Inputs!$B$38="pvp",15,Inputs!$B$43)-MAX(5,B3389))/(IF(Inputs!$B$38="pvp",15,Inputs!$B$43)-(B3389))))*IF(AND(ArtifactsInput!$M$42,((Inputs!$B$9+((C3370=TRUE)*(F3370-Calc!F19))+B3382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3363*(MIN((Inputs!$B$9+((C3370=TRUE)*(F3370-Calc!F19))+B3382+(ArtifactsInput!$M$24-ArtifactsInput!$M$24)*CHOOSE(ArtifactsInput!$N$24+1,10,12,14,16,18,20)+(IF(AND(Inputs!$B$38&lt;&gt;"pvp",Inputs!$B$43=0),1,IF(IF(Inputs!$B$38="pvp",15,Inputs!$B$43)-(B3389)&lt;=0,1,MAX(0,IF(Inputs!$B$38="pvp",15,Inputs!$B$43)-MAX(5,B3389))/(IF(Inputs!$B$38="pvp",15,Inputs!$B$43)-(B3389))))*IF(AND(ArtifactsInput!$M$42,((Inputs!$B$9+((C3370=TRUE)*(F3370-Calc!F19))+B3382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363">
        <f>(1-Summary!$B$11)*T3363+Summary!$B$11*V3363</f>
        <v/>
      </c>
      <c r="P3363">
        <f>IF(B3392=0,0,O3363/B3392)</f>
        <v/>
      </c>
      <c r="Q3363">
        <f>IFERROR(1/(IF(Inputs!$B$38="pvp",15,MAX(0.1,Skills!D12-IF(TRUE=TRUE,5.0,0)))*(1-IF(AND(ArtifactsInput!$M$27,Inputs!$B$4="Chapter Hunt"),CHOOSE(ArtifactsInput!$N$27+1,20,24,28,32,36,40),0)/100)),0)</f>
        <v/>
      </c>
      <c r="R3363">
        <f>IF(AND(Inputs!$B$38&lt;&gt;"pvp",Inputs!$B$43&gt;0),IF(MAX(0,Inputs!$B$43-B3389)&lt;=0,0,(INT(MAX(0,Inputs!$B$43-B3389)/(IF(Inputs!$B$38="pvp",15,MAX(0.1,Skills!D12-IF(TRUE=TRUE,5.0,0)))*(1-IF(AND(ArtifactsInput!$M$27,Inputs!$B$4="Chapter Hunt"),CHOOSE(ArtifactsInput!$N$27+1,20,24,28,32,36,40),0)/100)))+1)),0)</f>
        <v/>
      </c>
      <c r="S3363">
        <f>IFERROR(O3363/N3363,0)</f>
        <v/>
      </c>
      <c r="T3363">
        <f>IF(C3363,(H3363*N3363*IF(AND(Inputs!$B$38&lt;&gt;"pvp",Inputs!$B$43&gt;0),((Skills!G12*((R3363-1)*IF(Skills!H12&gt;0,INT(Skills!I12/Skills!H12+0.000000001),1)+IF(Skills!H12&gt;0,INT(MIN(Skills!I12,MAX(0,MAX(0,Inputs!$B$43-B3389)-((R3363-1)*(IF(Inputs!$B$38="pvp",15,MAX(0.1,Skills!D12-IF(TRUE=TRUE,5.0,0)))*(1-IF(AND(ArtifactsInput!$M$27,Inputs!$B$4="Chapter Hunt"),CHOOSE(ArtifactsInput!$N$27+1,20,24,28,32,36,40),0)/100)))))/Skills!H12+0.000000001),1)))/Inputs!$B$43),G3363*Q3363))*IF(Inputs!$B$38="pvp",1,1+(Inputs!$B$20+0+Skills!P12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Hunt"),CHOOSE(ArtifactsInput!$N$35+1,15,18,21,24,27,30)*(1-EXP(-(0.2*B3384)*5)),0)+IF(AND(ArtifactsInput!$M$22,Inputs!$B$4&lt;&gt;"Chapter Hunt"),CHOOSE(ArtifactsInput!$N$22+1,10,12,14,16,18,20)*((0*(((0.15*B3384*5))^0/1)+1*(((0.15*B3384*5))^1/1)+2*(((0.15*B3384*5))^2/2)+3*(((0.15*B3384*5))^3/6)+4*(((0.15*B3384*5))^4/24)+5*(((0.15*B3384*5))^5/120))/((((0.15*B3384*5))^0/1)+(((0.15*B3384*5))^1/1)+(((0.15*B3384*5))^2/2)+(((0.15*B3384*5))^3/6)+(((0.15*B3384*5))^4/24)+(((0.15*B3384*5))^5/120))),0))+IF(Inputs!$B$3&gt;=54,9*(C3354=TRUE)*MIN(1,8*(1+Inputs!$B$34/100)*Q3354)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3363*(1-MIN(100,(Inputs!$B$9+((C3370=TRUE)*(F3370-Calc!F19))+B3382+(ArtifactsInput!$M$24-ArtifactsInput!$M$24)*CHOOSE(ArtifactsInput!$N$24+1,10,12,14,16,18,20)+(IF(AND(Inputs!$B$38&lt;&gt;"pvp",Inputs!$B$43=0),1,IF(IF(Inputs!$B$38="pvp",15,Inputs!$B$43)-(B3389)&lt;=0,1,MAX(0,IF(Inputs!$B$38="pvp",15,Inputs!$B$43)-MAX(5,B3389))/(IF(Inputs!$B$38="pvp",15,Inputs!$B$43)-(B3389))))*IF(AND(ArtifactsInput!$M$42,((Inputs!$B$9+((C3370=TRUE)*(F3370-Calc!F19))+B3382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3363*(MIN(100,(Inputs!$B$9+((C3370=TRUE)*(F3370-Calc!F19))+B3382+(ArtifactsInput!$M$24-ArtifactsInput!$M$24)*CHOOSE(ArtifactsInput!$N$24+1,10,12,14,16,18,20)+(IF(AND(Inputs!$B$38&lt;&gt;"pvp",Inputs!$B$43=0),1,IF(IF(Inputs!$B$38="pvp",15,Inputs!$B$43)-(B3389)&lt;=0,1,MAX(0,IF(Inputs!$B$38="pvp",15,Inputs!$B$43)-MAX(5,B3389))/(IF(Inputs!$B$38="pvp",15,Inputs!$B$43)-(B3389))))*IF(AND(ArtifactsInput!$M$42,((Inputs!$B$9+((C3370=TRUE)*(F3370-Calc!F19))+B3382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3363*(1-MIN(100,(Inputs!$B$9+((C3370=TRUE)*(F3370-Calc!F19))+B3382+(ArtifactsInput!$M$24-ArtifactsInput!$M$24)*CHOOSE(ArtifactsInput!$N$24+1,10,12,14,16,18,20)+(IF(AND(Inputs!$B$38&lt;&gt;"pvp",Inputs!$B$43=0),1,IF(IF(Inputs!$B$38="pvp",15,Inputs!$B$43)-(B3389)&lt;=0,1,MAX(0,IF(Inputs!$B$38="pvp",15,Inputs!$B$43)-MAX(5,B3389))/(IF(Inputs!$B$38="pvp",15,Inputs!$B$43)-(B3389))))*IF(AND(ArtifactsInput!$M$42,((Inputs!$B$9+((C3370=TRUE)*(F3370-Calc!F19))+B3382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3363*(MIN(100,(Inputs!$B$9+((C3370=TRUE)*(F3370-Calc!F19))+B3382+(ArtifactsInput!$M$24-ArtifactsInput!$M$24)*CHOOSE(ArtifactsInput!$N$24+1,10,12,14,16,18,20)+(IF(AND(Inputs!$B$38&lt;&gt;"pvp",Inputs!$B$43=0),1,IF(IF(Inputs!$B$38="pvp",15,Inputs!$B$43)-(B3389)&lt;=0,1,MAX(0,IF(Inputs!$B$38="pvp",15,Inputs!$B$43)-MAX(5,B3389))/(IF(Inputs!$B$38="pvp",15,Inputs!$B$43)-(B3389))))*IF(AND(ArtifactsInput!$M$42,((Inputs!$B$9+((C3370=TRUE)*(F3370-Calc!F19))+B3382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363">
        <f>IF(C3363,(H3363*N3363*IF(AND(Inputs!$B$38&lt;&gt;"pvp",Inputs!$B$43&gt;0),((Skills!G12*((R3363-1)*IF(Skills!H12&gt;0,INT(Skills!I12/Skills!H12+0.000000001),1)+IF(Skills!H12&gt;0,INT(MIN(Skills!I12,MAX(0,MAX(0,Inputs!$B$43-B3389)-((R3363-1)*(IF(Inputs!$B$38="pvp",15,MAX(0.1,Skills!D12-IF(TRUE=TRUE,5.0,0)))*(1-IF(AND(ArtifactsInput!$M$27,Inputs!$B$4="Chapter Hunt"),CHOOSE(ArtifactsInput!$N$27+1,20,24,28,32,36,40),0)/100)))))/Skills!H12+0.000000001),1)))/Inputs!$B$43),G3363*Q3363))*IF(Inputs!$B$38="pvp",1,(1+(Inputs!$B$21+Skills!Q12+(IF(ArtifactsInput!$M$33,CHOOSE(ArtifactsInput!$N$33+1,30,36,42,48,54,60),0))+(IF(AND(ArtifactsInput!$M$35,Inputs!$B$4&lt;&gt;"Chapter Hunt"),CHOOSE(ArtifactsInput!$N$35+1,15,18,21,24,27,30)*(1-EXP(-(0.2*B3384)*5)),0)+IF(AND(ArtifactsInput!$M$22,Inputs!$B$4&lt;&gt;"Chapter Hunt"),CHOOSE(ArtifactsInput!$N$22+1,10,12,14,16,18,20)*((0*(((0.15*B3384*5))^0/1)+1*(((0.15*B3384*5))^1/1)+2*(((0.15*B3384*5))^2/2)+3*(((0.15*B3384*5))^3/6)+4*(((0.15*B3384*5))^4/24)+5*(((0.15*B3384*5))^5/120))/((((0.15*B3384*5))^0/1)+(((0.15*B3384*5))^1/1)+(((0.15*B3384*5))^2/2)+(((0.15*B3384*5))^3/6)+(((0.15*B3384*5))^4/24)+(((0.15*B3384*5))^5/120))),0))+IF(Inputs!$B$3&gt;=54,9*(C3354=TRUE)*MIN(1,8*(1+Inputs!$B$34/100)*Q3354),0))/100)*(MIN(Skills!R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364">
      <c r="A3364">
        <f>Skills!A13</f>
        <v/>
      </c>
      <c r="B3364">
        <f>Skills!B13</f>
        <v/>
      </c>
      <c r="C3364">
        <f>Inputs!$B$3&gt;=110</f>
        <v/>
      </c>
      <c r="D3364">
        <f>IF(Skills!C13=1,60+Inputs!$B$25+Inputs!$B$29,IF(Skills!C13=2,90+Inputs!$B$26+Inputs!$B$29,IF(Skills!C13=3,120+Inputs!$B$27+Inputs!$B$29,MAX(0,(Inputs!$B$3-100)*3)+Inputs!$B$28+Inputs!$B$29)))</f>
        <v/>
      </c>
      <c r="E3364">
        <f>INDEX(FactorTable!$B$2:$Y$301, MATCH(ROUND(MIN(300,MAX(1,D3364)),0), FactorTable!$A$2:$A$301,0), Skills!M13+1)</f>
        <v/>
      </c>
      <c r="F3364">
        <f>IF(Skills!N13=TRUE,(Skills!L13/10)*(E3364/1000),Skills!L13/10)+Skills!O13</f>
        <v/>
      </c>
      <c r="G3364">
        <f>Skills!G13*IF(Skills!H13&gt;0,INT(IF(Inputs!$B$38="pvp",MIN(Skills!I13,15),Skills!I13)/Skills!H13+0.000000001),1)</f>
        <v/>
      </c>
      <c r="H3364">
        <f>1-(1-Skills!J13/100)^Skills!K13</f>
        <v/>
      </c>
      <c r="I3364" t="inlineStr">
        <is>
          <t>1</t>
        </is>
      </c>
      <c r="J3364">
        <f>((Inputs!$B$6*(1+Inputs!$B$7/100))+(((Inputs!$B$12*(1+Inputs!$B$13/100))-(Inputs!$B$12*(1+Inputs!$B$13/100)))+0.25*(Inputs!$B$14-Inputs!$B$14))*(1+Inputs!$B$7/100))*(F3364/100)</f>
        <v/>
      </c>
      <c r="K3364">
        <f>J3364*(1+((Inputs!$B$12*(1+Inputs!$B$13/100))*0.01+Inputs!$B$14*0.0025)/100)*(1+Inputs!$B$15/100)*(1+Inputs!$B$16/100)*(5000/(6000+Inputs!$B$42*(1-(100*(1-(1-(Inputs!$B$19+0)/100)*(1-CHOOSE(ArtifactsInput!$N$40+1,5,6,7,8,9,10)/100)^(ArtifactsInput!$M$40-ArtifactsInput!$M$40)))/100)))*(1+(Inputs!$B$24+((C3377=TRUE)*(F3377-Calc!F26))+B3388)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EIGHT_LEGS_EASTON",Inputs!$B$17+((C3374=TRUE)*(F3374-Calc!F23))+((C3378=TRUE)*(F3378-Calc!F27))+((IF(AND(Inputs!$B$38&lt;&gt;"pvp",Inputs!$B$43=0),1,IF(IF(Inputs!$B$38="pvp",15,Inputs!$B$43)-(B3389)&lt;=0,1,MAX(0,IF(Inputs!$B$38="pvp",15,Inputs!$B$43)-MAX(5,B3389))/(IF(Inputs!$B$38="pvp",15,Inputs!$B$43)-(B3389))))*(IF(AND(ArtifactsInput!$M$42,((Inputs!$B$9+((C3370=TRUE)*(F3370-Calc!F19))+B3382+(ArtifactsInput!$M$24-ArtifactsInput!$M$24)*CHOOSE(ArtifactsInput!$N$24+1,10,12,14,16,18,20)+IF(ArtifactsInput!$M$10,CHOOSE(ArtifactsInput!$N$10+1,15,18,21,24,27,30)*(IF(Inputs!$B$38="pvp",MIN(15,15)/15,IF(AND(Inputs!$B$38&lt;&gt;"pvp",Inputs!$B$43&gt;0),MIN(15,Inputs!$B$43)/(Inputs!$B$43),0))),0)))&gt;=100),MIN(100,((Inputs!$B$9+((C3370=TRUE)*(F3370-Calc!F19))+B3382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3389)&lt;=0,1,MAX(0,IF(Inputs!$B$38="pvp",15,Inputs!$B$43)-MAX(5,B3389))/(IF(Inputs!$B$38="pvp",15,Inputs!$B$43)-(B3389))))*IF(AND(ArtifactsInput!$M$42,((Inputs!$B$9+((C3370=TRUE)*(F3370-Calc!F19))+B3382+(ArtifactsInput!$M$24-ArtifactsInput!$M$24)*CHOOSE(ArtifactsInput!$N$24+1,10,12,14,16,18,20)+IF(ArtifactsInput!$M$10,CHOOSE(ArtifactsInput!$N$10+1,15,18,21,24,27,30)*(IF(Inputs!$B$38="pvp",MIN(15,15)/15,IF(AND(Inputs!$B$38&lt;&gt;"pvp",Inputs!$B$43&gt;0),MIN(15,Inputs!$B$43)/(Inputs!$B$43),0))),0)))&gt;=100),CHOOSE(ArtifactsInput!$N$42+1,40,48,56,64,72,80),0))))/100)*((1+(((C3368=TRUE)*F3368*5/7)+((C3375=TRUE)*(F3375-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3364)</f>
        <v/>
      </c>
      <c r="L3364">
        <f>K3364*(MIN(Inputs!$B$22+((C3373=TRUE)*(F3373-Calc!F22)),(Inputs!$B$23+0+(IF(ArtifactsInput!$M$15,CHOOSE(ArtifactsInput!$N$15+1,25,30,35,40,45,50)/100*(Inputs!$B$11-Inputs!$B$11),0))))/100+(Inputs!$B$23+0+(IF(ArtifactsInput!$M$15,CHOOSE(ArtifactsInput!$N$15+1,25,30,35,40,45,50)/100*(Inputs!$B$11-Inputs!$B$11),0)))/100)/2</f>
        <v/>
      </c>
      <c r="M3364">
        <f>L3364*(1+(Inputs!$B$10+((C3376=TRUE)*(F3376-Calc!F25))+B3387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364">
        <f>L3364*(1-MIN((Inputs!$B$9+((C3370=TRUE)*(F3370-Calc!F19))+B3382+(ArtifactsInput!$M$24-ArtifactsInput!$M$24)*CHOOSE(ArtifactsInput!$N$24+1,10,12,14,16,18,20)+(IF(AND(Inputs!$B$38&lt;&gt;"pvp",Inputs!$B$43=0),1,IF(IF(Inputs!$B$38="pvp",15,Inputs!$B$43)-(B3389)&lt;=0,1,MAX(0,IF(Inputs!$B$38="pvp",15,Inputs!$B$43)-MAX(5,B3389))/(IF(Inputs!$B$38="pvp",15,Inputs!$B$43)-(B3389))))*IF(AND(ArtifactsInput!$M$42,((Inputs!$B$9+((C3370=TRUE)*(F3370-Calc!F19))+B3382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3364*(MIN((Inputs!$B$9+((C3370=TRUE)*(F3370-Calc!F19))+B3382+(ArtifactsInput!$M$24-ArtifactsInput!$M$24)*CHOOSE(ArtifactsInput!$N$24+1,10,12,14,16,18,20)+(IF(AND(Inputs!$B$38&lt;&gt;"pvp",Inputs!$B$43=0),1,IF(IF(Inputs!$B$38="pvp",15,Inputs!$B$43)-(B3389)&lt;=0,1,MAX(0,IF(Inputs!$B$38="pvp",15,Inputs!$B$43)-MAX(5,B3389))/(IF(Inputs!$B$38="pvp",15,Inputs!$B$43)-(B3389))))*IF(AND(ArtifactsInput!$M$42,((Inputs!$B$9+((C3370=TRUE)*(F3370-Calc!F19))+B3382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364">
        <f>(1-Summary!$B$11)*T3364+Summary!$B$11*V3364</f>
        <v/>
      </c>
      <c r="P3364">
        <f>IF(B3392=0,0,O3364/B3392)</f>
        <v/>
      </c>
      <c r="Q3364">
        <f>IFERROR(1/(IF(Inputs!$B$38="pvp",15,MAX(0.1,Skills!D13-IF(TRUE=TRUE,5.0,0)))*(1-IF(AND(ArtifactsInput!$M$27,Inputs!$B$4="Chapter Hunt"),CHOOSE(ArtifactsInput!$N$27+1,20,24,28,32,36,40),0)/100)),0)</f>
        <v/>
      </c>
      <c r="R3364">
        <f>IF(AND(Inputs!$B$38&lt;&gt;"pvp",Inputs!$B$43&gt;0),IF(MAX(0,Inputs!$B$43-B3389)&lt;=0,0,(INT(MAX(0,Inputs!$B$43-B3389)/(IF(Inputs!$B$38="pvp",15,MAX(0.1,Skills!D13-IF(TRUE=TRUE,5.0,0)))*(1-IF(AND(ArtifactsInput!$M$27,Inputs!$B$4="Chapter Hunt"),CHOOSE(ArtifactsInput!$N$27+1,20,24,28,32,36,40),0)/100)))+1)),0)</f>
        <v/>
      </c>
      <c r="S3364">
        <f>IFERROR(O3364/N3364,0)</f>
        <v/>
      </c>
      <c r="T3364">
        <f>IF(C3364,(H3364*N3364*IF(AND(Inputs!$B$38&lt;&gt;"pvp",Inputs!$B$43&gt;0),((Skills!G13*((R3364-1)*IF(Skills!H13&gt;0,INT(Skills!I13/Skills!H13+0.000000001),1)+IF(Skills!H13&gt;0,INT(MIN(Skills!I13,MAX(0,MAX(0,Inputs!$B$43-B3389)-((R3364-1)*(IF(Inputs!$B$38="pvp",15,MAX(0.1,Skills!D13-IF(TRUE=TRUE,5.0,0)))*(1-IF(AND(ArtifactsInput!$M$27,Inputs!$B$4="Chapter Hunt"),CHOOSE(ArtifactsInput!$N$27+1,20,24,28,32,36,40),0)/100)))))/Skills!H13+0.000000001),1)))/Inputs!$B$43),G3364*Q3364))*IF(Inputs!$B$38="pvp",1,1+(Inputs!$B$20+0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Hunt"),CHOOSE(ArtifactsInput!$N$35+1,15,18,21,24,27,30)*(1-EXP(-(0.2*B3384)*5)),0)+IF(AND(ArtifactsInput!$M$22,Inputs!$B$4&lt;&gt;"Chapter Hunt"),CHOOSE(ArtifactsInput!$N$22+1,10,12,14,16,18,20)*((0*(((0.15*B3384*5))^0/1)+1*(((0.15*B3384*5))^1/1)+2*(((0.15*B3384*5))^2/2)+3*(((0.15*B3384*5))^3/6)+4*(((0.15*B3384*5))^4/24)+5*(((0.15*B3384*5))^5/120))/((((0.15*B3384*5))^0/1)+(((0.15*B3384*5))^1/1)+(((0.15*B3384*5))^2/2)+(((0.15*B3384*5))^3/6)+(((0.15*B3384*5))^4/24)+(((0.15*B3384*5))^5/120))),0))+IF(Inputs!$B$3&gt;=54,9*(C3354=TRUE)*MIN(1,8*(1+Inputs!$B$34/100)*Q3354)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3364*(1-MIN(100,(Inputs!$B$9+((C3370=TRUE)*(F3370-Calc!F19))+B3382+(ArtifactsInput!$M$24-ArtifactsInput!$M$24)*CHOOSE(ArtifactsInput!$N$24+1,10,12,14,16,18,20)+(IF(AND(Inputs!$B$38&lt;&gt;"pvp",Inputs!$B$43=0),1,IF(IF(Inputs!$B$38="pvp",15,Inputs!$B$43)-(B3389)&lt;=0,1,MAX(0,IF(Inputs!$B$38="pvp",15,Inputs!$B$43)-MAX(5,B3389))/(IF(Inputs!$B$38="pvp",15,Inputs!$B$43)-(B3389))))*IF(AND(ArtifactsInput!$M$42,((Inputs!$B$9+((C3370=TRUE)*(F3370-Calc!F19))+B3382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3364*(MIN(100,(Inputs!$B$9+((C3370=TRUE)*(F3370-Calc!F19))+B3382+(ArtifactsInput!$M$24-ArtifactsInput!$M$24)*CHOOSE(ArtifactsInput!$N$24+1,10,12,14,16,18,20)+(IF(AND(Inputs!$B$38&lt;&gt;"pvp",Inputs!$B$43=0),1,IF(IF(Inputs!$B$38="pvp",15,Inputs!$B$43)-(B3389)&lt;=0,1,MAX(0,IF(Inputs!$B$38="pvp",15,Inputs!$B$43)-MAX(5,B3389))/(IF(Inputs!$B$38="pvp",15,Inputs!$B$43)-(B3389))))*IF(AND(ArtifactsInput!$M$42,((Inputs!$B$9+((C3370=TRUE)*(F3370-Calc!F19))+B3382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3364*(1-MIN(100,(Inputs!$B$9+((C3370=TRUE)*(F3370-Calc!F19))+B3382+(ArtifactsInput!$M$24-ArtifactsInput!$M$24)*CHOOSE(ArtifactsInput!$N$24+1,10,12,14,16,18,20)+(IF(AND(Inputs!$B$38&lt;&gt;"pvp",Inputs!$B$43=0),1,IF(IF(Inputs!$B$38="pvp",15,Inputs!$B$43)-(B3389)&lt;=0,1,MAX(0,IF(Inputs!$B$38="pvp",15,Inputs!$B$43)-MAX(5,B3389))/(IF(Inputs!$B$38="pvp",15,Inputs!$B$43)-(B3389))))*IF(AND(ArtifactsInput!$M$42,((Inputs!$B$9+((C3370=TRUE)*(F3370-Calc!F19))+B3382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3364*(MIN(100,(Inputs!$B$9+((C3370=TRUE)*(F3370-Calc!F19))+B3382+(ArtifactsInput!$M$24-ArtifactsInput!$M$24)*CHOOSE(ArtifactsInput!$N$24+1,10,12,14,16,18,20)+(IF(AND(Inputs!$B$38&lt;&gt;"pvp",Inputs!$B$43=0),1,IF(IF(Inputs!$B$38="pvp",15,Inputs!$B$43)-(B3389)&lt;=0,1,MAX(0,IF(Inputs!$B$38="pvp",15,Inputs!$B$43)-MAX(5,B3389))/(IF(Inputs!$B$38="pvp",15,Inputs!$B$43)-(B3389))))*IF(AND(ArtifactsInput!$M$42,((Inputs!$B$9+((C3370=TRUE)*(F3370-Calc!F19))+B3382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364">
        <f>IF(C3364,(H3364*N3364*IF(AND(Inputs!$B$38&lt;&gt;"pvp",Inputs!$B$43&gt;0),((Skills!G13*((R3364-1)*IF(Skills!H13&gt;0,INT(Skills!I13/Skills!H13+0.000000001),1)+IF(Skills!H13&gt;0,INT(MIN(Skills!I13,MAX(0,MAX(0,Inputs!$B$43-B3389)-((R3364-1)*(IF(Inputs!$B$38="pvp",15,MAX(0.1,Skills!D13-IF(TRUE=TRUE,5.0,0)))*(1-IF(AND(ArtifactsInput!$M$27,Inputs!$B$4="Chapter Hunt"),CHOOSE(ArtifactsInput!$N$27+1,20,24,28,32,36,40),0)/100)))))/Skills!H13+0.000000001),1)))/Inputs!$B$43),G3364*Q3364))*IF(Inputs!$B$38="pvp",1,(1+(Inputs!$B$21+Skills!Q13+(IF(ArtifactsInput!$M$33,CHOOSE(ArtifactsInput!$N$33+1,30,36,42,48,54,60),0))+(IF(AND(ArtifactsInput!$M$35,Inputs!$B$4&lt;&gt;"Chapter Hunt"),CHOOSE(ArtifactsInput!$N$35+1,15,18,21,24,27,30)*(1-EXP(-(0.2*B3384)*5)),0)+IF(AND(ArtifactsInput!$M$22,Inputs!$B$4&lt;&gt;"Chapter Hunt"),CHOOSE(ArtifactsInput!$N$22+1,10,12,14,16,18,20)*((0*(((0.15*B3384*5))^0/1)+1*(((0.15*B3384*5))^1/1)+2*(((0.15*B3384*5))^2/2)+3*(((0.15*B3384*5))^3/6)+4*(((0.15*B3384*5))^4/24)+5*(((0.15*B3384*5))^5/120))/((((0.15*B3384*5))^0/1)+(((0.15*B3384*5))^1/1)+(((0.15*B3384*5))^2/2)+(((0.15*B3384*5))^3/6)+(((0.15*B3384*5))^4/24)+(((0.15*B3384*5))^5/120))),0))+IF(Inputs!$B$3&gt;=54,9*(C3354=TRUE)*MIN(1,8*(1+Inputs!$B$34/100)*Q3354),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365">
      <c r="A3365">
        <f>Skills!A14</f>
        <v/>
      </c>
      <c r="B3365">
        <f>Skills!B14</f>
        <v/>
      </c>
      <c r="C3365">
        <f>Inputs!$B$3&gt;=120</f>
        <v/>
      </c>
      <c r="D3365">
        <f>IF(Skills!C14=1,60+Inputs!$B$25+Inputs!$B$29,IF(Skills!C14=2,90+Inputs!$B$26+Inputs!$B$29,IF(Skills!C14=3,120+Inputs!$B$27+Inputs!$B$29,MAX(0,(Inputs!$B$3-100)*3)+Inputs!$B$28+Inputs!$B$29)))</f>
        <v/>
      </c>
      <c r="E3365">
        <f>INDEX(FactorTable!$B$2:$Y$301, MATCH(ROUND(MIN(300,MAX(1,D3365)),0), FactorTable!$A$2:$A$301,0), Skills!M14+1)</f>
        <v/>
      </c>
      <c r="F3365">
        <f>IF(Skills!N14=TRUE,(Skills!L14/10)*(E3365/1000),Skills!L14/10)+Skills!O14</f>
        <v/>
      </c>
      <c r="G3365">
        <f>Skills!G14*IF(Skills!H14&gt;0,INT(IF(Inputs!$B$38="pvp",MIN(Skills!I14,15),Skills!I14)/Skills!H14+0.000000001),1)</f>
        <v/>
      </c>
      <c r="H3365">
        <f>1-(1-Skills!J14/100)^Skills!K14</f>
        <v/>
      </c>
      <c r="I3365" t="inlineStr">
        <is>
          <t>1</t>
        </is>
      </c>
      <c r="J3365">
        <f>((Inputs!$B$6*(1+Inputs!$B$7/100))+(((Inputs!$B$12*(1+Inputs!$B$13/100))-(Inputs!$B$12*(1+Inputs!$B$13/100)))+0.25*(Inputs!$B$14-Inputs!$B$14))*(1+Inputs!$B$7/100))*(F3365/100)</f>
        <v/>
      </c>
      <c r="K3365">
        <f>J3365*(1+((Inputs!$B$12*(1+Inputs!$B$13/100))*0.01+Inputs!$B$14*0.0025)/100)*(1+Inputs!$B$15/100)*(1+Inputs!$B$16/100)*(5000/(6000+Inputs!$B$42*(1-(100*(1-(1-(Inputs!$B$19+0)/100)*(1-CHOOSE(ArtifactsInput!$N$40+1,5,6,7,8,9,10)/100)^(ArtifactsInput!$M$40-ArtifactsInput!$M$40)))/100)))*(1+(Inputs!$B$24+((C3377=TRUE)*(F3377-Calc!F26))+B3388)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EIGHT_LEGS_EASTON",Inputs!$B$17+((C3374=TRUE)*(F3374-Calc!F23))+((C3378=TRUE)*(F3378-Calc!F27))+((IF(AND(Inputs!$B$38&lt;&gt;"pvp",Inputs!$B$43=0),1,IF(IF(Inputs!$B$38="pvp",15,Inputs!$B$43)-(B3389)&lt;=0,1,MAX(0,IF(Inputs!$B$38="pvp",15,Inputs!$B$43)-MAX(5,B3389))/(IF(Inputs!$B$38="pvp",15,Inputs!$B$43)-(B3389))))*(IF(AND(ArtifactsInput!$M$42,((Inputs!$B$9+((C3370=TRUE)*(F3370-Calc!F19))+B3382+(ArtifactsInput!$M$24-ArtifactsInput!$M$24)*CHOOSE(ArtifactsInput!$N$24+1,10,12,14,16,18,20)+IF(ArtifactsInput!$M$10,CHOOSE(ArtifactsInput!$N$10+1,15,18,21,24,27,30)*(IF(Inputs!$B$38="pvp",MIN(15,15)/15,IF(AND(Inputs!$B$38&lt;&gt;"pvp",Inputs!$B$43&gt;0),MIN(15,Inputs!$B$43)/(Inputs!$B$43),0))),0)))&gt;=100),MIN(100,((Inputs!$B$9+((C3370=TRUE)*(F3370-Calc!F19))+B3382+(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3389)&lt;=0,1,MAX(0,IF(Inputs!$B$38="pvp",15,Inputs!$B$43)-MAX(5,B3389))/(IF(Inputs!$B$38="pvp",15,Inputs!$B$43)-(B3389))))*IF(AND(ArtifactsInput!$M$42,((Inputs!$B$9+((C3370=TRUE)*(F3370-Calc!F19))+B3382+(ArtifactsInput!$M$24-ArtifactsInput!$M$24)*CHOOSE(ArtifactsInput!$N$24+1,10,12,14,16,18,20)+IF(ArtifactsInput!$M$10,CHOOSE(ArtifactsInput!$N$10+1,15,18,21,24,27,30)*(IF(Inputs!$B$38="pvp",MIN(15,15)/15,IF(AND(Inputs!$B$38&lt;&gt;"pvp",Inputs!$B$43&gt;0),MIN(15,Inputs!$B$43)/(Inputs!$B$43),0))),0)))&gt;=100),CHOOSE(ArtifactsInput!$N$42+1,40,48,56,64,72,80),0))))/100)*((1+(((C3368=TRUE)*F3368*5/7)+((C3375=TRUE)*(F3375-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3365)</f>
        <v/>
      </c>
      <c r="L3365">
        <f>K3365*(MIN(Inputs!$B$22+((C3373=TRUE)*(F3373-Calc!F22)),(Inputs!$B$23+0+(IF(ArtifactsInput!$M$15,CHOOSE(ArtifactsInput!$N$15+1,25,30,35,40,45,50)/100*(Inputs!$B$11-Inputs!$B$11),0))))/100+(Inputs!$B$23+0+(IF(ArtifactsInput!$M$15,CHOOSE(ArtifactsInput!$N$15+1,25,30,35,40,45,50)/100*(Inputs!$B$11-Inputs!$B$11),0)))/100)/2</f>
        <v/>
      </c>
      <c r="M3365">
        <f>L3365*(1+(Inputs!$B$10+((C3376=TRUE)*(F3376-Calc!F25))+B3387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365">
        <f>L3365*(1-MIN((Inputs!$B$9+((C3370=TRUE)*(F3370-Calc!F19))+B3382+(ArtifactsInput!$M$24-ArtifactsInput!$M$24)*CHOOSE(ArtifactsInput!$N$24+1,10,12,14,16,18,20)+(IF(AND(Inputs!$B$38&lt;&gt;"pvp",Inputs!$B$43=0),1,IF(IF(Inputs!$B$38="pvp",15,Inputs!$B$43)-(B3389)&lt;=0,1,MAX(0,IF(Inputs!$B$38="pvp",15,Inputs!$B$43)-MAX(5,B3389))/(IF(Inputs!$B$38="pvp",15,Inputs!$B$43)-(B3389))))*IF(AND(ArtifactsInput!$M$42,((Inputs!$B$9+((C3370=TRUE)*(F3370-Calc!F19))+B3382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3365*(MIN((Inputs!$B$9+((C3370=TRUE)*(F3370-Calc!F19))+B3382+(ArtifactsInput!$M$24-ArtifactsInput!$M$24)*CHOOSE(ArtifactsInput!$N$24+1,10,12,14,16,18,20)+(IF(AND(Inputs!$B$38&lt;&gt;"pvp",Inputs!$B$43=0),1,IF(IF(Inputs!$B$38="pvp",15,Inputs!$B$43)-(B3389)&lt;=0,1,MAX(0,IF(Inputs!$B$38="pvp",15,Inputs!$B$43)-MAX(5,B3389))/(IF(Inputs!$B$38="pvp",15,Inputs!$B$43)-(B3389))))*IF(AND(ArtifactsInput!$M$42,((Inputs!$B$9+((C3370=TRUE)*(F3370-Calc!F19))+B3382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365">
        <f>(1-Summary!$B$11)*T3365+Summary!$B$11*V3365</f>
        <v/>
      </c>
      <c r="P3365">
        <f>IF(B3392=0,0,O3365/B3392)</f>
        <v/>
      </c>
      <c r="Q3365" t="n">
        <v>0</v>
      </c>
      <c r="R3365" t="n">
        <v>0</v>
      </c>
      <c r="S3365">
        <f>IFERROR(O3365/N3365,0)</f>
        <v/>
      </c>
      <c r="T3365">
        <f>IF(C3365,((H3365*(B3386+IF(AND(Inputs!$B$38&lt;&gt;"pvp",Inputs!$B$43&gt;0),((Skills!G8*((R3359-1)*IF(Skills!H8&gt;0,INT(Skills!I8/Skills!H8+0.000000001),1)+IF(Skills!H8&gt;0,INT(MIN(Skills!I8,MAX(0,MAX(0,Inputs!$B$43-B3389)-((R3359-1)*((IF(Inputs!$B$38="pvp",15,MAX(0.1,Skills!D8-IF(TRUE=TRUE,5.0,0)))*(1-IF(AND(ArtifactsInput!$M$27,Inputs!$B$4="Chapter Hunt"),CHOOSE(ArtifactsInput!$N$27+1,20,24,28,32,36,40),0)/100))/B3393))))/Skills!H8+0.000000001),1)))/Inputs!$B$43),G3359*Q3359)+IF(AND(Inputs!$B$38&lt;&gt;"pvp",Inputs!$B$43&gt;0),((Skills!G11*((R3362-1)*IF(Skills!H11&gt;0,INT(Skills!I11/Skills!H11+0.000000001),1)+IF(Skills!H11&gt;0,INT(MIN(Skills!I11,MAX(0,MAX(0,Inputs!$B$43-B3389)-((R3362-1)*((IF(Inputs!$B$38="pvp",15,MAX(0.1,Skills!D11-IF(TRUE=TRUE,5.0,0)))*(1-IF(AND(ArtifactsInput!$M$27,Inputs!$B$4="Chapter Hunt"),CHOOSE(ArtifactsInput!$N$27+1,20,24,28,32,36,40),0)/100))/B3393))))/Skills!H11+0.000000001),1)))/Inputs!$B$43),G3362*Q3362)))/(1+Skills!H14*H3365*(B3386+IF(AND(Inputs!$B$38&lt;&gt;"pvp",Inputs!$B$43&gt;0),((Skills!G8*((R3359-1)*IF(Skills!H8&gt;0,INT(Skills!I8/Skills!H8+0.000000001),1)+IF(Skills!H8&gt;0,INT(MIN(Skills!I8,MAX(0,MAX(0,Inputs!$B$43-B3389)-((R3359-1)*((IF(Inputs!$B$38="pvp",15,MAX(0.1,Skills!D8-IF(TRUE=TRUE,5.0,0)))*(1-IF(AND(ArtifactsInput!$M$27,Inputs!$B$4="Chapter Hunt"),CHOOSE(ArtifactsInput!$N$27+1,20,24,28,32,36,40),0)/100))/B3393))))/Skills!H8+0.000000001),1)))/Inputs!$B$43),G3359*Q3359)+IF(AND(Inputs!$B$38&lt;&gt;"pvp",Inputs!$B$43&gt;0),((Skills!G11*((R3362-1)*IF(Skills!H11&gt;0,INT(Skills!I11/Skills!H11+0.000000001),1)+IF(Skills!H11&gt;0,INT(MIN(Skills!I11,MAX(0,MAX(0,Inputs!$B$43-B3389)-((R3362-1)*((IF(Inputs!$B$38="pvp",15,MAX(0.1,Skills!D11-IF(TRUE=TRUE,5.0,0)))*(1-IF(AND(ArtifactsInput!$M$27,Inputs!$B$4="Chapter Hunt"),CHOOSE(ArtifactsInput!$N$27+1,20,24,28,32,36,40),0)/100))/B3393))))/Skills!H11+0.000000001),1)))/Inputs!$B$43),G3362*Q3362)))*N3365)*IF(Inputs!$B$38="pvp",1,1+(Inputs!$B$20+0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Hunt"),CHOOSE(ArtifactsInput!$N$35+1,15,18,21,24,27,30)*(1-EXP(-(0.2*B3384)*5)),0)+IF(AND(ArtifactsInput!$M$22,Inputs!$B$4&lt;&gt;"Chapter Hunt"),CHOOSE(ArtifactsInput!$N$22+1,10,12,14,16,18,20)*((0*(((0.15*B3384*5))^0/1)+1*(((0.15*B3384*5))^1/1)+2*(((0.15*B3384*5))^2/2)+3*(((0.15*B3384*5))^3/6)+4*(((0.15*B3384*5))^4/24)+5*(((0.15*B3384*5))^5/120))/((((0.15*B3384*5))^0/1)+(((0.15*B3384*5))^1/1)+(((0.15*B3384*5))^2/2)+(((0.15*B3384*5))^3/6)+(((0.15*B3384*5))^4/24)+(((0.15*B3384*5))^5/120))),0))+IF(Inputs!$B$3&gt;=54,9*(C3354=TRUE)*MIN(1,8*(1+Inputs!$B$34/100)*Q3354),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3365*(1-MIN(100,(Inputs!$B$9+((C3370=TRUE)*(F3370-Calc!F19))+B3382+(ArtifactsInput!$M$24-ArtifactsInput!$M$24)*CHOOSE(ArtifactsInput!$N$24+1,10,12,14,16,18,20)+(IF(AND(Inputs!$B$38&lt;&gt;"pvp",Inputs!$B$43=0),1,IF(IF(Inputs!$B$38="pvp",15,Inputs!$B$43)-(B3389)&lt;=0,1,MAX(0,IF(Inputs!$B$38="pvp",15,Inputs!$B$43)-MAX(5,B3389))/(IF(Inputs!$B$38="pvp",15,Inputs!$B$43)-(B3389))))*IF(AND(ArtifactsInput!$M$42,((Inputs!$B$9+((C3370=TRUE)*(F3370-Calc!F19))+B3382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3365*(MIN(100,(Inputs!$B$9+((C3370=TRUE)*(F3370-Calc!F19))+B3382+(ArtifactsInput!$M$24-ArtifactsInput!$M$24)*CHOOSE(ArtifactsInput!$N$24+1,10,12,14,16,18,20)+(IF(AND(Inputs!$B$38&lt;&gt;"pvp",Inputs!$B$43=0),1,IF(IF(Inputs!$B$38="pvp",15,Inputs!$B$43)-(B3389)&lt;=0,1,MAX(0,IF(Inputs!$B$38="pvp",15,Inputs!$B$43)-MAX(5,B3389))/(IF(Inputs!$B$38="pvp",15,Inputs!$B$43)-(B3389))))*IF(AND(ArtifactsInput!$M$42,((Inputs!$B$9+((C3370=TRUE)*(F3370-Calc!F19))+B3382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3365*(1-MIN(100,(Inputs!$B$9+((C3370=TRUE)*(F3370-Calc!F19))+B3382+(ArtifactsInput!$M$24-ArtifactsInput!$M$24)*CHOOSE(ArtifactsInput!$N$24+1,10,12,14,16,18,20)+(IF(AND(Inputs!$B$38&lt;&gt;"pvp",Inputs!$B$43=0),1,IF(IF(Inputs!$B$38="pvp",15,Inputs!$B$43)-(B3389)&lt;=0,1,MAX(0,IF(Inputs!$B$38="pvp",15,Inputs!$B$43)-MAX(5,B3389))/(IF(Inputs!$B$38="pvp",15,Inputs!$B$43)-(B3389))))*IF(AND(ArtifactsInput!$M$42,((Inputs!$B$9+((C3370=TRUE)*(F3370-Calc!F19))+B3382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3365*(MIN(100,(Inputs!$B$9+((C3370=TRUE)*(F3370-Calc!F19))+B3382+(ArtifactsInput!$M$24-ArtifactsInput!$M$24)*CHOOSE(ArtifactsInput!$N$24+1,10,12,14,16,18,20)+(IF(AND(Inputs!$B$38&lt;&gt;"pvp",Inputs!$B$43=0),1,IF(IF(Inputs!$B$38="pvp",15,Inputs!$B$43)-(B3389)&lt;=0,1,MAX(0,IF(Inputs!$B$38="pvp",15,Inputs!$B$43)-MAX(5,B3389))/(IF(Inputs!$B$38="pvp",15,Inputs!$B$43)-(B3389))))*IF(AND(ArtifactsInput!$M$42,((Inputs!$B$9+((C3370=TRUE)*(F3370-Calc!F19))+B3382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365">
        <f>IF(C3365,((H3365*(B3386+IF(AND(Inputs!$B$38&lt;&gt;"pvp",Inputs!$B$43&gt;0),((Skills!G8*((R3359-1)*IF(Skills!H8&gt;0,INT(Skills!I8/Skills!H8+0.000000001),1)+IF(Skills!H8&gt;0,INT(MIN(Skills!I8,MAX(0,MAX(0,Inputs!$B$43-B3389)-((R3359-1)*((IF(Inputs!$B$38="pvp",15,MAX(0.1,Skills!D8-IF(TRUE=TRUE,5.0,0)))*(1-IF(AND(ArtifactsInput!$M$27,Inputs!$B$4="Chapter Hunt"),CHOOSE(ArtifactsInput!$N$27+1,20,24,28,32,36,40),0)/100))/B3393))))/Skills!H8+0.000000001),1)))/Inputs!$B$43),G3359*Q3359)+IF(AND(Inputs!$B$38&lt;&gt;"pvp",Inputs!$B$43&gt;0),((Skills!G11*((R3362-1)*IF(Skills!H11&gt;0,INT(Skills!I11/Skills!H11+0.000000001),1)+IF(Skills!H11&gt;0,INT(MIN(Skills!I11,MAX(0,MAX(0,Inputs!$B$43-B3389)-((R3362-1)*((IF(Inputs!$B$38="pvp",15,MAX(0.1,Skills!D11-IF(TRUE=TRUE,5.0,0)))*(1-IF(AND(ArtifactsInput!$M$27,Inputs!$B$4="Chapter Hunt"),CHOOSE(ArtifactsInput!$N$27+1,20,24,28,32,36,40),0)/100))/B3393))))/Skills!H11+0.000000001),1)))/Inputs!$B$43),G3362*Q3362)))/(1+Skills!H14*H3365*(B3386+IF(AND(Inputs!$B$38&lt;&gt;"pvp",Inputs!$B$43&gt;0),((Skills!G8*((R3359-1)*IF(Skills!H8&gt;0,INT(Skills!I8/Skills!H8+0.000000001),1)+IF(Skills!H8&gt;0,INT(MIN(Skills!I8,MAX(0,MAX(0,Inputs!$B$43-B3389)-((R3359-1)*((IF(Inputs!$B$38="pvp",15,MAX(0.1,Skills!D8-IF(TRUE=TRUE,5.0,0)))*(1-IF(AND(ArtifactsInput!$M$27,Inputs!$B$4="Chapter Hunt"),CHOOSE(ArtifactsInput!$N$27+1,20,24,28,32,36,40),0)/100))/B3393))))/Skills!H8+0.000000001),1)))/Inputs!$B$43),G3359*Q3359)+IF(AND(Inputs!$B$38&lt;&gt;"pvp",Inputs!$B$43&gt;0),((Skills!G11*((R3362-1)*IF(Skills!H11&gt;0,INT(Skills!I11/Skills!H11+0.000000001),1)+IF(Skills!H11&gt;0,INT(MIN(Skills!I11,MAX(0,MAX(0,Inputs!$B$43-B3389)-((R3362-1)*((IF(Inputs!$B$38="pvp",15,MAX(0.1,Skills!D11-IF(TRUE=TRUE,5.0,0)))*(1-IF(AND(ArtifactsInput!$M$27,Inputs!$B$4="Chapter Hunt"),CHOOSE(ArtifactsInput!$N$27+1,20,24,28,32,36,40),0)/100))/B3393))))/Skills!H11+0.000000001),1)))/Inputs!$B$43),G3362*Q3362)))*N3365)*IF(Inputs!$B$38="pvp",1,(1+(Inputs!$B$21+Skills!Q14+(IF(ArtifactsInput!$M$33,CHOOSE(ArtifactsInput!$N$33+1,30,36,42,48,54,60),0))+(IF(AND(ArtifactsInput!$M$35,Inputs!$B$4&lt;&gt;"Chapter Hunt"),CHOOSE(ArtifactsInput!$N$35+1,15,18,21,24,27,30)*(1-EXP(-(0.2*B3384)*5)),0)+IF(AND(ArtifactsInput!$M$22,Inputs!$B$4&lt;&gt;"Chapter Hunt"),CHOOSE(ArtifactsInput!$N$22+1,10,12,14,16,18,20)*((0*(((0.15*B3384*5))^0/1)+1*(((0.15*B3384*5))^1/1)+2*(((0.15*B3384*5))^2/2)+3*(((0.15*B3384*5))^3/6)+4*(((0.15*B3384*5))^4/24)+5*(((0.15*B3384*5))^5/120))/((((0.15*B3384*5))^0/1)+(((0.15*B3384*5))^1/1)+(((0.15*B3384*5))^2/2)+(((0.15*B3384*5))^3/6)+(((0.15*B3384*5))^4/24)+(((0.15*B3384*5))^5/120))),0))+IF(Inputs!$B$3&gt;=54,9*(C3354=TRUE)*MIN(1,8*(1+Inputs!$B$34/100)*Q3354),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366">
      <c r="A3366">
        <f>Skills!A15</f>
        <v/>
      </c>
      <c r="B3366">
        <f>Skills!B15</f>
        <v/>
      </c>
      <c r="C3366">
        <f>Inputs!$B$3&gt;=100</f>
        <v/>
      </c>
      <c r="D3366">
        <f>IF(Skills!C15=1,60+Inputs!$B$25+Inputs!$B$29,IF(Skills!C15=2,90+Inputs!$B$26+Inputs!$B$29,IF(Skills!C15=3,120+Inputs!$B$27+Inputs!$B$29,MAX(0,(Inputs!$B$3-100)*3)+Inputs!$B$28+Inputs!$B$29)))</f>
        <v/>
      </c>
      <c r="E3366">
        <f>INDEX(FactorTable!$B$2:$Y$301, MATCH(ROUND(MIN(300,MAX(1,D3366)),0), FactorTable!$A$2:$A$301,0), Skills!M15+1)</f>
        <v/>
      </c>
      <c r="F3366">
        <f>IF(Skills!N15=TRUE,(Skills!L15/10)*(E3366/1000),Skills!L15/10)+Skills!O15</f>
        <v/>
      </c>
      <c r="G3366" t="inlineStr"/>
      <c r="H3366" t="inlineStr"/>
      <c r="I3366" t="inlineStr">
        <is>
          <t>1</t>
        </is>
      </c>
      <c r="J3366" t="inlineStr"/>
      <c r="K3366" t="inlineStr"/>
      <c r="L3366" t="inlineStr"/>
      <c r="M3366" t="inlineStr"/>
      <c r="N3366" t="inlineStr"/>
      <c r="O3366" t="inlineStr"/>
      <c r="P3366" t="inlineStr"/>
      <c r="Q3366" t="inlineStr"/>
      <c r="R3366" t="inlineStr"/>
      <c r="S3366" t="inlineStr"/>
    </row>
    <row r="3367">
      <c r="A3367">
        <f>Skills!A16</f>
        <v/>
      </c>
      <c r="B3367">
        <f>Skills!B16</f>
        <v/>
      </c>
      <c r="C3367">
        <f>Inputs!$B$3&gt;=107</f>
        <v/>
      </c>
      <c r="D3367">
        <f>IF(Skills!C16=1,60+Inputs!$B$25+Inputs!$B$29,IF(Skills!C16=2,90+Inputs!$B$26+Inputs!$B$29,IF(Skills!C16=3,120+Inputs!$B$27+Inputs!$B$29,MAX(0,(Inputs!$B$3-100)*3)+Inputs!$B$28+Inputs!$B$29)))</f>
        <v/>
      </c>
      <c r="E3367">
        <f>INDEX(FactorTable!$B$2:$Y$301, MATCH(ROUND(MIN(300,MAX(1,D3367)),0), FactorTable!$A$2:$A$301,0), Skills!M16+1)</f>
        <v/>
      </c>
      <c r="F3367">
        <f>IF(Skills!N16=TRUE,(Skills!L16/10)*(E3367/1000),Skills!L16/10)+Skills!O16</f>
        <v/>
      </c>
      <c r="G3367" t="inlineStr"/>
      <c r="H3367" t="inlineStr"/>
      <c r="I3367" t="inlineStr">
        <is>
          <t>1</t>
        </is>
      </c>
      <c r="J3367" t="inlineStr"/>
      <c r="K3367" t="inlineStr"/>
      <c r="L3367" t="inlineStr"/>
      <c r="M3367" t="inlineStr"/>
      <c r="N3367" t="inlineStr"/>
      <c r="O3367" t="inlineStr"/>
      <c r="P3367" t="inlineStr"/>
      <c r="Q3367" t="inlineStr"/>
      <c r="R3367" t="inlineStr"/>
      <c r="S3367" t="inlineStr"/>
    </row>
    <row r="3368">
      <c r="A3368">
        <f>Skills!A17</f>
        <v/>
      </c>
      <c r="B3368">
        <f>Skills!B17</f>
        <v/>
      </c>
      <c r="C3368">
        <f>Inputs!$B$3&gt;=74</f>
        <v/>
      </c>
      <c r="D3368">
        <f>IF(Skills!C17=1,60+Inputs!$B$25+Inputs!$B$29,IF(Skills!C17=2,90+Inputs!$B$26+Inputs!$B$29,IF(Skills!C17=3,120+Inputs!$B$27+Inputs!$B$29,MAX(0,(Inputs!$B$3-100)*3)+Inputs!$B$28+Inputs!$B$29)))</f>
        <v/>
      </c>
      <c r="E3368">
        <f>INDEX(FactorTable!$B$2:$Y$301, MATCH(ROUND(MIN(300,MAX(1,D3368)),0), FactorTable!$A$2:$A$301,0), Skills!M17+1)</f>
        <v/>
      </c>
      <c r="F3368">
        <f>IF(Skills!N17=TRUE,(Skills!L17/10)*(E3368/1000),Skills!L17/10)+Skills!O17</f>
        <v/>
      </c>
      <c r="G3368">
        <f>Skills!G17*IF(Skills!H17&gt;0,INT(IF(Inputs!$B$38="pvp",MIN(Skills!I17,15),Skills!I17)/Skills!H17+0.000000001),1)</f>
        <v/>
      </c>
      <c r="H3368">
        <f>1-(1-Skills!J17/100)^Skills!K17</f>
        <v/>
      </c>
      <c r="I3368" t="inlineStr">
        <is>
          <t>1</t>
        </is>
      </c>
      <c r="J3368" t="inlineStr"/>
      <c r="K3368" t="inlineStr"/>
      <c r="L3368" t="inlineStr"/>
      <c r="M3368" t="inlineStr"/>
      <c r="N3368" t="inlineStr"/>
      <c r="O3368">
        <f>(1-Summary!$B$11)*T3368+Summary!$B$11*V3368</f>
        <v/>
      </c>
      <c r="P3368">
        <f>IF(B3392=0,0,O3368/B3392)</f>
        <v/>
      </c>
      <c r="Q3368" t="n">
        <v>0</v>
      </c>
      <c r="R3368" t="n">
        <v>0</v>
      </c>
      <c r="S3368">
        <f>IFERROR(O3368/N3368,0)</f>
        <v/>
      </c>
      <c r="T3368" t="n">
        <v>0</v>
      </c>
      <c r="V3368" t="n">
        <v>0</v>
      </c>
    </row>
    <row r="3369">
      <c r="A3369">
        <f>Skills!A18</f>
        <v/>
      </c>
      <c r="B3369">
        <f>Skills!B18</f>
        <v/>
      </c>
      <c r="C3369">
        <f>Inputs!$B$3&gt;=115</f>
        <v/>
      </c>
      <c r="D3369">
        <f>IF(Skills!C18=1,60+Inputs!$B$25+Inputs!$B$29,IF(Skills!C18=2,90+Inputs!$B$26+Inputs!$B$29,IF(Skills!C18=3,120+Inputs!$B$27+Inputs!$B$29,MAX(0,(Inputs!$B$3-100)*3)+Inputs!$B$28+Inputs!$B$29)))</f>
        <v/>
      </c>
      <c r="E3369">
        <f>INDEX(FactorTable!$B$2:$Y$301, MATCH(ROUND(MIN(300,MAX(1,D3369)),0), FactorTable!$A$2:$A$301,0), Skills!M18+1)</f>
        <v/>
      </c>
      <c r="F3369">
        <f>IF(Skills!N18=TRUE,(Skills!L18/10)*(E3369/1000),Skills!L18/10)+Skills!O18</f>
        <v/>
      </c>
      <c r="G3369">
        <f>Skills!G18*IF(Skills!H18&gt;0,INT(IF(Inputs!$B$38="pvp",MIN(Skills!I18,15),Skills!I18)/Skills!H18+0.000000001),1)</f>
        <v/>
      </c>
      <c r="H3369">
        <f>1-(1-Skills!J18/100)^Skills!K18</f>
        <v/>
      </c>
      <c r="I3369" t="inlineStr">
        <is>
          <t>1</t>
        </is>
      </c>
      <c r="J3369" t="inlineStr"/>
      <c r="K3369" t="inlineStr"/>
      <c r="L3369" t="inlineStr"/>
      <c r="M3369" t="inlineStr"/>
      <c r="N3369" t="inlineStr"/>
      <c r="O3369">
        <f>(1-Summary!$B$11)*T3369+Summary!$B$11*V3369</f>
        <v/>
      </c>
      <c r="P3369">
        <f>IF(B3392=0,0,O3369/B3392)</f>
        <v/>
      </c>
      <c r="Q3369">
        <f>IFERROR(1/(IF(Inputs!$B$38="pvp",15,MAX(0.1,Skills!D18-IF(TRUE=TRUE,5.0,0)))*(1-IF(AND(ArtifactsInput!$M$27,Inputs!$B$4="Chapter Hunt"),CHOOSE(ArtifactsInput!$N$27+1,20,24,28,32,36,40),0)/100)),0)</f>
        <v/>
      </c>
      <c r="R3369">
        <f>IF(AND(Inputs!$B$38&lt;&gt;"pvp",Inputs!$B$43&gt;0),IF(Inputs!$B$43&lt;=0,0,(INT(Inputs!$B$43/(IF(Inputs!$B$38="pvp",15,MAX(0.1,Skills!D18-IF(TRUE=TRUE,5.0,0)))*(1-IF(AND(ArtifactsInput!$M$27,Inputs!$B$4="Chapter Hunt"),CHOOSE(ArtifactsInput!$N$27+1,20,24,28,32,36,40),0)/100)))+1)),0)</f>
        <v/>
      </c>
      <c r="S3369">
        <f>IFERROR(O3369/N3369,0)</f>
        <v/>
      </c>
      <c r="T3369" t="n">
        <v>0</v>
      </c>
      <c r="V3369" t="n">
        <v>0</v>
      </c>
    </row>
    <row r="3370">
      <c r="A3370">
        <f>Skills!A19</f>
        <v/>
      </c>
      <c r="B3370">
        <f>Skills!B19</f>
        <v/>
      </c>
      <c r="C3370">
        <f>Inputs!$B$3&gt;=10</f>
        <v/>
      </c>
      <c r="D3370">
        <f>IF(Skills!C19=1,60+Inputs!$B$25+Inputs!$B$29,IF(Skills!C19=2,90+Inputs!$B$26+Inputs!$B$29,IF(Skills!C19=3,120+Inputs!$B$27+Inputs!$B$29,MAX(0,(Inputs!$B$3-100)*3)+Inputs!$B$28+Inputs!$B$29)))</f>
        <v/>
      </c>
      <c r="E3370">
        <f>INDEX(FactorTable!$B$2:$Y$301, MATCH(ROUND(MIN(300,MAX(1,D3370)),0), FactorTable!$A$2:$A$301,0), Skills!M19+1)</f>
        <v/>
      </c>
      <c r="F3370">
        <f>IF(Skills!N19=TRUE,(Skills!L19/10)*(E3370/1000),Skills!L19/10)+Skills!O19</f>
        <v/>
      </c>
      <c r="G3370">
        <f>Skills!G19*IF(Skills!H19&gt;0,INT(IF(Inputs!$B$38="pvp",MIN(Skills!I19,15),Skills!I19)/Skills!H19+0.000000001),1)</f>
        <v/>
      </c>
      <c r="H3370">
        <f>1-(1-Skills!J19/100)^Skills!K19</f>
        <v/>
      </c>
      <c r="I3370" t="inlineStr">
        <is>
          <t>1</t>
        </is>
      </c>
      <c r="J3370" t="inlineStr"/>
      <c r="K3370" t="inlineStr"/>
      <c r="L3370" t="inlineStr"/>
      <c r="M3370" t="inlineStr"/>
      <c r="N3370" t="inlineStr"/>
      <c r="O3370">
        <f>(1-Summary!$B$11)*T3370+Summary!$B$11*V3370</f>
        <v/>
      </c>
      <c r="P3370">
        <f>IF(B3392=0,0,O3370/B3392)</f>
        <v/>
      </c>
      <c r="Q3370" t="n">
        <v>0</v>
      </c>
      <c r="R3370" t="n">
        <v>0</v>
      </c>
      <c r="S3370">
        <f>IFERROR(O3370/N3370,0)</f>
        <v/>
      </c>
      <c r="T3370" t="n">
        <v>0</v>
      </c>
      <c r="V3370" t="n">
        <v>0</v>
      </c>
    </row>
    <row r="3371">
      <c r="A3371">
        <f>Skills!A20</f>
        <v/>
      </c>
      <c r="B3371">
        <f>Skills!B20</f>
        <v/>
      </c>
      <c r="C3371">
        <f>Inputs!$B$3&gt;=15</f>
        <v/>
      </c>
      <c r="D3371">
        <f>IF(Skills!C20=1,60+Inputs!$B$25+Inputs!$B$29,IF(Skills!C20=2,90+Inputs!$B$26+Inputs!$B$29,IF(Skills!C20=3,120+Inputs!$B$27+Inputs!$B$29,MAX(0,(Inputs!$B$3-100)*3)+Inputs!$B$28+Inputs!$B$29)))</f>
        <v/>
      </c>
      <c r="E3371">
        <f>INDEX(FactorTable!$B$2:$Y$301, MATCH(ROUND(MIN(300,MAX(1,D3371)),0), FactorTable!$A$2:$A$301,0), Skills!M20+1)</f>
        <v/>
      </c>
      <c r="F3371">
        <f>IF(Skills!N20=TRUE,(Skills!L20/10)*(E3371/1000),Skills!L20/10)+Skills!O20</f>
        <v/>
      </c>
      <c r="G3371">
        <f>Skills!G20*IF(Skills!H20&gt;0,INT(IF(Inputs!$B$38="pvp",MIN(Skills!I20,15),Skills!I20)/Skills!H20+0.000000001),1)</f>
        <v/>
      </c>
      <c r="H3371">
        <f>1-(1-Skills!J20/100)^Skills!K20</f>
        <v/>
      </c>
      <c r="I3371" t="inlineStr">
        <is>
          <t>1</t>
        </is>
      </c>
      <c r="J3371" t="inlineStr"/>
      <c r="K3371" t="inlineStr"/>
      <c r="L3371" t="inlineStr"/>
      <c r="M3371" t="inlineStr"/>
      <c r="N3371" t="inlineStr"/>
      <c r="O3371">
        <f>(1-Summary!$B$11)*T3371+Summary!$B$11*V3371</f>
        <v/>
      </c>
      <c r="P3371">
        <f>IF(B3392=0,0,O3371/B3392)</f>
        <v/>
      </c>
      <c r="Q3371" t="n">
        <v>0</v>
      </c>
      <c r="R3371" t="n">
        <v>0</v>
      </c>
      <c r="S3371">
        <f>IFERROR(O3371/N3371,0)</f>
        <v/>
      </c>
      <c r="T3371" t="n">
        <v>0</v>
      </c>
      <c r="V3371" t="n">
        <v>0</v>
      </c>
    </row>
    <row r="3372">
      <c r="A3372">
        <f>Skills!A21</f>
        <v/>
      </c>
      <c r="B3372">
        <f>Skills!B21</f>
        <v/>
      </c>
      <c r="C3372">
        <f>Inputs!$B$3&gt;=40</f>
        <v/>
      </c>
      <c r="D3372">
        <f>IF(Skills!C21=1,60+Inputs!$B$25+Inputs!$B$29,IF(Skills!C21=2,90+Inputs!$B$26+Inputs!$B$29,IF(Skills!C21=3,120+Inputs!$B$27+Inputs!$B$29,MAX(0,(Inputs!$B$3-100)*3)+Inputs!$B$28+Inputs!$B$29)))</f>
        <v/>
      </c>
      <c r="E3372">
        <f>INDEX(FactorTable!$B$2:$Y$301, MATCH(ROUND(MIN(300,MAX(1,D3372)),0), FactorTable!$A$2:$A$301,0), Skills!M21+1)</f>
        <v/>
      </c>
      <c r="F3372">
        <f>IF(Skills!N21=TRUE,(Skills!L21/10)*(E3372/1000),Skills!L21/10)+Skills!O21</f>
        <v/>
      </c>
      <c r="G3372">
        <f>Skills!G21*IF(Skills!H21&gt;0,INT(IF(Inputs!$B$38="pvp",MIN(Skills!I21,15),Skills!I21)/Skills!H21+0.000000001),1)</f>
        <v/>
      </c>
      <c r="H3372">
        <f>1-(1-Skills!J21/100)^Skills!K21</f>
        <v/>
      </c>
      <c r="I3372" t="inlineStr">
        <is>
          <t>1</t>
        </is>
      </c>
      <c r="J3372" t="inlineStr"/>
      <c r="K3372" t="inlineStr"/>
      <c r="L3372" t="inlineStr"/>
      <c r="M3372" t="inlineStr"/>
      <c r="N3372" t="inlineStr"/>
      <c r="O3372">
        <f>(1-Summary!$B$11)*T3372+Summary!$B$11*V3372</f>
        <v/>
      </c>
      <c r="P3372">
        <f>IF(B3392=0,0,O3372/B3392)</f>
        <v/>
      </c>
      <c r="Q3372" t="n">
        <v>0</v>
      </c>
      <c r="R3372" t="n">
        <v>0</v>
      </c>
      <c r="S3372">
        <f>IFERROR(O3372/N3372,0)</f>
        <v/>
      </c>
      <c r="T3372" t="n">
        <v>0</v>
      </c>
      <c r="V3372" t="n">
        <v>0</v>
      </c>
    </row>
    <row r="3373">
      <c r="A3373">
        <f>Skills!A22</f>
        <v/>
      </c>
      <c r="B3373">
        <f>Skills!B22</f>
        <v/>
      </c>
      <c r="C3373">
        <f>Inputs!$B$3&gt;=43</f>
        <v/>
      </c>
      <c r="D3373">
        <f>IF(Skills!C22=1,60+Inputs!$B$25+Inputs!$B$29,IF(Skills!C22=2,90+Inputs!$B$26+Inputs!$B$29,IF(Skills!C22=3,120+Inputs!$B$27+Inputs!$B$29,MAX(0,(Inputs!$B$3-100)*3)+Inputs!$B$28+Inputs!$B$29)))</f>
        <v/>
      </c>
      <c r="E3373">
        <f>INDEX(FactorTable!$B$2:$Y$301, MATCH(ROUND(MIN(300,MAX(1,D3373)),0), FactorTable!$A$2:$A$301,0), Skills!M22+1)</f>
        <v/>
      </c>
      <c r="F3373">
        <f>IF(Skills!N22=TRUE,(Skills!L22/10)*(E3373/1000),Skills!L22/10)+Skills!O22</f>
        <v/>
      </c>
      <c r="G3373">
        <f>Skills!G22*IF(Skills!H22&gt;0,INT(IF(Inputs!$B$38="pvp",MIN(Skills!I22,15),Skills!I22)/Skills!H22+0.000000001),1)</f>
        <v/>
      </c>
      <c r="H3373">
        <f>1-(1-Skills!J22/100)^Skills!K22</f>
        <v/>
      </c>
      <c r="I3373" t="inlineStr">
        <is>
          <t>1</t>
        </is>
      </c>
      <c r="J3373" t="inlineStr"/>
      <c r="K3373" t="inlineStr"/>
      <c r="L3373" t="inlineStr"/>
      <c r="M3373" t="inlineStr"/>
      <c r="N3373" t="inlineStr"/>
      <c r="O3373">
        <f>(1-Summary!$B$11)*T3373+Summary!$B$11*V3373</f>
        <v/>
      </c>
      <c r="P3373">
        <f>IF(B3392=0,0,O3373/B3392)</f>
        <v/>
      </c>
      <c r="Q3373" t="n">
        <v>0</v>
      </c>
      <c r="R3373" t="n">
        <v>0</v>
      </c>
      <c r="S3373">
        <f>IFERROR(O3373/N3373,0)</f>
        <v/>
      </c>
      <c r="T3373" t="n">
        <v>0</v>
      </c>
      <c r="V3373" t="n">
        <v>0</v>
      </c>
    </row>
    <row r="3374">
      <c r="A3374">
        <f>Skills!A23</f>
        <v/>
      </c>
      <c r="B3374">
        <f>Skills!B23</f>
        <v/>
      </c>
      <c r="C3374">
        <f>Inputs!$B$3&gt;=38</f>
        <v/>
      </c>
      <c r="D3374">
        <f>IF(Skills!C23=1,60+Inputs!$B$25+Inputs!$B$29,IF(Skills!C23=2,90+Inputs!$B$26+Inputs!$B$29,IF(Skills!C23=3,120+Inputs!$B$27+Inputs!$B$29,MAX(0,(Inputs!$B$3-100)*3)+Inputs!$B$28+Inputs!$B$29)))</f>
        <v/>
      </c>
      <c r="E3374">
        <f>INDEX(FactorTable!$B$2:$Y$301, MATCH(ROUND(MIN(300,MAX(1,D3374)),0), FactorTable!$A$2:$A$301,0), Skills!M23+1)</f>
        <v/>
      </c>
      <c r="F3374">
        <f>IF(Skills!N23=TRUE,(Skills!L23/10)*(E3374/1000),Skills!L23/10)+Skills!O23</f>
        <v/>
      </c>
      <c r="G3374">
        <f>Skills!G23*IF(Skills!H23&gt;0,INT(IF(Inputs!$B$38="pvp",MIN(Skills!I23,15),Skills!I23)/Skills!H23+0.000000001),1)</f>
        <v/>
      </c>
      <c r="H3374">
        <f>1-(1-Skills!J23/100)^Skills!K23</f>
        <v/>
      </c>
      <c r="I3374" t="inlineStr">
        <is>
          <t>1</t>
        </is>
      </c>
      <c r="J3374" t="inlineStr"/>
      <c r="K3374" t="inlineStr"/>
      <c r="L3374" t="inlineStr"/>
      <c r="M3374" t="inlineStr"/>
      <c r="N3374" t="inlineStr"/>
      <c r="O3374">
        <f>(1-Summary!$B$11)*T3374+Summary!$B$11*V3374</f>
        <v/>
      </c>
      <c r="P3374">
        <f>IF(B3392=0,0,O3374/B3392)</f>
        <v/>
      </c>
      <c r="Q3374" t="n">
        <v>0</v>
      </c>
      <c r="R3374" t="n">
        <v>0</v>
      </c>
      <c r="S3374">
        <f>IFERROR(O3374/N3374,0)</f>
        <v/>
      </c>
      <c r="T3374" t="n">
        <v>0</v>
      </c>
      <c r="V3374" t="n">
        <v>0</v>
      </c>
    </row>
    <row r="3375">
      <c r="A3375">
        <f>Skills!A24</f>
        <v/>
      </c>
      <c r="B3375">
        <f>Skills!B24</f>
        <v/>
      </c>
      <c r="C3375">
        <f>Inputs!$B$3&gt;=45</f>
        <v/>
      </c>
      <c r="D3375">
        <f>IF(Skills!C24=1,60+Inputs!$B$25+Inputs!$B$29,IF(Skills!C24=2,90+Inputs!$B$26+Inputs!$B$29,IF(Skills!C24=3,120+Inputs!$B$27+Inputs!$B$29,MAX(0,(Inputs!$B$3-100)*3)+Inputs!$B$28+Inputs!$B$29)))</f>
        <v/>
      </c>
      <c r="E3375">
        <f>INDEX(FactorTable!$B$2:$Y$301, MATCH(ROUND(MIN(300,MAX(1,D3375)),0), FactorTable!$A$2:$A$301,0), Skills!M24+1)</f>
        <v/>
      </c>
      <c r="F3375">
        <f>IF(Skills!N24=TRUE,(Skills!L24/10)*(E3375/1000),Skills!L24/10)+Skills!O24</f>
        <v/>
      </c>
      <c r="G3375">
        <f>Skills!G24*IF(Skills!H24&gt;0,INT(IF(Inputs!$B$38="pvp",MIN(Skills!I24,15),Skills!I24)/Skills!H24+0.000000001),1)</f>
        <v/>
      </c>
      <c r="H3375">
        <f>1-(1-Skills!J24/100)^Skills!K24</f>
        <v/>
      </c>
      <c r="I3375" t="inlineStr">
        <is>
          <t>1</t>
        </is>
      </c>
      <c r="J3375" t="inlineStr"/>
      <c r="K3375" t="inlineStr"/>
      <c r="L3375" t="inlineStr"/>
      <c r="M3375" t="inlineStr"/>
      <c r="N3375" t="inlineStr"/>
      <c r="O3375">
        <f>(1-Summary!$B$11)*T3375+Summary!$B$11*V3375</f>
        <v/>
      </c>
      <c r="P3375">
        <f>IF(B3392=0,0,O3375/B3392)</f>
        <v/>
      </c>
      <c r="Q3375" t="n">
        <v>0</v>
      </c>
      <c r="R3375" t="n">
        <v>0</v>
      </c>
      <c r="S3375">
        <f>IFERROR(O3375/N3375,0)</f>
        <v/>
      </c>
      <c r="T3375" t="n">
        <v>0</v>
      </c>
      <c r="V3375" t="n">
        <v>0</v>
      </c>
    </row>
    <row r="3376">
      <c r="A3376">
        <f>Skills!A25</f>
        <v/>
      </c>
      <c r="B3376">
        <f>Skills!B25</f>
        <v/>
      </c>
      <c r="C3376">
        <f>Inputs!$B$3&gt;=72</f>
        <v/>
      </c>
      <c r="D3376">
        <f>IF(Skills!C25=1,60+Inputs!$B$25+Inputs!$B$29,IF(Skills!C25=2,90+Inputs!$B$26+Inputs!$B$29,IF(Skills!C25=3,120+Inputs!$B$27+Inputs!$B$29,MAX(0,(Inputs!$B$3-100)*3)+Inputs!$B$28+Inputs!$B$29)))</f>
        <v/>
      </c>
      <c r="E3376">
        <f>INDEX(FactorTable!$B$2:$Y$301, MATCH(ROUND(MIN(300,MAX(1,D3376)),0), FactorTable!$A$2:$A$301,0), Skills!M25+1)</f>
        <v/>
      </c>
      <c r="F3376">
        <f>IF(Skills!N25=TRUE,(Skills!L25/10)*(E3376/1000),Skills!L25/10)+Skills!O25</f>
        <v/>
      </c>
      <c r="G3376">
        <f>Skills!G25*IF(Skills!H25&gt;0,INT(IF(Inputs!$B$38="pvp",MIN(Skills!I25,15),Skills!I25)/Skills!H25+0.000000001),1)</f>
        <v/>
      </c>
      <c r="H3376">
        <f>1-(1-Skills!J25/100)^Skills!K25</f>
        <v/>
      </c>
      <c r="I3376" t="inlineStr">
        <is>
          <t>1</t>
        </is>
      </c>
      <c r="J3376" t="inlineStr"/>
      <c r="K3376" t="inlineStr"/>
      <c r="L3376" t="inlineStr"/>
      <c r="M3376" t="inlineStr"/>
      <c r="N3376" t="inlineStr"/>
      <c r="O3376">
        <f>(1-Summary!$B$11)*T3376+Summary!$B$11*V3376</f>
        <v/>
      </c>
      <c r="P3376">
        <f>IF(B3392=0,0,O3376/B3392)</f>
        <v/>
      </c>
      <c r="Q3376" t="n">
        <v>0</v>
      </c>
      <c r="R3376" t="n">
        <v>0</v>
      </c>
      <c r="S3376">
        <f>IFERROR(O3376/N3376,0)</f>
        <v/>
      </c>
      <c r="T3376" t="n">
        <v>0</v>
      </c>
      <c r="V3376" t="n">
        <v>0</v>
      </c>
    </row>
    <row r="3377">
      <c r="A3377">
        <f>Skills!A26</f>
        <v/>
      </c>
      <c r="B3377">
        <f>Skills!B26</f>
        <v/>
      </c>
      <c r="C3377">
        <f>Inputs!$B$3&gt;=75</f>
        <v/>
      </c>
      <c r="D3377">
        <f>IF(Skills!C26=1,60+Inputs!$B$25+Inputs!$B$29,IF(Skills!C26=2,90+Inputs!$B$26+Inputs!$B$29,IF(Skills!C26=3,120+Inputs!$B$27+Inputs!$B$29,MAX(0,(Inputs!$B$3-100)*3)+Inputs!$B$28+Inputs!$B$29)))</f>
        <v/>
      </c>
      <c r="E3377">
        <f>INDEX(FactorTable!$B$2:$Y$301, MATCH(ROUND(MIN(300,MAX(1,D3377)),0), FactorTable!$A$2:$A$301,0), Skills!M26+1)</f>
        <v/>
      </c>
      <c r="F3377">
        <f>IF(Skills!N26=TRUE,(Skills!L26/10)*(E3377/1000),Skills!L26/10)+Skills!O26</f>
        <v/>
      </c>
      <c r="G3377">
        <f>Skills!G26*IF(Skills!H26&gt;0,INT(IF(Inputs!$B$38="pvp",MIN(Skills!I26,15),Skills!I26)/Skills!H26+0.000000001),1)</f>
        <v/>
      </c>
      <c r="H3377">
        <f>1-(1-Skills!J26/100)^Skills!K26</f>
        <v/>
      </c>
      <c r="I3377" t="inlineStr">
        <is>
          <t>1</t>
        </is>
      </c>
      <c r="J3377" t="inlineStr"/>
      <c r="K3377" t="inlineStr"/>
      <c r="L3377" t="inlineStr"/>
      <c r="M3377" t="inlineStr"/>
      <c r="N3377" t="inlineStr"/>
      <c r="O3377">
        <f>(1-Summary!$B$11)*T3377+Summary!$B$11*V3377</f>
        <v/>
      </c>
      <c r="P3377">
        <f>IF(B3392=0,0,O3377/B3392)</f>
        <v/>
      </c>
      <c r="Q3377" t="n">
        <v>0</v>
      </c>
      <c r="R3377" t="n">
        <v>0</v>
      </c>
      <c r="S3377">
        <f>IFERROR(O3377/N3377,0)</f>
        <v/>
      </c>
      <c r="T3377" t="n">
        <v>0</v>
      </c>
      <c r="V3377" t="n">
        <v>0</v>
      </c>
    </row>
    <row r="3378">
      <c r="A3378">
        <f>Skills!A27</f>
        <v/>
      </c>
      <c r="B3378">
        <f>Skills!B27</f>
        <v/>
      </c>
      <c r="C3378">
        <f>Inputs!$B$3&gt;=125</f>
        <v/>
      </c>
      <c r="D3378">
        <f>IF(Skills!C27=1,60+Inputs!$B$25+Inputs!$B$29,IF(Skills!C27=2,90+Inputs!$B$26+Inputs!$B$29,IF(Skills!C27=3,120+Inputs!$B$27+Inputs!$B$29,MAX(0,(Inputs!$B$3-100)*3)+Inputs!$B$28+Inputs!$B$29)))</f>
        <v/>
      </c>
      <c r="E3378">
        <f>INDEX(FactorTable!$B$2:$Y$301, MATCH(ROUND(MIN(300,MAX(1,D3378)),0), FactorTable!$A$2:$A$301,0), Skills!M27+1)</f>
        <v/>
      </c>
      <c r="F3378">
        <f>IF(Skills!N27=TRUE,(Skills!L27/10)*(E3378/1000),Skills!L27/10)+Skills!O27</f>
        <v/>
      </c>
      <c r="G3378">
        <f>Skills!G27*IF(Skills!H27&gt;0,INT(IF(Inputs!$B$38="pvp",MIN(Skills!I27,15),Skills!I27)/Skills!H27+0.000000001),1)</f>
        <v/>
      </c>
      <c r="H3378">
        <f>1-(1-Skills!J27/100)^Skills!K27</f>
        <v/>
      </c>
      <c r="I3378" t="inlineStr">
        <is>
          <t>1</t>
        </is>
      </c>
      <c r="J3378" t="inlineStr"/>
      <c r="K3378" t="inlineStr"/>
      <c r="L3378" t="inlineStr"/>
      <c r="M3378" t="inlineStr"/>
      <c r="N3378" t="inlineStr"/>
      <c r="O3378">
        <f>(1-Summary!$B$11)*T3378+Summary!$B$11*V3378</f>
        <v/>
      </c>
      <c r="P3378">
        <f>IF(B3392=0,0,O3378/B3392)</f>
        <v/>
      </c>
      <c r="Q3378" t="n">
        <v>0</v>
      </c>
      <c r="R3378" t="n">
        <v>0</v>
      </c>
      <c r="S3378">
        <f>IFERROR(O3378/N3378,0)</f>
        <v/>
      </c>
      <c r="T3378" t="n">
        <v>0</v>
      </c>
      <c r="V3378" t="n">
        <v>0</v>
      </c>
    </row>
    <row r="3379">
      <c r="A3379">
        <f>Skills!A28</f>
        <v/>
      </c>
      <c r="B3379">
        <f>Skills!B28</f>
        <v/>
      </c>
      <c r="C3379">
        <f>TRUE</f>
        <v/>
      </c>
      <c r="D3379">
        <f>IF(Skills!C28=1,60+Inputs!$B$25+Inputs!$B$29,IF(Skills!C28=2,90+Inputs!$B$26+Inputs!$B$29,IF(Skills!C28=3,120+Inputs!$B$27+Inputs!$B$29,MAX(0,(Inputs!$B$3-100)*3)+Inputs!$B$28+Inputs!$B$29)))</f>
        <v/>
      </c>
      <c r="E3379">
        <f>INDEX(FactorTable!$B$2:$Y$301, MATCH(ROUND(MIN(300,MAX(1,D3379)),0), FactorTable!$A$2:$A$301,0), Skills!M28+1)</f>
        <v/>
      </c>
      <c r="F3379">
        <f>IF(Skills!N28=TRUE,(Skills!L28/10)*(E3379/1000),Skills!L28/10)+Skills!O28</f>
        <v/>
      </c>
      <c r="G3379">
        <f>Skills!G28*IF(Skills!H28&gt;0,INT(IF(Inputs!$B$38="pvp",MIN(Skills!I28,15),Skills!I28)/Skills!H28+0.000000001),1)</f>
        <v/>
      </c>
      <c r="H3379">
        <f>1-(1-Skills!J28/100)^Skills!K28</f>
        <v/>
      </c>
      <c r="I3379" t="inlineStr">
        <is>
          <t>1</t>
        </is>
      </c>
      <c r="J3379" t="inlineStr"/>
      <c r="K3379" t="inlineStr"/>
      <c r="L3379" t="inlineStr"/>
      <c r="M3379" t="inlineStr"/>
      <c r="N3379" t="inlineStr"/>
      <c r="O3379">
        <f>(1-Summary!$B$11)*T3379+Summary!$B$11*V3379</f>
        <v/>
      </c>
      <c r="P3379">
        <f>IF(B3392=0,0,O3379/B3392)</f>
        <v/>
      </c>
      <c r="Q3379">
        <f>IFERROR(1/(IF(Inputs!$B$38="pvp",15,MAX(0.1,Skills!D28-IF(TRUE=TRUE,5.0,0)))*(1-IF(AND(ArtifactsInput!$M$27,Inputs!$B$4="Chapter Hunt"),CHOOSE(ArtifactsInput!$N$27+1,20,24,28,32,36,40),0)/100)),0)</f>
        <v/>
      </c>
      <c r="R3379">
        <f>IF(AND(Inputs!$B$38&lt;&gt;"pvp",Inputs!$B$43&gt;0),IF(Inputs!$B$43&lt;=0,0,(INT(Inputs!$B$43/(IF(Inputs!$B$38="pvp",15,MAX(0.1,Skills!D28-IF(TRUE=TRUE,5.0,0)))*(1-IF(AND(ArtifactsInput!$M$27,Inputs!$B$4="Chapter Hunt"),CHOOSE(ArtifactsInput!$N$27+1,20,24,28,32,36,40),0)/100)))+1)),0)</f>
        <v/>
      </c>
      <c r="S3379">
        <f>IFERROR(O3379/N3379,0)</f>
        <v/>
      </c>
      <c r="T3379" t="n">
        <v>0</v>
      </c>
      <c r="V3379" t="n">
        <v>0</v>
      </c>
    </row>
    <row r="3381">
      <c r="A3381" t="inlineStr">
        <is>
          <t>Attack% Bucket Multiplier</t>
        </is>
      </c>
      <c r="B3381">
        <f>(1+(((C3368=TRUE)*F3368*5/7)+((C3375=TRUE)*(F3375-Calc!F24))+(IF(ArtifactsInput!$M$21,CHOOSE(ArtifactsInput!$N$21+1,25,30,35,40,45,50)*(IF(OR(Inputs!$B$4="Chapter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3382">
      <c r="A3382" t="inlineStr">
        <is>
          <t>Global Crit Rate Bonus %</t>
        </is>
      </c>
      <c r="B3382" t="n">
        <v>0</v>
      </c>
    </row>
    <row r="3383">
      <c r="A3383" t="inlineStr">
        <is>
          <t>Attack Speed Buff Bonus % (Nimble Feet, duty-cycle averaged)</t>
        </is>
      </c>
      <c r="B3383">
        <f>((C3379=TRUE)*F3379*IF(AND(Inputs!$B$38&lt;&gt;"pvp",Inputs!$B$43&gt;0),(((R3379-1)*MIN((Skills!T28*(1+Inputs!$B$34/100)),(1/Q3379))+MIN((Skills!T28*(1+Inputs!$B$34/100)),MAX(0,Inputs!$B$43-((R3379-1)*(1/Q3379)))))/Inputs!$B$43),IF(Inputs!$B$38="pvp",MIN((Skills!T28*(1+Inputs!$B$34/100)),15)/15,MIN(1,(Skills!T28*(1+Inputs!$B$34/100))/(1/Q3379)))))</f>
        <v/>
      </c>
    </row>
    <row r="3384">
      <c r="A3384" t="inlineStr">
        <is>
          <t>Actions Per Second</t>
        </is>
      </c>
      <c r="B3384">
        <f>1+MIN(150,150*(1-(1-(Inputs!$B$11+((C3371=TRUE)*(F3371-Calc!F20))+((C3372=TRUE)*(F3372-Calc!F21)))/150)*(1-B3383/150)))/100</f>
        <v/>
      </c>
    </row>
    <row r="3385">
      <c r="A3385" t="inlineStr">
        <is>
          <t>Skill + Buff Cast Rate</t>
        </is>
      </c>
      <c r="B3385">
        <f>IF(AND(Inputs!$B$38&lt;&gt;"pvp",Inputs!$B$43&gt;0),SUMPRODUCT((Skills!E2:E28=TRUE)*(C3353:C3379=TRUE)*R3353:R3379*Skills!F2:F28)/Inputs!$B$43,SUMPRODUCT((Skills!E2:E28=TRUE)*(C3353:C3379=TRUE)*Q3353:Q3379*Skills!F2:F28))</f>
        <v/>
      </c>
    </row>
    <row r="3386">
      <c r="A3386" t="inlineStr">
        <is>
          <t>Eight-Legs Easton Casts Per Second</t>
        </is>
      </c>
      <c r="B3386">
        <f>MAX(0,B3384-B3385)</f>
        <v/>
      </c>
    </row>
    <row r="3387">
      <c r="A3387" t="inlineStr">
        <is>
          <t>Global Critical Damage Bonus % (unused)</t>
        </is>
      </c>
      <c r="B3387" t="n">
        <v>0</v>
      </c>
    </row>
    <row r="3388">
      <c r="A3388" t="inlineStr">
        <is>
          <t>Global Final Damage Bonus % (Jolly Roger + Ahoy Mateys - Final Damage proc)</t>
        </is>
      </c>
      <c r="B3388">
        <f>((C3369=TRUE)*F3369*IF(AND(Inputs!$B$38&lt;&gt;"pvp",Inputs!$B$43&gt;0),(((R3369-1)*MIN((Skills!T18*(1+Inputs!$B$34/100)),(1/Q3369))+MIN((Skills!T18*(1+Inputs!$B$34/100)),MAX(0,Inputs!$B$43-((R3369-1)*(1/Q3369)))))/Inputs!$B$43),IF(Inputs!$B$38="pvp",MIN((Skills!T18*(1+Inputs!$B$34/100)),15)/15,MIN(1,(Skills!T18*(1+Inputs!$B$34/100))/(1/Q3369)))))+IF(Inputs!$B$3&gt;=122,20*IF(Inputs!$B$38="pvp",MIN((20*(1+Inputs!$B$34/100)),15)/15,MIN(1,(20*(1+Inputs!$B$34/100))/(1/Q3355))),0)</f>
        <v/>
      </c>
    </row>
    <row r="3389">
      <c r="A3389" t="inlineStr">
        <is>
          <t>Buff-Casting Startup Delay (s, fixed-duration only)</t>
        </is>
      </c>
      <c r="B3389">
        <f>IF(AND(Inputs!$B$38&lt;&gt;"pvp",Inputs!$B$43&gt;0),SUMPRODUCT((Skills!T2:T28&gt;0)*(Skills!E2:E28=TRUE)*(C3353:C3379=TRUE))/B3384,0)</f>
        <v/>
      </c>
    </row>
    <row r="3390">
      <c r="A3390" t="inlineStr">
        <is>
          <t>Boss-Only Total DPS (this block's swept value)</t>
        </is>
      </c>
      <c r="B3390">
        <f>SUM(T3353:T3379)</f>
        <v/>
      </c>
    </row>
    <row r="3391">
      <c r="A3391" t="inlineStr">
        <is>
          <t>Normal-Only Total DPS (this block's swept value)</t>
        </is>
      </c>
      <c r="B3391">
        <f>SUM(V3353:V3379)</f>
        <v/>
      </c>
    </row>
    <row r="3392">
      <c r="A3392" s="6" t="inlineStr">
        <is>
          <t>TOTAL DPS</t>
        </is>
      </c>
      <c r="B3392" s="6">
        <f>SUM(O3353:O3379)</f>
        <v/>
      </c>
    </row>
    <row r="3393">
      <c r="A3393" t="inlineStr">
        <is>
          <t>Quickdraw cooldown divisor (this block's own APS / Q)</t>
        </is>
      </c>
      <c r="B3393">
        <f>IF(AND(C3378=TRUE,Inputs!$B$38&lt;&gt;"pvp"),1+0.25*MAX(0,(B3384-(((C3354=TRUE)*Q3354*1)+((C3355=TRUE)*Q3355*1)+((C3357=TRUE)*Q3357*1)+((C3358=TRUE)*Q3358*1)+((C3360=TRUE)*Q3360*1)+((C3363=TRUE)*Q3363*1)+((C3369=TRUE)*Q3369*1)+((C3379=TRUE)*Q3379*1))-((C3359=TRUE)/(IF(Inputs!$B$38="pvp",15,MAX(0.1,Skills!D8-IF(TRUE=TRUE,5.0,0)))*(1-IF(AND(ArtifactsInput!$M$27,Inputs!$B$4="Chapter Hunt"),CHOOSE(ArtifactsInput!$N$27+1,20,24,28,32,36,40),0)/100))+(C3362=TRUE)/(IF(Inputs!$B$38="pvp",15,MAX(0.1,Skills!D11-IF(TRUE=TRUE,5.0,0)))*(1-IF(AND(ArtifactsInput!$M$27,Inputs!$B$4="Chapter Hunt"),CHOOSE(ArtifactsInput!$N$27+1,20,24,28,32,36,40),0)/100))))/(1+0.25*((C3359=TRUE)/(IF(Inputs!$B$38="pvp",15,MAX(0.1,Skills!D8-IF(TRUE=TRUE,5.0,0)))*(1-IF(AND(ArtifactsInput!$M$27,Inputs!$B$4="Chapter Hunt"),CHOOSE(ArtifactsInput!$N$27+1,20,24,28,32,36,40),0)/100))+(C3362=TRUE)/(IF(Inputs!$B$38="pvp",15,MAX(0.1,Skills!D11-IF(TRUE=TRUE,5.0,0)))*(1-IF(AND(ArtifactsInput!$M$27,Inputs!$B$4="Chapter Hunt"),CHOOSE(ArtifactsInput!$N$27+1,20,24,28,32,36,40),0)/100))))),1)</f>
        <v/>
      </c>
    </row>
    <row r="3394">
      <c r="A3394" t="inlineStr">
        <is>
          <t>Nautilus Strike - Final Attack trigger rate (this block's own Q/R)</t>
        </is>
      </c>
      <c r="B3394">
        <f>IF(AND(Inputs!$B$38&lt;&gt;"pvp",Inputs!$B$43&gt;0),(((C3354=TRUE)*R3354)+((C3357=TRUE)*R3357)+((C3359=TRUE)*R3359)+((C3360=TRUE)*R3360)+((C3362=TRUE)*R3362))/Inputs!$B$43,((C3354=TRUE)*Q3354)+((C3357=TRUE)*Q3357)+((C3359=TRUE)*Q3359)+((C3360=TRUE)*Q3360)+((C3362=TRUE)*Q3362))+B3386</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Q21"/>
  <sheetViews>
    <sheetView workbookViewId="0">
      <pane ySplit="4" topLeftCell="A5" activePane="bottomLeft" state="frozen"/>
      <selection pane="bottomLeft" activeCell="A1" sqref="A1"/>
    </sheetView>
  </sheetViews>
  <sheetFormatPr baseColWidth="8" defaultRowHeight="15"/>
  <cols>
    <col width="26" customWidth="1" min="1" max="1"/>
    <col width="22" customWidth="1" min="2" max="2"/>
    <col width="12" customWidth="1" min="3" max="3"/>
    <col hidden="1" width="13" customWidth="1" min="5" max="5"/>
    <col hidden="1" width="13" customWidth="1" min="6" max="6"/>
    <col hidden="1" width="13" customWidth="1" min="7" max="7"/>
    <col width="22" customWidth="1" min="9" max="9"/>
    <col width="12" customWidth="1" min="10" max="10"/>
    <col hidden="1" width="13" customWidth="1" min="12" max="12"/>
    <col hidden="1" width="13" customWidth="1" min="13" max="13"/>
    <col hidden="1" width="13" customWidth="1" min="14" max="14"/>
    <col hidden="1" width="13" customWidth="1" min="17" max="17"/>
  </cols>
  <sheetData>
    <row r="1">
      <c r="A1" s="4" t="inlineStr">
        <is>
          <t>Corsair — Equipment Compare</t>
        </is>
      </c>
      <c r="Q1" t="inlineStr">
        <is>
          <t>Main Stat (flat)</t>
        </is>
      </c>
    </row>
    <row r="2">
      <c r="A2" t="inlineStr">
        <is>
          <t>Compare a candidate replacement equip against what you currently have, one Attack line plus up to 5 more stat lines each. Uses the same $/unit marginal-DPS values as Potential Cubes/Artifact Potentials: two lines of the SAME stat correctly add (two 5% Max Damage lines = one 10% Max Damage bucket), but two DIFFERENT stats correctly compound multiplicatively rather than just summing (two independent 1% gains combine to 1.01x1.01-1=2.0201%, not a naive 2%) — exact, not an approximation, since both equips are concrete/fixed sets of lines rather than an open-ended reroll search.</t>
        </is>
      </c>
      <c r="Q2" t="inlineStr">
        <is>
          <t>Main Stat %</t>
        </is>
      </c>
    </row>
    <row r="3">
      <c r="Q3" t="inlineStr">
        <is>
          <t>Attack (flat)</t>
        </is>
      </c>
    </row>
    <row r="4">
      <c r="B4" s="11" t="inlineStr">
        <is>
          <t>Current Equip</t>
        </is>
      </c>
      <c r="C4" s="12" t="n"/>
      <c r="D4" s="12" t="n"/>
      <c r="E4" s="12" t="n"/>
      <c r="F4" s="12" t="n"/>
      <c r="G4" s="12" t="n"/>
      <c r="I4" s="11" t="inlineStr">
        <is>
          <t>New Equip</t>
        </is>
      </c>
      <c r="J4" s="12" t="n"/>
      <c r="K4" s="12" t="n"/>
      <c r="L4" s="12" t="n"/>
      <c r="M4" s="12" t="n"/>
      <c r="N4" s="12" t="n"/>
      <c r="Q4" t="inlineStr">
        <is>
          <t>Min Damage %</t>
        </is>
      </c>
    </row>
    <row r="5">
      <c r="A5" s="6" t="inlineStr">
        <is>
          <t>Attack (flat)</t>
        </is>
      </c>
      <c r="B5" s="8" t="inlineStr">
        <is>
          <t>Attack (flat)</t>
        </is>
      </c>
      <c r="C5" s="7" t="n">
        <v>0</v>
      </c>
      <c r="D5">
        <f>C5*Sensitivity!H26</f>
        <v/>
      </c>
      <c r="E5">
        <f>SUMIF($B$5:$B$10,B5,$D$5:$D$10)</f>
        <v/>
      </c>
      <c r="F5">
        <f>TRUE</f>
        <v/>
      </c>
      <c r="G5">
        <f>IF(NOT(F5),1,1+E5/Summary!$B$3)</f>
        <v/>
      </c>
      <c r="I5" s="8" t="inlineStr">
        <is>
          <t>Attack (flat)</t>
        </is>
      </c>
      <c r="J5" s="7" t="n">
        <v>0</v>
      </c>
      <c r="K5">
        <f>J5*Sensitivity!H26</f>
        <v/>
      </c>
      <c r="L5">
        <f>SUMIF($I$5:$I$10,I5,$K$5:$K$10)</f>
        <v/>
      </c>
      <c r="M5">
        <f>TRUE</f>
        <v/>
      </c>
      <c r="N5">
        <f>IF(NOT(M5),1,1+L5/Summary!$B$3)</f>
        <v/>
      </c>
      <c r="Q5" t="inlineStr">
        <is>
          <t>Max Damage %</t>
        </is>
      </c>
    </row>
    <row r="6">
      <c r="A6" s="6" t="inlineStr">
        <is>
          <t>Line 2</t>
        </is>
      </c>
      <c r="B6" s="7" t="inlineStr">
        <is>
          <t>(none)</t>
        </is>
      </c>
      <c r="C6" s="7" t="n">
        <v>0</v>
      </c>
      <c r="D6">
        <f>IF(B6="(none)",0,C6*(IF(B6="Main Stat (flat)",Sensitivity!H5,IF(B6="Main Stat %",Sensitivity!H6,IF(B6="Attack (flat)",Sensitivity!H26,IF(B6="Min Damage %",Sensitivity!H13,IF(B6="Max Damage %",Sensitivity!H14,IF(B6="Damage %",Sensitivity!H8,IF(B6="Critical Rate %",IF(AND(Inputs!$B$9+Summary!$B$14+Artifacts!$B$32&gt;=100,NOT(ArtifactsInput!$M$42),NOT(ArtifactsInput!$M$24)),Sensitivity!H16,Sensitivity!H15),IF(B6="Critical Damage %",Sensitivity!H16,IF(B6="Boss Monster Damage %",Sensitivity!H10,IF(B6="Normal Monster Damage %",Sensitivity!H11,IF(B6="Defense Penetration %",Sensitivity!H18,IF(B6="Defense (flat)",0,IF(B6="Skill Level Bonus — 1st Job",Sensitivity!H21,IF(B6="Skill Level Bonus — 2nd Job",Sensitivity!H22,IF(B6="Skill Level Bonus — 3rd Job",Sensitivity!H23,IF(B6="Skill Level Bonus — 4th Job",Sensitivity!H24,IF(B6="Skill Level Bonus — All Skills",Sensitivity!H25,IF(B6="Final Damage %",Sensitivity!H12,IF(B6="Basic Attack Damage %",Sensitivity!H19,IF(B6="Skill Damage %",Sensitivity!H20,IF(B6="Attack Speed %",Sensitivity!H17,0)))))))))))))))))))))))</f>
        <v/>
      </c>
      <c r="E6">
        <f>SUMIF($B$5:$B$10,B6,$D$5:$D$10)</f>
        <v/>
      </c>
      <c r="F6">
        <f>AND(B6&lt;&gt;"(none)",COUNTIF($B$5:B5,B6)=0)</f>
        <v/>
      </c>
      <c r="G6">
        <f>IF(NOT(F6),1,1+E6/Summary!$B$3)</f>
        <v/>
      </c>
      <c r="I6" s="7" t="inlineStr">
        <is>
          <t>(none)</t>
        </is>
      </c>
      <c r="J6" s="7" t="n">
        <v>0</v>
      </c>
      <c r="K6">
        <f>IF(I6="(none)",0,J6*(IF(I6="Main Stat (flat)",Sensitivity!H5,IF(I6="Main Stat %",Sensitivity!H6,IF(I6="Attack (flat)",Sensitivity!H26,IF(I6="Min Damage %",Sensitivity!H13,IF(I6="Max Damage %",Sensitivity!H14,IF(I6="Damage %",Sensitivity!H8,IF(I6="Critical Rate %",IF(AND(Inputs!$B$9+Summary!$B$14+Artifacts!$B$32&gt;=100,NOT(ArtifactsInput!$M$42),NOT(ArtifactsInput!$M$24)),Sensitivity!H16,Sensitivity!H15),IF(I6="Critical Damage %",Sensitivity!H16,IF(I6="Boss Monster Damage %",Sensitivity!H10,IF(I6="Normal Monster Damage %",Sensitivity!H11,IF(I6="Defense Penetration %",Sensitivity!H18,IF(I6="Defense (flat)",0,IF(I6="Skill Level Bonus — 1st Job",Sensitivity!H21,IF(I6="Skill Level Bonus — 2nd Job",Sensitivity!H22,IF(I6="Skill Level Bonus — 3rd Job",Sensitivity!H23,IF(I6="Skill Level Bonus — 4th Job",Sensitivity!H24,IF(I6="Skill Level Bonus — All Skills",Sensitivity!H25,IF(I6="Final Damage %",Sensitivity!H12,IF(I6="Basic Attack Damage %",Sensitivity!H19,IF(I6="Skill Damage %",Sensitivity!H20,IF(I6="Attack Speed %",Sensitivity!H17,0)))))))))))))))))))))))</f>
        <v/>
      </c>
      <c r="L6">
        <f>SUMIF($I$5:$I$10,I6,$K$5:$K$10)</f>
        <v/>
      </c>
      <c r="M6">
        <f>AND(I6&lt;&gt;"(none)",COUNTIF($I$5:I5,I6)=0)</f>
        <v/>
      </c>
      <c r="N6">
        <f>IF(NOT(M6),1,1+L6/Summary!$B$3)</f>
        <v/>
      </c>
      <c r="Q6" t="inlineStr">
        <is>
          <t>Damage %</t>
        </is>
      </c>
    </row>
    <row r="7">
      <c r="A7" s="6" t="inlineStr">
        <is>
          <t>Line 3</t>
        </is>
      </c>
      <c r="B7" s="7" t="inlineStr">
        <is>
          <t>(none)</t>
        </is>
      </c>
      <c r="C7" s="7" t="n">
        <v>0</v>
      </c>
      <c r="D7">
        <f>IF(B7="(none)",0,C7*(IF(B7="Main Stat (flat)",Sensitivity!H5,IF(B7="Main Stat %",Sensitivity!H6,IF(B7="Attack (flat)",Sensitivity!H26,IF(B7="Min Damage %",Sensitivity!H13,IF(B7="Max Damage %",Sensitivity!H14,IF(B7="Damage %",Sensitivity!H8,IF(B7="Critical Rate %",IF(AND(Inputs!$B$9+Summary!$B$14+Artifacts!$B$32&gt;=100,NOT(ArtifactsInput!$M$42),NOT(ArtifactsInput!$M$24)),Sensitivity!H16,Sensitivity!H15),IF(B7="Critical Damage %",Sensitivity!H16,IF(B7="Boss Monster Damage %",Sensitivity!H10,IF(B7="Normal Monster Damage %",Sensitivity!H11,IF(B7="Defense Penetration %",Sensitivity!H18,IF(B7="Defense (flat)",0,IF(B7="Skill Level Bonus — 1st Job",Sensitivity!H21,IF(B7="Skill Level Bonus — 2nd Job",Sensitivity!H22,IF(B7="Skill Level Bonus — 3rd Job",Sensitivity!H23,IF(B7="Skill Level Bonus — 4th Job",Sensitivity!H24,IF(B7="Skill Level Bonus — All Skills",Sensitivity!H25,IF(B7="Final Damage %",Sensitivity!H12,IF(B7="Basic Attack Damage %",Sensitivity!H19,IF(B7="Skill Damage %",Sensitivity!H20,IF(B7="Attack Speed %",Sensitivity!H17,0)))))))))))))))))))))))</f>
        <v/>
      </c>
      <c r="E7">
        <f>SUMIF($B$5:$B$10,B7,$D$5:$D$10)</f>
        <v/>
      </c>
      <c r="F7">
        <f>AND(B7&lt;&gt;"(none)",COUNTIF($B$5:B6,B7)=0)</f>
        <v/>
      </c>
      <c r="G7">
        <f>IF(NOT(F7),1,1+E7/Summary!$B$3)</f>
        <v/>
      </c>
      <c r="I7" s="7" t="inlineStr">
        <is>
          <t>(none)</t>
        </is>
      </c>
      <c r="J7" s="7" t="n">
        <v>0</v>
      </c>
      <c r="K7">
        <f>IF(I7="(none)",0,J7*(IF(I7="Main Stat (flat)",Sensitivity!H5,IF(I7="Main Stat %",Sensitivity!H6,IF(I7="Attack (flat)",Sensitivity!H26,IF(I7="Min Damage %",Sensitivity!H13,IF(I7="Max Damage %",Sensitivity!H14,IF(I7="Damage %",Sensitivity!H8,IF(I7="Critical Rate %",IF(AND(Inputs!$B$9+Summary!$B$14+Artifacts!$B$32&gt;=100,NOT(ArtifactsInput!$M$42),NOT(ArtifactsInput!$M$24)),Sensitivity!H16,Sensitivity!H15),IF(I7="Critical Damage %",Sensitivity!H16,IF(I7="Boss Monster Damage %",Sensitivity!H10,IF(I7="Normal Monster Damage %",Sensitivity!H11,IF(I7="Defense Penetration %",Sensitivity!H18,IF(I7="Defense (flat)",0,IF(I7="Skill Level Bonus — 1st Job",Sensitivity!H21,IF(I7="Skill Level Bonus — 2nd Job",Sensitivity!H22,IF(I7="Skill Level Bonus — 3rd Job",Sensitivity!H23,IF(I7="Skill Level Bonus — 4th Job",Sensitivity!H24,IF(I7="Skill Level Bonus — All Skills",Sensitivity!H25,IF(I7="Final Damage %",Sensitivity!H12,IF(I7="Basic Attack Damage %",Sensitivity!H19,IF(I7="Skill Damage %",Sensitivity!H20,IF(I7="Attack Speed %",Sensitivity!H17,0)))))))))))))))))))))))</f>
        <v/>
      </c>
      <c r="L7">
        <f>SUMIF($I$5:$I$10,I7,$K$5:$K$10)</f>
        <v/>
      </c>
      <c r="M7">
        <f>AND(I7&lt;&gt;"(none)",COUNTIF($I$5:I6,I7)=0)</f>
        <v/>
      </c>
      <c r="N7">
        <f>IF(NOT(M7),1,1+L7/Summary!$B$3)</f>
        <v/>
      </c>
      <c r="Q7" t="inlineStr">
        <is>
          <t>Critical Rate %</t>
        </is>
      </c>
    </row>
    <row r="8">
      <c r="A8" s="6" t="inlineStr">
        <is>
          <t>Line 4</t>
        </is>
      </c>
      <c r="B8" s="7" t="inlineStr">
        <is>
          <t>(none)</t>
        </is>
      </c>
      <c r="C8" s="7" t="n">
        <v>0</v>
      </c>
      <c r="D8">
        <f>IF(B8="(none)",0,C8*(IF(B8="Main Stat (flat)",Sensitivity!H5,IF(B8="Main Stat %",Sensitivity!H6,IF(B8="Attack (flat)",Sensitivity!H26,IF(B8="Min Damage %",Sensitivity!H13,IF(B8="Max Damage %",Sensitivity!H14,IF(B8="Damage %",Sensitivity!H8,IF(B8="Critical Rate %",IF(AND(Inputs!$B$9+Summary!$B$14+Artifacts!$B$32&gt;=100,NOT(ArtifactsInput!$M$42),NOT(ArtifactsInput!$M$24)),Sensitivity!H16,Sensitivity!H15),IF(B8="Critical Damage %",Sensitivity!H16,IF(B8="Boss Monster Damage %",Sensitivity!H10,IF(B8="Normal Monster Damage %",Sensitivity!H11,IF(B8="Defense Penetration %",Sensitivity!H18,IF(B8="Defense (flat)",0,IF(B8="Skill Level Bonus — 1st Job",Sensitivity!H21,IF(B8="Skill Level Bonus — 2nd Job",Sensitivity!H22,IF(B8="Skill Level Bonus — 3rd Job",Sensitivity!H23,IF(B8="Skill Level Bonus — 4th Job",Sensitivity!H24,IF(B8="Skill Level Bonus — All Skills",Sensitivity!H25,IF(B8="Final Damage %",Sensitivity!H12,IF(B8="Basic Attack Damage %",Sensitivity!H19,IF(B8="Skill Damage %",Sensitivity!H20,IF(B8="Attack Speed %",Sensitivity!H17,0)))))))))))))))))))))))</f>
        <v/>
      </c>
      <c r="E8">
        <f>SUMIF($B$5:$B$10,B8,$D$5:$D$10)</f>
        <v/>
      </c>
      <c r="F8">
        <f>AND(B8&lt;&gt;"(none)",COUNTIF($B$5:B7,B8)=0)</f>
        <v/>
      </c>
      <c r="G8">
        <f>IF(NOT(F8),1,1+E8/Summary!$B$3)</f>
        <v/>
      </c>
      <c r="I8" s="7" t="inlineStr">
        <is>
          <t>(none)</t>
        </is>
      </c>
      <c r="J8" s="7" t="n">
        <v>0</v>
      </c>
      <c r="K8">
        <f>IF(I8="(none)",0,J8*(IF(I8="Main Stat (flat)",Sensitivity!H5,IF(I8="Main Stat %",Sensitivity!H6,IF(I8="Attack (flat)",Sensitivity!H26,IF(I8="Min Damage %",Sensitivity!H13,IF(I8="Max Damage %",Sensitivity!H14,IF(I8="Damage %",Sensitivity!H8,IF(I8="Critical Rate %",IF(AND(Inputs!$B$9+Summary!$B$14+Artifacts!$B$32&gt;=100,NOT(ArtifactsInput!$M$42),NOT(ArtifactsInput!$M$24)),Sensitivity!H16,Sensitivity!H15),IF(I8="Critical Damage %",Sensitivity!H16,IF(I8="Boss Monster Damage %",Sensitivity!H10,IF(I8="Normal Monster Damage %",Sensitivity!H11,IF(I8="Defense Penetration %",Sensitivity!H18,IF(I8="Defense (flat)",0,IF(I8="Skill Level Bonus — 1st Job",Sensitivity!H21,IF(I8="Skill Level Bonus — 2nd Job",Sensitivity!H22,IF(I8="Skill Level Bonus — 3rd Job",Sensitivity!H23,IF(I8="Skill Level Bonus — 4th Job",Sensitivity!H24,IF(I8="Skill Level Bonus — All Skills",Sensitivity!H25,IF(I8="Final Damage %",Sensitivity!H12,IF(I8="Basic Attack Damage %",Sensitivity!H19,IF(I8="Skill Damage %",Sensitivity!H20,IF(I8="Attack Speed %",Sensitivity!H17,0)))))))))))))))))))))))</f>
        <v/>
      </c>
      <c r="L8">
        <f>SUMIF($I$5:$I$10,I8,$K$5:$K$10)</f>
        <v/>
      </c>
      <c r="M8">
        <f>AND(I8&lt;&gt;"(none)",COUNTIF($I$5:I7,I8)=0)</f>
        <v/>
      </c>
      <c r="N8">
        <f>IF(NOT(M8),1,1+L8/Summary!$B$3)</f>
        <v/>
      </c>
      <c r="Q8" t="inlineStr">
        <is>
          <t>Critical Damage %</t>
        </is>
      </c>
    </row>
    <row r="9">
      <c r="A9" s="6" t="inlineStr">
        <is>
          <t>Line 5</t>
        </is>
      </c>
      <c r="B9" s="7" t="inlineStr">
        <is>
          <t>(none)</t>
        </is>
      </c>
      <c r="C9" s="7" t="n">
        <v>0</v>
      </c>
      <c r="D9">
        <f>IF(B9="(none)",0,C9*(IF(B9="Main Stat (flat)",Sensitivity!H5,IF(B9="Main Stat %",Sensitivity!H6,IF(B9="Attack (flat)",Sensitivity!H26,IF(B9="Min Damage %",Sensitivity!H13,IF(B9="Max Damage %",Sensitivity!H14,IF(B9="Damage %",Sensitivity!H8,IF(B9="Critical Rate %",IF(AND(Inputs!$B$9+Summary!$B$14+Artifacts!$B$32&gt;=100,NOT(ArtifactsInput!$M$42),NOT(ArtifactsInput!$M$24)),Sensitivity!H16,Sensitivity!H15),IF(B9="Critical Damage %",Sensitivity!H16,IF(B9="Boss Monster Damage %",Sensitivity!H10,IF(B9="Normal Monster Damage %",Sensitivity!H11,IF(B9="Defense Penetration %",Sensitivity!H18,IF(B9="Defense (flat)",0,IF(B9="Skill Level Bonus — 1st Job",Sensitivity!H21,IF(B9="Skill Level Bonus — 2nd Job",Sensitivity!H22,IF(B9="Skill Level Bonus — 3rd Job",Sensitivity!H23,IF(B9="Skill Level Bonus — 4th Job",Sensitivity!H24,IF(B9="Skill Level Bonus — All Skills",Sensitivity!H25,IF(B9="Final Damage %",Sensitivity!H12,IF(B9="Basic Attack Damage %",Sensitivity!H19,IF(B9="Skill Damage %",Sensitivity!H20,IF(B9="Attack Speed %",Sensitivity!H17,0)))))))))))))))))))))))</f>
        <v/>
      </c>
      <c r="E9">
        <f>SUMIF($B$5:$B$10,B9,$D$5:$D$10)</f>
        <v/>
      </c>
      <c r="F9">
        <f>AND(B9&lt;&gt;"(none)",COUNTIF($B$5:B8,B9)=0)</f>
        <v/>
      </c>
      <c r="G9">
        <f>IF(NOT(F9),1,1+E9/Summary!$B$3)</f>
        <v/>
      </c>
      <c r="I9" s="7" t="inlineStr">
        <is>
          <t>(none)</t>
        </is>
      </c>
      <c r="J9" s="7" t="n">
        <v>0</v>
      </c>
      <c r="K9">
        <f>IF(I9="(none)",0,J9*(IF(I9="Main Stat (flat)",Sensitivity!H5,IF(I9="Main Stat %",Sensitivity!H6,IF(I9="Attack (flat)",Sensitivity!H26,IF(I9="Min Damage %",Sensitivity!H13,IF(I9="Max Damage %",Sensitivity!H14,IF(I9="Damage %",Sensitivity!H8,IF(I9="Critical Rate %",IF(AND(Inputs!$B$9+Summary!$B$14+Artifacts!$B$32&gt;=100,NOT(ArtifactsInput!$M$42),NOT(ArtifactsInput!$M$24)),Sensitivity!H16,Sensitivity!H15),IF(I9="Critical Damage %",Sensitivity!H16,IF(I9="Boss Monster Damage %",Sensitivity!H10,IF(I9="Normal Monster Damage %",Sensitivity!H11,IF(I9="Defense Penetration %",Sensitivity!H18,IF(I9="Defense (flat)",0,IF(I9="Skill Level Bonus — 1st Job",Sensitivity!H21,IF(I9="Skill Level Bonus — 2nd Job",Sensitivity!H22,IF(I9="Skill Level Bonus — 3rd Job",Sensitivity!H23,IF(I9="Skill Level Bonus — 4th Job",Sensitivity!H24,IF(I9="Skill Level Bonus — All Skills",Sensitivity!H25,IF(I9="Final Damage %",Sensitivity!H12,IF(I9="Basic Attack Damage %",Sensitivity!H19,IF(I9="Skill Damage %",Sensitivity!H20,IF(I9="Attack Speed %",Sensitivity!H17,0)))))))))))))))))))))))</f>
        <v/>
      </c>
      <c r="L9">
        <f>SUMIF($I$5:$I$10,I9,$K$5:$K$10)</f>
        <v/>
      </c>
      <c r="M9">
        <f>AND(I9&lt;&gt;"(none)",COUNTIF($I$5:I8,I9)=0)</f>
        <v/>
      </c>
      <c r="N9">
        <f>IF(NOT(M9),1,1+L9/Summary!$B$3)</f>
        <v/>
      </c>
      <c r="Q9" t="inlineStr">
        <is>
          <t>Boss Monster Damage %</t>
        </is>
      </c>
    </row>
    <row r="10">
      <c r="A10" s="6" t="inlineStr">
        <is>
          <t>Line 6</t>
        </is>
      </c>
      <c r="B10" s="7" t="inlineStr">
        <is>
          <t>(none)</t>
        </is>
      </c>
      <c r="C10" s="7" t="n">
        <v>0</v>
      </c>
      <c r="D10">
        <f>IF(B10="(none)",0,C10*(IF(B10="Main Stat (flat)",Sensitivity!H5,IF(B10="Main Stat %",Sensitivity!H6,IF(B10="Attack (flat)",Sensitivity!H26,IF(B10="Min Damage %",Sensitivity!H13,IF(B10="Max Damage %",Sensitivity!H14,IF(B10="Damage %",Sensitivity!H8,IF(B10="Critical Rate %",IF(AND(Inputs!$B$9+Summary!$B$14+Artifacts!$B$32&gt;=100,NOT(ArtifactsInput!$M$42),NOT(ArtifactsInput!$M$24)),Sensitivity!H16,Sensitivity!H15),IF(B10="Critical Damage %",Sensitivity!H16,IF(B10="Boss Monster Damage %",Sensitivity!H10,IF(B10="Normal Monster Damage %",Sensitivity!H11,IF(B10="Defense Penetration %",Sensitivity!H18,IF(B10="Defense (flat)",0,IF(B10="Skill Level Bonus — 1st Job",Sensitivity!H21,IF(B10="Skill Level Bonus — 2nd Job",Sensitivity!H22,IF(B10="Skill Level Bonus — 3rd Job",Sensitivity!H23,IF(B10="Skill Level Bonus — 4th Job",Sensitivity!H24,IF(B10="Skill Level Bonus — All Skills",Sensitivity!H25,IF(B10="Final Damage %",Sensitivity!H12,IF(B10="Basic Attack Damage %",Sensitivity!H19,IF(B10="Skill Damage %",Sensitivity!H20,IF(B10="Attack Speed %",Sensitivity!H17,0)))))))))))))))))))))))</f>
        <v/>
      </c>
      <c r="E10">
        <f>SUMIF($B$5:$B$10,B10,$D$5:$D$10)</f>
        <v/>
      </c>
      <c r="F10">
        <f>AND(B10&lt;&gt;"(none)",COUNTIF($B$5:B9,B10)=0)</f>
        <v/>
      </c>
      <c r="G10">
        <f>IF(NOT(F10),1,1+E10/Summary!$B$3)</f>
        <v/>
      </c>
      <c r="I10" s="7" t="inlineStr">
        <is>
          <t>(none)</t>
        </is>
      </c>
      <c r="J10" s="7" t="n">
        <v>0</v>
      </c>
      <c r="K10">
        <f>IF(I10="(none)",0,J10*(IF(I10="Main Stat (flat)",Sensitivity!H5,IF(I10="Main Stat %",Sensitivity!H6,IF(I10="Attack (flat)",Sensitivity!H26,IF(I10="Min Damage %",Sensitivity!H13,IF(I10="Max Damage %",Sensitivity!H14,IF(I10="Damage %",Sensitivity!H8,IF(I10="Critical Rate %",IF(AND(Inputs!$B$9+Summary!$B$14+Artifacts!$B$32&gt;=100,NOT(ArtifactsInput!$M$42),NOT(ArtifactsInput!$M$24)),Sensitivity!H16,Sensitivity!H15),IF(I10="Critical Damage %",Sensitivity!H16,IF(I10="Boss Monster Damage %",Sensitivity!H10,IF(I10="Normal Monster Damage %",Sensitivity!H11,IF(I10="Defense Penetration %",Sensitivity!H18,IF(I10="Defense (flat)",0,IF(I10="Skill Level Bonus — 1st Job",Sensitivity!H21,IF(I10="Skill Level Bonus — 2nd Job",Sensitivity!H22,IF(I10="Skill Level Bonus — 3rd Job",Sensitivity!H23,IF(I10="Skill Level Bonus — 4th Job",Sensitivity!H24,IF(I10="Skill Level Bonus — All Skills",Sensitivity!H25,IF(I10="Final Damage %",Sensitivity!H12,IF(I10="Basic Attack Damage %",Sensitivity!H19,IF(I10="Skill Damage %",Sensitivity!H20,IF(I10="Attack Speed %",Sensitivity!H17,0)))))))))))))))))))))))</f>
        <v/>
      </c>
      <c r="L10">
        <f>SUMIF($I$5:$I$10,I10,$K$5:$K$10)</f>
        <v/>
      </c>
      <c r="M10">
        <f>AND(I10&lt;&gt;"(none)",COUNTIF($I$5:I9,I10)=0)</f>
        <v/>
      </c>
      <c r="N10">
        <f>IF(NOT(M10),1,1+L10/Summary!$B$3)</f>
        <v/>
      </c>
      <c r="Q10" t="inlineStr">
        <is>
          <t>Normal Monster Damage %</t>
        </is>
      </c>
    </row>
    <row r="11">
      <c r="Q11" t="inlineStr">
        <is>
          <t>Defense Penetration %</t>
        </is>
      </c>
    </row>
    <row r="12">
      <c r="A12" s="6" t="inlineStr">
        <is>
          <t>Total DPS Gain</t>
        </is>
      </c>
      <c r="D12">
        <f>Summary!$B$3*(PRODUCT($G$5:$G$10)-1)</f>
        <v/>
      </c>
      <c r="K12">
        <f>Summary!$B$3*(PRODUCT($N$5:$N$10)-1)</f>
        <v/>
      </c>
      <c r="Q12" t="inlineStr">
        <is>
          <t>Defense (flat)</t>
        </is>
      </c>
    </row>
    <row r="13">
      <c r="A13" s="6" t="inlineStr">
        <is>
          <t>% of Total DPS</t>
        </is>
      </c>
      <c r="D13" s="13">
        <f>D12/Summary!$B$3*100</f>
        <v/>
      </c>
      <c r="K13" s="13">
        <f>K12/Summary!$B$3*100</f>
        <v/>
      </c>
      <c r="Q13" t="inlineStr">
        <is>
          <t>Skill Level Bonus — 1st Job</t>
        </is>
      </c>
    </row>
    <row r="14">
      <c r="Q14" t="inlineStr">
        <is>
          <t>Skill Level Bonus — 2nd Job</t>
        </is>
      </c>
    </row>
    <row r="15">
      <c r="A15" s="9" t="inlineStr">
        <is>
          <t>New vs Current — DPS % Delta</t>
        </is>
      </c>
      <c r="D15" s="14">
        <f>K13-D13</f>
        <v/>
      </c>
      <c r="Q15" t="inlineStr">
        <is>
          <t>Skill Level Bonus — 3rd Job</t>
        </is>
      </c>
    </row>
    <row r="16">
      <c r="Q16" t="inlineStr">
        <is>
          <t>Skill Level Bonus — 4th Job</t>
        </is>
      </c>
    </row>
    <row r="17">
      <c r="Q17" t="inlineStr">
        <is>
          <t>Skill Level Bonus — All Skills</t>
        </is>
      </c>
    </row>
    <row r="18">
      <c r="Q18" t="inlineStr">
        <is>
          <t>Final Damage %</t>
        </is>
      </c>
    </row>
    <row r="19">
      <c r="Q19" t="inlineStr">
        <is>
          <t>Basic Attack Damage %</t>
        </is>
      </c>
    </row>
    <row r="20">
      <c r="Q20" t="inlineStr">
        <is>
          <t>Skill Damage %</t>
        </is>
      </c>
    </row>
    <row r="21">
      <c r="Q21" t="inlineStr">
        <is>
          <t>Attack Speed %</t>
        </is>
      </c>
    </row>
  </sheetData>
  <dataValidations count="1">
    <dataValidation sqref="B6 B7 B8 B9 B10 I6 I7 I8 I9 I10" showDropDown="0" showInputMessage="0" showErrorMessage="0" allowBlank="0" type="list">
      <formula1>=$Q$1:$Q$21</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709"/>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6" customWidth="1" min="3" max="3"/>
    <col width="26" customWidth="1" min="4" max="4"/>
    <col width="9" customWidth="1" min="5" max="5"/>
    <col width="9" customWidth="1" min="6" max="6"/>
    <col width="8" customWidth="1" min="7" max="7"/>
    <col width="13" customWidth="1" min="8" max="8"/>
    <col width="2" customWidth="1" min="9" max="9"/>
    <col width="26" customWidth="1" min="10" max="10"/>
    <col width="13" customWidth="1" min="11" max="11"/>
    <col width="2" customWidth="1" min="12" max="12"/>
    <col width="12" customWidth="1" min="13" max="13"/>
    <col width="10" customWidth="1" min="14" max="14"/>
    <col width="9" customWidth="1" min="15" max="15"/>
    <col width="15" customWidth="1" min="16" max="16"/>
    <col width="14" customWidth="1" min="17" max="17"/>
  </cols>
  <sheetData>
    <row r="1">
      <c r="A1" s="5" t="inlineStr">
        <is>
          <t>Slot</t>
        </is>
      </c>
      <c r="B1" s="5" t="inlineStr">
        <is>
          <t>Rarity</t>
        </is>
      </c>
      <c r="C1" s="5" t="inlineStr">
        <is>
          <t>Line</t>
        </is>
      </c>
      <c r="D1" s="5" t="inlineStr">
        <is>
          <t>Stat</t>
        </is>
      </c>
      <c r="E1" s="5" t="inlineStr">
        <is>
          <t>Value</t>
        </is>
      </c>
      <c r="F1" s="5" t="inlineStr">
        <is>
          <t>Weight</t>
        </is>
      </c>
      <c r="G1" s="5" t="inlineStr">
        <is>
          <t>Prime</t>
        </is>
      </c>
      <c r="H1" s="5" t="inlineStr">
        <is>
          <t>DPSPerUnit</t>
        </is>
      </c>
      <c r="J1" s="11" t="inlineStr">
        <is>
          <t>Stat</t>
        </is>
      </c>
      <c r="K1" s="11" t="inlineStr">
        <is>
          <t>DPSPerUnit</t>
        </is>
      </c>
      <c r="M1" s="11" t="inlineStr">
        <is>
          <t>Rarity</t>
        </is>
      </c>
      <c r="N1" s="11" t="inlineStr">
        <is>
          <t>Rate</t>
        </is>
      </c>
      <c r="O1" s="11" t="inlineStr">
        <is>
          <t>MaxPity</t>
        </is>
      </c>
      <c r="P1" s="11" t="inlineStr">
        <is>
          <t>PotentialType</t>
        </is>
      </c>
      <c r="Q1" s="11" t="inlineStr">
        <is>
          <t>SlotList</t>
        </is>
      </c>
    </row>
    <row r="2">
      <c r="A2" t="inlineStr">
        <is>
          <t>ALL</t>
        </is>
      </c>
      <c r="B2" t="inlineStr">
        <is>
          <t>normal</t>
        </is>
      </c>
      <c r="C2" t="n">
        <v>1</v>
      </c>
      <c r="D2" t="inlineStr">
        <is>
          <t>Critical Rate %</t>
        </is>
      </c>
      <c r="E2" t="n">
        <v>3</v>
      </c>
      <c r="F2" t="n">
        <v>2.5</v>
      </c>
      <c r="G2" t="b">
        <v>0</v>
      </c>
      <c r="H2">
        <f>IF(AND(Inputs!$B$9+Summary!$B$14+Artifacts!$B$32&gt;=100,NOT(ArtifactsInput!$M$42),NOT(ArtifactsInput!$M$24)),Sensitivity!H16,Sensitivity!H15)</f>
        <v/>
      </c>
      <c r="J2" t="inlineStr">
        <is>
          <t>(none)</t>
        </is>
      </c>
      <c r="K2" t="n">
        <v>0</v>
      </c>
      <c r="M2" t="inlineStr">
        <is>
          <t>normal</t>
        </is>
      </c>
      <c r="N2" t="n">
        <v>0.06</v>
      </c>
      <c r="O2" t="n">
        <v>30</v>
      </c>
      <c r="P2" t="inlineStr">
        <is>
          <t>Potential</t>
        </is>
      </c>
      <c r="Q2" t="inlineStr">
        <is>
          <t>head</t>
        </is>
      </c>
    </row>
    <row r="3">
      <c r="A3" t="inlineStr">
        <is>
          <t>ALL</t>
        </is>
      </c>
      <c r="B3" t="inlineStr">
        <is>
          <t>normal</t>
        </is>
      </c>
      <c r="C3" t="n">
        <v>1</v>
      </c>
      <c r="D3" t="inlineStr">
        <is>
          <t>Attack Speed %</t>
        </is>
      </c>
      <c r="E3" t="n">
        <v>3</v>
      </c>
      <c r="F3" t="n">
        <v>2.5</v>
      </c>
      <c r="G3" t="b">
        <v>0</v>
      </c>
      <c r="H3">
        <f>Sensitivity!H17</f>
        <v/>
      </c>
      <c r="J3" t="inlineStr">
        <is>
          <t>All Skill Level</t>
        </is>
      </c>
      <c r="K3">
        <f>Sensitivity!H25</f>
        <v/>
      </c>
      <c r="M3" t="inlineStr">
        <is>
          <t>rare</t>
        </is>
      </c>
      <c r="N3" t="n">
        <v>0.03333</v>
      </c>
      <c r="O3" t="n">
        <v>60</v>
      </c>
      <c r="P3" t="inlineStr">
        <is>
          <t>Potential</t>
        </is>
      </c>
      <c r="Q3" t="inlineStr">
        <is>
          <t>cape</t>
        </is>
      </c>
    </row>
    <row r="4">
      <c r="A4" t="inlineStr">
        <is>
          <t>ALL</t>
        </is>
      </c>
      <c r="B4" t="inlineStr">
        <is>
          <t>normal</t>
        </is>
      </c>
      <c r="C4" t="n">
        <v>1</v>
      </c>
      <c r="D4" t="inlineStr">
        <is>
          <t>Damage %</t>
        </is>
      </c>
      <c r="E4" t="n">
        <v>5</v>
      </c>
      <c r="F4" t="n">
        <v>4</v>
      </c>
      <c r="G4" t="b">
        <v>0</v>
      </c>
      <c r="H4">
        <f>Sensitivity!H8</f>
        <v/>
      </c>
      <c r="J4" t="inlineStr">
        <is>
          <t>Attack Speed %</t>
        </is>
      </c>
      <c r="K4">
        <f>Sensitivity!H17</f>
        <v/>
      </c>
      <c r="M4" t="inlineStr">
        <is>
          <t>epic</t>
        </is>
      </c>
      <c r="N4" t="n">
        <v>0.0167</v>
      </c>
      <c r="O4" t="n">
        <v>120</v>
      </c>
      <c r="P4" t="inlineStr">
        <is>
          <t>Potential</t>
        </is>
      </c>
      <c r="Q4" t="inlineStr">
        <is>
          <t>chest</t>
        </is>
      </c>
    </row>
    <row r="5">
      <c r="A5" t="inlineStr">
        <is>
          <t>ALL</t>
        </is>
      </c>
      <c r="B5" t="inlineStr">
        <is>
          <t>normal</t>
        </is>
      </c>
      <c r="C5" t="n">
        <v>1</v>
      </c>
      <c r="D5" t="inlineStr">
        <is>
          <t>Min Damage Multiplier %</t>
        </is>
      </c>
      <c r="E5" t="n">
        <v>3</v>
      </c>
      <c r="F5" t="n">
        <v>4</v>
      </c>
      <c r="G5" t="b">
        <v>0</v>
      </c>
      <c r="H5">
        <f>Sensitivity!H13</f>
        <v/>
      </c>
      <c r="J5" t="inlineStr">
        <is>
          <t>Basic Attack Damage %</t>
        </is>
      </c>
      <c r="K5">
        <f>Sensitivity!H19</f>
        <v/>
      </c>
      <c r="M5" t="inlineStr">
        <is>
          <t>unique</t>
        </is>
      </c>
      <c r="N5" t="n">
        <v>0.006</v>
      </c>
      <c r="O5" t="n">
        <v>333</v>
      </c>
      <c r="P5" t="inlineStr">
        <is>
          <t>Potential</t>
        </is>
      </c>
      <c r="Q5" t="inlineStr">
        <is>
          <t>shoulders</t>
        </is>
      </c>
    </row>
    <row r="6">
      <c r="A6" t="inlineStr">
        <is>
          <t>ALL</t>
        </is>
      </c>
      <c r="B6" t="inlineStr">
        <is>
          <t>normal</t>
        </is>
      </c>
      <c r="C6" t="n">
        <v>1</v>
      </c>
      <c r="D6" t="inlineStr">
        <is>
          <t>Max Damage Multiplier %</t>
        </is>
      </c>
      <c r="E6" t="n">
        <v>3</v>
      </c>
      <c r="F6" t="n">
        <v>4</v>
      </c>
      <c r="G6" t="b">
        <v>0</v>
      </c>
      <c r="H6">
        <f>Sensitivity!H14</f>
        <v/>
      </c>
      <c r="J6" t="inlineStr">
        <is>
          <t>Basic Attack Target Increase</t>
        </is>
      </c>
      <c r="K6">
        <f>Sensitivity!H29</f>
        <v/>
      </c>
      <c r="M6" t="inlineStr">
        <is>
          <t>legendary</t>
        </is>
      </c>
      <c r="N6" t="n">
        <v>0.0021</v>
      </c>
      <c r="O6" t="n">
        <v>714</v>
      </c>
      <c r="P6" t="inlineStr">
        <is>
          <t>Potential</t>
        </is>
      </c>
      <c r="Q6" t="inlineStr">
        <is>
          <t>legs</t>
        </is>
      </c>
    </row>
    <row r="7">
      <c r="A7" t="inlineStr">
        <is>
          <t>ALL</t>
        </is>
      </c>
      <c r="B7" t="inlineStr">
        <is>
          <t>normal</t>
        </is>
      </c>
      <c r="C7" t="n">
        <v>1</v>
      </c>
      <c r="D7" t="inlineStr">
        <is>
          <t>Str %</t>
        </is>
      </c>
      <c r="E7" t="n">
        <v>3</v>
      </c>
      <c r="F7" t="n">
        <v>4.5</v>
      </c>
      <c r="G7" t="b">
        <v>0</v>
      </c>
      <c r="H7">
        <f>Sensitivity!H7*Inputs!$B$14/100</f>
        <v/>
      </c>
      <c r="J7" t="inlineStr">
        <is>
          <t>Buff Duration Increase %</t>
        </is>
      </c>
      <c r="K7">
        <f>Sensitivity!H30</f>
        <v/>
      </c>
      <c r="M7" t="inlineStr">
        <is>
          <t>mystic</t>
        </is>
      </c>
      <c r="N7" t="n">
        <v>0</v>
      </c>
      <c r="O7" t="n">
        <v>0</v>
      </c>
      <c r="P7" t="inlineStr">
        <is>
          <t>Potential</t>
        </is>
      </c>
      <c r="Q7" t="inlineStr">
        <is>
          <t>belt</t>
        </is>
      </c>
    </row>
    <row r="8">
      <c r="A8" t="inlineStr">
        <is>
          <t>ALL</t>
        </is>
      </c>
      <c r="B8" t="inlineStr">
        <is>
          <t>normal</t>
        </is>
      </c>
      <c r="C8" t="n">
        <v>1</v>
      </c>
      <c r="D8" t="inlineStr">
        <is>
          <t>Dex %</t>
        </is>
      </c>
      <c r="E8" t="n">
        <v>3</v>
      </c>
      <c r="F8" t="n">
        <v>4.5</v>
      </c>
      <c r="G8" t="b">
        <v>0</v>
      </c>
      <c r="H8">
        <f>Sensitivity!H6</f>
        <v/>
      </c>
      <c r="J8" t="inlineStr">
        <is>
          <t>Companion Summoning Time Increase %</t>
        </is>
      </c>
      <c r="K8">
        <f>Sensitivity!H16</f>
        <v/>
      </c>
      <c r="M8" t="inlineStr">
        <is>
          <t>normal</t>
        </is>
      </c>
      <c r="N8" t="n">
        <v>0.06</v>
      </c>
      <c r="O8" t="n">
        <v>42</v>
      </c>
      <c r="P8" t="inlineStr">
        <is>
          <t>Bonus Potential</t>
        </is>
      </c>
      <c r="Q8" t="inlineStr">
        <is>
          <t>gloves</t>
        </is>
      </c>
    </row>
    <row r="9">
      <c r="A9" t="inlineStr">
        <is>
          <t>ALL</t>
        </is>
      </c>
      <c r="B9" t="inlineStr">
        <is>
          <t>normal</t>
        </is>
      </c>
      <c r="C9" t="n">
        <v>1</v>
      </c>
      <c r="D9" t="inlineStr">
        <is>
          <t>Int %</t>
        </is>
      </c>
      <c r="E9" t="n">
        <v>3</v>
      </c>
      <c r="F9" t="n">
        <v>4.5</v>
      </c>
      <c r="G9" t="b">
        <v>0</v>
      </c>
      <c r="H9" t="inlineStr">
        <is>
          <t>0</t>
        </is>
      </c>
      <c r="J9" t="inlineStr">
        <is>
          <t>Critical Damage %</t>
        </is>
      </c>
      <c r="K9">
        <f>Sensitivity!H16</f>
        <v/>
      </c>
      <c r="M9" t="inlineStr">
        <is>
          <t>rare</t>
        </is>
      </c>
      <c r="N9" t="n">
        <v>0.03333</v>
      </c>
      <c r="O9" t="n">
        <v>75</v>
      </c>
      <c r="P9" t="inlineStr">
        <is>
          <t>Bonus Potential</t>
        </is>
      </c>
      <c r="Q9" t="inlineStr">
        <is>
          <t>boots</t>
        </is>
      </c>
    </row>
    <row r="10">
      <c r="A10" t="inlineStr">
        <is>
          <t>ALL</t>
        </is>
      </c>
      <c r="B10" t="inlineStr">
        <is>
          <t>normal</t>
        </is>
      </c>
      <c r="C10" t="n">
        <v>1</v>
      </c>
      <c r="D10" t="inlineStr">
        <is>
          <t>Luk %</t>
        </is>
      </c>
      <c r="E10" t="n">
        <v>3</v>
      </c>
      <c r="F10" t="n">
        <v>4.5</v>
      </c>
      <c r="G10" t="b">
        <v>0</v>
      </c>
      <c r="H10" t="inlineStr">
        <is>
          <t>0</t>
        </is>
      </c>
      <c r="J10" t="inlineStr">
        <is>
          <t>Critical Rate %</t>
        </is>
      </c>
      <c r="K10">
        <f>IF(AND(Inputs!$B$9+Summary!$B$14+Artifacts!$B$32&gt;=100,NOT(ArtifactsInput!$M$42),NOT(ArtifactsInput!$M$24)),Sensitivity!H16,Sensitivity!H15)</f>
        <v/>
      </c>
      <c r="M10" t="inlineStr">
        <is>
          <t>epic</t>
        </is>
      </c>
      <c r="N10" t="n">
        <v>0.0167</v>
      </c>
      <c r="O10" t="n">
        <v>150</v>
      </c>
      <c r="P10" t="inlineStr">
        <is>
          <t>Bonus Potential</t>
        </is>
      </c>
      <c r="Q10" t="inlineStr">
        <is>
          <t>ring</t>
        </is>
      </c>
    </row>
    <row r="11">
      <c r="A11" t="inlineStr">
        <is>
          <t>ALL</t>
        </is>
      </c>
      <c r="B11" t="inlineStr">
        <is>
          <t>normal</t>
        </is>
      </c>
      <c r="C11" t="n">
        <v>1</v>
      </c>
      <c r="D11" t="inlineStr">
        <is>
          <t>Defense %</t>
        </is>
      </c>
      <c r="E11" t="n">
        <v>3</v>
      </c>
      <c r="F11" t="n">
        <v>9</v>
      </c>
      <c r="G11" t="b">
        <v>0</v>
      </c>
      <c r="H11" t="inlineStr">
        <is>
          <t>0</t>
        </is>
      </c>
      <c r="J11" t="inlineStr">
        <is>
          <t>Damage %</t>
        </is>
      </c>
      <c r="K11">
        <f>Sensitivity!H8</f>
        <v/>
      </c>
      <c r="M11" t="inlineStr">
        <is>
          <t>unique</t>
        </is>
      </c>
      <c r="N11" t="n">
        <v>0.006</v>
      </c>
      <c r="O11" t="n">
        <v>417</v>
      </c>
      <c r="P11" t="inlineStr">
        <is>
          <t>Bonus Potential</t>
        </is>
      </c>
      <c r="Q11" t="inlineStr">
        <is>
          <t>neck</t>
        </is>
      </c>
    </row>
    <row r="12">
      <c r="A12" t="inlineStr">
        <is>
          <t>ALL</t>
        </is>
      </c>
      <c r="B12" t="inlineStr">
        <is>
          <t>normal</t>
        </is>
      </c>
      <c r="C12" t="n">
        <v>1</v>
      </c>
      <c r="D12" t="inlineStr">
        <is>
          <t>Max HP %</t>
        </is>
      </c>
      <c r="E12" t="n">
        <v>6</v>
      </c>
      <c r="F12" t="n">
        <v>9</v>
      </c>
      <c r="G12" t="b">
        <v>0</v>
      </c>
      <c r="H12" t="inlineStr">
        <is>
          <t>0</t>
        </is>
      </c>
      <c r="J12" t="inlineStr">
        <is>
          <t>Defense %</t>
        </is>
      </c>
      <c r="K12" t="inlineStr">
        <is>
          <t>0</t>
        </is>
      </c>
      <c r="M12" t="inlineStr">
        <is>
          <t>legendary</t>
        </is>
      </c>
      <c r="N12" t="n">
        <v>0.0021</v>
      </c>
      <c r="O12" t="n">
        <v>714</v>
      </c>
      <c r="P12" t="inlineStr">
        <is>
          <t>Bonus Potential</t>
        </is>
      </c>
      <c r="Q12" t="inlineStr">
        <is>
          <t>eye-accessory</t>
        </is>
      </c>
    </row>
    <row r="13">
      <c r="A13" t="inlineStr">
        <is>
          <t>ALL</t>
        </is>
      </c>
      <c r="B13" t="inlineStr">
        <is>
          <t>normal</t>
        </is>
      </c>
      <c r="C13" t="n">
        <v>1</v>
      </c>
      <c r="D13" t="inlineStr">
        <is>
          <t>Max MP %</t>
        </is>
      </c>
      <c r="E13" t="n">
        <v>3</v>
      </c>
      <c r="F13" t="n">
        <v>9</v>
      </c>
      <c r="G13" t="b">
        <v>0</v>
      </c>
      <c r="H13" t="inlineStr">
        <is>
          <t>0</t>
        </is>
      </c>
      <c r="J13" t="inlineStr">
        <is>
          <t>Defense Penetration</t>
        </is>
      </c>
      <c r="K13">
        <f>Sensitivity!H18</f>
        <v/>
      </c>
      <c r="M13" t="inlineStr">
        <is>
          <t>mystic</t>
        </is>
      </c>
      <c r="N13" t="n">
        <v>0</v>
      </c>
      <c r="O13" t="n">
        <v>0</v>
      </c>
      <c r="P13" t="inlineStr">
        <is>
          <t>Bonus Potential</t>
        </is>
      </c>
      <c r="Q13" t="inlineStr">
        <is>
          <t>ring2</t>
        </is>
      </c>
    </row>
    <row r="14">
      <c r="A14" t="inlineStr">
        <is>
          <t>ALL</t>
        </is>
      </c>
      <c r="B14" t="inlineStr">
        <is>
          <t>normal</t>
        </is>
      </c>
      <c r="C14" t="n">
        <v>1</v>
      </c>
      <c r="D14" t="inlineStr">
        <is>
          <t>Str</t>
        </is>
      </c>
      <c r="E14" t="n">
        <v>50</v>
      </c>
      <c r="F14" t="n">
        <v>9.5</v>
      </c>
      <c r="G14" t="b">
        <v>0</v>
      </c>
      <c r="H14">
        <f>Sensitivity!H7</f>
        <v/>
      </c>
      <c r="J14" t="inlineStr">
        <is>
          <t>Dex</t>
        </is>
      </c>
      <c r="K14">
        <f>Sensitivity!H5</f>
        <v/>
      </c>
      <c r="Q14" t="inlineStr">
        <is>
          <t>face</t>
        </is>
      </c>
    </row>
    <row r="15">
      <c r="A15" t="inlineStr">
        <is>
          <t>ALL</t>
        </is>
      </c>
      <c r="B15" t="inlineStr">
        <is>
          <t>normal</t>
        </is>
      </c>
      <c r="C15" t="n">
        <v>1</v>
      </c>
      <c r="D15" t="inlineStr">
        <is>
          <t>Dex</t>
        </is>
      </c>
      <c r="E15" t="n">
        <v>50</v>
      </c>
      <c r="F15" t="n">
        <v>9.5</v>
      </c>
      <c r="G15" t="b">
        <v>0</v>
      </c>
      <c r="H15">
        <f>Sensitivity!H5</f>
        <v/>
      </c>
      <c r="J15" t="inlineStr">
        <is>
          <t>Dex %</t>
        </is>
      </c>
      <c r="K15">
        <f>Sensitivity!H6</f>
        <v/>
      </c>
      <c r="Q15" t="inlineStr">
        <is>
          <t>earrings</t>
        </is>
      </c>
    </row>
    <row r="16">
      <c r="A16" t="inlineStr">
        <is>
          <t>ALL</t>
        </is>
      </c>
      <c r="B16" t="inlineStr">
        <is>
          <t>normal</t>
        </is>
      </c>
      <c r="C16" t="n">
        <v>1</v>
      </c>
      <c r="D16" t="inlineStr">
        <is>
          <t>Int</t>
        </is>
      </c>
      <c r="E16" t="n">
        <v>50</v>
      </c>
      <c r="F16" t="n">
        <v>9.5</v>
      </c>
      <c r="G16" t="b">
        <v>0</v>
      </c>
      <c r="H16" t="inlineStr">
        <is>
          <t>0</t>
        </is>
      </c>
      <c r="J16" t="inlineStr">
        <is>
          <t>Final Damage %</t>
        </is>
      </c>
      <c r="K16">
        <f>Sensitivity!H12</f>
        <v/>
      </c>
      <c r="Q16" t="inlineStr">
        <is>
          <t>pocket</t>
        </is>
      </c>
    </row>
    <row r="17">
      <c r="A17" t="inlineStr">
        <is>
          <t>ALL</t>
        </is>
      </c>
      <c r="B17" t="inlineStr">
        <is>
          <t>normal</t>
        </is>
      </c>
      <c r="C17" t="n">
        <v>1</v>
      </c>
      <c r="D17" t="inlineStr">
        <is>
          <t>Luk</t>
        </is>
      </c>
      <c r="E17" t="n">
        <v>50</v>
      </c>
      <c r="F17" t="n">
        <v>9.5</v>
      </c>
      <c r="G17" t="b">
        <v>0</v>
      </c>
      <c r="H17" t="inlineStr">
        <is>
          <t>0</t>
        </is>
      </c>
      <c r="J17" t="inlineStr">
        <is>
          <t>Int</t>
        </is>
      </c>
      <c r="K17" t="inlineStr">
        <is>
          <t>0</t>
        </is>
      </c>
    </row>
    <row r="18">
      <c r="A18" t="inlineStr">
        <is>
          <t>ALL</t>
        </is>
      </c>
      <c r="B18" t="inlineStr">
        <is>
          <t>normal</t>
        </is>
      </c>
      <c r="C18" t="n">
        <v>2</v>
      </c>
      <c r="D18" t="inlineStr">
        <is>
          <t>Critical Rate %</t>
        </is>
      </c>
      <c r="E18" t="n">
        <v>3</v>
      </c>
      <c r="F18" t="n">
        <v>2.5</v>
      </c>
      <c r="G18" t="b">
        <v>0</v>
      </c>
      <c r="H18">
        <f>IF(AND(Inputs!$B$9+Summary!$B$14+Artifacts!$B$32&gt;=100,NOT(ArtifactsInput!$M$42),NOT(ArtifactsInput!$M$24)),Sensitivity!H16,Sensitivity!H15)</f>
        <v/>
      </c>
      <c r="J18" t="inlineStr">
        <is>
          <t>Int %</t>
        </is>
      </c>
      <c r="K18" t="inlineStr">
        <is>
          <t>0</t>
        </is>
      </c>
    </row>
    <row r="19">
      <c r="A19" t="inlineStr">
        <is>
          <t>ALL</t>
        </is>
      </c>
      <c r="B19" t="inlineStr">
        <is>
          <t>normal</t>
        </is>
      </c>
      <c r="C19" t="n">
        <v>2</v>
      </c>
      <c r="D19" t="inlineStr">
        <is>
          <t>Attack Speed %</t>
        </is>
      </c>
      <c r="E19" t="n">
        <v>3</v>
      </c>
      <c r="F19" t="n">
        <v>2.5</v>
      </c>
      <c r="G19" t="b">
        <v>0</v>
      </c>
      <c r="H19">
        <f>Sensitivity!H17</f>
        <v/>
      </c>
      <c r="J19" t="inlineStr">
        <is>
          <t>Luk</t>
        </is>
      </c>
      <c r="K19" t="inlineStr">
        <is>
          <t>0</t>
        </is>
      </c>
    </row>
    <row r="20">
      <c r="A20" t="inlineStr">
        <is>
          <t>ALL</t>
        </is>
      </c>
      <c r="B20" t="inlineStr">
        <is>
          <t>normal</t>
        </is>
      </c>
      <c r="C20" t="n">
        <v>2</v>
      </c>
      <c r="D20" t="inlineStr">
        <is>
          <t>Damage %</t>
        </is>
      </c>
      <c r="E20" t="n">
        <v>5</v>
      </c>
      <c r="F20" t="n">
        <v>4</v>
      </c>
      <c r="G20" t="b">
        <v>0</v>
      </c>
      <c r="H20">
        <f>Sensitivity!H8</f>
        <v/>
      </c>
      <c r="J20" t="inlineStr">
        <is>
          <t>Luk %</t>
        </is>
      </c>
      <c r="K20" t="inlineStr">
        <is>
          <t>0</t>
        </is>
      </c>
    </row>
    <row r="21">
      <c r="A21" t="inlineStr">
        <is>
          <t>ALL</t>
        </is>
      </c>
      <c r="B21" t="inlineStr">
        <is>
          <t>normal</t>
        </is>
      </c>
      <c r="C21" t="n">
        <v>2</v>
      </c>
      <c r="D21" t="inlineStr">
        <is>
          <t>Min Damage Multiplier %</t>
        </is>
      </c>
      <c r="E21" t="n">
        <v>3</v>
      </c>
      <c r="F21" t="n">
        <v>4</v>
      </c>
      <c r="G21" t="b">
        <v>0</v>
      </c>
      <c r="H21">
        <f>Sensitivity!H13</f>
        <v/>
      </c>
      <c r="J21" t="inlineStr">
        <is>
          <t>Main Stat % per 4 Levels</t>
        </is>
      </c>
      <c r="K21">
        <f>Sensitivity!H6*INT(Inputs!$B$3/4)</f>
        <v/>
      </c>
    </row>
    <row r="22">
      <c r="A22" t="inlineStr">
        <is>
          <t>ALL</t>
        </is>
      </c>
      <c r="B22" t="inlineStr">
        <is>
          <t>normal</t>
        </is>
      </c>
      <c r="C22" t="n">
        <v>2</v>
      </c>
      <c r="D22" t="inlineStr">
        <is>
          <t>Max Damage Multiplier %</t>
        </is>
      </c>
      <c r="E22" t="n">
        <v>3</v>
      </c>
      <c r="F22" t="n">
        <v>4</v>
      </c>
      <c r="G22" t="b">
        <v>0</v>
      </c>
      <c r="H22">
        <f>Sensitivity!H14</f>
        <v/>
      </c>
      <c r="J22" t="inlineStr">
        <is>
          <t>Main Stat Per Level</t>
        </is>
      </c>
      <c r="K22">
        <f>Sensitivity!H5*Inputs!$B$3</f>
        <v/>
      </c>
    </row>
    <row r="23">
      <c r="A23" t="inlineStr">
        <is>
          <t>ALL</t>
        </is>
      </c>
      <c r="B23" t="inlineStr">
        <is>
          <t>normal</t>
        </is>
      </c>
      <c r="C23" t="n">
        <v>2</v>
      </c>
      <c r="D23" t="inlineStr">
        <is>
          <t>Str %</t>
        </is>
      </c>
      <c r="E23" t="n">
        <v>3</v>
      </c>
      <c r="F23" t="n">
        <v>4.5</v>
      </c>
      <c r="G23" t="b">
        <v>0</v>
      </c>
      <c r="H23">
        <f>Sensitivity!H7*Inputs!$B$14/100</f>
        <v/>
      </c>
      <c r="J23" t="inlineStr">
        <is>
          <t>Max Damage Multiplier %</t>
        </is>
      </c>
      <c r="K23">
        <f>Sensitivity!H14</f>
        <v/>
      </c>
    </row>
    <row r="24">
      <c r="A24" t="inlineStr">
        <is>
          <t>ALL</t>
        </is>
      </c>
      <c r="B24" t="inlineStr">
        <is>
          <t>normal</t>
        </is>
      </c>
      <c r="C24" t="n">
        <v>2</v>
      </c>
      <c r="D24" t="inlineStr">
        <is>
          <t>Dex %</t>
        </is>
      </c>
      <c r="E24" t="n">
        <v>3</v>
      </c>
      <c r="F24" t="n">
        <v>4.5</v>
      </c>
      <c r="G24" t="b">
        <v>0</v>
      </c>
      <c r="H24">
        <f>Sensitivity!H6</f>
        <v/>
      </c>
      <c r="J24" t="inlineStr">
        <is>
          <t>Max HP %</t>
        </is>
      </c>
      <c r="K24" t="inlineStr">
        <is>
          <t>0</t>
        </is>
      </c>
    </row>
    <row r="25">
      <c r="A25" t="inlineStr">
        <is>
          <t>ALL</t>
        </is>
      </c>
      <c r="B25" t="inlineStr">
        <is>
          <t>normal</t>
        </is>
      </c>
      <c r="C25" t="n">
        <v>2</v>
      </c>
      <c r="D25" t="inlineStr">
        <is>
          <t>Int %</t>
        </is>
      </c>
      <c r="E25" t="n">
        <v>3</v>
      </c>
      <c r="F25" t="n">
        <v>4.5</v>
      </c>
      <c r="G25" t="b">
        <v>0</v>
      </c>
      <c r="H25" t="inlineStr">
        <is>
          <t>0</t>
        </is>
      </c>
      <c r="J25" t="inlineStr">
        <is>
          <t>Max MP %</t>
        </is>
      </c>
      <c r="K25" t="inlineStr">
        <is>
          <t>0</t>
        </is>
      </c>
    </row>
    <row r="26">
      <c r="A26" t="inlineStr">
        <is>
          <t>ALL</t>
        </is>
      </c>
      <c r="B26" t="inlineStr">
        <is>
          <t>normal</t>
        </is>
      </c>
      <c r="C26" t="n">
        <v>2</v>
      </c>
      <c r="D26" t="inlineStr">
        <is>
          <t>Luk %</t>
        </is>
      </c>
      <c r="E26" t="n">
        <v>3</v>
      </c>
      <c r="F26" t="n">
        <v>4.5</v>
      </c>
      <c r="G26" t="b">
        <v>0</v>
      </c>
      <c r="H26" t="inlineStr">
        <is>
          <t>0</t>
        </is>
      </c>
      <c r="J26" t="inlineStr">
        <is>
          <t>Min Damage Multiplier %</t>
        </is>
      </c>
      <c r="K26">
        <f>Sensitivity!H13</f>
        <v/>
      </c>
    </row>
    <row r="27">
      <c r="A27" t="inlineStr">
        <is>
          <t>ALL</t>
        </is>
      </c>
      <c r="B27" t="inlineStr">
        <is>
          <t>normal</t>
        </is>
      </c>
      <c r="C27" t="n">
        <v>2</v>
      </c>
      <c r="D27" t="inlineStr">
        <is>
          <t>Defense %</t>
        </is>
      </c>
      <c r="E27" t="n">
        <v>3</v>
      </c>
      <c r="F27" t="n">
        <v>9</v>
      </c>
      <c r="G27" t="b">
        <v>0</v>
      </c>
      <c r="H27" t="inlineStr">
        <is>
          <t>0</t>
        </is>
      </c>
      <c r="J27" t="inlineStr">
        <is>
          <t>Skill Cooldown Decrease (seconds)</t>
        </is>
      </c>
      <c r="K27">
        <f>Sensitivity!H28</f>
        <v/>
      </c>
    </row>
    <row r="28">
      <c r="A28" t="inlineStr">
        <is>
          <t>ALL</t>
        </is>
      </c>
      <c r="B28" t="inlineStr">
        <is>
          <t>normal</t>
        </is>
      </c>
      <c r="C28" t="n">
        <v>2</v>
      </c>
      <c r="D28" t="inlineStr">
        <is>
          <t>Max HP %</t>
        </is>
      </c>
      <c r="E28" t="n">
        <v>6</v>
      </c>
      <c r="F28" t="n">
        <v>9</v>
      </c>
      <c r="G28" t="b">
        <v>0</v>
      </c>
      <c r="H28" t="inlineStr">
        <is>
          <t>0</t>
        </is>
      </c>
      <c r="J28" t="inlineStr">
        <is>
          <t>Skill Damage %</t>
        </is>
      </c>
      <c r="K28">
        <f>Sensitivity!H20</f>
        <v/>
      </c>
    </row>
    <row r="29">
      <c r="A29" t="inlineStr">
        <is>
          <t>ALL</t>
        </is>
      </c>
      <c r="B29" t="inlineStr">
        <is>
          <t>normal</t>
        </is>
      </c>
      <c r="C29" t="n">
        <v>2</v>
      </c>
      <c r="D29" t="inlineStr">
        <is>
          <t>Max MP %</t>
        </is>
      </c>
      <c r="E29" t="n">
        <v>3</v>
      </c>
      <c r="F29" t="n">
        <v>9</v>
      </c>
      <c r="G29" t="b">
        <v>0</v>
      </c>
      <c r="H29" t="inlineStr">
        <is>
          <t>0</t>
        </is>
      </c>
      <c r="J29" t="inlineStr">
        <is>
          <t>Str</t>
        </is>
      </c>
      <c r="K29">
        <f>Sensitivity!H7</f>
        <v/>
      </c>
    </row>
    <row r="30">
      <c r="A30" t="inlineStr">
        <is>
          <t>ALL</t>
        </is>
      </c>
      <c r="B30" t="inlineStr">
        <is>
          <t>normal</t>
        </is>
      </c>
      <c r="C30" t="n">
        <v>2</v>
      </c>
      <c r="D30" t="inlineStr">
        <is>
          <t>Str</t>
        </is>
      </c>
      <c r="E30" t="n">
        <v>50</v>
      </c>
      <c r="F30" t="n">
        <v>9.5</v>
      </c>
      <c r="G30" t="b">
        <v>0</v>
      </c>
      <c r="H30">
        <f>Sensitivity!H7</f>
        <v/>
      </c>
      <c r="J30" t="inlineStr">
        <is>
          <t>Str %</t>
        </is>
      </c>
      <c r="K30">
        <f>Sensitivity!H7*Inputs!$B$14/100</f>
        <v/>
      </c>
    </row>
    <row r="31">
      <c r="A31" t="inlineStr">
        <is>
          <t>ALL</t>
        </is>
      </c>
      <c r="B31" t="inlineStr">
        <is>
          <t>normal</t>
        </is>
      </c>
      <c r="C31" t="n">
        <v>2</v>
      </c>
      <c r="D31" t="inlineStr">
        <is>
          <t>Dex</t>
        </is>
      </c>
      <c r="E31" t="n">
        <v>50</v>
      </c>
      <c r="F31" t="n">
        <v>9.5</v>
      </c>
      <c r="G31" t="b">
        <v>0</v>
      </c>
      <c r="H31">
        <f>Sensitivity!H5</f>
        <v/>
      </c>
    </row>
    <row r="32">
      <c r="A32" t="inlineStr">
        <is>
          <t>ALL</t>
        </is>
      </c>
      <c r="B32" t="inlineStr">
        <is>
          <t>normal</t>
        </is>
      </c>
      <c r="C32" t="n">
        <v>2</v>
      </c>
      <c r="D32" t="inlineStr">
        <is>
          <t>Int</t>
        </is>
      </c>
      <c r="E32" t="n">
        <v>50</v>
      </c>
      <c r="F32" t="n">
        <v>9.5</v>
      </c>
      <c r="G32" t="b">
        <v>0</v>
      </c>
      <c r="H32" t="inlineStr">
        <is>
          <t>0</t>
        </is>
      </c>
    </row>
    <row r="33">
      <c r="A33" t="inlineStr">
        <is>
          <t>ALL</t>
        </is>
      </c>
      <c r="B33" t="inlineStr">
        <is>
          <t>normal</t>
        </is>
      </c>
      <c r="C33" t="n">
        <v>2</v>
      </c>
      <c r="D33" t="inlineStr">
        <is>
          <t>Luk</t>
        </is>
      </c>
      <c r="E33" t="n">
        <v>50</v>
      </c>
      <c r="F33" t="n">
        <v>9.5</v>
      </c>
      <c r="G33" t="b">
        <v>0</v>
      </c>
      <c r="H33" t="inlineStr">
        <is>
          <t>0</t>
        </is>
      </c>
    </row>
    <row r="34">
      <c r="A34" t="inlineStr">
        <is>
          <t>ALL</t>
        </is>
      </c>
      <c r="B34" t="inlineStr">
        <is>
          <t>normal</t>
        </is>
      </c>
      <c r="C34" t="n">
        <v>3</v>
      </c>
      <c r="D34" t="inlineStr">
        <is>
          <t>Critical Rate %</t>
        </is>
      </c>
      <c r="E34" t="n">
        <v>3</v>
      </c>
      <c r="F34" t="n">
        <v>2.5</v>
      </c>
      <c r="G34" t="b">
        <v>0</v>
      </c>
      <c r="H34">
        <f>IF(AND(Inputs!$B$9+Summary!$B$14+Artifacts!$B$32&gt;=100,NOT(ArtifactsInput!$M$42),NOT(ArtifactsInput!$M$24)),Sensitivity!H16,Sensitivity!H15)</f>
        <v/>
      </c>
    </row>
    <row r="35">
      <c r="A35" t="inlineStr">
        <is>
          <t>ALL</t>
        </is>
      </c>
      <c r="B35" t="inlineStr">
        <is>
          <t>normal</t>
        </is>
      </c>
      <c r="C35" t="n">
        <v>3</v>
      </c>
      <c r="D35" t="inlineStr">
        <is>
          <t>Attack Speed %</t>
        </is>
      </c>
      <c r="E35" t="n">
        <v>3</v>
      </c>
      <c r="F35" t="n">
        <v>2.5</v>
      </c>
      <c r="G35" t="b">
        <v>0</v>
      </c>
      <c r="H35">
        <f>Sensitivity!H17</f>
        <v/>
      </c>
    </row>
    <row r="36">
      <c r="A36" t="inlineStr">
        <is>
          <t>ALL</t>
        </is>
      </c>
      <c r="B36" t="inlineStr">
        <is>
          <t>normal</t>
        </is>
      </c>
      <c r="C36" t="n">
        <v>3</v>
      </c>
      <c r="D36" t="inlineStr">
        <is>
          <t>Damage %</t>
        </is>
      </c>
      <c r="E36" t="n">
        <v>5</v>
      </c>
      <c r="F36" t="n">
        <v>4</v>
      </c>
      <c r="G36" t="b">
        <v>0</v>
      </c>
      <c r="H36">
        <f>Sensitivity!H8</f>
        <v/>
      </c>
    </row>
    <row r="37">
      <c r="A37" t="inlineStr">
        <is>
          <t>ALL</t>
        </is>
      </c>
      <c r="B37" t="inlineStr">
        <is>
          <t>normal</t>
        </is>
      </c>
      <c r="C37" t="n">
        <v>3</v>
      </c>
      <c r="D37" t="inlineStr">
        <is>
          <t>Min Damage Multiplier %</t>
        </is>
      </c>
      <c r="E37" t="n">
        <v>3</v>
      </c>
      <c r="F37" t="n">
        <v>4</v>
      </c>
      <c r="G37" t="b">
        <v>0</v>
      </c>
      <c r="H37">
        <f>Sensitivity!H13</f>
        <v/>
      </c>
    </row>
    <row r="38">
      <c r="A38" t="inlineStr">
        <is>
          <t>ALL</t>
        </is>
      </c>
      <c r="B38" t="inlineStr">
        <is>
          <t>normal</t>
        </is>
      </c>
      <c r="C38" t="n">
        <v>3</v>
      </c>
      <c r="D38" t="inlineStr">
        <is>
          <t>Max Damage Multiplier %</t>
        </is>
      </c>
      <c r="E38" t="n">
        <v>3</v>
      </c>
      <c r="F38" t="n">
        <v>4</v>
      </c>
      <c r="G38" t="b">
        <v>0</v>
      </c>
      <c r="H38">
        <f>Sensitivity!H14</f>
        <v/>
      </c>
    </row>
    <row r="39">
      <c r="A39" t="inlineStr">
        <is>
          <t>ALL</t>
        </is>
      </c>
      <c r="B39" t="inlineStr">
        <is>
          <t>normal</t>
        </is>
      </c>
      <c r="C39" t="n">
        <v>3</v>
      </c>
      <c r="D39" t="inlineStr">
        <is>
          <t>Str %</t>
        </is>
      </c>
      <c r="E39" t="n">
        <v>3</v>
      </c>
      <c r="F39" t="n">
        <v>4.5</v>
      </c>
      <c r="G39" t="b">
        <v>0</v>
      </c>
      <c r="H39">
        <f>Sensitivity!H7*Inputs!$B$14/100</f>
        <v/>
      </c>
    </row>
    <row r="40">
      <c r="A40" t="inlineStr">
        <is>
          <t>ALL</t>
        </is>
      </c>
      <c r="B40" t="inlineStr">
        <is>
          <t>normal</t>
        </is>
      </c>
      <c r="C40" t="n">
        <v>3</v>
      </c>
      <c r="D40" t="inlineStr">
        <is>
          <t>Dex %</t>
        </is>
      </c>
      <c r="E40" t="n">
        <v>3</v>
      </c>
      <c r="F40" t="n">
        <v>4.5</v>
      </c>
      <c r="G40" t="b">
        <v>0</v>
      </c>
      <c r="H40">
        <f>Sensitivity!H6</f>
        <v/>
      </c>
    </row>
    <row r="41">
      <c r="A41" t="inlineStr">
        <is>
          <t>ALL</t>
        </is>
      </c>
      <c r="B41" t="inlineStr">
        <is>
          <t>normal</t>
        </is>
      </c>
      <c r="C41" t="n">
        <v>3</v>
      </c>
      <c r="D41" t="inlineStr">
        <is>
          <t>Int %</t>
        </is>
      </c>
      <c r="E41" t="n">
        <v>3</v>
      </c>
      <c r="F41" t="n">
        <v>4.5</v>
      </c>
      <c r="G41" t="b">
        <v>0</v>
      </c>
      <c r="H41" t="inlineStr">
        <is>
          <t>0</t>
        </is>
      </c>
    </row>
    <row r="42">
      <c r="A42" t="inlineStr">
        <is>
          <t>ALL</t>
        </is>
      </c>
      <c r="B42" t="inlineStr">
        <is>
          <t>normal</t>
        </is>
      </c>
      <c r="C42" t="n">
        <v>3</v>
      </c>
      <c r="D42" t="inlineStr">
        <is>
          <t>Luk %</t>
        </is>
      </c>
      <c r="E42" t="n">
        <v>3</v>
      </c>
      <c r="F42" t="n">
        <v>4.5</v>
      </c>
      <c r="G42" t="b">
        <v>0</v>
      </c>
      <c r="H42" t="inlineStr">
        <is>
          <t>0</t>
        </is>
      </c>
    </row>
    <row r="43">
      <c r="A43" t="inlineStr">
        <is>
          <t>ALL</t>
        </is>
      </c>
      <c r="B43" t="inlineStr">
        <is>
          <t>normal</t>
        </is>
      </c>
      <c r="C43" t="n">
        <v>3</v>
      </c>
      <c r="D43" t="inlineStr">
        <is>
          <t>Defense %</t>
        </is>
      </c>
      <c r="E43" t="n">
        <v>3</v>
      </c>
      <c r="F43" t="n">
        <v>9</v>
      </c>
      <c r="G43" t="b">
        <v>0</v>
      </c>
      <c r="H43" t="inlineStr">
        <is>
          <t>0</t>
        </is>
      </c>
    </row>
    <row r="44">
      <c r="A44" t="inlineStr">
        <is>
          <t>ALL</t>
        </is>
      </c>
      <c r="B44" t="inlineStr">
        <is>
          <t>normal</t>
        </is>
      </c>
      <c r="C44" t="n">
        <v>3</v>
      </c>
      <c r="D44" t="inlineStr">
        <is>
          <t>Max HP %</t>
        </is>
      </c>
      <c r="E44" t="n">
        <v>6</v>
      </c>
      <c r="F44" t="n">
        <v>9</v>
      </c>
      <c r="G44" t="b">
        <v>0</v>
      </c>
      <c r="H44" t="inlineStr">
        <is>
          <t>0</t>
        </is>
      </c>
    </row>
    <row r="45">
      <c r="A45" t="inlineStr">
        <is>
          <t>ALL</t>
        </is>
      </c>
      <c r="B45" t="inlineStr">
        <is>
          <t>normal</t>
        </is>
      </c>
      <c r="C45" t="n">
        <v>3</v>
      </c>
      <c r="D45" t="inlineStr">
        <is>
          <t>Max MP %</t>
        </is>
      </c>
      <c r="E45" t="n">
        <v>3</v>
      </c>
      <c r="F45" t="n">
        <v>9</v>
      </c>
      <c r="G45" t="b">
        <v>0</v>
      </c>
      <c r="H45" t="inlineStr">
        <is>
          <t>0</t>
        </is>
      </c>
    </row>
    <row r="46">
      <c r="A46" t="inlineStr">
        <is>
          <t>ALL</t>
        </is>
      </c>
      <c r="B46" t="inlineStr">
        <is>
          <t>normal</t>
        </is>
      </c>
      <c r="C46" t="n">
        <v>3</v>
      </c>
      <c r="D46" t="inlineStr">
        <is>
          <t>Str</t>
        </is>
      </c>
      <c r="E46" t="n">
        <v>50</v>
      </c>
      <c r="F46" t="n">
        <v>9.5</v>
      </c>
      <c r="G46" t="b">
        <v>0</v>
      </c>
      <c r="H46">
        <f>Sensitivity!H7</f>
        <v/>
      </c>
    </row>
    <row r="47">
      <c r="A47" t="inlineStr">
        <is>
          <t>ALL</t>
        </is>
      </c>
      <c r="B47" t="inlineStr">
        <is>
          <t>normal</t>
        </is>
      </c>
      <c r="C47" t="n">
        <v>3</v>
      </c>
      <c r="D47" t="inlineStr">
        <is>
          <t>Dex</t>
        </is>
      </c>
      <c r="E47" t="n">
        <v>50</v>
      </c>
      <c r="F47" t="n">
        <v>9.5</v>
      </c>
      <c r="G47" t="b">
        <v>0</v>
      </c>
      <c r="H47">
        <f>Sensitivity!H5</f>
        <v/>
      </c>
    </row>
    <row r="48">
      <c r="A48" t="inlineStr">
        <is>
          <t>ALL</t>
        </is>
      </c>
      <c r="B48" t="inlineStr">
        <is>
          <t>normal</t>
        </is>
      </c>
      <c r="C48" t="n">
        <v>3</v>
      </c>
      <c r="D48" t="inlineStr">
        <is>
          <t>Int</t>
        </is>
      </c>
      <c r="E48" t="n">
        <v>50</v>
      </c>
      <c r="F48" t="n">
        <v>9.5</v>
      </c>
      <c r="G48" t="b">
        <v>0</v>
      </c>
      <c r="H48" t="inlineStr">
        <is>
          <t>0</t>
        </is>
      </c>
    </row>
    <row r="49">
      <c r="A49" t="inlineStr">
        <is>
          <t>ALL</t>
        </is>
      </c>
      <c r="B49" t="inlineStr">
        <is>
          <t>normal</t>
        </is>
      </c>
      <c r="C49" t="n">
        <v>3</v>
      </c>
      <c r="D49" t="inlineStr">
        <is>
          <t>Luk</t>
        </is>
      </c>
      <c r="E49" t="n">
        <v>50</v>
      </c>
      <c r="F49" t="n">
        <v>9.5</v>
      </c>
      <c r="G49" t="b">
        <v>0</v>
      </c>
      <c r="H49" t="inlineStr">
        <is>
          <t>0</t>
        </is>
      </c>
    </row>
    <row r="50">
      <c r="A50" t="inlineStr">
        <is>
          <t>ALL</t>
        </is>
      </c>
      <c r="B50" t="inlineStr">
        <is>
          <t>rare</t>
        </is>
      </c>
      <c r="C50" t="n">
        <v>1</v>
      </c>
      <c r="D50" t="inlineStr">
        <is>
          <t>Critical Rate %</t>
        </is>
      </c>
      <c r="E50" t="n">
        <v>4.5</v>
      </c>
      <c r="F50" t="n">
        <v>2.5</v>
      </c>
      <c r="G50" t="b">
        <v>1</v>
      </c>
      <c r="H50">
        <f>IF(AND(Inputs!$B$9+Summary!$B$14+Artifacts!$B$32&gt;=100,NOT(ArtifactsInput!$M$42),NOT(ArtifactsInput!$M$24)),Sensitivity!H16,Sensitivity!H15)</f>
        <v/>
      </c>
    </row>
    <row r="51">
      <c r="A51" t="inlineStr">
        <is>
          <t>ALL</t>
        </is>
      </c>
      <c r="B51" t="inlineStr">
        <is>
          <t>rare</t>
        </is>
      </c>
      <c r="C51" t="n">
        <v>1</v>
      </c>
      <c r="D51" t="inlineStr">
        <is>
          <t>Attack Speed %</t>
        </is>
      </c>
      <c r="E51" t="n">
        <v>3.5</v>
      </c>
      <c r="F51" t="n">
        <v>2.5</v>
      </c>
      <c r="G51" t="b">
        <v>1</v>
      </c>
      <c r="H51">
        <f>Sensitivity!H17</f>
        <v/>
      </c>
    </row>
    <row r="52">
      <c r="A52" t="inlineStr">
        <is>
          <t>ALL</t>
        </is>
      </c>
      <c r="B52" t="inlineStr">
        <is>
          <t>rare</t>
        </is>
      </c>
      <c r="C52" t="n">
        <v>1</v>
      </c>
      <c r="D52" t="inlineStr">
        <is>
          <t>Damage %</t>
        </is>
      </c>
      <c r="E52" t="n">
        <v>8</v>
      </c>
      <c r="F52" t="n">
        <v>4</v>
      </c>
      <c r="G52" t="b">
        <v>1</v>
      </c>
      <c r="H52">
        <f>Sensitivity!H8</f>
        <v/>
      </c>
    </row>
    <row r="53">
      <c r="A53" t="inlineStr">
        <is>
          <t>ALL</t>
        </is>
      </c>
      <c r="B53" t="inlineStr">
        <is>
          <t>rare</t>
        </is>
      </c>
      <c r="C53" t="n">
        <v>1</v>
      </c>
      <c r="D53" t="inlineStr">
        <is>
          <t>Min Damage Multiplier %</t>
        </is>
      </c>
      <c r="E53" t="n">
        <v>6</v>
      </c>
      <c r="F53" t="n">
        <v>4</v>
      </c>
      <c r="G53" t="b">
        <v>1</v>
      </c>
      <c r="H53">
        <f>Sensitivity!H13</f>
        <v/>
      </c>
    </row>
    <row r="54">
      <c r="A54" t="inlineStr">
        <is>
          <t>ALL</t>
        </is>
      </c>
      <c r="B54" t="inlineStr">
        <is>
          <t>rare</t>
        </is>
      </c>
      <c r="C54" t="n">
        <v>1</v>
      </c>
      <c r="D54" t="inlineStr">
        <is>
          <t>Max Damage Multiplier %</t>
        </is>
      </c>
      <c r="E54" t="n">
        <v>6</v>
      </c>
      <c r="F54" t="n">
        <v>4</v>
      </c>
      <c r="G54" t="b">
        <v>1</v>
      </c>
      <c r="H54">
        <f>Sensitivity!H14</f>
        <v/>
      </c>
    </row>
    <row r="55">
      <c r="A55" t="inlineStr">
        <is>
          <t>ALL</t>
        </is>
      </c>
      <c r="B55" t="inlineStr">
        <is>
          <t>rare</t>
        </is>
      </c>
      <c r="C55" t="n">
        <v>1</v>
      </c>
      <c r="D55" t="inlineStr">
        <is>
          <t>Str %</t>
        </is>
      </c>
      <c r="E55" t="n">
        <v>4.5</v>
      </c>
      <c r="F55" t="n">
        <v>4.5</v>
      </c>
      <c r="G55" t="b">
        <v>1</v>
      </c>
      <c r="H55">
        <f>Sensitivity!H7*Inputs!$B$14/100</f>
        <v/>
      </c>
    </row>
    <row r="56">
      <c r="A56" t="inlineStr">
        <is>
          <t>ALL</t>
        </is>
      </c>
      <c r="B56" t="inlineStr">
        <is>
          <t>rare</t>
        </is>
      </c>
      <c r="C56" t="n">
        <v>1</v>
      </c>
      <c r="D56" t="inlineStr">
        <is>
          <t>Dex %</t>
        </is>
      </c>
      <c r="E56" t="n">
        <v>4.5</v>
      </c>
      <c r="F56" t="n">
        <v>4.5</v>
      </c>
      <c r="G56" t="b">
        <v>1</v>
      </c>
      <c r="H56">
        <f>Sensitivity!H6</f>
        <v/>
      </c>
    </row>
    <row r="57">
      <c r="A57" t="inlineStr">
        <is>
          <t>ALL</t>
        </is>
      </c>
      <c r="B57" t="inlineStr">
        <is>
          <t>rare</t>
        </is>
      </c>
      <c r="C57" t="n">
        <v>1</v>
      </c>
      <c r="D57" t="inlineStr">
        <is>
          <t>Int %</t>
        </is>
      </c>
      <c r="E57" t="n">
        <v>4.5</v>
      </c>
      <c r="F57" t="n">
        <v>4.5</v>
      </c>
      <c r="G57" t="b">
        <v>1</v>
      </c>
      <c r="H57" t="inlineStr">
        <is>
          <t>0</t>
        </is>
      </c>
    </row>
    <row r="58">
      <c r="A58" t="inlineStr">
        <is>
          <t>ALL</t>
        </is>
      </c>
      <c r="B58" t="inlineStr">
        <is>
          <t>rare</t>
        </is>
      </c>
      <c r="C58" t="n">
        <v>1</v>
      </c>
      <c r="D58" t="inlineStr">
        <is>
          <t>Luk %</t>
        </is>
      </c>
      <c r="E58" t="n">
        <v>4.5</v>
      </c>
      <c r="F58" t="n">
        <v>4.5</v>
      </c>
      <c r="G58" t="b">
        <v>1</v>
      </c>
      <c r="H58" t="inlineStr">
        <is>
          <t>0</t>
        </is>
      </c>
    </row>
    <row r="59">
      <c r="A59" t="inlineStr">
        <is>
          <t>ALL</t>
        </is>
      </c>
      <c r="B59" t="inlineStr">
        <is>
          <t>rare</t>
        </is>
      </c>
      <c r="C59" t="n">
        <v>1</v>
      </c>
      <c r="D59" t="inlineStr">
        <is>
          <t>Defense %</t>
        </is>
      </c>
      <c r="E59" t="n">
        <v>4.5</v>
      </c>
      <c r="F59" t="n">
        <v>9</v>
      </c>
      <c r="G59" t="b">
        <v>1</v>
      </c>
      <c r="H59" t="inlineStr">
        <is>
          <t>0</t>
        </is>
      </c>
    </row>
    <row r="60">
      <c r="A60" t="inlineStr">
        <is>
          <t>ALL</t>
        </is>
      </c>
      <c r="B60" t="inlineStr">
        <is>
          <t>rare</t>
        </is>
      </c>
      <c r="C60" t="n">
        <v>1</v>
      </c>
      <c r="D60" t="inlineStr">
        <is>
          <t>Max HP %</t>
        </is>
      </c>
      <c r="E60" t="n">
        <v>9</v>
      </c>
      <c r="F60" t="n">
        <v>9</v>
      </c>
      <c r="G60" t="b">
        <v>1</v>
      </c>
      <c r="H60" t="inlineStr">
        <is>
          <t>0</t>
        </is>
      </c>
    </row>
    <row r="61">
      <c r="A61" t="inlineStr">
        <is>
          <t>ALL</t>
        </is>
      </c>
      <c r="B61" t="inlineStr">
        <is>
          <t>rare</t>
        </is>
      </c>
      <c r="C61" t="n">
        <v>1</v>
      </c>
      <c r="D61" t="inlineStr">
        <is>
          <t>Max MP %</t>
        </is>
      </c>
      <c r="E61" t="n">
        <v>4.5</v>
      </c>
      <c r="F61" t="n">
        <v>9</v>
      </c>
      <c r="G61" t="b">
        <v>1</v>
      </c>
      <c r="H61" t="inlineStr">
        <is>
          <t>0</t>
        </is>
      </c>
    </row>
    <row r="62">
      <c r="A62" t="inlineStr">
        <is>
          <t>ALL</t>
        </is>
      </c>
      <c r="B62" t="inlineStr">
        <is>
          <t>rare</t>
        </is>
      </c>
      <c r="C62" t="n">
        <v>1</v>
      </c>
      <c r="D62" t="inlineStr">
        <is>
          <t>Str</t>
        </is>
      </c>
      <c r="E62" t="n">
        <v>100</v>
      </c>
      <c r="F62" t="n">
        <v>9.5</v>
      </c>
      <c r="G62" t="b">
        <v>1</v>
      </c>
      <c r="H62">
        <f>Sensitivity!H7</f>
        <v/>
      </c>
    </row>
    <row r="63">
      <c r="A63" t="inlineStr">
        <is>
          <t>ALL</t>
        </is>
      </c>
      <c r="B63" t="inlineStr">
        <is>
          <t>rare</t>
        </is>
      </c>
      <c r="C63" t="n">
        <v>1</v>
      </c>
      <c r="D63" t="inlineStr">
        <is>
          <t>Dex</t>
        </is>
      </c>
      <c r="E63" t="n">
        <v>100</v>
      </c>
      <c r="F63" t="n">
        <v>9.5</v>
      </c>
      <c r="G63" t="b">
        <v>1</v>
      </c>
      <c r="H63">
        <f>Sensitivity!H5</f>
        <v/>
      </c>
    </row>
    <row r="64">
      <c r="A64" t="inlineStr">
        <is>
          <t>ALL</t>
        </is>
      </c>
      <c r="B64" t="inlineStr">
        <is>
          <t>rare</t>
        </is>
      </c>
      <c r="C64" t="n">
        <v>1</v>
      </c>
      <c r="D64" t="inlineStr">
        <is>
          <t>Int</t>
        </is>
      </c>
      <c r="E64" t="n">
        <v>100</v>
      </c>
      <c r="F64" t="n">
        <v>9.5</v>
      </c>
      <c r="G64" t="b">
        <v>1</v>
      </c>
      <c r="H64" t="inlineStr">
        <is>
          <t>0</t>
        </is>
      </c>
    </row>
    <row r="65">
      <c r="A65" t="inlineStr">
        <is>
          <t>ALL</t>
        </is>
      </c>
      <c r="B65" t="inlineStr">
        <is>
          <t>rare</t>
        </is>
      </c>
      <c r="C65" t="n">
        <v>1</v>
      </c>
      <c r="D65" t="inlineStr">
        <is>
          <t>Luk</t>
        </is>
      </c>
      <c r="E65" t="n">
        <v>100</v>
      </c>
      <c r="F65" t="n">
        <v>9.5</v>
      </c>
      <c r="G65" t="b">
        <v>1</v>
      </c>
      <c r="H65" t="inlineStr">
        <is>
          <t>0</t>
        </is>
      </c>
    </row>
    <row r="66">
      <c r="A66" t="inlineStr">
        <is>
          <t>ALL</t>
        </is>
      </c>
      <c r="B66" t="inlineStr">
        <is>
          <t>rare</t>
        </is>
      </c>
      <c r="C66" t="n">
        <v>2</v>
      </c>
      <c r="D66" t="inlineStr">
        <is>
          <t>Critical Rate %</t>
        </is>
      </c>
      <c r="E66" t="n">
        <v>3</v>
      </c>
      <c r="F66" t="n">
        <v>1.9</v>
      </c>
      <c r="G66" t="b">
        <v>0</v>
      </c>
      <c r="H66">
        <f>IF(AND(Inputs!$B$9+Summary!$B$14+Artifacts!$B$32&gt;=100,NOT(ArtifactsInput!$M$42),NOT(ArtifactsInput!$M$24)),Sensitivity!H16,Sensitivity!H15)</f>
        <v/>
      </c>
    </row>
    <row r="67">
      <c r="A67" t="inlineStr">
        <is>
          <t>ALL</t>
        </is>
      </c>
      <c r="B67" t="inlineStr">
        <is>
          <t>rare</t>
        </is>
      </c>
      <c r="C67" t="n">
        <v>2</v>
      </c>
      <c r="D67" t="inlineStr">
        <is>
          <t>Critical Rate %</t>
        </is>
      </c>
      <c r="E67" t="n">
        <v>4.5</v>
      </c>
      <c r="F67" t="n">
        <v>0.6</v>
      </c>
      <c r="G67" t="b">
        <v>1</v>
      </c>
      <c r="H67">
        <f>IF(AND(Inputs!$B$9+Summary!$B$14+Artifacts!$B$32&gt;=100,NOT(ArtifactsInput!$M$42),NOT(ArtifactsInput!$M$24)),Sensitivity!H16,Sensitivity!H15)</f>
        <v/>
      </c>
    </row>
    <row r="68">
      <c r="A68" t="inlineStr">
        <is>
          <t>ALL</t>
        </is>
      </c>
      <c r="B68" t="inlineStr">
        <is>
          <t>rare</t>
        </is>
      </c>
      <c r="C68" t="n">
        <v>2</v>
      </c>
      <c r="D68" t="inlineStr">
        <is>
          <t>Attack Speed %</t>
        </is>
      </c>
      <c r="E68" t="n">
        <v>3</v>
      </c>
      <c r="F68" t="n">
        <v>1.9</v>
      </c>
      <c r="G68" t="b">
        <v>0</v>
      </c>
      <c r="H68">
        <f>Sensitivity!H17</f>
        <v/>
      </c>
    </row>
    <row r="69">
      <c r="A69" t="inlineStr">
        <is>
          <t>ALL</t>
        </is>
      </c>
      <c r="B69" t="inlineStr">
        <is>
          <t>rare</t>
        </is>
      </c>
      <c r="C69" t="n">
        <v>2</v>
      </c>
      <c r="D69" t="inlineStr">
        <is>
          <t>Attack Speed %</t>
        </is>
      </c>
      <c r="E69" t="n">
        <v>3.5</v>
      </c>
      <c r="F69" t="n">
        <v>0.6</v>
      </c>
      <c r="G69" t="b">
        <v>1</v>
      </c>
      <c r="H69">
        <f>Sensitivity!H17</f>
        <v/>
      </c>
    </row>
    <row r="70">
      <c r="A70" t="inlineStr">
        <is>
          <t>ALL</t>
        </is>
      </c>
      <c r="B70" t="inlineStr">
        <is>
          <t>rare</t>
        </is>
      </c>
      <c r="C70" t="n">
        <v>2</v>
      </c>
      <c r="D70" t="inlineStr">
        <is>
          <t>Damage %</t>
        </is>
      </c>
      <c r="E70" t="n">
        <v>5</v>
      </c>
      <c r="F70" t="n">
        <v>3.04</v>
      </c>
      <c r="G70" t="b">
        <v>0</v>
      </c>
      <c r="H70">
        <f>Sensitivity!H8</f>
        <v/>
      </c>
    </row>
    <row r="71">
      <c r="A71" t="inlineStr">
        <is>
          <t>ALL</t>
        </is>
      </c>
      <c r="B71" t="inlineStr">
        <is>
          <t>rare</t>
        </is>
      </c>
      <c r="C71" t="n">
        <v>2</v>
      </c>
      <c r="D71" t="inlineStr">
        <is>
          <t>Damage %</t>
        </is>
      </c>
      <c r="E71" t="n">
        <v>8</v>
      </c>
      <c r="F71" t="n">
        <v>0.96</v>
      </c>
      <c r="G71" t="b">
        <v>1</v>
      </c>
      <c r="H71">
        <f>Sensitivity!H8</f>
        <v/>
      </c>
    </row>
    <row r="72">
      <c r="A72" t="inlineStr">
        <is>
          <t>ALL</t>
        </is>
      </c>
      <c r="B72" t="inlineStr">
        <is>
          <t>rare</t>
        </is>
      </c>
      <c r="C72" t="n">
        <v>2</v>
      </c>
      <c r="D72" t="inlineStr">
        <is>
          <t>Min Damage Multiplier %</t>
        </is>
      </c>
      <c r="E72" t="n">
        <v>3</v>
      </c>
      <c r="F72" t="n">
        <v>3.04</v>
      </c>
      <c r="G72" t="b">
        <v>0</v>
      </c>
      <c r="H72">
        <f>Sensitivity!H13</f>
        <v/>
      </c>
    </row>
    <row r="73">
      <c r="A73" t="inlineStr">
        <is>
          <t>ALL</t>
        </is>
      </c>
      <c r="B73" t="inlineStr">
        <is>
          <t>rare</t>
        </is>
      </c>
      <c r="C73" t="n">
        <v>2</v>
      </c>
      <c r="D73" t="inlineStr">
        <is>
          <t>Min Damage Multiplier %</t>
        </is>
      </c>
      <c r="E73" t="n">
        <v>6</v>
      </c>
      <c r="F73" t="n">
        <v>0.96</v>
      </c>
      <c r="G73" t="b">
        <v>1</v>
      </c>
      <c r="H73">
        <f>Sensitivity!H13</f>
        <v/>
      </c>
    </row>
    <row r="74">
      <c r="A74" t="inlineStr">
        <is>
          <t>ALL</t>
        </is>
      </c>
      <c r="B74" t="inlineStr">
        <is>
          <t>rare</t>
        </is>
      </c>
      <c r="C74" t="n">
        <v>2</v>
      </c>
      <c r="D74" t="inlineStr">
        <is>
          <t>Max Damage Multiplier %</t>
        </is>
      </c>
      <c r="E74" t="n">
        <v>3</v>
      </c>
      <c r="F74" t="n">
        <v>3.04</v>
      </c>
      <c r="G74" t="b">
        <v>0</v>
      </c>
      <c r="H74">
        <f>Sensitivity!H14</f>
        <v/>
      </c>
    </row>
    <row r="75">
      <c r="A75" t="inlineStr">
        <is>
          <t>ALL</t>
        </is>
      </c>
      <c r="B75" t="inlineStr">
        <is>
          <t>rare</t>
        </is>
      </c>
      <c r="C75" t="n">
        <v>2</v>
      </c>
      <c r="D75" t="inlineStr">
        <is>
          <t>Max Damage Multiplier %</t>
        </is>
      </c>
      <c r="E75" t="n">
        <v>6</v>
      </c>
      <c r="F75" t="n">
        <v>0.96</v>
      </c>
      <c r="G75" t="b">
        <v>1</v>
      </c>
      <c r="H75">
        <f>Sensitivity!H14</f>
        <v/>
      </c>
    </row>
    <row r="76">
      <c r="A76" t="inlineStr">
        <is>
          <t>ALL</t>
        </is>
      </c>
      <c r="B76" t="inlineStr">
        <is>
          <t>rare</t>
        </is>
      </c>
      <c r="C76" t="n">
        <v>2</v>
      </c>
      <c r="D76" t="inlineStr">
        <is>
          <t>Str %</t>
        </is>
      </c>
      <c r="E76" t="n">
        <v>3</v>
      </c>
      <c r="F76" t="n">
        <v>3.42</v>
      </c>
      <c r="G76" t="b">
        <v>0</v>
      </c>
      <c r="H76">
        <f>Sensitivity!H7*Inputs!$B$14/100</f>
        <v/>
      </c>
    </row>
    <row r="77">
      <c r="A77" t="inlineStr">
        <is>
          <t>ALL</t>
        </is>
      </c>
      <c r="B77" t="inlineStr">
        <is>
          <t>rare</t>
        </is>
      </c>
      <c r="C77" t="n">
        <v>2</v>
      </c>
      <c r="D77" t="inlineStr">
        <is>
          <t>Str %</t>
        </is>
      </c>
      <c r="E77" t="n">
        <v>4.5</v>
      </c>
      <c r="F77" t="n">
        <v>1.08</v>
      </c>
      <c r="G77" t="b">
        <v>1</v>
      </c>
      <c r="H77">
        <f>Sensitivity!H7*Inputs!$B$14/100</f>
        <v/>
      </c>
    </row>
    <row r="78">
      <c r="A78" t="inlineStr">
        <is>
          <t>ALL</t>
        </is>
      </c>
      <c r="B78" t="inlineStr">
        <is>
          <t>rare</t>
        </is>
      </c>
      <c r="C78" t="n">
        <v>2</v>
      </c>
      <c r="D78" t="inlineStr">
        <is>
          <t>Dex %</t>
        </is>
      </c>
      <c r="E78" t="n">
        <v>3</v>
      </c>
      <c r="F78" t="n">
        <v>3.42</v>
      </c>
      <c r="G78" t="b">
        <v>0</v>
      </c>
      <c r="H78">
        <f>Sensitivity!H6</f>
        <v/>
      </c>
    </row>
    <row r="79">
      <c r="A79" t="inlineStr">
        <is>
          <t>ALL</t>
        </is>
      </c>
      <c r="B79" t="inlineStr">
        <is>
          <t>rare</t>
        </is>
      </c>
      <c r="C79" t="n">
        <v>2</v>
      </c>
      <c r="D79" t="inlineStr">
        <is>
          <t>Dex %</t>
        </is>
      </c>
      <c r="E79" t="n">
        <v>4.5</v>
      </c>
      <c r="F79" t="n">
        <v>1.08</v>
      </c>
      <c r="G79" t="b">
        <v>1</v>
      </c>
      <c r="H79">
        <f>Sensitivity!H6</f>
        <v/>
      </c>
    </row>
    <row r="80">
      <c r="A80" t="inlineStr">
        <is>
          <t>ALL</t>
        </is>
      </c>
      <c r="B80" t="inlineStr">
        <is>
          <t>rare</t>
        </is>
      </c>
      <c r="C80" t="n">
        <v>2</v>
      </c>
      <c r="D80" t="inlineStr">
        <is>
          <t>Int %</t>
        </is>
      </c>
      <c r="E80" t="n">
        <v>3</v>
      </c>
      <c r="F80" t="n">
        <v>3.42</v>
      </c>
      <c r="G80" t="b">
        <v>0</v>
      </c>
      <c r="H80" t="inlineStr">
        <is>
          <t>0</t>
        </is>
      </c>
    </row>
    <row r="81">
      <c r="A81" t="inlineStr">
        <is>
          <t>ALL</t>
        </is>
      </c>
      <c r="B81" t="inlineStr">
        <is>
          <t>rare</t>
        </is>
      </c>
      <c r="C81" t="n">
        <v>2</v>
      </c>
      <c r="D81" t="inlineStr">
        <is>
          <t>Int %</t>
        </is>
      </c>
      <c r="E81" t="n">
        <v>4.5</v>
      </c>
      <c r="F81" t="n">
        <v>1.08</v>
      </c>
      <c r="G81" t="b">
        <v>1</v>
      </c>
      <c r="H81" t="inlineStr">
        <is>
          <t>0</t>
        </is>
      </c>
    </row>
    <row r="82">
      <c r="A82" t="inlineStr">
        <is>
          <t>ALL</t>
        </is>
      </c>
      <c r="B82" t="inlineStr">
        <is>
          <t>rare</t>
        </is>
      </c>
      <c r="C82" t="n">
        <v>2</v>
      </c>
      <c r="D82" t="inlineStr">
        <is>
          <t>Luk %</t>
        </is>
      </c>
      <c r="E82" t="n">
        <v>3</v>
      </c>
      <c r="F82" t="n">
        <v>3.42</v>
      </c>
      <c r="G82" t="b">
        <v>0</v>
      </c>
      <c r="H82" t="inlineStr">
        <is>
          <t>0</t>
        </is>
      </c>
    </row>
    <row r="83">
      <c r="A83" t="inlineStr">
        <is>
          <t>ALL</t>
        </is>
      </c>
      <c r="B83" t="inlineStr">
        <is>
          <t>rare</t>
        </is>
      </c>
      <c r="C83" t="n">
        <v>2</v>
      </c>
      <c r="D83" t="inlineStr">
        <is>
          <t>Luk %</t>
        </is>
      </c>
      <c r="E83" t="n">
        <v>4.5</v>
      </c>
      <c r="F83" t="n">
        <v>1.08</v>
      </c>
      <c r="G83" t="b">
        <v>1</v>
      </c>
      <c r="H83" t="inlineStr">
        <is>
          <t>0</t>
        </is>
      </c>
    </row>
    <row r="84">
      <c r="A84" t="inlineStr">
        <is>
          <t>ALL</t>
        </is>
      </c>
      <c r="B84" t="inlineStr">
        <is>
          <t>rare</t>
        </is>
      </c>
      <c r="C84" t="n">
        <v>2</v>
      </c>
      <c r="D84" t="inlineStr">
        <is>
          <t>Defense %</t>
        </is>
      </c>
      <c r="E84" t="n">
        <v>3</v>
      </c>
      <c r="F84" t="n">
        <v>6.84</v>
      </c>
      <c r="G84" t="b">
        <v>0</v>
      </c>
      <c r="H84" t="inlineStr">
        <is>
          <t>0</t>
        </is>
      </c>
    </row>
    <row r="85">
      <c r="A85" t="inlineStr">
        <is>
          <t>ALL</t>
        </is>
      </c>
      <c r="B85" t="inlineStr">
        <is>
          <t>rare</t>
        </is>
      </c>
      <c r="C85" t="n">
        <v>2</v>
      </c>
      <c r="D85" t="inlineStr">
        <is>
          <t>Defense %</t>
        </is>
      </c>
      <c r="E85" t="n">
        <v>4.5</v>
      </c>
      <c r="F85" t="n">
        <v>2.16</v>
      </c>
      <c r="G85" t="b">
        <v>1</v>
      </c>
      <c r="H85" t="inlineStr">
        <is>
          <t>0</t>
        </is>
      </c>
    </row>
    <row r="86">
      <c r="A86" t="inlineStr">
        <is>
          <t>ALL</t>
        </is>
      </c>
      <c r="B86" t="inlineStr">
        <is>
          <t>rare</t>
        </is>
      </c>
      <c r="C86" t="n">
        <v>2</v>
      </c>
      <c r="D86" t="inlineStr">
        <is>
          <t>Max HP %</t>
        </is>
      </c>
      <c r="E86" t="n">
        <v>6</v>
      </c>
      <c r="F86" t="n">
        <v>6.84</v>
      </c>
      <c r="G86" t="b">
        <v>0</v>
      </c>
      <c r="H86" t="inlineStr">
        <is>
          <t>0</t>
        </is>
      </c>
    </row>
    <row r="87">
      <c r="A87" t="inlineStr">
        <is>
          <t>ALL</t>
        </is>
      </c>
      <c r="B87" t="inlineStr">
        <is>
          <t>rare</t>
        </is>
      </c>
      <c r="C87" t="n">
        <v>2</v>
      </c>
      <c r="D87" t="inlineStr">
        <is>
          <t>Max HP %</t>
        </is>
      </c>
      <c r="E87" t="n">
        <v>9</v>
      </c>
      <c r="F87" t="n">
        <v>2.16</v>
      </c>
      <c r="G87" t="b">
        <v>1</v>
      </c>
      <c r="H87" t="inlineStr">
        <is>
          <t>0</t>
        </is>
      </c>
    </row>
    <row r="88">
      <c r="A88" t="inlineStr">
        <is>
          <t>ALL</t>
        </is>
      </c>
      <c r="B88" t="inlineStr">
        <is>
          <t>rare</t>
        </is>
      </c>
      <c r="C88" t="n">
        <v>2</v>
      </c>
      <c r="D88" t="inlineStr">
        <is>
          <t>Max MP %</t>
        </is>
      </c>
      <c r="E88" t="n">
        <v>3</v>
      </c>
      <c r="F88" t="n">
        <v>6.84</v>
      </c>
      <c r="G88" t="b">
        <v>0</v>
      </c>
      <c r="H88" t="inlineStr">
        <is>
          <t>0</t>
        </is>
      </c>
    </row>
    <row r="89">
      <c r="A89" t="inlineStr">
        <is>
          <t>ALL</t>
        </is>
      </c>
      <c r="B89" t="inlineStr">
        <is>
          <t>rare</t>
        </is>
      </c>
      <c r="C89" t="n">
        <v>2</v>
      </c>
      <c r="D89" t="inlineStr">
        <is>
          <t>Max MP %</t>
        </is>
      </c>
      <c r="E89" t="n">
        <v>4.5</v>
      </c>
      <c r="F89" t="n">
        <v>2.16</v>
      </c>
      <c r="G89" t="b">
        <v>1</v>
      </c>
      <c r="H89" t="inlineStr">
        <is>
          <t>0</t>
        </is>
      </c>
    </row>
    <row r="90">
      <c r="A90" t="inlineStr">
        <is>
          <t>ALL</t>
        </is>
      </c>
      <c r="B90" t="inlineStr">
        <is>
          <t>rare</t>
        </is>
      </c>
      <c r="C90" t="n">
        <v>2</v>
      </c>
      <c r="D90" t="inlineStr">
        <is>
          <t>Str</t>
        </is>
      </c>
      <c r="E90" t="n">
        <v>50</v>
      </c>
      <c r="F90" t="n">
        <v>7.22</v>
      </c>
      <c r="G90" t="b">
        <v>0</v>
      </c>
      <c r="H90">
        <f>Sensitivity!H7</f>
        <v/>
      </c>
    </row>
    <row r="91">
      <c r="A91" t="inlineStr">
        <is>
          <t>ALL</t>
        </is>
      </c>
      <c r="B91" t="inlineStr">
        <is>
          <t>rare</t>
        </is>
      </c>
      <c r="C91" t="n">
        <v>2</v>
      </c>
      <c r="D91" t="inlineStr">
        <is>
          <t>Str</t>
        </is>
      </c>
      <c r="E91" t="n">
        <v>100</v>
      </c>
      <c r="F91" t="n">
        <v>2.28</v>
      </c>
      <c r="G91" t="b">
        <v>1</v>
      </c>
      <c r="H91">
        <f>Sensitivity!H7</f>
        <v/>
      </c>
    </row>
    <row r="92">
      <c r="A92" t="inlineStr">
        <is>
          <t>ALL</t>
        </is>
      </c>
      <c r="B92" t="inlineStr">
        <is>
          <t>rare</t>
        </is>
      </c>
      <c r="C92" t="n">
        <v>2</v>
      </c>
      <c r="D92" t="inlineStr">
        <is>
          <t>Dex</t>
        </is>
      </c>
      <c r="E92" t="n">
        <v>50</v>
      </c>
      <c r="F92" t="n">
        <v>7.22</v>
      </c>
      <c r="G92" t="b">
        <v>0</v>
      </c>
      <c r="H92">
        <f>Sensitivity!H5</f>
        <v/>
      </c>
    </row>
    <row r="93">
      <c r="A93" t="inlineStr">
        <is>
          <t>ALL</t>
        </is>
      </c>
      <c r="B93" t="inlineStr">
        <is>
          <t>rare</t>
        </is>
      </c>
      <c r="C93" t="n">
        <v>2</v>
      </c>
      <c r="D93" t="inlineStr">
        <is>
          <t>Dex</t>
        </is>
      </c>
      <c r="E93" t="n">
        <v>100</v>
      </c>
      <c r="F93" t="n">
        <v>2.28</v>
      </c>
      <c r="G93" t="b">
        <v>1</v>
      </c>
      <c r="H93">
        <f>Sensitivity!H5</f>
        <v/>
      </c>
    </row>
    <row r="94">
      <c r="A94" t="inlineStr">
        <is>
          <t>ALL</t>
        </is>
      </c>
      <c r="B94" t="inlineStr">
        <is>
          <t>rare</t>
        </is>
      </c>
      <c r="C94" t="n">
        <v>2</v>
      </c>
      <c r="D94" t="inlineStr">
        <is>
          <t>Int</t>
        </is>
      </c>
      <c r="E94" t="n">
        <v>50</v>
      </c>
      <c r="F94" t="n">
        <v>7.22</v>
      </c>
      <c r="G94" t="b">
        <v>0</v>
      </c>
      <c r="H94" t="inlineStr">
        <is>
          <t>0</t>
        </is>
      </c>
    </row>
    <row r="95">
      <c r="A95" t="inlineStr">
        <is>
          <t>ALL</t>
        </is>
      </c>
      <c r="B95" t="inlineStr">
        <is>
          <t>rare</t>
        </is>
      </c>
      <c r="C95" t="n">
        <v>2</v>
      </c>
      <c r="D95" t="inlineStr">
        <is>
          <t>Int</t>
        </is>
      </c>
      <c r="E95" t="n">
        <v>100</v>
      </c>
      <c r="F95" t="n">
        <v>2.28</v>
      </c>
      <c r="G95" t="b">
        <v>1</v>
      </c>
      <c r="H95" t="inlineStr">
        <is>
          <t>0</t>
        </is>
      </c>
    </row>
    <row r="96">
      <c r="A96" t="inlineStr">
        <is>
          <t>ALL</t>
        </is>
      </c>
      <c r="B96" t="inlineStr">
        <is>
          <t>rare</t>
        </is>
      </c>
      <c r="C96" t="n">
        <v>2</v>
      </c>
      <c r="D96" t="inlineStr">
        <is>
          <t>Luk</t>
        </is>
      </c>
      <c r="E96" t="n">
        <v>50</v>
      </c>
      <c r="F96" t="n">
        <v>7.22</v>
      </c>
      <c r="G96" t="b">
        <v>0</v>
      </c>
      <c r="H96" t="inlineStr">
        <is>
          <t>0</t>
        </is>
      </c>
    </row>
    <row r="97">
      <c r="A97" t="inlineStr">
        <is>
          <t>ALL</t>
        </is>
      </c>
      <c r="B97" t="inlineStr">
        <is>
          <t>rare</t>
        </is>
      </c>
      <c r="C97" t="n">
        <v>2</v>
      </c>
      <c r="D97" t="inlineStr">
        <is>
          <t>Luk</t>
        </is>
      </c>
      <c r="E97" t="n">
        <v>100</v>
      </c>
      <c r="F97" t="n">
        <v>2.28</v>
      </c>
      <c r="G97" t="b">
        <v>1</v>
      </c>
      <c r="H97" t="inlineStr">
        <is>
          <t>0</t>
        </is>
      </c>
    </row>
    <row r="98">
      <c r="A98" t="inlineStr">
        <is>
          <t>ALL</t>
        </is>
      </c>
      <c r="B98" t="inlineStr">
        <is>
          <t>rare</t>
        </is>
      </c>
      <c r="C98" t="n">
        <v>3</v>
      </c>
      <c r="D98" t="inlineStr">
        <is>
          <t>Critical Rate %</t>
        </is>
      </c>
      <c r="E98" t="n">
        <v>3</v>
      </c>
      <c r="F98" t="n">
        <v>2.3</v>
      </c>
      <c r="G98" t="b">
        <v>0</v>
      </c>
      <c r="H98">
        <f>IF(AND(Inputs!$B$9+Summary!$B$14+Artifacts!$B$32&gt;=100,NOT(ArtifactsInput!$M$42),NOT(ArtifactsInput!$M$24)),Sensitivity!H16,Sensitivity!H15)</f>
        <v/>
      </c>
    </row>
    <row r="99">
      <c r="A99" t="inlineStr">
        <is>
          <t>ALL</t>
        </is>
      </c>
      <c r="B99" t="inlineStr">
        <is>
          <t>rare</t>
        </is>
      </c>
      <c r="C99" t="n">
        <v>3</v>
      </c>
      <c r="D99" t="inlineStr">
        <is>
          <t>Critical Rate %</t>
        </is>
      </c>
      <c r="E99" t="n">
        <v>4.5</v>
      </c>
      <c r="F99" t="n">
        <v>0.2</v>
      </c>
      <c r="G99" t="b">
        <v>1</v>
      </c>
      <c r="H99">
        <f>IF(AND(Inputs!$B$9+Summary!$B$14+Artifacts!$B$32&gt;=100,NOT(ArtifactsInput!$M$42),NOT(ArtifactsInput!$M$24)),Sensitivity!H16,Sensitivity!H15)</f>
        <v/>
      </c>
    </row>
    <row r="100">
      <c r="A100" t="inlineStr">
        <is>
          <t>ALL</t>
        </is>
      </c>
      <c r="B100" t="inlineStr">
        <is>
          <t>rare</t>
        </is>
      </c>
      <c r="C100" t="n">
        <v>3</v>
      </c>
      <c r="D100" t="inlineStr">
        <is>
          <t>Attack Speed %</t>
        </is>
      </c>
      <c r="E100" t="n">
        <v>3</v>
      </c>
      <c r="F100" t="n">
        <v>2.3</v>
      </c>
      <c r="G100" t="b">
        <v>0</v>
      </c>
      <c r="H100">
        <f>Sensitivity!H17</f>
        <v/>
      </c>
    </row>
    <row r="101">
      <c r="A101" t="inlineStr">
        <is>
          <t>ALL</t>
        </is>
      </c>
      <c r="B101" t="inlineStr">
        <is>
          <t>rare</t>
        </is>
      </c>
      <c r="C101" t="n">
        <v>3</v>
      </c>
      <c r="D101" t="inlineStr">
        <is>
          <t>Attack Speed %</t>
        </is>
      </c>
      <c r="E101" t="n">
        <v>3.5</v>
      </c>
      <c r="F101" t="n">
        <v>0.2</v>
      </c>
      <c r="G101" t="b">
        <v>1</v>
      </c>
      <c r="H101">
        <f>Sensitivity!H17</f>
        <v/>
      </c>
    </row>
    <row r="102">
      <c r="A102" t="inlineStr">
        <is>
          <t>ALL</t>
        </is>
      </c>
      <c r="B102" t="inlineStr">
        <is>
          <t>rare</t>
        </is>
      </c>
      <c r="C102" t="n">
        <v>3</v>
      </c>
      <c r="D102" t="inlineStr">
        <is>
          <t>Damage %</t>
        </is>
      </c>
      <c r="E102" t="n">
        <v>5</v>
      </c>
      <c r="F102" t="n">
        <v>3.68</v>
      </c>
      <c r="G102" t="b">
        <v>0</v>
      </c>
      <c r="H102">
        <f>Sensitivity!H8</f>
        <v/>
      </c>
    </row>
    <row r="103">
      <c r="A103" t="inlineStr">
        <is>
          <t>ALL</t>
        </is>
      </c>
      <c r="B103" t="inlineStr">
        <is>
          <t>rare</t>
        </is>
      </c>
      <c r="C103" t="n">
        <v>3</v>
      </c>
      <c r="D103" t="inlineStr">
        <is>
          <t>Damage %</t>
        </is>
      </c>
      <c r="E103" t="n">
        <v>8</v>
      </c>
      <c r="F103" t="n">
        <v>0.32</v>
      </c>
      <c r="G103" t="b">
        <v>1</v>
      </c>
      <c r="H103">
        <f>Sensitivity!H8</f>
        <v/>
      </c>
    </row>
    <row r="104">
      <c r="A104" t="inlineStr">
        <is>
          <t>ALL</t>
        </is>
      </c>
      <c r="B104" t="inlineStr">
        <is>
          <t>rare</t>
        </is>
      </c>
      <c r="C104" t="n">
        <v>3</v>
      </c>
      <c r="D104" t="inlineStr">
        <is>
          <t>Min Damage Multiplier %</t>
        </is>
      </c>
      <c r="E104" t="n">
        <v>3</v>
      </c>
      <c r="F104" t="n">
        <v>3.68</v>
      </c>
      <c r="G104" t="b">
        <v>0</v>
      </c>
      <c r="H104">
        <f>Sensitivity!H13</f>
        <v/>
      </c>
    </row>
    <row r="105">
      <c r="A105" t="inlineStr">
        <is>
          <t>ALL</t>
        </is>
      </c>
      <c r="B105" t="inlineStr">
        <is>
          <t>rare</t>
        </is>
      </c>
      <c r="C105" t="n">
        <v>3</v>
      </c>
      <c r="D105" t="inlineStr">
        <is>
          <t>Min Damage Multiplier %</t>
        </is>
      </c>
      <c r="E105" t="n">
        <v>6</v>
      </c>
      <c r="F105" t="n">
        <v>0.32</v>
      </c>
      <c r="G105" t="b">
        <v>1</v>
      </c>
      <c r="H105">
        <f>Sensitivity!H13</f>
        <v/>
      </c>
    </row>
    <row r="106">
      <c r="A106" t="inlineStr">
        <is>
          <t>ALL</t>
        </is>
      </c>
      <c r="B106" t="inlineStr">
        <is>
          <t>rare</t>
        </is>
      </c>
      <c r="C106" t="n">
        <v>3</v>
      </c>
      <c r="D106" t="inlineStr">
        <is>
          <t>Max Damage Multiplier %</t>
        </is>
      </c>
      <c r="E106" t="n">
        <v>3</v>
      </c>
      <c r="F106" t="n">
        <v>3.68</v>
      </c>
      <c r="G106" t="b">
        <v>0</v>
      </c>
      <c r="H106">
        <f>Sensitivity!H14</f>
        <v/>
      </c>
    </row>
    <row r="107">
      <c r="A107" t="inlineStr">
        <is>
          <t>ALL</t>
        </is>
      </c>
      <c r="B107" t="inlineStr">
        <is>
          <t>rare</t>
        </is>
      </c>
      <c r="C107" t="n">
        <v>3</v>
      </c>
      <c r="D107" t="inlineStr">
        <is>
          <t>Max Damage Multiplier %</t>
        </is>
      </c>
      <c r="E107" t="n">
        <v>6</v>
      </c>
      <c r="F107" t="n">
        <v>0.32</v>
      </c>
      <c r="G107" t="b">
        <v>1</v>
      </c>
      <c r="H107">
        <f>Sensitivity!H14</f>
        <v/>
      </c>
    </row>
    <row r="108">
      <c r="A108" t="inlineStr">
        <is>
          <t>ALL</t>
        </is>
      </c>
      <c r="B108" t="inlineStr">
        <is>
          <t>rare</t>
        </is>
      </c>
      <c r="C108" t="n">
        <v>3</v>
      </c>
      <c r="D108" t="inlineStr">
        <is>
          <t>Str %</t>
        </is>
      </c>
      <c r="E108" t="n">
        <v>3</v>
      </c>
      <c r="F108" t="n">
        <v>4.14</v>
      </c>
      <c r="G108" t="b">
        <v>0</v>
      </c>
      <c r="H108">
        <f>Sensitivity!H7*Inputs!$B$14/100</f>
        <v/>
      </c>
    </row>
    <row r="109">
      <c r="A109" t="inlineStr">
        <is>
          <t>ALL</t>
        </is>
      </c>
      <c r="B109" t="inlineStr">
        <is>
          <t>rare</t>
        </is>
      </c>
      <c r="C109" t="n">
        <v>3</v>
      </c>
      <c r="D109" t="inlineStr">
        <is>
          <t>Str %</t>
        </is>
      </c>
      <c r="E109" t="n">
        <v>4.5</v>
      </c>
      <c r="F109" t="n">
        <v>0.36</v>
      </c>
      <c r="G109" t="b">
        <v>1</v>
      </c>
      <c r="H109">
        <f>Sensitivity!H7*Inputs!$B$14/100</f>
        <v/>
      </c>
    </row>
    <row r="110">
      <c r="A110" t="inlineStr">
        <is>
          <t>ALL</t>
        </is>
      </c>
      <c r="B110" t="inlineStr">
        <is>
          <t>rare</t>
        </is>
      </c>
      <c r="C110" t="n">
        <v>3</v>
      </c>
      <c r="D110" t="inlineStr">
        <is>
          <t>Dex %</t>
        </is>
      </c>
      <c r="E110" t="n">
        <v>3</v>
      </c>
      <c r="F110" t="n">
        <v>4.14</v>
      </c>
      <c r="G110" t="b">
        <v>0</v>
      </c>
      <c r="H110">
        <f>Sensitivity!H6</f>
        <v/>
      </c>
    </row>
    <row r="111">
      <c r="A111" t="inlineStr">
        <is>
          <t>ALL</t>
        </is>
      </c>
      <c r="B111" t="inlineStr">
        <is>
          <t>rare</t>
        </is>
      </c>
      <c r="C111" t="n">
        <v>3</v>
      </c>
      <c r="D111" t="inlineStr">
        <is>
          <t>Dex %</t>
        </is>
      </c>
      <c r="E111" t="n">
        <v>4.5</v>
      </c>
      <c r="F111" t="n">
        <v>0.36</v>
      </c>
      <c r="G111" t="b">
        <v>1</v>
      </c>
      <c r="H111">
        <f>Sensitivity!H6</f>
        <v/>
      </c>
    </row>
    <row r="112">
      <c r="A112" t="inlineStr">
        <is>
          <t>ALL</t>
        </is>
      </c>
      <c r="B112" t="inlineStr">
        <is>
          <t>rare</t>
        </is>
      </c>
      <c r="C112" t="n">
        <v>3</v>
      </c>
      <c r="D112" t="inlineStr">
        <is>
          <t>Int %</t>
        </is>
      </c>
      <c r="E112" t="n">
        <v>3</v>
      </c>
      <c r="F112" t="n">
        <v>4.14</v>
      </c>
      <c r="G112" t="b">
        <v>0</v>
      </c>
      <c r="H112" t="inlineStr">
        <is>
          <t>0</t>
        </is>
      </c>
    </row>
    <row r="113">
      <c r="A113" t="inlineStr">
        <is>
          <t>ALL</t>
        </is>
      </c>
      <c r="B113" t="inlineStr">
        <is>
          <t>rare</t>
        </is>
      </c>
      <c r="C113" t="n">
        <v>3</v>
      </c>
      <c r="D113" t="inlineStr">
        <is>
          <t>Int %</t>
        </is>
      </c>
      <c r="E113" t="n">
        <v>4.5</v>
      </c>
      <c r="F113" t="n">
        <v>0.36</v>
      </c>
      <c r="G113" t="b">
        <v>1</v>
      </c>
      <c r="H113" t="inlineStr">
        <is>
          <t>0</t>
        </is>
      </c>
    </row>
    <row r="114">
      <c r="A114" t="inlineStr">
        <is>
          <t>ALL</t>
        </is>
      </c>
      <c r="B114" t="inlineStr">
        <is>
          <t>rare</t>
        </is>
      </c>
      <c r="C114" t="n">
        <v>3</v>
      </c>
      <c r="D114" t="inlineStr">
        <is>
          <t>Luk %</t>
        </is>
      </c>
      <c r="E114" t="n">
        <v>3</v>
      </c>
      <c r="F114" t="n">
        <v>4.14</v>
      </c>
      <c r="G114" t="b">
        <v>0</v>
      </c>
      <c r="H114" t="inlineStr">
        <is>
          <t>0</t>
        </is>
      </c>
    </row>
    <row r="115">
      <c r="A115" t="inlineStr">
        <is>
          <t>ALL</t>
        </is>
      </c>
      <c r="B115" t="inlineStr">
        <is>
          <t>rare</t>
        </is>
      </c>
      <c r="C115" t="n">
        <v>3</v>
      </c>
      <c r="D115" t="inlineStr">
        <is>
          <t>Luk %</t>
        </is>
      </c>
      <c r="E115" t="n">
        <v>4.5</v>
      </c>
      <c r="F115" t="n">
        <v>0.36</v>
      </c>
      <c r="G115" t="b">
        <v>1</v>
      </c>
      <c r="H115" t="inlineStr">
        <is>
          <t>0</t>
        </is>
      </c>
    </row>
    <row r="116">
      <c r="A116" t="inlineStr">
        <is>
          <t>ALL</t>
        </is>
      </c>
      <c r="B116" t="inlineStr">
        <is>
          <t>rare</t>
        </is>
      </c>
      <c r="C116" t="n">
        <v>3</v>
      </c>
      <c r="D116" t="inlineStr">
        <is>
          <t>Defense %</t>
        </is>
      </c>
      <c r="E116" t="n">
        <v>3</v>
      </c>
      <c r="F116" t="n">
        <v>8.279999999999999</v>
      </c>
      <c r="G116" t="b">
        <v>0</v>
      </c>
      <c r="H116" t="inlineStr">
        <is>
          <t>0</t>
        </is>
      </c>
    </row>
    <row r="117">
      <c r="A117" t="inlineStr">
        <is>
          <t>ALL</t>
        </is>
      </c>
      <c r="B117" t="inlineStr">
        <is>
          <t>rare</t>
        </is>
      </c>
      <c r="C117" t="n">
        <v>3</v>
      </c>
      <c r="D117" t="inlineStr">
        <is>
          <t>Defense %</t>
        </is>
      </c>
      <c r="E117" t="n">
        <v>4.5</v>
      </c>
      <c r="F117" t="n">
        <v>0.72</v>
      </c>
      <c r="G117" t="b">
        <v>1</v>
      </c>
      <c r="H117" t="inlineStr">
        <is>
          <t>0</t>
        </is>
      </c>
    </row>
    <row r="118">
      <c r="A118" t="inlineStr">
        <is>
          <t>ALL</t>
        </is>
      </c>
      <c r="B118" t="inlineStr">
        <is>
          <t>rare</t>
        </is>
      </c>
      <c r="C118" t="n">
        <v>3</v>
      </c>
      <c r="D118" t="inlineStr">
        <is>
          <t>Max HP %</t>
        </is>
      </c>
      <c r="E118" t="n">
        <v>6</v>
      </c>
      <c r="F118" t="n">
        <v>8.279999999999999</v>
      </c>
      <c r="G118" t="b">
        <v>0</v>
      </c>
      <c r="H118" t="inlineStr">
        <is>
          <t>0</t>
        </is>
      </c>
    </row>
    <row r="119">
      <c r="A119" t="inlineStr">
        <is>
          <t>ALL</t>
        </is>
      </c>
      <c r="B119" t="inlineStr">
        <is>
          <t>rare</t>
        </is>
      </c>
      <c r="C119" t="n">
        <v>3</v>
      </c>
      <c r="D119" t="inlineStr">
        <is>
          <t>Max HP %</t>
        </is>
      </c>
      <c r="E119" t="n">
        <v>9</v>
      </c>
      <c r="F119" t="n">
        <v>0.72</v>
      </c>
      <c r="G119" t="b">
        <v>1</v>
      </c>
      <c r="H119" t="inlineStr">
        <is>
          <t>0</t>
        </is>
      </c>
    </row>
    <row r="120">
      <c r="A120" t="inlineStr">
        <is>
          <t>ALL</t>
        </is>
      </c>
      <c r="B120" t="inlineStr">
        <is>
          <t>rare</t>
        </is>
      </c>
      <c r="C120" t="n">
        <v>3</v>
      </c>
      <c r="D120" t="inlineStr">
        <is>
          <t>Max MP %</t>
        </is>
      </c>
      <c r="E120" t="n">
        <v>3</v>
      </c>
      <c r="F120" t="n">
        <v>8.279999999999999</v>
      </c>
      <c r="G120" t="b">
        <v>0</v>
      </c>
      <c r="H120" t="inlineStr">
        <is>
          <t>0</t>
        </is>
      </c>
    </row>
    <row r="121">
      <c r="A121" t="inlineStr">
        <is>
          <t>ALL</t>
        </is>
      </c>
      <c r="B121" t="inlineStr">
        <is>
          <t>rare</t>
        </is>
      </c>
      <c r="C121" t="n">
        <v>3</v>
      </c>
      <c r="D121" t="inlineStr">
        <is>
          <t>Max MP %</t>
        </is>
      </c>
      <c r="E121" t="n">
        <v>4.5</v>
      </c>
      <c r="F121" t="n">
        <v>0.72</v>
      </c>
      <c r="G121" t="b">
        <v>1</v>
      </c>
      <c r="H121" t="inlineStr">
        <is>
          <t>0</t>
        </is>
      </c>
    </row>
    <row r="122">
      <c r="A122" t="inlineStr">
        <is>
          <t>ALL</t>
        </is>
      </c>
      <c r="B122" t="inlineStr">
        <is>
          <t>rare</t>
        </is>
      </c>
      <c r="C122" t="n">
        <v>3</v>
      </c>
      <c r="D122" t="inlineStr">
        <is>
          <t>Str</t>
        </is>
      </c>
      <c r="E122" t="n">
        <v>50</v>
      </c>
      <c r="F122" t="n">
        <v>8.74</v>
      </c>
      <c r="G122" t="b">
        <v>0</v>
      </c>
      <c r="H122">
        <f>Sensitivity!H7</f>
        <v/>
      </c>
    </row>
    <row r="123">
      <c r="A123" t="inlineStr">
        <is>
          <t>ALL</t>
        </is>
      </c>
      <c r="B123" t="inlineStr">
        <is>
          <t>rare</t>
        </is>
      </c>
      <c r="C123" t="n">
        <v>3</v>
      </c>
      <c r="D123" t="inlineStr">
        <is>
          <t>Str</t>
        </is>
      </c>
      <c r="E123" t="n">
        <v>100</v>
      </c>
      <c r="F123" t="n">
        <v>0.76</v>
      </c>
      <c r="G123" t="b">
        <v>1</v>
      </c>
      <c r="H123">
        <f>Sensitivity!H7</f>
        <v/>
      </c>
    </row>
    <row r="124">
      <c r="A124" t="inlineStr">
        <is>
          <t>ALL</t>
        </is>
      </c>
      <c r="B124" t="inlineStr">
        <is>
          <t>rare</t>
        </is>
      </c>
      <c r="C124" t="n">
        <v>3</v>
      </c>
      <c r="D124" t="inlineStr">
        <is>
          <t>Dex</t>
        </is>
      </c>
      <c r="E124" t="n">
        <v>50</v>
      </c>
      <c r="F124" t="n">
        <v>8.74</v>
      </c>
      <c r="G124" t="b">
        <v>0</v>
      </c>
      <c r="H124">
        <f>Sensitivity!H5</f>
        <v/>
      </c>
    </row>
    <row r="125">
      <c r="A125" t="inlineStr">
        <is>
          <t>ALL</t>
        </is>
      </c>
      <c r="B125" t="inlineStr">
        <is>
          <t>rare</t>
        </is>
      </c>
      <c r="C125" t="n">
        <v>3</v>
      </c>
      <c r="D125" t="inlineStr">
        <is>
          <t>Dex</t>
        </is>
      </c>
      <c r="E125" t="n">
        <v>100</v>
      </c>
      <c r="F125" t="n">
        <v>0.76</v>
      </c>
      <c r="G125" t="b">
        <v>1</v>
      </c>
      <c r="H125">
        <f>Sensitivity!H5</f>
        <v/>
      </c>
    </row>
    <row r="126">
      <c r="A126" t="inlineStr">
        <is>
          <t>ALL</t>
        </is>
      </c>
      <c r="B126" t="inlineStr">
        <is>
          <t>rare</t>
        </is>
      </c>
      <c r="C126" t="n">
        <v>3</v>
      </c>
      <c r="D126" t="inlineStr">
        <is>
          <t>Int</t>
        </is>
      </c>
      <c r="E126" t="n">
        <v>50</v>
      </c>
      <c r="F126" t="n">
        <v>8.74</v>
      </c>
      <c r="G126" t="b">
        <v>0</v>
      </c>
      <c r="H126" t="inlineStr">
        <is>
          <t>0</t>
        </is>
      </c>
    </row>
    <row r="127">
      <c r="A127" t="inlineStr">
        <is>
          <t>ALL</t>
        </is>
      </c>
      <c r="B127" t="inlineStr">
        <is>
          <t>rare</t>
        </is>
      </c>
      <c r="C127" t="n">
        <v>3</v>
      </c>
      <c r="D127" t="inlineStr">
        <is>
          <t>Int</t>
        </is>
      </c>
      <c r="E127" t="n">
        <v>100</v>
      </c>
      <c r="F127" t="n">
        <v>0.76</v>
      </c>
      <c r="G127" t="b">
        <v>1</v>
      </c>
      <c r="H127" t="inlineStr">
        <is>
          <t>0</t>
        </is>
      </c>
    </row>
    <row r="128">
      <c r="A128" t="inlineStr">
        <is>
          <t>ALL</t>
        </is>
      </c>
      <c r="B128" t="inlineStr">
        <is>
          <t>rare</t>
        </is>
      </c>
      <c r="C128" t="n">
        <v>3</v>
      </c>
      <c r="D128" t="inlineStr">
        <is>
          <t>Luk</t>
        </is>
      </c>
      <c r="E128" t="n">
        <v>50</v>
      </c>
      <c r="F128" t="n">
        <v>8.74</v>
      </c>
      <c r="G128" t="b">
        <v>0</v>
      </c>
      <c r="H128" t="inlineStr">
        <is>
          <t>0</t>
        </is>
      </c>
    </row>
    <row r="129">
      <c r="A129" t="inlineStr">
        <is>
          <t>ALL</t>
        </is>
      </c>
      <c r="B129" t="inlineStr">
        <is>
          <t>rare</t>
        </is>
      </c>
      <c r="C129" t="n">
        <v>3</v>
      </c>
      <c r="D129" t="inlineStr">
        <is>
          <t>Luk</t>
        </is>
      </c>
      <c r="E129" t="n">
        <v>100</v>
      </c>
      <c r="F129" t="n">
        <v>0.76</v>
      </c>
      <c r="G129" t="b">
        <v>1</v>
      </c>
      <c r="H129" t="inlineStr">
        <is>
          <t>0</t>
        </is>
      </c>
    </row>
    <row r="130">
      <c r="A130" t="inlineStr">
        <is>
          <t>ALL</t>
        </is>
      </c>
      <c r="B130" t="inlineStr">
        <is>
          <t>epic</t>
        </is>
      </c>
      <c r="C130" t="n">
        <v>1</v>
      </c>
      <c r="D130" t="inlineStr">
        <is>
          <t>Critical Rate %</t>
        </is>
      </c>
      <c r="E130" t="n">
        <v>6</v>
      </c>
      <c r="F130" t="n">
        <v>2.5</v>
      </c>
      <c r="G130" t="b">
        <v>1</v>
      </c>
      <c r="H130">
        <f>IF(AND(Inputs!$B$9+Summary!$B$14+Artifacts!$B$32&gt;=100,NOT(ArtifactsInput!$M$42),NOT(ArtifactsInput!$M$24)),Sensitivity!H16,Sensitivity!H15)</f>
        <v/>
      </c>
    </row>
    <row r="131">
      <c r="A131" t="inlineStr">
        <is>
          <t>ALL</t>
        </is>
      </c>
      <c r="B131" t="inlineStr">
        <is>
          <t>epic</t>
        </is>
      </c>
      <c r="C131" t="n">
        <v>1</v>
      </c>
      <c r="D131" t="inlineStr">
        <is>
          <t>Attack Speed %</t>
        </is>
      </c>
      <c r="E131" t="n">
        <v>4</v>
      </c>
      <c r="F131" t="n">
        <v>2.5</v>
      </c>
      <c r="G131" t="b">
        <v>1</v>
      </c>
      <c r="H131">
        <f>Sensitivity!H17</f>
        <v/>
      </c>
    </row>
    <row r="132">
      <c r="A132" t="inlineStr">
        <is>
          <t>ALL</t>
        </is>
      </c>
      <c r="B132" t="inlineStr">
        <is>
          <t>epic</t>
        </is>
      </c>
      <c r="C132" t="n">
        <v>1</v>
      </c>
      <c r="D132" t="inlineStr">
        <is>
          <t>Damage %</t>
        </is>
      </c>
      <c r="E132" t="n">
        <v>12</v>
      </c>
      <c r="F132" t="n">
        <v>4</v>
      </c>
      <c r="G132" t="b">
        <v>1</v>
      </c>
      <c r="H132">
        <f>Sensitivity!H8</f>
        <v/>
      </c>
    </row>
    <row r="133">
      <c r="A133" t="inlineStr">
        <is>
          <t>ALL</t>
        </is>
      </c>
      <c r="B133" t="inlineStr">
        <is>
          <t>epic</t>
        </is>
      </c>
      <c r="C133" t="n">
        <v>1</v>
      </c>
      <c r="D133" t="inlineStr">
        <is>
          <t>Min Damage Multiplier %</t>
        </is>
      </c>
      <c r="E133" t="n">
        <v>8</v>
      </c>
      <c r="F133" t="n">
        <v>4</v>
      </c>
      <c r="G133" t="b">
        <v>1</v>
      </c>
      <c r="H133">
        <f>Sensitivity!H13</f>
        <v/>
      </c>
    </row>
    <row r="134">
      <c r="A134" t="inlineStr">
        <is>
          <t>ALL</t>
        </is>
      </c>
      <c r="B134" t="inlineStr">
        <is>
          <t>epic</t>
        </is>
      </c>
      <c r="C134" t="n">
        <v>1</v>
      </c>
      <c r="D134" t="inlineStr">
        <is>
          <t>Max Damage Multiplier %</t>
        </is>
      </c>
      <c r="E134" t="n">
        <v>8</v>
      </c>
      <c r="F134" t="n">
        <v>4</v>
      </c>
      <c r="G134" t="b">
        <v>1</v>
      </c>
      <c r="H134">
        <f>Sensitivity!H14</f>
        <v/>
      </c>
    </row>
    <row r="135">
      <c r="A135" t="inlineStr">
        <is>
          <t>ALL</t>
        </is>
      </c>
      <c r="B135" t="inlineStr">
        <is>
          <t>epic</t>
        </is>
      </c>
      <c r="C135" t="n">
        <v>1</v>
      </c>
      <c r="D135" t="inlineStr">
        <is>
          <t>Str %</t>
        </is>
      </c>
      <c r="E135" t="n">
        <v>6</v>
      </c>
      <c r="F135" t="n">
        <v>4.5</v>
      </c>
      <c r="G135" t="b">
        <v>1</v>
      </c>
      <c r="H135">
        <f>Sensitivity!H7*Inputs!$B$14/100</f>
        <v/>
      </c>
    </row>
    <row r="136">
      <c r="A136" t="inlineStr">
        <is>
          <t>ALL</t>
        </is>
      </c>
      <c r="B136" t="inlineStr">
        <is>
          <t>epic</t>
        </is>
      </c>
      <c r="C136" t="n">
        <v>1</v>
      </c>
      <c r="D136" t="inlineStr">
        <is>
          <t>Dex %</t>
        </is>
      </c>
      <c r="E136" t="n">
        <v>6</v>
      </c>
      <c r="F136" t="n">
        <v>4.5</v>
      </c>
      <c r="G136" t="b">
        <v>1</v>
      </c>
      <c r="H136">
        <f>Sensitivity!H6</f>
        <v/>
      </c>
    </row>
    <row r="137">
      <c r="A137" t="inlineStr">
        <is>
          <t>ALL</t>
        </is>
      </c>
      <c r="B137" t="inlineStr">
        <is>
          <t>epic</t>
        </is>
      </c>
      <c r="C137" t="n">
        <v>1</v>
      </c>
      <c r="D137" t="inlineStr">
        <is>
          <t>Int %</t>
        </is>
      </c>
      <c r="E137" t="n">
        <v>6</v>
      </c>
      <c r="F137" t="n">
        <v>4.5</v>
      </c>
      <c r="G137" t="b">
        <v>1</v>
      </c>
      <c r="H137" t="inlineStr">
        <is>
          <t>0</t>
        </is>
      </c>
    </row>
    <row r="138">
      <c r="A138" t="inlineStr">
        <is>
          <t>ALL</t>
        </is>
      </c>
      <c r="B138" t="inlineStr">
        <is>
          <t>epic</t>
        </is>
      </c>
      <c r="C138" t="n">
        <v>1</v>
      </c>
      <c r="D138" t="inlineStr">
        <is>
          <t>Luk %</t>
        </is>
      </c>
      <c r="E138" t="n">
        <v>6</v>
      </c>
      <c r="F138" t="n">
        <v>4.5</v>
      </c>
      <c r="G138" t="b">
        <v>1</v>
      </c>
      <c r="H138" t="inlineStr">
        <is>
          <t>0</t>
        </is>
      </c>
    </row>
    <row r="139">
      <c r="A139" t="inlineStr">
        <is>
          <t>ALL</t>
        </is>
      </c>
      <c r="B139" t="inlineStr">
        <is>
          <t>epic</t>
        </is>
      </c>
      <c r="C139" t="n">
        <v>1</v>
      </c>
      <c r="D139" t="inlineStr">
        <is>
          <t>Defense %</t>
        </is>
      </c>
      <c r="E139" t="n">
        <v>6</v>
      </c>
      <c r="F139" t="n">
        <v>9</v>
      </c>
      <c r="G139" t="b">
        <v>1</v>
      </c>
      <c r="H139" t="inlineStr">
        <is>
          <t>0</t>
        </is>
      </c>
    </row>
    <row r="140">
      <c r="A140" t="inlineStr">
        <is>
          <t>ALL</t>
        </is>
      </c>
      <c r="B140" t="inlineStr">
        <is>
          <t>epic</t>
        </is>
      </c>
      <c r="C140" t="n">
        <v>1</v>
      </c>
      <c r="D140" t="inlineStr">
        <is>
          <t>Max HP %</t>
        </is>
      </c>
      <c r="E140" t="n">
        <v>12</v>
      </c>
      <c r="F140" t="n">
        <v>9</v>
      </c>
      <c r="G140" t="b">
        <v>1</v>
      </c>
      <c r="H140" t="inlineStr">
        <is>
          <t>0</t>
        </is>
      </c>
    </row>
    <row r="141">
      <c r="A141" t="inlineStr">
        <is>
          <t>ALL</t>
        </is>
      </c>
      <c r="B141" t="inlineStr">
        <is>
          <t>epic</t>
        </is>
      </c>
      <c r="C141" t="n">
        <v>1</v>
      </c>
      <c r="D141" t="inlineStr">
        <is>
          <t>Max MP %</t>
        </is>
      </c>
      <c r="E141" t="n">
        <v>6</v>
      </c>
      <c r="F141" t="n">
        <v>9</v>
      </c>
      <c r="G141" t="b">
        <v>1</v>
      </c>
      <c r="H141" t="inlineStr">
        <is>
          <t>0</t>
        </is>
      </c>
    </row>
    <row r="142">
      <c r="A142" t="inlineStr">
        <is>
          <t>ALL</t>
        </is>
      </c>
      <c r="B142" t="inlineStr">
        <is>
          <t>epic</t>
        </is>
      </c>
      <c r="C142" t="n">
        <v>1</v>
      </c>
      <c r="D142" t="inlineStr">
        <is>
          <t>Str</t>
        </is>
      </c>
      <c r="E142" t="n">
        <v>200</v>
      </c>
      <c r="F142" t="n">
        <v>9.25</v>
      </c>
      <c r="G142" t="b">
        <v>1</v>
      </c>
      <c r="H142">
        <f>Sensitivity!H7</f>
        <v/>
      </c>
    </row>
    <row r="143">
      <c r="A143" t="inlineStr">
        <is>
          <t>ALL</t>
        </is>
      </c>
      <c r="B143" t="inlineStr">
        <is>
          <t>epic</t>
        </is>
      </c>
      <c r="C143" t="n">
        <v>1</v>
      </c>
      <c r="D143" t="inlineStr">
        <is>
          <t>Dex</t>
        </is>
      </c>
      <c r="E143" t="n">
        <v>200</v>
      </c>
      <c r="F143" t="n">
        <v>9.25</v>
      </c>
      <c r="G143" t="b">
        <v>1</v>
      </c>
      <c r="H143">
        <f>Sensitivity!H5</f>
        <v/>
      </c>
    </row>
    <row r="144">
      <c r="A144" t="inlineStr">
        <is>
          <t>ALL</t>
        </is>
      </c>
      <c r="B144" t="inlineStr">
        <is>
          <t>epic</t>
        </is>
      </c>
      <c r="C144" t="n">
        <v>1</v>
      </c>
      <c r="D144" t="inlineStr">
        <is>
          <t>Int</t>
        </is>
      </c>
      <c r="E144" t="n">
        <v>200</v>
      </c>
      <c r="F144" t="n">
        <v>9.25</v>
      </c>
      <c r="G144" t="b">
        <v>1</v>
      </c>
      <c r="H144" t="inlineStr">
        <is>
          <t>0</t>
        </is>
      </c>
    </row>
    <row r="145">
      <c r="A145" t="inlineStr">
        <is>
          <t>ALL</t>
        </is>
      </c>
      <c r="B145" t="inlineStr">
        <is>
          <t>epic</t>
        </is>
      </c>
      <c r="C145" t="n">
        <v>1</v>
      </c>
      <c r="D145" t="inlineStr">
        <is>
          <t>Luk</t>
        </is>
      </c>
      <c r="E145" t="n">
        <v>200</v>
      </c>
      <c r="F145" t="n">
        <v>9.25</v>
      </c>
      <c r="G145" t="b">
        <v>1</v>
      </c>
      <c r="H145" t="inlineStr">
        <is>
          <t>0</t>
        </is>
      </c>
    </row>
    <row r="146">
      <c r="A146" t="inlineStr">
        <is>
          <t>ALL</t>
        </is>
      </c>
      <c r="B146" t="inlineStr">
        <is>
          <t>epic</t>
        </is>
      </c>
      <c r="C146" t="n">
        <v>2</v>
      </c>
      <c r="D146" t="inlineStr">
        <is>
          <t>Critical Rate %</t>
        </is>
      </c>
      <c r="E146" t="n">
        <v>4.5</v>
      </c>
      <c r="F146" t="n">
        <v>1.9</v>
      </c>
      <c r="G146" t="b">
        <v>0</v>
      </c>
      <c r="H146">
        <f>IF(AND(Inputs!$B$9+Summary!$B$14+Artifacts!$B$32&gt;=100,NOT(ArtifactsInput!$M$42),NOT(ArtifactsInput!$M$24)),Sensitivity!H16,Sensitivity!H15)</f>
        <v/>
      </c>
    </row>
    <row r="147">
      <c r="A147" t="inlineStr">
        <is>
          <t>ALL</t>
        </is>
      </c>
      <c r="B147" t="inlineStr">
        <is>
          <t>epic</t>
        </is>
      </c>
      <c r="C147" t="n">
        <v>2</v>
      </c>
      <c r="D147" t="inlineStr">
        <is>
          <t>Critical Rate %</t>
        </is>
      </c>
      <c r="E147" t="n">
        <v>6</v>
      </c>
      <c r="F147" t="n">
        <v>0.6</v>
      </c>
      <c r="G147" t="b">
        <v>1</v>
      </c>
      <c r="H147">
        <f>IF(AND(Inputs!$B$9+Summary!$B$14+Artifacts!$B$32&gt;=100,NOT(ArtifactsInput!$M$42),NOT(ArtifactsInput!$M$24)),Sensitivity!H16,Sensitivity!H15)</f>
        <v/>
      </c>
    </row>
    <row r="148">
      <c r="A148" t="inlineStr">
        <is>
          <t>ALL</t>
        </is>
      </c>
      <c r="B148" t="inlineStr">
        <is>
          <t>epic</t>
        </is>
      </c>
      <c r="C148" t="n">
        <v>2</v>
      </c>
      <c r="D148" t="inlineStr">
        <is>
          <t>Attack Speed %</t>
        </is>
      </c>
      <c r="E148" t="n">
        <v>3.5</v>
      </c>
      <c r="F148" t="n">
        <v>1.9</v>
      </c>
      <c r="G148" t="b">
        <v>0</v>
      </c>
      <c r="H148">
        <f>Sensitivity!H17</f>
        <v/>
      </c>
    </row>
    <row r="149">
      <c r="A149" t="inlineStr">
        <is>
          <t>ALL</t>
        </is>
      </c>
      <c r="B149" t="inlineStr">
        <is>
          <t>epic</t>
        </is>
      </c>
      <c r="C149" t="n">
        <v>2</v>
      </c>
      <c r="D149" t="inlineStr">
        <is>
          <t>Attack Speed %</t>
        </is>
      </c>
      <c r="E149" t="n">
        <v>4</v>
      </c>
      <c r="F149" t="n">
        <v>0.6</v>
      </c>
      <c r="G149" t="b">
        <v>1</v>
      </c>
      <c r="H149">
        <f>Sensitivity!H17</f>
        <v/>
      </c>
    </row>
    <row r="150">
      <c r="A150" t="inlineStr">
        <is>
          <t>ALL</t>
        </is>
      </c>
      <c r="B150" t="inlineStr">
        <is>
          <t>epic</t>
        </is>
      </c>
      <c r="C150" t="n">
        <v>2</v>
      </c>
      <c r="D150" t="inlineStr">
        <is>
          <t>Damage %</t>
        </is>
      </c>
      <c r="E150" t="n">
        <v>8</v>
      </c>
      <c r="F150" t="n">
        <v>3.04</v>
      </c>
      <c r="G150" t="b">
        <v>0</v>
      </c>
      <c r="H150">
        <f>Sensitivity!H8</f>
        <v/>
      </c>
    </row>
    <row r="151">
      <c r="A151" t="inlineStr">
        <is>
          <t>ALL</t>
        </is>
      </c>
      <c r="B151" t="inlineStr">
        <is>
          <t>epic</t>
        </is>
      </c>
      <c r="C151" t="n">
        <v>2</v>
      </c>
      <c r="D151" t="inlineStr">
        <is>
          <t>Damage %</t>
        </is>
      </c>
      <c r="E151" t="n">
        <v>12</v>
      </c>
      <c r="F151" t="n">
        <v>0.96</v>
      </c>
      <c r="G151" t="b">
        <v>1</v>
      </c>
      <c r="H151">
        <f>Sensitivity!H8</f>
        <v/>
      </c>
    </row>
    <row r="152">
      <c r="A152" t="inlineStr">
        <is>
          <t>ALL</t>
        </is>
      </c>
      <c r="B152" t="inlineStr">
        <is>
          <t>epic</t>
        </is>
      </c>
      <c r="C152" t="n">
        <v>2</v>
      </c>
      <c r="D152" t="inlineStr">
        <is>
          <t>Min Damage Multiplier %</t>
        </is>
      </c>
      <c r="E152" t="n">
        <v>6</v>
      </c>
      <c r="F152" t="n">
        <v>3.04</v>
      </c>
      <c r="G152" t="b">
        <v>0</v>
      </c>
      <c r="H152">
        <f>Sensitivity!H13</f>
        <v/>
      </c>
    </row>
    <row r="153">
      <c r="A153" t="inlineStr">
        <is>
          <t>ALL</t>
        </is>
      </c>
      <c r="B153" t="inlineStr">
        <is>
          <t>epic</t>
        </is>
      </c>
      <c r="C153" t="n">
        <v>2</v>
      </c>
      <c r="D153" t="inlineStr">
        <is>
          <t>Min Damage Multiplier %</t>
        </is>
      </c>
      <c r="E153" t="n">
        <v>8</v>
      </c>
      <c r="F153" t="n">
        <v>0.96</v>
      </c>
      <c r="G153" t="b">
        <v>1</v>
      </c>
      <c r="H153">
        <f>Sensitivity!H13</f>
        <v/>
      </c>
    </row>
    <row r="154">
      <c r="A154" t="inlineStr">
        <is>
          <t>ALL</t>
        </is>
      </c>
      <c r="B154" t="inlineStr">
        <is>
          <t>epic</t>
        </is>
      </c>
      <c r="C154" t="n">
        <v>2</v>
      </c>
      <c r="D154" t="inlineStr">
        <is>
          <t>Max Damage Multiplier %</t>
        </is>
      </c>
      <c r="E154" t="n">
        <v>6</v>
      </c>
      <c r="F154" t="n">
        <v>3.04</v>
      </c>
      <c r="G154" t="b">
        <v>0</v>
      </c>
      <c r="H154">
        <f>Sensitivity!H14</f>
        <v/>
      </c>
    </row>
    <row r="155">
      <c r="A155" t="inlineStr">
        <is>
          <t>ALL</t>
        </is>
      </c>
      <c r="B155" t="inlineStr">
        <is>
          <t>epic</t>
        </is>
      </c>
      <c r="C155" t="n">
        <v>2</v>
      </c>
      <c r="D155" t="inlineStr">
        <is>
          <t>Max Damage Multiplier %</t>
        </is>
      </c>
      <c r="E155" t="n">
        <v>8</v>
      </c>
      <c r="F155" t="n">
        <v>0.96</v>
      </c>
      <c r="G155" t="b">
        <v>1</v>
      </c>
      <c r="H155">
        <f>Sensitivity!H14</f>
        <v/>
      </c>
    </row>
    <row r="156">
      <c r="A156" t="inlineStr">
        <is>
          <t>ALL</t>
        </is>
      </c>
      <c r="B156" t="inlineStr">
        <is>
          <t>epic</t>
        </is>
      </c>
      <c r="C156" t="n">
        <v>2</v>
      </c>
      <c r="D156" t="inlineStr">
        <is>
          <t>Str %</t>
        </is>
      </c>
      <c r="E156" t="n">
        <v>4.5</v>
      </c>
      <c r="F156" t="n">
        <v>3.42</v>
      </c>
      <c r="G156" t="b">
        <v>0</v>
      </c>
      <c r="H156">
        <f>Sensitivity!H7*Inputs!$B$14/100</f>
        <v/>
      </c>
    </row>
    <row r="157">
      <c r="A157" t="inlineStr">
        <is>
          <t>ALL</t>
        </is>
      </c>
      <c r="B157" t="inlineStr">
        <is>
          <t>epic</t>
        </is>
      </c>
      <c r="C157" t="n">
        <v>2</v>
      </c>
      <c r="D157" t="inlineStr">
        <is>
          <t>Str %</t>
        </is>
      </c>
      <c r="E157" t="n">
        <v>6</v>
      </c>
      <c r="F157" t="n">
        <v>1.08</v>
      </c>
      <c r="G157" t="b">
        <v>1</v>
      </c>
      <c r="H157">
        <f>Sensitivity!H7*Inputs!$B$14/100</f>
        <v/>
      </c>
    </row>
    <row r="158">
      <c r="A158" t="inlineStr">
        <is>
          <t>ALL</t>
        </is>
      </c>
      <c r="B158" t="inlineStr">
        <is>
          <t>epic</t>
        </is>
      </c>
      <c r="C158" t="n">
        <v>2</v>
      </c>
      <c r="D158" t="inlineStr">
        <is>
          <t>Dex %</t>
        </is>
      </c>
      <c r="E158" t="n">
        <v>4.5</v>
      </c>
      <c r="F158" t="n">
        <v>3.42</v>
      </c>
      <c r="G158" t="b">
        <v>0</v>
      </c>
      <c r="H158">
        <f>Sensitivity!H6</f>
        <v/>
      </c>
    </row>
    <row r="159">
      <c r="A159" t="inlineStr">
        <is>
          <t>ALL</t>
        </is>
      </c>
      <c r="B159" t="inlineStr">
        <is>
          <t>epic</t>
        </is>
      </c>
      <c r="C159" t="n">
        <v>2</v>
      </c>
      <c r="D159" t="inlineStr">
        <is>
          <t>Dex %</t>
        </is>
      </c>
      <c r="E159" t="n">
        <v>6</v>
      </c>
      <c r="F159" t="n">
        <v>1.08</v>
      </c>
      <c r="G159" t="b">
        <v>1</v>
      </c>
      <c r="H159">
        <f>Sensitivity!H6</f>
        <v/>
      </c>
    </row>
    <row r="160">
      <c r="A160" t="inlineStr">
        <is>
          <t>ALL</t>
        </is>
      </c>
      <c r="B160" t="inlineStr">
        <is>
          <t>epic</t>
        </is>
      </c>
      <c r="C160" t="n">
        <v>2</v>
      </c>
      <c r="D160" t="inlineStr">
        <is>
          <t>Int %</t>
        </is>
      </c>
      <c r="E160" t="n">
        <v>4.5</v>
      </c>
      <c r="F160" t="n">
        <v>3.42</v>
      </c>
      <c r="G160" t="b">
        <v>0</v>
      </c>
      <c r="H160" t="inlineStr">
        <is>
          <t>0</t>
        </is>
      </c>
    </row>
    <row r="161">
      <c r="A161" t="inlineStr">
        <is>
          <t>ALL</t>
        </is>
      </c>
      <c r="B161" t="inlineStr">
        <is>
          <t>epic</t>
        </is>
      </c>
      <c r="C161" t="n">
        <v>2</v>
      </c>
      <c r="D161" t="inlineStr">
        <is>
          <t>Int %</t>
        </is>
      </c>
      <c r="E161" t="n">
        <v>6</v>
      </c>
      <c r="F161" t="n">
        <v>1.08</v>
      </c>
      <c r="G161" t="b">
        <v>1</v>
      </c>
      <c r="H161" t="inlineStr">
        <is>
          <t>0</t>
        </is>
      </c>
    </row>
    <row r="162">
      <c r="A162" t="inlineStr">
        <is>
          <t>ALL</t>
        </is>
      </c>
      <c r="B162" t="inlineStr">
        <is>
          <t>epic</t>
        </is>
      </c>
      <c r="C162" t="n">
        <v>2</v>
      </c>
      <c r="D162" t="inlineStr">
        <is>
          <t>Luk %</t>
        </is>
      </c>
      <c r="E162" t="n">
        <v>4.5</v>
      </c>
      <c r="F162" t="n">
        <v>3.42</v>
      </c>
      <c r="G162" t="b">
        <v>0</v>
      </c>
      <c r="H162" t="inlineStr">
        <is>
          <t>0</t>
        </is>
      </c>
    </row>
    <row r="163">
      <c r="A163" t="inlineStr">
        <is>
          <t>ALL</t>
        </is>
      </c>
      <c r="B163" t="inlineStr">
        <is>
          <t>epic</t>
        </is>
      </c>
      <c r="C163" t="n">
        <v>2</v>
      </c>
      <c r="D163" t="inlineStr">
        <is>
          <t>Luk %</t>
        </is>
      </c>
      <c r="E163" t="n">
        <v>6</v>
      </c>
      <c r="F163" t="n">
        <v>1.08</v>
      </c>
      <c r="G163" t="b">
        <v>1</v>
      </c>
      <c r="H163" t="inlineStr">
        <is>
          <t>0</t>
        </is>
      </c>
    </row>
    <row r="164">
      <c r="A164" t="inlineStr">
        <is>
          <t>ALL</t>
        </is>
      </c>
      <c r="B164" t="inlineStr">
        <is>
          <t>epic</t>
        </is>
      </c>
      <c r="C164" t="n">
        <v>2</v>
      </c>
      <c r="D164" t="inlineStr">
        <is>
          <t>Defense %</t>
        </is>
      </c>
      <c r="E164" t="n">
        <v>4.5</v>
      </c>
      <c r="F164" t="n">
        <v>6.84</v>
      </c>
      <c r="G164" t="b">
        <v>0</v>
      </c>
      <c r="H164" t="inlineStr">
        <is>
          <t>0</t>
        </is>
      </c>
    </row>
    <row r="165">
      <c r="A165" t="inlineStr">
        <is>
          <t>ALL</t>
        </is>
      </c>
      <c r="B165" t="inlineStr">
        <is>
          <t>epic</t>
        </is>
      </c>
      <c r="C165" t="n">
        <v>2</v>
      </c>
      <c r="D165" t="inlineStr">
        <is>
          <t>Defense %</t>
        </is>
      </c>
      <c r="E165" t="n">
        <v>6</v>
      </c>
      <c r="F165" t="n">
        <v>2.16</v>
      </c>
      <c r="G165" t="b">
        <v>1</v>
      </c>
      <c r="H165" t="inlineStr">
        <is>
          <t>0</t>
        </is>
      </c>
    </row>
    <row r="166">
      <c r="A166" t="inlineStr">
        <is>
          <t>ALL</t>
        </is>
      </c>
      <c r="B166" t="inlineStr">
        <is>
          <t>epic</t>
        </is>
      </c>
      <c r="C166" t="n">
        <v>2</v>
      </c>
      <c r="D166" t="inlineStr">
        <is>
          <t>Max HP %</t>
        </is>
      </c>
      <c r="E166" t="n">
        <v>9</v>
      </c>
      <c r="F166" t="n">
        <v>6.84</v>
      </c>
      <c r="G166" t="b">
        <v>0</v>
      </c>
      <c r="H166" t="inlineStr">
        <is>
          <t>0</t>
        </is>
      </c>
    </row>
    <row r="167">
      <c r="A167" t="inlineStr">
        <is>
          <t>ALL</t>
        </is>
      </c>
      <c r="B167" t="inlineStr">
        <is>
          <t>epic</t>
        </is>
      </c>
      <c r="C167" t="n">
        <v>2</v>
      </c>
      <c r="D167" t="inlineStr">
        <is>
          <t>Max HP %</t>
        </is>
      </c>
      <c r="E167" t="n">
        <v>12</v>
      </c>
      <c r="F167" t="n">
        <v>2.16</v>
      </c>
      <c r="G167" t="b">
        <v>1</v>
      </c>
      <c r="H167" t="inlineStr">
        <is>
          <t>0</t>
        </is>
      </c>
    </row>
    <row r="168">
      <c r="A168" t="inlineStr">
        <is>
          <t>ALL</t>
        </is>
      </c>
      <c r="B168" t="inlineStr">
        <is>
          <t>epic</t>
        </is>
      </c>
      <c r="C168" t="n">
        <v>2</v>
      </c>
      <c r="D168" t="inlineStr">
        <is>
          <t>Max MP %</t>
        </is>
      </c>
      <c r="E168" t="n">
        <v>4.5</v>
      </c>
      <c r="F168" t="n">
        <v>6.84</v>
      </c>
      <c r="G168" t="b">
        <v>0</v>
      </c>
      <c r="H168" t="inlineStr">
        <is>
          <t>0</t>
        </is>
      </c>
    </row>
    <row r="169">
      <c r="A169" t="inlineStr">
        <is>
          <t>ALL</t>
        </is>
      </c>
      <c r="B169" t="inlineStr">
        <is>
          <t>epic</t>
        </is>
      </c>
      <c r="C169" t="n">
        <v>2</v>
      </c>
      <c r="D169" t="inlineStr">
        <is>
          <t>Max MP %</t>
        </is>
      </c>
      <c r="E169" t="n">
        <v>6</v>
      </c>
      <c r="F169" t="n">
        <v>2.16</v>
      </c>
      <c r="G169" t="b">
        <v>1</v>
      </c>
      <c r="H169" t="inlineStr">
        <is>
          <t>0</t>
        </is>
      </c>
    </row>
    <row r="170">
      <c r="A170" t="inlineStr">
        <is>
          <t>ALL</t>
        </is>
      </c>
      <c r="B170" t="inlineStr">
        <is>
          <t>epic</t>
        </is>
      </c>
      <c r="C170" t="n">
        <v>2</v>
      </c>
      <c r="D170" t="inlineStr">
        <is>
          <t>Str</t>
        </is>
      </c>
      <c r="E170" t="n">
        <v>100</v>
      </c>
      <c r="F170" t="n">
        <v>7.22</v>
      </c>
      <c r="G170" t="b">
        <v>0</v>
      </c>
      <c r="H170">
        <f>Sensitivity!H7</f>
        <v/>
      </c>
    </row>
    <row r="171">
      <c r="A171" t="inlineStr">
        <is>
          <t>ALL</t>
        </is>
      </c>
      <c r="B171" t="inlineStr">
        <is>
          <t>epic</t>
        </is>
      </c>
      <c r="C171" t="n">
        <v>2</v>
      </c>
      <c r="D171" t="inlineStr">
        <is>
          <t>Str</t>
        </is>
      </c>
      <c r="E171" t="n">
        <v>200</v>
      </c>
      <c r="F171" t="n">
        <v>2.22</v>
      </c>
      <c r="G171" t="b">
        <v>1</v>
      </c>
      <c r="H171">
        <f>Sensitivity!H7</f>
        <v/>
      </c>
    </row>
    <row r="172">
      <c r="A172" t="inlineStr">
        <is>
          <t>ALL</t>
        </is>
      </c>
      <c r="B172" t="inlineStr">
        <is>
          <t>epic</t>
        </is>
      </c>
      <c r="C172" t="n">
        <v>2</v>
      </c>
      <c r="D172" t="inlineStr">
        <is>
          <t>Dex</t>
        </is>
      </c>
      <c r="E172" t="n">
        <v>100</v>
      </c>
      <c r="F172" t="n">
        <v>7.22</v>
      </c>
      <c r="G172" t="b">
        <v>0</v>
      </c>
      <c r="H172">
        <f>Sensitivity!H5</f>
        <v/>
      </c>
    </row>
    <row r="173">
      <c r="A173" t="inlineStr">
        <is>
          <t>ALL</t>
        </is>
      </c>
      <c r="B173" t="inlineStr">
        <is>
          <t>epic</t>
        </is>
      </c>
      <c r="C173" t="n">
        <v>2</v>
      </c>
      <c r="D173" t="inlineStr">
        <is>
          <t>Dex</t>
        </is>
      </c>
      <c r="E173" t="n">
        <v>200</v>
      </c>
      <c r="F173" t="n">
        <v>2.22</v>
      </c>
      <c r="G173" t="b">
        <v>1</v>
      </c>
      <c r="H173">
        <f>Sensitivity!H5</f>
        <v/>
      </c>
    </row>
    <row r="174">
      <c r="A174" t="inlineStr">
        <is>
          <t>ALL</t>
        </is>
      </c>
      <c r="B174" t="inlineStr">
        <is>
          <t>epic</t>
        </is>
      </c>
      <c r="C174" t="n">
        <v>2</v>
      </c>
      <c r="D174" t="inlineStr">
        <is>
          <t>Int</t>
        </is>
      </c>
      <c r="E174" t="n">
        <v>100</v>
      </c>
      <c r="F174" t="n">
        <v>7.22</v>
      </c>
      <c r="G174" t="b">
        <v>0</v>
      </c>
      <c r="H174" t="inlineStr">
        <is>
          <t>0</t>
        </is>
      </c>
    </row>
    <row r="175">
      <c r="A175" t="inlineStr">
        <is>
          <t>ALL</t>
        </is>
      </c>
      <c r="B175" t="inlineStr">
        <is>
          <t>epic</t>
        </is>
      </c>
      <c r="C175" t="n">
        <v>2</v>
      </c>
      <c r="D175" t="inlineStr">
        <is>
          <t>Int</t>
        </is>
      </c>
      <c r="E175" t="n">
        <v>200</v>
      </c>
      <c r="F175" t="n">
        <v>2.22</v>
      </c>
      <c r="G175" t="b">
        <v>1</v>
      </c>
      <c r="H175" t="inlineStr">
        <is>
          <t>0</t>
        </is>
      </c>
    </row>
    <row r="176">
      <c r="A176" t="inlineStr">
        <is>
          <t>ALL</t>
        </is>
      </c>
      <c r="B176" t="inlineStr">
        <is>
          <t>epic</t>
        </is>
      </c>
      <c r="C176" t="n">
        <v>2</v>
      </c>
      <c r="D176" t="inlineStr">
        <is>
          <t>Luk</t>
        </is>
      </c>
      <c r="E176" t="n">
        <v>100</v>
      </c>
      <c r="F176" t="n">
        <v>7.22</v>
      </c>
      <c r="G176" t="b">
        <v>0</v>
      </c>
      <c r="H176" t="inlineStr">
        <is>
          <t>0</t>
        </is>
      </c>
    </row>
    <row r="177">
      <c r="A177" t="inlineStr">
        <is>
          <t>ALL</t>
        </is>
      </c>
      <c r="B177" t="inlineStr">
        <is>
          <t>epic</t>
        </is>
      </c>
      <c r="C177" t="n">
        <v>2</v>
      </c>
      <c r="D177" t="inlineStr">
        <is>
          <t>Luk</t>
        </is>
      </c>
      <c r="E177" t="n">
        <v>200</v>
      </c>
      <c r="F177" t="n">
        <v>2.22</v>
      </c>
      <c r="G177" t="b">
        <v>1</v>
      </c>
      <c r="H177" t="inlineStr">
        <is>
          <t>0</t>
        </is>
      </c>
    </row>
    <row r="178">
      <c r="A178" t="inlineStr">
        <is>
          <t>ALL</t>
        </is>
      </c>
      <c r="B178" t="inlineStr">
        <is>
          <t>epic</t>
        </is>
      </c>
      <c r="C178" t="n">
        <v>3</v>
      </c>
      <c r="D178" t="inlineStr">
        <is>
          <t>Critical Rate %</t>
        </is>
      </c>
      <c r="E178" t="n">
        <v>4.5</v>
      </c>
      <c r="F178" t="n">
        <v>2.3</v>
      </c>
      <c r="G178" t="b">
        <v>0</v>
      </c>
      <c r="H178">
        <f>IF(AND(Inputs!$B$9+Summary!$B$14+Artifacts!$B$32&gt;=100,NOT(ArtifactsInput!$M$42),NOT(ArtifactsInput!$M$24)),Sensitivity!H16,Sensitivity!H15)</f>
        <v/>
      </c>
    </row>
    <row r="179">
      <c r="A179" t="inlineStr">
        <is>
          <t>ALL</t>
        </is>
      </c>
      <c r="B179" t="inlineStr">
        <is>
          <t>epic</t>
        </is>
      </c>
      <c r="C179" t="n">
        <v>3</v>
      </c>
      <c r="D179" t="inlineStr">
        <is>
          <t>Critical Rate %</t>
        </is>
      </c>
      <c r="E179" t="n">
        <v>6</v>
      </c>
      <c r="F179" t="n">
        <v>0.2</v>
      </c>
      <c r="G179" t="b">
        <v>1</v>
      </c>
      <c r="H179">
        <f>IF(AND(Inputs!$B$9+Summary!$B$14+Artifacts!$B$32&gt;=100,NOT(ArtifactsInput!$M$42),NOT(ArtifactsInput!$M$24)),Sensitivity!H16,Sensitivity!H15)</f>
        <v/>
      </c>
    </row>
    <row r="180">
      <c r="A180" t="inlineStr">
        <is>
          <t>ALL</t>
        </is>
      </c>
      <c r="B180" t="inlineStr">
        <is>
          <t>epic</t>
        </is>
      </c>
      <c r="C180" t="n">
        <v>3</v>
      </c>
      <c r="D180" t="inlineStr">
        <is>
          <t>Attack Speed %</t>
        </is>
      </c>
      <c r="E180" t="n">
        <v>3.5</v>
      </c>
      <c r="F180" t="n">
        <v>2.3</v>
      </c>
      <c r="G180" t="b">
        <v>0</v>
      </c>
      <c r="H180">
        <f>Sensitivity!H17</f>
        <v/>
      </c>
    </row>
    <row r="181">
      <c r="A181" t="inlineStr">
        <is>
          <t>ALL</t>
        </is>
      </c>
      <c r="B181" t="inlineStr">
        <is>
          <t>epic</t>
        </is>
      </c>
      <c r="C181" t="n">
        <v>3</v>
      </c>
      <c r="D181" t="inlineStr">
        <is>
          <t>Attack Speed %</t>
        </is>
      </c>
      <c r="E181" t="n">
        <v>4</v>
      </c>
      <c r="F181" t="n">
        <v>0.2</v>
      </c>
      <c r="G181" t="b">
        <v>1</v>
      </c>
      <c r="H181">
        <f>Sensitivity!H17</f>
        <v/>
      </c>
    </row>
    <row r="182">
      <c r="A182" t="inlineStr">
        <is>
          <t>ALL</t>
        </is>
      </c>
      <c r="B182" t="inlineStr">
        <is>
          <t>epic</t>
        </is>
      </c>
      <c r="C182" t="n">
        <v>3</v>
      </c>
      <c r="D182" t="inlineStr">
        <is>
          <t>Damage %</t>
        </is>
      </c>
      <c r="E182" t="n">
        <v>8</v>
      </c>
      <c r="F182" t="n">
        <v>3.68</v>
      </c>
      <c r="G182" t="b">
        <v>0</v>
      </c>
      <c r="H182">
        <f>Sensitivity!H8</f>
        <v/>
      </c>
    </row>
    <row r="183">
      <c r="A183" t="inlineStr">
        <is>
          <t>ALL</t>
        </is>
      </c>
      <c r="B183" t="inlineStr">
        <is>
          <t>epic</t>
        </is>
      </c>
      <c r="C183" t="n">
        <v>3</v>
      </c>
      <c r="D183" t="inlineStr">
        <is>
          <t>Damage %</t>
        </is>
      </c>
      <c r="E183" t="n">
        <v>12</v>
      </c>
      <c r="F183" t="n">
        <v>0.32</v>
      </c>
      <c r="G183" t="b">
        <v>1</v>
      </c>
      <c r="H183">
        <f>Sensitivity!H8</f>
        <v/>
      </c>
    </row>
    <row r="184">
      <c r="A184" t="inlineStr">
        <is>
          <t>ALL</t>
        </is>
      </c>
      <c r="B184" t="inlineStr">
        <is>
          <t>epic</t>
        </is>
      </c>
      <c r="C184" t="n">
        <v>3</v>
      </c>
      <c r="D184" t="inlineStr">
        <is>
          <t>Min Damage Multiplier %</t>
        </is>
      </c>
      <c r="E184" t="n">
        <v>6</v>
      </c>
      <c r="F184" t="n">
        <v>3.68</v>
      </c>
      <c r="G184" t="b">
        <v>0</v>
      </c>
      <c r="H184">
        <f>Sensitivity!H13</f>
        <v/>
      </c>
    </row>
    <row r="185">
      <c r="A185" t="inlineStr">
        <is>
          <t>ALL</t>
        </is>
      </c>
      <c r="B185" t="inlineStr">
        <is>
          <t>epic</t>
        </is>
      </c>
      <c r="C185" t="n">
        <v>3</v>
      </c>
      <c r="D185" t="inlineStr">
        <is>
          <t>Min Damage Multiplier %</t>
        </is>
      </c>
      <c r="E185" t="n">
        <v>8</v>
      </c>
      <c r="F185" t="n">
        <v>0.32</v>
      </c>
      <c r="G185" t="b">
        <v>1</v>
      </c>
      <c r="H185">
        <f>Sensitivity!H13</f>
        <v/>
      </c>
    </row>
    <row r="186">
      <c r="A186" t="inlineStr">
        <is>
          <t>ALL</t>
        </is>
      </c>
      <c r="B186" t="inlineStr">
        <is>
          <t>epic</t>
        </is>
      </c>
      <c r="C186" t="n">
        <v>3</v>
      </c>
      <c r="D186" t="inlineStr">
        <is>
          <t>Max Damage Multiplier %</t>
        </is>
      </c>
      <c r="E186" t="n">
        <v>6</v>
      </c>
      <c r="F186" t="n">
        <v>3.68</v>
      </c>
      <c r="G186" t="b">
        <v>0</v>
      </c>
      <c r="H186">
        <f>Sensitivity!H14</f>
        <v/>
      </c>
    </row>
    <row r="187">
      <c r="A187" t="inlineStr">
        <is>
          <t>ALL</t>
        </is>
      </c>
      <c r="B187" t="inlineStr">
        <is>
          <t>epic</t>
        </is>
      </c>
      <c r="C187" t="n">
        <v>3</v>
      </c>
      <c r="D187" t="inlineStr">
        <is>
          <t>Max Damage Multiplier %</t>
        </is>
      </c>
      <c r="E187" t="n">
        <v>8</v>
      </c>
      <c r="F187" t="n">
        <v>0.32</v>
      </c>
      <c r="G187" t="b">
        <v>1</v>
      </c>
      <c r="H187">
        <f>Sensitivity!H14</f>
        <v/>
      </c>
    </row>
    <row r="188">
      <c r="A188" t="inlineStr">
        <is>
          <t>ALL</t>
        </is>
      </c>
      <c r="B188" t="inlineStr">
        <is>
          <t>epic</t>
        </is>
      </c>
      <c r="C188" t="n">
        <v>3</v>
      </c>
      <c r="D188" t="inlineStr">
        <is>
          <t>Str %</t>
        </is>
      </c>
      <c r="E188" t="n">
        <v>4.5</v>
      </c>
      <c r="F188" t="n">
        <v>4.14</v>
      </c>
      <c r="G188" t="b">
        <v>0</v>
      </c>
      <c r="H188">
        <f>Sensitivity!H7*Inputs!$B$14/100</f>
        <v/>
      </c>
    </row>
    <row r="189">
      <c r="A189" t="inlineStr">
        <is>
          <t>ALL</t>
        </is>
      </c>
      <c r="B189" t="inlineStr">
        <is>
          <t>epic</t>
        </is>
      </c>
      <c r="C189" t="n">
        <v>3</v>
      </c>
      <c r="D189" t="inlineStr">
        <is>
          <t>Str %</t>
        </is>
      </c>
      <c r="E189" t="n">
        <v>6</v>
      </c>
      <c r="F189" t="n">
        <v>0.36</v>
      </c>
      <c r="G189" t="b">
        <v>1</v>
      </c>
      <c r="H189">
        <f>Sensitivity!H7*Inputs!$B$14/100</f>
        <v/>
      </c>
    </row>
    <row r="190">
      <c r="A190" t="inlineStr">
        <is>
          <t>ALL</t>
        </is>
      </c>
      <c r="B190" t="inlineStr">
        <is>
          <t>epic</t>
        </is>
      </c>
      <c r="C190" t="n">
        <v>3</v>
      </c>
      <c r="D190" t="inlineStr">
        <is>
          <t>Dex %</t>
        </is>
      </c>
      <c r="E190" t="n">
        <v>4.5</v>
      </c>
      <c r="F190" t="n">
        <v>4.14</v>
      </c>
      <c r="G190" t="b">
        <v>0</v>
      </c>
      <c r="H190">
        <f>Sensitivity!H6</f>
        <v/>
      </c>
    </row>
    <row r="191">
      <c r="A191" t="inlineStr">
        <is>
          <t>ALL</t>
        </is>
      </c>
      <c r="B191" t="inlineStr">
        <is>
          <t>epic</t>
        </is>
      </c>
      <c r="C191" t="n">
        <v>3</v>
      </c>
      <c r="D191" t="inlineStr">
        <is>
          <t>Dex %</t>
        </is>
      </c>
      <c r="E191" t="n">
        <v>6</v>
      </c>
      <c r="F191" t="n">
        <v>0.36</v>
      </c>
      <c r="G191" t="b">
        <v>1</v>
      </c>
      <c r="H191">
        <f>Sensitivity!H6</f>
        <v/>
      </c>
    </row>
    <row r="192">
      <c r="A192" t="inlineStr">
        <is>
          <t>ALL</t>
        </is>
      </c>
      <c r="B192" t="inlineStr">
        <is>
          <t>epic</t>
        </is>
      </c>
      <c r="C192" t="n">
        <v>3</v>
      </c>
      <c r="D192" t="inlineStr">
        <is>
          <t>Int %</t>
        </is>
      </c>
      <c r="E192" t="n">
        <v>4.5</v>
      </c>
      <c r="F192" t="n">
        <v>4.14</v>
      </c>
      <c r="G192" t="b">
        <v>0</v>
      </c>
      <c r="H192" t="inlineStr">
        <is>
          <t>0</t>
        </is>
      </c>
    </row>
    <row r="193">
      <c r="A193" t="inlineStr">
        <is>
          <t>ALL</t>
        </is>
      </c>
      <c r="B193" t="inlineStr">
        <is>
          <t>epic</t>
        </is>
      </c>
      <c r="C193" t="n">
        <v>3</v>
      </c>
      <c r="D193" t="inlineStr">
        <is>
          <t>Int %</t>
        </is>
      </c>
      <c r="E193" t="n">
        <v>6</v>
      </c>
      <c r="F193" t="n">
        <v>0.36</v>
      </c>
      <c r="G193" t="b">
        <v>1</v>
      </c>
      <c r="H193" t="inlineStr">
        <is>
          <t>0</t>
        </is>
      </c>
    </row>
    <row r="194">
      <c r="A194" t="inlineStr">
        <is>
          <t>ALL</t>
        </is>
      </c>
      <c r="B194" t="inlineStr">
        <is>
          <t>epic</t>
        </is>
      </c>
      <c r="C194" t="n">
        <v>3</v>
      </c>
      <c r="D194" t="inlineStr">
        <is>
          <t>Luk %</t>
        </is>
      </c>
      <c r="E194" t="n">
        <v>4.5</v>
      </c>
      <c r="F194" t="n">
        <v>4.14</v>
      </c>
      <c r="G194" t="b">
        <v>0</v>
      </c>
      <c r="H194" t="inlineStr">
        <is>
          <t>0</t>
        </is>
      </c>
    </row>
    <row r="195">
      <c r="A195" t="inlineStr">
        <is>
          <t>ALL</t>
        </is>
      </c>
      <c r="B195" t="inlineStr">
        <is>
          <t>epic</t>
        </is>
      </c>
      <c r="C195" t="n">
        <v>3</v>
      </c>
      <c r="D195" t="inlineStr">
        <is>
          <t>Luk %</t>
        </is>
      </c>
      <c r="E195" t="n">
        <v>6</v>
      </c>
      <c r="F195" t="n">
        <v>0.36</v>
      </c>
      <c r="G195" t="b">
        <v>1</v>
      </c>
      <c r="H195" t="inlineStr">
        <is>
          <t>0</t>
        </is>
      </c>
    </row>
    <row r="196">
      <c r="A196" t="inlineStr">
        <is>
          <t>ALL</t>
        </is>
      </c>
      <c r="B196" t="inlineStr">
        <is>
          <t>epic</t>
        </is>
      </c>
      <c r="C196" t="n">
        <v>3</v>
      </c>
      <c r="D196" t="inlineStr">
        <is>
          <t>Defense %</t>
        </is>
      </c>
      <c r="E196" t="n">
        <v>4.5</v>
      </c>
      <c r="F196" t="n">
        <v>8.279999999999999</v>
      </c>
      <c r="G196" t="b">
        <v>0</v>
      </c>
      <c r="H196" t="inlineStr">
        <is>
          <t>0</t>
        </is>
      </c>
    </row>
    <row r="197">
      <c r="A197" t="inlineStr">
        <is>
          <t>ALL</t>
        </is>
      </c>
      <c r="B197" t="inlineStr">
        <is>
          <t>epic</t>
        </is>
      </c>
      <c r="C197" t="n">
        <v>3</v>
      </c>
      <c r="D197" t="inlineStr">
        <is>
          <t>Defense %</t>
        </is>
      </c>
      <c r="E197" t="n">
        <v>6</v>
      </c>
      <c r="F197" t="n">
        <v>0.72</v>
      </c>
      <c r="G197" t="b">
        <v>1</v>
      </c>
      <c r="H197" t="inlineStr">
        <is>
          <t>0</t>
        </is>
      </c>
    </row>
    <row r="198">
      <c r="A198" t="inlineStr">
        <is>
          <t>ALL</t>
        </is>
      </c>
      <c r="B198" t="inlineStr">
        <is>
          <t>epic</t>
        </is>
      </c>
      <c r="C198" t="n">
        <v>3</v>
      </c>
      <c r="D198" t="inlineStr">
        <is>
          <t>Max HP %</t>
        </is>
      </c>
      <c r="E198" t="n">
        <v>9</v>
      </c>
      <c r="F198" t="n">
        <v>8.279999999999999</v>
      </c>
      <c r="G198" t="b">
        <v>0</v>
      </c>
      <c r="H198" t="inlineStr">
        <is>
          <t>0</t>
        </is>
      </c>
    </row>
    <row r="199">
      <c r="A199" t="inlineStr">
        <is>
          <t>ALL</t>
        </is>
      </c>
      <c r="B199" t="inlineStr">
        <is>
          <t>epic</t>
        </is>
      </c>
      <c r="C199" t="n">
        <v>3</v>
      </c>
      <c r="D199" t="inlineStr">
        <is>
          <t>Max HP %</t>
        </is>
      </c>
      <c r="E199" t="n">
        <v>12</v>
      </c>
      <c r="F199" t="n">
        <v>0.72</v>
      </c>
      <c r="G199" t="b">
        <v>1</v>
      </c>
      <c r="H199" t="inlineStr">
        <is>
          <t>0</t>
        </is>
      </c>
    </row>
    <row r="200">
      <c r="A200" t="inlineStr">
        <is>
          <t>ALL</t>
        </is>
      </c>
      <c r="B200" t="inlineStr">
        <is>
          <t>epic</t>
        </is>
      </c>
      <c r="C200" t="n">
        <v>3</v>
      </c>
      <c r="D200" t="inlineStr">
        <is>
          <t>Max MP %</t>
        </is>
      </c>
      <c r="E200" t="n">
        <v>4.5</v>
      </c>
      <c r="F200" t="n">
        <v>8.279999999999999</v>
      </c>
      <c r="G200" t="b">
        <v>0</v>
      </c>
      <c r="H200" t="inlineStr">
        <is>
          <t>0</t>
        </is>
      </c>
    </row>
    <row r="201">
      <c r="A201" t="inlineStr">
        <is>
          <t>ALL</t>
        </is>
      </c>
      <c r="B201" t="inlineStr">
        <is>
          <t>epic</t>
        </is>
      </c>
      <c r="C201" t="n">
        <v>3</v>
      </c>
      <c r="D201" t="inlineStr">
        <is>
          <t>Max MP %</t>
        </is>
      </c>
      <c r="E201" t="n">
        <v>6</v>
      </c>
      <c r="F201" t="n">
        <v>0.72</v>
      </c>
      <c r="G201" t="b">
        <v>1</v>
      </c>
      <c r="H201" t="inlineStr">
        <is>
          <t>0</t>
        </is>
      </c>
    </row>
    <row r="202">
      <c r="A202" t="inlineStr">
        <is>
          <t>ALL</t>
        </is>
      </c>
      <c r="B202" t="inlineStr">
        <is>
          <t>epic</t>
        </is>
      </c>
      <c r="C202" t="n">
        <v>3</v>
      </c>
      <c r="D202" t="inlineStr">
        <is>
          <t>Str</t>
        </is>
      </c>
      <c r="E202" t="n">
        <v>100</v>
      </c>
      <c r="F202" t="n">
        <v>8.74</v>
      </c>
      <c r="G202" t="b">
        <v>0</v>
      </c>
      <c r="H202">
        <f>Sensitivity!H7</f>
        <v/>
      </c>
    </row>
    <row r="203">
      <c r="A203" t="inlineStr">
        <is>
          <t>ALL</t>
        </is>
      </c>
      <c r="B203" t="inlineStr">
        <is>
          <t>epic</t>
        </is>
      </c>
      <c r="C203" t="n">
        <v>3</v>
      </c>
      <c r="D203" t="inlineStr">
        <is>
          <t>Str</t>
        </is>
      </c>
      <c r="E203" t="n">
        <v>200</v>
      </c>
      <c r="F203" t="n">
        <v>0.74</v>
      </c>
      <c r="G203" t="b">
        <v>1</v>
      </c>
      <c r="H203">
        <f>Sensitivity!H7</f>
        <v/>
      </c>
    </row>
    <row r="204">
      <c r="A204" t="inlineStr">
        <is>
          <t>ALL</t>
        </is>
      </c>
      <c r="B204" t="inlineStr">
        <is>
          <t>epic</t>
        </is>
      </c>
      <c r="C204" t="n">
        <v>3</v>
      </c>
      <c r="D204" t="inlineStr">
        <is>
          <t>Dex</t>
        </is>
      </c>
      <c r="E204" t="n">
        <v>100</v>
      </c>
      <c r="F204" t="n">
        <v>8.74</v>
      </c>
      <c r="G204" t="b">
        <v>0</v>
      </c>
      <c r="H204">
        <f>Sensitivity!H5</f>
        <v/>
      </c>
    </row>
    <row r="205">
      <c r="A205" t="inlineStr">
        <is>
          <t>ALL</t>
        </is>
      </c>
      <c r="B205" t="inlineStr">
        <is>
          <t>epic</t>
        </is>
      </c>
      <c r="C205" t="n">
        <v>3</v>
      </c>
      <c r="D205" t="inlineStr">
        <is>
          <t>Dex</t>
        </is>
      </c>
      <c r="E205" t="n">
        <v>200</v>
      </c>
      <c r="F205" t="n">
        <v>0.74</v>
      </c>
      <c r="G205" t="b">
        <v>1</v>
      </c>
      <c r="H205">
        <f>Sensitivity!H5</f>
        <v/>
      </c>
    </row>
    <row r="206">
      <c r="A206" t="inlineStr">
        <is>
          <t>ALL</t>
        </is>
      </c>
      <c r="B206" t="inlineStr">
        <is>
          <t>epic</t>
        </is>
      </c>
      <c r="C206" t="n">
        <v>3</v>
      </c>
      <c r="D206" t="inlineStr">
        <is>
          <t>Int</t>
        </is>
      </c>
      <c r="E206" t="n">
        <v>100</v>
      </c>
      <c r="F206" t="n">
        <v>8.74</v>
      </c>
      <c r="G206" t="b">
        <v>0</v>
      </c>
      <c r="H206" t="inlineStr">
        <is>
          <t>0</t>
        </is>
      </c>
    </row>
    <row r="207">
      <c r="A207" t="inlineStr">
        <is>
          <t>ALL</t>
        </is>
      </c>
      <c r="B207" t="inlineStr">
        <is>
          <t>epic</t>
        </is>
      </c>
      <c r="C207" t="n">
        <v>3</v>
      </c>
      <c r="D207" t="inlineStr">
        <is>
          <t>Int</t>
        </is>
      </c>
      <c r="E207" t="n">
        <v>200</v>
      </c>
      <c r="F207" t="n">
        <v>0.74</v>
      </c>
      <c r="G207" t="b">
        <v>1</v>
      </c>
      <c r="H207" t="inlineStr">
        <is>
          <t>0</t>
        </is>
      </c>
    </row>
    <row r="208">
      <c r="A208" t="inlineStr">
        <is>
          <t>ALL</t>
        </is>
      </c>
      <c r="B208" t="inlineStr">
        <is>
          <t>epic</t>
        </is>
      </c>
      <c r="C208" t="n">
        <v>3</v>
      </c>
      <c r="D208" t="inlineStr">
        <is>
          <t>Luk</t>
        </is>
      </c>
      <c r="E208" t="n">
        <v>100</v>
      </c>
      <c r="F208" t="n">
        <v>8.74</v>
      </c>
      <c r="G208" t="b">
        <v>0</v>
      </c>
      <c r="H208" t="inlineStr">
        <is>
          <t>0</t>
        </is>
      </c>
    </row>
    <row r="209">
      <c r="A209" t="inlineStr">
        <is>
          <t>ALL</t>
        </is>
      </c>
      <c r="B209" t="inlineStr">
        <is>
          <t>epic</t>
        </is>
      </c>
      <c r="C209" t="n">
        <v>3</v>
      </c>
      <c r="D209" t="inlineStr">
        <is>
          <t>Luk</t>
        </is>
      </c>
      <c r="E209" t="n">
        <v>200</v>
      </c>
      <c r="F209" t="n">
        <v>0.74</v>
      </c>
      <c r="G209" t="b">
        <v>1</v>
      </c>
      <c r="H209" t="inlineStr">
        <is>
          <t>0</t>
        </is>
      </c>
    </row>
    <row r="210">
      <c r="A210" t="inlineStr">
        <is>
          <t>ALL</t>
        </is>
      </c>
      <c r="B210" t="inlineStr">
        <is>
          <t>unique</t>
        </is>
      </c>
      <c r="C210" t="n">
        <v>1</v>
      </c>
      <c r="D210" t="inlineStr">
        <is>
          <t>Critical Rate %</t>
        </is>
      </c>
      <c r="E210" t="n">
        <v>9</v>
      </c>
      <c r="F210" t="n">
        <v>2.5</v>
      </c>
      <c r="G210" t="b">
        <v>1</v>
      </c>
      <c r="H210">
        <f>IF(AND(Inputs!$B$9+Summary!$B$14+Artifacts!$B$32&gt;=100,NOT(ArtifactsInput!$M$42),NOT(ArtifactsInput!$M$24)),Sensitivity!H16,Sensitivity!H15)</f>
        <v/>
      </c>
    </row>
    <row r="211">
      <c r="A211" t="inlineStr">
        <is>
          <t>ALL</t>
        </is>
      </c>
      <c r="B211" t="inlineStr">
        <is>
          <t>unique</t>
        </is>
      </c>
      <c r="C211" t="n">
        <v>1</v>
      </c>
      <c r="D211" t="inlineStr">
        <is>
          <t>Attack Speed %</t>
        </is>
      </c>
      <c r="E211" t="n">
        <v>5</v>
      </c>
      <c r="F211" t="n">
        <v>2.5</v>
      </c>
      <c r="G211" t="b">
        <v>1</v>
      </c>
      <c r="H211">
        <f>Sensitivity!H17</f>
        <v/>
      </c>
    </row>
    <row r="212">
      <c r="A212" t="inlineStr">
        <is>
          <t>ALL</t>
        </is>
      </c>
      <c r="B212" t="inlineStr">
        <is>
          <t>unique</t>
        </is>
      </c>
      <c r="C212" t="n">
        <v>1</v>
      </c>
      <c r="D212" t="inlineStr">
        <is>
          <t>Damage %</t>
        </is>
      </c>
      <c r="E212" t="n">
        <v>18</v>
      </c>
      <c r="F212" t="n">
        <v>4</v>
      </c>
      <c r="G212" t="b">
        <v>1</v>
      </c>
      <c r="H212">
        <f>Sensitivity!H8</f>
        <v/>
      </c>
    </row>
    <row r="213">
      <c r="A213" t="inlineStr">
        <is>
          <t>ALL</t>
        </is>
      </c>
      <c r="B213" t="inlineStr">
        <is>
          <t>unique</t>
        </is>
      </c>
      <c r="C213" t="n">
        <v>1</v>
      </c>
      <c r="D213" t="inlineStr">
        <is>
          <t>Min Damage Multiplier %</t>
        </is>
      </c>
      <c r="E213" t="n">
        <v>10</v>
      </c>
      <c r="F213" t="n">
        <v>4</v>
      </c>
      <c r="G213" t="b">
        <v>1</v>
      </c>
      <c r="H213">
        <f>Sensitivity!H13</f>
        <v/>
      </c>
    </row>
    <row r="214">
      <c r="A214" t="inlineStr">
        <is>
          <t>ALL</t>
        </is>
      </c>
      <c r="B214" t="inlineStr">
        <is>
          <t>unique</t>
        </is>
      </c>
      <c r="C214" t="n">
        <v>1</v>
      </c>
      <c r="D214" t="inlineStr">
        <is>
          <t>Max Damage Multiplier %</t>
        </is>
      </c>
      <c r="E214" t="n">
        <v>10</v>
      </c>
      <c r="F214" t="n">
        <v>4</v>
      </c>
      <c r="G214" t="b">
        <v>1</v>
      </c>
      <c r="H214">
        <f>Sensitivity!H14</f>
        <v/>
      </c>
    </row>
    <row r="215">
      <c r="A215" t="inlineStr">
        <is>
          <t>ALL</t>
        </is>
      </c>
      <c r="B215" t="inlineStr">
        <is>
          <t>unique</t>
        </is>
      </c>
      <c r="C215" t="n">
        <v>1</v>
      </c>
      <c r="D215" t="inlineStr">
        <is>
          <t>Str %</t>
        </is>
      </c>
      <c r="E215" t="n">
        <v>9</v>
      </c>
      <c r="F215" t="n">
        <v>4.5</v>
      </c>
      <c r="G215" t="b">
        <v>1</v>
      </c>
      <c r="H215">
        <f>Sensitivity!H7*Inputs!$B$14/100</f>
        <v/>
      </c>
    </row>
    <row r="216">
      <c r="A216" t="inlineStr">
        <is>
          <t>ALL</t>
        </is>
      </c>
      <c r="B216" t="inlineStr">
        <is>
          <t>unique</t>
        </is>
      </c>
      <c r="C216" t="n">
        <v>1</v>
      </c>
      <c r="D216" t="inlineStr">
        <is>
          <t>Dex %</t>
        </is>
      </c>
      <c r="E216" t="n">
        <v>9</v>
      </c>
      <c r="F216" t="n">
        <v>4.5</v>
      </c>
      <c r="G216" t="b">
        <v>1</v>
      </c>
      <c r="H216">
        <f>Sensitivity!H6</f>
        <v/>
      </c>
    </row>
    <row r="217">
      <c r="A217" t="inlineStr">
        <is>
          <t>ALL</t>
        </is>
      </c>
      <c r="B217" t="inlineStr">
        <is>
          <t>unique</t>
        </is>
      </c>
      <c r="C217" t="n">
        <v>1</v>
      </c>
      <c r="D217" t="inlineStr">
        <is>
          <t>Int %</t>
        </is>
      </c>
      <c r="E217" t="n">
        <v>9</v>
      </c>
      <c r="F217" t="n">
        <v>4.5</v>
      </c>
      <c r="G217" t="b">
        <v>1</v>
      </c>
      <c r="H217" t="inlineStr">
        <is>
          <t>0</t>
        </is>
      </c>
    </row>
    <row r="218">
      <c r="A218" t="inlineStr">
        <is>
          <t>ALL</t>
        </is>
      </c>
      <c r="B218" t="inlineStr">
        <is>
          <t>unique</t>
        </is>
      </c>
      <c r="C218" t="n">
        <v>1</v>
      </c>
      <c r="D218" t="inlineStr">
        <is>
          <t>Luk %</t>
        </is>
      </c>
      <c r="E218" t="n">
        <v>9</v>
      </c>
      <c r="F218" t="n">
        <v>4.5</v>
      </c>
      <c r="G218" t="b">
        <v>1</v>
      </c>
      <c r="H218" t="inlineStr">
        <is>
          <t>0</t>
        </is>
      </c>
    </row>
    <row r="219">
      <c r="A219" t="inlineStr">
        <is>
          <t>ALL</t>
        </is>
      </c>
      <c r="B219" t="inlineStr">
        <is>
          <t>unique</t>
        </is>
      </c>
      <c r="C219" t="n">
        <v>1</v>
      </c>
      <c r="D219" t="inlineStr">
        <is>
          <t>Defense %</t>
        </is>
      </c>
      <c r="E219" t="n">
        <v>9</v>
      </c>
      <c r="F219" t="n">
        <v>9</v>
      </c>
      <c r="G219" t="b">
        <v>1</v>
      </c>
      <c r="H219" t="inlineStr">
        <is>
          <t>0</t>
        </is>
      </c>
    </row>
    <row r="220">
      <c r="A220" t="inlineStr">
        <is>
          <t>ALL</t>
        </is>
      </c>
      <c r="B220" t="inlineStr">
        <is>
          <t>unique</t>
        </is>
      </c>
      <c r="C220" t="n">
        <v>1</v>
      </c>
      <c r="D220" t="inlineStr">
        <is>
          <t>Max HP %</t>
        </is>
      </c>
      <c r="E220" t="n">
        <v>15</v>
      </c>
      <c r="F220" t="n">
        <v>9</v>
      </c>
      <c r="G220" t="b">
        <v>1</v>
      </c>
      <c r="H220" t="inlineStr">
        <is>
          <t>0</t>
        </is>
      </c>
    </row>
    <row r="221">
      <c r="A221" t="inlineStr">
        <is>
          <t>ALL</t>
        </is>
      </c>
      <c r="B221" t="inlineStr">
        <is>
          <t>unique</t>
        </is>
      </c>
      <c r="C221" t="n">
        <v>1</v>
      </c>
      <c r="D221" t="inlineStr">
        <is>
          <t>Max MP %</t>
        </is>
      </c>
      <c r="E221" t="n">
        <v>9</v>
      </c>
      <c r="F221" t="n">
        <v>9</v>
      </c>
      <c r="G221" t="b">
        <v>1</v>
      </c>
      <c r="H221" t="inlineStr">
        <is>
          <t>0</t>
        </is>
      </c>
    </row>
    <row r="222">
      <c r="A222" t="inlineStr">
        <is>
          <t>ALL</t>
        </is>
      </c>
      <c r="B222" t="inlineStr">
        <is>
          <t>unique</t>
        </is>
      </c>
      <c r="C222" t="n">
        <v>1</v>
      </c>
      <c r="D222" t="inlineStr">
        <is>
          <t>Str</t>
        </is>
      </c>
      <c r="E222" t="n">
        <v>400</v>
      </c>
      <c r="F222" t="n">
        <v>9.25</v>
      </c>
      <c r="G222" t="b">
        <v>1</v>
      </c>
      <c r="H222">
        <f>Sensitivity!H7</f>
        <v/>
      </c>
    </row>
    <row r="223">
      <c r="A223" t="inlineStr">
        <is>
          <t>ALL</t>
        </is>
      </c>
      <c r="B223" t="inlineStr">
        <is>
          <t>unique</t>
        </is>
      </c>
      <c r="C223" t="n">
        <v>1</v>
      </c>
      <c r="D223" t="inlineStr">
        <is>
          <t>Dex</t>
        </is>
      </c>
      <c r="E223" t="n">
        <v>400</v>
      </c>
      <c r="F223" t="n">
        <v>9.25</v>
      </c>
      <c r="G223" t="b">
        <v>1</v>
      </c>
      <c r="H223">
        <f>Sensitivity!H5</f>
        <v/>
      </c>
    </row>
    <row r="224">
      <c r="A224" t="inlineStr">
        <is>
          <t>ALL</t>
        </is>
      </c>
      <c r="B224" t="inlineStr">
        <is>
          <t>unique</t>
        </is>
      </c>
      <c r="C224" t="n">
        <v>1</v>
      </c>
      <c r="D224" t="inlineStr">
        <is>
          <t>Int</t>
        </is>
      </c>
      <c r="E224" t="n">
        <v>400</v>
      </c>
      <c r="F224" t="n">
        <v>9.25</v>
      </c>
      <c r="G224" t="b">
        <v>1</v>
      </c>
      <c r="H224" t="inlineStr">
        <is>
          <t>0</t>
        </is>
      </c>
    </row>
    <row r="225">
      <c r="A225" t="inlineStr">
        <is>
          <t>ALL</t>
        </is>
      </c>
      <c r="B225" t="inlineStr">
        <is>
          <t>unique</t>
        </is>
      </c>
      <c r="C225" t="n">
        <v>1</v>
      </c>
      <c r="D225" t="inlineStr">
        <is>
          <t>Luk</t>
        </is>
      </c>
      <c r="E225" t="n">
        <v>400</v>
      </c>
      <c r="F225" t="n">
        <v>9.25</v>
      </c>
      <c r="G225" t="b">
        <v>1</v>
      </c>
      <c r="H225" t="inlineStr">
        <is>
          <t>0</t>
        </is>
      </c>
    </row>
    <row r="226">
      <c r="A226" t="inlineStr">
        <is>
          <t>ALL</t>
        </is>
      </c>
      <c r="B226" t="inlineStr">
        <is>
          <t>unique</t>
        </is>
      </c>
      <c r="C226" t="n">
        <v>2</v>
      </c>
      <c r="D226" t="inlineStr">
        <is>
          <t>Critical Rate %</t>
        </is>
      </c>
      <c r="E226" t="n">
        <v>6</v>
      </c>
      <c r="F226" t="n">
        <v>1.9</v>
      </c>
      <c r="G226" t="b">
        <v>0</v>
      </c>
      <c r="H226">
        <f>IF(AND(Inputs!$B$9+Summary!$B$14+Artifacts!$B$32&gt;=100,NOT(ArtifactsInput!$M$42),NOT(ArtifactsInput!$M$24)),Sensitivity!H16,Sensitivity!H15)</f>
        <v/>
      </c>
    </row>
    <row r="227">
      <c r="A227" t="inlineStr">
        <is>
          <t>ALL</t>
        </is>
      </c>
      <c r="B227" t="inlineStr">
        <is>
          <t>unique</t>
        </is>
      </c>
      <c r="C227" t="n">
        <v>2</v>
      </c>
      <c r="D227" t="inlineStr">
        <is>
          <t>Critical Rate %</t>
        </is>
      </c>
      <c r="E227" t="n">
        <v>9</v>
      </c>
      <c r="F227" t="n">
        <v>0.6</v>
      </c>
      <c r="G227" t="b">
        <v>1</v>
      </c>
      <c r="H227">
        <f>IF(AND(Inputs!$B$9+Summary!$B$14+Artifacts!$B$32&gt;=100,NOT(ArtifactsInput!$M$42),NOT(ArtifactsInput!$M$24)),Sensitivity!H16,Sensitivity!H15)</f>
        <v/>
      </c>
    </row>
    <row r="228">
      <c r="A228" t="inlineStr">
        <is>
          <t>ALL</t>
        </is>
      </c>
      <c r="B228" t="inlineStr">
        <is>
          <t>unique</t>
        </is>
      </c>
      <c r="C228" t="n">
        <v>2</v>
      </c>
      <c r="D228" t="inlineStr">
        <is>
          <t>Attack Speed %</t>
        </is>
      </c>
      <c r="E228" t="n">
        <v>4</v>
      </c>
      <c r="F228" t="n">
        <v>1.9</v>
      </c>
      <c r="G228" t="b">
        <v>0</v>
      </c>
      <c r="H228">
        <f>Sensitivity!H17</f>
        <v/>
      </c>
    </row>
    <row r="229">
      <c r="A229" t="inlineStr">
        <is>
          <t>ALL</t>
        </is>
      </c>
      <c r="B229" t="inlineStr">
        <is>
          <t>unique</t>
        </is>
      </c>
      <c r="C229" t="n">
        <v>2</v>
      </c>
      <c r="D229" t="inlineStr">
        <is>
          <t>Attack Speed %</t>
        </is>
      </c>
      <c r="E229" t="n">
        <v>5</v>
      </c>
      <c r="F229" t="n">
        <v>0.6</v>
      </c>
      <c r="G229" t="b">
        <v>1</v>
      </c>
      <c r="H229">
        <f>Sensitivity!H17</f>
        <v/>
      </c>
    </row>
    <row r="230">
      <c r="A230" t="inlineStr">
        <is>
          <t>ALL</t>
        </is>
      </c>
      <c r="B230" t="inlineStr">
        <is>
          <t>unique</t>
        </is>
      </c>
      <c r="C230" t="n">
        <v>2</v>
      </c>
      <c r="D230" t="inlineStr">
        <is>
          <t>Damage %</t>
        </is>
      </c>
      <c r="E230" t="n">
        <v>12</v>
      </c>
      <c r="F230" t="n">
        <v>3.04</v>
      </c>
      <c r="G230" t="b">
        <v>0</v>
      </c>
      <c r="H230">
        <f>Sensitivity!H8</f>
        <v/>
      </c>
    </row>
    <row r="231">
      <c r="A231" t="inlineStr">
        <is>
          <t>ALL</t>
        </is>
      </c>
      <c r="B231" t="inlineStr">
        <is>
          <t>unique</t>
        </is>
      </c>
      <c r="C231" t="n">
        <v>2</v>
      </c>
      <c r="D231" t="inlineStr">
        <is>
          <t>Damage %</t>
        </is>
      </c>
      <c r="E231" t="n">
        <v>18</v>
      </c>
      <c r="F231" t="n">
        <v>0.96</v>
      </c>
      <c r="G231" t="b">
        <v>1</v>
      </c>
      <c r="H231">
        <f>Sensitivity!H8</f>
        <v/>
      </c>
    </row>
    <row r="232">
      <c r="A232" t="inlineStr">
        <is>
          <t>ALL</t>
        </is>
      </c>
      <c r="B232" t="inlineStr">
        <is>
          <t>unique</t>
        </is>
      </c>
      <c r="C232" t="n">
        <v>2</v>
      </c>
      <c r="D232" t="inlineStr">
        <is>
          <t>Min Damage Multiplier %</t>
        </is>
      </c>
      <c r="E232" t="n">
        <v>8</v>
      </c>
      <c r="F232" t="n">
        <v>3.04</v>
      </c>
      <c r="G232" t="b">
        <v>0</v>
      </c>
      <c r="H232">
        <f>Sensitivity!H13</f>
        <v/>
      </c>
    </row>
    <row r="233">
      <c r="A233" t="inlineStr">
        <is>
          <t>ALL</t>
        </is>
      </c>
      <c r="B233" t="inlineStr">
        <is>
          <t>unique</t>
        </is>
      </c>
      <c r="C233" t="n">
        <v>2</v>
      </c>
      <c r="D233" t="inlineStr">
        <is>
          <t>Min Damage Multiplier %</t>
        </is>
      </c>
      <c r="E233" t="n">
        <v>10</v>
      </c>
      <c r="F233" t="n">
        <v>0.96</v>
      </c>
      <c r="G233" t="b">
        <v>1</v>
      </c>
      <c r="H233">
        <f>Sensitivity!H13</f>
        <v/>
      </c>
    </row>
    <row r="234">
      <c r="A234" t="inlineStr">
        <is>
          <t>ALL</t>
        </is>
      </c>
      <c r="B234" t="inlineStr">
        <is>
          <t>unique</t>
        </is>
      </c>
      <c r="C234" t="n">
        <v>2</v>
      </c>
      <c r="D234" t="inlineStr">
        <is>
          <t>Max Damage Multiplier %</t>
        </is>
      </c>
      <c r="E234" t="n">
        <v>8</v>
      </c>
      <c r="F234" t="n">
        <v>3.04</v>
      </c>
      <c r="G234" t="b">
        <v>0</v>
      </c>
      <c r="H234">
        <f>Sensitivity!H14</f>
        <v/>
      </c>
    </row>
    <row r="235">
      <c r="A235" t="inlineStr">
        <is>
          <t>ALL</t>
        </is>
      </c>
      <c r="B235" t="inlineStr">
        <is>
          <t>unique</t>
        </is>
      </c>
      <c r="C235" t="n">
        <v>2</v>
      </c>
      <c r="D235" t="inlineStr">
        <is>
          <t>Max Damage Multiplier %</t>
        </is>
      </c>
      <c r="E235" t="n">
        <v>10</v>
      </c>
      <c r="F235" t="n">
        <v>0.96</v>
      </c>
      <c r="G235" t="b">
        <v>1</v>
      </c>
      <c r="H235">
        <f>Sensitivity!H14</f>
        <v/>
      </c>
    </row>
    <row r="236">
      <c r="A236" t="inlineStr">
        <is>
          <t>ALL</t>
        </is>
      </c>
      <c r="B236" t="inlineStr">
        <is>
          <t>unique</t>
        </is>
      </c>
      <c r="C236" t="n">
        <v>2</v>
      </c>
      <c r="D236" t="inlineStr">
        <is>
          <t>Str %</t>
        </is>
      </c>
      <c r="E236" t="n">
        <v>6</v>
      </c>
      <c r="F236" t="n">
        <v>3.42</v>
      </c>
      <c r="G236" t="b">
        <v>0</v>
      </c>
      <c r="H236">
        <f>Sensitivity!H7*Inputs!$B$14/100</f>
        <v/>
      </c>
    </row>
    <row r="237">
      <c r="A237" t="inlineStr">
        <is>
          <t>ALL</t>
        </is>
      </c>
      <c r="B237" t="inlineStr">
        <is>
          <t>unique</t>
        </is>
      </c>
      <c r="C237" t="n">
        <v>2</v>
      </c>
      <c r="D237" t="inlineStr">
        <is>
          <t>Str %</t>
        </is>
      </c>
      <c r="E237" t="n">
        <v>9</v>
      </c>
      <c r="F237" t="n">
        <v>1.08</v>
      </c>
      <c r="G237" t="b">
        <v>1</v>
      </c>
      <c r="H237">
        <f>Sensitivity!H7*Inputs!$B$14/100</f>
        <v/>
      </c>
    </row>
    <row r="238">
      <c r="A238" t="inlineStr">
        <is>
          <t>ALL</t>
        </is>
      </c>
      <c r="B238" t="inlineStr">
        <is>
          <t>unique</t>
        </is>
      </c>
      <c r="C238" t="n">
        <v>2</v>
      </c>
      <c r="D238" t="inlineStr">
        <is>
          <t>Dex %</t>
        </is>
      </c>
      <c r="E238" t="n">
        <v>6</v>
      </c>
      <c r="F238" t="n">
        <v>3.42</v>
      </c>
      <c r="G238" t="b">
        <v>0</v>
      </c>
      <c r="H238">
        <f>Sensitivity!H6</f>
        <v/>
      </c>
    </row>
    <row r="239">
      <c r="A239" t="inlineStr">
        <is>
          <t>ALL</t>
        </is>
      </c>
      <c r="B239" t="inlineStr">
        <is>
          <t>unique</t>
        </is>
      </c>
      <c r="C239" t="n">
        <v>2</v>
      </c>
      <c r="D239" t="inlineStr">
        <is>
          <t>Dex %</t>
        </is>
      </c>
      <c r="E239" t="n">
        <v>9</v>
      </c>
      <c r="F239" t="n">
        <v>1.08</v>
      </c>
      <c r="G239" t="b">
        <v>1</v>
      </c>
      <c r="H239">
        <f>Sensitivity!H6</f>
        <v/>
      </c>
    </row>
    <row r="240">
      <c r="A240" t="inlineStr">
        <is>
          <t>ALL</t>
        </is>
      </c>
      <c r="B240" t="inlineStr">
        <is>
          <t>unique</t>
        </is>
      </c>
      <c r="C240" t="n">
        <v>2</v>
      </c>
      <c r="D240" t="inlineStr">
        <is>
          <t>Int %</t>
        </is>
      </c>
      <c r="E240" t="n">
        <v>6</v>
      </c>
      <c r="F240" t="n">
        <v>3.42</v>
      </c>
      <c r="G240" t="b">
        <v>0</v>
      </c>
      <c r="H240" t="inlineStr">
        <is>
          <t>0</t>
        </is>
      </c>
    </row>
    <row r="241">
      <c r="A241" t="inlineStr">
        <is>
          <t>ALL</t>
        </is>
      </c>
      <c r="B241" t="inlineStr">
        <is>
          <t>unique</t>
        </is>
      </c>
      <c r="C241" t="n">
        <v>2</v>
      </c>
      <c r="D241" t="inlineStr">
        <is>
          <t>Int %</t>
        </is>
      </c>
      <c r="E241" t="n">
        <v>9</v>
      </c>
      <c r="F241" t="n">
        <v>1.08</v>
      </c>
      <c r="G241" t="b">
        <v>1</v>
      </c>
      <c r="H241" t="inlineStr">
        <is>
          <t>0</t>
        </is>
      </c>
    </row>
    <row r="242">
      <c r="A242" t="inlineStr">
        <is>
          <t>ALL</t>
        </is>
      </c>
      <c r="B242" t="inlineStr">
        <is>
          <t>unique</t>
        </is>
      </c>
      <c r="C242" t="n">
        <v>2</v>
      </c>
      <c r="D242" t="inlineStr">
        <is>
          <t>Luk %</t>
        </is>
      </c>
      <c r="E242" t="n">
        <v>6</v>
      </c>
      <c r="F242" t="n">
        <v>3.42</v>
      </c>
      <c r="G242" t="b">
        <v>0</v>
      </c>
      <c r="H242" t="inlineStr">
        <is>
          <t>0</t>
        </is>
      </c>
    </row>
    <row r="243">
      <c r="A243" t="inlineStr">
        <is>
          <t>ALL</t>
        </is>
      </c>
      <c r="B243" t="inlineStr">
        <is>
          <t>unique</t>
        </is>
      </c>
      <c r="C243" t="n">
        <v>2</v>
      </c>
      <c r="D243" t="inlineStr">
        <is>
          <t>Luk %</t>
        </is>
      </c>
      <c r="E243" t="n">
        <v>9</v>
      </c>
      <c r="F243" t="n">
        <v>1.08</v>
      </c>
      <c r="G243" t="b">
        <v>1</v>
      </c>
      <c r="H243" t="inlineStr">
        <is>
          <t>0</t>
        </is>
      </c>
    </row>
    <row r="244">
      <c r="A244" t="inlineStr">
        <is>
          <t>ALL</t>
        </is>
      </c>
      <c r="B244" t="inlineStr">
        <is>
          <t>unique</t>
        </is>
      </c>
      <c r="C244" t="n">
        <v>2</v>
      </c>
      <c r="D244" t="inlineStr">
        <is>
          <t>Defense %</t>
        </is>
      </c>
      <c r="E244" t="n">
        <v>6</v>
      </c>
      <c r="F244" t="n">
        <v>6.84</v>
      </c>
      <c r="G244" t="b">
        <v>0</v>
      </c>
      <c r="H244" t="inlineStr">
        <is>
          <t>0</t>
        </is>
      </c>
    </row>
    <row r="245">
      <c r="A245" t="inlineStr">
        <is>
          <t>ALL</t>
        </is>
      </c>
      <c r="B245" t="inlineStr">
        <is>
          <t>unique</t>
        </is>
      </c>
      <c r="C245" t="n">
        <v>2</v>
      </c>
      <c r="D245" t="inlineStr">
        <is>
          <t>Defense %</t>
        </is>
      </c>
      <c r="E245" t="n">
        <v>9</v>
      </c>
      <c r="F245" t="n">
        <v>2.16</v>
      </c>
      <c r="G245" t="b">
        <v>1</v>
      </c>
      <c r="H245" t="inlineStr">
        <is>
          <t>0</t>
        </is>
      </c>
    </row>
    <row r="246">
      <c r="A246" t="inlineStr">
        <is>
          <t>ALL</t>
        </is>
      </c>
      <c r="B246" t="inlineStr">
        <is>
          <t>unique</t>
        </is>
      </c>
      <c r="C246" t="n">
        <v>2</v>
      </c>
      <c r="D246" t="inlineStr">
        <is>
          <t>Max HP %</t>
        </is>
      </c>
      <c r="E246" t="n">
        <v>12</v>
      </c>
      <c r="F246" t="n">
        <v>6.84</v>
      </c>
      <c r="G246" t="b">
        <v>0</v>
      </c>
      <c r="H246" t="inlineStr">
        <is>
          <t>0</t>
        </is>
      </c>
    </row>
    <row r="247">
      <c r="A247" t="inlineStr">
        <is>
          <t>ALL</t>
        </is>
      </c>
      <c r="B247" t="inlineStr">
        <is>
          <t>unique</t>
        </is>
      </c>
      <c r="C247" t="n">
        <v>2</v>
      </c>
      <c r="D247" t="inlineStr">
        <is>
          <t>Max HP %</t>
        </is>
      </c>
      <c r="E247" t="n">
        <v>15</v>
      </c>
      <c r="F247" t="n">
        <v>2.16</v>
      </c>
      <c r="G247" t="b">
        <v>1</v>
      </c>
      <c r="H247" t="inlineStr">
        <is>
          <t>0</t>
        </is>
      </c>
    </row>
    <row r="248">
      <c r="A248" t="inlineStr">
        <is>
          <t>ALL</t>
        </is>
      </c>
      <c r="B248" t="inlineStr">
        <is>
          <t>unique</t>
        </is>
      </c>
      <c r="C248" t="n">
        <v>2</v>
      </c>
      <c r="D248" t="inlineStr">
        <is>
          <t>Max MP %</t>
        </is>
      </c>
      <c r="E248" t="n">
        <v>6</v>
      </c>
      <c r="F248" t="n">
        <v>6.84</v>
      </c>
      <c r="G248" t="b">
        <v>0</v>
      </c>
      <c r="H248" t="inlineStr">
        <is>
          <t>0</t>
        </is>
      </c>
    </row>
    <row r="249">
      <c r="A249" t="inlineStr">
        <is>
          <t>ALL</t>
        </is>
      </c>
      <c r="B249" t="inlineStr">
        <is>
          <t>unique</t>
        </is>
      </c>
      <c r="C249" t="n">
        <v>2</v>
      </c>
      <c r="D249" t="inlineStr">
        <is>
          <t>Max MP %</t>
        </is>
      </c>
      <c r="E249" t="n">
        <v>9</v>
      </c>
      <c r="F249" t="n">
        <v>2.16</v>
      </c>
      <c r="G249" t="b">
        <v>1</v>
      </c>
      <c r="H249" t="inlineStr">
        <is>
          <t>0</t>
        </is>
      </c>
    </row>
    <row r="250">
      <c r="A250" t="inlineStr">
        <is>
          <t>ALL</t>
        </is>
      </c>
      <c r="B250" t="inlineStr">
        <is>
          <t>unique</t>
        </is>
      </c>
      <c r="C250" t="n">
        <v>2</v>
      </c>
      <c r="D250" t="inlineStr">
        <is>
          <t>Str</t>
        </is>
      </c>
      <c r="E250" t="n">
        <v>200</v>
      </c>
      <c r="F250" t="n">
        <v>7.03</v>
      </c>
      <c r="G250" t="b">
        <v>0</v>
      </c>
      <c r="H250">
        <f>Sensitivity!H7</f>
        <v/>
      </c>
    </row>
    <row r="251">
      <c r="A251" t="inlineStr">
        <is>
          <t>ALL</t>
        </is>
      </c>
      <c r="B251" t="inlineStr">
        <is>
          <t>unique</t>
        </is>
      </c>
      <c r="C251" t="n">
        <v>2</v>
      </c>
      <c r="D251" t="inlineStr">
        <is>
          <t>Str</t>
        </is>
      </c>
      <c r="E251" t="n">
        <v>400</v>
      </c>
      <c r="F251" t="n">
        <v>2.22</v>
      </c>
      <c r="G251" t="b">
        <v>1</v>
      </c>
      <c r="H251">
        <f>Sensitivity!H7</f>
        <v/>
      </c>
    </row>
    <row r="252">
      <c r="A252" t="inlineStr">
        <is>
          <t>ALL</t>
        </is>
      </c>
      <c r="B252" t="inlineStr">
        <is>
          <t>unique</t>
        </is>
      </c>
      <c r="C252" t="n">
        <v>2</v>
      </c>
      <c r="D252" t="inlineStr">
        <is>
          <t>Dex</t>
        </is>
      </c>
      <c r="E252" t="n">
        <v>200</v>
      </c>
      <c r="F252" t="n">
        <v>7.03</v>
      </c>
      <c r="G252" t="b">
        <v>0</v>
      </c>
      <c r="H252">
        <f>Sensitivity!H5</f>
        <v/>
      </c>
    </row>
    <row r="253">
      <c r="A253" t="inlineStr">
        <is>
          <t>ALL</t>
        </is>
      </c>
      <c r="B253" t="inlineStr">
        <is>
          <t>unique</t>
        </is>
      </c>
      <c r="C253" t="n">
        <v>2</v>
      </c>
      <c r="D253" t="inlineStr">
        <is>
          <t>Dex</t>
        </is>
      </c>
      <c r="E253" t="n">
        <v>400</v>
      </c>
      <c r="F253" t="n">
        <v>2.22</v>
      </c>
      <c r="G253" t="b">
        <v>1</v>
      </c>
      <c r="H253">
        <f>Sensitivity!H5</f>
        <v/>
      </c>
    </row>
    <row r="254">
      <c r="A254" t="inlineStr">
        <is>
          <t>ALL</t>
        </is>
      </c>
      <c r="B254" t="inlineStr">
        <is>
          <t>unique</t>
        </is>
      </c>
      <c r="C254" t="n">
        <v>2</v>
      </c>
      <c r="D254" t="inlineStr">
        <is>
          <t>Int</t>
        </is>
      </c>
      <c r="E254" t="n">
        <v>200</v>
      </c>
      <c r="F254" t="n">
        <v>7.03</v>
      </c>
      <c r="G254" t="b">
        <v>0</v>
      </c>
      <c r="H254" t="inlineStr">
        <is>
          <t>0</t>
        </is>
      </c>
    </row>
    <row r="255">
      <c r="A255" t="inlineStr">
        <is>
          <t>ALL</t>
        </is>
      </c>
      <c r="B255" t="inlineStr">
        <is>
          <t>unique</t>
        </is>
      </c>
      <c r="C255" t="n">
        <v>2</v>
      </c>
      <c r="D255" t="inlineStr">
        <is>
          <t>Int</t>
        </is>
      </c>
      <c r="E255" t="n">
        <v>400</v>
      </c>
      <c r="F255" t="n">
        <v>2.22</v>
      </c>
      <c r="G255" t="b">
        <v>1</v>
      </c>
      <c r="H255" t="inlineStr">
        <is>
          <t>0</t>
        </is>
      </c>
    </row>
    <row r="256">
      <c r="A256" t="inlineStr">
        <is>
          <t>ALL</t>
        </is>
      </c>
      <c r="B256" t="inlineStr">
        <is>
          <t>unique</t>
        </is>
      </c>
      <c r="C256" t="n">
        <v>2</v>
      </c>
      <c r="D256" t="inlineStr">
        <is>
          <t>Luk</t>
        </is>
      </c>
      <c r="E256" t="n">
        <v>200</v>
      </c>
      <c r="F256" t="n">
        <v>7.03</v>
      </c>
      <c r="G256" t="b">
        <v>0</v>
      </c>
      <c r="H256" t="inlineStr">
        <is>
          <t>0</t>
        </is>
      </c>
    </row>
    <row r="257">
      <c r="A257" t="inlineStr">
        <is>
          <t>ALL</t>
        </is>
      </c>
      <c r="B257" t="inlineStr">
        <is>
          <t>unique</t>
        </is>
      </c>
      <c r="C257" t="n">
        <v>2</v>
      </c>
      <c r="D257" t="inlineStr">
        <is>
          <t>Luk</t>
        </is>
      </c>
      <c r="E257" t="n">
        <v>400</v>
      </c>
      <c r="F257" t="n">
        <v>2.22</v>
      </c>
      <c r="G257" t="b">
        <v>1</v>
      </c>
      <c r="H257" t="inlineStr">
        <is>
          <t>0</t>
        </is>
      </c>
    </row>
    <row r="258">
      <c r="A258" t="inlineStr">
        <is>
          <t>ALL</t>
        </is>
      </c>
      <c r="B258" t="inlineStr">
        <is>
          <t>unique</t>
        </is>
      </c>
      <c r="C258" t="n">
        <v>3</v>
      </c>
      <c r="D258" t="inlineStr">
        <is>
          <t>Critical Rate %</t>
        </is>
      </c>
      <c r="E258" t="n">
        <v>6</v>
      </c>
      <c r="F258" t="n">
        <v>2.3</v>
      </c>
      <c r="G258" t="b">
        <v>0</v>
      </c>
      <c r="H258">
        <f>IF(AND(Inputs!$B$9+Summary!$B$14+Artifacts!$B$32&gt;=100,NOT(ArtifactsInput!$M$42),NOT(ArtifactsInput!$M$24)),Sensitivity!H16,Sensitivity!H15)</f>
        <v/>
      </c>
    </row>
    <row r="259">
      <c r="A259" t="inlineStr">
        <is>
          <t>ALL</t>
        </is>
      </c>
      <c r="B259" t="inlineStr">
        <is>
          <t>unique</t>
        </is>
      </c>
      <c r="C259" t="n">
        <v>3</v>
      </c>
      <c r="D259" t="inlineStr">
        <is>
          <t>Critical Rate %</t>
        </is>
      </c>
      <c r="E259" t="n">
        <v>9</v>
      </c>
      <c r="F259" t="n">
        <v>0.2</v>
      </c>
      <c r="G259" t="b">
        <v>1</v>
      </c>
      <c r="H259">
        <f>IF(AND(Inputs!$B$9+Summary!$B$14+Artifacts!$B$32&gt;=100,NOT(ArtifactsInput!$M$42),NOT(ArtifactsInput!$M$24)),Sensitivity!H16,Sensitivity!H15)</f>
        <v/>
      </c>
    </row>
    <row r="260">
      <c r="A260" t="inlineStr">
        <is>
          <t>ALL</t>
        </is>
      </c>
      <c r="B260" t="inlineStr">
        <is>
          <t>unique</t>
        </is>
      </c>
      <c r="C260" t="n">
        <v>3</v>
      </c>
      <c r="D260" t="inlineStr">
        <is>
          <t>Attack Speed %</t>
        </is>
      </c>
      <c r="E260" t="n">
        <v>4</v>
      </c>
      <c r="F260" t="n">
        <v>2.3</v>
      </c>
      <c r="G260" t="b">
        <v>0</v>
      </c>
      <c r="H260">
        <f>Sensitivity!H17</f>
        <v/>
      </c>
    </row>
    <row r="261">
      <c r="A261" t="inlineStr">
        <is>
          <t>ALL</t>
        </is>
      </c>
      <c r="B261" t="inlineStr">
        <is>
          <t>unique</t>
        </is>
      </c>
      <c r="C261" t="n">
        <v>3</v>
      </c>
      <c r="D261" t="inlineStr">
        <is>
          <t>Attack Speed %</t>
        </is>
      </c>
      <c r="E261" t="n">
        <v>5</v>
      </c>
      <c r="F261" t="n">
        <v>0.2</v>
      </c>
      <c r="G261" t="b">
        <v>1</v>
      </c>
      <c r="H261">
        <f>Sensitivity!H17</f>
        <v/>
      </c>
    </row>
    <row r="262">
      <c r="A262" t="inlineStr">
        <is>
          <t>ALL</t>
        </is>
      </c>
      <c r="B262" t="inlineStr">
        <is>
          <t>unique</t>
        </is>
      </c>
      <c r="C262" t="n">
        <v>3</v>
      </c>
      <c r="D262" t="inlineStr">
        <is>
          <t>Damage %</t>
        </is>
      </c>
      <c r="E262" t="n">
        <v>12</v>
      </c>
      <c r="F262" t="n">
        <v>3.68</v>
      </c>
      <c r="G262" t="b">
        <v>0</v>
      </c>
      <c r="H262">
        <f>Sensitivity!H8</f>
        <v/>
      </c>
    </row>
    <row r="263">
      <c r="A263" t="inlineStr">
        <is>
          <t>ALL</t>
        </is>
      </c>
      <c r="B263" t="inlineStr">
        <is>
          <t>unique</t>
        </is>
      </c>
      <c r="C263" t="n">
        <v>3</v>
      </c>
      <c r="D263" t="inlineStr">
        <is>
          <t>Damage %</t>
        </is>
      </c>
      <c r="E263" t="n">
        <v>18</v>
      </c>
      <c r="F263" t="n">
        <v>0.32</v>
      </c>
      <c r="G263" t="b">
        <v>1</v>
      </c>
      <c r="H263">
        <f>Sensitivity!H8</f>
        <v/>
      </c>
    </row>
    <row r="264">
      <c r="A264" t="inlineStr">
        <is>
          <t>ALL</t>
        </is>
      </c>
      <c r="B264" t="inlineStr">
        <is>
          <t>unique</t>
        </is>
      </c>
      <c r="C264" t="n">
        <v>3</v>
      </c>
      <c r="D264" t="inlineStr">
        <is>
          <t>Min Damage Multiplier %</t>
        </is>
      </c>
      <c r="E264" t="n">
        <v>8</v>
      </c>
      <c r="F264" t="n">
        <v>3.68</v>
      </c>
      <c r="G264" t="b">
        <v>0</v>
      </c>
      <c r="H264">
        <f>Sensitivity!H13</f>
        <v/>
      </c>
    </row>
    <row r="265">
      <c r="A265" t="inlineStr">
        <is>
          <t>ALL</t>
        </is>
      </c>
      <c r="B265" t="inlineStr">
        <is>
          <t>unique</t>
        </is>
      </c>
      <c r="C265" t="n">
        <v>3</v>
      </c>
      <c r="D265" t="inlineStr">
        <is>
          <t>Min Damage Multiplier %</t>
        </is>
      </c>
      <c r="E265" t="n">
        <v>10</v>
      </c>
      <c r="F265" t="n">
        <v>0.32</v>
      </c>
      <c r="G265" t="b">
        <v>1</v>
      </c>
      <c r="H265">
        <f>Sensitivity!H13</f>
        <v/>
      </c>
    </row>
    <row r="266">
      <c r="A266" t="inlineStr">
        <is>
          <t>ALL</t>
        </is>
      </c>
      <c r="B266" t="inlineStr">
        <is>
          <t>unique</t>
        </is>
      </c>
      <c r="C266" t="n">
        <v>3</v>
      </c>
      <c r="D266" t="inlineStr">
        <is>
          <t>Max Damage Multiplier %</t>
        </is>
      </c>
      <c r="E266" t="n">
        <v>8</v>
      </c>
      <c r="F266" t="n">
        <v>3.68</v>
      </c>
      <c r="G266" t="b">
        <v>0</v>
      </c>
      <c r="H266">
        <f>Sensitivity!H14</f>
        <v/>
      </c>
    </row>
    <row r="267">
      <c r="A267" t="inlineStr">
        <is>
          <t>ALL</t>
        </is>
      </c>
      <c r="B267" t="inlineStr">
        <is>
          <t>unique</t>
        </is>
      </c>
      <c r="C267" t="n">
        <v>3</v>
      </c>
      <c r="D267" t="inlineStr">
        <is>
          <t>Max Damage Multiplier %</t>
        </is>
      </c>
      <c r="E267" t="n">
        <v>10</v>
      </c>
      <c r="F267" t="n">
        <v>0.32</v>
      </c>
      <c r="G267" t="b">
        <v>1</v>
      </c>
      <c r="H267">
        <f>Sensitivity!H14</f>
        <v/>
      </c>
    </row>
    <row r="268">
      <c r="A268" t="inlineStr">
        <is>
          <t>ALL</t>
        </is>
      </c>
      <c r="B268" t="inlineStr">
        <is>
          <t>unique</t>
        </is>
      </c>
      <c r="C268" t="n">
        <v>3</v>
      </c>
      <c r="D268" t="inlineStr">
        <is>
          <t>Str %</t>
        </is>
      </c>
      <c r="E268" t="n">
        <v>6</v>
      </c>
      <c r="F268" t="n">
        <v>4.14</v>
      </c>
      <c r="G268" t="b">
        <v>0</v>
      </c>
      <c r="H268">
        <f>Sensitivity!H7*Inputs!$B$14/100</f>
        <v/>
      </c>
    </row>
    <row r="269">
      <c r="A269" t="inlineStr">
        <is>
          <t>ALL</t>
        </is>
      </c>
      <c r="B269" t="inlineStr">
        <is>
          <t>unique</t>
        </is>
      </c>
      <c r="C269" t="n">
        <v>3</v>
      </c>
      <c r="D269" t="inlineStr">
        <is>
          <t>Str %</t>
        </is>
      </c>
      <c r="E269" t="n">
        <v>9</v>
      </c>
      <c r="F269" t="n">
        <v>0.36</v>
      </c>
      <c r="G269" t="b">
        <v>1</v>
      </c>
      <c r="H269">
        <f>Sensitivity!H7*Inputs!$B$14/100</f>
        <v/>
      </c>
    </row>
    <row r="270">
      <c r="A270" t="inlineStr">
        <is>
          <t>ALL</t>
        </is>
      </c>
      <c r="B270" t="inlineStr">
        <is>
          <t>unique</t>
        </is>
      </c>
      <c r="C270" t="n">
        <v>3</v>
      </c>
      <c r="D270" t="inlineStr">
        <is>
          <t>Dex %</t>
        </is>
      </c>
      <c r="E270" t="n">
        <v>6</v>
      </c>
      <c r="F270" t="n">
        <v>4.14</v>
      </c>
      <c r="G270" t="b">
        <v>0</v>
      </c>
      <c r="H270">
        <f>Sensitivity!H6</f>
        <v/>
      </c>
    </row>
    <row r="271">
      <c r="A271" t="inlineStr">
        <is>
          <t>ALL</t>
        </is>
      </c>
      <c r="B271" t="inlineStr">
        <is>
          <t>unique</t>
        </is>
      </c>
      <c r="C271" t="n">
        <v>3</v>
      </c>
      <c r="D271" t="inlineStr">
        <is>
          <t>Dex %</t>
        </is>
      </c>
      <c r="E271" t="n">
        <v>9</v>
      </c>
      <c r="F271" t="n">
        <v>0.36</v>
      </c>
      <c r="G271" t="b">
        <v>1</v>
      </c>
      <c r="H271">
        <f>Sensitivity!H6</f>
        <v/>
      </c>
    </row>
    <row r="272">
      <c r="A272" t="inlineStr">
        <is>
          <t>ALL</t>
        </is>
      </c>
      <c r="B272" t="inlineStr">
        <is>
          <t>unique</t>
        </is>
      </c>
      <c r="C272" t="n">
        <v>3</v>
      </c>
      <c r="D272" t="inlineStr">
        <is>
          <t>Int %</t>
        </is>
      </c>
      <c r="E272" t="n">
        <v>6</v>
      </c>
      <c r="F272" t="n">
        <v>4.14</v>
      </c>
      <c r="G272" t="b">
        <v>0</v>
      </c>
      <c r="H272" t="inlineStr">
        <is>
          <t>0</t>
        </is>
      </c>
    </row>
    <row r="273">
      <c r="A273" t="inlineStr">
        <is>
          <t>ALL</t>
        </is>
      </c>
      <c r="B273" t="inlineStr">
        <is>
          <t>unique</t>
        </is>
      </c>
      <c r="C273" t="n">
        <v>3</v>
      </c>
      <c r="D273" t="inlineStr">
        <is>
          <t>Int %</t>
        </is>
      </c>
      <c r="E273" t="n">
        <v>9</v>
      </c>
      <c r="F273" t="n">
        <v>0.36</v>
      </c>
      <c r="G273" t="b">
        <v>1</v>
      </c>
      <c r="H273" t="inlineStr">
        <is>
          <t>0</t>
        </is>
      </c>
    </row>
    <row r="274">
      <c r="A274" t="inlineStr">
        <is>
          <t>ALL</t>
        </is>
      </c>
      <c r="B274" t="inlineStr">
        <is>
          <t>unique</t>
        </is>
      </c>
      <c r="C274" t="n">
        <v>3</v>
      </c>
      <c r="D274" t="inlineStr">
        <is>
          <t>Luk %</t>
        </is>
      </c>
      <c r="E274" t="n">
        <v>6</v>
      </c>
      <c r="F274" t="n">
        <v>4.14</v>
      </c>
      <c r="G274" t="b">
        <v>0</v>
      </c>
      <c r="H274" t="inlineStr">
        <is>
          <t>0</t>
        </is>
      </c>
    </row>
    <row r="275">
      <c r="A275" t="inlineStr">
        <is>
          <t>ALL</t>
        </is>
      </c>
      <c r="B275" t="inlineStr">
        <is>
          <t>unique</t>
        </is>
      </c>
      <c r="C275" t="n">
        <v>3</v>
      </c>
      <c r="D275" t="inlineStr">
        <is>
          <t>Luk %</t>
        </is>
      </c>
      <c r="E275" t="n">
        <v>9</v>
      </c>
      <c r="F275" t="n">
        <v>0.36</v>
      </c>
      <c r="G275" t="b">
        <v>1</v>
      </c>
      <c r="H275" t="inlineStr">
        <is>
          <t>0</t>
        </is>
      </c>
    </row>
    <row r="276">
      <c r="A276" t="inlineStr">
        <is>
          <t>ALL</t>
        </is>
      </c>
      <c r="B276" t="inlineStr">
        <is>
          <t>unique</t>
        </is>
      </c>
      <c r="C276" t="n">
        <v>3</v>
      </c>
      <c r="D276" t="inlineStr">
        <is>
          <t>Defense %</t>
        </is>
      </c>
      <c r="E276" t="n">
        <v>6</v>
      </c>
      <c r="F276" t="n">
        <v>8.279999999999999</v>
      </c>
      <c r="G276" t="b">
        <v>0</v>
      </c>
      <c r="H276" t="inlineStr">
        <is>
          <t>0</t>
        </is>
      </c>
    </row>
    <row r="277">
      <c r="A277" t="inlineStr">
        <is>
          <t>ALL</t>
        </is>
      </c>
      <c r="B277" t="inlineStr">
        <is>
          <t>unique</t>
        </is>
      </c>
      <c r="C277" t="n">
        <v>3</v>
      </c>
      <c r="D277" t="inlineStr">
        <is>
          <t>Defense %</t>
        </is>
      </c>
      <c r="E277" t="n">
        <v>9</v>
      </c>
      <c r="F277" t="n">
        <v>0.72</v>
      </c>
      <c r="G277" t="b">
        <v>1</v>
      </c>
      <c r="H277" t="inlineStr">
        <is>
          <t>0</t>
        </is>
      </c>
    </row>
    <row r="278">
      <c r="A278" t="inlineStr">
        <is>
          <t>ALL</t>
        </is>
      </c>
      <c r="B278" t="inlineStr">
        <is>
          <t>unique</t>
        </is>
      </c>
      <c r="C278" t="n">
        <v>3</v>
      </c>
      <c r="D278" t="inlineStr">
        <is>
          <t>Max HP %</t>
        </is>
      </c>
      <c r="E278" t="n">
        <v>12</v>
      </c>
      <c r="F278" t="n">
        <v>8.279999999999999</v>
      </c>
      <c r="G278" t="b">
        <v>0</v>
      </c>
      <c r="H278" t="inlineStr">
        <is>
          <t>0</t>
        </is>
      </c>
    </row>
    <row r="279">
      <c r="A279" t="inlineStr">
        <is>
          <t>ALL</t>
        </is>
      </c>
      <c r="B279" t="inlineStr">
        <is>
          <t>unique</t>
        </is>
      </c>
      <c r="C279" t="n">
        <v>3</v>
      </c>
      <c r="D279" t="inlineStr">
        <is>
          <t>Max HP %</t>
        </is>
      </c>
      <c r="E279" t="n">
        <v>15</v>
      </c>
      <c r="F279" t="n">
        <v>0.72</v>
      </c>
      <c r="G279" t="b">
        <v>1</v>
      </c>
      <c r="H279" t="inlineStr">
        <is>
          <t>0</t>
        </is>
      </c>
    </row>
    <row r="280">
      <c r="A280" t="inlineStr">
        <is>
          <t>ALL</t>
        </is>
      </c>
      <c r="B280" t="inlineStr">
        <is>
          <t>unique</t>
        </is>
      </c>
      <c r="C280" t="n">
        <v>3</v>
      </c>
      <c r="D280" t="inlineStr">
        <is>
          <t>Max MP %</t>
        </is>
      </c>
      <c r="E280" t="n">
        <v>6</v>
      </c>
      <c r="F280" t="n">
        <v>8.279999999999999</v>
      </c>
      <c r="G280" t="b">
        <v>0</v>
      </c>
      <c r="H280" t="inlineStr">
        <is>
          <t>0</t>
        </is>
      </c>
    </row>
    <row r="281">
      <c r="A281" t="inlineStr">
        <is>
          <t>ALL</t>
        </is>
      </c>
      <c r="B281" t="inlineStr">
        <is>
          <t>unique</t>
        </is>
      </c>
      <c r="C281" t="n">
        <v>3</v>
      </c>
      <c r="D281" t="inlineStr">
        <is>
          <t>Max MP %</t>
        </is>
      </c>
      <c r="E281" t="n">
        <v>9</v>
      </c>
      <c r="F281" t="n">
        <v>0.72</v>
      </c>
      <c r="G281" t="b">
        <v>1</v>
      </c>
      <c r="H281" t="inlineStr">
        <is>
          <t>0</t>
        </is>
      </c>
    </row>
    <row r="282">
      <c r="A282" t="inlineStr">
        <is>
          <t>ALL</t>
        </is>
      </c>
      <c r="B282" t="inlineStr">
        <is>
          <t>unique</t>
        </is>
      </c>
      <c r="C282" t="n">
        <v>3</v>
      </c>
      <c r="D282" t="inlineStr">
        <is>
          <t>Str</t>
        </is>
      </c>
      <c r="E282" t="n">
        <v>200</v>
      </c>
      <c r="F282" t="n">
        <v>8.51</v>
      </c>
      <c r="G282" t="b">
        <v>0</v>
      </c>
      <c r="H282">
        <f>Sensitivity!H7</f>
        <v/>
      </c>
    </row>
    <row r="283">
      <c r="A283" t="inlineStr">
        <is>
          <t>ALL</t>
        </is>
      </c>
      <c r="B283" t="inlineStr">
        <is>
          <t>unique</t>
        </is>
      </c>
      <c r="C283" t="n">
        <v>3</v>
      </c>
      <c r="D283" t="inlineStr">
        <is>
          <t>Str</t>
        </is>
      </c>
      <c r="E283" t="n">
        <v>400</v>
      </c>
      <c r="F283" t="n">
        <v>0.74</v>
      </c>
      <c r="G283" t="b">
        <v>1</v>
      </c>
      <c r="H283">
        <f>Sensitivity!H7</f>
        <v/>
      </c>
    </row>
    <row r="284">
      <c r="A284" t="inlineStr">
        <is>
          <t>ALL</t>
        </is>
      </c>
      <c r="B284" t="inlineStr">
        <is>
          <t>unique</t>
        </is>
      </c>
      <c r="C284" t="n">
        <v>3</v>
      </c>
      <c r="D284" t="inlineStr">
        <is>
          <t>Dex</t>
        </is>
      </c>
      <c r="E284" t="n">
        <v>200</v>
      </c>
      <c r="F284" t="n">
        <v>8.51</v>
      </c>
      <c r="G284" t="b">
        <v>0</v>
      </c>
      <c r="H284">
        <f>Sensitivity!H5</f>
        <v/>
      </c>
    </row>
    <row r="285">
      <c r="A285" t="inlineStr">
        <is>
          <t>ALL</t>
        </is>
      </c>
      <c r="B285" t="inlineStr">
        <is>
          <t>unique</t>
        </is>
      </c>
      <c r="C285" t="n">
        <v>3</v>
      </c>
      <c r="D285" t="inlineStr">
        <is>
          <t>Dex</t>
        </is>
      </c>
      <c r="E285" t="n">
        <v>400</v>
      </c>
      <c r="F285" t="n">
        <v>0.74</v>
      </c>
      <c r="G285" t="b">
        <v>1</v>
      </c>
      <c r="H285">
        <f>Sensitivity!H5</f>
        <v/>
      </c>
    </row>
    <row r="286">
      <c r="A286" t="inlineStr">
        <is>
          <t>ALL</t>
        </is>
      </c>
      <c r="B286" t="inlineStr">
        <is>
          <t>unique</t>
        </is>
      </c>
      <c r="C286" t="n">
        <v>3</v>
      </c>
      <c r="D286" t="inlineStr">
        <is>
          <t>Int</t>
        </is>
      </c>
      <c r="E286" t="n">
        <v>200</v>
      </c>
      <c r="F286" t="n">
        <v>8.51</v>
      </c>
      <c r="G286" t="b">
        <v>0</v>
      </c>
      <c r="H286" t="inlineStr">
        <is>
          <t>0</t>
        </is>
      </c>
    </row>
    <row r="287">
      <c r="A287" t="inlineStr">
        <is>
          <t>ALL</t>
        </is>
      </c>
      <c r="B287" t="inlineStr">
        <is>
          <t>unique</t>
        </is>
      </c>
      <c r="C287" t="n">
        <v>3</v>
      </c>
      <c r="D287" t="inlineStr">
        <is>
          <t>Int</t>
        </is>
      </c>
      <c r="E287" t="n">
        <v>400</v>
      </c>
      <c r="F287" t="n">
        <v>0.74</v>
      </c>
      <c r="G287" t="b">
        <v>1</v>
      </c>
      <c r="H287" t="inlineStr">
        <is>
          <t>0</t>
        </is>
      </c>
    </row>
    <row r="288">
      <c r="A288" t="inlineStr">
        <is>
          <t>ALL</t>
        </is>
      </c>
      <c r="B288" t="inlineStr">
        <is>
          <t>unique</t>
        </is>
      </c>
      <c r="C288" t="n">
        <v>3</v>
      </c>
      <c r="D288" t="inlineStr">
        <is>
          <t>Luk</t>
        </is>
      </c>
      <c r="E288" t="n">
        <v>200</v>
      </c>
      <c r="F288" t="n">
        <v>8.51</v>
      </c>
      <c r="G288" t="b">
        <v>0</v>
      </c>
      <c r="H288" t="inlineStr">
        <is>
          <t>0</t>
        </is>
      </c>
    </row>
    <row r="289">
      <c r="A289" t="inlineStr">
        <is>
          <t>ALL</t>
        </is>
      </c>
      <c r="B289" t="inlineStr">
        <is>
          <t>unique</t>
        </is>
      </c>
      <c r="C289" t="n">
        <v>3</v>
      </c>
      <c r="D289" t="inlineStr">
        <is>
          <t>Luk</t>
        </is>
      </c>
      <c r="E289" t="n">
        <v>400</v>
      </c>
      <c r="F289" t="n">
        <v>0.74</v>
      </c>
      <c r="G289" t="b">
        <v>1</v>
      </c>
      <c r="H289" t="inlineStr">
        <is>
          <t>0</t>
        </is>
      </c>
    </row>
    <row r="290">
      <c r="A290" t="inlineStr">
        <is>
          <t>ALL</t>
        </is>
      </c>
      <c r="B290" t="inlineStr">
        <is>
          <t>legendary</t>
        </is>
      </c>
      <c r="C290" t="n">
        <v>1</v>
      </c>
      <c r="D290" t="inlineStr">
        <is>
          <t>Critical Rate %</t>
        </is>
      </c>
      <c r="E290" t="n">
        <v>12</v>
      </c>
      <c r="F290" t="n">
        <v>2.5</v>
      </c>
      <c r="G290" t="b">
        <v>0</v>
      </c>
      <c r="H290">
        <f>IF(AND(Inputs!$B$9+Summary!$B$14+Artifacts!$B$32&gt;=100,NOT(ArtifactsInput!$M$42),NOT(ArtifactsInput!$M$24)),Sensitivity!H16,Sensitivity!H15)</f>
        <v/>
      </c>
    </row>
    <row r="291">
      <c r="A291" t="inlineStr">
        <is>
          <t>ALL</t>
        </is>
      </c>
      <c r="B291" t="inlineStr">
        <is>
          <t>legendary</t>
        </is>
      </c>
      <c r="C291" t="n">
        <v>1</v>
      </c>
      <c r="D291" t="inlineStr">
        <is>
          <t>Attack Speed %</t>
        </is>
      </c>
      <c r="E291" t="n">
        <v>7</v>
      </c>
      <c r="F291" t="n">
        <v>2.5</v>
      </c>
      <c r="G291" t="b">
        <v>0</v>
      </c>
      <c r="H291">
        <f>Sensitivity!H17</f>
        <v/>
      </c>
    </row>
    <row r="292">
      <c r="A292" t="inlineStr">
        <is>
          <t>ALL</t>
        </is>
      </c>
      <c r="B292" t="inlineStr">
        <is>
          <t>legendary</t>
        </is>
      </c>
      <c r="C292" t="n">
        <v>1</v>
      </c>
      <c r="D292" t="inlineStr">
        <is>
          <t>Damage %</t>
        </is>
      </c>
      <c r="E292" t="n">
        <v>25</v>
      </c>
      <c r="F292" t="n">
        <v>4</v>
      </c>
      <c r="G292" t="b">
        <v>0</v>
      </c>
      <c r="H292">
        <f>Sensitivity!H8</f>
        <v/>
      </c>
    </row>
    <row r="293">
      <c r="A293" t="inlineStr">
        <is>
          <t>ALL</t>
        </is>
      </c>
      <c r="B293" t="inlineStr">
        <is>
          <t>legendary</t>
        </is>
      </c>
      <c r="C293" t="n">
        <v>1</v>
      </c>
      <c r="D293" t="inlineStr">
        <is>
          <t>Min Damage Multiplier %</t>
        </is>
      </c>
      <c r="E293" t="n">
        <v>15</v>
      </c>
      <c r="F293" t="n">
        <v>4</v>
      </c>
      <c r="G293" t="b">
        <v>0</v>
      </c>
      <c r="H293">
        <f>Sensitivity!H13</f>
        <v/>
      </c>
    </row>
    <row r="294">
      <c r="A294" t="inlineStr">
        <is>
          <t>ALL</t>
        </is>
      </c>
      <c r="B294" t="inlineStr">
        <is>
          <t>legendary</t>
        </is>
      </c>
      <c r="C294" t="n">
        <v>1</v>
      </c>
      <c r="D294" t="inlineStr">
        <is>
          <t>Max Damage Multiplier %</t>
        </is>
      </c>
      <c r="E294" t="n">
        <v>15</v>
      </c>
      <c r="F294" t="n">
        <v>4</v>
      </c>
      <c r="G294" t="b">
        <v>0</v>
      </c>
      <c r="H294">
        <f>Sensitivity!H14</f>
        <v/>
      </c>
    </row>
    <row r="295">
      <c r="A295" t="inlineStr">
        <is>
          <t>ALL</t>
        </is>
      </c>
      <c r="B295" t="inlineStr">
        <is>
          <t>legendary</t>
        </is>
      </c>
      <c r="C295" t="n">
        <v>1</v>
      </c>
      <c r="D295" t="inlineStr">
        <is>
          <t>Str %</t>
        </is>
      </c>
      <c r="E295" t="n">
        <v>12</v>
      </c>
      <c r="F295" t="n">
        <v>4.5</v>
      </c>
      <c r="G295" t="b">
        <v>0</v>
      </c>
      <c r="H295">
        <f>Sensitivity!H7*Inputs!$B$14/100</f>
        <v/>
      </c>
    </row>
    <row r="296">
      <c r="A296" t="inlineStr">
        <is>
          <t>ALL</t>
        </is>
      </c>
      <c r="B296" t="inlineStr">
        <is>
          <t>legendary</t>
        </is>
      </c>
      <c r="C296" t="n">
        <v>1</v>
      </c>
      <c r="D296" t="inlineStr">
        <is>
          <t>Dex %</t>
        </is>
      </c>
      <c r="E296" t="n">
        <v>12</v>
      </c>
      <c r="F296" t="n">
        <v>4.5</v>
      </c>
      <c r="G296" t="b">
        <v>0</v>
      </c>
      <c r="H296">
        <f>Sensitivity!H6</f>
        <v/>
      </c>
    </row>
    <row r="297">
      <c r="A297" t="inlineStr">
        <is>
          <t>ALL</t>
        </is>
      </c>
      <c r="B297" t="inlineStr">
        <is>
          <t>legendary</t>
        </is>
      </c>
      <c r="C297" t="n">
        <v>1</v>
      </c>
      <c r="D297" t="inlineStr">
        <is>
          <t>Int %</t>
        </is>
      </c>
      <c r="E297" t="n">
        <v>12</v>
      </c>
      <c r="F297" t="n">
        <v>4.5</v>
      </c>
      <c r="G297" t="b">
        <v>0</v>
      </c>
      <c r="H297" t="inlineStr">
        <is>
          <t>0</t>
        </is>
      </c>
    </row>
    <row r="298">
      <c r="A298" t="inlineStr">
        <is>
          <t>ALL</t>
        </is>
      </c>
      <c r="B298" t="inlineStr">
        <is>
          <t>legendary</t>
        </is>
      </c>
      <c r="C298" t="n">
        <v>1</v>
      </c>
      <c r="D298" t="inlineStr">
        <is>
          <t>Luk %</t>
        </is>
      </c>
      <c r="E298" t="n">
        <v>12</v>
      </c>
      <c r="F298" t="n">
        <v>4.5</v>
      </c>
      <c r="G298" t="b">
        <v>0</v>
      </c>
      <c r="H298" t="inlineStr">
        <is>
          <t>0</t>
        </is>
      </c>
    </row>
    <row r="299">
      <c r="A299" t="inlineStr">
        <is>
          <t>ALL</t>
        </is>
      </c>
      <c r="B299" t="inlineStr">
        <is>
          <t>legendary</t>
        </is>
      </c>
      <c r="C299" t="n">
        <v>1</v>
      </c>
      <c r="D299" t="inlineStr">
        <is>
          <t>Defense %</t>
        </is>
      </c>
      <c r="E299" t="n">
        <v>12</v>
      </c>
      <c r="F299" t="n">
        <v>9</v>
      </c>
      <c r="G299" t="b">
        <v>0</v>
      </c>
      <c r="H299" t="inlineStr">
        <is>
          <t>0</t>
        </is>
      </c>
    </row>
    <row r="300">
      <c r="A300" t="inlineStr">
        <is>
          <t>ALL</t>
        </is>
      </c>
      <c r="B300" t="inlineStr">
        <is>
          <t>legendary</t>
        </is>
      </c>
      <c r="C300" t="n">
        <v>1</v>
      </c>
      <c r="D300" t="inlineStr">
        <is>
          <t>Max HP %</t>
        </is>
      </c>
      <c r="E300" t="n">
        <v>20</v>
      </c>
      <c r="F300" t="n">
        <v>9</v>
      </c>
      <c r="G300" t="b">
        <v>0</v>
      </c>
      <c r="H300" t="inlineStr">
        <is>
          <t>0</t>
        </is>
      </c>
    </row>
    <row r="301">
      <c r="A301" t="inlineStr">
        <is>
          <t>ALL</t>
        </is>
      </c>
      <c r="B301" t="inlineStr">
        <is>
          <t>legendary</t>
        </is>
      </c>
      <c r="C301" t="n">
        <v>1</v>
      </c>
      <c r="D301" t="inlineStr">
        <is>
          <t>Max MP %</t>
        </is>
      </c>
      <c r="E301" t="n">
        <v>12</v>
      </c>
      <c r="F301" t="n">
        <v>9</v>
      </c>
      <c r="G301" t="b">
        <v>0</v>
      </c>
      <c r="H301" t="inlineStr">
        <is>
          <t>0</t>
        </is>
      </c>
    </row>
    <row r="302">
      <c r="A302" t="inlineStr">
        <is>
          <t>ALL</t>
        </is>
      </c>
      <c r="B302" t="inlineStr">
        <is>
          <t>legendary</t>
        </is>
      </c>
      <c r="C302" t="n">
        <v>1</v>
      </c>
      <c r="D302" t="inlineStr">
        <is>
          <t>Str</t>
        </is>
      </c>
      <c r="E302" t="n">
        <v>600</v>
      </c>
      <c r="F302" t="n">
        <v>9.25</v>
      </c>
      <c r="G302" t="b">
        <v>0</v>
      </c>
      <c r="H302">
        <f>Sensitivity!H7</f>
        <v/>
      </c>
    </row>
    <row r="303">
      <c r="A303" t="inlineStr">
        <is>
          <t>ALL</t>
        </is>
      </c>
      <c r="B303" t="inlineStr">
        <is>
          <t>legendary</t>
        </is>
      </c>
      <c r="C303" t="n">
        <v>1</v>
      </c>
      <c r="D303" t="inlineStr">
        <is>
          <t>Dex</t>
        </is>
      </c>
      <c r="E303" t="n">
        <v>600</v>
      </c>
      <c r="F303" t="n">
        <v>9.25</v>
      </c>
      <c r="G303" t="b">
        <v>0</v>
      </c>
      <c r="H303">
        <f>Sensitivity!H5</f>
        <v/>
      </c>
    </row>
    <row r="304">
      <c r="A304" t="inlineStr">
        <is>
          <t>ALL</t>
        </is>
      </c>
      <c r="B304" t="inlineStr">
        <is>
          <t>legendary</t>
        </is>
      </c>
      <c r="C304" t="n">
        <v>1</v>
      </c>
      <c r="D304" t="inlineStr">
        <is>
          <t>Int</t>
        </is>
      </c>
      <c r="E304" t="n">
        <v>600</v>
      </c>
      <c r="F304" t="n">
        <v>9.25</v>
      </c>
      <c r="G304" t="b">
        <v>0</v>
      </c>
      <c r="H304" t="inlineStr">
        <is>
          <t>0</t>
        </is>
      </c>
    </row>
    <row r="305">
      <c r="A305" t="inlineStr">
        <is>
          <t>ALL</t>
        </is>
      </c>
      <c r="B305" t="inlineStr">
        <is>
          <t>legendary</t>
        </is>
      </c>
      <c r="C305" t="n">
        <v>1</v>
      </c>
      <c r="D305" t="inlineStr">
        <is>
          <t>Luk</t>
        </is>
      </c>
      <c r="E305" t="n">
        <v>600</v>
      </c>
      <c r="F305" t="n">
        <v>9.25</v>
      </c>
      <c r="G305" t="b">
        <v>0</v>
      </c>
      <c r="H305" t="inlineStr">
        <is>
          <t>0</t>
        </is>
      </c>
    </row>
    <row r="306">
      <c r="A306" t="inlineStr">
        <is>
          <t>ALL</t>
        </is>
      </c>
      <c r="B306" t="inlineStr">
        <is>
          <t>legendary</t>
        </is>
      </c>
      <c r="C306" t="n">
        <v>2</v>
      </c>
      <c r="D306" t="inlineStr">
        <is>
          <t>Critical Rate %</t>
        </is>
      </c>
      <c r="E306" t="n">
        <v>9</v>
      </c>
      <c r="F306" t="n">
        <v>1.9</v>
      </c>
      <c r="G306" t="b">
        <v>0</v>
      </c>
      <c r="H306">
        <f>IF(AND(Inputs!$B$9+Summary!$B$14+Artifacts!$B$32&gt;=100,NOT(ArtifactsInput!$M$42),NOT(ArtifactsInput!$M$24)),Sensitivity!H16,Sensitivity!H15)</f>
        <v/>
      </c>
    </row>
    <row r="307">
      <c r="A307" t="inlineStr">
        <is>
          <t>ALL</t>
        </is>
      </c>
      <c r="B307" t="inlineStr">
        <is>
          <t>legendary</t>
        </is>
      </c>
      <c r="C307" t="n">
        <v>2</v>
      </c>
      <c r="D307" t="inlineStr">
        <is>
          <t>Critical Rate %</t>
        </is>
      </c>
      <c r="E307" t="n">
        <v>12</v>
      </c>
      <c r="F307" t="n">
        <v>0.6</v>
      </c>
      <c r="G307" t="b">
        <v>1</v>
      </c>
      <c r="H307">
        <f>IF(AND(Inputs!$B$9+Summary!$B$14+Artifacts!$B$32&gt;=100,NOT(ArtifactsInput!$M$42),NOT(ArtifactsInput!$M$24)),Sensitivity!H16,Sensitivity!H15)</f>
        <v/>
      </c>
    </row>
    <row r="308">
      <c r="A308" t="inlineStr">
        <is>
          <t>ALL</t>
        </is>
      </c>
      <c r="B308" t="inlineStr">
        <is>
          <t>legendary</t>
        </is>
      </c>
      <c r="C308" t="n">
        <v>2</v>
      </c>
      <c r="D308" t="inlineStr">
        <is>
          <t>Attack Speed %</t>
        </is>
      </c>
      <c r="E308" t="n">
        <v>5</v>
      </c>
      <c r="F308" t="n">
        <v>1.9</v>
      </c>
      <c r="G308" t="b">
        <v>0</v>
      </c>
      <c r="H308">
        <f>Sensitivity!H17</f>
        <v/>
      </c>
    </row>
    <row r="309">
      <c r="A309" t="inlineStr">
        <is>
          <t>ALL</t>
        </is>
      </c>
      <c r="B309" t="inlineStr">
        <is>
          <t>legendary</t>
        </is>
      </c>
      <c r="C309" t="n">
        <v>2</v>
      </c>
      <c r="D309" t="inlineStr">
        <is>
          <t>Attack Speed %</t>
        </is>
      </c>
      <c r="E309" t="n">
        <v>7</v>
      </c>
      <c r="F309" t="n">
        <v>0.6</v>
      </c>
      <c r="G309" t="b">
        <v>1</v>
      </c>
      <c r="H309">
        <f>Sensitivity!H17</f>
        <v/>
      </c>
    </row>
    <row r="310">
      <c r="A310" t="inlineStr">
        <is>
          <t>ALL</t>
        </is>
      </c>
      <c r="B310" t="inlineStr">
        <is>
          <t>legendary</t>
        </is>
      </c>
      <c r="C310" t="n">
        <v>2</v>
      </c>
      <c r="D310" t="inlineStr">
        <is>
          <t>Damage %</t>
        </is>
      </c>
      <c r="E310" t="n">
        <v>18</v>
      </c>
      <c r="F310" t="n">
        <v>3.04</v>
      </c>
      <c r="G310" t="b">
        <v>0</v>
      </c>
      <c r="H310">
        <f>Sensitivity!H8</f>
        <v/>
      </c>
    </row>
    <row r="311">
      <c r="A311" t="inlineStr">
        <is>
          <t>ALL</t>
        </is>
      </c>
      <c r="B311" t="inlineStr">
        <is>
          <t>legendary</t>
        </is>
      </c>
      <c r="C311" t="n">
        <v>2</v>
      </c>
      <c r="D311" t="inlineStr">
        <is>
          <t>Damage %</t>
        </is>
      </c>
      <c r="E311" t="n">
        <v>25</v>
      </c>
      <c r="F311" t="n">
        <v>0.96</v>
      </c>
      <c r="G311" t="b">
        <v>1</v>
      </c>
      <c r="H311">
        <f>Sensitivity!H8</f>
        <v/>
      </c>
    </row>
    <row r="312">
      <c r="A312" t="inlineStr">
        <is>
          <t>ALL</t>
        </is>
      </c>
      <c r="B312" t="inlineStr">
        <is>
          <t>legendary</t>
        </is>
      </c>
      <c r="C312" t="n">
        <v>2</v>
      </c>
      <c r="D312" t="inlineStr">
        <is>
          <t>Min Damage Multiplier %</t>
        </is>
      </c>
      <c r="E312" t="n">
        <v>10</v>
      </c>
      <c r="F312" t="n">
        <v>3.04</v>
      </c>
      <c r="G312" t="b">
        <v>0</v>
      </c>
      <c r="H312">
        <f>Sensitivity!H13</f>
        <v/>
      </c>
    </row>
    <row r="313">
      <c r="A313" t="inlineStr">
        <is>
          <t>ALL</t>
        </is>
      </c>
      <c r="B313" t="inlineStr">
        <is>
          <t>legendary</t>
        </is>
      </c>
      <c r="C313" t="n">
        <v>2</v>
      </c>
      <c r="D313" t="inlineStr">
        <is>
          <t>Min Damage Multiplier %</t>
        </is>
      </c>
      <c r="E313" t="n">
        <v>15</v>
      </c>
      <c r="F313" t="n">
        <v>0.96</v>
      </c>
      <c r="G313" t="b">
        <v>1</v>
      </c>
      <c r="H313">
        <f>Sensitivity!H13</f>
        <v/>
      </c>
    </row>
    <row r="314">
      <c r="A314" t="inlineStr">
        <is>
          <t>ALL</t>
        </is>
      </c>
      <c r="B314" t="inlineStr">
        <is>
          <t>legendary</t>
        </is>
      </c>
      <c r="C314" t="n">
        <v>2</v>
      </c>
      <c r="D314" t="inlineStr">
        <is>
          <t>Max Damage Multiplier %</t>
        </is>
      </c>
      <c r="E314" t="n">
        <v>10</v>
      </c>
      <c r="F314" t="n">
        <v>3.04</v>
      </c>
      <c r="G314" t="b">
        <v>0</v>
      </c>
      <c r="H314">
        <f>Sensitivity!H14</f>
        <v/>
      </c>
    </row>
    <row r="315">
      <c r="A315" t="inlineStr">
        <is>
          <t>ALL</t>
        </is>
      </c>
      <c r="B315" t="inlineStr">
        <is>
          <t>legendary</t>
        </is>
      </c>
      <c r="C315" t="n">
        <v>2</v>
      </c>
      <c r="D315" t="inlineStr">
        <is>
          <t>Max Damage Multiplier %</t>
        </is>
      </c>
      <c r="E315" t="n">
        <v>15</v>
      </c>
      <c r="F315" t="n">
        <v>0.96</v>
      </c>
      <c r="G315" t="b">
        <v>1</v>
      </c>
      <c r="H315">
        <f>Sensitivity!H14</f>
        <v/>
      </c>
    </row>
    <row r="316">
      <c r="A316" t="inlineStr">
        <is>
          <t>ALL</t>
        </is>
      </c>
      <c r="B316" t="inlineStr">
        <is>
          <t>legendary</t>
        </is>
      </c>
      <c r="C316" t="n">
        <v>2</v>
      </c>
      <c r="D316" t="inlineStr">
        <is>
          <t>Str %</t>
        </is>
      </c>
      <c r="E316" t="n">
        <v>9</v>
      </c>
      <c r="F316" t="n">
        <v>3.42</v>
      </c>
      <c r="G316" t="b">
        <v>0</v>
      </c>
      <c r="H316">
        <f>Sensitivity!H7*Inputs!$B$14/100</f>
        <v/>
      </c>
    </row>
    <row r="317">
      <c r="A317" t="inlineStr">
        <is>
          <t>ALL</t>
        </is>
      </c>
      <c r="B317" t="inlineStr">
        <is>
          <t>legendary</t>
        </is>
      </c>
      <c r="C317" t="n">
        <v>2</v>
      </c>
      <c r="D317" t="inlineStr">
        <is>
          <t>Str %</t>
        </is>
      </c>
      <c r="E317" t="n">
        <v>12</v>
      </c>
      <c r="F317" t="n">
        <v>1.08</v>
      </c>
      <c r="G317" t="b">
        <v>1</v>
      </c>
      <c r="H317">
        <f>Sensitivity!H7*Inputs!$B$14/100</f>
        <v/>
      </c>
    </row>
    <row r="318">
      <c r="A318" t="inlineStr">
        <is>
          <t>ALL</t>
        </is>
      </c>
      <c r="B318" t="inlineStr">
        <is>
          <t>legendary</t>
        </is>
      </c>
      <c r="C318" t="n">
        <v>2</v>
      </c>
      <c r="D318" t="inlineStr">
        <is>
          <t>Dex %</t>
        </is>
      </c>
      <c r="E318" t="n">
        <v>9</v>
      </c>
      <c r="F318" t="n">
        <v>3.42</v>
      </c>
      <c r="G318" t="b">
        <v>0</v>
      </c>
      <c r="H318">
        <f>Sensitivity!H6</f>
        <v/>
      </c>
    </row>
    <row r="319">
      <c r="A319" t="inlineStr">
        <is>
          <t>ALL</t>
        </is>
      </c>
      <c r="B319" t="inlineStr">
        <is>
          <t>legendary</t>
        </is>
      </c>
      <c r="C319" t="n">
        <v>2</v>
      </c>
      <c r="D319" t="inlineStr">
        <is>
          <t>Dex %</t>
        </is>
      </c>
      <c r="E319" t="n">
        <v>12</v>
      </c>
      <c r="F319" t="n">
        <v>1.08</v>
      </c>
      <c r="G319" t="b">
        <v>1</v>
      </c>
      <c r="H319">
        <f>Sensitivity!H6</f>
        <v/>
      </c>
    </row>
    <row r="320">
      <c r="A320" t="inlineStr">
        <is>
          <t>ALL</t>
        </is>
      </c>
      <c r="B320" t="inlineStr">
        <is>
          <t>legendary</t>
        </is>
      </c>
      <c r="C320" t="n">
        <v>2</v>
      </c>
      <c r="D320" t="inlineStr">
        <is>
          <t>Int %</t>
        </is>
      </c>
      <c r="E320" t="n">
        <v>9</v>
      </c>
      <c r="F320" t="n">
        <v>3.42</v>
      </c>
      <c r="G320" t="b">
        <v>0</v>
      </c>
      <c r="H320" t="inlineStr">
        <is>
          <t>0</t>
        </is>
      </c>
    </row>
    <row r="321">
      <c r="A321" t="inlineStr">
        <is>
          <t>ALL</t>
        </is>
      </c>
      <c r="B321" t="inlineStr">
        <is>
          <t>legendary</t>
        </is>
      </c>
      <c r="C321" t="n">
        <v>2</v>
      </c>
      <c r="D321" t="inlineStr">
        <is>
          <t>Int %</t>
        </is>
      </c>
      <c r="E321" t="n">
        <v>12</v>
      </c>
      <c r="F321" t="n">
        <v>1.08</v>
      </c>
      <c r="G321" t="b">
        <v>1</v>
      </c>
      <c r="H321" t="inlineStr">
        <is>
          <t>0</t>
        </is>
      </c>
    </row>
    <row r="322">
      <c r="A322" t="inlineStr">
        <is>
          <t>ALL</t>
        </is>
      </c>
      <c r="B322" t="inlineStr">
        <is>
          <t>legendary</t>
        </is>
      </c>
      <c r="C322" t="n">
        <v>2</v>
      </c>
      <c r="D322" t="inlineStr">
        <is>
          <t>Luk %</t>
        </is>
      </c>
      <c r="E322" t="n">
        <v>9</v>
      </c>
      <c r="F322" t="n">
        <v>3.42</v>
      </c>
      <c r="G322" t="b">
        <v>0</v>
      </c>
      <c r="H322" t="inlineStr">
        <is>
          <t>0</t>
        </is>
      </c>
    </row>
    <row r="323">
      <c r="A323" t="inlineStr">
        <is>
          <t>ALL</t>
        </is>
      </c>
      <c r="B323" t="inlineStr">
        <is>
          <t>legendary</t>
        </is>
      </c>
      <c r="C323" t="n">
        <v>2</v>
      </c>
      <c r="D323" t="inlineStr">
        <is>
          <t>Luk %</t>
        </is>
      </c>
      <c r="E323" t="n">
        <v>12</v>
      </c>
      <c r="F323" t="n">
        <v>1.08</v>
      </c>
      <c r="G323" t="b">
        <v>1</v>
      </c>
      <c r="H323" t="inlineStr">
        <is>
          <t>0</t>
        </is>
      </c>
    </row>
    <row r="324">
      <c r="A324" t="inlineStr">
        <is>
          <t>ALL</t>
        </is>
      </c>
      <c r="B324" t="inlineStr">
        <is>
          <t>legendary</t>
        </is>
      </c>
      <c r="C324" t="n">
        <v>2</v>
      </c>
      <c r="D324" t="inlineStr">
        <is>
          <t>Defense %</t>
        </is>
      </c>
      <c r="E324" t="n">
        <v>9</v>
      </c>
      <c r="F324" t="n">
        <v>6.84</v>
      </c>
      <c r="G324" t="b">
        <v>0</v>
      </c>
      <c r="H324" t="inlineStr">
        <is>
          <t>0</t>
        </is>
      </c>
    </row>
    <row r="325">
      <c r="A325" t="inlineStr">
        <is>
          <t>ALL</t>
        </is>
      </c>
      <c r="B325" t="inlineStr">
        <is>
          <t>legendary</t>
        </is>
      </c>
      <c r="C325" t="n">
        <v>2</v>
      </c>
      <c r="D325" t="inlineStr">
        <is>
          <t>Defense %</t>
        </is>
      </c>
      <c r="E325" t="n">
        <v>12</v>
      </c>
      <c r="F325" t="n">
        <v>2.16</v>
      </c>
      <c r="G325" t="b">
        <v>1</v>
      </c>
      <c r="H325" t="inlineStr">
        <is>
          <t>0</t>
        </is>
      </c>
    </row>
    <row r="326">
      <c r="A326" t="inlineStr">
        <is>
          <t>ALL</t>
        </is>
      </c>
      <c r="B326" t="inlineStr">
        <is>
          <t>legendary</t>
        </is>
      </c>
      <c r="C326" t="n">
        <v>2</v>
      </c>
      <c r="D326" t="inlineStr">
        <is>
          <t>Max HP %</t>
        </is>
      </c>
      <c r="E326" t="n">
        <v>15</v>
      </c>
      <c r="F326" t="n">
        <v>6.84</v>
      </c>
      <c r="G326" t="b">
        <v>0</v>
      </c>
      <c r="H326" t="inlineStr">
        <is>
          <t>0</t>
        </is>
      </c>
    </row>
    <row r="327">
      <c r="A327" t="inlineStr">
        <is>
          <t>ALL</t>
        </is>
      </c>
      <c r="B327" t="inlineStr">
        <is>
          <t>legendary</t>
        </is>
      </c>
      <c r="C327" t="n">
        <v>2</v>
      </c>
      <c r="D327" t="inlineStr">
        <is>
          <t>Max HP %</t>
        </is>
      </c>
      <c r="E327" t="n">
        <v>20</v>
      </c>
      <c r="F327" t="n">
        <v>2.16</v>
      </c>
      <c r="G327" t="b">
        <v>1</v>
      </c>
      <c r="H327" t="inlineStr">
        <is>
          <t>0</t>
        </is>
      </c>
    </row>
    <row r="328">
      <c r="A328" t="inlineStr">
        <is>
          <t>ALL</t>
        </is>
      </c>
      <c r="B328" t="inlineStr">
        <is>
          <t>legendary</t>
        </is>
      </c>
      <c r="C328" t="n">
        <v>2</v>
      </c>
      <c r="D328" t="inlineStr">
        <is>
          <t>Max MP %</t>
        </is>
      </c>
      <c r="E328" t="n">
        <v>9</v>
      </c>
      <c r="F328" t="n">
        <v>6.84</v>
      </c>
      <c r="G328" t="b">
        <v>0</v>
      </c>
      <c r="H328" t="inlineStr">
        <is>
          <t>0</t>
        </is>
      </c>
    </row>
    <row r="329">
      <c r="A329" t="inlineStr">
        <is>
          <t>ALL</t>
        </is>
      </c>
      <c r="B329" t="inlineStr">
        <is>
          <t>legendary</t>
        </is>
      </c>
      <c r="C329" t="n">
        <v>2</v>
      </c>
      <c r="D329" t="inlineStr">
        <is>
          <t>Max MP %</t>
        </is>
      </c>
      <c r="E329" t="n">
        <v>12</v>
      </c>
      <c r="F329" t="n">
        <v>2.16</v>
      </c>
      <c r="G329" t="b">
        <v>1</v>
      </c>
      <c r="H329" t="inlineStr">
        <is>
          <t>0</t>
        </is>
      </c>
    </row>
    <row r="330">
      <c r="A330" t="inlineStr">
        <is>
          <t>ALL</t>
        </is>
      </c>
      <c r="B330" t="inlineStr">
        <is>
          <t>legendary</t>
        </is>
      </c>
      <c r="C330" t="n">
        <v>2</v>
      </c>
      <c r="D330" t="inlineStr">
        <is>
          <t>Str</t>
        </is>
      </c>
      <c r="E330" t="n">
        <v>400</v>
      </c>
      <c r="F330" t="n">
        <v>7.03</v>
      </c>
      <c r="G330" t="b">
        <v>0</v>
      </c>
      <c r="H330">
        <f>Sensitivity!H7</f>
        <v/>
      </c>
    </row>
    <row r="331">
      <c r="A331" t="inlineStr">
        <is>
          <t>ALL</t>
        </is>
      </c>
      <c r="B331" t="inlineStr">
        <is>
          <t>legendary</t>
        </is>
      </c>
      <c r="C331" t="n">
        <v>2</v>
      </c>
      <c r="D331" t="inlineStr">
        <is>
          <t>Str</t>
        </is>
      </c>
      <c r="E331" t="n">
        <v>600</v>
      </c>
      <c r="F331" t="n">
        <v>2.22</v>
      </c>
      <c r="G331" t="b">
        <v>1</v>
      </c>
      <c r="H331">
        <f>Sensitivity!H7</f>
        <v/>
      </c>
    </row>
    <row r="332">
      <c r="A332" t="inlineStr">
        <is>
          <t>ALL</t>
        </is>
      </c>
      <c r="B332" t="inlineStr">
        <is>
          <t>legendary</t>
        </is>
      </c>
      <c r="C332" t="n">
        <v>2</v>
      </c>
      <c r="D332" t="inlineStr">
        <is>
          <t>Dex</t>
        </is>
      </c>
      <c r="E332" t="n">
        <v>400</v>
      </c>
      <c r="F332" t="n">
        <v>7.03</v>
      </c>
      <c r="G332" t="b">
        <v>0</v>
      </c>
      <c r="H332">
        <f>Sensitivity!H5</f>
        <v/>
      </c>
    </row>
    <row r="333">
      <c r="A333" t="inlineStr">
        <is>
          <t>ALL</t>
        </is>
      </c>
      <c r="B333" t="inlineStr">
        <is>
          <t>legendary</t>
        </is>
      </c>
      <c r="C333" t="n">
        <v>2</v>
      </c>
      <c r="D333" t="inlineStr">
        <is>
          <t>Dex</t>
        </is>
      </c>
      <c r="E333" t="n">
        <v>600</v>
      </c>
      <c r="F333" t="n">
        <v>2.22</v>
      </c>
      <c r="G333" t="b">
        <v>1</v>
      </c>
      <c r="H333">
        <f>Sensitivity!H5</f>
        <v/>
      </c>
    </row>
    <row r="334">
      <c r="A334" t="inlineStr">
        <is>
          <t>ALL</t>
        </is>
      </c>
      <c r="B334" t="inlineStr">
        <is>
          <t>legendary</t>
        </is>
      </c>
      <c r="C334" t="n">
        <v>2</v>
      </c>
      <c r="D334" t="inlineStr">
        <is>
          <t>Int</t>
        </is>
      </c>
      <c r="E334" t="n">
        <v>400</v>
      </c>
      <c r="F334" t="n">
        <v>7.03</v>
      </c>
      <c r="G334" t="b">
        <v>0</v>
      </c>
      <c r="H334" t="inlineStr">
        <is>
          <t>0</t>
        </is>
      </c>
    </row>
    <row r="335">
      <c r="A335" t="inlineStr">
        <is>
          <t>ALL</t>
        </is>
      </c>
      <c r="B335" t="inlineStr">
        <is>
          <t>legendary</t>
        </is>
      </c>
      <c r="C335" t="n">
        <v>2</v>
      </c>
      <c r="D335" t="inlineStr">
        <is>
          <t>Int</t>
        </is>
      </c>
      <c r="E335" t="n">
        <v>600</v>
      </c>
      <c r="F335" t="n">
        <v>2.22</v>
      </c>
      <c r="G335" t="b">
        <v>1</v>
      </c>
      <c r="H335" t="inlineStr">
        <is>
          <t>0</t>
        </is>
      </c>
    </row>
    <row r="336">
      <c r="A336" t="inlineStr">
        <is>
          <t>ALL</t>
        </is>
      </c>
      <c r="B336" t="inlineStr">
        <is>
          <t>legendary</t>
        </is>
      </c>
      <c r="C336" t="n">
        <v>2</v>
      </c>
      <c r="D336" t="inlineStr">
        <is>
          <t>Luk</t>
        </is>
      </c>
      <c r="E336" t="n">
        <v>400</v>
      </c>
      <c r="F336" t="n">
        <v>7.03</v>
      </c>
      <c r="G336" t="b">
        <v>0</v>
      </c>
      <c r="H336" t="inlineStr">
        <is>
          <t>0</t>
        </is>
      </c>
    </row>
    <row r="337">
      <c r="A337" t="inlineStr">
        <is>
          <t>ALL</t>
        </is>
      </c>
      <c r="B337" t="inlineStr">
        <is>
          <t>legendary</t>
        </is>
      </c>
      <c r="C337" t="n">
        <v>2</v>
      </c>
      <c r="D337" t="inlineStr">
        <is>
          <t>Luk</t>
        </is>
      </c>
      <c r="E337" t="n">
        <v>600</v>
      </c>
      <c r="F337" t="n">
        <v>2.22</v>
      </c>
      <c r="G337" t="b">
        <v>1</v>
      </c>
      <c r="H337" t="inlineStr">
        <is>
          <t>0</t>
        </is>
      </c>
    </row>
    <row r="338">
      <c r="A338" t="inlineStr">
        <is>
          <t>ALL</t>
        </is>
      </c>
      <c r="B338" t="inlineStr">
        <is>
          <t>legendary</t>
        </is>
      </c>
      <c r="C338" t="n">
        <v>3</v>
      </c>
      <c r="D338" t="inlineStr">
        <is>
          <t>Critical Rate %</t>
        </is>
      </c>
      <c r="E338" t="n">
        <v>9</v>
      </c>
      <c r="F338" t="n">
        <v>2.3</v>
      </c>
      <c r="G338" t="b">
        <v>0</v>
      </c>
      <c r="H338">
        <f>IF(AND(Inputs!$B$9+Summary!$B$14+Artifacts!$B$32&gt;=100,NOT(ArtifactsInput!$M$42),NOT(ArtifactsInput!$M$24)),Sensitivity!H16,Sensitivity!H15)</f>
        <v/>
      </c>
    </row>
    <row r="339">
      <c r="A339" t="inlineStr">
        <is>
          <t>ALL</t>
        </is>
      </c>
      <c r="B339" t="inlineStr">
        <is>
          <t>legendary</t>
        </is>
      </c>
      <c r="C339" t="n">
        <v>3</v>
      </c>
      <c r="D339" t="inlineStr">
        <is>
          <t>Critical Rate %</t>
        </is>
      </c>
      <c r="E339" t="n">
        <v>12</v>
      </c>
      <c r="F339" t="n">
        <v>0.2</v>
      </c>
      <c r="G339" t="b">
        <v>1</v>
      </c>
      <c r="H339">
        <f>IF(AND(Inputs!$B$9+Summary!$B$14+Artifacts!$B$32&gt;=100,NOT(ArtifactsInput!$M$42),NOT(ArtifactsInput!$M$24)),Sensitivity!H16,Sensitivity!H15)</f>
        <v/>
      </c>
    </row>
    <row r="340">
      <c r="A340" t="inlineStr">
        <is>
          <t>ALL</t>
        </is>
      </c>
      <c r="B340" t="inlineStr">
        <is>
          <t>legendary</t>
        </is>
      </c>
      <c r="C340" t="n">
        <v>3</v>
      </c>
      <c r="D340" t="inlineStr">
        <is>
          <t>Attack Speed %</t>
        </is>
      </c>
      <c r="E340" t="n">
        <v>5</v>
      </c>
      <c r="F340" t="n">
        <v>2.3</v>
      </c>
      <c r="G340" t="b">
        <v>0</v>
      </c>
      <c r="H340">
        <f>Sensitivity!H17</f>
        <v/>
      </c>
    </row>
    <row r="341">
      <c r="A341" t="inlineStr">
        <is>
          <t>ALL</t>
        </is>
      </c>
      <c r="B341" t="inlineStr">
        <is>
          <t>legendary</t>
        </is>
      </c>
      <c r="C341" t="n">
        <v>3</v>
      </c>
      <c r="D341" t="inlineStr">
        <is>
          <t>Attack Speed %</t>
        </is>
      </c>
      <c r="E341" t="n">
        <v>7</v>
      </c>
      <c r="F341" t="n">
        <v>0.2</v>
      </c>
      <c r="G341" t="b">
        <v>1</v>
      </c>
      <c r="H341">
        <f>Sensitivity!H17</f>
        <v/>
      </c>
    </row>
    <row r="342">
      <c r="A342" t="inlineStr">
        <is>
          <t>ALL</t>
        </is>
      </c>
      <c r="B342" t="inlineStr">
        <is>
          <t>legendary</t>
        </is>
      </c>
      <c r="C342" t="n">
        <v>3</v>
      </c>
      <c r="D342" t="inlineStr">
        <is>
          <t>Damage %</t>
        </is>
      </c>
      <c r="E342" t="n">
        <v>18</v>
      </c>
      <c r="F342" t="n">
        <v>3.68</v>
      </c>
      <c r="G342" t="b">
        <v>0</v>
      </c>
      <c r="H342">
        <f>Sensitivity!H8</f>
        <v/>
      </c>
    </row>
    <row r="343">
      <c r="A343" t="inlineStr">
        <is>
          <t>ALL</t>
        </is>
      </c>
      <c r="B343" t="inlineStr">
        <is>
          <t>legendary</t>
        </is>
      </c>
      <c r="C343" t="n">
        <v>3</v>
      </c>
      <c r="D343" t="inlineStr">
        <is>
          <t>Damage %</t>
        </is>
      </c>
      <c r="E343" t="n">
        <v>25</v>
      </c>
      <c r="F343" t="n">
        <v>0.32</v>
      </c>
      <c r="G343" t="b">
        <v>1</v>
      </c>
      <c r="H343">
        <f>Sensitivity!H8</f>
        <v/>
      </c>
    </row>
    <row r="344">
      <c r="A344" t="inlineStr">
        <is>
          <t>ALL</t>
        </is>
      </c>
      <c r="B344" t="inlineStr">
        <is>
          <t>legendary</t>
        </is>
      </c>
      <c r="C344" t="n">
        <v>3</v>
      </c>
      <c r="D344" t="inlineStr">
        <is>
          <t>Min Damage Multiplier %</t>
        </is>
      </c>
      <c r="E344" t="n">
        <v>10</v>
      </c>
      <c r="F344" t="n">
        <v>3.68</v>
      </c>
      <c r="G344" t="b">
        <v>0</v>
      </c>
      <c r="H344">
        <f>Sensitivity!H13</f>
        <v/>
      </c>
    </row>
    <row r="345">
      <c r="A345" t="inlineStr">
        <is>
          <t>ALL</t>
        </is>
      </c>
      <c r="B345" t="inlineStr">
        <is>
          <t>legendary</t>
        </is>
      </c>
      <c r="C345" t="n">
        <v>3</v>
      </c>
      <c r="D345" t="inlineStr">
        <is>
          <t>Min Damage Multiplier %</t>
        </is>
      </c>
      <c r="E345" t="n">
        <v>15</v>
      </c>
      <c r="F345" t="n">
        <v>0.32</v>
      </c>
      <c r="G345" t="b">
        <v>1</v>
      </c>
      <c r="H345">
        <f>Sensitivity!H13</f>
        <v/>
      </c>
    </row>
    <row r="346">
      <c r="A346" t="inlineStr">
        <is>
          <t>ALL</t>
        </is>
      </c>
      <c r="B346" t="inlineStr">
        <is>
          <t>legendary</t>
        </is>
      </c>
      <c r="C346" t="n">
        <v>3</v>
      </c>
      <c r="D346" t="inlineStr">
        <is>
          <t>Max Damage Multiplier %</t>
        </is>
      </c>
      <c r="E346" t="n">
        <v>10</v>
      </c>
      <c r="F346" t="n">
        <v>3.68</v>
      </c>
      <c r="G346" t="b">
        <v>0</v>
      </c>
      <c r="H346">
        <f>Sensitivity!H14</f>
        <v/>
      </c>
    </row>
    <row r="347">
      <c r="A347" t="inlineStr">
        <is>
          <t>ALL</t>
        </is>
      </c>
      <c r="B347" t="inlineStr">
        <is>
          <t>legendary</t>
        </is>
      </c>
      <c r="C347" t="n">
        <v>3</v>
      </c>
      <c r="D347" t="inlineStr">
        <is>
          <t>Max Damage Multiplier %</t>
        </is>
      </c>
      <c r="E347" t="n">
        <v>15</v>
      </c>
      <c r="F347" t="n">
        <v>0.32</v>
      </c>
      <c r="G347" t="b">
        <v>1</v>
      </c>
      <c r="H347">
        <f>Sensitivity!H14</f>
        <v/>
      </c>
    </row>
    <row r="348">
      <c r="A348" t="inlineStr">
        <is>
          <t>ALL</t>
        </is>
      </c>
      <c r="B348" t="inlineStr">
        <is>
          <t>legendary</t>
        </is>
      </c>
      <c r="C348" t="n">
        <v>3</v>
      </c>
      <c r="D348" t="inlineStr">
        <is>
          <t>Str %</t>
        </is>
      </c>
      <c r="E348" t="n">
        <v>9</v>
      </c>
      <c r="F348" t="n">
        <v>4.14</v>
      </c>
      <c r="G348" t="b">
        <v>0</v>
      </c>
      <c r="H348">
        <f>Sensitivity!H7*Inputs!$B$14/100</f>
        <v/>
      </c>
    </row>
    <row r="349">
      <c r="A349" t="inlineStr">
        <is>
          <t>ALL</t>
        </is>
      </c>
      <c r="B349" t="inlineStr">
        <is>
          <t>legendary</t>
        </is>
      </c>
      <c r="C349" t="n">
        <v>3</v>
      </c>
      <c r="D349" t="inlineStr">
        <is>
          <t>Str %</t>
        </is>
      </c>
      <c r="E349" t="n">
        <v>12</v>
      </c>
      <c r="F349" t="n">
        <v>0.36</v>
      </c>
      <c r="G349" t="b">
        <v>1</v>
      </c>
      <c r="H349">
        <f>Sensitivity!H7*Inputs!$B$14/100</f>
        <v/>
      </c>
    </row>
    <row r="350">
      <c r="A350" t="inlineStr">
        <is>
          <t>ALL</t>
        </is>
      </c>
      <c r="B350" t="inlineStr">
        <is>
          <t>legendary</t>
        </is>
      </c>
      <c r="C350" t="n">
        <v>3</v>
      </c>
      <c r="D350" t="inlineStr">
        <is>
          <t>Dex %</t>
        </is>
      </c>
      <c r="E350" t="n">
        <v>9</v>
      </c>
      <c r="F350" t="n">
        <v>4.14</v>
      </c>
      <c r="G350" t="b">
        <v>0</v>
      </c>
      <c r="H350">
        <f>Sensitivity!H6</f>
        <v/>
      </c>
    </row>
    <row r="351">
      <c r="A351" t="inlineStr">
        <is>
          <t>ALL</t>
        </is>
      </c>
      <c r="B351" t="inlineStr">
        <is>
          <t>legendary</t>
        </is>
      </c>
      <c r="C351" t="n">
        <v>3</v>
      </c>
      <c r="D351" t="inlineStr">
        <is>
          <t>Dex %</t>
        </is>
      </c>
      <c r="E351" t="n">
        <v>12</v>
      </c>
      <c r="F351" t="n">
        <v>0.36</v>
      </c>
      <c r="G351" t="b">
        <v>1</v>
      </c>
      <c r="H351">
        <f>Sensitivity!H6</f>
        <v/>
      </c>
    </row>
    <row r="352">
      <c r="A352" t="inlineStr">
        <is>
          <t>ALL</t>
        </is>
      </c>
      <c r="B352" t="inlineStr">
        <is>
          <t>legendary</t>
        </is>
      </c>
      <c r="C352" t="n">
        <v>3</v>
      </c>
      <c r="D352" t="inlineStr">
        <is>
          <t>Int %</t>
        </is>
      </c>
      <c r="E352" t="n">
        <v>9</v>
      </c>
      <c r="F352" t="n">
        <v>4.14</v>
      </c>
      <c r="G352" t="b">
        <v>0</v>
      </c>
      <c r="H352" t="inlineStr">
        <is>
          <t>0</t>
        </is>
      </c>
    </row>
    <row r="353">
      <c r="A353" t="inlineStr">
        <is>
          <t>ALL</t>
        </is>
      </c>
      <c r="B353" t="inlineStr">
        <is>
          <t>legendary</t>
        </is>
      </c>
      <c r="C353" t="n">
        <v>3</v>
      </c>
      <c r="D353" t="inlineStr">
        <is>
          <t>Int %</t>
        </is>
      </c>
      <c r="E353" t="n">
        <v>12</v>
      </c>
      <c r="F353" t="n">
        <v>0.36</v>
      </c>
      <c r="G353" t="b">
        <v>1</v>
      </c>
      <c r="H353" t="inlineStr">
        <is>
          <t>0</t>
        </is>
      </c>
    </row>
    <row r="354">
      <c r="A354" t="inlineStr">
        <is>
          <t>ALL</t>
        </is>
      </c>
      <c r="B354" t="inlineStr">
        <is>
          <t>legendary</t>
        </is>
      </c>
      <c r="C354" t="n">
        <v>3</v>
      </c>
      <c r="D354" t="inlineStr">
        <is>
          <t>Luk %</t>
        </is>
      </c>
      <c r="E354" t="n">
        <v>9</v>
      </c>
      <c r="F354" t="n">
        <v>4.14</v>
      </c>
      <c r="G354" t="b">
        <v>0</v>
      </c>
      <c r="H354" t="inlineStr">
        <is>
          <t>0</t>
        </is>
      </c>
    </row>
    <row r="355">
      <c r="A355" t="inlineStr">
        <is>
          <t>ALL</t>
        </is>
      </c>
      <c r="B355" t="inlineStr">
        <is>
          <t>legendary</t>
        </is>
      </c>
      <c r="C355" t="n">
        <v>3</v>
      </c>
      <c r="D355" t="inlineStr">
        <is>
          <t>Luk %</t>
        </is>
      </c>
      <c r="E355" t="n">
        <v>12</v>
      </c>
      <c r="F355" t="n">
        <v>0.36</v>
      </c>
      <c r="G355" t="b">
        <v>1</v>
      </c>
      <c r="H355" t="inlineStr">
        <is>
          <t>0</t>
        </is>
      </c>
    </row>
    <row r="356">
      <c r="A356" t="inlineStr">
        <is>
          <t>ALL</t>
        </is>
      </c>
      <c r="B356" t="inlineStr">
        <is>
          <t>legendary</t>
        </is>
      </c>
      <c r="C356" t="n">
        <v>3</v>
      </c>
      <c r="D356" t="inlineStr">
        <is>
          <t>Defense %</t>
        </is>
      </c>
      <c r="E356" t="n">
        <v>9</v>
      </c>
      <c r="F356" t="n">
        <v>8.279999999999999</v>
      </c>
      <c r="G356" t="b">
        <v>0</v>
      </c>
      <c r="H356" t="inlineStr">
        <is>
          <t>0</t>
        </is>
      </c>
    </row>
    <row r="357">
      <c r="A357" t="inlineStr">
        <is>
          <t>ALL</t>
        </is>
      </c>
      <c r="B357" t="inlineStr">
        <is>
          <t>legendary</t>
        </is>
      </c>
      <c r="C357" t="n">
        <v>3</v>
      </c>
      <c r="D357" t="inlineStr">
        <is>
          <t>Defense %</t>
        </is>
      </c>
      <c r="E357" t="n">
        <v>12</v>
      </c>
      <c r="F357" t="n">
        <v>0.72</v>
      </c>
      <c r="G357" t="b">
        <v>1</v>
      </c>
      <c r="H357" t="inlineStr">
        <is>
          <t>0</t>
        </is>
      </c>
    </row>
    <row r="358">
      <c r="A358" t="inlineStr">
        <is>
          <t>ALL</t>
        </is>
      </c>
      <c r="B358" t="inlineStr">
        <is>
          <t>legendary</t>
        </is>
      </c>
      <c r="C358" t="n">
        <v>3</v>
      </c>
      <c r="D358" t="inlineStr">
        <is>
          <t>Max HP %</t>
        </is>
      </c>
      <c r="E358" t="n">
        <v>15</v>
      </c>
      <c r="F358" t="n">
        <v>8.279999999999999</v>
      </c>
      <c r="G358" t="b">
        <v>0</v>
      </c>
      <c r="H358" t="inlineStr">
        <is>
          <t>0</t>
        </is>
      </c>
    </row>
    <row r="359">
      <c r="A359" t="inlineStr">
        <is>
          <t>ALL</t>
        </is>
      </c>
      <c r="B359" t="inlineStr">
        <is>
          <t>legendary</t>
        </is>
      </c>
      <c r="C359" t="n">
        <v>3</v>
      </c>
      <c r="D359" t="inlineStr">
        <is>
          <t>Max HP %</t>
        </is>
      </c>
      <c r="E359" t="n">
        <v>20</v>
      </c>
      <c r="F359" t="n">
        <v>0.72</v>
      </c>
      <c r="G359" t="b">
        <v>1</v>
      </c>
      <c r="H359" t="inlineStr">
        <is>
          <t>0</t>
        </is>
      </c>
    </row>
    <row r="360">
      <c r="A360" t="inlineStr">
        <is>
          <t>ALL</t>
        </is>
      </c>
      <c r="B360" t="inlineStr">
        <is>
          <t>legendary</t>
        </is>
      </c>
      <c r="C360" t="n">
        <v>3</v>
      </c>
      <c r="D360" t="inlineStr">
        <is>
          <t>Max MP %</t>
        </is>
      </c>
      <c r="E360" t="n">
        <v>9</v>
      </c>
      <c r="F360" t="n">
        <v>8.279999999999999</v>
      </c>
      <c r="G360" t="b">
        <v>0</v>
      </c>
      <c r="H360" t="inlineStr">
        <is>
          <t>0</t>
        </is>
      </c>
    </row>
    <row r="361">
      <c r="A361" t="inlineStr">
        <is>
          <t>ALL</t>
        </is>
      </c>
      <c r="B361" t="inlineStr">
        <is>
          <t>legendary</t>
        </is>
      </c>
      <c r="C361" t="n">
        <v>3</v>
      </c>
      <c r="D361" t="inlineStr">
        <is>
          <t>Max MP %</t>
        </is>
      </c>
      <c r="E361" t="n">
        <v>12</v>
      </c>
      <c r="F361" t="n">
        <v>0.72</v>
      </c>
      <c r="G361" t="b">
        <v>1</v>
      </c>
      <c r="H361" t="inlineStr">
        <is>
          <t>0</t>
        </is>
      </c>
    </row>
    <row r="362">
      <c r="A362" t="inlineStr">
        <is>
          <t>ALL</t>
        </is>
      </c>
      <c r="B362" t="inlineStr">
        <is>
          <t>legendary</t>
        </is>
      </c>
      <c r="C362" t="n">
        <v>3</v>
      </c>
      <c r="D362" t="inlineStr">
        <is>
          <t>Str</t>
        </is>
      </c>
      <c r="E362" t="n">
        <v>400</v>
      </c>
      <c r="F362" t="n">
        <v>8.51</v>
      </c>
      <c r="G362" t="b">
        <v>0</v>
      </c>
      <c r="H362">
        <f>Sensitivity!H7</f>
        <v/>
      </c>
    </row>
    <row r="363">
      <c r="A363" t="inlineStr">
        <is>
          <t>ALL</t>
        </is>
      </c>
      <c r="B363" t="inlineStr">
        <is>
          <t>legendary</t>
        </is>
      </c>
      <c r="C363" t="n">
        <v>3</v>
      </c>
      <c r="D363" t="inlineStr">
        <is>
          <t>Str</t>
        </is>
      </c>
      <c r="E363" t="n">
        <v>600</v>
      </c>
      <c r="F363" t="n">
        <v>0.74</v>
      </c>
      <c r="G363" t="b">
        <v>1</v>
      </c>
      <c r="H363">
        <f>Sensitivity!H7</f>
        <v/>
      </c>
    </row>
    <row r="364">
      <c r="A364" t="inlineStr">
        <is>
          <t>ALL</t>
        </is>
      </c>
      <c r="B364" t="inlineStr">
        <is>
          <t>legendary</t>
        </is>
      </c>
      <c r="C364" t="n">
        <v>3</v>
      </c>
      <c r="D364" t="inlineStr">
        <is>
          <t>Dex</t>
        </is>
      </c>
      <c r="E364" t="n">
        <v>400</v>
      </c>
      <c r="F364" t="n">
        <v>8.51</v>
      </c>
      <c r="G364" t="b">
        <v>0</v>
      </c>
      <c r="H364">
        <f>Sensitivity!H5</f>
        <v/>
      </c>
    </row>
    <row r="365">
      <c r="A365" t="inlineStr">
        <is>
          <t>ALL</t>
        </is>
      </c>
      <c r="B365" t="inlineStr">
        <is>
          <t>legendary</t>
        </is>
      </c>
      <c r="C365" t="n">
        <v>3</v>
      </c>
      <c r="D365" t="inlineStr">
        <is>
          <t>Dex</t>
        </is>
      </c>
      <c r="E365" t="n">
        <v>600</v>
      </c>
      <c r="F365" t="n">
        <v>0.74</v>
      </c>
      <c r="G365" t="b">
        <v>1</v>
      </c>
      <c r="H365">
        <f>Sensitivity!H5</f>
        <v/>
      </c>
    </row>
    <row r="366">
      <c r="A366" t="inlineStr">
        <is>
          <t>ALL</t>
        </is>
      </c>
      <c r="B366" t="inlineStr">
        <is>
          <t>legendary</t>
        </is>
      </c>
      <c r="C366" t="n">
        <v>3</v>
      </c>
      <c r="D366" t="inlineStr">
        <is>
          <t>Int</t>
        </is>
      </c>
      <c r="E366" t="n">
        <v>400</v>
      </c>
      <c r="F366" t="n">
        <v>8.51</v>
      </c>
      <c r="G366" t="b">
        <v>0</v>
      </c>
      <c r="H366" t="inlineStr">
        <is>
          <t>0</t>
        </is>
      </c>
    </row>
    <row r="367">
      <c r="A367" t="inlineStr">
        <is>
          <t>ALL</t>
        </is>
      </c>
      <c r="B367" t="inlineStr">
        <is>
          <t>legendary</t>
        </is>
      </c>
      <c r="C367" t="n">
        <v>3</v>
      </c>
      <c r="D367" t="inlineStr">
        <is>
          <t>Int</t>
        </is>
      </c>
      <c r="E367" t="n">
        <v>600</v>
      </c>
      <c r="F367" t="n">
        <v>0.74</v>
      </c>
      <c r="G367" t="b">
        <v>1</v>
      </c>
      <c r="H367" t="inlineStr">
        <is>
          <t>0</t>
        </is>
      </c>
    </row>
    <row r="368">
      <c r="A368" t="inlineStr">
        <is>
          <t>ALL</t>
        </is>
      </c>
      <c r="B368" t="inlineStr">
        <is>
          <t>legendary</t>
        </is>
      </c>
      <c r="C368" t="n">
        <v>3</v>
      </c>
      <c r="D368" t="inlineStr">
        <is>
          <t>Luk</t>
        </is>
      </c>
      <c r="E368" t="n">
        <v>400</v>
      </c>
      <c r="F368" t="n">
        <v>8.51</v>
      </c>
      <c r="G368" t="b">
        <v>0</v>
      </c>
      <c r="H368" t="inlineStr">
        <is>
          <t>0</t>
        </is>
      </c>
    </row>
    <row r="369">
      <c r="A369" t="inlineStr">
        <is>
          <t>ALL</t>
        </is>
      </c>
      <c r="B369" t="inlineStr">
        <is>
          <t>legendary</t>
        </is>
      </c>
      <c r="C369" t="n">
        <v>3</v>
      </c>
      <c r="D369" t="inlineStr">
        <is>
          <t>Luk</t>
        </is>
      </c>
      <c r="E369" t="n">
        <v>600</v>
      </c>
      <c r="F369" t="n">
        <v>0.74</v>
      </c>
      <c r="G369" t="b">
        <v>1</v>
      </c>
      <c r="H369" t="inlineStr">
        <is>
          <t>0</t>
        </is>
      </c>
    </row>
    <row r="370">
      <c r="A370" t="inlineStr">
        <is>
          <t>ALL</t>
        </is>
      </c>
      <c r="B370" t="inlineStr">
        <is>
          <t>mystic</t>
        </is>
      </c>
      <c r="C370" t="n">
        <v>1</v>
      </c>
      <c r="D370" t="inlineStr">
        <is>
          <t>Critical Rate %</t>
        </is>
      </c>
      <c r="E370" t="n">
        <v>15</v>
      </c>
      <c r="F370" t="n">
        <v>2.5</v>
      </c>
      <c r="G370" t="b">
        <v>0</v>
      </c>
      <c r="H370">
        <f>IF(AND(Inputs!$B$9+Summary!$B$14+Artifacts!$B$32&gt;=100,NOT(ArtifactsInput!$M$42),NOT(ArtifactsInput!$M$24)),Sensitivity!H16,Sensitivity!H15)</f>
        <v/>
      </c>
    </row>
    <row r="371">
      <c r="A371" t="inlineStr">
        <is>
          <t>ALL</t>
        </is>
      </c>
      <c r="B371" t="inlineStr">
        <is>
          <t>mystic</t>
        </is>
      </c>
      <c r="C371" t="n">
        <v>1</v>
      </c>
      <c r="D371" t="inlineStr">
        <is>
          <t>Attack Speed %</t>
        </is>
      </c>
      <c r="E371" t="n">
        <v>10</v>
      </c>
      <c r="F371" t="n">
        <v>2.5</v>
      </c>
      <c r="G371" t="b">
        <v>0</v>
      </c>
      <c r="H371">
        <f>Sensitivity!H17</f>
        <v/>
      </c>
    </row>
    <row r="372">
      <c r="A372" t="inlineStr">
        <is>
          <t>ALL</t>
        </is>
      </c>
      <c r="B372" t="inlineStr">
        <is>
          <t>mystic</t>
        </is>
      </c>
      <c r="C372" t="n">
        <v>1</v>
      </c>
      <c r="D372" t="inlineStr">
        <is>
          <t>Damage %</t>
        </is>
      </c>
      <c r="E372" t="n">
        <v>35</v>
      </c>
      <c r="F372" t="n">
        <v>4</v>
      </c>
      <c r="G372" t="b">
        <v>0</v>
      </c>
      <c r="H372">
        <f>Sensitivity!H8</f>
        <v/>
      </c>
    </row>
    <row r="373">
      <c r="A373" t="inlineStr">
        <is>
          <t>ALL</t>
        </is>
      </c>
      <c r="B373" t="inlineStr">
        <is>
          <t>mystic</t>
        </is>
      </c>
      <c r="C373" t="n">
        <v>1</v>
      </c>
      <c r="D373" t="inlineStr">
        <is>
          <t>Min Damage Multiplier %</t>
        </is>
      </c>
      <c r="E373" t="n">
        <v>25</v>
      </c>
      <c r="F373" t="n">
        <v>4</v>
      </c>
      <c r="G373" t="b">
        <v>0</v>
      </c>
      <c r="H373">
        <f>Sensitivity!H13</f>
        <v/>
      </c>
    </row>
    <row r="374">
      <c r="A374" t="inlineStr">
        <is>
          <t>ALL</t>
        </is>
      </c>
      <c r="B374" t="inlineStr">
        <is>
          <t>mystic</t>
        </is>
      </c>
      <c r="C374" t="n">
        <v>1</v>
      </c>
      <c r="D374" t="inlineStr">
        <is>
          <t>Max Damage Multiplier %</t>
        </is>
      </c>
      <c r="E374" t="n">
        <v>25</v>
      </c>
      <c r="F374" t="n">
        <v>4</v>
      </c>
      <c r="G374" t="b">
        <v>0</v>
      </c>
      <c r="H374">
        <f>Sensitivity!H14</f>
        <v/>
      </c>
    </row>
    <row r="375">
      <c r="A375" t="inlineStr">
        <is>
          <t>ALL</t>
        </is>
      </c>
      <c r="B375" t="inlineStr">
        <is>
          <t>mystic</t>
        </is>
      </c>
      <c r="C375" t="n">
        <v>1</v>
      </c>
      <c r="D375" t="inlineStr">
        <is>
          <t>Str %</t>
        </is>
      </c>
      <c r="E375" t="n">
        <v>15</v>
      </c>
      <c r="F375" t="n">
        <v>4.5</v>
      </c>
      <c r="G375" t="b">
        <v>0</v>
      </c>
      <c r="H375">
        <f>Sensitivity!H7*Inputs!$B$14/100</f>
        <v/>
      </c>
    </row>
    <row r="376">
      <c r="A376" t="inlineStr">
        <is>
          <t>ALL</t>
        </is>
      </c>
      <c r="B376" t="inlineStr">
        <is>
          <t>mystic</t>
        </is>
      </c>
      <c r="C376" t="n">
        <v>1</v>
      </c>
      <c r="D376" t="inlineStr">
        <is>
          <t>Dex %</t>
        </is>
      </c>
      <c r="E376" t="n">
        <v>15</v>
      </c>
      <c r="F376" t="n">
        <v>4.5</v>
      </c>
      <c r="G376" t="b">
        <v>0</v>
      </c>
      <c r="H376">
        <f>Sensitivity!H6</f>
        <v/>
      </c>
    </row>
    <row r="377">
      <c r="A377" t="inlineStr">
        <is>
          <t>ALL</t>
        </is>
      </c>
      <c r="B377" t="inlineStr">
        <is>
          <t>mystic</t>
        </is>
      </c>
      <c r="C377" t="n">
        <v>1</v>
      </c>
      <c r="D377" t="inlineStr">
        <is>
          <t>Int %</t>
        </is>
      </c>
      <c r="E377" t="n">
        <v>15</v>
      </c>
      <c r="F377" t="n">
        <v>4.5</v>
      </c>
      <c r="G377" t="b">
        <v>0</v>
      </c>
      <c r="H377" t="inlineStr">
        <is>
          <t>0</t>
        </is>
      </c>
    </row>
    <row r="378">
      <c r="A378" t="inlineStr">
        <is>
          <t>ALL</t>
        </is>
      </c>
      <c r="B378" t="inlineStr">
        <is>
          <t>mystic</t>
        </is>
      </c>
      <c r="C378" t="n">
        <v>1</v>
      </c>
      <c r="D378" t="inlineStr">
        <is>
          <t>Luk %</t>
        </is>
      </c>
      <c r="E378" t="n">
        <v>15</v>
      </c>
      <c r="F378" t="n">
        <v>4.5</v>
      </c>
      <c r="G378" t="b">
        <v>0</v>
      </c>
      <c r="H378" t="inlineStr">
        <is>
          <t>0</t>
        </is>
      </c>
    </row>
    <row r="379">
      <c r="A379" t="inlineStr">
        <is>
          <t>ALL</t>
        </is>
      </c>
      <c r="B379" t="inlineStr">
        <is>
          <t>mystic</t>
        </is>
      </c>
      <c r="C379" t="n">
        <v>1</v>
      </c>
      <c r="D379" t="inlineStr">
        <is>
          <t>Defense %</t>
        </is>
      </c>
      <c r="E379" t="n">
        <v>15</v>
      </c>
      <c r="F379" t="n">
        <v>9</v>
      </c>
      <c r="G379" t="b">
        <v>0</v>
      </c>
      <c r="H379" t="inlineStr">
        <is>
          <t>0</t>
        </is>
      </c>
    </row>
    <row r="380">
      <c r="A380" t="inlineStr">
        <is>
          <t>ALL</t>
        </is>
      </c>
      <c r="B380" t="inlineStr">
        <is>
          <t>mystic</t>
        </is>
      </c>
      <c r="C380" t="n">
        <v>1</v>
      </c>
      <c r="D380" t="inlineStr">
        <is>
          <t>Max HP %</t>
        </is>
      </c>
      <c r="E380" t="n">
        <v>25</v>
      </c>
      <c r="F380" t="n">
        <v>9</v>
      </c>
      <c r="G380" t="b">
        <v>0</v>
      </c>
      <c r="H380" t="inlineStr">
        <is>
          <t>0</t>
        </is>
      </c>
    </row>
    <row r="381">
      <c r="A381" t="inlineStr">
        <is>
          <t>ALL</t>
        </is>
      </c>
      <c r="B381" t="inlineStr">
        <is>
          <t>mystic</t>
        </is>
      </c>
      <c r="C381" t="n">
        <v>1</v>
      </c>
      <c r="D381" t="inlineStr">
        <is>
          <t>Max MP %</t>
        </is>
      </c>
      <c r="E381" t="n">
        <v>15</v>
      </c>
      <c r="F381" t="n">
        <v>9</v>
      </c>
      <c r="G381" t="b">
        <v>0</v>
      </c>
      <c r="H381" t="inlineStr">
        <is>
          <t>0</t>
        </is>
      </c>
    </row>
    <row r="382">
      <c r="A382" t="inlineStr">
        <is>
          <t>ALL</t>
        </is>
      </c>
      <c r="B382" t="inlineStr">
        <is>
          <t>mystic</t>
        </is>
      </c>
      <c r="C382" t="n">
        <v>1</v>
      </c>
      <c r="D382" t="inlineStr">
        <is>
          <t>Str</t>
        </is>
      </c>
      <c r="E382" t="n">
        <v>1000</v>
      </c>
      <c r="F382" t="n">
        <v>9.25</v>
      </c>
      <c r="G382" t="b">
        <v>0</v>
      </c>
      <c r="H382">
        <f>Sensitivity!H7</f>
        <v/>
      </c>
    </row>
    <row r="383">
      <c r="A383" t="inlineStr">
        <is>
          <t>ALL</t>
        </is>
      </c>
      <c r="B383" t="inlineStr">
        <is>
          <t>mystic</t>
        </is>
      </c>
      <c r="C383" t="n">
        <v>1</v>
      </c>
      <c r="D383" t="inlineStr">
        <is>
          <t>Dex</t>
        </is>
      </c>
      <c r="E383" t="n">
        <v>1000</v>
      </c>
      <c r="F383" t="n">
        <v>9.25</v>
      </c>
      <c r="G383" t="b">
        <v>0</v>
      </c>
      <c r="H383">
        <f>Sensitivity!H5</f>
        <v/>
      </c>
    </row>
    <row r="384">
      <c r="A384" t="inlineStr">
        <is>
          <t>ALL</t>
        </is>
      </c>
      <c r="B384" t="inlineStr">
        <is>
          <t>mystic</t>
        </is>
      </c>
      <c r="C384" t="n">
        <v>1</v>
      </c>
      <c r="D384" t="inlineStr">
        <is>
          <t>Int</t>
        </is>
      </c>
      <c r="E384" t="n">
        <v>1000</v>
      </c>
      <c r="F384" t="n">
        <v>9.25</v>
      </c>
      <c r="G384" t="b">
        <v>0</v>
      </c>
      <c r="H384" t="inlineStr">
        <is>
          <t>0</t>
        </is>
      </c>
    </row>
    <row r="385">
      <c r="A385" t="inlineStr">
        <is>
          <t>ALL</t>
        </is>
      </c>
      <c r="B385" t="inlineStr">
        <is>
          <t>mystic</t>
        </is>
      </c>
      <c r="C385" t="n">
        <v>1</v>
      </c>
      <c r="D385" t="inlineStr">
        <is>
          <t>Luk</t>
        </is>
      </c>
      <c r="E385" t="n">
        <v>1000</v>
      </c>
      <c r="F385" t="n">
        <v>9.25</v>
      </c>
      <c r="G385" t="b">
        <v>0</v>
      </c>
      <c r="H385" t="inlineStr">
        <is>
          <t>0</t>
        </is>
      </c>
    </row>
    <row r="386">
      <c r="A386" t="inlineStr">
        <is>
          <t>ALL</t>
        </is>
      </c>
      <c r="B386" t="inlineStr">
        <is>
          <t>mystic</t>
        </is>
      </c>
      <c r="C386" t="n">
        <v>2</v>
      </c>
      <c r="D386" t="inlineStr">
        <is>
          <t>Critical Rate %</t>
        </is>
      </c>
      <c r="E386" t="n">
        <v>12</v>
      </c>
      <c r="F386" t="n">
        <v>1.9</v>
      </c>
      <c r="G386" t="b">
        <v>0</v>
      </c>
      <c r="H386">
        <f>IF(AND(Inputs!$B$9+Summary!$B$14+Artifacts!$B$32&gt;=100,NOT(ArtifactsInput!$M$42),NOT(ArtifactsInput!$M$24)),Sensitivity!H16,Sensitivity!H15)</f>
        <v/>
      </c>
    </row>
    <row r="387">
      <c r="A387" t="inlineStr">
        <is>
          <t>ALL</t>
        </is>
      </c>
      <c r="B387" t="inlineStr">
        <is>
          <t>mystic</t>
        </is>
      </c>
      <c r="C387" t="n">
        <v>2</v>
      </c>
      <c r="D387" t="inlineStr">
        <is>
          <t>Critical Rate %</t>
        </is>
      </c>
      <c r="E387" t="n">
        <v>15</v>
      </c>
      <c r="F387" t="n">
        <v>0.6</v>
      </c>
      <c r="G387" t="b">
        <v>1</v>
      </c>
      <c r="H387">
        <f>IF(AND(Inputs!$B$9+Summary!$B$14+Artifacts!$B$32&gt;=100,NOT(ArtifactsInput!$M$42),NOT(ArtifactsInput!$M$24)),Sensitivity!H16,Sensitivity!H15)</f>
        <v/>
      </c>
    </row>
    <row r="388">
      <c r="A388" t="inlineStr">
        <is>
          <t>ALL</t>
        </is>
      </c>
      <c r="B388" t="inlineStr">
        <is>
          <t>mystic</t>
        </is>
      </c>
      <c r="C388" t="n">
        <v>2</v>
      </c>
      <c r="D388" t="inlineStr">
        <is>
          <t>Attack Speed %</t>
        </is>
      </c>
      <c r="E388" t="n">
        <v>7</v>
      </c>
      <c r="F388" t="n">
        <v>1.9</v>
      </c>
      <c r="G388" t="b">
        <v>0</v>
      </c>
      <c r="H388">
        <f>Sensitivity!H17</f>
        <v/>
      </c>
    </row>
    <row r="389">
      <c r="A389" t="inlineStr">
        <is>
          <t>ALL</t>
        </is>
      </c>
      <c r="B389" t="inlineStr">
        <is>
          <t>mystic</t>
        </is>
      </c>
      <c r="C389" t="n">
        <v>2</v>
      </c>
      <c r="D389" t="inlineStr">
        <is>
          <t>Attack Speed %</t>
        </is>
      </c>
      <c r="E389" t="n">
        <v>10</v>
      </c>
      <c r="F389" t="n">
        <v>0.6</v>
      </c>
      <c r="G389" t="b">
        <v>1</v>
      </c>
      <c r="H389">
        <f>Sensitivity!H17</f>
        <v/>
      </c>
    </row>
    <row r="390">
      <c r="A390" t="inlineStr">
        <is>
          <t>ALL</t>
        </is>
      </c>
      <c r="B390" t="inlineStr">
        <is>
          <t>mystic</t>
        </is>
      </c>
      <c r="C390" t="n">
        <v>2</v>
      </c>
      <c r="D390" t="inlineStr">
        <is>
          <t>Damage %</t>
        </is>
      </c>
      <c r="E390" t="n">
        <v>25</v>
      </c>
      <c r="F390" t="n">
        <v>3.04</v>
      </c>
      <c r="G390" t="b">
        <v>0</v>
      </c>
      <c r="H390">
        <f>Sensitivity!H8</f>
        <v/>
      </c>
    </row>
    <row r="391">
      <c r="A391" t="inlineStr">
        <is>
          <t>ALL</t>
        </is>
      </c>
      <c r="B391" t="inlineStr">
        <is>
          <t>mystic</t>
        </is>
      </c>
      <c r="C391" t="n">
        <v>2</v>
      </c>
      <c r="D391" t="inlineStr">
        <is>
          <t>Damage %</t>
        </is>
      </c>
      <c r="E391" t="n">
        <v>35</v>
      </c>
      <c r="F391" t="n">
        <v>0.96</v>
      </c>
      <c r="G391" t="b">
        <v>1</v>
      </c>
      <c r="H391">
        <f>Sensitivity!H8</f>
        <v/>
      </c>
    </row>
    <row r="392">
      <c r="A392" t="inlineStr">
        <is>
          <t>ALL</t>
        </is>
      </c>
      <c r="B392" t="inlineStr">
        <is>
          <t>mystic</t>
        </is>
      </c>
      <c r="C392" t="n">
        <v>2</v>
      </c>
      <c r="D392" t="inlineStr">
        <is>
          <t>Min Damage Multiplier %</t>
        </is>
      </c>
      <c r="E392" t="n">
        <v>15</v>
      </c>
      <c r="F392" t="n">
        <v>3.04</v>
      </c>
      <c r="G392" t="b">
        <v>0</v>
      </c>
      <c r="H392">
        <f>Sensitivity!H13</f>
        <v/>
      </c>
    </row>
    <row r="393">
      <c r="A393" t="inlineStr">
        <is>
          <t>ALL</t>
        </is>
      </c>
      <c r="B393" t="inlineStr">
        <is>
          <t>mystic</t>
        </is>
      </c>
      <c r="C393" t="n">
        <v>2</v>
      </c>
      <c r="D393" t="inlineStr">
        <is>
          <t>Min Damage Multiplier %</t>
        </is>
      </c>
      <c r="E393" t="n">
        <v>25</v>
      </c>
      <c r="F393" t="n">
        <v>0.96</v>
      </c>
      <c r="G393" t="b">
        <v>1</v>
      </c>
      <c r="H393">
        <f>Sensitivity!H13</f>
        <v/>
      </c>
    </row>
    <row r="394">
      <c r="A394" t="inlineStr">
        <is>
          <t>ALL</t>
        </is>
      </c>
      <c r="B394" t="inlineStr">
        <is>
          <t>mystic</t>
        </is>
      </c>
      <c r="C394" t="n">
        <v>2</v>
      </c>
      <c r="D394" t="inlineStr">
        <is>
          <t>Max Damage Multiplier %</t>
        </is>
      </c>
      <c r="E394" t="n">
        <v>15</v>
      </c>
      <c r="F394" t="n">
        <v>3.04</v>
      </c>
      <c r="G394" t="b">
        <v>0</v>
      </c>
      <c r="H394">
        <f>Sensitivity!H14</f>
        <v/>
      </c>
    </row>
    <row r="395">
      <c r="A395" t="inlineStr">
        <is>
          <t>ALL</t>
        </is>
      </c>
      <c r="B395" t="inlineStr">
        <is>
          <t>mystic</t>
        </is>
      </c>
      <c r="C395" t="n">
        <v>2</v>
      </c>
      <c r="D395" t="inlineStr">
        <is>
          <t>Max Damage Multiplier %</t>
        </is>
      </c>
      <c r="E395" t="n">
        <v>25</v>
      </c>
      <c r="F395" t="n">
        <v>0.96</v>
      </c>
      <c r="G395" t="b">
        <v>1</v>
      </c>
      <c r="H395">
        <f>Sensitivity!H14</f>
        <v/>
      </c>
    </row>
    <row r="396">
      <c r="A396" t="inlineStr">
        <is>
          <t>ALL</t>
        </is>
      </c>
      <c r="B396" t="inlineStr">
        <is>
          <t>mystic</t>
        </is>
      </c>
      <c r="C396" t="n">
        <v>2</v>
      </c>
      <c r="D396" t="inlineStr">
        <is>
          <t>Str %</t>
        </is>
      </c>
      <c r="E396" t="n">
        <v>12</v>
      </c>
      <c r="F396" t="n">
        <v>3.42</v>
      </c>
      <c r="G396" t="b">
        <v>0</v>
      </c>
      <c r="H396">
        <f>Sensitivity!H7*Inputs!$B$14/100</f>
        <v/>
      </c>
    </row>
    <row r="397">
      <c r="A397" t="inlineStr">
        <is>
          <t>ALL</t>
        </is>
      </c>
      <c r="B397" t="inlineStr">
        <is>
          <t>mystic</t>
        </is>
      </c>
      <c r="C397" t="n">
        <v>2</v>
      </c>
      <c r="D397" t="inlineStr">
        <is>
          <t>Str %</t>
        </is>
      </c>
      <c r="E397" t="n">
        <v>15</v>
      </c>
      <c r="F397" t="n">
        <v>1.08</v>
      </c>
      <c r="G397" t="b">
        <v>1</v>
      </c>
      <c r="H397">
        <f>Sensitivity!H7*Inputs!$B$14/100</f>
        <v/>
      </c>
    </row>
    <row r="398">
      <c r="A398" t="inlineStr">
        <is>
          <t>ALL</t>
        </is>
      </c>
      <c r="B398" t="inlineStr">
        <is>
          <t>mystic</t>
        </is>
      </c>
      <c r="C398" t="n">
        <v>2</v>
      </c>
      <c r="D398" t="inlineStr">
        <is>
          <t>Dex %</t>
        </is>
      </c>
      <c r="E398" t="n">
        <v>12</v>
      </c>
      <c r="F398" t="n">
        <v>3.42</v>
      </c>
      <c r="G398" t="b">
        <v>0</v>
      </c>
      <c r="H398">
        <f>Sensitivity!H6</f>
        <v/>
      </c>
    </row>
    <row r="399">
      <c r="A399" t="inlineStr">
        <is>
          <t>ALL</t>
        </is>
      </c>
      <c r="B399" t="inlineStr">
        <is>
          <t>mystic</t>
        </is>
      </c>
      <c r="C399" t="n">
        <v>2</v>
      </c>
      <c r="D399" t="inlineStr">
        <is>
          <t>Dex %</t>
        </is>
      </c>
      <c r="E399" t="n">
        <v>15</v>
      </c>
      <c r="F399" t="n">
        <v>1.08</v>
      </c>
      <c r="G399" t="b">
        <v>1</v>
      </c>
      <c r="H399">
        <f>Sensitivity!H6</f>
        <v/>
      </c>
    </row>
    <row r="400">
      <c r="A400" t="inlineStr">
        <is>
          <t>ALL</t>
        </is>
      </c>
      <c r="B400" t="inlineStr">
        <is>
          <t>mystic</t>
        </is>
      </c>
      <c r="C400" t="n">
        <v>2</v>
      </c>
      <c r="D400" t="inlineStr">
        <is>
          <t>Int %</t>
        </is>
      </c>
      <c r="E400" t="n">
        <v>12</v>
      </c>
      <c r="F400" t="n">
        <v>3.42</v>
      </c>
      <c r="G400" t="b">
        <v>0</v>
      </c>
      <c r="H400" t="inlineStr">
        <is>
          <t>0</t>
        </is>
      </c>
    </row>
    <row r="401">
      <c r="A401" t="inlineStr">
        <is>
          <t>ALL</t>
        </is>
      </c>
      <c r="B401" t="inlineStr">
        <is>
          <t>mystic</t>
        </is>
      </c>
      <c r="C401" t="n">
        <v>2</v>
      </c>
      <c r="D401" t="inlineStr">
        <is>
          <t>Int %</t>
        </is>
      </c>
      <c r="E401" t="n">
        <v>15</v>
      </c>
      <c r="F401" t="n">
        <v>1.08</v>
      </c>
      <c r="G401" t="b">
        <v>1</v>
      </c>
      <c r="H401" t="inlineStr">
        <is>
          <t>0</t>
        </is>
      </c>
    </row>
    <row r="402">
      <c r="A402" t="inlineStr">
        <is>
          <t>ALL</t>
        </is>
      </c>
      <c r="B402" t="inlineStr">
        <is>
          <t>mystic</t>
        </is>
      </c>
      <c r="C402" t="n">
        <v>2</v>
      </c>
      <c r="D402" t="inlineStr">
        <is>
          <t>Luk %</t>
        </is>
      </c>
      <c r="E402" t="n">
        <v>12</v>
      </c>
      <c r="F402" t="n">
        <v>3.42</v>
      </c>
      <c r="G402" t="b">
        <v>0</v>
      </c>
      <c r="H402" t="inlineStr">
        <is>
          <t>0</t>
        </is>
      </c>
    </row>
    <row r="403">
      <c r="A403" t="inlineStr">
        <is>
          <t>ALL</t>
        </is>
      </c>
      <c r="B403" t="inlineStr">
        <is>
          <t>mystic</t>
        </is>
      </c>
      <c r="C403" t="n">
        <v>2</v>
      </c>
      <c r="D403" t="inlineStr">
        <is>
          <t>Luk %</t>
        </is>
      </c>
      <c r="E403" t="n">
        <v>15</v>
      </c>
      <c r="F403" t="n">
        <v>1.08</v>
      </c>
      <c r="G403" t="b">
        <v>1</v>
      </c>
      <c r="H403" t="inlineStr">
        <is>
          <t>0</t>
        </is>
      </c>
    </row>
    <row r="404">
      <c r="A404" t="inlineStr">
        <is>
          <t>ALL</t>
        </is>
      </c>
      <c r="B404" t="inlineStr">
        <is>
          <t>mystic</t>
        </is>
      </c>
      <c r="C404" t="n">
        <v>2</v>
      </c>
      <c r="D404" t="inlineStr">
        <is>
          <t>Defense %</t>
        </is>
      </c>
      <c r="E404" t="n">
        <v>12</v>
      </c>
      <c r="F404" t="n">
        <v>6.84</v>
      </c>
      <c r="G404" t="b">
        <v>0</v>
      </c>
      <c r="H404" t="inlineStr">
        <is>
          <t>0</t>
        </is>
      </c>
    </row>
    <row r="405">
      <c r="A405" t="inlineStr">
        <is>
          <t>ALL</t>
        </is>
      </c>
      <c r="B405" t="inlineStr">
        <is>
          <t>mystic</t>
        </is>
      </c>
      <c r="C405" t="n">
        <v>2</v>
      </c>
      <c r="D405" t="inlineStr">
        <is>
          <t>Defense %</t>
        </is>
      </c>
      <c r="E405" t="n">
        <v>15</v>
      </c>
      <c r="F405" t="n">
        <v>2.16</v>
      </c>
      <c r="G405" t="b">
        <v>1</v>
      </c>
      <c r="H405" t="inlineStr">
        <is>
          <t>0</t>
        </is>
      </c>
    </row>
    <row r="406">
      <c r="A406" t="inlineStr">
        <is>
          <t>ALL</t>
        </is>
      </c>
      <c r="B406" t="inlineStr">
        <is>
          <t>mystic</t>
        </is>
      </c>
      <c r="C406" t="n">
        <v>2</v>
      </c>
      <c r="D406" t="inlineStr">
        <is>
          <t>Max HP %</t>
        </is>
      </c>
      <c r="E406" t="n">
        <v>20</v>
      </c>
      <c r="F406" t="n">
        <v>6.84</v>
      </c>
      <c r="G406" t="b">
        <v>0</v>
      </c>
      <c r="H406" t="inlineStr">
        <is>
          <t>0</t>
        </is>
      </c>
    </row>
    <row r="407">
      <c r="A407" t="inlineStr">
        <is>
          <t>ALL</t>
        </is>
      </c>
      <c r="B407" t="inlineStr">
        <is>
          <t>mystic</t>
        </is>
      </c>
      <c r="C407" t="n">
        <v>2</v>
      </c>
      <c r="D407" t="inlineStr">
        <is>
          <t>Max HP %</t>
        </is>
      </c>
      <c r="E407" t="n">
        <v>25</v>
      </c>
      <c r="F407" t="n">
        <v>2.16</v>
      </c>
      <c r="G407" t="b">
        <v>1</v>
      </c>
      <c r="H407" t="inlineStr">
        <is>
          <t>0</t>
        </is>
      </c>
    </row>
    <row r="408">
      <c r="A408" t="inlineStr">
        <is>
          <t>ALL</t>
        </is>
      </c>
      <c r="B408" t="inlineStr">
        <is>
          <t>mystic</t>
        </is>
      </c>
      <c r="C408" t="n">
        <v>2</v>
      </c>
      <c r="D408" t="inlineStr">
        <is>
          <t>Max MP %</t>
        </is>
      </c>
      <c r="E408" t="n">
        <v>12</v>
      </c>
      <c r="F408" t="n">
        <v>6.84</v>
      </c>
      <c r="G408" t="b">
        <v>0</v>
      </c>
      <c r="H408" t="inlineStr">
        <is>
          <t>0</t>
        </is>
      </c>
    </row>
    <row r="409">
      <c r="A409" t="inlineStr">
        <is>
          <t>ALL</t>
        </is>
      </c>
      <c r="B409" t="inlineStr">
        <is>
          <t>mystic</t>
        </is>
      </c>
      <c r="C409" t="n">
        <v>2</v>
      </c>
      <c r="D409" t="inlineStr">
        <is>
          <t>Max MP %</t>
        </is>
      </c>
      <c r="E409" t="n">
        <v>15</v>
      </c>
      <c r="F409" t="n">
        <v>2.16</v>
      </c>
      <c r="G409" t="b">
        <v>1</v>
      </c>
      <c r="H409" t="inlineStr">
        <is>
          <t>0</t>
        </is>
      </c>
    </row>
    <row r="410">
      <c r="A410" t="inlineStr">
        <is>
          <t>ALL</t>
        </is>
      </c>
      <c r="B410" t="inlineStr">
        <is>
          <t>mystic</t>
        </is>
      </c>
      <c r="C410" t="n">
        <v>2</v>
      </c>
      <c r="D410" t="inlineStr">
        <is>
          <t>Str</t>
        </is>
      </c>
      <c r="E410" t="n">
        <v>600</v>
      </c>
      <c r="F410" t="n">
        <v>7.03</v>
      </c>
      <c r="G410" t="b">
        <v>0</v>
      </c>
      <c r="H410">
        <f>Sensitivity!H7</f>
        <v/>
      </c>
    </row>
    <row r="411">
      <c r="A411" t="inlineStr">
        <is>
          <t>ALL</t>
        </is>
      </c>
      <c r="B411" t="inlineStr">
        <is>
          <t>mystic</t>
        </is>
      </c>
      <c r="C411" t="n">
        <v>2</v>
      </c>
      <c r="D411" t="inlineStr">
        <is>
          <t>Str</t>
        </is>
      </c>
      <c r="E411" t="n">
        <v>1000</v>
      </c>
      <c r="F411" t="n">
        <v>2.22</v>
      </c>
      <c r="G411" t="b">
        <v>1</v>
      </c>
      <c r="H411">
        <f>Sensitivity!H7</f>
        <v/>
      </c>
    </row>
    <row r="412">
      <c r="A412" t="inlineStr">
        <is>
          <t>ALL</t>
        </is>
      </c>
      <c r="B412" t="inlineStr">
        <is>
          <t>mystic</t>
        </is>
      </c>
      <c r="C412" t="n">
        <v>2</v>
      </c>
      <c r="D412" t="inlineStr">
        <is>
          <t>Dex</t>
        </is>
      </c>
      <c r="E412" t="n">
        <v>600</v>
      </c>
      <c r="F412" t="n">
        <v>7.03</v>
      </c>
      <c r="G412" t="b">
        <v>0</v>
      </c>
      <c r="H412">
        <f>Sensitivity!H5</f>
        <v/>
      </c>
    </row>
    <row r="413">
      <c r="A413" t="inlineStr">
        <is>
          <t>ALL</t>
        </is>
      </c>
      <c r="B413" t="inlineStr">
        <is>
          <t>mystic</t>
        </is>
      </c>
      <c r="C413" t="n">
        <v>2</v>
      </c>
      <c r="D413" t="inlineStr">
        <is>
          <t>Dex</t>
        </is>
      </c>
      <c r="E413" t="n">
        <v>1000</v>
      </c>
      <c r="F413" t="n">
        <v>2.22</v>
      </c>
      <c r="G413" t="b">
        <v>1</v>
      </c>
      <c r="H413">
        <f>Sensitivity!H5</f>
        <v/>
      </c>
    </row>
    <row r="414">
      <c r="A414" t="inlineStr">
        <is>
          <t>ALL</t>
        </is>
      </c>
      <c r="B414" t="inlineStr">
        <is>
          <t>mystic</t>
        </is>
      </c>
      <c r="C414" t="n">
        <v>2</v>
      </c>
      <c r="D414" t="inlineStr">
        <is>
          <t>Int</t>
        </is>
      </c>
      <c r="E414" t="n">
        <v>600</v>
      </c>
      <c r="F414" t="n">
        <v>7.03</v>
      </c>
      <c r="G414" t="b">
        <v>0</v>
      </c>
      <c r="H414" t="inlineStr">
        <is>
          <t>0</t>
        </is>
      </c>
    </row>
    <row r="415">
      <c r="A415" t="inlineStr">
        <is>
          <t>ALL</t>
        </is>
      </c>
      <c r="B415" t="inlineStr">
        <is>
          <t>mystic</t>
        </is>
      </c>
      <c r="C415" t="n">
        <v>2</v>
      </c>
      <c r="D415" t="inlineStr">
        <is>
          <t>Int</t>
        </is>
      </c>
      <c r="E415" t="n">
        <v>1000</v>
      </c>
      <c r="F415" t="n">
        <v>2.22</v>
      </c>
      <c r="G415" t="b">
        <v>1</v>
      </c>
      <c r="H415" t="inlineStr">
        <is>
          <t>0</t>
        </is>
      </c>
    </row>
    <row r="416">
      <c r="A416" t="inlineStr">
        <is>
          <t>ALL</t>
        </is>
      </c>
      <c r="B416" t="inlineStr">
        <is>
          <t>mystic</t>
        </is>
      </c>
      <c r="C416" t="n">
        <v>2</v>
      </c>
      <c r="D416" t="inlineStr">
        <is>
          <t>Luk</t>
        </is>
      </c>
      <c r="E416" t="n">
        <v>600</v>
      </c>
      <c r="F416" t="n">
        <v>7.03</v>
      </c>
      <c r="G416" t="b">
        <v>0</v>
      </c>
      <c r="H416" t="inlineStr">
        <is>
          <t>0</t>
        </is>
      </c>
    </row>
    <row r="417">
      <c r="A417" t="inlineStr">
        <is>
          <t>ALL</t>
        </is>
      </c>
      <c r="B417" t="inlineStr">
        <is>
          <t>mystic</t>
        </is>
      </c>
      <c r="C417" t="n">
        <v>2</v>
      </c>
      <c r="D417" t="inlineStr">
        <is>
          <t>Luk</t>
        </is>
      </c>
      <c r="E417" t="n">
        <v>1000</v>
      </c>
      <c r="F417" t="n">
        <v>2.22</v>
      </c>
      <c r="G417" t="b">
        <v>1</v>
      </c>
      <c r="H417" t="inlineStr">
        <is>
          <t>0</t>
        </is>
      </c>
    </row>
    <row r="418">
      <c r="A418" t="inlineStr">
        <is>
          <t>ALL</t>
        </is>
      </c>
      <c r="B418" t="inlineStr">
        <is>
          <t>mystic</t>
        </is>
      </c>
      <c r="C418" t="n">
        <v>3</v>
      </c>
      <c r="D418" t="inlineStr">
        <is>
          <t>Critical Rate %</t>
        </is>
      </c>
      <c r="E418" t="n">
        <v>12</v>
      </c>
      <c r="F418" t="n">
        <v>2.3</v>
      </c>
      <c r="G418" t="b">
        <v>0</v>
      </c>
      <c r="H418">
        <f>IF(AND(Inputs!$B$9+Summary!$B$14+Artifacts!$B$32&gt;=100,NOT(ArtifactsInput!$M$42),NOT(ArtifactsInput!$M$24)),Sensitivity!H16,Sensitivity!H15)</f>
        <v/>
      </c>
    </row>
    <row r="419">
      <c r="A419" t="inlineStr">
        <is>
          <t>ALL</t>
        </is>
      </c>
      <c r="B419" t="inlineStr">
        <is>
          <t>mystic</t>
        </is>
      </c>
      <c r="C419" t="n">
        <v>3</v>
      </c>
      <c r="D419" t="inlineStr">
        <is>
          <t>Critical Rate %</t>
        </is>
      </c>
      <c r="E419" t="n">
        <v>15</v>
      </c>
      <c r="F419" t="n">
        <v>0.2</v>
      </c>
      <c r="G419" t="b">
        <v>1</v>
      </c>
      <c r="H419">
        <f>IF(AND(Inputs!$B$9+Summary!$B$14+Artifacts!$B$32&gt;=100,NOT(ArtifactsInput!$M$42),NOT(ArtifactsInput!$M$24)),Sensitivity!H16,Sensitivity!H15)</f>
        <v/>
      </c>
    </row>
    <row r="420">
      <c r="A420" t="inlineStr">
        <is>
          <t>ALL</t>
        </is>
      </c>
      <c r="B420" t="inlineStr">
        <is>
          <t>mystic</t>
        </is>
      </c>
      <c r="C420" t="n">
        <v>3</v>
      </c>
      <c r="D420" t="inlineStr">
        <is>
          <t>Attack Speed %</t>
        </is>
      </c>
      <c r="E420" t="n">
        <v>7</v>
      </c>
      <c r="F420" t="n">
        <v>2.3</v>
      </c>
      <c r="G420" t="b">
        <v>0</v>
      </c>
      <c r="H420">
        <f>Sensitivity!H17</f>
        <v/>
      </c>
    </row>
    <row r="421">
      <c r="A421" t="inlineStr">
        <is>
          <t>ALL</t>
        </is>
      </c>
      <c r="B421" t="inlineStr">
        <is>
          <t>mystic</t>
        </is>
      </c>
      <c r="C421" t="n">
        <v>3</v>
      </c>
      <c r="D421" t="inlineStr">
        <is>
          <t>Attack Speed %</t>
        </is>
      </c>
      <c r="E421" t="n">
        <v>10</v>
      </c>
      <c r="F421" t="n">
        <v>0.2</v>
      </c>
      <c r="G421" t="b">
        <v>1</v>
      </c>
      <c r="H421">
        <f>Sensitivity!H17</f>
        <v/>
      </c>
    </row>
    <row r="422">
      <c r="A422" t="inlineStr">
        <is>
          <t>ALL</t>
        </is>
      </c>
      <c r="B422" t="inlineStr">
        <is>
          <t>mystic</t>
        </is>
      </c>
      <c r="C422" t="n">
        <v>3</v>
      </c>
      <c r="D422" t="inlineStr">
        <is>
          <t>Damage %</t>
        </is>
      </c>
      <c r="E422" t="n">
        <v>25</v>
      </c>
      <c r="F422" t="n">
        <v>3.68</v>
      </c>
      <c r="G422" t="b">
        <v>0</v>
      </c>
      <c r="H422">
        <f>Sensitivity!H8</f>
        <v/>
      </c>
    </row>
    <row r="423">
      <c r="A423" t="inlineStr">
        <is>
          <t>ALL</t>
        </is>
      </c>
      <c r="B423" t="inlineStr">
        <is>
          <t>mystic</t>
        </is>
      </c>
      <c r="C423" t="n">
        <v>3</v>
      </c>
      <c r="D423" t="inlineStr">
        <is>
          <t>Damage %</t>
        </is>
      </c>
      <c r="E423" t="n">
        <v>35</v>
      </c>
      <c r="F423" t="n">
        <v>0.32</v>
      </c>
      <c r="G423" t="b">
        <v>1</v>
      </c>
      <c r="H423">
        <f>Sensitivity!H8</f>
        <v/>
      </c>
    </row>
    <row r="424">
      <c r="A424" t="inlineStr">
        <is>
          <t>ALL</t>
        </is>
      </c>
      <c r="B424" t="inlineStr">
        <is>
          <t>mystic</t>
        </is>
      </c>
      <c r="C424" t="n">
        <v>3</v>
      </c>
      <c r="D424" t="inlineStr">
        <is>
          <t>Min Damage Multiplier %</t>
        </is>
      </c>
      <c r="E424" t="n">
        <v>15</v>
      </c>
      <c r="F424" t="n">
        <v>3.68</v>
      </c>
      <c r="G424" t="b">
        <v>0</v>
      </c>
      <c r="H424">
        <f>Sensitivity!H13</f>
        <v/>
      </c>
    </row>
    <row r="425">
      <c r="A425" t="inlineStr">
        <is>
          <t>ALL</t>
        </is>
      </c>
      <c r="B425" t="inlineStr">
        <is>
          <t>mystic</t>
        </is>
      </c>
      <c r="C425" t="n">
        <v>3</v>
      </c>
      <c r="D425" t="inlineStr">
        <is>
          <t>Min Damage Multiplier %</t>
        </is>
      </c>
      <c r="E425" t="n">
        <v>25</v>
      </c>
      <c r="F425" t="n">
        <v>0.32</v>
      </c>
      <c r="G425" t="b">
        <v>1</v>
      </c>
      <c r="H425">
        <f>Sensitivity!H13</f>
        <v/>
      </c>
    </row>
    <row r="426">
      <c r="A426" t="inlineStr">
        <is>
          <t>ALL</t>
        </is>
      </c>
      <c r="B426" t="inlineStr">
        <is>
          <t>mystic</t>
        </is>
      </c>
      <c r="C426" t="n">
        <v>3</v>
      </c>
      <c r="D426" t="inlineStr">
        <is>
          <t>Max Damage Multiplier %</t>
        </is>
      </c>
      <c r="E426" t="n">
        <v>15</v>
      </c>
      <c r="F426" t="n">
        <v>3.68</v>
      </c>
      <c r="G426" t="b">
        <v>0</v>
      </c>
      <c r="H426">
        <f>Sensitivity!H14</f>
        <v/>
      </c>
    </row>
    <row r="427">
      <c r="A427" t="inlineStr">
        <is>
          <t>ALL</t>
        </is>
      </c>
      <c r="B427" t="inlineStr">
        <is>
          <t>mystic</t>
        </is>
      </c>
      <c r="C427" t="n">
        <v>3</v>
      </c>
      <c r="D427" t="inlineStr">
        <is>
          <t>Max Damage Multiplier %</t>
        </is>
      </c>
      <c r="E427" t="n">
        <v>25</v>
      </c>
      <c r="F427" t="n">
        <v>0.32</v>
      </c>
      <c r="G427" t="b">
        <v>1</v>
      </c>
      <c r="H427">
        <f>Sensitivity!H14</f>
        <v/>
      </c>
    </row>
    <row r="428">
      <c r="A428" t="inlineStr">
        <is>
          <t>ALL</t>
        </is>
      </c>
      <c r="B428" t="inlineStr">
        <is>
          <t>mystic</t>
        </is>
      </c>
      <c r="C428" t="n">
        <v>3</v>
      </c>
      <c r="D428" t="inlineStr">
        <is>
          <t>Str %</t>
        </is>
      </c>
      <c r="E428" t="n">
        <v>12</v>
      </c>
      <c r="F428" t="n">
        <v>4.14</v>
      </c>
      <c r="G428" t="b">
        <v>0</v>
      </c>
      <c r="H428">
        <f>Sensitivity!H7*Inputs!$B$14/100</f>
        <v/>
      </c>
    </row>
    <row r="429">
      <c r="A429" t="inlineStr">
        <is>
          <t>ALL</t>
        </is>
      </c>
      <c r="B429" t="inlineStr">
        <is>
          <t>mystic</t>
        </is>
      </c>
      <c r="C429" t="n">
        <v>3</v>
      </c>
      <c r="D429" t="inlineStr">
        <is>
          <t>Str %</t>
        </is>
      </c>
      <c r="E429" t="n">
        <v>15</v>
      </c>
      <c r="F429" t="n">
        <v>0.36</v>
      </c>
      <c r="G429" t="b">
        <v>1</v>
      </c>
      <c r="H429">
        <f>Sensitivity!H7*Inputs!$B$14/100</f>
        <v/>
      </c>
    </row>
    <row r="430">
      <c r="A430" t="inlineStr">
        <is>
          <t>ALL</t>
        </is>
      </c>
      <c r="B430" t="inlineStr">
        <is>
          <t>mystic</t>
        </is>
      </c>
      <c r="C430" t="n">
        <v>3</v>
      </c>
      <c r="D430" t="inlineStr">
        <is>
          <t>Dex %</t>
        </is>
      </c>
      <c r="E430" t="n">
        <v>12</v>
      </c>
      <c r="F430" t="n">
        <v>4.14</v>
      </c>
      <c r="G430" t="b">
        <v>0</v>
      </c>
      <c r="H430">
        <f>Sensitivity!H6</f>
        <v/>
      </c>
    </row>
    <row r="431">
      <c r="A431" t="inlineStr">
        <is>
          <t>ALL</t>
        </is>
      </c>
      <c r="B431" t="inlineStr">
        <is>
          <t>mystic</t>
        </is>
      </c>
      <c r="C431" t="n">
        <v>3</v>
      </c>
      <c r="D431" t="inlineStr">
        <is>
          <t>Dex %</t>
        </is>
      </c>
      <c r="E431" t="n">
        <v>15</v>
      </c>
      <c r="F431" t="n">
        <v>0.36</v>
      </c>
      <c r="G431" t="b">
        <v>1</v>
      </c>
      <c r="H431">
        <f>Sensitivity!H6</f>
        <v/>
      </c>
    </row>
    <row r="432">
      <c r="A432" t="inlineStr">
        <is>
          <t>ALL</t>
        </is>
      </c>
      <c r="B432" t="inlineStr">
        <is>
          <t>mystic</t>
        </is>
      </c>
      <c r="C432" t="n">
        <v>3</v>
      </c>
      <c r="D432" t="inlineStr">
        <is>
          <t>Int %</t>
        </is>
      </c>
      <c r="E432" t="n">
        <v>12</v>
      </c>
      <c r="F432" t="n">
        <v>4.14</v>
      </c>
      <c r="G432" t="b">
        <v>0</v>
      </c>
      <c r="H432" t="inlineStr">
        <is>
          <t>0</t>
        </is>
      </c>
    </row>
    <row r="433">
      <c r="A433" t="inlineStr">
        <is>
          <t>ALL</t>
        </is>
      </c>
      <c r="B433" t="inlineStr">
        <is>
          <t>mystic</t>
        </is>
      </c>
      <c r="C433" t="n">
        <v>3</v>
      </c>
      <c r="D433" t="inlineStr">
        <is>
          <t>Int %</t>
        </is>
      </c>
      <c r="E433" t="n">
        <v>15</v>
      </c>
      <c r="F433" t="n">
        <v>0.36</v>
      </c>
      <c r="G433" t="b">
        <v>1</v>
      </c>
      <c r="H433" t="inlineStr">
        <is>
          <t>0</t>
        </is>
      </c>
    </row>
    <row r="434">
      <c r="A434" t="inlineStr">
        <is>
          <t>ALL</t>
        </is>
      </c>
      <c r="B434" t="inlineStr">
        <is>
          <t>mystic</t>
        </is>
      </c>
      <c r="C434" t="n">
        <v>3</v>
      </c>
      <c r="D434" t="inlineStr">
        <is>
          <t>Luk %</t>
        </is>
      </c>
      <c r="E434" t="n">
        <v>12</v>
      </c>
      <c r="F434" t="n">
        <v>4.14</v>
      </c>
      <c r="G434" t="b">
        <v>0</v>
      </c>
      <c r="H434" t="inlineStr">
        <is>
          <t>0</t>
        </is>
      </c>
    </row>
    <row r="435">
      <c r="A435" t="inlineStr">
        <is>
          <t>ALL</t>
        </is>
      </c>
      <c r="B435" t="inlineStr">
        <is>
          <t>mystic</t>
        </is>
      </c>
      <c r="C435" t="n">
        <v>3</v>
      </c>
      <c r="D435" t="inlineStr">
        <is>
          <t>Luk %</t>
        </is>
      </c>
      <c r="E435" t="n">
        <v>15</v>
      </c>
      <c r="F435" t="n">
        <v>0.36</v>
      </c>
      <c r="G435" t="b">
        <v>1</v>
      </c>
      <c r="H435" t="inlineStr">
        <is>
          <t>0</t>
        </is>
      </c>
    </row>
    <row r="436">
      <c r="A436" t="inlineStr">
        <is>
          <t>ALL</t>
        </is>
      </c>
      <c r="B436" t="inlineStr">
        <is>
          <t>mystic</t>
        </is>
      </c>
      <c r="C436" t="n">
        <v>3</v>
      </c>
      <c r="D436" t="inlineStr">
        <is>
          <t>Defense %</t>
        </is>
      </c>
      <c r="E436" t="n">
        <v>12</v>
      </c>
      <c r="F436" t="n">
        <v>8.279999999999999</v>
      </c>
      <c r="G436" t="b">
        <v>0</v>
      </c>
      <c r="H436" t="inlineStr">
        <is>
          <t>0</t>
        </is>
      </c>
    </row>
    <row r="437">
      <c r="A437" t="inlineStr">
        <is>
          <t>ALL</t>
        </is>
      </c>
      <c r="B437" t="inlineStr">
        <is>
          <t>mystic</t>
        </is>
      </c>
      <c r="C437" t="n">
        <v>3</v>
      </c>
      <c r="D437" t="inlineStr">
        <is>
          <t>Defense %</t>
        </is>
      </c>
      <c r="E437" t="n">
        <v>15</v>
      </c>
      <c r="F437" t="n">
        <v>0.72</v>
      </c>
      <c r="G437" t="b">
        <v>1</v>
      </c>
      <c r="H437" t="inlineStr">
        <is>
          <t>0</t>
        </is>
      </c>
    </row>
    <row r="438">
      <c r="A438" t="inlineStr">
        <is>
          <t>ALL</t>
        </is>
      </c>
      <c r="B438" t="inlineStr">
        <is>
          <t>mystic</t>
        </is>
      </c>
      <c r="C438" t="n">
        <v>3</v>
      </c>
      <c r="D438" t="inlineStr">
        <is>
          <t>Max HP %</t>
        </is>
      </c>
      <c r="E438" t="n">
        <v>20</v>
      </c>
      <c r="F438" t="n">
        <v>8.279999999999999</v>
      </c>
      <c r="G438" t="b">
        <v>0</v>
      </c>
      <c r="H438" t="inlineStr">
        <is>
          <t>0</t>
        </is>
      </c>
    </row>
    <row r="439">
      <c r="A439" t="inlineStr">
        <is>
          <t>ALL</t>
        </is>
      </c>
      <c r="B439" t="inlineStr">
        <is>
          <t>mystic</t>
        </is>
      </c>
      <c r="C439" t="n">
        <v>3</v>
      </c>
      <c r="D439" t="inlineStr">
        <is>
          <t>Max HP %</t>
        </is>
      </c>
      <c r="E439" t="n">
        <v>25</v>
      </c>
      <c r="F439" t="n">
        <v>0.72</v>
      </c>
      <c r="G439" t="b">
        <v>1</v>
      </c>
      <c r="H439" t="inlineStr">
        <is>
          <t>0</t>
        </is>
      </c>
    </row>
    <row r="440">
      <c r="A440" t="inlineStr">
        <is>
          <t>ALL</t>
        </is>
      </c>
      <c r="B440" t="inlineStr">
        <is>
          <t>mystic</t>
        </is>
      </c>
      <c r="C440" t="n">
        <v>3</v>
      </c>
      <c r="D440" t="inlineStr">
        <is>
          <t>Max MP %</t>
        </is>
      </c>
      <c r="E440" t="n">
        <v>12</v>
      </c>
      <c r="F440" t="n">
        <v>8.279999999999999</v>
      </c>
      <c r="G440" t="b">
        <v>0</v>
      </c>
      <c r="H440" t="inlineStr">
        <is>
          <t>0</t>
        </is>
      </c>
    </row>
    <row r="441">
      <c r="A441" t="inlineStr">
        <is>
          <t>ALL</t>
        </is>
      </c>
      <c r="B441" t="inlineStr">
        <is>
          <t>mystic</t>
        </is>
      </c>
      <c r="C441" t="n">
        <v>3</v>
      </c>
      <c r="D441" t="inlineStr">
        <is>
          <t>Max MP %</t>
        </is>
      </c>
      <c r="E441" t="n">
        <v>15</v>
      </c>
      <c r="F441" t="n">
        <v>0.72</v>
      </c>
      <c r="G441" t="b">
        <v>1</v>
      </c>
      <c r="H441" t="inlineStr">
        <is>
          <t>0</t>
        </is>
      </c>
    </row>
    <row r="442">
      <c r="A442" t="inlineStr">
        <is>
          <t>ALL</t>
        </is>
      </c>
      <c r="B442" t="inlineStr">
        <is>
          <t>mystic</t>
        </is>
      </c>
      <c r="C442" t="n">
        <v>3</v>
      </c>
      <c r="D442" t="inlineStr">
        <is>
          <t>Str</t>
        </is>
      </c>
      <c r="E442" t="n">
        <v>600</v>
      </c>
      <c r="F442" t="n">
        <v>8.51</v>
      </c>
      <c r="G442" t="b">
        <v>0</v>
      </c>
      <c r="H442">
        <f>Sensitivity!H7</f>
        <v/>
      </c>
    </row>
    <row r="443">
      <c r="A443" t="inlineStr">
        <is>
          <t>ALL</t>
        </is>
      </c>
      <c r="B443" t="inlineStr">
        <is>
          <t>mystic</t>
        </is>
      </c>
      <c r="C443" t="n">
        <v>3</v>
      </c>
      <c r="D443" t="inlineStr">
        <is>
          <t>Str</t>
        </is>
      </c>
      <c r="E443" t="n">
        <v>1000</v>
      </c>
      <c r="F443" t="n">
        <v>0.74</v>
      </c>
      <c r="G443" t="b">
        <v>1</v>
      </c>
      <c r="H443">
        <f>Sensitivity!H7</f>
        <v/>
      </c>
    </row>
    <row r="444">
      <c r="A444" t="inlineStr">
        <is>
          <t>ALL</t>
        </is>
      </c>
      <c r="B444" t="inlineStr">
        <is>
          <t>mystic</t>
        </is>
      </c>
      <c r="C444" t="n">
        <v>3</v>
      </c>
      <c r="D444" t="inlineStr">
        <is>
          <t>Dex</t>
        </is>
      </c>
      <c r="E444" t="n">
        <v>600</v>
      </c>
      <c r="F444" t="n">
        <v>8.51</v>
      </c>
      <c r="G444" t="b">
        <v>0</v>
      </c>
      <c r="H444">
        <f>Sensitivity!H5</f>
        <v/>
      </c>
    </row>
    <row r="445">
      <c r="A445" t="inlineStr">
        <is>
          <t>ALL</t>
        </is>
      </c>
      <c r="B445" t="inlineStr">
        <is>
          <t>mystic</t>
        </is>
      </c>
      <c r="C445" t="n">
        <v>3</v>
      </c>
      <c r="D445" t="inlineStr">
        <is>
          <t>Dex</t>
        </is>
      </c>
      <c r="E445" t="n">
        <v>1000</v>
      </c>
      <c r="F445" t="n">
        <v>0.74</v>
      </c>
      <c r="G445" t="b">
        <v>1</v>
      </c>
      <c r="H445">
        <f>Sensitivity!H5</f>
        <v/>
      </c>
    </row>
    <row r="446">
      <c r="A446" t="inlineStr">
        <is>
          <t>ALL</t>
        </is>
      </c>
      <c r="B446" t="inlineStr">
        <is>
          <t>mystic</t>
        </is>
      </c>
      <c r="C446" t="n">
        <v>3</v>
      </c>
      <c r="D446" t="inlineStr">
        <is>
          <t>Int</t>
        </is>
      </c>
      <c r="E446" t="n">
        <v>600</v>
      </c>
      <c r="F446" t="n">
        <v>8.51</v>
      </c>
      <c r="G446" t="b">
        <v>0</v>
      </c>
      <c r="H446" t="inlineStr">
        <is>
          <t>0</t>
        </is>
      </c>
    </row>
    <row r="447">
      <c r="A447" t="inlineStr">
        <is>
          <t>ALL</t>
        </is>
      </c>
      <c r="B447" t="inlineStr">
        <is>
          <t>mystic</t>
        </is>
      </c>
      <c r="C447" t="n">
        <v>3</v>
      </c>
      <c r="D447" t="inlineStr">
        <is>
          <t>Int</t>
        </is>
      </c>
      <c r="E447" t="n">
        <v>1000</v>
      </c>
      <c r="F447" t="n">
        <v>0.74</v>
      </c>
      <c r="G447" t="b">
        <v>1</v>
      </c>
      <c r="H447" t="inlineStr">
        <is>
          <t>0</t>
        </is>
      </c>
    </row>
    <row r="448">
      <c r="A448" t="inlineStr">
        <is>
          <t>ALL</t>
        </is>
      </c>
      <c r="B448" t="inlineStr">
        <is>
          <t>mystic</t>
        </is>
      </c>
      <c r="C448" t="n">
        <v>3</v>
      </c>
      <c r="D448" t="inlineStr">
        <is>
          <t>Luk</t>
        </is>
      </c>
      <c r="E448" t="n">
        <v>600</v>
      </c>
      <c r="F448" t="n">
        <v>8.51</v>
      </c>
      <c r="G448" t="b">
        <v>0</v>
      </c>
      <c r="H448" t="inlineStr">
        <is>
          <t>0</t>
        </is>
      </c>
    </row>
    <row r="449">
      <c r="A449" t="inlineStr">
        <is>
          <t>ALL</t>
        </is>
      </c>
      <c r="B449" t="inlineStr">
        <is>
          <t>mystic</t>
        </is>
      </c>
      <c r="C449" t="n">
        <v>3</v>
      </c>
      <c r="D449" t="inlineStr">
        <is>
          <t>Luk</t>
        </is>
      </c>
      <c r="E449" t="n">
        <v>1000</v>
      </c>
      <c r="F449" t="n">
        <v>0.74</v>
      </c>
      <c r="G449" t="b">
        <v>1</v>
      </c>
      <c r="H449" t="inlineStr">
        <is>
          <t>0</t>
        </is>
      </c>
    </row>
    <row r="450">
      <c r="A450" t="inlineStr">
        <is>
          <t>head</t>
        </is>
      </c>
      <c r="B450" t="inlineStr">
        <is>
          <t>epic</t>
        </is>
      </c>
      <c r="C450" t="n">
        <v>1</v>
      </c>
      <c r="D450" t="inlineStr">
        <is>
          <t>Skill Cooldown Decrease (seconds)</t>
        </is>
      </c>
      <c r="E450" t="n">
        <v>0.5</v>
      </c>
      <c r="F450" t="n">
        <v>1</v>
      </c>
      <c r="G450" t="b">
        <v>1</v>
      </c>
      <c r="H450">
        <f>Sensitivity!H28</f>
        <v/>
      </c>
    </row>
    <row r="451">
      <c r="A451" t="inlineStr">
        <is>
          <t>head</t>
        </is>
      </c>
      <c r="B451" t="inlineStr">
        <is>
          <t>epic</t>
        </is>
      </c>
      <c r="C451" t="n">
        <v>2</v>
      </c>
      <c r="D451" t="inlineStr">
        <is>
          <t>Skill Cooldown Decrease (seconds)</t>
        </is>
      </c>
      <c r="E451" t="n">
        <v>0.5</v>
      </c>
      <c r="F451" t="n">
        <v>0.24</v>
      </c>
      <c r="G451" t="b">
        <v>1</v>
      </c>
      <c r="H451">
        <f>Sensitivity!H28</f>
        <v/>
      </c>
    </row>
    <row r="452">
      <c r="A452" t="inlineStr">
        <is>
          <t>head</t>
        </is>
      </c>
      <c r="B452" t="inlineStr">
        <is>
          <t>epic</t>
        </is>
      </c>
      <c r="C452" t="n">
        <v>3</v>
      </c>
      <c r="D452" t="inlineStr">
        <is>
          <t>Skill Cooldown Decrease (seconds)</t>
        </is>
      </c>
      <c r="E452" t="n">
        <v>0.5</v>
      </c>
      <c r="F452" t="n">
        <v>0.08</v>
      </c>
      <c r="G452" t="b">
        <v>1</v>
      </c>
      <c r="H452">
        <f>Sensitivity!H28</f>
        <v/>
      </c>
    </row>
    <row r="453">
      <c r="A453" t="inlineStr">
        <is>
          <t>head</t>
        </is>
      </c>
      <c r="B453" t="inlineStr">
        <is>
          <t>unique</t>
        </is>
      </c>
      <c r="C453" t="n">
        <v>1</v>
      </c>
      <c r="D453" t="inlineStr">
        <is>
          <t>Skill Cooldown Decrease (seconds)</t>
        </is>
      </c>
      <c r="E453" t="n">
        <v>1</v>
      </c>
      <c r="F453" t="n">
        <v>1</v>
      </c>
      <c r="G453" t="b">
        <v>1</v>
      </c>
      <c r="H453">
        <f>Sensitivity!H28</f>
        <v/>
      </c>
    </row>
    <row r="454">
      <c r="A454" t="inlineStr">
        <is>
          <t>head</t>
        </is>
      </c>
      <c r="B454" t="inlineStr">
        <is>
          <t>unique</t>
        </is>
      </c>
      <c r="C454" t="n">
        <v>2</v>
      </c>
      <c r="D454" t="inlineStr">
        <is>
          <t>Skill Cooldown Decrease (seconds)</t>
        </is>
      </c>
      <c r="E454" t="n">
        <v>1</v>
      </c>
      <c r="F454" t="n">
        <v>0.24</v>
      </c>
      <c r="G454" t="b">
        <v>1</v>
      </c>
      <c r="H454">
        <f>Sensitivity!H28</f>
        <v/>
      </c>
    </row>
    <row r="455">
      <c r="A455" t="inlineStr">
        <is>
          <t>head</t>
        </is>
      </c>
      <c r="B455" t="inlineStr">
        <is>
          <t>unique</t>
        </is>
      </c>
      <c r="C455" t="n">
        <v>2</v>
      </c>
      <c r="D455" t="inlineStr">
        <is>
          <t>Skill Cooldown Decrease (seconds)</t>
        </is>
      </c>
      <c r="E455" t="n">
        <v>0.5</v>
      </c>
      <c r="F455" t="n">
        <v>0.76</v>
      </c>
      <c r="G455" t="b">
        <v>0</v>
      </c>
      <c r="H455">
        <f>Sensitivity!H28</f>
        <v/>
      </c>
    </row>
    <row r="456">
      <c r="A456" t="inlineStr">
        <is>
          <t>head</t>
        </is>
      </c>
      <c r="B456" t="inlineStr">
        <is>
          <t>unique</t>
        </is>
      </c>
      <c r="C456" t="n">
        <v>3</v>
      </c>
      <c r="D456" t="inlineStr">
        <is>
          <t>Skill Cooldown Decrease (seconds)</t>
        </is>
      </c>
      <c r="E456" t="n">
        <v>1</v>
      </c>
      <c r="F456" t="n">
        <v>0.08</v>
      </c>
      <c r="G456" t="b">
        <v>1</v>
      </c>
      <c r="H456">
        <f>Sensitivity!H28</f>
        <v/>
      </c>
    </row>
    <row r="457">
      <c r="A457" t="inlineStr">
        <is>
          <t>head</t>
        </is>
      </c>
      <c r="B457" t="inlineStr">
        <is>
          <t>unique</t>
        </is>
      </c>
      <c r="C457" t="n">
        <v>3</v>
      </c>
      <c r="D457" t="inlineStr">
        <is>
          <t>Skill Cooldown Decrease (seconds)</t>
        </is>
      </c>
      <c r="E457" t="n">
        <v>0.5</v>
      </c>
      <c r="F457" t="n">
        <v>0.92</v>
      </c>
      <c r="G457" t="b">
        <v>0</v>
      </c>
      <c r="H457">
        <f>Sensitivity!H28</f>
        <v/>
      </c>
    </row>
    <row r="458">
      <c r="A458" t="inlineStr">
        <is>
          <t>head</t>
        </is>
      </c>
      <c r="B458" t="inlineStr">
        <is>
          <t>legendary</t>
        </is>
      </c>
      <c r="C458" t="n">
        <v>1</v>
      </c>
      <c r="D458" t="inlineStr">
        <is>
          <t>Skill Cooldown Decrease (seconds)</t>
        </is>
      </c>
      <c r="E458" t="n">
        <v>1.5</v>
      </c>
      <c r="F458" t="n">
        <v>1</v>
      </c>
      <c r="G458" t="b">
        <v>1</v>
      </c>
      <c r="H458">
        <f>Sensitivity!H28</f>
        <v/>
      </c>
    </row>
    <row r="459">
      <c r="A459" t="inlineStr">
        <is>
          <t>head</t>
        </is>
      </c>
      <c r="B459" t="inlineStr">
        <is>
          <t>legendary</t>
        </is>
      </c>
      <c r="C459" t="n">
        <v>2</v>
      </c>
      <c r="D459" t="inlineStr">
        <is>
          <t>Skill Cooldown Decrease (seconds)</t>
        </is>
      </c>
      <c r="E459" t="n">
        <v>1.5</v>
      </c>
      <c r="F459" t="n">
        <v>0.24</v>
      </c>
      <c r="G459" t="b">
        <v>1</v>
      </c>
      <c r="H459">
        <f>Sensitivity!H28</f>
        <v/>
      </c>
    </row>
    <row r="460">
      <c r="A460" t="inlineStr">
        <is>
          <t>head</t>
        </is>
      </c>
      <c r="B460" t="inlineStr">
        <is>
          <t>legendary</t>
        </is>
      </c>
      <c r="C460" t="n">
        <v>2</v>
      </c>
      <c r="D460" t="inlineStr">
        <is>
          <t>Skill Cooldown Decrease (seconds)</t>
        </is>
      </c>
      <c r="E460" t="n">
        <v>1</v>
      </c>
      <c r="F460" t="n">
        <v>0.76</v>
      </c>
      <c r="G460" t="b">
        <v>0</v>
      </c>
      <c r="H460">
        <f>Sensitivity!H28</f>
        <v/>
      </c>
    </row>
    <row r="461">
      <c r="A461" t="inlineStr">
        <is>
          <t>head</t>
        </is>
      </c>
      <c r="B461" t="inlineStr">
        <is>
          <t>legendary</t>
        </is>
      </c>
      <c r="C461" t="n">
        <v>3</v>
      </c>
      <c r="D461" t="inlineStr">
        <is>
          <t>Skill Cooldown Decrease (seconds)</t>
        </is>
      </c>
      <c r="E461" t="n">
        <v>1.5</v>
      </c>
      <c r="F461" t="n">
        <v>0.08</v>
      </c>
      <c r="G461" t="b">
        <v>1</v>
      </c>
      <c r="H461">
        <f>Sensitivity!H28</f>
        <v/>
      </c>
    </row>
    <row r="462">
      <c r="A462" t="inlineStr">
        <is>
          <t>head</t>
        </is>
      </c>
      <c r="B462" t="inlineStr">
        <is>
          <t>legendary</t>
        </is>
      </c>
      <c r="C462" t="n">
        <v>3</v>
      </c>
      <c r="D462" t="inlineStr">
        <is>
          <t>Skill Cooldown Decrease (seconds)</t>
        </is>
      </c>
      <c r="E462" t="n">
        <v>1</v>
      </c>
      <c r="F462" t="n">
        <v>0.92</v>
      </c>
      <c r="G462" t="b">
        <v>0</v>
      </c>
      <c r="H462">
        <f>Sensitivity!H28</f>
        <v/>
      </c>
    </row>
    <row r="463">
      <c r="A463" t="inlineStr">
        <is>
          <t>head</t>
        </is>
      </c>
      <c r="B463" t="inlineStr">
        <is>
          <t>mystic</t>
        </is>
      </c>
      <c r="C463" t="n">
        <v>1</v>
      </c>
      <c r="D463" t="inlineStr">
        <is>
          <t>Skill Cooldown Decrease (seconds)</t>
        </is>
      </c>
      <c r="E463" t="n">
        <v>2</v>
      </c>
      <c r="F463" t="n">
        <v>1</v>
      </c>
      <c r="G463" t="b">
        <v>1</v>
      </c>
      <c r="H463">
        <f>Sensitivity!H28</f>
        <v/>
      </c>
    </row>
    <row r="464">
      <c r="A464" t="inlineStr">
        <is>
          <t>head</t>
        </is>
      </c>
      <c r="B464" t="inlineStr">
        <is>
          <t>mystic</t>
        </is>
      </c>
      <c r="C464" t="n">
        <v>2</v>
      </c>
      <c r="D464" t="inlineStr">
        <is>
          <t>Skill Cooldown Decrease (seconds)</t>
        </is>
      </c>
      <c r="E464" t="n">
        <v>2</v>
      </c>
      <c r="F464" t="n">
        <v>0.24</v>
      </c>
      <c r="G464" t="b">
        <v>1</v>
      </c>
      <c r="H464">
        <f>Sensitivity!H28</f>
        <v/>
      </c>
    </row>
    <row r="465">
      <c r="A465" t="inlineStr">
        <is>
          <t>head</t>
        </is>
      </c>
      <c r="B465" t="inlineStr">
        <is>
          <t>mystic</t>
        </is>
      </c>
      <c r="C465" t="n">
        <v>2</v>
      </c>
      <c r="D465" t="inlineStr">
        <is>
          <t>Skill Cooldown Decrease (seconds)</t>
        </is>
      </c>
      <c r="E465" t="n">
        <v>1.5</v>
      </c>
      <c r="F465" t="n">
        <v>0.76</v>
      </c>
      <c r="G465" t="b">
        <v>0</v>
      </c>
      <c r="H465">
        <f>Sensitivity!H28</f>
        <v/>
      </c>
    </row>
    <row r="466">
      <c r="A466" t="inlineStr">
        <is>
          <t>head</t>
        </is>
      </c>
      <c r="B466" t="inlineStr">
        <is>
          <t>mystic</t>
        </is>
      </c>
      <c r="C466" t="n">
        <v>3</v>
      </c>
      <c r="D466" t="inlineStr">
        <is>
          <t>Skill Cooldown Decrease (seconds)</t>
        </is>
      </c>
      <c r="E466" t="n">
        <v>2</v>
      </c>
      <c r="F466" t="n">
        <v>0.08</v>
      </c>
      <c r="G466" t="b">
        <v>1</v>
      </c>
      <c r="H466">
        <f>Sensitivity!H28</f>
        <v/>
      </c>
    </row>
    <row r="467">
      <c r="A467" t="inlineStr">
        <is>
          <t>head</t>
        </is>
      </c>
      <c r="B467" t="inlineStr">
        <is>
          <t>mystic</t>
        </is>
      </c>
      <c r="C467" t="n">
        <v>3</v>
      </c>
      <c r="D467" t="inlineStr">
        <is>
          <t>Skill Cooldown Decrease (seconds)</t>
        </is>
      </c>
      <c r="E467" t="n">
        <v>1.5</v>
      </c>
      <c r="F467" t="n">
        <v>0.92</v>
      </c>
      <c r="G467" t="b">
        <v>0</v>
      </c>
      <c r="H467">
        <f>Sensitivity!H28</f>
        <v/>
      </c>
    </row>
    <row r="468">
      <c r="A468" t="inlineStr">
        <is>
          <t>cape</t>
        </is>
      </c>
      <c r="B468" t="inlineStr">
        <is>
          <t>epic</t>
        </is>
      </c>
      <c r="C468" t="n">
        <v>1</v>
      </c>
      <c r="D468" t="inlineStr">
        <is>
          <t>Final Damage %</t>
        </is>
      </c>
      <c r="E468" t="n">
        <v>3</v>
      </c>
      <c r="F468" t="n">
        <v>1</v>
      </c>
      <c r="G468" t="b">
        <v>1</v>
      </c>
      <c r="H468">
        <f>Sensitivity!H12</f>
        <v/>
      </c>
    </row>
    <row r="469">
      <c r="A469" t="inlineStr">
        <is>
          <t>cape</t>
        </is>
      </c>
      <c r="B469" t="inlineStr">
        <is>
          <t>epic</t>
        </is>
      </c>
      <c r="C469" t="n">
        <v>2</v>
      </c>
      <c r="D469" t="inlineStr">
        <is>
          <t>Final Damage %</t>
        </is>
      </c>
      <c r="E469" t="n">
        <v>3</v>
      </c>
      <c r="F469" t="n">
        <v>0.24</v>
      </c>
      <c r="G469" t="b">
        <v>1</v>
      </c>
      <c r="H469">
        <f>Sensitivity!H12</f>
        <v/>
      </c>
    </row>
    <row r="470">
      <c r="A470" t="inlineStr">
        <is>
          <t>cape</t>
        </is>
      </c>
      <c r="B470" t="inlineStr">
        <is>
          <t>epic</t>
        </is>
      </c>
      <c r="C470" t="n">
        <v>3</v>
      </c>
      <c r="D470" t="inlineStr">
        <is>
          <t>Final Damage %</t>
        </is>
      </c>
      <c r="E470" t="n">
        <v>3</v>
      </c>
      <c r="F470" t="n">
        <v>0.08</v>
      </c>
      <c r="G470" t="b">
        <v>1</v>
      </c>
      <c r="H470">
        <f>Sensitivity!H12</f>
        <v/>
      </c>
    </row>
    <row r="471">
      <c r="A471" t="inlineStr">
        <is>
          <t>cape</t>
        </is>
      </c>
      <c r="B471" t="inlineStr">
        <is>
          <t>unique</t>
        </is>
      </c>
      <c r="C471" t="n">
        <v>1</v>
      </c>
      <c r="D471" t="inlineStr">
        <is>
          <t>Final Damage %</t>
        </is>
      </c>
      <c r="E471" t="n">
        <v>5</v>
      </c>
      <c r="F471" t="n">
        <v>1</v>
      </c>
      <c r="G471" t="b">
        <v>1</v>
      </c>
      <c r="H471">
        <f>Sensitivity!H12</f>
        <v/>
      </c>
    </row>
    <row r="472">
      <c r="A472" t="inlineStr">
        <is>
          <t>cape</t>
        </is>
      </c>
      <c r="B472" t="inlineStr">
        <is>
          <t>unique</t>
        </is>
      </c>
      <c r="C472" t="n">
        <v>2</v>
      </c>
      <c r="D472" t="inlineStr">
        <is>
          <t>Final Damage %</t>
        </is>
      </c>
      <c r="E472" t="n">
        <v>5</v>
      </c>
      <c r="F472" t="n">
        <v>0.24</v>
      </c>
      <c r="G472" t="b">
        <v>1</v>
      </c>
      <c r="H472">
        <f>Sensitivity!H12</f>
        <v/>
      </c>
    </row>
    <row r="473">
      <c r="A473" t="inlineStr">
        <is>
          <t>cape</t>
        </is>
      </c>
      <c r="B473" t="inlineStr">
        <is>
          <t>unique</t>
        </is>
      </c>
      <c r="C473" t="n">
        <v>2</v>
      </c>
      <c r="D473" t="inlineStr">
        <is>
          <t>Final Damage %</t>
        </is>
      </c>
      <c r="E473" t="n">
        <v>3</v>
      </c>
      <c r="F473" t="n">
        <v>0.76</v>
      </c>
      <c r="G473" t="b">
        <v>0</v>
      </c>
      <c r="H473">
        <f>Sensitivity!H12</f>
        <v/>
      </c>
    </row>
    <row r="474">
      <c r="A474" t="inlineStr">
        <is>
          <t>cape</t>
        </is>
      </c>
      <c r="B474" t="inlineStr">
        <is>
          <t>unique</t>
        </is>
      </c>
      <c r="C474" t="n">
        <v>3</v>
      </c>
      <c r="D474" t="inlineStr">
        <is>
          <t>Final Damage %</t>
        </is>
      </c>
      <c r="E474" t="n">
        <v>5</v>
      </c>
      <c r="F474" t="n">
        <v>0.08</v>
      </c>
      <c r="G474" t="b">
        <v>1</v>
      </c>
      <c r="H474">
        <f>Sensitivity!H12</f>
        <v/>
      </c>
    </row>
    <row r="475">
      <c r="A475" t="inlineStr">
        <is>
          <t>cape</t>
        </is>
      </c>
      <c r="B475" t="inlineStr">
        <is>
          <t>unique</t>
        </is>
      </c>
      <c r="C475" t="n">
        <v>3</v>
      </c>
      <c r="D475" t="inlineStr">
        <is>
          <t>Final Damage %</t>
        </is>
      </c>
      <c r="E475" t="n">
        <v>3</v>
      </c>
      <c r="F475" t="n">
        <v>0.92</v>
      </c>
      <c r="G475" t="b">
        <v>0</v>
      </c>
      <c r="H475">
        <f>Sensitivity!H12</f>
        <v/>
      </c>
    </row>
    <row r="476">
      <c r="A476" t="inlineStr">
        <is>
          <t>cape</t>
        </is>
      </c>
      <c r="B476" t="inlineStr">
        <is>
          <t>legendary</t>
        </is>
      </c>
      <c r="C476" t="n">
        <v>1</v>
      </c>
      <c r="D476" t="inlineStr">
        <is>
          <t>Final Damage %</t>
        </is>
      </c>
      <c r="E476" t="n">
        <v>8</v>
      </c>
      <c r="F476" t="n">
        <v>1</v>
      </c>
      <c r="G476" t="b">
        <v>1</v>
      </c>
      <c r="H476">
        <f>Sensitivity!H12</f>
        <v/>
      </c>
    </row>
    <row r="477">
      <c r="A477" t="inlineStr">
        <is>
          <t>cape</t>
        </is>
      </c>
      <c r="B477" t="inlineStr">
        <is>
          <t>legendary</t>
        </is>
      </c>
      <c r="C477" t="n">
        <v>2</v>
      </c>
      <c r="D477" t="inlineStr">
        <is>
          <t>Final Damage %</t>
        </is>
      </c>
      <c r="E477" t="n">
        <v>8</v>
      </c>
      <c r="F477" t="n">
        <v>0.24</v>
      </c>
      <c r="G477" t="b">
        <v>1</v>
      </c>
      <c r="H477">
        <f>Sensitivity!H12</f>
        <v/>
      </c>
    </row>
    <row r="478">
      <c r="A478" t="inlineStr">
        <is>
          <t>cape</t>
        </is>
      </c>
      <c r="B478" t="inlineStr">
        <is>
          <t>legendary</t>
        </is>
      </c>
      <c r="C478" t="n">
        <v>2</v>
      </c>
      <c r="D478" t="inlineStr">
        <is>
          <t>Final Damage %</t>
        </is>
      </c>
      <c r="E478" t="n">
        <v>5</v>
      </c>
      <c r="F478" t="n">
        <v>0.76</v>
      </c>
      <c r="G478" t="b">
        <v>0</v>
      </c>
      <c r="H478">
        <f>Sensitivity!H12</f>
        <v/>
      </c>
    </row>
    <row r="479">
      <c r="A479" t="inlineStr">
        <is>
          <t>cape</t>
        </is>
      </c>
      <c r="B479" t="inlineStr">
        <is>
          <t>legendary</t>
        </is>
      </c>
      <c r="C479" t="n">
        <v>3</v>
      </c>
      <c r="D479" t="inlineStr">
        <is>
          <t>Final Damage %</t>
        </is>
      </c>
      <c r="E479" t="n">
        <v>8</v>
      </c>
      <c r="F479" t="n">
        <v>0.08</v>
      </c>
      <c r="G479" t="b">
        <v>1</v>
      </c>
      <c r="H479">
        <f>Sensitivity!H12</f>
        <v/>
      </c>
    </row>
    <row r="480">
      <c r="A480" t="inlineStr">
        <is>
          <t>cape</t>
        </is>
      </c>
      <c r="B480" t="inlineStr">
        <is>
          <t>legendary</t>
        </is>
      </c>
      <c r="C480" t="n">
        <v>3</v>
      </c>
      <c r="D480" t="inlineStr">
        <is>
          <t>Final Damage %</t>
        </is>
      </c>
      <c r="E480" t="n">
        <v>5</v>
      </c>
      <c r="F480" t="n">
        <v>0.92</v>
      </c>
      <c r="G480" t="b">
        <v>0</v>
      </c>
      <c r="H480">
        <f>Sensitivity!H12</f>
        <v/>
      </c>
    </row>
    <row r="481">
      <c r="A481" t="inlineStr">
        <is>
          <t>cape</t>
        </is>
      </c>
      <c r="B481" t="inlineStr">
        <is>
          <t>mystic</t>
        </is>
      </c>
      <c r="C481" t="n">
        <v>1</v>
      </c>
      <c r="D481" t="inlineStr">
        <is>
          <t>Final Damage %</t>
        </is>
      </c>
      <c r="E481" t="n">
        <v>12</v>
      </c>
      <c r="F481" t="n">
        <v>1</v>
      </c>
      <c r="G481" t="b">
        <v>1</v>
      </c>
      <c r="H481">
        <f>Sensitivity!H12</f>
        <v/>
      </c>
    </row>
    <row r="482">
      <c r="A482" t="inlineStr">
        <is>
          <t>cape</t>
        </is>
      </c>
      <c r="B482" t="inlineStr">
        <is>
          <t>mystic</t>
        </is>
      </c>
      <c r="C482" t="n">
        <v>2</v>
      </c>
      <c r="D482" t="inlineStr">
        <is>
          <t>Final Damage %</t>
        </is>
      </c>
      <c r="E482" t="n">
        <v>12</v>
      </c>
      <c r="F482" t="n">
        <v>0.24</v>
      </c>
      <c r="G482" t="b">
        <v>1</v>
      </c>
      <c r="H482">
        <f>Sensitivity!H12</f>
        <v/>
      </c>
    </row>
    <row r="483">
      <c r="A483" t="inlineStr">
        <is>
          <t>cape</t>
        </is>
      </c>
      <c r="B483" t="inlineStr">
        <is>
          <t>mystic</t>
        </is>
      </c>
      <c r="C483" t="n">
        <v>2</v>
      </c>
      <c r="D483" t="inlineStr">
        <is>
          <t>Final Damage %</t>
        </is>
      </c>
      <c r="E483" t="n">
        <v>8</v>
      </c>
      <c r="F483" t="n">
        <v>0.76</v>
      </c>
      <c r="G483" t="b">
        <v>0</v>
      </c>
      <c r="H483">
        <f>Sensitivity!H12</f>
        <v/>
      </c>
    </row>
    <row r="484">
      <c r="A484" t="inlineStr">
        <is>
          <t>cape</t>
        </is>
      </c>
      <c r="B484" t="inlineStr">
        <is>
          <t>mystic</t>
        </is>
      </c>
      <c r="C484" t="n">
        <v>3</v>
      </c>
      <c r="D484" t="inlineStr">
        <is>
          <t>Final Damage %</t>
        </is>
      </c>
      <c r="E484" t="n">
        <v>12</v>
      </c>
      <c r="F484" t="n">
        <v>0.08</v>
      </c>
      <c r="G484" t="b">
        <v>1</v>
      </c>
      <c r="H484">
        <f>Sensitivity!H12</f>
        <v/>
      </c>
    </row>
    <row r="485">
      <c r="A485" t="inlineStr">
        <is>
          <t>cape</t>
        </is>
      </c>
      <c r="B485" t="inlineStr">
        <is>
          <t>mystic</t>
        </is>
      </c>
      <c r="C485" t="n">
        <v>3</v>
      </c>
      <c r="D485" t="inlineStr">
        <is>
          <t>Final Damage %</t>
        </is>
      </c>
      <c r="E485" t="n">
        <v>8</v>
      </c>
      <c r="F485" t="n">
        <v>0.92</v>
      </c>
      <c r="G485" t="b">
        <v>0</v>
      </c>
      <c r="H485">
        <f>Sensitivity!H12</f>
        <v/>
      </c>
    </row>
    <row r="486">
      <c r="A486" t="inlineStr">
        <is>
          <t>chest</t>
        </is>
      </c>
      <c r="B486" t="inlineStr">
        <is>
          <t>unique</t>
        </is>
      </c>
      <c r="C486" t="n">
        <v>1</v>
      </c>
      <c r="D486" t="inlineStr">
        <is>
          <t>Basic Attack Target Increase</t>
        </is>
      </c>
      <c r="E486" t="n">
        <v>1</v>
      </c>
      <c r="F486" t="n">
        <v>1</v>
      </c>
      <c r="G486" t="b">
        <v>1</v>
      </c>
      <c r="H486">
        <f>Sensitivity!H29</f>
        <v/>
      </c>
    </row>
    <row r="487">
      <c r="A487" t="inlineStr">
        <is>
          <t>chest</t>
        </is>
      </c>
      <c r="B487" t="inlineStr">
        <is>
          <t>unique</t>
        </is>
      </c>
      <c r="C487" t="n">
        <v>2</v>
      </c>
      <c r="D487" t="inlineStr">
        <is>
          <t>Basic Attack Target Increase</t>
        </is>
      </c>
      <c r="E487" t="n">
        <v>1</v>
      </c>
      <c r="F487" t="n">
        <v>0.24</v>
      </c>
      <c r="G487" t="b">
        <v>1</v>
      </c>
      <c r="H487">
        <f>Sensitivity!H29</f>
        <v/>
      </c>
    </row>
    <row r="488">
      <c r="A488" t="inlineStr">
        <is>
          <t>chest</t>
        </is>
      </c>
      <c r="B488" t="inlineStr">
        <is>
          <t>unique</t>
        </is>
      </c>
      <c r="C488" t="n">
        <v>3</v>
      </c>
      <c r="D488" t="inlineStr">
        <is>
          <t>Basic Attack Target Increase</t>
        </is>
      </c>
      <c r="E488" t="n">
        <v>1</v>
      </c>
      <c r="F488" t="n">
        <v>0.08</v>
      </c>
      <c r="G488" t="b">
        <v>1</v>
      </c>
      <c r="H488">
        <f>Sensitivity!H29</f>
        <v/>
      </c>
    </row>
    <row r="489">
      <c r="A489" t="inlineStr">
        <is>
          <t>chest</t>
        </is>
      </c>
      <c r="B489" t="inlineStr">
        <is>
          <t>legendary</t>
        </is>
      </c>
      <c r="C489" t="n">
        <v>1</v>
      </c>
      <c r="D489" t="inlineStr">
        <is>
          <t>Basic Attack Target Increase</t>
        </is>
      </c>
      <c r="E489" t="n">
        <v>2</v>
      </c>
      <c r="F489" t="n">
        <v>1</v>
      </c>
      <c r="G489" t="b">
        <v>1</v>
      </c>
      <c r="H489">
        <f>Sensitivity!H29</f>
        <v/>
      </c>
    </row>
    <row r="490">
      <c r="A490" t="inlineStr">
        <is>
          <t>chest</t>
        </is>
      </c>
      <c r="B490" t="inlineStr">
        <is>
          <t>legendary</t>
        </is>
      </c>
      <c r="C490" t="n">
        <v>2</v>
      </c>
      <c r="D490" t="inlineStr">
        <is>
          <t>Basic Attack Target Increase</t>
        </is>
      </c>
      <c r="E490" t="n">
        <v>2</v>
      </c>
      <c r="F490" t="n">
        <v>0.24</v>
      </c>
      <c r="G490" t="b">
        <v>1</v>
      </c>
      <c r="H490">
        <f>Sensitivity!H29</f>
        <v/>
      </c>
    </row>
    <row r="491">
      <c r="A491" t="inlineStr">
        <is>
          <t>chest</t>
        </is>
      </c>
      <c r="B491" t="inlineStr">
        <is>
          <t>legendary</t>
        </is>
      </c>
      <c r="C491" t="n">
        <v>2</v>
      </c>
      <c r="D491" t="inlineStr">
        <is>
          <t>Basic Attack Target Increase</t>
        </is>
      </c>
      <c r="E491" t="n">
        <v>1</v>
      </c>
      <c r="F491" t="n">
        <v>0.76</v>
      </c>
      <c r="G491" t="b">
        <v>0</v>
      </c>
      <c r="H491">
        <f>Sensitivity!H29</f>
        <v/>
      </c>
    </row>
    <row r="492">
      <c r="A492" t="inlineStr">
        <is>
          <t>chest</t>
        </is>
      </c>
      <c r="B492" t="inlineStr">
        <is>
          <t>legendary</t>
        </is>
      </c>
      <c r="C492" t="n">
        <v>3</v>
      </c>
      <c r="D492" t="inlineStr">
        <is>
          <t>Basic Attack Target Increase</t>
        </is>
      </c>
      <c r="E492" t="n">
        <v>2</v>
      </c>
      <c r="F492" t="n">
        <v>0.08</v>
      </c>
      <c r="G492" t="b">
        <v>1</v>
      </c>
      <c r="H492">
        <f>Sensitivity!H29</f>
        <v/>
      </c>
    </row>
    <row r="493">
      <c r="A493" t="inlineStr">
        <is>
          <t>chest</t>
        </is>
      </c>
      <c r="B493" t="inlineStr">
        <is>
          <t>legendary</t>
        </is>
      </c>
      <c r="C493" t="n">
        <v>3</v>
      </c>
      <c r="D493" t="inlineStr">
        <is>
          <t>Basic Attack Target Increase</t>
        </is>
      </c>
      <c r="E493" t="n">
        <v>1</v>
      </c>
      <c r="F493" t="n">
        <v>0.92</v>
      </c>
      <c r="G493" t="b">
        <v>0</v>
      </c>
      <c r="H493">
        <f>Sensitivity!H29</f>
        <v/>
      </c>
    </row>
    <row r="494">
      <c r="A494" t="inlineStr">
        <is>
          <t>chest</t>
        </is>
      </c>
      <c r="B494" t="inlineStr">
        <is>
          <t>mystic</t>
        </is>
      </c>
      <c r="C494" t="n">
        <v>1</v>
      </c>
      <c r="D494" t="inlineStr">
        <is>
          <t>Basic Attack Target Increase</t>
        </is>
      </c>
      <c r="E494" t="n">
        <v>3</v>
      </c>
      <c r="F494" t="n">
        <v>1</v>
      </c>
      <c r="G494" t="b">
        <v>1</v>
      </c>
      <c r="H494">
        <f>Sensitivity!H29</f>
        <v/>
      </c>
    </row>
    <row r="495">
      <c r="A495" t="inlineStr">
        <is>
          <t>chest</t>
        </is>
      </c>
      <c r="B495" t="inlineStr">
        <is>
          <t>mystic</t>
        </is>
      </c>
      <c r="C495" t="n">
        <v>2</v>
      </c>
      <c r="D495" t="inlineStr">
        <is>
          <t>Basic Attack Target Increase</t>
        </is>
      </c>
      <c r="E495" t="n">
        <v>3</v>
      </c>
      <c r="F495" t="n">
        <v>0.24</v>
      </c>
      <c r="G495" t="b">
        <v>1</v>
      </c>
      <c r="H495">
        <f>Sensitivity!H29</f>
        <v/>
      </c>
    </row>
    <row r="496">
      <c r="A496" t="inlineStr">
        <is>
          <t>chest</t>
        </is>
      </c>
      <c r="B496" t="inlineStr">
        <is>
          <t>mystic</t>
        </is>
      </c>
      <c r="C496" t="n">
        <v>2</v>
      </c>
      <c r="D496" t="inlineStr">
        <is>
          <t>Basic Attack Target Increase</t>
        </is>
      </c>
      <c r="E496" t="n">
        <v>2</v>
      </c>
      <c r="F496" t="n">
        <v>0.76</v>
      </c>
      <c r="G496" t="b">
        <v>0</v>
      </c>
      <c r="H496">
        <f>Sensitivity!H29</f>
        <v/>
      </c>
    </row>
    <row r="497">
      <c r="A497" t="inlineStr">
        <is>
          <t>chest</t>
        </is>
      </c>
      <c r="B497" t="inlineStr">
        <is>
          <t>mystic</t>
        </is>
      </c>
      <c r="C497" t="n">
        <v>3</v>
      </c>
      <c r="D497" t="inlineStr">
        <is>
          <t>Basic Attack Target Increase</t>
        </is>
      </c>
      <c r="E497" t="n">
        <v>3</v>
      </c>
      <c r="F497" t="n">
        <v>0.08</v>
      </c>
      <c r="G497" t="b">
        <v>1</v>
      </c>
      <c r="H497">
        <f>Sensitivity!H29</f>
        <v/>
      </c>
    </row>
    <row r="498">
      <c r="A498" t="inlineStr">
        <is>
          <t>chest</t>
        </is>
      </c>
      <c r="B498" t="inlineStr">
        <is>
          <t>mystic</t>
        </is>
      </c>
      <c r="C498" t="n">
        <v>3</v>
      </c>
      <c r="D498" t="inlineStr">
        <is>
          <t>Basic Attack Target Increase</t>
        </is>
      </c>
      <c r="E498" t="n">
        <v>2</v>
      </c>
      <c r="F498" t="n">
        <v>0.92</v>
      </c>
      <c r="G498" t="b">
        <v>0</v>
      </c>
      <c r="H498">
        <f>Sensitivity!H29</f>
        <v/>
      </c>
    </row>
    <row r="499">
      <c r="A499" t="inlineStr">
        <is>
          <t>shoulders</t>
        </is>
      </c>
      <c r="B499" t="inlineStr">
        <is>
          <t>unique</t>
        </is>
      </c>
      <c r="C499" t="n">
        <v>1</v>
      </c>
      <c r="D499" t="inlineStr">
        <is>
          <t>Defense Penetration</t>
        </is>
      </c>
      <c r="E499" t="n">
        <v>8</v>
      </c>
      <c r="F499" t="n">
        <v>1</v>
      </c>
      <c r="G499" t="b">
        <v>1</v>
      </c>
      <c r="H499">
        <f>Sensitivity!H18</f>
        <v/>
      </c>
    </row>
    <row r="500">
      <c r="A500" t="inlineStr">
        <is>
          <t>shoulders</t>
        </is>
      </c>
      <c r="B500" t="inlineStr">
        <is>
          <t>unique</t>
        </is>
      </c>
      <c r="C500" t="n">
        <v>2</v>
      </c>
      <c r="D500" t="inlineStr">
        <is>
          <t>Defense Penetration</t>
        </is>
      </c>
      <c r="E500" t="n">
        <v>8</v>
      </c>
      <c r="F500" t="n">
        <v>0.24</v>
      </c>
      <c r="G500" t="b">
        <v>1</v>
      </c>
      <c r="H500">
        <f>Sensitivity!H18</f>
        <v/>
      </c>
    </row>
    <row r="501">
      <c r="A501" t="inlineStr">
        <is>
          <t>shoulders</t>
        </is>
      </c>
      <c r="B501" t="inlineStr">
        <is>
          <t>unique</t>
        </is>
      </c>
      <c r="C501" t="n">
        <v>3</v>
      </c>
      <c r="D501" t="inlineStr">
        <is>
          <t>Defense Penetration</t>
        </is>
      </c>
      <c r="E501" t="n">
        <v>8</v>
      </c>
      <c r="F501" t="n">
        <v>0.08</v>
      </c>
      <c r="G501" t="b">
        <v>1</v>
      </c>
      <c r="H501">
        <f>Sensitivity!H18</f>
        <v/>
      </c>
    </row>
    <row r="502">
      <c r="A502" t="inlineStr">
        <is>
          <t>shoulders</t>
        </is>
      </c>
      <c r="B502" t="inlineStr">
        <is>
          <t>legendary</t>
        </is>
      </c>
      <c r="C502" t="n">
        <v>1</v>
      </c>
      <c r="D502" t="inlineStr">
        <is>
          <t>Defense Penetration</t>
        </is>
      </c>
      <c r="E502" t="n">
        <v>12</v>
      </c>
      <c r="F502" t="n">
        <v>1</v>
      </c>
      <c r="G502" t="b">
        <v>1</v>
      </c>
      <c r="H502">
        <f>Sensitivity!H18</f>
        <v/>
      </c>
    </row>
    <row r="503">
      <c r="A503" t="inlineStr">
        <is>
          <t>shoulders</t>
        </is>
      </c>
      <c r="B503" t="inlineStr">
        <is>
          <t>legendary</t>
        </is>
      </c>
      <c r="C503" t="n">
        <v>2</v>
      </c>
      <c r="D503" t="inlineStr">
        <is>
          <t>Defense Penetration</t>
        </is>
      </c>
      <c r="E503" t="n">
        <v>12</v>
      </c>
      <c r="F503" t="n">
        <v>0.24</v>
      </c>
      <c r="G503" t="b">
        <v>1</v>
      </c>
      <c r="H503">
        <f>Sensitivity!H18</f>
        <v/>
      </c>
    </row>
    <row r="504">
      <c r="A504" t="inlineStr">
        <is>
          <t>shoulders</t>
        </is>
      </c>
      <c r="B504" t="inlineStr">
        <is>
          <t>legendary</t>
        </is>
      </c>
      <c r="C504" t="n">
        <v>2</v>
      </c>
      <c r="D504" t="inlineStr">
        <is>
          <t>Defense Penetration</t>
        </is>
      </c>
      <c r="E504" t="n">
        <v>8</v>
      </c>
      <c r="F504" t="n">
        <v>0.76</v>
      </c>
      <c r="G504" t="b">
        <v>0</v>
      </c>
      <c r="H504">
        <f>Sensitivity!H18</f>
        <v/>
      </c>
    </row>
    <row r="505">
      <c r="A505" t="inlineStr">
        <is>
          <t>shoulders</t>
        </is>
      </c>
      <c r="B505" t="inlineStr">
        <is>
          <t>legendary</t>
        </is>
      </c>
      <c r="C505" t="n">
        <v>3</v>
      </c>
      <c r="D505" t="inlineStr">
        <is>
          <t>Defense Penetration</t>
        </is>
      </c>
      <c r="E505" t="n">
        <v>12</v>
      </c>
      <c r="F505" t="n">
        <v>0.08</v>
      </c>
      <c r="G505" t="b">
        <v>1</v>
      </c>
      <c r="H505">
        <f>Sensitivity!H18</f>
        <v/>
      </c>
    </row>
    <row r="506">
      <c r="A506" t="inlineStr">
        <is>
          <t>shoulders</t>
        </is>
      </c>
      <c r="B506" t="inlineStr">
        <is>
          <t>legendary</t>
        </is>
      </c>
      <c r="C506" t="n">
        <v>3</v>
      </c>
      <c r="D506" t="inlineStr">
        <is>
          <t>Defense Penetration</t>
        </is>
      </c>
      <c r="E506" t="n">
        <v>8</v>
      </c>
      <c r="F506" t="n">
        <v>0.92</v>
      </c>
      <c r="G506" t="b">
        <v>0</v>
      </c>
      <c r="H506">
        <f>Sensitivity!H18</f>
        <v/>
      </c>
    </row>
    <row r="507">
      <c r="A507" t="inlineStr">
        <is>
          <t>shoulders</t>
        </is>
      </c>
      <c r="B507" t="inlineStr">
        <is>
          <t>mystic</t>
        </is>
      </c>
      <c r="C507" t="n">
        <v>1</v>
      </c>
      <c r="D507" t="inlineStr">
        <is>
          <t>Defense Penetration</t>
        </is>
      </c>
      <c r="E507" t="n">
        <v>20</v>
      </c>
      <c r="F507" t="n">
        <v>1</v>
      </c>
      <c r="G507" t="b">
        <v>1</v>
      </c>
      <c r="H507">
        <f>Sensitivity!H18</f>
        <v/>
      </c>
    </row>
    <row r="508">
      <c r="A508" t="inlineStr">
        <is>
          <t>shoulders</t>
        </is>
      </c>
      <c r="B508" t="inlineStr">
        <is>
          <t>mystic</t>
        </is>
      </c>
      <c r="C508" t="n">
        <v>2</v>
      </c>
      <c r="D508" t="inlineStr">
        <is>
          <t>Defense Penetration</t>
        </is>
      </c>
      <c r="E508" t="n">
        <v>20</v>
      </c>
      <c r="F508" t="n">
        <v>0.24</v>
      </c>
      <c r="G508" t="b">
        <v>1</v>
      </c>
      <c r="H508">
        <f>Sensitivity!H18</f>
        <v/>
      </c>
    </row>
    <row r="509">
      <c r="A509" t="inlineStr">
        <is>
          <t>shoulders</t>
        </is>
      </c>
      <c r="B509" t="inlineStr">
        <is>
          <t>mystic</t>
        </is>
      </c>
      <c r="C509" t="n">
        <v>2</v>
      </c>
      <c r="D509" t="inlineStr">
        <is>
          <t>Defense Penetration</t>
        </is>
      </c>
      <c r="E509" t="n">
        <v>12</v>
      </c>
      <c r="F509" t="n">
        <v>0.76</v>
      </c>
      <c r="G509" t="b">
        <v>0</v>
      </c>
      <c r="H509">
        <f>Sensitivity!H18</f>
        <v/>
      </c>
    </row>
    <row r="510">
      <c r="A510" t="inlineStr">
        <is>
          <t>shoulders</t>
        </is>
      </c>
      <c r="B510" t="inlineStr">
        <is>
          <t>mystic</t>
        </is>
      </c>
      <c r="C510" t="n">
        <v>3</v>
      </c>
      <c r="D510" t="inlineStr">
        <is>
          <t>Defense Penetration</t>
        </is>
      </c>
      <c r="E510" t="n">
        <v>20</v>
      </c>
      <c r="F510" t="n">
        <v>0.08</v>
      </c>
      <c r="G510" t="b">
        <v>1</v>
      </c>
      <c r="H510">
        <f>Sensitivity!H18</f>
        <v/>
      </c>
    </row>
    <row r="511">
      <c r="A511" t="inlineStr">
        <is>
          <t>shoulders</t>
        </is>
      </c>
      <c r="B511" t="inlineStr">
        <is>
          <t>mystic</t>
        </is>
      </c>
      <c r="C511" t="n">
        <v>3</v>
      </c>
      <c r="D511" t="inlineStr">
        <is>
          <t>Defense Penetration</t>
        </is>
      </c>
      <c r="E511" t="n">
        <v>12</v>
      </c>
      <c r="F511" t="n">
        <v>0.92</v>
      </c>
      <c r="G511" t="b">
        <v>0</v>
      </c>
      <c r="H511">
        <f>Sensitivity!H18</f>
        <v/>
      </c>
    </row>
    <row r="512">
      <c r="A512" t="inlineStr">
        <is>
          <t>legs</t>
        </is>
      </c>
      <c r="B512" t="inlineStr">
        <is>
          <t>epic</t>
        </is>
      </c>
      <c r="C512" t="n">
        <v>1</v>
      </c>
      <c r="D512" t="inlineStr">
        <is>
          <t>Final Damage %</t>
        </is>
      </c>
      <c r="E512" t="n">
        <v>3</v>
      </c>
      <c r="F512" t="n">
        <v>1</v>
      </c>
      <c r="G512" t="b">
        <v>1</v>
      </c>
      <c r="H512">
        <f>Sensitivity!H12</f>
        <v/>
      </c>
    </row>
    <row r="513">
      <c r="A513" t="inlineStr">
        <is>
          <t>legs</t>
        </is>
      </c>
      <c r="B513" t="inlineStr">
        <is>
          <t>epic</t>
        </is>
      </c>
      <c r="C513" t="n">
        <v>2</v>
      </c>
      <c r="D513" t="inlineStr">
        <is>
          <t>Final Damage %</t>
        </is>
      </c>
      <c r="E513" t="n">
        <v>3</v>
      </c>
      <c r="F513" t="n">
        <v>0.24</v>
      </c>
      <c r="G513" t="b">
        <v>1</v>
      </c>
      <c r="H513">
        <f>Sensitivity!H12</f>
        <v/>
      </c>
    </row>
    <row r="514">
      <c r="A514" t="inlineStr">
        <is>
          <t>legs</t>
        </is>
      </c>
      <c r="B514" t="inlineStr">
        <is>
          <t>epic</t>
        </is>
      </c>
      <c r="C514" t="n">
        <v>3</v>
      </c>
      <c r="D514" t="inlineStr">
        <is>
          <t>Final Damage %</t>
        </is>
      </c>
      <c r="E514" t="n">
        <v>3</v>
      </c>
      <c r="F514" t="n">
        <v>0.08</v>
      </c>
      <c r="G514" t="b">
        <v>1</v>
      </c>
      <c r="H514">
        <f>Sensitivity!H12</f>
        <v/>
      </c>
    </row>
    <row r="515">
      <c r="A515" t="inlineStr">
        <is>
          <t>legs</t>
        </is>
      </c>
      <c r="B515" t="inlineStr">
        <is>
          <t>unique</t>
        </is>
      </c>
      <c r="C515" t="n">
        <v>1</v>
      </c>
      <c r="D515" t="inlineStr">
        <is>
          <t>Final Damage %</t>
        </is>
      </c>
      <c r="E515" t="n">
        <v>5</v>
      </c>
      <c r="F515" t="n">
        <v>1</v>
      </c>
      <c r="G515" t="b">
        <v>1</v>
      </c>
      <c r="H515">
        <f>Sensitivity!H12</f>
        <v/>
      </c>
    </row>
    <row r="516">
      <c r="A516" t="inlineStr">
        <is>
          <t>legs</t>
        </is>
      </c>
      <c r="B516" t="inlineStr">
        <is>
          <t>unique</t>
        </is>
      </c>
      <c r="C516" t="n">
        <v>2</v>
      </c>
      <c r="D516" t="inlineStr">
        <is>
          <t>Final Damage %</t>
        </is>
      </c>
      <c r="E516" t="n">
        <v>5</v>
      </c>
      <c r="F516" t="n">
        <v>0.24</v>
      </c>
      <c r="G516" t="b">
        <v>1</v>
      </c>
      <c r="H516">
        <f>Sensitivity!H12</f>
        <v/>
      </c>
    </row>
    <row r="517">
      <c r="A517" t="inlineStr">
        <is>
          <t>legs</t>
        </is>
      </c>
      <c r="B517" t="inlineStr">
        <is>
          <t>unique</t>
        </is>
      </c>
      <c r="C517" t="n">
        <v>2</v>
      </c>
      <c r="D517" t="inlineStr">
        <is>
          <t>Final Damage %</t>
        </is>
      </c>
      <c r="E517" t="n">
        <v>3</v>
      </c>
      <c r="F517" t="n">
        <v>0.76</v>
      </c>
      <c r="G517" t="b">
        <v>0</v>
      </c>
      <c r="H517">
        <f>Sensitivity!H12</f>
        <v/>
      </c>
    </row>
    <row r="518">
      <c r="A518" t="inlineStr">
        <is>
          <t>legs</t>
        </is>
      </c>
      <c r="B518" t="inlineStr">
        <is>
          <t>unique</t>
        </is>
      </c>
      <c r="C518" t="n">
        <v>3</v>
      </c>
      <c r="D518" t="inlineStr">
        <is>
          <t>Final Damage %</t>
        </is>
      </c>
      <c r="E518" t="n">
        <v>5</v>
      </c>
      <c r="F518" t="n">
        <v>0.08</v>
      </c>
      <c r="G518" t="b">
        <v>1</v>
      </c>
      <c r="H518">
        <f>Sensitivity!H12</f>
        <v/>
      </c>
    </row>
    <row r="519">
      <c r="A519" t="inlineStr">
        <is>
          <t>legs</t>
        </is>
      </c>
      <c r="B519" t="inlineStr">
        <is>
          <t>unique</t>
        </is>
      </c>
      <c r="C519" t="n">
        <v>3</v>
      </c>
      <c r="D519" t="inlineStr">
        <is>
          <t>Final Damage %</t>
        </is>
      </c>
      <c r="E519" t="n">
        <v>3</v>
      </c>
      <c r="F519" t="n">
        <v>0.92</v>
      </c>
      <c r="G519" t="b">
        <v>0</v>
      </c>
      <c r="H519">
        <f>Sensitivity!H12</f>
        <v/>
      </c>
    </row>
    <row r="520">
      <c r="A520" t="inlineStr">
        <is>
          <t>legs</t>
        </is>
      </c>
      <c r="B520" t="inlineStr">
        <is>
          <t>legendary</t>
        </is>
      </c>
      <c r="C520" t="n">
        <v>1</v>
      </c>
      <c r="D520" t="inlineStr">
        <is>
          <t>Final Damage %</t>
        </is>
      </c>
      <c r="E520" t="n">
        <v>8</v>
      </c>
      <c r="F520" t="n">
        <v>1</v>
      </c>
      <c r="G520" t="b">
        <v>1</v>
      </c>
      <c r="H520">
        <f>Sensitivity!H12</f>
        <v/>
      </c>
    </row>
    <row r="521">
      <c r="A521" t="inlineStr">
        <is>
          <t>legs</t>
        </is>
      </c>
      <c r="B521" t="inlineStr">
        <is>
          <t>legendary</t>
        </is>
      </c>
      <c r="C521" t="n">
        <v>2</v>
      </c>
      <c r="D521" t="inlineStr">
        <is>
          <t>Final Damage %</t>
        </is>
      </c>
      <c r="E521" t="n">
        <v>8</v>
      </c>
      <c r="F521" t="n">
        <v>0.24</v>
      </c>
      <c r="G521" t="b">
        <v>1</v>
      </c>
      <c r="H521">
        <f>Sensitivity!H12</f>
        <v/>
      </c>
    </row>
    <row r="522">
      <c r="A522" t="inlineStr">
        <is>
          <t>legs</t>
        </is>
      </c>
      <c r="B522" t="inlineStr">
        <is>
          <t>legendary</t>
        </is>
      </c>
      <c r="C522" t="n">
        <v>2</v>
      </c>
      <c r="D522" t="inlineStr">
        <is>
          <t>Final Damage %</t>
        </is>
      </c>
      <c r="E522" t="n">
        <v>5</v>
      </c>
      <c r="F522" t="n">
        <v>0.76</v>
      </c>
      <c r="G522" t="b">
        <v>0</v>
      </c>
      <c r="H522">
        <f>Sensitivity!H12</f>
        <v/>
      </c>
    </row>
    <row r="523">
      <c r="A523" t="inlineStr">
        <is>
          <t>legs</t>
        </is>
      </c>
      <c r="B523" t="inlineStr">
        <is>
          <t>legendary</t>
        </is>
      </c>
      <c r="C523" t="n">
        <v>3</v>
      </c>
      <c r="D523" t="inlineStr">
        <is>
          <t>Final Damage %</t>
        </is>
      </c>
      <c r="E523" t="n">
        <v>8</v>
      </c>
      <c r="F523" t="n">
        <v>0.08</v>
      </c>
      <c r="G523" t="b">
        <v>1</v>
      </c>
      <c r="H523">
        <f>Sensitivity!H12</f>
        <v/>
      </c>
    </row>
    <row r="524">
      <c r="A524" t="inlineStr">
        <is>
          <t>legs</t>
        </is>
      </c>
      <c r="B524" t="inlineStr">
        <is>
          <t>legendary</t>
        </is>
      </c>
      <c r="C524" t="n">
        <v>3</v>
      </c>
      <c r="D524" t="inlineStr">
        <is>
          <t>Final Damage %</t>
        </is>
      </c>
      <c r="E524" t="n">
        <v>5</v>
      </c>
      <c r="F524" t="n">
        <v>0.92</v>
      </c>
      <c r="G524" t="b">
        <v>0</v>
      </c>
      <c r="H524">
        <f>Sensitivity!H12</f>
        <v/>
      </c>
    </row>
    <row r="525">
      <c r="A525" t="inlineStr">
        <is>
          <t>legs</t>
        </is>
      </c>
      <c r="B525" t="inlineStr">
        <is>
          <t>mystic</t>
        </is>
      </c>
      <c r="C525" t="n">
        <v>1</v>
      </c>
      <c r="D525" t="inlineStr">
        <is>
          <t>Final Damage %</t>
        </is>
      </c>
      <c r="E525" t="n">
        <v>12</v>
      </c>
      <c r="F525" t="n">
        <v>1</v>
      </c>
      <c r="G525" t="b">
        <v>1</v>
      </c>
      <c r="H525">
        <f>Sensitivity!H12</f>
        <v/>
      </c>
    </row>
    <row r="526">
      <c r="A526" t="inlineStr">
        <is>
          <t>legs</t>
        </is>
      </c>
      <c r="B526" t="inlineStr">
        <is>
          <t>mystic</t>
        </is>
      </c>
      <c r="C526" t="n">
        <v>2</v>
      </c>
      <c r="D526" t="inlineStr">
        <is>
          <t>Final Damage %</t>
        </is>
      </c>
      <c r="E526" t="n">
        <v>12</v>
      </c>
      <c r="F526" t="n">
        <v>0.24</v>
      </c>
      <c r="G526" t="b">
        <v>1</v>
      </c>
      <c r="H526">
        <f>Sensitivity!H12</f>
        <v/>
      </c>
    </row>
    <row r="527">
      <c r="A527" t="inlineStr">
        <is>
          <t>legs</t>
        </is>
      </c>
      <c r="B527" t="inlineStr">
        <is>
          <t>mystic</t>
        </is>
      </c>
      <c r="C527" t="n">
        <v>2</v>
      </c>
      <c r="D527" t="inlineStr">
        <is>
          <t>Final Damage %</t>
        </is>
      </c>
      <c r="E527" t="n">
        <v>8</v>
      </c>
      <c r="F527" t="n">
        <v>0.76</v>
      </c>
      <c r="G527" t="b">
        <v>0</v>
      </c>
      <c r="H527">
        <f>Sensitivity!H12</f>
        <v/>
      </c>
    </row>
    <row r="528">
      <c r="A528" t="inlineStr">
        <is>
          <t>legs</t>
        </is>
      </c>
      <c r="B528" t="inlineStr">
        <is>
          <t>mystic</t>
        </is>
      </c>
      <c r="C528" t="n">
        <v>3</v>
      </c>
      <c r="D528" t="inlineStr">
        <is>
          <t>Final Damage %</t>
        </is>
      </c>
      <c r="E528" t="n">
        <v>12</v>
      </c>
      <c r="F528" t="n">
        <v>0.08</v>
      </c>
      <c r="G528" t="b">
        <v>1</v>
      </c>
      <c r="H528">
        <f>Sensitivity!H12</f>
        <v/>
      </c>
    </row>
    <row r="529">
      <c r="A529" t="inlineStr">
        <is>
          <t>legs</t>
        </is>
      </c>
      <c r="B529" t="inlineStr">
        <is>
          <t>mystic</t>
        </is>
      </c>
      <c r="C529" t="n">
        <v>3</v>
      </c>
      <c r="D529" t="inlineStr">
        <is>
          <t>Final Damage %</t>
        </is>
      </c>
      <c r="E529" t="n">
        <v>8</v>
      </c>
      <c r="F529" t="n">
        <v>0.92</v>
      </c>
      <c r="G529" t="b">
        <v>0</v>
      </c>
      <c r="H529">
        <f>Sensitivity!H12</f>
        <v/>
      </c>
    </row>
    <row r="530">
      <c r="A530" t="inlineStr">
        <is>
          <t>belt</t>
        </is>
      </c>
      <c r="B530" t="inlineStr">
        <is>
          <t>epic</t>
        </is>
      </c>
      <c r="C530" t="n">
        <v>1</v>
      </c>
      <c r="D530" t="inlineStr">
        <is>
          <t>Buff Duration Increase %</t>
        </is>
      </c>
      <c r="E530" t="n">
        <v>5</v>
      </c>
      <c r="F530" t="n">
        <v>1</v>
      </c>
      <c r="G530" t="b">
        <v>1</v>
      </c>
      <c r="H530">
        <f>Sensitivity!H30</f>
        <v/>
      </c>
    </row>
    <row r="531">
      <c r="A531" t="inlineStr">
        <is>
          <t>belt</t>
        </is>
      </c>
      <c r="B531" t="inlineStr">
        <is>
          <t>epic</t>
        </is>
      </c>
      <c r="C531" t="n">
        <v>2</v>
      </c>
      <c r="D531" t="inlineStr">
        <is>
          <t>Buff Duration Increase %</t>
        </is>
      </c>
      <c r="E531" t="n">
        <v>5</v>
      </c>
      <c r="F531" t="n">
        <v>0.24</v>
      </c>
      <c r="G531" t="b">
        <v>1</v>
      </c>
      <c r="H531">
        <f>Sensitivity!H30</f>
        <v/>
      </c>
    </row>
    <row r="532">
      <c r="A532" t="inlineStr">
        <is>
          <t>belt</t>
        </is>
      </c>
      <c r="B532" t="inlineStr">
        <is>
          <t>epic</t>
        </is>
      </c>
      <c r="C532" t="n">
        <v>3</v>
      </c>
      <c r="D532" t="inlineStr">
        <is>
          <t>Buff Duration Increase %</t>
        </is>
      </c>
      <c r="E532" t="n">
        <v>5</v>
      </c>
      <c r="F532" t="n">
        <v>0.08</v>
      </c>
      <c r="G532" t="b">
        <v>1</v>
      </c>
      <c r="H532">
        <f>Sensitivity!H30</f>
        <v/>
      </c>
    </row>
    <row r="533">
      <c r="A533" t="inlineStr">
        <is>
          <t>belt</t>
        </is>
      </c>
      <c r="B533" t="inlineStr">
        <is>
          <t>unique</t>
        </is>
      </c>
      <c r="C533" t="n">
        <v>1</v>
      </c>
      <c r="D533" t="inlineStr">
        <is>
          <t>Buff Duration Increase %</t>
        </is>
      </c>
      <c r="E533" t="n">
        <v>8</v>
      </c>
      <c r="F533" t="n">
        <v>1</v>
      </c>
      <c r="G533" t="b">
        <v>1</v>
      </c>
      <c r="H533">
        <f>Sensitivity!H30</f>
        <v/>
      </c>
    </row>
    <row r="534">
      <c r="A534" t="inlineStr">
        <is>
          <t>belt</t>
        </is>
      </c>
      <c r="B534" t="inlineStr">
        <is>
          <t>unique</t>
        </is>
      </c>
      <c r="C534" t="n">
        <v>2</v>
      </c>
      <c r="D534" t="inlineStr">
        <is>
          <t>Buff Duration Increase %</t>
        </is>
      </c>
      <c r="E534" t="n">
        <v>8</v>
      </c>
      <c r="F534" t="n">
        <v>0.24</v>
      </c>
      <c r="G534" t="b">
        <v>1</v>
      </c>
      <c r="H534">
        <f>Sensitivity!H30</f>
        <v/>
      </c>
    </row>
    <row r="535">
      <c r="A535" t="inlineStr">
        <is>
          <t>belt</t>
        </is>
      </c>
      <c r="B535" t="inlineStr">
        <is>
          <t>unique</t>
        </is>
      </c>
      <c r="C535" t="n">
        <v>2</v>
      </c>
      <c r="D535" t="inlineStr">
        <is>
          <t>Buff Duration Increase %</t>
        </is>
      </c>
      <c r="E535" t="n">
        <v>5</v>
      </c>
      <c r="F535" t="n">
        <v>0.76</v>
      </c>
      <c r="G535" t="b">
        <v>0</v>
      </c>
      <c r="H535">
        <f>Sensitivity!H30</f>
        <v/>
      </c>
    </row>
    <row r="536">
      <c r="A536" t="inlineStr">
        <is>
          <t>belt</t>
        </is>
      </c>
      <c r="B536" t="inlineStr">
        <is>
          <t>unique</t>
        </is>
      </c>
      <c r="C536" t="n">
        <v>3</v>
      </c>
      <c r="D536" t="inlineStr">
        <is>
          <t>Buff Duration Increase %</t>
        </is>
      </c>
      <c r="E536" t="n">
        <v>8</v>
      </c>
      <c r="F536" t="n">
        <v>0.08</v>
      </c>
      <c r="G536" t="b">
        <v>1</v>
      </c>
      <c r="H536">
        <f>Sensitivity!H30</f>
        <v/>
      </c>
    </row>
    <row r="537">
      <c r="A537" t="inlineStr">
        <is>
          <t>belt</t>
        </is>
      </c>
      <c r="B537" t="inlineStr">
        <is>
          <t>unique</t>
        </is>
      </c>
      <c r="C537" t="n">
        <v>3</v>
      </c>
      <c r="D537" t="inlineStr">
        <is>
          <t>Buff Duration Increase %</t>
        </is>
      </c>
      <c r="E537" t="n">
        <v>5</v>
      </c>
      <c r="F537" t="n">
        <v>0.92</v>
      </c>
      <c r="G537" t="b">
        <v>0</v>
      </c>
      <c r="H537">
        <f>Sensitivity!H30</f>
        <v/>
      </c>
    </row>
    <row r="538">
      <c r="A538" t="inlineStr">
        <is>
          <t>belt</t>
        </is>
      </c>
      <c r="B538" t="inlineStr">
        <is>
          <t>legendary</t>
        </is>
      </c>
      <c r="C538" t="n">
        <v>1</v>
      </c>
      <c r="D538" t="inlineStr">
        <is>
          <t>Buff Duration Increase %</t>
        </is>
      </c>
      <c r="E538" t="n">
        <v>12</v>
      </c>
      <c r="F538" t="n">
        <v>1</v>
      </c>
      <c r="G538" t="b">
        <v>1</v>
      </c>
      <c r="H538">
        <f>Sensitivity!H30</f>
        <v/>
      </c>
    </row>
    <row r="539">
      <c r="A539" t="inlineStr">
        <is>
          <t>belt</t>
        </is>
      </c>
      <c r="B539" t="inlineStr">
        <is>
          <t>legendary</t>
        </is>
      </c>
      <c r="C539" t="n">
        <v>2</v>
      </c>
      <c r="D539" t="inlineStr">
        <is>
          <t>Buff Duration Increase %</t>
        </is>
      </c>
      <c r="E539" t="n">
        <v>12</v>
      </c>
      <c r="F539" t="n">
        <v>0.24</v>
      </c>
      <c r="G539" t="b">
        <v>1</v>
      </c>
      <c r="H539">
        <f>Sensitivity!H30</f>
        <v/>
      </c>
    </row>
    <row r="540">
      <c r="A540" t="inlineStr">
        <is>
          <t>belt</t>
        </is>
      </c>
      <c r="B540" t="inlineStr">
        <is>
          <t>legendary</t>
        </is>
      </c>
      <c r="C540" t="n">
        <v>2</v>
      </c>
      <c r="D540" t="inlineStr">
        <is>
          <t>Buff Duration Increase %</t>
        </is>
      </c>
      <c r="E540" t="n">
        <v>8</v>
      </c>
      <c r="F540" t="n">
        <v>0.76</v>
      </c>
      <c r="G540" t="b">
        <v>0</v>
      </c>
      <c r="H540">
        <f>Sensitivity!H30</f>
        <v/>
      </c>
    </row>
    <row r="541">
      <c r="A541" t="inlineStr">
        <is>
          <t>belt</t>
        </is>
      </c>
      <c r="B541" t="inlineStr">
        <is>
          <t>legendary</t>
        </is>
      </c>
      <c r="C541" t="n">
        <v>3</v>
      </c>
      <c r="D541" t="inlineStr">
        <is>
          <t>Buff Duration Increase %</t>
        </is>
      </c>
      <c r="E541" t="n">
        <v>12</v>
      </c>
      <c r="F541" t="n">
        <v>0.08</v>
      </c>
      <c r="G541" t="b">
        <v>1</v>
      </c>
      <c r="H541">
        <f>Sensitivity!H30</f>
        <v/>
      </c>
    </row>
    <row r="542">
      <c r="A542" t="inlineStr">
        <is>
          <t>belt</t>
        </is>
      </c>
      <c r="B542" t="inlineStr">
        <is>
          <t>legendary</t>
        </is>
      </c>
      <c r="C542" t="n">
        <v>3</v>
      </c>
      <c r="D542" t="inlineStr">
        <is>
          <t>Buff Duration Increase %</t>
        </is>
      </c>
      <c r="E542" t="n">
        <v>8</v>
      </c>
      <c r="F542" t="n">
        <v>0.92</v>
      </c>
      <c r="G542" t="b">
        <v>0</v>
      </c>
      <c r="H542">
        <f>Sensitivity!H30</f>
        <v/>
      </c>
    </row>
    <row r="543">
      <c r="A543" t="inlineStr">
        <is>
          <t>belt</t>
        </is>
      </c>
      <c r="B543" t="inlineStr">
        <is>
          <t>mystic</t>
        </is>
      </c>
      <c r="C543" t="n">
        <v>1</v>
      </c>
      <c r="D543" t="inlineStr">
        <is>
          <t>Buff Duration Increase %</t>
        </is>
      </c>
      <c r="E543" t="n">
        <v>20</v>
      </c>
      <c r="F543" t="n">
        <v>1</v>
      </c>
      <c r="G543" t="b">
        <v>1</v>
      </c>
      <c r="H543">
        <f>Sensitivity!H30</f>
        <v/>
      </c>
    </row>
    <row r="544">
      <c r="A544" t="inlineStr">
        <is>
          <t>belt</t>
        </is>
      </c>
      <c r="B544" t="inlineStr">
        <is>
          <t>mystic</t>
        </is>
      </c>
      <c r="C544" t="n">
        <v>2</v>
      </c>
      <c r="D544" t="inlineStr">
        <is>
          <t>Buff Duration Increase %</t>
        </is>
      </c>
      <c r="E544" t="n">
        <v>20</v>
      </c>
      <c r="F544" t="n">
        <v>0.24</v>
      </c>
      <c r="G544" t="b">
        <v>1</v>
      </c>
      <c r="H544">
        <f>Sensitivity!H30</f>
        <v/>
      </c>
    </row>
    <row r="545">
      <c r="A545" t="inlineStr">
        <is>
          <t>belt</t>
        </is>
      </c>
      <c r="B545" t="inlineStr">
        <is>
          <t>mystic</t>
        </is>
      </c>
      <c r="C545" t="n">
        <v>2</v>
      </c>
      <c r="D545" t="inlineStr">
        <is>
          <t>Buff Duration Increase %</t>
        </is>
      </c>
      <c r="E545" t="n">
        <v>12</v>
      </c>
      <c r="F545" t="n">
        <v>0.76</v>
      </c>
      <c r="G545" t="b">
        <v>0</v>
      </c>
      <c r="H545">
        <f>Sensitivity!H30</f>
        <v/>
      </c>
    </row>
    <row r="546">
      <c r="A546" t="inlineStr">
        <is>
          <t>belt</t>
        </is>
      </c>
      <c r="B546" t="inlineStr">
        <is>
          <t>mystic</t>
        </is>
      </c>
      <c r="C546" t="n">
        <v>3</v>
      </c>
      <c r="D546" t="inlineStr">
        <is>
          <t>Buff Duration Increase %</t>
        </is>
      </c>
      <c r="E546" t="n">
        <v>20</v>
      </c>
      <c r="F546" t="n">
        <v>0.08</v>
      </c>
      <c r="G546" t="b">
        <v>1</v>
      </c>
      <c r="H546">
        <f>Sensitivity!H30</f>
        <v/>
      </c>
    </row>
    <row r="547">
      <c r="A547" t="inlineStr">
        <is>
          <t>belt</t>
        </is>
      </c>
      <c r="B547" t="inlineStr">
        <is>
          <t>mystic</t>
        </is>
      </c>
      <c r="C547" t="n">
        <v>3</v>
      </c>
      <c r="D547" t="inlineStr">
        <is>
          <t>Buff Duration Increase %</t>
        </is>
      </c>
      <c r="E547" t="n">
        <v>12</v>
      </c>
      <c r="F547" t="n">
        <v>0.92</v>
      </c>
      <c r="G547" t="b">
        <v>0</v>
      </c>
      <c r="H547">
        <f>Sensitivity!H30</f>
        <v/>
      </c>
    </row>
    <row r="548">
      <c r="A548" t="inlineStr">
        <is>
          <t>gloves</t>
        </is>
      </c>
      <c r="B548" t="inlineStr">
        <is>
          <t>epic</t>
        </is>
      </c>
      <c r="C548" t="n">
        <v>1</v>
      </c>
      <c r="D548" t="inlineStr">
        <is>
          <t>Critical Damage %</t>
        </is>
      </c>
      <c r="E548" t="n">
        <v>10</v>
      </c>
      <c r="F548" t="n">
        <v>1</v>
      </c>
      <c r="G548" t="b">
        <v>1</v>
      </c>
      <c r="H548">
        <f>Sensitivity!H16</f>
        <v/>
      </c>
    </row>
    <row r="549">
      <c r="A549" t="inlineStr">
        <is>
          <t>gloves</t>
        </is>
      </c>
      <c r="B549" t="inlineStr">
        <is>
          <t>epic</t>
        </is>
      </c>
      <c r="C549" t="n">
        <v>2</v>
      </c>
      <c r="D549" t="inlineStr">
        <is>
          <t>Critical Damage %</t>
        </is>
      </c>
      <c r="E549" t="n">
        <v>10</v>
      </c>
      <c r="F549" t="n">
        <v>0.24</v>
      </c>
      <c r="G549" t="b">
        <v>1</v>
      </c>
      <c r="H549">
        <f>Sensitivity!H16</f>
        <v/>
      </c>
    </row>
    <row r="550">
      <c r="A550" t="inlineStr">
        <is>
          <t>gloves</t>
        </is>
      </c>
      <c r="B550" t="inlineStr">
        <is>
          <t>epic</t>
        </is>
      </c>
      <c r="C550" t="n">
        <v>3</v>
      </c>
      <c r="D550" t="inlineStr">
        <is>
          <t>Critical Damage %</t>
        </is>
      </c>
      <c r="E550" t="n">
        <v>10</v>
      </c>
      <c r="F550" t="n">
        <v>0.08</v>
      </c>
      <c r="G550" t="b">
        <v>1</v>
      </c>
      <c r="H550">
        <f>Sensitivity!H16</f>
        <v/>
      </c>
    </row>
    <row r="551">
      <c r="A551" t="inlineStr">
        <is>
          <t>gloves</t>
        </is>
      </c>
      <c r="B551" t="inlineStr">
        <is>
          <t>unique</t>
        </is>
      </c>
      <c r="C551" t="n">
        <v>1</v>
      </c>
      <c r="D551" t="inlineStr">
        <is>
          <t>Critical Damage %</t>
        </is>
      </c>
      <c r="E551" t="n">
        <v>20</v>
      </c>
      <c r="F551" t="n">
        <v>1</v>
      </c>
      <c r="G551" t="b">
        <v>1</v>
      </c>
      <c r="H551">
        <f>Sensitivity!H16</f>
        <v/>
      </c>
    </row>
    <row r="552">
      <c r="A552" t="inlineStr">
        <is>
          <t>gloves</t>
        </is>
      </c>
      <c r="B552" t="inlineStr">
        <is>
          <t>unique</t>
        </is>
      </c>
      <c r="C552" t="n">
        <v>2</v>
      </c>
      <c r="D552" t="inlineStr">
        <is>
          <t>Critical Damage %</t>
        </is>
      </c>
      <c r="E552" t="n">
        <v>20</v>
      </c>
      <c r="F552" t="n">
        <v>0.24</v>
      </c>
      <c r="G552" t="b">
        <v>1</v>
      </c>
      <c r="H552">
        <f>Sensitivity!H16</f>
        <v/>
      </c>
    </row>
    <row r="553">
      <c r="A553" t="inlineStr">
        <is>
          <t>gloves</t>
        </is>
      </c>
      <c r="B553" t="inlineStr">
        <is>
          <t>unique</t>
        </is>
      </c>
      <c r="C553" t="n">
        <v>2</v>
      </c>
      <c r="D553" t="inlineStr">
        <is>
          <t>Critical Damage %</t>
        </is>
      </c>
      <c r="E553" t="n">
        <v>10</v>
      </c>
      <c r="F553" t="n">
        <v>0.76</v>
      </c>
      <c r="G553" t="b">
        <v>0</v>
      </c>
      <c r="H553">
        <f>Sensitivity!H16</f>
        <v/>
      </c>
    </row>
    <row r="554">
      <c r="A554" t="inlineStr">
        <is>
          <t>gloves</t>
        </is>
      </c>
      <c r="B554" t="inlineStr">
        <is>
          <t>unique</t>
        </is>
      </c>
      <c r="C554" t="n">
        <v>3</v>
      </c>
      <c r="D554" t="inlineStr">
        <is>
          <t>Critical Damage %</t>
        </is>
      </c>
      <c r="E554" t="n">
        <v>20</v>
      </c>
      <c r="F554" t="n">
        <v>0.08</v>
      </c>
      <c r="G554" t="b">
        <v>1</v>
      </c>
      <c r="H554">
        <f>Sensitivity!H16</f>
        <v/>
      </c>
    </row>
    <row r="555">
      <c r="A555" t="inlineStr">
        <is>
          <t>gloves</t>
        </is>
      </c>
      <c r="B555" t="inlineStr">
        <is>
          <t>unique</t>
        </is>
      </c>
      <c r="C555" t="n">
        <v>3</v>
      </c>
      <c r="D555" t="inlineStr">
        <is>
          <t>Critical Damage %</t>
        </is>
      </c>
      <c r="E555" t="n">
        <v>10</v>
      </c>
      <c r="F555" t="n">
        <v>0.92</v>
      </c>
      <c r="G555" t="b">
        <v>0</v>
      </c>
      <c r="H555">
        <f>Sensitivity!H16</f>
        <v/>
      </c>
    </row>
    <row r="556">
      <c r="A556" t="inlineStr">
        <is>
          <t>gloves</t>
        </is>
      </c>
      <c r="B556" t="inlineStr">
        <is>
          <t>legendary</t>
        </is>
      </c>
      <c r="C556" t="n">
        <v>1</v>
      </c>
      <c r="D556" t="inlineStr">
        <is>
          <t>Critical Damage %</t>
        </is>
      </c>
      <c r="E556" t="n">
        <v>30</v>
      </c>
      <c r="F556" t="n">
        <v>1</v>
      </c>
      <c r="G556" t="b">
        <v>1</v>
      </c>
      <c r="H556">
        <f>Sensitivity!H16</f>
        <v/>
      </c>
    </row>
    <row r="557">
      <c r="A557" t="inlineStr">
        <is>
          <t>gloves</t>
        </is>
      </c>
      <c r="B557" t="inlineStr">
        <is>
          <t>legendary</t>
        </is>
      </c>
      <c r="C557" t="n">
        <v>2</v>
      </c>
      <c r="D557" t="inlineStr">
        <is>
          <t>Critical Damage %</t>
        </is>
      </c>
      <c r="E557" t="n">
        <v>30</v>
      </c>
      <c r="F557" t="n">
        <v>0.24</v>
      </c>
      <c r="G557" t="b">
        <v>1</v>
      </c>
      <c r="H557">
        <f>Sensitivity!H16</f>
        <v/>
      </c>
    </row>
    <row r="558">
      <c r="A558" t="inlineStr">
        <is>
          <t>gloves</t>
        </is>
      </c>
      <c r="B558" t="inlineStr">
        <is>
          <t>legendary</t>
        </is>
      </c>
      <c r="C558" t="n">
        <v>2</v>
      </c>
      <c r="D558" t="inlineStr">
        <is>
          <t>Critical Damage %</t>
        </is>
      </c>
      <c r="E558" t="n">
        <v>20</v>
      </c>
      <c r="F558" t="n">
        <v>0.76</v>
      </c>
      <c r="G558" t="b">
        <v>0</v>
      </c>
      <c r="H558">
        <f>Sensitivity!H16</f>
        <v/>
      </c>
    </row>
    <row r="559">
      <c r="A559" t="inlineStr">
        <is>
          <t>gloves</t>
        </is>
      </c>
      <c r="B559" t="inlineStr">
        <is>
          <t>legendary</t>
        </is>
      </c>
      <c r="C559" t="n">
        <v>3</v>
      </c>
      <c r="D559" t="inlineStr">
        <is>
          <t>Critical Damage %</t>
        </is>
      </c>
      <c r="E559" t="n">
        <v>30</v>
      </c>
      <c r="F559" t="n">
        <v>0.08</v>
      </c>
      <c r="G559" t="b">
        <v>1</v>
      </c>
      <c r="H559">
        <f>Sensitivity!H16</f>
        <v/>
      </c>
    </row>
    <row r="560">
      <c r="A560" t="inlineStr">
        <is>
          <t>gloves</t>
        </is>
      </c>
      <c r="B560" t="inlineStr">
        <is>
          <t>legendary</t>
        </is>
      </c>
      <c r="C560" t="n">
        <v>3</v>
      </c>
      <c r="D560" t="inlineStr">
        <is>
          <t>Critical Damage %</t>
        </is>
      </c>
      <c r="E560" t="n">
        <v>20</v>
      </c>
      <c r="F560" t="n">
        <v>0.92</v>
      </c>
      <c r="G560" t="b">
        <v>0</v>
      </c>
      <c r="H560">
        <f>Sensitivity!H16</f>
        <v/>
      </c>
    </row>
    <row r="561">
      <c r="A561" t="inlineStr">
        <is>
          <t>gloves</t>
        </is>
      </c>
      <c r="B561" t="inlineStr">
        <is>
          <t>mystic</t>
        </is>
      </c>
      <c r="C561" t="n">
        <v>1</v>
      </c>
      <c r="D561" t="inlineStr">
        <is>
          <t>Critical Damage %</t>
        </is>
      </c>
      <c r="E561" t="n">
        <v>50</v>
      </c>
      <c r="F561" t="n">
        <v>1</v>
      </c>
      <c r="G561" t="b">
        <v>1</v>
      </c>
      <c r="H561">
        <f>Sensitivity!H16</f>
        <v/>
      </c>
    </row>
    <row r="562">
      <c r="A562" t="inlineStr">
        <is>
          <t>gloves</t>
        </is>
      </c>
      <c r="B562" t="inlineStr">
        <is>
          <t>mystic</t>
        </is>
      </c>
      <c r="C562" t="n">
        <v>2</v>
      </c>
      <c r="D562" t="inlineStr">
        <is>
          <t>Critical Damage %</t>
        </is>
      </c>
      <c r="E562" t="n">
        <v>50</v>
      </c>
      <c r="F562" t="n">
        <v>0.24</v>
      </c>
      <c r="G562" t="b">
        <v>1</v>
      </c>
      <c r="H562">
        <f>Sensitivity!H16</f>
        <v/>
      </c>
    </row>
    <row r="563">
      <c r="A563" t="inlineStr">
        <is>
          <t>gloves</t>
        </is>
      </c>
      <c r="B563" t="inlineStr">
        <is>
          <t>mystic</t>
        </is>
      </c>
      <c r="C563" t="n">
        <v>2</v>
      </c>
      <c r="D563" t="inlineStr">
        <is>
          <t>Critical Damage %</t>
        </is>
      </c>
      <c r="E563" t="n">
        <v>30</v>
      </c>
      <c r="F563" t="n">
        <v>0.76</v>
      </c>
      <c r="G563" t="b">
        <v>0</v>
      </c>
      <c r="H563">
        <f>Sensitivity!H16</f>
        <v/>
      </c>
    </row>
    <row r="564">
      <c r="A564" t="inlineStr">
        <is>
          <t>gloves</t>
        </is>
      </c>
      <c r="B564" t="inlineStr">
        <is>
          <t>mystic</t>
        </is>
      </c>
      <c r="C564" t="n">
        <v>3</v>
      </c>
      <c r="D564" t="inlineStr">
        <is>
          <t>Critical Damage %</t>
        </is>
      </c>
      <c r="E564" t="n">
        <v>50</v>
      </c>
      <c r="F564" t="n">
        <v>0.08</v>
      </c>
      <c r="G564" t="b">
        <v>1</v>
      </c>
      <c r="H564">
        <f>Sensitivity!H16</f>
        <v/>
      </c>
    </row>
    <row r="565">
      <c r="A565" t="inlineStr">
        <is>
          <t>gloves</t>
        </is>
      </c>
      <c r="B565" t="inlineStr">
        <is>
          <t>mystic</t>
        </is>
      </c>
      <c r="C565" t="n">
        <v>3</v>
      </c>
      <c r="D565" t="inlineStr">
        <is>
          <t>Critical Damage %</t>
        </is>
      </c>
      <c r="E565" t="n">
        <v>30</v>
      </c>
      <c r="F565" t="n">
        <v>0.92</v>
      </c>
      <c r="G565" t="b">
        <v>0</v>
      </c>
      <c r="H565">
        <f>Sensitivity!H16</f>
        <v/>
      </c>
    </row>
    <row r="566">
      <c r="A566" t="inlineStr">
        <is>
          <t>boots</t>
        </is>
      </c>
      <c r="B566" t="inlineStr">
        <is>
          <t>epic</t>
        </is>
      </c>
      <c r="C566" t="n">
        <v>1</v>
      </c>
      <c r="D566" t="inlineStr">
        <is>
          <t>Companion Summoning Time Increase %</t>
        </is>
      </c>
      <c r="E566" t="n">
        <v>5</v>
      </c>
      <c r="F566" t="n">
        <v>1</v>
      </c>
      <c r="G566" t="b">
        <v>1</v>
      </c>
      <c r="H566">
        <f>Sensitivity!H16</f>
        <v/>
      </c>
    </row>
    <row r="567">
      <c r="A567" t="inlineStr">
        <is>
          <t>boots</t>
        </is>
      </c>
      <c r="B567" t="inlineStr">
        <is>
          <t>epic</t>
        </is>
      </c>
      <c r="C567" t="n">
        <v>2</v>
      </c>
      <c r="D567" t="inlineStr">
        <is>
          <t>Companion Summoning Time Increase %</t>
        </is>
      </c>
      <c r="E567" t="n">
        <v>5</v>
      </c>
      <c r="F567" t="n">
        <v>0.24</v>
      </c>
      <c r="G567" t="b">
        <v>1</v>
      </c>
      <c r="H567">
        <f>Sensitivity!H16</f>
        <v/>
      </c>
    </row>
    <row r="568">
      <c r="A568" t="inlineStr">
        <is>
          <t>boots</t>
        </is>
      </c>
      <c r="B568" t="inlineStr">
        <is>
          <t>epic</t>
        </is>
      </c>
      <c r="C568" t="n">
        <v>3</v>
      </c>
      <c r="D568" t="inlineStr">
        <is>
          <t>Companion Summoning Time Increase %</t>
        </is>
      </c>
      <c r="E568" t="n">
        <v>5</v>
      </c>
      <c r="F568" t="n">
        <v>0.08</v>
      </c>
      <c r="G568" t="b">
        <v>1</v>
      </c>
      <c r="H568">
        <f>Sensitivity!H16</f>
        <v/>
      </c>
    </row>
    <row r="569">
      <c r="A569" t="inlineStr">
        <is>
          <t>boots</t>
        </is>
      </c>
      <c r="B569" t="inlineStr">
        <is>
          <t>unique</t>
        </is>
      </c>
      <c r="C569" t="n">
        <v>1</v>
      </c>
      <c r="D569" t="inlineStr">
        <is>
          <t>Companion Summoning Time Increase %</t>
        </is>
      </c>
      <c r="E569" t="n">
        <v>8</v>
      </c>
      <c r="F569" t="n">
        <v>1</v>
      </c>
      <c r="G569" t="b">
        <v>1</v>
      </c>
      <c r="H569">
        <f>Sensitivity!H16</f>
        <v/>
      </c>
    </row>
    <row r="570">
      <c r="A570" t="inlineStr">
        <is>
          <t>boots</t>
        </is>
      </c>
      <c r="B570" t="inlineStr">
        <is>
          <t>unique</t>
        </is>
      </c>
      <c r="C570" t="n">
        <v>2</v>
      </c>
      <c r="D570" t="inlineStr">
        <is>
          <t>Companion Summoning Time Increase %</t>
        </is>
      </c>
      <c r="E570" t="n">
        <v>8</v>
      </c>
      <c r="F570" t="n">
        <v>0.24</v>
      </c>
      <c r="G570" t="b">
        <v>1</v>
      </c>
      <c r="H570">
        <f>Sensitivity!H16</f>
        <v/>
      </c>
    </row>
    <row r="571">
      <c r="A571" t="inlineStr">
        <is>
          <t>boots</t>
        </is>
      </c>
      <c r="B571" t="inlineStr">
        <is>
          <t>unique</t>
        </is>
      </c>
      <c r="C571" t="n">
        <v>2</v>
      </c>
      <c r="D571" t="inlineStr">
        <is>
          <t>Companion Summoning Time Increase %</t>
        </is>
      </c>
      <c r="E571" t="n">
        <v>5</v>
      </c>
      <c r="F571" t="n">
        <v>0.76</v>
      </c>
      <c r="G571" t="b">
        <v>0</v>
      </c>
      <c r="H571">
        <f>Sensitivity!H16</f>
        <v/>
      </c>
    </row>
    <row r="572">
      <c r="A572" t="inlineStr">
        <is>
          <t>boots</t>
        </is>
      </c>
      <c r="B572" t="inlineStr">
        <is>
          <t>unique</t>
        </is>
      </c>
      <c r="C572" t="n">
        <v>3</v>
      </c>
      <c r="D572" t="inlineStr">
        <is>
          <t>Companion Summoning Time Increase %</t>
        </is>
      </c>
      <c r="E572" t="n">
        <v>8</v>
      </c>
      <c r="F572" t="n">
        <v>0.08</v>
      </c>
      <c r="G572" t="b">
        <v>1</v>
      </c>
      <c r="H572">
        <f>Sensitivity!H16</f>
        <v/>
      </c>
    </row>
    <row r="573">
      <c r="A573" t="inlineStr">
        <is>
          <t>boots</t>
        </is>
      </c>
      <c r="B573" t="inlineStr">
        <is>
          <t>unique</t>
        </is>
      </c>
      <c r="C573" t="n">
        <v>3</v>
      </c>
      <c r="D573" t="inlineStr">
        <is>
          <t>Companion Summoning Time Increase %</t>
        </is>
      </c>
      <c r="E573" t="n">
        <v>5</v>
      </c>
      <c r="F573" t="n">
        <v>0.92</v>
      </c>
      <c r="G573" t="b">
        <v>0</v>
      </c>
      <c r="H573">
        <f>Sensitivity!H16</f>
        <v/>
      </c>
    </row>
    <row r="574">
      <c r="A574" t="inlineStr">
        <is>
          <t>boots</t>
        </is>
      </c>
      <c r="B574" t="inlineStr">
        <is>
          <t>legendary</t>
        </is>
      </c>
      <c r="C574" t="n">
        <v>1</v>
      </c>
      <c r="D574" t="inlineStr">
        <is>
          <t>Companion Summoning Time Increase %</t>
        </is>
      </c>
      <c r="E574" t="n">
        <v>12</v>
      </c>
      <c r="F574" t="n">
        <v>1</v>
      </c>
      <c r="G574" t="b">
        <v>1</v>
      </c>
      <c r="H574">
        <f>Sensitivity!H16</f>
        <v/>
      </c>
    </row>
    <row r="575">
      <c r="A575" t="inlineStr">
        <is>
          <t>boots</t>
        </is>
      </c>
      <c r="B575" t="inlineStr">
        <is>
          <t>legendary</t>
        </is>
      </c>
      <c r="C575" t="n">
        <v>2</v>
      </c>
      <c r="D575" t="inlineStr">
        <is>
          <t>Companion Summoning Time Increase %</t>
        </is>
      </c>
      <c r="E575" t="n">
        <v>12</v>
      </c>
      <c r="F575" t="n">
        <v>0.24</v>
      </c>
      <c r="G575" t="b">
        <v>1</v>
      </c>
      <c r="H575">
        <f>Sensitivity!H16</f>
        <v/>
      </c>
    </row>
    <row r="576">
      <c r="A576" t="inlineStr">
        <is>
          <t>boots</t>
        </is>
      </c>
      <c r="B576" t="inlineStr">
        <is>
          <t>legendary</t>
        </is>
      </c>
      <c r="C576" t="n">
        <v>2</v>
      </c>
      <c r="D576" t="inlineStr">
        <is>
          <t>Companion Summoning Time Increase %</t>
        </is>
      </c>
      <c r="E576" t="n">
        <v>8</v>
      </c>
      <c r="F576" t="n">
        <v>0.76</v>
      </c>
      <c r="G576" t="b">
        <v>0</v>
      </c>
      <c r="H576">
        <f>Sensitivity!H16</f>
        <v/>
      </c>
    </row>
    <row r="577">
      <c r="A577" t="inlineStr">
        <is>
          <t>boots</t>
        </is>
      </c>
      <c r="B577" t="inlineStr">
        <is>
          <t>legendary</t>
        </is>
      </c>
      <c r="C577" t="n">
        <v>3</v>
      </c>
      <c r="D577" t="inlineStr">
        <is>
          <t>Companion Summoning Time Increase %</t>
        </is>
      </c>
      <c r="E577" t="n">
        <v>12</v>
      </c>
      <c r="F577" t="n">
        <v>0.08</v>
      </c>
      <c r="G577" t="b">
        <v>1</v>
      </c>
      <c r="H577">
        <f>Sensitivity!H16</f>
        <v/>
      </c>
    </row>
    <row r="578">
      <c r="A578" t="inlineStr">
        <is>
          <t>boots</t>
        </is>
      </c>
      <c r="B578" t="inlineStr">
        <is>
          <t>legendary</t>
        </is>
      </c>
      <c r="C578" t="n">
        <v>3</v>
      </c>
      <c r="D578" t="inlineStr">
        <is>
          <t>Companion Summoning Time Increase %</t>
        </is>
      </c>
      <c r="E578" t="n">
        <v>8</v>
      </c>
      <c r="F578" t="n">
        <v>0.92</v>
      </c>
      <c r="G578" t="b">
        <v>0</v>
      </c>
      <c r="H578">
        <f>Sensitivity!H16</f>
        <v/>
      </c>
    </row>
    <row r="579">
      <c r="A579" t="inlineStr">
        <is>
          <t>boots</t>
        </is>
      </c>
      <c r="B579" t="inlineStr">
        <is>
          <t>mystic</t>
        </is>
      </c>
      <c r="C579" t="n">
        <v>1</v>
      </c>
      <c r="D579" t="inlineStr">
        <is>
          <t>Companion Summoning Time Increase %</t>
        </is>
      </c>
      <c r="E579" t="n">
        <v>20</v>
      </c>
      <c r="F579" t="n">
        <v>1</v>
      </c>
      <c r="G579" t="b">
        <v>1</v>
      </c>
      <c r="H579">
        <f>Sensitivity!H16</f>
        <v/>
      </c>
    </row>
    <row r="580">
      <c r="A580" t="inlineStr">
        <is>
          <t>boots</t>
        </is>
      </c>
      <c r="B580" t="inlineStr">
        <is>
          <t>mystic</t>
        </is>
      </c>
      <c r="C580" t="n">
        <v>2</v>
      </c>
      <c r="D580" t="inlineStr">
        <is>
          <t>Companion Summoning Time Increase %</t>
        </is>
      </c>
      <c r="E580" t="n">
        <v>20</v>
      </c>
      <c r="F580" t="n">
        <v>0.24</v>
      </c>
      <c r="G580" t="b">
        <v>1</v>
      </c>
      <c r="H580">
        <f>Sensitivity!H16</f>
        <v/>
      </c>
    </row>
    <row r="581">
      <c r="A581" t="inlineStr">
        <is>
          <t>boots</t>
        </is>
      </c>
      <c r="B581" t="inlineStr">
        <is>
          <t>mystic</t>
        </is>
      </c>
      <c r="C581" t="n">
        <v>2</v>
      </c>
      <c r="D581" t="inlineStr">
        <is>
          <t>Companion Summoning Time Increase %</t>
        </is>
      </c>
      <c r="E581" t="n">
        <v>12</v>
      </c>
      <c r="F581" t="n">
        <v>0.76</v>
      </c>
      <c r="G581" t="b">
        <v>0</v>
      </c>
      <c r="H581">
        <f>Sensitivity!H16</f>
        <v/>
      </c>
    </row>
    <row r="582">
      <c r="A582" t="inlineStr">
        <is>
          <t>boots</t>
        </is>
      </c>
      <c r="B582" t="inlineStr">
        <is>
          <t>mystic</t>
        </is>
      </c>
      <c r="C582" t="n">
        <v>3</v>
      </c>
      <c r="D582" t="inlineStr">
        <is>
          <t>Companion Summoning Time Increase %</t>
        </is>
      </c>
      <c r="E582" t="n">
        <v>20</v>
      </c>
      <c r="F582" t="n">
        <v>0.08</v>
      </c>
      <c r="G582" t="b">
        <v>1</v>
      </c>
      <c r="H582">
        <f>Sensitivity!H16</f>
        <v/>
      </c>
    </row>
    <row r="583">
      <c r="A583" t="inlineStr">
        <is>
          <t>boots</t>
        </is>
      </c>
      <c r="B583" t="inlineStr">
        <is>
          <t>mystic</t>
        </is>
      </c>
      <c r="C583" t="n">
        <v>3</v>
      </c>
      <c r="D583" t="inlineStr">
        <is>
          <t>Companion Summoning Time Increase %</t>
        </is>
      </c>
      <c r="E583" t="n">
        <v>12</v>
      </c>
      <c r="F583" t="n">
        <v>0.92</v>
      </c>
      <c r="G583" t="b">
        <v>0</v>
      </c>
      <c r="H583">
        <f>Sensitivity!H16</f>
        <v/>
      </c>
    </row>
    <row r="584">
      <c r="A584" t="inlineStr">
        <is>
          <t>ring</t>
        </is>
      </c>
      <c r="B584" t="inlineStr">
        <is>
          <t>epic</t>
        </is>
      </c>
      <c r="C584" t="n">
        <v>1</v>
      </c>
      <c r="D584" t="inlineStr">
        <is>
          <t>All Skill Level</t>
        </is>
      </c>
      <c r="E584" t="n">
        <v>5</v>
      </c>
      <c r="F584" t="n">
        <v>1</v>
      </c>
      <c r="G584" t="b">
        <v>1</v>
      </c>
      <c r="H584">
        <f>Sensitivity!H25</f>
        <v/>
      </c>
    </row>
    <row r="585">
      <c r="A585" t="inlineStr">
        <is>
          <t>ring</t>
        </is>
      </c>
      <c r="B585" t="inlineStr">
        <is>
          <t>epic</t>
        </is>
      </c>
      <c r="C585" t="n">
        <v>2</v>
      </c>
      <c r="D585" t="inlineStr">
        <is>
          <t>All Skill Level</t>
        </is>
      </c>
      <c r="E585" t="n">
        <v>5</v>
      </c>
      <c r="F585" t="n">
        <v>0.24</v>
      </c>
      <c r="G585" t="b">
        <v>1</v>
      </c>
      <c r="H585">
        <f>Sensitivity!H25</f>
        <v/>
      </c>
    </row>
    <row r="586">
      <c r="A586" t="inlineStr">
        <is>
          <t>ring</t>
        </is>
      </c>
      <c r="B586" t="inlineStr">
        <is>
          <t>epic</t>
        </is>
      </c>
      <c r="C586" t="n">
        <v>3</v>
      </c>
      <c r="D586" t="inlineStr">
        <is>
          <t>All Skill Level</t>
        </is>
      </c>
      <c r="E586" t="n">
        <v>5</v>
      </c>
      <c r="F586" t="n">
        <v>0.08</v>
      </c>
      <c r="G586" t="b">
        <v>1</v>
      </c>
      <c r="H586">
        <f>Sensitivity!H25</f>
        <v/>
      </c>
    </row>
    <row r="587">
      <c r="A587" t="inlineStr">
        <is>
          <t>ring</t>
        </is>
      </c>
      <c r="B587" t="inlineStr">
        <is>
          <t>unique</t>
        </is>
      </c>
      <c r="C587" t="n">
        <v>1</v>
      </c>
      <c r="D587" t="inlineStr">
        <is>
          <t>All Skill Level</t>
        </is>
      </c>
      <c r="E587" t="n">
        <v>8</v>
      </c>
      <c r="F587" t="n">
        <v>1</v>
      </c>
      <c r="G587" t="b">
        <v>1</v>
      </c>
      <c r="H587">
        <f>Sensitivity!H25</f>
        <v/>
      </c>
    </row>
    <row r="588">
      <c r="A588" t="inlineStr">
        <is>
          <t>ring</t>
        </is>
      </c>
      <c r="B588" t="inlineStr">
        <is>
          <t>unique</t>
        </is>
      </c>
      <c r="C588" t="n">
        <v>2</v>
      </c>
      <c r="D588" t="inlineStr">
        <is>
          <t>All Skill Level</t>
        </is>
      </c>
      <c r="E588" t="n">
        <v>8</v>
      </c>
      <c r="F588" t="n">
        <v>0.24</v>
      </c>
      <c r="G588" t="b">
        <v>1</v>
      </c>
      <c r="H588">
        <f>Sensitivity!H25</f>
        <v/>
      </c>
    </row>
    <row r="589">
      <c r="A589" t="inlineStr">
        <is>
          <t>ring</t>
        </is>
      </c>
      <c r="B589" t="inlineStr">
        <is>
          <t>unique</t>
        </is>
      </c>
      <c r="C589" t="n">
        <v>2</v>
      </c>
      <c r="D589" t="inlineStr">
        <is>
          <t>All Skill Level</t>
        </is>
      </c>
      <c r="E589" t="n">
        <v>5</v>
      </c>
      <c r="F589" t="n">
        <v>0.76</v>
      </c>
      <c r="G589" t="b">
        <v>0</v>
      </c>
      <c r="H589">
        <f>Sensitivity!H25</f>
        <v/>
      </c>
    </row>
    <row r="590">
      <c r="A590" t="inlineStr">
        <is>
          <t>ring</t>
        </is>
      </c>
      <c r="B590" t="inlineStr">
        <is>
          <t>unique</t>
        </is>
      </c>
      <c r="C590" t="n">
        <v>3</v>
      </c>
      <c r="D590" t="inlineStr">
        <is>
          <t>All Skill Level</t>
        </is>
      </c>
      <c r="E590" t="n">
        <v>8</v>
      </c>
      <c r="F590" t="n">
        <v>0.08</v>
      </c>
      <c r="G590" t="b">
        <v>1</v>
      </c>
      <c r="H590">
        <f>Sensitivity!H25</f>
        <v/>
      </c>
    </row>
    <row r="591">
      <c r="A591" t="inlineStr">
        <is>
          <t>ring</t>
        </is>
      </c>
      <c r="B591" t="inlineStr">
        <is>
          <t>unique</t>
        </is>
      </c>
      <c r="C591" t="n">
        <v>3</v>
      </c>
      <c r="D591" t="inlineStr">
        <is>
          <t>All Skill Level</t>
        </is>
      </c>
      <c r="E591" t="n">
        <v>5</v>
      </c>
      <c r="F591" t="n">
        <v>0.92</v>
      </c>
      <c r="G591" t="b">
        <v>0</v>
      </c>
      <c r="H591">
        <f>Sensitivity!H25</f>
        <v/>
      </c>
    </row>
    <row r="592">
      <c r="A592" t="inlineStr">
        <is>
          <t>ring</t>
        </is>
      </c>
      <c r="B592" t="inlineStr">
        <is>
          <t>legendary</t>
        </is>
      </c>
      <c r="C592" t="n">
        <v>1</v>
      </c>
      <c r="D592" t="inlineStr">
        <is>
          <t>All Skill Level</t>
        </is>
      </c>
      <c r="E592" t="n">
        <v>12</v>
      </c>
      <c r="F592" t="n">
        <v>1</v>
      </c>
      <c r="G592" t="b">
        <v>1</v>
      </c>
      <c r="H592">
        <f>Sensitivity!H25</f>
        <v/>
      </c>
    </row>
    <row r="593">
      <c r="A593" t="inlineStr">
        <is>
          <t>ring</t>
        </is>
      </c>
      <c r="B593" t="inlineStr">
        <is>
          <t>legendary</t>
        </is>
      </c>
      <c r="C593" t="n">
        <v>2</v>
      </c>
      <c r="D593" t="inlineStr">
        <is>
          <t>All Skill Level</t>
        </is>
      </c>
      <c r="E593" t="n">
        <v>12</v>
      </c>
      <c r="F593" t="n">
        <v>0.24</v>
      </c>
      <c r="G593" t="b">
        <v>1</v>
      </c>
      <c r="H593">
        <f>Sensitivity!H25</f>
        <v/>
      </c>
    </row>
    <row r="594">
      <c r="A594" t="inlineStr">
        <is>
          <t>ring</t>
        </is>
      </c>
      <c r="B594" t="inlineStr">
        <is>
          <t>legendary</t>
        </is>
      </c>
      <c r="C594" t="n">
        <v>2</v>
      </c>
      <c r="D594" t="inlineStr">
        <is>
          <t>All Skill Level</t>
        </is>
      </c>
      <c r="E594" t="n">
        <v>8</v>
      </c>
      <c r="F594" t="n">
        <v>0.76</v>
      </c>
      <c r="G594" t="b">
        <v>0</v>
      </c>
      <c r="H594">
        <f>Sensitivity!H25</f>
        <v/>
      </c>
    </row>
    <row r="595">
      <c r="A595" t="inlineStr">
        <is>
          <t>ring</t>
        </is>
      </c>
      <c r="B595" t="inlineStr">
        <is>
          <t>legendary</t>
        </is>
      </c>
      <c r="C595" t="n">
        <v>3</v>
      </c>
      <c r="D595" t="inlineStr">
        <is>
          <t>All Skill Level</t>
        </is>
      </c>
      <c r="E595" t="n">
        <v>12</v>
      </c>
      <c r="F595" t="n">
        <v>0.08</v>
      </c>
      <c r="G595" t="b">
        <v>1</v>
      </c>
      <c r="H595">
        <f>Sensitivity!H25</f>
        <v/>
      </c>
    </row>
    <row r="596">
      <c r="A596" t="inlineStr">
        <is>
          <t>ring</t>
        </is>
      </c>
      <c r="B596" t="inlineStr">
        <is>
          <t>legendary</t>
        </is>
      </c>
      <c r="C596" t="n">
        <v>3</v>
      </c>
      <c r="D596" t="inlineStr">
        <is>
          <t>All Skill Level</t>
        </is>
      </c>
      <c r="E596" t="n">
        <v>8</v>
      </c>
      <c r="F596" t="n">
        <v>0.92</v>
      </c>
      <c r="G596" t="b">
        <v>0</v>
      </c>
      <c r="H596">
        <f>Sensitivity!H25</f>
        <v/>
      </c>
    </row>
    <row r="597">
      <c r="A597" t="inlineStr">
        <is>
          <t>ring</t>
        </is>
      </c>
      <c r="B597" t="inlineStr">
        <is>
          <t>mystic</t>
        </is>
      </c>
      <c r="C597" t="n">
        <v>1</v>
      </c>
      <c r="D597" t="inlineStr">
        <is>
          <t>All Skill Level</t>
        </is>
      </c>
      <c r="E597" t="n">
        <v>16</v>
      </c>
      <c r="F597" t="n">
        <v>1</v>
      </c>
      <c r="G597" t="b">
        <v>1</v>
      </c>
      <c r="H597">
        <f>Sensitivity!H25</f>
        <v/>
      </c>
    </row>
    <row r="598">
      <c r="A598" t="inlineStr">
        <is>
          <t>ring</t>
        </is>
      </c>
      <c r="B598" t="inlineStr">
        <is>
          <t>mystic</t>
        </is>
      </c>
      <c r="C598" t="n">
        <v>2</v>
      </c>
      <c r="D598" t="inlineStr">
        <is>
          <t>All Skill Level</t>
        </is>
      </c>
      <c r="E598" t="n">
        <v>16</v>
      </c>
      <c r="F598" t="n">
        <v>0.24</v>
      </c>
      <c r="G598" t="b">
        <v>1</v>
      </c>
      <c r="H598">
        <f>Sensitivity!H25</f>
        <v/>
      </c>
    </row>
    <row r="599">
      <c r="A599" t="inlineStr">
        <is>
          <t>ring</t>
        </is>
      </c>
      <c r="B599" t="inlineStr">
        <is>
          <t>mystic</t>
        </is>
      </c>
      <c r="C599" t="n">
        <v>2</v>
      </c>
      <c r="D599" t="inlineStr">
        <is>
          <t>All Skill Level</t>
        </is>
      </c>
      <c r="E599" t="n">
        <v>12</v>
      </c>
      <c r="F599" t="n">
        <v>0.76</v>
      </c>
      <c r="G599" t="b">
        <v>0</v>
      </c>
      <c r="H599">
        <f>Sensitivity!H25</f>
        <v/>
      </c>
    </row>
    <row r="600">
      <c r="A600" t="inlineStr">
        <is>
          <t>ring</t>
        </is>
      </c>
      <c r="B600" t="inlineStr">
        <is>
          <t>mystic</t>
        </is>
      </c>
      <c r="C600" t="n">
        <v>3</v>
      </c>
      <c r="D600" t="inlineStr">
        <is>
          <t>All Skill Level</t>
        </is>
      </c>
      <c r="E600" t="n">
        <v>16</v>
      </c>
      <c r="F600" t="n">
        <v>0.08</v>
      </c>
      <c r="G600" t="b">
        <v>1</v>
      </c>
      <c r="H600">
        <f>Sensitivity!H25</f>
        <v/>
      </c>
    </row>
    <row r="601">
      <c r="A601" t="inlineStr">
        <is>
          <t>ring</t>
        </is>
      </c>
      <c r="B601" t="inlineStr">
        <is>
          <t>mystic</t>
        </is>
      </c>
      <c r="C601" t="n">
        <v>3</v>
      </c>
      <c r="D601" t="inlineStr">
        <is>
          <t>All Skill Level</t>
        </is>
      </c>
      <c r="E601" t="n">
        <v>12</v>
      </c>
      <c r="F601" t="n">
        <v>0.92</v>
      </c>
      <c r="G601" t="b">
        <v>0</v>
      </c>
      <c r="H601">
        <f>Sensitivity!H25</f>
        <v/>
      </c>
    </row>
    <row r="602">
      <c r="A602" t="inlineStr">
        <is>
          <t>neck</t>
        </is>
      </c>
      <c r="B602" t="inlineStr">
        <is>
          <t>epic</t>
        </is>
      </c>
      <c r="C602" t="n">
        <v>1</v>
      </c>
      <c r="D602" t="inlineStr">
        <is>
          <t>All Skill Level</t>
        </is>
      </c>
      <c r="E602" t="n">
        <v>5</v>
      </c>
      <c r="F602" t="n">
        <v>1</v>
      </c>
      <c r="G602" t="b">
        <v>1</v>
      </c>
      <c r="H602">
        <f>Sensitivity!H25</f>
        <v/>
      </c>
    </row>
    <row r="603">
      <c r="A603" t="inlineStr">
        <is>
          <t>neck</t>
        </is>
      </c>
      <c r="B603" t="inlineStr">
        <is>
          <t>epic</t>
        </is>
      </c>
      <c r="C603" t="n">
        <v>2</v>
      </c>
      <c r="D603" t="inlineStr">
        <is>
          <t>All Skill Level</t>
        </is>
      </c>
      <c r="E603" t="n">
        <v>5</v>
      </c>
      <c r="F603" t="n">
        <v>0.24</v>
      </c>
      <c r="G603" t="b">
        <v>1</v>
      </c>
      <c r="H603">
        <f>Sensitivity!H25</f>
        <v/>
      </c>
    </row>
    <row r="604">
      <c r="A604" t="inlineStr">
        <is>
          <t>neck</t>
        </is>
      </c>
      <c r="B604" t="inlineStr">
        <is>
          <t>epic</t>
        </is>
      </c>
      <c r="C604" t="n">
        <v>3</v>
      </c>
      <c r="D604" t="inlineStr">
        <is>
          <t>All Skill Level</t>
        </is>
      </c>
      <c r="E604" t="n">
        <v>5</v>
      </c>
      <c r="F604" t="n">
        <v>0.08</v>
      </c>
      <c r="G604" t="b">
        <v>1</v>
      </c>
      <c r="H604">
        <f>Sensitivity!H25</f>
        <v/>
      </c>
    </row>
    <row r="605">
      <c r="A605" t="inlineStr">
        <is>
          <t>neck</t>
        </is>
      </c>
      <c r="B605" t="inlineStr">
        <is>
          <t>unique</t>
        </is>
      </c>
      <c r="C605" t="n">
        <v>1</v>
      </c>
      <c r="D605" t="inlineStr">
        <is>
          <t>All Skill Level</t>
        </is>
      </c>
      <c r="E605" t="n">
        <v>8</v>
      </c>
      <c r="F605" t="n">
        <v>1</v>
      </c>
      <c r="G605" t="b">
        <v>1</v>
      </c>
      <c r="H605">
        <f>Sensitivity!H25</f>
        <v/>
      </c>
    </row>
    <row r="606">
      <c r="A606" t="inlineStr">
        <is>
          <t>neck</t>
        </is>
      </c>
      <c r="B606" t="inlineStr">
        <is>
          <t>unique</t>
        </is>
      </c>
      <c r="C606" t="n">
        <v>2</v>
      </c>
      <c r="D606" t="inlineStr">
        <is>
          <t>All Skill Level</t>
        </is>
      </c>
      <c r="E606" t="n">
        <v>8</v>
      </c>
      <c r="F606" t="n">
        <v>0.24</v>
      </c>
      <c r="G606" t="b">
        <v>1</v>
      </c>
      <c r="H606">
        <f>Sensitivity!H25</f>
        <v/>
      </c>
    </row>
    <row r="607">
      <c r="A607" t="inlineStr">
        <is>
          <t>neck</t>
        </is>
      </c>
      <c r="B607" t="inlineStr">
        <is>
          <t>unique</t>
        </is>
      </c>
      <c r="C607" t="n">
        <v>2</v>
      </c>
      <c r="D607" t="inlineStr">
        <is>
          <t>All Skill Level</t>
        </is>
      </c>
      <c r="E607" t="n">
        <v>5</v>
      </c>
      <c r="F607" t="n">
        <v>0.76</v>
      </c>
      <c r="G607" t="b">
        <v>0</v>
      </c>
      <c r="H607">
        <f>Sensitivity!H25</f>
        <v/>
      </c>
    </row>
    <row r="608">
      <c r="A608" t="inlineStr">
        <is>
          <t>neck</t>
        </is>
      </c>
      <c r="B608" t="inlineStr">
        <is>
          <t>unique</t>
        </is>
      </c>
      <c r="C608" t="n">
        <v>3</v>
      </c>
      <c r="D608" t="inlineStr">
        <is>
          <t>All Skill Level</t>
        </is>
      </c>
      <c r="E608" t="n">
        <v>8</v>
      </c>
      <c r="F608" t="n">
        <v>0.08</v>
      </c>
      <c r="G608" t="b">
        <v>1</v>
      </c>
      <c r="H608">
        <f>Sensitivity!H25</f>
        <v/>
      </c>
    </row>
    <row r="609">
      <c r="A609" t="inlineStr">
        <is>
          <t>neck</t>
        </is>
      </c>
      <c r="B609" t="inlineStr">
        <is>
          <t>unique</t>
        </is>
      </c>
      <c r="C609" t="n">
        <v>3</v>
      </c>
      <c r="D609" t="inlineStr">
        <is>
          <t>All Skill Level</t>
        </is>
      </c>
      <c r="E609" t="n">
        <v>5</v>
      </c>
      <c r="F609" t="n">
        <v>0.92</v>
      </c>
      <c r="G609" t="b">
        <v>0</v>
      </c>
      <c r="H609">
        <f>Sensitivity!H25</f>
        <v/>
      </c>
    </row>
    <row r="610">
      <c r="A610" t="inlineStr">
        <is>
          <t>neck</t>
        </is>
      </c>
      <c r="B610" t="inlineStr">
        <is>
          <t>legendary</t>
        </is>
      </c>
      <c r="C610" t="n">
        <v>1</v>
      </c>
      <c r="D610" t="inlineStr">
        <is>
          <t>All Skill Level</t>
        </is>
      </c>
      <c r="E610" t="n">
        <v>12</v>
      </c>
      <c r="F610" t="n">
        <v>1</v>
      </c>
      <c r="G610" t="b">
        <v>1</v>
      </c>
      <c r="H610">
        <f>Sensitivity!H25</f>
        <v/>
      </c>
    </row>
    <row r="611">
      <c r="A611" t="inlineStr">
        <is>
          <t>neck</t>
        </is>
      </c>
      <c r="B611" t="inlineStr">
        <is>
          <t>legendary</t>
        </is>
      </c>
      <c r="C611" t="n">
        <v>2</v>
      </c>
      <c r="D611" t="inlineStr">
        <is>
          <t>All Skill Level</t>
        </is>
      </c>
      <c r="E611" t="n">
        <v>12</v>
      </c>
      <c r="F611" t="n">
        <v>0.24</v>
      </c>
      <c r="G611" t="b">
        <v>1</v>
      </c>
      <c r="H611">
        <f>Sensitivity!H25</f>
        <v/>
      </c>
    </row>
    <row r="612">
      <c r="A612" t="inlineStr">
        <is>
          <t>neck</t>
        </is>
      </c>
      <c r="B612" t="inlineStr">
        <is>
          <t>legendary</t>
        </is>
      </c>
      <c r="C612" t="n">
        <v>2</v>
      </c>
      <c r="D612" t="inlineStr">
        <is>
          <t>All Skill Level</t>
        </is>
      </c>
      <c r="E612" t="n">
        <v>8</v>
      </c>
      <c r="F612" t="n">
        <v>0.76</v>
      </c>
      <c r="G612" t="b">
        <v>0</v>
      </c>
      <c r="H612">
        <f>Sensitivity!H25</f>
        <v/>
      </c>
    </row>
    <row r="613">
      <c r="A613" t="inlineStr">
        <is>
          <t>neck</t>
        </is>
      </c>
      <c r="B613" t="inlineStr">
        <is>
          <t>legendary</t>
        </is>
      </c>
      <c r="C613" t="n">
        <v>3</v>
      </c>
      <c r="D613" t="inlineStr">
        <is>
          <t>All Skill Level</t>
        </is>
      </c>
      <c r="E613" t="n">
        <v>12</v>
      </c>
      <c r="F613" t="n">
        <v>0.08</v>
      </c>
      <c r="G613" t="b">
        <v>1</v>
      </c>
      <c r="H613">
        <f>Sensitivity!H25</f>
        <v/>
      </c>
    </row>
    <row r="614">
      <c r="A614" t="inlineStr">
        <is>
          <t>neck</t>
        </is>
      </c>
      <c r="B614" t="inlineStr">
        <is>
          <t>legendary</t>
        </is>
      </c>
      <c r="C614" t="n">
        <v>3</v>
      </c>
      <c r="D614" t="inlineStr">
        <is>
          <t>All Skill Level</t>
        </is>
      </c>
      <c r="E614" t="n">
        <v>8</v>
      </c>
      <c r="F614" t="n">
        <v>0.92</v>
      </c>
      <c r="G614" t="b">
        <v>0</v>
      </c>
      <c r="H614">
        <f>Sensitivity!H25</f>
        <v/>
      </c>
    </row>
    <row r="615">
      <c r="A615" t="inlineStr">
        <is>
          <t>neck</t>
        </is>
      </c>
      <c r="B615" t="inlineStr">
        <is>
          <t>mystic</t>
        </is>
      </c>
      <c r="C615" t="n">
        <v>1</v>
      </c>
      <c r="D615" t="inlineStr">
        <is>
          <t>All Skill Level</t>
        </is>
      </c>
      <c r="E615" t="n">
        <v>16</v>
      </c>
      <c r="F615" t="n">
        <v>1</v>
      </c>
      <c r="G615" t="b">
        <v>1</v>
      </c>
      <c r="H615">
        <f>Sensitivity!H25</f>
        <v/>
      </c>
    </row>
    <row r="616">
      <c r="A616" t="inlineStr">
        <is>
          <t>neck</t>
        </is>
      </c>
      <c r="B616" t="inlineStr">
        <is>
          <t>mystic</t>
        </is>
      </c>
      <c r="C616" t="n">
        <v>2</v>
      </c>
      <c r="D616" t="inlineStr">
        <is>
          <t>All Skill Level</t>
        </is>
      </c>
      <c r="E616" t="n">
        <v>16</v>
      </c>
      <c r="F616" t="n">
        <v>0.24</v>
      </c>
      <c r="G616" t="b">
        <v>1</v>
      </c>
      <c r="H616">
        <f>Sensitivity!H25</f>
        <v/>
      </c>
    </row>
    <row r="617">
      <c r="A617" t="inlineStr">
        <is>
          <t>neck</t>
        </is>
      </c>
      <c r="B617" t="inlineStr">
        <is>
          <t>mystic</t>
        </is>
      </c>
      <c r="C617" t="n">
        <v>2</v>
      </c>
      <c r="D617" t="inlineStr">
        <is>
          <t>All Skill Level</t>
        </is>
      </c>
      <c r="E617" t="n">
        <v>12</v>
      </c>
      <c r="F617" t="n">
        <v>0.76</v>
      </c>
      <c r="G617" t="b">
        <v>0</v>
      </c>
      <c r="H617">
        <f>Sensitivity!H25</f>
        <v/>
      </c>
    </row>
    <row r="618">
      <c r="A618" t="inlineStr">
        <is>
          <t>neck</t>
        </is>
      </c>
      <c r="B618" t="inlineStr">
        <is>
          <t>mystic</t>
        </is>
      </c>
      <c r="C618" t="n">
        <v>3</v>
      </c>
      <c r="D618" t="inlineStr">
        <is>
          <t>All Skill Level</t>
        </is>
      </c>
      <c r="E618" t="n">
        <v>16</v>
      </c>
      <c r="F618" t="n">
        <v>0.08</v>
      </c>
      <c r="G618" t="b">
        <v>1</v>
      </c>
      <c r="H618">
        <f>Sensitivity!H25</f>
        <v/>
      </c>
    </row>
    <row r="619">
      <c r="A619" t="inlineStr">
        <is>
          <t>neck</t>
        </is>
      </c>
      <c r="B619" t="inlineStr">
        <is>
          <t>mystic</t>
        </is>
      </c>
      <c r="C619" t="n">
        <v>3</v>
      </c>
      <c r="D619" t="inlineStr">
        <is>
          <t>All Skill Level</t>
        </is>
      </c>
      <c r="E619" t="n">
        <v>12</v>
      </c>
      <c r="F619" t="n">
        <v>0.92</v>
      </c>
      <c r="G619" t="b">
        <v>0</v>
      </c>
      <c r="H619">
        <f>Sensitivity!H25</f>
        <v/>
      </c>
    </row>
    <row r="620">
      <c r="A620" t="inlineStr">
        <is>
          <t>eye-accessory</t>
        </is>
      </c>
      <c r="B620" t="inlineStr">
        <is>
          <t>epic</t>
        </is>
      </c>
      <c r="C620" t="n">
        <v>1</v>
      </c>
      <c r="D620" t="inlineStr">
        <is>
          <t>Main Stat Per Level</t>
        </is>
      </c>
      <c r="E620" t="n">
        <v>10</v>
      </c>
      <c r="F620" t="n">
        <v>1</v>
      </c>
      <c r="G620" t="b">
        <v>1</v>
      </c>
      <c r="H620">
        <f>Sensitivity!H5*Inputs!$B$3</f>
        <v/>
      </c>
    </row>
    <row r="621">
      <c r="A621" t="inlineStr">
        <is>
          <t>eye-accessory</t>
        </is>
      </c>
      <c r="B621" t="inlineStr">
        <is>
          <t>epic</t>
        </is>
      </c>
      <c r="C621" t="n">
        <v>2</v>
      </c>
      <c r="D621" t="inlineStr">
        <is>
          <t>Main Stat Per Level</t>
        </is>
      </c>
      <c r="E621" t="n">
        <v>10</v>
      </c>
      <c r="F621" t="n">
        <v>0.24</v>
      </c>
      <c r="G621" t="b">
        <v>1</v>
      </c>
      <c r="H621">
        <f>Sensitivity!H5*Inputs!$B$3</f>
        <v/>
      </c>
    </row>
    <row r="622">
      <c r="A622" t="inlineStr">
        <is>
          <t>eye-accessory</t>
        </is>
      </c>
      <c r="B622" t="inlineStr">
        <is>
          <t>epic</t>
        </is>
      </c>
      <c r="C622" t="n">
        <v>3</v>
      </c>
      <c r="D622" t="inlineStr">
        <is>
          <t>Main Stat Per Level</t>
        </is>
      </c>
      <c r="E622" t="n">
        <v>10</v>
      </c>
      <c r="F622" t="n">
        <v>0.08</v>
      </c>
      <c r="G622" t="b">
        <v>1</v>
      </c>
      <c r="H622">
        <f>Sensitivity!H5*Inputs!$B$3</f>
        <v/>
      </c>
    </row>
    <row r="623">
      <c r="A623" t="inlineStr">
        <is>
          <t>eye-accessory</t>
        </is>
      </c>
      <c r="B623" t="inlineStr">
        <is>
          <t>unique</t>
        </is>
      </c>
      <c r="C623" t="n">
        <v>1</v>
      </c>
      <c r="D623" t="inlineStr">
        <is>
          <t>Main Stat Per Level</t>
        </is>
      </c>
      <c r="E623" t="n">
        <v>20</v>
      </c>
      <c r="F623" t="n">
        <v>1</v>
      </c>
      <c r="G623" t="b">
        <v>1</v>
      </c>
      <c r="H623">
        <f>Sensitivity!H5*Inputs!$B$3</f>
        <v/>
      </c>
    </row>
    <row r="624">
      <c r="A624" t="inlineStr">
        <is>
          <t>eye-accessory</t>
        </is>
      </c>
      <c r="B624" t="inlineStr">
        <is>
          <t>unique</t>
        </is>
      </c>
      <c r="C624" t="n">
        <v>2</v>
      </c>
      <c r="D624" t="inlineStr">
        <is>
          <t>Main Stat Per Level</t>
        </is>
      </c>
      <c r="E624" t="n">
        <v>20</v>
      </c>
      <c r="F624" t="n">
        <v>0.24</v>
      </c>
      <c r="G624" t="b">
        <v>1</v>
      </c>
      <c r="H624">
        <f>Sensitivity!H5*Inputs!$B$3</f>
        <v/>
      </c>
    </row>
    <row r="625">
      <c r="A625" t="inlineStr">
        <is>
          <t>eye-accessory</t>
        </is>
      </c>
      <c r="B625" t="inlineStr">
        <is>
          <t>unique</t>
        </is>
      </c>
      <c r="C625" t="n">
        <v>2</v>
      </c>
      <c r="D625" t="inlineStr">
        <is>
          <t>Main Stat Per Level</t>
        </is>
      </c>
      <c r="E625" t="n">
        <v>10</v>
      </c>
      <c r="F625" t="n">
        <v>0.76</v>
      </c>
      <c r="G625" t="b">
        <v>0</v>
      </c>
      <c r="H625">
        <f>Sensitivity!H5*Inputs!$B$3</f>
        <v/>
      </c>
    </row>
    <row r="626">
      <c r="A626" t="inlineStr">
        <is>
          <t>eye-accessory</t>
        </is>
      </c>
      <c r="B626" t="inlineStr">
        <is>
          <t>unique</t>
        </is>
      </c>
      <c r="C626" t="n">
        <v>3</v>
      </c>
      <c r="D626" t="inlineStr">
        <is>
          <t>Main Stat Per Level</t>
        </is>
      </c>
      <c r="E626" t="n">
        <v>20</v>
      </c>
      <c r="F626" t="n">
        <v>0.08</v>
      </c>
      <c r="G626" t="b">
        <v>1</v>
      </c>
      <c r="H626">
        <f>Sensitivity!H5*Inputs!$B$3</f>
        <v/>
      </c>
    </row>
    <row r="627">
      <c r="A627" t="inlineStr">
        <is>
          <t>eye-accessory</t>
        </is>
      </c>
      <c r="B627" t="inlineStr">
        <is>
          <t>unique</t>
        </is>
      </c>
      <c r="C627" t="n">
        <v>3</v>
      </c>
      <c r="D627" t="inlineStr">
        <is>
          <t>Main Stat Per Level</t>
        </is>
      </c>
      <c r="E627" t="n">
        <v>10</v>
      </c>
      <c r="F627" t="n">
        <v>0.92</v>
      </c>
      <c r="G627" t="b">
        <v>0</v>
      </c>
      <c r="H627">
        <f>Sensitivity!H5*Inputs!$B$3</f>
        <v/>
      </c>
    </row>
    <row r="628">
      <c r="A628" t="inlineStr">
        <is>
          <t>eye-accessory</t>
        </is>
      </c>
      <c r="B628" t="inlineStr">
        <is>
          <t>legendary</t>
        </is>
      </c>
      <c r="C628" t="n">
        <v>1</v>
      </c>
      <c r="D628" t="inlineStr">
        <is>
          <t>Main Stat Per Level</t>
        </is>
      </c>
      <c r="E628" t="n">
        <v>35</v>
      </c>
      <c r="F628" t="n">
        <v>1</v>
      </c>
      <c r="G628" t="b">
        <v>1</v>
      </c>
      <c r="H628">
        <f>Sensitivity!H5*Inputs!$B$3</f>
        <v/>
      </c>
    </row>
    <row r="629">
      <c r="A629" t="inlineStr">
        <is>
          <t>eye-accessory</t>
        </is>
      </c>
      <c r="B629" t="inlineStr">
        <is>
          <t>legendary</t>
        </is>
      </c>
      <c r="C629" t="n">
        <v>2</v>
      </c>
      <c r="D629" t="inlineStr">
        <is>
          <t>Main Stat Per Level</t>
        </is>
      </c>
      <c r="E629" t="n">
        <v>35</v>
      </c>
      <c r="F629" t="n">
        <v>0.24</v>
      </c>
      <c r="G629" t="b">
        <v>1</v>
      </c>
      <c r="H629">
        <f>Sensitivity!H5*Inputs!$B$3</f>
        <v/>
      </c>
    </row>
    <row r="630">
      <c r="A630" t="inlineStr">
        <is>
          <t>eye-accessory</t>
        </is>
      </c>
      <c r="B630" t="inlineStr">
        <is>
          <t>legendary</t>
        </is>
      </c>
      <c r="C630" t="n">
        <v>2</v>
      </c>
      <c r="D630" t="inlineStr">
        <is>
          <t>Main Stat Per Level</t>
        </is>
      </c>
      <c r="E630" t="n">
        <v>20</v>
      </c>
      <c r="F630" t="n">
        <v>0.76</v>
      </c>
      <c r="G630" t="b">
        <v>0</v>
      </c>
      <c r="H630">
        <f>Sensitivity!H5*Inputs!$B$3</f>
        <v/>
      </c>
    </row>
    <row r="631">
      <c r="A631" t="inlineStr">
        <is>
          <t>eye-accessory</t>
        </is>
      </c>
      <c r="B631" t="inlineStr">
        <is>
          <t>legendary</t>
        </is>
      </c>
      <c r="C631" t="n">
        <v>3</v>
      </c>
      <c r="D631" t="inlineStr">
        <is>
          <t>Main Stat Per Level</t>
        </is>
      </c>
      <c r="E631" t="n">
        <v>35</v>
      </c>
      <c r="F631" t="n">
        <v>0.08</v>
      </c>
      <c r="G631" t="b">
        <v>1</v>
      </c>
      <c r="H631">
        <f>Sensitivity!H5*Inputs!$B$3</f>
        <v/>
      </c>
    </row>
    <row r="632">
      <c r="A632" t="inlineStr">
        <is>
          <t>eye-accessory</t>
        </is>
      </c>
      <c r="B632" t="inlineStr">
        <is>
          <t>legendary</t>
        </is>
      </c>
      <c r="C632" t="n">
        <v>3</v>
      </c>
      <c r="D632" t="inlineStr">
        <is>
          <t>Main Stat Per Level</t>
        </is>
      </c>
      <c r="E632" t="n">
        <v>20</v>
      </c>
      <c r="F632" t="n">
        <v>0.92</v>
      </c>
      <c r="G632" t="b">
        <v>0</v>
      </c>
      <c r="H632">
        <f>Sensitivity!H5*Inputs!$B$3</f>
        <v/>
      </c>
    </row>
    <row r="633">
      <c r="A633" t="inlineStr">
        <is>
          <t>eye-accessory</t>
        </is>
      </c>
      <c r="B633" t="inlineStr">
        <is>
          <t>mystic</t>
        </is>
      </c>
      <c r="C633" t="n">
        <v>1</v>
      </c>
      <c r="D633" t="inlineStr">
        <is>
          <t>Main Stat Per Level</t>
        </is>
      </c>
      <c r="E633" t="n">
        <v>50</v>
      </c>
      <c r="F633" t="n">
        <v>1</v>
      </c>
      <c r="G633" t="b">
        <v>1</v>
      </c>
      <c r="H633">
        <f>Sensitivity!H5*Inputs!$B$3</f>
        <v/>
      </c>
    </row>
    <row r="634">
      <c r="A634" t="inlineStr">
        <is>
          <t>eye-accessory</t>
        </is>
      </c>
      <c r="B634" t="inlineStr">
        <is>
          <t>mystic</t>
        </is>
      </c>
      <c r="C634" t="n">
        <v>2</v>
      </c>
      <c r="D634" t="inlineStr">
        <is>
          <t>Main Stat Per Level</t>
        </is>
      </c>
      <c r="E634" t="n">
        <v>50</v>
      </c>
      <c r="F634" t="n">
        <v>0.24</v>
      </c>
      <c r="G634" t="b">
        <v>1</v>
      </c>
      <c r="H634">
        <f>Sensitivity!H5*Inputs!$B$3</f>
        <v/>
      </c>
    </row>
    <row r="635">
      <c r="A635" t="inlineStr">
        <is>
          <t>eye-accessory</t>
        </is>
      </c>
      <c r="B635" t="inlineStr">
        <is>
          <t>mystic</t>
        </is>
      </c>
      <c r="C635" t="n">
        <v>2</v>
      </c>
      <c r="D635" t="inlineStr">
        <is>
          <t>Main Stat Per Level</t>
        </is>
      </c>
      <c r="E635" t="n">
        <v>35</v>
      </c>
      <c r="F635" t="n">
        <v>0.76</v>
      </c>
      <c r="G635" t="b">
        <v>0</v>
      </c>
      <c r="H635">
        <f>Sensitivity!H5*Inputs!$B$3</f>
        <v/>
      </c>
    </row>
    <row r="636">
      <c r="A636" t="inlineStr">
        <is>
          <t>eye-accessory</t>
        </is>
      </c>
      <c r="B636" t="inlineStr">
        <is>
          <t>mystic</t>
        </is>
      </c>
      <c r="C636" t="n">
        <v>3</v>
      </c>
      <c r="D636" t="inlineStr">
        <is>
          <t>Main Stat Per Level</t>
        </is>
      </c>
      <c r="E636" t="n">
        <v>50</v>
      </c>
      <c r="F636" t="n">
        <v>0.08</v>
      </c>
      <c r="G636" t="b">
        <v>1</v>
      </c>
      <c r="H636">
        <f>Sensitivity!H5*Inputs!$B$3</f>
        <v/>
      </c>
    </row>
    <row r="637">
      <c r="A637" t="inlineStr">
        <is>
          <t>eye-accessory</t>
        </is>
      </c>
      <c r="B637" t="inlineStr">
        <is>
          <t>mystic</t>
        </is>
      </c>
      <c r="C637" t="n">
        <v>3</v>
      </c>
      <c r="D637" t="inlineStr">
        <is>
          <t>Main Stat Per Level</t>
        </is>
      </c>
      <c r="E637" t="n">
        <v>35</v>
      </c>
      <c r="F637" t="n">
        <v>0.92</v>
      </c>
      <c r="G637" t="b">
        <v>0</v>
      </c>
      <c r="H637">
        <f>Sensitivity!H5*Inputs!$B$3</f>
        <v/>
      </c>
    </row>
    <row r="638">
      <c r="A638" t="inlineStr">
        <is>
          <t>ring2</t>
        </is>
      </c>
      <c r="B638" t="inlineStr">
        <is>
          <t>epic</t>
        </is>
      </c>
      <c r="C638" t="n">
        <v>1</v>
      </c>
      <c r="D638" t="inlineStr">
        <is>
          <t>Basic Attack Damage %</t>
        </is>
      </c>
      <c r="E638" t="n">
        <v>8</v>
      </c>
      <c r="F638" t="n">
        <v>1</v>
      </c>
      <c r="G638" t="b">
        <v>1</v>
      </c>
      <c r="H638">
        <f>Sensitivity!H19</f>
        <v/>
      </c>
    </row>
    <row r="639">
      <c r="A639" t="inlineStr">
        <is>
          <t>ring2</t>
        </is>
      </c>
      <c r="B639" t="inlineStr">
        <is>
          <t>epic</t>
        </is>
      </c>
      <c r="C639" t="n">
        <v>2</v>
      </c>
      <c r="D639" t="inlineStr">
        <is>
          <t>Basic Attack Damage %</t>
        </is>
      </c>
      <c r="E639" t="n">
        <v>8</v>
      </c>
      <c r="F639" t="n">
        <v>0.24</v>
      </c>
      <c r="G639" t="b">
        <v>1</v>
      </c>
      <c r="H639">
        <f>Sensitivity!H19</f>
        <v/>
      </c>
    </row>
    <row r="640">
      <c r="A640" t="inlineStr">
        <is>
          <t>ring2</t>
        </is>
      </c>
      <c r="B640" t="inlineStr">
        <is>
          <t>epic</t>
        </is>
      </c>
      <c r="C640" t="n">
        <v>3</v>
      </c>
      <c r="D640" t="inlineStr">
        <is>
          <t>Basic Attack Damage %</t>
        </is>
      </c>
      <c r="E640" t="n">
        <v>8</v>
      </c>
      <c r="F640" t="n">
        <v>0.08</v>
      </c>
      <c r="G640" t="b">
        <v>1</v>
      </c>
      <c r="H640">
        <f>Sensitivity!H19</f>
        <v/>
      </c>
    </row>
    <row r="641">
      <c r="A641" t="inlineStr">
        <is>
          <t>ring2</t>
        </is>
      </c>
      <c r="B641" t="inlineStr">
        <is>
          <t>unique</t>
        </is>
      </c>
      <c r="C641" t="n">
        <v>1</v>
      </c>
      <c r="D641" t="inlineStr">
        <is>
          <t>Basic Attack Damage %</t>
        </is>
      </c>
      <c r="E641" t="n">
        <v>14</v>
      </c>
      <c r="F641" t="n">
        <v>1</v>
      </c>
      <c r="G641" t="b">
        <v>1</v>
      </c>
      <c r="H641">
        <f>Sensitivity!H19</f>
        <v/>
      </c>
    </row>
    <row r="642">
      <c r="A642" t="inlineStr">
        <is>
          <t>ring2</t>
        </is>
      </c>
      <c r="B642" t="inlineStr">
        <is>
          <t>unique</t>
        </is>
      </c>
      <c r="C642" t="n">
        <v>2</v>
      </c>
      <c r="D642" t="inlineStr">
        <is>
          <t>Basic Attack Damage %</t>
        </is>
      </c>
      <c r="E642" t="n">
        <v>14</v>
      </c>
      <c r="F642" t="n">
        <v>0.24</v>
      </c>
      <c r="G642" t="b">
        <v>1</v>
      </c>
      <c r="H642">
        <f>Sensitivity!H19</f>
        <v/>
      </c>
    </row>
    <row r="643">
      <c r="A643" t="inlineStr">
        <is>
          <t>ring2</t>
        </is>
      </c>
      <c r="B643" t="inlineStr">
        <is>
          <t>unique</t>
        </is>
      </c>
      <c r="C643" t="n">
        <v>2</v>
      </c>
      <c r="D643" t="inlineStr">
        <is>
          <t>Basic Attack Damage %</t>
        </is>
      </c>
      <c r="E643" t="n">
        <v>8</v>
      </c>
      <c r="F643" t="n">
        <v>0.76</v>
      </c>
      <c r="G643" t="b">
        <v>0</v>
      </c>
      <c r="H643">
        <f>Sensitivity!H19</f>
        <v/>
      </c>
    </row>
    <row r="644">
      <c r="A644" t="inlineStr">
        <is>
          <t>ring2</t>
        </is>
      </c>
      <c r="B644" t="inlineStr">
        <is>
          <t>unique</t>
        </is>
      </c>
      <c r="C644" t="n">
        <v>3</v>
      </c>
      <c r="D644" t="inlineStr">
        <is>
          <t>Basic Attack Damage %</t>
        </is>
      </c>
      <c r="E644" t="n">
        <v>14</v>
      </c>
      <c r="F644" t="n">
        <v>0.08</v>
      </c>
      <c r="G644" t="b">
        <v>1</v>
      </c>
      <c r="H644">
        <f>Sensitivity!H19</f>
        <v/>
      </c>
    </row>
    <row r="645">
      <c r="A645" t="inlineStr">
        <is>
          <t>ring2</t>
        </is>
      </c>
      <c r="B645" t="inlineStr">
        <is>
          <t>unique</t>
        </is>
      </c>
      <c r="C645" t="n">
        <v>3</v>
      </c>
      <c r="D645" t="inlineStr">
        <is>
          <t>Basic Attack Damage %</t>
        </is>
      </c>
      <c r="E645" t="n">
        <v>8</v>
      </c>
      <c r="F645" t="n">
        <v>0.92</v>
      </c>
      <c r="G645" t="b">
        <v>0</v>
      </c>
      <c r="H645">
        <f>Sensitivity!H19</f>
        <v/>
      </c>
    </row>
    <row r="646">
      <c r="A646" t="inlineStr">
        <is>
          <t>ring2</t>
        </is>
      </c>
      <c r="B646" t="inlineStr">
        <is>
          <t>legendary</t>
        </is>
      </c>
      <c r="C646" t="n">
        <v>1</v>
      </c>
      <c r="D646" t="inlineStr">
        <is>
          <t>Basic Attack Damage %</t>
        </is>
      </c>
      <c r="E646" t="n">
        <v>21</v>
      </c>
      <c r="F646" t="n">
        <v>1</v>
      </c>
      <c r="G646" t="b">
        <v>1</v>
      </c>
      <c r="H646">
        <f>Sensitivity!H19</f>
        <v/>
      </c>
    </row>
    <row r="647">
      <c r="A647" t="inlineStr">
        <is>
          <t>ring2</t>
        </is>
      </c>
      <c r="B647" t="inlineStr">
        <is>
          <t>legendary</t>
        </is>
      </c>
      <c r="C647" t="n">
        <v>2</v>
      </c>
      <c r="D647" t="inlineStr">
        <is>
          <t>Basic Attack Damage %</t>
        </is>
      </c>
      <c r="E647" t="n">
        <v>21</v>
      </c>
      <c r="F647" t="n">
        <v>0.24</v>
      </c>
      <c r="G647" t="b">
        <v>1</v>
      </c>
      <c r="H647">
        <f>Sensitivity!H19</f>
        <v/>
      </c>
    </row>
    <row r="648">
      <c r="A648" t="inlineStr">
        <is>
          <t>ring2</t>
        </is>
      </c>
      <c r="B648" t="inlineStr">
        <is>
          <t>legendary</t>
        </is>
      </c>
      <c r="C648" t="n">
        <v>2</v>
      </c>
      <c r="D648" t="inlineStr">
        <is>
          <t>Basic Attack Damage %</t>
        </is>
      </c>
      <c r="E648" t="n">
        <v>14</v>
      </c>
      <c r="F648" t="n">
        <v>0.76</v>
      </c>
      <c r="G648" t="b">
        <v>0</v>
      </c>
      <c r="H648">
        <f>Sensitivity!H19</f>
        <v/>
      </c>
    </row>
    <row r="649">
      <c r="A649" t="inlineStr">
        <is>
          <t>ring2</t>
        </is>
      </c>
      <c r="B649" t="inlineStr">
        <is>
          <t>legendary</t>
        </is>
      </c>
      <c r="C649" t="n">
        <v>3</v>
      </c>
      <c r="D649" t="inlineStr">
        <is>
          <t>Basic Attack Damage %</t>
        </is>
      </c>
      <c r="E649" t="n">
        <v>21</v>
      </c>
      <c r="F649" t="n">
        <v>0.08</v>
      </c>
      <c r="G649" t="b">
        <v>1</v>
      </c>
      <c r="H649">
        <f>Sensitivity!H19</f>
        <v/>
      </c>
    </row>
    <row r="650">
      <c r="A650" t="inlineStr">
        <is>
          <t>ring2</t>
        </is>
      </c>
      <c r="B650" t="inlineStr">
        <is>
          <t>legendary</t>
        </is>
      </c>
      <c r="C650" t="n">
        <v>3</v>
      </c>
      <c r="D650" t="inlineStr">
        <is>
          <t>Basic Attack Damage %</t>
        </is>
      </c>
      <c r="E650" t="n">
        <v>14</v>
      </c>
      <c r="F650" t="n">
        <v>0.92</v>
      </c>
      <c r="G650" t="b">
        <v>0</v>
      </c>
      <c r="H650">
        <f>Sensitivity!H19</f>
        <v/>
      </c>
    </row>
    <row r="651">
      <c r="A651" t="inlineStr">
        <is>
          <t>ring2</t>
        </is>
      </c>
      <c r="B651" t="inlineStr">
        <is>
          <t>mystic</t>
        </is>
      </c>
      <c r="C651" t="n">
        <v>1</v>
      </c>
      <c r="D651" t="inlineStr">
        <is>
          <t>Basic Attack Damage %</t>
        </is>
      </c>
      <c r="E651" t="n">
        <v>30</v>
      </c>
      <c r="F651" t="n">
        <v>1</v>
      </c>
      <c r="G651" t="b">
        <v>1</v>
      </c>
      <c r="H651">
        <f>Sensitivity!H19</f>
        <v/>
      </c>
    </row>
    <row r="652">
      <c r="A652" t="inlineStr">
        <is>
          <t>ring2</t>
        </is>
      </c>
      <c r="B652" t="inlineStr">
        <is>
          <t>mystic</t>
        </is>
      </c>
      <c r="C652" t="n">
        <v>2</v>
      </c>
      <c r="D652" t="inlineStr">
        <is>
          <t>Basic Attack Damage %</t>
        </is>
      </c>
      <c r="E652" t="n">
        <v>30</v>
      </c>
      <c r="F652" t="n">
        <v>0.24</v>
      </c>
      <c r="G652" t="b">
        <v>1</v>
      </c>
      <c r="H652">
        <f>Sensitivity!H19</f>
        <v/>
      </c>
    </row>
    <row r="653">
      <c r="A653" t="inlineStr">
        <is>
          <t>ring2</t>
        </is>
      </c>
      <c r="B653" t="inlineStr">
        <is>
          <t>mystic</t>
        </is>
      </c>
      <c r="C653" t="n">
        <v>2</v>
      </c>
      <c r="D653" t="inlineStr">
        <is>
          <t>Basic Attack Damage %</t>
        </is>
      </c>
      <c r="E653" t="n">
        <v>21</v>
      </c>
      <c r="F653" t="n">
        <v>0.76</v>
      </c>
      <c r="G653" t="b">
        <v>0</v>
      </c>
      <c r="H653">
        <f>Sensitivity!H19</f>
        <v/>
      </c>
    </row>
    <row r="654">
      <c r="A654" t="inlineStr">
        <is>
          <t>ring2</t>
        </is>
      </c>
      <c r="B654" t="inlineStr">
        <is>
          <t>mystic</t>
        </is>
      </c>
      <c r="C654" t="n">
        <v>3</v>
      </c>
      <c r="D654" t="inlineStr">
        <is>
          <t>Basic Attack Damage %</t>
        </is>
      </c>
      <c r="E654" t="n">
        <v>30</v>
      </c>
      <c r="F654" t="n">
        <v>0.08</v>
      </c>
      <c r="G654" t="b">
        <v>1</v>
      </c>
      <c r="H654">
        <f>Sensitivity!H19</f>
        <v/>
      </c>
    </row>
    <row r="655">
      <c r="A655" t="inlineStr">
        <is>
          <t>ring2</t>
        </is>
      </c>
      <c r="B655" t="inlineStr">
        <is>
          <t>mystic</t>
        </is>
      </c>
      <c r="C655" t="n">
        <v>3</v>
      </c>
      <c r="D655" t="inlineStr">
        <is>
          <t>Basic Attack Damage %</t>
        </is>
      </c>
      <c r="E655" t="n">
        <v>21</v>
      </c>
      <c r="F655" t="n">
        <v>0.92</v>
      </c>
      <c r="G655" t="b">
        <v>0</v>
      </c>
      <c r="H655">
        <f>Sensitivity!H19</f>
        <v/>
      </c>
    </row>
    <row r="656">
      <c r="A656" t="inlineStr">
        <is>
          <t>face</t>
        </is>
      </c>
      <c r="B656" t="inlineStr">
        <is>
          <t>epic</t>
        </is>
      </c>
      <c r="C656" t="n">
        <v>1</v>
      </c>
      <c r="D656" t="inlineStr">
        <is>
          <t>Final Damage %</t>
        </is>
      </c>
      <c r="E656" t="n">
        <v>3</v>
      </c>
      <c r="F656" t="n">
        <v>1</v>
      </c>
      <c r="G656" t="b">
        <v>1</v>
      </c>
      <c r="H656">
        <f>Sensitivity!H12</f>
        <v/>
      </c>
    </row>
    <row r="657">
      <c r="A657" t="inlineStr">
        <is>
          <t>face</t>
        </is>
      </c>
      <c r="B657" t="inlineStr">
        <is>
          <t>epic</t>
        </is>
      </c>
      <c r="C657" t="n">
        <v>2</v>
      </c>
      <c r="D657" t="inlineStr">
        <is>
          <t>Final Damage %</t>
        </is>
      </c>
      <c r="E657" t="n">
        <v>3</v>
      </c>
      <c r="F657" t="n">
        <v>0.24</v>
      </c>
      <c r="G657" t="b">
        <v>1</v>
      </c>
      <c r="H657">
        <f>Sensitivity!H12</f>
        <v/>
      </c>
    </row>
    <row r="658">
      <c r="A658" t="inlineStr">
        <is>
          <t>face</t>
        </is>
      </c>
      <c r="B658" t="inlineStr">
        <is>
          <t>epic</t>
        </is>
      </c>
      <c r="C658" t="n">
        <v>3</v>
      </c>
      <c r="D658" t="inlineStr">
        <is>
          <t>Final Damage %</t>
        </is>
      </c>
      <c r="E658" t="n">
        <v>3</v>
      </c>
      <c r="F658" t="n">
        <v>0.08</v>
      </c>
      <c r="G658" t="b">
        <v>1</v>
      </c>
      <c r="H658">
        <f>Sensitivity!H12</f>
        <v/>
      </c>
    </row>
    <row r="659">
      <c r="A659" t="inlineStr">
        <is>
          <t>face</t>
        </is>
      </c>
      <c r="B659" t="inlineStr">
        <is>
          <t>unique</t>
        </is>
      </c>
      <c r="C659" t="n">
        <v>1</v>
      </c>
      <c r="D659" t="inlineStr">
        <is>
          <t>Final Damage %</t>
        </is>
      </c>
      <c r="E659" t="n">
        <v>5</v>
      </c>
      <c r="F659" t="n">
        <v>1</v>
      </c>
      <c r="G659" t="b">
        <v>1</v>
      </c>
      <c r="H659">
        <f>Sensitivity!H12</f>
        <v/>
      </c>
    </row>
    <row r="660">
      <c r="A660" t="inlineStr">
        <is>
          <t>face</t>
        </is>
      </c>
      <c r="B660" t="inlineStr">
        <is>
          <t>unique</t>
        </is>
      </c>
      <c r="C660" t="n">
        <v>2</v>
      </c>
      <c r="D660" t="inlineStr">
        <is>
          <t>Final Damage %</t>
        </is>
      </c>
      <c r="E660" t="n">
        <v>5</v>
      </c>
      <c r="F660" t="n">
        <v>0.24</v>
      </c>
      <c r="G660" t="b">
        <v>1</v>
      </c>
      <c r="H660">
        <f>Sensitivity!H12</f>
        <v/>
      </c>
    </row>
    <row r="661">
      <c r="A661" t="inlineStr">
        <is>
          <t>face</t>
        </is>
      </c>
      <c r="B661" t="inlineStr">
        <is>
          <t>unique</t>
        </is>
      </c>
      <c r="C661" t="n">
        <v>2</v>
      </c>
      <c r="D661" t="inlineStr">
        <is>
          <t>Final Damage %</t>
        </is>
      </c>
      <c r="E661" t="n">
        <v>3</v>
      </c>
      <c r="F661" t="n">
        <v>0.76</v>
      </c>
      <c r="G661" t="b">
        <v>0</v>
      </c>
      <c r="H661">
        <f>Sensitivity!H12</f>
        <v/>
      </c>
    </row>
    <row r="662">
      <c r="A662" t="inlineStr">
        <is>
          <t>face</t>
        </is>
      </c>
      <c r="B662" t="inlineStr">
        <is>
          <t>unique</t>
        </is>
      </c>
      <c r="C662" t="n">
        <v>3</v>
      </c>
      <c r="D662" t="inlineStr">
        <is>
          <t>Final Damage %</t>
        </is>
      </c>
      <c r="E662" t="n">
        <v>5</v>
      </c>
      <c r="F662" t="n">
        <v>0.08</v>
      </c>
      <c r="G662" t="b">
        <v>1</v>
      </c>
      <c r="H662">
        <f>Sensitivity!H12</f>
        <v/>
      </c>
    </row>
    <row r="663">
      <c r="A663" t="inlineStr">
        <is>
          <t>face</t>
        </is>
      </c>
      <c r="B663" t="inlineStr">
        <is>
          <t>unique</t>
        </is>
      </c>
      <c r="C663" t="n">
        <v>3</v>
      </c>
      <c r="D663" t="inlineStr">
        <is>
          <t>Final Damage %</t>
        </is>
      </c>
      <c r="E663" t="n">
        <v>3</v>
      </c>
      <c r="F663" t="n">
        <v>0.92</v>
      </c>
      <c r="G663" t="b">
        <v>0</v>
      </c>
      <c r="H663">
        <f>Sensitivity!H12</f>
        <v/>
      </c>
    </row>
    <row r="664">
      <c r="A664" t="inlineStr">
        <is>
          <t>face</t>
        </is>
      </c>
      <c r="B664" t="inlineStr">
        <is>
          <t>legendary</t>
        </is>
      </c>
      <c r="C664" t="n">
        <v>1</v>
      </c>
      <c r="D664" t="inlineStr">
        <is>
          <t>Final Damage %</t>
        </is>
      </c>
      <c r="E664" t="n">
        <v>8</v>
      </c>
      <c r="F664" t="n">
        <v>1</v>
      </c>
      <c r="G664" t="b">
        <v>1</v>
      </c>
      <c r="H664">
        <f>Sensitivity!H12</f>
        <v/>
      </c>
    </row>
    <row r="665">
      <c r="A665" t="inlineStr">
        <is>
          <t>face</t>
        </is>
      </c>
      <c r="B665" t="inlineStr">
        <is>
          <t>legendary</t>
        </is>
      </c>
      <c r="C665" t="n">
        <v>2</v>
      </c>
      <c r="D665" t="inlineStr">
        <is>
          <t>Final Damage %</t>
        </is>
      </c>
      <c r="E665" t="n">
        <v>8</v>
      </c>
      <c r="F665" t="n">
        <v>0.24</v>
      </c>
      <c r="G665" t="b">
        <v>1</v>
      </c>
      <c r="H665">
        <f>Sensitivity!H12</f>
        <v/>
      </c>
    </row>
    <row r="666">
      <c r="A666" t="inlineStr">
        <is>
          <t>face</t>
        </is>
      </c>
      <c r="B666" t="inlineStr">
        <is>
          <t>legendary</t>
        </is>
      </c>
      <c r="C666" t="n">
        <v>2</v>
      </c>
      <c r="D666" t="inlineStr">
        <is>
          <t>Final Damage %</t>
        </is>
      </c>
      <c r="E666" t="n">
        <v>5</v>
      </c>
      <c r="F666" t="n">
        <v>0.76</v>
      </c>
      <c r="G666" t="b">
        <v>0</v>
      </c>
      <c r="H666">
        <f>Sensitivity!H12</f>
        <v/>
      </c>
    </row>
    <row r="667">
      <c r="A667" t="inlineStr">
        <is>
          <t>face</t>
        </is>
      </c>
      <c r="B667" t="inlineStr">
        <is>
          <t>legendary</t>
        </is>
      </c>
      <c r="C667" t="n">
        <v>3</v>
      </c>
      <c r="D667" t="inlineStr">
        <is>
          <t>Final Damage %</t>
        </is>
      </c>
      <c r="E667" t="n">
        <v>8</v>
      </c>
      <c r="F667" t="n">
        <v>0.08</v>
      </c>
      <c r="G667" t="b">
        <v>1</v>
      </c>
      <c r="H667">
        <f>Sensitivity!H12</f>
        <v/>
      </c>
    </row>
    <row r="668">
      <c r="A668" t="inlineStr">
        <is>
          <t>face</t>
        </is>
      </c>
      <c r="B668" t="inlineStr">
        <is>
          <t>legendary</t>
        </is>
      </c>
      <c r="C668" t="n">
        <v>3</v>
      </c>
      <c r="D668" t="inlineStr">
        <is>
          <t>Final Damage %</t>
        </is>
      </c>
      <c r="E668" t="n">
        <v>5</v>
      </c>
      <c r="F668" t="n">
        <v>0.92</v>
      </c>
      <c r="G668" t="b">
        <v>0</v>
      </c>
      <c r="H668">
        <f>Sensitivity!H12</f>
        <v/>
      </c>
    </row>
    <row r="669">
      <c r="A669" t="inlineStr">
        <is>
          <t>face</t>
        </is>
      </c>
      <c r="B669" t="inlineStr">
        <is>
          <t>mystic</t>
        </is>
      </c>
      <c r="C669" t="n">
        <v>1</v>
      </c>
      <c r="D669" t="inlineStr">
        <is>
          <t>Final Damage %</t>
        </is>
      </c>
      <c r="E669" t="n">
        <v>12</v>
      </c>
      <c r="F669" t="n">
        <v>1</v>
      </c>
      <c r="G669" t="b">
        <v>1</v>
      </c>
      <c r="H669">
        <f>Sensitivity!H12</f>
        <v/>
      </c>
    </row>
    <row r="670">
      <c r="A670" t="inlineStr">
        <is>
          <t>face</t>
        </is>
      </c>
      <c r="B670" t="inlineStr">
        <is>
          <t>mystic</t>
        </is>
      </c>
      <c r="C670" t="n">
        <v>2</v>
      </c>
      <c r="D670" t="inlineStr">
        <is>
          <t>Final Damage %</t>
        </is>
      </c>
      <c r="E670" t="n">
        <v>12</v>
      </c>
      <c r="F670" t="n">
        <v>0.24</v>
      </c>
      <c r="G670" t="b">
        <v>1</v>
      </c>
      <c r="H670">
        <f>Sensitivity!H12</f>
        <v/>
      </c>
    </row>
    <row r="671">
      <c r="A671" t="inlineStr">
        <is>
          <t>face</t>
        </is>
      </c>
      <c r="B671" t="inlineStr">
        <is>
          <t>mystic</t>
        </is>
      </c>
      <c r="C671" t="n">
        <v>2</v>
      </c>
      <c r="D671" t="inlineStr">
        <is>
          <t>Final Damage %</t>
        </is>
      </c>
      <c r="E671" t="n">
        <v>8</v>
      </c>
      <c r="F671" t="n">
        <v>0.76</v>
      </c>
      <c r="G671" t="b">
        <v>0</v>
      </c>
      <c r="H671">
        <f>Sensitivity!H12</f>
        <v/>
      </c>
    </row>
    <row r="672">
      <c r="A672" t="inlineStr">
        <is>
          <t>face</t>
        </is>
      </c>
      <c r="B672" t="inlineStr">
        <is>
          <t>mystic</t>
        </is>
      </c>
      <c r="C672" t="n">
        <v>3</v>
      </c>
      <c r="D672" t="inlineStr">
        <is>
          <t>Final Damage %</t>
        </is>
      </c>
      <c r="E672" t="n">
        <v>12</v>
      </c>
      <c r="F672" t="n">
        <v>0.08</v>
      </c>
      <c r="G672" t="b">
        <v>1</v>
      </c>
      <c r="H672">
        <f>Sensitivity!H12</f>
        <v/>
      </c>
    </row>
    <row r="673">
      <c r="A673" t="inlineStr">
        <is>
          <t>face</t>
        </is>
      </c>
      <c r="B673" t="inlineStr">
        <is>
          <t>mystic</t>
        </is>
      </c>
      <c r="C673" t="n">
        <v>3</v>
      </c>
      <c r="D673" t="inlineStr">
        <is>
          <t>Final Damage %</t>
        </is>
      </c>
      <c r="E673" t="n">
        <v>8</v>
      </c>
      <c r="F673" t="n">
        <v>0.92</v>
      </c>
      <c r="G673" t="b">
        <v>0</v>
      </c>
      <c r="H673">
        <f>Sensitivity!H12</f>
        <v/>
      </c>
    </row>
    <row r="674">
      <c r="A674" t="inlineStr">
        <is>
          <t>earrings</t>
        </is>
      </c>
      <c r="B674" t="inlineStr">
        <is>
          <t>epic</t>
        </is>
      </c>
      <c r="C674" t="n">
        <v>1</v>
      </c>
      <c r="D674" t="inlineStr">
        <is>
          <t>Skill Damage %</t>
        </is>
      </c>
      <c r="E674" t="n">
        <v>8</v>
      </c>
      <c r="F674" t="n">
        <v>1</v>
      </c>
      <c r="G674" t="b">
        <v>1</v>
      </c>
      <c r="H674">
        <f>Sensitivity!H20</f>
        <v/>
      </c>
    </row>
    <row r="675">
      <c r="A675" t="inlineStr">
        <is>
          <t>earrings</t>
        </is>
      </c>
      <c r="B675" t="inlineStr">
        <is>
          <t>epic</t>
        </is>
      </c>
      <c r="C675" t="n">
        <v>2</v>
      </c>
      <c r="D675" t="inlineStr">
        <is>
          <t>Skill Damage %</t>
        </is>
      </c>
      <c r="E675" t="n">
        <v>8</v>
      </c>
      <c r="F675" t="n">
        <v>0.24</v>
      </c>
      <c r="G675" t="b">
        <v>1</v>
      </c>
      <c r="H675">
        <f>Sensitivity!H20</f>
        <v/>
      </c>
    </row>
    <row r="676">
      <c r="A676" t="inlineStr">
        <is>
          <t>earrings</t>
        </is>
      </c>
      <c r="B676" t="inlineStr">
        <is>
          <t>epic</t>
        </is>
      </c>
      <c r="C676" t="n">
        <v>3</v>
      </c>
      <c r="D676" t="inlineStr">
        <is>
          <t>Skill Damage %</t>
        </is>
      </c>
      <c r="E676" t="n">
        <v>8</v>
      </c>
      <c r="F676" t="n">
        <v>0.08</v>
      </c>
      <c r="G676" t="b">
        <v>1</v>
      </c>
      <c r="H676">
        <f>Sensitivity!H20</f>
        <v/>
      </c>
    </row>
    <row r="677">
      <c r="A677" t="inlineStr">
        <is>
          <t>earrings</t>
        </is>
      </c>
      <c r="B677" t="inlineStr">
        <is>
          <t>unique</t>
        </is>
      </c>
      <c r="C677" t="n">
        <v>1</v>
      </c>
      <c r="D677" t="inlineStr">
        <is>
          <t>Skill Damage %</t>
        </is>
      </c>
      <c r="E677" t="n">
        <v>14</v>
      </c>
      <c r="F677" t="n">
        <v>1</v>
      </c>
      <c r="G677" t="b">
        <v>1</v>
      </c>
      <c r="H677">
        <f>Sensitivity!H20</f>
        <v/>
      </c>
    </row>
    <row r="678">
      <c r="A678" t="inlineStr">
        <is>
          <t>earrings</t>
        </is>
      </c>
      <c r="B678" t="inlineStr">
        <is>
          <t>unique</t>
        </is>
      </c>
      <c r="C678" t="n">
        <v>2</v>
      </c>
      <c r="D678" t="inlineStr">
        <is>
          <t>Skill Damage %</t>
        </is>
      </c>
      <c r="E678" t="n">
        <v>14</v>
      </c>
      <c r="F678" t="n">
        <v>0.24</v>
      </c>
      <c r="G678" t="b">
        <v>1</v>
      </c>
      <c r="H678">
        <f>Sensitivity!H20</f>
        <v/>
      </c>
    </row>
    <row r="679">
      <c r="A679" t="inlineStr">
        <is>
          <t>earrings</t>
        </is>
      </c>
      <c r="B679" t="inlineStr">
        <is>
          <t>unique</t>
        </is>
      </c>
      <c r="C679" t="n">
        <v>2</v>
      </c>
      <c r="D679" t="inlineStr">
        <is>
          <t>Skill Damage %</t>
        </is>
      </c>
      <c r="E679" t="n">
        <v>8</v>
      </c>
      <c r="F679" t="n">
        <v>0.76</v>
      </c>
      <c r="G679" t="b">
        <v>0</v>
      </c>
      <c r="H679">
        <f>Sensitivity!H20</f>
        <v/>
      </c>
    </row>
    <row r="680">
      <c r="A680" t="inlineStr">
        <is>
          <t>earrings</t>
        </is>
      </c>
      <c r="B680" t="inlineStr">
        <is>
          <t>unique</t>
        </is>
      </c>
      <c r="C680" t="n">
        <v>3</v>
      </c>
      <c r="D680" t="inlineStr">
        <is>
          <t>Skill Damage %</t>
        </is>
      </c>
      <c r="E680" t="n">
        <v>14</v>
      </c>
      <c r="F680" t="n">
        <v>0.08</v>
      </c>
      <c r="G680" t="b">
        <v>1</v>
      </c>
      <c r="H680">
        <f>Sensitivity!H20</f>
        <v/>
      </c>
    </row>
    <row r="681">
      <c r="A681" t="inlineStr">
        <is>
          <t>earrings</t>
        </is>
      </c>
      <c r="B681" t="inlineStr">
        <is>
          <t>unique</t>
        </is>
      </c>
      <c r="C681" t="n">
        <v>3</v>
      </c>
      <c r="D681" t="inlineStr">
        <is>
          <t>Skill Damage %</t>
        </is>
      </c>
      <c r="E681" t="n">
        <v>8</v>
      </c>
      <c r="F681" t="n">
        <v>0.92</v>
      </c>
      <c r="G681" t="b">
        <v>0</v>
      </c>
      <c r="H681">
        <f>Sensitivity!H20</f>
        <v/>
      </c>
    </row>
    <row r="682">
      <c r="A682" t="inlineStr">
        <is>
          <t>earrings</t>
        </is>
      </c>
      <c r="B682" t="inlineStr">
        <is>
          <t>legendary</t>
        </is>
      </c>
      <c r="C682" t="n">
        <v>1</v>
      </c>
      <c r="D682" t="inlineStr">
        <is>
          <t>Skill Damage %</t>
        </is>
      </c>
      <c r="E682" t="n">
        <v>21</v>
      </c>
      <c r="F682" t="n">
        <v>1</v>
      </c>
      <c r="G682" t="b">
        <v>1</v>
      </c>
      <c r="H682">
        <f>Sensitivity!H20</f>
        <v/>
      </c>
    </row>
    <row r="683">
      <c r="A683" t="inlineStr">
        <is>
          <t>earrings</t>
        </is>
      </c>
      <c r="B683" t="inlineStr">
        <is>
          <t>legendary</t>
        </is>
      </c>
      <c r="C683" t="n">
        <v>2</v>
      </c>
      <c r="D683" t="inlineStr">
        <is>
          <t>Skill Damage %</t>
        </is>
      </c>
      <c r="E683" t="n">
        <v>21</v>
      </c>
      <c r="F683" t="n">
        <v>0.24</v>
      </c>
      <c r="G683" t="b">
        <v>1</v>
      </c>
      <c r="H683">
        <f>Sensitivity!H20</f>
        <v/>
      </c>
    </row>
    <row r="684">
      <c r="A684" t="inlineStr">
        <is>
          <t>earrings</t>
        </is>
      </c>
      <c r="B684" t="inlineStr">
        <is>
          <t>legendary</t>
        </is>
      </c>
      <c r="C684" t="n">
        <v>2</v>
      </c>
      <c r="D684" t="inlineStr">
        <is>
          <t>Skill Damage %</t>
        </is>
      </c>
      <c r="E684" t="n">
        <v>14</v>
      </c>
      <c r="F684" t="n">
        <v>0.76</v>
      </c>
      <c r="G684" t="b">
        <v>0</v>
      </c>
      <c r="H684">
        <f>Sensitivity!H20</f>
        <v/>
      </c>
    </row>
    <row r="685">
      <c r="A685" t="inlineStr">
        <is>
          <t>earrings</t>
        </is>
      </c>
      <c r="B685" t="inlineStr">
        <is>
          <t>legendary</t>
        </is>
      </c>
      <c r="C685" t="n">
        <v>3</v>
      </c>
      <c r="D685" t="inlineStr">
        <is>
          <t>Skill Damage %</t>
        </is>
      </c>
      <c r="E685" t="n">
        <v>21</v>
      </c>
      <c r="F685" t="n">
        <v>0.08</v>
      </c>
      <c r="G685" t="b">
        <v>1</v>
      </c>
      <c r="H685">
        <f>Sensitivity!H20</f>
        <v/>
      </c>
    </row>
    <row r="686">
      <c r="A686" t="inlineStr">
        <is>
          <t>earrings</t>
        </is>
      </c>
      <c r="B686" t="inlineStr">
        <is>
          <t>legendary</t>
        </is>
      </c>
      <c r="C686" t="n">
        <v>3</v>
      </c>
      <c r="D686" t="inlineStr">
        <is>
          <t>Skill Damage %</t>
        </is>
      </c>
      <c r="E686" t="n">
        <v>14</v>
      </c>
      <c r="F686" t="n">
        <v>0.92</v>
      </c>
      <c r="G686" t="b">
        <v>0</v>
      </c>
      <c r="H686">
        <f>Sensitivity!H20</f>
        <v/>
      </c>
    </row>
    <row r="687">
      <c r="A687" t="inlineStr">
        <is>
          <t>earrings</t>
        </is>
      </c>
      <c r="B687" t="inlineStr">
        <is>
          <t>mystic</t>
        </is>
      </c>
      <c r="C687" t="n">
        <v>1</v>
      </c>
      <c r="D687" t="inlineStr">
        <is>
          <t>Skill Damage %</t>
        </is>
      </c>
      <c r="E687" t="n">
        <v>30</v>
      </c>
      <c r="F687" t="n">
        <v>1</v>
      </c>
      <c r="G687" t="b">
        <v>1</v>
      </c>
      <c r="H687">
        <f>Sensitivity!H20</f>
        <v/>
      </c>
    </row>
    <row r="688">
      <c r="A688" t="inlineStr">
        <is>
          <t>earrings</t>
        </is>
      </c>
      <c r="B688" t="inlineStr">
        <is>
          <t>mystic</t>
        </is>
      </c>
      <c r="C688" t="n">
        <v>2</v>
      </c>
      <c r="D688" t="inlineStr">
        <is>
          <t>Skill Damage %</t>
        </is>
      </c>
      <c r="E688" t="n">
        <v>30</v>
      </c>
      <c r="F688" t="n">
        <v>0.24</v>
      </c>
      <c r="G688" t="b">
        <v>1</v>
      </c>
      <c r="H688">
        <f>Sensitivity!H20</f>
        <v/>
      </c>
    </row>
    <row r="689">
      <c r="A689" t="inlineStr">
        <is>
          <t>earrings</t>
        </is>
      </c>
      <c r="B689" t="inlineStr">
        <is>
          <t>mystic</t>
        </is>
      </c>
      <c r="C689" t="n">
        <v>2</v>
      </c>
      <c r="D689" t="inlineStr">
        <is>
          <t>Skill Damage %</t>
        </is>
      </c>
      <c r="E689" t="n">
        <v>21</v>
      </c>
      <c r="F689" t="n">
        <v>0.76</v>
      </c>
      <c r="G689" t="b">
        <v>0</v>
      </c>
      <c r="H689">
        <f>Sensitivity!H20</f>
        <v/>
      </c>
    </row>
    <row r="690">
      <c r="A690" t="inlineStr">
        <is>
          <t>earrings</t>
        </is>
      </c>
      <c r="B690" t="inlineStr">
        <is>
          <t>mystic</t>
        </is>
      </c>
      <c r="C690" t="n">
        <v>3</v>
      </c>
      <c r="D690" t="inlineStr">
        <is>
          <t>Skill Damage %</t>
        </is>
      </c>
      <c r="E690" t="n">
        <v>30</v>
      </c>
      <c r="F690" t="n">
        <v>0.08</v>
      </c>
      <c r="G690" t="b">
        <v>1</v>
      </c>
      <c r="H690">
        <f>Sensitivity!H20</f>
        <v/>
      </c>
    </row>
    <row r="691">
      <c r="A691" t="inlineStr">
        <is>
          <t>earrings</t>
        </is>
      </c>
      <c r="B691" t="inlineStr">
        <is>
          <t>mystic</t>
        </is>
      </c>
      <c r="C691" t="n">
        <v>3</v>
      </c>
      <c r="D691" t="inlineStr">
        <is>
          <t>Skill Damage %</t>
        </is>
      </c>
      <c r="E691" t="n">
        <v>21</v>
      </c>
      <c r="F691" t="n">
        <v>0.92</v>
      </c>
      <c r="G691" t="b">
        <v>0</v>
      </c>
      <c r="H691">
        <f>Sensitivity!H20</f>
        <v/>
      </c>
    </row>
    <row r="692">
      <c r="A692" t="inlineStr">
        <is>
          <t>pocket</t>
        </is>
      </c>
      <c r="B692" t="inlineStr">
        <is>
          <t>epic</t>
        </is>
      </c>
      <c r="C692" t="n">
        <v>1</v>
      </c>
      <c r="D692" t="inlineStr">
        <is>
          <t>Main Stat % per 4 Levels</t>
        </is>
      </c>
      <c r="E692" t="n">
        <v>0.4</v>
      </c>
      <c r="F692" t="n">
        <v>1</v>
      </c>
      <c r="G692" t="b">
        <v>1</v>
      </c>
      <c r="H692">
        <f>Sensitivity!H6*INT(Inputs!$B$3/4)</f>
        <v/>
      </c>
    </row>
    <row r="693">
      <c r="A693" t="inlineStr">
        <is>
          <t>pocket</t>
        </is>
      </c>
      <c r="B693" t="inlineStr">
        <is>
          <t>epic</t>
        </is>
      </c>
      <c r="C693" t="n">
        <v>2</v>
      </c>
      <c r="D693" t="inlineStr">
        <is>
          <t>Main Stat % per 4 Levels</t>
        </is>
      </c>
      <c r="E693" t="n">
        <v>0.4</v>
      </c>
      <c r="F693" t="n">
        <v>0.24</v>
      </c>
      <c r="G693" t="b">
        <v>1</v>
      </c>
      <c r="H693">
        <f>Sensitivity!H6*INT(Inputs!$B$3/4)</f>
        <v/>
      </c>
    </row>
    <row r="694">
      <c r="A694" t="inlineStr">
        <is>
          <t>pocket</t>
        </is>
      </c>
      <c r="B694" t="inlineStr">
        <is>
          <t>epic</t>
        </is>
      </c>
      <c r="C694" t="n">
        <v>3</v>
      </c>
      <c r="D694" t="inlineStr">
        <is>
          <t>Main Stat % per 4 Levels</t>
        </is>
      </c>
      <c r="E694" t="n">
        <v>0.4</v>
      </c>
      <c r="F694" t="n">
        <v>0.08</v>
      </c>
      <c r="G694" t="b">
        <v>1</v>
      </c>
      <c r="H694">
        <f>Sensitivity!H6*INT(Inputs!$B$3/4)</f>
        <v/>
      </c>
    </row>
    <row r="695">
      <c r="A695" t="inlineStr">
        <is>
          <t>pocket</t>
        </is>
      </c>
      <c r="B695" t="inlineStr">
        <is>
          <t>unique</t>
        </is>
      </c>
      <c r="C695" t="n">
        <v>1</v>
      </c>
      <c r="D695" t="inlineStr">
        <is>
          <t>Main Stat % per 4 Levels</t>
        </is>
      </c>
      <c r="E695" t="n">
        <v>0.6</v>
      </c>
      <c r="F695" t="n">
        <v>1</v>
      </c>
      <c r="G695" t="b">
        <v>1</v>
      </c>
      <c r="H695">
        <f>Sensitivity!H6*INT(Inputs!$B$3/4)</f>
        <v/>
      </c>
    </row>
    <row r="696">
      <c r="A696" t="inlineStr">
        <is>
          <t>pocket</t>
        </is>
      </c>
      <c r="B696" t="inlineStr">
        <is>
          <t>unique</t>
        </is>
      </c>
      <c r="C696" t="n">
        <v>2</v>
      </c>
      <c r="D696" t="inlineStr">
        <is>
          <t>Main Stat % per 4 Levels</t>
        </is>
      </c>
      <c r="E696" t="n">
        <v>0.6</v>
      </c>
      <c r="F696" t="n">
        <v>0.24</v>
      </c>
      <c r="G696" t="b">
        <v>1</v>
      </c>
      <c r="H696">
        <f>Sensitivity!H6*INT(Inputs!$B$3/4)</f>
        <v/>
      </c>
    </row>
    <row r="697">
      <c r="A697" t="inlineStr">
        <is>
          <t>pocket</t>
        </is>
      </c>
      <c r="B697" t="inlineStr">
        <is>
          <t>unique</t>
        </is>
      </c>
      <c r="C697" t="n">
        <v>2</v>
      </c>
      <c r="D697" t="inlineStr">
        <is>
          <t>Main Stat % per 4 Levels</t>
        </is>
      </c>
      <c r="E697" t="n">
        <v>0.4</v>
      </c>
      <c r="F697" t="n">
        <v>0.76</v>
      </c>
      <c r="G697" t="b">
        <v>0</v>
      </c>
      <c r="H697">
        <f>Sensitivity!H6*INT(Inputs!$B$3/4)</f>
        <v/>
      </c>
    </row>
    <row r="698">
      <c r="A698" t="inlineStr">
        <is>
          <t>pocket</t>
        </is>
      </c>
      <c r="B698" t="inlineStr">
        <is>
          <t>unique</t>
        </is>
      </c>
      <c r="C698" t="n">
        <v>3</v>
      </c>
      <c r="D698" t="inlineStr">
        <is>
          <t>Main Stat % per 4 Levels</t>
        </is>
      </c>
      <c r="E698" t="n">
        <v>0.6</v>
      </c>
      <c r="F698" t="n">
        <v>0.08</v>
      </c>
      <c r="G698" t="b">
        <v>1</v>
      </c>
      <c r="H698">
        <f>Sensitivity!H6*INT(Inputs!$B$3/4)</f>
        <v/>
      </c>
    </row>
    <row r="699">
      <c r="A699" t="inlineStr">
        <is>
          <t>pocket</t>
        </is>
      </c>
      <c r="B699" t="inlineStr">
        <is>
          <t>unique</t>
        </is>
      </c>
      <c r="C699" t="n">
        <v>3</v>
      </c>
      <c r="D699" t="inlineStr">
        <is>
          <t>Main Stat % per 4 Levels</t>
        </is>
      </c>
      <c r="E699" t="n">
        <v>0.4</v>
      </c>
      <c r="F699" t="n">
        <v>0.92</v>
      </c>
      <c r="G699" t="b">
        <v>0</v>
      </c>
      <c r="H699">
        <f>Sensitivity!H6*INT(Inputs!$B$3/4)</f>
        <v/>
      </c>
    </row>
    <row r="700">
      <c r="A700" t="inlineStr">
        <is>
          <t>pocket</t>
        </is>
      </c>
      <c r="B700" t="inlineStr">
        <is>
          <t>legendary</t>
        </is>
      </c>
      <c r="C700" t="n">
        <v>1</v>
      </c>
      <c r="D700" t="inlineStr">
        <is>
          <t>Main Stat % per 4 Levels</t>
        </is>
      </c>
      <c r="E700" t="n">
        <v>0.8</v>
      </c>
      <c r="F700" t="n">
        <v>1</v>
      </c>
      <c r="G700" t="b">
        <v>1</v>
      </c>
      <c r="H700">
        <f>Sensitivity!H6*INT(Inputs!$B$3/4)</f>
        <v/>
      </c>
    </row>
    <row r="701">
      <c r="A701" t="inlineStr">
        <is>
          <t>pocket</t>
        </is>
      </c>
      <c r="B701" t="inlineStr">
        <is>
          <t>legendary</t>
        </is>
      </c>
      <c r="C701" t="n">
        <v>2</v>
      </c>
      <c r="D701" t="inlineStr">
        <is>
          <t>Main Stat % per 4 Levels</t>
        </is>
      </c>
      <c r="E701" t="n">
        <v>0.8</v>
      </c>
      <c r="F701" t="n">
        <v>0.24</v>
      </c>
      <c r="G701" t="b">
        <v>1</v>
      </c>
      <c r="H701">
        <f>Sensitivity!H6*INT(Inputs!$B$3/4)</f>
        <v/>
      </c>
    </row>
    <row r="702">
      <c r="A702" t="inlineStr">
        <is>
          <t>pocket</t>
        </is>
      </c>
      <c r="B702" t="inlineStr">
        <is>
          <t>legendary</t>
        </is>
      </c>
      <c r="C702" t="n">
        <v>2</v>
      </c>
      <c r="D702" t="inlineStr">
        <is>
          <t>Main Stat % per 4 Levels</t>
        </is>
      </c>
      <c r="E702" t="n">
        <v>0.6</v>
      </c>
      <c r="F702" t="n">
        <v>0.76</v>
      </c>
      <c r="G702" t="b">
        <v>0</v>
      </c>
      <c r="H702">
        <f>Sensitivity!H6*INT(Inputs!$B$3/4)</f>
        <v/>
      </c>
    </row>
    <row r="703">
      <c r="A703" t="inlineStr">
        <is>
          <t>pocket</t>
        </is>
      </c>
      <c r="B703" t="inlineStr">
        <is>
          <t>legendary</t>
        </is>
      </c>
      <c r="C703" t="n">
        <v>3</v>
      </c>
      <c r="D703" t="inlineStr">
        <is>
          <t>Main Stat % per 4 Levels</t>
        </is>
      </c>
      <c r="E703" t="n">
        <v>0.8</v>
      </c>
      <c r="F703" t="n">
        <v>0.08</v>
      </c>
      <c r="G703" t="b">
        <v>1</v>
      </c>
      <c r="H703">
        <f>Sensitivity!H6*INT(Inputs!$B$3/4)</f>
        <v/>
      </c>
    </row>
    <row r="704">
      <c r="A704" t="inlineStr">
        <is>
          <t>pocket</t>
        </is>
      </c>
      <c r="B704" t="inlineStr">
        <is>
          <t>legendary</t>
        </is>
      </c>
      <c r="C704" t="n">
        <v>3</v>
      </c>
      <c r="D704" t="inlineStr">
        <is>
          <t>Main Stat % per 4 Levels</t>
        </is>
      </c>
      <c r="E704" t="n">
        <v>0.6</v>
      </c>
      <c r="F704" t="n">
        <v>0.92</v>
      </c>
      <c r="G704" t="b">
        <v>0</v>
      </c>
      <c r="H704">
        <f>Sensitivity!H6*INT(Inputs!$B$3/4)</f>
        <v/>
      </c>
    </row>
    <row r="705">
      <c r="A705" t="inlineStr">
        <is>
          <t>pocket</t>
        </is>
      </c>
      <c r="B705" t="inlineStr">
        <is>
          <t>mystic</t>
        </is>
      </c>
      <c r="C705" t="n">
        <v>1</v>
      </c>
      <c r="D705" t="inlineStr">
        <is>
          <t>Main Stat % per 4 Levels</t>
        </is>
      </c>
      <c r="E705" t="n">
        <v>1.2</v>
      </c>
      <c r="F705" t="n">
        <v>1</v>
      </c>
      <c r="G705" t="b">
        <v>1</v>
      </c>
      <c r="H705">
        <f>Sensitivity!H6*INT(Inputs!$B$3/4)</f>
        <v/>
      </c>
    </row>
    <row r="706">
      <c r="A706" t="inlineStr">
        <is>
          <t>pocket</t>
        </is>
      </c>
      <c r="B706" t="inlineStr">
        <is>
          <t>mystic</t>
        </is>
      </c>
      <c r="C706" t="n">
        <v>2</v>
      </c>
      <c r="D706" t="inlineStr">
        <is>
          <t>Main Stat % per 4 Levels</t>
        </is>
      </c>
      <c r="E706" t="n">
        <v>1.2</v>
      </c>
      <c r="F706" t="n">
        <v>0.24</v>
      </c>
      <c r="G706" t="b">
        <v>1</v>
      </c>
      <c r="H706">
        <f>Sensitivity!H6*INT(Inputs!$B$3/4)</f>
        <v/>
      </c>
    </row>
    <row r="707">
      <c r="A707" t="inlineStr">
        <is>
          <t>pocket</t>
        </is>
      </c>
      <c r="B707" t="inlineStr">
        <is>
          <t>mystic</t>
        </is>
      </c>
      <c r="C707" t="n">
        <v>2</v>
      </c>
      <c r="D707" t="inlineStr">
        <is>
          <t>Main Stat % per 4 Levels</t>
        </is>
      </c>
      <c r="E707" t="n">
        <v>0.8</v>
      </c>
      <c r="F707" t="n">
        <v>0.76</v>
      </c>
      <c r="G707" t="b">
        <v>0</v>
      </c>
      <c r="H707">
        <f>Sensitivity!H6*INT(Inputs!$B$3/4)</f>
        <v/>
      </c>
    </row>
    <row r="708">
      <c r="A708" t="inlineStr">
        <is>
          <t>pocket</t>
        </is>
      </c>
      <c r="B708" t="inlineStr">
        <is>
          <t>mystic</t>
        </is>
      </c>
      <c r="C708" t="n">
        <v>3</v>
      </c>
      <c r="D708" t="inlineStr">
        <is>
          <t>Main Stat % per 4 Levels</t>
        </is>
      </c>
      <c r="E708" t="n">
        <v>1.2</v>
      </c>
      <c r="F708" t="n">
        <v>0.08</v>
      </c>
      <c r="G708" t="b">
        <v>1</v>
      </c>
      <c r="H708">
        <f>Sensitivity!H6*INT(Inputs!$B$3/4)</f>
        <v/>
      </c>
    </row>
    <row r="709">
      <c r="A709" t="inlineStr">
        <is>
          <t>pocket</t>
        </is>
      </c>
      <c r="B709" t="inlineStr">
        <is>
          <t>mystic</t>
        </is>
      </c>
      <c r="C709" t="n">
        <v>3</v>
      </c>
      <c r="D709" t="inlineStr">
        <is>
          <t>Main Stat % per 4 Levels</t>
        </is>
      </c>
      <c r="E709" t="n">
        <v>0.8</v>
      </c>
      <c r="F709" t="n">
        <v>0.92</v>
      </c>
      <c r="G709" t="b">
        <v>0</v>
      </c>
      <c r="H709">
        <f>Sensitivity!H6*INT(Inputs!$B$3/4)</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42"/>
  <sheetViews>
    <sheetView workbookViewId="0">
      <pane ySplit="4" topLeftCell="A5" activePane="bottomLeft" state="frozen"/>
      <selection pane="bottomLeft" activeCell="A1" sqref="A1"/>
    </sheetView>
  </sheetViews>
  <sheetFormatPr baseColWidth="8" defaultRowHeight="15"/>
  <cols>
    <col width="42" customWidth="1" min="1" max="1"/>
    <col width="12" customWidth="1" min="2" max="2"/>
    <col width="12" customWidth="1" min="3" max="3"/>
    <col width="26" customWidth="1" min="4" max="4"/>
    <col width="14" customWidth="1" min="5" max="5"/>
    <col width="12" customWidth="1" min="6" max="6"/>
    <col width="26" customWidth="1" min="7" max="7"/>
    <col width="14" customWidth="1" min="8" max="8"/>
    <col width="12" customWidth="1" min="9" max="9"/>
    <col width="26" customWidth="1" min="10" max="10"/>
    <col width="14" customWidth="1" min="11" max="11"/>
    <col width="16" customWidth="1" min="12" max="12"/>
    <col width="18" customWidth="1" min="13" max="13"/>
    <col width="20" customWidth="1" min="14" max="14"/>
  </cols>
  <sheetData>
    <row r="1">
      <c r="A1" s="4" t="inlineStr">
        <is>
          <t>Corsair — Artifacts (Star Level + Potentials)</t>
        </is>
      </c>
    </row>
    <row r="2">
      <c r="A2" t="inlineStr">
        <is>
          <t>Equipped artifacts are picked on the Inputs sheet now (Equipped Artifacts section, per content type). Every artifact's Star Level (or "Not Unlocked") and Potential lines are tracked separately regardless of whether it's currently equipped, so swapping gear doesn't lose your progress. Potential lines are reference-only (their DPS Gain is NOT added to live Total DPS) — the assumption is the same as Book of Ancient etc.: once you decide to keep a roll, fold its value into your own Inputs manually. Sensitivity's Artifact Equip-Toggle table DOES include each artifact's current potential-line DPS Gain, since potentials only apply while the artifact is actually equipped.</t>
        </is>
      </c>
    </row>
    <row r="3">
      <c r="A3" s="9" t="inlineStr">
        <is>
          <t>All Artifacts — Star Level + Potentials</t>
        </is>
      </c>
    </row>
    <row r="4">
      <c r="A4" s="5" t="inlineStr">
        <is>
          <t>Artifact</t>
        </is>
      </c>
      <c r="B4" s="5" t="inlineStr">
        <is>
          <t>Star Level</t>
        </is>
      </c>
      <c r="C4" s="5" t="inlineStr">
        <is>
          <t>Line 1 Rarity</t>
        </is>
      </c>
      <c r="D4" s="5" t="inlineStr">
        <is>
          <t>Line 1 Stat</t>
        </is>
      </c>
      <c r="E4" s="5" t="inlineStr">
        <is>
          <t>Line 1 DPS Gain</t>
        </is>
      </c>
      <c r="F4" s="5" t="inlineStr">
        <is>
          <t>Line 2 Rarity</t>
        </is>
      </c>
      <c r="G4" s="5" t="inlineStr">
        <is>
          <t>Line 2 Stat</t>
        </is>
      </c>
      <c r="H4" s="5" t="inlineStr">
        <is>
          <t>Line 2 DPS Gain</t>
        </is>
      </c>
      <c r="I4" s="5" t="inlineStr">
        <is>
          <t>Line 3 Rarity (Legendary only)</t>
        </is>
      </c>
      <c r="J4" s="5" t="inlineStr">
        <is>
          <t>Line 3 Stat (Legendary only)</t>
        </is>
      </c>
      <c r="K4" s="5" t="inlineStr">
        <is>
          <t>Line 3 DPS Gain</t>
        </is>
      </c>
      <c r="L4" s="5" t="inlineStr">
        <is>
          <t>Total Potential DPS Gain</t>
        </is>
      </c>
      <c r="M4" s="5" t="inlineStr">
        <is>
          <t>Equipped? (computed)</t>
        </is>
      </c>
      <c r="N4" s="5" t="inlineStr">
        <is>
          <t>Star Level, resolved (computed)</t>
        </is>
      </c>
    </row>
    <row r="5">
      <c r="A5" s="6" t="inlineStr">
        <is>
          <t>Charm of the Undead</t>
        </is>
      </c>
      <c r="B5" s="7" t="n">
        <v>5</v>
      </c>
      <c r="C5" s="7" t="inlineStr">
        <is>
          <t>Rare</t>
        </is>
      </c>
      <c r="D5" s="7" t="inlineStr">
        <is>
          <t>(none)</t>
        </is>
      </c>
      <c r="E5">
        <f>IF($N$5&gt;=1,IF($D$5="Main Stat %",(CHOOSE(MATCH($C$5,{"Rare","Epic","Unique","Legendary","Mystic","Mystic (Prime)"},0),2,3,4.5,7,10,12))*Sensitivity!$H$6,IF($D$5="Damage Taken Decrease %",0,IF($D$5="Defense %",0,IF($D$5="Accuracy",0,IF($D$5="Critical Rate %",(CHOOSE(MATCH($C$5,{"Rare","Epic","Unique","Legendary","Mystic","Mystic (Prime)"},0),2,3,4.5,7,10,12))*Sensitivity!$H$15,IF($D$5="Min Damage Multiplier %",(CHOOSE(MATCH($C$5,{"Rare","Epic","Unique","Legendary","Mystic","Mystic (Prime)"},0),2,3,4.5,7,10,12))*Sensitivity!$H$13,IF($D$5="Max Damage Multiplier %",(CHOOSE(MATCH($C$5,{"Rare","Epic","Unique","Legendary","Mystic","Mystic (Prime)"},0),2,3,4.5,7,10,12))*Sensitivity!$H$14,IF($D$5="Boss Monster Damage %",(CHOOSE(MATCH($C$5,{"Rare","Epic","Unique","Legendary","Mystic","Mystic (Prime)"},0),4,6,9,14,20,24))*Sensitivity!$H$10,IF($D$5="Normal Monster Damage %",(CHOOSE(MATCH($C$5,{"Rare","Epic","Unique","Legendary","Mystic","Mystic (Prime)"},0),4,6,9,14,20,24))*Sensitivity!$H$11,IF($D$5="Status Effect Damage %",0,IF($D$5="Damage %",(CHOOSE(MATCH($C$5,{"Rare","Epic","Unique","Legendary","Mystic","Mystic (Prime)"},0),4,6,9,14,20,24))*Sensitivity!$H$8,IF($D$5="Defense Penetration %",(CHOOSE(MATCH($C$5,{"Rare","Epic","Unique","Legendary","Mystic","Mystic (Prime)"},0),2,3,4.5,7,10,12))*Sensitivity!$H$18,0)))))))))))),0)</f>
        <v/>
      </c>
      <c r="F5" s="7" t="inlineStr">
        <is>
          <t>Rare</t>
        </is>
      </c>
      <c r="G5" s="7" t="inlineStr">
        <is>
          <t>(none)</t>
        </is>
      </c>
      <c r="H5">
        <f>IF($N$5&gt;=2,IF($G$5="Main Stat %",(CHOOSE(MATCH($F$5,{"Rare","Epic","Unique","Legendary","Mystic","Mystic (Prime)"},0),2,3,4.5,7,10,12))*Sensitivity!$H$6,IF($G$5="Damage Taken Decrease %",0,IF($G$5="Defense %",0,IF($G$5="Accuracy",0,IF($G$5="Critical Rate %",(CHOOSE(MATCH($F$5,{"Rare","Epic","Unique","Legendary","Mystic","Mystic (Prime)"},0),2,3,4.5,7,10,12))*Sensitivity!$H$15,IF($G$5="Min Damage Multiplier %",(CHOOSE(MATCH($F$5,{"Rare","Epic","Unique","Legendary","Mystic","Mystic (Prime)"},0),2,3,4.5,7,10,12))*Sensitivity!$H$13,IF($G$5="Max Damage Multiplier %",(CHOOSE(MATCH($F$5,{"Rare","Epic","Unique","Legendary","Mystic","Mystic (Prime)"},0),2,3,4.5,7,10,12))*Sensitivity!$H$14,IF($G$5="Boss Monster Damage %",(CHOOSE(MATCH($F$5,{"Rare","Epic","Unique","Legendary","Mystic","Mystic (Prime)"},0),4,6,9,14,20,24))*Sensitivity!$H$10,IF($G$5="Normal Monster Damage %",(CHOOSE(MATCH($F$5,{"Rare","Epic","Unique","Legendary","Mystic","Mystic (Prime)"},0),4,6,9,14,20,24))*Sensitivity!$H$11,IF($G$5="Status Effect Damage %",0,IF($G$5="Damage %",(CHOOSE(MATCH($F$5,{"Rare","Epic","Unique","Legendary","Mystic","Mystic (Prime)"},0),4,6,9,14,20,24))*Sensitivity!$H$8,IF($G$5="Defense Penetration %",(CHOOSE(MATCH($F$5,{"Rare","Epic","Unique","Legendary","Mystic","Mystic (Prime)"},0),2,3,4.5,7,10,12))*Sensitivity!$H$18,0)))))))))))),0)</f>
        <v/>
      </c>
      <c r="L5">
        <f>Summary!$B$3*((IF(D5="(none)",1,1+(E5+IF(G5=D5,H5,0)+IF(J5=D5,K5,0))/Summary!$B$3))*(IF(OR(G5="(none)",G5=D5),1,1+(H5+IF(D5=G5,E5,0)+IF(J5=G5,K5,0))/Summary!$B$3))*(IF(OR(J5="",J5="(none)",J5=D5,J5=G5),1,1+(K5+IF(D5=J5,E5,0)+IF(G5=J5,H5,0))/Summary!$B$3))-1)</f>
        <v/>
      </c>
      <c r="M5">
        <f>OR(Inputs!$B$47="Charm of the Undead",Inputs!$B$48="Charm of the Undead",Inputs!$B$49="Charm of the Undead",Inputs!$B$50="Charm of the Undead")</f>
        <v/>
      </c>
      <c r="N5">
        <f>IF(B5="Not Unlocked",0,B5)</f>
        <v/>
      </c>
    </row>
    <row r="6">
      <c r="A6" s="6" t="inlineStr">
        <is>
          <t>Pig's Ribbon</t>
        </is>
      </c>
      <c r="B6" s="7" t="n">
        <v>5</v>
      </c>
      <c r="C6" s="7" t="inlineStr">
        <is>
          <t>Rare</t>
        </is>
      </c>
      <c r="D6" s="7" t="inlineStr">
        <is>
          <t>(none)</t>
        </is>
      </c>
      <c r="E6">
        <f>IF($N$6&gt;=1,IF($D$6="Main Stat %",(CHOOSE(MATCH($C$6,{"Rare","Epic","Unique","Legendary","Mystic","Mystic (Prime)"},0),2,3,4.5,7,10,12))*Sensitivity!$H$6,IF($D$6="Damage Taken Decrease %",0,IF($D$6="Defense %",0,IF($D$6="Accuracy",0,IF($D$6="Critical Rate %",(CHOOSE(MATCH($C$6,{"Rare","Epic","Unique","Legendary","Mystic","Mystic (Prime)"},0),2,3,4.5,7,10,12))*Sensitivity!$H$15,IF($D$6="Min Damage Multiplier %",(CHOOSE(MATCH($C$6,{"Rare","Epic","Unique","Legendary","Mystic","Mystic (Prime)"},0),2,3,4.5,7,10,12))*Sensitivity!$H$13,IF($D$6="Max Damage Multiplier %",(CHOOSE(MATCH($C$6,{"Rare","Epic","Unique","Legendary","Mystic","Mystic (Prime)"},0),2,3,4.5,7,10,12))*Sensitivity!$H$14,IF($D$6="Boss Monster Damage %",(CHOOSE(MATCH($C$6,{"Rare","Epic","Unique","Legendary","Mystic","Mystic (Prime)"},0),4,6,9,14,20,24))*Sensitivity!$H$10,IF($D$6="Normal Monster Damage %",(CHOOSE(MATCH($C$6,{"Rare","Epic","Unique","Legendary","Mystic","Mystic (Prime)"},0),4,6,9,14,20,24))*Sensitivity!$H$11,IF($D$6="Status Effect Damage %",0,IF($D$6="Damage %",(CHOOSE(MATCH($C$6,{"Rare","Epic","Unique","Legendary","Mystic","Mystic (Prime)"},0),4,6,9,14,20,24))*Sensitivity!$H$8,IF($D$6="Defense Penetration %",(CHOOSE(MATCH($C$6,{"Rare","Epic","Unique","Legendary","Mystic","Mystic (Prime)"},0),2,3,4.5,7,10,12))*Sensitivity!$H$18,0)))))))))))),0)</f>
        <v/>
      </c>
      <c r="F6" s="7" t="inlineStr">
        <is>
          <t>Rare</t>
        </is>
      </c>
      <c r="G6" s="7" t="inlineStr">
        <is>
          <t>(none)</t>
        </is>
      </c>
      <c r="H6">
        <f>IF($N$6&gt;=2,IF($G$6="Main Stat %",(CHOOSE(MATCH($F$6,{"Rare","Epic","Unique","Legendary","Mystic","Mystic (Prime)"},0),2,3,4.5,7,10,12))*Sensitivity!$H$6,IF($G$6="Damage Taken Decrease %",0,IF($G$6="Defense %",0,IF($G$6="Accuracy",0,IF($G$6="Critical Rate %",(CHOOSE(MATCH($F$6,{"Rare","Epic","Unique","Legendary","Mystic","Mystic (Prime)"},0),2,3,4.5,7,10,12))*Sensitivity!$H$15,IF($G$6="Min Damage Multiplier %",(CHOOSE(MATCH($F$6,{"Rare","Epic","Unique","Legendary","Mystic","Mystic (Prime)"},0),2,3,4.5,7,10,12))*Sensitivity!$H$13,IF($G$6="Max Damage Multiplier %",(CHOOSE(MATCH($F$6,{"Rare","Epic","Unique","Legendary","Mystic","Mystic (Prime)"},0),2,3,4.5,7,10,12))*Sensitivity!$H$14,IF($G$6="Boss Monster Damage %",(CHOOSE(MATCH($F$6,{"Rare","Epic","Unique","Legendary","Mystic","Mystic (Prime)"},0),4,6,9,14,20,24))*Sensitivity!$H$10,IF($G$6="Normal Monster Damage %",(CHOOSE(MATCH($F$6,{"Rare","Epic","Unique","Legendary","Mystic","Mystic (Prime)"},0),4,6,9,14,20,24))*Sensitivity!$H$11,IF($G$6="Status Effect Damage %",0,IF($G$6="Damage %",(CHOOSE(MATCH($F$6,{"Rare","Epic","Unique","Legendary","Mystic","Mystic (Prime)"},0),4,6,9,14,20,24))*Sensitivity!$H$8,IF($G$6="Defense Penetration %",(CHOOSE(MATCH($F$6,{"Rare","Epic","Unique","Legendary","Mystic","Mystic (Prime)"},0),2,3,4.5,7,10,12))*Sensitivity!$H$18,0)))))))))))),0)</f>
        <v/>
      </c>
      <c r="L6">
        <f>Summary!$B$3*((IF(D6="(none)",1,1+(E6+IF(G6=D6,H6,0)+IF(J6=D6,K6,0))/Summary!$B$3))*(IF(OR(G6="(none)",G6=D6),1,1+(H6+IF(D6=G6,E6,0)+IF(J6=G6,K6,0))/Summary!$B$3))*(IF(OR(J6="",J6="(none)",J6=D6,J6=G6),1,1+(K6+IF(D6=J6,E6,0)+IF(G6=J6,H6,0))/Summary!$B$3))-1)</f>
        <v/>
      </c>
      <c r="M6">
        <f>OR(Inputs!$B$47="Pig's Ribbon",Inputs!$B$48="Pig's Ribbon",Inputs!$B$49="Pig's Ribbon",Inputs!$B$50="Pig's Ribbon")</f>
        <v/>
      </c>
      <c r="N6">
        <f>IF(B6="Not Unlocked",0,B6)</f>
        <v/>
      </c>
    </row>
    <row r="7">
      <c r="A7" s="6" t="inlineStr">
        <is>
          <t>Shamaness Marble</t>
        </is>
      </c>
      <c r="B7" s="7" t="n">
        <v>5</v>
      </c>
      <c r="C7" s="7" t="inlineStr">
        <is>
          <t>Rare</t>
        </is>
      </c>
      <c r="D7" s="7" t="inlineStr">
        <is>
          <t>(none)</t>
        </is>
      </c>
      <c r="E7">
        <f>IF($N$7&gt;=1,IF($D$7="Main Stat %",(CHOOSE(MATCH($C$7,{"Rare","Epic","Unique","Legendary","Mystic","Mystic (Prime)"},0),2,3,4.5,7,10,12))*Sensitivity!$H$6,IF($D$7="Damage Taken Decrease %",0,IF($D$7="Defense %",0,IF($D$7="Accuracy",0,IF($D$7="Critical Rate %",(CHOOSE(MATCH($C$7,{"Rare","Epic","Unique","Legendary","Mystic","Mystic (Prime)"},0),2,3,4.5,7,10,12))*Sensitivity!$H$15,IF($D$7="Min Damage Multiplier %",(CHOOSE(MATCH($C$7,{"Rare","Epic","Unique","Legendary","Mystic","Mystic (Prime)"},0),2,3,4.5,7,10,12))*Sensitivity!$H$13,IF($D$7="Max Damage Multiplier %",(CHOOSE(MATCH($C$7,{"Rare","Epic","Unique","Legendary","Mystic","Mystic (Prime)"},0),2,3,4.5,7,10,12))*Sensitivity!$H$14,IF($D$7="Boss Monster Damage %",(CHOOSE(MATCH($C$7,{"Rare","Epic","Unique","Legendary","Mystic","Mystic (Prime)"},0),4,6,9,14,20,24))*Sensitivity!$H$10,IF($D$7="Normal Monster Damage %",(CHOOSE(MATCH($C$7,{"Rare","Epic","Unique","Legendary","Mystic","Mystic (Prime)"},0),4,6,9,14,20,24))*Sensitivity!$H$11,IF($D$7="Status Effect Damage %",0,IF($D$7="Damage %",(CHOOSE(MATCH($C$7,{"Rare","Epic","Unique","Legendary","Mystic","Mystic (Prime)"},0),4,6,9,14,20,24))*Sensitivity!$H$8,IF($D$7="Defense Penetration %",(CHOOSE(MATCH($C$7,{"Rare","Epic","Unique","Legendary","Mystic","Mystic (Prime)"},0),2,3,4.5,7,10,12))*Sensitivity!$H$18,0)))))))))))),0)</f>
        <v/>
      </c>
      <c r="F7" s="7" t="inlineStr">
        <is>
          <t>Rare</t>
        </is>
      </c>
      <c r="G7" s="7" t="inlineStr">
        <is>
          <t>(none)</t>
        </is>
      </c>
      <c r="H7">
        <f>IF($N$7&gt;=2,IF($G$7="Main Stat %",(CHOOSE(MATCH($F$7,{"Rare","Epic","Unique","Legendary","Mystic","Mystic (Prime)"},0),2,3,4.5,7,10,12))*Sensitivity!$H$6,IF($G$7="Damage Taken Decrease %",0,IF($G$7="Defense %",0,IF($G$7="Accuracy",0,IF($G$7="Critical Rate %",(CHOOSE(MATCH($F$7,{"Rare","Epic","Unique","Legendary","Mystic","Mystic (Prime)"},0),2,3,4.5,7,10,12))*Sensitivity!$H$15,IF($G$7="Min Damage Multiplier %",(CHOOSE(MATCH($F$7,{"Rare","Epic","Unique","Legendary","Mystic","Mystic (Prime)"},0),2,3,4.5,7,10,12))*Sensitivity!$H$13,IF($G$7="Max Damage Multiplier %",(CHOOSE(MATCH($F$7,{"Rare","Epic","Unique","Legendary","Mystic","Mystic (Prime)"},0),2,3,4.5,7,10,12))*Sensitivity!$H$14,IF($G$7="Boss Monster Damage %",(CHOOSE(MATCH($F$7,{"Rare","Epic","Unique","Legendary","Mystic","Mystic (Prime)"},0),4,6,9,14,20,24))*Sensitivity!$H$10,IF($G$7="Normal Monster Damage %",(CHOOSE(MATCH($F$7,{"Rare","Epic","Unique","Legendary","Mystic","Mystic (Prime)"},0),4,6,9,14,20,24))*Sensitivity!$H$11,IF($G$7="Status Effect Damage %",0,IF($G$7="Damage %",(CHOOSE(MATCH($F$7,{"Rare","Epic","Unique","Legendary","Mystic","Mystic (Prime)"},0),4,6,9,14,20,24))*Sensitivity!$H$8,IF($G$7="Defense Penetration %",(CHOOSE(MATCH($F$7,{"Rare","Epic","Unique","Legendary","Mystic","Mystic (Prime)"},0),2,3,4.5,7,10,12))*Sensitivity!$H$18,0)))))))))))),0)</f>
        <v/>
      </c>
      <c r="L7">
        <f>Summary!$B$3*((IF(D7="(none)",1,1+(E7+IF(G7=D7,H7,0)+IF(J7=D7,K7,0))/Summary!$B$3))*(IF(OR(G7="(none)",G7=D7),1,1+(H7+IF(D7=G7,E7,0)+IF(J7=G7,K7,0))/Summary!$B$3))*(IF(OR(J7="",J7="(none)",J7=D7,J7=G7),1,1+(K7+IF(D7=J7,E7,0)+IF(G7=J7,H7,0))/Summary!$B$3))-1)</f>
        <v/>
      </c>
      <c r="M7">
        <f>OR(Inputs!$B$47="Shamaness Marble",Inputs!$B$48="Shamaness Marble",Inputs!$B$49="Shamaness Marble",Inputs!$B$50="Shamaness Marble")</f>
        <v/>
      </c>
      <c r="N7">
        <f>IF(B7="Not Unlocked",0,B7)</f>
        <v/>
      </c>
    </row>
    <row r="8">
      <c r="A8" s="6" t="inlineStr">
        <is>
          <t>The Contract of Darkness</t>
        </is>
      </c>
      <c r="B8" s="7" t="n">
        <v>5</v>
      </c>
      <c r="C8" s="7" t="inlineStr">
        <is>
          <t>Rare</t>
        </is>
      </c>
      <c r="D8" s="7" t="inlineStr">
        <is>
          <t>(none)</t>
        </is>
      </c>
      <c r="E8">
        <f>IF($N$8&gt;=1,IF($D$8="Main Stat %",(CHOOSE(MATCH($C$8,{"Rare","Epic","Unique","Legendary","Mystic","Mystic (Prime)"},0),2,3,4.5,7,10,12))*Sensitivity!$H$6,IF($D$8="Damage Taken Decrease %",0,IF($D$8="Defense %",0,IF($D$8="Accuracy",0,IF($D$8="Critical Rate %",(CHOOSE(MATCH($C$8,{"Rare","Epic","Unique","Legendary","Mystic","Mystic (Prime)"},0),2,3,4.5,7,10,12))*Sensitivity!$H$15,IF($D$8="Min Damage Multiplier %",(CHOOSE(MATCH($C$8,{"Rare","Epic","Unique","Legendary","Mystic","Mystic (Prime)"},0),2,3,4.5,7,10,12))*Sensitivity!$H$13,IF($D$8="Max Damage Multiplier %",(CHOOSE(MATCH($C$8,{"Rare","Epic","Unique","Legendary","Mystic","Mystic (Prime)"},0),2,3,4.5,7,10,12))*Sensitivity!$H$14,IF($D$8="Boss Monster Damage %",(CHOOSE(MATCH($C$8,{"Rare","Epic","Unique","Legendary","Mystic","Mystic (Prime)"},0),4,6,9,14,20,24))*Sensitivity!$H$10,IF($D$8="Normal Monster Damage %",(CHOOSE(MATCH($C$8,{"Rare","Epic","Unique","Legendary","Mystic","Mystic (Prime)"},0),4,6,9,14,20,24))*Sensitivity!$H$11,IF($D$8="Status Effect Damage %",0,IF($D$8="Damage %",(CHOOSE(MATCH($C$8,{"Rare","Epic","Unique","Legendary","Mystic","Mystic (Prime)"},0),4,6,9,14,20,24))*Sensitivity!$H$8,IF($D$8="Defense Penetration %",(CHOOSE(MATCH($C$8,{"Rare","Epic","Unique","Legendary","Mystic","Mystic (Prime)"},0),2,3,4.5,7,10,12))*Sensitivity!$H$18,0)))))))))))),0)</f>
        <v/>
      </c>
      <c r="F8" s="7" t="inlineStr">
        <is>
          <t>Rare</t>
        </is>
      </c>
      <c r="G8" s="7" t="inlineStr">
        <is>
          <t>(none)</t>
        </is>
      </c>
      <c r="H8">
        <f>IF($N$8&gt;=2,IF($G$8="Main Stat %",(CHOOSE(MATCH($F$8,{"Rare","Epic","Unique","Legendary","Mystic","Mystic (Prime)"},0),2,3,4.5,7,10,12))*Sensitivity!$H$6,IF($G$8="Damage Taken Decrease %",0,IF($G$8="Defense %",0,IF($G$8="Accuracy",0,IF($G$8="Critical Rate %",(CHOOSE(MATCH($F$8,{"Rare","Epic","Unique","Legendary","Mystic","Mystic (Prime)"},0),2,3,4.5,7,10,12))*Sensitivity!$H$15,IF($G$8="Min Damage Multiplier %",(CHOOSE(MATCH($F$8,{"Rare","Epic","Unique","Legendary","Mystic","Mystic (Prime)"},0),2,3,4.5,7,10,12))*Sensitivity!$H$13,IF($G$8="Max Damage Multiplier %",(CHOOSE(MATCH($F$8,{"Rare","Epic","Unique","Legendary","Mystic","Mystic (Prime)"},0),2,3,4.5,7,10,12))*Sensitivity!$H$14,IF($G$8="Boss Monster Damage %",(CHOOSE(MATCH($F$8,{"Rare","Epic","Unique","Legendary","Mystic","Mystic (Prime)"},0),4,6,9,14,20,24))*Sensitivity!$H$10,IF($G$8="Normal Monster Damage %",(CHOOSE(MATCH($F$8,{"Rare","Epic","Unique","Legendary","Mystic","Mystic (Prime)"},0),4,6,9,14,20,24))*Sensitivity!$H$11,IF($G$8="Status Effect Damage %",0,IF($G$8="Damage %",(CHOOSE(MATCH($F$8,{"Rare","Epic","Unique","Legendary","Mystic","Mystic (Prime)"},0),4,6,9,14,20,24))*Sensitivity!$H$8,IF($G$8="Defense Penetration %",(CHOOSE(MATCH($F$8,{"Rare","Epic","Unique","Legendary","Mystic","Mystic (Prime)"},0),2,3,4.5,7,10,12))*Sensitivity!$H$18,0)))))))))))),0)</f>
        <v/>
      </c>
      <c r="L8">
        <f>Summary!$B$3*((IF(D8="(none)",1,1+(E8+IF(G8=D8,H8,0)+IF(J8=D8,K8,0))/Summary!$B$3))*(IF(OR(G8="(none)",G8=D8),1,1+(H8+IF(D8=G8,E8,0)+IF(J8=G8,K8,0))/Summary!$B$3))*(IF(OR(J8="",J8="(none)",J8=D8,J8=G8),1,1+(K8+IF(D8=J8,E8,0)+IF(G8=J8,H8,0))/Summary!$B$3))-1)</f>
        <v/>
      </c>
      <c r="M8">
        <f>OR(Inputs!$B$47="The Contract of Darkness",Inputs!$B$48="The Contract of Darkness",Inputs!$B$49="The Contract of Darkness",Inputs!$B$50="The Contract of Darkness")</f>
        <v/>
      </c>
      <c r="N8">
        <f>IF(B8="Not Unlocked",0,B8)</f>
        <v/>
      </c>
    </row>
    <row r="10">
      <c r="A10" s="6" t="inlineStr">
        <is>
          <t>Rainbow-colored Snail Shell</t>
        </is>
      </c>
      <c r="B10" s="7" t="n">
        <v>3</v>
      </c>
      <c r="C10" s="7" t="inlineStr">
        <is>
          <t>Rare</t>
        </is>
      </c>
      <c r="D10" s="7" t="inlineStr">
        <is>
          <t>(none)</t>
        </is>
      </c>
      <c r="E10">
        <f>IF($N$10&gt;=1,IF($D$10="Main Stat %",(CHOOSE(MATCH($C$10,{"Rare","Epic","Unique","Legendary","Mystic","Mystic (Prime)"},0),2,3,4.5,7,10,12))*Sensitivity!$H$6,IF($D$10="Damage Taken Decrease %",0,IF($D$10="Defense %",0,IF($D$10="Accuracy",0,IF($D$10="Critical Rate %",(CHOOSE(MATCH($C$10,{"Rare","Epic","Unique","Legendary","Mystic","Mystic (Prime)"},0),2,3,4.5,7,10,12))*Sensitivity!$H$15,IF($D$10="Min Damage Multiplier %",(CHOOSE(MATCH($C$10,{"Rare","Epic","Unique","Legendary","Mystic","Mystic (Prime)"},0),2,3,4.5,7,10,12))*Sensitivity!$H$13,IF($D$10="Max Damage Multiplier %",(CHOOSE(MATCH($C$10,{"Rare","Epic","Unique","Legendary","Mystic","Mystic (Prime)"},0),2,3,4.5,7,10,12))*Sensitivity!$H$14,IF($D$10="Boss Monster Damage %",(CHOOSE(MATCH($C$10,{"Rare","Epic","Unique","Legendary","Mystic","Mystic (Prime)"},0),4,6,9,14,20,24))*Sensitivity!$H$10,IF($D$10="Normal Monster Damage %",(CHOOSE(MATCH($C$10,{"Rare","Epic","Unique","Legendary","Mystic","Mystic (Prime)"},0),4,6,9,14,20,24))*Sensitivity!$H$11,IF($D$10="Status Effect Damage %",0,IF($D$10="Damage %",(CHOOSE(MATCH($C$10,{"Rare","Epic","Unique","Legendary","Mystic","Mystic (Prime)"},0),4,6,9,14,20,24))*Sensitivity!$H$8,IF($D$10="Defense Penetration %",(CHOOSE(MATCH($C$10,{"Rare","Epic","Unique","Legendary","Mystic","Mystic (Prime)"},0),2,3,4.5,7,10,12))*Sensitivity!$H$18,0)))))))))))),0)</f>
        <v/>
      </c>
      <c r="F10" s="7" t="inlineStr">
        <is>
          <t>Rare</t>
        </is>
      </c>
      <c r="G10" s="7" t="inlineStr">
        <is>
          <t>(none)</t>
        </is>
      </c>
      <c r="H10">
        <f>IF($N$10&gt;=2,IF($G$10="Main Stat %",(CHOOSE(MATCH($F$10,{"Rare","Epic","Unique","Legendary","Mystic","Mystic (Prime)"},0),2,3,4.5,7,10,12))*Sensitivity!$H$6,IF($G$10="Damage Taken Decrease %",0,IF($G$10="Defense %",0,IF($G$10="Accuracy",0,IF($G$10="Critical Rate %",(CHOOSE(MATCH($F$10,{"Rare","Epic","Unique","Legendary","Mystic","Mystic (Prime)"},0),2,3,4.5,7,10,12))*Sensitivity!$H$15,IF($G$10="Min Damage Multiplier %",(CHOOSE(MATCH($F$10,{"Rare","Epic","Unique","Legendary","Mystic","Mystic (Prime)"},0),2,3,4.5,7,10,12))*Sensitivity!$H$13,IF($G$10="Max Damage Multiplier %",(CHOOSE(MATCH($F$10,{"Rare","Epic","Unique","Legendary","Mystic","Mystic (Prime)"},0),2,3,4.5,7,10,12))*Sensitivity!$H$14,IF($G$10="Boss Monster Damage %",(CHOOSE(MATCH($F$10,{"Rare","Epic","Unique","Legendary","Mystic","Mystic (Prime)"},0),4,6,9,14,20,24))*Sensitivity!$H$10,IF($G$10="Normal Monster Damage %",(CHOOSE(MATCH($F$10,{"Rare","Epic","Unique","Legendary","Mystic","Mystic (Prime)"},0),4,6,9,14,20,24))*Sensitivity!$H$11,IF($G$10="Status Effect Damage %",0,IF($G$10="Damage %",(CHOOSE(MATCH($F$10,{"Rare","Epic","Unique","Legendary","Mystic","Mystic (Prime)"},0),4,6,9,14,20,24))*Sensitivity!$H$8,IF($G$10="Defense Penetration %",(CHOOSE(MATCH($F$10,{"Rare","Epic","Unique","Legendary","Mystic","Mystic (Prime)"},0),2,3,4.5,7,10,12))*Sensitivity!$H$18,0)))))))))))),0)</f>
        <v/>
      </c>
      <c r="L10">
        <f>Summary!$B$3*((IF(D10="(none)",1,1+(E10+IF(G10=D10,H10,0)+IF(J10=D10,K10,0))/Summary!$B$3))*(IF(OR(G10="(none)",G10=D10),1,1+(H10+IF(D10=G10,E10,0)+IF(J10=G10,K10,0))/Summary!$B$3))*(IF(OR(J10="",J10="(none)",J10=D10,J10=G10),1,1+(K10+IF(D10=J10,E10,0)+IF(G10=J10,H10,0))/Summary!$B$3))-1)</f>
        <v/>
      </c>
      <c r="M10">
        <f>OR(Inputs!$B$47="Rainbow-colored Snail Shell",Inputs!$B$48="Rainbow-colored Snail Shell",Inputs!$B$49="Rainbow-colored Snail Shell",Inputs!$B$50="Rainbow-colored Snail Shell")</f>
        <v/>
      </c>
      <c r="N10">
        <f>IF(B10="Not Unlocked",0,B10)</f>
        <v/>
      </c>
    </row>
    <row r="11">
      <c r="A11" s="6" t="inlineStr">
        <is>
          <t>Hexagon Necklace</t>
        </is>
      </c>
      <c r="B11" s="7" t="n">
        <v>3</v>
      </c>
      <c r="C11" s="7" t="inlineStr">
        <is>
          <t>Rare</t>
        </is>
      </c>
      <c r="D11" s="7" t="inlineStr">
        <is>
          <t>(none)</t>
        </is>
      </c>
      <c r="E11">
        <f>IF($N$11&gt;=1,IF($D$11="Main Stat %",(CHOOSE(MATCH($C$11,{"Rare","Epic","Unique","Legendary","Mystic","Mystic (Prime)"},0),2,3,4.5,7,10,12))*Sensitivity!$H$6,IF($D$11="Damage Taken Decrease %",0,IF($D$11="Defense %",0,IF($D$11="Accuracy",0,IF($D$11="Critical Rate %",(CHOOSE(MATCH($C$11,{"Rare","Epic","Unique","Legendary","Mystic","Mystic (Prime)"},0),2,3,4.5,7,10,12))*Sensitivity!$H$15,IF($D$11="Min Damage Multiplier %",(CHOOSE(MATCH($C$11,{"Rare","Epic","Unique","Legendary","Mystic","Mystic (Prime)"},0),2,3,4.5,7,10,12))*Sensitivity!$H$13,IF($D$11="Max Damage Multiplier %",(CHOOSE(MATCH($C$11,{"Rare","Epic","Unique","Legendary","Mystic","Mystic (Prime)"},0),2,3,4.5,7,10,12))*Sensitivity!$H$14,IF($D$11="Boss Monster Damage %",(CHOOSE(MATCH($C$11,{"Rare","Epic","Unique","Legendary","Mystic","Mystic (Prime)"},0),4,6,9,14,20,24))*Sensitivity!$H$10,IF($D$11="Normal Monster Damage %",(CHOOSE(MATCH($C$11,{"Rare","Epic","Unique","Legendary","Mystic","Mystic (Prime)"},0),4,6,9,14,20,24))*Sensitivity!$H$11,IF($D$11="Status Effect Damage %",0,IF($D$11="Damage %",(CHOOSE(MATCH($C$11,{"Rare","Epic","Unique","Legendary","Mystic","Mystic (Prime)"},0),4,6,9,14,20,24))*Sensitivity!$H$8,IF($D$11="Defense Penetration %",(CHOOSE(MATCH($C$11,{"Rare","Epic","Unique","Legendary","Mystic","Mystic (Prime)"},0),2,3,4.5,7,10,12))*Sensitivity!$H$18,0)))))))))))),0)</f>
        <v/>
      </c>
      <c r="F11" s="7" t="inlineStr">
        <is>
          <t>Rare</t>
        </is>
      </c>
      <c r="G11" s="7" t="inlineStr">
        <is>
          <t>(none)</t>
        </is>
      </c>
      <c r="H11">
        <f>IF($N$11&gt;=2,IF($G$11="Main Stat %",(CHOOSE(MATCH($F$11,{"Rare","Epic","Unique","Legendary","Mystic","Mystic (Prime)"},0),2,3,4.5,7,10,12))*Sensitivity!$H$6,IF($G$11="Damage Taken Decrease %",0,IF($G$11="Defense %",0,IF($G$11="Accuracy",0,IF($G$11="Critical Rate %",(CHOOSE(MATCH($F$11,{"Rare","Epic","Unique","Legendary","Mystic","Mystic (Prime)"},0),2,3,4.5,7,10,12))*Sensitivity!$H$15,IF($G$11="Min Damage Multiplier %",(CHOOSE(MATCH($F$11,{"Rare","Epic","Unique","Legendary","Mystic","Mystic (Prime)"},0),2,3,4.5,7,10,12))*Sensitivity!$H$13,IF($G$11="Max Damage Multiplier %",(CHOOSE(MATCH($F$11,{"Rare","Epic","Unique","Legendary","Mystic","Mystic (Prime)"},0),2,3,4.5,7,10,12))*Sensitivity!$H$14,IF($G$11="Boss Monster Damage %",(CHOOSE(MATCH($F$11,{"Rare","Epic","Unique","Legendary","Mystic","Mystic (Prime)"},0),4,6,9,14,20,24))*Sensitivity!$H$10,IF($G$11="Normal Monster Damage %",(CHOOSE(MATCH($F$11,{"Rare","Epic","Unique","Legendary","Mystic","Mystic (Prime)"},0),4,6,9,14,20,24))*Sensitivity!$H$11,IF($G$11="Status Effect Damage %",0,IF($G$11="Damage %",(CHOOSE(MATCH($F$11,{"Rare","Epic","Unique","Legendary","Mystic","Mystic (Prime)"},0),4,6,9,14,20,24))*Sensitivity!$H$8,IF($G$11="Defense Penetration %",(CHOOSE(MATCH($F$11,{"Rare","Epic","Unique","Legendary","Mystic","Mystic (Prime)"},0),2,3,4.5,7,10,12))*Sensitivity!$H$18,0)))))))))))),0)</f>
        <v/>
      </c>
      <c r="L11">
        <f>Summary!$B$3*((IF(D11="(none)",1,1+(E11+IF(G11=D11,H11,0)+IF(J11=D11,K11,0))/Summary!$B$3))*(IF(OR(G11="(none)",G11=D11),1,1+(H11+IF(D11=G11,E11,0)+IF(J11=G11,K11,0))/Summary!$B$3))*(IF(OR(J11="",J11="(none)",J11=D11,J11=G11),1,1+(K11+IF(D11=J11,E11,0)+IF(G11=J11,H11,0))/Summary!$B$3))-1)</f>
        <v/>
      </c>
      <c r="M11">
        <f>OR(Inputs!$B$47="Hexagon Necklace",Inputs!$B$48="Hexagon Necklace",Inputs!$B$49="Hexagon Necklace",Inputs!$B$50="Hexagon Necklace")</f>
        <v/>
      </c>
      <c r="N11">
        <f>IF(B11="Not Unlocked",0,B11)</f>
        <v/>
      </c>
    </row>
    <row r="12">
      <c r="A12" s="6" t="inlineStr">
        <is>
          <t>Arwen's Glass Shoes</t>
        </is>
      </c>
      <c r="B12" s="7" t="n">
        <v>3</v>
      </c>
      <c r="C12" s="7" t="inlineStr">
        <is>
          <t>Rare</t>
        </is>
      </c>
      <c r="D12" s="7" t="inlineStr">
        <is>
          <t>(none)</t>
        </is>
      </c>
      <c r="E12">
        <f>IF($N$12&gt;=1,IF($D$12="Main Stat %",(CHOOSE(MATCH($C$12,{"Rare","Epic","Unique","Legendary","Mystic","Mystic (Prime)"},0),2,3,4.5,7,10,12))*Sensitivity!$H$6,IF($D$12="Damage Taken Decrease %",0,IF($D$12="Defense %",0,IF($D$12="Accuracy",0,IF($D$12="Critical Rate %",(CHOOSE(MATCH($C$12,{"Rare","Epic","Unique","Legendary","Mystic","Mystic (Prime)"},0),2,3,4.5,7,10,12))*Sensitivity!$H$15,IF($D$12="Min Damage Multiplier %",(CHOOSE(MATCH($C$12,{"Rare","Epic","Unique","Legendary","Mystic","Mystic (Prime)"},0),2,3,4.5,7,10,12))*Sensitivity!$H$13,IF($D$12="Max Damage Multiplier %",(CHOOSE(MATCH($C$12,{"Rare","Epic","Unique","Legendary","Mystic","Mystic (Prime)"},0),2,3,4.5,7,10,12))*Sensitivity!$H$14,IF($D$12="Boss Monster Damage %",(CHOOSE(MATCH($C$12,{"Rare","Epic","Unique","Legendary","Mystic","Mystic (Prime)"},0),4,6,9,14,20,24))*Sensitivity!$H$10,IF($D$12="Normal Monster Damage %",(CHOOSE(MATCH($C$12,{"Rare","Epic","Unique","Legendary","Mystic","Mystic (Prime)"},0),4,6,9,14,20,24))*Sensitivity!$H$11,IF($D$12="Status Effect Damage %",0,IF($D$12="Damage %",(CHOOSE(MATCH($C$12,{"Rare","Epic","Unique","Legendary","Mystic","Mystic (Prime)"},0),4,6,9,14,20,24))*Sensitivity!$H$8,IF($D$12="Defense Penetration %",(CHOOSE(MATCH($C$12,{"Rare","Epic","Unique","Legendary","Mystic","Mystic (Prime)"},0),2,3,4.5,7,10,12))*Sensitivity!$H$18,0)))))))))))),0)</f>
        <v/>
      </c>
      <c r="F12" s="7" t="inlineStr">
        <is>
          <t>Rare</t>
        </is>
      </c>
      <c r="G12" s="7" t="inlineStr">
        <is>
          <t>(none)</t>
        </is>
      </c>
      <c r="H12">
        <f>IF($N$12&gt;=2,IF($G$12="Main Stat %",(CHOOSE(MATCH($F$12,{"Rare","Epic","Unique","Legendary","Mystic","Mystic (Prime)"},0),2,3,4.5,7,10,12))*Sensitivity!$H$6,IF($G$12="Damage Taken Decrease %",0,IF($G$12="Defense %",0,IF($G$12="Accuracy",0,IF($G$12="Critical Rate %",(CHOOSE(MATCH($F$12,{"Rare","Epic","Unique","Legendary","Mystic","Mystic (Prime)"},0),2,3,4.5,7,10,12))*Sensitivity!$H$15,IF($G$12="Min Damage Multiplier %",(CHOOSE(MATCH($F$12,{"Rare","Epic","Unique","Legendary","Mystic","Mystic (Prime)"},0),2,3,4.5,7,10,12))*Sensitivity!$H$13,IF($G$12="Max Damage Multiplier %",(CHOOSE(MATCH($F$12,{"Rare","Epic","Unique","Legendary","Mystic","Mystic (Prime)"},0),2,3,4.5,7,10,12))*Sensitivity!$H$14,IF($G$12="Boss Monster Damage %",(CHOOSE(MATCH($F$12,{"Rare","Epic","Unique","Legendary","Mystic","Mystic (Prime)"},0),4,6,9,14,20,24))*Sensitivity!$H$10,IF($G$12="Normal Monster Damage %",(CHOOSE(MATCH($F$12,{"Rare","Epic","Unique","Legendary","Mystic","Mystic (Prime)"},0),4,6,9,14,20,24))*Sensitivity!$H$11,IF($G$12="Status Effect Damage %",0,IF($G$12="Damage %",(CHOOSE(MATCH($F$12,{"Rare","Epic","Unique","Legendary","Mystic","Mystic (Prime)"},0),4,6,9,14,20,24))*Sensitivity!$H$8,IF($G$12="Defense Penetration %",(CHOOSE(MATCH($F$12,{"Rare","Epic","Unique","Legendary","Mystic","Mystic (Prime)"},0),2,3,4.5,7,10,12))*Sensitivity!$H$18,0)))))))))))),0)</f>
        <v/>
      </c>
      <c r="L12">
        <f>Summary!$B$3*((IF(D12="(none)",1,1+(E12+IF(G12=D12,H12,0)+IF(J12=D12,K12,0))/Summary!$B$3))*(IF(OR(G12="(none)",G12=D12),1,1+(H12+IF(D12=G12,E12,0)+IF(J12=G12,K12,0))/Summary!$B$3))*(IF(OR(J12="",J12="(none)",J12=D12,J12=G12),1,1+(K12+IF(D12=J12,E12,0)+IF(G12=J12,H12,0))/Summary!$B$3))-1)</f>
        <v/>
      </c>
      <c r="M12">
        <f>OR(Inputs!$B$47="Arwen's Glass Shoes",Inputs!$B$48="Arwen's Glass Shoes",Inputs!$B$49="Arwen's Glass Shoes",Inputs!$B$50="Arwen's Glass Shoes")</f>
        <v/>
      </c>
      <c r="N12">
        <f>IF(B12="Not Unlocked",0,B12)</f>
        <v/>
      </c>
    </row>
    <row r="13">
      <c r="A13" s="6" t="inlineStr">
        <is>
          <t>Mushmom's Cap</t>
        </is>
      </c>
      <c r="B13" s="7" t="n">
        <v>3</v>
      </c>
      <c r="C13" s="7" t="inlineStr">
        <is>
          <t>Rare</t>
        </is>
      </c>
      <c r="D13" s="7" t="inlineStr">
        <is>
          <t>(none)</t>
        </is>
      </c>
      <c r="E13">
        <f>IF($N$13&gt;=1,IF($D$13="Main Stat %",(CHOOSE(MATCH($C$13,{"Rare","Epic","Unique","Legendary","Mystic","Mystic (Prime)"},0),2,3,4.5,7,10,12))*Sensitivity!$H$6,IF($D$13="Damage Taken Decrease %",0,IF($D$13="Defense %",0,IF($D$13="Accuracy",0,IF($D$13="Critical Rate %",(CHOOSE(MATCH($C$13,{"Rare","Epic","Unique","Legendary","Mystic","Mystic (Prime)"},0),2,3,4.5,7,10,12))*Sensitivity!$H$15,IF($D$13="Min Damage Multiplier %",(CHOOSE(MATCH($C$13,{"Rare","Epic","Unique","Legendary","Mystic","Mystic (Prime)"},0),2,3,4.5,7,10,12))*Sensitivity!$H$13,IF($D$13="Max Damage Multiplier %",(CHOOSE(MATCH($C$13,{"Rare","Epic","Unique","Legendary","Mystic","Mystic (Prime)"},0),2,3,4.5,7,10,12))*Sensitivity!$H$14,IF($D$13="Boss Monster Damage %",(CHOOSE(MATCH($C$13,{"Rare","Epic","Unique","Legendary","Mystic","Mystic (Prime)"},0),4,6,9,14,20,24))*Sensitivity!$H$10,IF($D$13="Normal Monster Damage %",(CHOOSE(MATCH($C$13,{"Rare","Epic","Unique","Legendary","Mystic","Mystic (Prime)"},0),4,6,9,14,20,24))*Sensitivity!$H$11,IF($D$13="Status Effect Damage %",0,IF($D$13="Damage %",(CHOOSE(MATCH($C$13,{"Rare","Epic","Unique","Legendary","Mystic","Mystic (Prime)"},0),4,6,9,14,20,24))*Sensitivity!$H$8,IF($D$13="Defense Penetration %",(CHOOSE(MATCH($C$13,{"Rare","Epic","Unique","Legendary","Mystic","Mystic (Prime)"},0),2,3,4.5,7,10,12))*Sensitivity!$H$18,0)))))))))))),0)</f>
        <v/>
      </c>
      <c r="F13" s="7" t="inlineStr">
        <is>
          <t>Rare</t>
        </is>
      </c>
      <c r="G13" s="7" t="inlineStr">
        <is>
          <t>(none)</t>
        </is>
      </c>
      <c r="H13">
        <f>IF($N$13&gt;=2,IF($G$13="Main Stat %",(CHOOSE(MATCH($F$13,{"Rare","Epic","Unique","Legendary","Mystic","Mystic (Prime)"},0),2,3,4.5,7,10,12))*Sensitivity!$H$6,IF($G$13="Damage Taken Decrease %",0,IF($G$13="Defense %",0,IF($G$13="Accuracy",0,IF($G$13="Critical Rate %",(CHOOSE(MATCH($F$13,{"Rare","Epic","Unique","Legendary","Mystic","Mystic (Prime)"},0),2,3,4.5,7,10,12))*Sensitivity!$H$15,IF($G$13="Min Damage Multiplier %",(CHOOSE(MATCH($F$13,{"Rare","Epic","Unique","Legendary","Mystic","Mystic (Prime)"},0),2,3,4.5,7,10,12))*Sensitivity!$H$13,IF($G$13="Max Damage Multiplier %",(CHOOSE(MATCH($F$13,{"Rare","Epic","Unique","Legendary","Mystic","Mystic (Prime)"},0),2,3,4.5,7,10,12))*Sensitivity!$H$14,IF($G$13="Boss Monster Damage %",(CHOOSE(MATCH($F$13,{"Rare","Epic","Unique","Legendary","Mystic","Mystic (Prime)"},0),4,6,9,14,20,24))*Sensitivity!$H$10,IF($G$13="Normal Monster Damage %",(CHOOSE(MATCH($F$13,{"Rare","Epic","Unique","Legendary","Mystic","Mystic (Prime)"},0),4,6,9,14,20,24))*Sensitivity!$H$11,IF($G$13="Status Effect Damage %",0,IF($G$13="Damage %",(CHOOSE(MATCH($F$13,{"Rare","Epic","Unique","Legendary","Mystic","Mystic (Prime)"},0),4,6,9,14,20,24))*Sensitivity!$H$8,IF($G$13="Defense Penetration %",(CHOOSE(MATCH($F$13,{"Rare","Epic","Unique","Legendary","Mystic","Mystic (Prime)"},0),2,3,4.5,7,10,12))*Sensitivity!$H$18,0)))))))))))),0)</f>
        <v/>
      </c>
      <c r="L13">
        <f>Summary!$B$3*((IF(D13="(none)",1,1+(E13+IF(G13=D13,H13,0)+IF(J13=D13,K13,0))/Summary!$B$3))*(IF(OR(G13="(none)",G13=D13),1,1+(H13+IF(D13=G13,E13,0)+IF(J13=G13,K13,0))/Summary!$B$3))*(IF(OR(J13="",J13="(none)",J13=D13,J13=G13),1,1+(K13+IF(D13=J13,E13,0)+IF(G13=J13,H13,0))/Summary!$B$3))-1)</f>
        <v/>
      </c>
      <c r="M13">
        <f>OR(Inputs!$B$47="Mushmom's Cap",Inputs!$B$48="Mushmom's Cap",Inputs!$B$49="Mushmom's Cap",Inputs!$B$50="Mushmom's Cap")</f>
        <v/>
      </c>
      <c r="N13">
        <f>IF(B13="Not Unlocked",0,B13)</f>
        <v/>
      </c>
    </row>
    <row r="14">
      <c r="A14" s="6" t="inlineStr">
        <is>
          <t>Clear Spring Water</t>
        </is>
      </c>
      <c r="B14" s="7" t="n">
        <v>3</v>
      </c>
      <c r="C14" s="7" t="inlineStr">
        <is>
          <t>Rare</t>
        </is>
      </c>
      <c r="D14" s="7" t="inlineStr">
        <is>
          <t>(none)</t>
        </is>
      </c>
      <c r="E14">
        <f>IF($N$14&gt;=1,IF($D$14="Main Stat %",(CHOOSE(MATCH($C$14,{"Rare","Epic","Unique","Legendary","Mystic","Mystic (Prime)"},0),2,3,4.5,7,10,12))*Sensitivity!$H$6,IF($D$14="Damage Taken Decrease %",0,IF($D$14="Defense %",0,IF($D$14="Accuracy",0,IF($D$14="Critical Rate %",(CHOOSE(MATCH($C$14,{"Rare","Epic","Unique","Legendary","Mystic","Mystic (Prime)"},0),2,3,4.5,7,10,12))*Sensitivity!$H$15,IF($D$14="Min Damage Multiplier %",(CHOOSE(MATCH($C$14,{"Rare","Epic","Unique","Legendary","Mystic","Mystic (Prime)"},0),2,3,4.5,7,10,12))*Sensitivity!$H$13,IF($D$14="Max Damage Multiplier %",(CHOOSE(MATCH($C$14,{"Rare","Epic","Unique","Legendary","Mystic","Mystic (Prime)"},0),2,3,4.5,7,10,12))*Sensitivity!$H$14,IF($D$14="Boss Monster Damage %",(CHOOSE(MATCH($C$14,{"Rare","Epic","Unique","Legendary","Mystic","Mystic (Prime)"},0),4,6,9,14,20,24))*Sensitivity!$H$10,IF($D$14="Normal Monster Damage %",(CHOOSE(MATCH($C$14,{"Rare","Epic","Unique","Legendary","Mystic","Mystic (Prime)"},0),4,6,9,14,20,24))*Sensitivity!$H$11,IF($D$14="Status Effect Damage %",0,IF($D$14="Damage %",(CHOOSE(MATCH($C$14,{"Rare","Epic","Unique","Legendary","Mystic","Mystic (Prime)"},0),4,6,9,14,20,24))*Sensitivity!$H$8,IF($D$14="Defense Penetration %",(CHOOSE(MATCH($C$14,{"Rare","Epic","Unique","Legendary","Mystic","Mystic (Prime)"},0),2,3,4.5,7,10,12))*Sensitivity!$H$18,0)))))))))))),0)</f>
        <v/>
      </c>
      <c r="F14" s="7" t="inlineStr">
        <is>
          <t>Rare</t>
        </is>
      </c>
      <c r="G14" s="7" t="inlineStr">
        <is>
          <t>(none)</t>
        </is>
      </c>
      <c r="H14">
        <f>IF($N$14&gt;=2,IF($G$14="Main Stat %",(CHOOSE(MATCH($F$14,{"Rare","Epic","Unique","Legendary","Mystic","Mystic (Prime)"},0),2,3,4.5,7,10,12))*Sensitivity!$H$6,IF($G$14="Damage Taken Decrease %",0,IF($G$14="Defense %",0,IF($G$14="Accuracy",0,IF($G$14="Critical Rate %",(CHOOSE(MATCH($F$14,{"Rare","Epic","Unique","Legendary","Mystic","Mystic (Prime)"},0),2,3,4.5,7,10,12))*Sensitivity!$H$15,IF($G$14="Min Damage Multiplier %",(CHOOSE(MATCH($F$14,{"Rare","Epic","Unique","Legendary","Mystic","Mystic (Prime)"},0),2,3,4.5,7,10,12))*Sensitivity!$H$13,IF($G$14="Max Damage Multiplier %",(CHOOSE(MATCH($F$14,{"Rare","Epic","Unique","Legendary","Mystic","Mystic (Prime)"},0),2,3,4.5,7,10,12))*Sensitivity!$H$14,IF($G$14="Boss Monster Damage %",(CHOOSE(MATCH($F$14,{"Rare","Epic","Unique","Legendary","Mystic","Mystic (Prime)"},0),4,6,9,14,20,24))*Sensitivity!$H$10,IF($G$14="Normal Monster Damage %",(CHOOSE(MATCH($F$14,{"Rare","Epic","Unique","Legendary","Mystic","Mystic (Prime)"},0),4,6,9,14,20,24))*Sensitivity!$H$11,IF($G$14="Status Effect Damage %",0,IF($G$14="Damage %",(CHOOSE(MATCH($F$14,{"Rare","Epic","Unique","Legendary","Mystic","Mystic (Prime)"},0),4,6,9,14,20,24))*Sensitivity!$H$8,IF($G$14="Defense Penetration %",(CHOOSE(MATCH($F$14,{"Rare","Epic","Unique","Legendary","Mystic","Mystic (Prime)"},0),2,3,4.5,7,10,12))*Sensitivity!$H$18,0)))))))))))),0)</f>
        <v/>
      </c>
      <c r="L14">
        <f>Summary!$B$3*((IF(D14="(none)",1,1+(E14+IF(G14=D14,H14,0)+IF(J14=D14,K14,0))/Summary!$B$3))*(IF(OR(G14="(none)",G14=D14),1,1+(H14+IF(D14=G14,E14,0)+IF(J14=G14,K14,0))/Summary!$B$3))*(IF(OR(J14="",J14="(none)",J14=D14,J14=G14),1,1+(K14+IF(D14=J14,E14,0)+IF(G14=J14,H14,0))/Summary!$B$3))-1)</f>
        <v/>
      </c>
      <c r="M14">
        <f>OR(Inputs!$B$47="Clear Spring Water",Inputs!$B$48="Clear Spring Water",Inputs!$B$49="Clear Spring Water",Inputs!$B$50="Clear Spring Water")</f>
        <v/>
      </c>
      <c r="N14">
        <f>IF(B14="Not Unlocked",0,B14)</f>
        <v/>
      </c>
    </row>
    <row r="15">
      <c r="A15" s="6" t="inlineStr">
        <is>
          <t>Athena Pierce's Old Gloves</t>
        </is>
      </c>
      <c r="B15" s="7" t="n">
        <v>3</v>
      </c>
      <c r="C15" s="7" t="inlineStr">
        <is>
          <t>Rare</t>
        </is>
      </c>
      <c r="D15" s="7" t="inlineStr">
        <is>
          <t>(none)</t>
        </is>
      </c>
      <c r="E15">
        <f>IF($N$15&gt;=1,IF($D$15="Main Stat %",(CHOOSE(MATCH($C$15,{"Rare","Epic","Unique","Legendary","Mystic","Mystic (Prime)"},0),2,3,4.5,7,10,12))*Sensitivity!$H$6,IF($D$15="Damage Taken Decrease %",0,IF($D$15="Defense %",0,IF($D$15="Accuracy",0,IF($D$15="Critical Rate %",(CHOOSE(MATCH($C$15,{"Rare","Epic","Unique","Legendary","Mystic","Mystic (Prime)"},0),2,3,4.5,7,10,12))*Sensitivity!$H$15,IF($D$15="Min Damage Multiplier %",(CHOOSE(MATCH($C$15,{"Rare","Epic","Unique","Legendary","Mystic","Mystic (Prime)"},0),2,3,4.5,7,10,12))*Sensitivity!$H$13,IF($D$15="Max Damage Multiplier %",(CHOOSE(MATCH($C$15,{"Rare","Epic","Unique","Legendary","Mystic","Mystic (Prime)"},0),2,3,4.5,7,10,12))*Sensitivity!$H$14,IF($D$15="Boss Monster Damage %",(CHOOSE(MATCH($C$15,{"Rare","Epic","Unique","Legendary","Mystic","Mystic (Prime)"},0),4,6,9,14,20,24))*Sensitivity!$H$10,IF($D$15="Normal Monster Damage %",(CHOOSE(MATCH($C$15,{"Rare","Epic","Unique","Legendary","Mystic","Mystic (Prime)"},0),4,6,9,14,20,24))*Sensitivity!$H$11,IF($D$15="Status Effect Damage %",0,IF($D$15="Damage %",(CHOOSE(MATCH($C$15,{"Rare","Epic","Unique","Legendary","Mystic","Mystic (Prime)"},0),4,6,9,14,20,24))*Sensitivity!$H$8,IF($D$15="Defense Penetration %",(CHOOSE(MATCH($C$15,{"Rare","Epic","Unique","Legendary","Mystic","Mystic (Prime)"},0),2,3,4.5,7,10,12))*Sensitivity!$H$18,0)))))))))))),0)</f>
        <v/>
      </c>
      <c r="F15" s="7" t="inlineStr">
        <is>
          <t>Rare</t>
        </is>
      </c>
      <c r="G15" s="7" t="inlineStr">
        <is>
          <t>(none)</t>
        </is>
      </c>
      <c r="H15">
        <f>IF($N$15&gt;=2,IF($G$15="Main Stat %",(CHOOSE(MATCH($F$15,{"Rare","Epic","Unique","Legendary","Mystic","Mystic (Prime)"},0),2,3,4.5,7,10,12))*Sensitivity!$H$6,IF($G$15="Damage Taken Decrease %",0,IF($G$15="Defense %",0,IF($G$15="Accuracy",0,IF($G$15="Critical Rate %",(CHOOSE(MATCH($F$15,{"Rare","Epic","Unique","Legendary","Mystic","Mystic (Prime)"},0),2,3,4.5,7,10,12))*Sensitivity!$H$15,IF($G$15="Min Damage Multiplier %",(CHOOSE(MATCH($F$15,{"Rare","Epic","Unique","Legendary","Mystic","Mystic (Prime)"},0),2,3,4.5,7,10,12))*Sensitivity!$H$13,IF($G$15="Max Damage Multiplier %",(CHOOSE(MATCH($F$15,{"Rare","Epic","Unique","Legendary","Mystic","Mystic (Prime)"},0),2,3,4.5,7,10,12))*Sensitivity!$H$14,IF($G$15="Boss Monster Damage %",(CHOOSE(MATCH($F$15,{"Rare","Epic","Unique","Legendary","Mystic","Mystic (Prime)"},0),4,6,9,14,20,24))*Sensitivity!$H$10,IF($G$15="Normal Monster Damage %",(CHOOSE(MATCH($F$15,{"Rare","Epic","Unique","Legendary","Mystic","Mystic (Prime)"},0),4,6,9,14,20,24))*Sensitivity!$H$11,IF($G$15="Status Effect Damage %",0,IF($G$15="Damage %",(CHOOSE(MATCH($F$15,{"Rare","Epic","Unique","Legendary","Mystic","Mystic (Prime)"},0),4,6,9,14,20,24))*Sensitivity!$H$8,IF($G$15="Defense Penetration %",(CHOOSE(MATCH($F$15,{"Rare","Epic","Unique","Legendary","Mystic","Mystic (Prime)"},0),2,3,4.5,7,10,12))*Sensitivity!$H$18,0)))))))))))),0)</f>
        <v/>
      </c>
      <c r="L15">
        <f>Summary!$B$3*((IF(D15="(none)",1,1+(E15+IF(G15=D15,H15,0)+IF(J15=D15,K15,0))/Summary!$B$3))*(IF(OR(G15="(none)",G15=D15),1,1+(H15+IF(D15=G15,E15,0)+IF(J15=G15,K15,0))/Summary!$B$3))*(IF(OR(J15="",J15="(none)",J15=D15,J15=G15),1,1+(K15+IF(D15=J15,E15,0)+IF(G15=J15,H15,0))/Summary!$B$3))-1)</f>
        <v/>
      </c>
      <c r="M15">
        <f>OR(Inputs!$B$47="Athena Pierce's Old Gloves",Inputs!$B$48="Athena Pierce's Old Gloves",Inputs!$B$49="Athena Pierce's Old Gloves",Inputs!$B$50="Athena Pierce's Old Gloves")</f>
        <v/>
      </c>
      <c r="N15">
        <f>IF(B15="Not Unlocked",0,B15)</f>
        <v/>
      </c>
    </row>
    <row r="16">
      <c r="A16" s="6" t="inlineStr">
        <is>
          <t>Zakum's Stone Piece</t>
        </is>
      </c>
      <c r="B16" s="7" t="n">
        <v>3</v>
      </c>
      <c r="C16" s="7" t="inlineStr">
        <is>
          <t>Rare</t>
        </is>
      </c>
      <c r="D16" s="7" t="inlineStr">
        <is>
          <t>(none)</t>
        </is>
      </c>
      <c r="E16">
        <f>IF($N$16&gt;=1,IF($D$16="Main Stat %",(CHOOSE(MATCH($C$16,{"Rare","Epic","Unique","Legendary","Mystic","Mystic (Prime)"},0),2,3,4.5,7,10,12))*Sensitivity!$H$6,IF($D$16="Damage Taken Decrease %",0,IF($D$16="Defense %",0,IF($D$16="Accuracy",0,IF($D$16="Critical Rate %",(CHOOSE(MATCH($C$16,{"Rare","Epic","Unique","Legendary","Mystic","Mystic (Prime)"},0),2,3,4.5,7,10,12))*Sensitivity!$H$15,IF($D$16="Min Damage Multiplier %",(CHOOSE(MATCH($C$16,{"Rare","Epic","Unique","Legendary","Mystic","Mystic (Prime)"},0),2,3,4.5,7,10,12))*Sensitivity!$H$13,IF($D$16="Max Damage Multiplier %",(CHOOSE(MATCH($C$16,{"Rare","Epic","Unique","Legendary","Mystic","Mystic (Prime)"},0),2,3,4.5,7,10,12))*Sensitivity!$H$14,IF($D$16="Boss Monster Damage %",(CHOOSE(MATCH($C$16,{"Rare","Epic","Unique","Legendary","Mystic","Mystic (Prime)"},0),4,6,9,14,20,24))*Sensitivity!$H$10,IF($D$16="Normal Monster Damage %",(CHOOSE(MATCH($C$16,{"Rare","Epic","Unique","Legendary","Mystic","Mystic (Prime)"},0),4,6,9,14,20,24))*Sensitivity!$H$11,IF($D$16="Status Effect Damage %",0,IF($D$16="Damage %",(CHOOSE(MATCH($C$16,{"Rare","Epic","Unique","Legendary","Mystic","Mystic (Prime)"},0),4,6,9,14,20,24))*Sensitivity!$H$8,IF($D$16="Defense Penetration %",(CHOOSE(MATCH($C$16,{"Rare","Epic","Unique","Legendary","Mystic","Mystic (Prime)"},0),2,3,4.5,7,10,12))*Sensitivity!$H$18,0)))))))))))),0)</f>
        <v/>
      </c>
      <c r="F16" s="7" t="inlineStr">
        <is>
          <t>Rare</t>
        </is>
      </c>
      <c r="G16" s="7" t="inlineStr">
        <is>
          <t>(none)</t>
        </is>
      </c>
      <c r="H16">
        <f>IF($N$16&gt;=2,IF($G$16="Main Stat %",(CHOOSE(MATCH($F$16,{"Rare","Epic","Unique","Legendary","Mystic","Mystic (Prime)"},0),2,3,4.5,7,10,12))*Sensitivity!$H$6,IF($G$16="Damage Taken Decrease %",0,IF($G$16="Defense %",0,IF($G$16="Accuracy",0,IF($G$16="Critical Rate %",(CHOOSE(MATCH($F$16,{"Rare","Epic","Unique","Legendary","Mystic","Mystic (Prime)"},0),2,3,4.5,7,10,12))*Sensitivity!$H$15,IF($G$16="Min Damage Multiplier %",(CHOOSE(MATCH($F$16,{"Rare","Epic","Unique","Legendary","Mystic","Mystic (Prime)"},0),2,3,4.5,7,10,12))*Sensitivity!$H$13,IF($G$16="Max Damage Multiplier %",(CHOOSE(MATCH($F$16,{"Rare","Epic","Unique","Legendary","Mystic","Mystic (Prime)"},0),2,3,4.5,7,10,12))*Sensitivity!$H$14,IF($G$16="Boss Monster Damage %",(CHOOSE(MATCH($F$16,{"Rare","Epic","Unique","Legendary","Mystic","Mystic (Prime)"},0),4,6,9,14,20,24))*Sensitivity!$H$10,IF($G$16="Normal Monster Damage %",(CHOOSE(MATCH($F$16,{"Rare","Epic","Unique","Legendary","Mystic","Mystic (Prime)"},0),4,6,9,14,20,24))*Sensitivity!$H$11,IF($G$16="Status Effect Damage %",0,IF($G$16="Damage %",(CHOOSE(MATCH($F$16,{"Rare","Epic","Unique","Legendary","Mystic","Mystic (Prime)"},0),4,6,9,14,20,24))*Sensitivity!$H$8,IF($G$16="Defense Penetration %",(CHOOSE(MATCH($F$16,{"Rare","Epic","Unique","Legendary","Mystic","Mystic (Prime)"},0),2,3,4.5,7,10,12))*Sensitivity!$H$18,0)))))))))))),0)</f>
        <v/>
      </c>
      <c r="L16">
        <f>Summary!$B$3*((IF(D16="(none)",1,1+(E16+IF(G16=D16,H16,0)+IF(J16=D16,K16,0))/Summary!$B$3))*(IF(OR(G16="(none)",G16=D16),1,1+(H16+IF(D16=G16,E16,0)+IF(J16=G16,K16,0))/Summary!$B$3))*(IF(OR(J16="",J16="(none)",J16=D16,J16=G16),1,1+(K16+IF(D16=J16,E16,0)+IF(G16=J16,H16,0))/Summary!$B$3))-1)</f>
        <v/>
      </c>
      <c r="M16">
        <f>OR(Inputs!$B$47="Zakum's Stone Piece",Inputs!$B$48="Zakum's Stone Piece",Inputs!$B$49="Zakum's Stone Piece",Inputs!$B$50="Zakum's Stone Piece")</f>
        <v/>
      </c>
      <c r="N16">
        <f>IF(B16="Not Unlocked",0,B16)</f>
        <v/>
      </c>
    </row>
    <row r="17">
      <c r="A17" s="6" t="inlineStr">
        <is>
          <t>Horntail's Scale</t>
        </is>
      </c>
      <c r="B17" s="7" t="n">
        <v>3</v>
      </c>
      <c r="C17" s="7" t="inlineStr">
        <is>
          <t>Rare</t>
        </is>
      </c>
      <c r="D17" s="7" t="inlineStr">
        <is>
          <t>(none)</t>
        </is>
      </c>
      <c r="E17">
        <f>IF($N$17&gt;=1,IF($D$17="Main Stat %",(CHOOSE(MATCH($C$17,{"Rare","Epic","Unique","Legendary","Mystic","Mystic (Prime)"},0),2,3,4.5,7,10,12))*Sensitivity!$H$6,IF($D$17="Damage Taken Decrease %",0,IF($D$17="Defense %",0,IF($D$17="Accuracy",0,IF($D$17="Critical Rate %",(CHOOSE(MATCH($C$17,{"Rare","Epic","Unique","Legendary","Mystic","Mystic (Prime)"},0),2,3,4.5,7,10,12))*Sensitivity!$H$15,IF($D$17="Min Damage Multiplier %",(CHOOSE(MATCH($C$17,{"Rare","Epic","Unique","Legendary","Mystic","Mystic (Prime)"},0),2,3,4.5,7,10,12))*Sensitivity!$H$13,IF($D$17="Max Damage Multiplier %",(CHOOSE(MATCH($C$17,{"Rare","Epic","Unique","Legendary","Mystic","Mystic (Prime)"},0),2,3,4.5,7,10,12))*Sensitivity!$H$14,IF($D$17="Boss Monster Damage %",(CHOOSE(MATCH($C$17,{"Rare","Epic","Unique","Legendary","Mystic","Mystic (Prime)"},0),4,6,9,14,20,24))*Sensitivity!$H$10,IF($D$17="Normal Monster Damage %",(CHOOSE(MATCH($C$17,{"Rare","Epic","Unique","Legendary","Mystic","Mystic (Prime)"},0),4,6,9,14,20,24))*Sensitivity!$H$11,IF($D$17="Status Effect Damage %",0,IF($D$17="Damage %",(CHOOSE(MATCH($C$17,{"Rare","Epic","Unique","Legendary","Mystic","Mystic (Prime)"},0),4,6,9,14,20,24))*Sensitivity!$H$8,IF($D$17="Defense Penetration %",(CHOOSE(MATCH($C$17,{"Rare","Epic","Unique","Legendary","Mystic","Mystic (Prime)"},0),2,3,4.5,7,10,12))*Sensitivity!$H$18,0)))))))))))),0)</f>
        <v/>
      </c>
      <c r="F17" s="7" t="inlineStr">
        <is>
          <t>Rare</t>
        </is>
      </c>
      <c r="G17" s="7" t="inlineStr">
        <is>
          <t>(none)</t>
        </is>
      </c>
      <c r="H17">
        <f>IF($N$17&gt;=2,IF($G$17="Main Stat %",(CHOOSE(MATCH($F$17,{"Rare","Epic","Unique","Legendary","Mystic","Mystic (Prime)"},0),2,3,4.5,7,10,12))*Sensitivity!$H$6,IF($G$17="Damage Taken Decrease %",0,IF($G$17="Defense %",0,IF($G$17="Accuracy",0,IF($G$17="Critical Rate %",(CHOOSE(MATCH($F$17,{"Rare","Epic","Unique","Legendary","Mystic","Mystic (Prime)"},0),2,3,4.5,7,10,12))*Sensitivity!$H$15,IF($G$17="Min Damage Multiplier %",(CHOOSE(MATCH($F$17,{"Rare","Epic","Unique","Legendary","Mystic","Mystic (Prime)"},0),2,3,4.5,7,10,12))*Sensitivity!$H$13,IF($G$17="Max Damage Multiplier %",(CHOOSE(MATCH($F$17,{"Rare","Epic","Unique","Legendary","Mystic","Mystic (Prime)"},0),2,3,4.5,7,10,12))*Sensitivity!$H$14,IF($G$17="Boss Monster Damage %",(CHOOSE(MATCH($F$17,{"Rare","Epic","Unique","Legendary","Mystic","Mystic (Prime)"},0),4,6,9,14,20,24))*Sensitivity!$H$10,IF($G$17="Normal Monster Damage %",(CHOOSE(MATCH($F$17,{"Rare","Epic","Unique","Legendary","Mystic","Mystic (Prime)"},0),4,6,9,14,20,24))*Sensitivity!$H$11,IF($G$17="Status Effect Damage %",0,IF($G$17="Damage %",(CHOOSE(MATCH($F$17,{"Rare","Epic","Unique","Legendary","Mystic","Mystic (Prime)"},0),4,6,9,14,20,24))*Sensitivity!$H$8,IF($G$17="Defense Penetration %",(CHOOSE(MATCH($F$17,{"Rare","Epic","Unique","Legendary","Mystic","Mystic (Prime)"},0),2,3,4.5,7,10,12))*Sensitivity!$H$18,0)))))))))))),0)</f>
        <v/>
      </c>
      <c r="L17">
        <f>Summary!$B$3*((IF(D17="(none)",1,1+(E17+IF(G17=D17,H17,0)+IF(J17=D17,K17,0))/Summary!$B$3))*(IF(OR(G17="(none)",G17=D17),1,1+(H17+IF(D17=G17,E17,0)+IF(J17=G17,K17,0))/Summary!$B$3))*(IF(OR(J17="",J17="(none)",J17=D17,J17=G17),1,1+(K17+IF(D17=J17,E17,0)+IF(G17=J17,H17,0))/Summary!$B$3))-1)</f>
        <v/>
      </c>
      <c r="M17">
        <f>OR(Inputs!$B$47="Horntail's Scale",Inputs!$B$48="Horntail's Scale",Inputs!$B$49="Horntail's Scale",Inputs!$B$50="Horntail's Scale")</f>
        <v/>
      </c>
      <c r="N17">
        <f>IF(B17="Not Unlocked",0,B17)</f>
        <v/>
      </c>
    </row>
    <row r="18">
      <c r="A18" s="6" t="inlineStr">
        <is>
          <t>Pink Bean's Giant Rib</t>
        </is>
      </c>
      <c r="B18" s="7" t="n">
        <v>3</v>
      </c>
      <c r="C18" s="7" t="inlineStr">
        <is>
          <t>Rare</t>
        </is>
      </c>
      <c r="D18" s="7" t="inlineStr">
        <is>
          <t>(none)</t>
        </is>
      </c>
      <c r="E18">
        <f>IF($N$18&gt;=1,IF($D$18="Main Stat %",(CHOOSE(MATCH($C$18,{"Rare","Epic","Unique","Legendary","Mystic","Mystic (Prime)"},0),2,3,4.5,7,10,12))*Sensitivity!$H$6,IF($D$18="Damage Taken Decrease %",0,IF($D$18="Defense %",0,IF($D$18="Accuracy",0,IF($D$18="Critical Rate %",(CHOOSE(MATCH($C$18,{"Rare","Epic","Unique","Legendary","Mystic","Mystic (Prime)"},0),2,3,4.5,7,10,12))*Sensitivity!$H$15,IF($D$18="Min Damage Multiplier %",(CHOOSE(MATCH($C$18,{"Rare","Epic","Unique","Legendary","Mystic","Mystic (Prime)"},0),2,3,4.5,7,10,12))*Sensitivity!$H$13,IF($D$18="Max Damage Multiplier %",(CHOOSE(MATCH($C$18,{"Rare","Epic","Unique","Legendary","Mystic","Mystic (Prime)"},0),2,3,4.5,7,10,12))*Sensitivity!$H$14,IF($D$18="Boss Monster Damage %",(CHOOSE(MATCH($C$18,{"Rare","Epic","Unique","Legendary","Mystic","Mystic (Prime)"},0),4,6,9,14,20,24))*Sensitivity!$H$10,IF($D$18="Normal Monster Damage %",(CHOOSE(MATCH($C$18,{"Rare","Epic","Unique","Legendary","Mystic","Mystic (Prime)"},0),4,6,9,14,20,24))*Sensitivity!$H$11,IF($D$18="Status Effect Damage %",0,IF($D$18="Damage %",(CHOOSE(MATCH($C$18,{"Rare","Epic","Unique","Legendary","Mystic","Mystic (Prime)"},0),4,6,9,14,20,24))*Sensitivity!$H$8,IF($D$18="Defense Penetration %",(CHOOSE(MATCH($C$18,{"Rare","Epic","Unique","Legendary","Mystic","Mystic (Prime)"},0),2,3,4.5,7,10,12))*Sensitivity!$H$18,0)))))))))))),0)</f>
        <v/>
      </c>
      <c r="F18" s="7" t="inlineStr">
        <is>
          <t>Rare</t>
        </is>
      </c>
      <c r="G18" s="7" t="inlineStr">
        <is>
          <t>(none)</t>
        </is>
      </c>
      <c r="H18">
        <f>IF($N$18&gt;=2,IF($G$18="Main Stat %",(CHOOSE(MATCH($F$18,{"Rare","Epic","Unique","Legendary","Mystic","Mystic (Prime)"},0),2,3,4.5,7,10,12))*Sensitivity!$H$6,IF($G$18="Damage Taken Decrease %",0,IF($G$18="Defense %",0,IF($G$18="Accuracy",0,IF($G$18="Critical Rate %",(CHOOSE(MATCH($F$18,{"Rare","Epic","Unique","Legendary","Mystic","Mystic (Prime)"},0),2,3,4.5,7,10,12))*Sensitivity!$H$15,IF($G$18="Min Damage Multiplier %",(CHOOSE(MATCH($F$18,{"Rare","Epic","Unique","Legendary","Mystic","Mystic (Prime)"},0),2,3,4.5,7,10,12))*Sensitivity!$H$13,IF($G$18="Max Damage Multiplier %",(CHOOSE(MATCH($F$18,{"Rare","Epic","Unique","Legendary","Mystic","Mystic (Prime)"},0),2,3,4.5,7,10,12))*Sensitivity!$H$14,IF($G$18="Boss Monster Damage %",(CHOOSE(MATCH($F$18,{"Rare","Epic","Unique","Legendary","Mystic","Mystic (Prime)"},0),4,6,9,14,20,24))*Sensitivity!$H$10,IF($G$18="Normal Monster Damage %",(CHOOSE(MATCH($F$18,{"Rare","Epic","Unique","Legendary","Mystic","Mystic (Prime)"},0),4,6,9,14,20,24))*Sensitivity!$H$11,IF($G$18="Status Effect Damage %",0,IF($G$18="Damage %",(CHOOSE(MATCH($F$18,{"Rare","Epic","Unique","Legendary","Mystic","Mystic (Prime)"},0),4,6,9,14,20,24))*Sensitivity!$H$8,IF($G$18="Defense Penetration %",(CHOOSE(MATCH($F$18,{"Rare","Epic","Unique","Legendary","Mystic","Mystic (Prime)"},0),2,3,4.5,7,10,12))*Sensitivity!$H$18,0)))))))))))),0)</f>
        <v/>
      </c>
      <c r="L18">
        <f>Summary!$B$3*((IF(D18="(none)",1,1+(E18+IF(G18=D18,H18,0)+IF(J18=D18,K18,0))/Summary!$B$3))*(IF(OR(G18="(none)",G18=D18),1,1+(H18+IF(D18=G18,E18,0)+IF(J18=G18,K18,0))/Summary!$B$3))*(IF(OR(J18="",J18="(none)",J18=D18,J18=G18),1,1+(K18+IF(D18=J18,E18,0)+IF(G18=J18,H18,0))/Summary!$B$3))-1)</f>
        <v/>
      </c>
      <c r="M18">
        <f>OR(Inputs!$B$47="Pink Bean's Giant Rib",Inputs!$B$48="Pink Bean's Giant Rib",Inputs!$B$49="Pink Bean's Giant Rib",Inputs!$B$50="Pink Bean's Giant Rib")</f>
        <v/>
      </c>
      <c r="N18">
        <f>IF(B18="Not Unlocked",0,B18)</f>
        <v/>
      </c>
    </row>
    <row r="20">
      <c r="A20" s="6" t="inlineStr">
        <is>
          <t>Chalice</t>
        </is>
      </c>
      <c r="B20" s="7" t="inlineStr">
        <is>
          <t>Not Unlocked</t>
        </is>
      </c>
      <c r="C20" s="7" t="inlineStr">
        <is>
          <t>Rare</t>
        </is>
      </c>
      <c r="D20" s="7" t="inlineStr">
        <is>
          <t>(none)</t>
        </is>
      </c>
      <c r="E20">
        <f>IF($N$20&gt;=1,IF($D$20="Main Stat %",(CHOOSE(MATCH($C$20,{"Rare","Epic","Unique","Legendary","Mystic","Mystic (Prime)"},0),2,3,4.5,7,10,12))*Sensitivity!$H$6,IF($D$20="Damage Taken Decrease %",0,IF($D$20="Defense %",0,IF($D$20="Accuracy",0,IF($D$20="Critical Rate %",(CHOOSE(MATCH($C$20,{"Rare","Epic","Unique","Legendary","Mystic","Mystic (Prime)"},0),2,3,4.5,7,10,12))*Sensitivity!$H$15,IF($D$20="Min Damage Multiplier %",(CHOOSE(MATCH($C$20,{"Rare","Epic","Unique","Legendary","Mystic","Mystic (Prime)"},0),2,3,4.5,7,10,12))*Sensitivity!$H$13,IF($D$20="Max Damage Multiplier %",(CHOOSE(MATCH($C$20,{"Rare","Epic","Unique","Legendary","Mystic","Mystic (Prime)"},0),2,3,4.5,7,10,12))*Sensitivity!$H$14,IF($D$20="Boss Monster Damage %",(CHOOSE(MATCH($C$20,{"Rare","Epic","Unique","Legendary","Mystic","Mystic (Prime)"},0),4,6,9,14,20,24))*Sensitivity!$H$10,IF($D$20="Normal Monster Damage %",(CHOOSE(MATCH($C$20,{"Rare","Epic","Unique","Legendary","Mystic","Mystic (Prime)"},0),4,6,9,14,20,24))*Sensitivity!$H$11,IF($D$20="Status Effect Damage %",0,IF($D$20="Damage %",(CHOOSE(MATCH($C$20,{"Rare","Epic","Unique","Legendary","Mystic","Mystic (Prime)"},0),4,6,9,14,20,24))*Sensitivity!$H$8,IF($D$20="Defense Penetration %",(CHOOSE(MATCH($C$20,{"Rare","Epic","Unique","Legendary","Mystic","Mystic (Prime)"},0),2,3,4.5,7,10,12))*Sensitivity!$H$18,0)))))))))))),0)</f>
        <v/>
      </c>
      <c r="F20" s="7" t="inlineStr">
        <is>
          <t>Rare</t>
        </is>
      </c>
      <c r="G20" s="7" t="inlineStr">
        <is>
          <t>(none)</t>
        </is>
      </c>
      <c r="H20">
        <f>IF($N$20&gt;=2,IF($G$20="Main Stat %",(CHOOSE(MATCH($F$20,{"Rare","Epic","Unique","Legendary","Mystic","Mystic (Prime)"},0),2,3,4.5,7,10,12))*Sensitivity!$H$6,IF($G$20="Damage Taken Decrease %",0,IF($G$20="Defense %",0,IF($G$20="Accuracy",0,IF($G$20="Critical Rate %",(CHOOSE(MATCH($F$20,{"Rare","Epic","Unique","Legendary","Mystic","Mystic (Prime)"},0),2,3,4.5,7,10,12))*Sensitivity!$H$15,IF($G$20="Min Damage Multiplier %",(CHOOSE(MATCH($F$20,{"Rare","Epic","Unique","Legendary","Mystic","Mystic (Prime)"},0),2,3,4.5,7,10,12))*Sensitivity!$H$13,IF($G$20="Max Damage Multiplier %",(CHOOSE(MATCH($F$20,{"Rare","Epic","Unique","Legendary","Mystic","Mystic (Prime)"},0),2,3,4.5,7,10,12))*Sensitivity!$H$14,IF($G$20="Boss Monster Damage %",(CHOOSE(MATCH($F$20,{"Rare","Epic","Unique","Legendary","Mystic","Mystic (Prime)"},0),4,6,9,14,20,24))*Sensitivity!$H$10,IF($G$20="Normal Monster Damage %",(CHOOSE(MATCH($F$20,{"Rare","Epic","Unique","Legendary","Mystic","Mystic (Prime)"},0),4,6,9,14,20,24))*Sensitivity!$H$11,IF($G$20="Status Effect Damage %",0,IF($G$20="Damage %",(CHOOSE(MATCH($F$20,{"Rare","Epic","Unique","Legendary","Mystic","Mystic (Prime)"},0),4,6,9,14,20,24))*Sensitivity!$H$8,IF($G$20="Defense Penetration %",(CHOOSE(MATCH($F$20,{"Rare","Epic","Unique","Legendary","Mystic","Mystic (Prime)"},0),2,3,4.5,7,10,12))*Sensitivity!$H$18,0)))))))))))),0)</f>
        <v/>
      </c>
      <c r="I20" s="7" t="inlineStr">
        <is>
          <t>Rare</t>
        </is>
      </c>
      <c r="J20" s="7" t="inlineStr">
        <is>
          <t>(none)</t>
        </is>
      </c>
      <c r="K20">
        <f>IF($N$20&gt;=5,IF($J$20="Main Stat %",(CHOOSE(MATCH($I$20,{"Rare","Epic","Unique","Legendary","Mystic","Mystic (Prime)"},0),2,3,4.5,7,10,12))*Sensitivity!$H$6,IF($J$20="Damage Taken Decrease %",0,IF($J$20="Defense %",0,IF($J$20="Accuracy",0,IF($J$20="Critical Rate %",(CHOOSE(MATCH($I$20,{"Rare","Epic","Unique","Legendary","Mystic","Mystic (Prime)"},0),2,3,4.5,7,10,12))*Sensitivity!$H$15,IF($J$20="Min Damage Multiplier %",(CHOOSE(MATCH($I$20,{"Rare","Epic","Unique","Legendary","Mystic","Mystic (Prime)"},0),2,3,4.5,7,10,12))*Sensitivity!$H$13,IF($J$20="Max Damage Multiplier %",(CHOOSE(MATCH($I$20,{"Rare","Epic","Unique","Legendary","Mystic","Mystic (Prime)"},0),2,3,4.5,7,10,12))*Sensitivity!$H$14,IF($J$20="Boss Monster Damage %",(CHOOSE(MATCH($I$20,{"Rare","Epic","Unique","Legendary","Mystic","Mystic (Prime)"},0),4,6,9,14,20,24))*Sensitivity!$H$10,IF($J$20="Normal Monster Damage %",(CHOOSE(MATCH($I$20,{"Rare","Epic","Unique","Legendary","Mystic","Mystic (Prime)"},0),4,6,9,14,20,24))*Sensitivity!$H$11,IF($J$20="Status Effect Damage %",0,IF($J$20="Damage %",(CHOOSE(MATCH($I$20,{"Rare","Epic","Unique","Legendary","Mystic","Mystic (Prime)"},0),4,6,9,14,20,24))*Sensitivity!$H$8,IF($J$20="Defense Penetration %",(CHOOSE(MATCH($I$20,{"Rare","Epic","Unique","Legendary","Mystic","Mystic (Prime)"},0),2,3,4.5,7,10,12))*Sensitivity!$H$18,0)))))))))))),0)</f>
        <v/>
      </c>
      <c r="L20">
        <f>Summary!$B$3*((IF(D20="(none)",1,1+(E20+IF(G20=D20,H20,0)+IF(J20=D20,K20,0))/Summary!$B$3))*(IF(OR(G20="(none)",G20=D20),1,1+(H20+IF(D20=G20,E20,0)+IF(J20=G20,K20,0))/Summary!$B$3))*(IF(OR(J20="",J20="(none)",J20=D20,J20=G20),1,1+(K20+IF(D20=J20,E20,0)+IF(G20=J20,H20,0))/Summary!$B$3))-1)</f>
        <v/>
      </c>
      <c r="M20">
        <f>OR(Inputs!$B$47="Chalice",Inputs!$B$48="Chalice",Inputs!$B$49="Chalice",Inputs!$B$50="Chalice")</f>
        <v/>
      </c>
      <c r="N20">
        <f>IF(B20="Not Unlocked",0,B20)</f>
        <v/>
      </c>
    </row>
    <row r="21">
      <c r="A21" s="6" t="inlineStr">
        <is>
          <t>Old Music Box</t>
        </is>
      </c>
      <c r="B21" s="7" t="inlineStr">
        <is>
          <t>Not Unlocked</t>
        </is>
      </c>
      <c r="C21" s="7" t="inlineStr">
        <is>
          <t>Rare</t>
        </is>
      </c>
      <c r="D21" s="7" t="inlineStr">
        <is>
          <t>(none)</t>
        </is>
      </c>
      <c r="E21">
        <f>IF($N$21&gt;=1,IF($D$21="Main Stat %",(CHOOSE(MATCH($C$21,{"Rare","Epic","Unique","Legendary","Mystic","Mystic (Prime)"},0),2,3,4.5,7,10,12))*Sensitivity!$H$6,IF($D$21="Damage Taken Decrease %",0,IF($D$21="Defense %",0,IF($D$21="Accuracy",0,IF($D$21="Critical Rate %",(CHOOSE(MATCH($C$21,{"Rare","Epic","Unique","Legendary","Mystic","Mystic (Prime)"},0),2,3,4.5,7,10,12))*Sensitivity!$H$15,IF($D$21="Min Damage Multiplier %",(CHOOSE(MATCH($C$21,{"Rare","Epic","Unique","Legendary","Mystic","Mystic (Prime)"},0),2,3,4.5,7,10,12))*Sensitivity!$H$13,IF($D$21="Max Damage Multiplier %",(CHOOSE(MATCH($C$21,{"Rare","Epic","Unique","Legendary","Mystic","Mystic (Prime)"},0),2,3,4.5,7,10,12))*Sensitivity!$H$14,IF($D$21="Boss Monster Damage %",(CHOOSE(MATCH($C$21,{"Rare","Epic","Unique","Legendary","Mystic","Mystic (Prime)"},0),4,6,9,14,20,24))*Sensitivity!$H$10,IF($D$21="Normal Monster Damage %",(CHOOSE(MATCH($C$21,{"Rare","Epic","Unique","Legendary","Mystic","Mystic (Prime)"},0),4,6,9,14,20,24))*Sensitivity!$H$11,IF($D$21="Status Effect Damage %",0,IF($D$21="Damage %",(CHOOSE(MATCH($C$21,{"Rare","Epic","Unique","Legendary","Mystic","Mystic (Prime)"},0),4,6,9,14,20,24))*Sensitivity!$H$8,IF($D$21="Defense Penetration %",(CHOOSE(MATCH($C$21,{"Rare","Epic","Unique","Legendary","Mystic","Mystic (Prime)"},0),2,3,4.5,7,10,12))*Sensitivity!$H$18,0)))))))))))),0)</f>
        <v/>
      </c>
      <c r="F21" s="7" t="inlineStr">
        <is>
          <t>Rare</t>
        </is>
      </c>
      <c r="G21" s="7" t="inlineStr">
        <is>
          <t>(none)</t>
        </is>
      </c>
      <c r="H21">
        <f>IF($N$21&gt;=2,IF($G$21="Main Stat %",(CHOOSE(MATCH($F$21,{"Rare","Epic","Unique","Legendary","Mystic","Mystic (Prime)"},0),2,3,4.5,7,10,12))*Sensitivity!$H$6,IF($G$21="Damage Taken Decrease %",0,IF($G$21="Defense %",0,IF($G$21="Accuracy",0,IF($G$21="Critical Rate %",(CHOOSE(MATCH($F$21,{"Rare","Epic","Unique","Legendary","Mystic","Mystic (Prime)"},0),2,3,4.5,7,10,12))*Sensitivity!$H$15,IF($G$21="Min Damage Multiplier %",(CHOOSE(MATCH($F$21,{"Rare","Epic","Unique","Legendary","Mystic","Mystic (Prime)"},0),2,3,4.5,7,10,12))*Sensitivity!$H$13,IF($G$21="Max Damage Multiplier %",(CHOOSE(MATCH($F$21,{"Rare","Epic","Unique","Legendary","Mystic","Mystic (Prime)"},0),2,3,4.5,7,10,12))*Sensitivity!$H$14,IF($G$21="Boss Monster Damage %",(CHOOSE(MATCH($F$21,{"Rare","Epic","Unique","Legendary","Mystic","Mystic (Prime)"},0),4,6,9,14,20,24))*Sensitivity!$H$10,IF($G$21="Normal Monster Damage %",(CHOOSE(MATCH($F$21,{"Rare","Epic","Unique","Legendary","Mystic","Mystic (Prime)"},0),4,6,9,14,20,24))*Sensitivity!$H$11,IF($G$21="Status Effect Damage %",0,IF($G$21="Damage %",(CHOOSE(MATCH($F$21,{"Rare","Epic","Unique","Legendary","Mystic","Mystic (Prime)"},0),4,6,9,14,20,24))*Sensitivity!$H$8,IF($G$21="Defense Penetration %",(CHOOSE(MATCH($F$21,{"Rare","Epic","Unique","Legendary","Mystic","Mystic (Prime)"},0),2,3,4.5,7,10,12))*Sensitivity!$H$18,0)))))))))))),0)</f>
        <v/>
      </c>
      <c r="I21" s="7" t="inlineStr">
        <is>
          <t>Rare</t>
        </is>
      </c>
      <c r="J21" s="7" t="inlineStr">
        <is>
          <t>(none)</t>
        </is>
      </c>
      <c r="K21">
        <f>IF($N$21&gt;=5,IF($J$21="Main Stat %",(CHOOSE(MATCH($I$21,{"Rare","Epic","Unique","Legendary","Mystic","Mystic (Prime)"},0),2,3,4.5,7,10,12))*Sensitivity!$H$6,IF($J$21="Damage Taken Decrease %",0,IF($J$21="Defense %",0,IF($J$21="Accuracy",0,IF($J$21="Critical Rate %",(CHOOSE(MATCH($I$21,{"Rare","Epic","Unique","Legendary","Mystic","Mystic (Prime)"},0),2,3,4.5,7,10,12))*Sensitivity!$H$15,IF($J$21="Min Damage Multiplier %",(CHOOSE(MATCH($I$21,{"Rare","Epic","Unique","Legendary","Mystic","Mystic (Prime)"},0),2,3,4.5,7,10,12))*Sensitivity!$H$13,IF($J$21="Max Damage Multiplier %",(CHOOSE(MATCH($I$21,{"Rare","Epic","Unique","Legendary","Mystic","Mystic (Prime)"},0),2,3,4.5,7,10,12))*Sensitivity!$H$14,IF($J$21="Boss Monster Damage %",(CHOOSE(MATCH($I$21,{"Rare","Epic","Unique","Legendary","Mystic","Mystic (Prime)"},0),4,6,9,14,20,24))*Sensitivity!$H$10,IF($J$21="Normal Monster Damage %",(CHOOSE(MATCH($I$21,{"Rare","Epic","Unique","Legendary","Mystic","Mystic (Prime)"},0),4,6,9,14,20,24))*Sensitivity!$H$11,IF($J$21="Status Effect Damage %",0,IF($J$21="Damage %",(CHOOSE(MATCH($I$21,{"Rare","Epic","Unique","Legendary","Mystic","Mystic (Prime)"},0),4,6,9,14,20,24))*Sensitivity!$H$8,IF($J$21="Defense Penetration %",(CHOOSE(MATCH($I$21,{"Rare","Epic","Unique","Legendary","Mystic","Mystic (Prime)"},0),2,3,4.5,7,10,12))*Sensitivity!$H$18,0)))))))))))),0)</f>
        <v/>
      </c>
      <c r="L21">
        <f>Summary!$B$3*((IF(D21="(none)",1,1+(E21+IF(G21=D21,H21,0)+IF(J21=D21,K21,0))/Summary!$B$3))*(IF(OR(G21="(none)",G21=D21),1,1+(H21+IF(D21=G21,E21,0)+IF(J21=G21,K21,0))/Summary!$B$3))*(IF(OR(J21="",J21="(none)",J21=D21,J21=G21),1,1+(K21+IF(D21=J21,E21,0)+IF(G21=J21,H21,0))/Summary!$B$3))-1)</f>
        <v/>
      </c>
      <c r="M21">
        <f>OR(Inputs!$B$47="Old Music Box",Inputs!$B$48="Old Music Box",Inputs!$B$49="Old Music Box",Inputs!$B$50="Old Music Box")</f>
        <v/>
      </c>
      <c r="N21">
        <f>IF(B21="Not Unlocked",0,B21)</f>
        <v/>
      </c>
    </row>
    <row r="22">
      <c r="A22" s="6" t="inlineStr">
        <is>
          <t>Silver Pendant</t>
        </is>
      </c>
      <c r="B22" s="7" t="inlineStr">
        <is>
          <t>Not Unlocked</t>
        </is>
      </c>
      <c r="C22" s="7" t="inlineStr">
        <is>
          <t>Rare</t>
        </is>
      </c>
      <c r="D22" s="7" t="inlineStr">
        <is>
          <t>(none)</t>
        </is>
      </c>
      <c r="E22">
        <f>IF($N$22&gt;=1,IF($D$22="Main Stat %",(CHOOSE(MATCH($C$22,{"Rare","Epic","Unique","Legendary","Mystic","Mystic (Prime)"},0),2,3,4.5,7,10,12))*Sensitivity!$H$6,IF($D$22="Damage Taken Decrease %",0,IF($D$22="Defense %",0,IF($D$22="Accuracy",0,IF($D$22="Critical Rate %",(CHOOSE(MATCH($C$22,{"Rare","Epic","Unique","Legendary","Mystic","Mystic (Prime)"},0),2,3,4.5,7,10,12))*Sensitivity!$H$15,IF($D$22="Min Damage Multiplier %",(CHOOSE(MATCH($C$22,{"Rare","Epic","Unique","Legendary","Mystic","Mystic (Prime)"},0),2,3,4.5,7,10,12))*Sensitivity!$H$13,IF($D$22="Max Damage Multiplier %",(CHOOSE(MATCH($C$22,{"Rare","Epic","Unique","Legendary","Mystic","Mystic (Prime)"},0),2,3,4.5,7,10,12))*Sensitivity!$H$14,IF($D$22="Boss Monster Damage %",(CHOOSE(MATCH($C$22,{"Rare","Epic","Unique","Legendary","Mystic","Mystic (Prime)"},0),4,6,9,14,20,24))*Sensitivity!$H$10,IF($D$22="Normal Monster Damage %",(CHOOSE(MATCH($C$22,{"Rare","Epic","Unique","Legendary","Mystic","Mystic (Prime)"},0),4,6,9,14,20,24))*Sensitivity!$H$11,IF($D$22="Status Effect Damage %",0,IF($D$22="Damage %",(CHOOSE(MATCH($C$22,{"Rare","Epic","Unique","Legendary","Mystic","Mystic (Prime)"},0),4,6,9,14,20,24))*Sensitivity!$H$8,IF($D$22="Defense Penetration %",(CHOOSE(MATCH($C$22,{"Rare","Epic","Unique","Legendary","Mystic","Mystic (Prime)"},0),2,3,4.5,7,10,12))*Sensitivity!$H$18,0)))))))))))),0)</f>
        <v/>
      </c>
      <c r="F22" s="7" t="inlineStr">
        <is>
          <t>Rare</t>
        </is>
      </c>
      <c r="G22" s="7" t="inlineStr">
        <is>
          <t>(none)</t>
        </is>
      </c>
      <c r="H22">
        <f>IF($N$22&gt;=2,IF($G$22="Main Stat %",(CHOOSE(MATCH($F$22,{"Rare","Epic","Unique","Legendary","Mystic","Mystic (Prime)"},0),2,3,4.5,7,10,12))*Sensitivity!$H$6,IF($G$22="Damage Taken Decrease %",0,IF($G$22="Defense %",0,IF($G$22="Accuracy",0,IF($G$22="Critical Rate %",(CHOOSE(MATCH($F$22,{"Rare","Epic","Unique","Legendary","Mystic","Mystic (Prime)"},0),2,3,4.5,7,10,12))*Sensitivity!$H$15,IF($G$22="Min Damage Multiplier %",(CHOOSE(MATCH($F$22,{"Rare","Epic","Unique","Legendary","Mystic","Mystic (Prime)"},0),2,3,4.5,7,10,12))*Sensitivity!$H$13,IF($G$22="Max Damage Multiplier %",(CHOOSE(MATCH($F$22,{"Rare","Epic","Unique","Legendary","Mystic","Mystic (Prime)"},0),2,3,4.5,7,10,12))*Sensitivity!$H$14,IF($G$22="Boss Monster Damage %",(CHOOSE(MATCH($F$22,{"Rare","Epic","Unique","Legendary","Mystic","Mystic (Prime)"},0),4,6,9,14,20,24))*Sensitivity!$H$10,IF($G$22="Normal Monster Damage %",(CHOOSE(MATCH($F$22,{"Rare","Epic","Unique","Legendary","Mystic","Mystic (Prime)"},0),4,6,9,14,20,24))*Sensitivity!$H$11,IF($G$22="Status Effect Damage %",0,IF($G$22="Damage %",(CHOOSE(MATCH($F$22,{"Rare","Epic","Unique","Legendary","Mystic","Mystic (Prime)"},0),4,6,9,14,20,24))*Sensitivity!$H$8,IF($G$22="Defense Penetration %",(CHOOSE(MATCH($F$22,{"Rare","Epic","Unique","Legendary","Mystic","Mystic (Prime)"},0),2,3,4.5,7,10,12))*Sensitivity!$H$18,0)))))))))))),0)</f>
        <v/>
      </c>
      <c r="I22" s="7" t="inlineStr">
        <is>
          <t>Rare</t>
        </is>
      </c>
      <c r="J22" s="7" t="inlineStr">
        <is>
          <t>(none)</t>
        </is>
      </c>
      <c r="K22">
        <f>IF($N$22&gt;=5,IF($J$22="Main Stat %",(CHOOSE(MATCH($I$22,{"Rare","Epic","Unique","Legendary","Mystic","Mystic (Prime)"},0),2,3,4.5,7,10,12))*Sensitivity!$H$6,IF($J$22="Damage Taken Decrease %",0,IF($J$22="Defense %",0,IF($J$22="Accuracy",0,IF($J$22="Critical Rate %",(CHOOSE(MATCH($I$22,{"Rare","Epic","Unique","Legendary","Mystic","Mystic (Prime)"},0),2,3,4.5,7,10,12))*Sensitivity!$H$15,IF($J$22="Min Damage Multiplier %",(CHOOSE(MATCH($I$22,{"Rare","Epic","Unique","Legendary","Mystic","Mystic (Prime)"},0),2,3,4.5,7,10,12))*Sensitivity!$H$13,IF($J$22="Max Damage Multiplier %",(CHOOSE(MATCH($I$22,{"Rare","Epic","Unique","Legendary","Mystic","Mystic (Prime)"},0),2,3,4.5,7,10,12))*Sensitivity!$H$14,IF($J$22="Boss Monster Damage %",(CHOOSE(MATCH($I$22,{"Rare","Epic","Unique","Legendary","Mystic","Mystic (Prime)"},0),4,6,9,14,20,24))*Sensitivity!$H$10,IF($J$22="Normal Monster Damage %",(CHOOSE(MATCH($I$22,{"Rare","Epic","Unique","Legendary","Mystic","Mystic (Prime)"},0),4,6,9,14,20,24))*Sensitivity!$H$11,IF($J$22="Status Effect Damage %",0,IF($J$22="Damage %",(CHOOSE(MATCH($I$22,{"Rare","Epic","Unique","Legendary","Mystic","Mystic (Prime)"},0),4,6,9,14,20,24))*Sensitivity!$H$8,IF($J$22="Defense Penetration %",(CHOOSE(MATCH($I$22,{"Rare","Epic","Unique","Legendary","Mystic","Mystic (Prime)"},0),2,3,4.5,7,10,12))*Sensitivity!$H$18,0)))))))))))),0)</f>
        <v/>
      </c>
      <c r="L22">
        <f>Summary!$B$3*((IF(D22="(none)",1,1+(E22+IF(G22=D22,H22,0)+IF(J22=D22,K22,0))/Summary!$B$3))*(IF(OR(G22="(none)",G22=D22),1,1+(H22+IF(D22=G22,E22,0)+IF(J22=G22,K22,0))/Summary!$B$3))*(IF(OR(J22="",J22="(none)",J22=D22,J22=G22),1,1+(K22+IF(D22=J22,E22,0)+IF(G22=J22,H22,0))/Summary!$B$3))-1)</f>
        <v/>
      </c>
      <c r="M22">
        <f>OR(Inputs!$B$47="Silver Pendant",Inputs!$B$48="Silver Pendant",Inputs!$B$49="Silver Pendant",Inputs!$B$50="Silver Pendant")</f>
        <v/>
      </c>
      <c r="N22">
        <f>IF(B22="Not Unlocked",0,B22)</f>
        <v/>
      </c>
    </row>
    <row r="23">
      <c r="A23" s="6" t="inlineStr">
        <is>
          <t>Star Rock</t>
        </is>
      </c>
      <c r="B23" s="7" t="inlineStr">
        <is>
          <t>Not Unlocked</t>
        </is>
      </c>
      <c r="C23" s="7" t="inlineStr">
        <is>
          <t>Rare</t>
        </is>
      </c>
      <c r="D23" s="7" t="inlineStr">
        <is>
          <t>(none)</t>
        </is>
      </c>
      <c r="E23">
        <f>IF($N$23&gt;=1,IF($D$23="Main Stat %",(CHOOSE(MATCH($C$23,{"Rare","Epic","Unique","Legendary","Mystic","Mystic (Prime)"},0),2,3,4.5,7,10,12))*Sensitivity!$H$6,IF($D$23="Damage Taken Decrease %",0,IF($D$23="Defense %",0,IF($D$23="Accuracy",0,IF($D$23="Critical Rate %",(CHOOSE(MATCH($C$23,{"Rare","Epic","Unique","Legendary","Mystic","Mystic (Prime)"},0),2,3,4.5,7,10,12))*Sensitivity!$H$15,IF($D$23="Min Damage Multiplier %",(CHOOSE(MATCH($C$23,{"Rare","Epic","Unique","Legendary","Mystic","Mystic (Prime)"},0),2,3,4.5,7,10,12))*Sensitivity!$H$13,IF($D$23="Max Damage Multiplier %",(CHOOSE(MATCH($C$23,{"Rare","Epic","Unique","Legendary","Mystic","Mystic (Prime)"},0),2,3,4.5,7,10,12))*Sensitivity!$H$14,IF($D$23="Boss Monster Damage %",(CHOOSE(MATCH($C$23,{"Rare","Epic","Unique","Legendary","Mystic","Mystic (Prime)"},0),4,6,9,14,20,24))*Sensitivity!$H$10,IF($D$23="Normal Monster Damage %",(CHOOSE(MATCH($C$23,{"Rare","Epic","Unique","Legendary","Mystic","Mystic (Prime)"},0),4,6,9,14,20,24))*Sensitivity!$H$11,IF($D$23="Status Effect Damage %",0,IF($D$23="Damage %",(CHOOSE(MATCH($C$23,{"Rare","Epic","Unique","Legendary","Mystic","Mystic (Prime)"},0),4,6,9,14,20,24))*Sensitivity!$H$8,IF($D$23="Defense Penetration %",(CHOOSE(MATCH($C$23,{"Rare","Epic","Unique","Legendary","Mystic","Mystic (Prime)"},0),2,3,4.5,7,10,12))*Sensitivity!$H$18,0)))))))))))),0)</f>
        <v/>
      </c>
      <c r="F23" s="7" t="inlineStr">
        <is>
          <t>Rare</t>
        </is>
      </c>
      <c r="G23" s="7" t="inlineStr">
        <is>
          <t>(none)</t>
        </is>
      </c>
      <c r="H23">
        <f>IF($N$23&gt;=2,IF($G$23="Main Stat %",(CHOOSE(MATCH($F$23,{"Rare","Epic","Unique","Legendary","Mystic","Mystic (Prime)"},0),2,3,4.5,7,10,12))*Sensitivity!$H$6,IF($G$23="Damage Taken Decrease %",0,IF($G$23="Defense %",0,IF($G$23="Accuracy",0,IF($G$23="Critical Rate %",(CHOOSE(MATCH($F$23,{"Rare","Epic","Unique","Legendary","Mystic","Mystic (Prime)"},0),2,3,4.5,7,10,12))*Sensitivity!$H$15,IF($G$23="Min Damage Multiplier %",(CHOOSE(MATCH($F$23,{"Rare","Epic","Unique","Legendary","Mystic","Mystic (Prime)"},0),2,3,4.5,7,10,12))*Sensitivity!$H$13,IF($G$23="Max Damage Multiplier %",(CHOOSE(MATCH($F$23,{"Rare","Epic","Unique","Legendary","Mystic","Mystic (Prime)"},0),2,3,4.5,7,10,12))*Sensitivity!$H$14,IF($G$23="Boss Monster Damage %",(CHOOSE(MATCH($F$23,{"Rare","Epic","Unique","Legendary","Mystic","Mystic (Prime)"},0),4,6,9,14,20,24))*Sensitivity!$H$10,IF($G$23="Normal Monster Damage %",(CHOOSE(MATCH($F$23,{"Rare","Epic","Unique","Legendary","Mystic","Mystic (Prime)"},0),4,6,9,14,20,24))*Sensitivity!$H$11,IF($G$23="Status Effect Damage %",0,IF($G$23="Damage %",(CHOOSE(MATCH($F$23,{"Rare","Epic","Unique","Legendary","Mystic","Mystic (Prime)"},0),4,6,9,14,20,24))*Sensitivity!$H$8,IF($G$23="Defense Penetration %",(CHOOSE(MATCH($F$23,{"Rare","Epic","Unique","Legendary","Mystic","Mystic (Prime)"},0),2,3,4.5,7,10,12))*Sensitivity!$H$18,0)))))))))))),0)</f>
        <v/>
      </c>
      <c r="I23" s="7" t="inlineStr">
        <is>
          <t>Rare</t>
        </is>
      </c>
      <c r="J23" s="7" t="inlineStr">
        <is>
          <t>(none)</t>
        </is>
      </c>
      <c r="K23">
        <f>IF($N$23&gt;=5,IF($J$23="Main Stat %",(CHOOSE(MATCH($I$23,{"Rare","Epic","Unique","Legendary","Mystic","Mystic (Prime)"},0),2,3,4.5,7,10,12))*Sensitivity!$H$6,IF($J$23="Damage Taken Decrease %",0,IF($J$23="Defense %",0,IF($J$23="Accuracy",0,IF($J$23="Critical Rate %",(CHOOSE(MATCH($I$23,{"Rare","Epic","Unique","Legendary","Mystic","Mystic (Prime)"},0),2,3,4.5,7,10,12))*Sensitivity!$H$15,IF($J$23="Min Damage Multiplier %",(CHOOSE(MATCH($I$23,{"Rare","Epic","Unique","Legendary","Mystic","Mystic (Prime)"},0),2,3,4.5,7,10,12))*Sensitivity!$H$13,IF($J$23="Max Damage Multiplier %",(CHOOSE(MATCH($I$23,{"Rare","Epic","Unique","Legendary","Mystic","Mystic (Prime)"},0),2,3,4.5,7,10,12))*Sensitivity!$H$14,IF($J$23="Boss Monster Damage %",(CHOOSE(MATCH($I$23,{"Rare","Epic","Unique","Legendary","Mystic","Mystic (Prime)"},0),4,6,9,14,20,24))*Sensitivity!$H$10,IF($J$23="Normal Monster Damage %",(CHOOSE(MATCH($I$23,{"Rare","Epic","Unique","Legendary","Mystic","Mystic (Prime)"},0),4,6,9,14,20,24))*Sensitivity!$H$11,IF($J$23="Status Effect Damage %",0,IF($J$23="Damage %",(CHOOSE(MATCH($I$23,{"Rare","Epic","Unique","Legendary","Mystic","Mystic (Prime)"},0),4,6,9,14,20,24))*Sensitivity!$H$8,IF($J$23="Defense Penetration %",(CHOOSE(MATCH($I$23,{"Rare","Epic","Unique","Legendary","Mystic","Mystic (Prime)"},0),2,3,4.5,7,10,12))*Sensitivity!$H$18,0)))))))))))),0)</f>
        <v/>
      </c>
      <c r="L23">
        <f>Summary!$B$3*((IF(D23="(none)",1,1+(E23+IF(G23=D23,H23,0)+IF(J23=D23,K23,0))/Summary!$B$3))*(IF(OR(G23="(none)",G23=D23),1,1+(H23+IF(D23=G23,E23,0)+IF(J23=G23,K23,0))/Summary!$B$3))*(IF(OR(J23="",J23="(none)",J23=D23,J23=G23),1,1+(K23+IF(D23=J23,E23,0)+IF(G23=J23,H23,0))/Summary!$B$3))-1)</f>
        <v/>
      </c>
      <c r="M23">
        <f>OR(Inputs!$B$47="Star Rock",Inputs!$B$48="Star Rock",Inputs!$B$49="Star Rock",Inputs!$B$50="Star Rock")</f>
        <v/>
      </c>
      <c r="N23">
        <f>IF(B23="Not Unlocked",0,B23)</f>
        <v/>
      </c>
    </row>
    <row r="24">
      <c r="A24" s="6" t="inlineStr">
        <is>
          <t>Book of Ancient</t>
        </is>
      </c>
      <c r="B24" s="7" t="inlineStr">
        <is>
          <t>Not Unlocked</t>
        </is>
      </c>
      <c r="C24" s="7" t="inlineStr">
        <is>
          <t>Rare</t>
        </is>
      </c>
      <c r="D24" s="7" t="inlineStr">
        <is>
          <t>(none)</t>
        </is>
      </c>
      <c r="E24">
        <f>IF($N$24&gt;=1,IF($D$24="Main Stat %",(CHOOSE(MATCH($C$24,{"Rare","Epic","Unique","Legendary","Mystic","Mystic (Prime)"},0),2,3,4.5,7,10,12))*Sensitivity!$H$6,IF($D$24="Damage Taken Decrease %",0,IF($D$24="Defense %",0,IF($D$24="Accuracy",0,IF($D$24="Critical Rate %",(CHOOSE(MATCH($C$24,{"Rare","Epic","Unique","Legendary","Mystic","Mystic (Prime)"},0),2,3,4.5,7,10,12))*Sensitivity!$H$15,IF($D$24="Min Damage Multiplier %",(CHOOSE(MATCH($C$24,{"Rare","Epic","Unique","Legendary","Mystic","Mystic (Prime)"},0),2,3,4.5,7,10,12))*Sensitivity!$H$13,IF($D$24="Max Damage Multiplier %",(CHOOSE(MATCH($C$24,{"Rare","Epic","Unique","Legendary","Mystic","Mystic (Prime)"},0),2,3,4.5,7,10,12))*Sensitivity!$H$14,IF($D$24="Boss Monster Damage %",(CHOOSE(MATCH($C$24,{"Rare","Epic","Unique","Legendary","Mystic","Mystic (Prime)"},0),4,6,9,14,20,24))*Sensitivity!$H$10,IF($D$24="Normal Monster Damage %",(CHOOSE(MATCH($C$24,{"Rare","Epic","Unique","Legendary","Mystic","Mystic (Prime)"},0),4,6,9,14,20,24))*Sensitivity!$H$11,IF($D$24="Status Effect Damage %",0,IF($D$24="Damage %",(CHOOSE(MATCH($C$24,{"Rare","Epic","Unique","Legendary","Mystic","Mystic (Prime)"},0),4,6,9,14,20,24))*Sensitivity!$H$8,IF($D$24="Defense Penetration %",(CHOOSE(MATCH($C$24,{"Rare","Epic","Unique","Legendary","Mystic","Mystic (Prime)"},0),2,3,4.5,7,10,12))*Sensitivity!$H$18,0)))))))))))),0)</f>
        <v/>
      </c>
      <c r="F24" s="7" t="inlineStr">
        <is>
          <t>Rare</t>
        </is>
      </c>
      <c r="G24" s="7" t="inlineStr">
        <is>
          <t>(none)</t>
        </is>
      </c>
      <c r="H24">
        <f>IF($N$24&gt;=2,IF($G$24="Main Stat %",(CHOOSE(MATCH($F$24,{"Rare","Epic","Unique","Legendary","Mystic","Mystic (Prime)"},0),2,3,4.5,7,10,12))*Sensitivity!$H$6,IF($G$24="Damage Taken Decrease %",0,IF($G$24="Defense %",0,IF($G$24="Accuracy",0,IF($G$24="Critical Rate %",(CHOOSE(MATCH($F$24,{"Rare","Epic","Unique","Legendary","Mystic","Mystic (Prime)"},0),2,3,4.5,7,10,12))*Sensitivity!$H$15,IF($G$24="Min Damage Multiplier %",(CHOOSE(MATCH($F$24,{"Rare","Epic","Unique","Legendary","Mystic","Mystic (Prime)"},0),2,3,4.5,7,10,12))*Sensitivity!$H$13,IF($G$24="Max Damage Multiplier %",(CHOOSE(MATCH($F$24,{"Rare","Epic","Unique","Legendary","Mystic","Mystic (Prime)"},0),2,3,4.5,7,10,12))*Sensitivity!$H$14,IF($G$24="Boss Monster Damage %",(CHOOSE(MATCH($F$24,{"Rare","Epic","Unique","Legendary","Mystic","Mystic (Prime)"},0),4,6,9,14,20,24))*Sensitivity!$H$10,IF($G$24="Normal Monster Damage %",(CHOOSE(MATCH($F$24,{"Rare","Epic","Unique","Legendary","Mystic","Mystic (Prime)"},0),4,6,9,14,20,24))*Sensitivity!$H$11,IF($G$24="Status Effect Damage %",0,IF($G$24="Damage %",(CHOOSE(MATCH($F$24,{"Rare","Epic","Unique","Legendary","Mystic","Mystic (Prime)"},0),4,6,9,14,20,24))*Sensitivity!$H$8,IF($G$24="Defense Penetration %",(CHOOSE(MATCH($F$24,{"Rare","Epic","Unique","Legendary","Mystic","Mystic (Prime)"},0),2,3,4.5,7,10,12))*Sensitivity!$H$18,0)))))))))))),0)</f>
        <v/>
      </c>
      <c r="I24" s="7" t="inlineStr">
        <is>
          <t>Rare</t>
        </is>
      </c>
      <c r="J24" s="7" t="inlineStr">
        <is>
          <t>(none)</t>
        </is>
      </c>
      <c r="K24">
        <f>IF($N$24&gt;=5,IF($J$24="Main Stat %",(CHOOSE(MATCH($I$24,{"Rare","Epic","Unique","Legendary","Mystic","Mystic (Prime)"},0),2,3,4.5,7,10,12))*Sensitivity!$H$6,IF($J$24="Damage Taken Decrease %",0,IF($J$24="Defense %",0,IF($J$24="Accuracy",0,IF($J$24="Critical Rate %",(CHOOSE(MATCH($I$24,{"Rare","Epic","Unique","Legendary","Mystic","Mystic (Prime)"},0),2,3,4.5,7,10,12))*Sensitivity!$H$15,IF($J$24="Min Damage Multiplier %",(CHOOSE(MATCH($I$24,{"Rare","Epic","Unique","Legendary","Mystic","Mystic (Prime)"},0),2,3,4.5,7,10,12))*Sensitivity!$H$13,IF($J$24="Max Damage Multiplier %",(CHOOSE(MATCH($I$24,{"Rare","Epic","Unique","Legendary","Mystic","Mystic (Prime)"},0),2,3,4.5,7,10,12))*Sensitivity!$H$14,IF($J$24="Boss Monster Damage %",(CHOOSE(MATCH($I$24,{"Rare","Epic","Unique","Legendary","Mystic","Mystic (Prime)"},0),4,6,9,14,20,24))*Sensitivity!$H$10,IF($J$24="Normal Monster Damage %",(CHOOSE(MATCH($I$24,{"Rare","Epic","Unique","Legendary","Mystic","Mystic (Prime)"},0),4,6,9,14,20,24))*Sensitivity!$H$11,IF($J$24="Status Effect Damage %",0,IF($J$24="Damage %",(CHOOSE(MATCH($I$24,{"Rare","Epic","Unique","Legendary","Mystic","Mystic (Prime)"},0),4,6,9,14,20,24))*Sensitivity!$H$8,IF($J$24="Defense Penetration %",(CHOOSE(MATCH($I$24,{"Rare","Epic","Unique","Legendary","Mystic","Mystic (Prime)"},0),2,3,4.5,7,10,12))*Sensitivity!$H$18,0)))))))))))),0)</f>
        <v/>
      </c>
      <c r="L24">
        <f>Summary!$B$3*((IF(D24="(none)",1,1+(E24+IF(G24=D24,H24,0)+IF(J24=D24,K24,0))/Summary!$B$3))*(IF(OR(G24="(none)",G24=D24),1,1+(H24+IF(D24=G24,E24,0)+IF(J24=G24,K24,0))/Summary!$B$3))*(IF(OR(J24="",J24="(none)",J24=D24,J24=G24),1,1+(K24+IF(D24=J24,E24,0)+IF(G24=J24,H24,0))/Summary!$B$3))-1)</f>
        <v/>
      </c>
      <c r="M24">
        <f>OR(Inputs!$B$47="Book of Ancient",Inputs!$B$48="Book of Ancient",Inputs!$B$49="Book of Ancient",Inputs!$B$50="Book of Ancient")</f>
        <v/>
      </c>
      <c r="N24">
        <f>IF(B24="Not Unlocked",0,B24)</f>
        <v/>
      </c>
    </row>
    <row r="25">
      <c r="A25" s="6" t="inlineStr">
        <is>
          <t>Lunar Dew</t>
        </is>
      </c>
      <c r="B25" s="7" t="inlineStr">
        <is>
          <t>Not Unlocked</t>
        </is>
      </c>
      <c r="C25" s="7" t="inlineStr">
        <is>
          <t>Rare</t>
        </is>
      </c>
      <c r="D25" s="7" t="inlineStr">
        <is>
          <t>(none)</t>
        </is>
      </c>
      <c r="E25">
        <f>IF($N$25&gt;=1,IF($D$25="Main Stat %",(CHOOSE(MATCH($C$25,{"Rare","Epic","Unique","Legendary","Mystic","Mystic (Prime)"},0),2,3,4.5,7,10,12))*Sensitivity!$H$6,IF($D$25="Damage Taken Decrease %",0,IF($D$25="Defense %",0,IF($D$25="Accuracy",0,IF($D$25="Critical Rate %",(CHOOSE(MATCH($C$25,{"Rare","Epic","Unique","Legendary","Mystic","Mystic (Prime)"},0),2,3,4.5,7,10,12))*Sensitivity!$H$15,IF($D$25="Min Damage Multiplier %",(CHOOSE(MATCH($C$25,{"Rare","Epic","Unique","Legendary","Mystic","Mystic (Prime)"},0),2,3,4.5,7,10,12))*Sensitivity!$H$13,IF($D$25="Max Damage Multiplier %",(CHOOSE(MATCH($C$25,{"Rare","Epic","Unique","Legendary","Mystic","Mystic (Prime)"},0),2,3,4.5,7,10,12))*Sensitivity!$H$14,IF($D$25="Boss Monster Damage %",(CHOOSE(MATCH($C$25,{"Rare","Epic","Unique","Legendary","Mystic","Mystic (Prime)"},0),4,6,9,14,20,24))*Sensitivity!$H$10,IF($D$25="Normal Monster Damage %",(CHOOSE(MATCH($C$25,{"Rare","Epic","Unique","Legendary","Mystic","Mystic (Prime)"},0),4,6,9,14,20,24))*Sensitivity!$H$11,IF($D$25="Status Effect Damage %",0,IF($D$25="Damage %",(CHOOSE(MATCH($C$25,{"Rare","Epic","Unique","Legendary","Mystic","Mystic (Prime)"},0),4,6,9,14,20,24))*Sensitivity!$H$8,IF($D$25="Defense Penetration %",(CHOOSE(MATCH($C$25,{"Rare","Epic","Unique","Legendary","Mystic","Mystic (Prime)"},0),2,3,4.5,7,10,12))*Sensitivity!$H$18,0)))))))))))),0)</f>
        <v/>
      </c>
      <c r="F25" s="7" t="inlineStr">
        <is>
          <t>Rare</t>
        </is>
      </c>
      <c r="G25" s="7" t="inlineStr">
        <is>
          <t>(none)</t>
        </is>
      </c>
      <c r="H25">
        <f>IF($N$25&gt;=2,IF($G$25="Main Stat %",(CHOOSE(MATCH($F$25,{"Rare","Epic","Unique","Legendary","Mystic","Mystic (Prime)"},0),2,3,4.5,7,10,12))*Sensitivity!$H$6,IF($G$25="Damage Taken Decrease %",0,IF($G$25="Defense %",0,IF($G$25="Accuracy",0,IF($G$25="Critical Rate %",(CHOOSE(MATCH($F$25,{"Rare","Epic","Unique","Legendary","Mystic","Mystic (Prime)"},0),2,3,4.5,7,10,12))*Sensitivity!$H$15,IF($G$25="Min Damage Multiplier %",(CHOOSE(MATCH($F$25,{"Rare","Epic","Unique","Legendary","Mystic","Mystic (Prime)"},0),2,3,4.5,7,10,12))*Sensitivity!$H$13,IF($G$25="Max Damage Multiplier %",(CHOOSE(MATCH($F$25,{"Rare","Epic","Unique","Legendary","Mystic","Mystic (Prime)"},0),2,3,4.5,7,10,12))*Sensitivity!$H$14,IF($G$25="Boss Monster Damage %",(CHOOSE(MATCH($F$25,{"Rare","Epic","Unique","Legendary","Mystic","Mystic (Prime)"},0),4,6,9,14,20,24))*Sensitivity!$H$10,IF($G$25="Normal Monster Damage %",(CHOOSE(MATCH($F$25,{"Rare","Epic","Unique","Legendary","Mystic","Mystic (Prime)"},0),4,6,9,14,20,24))*Sensitivity!$H$11,IF($G$25="Status Effect Damage %",0,IF($G$25="Damage %",(CHOOSE(MATCH($F$25,{"Rare","Epic","Unique","Legendary","Mystic","Mystic (Prime)"},0),4,6,9,14,20,24))*Sensitivity!$H$8,IF($G$25="Defense Penetration %",(CHOOSE(MATCH($F$25,{"Rare","Epic","Unique","Legendary","Mystic","Mystic (Prime)"},0),2,3,4.5,7,10,12))*Sensitivity!$H$18,0)))))))))))),0)</f>
        <v/>
      </c>
      <c r="I25" s="7" t="inlineStr">
        <is>
          <t>Rare</t>
        </is>
      </c>
      <c r="J25" s="7" t="inlineStr">
        <is>
          <t>(none)</t>
        </is>
      </c>
      <c r="K25">
        <f>IF($N$25&gt;=5,IF($J$25="Main Stat %",(CHOOSE(MATCH($I$25,{"Rare","Epic","Unique","Legendary","Mystic","Mystic (Prime)"},0),2,3,4.5,7,10,12))*Sensitivity!$H$6,IF($J$25="Damage Taken Decrease %",0,IF($J$25="Defense %",0,IF($J$25="Accuracy",0,IF($J$25="Critical Rate %",(CHOOSE(MATCH($I$25,{"Rare","Epic","Unique","Legendary","Mystic","Mystic (Prime)"},0),2,3,4.5,7,10,12))*Sensitivity!$H$15,IF($J$25="Min Damage Multiplier %",(CHOOSE(MATCH($I$25,{"Rare","Epic","Unique","Legendary","Mystic","Mystic (Prime)"},0),2,3,4.5,7,10,12))*Sensitivity!$H$13,IF($J$25="Max Damage Multiplier %",(CHOOSE(MATCH($I$25,{"Rare","Epic","Unique","Legendary","Mystic","Mystic (Prime)"},0),2,3,4.5,7,10,12))*Sensitivity!$H$14,IF($J$25="Boss Monster Damage %",(CHOOSE(MATCH($I$25,{"Rare","Epic","Unique","Legendary","Mystic","Mystic (Prime)"},0),4,6,9,14,20,24))*Sensitivity!$H$10,IF($J$25="Normal Monster Damage %",(CHOOSE(MATCH($I$25,{"Rare","Epic","Unique","Legendary","Mystic","Mystic (Prime)"},0),4,6,9,14,20,24))*Sensitivity!$H$11,IF($J$25="Status Effect Damage %",0,IF($J$25="Damage %",(CHOOSE(MATCH($I$25,{"Rare","Epic","Unique","Legendary","Mystic","Mystic (Prime)"},0),4,6,9,14,20,24))*Sensitivity!$H$8,IF($J$25="Defense Penetration %",(CHOOSE(MATCH($I$25,{"Rare","Epic","Unique","Legendary","Mystic","Mystic (Prime)"},0),2,3,4.5,7,10,12))*Sensitivity!$H$18,0)))))))))))),0)</f>
        <v/>
      </c>
      <c r="L25">
        <f>Summary!$B$3*((IF(D25="(none)",1,1+(E25+IF(G25=D25,H25,0)+IF(J25=D25,K25,0))/Summary!$B$3))*(IF(OR(G25="(none)",G25=D25),1,1+(H25+IF(D25=G25,E25,0)+IF(J25=G25,K25,0))/Summary!$B$3))*(IF(OR(J25="",J25="(none)",J25=D25,J25=G25),1,1+(K25+IF(D25=J25,E25,0)+IF(G25=J25,H25,0))/Summary!$B$3))-1)</f>
        <v/>
      </c>
      <c r="M25">
        <f>OR(Inputs!$B$47="Lunar Dew",Inputs!$B$48="Lunar Dew",Inputs!$B$49="Lunar Dew",Inputs!$B$50="Lunar Dew")</f>
        <v/>
      </c>
      <c r="N25">
        <f>IF(B25="Not Unlocked",0,B25)</f>
        <v/>
      </c>
    </row>
    <row r="26">
      <c r="A26" s="6" t="inlineStr">
        <is>
          <t>Fire Flower</t>
        </is>
      </c>
      <c r="B26" s="7" t="inlineStr">
        <is>
          <t>Not Unlocked</t>
        </is>
      </c>
      <c r="C26" s="7" t="inlineStr">
        <is>
          <t>Rare</t>
        </is>
      </c>
      <c r="D26" s="7" t="inlineStr">
        <is>
          <t>(none)</t>
        </is>
      </c>
      <c r="E26">
        <f>IF($N$26&gt;=1,IF($D$26="Main Stat %",(CHOOSE(MATCH($C$26,{"Rare","Epic","Unique","Legendary","Mystic","Mystic (Prime)"},0),2,3,4.5,7,10,12))*Sensitivity!$H$6,IF($D$26="Damage Taken Decrease %",0,IF($D$26="Defense %",0,IF($D$26="Accuracy",0,IF($D$26="Critical Rate %",(CHOOSE(MATCH($C$26,{"Rare","Epic","Unique","Legendary","Mystic","Mystic (Prime)"},0),2,3,4.5,7,10,12))*Sensitivity!$H$15,IF($D$26="Min Damage Multiplier %",(CHOOSE(MATCH($C$26,{"Rare","Epic","Unique","Legendary","Mystic","Mystic (Prime)"},0),2,3,4.5,7,10,12))*Sensitivity!$H$13,IF($D$26="Max Damage Multiplier %",(CHOOSE(MATCH($C$26,{"Rare","Epic","Unique","Legendary","Mystic","Mystic (Prime)"},0),2,3,4.5,7,10,12))*Sensitivity!$H$14,IF($D$26="Boss Monster Damage %",(CHOOSE(MATCH($C$26,{"Rare","Epic","Unique","Legendary","Mystic","Mystic (Prime)"},0),4,6,9,14,20,24))*Sensitivity!$H$10,IF($D$26="Normal Monster Damage %",(CHOOSE(MATCH($C$26,{"Rare","Epic","Unique","Legendary","Mystic","Mystic (Prime)"},0),4,6,9,14,20,24))*Sensitivity!$H$11,IF($D$26="Status Effect Damage %",0,IF($D$26="Damage %",(CHOOSE(MATCH($C$26,{"Rare","Epic","Unique","Legendary","Mystic","Mystic (Prime)"},0),4,6,9,14,20,24))*Sensitivity!$H$8,IF($D$26="Defense Penetration %",(CHOOSE(MATCH($C$26,{"Rare","Epic","Unique","Legendary","Mystic","Mystic (Prime)"},0),2,3,4.5,7,10,12))*Sensitivity!$H$18,0)))))))))))),0)</f>
        <v/>
      </c>
      <c r="F26" s="7" t="inlineStr">
        <is>
          <t>Rare</t>
        </is>
      </c>
      <c r="G26" s="7" t="inlineStr">
        <is>
          <t>(none)</t>
        </is>
      </c>
      <c r="H26">
        <f>IF($N$26&gt;=2,IF($G$26="Main Stat %",(CHOOSE(MATCH($F$26,{"Rare","Epic","Unique","Legendary","Mystic","Mystic (Prime)"},0),2,3,4.5,7,10,12))*Sensitivity!$H$6,IF($G$26="Damage Taken Decrease %",0,IF($G$26="Defense %",0,IF($G$26="Accuracy",0,IF($G$26="Critical Rate %",(CHOOSE(MATCH($F$26,{"Rare","Epic","Unique","Legendary","Mystic","Mystic (Prime)"},0),2,3,4.5,7,10,12))*Sensitivity!$H$15,IF($G$26="Min Damage Multiplier %",(CHOOSE(MATCH($F$26,{"Rare","Epic","Unique","Legendary","Mystic","Mystic (Prime)"},0),2,3,4.5,7,10,12))*Sensitivity!$H$13,IF($G$26="Max Damage Multiplier %",(CHOOSE(MATCH($F$26,{"Rare","Epic","Unique","Legendary","Mystic","Mystic (Prime)"},0),2,3,4.5,7,10,12))*Sensitivity!$H$14,IF($G$26="Boss Monster Damage %",(CHOOSE(MATCH($F$26,{"Rare","Epic","Unique","Legendary","Mystic","Mystic (Prime)"},0),4,6,9,14,20,24))*Sensitivity!$H$10,IF($G$26="Normal Monster Damage %",(CHOOSE(MATCH($F$26,{"Rare","Epic","Unique","Legendary","Mystic","Mystic (Prime)"},0),4,6,9,14,20,24))*Sensitivity!$H$11,IF($G$26="Status Effect Damage %",0,IF($G$26="Damage %",(CHOOSE(MATCH($F$26,{"Rare","Epic","Unique","Legendary","Mystic","Mystic (Prime)"},0),4,6,9,14,20,24))*Sensitivity!$H$8,IF($G$26="Defense Penetration %",(CHOOSE(MATCH($F$26,{"Rare","Epic","Unique","Legendary","Mystic","Mystic (Prime)"},0),2,3,4.5,7,10,12))*Sensitivity!$H$18,0)))))))))))),0)</f>
        <v/>
      </c>
      <c r="I26" s="7" t="inlineStr">
        <is>
          <t>Rare</t>
        </is>
      </c>
      <c r="J26" s="7" t="inlineStr">
        <is>
          <t>(none)</t>
        </is>
      </c>
      <c r="K26">
        <f>IF($N$26&gt;=5,IF($J$26="Main Stat %",(CHOOSE(MATCH($I$26,{"Rare","Epic","Unique","Legendary","Mystic","Mystic (Prime)"},0),2,3,4.5,7,10,12))*Sensitivity!$H$6,IF($J$26="Damage Taken Decrease %",0,IF($J$26="Defense %",0,IF($J$26="Accuracy",0,IF($J$26="Critical Rate %",(CHOOSE(MATCH($I$26,{"Rare","Epic","Unique","Legendary","Mystic","Mystic (Prime)"},0),2,3,4.5,7,10,12))*Sensitivity!$H$15,IF($J$26="Min Damage Multiplier %",(CHOOSE(MATCH($I$26,{"Rare","Epic","Unique","Legendary","Mystic","Mystic (Prime)"},0),2,3,4.5,7,10,12))*Sensitivity!$H$13,IF($J$26="Max Damage Multiplier %",(CHOOSE(MATCH($I$26,{"Rare","Epic","Unique","Legendary","Mystic","Mystic (Prime)"},0),2,3,4.5,7,10,12))*Sensitivity!$H$14,IF($J$26="Boss Monster Damage %",(CHOOSE(MATCH($I$26,{"Rare","Epic","Unique","Legendary","Mystic","Mystic (Prime)"},0),4,6,9,14,20,24))*Sensitivity!$H$10,IF($J$26="Normal Monster Damage %",(CHOOSE(MATCH($I$26,{"Rare","Epic","Unique","Legendary","Mystic","Mystic (Prime)"},0),4,6,9,14,20,24))*Sensitivity!$H$11,IF($J$26="Status Effect Damage %",0,IF($J$26="Damage %",(CHOOSE(MATCH($I$26,{"Rare","Epic","Unique","Legendary","Mystic","Mystic (Prime)"},0),4,6,9,14,20,24))*Sensitivity!$H$8,IF($J$26="Defense Penetration %",(CHOOSE(MATCH($I$26,{"Rare","Epic","Unique","Legendary","Mystic","Mystic (Prime)"},0),2,3,4.5,7,10,12))*Sensitivity!$H$18,0)))))))))))),0)</f>
        <v/>
      </c>
      <c r="L26">
        <f>Summary!$B$3*((IF(D26="(none)",1,1+(E26+IF(G26=D26,H26,0)+IF(J26=D26,K26,0))/Summary!$B$3))*(IF(OR(G26="(none)",G26=D26),1,1+(H26+IF(D26=G26,E26,0)+IF(J26=G26,K26,0))/Summary!$B$3))*(IF(OR(J26="",J26="(none)",J26=D26,J26=G26),1,1+(K26+IF(D26=J26,E26,0)+IF(G26=J26,H26,0))/Summary!$B$3))-1)</f>
        <v/>
      </c>
      <c r="M26">
        <f>OR(Inputs!$B$47="Fire Flower",Inputs!$B$48="Fire Flower",Inputs!$B$49="Fire Flower",Inputs!$B$50="Fire Flower")</f>
        <v/>
      </c>
      <c r="N26">
        <f>IF(B26="Not Unlocked",0,B26)</f>
        <v/>
      </c>
    </row>
    <row r="27">
      <c r="A27" s="6" t="inlineStr">
        <is>
          <t>Soul Contract</t>
        </is>
      </c>
      <c r="B27" s="7" t="inlineStr">
        <is>
          <t>Not Unlocked</t>
        </is>
      </c>
      <c r="C27" s="7" t="inlineStr">
        <is>
          <t>Rare</t>
        </is>
      </c>
      <c r="D27" s="7" t="inlineStr">
        <is>
          <t>(none)</t>
        </is>
      </c>
      <c r="E27">
        <f>IF($N$27&gt;=1,IF($D$27="Main Stat %",(CHOOSE(MATCH($C$27,{"Rare","Epic","Unique","Legendary","Mystic","Mystic (Prime)"},0),2,3,4.5,7,10,12))*Sensitivity!$H$6,IF($D$27="Damage Taken Decrease %",0,IF($D$27="Defense %",0,IF($D$27="Accuracy",0,IF($D$27="Critical Rate %",(CHOOSE(MATCH($C$27,{"Rare","Epic","Unique","Legendary","Mystic","Mystic (Prime)"},0),2,3,4.5,7,10,12))*Sensitivity!$H$15,IF($D$27="Min Damage Multiplier %",(CHOOSE(MATCH($C$27,{"Rare","Epic","Unique","Legendary","Mystic","Mystic (Prime)"},0),2,3,4.5,7,10,12))*Sensitivity!$H$13,IF($D$27="Max Damage Multiplier %",(CHOOSE(MATCH($C$27,{"Rare","Epic","Unique","Legendary","Mystic","Mystic (Prime)"},0),2,3,4.5,7,10,12))*Sensitivity!$H$14,IF($D$27="Boss Monster Damage %",(CHOOSE(MATCH($C$27,{"Rare","Epic","Unique","Legendary","Mystic","Mystic (Prime)"},0),4,6,9,14,20,24))*Sensitivity!$H$10,IF($D$27="Normal Monster Damage %",(CHOOSE(MATCH($C$27,{"Rare","Epic","Unique","Legendary","Mystic","Mystic (Prime)"},0),4,6,9,14,20,24))*Sensitivity!$H$11,IF($D$27="Status Effect Damage %",0,IF($D$27="Damage %",(CHOOSE(MATCH($C$27,{"Rare","Epic","Unique","Legendary","Mystic","Mystic (Prime)"},0),4,6,9,14,20,24))*Sensitivity!$H$8,IF($D$27="Defense Penetration %",(CHOOSE(MATCH($C$27,{"Rare","Epic","Unique","Legendary","Mystic","Mystic (Prime)"},0),2,3,4.5,7,10,12))*Sensitivity!$H$18,0)))))))))))),0)</f>
        <v/>
      </c>
      <c r="F27" s="7" t="inlineStr">
        <is>
          <t>Rare</t>
        </is>
      </c>
      <c r="G27" s="7" t="inlineStr">
        <is>
          <t>(none)</t>
        </is>
      </c>
      <c r="H27">
        <f>IF($N$27&gt;=2,IF($G$27="Main Stat %",(CHOOSE(MATCH($F$27,{"Rare","Epic","Unique","Legendary","Mystic","Mystic (Prime)"},0),2,3,4.5,7,10,12))*Sensitivity!$H$6,IF($G$27="Damage Taken Decrease %",0,IF($G$27="Defense %",0,IF($G$27="Accuracy",0,IF($G$27="Critical Rate %",(CHOOSE(MATCH($F$27,{"Rare","Epic","Unique","Legendary","Mystic","Mystic (Prime)"},0),2,3,4.5,7,10,12))*Sensitivity!$H$15,IF($G$27="Min Damage Multiplier %",(CHOOSE(MATCH($F$27,{"Rare","Epic","Unique","Legendary","Mystic","Mystic (Prime)"},0),2,3,4.5,7,10,12))*Sensitivity!$H$13,IF($G$27="Max Damage Multiplier %",(CHOOSE(MATCH($F$27,{"Rare","Epic","Unique","Legendary","Mystic","Mystic (Prime)"},0),2,3,4.5,7,10,12))*Sensitivity!$H$14,IF($G$27="Boss Monster Damage %",(CHOOSE(MATCH($F$27,{"Rare","Epic","Unique","Legendary","Mystic","Mystic (Prime)"},0),4,6,9,14,20,24))*Sensitivity!$H$10,IF($G$27="Normal Monster Damage %",(CHOOSE(MATCH($F$27,{"Rare","Epic","Unique","Legendary","Mystic","Mystic (Prime)"},0),4,6,9,14,20,24))*Sensitivity!$H$11,IF($G$27="Status Effect Damage %",0,IF($G$27="Damage %",(CHOOSE(MATCH($F$27,{"Rare","Epic","Unique","Legendary","Mystic","Mystic (Prime)"},0),4,6,9,14,20,24))*Sensitivity!$H$8,IF($G$27="Defense Penetration %",(CHOOSE(MATCH($F$27,{"Rare","Epic","Unique","Legendary","Mystic","Mystic (Prime)"},0),2,3,4.5,7,10,12))*Sensitivity!$H$18,0)))))))))))),0)</f>
        <v/>
      </c>
      <c r="I27" s="7" t="inlineStr">
        <is>
          <t>Rare</t>
        </is>
      </c>
      <c r="J27" s="7" t="inlineStr">
        <is>
          <t>(none)</t>
        </is>
      </c>
      <c r="K27">
        <f>IF($N$27&gt;=5,IF($J$27="Main Stat %",(CHOOSE(MATCH($I$27,{"Rare","Epic","Unique","Legendary","Mystic","Mystic (Prime)"},0),2,3,4.5,7,10,12))*Sensitivity!$H$6,IF($J$27="Damage Taken Decrease %",0,IF($J$27="Defense %",0,IF($J$27="Accuracy",0,IF($J$27="Critical Rate %",(CHOOSE(MATCH($I$27,{"Rare","Epic","Unique","Legendary","Mystic","Mystic (Prime)"},0),2,3,4.5,7,10,12))*Sensitivity!$H$15,IF($J$27="Min Damage Multiplier %",(CHOOSE(MATCH($I$27,{"Rare","Epic","Unique","Legendary","Mystic","Mystic (Prime)"},0),2,3,4.5,7,10,12))*Sensitivity!$H$13,IF($J$27="Max Damage Multiplier %",(CHOOSE(MATCH($I$27,{"Rare","Epic","Unique","Legendary","Mystic","Mystic (Prime)"},0),2,3,4.5,7,10,12))*Sensitivity!$H$14,IF($J$27="Boss Monster Damage %",(CHOOSE(MATCH($I$27,{"Rare","Epic","Unique","Legendary","Mystic","Mystic (Prime)"},0),4,6,9,14,20,24))*Sensitivity!$H$10,IF($J$27="Normal Monster Damage %",(CHOOSE(MATCH($I$27,{"Rare","Epic","Unique","Legendary","Mystic","Mystic (Prime)"},0),4,6,9,14,20,24))*Sensitivity!$H$11,IF($J$27="Status Effect Damage %",0,IF($J$27="Damage %",(CHOOSE(MATCH($I$27,{"Rare","Epic","Unique","Legendary","Mystic","Mystic (Prime)"},0),4,6,9,14,20,24))*Sensitivity!$H$8,IF($J$27="Defense Penetration %",(CHOOSE(MATCH($I$27,{"Rare","Epic","Unique","Legendary","Mystic","Mystic (Prime)"},0),2,3,4.5,7,10,12))*Sensitivity!$H$18,0)))))))))))),0)</f>
        <v/>
      </c>
      <c r="L27">
        <f>Summary!$B$3*((IF(D27="(none)",1,1+(E27+IF(G27=D27,H27,0)+IF(J27=D27,K27,0))/Summary!$B$3))*(IF(OR(G27="(none)",G27=D27),1,1+(H27+IF(D27=G27,E27,0)+IF(J27=G27,K27,0))/Summary!$B$3))*(IF(OR(J27="",J27="(none)",J27=D27,J27=G27),1,1+(K27+IF(D27=J27,E27,0)+IF(G27=J27,H27,0))/Summary!$B$3))-1)</f>
        <v/>
      </c>
      <c r="M27">
        <f>OR(Inputs!$B$47="Soul Contract",Inputs!$B$48="Soul Contract",Inputs!$B$49="Soul Contract",Inputs!$B$50="Soul Contract")</f>
        <v/>
      </c>
      <c r="N27">
        <f>IF(B27="Not Unlocked",0,B27)</f>
        <v/>
      </c>
    </row>
    <row r="28">
      <c r="A28" s="6" t="inlineStr">
        <is>
          <t>Lit Lamp</t>
        </is>
      </c>
      <c r="B28" s="7" t="inlineStr">
        <is>
          <t>Not Unlocked</t>
        </is>
      </c>
      <c r="C28" s="7" t="inlineStr">
        <is>
          <t>Rare</t>
        </is>
      </c>
      <c r="D28" s="7" t="inlineStr">
        <is>
          <t>(none)</t>
        </is>
      </c>
      <c r="E28">
        <f>IF($N$28&gt;=1,IF($D$28="Main Stat %",(CHOOSE(MATCH($C$28,{"Rare","Epic","Unique","Legendary","Mystic","Mystic (Prime)"},0),2,3,4.5,7,10,12))*Sensitivity!$H$6,IF($D$28="Damage Taken Decrease %",0,IF($D$28="Defense %",0,IF($D$28="Accuracy",0,IF($D$28="Critical Rate %",(CHOOSE(MATCH($C$28,{"Rare","Epic","Unique","Legendary","Mystic","Mystic (Prime)"},0),2,3,4.5,7,10,12))*Sensitivity!$H$15,IF($D$28="Min Damage Multiplier %",(CHOOSE(MATCH($C$28,{"Rare","Epic","Unique","Legendary","Mystic","Mystic (Prime)"},0),2,3,4.5,7,10,12))*Sensitivity!$H$13,IF($D$28="Max Damage Multiplier %",(CHOOSE(MATCH($C$28,{"Rare","Epic","Unique","Legendary","Mystic","Mystic (Prime)"},0),2,3,4.5,7,10,12))*Sensitivity!$H$14,IF($D$28="Boss Monster Damage %",(CHOOSE(MATCH($C$28,{"Rare","Epic","Unique","Legendary","Mystic","Mystic (Prime)"},0),4,6,9,14,20,24))*Sensitivity!$H$10,IF($D$28="Normal Monster Damage %",(CHOOSE(MATCH($C$28,{"Rare","Epic","Unique","Legendary","Mystic","Mystic (Prime)"},0),4,6,9,14,20,24))*Sensitivity!$H$11,IF($D$28="Status Effect Damage %",0,IF($D$28="Damage %",(CHOOSE(MATCH($C$28,{"Rare","Epic","Unique","Legendary","Mystic","Mystic (Prime)"},0),4,6,9,14,20,24))*Sensitivity!$H$8,IF($D$28="Defense Penetration %",(CHOOSE(MATCH($C$28,{"Rare","Epic","Unique","Legendary","Mystic","Mystic (Prime)"},0),2,3,4.5,7,10,12))*Sensitivity!$H$18,0)))))))))))),0)</f>
        <v/>
      </c>
      <c r="F28" s="7" t="inlineStr">
        <is>
          <t>Rare</t>
        </is>
      </c>
      <c r="G28" s="7" t="inlineStr">
        <is>
          <t>(none)</t>
        </is>
      </c>
      <c r="H28">
        <f>IF($N$28&gt;=2,IF($G$28="Main Stat %",(CHOOSE(MATCH($F$28,{"Rare","Epic","Unique","Legendary","Mystic","Mystic (Prime)"},0),2,3,4.5,7,10,12))*Sensitivity!$H$6,IF($G$28="Damage Taken Decrease %",0,IF($G$28="Defense %",0,IF($G$28="Accuracy",0,IF($G$28="Critical Rate %",(CHOOSE(MATCH($F$28,{"Rare","Epic","Unique","Legendary","Mystic","Mystic (Prime)"},0),2,3,4.5,7,10,12))*Sensitivity!$H$15,IF($G$28="Min Damage Multiplier %",(CHOOSE(MATCH($F$28,{"Rare","Epic","Unique","Legendary","Mystic","Mystic (Prime)"},0),2,3,4.5,7,10,12))*Sensitivity!$H$13,IF($G$28="Max Damage Multiplier %",(CHOOSE(MATCH($F$28,{"Rare","Epic","Unique","Legendary","Mystic","Mystic (Prime)"},0),2,3,4.5,7,10,12))*Sensitivity!$H$14,IF($G$28="Boss Monster Damage %",(CHOOSE(MATCH($F$28,{"Rare","Epic","Unique","Legendary","Mystic","Mystic (Prime)"},0),4,6,9,14,20,24))*Sensitivity!$H$10,IF($G$28="Normal Monster Damage %",(CHOOSE(MATCH($F$28,{"Rare","Epic","Unique","Legendary","Mystic","Mystic (Prime)"},0),4,6,9,14,20,24))*Sensitivity!$H$11,IF($G$28="Status Effect Damage %",0,IF($G$28="Damage %",(CHOOSE(MATCH($F$28,{"Rare","Epic","Unique","Legendary","Mystic","Mystic (Prime)"},0),4,6,9,14,20,24))*Sensitivity!$H$8,IF($G$28="Defense Penetration %",(CHOOSE(MATCH($F$28,{"Rare","Epic","Unique","Legendary","Mystic","Mystic (Prime)"},0),2,3,4.5,7,10,12))*Sensitivity!$H$18,0)))))))))))),0)</f>
        <v/>
      </c>
      <c r="I28" s="7" t="inlineStr">
        <is>
          <t>Rare</t>
        </is>
      </c>
      <c r="J28" s="7" t="inlineStr">
        <is>
          <t>(none)</t>
        </is>
      </c>
      <c r="K28">
        <f>IF($N$28&gt;=5,IF($J$28="Main Stat %",(CHOOSE(MATCH($I$28,{"Rare","Epic","Unique","Legendary","Mystic","Mystic (Prime)"},0),2,3,4.5,7,10,12))*Sensitivity!$H$6,IF($J$28="Damage Taken Decrease %",0,IF($J$28="Defense %",0,IF($J$28="Accuracy",0,IF($J$28="Critical Rate %",(CHOOSE(MATCH($I$28,{"Rare","Epic","Unique","Legendary","Mystic","Mystic (Prime)"},0),2,3,4.5,7,10,12))*Sensitivity!$H$15,IF($J$28="Min Damage Multiplier %",(CHOOSE(MATCH($I$28,{"Rare","Epic","Unique","Legendary","Mystic","Mystic (Prime)"},0),2,3,4.5,7,10,12))*Sensitivity!$H$13,IF($J$28="Max Damage Multiplier %",(CHOOSE(MATCH($I$28,{"Rare","Epic","Unique","Legendary","Mystic","Mystic (Prime)"},0),2,3,4.5,7,10,12))*Sensitivity!$H$14,IF($J$28="Boss Monster Damage %",(CHOOSE(MATCH($I$28,{"Rare","Epic","Unique","Legendary","Mystic","Mystic (Prime)"},0),4,6,9,14,20,24))*Sensitivity!$H$10,IF($J$28="Normal Monster Damage %",(CHOOSE(MATCH($I$28,{"Rare","Epic","Unique","Legendary","Mystic","Mystic (Prime)"},0),4,6,9,14,20,24))*Sensitivity!$H$11,IF($J$28="Status Effect Damage %",0,IF($J$28="Damage %",(CHOOSE(MATCH($I$28,{"Rare","Epic","Unique","Legendary","Mystic","Mystic (Prime)"},0),4,6,9,14,20,24))*Sensitivity!$H$8,IF($J$28="Defense Penetration %",(CHOOSE(MATCH($I$28,{"Rare","Epic","Unique","Legendary","Mystic","Mystic (Prime)"},0),2,3,4.5,7,10,12))*Sensitivity!$H$18,0)))))))))))),0)</f>
        <v/>
      </c>
      <c r="L28">
        <f>Summary!$B$3*((IF(D28="(none)",1,1+(E28+IF(G28=D28,H28,0)+IF(J28=D28,K28,0))/Summary!$B$3))*(IF(OR(G28="(none)",G28=D28),1,1+(H28+IF(D28=G28,E28,0)+IF(J28=G28,K28,0))/Summary!$B$3))*(IF(OR(J28="",J28="(none)",J28=D28,J28=G28),1,1+(K28+IF(D28=J28,E28,0)+IF(G28=J28,H28,0))/Summary!$B$3))-1)</f>
        <v/>
      </c>
      <c r="M28">
        <f>OR(Inputs!$B$47="Lit Lamp",Inputs!$B$48="Lit Lamp",Inputs!$B$49="Lit Lamp",Inputs!$B$50="Lit Lamp")</f>
        <v/>
      </c>
      <c r="N28">
        <f>IF(B28="Not Unlocked",0,B28)</f>
        <v/>
      </c>
    </row>
    <row r="29">
      <c r="A29" s="6" t="inlineStr">
        <is>
          <t>Soul Pouch</t>
        </is>
      </c>
      <c r="B29" s="7" t="inlineStr">
        <is>
          <t>Not Unlocked</t>
        </is>
      </c>
      <c r="C29" s="7" t="inlineStr">
        <is>
          <t>Rare</t>
        </is>
      </c>
      <c r="D29" s="7" t="inlineStr">
        <is>
          <t>(none)</t>
        </is>
      </c>
      <c r="E29">
        <f>IF($N$29&gt;=1,IF($D$29="Main Stat %",(CHOOSE(MATCH($C$29,{"Rare","Epic","Unique","Legendary","Mystic","Mystic (Prime)"},0),2,3,4.5,7,10,12))*Sensitivity!$H$6,IF($D$29="Damage Taken Decrease %",0,IF($D$29="Defense %",0,IF($D$29="Accuracy",0,IF($D$29="Critical Rate %",(CHOOSE(MATCH($C$29,{"Rare","Epic","Unique","Legendary","Mystic","Mystic (Prime)"},0),2,3,4.5,7,10,12))*Sensitivity!$H$15,IF($D$29="Min Damage Multiplier %",(CHOOSE(MATCH($C$29,{"Rare","Epic","Unique","Legendary","Mystic","Mystic (Prime)"},0),2,3,4.5,7,10,12))*Sensitivity!$H$13,IF($D$29="Max Damage Multiplier %",(CHOOSE(MATCH($C$29,{"Rare","Epic","Unique","Legendary","Mystic","Mystic (Prime)"},0),2,3,4.5,7,10,12))*Sensitivity!$H$14,IF($D$29="Boss Monster Damage %",(CHOOSE(MATCH($C$29,{"Rare","Epic","Unique","Legendary","Mystic","Mystic (Prime)"},0),4,6,9,14,20,24))*Sensitivity!$H$10,IF($D$29="Normal Monster Damage %",(CHOOSE(MATCH($C$29,{"Rare","Epic","Unique","Legendary","Mystic","Mystic (Prime)"},0),4,6,9,14,20,24))*Sensitivity!$H$11,IF($D$29="Status Effect Damage %",0,IF($D$29="Damage %",(CHOOSE(MATCH($C$29,{"Rare","Epic","Unique","Legendary","Mystic","Mystic (Prime)"},0),4,6,9,14,20,24))*Sensitivity!$H$8,IF($D$29="Defense Penetration %",(CHOOSE(MATCH($C$29,{"Rare","Epic","Unique","Legendary","Mystic","Mystic (Prime)"},0),2,3,4.5,7,10,12))*Sensitivity!$H$18,0)))))))))))),0)</f>
        <v/>
      </c>
      <c r="F29" s="7" t="inlineStr">
        <is>
          <t>Rare</t>
        </is>
      </c>
      <c r="G29" s="7" t="inlineStr">
        <is>
          <t>(none)</t>
        </is>
      </c>
      <c r="H29">
        <f>IF($N$29&gt;=2,IF($G$29="Main Stat %",(CHOOSE(MATCH($F$29,{"Rare","Epic","Unique","Legendary","Mystic","Mystic (Prime)"},0),2,3,4.5,7,10,12))*Sensitivity!$H$6,IF($G$29="Damage Taken Decrease %",0,IF($G$29="Defense %",0,IF($G$29="Accuracy",0,IF($G$29="Critical Rate %",(CHOOSE(MATCH($F$29,{"Rare","Epic","Unique","Legendary","Mystic","Mystic (Prime)"},0),2,3,4.5,7,10,12))*Sensitivity!$H$15,IF($G$29="Min Damage Multiplier %",(CHOOSE(MATCH($F$29,{"Rare","Epic","Unique","Legendary","Mystic","Mystic (Prime)"},0),2,3,4.5,7,10,12))*Sensitivity!$H$13,IF($G$29="Max Damage Multiplier %",(CHOOSE(MATCH($F$29,{"Rare","Epic","Unique","Legendary","Mystic","Mystic (Prime)"},0),2,3,4.5,7,10,12))*Sensitivity!$H$14,IF($G$29="Boss Monster Damage %",(CHOOSE(MATCH($F$29,{"Rare","Epic","Unique","Legendary","Mystic","Mystic (Prime)"},0),4,6,9,14,20,24))*Sensitivity!$H$10,IF($G$29="Normal Monster Damage %",(CHOOSE(MATCH($F$29,{"Rare","Epic","Unique","Legendary","Mystic","Mystic (Prime)"},0),4,6,9,14,20,24))*Sensitivity!$H$11,IF($G$29="Status Effect Damage %",0,IF($G$29="Damage %",(CHOOSE(MATCH($F$29,{"Rare","Epic","Unique","Legendary","Mystic","Mystic (Prime)"},0),4,6,9,14,20,24))*Sensitivity!$H$8,IF($G$29="Defense Penetration %",(CHOOSE(MATCH($F$29,{"Rare","Epic","Unique","Legendary","Mystic","Mystic (Prime)"},0),2,3,4.5,7,10,12))*Sensitivity!$H$18,0)))))))))))),0)</f>
        <v/>
      </c>
      <c r="I29" s="7" t="inlineStr">
        <is>
          <t>Rare</t>
        </is>
      </c>
      <c r="J29" s="7" t="inlineStr">
        <is>
          <t>(none)</t>
        </is>
      </c>
      <c r="K29">
        <f>IF($N$29&gt;=5,IF($J$29="Main Stat %",(CHOOSE(MATCH($I$29,{"Rare","Epic","Unique","Legendary","Mystic","Mystic (Prime)"},0),2,3,4.5,7,10,12))*Sensitivity!$H$6,IF($J$29="Damage Taken Decrease %",0,IF($J$29="Defense %",0,IF($J$29="Accuracy",0,IF($J$29="Critical Rate %",(CHOOSE(MATCH($I$29,{"Rare","Epic","Unique","Legendary","Mystic","Mystic (Prime)"},0),2,3,4.5,7,10,12))*Sensitivity!$H$15,IF($J$29="Min Damage Multiplier %",(CHOOSE(MATCH($I$29,{"Rare","Epic","Unique","Legendary","Mystic","Mystic (Prime)"},0),2,3,4.5,7,10,12))*Sensitivity!$H$13,IF($J$29="Max Damage Multiplier %",(CHOOSE(MATCH($I$29,{"Rare","Epic","Unique","Legendary","Mystic","Mystic (Prime)"},0),2,3,4.5,7,10,12))*Sensitivity!$H$14,IF($J$29="Boss Monster Damage %",(CHOOSE(MATCH($I$29,{"Rare","Epic","Unique","Legendary","Mystic","Mystic (Prime)"},0),4,6,9,14,20,24))*Sensitivity!$H$10,IF($J$29="Normal Monster Damage %",(CHOOSE(MATCH($I$29,{"Rare","Epic","Unique","Legendary","Mystic","Mystic (Prime)"},0),4,6,9,14,20,24))*Sensitivity!$H$11,IF($J$29="Status Effect Damage %",0,IF($J$29="Damage %",(CHOOSE(MATCH($I$29,{"Rare","Epic","Unique","Legendary","Mystic","Mystic (Prime)"},0),4,6,9,14,20,24))*Sensitivity!$H$8,IF($J$29="Defense Penetration %",(CHOOSE(MATCH($I$29,{"Rare","Epic","Unique","Legendary","Mystic","Mystic (Prime)"},0),2,3,4.5,7,10,12))*Sensitivity!$H$18,0)))))))))))),0)</f>
        <v/>
      </c>
      <c r="L29">
        <f>Summary!$B$3*((IF(D29="(none)",1,1+(E29+IF(G29=D29,H29,0)+IF(J29=D29,K29,0))/Summary!$B$3))*(IF(OR(G29="(none)",G29=D29),1,1+(H29+IF(D29=G29,E29,0)+IF(J29=G29,K29,0))/Summary!$B$3))*(IF(OR(J29="",J29="(none)",J29=D29,J29=G29),1,1+(K29+IF(D29=J29,E29,0)+IF(G29=J29,H29,0))/Summary!$B$3))-1)</f>
        <v/>
      </c>
      <c r="M29">
        <f>OR(Inputs!$B$47="Soul Pouch",Inputs!$B$48="Soul Pouch",Inputs!$B$49="Soul Pouch",Inputs!$B$50="Soul Pouch")</f>
        <v/>
      </c>
      <c r="N29">
        <f>IF(B29="Not Unlocked",0,B29)</f>
        <v/>
      </c>
    </row>
    <row r="30">
      <c r="A30" s="6" t="inlineStr">
        <is>
          <t>Ancient Text Piece</t>
        </is>
      </c>
      <c r="B30" s="7" t="inlineStr">
        <is>
          <t>Not Unlocked</t>
        </is>
      </c>
      <c r="C30" s="7" t="inlineStr">
        <is>
          <t>Rare</t>
        </is>
      </c>
      <c r="D30" s="7" t="inlineStr">
        <is>
          <t>(none)</t>
        </is>
      </c>
      <c r="E30">
        <f>IF($N$30&gt;=1,IF($D$30="Main Stat %",(CHOOSE(MATCH($C$30,{"Rare","Epic","Unique","Legendary","Mystic","Mystic (Prime)"},0),2,3,4.5,7,10,12))*Sensitivity!$H$6,IF($D$30="Damage Taken Decrease %",0,IF($D$30="Defense %",0,IF($D$30="Accuracy",0,IF($D$30="Critical Rate %",(CHOOSE(MATCH($C$30,{"Rare","Epic","Unique","Legendary","Mystic","Mystic (Prime)"},0),2,3,4.5,7,10,12))*Sensitivity!$H$15,IF($D$30="Min Damage Multiplier %",(CHOOSE(MATCH($C$30,{"Rare","Epic","Unique","Legendary","Mystic","Mystic (Prime)"},0),2,3,4.5,7,10,12))*Sensitivity!$H$13,IF($D$30="Max Damage Multiplier %",(CHOOSE(MATCH($C$30,{"Rare","Epic","Unique","Legendary","Mystic","Mystic (Prime)"},0),2,3,4.5,7,10,12))*Sensitivity!$H$14,IF($D$30="Boss Monster Damage %",(CHOOSE(MATCH($C$30,{"Rare","Epic","Unique","Legendary","Mystic","Mystic (Prime)"},0),4,6,9,14,20,24))*Sensitivity!$H$10,IF($D$30="Normal Monster Damage %",(CHOOSE(MATCH($C$30,{"Rare","Epic","Unique","Legendary","Mystic","Mystic (Prime)"},0),4,6,9,14,20,24))*Sensitivity!$H$11,IF($D$30="Status Effect Damage %",0,IF($D$30="Damage %",(CHOOSE(MATCH($C$30,{"Rare","Epic","Unique","Legendary","Mystic","Mystic (Prime)"},0),4,6,9,14,20,24))*Sensitivity!$H$8,IF($D$30="Defense Penetration %",(CHOOSE(MATCH($C$30,{"Rare","Epic","Unique","Legendary","Mystic","Mystic (Prime)"},0),2,3,4.5,7,10,12))*Sensitivity!$H$18,0)))))))))))),0)</f>
        <v/>
      </c>
      <c r="F30" s="7" t="inlineStr">
        <is>
          <t>Rare</t>
        </is>
      </c>
      <c r="G30" s="7" t="inlineStr">
        <is>
          <t>(none)</t>
        </is>
      </c>
      <c r="H30">
        <f>IF($N$30&gt;=2,IF($G$30="Main Stat %",(CHOOSE(MATCH($F$30,{"Rare","Epic","Unique","Legendary","Mystic","Mystic (Prime)"},0),2,3,4.5,7,10,12))*Sensitivity!$H$6,IF($G$30="Damage Taken Decrease %",0,IF($G$30="Defense %",0,IF($G$30="Accuracy",0,IF($G$30="Critical Rate %",(CHOOSE(MATCH($F$30,{"Rare","Epic","Unique","Legendary","Mystic","Mystic (Prime)"},0),2,3,4.5,7,10,12))*Sensitivity!$H$15,IF($G$30="Min Damage Multiplier %",(CHOOSE(MATCH($F$30,{"Rare","Epic","Unique","Legendary","Mystic","Mystic (Prime)"},0),2,3,4.5,7,10,12))*Sensitivity!$H$13,IF($G$30="Max Damage Multiplier %",(CHOOSE(MATCH($F$30,{"Rare","Epic","Unique","Legendary","Mystic","Mystic (Prime)"},0),2,3,4.5,7,10,12))*Sensitivity!$H$14,IF($G$30="Boss Monster Damage %",(CHOOSE(MATCH($F$30,{"Rare","Epic","Unique","Legendary","Mystic","Mystic (Prime)"},0),4,6,9,14,20,24))*Sensitivity!$H$10,IF($G$30="Normal Monster Damage %",(CHOOSE(MATCH($F$30,{"Rare","Epic","Unique","Legendary","Mystic","Mystic (Prime)"},0),4,6,9,14,20,24))*Sensitivity!$H$11,IF($G$30="Status Effect Damage %",0,IF($G$30="Damage %",(CHOOSE(MATCH($F$30,{"Rare","Epic","Unique","Legendary","Mystic","Mystic (Prime)"},0),4,6,9,14,20,24))*Sensitivity!$H$8,IF($G$30="Defense Penetration %",(CHOOSE(MATCH($F$30,{"Rare","Epic","Unique","Legendary","Mystic","Mystic (Prime)"},0),2,3,4.5,7,10,12))*Sensitivity!$H$18,0)))))))))))),0)</f>
        <v/>
      </c>
      <c r="I30" s="7" t="inlineStr">
        <is>
          <t>Rare</t>
        </is>
      </c>
      <c r="J30" s="7" t="inlineStr">
        <is>
          <t>(none)</t>
        </is>
      </c>
      <c r="K30">
        <f>IF($N$30&gt;=5,IF($J$30="Main Stat %",(CHOOSE(MATCH($I$30,{"Rare","Epic","Unique","Legendary","Mystic","Mystic (Prime)"},0),2,3,4.5,7,10,12))*Sensitivity!$H$6,IF($J$30="Damage Taken Decrease %",0,IF($J$30="Defense %",0,IF($J$30="Accuracy",0,IF($J$30="Critical Rate %",(CHOOSE(MATCH($I$30,{"Rare","Epic","Unique","Legendary","Mystic","Mystic (Prime)"},0),2,3,4.5,7,10,12))*Sensitivity!$H$15,IF($J$30="Min Damage Multiplier %",(CHOOSE(MATCH($I$30,{"Rare","Epic","Unique","Legendary","Mystic","Mystic (Prime)"},0),2,3,4.5,7,10,12))*Sensitivity!$H$13,IF($J$30="Max Damage Multiplier %",(CHOOSE(MATCH($I$30,{"Rare","Epic","Unique","Legendary","Mystic","Mystic (Prime)"},0),2,3,4.5,7,10,12))*Sensitivity!$H$14,IF($J$30="Boss Monster Damage %",(CHOOSE(MATCH($I$30,{"Rare","Epic","Unique","Legendary","Mystic","Mystic (Prime)"},0),4,6,9,14,20,24))*Sensitivity!$H$10,IF($J$30="Normal Monster Damage %",(CHOOSE(MATCH($I$30,{"Rare","Epic","Unique","Legendary","Mystic","Mystic (Prime)"},0),4,6,9,14,20,24))*Sensitivity!$H$11,IF($J$30="Status Effect Damage %",0,IF($J$30="Damage %",(CHOOSE(MATCH($I$30,{"Rare","Epic","Unique","Legendary","Mystic","Mystic (Prime)"},0),4,6,9,14,20,24))*Sensitivity!$H$8,IF($J$30="Defense Penetration %",(CHOOSE(MATCH($I$30,{"Rare","Epic","Unique","Legendary","Mystic","Mystic (Prime)"},0),2,3,4.5,7,10,12))*Sensitivity!$H$18,0)))))))))))),0)</f>
        <v/>
      </c>
      <c r="L30">
        <f>Summary!$B$3*((IF(D30="(none)",1,1+(E30+IF(G30=D30,H30,0)+IF(J30=D30,K30,0))/Summary!$B$3))*(IF(OR(G30="(none)",G30=D30),1,1+(H30+IF(D30=G30,E30,0)+IF(J30=G30,K30,0))/Summary!$B$3))*(IF(OR(J30="",J30="(none)",J30=D30,J30=G30),1,1+(K30+IF(D30=J30,E30,0)+IF(G30=J30,H30,0))/Summary!$B$3))-1)</f>
        <v/>
      </c>
      <c r="M30">
        <f>OR(Inputs!$B$47="Ancient Text Piece",Inputs!$B$48="Ancient Text Piece",Inputs!$B$49="Ancient Text Piece",Inputs!$B$50="Ancient Text Piece")</f>
        <v/>
      </c>
      <c r="N30">
        <f>IF(B30="Not Unlocked",0,B30)</f>
        <v/>
      </c>
    </row>
    <row r="31">
      <c r="A31" s="6" t="inlineStr">
        <is>
          <t>Icy Soul Rock</t>
        </is>
      </c>
      <c r="B31" s="7" t="inlineStr">
        <is>
          <t>Not Unlocked</t>
        </is>
      </c>
      <c r="C31" s="7" t="inlineStr">
        <is>
          <t>Rare</t>
        </is>
      </c>
      <c r="D31" s="7" t="inlineStr">
        <is>
          <t>(none)</t>
        </is>
      </c>
      <c r="E31">
        <f>IF($N$31&gt;=1,IF($D$31="Main Stat %",(CHOOSE(MATCH($C$31,{"Rare","Epic","Unique","Legendary","Mystic","Mystic (Prime)"},0),2,3,4.5,7,10,12))*Sensitivity!$H$6,IF($D$31="Damage Taken Decrease %",0,IF($D$31="Defense %",0,IF($D$31="Accuracy",0,IF($D$31="Critical Rate %",(CHOOSE(MATCH($C$31,{"Rare","Epic","Unique","Legendary","Mystic","Mystic (Prime)"},0),2,3,4.5,7,10,12))*Sensitivity!$H$15,IF($D$31="Min Damage Multiplier %",(CHOOSE(MATCH($C$31,{"Rare","Epic","Unique","Legendary","Mystic","Mystic (Prime)"},0),2,3,4.5,7,10,12))*Sensitivity!$H$13,IF($D$31="Max Damage Multiplier %",(CHOOSE(MATCH($C$31,{"Rare","Epic","Unique","Legendary","Mystic","Mystic (Prime)"},0),2,3,4.5,7,10,12))*Sensitivity!$H$14,IF($D$31="Boss Monster Damage %",(CHOOSE(MATCH($C$31,{"Rare","Epic","Unique","Legendary","Mystic","Mystic (Prime)"},0),4,6,9,14,20,24))*Sensitivity!$H$10,IF($D$31="Normal Monster Damage %",(CHOOSE(MATCH($C$31,{"Rare","Epic","Unique","Legendary","Mystic","Mystic (Prime)"},0),4,6,9,14,20,24))*Sensitivity!$H$11,IF($D$31="Status Effect Damage %",0,IF($D$31="Damage %",(CHOOSE(MATCH($C$31,{"Rare","Epic","Unique","Legendary","Mystic","Mystic (Prime)"},0),4,6,9,14,20,24))*Sensitivity!$H$8,IF($D$31="Defense Penetration %",(CHOOSE(MATCH($C$31,{"Rare","Epic","Unique","Legendary","Mystic","Mystic (Prime)"},0),2,3,4.5,7,10,12))*Sensitivity!$H$18,0)))))))))))),0)</f>
        <v/>
      </c>
      <c r="F31" s="7" t="inlineStr">
        <is>
          <t>Rare</t>
        </is>
      </c>
      <c r="G31" s="7" t="inlineStr">
        <is>
          <t>(none)</t>
        </is>
      </c>
      <c r="H31">
        <f>IF($N$31&gt;=2,IF($G$31="Main Stat %",(CHOOSE(MATCH($F$31,{"Rare","Epic","Unique","Legendary","Mystic","Mystic (Prime)"},0),2,3,4.5,7,10,12))*Sensitivity!$H$6,IF($G$31="Damage Taken Decrease %",0,IF($G$31="Defense %",0,IF($G$31="Accuracy",0,IF($G$31="Critical Rate %",(CHOOSE(MATCH($F$31,{"Rare","Epic","Unique","Legendary","Mystic","Mystic (Prime)"},0),2,3,4.5,7,10,12))*Sensitivity!$H$15,IF($G$31="Min Damage Multiplier %",(CHOOSE(MATCH($F$31,{"Rare","Epic","Unique","Legendary","Mystic","Mystic (Prime)"},0),2,3,4.5,7,10,12))*Sensitivity!$H$13,IF($G$31="Max Damage Multiplier %",(CHOOSE(MATCH($F$31,{"Rare","Epic","Unique","Legendary","Mystic","Mystic (Prime)"},0),2,3,4.5,7,10,12))*Sensitivity!$H$14,IF($G$31="Boss Monster Damage %",(CHOOSE(MATCH($F$31,{"Rare","Epic","Unique","Legendary","Mystic","Mystic (Prime)"},0),4,6,9,14,20,24))*Sensitivity!$H$10,IF($G$31="Normal Monster Damage %",(CHOOSE(MATCH($F$31,{"Rare","Epic","Unique","Legendary","Mystic","Mystic (Prime)"},0),4,6,9,14,20,24))*Sensitivity!$H$11,IF($G$31="Status Effect Damage %",0,IF($G$31="Damage %",(CHOOSE(MATCH($F$31,{"Rare","Epic","Unique","Legendary","Mystic","Mystic (Prime)"},0),4,6,9,14,20,24))*Sensitivity!$H$8,IF($G$31="Defense Penetration %",(CHOOSE(MATCH($F$31,{"Rare","Epic","Unique","Legendary","Mystic","Mystic (Prime)"},0),2,3,4.5,7,10,12))*Sensitivity!$H$18,0)))))))))))),0)</f>
        <v/>
      </c>
      <c r="I31" s="7" t="inlineStr">
        <is>
          <t>Rare</t>
        </is>
      </c>
      <c r="J31" s="7" t="inlineStr">
        <is>
          <t>(none)</t>
        </is>
      </c>
      <c r="K31">
        <f>IF($N$31&gt;=5,IF($J$31="Main Stat %",(CHOOSE(MATCH($I$31,{"Rare","Epic","Unique","Legendary","Mystic","Mystic (Prime)"},0),2,3,4.5,7,10,12))*Sensitivity!$H$6,IF($J$31="Damage Taken Decrease %",0,IF($J$31="Defense %",0,IF($J$31="Accuracy",0,IF($J$31="Critical Rate %",(CHOOSE(MATCH($I$31,{"Rare","Epic","Unique","Legendary","Mystic","Mystic (Prime)"},0),2,3,4.5,7,10,12))*Sensitivity!$H$15,IF($J$31="Min Damage Multiplier %",(CHOOSE(MATCH($I$31,{"Rare","Epic","Unique","Legendary","Mystic","Mystic (Prime)"},0),2,3,4.5,7,10,12))*Sensitivity!$H$13,IF($J$31="Max Damage Multiplier %",(CHOOSE(MATCH($I$31,{"Rare","Epic","Unique","Legendary","Mystic","Mystic (Prime)"},0),2,3,4.5,7,10,12))*Sensitivity!$H$14,IF($J$31="Boss Monster Damage %",(CHOOSE(MATCH($I$31,{"Rare","Epic","Unique","Legendary","Mystic","Mystic (Prime)"},0),4,6,9,14,20,24))*Sensitivity!$H$10,IF($J$31="Normal Monster Damage %",(CHOOSE(MATCH($I$31,{"Rare","Epic","Unique","Legendary","Mystic","Mystic (Prime)"},0),4,6,9,14,20,24))*Sensitivity!$H$11,IF($J$31="Status Effect Damage %",0,IF($J$31="Damage %",(CHOOSE(MATCH($I$31,{"Rare","Epic","Unique","Legendary","Mystic","Mystic (Prime)"},0),4,6,9,14,20,24))*Sensitivity!$H$8,IF($J$31="Defense Penetration %",(CHOOSE(MATCH($I$31,{"Rare","Epic","Unique","Legendary","Mystic","Mystic (Prime)"},0),2,3,4.5,7,10,12))*Sensitivity!$H$18,0)))))))))))),0)</f>
        <v/>
      </c>
      <c r="L31">
        <f>Summary!$B$3*((IF(D31="(none)",1,1+(E31+IF(G31=D31,H31,0)+IF(J31=D31,K31,0))/Summary!$B$3))*(IF(OR(G31="(none)",G31=D31),1,1+(H31+IF(D31=G31,E31,0)+IF(J31=G31,K31,0))/Summary!$B$3))*(IF(OR(J31="",J31="(none)",J31=D31,J31=G31),1,1+(K31+IF(D31=J31,E31,0)+IF(G31=J31,H31,0))/Summary!$B$3))-1)</f>
        <v/>
      </c>
      <c r="M31">
        <f>OR(Inputs!$B$47="Icy Soul Rock",Inputs!$B$48="Icy Soul Rock",Inputs!$B$49="Icy Soul Rock",Inputs!$B$50="Icy Soul Rock")</f>
        <v/>
      </c>
      <c r="N31">
        <f>IF(B31="Not Unlocked",0,B31)</f>
        <v/>
      </c>
    </row>
    <row r="32">
      <c r="A32" s="6" t="inlineStr">
        <is>
          <t>Flaming Lava</t>
        </is>
      </c>
      <c r="B32" s="7" t="inlineStr">
        <is>
          <t>Not Unlocked</t>
        </is>
      </c>
      <c r="C32" s="7" t="inlineStr">
        <is>
          <t>Rare</t>
        </is>
      </c>
      <c r="D32" s="7" t="inlineStr">
        <is>
          <t>(none)</t>
        </is>
      </c>
      <c r="E32">
        <f>IF($N$32&gt;=1,IF($D$32="Main Stat %",(CHOOSE(MATCH($C$32,{"Rare","Epic","Unique","Legendary","Mystic","Mystic (Prime)"},0),2,3,4.5,7,10,12))*Sensitivity!$H$6,IF($D$32="Damage Taken Decrease %",0,IF($D$32="Defense %",0,IF($D$32="Accuracy",0,IF($D$32="Critical Rate %",(CHOOSE(MATCH($C$32,{"Rare","Epic","Unique","Legendary","Mystic","Mystic (Prime)"},0),2,3,4.5,7,10,12))*Sensitivity!$H$15,IF($D$32="Min Damage Multiplier %",(CHOOSE(MATCH($C$32,{"Rare","Epic","Unique","Legendary","Mystic","Mystic (Prime)"},0),2,3,4.5,7,10,12))*Sensitivity!$H$13,IF($D$32="Max Damage Multiplier %",(CHOOSE(MATCH($C$32,{"Rare","Epic","Unique","Legendary","Mystic","Mystic (Prime)"},0),2,3,4.5,7,10,12))*Sensitivity!$H$14,IF($D$32="Boss Monster Damage %",(CHOOSE(MATCH($C$32,{"Rare","Epic","Unique","Legendary","Mystic","Mystic (Prime)"},0),4,6,9,14,20,24))*Sensitivity!$H$10,IF($D$32="Normal Monster Damage %",(CHOOSE(MATCH($C$32,{"Rare","Epic","Unique","Legendary","Mystic","Mystic (Prime)"},0),4,6,9,14,20,24))*Sensitivity!$H$11,IF($D$32="Status Effect Damage %",0,IF($D$32="Damage %",(CHOOSE(MATCH($C$32,{"Rare","Epic","Unique","Legendary","Mystic","Mystic (Prime)"},0),4,6,9,14,20,24))*Sensitivity!$H$8,IF($D$32="Defense Penetration %",(CHOOSE(MATCH($C$32,{"Rare","Epic","Unique","Legendary","Mystic","Mystic (Prime)"},0),2,3,4.5,7,10,12))*Sensitivity!$H$18,0)))))))))))),0)</f>
        <v/>
      </c>
      <c r="F32" s="7" t="inlineStr">
        <is>
          <t>Rare</t>
        </is>
      </c>
      <c r="G32" s="7" t="inlineStr">
        <is>
          <t>(none)</t>
        </is>
      </c>
      <c r="H32">
        <f>IF($N$32&gt;=2,IF($G$32="Main Stat %",(CHOOSE(MATCH($F$32,{"Rare","Epic","Unique","Legendary","Mystic","Mystic (Prime)"},0),2,3,4.5,7,10,12))*Sensitivity!$H$6,IF($G$32="Damage Taken Decrease %",0,IF($G$32="Defense %",0,IF($G$32="Accuracy",0,IF($G$32="Critical Rate %",(CHOOSE(MATCH($F$32,{"Rare","Epic","Unique","Legendary","Mystic","Mystic (Prime)"},0),2,3,4.5,7,10,12))*Sensitivity!$H$15,IF($G$32="Min Damage Multiplier %",(CHOOSE(MATCH($F$32,{"Rare","Epic","Unique","Legendary","Mystic","Mystic (Prime)"},0),2,3,4.5,7,10,12))*Sensitivity!$H$13,IF($G$32="Max Damage Multiplier %",(CHOOSE(MATCH($F$32,{"Rare","Epic","Unique","Legendary","Mystic","Mystic (Prime)"},0),2,3,4.5,7,10,12))*Sensitivity!$H$14,IF($G$32="Boss Monster Damage %",(CHOOSE(MATCH($F$32,{"Rare","Epic","Unique","Legendary","Mystic","Mystic (Prime)"},0),4,6,9,14,20,24))*Sensitivity!$H$10,IF($G$32="Normal Monster Damage %",(CHOOSE(MATCH($F$32,{"Rare","Epic","Unique","Legendary","Mystic","Mystic (Prime)"},0),4,6,9,14,20,24))*Sensitivity!$H$11,IF($G$32="Status Effect Damage %",0,IF($G$32="Damage %",(CHOOSE(MATCH($F$32,{"Rare","Epic","Unique","Legendary","Mystic","Mystic (Prime)"},0),4,6,9,14,20,24))*Sensitivity!$H$8,IF($G$32="Defense Penetration %",(CHOOSE(MATCH($F$32,{"Rare","Epic","Unique","Legendary","Mystic","Mystic (Prime)"},0),2,3,4.5,7,10,12))*Sensitivity!$H$18,0)))))))))))),0)</f>
        <v/>
      </c>
      <c r="I32" s="7" t="inlineStr">
        <is>
          <t>Rare</t>
        </is>
      </c>
      <c r="J32" s="7" t="inlineStr">
        <is>
          <t>(none)</t>
        </is>
      </c>
      <c r="K32">
        <f>IF($N$32&gt;=5,IF($J$32="Main Stat %",(CHOOSE(MATCH($I$32,{"Rare","Epic","Unique","Legendary","Mystic","Mystic (Prime)"},0),2,3,4.5,7,10,12))*Sensitivity!$H$6,IF($J$32="Damage Taken Decrease %",0,IF($J$32="Defense %",0,IF($J$32="Accuracy",0,IF($J$32="Critical Rate %",(CHOOSE(MATCH($I$32,{"Rare","Epic","Unique","Legendary","Mystic","Mystic (Prime)"},0),2,3,4.5,7,10,12))*Sensitivity!$H$15,IF($J$32="Min Damage Multiplier %",(CHOOSE(MATCH($I$32,{"Rare","Epic","Unique","Legendary","Mystic","Mystic (Prime)"},0),2,3,4.5,7,10,12))*Sensitivity!$H$13,IF($J$32="Max Damage Multiplier %",(CHOOSE(MATCH($I$32,{"Rare","Epic","Unique","Legendary","Mystic","Mystic (Prime)"},0),2,3,4.5,7,10,12))*Sensitivity!$H$14,IF($J$32="Boss Monster Damage %",(CHOOSE(MATCH($I$32,{"Rare","Epic","Unique","Legendary","Mystic","Mystic (Prime)"},0),4,6,9,14,20,24))*Sensitivity!$H$10,IF($J$32="Normal Monster Damage %",(CHOOSE(MATCH($I$32,{"Rare","Epic","Unique","Legendary","Mystic","Mystic (Prime)"},0),4,6,9,14,20,24))*Sensitivity!$H$11,IF($J$32="Status Effect Damage %",0,IF($J$32="Damage %",(CHOOSE(MATCH($I$32,{"Rare","Epic","Unique","Legendary","Mystic","Mystic (Prime)"},0),4,6,9,14,20,24))*Sensitivity!$H$8,IF($J$32="Defense Penetration %",(CHOOSE(MATCH($I$32,{"Rare","Epic","Unique","Legendary","Mystic","Mystic (Prime)"},0),2,3,4.5,7,10,12))*Sensitivity!$H$18,0)))))))))))),0)</f>
        <v/>
      </c>
      <c r="L32">
        <f>Summary!$B$3*((IF(D32="(none)",1,1+(E32+IF(G32=D32,H32,0)+IF(J32=D32,K32,0))/Summary!$B$3))*(IF(OR(G32="(none)",G32=D32),1,1+(H32+IF(D32=G32,E32,0)+IF(J32=G32,K32,0))/Summary!$B$3))*(IF(OR(J32="",J32="(none)",J32=D32,J32=G32),1,1+(K32+IF(D32=J32,E32,0)+IF(G32=J32,H32,0))/Summary!$B$3))-1)</f>
        <v/>
      </c>
      <c r="M32">
        <f>OR(Inputs!$B$47="Flaming Lava",Inputs!$B$48="Flaming Lava",Inputs!$B$49="Flaming Lava",Inputs!$B$50="Flaming Lava")</f>
        <v/>
      </c>
      <c r="N32">
        <f>IF(B32="Not Unlocked",0,B32)</f>
        <v/>
      </c>
    </row>
    <row r="33">
      <c r="A33" s="6" t="inlineStr">
        <is>
          <t>Sayram's Necklace</t>
        </is>
      </c>
      <c r="B33" s="7" t="inlineStr">
        <is>
          <t>Not Unlocked</t>
        </is>
      </c>
      <c r="C33" s="7" t="inlineStr">
        <is>
          <t>Rare</t>
        </is>
      </c>
      <c r="D33" s="7" t="inlineStr">
        <is>
          <t>(none)</t>
        </is>
      </c>
      <c r="E33">
        <f>IF($N$33&gt;=1,IF($D$33="Main Stat %",(CHOOSE(MATCH($C$33,{"Rare","Epic","Unique","Legendary","Mystic","Mystic (Prime)"},0),2,3,4.5,7,10,12))*Sensitivity!$H$6,IF($D$33="Damage Taken Decrease %",0,IF($D$33="Defense %",0,IF($D$33="Accuracy",0,IF($D$33="Critical Rate %",(CHOOSE(MATCH($C$33,{"Rare","Epic","Unique","Legendary","Mystic","Mystic (Prime)"},0),2,3,4.5,7,10,12))*Sensitivity!$H$15,IF($D$33="Min Damage Multiplier %",(CHOOSE(MATCH($C$33,{"Rare","Epic","Unique","Legendary","Mystic","Mystic (Prime)"},0),2,3,4.5,7,10,12))*Sensitivity!$H$13,IF($D$33="Max Damage Multiplier %",(CHOOSE(MATCH($C$33,{"Rare","Epic","Unique","Legendary","Mystic","Mystic (Prime)"},0),2,3,4.5,7,10,12))*Sensitivity!$H$14,IF($D$33="Boss Monster Damage %",(CHOOSE(MATCH($C$33,{"Rare","Epic","Unique","Legendary","Mystic","Mystic (Prime)"},0),4,6,9,14,20,24))*Sensitivity!$H$10,IF($D$33="Normal Monster Damage %",(CHOOSE(MATCH($C$33,{"Rare","Epic","Unique","Legendary","Mystic","Mystic (Prime)"},0),4,6,9,14,20,24))*Sensitivity!$H$11,IF($D$33="Status Effect Damage %",0,IF($D$33="Damage %",(CHOOSE(MATCH($C$33,{"Rare","Epic","Unique","Legendary","Mystic","Mystic (Prime)"},0),4,6,9,14,20,24))*Sensitivity!$H$8,IF($D$33="Defense Penetration %",(CHOOSE(MATCH($C$33,{"Rare","Epic","Unique","Legendary","Mystic","Mystic (Prime)"},0),2,3,4.5,7,10,12))*Sensitivity!$H$18,0)))))))))))),0)</f>
        <v/>
      </c>
      <c r="F33" s="7" t="inlineStr">
        <is>
          <t>Rare</t>
        </is>
      </c>
      <c r="G33" s="7" t="inlineStr">
        <is>
          <t>(none)</t>
        </is>
      </c>
      <c r="H33">
        <f>IF($N$33&gt;=2,IF($G$33="Main Stat %",(CHOOSE(MATCH($F$33,{"Rare","Epic","Unique","Legendary","Mystic","Mystic (Prime)"},0),2,3,4.5,7,10,12))*Sensitivity!$H$6,IF($G$33="Damage Taken Decrease %",0,IF($G$33="Defense %",0,IF($G$33="Accuracy",0,IF($G$33="Critical Rate %",(CHOOSE(MATCH($F$33,{"Rare","Epic","Unique","Legendary","Mystic","Mystic (Prime)"},0),2,3,4.5,7,10,12))*Sensitivity!$H$15,IF($G$33="Min Damage Multiplier %",(CHOOSE(MATCH($F$33,{"Rare","Epic","Unique","Legendary","Mystic","Mystic (Prime)"},0),2,3,4.5,7,10,12))*Sensitivity!$H$13,IF($G$33="Max Damage Multiplier %",(CHOOSE(MATCH($F$33,{"Rare","Epic","Unique","Legendary","Mystic","Mystic (Prime)"},0),2,3,4.5,7,10,12))*Sensitivity!$H$14,IF($G$33="Boss Monster Damage %",(CHOOSE(MATCH($F$33,{"Rare","Epic","Unique","Legendary","Mystic","Mystic (Prime)"},0),4,6,9,14,20,24))*Sensitivity!$H$10,IF($G$33="Normal Monster Damage %",(CHOOSE(MATCH($F$33,{"Rare","Epic","Unique","Legendary","Mystic","Mystic (Prime)"},0),4,6,9,14,20,24))*Sensitivity!$H$11,IF($G$33="Status Effect Damage %",0,IF($G$33="Damage %",(CHOOSE(MATCH($F$33,{"Rare","Epic","Unique","Legendary","Mystic","Mystic (Prime)"},0),4,6,9,14,20,24))*Sensitivity!$H$8,IF($G$33="Defense Penetration %",(CHOOSE(MATCH($F$33,{"Rare","Epic","Unique","Legendary","Mystic","Mystic (Prime)"},0),2,3,4.5,7,10,12))*Sensitivity!$H$18,0)))))))))))),0)</f>
        <v/>
      </c>
      <c r="I33" s="7" t="inlineStr">
        <is>
          <t>Rare</t>
        </is>
      </c>
      <c r="J33" s="7" t="inlineStr">
        <is>
          <t>(none)</t>
        </is>
      </c>
      <c r="K33">
        <f>IF($N$33&gt;=5,IF($J$33="Main Stat %",(CHOOSE(MATCH($I$33,{"Rare","Epic","Unique","Legendary","Mystic","Mystic (Prime)"},0),2,3,4.5,7,10,12))*Sensitivity!$H$6,IF($J$33="Damage Taken Decrease %",0,IF($J$33="Defense %",0,IF($J$33="Accuracy",0,IF($J$33="Critical Rate %",(CHOOSE(MATCH($I$33,{"Rare","Epic","Unique","Legendary","Mystic","Mystic (Prime)"},0),2,3,4.5,7,10,12))*Sensitivity!$H$15,IF($J$33="Min Damage Multiplier %",(CHOOSE(MATCH($I$33,{"Rare","Epic","Unique","Legendary","Mystic","Mystic (Prime)"},0),2,3,4.5,7,10,12))*Sensitivity!$H$13,IF($J$33="Max Damage Multiplier %",(CHOOSE(MATCH($I$33,{"Rare","Epic","Unique","Legendary","Mystic","Mystic (Prime)"},0),2,3,4.5,7,10,12))*Sensitivity!$H$14,IF($J$33="Boss Monster Damage %",(CHOOSE(MATCH($I$33,{"Rare","Epic","Unique","Legendary","Mystic","Mystic (Prime)"},0),4,6,9,14,20,24))*Sensitivity!$H$10,IF($J$33="Normal Monster Damage %",(CHOOSE(MATCH($I$33,{"Rare","Epic","Unique","Legendary","Mystic","Mystic (Prime)"},0),4,6,9,14,20,24))*Sensitivity!$H$11,IF($J$33="Status Effect Damage %",0,IF($J$33="Damage %",(CHOOSE(MATCH($I$33,{"Rare","Epic","Unique","Legendary","Mystic","Mystic (Prime)"},0),4,6,9,14,20,24))*Sensitivity!$H$8,IF($J$33="Defense Penetration %",(CHOOSE(MATCH($I$33,{"Rare","Epic","Unique","Legendary","Mystic","Mystic (Prime)"},0),2,3,4.5,7,10,12))*Sensitivity!$H$18,0)))))))))))),0)</f>
        <v/>
      </c>
      <c r="L33">
        <f>Summary!$B$3*((IF(D33="(none)",1,1+(E33+IF(G33=D33,H33,0)+IF(J33=D33,K33,0))/Summary!$B$3))*(IF(OR(G33="(none)",G33=D33),1,1+(H33+IF(D33=G33,E33,0)+IF(J33=G33,K33,0))/Summary!$B$3))*(IF(OR(J33="",J33="(none)",J33=D33,J33=G33),1,1+(K33+IF(D33=J33,E33,0)+IF(G33=J33,H33,0))/Summary!$B$3))-1)</f>
        <v/>
      </c>
      <c r="M33">
        <f>OR(Inputs!$B$47="Sayram's Necklace",Inputs!$B$48="Sayram's Necklace",Inputs!$B$49="Sayram's Necklace",Inputs!$B$50="Sayram's Necklace")</f>
        <v/>
      </c>
      <c r="N33">
        <f>IF(B33="Not Unlocked",0,B33)</f>
        <v/>
      </c>
    </row>
    <row r="34">
      <c r="A34" s="6" t="inlineStr">
        <is>
          <t>Bottle of Emotion</t>
        </is>
      </c>
      <c r="B34" s="7" t="inlineStr">
        <is>
          <t>Not Unlocked</t>
        </is>
      </c>
      <c r="C34" s="7" t="inlineStr">
        <is>
          <t>Rare</t>
        </is>
      </c>
      <c r="D34" s="7" t="inlineStr">
        <is>
          <t>(none)</t>
        </is>
      </c>
      <c r="E34">
        <f>IF($N$34&gt;=1,IF($D$34="Main Stat %",(CHOOSE(MATCH($C$34,{"Rare","Epic","Unique","Legendary","Mystic","Mystic (Prime)"},0),2,3,4.5,7,10,12))*Sensitivity!$H$6,IF($D$34="Damage Taken Decrease %",0,IF($D$34="Defense %",0,IF($D$34="Accuracy",0,IF($D$34="Critical Rate %",(CHOOSE(MATCH($C$34,{"Rare","Epic","Unique","Legendary","Mystic","Mystic (Prime)"},0),2,3,4.5,7,10,12))*Sensitivity!$H$15,IF($D$34="Min Damage Multiplier %",(CHOOSE(MATCH($C$34,{"Rare","Epic","Unique","Legendary","Mystic","Mystic (Prime)"},0),2,3,4.5,7,10,12))*Sensitivity!$H$13,IF($D$34="Max Damage Multiplier %",(CHOOSE(MATCH($C$34,{"Rare","Epic","Unique","Legendary","Mystic","Mystic (Prime)"},0),2,3,4.5,7,10,12))*Sensitivity!$H$14,IF($D$34="Boss Monster Damage %",(CHOOSE(MATCH($C$34,{"Rare","Epic","Unique","Legendary","Mystic","Mystic (Prime)"},0),4,6,9,14,20,24))*Sensitivity!$H$10,IF($D$34="Normal Monster Damage %",(CHOOSE(MATCH($C$34,{"Rare","Epic","Unique","Legendary","Mystic","Mystic (Prime)"},0),4,6,9,14,20,24))*Sensitivity!$H$11,IF($D$34="Status Effect Damage %",0,IF($D$34="Damage %",(CHOOSE(MATCH($C$34,{"Rare","Epic","Unique","Legendary","Mystic","Mystic (Prime)"},0),4,6,9,14,20,24))*Sensitivity!$H$8,IF($D$34="Defense Penetration %",(CHOOSE(MATCH($C$34,{"Rare","Epic","Unique","Legendary","Mystic","Mystic (Prime)"},0),2,3,4.5,7,10,12))*Sensitivity!$H$18,0)))))))))))),0)</f>
        <v/>
      </c>
      <c r="F34" s="7" t="inlineStr">
        <is>
          <t>Rare</t>
        </is>
      </c>
      <c r="G34" s="7" t="inlineStr">
        <is>
          <t>(none)</t>
        </is>
      </c>
      <c r="H34">
        <f>IF($N$34&gt;=2,IF($G$34="Main Stat %",(CHOOSE(MATCH($F$34,{"Rare","Epic","Unique","Legendary","Mystic","Mystic (Prime)"},0),2,3,4.5,7,10,12))*Sensitivity!$H$6,IF($G$34="Damage Taken Decrease %",0,IF($G$34="Defense %",0,IF($G$34="Accuracy",0,IF($G$34="Critical Rate %",(CHOOSE(MATCH($F$34,{"Rare","Epic","Unique","Legendary","Mystic","Mystic (Prime)"},0),2,3,4.5,7,10,12))*Sensitivity!$H$15,IF($G$34="Min Damage Multiplier %",(CHOOSE(MATCH($F$34,{"Rare","Epic","Unique","Legendary","Mystic","Mystic (Prime)"},0),2,3,4.5,7,10,12))*Sensitivity!$H$13,IF($G$34="Max Damage Multiplier %",(CHOOSE(MATCH($F$34,{"Rare","Epic","Unique","Legendary","Mystic","Mystic (Prime)"},0),2,3,4.5,7,10,12))*Sensitivity!$H$14,IF($G$34="Boss Monster Damage %",(CHOOSE(MATCH($F$34,{"Rare","Epic","Unique","Legendary","Mystic","Mystic (Prime)"},0),4,6,9,14,20,24))*Sensitivity!$H$10,IF($G$34="Normal Monster Damage %",(CHOOSE(MATCH($F$34,{"Rare","Epic","Unique","Legendary","Mystic","Mystic (Prime)"},0),4,6,9,14,20,24))*Sensitivity!$H$11,IF($G$34="Status Effect Damage %",0,IF($G$34="Damage %",(CHOOSE(MATCH($F$34,{"Rare","Epic","Unique","Legendary","Mystic","Mystic (Prime)"},0),4,6,9,14,20,24))*Sensitivity!$H$8,IF($G$34="Defense Penetration %",(CHOOSE(MATCH($F$34,{"Rare","Epic","Unique","Legendary","Mystic","Mystic (Prime)"},0),2,3,4.5,7,10,12))*Sensitivity!$H$18,0)))))))))))),0)</f>
        <v/>
      </c>
      <c r="I34" s="7" t="inlineStr">
        <is>
          <t>Rare</t>
        </is>
      </c>
      <c r="J34" s="7" t="inlineStr">
        <is>
          <t>(none)</t>
        </is>
      </c>
      <c r="K34">
        <f>IF($N$34&gt;=5,IF($J$34="Main Stat %",(CHOOSE(MATCH($I$34,{"Rare","Epic","Unique","Legendary","Mystic","Mystic (Prime)"},0),2,3,4.5,7,10,12))*Sensitivity!$H$6,IF($J$34="Damage Taken Decrease %",0,IF($J$34="Defense %",0,IF($J$34="Accuracy",0,IF($J$34="Critical Rate %",(CHOOSE(MATCH($I$34,{"Rare","Epic","Unique","Legendary","Mystic","Mystic (Prime)"},0),2,3,4.5,7,10,12))*Sensitivity!$H$15,IF($J$34="Min Damage Multiplier %",(CHOOSE(MATCH($I$34,{"Rare","Epic","Unique","Legendary","Mystic","Mystic (Prime)"},0),2,3,4.5,7,10,12))*Sensitivity!$H$13,IF($J$34="Max Damage Multiplier %",(CHOOSE(MATCH($I$34,{"Rare","Epic","Unique","Legendary","Mystic","Mystic (Prime)"},0),2,3,4.5,7,10,12))*Sensitivity!$H$14,IF($J$34="Boss Monster Damage %",(CHOOSE(MATCH($I$34,{"Rare","Epic","Unique","Legendary","Mystic","Mystic (Prime)"},0),4,6,9,14,20,24))*Sensitivity!$H$10,IF($J$34="Normal Monster Damage %",(CHOOSE(MATCH($I$34,{"Rare","Epic","Unique","Legendary","Mystic","Mystic (Prime)"},0),4,6,9,14,20,24))*Sensitivity!$H$11,IF($J$34="Status Effect Damage %",0,IF($J$34="Damage %",(CHOOSE(MATCH($I$34,{"Rare","Epic","Unique","Legendary","Mystic","Mystic (Prime)"},0),4,6,9,14,20,24))*Sensitivity!$H$8,IF($J$34="Defense Penetration %",(CHOOSE(MATCH($I$34,{"Rare","Epic","Unique","Legendary","Mystic","Mystic (Prime)"},0),2,3,4.5,7,10,12))*Sensitivity!$H$18,0)))))))))))),0)</f>
        <v/>
      </c>
      <c r="L34">
        <f>Summary!$B$3*((IF(D34="(none)",1,1+(E34+IF(G34=D34,H34,0)+IF(J34=D34,K34,0))/Summary!$B$3))*(IF(OR(G34="(none)",G34=D34),1,1+(H34+IF(D34=G34,E34,0)+IF(J34=G34,K34,0))/Summary!$B$3))*(IF(OR(J34="",J34="(none)",J34=D34,J34=G34),1,1+(K34+IF(D34=J34,E34,0)+IF(G34=J34,H34,0))/Summary!$B$3))-1)</f>
        <v/>
      </c>
      <c r="M34">
        <f>OR(Inputs!$B$47="Bottle of Emotion",Inputs!$B$48="Bottle of Emotion",Inputs!$B$49="Bottle of Emotion",Inputs!$B$50="Bottle of Emotion")</f>
        <v/>
      </c>
      <c r="N34">
        <f>IF(B34="Not Unlocked",0,B34)</f>
        <v/>
      </c>
    </row>
    <row r="35">
      <c r="A35" s="6" t="inlineStr">
        <is>
          <t>Peach Tree Herb Pouch</t>
        </is>
      </c>
      <c r="B35" s="7" t="inlineStr">
        <is>
          <t>Not Unlocked</t>
        </is>
      </c>
      <c r="C35" s="7" t="inlineStr">
        <is>
          <t>Rare</t>
        </is>
      </c>
      <c r="D35" s="7" t="inlineStr">
        <is>
          <t>(none)</t>
        </is>
      </c>
      <c r="E35">
        <f>IF($N$35&gt;=1,IF($D$35="Main Stat %",(CHOOSE(MATCH($C$35,{"Rare","Epic","Unique","Legendary","Mystic","Mystic (Prime)"},0),2,3,4.5,7,10,12))*Sensitivity!$H$6,IF($D$35="Damage Taken Decrease %",0,IF($D$35="Defense %",0,IF($D$35="Accuracy",0,IF($D$35="Critical Rate %",(CHOOSE(MATCH($C$35,{"Rare","Epic","Unique","Legendary","Mystic","Mystic (Prime)"},0),2,3,4.5,7,10,12))*Sensitivity!$H$15,IF($D$35="Min Damage Multiplier %",(CHOOSE(MATCH($C$35,{"Rare","Epic","Unique","Legendary","Mystic","Mystic (Prime)"},0),2,3,4.5,7,10,12))*Sensitivity!$H$13,IF($D$35="Max Damage Multiplier %",(CHOOSE(MATCH($C$35,{"Rare","Epic","Unique","Legendary","Mystic","Mystic (Prime)"},0),2,3,4.5,7,10,12))*Sensitivity!$H$14,IF($D$35="Boss Monster Damage %",(CHOOSE(MATCH($C$35,{"Rare","Epic","Unique","Legendary","Mystic","Mystic (Prime)"},0),4,6,9,14,20,24))*Sensitivity!$H$10,IF($D$35="Normal Monster Damage %",(CHOOSE(MATCH($C$35,{"Rare","Epic","Unique","Legendary","Mystic","Mystic (Prime)"},0),4,6,9,14,20,24))*Sensitivity!$H$11,IF($D$35="Status Effect Damage %",0,IF($D$35="Damage %",(CHOOSE(MATCH($C$35,{"Rare","Epic","Unique","Legendary","Mystic","Mystic (Prime)"},0),4,6,9,14,20,24))*Sensitivity!$H$8,IF($D$35="Defense Penetration %",(CHOOSE(MATCH($C$35,{"Rare","Epic","Unique","Legendary","Mystic","Mystic (Prime)"},0),2,3,4.5,7,10,12))*Sensitivity!$H$18,0)))))))))))),0)</f>
        <v/>
      </c>
      <c r="F35" s="7" t="inlineStr">
        <is>
          <t>Rare</t>
        </is>
      </c>
      <c r="G35" s="7" t="inlineStr">
        <is>
          <t>(none)</t>
        </is>
      </c>
      <c r="H35">
        <f>IF($N$35&gt;=2,IF($G$35="Main Stat %",(CHOOSE(MATCH($F$35,{"Rare","Epic","Unique","Legendary","Mystic","Mystic (Prime)"},0),2,3,4.5,7,10,12))*Sensitivity!$H$6,IF($G$35="Damage Taken Decrease %",0,IF($G$35="Defense %",0,IF($G$35="Accuracy",0,IF($G$35="Critical Rate %",(CHOOSE(MATCH($F$35,{"Rare","Epic","Unique","Legendary","Mystic","Mystic (Prime)"},0),2,3,4.5,7,10,12))*Sensitivity!$H$15,IF($G$35="Min Damage Multiplier %",(CHOOSE(MATCH($F$35,{"Rare","Epic","Unique","Legendary","Mystic","Mystic (Prime)"},0),2,3,4.5,7,10,12))*Sensitivity!$H$13,IF($G$35="Max Damage Multiplier %",(CHOOSE(MATCH($F$35,{"Rare","Epic","Unique","Legendary","Mystic","Mystic (Prime)"},0),2,3,4.5,7,10,12))*Sensitivity!$H$14,IF($G$35="Boss Monster Damage %",(CHOOSE(MATCH($F$35,{"Rare","Epic","Unique","Legendary","Mystic","Mystic (Prime)"},0),4,6,9,14,20,24))*Sensitivity!$H$10,IF($G$35="Normal Monster Damage %",(CHOOSE(MATCH($F$35,{"Rare","Epic","Unique","Legendary","Mystic","Mystic (Prime)"},0),4,6,9,14,20,24))*Sensitivity!$H$11,IF($G$35="Status Effect Damage %",0,IF($G$35="Damage %",(CHOOSE(MATCH($F$35,{"Rare","Epic","Unique","Legendary","Mystic","Mystic (Prime)"},0),4,6,9,14,20,24))*Sensitivity!$H$8,IF($G$35="Defense Penetration %",(CHOOSE(MATCH($F$35,{"Rare","Epic","Unique","Legendary","Mystic","Mystic (Prime)"},0),2,3,4.5,7,10,12))*Sensitivity!$H$18,0)))))))))))),0)</f>
        <v/>
      </c>
      <c r="I35" s="7" t="inlineStr">
        <is>
          <t>Rare</t>
        </is>
      </c>
      <c r="J35" s="7" t="inlineStr">
        <is>
          <t>(none)</t>
        </is>
      </c>
      <c r="K35">
        <f>IF($N$35&gt;=5,IF($J$35="Main Stat %",(CHOOSE(MATCH($I$35,{"Rare","Epic","Unique","Legendary","Mystic","Mystic (Prime)"},0),2,3,4.5,7,10,12))*Sensitivity!$H$6,IF($J$35="Damage Taken Decrease %",0,IF($J$35="Defense %",0,IF($J$35="Accuracy",0,IF($J$35="Critical Rate %",(CHOOSE(MATCH($I$35,{"Rare","Epic","Unique","Legendary","Mystic","Mystic (Prime)"},0),2,3,4.5,7,10,12))*Sensitivity!$H$15,IF($J$35="Min Damage Multiplier %",(CHOOSE(MATCH($I$35,{"Rare","Epic","Unique","Legendary","Mystic","Mystic (Prime)"},0),2,3,4.5,7,10,12))*Sensitivity!$H$13,IF($J$35="Max Damage Multiplier %",(CHOOSE(MATCH($I$35,{"Rare","Epic","Unique","Legendary","Mystic","Mystic (Prime)"},0),2,3,4.5,7,10,12))*Sensitivity!$H$14,IF($J$35="Boss Monster Damage %",(CHOOSE(MATCH($I$35,{"Rare","Epic","Unique","Legendary","Mystic","Mystic (Prime)"},0),4,6,9,14,20,24))*Sensitivity!$H$10,IF($J$35="Normal Monster Damage %",(CHOOSE(MATCH($I$35,{"Rare","Epic","Unique","Legendary","Mystic","Mystic (Prime)"},0),4,6,9,14,20,24))*Sensitivity!$H$11,IF($J$35="Status Effect Damage %",0,IF($J$35="Damage %",(CHOOSE(MATCH($I$35,{"Rare","Epic","Unique","Legendary","Mystic","Mystic (Prime)"},0),4,6,9,14,20,24))*Sensitivity!$H$8,IF($J$35="Defense Penetration %",(CHOOSE(MATCH($I$35,{"Rare","Epic","Unique","Legendary","Mystic","Mystic (Prime)"},0),2,3,4.5,7,10,12))*Sensitivity!$H$18,0)))))))))))),0)</f>
        <v/>
      </c>
      <c r="L35">
        <f>Summary!$B$3*((IF(D35="(none)",1,1+(E35+IF(G35=D35,H35,0)+IF(J35=D35,K35,0))/Summary!$B$3))*(IF(OR(G35="(none)",G35=D35),1,1+(H35+IF(D35=G35,E35,0)+IF(J35=G35,K35,0))/Summary!$B$3))*(IF(OR(J35="",J35="(none)",J35=D35,J35=G35),1,1+(K35+IF(D35=J35,E35,0)+IF(G35=J35,H35,0))/Summary!$B$3))-1)</f>
        <v/>
      </c>
      <c r="M35">
        <f>OR(Inputs!$B$47="Peach Tree Herb Pouch",Inputs!$B$48="Peach Tree Herb Pouch",Inputs!$B$49="Peach Tree Herb Pouch",Inputs!$B$50="Peach Tree Herb Pouch")</f>
        <v/>
      </c>
      <c r="N35">
        <f>IF(B35="Not Unlocked",0,B35)</f>
        <v/>
      </c>
    </row>
    <row r="36">
      <c r="A36" s="6" t="inlineStr">
        <is>
          <t>Candle</t>
        </is>
      </c>
      <c r="B36" s="7" t="inlineStr">
        <is>
          <t>Not Unlocked</t>
        </is>
      </c>
      <c r="C36" s="7" t="inlineStr">
        <is>
          <t>Rare</t>
        </is>
      </c>
      <c r="D36" s="7" t="inlineStr">
        <is>
          <t>(none)</t>
        </is>
      </c>
      <c r="E36">
        <f>IF($N$36&gt;=1,IF($D$36="Main Stat %",(CHOOSE(MATCH($C$36,{"Rare","Epic","Unique","Legendary","Mystic","Mystic (Prime)"},0),2,3,4.5,7,10,12))*Sensitivity!$H$6,IF($D$36="Damage Taken Decrease %",0,IF($D$36="Defense %",0,IF($D$36="Accuracy",0,IF($D$36="Critical Rate %",(CHOOSE(MATCH($C$36,{"Rare","Epic","Unique","Legendary","Mystic","Mystic (Prime)"},0),2,3,4.5,7,10,12))*Sensitivity!$H$15,IF($D$36="Min Damage Multiplier %",(CHOOSE(MATCH($C$36,{"Rare","Epic","Unique","Legendary","Mystic","Mystic (Prime)"},0),2,3,4.5,7,10,12))*Sensitivity!$H$13,IF($D$36="Max Damage Multiplier %",(CHOOSE(MATCH($C$36,{"Rare","Epic","Unique","Legendary","Mystic","Mystic (Prime)"},0),2,3,4.5,7,10,12))*Sensitivity!$H$14,IF($D$36="Boss Monster Damage %",(CHOOSE(MATCH($C$36,{"Rare","Epic","Unique","Legendary","Mystic","Mystic (Prime)"},0),4,6,9,14,20,24))*Sensitivity!$H$10,IF($D$36="Normal Monster Damage %",(CHOOSE(MATCH($C$36,{"Rare","Epic","Unique","Legendary","Mystic","Mystic (Prime)"},0),4,6,9,14,20,24))*Sensitivity!$H$11,IF($D$36="Status Effect Damage %",0,IF($D$36="Damage %",(CHOOSE(MATCH($C$36,{"Rare","Epic","Unique","Legendary","Mystic","Mystic (Prime)"},0),4,6,9,14,20,24))*Sensitivity!$H$8,IF($D$36="Defense Penetration %",(CHOOSE(MATCH($C$36,{"Rare","Epic","Unique","Legendary","Mystic","Mystic (Prime)"},0),2,3,4.5,7,10,12))*Sensitivity!$H$18,0)))))))))))),0)</f>
        <v/>
      </c>
      <c r="F36" s="7" t="inlineStr">
        <is>
          <t>Rare</t>
        </is>
      </c>
      <c r="G36" s="7" t="inlineStr">
        <is>
          <t>(none)</t>
        </is>
      </c>
      <c r="H36">
        <f>IF($N$36&gt;=2,IF($G$36="Main Stat %",(CHOOSE(MATCH($F$36,{"Rare","Epic","Unique","Legendary","Mystic","Mystic (Prime)"},0),2,3,4.5,7,10,12))*Sensitivity!$H$6,IF($G$36="Damage Taken Decrease %",0,IF($G$36="Defense %",0,IF($G$36="Accuracy",0,IF($G$36="Critical Rate %",(CHOOSE(MATCH($F$36,{"Rare","Epic","Unique","Legendary","Mystic","Mystic (Prime)"},0),2,3,4.5,7,10,12))*Sensitivity!$H$15,IF($G$36="Min Damage Multiplier %",(CHOOSE(MATCH($F$36,{"Rare","Epic","Unique","Legendary","Mystic","Mystic (Prime)"},0),2,3,4.5,7,10,12))*Sensitivity!$H$13,IF($G$36="Max Damage Multiplier %",(CHOOSE(MATCH($F$36,{"Rare","Epic","Unique","Legendary","Mystic","Mystic (Prime)"},0),2,3,4.5,7,10,12))*Sensitivity!$H$14,IF($G$36="Boss Monster Damage %",(CHOOSE(MATCH($F$36,{"Rare","Epic","Unique","Legendary","Mystic","Mystic (Prime)"},0),4,6,9,14,20,24))*Sensitivity!$H$10,IF($G$36="Normal Monster Damage %",(CHOOSE(MATCH($F$36,{"Rare","Epic","Unique","Legendary","Mystic","Mystic (Prime)"},0),4,6,9,14,20,24))*Sensitivity!$H$11,IF($G$36="Status Effect Damage %",0,IF($G$36="Damage %",(CHOOSE(MATCH($F$36,{"Rare","Epic","Unique","Legendary","Mystic","Mystic (Prime)"},0),4,6,9,14,20,24))*Sensitivity!$H$8,IF($G$36="Defense Penetration %",(CHOOSE(MATCH($F$36,{"Rare","Epic","Unique","Legendary","Mystic","Mystic (Prime)"},0),2,3,4.5,7,10,12))*Sensitivity!$H$18,0)))))))))))),0)</f>
        <v/>
      </c>
      <c r="I36" s="7" t="inlineStr">
        <is>
          <t>Rare</t>
        </is>
      </c>
      <c r="J36" s="7" t="inlineStr">
        <is>
          <t>(none)</t>
        </is>
      </c>
      <c r="K36">
        <f>IF($N$36&gt;=5,IF($J$36="Main Stat %",(CHOOSE(MATCH($I$36,{"Rare","Epic","Unique","Legendary","Mystic","Mystic (Prime)"},0),2,3,4.5,7,10,12))*Sensitivity!$H$6,IF($J$36="Damage Taken Decrease %",0,IF($J$36="Defense %",0,IF($J$36="Accuracy",0,IF($J$36="Critical Rate %",(CHOOSE(MATCH($I$36,{"Rare","Epic","Unique","Legendary","Mystic","Mystic (Prime)"},0),2,3,4.5,7,10,12))*Sensitivity!$H$15,IF($J$36="Min Damage Multiplier %",(CHOOSE(MATCH($I$36,{"Rare","Epic","Unique","Legendary","Mystic","Mystic (Prime)"},0),2,3,4.5,7,10,12))*Sensitivity!$H$13,IF($J$36="Max Damage Multiplier %",(CHOOSE(MATCH($I$36,{"Rare","Epic","Unique","Legendary","Mystic","Mystic (Prime)"},0),2,3,4.5,7,10,12))*Sensitivity!$H$14,IF($J$36="Boss Monster Damage %",(CHOOSE(MATCH($I$36,{"Rare","Epic","Unique","Legendary","Mystic","Mystic (Prime)"},0),4,6,9,14,20,24))*Sensitivity!$H$10,IF($J$36="Normal Monster Damage %",(CHOOSE(MATCH($I$36,{"Rare","Epic","Unique","Legendary","Mystic","Mystic (Prime)"},0),4,6,9,14,20,24))*Sensitivity!$H$11,IF($J$36="Status Effect Damage %",0,IF($J$36="Damage %",(CHOOSE(MATCH($I$36,{"Rare","Epic","Unique","Legendary","Mystic","Mystic (Prime)"},0),4,6,9,14,20,24))*Sensitivity!$H$8,IF($J$36="Defense Penetration %",(CHOOSE(MATCH($I$36,{"Rare","Epic","Unique","Legendary","Mystic","Mystic (Prime)"},0),2,3,4.5,7,10,12))*Sensitivity!$H$18,0)))))))))))),0)</f>
        <v/>
      </c>
      <c r="L36">
        <f>Summary!$B$3*((IF(D36="(none)",1,1+(E36+IF(G36=D36,H36,0)+IF(J36=D36,K36,0))/Summary!$B$3))*(IF(OR(G36="(none)",G36=D36),1,1+(H36+IF(D36=G36,E36,0)+IF(J36=G36,K36,0))/Summary!$B$3))*(IF(OR(J36="",J36="(none)",J36=D36,J36=G36),1,1+(K36+IF(D36=J36,E36,0)+IF(G36=J36,H36,0))/Summary!$B$3))-1)</f>
        <v/>
      </c>
      <c r="M36">
        <f>OR(Inputs!$B$47="Candle",Inputs!$B$48="Candle",Inputs!$B$49="Candle",Inputs!$B$50="Candle")</f>
        <v/>
      </c>
      <c r="N36">
        <f>IF(B36="Not Unlocked",0,B36)</f>
        <v/>
      </c>
    </row>
    <row r="37">
      <c r="A37" s="6" t="inlineStr">
        <is>
          <t>Alliance Badge</t>
        </is>
      </c>
      <c r="B37" s="7" t="inlineStr">
        <is>
          <t>Not Unlocked</t>
        </is>
      </c>
      <c r="C37" s="7" t="inlineStr">
        <is>
          <t>Rare</t>
        </is>
      </c>
      <c r="D37" s="7" t="inlineStr">
        <is>
          <t>(none)</t>
        </is>
      </c>
      <c r="E37">
        <f>IF($N$37&gt;=1,IF($D$37="Main Stat %",(CHOOSE(MATCH($C$37,{"Rare","Epic","Unique","Legendary","Mystic","Mystic (Prime)"},0),2,3,4.5,7,10,12))*Sensitivity!$H$6,IF($D$37="Damage Taken Decrease %",0,IF($D$37="Defense %",0,IF($D$37="Accuracy",0,IF($D$37="Critical Rate %",(CHOOSE(MATCH($C$37,{"Rare","Epic","Unique","Legendary","Mystic","Mystic (Prime)"},0),2,3,4.5,7,10,12))*Sensitivity!$H$15,IF($D$37="Min Damage Multiplier %",(CHOOSE(MATCH($C$37,{"Rare","Epic","Unique","Legendary","Mystic","Mystic (Prime)"},0),2,3,4.5,7,10,12))*Sensitivity!$H$13,IF($D$37="Max Damage Multiplier %",(CHOOSE(MATCH($C$37,{"Rare","Epic","Unique","Legendary","Mystic","Mystic (Prime)"},0),2,3,4.5,7,10,12))*Sensitivity!$H$14,IF($D$37="Boss Monster Damage %",(CHOOSE(MATCH($C$37,{"Rare","Epic","Unique","Legendary","Mystic","Mystic (Prime)"},0),4,6,9,14,20,24))*Sensitivity!$H$10,IF($D$37="Normal Monster Damage %",(CHOOSE(MATCH($C$37,{"Rare","Epic","Unique","Legendary","Mystic","Mystic (Prime)"},0),4,6,9,14,20,24))*Sensitivity!$H$11,IF($D$37="Status Effect Damage %",0,IF($D$37="Damage %",(CHOOSE(MATCH($C$37,{"Rare","Epic","Unique","Legendary","Mystic","Mystic (Prime)"},0),4,6,9,14,20,24))*Sensitivity!$H$8,IF($D$37="Defense Penetration %",(CHOOSE(MATCH($C$37,{"Rare","Epic","Unique","Legendary","Mystic","Mystic (Prime)"},0),2,3,4.5,7,10,12))*Sensitivity!$H$18,0)))))))))))),0)</f>
        <v/>
      </c>
      <c r="F37" s="7" t="inlineStr">
        <is>
          <t>Rare</t>
        </is>
      </c>
      <c r="G37" s="7" t="inlineStr">
        <is>
          <t>(none)</t>
        </is>
      </c>
      <c r="H37">
        <f>IF($N$37&gt;=2,IF($G$37="Main Stat %",(CHOOSE(MATCH($F$37,{"Rare","Epic","Unique","Legendary","Mystic","Mystic (Prime)"},0),2,3,4.5,7,10,12))*Sensitivity!$H$6,IF($G$37="Damage Taken Decrease %",0,IF($G$37="Defense %",0,IF($G$37="Accuracy",0,IF($G$37="Critical Rate %",(CHOOSE(MATCH($F$37,{"Rare","Epic","Unique","Legendary","Mystic","Mystic (Prime)"},0),2,3,4.5,7,10,12))*Sensitivity!$H$15,IF($G$37="Min Damage Multiplier %",(CHOOSE(MATCH($F$37,{"Rare","Epic","Unique","Legendary","Mystic","Mystic (Prime)"},0),2,3,4.5,7,10,12))*Sensitivity!$H$13,IF($G$37="Max Damage Multiplier %",(CHOOSE(MATCH($F$37,{"Rare","Epic","Unique","Legendary","Mystic","Mystic (Prime)"},0),2,3,4.5,7,10,12))*Sensitivity!$H$14,IF($G$37="Boss Monster Damage %",(CHOOSE(MATCH($F$37,{"Rare","Epic","Unique","Legendary","Mystic","Mystic (Prime)"},0),4,6,9,14,20,24))*Sensitivity!$H$10,IF($G$37="Normal Monster Damage %",(CHOOSE(MATCH($F$37,{"Rare","Epic","Unique","Legendary","Mystic","Mystic (Prime)"},0),4,6,9,14,20,24))*Sensitivity!$H$11,IF($G$37="Status Effect Damage %",0,IF($G$37="Damage %",(CHOOSE(MATCH($F$37,{"Rare","Epic","Unique","Legendary","Mystic","Mystic (Prime)"},0),4,6,9,14,20,24))*Sensitivity!$H$8,IF($G$37="Defense Penetration %",(CHOOSE(MATCH($F$37,{"Rare","Epic","Unique","Legendary","Mystic","Mystic (Prime)"},0),2,3,4.5,7,10,12))*Sensitivity!$H$18,0)))))))))))),0)</f>
        <v/>
      </c>
      <c r="I37" s="7" t="inlineStr">
        <is>
          <t>Rare</t>
        </is>
      </c>
      <c r="J37" s="7" t="inlineStr">
        <is>
          <t>(none)</t>
        </is>
      </c>
      <c r="K37">
        <f>IF($N$37&gt;=5,IF($J$37="Main Stat %",(CHOOSE(MATCH($I$37,{"Rare","Epic","Unique","Legendary","Mystic","Mystic (Prime)"},0),2,3,4.5,7,10,12))*Sensitivity!$H$6,IF($J$37="Damage Taken Decrease %",0,IF($J$37="Defense %",0,IF($J$37="Accuracy",0,IF($J$37="Critical Rate %",(CHOOSE(MATCH($I$37,{"Rare","Epic","Unique","Legendary","Mystic","Mystic (Prime)"},0),2,3,4.5,7,10,12))*Sensitivity!$H$15,IF($J$37="Min Damage Multiplier %",(CHOOSE(MATCH($I$37,{"Rare","Epic","Unique","Legendary","Mystic","Mystic (Prime)"},0),2,3,4.5,7,10,12))*Sensitivity!$H$13,IF($J$37="Max Damage Multiplier %",(CHOOSE(MATCH($I$37,{"Rare","Epic","Unique","Legendary","Mystic","Mystic (Prime)"},0),2,3,4.5,7,10,12))*Sensitivity!$H$14,IF($J$37="Boss Monster Damage %",(CHOOSE(MATCH($I$37,{"Rare","Epic","Unique","Legendary","Mystic","Mystic (Prime)"},0),4,6,9,14,20,24))*Sensitivity!$H$10,IF($J$37="Normal Monster Damage %",(CHOOSE(MATCH($I$37,{"Rare","Epic","Unique","Legendary","Mystic","Mystic (Prime)"},0),4,6,9,14,20,24))*Sensitivity!$H$11,IF($J$37="Status Effect Damage %",0,IF($J$37="Damage %",(CHOOSE(MATCH($I$37,{"Rare","Epic","Unique","Legendary","Mystic","Mystic (Prime)"},0),4,6,9,14,20,24))*Sensitivity!$H$8,IF($J$37="Defense Penetration %",(CHOOSE(MATCH($I$37,{"Rare","Epic","Unique","Legendary","Mystic","Mystic (Prime)"},0),2,3,4.5,7,10,12))*Sensitivity!$H$18,0)))))))))))),0)</f>
        <v/>
      </c>
      <c r="L37">
        <f>Summary!$B$3*((IF(D37="(none)",1,1+(E37+IF(G37=D37,H37,0)+IF(J37=D37,K37,0))/Summary!$B$3))*(IF(OR(G37="(none)",G37=D37),1,1+(H37+IF(D37=G37,E37,0)+IF(J37=G37,K37,0))/Summary!$B$3))*(IF(OR(J37="",J37="(none)",J37=D37,J37=G37),1,1+(K37+IF(D37=J37,E37,0)+IF(G37=J37,H37,0))/Summary!$B$3))-1)</f>
        <v/>
      </c>
      <c r="M37">
        <f>OR(Inputs!$B$47="Alliance Badge",Inputs!$B$48="Alliance Badge",Inputs!$B$49="Alliance Badge",Inputs!$B$50="Alliance Badge")</f>
        <v/>
      </c>
      <c r="N37">
        <f>IF(B37="Not Unlocked",0,B37)</f>
        <v/>
      </c>
    </row>
    <row r="38">
      <c r="A38" s="6" t="inlineStr">
        <is>
          <t>Horn Flute</t>
        </is>
      </c>
      <c r="B38" s="7" t="inlineStr">
        <is>
          <t>Not Unlocked</t>
        </is>
      </c>
      <c r="C38" s="7" t="inlineStr">
        <is>
          <t>Rare</t>
        </is>
      </c>
      <c r="D38" s="7" t="inlineStr">
        <is>
          <t>(none)</t>
        </is>
      </c>
      <c r="E38">
        <f>IF($N$38&gt;=1,IF($D$38="Main Stat %",(CHOOSE(MATCH($C$38,{"Rare","Epic","Unique","Legendary","Mystic","Mystic (Prime)"},0),2,3,4.5,7,10,12))*Sensitivity!$H$6,IF($D$38="Damage Taken Decrease %",0,IF($D$38="Defense %",0,IF($D$38="Accuracy",0,IF($D$38="Critical Rate %",(CHOOSE(MATCH($C$38,{"Rare","Epic","Unique","Legendary","Mystic","Mystic (Prime)"},0),2,3,4.5,7,10,12))*Sensitivity!$H$15,IF($D$38="Min Damage Multiplier %",(CHOOSE(MATCH($C$38,{"Rare","Epic","Unique","Legendary","Mystic","Mystic (Prime)"},0),2,3,4.5,7,10,12))*Sensitivity!$H$13,IF($D$38="Max Damage Multiplier %",(CHOOSE(MATCH($C$38,{"Rare","Epic","Unique","Legendary","Mystic","Mystic (Prime)"},0),2,3,4.5,7,10,12))*Sensitivity!$H$14,IF($D$38="Boss Monster Damage %",(CHOOSE(MATCH($C$38,{"Rare","Epic","Unique","Legendary","Mystic","Mystic (Prime)"},0),4,6,9,14,20,24))*Sensitivity!$H$10,IF($D$38="Normal Monster Damage %",(CHOOSE(MATCH($C$38,{"Rare","Epic","Unique","Legendary","Mystic","Mystic (Prime)"},0),4,6,9,14,20,24))*Sensitivity!$H$11,IF($D$38="Status Effect Damage %",0,IF($D$38="Damage %",(CHOOSE(MATCH($C$38,{"Rare","Epic","Unique","Legendary","Mystic","Mystic (Prime)"},0),4,6,9,14,20,24))*Sensitivity!$H$8,IF($D$38="Defense Penetration %",(CHOOSE(MATCH($C$38,{"Rare","Epic","Unique","Legendary","Mystic","Mystic (Prime)"},0),2,3,4.5,7,10,12))*Sensitivity!$H$18,0)))))))))))),0)</f>
        <v/>
      </c>
      <c r="F38" s="7" t="inlineStr">
        <is>
          <t>Rare</t>
        </is>
      </c>
      <c r="G38" s="7" t="inlineStr">
        <is>
          <t>(none)</t>
        </is>
      </c>
      <c r="H38">
        <f>IF($N$38&gt;=2,IF($G$38="Main Stat %",(CHOOSE(MATCH($F$38,{"Rare","Epic","Unique","Legendary","Mystic","Mystic (Prime)"},0),2,3,4.5,7,10,12))*Sensitivity!$H$6,IF($G$38="Damage Taken Decrease %",0,IF($G$38="Defense %",0,IF($G$38="Accuracy",0,IF($G$38="Critical Rate %",(CHOOSE(MATCH($F$38,{"Rare","Epic","Unique","Legendary","Mystic","Mystic (Prime)"},0),2,3,4.5,7,10,12))*Sensitivity!$H$15,IF($G$38="Min Damage Multiplier %",(CHOOSE(MATCH($F$38,{"Rare","Epic","Unique","Legendary","Mystic","Mystic (Prime)"},0),2,3,4.5,7,10,12))*Sensitivity!$H$13,IF($G$38="Max Damage Multiplier %",(CHOOSE(MATCH($F$38,{"Rare","Epic","Unique","Legendary","Mystic","Mystic (Prime)"},0),2,3,4.5,7,10,12))*Sensitivity!$H$14,IF($G$38="Boss Monster Damage %",(CHOOSE(MATCH($F$38,{"Rare","Epic","Unique","Legendary","Mystic","Mystic (Prime)"},0),4,6,9,14,20,24))*Sensitivity!$H$10,IF($G$38="Normal Monster Damage %",(CHOOSE(MATCH($F$38,{"Rare","Epic","Unique","Legendary","Mystic","Mystic (Prime)"},0),4,6,9,14,20,24))*Sensitivity!$H$11,IF($G$38="Status Effect Damage %",0,IF($G$38="Damage %",(CHOOSE(MATCH($F$38,{"Rare","Epic","Unique","Legendary","Mystic","Mystic (Prime)"},0),4,6,9,14,20,24))*Sensitivity!$H$8,IF($G$38="Defense Penetration %",(CHOOSE(MATCH($F$38,{"Rare","Epic","Unique","Legendary","Mystic","Mystic (Prime)"},0),2,3,4.5,7,10,12))*Sensitivity!$H$18,0)))))))))))),0)</f>
        <v/>
      </c>
      <c r="I38" s="7" t="inlineStr">
        <is>
          <t>Rare</t>
        </is>
      </c>
      <c r="J38" s="7" t="inlineStr">
        <is>
          <t>(none)</t>
        </is>
      </c>
      <c r="K38">
        <f>IF($N$38&gt;=5,IF($J$38="Main Stat %",(CHOOSE(MATCH($I$38,{"Rare","Epic","Unique","Legendary","Mystic","Mystic (Prime)"},0),2,3,4.5,7,10,12))*Sensitivity!$H$6,IF($J$38="Damage Taken Decrease %",0,IF($J$38="Defense %",0,IF($J$38="Accuracy",0,IF($J$38="Critical Rate %",(CHOOSE(MATCH($I$38,{"Rare","Epic","Unique","Legendary","Mystic","Mystic (Prime)"},0),2,3,4.5,7,10,12))*Sensitivity!$H$15,IF($J$38="Min Damage Multiplier %",(CHOOSE(MATCH($I$38,{"Rare","Epic","Unique","Legendary","Mystic","Mystic (Prime)"},0),2,3,4.5,7,10,12))*Sensitivity!$H$13,IF($J$38="Max Damage Multiplier %",(CHOOSE(MATCH($I$38,{"Rare","Epic","Unique","Legendary","Mystic","Mystic (Prime)"},0),2,3,4.5,7,10,12))*Sensitivity!$H$14,IF($J$38="Boss Monster Damage %",(CHOOSE(MATCH($I$38,{"Rare","Epic","Unique","Legendary","Mystic","Mystic (Prime)"},0),4,6,9,14,20,24))*Sensitivity!$H$10,IF($J$38="Normal Monster Damage %",(CHOOSE(MATCH($I$38,{"Rare","Epic","Unique","Legendary","Mystic","Mystic (Prime)"},0),4,6,9,14,20,24))*Sensitivity!$H$11,IF($J$38="Status Effect Damage %",0,IF($J$38="Damage %",(CHOOSE(MATCH($I$38,{"Rare","Epic","Unique","Legendary","Mystic","Mystic (Prime)"},0),4,6,9,14,20,24))*Sensitivity!$H$8,IF($J$38="Defense Penetration %",(CHOOSE(MATCH($I$38,{"Rare","Epic","Unique","Legendary","Mystic","Mystic (Prime)"},0),2,3,4.5,7,10,12))*Sensitivity!$H$18,0)))))))))))),0)</f>
        <v/>
      </c>
      <c r="L38">
        <f>Summary!$B$3*((IF(D38="(none)",1,1+(E38+IF(G38=D38,H38,0)+IF(J38=D38,K38,0))/Summary!$B$3))*(IF(OR(G38="(none)",G38=D38),1,1+(H38+IF(D38=G38,E38,0)+IF(J38=G38,K38,0))/Summary!$B$3))*(IF(OR(J38="",J38="(none)",J38=D38,J38=G38),1,1+(K38+IF(D38=J38,E38,0)+IF(G38=J38,H38,0))/Summary!$B$3))-1)</f>
        <v/>
      </c>
      <c r="M38">
        <f>OR(Inputs!$B$47="Horn Flute",Inputs!$B$48="Horn Flute",Inputs!$B$49="Horn Flute",Inputs!$B$50="Horn Flute")</f>
        <v/>
      </c>
      <c r="N38">
        <f>IF(B38="Not Unlocked",0,B38)</f>
        <v/>
      </c>
    </row>
    <row r="39">
      <c r="A39" s="6" t="inlineStr">
        <is>
          <t>Cursed Doll</t>
        </is>
      </c>
      <c r="B39" s="7" t="inlineStr">
        <is>
          <t>Not Unlocked</t>
        </is>
      </c>
      <c r="C39" s="7" t="inlineStr">
        <is>
          <t>Rare</t>
        </is>
      </c>
      <c r="D39" s="7" t="inlineStr">
        <is>
          <t>(none)</t>
        </is>
      </c>
      <c r="E39">
        <f>IF($N$39&gt;=1,IF($D$39="Main Stat %",(CHOOSE(MATCH($C$39,{"Rare","Epic","Unique","Legendary","Mystic","Mystic (Prime)"},0),2,3,4.5,7,10,12))*Sensitivity!$H$6,IF($D$39="Damage Taken Decrease %",0,IF($D$39="Defense %",0,IF($D$39="Accuracy",0,IF($D$39="Critical Rate %",(CHOOSE(MATCH($C$39,{"Rare","Epic","Unique","Legendary","Mystic","Mystic (Prime)"},0),2,3,4.5,7,10,12))*Sensitivity!$H$15,IF($D$39="Min Damage Multiplier %",(CHOOSE(MATCH($C$39,{"Rare","Epic","Unique","Legendary","Mystic","Mystic (Prime)"},0),2,3,4.5,7,10,12))*Sensitivity!$H$13,IF($D$39="Max Damage Multiplier %",(CHOOSE(MATCH($C$39,{"Rare","Epic","Unique","Legendary","Mystic","Mystic (Prime)"},0),2,3,4.5,7,10,12))*Sensitivity!$H$14,IF($D$39="Boss Monster Damage %",(CHOOSE(MATCH($C$39,{"Rare","Epic","Unique","Legendary","Mystic","Mystic (Prime)"},0),4,6,9,14,20,24))*Sensitivity!$H$10,IF($D$39="Normal Monster Damage %",(CHOOSE(MATCH($C$39,{"Rare","Epic","Unique","Legendary","Mystic","Mystic (Prime)"},0),4,6,9,14,20,24))*Sensitivity!$H$11,IF($D$39="Status Effect Damage %",0,IF($D$39="Damage %",(CHOOSE(MATCH($C$39,{"Rare","Epic","Unique","Legendary","Mystic","Mystic (Prime)"},0),4,6,9,14,20,24))*Sensitivity!$H$8,IF($D$39="Defense Penetration %",(CHOOSE(MATCH($C$39,{"Rare","Epic","Unique","Legendary","Mystic","Mystic (Prime)"},0),2,3,4.5,7,10,12))*Sensitivity!$H$18,0)))))))))))),0)</f>
        <v/>
      </c>
      <c r="F39" s="7" t="inlineStr">
        <is>
          <t>Rare</t>
        </is>
      </c>
      <c r="G39" s="7" t="inlineStr">
        <is>
          <t>(none)</t>
        </is>
      </c>
      <c r="H39">
        <f>IF($N$39&gt;=2,IF($G$39="Main Stat %",(CHOOSE(MATCH($F$39,{"Rare","Epic","Unique","Legendary","Mystic","Mystic (Prime)"},0),2,3,4.5,7,10,12))*Sensitivity!$H$6,IF($G$39="Damage Taken Decrease %",0,IF($G$39="Defense %",0,IF($G$39="Accuracy",0,IF($G$39="Critical Rate %",(CHOOSE(MATCH($F$39,{"Rare","Epic","Unique","Legendary","Mystic","Mystic (Prime)"},0),2,3,4.5,7,10,12))*Sensitivity!$H$15,IF($G$39="Min Damage Multiplier %",(CHOOSE(MATCH($F$39,{"Rare","Epic","Unique","Legendary","Mystic","Mystic (Prime)"},0),2,3,4.5,7,10,12))*Sensitivity!$H$13,IF($G$39="Max Damage Multiplier %",(CHOOSE(MATCH($F$39,{"Rare","Epic","Unique","Legendary","Mystic","Mystic (Prime)"},0),2,3,4.5,7,10,12))*Sensitivity!$H$14,IF($G$39="Boss Monster Damage %",(CHOOSE(MATCH($F$39,{"Rare","Epic","Unique","Legendary","Mystic","Mystic (Prime)"},0),4,6,9,14,20,24))*Sensitivity!$H$10,IF($G$39="Normal Monster Damage %",(CHOOSE(MATCH($F$39,{"Rare","Epic","Unique","Legendary","Mystic","Mystic (Prime)"},0),4,6,9,14,20,24))*Sensitivity!$H$11,IF($G$39="Status Effect Damage %",0,IF($G$39="Damage %",(CHOOSE(MATCH($F$39,{"Rare","Epic","Unique","Legendary","Mystic","Mystic (Prime)"},0),4,6,9,14,20,24))*Sensitivity!$H$8,IF($G$39="Defense Penetration %",(CHOOSE(MATCH($F$39,{"Rare","Epic","Unique","Legendary","Mystic","Mystic (Prime)"},0),2,3,4.5,7,10,12))*Sensitivity!$H$18,0)))))))))))),0)</f>
        <v/>
      </c>
      <c r="I39" s="7" t="inlineStr">
        <is>
          <t>Rare</t>
        </is>
      </c>
      <c r="J39" s="7" t="inlineStr">
        <is>
          <t>(none)</t>
        </is>
      </c>
      <c r="K39">
        <f>IF($N$39&gt;=5,IF($J$39="Main Stat %",(CHOOSE(MATCH($I$39,{"Rare","Epic","Unique","Legendary","Mystic","Mystic (Prime)"},0),2,3,4.5,7,10,12))*Sensitivity!$H$6,IF($J$39="Damage Taken Decrease %",0,IF($J$39="Defense %",0,IF($J$39="Accuracy",0,IF($J$39="Critical Rate %",(CHOOSE(MATCH($I$39,{"Rare","Epic","Unique","Legendary","Mystic","Mystic (Prime)"},0),2,3,4.5,7,10,12))*Sensitivity!$H$15,IF($J$39="Min Damage Multiplier %",(CHOOSE(MATCH($I$39,{"Rare","Epic","Unique","Legendary","Mystic","Mystic (Prime)"},0),2,3,4.5,7,10,12))*Sensitivity!$H$13,IF($J$39="Max Damage Multiplier %",(CHOOSE(MATCH($I$39,{"Rare","Epic","Unique","Legendary","Mystic","Mystic (Prime)"},0),2,3,4.5,7,10,12))*Sensitivity!$H$14,IF($J$39="Boss Monster Damage %",(CHOOSE(MATCH($I$39,{"Rare","Epic","Unique","Legendary","Mystic","Mystic (Prime)"},0),4,6,9,14,20,24))*Sensitivity!$H$10,IF($J$39="Normal Monster Damage %",(CHOOSE(MATCH($I$39,{"Rare","Epic","Unique","Legendary","Mystic","Mystic (Prime)"},0),4,6,9,14,20,24))*Sensitivity!$H$11,IF($J$39="Status Effect Damage %",0,IF($J$39="Damage %",(CHOOSE(MATCH($I$39,{"Rare","Epic","Unique","Legendary","Mystic","Mystic (Prime)"},0),4,6,9,14,20,24))*Sensitivity!$H$8,IF($J$39="Defense Penetration %",(CHOOSE(MATCH($I$39,{"Rare","Epic","Unique","Legendary","Mystic","Mystic (Prime)"},0),2,3,4.5,7,10,12))*Sensitivity!$H$18,0)))))))))))),0)</f>
        <v/>
      </c>
      <c r="L39">
        <f>Summary!$B$3*((IF(D39="(none)",1,1+(E39+IF(G39=D39,H39,0)+IF(J39=D39,K39,0))/Summary!$B$3))*(IF(OR(G39="(none)",G39=D39),1,1+(H39+IF(D39=G39,E39,0)+IF(J39=G39,K39,0))/Summary!$B$3))*(IF(OR(J39="",J39="(none)",J39=D39,J39=G39),1,1+(K39+IF(D39=J39,E39,0)+IF(G39=J39,H39,0))/Summary!$B$3))-1)</f>
        <v/>
      </c>
      <c r="M39">
        <f>OR(Inputs!$B$47="Cursed Doll",Inputs!$B$48="Cursed Doll",Inputs!$B$49="Cursed Doll",Inputs!$B$50="Cursed Doll")</f>
        <v/>
      </c>
      <c r="N39">
        <f>IF(B39="Not Unlocked",0,B39)</f>
        <v/>
      </c>
    </row>
    <row r="40">
      <c r="A40" s="6" t="inlineStr">
        <is>
          <t>Reindeer's Spear</t>
        </is>
      </c>
      <c r="B40" s="7" t="inlineStr">
        <is>
          <t>Not Unlocked</t>
        </is>
      </c>
      <c r="C40" s="7" t="inlineStr">
        <is>
          <t>Rare</t>
        </is>
      </c>
      <c r="D40" s="7" t="inlineStr">
        <is>
          <t>(none)</t>
        </is>
      </c>
      <c r="E40">
        <f>IF($N$40&gt;=1,IF($D$40="Main Stat %",(CHOOSE(MATCH($C$40,{"Rare","Epic","Unique","Legendary","Mystic","Mystic (Prime)"},0),2,3,4.5,7,10,12))*Sensitivity!$H$6,IF($D$40="Damage Taken Decrease %",0,IF($D$40="Defense %",0,IF($D$40="Accuracy",0,IF($D$40="Critical Rate %",(CHOOSE(MATCH($C$40,{"Rare","Epic","Unique","Legendary","Mystic","Mystic (Prime)"},0),2,3,4.5,7,10,12))*Sensitivity!$H$15,IF($D$40="Min Damage Multiplier %",(CHOOSE(MATCH($C$40,{"Rare","Epic","Unique","Legendary","Mystic","Mystic (Prime)"},0),2,3,4.5,7,10,12))*Sensitivity!$H$13,IF($D$40="Max Damage Multiplier %",(CHOOSE(MATCH($C$40,{"Rare","Epic","Unique","Legendary","Mystic","Mystic (Prime)"},0),2,3,4.5,7,10,12))*Sensitivity!$H$14,IF($D$40="Boss Monster Damage %",(CHOOSE(MATCH($C$40,{"Rare","Epic","Unique","Legendary","Mystic","Mystic (Prime)"},0),4,6,9,14,20,24))*Sensitivity!$H$10,IF($D$40="Normal Monster Damage %",(CHOOSE(MATCH($C$40,{"Rare","Epic","Unique","Legendary","Mystic","Mystic (Prime)"},0),4,6,9,14,20,24))*Sensitivity!$H$11,IF($D$40="Status Effect Damage %",0,IF($D$40="Damage %",(CHOOSE(MATCH($C$40,{"Rare","Epic","Unique","Legendary","Mystic","Mystic (Prime)"},0),4,6,9,14,20,24))*Sensitivity!$H$8,IF($D$40="Defense Penetration %",(CHOOSE(MATCH($C$40,{"Rare","Epic","Unique","Legendary","Mystic","Mystic (Prime)"},0),2,3,4.5,7,10,12))*Sensitivity!$H$18,0)))))))))))),0)</f>
        <v/>
      </c>
      <c r="F40" s="7" t="inlineStr">
        <is>
          <t>Rare</t>
        </is>
      </c>
      <c r="G40" s="7" t="inlineStr">
        <is>
          <t>(none)</t>
        </is>
      </c>
      <c r="H40">
        <f>IF($N$40&gt;=2,IF($G$40="Main Stat %",(CHOOSE(MATCH($F$40,{"Rare","Epic","Unique","Legendary","Mystic","Mystic (Prime)"},0),2,3,4.5,7,10,12))*Sensitivity!$H$6,IF($G$40="Damage Taken Decrease %",0,IF($G$40="Defense %",0,IF($G$40="Accuracy",0,IF($G$40="Critical Rate %",(CHOOSE(MATCH($F$40,{"Rare","Epic","Unique","Legendary","Mystic","Mystic (Prime)"},0),2,3,4.5,7,10,12))*Sensitivity!$H$15,IF($G$40="Min Damage Multiplier %",(CHOOSE(MATCH($F$40,{"Rare","Epic","Unique","Legendary","Mystic","Mystic (Prime)"},0),2,3,4.5,7,10,12))*Sensitivity!$H$13,IF($G$40="Max Damage Multiplier %",(CHOOSE(MATCH($F$40,{"Rare","Epic","Unique","Legendary","Mystic","Mystic (Prime)"},0),2,3,4.5,7,10,12))*Sensitivity!$H$14,IF($G$40="Boss Monster Damage %",(CHOOSE(MATCH($F$40,{"Rare","Epic","Unique","Legendary","Mystic","Mystic (Prime)"},0),4,6,9,14,20,24))*Sensitivity!$H$10,IF($G$40="Normal Monster Damage %",(CHOOSE(MATCH($F$40,{"Rare","Epic","Unique","Legendary","Mystic","Mystic (Prime)"},0),4,6,9,14,20,24))*Sensitivity!$H$11,IF($G$40="Status Effect Damage %",0,IF($G$40="Damage %",(CHOOSE(MATCH($F$40,{"Rare","Epic","Unique","Legendary","Mystic","Mystic (Prime)"},0),4,6,9,14,20,24))*Sensitivity!$H$8,IF($G$40="Defense Penetration %",(CHOOSE(MATCH($F$40,{"Rare","Epic","Unique","Legendary","Mystic","Mystic (Prime)"},0),2,3,4.5,7,10,12))*Sensitivity!$H$18,0)))))))))))),0)</f>
        <v/>
      </c>
      <c r="I40" s="7" t="inlineStr">
        <is>
          <t>Rare</t>
        </is>
      </c>
      <c r="J40" s="7" t="inlineStr">
        <is>
          <t>(none)</t>
        </is>
      </c>
      <c r="K40">
        <f>IF($N$40&gt;=5,IF($J$40="Main Stat %",(CHOOSE(MATCH($I$40,{"Rare","Epic","Unique","Legendary","Mystic","Mystic (Prime)"},0),2,3,4.5,7,10,12))*Sensitivity!$H$6,IF($J$40="Damage Taken Decrease %",0,IF($J$40="Defense %",0,IF($J$40="Accuracy",0,IF($J$40="Critical Rate %",(CHOOSE(MATCH($I$40,{"Rare","Epic","Unique","Legendary","Mystic","Mystic (Prime)"},0),2,3,4.5,7,10,12))*Sensitivity!$H$15,IF($J$40="Min Damage Multiplier %",(CHOOSE(MATCH($I$40,{"Rare","Epic","Unique","Legendary","Mystic","Mystic (Prime)"},0),2,3,4.5,7,10,12))*Sensitivity!$H$13,IF($J$40="Max Damage Multiplier %",(CHOOSE(MATCH($I$40,{"Rare","Epic","Unique","Legendary","Mystic","Mystic (Prime)"},0),2,3,4.5,7,10,12))*Sensitivity!$H$14,IF($J$40="Boss Monster Damage %",(CHOOSE(MATCH($I$40,{"Rare","Epic","Unique","Legendary","Mystic","Mystic (Prime)"},0),4,6,9,14,20,24))*Sensitivity!$H$10,IF($J$40="Normal Monster Damage %",(CHOOSE(MATCH($I$40,{"Rare","Epic","Unique","Legendary","Mystic","Mystic (Prime)"},0),4,6,9,14,20,24))*Sensitivity!$H$11,IF($J$40="Status Effect Damage %",0,IF($J$40="Damage %",(CHOOSE(MATCH($I$40,{"Rare","Epic","Unique","Legendary","Mystic","Mystic (Prime)"},0),4,6,9,14,20,24))*Sensitivity!$H$8,IF($J$40="Defense Penetration %",(CHOOSE(MATCH($I$40,{"Rare","Epic","Unique","Legendary","Mystic","Mystic (Prime)"},0),2,3,4.5,7,10,12))*Sensitivity!$H$18,0)))))))))))),0)</f>
        <v/>
      </c>
      <c r="L40">
        <f>Summary!$B$3*((IF(D40="(none)",1,1+(E40+IF(G40=D40,H40,0)+IF(J40=D40,K40,0))/Summary!$B$3))*(IF(OR(G40="(none)",G40=D40),1,1+(H40+IF(D40=G40,E40,0)+IF(J40=G40,K40,0))/Summary!$B$3))*(IF(OR(J40="",J40="(none)",J40=D40,J40=G40),1,1+(K40+IF(D40=J40,E40,0)+IF(G40=J40,H40,0))/Summary!$B$3))-1)</f>
        <v/>
      </c>
      <c r="M40">
        <f>OR(Inputs!$B$47="Reindeer's Spear",Inputs!$B$48="Reindeer's Spear",Inputs!$B$49="Reindeer's Spear",Inputs!$B$50="Reindeer's Spear")</f>
        <v/>
      </c>
      <c r="N40">
        <f>IF(B40="Not Unlocked",0,B40)</f>
        <v/>
      </c>
    </row>
    <row r="41">
      <c r="A41" s="6" t="inlineStr">
        <is>
          <t>Secret Map</t>
        </is>
      </c>
      <c r="B41" s="7" t="inlineStr">
        <is>
          <t>Not Unlocked</t>
        </is>
      </c>
      <c r="C41" s="7" t="inlineStr">
        <is>
          <t>Rare</t>
        </is>
      </c>
      <c r="D41" s="7" t="inlineStr">
        <is>
          <t>(none)</t>
        </is>
      </c>
      <c r="E41">
        <f>IF($N$41&gt;=1,IF($D$41="Main Stat %",(CHOOSE(MATCH($C$41,{"Rare","Epic","Unique","Legendary","Mystic","Mystic (Prime)"},0),2,3,4.5,7,10,12))*Sensitivity!$H$6,IF($D$41="Damage Taken Decrease %",0,IF($D$41="Defense %",0,IF($D$41="Accuracy",0,IF($D$41="Critical Rate %",(CHOOSE(MATCH($C$41,{"Rare","Epic","Unique","Legendary","Mystic","Mystic (Prime)"},0),2,3,4.5,7,10,12))*Sensitivity!$H$15,IF($D$41="Min Damage Multiplier %",(CHOOSE(MATCH($C$41,{"Rare","Epic","Unique","Legendary","Mystic","Mystic (Prime)"},0),2,3,4.5,7,10,12))*Sensitivity!$H$13,IF($D$41="Max Damage Multiplier %",(CHOOSE(MATCH($C$41,{"Rare","Epic","Unique","Legendary","Mystic","Mystic (Prime)"},0),2,3,4.5,7,10,12))*Sensitivity!$H$14,IF($D$41="Boss Monster Damage %",(CHOOSE(MATCH($C$41,{"Rare","Epic","Unique","Legendary","Mystic","Mystic (Prime)"},0),4,6,9,14,20,24))*Sensitivity!$H$10,IF($D$41="Normal Monster Damage %",(CHOOSE(MATCH($C$41,{"Rare","Epic","Unique","Legendary","Mystic","Mystic (Prime)"},0),4,6,9,14,20,24))*Sensitivity!$H$11,IF($D$41="Status Effect Damage %",0,IF($D$41="Damage %",(CHOOSE(MATCH($C$41,{"Rare","Epic","Unique","Legendary","Mystic","Mystic (Prime)"},0),4,6,9,14,20,24))*Sensitivity!$H$8,IF($D$41="Defense Penetration %",(CHOOSE(MATCH($C$41,{"Rare","Epic","Unique","Legendary","Mystic","Mystic (Prime)"},0),2,3,4.5,7,10,12))*Sensitivity!$H$18,0)))))))))))),0)</f>
        <v/>
      </c>
      <c r="F41" s="7" t="inlineStr">
        <is>
          <t>Rare</t>
        </is>
      </c>
      <c r="G41" s="7" t="inlineStr">
        <is>
          <t>(none)</t>
        </is>
      </c>
      <c r="H41">
        <f>IF($N$41&gt;=2,IF($G$41="Main Stat %",(CHOOSE(MATCH($F$41,{"Rare","Epic","Unique","Legendary","Mystic","Mystic (Prime)"},0),2,3,4.5,7,10,12))*Sensitivity!$H$6,IF($G$41="Damage Taken Decrease %",0,IF($G$41="Defense %",0,IF($G$41="Accuracy",0,IF($G$41="Critical Rate %",(CHOOSE(MATCH($F$41,{"Rare","Epic","Unique","Legendary","Mystic","Mystic (Prime)"},0),2,3,4.5,7,10,12))*Sensitivity!$H$15,IF($G$41="Min Damage Multiplier %",(CHOOSE(MATCH($F$41,{"Rare","Epic","Unique","Legendary","Mystic","Mystic (Prime)"},0),2,3,4.5,7,10,12))*Sensitivity!$H$13,IF($G$41="Max Damage Multiplier %",(CHOOSE(MATCH($F$41,{"Rare","Epic","Unique","Legendary","Mystic","Mystic (Prime)"},0),2,3,4.5,7,10,12))*Sensitivity!$H$14,IF($G$41="Boss Monster Damage %",(CHOOSE(MATCH($F$41,{"Rare","Epic","Unique","Legendary","Mystic","Mystic (Prime)"},0),4,6,9,14,20,24))*Sensitivity!$H$10,IF($G$41="Normal Monster Damage %",(CHOOSE(MATCH($F$41,{"Rare","Epic","Unique","Legendary","Mystic","Mystic (Prime)"},0),4,6,9,14,20,24))*Sensitivity!$H$11,IF($G$41="Status Effect Damage %",0,IF($G$41="Damage %",(CHOOSE(MATCH($F$41,{"Rare","Epic","Unique","Legendary","Mystic","Mystic (Prime)"},0),4,6,9,14,20,24))*Sensitivity!$H$8,IF($G$41="Defense Penetration %",(CHOOSE(MATCH($F$41,{"Rare","Epic","Unique","Legendary","Mystic","Mystic (Prime)"},0),2,3,4.5,7,10,12))*Sensitivity!$H$18,0)))))))))))),0)</f>
        <v/>
      </c>
      <c r="I41" s="7" t="inlineStr">
        <is>
          <t>Rare</t>
        </is>
      </c>
      <c r="J41" s="7" t="inlineStr">
        <is>
          <t>(none)</t>
        </is>
      </c>
      <c r="K41">
        <f>IF($N$41&gt;=5,IF($J$41="Main Stat %",(CHOOSE(MATCH($I$41,{"Rare","Epic","Unique","Legendary","Mystic","Mystic (Prime)"},0),2,3,4.5,7,10,12))*Sensitivity!$H$6,IF($J$41="Damage Taken Decrease %",0,IF($J$41="Defense %",0,IF($J$41="Accuracy",0,IF($J$41="Critical Rate %",(CHOOSE(MATCH($I$41,{"Rare","Epic","Unique","Legendary","Mystic","Mystic (Prime)"},0),2,3,4.5,7,10,12))*Sensitivity!$H$15,IF($J$41="Min Damage Multiplier %",(CHOOSE(MATCH($I$41,{"Rare","Epic","Unique","Legendary","Mystic","Mystic (Prime)"},0),2,3,4.5,7,10,12))*Sensitivity!$H$13,IF($J$41="Max Damage Multiplier %",(CHOOSE(MATCH($I$41,{"Rare","Epic","Unique","Legendary","Mystic","Mystic (Prime)"},0),2,3,4.5,7,10,12))*Sensitivity!$H$14,IF($J$41="Boss Monster Damage %",(CHOOSE(MATCH($I$41,{"Rare","Epic","Unique","Legendary","Mystic","Mystic (Prime)"},0),4,6,9,14,20,24))*Sensitivity!$H$10,IF($J$41="Normal Monster Damage %",(CHOOSE(MATCH($I$41,{"Rare","Epic","Unique","Legendary","Mystic","Mystic (Prime)"},0),4,6,9,14,20,24))*Sensitivity!$H$11,IF($J$41="Status Effect Damage %",0,IF($J$41="Damage %",(CHOOSE(MATCH($I$41,{"Rare","Epic","Unique","Legendary","Mystic","Mystic (Prime)"},0),4,6,9,14,20,24))*Sensitivity!$H$8,IF($J$41="Defense Penetration %",(CHOOSE(MATCH($I$41,{"Rare","Epic","Unique","Legendary","Mystic","Mystic (Prime)"},0),2,3,4.5,7,10,12))*Sensitivity!$H$18,0)))))))))))),0)</f>
        <v/>
      </c>
      <c r="L41">
        <f>Summary!$B$3*((IF(D41="(none)",1,1+(E41+IF(G41=D41,H41,0)+IF(J41=D41,K41,0))/Summary!$B$3))*(IF(OR(G41="(none)",G41=D41),1,1+(H41+IF(D41=G41,E41,0)+IF(J41=G41,K41,0))/Summary!$B$3))*(IF(OR(J41="",J41="(none)",J41=D41,J41=G41),1,1+(K41+IF(D41=J41,E41,0)+IF(G41=J41,H41,0))/Summary!$B$3))-1)</f>
        <v/>
      </c>
      <c r="M41">
        <f>OR(Inputs!$B$47="Secret Map",Inputs!$B$48="Secret Map",Inputs!$B$49="Secret Map",Inputs!$B$50="Secret Map")</f>
        <v/>
      </c>
      <c r="N41">
        <f>IF(B41="Not Unlocked",0,B41)</f>
        <v/>
      </c>
    </row>
    <row r="42">
      <c r="A42" s="6" t="inlineStr">
        <is>
          <t>Ring of Cycles</t>
        </is>
      </c>
      <c r="B42" s="7" t="inlineStr">
        <is>
          <t>Not Unlocked</t>
        </is>
      </c>
      <c r="C42" s="7" t="inlineStr">
        <is>
          <t>Rare</t>
        </is>
      </c>
      <c r="D42" s="7" t="inlineStr">
        <is>
          <t>(none)</t>
        </is>
      </c>
      <c r="E42">
        <f>IF($N$42&gt;=1,IF($D$42="Main Stat %",(CHOOSE(MATCH($C$42,{"Rare","Epic","Unique","Legendary","Mystic","Mystic (Prime)"},0),2,3,4.5,7,10,12))*Sensitivity!$H$6,IF($D$42="Damage Taken Decrease %",0,IF($D$42="Defense %",0,IF($D$42="Accuracy",0,IF($D$42="Critical Rate %",(CHOOSE(MATCH($C$42,{"Rare","Epic","Unique","Legendary","Mystic","Mystic (Prime)"},0),2,3,4.5,7,10,12))*Sensitivity!$H$15,IF($D$42="Min Damage Multiplier %",(CHOOSE(MATCH($C$42,{"Rare","Epic","Unique","Legendary","Mystic","Mystic (Prime)"},0),2,3,4.5,7,10,12))*Sensitivity!$H$13,IF($D$42="Max Damage Multiplier %",(CHOOSE(MATCH($C$42,{"Rare","Epic","Unique","Legendary","Mystic","Mystic (Prime)"},0),2,3,4.5,7,10,12))*Sensitivity!$H$14,IF($D$42="Boss Monster Damage %",(CHOOSE(MATCH($C$42,{"Rare","Epic","Unique","Legendary","Mystic","Mystic (Prime)"},0),4,6,9,14,20,24))*Sensitivity!$H$10,IF($D$42="Normal Monster Damage %",(CHOOSE(MATCH($C$42,{"Rare","Epic","Unique","Legendary","Mystic","Mystic (Prime)"},0),4,6,9,14,20,24))*Sensitivity!$H$11,IF($D$42="Status Effect Damage %",0,IF($D$42="Damage %",(CHOOSE(MATCH($C$42,{"Rare","Epic","Unique","Legendary","Mystic","Mystic (Prime)"},0),4,6,9,14,20,24))*Sensitivity!$H$8,IF($D$42="Defense Penetration %",(CHOOSE(MATCH($C$42,{"Rare","Epic","Unique","Legendary","Mystic","Mystic (Prime)"},0),2,3,4.5,7,10,12))*Sensitivity!$H$18,0)))))))))))),0)</f>
        <v/>
      </c>
      <c r="F42" s="7" t="inlineStr">
        <is>
          <t>Rare</t>
        </is>
      </c>
      <c r="G42" s="7" t="inlineStr">
        <is>
          <t>(none)</t>
        </is>
      </c>
      <c r="H42">
        <f>IF($N$42&gt;=2,IF($G$42="Main Stat %",(CHOOSE(MATCH($F$42,{"Rare","Epic","Unique","Legendary","Mystic","Mystic (Prime)"},0),2,3,4.5,7,10,12))*Sensitivity!$H$6,IF($G$42="Damage Taken Decrease %",0,IF($G$42="Defense %",0,IF($G$42="Accuracy",0,IF($G$42="Critical Rate %",(CHOOSE(MATCH($F$42,{"Rare","Epic","Unique","Legendary","Mystic","Mystic (Prime)"},0),2,3,4.5,7,10,12))*Sensitivity!$H$15,IF($G$42="Min Damage Multiplier %",(CHOOSE(MATCH($F$42,{"Rare","Epic","Unique","Legendary","Mystic","Mystic (Prime)"},0),2,3,4.5,7,10,12))*Sensitivity!$H$13,IF($G$42="Max Damage Multiplier %",(CHOOSE(MATCH($F$42,{"Rare","Epic","Unique","Legendary","Mystic","Mystic (Prime)"},0),2,3,4.5,7,10,12))*Sensitivity!$H$14,IF($G$42="Boss Monster Damage %",(CHOOSE(MATCH($F$42,{"Rare","Epic","Unique","Legendary","Mystic","Mystic (Prime)"},0),4,6,9,14,20,24))*Sensitivity!$H$10,IF($G$42="Normal Monster Damage %",(CHOOSE(MATCH($F$42,{"Rare","Epic","Unique","Legendary","Mystic","Mystic (Prime)"},0),4,6,9,14,20,24))*Sensitivity!$H$11,IF($G$42="Status Effect Damage %",0,IF($G$42="Damage %",(CHOOSE(MATCH($F$42,{"Rare","Epic","Unique","Legendary","Mystic","Mystic (Prime)"},0),4,6,9,14,20,24))*Sensitivity!$H$8,IF($G$42="Defense Penetration %",(CHOOSE(MATCH($F$42,{"Rare","Epic","Unique","Legendary","Mystic","Mystic (Prime)"},0),2,3,4.5,7,10,12))*Sensitivity!$H$18,0)))))))))))),0)</f>
        <v/>
      </c>
      <c r="I42" s="7" t="inlineStr">
        <is>
          <t>Rare</t>
        </is>
      </c>
      <c r="J42" s="7" t="inlineStr">
        <is>
          <t>(none)</t>
        </is>
      </c>
      <c r="K42">
        <f>IF($N$42&gt;=5,IF($J$42="Main Stat %",(CHOOSE(MATCH($I$42,{"Rare","Epic","Unique","Legendary","Mystic","Mystic (Prime)"},0),2,3,4.5,7,10,12))*Sensitivity!$H$6,IF($J$42="Damage Taken Decrease %",0,IF($J$42="Defense %",0,IF($J$42="Accuracy",0,IF($J$42="Critical Rate %",(CHOOSE(MATCH($I$42,{"Rare","Epic","Unique","Legendary","Mystic","Mystic (Prime)"},0),2,3,4.5,7,10,12))*Sensitivity!$H$15,IF($J$42="Min Damage Multiplier %",(CHOOSE(MATCH($I$42,{"Rare","Epic","Unique","Legendary","Mystic","Mystic (Prime)"},0),2,3,4.5,7,10,12))*Sensitivity!$H$13,IF($J$42="Max Damage Multiplier %",(CHOOSE(MATCH($I$42,{"Rare","Epic","Unique","Legendary","Mystic","Mystic (Prime)"},0),2,3,4.5,7,10,12))*Sensitivity!$H$14,IF($J$42="Boss Monster Damage %",(CHOOSE(MATCH($I$42,{"Rare","Epic","Unique","Legendary","Mystic","Mystic (Prime)"},0),4,6,9,14,20,24))*Sensitivity!$H$10,IF($J$42="Normal Monster Damage %",(CHOOSE(MATCH($I$42,{"Rare","Epic","Unique","Legendary","Mystic","Mystic (Prime)"},0),4,6,9,14,20,24))*Sensitivity!$H$11,IF($J$42="Status Effect Damage %",0,IF($J$42="Damage %",(CHOOSE(MATCH($I$42,{"Rare","Epic","Unique","Legendary","Mystic","Mystic (Prime)"},0),4,6,9,14,20,24))*Sensitivity!$H$8,IF($J$42="Defense Penetration %",(CHOOSE(MATCH($I$42,{"Rare","Epic","Unique","Legendary","Mystic","Mystic (Prime)"},0),2,3,4.5,7,10,12))*Sensitivity!$H$18,0)))))))))))),0)</f>
        <v/>
      </c>
      <c r="L42">
        <f>Summary!$B$3*((IF(D42="(none)",1,1+(E42+IF(G42=D42,H42,0)+IF(J42=D42,K42,0))/Summary!$B$3))*(IF(OR(G42="(none)",G42=D42),1,1+(H42+IF(D42=G42,E42,0)+IF(J42=G42,K42,0))/Summary!$B$3))*(IF(OR(J42="",J42="(none)",J42=D42,J42=G42),1,1+(K42+IF(D42=J42,E42,0)+IF(G42=J42,H42,0))/Summary!$B$3))-1)</f>
        <v/>
      </c>
      <c r="M42">
        <f>OR(Inputs!$B$47="Ring of Cycles",Inputs!$B$48="Ring of Cycles",Inputs!$B$49="Ring of Cycles",Inputs!$B$50="Ring of Cycles")</f>
        <v/>
      </c>
      <c r="N42">
        <f>IF(B42="Not Unlocked",0,B42)</f>
        <v/>
      </c>
    </row>
  </sheetData>
  <dataValidations count="3">
    <dataValidation sqref="B5 B6 B7 B8 B10 B11 B12 B13 B14 B15 B16 B17 B18 B20 B21 B22 B23 B24 B25 B26 B27 B28 B29 B30 B31 B32 B33 B34 B35 B36 B37 B38 B39 B40 B41 B42" showDropDown="0" showInputMessage="0" showErrorMessage="0" allowBlank="0" type="list">
      <formula1>"Not Unlocked,0,1,2,3,4,5"</formula1>
    </dataValidation>
    <dataValidation sqref="C5 C6 C7 C8 C10 C11 C12 C13 C14 C15 C16 C17 C18 C20 C21 C22 C23 C24 C25 C26 C27 C28 C29 C30 C31 C32 C33 C34 C35 C36 C37 C38 C39 C40 C41 C42 F5 F6 F7 F8 F10 F11 F12 F13 F14 F15 F16 F17 F18 F20 F21 F22 F23 F24 F25 F26 F27 F28 F29 F30 F31 F32 F33 F34 F35 F36 F37 F38 F39 F40 F41 F42 I20 I21 I22 I23 I24 I25 I26 I27 I28 I29 I30 I31 I32 I33 I34 I35 I36 I37 I38 I39 I40 I41 I42" showDropDown="0" showInputMessage="0" showErrorMessage="0" allowBlank="0" type="list">
      <formula1>"Rare,Epic,Unique,Legendary,Mystic,Mystic (Prime)"</formula1>
    </dataValidation>
    <dataValidation sqref="D5 D6 D7 D8 D10 D11 D12 D13 D14 D15 D16 D17 D18 D20 D21 D22 D23 D24 D25 D26 D27 D28 D29 D30 D31 D32 D33 D34 D35 D36 D37 D38 D39 D40 D41 D42 G5 G6 G7 G8 G10 G11 G12 G13 G14 G15 G16 G17 G18 G20 G21 G22 G23 G24 G25 G26 G27 G28 G29 G30 G31 G32 G33 G34 G35 G36 G37 G38 G39 G40 G41 G42 J20 J21 J22 J23 J24 J25 J26 J27 J28 J29 J30 J31 J32 J33 J34 J35 J36 J37 J38 J39 J40 J41 J42" showDropDown="0" showInputMessage="0" showErrorMessage="0" allowBlank="0" type="list">
      <formula1>"(none),Main Stat %,Damage Taken Decrease %,Defense %,Accuracy,Critical Rate %,Min Damage Multiplier %,Max Damage Multiplier %,Boss Monster Damage %,Normal Monster Damage %,Status Effect Damage %,Damage %,Defense Penetration %"</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35"/>
  <sheetViews>
    <sheetView workbookViewId="0">
      <pane ySplit="5" topLeftCell="A6" activePane="bottomLeft" state="frozen"/>
      <selection pane="bottomLeft" activeCell="A1" sqref="A1"/>
    </sheetView>
  </sheetViews>
  <sheetFormatPr baseColWidth="8" defaultRowHeight="15"/>
  <cols>
    <col width="12" customWidth="1" min="1" max="1"/>
    <col width="15" customWidth="1" min="2" max="2"/>
    <col width="13" customWidth="1" min="3" max="3"/>
    <col width="18" customWidth="1" min="4" max="4"/>
    <col width="26" customWidth="1" min="5" max="5"/>
    <col width="11" customWidth="1" min="6" max="6"/>
    <col width="26" customWidth="1" min="7" max="7"/>
    <col width="11" customWidth="1" min="8" max="8"/>
    <col width="26" customWidth="1" min="9" max="9"/>
    <col width="11" customWidth="1" min="10" max="10"/>
  </cols>
  <sheetData>
    <row r="1">
      <c r="A1" s="4" t="inlineStr">
        <is>
          <t>Potential Cubes — Current Gear State</t>
        </is>
      </c>
    </row>
    <row r="2">
      <c r="A2" t="inlineStr">
        <is>
          <t>Fill in your actual current gear for every slot/potential-type you want EV results for, then run `python3 tools/potential_cubes_ev.py` — it reads this table plus the live CubeData sheet and computes exact 'expected value of the best roll kept after N rerolls' for all 30 rows (printed + written to a CSV), via a full line1 x line2 x line3 enumeration per rarity/slot rather than a single-roll average.</t>
        </is>
      </c>
    </row>
    <row r="3">
      <c r="A3" t="inlineStr">
        <is>
          <t>Leave a line's Stat as "(none)" if that line isn't rolled yet / doesn't matter.</t>
        </is>
      </c>
    </row>
    <row r="5">
      <c r="A5" s="5" t="inlineStr">
        <is>
          <t>Slot</t>
        </is>
      </c>
      <c r="B5" s="5" t="inlineStr">
        <is>
          <t>Potential Type</t>
        </is>
      </c>
      <c r="C5" s="5" t="inlineStr">
        <is>
          <t>Current Rarity</t>
        </is>
      </c>
      <c r="D5" s="5" t="inlineStr">
        <is>
          <t>Current Pity Count</t>
        </is>
      </c>
      <c r="E5" s="5" t="inlineStr">
        <is>
          <t>Line 1 Stat</t>
        </is>
      </c>
      <c r="F5" s="5" t="inlineStr">
        <is>
          <t>Line 1 Value</t>
        </is>
      </c>
      <c r="G5" s="5" t="inlineStr">
        <is>
          <t>Line 2 Stat</t>
        </is>
      </c>
      <c r="H5" s="5" t="inlineStr">
        <is>
          <t>Line 2 Value</t>
        </is>
      </c>
      <c r="I5" s="5" t="inlineStr">
        <is>
          <t>Line 3 Stat</t>
        </is>
      </c>
      <c r="J5" s="5" t="inlineStr">
        <is>
          <t>Line 3 Value</t>
        </is>
      </c>
    </row>
    <row r="6">
      <c r="A6" t="inlineStr">
        <is>
          <t>head</t>
        </is>
      </c>
      <c r="B6" t="inlineStr">
        <is>
          <t>Potential</t>
        </is>
      </c>
      <c r="C6" t="inlineStr">
        <is>
          <t>normal</t>
        </is>
      </c>
      <c r="D6" t="n">
        <v>0</v>
      </c>
      <c r="E6" t="inlineStr">
        <is>
          <t>(none)</t>
        </is>
      </c>
      <c r="F6" t="n">
        <v>0</v>
      </c>
      <c r="G6" t="inlineStr">
        <is>
          <t>(none)</t>
        </is>
      </c>
      <c r="H6" t="n">
        <v>0</v>
      </c>
      <c r="I6" t="inlineStr">
        <is>
          <t>(none)</t>
        </is>
      </c>
      <c r="J6" t="n">
        <v>0</v>
      </c>
    </row>
    <row r="7">
      <c r="A7" t="inlineStr">
        <is>
          <t>head</t>
        </is>
      </c>
      <c r="B7" t="inlineStr">
        <is>
          <t>Bonus Potential</t>
        </is>
      </c>
      <c r="C7" t="inlineStr">
        <is>
          <t>normal</t>
        </is>
      </c>
      <c r="D7" t="n">
        <v>0</v>
      </c>
      <c r="E7" t="inlineStr">
        <is>
          <t>(none)</t>
        </is>
      </c>
      <c r="F7" t="n">
        <v>0</v>
      </c>
      <c r="G7" t="inlineStr">
        <is>
          <t>(none)</t>
        </is>
      </c>
      <c r="H7" t="n">
        <v>0</v>
      </c>
      <c r="I7" t="inlineStr">
        <is>
          <t>(none)</t>
        </is>
      </c>
      <c r="J7" t="n">
        <v>0</v>
      </c>
    </row>
    <row r="8">
      <c r="A8" t="inlineStr">
        <is>
          <t>cape</t>
        </is>
      </c>
      <c r="B8" t="inlineStr">
        <is>
          <t>Potential</t>
        </is>
      </c>
      <c r="C8" t="inlineStr">
        <is>
          <t>normal</t>
        </is>
      </c>
      <c r="D8" t="n">
        <v>0</v>
      </c>
      <c r="E8" t="inlineStr">
        <is>
          <t>(none)</t>
        </is>
      </c>
      <c r="F8" t="n">
        <v>0</v>
      </c>
      <c r="G8" t="inlineStr">
        <is>
          <t>(none)</t>
        </is>
      </c>
      <c r="H8" t="n">
        <v>0</v>
      </c>
      <c r="I8" t="inlineStr">
        <is>
          <t>(none)</t>
        </is>
      </c>
      <c r="J8" t="n">
        <v>0</v>
      </c>
    </row>
    <row r="9">
      <c r="A9" t="inlineStr">
        <is>
          <t>cape</t>
        </is>
      </c>
      <c r="B9" t="inlineStr">
        <is>
          <t>Bonus Potential</t>
        </is>
      </c>
      <c r="C9" t="inlineStr">
        <is>
          <t>normal</t>
        </is>
      </c>
      <c r="D9" t="n">
        <v>0</v>
      </c>
      <c r="E9" t="inlineStr">
        <is>
          <t>(none)</t>
        </is>
      </c>
      <c r="F9" t="n">
        <v>0</v>
      </c>
      <c r="G9" t="inlineStr">
        <is>
          <t>(none)</t>
        </is>
      </c>
      <c r="H9" t="n">
        <v>0</v>
      </c>
      <c r="I9" t="inlineStr">
        <is>
          <t>(none)</t>
        </is>
      </c>
      <c r="J9" t="n">
        <v>0</v>
      </c>
    </row>
    <row r="10">
      <c r="A10" t="inlineStr">
        <is>
          <t>chest</t>
        </is>
      </c>
      <c r="B10" t="inlineStr">
        <is>
          <t>Potential</t>
        </is>
      </c>
      <c r="C10" t="inlineStr">
        <is>
          <t>normal</t>
        </is>
      </c>
      <c r="D10" t="n">
        <v>0</v>
      </c>
      <c r="E10" t="inlineStr">
        <is>
          <t>(none)</t>
        </is>
      </c>
      <c r="F10" t="n">
        <v>0</v>
      </c>
      <c r="G10" t="inlineStr">
        <is>
          <t>(none)</t>
        </is>
      </c>
      <c r="H10" t="n">
        <v>0</v>
      </c>
      <c r="I10" t="inlineStr">
        <is>
          <t>(none)</t>
        </is>
      </c>
      <c r="J10" t="n">
        <v>0</v>
      </c>
    </row>
    <row r="11">
      <c r="A11" t="inlineStr">
        <is>
          <t>chest</t>
        </is>
      </c>
      <c r="B11" t="inlineStr">
        <is>
          <t>Bonus Potential</t>
        </is>
      </c>
      <c r="C11" t="inlineStr">
        <is>
          <t>normal</t>
        </is>
      </c>
      <c r="D11" t="n">
        <v>0</v>
      </c>
      <c r="E11" t="inlineStr">
        <is>
          <t>(none)</t>
        </is>
      </c>
      <c r="F11" t="n">
        <v>0</v>
      </c>
      <c r="G11" t="inlineStr">
        <is>
          <t>(none)</t>
        </is>
      </c>
      <c r="H11" t="n">
        <v>0</v>
      </c>
      <c r="I11" t="inlineStr">
        <is>
          <t>(none)</t>
        </is>
      </c>
      <c r="J11" t="n">
        <v>0</v>
      </c>
    </row>
    <row r="12">
      <c r="A12" t="inlineStr">
        <is>
          <t>shoulders</t>
        </is>
      </c>
      <c r="B12" t="inlineStr">
        <is>
          <t>Potential</t>
        </is>
      </c>
      <c r="C12" t="inlineStr">
        <is>
          <t>normal</t>
        </is>
      </c>
      <c r="D12" t="n">
        <v>0</v>
      </c>
      <c r="E12" t="inlineStr">
        <is>
          <t>(none)</t>
        </is>
      </c>
      <c r="F12" t="n">
        <v>0</v>
      </c>
      <c r="G12" t="inlineStr">
        <is>
          <t>(none)</t>
        </is>
      </c>
      <c r="H12" t="n">
        <v>0</v>
      </c>
      <c r="I12" t="inlineStr">
        <is>
          <t>(none)</t>
        </is>
      </c>
      <c r="J12" t="n">
        <v>0</v>
      </c>
    </row>
    <row r="13">
      <c r="A13" t="inlineStr">
        <is>
          <t>shoulders</t>
        </is>
      </c>
      <c r="B13" t="inlineStr">
        <is>
          <t>Bonus Potential</t>
        </is>
      </c>
      <c r="C13" t="inlineStr">
        <is>
          <t>normal</t>
        </is>
      </c>
      <c r="D13" t="n">
        <v>0</v>
      </c>
      <c r="E13" t="inlineStr">
        <is>
          <t>(none)</t>
        </is>
      </c>
      <c r="F13" t="n">
        <v>0</v>
      </c>
      <c r="G13" t="inlineStr">
        <is>
          <t>(none)</t>
        </is>
      </c>
      <c r="H13" t="n">
        <v>0</v>
      </c>
      <c r="I13" t="inlineStr">
        <is>
          <t>(none)</t>
        </is>
      </c>
      <c r="J13" t="n">
        <v>0</v>
      </c>
    </row>
    <row r="14">
      <c r="A14" t="inlineStr">
        <is>
          <t>legs</t>
        </is>
      </c>
      <c r="B14" t="inlineStr">
        <is>
          <t>Potential</t>
        </is>
      </c>
      <c r="C14" t="inlineStr">
        <is>
          <t>normal</t>
        </is>
      </c>
      <c r="D14" t="n">
        <v>0</v>
      </c>
      <c r="E14" t="inlineStr">
        <is>
          <t>(none)</t>
        </is>
      </c>
      <c r="F14" t="n">
        <v>0</v>
      </c>
      <c r="G14" t="inlineStr">
        <is>
          <t>(none)</t>
        </is>
      </c>
      <c r="H14" t="n">
        <v>0</v>
      </c>
      <c r="I14" t="inlineStr">
        <is>
          <t>(none)</t>
        </is>
      </c>
      <c r="J14" t="n">
        <v>0</v>
      </c>
    </row>
    <row r="15">
      <c r="A15" t="inlineStr">
        <is>
          <t>legs</t>
        </is>
      </c>
      <c r="B15" t="inlineStr">
        <is>
          <t>Bonus Potential</t>
        </is>
      </c>
      <c r="C15" t="inlineStr">
        <is>
          <t>normal</t>
        </is>
      </c>
      <c r="D15" t="n">
        <v>0</v>
      </c>
      <c r="E15" t="inlineStr">
        <is>
          <t>(none)</t>
        </is>
      </c>
      <c r="F15" t="n">
        <v>0</v>
      </c>
      <c r="G15" t="inlineStr">
        <is>
          <t>(none)</t>
        </is>
      </c>
      <c r="H15" t="n">
        <v>0</v>
      </c>
      <c r="I15" t="inlineStr">
        <is>
          <t>(none)</t>
        </is>
      </c>
      <c r="J15" t="n">
        <v>0</v>
      </c>
    </row>
    <row r="16">
      <c r="A16" t="inlineStr">
        <is>
          <t>belt</t>
        </is>
      </c>
      <c r="B16" t="inlineStr">
        <is>
          <t>Potential</t>
        </is>
      </c>
      <c r="C16" t="inlineStr">
        <is>
          <t>normal</t>
        </is>
      </c>
      <c r="D16" t="n">
        <v>0</v>
      </c>
      <c r="E16" t="inlineStr">
        <is>
          <t>(none)</t>
        </is>
      </c>
      <c r="F16" t="n">
        <v>0</v>
      </c>
      <c r="G16" t="inlineStr">
        <is>
          <t>(none)</t>
        </is>
      </c>
      <c r="H16" t="n">
        <v>0</v>
      </c>
      <c r="I16" t="inlineStr">
        <is>
          <t>(none)</t>
        </is>
      </c>
      <c r="J16" t="n">
        <v>0</v>
      </c>
    </row>
    <row r="17">
      <c r="A17" t="inlineStr">
        <is>
          <t>belt</t>
        </is>
      </c>
      <c r="B17" t="inlineStr">
        <is>
          <t>Bonus Potential</t>
        </is>
      </c>
      <c r="C17" t="inlineStr">
        <is>
          <t>normal</t>
        </is>
      </c>
      <c r="D17" t="n">
        <v>0</v>
      </c>
      <c r="E17" t="inlineStr">
        <is>
          <t>(none)</t>
        </is>
      </c>
      <c r="F17" t="n">
        <v>0</v>
      </c>
      <c r="G17" t="inlineStr">
        <is>
          <t>(none)</t>
        </is>
      </c>
      <c r="H17" t="n">
        <v>0</v>
      </c>
      <c r="I17" t="inlineStr">
        <is>
          <t>(none)</t>
        </is>
      </c>
      <c r="J17" t="n">
        <v>0</v>
      </c>
    </row>
    <row r="18">
      <c r="A18" t="inlineStr">
        <is>
          <t>gloves</t>
        </is>
      </c>
      <c r="B18" t="inlineStr">
        <is>
          <t>Potential</t>
        </is>
      </c>
      <c r="C18" t="inlineStr">
        <is>
          <t>normal</t>
        </is>
      </c>
      <c r="D18" t="n">
        <v>0</v>
      </c>
      <c r="E18" t="inlineStr">
        <is>
          <t>(none)</t>
        </is>
      </c>
      <c r="F18" t="n">
        <v>0</v>
      </c>
      <c r="G18" t="inlineStr">
        <is>
          <t>(none)</t>
        </is>
      </c>
      <c r="H18" t="n">
        <v>0</v>
      </c>
      <c r="I18" t="inlineStr">
        <is>
          <t>(none)</t>
        </is>
      </c>
      <c r="J18" t="n">
        <v>0</v>
      </c>
    </row>
    <row r="19">
      <c r="A19" t="inlineStr">
        <is>
          <t>gloves</t>
        </is>
      </c>
      <c r="B19" t="inlineStr">
        <is>
          <t>Bonus Potential</t>
        </is>
      </c>
      <c r="C19" t="inlineStr">
        <is>
          <t>normal</t>
        </is>
      </c>
      <c r="D19" t="n">
        <v>0</v>
      </c>
      <c r="E19" t="inlineStr">
        <is>
          <t>(none)</t>
        </is>
      </c>
      <c r="F19" t="n">
        <v>0</v>
      </c>
      <c r="G19" t="inlineStr">
        <is>
          <t>(none)</t>
        </is>
      </c>
      <c r="H19" t="n">
        <v>0</v>
      </c>
      <c r="I19" t="inlineStr">
        <is>
          <t>(none)</t>
        </is>
      </c>
      <c r="J19" t="n">
        <v>0</v>
      </c>
    </row>
    <row r="20">
      <c r="A20" t="inlineStr">
        <is>
          <t>boots</t>
        </is>
      </c>
      <c r="B20" t="inlineStr">
        <is>
          <t>Potential</t>
        </is>
      </c>
      <c r="C20" t="inlineStr">
        <is>
          <t>normal</t>
        </is>
      </c>
      <c r="D20" t="n">
        <v>0</v>
      </c>
      <c r="E20" t="inlineStr">
        <is>
          <t>(none)</t>
        </is>
      </c>
      <c r="F20" t="n">
        <v>0</v>
      </c>
      <c r="G20" t="inlineStr">
        <is>
          <t>(none)</t>
        </is>
      </c>
      <c r="H20" t="n">
        <v>0</v>
      </c>
      <c r="I20" t="inlineStr">
        <is>
          <t>(none)</t>
        </is>
      </c>
      <c r="J20" t="n">
        <v>0</v>
      </c>
    </row>
    <row r="21">
      <c r="A21" t="inlineStr">
        <is>
          <t>boots</t>
        </is>
      </c>
      <c r="B21" t="inlineStr">
        <is>
          <t>Bonus Potential</t>
        </is>
      </c>
      <c r="C21" t="inlineStr">
        <is>
          <t>normal</t>
        </is>
      </c>
      <c r="D21" t="n">
        <v>0</v>
      </c>
      <c r="E21" t="inlineStr">
        <is>
          <t>(none)</t>
        </is>
      </c>
      <c r="F21" t="n">
        <v>0</v>
      </c>
      <c r="G21" t="inlineStr">
        <is>
          <t>(none)</t>
        </is>
      </c>
      <c r="H21" t="n">
        <v>0</v>
      </c>
      <c r="I21" t="inlineStr">
        <is>
          <t>(none)</t>
        </is>
      </c>
      <c r="J21" t="n">
        <v>0</v>
      </c>
    </row>
    <row r="22">
      <c r="A22" t="inlineStr">
        <is>
          <t>ring</t>
        </is>
      </c>
      <c r="B22" t="inlineStr">
        <is>
          <t>Potential</t>
        </is>
      </c>
      <c r="C22" t="inlineStr">
        <is>
          <t>normal</t>
        </is>
      </c>
      <c r="D22" t="n">
        <v>0</v>
      </c>
      <c r="E22" t="inlineStr">
        <is>
          <t>(none)</t>
        </is>
      </c>
      <c r="F22" t="n">
        <v>0</v>
      </c>
      <c r="G22" t="inlineStr">
        <is>
          <t>(none)</t>
        </is>
      </c>
      <c r="H22" t="n">
        <v>0</v>
      </c>
      <c r="I22" t="inlineStr">
        <is>
          <t>(none)</t>
        </is>
      </c>
      <c r="J22" t="n">
        <v>0</v>
      </c>
    </row>
    <row r="23">
      <c r="A23" t="inlineStr">
        <is>
          <t>ring</t>
        </is>
      </c>
      <c r="B23" t="inlineStr">
        <is>
          <t>Bonus Potential</t>
        </is>
      </c>
      <c r="C23" t="inlineStr">
        <is>
          <t>normal</t>
        </is>
      </c>
      <c r="D23" t="n">
        <v>0</v>
      </c>
      <c r="E23" t="inlineStr">
        <is>
          <t>(none)</t>
        </is>
      </c>
      <c r="F23" t="n">
        <v>0</v>
      </c>
      <c r="G23" t="inlineStr">
        <is>
          <t>(none)</t>
        </is>
      </c>
      <c r="H23" t="n">
        <v>0</v>
      </c>
      <c r="I23" t="inlineStr">
        <is>
          <t>(none)</t>
        </is>
      </c>
      <c r="J23" t="n">
        <v>0</v>
      </c>
    </row>
    <row r="24">
      <c r="A24" t="inlineStr">
        <is>
          <t>neck</t>
        </is>
      </c>
      <c r="B24" t="inlineStr">
        <is>
          <t>Potential</t>
        </is>
      </c>
      <c r="C24" t="inlineStr">
        <is>
          <t>normal</t>
        </is>
      </c>
      <c r="D24" t="n">
        <v>0</v>
      </c>
      <c r="E24" t="inlineStr">
        <is>
          <t>(none)</t>
        </is>
      </c>
      <c r="F24" t="n">
        <v>0</v>
      </c>
      <c r="G24" t="inlineStr">
        <is>
          <t>(none)</t>
        </is>
      </c>
      <c r="H24" t="n">
        <v>0</v>
      </c>
      <c r="I24" t="inlineStr">
        <is>
          <t>(none)</t>
        </is>
      </c>
      <c r="J24" t="n">
        <v>0</v>
      </c>
    </row>
    <row r="25">
      <c r="A25" t="inlineStr">
        <is>
          <t>neck</t>
        </is>
      </c>
      <c r="B25" t="inlineStr">
        <is>
          <t>Bonus Potential</t>
        </is>
      </c>
      <c r="C25" t="inlineStr">
        <is>
          <t>normal</t>
        </is>
      </c>
      <c r="D25" t="n">
        <v>0</v>
      </c>
      <c r="E25" t="inlineStr">
        <is>
          <t>(none)</t>
        </is>
      </c>
      <c r="F25" t="n">
        <v>0</v>
      </c>
      <c r="G25" t="inlineStr">
        <is>
          <t>(none)</t>
        </is>
      </c>
      <c r="H25" t="n">
        <v>0</v>
      </c>
      <c r="I25" t="inlineStr">
        <is>
          <t>(none)</t>
        </is>
      </c>
      <c r="J25" t="n">
        <v>0</v>
      </c>
    </row>
    <row r="26">
      <c r="A26" t="inlineStr">
        <is>
          <t>eye-accessory</t>
        </is>
      </c>
      <c r="B26" t="inlineStr">
        <is>
          <t>Potential</t>
        </is>
      </c>
      <c r="C26" t="inlineStr">
        <is>
          <t>normal</t>
        </is>
      </c>
      <c r="D26" t="n">
        <v>0</v>
      </c>
      <c r="E26" t="inlineStr">
        <is>
          <t>(none)</t>
        </is>
      </c>
      <c r="F26" t="n">
        <v>0</v>
      </c>
      <c r="G26" t="inlineStr">
        <is>
          <t>(none)</t>
        </is>
      </c>
      <c r="H26" t="n">
        <v>0</v>
      </c>
      <c r="I26" t="inlineStr">
        <is>
          <t>(none)</t>
        </is>
      </c>
      <c r="J26" t="n">
        <v>0</v>
      </c>
    </row>
    <row r="27">
      <c r="A27" t="inlineStr">
        <is>
          <t>eye-accessory</t>
        </is>
      </c>
      <c r="B27" t="inlineStr">
        <is>
          <t>Bonus Potential</t>
        </is>
      </c>
      <c r="C27" t="inlineStr">
        <is>
          <t>normal</t>
        </is>
      </c>
      <c r="D27" t="n">
        <v>0</v>
      </c>
      <c r="E27" t="inlineStr">
        <is>
          <t>(none)</t>
        </is>
      </c>
      <c r="F27" t="n">
        <v>0</v>
      </c>
      <c r="G27" t="inlineStr">
        <is>
          <t>(none)</t>
        </is>
      </c>
      <c r="H27" t="n">
        <v>0</v>
      </c>
      <c r="I27" t="inlineStr">
        <is>
          <t>(none)</t>
        </is>
      </c>
      <c r="J27" t="n">
        <v>0</v>
      </c>
    </row>
    <row r="28">
      <c r="A28" t="inlineStr">
        <is>
          <t>ring2</t>
        </is>
      </c>
      <c r="B28" t="inlineStr">
        <is>
          <t>Potential</t>
        </is>
      </c>
      <c r="C28" t="inlineStr">
        <is>
          <t>normal</t>
        </is>
      </c>
      <c r="D28" t="n">
        <v>0</v>
      </c>
      <c r="E28" t="inlineStr">
        <is>
          <t>(none)</t>
        </is>
      </c>
      <c r="F28" t="n">
        <v>0</v>
      </c>
      <c r="G28" t="inlineStr">
        <is>
          <t>(none)</t>
        </is>
      </c>
      <c r="H28" t="n">
        <v>0</v>
      </c>
      <c r="I28" t="inlineStr">
        <is>
          <t>(none)</t>
        </is>
      </c>
      <c r="J28" t="n">
        <v>0</v>
      </c>
    </row>
    <row r="29">
      <c r="A29" t="inlineStr">
        <is>
          <t>ring2</t>
        </is>
      </c>
      <c r="B29" t="inlineStr">
        <is>
          <t>Bonus Potential</t>
        </is>
      </c>
      <c r="C29" t="inlineStr">
        <is>
          <t>normal</t>
        </is>
      </c>
      <c r="D29" t="n">
        <v>0</v>
      </c>
      <c r="E29" t="inlineStr">
        <is>
          <t>(none)</t>
        </is>
      </c>
      <c r="F29" t="n">
        <v>0</v>
      </c>
      <c r="G29" t="inlineStr">
        <is>
          <t>(none)</t>
        </is>
      </c>
      <c r="H29" t="n">
        <v>0</v>
      </c>
      <c r="I29" t="inlineStr">
        <is>
          <t>(none)</t>
        </is>
      </c>
      <c r="J29" t="n">
        <v>0</v>
      </c>
    </row>
    <row r="30">
      <c r="A30" t="inlineStr">
        <is>
          <t>face</t>
        </is>
      </c>
      <c r="B30" t="inlineStr">
        <is>
          <t>Potential</t>
        </is>
      </c>
      <c r="C30" t="inlineStr">
        <is>
          <t>normal</t>
        </is>
      </c>
      <c r="D30" t="n">
        <v>0</v>
      </c>
      <c r="E30" t="inlineStr">
        <is>
          <t>(none)</t>
        </is>
      </c>
      <c r="F30" t="n">
        <v>0</v>
      </c>
      <c r="G30" t="inlineStr">
        <is>
          <t>(none)</t>
        </is>
      </c>
      <c r="H30" t="n">
        <v>0</v>
      </c>
      <c r="I30" t="inlineStr">
        <is>
          <t>(none)</t>
        </is>
      </c>
      <c r="J30" t="n">
        <v>0</v>
      </c>
    </row>
    <row r="31">
      <c r="A31" t="inlineStr">
        <is>
          <t>face</t>
        </is>
      </c>
      <c r="B31" t="inlineStr">
        <is>
          <t>Bonus Potential</t>
        </is>
      </c>
      <c r="C31" t="inlineStr">
        <is>
          <t>normal</t>
        </is>
      </c>
      <c r="D31" t="n">
        <v>0</v>
      </c>
      <c r="E31" t="inlineStr">
        <is>
          <t>(none)</t>
        </is>
      </c>
      <c r="F31" t="n">
        <v>0</v>
      </c>
      <c r="G31" t="inlineStr">
        <is>
          <t>(none)</t>
        </is>
      </c>
      <c r="H31" t="n">
        <v>0</v>
      </c>
      <c r="I31" t="inlineStr">
        <is>
          <t>(none)</t>
        </is>
      </c>
      <c r="J31" t="n">
        <v>0</v>
      </c>
    </row>
    <row r="32">
      <c r="A32" t="inlineStr">
        <is>
          <t>earrings</t>
        </is>
      </c>
      <c r="B32" t="inlineStr">
        <is>
          <t>Potential</t>
        </is>
      </c>
      <c r="C32" t="inlineStr">
        <is>
          <t>normal</t>
        </is>
      </c>
      <c r="D32" t="n">
        <v>0</v>
      </c>
      <c r="E32" t="inlineStr">
        <is>
          <t>(none)</t>
        </is>
      </c>
      <c r="F32" t="n">
        <v>0</v>
      </c>
      <c r="G32" t="inlineStr">
        <is>
          <t>(none)</t>
        </is>
      </c>
      <c r="H32" t="n">
        <v>0</v>
      </c>
      <c r="I32" t="inlineStr">
        <is>
          <t>(none)</t>
        </is>
      </c>
      <c r="J32" t="n">
        <v>0</v>
      </c>
    </row>
    <row r="33">
      <c r="A33" t="inlineStr">
        <is>
          <t>earrings</t>
        </is>
      </c>
      <c r="B33" t="inlineStr">
        <is>
          <t>Bonus Potential</t>
        </is>
      </c>
      <c r="C33" t="inlineStr">
        <is>
          <t>normal</t>
        </is>
      </c>
      <c r="D33" t="n">
        <v>0</v>
      </c>
      <c r="E33" t="inlineStr">
        <is>
          <t>(none)</t>
        </is>
      </c>
      <c r="F33" t="n">
        <v>0</v>
      </c>
      <c r="G33" t="inlineStr">
        <is>
          <t>(none)</t>
        </is>
      </c>
      <c r="H33" t="n">
        <v>0</v>
      </c>
      <c r="I33" t="inlineStr">
        <is>
          <t>(none)</t>
        </is>
      </c>
      <c r="J33" t="n">
        <v>0</v>
      </c>
    </row>
    <row r="34">
      <c r="A34" t="inlineStr">
        <is>
          <t>pocket</t>
        </is>
      </c>
      <c r="B34" t="inlineStr">
        <is>
          <t>Potential</t>
        </is>
      </c>
      <c r="C34" t="inlineStr">
        <is>
          <t>normal</t>
        </is>
      </c>
      <c r="D34" t="n">
        <v>0</v>
      </c>
      <c r="E34" t="inlineStr">
        <is>
          <t>(none)</t>
        </is>
      </c>
      <c r="F34" t="n">
        <v>0</v>
      </c>
      <c r="G34" t="inlineStr">
        <is>
          <t>(none)</t>
        </is>
      </c>
      <c r="H34" t="n">
        <v>0</v>
      </c>
      <c r="I34" t="inlineStr">
        <is>
          <t>(none)</t>
        </is>
      </c>
      <c r="J34" t="n">
        <v>0</v>
      </c>
    </row>
    <row r="35">
      <c r="A35" t="inlineStr">
        <is>
          <t>pocket</t>
        </is>
      </c>
      <c r="B35" t="inlineStr">
        <is>
          <t>Bonus Potential</t>
        </is>
      </c>
      <c r="C35" t="inlineStr">
        <is>
          <t>normal</t>
        </is>
      </c>
      <c r="D35" t="n">
        <v>0</v>
      </c>
      <c r="E35" t="inlineStr">
        <is>
          <t>(none)</t>
        </is>
      </c>
      <c r="F35" t="n">
        <v>0</v>
      </c>
      <c r="G35" t="inlineStr">
        <is>
          <t>(none)</t>
        </is>
      </c>
      <c r="H35" t="n">
        <v>0</v>
      </c>
      <c r="I35" t="inlineStr">
        <is>
          <t>(none)</t>
        </is>
      </c>
      <c r="J35" t="n">
        <v>0</v>
      </c>
    </row>
  </sheetData>
  <dataValidations count="2">
    <dataValidation sqref="C6 C7 C8 C9 C10 C11 C12 C13 C14 C15 C16 C17 C18 C19 C20 C21 C22 C23 C24 C25 C26 C27 C28 C29 C30 C31 C32 C33 C34 C35" showDropDown="0" showInputMessage="0" showErrorMessage="0" allowBlank="0" type="list">
      <formula1>"normal,rare,epic,unique,legendary,mystic"</formula1>
    </dataValidation>
    <dataValidation sqref="E6 E7 E8 E9 E10 E11 E12 E13 E14 E15 E16 E17 E18 E19 E20 E21 E22 E23 E24 E25 E26 E27 E28 E29 E30 E31 E32 E33 E34 E35 G6 G7 G8 G9 G10 G11 G12 G13 G14 G15 G16 G17 G18 G19 G20 G21 G22 G23 G24 G25 G26 G27 G28 G29 G30 G31 G32 G33 G34 G35 I6 I7 I8 I9 I10 I11 I12 I13 I14 I15 I16 I17 I18 I19 I20 I21 I22 I23 I24 I25 I26 I27 I28 I29 I30 I31 I32 I33 I34 I35" showDropDown="0" showInputMessage="0" showErrorMessage="0" allowBlank="0" type="list">
      <formula1>=CubeData!$J$2:$J$30</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2026-10-22T16:26:44Z</dcterms:created>
  <dcterms:modified xsi:type="dcterms:W3CDTF">2026-10-22T16:26:44Z</dcterms:modified>
</cp:coreProperties>
</file>